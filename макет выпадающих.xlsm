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sers\DrobyshevAV\Desktop\стажировка\"/>
    </mc:Choice>
  </mc:AlternateContent>
  <xr:revisionPtr revIDLastSave="0" documentId="13_ncr:1_{9B1588F5-13DE-4D31-8FAA-0F790CB279E1}" xr6:coauthVersionLast="36" xr6:coauthVersionMax="36" xr10:uidLastSave="{00000000-0000-0000-0000-000000000000}"/>
  <bookViews>
    <workbookView xWindow="0" yWindow="0" windowWidth="28800" windowHeight="12225" activeTab="1" xr2:uid="{09C904DC-191D-4E29-BFC1-927C79D3389C}"/>
  </bookViews>
  <sheets>
    <sheet name="лист1" sheetId="2" r:id="rId1"/>
    <sheet name="Лист2" sheetId="4" r:id="rId2"/>
  </sheets>
  <definedNames>
    <definedName name="_xlnm._FilterDatabase" localSheetId="0" hidden="1">лист1!$F$3:$I$6166</definedName>
    <definedName name="шаг_2">OFFSET(лист1!$F:$F,MATCH(#REF!,лист1!$F:$F,0)-1,1,COUNTIF(лист1!$F:$F,#REF!),1)</definedName>
    <definedName name="шаг_3">OFFSET(#REF!,MATCH(#REF!,#REF!,0)-1,1,COUNTIF(#REF!,#REF!),1)</definedName>
    <definedName name="шаг_4">OFFSET(#REF!,MATCH(#REF!,#REF!,0)-1,1,COUNTIF(#REF!,#REF!),1)</definedName>
    <definedName name="шаг_5">OFFSET(#REF!,MATCH(#REF!,#REF!,0)-1,1,COUNTIF(#REF!,#REF!),1)</definedName>
    <definedName name="шаг_6">OFFSET(#REF!,MATCH(#REF!,#REF!,0)-1,1,COUNTIF(#REF!,#REF!),1)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4" l="1"/>
  <c r="B7" i="4" l="1"/>
  <c r="K5" i="2" l="1"/>
  <c r="L5" i="2" s="1"/>
  <c r="K6" i="2"/>
  <c r="L6" i="2" s="1"/>
  <c r="K7" i="2"/>
  <c r="L7" i="2" s="1"/>
  <c r="K8" i="2"/>
  <c r="L8" i="2" s="1"/>
  <c r="K9" i="2"/>
  <c r="L9" i="2" s="1"/>
  <c r="K10" i="2"/>
  <c r="L10" i="2" s="1"/>
  <c r="K11" i="2"/>
  <c r="L11" i="2" s="1"/>
  <c r="K12" i="2"/>
  <c r="L12" i="2" s="1"/>
  <c r="K13" i="2"/>
  <c r="L13" i="2" s="1"/>
  <c r="K14" i="2"/>
  <c r="L14" i="2" s="1"/>
  <c r="K15" i="2"/>
  <c r="L15" i="2" s="1"/>
  <c r="K16" i="2"/>
  <c r="L16" i="2" s="1"/>
  <c r="K17" i="2"/>
  <c r="L17" i="2" s="1"/>
  <c r="K18" i="2"/>
  <c r="L18" i="2" s="1"/>
  <c r="K19" i="2"/>
  <c r="L19" i="2" s="1"/>
  <c r="K20" i="2"/>
  <c r="L20" i="2" s="1"/>
  <c r="K21" i="2"/>
  <c r="L21" i="2" s="1"/>
  <c r="K22" i="2"/>
  <c r="L22" i="2" s="1"/>
  <c r="K23" i="2"/>
  <c r="L23" i="2" s="1"/>
  <c r="K24" i="2"/>
  <c r="L24" i="2" s="1"/>
  <c r="K25" i="2"/>
  <c r="L25" i="2" s="1"/>
  <c r="K26" i="2"/>
  <c r="L26" i="2" s="1"/>
  <c r="K27" i="2"/>
  <c r="L27" i="2" s="1"/>
  <c r="K28" i="2"/>
  <c r="L28" i="2" s="1"/>
  <c r="K29" i="2"/>
  <c r="L29" i="2" s="1"/>
  <c r="M29" i="2" s="1"/>
  <c r="K30" i="2"/>
  <c r="L30" i="2" s="1"/>
  <c r="K31" i="2"/>
  <c r="L31" i="2" s="1"/>
  <c r="K32" i="2"/>
  <c r="L32" i="2" s="1"/>
  <c r="M32" i="2" s="1"/>
  <c r="K33" i="2"/>
  <c r="L33" i="2" s="1"/>
  <c r="M33" i="2" s="1"/>
  <c r="K34" i="2"/>
  <c r="L34" i="2" s="1"/>
  <c r="K35" i="2"/>
  <c r="L35" i="2" s="1"/>
  <c r="K36" i="2"/>
  <c r="L36" i="2" s="1"/>
  <c r="K37" i="2"/>
  <c r="L37" i="2" s="1"/>
  <c r="K38" i="2"/>
  <c r="L38" i="2" s="1"/>
  <c r="K39" i="2"/>
  <c r="L39" i="2" s="1"/>
  <c r="K40" i="2"/>
  <c r="L40" i="2" s="1"/>
  <c r="K41" i="2"/>
  <c r="L41" i="2" s="1"/>
  <c r="K42" i="2"/>
  <c r="L42" i="2" s="1"/>
  <c r="K43" i="2"/>
  <c r="L43" i="2" s="1"/>
  <c r="K44" i="2"/>
  <c r="L44" i="2" s="1"/>
  <c r="K45" i="2"/>
  <c r="L45" i="2" s="1"/>
  <c r="K46" i="2"/>
  <c r="L46" i="2" s="1"/>
  <c r="K47" i="2"/>
  <c r="L47" i="2" s="1"/>
  <c r="M47" i="2" s="1"/>
  <c r="K48" i="2"/>
  <c r="L48" i="2" s="1"/>
  <c r="M48" i="2" s="1"/>
  <c r="K49" i="2"/>
  <c r="L49" i="2" s="1"/>
  <c r="K50" i="2"/>
  <c r="L50" i="2" s="1"/>
  <c r="M50" i="2" s="1"/>
  <c r="K51" i="2"/>
  <c r="L51" i="2" s="1"/>
  <c r="M51" i="2" s="1"/>
  <c r="K52" i="2"/>
  <c r="L52" i="2" s="1"/>
  <c r="K53" i="2"/>
  <c r="L53" i="2" s="1"/>
  <c r="M53" i="2" s="1"/>
  <c r="K54" i="2"/>
  <c r="L54" i="2" s="1"/>
  <c r="M54" i="2" s="1"/>
  <c r="K55" i="2"/>
  <c r="L55" i="2" s="1"/>
  <c r="K56" i="2"/>
  <c r="L56" i="2" s="1"/>
  <c r="M56" i="2" s="1"/>
  <c r="K57" i="2"/>
  <c r="L57" i="2" s="1"/>
  <c r="M57" i="2" s="1"/>
  <c r="K58" i="2"/>
  <c r="L58" i="2" s="1"/>
  <c r="K59" i="2"/>
  <c r="L59" i="2" s="1"/>
  <c r="K60" i="2"/>
  <c r="L60" i="2" s="1"/>
  <c r="K61" i="2"/>
  <c r="L61" i="2" s="1"/>
  <c r="K62" i="2"/>
  <c r="L62" i="2" s="1"/>
  <c r="K63" i="2"/>
  <c r="L63" i="2" s="1"/>
  <c r="K64" i="2"/>
  <c r="L64" i="2" s="1"/>
  <c r="K65" i="2"/>
  <c r="L65" i="2" s="1"/>
  <c r="K66" i="2"/>
  <c r="L66" i="2" s="1"/>
  <c r="K67" i="2"/>
  <c r="L67" i="2" s="1"/>
  <c r="K68" i="2"/>
  <c r="L68" i="2" s="1"/>
  <c r="K69" i="2"/>
  <c r="L69" i="2" s="1"/>
  <c r="M69" i="2" s="1"/>
  <c r="K70" i="2"/>
  <c r="L70" i="2" s="1"/>
  <c r="K71" i="2"/>
  <c r="L71" i="2" s="1"/>
  <c r="K72" i="2"/>
  <c r="L72" i="2" s="1"/>
  <c r="K73" i="2"/>
  <c r="L73" i="2" s="1"/>
  <c r="K74" i="2"/>
  <c r="L74" i="2" s="1"/>
  <c r="K75" i="2"/>
  <c r="L75" i="2" s="1"/>
  <c r="K76" i="2"/>
  <c r="L76" i="2" s="1"/>
  <c r="K77" i="2"/>
  <c r="L77" i="2" s="1"/>
  <c r="K78" i="2"/>
  <c r="L78" i="2" s="1"/>
  <c r="K79" i="2"/>
  <c r="L79" i="2" s="1"/>
  <c r="M79" i="2" s="1"/>
  <c r="K80" i="2"/>
  <c r="L80" i="2" s="1"/>
  <c r="K81" i="2"/>
  <c r="L81" i="2" s="1"/>
  <c r="K82" i="2"/>
  <c r="L82" i="2" s="1"/>
  <c r="K83" i="2"/>
  <c r="L83" i="2" s="1"/>
  <c r="K84" i="2"/>
  <c r="L84" i="2" s="1"/>
  <c r="K85" i="2"/>
  <c r="L85" i="2" s="1"/>
  <c r="K86" i="2"/>
  <c r="L86" i="2" s="1"/>
  <c r="K87" i="2"/>
  <c r="L87" i="2" s="1"/>
  <c r="K88" i="2"/>
  <c r="L88" i="2" s="1"/>
  <c r="K89" i="2"/>
  <c r="L89" i="2" s="1"/>
  <c r="K90" i="2"/>
  <c r="L90" i="2" s="1"/>
  <c r="K91" i="2"/>
  <c r="L91" i="2" s="1"/>
  <c r="K92" i="2"/>
  <c r="L92" i="2" s="1"/>
  <c r="K93" i="2"/>
  <c r="L93" i="2" s="1"/>
  <c r="K94" i="2"/>
  <c r="L94" i="2" s="1"/>
  <c r="K95" i="2"/>
  <c r="L95" i="2" s="1"/>
  <c r="K96" i="2"/>
  <c r="L96" i="2" s="1"/>
  <c r="K97" i="2"/>
  <c r="L97" i="2" s="1"/>
  <c r="K98" i="2"/>
  <c r="L98" i="2" s="1"/>
  <c r="K99" i="2"/>
  <c r="L99" i="2" s="1"/>
  <c r="K100" i="2"/>
  <c r="L100" i="2" s="1"/>
  <c r="K101" i="2"/>
  <c r="L101" i="2" s="1"/>
  <c r="K102" i="2"/>
  <c r="L102" i="2" s="1"/>
  <c r="K103" i="2"/>
  <c r="L103" i="2" s="1"/>
  <c r="K104" i="2"/>
  <c r="L104" i="2" s="1"/>
  <c r="K105" i="2"/>
  <c r="L105" i="2" s="1"/>
  <c r="K106" i="2"/>
  <c r="L106" i="2" s="1"/>
  <c r="K107" i="2"/>
  <c r="L107" i="2" s="1"/>
  <c r="K108" i="2"/>
  <c r="L108" i="2" s="1"/>
  <c r="K109" i="2"/>
  <c r="L109" i="2" s="1"/>
  <c r="K110" i="2"/>
  <c r="L110" i="2" s="1"/>
  <c r="K111" i="2"/>
  <c r="L111" i="2" s="1"/>
  <c r="K112" i="2"/>
  <c r="L112" i="2" s="1"/>
  <c r="M112" i="2" s="1"/>
  <c r="K113" i="2"/>
  <c r="L113" i="2" s="1"/>
  <c r="K114" i="2"/>
  <c r="L114" i="2" s="1"/>
  <c r="K115" i="2"/>
  <c r="L115" i="2" s="1"/>
  <c r="K116" i="2"/>
  <c r="L116" i="2" s="1"/>
  <c r="K117" i="2"/>
  <c r="L117" i="2" s="1"/>
  <c r="K118" i="2"/>
  <c r="L118" i="2" s="1"/>
  <c r="K119" i="2"/>
  <c r="L119" i="2" s="1"/>
  <c r="K120" i="2"/>
  <c r="L120" i="2" s="1"/>
  <c r="K121" i="2"/>
  <c r="L121" i="2" s="1"/>
  <c r="K122" i="2"/>
  <c r="L122" i="2" s="1"/>
  <c r="K123" i="2"/>
  <c r="L123" i="2" s="1"/>
  <c r="K124" i="2"/>
  <c r="L124" i="2" s="1"/>
  <c r="K125" i="2"/>
  <c r="L125" i="2" s="1"/>
  <c r="K126" i="2"/>
  <c r="L126" i="2" s="1"/>
  <c r="K127" i="2"/>
  <c r="L127" i="2" s="1"/>
  <c r="K128" i="2"/>
  <c r="L128" i="2" s="1"/>
  <c r="K129" i="2"/>
  <c r="L129" i="2" s="1"/>
  <c r="K130" i="2"/>
  <c r="L130" i="2" s="1"/>
  <c r="K131" i="2"/>
  <c r="L131" i="2" s="1"/>
  <c r="K132" i="2"/>
  <c r="L132" i="2" s="1"/>
  <c r="K133" i="2"/>
  <c r="L133" i="2" s="1"/>
  <c r="K134" i="2"/>
  <c r="L134" i="2" s="1"/>
  <c r="K135" i="2"/>
  <c r="L135" i="2" s="1"/>
  <c r="K136" i="2"/>
  <c r="L136" i="2" s="1"/>
  <c r="K137" i="2"/>
  <c r="L137" i="2" s="1"/>
  <c r="K138" i="2"/>
  <c r="L138" i="2" s="1"/>
  <c r="K139" i="2"/>
  <c r="L139" i="2" s="1"/>
  <c r="K140" i="2"/>
  <c r="L140" i="2" s="1"/>
  <c r="K141" i="2"/>
  <c r="L141" i="2" s="1"/>
  <c r="K142" i="2"/>
  <c r="L142" i="2" s="1"/>
  <c r="K143" i="2"/>
  <c r="L143" i="2" s="1"/>
  <c r="K144" i="2"/>
  <c r="L144" i="2" s="1"/>
  <c r="K145" i="2"/>
  <c r="L145" i="2" s="1"/>
  <c r="K146" i="2"/>
  <c r="L146" i="2" s="1"/>
  <c r="K147" i="2"/>
  <c r="L147" i="2" s="1"/>
  <c r="K148" i="2"/>
  <c r="L148" i="2" s="1"/>
  <c r="K149" i="2"/>
  <c r="L149" i="2" s="1"/>
  <c r="K150" i="2"/>
  <c r="L150" i="2" s="1"/>
  <c r="K151" i="2"/>
  <c r="L151" i="2" s="1"/>
  <c r="K152" i="2"/>
  <c r="L152" i="2" s="1"/>
  <c r="K153" i="2"/>
  <c r="L153" i="2" s="1"/>
  <c r="K154" i="2"/>
  <c r="L154" i="2" s="1"/>
  <c r="K155" i="2"/>
  <c r="L155" i="2" s="1"/>
  <c r="K156" i="2"/>
  <c r="L156" i="2" s="1"/>
  <c r="K157" i="2"/>
  <c r="L157" i="2" s="1"/>
  <c r="K158" i="2"/>
  <c r="L158" i="2" s="1"/>
  <c r="K159" i="2"/>
  <c r="L159" i="2" s="1"/>
  <c r="K160" i="2"/>
  <c r="L160" i="2" s="1"/>
  <c r="K161" i="2"/>
  <c r="L161" i="2" s="1"/>
  <c r="K162" i="2"/>
  <c r="L162" i="2" s="1"/>
  <c r="K163" i="2"/>
  <c r="L163" i="2" s="1"/>
  <c r="K164" i="2"/>
  <c r="L164" i="2" s="1"/>
  <c r="K165" i="2"/>
  <c r="L165" i="2" s="1"/>
  <c r="K166" i="2"/>
  <c r="L166" i="2" s="1"/>
  <c r="K167" i="2"/>
  <c r="L167" i="2" s="1"/>
  <c r="K168" i="2"/>
  <c r="L168" i="2" s="1"/>
  <c r="K169" i="2"/>
  <c r="L169" i="2" s="1"/>
  <c r="K170" i="2"/>
  <c r="L170" i="2" s="1"/>
  <c r="K171" i="2"/>
  <c r="L171" i="2" s="1"/>
  <c r="K172" i="2"/>
  <c r="L172" i="2" s="1"/>
  <c r="K173" i="2"/>
  <c r="L173" i="2" s="1"/>
  <c r="M173" i="2" s="1"/>
  <c r="K174" i="2"/>
  <c r="L174" i="2" s="1"/>
  <c r="M174" i="2" s="1"/>
  <c r="K175" i="2"/>
  <c r="L175" i="2" s="1"/>
  <c r="M175" i="2" s="1"/>
  <c r="K176" i="2"/>
  <c r="L176" i="2" s="1"/>
  <c r="K177" i="2"/>
  <c r="L177" i="2" s="1"/>
  <c r="K178" i="2"/>
  <c r="L178" i="2" s="1"/>
  <c r="K179" i="2"/>
  <c r="L179" i="2" s="1"/>
  <c r="K180" i="2"/>
  <c r="L180" i="2" s="1"/>
  <c r="K181" i="2"/>
  <c r="L181" i="2" s="1"/>
  <c r="K182" i="2"/>
  <c r="L182" i="2" s="1"/>
  <c r="K183" i="2"/>
  <c r="L183" i="2" s="1"/>
  <c r="K184" i="2"/>
  <c r="L184" i="2" s="1"/>
  <c r="K185" i="2"/>
  <c r="L185" i="2" s="1"/>
  <c r="K186" i="2"/>
  <c r="L186" i="2" s="1"/>
  <c r="K187" i="2"/>
  <c r="L187" i="2" s="1"/>
  <c r="K188" i="2"/>
  <c r="L188" i="2" s="1"/>
  <c r="K189" i="2"/>
  <c r="L189" i="2" s="1"/>
  <c r="K190" i="2"/>
  <c r="L190" i="2" s="1"/>
  <c r="K191" i="2"/>
  <c r="L191" i="2" s="1"/>
  <c r="K192" i="2"/>
  <c r="L192" i="2" s="1"/>
  <c r="K193" i="2"/>
  <c r="L193" i="2" s="1"/>
  <c r="K194" i="2"/>
  <c r="L194" i="2" s="1"/>
  <c r="K195" i="2"/>
  <c r="L195" i="2" s="1"/>
  <c r="K196" i="2"/>
  <c r="L196" i="2" s="1"/>
  <c r="K197" i="2"/>
  <c r="L197" i="2" s="1"/>
  <c r="M197" i="2" s="1"/>
  <c r="K198" i="2"/>
  <c r="L198" i="2" s="1"/>
  <c r="K199" i="2"/>
  <c r="L199" i="2" s="1"/>
  <c r="K200" i="2"/>
  <c r="L200" i="2" s="1"/>
  <c r="K201" i="2"/>
  <c r="L201" i="2" s="1"/>
  <c r="K202" i="2"/>
  <c r="L202" i="2" s="1"/>
  <c r="K203" i="2"/>
  <c r="L203" i="2" s="1"/>
  <c r="K204" i="2"/>
  <c r="L204" i="2" s="1"/>
  <c r="K205" i="2"/>
  <c r="L205" i="2" s="1"/>
  <c r="K206" i="2"/>
  <c r="L206" i="2" s="1"/>
  <c r="K207" i="2"/>
  <c r="L207" i="2" s="1"/>
  <c r="K208" i="2"/>
  <c r="L208" i="2" s="1"/>
  <c r="K209" i="2"/>
  <c r="L209" i="2" s="1"/>
  <c r="K210" i="2"/>
  <c r="L210" i="2" s="1"/>
  <c r="K211" i="2"/>
  <c r="L211" i="2" s="1"/>
  <c r="K212" i="2"/>
  <c r="L212" i="2" s="1"/>
  <c r="K213" i="2"/>
  <c r="L213" i="2" s="1"/>
  <c r="K214" i="2"/>
  <c r="L214" i="2" s="1"/>
  <c r="K215" i="2"/>
  <c r="L215" i="2" s="1"/>
  <c r="K216" i="2"/>
  <c r="L216" i="2" s="1"/>
  <c r="K217" i="2"/>
  <c r="L217" i="2" s="1"/>
  <c r="K218" i="2"/>
  <c r="L218" i="2" s="1"/>
  <c r="K219" i="2"/>
  <c r="L219" i="2" s="1"/>
  <c r="K220" i="2"/>
  <c r="L220" i="2" s="1"/>
  <c r="K221" i="2"/>
  <c r="L221" i="2" s="1"/>
  <c r="K222" i="2"/>
  <c r="L222" i="2" s="1"/>
  <c r="K223" i="2"/>
  <c r="L223" i="2" s="1"/>
  <c r="K224" i="2"/>
  <c r="L224" i="2" s="1"/>
  <c r="K225" i="2"/>
  <c r="L225" i="2" s="1"/>
  <c r="K226" i="2"/>
  <c r="L226" i="2" s="1"/>
  <c r="K227" i="2"/>
  <c r="L227" i="2" s="1"/>
  <c r="K228" i="2"/>
  <c r="L228" i="2" s="1"/>
  <c r="K229" i="2"/>
  <c r="L229" i="2" s="1"/>
  <c r="K230" i="2"/>
  <c r="L230" i="2" s="1"/>
  <c r="K231" i="2"/>
  <c r="L231" i="2" s="1"/>
  <c r="K232" i="2"/>
  <c r="L232" i="2" s="1"/>
  <c r="K233" i="2"/>
  <c r="L233" i="2" s="1"/>
  <c r="K234" i="2"/>
  <c r="L234" i="2" s="1"/>
  <c r="K235" i="2"/>
  <c r="L235" i="2" s="1"/>
  <c r="K236" i="2"/>
  <c r="L236" i="2" s="1"/>
  <c r="K237" i="2"/>
  <c r="L237" i="2" s="1"/>
  <c r="K238" i="2"/>
  <c r="L238" i="2" s="1"/>
  <c r="K239" i="2"/>
  <c r="L239" i="2" s="1"/>
  <c r="K240" i="2"/>
  <c r="L240" i="2" s="1"/>
  <c r="K241" i="2"/>
  <c r="L241" i="2" s="1"/>
  <c r="K242" i="2"/>
  <c r="L242" i="2" s="1"/>
  <c r="K243" i="2"/>
  <c r="L243" i="2" s="1"/>
  <c r="K244" i="2"/>
  <c r="L244" i="2" s="1"/>
  <c r="K245" i="2"/>
  <c r="L245" i="2" s="1"/>
  <c r="K246" i="2"/>
  <c r="L246" i="2" s="1"/>
  <c r="K247" i="2"/>
  <c r="L247" i="2" s="1"/>
  <c r="K248" i="2"/>
  <c r="L248" i="2" s="1"/>
  <c r="K249" i="2"/>
  <c r="L249" i="2" s="1"/>
  <c r="K250" i="2"/>
  <c r="L250" i="2" s="1"/>
  <c r="K251" i="2"/>
  <c r="L251" i="2" s="1"/>
  <c r="K252" i="2"/>
  <c r="L252" i="2" s="1"/>
  <c r="K253" i="2"/>
  <c r="L253" i="2" s="1"/>
  <c r="K254" i="2"/>
  <c r="L254" i="2" s="1"/>
  <c r="K255" i="2"/>
  <c r="L255" i="2" s="1"/>
  <c r="K256" i="2"/>
  <c r="L256" i="2" s="1"/>
  <c r="K257" i="2"/>
  <c r="L257" i="2" s="1"/>
  <c r="K258" i="2"/>
  <c r="L258" i="2" s="1"/>
  <c r="K259" i="2"/>
  <c r="L259" i="2" s="1"/>
  <c r="K260" i="2"/>
  <c r="L260" i="2" s="1"/>
  <c r="M260" i="2" s="1"/>
  <c r="K261" i="2"/>
  <c r="L261" i="2" s="1"/>
  <c r="M261" i="2" s="1"/>
  <c r="K262" i="2"/>
  <c r="L262" i="2" s="1"/>
  <c r="K263" i="2"/>
  <c r="L263" i="2" s="1"/>
  <c r="K264" i="2"/>
  <c r="L264" i="2" s="1"/>
  <c r="K265" i="2"/>
  <c r="L265" i="2" s="1"/>
  <c r="K266" i="2"/>
  <c r="L266" i="2" s="1"/>
  <c r="K267" i="2"/>
  <c r="L267" i="2" s="1"/>
  <c r="K268" i="2"/>
  <c r="L268" i="2" s="1"/>
  <c r="K269" i="2"/>
  <c r="L269" i="2" s="1"/>
  <c r="K270" i="2"/>
  <c r="L270" i="2" s="1"/>
  <c r="K271" i="2"/>
  <c r="L271" i="2" s="1"/>
  <c r="K272" i="2"/>
  <c r="L272" i="2" s="1"/>
  <c r="K273" i="2"/>
  <c r="L273" i="2" s="1"/>
  <c r="K274" i="2"/>
  <c r="L274" i="2" s="1"/>
  <c r="K275" i="2"/>
  <c r="L275" i="2" s="1"/>
  <c r="K276" i="2"/>
  <c r="L276" i="2" s="1"/>
  <c r="K277" i="2"/>
  <c r="L277" i="2" s="1"/>
  <c r="K278" i="2"/>
  <c r="L278" i="2" s="1"/>
  <c r="K279" i="2"/>
  <c r="L279" i="2" s="1"/>
  <c r="K280" i="2"/>
  <c r="L280" i="2" s="1"/>
  <c r="M280" i="2" s="1"/>
  <c r="K281" i="2"/>
  <c r="L281" i="2" s="1"/>
  <c r="M281" i="2" s="1"/>
  <c r="K282" i="2"/>
  <c r="L282" i="2" s="1"/>
  <c r="K283" i="2"/>
  <c r="L283" i="2" s="1"/>
  <c r="K284" i="2"/>
  <c r="L284" i="2" s="1"/>
  <c r="K285" i="2"/>
  <c r="L285" i="2" s="1"/>
  <c r="K286" i="2"/>
  <c r="L286" i="2" s="1"/>
  <c r="K287" i="2"/>
  <c r="L287" i="2" s="1"/>
  <c r="K288" i="2"/>
  <c r="L288" i="2" s="1"/>
  <c r="K289" i="2"/>
  <c r="L289" i="2" s="1"/>
  <c r="K290" i="2"/>
  <c r="L290" i="2" s="1"/>
  <c r="K291" i="2"/>
  <c r="L291" i="2" s="1"/>
  <c r="K292" i="2"/>
  <c r="L292" i="2" s="1"/>
  <c r="K293" i="2"/>
  <c r="L293" i="2" s="1"/>
  <c r="K294" i="2"/>
  <c r="L294" i="2" s="1"/>
  <c r="K295" i="2"/>
  <c r="L295" i="2" s="1"/>
  <c r="K296" i="2"/>
  <c r="L296" i="2" s="1"/>
  <c r="K297" i="2"/>
  <c r="L297" i="2" s="1"/>
  <c r="M297" i="2" s="1"/>
  <c r="K298" i="2"/>
  <c r="L298" i="2" s="1"/>
  <c r="M298" i="2" s="1"/>
  <c r="K299" i="2"/>
  <c r="L299" i="2" s="1"/>
  <c r="K300" i="2"/>
  <c r="L300" i="2" s="1"/>
  <c r="K301" i="2"/>
  <c r="L301" i="2" s="1"/>
  <c r="K302" i="2"/>
  <c r="L302" i="2" s="1"/>
  <c r="K303" i="2"/>
  <c r="L303" i="2" s="1"/>
  <c r="K304" i="2"/>
  <c r="L304" i="2" s="1"/>
  <c r="K305" i="2"/>
  <c r="L305" i="2" s="1"/>
  <c r="K306" i="2"/>
  <c r="L306" i="2" s="1"/>
  <c r="K307" i="2"/>
  <c r="L307" i="2" s="1"/>
  <c r="K308" i="2"/>
  <c r="L308" i="2" s="1"/>
  <c r="K309" i="2"/>
  <c r="L309" i="2" s="1"/>
  <c r="K310" i="2"/>
  <c r="L310" i="2" s="1"/>
  <c r="K311" i="2"/>
  <c r="L311" i="2" s="1"/>
  <c r="K312" i="2"/>
  <c r="L312" i="2" s="1"/>
  <c r="K313" i="2"/>
  <c r="L313" i="2" s="1"/>
  <c r="K314" i="2"/>
  <c r="L314" i="2" s="1"/>
  <c r="K315" i="2"/>
  <c r="L315" i="2" s="1"/>
  <c r="K316" i="2"/>
  <c r="L316" i="2" s="1"/>
  <c r="K317" i="2"/>
  <c r="L317" i="2" s="1"/>
  <c r="K318" i="2"/>
  <c r="L318" i="2" s="1"/>
  <c r="K319" i="2"/>
  <c r="L319" i="2" s="1"/>
  <c r="K320" i="2"/>
  <c r="L320" i="2" s="1"/>
  <c r="K321" i="2"/>
  <c r="L321" i="2" s="1"/>
  <c r="K322" i="2"/>
  <c r="L322" i="2" s="1"/>
  <c r="K323" i="2"/>
  <c r="L323" i="2" s="1"/>
  <c r="K324" i="2"/>
  <c r="L324" i="2" s="1"/>
  <c r="K325" i="2"/>
  <c r="L325" i="2" s="1"/>
  <c r="K326" i="2"/>
  <c r="L326" i="2" s="1"/>
  <c r="K327" i="2"/>
  <c r="L327" i="2" s="1"/>
  <c r="K328" i="2"/>
  <c r="L328" i="2" s="1"/>
  <c r="K329" i="2"/>
  <c r="L329" i="2" s="1"/>
  <c r="K330" i="2"/>
  <c r="L330" i="2" s="1"/>
  <c r="K331" i="2"/>
  <c r="L331" i="2" s="1"/>
  <c r="K332" i="2"/>
  <c r="L332" i="2" s="1"/>
  <c r="K333" i="2"/>
  <c r="L333" i="2" s="1"/>
  <c r="K334" i="2"/>
  <c r="L334" i="2" s="1"/>
  <c r="K335" i="2"/>
  <c r="L335" i="2" s="1"/>
  <c r="K336" i="2"/>
  <c r="L336" i="2" s="1"/>
  <c r="K337" i="2"/>
  <c r="L337" i="2" s="1"/>
  <c r="K338" i="2"/>
  <c r="L338" i="2" s="1"/>
  <c r="K339" i="2"/>
  <c r="L339" i="2" s="1"/>
  <c r="K340" i="2"/>
  <c r="L340" i="2" s="1"/>
  <c r="K341" i="2"/>
  <c r="L341" i="2" s="1"/>
  <c r="K342" i="2"/>
  <c r="L342" i="2" s="1"/>
  <c r="K343" i="2"/>
  <c r="L343" i="2" s="1"/>
  <c r="K344" i="2"/>
  <c r="L344" i="2" s="1"/>
  <c r="K345" i="2"/>
  <c r="L345" i="2" s="1"/>
  <c r="K346" i="2"/>
  <c r="L346" i="2" s="1"/>
  <c r="K347" i="2"/>
  <c r="L347" i="2" s="1"/>
  <c r="K348" i="2"/>
  <c r="L348" i="2" s="1"/>
  <c r="K349" i="2"/>
  <c r="L349" i="2" s="1"/>
  <c r="K350" i="2"/>
  <c r="L350" i="2" s="1"/>
  <c r="K351" i="2"/>
  <c r="L351" i="2" s="1"/>
  <c r="K352" i="2"/>
  <c r="L352" i="2" s="1"/>
  <c r="K353" i="2"/>
  <c r="L353" i="2" s="1"/>
  <c r="K354" i="2"/>
  <c r="L354" i="2" s="1"/>
  <c r="K355" i="2"/>
  <c r="L355" i="2" s="1"/>
  <c r="K356" i="2"/>
  <c r="L356" i="2" s="1"/>
  <c r="K357" i="2"/>
  <c r="L357" i="2" s="1"/>
  <c r="K358" i="2"/>
  <c r="L358" i="2" s="1"/>
  <c r="K359" i="2"/>
  <c r="L359" i="2" s="1"/>
  <c r="K360" i="2"/>
  <c r="L360" i="2" s="1"/>
  <c r="K361" i="2"/>
  <c r="L361" i="2" s="1"/>
  <c r="K362" i="2"/>
  <c r="L362" i="2" s="1"/>
  <c r="K363" i="2"/>
  <c r="L363" i="2" s="1"/>
  <c r="K364" i="2"/>
  <c r="L364" i="2" s="1"/>
  <c r="K365" i="2"/>
  <c r="L365" i="2" s="1"/>
  <c r="K366" i="2"/>
  <c r="L366" i="2" s="1"/>
  <c r="K367" i="2"/>
  <c r="L367" i="2" s="1"/>
  <c r="K368" i="2"/>
  <c r="L368" i="2" s="1"/>
  <c r="K369" i="2"/>
  <c r="L369" i="2" s="1"/>
  <c r="K370" i="2"/>
  <c r="L370" i="2" s="1"/>
  <c r="K371" i="2"/>
  <c r="L371" i="2" s="1"/>
  <c r="K372" i="2"/>
  <c r="L372" i="2" s="1"/>
  <c r="K373" i="2"/>
  <c r="L373" i="2" s="1"/>
  <c r="K374" i="2"/>
  <c r="L374" i="2" s="1"/>
  <c r="K375" i="2"/>
  <c r="L375" i="2" s="1"/>
  <c r="K376" i="2"/>
  <c r="L376" i="2" s="1"/>
  <c r="K377" i="2"/>
  <c r="L377" i="2" s="1"/>
  <c r="K378" i="2"/>
  <c r="L378" i="2" s="1"/>
  <c r="K379" i="2"/>
  <c r="L379" i="2" s="1"/>
  <c r="K380" i="2"/>
  <c r="L380" i="2" s="1"/>
  <c r="K381" i="2"/>
  <c r="L381" i="2" s="1"/>
  <c r="K382" i="2"/>
  <c r="L382" i="2" s="1"/>
  <c r="K383" i="2"/>
  <c r="L383" i="2" s="1"/>
  <c r="K384" i="2"/>
  <c r="L384" i="2" s="1"/>
  <c r="K385" i="2"/>
  <c r="L385" i="2" s="1"/>
  <c r="K386" i="2"/>
  <c r="L386" i="2" s="1"/>
  <c r="K387" i="2"/>
  <c r="L387" i="2" s="1"/>
  <c r="K388" i="2"/>
  <c r="L388" i="2" s="1"/>
  <c r="K389" i="2"/>
  <c r="L389" i="2" s="1"/>
  <c r="K390" i="2"/>
  <c r="L390" i="2" s="1"/>
  <c r="K391" i="2"/>
  <c r="L391" i="2" s="1"/>
  <c r="K392" i="2"/>
  <c r="L392" i="2" s="1"/>
  <c r="K393" i="2"/>
  <c r="L393" i="2" s="1"/>
  <c r="K394" i="2"/>
  <c r="L394" i="2" s="1"/>
  <c r="K395" i="2"/>
  <c r="L395" i="2" s="1"/>
  <c r="K396" i="2"/>
  <c r="L396" i="2" s="1"/>
  <c r="K397" i="2"/>
  <c r="L397" i="2" s="1"/>
  <c r="K398" i="2"/>
  <c r="L398" i="2" s="1"/>
  <c r="K399" i="2"/>
  <c r="L399" i="2" s="1"/>
  <c r="K400" i="2"/>
  <c r="L400" i="2" s="1"/>
  <c r="K401" i="2"/>
  <c r="L401" i="2" s="1"/>
  <c r="K402" i="2"/>
  <c r="L402" i="2" s="1"/>
  <c r="K403" i="2"/>
  <c r="L403" i="2" s="1"/>
  <c r="K404" i="2"/>
  <c r="L404" i="2" s="1"/>
  <c r="K405" i="2"/>
  <c r="L405" i="2" s="1"/>
  <c r="K406" i="2"/>
  <c r="L406" i="2" s="1"/>
  <c r="K407" i="2"/>
  <c r="L407" i="2" s="1"/>
  <c r="K408" i="2"/>
  <c r="L408" i="2" s="1"/>
  <c r="K409" i="2"/>
  <c r="L409" i="2" s="1"/>
  <c r="K410" i="2"/>
  <c r="L410" i="2" s="1"/>
  <c r="K411" i="2"/>
  <c r="L411" i="2" s="1"/>
  <c r="K412" i="2"/>
  <c r="L412" i="2" s="1"/>
  <c r="K413" i="2"/>
  <c r="L413" i="2" s="1"/>
  <c r="K414" i="2"/>
  <c r="L414" i="2" s="1"/>
  <c r="K415" i="2"/>
  <c r="L415" i="2" s="1"/>
  <c r="K416" i="2"/>
  <c r="L416" i="2" s="1"/>
  <c r="K417" i="2"/>
  <c r="L417" i="2" s="1"/>
  <c r="K418" i="2"/>
  <c r="L418" i="2" s="1"/>
  <c r="K419" i="2"/>
  <c r="L419" i="2" s="1"/>
  <c r="K420" i="2"/>
  <c r="L420" i="2" s="1"/>
  <c r="K421" i="2"/>
  <c r="L421" i="2" s="1"/>
  <c r="K422" i="2"/>
  <c r="L422" i="2" s="1"/>
  <c r="K423" i="2"/>
  <c r="L423" i="2" s="1"/>
  <c r="K424" i="2"/>
  <c r="L424" i="2" s="1"/>
  <c r="K425" i="2"/>
  <c r="L425" i="2" s="1"/>
  <c r="K426" i="2"/>
  <c r="L426" i="2" s="1"/>
  <c r="K427" i="2"/>
  <c r="L427" i="2" s="1"/>
  <c r="K428" i="2"/>
  <c r="L428" i="2" s="1"/>
  <c r="K429" i="2"/>
  <c r="L429" i="2" s="1"/>
  <c r="K430" i="2"/>
  <c r="L430" i="2" s="1"/>
  <c r="K431" i="2"/>
  <c r="L431" i="2" s="1"/>
  <c r="K432" i="2"/>
  <c r="L432" i="2" s="1"/>
  <c r="K433" i="2"/>
  <c r="L433" i="2" s="1"/>
  <c r="K434" i="2"/>
  <c r="L434" i="2" s="1"/>
  <c r="K435" i="2"/>
  <c r="L435" i="2" s="1"/>
  <c r="K436" i="2"/>
  <c r="L436" i="2" s="1"/>
  <c r="K437" i="2"/>
  <c r="L437" i="2" s="1"/>
  <c r="K438" i="2"/>
  <c r="L438" i="2" s="1"/>
  <c r="K439" i="2"/>
  <c r="L439" i="2" s="1"/>
  <c r="K440" i="2"/>
  <c r="L440" i="2" s="1"/>
  <c r="K441" i="2"/>
  <c r="L441" i="2" s="1"/>
  <c r="K442" i="2"/>
  <c r="L442" i="2" s="1"/>
  <c r="K443" i="2"/>
  <c r="L443" i="2" s="1"/>
  <c r="K444" i="2"/>
  <c r="L444" i="2" s="1"/>
  <c r="K445" i="2"/>
  <c r="L445" i="2" s="1"/>
  <c r="K446" i="2"/>
  <c r="L446" i="2" s="1"/>
  <c r="K447" i="2"/>
  <c r="L447" i="2" s="1"/>
  <c r="K448" i="2"/>
  <c r="L448" i="2" s="1"/>
  <c r="K449" i="2"/>
  <c r="L449" i="2" s="1"/>
  <c r="K450" i="2"/>
  <c r="L450" i="2" s="1"/>
  <c r="K451" i="2"/>
  <c r="L451" i="2" s="1"/>
  <c r="K452" i="2"/>
  <c r="L452" i="2" s="1"/>
  <c r="K453" i="2"/>
  <c r="L453" i="2" s="1"/>
  <c r="K454" i="2"/>
  <c r="L454" i="2" s="1"/>
  <c r="K455" i="2"/>
  <c r="L455" i="2" s="1"/>
  <c r="K456" i="2"/>
  <c r="L456" i="2" s="1"/>
  <c r="K457" i="2"/>
  <c r="L457" i="2" s="1"/>
  <c r="K458" i="2"/>
  <c r="L458" i="2" s="1"/>
  <c r="K459" i="2"/>
  <c r="L459" i="2" s="1"/>
  <c r="K460" i="2"/>
  <c r="L460" i="2" s="1"/>
  <c r="K461" i="2"/>
  <c r="L461" i="2" s="1"/>
  <c r="K462" i="2"/>
  <c r="L462" i="2" s="1"/>
  <c r="K463" i="2"/>
  <c r="L463" i="2" s="1"/>
  <c r="K464" i="2"/>
  <c r="L464" i="2" s="1"/>
  <c r="K465" i="2"/>
  <c r="L465" i="2" s="1"/>
  <c r="K466" i="2"/>
  <c r="L466" i="2" s="1"/>
  <c r="K467" i="2"/>
  <c r="L467" i="2" s="1"/>
  <c r="K468" i="2"/>
  <c r="L468" i="2" s="1"/>
  <c r="K469" i="2"/>
  <c r="L469" i="2" s="1"/>
  <c r="K470" i="2"/>
  <c r="L470" i="2" s="1"/>
  <c r="K471" i="2"/>
  <c r="L471" i="2" s="1"/>
  <c r="K472" i="2"/>
  <c r="L472" i="2" s="1"/>
  <c r="M472" i="2" s="1"/>
  <c r="K473" i="2"/>
  <c r="L473" i="2" s="1"/>
  <c r="M473" i="2" s="1"/>
  <c r="K474" i="2"/>
  <c r="L474" i="2" s="1"/>
  <c r="K475" i="2"/>
  <c r="L475" i="2" s="1"/>
  <c r="M475" i="2" s="1"/>
  <c r="K476" i="2"/>
  <c r="L476" i="2" s="1"/>
  <c r="M476" i="2" s="1"/>
  <c r="K477" i="2"/>
  <c r="L477" i="2" s="1"/>
  <c r="K478" i="2"/>
  <c r="L478" i="2" s="1"/>
  <c r="K479" i="2"/>
  <c r="L479" i="2" s="1"/>
  <c r="K480" i="2"/>
  <c r="L480" i="2" s="1"/>
  <c r="K481" i="2"/>
  <c r="L481" i="2" s="1"/>
  <c r="K482" i="2"/>
  <c r="L482" i="2" s="1"/>
  <c r="K483" i="2"/>
  <c r="L483" i="2" s="1"/>
  <c r="K484" i="2"/>
  <c r="L484" i="2" s="1"/>
  <c r="K485" i="2"/>
  <c r="L485" i="2" s="1"/>
  <c r="K486" i="2"/>
  <c r="L486" i="2" s="1"/>
  <c r="K487" i="2"/>
  <c r="L487" i="2" s="1"/>
  <c r="K488" i="2"/>
  <c r="L488" i="2" s="1"/>
  <c r="K489" i="2"/>
  <c r="L489" i="2" s="1"/>
  <c r="K490" i="2"/>
  <c r="L490" i="2" s="1"/>
  <c r="K491" i="2"/>
  <c r="L491" i="2" s="1"/>
  <c r="K492" i="2"/>
  <c r="L492" i="2" s="1"/>
  <c r="K493" i="2"/>
  <c r="L493" i="2" s="1"/>
  <c r="K494" i="2"/>
  <c r="L494" i="2" s="1"/>
  <c r="K495" i="2"/>
  <c r="L495" i="2" s="1"/>
  <c r="K496" i="2"/>
  <c r="L496" i="2" s="1"/>
  <c r="K497" i="2"/>
  <c r="L497" i="2" s="1"/>
  <c r="K498" i="2"/>
  <c r="L498" i="2" s="1"/>
  <c r="K499" i="2"/>
  <c r="L499" i="2" s="1"/>
  <c r="K500" i="2"/>
  <c r="L500" i="2" s="1"/>
  <c r="K501" i="2"/>
  <c r="L501" i="2" s="1"/>
  <c r="K502" i="2"/>
  <c r="L502" i="2" s="1"/>
  <c r="K503" i="2"/>
  <c r="L503" i="2" s="1"/>
  <c r="K504" i="2"/>
  <c r="L504" i="2" s="1"/>
  <c r="K505" i="2"/>
  <c r="L505" i="2" s="1"/>
  <c r="K506" i="2"/>
  <c r="L506" i="2" s="1"/>
  <c r="K507" i="2"/>
  <c r="L507" i="2" s="1"/>
  <c r="K508" i="2"/>
  <c r="L508" i="2" s="1"/>
  <c r="K509" i="2"/>
  <c r="L509" i="2" s="1"/>
  <c r="K510" i="2"/>
  <c r="L510" i="2" s="1"/>
  <c r="K511" i="2"/>
  <c r="L511" i="2" s="1"/>
  <c r="K512" i="2"/>
  <c r="L512" i="2" s="1"/>
  <c r="K513" i="2"/>
  <c r="L513" i="2" s="1"/>
  <c r="K514" i="2"/>
  <c r="L514" i="2" s="1"/>
  <c r="K515" i="2"/>
  <c r="L515" i="2" s="1"/>
  <c r="K516" i="2"/>
  <c r="L516" i="2" s="1"/>
  <c r="K517" i="2"/>
  <c r="L517" i="2" s="1"/>
  <c r="K518" i="2"/>
  <c r="L518" i="2" s="1"/>
  <c r="K519" i="2"/>
  <c r="L519" i="2" s="1"/>
  <c r="K520" i="2"/>
  <c r="L520" i="2" s="1"/>
  <c r="K521" i="2"/>
  <c r="L521" i="2" s="1"/>
  <c r="K522" i="2"/>
  <c r="L522" i="2" s="1"/>
  <c r="K523" i="2"/>
  <c r="L523" i="2" s="1"/>
  <c r="K524" i="2"/>
  <c r="L524" i="2" s="1"/>
  <c r="K525" i="2"/>
  <c r="L525" i="2" s="1"/>
  <c r="K526" i="2"/>
  <c r="L526" i="2" s="1"/>
  <c r="K527" i="2"/>
  <c r="L527" i="2" s="1"/>
  <c r="M527" i="2" s="1"/>
  <c r="K528" i="2"/>
  <c r="L528" i="2" s="1"/>
  <c r="K529" i="2"/>
  <c r="L529" i="2" s="1"/>
  <c r="K530" i="2"/>
  <c r="L530" i="2" s="1"/>
  <c r="K531" i="2"/>
  <c r="L531" i="2" s="1"/>
  <c r="K532" i="2"/>
  <c r="L532" i="2" s="1"/>
  <c r="K533" i="2"/>
  <c r="L533" i="2" s="1"/>
  <c r="K534" i="2"/>
  <c r="L534" i="2" s="1"/>
  <c r="K535" i="2"/>
  <c r="L535" i="2" s="1"/>
  <c r="K536" i="2"/>
  <c r="L536" i="2" s="1"/>
  <c r="K537" i="2"/>
  <c r="L537" i="2" s="1"/>
  <c r="K538" i="2"/>
  <c r="L538" i="2" s="1"/>
  <c r="K539" i="2"/>
  <c r="L539" i="2" s="1"/>
  <c r="K540" i="2"/>
  <c r="L540" i="2" s="1"/>
  <c r="K541" i="2"/>
  <c r="L541" i="2" s="1"/>
  <c r="K542" i="2"/>
  <c r="L542" i="2" s="1"/>
  <c r="K543" i="2"/>
  <c r="L543" i="2" s="1"/>
  <c r="K544" i="2"/>
  <c r="L544" i="2" s="1"/>
  <c r="K545" i="2"/>
  <c r="L545" i="2" s="1"/>
  <c r="K546" i="2"/>
  <c r="L546" i="2" s="1"/>
  <c r="K547" i="2"/>
  <c r="L547" i="2" s="1"/>
  <c r="K548" i="2"/>
  <c r="L548" i="2" s="1"/>
  <c r="K549" i="2"/>
  <c r="L549" i="2" s="1"/>
  <c r="K550" i="2"/>
  <c r="L550" i="2" s="1"/>
  <c r="K551" i="2"/>
  <c r="L551" i="2" s="1"/>
  <c r="K552" i="2"/>
  <c r="L552" i="2" s="1"/>
  <c r="K553" i="2"/>
  <c r="L553" i="2" s="1"/>
  <c r="K554" i="2"/>
  <c r="L554" i="2" s="1"/>
  <c r="K555" i="2"/>
  <c r="L555" i="2" s="1"/>
  <c r="K556" i="2"/>
  <c r="L556" i="2" s="1"/>
  <c r="K557" i="2"/>
  <c r="L557" i="2" s="1"/>
  <c r="K558" i="2"/>
  <c r="L558" i="2" s="1"/>
  <c r="K559" i="2"/>
  <c r="L559" i="2" s="1"/>
  <c r="K560" i="2"/>
  <c r="L560" i="2" s="1"/>
  <c r="K561" i="2"/>
  <c r="L561" i="2" s="1"/>
  <c r="K562" i="2"/>
  <c r="L562" i="2" s="1"/>
  <c r="K563" i="2"/>
  <c r="L563" i="2" s="1"/>
  <c r="K564" i="2"/>
  <c r="L564" i="2" s="1"/>
  <c r="K565" i="2"/>
  <c r="L565" i="2" s="1"/>
  <c r="K566" i="2"/>
  <c r="L566" i="2" s="1"/>
  <c r="K567" i="2"/>
  <c r="L567" i="2" s="1"/>
  <c r="K568" i="2"/>
  <c r="L568" i="2" s="1"/>
  <c r="K569" i="2"/>
  <c r="L569" i="2" s="1"/>
  <c r="K570" i="2"/>
  <c r="L570" i="2" s="1"/>
  <c r="K571" i="2"/>
  <c r="L571" i="2" s="1"/>
  <c r="K572" i="2"/>
  <c r="L572" i="2" s="1"/>
  <c r="K573" i="2"/>
  <c r="L573" i="2" s="1"/>
  <c r="K574" i="2"/>
  <c r="L574" i="2" s="1"/>
  <c r="K575" i="2"/>
  <c r="L575" i="2" s="1"/>
  <c r="K576" i="2"/>
  <c r="L576" i="2" s="1"/>
  <c r="K577" i="2"/>
  <c r="L577" i="2" s="1"/>
  <c r="K578" i="2"/>
  <c r="L578" i="2" s="1"/>
  <c r="K579" i="2"/>
  <c r="L579" i="2" s="1"/>
  <c r="K580" i="2"/>
  <c r="L580" i="2" s="1"/>
  <c r="K581" i="2"/>
  <c r="L581" i="2" s="1"/>
  <c r="K582" i="2"/>
  <c r="L582" i="2" s="1"/>
  <c r="K583" i="2"/>
  <c r="L583" i="2" s="1"/>
  <c r="K584" i="2"/>
  <c r="L584" i="2" s="1"/>
  <c r="K585" i="2"/>
  <c r="L585" i="2" s="1"/>
  <c r="K586" i="2"/>
  <c r="L586" i="2" s="1"/>
  <c r="K587" i="2"/>
  <c r="L587" i="2" s="1"/>
  <c r="K588" i="2"/>
  <c r="L588" i="2" s="1"/>
  <c r="K589" i="2"/>
  <c r="L589" i="2" s="1"/>
  <c r="K590" i="2"/>
  <c r="L590" i="2" s="1"/>
  <c r="K591" i="2"/>
  <c r="L591" i="2" s="1"/>
  <c r="K592" i="2"/>
  <c r="L592" i="2" s="1"/>
  <c r="K593" i="2"/>
  <c r="L593" i="2" s="1"/>
  <c r="K594" i="2"/>
  <c r="L594" i="2" s="1"/>
  <c r="K595" i="2"/>
  <c r="L595" i="2" s="1"/>
  <c r="K596" i="2"/>
  <c r="L596" i="2" s="1"/>
  <c r="K597" i="2"/>
  <c r="L597" i="2" s="1"/>
  <c r="K598" i="2"/>
  <c r="L598" i="2" s="1"/>
  <c r="M598" i="2" s="1"/>
  <c r="K599" i="2"/>
  <c r="L599" i="2" s="1"/>
  <c r="M599" i="2" s="1"/>
  <c r="K600" i="2"/>
  <c r="L600" i="2" s="1"/>
  <c r="K601" i="2"/>
  <c r="L601" i="2" s="1"/>
  <c r="M601" i="2" s="1"/>
  <c r="K602" i="2"/>
  <c r="L602" i="2" s="1"/>
  <c r="M602" i="2" s="1"/>
  <c r="K603" i="2"/>
  <c r="L603" i="2" s="1"/>
  <c r="K604" i="2"/>
  <c r="L604" i="2" s="1"/>
  <c r="M604" i="2" s="1"/>
  <c r="K605" i="2"/>
  <c r="L605" i="2" s="1"/>
  <c r="M605" i="2" s="1"/>
  <c r="K606" i="2"/>
  <c r="L606" i="2" s="1"/>
  <c r="K607" i="2"/>
  <c r="L607" i="2" s="1"/>
  <c r="M607" i="2" s="1"/>
  <c r="K608" i="2"/>
  <c r="L608" i="2" s="1"/>
  <c r="M608" i="2" s="1"/>
  <c r="K609" i="2"/>
  <c r="L609" i="2" s="1"/>
  <c r="K610" i="2"/>
  <c r="L610" i="2" s="1"/>
  <c r="K611" i="2"/>
  <c r="L611" i="2" s="1"/>
  <c r="K612" i="2"/>
  <c r="L612" i="2" s="1"/>
  <c r="K613" i="2"/>
  <c r="L613" i="2" s="1"/>
  <c r="K614" i="2"/>
  <c r="L614" i="2" s="1"/>
  <c r="M614" i="2" s="1"/>
  <c r="K615" i="2"/>
  <c r="L615" i="2" s="1"/>
  <c r="K616" i="2"/>
  <c r="L616" i="2" s="1"/>
  <c r="K617" i="2"/>
  <c r="L617" i="2" s="1"/>
  <c r="K618" i="2"/>
  <c r="L618" i="2" s="1"/>
  <c r="K619" i="2"/>
  <c r="L619" i="2" s="1"/>
  <c r="K620" i="2"/>
  <c r="L620" i="2" s="1"/>
  <c r="K621" i="2"/>
  <c r="L621" i="2" s="1"/>
  <c r="K622" i="2"/>
  <c r="L622" i="2" s="1"/>
  <c r="M622" i="2" s="1"/>
  <c r="K623" i="2"/>
  <c r="L623" i="2" s="1"/>
  <c r="M623" i="2" s="1"/>
  <c r="K624" i="2"/>
  <c r="L624" i="2" s="1"/>
  <c r="K625" i="2"/>
  <c r="L625" i="2" s="1"/>
  <c r="K626" i="2"/>
  <c r="L626" i="2" s="1"/>
  <c r="K627" i="2"/>
  <c r="L627" i="2" s="1"/>
  <c r="M627" i="2" s="1"/>
  <c r="K628" i="2"/>
  <c r="L628" i="2" s="1"/>
  <c r="M628" i="2" s="1"/>
  <c r="K629" i="2"/>
  <c r="L629" i="2" s="1"/>
  <c r="K630" i="2"/>
  <c r="L630" i="2" s="1"/>
  <c r="M630" i="2" s="1"/>
  <c r="K631" i="2"/>
  <c r="L631" i="2" s="1"/>
  <c r="M631" i="2" s="1"/>
  <c r="K632" i="2"/>
  <c r="L632" i="2" s="1"/>
  <c r="M632" i="2" s="1"/>
  <c r="K633" i="2"/>
  <c r="L633" i="2" s="1"/>
  <c r="K634" i="2"/>
  <c r="L634" i="2" s="1"/>
  <c r="K635" i="2"/>
  <c r="L635" i="2" s="1"/>
  <c r="K636" i="2"/>
  <c r="L636" i="2" s="1"/>
  <c r="K637" i="2"/>
  <c r="L637" i="2" s="1"/>
  <c r="M637" i="2" s="1"/>
  <c r="K638" i="2"/>
  <c r="L638" i="2" s="1"/>
  <c r="K639" i="2"/>
  <c r="L639" i="2" s="1"/>
  <c r="M639" i="2" s="1"/>
  <c r="K640" i="2"/>
  <c r="L640" i="2" s="1"/>
  <c r="M640" i="2" s="1"/>
  <c r="K641" i="2"/>
  <c r="L641" i="2" s="1"/>
  <c r="K642" i="2"/>
  <c r="L642" i="2" s="1"/>
  <c r="M642" i="2" s="1"/>
  <c r="K643" i="2"/>
  <c r="L643" i="2" s="1"/>
  <c r="M643" i="2" s="1"/>
  <c r="K644" i="2"/>
  <c r="L644" i="2" s="1"/>
  <c r="M644" i="2" s="1"/>
  <c r="K645" i="2"/>
  <c r="L645" i="2" s="1"/>
  <c r="M645" i="2" s="1"/>
  <c r="K646" i="2"/>
  <c r="L646" i="2" s="1"/>
  <c r="M646" i="2" s="1"/>
  <c r="K647" i="2"/>
  <c r="L647" i="2" s="1"/>
  <c r="K648" i="2"/>
  <c r="L648" i="2" s="1"/>
  <c r="M648" i="2" s="1"/>
  <c r="K649" i="2"/>
  <c r="L649" i="2" s="1"/>
  <c r="M649" i="2" s="1"/>
  <c r="K650" i="2"/>
  <c r="L650" i="2" s="1"/>
  <c r="K651" i="2"/>
  <c r="L651" i="2" s="1"/>
  <c r="K652" i="2"/>
  <c r="L652" i="2" s="1"/>
  <c r="M652" i="2" s="1"/>
  <c r="K653" i="2"/>
  <c r="L653" i="2" s="1"/>
  <c r="K654" i="2"/>
  <c r="L654" i="2" s="1"/>
  <c r="K655" i="2"/>
  <c r="L655" i="2" s="1"/>
  <c r="K656" i="2"/>
  <c r="L656" i="2" s="1"/>
  <c r="M656" i="2" s="1"/>
  <c r="K657" i="2"/>
  <c r="L657" i="2" s="1"/>
  <c r="M657" i="2" s="1"/>
  <c r="K658" i="2"/>
  <c r="L658" i="2" s="1"/>
  <c r="K659" i="2"/>
  <c r="L659" i="2" s="1"/>
  <c r="M659" i="2" s="1"/>
  <c r="K660" i="2"/>
  <c r="L660" i="2" s="1"/>
  <c r="K661" i="2"/>
  <c r="L661" i="2" s="1"/>
  <c r="K662" i="2"/>
  <c r="L662" i="2" s="1"/>
  <c r="M662" i="2" s="1"/>
  <c r="K663" i="2"/>
  <c r="L663" i="2" s="1"/>
  <c r="K664" i="2"/>
  <c r="L664" i="2" s="1"/>
  <c r="K665" i="2"/>
  <c r="L665" i="2" s="1"/>
  <c r="M665" i="2" s="1"/>
  <c r="K666" i="2"/>
  <c r="L666" i="2" s="1"/>
  <c r="K667" i="2"/>
  <c r="L667" i="2" s="1"/>
  <c r="M667" i="2" s="1"/>
  <c r="K668" i="2"/>
  <c r="L668" i="2" s="1"/>
  <c r="K669" i="2"/>
  <c r="L669" i="2" s="1"/>
  <c r="K670" i="2"/>
  <c r="L670" i="2" s="1"/>
  <c r="M670" i="2" s="1"/>
  <c r="K671" i="2"/>
  <c r="L671" i="2" s="1"/>
  <c r="K672" i="2"/>
  <c r="L672" i="2" s="1"/>
  <c r="K673" i="2"/>
  <c r="L673" i="2" s="1"/>
  <c r="K674" i="2"/>
  <c r="L674" i="2" s="1"/>
  <c r="K675" i="2"/>
  <c r="L675" i="2" s="1"/>
  <c r="M675" i="2" s="1"/>
  <c r="K676" i="2"/>
  <c r="L676" i="2" s="1"/>
  <c r="M676" i="2" s="1"/>
  <c r="K677" i="2"/>
  <c r="L677" i="2" s="1"/>
  <c r="K678" i="2"/>
  <c r="L678" i="2" s="1"/>
  <c r="M678" i="2" s="1"/>
  <c r="K679" i="2"/>
  <c r="L679" i="2" s="1"/>
  <c r="M679" i="2" s="1"/>
  <c r="K680" i="2"/>
  <c r="L680" i="2" s="1"/>
  <c r="K681" i="2"/>
  <c r="L681" i="2" s="1"/>
  <c r="K682" i="2"/>
  <c r="L682" i="2" s="1"/>
  <c r="K683" i="2"/>
  <c r="L683" i="2" s="1"/>
  <c r="K684" i="2"/>
  <c r="L684" i="2" s="1"/>
  <c r="K685" i="2"/>
  <c r="L685" i="2" s="1"/>
  <c r="M685" i="2" s="1"/>
  <c r="K686" i="2"/>
  <c r="L686" i="2" s="1"/>
  <c r="K687" i="2"/>
  <c r="L687" i="2" s="1"/>
  <c r="K688" i="2"/>
  <c r="L688" i="2" s="1"/>
  <c r="K689" i="2"/>
  <c r="L689" i="2" s="1"/>
  <c r="K690" i="2"/>
  <c r="L690" i="2" s="1"/>
  <c r="M690" i="2" s="1"/>
  <c r="K691" i="2"/>
  <c r="L691" i="2" s="1"/>
  <c r="K692" i="2"/>
  <c r="L692" i="2" s="1"/>
  <c r="K693" i="2"/>
  <c r="L693" i="2" s="1"/>
  <c r="K694" i="2"/>
  <c r="L694" i="2" s="1"/>
  <c r="K695" i="2"/>
  <c r="L695" i="2" s="1"/>
  <c r="M695" i="2" s="1"/>
  <c r="K696" i="2"/>
  <c r="L696" i="2" s="1"/>
  <c r="K697" i="2"/>
  <c r="L697" i="2" s="1"/>
  <c r="K698" i="2"/>
  <c r="L698" i="2" s="1"/>
  <c r="M698" i="2" s="1"/>
  <c r="K699" i="2"/>
  <c r="L699" i="2" s="1"/>
  <c r="M699" i="2" s="1"/>
  <c r="K700" i="2"/>
  <c r="L700" i="2" s="1"/>
  <c r="K701" i="2"/>
  <c r="L701" i="2" s="1"/>
  <c r="M701" i="2" s="1"/>
  <c r="K702" i="2"/>
  <c r="L702" i="2" s="1"/>
  <c r="M702" i="2" s="1"/>
  <c r="K703" i="2"/>
  <c r="L703" i="2" s="1"/>
  <c r="K704" i="2"/>
  <c r="L704" i="2" s="1"/>
  <c r="M704" i="2" s="1"/>
  <c r="K705" i="2"/>
  <c r="L705" i="2" s="1"/>
  <c r="M705" i="2" s="1"/>
  <c r="K706" i="2"/>
  <c r="L706" i="2" s="1"/>
  <c r="M706" i="2" s="1"/>
  <c r="K707" i="2"/>
  <c r="L707" i="2" s="1"/>
  <c r="M707" i="2" s="1"/>
  <c r="K708" i="2"/>
  <c r="L708" i="2" s="1"/>
  <c r="M708" i="2" s="1"/>
  <c r="K709" i="2"/>
  <c r="L709" i="2" s="1"/>
  <c r="K710" i="2"/>
  <c r="L710" i="2" s="1"/>
  <c r="M710" i="2" s="1"/>
  <c r="K711" i="2"/>
  <c r="L711" i="2" s="1"/>
  <c r="M711" i="2" s="1"/>
  <c r="K712" i="2"/>
  <c r="L712" i="2" s="1"/>
  <c r="K713" i="2"/>
  <c r="L713" i="2" s="1"/>
  <c r="M713" i="2" s="1"/>
  <c r="K714" i="2"/>
  <c r="L714" i="2" s="1"/>
  <c r="M714" i="2" s="1"/>
  <c r="K715" i="2"/>
  <c r="L715" i="2" s="1"/>
  <c r="K716" i="2"/>
  <c r="L716" i="2" s="1"/>
  <c r="M716" i="2" s="1"/>
  <c r="K717" i="2"/>
  <c r="L717" i="2" s="1"/>
  <c r="M717" i="2" s="1"/>
  <c r="K718" i="2"/>
  <c r="L718" i="2" s="1"/>
  <c r="K719" i="2"/>
  <c r="L719" i="2" s="1"/>
  <c r="M719" i="2" s="1"/>
  <c r="K720" i="2"/>
  <c r="L720" i="2" s="1"/>
  <c r="M720" i="2" s="1"/>
  <c r="K721" i="2"/>
  <c r="L721" i="2" s="1"/>
  <c r="M721" i="2" s="1"/>
  <c r="K722" i="2"/>
  <c r="L722" i="2" s="1"/>
  <c r="M722" i="2" s="1"/>
  <c r="K723" i="2"/>
  <c r="L723" i="2" s="1"/>
  <c r="M723" i="2" s="1"/>
  <c r="K724" i="2"/>
  <c r="L724" i="2" s="1"/>
  <c r="K725" i="2"/>
  <c r="L725" i="2" s="1"/>
  <c r="M725" i="2" s="1"/>
  <c r="K726" i="2"/>
  <c r="L726" i="2" s="1"/>
  <c r="M726" i="2" s="1"/>
  <c r="K727" i="2"/>
  <c r="L727" i="2" s="1"/>
  <c r="K728" i="2"/>
  <c r="L728" i="2" s="1"/>
  <c r="M728" i="2" s="1"/>
  <c r="K729" i="2"/>
  <c r="L729" i="2" s="1"/>
  <c r="M729" i="2" s="1"/>
  <c r="K730" i="2"/>
  <c r="L730" i="2" s="1"/>
  <c r="K731" i="2"/>
  <c r="L731" i="2" s="1"/>
  <c r="M731" i="2" s="1"/>
  <c r="K732" i="2"/>
  <c r="L732" i="2" s="1"/>
  <c r="M732" i="2" s="1"/>
  <c r="K733" i="2"/>
  <c r="L733" i="2" s="1"/>
  <c r="K734" i="2"/>
  <c r="L734" i="2" s="1"/>
  <c r="M734" i="2" s="1"/>
  <c r="K735" i="2"/>
  <c r="L735" i="2" s="1"/>
  <c r="M735" i="2" s="1"/>
  <c r="K736" i="2"/>
  <c r="L736" i="2" s="1"/>
  <c r="M736" i="2" s="1"/>
  <c r="K737" i="2"/>
  <c r="L737" i="2" s="1"/>
  <c r="M737" i="2" s="1"/>
  <c r="K738" i="2"/>
  <c r="L738" i="2" s="1"/>
  <c r="M738" i="2" s="1"/>
  <c r="K739" i="2"/>
  <c r="L739" i="2" s="1"/>
  <c r="K740" i="2"/>
  <c r="L740" i="2" s="1"/>
  <c r="M740" i="2" s="1"/>
  <c r="K741" i="2"/>
  <c r="L741" i="2" s="1"/>
  <c r="M741" i="2" s="1"/>
  <c r="K742" i="2"/>
  <c r="L742" i="2" s="1"/>
  <c r="K743" i="2"/>
  <c r="L743" i="2" s="1"/>
  <c r="M743" i="2" s="1"/>
  <c r="K744" i="2"/>
  <c r="L744" i="2" s="1"/>
  <c r="M744" i="2" s="1"/>
  <c r="K745" i="2"/>
  <c r="L745" i="2" s="1"/>
  <c r="K746" i="2"/>
  <c r="L746" i="2" s="1"/>
  <c r="M746" i="2" s="1"/>
  <c r="K747" i="2"/>
  <c r="L747" i="2" s="1"/>
  <c r="M747" i="2" s="1"/>
  <c r="K748" i="2"/>
  <c r="L748" i="2" s="1"/>
  <c r="K749" i="2"/>
  <c r="L749" i="2" s="1"/>
  <c r="M749" i="2" s="1"/>
  <c r="K750" i="2"/>
  <c r="L750" i="2" s="1"/>
  <c r="M750" i="2" s="1"/>
  <c r="K751" i="2"/>
  <c r="L751" i="2" s="1"/>
  <c r="M751" i="2" s="1"/>
  <c r="K752" i="2"/>
  <c r="L752" i="2" s="1"/>
  <c r="M752" i="2" s="1"/>
  <c r="K753" i="2"/>
  <c r="L753" i="2" s="1"/>
  <c r="M753" i="2" s="1"/>
  <c r="K754" i="2"/>
  <c r="L754" i="2" s="1"/>
  <c r="K755" i="2"/>
  <c r="L755" i="2" s="1"/>
  <c r="M755" i="2" s="1"/>
  <c r="K756" i="2"/>
  <c r="L756" i="2" s="1"/>
  <c r="M756" i="2" s="1"/>
  <c r="K757" i="2"/>
  <c r="L757" i="2" s="1"/>
  <c r="K758" i="2"/>
  <c r="L758" i="2" s="1"/>
  <c r="M758" i="2" s="1"/>
  <c r="K759" i="2"/>
  <c r="L759" i="2" s="1"/>
  <c r="M759" i="2" s="1"/>
  <c r="K760" i="2"/>
  <c r="L760" i="2" s="1"/>
  <c r="K761" i="2"/>
  <c r="L761" i="2" s="1"/>
  <c r="M761" i="2" s="1"/>
  <c r="K762" i="2"/>
  <c r="L762" i="2" s="1"/>
  <c r="M762" i="2" s="1"/>
  <c r="K763" i="2"/>
  <c r="L763" i="2" s="1"/>
  <c r="K764" i="2"/>
  <c r="L764" i="2" s="1"/>
  <c r="M764" i="2" s="1"/>
  <c r="K765" i="2"/>
  <c r="L765" i="2" s="1"/>
  <c r="M765" i="2" s="1"/>
  <c r="K766" i="2"/>
  <c r="L766" i="2" s="1"/>
  <c r="M766" i="2" s="1"/>
  <c r="K767" i="2"/>
  <c r="L767" i="2" s="1"/>
  <c r="M767" i="2" s="1"/>
  <c r="K768" i="2"/>
  <c r="L768" i="2" s="1"/>
  <c r="M768" i="2" s="1"/>
  <c r="K769" i="2"/>
  <c r="L769" i="2" s="1"/>
  <c r="K770" i="2"/>
  <c r="L770" i="2" s="1"/>
  <c r="M770" i="2" s="1"/>
  <c r="K771" i="2"/>
  <c r="L771" i="2" s="1"/>
  <c r="M771" i="2" s="1"/>
  <c r="K772" i="2"/>
  <c r="L772" i="2" s="1"/>
  <c r="K773" i="2"/>
  <c r="L773" i="2" s="1"/>
  <c r="K774" i="2"/>
  <c r="L774" i="2" s="1"/>
  <c r="K775" i="2"/>
  <c r="L775" i="2" s="1"/>
  <c r="M775" i="2" s="1"/>
  <c r="K776" i="2"/>
  <c r="L776" i="2" s="1"/>
  <c r="K777" i="2"/>
  <c r="L777" i="2" s="1"/>
  <c r="K778" i="2"/>
  <c r="L778" i="2" s="1"/>
  <c r="M778" i="2" s="1"/>
  <c r="K779" i="2"/>
  <c r="L779" i="2" s="1"/>
  <c r="M779" i="2" s="1"/>
  <c r="K780" i="2"/>
  <c r="L780" i="2" s="1"/>
  <c r="K781" i="2"/>
  <c r="L781" i="2" s="1"/>
  <c r="M781" i="2" s="1"/>
  <c r="K782" i="2"/>
  <c r="L782" i="2" s="1"/>
  <c r="M782" i="2" s="1"/>
  <c r="K783" i="2"/>
  <c r="L783" i="2" s="1"/>
  <c r="K784" i="2"/>
  <c r="L784" i="2" s="1"/>
  <c r="M784" i="2" s="1"/>
  <c r="K785" i="2"/>
  <c r="L785" i="2" s="1"/>
  <c r="K786" i="2"/>
  <c r="L786" i="2" s="1"/>
  <c r="K787" i="2"/>
  <c r="L787" i="2" s="1"/>
  <c r="M787" i="2" s="1"/>
  <c r="K788" i="2"/>
  <c r="L788" i="2" s="1"/>
  <c r="M788" i="2" s="1"/>
  <c r="K789" i="2"/>
  <c r="L789" i="2" s="1"/>
  <c r="K790" i="2"/>
  <c r="L790" i="2" s="1"/>
  <c r="M790" i="2" s="1"/>
  <c r="K791" i="2"/>
  <c r="L791" i="2" s="1"/>
  <c r="M791" i="2" s="1"/>
  <c r="K792" i="2"/>
  <c r="L792" i="2" s="1"/>
  <c r="K793" i="2"/>
  <c r="L793" i="2" s="1"/>
  <c r="M793" i="2" s="1"/>
  <c r="K794" i="2"/>
  <c r="L794" i="2" s="1"/>
  <c r="M794" i="2" s="1"/>
  <c r="K795" i="2"/>
  <c r="L795" i="2" s="1"/>
  <c r="M795" i="2" s="1"/>
  <c r="K796" i="2"/>
  <c r="L796" i="2" s="1"/>
  <c r="M796" i="2" s="1"/>
  <c r="K797" i="2"/>
  <c r="L797" i="2" s="1"/>
  <c r="M797" i="2" s="1"/>
  <c r="K798" i="2"/>
  <c r="L798" i="2" s="1"/>
  <c r="K799" i="2"/>
  <c r="L799" i="2" s="1"/>
  <c r="M799" i="2" s="1"/>
  <c r="K800" i="2"/>
  <c r="L800" i="2" s="1"/>
  <c r="M800" i="2" s="1"/>
  <c r="K801" i="2"/>
  <c r="L801" i="2" s="1"/>
  <c r="K802" i="2"/>
  <c r="L802" i="2" s="1"/>
  <c r="M802" i="2" s="1"/>
  <c r="K803" i="2"/>
  <c r="L803" i="2" s="1"/>
  <c r="M803" i="2" s="1"/>
  <c r="K804" i="2"/>
  <c r="L804" i="2" s="1"/>
  <c r="K805" i="2"/>
  <c r="L805" i="2" s="1"/>
  <c r="M805" i="2" s="1"/>
  <c r="K806" i="2"/>
  <c r="L806" i="2" s="1"/>
  <c r="M806" i="2" s="1"/>
  <c r="K807" i="2"/>
  <c r="L807" i="2" s="1"/>
  <c r="K808" i="2"/>
  <c r="L808" i="2" s="1"/>
  <c r="M808" i="2" s="1"/>
  <c r="K809" i="2"/>
  <c r="L809" i="2" s="1"/>
  <c r="M809" i="2" s="1"/>
  <c r="K810" i="2"/>
  <c r="L810" i="2" s="1"/>
  <c r="M810" i="2" s="1"/>
  <c r="K811" i="2"/>
  <c r="L811" i="2" s="1"/>
  <c r="M811" i="2" s="1"/>
  <c r="K812" i="2"/>
  <c r="L812" i="2" s="1"/>
  <c r="M812" i="2" s="1"/>
  <c r="K813" i="2"/>
  <c r="L813" i="2" s="1"/>
  <c r="K814" i="2"/>
  <c r="L814" i="2" s="1"/>
  <c r="M814" i="2" s="1"/>
  <c r="K815" i="2"/>
  <c r="L815" i="2" s="1"/>
  <c r="M815" i="2" s="1"/>
  <c r="K816" i="2"/>
  <c r="L816" i="2" s="1"/>
  <c r="K817" i="2"/>
  <c r="L817" i="2" s="1"/>
  <c r="M817" i="2" s="1"/>
  <c r="K818" i="2"/>
  <c r="L818" i="2" s="1"/>
  <c r="K819" i="2"/>
  <c r="L819" i="2" s="1"/>
  <c r="K820" i="2"/>
  <c r="L820" i="2" s="1"/>
  <c r="M820" i="2" s="1"/>
  <c r="K821" i="2"/>
  <c r="L821" i="2" s="1"/>
  <c r="K822" i="2"/>
  <c r="L822" i="2" s="1"/>
  <c r="K823" i="2"/>
  <c r="L823" i="2" s="1"/>
  <c r="K824" i="2"/>
  <c r="L824" i="2" s="1"/>
  <c r="K825" i="2"/>
  <c r="L825" i="2" s="1"/>
  <c r="M825" i="2" s="1"/>
  <c r="K826" i="2"/>
  <c r="L826" i="2" s="1"/>
  <c r="K827" i="2"/>
  <c r="L827" i="2" s="1"/>
  <c r="K828" i="2"/>
  <c r="L828" i="2" s="1"/>
  <c r="K829" i="2"/>
  <c r="L829" i="2" s="1"/>
  <c r="K830" i="2"/>
  <c r="L830" i="2" s="1"/>
  <c r="M830" i="2" s="1"/>
  <c r="K831" i="2"/>
  <c r="L831" i="2" s="1"/>
  <c r="K832" i="2"/>
  <c r="L832" i="2" s="1"/>
  <c r="K833" i="2"/>
  <c r="L833" i="2" s="1"/>
  <c r="K834" i="2"/>
  <c r="L834" i="2" s="1"/>
  <c r="K835" i="2"/>
  <c r="L835" i="2" s="1"/>
  <c r="M835" i="2" s="1"/>
  <c r="K836" i="2"/>
  <c r="L836" i="2" s="1"/>
  <c r="K837" i="2"/>
  <c r="L837" i="2" s="1"/>
  <c r="K838" i="2"/>
  <c r="L838" i="2" s="1"/>
  <c r="K839" i="2"/>
  <c r="L839" i="2" s="1"/>
  <c r="K840" i="2"/>
  <c r="L840" i="2" s="1"/>
  <c r="M840" i="2" s="1"/>
  <c r="K841" i="2"/>
  <c r="L841" i="2" s="1"/>
  <c r="K842" i="2"/>
  <c r="L842" i="2" s="1"/>
  <c r="K843" i="2"/>
  <c r="L843" i="2" s="1"/>
  <c r="K844" i="2"/>
  <c r="L844" i="2" s="1"/>
  <c r="K845" i="2"/>
  <c r="L845" i="2" s="1"/>
  <c r="M845" i="2" s="1"/>
  <c r="K846" i="2"/>
  <c r="L846" i="2" s="1"/>
  <c r="K847" i="2"/>
  <c r="L847" i="2" s="1"/>
  <c r="K848" i="2"/>
  <c r="L848" i="2" s="1"/>
  <c r="K849" i="2"/>
  <c r="L849" i="2" s="1"/>
  <c r="K850" i="2"/>
  <c r="L850" i="2" s="1"/>
  <c r="M850" i="2" s="1"/>
  <c r="K851" i="2"/>
  <c r="L851" i="2" s="1"/>
  <c r="K852" i="2"/>
  <c r="L852" i="2" s="1"/>
  <c r="K853" i="2"/>
  <c r="L853" i="2" s="1"/>
  <c r="K854" i="2"/>
  <c r="L854" i="2" s="1"/>
  <c r="K855" i="2"/>
  <c r="L855" i="2" s="1"/>
  <c r="M855" i="2" s="1"/>
  <c r="K856" i="2"/>
  <c r="L856" i="2" s="1"/>
  <c r="K857" i="2"/>
  <c r="L857" i="2" s="1"/>
  <c r="K858" i="2"/>
  <c r="L858" i="2" s="1"/>
  <c r="M858" i="2" s="1"/>
  <c r="K859" i="2"/>
  <c r="L859" i="2" s="1"/>
  <c r="M859" i="2" s="1"/>
  <c r="K860" i="2"/>
  <c r="L860" i="2" s="1"/>
  <c r="K861" i="2"/>
  <c r="L861" i="2" s="1"/>
  <c r="M861" i="2" s="1"/>
  <c r="K862" i="2"/>
  <c r="L862" i="2" s="1"/>
  <c r="M862" i="2" s="1"/>
  <c r="K863" i="2"/>
  <c r="L863" i="2" s="1"/>
  <c r="K864" i="2"/>
  <c r="L864" i="2" s="1"/>
  <c r="M864" i="2" s="1"/>
  <c r="K865" i="2"/>
  <c r="L865" i="2" s="1"/>
  <c r="M865" i="2" s="1"/>
  <c r="K866" i="2"/>
  <c r="L866" i="2" s="1"/>
  <c r="M866" i="2" s="1"/>
  <c r="K867" i="2"/>
  <c r="L867" i="2" s="1"/>
  <c r="M867" i="2" s="1"/>
  <c r="K868" i="2"/>
  <c r="L868" i="2" s="1"/>
  <c r="M868" i="2" s="1"/>
  <c r="K869" i="2"/>
  <c r="L869" i="2" s="1"/>
  <c r="K870" i="2"/>
  <c r="L870" i="2" s="1"/>
  <c r="M870" i="2" s="1"/>
  <c r="K871" i="2"/>
  <c r="L871" i="2" s="1"/>
  <c r="M871" i="2" s="1"/>
  <c r="K872" i="2"/>
  <c r="L872" i="2" s="1"/>
  <c r="K873" i="2"/>
  <c r="L873" i="2" s="1"/>
  <c r="K874" i="2"/>
  <c r="L874" i="2" s="1"/>
  <c r="K875" i="2"/>
  <c r="L875" i="2" s="1"/>
  <c r="M875" i="2" s="1"/>
  <c r="K876" i="2"/>
  <c r="L876" i="2" s="1"/>
  <c r="K877" i="2"/>
  <c r="L877" i="2" s="1"/>
  <c r="K878" i="2"/>
  <c r="L878" i="2" s="1"/>
  <c r="K879" i="2"/>
  <c r="L879" i="2" s="1"/>
  <c r="K880" i="2"/>
  <c r="L880" i="2" s="1"/>
  <c r="M880" i="2" s="1"/>
  <c r="K881" i="2"/>
  <c r="L881" i="2" s="1"/>
  <c r="K882" i="2"/>
  <c r="L882" i="2" s="1"/>
  <c r="K883" i="2"/>
  <c r="L883" i="2" s="1"/>
  <c r="K884" i="2"/>
  <c r="L884" i="2" s="1"/>
  <c r="K885" i="2"/>
  <c r="L885" i="2" s="1"/>
  <c r="M885" i="2" s="1"/>
  <c r="K886" i="2"/>
  <c r="L886" i="2" s="1"/>
  <c r="K887" i="2"/>
  <c r="L887" i="2" s="1"/>
  <c r="K888" i="2"/>
  <c r="L888" i="2" s="1"/>
  <c r="K889" i="2"/>
  <c r="L889" i="2" s="1"/>
  <c r="K890" i="2"/>
  <c r="L890" i="2" s="1"/>
  <c r="M890" i="2" s="1"/>
  <c r="K891" i="2"/>
  <c r="L891" i="2" s="1"/>
  <c r="K892" i="2"/>
  <c r="L892" i="2" s="1"/>
  <c r="K893" i="2"/>
  <c r="L893" i="2" s="1"/>
  <c r="K894" i="2"/>
  <c r="L894" i="2" s="1"/>
  <c r="K895" i="2"/>
  <c r="L895" i="2" s="1"/>
  <c r="M895" i="2" s="1"/>
  <c r="K896" i="2"/>
  <c r="L896" i="2" s="1"/>
  <c r="K897" i="2"/>
  <c r="L897" i="2" s="1"/>
  <c r="K898" i="2"/>
  <c r="L898" i="2" s="1"/>
  <c r="M898" i="2" s="1"/>
  <c r="K899" i="2"/>
  <c r="L899" i="2" s="1"/>
  <c r="M899" i="2" s="1"/>
  <c r="K900" i="2"/>
  <c r="L900" i="2" s="1"/>
  <c r="K901" i="2"/>
  <c r="L901" i="2" s="1"/>
  <c r="M901" i="2" s="1"/>
  <c r="K902" i="2"/>
  <c r="L902" i="2" s="1"/>
  <c r="M902" i="2" s="1"/>
  <c r="K903" i="2"/>
  <c r="L903" i="2" s="1"/>
  <c r="K904" i="2"/>
  <c r="L904" i="2" s="1"/>
  <c r="M904" i="2" s="1"/>
  <c r="K905" i="2"/>
  <c r="L905" i="2" s="1"/>
  <c r="M905" i="2" s="1"/>
  <c r="K906" i="2"/>
  <c r="L906" i="2" s="1"/>
  <c r="M906" i="2" s="1"/>
  <c r="K907" i="2"/>
  <c r="L907" i="2" s="1"/>
  <c r="M907" i="2" s="1"/>
  <c r="K908" i="2"/>
  <c r="L908" i="2" s="1"/>
  <c r="M908" i="2" s="1"/>
  <c r="K909" i="2"/>
  <c r="L909" i="2" s="1"/>
  <c r="K910" i="2"/>
  <c r="L910" i="2" s="1"/>
  <c r="M910" i="2" s="1"/>
  <c r="K911" i="2"/>
  <c r="L911" i="2" s="1"/>
  <c r="M911" i="2" s="1"/>
  <c r="K912" i="2"/>
  <c r="L912" i="2" s="1"/>
  <c r="K913" i="2"/>
  <c r="L913" i="2" s="1"/>
  <c r="M913" i="2" s="1"/>
  <c r="K914" i="2"/>
  <c r="L914" i="2" s="1"/>
  <c r="M914" i="2" s="1"/>
  <c r="K915" i="2"/>
  <c r="L915" i="2" s="1"/>
  <c r="K916" i="2"/>
  <c r="L916" i="2" s="1"/>
  <c r="M916" i="2" s="1"/>
  <c r="K917" i="2"/>
  <c r="L917" i="2" s="1"/>
  <c r="M917" i="2" s="1"/>
  <c r="K918" i="2"/>
  <c r="L918" i="2" s="1"/>
  <c r="K919" i="2"/>
  <c r="L919" i="2" s="1"/>
  <c r="M919" i="2" s="1"/>
  <c r="K920" i="2"/>
  <c r="L920" i="2" s="1"/>
  <c r="M920" i="2" s="1"/>
  <c r="K921" i="2"/>
  <c r="L921" i="2" s="1"/>
  <c r="M921" i="2" s="1"/>
  <c r="K922" i="2"/>
  <c r="L922" i="2" s="1"/>
  <c r="M922" i="2" s="1"/>
  <c r="K923" i="2"/>
  <c r="L923" i="2" s="1"/>
  <c r="M923" i="2" s="1"/>
  <c r="K924" i="2"/>
  <c r="L924" i="2" s="1"/>
  <c r="K925" i="2"/>
  <c r="L925" i="2" s="1"/>
  <c r="M925" i="2" s="1"/>
  <c r="K926" i="2"/>
  <c r="L926" i="2" s="1"/>
  <c r="M926" i="2" s="1"/>
  <c r="K927" i="2"/>
  <c r="L927" i="2" s="1"/>
  <c r="K928" i="2"/>
  <c r="L928" i="2" s="1"/>
  <c r="M928" i="2" s="1"/>
  <c r="K929" i="2"/>
  <c r="L929" i="2" s="1"/>
  <c r="M929" i="2" s="1"/>
  <c r="K930" i="2"/>
  <c r="L930" i="2" s="1"/>
  <c r="K931" i="2"/>
  <c r="L931" i="2" s="1"/>
  <c r="M931" i="2" s="1"/>
  <c r="K932" i="2"/>
  <c r="L932" i="2" s="1"/>
  <c r="M932" i="2" s="1"/>
  <c r="K933" i="2"/>
  <c r="L933" i="2" s="1"/>
  <c r="K934" i="2"/>
  <c r="L934" i="2" s="1"/>
  <c r="M934" i="2" s="1"/>
  <c r="K935" i="2"/>
  <c r="L935" i="2" s="1"/>
  <c r="M935" i="2" s="1"/>
  <c r="K936" i="2"/>
  <c r="L936" i="2" s="1"/>
  <c r="M936" i="2" s="1"/>
  <c r="K937" i="2"/>
  <c r="L937" i="2" s="1"/>
  <c r="M937" i="2" s="1"/>
  <c r="K938" i="2"/>
  <c r="L938" i="2" s="1"/>
  <c r="M938" i="2" s="1"/>
  <c r="K939" i="2"/>
  <c r="L939" i="2" s="1"/>
  <c r="K940" i="2"/>
  <c r="L940" i="2" s="1"/>
  <c r="M940" i="2" s="1"/>
  <c r="K941" i="2"/>
  <c r="L941" i="2" s="1"/>
  <c r="M941" i="2" s="1"/>
  <c r="K942" i="2"/>
  <c r="L942" i="2" s="1"/>
  <c r="K943" i="2"/>
  <c r="L943" i="2" s="1"/>
  <c r="M943" i="2" s="1"/>
  <c r="K944" i="2"/>
  <c r="L944" i="2" s="1"/>
  <c r="M944" i="2" s="1"/>
  <c r="K945" i="2"/>
  <c r="L945" i="2" s="1"/>
  <c r="K946" i="2"/>
  <c r="L946" i="2" s="1"/>
  <c r="M946" i="2" s="1"/>
  <c r="K947" i="2"/>
  <c r="L947" i="2" s="1"/>
  <c r="M947" i="2" s="1"/>
  <c r="K948" i="2"/>
  <c r="L948" i="2" s="1"/>
  <c r="K949" i="2"/>
  <c r="L949" i="2" s="1"/>
  <c r="M949" i="2" s="1"/>
  <c r="K950" i="2"/>
  <c r="L950" i="2" s="1"/>
  <c r="M950" i="2" s="1"/>
  <c r="K951" i="2"/>
  <c r="L951" i="2" s="1"/>
  <c r="M951" i="2" s="1"/>
  <c r="K952" i="2"/>
  <c r="L952" i="2" s="1"/>
  <c r="M952" i="2" s="1"/>
  <c r="K953" i="2"/>
  <c r="L953" i="2" s="1"/>
  <c r="M953" i="2" s="1"/>
  <c r="K954" i="2"/>
  <c r="L954" i="2" s="1"/>
  <c r="K955" i="2"/>
  <c r="L955" i="2" s="1"/>
  <c r="M955" i="2" s="1"/>
  <c r="K956" i="2"/>
  <c r="L956" i="2" s="1"/>
  <c r="M956" i="2" s="1"/>
  <c r="K957" i="2"/>
  <c r="L957" i="2" s="1"/>
  <c r="K958" i="2"/>
  <c r="L958" i="2" s="1"/>
  <c r="K959" i="2"/>
  <c r="L959" i="2" s="1"/>
  <c r="K960" i="2"/>
  <c r="L960" i="2" s="1"/>
  <c r="M960" i="2" s="1"/>
  <c r="K961" i="2"/>
  <c r="L961" i="2" s="1"/>
  <c r="K962" i="2"/>
  <c r="L962" i="2" s="1"/>
  <c r="K963" i="2"/>
  <c r="L963" i="2" s="1"/>
  <c r="K964" i="2"/>
  <c r="L964" i="2" s="1"/>
  <c r="K965" i="2"/>
  <c r="L965" i="2" s="1"/>
  <c r="M965" i="2" s="1"/>
  <c r="K966" i="2"/>
  <c r="L966" i="2" s="1"/>
  <c r="K967" i="2"/>
  <c r="L967" i="2" s="1"/>
  <c r="K968" i="2"/>
  <c r="L968" i="2" s="1"/>
  <c r="K969" i="2"/>
  <c r="L969" i="2" s="1"/>
  <c r="M969" i="2" s="1"/>
  <c r="K970" i="2"/>
  <c r="L970" i="2" s="1"/>
  <c r="M970" i="2" s="1"/>
  <c r="K971" i="2"/>
  <c r="L971" i="2" s="1"/>
  <c r="K972" i="2"/>
  <c r="L972" i="2" s="1"/>
  <c r="M972" i="2" s="1"/>
  <c r="K973" i="2"/>
  <c r="L973" i="2" s="1"/>
  <c r="M973" i="2" s="1"/>
  <c r="K974" i="2"/>
  <c r="L974" i="2" s="1"/>
  <c r="K975" i="2"/>
  <c r="L975" i="2" s="1"/>
  <c r="M975" i="2" s="1"/>
  <c r="K976" i="2"/>
  <c r="L976" i="2" s="1"/>
  <c r="M976" i="2" s="1"/>
  <c r="K977" i="2"/>
  <c r="L977" i="2" s="1"/>
  <c r="M977" i="2" s="1"/>
  <c r="K978" i="2"/>
  <c r="L978" i="2" s="1"/>
  <c r="K979" i="2"/>
  <c r="L979" i="2" s="1"/>
  <c r="M979" i="2" s="1"/>
  <c r="K980" i="2"/>
  <c r="L980" i="2" s="1"/>
  <c r="M980" i="2" s="1"/>
  <c r="K981" i="2"/>
  <c r="L981" i="2" s="1"/>
  <c r="K982" i="2"/>
  <c r="L982" i="2" s="1"/>
  <c r="M982" i="2" s="1"/>
  <c r="K983" i="2"/>
  <c r="L983" i="2" s="1"/>
  <c r="M983" i="2" s="1"/>
  <c r="K984" i="2"/>
  <c r="L984" i="2" s="1"/>
  <c r="K985" i="2"/>
  <c r="L985" i="2" s="1"/>
  <c r="M985" i="2" s="1"/>
  <c r="K986" i="2"/>
  <c r="L986" i="2" s="1"/>
  <c r="M986" i="2" s="1"/>
  <c r="K987" i="2"/>
  <c r="L987" i="2" s="1"/>
  <c r="K988" i="2"/>
  <c r="L988" i="2" s="1"/>
  <c r="M988" i="2" s="1"/>
  <c r="K989" i="2"/>
  <c r="L989" i="2" s="1"/>
  <c r="K990" i="2"/>
  <c r="L990" i="2" s="1"/>
  <c r="K991" i="2"/>
  <c r="L991" i="2" s="1"/>
  <c r="K992" i="2"/>
  <c r="L992" i="2" s="1"/>
  <c r="K993" i="2"/>
  <c r="L993" i="2" s="1"/>
  <c r="K994" i="2"/>
  <c r="L994" i="2" s="1"/>
  <c r="K995" i="2"/>
  <c r="L995" i="2" s="1"/>
  <c r="K996" i="2"/>
  <c r="L996" i="2" s="1"/>
  <c r="K997" i="2"/>
  <c r="L997" i="2" s="1"/>
  <c r="K998" i="2"/>
  <c r="L998" i="2" s="1"/>
  <c r="K999" i="2"/>
  <c r="L999" i="2" s="1"/>
  <c r="K1000" i="2"/>
  <c r="L1000" i="2" s="1"/>
  <c r="K1001" i="2"/>
  <c r="L1001" i="2" s="1"/>
  <c r="K1002" i="2"/>
  <c r="L1002" i="2" s="1"/>
  <c r="K1003" i="2"/>
  <c r="L1003" i="2" s="1"/>
  <c r="K1004" i="2"/>
  <c r="L1004" i="2" s="1"/>
  <c r="K1005" i="2"/>
  <c r="L1005" i="2" s="1"/>
  <c r="K1006" i="2"/>
  <c r="L1006" i="2" s="1"/>
  <c r="K1007" i="2"/>
  <c r="L1007" i="2" s="1"/>
  <c r="M1007" i="2" s="1"/>
  <c r="K1008" i="2"/>
  <c r="L1008" i="2" s="1"/>
  <c r="K1009" i="2"/>
  <c r="L1009" i="2" s="1"/>
  <c r="M1009" i="2" s="1"/>
  <c r="K1010" i="2"/>
  <c r="L1010" i="2" s="1"/>
  <c r="K1011" i="2"/>
  <c r="L1011" i="2" s="1"/>
  <c r="K1012" i="2"/>
  <c r="L1012" i="2" s="1"/>
  <c r="K1013" i="2"/>
  <c r="L1013" i="2" s="1"/>
  <c r="M1013" i="2" s="1"/>
  <c r="K1014" i="2"/>
  <c r="L1014" i="2" s="1"/>
  <c r="K1015" i="2"/>
  <c r="L1015" i="2" s="1"/>
  <c r="M1015" i="2" s="1"/>
  <c r="K1016" i="2"/>
  <c r="L1016" i="2" s="1"/>
  <c r="K1017" i="2"/>
  <c r="L1017" i="2" s="1"/>
  <c r="K1018" i="2"/>
  <c r="L1018" i="2" s="1"/>
  <c r="K1019" i="2"/>
  <c r="L1019" i="2" s="1"/>
  <c r="K1020" i="2"/>
  <c r="L1020" i="2" s="1"/>
  <c r="K1021" i="2"/>
  <c r="L1021" i="2" s="1"/>
  <c r="K1022" i="2"/>
  <c r="L1022" i="2" s="1"/>
  <c r="K1023" i="2"/>
  <c r="L1023" i="2" s="1"/>
  <c r="K1024" i="2"/>
  <c r="L1024" i="2" s="1"/>
  <c r="K1025" i="2"/>
  <c r="L1025" i="2" s="1"/>
  <c r="K1026" i="2"/>
  <c r="L1026" i="2" s="1"/>
  <c r="K1027" i="2"/>
  <c r="L1027" i="2" s="1"/>
  <c r="K1028" i="2"/>
  <c r="L1028" i="2" s="1"/>
  <c r="K1029" i="2"/>
  <c r="L1029" i="2" s="1"/>
  <c r="K1030" i="2"/>
  <c r="L1030" i="2" s="1"/>
  <c r="K1031" i="2"/>
  <c r="L1031" i="2" s="1"/>
  <c r="K1032" i="2"/>
  <c r="L1032" i="2" s="1"/>
  <c r="K1033" i="2"/>
  <c r="L1033" i="2" s="1"/>
  <c r="K1034" i="2"/>
  <c r="L1034" i="2" s="1"/>
  <c r="K1035" i="2"/>
  <c r="L1035" i="2" s="1"/>
  <c r="K1036" i="2"/>
  <c r="L1036" i="2" s="1"/>
  <c r="K1037" i="2"/>
  <c r="L1037" i="2" s="1"/>
  <c r="K1038" i="2"/>
  <c r="L1038" i="2" s="1"/>
  <c r="K1039" i="2"/>
  <c r="L1039" i="2" s="1"/>
  <c r="K1040" i="2"/>
  <c r="L1040" i="2" s="1"/>
  <c r="K1041" i="2"/>
  <c r="L1041" i="2" s="1"/>
  <c r="K1042" i="2"/>
  <c r="L1042" i="2" s="1"/>
  <c r="K1043" i="2"/>
  <c r="L1043" i="2" s="1"/>
  <c r="K1044" i="2"/>
  <c r="L1044" i="2" s="1"/>
  <c r="K1045" i="2"/>
  <c r="L1045" i="2" s="1"/>
  <c r="K1046" i="2"/>
  <c r="L1046" i="2" s="1"/>
  <c r="K1047" i="2"/>
  <c r="L1047" i="2" s="1"/>
  <c r="K1048" i="2"/>
  <c r="L1048" i="2" s="1"/>
  <c r="K1049" i="2"/>
  <c r="L1049" i="2" s="1"/>
  <c r="K1050" i="2"/>
  <c r="L1050" i="2" s="1"/>
  <c r="K1051" i="2"/>
  <c r="L1051" i="2" s="1"/>
  <c r="K1052" i="2"/>
  <c r="L1052" i="2" s="1"/>
  <c r="K1053" i="2"/>
  <c r="L1053" i="2" s="1"/>
  <c r="K1054" i="2"/>
  <c r="L1054" i="2" s="1"/>
  <c r="K1055" i="2"/>
  <c r="L1055" i="2" s="1"/>
  <c r="K1056" i="2"/>
  <c r="L1056" i="2" s="1"/>
  <c r="K1057" i="2"/>
  <c r="L1057" i="2" s="1"/>
  <c r="K1058" i="2"/>
  <c r="L1058" i="2" s="1"/>
  <c r="K1059" i="2"/>
  <c r="L1059" i="2" s="1"/>
  <c r="K1060" i="2"/>
  <c r="L1060" i="2" s="1"/>
  <c r="K1061" i="2"/>
  <c r="L1061" i="2" s="1"/>
  <c r="K1062" i="2"/>
  <c r="L1062" i="2" s="1"/>
  <c r="K1063" i="2"/>
  <c r="L1063" i="2" s="1"/>
  <c r="K1064" i="2"/>
  <c r="L1064" i="2" s="1"/>
  <c r="K1065" i="2"/>
  <c r="L1065" i="2" s="1"/>
  <c r="K1066" i="2"/>
  <c r="L1066" i="2" s="1"/>
  <c r="K1067" i="2"/>
  <c r="L1067" i="2" s="1"/>
  <c r="K1068" i="2"/>
  <c r="L1068" i="2" s="1"/>
  <c r="K1069" i="2"/>
  <c r="L1069" i="2" s="1"/>
  <c r="K1070" i="2"/>
  <c r="L1070" i="2" s="1"/>
  <c r="K1071" i="2"/>
  <c r="L1071" i="2" s="1"/>
  <c r="K1072" i="2"/>
  <c r="L1072" i="2" s="1"/>
  <c r="K1073" i="2"/>
  <c r="L1073" i="2" s="1"/>
  <c r="K1074" i="2"/>
  <c r="L1074" i="2" s="1"/>
  <c r="K1075" i="2"/>
  <c r="L1075" i="2" s="1"/>
  <c r="K1076" i="2"/>
  <c r="L1076" i="2" s="1"/>
  <c r="K1077" i="2"/>
  <c r="L1077" i="2" s="1"/>
  <c r="K1078" i="2"/>
  <c r="L1078" i="2" s="1"/>
  <c r="K1079" i="2"/>
  <c r="L1079" i="2" s="1"/>
  <c r="K1080" i="2"/>
  <c r="L1080" i="2" s="1"/>
  <c r="K1081" i="2"/>
  <c r="L1081" i="2" s="1"/>
  <c r="K1082" i="2"/>
  <c r="L1082" i="2" s="1"/>
  <c r="K1083" i="2"/>
  <c r="L1083" i="2" s="1"/>
  <c r="K1084" i="2"/>
  <c r="L1084" i="2" s="1"/>
  <c r="K1085" i="2"/>
  <c r="L1085" i="2" s="1"/>
  <c r="K1086" i="2"/>
  <c r="L1086" i="2" s="1"/>
  <c r="K1087" i="2"/>
  <c r="L1087" i="2" s="1"/>
  <c r="K1088" i="2"/>
  <c r="L1088" i="2" s="1"/>
  <c r="K1089" i="2"/>
  <c r="L1089" i="2" s="1"/>
  <c r="K1090" i="2"/>
  <c r="L1090" i="2" s="1"/>
  <c r="K1091" i="2"/>
  <c r="L1091" i="2" s="1"/>
  <c r="K1092" i="2"/>
  <c r="L1092" i="2" s="1"/>
  <c r="K1093" i="2"/>
  <c r="L1093" i="2" s="1"/>
  <c r="K1094" i="2"/>
  <c r="L1094" i="2" s="1"/>
  <c r="K1095" i="2"/>
  <c r="L1095" i="2" s="1"/>
  <c r="K1096" i="2"/>
  <c r="L1096" i="2" s="1"/>
  <c r="K1097" i="2"/>
  <c r="L1097" i="2" s="1"/>
  <c r="K1098" i="2"/>
  <c r="L1098" i="2" s="1"/>
  <c r="K1099" i="2"/>
  <c r="L1099" i="2" s="1"/>
  <c r="K1100" i="2"/>
  <c r="L1100" i="2" s="1"/>
  <c r="K1101" i="2"/>
  <c r="L1101" i="2" s="1"/>
  <c r="K1102" i="2"/>
  <c r="L1102" i="2" s="1"/>
  <c r="K1103" i="2"/>
  <c r="L1103" i="2" s="1"/>
  <c r="K1104" i="2"/>
  <c r="L1104" i="2" s="1"/>
  <c r="K1105" i="2"/>
  <c r="L1105" i="2" s="1"/>
  <c r="K1106" i="2"/>
  <c r="L1106" i="2" s="1"/>
  <c r="K1107" i="2"/>
  <c r="L1107" i="2" s="1"/>
  <c r="K1108" i="2"/>
  <c r="L1108" i="2" s="1"/>
  <c r="K1109" i="2"/>
  <c r="L1109" i="2" s="1"/>
  <c r="K1110" i="2"/>
  <c r="L1110" i="2" s="1"/>
  <c r="K1111" i="2"/>
  <c r="L1111" i="2" s="1"/>
  <c r="K1112" i="2"/>
  <c r="L1112" i="2" s="1"/>
  <c r="K1113" i="2"/>
  <c r="L1113" i="2" s="1"/>
  <c r="K1114" i="2"/>
  <c r="L1114" i="2" s="1"/>
  <c r="K1115" i="2"/>
  <c r="L1115" i="2" s="1"/>
  <c r="K1116" i="2"/>
  <c r="L1116" i="2" s="1"/>
  <c r="K1117" i="2"/>
  <c r="L1117" i="2" s="1"/>
  <c r="M1117" i="2" s="1"/>
  <c r="K1118" i="2"/>
  <c r="L1118" i="2" s="1"/>
  <c r="M1118" i="2" s="1"/>
  <c r="K1119" i="2"/>
  <c r="L1119" i="2" s="1"/>
  <c r="K1120" i="2"/>
  <c r="L1120" i="2" s="1"/>
  <c r="M1120" i="2" s="1"/>
  <c r="K1121" i="2"/>
  <c r="L1121" i="2" s="1"/>
  <c r="M1121" i="2" s="1"/>
  <c r="K1122" i="2"/>
  <c r="L1122" i="2" s="1"/>
  <c r="K1123" i="2"/>
  <c r="L1123" i="2" s="1"/>
  <c r="K1124" i="2"/>
  <c r="L1124" i="2" s="1"/>
  <c r="K1125" i="2"/>
  <c r="L1125" i="2" s="1"/>
  <c r="K1126" i="2"/>
  <c r="L1126" i="2" s="1"/>
  <c r="K1127" i="2"/>
  <c r="L1127" i="2" s="1"/>
  <c r="K1128" i="2"/>
  <c r="L1128" i="2" s="1"/>
  <c r="K1129" i="2"/>
  <c r="L1129" i="2" s="1"/>
  <c r="K1130" i="2"/>
  <c r="L1130" i="2" s="1"/>
  <c r="K1131" i="2"/>
  <c r="L1131" i="2" s="1"/>
  <c r="K1132" i="2"/>
  <c r="L1132" i="2" s="1"/>
  <c r="K1133" i="2"/>
  <c r="L1133" i="2" s="1"/>
  <c r="K1134" i="2"/>
  <c r="L1134" i="2" s="1"/>
  <c r="K1135" i="2"/>
  <c r="L1135" i="2" s="1"/>
  <c r="K1136" i="2"/>
  <c r="L1136" i="2" s="1"/>
  <c r="K1137" i="2"/>
  <c r="L1137" i="2" s="1"/>
  <c r="K1138" i="2"/>
  <c r="L1138" i="2" s="1"/>
  <c r="K1139" i="2"/>
  <c r="L1139" i="2" s="1"/>
  <c r="K1140" i="2"/>
  <c r="L1140" i="2" s="1"/>
  <c r="K1141" i="2"/>
  <c r="L1141" i="2" s="1"/>
  <c r="K1142" i="2"/>
  <c r="L1142" i="2" s="1"/>
  <c r="K1143" i="2"/>
  <c r="L1143" i="2" s="1"/>
  <c r="K1144" i="2"/>
  <c r="L1144" i="2" s="1"/>
  <c r="K1145" i="2"/>
  <c r="L1145" i="2" s="1"/>
  <c r="K1146" i="2"/>
  <c r="L1146" i="2" s="1"/>
  <c r="K1147" i="2"/>
  <c r="L1147" i="2" s="1"/>
  <c r="K1148" i="2"/>
  <c r="L1148" i="2" s="1"/>
  <c r="K1149" i="2"/>
  <c r="L1149" i="2" s="1"/>
  <c r="K1150" i="2"/>
  <c r="L1150" i="2" s="1"/>
  <c r="K1151" i="2"/>
  <c r="L1151" i="2" s="1"/>
  <c r="K1152" i="2"/>
  <c r="L1152" i="2" s="1"/>
  <c r="K1153" i="2"/>
  <c r="L1153" i="2" s="1"/>
  <c r="K1154" i="2"/>
  <c r="L1154" i="2" s="1"/>
  <c r="K1155" i="2"/>
  <c r="L1155" i="2" s="1"/>
  <c r="K1156" i="2"/>
  <c r="L1156" i="2" s="1"/>
  <c r="K1157" i="2"/>
  <c r="L1157" i="2" s="1"/>
  <c r="K1158" i="2"/>
  <c r="L1158" i="2" s="1"/>
  <c r="K1159" i="2"/>
  <c r="L1159" i="2" s="1"/>
  <c r="K1160" i="2"/>
  <c r="L1160" i="2" s="1"/>
  <c r="K1161" i="2"/>
  <c r="L1161" i="2" s="1"/>
  <c r="K1162" i="2"/>
  <c r="L1162" i="2" s="1"/>
  <c r="K1163" i="2"/>
  <c r="L1163" i="2" s="1"/>
  <c r="K1164" i="2"/>
  <c r="L1164" i="2" s="1"/>
  <c r="K1165" i="2"/>
  <c r="L1165" i="2" s="1"/>
  <c r="K1166" i="2"/>
  <c r="L1166" i="2" s="1"/>
  <c r="K1167" i="2"/>
  <c r="L1167" i="2" s="1"/>
  <c r="K1168" i="2"/>
  <c r="L1168" i="2" s="1"/>
  <c r="K1169" i="2"/>
  <c r="L1169" i="2" s="1"/>
  <c r="K1170" i="2"/>
  <c r="L1170" i="2" s="1"/>
  <c r="K1171" i="2"/>
  <c r="L1171" i="2" s="1"/>
  <c r="K1172" i="2"/>
  <c r="L1172" i="2" s="1"/>
  <c r="K1173" i="2"/>
  <c r="L1173" i="2" s="1"/>
  <c r="K1174" i="2"/>
  <c r="L1174" i="2" s="1"/>
  <c r="K1175" i="2"/>
  <c r="L1175" i="2" s="1"/>
  <c r="K1176" i="2"/>
  <c r="L1176" i="2" s="1"/>
  <c r="K1177" i="2"/>
  <c r="L1177" i="2" s="1"/>
  <c r="K1178" i="2"/>
  <c r="L1178" i="2" s="1"/>
  <c r="K1179" i="2"/>
  <c r="L1179" i="2" s="1"/>
  <c r="K1180" i="2"/>
  <c r="L1180" i="2" s="1"/>
  <c r="K1181" i="2"/>
  <c r="L1181" i="2" s="1"/>
  <c r="K1182" i="2"/>
  <c r="L1182" i="2" s="1"/>
  <c r="M1182" i="2" s="1"/>
  <c r="K1183" i="2"/>
  <c r="L1183" i="2" s="1"/>
  <c r="M1183" i="2" s="1"/>
  <c r="K1184" i="2"/>
  <c r="L1184" i="2" s="1"/>
  <c r="K1185" i="2"/>
  <c r="L1185" i="2" s="1"/>
  <c r="M1185" i="2" s="1"/>
  <c r="K1186" i="2"/>
  <c r="L1186" i="2" s="1"/>
  <c r="M1186" i="2" s="1"/>
  <c r="K1187" i="2"/>
  <c r="L1187" i="2" s="1"/>
  <c r="K1188" i="2"/>
  <c r="L1188" i="2" s="1"/>
  <c r="K1189" i="2"/>
  <c r="L1189" i="2" s="1"/>
  <c r="M1189" i="2" s="1"/>
  <c r="K1190" i="2"/>
  <c r="L1190" i="2" s="1"/>
  <c r="K1191" i="2"/>
  <c r="L1191" i="2" s="1"/>
  <c r="M1191" i="2" s="1"/>
  <c r="K1192" i="2"/>
  <c r="L1192" i="2" s="1"/>
  <c r="K1193" i="2"/>
  <c r="L1193" i="2" s="1"/>
  <c r="K1194" i="2"/>
  <c r="L1194" i="2" s="1"/>
  <c r="K1195" i="2"/>
  <c r="L1195" i="2" s="1"/>
  <c r="K1196" i="2"/>
  <c r="L1196" i="2" s="1"/>
  <c r="K1197" i="2"/>
  <c r="L1197" i="2" s="1"/>
  <c r="K1198" i="2"/>
  <c r="L1198" i="2" s="1"/>
  <c r="K1199" i="2"/>
  <c r="L1199" i="2" s="1"/>
  <c r="K1200" i="2"/>
  <c r="L1200" i="2" s="1"/>
  <c r="M1200" i="2" s="1"/>
  <c r="K1201" i="2"/>
  <c r="L1201" i="2" s="1"/>
  <c r="M1201" i="2" s="1"/>
  <c r="K1202" i="2"/>
  <c r="L1202" i="2" s="1"/>
  <c r="K1203" i="2"/>
  <c r="L1203" i="2" s="1"/>
  <c r="K1204" i="2"/>
  <c r="L1204" i="2" s="1"/>
  <c r="K1205" i="2"/>
  <c r="L1205" i="2" s="1"/>
  <c r="M1205" i="2" s="1"/>
  <c r="K1206" i="2"/>
  <c r="L1206" i="2" s="1"/>
  <c r="K1207" i="2"/>
  <c r="L1207" i="2" s="1"/>
  <c r="K1208" i="2"/>
  <c r="L1208" i="2" s="1"/>
  <c r="K1209" i="2"/>
  <c r="L1209" i="2" s="1"/>
  <c r="K1210" i="2"/>
  <c r="L1210" i="2" s="1"/>
  <c r="K1211" i="2"/>
  <c r="L1211" i="2" s="1"/>
  <c r="K1212" i="2"/>
  <c r="L1212" i="2" s="1"/>
  <c r="K1213" i="2"/>
  <c r="L1213" i="2" s="1"/>
  <c r="K1214" i="2"/>
  <c r="L1214" i="2" s="1"/>
  <c r="K1215" i="2"/>
  <c r="L1215" i="2" s="1"/>
  <c r="K1216" i="2"/>
  <c r="L1216" i="2" s="1"/>
  <c r="K1217" i="2"/>
  <c r="L1217" i="2" s="1"/>
  <c r="K1218" i="2"/>
  <c r="L1218" i="2" s="1"/>
  <c r="K1219" i="2"/>
  <c r="L1219" i="2" s="1"/>
  <c r="K1220" i="2"/>
  <c r="L1220" i="2" s="1"/>
  <c r="K1221" i="2"/>
  <c r="L1221" i="2" s="1"/>
  <c r="K1222" i="2"/>
  <c r="L1222" i="2" s="1"/>
  <c r="K1223" i="2"/>
  <c r="L1223" i="2" s="1"/>
  <c r="K1224" i="2"/>
  <c r="L1224" i="2" s="1"/>
  <c r="K1225" i="2"/>
  <c r="L1225" i="2" s="1"/>
  <c r="K1226" i="2"/>
  <c r="L1226" i="2" s="1"/>
  <c r="K1227" i="2"/>
  <c r="L1227" i="2" s="1"/>
  <c r="K1228" i="2"/>
  <c r="L1228" i="2" s="1"/>
  <c r="K1229" i="2"/>
  <c r="L1229" i="2" s="1"/>
  <c r="K1230" i="2"/>
  <c r="L1230" i="2" s="1"/>
  <c r="K1231" i="2"/>
  <c r="L1231" i="2" s="1"/>
  <c r="K1232" i="2"/>
  <c r="L1232" i="2" s="1"/>
  <c r="K1233" i="2"/>
  <c r="L1233" i="2" s="1"/>
  <c r="K1234" i="2"/>
  <c r="L1234" i="2" s="1"/>
  <c r="K1235" i="2"/>
  <c r="L1235" i="2" s="1"/>
  <c r="K1236" i="2"/>
  <c r="L1236" i="2" s="1"/>
  <c r="K1237" i="2"/>
  <c r="L1237" i="2" s="1"/>
  <c r="K1238" i="2"/>
  <c r="L1238" i="2" s="1"/>
  <c r="K1239" i="2"/>
  <c r="L1239" i="2" s="1"/>
  <c r="K1240" i="2"/>
  <c r="L1240" i="2" s="1"/>
  <c r="K1241" i="2"/>
  <c r="L1241" i="2" s="1"/>
  <c r="K1242" i="2"/>
  <c r="L1242" i="2" s="1"/>
  <c r="K1243" i="2"/>
  <c r="L1243" i="2" s="1"/>
  <c r="K1244" i="2"/>
  <c r="L1244" i="2" s="1"/>
  <c r="K1245" i="2"/>
  <c r="L1245" i="2" s="1"/>
  <c r="K1246" i="2"/>
  <c r="L1246" i="2" s="1"/>
  <c r="K1247" i="2"/>
  <c r="L1247" i="2" s="1"/>
  <c r="K1248" i="2"/>
  <c r="L1248" i="2" s="1"/>
  <c r="K1249" i="2"/>
  <c r="L1249" i="2" s="1"/>
  <c r="K1250" i="2"/>
  <c r="L1250" i="2" s="1"/>
  <c r="K1251" i="2"/>
  <c r="L1251" i="2" s="1"/>
  <c r="K1252" i="2"/>
  <c r="L1252" i="2" s="1"/>
  <c r="K1253" i="2"/>
  <c r="L1253" i="2" s="1"/>
  <c r="K1254" i="2"/>
  <c r="L1254" i="2" s="1"/>
  <c r="K1255" i="2"/>
  <c r="L1255" i="2" s="1"/>
  <c r="K1256" i="2"/>
  <c r="L1256" i="2" s="1"/>
  <c r="K1257" i="2"/>
  <c r="L1257" i="2" s="1"/>
  <c r="K1258" i="2"/>
  <c r="L1258" i="2" s="1"/>
  <c r="K1259" i="2"/>
  <c r="L1259" i="2" s="1"/>
  <c r="K1260" i="2"/>
  <c r="L1260" i="2" s="1"/>
  <c r="K1261" i="2"/>
  <c r="L1261" i="2" s="1"/>
  <c r="K1262" i="2"/>
  <c r="L1262" i="2" s="1"/>
  <c r="K1263" i="2"/>
  <c r="L1263" i="2" s="1"/>
  <c r="K1264" i="2"/>
  <c r="L1264" i="2" s="1"/>
  <c r="K1265" i="2"/>
  <c r="L1265" i="2" s="1"/>
  <c r="K1266" i="2"/>
  <c r="L1266" i="2" s="1"/>
  <c r="K1267" i="2"/>
  <c r="L1267" i="2" s="1"/>
  <c r="K1268" i="2"/>
  <c r="L1268" i="2" s="1"/>
  <c r="K1269" i="2"/>
  <c r="L1269" i="2" s="1"/>
  <c r="K1270" i="2"/>
  <c r="L1270" i="2" s="1"/>
  <c r="K1271" i="2"/>
  <c r="L1271" i="2" s="1"/>
  <c r="K1272" i="2"/>
  <c r="L1272" i="2" s="1"/>
  <c r="K1273" i="2"/>
  <c r="L1273" i="2" s="1"/>
  <c r="K1274" i="2"/>
  <c r="L1274" i="2" s="1"/>
  <c r="K1275" i="2"/>
  <c r="L1275" i="2" s="1"/>
  <c r="K1276" i="2"/>
  <c r="L1276" i="2" s="1"/>
  <c r="K1277" i="2"/>
  <c r="L1277" i="2" s="1"/>
  <c r="K1278" i="2"/>
  <c r="L1278" i="2" s="1"/>
  <c r="K1279" i="2"/>
  <c r="L1279" i="2" s="1"/>
  <c r="K1280" i="2"/>
  <c r="L1280" i="2" s="1"/>
  <c r="K1281" i="2"/>
  <c r="L1281" i="2" s="1"/>
  <c r="K1282" i="2"/>
  <c r="L1282" i="2" s="1"/>
  <c r="K1283" i="2"/>
  <c r="L1283" i="2" s="1"/>
  <c r="K1284" i="2"/>
  <c r="L1284" i="2" s="1"/>
  <c r="K1285" i="2"/>
  <c r="L1285" i="2" s="1"/>
  <c r="K1286" i="2"/>
  <c r="L1286" i="2" s="1"/>
  <c r="K1287" i="2"/>
  <c r="L1287" i="2" s="1"/>
  <c r="K1288" i="2"/>
  <c r="L1288" i="2" s="1"/>
  <c r="K1289" i="2"/>
  <c r="L1289" i="2" s="1"/>
  <c r="K1290" i="2"/>
  <c r="L1290" i="2" s="1"/>
  <c r="K1291" i="2"/>
  <c r="L1291" i="2" s="1"/>
  <c r="K1292" i="2"/>
  <c r="L1292" i="2" s="1"/>
  <c r="K1293" i="2"/>
  <c r="L1293" i="2" s="1"/>
  <c r="K1294" i="2"/>
  <c r="L1294" i="2" s="1"/>
  <c r="K1295" i="2"/>
  <c r="L1295" i="2" s="1"/>
  <c r="K1296" i="2"/>
  <c r="L1296" i="2" s="1"/>
  <c r="K1297" i="2"/>
  <c r="L1297" i="2" s="1"/>
  <c r="K1298" i="2"/>
  <c r="L1298" i="2" s="1"/>
  <c r="K1299" i="2"/>
  <c r="L1299" i="2" s="1"/>
  <c r="K1300" i="2"/>
  <c r="L1300" i="2" s="1"/>
  <c r="K1301" i="2"/>
  <c r="L1301" i="2" s="1"/>
  <c r="K1302" i="2"/>
  <c r="L1302" i="2" s="1"/>
  <c r="K1303" i="2"/>
  <c r="L1303" i="2" s="1"/>
  <c r="K1304" i="2"/>
  <c r="L1304" i="2" s="1"/>
  <c r="K1305" i="2"/>
  <c r="L1305" i="2" s="1"/>
  <c r="K1306" i="2"/>
  <c r="L1306" i="2" s="1"/>
  <c r="K1307" i="2"/>
  <c r="L1307" i="2" s="1"/>
  <c r="K1308" i="2"/>
  <c r="L1308" i="2" s="1"/>
  <c r="K1309" i="2"/>
  <c r="L1309" i="2" s="1"/>
  <c r="K1310" i="2"/>
  <c r="L1310" i="2" s="1"/>
  <c r="K1311" i="2"/>
  <c r="L1311" i="2" s="1"/>
  <c r="M1311" i="2" s="1"/>
  <c r="K1312" i="2"/>
  <c r="L1312" i="2" s="1"/>
  <c r="M1312" i="2" s="1"/>
  <c r="K1313" i="2"/>
  <c r="L1313" i="2" s="1"/>
  <c r="K1314" i="2"/>
  <c r="L1314" i="2" s="1"/>
  <c r="M1314" i="2" s="1"/>
  <c r="K1315" i="2"/>
  <c r="L1315" i="2" s="1"/>
  <c r="M1315" i="2" s="1"/>
  <c r="K1316" i="2"/>
  <c r="L1316" i="2" s="1"/>
  <c r="M1316" i="2" s="1"/>
  <c r="K1317" i="2"/>
  <c r="L1317" i="2" s="1"/>
  <c r="M1317" i="2" s="1"/>
  <c r="K1318" i="2"/>
  <c r="L1318" i="2" s="1"/>
  <c r="M1318" i="2" s="1"/>
  <c r="K1319" i="2"/>
  <c r="L1319" i="2" s="1"/>
  <c r="M1319" i="2" s="1"/>
  <c r="K1320" i="2"/>
  <c r="L1320" i="2" s="1"/>
  <c r="M1320" i="2" s="1"/>
  <c r="K1321" i="2"/>
  <c r="L1321" i="2" s="1"/>
  <c r="M1321" i="2" s="1"/>
  <c r="K1322" i="2"/>
  <c r="L1322" i="2" s="1"/>
  <c r="M1322" i="2" s="1"/>
  <c r="K1323" i="2"/>
  <c r="L1323" i="2" s="1"/>
  <c r="M1323" i="2" s="1"/>
  <c r="K1324" i="2"/>
  <c r="L1324" i="2" s="1"/>
  <c r="M1324" i="2" s="1"/>
  <c r="K1325" i="2"/>
  <c r="L1325" i="2" s="1"/>
  <c r="M1325" i="2" s="1"/>
  <c r="K1326" i="2"/>
  <c r="L1326" i="2" s="1"/>
  <c r="M1326" i="2" s="1"/>
  <c r="K1327" i="2"/>
  <c r="L1327" i="2" s="1"/>
  <c r="M1327" i="2" s="1"/>
  <c r="K1328" i="2"/>
  <c r="L1328" i="2" s="1"/>
  <c r="M1328" i="2" s="1"/>
  <c r="K1329" i="2"/>
  <c r="L1329" i="2" s="1"/>
  <c r="M1329" i="2" s="1"/>
  <c r="K1330" i="2"/>
  <c r="L1330" i="2" s="1"/>
  <c r="M1330" i="2" s="1"/>
  <c r="K1331" i="2"/>
  <c r="L1331" i="2" s="1"/>
  <c r="M1331" i="2" s="1"/>
  <c r="K1332" i="2"/>
  <c r="L1332" i="2" s="1"/>
  <c r="K1333" i="2"/>
  <c r="L1333" i="2" s="1"/>
  <c r="M1333" i="2" s="1"/>
  <c r="K1334" i="2"/>
  <c r="L1334" i="2" s="1"/>
  <c r="M1334" i="2" s="1"/>
  <c r="K1335" i="2"/>
  <c r="L1335" i="2" s="1"/>
  <c r="K1336" i="2"/>
  <c r="L1336" i="2" s="1"/>
  <c r="M1336" i="2" s="1"/>
  <c r="K1337" i="2"/>
  <c r="L1337" i="2" s="1"/>
  <c r="M1337" i="2" s="1"/>
  <c r="K1338" i="2"/>
  <c r="L1338" i="2" s="1"/>
  <c r="K1339" i="2"/>
  <c r="L1339" i="2" s="1"/>
  <c r="K1340" i="2"/>
  <c r="L1340" i="2" s="1"/>
  <c r="K1341" i="2"/>
  <c r="L1341" i="2" s="1"/>
  <c r="K1342" i="2"/>
  <c r="L1342" i="2" s="1"/>
  <c r="K1343" i="2"/>
  <c r="L1343" i="2" s="1"/>
  <c r="K1344" i="2"/>
  <c r="L1344" i="2" s="1"/>
  <c r="K1345" i="2"/>
  <c r="L1345" i="2" s="1"/>
  <c r="M1345" i="2" s="1"/>
  <c r="K1346" i="2"/>
  <c r="L1346" i="2" s="1"/>
  <c r="M1346" i="2" s="1"/>
  <c r="K1347" i="2"/>
  <c r="L1347" i="2" s="1"/>
  <c r="M1347" i="2" s="1"/>
  <c r="K1348" i="2"/>
  <c r="L1348" i="2" s="1"/>
  <c r="M1348" i="2" s="1"/>
  <c r="K1349" i="2"/>
  <c r="L1349" i="2" s="1"/>
  <c r="M1349" i="2" s="1"/>
  <c r="K1350" i="2"/>
  <c r="L1350" i="2" s="1"/>
  <c r="M1350" i="2" s="1"/>
  <c r="K1351" i="2"/>
  <c r="L1351" i="2" s="1"/>
  <c r="K1352" i="2"/>
  <c r="L1352" i="2" s="1"/>
  <c r="M1352" i="2" s="1"/>
  <c r="K1353" i="2"/>
  <c r="L1353" i="2" s="1"/>
  <c r="M1353" i="2" s="1"/>
  <c r="K1354" i="2"/>
  <c r="L1354" i="2" s="1"/>
  <c r="M1354" i="2" s="1"/>
  <c r="K1355" i="2"/>
  <c r="L1355" i="2" s="1"/>
  <c r="K1356" i="2"/>
  <c r="L1356" i="2" s="1"/>
  <c r="K1357" i="2"/>
  <c r="L1357" i="2" s="1"/>
  <c r="K1358" i="2"/>
  <c r="L1358" i="2" s="1"/>
  <c r="K1359" i="2"/>
  <c r="L1359" i="2" s="1"/>
  <c r="K1360" i="2"/>
  <c r="L1360" i="2" s="1"/>
  <c r="K1361" i="2"/>
  <c r="L1361" i="2" s="1"/>
  <c r="K1362" i="2"/>
  <c r="L1362" i="2" s="1"/>
  <c r="K1363" i="2"/>
  <c r="L1363" i="2" s="1"/>
  <c r="K1364" i="2"/>
  <c r="L1364" i="2" s="1"/>
  <c r="K1365" i="2"/>
  <c r="L1365" i="2" s="1"/>
  <c r="K1366" i="2"/>
  <c r="L1366" i="2" s="1"/>
  <c r="K1367" i="2"/>
  <c r="L1367" i="2" s="1"/>
  <c r="K1368" i="2"/>
  <c r="L1368" i="2" s="1"/>
  <c r="M1368" i="2" s="1"/>
  <c r="K1369" i="2"/>
  <c r="L1369" i="2" s="1"/>
  <c r="M1369" i="2" s="1"/>
  <c r="K1370" i="2"/>
  <c r="L1370" i="2" s="1"/>
  <c r="K1371" i="2"/>
  <c r="L1371" i="2" s="1"/>
  <c r="M1371" i="2" s="1"/>
  <c r="K1372" i="2"/>
  <c r="L1372" i="2" s="1"/>
  <c r="M1372" i="2" s="1"/>
  <c r="K1373" i="2"/>
  <c r="L1373" i="2" s="1"/>
  <c r="K1374" i="2"/>
  <c r="L1374" i="2" s="1"/>
  <c r="M1374" i="2" s="1"/>
  <c r="K1375" i="2"/>
  <c r="L1375" i="2" s="1"/>
  <c r="M1375" i="2" s="1"/>
  <c r="K1376" i="2"/>
  <c r="L1376" i="2" s="1"/>
  <c r="K1377" i="2"/>
  <c r="L1377" i="2" s="1"/>
  <c r="M1377" i="2" s="1"/>
  <c r="K1378" i="2"/>
  <c r="L1378" i="2" s="1"/>
  <c r="M1378" i="2" s="1"/>
  <c r="K1379" i="2"/>
  <c r="L1379" i="2" s="1"/>
  <c r="K1380" i="2"/>
  <c r="L1380" i="2" s="1"/>
  <c r="K1381" i="2"/>
  <c r="L1381" i="2" s="1"/>
  <c r="K1382" i="2"/>
  <c r="L1382" i="2" s="1"/>
  <c r="M1382" i="2" s="1"/>
  <c r="K1383" i="2"/>
  <c r="L1383" i="2" s="1"/>
  <c r="M1383" i="2" s="1"/>
  <c r="K1384" i="2"/>
  <c r="L1384" i="2" s="1"/>
  <c r="M1384" i="2" s="1"/>
  <c r="K1385" i="2"/>
  <c r="L1385" i="2" s="1"/>
  <c r="K1386" i="2"/>
  <c r="L1386" i="2" s="1"/>
  <c r="K1387" i="2"/>
  <c r="L1387" i="2" s="1"/>
  <c r="K1388" i="2"/>
  <c r="L1388" i="2" s="1"/>
  <c r="M1388" i="2" s="1"/>
  <c r="K1389" i="2"/>
  <c r="L1389" i="2" s="1"/>
  <c r="M1389" i="2" s="1"/>
  <c r="K1390" i="2"/>
  <c r="L1390" i="2" s="1"/>
  <c r="K1391" i="2"/>
  <c r="L1391" i="2" s="1"/>
  <c r="K1392" i="2"/>
  <c r="L1392" i="2" s="1"/>
  <c r="K1393" i="2"/>
  <c r="L1393" i="2" s="1"/>
  <c r="K1394" i="2"/>
  <c r="L1394" i="2" s="1"/>
  <c r="K1395" i="2"/>
  <c r="L1395" i="2" s="1"/>
  <c r="M1395" i="2" s="1"/>
  <c r="K1396" i="2"/>
  <c r="L1396" i="2" s="1"/>
  <c r="M1396" i="2" s="1"/>
  <c r="K1397" i="2"/>
  <c r="L1397" i="2" s="1"/>
  <c r="K1398" i="2"/>
  <c r="L1398" i="2" s="1"/>
  <c r="M1398" i="2" s="1"/>
  <c r="K1399" i="2"/>
  <c r="L1399" i="2" s="1"/>
  <c r="M1399" i="2" s="1"/>
  <c r="K1400" i="2"/>
  <c r="L1400" i="2" s="1"/>
  <c r="M1400" i="2" s="1"/>
  <c r="K1401" i="2"/>
  <c r="L1401" i="2" s="1"/>
  <c r="K1402" i="2"/>
  <c r="L1402" i="2" s="1"/>
  <c r="K1403" i="2"/>
  <c r="L1403" i="2" s="1"/>
  <c r="K1404" i="2"/>
  <c r="L1404" i="2" s="1"/>
  <c r="M1404" i="2" s="1"/>
  <c r="K1405" i="2"/>
  <c r="L1405" i="2" s="1"/>
  <c r="M1405" i="2" s="1"/>
  <c r="K1406" i="2"/>
  <c r="L1406" i="2" s="1"/>
  <c r="K1407" i="2"/>
  <c r="L1407" i="2" s="1"/>
  <c r="K1408" i="2"/>
  <c r="L1408" i="2" s="1"/>
  <c r="K1409" i="2"/>
  <c r="L1409" i="2" s="1"/>
  <c r="K1410" i="2"/>
  <c r="L1410" i="2" s="1"/>
  <c r="K1411" i="2"/>
  <c r="L1411" i="2" s="1"/>
  <c r="K1412" i="2"/>
  <c r="L1412" i="2" s="1"/>
  <c r="K1413" i="2"/>
  <c r="L1413" i="2" s="1"/>
  <c r="K1414" i="2"/>
  <c r="L1414" i="2" s="1"/>
  <c r="K1415" i="2"/>
  <c r="L1415" i="2" s="1"/>
  <c r="K1416" i="2"/>
  <c r="L1416" i="2" s="1"/>
  <c r="K1417" i="2"/>
  <c r="L1417" i="2" s="1"/>
  <c r="K1418" i="2"/>
  <c r="L1418" i="2" s="1"/>
  <c r="K1419" i="2"/>
  <c r="L1419" i="2" s="1"/>
  <c r="K1420" i="2"/>
  <c r="L1420" i="2" s="1"/>
  <c r="K1421" i="2"/>
  <c r="L1421" i="2" s="1"/>
  <c r="K1422" i="2"/>
  <c r="L1422" i="2" s="1"/>
  <c r="K1423" i="2"/>
  <c r="L1423" i="2" s="1"/>
  <c r="K1424" i="2"/>
  <c r="L1424" i="2" s="1"/>
  <c r="K1425" i="2"/>
  <c r="L1425" i="2" s="1"/>
  <c r="K1426" i="2"/>
  <c r="L1426" i="2" s="1"/>
  <c r="K1427" i="2"/>
  <c r="L1427" i="2" s="1"/>
  <c r="K1428" i="2"/>
  <c r="L1428" i="2" s="1"/>
  <c r="K1429" i="2"/>
  <c r="L1429" i="2" s="1"/>
  <c r="K1430" i="2"/>
  <c r="L1430" i="2" s="1"/>
  <c r="K1431" i="2"/>
  <c r="L1431" i="2" s="1"/>
  <c r="K1432" i="2"/>
  <c r="L1432" i="2" s="1"/>
  <c r="K1433" i="2"/>
  <c r="L1433" i="2" s="1"/>
  <c r="K1434" i="2"/>
  <c r="L1434" i="2" s="1"/>
  <c r="K1435" i="2"/>
  <c r="L1435" i="2" s="1"/>
  <c r="K1436" i="2"/>
  <c r="L1436" i="2" s="1"/>
  <c r="K1437" i="2"/>
  <c r="L1437" i="2" s="1"/>
  <c r="K1438" i="2"/>
  <c r="L1438" i="2" s="1"/>
  <c r="K1439" i="2"/>
  <c r="L1439" i="2" s="1"/>
  <c r="K1440" i="2"/>
  <c r="L1440" i="2" s="1"/>
  <c r="K1441" i="2"/>
  <c r="L1441" i="2" s="1"/>
  <c r="K1442" i="2"/>
  <c r="L1442" i="2" s="1"/>
  <c r="K1443" i="2"/>
  <c r="L1443" i="2" s="1"/>
  <c r="K1444" i="2"/>
  <c r="L1444" i="2" s="1"/>
  <c r="K1445" i="2"/>
  <c r="L1445" i="2" s="1"/>
  <c r="K1446" i="2"/>
  <c r="L1446" i="2" s="1"/>
  <c r="K1447" i="2"/>
  <c r="L1447" i="2" s="1"/>
  <c r="K1448" i="2"/>
  <c r="L1448" i="2" s="1"/>
  <c r="K1449" i="2"/>
  <c r="L1449" i="2" s="1"/>
  <c r="K1450" i="2"/>
  <c r="L1450" i="2" s="1"/>
  <c r="K1451" i="2"/>
  <c r="L1451" i="2" s="1"/>
  <c r="K1452" i="2"/>
  <c r="L1452" i="2" s="1"/>
  <c r="K1453" i="2"/>
  <c r="L1453" i="2" s="1"/>
  <c r="K1454" i="2"/>
  <c r="L1454" i="2" s="1"/>
  <c r="K1455" i="2"/>
  <c r="L1455" i="2" s="1"/>
  <c r="K1456" i="2"/>
  <c r="L1456" i="2" s="1"/>
  <c r="K1457" i="2"/>
  <c r="L1457" i="2" s="1"/>
  <c r="K1458" i="2"/>
  <c r="L1458" i="2" s="1"/>
  <c r="K1459" i="2"/>
  <c r="L1459" i="2" s="1"/>
  <c r="K1460" i="2"/>
  <c r="L1460" i="2" s="1"/>
  <c r="K1461" i="2"/>
  <c r="L1461" i="2" s="1"/>
  <c r="K1462" i="2"/>
  <c r="L1462" i="2" s="1"/>
  <c r="K1463" i="2"/>
  <c r="L1463" i="2" s="1"/>
  <c r="K1464" i="2"/>
  <c r="L1464" i="2" s="1"/>
  <c r="K1465" i="2"/>
  <c r="L1465" i="2" s="1"/>
  <c r="K1466" i="2"/>
  <c r="L1466" i="2" s="1"/>
  <c r="K1467" i="2"/>
  <c r="L1467" i="2" s="1"/>
  <c r="K1468" i="2"/>
  <c r="L1468" i="2" s="1"/>
  <c r="K1469" i="2"/>
  <c r="L1469" i="2" s="1"/>
  <c r="K1470" i="2"/>
  <c r="L1470" i="2" s="1"/>
  <c r="K1471" i="2"/>
  <c r="L1471" i="2" s="1"/>
  <c r="K1472" i="2"/>
  <c r="L1472" i="2" s="1"/>
  <c r="K1473" i="2"/>
  <c r="L1473" i="2" s="1"/>
  <c r="K1474" i="2"/>
  <c r="L1474" i="2" s="1"/>
  <c r="K1475" i="2"/>
  <c r="L1475" i="2" s="1"/>
  <c r="K1476" i="2"/>
  <c r="L1476" i="2" s="1"/>
  <c r="K1477" i="2"/>
  <c r="L1477" i="2" s="1"/>
  <c r="K1478" i="2"/>
  <c r="L1478" i="2" s="1"/>
  <c r="K1479" i="2"/>
  <c r="L1479" i="2" s="1"/>
  <c r="K1480" i="2"/>
  <c r="L1480" i="2" s="1"/>
  <c r="K1481" i="2"/>
  <c r="L1481" i="2" s="1"/>
  <c r="K1482" i="2"/>
  <c r="L1482" i="2" s="1"/>
  <c r="K1483" i="2"/>
  <c r="L1483" i="2" s="1"/>
  <c r="K1484" i="2"/>
  <c r="L1484" i="2" s="1"/>
  <c r="K1485" i="2"/>
  <c r="L1485" i="2" s="1"/>
  <c r="K1486" i="2"/>
  <c r="L1486" i="2" s="1"/>
  <c r="K1487" i="2"/>
  <c r="L1487" i="2" s="1"/>
  <c r="K1488" i="2"/>
  <c r="L1488" i="2" s="1"/>
  <c r="K1489" i="2"/>
  <c r="L1489" i="2" s="1"/>
  <c r="K1490" i="2"/>
  <c r="L1490" i="2" s="1"/>
  <c r="M1490" i="2" s="1"/>
  <c r="K1491" i="2"/>
  <c r="L1491" i="2" s="1"/>
  <c r="M1491" i="2" s="1"/>
  <c r="K1492" i="2"/>
  <c r="L1492" i="2" s="1"/>
  <c r="K1493" i="2"/>
  <c r="L1493" i="2" s="1"/>
  <c r="M1493" i="2" s="1"/>
  <c r="K1494" i="2"/>
  <c r="L1494" i="2" s="1"/>
  <c r="M1494" i="2" s="1"/>
  <c r="K1495" i="2"/>
  <c r="L1495" i="2" s="1"/>
  <c r="K1496" i="2"/>
  <c r="L1496" i="2" s="1"/>
  <c r="M1496" i="2" s="1"/>
  <c r="K1497" i="2"/>
  <c r="L1497" i="2" s="1"/>
  <c r="M1497" i="2" s="1"/>
  <c r="K1498" i="2"/>
  <c r="L1498" i="2" s="1"/>
  <c r="K1499" i="2"/>
  <c r="L1499" i="2" s="1"/>
  <c r="M1499" i="2" s="1"/>
  <c r="K1500" i="2"/>
  <c r="L1500" i="2" s="1"/>
  <c r="M1500" i="2" s="1"/>
  <c r="K1501" i="2"/>
  <c r="L1501" i="2" s="1"/>
  <c r="K1502" i="2"/>
  <c r="L1502" i="2" s="1"/>
  <c r="K1503" i="2"/>
  <c r="L1503" i="2" s="1"/>
  <c r="K1504" i="2"/>
  <c r="L1504" i="2" s="1"/>
  <c r="K1505" i="2"/>
  <c r="L1505" i="2" s="1"/>
  <c r="K1506" i="2"/>
  <c r="L1506" i="2" s="1"/>
  <c r="K1507" i="2"/>
  <c r="L1507" i="2" s="1"/>
  <c r="K1508" i="2"/>
  <c r="L1508" i="2" s="1"/>
  <c r="K1509" i="2"/>
  <c r="L1509" i="2" s="1"/>
  <c r="K1510" i="2"/>
  <c r="L1510" i="2" s="1"/>
  <c r="M1510" i="2" s="1"/>
  <c r="K1511" i="2"/>
  <c r="L1511" i="2" s="1"/>
  <c r="M1511" i="2" s="1"/>
  <c r="K1512" i="2"/>
  <c r="L1512" i="2" s="1"/>
  <c r="K1513" i="2"/>
  <c r="L1513" i="2" s="1"/>
  <c r="K1514" i="2"/>
  <c r="L1514" i="2" s="1"/>
  <c r="M1514" i="2" s="1"/>
  <c r="K1515" i="2"/>
  <c r="L1515" i="2" s="1"/>
  <c r="M1515" i="2" s="1"/>
  <c r="K1516" i="2"/>
  <c r="L1516" i="2" s="1"/>
  <c r="K1517" i="2"/>
  <c r="L1517" i="2" s="1"/>
  <c r="K1518" i="2"/>
  <c r="L1518" i="2" s="1"/>
  <c r="K1519" i="2"/>
  <c r="L1519" i="2" s="1"/>
  <c r="K1520" i="2"/>
  <c r="L1520" i="2" s="1"/>
  <c r="K1521" i="2"/>
  <c r="L1521" i="2" s="1"/>
  <c r="K1522" i="2"/>
  <c r="L1522" i="2" s="1"/>
  <c r="K1523" i="2"/>
  <c r="L1523" i="2" s="1"/>
  <c r="K1524" i="2"/>
  <c r="L1524" i="2" s="1"/>
  <c r="K1525" i="2"/>
  <c r="L1525" i="2" s="1"/>
  <c r="K1526" i="2"/>
  <c r="L1526" i="2" s="1"/>
  <c r="M1526" i="2" s="1"/>
  <c r="K1527" i="2"/>
  <c r="L1527" i="2" s="1"/>
  <c r="M1527" i="2" s="1"/>
  <c r="K1528" i="2"/>
  <c r="L1528" i="2" s="1"/>
  <c r="K1529" i="2"/>
  <c r="L1529" i="2" s="1"/>
  <c r="K1530" i="2"/>
  <c r="L1530" i="2" s="1"/>
  <c r="M1530" i="2" s="1"/>
  <c r="K1531" i="2"/>
  <c r="L1531" i="2" s="1"/>
  <c r="M1531" i="2" s="1"/>
  <c r="K1532" i="2"/>
  <c r="L1532" i="2" s="1"/>
  <c r="K1533" i="2"/>
  <c r="L1533" i="2" s="1"/>
  <c r="K1534" i="2"/>
  <c r="L1534" i="2" s="1"/>
  <c r="K1535" i="2"/>
  <c r="L1535" i="2" s="1"/>
  <c r="K1536" i="2"/>
  <c r="L1536" i="2" s="1"/>
  <c r="K1537" i="2"/>
  <c r="L1537" i="2" s="1"/>
  <c r="K1538" i="2"/>
  <c r="L1538" i="2" s="1"/>
  <c r="K1539" i="2"/>
  <c r="L1539" i="2" s="1"/>
  <c r="K1540" i="2"/>
  <c r="L1540" i="2" s="1"/>
  <c r="K1541" i="2"/>
  <c r="L1541" i="2" s="1"/>
  <c r="K1542" i="2"/>
  <c r="L1542" i="2" s="1"/>
  <c r="K1543" i="2"/>
  <c r="L1543" i="2" s="1"/>
  <c r="K1544" i="2"/>
  <c r="L1544" i="2" s="1"/>
  <c r="K1545" i="2"/>
  <c r="L1545" i="2" s="1"/>
  <c r="K1546" i="2"/>
  <c r="L1546" i="2" s="1"/>
  <c r="K1547" i="2"/>
  <c r="L1547" i="2" s="1"/>
  <c r="K1548" i="2"/>
  <c r="L1548" i="2" s="1"/>
  <c r="K1549" i="2"/>
  <c r="L1549" i="2" s="1"/>
  <c r="K1550" i="2"/>
  <c r="L1550" i="2" s="1"/>
  <c r="K1551" i="2"/>
  <c r="L1551" i="2" s="1"/>
  <c r="K1552" i="2"/>
  <c r="L1552" i="2" s="1"/>
  <c r="K1553" i="2"/>
  <c r="L1553" i="2" s="1"/>
  <c r="K1554" i="2"/>
  <c r="L1554" i="2" s="1"/>
  <c r="K1555" i="2"/>
  <c r="L1555" i="2" s="1"/>
  <c r="K1556" i="2"/>
  <c r="L1556" i="2" s="1"/>
  <c r="K1557" i="2"/>
  <c r="L1557" i="2" s="1"/>
  <c r="K1558" i="2"/>
  <c r="L1558" i="2" s="1"/>
  <c r="K1559" i="2"/>
  <c r="L1559" i="2" s="1"/>
  <c r="K1560" i="2"/>
  <c r="L1560" i="2" s="1"/>
  <c r="K1561" i="2"/>
  <c r="L1561" i="2" s="1"/>
  <c r="M1561" i="2" s="1"/>
  <c r="K1562" i="2"/>
  <c r="L1562" i="2" s="1"/>
  <c r="K1563" i="2"/>
  <c r="L1563" i="2" s="1"/>
  <c r="K1564" i="2"/>
  <c r="L1564" i="2" s="1"/>
  <c r="M1564" i="2" s="1"/>
  <c r="K1565" i="2"/>
  <c r="L1565" i="2" s="1"/>
  <c r="M1565" i="2" s="1"/>
  <c r="K1566" i="2"/>
  <c r="L1566" i="2" s="1"/>
  <c r="K1567" i="2"/>
  <c r="L1567" i="2" s="1"/>
  <c r="K1568" i="2"/>
  <c r="L1568" i="2" s="1"/>
  <c r="K1569" i="2"/>
  <c r="L1569" i="2" s="1"/>
  <c r="K1570" i="2"/>
  <c r="L1570" i="2" s="1"/>
  <c r="K1571" i="2"/>
  <c r="L1571" i="2" s="1"/>
  <c r="K1572" i="2"/>
  <c r="L1572" i="2" s="1"/>
  <c r="K1573" i="2"/>
  <c r="L1573" i="2" s="1"/>
  <c r="K1574" i="2"/>
  <c r="L1574" i="2" s="1"/>
  <c r="K1575" i="2"/>
  <c r="L1575" i="2" s="1"/>
  <c r="K1576" i="2"/>
  <c r="L1576" i="2" s="1"/>
  <c r="K1577" i="2"/>
  <c r="L1577" i="2" s="1"/>
  <c r="K1578" i="2"/>
  <c r="L1578" i="2" s="1"/>
  <c r="K1579" i="2"/>
  <c r="L1579" i="2" s="1"/>
  <c r="K1580" i="2"/>
  <c r="L1580" i="2" s="1"/>
  <c r="K1581" i="2"/>
  <c r="L1581" i="2" s="1"/>
  <c r="K1582" i="2"/>
  <c r="L1582" i="2" s="1"/>
  <c r="K1583" i="2"/>
  <c r="L1583" i="2" s="1"/>
  <c r="K1584" i="2"/>
  <c r="L1584" i="2" s="1"/>
  <c r="K1585" i="2"/>
  <c r="L1585" i="2" s="1"/>
  <c r="K1586" i="2"/>
  <c r="L1586" i="2" s="1"/>
  <c r="K1587" i="2"/>
  <c r="L1587" i="2" s="1"/>
  <c r="K1588" i="2"/>
  <c r="L1588" i="2" s="1"/>
  <c r="K1589" i="2"/>
  <c r="L1589" i="2" s="1"/>
  <c r="M1589" i="2" s="1"/>
  <c r="K1590" i="2"/>
  <c r="L1590" i="2" s="1"/>
  <c r="M1590" i="2" s="1"/>
  <c r="K1591" i="2"/>
  <c r="L1591" i="2" s="1"/>
  <c r="K1592" i="2"/>
  <c r="L1592" i="2" s="1"/>
  <c r="M1592" i="2" s="1"/>
  <c r="K1593" i="2"/>
  <c r="L1593" i="2" s="1"/>
  <c r="M1593" i="2" s="1"/>
  <c r="K1594" i="2"/>
  <c r="L1594" i="2" s="1"/>
  <c r="K1595" i="2"/>
  <c r="L1595" i="2" s="1"/>
  <c r="M1595" i="2" s="1"/>
  <c r="K1596" i="2"/>
  <c r="L1596" i="2" s="1"/>
  <c r="M1596" i="2" s="1"/>
  <c r="K1597" i="2"/>
  <c r="L1597" i="2" s="1"/>
  <c r="K1598" i="2"/>
  <c r="L1598" i="2" s="1"/>
  <c r="M1598" i="2" s="1"/>
  <c r="K1599" i="2"/>
  <c r="L1599" i="2" s="1"/>
  <c r="M1599" i="2" s="1"/>
  <c r="K1600" i="2"/>
  <c r="L1600" i="2" s="1"/>
  <c r="K1601" i="2"/>
  <c r="L1601" i="2" s="1"/>
  <c r="K1602" i="2"/>
  <c r="L1602" i="2" s="1"/>
  <c r="K1603" i="2"/>
  <c r="L1603" i="2" s="1"/>
  <c r="K1604" i="2"/>
  <c r="L1604" i="2" s="1"/>
  <c r="K1605" i="2"/>
  <c r="L1605" i="2" s="1"/>
  <c r="K1606" i="2"/>
  <c r="L1606" i="2" s="1"/>
  <c r="K1607" i="2"/>
  <c r="L1607" i="2" s="1"/>
  <c r="K1608" i="2"/>
  <c r="L1608" i="2" s="1"/>
  <c r="K1609" i="2"/>
  <c r="L1609" i="2" s="1"/>
  <c r="K1610" i="2"/>
  <c r="L1610" i="2" s="1"/>
  <c r="M1610" i="2" s="1"/>
  <c r="K1611" i="2"/>
  <c r="L1611" i="2" s="1"/>
  <c r="K1612" i="2"/>
  <c r="L1612" i="2" s="1"/>
  <c r="K1613" i="2"/>
  <c r="L1613" i="2" s="1"/>
  <c r="K1614" i="2"/>
  <c r="L1614" i="2" s="1"/>
  <c r="M1614" i="2" s="1"/>
  <c r="K1615" i="2"/>
  <c r="L1615" i="2" s="1"/>
  <c r="K1616" i="2"/>
  <c r="L1616" i="2" s="1"/>
  <c r="K1617" i="2"/>
  <c r="L1617" i="2" s="1"/>
  <c r="K1618" i="2"/>
  <c r="L1618" i="2" s="1"/>
  <c r="K1619" i="2"/>
  <c r="L1619" i="2" s="1"/>
  <c r="K1620" i="2"/>
  <c r="L1620" i="2" s="1"/>
  <c r="K1621" i="2"/>
  <c r="L1621" i="2" s="1"/>
  <c r="K1622" i="2"/>
  <c r="L1622" i="2" s="1"/>
  <c r="K1623" i="2"/>
  <c r="L1623" i="2" s="1"/>
  <c r="K1624" i="2"/>
  <c r="L1624" i="2" s="1"/>
  <c r="K1625" i="2"/>
  <c r="L1625" i="2" s="1"/>
  <c r="M1625" i="2" s="1"/>
  <c r="K1626" i="2"/>
  <c r="L1626" i="2" s="1"/>
  <c r="M1626" i="2" s="1"/>
  <c r="K1627" i="2"/>
  <c r="L1627" i="2" s="1"/>
  <c r="K1628" i="2"/>
  <c r="L1628" i="2" s="1"/>
  <c r="M1628" i="2" s="1"/>
  <c r="K1629" i="2"/>
  <c r="L1629" i="2" s="1"/>
  <c r="M1629" i="2" s="1"/>
  <c r="K1630" i="2"/>
  <c r="L1630" i="2" s="1"/>
  <c r="K1631" i="2"/>
  <c r="L1631" i="2" s="1"/>
  <c r="M1631" i="2" s="1"/>
  <c r="K1632" i="2"/>
  <c r="L1632" i="2" s="1"/>
  <c r="M1632" i="2" s="1"/>
  <c r="K1633" i="2"/>
  <c r="L1633" i="2" s="1"/>
  <c r="K1634" i="2"/>
  <c r="L1634" i="2" s="1"/>
  <c r="M1634" i="2" s="1"/>
  <c r="K1635" i="2"/>
  <c r="L1635" i="2" s="1"/>
  <c r="M1635" i="2" s="1"/>
  <c r="K1636" i="2"/>
  <c r="L1636" i="2" s="1"/>
  <c r="K1637" i="2"/>
  <c r="L1637" i="2" s="1"/>
  <c r="K1638" i="2"/>
  <c r="L1638" i="2" s="1"/>
  <c r="K1639" i="2"/>
  <c r="L1639" i="2" s="1"/>
  <c r="K1640" i="2"/>
  <c r="L1640" i="2" s="1"/>
  <c r="K1641" i="2"/>
  <c r="L1641" i="2" s="1"/>
  <c r="K1642" i="2"/>
  <c r="L1642" i="2" s="1"/>
  <c r="K1643" i="2"/>
  <c r="L1643" i="2" s="1"/>
  <c r="K1644" i="2"/>
  <c r="L1644" i="2" s="1"/>
  <c r="K1645" i="2"/>
  <c r="L1645" i="2" s="1"/>
  <c r="K1646" i="2"/>
  <c r="L1646" i="2" s="1"/>
  <c r="K1647" i="2"/>
  <c r="L1647" i="2" s="1"/>
  <c r="K1648" i="2"/>
  <c r="L1648" i="2" s="1"/>
  <c r="K1649" i="2"/>
  <c r="L1649" i="2" s="1"/>
  <c r="K1650" i="2"/>
  <c r="L1650" i="2" s="1"/>
  <c r="K1651" i="2"/>
  <c r="L1651" i="2" s="1"/>
  <c r="K1652" i="2"/>
  <c r="L1652" i="2" s="1"/>
  <c r="K1653" i="2"/>
  <c r="L1653" i="2" s="1"/>
  <c r="K1654" i="2"/>
  <c r="L1654" i="2" s="1"/>
  <c r="K1655" i="2"/>
  <c r="L1655" i="2" s="1"/>
  <c r="K1656" i="2"/>
  <c r="L1656" i="2" s="1"/>
  <c r="K1657" i="2"/>
  <c r="L1657" i="2" s="1"/>
  <c r="K1658" i="2"/>
  <c r="L1658" i="2" s="1"/>
  <c r="K1659" i="2"/>
  <c r="L1659" i="2" s="1"/>
  <c r="K1660" i="2"/>
  <c r="L1660" i="2" s="1"/>
  <c r="K1661" i="2"/>
  <c r="L1661" i="2" s="1"/>
  <c r="K1662" i="2"/>
  <c r="L1662" i="2" s="1"/>
  <c r="K1663" i="2"/>
  <c r="L1663" i="2" s="1"/>
  <c r="K1664" i="2"/>
  <c r="L1664" i="2" s="1"/>
  <c r="K1665" i="2"/>
  <c r="L1665" i="2" s="1"/>
  <c r="K1666" i="2"/>
  <c r="L1666" i="2" s="1"/>
  <c r="K1667" i="2"/>
  <c r="L1667" i="2" s="1"/>
  <c r="K1668" i="2"/>
  <c r="L1668" i="2" s="1"/>
  <c r="K1669" i="2"/>
  <c r="L1669" i="2" s="1"/>
  <c r="K1670" i="2"/>
  <c r="L1670" i="2" s="1"/>
  <c r="K1671" i="2"/>
  <c r="L1671" i="2" s="1"/>
  <c r="K1672" i="2"/>
  <c r="L1672" i="2" s="1"/>
  <c r="K1673" i="2"/>
  <c r="L1673" i="2" s="1"/>
  <c r="K1674" i="2"/>
  <c r="L1674" i="2" s="1"/>
  <c r="K1675" i="2"/>
  <c r="L1675" i="2" s="1"/>
  <c r="K1676" i="2"/>
  <c r="L1676" i="2" s="1"/>
  <c r="K1677" i="2"/>
  <c r="L1677" i="2" s="1"/>
  <c r="K1678" i="2"/>
  <c r="L1678" i="2" s="1"/>
  <c r="K1679" i="2"/>
  <c r="L1679" i="2" s="1"/>
  <c r="K1680" i="2"/>
  <c r="L1680" i="2" s="1"/>
  <c r="K1681" i="2"/>
  <c r="L1681" i="2" s="1"/>
  <c r="K1682" i="2"/>
  <c r="L1682" i="2" s="1"/>
  <c r="K1683" i="2"/>
  <c r="L1683" i="2" s="1"/>
  <c r="K1684" i="2"/>
  <c r="L1684" i="2" s="1"/>
  <c r="K1685" i="2"/>
  <c r="L1685" i="2" s="1"/>
  <c r="K1686" i="2"/>
  <c r="L1686" i="2" s="1"/>
  <c r="K1687" i="2"/>
  <c r="L1687" i="2" s="1"/>
  <c r="K1688" i="2"/>
  <c r="L1688" i="2" s="1"/>
  <c r="K1689" i="2"/>
  <c r="L1689" i="2" s="1"/>
  <c r="K1690" i="2"/>
  <c r="L1690" i="2" s="1"/>
  <c r="K1691" i="2"/>
  <c r="L1691" i="2" s="1"/>
  <c r="K1692" i="2"/>
  <c r="L1692" i="2" s="1"/>
  <c r="K1693" i="2"/>
  <c r="L1693" i="2" s="1"/>
  <c r="K1694" i="2"/>
  <c r="L1694" i="2" s="1"/>
  <c r="K1695" i="2"/>
  <c r="L1695" i="2" s="1"/>
  <c r="K1696" i="2"/>
  <c r="L1696" i="2" s="1"/>
  <c r="K1697" i="2"/>
  <c r="L1697" i="2" s="1"/>
  <c r="K1698" i="2"/>
  <c r="L1698" i="2" s="1"/>
  <c r="K1699" i="2"/>
  <c r="L1699" i="2" s="1"/>
  <c r="K1700" i="2"/>
  <c r="L1700" i="2" s="1"/>
  <c r="K1701" i="2"/>
  <c r="L1701" i="2" s="1"/>
  <c r="K1702" i="2"/>
  <c r="L1702" i="2" s="1"/>
  <c r="K1703" i="2"/>
  <c r="L1703" i="2" s="1"/>
  <c r="K1704" i="2"/>
  <c r="L1704" i="2" s="1"/>
  <c r="K1705" i="2"/>
  <c r="L1705" i="2" s="1"/>
  <c r="K1706" i="2"/>
  <c r="L1706" i="2" s="1"/>
  <c r="K1707" i="2"/>
  <c r="L1707" i="2" s="1"/>
  <c r="K1708" i="2"/>
  <c r="L1708" i="2" s="1"/>
  <c r="K1709" i="2"/>
  <c r="L1709" i="2" s="1"/>
  <c r="K1710" i="2"/>
  <c r="L1710" i="2" s="1"/>
  <c r="K1711" i="2"/>
  <c r="L1711" i="2" s="1"/>
  <c r="K1712" i="2"/>
  <c r="L1712" i="2" s="1"/>
  <c r="K1713" i="2"/>
  <c r="L1713" i="2" s="1"/>
  <c r="K1714" i="2"/>
  <c r="L1714" i="2" s="1"/>
  <c r="K1715" i="2"/>
  <c r="L1715" i="2" s="1"/>
  <c r="K1716" i="2"/>
  <c r="L1716" i="2" s="1"/>
  <c r="K1717" i="2"/>
  <c r="L1717" i="2" s="1"/>
  <c r="K1718" i="2"/>
  <c r="L1718" i="2" s="1"/>
  <c r="K1719" i="2"/>
  <c r="L1719" i="2" s="1"/>
  <c r="K1720" i="2"/>
  <c r="L1720" i="2" s="1"/>
  <c r="M1720" i="2" s="1"/>
  <c r="K1721" i="2"/>
  <c r="L1721" i="2" s="1"/>
  <c r="K1722" i="2"/>
  <c r="L1722" i="2" s="1"/>
  <c r="K1723" i="2"/>
  <c r="L1723" i="2" s="1"/>
  <c r="M1723" i="2" s="1"/>
  <c r="K1724" i="2"/>
  <c r="L1724" i="2" s="1"/>
  <c r="K1725" i="2"/>
  <c r="L1725" i="2" s="1"/>
  <c r="K1726" i="2"/>
  <c r="L1726" i="2" s="1"/>
  <c r="K1727" i="2"/>
  <c r="L1727" i="2" s="1"/>
  <c r="K1728" i="2"/>
  <c r="L1728" i="2" s="1"/>
  <c r="K1729" i="2"/>
  <c r="L1729" i="2" s="1"/>
  <c r="K1730" i="2"/>
  <c r="L1730" i="2" s="1"/>
  <c r="K1731" i="2"/>
  <c r="L1731" i="2" s="1"/>
  <c r="K1732" i="2"/>
  <c r="L1732" i="2" s="1"/>
  <c r="M1732" i="2" s="1"/>
  <c r="K1733" i="2"/>
  <c r="L1733" i="2" s="1"/>
  <c r="M1733" i="2" s="1"/>
  <c r="K1734" i="2"/>
  <c r="L1734" i="2" s="1"/>
  <c r="K1735" i="2"/>
  <c r="L1735" i="2" s="1"/>
  <c r="M1735" i="2" s="1"/>
  <c r="K1736" i="2"/>
  <c r="L1736" i="2" s="1"/>
  <c r="M1736" i="2" s="1"/>
  <c r="K1737" i="2"/>
  <c r="L1737" i="2" s="1"/>
  <c r="K1738" i="2"/>
  <c r="L1738" i="2" s="1"/>
  <c r="M1738" i="2" s="1"/>
  <c r="K1739" i="2"/>
  <c r="L1739" i="2" s="1"/>
  <c r="M1739" i="2" s="1"/>
  <c r="K1740" i="2"/>
  <c r="L1740" i="2" s="1"/>
  <c r="K1741" i="2"/>
  <c r="L1741" i="2" s="1"/>
  <c r="K1742" i="2"/>
  <c r="L1742" i="2" s="1"/>
  <c r="K1743" i="2"/>
  <c r="L1743" i="2" s="1"/>
  <c r="K1744" i="2"/>
  <c r="L1744" i="2" s="1"/>
  <c r="K1745" i="2"/>
  <c r="L1745" i="2" s="1"/>
  <c r="K1746" i="2"/>
  <c r="L1746" i="2" s="1"/>
  <c r="K1747" i="2"/>
  <c r="L1747" i="2" s="1"/>
  <c r="K1748" i="2"/>
  <c r="L1748" i="2" s="1"/>
  <c r="K1749" i="2"/>
  <c r="L1749" i="2" s="1"/>
  <c r="K1750" i="2"/>
  <c r="L1750" i="2" s="1"/>
  <c r="K1751" i="2"/>
  <c r="L1751" i="2" s="1"/>
  <c r="K1752" i="2"/>
  <c r="L1752" i="2" s="1"/>
  <c r="K1753" i="2"/>
  <c r="L1753" i="2" s="1"/>
  <c r="K1754" i="2"/>
  <c r="L1754" i="2" s="1"/>
  <c r="K1755" i="2"/>
  <c r="L1755" i="2" s="1"/>
  <c r="K1756" i="2"/>
  <c r="L1756" i="2" s="1"/>
  <c r="K1757" i="2"/>
  <c r="L1757" i="2" s="1"/>
  <c r="K1758" i="2"/>
  <c r="L1758" i="2" s="1"/>
  <c r="K1759" i="2"/>
  <c r="L1759" i="2" s="1"/>
  <c r="K1760" i="2"/>
  <c r="L1760" i="2" s="1"/>
  <c r="K1761" i="2"/>
  <c r="L1761" i="2" s="1"/>
  <c r="K1762" i="2"/>
  <c r="L1762" i="2" s="1"/>
  <c r="K1763" i="2"/>
  <c r="L1763" i="2" s="1"/>
  <c r="K1764" i="2"/>
  <c r="L1764" i="2" s="1"/>
  <c r="K1765" i="2"/>
  <c r="L1765" i="2" s="1"/>
  <c r="K1766" i="2"/>
  <c r="L1766" i="2" s="1"/>
  <c r="K1767" i="2"/>
  <c r="L1767" i="2" s="1"/>
  <c r="K1768" i="2"/>
  <c r="L1768" i="2" s="1"/>
  <c r="K1769" i="2"/>
  <c r="L1769" i="2" s="1"/>
  <c r="K1770" i="2"/>
  <c r="L1770" i="2" s="1"/>
  <c r="K1771" i="2"/>
  <c r="L1771" i="2" s="1"/>
  <c r="K1772" i="2"/>
  <c r="L1772" i="2" s="1"/>
  <c r="K1773" i="2"/>
  <c r="L1773" i="2" s="1"/>
  <c r="K1774" i="2"/>
  <c r="L1774" i="2" s="1"/>
  <c r="K1775" i="2"/>
  <c r="L1775" i="2" s="1"/>
  <c r="K1776" i="2"/>
  <c r="L1776" i="2" s="1"/>
  <c r="K1777" i="2"/>
  <c r="L1777" i="2" s="1"/>
  <c r="K1778" i="2"/>
  <c r="L1778" i="2" s="1"/>
  <c r="K1779" i="2"/>
  <c r="L1779" i="2" s="1"/>
  <c r="K1780" i="2"/>
  <c r="L1780" i="2" s="1"/>
  <c r="K1781" i="2"/>
  <c r="L1781" i="2" s="1"/>
  <c r="K1782" i="2"/>
  <c r="L1782" i="2" s="1"/>
  <c r="K1783" i="2"/>
  <c r="L1783" i="2" s="1"/>
  <c r="K1784" i="2"/>
  <c r="L1784" i="2" s="1"/>
  <c r="K1785" i="2"/>
  <c r="L1785" i="2" s="1"/>
  <c r="K1786" i="2"/>
  <c r="L1786" i="2" s="1"/>
  <c r="K1787" i="2"/>
  <c r="L1787" i="2" s="1"/>
  <c r="K1788" i="2"/>
  <c r="L1788" i="2" s="1"/>
  <c r="K1789" i="2"/>
  <c r="L1789" i="2" s="1"/>
  <c r="K1790" i="2"/>
  <c r="L1790" i="2" s="1"/>
  <c r="K1791" i="2"/>
  <c r="L1791" i="2" s="1"/>
  <c r="K1792" i="2"/>
  <c r="L1792" i="2" s="1"/>
  <c r="K1793" i="2"/>
  <c r="L1793" i="2" s="1"/>
  <c r="K1794" i="2"/>
  <c r="L1794" i="2" s="1"/>
  <c r="K1795" i="2"/>
  <c r="L1795" i="2" s="1"/>
  <c r="K1796" i="2"/>
  <c r="L1796" i="2" s="1"/>
  <c r="K1797" i="2"/>
  <c r="L1797" i="2" s="1"/>
  <c r="K1798" i="2"/>
  <c r="L1798" i="2" s="1"/>
  <c r="K1799" i="2"/>
  <c r="L1799" i="2" s="1"/>
  <c r="K1800" i="2"/>
  <c r="L1800" i="2" s="1"/>
  <c r="K1801" i="2"/>
  <c r="L1801" i="2" s="1"/>
  <c r="K1802" i="2"/>
  <c r="L1802" i="2" s="1"/>
  <c r="M1802" i="2" s="1"/>
  <c r="K1803" i="2"/>
  <c r="L1803" i="2" s="1"/>
  <c r="M1803" i="2" s="1"/>
  <c r="K1804" i="2"/>
  <c r="L1804" i="2" s="1"/>
  <c r="K1805" i="2"/>
  <c r="L1805" i="2" s="1"/>
  <c r="M1805" i="2" s="1"/>
  <c r="K1806" i="2"/>
  <c r="L1806" i="2" s="1"/>
  <c r="K1807" i="2"/>
  <c r="L1807" i="2" s="1"/>
  <c r="K1808" i="2"/>
  <c r="L1808" i="2" s="1"/>
  <c r="K1809" i="2"/>
  <c r="L1809" i="2" s="1"/>
  <c r="K1810" i="2"/>
  <c r="L1810" i="2" s="1"/>
  <c r="K1811" i="2"/>
  <c r="L1811" i="2" s="1"/>
  <c r="K1812" i="2"/>
  <c r="L1812" i="2" s="1"/>
  <c r="K1813" i="2"/>
  <c r="L1813" i="2" s="1"/>
  <c r="K1814" i="2"/>
  <c r="L1814" i="2" s="1"/>
  <c r="K1815" i="2"/>
  <c r="L1815" i="2" s="1"/>
  <c r="K1816" i="2"/>
  <c r="L1816" i="2" s="1"/>
  <c r="K1817" i="2"/>
  <c r="L1817" i="2" s="1"/>
  <c r="K1818" i="2"/>
  <c r="L1818" i="2" s="1"/>
  <c r="K1819" i="2"/>
  <c r="L1819" i="2" s="1"/>
  <c r="K1820" i="2"/>
  <c r="L1820" i="2" s="1"/>
  <c r="K1821" i="2"/>
  <c r="L1821" i="2" s="1"/>
  <c r="K1822" i="2"/>
  <c r="L1822" i="2" s="1"/>
  <c r="K1823" i="2"/>
  <c r="L1823" i="2" s="1"/>
  <c r="K1824" i="2"/>
  <c r="L1824" i="2" s="1"/>
  <c r="K1825" i="2"/>
  <c r="L1825" i="2" s="1"/>
  <c r="K1826" i="2"/>
  <c r="L1826" i="2" s="1"/>
  <c r="K1827" i="2"/>
  <c r="L1827" i="2" s="1"/>
  <c r="K1828" i="2"/>
  <c r="L1828" i="2" s="1"/>
  <c r="K1829" i="2"/>
  <c r="L1829" i="2" s="1"/>
  <c r="K1830" i="2"/>
  <c r="L1830" i="2" s="1"/>
  <c r="K1831" i="2"/>
  <c r="L1831" i="2" s="1"/>
  <c r="K1832" i="2"/>
  <c r="L1832" i="2" s="1"/>
  <c r="K1833" i="2"/>
  <c r="L1833" i="2" s="1"/>
  <c r="K1834" i="2"/>
  <c r="L1834" i="2" s="1"/>
  <c r="K1835" i="2"/>
  <c r="L1835" i="2" s="1"/>
  <c r="K1836" i="2"/>
  <c r="L1836" i="2" s="1"/>
  <c r="K1837" i="2"/>
  <c r="L1837" i="2" s="1"/>
  <c r="K1838" i="2"/>
  <c r="L1838" i="2" s="1"/>
  <c r="K1839" i="2"/>
  <c r="L1839" i="2" s="1"/>
  <c r="K1840" i="2"/>
  <c r="L1840" i="2" s="1"/>
  <c r="K1841" i="2"/>
  <c r="L1841" i="2" s="1"/>
  <c r="K1842" i="2"/>
  <c r="L1842" i="2" s="1"/>
  <c r="K1843" i="2"/>
  <c r="L1843" i="2" s="1"/>
  <c r="K1844" i="2"/>
  <c r="L1844" i="2" s="1"/>
  <c r="K1845" i="2"/>
  <c r="L1845" i="2" s="1"/>
  <c r="K1846" i="2"/>
  <c r="L1846" i="2" s="1"/>
  <c r="K1847" i="2"/>
  <c r="L1847" i="2" s="1"/>
  <c r="K1848" i="2"/>
  <c r="L1848" i="2" s="1"/>
  <c r="K1849" i="2"/>
  <c r="L1849" i="2" s="1"/>
  <c r="K1850" i="2"/>
  <c r="L1850" i="2" s="1"/>
  <c r="K1851" i="2"/>
  <c r="L1851" i="2" s="1"/>
  <c r="K1852" i="2"/>
  <c r="L1852" i="2" s="1"/>
  <c r="K1853" i="2"/>
  <c r="L1853" i="2" s="1"/>
  <c r="K1854" i="2"/>
  <c r="L1854" i="2" s="1"/>
  <c r="K1855" i="2"/>
  <c r="L1855" i="2" s="1"/>
  <c r="K1856" i="2"/>
  <c r="L1856" i="2" s="1"/>
  <c r="K1857" i="2"/>
  <c r="L1857" i="2" s="1"/>
  <c r="K1858" i="2"/>
  <c r="L1858" i="2" s="1"/>
  <c r="K1859" i="2"/>
  <c r="L1859" i="2" s="1"/>
  <c r="K1860" i="2"/>
  <c r="L1860" i="2" s="1"/>
  <c r="K1861" i="2"/>
  <c r="L1861" i="2" s="1"/>
  <c r="K1862" i="2"/>
  <c r="L1862" i="2" s="1"/>
  <c r="K1863" i="2"/>
  <c r="L1863" i="2" s="1"/>
  <c r="K1864" i="2"/>
  <c r="L1864" i="2" s="1"/>
  <c r="K1865" i="2"/>
  <c r="L1865" i="2" s="1"/>
  <c r="K1866" i="2"/>
  <c r="L1866" i="2" s="1"/>
  <c r="K1867" i="2"/>
  <c r="L1867" i="2" s="1"/>
  <c r="K1868" i="2"/>
  <c r="L1868" i="2" s="1"/>
  <c r="K1869" i="2"/>
  <c r="L1869" i="2" s="1"/>
  <c r="K1870" i="2"/>
  <c r="L1870" i="2" s="1"/>
  <c r="K1871" i="2"/>
  <c r="L1871" i="2" s="1"/>
  <c r="K1872" i="2"/>
  <c r="L1872" i="2" s="1"/>
  <c r="K1873" i="2"/>
  <c r="L1873" i="2" s="1"/>
  <c r="K1874" i="2"/>
  <c r="L1874" i="2" s="1"/>
  <c r="K1875" i="2"/>
  <c r="L1875" i="2" s="1"/>
  <c r="K1876" i="2"/>
  <c r="L1876" i="2" s="1"/>
  <c r="K1877" i="2"/>
  <c r="L1877" i="2" s="1"/>
  <c r="K1878" i="2"/>
  <c r="L1878" i="2" s="1"/>
  <c r="K1879" i="2"/>
  <c r="L1879" i="2" s="1"/>
  <c r="K1880" i="2"/>
  <c r="L1880" i="2" s="1"/>
  <c r="K1881" i="2"/>
  <c r="L1881" i="2" s="1"/>
  <c r="K1882" i="2"/>
  <c r="L1882" i="2" s="1"/>
  <c r="K1883" i="2"/>
  <c r="L1883" i="2" s="1"/>
  <c r="M1883" i="2" s="1"/>
  <c r="K1884" i="2"/>
  <c r="L1884" i="2" s="1"/>
  <c r="K1885" i="2"/>
  <c r="L1885" i="2" s="1"/>
  <c r="K1886" i="2"/>
  <c r="L1886" i="2" s="1"/>
  <c r="K1887" i="2"/>
  <c r="L1887" i="2" s="1"/>
  <c r="K1888" i="2"/>
  <c r="L1888" i="2" s="1"/>
  <c r="K1889" i="2"/>
  <c r="L1889" i="2" s="1"/>
  <c r="K1890" i="2"/>
  <c r="L1890" i="2" s="1"/>
  <c r="K1891" i="2"/>
  <c r="L1891" i="2" s="1"/>
  <c r="K1892" i="2"/>
  <c r="L1892" i="2" s="1"/>
  <c r="K1893" i="2"/>
  <c r="L1893" i="2" s="1"/>
  <c r="M1893" i="2" s="1"/>
  <c r="K1894" i="2"/>
  <c r="L1894" i="2" s="1"/>
  <c r="K1895" i="2"/>
  <c r="L1895" i="2" s="1"/>
  <c r="K1896" i="2"/>
  <c r="L1896" i="2" s="1"/>
  <c r="K1897" i="2"/>
  <c r="L1897" i="2" s="1"/>
  <c r="K1898" i="2"/>
  <c r="L1898" i="2" s="1"/>
  <c r="K1899" i="2"/>
  <c r="L1899" i="2" s="1"/>
  <c r="K1900" i="2"/>
  <c r="L1900" i="2" s="1"/>
  <c r="K1901" i="2"/>
  <c r="L1901" i="2" s="1"/>
  <c r="K1902" i="2"/>
  <c r="L1902" i="2" s="1"/>
  <c r="M1902" i="2" s="1"/>
  <c r="K1903" i="2"/>
  <c r="L1903" i="2" s="1"/>
  <c r="M1903" i="2" s="1"/>
  <c r="K1904" i="2"/>
  <c r="L1904" i="2" s="1"/>
  <c r="K1905" i="2"/>
  <c r="L1905" i="2" s="1"/>
  <c r="M1905" i="2" s="1"/>
  <c r="K1906" i="2"/>
  <c r="L1906" i="2" s="1"/>
  <c r="M1906" i="2" s="1"/>
  <c r="K1907" i="2"/>
  <c r="L1907" i="2" s="1"/>
  <c r="K1908" i="2"/>
  <c r="L1908" i="2" s="1"/>
  <c r="K1909" i="2"/>
  <c r="L1909" i="2" s="1"/>
  <c r="K1910" i="2"/>
  <c r="L1910" i="2" s="1"/>
  <c r="K1911" i="2"/>
  <c r="L1911" i="2" s="1"/>
  <c r="K1912" i="2"/>
  <c r="L1912" i="2" s="1"/>
  <c r="K1913" i="2"/>
  <c r="L1913" i="2" s="1"/>
  <c r="K1914" i="2"/>
  <c r="L1914" i="2" s="1"/>
  <c r="K1915" i="2"/>
  <c r="L1915" i="2" s="1"/>
  <c r="K1916" i="2"/>
  <c r="L1916" i="2" s="1"/>
  <c r="K1917" i="2"/>
  <c r="L1917" i="2" s="1"/>
  <c r="K1918" i="2"/>
  <c r="L1918" i="2" s="1"/>
  <c r="K1919" i="2"/>
  <c r="L1919" i="2" s="1"/>
  <c r="K1920" i="2"/>
  <c r="L1920" i="2" s="1"/>
  <c r="K1921" i="2"/>
  <c r="L1921" i="2" s="1"/>
  <c r="K1922" i="2"/>
  <c r="L1922" i="2" s="1"/>
  <c r="K1923" i="2"/>
  <c r="L1923" i="2" s="1"/>
  <c r="K1924" i="2"/>
  <c r="L1924" i="2" s="1"/>
  <c r="K1925" i="2"/>
  <c r="L1925" i="2" s="1"/>
  <c r="K1926" i="2"/>
  <c r="L1926" i="2" s="1"/>
  <c r="K1927" i="2"/>
  <c r="L1927" i="2" s="1"/>
  <c r="K1928" i="2"/>
  <c r="L1928" i="2" s="1"/>
  <c r="K1929" i="2"/>
  <c r="L1929" i="2" s="1"/>
  <c r="K1930" i="2"/>
  <c r="L1930" i="2" s="1"/>
  <c r="K1931" i="2"/>
  <c r="L1931" i="2" s="1"/>
  <c r="K1932" i="2"/>
  <c r="L1932" i="2" s="1"/>
  <c r="K1933" i="2"/>
  <c r="L1933" i="2" s="1"/>
  <c r="K1934" i="2"/>
  <c r="L1934" i="2" s="1"/>
  <c r="K1935" i="2"/>
  <c r="L1935" i="2" s="1"/>
  <c r="K1936" i="2"/>
  <c r="L1936" i="2" s="1"/>
  <c r="K1937" i="2"/>
  <c r="L1937" i="2" s="1"/>
  <c r="K1938" i="2"/>
  <c r="L1938" i="2" s="1"/>
  <c r="K1939" i="2"/>
  <c r="L1939" i="2" s="1"/>
  <c r="K1940" i="2"/>
  <c r="L1940" i="2" s="1"/>
  <c r="K1941" i="2"/>
  <c r="L1941" i="2" s="1"/>
  <c r="K1942" i="2"/>
  <c r="L1942" i="2" s="1"/>
  <c r="K1943" i="2"/>
  <c r="L1943" i="2" s="1"/>
  <c r="M1943" i="2" s="1"/>
  <c r="K1944" i="2"/>
  <c r="L1944" i="2" s="1"/>
  <c r="K1945" i="2"/>
  <c r="L1945" i="2" s="1"/>
  <c r="K1946" i="2"/>
  <c r="L1946" i="2" s="1"/>
  <c r="K1947" i="2"/>
  <c r="L1947" i="2" s="1"/>
  <c r="K1948" i="2"/>
  <c r="L1948" i="2" s="1"/>
  <c r="K1949" i="2"/>
  <c r="L1949" i="2" s="1"/>
  <c r="K1950" i="2"/>
  <c r="L1950" i="2" s="1"/>
  <c r="K1951" i="2"/>
  <c r="L1951" i="2" s="1"/>
  <c r="K1952" i="2"/>
  <c r="L1952" i="2" s="1"/>
  <c r="K1953" i="2"/>
  <c r="L1953" i="2" s="1"/>
  <c r="K1954" i="2"/>
  <c r="L1954" i="2" s="1"/>
  <c r="K1955" i="2"/>
  <c r="L1955" i="2" s="1"/>
  <c r="K1956" i="2"/>
  <c r="L1956" i="2" s="1"/>
  <c r="K1957" i="2"/>
  <c r="L1957" i="2" s="1"/>
  <c r="K1958" i="2"/>
  <c r="L1958" i="2" s="1"/>
  <c r="K1959" i="2"/>
  <c r="L1959" i="2" s="1"/>
  <c r="K1960" i="2"/>
  <c r="L1960" i="2" s="1"/>
  <c r="K1961" i="2"/>
  <c r="L1961" i="2" s="1"/>
  <c r="K1962" i="2"/>
  <c r="L1962" i="2" s="1"/>
  <c r="K1963" i="2"/>
  <c r="L1963" i="2" s="1"/>
  <c r="K1964" i="2"/>
  <c r="L1964" i="2" s="1"/>
  <c r="K1965" i="2"/>
  <c r="L1965" i="2" s="1"/>
  <c r="K1966" i="2"/>
  <c r="L1966" i="2" s="1"/>
  <c r="K1967" i="2"/>
  <c r="L1967" i="2" s="1"/>
  <c r="K1968" i="2"/>
  <c r="L1968" i="2" s="1"/>
  <c r="K1969" i="2"/>
  <c r="L1969" i="2" s="1"/>
  <c r="K1970" i="2"/>
  <c r="L1970" i="2" s="1"/>
  <c r="K1971" i="2"/>
  <c r="L1971" i="2" s="1"/>
  <c r="K1972" i="2"/>
  <c r="L1972" i="2" s="1"/>
  <c r="K1973" i="2"/>
  <c r="L1973" i="2" s="1"/>
  <c r="K1974" i="2"/>
  <c r="L1974" i="2" s="1"/>
  <c r="K1975" i="2"/>
  <c r="L1975" i="2" s="1"/>
  <c r="K1976" i="2"/>
  <c r="L1976" i="2" s="1"/>
  <c r="K1977" i="2"/>
  <c r="L1977" i="2" s="1"/>
  <c r="K1978" i="2"/>
  <c r="L1978" i="2" s="1"/>
  <c r="K1979" i="2"/>
  <c r="L1979" i="2" s="1"/>
  <c r="M1979" i="2" s="1"/>
  <c r="K1980" i="2"/>
  <c r="L1980" i="2" s="1"/>
  <c r="M1980" i="2" s="1"/>
  <c r="K1981" i="2"/>
  <c r="L1981" i="2" s="1"/>
  <c r="K1982" i="2"/>
  <c r="L1982" i="2" s="1"/>
  <c r="K1983" i="2"/>
  <c r="L1983" i="2" s="1"/>
  <c r="M1983" i="2" s="1"/>
  <c r="K1984" i="2"/>
  <c r="L1984" i="2" s="1"/>
  <c r="K1985" i="2"/>
  <c r="L1985" i="2" s="1"/>
  <c r="K1986" i="2"/>
  <c r="L1986" i="2" s="1"/>
  <c r="M1986" i="2" s="1"/>
  <c r="K1987" i="2"/>
  <c r="L1987" i="2" s="1"/>
  <c r="K1988" i="2"/>
  <c r="L1988" i="2" s="1"/>
  <c r="K1989" i="2"/>
  <c r="L1989" i="2" s="1"/>
  <c r="K1990" i="2"/>
  <c r="L1990" i="2" s="1"/>
  <c r="K1991" i="2"/>
  <c r="L1991" i="2" s="1"/>
  <c r="K1992" i="2"/>
  <c r="L1992" i="2" s="1"/>
  <c r="K1993" i="2"/>
  <c r="L1993" i="2" s="1"/>
  <c r="K1994" i="2"/>
  <c r="L1994" i="2" s="1"/>
  <c r="K1995" i="2"/>
  <c r="L1995" i="2" s="1"/>
  <c r="K1996" i="2"/>
  <c r="L1996" i="2" s="1"/>
  <c r="K1997" i="2"/>
  <c r="L1997" i="2" s="1"/>
  <c r="K1998" i="2"/>
  <c r="L1998" i="2" s="1"/>
  <c r="K1999" i="2"/>
  <c r="L1999" i="2" s="1"/>
  <c r="K2000" i="2"/>
  <c r="L2000" i="2" s="1"/>
  <c r="K2001" i="2"/>
  <c r="L2001" i="2" s="1"/>
  <c r="M2001" i="2" s="1"/>
  <c r="K2002" i="2"/>
  <c r="L2002" i="2" s="1"/>
  <c r="K2003" i="2"/>
  <c r="L2003" i="2" s="1"/>
  <c r="K2004" i="2"/>
  <c r="L2004" i="2" s="1"/>
  <c r="M2004" i="2" s="1"/>
  <c r="K2005" i="2"/>
  <c r="L2005" i="2" s="1"/>
  <c r="K2006" i="2"/>
  <c r="L2006" i="2" s="1"/>
  <c r="K2007" i="2"/>
  <c r="L2007" i="2" s="1"/>
  <c r="K2008" i="2"/>
  <c r="L2008" i="2" s="1"/>
  <c r="K2009" i="2"/>
  <c r="L2009" i="2" s="1"/>
  <c r="K2010" i="2"/>
  <c r="L2010" i="2" s="1"/>
  <c r="K2011" i="2"/>
  <c r="L2011" i="2" s="1"/>
  <c r="K2012" i="2"/>
  <c r="L2012" i="2" s="1"/>
  <c r="K2013" i="2"/>
  <c r="L2013" i="2" s="1"/>
  <c r="K2014" i="2"/>
  <c r="L2014" i="2" s="1"/>
  <c r="K2015" i="2"/>
  <c r="L2015" i="2" s="1"/>
  <c r="K2016" i="2"/>
  <c r="L2016" i="2" s="1"/>
  <c r="K2017" i="2"/>
  <c r="L2017" i="2" s="1"/>
  <c r="K2018" i="2"/>
  <c r="L2018" i="2" s="1"/>
  <c r="M2018" i="2" s="1"/>
  <c r="K2019" i="2"/>
  <c r="L2019" i="2" s="1"/>
  <c r="M2019" i="2" s="1"/>
  <c r="K2020" i="2"/>
  <c r="L2020" i="2" s="1"/>
  <c r="K2021" i="2"/>
  <c r="L2021" i="2" s="1"/>
  <c r="M2021" i="2" s="1"/>
  <c r="K2022" i="2"/>
  <c r="L2022" i="2" s="1"/>
  <c r="M2022" i="2" s="1"/>
  <c r="K2023" i="2"/>
  <c r="L2023" i="2" s="1"/>
  <c r="K2024" i="2"/>
  <c r="L2024" i="2" s="1"/>
  <c r="M2024" i="2" s="1"/>
  <c r="K2025" i="2"/>
  <c r="L2025" i="2" s="1"/>
  <c r="M2025" i="2" s="1"/>
  <c r="K2026" i="2"/>
  <c r="L2026" i="2" s="1"/>
  <c r="K2027" i="2"/>
  <c r="L2027" i="2" s="1"/>
  <c r="M2027" i="2" s="1"/>
  <c r="K2028" i="2"/>
  <c r="L2028" i="2" s="1"/>
  <c r="M2028" i="2" s="1"/>
  <c r="K2029" i="2"/>
  <c r="L2029" i="2" s="1"/>
  <c r="K2030" i="2"/>
  <c r="L2030" i="2" s="1"/>
  <c r="K2031" i="2"/>
  <c r="L2031" i="2" s="1"/>
  <c r="K2032" i="2"/>
  <c r="L2032" i="2" s="1"/>
  <c r="K2033" i="2"/>
  <c r="L2033" i="2" s="1"/>
  <c r="K2034" i="2"/>
  <c r="L2034" i="2" s="1"/>
  <c r="K2035" i="2"/>
  <c r="L2035" i="2" s="1"/>
  <c r="K2036" i="2"/>
  <c r="L2036" i="2" s="1"/>
  <c r="K2037" i="2"/>
  <c r="L2037" i="2" s="1"/>
  <c r="K2038" i="2"/>
  <c r="L2038" i="2" s="1"/>
  <c r="K2039" i="2"/>
  <c r="L2039" i="2" s="1"/>
  <c r="K2040" i="2"/>
  <c r="L2040" i="2" s="1"/>
  <c r="K2041" i="2"/>
  <c r="L2041" i="2" s="1"/>
  <c r="K2042" i="2"/>
  <c r="L2042" i="2" s="1"/>
  <c r="K2043" i="2"/>
  <c r="L2043" i="2" s="1"/>
  <c r="K2044" i="2"/>
  <c r="L2044" i="2" s="1"/>
  <c r="K2045" i="2"/>
  <c r="L2045" i="2" s="1"/>
  <c r="K2046" i="2"/>
  <c r="L2046" i="2" s="1"/>
  <c r="K2047" i="2"/>
  <c r="L2047" i="2" s="1"/>
  <c r="K2048" i="2"/>
  <c r="L2048" i="2" s="1"/>
  <c r="K2049" i="2"/>
  <c r="L2049" i="2" s="1"/>
  <c r="K2050" i="2"/>
  <c r="L2050" i="2" s="1"/>
  <c r="K2051" i="2"/>
  <c r="L2051" i="2" s="1"/>
  <c r="K2052" i="2"/>
  <c r="L2052" i="2" s="1"/>
  <c r="K2053" i="2"/>
  <c r="L2053" i="2" s="1"/>
  <c r="K2054" i="2"/>
  <c r="L2054" i="2" s="1"/>
  <c r="K2055" i="2"/>
  <c r="L2055" i="2" s="1"/>
  <c r="K2056" i="2"/>
  <c r="L2056" i="2" s="1"/>
  <c r="K2057" i="2"/>
  <c r="L2057" i="2" s="1"/>
  <c r="K2058" i="2"/>
  <c r="L2058" i="2" s="1"/>
  <c r="K2059" i="2"/>
  <c r="L2059" i="2" s="1"/>
  <c r="M2059" i="2" s="1"/>
  <c r="K2060" i="2"/>
  <c r="L2060" i="2" s="1"/>
  <c r="M2060" i="2" s="1"/>
  <c r="K2061" i="2"/>
  <c r="L2061" i="2" s="1"/>
  <c r="K2062" i="2"/>
  <c r="L2062" i="2" s="1"/>
  <c r="K2063" i="2"/>
  <c r="L2063" i="2" s="1"/>
  <c r="K2064" i="2"/>
  <c r="L2064" i="2" s="1"/>
  <c r="K2065" i="2"/>
  <c r="L2065" i="2" s="1"/>
  <c r="K2066" i="2"/>
  <c r="L2066" i="2" s="1"/>
  <c r="K2067" i="2"/>
  <c r="L2067" i="2" s="1"/>
  <c r="K2068" i="2"/>
  <c r="L2068" i="2" s="1"/>
  <c r="K2069" i="2"/>
  <c r="L2069" i="2" s="1"/>
  <c r="K2070" i="2"/>
  <c r="L2070" i="2" s="1"/>
  <c r="K2071" i="2"/>
  <c r="L2071" i="2" s="1"/>
  <c r="K2072" i="2"/>
  <c r="L2072" i="2" s="1"/>
  <c r="K2073" i="2"/>
  <c r="L2073" i="2" s="1"/>
  <c r="K2074" i="2"/>
  <c r="L2074" i="2" s="1"/>
  <c r="K2075" i="2"/>
  <c r="L2075" i="2" s="1"/>
  <c r="K2076" i="2"/>
  <c r="L2076" i="2" s="1"/>
  <c r="K2077" i="2"/>
  <c r="L2077" i="2" s="1"/>
  <c r="M2077" i="2" s="1"/>
  <c r="K2078" i="2"/>
  <c r="L2078" i="2" s="1"/>
  <c r="K2079" i="2"/>
  <c r="L2079" i="2" s="1"/>
  <c r="K2080" i="2"/>
  <c r="L2080" i="2" s="1"/>
  <c r="K2081" i="2"/>
  <c r="L2081" i="2" s="1"/>
  <c r="K2082" i="2"/>
  <c r="L2082" i="2" s="1"/>
  <c r="K2083" i="2"/>
  <c r="L2083" i="2" s="1"/>
  <c r="K2084" i="2"/>
  <c r="L2084" i="2" s="1"/>
  <c r="K2085" i="2"/>
  <c r="L2085" i="2" s="1"/>
  <c r="K2086" i="2"/>
  <c r="L2086" i="2" s="1"/>
  <c r="K2087" i="2"/>
  <c r="L2087" i="2" s="1"/>
  <c r="K2088" i="2"/>
  <c r="L2088" i="2" s="1"/>
  <c r="K2089" i="2"/>
  <c r="L2089" i="2" s="1"/>
  <c r="K2090" i="2"/>
  <c r="L2090" i="2" s="1"/>
  <c r="K2091" i="2"/>
  <c r="L2091" i="2" s="1"/>
  <c r="K2092" i="2"/>
  <c r="L2092" i="2" s="1"/>
  <c r="K2093" i="2"/>
  <c r="L2093" i="2" s="1"/>
  <c r="K2094" i="2"/>
  <c r="L2094" i="2" s="1"/>
  <c r="K2095" i="2"/>
  <c r="L2095" i="2" s="1"/>
  <c r="K2096" i="2"/>
  <c r="L2096" i="2" s="1"/>
  <c r="K2097" i="2"/>
  <c r="L2097" i="2" s="1"/>
  <c r="K2098" i="2"/>
  <c r="L2098" i="2" s="1"/>
  <c r="K2099" i="2"/>
  <c r="L2099" i="2" s="1"/>
  <c r="K2100" i="2"/>
  <c r="L2100" i="2" s="1"/>
  <c r="K2101" i="2"/>
  <c r="L2101" i="2" s="1"/>
  <c r="K2102" i="2"/>
  <c r="L2102" i="2" s="1"/>
  <c r="K2103" i="2"/>
  <c r="L2103" i="2" s="1"/>
  <c r="K2104" i="2"/>
  <c r="L2104" i="2" s="1"/>
  <c r="K2105" i="2"/>
  <c r="L2105" i="2" s="1"/>
  <c r="K2106" i="2"/>
  <c r="L2106" i="2" s="1"/>
  <c r="K2107" i="2"/>
  <c r="L2107" i="2" s="1"/>
  <c r="K2108" i="2"/>
  <c r="L2108" i="2" s="1"/>
  <c r="K2109" i="2"/>
  <c r="L2109" i="2" s="1"/>
  <c r="K2110" i="2"/>
  <c r="L2110" i="2" s="1"/>
  <c r="K2111" i="2"/>
  <c r="L2111" i="2" s="1"/>
  <c r="K2112" i="2"/>
  <c r="L2112" i="2" s="1"/>
  <c r="K2113" i="2"/>
  <c r="L2113" i="2" s="1"/>
  <c r="K2114" i="2"/>
  <c r="L2114" i="2" s="1"/>
  <c r="K2115" i="2"/>
  <c r="L2115" i="2" s="1"/>
  <c r="K2116" i="2"/>
  <c r="L2116" i="2" s="1"/>
  <c r="K2117" i="2"/>
  <c r="L2117" i="2" s="1"/>
  <c r="K2118" i="2"/>
  <c r="L2118" i="2" s="1"/>
  <c r="K2119" i="2"/>
  <c r="L2119" i="2" s="1"/>
  <c r="K2120" i="2"/>
  <c r="L2120" i="2" s="1"/>
  <c r="K2121" i="2"/>
  <c r="L2121" i="2" s="1"/>
  <c r="K2122" i="2"/>
  <c r="L2122" i="2" s="1"/>
  <c r="K2123" i="2"/>
  <c r="L2123" i="2" s="1"/>
  <c r="K2124" i="2"/>
  <c r="L2124" i="2" s="1"/>
  <c r="K2125" i="2"/>
  <c r="L2125" i="2" s="1"/>
  <c r="K2126" i="2"/>
  <c r="L2126" i="2" s="1"/>
  <c r="K2127" i="2"/>
  <c r="L2127" i="2" s="1"/>
  <c r="K2128" i="2"/>
  <c r="L2128" i="2" s="1"/>
  <c r="K2129" i="2"/>
  <c r="L2129" i="2" s="1"/>
  <c r="M2129" i="2" s="1"/>
  <c r="K2130" i="2"/>
  <c r="L2130" i="2" s="1"/>
  <c r="M2130" i="2" s="1"/>
  <c r="K2131" i="2"/>
  <c r="L2131" i="2" s="1"/>
  <c r="K2132" i="2"/>
  <c r="L2132" i="2" s="1"/>
  <c r="M2132" i="2" s="1"/>
  <c r="K2133" i="2"/>
  <c r="L2133" i="2" s="1"/>
  <c r="M2133" i="2" s="1"/>
  <c r="K2134" i="2"/>
  <c r="L2134" i="2" s="1"/>
  <c r="K2135" i="2"/>
  <c r="L2135" i="2" s="1"/>
  <c r="K2136" i="2"/>
  <c r="L2136" i="2" s="1"/>
  <c r="K2137" i="2"/>
  <c r="L2137" i="2" s="1"/>
  <c r="K2138" i="2"/>
  <c r="L2138" i="2" s="1"/>
  <c r="K2139" i="2"/>
  <c r="L2139" i="2" s="1"/>
  <c r="K2140" i="2"/>
  <c r="L2140" i="2" s="1"/>
  <c r="K2141" i="2"/>
  <c r="L2141" i="2" s="1"/>
  <c r="K2142" i="2"/>
  <c r="L2142" i="2" s="1"/>
  <c r="M2142" i="2" s="1"/>
  <c r="K2143" i="2"/>
  <c r="L2143" i="2" s="1"/>
  <c r="M2143" i="2" s="1"/>
  <c r="K2144" i="2"/>
  <c r="L2144" i="2" s="1"/>
  <c r="K2145" i="2"/>
  <c r="L2145" i="2" s="1"/>
  <c r="M2145" i="2" s="1"/>
  <c r="K2146" i="2"/>
  <c r="L2146" i="2" s="1"/>
  <c r="M2146" i="2" s="1"/>
  <c r="K2147" i="2"/>
  <c r="L2147" i="2" s="1"/>
  <c r="K2148" i="2"/>
  <c r="L2148" i="2" s="1"/>
  <c r="K2149" i="2"/>
  <c r="L2149" i="2" s="1"/>
  <c r="K2150" i="2"/>
  <c r="L2150" i="2" s="1"/>
  <c r="K2151" i="2"/>
  <c r="L2151" i="2" s="1"/>
  <c r="K2152" i="2"/>
  <c r="L2152" i="2" s="1"/>
  <c r="K2153" i="2"/>
  <c r="L2153" i="2" s="1"/>
  <c r="K2154" i="2"/>
  <c r="L2154" i="2" s="1"/>
  <c r="K2155" i="2"/>
  <c r="L2155" i="2" s="1"/>
  <c r="K2156" i="2"/>
  <c r="L2156" i="2" s="1"/>
  <c r="M2156" i="2" s="1"/>
  <c r="K2157" i="2"/>
  <c r="L2157" i="2" s="1"/>
  <c r="M2157" i="2" s="1"/>
  <c r="K2158" i="2"/>
  <c r="L2158" i="2" s="1"/>
  <c r="K2159" i="2"/>
  <c r="L2159" i="2" s="1"/>
  <c r="M2159" i="2" s="1"/>
  <c r="K2160" i="2"/>
  <c r="L2160" i="2" s="1"/>
  <c r="M2160" i="2" s="1"/>
  <c r="K2161" i="2"/>
  <c r="L2161" i="2" s="1"/>
  <c r="K2162" i="2"/>
  <c r="L2162" i="2" s="1"/>
  <c r="K2163" i="2"/>
  <c r="L2163" i="2" s="1"/>
  <c r="K2164" i="2"/>
  <c r="L2164" i="2" s="1"/>
  <c r="K2165" i="2"/>
  <c r="L2165" i="2" s="1"/>
  <c r="K2166" i="2"/>
  <c r="L2166" i="2" s="1"/>
  <c r="K2167" i="2"/>
  <c r="L2167" i="2" s="1"/>
  <c r="K2168" i="2"/>
  <c r="L2168" i="2" s="1"/>
  <c r="K2169" i="2"/>
  <c r="L2169" i="2" s="1"/>
  <c r="K2170" i="2"/>
  <c r="L2170" i="2" s="1"/>
  <c r="K2171" i="2"/>
  <c r="L2171" i="2" s="1"/>
  <c r="K2172" i="2"/>
  <c r="L2172" i="2" s="1"/>
  <c r="K2173" i="2"/>
  <c r="L2173" i="2" s="1"/>
  <c r="K2174" i="2"/>
  <c r="L2174" i="2" s="1"/>
  <c r="K2175" i="2"/>
  <c r="L2175" i="2" s="1"/>
  <c r="K2176" i="2"/>
  <c r="L2176" i="2" s="1"/>
  <c r="K2177" i="2"/>
  <c r="L2177" i="2" s="1"/>
  <c r="K2178" i="2"/>
  <c r="L2178" i="2" s="1"/>
  <c r="K2179" i="2"/>
  <c r="L2179" i="2" s="1"/>
  <c r="K2180" i="2"/>
  <c r="L2180" i="2" s="1"/>
  <c r="K2181" i="2"/>
  <c r="L2181" i="2" s="1"/>
  <c r="K2182" i="2"/>
  <c r="L2182" i="2" s="1"/>
  <c r="K2183" i="2"/>
  <c r="L2183" i="2" s="1"/>
  <c r="K2184" i="2"/>
  <c r="L2184" i="2" s="1"/>
  <c r="K2185" i="2"/>
  <c r="L2185" i="2" s="1"/>
  <c r="K2186" i="2"/>
  <c r="L2186" i="2" s="1"/>
  <c r="K2187" i="2"/>
  <c r="L2187" i="2" s="1"/>
  <c r="M2187" i="2" s="1"/>
  <c r="K2188" i="2"/>
  <c r="L2188" i="2" s="1"/>
  <c r="M2188" i="2" s="1"/>
  <c r="K2189" i="2"/>
  <c r="L2189" i="2" s="1"/>
  <c r="K2190" i="2"/>
  <c r="L2190" i="2" s="1"/>
  <c r="M2190" i="2" s="1"/>
  <c r="K2191" i="2"/>
  <c r="L2191" i="2" s="1"/>
  <c r="M2191" i="2" s="1"/>
  <c r="K2192" i="2"/>
  <c r="L2192" i="2" s="1"/>
  <c r="K2193" i="2"/>
  <c r="L2193" i="2" s="1"/>
  <c r="K2194" i="2"/>
  <c r="L2194" i="2" s="1"/>
  <c r="K2195" i="2"/>
  <c r="L2195" i="2" s="1"/>
  <c r="K2196" i="2"/>
  <c r="L2196" i="2" s="1"/>
  <c r="K2197" i="2"/>
  <c r="L2197" i="2" s="1"/>
  <c r="K2198" i="2"/>
  <c r="L2198" i="2" s="1"/>
  <c r="K2199" i="2"/>
  <c r="L2199" i="2" s="1"/>
  <c r="K2200" i="2"/>
  <c r="L2200" i="2" s="1"/>
  <c r="K2201" i="2"/>
  <c r="L2201" i="2" s="1"/>
  <c r="K2202" i="2"/>
  <c r="L2202" i="2" s="1"/>
  <c r="K2203" i="2"/>
  <c r="L2203" i="2" s="1"/>
  <c r="K2204" i="2"/>
  <c r="L2204" i="2" s="1"/>
  <c r="K2205" i="2"/>
  <c r="L2205" i="2" s="1"/>
  <c r="K2206" i="2"/>
  <c r="L2206" i="2" s="1"/>
  <c r="K2207" i="2"/>
  <c r="L2207" i="2" s="1"/>
  <c r="K2208" i="2"/>
  <c r="L2208" i="2" s="1"/>
  <c r="K2209" i="2"/>
  <c r="L2209" i="2" s="1"/>
  <c r="K2210" i="2"/>
  <c r="L2210" i="2" s="1"/>
  <c r="K2211" i="2"/>
  <c r="L2211" i="2" s="1"/>
  <c r="K2212" i="2"/>
  <c r="L2212" i="2" s="1"/>
  <c r="K2213" i="2"/>
  <c r="L2213" i="2" s="1"/>
  <c r="K2214" i="2"/>
  <c r="L2214" i="2" s="1"/>
  <c r="K2215" i="2"/>
  <c r="L2215" i="2" s="1"/>
  <c r="K2216" i="2"/>
  <c r="L2216" i="2" s="1"/>
  <c r="K2217" i="2"/>
  <c r="L2217" i="2" s="1"/>
  <c r="K2218" i="2"/>
  <c r="L2218" i="2" s="1"/>
  <c r="K2219" i="2"/>
  <c r="L2219" i="2" s="1"/>
  <c r="K2220" i="2"/>
  <c r="L2220" i="2" s="1"/>
  <c r="K2221" i="2"/>
  <c r="L2221" i="2" s="1"/>
  <c r="K2222" i="2"/>
  <c r="L2222" i="2" s="1"/>
  <c r="K2223" i="2"/>
  <c r="L2223" i="2" s="1"/>
  <c r="K2224" i="2"/>
  <c r="L2224" i="2" s="1"/>
  <c r="K2225" i="2"/>
  <c r="L2225" i="2" s="1"/>
  <c r="K2226" i="2"/>
  <c r="L2226" i="2" s="1"/>
  <c r="K2227" i="2"/>
  <c r="L2227" i="2" s="1"/>
  <c r="K2228" i="2"/>
  <c r="L2228" i="2" s="1"/>
  <c r="K2229" i="2"/>
  <c r="L2229" i="2" s="1"/>
  <c r="K2230" i="2"/>
  <c r="L2230" i="2" s="1"/>
  <c r="K2231" i="2"/>
  <c r="L2231" i="2" s="1"/>
  <c r="K2232" i="2"/>
  <c r="L2232" i="2" s="1"/>
  <c r="K2233" i="2"/>
  <c r="L2233" i="2" s="1"/>
  <c r="K2234" i="2"/>
  <c r="L2234" i="2" s="1"/>
  <c r="K2235" i="2"/>
  <c r="L2235" i="2" s="1"/>
  <c r="K2236" i="2"/>
  <c r="L2236" i="2" s="1"/>
  <c r="K2237" i="2"/>
  <c r="L2237" i="2" s="1"/>
  <c r="M2237" i="2" s="1"/>
  <c r="K2238" i="2"/>
  <c r="L2238" i="2" s="1"/>
  <c r="K2239" i="2"/>
  <c r="L2239" i="2" s="1"/>
  <c r="K2240" i="2"/>
  <c r="L2240" i="2" s="1"/>
  <c r="K2241" i="2"/>
  <c r="L2241" i="2" s="1"/>
  <c r="K2242" i="2"/>
  <c r="L2242" i="2" s="1"/>
  <c r="K2243" i="2"/>
  <c r="L2243" i="2" s="1"/>
  <c r="K2244" i="2"/>
  <c r="L2244" i="2" s="1"/>
  <c r="K2245" i="2"/>
  <c r="L2245" i="2" s="1"/>
  <c r="K2246" i="2"/>
  <c r="L2246" i="2" s="1"/>
  <c r="M2246" i="2" s="1"/>
  <c r="K2247" i="2"/>
  <c r="L2247" i="2" s="1"/>
  <c r="M2247" i="2" s="1"/>
  <c r="K2248" i="2"/>
  <c r="L2248" i="2" s="1"/>
  <c r="K2249" i="2"/>
  <c r="L2249" i="2" s="1"/>
  <c r="M2249" i="2" s="1"/>
  <c r="K2250" i="2"/>
  <c r="L2250" i="2" s="1"/>
  <c r="M2250" i="2" s="1"/>
  <c r="K2251" i="2"/>
  <c r="L2251" i="2" s="1"/>
  <c r="K2252" i="2"/>
  <c r="L2252" i="2" s="1"/>
  <c r="K2253" i="2"/>
  <c r="L2253" i="2" s="1"/>
  <c r="K2254" i="2"/>
  <c r="L2254" i="2" s="1"/>
  <c r="K2255" i="2"/>
  <c r="L2255" i="2" s="1"/>
  <c r="K2256" i="2"/>
  <c r="L2256" i="2" s="1"/>
  <c r="K2257" i="2"/>
  <c r="L2257" i="2" s="1"/>
  <c r="K2258" i="2"/>
  <c r="L2258" i="2" s="1"/>
  <c r="K2259" i="2"/>
  <c r="L2259" i="2" s="1"/>
  <c r="M2259" i="2" s="1"/>
  <c r="K2260" i="2"/>
  <c r="L2260" i="2" s="1"/>
  <c r="M2260" i="2" s="1"/>
  <c r="K2261" i="2"/>
  <c r="L2261" i="2" s="1"/>
  <c r="K2262" i="2"/>
  <c r="L2262" i="2" s="1"/>
  <c r="M2262" i="2" s="1"/>
  <c r="K2263" i="2"/>
  <c r="L2263" i="2" s="1"/>
  <c r="M2263" i="2" s="1"/>
  <c r="K2264" i="2"/>
  <c r="L2264" i="2" s="1"/>
  <c r="K2265" i="2"/>
  <c r="L2265" i="2" s="1"/>
  <c r="K2266" i="2"/>
  <c r="L2266" i="2" s="1"/>
  <c r="K2267" i="2"/>
  <c r="L2267" i="2" s="1"/>
  <c r="K2268" i="2"/>
  <c r="L2268" i="2" s="1"/>
  <c r="K2269" i="2"/>
  <c r="L2269" i="2" s="1"/>
  <c r="K2270" i="2"/>
  <c r="L2270" i="2" s="1"/>
  <c r="K2271" i="2"/>
  <c r="L2271" i="2" s="1"/>
  <c r="K2272" i="2"/>
  <c r="L2272" i="2" s="1"/>
  <c r="M2272" i="2" s="1"/>
  <c r="K2273" i="2"/>
  <c r="L2273" i="2" s="1"/>
  <c r="M2273" i="2" s="1"/>
  <c r="K2274" i="2"/>
  <c r="L2274" i="2" s="1"/>
  <c r="K2275" i="2"/>
  <c r="L2275" i="2" s="1"/>
  <c r="M2275" i="2" s="1"/>
  <c r="K2276" i="2"/>
  <c r="L2276" i="2" s="1"/>
  <c r="K2277" i="2"/>
  <c r="L2277" i="2" s="1"/>
  <c r="K2278" i="2"/>
  <c r="L2278" i="2" s="1"/>
  <c r="K2279" i="2"/>
  <c r="L2279" i="2" s="1"/>
  <c r="K2280" i="2"/>
  <c r="L2280" i="2" s="1"/>
  <c r="K2281" i="2"/>
  <c r="L2281" i="2" s="1"/>
  <c r="K2282" i="2"/>
  <c r="L2282" i="2" s="1"/>
  <c r="K2283" i="2"/>
  <c r="L2283" i="2" s="1"/>
  <c r="K2284" i="2"/>
  <c r="L2284" i="2" s="1"/>
  <c r="K2285" i="2"/>
  <c r="L2285" i="2" s="1"/>
  <c r="K2286" i="2"/>
  <c r="L2286" i="2" s="1"/>
  <c r="K2287" i="2"/>
  <c r="L2287" i="2" s="1"/>
  <c r="K2288" i="2"/>
  <c r="L2288" i="2" s="1"/>
  <c r="K2289" i="2"/>
  <c r="L2289" i="2" s="1"/>
  <c r="K2290" i="2"/>
  <c r="L2290" i="2" s="1"/>
  <c r="K2291" i="2"/>
  <c r="L2291" i="2" s="1"/>
  <c r="K2292" i="2"/>
  <c r="L2292" i="2" s="1"/>
  <c r="K2293" i="2"/>
  <c r="L2293" i="2" s="1"/>
  <c r="M2293" i="2" s="1"/>
  <c r="K2294" i="2"/>
  <c r="L2294" i="2" s="1"/>
  <c r="K2295" i="2"/>
  <c r="L2295" i="2" s="1"/>
  <c r="K2296" i="2"/>
  <c r="L2296" i="2" s="1"/>
  <c r="K2297" i="2"/>
  <c r="L2297" i="2" s="1"/>
  <c r="K2298" i="2"/>
  <c r="L2298" i="2" s="1"/>
  <c r="K2299" i="2"/>
  <c r="L2299" i="2" s="1"/>
  <c r="K2300" i="2"/>
  <c r="L2300" i="2" s="1"/>
  <c r="K2301" i="2"/>
  <c r="L2301" i="2" s="1"/>
  <c r="K2302" i="2"/>
  <c r="L2302" i="2" s="1"/>
  <c r="K2303" i="2"/>
  <c r="L2303" i="2" s="1"/>
  <c r="K2304" i="2"/>
  <c r="L2304" i="2" s="1"/>
  <c r="K2305" i="2"/>
  <c r="L2305" i="2" s="1"/>
  <c r="K2306" i="2"/>
  <c r="L2306" i="2" s="1"/>
  <c r="K2307" i="2"/>
  <c r="L2307" i="2" s="1"/>
  <c r="K2308" i="2"/>
  <c r="L2308" i="2" s="1"/>
  <c r="K2309" i="2"/>
  <c r="L2309" i="2" s="1"/>
  <c r="M2309" i="2" s="1"/>
  <c r="K2310" i="2"/>
  <c r="L2310" i="2" s="1"/>
  <c r="M2310" i="2" s="1"/>
  <c r="K2311" i="2"/>
  <c r="L2311" i="2" s="1"/>
  <c r="K2312" i="2"/>
  <c r="L2312" i="2" s="1"/>
  <c r="M2312" i="2" s="1"/>
  <c r="K2313" i="2"/>
  <c r="L2313" i="2" s="1"/>
  <c r="M2313" i="2" s="1"/>
  <c r="K2314" i="2"/>
  <c r="L2314" i="2" s="1"/>
  <c r="K2315" i="2"/>
  <c r="L2315" i="2" s="1"/>
  <c r="K2316" i="2"/>
  <c r="L2316" i="2" s="1"/>
  <c r="K2317" i="2"/>
  <c r="L2317" i="2" s="1"/>
  <c r="K2318" i="2"/>
  <c r="L2318" i="2" s="1"/>
  <c r="K2319" i="2"/>
  <c r="L2319" i="2" s="1"/>
  <c r="K2320" i="2"/>
  <c r="L2320" i="2" s="1"/>
  <c r="K2321" i="2"/>
  <c r="L2321" i="2" s="1"/>
  <c r="K2322" i="2"/>
  <c r="L2322" i="2" s="1"/>
  <c r="K2323" i="2"/>
  <c r="L2323" i="2" s="1"/>
  <c r="K2324" i="2"/>
  <c r="L2324" i="2" s="1"/>
  <c r="K2325" i="2"/>
  <c r="L2325" i="2" s="1"/>
  <c r="K2326" i="2"/>
  <c r="L2326" i="2" s="1"/>
  <c r="K2327" i="2"/>
  <c r="L2327" i="2" s="1"/>
  <c r="K2328" i="2"/>
  <c r="L2328" i="2" s="1"/>
  <c r="K2329" i="2"/>
  <c r="L2329" i="2" s="1"/>
  <c r="M2329" i="2" s="1"/>
  <c r="K2330" i="2"/>
  <c r="L2330" i="2" s="1"/>
  <c r="M2330" i="2" s="1"/>
  <c r="K2331" i="2"/>
  <c r="L2331" i="2" s="1"/>
  <c r="K2332" i="2"/>
  <c r="L2332" i="2" s="1"/>
  <c r="M2332" i="2" s="1"/>
  <c r="K2333" i="2"/>
  <c r="L2333" i="2" s="1"/>
  <c r="M2333" i="2" s="1"/>
  <c r="K2334" i="2"/>
  <c r="L2334" i="2" s="1"/>
  <c r="K2335" i="2"/>
  <c r="L2335" i="2" s="1"/>
  <c r="K2336" i="2"/>
  <c r="L2336" i="2" s="1"/>
  <c r="K2337" i="2"/>
  <c r="L2337" i="2" s="1"/>
  <c r="K2338" i="2"/>
  <c r="L2338" i="2" s="1"/>
  <c r="K2339" i="2"/>
  <c r="L2339" i="2" s="1"/>
  <c r="K2340" i="2"/>
  <c r="L2340" i="2" s="1"/>
  <c r="K2341" i="2"/>
  <c r="L2341" i="2" s="1"/>
  <c r="K2342" i="2"/>
  <c r="L2342" i="2" s="1"/>
  <c r="K2343" i="2"/>
  <c r="L2343" i="2" s="1"/>
  <c r="K2344" i="2"/>
  <c r="L2344" i="2" s="1"/>
  <c r="K2345" i="2"/>
  <c r="L2345" i="2" s="1"/>
  <c r="K2346" i="2"/>
  <c r="L2346" i="2" s="1"/>
  <c r="K2347" i="2"/>
  <c r="L2347" i="2" s="1"/>
  <c r="K2348" i="2"/>
  <c r="L2348" i="2" s="1"/>
  <c r="K2349" i="2"/>
  <c r="L2349" i="2" s="1"/>
  <c r="K2350" i="2"/>
  <c r="L2350" i="2" s="1"/>
  <c r="K2351" i="2"/>
  <c r="L2351" i="2" s="1"/>
  <c r="K2352" i="2"/>
  <c r="L2352" i="2" s="1"/>
  <c r="K2353" i="2"/>
  <c r="L2353" i="2" s="1"/>
  <c r="K2354" i="2"/>
  <c r="L2354" i="2" s="1"/>
  <c r="K2355" i="2"/>
  <c r="L2355" i="2" s="1"/>
  <c r="K2356" i="2"/>
  <c r="L2356" i="2" s="1"/>
  <c r="K2357" i="2"/>
  <c r="L2357" i="2" s="1"/>
  <c r="K2358" i="2"/>
  <c r="L2358" i="2" s="1"/>
  <c r="K2359" i="2"/>
  <c r="L2359" i="2" s="1"/>
  <c r="K2360" i="2"/>
  <c r="L2360" i="2" s="1"/>
  <c r="K2361" i="2"/>
  <c r="L2361" i="2" s="1"/>
  <c r="K2362" i="2"/>
  <c r="L2362" i="2" s="1"/>
  <c r="K2363" i="2"/>
  <c r="L2363" i="2" s="1"/>
  <c r="K2364" i="2"/>
  <c r="L2364" i="2" s="1"/>
  <c r="K2365" i="2"/>
  <c r="L2365" i="2" s="1"/>
  <c r="K2366" i="2"/>
  <c r="L2366" i="2" s="1"/>
  <c r="K2367" i="2"/>
  <c r="L2367" i="2" s="1"/>
  <c r="K2368" i="2"/>
  <c r="L2368" i="2" s="1"/>
  <c r="K2369" i="2"/>
  <c r="L2369" i="2" s="1"/>
  <c r="K2370" i="2"/>
  <c r="L2370" i="2" s="1"/>
  <c r="K2371" i="2"/>
  <c r="L2371" i="2" s="1"/>
  <c r="K2372" i="2"/>
  <c r="L2372" i="2" s="1"/>
  <c r="K2373" i="2"/>
  <c r="L2373" i="2" s="1"/>
  <c r="K2374" i="2"/>
  <c r="L2374" i="2" s="1"/>
  <c r="K2375" i="2"/>
  <c r="L2375" i="2" s="1"/>
  <c r="K2376" i="2"/>
  <c r="L2376" i="2" s="1"/>
  <c r="K2377" i="2"/>
  <c r="L2377" i="2" s="1"/>
  <c r="K2378" i="2"/>
  <c r="L2378" i="2" s="1"/>
  <c r="K2379" i="2"/>
  <c r="L2379" i="2" s="1"/>
  <c r="K2380" i="2"/>
  <c r="L2380" i="2" s="1"/>
  <c r="K2381" i="2"/>
  <c r="L2381" i="2" s="1"/>
  <c r="K2382" i="2"/>
  <c r="L2382" i="2" s="1"/>
  <c r="K2383" i="2"/>
  <c r="L2383" i="2" s="1"/>
  <c r="K2384" i="2"/>
  <c r="L2384" i="2" s="1"/>
  <c r="K2385" i="2"/>
  <c r="L2385" i="2" s="1"/>
  <c r="K2386" i="2"/>
  <c r="L2386" i="2" s="1"/>
  <c r="K2387" i="2"/>
  <c r="L2387" i="2" s="1"/>
  <c r="K2388" i="2"/>
  <c r="L2388" i="2" s="1"/>
  <c r="K2389" i="2"/>
  <c r="L2389" i="2" s="1"/>
  <c r="K2390" i="2"/>
  <c r="L2390" i="2" s="1"/>
  <c r="K2391" i="2"/>
  <c r="L2391" i="2" s="1"/>
  <c r="K2392" i="2"/>
  <c r="L2392" i="2" s="1"/>
  <c r="K2393" i="2"/>
  <c r="L2393" i="2" s="1"/>
  <c r="K2394" i="2"/>
  <c r="L2394" i="2" s="1"/>
  <c r="K2395" i="2"/>
  <c r="L2395" i="2" s="1"/>
  <c r="K2396" i="2"/>
  <c r="L2396" i="2" s="1"/>
  <c r="K2397" i="2"/>
  <c r="L2397" i="2" s="1"/>
  <c r="K2398" i="2"/>
  <c r="L2398" i="2" s="1"/>
  <c r="K2399" i="2"/>
  <c r="L2399" i="2" s="1"/>
  <c r="K2400" i="2"/>
  <c r="L2400" i="2" s="1"/>
  <c r="K2401" i="2"/>
  <c r="L2401" i="2" s="1"/>
  <c r="K2402" i="2"/>
  <c r="L2402" i="2" s="1"/>
  <c r="K2403" i="2"/>
  <c r="L2403" i="2" s="1"/>
  <c r="K2404" i="2"/>
  <c r="L2404" i="2" s="1"/>
  <c r="K2405" i="2"/>
  <c r="L2405" i="2" s="1"/>
  <c r="K2406" i="2"/>
  <c r="L2406" i="2" s="1"/>
  <c r="K2407" i="2"/>
  <c r="L2407" i="2" s="1"/>
  <c r="K2408" i="2"/>
  <c r="L2408" i="2" s="1"/>
  <c r="K2409" i="2"/>
  <c r="L2409" i="2" s="1"/>
  <c r="K2410" i="2"/>
  <c r="L2410" i="2" s="1"/>
  <c r="K2411" i="2"/>
  <c r="L2411" i="2" s="1"/>
  <c r="K2412" i="2"/>
  <c r="L2412" i="2" s="1"/>
  <c r="K2413" i="2"/>
  <c r="L2413" i="2" s="1"/>
  <c r="K2414" i="2"/>
  <c r="L2414" i="2" s="1"/>
  <c r="K2415" i="2"/>
  <c r="L2415" i="2" s="1"/>
  <c r="K2416" i="2"/>
  <c r="L2416" i="2" s="1"/>
  <c r="K2417" i="2"/>
  <c r="L2417" i="2" s="1"/>
  <c r="K2418" i="2"/>
  <c r="L2418" i="2" s="1"/>
  <c r="K2419" i="2"/>
  <c r="L2419" i="2" s="1"/>
  <c r="K2420" i="2"/>
  <c r="L2420" i="2" s="1"/>
  <c r="K2421" i="2"/>
  <c r="L2421" i="2" s="1"/>
  <c r="K2422" i="2"/>
  <c r="L2422" i="2" s="1"/>
  <c r="K2423" i="2"/>
  <c r="L2423" i="2" s="1"/>
  <c r="K2424" i="2"/>
  <c r="L2424" i="2" s="1"/>
  <c r="K2425" i="2"/>
  <c r="L2425" i="2" s="1"/>
  <c r="K2426" i="2"/>
  <c r="L2426" i="2" s="1"/>
  <c r="K2427" i="2"/>
  <c r="L2427" i="2" s="1"/>
  <c r="K2428" i="2"/>
  <c r="L2428" i="2" s="1"/>
  <c r="K2429" i="2"/>
  <c r="L2429" i="2" s="1"/>
  <c r="K2430" i="2"/>
  <c r="L2430" i="2" s="1"/>
  <c r="K2431" i="2"/>
  <c r="L2431" i="2" s="1"/>
  <c r="K2432" i="2"/>
  <c r="L2432" i="2" s="1"/>
  <c r="K2433" i="2"/>
  <c r="L2433" i="2" s="1"/>
  <c r="K2434" i="2"/>
  <c r="L2434" i="2" s="1"/>
  <c r="K2435" i="2"/>
  <c r="L2435" i="2" s="1"/>
  <c r="K2436" i="2"/>
  <c r="L2436" i="2" s="1"/>
  <c r="K2437" i="2"/>
  <c r="L2437" i="2" s="1"/>
  <c r="K2438" i="2"/>
  <c r="L2438" i="2" s="1"/>
  <c r="K2439" i="2"/>
  <c r="L2439" i="2" s="1"/>
  <c r="K2440" i="2"/>
  <c r="L2440" i="2" s="1"/>
  <c r="K2441" i="2"/>
  <c r="L2441" i="2" s="1"/>
  <c r="K2442" i="2"/>
  <c r="L2442" i="2" s="1"/>
  <c r="K2443" i="2"/>
  <c r="L2443" i="2" s="1"/>
  <c r="K2444" i="2"/>
  <c r="L2444" i="2" s="1"/>
  <c r="K2445" i="2"/>
  <c r="L2445" i="2" s="1"/>
  <c r="K2446" i="2"/>
  <c r="L2446" i="2" s="1"/>
  <c r="K2447" i="2"/>
  <c r="L2447" i="2" s="1"/>
  <c r="K2448" i="2"/>
  <c r="L2448" i="2" s="1"/>
  <c r="K2449" i="2"/>
  <c r="L2449" i="2" s="1"/>
  <c r="K2450" i="2"/>
  <c r="L2450" i="2" s="1"/>
  <c r="K2451" i="2"/>
  <c r="L2451" i="2" s="1"/>
  <c r="K2452" i="2"/>
  <c r="L2452" i="2" s="1"/>
  <c r="K2453" i="2"/>
  <c r="L2453" i="2" s="1"/>
  <c r="K2454" i="2"/>
  <c r="L2454" i="2" s="1"/>
  <c r="K2455" i="2"/>
  <c r="L2455" i="2" s="1"/>
  <c r="K2456" i="2"/>
  <c r="L2456" i="2" s="1"/>
  <c r="K2457" i="2"/>
  <c r="L2457" i="2" s="1"/>
  <c r="K2458" i="2"/>
  <c r="L2458" i="2" s="1"/>
  <c r="K2459" i="2"/>
  <c r="L2459" i="2" s="1"/>
  <c r="K2460" i="2"/>
  <c r="L2460" i="2" s="1"/>
  <c r="K2461" i="2"/>
  <c r="L2461" i="2" s="1"/>
  <c r="K2462" i="2"/>
  <c r="L2462" i="2" s="1"/>
  <c r="K2463" i="2"/>
  <c r="L2463" i="2" s="1"/>
  <c r="K2464" i="2"/>
  <c r="L2464" i="2" s="1"/>
  <c r="K2465" i="2"/>
  <c r="L2465" i="2" s="1"/>
  <c r="K2466" i="2"/>
  <c r="L2466" i="2" s="1"/>
  <c r="K2467" i="2"/>
  <c r="L2467" i="2" s="1"/>
  <c r="K2468" i="2"/>
  <c r="L2468" i="2" s="1"/>
  <c r="K2469" i="2"/>
  <c r="L2469" i="2" s="1"/>
  <c r="K2470" i="2"/>
  <c r="L2470" i="2" s="1"/>
  <c r="K2471" i="2"/>
  <c r="L2471" i="2" s="1"/>
  <c r="K2472" i="2"/>
  <c r="L2472" i="2" s="1"/>
  <c r="K2473" i="2"/>
  <c r="L2473" i="2" s="1"/>
  <c r="M2473" i="2" s="1"/>
  <c r="K2474" i="2"/>
  <c r="L2474" i="2" s="1"/>
  <c r="M2474" i="2" s="1"/>
  <c r="K2475" i="2"/>
  <c r="L2475" i="2" s="1"/>
  <c r="K2476" i="2"/>
  <c r="L2476" i="2" s="1"/>
  <c r="M2476" i="2" s="1"/>
  <c r="K2477" i="2"/>
  <c r="L2477" i="2" s="1"/>
  <c r="M2477" i="2" s="1"/>
  <c r="K2478" i="2"/>
  <c r="L2478" i="2" s="1"/>
  <c r="K2479" i="2"/>
  <c r="L2479" i="2" s="1"/>
  <c r="K2480" i="2"/>
  <c r="L2480" i="2" s="1"/>
  <c r="K2481" i="2"/>
  <c r="L2481" i="2" s="1"/>
  <c r="K2482" i="2"/>
  <c r="L2482" i="2" s="1"/>
  <c r="K2483" i="2"/>
  <c r="L2483" i="2" s="1"/>
  <c r="K2484" i="2"/>
  <c r="L2484" i="2" s="1"/>
  <c r="K2485" i="2"/>
  <c r="L2485" i="2" s="1"/>
  <c r="K2486" i="2"/>
  <c r="L2486" i="2" s="1"/>
  <c r="K2487" i="2"/>
  <c r="L2487" i="2" s="1"/>
  <c r="K2488" i="2"/>
  <c r="L2488" i="2" s="1"/>
  <c r="K2489" i="2"/>
  <c r="L2489" i="2" s="1"/>
  <c r="K2490" i="2"/>
  <c r="L2490" i="2" s="1"/>
  <c r="K2491" i="2"/>
  <c r="L2491" i="2" s="1"/>
  <c r="K2492" i="2"/>
  <c r="L2492" i="2" s="1"/>
  <c r="K2493" i="2"/>
  <c r="L2493" i="2" s="1"/>
  <c r="K2494" i="2"/>
  <c r="L2494" i="2" s="1"/>
  <c r="K2495" i="2"/>
  <c r="L2495" i="2" s="1"/>
  <c r="K2496" i="2"/>
  <c r="L2496" i="2" s="1"/>
  <c r="K2497" i="2"/>
  <c r="L2497" i="2" s="1"/>
  <c r="K2498" i="2"/>
  <c r="L2498" i="2" s="1"/>
  <c r="K2499" i="2"/>
  <c r="L2499" i="2" s="1"/>
  <c r="K2500" i="2"/>
  <c r="L2500" i="2" s="1"/>
  <c r="K2501" i="2"/>
  <c r="L2501" i="2" s="1"/>
  <c r="K2502" i="2"/>
  <c r="L2502" i="2" s="1"/>
  <c r="K2503" i="2"/>
  <c r="L2503" i="2" s="1"/>
  <c r="K2504" i="2"/>
  <c r="L2504" i="2" s="1"/>
  <c r="K2505" i="2"/>
  <c r="L2505" i="2" s="1"/>
  <c r="K2506" i="2"/>
  <c r="L2506" i="2" s="1"/>
  <c r="K2507" i="2"/>
  <c r="L2507" i="2" s="1"/>
  <c r="K2508" i="2"/>
  <c r="L2508" i="2" s="1"/>
  <c r="K2509" i="2"/>
  <c r="L2509" i="2" s="1"/>
  <c r="K2510" i="2"/>
  <c r="L2510" i="2" s="1"/>
  <c r="K2511" i="2"/>
  <c r="L2511" i="2" s="1"/>
  <c r="K2512" i="2"/>
  <c r="L2512" i="2" s="1"/>
  <c r="K2513" i="2"/>
  <c r="L2513" i="2" s="1"/>
  <c r="K2514" i="2"/>
  <c r="L2514" i="2" s="1"/>
  <c r="K2515" i="2"/>
  <c r="L2515" i="2" s="1"/>
  <c r="K2516" i="2"/>
  <c r="L2516" i="2" s="1"/>
  <c r="K2517" i="2"/>
  <c r="L2517" i="2" s="1"/>
  <c r="K2518" i="2"/>
  <c r="L2518" i="2" s="1"/>
  <c r="K2519" i="2"/>
  <c r="L2519" i="2" s="1"/>
  <c r="K2520" i="2"/>
  <c r="L2520" i="2" s="1"/>
  <c r="K2521" i="2"/>
  <c r="L2521" i="2" s="1"/>
  <c r="K2522" i="2"/>
  <c r="L2522" i="2" s="1"/>
  <c r="M2522" i="2" s="1"/>
  <c r="K2523" i="2"/>
  <c r="L2523" i="2" s="1"/>
  <c r="M2523" i="2" s="1"/>
  <c r="K2524" i="2"/>
  <c r="L2524" i="2" s="1"/>
  <c r="K2525" i="2"/>
  <c r="L2525" i="2" s="1"/>
  <c r="K2526" i="2"/>
  <c r="L2526" i="2" s="1"/>
  <c r="K2527" i="2"/>
  <c r="L2527" i="2" s="1"/>
  <c r="K2528" i="2"/>
  <c r="L2528" i="2" s="1"/>
  <c r="K2529" i="2"/>
  <c r="L2529" i="2" s="1"/>
  <c r="K2530" i="2"/>
  <c r="L2530" i="2" s="1"/>
  <c r="K2531" i="2"/>
  <c r="L2531" i="2" s="1"/>
  <c r="K2532" i="2"/>
  <c r="L2532" i="2" s="1"/>
  <c r="K2533" i="2"/>
  <c r="L2533" i="2" s="1"/>
  <c r="K2534" i="2"/>
  <c r="L2534" i="2" s="1"/>
  <c r="K2535" i="2"/>
  <c r="L2535" i="2" s="1"/>
  <c r="K2536" i="2"/>
  <c r="L2536" i="2" s="1"/>
  <c r="K2537" i="2"/>
  <c r="L2537" i="2" s="1"/>
  <c r="K2538" i="2"/>
  <c r="L2538" i="2" s="1"/>
  <c r="K2539" i="2"/>
  <c r="L2539" i="2" s="1"/>
  <c r="K2540" i="2"/>
  <c r="L2540" i="2" s="1"/>
  <c r="K2541" i="2"/>
  <c r="L2541" i="2" s="1"/>
  <c r="K2542" i="2"/>
  <c r="L2542" i="2" s="1"/>
  <c r="K2543" i="2"/>
  <c r="L2543" i="2" s="1"/>
  <c r="K2544" i="2"/>
  <c r="L2544" i="2" s="1"/>
  <c r="K2545" i="2"/>
  <c r="L2545" i="2" s="1"/>
  <c r="K2546" i="2"/>
  <c r="L2546" i="2" s="1"/>
  <c r="K2547" i="2"/>
  <c r="L2547" i="2" s="1"/>
  <c r="K2548" i="2"/>
  <c r="L2548" i="2" s="1"/>
  <c r="K2549" i="2"/>
  <c r="L2549" i="2" s="1"/>
  <c r="K2550" i="2"/>
  <c r="L2550" i="2" s="1"/>
  <c r="K2551" i="2"/>
  <c r="L2551" i="2" s="1"/>
  <c r="K2552" i="2"/>
  <c r="L2552" i="2" s="1"/>
  <c r="K2553" i="2"/>
  <c r="L2553" i="2" s="1"/>
  <c r="K2554" i="2"/>
  <c r="L2554" i="2" s="1"/>
  <c r="K2555" i="2"/>
  <c r="L2555" i="2" s="1"/>
  <c r="K2556" i="2"/>
  <c r="L2556" i="2" s="1"/>
  <c r="K2557" i="2"/>
  <c r="L2557" i="2" s="1"/>
  <c r="K2558" i="2"/>
  <c r="L2558" i="2" s="1"/>
  <c r="K2559" i="2"/>
  <c r="L2559" i="2" s="1"/>
  <c r="K2560" i="2"/>
  <c r="L2560" i="2" s="1"/>
  <c r="K2561" i="2"/>
  <c r="L2561" i="2" s="1"/>
  <c r="K2562" i="2"/>
  <c r="L2562" i="2" s="1"/>
  <c r="K2563" i="2"/>
  <c r="L2563" i="2" s="1"/>
  <c r="K2564" i="2"/>
  <c r="L2564" i="2" s="1"/>
  <c r="K2565" i="2"/>
  <c r="L2565" i="2" s="1"/>
  <c r="K2566" i="2"/>
  <c r="L2566" i="2" s="1"/>
  <c r="K2567" i="2"/>
  <c r="L2567" i="2" s="1"/>
  <c r="K2568" i="2"/>
  <c r="L2568" i="2" s="1"/>
  <c r="K2569" i="2"/>
  <c r="L2569" i="2" s="1"/>
  <c r="M2569" i="2" s="1"/>
  <c r="K2570" i="2"/>
  <c r="L2570" i="2" s="1"/>
  <c r="M2570" i="2" s="1"/>
  <c r="K2571" i="2"/>
  <c r="L2571" i="2" s="1"/>
  <c r="K2572" i="2"/>
  <c r="L2572" i="2" s="1"/>
  <c r="K2573" i="2"/>
  <c r="L2573" i="2" s="1"/>
  <c r="K2574" i="2"/>
  <c r="L2574" i="2" s="1"/>
  <c r="K2575" i="2"/>
  <c r="L2575" i="2" s="1"/>
  <c r="K2576" i="2"/>
  <c r="L2576" i="2" s="1"/>
  <c r="K2577" i="2"/>
  <c r="L2577" i="2" s="1"/>
  <c r="K2578" i="2"/>
  <c r="L2578" i="2" s="1"/>
  <c r="K2579" i="2"/>
  <c r="L2579" i="2" s="1"/>
  <c r="K2580" i="2"/>
  <c r="L2580" i="2" s="1"/>
  <c r="K2581" i="2"/>
  <c r="L2581" i="2" s="1"/>
  <c r="K2582" i="2"/>
  <c r="L2582" i="2" s="1"/>
  <c r="K2583" i="2"/>
  <c r="L2583" i="2" s="1"/>
  <c r="K2584" i="2"/>
  <c r="L2584" i="2" s="1"/>
  <c r="K2585" i="2"/>
  <c r="L2585" i="2" s="1"/>
  <c r="K2586" i="2"/>
  <c r="L2586" i="2" s="1"/>
  <c r="K2587" i="2"/>
  <c r="L2587" i="2" s="1"/>
  <c r="K2588" i="2"/>
  <c r="L2588" i="2" s="1"/>
  <c r="K2589" i="2"/>
  <c r="L2589" i="2" s="1"/>
  <c r="K2590" i="2"/>
  <c r="L2590" i="2" s="1"/>
  <c r="K2591" i="2"/>
  <c r="L2591" i="2" s="1"/>
  <c r="K2592" i="2"/>
  <c r="L2592" i="2" s="1"/>
  <c r="K2593" i="2"/>
  <c r="L2593" i="2" s="1"/>
  <c r="K2594" i="2"/>
  <c r="L2594" i="2" s="1"/>
  <c r="K2595" i="2"/>
  <c r="L2595" i="2" s="1"/>
  <c r="K2596" i="2"/>
  <c r="L2596" i="2" s="1"/>
  <c r="K2597" i="2"/>
  <c r="L2597" i="2" s="1"/>
  <c r="K2598" i="2"/>
  <c r="L2598" i="2" s="1"/>
  <c r="K2599" i="2"/>
  <c r="L2599" i="2" s="1"/>
  <c r="K2600" i="2"/>
  <c r="L2600" i="2" s="1"/>
  <c r="K2601" i="2"/>
  <c r="L2601" i="2" s="1"/>
  <c r="K2602" i="2"/>
  <c r="L2602" i="2" s="1"/>
  <c r="K2603" i="2"/>
  <c r="L2603" i="2" s="1"/>
  <c r="K2604" i="2"/>
  <c r="L2604" i="2" s="1"/>
  <c r="K2605" i="2"/>
  <c r="L2605" i="2" s="1"/>
  <c r="K2606" i="2"/>
  <c r="L2606" i="2" s="1"/>
  <c r="K2607" i="2"/>
  <c r="L2607" i="2" s="1"/>
  <c r="K2608" i="2"/>
  <c r="L2608" i="2" s="1"/>
  <c r="K2609" i="2"/>
  <c r="L2609" i="2" s="1"/>
  <c r="K2610" i="2"/>
  <c r="L2610" i="2" s="1"/>
  <c r="K2611" i="2"/>
  <c r="L2611" i="2" s="1"/>
  <c r="K2612" i="2"/>
  <c r="L2612" i="2" s="1"/>
  <c r="K2613" i="2"/>
  <c r="L2613" i="2" s="1"/>
  <c r="K2614" i="2"/>
  <c r="L2614" i="2" s="1"/>
  <c r="K2615" i="2"/>
  <c r="L2615" i="2" s="1"/>
  <c r="K2616" i="2"/>
  <c r="L2616" i="2" s="1"/>
  <c r="K2617" i="2"/>
  <c r="L2617" i="2" s="1"/>
  <c r="K2618" i="2"/>
  <c r="L2618" i="2" s="1"/>
  <c r="K2619" i="2"/>
  <c r="L2619" i="2" s="1"/>
  <c r="K2620" i="2"/>
  <c r="L2620" i="2" s="1"/>
  <c r="K2621" i="2"/>
  <c r="L2621" i="2" s="1"/>
  <c r="K2622" i="2"/>
  <c r="L2622" i="2" s="1"/>
  <c r="K2623" i="2"/>
  <c r="L2623" i="2" s="1"/>
  <c r="K2624" i="2"/>
  <c r="L2624" i="2" s="1"/>
  <c r="K2625" i="2"/>
  <c r="L2625" i="2" s="1"/>
  <c r="K2626" i="2"/>
  <c r="L2626" i="2" s="1"/>
  <c r="K2627" i="2"/>
  <c r="L2627" i="2" s="1"/>
  <c r="K2628" i="2"/>
  <c r="L2628" i="2" s="1"/>
  <c r="K2629" i="2"/>
  <c r="L2629" i="2" s="1"/>
  <c r="K2630" i="2"/>
  <c r="L2630" i="2" s="1"/>
  <c r="K2631" i="2"/>
  <c r="L2631" i="2" s="1"/>
  <c r="K2632" i="2"/>
  <c r="L2632" i="2" s="1"/>
  <c r="K2633" i="2"/>
  <c r="L2633" i="2" s="1"/>
  <c r="K2634" i="2"/>
  <c r="L2634" i="2" s="1"/>
  <c r="K2635" i="2"/>
  <c r="L2635" i="2" s="1"/>
  <c r="K2636" i="2"/>
  <c r="L2636" i="2" s="1"/>
  <c r="K2637" i="2"/>
  <c r="L2637" i="2" s="1"/>
  <c r="K2638" i="2"/>
  <c r="L2638" i="2" s="1"/>
  <c r="K2639" i="2"/>
  <c r="L2639" i="2" s="1"/>
  <c r="K2640" i="2"/>
  <c r="L2640" i="2" s="1"/>
  <c r="K2641" i="2"/>
  <c r="L2641" i="2" s="1"/>
  <c r="K2642" i="2"/>
  <c r="L2642" i="2" s="1"/>
  <c r="K2643" i="2"/>
  <c r="L2643" i="2" s="1"/>
  <c r="K2644" i="2"/>
  <c r="L2644" i="2" s="1"/>
  <c r="K2645" i="2"/>
  <c r="L2645" i="2" s="1"/>
  <c r="K2646" i="2"/>
  <c r="L2646" i="2" s="1"/>
  <c r="K2647" i="2"/>
  <c r="L2647" i="2" s="1"/>
  <c r="K2648" i="2"/>
  <c r="L2648" i="2" s="1"/>
  <c r="K2649" i="2"/>
  <c r="L2649" i="2" s="1"/>
  <c r="K2650" i="2"/>
  <c r="L2650" i="2" s="1"/>
  <c r="K2651" i="2"/>
  <c r="L2651" i="2" s="1"/>
  <c r="K2652" i="2"/>
  <c r="L2652" i="2" s="1"/>
  <c r="K2653" i="2"/>
  <c r="L2653" i="2" s="1"/>
  <c r="K2654" i="2"/>
  <c r="L2654" i="2" s="1"/>
  <c r="K2655" i="2"/>
  <c r="L2655" i="2" s="1"/>
  <c r="K2656" i="2"/>
  <c r="L2656" i="2" s="1"/>
  <c r="K2657" i="2"/>
  <c r="L2657" i="2" s="1"/>
  <c r="K2658" i="2"/>
  <c r="L2658" i="2" s="1"/>
  <c r="K2659" i="2"/>
  <c r="L2659" i="2" s="1"/>
  <c r="K2660" i="2"/>
  <c r="L2660" i="2" s="1"/>
  <c r="K2661" i="2"/>
  <c r="L2661" i="2" s="1"/>
  <c r="K2662" i="2"/>
  <c r="L2662" i="2" s="1"/>
  <c r="K2663" i="2"/>
  <c r="L2663" i="2" s="1"/>
  <c r="K2664" i="2"/>
  <c r="L2664" i="2" s="1"/>
  <c r="K2665" i="2"/>
  <c r="L2665" i="2" s="1"/>
  <c r="K2666" i="2"/>
  <c r="L2666" i="2" s="1"/>
  <c r="K2667" i="2"/>
  <c r="L2667" i="2" s="1"/>
  <c r="K2668" i="2"/>
  <c r="L2668" i="2" s="1"/>
  <c r="K2669" i="2"/>
  <c r="L2669" i="2" s="1"/>
  <c r="K2670" i="2"/>
  <c r="L2670" i="2" s="1"/>
  <c r="K2671" i="2"/>
  <c r="L2671" i="2" s="1"/>
  <c r="K2672" i="2"/>
  <c r="L2672" i="2" s="1"/>
  <c r="K2673" i="2"/>
  <c r="L2673" i="2" s="1"/>
  <c r="K2674" i="2"/>
  <c r="L2674" i="2" s="1"/>
  <c r="K2675" i="2"/>
  <c r="L2675" i="2" s="1"/>
  <c r="K2676" i="2"/>
  <c r="L2676" i="2" s="1"/>
  <c r="K2677" i="2"/>
  <c r="L2677" i="2" s="1"/>
  <c r="K2678" i="2"/>
  <c r="L2678" i="2" s="1"/>
  <c r="K2679" i="2"/>
  <c r="L2679" i="2" s="1"/>
  <c r="K2680" i="2"/>
  <c r="L2680" i="2" s="1"/>
  <c r="K2681" i="2"/>
  <c r="L2681" i="2" s="1"/>
  <c r="K2682" i="2"/>
  <c r="L2682" i="2" s="1"/>
  <c r="K2683" i="2"/>
  <c r="L2683" i="2" s="1"/>
  <c r="K2684" i="2"/>
  <c r="L2684" i="2" s="1"/>
  <c r="K2685" i="2"/>
  <c r="L2685" i="2" s="1"/>
  <c r="K2686" i="2"/>
  <c r="L2686" i="2" s="1"/>
  <c r="K2687" i="2"/>
  <c r="L2687" i="2" s="1"/>
  <c r="K2688" i="2"/>
  <c r="L2688" i="2" s="1"/>
  <c r="K2689" i="2"/>
  <c r="L2689" i="2" s="1"/>
  <c r="K2690" i="2"/>
  <c r="L2690" i="2" s="1"/>
  <c r="K2691" i="2"/>
  <c r="L2691" i="2" s="1"/>
  <c r="K2692" i="2"/>
  <c r="L2692" i="2" s="1"/>
  <c r="K2693" i="2"/>
  <c r="L2693" i="2" s="1"/>
  <c r="K2694" i="2"/>
  <c r="L2694" i="2" s="1"/>
  <c r="K2695" i="2"/>
  <c r="L2695" i="2" s="1"/>
  <c r="K2696" i="2"/>
  <c r="L2696" i="2" s="1"/>
  <c r="K2697" i="2"/>
  <c r="L2697" i="2" s="1"/>
  <c r="K2698" i="2"/>
  <c r="L2698" i="2" s="1"/>
  <c r="K2699" i="2"/>
  <c r="L2699" i="2" s="1"/>
  <c r="K2700" i="2"/>
  <c r="L2700" i="2" s="1"/>
  <c r="K2701" i="2"/>
  <c r="L2701" i="2" s="1"/>
  <c r="K2702" i="2"/>
  <c r="L2702" i="2" s="1"/>
  <c r="K2703" i="2"/>
  <c r="L2703" i="2" s="1"/>
  <c r="K2704" i="2"/>
  <c r="L2704" i="2" s="1"/>
  <c r="K2705" i="2"/>
  <c r="L2705" i="2" s="1"/>
  <c r="K2706" i="2"/>
  <c r="L2706" i="2" s="1"/>
  <c r="K2707" i="2"/>
  <c r="L2707" i="2" s="1"/>
  <c r="K2708" i="2"/>
  <c r="L2708" i="2" s="1"/>
  <c r="K2709" i="2"/>
  <c r="L2709" i="2" s="1"/>
  <c r="K2710" i="2"/>
  <c r="L2710" i="2" s="1"/>
  <c r="K2711" i="2"/>
  <c r="L2711" i="2" s="1"/>
  <c r="K2712" i="2"/>
  <c r="L2712" i="2" s="1"/>
  <c r="K2713" i="2"/>
  <c r="L2713" i="2" s="1"/>
  <c r="K2714" i="2"/>
  <c r="L2714" i="2" s="1"/>
  <c r="K2715" i="2"/>
  <c r="L2715" i="2" s="1"/>
  <c r="K2716" i="2"/>
  <c r="L2716" i="2" s="1"/>
  <c r="K2717" i="2"/>
  <c r="L2717" i="2" s="1"/>
  <c r="K2718" i="2"/>
  <c r="L2718" i="2" s="1"/>
  <c r="K2719" i="2"/>
  <c r="L2719" i="2" s="1"/>
  <c r="K2720" i="2"/>
  <c r="L2720" i="2" s="1"/>
  <c r="K2721" i="2"/>
  <c r="L2721" i="2" s="1"/>
  <c r="K2722" i="2"/>
  <c r="L2722" i="2" s="1"/>
  <c r="K2723" i="2"/>
  <c r="L2723" i="2" s="1"/>
  <c r="K2724" i="2"/>
  <c r="L2724" i="2" s="1"/>
  <c r="K2725" i="2"/>
  <c r="L2725" i="2" s="1"/>
  <c r="K2726" i="2"/>
  <c r="L2726" i="2" s="1"/>
  <c r="K2727" i="2"/>
  <c r="L2727" i="2" s="1"/>
  <c r="K2728" i="2"/>
  <c r="L2728" i="2" s="1"/>
  <c r="K2729" i="2"/>
  <c r="L2729" i="2" s="1"/>
  <c r="K2730" i="2"/>
  <c r="L2730" i="2" s="1"/>
  <c r="K2731" i="2"/>
  <c r="L2731" i="2" s="1"/>
  <c r="K2732" i="2"/>
  <c r="L2732" i="2" s="1"/>
  <c r="K2733" i="2"/>
  <c r="L2733" i="2" s="1"/>
  <c r="K2734" i="2"/>
  <c r="L2734" i="2" s="1"/>
  <c r="K2735" i="2"/>
  <c r="L2735" i="2" s="1"/>
  <c r="K2736" i="2"/>
  <c r="L2736" i="2" s="1"/>
  <c r="K2737" i="2"/>
  <c r="L2737" i="2" s="1"/>
  <c r="K2738" i="2"/>
  <c r="L2738" i="2" s="1"/>
  <c r="K2739" i="2"/>
  <c r="L2739" i="2" s="1"/>
  <c r="K2740" i="2"/>
  <c r="L2740" i="2" s="1"/>
  <c r="K2741" i="2"/>
  <c r="L2741" i="2" s="1"/>
  <c r="M2741" i="2" s="1"/>
  <c r="K2742" i="2"/>
  <c r="L2742" i="2" s="1"/>
  <c r="M2742" i="2" s="1"/>
  <c r="K2743" i="2"/>
  <c r="L2743" i="2" s="1"/>
  <c r="K2744" i="2"/>
  <c r="L2744" i="2" s="1"/>
  <c r="M2744" i="2" s="1"/>
  <c r="K2745" i="2"/>
  <c r="L2745" i="2" s="1"/>
  <c r="M2745" i="2" s="1"/>
  <c r="K2746" i="2"/>
  <c r="L2746" i="2" s="1"/>
  <c r="K2747" i="2"/>
  <c r="L2747" i="2" s="1"/>
  <c r="K2748" i="2"/>
  <c r="L2748" i="2" s="1"/>
  <c r="K2749" i="2"/>
  <c r="L2749" i="2" s="1"/>
  <c r="K2750" i="2"/>
  <c r="L2750" i="2" s="1"/>
  <c r="K2751" i="2"/>
  <c r="L2751" i="2" s="1"/>
  <c r="K2752" i="2"/>
  <c r="L2752" i="2" s="1"/>
  <c r="K2753" i="2"/>
  <c r="L2753" i="2" s="1"/>
  <c r="K2754" i="2"/>
  <c r="L2754" i="2" s="1"/>
  <c r="K2755" i="2"/>
  <c r="L2755" i="2" s="1"/>
  <c r="K2756" i="2"/>
  <c r="L2756" i="2" s="1"/>
  <c r="K2757" i="2"/>
  <c r="L2757" i="2" s="1"/>
  <c r="K2758" i="2"/>
  <c r="L2758" i="2" s="1"/>
  <c r="K2759" i="2"/>
  <c r="L2759" i="2" s="1"/>
  <c r="K2760" i="2"/>
  <c r="L2760" i="2" s="1"/>
  <c r="K2761" i="2"/>
  <c r="L2761" i="2" s="1"/>
  <c r="K2762" i="2"/>
  <c r="L2762" i="2" s="1"/>
  <c r="K2763" i="2"/>
  <c r="L2763" i="2" s="1"/>
  <c r="K2764" i="2"/>
  <c r="L2764" i="2" s="1"/>
  <c r="K2765" i="2"/>
  <c r="L2765" i="2" s="1"/>
  <c r="K2766" i="2"/>
  <c r="L2766" i="2" s="1"/>
  <c r="K2767" i="2"/>
  <c r="L2767" i="2" s="1"/>
  <c r="K2768" i="2"/>
  <c r="L2768" i="2" s="1"/>
  <c r="K2769" i="2"/>
  <c r="L2769" i="2" s="1"/>
  <c r="K2770" i="2"/>
  <c r="L2770" i="2" s="1"/>
  <c r="K2771" i="2"/>
  <c r="L2771" i="2" s="1"/>
  <c r="K2772" i="2"/>
  <c r="L2772" i="2" s="1"/>
  <c r="K2773" i="2"/>
  <c r="L2773" i="2" s="1"/>
  <c r="K2774" i="2"/>
  <c r="L2774" i="2" s="1"/>
  <c r="K2775" i="2"/>
  <c r="L2775" i="2" s="1"/>
  <c r="K2776" i="2"/>
  <c r="L2776" i="2" s="1"/>
  <c r="K2777" i="2"/>
  <c r="L2777" i="2" s="1"/>
  <c r="K2778" i="2"/>
  <c r="L2778" i="2" s="1"/>
  <c r="K2779" i="2"/>
  <c r="L2779" i="2" s="1"/>
  <c r="K2780" i="2"/>
  <c r="L2780" i="2" s="1"/>
  <c r="K2781" i="2"/>
  <c r="L2781" i="2" s="1"/>
  <c r="K2782" i="2"/>
  <c r="L2782" i="2" s="1"/>
  <c r="K2783" i="2"/>
  <c r="L2783" i="2" s="1"/>
  <c r="K2784" i="2"/>
  <c r="L2784" i="2" s="1"/>
  <c r="K2785" i="2"/>
  <c r="L2785" i="2" s="1"/>
  <c r="K2786" i="2"/>
  <c r="L2786" i="2" s="1"/>
  <c r="K2787" i="2"/>
  <c r="L2787" i="2" s="1"/>
  <c r="K2788" i="2"/>
  <c r="L2788" i="2" s="1"/>
  <c r="K2789" i="2"/>
  <c r="L2789" i="2" s="1"/>
  <c r="K2790" i="2"/>
  <c r="L2790" i="2" s="1"/>
  <c r="K2791" i="2"/>
  <c r="L2791" i="2" s="1"/>
  <c r="M2791" i="2" s="1"/>
  <c r="K2792" i="2"/>
  <c r="L2792" i="2" s="1"/>
  <c r="K2793" i="2"/>
  <c r="L2793" i="2" s="1"/>
  <c r="K2794" i="2"/>
  <c r="L2794" i="2" s="1"/>
  <c r="K2795" i="2"/>
  <c r="L2795" i="2" s="1"/>
  <c r="K2796" i="2"/>
  <c r="L2796" i="2" s="1"/>
  <c r="K2797" i="2"/>
  <c r="L2797" i="2" s="1"/>
  <c r="K2798" i="2"/>
  <c r="L2798" i="2" s="1"/>
  <c r="K2799" i="2"/>
  <c r="L2799" i="2" s="1"/>
  <c r="K2800" i="2"/>
  <c r="L2800" i="2" s="1"/>
  <c r="K2801" i="2"/>
  <c r="L2801" i="2" s="1"/>
  <c r="K2802" i="2"/>
  <c r="L2802" i="2" s="1"/>
  <c r="K2803" i="2"/>
  <c r="L2803" i="2" s="1"/>
  <c r="K2804" i="2"/>
  <c r="L2804" i="2" s="1"/>
  <c r="K2805" i="2"/>
  <c r="L2805" i="2" s="1"/>
  <c r="K2806" i="2"/>
  <c r="L2806" i="2" s="1"/>
  <c r="K2807" i="2"/>
  <c r="L2807" i="2" s="1"/>
  <c r="K2808" i="2"/>
  <c r="L2808" i="2" s="1"/>
  <c r="M2808" i="2" s="1"/>
  <c r="K2809" i="2"/>
  <c r="L2809" i="2" s="1"/>
  <c r="M2809" i="2" s="1"/>
  <c r="K2810" i="2"/>
  <c r="L2810" i="2" s="1"/>
  <c r="K2811" i="2"/>
  <c r="L2811" i="2" s="1"/>
  <c r="K2812" i="2"/>
  <c r="L2812" i="2" s="1"/>
  <c r="K2813" i="2"/>
  <c r="L2813" i="2" s="1"/>
  <c r="K2814" i="2"/>
  <c r="L2814" i="2" s="1"/>
  <c r="K2815" i="2"/>
  <c r="L2815" i="2" s="1"/>
  <c r="K2816" i="2"/>
  <c r="L2816" i="2" s="1"/>
  <c r="K2817" i="2"/>
  <c r="L2817" i="2" s="1"/>
  <c r="K2818" i="2"/>
  <c r="L2818" i="2" s="1"/>
  <c r="K2819" i="2"/>
  <c r="L2819" i="2" s="1"/>
  <c r="K2820" i="2"/>
  <c r="L2820" i="2" s="1"/>
  <c r="K2821" i="2"/>
  <c r="L2821" i="2" s="1"/>
  <c r="K2822" i="2"/>
  <c r="L2822" i="2" s="1"/>
  <c r="K2823" i="2"/>
  <c r="L2823" i="2" s="1"/>
  <c r="K2824" i="2"/>
  <c r="L2824" i="2" s="1"/>
  <c r="K2825" i="2"/>
  <c r="L2825" i="2" s="1"/>
  <c r="K2826" i="2"/>
  <c r="L2826" i="2" s="1"/>
  <c r="K2827" i="2"/>
  <c r="L2827" i="2" s="1"/>
  <c r="K2828" i="2"/>
  <c r="L2828" i="2" s="1"/>
  <c r="K2829" i="2"/>
  <c r="L2829" i="2" s="1"/>
  <c r="K2830" i="2"/>
  <c r="L2830" i="2" s="1"/>
  <c r="K2831" i="2"/>
  <c r="L2831" i="2" s="1"/>
  <c r="K2832" i="2"/>
  <c r="L2832" i="2" s="1"/>
  <c r="K2833" i="2"/>
  <c r="L2833" i="2" s="1"/>
  <c r="K2834" i="2"/>
  <c r="L2834" i="2" s="1"/>
  <c r="K2835" i="2"/>
  <c r="L2835" i="2" s="1"/>
  <c r="K2836" i="2"/>
  <c r="L2836" i="2" s="1"/>
  <c r="K2837" i="2"/>
  <c r="L2837" i="2" s="1"/>
  <c r="K2838" i="2"/>
  <c r="L2838" i="2" s="1"/>
  <c r="K2839" i="2"/>
  <c r="L2839" i="2" s="1"/>
  <c r="K2840" i="2"/>
  <c r="L2840" i="2" s="1"/>
  <c r="K2841" i="2"/>
  <c r="L2841" i="2" s="1"/>
  <c r="K2842" i="2"/>
  <c r="L2842" i="2" s="1"/>
  <c r="K2843" i="2"/>
  <c r="L2843" i="2" s="1"/>
  <c r="K2844" i="2"/>
  <c r="L2844" i="2" s="1"/>
  <c r="K2845" i="2"/>
  <c r="L2845" i="2" s="1"/>
  <c r="K2846" i="2"/>
  <c r="L2846" i="2" s="1"/>
  <c r="K2847" i="2"/>
  <c r="L2847" i="2" s="1"/>
  <c r="K2848" i="2"/>
  <c r="L2848" i="2" s="1"/>
  <c r="K2849" i="2"/>
  <c r="L2849" i="2" s="1"/>
  <c r="K2850" i="2"/>
  <c r="L2850" i="2" s="1"/>
  <c r="K2851" i="2"/>
  <c r="L2851" i="2" s="1"/>
  <c r="K2852" i="2"/>
  <c r="L2852" i="2" s="1"/>
  <c r="K2853" i="2"/>
  <c r="L2853" i="2" s="1"/>
  <c r="K2854" i="2"/>
  <c r="L2854" i="2" s="1"/>
  <c r="K2855" i="2"/>
  <c r="L2855" i="2" s="1"/>
  <c r="K2856" i="2"/>
  <c r="L2856" i="2" s="1"/>
  <c r="K2857" i="2"/>
  <c r="L2857" i="2" s="1"/>
  <c r="K2858" i="2"/>
  <c r="L2858" i="2" s="1"/>
  <c r="M2858" i="2" s="1"/>
  <c r="K2859" i="2"/>
  <c r="L2859" i="2" s="1"/>
  <c r="M2859" i="2" s="1"/>
  <c r="K2860" i="2"/>
  <c r="L2860" i="2" s="1"/>
  <c r="K2861" i="2"/>
  <c r="L2861" i="2" s="1"/>
  <c r="K2862" i="2"/>
  <c r="L2862" i="2" s="1"/>
  <c r="M2862" i="2" s="1"/>
  <c r="K2863" i="2"/>
  <c r="L2863" i="2" s="1"/>
  <c r="M2863" i="2" s="1"/>
  <c r="K2864" i="2"/>
  <c r="L2864" i="2" s="1"/>
  <c r="K2865" i="2"/>
  <c r="L2865" i="2" s="1"/>
  <c r="K2866" i="2"/>
  <c r="L2866" i="2" s="1"/>
  <c r="K2867" i="2"/>
  <c r="L2867" i="2" s="1"/>
  <c r="K2868" i="2"/>
  <c r="L2868" i="2" s="1"/>
  <c r="K2869" i="2"/>
  <c r="L2869" i="2" s="1"/>
  <c r="K2870" i="2"/>
  <c r="L2870" i="2" s="1"/>
  <c r="K2871" i="2"/>
  <c r="L2871" i="2" s="1"/>
  <c r="K2872" i="2"/>
  <c r="L2872" i="2" s="1"/>
  <c r="K2873" i="2"/>
  <c r="L2873" i="2" s="1"/>
  <c r="K2874" i="2"/>
  <c r="L2874" i="2" s="1"/>
  <c r="K2875" i="2"/>
  <c r="L2875" i="2" s="1"/>
  <c r="K2876" i="2"/>
  <c r="L2876" i="2" s="1"/>
  <c r="K2877" i="2"/>
  <c r="L2877" i="2" s="1"/>
  <c r="K2878" i="2"/>
  <c r="L2878" i="2" s="1"/>
  <c r="K2879" i="2"/>
  <c r="L2879" i="2" s="1"/>
  <c r="K2880" i="2"/>
  <c r="L2880" i="2" s="1"/>
  <c r="K2881" i="2"/>
  <c r="L2881" i="2" s="1"/>
  <c r="K2882" i="2"/>
  <c r="L2882" i="2" s="1"/>
  <c r="K2883" i="2"/>
  <c r="L2883" i="2" s="1"/>
  <c r="K2884" i="2"/>
  <c r="L2884" i="2" s="1"/>
  <c r="K2885" i="2"/>
  <c r="L2885" i="2" s="1"/>
  <c r="K2886" i="2"/>
  <c r="L2886" i="2" s="1"/>
  <c r="K2887" i="2"/>
  <c r="L2887" i="2" s="1"/>
  <c r="K2888" i="2"/>
  <c r="L2888" i="2" s="1"/>
  <c r="K2889" i="2"/>
  <c r="L2889" i="2" s="1"/>
  <c r="K2890" i="2"/>
  <c r="L2890" i="2" s="1"/>
  <c r="K2891" i="2"/>
  <c r="L2891" i="2" s="1"/>
  <c r="K2892" i="2"/>
  <c r="L2892" i="2" s="1"/>
  <c r="K2893" i="2"/>
  <c r="L2893" i="2" s="1"/>
  <c r="K2894" i="2"/>
  <c r="L2894" i="2" s="1"/>
  <c r="K2895" i="2"/>
  <c r="L2895" i="2" s="1"/>
  <c r="K2896" i="2"/>
  <c r="L2896" i="2" s="1"/>
  <c r="K2897" i="2"/>
  <c r="L2897" i="2" s="1"/>
  <c r="K2898" i="2"/>
  <c r="L2898" i="2" s="1"/>
  <c r="K2899" i="2"/>
  <c r="L2899" i="2" s="1"/>
  <c r="K2900" i="2"/>
  <c r="L2900" i="2" s="1"/>
  <c r="K2901" i="2"/>
  <c r="L2901" i="2" s="1"/>
  <c r="K2902" i="2"/>
  <c r="L2902" i="2" s="1"/>
  <c r="K2903" i="2"/>
  <c r="L2903" i="2" s="1"/>
  <c r="K2904" i="2"/>
  <c r="L2904" i="2" s="1"/>
  <c r="K2905" i="2"/>
  <c r="L2905" i="2" s="1"/>
  <c r="K2906" i="2"/>
  <c r="L2906" i="2" s="1"/>
  <c r="K2907" i="2"/>
  <c r="L2907" i="2" s="1"/>
  <c r="K2908" i="2"/>
  <c r="L2908" i="2" s="1"/>
  <c r="K2909" i="2"/>
  <c r="L2909" i="2" s="1"/>
  <c r="K2910" i="2"/>
  <c r="L2910" i="2" s="1"/>
  <c r="K2911" i="2"/>
  <c r="L2911" i="2" s="1"/>
  <c r="K2912" i="2"/>
  <c r="L2912" i="2" s="1"/>
  <c r="K2913" i="2"/>
  <c r="L2913" i="2" s="1"/>
  <c r="K2914" i="2"/>
  <c r="L2914" i="2" s="1"/>
  <c r="K2915" i="2"/>
  <c r="L2915" i="2" s="1"/>
  <c r="K2916" i="2"/>
  <c r="L2916" i="2" s="1"/>
  <c r="K2917" i="2"/>
  <c r="L2917" i="2" s="1"/>
  <c r="K2918" i="2"/>
  <c r="L2918" i="2" s="1"/>
  <c r="K2919" i="2"/>
  <c r="L2919" i="2" s="1"/>
  <c r="K2920" i="2"/>
  <c r="L2920" i="2" s="1"/>
  <c r="K2921" i="2"/>
  <c r="L2921" i="2" s="1"/>
  <c r="K2922" i="2"/>
  <c r="L2922" i="2" s="1"/>
  <c r="K2923" i="2"/>
  <c r="L2923" i="2" s="1"/>
  <c r="K2924" i="2"/>
  <c r="L2924" i="2" s="1"/>
  <c r="K2925" i="2"/>
  <c r="L2925" i="2" s="1"/>
  <c r="K2926" i="2"/>
  <c r="L2926" i="2" s="1"/>
  <c r="K2927" i="2"/>
  <c r="L2927" i="2" s="1"/>
  <c r="K2928" i="2"/>
  <c r="L2928" i="2" s="1"/>
  <c r="K2929" i="2"/>
  <c r="L2929" i="2" s="1"/>
  <c r="K2930" i="2"/>
  <c r="L2930" i="2" s="1"/>
  <c r="K2931" i="2"/>
  <c r="L2931" i="2" s="1"/>
  <c r="K2932" i="2"/>
  <c r="L2932" i="2" s="1"/>
  <c r="K2933" i="2"/>
  <c r="L2933" i="2" s="1"/>
  <c r="K2934" i="2"/>
  <c r="L2934" i="2" s="1"/>
  <c r="K2935" i="2"/>
  <c r="L2935" i="2" s="1"/>
  <c r="K2936" i="2"/>
  <c r="L2936" i="2" s="1"/>
  <c r="K2937" i="2"/>
  <c r="L2937" i="2" s="1"/>
  <c r="K2938" i="2"/>
  <c r="L2938" i="2" s="1"/>
  <c r="K2939" i="2"/>
  <c r="L2939" i="2" s="1"/>
  <c r="M2939" i="2" s="1"/>
  <c r="K2940" i="2"/>
  <c r="L2940" i="2" s="1"/>
  <c r="K2941" i="2"/>
  <c r="L2941" i="2" s="1"/>
  <c r="M2941" i="2" s="1"/>
  <c r="K2942" i="2"/>
  <c r="L2942" i="2" s="1"/>
  <c r="K2943" i="2"/>
  <c r="L2943" i="2" s="1"/>
  <c r="K2944" i="2"/>
  <c r="L2944" i="2" s="1"/>
  <c r="K2945" i="2"/>
  <c r="L2945" i="2" s="1"/>
  <c r="K2946" i="2"/>
  <c r="L2946" i="2" s="1"/>
  <c r="K2947" i="2"/>
  <c r="L2947" i="2" s="1"/>
  <c r="K2948" i="2"/>
  <c r="L2948" i="2" s="1"/>
  <c r="K2949" i="2"/>
  <c r="L2949" i="2" s="1"/>
  <c r="K2950" i="2"/>
  <c r="L2950" i="2" s="1"/>
  <c r="K2951" i="2"/>
  <c r="L2951" i="2" s="1"/>
  <c r="K2952" i="2"/>
  <c r="L2952" i="2" s="1"/>
  <c r="K2953" i="2"/>
  <c r="L2953" i="2" s="1"/>
  <c r="K2954" i="2"/>
  <c r="L2954" i="2" s="1"/>
  <c r="K2955" i="2"/>
  <c r="L2955" i="2" s="1"/>
  <c r="K2956" i="2"/>
  <c r="L2956" i="2" s="1"/>
  <c r="K2957" i="2"/>
  <c r="L2957" i="2" s="1"/>
  <c r="K2958" i="2"/>
  <c r="L2958" i="2" s="1"/>
  <c r="K2959" i="2"/>
  <c r="L2959" i="2" s="1"/>
  <c r="K2960" i="2"/>
  <c r="L2960" i="2" s="1"/>
  <c r="K2961" i="2"/>
  <c r="L2961" i="2" s="1"/>
  <c r="K2962" i="2"/>
  <c r="L2962" i="2" s="1"/>
  <c r="K2963" i="2"/>
  <c r="L2963" i="2" s="1"/>
  <c r="K2964" i="2"/>
  <c r="L2964" i="2" s="1"/>
  <c r="K2965" i="2"/>
  <c r="L2965" i="2" s="1"/>
  <c r="K2966" i="2"/>
  <c r="L2966" i="2" s="1"/>
  <c r="K2967" i="2"/>
  <c r="L2967" i="2" s="1"/>
  <c r="K2968" i="2"/>
  <c r="L2968" i="2" s="1"/>
  <c r="K2969" i="2"/>
  <c r="L2969" i="2" s="1"/>
  <c r="K2970" i="2"/>
  <c r="L2970" i="2" s="1"/>
  <c r="K2971" i="2"/>
  <c r="L2971" i="2" s="1"/>
  <c r="K2972" i="2"/>
  <c r="L2972" i="2" s="1"/>
  <c r="K2973" i="2"/>
  <c r="L2973" i="2" s="1"/>
  <c r="K2974" i="2"/>
  <c r="L2974" i="2" s="1"/>
  <c r="K2975" i="2"/>
  <c r="L2975" i="2" s="1"/>
  <c r="K2976" i="2"/>
  <c r="L2976" i="2" s="1"/>
  <c r="K2977" i="2"/>
  <c r="L2977" i="2" s="1"/>
  <c r="K2978" i="2"/>
  <c r="L2978" i="2" s="1"/>
  <c r="K2979" i="2"/>
  <c r="L2979" i="2" s="1"/>
  <c r="K2980" i="2"/>
  <c r="L2980" i="2" s="1"/>
  <c r="K2981" i="2"/>
  <c r="L2981" i="2" s="1"/>
  <c r="K2982" i="2"/>
  <c r="L2982" i="2" s="1"/>
  <c r="K2983" i="2"/>
  <c r="L2983" i="2" s="1"/>
  <c r="K2984" i="2"/>
  <c r="L2984" i="2" s="1"/>
  <c r="K2985" i="2"/>
  <c r="L2985" i="2" s="1"/>
  <c r="K2986" i="2"/>
  <c r="L2986" i="2" s="1"/>
  <c r="K2987" i="2"/>
  <c r="L2987" i="2" s="1"/>
  <c r="K2988" i="2"/>
  <c r="L2988" i="2" s="1"/>
  <c r="K2989" i="2"/>
  <c r="L2989" i="2" s="1"/>
  <c r="K2990" i="2"/>
  <c r="L2990" i="2" s="1"/>
  <c r="K2991" i="2"/>
  <c r="L2991" i="2" s="1"/>
  <c r="K2992" i="2"/>
  <c r="L2992" i="2" s="1"/>
  <c r="K2993" i="2"/>
  <c r="L2993" i="2" s="1"/>
  <c r="K2994" i="2"/>
  <c r="L2994" i="2" s="1"/>
  <c r="K2995" i="2"/>
  <c r="L2995" i="2" s="1"/>
  <c r="K2996" i="2"/>
  <c r="L2996" i="2" s="1"/>
  <c r="K2997" i="2"/>
  <c r="L2997" i="2" s="1"/>
  <c r="K2998" i="2"/>
  <c r="L2998" i="2" s="1"/>
  <c r="K2999" i="2"/>
  <c r="L2999" i="2" s="1"/>
  <c r="K3000" i="2"/>
  <c r="L3000" i="2" s="1"/>
  <c r="K3001" i="2"/>
  <c r="L3001" i="2" s="1"/>
  <c r="K3002" i="2"/>
  <c r="L3002" i="2" s="1"/>
  <c r="K3003" i="2"/>
  <c r="L3003" i="2" s="1"/>
  <c r="K3004" i="2"/>
  <c r="L3004" i="2" s="1"/>
  <c r="K3005" i="2"/>
  <c r="L3005" i="2" s="1"/>
  <c r="K3006" i="2"/>
  <c r="L3006" i="2" s="1"/>
  <c r="K3007" i="2"/>
  <c r="L3007" i="2" s="1"/>
  <c r="K3008" i="2"/>
  <c r="L3008" i="2" s="1"/>
  <c r="K3009" i="2"/>
  <c r="L3009" i="2" s="1"/>
  <c r="K3010" i="2"/>
  <c r="L3010" i="2" s="1"/>
  <c r="K3011" i="2"/>
  <c r="L3011" i="2" s="1"/>
  <c r="K3012" i="2"/>
  <c r="L3012" i="2" s="1"/>
  <c r="K3013" i="2"/>
  <c r="L3013" i="2" s="1"/>
  <c r="K3014" i="2"/>
  <c r="L3014" i="2" s="1"/>
  <c r="K3015" i="2"/>
  <c r="L3015" i="2" s="1"/>
  <c r="K3016" i="2"/>
  <c r="L3016" i="2" s="1"/>
  <c r="K3017" i="2"/>
  <c r="L3017" i="2" s="1"/>
  <c r="K3018" i="2"/>
  <c r="L3018" i="2" s="1"/>
  <c r="K3019" i="2"/>
  <c r="L3019" i="2" s="1"/>
  <c r="K3020" i="2"/>
  <c r="L3020" i="2" s="1"/>
  <c r="K3021" i="2"/>
  <c r="L3021" i="2" s="1"/>
  <c r="K3022" i="2"/>
  <c r="L3022" i="2" s="1"/>
  <c r="K3023" i="2"/>
  <c r="L3023" i="2" s="1"/>
  <c r="K3024" i="2"/>
  <c r="L3024" i="2" s="1"/>
  <c r="K3025" i="2"/>
  <c r="L3025" i="2" s="1"/>
  <c r="K3026" i="2"/>
  <c r="L3026" i="2" s="1"/>
  <c r="K3027" i="2"/>
  <c r="L3027" i="2" s="1"/>
  <c r="K3028" i="2"/>
  <c r="L3028" i="2" s="1"/>
  <c r="K3029" i="2"/>
  <c r="L3029" i="2" s="1"/>
  <c r="K3030" i="2"/>
  <c r="L3030" i="2" s="1"/>
  <c r="K3031" i="2"/>
  <c r="L3031" i="2" s="1"/>
  <c r="K3032" i="2"/>
  <c r="L3032" i="2" s="1"/>
  <c r="K3033" i="2"/>
  <c r="L3033" i="2" s="1"/>
  <c r="K3034" i="2"/>
  <c r="L3034" i="2" s="1"/>
  <c r="K3035" i="2"/>
  <c r="L3035" i="2" s="1"/>
  <c r="K3036" i="2"/>
  <c r="L3036" i="2" s="1"/>
  <c r="K3037" i="2"/>
  <c r="L3037" i="2" s="1"/>
  <c r="K3038" i="2"/>
  <c r="L3038" i="2" s="1"/>
  <c r="K3039" i="2"/>
  <c r="L3039" i="2" s="1"/>
  <c r="K3040" i="2"/>
  <c r="L3040" i="2" s="1"/>
  <c r="K3041" i="2"/>
  <c r="L3041" i="2" s="1"/>
  <c r="K3042" i="2"/>
  <c r="L3042" i="2" s="1"/>
  <c r="K3043" i="2"/>
  <c r="L3043" i="2" s="1"/>
  <c r="K3044" i="2"/>
  <c r="L3044" i="2" s="1"/>
  <c r="K3045" i="2"/>
  <c r="L3045" i="2" s="1"/>
  <c r="K3046" i="2"/>
  <c r="L3046" i="2" s="1"/>
  <c r="K3047" i="2"/>
  <c r="L3047" i="2" s="1"/>
  <c r="K3048" i="2"/>
  <c r="L3048" i="2" s="1"/>
  <c r="K3049" i="2"/>
  <c r="L3049" i="2" s="1"/>
  <c r="K3050" i="2"/>
  <c r="L3050" i="2" s="1"/>
  <c r="K3051" i="2"/>
  <c r="L3051" i="2" s="1"/>
  <c r="K3052" i="2"/>
  <c r="L3052" i="2" s="1"/>
  <c r="K3053" i="2"/>
  <c r="L3053" i="2" s="1"/>
  <c r="K3054" i="2"/>
  <c r="L3054" i="2" s="1"/>
  <c r="K3055" i="2"/>
  <c r="L3055" i="2" s="1"/>
  <c r="K3056" i="2"/>
  <c r="L3056" i="2" s="1"/>
  <c r="K3057" i="2"/>
  <c r="L3057" i="2" s="1"/>
  <c r="K3058" i="2"/>
  <c r="L3058" i="2" s="1"/>
  <c r="K3059" i="2"/>
  <c r="L3059" i="2" s="1"/>
  <c r="K3060" i="2"/>
  <c r="L3060" i="2" s="1"/>
  <c r="K3061" i="2"/>
  <c r="L3061" i="2" s="1"/>
  <c r="K3062" i="2"/>
  <c r="L3062" i="2" s="1"/>
  <c r="K3063" i="2"/>
  <c r="L3063" i="2" s="1"/>
  <c r="K3064" i="2"/>
  <c r="L3064" i="2" s="1"/>
  <c r="K3065" i="2"/>
  <c r="L3065" i="2" s="1"/>
  <c r="K3066" i="2"/>
  <c r="L3066" i="2" s="1"/>
  <c r="K3067" i="2"/>
  <c r="L3067" i="2" s="1"/>
  <c r="K3068" i="2"/>
  <c r="L3068" i="2" s="1"/>
  <c r="K3069" i="2"/>
  <c r="L3069" i="2" s="1"/>
  <c r="K3070" i="2"/>
  <c r="L3070" i="2" s="1"/>
  <c r="K3071" i="2"/>
  <c r="L3071" i="2" s="1"/>
  <c r="K3072" i="2"/>
  <c r="L3072" i="2" s="1"/>
  <c r="K3073" i="2"/>
  <c r="L3073" i="2" s="1"/>
  <c r="K3074" i="2"/>
  <c r="L3074" i="2" s="1"/>
  <c r="M3074" i="2" s="1"/>
  <c r="K3075" i="2"/>
  <c r="L3075" i="2" s="1"/>
  <c r="M3075" i="2" s="1"/>
  <c r="K3076" i="2"/>
  <c r="L3076" i="2" s="1"/>
  <c r="K3077" i="2"/>
  <c r="L3077" i="2" s="1"/>
  <c r="K3078" i="2"/>
  <c r="L3078" i="2" s="1"/>
  <c r="K3079" i="2"/>
  <c r="L3079" i="2" s="1"/>
  <c r="K3080" i="2"/>
  <c r="L3080" i="2" s="1"/>
  <c r="K3081" i="2"/>
  <c r="L3081" i="2" s="1"/>
  <c r="K3082" i="2"/>
  <c r="L3082" i="2" s="1"/>
  <c r="K3083" i="2"/>
  <c r="L3083" i="2" s="1"/>
  <c r="K3084" i="2"/>
  <c r="L3084" i="2" s="1"/>
  <c r="K3085" i="2"/>
  <c r="L3085" i="2" s="1"/>
  <c r="K3086" i="2"/>
  <c r="L3086" i="2" s="1"/>
  <c r="K3087" i="2"/>
  <c r="L3087" i="2" s="1"/>
  <c r="K3088" i="2"/>
  <c r="L3088" i="2" s="1"/>
  <c r="K3089" i="2"/>
  <c r="L3089" i="2" s="1"/>
  <c r="K3090" i="2"/>
  <c r="L3090" i="2" s="1"/>
  <c r="K3091" i="2"/>
  <c r="L3091" i="2" s="1"/>
  <c r="K3092" i="2"/>
  <c r="L3092" i="2" s="1"/>
  <c r="K3093" i="2"/>
  <c r="L3093" i="2" s="1"/>
  <c r="K3094" i="2"/>
  <c r="L3094" i="2" s="1"/>
  <c r="K3095" i="2"/>
  <c r="L3095" i="2" s="1"/>
  <c r="K3096" i="2"/>
  <c r="L3096" i="2" s="1"/>
  <c r="K3097" i="2"/>
  <c r="L3097" i="2" s="1"/>
  <c r="K3098" i="2"/>
  <c r="L3098" i="2" s="1"/>
  <c r="K3099" i="2"/>
  <c r="L3099" i="2" s="1"/>
  <c r="K3100" i="2"/>
  <c r="L3100" i="2" s="1"/>
  <c r="K3101" i="2"/>
  <c r="L3101" i="2" s="1"/>
  <c r="K3102" i="2"/>
  <c r="L3102" i="2" s="1"/>
  <c r="K3103" i="2"/>
  <c r="L3103" i="2" s="1"/>
  <c r="K3104" i="2"/>
  <c r="L3104" i="2" s="1"/>
  <c r="K3105" i="2"/>
  <c r="L3105" i="2" s="1"/>
  <c r="K3106" i="2"/>
  <c r="L3106" i="2" s="1"/>
  <c r="K3107" i="2"/>
  <c r="L3107" i="2" s="1"/>
  <c r="K3108" i="2"/>
  <c r="L3108" i="2" s="1"/>
  <c r="K3109" i="2"/>
  <c r="L3109" i="2" s="1"/>
  <c r="K3110" i="2"/>
  <c r="L3110" i="2" s="1"/>
  <c r="K3111" i="2"/>
  <c r="L3111" i="2" s="1"/>
  <c r="K3112" i="2"/>
  <c r="L3112" i="2" s="1"/>
  <c r="K3113" i="2"/>
  <c r="L3113" i="2" s="1"/>
  <c r="K3114" i="2"/>
  <c r="L3114" i="2" s="1"/>
  <c r="M3114" i="2" s="1"/>
  <c r="K3115" i="2"/>
  <c r="L3115" i="2" s="1"/>
  <c r="M3115" i="2" s="1"/>
  <c r="K3116" i="2"/>
  <c r="L3116" i="2" s="1"/>
  <c r="K3117" i="2"/>
  <c r="L3117" i="2" s="1"/>
  <c r="M3117" i="2" s="1"/>
  <c r="K3118" i="2"/>
  <c r="L3118" i="2" s="1"/>
  <c r="M3118" i="2" s="1"/>
  <c r="K3119" i="2"/>
  <c r="L3119" i="2" s="1"/>
  <c r="K3120" i="2"/>
  <c r="L3120" i="2" s="1"/>
  <c r="K3121" i="2"/>
  <c r="L3121" i="2" s="1"/>
  <c r="K3122" i="2"/>
  <c r="L3122" i="2" s="1"/>
  <c r="K3123" i="2"/>
  <c r="L3123" i="2" s="1"/>
  <c r="K3124" i="2"/>
  <c r="L3124" i="2" s="1"/>
  <c r="K3125" i="2"/>
  <c r="L3125" i="2" s="1"/>
  <c r="K3126" i="2"/>
  <c r="L3126" i="2" s="1"/>
  <c r="K3127" i="2"/>
  <c r="L3127" i="2" s="1"/>
  <c r="K3128" i="2"/>
  <c r="L3128" i="2" s="1"/>
  <c r="K3129" i="2"/>
  <c r="L3129" i="2" s="1"/>
  <c r="K3130" i="2"/>
  <c r="L3130" i="2" s="1"/>
  <c r="K3131" i="2"/>
  <c r="L3131" i="2" s="1"/>
  <c r="K3132" i="2"/>
  <c r="L3132" i="2" s="1"/>
  <c r="K3133" i="2"/>
  <c r="L3133" i="2" s="1"/>
  <c r="K3134" i="2"/>
  <c r="L3134" i="2" s="1"/>
  <c r="K3135" i="2"/>
  <c r="L3135" i="2" s="1"/>
  <c r="K3136" i="2"/>
  <c r="L3136" i="2" s="1"/>
  <c r="K3137" i="2"/>
  <c r="L3137" i="2" s="1"/>
  <c r="K3138" i="2"/>
  <c r="L3138" i="2" s="1"/>
  <c r="K3139" i="2"/>
  <c r="L3139" i="2" s="1"/>
  <c r="K3140" i="2"/>
  <c r="L3140" i="2" s="1"/>
  <c r="K3141" i="2"/>
  <c r="L3141" i="2" s="1"/>
  <c r="K3142" i="2"/>
  <c r="L3142" i="2" s="1"/>
  <c r="K3143" i="2"/>
  <c r="L3143" i="2" s="1"/>
  <c r="K3144" i="2"/>
  <c r="L3144" i="2" s="1"/>
  <c r="K3145" i="2"/>
  <c r="L3145" i="2" s="1"/>
  <c r="K3146" i="2"/>
  <c r="L3146" i="2" s="1"/>
  <c r="K3147" i="2"/>
  <c r="L3147" i="2" s="1"/>
  <c r="K3148" i="2"/>
  <c r="L3148" i="2" s="1"/>
  <c r="K3149" i="2"/>
  <c r="L3149" i="2" s="1"/>
  <c r="K3150" i="2"/>
  <c r="L3150" i="2" s="1"/>
  <c r="K3151" i="2"/>
  <c r="L3151" i="2" s="1"/>
  <c r="K3152" i="2"/>
  <c r="L3152" i="2" s="1"/>
  <c r="K3153" i="2"/>
  <c r="L3153" i="2" s="1"/>
  <c r="K3154" i="2"/>
  <c r="L3154" i="2" s="1"/>
  <c r="K3155" i="2"/>
  <c r="L3155" i="2" s="1"/>
  <c r="K3156" i="2"/>
  <c r="L3156" i="2" s="1"/>
  <c r="K3157" i="2"/>
  <c r="L3157" i="2" s="1"/>
  <c r="K3158" i="2"/>
  <c r="L3158" i="2" s="1"/>
  <c r="K3159" i="2"/>
  <c r="L3159" i="2" s="1"/>
  <c r="K3160" i="2"/>
  <c r="L3160" i="2" s="1"/>
  <c r="K3161" i="2"/>
  <c r="L3161" i="2" s="1"/>
  <c r="K3162" i="2"/>
  <c r="L3162" i="2" s="1"/>
  <c r="K3163" i="2"/>
  <c r="L3163" i="2" s="1"/>
  <c r="K3164" i="2"/>
  <c r="L3164" i="2" s="1"/>
  <c r="K3165" i="2"/>
  <c r="L3165" i="2" s="1"/>
  <c r="K3166" i="2"/>
  <c r="L3166" i="2" s="1"/>
  <c r="K3167" i="2"/>
  <c r="L3167" i="2" s="1"/>
  <c r="K3168" i="2"/>
  <c r="L3168" i="2" s="1"/>
  <c r="K3169" i="2"/>
  <c r="L3169" i="2" s="1"/>
  <c r="K3170" i="2"/>
  <c r="L3170" i="2" s="1"/>
  <c r="K3171" i="2"/>
  <c r="L3171" i="2" s="1"/>
  <c r="K3172" i="2"/>
  <c r="L3172" i="2" s="1"/>
  <c r="K3173" i="2"/>
  <c r="L3173" i="2" s="1"/>
  <c r="K3174" i="2"/>
  <c r="L3174" i="2" s="1"/>
  <c r="K3175" i="2"/>
  <c r="L3175" i="2" s="1"/>
  <c r="K3176" i="2"/>
  <c r="L3176" i="2" s="1"/>
  <c r="K3177" i="2"/>
  <c r="L3177" i="2" s="1"/>
  <c r="K3178" i="2"/>
  <c r="L3178" i="2" s="1"/>
  <c r="K3179" i="2"/>
  <c r="L3179" i="2" s="1"/>
  <c r="K3180" i="2"/>
  <c r="L3180" i="2" s="1"/>
  <c r="K3181" i="2"/>
  <c r="L3181" i="2" s="1"/>
  <c r="K3182" i="2"/>
  <c r="L3182" i="2" s="1"/>
  <c r="K3183" i="2"/>
  <c r="L3183" i="2" s="1"/>
  <c r="K3184" i="2"/>
  <c r="L3184" i="2" s="1"/>
  <c r="K3185" i="2"/>
  <c r="L3185" i="2" s="1"/>
  <c r="K3186" i="2"/>
  <c r="L3186" i="2" s="1"/>
  <c r="K3187" i="2"/>
  <c r="L3187" i="2" s="1"/>
  <c r="K3188" i="2"/>
  <c r="L3188" i="2" s="1"/>
  <c r="K3189" i="2"/>
  <c r="L3189" i="2" s="1"/>
  <c r="K3190" i="2"/>
  <c r="L3190" i="2" s="1"/>
  <c r="K3191" i="2"/>
  <c r="L3191" i="2" s="1"/>
  <c r="K3192" i="2"/>
  <c r="L3192" i="2" s="1"/>
  <c r="K3193" i="2"/>
  <c r="L3193" i="2" s="1"/>
  <c r="K3194" i="2"/>
  <c r="L3194" i="2" s="1"/>
  <c r="K3195" i="2"/>
  <c r="L3195" i="2" s="1"/>
  <c r="K3196" i="2"/>
  <c r="L3196" i="2" s="1"/>
  <c r="K3197" i="2"/>
  <c r="L3197" i="2" s="1"/>
  <c r="K3198" i="2"/>
  <c r="L3198" i="2" s="1"/>
  <c r="K3199" i="2"/>
  <c r="L3199" i="2" s="1"/>
  <c r="K3200" i="2"/>
  <c r="L3200" i="2" s="1"/>
  <c r="K3201" i="2"/>
  <c r="L3201" i="2" s="1"/>
  <c r="K3202" i="2"/>
  <c r="L3202" i="2" s="1"/>
  <c r="K3203" i="2"/>
  <c r="L3203" i="2" s="1"/>
  <c r="M3203" i="2" s="1"/>
  <c r="K3204" i="2"/>
  <c r="L3204" i="2" s="1"/>
  <c r="M3204" i="2" s="1"/>
  <c r="K3205" i="2"/>
  <c r="L3205" i="2" s="1"/>
  <c r="K3206" i="2"/>
  <c r="L3206" i="2" s="1"/>
  <c r="K3207" i="2"/>
  <c r="L3207" i="2" s="1"/>
  <c r="M3207" i="2" s="1"/>
  <c r="K3208" i="2"/>
  <c r="L3208" i="2" s="1"/>
  <c r="M3208" i="2" s="1"/>
  <c r="K3209" i="2"/>
  <c r="L3209" i="2" s="1"/>
  <c r="K3210" i="2"/>
  <c r="L3210" i="2" s="1"/>
  <c r="K3211" i="2"/>
  <c r="L3211" i="2" s="1"/>
  <c r="K3212" i="2"/>
  <c r="L3212" i="2" s="1"/>
  <c r="K3213" i="2"/>
  <c r="L3213" i="2" s="1"/>
  <c r="K3214" i="2"/>
  <c r="L3214" i="2" s="1"/>
  <c r="K3215" i="2"/>
  <c r="L3215" i="2" s="1"/>
  <c r="K3216" i="2"/>
  <c r="L3216" i="2" s="1"/>
  <c r="K3217" i="2"/>
  <c r="L3217" i="2" s="1"/>
  <c r="K3218" i="2"/>
  <c r="L3218" i="2" s="1"/>
  <c r="K3219" i="2"/>
  <c r="L3219" i="2" s="1"/>
  <c r="K3220" i="2"/>
  <c r="L3220" i="2" s="1"/>
  <c r="K3221" i="2"/>
  <c r="L3221" i="2" s="1"/>
  <c r="K3222" i="2"/>
  <c r="L3222" i="2" s="1"/>
  <c r="K3223" i="2"/>
  <c r="L3223" i="2" s="1"/>
  <c r="K3224" i="2"/>
  <c r="L3224" i="2" s="1"/>
  <c r="K3225" i="2"/>
  <c r="L3225" i="2" s="1"/>
  <c r="K3226" i="2"/>
  <c r="L3226" i="2" s="1"/>
  <c r="K3227" i="2"/>
  <c r="L3227" i="2" s="1"/>
  <c r="K3228" i="2"/>
  <c r="L3228" i="2" s="1"/>
  <c r="K3229" i="2"/>
  <c r="L3229" i="2" s="1"/>
  <c r="K3230" i="2"/>
  <c r="L3230" i="2" s="1"/>
  <c r="K3231" i="2"/>
  <c r="L3231" i="2" s="1"/>
  <c r="K3232" i="2"/>
  <c r="L3232" i="2" s="1"/>
  <c r="K3233" i="2"/>
  <c r="L3233" i="2" s="1"/>
  <c r="K3234" i="2"/>
  <c r="L3234" i="2" s="1"/>
  <c r="K3235" i="2"/>
  <c r="L3235" i="2" s="1"/>
  <c r="K3236" i="2"/>
  <c r="L3236" i="2" s="1"/>
  <c r="K3237" i="2"/>
  <c r="L3237" i="2" s="1"/>
  <c r="K3238" i="2"/>
  <c r="L3238" i="2" s="1"/>
  <c r="K3239" i="2"/>
  <c r="L3239" i="2" s="1"/>
  <c r="K3240" i="2"/>
  <c r="L3240" i="2" s="1"/>
  <c r="K3241" i="2"/>
  <c r="L3241" i="2" s="1"/>
  <c r="K3242" i="2"/>
  <c r="L3242" i="2" s="1"/>
  <c r="K3243" i="2"/>
  <c r="L3243" i="2" s="1"/>
  <c r="K3244" i="2"/>
  <c r="L3244" i="2" s="1"/>
  <c r="K3245" i="2"/>
  <c r="L3245" i="2" s="1"/>
  <c r="K3246" i="2"/>
  <c r="L3246" i="2" s="1"/>
  <c r="K3247" i="2"/>
  <c r="L3247" i="2" s="1"/>
  <c r="K3248" i="2"/>
  <c r="L3248" i="2" s="1"/>
  <c r="K3249" i="2"/>
  <c r="L3249" i="2" s="1"/>
  <c r="K3250" i="2"/>
  <c r="L3250" i="2" s="1"/>
  <c r="K3251" i="2"/>
  <c r="L3251" i="2" s="1"/>
  <c r="K3252" i="2"/>
  <c r="L3252" i="2" s="1"/>
  <c r="K3253" i="2"/>
  <c r="L3253" i="2" s="1"/>
  <c r="K3254" i="2"/>
  <c r="L3254" i="2" s="1"/>
  <c r="K3255" i="2"/>
  <c r="L3255" i="2" s="1"/>
  <c r="K3256" i="2"/>
  <c r="L3256" i="2" s="1"/>
  <c r="K3257" i="2"/>
  <c r="L3257" i="2" s="1"/>
  <c r="K3258" i="2"/>
  <c r="L3258" i="2" s="1"/>
  <c r="K3259" i="2"/>
  <c r="L3259" i="2" s="1"/>
  <c r="K3260" i="2"/>
  <c r="L3260" i="2" s="1"/>
  <c r="K3261" i="2"/>
  <c r="L3261" i="2" s="1"/>
  <c r="K3262" i="2"/>
  <c r="L3262" i="2" s="1"/>
  <c r="K3263" i="2"/>
  <c r="L3263" i="2" s="1"/>
  <c r="K3264" i="2"/>
  <c r="L3264" i="2" s="1"/>
  <c r="K3265" i="2"/>
  <c r="L3265" i="2" s="1"/>
  <c r="K3266" i="2"/>
  <c r="L3266" i="2" s="1"/>
  <c r="K3267" i="2"/>
  <c r="L3267" i="2" s="1"/>
  <c r="K3268" i="2"/>
  <c r="L3268" i="2" s="1"/>
  <c r="K3269" i="2"/>
  <c r="L3269" i="2" s="1"/>
  <c r="K3270" i="2"/>
  <c r="L3270" i="2" s="1"/>
  <c r="K3271" i="2"/>
  <c r="L3271" i="2" s="1"/>
  <c r="K3272" i="2"/>
  <c r="L3272" i="2" s="1"/>
  <c r="K3273" i="2"/>
  <c r="L3273" i="2" s="1"/>
  <c r="K3274" i="2"/>
  <c r="L3274" i="2" s="1"/>
  <c r="K3275" i="2"/>
  <c r="L3275" i="2" s="1"/>
  <c r="K3276" i="2"/>
  <c r="L3276" i="2" s="1"/>
  <c r="K3277" i="2"/>
  <c r="L3277" i="2" s="1"/>
  <c r="K3278" i="2"/>
  <c r="L3278" i="2" s="1"/>
  <c r="K3279" i="2"/>
  <c r="L3279" i="2" s="1"/>
  <c r="K3280" i="2"/>
  <c r="L3280" i="2" s="1"/>
  <c r="K3281" i="2"/>
  <c r="L3281" i="2" s="1"/>
  <c r="K3282" i="2"/>
  <c r="L3282" i="2" s="1"/>
  <c r="K3283" i="2"/>
  <c r="L3283" i="2" s="1"/>
  <c r="K3284" i="2"/>
  <c r="L3284" i="2" s="1"/>
  <c r="K3285" i="2"/>
  <c r="L3285" i="2" s="1"/>
  <c r="K3286" i="2"/>
  <c r="L3286" i="2" s="1"/>
  <c r="K3287" i="2"/>
  <c r="L3287" i="2" s="1"/>
  <c r="K3288" i="2"/>
  <c r="L3288" i="2" s="1"/>
  <c r="K3289" i="2"/>
  <c r="L3289" i="2" s="1"/>
  <c r="K3290" i="2"/>
  <c r="L3290" i="2" s="1"/>
  <c r="K3291" i="2"/>
  <c r="L3291" i="2" s="1"/>
  <c r="K3292" i="2"/>
  <c r="L3292" i="2" s="1"/>
  <c r="K3293" i="2"/>
  <c r="L3293" i="2" s="1"/>
  <c r="K3294" i="2"/>
  <c r="L3294" i="2" s="1"/>
  <c r="K3295" i="2"/>
  <c r="L3295" i="2" s="1"/>
  <c r="K3296" i="2"/>
  <c r="L3296" i="2" s="1"/>
  <c r="K3297" i="2"/>
  <c r="L3297" i="2" s="1"/>
  <c r="K3298" i="2"/>
  <c r="L3298" i="2" s="1"/>
  <c r="K3299" i="2"/>
  <c r="L3299" i="2" s="1"/>
  <c r="K3300" i="2"/>
  <c r="L3300" i="2" s="1"/>
  <c r="K3301" i="2"/>
  <c r="L3301" i="2" s="1"/>
  <c r="K3302" i="2"/>
  <c r="L3302" i="2" s="1"/>
  <c r="K3303" i="2"/>
  <c r="L3303" i="2" s="1"/>
  <c r="K3304" i="2"/>
  <c r="L3304" i="2" s="1"/>
  <c r="K3305" i="2"/>
  <c r="L3305" i="2" s="1"/>
  <c r="K3306" i="2"/>
  <c r="L3306" i="2" s="1"/>
  <c r="K3307" i="2"/>
  <c r="L3307" i="2" s="1"/>
  <c r="K3308" i="2"/>
  <c r="L3308" i="2" s="1"/>
  <c r="K3309" i="2"/>
  <c r="L3309" i="2" s="1"/>
  <c r="K3310" i="2"/>
  <c r="L3310" i="2" s="1"/>
  <c r="K3311" i="2"/>
  <c r="L3311" i="2" s="1"/>
  <c r="K3312" i="2"/>
  <c r="L3312" i="2" s="1"/>
  <c r="K3313" i="2"/>
  <c r="L3313" i="2" s="1"/>
  <c r="K3314" i="2"/>
  <c r="L3314" i="2" s="1"/>
  <c r="K3315" i="2"/>
  <c r="L3315" i="2" s="1"/>
  <c r="K3316" i="2"/>
  <c r="L3316" i="2" s="1"/>
  <c r="K3317" i="2"/>
  <c r="L3317" i="2" s="1"/>
  <c r="K3318" i="2"/>
  <c r="L3318" i="2" s="1"/>
  <c r="K3319" i="2"/>
  <c r="L3319" i="2" s="1"/>
  <c r="K3320" i="2"/>
  <c r="L3320" i="2" s="1"/>
  <c r="K3321" i="2"/>
  <c r="L3321" i="2" s="1"/>
  <c r="K3322" i="2"/>
  <c r="L3322" i="2" s="1"/>
  <c r="K3323" i="2"/>
  <c r="L3323" i="2" s="1"/>
  <c r="K3324" i="2"/>
  <c r="L3324" i="2" s="1"/>
  <c r="K3325" i="2"/>
  <c r="L3325" i="2" s="1"/>
  <c r="K3326" i="2"/>
  <c r="L3326" i="2" s="1"/>
  <c r="K3327" i="2"/>
  <c r="L3327" i="2" s="1"/>
  <c r="K3328" i="2"/>
  <c r="L3328" i="2" s="1"/>
  <c r="K3329" i="2"/>
  <c r="L3329" i="2" s="1"/>
  <c r="K3330" i="2"/>
  <c r="L3330" i="2" s="1"/>
  <c r="K3331" i="2"/>
  <c r="L3331" i="2" s="1"/>
  <c r="K3332" i="2"/>
  <c r="L3332" i="2" s="1"/>
  <c r="K3333" i="2"/>
  <c r="L3333" i="2" s="1"/>
  <c r="K3334" i="2"/>
  <c r="L3334" i="2" s="1"/>
  <c r="M3334" i="2" s="1"/>
  <c r="K3335" i="2"/>
  <c r="L3335" i="2" s="1"/>
  <c r="M3335" i="2" s="1"/>
  <c r="K3336" i="2"/>
  <c r="L3336" i="2" s="1"/>
  <c r="K3337" i="2"/>
  <c r="L3337" i="2" s="1"/>
  <c r="M3337" i="2" s="1"/>
  <c r="K3338" i="2"/>
  <c r="L3338" i="2" s="1"/>
  <c r="M3338" i="2" s="1"/>
  <c r="K3339" i="2"/>
  <c r="L3339" i="2" s="1"/>
  <c r="K3340" i="2"/>
  <c r="L3340" i="2" s="1"/>
  <c r="K3341" i="2"/>
  <c r="L3341" i="2" s="1"/>
  <c r="K3342" i="2"/>
  <c r="L3342" i="2" s="1"/>
  <c r="K3343" i="2"/>
  <c r="L3343" i="2" s="1"/>
  <c r="K3344" i="2"/>
  <c r="L3344" i="2" s="1"/>
  <c r="K3345" i="2"/>
  <c r="L3345" i="2" s="1"/>
  <c r="K3346" i="2"/>
  <c r="L3346" i="2" s="1"/>
  <c r="K3347" i="2"/>
  <c r="L3347" i="2" s="1"/>
  <c r="K3348" i="2"/>
  <c r="L3348" i="2" s="1"/>
  <c r="K3349" i="2"/>
  <c r="L3349" i="2" s="1"/>
  <c r="K3350" i="2"/>
  <c r="L3350" i="2" s="1"/>
  <c r="K3351" i="2"/>
  <c r="L3351" i="2" s="1"/>
  <c r="K3352" i="2"/>
  <c r="L3352" i="2" s="1"/>
  <c r="K3353" i="2"/>
  <c r="L3353" i="2" s="1"/>
  <c r="K3354" i="2"/>
  <c r="L3354" i="2" s="1"/>
  <c r="K3355" i="2"/>
  <c r="L3355" i="2" s="1"/>
  <c r="K3356" i="2"/>
  <c r="L3356" i="2" s="1"/>
  <c r="K3357" i="2"/>
  <c r="L3357" i="2" s="1"/>
  <c r="K3358" i="2"/>
  <c r="L3358" i="2" s="1"/>
  <c r="K3359" i="2"/>
  <c r="L3359" i="2" s="1"/>
  <c r="K3360" i="2"/>
  <c r="L3360" i="2" s="1"/>
  <c r="K3361" i="2"/>
  <c r="L3361" i="2" s="1"/>
  <c r="K3362" i="2"/>
  <c r="L3362" i="2" s="1"/>
  <c r="K3363" i="2"/>
  <c r="L3363" i="2" s="1"/>
  <c r="K3364" i="2"/>
  <c r="L3364" i="2" s="1"/>
  <c r="K3365" i="2"/>
  <c r="L3365" i="2" s="1"/>
  <c r="K3366" i="2"/>
  <c r="L3366" i="2" s="1"/>
  <c r="K3367" i="2"/>
  <c r="L3367" i="2" s="1"/>
  <c r="K3368" i="2"/>
  <c r="L3368" i="2" s="1"/>
  <c r="K3369" i="2"/>
  <c r="L3369" i="2" s="1"/>
  <c r="K3370" i="2"/>
  <c r="L3370" i="2" s="1"/>
  <c r="K3371" i="2"/>
  <c r="L3371" i="2" s="1"/>
  <c r="K3372" i="2"/>
  <c r="L3372" i="2" s="1"/>
  <c r="K3373" i="2"/>
  <c r="L3373" i="2" s="1"/>
  <c r="K3374" i="2"/>
  <c r="L3374" i="2" s="1"/>
  <c r="K3375" i="2"/>
  <c r="L3375" i="2" s="1"/>
  <c r="K3376" i="2"/>
  <c r="L3376" i="2" s="1"/>
  <c r="K3377" i="2"/>
  <c r="L3377" i="2" s="1"/>
  <c r="K3378" i="2"/>
  <c r="L3378" i="2" s="1"/>
  <c r="K3379" i="2"/>
  <c r="L3379" i="2" s="1"/>
  <c r="K3380" i="2"/>
  <c r="L3380" i="2" s="1"/>
  <c r="K3381" i="2"/>
  <c r="L3381" i="2" s="1"/>
  <c r="K3382" i="2"/>
  <c r="L3382" i="2" s="1"/>
  <c r="K3383" i="2"/>
  <c r="L3383" i="2" s="1"/>
  <c r="K3384" i="2"/>
  <c r="L3384" i="2" s="1"/>
  <c r="K3385" i="2"/>
  <c r="L3385" i="2" s="1"/>
  <c r="K3386" i="2"/>
  <c r="L3386" i="2" s="1"/>
  <c r="K3387" i="2"/>
  <c r="L3387" i="2" s="1"/>
  <c r="K3388" i="2"/>
  <c r="L3388" i="2" s="1"/>
  <c r="K3389" i="2"/>
  <c r="L3389" i="2" s="1"/>
  <c r="K3390" i="2"/>
  <c r="L3390" i="2" s="1"/>
  <c r="K3391" i="2"/>
  <c r="L3391" i="2" s="1"/>
  <c r="K3392" i="2"/>
  <c r="L3392" i="2" s="1"/>
  <c r="K3393" i="2"/>
  <c r="L3393" i="2" s="1"/>
  <c r="K3394" i="2"/>
  <c r="L3394" i="2" s="1"/>
  <c r="K3395" i="2"/>
  <c r="L3395" i="2" s="1"/>
  <c r="K3396" i="2"/>
  <c r="L3396" i="2" s="1"/>
  <c r="K3397" i="2"/>
  <c r="L3397" i="2" s="1"/>
  <c r="K3398" i="2"/>
  <c r="L3398" i="2" s="1"/>
  <c r="K3399" i="2"/>
  <c r="L3399" i="2" s="1"/>
  <c r="K3400" i="2"/>
  <c r="L3400" i="2" s="1"/>
  <c r="K3401" i="2"/>
  <c r="L3401" i="2" s="1"/>
  <c r="K3402" i="2"/>
  <c r="L3402" i="2" s="1"/>
  <c r="K3403" i="2"/>
  <c r="L3403" i="2" s="1"/>
  <c r="K3404" i="2"/>
  <c r="L3404" i="2" s="1"/>
  <c r="K3405" i="2"/>
  <c r="L3405" i="2" s="1"/>
  <c r="K3406" i="2"/>
  <c r="L3406" i="2" s="1"/>
  <c r="K3407" i="2"/>
  <c r="L3407" i="2" s="1"/>
  <c r="K3408" i="2"/>
  <c r="L3408" i="2" s="1"/>
  <c r="K3409" i="2"/>
  <c r="L3409" i="2" s="1"/>
  <c r="K3410" i="2"/>
  <c r="L3410" i="2" s="1"/>
  <c r="K3411" i="2"/>
  <c r="L3411" i="2" s="1"/>
  <c r="K3412" i="2"/>
  <c r="L3412" i="2" s="1"/>
  <c r="K3413" i="2"/>
  <c r="L3413" i="2" s="1"/>
  <c r="K3414" i="2"/>
  <c r="L3414" i="2" s="1"/>
  <c r="K3415" i="2"/>
  <c r="L3415" i="2" s="1"/>
  <c r="K3416" i="2"/>
  <c r="L3416" i="2" s="1"/>
  <c r="K3417" i="2"/>
  <c r="L3417" i="2" s="1"/>
  <c r="K3418" i="2"/>
  <c r="L3418" i="2" s="1"/>
  <c r="K3419" i="2"/>
  <c r="L3419" i="2" s="1"/>
  <c r="K3420" i="2"/>
  <c r="L3420" i="2" s="1"/>
  <c r="K3421" i="2"/>
  <c r="L3421" i="2" s="1"/>
  <c r="K3422" i="2"/>
  <c r="L3422" i="2" s="1"/>
  <c r="K3423" i="2"/>
  <c r="L3423" i="2" s="1"/>
  <c r="K3424" i="2"/>
  <c r="L3424" i="2" s="1"/>
  <c r="K3425" i="2"/>
  <c r="L3425" i="2" s="1"/>
  <c r="K3426" i="2"/>
  <c r="L3426" i="2" s="1"/>
  <c r="K3427" i="2"/>
  <c r="L3427" i="2" s="1"/>
  <c r="K3428" i="2"/>
  <c r="L3428" i="2" s="1"/>
  <c r="K3429" i="2"/>
  <c r="L3429" i="2" s="1"/>
  <c r="K3430" i="2"/>
  <c r="L3430" i="2" s="1"/>
  <c r="K3431" i="2"/>
  <c r="L3431" i="2" s="1"/>
  <c r="K3432" i="2"/>
  <c r="L3432" i="2" s="1"/>
  <c r="K3433" i="2"/>
  <c r="L3433" i="2" s="1"/>
  <c r="K3434" i="2"/>
  <c r="L3434" i="2" s="1"/>
  <c r="K3435" i="2"/>
  <c r="L3435" i="2" s="1"/>
  <c r="K3436" i="2"/>
  <c r="L3436" i="2" s="1"/>
  <c r="K3437" i="2"/>
  <c r="L3437" i="2" s="1"/>
  <c r="K3438" i="2"/>
  <c r="L3438" i="2" s="1"/>
  <c r="K3439" i="2"/>
  <c r="L3439" i="2" s="1"/>
  <c r="K3440" i="2"/>
  <c r="L3440" i="2" s="1"/>
  <c r="K3441" i="2"/>
  <c r="L3441" i="2" s="1"/>
  <c r="K3442" i="2"/>
  <c r="L3442" i="2" s="1"/>
  <c r="K3443" i="2"/>
  <c r="L3443" i="2" s="1"/>
  <c r="K3444" i="2"/>
  <c r="L3444" i="2" s="1"/>
  <c r="K3445" i="2"/>
  <c r="L3445" i="2" s="1"/>
  <c r="K3446" i="2"/>
  <c r="L3446" i="2" s="1"/>
  <c r="K3447" i="2"/>
  <c r="L3447" i="2" s="1"/>
  <c r="K3448" i="2"/>
  <c r="L3448" i="2" s="1"/>
  <c r="K3449" i="2"/>
  <c r="L3449" i="2" s="1"/>
  <c r="K3450" i="2"/>
  <c r="L3450" i="2" s="1"/>
  <c r="K3451" i="2"/>
  <c r="L3451" i="2" s="1"/>
  <c r="K3452" i="2"/>
  <c r="L3452" i="2" s="1"/>
  <c r="K3453" i="2"/>
  <c r="L3453" i="2" s="1"/>
  <c r="K3454" i="2"/>
  <c r="L3454" i="2" s="1"/>
  <c r="K3455" i="2"/>
  <c r="L3455" i="2" s="1"/>
  <c r="K3456" i="2"/>
  <c r="L3456" i="2" s="1"/>
  <c r="K3457" i="2"/>
  <c r="L3457" i="2" s="1"/>
  <c r="K3458" i="2"/>
  <c r="L3458" i="2" s="1"/>
  <c r="K3459" i="2"/>
  <c r="L3459" i="2" s="1"/>
  <c r="K3460" i="2"/>
  <c r="L3460" i="2" s="1"/>
  <c r="K3461" i="2"/>
  <c r="L3461" i="2" s="1"/>
  <c r="K3462" i="2"/>
  <c r="L3462" i="2" s="1"/>
  <c r="K3463" i="2"/>
  <c r="L3463" i="2" s="1"/>
  <c r="K3464" i="2"/>
  <c r="L3464" i="2" s="1"/>
  <c r="K3465" i="2"/>
  <c r="L3465" i="2" s="1"/>
  <c r="K3466" i="2"/>
  <c r="L3466" i="2" s="1"/>
  <c r="K3467" i="2"/>
  <c r="L3467" i="2" s="1"/>
  <c r="K3468" i="2"/>
  <c r="L3468" i="2" s="1"/>
  <c r="K3469" i="2"/>
  <c r="L3469" i="2" s="1"/>
  <c r="K3470" i="2"/>
  <c r="L3470" i="2" s="1"/>
  <c r="K3471" i="2"/>
  <c r="L3471" i="2" s="1"/>
  <c r="K3472" i="2"/>
  <c r="L3472" i="2" s="1"/>
  <c r="K3473" i="2"/>
  <c r="L3473" i="2" s="1"/>
  <c r="K3474" i="2"/>
  <c r="L3474" i="2" s="1"/>
  <c r="K3475" i="2"/>
  <c r="L3475" i="2" s="1"/>
  <c r="K3476" i="2"/>
  <c r="L3476" i="2" s="1"/>
  <c r="K3477" i="2"/>
  <c r="L3477" i="2" s="1"/>
  <c r="K3478" i="2"/>
  <c r="L3478" i="2" s="1"/>
  <c r="K3479" i="2"/>
  <c r="L3479" i="2" s="1"/>
  <c r="K3480" i="2"/>
  <c r="L3480" i="2" s="1"/>
  <c r="K3481" i="2"/>
  <c r="L3481" i="2" s="1"/>
  <c r="K3482" i="2"/>
  <c r="L3482" i="2" s="1"/>
  <c r="K3483" i="2"/>
  <c r="L3483" i="2" s="1"/>
  <c r="K3484" i="2"/>
  <c r="L3484" i="2" s="1"/>
  <c r="K3485" i="2"/>
  <c r="L3485" i="2" s="1"/>
  <c r="K3486" i="2"/>
  <c r="L3486" i="2" s="1"/>
  <c r="K3487" i="2"/>
  <c r="L3487" i="2" s="1"/>
  <c r="K3488" i="2"/>
  <c r="L3488" i="2" s="1"/>
  <c r="K3489" i="2"/>
  <c r="L3489" i="2" s="1"/>
  <c r="K3490" i="2"/>
  <c r="L3490" i="2" s="1"/>
  <c r="K3491" i="2"/>
  <c r="L3491" i="2" s="1"/>
  <c r="K3492" i="2"/>
  <c r="L3492" i="2" s="1"/>
  <c r="K3493" i="2"/>
  <c r="L3493" i="2" s="1"/>
  <c r="K3494" i="2"/>
  <c r="L3494" i="2" s="1"/>
  <c r="K3495" i="2"/>
  <c r="L3495" i="2" s="1"/>
  <c r="K3496" i="2"/>
  <c r="L3496" i="2" s="1"/>
  <c r="K3497" i="2"/>
  <c r="L3497" i="2" s="1"/>
  <c r="K3498" i="2"/>
  <c r="L3498" i="2" s="1"/>
  <c r="K3499" i="2"/>
  <c r="L3499" i="2" s="1"/>
  <c r="K3500" i="2"/>
  <c r="L3500" i="2" s="1"/>
  <c r="K3501" i="2"/>
  <c r="L3501" i="2" s="1"/>
  <c r="K3502" i="2"/>
  <c r="L3502" i="2" s="1"/>
  <c r="K3503" i="2"/>
  <c r="L3503" i="2" s="1"/>
  <c r="K3504" i="2"/>
  <c r="L3504" i="2" s="1"/>
  <c r="K3505" i="2"/>
  <c r="L3505" i="2" s="1"/>
  <c r="K3506" i="2"/>
  <c r="L3506" i="2" s="1"/>
  <c r="K3507" i="2"/>
  <c r="L3507" i="2" s="1"/>
  <c r="K3508" i="2"/>
  <c r="L3508" i="2" s="1"/>
  <c r="K3509" i="2"/>
  <c r="L3509" i="2" s="1"/>
  <c r="K3510" i="2"/>
  <c r="L3510" i="2" s="1"/>
  <c r="K3511" i="2"/>
  <c r="L3511" i="2" s="1"/>
  <c r="K3512" i="2"/>
  <c r="L3512" i="2" s="1"/>
  <c r="K3513" i="2"/>
  <c r="L3513" i="2" s="1"/>
  <c r="K3514" i="2"/>
  <c r="L3514" i="2" s="1"/>
  <c r="K3515" i="2"/>
  <c r="L3515" i="2" s="1"/>
  <c r="K3516" i="2"/>
  <c r="L3516" i="2" s="1"/>
  <c r="K3517" i="2"/>
  <c r="L3517" i="2" s="1"/>
  <c r="K3518" i="2"/>
  <c r="L3518" i="2" s="1"/>
  <c r="K3519" i="2"/>
  <c r="L3519" i="2" s="1"/>
  <c r="K3520" i="2"/>
  <c r="L3520" i="2" s="1"/>
  <c r="K3521" i="2"/>
  <c r="L3521" i="2" s="1"/>
  <c r="K3522" i="2"/>
  <c r="L3522" i="2" s="1"/>
  <c r="K3523" i="2"/>
  <c r="L3523" i="2" s="1"/>
  <c r="K3524" i="2"/>
  <c r="L3524" i="2" s="1"/>
  <c r="K3525" i="2"/>
  <c r="L3525" i="2" s="1"/>
  <c r="K3526" i="2"/>
  <c r="L3526" i="2" s="1"/>
  <c r="K3527" i="2"/>
  <c r="L3527" i="2" s="1"/>
  <c r="K3528" i="2"/>
  <c r="L3528" i="2" s="1"/>
  <c r="K3529" i="2"/>
  <c r="L3529" i="2" s="1"/>
  <c r="K3530" i="2"/>
  <c r="L3530" i="2" s="1"/>
  <c r="K3531" i="2"/>
  <c r="L3531" i="2" s="1"/>
  <c r="K3532" i="2"/>
  <c r="L3532" i="2" s="1"/>
  <c r="K3533" i="2"/>
  <c r="L3533" i="2" s="1"/>
  <c r="K3534" i="2"/>
  <c r="L3534" i="2" s="1"/>
  <c r="K3535" i="2"/>
  <c r="L3535" i="2" s="1"/>
  <c r="K3536" i="2"/>
  <c r="L3536" i="2" s="1"/>
  <c r="K3537" i="2"/>
  <c r="L3537" i="2" s="1"/>
  <c r="K3538" i="2"/>
  <c r="L3538" i="2" s="1"/>
  <c r="K3539" i="2"/>
  <c r="L3539" i="2" s="1"/>
  <c r="K3540" i="2"/>
  <c r="L3540" i="2" s="1"/>
  <c r="K3541" i="2"/>
  <c r="L3541" i="2" s="1"/>
  <c r="K3542" i="2"/>
  <c r="L3542" i="2" s="1"/>
  <c r="K3543" i="2"/>
  <c r="L3543" i="2" s="1"/>
  <c r="K3544" i="2"/>
  <c r="L3544" i="2" s="1"/>
  <c r="K3545" i="2"/>
  <c r="L3545" i="2" s="1"/>
  <c r="K3546" i="2"/>
  <c r="L3546" i="2" s="1"/>
  <c r="K3547" i="2"/>
  <c r="L3547" i="2" s="1"/>
  <c r="K3548" i="2"/>
  <c r="L3548" i="2" s="1"/>
  <c r="K3549" i="2"/>
  <c r="L3549" i="2" s="1"/>
  <c r="K3550" i="2"/>
  <c r="L3550" i="2" s="1"/>
  <c r="K3551" i="2"/>
  <c r="L3551" i="2" s="1"/>
  <c r="K3552" i="2"/>
  <c r="L3552" i="2" s="1"/>
  <c r="K3553" i="2"/>
  <c r="L3553" i="2" s="1"/>
  <c r="K3554" i="2"/>
  <c r="L3554" i="2" s="1"/>
  <c r="K3555" i="2"/>
  <c r="L3555" i="2" s="1"/>
  <c r="K3556" i="2"/>
  <c r="L3556" i="2" s="1"/>
  <c r="K3557" i="2"/>
  <c r="L3557" i="2" s="1"/>
  <c r="K3558" i="2"/>
  <c r="L3558" i="2" s="1"/>
  <c r="K3559" i="2"/>
  <c r="L3559" i="2" s="1"/>
  <c r="K3560" i="2"/>
  <c r="L3560" i="2" s="1"/>
  <c r="M3560" i="2" s="1"/>
  <c r="K3561" i="2"/>
  <c r="L3561" i="2" s="1"/>
  <c r="K3562" i="2"/>
  <c r="L3562" i="2" s="1"/>
  <c r="K3563" i="2"/>
  <c r="L3563" i="2" s="1"/>
  <c r="K3564" i="2"/>
  <c r="L3564" i="2" s="1"/>
  <c r="K3565" i="2"/>
  <c r="L3565" i="2" s="1"/>
  <c r="K3566" i="2"/>
  <c r="L3566" i="2" s="1"/>
  <c r="K3567" i="2"/>
  <c r="L3567" i="2" s="1"/>
  <c r="K3568" i="2"/>
  <c r="L3568" i="2" s="1"/>
  <c r="K3569" i="2"/>
  <c r="L3569" i="2" s="1"/>
  <c r="K3570" i="2"/>
  <c r="L3570" i="2" s="1"/>
  <c r="K3571" i="2"/>
  <c r="L3571" i="2" s="1"/>
  <c r="K3572" i="2"/>
  <c r="L3572" i="2" s="1"/>
  <c r="K3573" i="2"/>
  <c r="L3573" i="2" s="1"/>
  <c r="K3574" i="2"/>
  <c r="L3574" i="2" s="1"/>
  <c r="K3575" i="2"/>
  <c r="L3575" i="2" s="1"/>
  <c r="K3576" i="2"/>
  <c r="L3576" i="2" s="1"/>
  <c r="K3577" i="2"/>
  <c r="L3577" i="2" s="1"/>
  <c r="K3578" i="2"/>
  <c r="L3578" i="2" s="1"/>
  <c r="M3578" i="2" s="1"/>
  <c r="K3579" i="2"/>
  <c r="L3579" i="2" s="1"/>
  <c r="K3580" i="2"/>
  <c r="L3580" i="2" s="1"/>
  <c r="K3581" i="2"/>
  <c r="L3581" i="2" s="1"/>
  <c r="K3582" i="2"/>
  <c r="L3582" i="2" s="1"/>
  <c r="K3583" i="2"/>
  <c r="L3583" i="2" s="1"/>
  <c r="K3584" i="2"/>
  <c r="L3584" i="2" s="1"/>
  <c r="K3585" i="2"/>
  <c r="L3585" i="2" s="1"/>
  <c r="K3586" i="2"/>
  <c r="L3586" i="2" s="1"/>
  <c r="M3586" i="2" s="1"/>
  <c r="K3587" i="2"/>
  <c r="L3587" i="2" s="1"/>
  <c r="K3588" i="2"/>
  <c r="L3588" i="2" s="1"/>
  <c r="K3589" i="2"/>
  <c r="L3589" i="2" s="1"/>
  <c r="K3590" i="2"/>
  <c r="L3590" i="2" s="1"/>
  <c r="K3591" i="2"/>
  <c r="L3591" i="2" s="1"/>
  <c r="K3592" i="2"/>
  <c r="L3592" i="2" s="1"/>
  <c r="K3593" i="2"/>
  <c r="L3593" i="2" s="1"/>
  <c r="K3594" i="2"/>
  <c r="L3594" i="2" s="1"/>
  <c r="M3594" i="2" s="1"/>
  <c r="K3595" i="2"/>
  <c r="L3595" i="2" s="1"/>
  <c r="K3596" i="2"/>
  <c r="L3596" i="2" s="1"/>
  <c r="K3597" i="2"/>
  <c r="L3597" i="2" s="1"/>
  <c r="K3598" i="2"/>
  <c r="L3598" i="2" s="1"/>
  <c r="K3599" i="2"/>
  <c r="L3599" i="2" s="1"/>
  <c r="K3600" i="2"/>
  <c r="L3600" i="2" s="1"/>
  <c r="K3601" i="2"/>
  <c r="L3601" i="2" s="1"/>
  <c r="K3602" i="2"/>
  <c r="L3602" i="2" s="1"/>
  <c r="K3603" i="2"/>
  <c r="L3603" i="2" s="1"/>
  <c r="K3604" i="2"/>
  <c r="L3604" i="2" s="1"/>
  <c r="K3605" i="2"/>
  <c r="L3605" i="2" s="1"/>
  <c r="K3606" i="2"/>
  <c r="L3606" i="2" s="1"/>
  <c r="K3607" i="2"/>
  <c r="L3607" i="2" s="1"/>
  <c r="K3608" i="2"/>
  <c r="L3608" i="2" s="1"/>
  <c r="K3609" i="2"/>
  <c r="L3609" i="2" s="1"/>
  <c r="K3610" i="2"/>
  <c r="L3610" i="2" s="1"/>
  <c r="K3611" i="2"/>
  <c r="L3611" i="2" s="1"/>
  <c r="K3612" i="2"/>
  <c r="L3612" i="2" s="1"/>
  <c r="K3613" i="2"/>
  <c r="L3613" i="2" s="1"/>
  <c r="K3614" i="2"/>
  <c r="L3614" i="2" s="1"/>
  <c r="K3615" i="2"/>
  <c r="L3615" i="2" s="1"/>
  <c r="K3616" i="2"/>
  <c r="L3616" i="2" s="1"/>
  <c r="K3617" i="2"/>
  <c r="L3617" i="2" s="1"/>
  <c r="K3618" i="2"/>
  <c r="L3618" i="2" s="1"/>
  <c r="K3619" i="2"/>
  <c r="L3619" i="2" s="1"/>
  <c r="K3620" i="2"/>
  <c r="L3620" i="2" s="1"/>
  <c r="K3621" i="2"/>
  <c r="L3621" i="2" s="1"/>
  <c r="K3622" i="2"/>
  <c r="L3622" i="2" s="1"/>
  <c r="K3623" i="2"/>
  <c r="L3623" i="2" s="1"/>
  <c r="K3624" i="2"/>
  <c r="L3624" i="2" s="1"/>
  <c r="K3625" i="2"/>
  <c r="L3625" i="2" s="1"/>
  <c r="K3626" i="2"/>
  <c r="L3626" i="2" s="1"/>
  <c r="K3627" i="2"/>
  <c r="L3627" i="2" s="1"/>
  <c r="K3628" i="2"/>
  <c r="L3628" i="2" s="1"/>
  <c r="K3629" i="2"/>
  <c r="L3629" i="2" s="1"/>
  <c r="K3630" i="2"/>
  <c r="L3630" i="2" s="1"/>
  <c r="K3631" i="2"/>
  <c r="L3631" i="2" s="1"/>
  <c r="K3632" i="2"/>
  <c r="L3632" i="2" s="1"/>
  <c r="K3633" i="2"/>
  <c r="L3633" i="2" s="1"/>
  <c r="K3634" i="2"/>
  <c r="L3634" i="2" s="1"/>
  <c r="K3635" i="2"/>
  <c r="L3635" i="2" s="1"/>
  <c r="K3636" i="2"/>
  <c r="L3636" i="2" s="1"/>
  <c r="K3637" i="2"/>
  <c r="L3637" i="2" s="1"/>
  <c r="K3638" i="2"/>
  <c r="L3638" i="2" s="1"/>
  <c r="K3639" i="2"/>
  <c r="L3639" i="2" s="1"/>
  <c r="K3640" i="2"/>
  <c r="L3640" i="2" s="1"/>
  <c r="K3641" i="2"/>
  <c r="L3641" i="2" s="1"/>
  <c r="K3642" i="2"/>
  <c r="L3642" i="2" s="1"/>
  <c r="K3643" i="2"/>
  <c r="L3643" i="2" s="1"/>
  <c r="K3644" i="2"/>
  <c r="L3644" i="2" s="1"/>
  <c r="K3645" i="2"/>
  <c r="L3645" i="2" s="1"/>
  <c r="K3646" i="2"/>
  <c r="L3646" i="2" s="1"/>
  <c r="K3647" i="2"/>
  <c r="L3647" i="2" s="1"/>
  <c r="K3648" i="2"/>
  <c r="L3648" i="2" s="1"/>
  <c r="K3649" i="2"/>
  <c r="L3649" i="2" s="1"/>
  <c r="K3650" i="2"/>
  <c r="L3650" i="2" s="1"/>
  <c r="K3651" i="2"/>
  <c r="L3651" i="2" s="1"/>
  <c r="K3652" i="2"/>
  <c r="L3652" i="2" s="1"/>
  <c r="K3653" i="2"/>
  <c r="L3653" i="2" s="1"/>
  <c r="K3654" i="2"/>
  <c r="L3654" i="2" s="1"/>
  <c r="K3655" i="2"/>
  <c r="L3655" i="2" s="1"/>
  <c r="K3656" i="2"/>
  <c r="L3656" i="2" s="1"/>
  <c r="K3657" i="2"/>
  <c r="L3657" i="2" s="1"/>
  <c r="K3658" i="2"/>
  <c r="L3658" i="2" s="1"/>
  <c r="K3659" i="2"/>
  <c r="L3659" i="2" s="1"/>
  <c r="K3660" i="2"/>
  <c r="L3660" i="2" s="1"/>
  <c r="K3661" i="2"/>
  <c r="L3661" i="2" s="1"/>
  <c r="K3662" i="2"/>
  <c r="L3662" i="2" s="1"/>
  <c r="K3663" i="2"/>
  <c r="L3663" i="2" s="1"/>
  <c r="K3664" i="2"/>
  <c r="L3664" i="2" s="1"/>
  <c r="K3665" i="2"/>
  <c r="L3665" i="2" s="1"/>
  <c r="K3666" i="2"/>
  <c r="L3666" i="2" s="1"/>
  <c r="K3667" i="2"/>
  <c r="L3667" i="2" s="1"/>
  <c r="K3668" i="2"/>
  <c r="L3668" i="2" s="1"/>
  <c r="K3669" i="2"/>
  <c r="L3669" i="2" s="1"/>
  <c r="K3670" i="2"/>
  <c r="L3670" i="2" s="1"/>
  <c r="K3671" i="2"/>
  <c r="L3671" i="2" s="1"/>
  <c r="K3672" i="2"/>
  <c r="L3672" i="2" s="1"/>
  <c r="K3673" i="2"/>
  <c r="L3673" i="2" s="1"/>
  <c r="K3674" i="2"/>
  <c r="L3674" i="2" s="1"/>
  <c r="K3675" i="2"/>
  <c r="L3675" i="2" s="1"/>
  <c r="K3676" i="2"/>
  <c r="L3676" i="2" s="1"/>
  <c r="K3677" i="2"/>
  <c r="L3677" i="2" s="1"/>
  <c r="K3678" i="2"/>
  <c r="L3678" i="2" s="1"/>
  <c r="K3679" i="2"/>
  <c r="L3679" i="2" s="1"/>
  <c r="K3680" i="2"/>
  <c r="L3680" i="2" s="1"/>
  <c r="K3681" i="2"/>
  <c r="L3681" i="2" s="1"/>
  <c r="K3682" i="2"/>
  <c r="L3682" i="2" s="1"/>
  <c r="K3683" i="2"/>
  <c r="L3683" i="2" s="1"/>
  <c r="K3684" i="2"/>
  <c r="L3684" i="2" s="1"/>
  <c r="K3685" i="2"/>
  <c r="L3685" i="2" s="1"/>
  <c r="K3686" i="2"/>
  <c r="L3686" i="2" s="1"/>
  <c r="K3687" i="2"/>
  <c r="L3687" i="2" s="1"/>
  <c r="K3688" i="2"/>
  <c r="L3688" i="2" s="1"/>
  <c r="K3689" i="2"/>
  <c r="L3689" i="2" s="1"/>
  <c r="K3690" i="2"/>
  <c r="L3690" i="2" s="1"/>
  <c r="K3691" i="2"/>
  <c r="L3691" i="2" s="1"/>
  <c r="K3692" i="2"/>
  <c r="L3692" i="2" s="1"/>
  <c r="K3693" i="2"/>
  <c r="L3693" i="2" s="1"/>
  <c r="K3694" i="2"/>
  <c r="L3694" i="2" s="1"/>
  <c r="K3695" i="2"/>
  <c r="L3695" i="2" s="1"/>
  <c r="K3696" i="2"/>
  <c r="L3696" i="2" s="1"/>
  <c r="K3697" i="2"/>
  <c r="L3697" i="2" s="1"/>
  <c r="K3698" i="2"/>
  <c r="L3698" i="2" s="1"/>
  <c r="K3699" i="2"/>
  <c r="L3699" i="2" s="1"/>
  <c r="K3700" i="2"/>
  <c r="L3700" i="2" s="1"/>
  <c r="K3701" i="2"/>
  <c r="L3701" i="2" s="1"/>
  <c r="K3702" i="2"/>
  <c r="L3702" i="2" s="1"/>
  <c r="K3703" i="2"/>
  <c r="L3703" i="2" s="1"/>
  <c r="K3704" i="2"/>
  <c r="L3704" i="2" s="1"/>
  <c r="K3705" i="2"/>
  <c r="L3705" i="2" s="1"/>
  <c r="K3706" i="2"/>
  <c r="L3706" i="2" s="1"/>
  <c r="K3707" i="2"/>
  <c r="L3707" i="2" s="1"/>
  <c r="K3708" i="2"/>
  <c r="L3708" i="2" s="1"/>
  <c r="K3709" i="2"/>
  <c r="L3709" i="2" s="1"/>
  <c r="K3710" i="2"/>
  <c r="L3710" i="2" s="1"/>
  <c r="K3711" i="2"/>
  <c r="L3711" i="2" s="1"/>
  <c r="K3712" i="2"/>
  <c r="L3712" i="2" s="1"/>
  <c r="K3713" i="2"/>
  <c r="L3713" i="2" s="1"/>
  <c r="K3714" i="2"/>
  <c r="L3714" i="2" s="1"/>
  <c r="K3715" i="2"/>
  <c r="L3715" i="2" s="1"/>
  <c r="K3716" i="2"/>
  <c r="L3716" i="2" s="1"/>
  <c r="K3717" i="2"/>
  <c r="L3717" i="2" s="1"/>
  <c r="K3718" i="2"/>
  <c r="L3718" i="2" s="1"/>
  <c r="K3719" i="2"/>
  <c r="L3719" i="2" s="1"/>
  <c r="K3720" i="2"/>
  <c r="L3720" i="2" s="1"/>
  <c r="K3721" i="2"/>
  <c r="L3721" i="2" s="1"/>
  <c r="K3722" i="2"/>
  <c r="L3722" i="2" s="1"/>
  <c r="K3723" i="2"/>
  <c r="L3723" i="2" s="1"/>
  <c r="K3724" i="2"/>
  <c r="L3724" i="2" s="1"/>
  <c r="K3725" i="2"/>
  <c r="L3725" i="2" s="1"/>
  <c r="K3726" i="2"/>
  <c r="L3726" i="2" s="1"/>
  <c r="K3727" i="2"/>
  <c r="L3727" i="2" s="1"/>
  <c r="K3728" i="2"/>
  <c r="L3728" i="2" s="1"/>
  <c r="K3729" i="2"/>
  <c r="L3729" i="2" s="1"/>
  <c r="K3730" i="2"/>
  <c r="L3730" i="2" s="1"/>
  <c r="K3731" i="2"/>
  <c r="L3731" i="2" s="1"/>
  <c r="K3732" i="2"/>
  <c r="L3732" i="2" s="1"/>
  <c r="K3733" i="2"/>
  <c r="L3733" i="2" s="1"/>
  <c r="K3734" i="2"/>
  <c r="L3734" i="2" s="1"/>
  <c r="K3735" i="2"/>
  <c r="L3735" i="2" s="1"/>
  <c r="K3736" i="2"/>
  <c r="L3736" i="2" s="1"/>
  <c r="K3737" i="2"/>
  <c r="L3737" i="2" s="1"/>
  <c r="K3738" i="2"/>
  <c r="L3738" i="2" s="1"/>
  <c r="K3739" i="2"/>
  <c r="L3739" i="2" s="1"/>
  <c r="K3740" i="2"/>
  <c r="L3740" i="2" s="1"/>
  <c r="K3741" i="2"/>
  <c r="L3741" i="2" s="1"/>
  <c r="K3742" i="2"/>
  <c r="L3742" i="2" s="1"/>
  <c r="K3743" i="2"/>
  <c r="L3743" i="2" s="1"/>
  <c r="K3744" i="2"/>
  <c r="L3744" i="2" s="1"/>
  <c r="K3745" i="2"/>
  <c r="L3745" i="2" s="1"/>
  <c r="K3746" i="2"/>
  <c r="L3746" i="2" s="1"/>
  <c r="K3747" i="2"/>
  <c r="L3747" i="2" s="1"/>
  <c r="M3747" i="2" s="1"/>
  <c r="K3748" i="2"/>
  <c r="L3748" i="2" s="1"/>
  <c r="K3749" i="2"/>
  <c r="L3749" i="2" s="1"/>
  <c r="K3750" i="2"/>
  <c r="L3750" i="2" s="1"/>
  <c r="K3751" i="2"/>
  <c r="L3751" i="2" s="1"/>
  <c r="K3752" i="2"/>
  <c r="L3752" i="2" s="1"/>
  <c r="K3753" i="2"/>
  <c r="L3753" i="2" s="1"/>
  <c r="K3754" i="2"/>
  <c r="L3754" i="2" s="1"/>
  <c r="K3755" i="2"/>
  <c r="L3755" i="2" s="1"/>
  <c r="K3756" i="2"/>
  <c r="L3756" i="2" s="1"/>
  <c r="K3757" i="2"/>
  <c r="L3757" i="2" s="1"/>
  <c r="K3758" i="2"/>
  <c r="L3758" i="2" s="1"/>
  <c r="K3759" i="2"/>
  <c r="L3759" i="2" s="1"/>
  <c r="K3760" i="2"/>
  <c r="L3760" i="2" s="1"/>
  <c r="K3761" i="2"/>
  <c r="L3761" i="2" s="1"/>
  <c r="K3762" i="2"/>
  <c r="L3762" i="2" s="1"/>
  <c r="K3763" i="2"/>
  <c r="L3763" i="2" s="1"/>
  <c r="K3764" i="2"/>
  <c r="L3764" i="2" s="1"/>
  <c r="K3765" i="2"/>
  <c r="L3765" i="2" s="1"/>
  <c r="K3766" i="2"/>
  <c r="L3766" i="2" s="1"/>
  <c r="K3767" i="2"/>
  <c r="L3767" i="2" s="1"/>
  <c r="K3768" i="2"/>
  <c r="L3768" i="2" s="1"/>
  <c r="K3769" i="2"/>
  <c r="L3769" i="2" s="1"/>
  <c r="K3770" i="2"/>
  <c r="L3770" i="2" s="1"/>
  <c r="K3771" i="2"/>
  <c r="L3771" i="2" s="1"/>
  <c r="K3772" i="2"/>
  <c r="L3772" i="2" s="1"/>
  <c r="K3773" i="2"/>
  <c r="L3773" i="2" s="1"/>
  <c r="K3774" i="2"/>
  <c r="L3774" i="2" s="1"/>
  <c r="K3775" i="2"/>
  <c r="L3775" i="2" s="1"/>
  <c r="K3776" i="2"/>
  <c r="L3776" i="2" s="1"/>
  <c r="K3777" i="2"/>
  <c r="L3777" i="2" s="1"/>
  <c r="K3778" i="2"/>
  <c r="L3778" i="2" s="1"/>
  <c r="K3779" i="2"/>
  <c r="L3779" i="2" s="1"/>
  <c r="K3780" i="2"/>
  <c r="L3780" i="2" s="1"/>
  <c r="K3781" i="2"/>
  <c r="L3781" i="2" s="1"/>
  <c r="K3782" i="2"/>
  <c r="L3782" i="2" s="1"/>
  <c r="K3783" i="2"/>
  <c r="L3783" i="2" s="1"/>
  <c r="K3784" i="2"/>
  <c r="L3784" i="2" s="1"/>
  <c r="K3785" i="2"/>
  <c r="L3785" i="2" s="1"/>
  <c r="K3786" i="2"/>
  <c r="L3786" i="2" s="1"/>
  <c r="K3787" i="2"/>
  <c r="L3787" i="2" s="1"/>
  <c r="K3788" i="2"/>
  <c r="L3788" i="2" s="1"/>
  <c r="K3789" i="2"/>
  <c r="L3789" i="2" s="1"/>
  <c r="K3790" i="2"/>
  <c r="L3790" i="2" s="1"/>
  <c r="K3791" i="2"/>
  <c r="L3791" i="2" s="1"/>
  <c r="K3792" i="2"/>
  <c r="L3792" i="2" s="1"/>
  <c r="K3793" i="2"/>
  <c r="L3793" i="2" s="1"/>
  <c r="K3794" i="2"/>
  <c r="L3794" i="2" s="1"/>
  <c r="K3795" i="2"/>
  <c r="L3795" i="2" s="1"/>
  <c r="K3796" i="2"/>
  <c r="L3796" i="2" s="1"/>
  <c r="K3797" i="2"/>
  <c r="L3797" i="2" s="1"/>
  <c r="K3798" i="2"/>
  <c r="L3798" i="2" s="1"/>
  <c r="K3799" i="2"/>
  <c r="L3799" i="2" s="1"/>
  <c r="K3800" i="2"/>
  <c r="L3800" i="2" s="1"/>
  <c r="K3801" i="2"/>
  <c r="L3801" i="2" s="1"/>
  <c r="K3802" i="2"/>
  <c r="L3802" i="2" s="1"/>
  <c r="K3803" i="2"/>
  <c r="L3803" i="2" s="1"/>
  <c r="K3804" i="2"/>
  <c r="L3804" i="2" s="1"/>
  <c r="K3805" i="2"/>
  <c r="L3805" i="2" s="1"/>
  <c r="K3806" i="2"/>
  <c r="L3806" i="2" s="1"/>
  <c r="K3807" i="2"/>
  <c r="L3807" i="2" s="1"/>
  <c r="K3808" i="2"/>
  <c r="L3808" i="2" s="1"/>
  <c r="K3809" i="2"/>
  <c r="L3809" i="2" s="1"/>
  <c r="K3810" i="2"/>
  <c r="L3810" i="2" s="1"/>
  <c r="K3811" i="2"/>
  <c r="L3811" i="2" s="1"/>
  <c r="K3812" i="2"/>
  <c r="L3812" i="2" s="1"/>
  <c r="K3813" i="2"/>
  <c r="L3813" i="2" s="1"/>
  <c r="K3814" i="2"/>
  <c r="L3814" i="2" s="1"/>
  <c r="K3815" i="2"/>
  <c r="L3815" i="2" s="1"/>
  <c r="K3816" i="2"/>
  <c r="L3816" i="2" s="1"/>
  <c r="K3817" i="2"/>
  <c r="L3817" i="2" s="1"/>
  <c r="K3818" i="2"/>
  <c r="L3818" i="2" s="1"/>
  <c r="K3819" i="2"/>
  <c r="L3819" i="2" s="1"/>
  <c r="K3820" i="2"/>
  <c r="L3820" i="2" s="1"/>
  <c r="K3821" i="2"/>
  <c r="L3821" i="2" s="1"/>
  <c r="K3822" i="2"/>
  <c r="L3822" i="2" s="1"/>
  <c r="K3823" i="2"/>
  <c r="L3823" i="2" s="1"/>
  <c r="K3824" i="2"/>
  <c r="L3824" i="2" s="1"/>
  <c r="K3825" i="2"/>
  <c r="L3825" i="2" s="1"/>
  <c r="K3826" i="2"/>
  <c r="L3826" i="2" s="1"/>
  <c r="K3827" i="2"/>
  <c r="L3827" i="2" s="1"/>
  <c r="K3828" i="2"/>
  <c r="L3828" i="2" s="1"/>
  <c r="K3829" i="2"/>
  <c r="L3829" i="2" s="1"/>
  <c r="K3830" i="2"/>
  <c r="L3830" i="2" s="1"/>
  <c r="K3831" i="2"/>
  <c r="L3831" i="2" s="1"/>
  <c r="K3832" i="2"/>
  <c r="L3832" i="2" s="1"/>
  <c r="K3833" i="2"/>
  <c r="L3833" i="2" s="1"/>
  <c r="K3834" i="2"/>
  <c r="L3834" i="2" s="1"/>
  <c r="K3835" i="2"/>
  <c r="L3835" i="2" s="1"/>
  <c r="K3836" i="2"/>
  <c r="L3836" i="2" s="1"/>
  <c r="K3837" i="2"/>
  <c r="L3837" i="2" s="1"/>
  <c r="K3838" i="2"/>
  <c r="L3838" i="2" s="1"/>
  <c r="K3839" i="2"/>
  <c r="L3839" i="2" s="1"/>
  <c r="K3840" i="2"/>
  <c r="L3840" i="2" s="1"/>
  <c r="K3841" i="2"/>
  <c r="L3841" i="2" s="1"/>
  <c r="K3842" i="2"/>
  <c r="L3842" i="2" s="1"/>
  <c r="K3843" i="2"/>
  <c r="L3843" i="2" s="1"/>
  <c r="K3844" i="2"/>
  <c r="L3844" i="2" s="1"/>
  <c r="K3845" i="2"/>
  <c r="L3845" i="2" s="1"/>
  <c r="K3846" i="2"/>
  <c r="L3846" i="2" s="1"/>
  <c r="K3847" i="2"/>
  <c r="L3847" i="2" s="1"/>
  <c r="K3848" i="2"/>
  <c r="L3848" i="2" s="1"/>
  <c r="K3849" i="2"/>
  <c r="L3849" i="2" s="1"/>
  <c r="K3850" i="2"/>
  <c r="L3850" i="2" s="1"/>
  <c r="K3851" i="2"/>
  <c r="L3851" i="2" s="1"/>
  <c r="K3852" i="2"/>
  <c r="L3852" i="2" s="1"/>
  <c r="K3853" i="2"/>
  <c r="L3853" i="2" s="1"/>
  <c r="K3854" i="2"/>
  <c r="L3854" i="2" s="1"/>
  <c r="K3855" i="2"/>
  <c r="L3855" i="2" s="1"/>
  <c r="K3856" i="2"/>
  <c r="L3856" i="2" s="1"/>
  <c r="K3857" i="2"/>
  <c r="L3857" i="2" s="1"/>
  <c r="K3858" i="2"/>
  <c r="L3858" i="2" s="1"/>
  <c r="K3859" i="2"/>
  <c r="L3859" i="2" s="1"/>
  <c r="K3860" i="2"/>
  <c r="L3860" i="2" s="1"/>
  <c r="K3861" i="2"/>
  <c r="L3861" i="2" s="1"/>
  <c r="K3862" i="2"/>
  <c r="L3862" i="2" s="1"/>
  <c r="K3863" i="2"/>
  <c r="L3863" i="2" s="1"/>
  <c r="K3864" i="2"/>
  <c r="L3864" i="2" s="1"/>
  <c r="K3865" i="2"/>
  <c r="L3865" i="2" s="1"/>
  <c r="K3866" i="2"/>
  <c r="L3866" i="2" s="1"/>
  <c r="K3867" i="2"/>
  <c r="L3867" i="2" s="1"/>
  <c r="K3868" i="2"/>
  <c r="L3868" i="2" s="1"/>
  <c r="K3869" i="2"/>
  <c r="L3869" i="2" s="1"/>
  <c r="K3870" i="2"/>
  <c r="L3870" i="2" s="1"/>
  <c r="K3871" i="2"/>
  <c r="L3871" i="2" s="1"/>
  <c r="K3872" i="2"/>
  <c r="L3872" i="2" s="1"/>
  <c r="K3873" i="2"/>
  <c r="L3873" i="2" s="1"/>
  <c r="K3874" i="2"/>
  <c r="L3874" i="2" s="1"/>
  <c r="K3875" i="2"/>
  <c r="L3875" i="2" s="1"/>
  <c r="K3876" i="2"/>
  <c r="L3876" i="2" s="1"/>
  <c r="K3877" i="2"/>
  <c r="L3877" i="2" s="1"/>
  <c r="K3878" i="2"/>
  <c r="L3878" i="2" s="1"/>
  <c r="K3879" i="2"/>
  <c r="L3879" i="2" s="1"/>
  <c r="K3880" i="2"/>
  <c r="L3880" i="2" s="1"/>
  <c r="K3881" i="2"/>
  <c r="L3881" i="2" s="1"/>
  <c r="K3882" i="2"/>
  <c r="L3882" i="2" s="1"/>
  <c r="K3883" i="2"/>
  <c r="L3883" i="2" s="1"/>
  <c r="K3884" i="2"/>
  <c r="L3884" i="2" s="1"/>
  <c r="K3885" i="2"/>
  <c r="L3885" i="2" s="1"/>
  <c r="K3886" i="2"/>
  <c r="L3886" i="2" s="1"/>
  <c r="K3887" i="2"/>
  <c r="L3887" i="2" s="1"/>
  <c r="K3888" i="2"/>
  <c r="L3888" i="2" s="1"/>
  <c r="K3889" i="2"/>
  <c r="L3889" i="2" s="1"/>
  <c r="K3890" i="2"/>
  <c r="L3890" i="2" s="1"/>
  <c r="K3891" i="2"/>
  <c r="L3891" i="2" s="1"/>
  <c r="K3892" i="2"/>
  <c r="L3892" i="2" s="1"/>
  <c r="K3893" i="2"/>
  <c r="L3893" i="2" s="1"/>
  <c r="K3894" i="2"/>
  <c r="L3894" i="2" s="1"/>
  <c r="K3895" i="2"/>
  <c r="L3895" i="2" s="1"/>
  <c r="K3896" i="2"/>
  <c r="L3896" i="2" s="1"/>
  <c r="K3897" i="2"/>
  <c r="L3897" i="2" s="1"/>
  <c r="K3898" i="2"/>
  <c r="L3898" i="2" s="1"/>
  <c r="K3899" i="2"/>
  <c r="L3899" i="2" s="1"/>
  <c r="K3900" i="2"/>
  <c r="L3900" i="2" s="1"/>
  <c r="K3901" i="2"/>
  <c r="L3901" i="2" s="1"/>
  <c r="K3902" i="2"/>
  <c r="L3902" i="2" s="1"/>
  <c r="K3903" i="2"/>
  <c r="L3903" i="2" s="1"/>
  <c r="K3904" i="2"/>
  <c r="L3904" i="2" s="1"/>
  <c r="K3905" i="2"/>
  <c r="L3905" i="2" s="1"/>
  <c r="K3906" i="2"/>
  <c r="L3906" i="2" s="1"/>
  <c r="K3907" i="2"/>
  <c r="L3907" i="2" s="1"/>
  <c r="K3908" i="2"/>
  <c r="L3908" i="2" s="1"/>
  <c r="K3909" i="2"/>
  <c r="L3909" i="2" s="1"/>
  <c r="M3909" i="2" s="1"/>
  <c r="K3910" i="2"/>
  <c r="L3910" i="2" s="1"/>
  <c r="K3911" i="2"/>
  <c r="L3911" i="2" s="1"/>
  <c r="K3912" i="2"/>
  <c r="L3912" i="2" s="1"/>
  <c r="K3913" i="2"/>
  <c r="L3913" i="2" s="1"/>
  <c r="K3914" i="2"/>
  <c r="L3914" i="2" s="1"/>
  <c r="K3915" i="2"/>
  <c r="L3915" i="2" s="1"/>
  <c r="K3916" i="2"/>
  <c r="L3916" i="2" s="1"/>
  <c r="K3917" i="2"/>
  <c r="L3917" i="2" s="1"/>
  <c r="K3918" i="2"/>
  <c r="L3918" i="2" s="1"/>
  <c r="K3919" i="2"/>
  <c r="L3919" i="2" s="1"/>
  <c r="M3919" i="2" s="1"/>
  <c r="K3920" i="2"/>
  <c r="L3920" i="2" s="1"/>
  <c r="K3921" i="2"/>
  <c r="L3921" i="2" s="1"/>
  <c r="K3922" i="2"/>
  <c r="L3922" i="2" s="1"/>
  <c r="K3923" i="2"/>
  <c r="L3923" i="2" s="1"/>
  <c r="K3924" i="2"/>
  <c r="L3924" i="2" s="1"/>
  <c r="K3925" i="2"/>
  <c r="L3925" i="2" s="1"/>
  <c r="K3926" i="2"/>
  <c r="L3926" i="2" s="1"/>
  <c r="K3927" i="2"/>
  <c r="L3927" i="2" s="1"/>
  <c r="K3928" i="2"/>
  <c r="L3928" i="2" s="1"/>
  <c r="K3929" i="2"/>
  <c r="L3929" i="2" s="1"/>
  <c r="M3929" i="2" s="1"/>
  <c r="K3930" i="2"/>
  <c r="L3930" i="2" s="1"/>
  <c r="K3931" i="2"/>
  <c r="L3931" i="2" s="1"/>
  <c r="K3932" i="2"/>
  <c r="L3932" i="2" s="1"/>
  <c r="K3933" i="2"/>
  <c r="L3933" i="2" s="1"/>
  <c r="K3934" i="2"/>
  <c r="L3934" i="2" s="1"/>
  <c r="K3935" i="2"/>
  <c r="L3935" i="2" s="1"/>
  <c r="K3936" i="2"/>
  <c r="L3936" i="2" s="1"/>
  <c r="K3937" i="2"/>
  <c r="L3937" i="2" s="1"/>
  <c r="K3938" i="2"/>
  <c r="L3938" i="2" s="1"/>
  <c r="K3939" i="2"/>
  <c r="L3939" i="2" s="1"/>
  <c r="K3940" i="2"/>
  <c r="L3940" i="2" s="1"/>
  <c r="M3940" i="2" s="1"/>
  <c r="K3941" i="2"/>
  <c r="L3941" i="2" s="1"/>
  <c r="K3942" i="2"/>
  <c r="L3942" i="2" s="1"/>
  <c r="K3943" i="2"/>
  <c r="L3943" i="2" s="1"/>
  <c r="K3944" i="2"/>
  <c r="L3944" i="2" s="1"/>
  <c r="K3945" i="2"/>
  <c r="L3945" i="2" s="1"/>
  <c r="K3946" i="2"/>
  <c r="L3946" i="2" s="1"/>
  <c r="K3947" i="2"/>
  <c r="L3947" i="2" s="1"/>
  <c r="K3948" i="2"/>
  <c r="L3948" i="2" s="1"/>
  <c r="K3949" i="2"/>
  <c r="L3949" i="2" s="1"/>
  <c r="K3950" i="2"/>
  <c r="L3950" i="2" s="1"/>
  <c r="K3951" i="2"/>
  <c r="L3951" i="2" s="1"/>
  <c r="M3951" i="2" s="1"/>
  <c r="K3952" i="2"/>
  <c r="L3952" i="2" s="1"/>
  <c r="K3953" i="2"/>
  <c r="L3953" i="2" s="1"/>
  <c r="K3954" i="2"/>
  <c r="L3954" i="2" s="1"/>
  <c r="K3955" i="2"/>
  <c r="L3955" i="2" s="1"/>
  <c r="K3956" i="2"/>
  <c r="L3956" i="2" s="1"/>
  <c r="K3957" i="2"/>
  <c r="L3957" i="2" s="1"/>
  <c r="K3958" i="2"/>
  <c r="L3958" i="2" s="1"/>
  <c r="K3959" i="2"/>
  <c r="L3959" i="2" s="1"/>
  <c r="K3960" i="2"/>
  <c r="L3960" i="2" s="1"/>
  <c r="K3961" i="2"/>
  <c r="L3961" i="2" s="1"/>
  <c r="K3962" i="2"/>
  <c r="L3962" i="2" s="1"/>
  <c r="M3962" i="2" s="1"/>
  <c r="K3963" i="2"/>
  <c r="L3963" i="2" s="1"/>
  <c r="K3964" i="2"/>
  <c r="L3964" i="2" s="1"/>
  <c r="K3965" i="2"/>
  <c r="L3965" i="2" s="1"/>
  <c r="K3966" i="2"/>
  <c r="L3966" i="2" s="1"/>
  <c r="K3967" i="2"/>
  <c r="L3967" i="2" s="1"/>
  <c r="K3968" i="2"/>
  <c r="L3968" i="2" s="1"/>
  <c r="K3969" i="2"/>
  <c r="L3969" i="2" s="1"/>
  <c r="K3970" i="2"/>
  <c r="L3970" i="2" s="1"/>
  <c r="K3971" i="2"/>
  <c r="L3971" i="2" s="1"/>
  <c r="K3972" i="2"/>
  <c r="L3972" i="2" s="1"/>
  <c r="K3973" i="2"/>
  <c r="L3973" i="2" s="1"/>
  <c r="M3973" i="2" s="1"/>
  <c r="K3974" i="2"/>
  <c r="L3974" i="2" s="1"/>
  <c r="K3975" i="2"/>
  <c r="L3975" i="2" s="1"/>
  <c r="K3976" i="2"/>
  <c r="L3976" i="2" s="1"/>
  <c r="K3977" i="2"/>
  <c r="L3977" i="2" s="1"/>
  <c r="K3978" i="2"/>
  <c r="L3978" i="2" s="1"/>
  <c r="K3979" i="2"/>
  <c r="L3979" i="2" s="1"/>
  <c r="K3980" i="2"/>
  <c r="L3980" i="2" s="1"/>
  <c r="K3981" i="2"/>
  <c r="L3981" i="2" s="1"/>
  <c r="K3982" i="2"/>
  <c r="L3982" i="2" s="1"/>
  <c r="K3983" i="2"/>
  <c r="L3983" i="2" s="1"/>
  <c r="K3984" i="2"/>
  <c r="L3984" i="2" s="1"/>
  <c r="K3985" i="2"/>
  <c r="L3985" i="2" s="1"/>
  <c r="K3986" i="2"/>
  <c r="L3986" i="2" s="1"/>
  <c r="K3987" i="2"/>
  <c r="L3987" i="2" s="1"/>
  <c r="K3988" i="2"/>
  <c r="L3988" i="2" s="1"/>
  <c r="K3989" i="2"/>
  <c r="L3989" i="2" s="1"/>
  <c r="K3990" i="2"/>
  <c r="L3990" i="2" s="1"/>
  <c r="K3991" i="2"/>
  <c r="L3991" i="2" s="1"/>
  <c r="K3992" i="2"/>
  <c r="L3992" i="2" s="1"/>
  <c r="K3993" i="2"/>
  <c r="L3993" i="2" s="1"/>
  <c r="K3994" i="2"/>
  <c r="L3994" i="2" s="1"/>
  <c r="K3995" i="2"/>
  <c r="L3995" i="2" s="1"/>
  <c r="K3996" i="2"/>
  <c r="L3996" i="2" s="1"/>
  <c r="K3997" i="2"/>
  <c r="L3997" i="2" s="1"/>
  <c r="K3998" i="2"/>
  <c r="L3998" i="2" s="1"/>
  <c r="K3999" i="2"/>
  <c r="L3999" i="2" s="1"/>
  <c r="K4000" i="2"/>
  <c r="L4000" i="2" s="1"/>
  <c r="K4001" i="2"/>
  <c r="L4001" i="2" s="1"/>
  <c r="K4002" i="2"/>
  <c r="L4002" i="2" s="1"/>
  <c r="K4003" i="2"/>
  <c r="L4003" i="2" s="1"/>
  <c r="K4004" i="2"/>
  <c r="L4004" i="2" s="1"/>
  <c r="K4005" i="2"/>
  <c r="L4005" i="2" s="1"/>
  <c r="K4006" i="2"/>
  <c r="L4006" i="2" s="1"/>
  <c r="K4007" i="2"/>
  <c r="L4007" i="2" s="1"/>
  <c r="K4008" i="2"/>
  <c r="L4008" i="2" s="1"/>
  <c r="K4009" i="2"/>
  <c r="L4009" i="2" s="1"/>
  <c r="K4010" i="2"/>
  <c r="L4010" i="2" s="1"/>
  <c r="K4011" i="2"/>
  <c r="L4011" i="2" s="1"/>
  <c r="K4012" i="2"/>
  <c r="L4012" i="2" s="1"/>
  <c r="K4013" i="2"/>
  <c r="L4013" i="2" s="1"/>
  <c r="K4014" i="2"/>
  <c r="L4014" i="2" s="1"/>
  <c r="K4015" i="2"/>
  <c r="L4015" i="2" s="1"/>
  <c r="K4016" i="2"/>
  <c r="L4016" i="2" s="1"/>
  <c r="K4017" i="2"/>
  <c r="L4017" i="2" s="1"/>
  <c r="K4018" i="2"/>
  <c r="L4018" i="2" s="1"/>
  <c r="K4019" i="2"/>
  <c r="L4019" i="2" s="1"/>
  <c r="K4020" i="2"/>
  <c r="L4020" i="2" s="1"/>
  <c r="K4021" i="2"/>
  <c r="L4021" i="2" s="1"/>
  <c r="K4022" i="2"/>
  <c r="L4022" i="2" s="1"/>
  <c r="K4023" i="2"/>
  <c r="L4023" i="2" s="1"/>
  <c r="K4024" i="2"/>
  <c r="L4024" i="2" s="1"/>
  <c r="K4025" i="2"/>
  <c r="L4025" i="2" s="1"/>
  <c r="K4026" i="2"/>
  <c r="L4026" i="2" s="1"/>
  <c r="K4027" i="2"/>
  <c r="L4027" i="2" s="1"/>
  <c r="K4028" i="2"/>
  <c r="L4028" i="2" s="1"/>
  <c r="K4029" i="2"/>
  <c r="L4029" i="2" s="1"/>
  <c r="K4030" i="2"/>
  <c r="L4030" i="2" s="1"/>
  <c r="K4031" i="2"/>
  <c r="L4031" i="2" s="1"/>
  <c r="K4032" i="2"/>
  <c r="L4032" i="2" s="1"/>
  <c r="K4033" i="2"/>
  <c r="L4033" i="2" s="1"/>
  <c r="K4034" i="2"/>
  <c r="L4034" i="2" s="1"/>
  <c r="K4035" i="2"/>
  <c r="L4035" i="2" s="1"/>
  <c r="K4036" i="2"/>
  <c r="L4036" i="2" s="1"/>
  <c r="K4037" i="2"/>
  <c r="L4037" i="2" s="1"/>
  <c r="K4038" i="2"/>
  <c r="L4038" i="2" s="1"/>
  <c r="K4039" i="2"/>
  <c r="L4039" i="2" s="1"/>
  <c r="K4040" i="2"/>
  <c r="L4040" i="2" s="1"/>
  <c r="K4041" i="2"/>
  <c r="L4041" i="2" s="1"/>
  <c r="K4042" i="2"/>
  <c r="L4042" i="2" s="1"/>
  <c r="K4043" i="2"/>
  <c r="L4043" i="2" s="1"/>
  <c r="K4044" i="2"/>
  <c r="L4044" i="2" s="1"/>
  <c r="K4045" i="2"/>
  <c r="L4045" i="2" s="1"/>
  <c r="K4046" i="2"/>
  <c r="L4046" i="2" s="1"/>
  <c r="K4047" i="2"/>
  <c r="L4047" i="2" s="1"/>
  <c r="K4048" i="2"/>
  <c r="L4048" i="2" s="1"/>
  <c r="K4049" i="2"/>
  <c r="L4049" i="2" s="1"/>
  <c r="K4050" i="2"/>
  <c r="L4050" i="2" s="1"/>
  <c r="K4051" i="2"/>
  <c r="L4051" i="2" s="1"/>
  <c r="K4052" i="2"/>
  <c r="L4052" i="2" s="1"/>
  <c r="K4053" i="2"/>
  <c r="L4053" i="2" s="1"/>
  <c r="K4054" i="2"/>
  <c r="L4054" i="2" s="1"/>
  <c r="K4055" i="2"/>
  <c r="L4055" i="2" s="1"/>
  <c r="K4056" i="2"/>
  <c r="L4056" i="2" s="1"/>
  <c r="K4057" i="2"/>
  <c r="L4057" i="2" s="1"/>
  <c r="K4058" i="2"/>
  <c r="L4058" i="2" s="1"/>
  <c r="K4059" i="2"/>
  <c r="L4059" i="2" s="1"/>
  <c r="K4060" i="2"/>
  <c r="L4060" i="2" s="1"/>
  <c r="K4061" i="2"/>
  <c r="L4061" i="2" s="1"/>
  <c r="K4062" i="2"/>
  <c r="L4062" i="2" s="1"/>
  <c r="K4063" i="2"/>
  <c r="L4063" i="2" s="1"/>
  <c r="K4064" i="2"/>
  <c r="L4064" i="2" s="1"/>
  <c r="K4065" i="2"/>
  <c r="L4065" i="2" s="1"/>
  <c r="K4066" i="2"/>
  <c r="L4066" i="2" s="1"/>
  <c r="K4067" i="2"/>
  <c r="L4067" i="2" s="1"/>
  <c r="K4068" i="2"/>
  <c r="L4068" i="2" s="1"/>
  <c r="K4069" i="2"/>
  <c r="L4069" i="2" s="1"/>
  <c r="K4070" i="2"/>
  <c r="L4070" i="2" s="1"/>
  <c r="K4071" i="2"/>
  <c r="L4071" i="2" s="1"/>
  <c r="K4072" i="2"/>
  <c r="L4072" i="2" s="1"/>
  <c r="K4073" i="2"/>
  <c r="L4073" i="2" s="1"/>
  <c r="K4074" i="2"/>
  <c r="L4074" i="2" s="1"/>
  <c r="K4075" i="2"/>
  <c r="L4075" i="2" s="1"/>
  <c r="K4076" i="2"/>
  <c r="L4076" i="2" s="1"/>
  <c r="K4077" i="2"/>
  <c r="L4077" i="2" s="1"/>
  <c r="K4078" i="2"/>
  <c r="L4078" i="2" s="1"/>
  <c r="K4079" i="2"/>
  <c r="L4079" i="2" s="1"/>
  <c r="K4080" i="2"/>
  <c r="L4080" i="2" s="1"/>
  <c r="K4081" i="2"/>
  <c r="L4081" i="2" s="1"/>
  <c r="K4082" i="2"/>
  <c r="L4082" i="2" s="1"/>
  <c r="K4083" i="2"/>
  <c r="L4083" i="2" s="1"/>
  <c r="K4084" i="2"/>
  <c r="L4084" i="2" s="1"/>
  <c r="K4085" i="2"/>
  <c r="L4085" i="2" s="1"/>
  <c r="K4086" i="2"/>
  <c r="L4086" i="2" s="1"/>
  <c r="K4087" i="2"/>
  <c r="L4087" i="2" s="1"/>
  <c r="K4088" i="2"/>
  <c r="L4088" i="2" s="1"/>
  <c r="K4089" i="2"/>
  <c r="L4089" i="2" s="1"/>
  <c r="K4090" i="2"/>
  <c r="L4090" i="2" s="1"/>
  <c r="K4091" i="2"/>
  <c r="L4091" i="2" s="1"/>
  <c r="M4091" i="2" s="1"/>
  <c r="K4092" i="2"/>
  <c r="L4092" i="2" s="1"/>
  <c r="K4093" i="2"/>
  <c r="L4093" i="2" s="1"/>
  <c r="K4094" i="2"/>
  <c r="L4094" i="2" s="1"/>
  <c r="K4095" i="2"/>
  <c r="L4095" i="2" s="1"/>
  <c r="K4096" i="2"/>
  <c r="L4096" i="2" s="1"/>
  <c r="K4097" i="2"/>
  <c r="L4097" i="2" s="1"/>
  <c r="K4098" i="2"/>
  <c r="L4098" i="2" s="1"/>
  <c r="K4099" i="2"/>
  <c r="L4099" i="2" s="1"/>
  <c r="K4100" i="2"/>
  <c r="L4100" i="2" s="1"/>
  <c r="K4101" i="2"/>
  <c r="L4101" i="2" s="1"/>
  <c r="K4102" i="2"/>
  <c r="L4102" i="2" s="1"/>
  <c r="K4103" i="2"/>
  <c r="L4103" i="2" s="1"/>
  <c r="K4104" i="2"/>
  <c r="L4104" i="2" s="1"/>
  <c r="K4105" i="2"/>
  <c r="L4105" i="2" s="1"/>
  <c r="M4105" i="2" s="1"/>
  <c r="K4106" i="2"/>
  <c r="L4106" i="2" s="1"/>
  <c r="K4107" i="2"/>
  <c r="L4107" i="2" s="1"/>
  <c r="K4108" i="2"/>
  <c r="L4108" i="2" s="1"/>
  <c r="K4109" i="2"/>
  <c r="L4109" i="2" s="1"/>
  <c r="K4110" i="2"/>
  <c r="L4110" i="2" s="1"/>
  <c r="K4111" i="2"/>
  <c r="L4111" i="2" s="1"/>
  <c r="K4112" i="2"/>
  <c r="L4112" i="2" s="1"/>
  <c r="K4113" i="2"/>
  <c r="L4113" i="2" s="1"/>
  <c r="K4114" i="2"/>
  <c r="L4114" i="2" s="1"/>
  <c r="K4115" i="2"/>
  <c r="L4115" i="2" s="1"/>
  <c r="M4115" i="2" s="1"/>
  <c r="K4116" i="2"/>
  <c r="L4116" i="2" s="1"/>
  <c r="K4117" i="2"/>
  <c r="L4117" i="2" s="1"/>
  <c r="K4118" i="2"/>
  <c r="L4118" i="2" s="1"/>
  <c r="K4119" i="2"/>
  <c r="L4119" i="2" s="1"/>
  <c r="K4120" i="2"/>
  <c r="L4120" i="2" s="1"/>
  <c r="K4121" i="2"/>
  <c r="L4121" i="2" s="1"/>
  <c r="K4122" i="2"/>
  <c r="L4122" i="2" s="1"/>
  <c r="K4123" i="2"/>
  <c r="L4123" i="2" s="1"/>
  <c r="K4124" i="2"/>
  <c r="L4124" i="2" s="1"/>
  <c r="K4125" i="2"/>
  <c r="L4125" i="2" s="1"/>
  <c r="K4126" i="2"/>
  <c r="L4126" i="2" s="1"/>
  <c r="K4127" i="2"/>
  <c r="L4127" i="2" s="1"/>
  <c r="K4128" i="2"/>
  <c r="L4128" i="2" s="1"/>
  <c r="K4129" i="2"/>
  <c r="L4129" i="2" s="1"/>
  <c r="K4130" i="2"/>
  <c r="L4130" i="2" s="1"/>
  <c r="K4131" i="2"/>
  <c r="L4131" i="2" s="1"/>
  <c r="K4132" i="2"/>
  <c r="L4132" i="2" s="1"/>
  <c r="K4133" i="2"/>
  <c r="L4133" i="2" s="1"/>
  <c r="K4134" i="2"/>
  <c r="L4134" i="2" s="1"/>
  <c r="K4135" i="2"/>
  <c r="L4135" i="2" s="1"/>
  <c r="K4136" i="2"/>
  <c r="L4136" i="2" s="1"/>
  <c r="K4137" i="2"/>
  <c r="L4137" i="2" s="1"/>
  <c r="K4138" i="2"/>
  <c r="L4138" i="2" s="1"/>
  <c r="K4139" i="2"/>
  <c r="L4139" i="2" s="1"/>
  <c r="K4140" i="2"/>
  <c r="L4140" i="2" s="1"/>
  <c r="K4141" i="2"/>
  <c r="L4141" i="2" s="1"/>
  <c r="K4142" i="2"/>
  <c r="L4142" i="2" s="1"/>
  <c r="K4143" i="2"/>
  <c r="L4143" i="2" s="1"/>
  <c r="K4144" i="2"/>
  <c r="L4144" i="2" s="1"/>
  <c r="K4145" i="2"/>
  <c r="L4145" i="2" s="1"/>
  <c r="K4146" i="2"/>
  <c r="L4146" i="2" s="1"/>
  <c r="K4147" i="2"/>
  <c r="L4147" i="2" s="1"/>
  <c r="K4148" i="2"/>
  <c r="L4148" i="2" s="1"/>
  <c r="K4149" i="2"/>
  <c r="L4149" i="2" s="1"/>
  <c r="K4150" i="2"/>
  <c r="L4150" i="2" s="1"/>
  <c r="K4151" i="2"/>
  <c r="L4151" i="2" s="1"/>
  <c r="K4152" i="2"/>
  <c r="L4152" i="2" s="1"/>
  <c r="K4153" i="2"/>
  <c r="L4153" i="2" s="1"/>
  <c r="K4154" i="2"/>
  <c r="L4154" i="2" s="1"/>
  <c r="K4155" i="2"/>
  <c r="L4155" i="2" s="1"/>
  <c r="K4156" i="2"/>
  <c r="L4156" i="2" s="1"/>
  <c r="K4157" i="2"/>
  <c r="L4157" i="2" s="1"/>
  <c r="K4158" i="2"/>
  <c r="L4158" i="2" s="1"/>
  <c r="K4159" i="2"/>
  <c r="L4159" i="2" s="1"/>
  <c r="K4160" i="2"/>
  <c r="L4160" i="2" s="1"/>
  <c r="K4161" i="2"/>
  <c r="L4161" i="2" s="1"/>
  <c r="K4162" i="2"/>
  <c r="L4162" i="2" s="1"/>
  <c r="K4163" i="2"/>
  <c r="L4163" i="2" s="1"/>
  <c r="K4164" i="2"/>
  <c r="L4164" i="2" s="1"/>
  <c r="K4165" i="2"/>
  <c r="L4165" i="2" s="1"/>
  <c r="K4166" i="2"/>
  <c r="L4166" i="2" s="1"/>
  <c r="K4167" i="2"/>
  <c r="L4167" i="2" s="1"/>
  <c r="K4168" i="2"/>
  <c r="L4168" i="2" s="1"/>
  <c r="K4169" i="2"/>
  <c r="L4169" i="2" s="1"/>
  <c r="K4170" i="2"/>
  <c r="L4170" i="2" s="1"/>
  <c r="K4171" i="2"/>
  <c r="L4171" i="2" s="1"/>
  <c r="K4172" i="2"/>
  <c r="L4172" i="2" s="1"/>
  <c r="K4173" i="2"/>
  <c r="L4173" i="2" s="1"/>
  <c r="K4174" i="2"/>
  <c r="L4174" i="2" s="1"/>
  <c r="K4175" i="2"/>
  <c r="L4175" i="2" s="1"/>
  <c r="K4176" i="2"/>
  <c r="L4176" i="2" s="1"/>
  <c r="K4177" i="2"/>
  <c r="L4177" i="2" s="1"/>
  <c r="K4178" i="2"/>
  <c r="L4178" i="2" s="1"/>
  <c r="K4179" i="2"/>
  <c r="L4179" i="2" s="1"/>
  <c r="K4180" i="2"/>
  <c r="L4180" i="2" s="1"/>
  <c r="K4181" i="2"/>
  <c r="L4181" i="2" s="1"/>
  <c r="K4182" i="2"/>
  <c r="L4182" i="2" s="1"/>
  <c r="K4183" i="2"/>
  <c r="L4183" i="2" s="1"/>
  <c r="K4184" i="2"/>
  <c r="L4184" i="2" s="1"/>
  <c r="K4185" i="2"/>
  <c r="L4185" i="2" s="1"/>
  <c r="K4186" i="2"/>
  <c r="L4186" i="2" s="1"/>
  <c r="K4187" i="2"/>
  <c r="L4187" i="2" s="1"/>
  <c r="K4188" i="2"/>
  <c r="L4188" i="2" s="1"/>
  <c r="K4189" i="2"/>
  <c r="L4189" i="2" s="1"/>
  <c r="K4190" i="2"/>
  <c r="L4190" i="2" s="1"/>
  <c r="K4191" i="2"/>
  <c r="L4191" i="2" s="1"/>
  <c r="K4192" i="2"/>
  <c r="L4192" i="2" s="1"/>
  <c r="K4193" i="2"/>
  <c r="L4193" i="2" s="1"/>
  <c r="K4194" i="2"/>
  <c r="L4194" i="2" s="1"/>
  <c r="K4195" i="2"/>
  <c r="L4195" i="2" s="1"/>
  <c r="K4196" i="2"/>
  <c r="L4196" i="2" s="1"/>
  <c r="K4197" i="2"/>
  <c r="L4197" i="2" s="1"/>
  <c r="K4198" i="2"/>
  <c r="L4198" i="2" s="1"/>
  <c r="K4199" i="2"/>
  <c r="L4199" i="2" s="1"/>
  <c r="K4200" i="2"/>
  <c r="L4200" i="2" s="1"/>
  <c r="K4201" i="2"/>
  <c r="L4201" i="2" s="1"/>
  <c r="K4202" i="2"/>
  <c r="L4202" i="2" s="1"/>
  <c r="K4203" i="2"/>
  <c r="L4203" i="2" s="1"/>
  <c r="K4204" i="2"/>
  <c r="L4204" i="2" s="1"/>
  <c r="K4205" i="2"/>
  <c r="L4205" i="2" s="1"/>
  <c r="K4206" i="2"/>
  <c r="L4206" i="2" s="1"/>
  <c r="K4207" i="2"/>
  <c r="L4207" i="2" s="1"/>
  <c r="K4208" i="2"/>
  <c r="L4208" i="2" s="1"/>
  <c r="K4209" i="2"/>
  <c r="L4209" i="2" s="1"/>
  <c r="K4210" i="2"/>
  <c r="L4210" i="2" s="1"/>
  <c r="K4211" i="2"/>
  <c r="L4211" i="2" s="1"/>
  <c r="K4212" i="2"/>
  <c r="L4212" i="2" s="1"/>
  <c r="K4213" i="2"/>
  <c r="L4213" i="2" s="1"/>
  <c r="K4214" i="2"/>
  <c r="L4214" i="2" s="1"/>
  <c r="K4215" i="2"/>
  <c r="L4215" i="2" s="1"/>
  <c r="K4216" i="2"/>
  <c r="L4216" i="2" s="1"/>
  <c r="K4217" i="2"/>
  <c r="L4217" i="2" s="1"/>
  <c r="K4218" i="2"/>
  <c r="L4218" i="2" s="1"/>
  <c r="K4219" i="2"/>
  <c r="L4219" i="2" s="1"/>
  <c r="K4220" i="2"/>
  <c r="L4220" i="2" s="1"/>
  <c r="K4221" i="2"/>
  <c r="L4221" i="2" s="1"/>
  <c r="K4222" i="2"/>
  <c r="L4222" i="2" s="1"/>
  <c r="K4223" i="2"/>
  <c r="L4223" i="2" s="1"/>
  <c r="K4224" i="2"/>
  <c r="L4224" i="2" s="1"/>
  <c r="K4225" i="2"/>
  <c r="L4225" i="2" s="1"/>
  <c r="K4226" i="2"/>
  <c r="L4226" i="2" s="1"/>
  <c r="K4227" i="2"/>
  <c r="L4227" i="2" s="1"/>
  <c r="K4228" i="2"/>
  <c r="L4228" i="2" s="1"/>
  <c r="K4229" i="2"/>
  <c r="L4229" i="2" s="1"/>
  <c r="K4230" i="2"/>
  <c r="L4230" i="2" s="1"/>
  <c r="K4231" i="2"/>
  <c r="L4231" i="2" s="1"/>
  <c r="K4232" i="2"/>
  <c r="L4232" i="2" s="1"/>
  <c r="K4233" i="2"/>
  <c r="L4233" i="2" s="1"/>
  <c r="K4234" i="2"/>
  <c r="L4234" i="2" s="1"/>
  <c r="K4235" i="2"/>
  <c r="L4235" i="2" s="1"/>
  <c r="K4236" i="2"/>
  <c r="L4236" i="2" s="1"/>
  <c r="K4237" i="2"/>
  <c r="L4237" i="2" s="1"/>
  <c r="K4238" i="2"/>
  <c r="L4238" i="2" s="1"/>
  <c r="K4239" i="2"/>
  <c r="L4239" i="2" s="1"/>
  <c r="K4240" i="2"/>
  <c r="L4240" i="2" s="1"/>
  <c r="K4241" i="2"/>
  <c r="L4241" i="2" s="1"/>
  <c r="K4242" i="2"/>
  <c r="L4242" i="2" s="1"/>
  <c r="M4242" i="2" s="1"/>
  <c r="K4243" i="2"/>
  <c r="L4243" i="2" s="1"/>
  <c r="K4244" i="2"/>
  <c r="L4244" i="2" s="1"/>
  <c r="K4245" i="2"/>
  <c r="L4245" i="2" s="1"/>
  <c r="K4246" i="2"/>
  <c r="L4246" i="2" s="1"/>
  <c r="K4247" i="2"/>
  <c r="L4247" i="2" s="1"/>
  <c r="K4248" i="2"/>
  <c r="L4248" i="2" s="1"/>
  <c r="K4249" i="2"/>
  <c r="L4249" i="2" s="1"/>
  <c r="K4250" i="2"/>
  <c r="L4250" i="2" s="1"/>
  <c r="K4251" i="2"/>
  <c r="L4251" i="2" s="1"/>
  <c r="K4252" i="2"/>
  <c r="L4252" i="2" s="1"/>
  <c r="K4253" i="2"/>
  <c r="L4253" i="2" s="1"/>
  <c r="K4254" i="2"/>
  <c r="L4254" i="2" s="1"/>
  <c r="K4255" i="2"/>
  <c r="L4255" i="2" s="1"/>
  <c r="K4256" i="2"/>
  <c r="L4256" i="2" s="1"/>
  <c r="K4257" i="2"/>
  <c r="L4257" i="2" s="1"/>
  <c r="K4258" i="2"/>
  <c r="L4258" i="2" s="1"/>
  <c r="K4259" i="2"/>
  <c r="L4259" i="2" s="1"/>
  <c r="K4260" i="2"/>
  <c r="L4260" i="2" s="1"/>
  <c r="K4261" i="2"/>
  <c r="L4261" i="2" s="1"/>
  <c r="K4262" i="2"/>
  <c r="L4262" i="2" s="1"/>
  <c r="K4263" i="2"/>
  <c r="L4263" i="2" s="1"/>
  <c r="K4264" i="2"/>
  <c r="L4264" i="2" s="1"/>
  <c r="K4265" i="2"/>
  <c r="L4265" i="2" s="1"/>
  <c r="K4266" i="2"/>
  <c r="L4266" i="2" s="1"/>
  <c r="K4267" i="2"/>
  <c r="L4267" i="2" s="1"/>
  <c r="K4268" i="2"/>
  <c r="L4268" i="2" s="1"/>
  <c r="K4269" i="2"/>
  <c r="L4269" i="2" s="1"/>
  <c r="K4270" i="2"/>
  <c r="L4270" i="2" s="1"/>
  <c r="K4271" i="2"/>
  <c r="L4271" i="2" s="1"/>
  <c r="K4272" i="2"/>
  <c r="L4272" i="2" s="1"/>
  <c r="K4273" i="2"/>
  <c r="L4273" i="2" s="1"/>
  <c r="K4274" i="2"/>
  <c r="L4274" i="2" s="1"/>
  <c r="K4275" i="2"/>
  <c r="L4275" i="2" s="1"/>
  <c r="K4276" i="2"/>
  <c r="L4276" i="2" s="1"/>
  <c r="K4277" i="2"/>
  <c r="L4277" i="2" s="1"/>
  <c r="K4278" i="2"/>
  <c r="L4278" i="2" s="1"/>
  <c r="K4279" i="2"/>
  <c r="L4279" i="2" s="1"/>
  <c r="K4280" i="2"/>
  <c r="L4280" i="2" s="1"/>
  <c r="K4281" i="2"/>
  <c r="L4281" i="2" s="1"/>
  <c r="K4282" i="2"/>
  <c r="L4282" i="2" s="1"/>
  <c r="K4283" i="2"/>
  <c r="L4283" i="2" s="1"/>
  <c r="K4284" i="2"/>
  <c r="L4284" i="2" s="1"/>
  <c r="K4285" i="2"/>
  <c r="L4285" i="2" s="1"/>
  <c r="K4286" i="2"/>
  <c r="L4286" i="2" s="1"/>
  <c r="K4287" i="2"/>
  <c r="L4287" i="2" s="1"/>
  <c r="K4288" i="2"/>
  <c r="L4288" i="2" s="1"/>
  <c r="K4289" i="2"/>
  <c r="L4289" i="2" s="1"/>
  <c r="K4290" i="2"/>
  <c r="L4290" i="2" s="1"/>
  <c r="K4291" i="2"/>
  <c r="L4291" i="2" s="1"/>
  <c r="K4292" i="2"/>
  <c r="L4292" i="2" s="1"/>
  <c r="K4293" i="2"/>
  <c r="L4293" i="2" s="1"/>
  <c r="K4294" i="2"/>
  <c r="L4294" i="2" s="1"/>
  <c r="K4295" i="2"/>
  <c r="L4295" i="2" s="1"/>
  <c r="K4296" i="2"/>
  <c r="L4296" i="2" s="1"/>
  <c r="K4297" i="2"/>
  <c r="L4297" i="2" s="1"/>
  <c r="K4298" i="2"/>
  <c r="L4298" i="2" s="1"/>
  <c r="K4299" i="2"/>
  <c r="L4299" i="2" s="1"/>
  <c r="K4300" i="2"/>
  <c r="L4300" i="2" s="1"/>
  <c r="K4301" i="2"/>
  <c r="L4301" i="2" s="1"/>
  <c r="K4302" i="2"/>
  <c r="L4302" i="2" s="1"/>
  <c r="K4303" i="2"/>
  <c r="L4303" i="2" s="1"/>
  <c r="K4304" i="2"/>
  <c r="L4304" i="2" s="1"/>
  <c r="K4305" i="2"/>
  <c r="L4305" i="2" s="1"/>
  <c r="K4306" i="2"/>
  <c r="L4306" i="2" s="1"/>
  <c r="K4307" i="2"/>
  <c r="L4307" i="2" s="1"/>
  <c r="K4308" i="2"/>
  <c r="L4308" i="2" s="1"/>
  <c r="K4309" i="2"/>
  <c r="L4309" i="2" s="1"/>
  <c r="K4310" i="2"/>
  <c r="L4310" i="2" s="1"/>
  <c r="K4311" i="2"/>
  <c r="L4311" i="2" s="1"/>
  <c r="K4312" i="2"/>
  <c r="L4312" i="2" s="1"/>
  <c r="K4313" i="2"/>
  <c r="L4313" i="2" s="1"/>
  <c r="K4314" i="2"/>
  <c r="L4314" i="2" s="1"/>
  <c r="K4315" i="2"/>
  <c r="L4315" i="2" s="1"/>
  <c r="K4316" i="2"/>
  <c r="L4316" i="2" s="1"/>
  <c r="K4317" i="2"/>
  <c r="L4317" i="2" s="1"/>
  <c r="K4318" i="2"/>
  <c r="L4318" i="2" s="1"/>
  <c r="K4319" i="2"/>
  <c r="L4319" i="2" s="1"/>
  <c r="K4320" i="2"/>
  <c r="L4320" i="2" s="1"/>
  <c r="K4321" i="2"/>
  <c r="L4321" i="2" s="1"/>
  <c r="K4322" i="2"/>
  <c r="L4322" i="2" s="1"/>
  <c r="K4323" i="2"/>
  <c r="L4323" i="2" s="1"/>
  <c r="K4324" i="2"/>
  <c r="L4324" i="2" s="1"/>
  <c r="K4325" i="2"/>
  <c r="L4325" i="2" s="1"/>
  <c r="K4326" i="2"/>
  <c r="L4326" i="2" s="1"/>
  <c r="K4327" i="2"/>
  <c r="L4327" i="2" s="1"/>
  <c r="K4328" i="2"/>
  <c r="L4328" i="2" s="1"/>
  <c r="K4329" i="2"/>
  <c r="L4329" i="2" s="1"/>
  <c r="K4330" i="2"/>
  <c r="L4330" i="2" s="1"/>
  <c r="K4331" i="2"/>
  <c r="L4331" i="2" s="1"/>
  <c r="K4332" i="2"/>
  <c r="L4332" i="2" s="1"/>
  <c r="K4333" i="2"/>
  <c r="L4333" i="2" s="1"/>
  <c r="K4334" i="2"/>
  <c r="L4334" i="2" s="1"/>
  <c r="K4335" i="2"/>
  <c r="L4335" i="2" s="1"/>
  <c r="K4336" i="2"/>
  <c r="L4336" i="2" s="1"/>
  <c r="K4337" i="2"/>
  <c r="L4337" i="2" s="1"/>
  <c r="K4338" i="2"/>
  <c r="L4338" i="2" s="1"/>
  <c r="K4339" i="2"/>
  <c r="L4339" i="2" s="1"/>
  <c r="K4340" i="2"/>
  <c r="L4340" i="2" s="1"/>
  <c r="K4341" i="2"/>
  <c r="L4341" i="2" s="1"/>
  <c r="K4342" i="2"/>
  <c r="L4342" i="2" s="1"/>
  <c r="K4343" i="2"/>
  <c r="L4343" i="2" s="1"/>
  <c r="K4344" i="2"/>
  <c r="L4344" i="2" s="1"/>
  <c r="K4345" i="2"/>
  <c r="L4345" i="2" s="1"/>
  <c r="K4346" i="2"/>
  <c r="L4346" i="2" s="1"/>
  <c r="K4347" i="2"/>
  <c r="L4347" i="2" s="1"/>
  <c r="K4348" i="2"/>
  <c r="L4348" i="2" s="1"/>
  <c r="K4349" i="2"/>
  <c r="L4349" i="2" s="1"/>
  <c r="K4350" i="2"/>
  <c r="L4350" i="2" s="1"/>
  <c r="K4351" i="2"/>
  <c r="L4351" i="2" s="1"/>
  <c r="M4351" i="2" s="1"/>
  <c r="K4352" i="2"/>
  <c r="L4352" i="2" s="1"/>
  <c r="K4353" i="2"/>
  <c r="L4353" i="2" s="1"/>
  <c r="K4354" i="2"/>
  <c r="L4354" i="2" s="1"/>
  <c r="K4355" i="2"/>
  <c r="L4355" i="2" s="1"/>
  <c r="K4356" i="2"/>
  <c r="L4356" i="2" s="1"/>
  <c r="K4357" i="2"/>
  <c r="L4357" i="2" s="1"/>
  <c r="K4358" i="2"/>
  <c r="L4358" i="2" s="1"/>
  <c r="K4359" i="2"/>
  <c r="L4359" i="2" s="1"/>
  <c r="K4360" i="2"/>
  <c r="L4360" i="2" s="1"/>
  <c r="K4361" i="2"/>
  <c r="L4361" i="2" s="1"/>
  <c r="M4361" i="2" s="1"/>
  <c r="K4362" i="2"/>
  <c r="L4362" i="2" s="1"/>
  <c r="K4363" i="2"/>
  <c r="L4363" i="2" s="1"/>
  <c r="K4364" i="2"/>
  <c r="L4364" i="2" s="1"/>
  <c r="K4365" i="2"/>
  <c r="L4365" i="2" s="1"/>
  <c r="K4366" i="2"/>
  <c r="L4366" i="2" s="1"/>
  <c r="K4367" i="2"/>
  <c r="L4367" i="2" s="1"/>
  <c r="K4368" i="2"/>
  <c r="L4368" i="2" s="1"/>
  <c r="K4369" i="2"/>
  <c r="L4369" i="2" s="1"/>
  <c r="K4370" i="2"/>
  <c r="L4370" i="2" s="1"/>
  <c r="M4370" i="2" s="1"/>
  <c r="K4371" i="2"/>
  <c r="L4371" i="2" s="1"/>
  <c r="M4371" i="2" s="1"/>
  <c r="K4372" i="2"/>
  <c r="L4372" i="2" s="1"/>
  <c r="K4373" i="2"/>
  <c r="L4373" i="2" s="1"/>
  <c r="M4373" i="2" s="1"/>
  <c r="K4374" i="2"/>
  <c r="L4374" i="2" s="1"/>
  <c r="M4374" i="2" s="1"/>
  <c r="K4375" i="2"/>
  <c r="L4375" i="2" s="1"/>
  <c r="K4376" i="2"/>
  <c r="L4376" i="2" s="1"/>
  <c r="M4376" i="2" s="1"/>
  <c r="K4377" i="2"/>
  <c r="L4377" i="2" s="1"/>
  <c r="M4377" i="2" s="1"/>
  <c r="K4378" i="2"/>
  <c r="L4378" i="2" s="1"/>
  <c r="K4379" i="2"/>
  <c r="L4379" i="2" s="1"/>
  <c r="K4380" i="2"/>
  <c r="L4380" i="2" s="1"/>
  <c r="K4381" i="2"/>
  <c r="L4381" i="2" s="1"/>
  <c r="K4382" i="2"/>
  <c r="L4382" i="2" s="1"/>
  <c r="K4383" i="2"/>
  <c r="L4383" i="2" s="1"/>
  <c r="K4384" i="2"/>
  <c r="L4384" i="2" s="1"/>
  <c r="K4385" i="2"/>
  <c r="L4385" i="2" s="1"/>
  <c r="K4386" i="2"/>
  <c r="L4386" i="2" s="1"/>
  <c r="K4387" i="2"/>
  <c r="L4387" i="2" s="1"/>
  <c r="K4388" i="2"/>
  <c r="L4388" i="2" s="1"/>
  <c r="K4389" i="2"/>
  <c r="L4389" i="2" s="1"/>
  <c r="K4390" i="2"/>
  <c r="L4390" i="2" s="1"/>
  <c r="K4391" i="2"/>
  <c r="L4391" i="2" s="1"/>
  <c r="M4391" i="2" s="1"/>
  <c r="K4392" i="2"/>
  <c r="L4392" i="2" s="1"/>
  <c r="M4392" i="2" s="1"/>
  <c r="K4393" i="2"/>
  <c r="L4393" i="2" s="1"/>
  <c r="K4394" i="2"/>
  <c r="L4394" i="2" s="1"/>
  <c r="M4394" i="2" s="1"/>
  <c r="K4395" i="2"/>
  <c r="L4395" i="2" s="1"/>
  <c r="M4395" i="2" s="1"/>
  <c r="K4396" i="2"/>
  <c r="L4396" i="2" s="1"/>
  <c r="K4397" i="2"/>
  <c r="L4397" i="2" s="1"/>
  <c r="M4397" i="2" s="1"/>
  <c r="K4398" i="2"/>
  <c r="L4398" i="2" s="1"/>
  <c r="M4398" i="2" s="1"/>
  <c r="K4399" i="2"/>
  <c r="L4399" i="2" s="1"/>
  <c r="K4400" i="2"/>
  <c r="L4400" i="2" s="1"/>
  <c r="K4401" i="2"/>
  <c r="L4401" i="2" s="1"/>
  <c r="K4402" i="2"/>
  <c r="L4402" i="2" s="1"/>
  <c r="K4403" i="2"/>
  <c r="L4403" i="2" s="1"/>
  <c r="K4404" i="2"/>
  <c r="L4404" i="2" s="1"/>
  <c r="M4404" i="2" s="1"/>
  <c r="K4405" i="2"/>
  <c r="L4405" i="2" s="1"/>
  <c r="M4405" i="2" s="1"/>
  <c r="K4406" i="2"/>
  <c r="L4406" i="2" s="1"/>
  <c r="K4407" i="2"/>
  <c r="L4407" i="2" s="1"/>
  <c r="M4407" i="2" s="1"/>
  <c r="K4408" i="2"/>
  <c r="L4408" i="2" s="1"/>
  <c r="M4408" i="2" s="1"/>
  <c r="K4409" i="2"/>
  <c r="L4409" i="2" s="1"/>
  <c r="K4410" i="2"/>
  <c r="L4410" i="2" s="1"/>
  <c r="M4410" i="2" s="1"/>
  <c r="K4411" i="2"/>
  <c r="L4411" i="2" s="1"/>
  <c r="M4411" i="2" s="1"/>
  <c r="K4412" i="2"/>
  <c r="L4412" i="2" s="1"/>
  <c r="K4413" i="2"/>
  <c r="L4413" i="2" s="1"/>
  <c r="K4414" i="2"/>
  <c r="L4414" i="2" s="1"/>
  <c r="K4415" i="2"/>
  <c r="L4415" i="2" s="1"/>
  <c r="K4416" i="2"/>
  <c r="L4416" i="2" s="1"/>
  <c r="K4417" i="2"/>
  <c r="L4417" i="2" s="1"/>
  <c r="M4417" i="2" s="1"/>
  <c r="K4418" i="2"/>
  <c r="L4418" i="2" s="1"/>
  <c r="K4419" i="2"/>
  <c r="L4419" i="2" s="1"/>
  <c r="K4420" i="2"/>
  <c r="L4420" i="2" s="1"/>
  <c r="K4421" i="2"/>
  <c r="L4421" i="2" s="1"/>
  <c r="K4422" i="2"/>
  <c r="L4422" i="2" s="1"/>
  <c r="K4423" i="2"/>
  <c r="L4423" i="2" s="1"/>
  <c r="K4424" i="2"/>
  <c r="L4424" i="2" s="1"/>
  <c r="K4425" i="2"/>
  <c r="L4425" i="2" s="1"/>
  <c r="K4426" i="2"/>
  <c r="L4426" i="2" s="1"/>
  <c r="K4427" i="2"/>
  <c r="L4427" i="2" s="1"/>
  <c r="M4427" i="2" s="1"/>
  <c r="K4428" i="2"/>
  <c r="L4428" i="2" s="1"/>
  <c r="K4429" i="2"/>
  <c r="L4429" i="2" s="1"/>
  <c r="K4430" i="2"/>
  <c r="L4430" i="2" s="1"/>
  <c r="K4431" i="2"/>
  <c r="L4431" i="2" s="1"/>
  <c r="K4432" i="2"/>
  <c r="L4432" i="2" s="1"/>
  <c r="K4433" i="2"/>
  <c r="L4433" i="2" s="1"/>
  <c r="K4434" i="2"/>
  <c r="L4434" i="2" s="1"/>
  <c r="K4435" i="2"/>
  <c r="L4435" i="2" s="1"/>
  <c r="K4436" i="2"/>
  <c r="L4436" i="2" s="1"/>
  <c r="K4437" i="2"/>
  <c r="L4437" i="2" s="1"/>
  <c r="K4438" i="2"/>
  <c r="L4438" i="2" s="1"/>
  <c r="K4439" i="2"/>
  <c r="L4439" i="2" s="1"/>
  <c r="K4440" i="2"/>
  <c r="L4440" i="2" s="1"/>
  <c r="K4441" i="2"/>
  <c r="L4441" i="2" s="1"/>
  <c r="K4442" i="2"/>
  <c r="L4442" i="2" s="1"/>
  <c r="K4443" i="2"/>
  <c r="L4443" i="2" s="1"/>
  <c r="K4444" i="2"/>
  <c r="L4444" i="2" s="1"/>
  <c r="K4445" i="2"/>
  <c r="L4445" i="2" s="1"/>
  <c r="K4446" i="2"/>
  <c r="L4446" i="2" s="1"/>
  <c r="K4447" i="2"/>
  <c r="L4447" i="2" s="1"/>
  <c r="K4448" i="2"/>
  <c r="L4448" i="2" s="1"/>
  <c r="K4449" i="2"/>
  <c r="L4449" i="2" s="1"/>
  <c r="K4450" i="2"/>
  <c r="L4450" i="2" s="1"/>
  <c r="K4451" i="2"/>
  <c r="L4451" i="2" s="1"/>
  <c r="K4452" i="2"/>
  <c r="L4452" i="2" s="1"/>
  <c r="K4453" i="2"/>
  <c r="L4453" i="2" s="1"/>
  <c r="K4454" i="2"/>
  <c r="L4454" i="2" s="1"/>
  <c r="K4455" i="2"/>
  <c r="L4455" i="2" s="1"/>
  <c r="K4456" i="2"/>
  <c r="L4456" i="2" s="1"/>
  <c r="K4457" i="2"/>
  <c r="L4457" i="2" s="1"/>
  <c r="K4458" i="2"/>
  <c r="L4458" i="2" s="1"/>
  <c r="K4459" i="2"/>
  <c r="L4459" i="2" s="1"/>
  <c r="K4460" i="2"/>
  <c r="L4460" i="2" s="1"/>
  <c r="K4461" i="2"/>
  <c r="L4461" i="2" s="1"/>
  <c r="K4462" i="2"/>
  <c r="L4462" i="2" s="1"/>
  <c r="K4463" i="2"/>
  <c r="L4463" i="2" s="1"/>
  <c r="K4464" i="2"/>
  <c r="L4464" i="2" s="1"/>
  <c r="K4465" i="2"/>
  <c r="L4465" i="2" s="1"/>
  <c r="K4466" i="2"/>
  <c r="L4466" i="2" s="1"/>
  <c r="K4467" i="2"/>
  <c r="L4467" i="2" s="1"/>
  <c r="K4468" i="2"/>
  <c r="L4468" i="2" s="1"/>
  <c r="K4469" i="2"/>
  <c r="L4469" i="2" s="1"/>
  <c r="K4470" i="2"/>
  <c r="L4470" i="2" s="1"/>
  <c r="K4471" i="2"/>
  <c r="L4471" i="2" s="1"/>
  <c r="K4472" i="2"/>
  <c r="L4472" i="2" s="1"/>
  <c r="K4473" i="2"/>
  <c r="L4473" i="2" s="1"/>
  <c r="K4474" i="2"/>
  <c r="L4474" i="2" s="1"/>
  <c r="K4475" i="2"/>
  <c r="L4475" i="2" s="1"/>
  <c r="K4476" i="2"/>
  <c r="L4476" i="2" s="1"/>
  <c r="K4477" i="2"/>
  <c r="L4477" i="2" s="1"/>
  <c r="K4478" i="2"/>
  <c r="L4478" i="2" s="1"/>
  <c r="K4479" i="2"/>
  <c r="L4479" i="2" s="1"/>
  <c r="K4480" i="2"/>
  <c r="L4480" i="2" s="1"/>
  <c r="K4481" i="2"/>
  <c r="L4481" i="2" s="1"/>
  <c r="K4482" i="2"/>
  <c r="L4482" i="2" s="1"/>
  <c r="K4483" i="2"/>
  <c r="L4483" i="2" s="1"/>
  <c r="K4484" i="2"/>
  <c r="L4484" i="2" s="1"/>
  <c r="K4485" i="2"/>
  <c r="L4485" i="2" s="1"/>
  <c r="K4486" i="2"/>
  <c r="L4486" i="2" s="1"/>
  <c r="K4487" i="2"/>
  <c r="L4487" i="2" s="1"/>
  <c r="K4488" i="2"/>
  <c r="L4488" i="2" s="1"/>
  <c r="K4489" i="2"/>
  <c r="L4489" i="2" s="1"/>
  <c r="K4490" i="2"/>
  <c r="L4490" i="2" s="1"/>
  <c r="K4491" i="2"/>
  <c r="L4491" i="2" s="1"/>
  <c r="K4492" i="2"/>
  <c r="L4492" i="2" s="1"/>
  <c r="K4493" i="2"/>
  <c r="L4493" i="2" s="1"/>
  <c r="K4494" i="2"/>
  <c r="L4494" i="2" s="1"/>
  <c r="K4495" i="2"/>
  <c r="L4495" i="2" s="1"/>
  <c r="K4496" i="2"/>
  <c r="L4496" i="2" s="1"/>
  <c r="K4497" i="2"/>
  <c r="L4497" i="2" s="1"/>
  <c r="K4498" i="2"/>
  <c r="L4498" i="2" s="1"/>
  <c r="K4499" i="2"/>
  <c r="L4499" i="2" s="1"/>
  <c r="K4500" i="2"/>
  <c r="L4500" i="2" s="1"/>
  <c r="K4501" i="2"/>
  <c r="L4501" i="2" s="1"/>
  <c r="K4502" i="2"/>
  <c r="L4502" i="2" s="1"/>
  <c r="K4503" i="2"/>
  <c r="L4503" i="2" s="1"/>
  <c r="K4504" i="2"/>
  <c r="L4504" i="2" s="1"/>
  <c r="K4505" i="2"/>
  <c r="L4505" i="2" s="1"/>
  <c r="M4505" i="2" s="1"/>
  <c r="K4506" i="2"/>
  <c r="L4506" i="2" s="1"/>
  <c r="K4507" i="2"/>
  <c r="L4507" i="2" s="1"/>
  <c r="K4508" i="2"/>
  <c r="L4508" i="2" s="1"/>
  <c r="K4509" i="2"/>
  <c r="L4509" i="2" s="1"/>
  <c r="K4510" i="2"/>
  <c r="L4510" i="2" s="1"/>
  <c r="K4511" i="2"/>
  <c r="L4511" i="2" s="1"/>
  <c r="K4512" i="2"/>
  <c r="L4512" i="2" s="1"/>
  <c r="K4513" i="2"/>
  <c r="L4513" i="2" s="1"/>
  <c r="K4514" i="2"/>
  <c r="L4514" i="2" s="1"/>
  <c r="K4515" i="2"/>
  <c r="L4515" i="2" s="1"/>
  <c r="K4516" i="2"/>
  <c r="L4516" i="2" s="1"/>
  <c r="K4517" i="2"/>
  <c r="L4517" i="2" s="1"/>
  <c r="K4518" i="2"/>
  <c r="L4518" i="2" s="1"/>
  <c r="K4519" i="2"/>
  <c r="L4519" i="2" s="1"/>
  <c r="K4520" i="2"/>
  <c r="L4520" i="2" s="1"/>
  <c r="K4521" i="2"/>
  <c r="L4521" i="2" s="1"/>
  <c r="K4522" i="2"/>
  <c r="L4522" i="2" s="1"/>
  <c r="K4523" i="2"/>
  <c r="L4523" i="2" s="1"/>
  <c r="K4524" i="2"/>
  <c r="L4524" i="2" s="1"/>
  <c r="K4525" i="2"/>
  <c r="L4525" i="2" s="1"/>
  <c r="K4526" i="2"/>
  <c r="L4526" i="2" s="1"/>
  <c r="K4527" i="2"/>
  <c r="L4527" i="2" s="1"/>
  <c r="K4528" i="2"/>
  <c r="L4528" i="2" s="1"/>
  <c r="K4529" i="2"/>
  <c r="L4529" i="2" s="1"/>
  <c r="K4530" i="2"/>
  <c r="L4530" i="2" s="1"/>
  <c r="K4531" i="2"/>
  <c r="L4531" i="2" s="1"/>
  <c r="K4532" i="2"/>
  <c r="L4532" i="2" s="1"/>
  <c r="K4533" i="2"/>
  <c r="L4533" i="2" s="1"/>
  <c r="M4533" i="2" s="1"/>
  <c r="K4534" i="2"/>
  <c r="L4534" i="2" s="1"/>
  <c r="M4534" i="2" s="1"/>
  <c r="K4535" i="2"/>
  <c r="L4535" i="2" s="1"/>
  <c r="K4536" i="2"/>
  <c r="L4536" i="2" s="1"/>
  <c r="M4536" i="2" s="1"/>
  <c r="K4537" i="2"/>
  <c r="L4537" i="2" s="1"/>
  <c r="M4537" i="2" s="1"/>
  <c r="K4538" i="2"/>
  <c r="L4538" i="2" s="1"/>
  <c r="K4539" i="2"/>
  <c r="L4539" i="2" s="1"/>
  <c r="K4540" i="2"/>
  <c r="L4540" i="2" s="1"/>
  <c r="K4541" i="2"/>
  <c r="L4541" i="2" s="1"/>
  <c r="K4542" i="2"/>
  <c r="L4542" i="2" s="1"/>
  <c r="K4543" i="2"/>
  <c r="L4543" i="2" s="1"/>
  <c r="K4544" i="2"/>
  <c r="L4544" i="2" s="1"/>
  <c r="M4544" i="2" s="1"/>
  <c r="K4545" i="2"/>
  <c r="L4545" i="2" s="1"/>
  <c r="K4546" i="2"/>
  <c r="L4546" i="2" s="1"/>
  <c r="K4547" i="2"/>
  <c r="L4547" i="2" s="1"/>
  <c r="M4547" i="2" s="1"/>
  <c r="K4548" i="2"/>
  <c r="L4548" i="2" s="1"/>
  <c r="K4549" i="2"/>
  <c r="L4549" i="2" s="1"/>
  <c r="K4550" i="2"/>
  <c r="L4550" i="2" s="1"/>
  <c r="K4551" i="2"/>
  <c r="L4551" i="2" s="1"/>
  <c r="K4552" i="2"/>
  <c r="L4552" i="2" s="1"/>
  <c r="K4553" i="2"/>
  <c r="L4553" i="2" s="1"/>
  <c r="K4554" i="2"/>
  <c r="L4554" i="2" s="1"/>
  <c r="K4555" i="2"/>
  <c r="L4555" i="2" s="1"/>
  <c r="K4556" i="2"/>
  <c r="L4556" i="2" s="1"/>
  <c r="M4556" i="2" s="1"/>
  <c r="K4557" i="2"/>
  <c r="L4557" i="2" s="1"/>
  <c r="M4557" i="2" s="1"/>
  <c r="K4558" i="2"/>
  <c r="L4558" i="2" s="1"/>
  <c r="K4559" i="2"/>
  <c r="L4559" i="2" s="1"/>
  <c r="M4559" i="2" s="1"/>
  <c r="K4560" i="2"/>
  <c r="L4560" i="2" s="1"/>
  <c r="M4560" i="2" s="1"/>
  <c r="K4561" i="2"/>
  <c r="L4561" i="2" s="1"/>
  <c r="K4562" i="2"/>
  <c r="L4562" i="2" s="1"/>
  <c r="K4563" i="2"/>
  <c r="L4563" i="2" s="1"/>
  <c r="K4564" i="2"/>
  <c r="L4564" i="2" s="1"/>
  <c r="K4565" i="2"/>
  <c r="L4565" i="2" s="1"/>
  <c r="K4566" i="2"/>
  <c r="L4566" i="2" s="1"/>
  <c r="K4567" i="2"/>
  <c r="L4567" i="2" s="1"/>
  <c r="K4568" i="2"/>
  <c r="L4568" i="2" s="1"/>
  <c r="K4569" i="2"/>
  <c r="L4569" i="2" s="1"/>
  <c r="M4569" i="2" s="1"/>
  <c r="K4570" i="2"/>
  <c r="L4570" i="2" s="1"/>
  <c r="M4570" i="2" s="1"/>
  <c r="K4571" i="2"/>
  <c r="L4571" i="2" s="1"/>
  <c r="K4572" i="2"/>
  <c r="L4572" i="2" s="1"/>
  <c r="M4572" i="2" s="1"/>
  <c r="K4573" i="2"/>
  <c r="L4573" i="2" s="1"/>
  <c r="M4573" i="2" s="1"/>
  <c r="K4574" i="2"/>
  <c r="L4574" i="2" s="1"/>
  <c r="K4575" i="2"/>
  <c r="L4575" i="2" s="1"/>
  <c r="K4576" i="2"/>
  <c r="L4576" i="2" s="1"/>
  <c r="K4577" i="2"/>
  <c r="L4577" i="2" s="1"/>
  <c r="K4578" i="2"/>
  <c r="L4578" i="2" s="1"/>
  <c r="K4579" i="2"/>
  <c r="L4579" i="2" s="1"/>
  <c r="K4580" i="2"/>
  <c r="L4580" i="2" s="1"/>
  <c r="K4581" i="2"/>
  <c r="L4581" i="2" s="1"/>
  <c r="K4582" i="2"/>
  <c r="L4582" i="2" s="1"/>
  <c r="K4583" i="2"/>
  <c r="L4583" i="2" s="1"/>
  <c r="K4584" i="2"/>
  <c r="L4584" i="2" s="1"/>
  <c r="K4585" i="2"/>
  <c r="L4585" i="2" s="1"/>
  <c r="K4586" i="2"/>
  <c r="L4586" i="2" s="1"/>
  <c r="K4587" i="2"/>
  <c r="L4587" i="2" s="1"/>
  <c r="K4588" i="2"/>
  <c r="L4588" i="2" s="1"/>
  <c r="K4589" i="2"/>
  <c r="L4589" i="2" s="1"/>
  <c r="K4590" i="2"/>
  <c r="L4590" i="2" s="1"/>
  <c r="K4591" i="2"/>
  <c r="L4591" i="2" s="1"/>
  <c r="K4592" i="2"/>
  <c r="L4592" i="2" s="1"/>
  <c r="K4593" i="2"/>
  <c r="L4593" i="2" s="1"/>
  <c r="K4594" i="2"/>
  <c r="L4594" i="2" s="1"/>
  <c r="K4595" i="2"/>
  <c r="L4595" i="2" s="1"/>
  <c r="K4596" i="2"/>
  <c r="L4596" i="2" s="1"/>
  <c r="K4597" i="2"/>
  <c r="L4597" i="2" s="1"/>
  <c r="K4598" i="2"/>
  <c r="L4598" i="2" s="1"/>
  <c r="K4599" i="2"/>
  <c r="L4599" i="2" s="1"/>
  <c r="K4600" i="2"/>
  <c r="L4600" i="2" s="1"/>
  <c r="K4601" i="2"/>
  <c r="L4601" i="2" s="1"/>
  <c r="M4601" i="2" s="1"/>
  <c r="K4602" i="2"/>
  <c r="L4602" i="2" s="1"/>
  <c r="M4602" i="2" s="1"/>
  <c r="K4603" i="2"/>
  <c r="L4603" i="2" s="1"/>
  <c r="K4604" i="2"/>
  <c r="L4604" i="2" s="1"/>
  <c r="M4604" i="2" s="1"/>
  <c r="K4605" i="2"/>
  <c r="L4605" i="2" s="1"/>
  <c r="M4605" i="2" s="1"/>
  <c r="K4606" i="2"/>
  <c r="L4606" i="2" s="1"/>
  <c r="K4607" i="2"/>
  <c r="L4607" i="2" s="1"/>
  <c r="K4608" i="2"/>
  <c r="L4608" i="2" s="1"/>
  <c r="K4609" i="2"/>
  <c r="L4609" i="2" s="1"/>
  <c r="K4610" i="2"/>
  <c r="L4610" i="2" s="1"/>
  <c r="K4611" i="2"/>
  <c r="L4611" i="2" s="1"/>
  <c r="K4612" i="2"/>
  <c r="L4612" i="2" s="1"/>
  <c r="K4613" i="2"/>
  <c r="L4613" i="2" s="1"/>
  <c r="K4614" i="2"/>
  <c r="L4614" i="2" s="1"/>
  <c r="M4614" i="2" s="1"/>
  <c r="K4615" i="2"/>
  <c r="L4615" i="2" s="1"/>
  <c r="M4615" i="2" s="1"/>
  <c r="K4616" i="2"/>
  <c r="L4616" i="2" s="1"/>
  <c r="K4617" i="2"/>
  <c r="L4617" i="2" s="1"/>
  <c r="M4617" i="2" s="1"/>
  <c r="K4618" i="2"/>
  <c r="L4618" i="2" s="1"/>
  <c r="M4618" i="2" s="1"/>
  <c r="K4619" i="2"/>
  <c r="L4619" i="2" s="1"/>
  <c r="K4620" i="2"/>
  <c r="L4620" i="2" s="1"/>
  <c r="K4621" i="2"/>
  <c r="L4621" i="2" s="1"/>
  <c r="K4622" i="2"/>
  <c r="L4622" i="2" s="1"/>
  <c r="K4623" i="2"/>
  <c r="L4623" i="2" s="1"/>
  <c r="K4624" i="2"/>
  <c r="L4624" i="2" s="1"/>
  <c r="K4625" i="2"/>
  <c r="L4625" i="2" s="1"/>
  <c r="K4626" i="2"/>
  <c r="L4626" i="2" s="1"/>
  <c r="K4627" i="2"/>
  <c r="L4627" i="2" s="1"/>
  <c r="K4628" i="2"/>
  <c r="L4628" i="2" s="1"/>
  <c r="K4629" i="2"/>
  <c r="L4629" i="2" s="1"/>
  <c r="K4630" i="2"/>
  <c r="L4630" i="2" s="1"/>
  <c r="K4631" i="2"/>
  <c r="L4631" i="2" s="1"/>
  <c r="K4632" i="2"/>
  <c r="L4632" i="2" s="1"/>
  <c r="K4633" i="2"/>
  <c r="L4633" i="2" s="1"/>
  <c r="K4634" i="2"/>
  <c r="L4634" i="2" s="1"/>
  <c r="K4635" i="2"/>
  <c r="L4635" i="2" s="1"/>
  <c r="K4636" i="2"/>
  <c r="L4636" i="2" s="1"/>
  <c r="K4637" i="2"/>
  <c r="L4637" i="2" s="1"/>
  <c r="K4638" i="2"/>
  <c r="L4638" i="2" s="1"/>
  <c r="K4639" i="2"/>
  <c r="L4639" i="2" s="1"/>
  <c r="K4640" i="2"/>
  <c r="L4640" i="2" s="1"/>
  <c r="K4641" i="2"/>
  <c r="L4641" i="2" s="1"/>
  <c r="K4642" i="2"/>
  <c r="L4642" i="2" s="1"/>
  <c r="K4643" i="2"/>
  <c r="L4643" i="2" s="1"/>
  <c r="K4644" i="2"/>
  <c r="L4644" i="2" s="1"/>
  <c r="K4645" i="2"/>
  <c r="L4645" i="2" s="1"/>
  <c r="K4646" i="2"/>
  <c r="L4646" i="2" s="1"/>
  <c r="K4647" i="2"/>
  <c r="L4647" i="2" s="1"/>
  <c r="K4648" i="2"/>
  <c r="L4648" i="2" s="1"/>
  <c r="K4649" i="2"/>
  <c r="L4649" i="2" s="1"/>
  <c r="K4650" i="2"/>
  <c r="L4650" i="2" s="1"/>
  <c r="K4651" i="2"/>
  <c r="L4651" i="2" s="1"/>
  <c r="K4652" i="2"/>
  <c r="L4652" i="2" s="1"/>
  <c r="K4653" i="2"/>
  <c r="L4653" i="2" s="1"/>
  <c r="K4654" i="2"/>
  <c r="L4654" i="2" s="1"/>
  <c r="K4655" i="2"/>
  <c r="L4655" i="2" s="1"/>
  <c r="K4656" i="2"/>
  <c r="L4656" i="2" s="1"/>
  <c r="K4657" i="2"/>
  <c r="L4657" i="2" s="1"/>
  <c r="K4658" i="2"/>
  <c r="L4658" i="2" s="1"/>
  <c r="K4659" i="2"/>
  <c r="L4659" i="2" s="1"/>
  <c r="K4660" i="2"/>
  <c r="L4660" i="2" s="1"/>
  <c r="K4661" i="2"/>
  <c r="L4661" i="2" s="1"/>
  <c r="K4662" i="2"/>
  <c r="L4662" i="2" s="1"/>
  <c r="K4663" i="2"/>
  <c r="L4663" i="2" s="1"/>
  <c r="K4664" i="2"/>
  <c r="L4664" i="2" s="1"/>
  <c r="K4665" i="2"/>
  <c r="L4665" i="2" s="1"/>
  <c r="K4666" i="2"/>
  <c r="L4666" i="2" s="1"/>
  <c r="K4667" i="2"/>
  <c r="L4667" i="2" s="1"/>
  <c r="M4667" i="2" s="1"/>
  <c r="K4668" i="2"/>
  <c r="L4668" i="2" s="1"/>
  <c r="M4668" i="2" s="1"/>
  <c r="K4669" i="2"/>
  <c r="L4669" i="2" s="1"/>
  <c r="K4670" i="2"/>
  <c r="L4670" i="2" s="1"/>
  <c r="M4670" i="2" s="1"/>
  <c r="K4671" i="2"/>
  <c r="L4671" i="2" s="1"/>
  <c r="M4671" i="2" s="1"/>
  <c r="K4672" i="2"/>
  <c r="L4672" i="2" s="1"/>
  <c r="K4673" i="2"/>
  <c r="L4673" i="2" s="1"/>
  <c r="K4674" i="2"/>
  <c r="L4674" i="2" s="1"/>
  <c r="K4675" i="2"/>
  <c r="L4675" i="2" s="1"/>
  <c r="K4676" i="2"/>
  <c r="L4676" i="2" s="1"/>
  <c r="K4677" i="2"/>
  <c r="L4677" i="2" s="1"/>
  <c r="K4678" i="2"/>
  <c r="L4678" i="2" s="1"/>
  <c r="K4679" i="2"/>
  <c r="L4679" i="2" s="1"/>
  <c r="K4680" i="2"/>
  <c r="L4680" i="2" s="1"/>
  <c r="M4680" i="2" s="1"/>
  <c r="K4681" i="2"/>
  <c r="L4681" i="2" s="1"/>
  <c r="M4681" i="2" s="1"/>
  <c r="K4682" i="2"/>
  <c r="L4682" i="2" s="1"/>
  <c r="K4683" i="2"/>
  <c r="L4683" i="2" s="1"/>
  <c r="M4683" i="2" s="1"/>
  <c r="K4684" i="2"/>
  <c r="L4684" i="2" s="1"/>
  <c r="M4684" i="2" s="1"/>
  <c r="K4685" i="2"/>
  <c r="L4685" i="2" s="1"/>
  <c r="K4686" i="2"/>
  <c r="L4686" i="2" s="1"/>
  <c r="K4687" i="2"/>
  <c r="L4687" i="2" s="1"/>
  <c r="K4688" i="2"/>
  <c r="L4688" i="2" s="1"/>
  <c r="K4689" i="2"/>
  <c r="L4689" i="2" s="1"/>
  <c r="K4690" i="2"/>
  <c r="L4690" i="2" s="1"/>
  <c r="K4691" i="2"/>
  <c r="L4691" i="2" s="1"/>
  <c r="K4692" i="2"/>
  <c r="L4692" i="2" s="1"/>
  <c r="K4693" i="2"/>
  <c r="L4693" i="2" s="1"/>
  <c r="M4693" i="2" s="1"/>
  <c r="K4694" i="2"/>
  <c r="L4694" i="2" s="1"/>
  <c r="M4694" i="2" s="1"/>
  <c r="K4695" i="2"/>
  <c r="L4695" i="2" s="1"/>
  <c r="K4696" i="2"/>
  <c r="L4696" i="2" s="1"/>
  <c r="M4696" i="2" s="1"/>
  <c r="K4697" i="2"/>
  <c r="L4697" i="2" s="1"/>
  <c r="M4697" i="2" s="1"/>
  <c r="K4698" i="2"/>
  <c r="L4698" i="2" s="1"/>
  <c r="K4699" i="2"/>
  <c r="L4699" i="2" s="1"/>
  <c r="K4700" i="2"/>
  <c r="L4700" i="2" s="1"/>
  <c r="K4701" i="2"/>
  <c r="L4701" i="2" s="1"/>
  <c r="K4702" i="2"/>
  <c r="L4702" i="2" s="1"/>
  <c r="K4703" i="2"/>
  <c r="L4703" i="2" s="1"/>
  <c r="K4704" i="2"/>
  <c r="L4704" i="2" s="1"/>
  <c r="K4705" i="2"/>
  <c r="L4705" i="2" s="1"/>
  <c r="K4706" i="2"/>
  <c r="L4706" i="2" s="1"/>
  <c r="K4707" i="2"/>
  <c r="L4707" i="2" s="1"/>
  <c r="M4707" i="2" s="1"/>
  <c r="K4708" i="2"/>
  <c r="L4708" i="2" s="1"/>
  <c r="M4708" i="2" s="1"/>
  <c r="K4709" i="2"/>
  <c r="L4709" i="2" s="1"/>
  <c r="K4710" i="2"/>
  <c r="L4710" i="2" s="1"/>
  <c r="M4710" i="2" s="1"/>
  <c r="K4711" i="2"/>
  <c r="L4711" i="2" s="1"/>
  <c r="M4711" i="2" s="1"/>
  <c r="K4712" i="2"/>
  <c r="L4712" i="2" s="1"/>
  <c r="K4713" i="2"/>
  <c r="L4713" i="2" s="1"/>
  <c r="K4714" i="2"/>
  <c r="L4714" i="2" s="1"/>
  <c r="K4715" i="2"/>
  <c r="L4715" i="2" s="1"/>
  <c r="K4716" i="2"/>
  <c r="L4716" i="2" s="1"/>
  <c r="K4717" i="2"/>
  <c r="L4717" i="2" s="1"/>
  <c r="K4718" i="2"/>
  <c r="L4718" i="2" s="1"/>
  <c r="K4719" i="2"/>
  <c r="L4719" i="2" s="1"/>
  <c r="K4720" i="2"/>
  <c r="L4720" i="2" s="1"/>
  <c r="K4721" i="2"/>
  <c r="L4721" i="2" s="1"/>
  <c r="K4722" i="2"/>
  <c r="L4722" i="2" s="1"/>
  <c r="K4723" i="2"/>
  <c r="L4723" i="2" s="1"/>
  <c r="K4724" i="2"/>
  <c r="L4724" i="2" s="1"/>
  <c r="K4725" i="2"/>
  <c r="L4725" i="2" s="1"/>
  <c r="K4726" i="2"/>
  <c r="L4726" i="2" s="1"/>
  <c r="K4727" i="2"/>
  <c r="L4727" i="2" s="1"/>
  <c r="K4728" i="2"/>
  <c r="L4728" i="2" s="1"/>
  <c r="K4729" i="2"/>
  <c r="L4729" i="2" s="1"/>
  <c r="K4730" i="2"/>
  <c r="L4730" i="2" s="1"/>
  <c r="K4731" i="2"/>
  <c r="L4731" i="2" s="1"/>
  <c r="K4732" i="2"/>
  <c r="L4732" i="2" s="1"/>
  <c r="K4733" i="2"/>
  <c r="L4733" i="2" s="1"/>
  <c r="K4734" i="2"/>
  <c r="L4734" i="2" s="1"/>
  <c r="K4735" i="2"/>
  <c r="L4735" i="2" s="1"/>
  <c r="K4736" i="2"/>
  <c r="L4736" i="2" s="1"/>
  <c r="K4737" i="2"/>
  <c r="L4737" i="2" s="1"/>
  <c r="K4738" i="2"/>
  <c r="L4738" i="2" s="1"/>
  <c r="K4739" i="2"/>
  <c r="L4739" i="2" s="1"/>
  <c r="K4740" i="2"/>
  <c r="L4740" i="2" s="1"/>
  <c r="K4741" i="2"/>
  <c r="L4741" i="2" s="1"/>
  <c r="K4742" i="2"/>
  <c r="L4742" i="2" s="1"/>
  <c r="K4743" i="2"/>
  <c r="L4743" i="2" s="1"/>
  <c r="K4744" i="2"/>
  <c r="L4744" i="2" s="1"/>
  <c r="K4745" i="2"/>
  <c r="L4745" i="2" s="1"/>
  <c r="K4746" i="2"/>
  <c r="L4746" i="2" s="1"/>
  <c r="K4747" i="2"/>
  <c r="L4747" i="2" s="1"/>
  <c r="M4747" i="2" s="1"/>
  <c r="K4748" i="2"/>
  <c r="L4748" i="2" s="1"/>
  <c r="M4748" i="2" s="1"/>
  <c r="K4749" i="2"/>
  <c r="L4749" i="2" s="1"/>
  <c r="K4750" i="2"/>
  <c r="L4750" i="2" s="1"/>
  <c r="M4750" i="2" s="1"/>
  <c r="K4751" i="2"/>
  <c r="L4751" i="2" s="1"/>
  <c r="M4751" i="2" s="1"/>
  <c r="K4752" i="2"/>
  <c r="L4752" i="2" s="1"/>
  <c r="K4753" i="2"/>
  <c r="L4753" i="2" s="1"/>
  <c r="M4753" i="2" s="1"/>
  <c r="K4754" i="2"/>
  <c r="L4754" i="2" s="1"/>
  <c r="M4754" i="2" s="1"/>
  <c r="K4755" i="2"/>
  <c r="L4755" i="2" s="1"/>
  <c r="K4756" i="2"/>
  <c r="L4756" i="2" s="1"/>
  <c r="M4756" i="2" s="1"/>
  <c r="K4757" i="2"/>
  <c r="L4757" i="2" s="1"/>
  <c r="M4757" i="2" s="1"/>
  <c r="K4758" i="2"/>
  <c r="L4758" i="2" s="1"/>
  <c r="K4759" i="2"/>
  <c r="L4759" i="2" s="1"/>
  <c r="K4760" i="2"/>
  <c r="L4760" i="2" s="1"/>
  <c r="K4761" i="2"/>
  <c r="L4761" i="2" s="1"/>
  <c r="K4762" i="2"/>
  <c r="L4762" i="2" s="1"/>
  <c r="K4763" i="2"/>
  <c r="L4763" i="2" s="1"/>
  <c r="K4764" i="2"/>
  <c r="L4764" i="2" s="1"/>
  <c r="K4765" i="2"/>
  <c r="L4765" i="2" s="1"/>
  <c r="K4766" i="2"/>
  <c r="L4766" i="2" s="1"/>
  <c r="K4767" i="2"/>
  <c r="L4767" i="2" s="1"/>
  <c r="K4768" i="2"/>
  <c r="L4768" i="2" s="1"/>
  <c r="K4769" i="2"/>
  <c r="L4769" i="2" s="1"/>
  <c r="K4770" i="2"/>
  <c r="L4770" i="2" s="1"/>
  <c r="K4771" i="2"/>
  <c r="L4771" i="2" s="1"/>
  <c r="K4772" i="2"/>
  <c r="L4772" i="2" s="1"/>
  <c r="K4773" i="2"/>
  <c r="L4773" i="2" s="1"/>
  <c r="K4774" i="2"/>
  <c r="L4774" i="2" s="1"/>
  <c r="K4775" i="2"/>
  <c r="L4775" i="2" s="1"/>
  <c r="K4776" i="2"/>
  <c r="L4776" i="2" s="1"/>
  <c r="K4777" i="2"/>
  <c r="L4777" i="2" s="1"/>
  <c r="K4778" i="2"/>
  <c r="L4778" i="2" s="1"/>
  <c r="K4779" i="2"/>
  <c r="L4779" i="2" s="1"/>
  <c r="K4780" i="2"/>
  <c r="L4780" i="2" s="1"/>
  <c r="K4781" i="2"/>
  <c r="L4781" i="2" s="1"/>
  <c r="K4782" i="2"/>
  <c r="L4782" i="2" s="1"/>
  <c r="K4783" i="2"/>
  <c r="L4783" i="2" s="1"/>
  <c r="K4784" i="2"/>
  <c r="L4784" i="2" s="1"/>
  <c r="K4785" i="2"/>
  <c r="L4785" i="2" s="1"/>
  <c r="K4786" i="2"/>
  <c r="L4786" i="2" s="1"/>
  <c r="K4787" i="2"/>
  <c r="L4787" i="2" s="1"/>
  <c r="K4788" i="2"/>
  <c r="L4788" i="2" s="1"/>
  <c r="K4789" i="2"/>
  <c r="L4789" i="2" s="1"/>
  <c r="K4790" i="2"/>
  <c r="L4790" i="2" s="1"/>
  <c r="K4791" i="2"/>
  <c r="L4791" i="2" s="1"/>
  <c r="K4792" i="2"/>
  <c r="L4792" i="2" s="1"/>
  <c r="K4793" i="2"/>
  <c r="L4793" i="2" s="1"/>
  <c r="K4794" i="2"/>
  <c r="L4794" i="2" s="1"/>
  <c r="K4795" i="2"/>
  <c r="L4795" i="2" s="1"/>
  <c r="K4796" i="2"/>
  <c r="L4796" i="2" s="1"/>
  <c r="K4797" i="2"/>
  <c r="L4797" i="2" s="1"/>
  <c r="K4798" i="2"/>
  <c r="L4798" i="2" s="1"/>
  <c r="K4799" i="2"/>
  <c r="L4799" i="2" s="1"/>
  <c r="K4800" i="2"/>
  <c r="L4800" i="2" s="1"/>
  <c r="K4801" i="2"/>
  <c r="L4801" i="2" s="1"/>
  <c r="K4802" i="2"/>
  <c r="L4802" i="2" s="1"/>
  <c r="K4803" i="2"/>
  <c r="L4803" i="2" s="1"/>
  <c r="K4804" i="2"/>
  <c r="L4804" i="2" s="1"/>
  <c r="K4805" i="2"/>
  <c r="L4805" i="2" s="1"/>
  <c r="K4806" i="2"/>
  <c r="L4806" i="2" s="1"/>
  <c r="K4807" i="2"/>
  <c r="L4807" i="2" s="1"/>
  <c r="K4808" i="2"/>
  <c r="L4808" i="2" s="1"/>
  <c r="K4809" i="2"/>
  <c r="L4809" i="2" s="1"/>
  <c r="K4810" i="2"/>
  <c r="L4810" i="2" s="1"/>
  <c r="K4811" i="2"/>
  <c r="L4811" i="2" s="1"/>
  <c r="K4812" i="2"/>
  <c r="L4812" i="2" s="1"/>
  <c r="K4813" i="2"/>
  <c r="L4813" i="2" s="1"/>
  <c r="K4814" i="2"/>
  <c r="L4814" i="2" s="1"/>
  <c r="K4815" i="2"/>
  <c r="L4815" i="2" s="1"/>
  <c r="K4816" i="2"/>
  <c r="L4816" i="2" s="1"/>
  <c r="K4817" i="2"/>
  <c r="L4817" i="2" s="1"/>
  <c r="K4818" i="2"/>
  <c r="L4818" i="2" s="1"/>
  <c r="M4818" i="2" s="1"/>
  <c r="K4819" i="2"/>
  <c r="L4819" i="2" s="1"/>
  <c r="K4820" i="2"/>
  <c r="L4820" i="2" s="1"/>
  <c r="K4821" i="2"/>
  <c r="L4821" i="2" s="1"/>
  <c r="K4822" i="2"/>
  <c r="L4822" i="2" s="1"/>
  <c r="K4823" i="2"/>
  <c r="L4823" i="2" s="1"/>
  <c r="K4824" i="2"/>
  <c r="L4824" i="2" s="1"/>
  <c r="K4825" i="2"/>
  <c r="L4825" i="2" s="1"/>
  <c r="K4826" i="2"/>
  <c r="L4826" i="2" s="1"/>
  <c r="K4827" i="2"/>
  <c r="L4827" i="2" s="1"/>
  <c r="K4828" i="2"/>
  <c r="L4828" i="2" s="1"/>
  <c r="K4829" i="2"/>
  <c r="L4829" i="2" s="1"/>
  <c r="K4830" i="2"/>
  <c r="L4830" i="2" s="1"/>
  <c r="K4831" i="2"/>
  <c r="L4831" i="2" s="1"/>
  <c r="K4832" i="2"/>
  <c r="L4832" i="2" s="1"/>
  <c r="K4833" i="2"/>
  <c r="L4833" i="2" s="1"/>
  <c r="K4834" i="2"/>
  <c r="L4834" i="2" s="1"/>
  <c r="K4835" i="2"/>
  <c r="L4835" i="2" s="1"/>
  <c r="K4836" i="2"/>
  <c r="L4836" i="2" s="1"/>
  <c r="K4837" i="2"/>
  <c r="L4837" i="2" s="1"/>
  <c r="K4838" i="2"/>
  <c r="L4838" i="2" s="1"/>
  <c r="K4839" i="2"/>
  <c r="L4839" i="2" s="1"/>
  <c r="K4840" i="2"/>
  <c r="L4840" i="2" s="1"/>
  <c r="K4841" i="2"/>
  <c r="L4841" i="2" s="1"/>
  <c r="K4842" i="2"/>
  <c r="L4842" i="2" s="1"/>
  <c r="K4843" i="2"/>
  <c r="L4843" i="2" s="1"/>
  <c r="K4844" i="2"/>
  <c r="L4844" i="2" s="1"/>
  <c r="K4845" i="2"/>
  <c r="L4845" i="2" s="1"/>
  <c r="K4846" i="2"/>
  <c r="L4846" i="2" s="1"/>
  <c r="K4847" i="2"/>
  <c r="L4847" i="2" s="1"/>
  <c r="K4848" i="2"/>
  <c r="L4848" i="2" s="1"/>
  <c r="K4849" i="2"/>
  <c r="L4849" i="2" s="1"/>
  <c r="K4850" i="2"/>
  <c r="L4850" i="2" s="1"/>
  <c r="K4851" i="2"/>
  <c r="L4851" i="2" s="1"/>
  <c r="K4852" i="2"/>
  <c r="L4852" i="2" s="1"/>
  <c r="K4853" i="2"/>
  <c r="L4853" i="2" s="1"/>
  <c r="K4854" i="2"/>
  <c r="L4854" i="2" s="1"/>
  <c r="K4855" i="2"/>
  <c r="L4855" i="2" s="1"/>
  <c r="K4856" i="2"/>
  <c r="L4856" i="2" s="1"/>
  <c r="K4857" i="2"/>
  <c r="L4857" i="2" s="1"/>
  <c r="K4858" i="2"/>
  <c r="L4858" i="2" s="1"/>
  <c r="K4859" i="2"/>
  <c r="L4859" i="2" s="1"/>
  <c r="K4860" i="2"/>
  <c r="L4860" i="2" s="1"/>
  <c r="K4861" i="2"/>
  <c r="L4861" i="2" s="1"/>
  <c r="K4862" i="2"/>
  <c r="L4862" i="2" s="1"/>
  <c r="K4863" i="2"/>
  <c r="L4863" i="2" s="1"/>
  <c r="K4864" i="2"/>
  <c r="L4864" i="2" s="1"/>
  <c r="K4865" i="2"/>
  <c r="L4865" i="2" s="1"/>
  <c r="K4866" i="2"/>
  <c r="L4866" i="2" s="1"/>
  <c r="K4867" i="2"/>
  <c r="L4867" i="2" s="1"/>
  <c r="K4868" i="2"/>
  <c r="L4868" i="2" s="1"/>
  <c r="K4869" i="2"/>
  <c r="L4869" i="2" s="1"/>
  <c r="K4870" i="2"/>
  <c r="L4870" i="2" s="1"/>
  <c r="K4871" i="2"/>
  <c r="L4871" i="2" s="1"/>
  <c r="K4872" i="2"/>
  <c r="L4872" i="2" s="1"/>
  <c r="K4873" i="2"/>
  <c r="L4873" i="2" s="1"/>
  <c r="K4874" i="2"/>
  <c r="L4874" i="2" s="1"/>
  <c r="K4875" i="2"/>
  <c r="L4875" i="2" s="1"/>
  <c r="K4876" i="2"/>
  <c r="L4876" i="2" s="1"/>
  <c r="K4877" i="2"/>
  <c r="L4877" i="2" s="1"/>
  <c r="K4878" i="2"/>
  <c r="L4878" i="2" s="1"/>
  <c r="K4879" i="2"/>
  <c r="L4879" i="2" s="1"/>
  <c r="K4880" i="2"/>
  <c r="L4880" i="2" s="1"/>
  <c r="K4881" i="2"/>
  <c r="L4881" i="2" s="1"/>
  <c r="K4882" i="2"/>
  <c r="L4882" i="2" s="1"/>
  <c r="K4883" i="2"/>
  <c r="L4883" i="2" s="1"/>
  <c r="K4884" i="2"/>
  <c r="L4884" i="2" s="1"/>
  <c r="K4885" i="2"/>
  <c r="L4885" i="2" s="1"/>
  <c r="K4886" i="2"/>
  <c r="L4886" i="2" s="1"/>
  <c r="K4887" i="2"/>
  <c r="L4887" i="2" s="1"/>
  <c r="K4888" i="2"/>
  <c r="L4888" i="2" s="1"/>
  <c r="K4889" i="2"/>
  <c r="L4889" i="2" s="1"/>
  <c r="K4890" i="2"/>
  <c r="L4890" i="2" s="1"/>
  <c r="K4891" i="2"/>
  <c r="L4891" i="2" s="1"/>
  <c r="K4892" i="2"/>
  <c r="L4892" i="2" s="1"/>
  <c r="K4893" i="2"/>
  <c r="L4893" i="2" s="1"/>
  <c r="K4894" i="2"/>
  <c r="L4894" i="2" s="1"/>
  <c r="K4895" i="2"/>
  <c r="L4895" i="2" s="1"/>
  <c r="K4896" i="2"/>
  <c r="L4896" i="2" s="1"/>
  <c r="K4897" i="2"/>
  <c r="L4897" i="2" s="1"/>
  <c r="K4898" i="2"/>
  <c r="L4898" i="2" s="1"/>
  <c r="K4899" i="2"/>
  <c r="L4899" i="2" s="1"/>
  <c r="K4900" i="2"/>
  <c r="L4900" i="2" s="1"/>
  <c r="K4901" i="2"/>
  <c r="L4901" i="2" s="1"/>
  <c r="K4902" i="2"/>
  <c r="L4902" i="2" s="1"/>
  <c r="K4903" i="2"/>
  <c r="L4903" i="2" s="1"/>
  <c r="K4904" i="2"/>
  <c r="L4904" i="2" s="1"/>
  <c r="K4905" i="2"/>
  <c r="L4905" i="2" s="1"/>
  <c r="K4906" i="2"/>
  <c r="L4906" i="2" s="1"/>
  <c r="K4907" i="2"/>
  <c r="L4907" i="2" s="1"/>
  <c r="K4908" i="2"/>
  <c r="L4908" i="2" s="1"/>
  <c r="K4909" i="2"/>
  <c r="L4909" i="2" s="1"/>
  <c r="K4910" i="2"/>
  <c r="L4910" i="2" s="1"/>
  <c r="K4911" i="2"/>
  <c r="L4911" i="2" s="1"/>
  <c r="K4912" i="2"/>
  <c r="L4912" i="2" s="1"/>
  <c r="K4913" i="2"/>
  <c r="L4913" i="2" s="1"/>
  <c r="K4914" i="2"/>
  <c r="L4914" i="2" s="1"/>
  <c r="K4915" i="2"/>
  <c r="L4915" i="2" s="1"/>
  <c r="K4916" i="2"/>
  <c r="L4916" i="2" s="1"/>
  <c r="K4917" i="2"/>
  <c r="L4917" i="2" s="1"/>
  <c r="K4918" i="2"/>
  <c r="L4918" i="2" s="1"/>
  <c r="K4919" i="2"/>
  <c r="L4919" i="2" s="1"/>
  <c r="K4920" i="2"/>
  <c r="L4920" i="2" s="1"/>
  <c r="K4921" i="2"/>
  <c r="L4921" i="2" s="1"/>
  <c r="K4922" i="2"/>
  <c r="L4922" i="2" s="1"/>
  <c r="M4922" i="2" s="1"/>
  <c r="K4923" i="2"/>
  <c r="L4923" i="2" s="1"/>
  <c r="K4924" i="2"/>
  <c r="L4924" i="2" s="1"/>
  <c r="K4925" i="2"/>
  <c r="L4925" i="2" s="1"/>
  <c r="K4926" i="2"/>
  <c r="L4926" i="2" s="1"/>
  <c r="K4927" i="2"/>
  <c r="L4927" i="2" s="1"/>
  <c r="K4928" i="2"/>
  <c r="L4928" i="2" s="1"/>
  <c r="K4929" i="2"/>
  <c r="L4929" i="2" s="1"/>
  <c r="K4930" i="2"/>
  <c r="L4930" i="2" s="1"/>
  <c r="K4931" i="2"/>
  <c r="L4931" i="2" s="1"/>
  <c r="K4932" i="2"/>
  <c r="L4932" i="2" s="1"/>
  <c r="K4933" i="2"/>
  <c r="L4933" i="2" s="1"/>
  <c r="K4934" i="2"/>
  <c r="L4934" i="2" s="1"/>
  <c r="K4935" i="2"/>
  <c r="L4935" i="2" s="1"/>
  <c r="K4936" i="2"/>
  <c r="L4936" i="2" s="1"/>
  <c r="K4937" i="2"/>
  <c r="L4937" i="2" s="1"/>
  <c r="K4938" i="2"/>
  <c r="L4938" i="2" s="1"/>
  <c r="K4939" i="2"/>
  <c r="L4939" i="2" s="1"/>
  <c r="K4940" i="2"/>
  <c r="L4940" i="2" s="1"/>
  <c r="K4941" i="2"/>
  <c r="L4941" i="2" s="1"/>
  <c r="K4942" i="2"/>
  <c r="L4942" i="2" s="1"/>
  <c r="K4943" i="2"/>
  <c r="L4943" i="2" s="1"/>
  <c r="K4944" i="2"/>
  <c r="L4944" i="2" s="1"/>
  <c r="K4945" i="2"/>
  <c r="L4945" i="2" s="1"/>
  <c r="K4946" i="2"/>
  <c r="L4946" i="2" s="1"/>
  <c r="K4947" i="2"/>
  <c r="L4947" i="2" s="1"/>
  <c r="K4948" i="2"/>
  <c r="L4948" i="2" s="1"/>
  <c r="K4949" i="2"/>
  <c r="L4949" i="2" s="1"/>
  <c r="K4950" i="2"/>
  <c r="L4950" i="2" s="1"/>
  <c r="K4951" i="2"/>
  <c r="L4951" i="2" s="1"/>
  <c r="K4952" i="2"/>
  <c r="L4952" i="2" s="1"/>
  <c r="K4953" i="2"/>
  <c r="L4953" i="2" s="1"/>
  <c r="K4954" i="2"/>
  <c r="L4954" i="2" s="1"/>
  <c r="K4955" i="2"/>
  <c r="L4955" i="2" s="1"/>
  <c r="K4956" i="2"/>
  <c r="L4956" i="2" s="1"/>
  <c r="K4957" i="2"/>
  <c r="L4957" i="2" s="1"/>
  <c r="K4958" i="2"/>
  <c r="L4958" i="2" s="1"/>
  <c r="K4959" i="2"/>
  <c r="L4959" i="2" s="1"/>
  <c r="K4960" i="2"/>
  <c r="L4960" i="2" s="1"/>
  <c r="K4961" i="2"/>
  <c r="L4961" i="2" s="1"/>
  <c r="K4962" i="2"/>
  <c r="L4962" i="2" s="1"/>
  <c r="K4963" i="2"/>
  <c r="L4963" i="2" s="1"/>
  <c r="K4964" i="2"/>
  <c r="L4964" i="2" s="1"/>
  <c r="K4965" i="2"/>
  <c r="L4965" i="2" s="1"/>
  <c r="K4966" i="2"/>
  <c r="L4966" i="2" s="1"/>
  <c r="K4967" i="2"/>
  <c r="L4967" i="2" s="1"/>
  <c r="K4968" i="2"/>
  <c r="L4968" i="2" s="1"/>
  <c r="K4969" i="2"/>
  <c r="L4969" i="2" s="1"/>
  <c r="K4970" i="2"/>
  <c r="L4970" i="2" s="1"/>
  <c r="K4971" i="2"/>
  <c r="L4971" i="2" s="1"/>
  <c r="K4972" i="2"/>
  <c r="L4972" i="2" s="1"/>
  <c r="K4973" i="2"/>
  <c r="L4973" i="2" s="1"/>
  <c r="K4974" i="2"/>
  <c r="L4974" i="2" s="1"/>
  <c r="K4975" i="2"/>
  <c r="L4975" i="2" s="1"/>
  <c r="K4976" i="2"/>
  <c r="L4976" i="2" s="1"/>
  <c r="K4977" i="2"/>
  <c r="L4977" i="2" s="1"/>
  <c r="K4978" i="2"/>
  <c r="L4978" i="2" s="1"/>
  <c r="K4979" i="2"/>
  <c r="L4979" i="2" s="1"/>
  <c r="K4980" i="2"/>
  <c r="L4980" i="2" s="1"/>
  <c r="M4980" i="2" s="1"/>
  <c r="K4981" i="2"/>
  <c r="L4981" i="2" s="1"/>
  <c r="M4981" i="2" s="1"/>
  <c r="K4982" i="2"/>
  <c r="L4982" i="2" s="1"/>
  <c r="K4983" i="2"/>
  <c r="L4983" i="2" s="1"/>
  <c r="K4984" i="2"/>
  <c r="L4984" i="2" s="1"/>
  <c r="K4985" i="2"/>
  <c r="L4985" i="2" s="1"/>
  <c r="K4986" i="2"/>
  <c r="L4986" i="2" s="1"/>
  <c r="K4987" i="2"/>
  <c r="L4987" i="2" s="1"/>
  <c r="K4988" i="2"/>
  <c r="L4988" i="2" s="1"/>
  <c r="K4989" i="2"/>
  <c r="L4989" i="2" s="1"/>
  <c r="K4990" i="2"/>
  <c r="L4990" i="2" s="1"/>
  <c r="K4991" i="2"/>
  <c r="L4991" i="2" s="1"/>
  <c r="K4992" i="2"/>
  <c r="L4992" i="2" s="1"/>
  <c r="K4993" i="2"/>
  <c r="L4993" i="2" s="1"/>
  <c r="K4994" i="2"/>
  <c r="L4994" i="2" s="1"/>
  <c r="K4995" i="2"/>
  <c r="L4995" i="2" s="1"/>
  <c r="K4996" i="2"/>
  <c r="L4996" i="2" s="1"/>
  <c r="K4997" i="2"/>
  <c r="L4997" i="2" s="1"/>
  <c r="K4998" i="2"/>
  <c r="L4998" i="2" s="1"/>
  <c r="K4999" i="2"/>
  <c r="L4999" i="2" s="1"/>
  <c r="M4999" i="2" s="1"/>
  <c r="K5000" i="2"/>
  <c r="L5000" i="2" s="1"/>
  <c r="K5001" i="2"/>
  <c r="L5001" i="2" s="1"/>
  <c r="K5002" i="2"/>
  <c r="L5002" i="2" s="1"/>
  <c r="K5003" i="2"/>
  <c r="L5003" i="2" s="1"/>
  <c r="K5004" i="2"/>
  <c r="L5004" i="2" s="1"/>
  <c r="K5005" i="2"/>
  <c r="L5005" i="2" s="1"/>
  <c r="K5006" i="2"/>
  <c r="L5006" i="2" s="1"/>
  <c r="K5007" i="2"/>
  <c r="L5007" i="2" s="1"/>
  <c r="K5008" i="2"/>
  <c r="L5008" i="2" s="1"/>
  <c r="K5009" i="2"/>
  <c r="L5009" i="2" s="1"/>
  <c r="K5010" i="2"/>
  <c r="L5010" i="2" s="1"/>
  <c r="K5011" i="2"/>
  <c r="L5011" i="2" s="1"/>
  <c r="K5012" i="2"/>
  <c r="L5012" i="2" s="1"/>
  <c r="K5013" i="2"/>
  <c r="L5013" i="2" s="1"/>
  <c r="K5014" i="2"/>
  <c r="L5014" i="2" s="1"/>
  <c r="K5015" i="2"/>
  <c r="L5015" i="2" s="1"/>
  <c r="K5016" i="2"/>
  <c r="L5016" i="2" s="1"/>
  <c r="K5017" i="2"/>
  <c r="L5017" i="2" s="1"/>
  <c r="K5018" i="2"/>
  <c r="L5018" i="2" s="1"/>
  <c r="K5019" i="2"/>
  <c r="L5019" i="2" s="1"/>
  <c r="K5020" i="2"/>
  <c r="L5020" i="2" s="1"/>
  <c r="K5021" i="2"/>
  <c r="L5021" i="2" s="1"/>
  <c r="K5022" i="2"/>
  <c r="L5022" i="2" s="1"/>
  <c r="K5023" i="2"/>
  <c r="L5023" i="2" s="1"/>
  <c r="K5024" i="2"/>
  <c r="L5024" i="2" s="1"/>
  <c r="K5025" i="2"/>
  <c r="L5025" i="2" s="1"/>
  <c r="K5026" i="2"/>
  <c r="L5026" i="2" s="1"/>
  <c r="K5027" i="2"/>
  <c r="L5027" i="2" s="1"/>
  <c r="K5028" i="2"/>
  <c r="L5028" i="2" s="1"/>
  <c r="K5029" i="2"/>
  <c r="L5029" i="2" s="1"/>
  <c r="K5030" i="2"/>
  <c r="L5030" i="2" s="1"/>
  <c r="K5031" i="2"/>
  <c r="L5031" i="2" s="1"/>
  <c r="K5032" i="2"/>
  <c r="L5032" i="2" s="1"/>
  <c r="K5033" i="2"/>
  <c r="L5033" i="2" s="1"/>
  <c r="K5034" i="2"/>
  <c r="L5034" i="2" s="1"/>
  <c r="K5035" i="2"/>
  <c r="L5035" i="2" s="1"/>
  <c r="K5036" i="2"/>
  <c r="L5036" i="2" s="1"/>
  <c r="K5037" i="2"/>
  <c r="L5037" i="2" s="1"/>
  <c r="K5038" i="2"/>
  <c r="L5038" i="2" s="1"/>
  <c r="K5039" i="2"/>
  <c r="L5039" i="2" s="1"/>
  <c r="K5040" i="2"/>
  <c r="L5040" i="2" s="1"/>
  <c r="K5041" i="2"/>
  <c r="L5041" i="2" s="1"/>
  <c r="K5042" i="2"/>
  <c r="L5042" i="2" s="1"/>
  <c r="K5043" i="2"/>
  <c r="L5043" i="2" s="1"/>
  <c r="K5044" i="2"/>
  <c r="L5044" i="2" s="1"/>
  <c r="K5045" i="2"/>
  <c r="L5045" i="2" s="1"/>
  <c r="K5046" i="2"/>
  <c r="L5046" i="2" s="1"/>
  <c r="K5047" i="2"/>
  <c r="L5047" i="2" s="1"/>
  <c r="K5048" i="2"/>
  <c r="L5048" i="2" s="1"/>
  <c r="K5049" i="2"/>
  <c r="L5049" i="2" s="1"/>
  <c r="K5050" i="2"/>
  <c r="L5050" i="2" s="1"/>
  <c r="K5051" i="2"/>
  <c r="L5051" i="2" s="1"/>
  <c r="K5052" i="2"/>
  <c r="L5052" i="2" s="1"/>
  <c r="K5053" i="2"/>
  <c r="L5053" i="2" s="1"/>
  <c r="K5054" i="2"/>
  <c r="L5054" i="2" s="1"/>
  <c r="M5054" i="2" s="1"/>
  <c r="K5055" i="2"/>
  <c r="L5055" i="2" s="1"/>
  <c r="M5055" i="2" s="1"/>
  <c r="K5056" i="2"/>
  <c r="L5056" i="2" s="1"/>
  <c r="K5057" i="2"/>
  <c r="L5057" i="2" s="1"/>
  <c r="K5058" i="2"/>
  <c r="L5058" i="2" s="1"/>
  <c r="K5059" i="2"/>
  <c r="L5059" i="2" s="1"/>
  <c r="K5060" i="2"/>
  <c r="L5060" i="2" s="1"/>
  <c r="K5061" i="2"/>
  <c r="L5061" i="2" s="1"/>
  <c r="K5062" i="2"/>
  <c r="L5062" i="2" s="1"/>
  <c r="K5063" i="2"/>
  <c r="L5063" i="2" s="1"/>
  <c r="K5064" i="2"/>
  <c r="L5064" i="2" s="1"/>
  <c r="K5065" i="2"/>
  <c r="L5065" i="2" s="1"/>
  <c r="M5065" i="2" s="1"/>
  <c r="K5066" i="2"/>
  <c r="L5066" i="2" s="1"/>
  <c r="M5066" i="2" s="1"/>
  <c r="K5067" i="2"/>
  <c r="L5067" i="2" s="1"/>
  <c r="K5068" i="2"/>
  <c r="L5068" i="2" s="1"/>
  <c r="M5068" i="2" s="1"/>
  <c r="K5069" i="2"/>
  <c r="L5069" i="2" s="1"/>
  <c r="K5070" i="2"/>
  <c r="L5070" i="2" s="1"/>
  <c r="K5071" i="2"/>
  <c r="L5071" i="2" s="1"/>
  <c r="K5072" i="2"/>
  <c r="L5072" i="2" s="1"/>
  <c r="K5073" i="2"/>
  <c r="L5073" i="2" s="1"/>
  <c r="K5074" i="2"/>
  <c r="L5074" i="2" s="1"/>
  <c r="M5074" i="2" s="1"/>
  <c r="K5075" i="2"/>
  <c r="L5075" i="2" s="1"/>
  <c r="M5075" i="2" s="1"/>
  <c r="K5076" i="2"/>
  <c r="L5076" i="2" s="1"/>
  <c r="K5077" i="2"/>
  <c r="L5077" i="2" s="1"/>
  <c r="M5077" i="2" s="1"/>
  <c r="K5078" i="2"/>
  <c r="L5078" i="2" s="1"/>
  <c r="M5078" i="2" s="1"/>
  <c r="K5079" i="2"/>
  <c r="L5079" i="2" s="1"/>
  <c r="K5080" i="2"/>
  <c r="L5080" i="2" s="1"/>
  <c r="K5081" i="2"/>
  <c r="L5081" i="2" s="1"/>
  <c r="K5082" i="2"/>
  <c r="L5082" i="2" s="1"/>
  <c r="K5083" i="2"/>
  <c r="L5083" i="2" s="1"/>
  <c r="K5084" i="2"/>
  <c r="L5084" i="2" s="1"/>
  <c r="K5085" i="2"/>
  <c r="L5085" i="2" s="1"/>
  <c r="K5086" i="2"/>
  <c r="L5086" i="2" s="1"/>
  <c r="K5087" i="2"/>
  <c r="L5087" i="2" s="1"/>
  <c r="K5088" i="2"/>
  <c r="L5088" i="2" s="1"/>
  <c r="M5088" i="2" s="1"/>
  <c r="K5089" i="2"/>
  <c r="L5089" i="2" s="1"/>
  <c r="K5090" i="2"/>
  <c r="L5090" i="2" s="1"/>
  <c r="K5091" i="2"/>
  <c r="L5091" i="2" s="1"/>
  <c r="K5092" i="2"/>
  <c r="L5092" i="2" s="1"/>
  <c r="K5093" i="2"/>
  <c r="L5093" i="2" s="1"/>
  <c r="K5094" i="2"/>
  <c r="L5094" i="2" s="1"/>
  <c r="K5095" i="2"/>
  <c r="L5095" i="2" s="1"/>
  <c r="K5096" i="2"/>
  <c r="L5096" i="2" s="1"/>
  <c r="K5097" i="2"/>
  <c r="L5097" i="2" s="1"/>
  <c r="K5098" i="2"/>
  <c r="L5098" i="2" s="1"/>
  <c r="K5099" i="2"/>
  <c r="L5099" i="2" s="1"/>
  <c r="K5100" i="2"/>
  <c r="L5100" i="2" s="1"/>
  <c r="K5101" i="2"/>
  <c r="L5101" i="2" s="1"/>
  <c r="K5102" i="2"/>
  <c r="L5102" i="2" s="1"/>
  <c r="K5103" i="2"/>
  <c r="L5103" i="2" s="1"/>
  <c r="K5104" i="2"/>
  <c r="L5104" i="2" s="1"/>
  <c r="K5105" i="2"/>
  <c r="L5105" i="2" s="1"/>
  <c r="K5106" i="2"/>
  <c r="L5106" i="2" s="1"/>
  <c r="K5107" i="2"/>
  <c r="L5107" i="2" s="1"/>
  <c r="K5108" i="2"/>
  <c r="L5108" i="2" s="1"/>
  <c r="K5109" i="2"/>
  <c r="L5109" i="2" s="1"/>
  <c r="K5110" i="2"/>
  <c r="L5110" i="2" s="1"/>
  <c r="K5111" i="2"/>
  <c r="L5111" i="2" s="1"/>
  <c r="K5112" i="2"/>
  <c r="L5112" i="2" s="1"/>
  <c r="K5113" i="2"/>
  <c r="L5113" i="2" s="1"/>
  <c r="K5114" i="2"/>
  <c r="L5114" i="2" s="1"/>
  <c r="K5115" i="2"/>
  <c r="L5115" i="2" s="1"/>
  <c r="K5116" i="2"/>
  <c r="L5116" i="2" s="1"/>
  <c r="K5117" i="2"/>
  <c r="L5117" i="2" s="1"/>
  <c r="K5118" i="2"/>
  <c r="L5118" i="2" s="1"/>
  <c r="K5119" i="2"/>
  <c r="L5119" i="2" s="1"/>
  <c r="K5120" i="2"/>
  <c r="L5120" i="2" s="1"/>
  <c r="K5121" i="2"/>
  <c r="L5121" i="2" s="1"/>
  <c r="K5122" i="2"/>
  <c r="L5122" i="2" s="1"/>
  <c r="K5123" i="2"/>
  <c r="L5123" i="2" s="1"/>
  <c r="K5124" i="2"/>
  <c r="L5124" i="2" s="1"/>
  <c r="K5125" i="2"/>
  <c r="L5125" i="2" s="1"/>
  <c r="K5126" i="2"/>
  <c r="L5126" i="2" s="1"/>
  <c r="K5127" i="2"/>
  <c r="L5127" i="2" s="1"/>
  <c r="K5128" i="2"/>
  <c r="L5128" i="2" s="1"/>
  <c r="M5128" i="2" s="1"/>
  <c r="K5129" i="2"/>
  <c r="L5129" i="2" s="1"/>
  <c r="M5129" i="2" s="1"/>
  <c r="K5130" i="2"/>
  <c r="L5130" i="2" s="1"/>
  <c r="K5131" i="2"/>
  <c r="L5131" i="2" s="1"/>
  <c r="M5131" i="2" s="1"/>
  <c r="K5132" i="2"/>
  <c r="L5132" i="2" s="1"/>
  <c r="K5133" i="2"/>
  <c r="L5133" i="2" s="1"/>
  <c r="K5134" i="2"/>
  <c r="L5134" i="2" s="1"/>
  <c r="K5135" i="2"/>
  <c r="L5135" i="2" s="1"/>
  <c r="K5136" i="2"/>
  <c r="L5136" i="2" s="1"/>
  <c r="K5137" i="2"/>
  <c r="L5137" i="2" s="1"/>
  <c r="K5138" i="2"/>
  <c r="L5138" i="2" s="1"/>
  <c r="K5139" i="2"/>
  <c r="L5139" i="2" s="1"/>
  <c r="K5140" i="2"/>
  <c r="L5140" i="2" s="1"/>
  <c r="K5141" i="2"/>
  <c r="L5141" i="2" s="1"/>
  <c r="M5141" i="2" s="1"/>
  <c r="K5142" i="2"/>
  <c r="L5142" i="2" s="1"/>
  <c r="M5142" i="2" s="1"/>
  <c r="K5143" i="2"/>
  <c r="L5143" i="2" s="1"/>
  <c r="K5144" i="2"/>
  <c r="L5144" i="2" s="1"/>
  <c r="K5145" i="2"/>
  <c r="L5145" i="2" s="1"/>
  <c r="K5146" i="2"/>
  <c r="L5146" i="2" s="1"/>
  <c r="K5147" i="2"/>
  <c r="L5147" i="2" s="1"/>
  <c r="K5148" i="2"/>
  <c r="L5148" i="2" s="1"/>
  <c r="K5149" i="2"/>
  <c r="L5149" i="2" s="1"/>
  <c r="M5149" i="2" s="1"/>
  <c r="K5150" i="2"/>
  <c r="L5150" i="2" s="1"/>
  <c r="M5150" i="2" s="1"/>
  <c r="K5151" i="2"/>
  <c r="L5151" i="2" s="1"/>
  <c r="K5152" i="2"/>
  <c r="L5152" i="2" s="1"/>
  <c r="M5152" i="2" s="1"/>
  <c r="K5153" i="2"/>
  <c r="L5153" i="2" s="1"/>
  <c r="K5154" i="2"/>
  <c r="L5154" i="2" s="1"/>
  <c r="K5155" i="2"/>
  <c r="L5155" i="2" s="1"/>
  <c r="K5156" i="2"/>
  <c r="L5156" i="2" s="1"/>
  <c r="K5157" i="2"/>
  <c r="L5157" i="2" s="1"/>
  <c r="K5158" i="2"/>
  <c r="L5158" i="2" s="1"/>
  <c r="K5159" i="2"/>
  <c r="L5159" i="2" s="1"/>
  <c r="K5160" i="2"/>
  <c r="L5160" i="2" s="1"/>
  <c r="K5161" i="2"/>
  <c r="L5161" i="2" s="1"/>
  <c r="K5162" i="2"/>
  <c r="L5162" i="2" s="1"/>
  <c r="K5163" i="2"/>
  <c r="L5163" i="2" s="1"/>
  <c r="K5164" i="2"/>
  <c r="L5164" i="2" s="1"/>
  <c r="K5165" i="2"/>
  <c r="L5165" i="2" s="1"/>
  <c r="K5166" i="2"/>
  <c r="L5166" i="2" s="1"/>
  <c r="K5167" i="2"/>
  <c r="L5167" i="2" s="1"/>
  <c r="K5168" i="2"/>
  <c r="L5168" i="2" s="1"/>
  <c r="K5169" i="2"/>
  <c r="L5169" i="2" s="1"/>
  <c r="K5170" i="2"/>
  <c r="L5170" i="2" s="1"/>
  <c r="K5171" i="2"/>
  <c r="L5171" i="2" s="1"/>
  <c r="K5172" i="2"/>
  <c r="L5172" i="2" s="1"/>
  <c r="K5173" i="2"/>
  <c r="L5173" i="2" s="1"/>
  <c r="K5174" i="2"/>
  <c r="L5174" i="2" s="1"/>
  <c r="K5175" i="2"/>
  <c r="L5175" i="2" s="1"/>
  <c r="K5176" i="2"/>
  <c r="L5176" i="2" s="1"/>
  <c r="K5177" i="2"/>
  <c r="L5177" i="2" s="1"/>
  <c r="K5178" i="2"/>
  <c r="L5178" i="2" s="1"/>
  <c r="K5179" i="2"/>
  <c r="L5179" i="2" s="1"/>
  <c r="K5180" i="2"/>
  <c r="L5180" i="2" s="1"/>
  <c r="K5181" i="2"/>
  <c r="L5181" i="2" s="1"/>
  <c r="K5182" i="2"/>
  <c r="L5182" i="2" s="1"/>
  <c r="K5183" i="2"/>
  <c r="L5183" i="2" s="1"/>
  <c r="K5184" i="2"/>
  <c r="L5184" i="2" s="1"/>
  <c r="K5185" i="2"/>
  <c r="L5185" i="2" s="1"/>
  <c r="K5186" i="2"/>
  <c r="L5186" i="2" s="1"/>
  <c r="K5187" i="2"/>
  <c r="L5187" i="2" s="1"/>
  <c r="K5188" i="2"/>
  <c r="L5188" i="2" s="1"/>
  <c r="K5189" i="2"/>
  <c r="L5189" i="2" s="1"/>
  <c r="K5190" i="2"/>
  <c r="L5190" i="2" s="1"/>
  <c r="K5191" i="2"/>
  <c r="L5191" i="2" s="1"/>
  <c r="K5192" i="2"/>
  <c r="L5192" i="2" s="1"/>
  <c r="K5193" i="2"/>
  <c r="L5193" i="2" s="1"/>
  <c r="K5194" i="2"/>
  <c r="L5194" i="2" s="1"/>
  <c r="K5195" i="2"/>
  <c r="L5195" i="2" s="1"/>
  <c r="K5196" i="2"/>
  <c r="L5196" i="2" s="1"/>
  <c r="K5197" i="2"/>
  <c r="L5197" i="2" s="1"/>
  <c r="K5198" i="2"/>
  <c r="L5198" i="2" s="1"/>
  <c r="K5199" i="2"/>
  <c r="L5199" i="2" s="1"/>
  <c r="K5200" i="2"/>
  <c r="L5200" i="2" s="1"/>
  <c r="K5201" i="2"/>
  <c r="L5201" i="2" s="1"/>
  <c r="K5202" i="2"/>
  <c r="L5202" i="2" s="1"/>
  <c r="K5203" i="2"/>
  <c r="L5203" i="2" s="1"/>
  <c r="K5204" i="2"/>
  <c r="L5204" i="2" s="1"/>
  <c r="K5205" i="2"/>
  <c r="L5205" i="2" s="1"/>
  <c r="K5206" i="2"/>
  <c r="L5206" i="2" s="1"/>
  <c r="K5207" i="2"/>
  <c r="L5207" i="2" s="1"/>
  <c r="K5208" i="2"/>
  <c r="L5208" i="2" s="1"/>
  <c r="K5209" i="2"/>
  <c r="L5209" i="2" s="1"/>
  <c r="K5210" i="2"/>
  <c r="L5210" i="2" s="1"/>
  <c r="K5211" i="2"/>
  <c r="L5211" i="2" s="1"/>
  <c r="K5212" i="2"/>
  <c r="L5212" i="2" s="1"/>
  <c r="K5213" i="2"/>
  <c r="L5213" i="2" s="1"/>
  <c r="K5214" i="2"/>
  <c r="L5214" i="2" s="1"/>
  <c r="K5215" i="2"/>
  <c r="L5215" i="2" s="1"/>
  <c r="M5215" i="2" s="1"/>
  <c r="K5216" i="2"/>
  <c r="L5216" i="2" s="1"/>
  <c r="K5217" i="2"/>
  <c r="L5217" i="2" s="1"/>
  <c r="K5218" i="2"/>
  <c r="L5218" i="2" s="1"/>
  <c r="K5219" i="2"/>
  <c r="L5219" i="2" s="1"/>
  <c r="K5220" i="2"/>
  <c r="L5220" i="2" s="1"/>
  <c r="K5221" i="2"/>
  <c r="L5221" i="2" s="1"/>
  <c r="K5222" i="2"/>
  <c r="L5222" i="2" s="1"/>
  <c r="K5223" i="2"/>
  <c r="L5223" i="2" s="1"/>
  <c r="K5224" i="2"/>
  <c r="L5224" i="2" s="1"/>
  <c r="K5225" i="2"/>
  <c r="L5225" i="2" s="1"/>
  <c r="K5226" i="2"/>
  <c r="L5226" i="2" s="1"/>
  <c r="K5227" i="2"/>
  <c r="L5227" i="2" s="1"/>
  <c r="K5228" i="2"/>
  <c r="L5228" i="2" s="1"/>
  <c r="K5229" i="2"/>
  <c r="L5229" i="2" s="1"/>
  <c r="K5230" i="2"/>
  <c r="L5230" i="2" s="1"/>
  <c r="K5231" i="2"/>
  <c r="L5231" i="2" s="1"/>
  <c r="K5232" i="2"/>
  <c r="L5232" i="2" s="1"/>
  <c r="K5233" i="2"/>
  <c r="L5233" i="2" s="1"/>
  <c r="K5234" i="2"/>
  <c r="L5234" i="2" s="1"/>
  <c r="K5235" i="2"/>
  <c r="L5235" i="2" s="1"/>
  <c r="K5236" i="2"/>
  <c r="L5236" i="2" s="1"/>
  <c r="K5237" i="2"/>
  <c r="L5237" i="2" s="1"/>
  <c r="K5238" i="2"/>
  <c r="L5238" i="2" s="1"/>
  <c r="K5239" i="2"/>
  <c r="L5239" i="2" s="1"/>
  <c r="K5240" i="2"/>
  <c r="L5240" i="2" s="1"/>
  <c r="K5241" i="2"/>
  <c r="L5241" i="2" s="1"/>
  <c r="K5242" i="2"/>
  <c r="L5242" i="2" s="1"/>
  <c r="K5243" i="2"/>
  <c r="L5243" i="2" s="1"/>
  <c r="K5244" i="2"/>
  <c r="L5244" i="2" s="1"/>
  <c r="K5245" i="2"/>
  <c r="L5245" i="2" s="1"/>
  <c r="K5246" i="2"/>
  <c r="L5246" i="2" s="1"/>
  <c r="K5247" i="2"/>
  <c r="L5247" i="2" s="1"/>
  <c r="K5248" i="2"/>
  <c r="L5248" i="2" s="1"/>
  <c r="K5249" i="2"/>
  <c r="L5249" i="2" s="1"/>
  <c r="K5250" i="2"/>
  <c r="L5250" i="2" s="1"/>
  <c r="K5251" i="2"/>
  <c r="L5251" i="2" s="1"/>
  <c r="K5252" i="2"/>
  <c r="L5252" i="2" s="1"/>
  <c r="K5253" i="2"/>
  <c r="L5253" i="2" s="1"/>
  <c r="K5254" i="2"/>
  <c r="L5254" i="2" s="1"/>
  <c r="K5255" i="2"/>
  <c r="L5255" i="2" s="1"/>
  <c r="K5256" i="2"/>
  <c r="L5256" i="2" s="1"/>
  <c r="K5257" i="2"/>
  <c r="L5257" i="2" s="1"/>
  <c r="K5258" i="2"/>
  <c r="L5258" i="2" s="1"/>
  <c r="K5259" i="2"/>
  <c r="L5259" i="2" s="1"/>
  <c r="K5260" i="2"/>
  <c r="L5260" i="2" s="1"/>
  <c r="K5261" i="2"/>
  <c r="L5261" i="2" s="1"/>
  <c r="K5262" i="2"/>
  <c r="L5262" i="2" s="1"/>
  <c r="K5263" i="2"/>
  <c r="L5263" i="2" s="1"/>
  <c r="K5264" i="2"/>
  <c r="L5264" i="2" s="1"/>
  <c r="K5265" i="2"/>
  <c r="L5265" i="2" s="1"/>
  <c r="K5266" i="2"/>
  <c r="L5266" i="2" s="1"/>
  <c r="K5267" i="2"/>
  <c r="L5267" i="2" s="1"/>
  <c r="K5268" i="2"/>
  <c r="L5268" i="2" s="1"/>
  <c r="K5269" i="2"/>
  <c r="L5269" i="2" s="1"/>
  <c r="K5270" i="2"/>
  <c r="L5270" i="2" s="1"/>
  <c r="K5271" i="2"/>
  <c r="L5271" i="2" s="1"/>
  <c r="K5272" i="2"/>
  <c r="L5272" i="2" s="1"/>
  <c r="K5273" i="2"/>
  <c r="L5273" i="2" s="1"/>
  <c r="K5274" i="2"/>
  <c r="L5274" i="2" s="1"/>
  <c r="K5275" i="2"/>
  <c r="L5275" i="2" s="1"/>
  <c r="K5276" i="2"/>
  <c r="L5276" i="2" s="1"/>
  <c r="K5277" i="2"/>
  <c r="L5277" i="2" s="1"/>
  <c r="K5278" i="2"/>
  <c r="L5278" i="2" s="1"/>
  <c r="K5279" i="2"/>
  <c r="L5279" i="2" s="1"/>
  <c r="K5280" i="2"/>
  <c r="L5280" i="2" s="1"/>
  <c r="K5281" i="2"/>
  <c r="L5281" i="2" s="1"/>
  <c r="K5282" i="2"/>
  <c r="L5282" i="2" s="1"/>
  <c r="K5283" i="2"/>
  <c r="L5283" i="2" s="1"/>
  <c r="K5284" i="2"/>
  <c r="L5284" i="2" s="1"/>
  <c r="K5285" i="2"/>
  <c r="L5285" i="2" s="1"/>
  <c r="K5286" i="2"/>
  <c r="L5286" i="2" s="1"/>
  <c r="K5287" i="2"/>
  <c r="L5287" i="2" s="1"/>
  <c r="K5288" i="2"/>
  <c r="L5288" i="2" s="1"/>
  <c r="K5289" i="2"/>
  <c r="L5289" i="2" s="1"/>
  <c r="K5290" i="2"/>
  <c r="L5290" i="2" s="1"/>
  <c r="K5291" i="2"/>
  <c r="L5291" i="2" s="1"/>
  <c r="K5292" i="2"/>
  <c r="L5292" i="2" s="1"/>
  <c r="K5293" i="2"/>
  <c r="L5293" i="2" s="1"/>
  <c r="K5294" i="2"/>
  <c r="L5294" i="2" s="1"/>
  <c r="K5295" i="2"/>
  <c r="L5295" i="2" s="1"/>
  <c r="K5296" i="2"/>
  <c r="L5296" i="2" s="1"/>
  <c r="K5297" i="2"/>
  <c r="L5297" i="2" s="1"/>
  <c r="K5298" i="2"/>
  <c r="L5298" i="2" s="1"/>
  <c r="K5299" i="2"/>
  <c r="L5299" i="2" s="1"/>
  <c r="K5300" i="2"/>
  <c r="L5300" i="2" s="1"/>
  <c r="K5301" i="2"/>
  <c r="L5301" i="2" s="1"/>
  <c r="K5302" i="2"/>
  <c r="L5302" i="2" s="1"/>
  <c r="K5303" i="2"/>
  <c r="L5303" i="2" s="1"/>
  <c r="K5304" i="2"/>
  <c r="L5304" i="2" s="1"/>
  <c r="K5305" i="2"/>
  <c r="L5305" i="2" s="1"/>
  <c r="K5306" i="2"/>
  <c r="L5306" i="2" s="1"/>
  <c r="K5307" i="2"/>
  <c r="L5307" i="2" s="1"/>
  <c r="K5308" i="2"/>
  <c r="L5308" i="2" s="1"/>
  <c r="K5309" i="2"/>
  <c r="L5309" i="2" s="1"/>
  <c r="K5310" i="2"/>
  <c r="L5310" i="2" s="1"/>
  <c r="K5311" i="2"/>
  <c r="L5311" i="2" s="1"/>
  <c r="K5312" i="2"/>
  <c r="L5312" i="2" s="1"/>
  <c r="K5313" i="2"/>
  <c r="L5313" i="2" s="1"/>
  <c r="K5314" i="2"/>
  <c r="L5314" i="2" s="1"/>
  <c r="K5315" i="2"/>
  <c r="L5315" i="2" s="1"/>
  <c r="K5316" i="2"/>
  <c r="L5316" i="2" s="1"/>
  <c r="K5317" i="2"/>
  <c r="L5317" i="2" s="1"/>
  <c r="K5318" i="2"/>
  <c r="L5318" i="2" s="1"/>
  <c r="K5319" i="2"/>
  <c r="L5319" i="2" s="1"/>
  <c r="K5320" i="2"/>
  <c r="L5320" i="2" s="1"/>
  <c r="K5321" i="2"/>
  <c r="L5321" i="2" s="1"/>
  <c r="K5322" i="2"/>
  <c r="L5322" i="2" s="1"/>
  <c r="K5323" i="2"/>
  <c r="L5323" i="2" s="1"/>
  <c r="K5324" i="2"/>
  <c r="L5324" i="2" s="1"/>
  <c r="K5325" i="2"/>
  <c r="L5325" i="2" s="1"/>
  <c r="K5326" i="2"/>
  <c r="L5326" i="2" s="1"/>
  <c r="K5327" i="2"/>
  <c r="L5327" i="2" s="1"/>
  <c r="K5328" i="2"/>
  <c r="L5328" i="2" s="1"/>
  <c r="K5329" i="2"/>
  <c r="L5329" i="2" s="1"/>
  <c r="K5330" i="2"/>
  <c r="L5330" i="2" s="1"/>
  <c r="K5331" i="2"/>
  <c r="L5331" i="2" s="1"/>
  <c r="K5332" i="2"/>
  <c r="L5332" i="2" s="1"/>
  <c r="K5333" i="2"/>
  <c r="L5333" i="2" s="1"/>
  <c r="K5334" i="2"/>
  <c r="L5334" i="2" s="1"/>
  <c r="K5335" i="2"/>
  <c r="L5335" i="2" s="1"/>
  <c r="K5336" i="2"/>
  <c r="L5336" i="2" s="1"/>
  <c r="K5337" i="2"/>
  <c r="L5337" i="2" s="1"/>
  <c r="K5338" i="2"/>
  <c r="L5338" i="2" s="1"/>
  <c r="M5338" i="2" s="1"/>
  <c r="K5339" i="2"/>
  <c r="L5339" i="2" s="1"/>
  <c r="K5340" i="2"/>
  <c r="L5340" i="2" s="1"/>
  <c r="K5341" i="2"/>
  <c r="L5341" i="2" s="1"/>
  <c r="K5342" i="2"/>
  <c r="L5342" i="2" s="1"/>
  <c r="K5343" i="2"/>
  <c r="L5343" i="2" s="1"/>
  <c r="K5344" i="2"/>
  <c r="L5344" i="2" s="1"/>
  <c r="K5345" i="2"/>
  <c r="L5345" i="2" s="1"/>
  <c r="K5346" i="2"/>
  <c r="L5346" i="2" s="1"/>
  <c r="K5347" i="2"/>
  <c r="L5347" i="2" s="1"/>
  <c r="K5348" i="2"/>
  <c r="L5348" i="2" s="1"/>
  <c r="K5349" i="2"/>
  <c r="L5349" i="2" s="1"/>
  <c r="K5350" i="2"/>
  <c r="L5350" i="2" s="1"/>
  <c r="K5351" i="2"/>
  <c r="L5351" i="2" s="1"/>
  <c r="K5352" i="2"/>
  <c r="L5352" i="2" s="1"/>
  <c r="K5353" i="2"/>
  <c r="L5353" i="2" s="1"/>
  <c r="K5354" i="2"/>
  <c r="L5354" i="2" s="1"/>
  <c r="K5355" i="2"/>
  <c r="L5355" i="2" s="1"/>
  <c r="K5356" i="2"/>
  <c r="L5356" i="2" s="1"/>
  <c r="K5357" i="2"/>
  <c r="L5357" i="2" s="1"/>
  <c r="K5358" i="2"/>
  <c r="L5358" i="2" s="1"/>
  <c r="K5359" i="2"/>
  <c r="L5359" i="2" s="1"/>
  <c r="K5360" i="2"/>
  <c r="L5360" i="2" s="1"/>
  <c r="K5361" i="2"/>
  <c r="L5361" i="2" s="1"/>
  <c r="K5362" i="2"/>
  <c r="L5362" i="2" s="1"/>
  <c r="K5363" i="2"/>
  <c r="L5363" i="2" s="1"/>
  <c r="K5364" i="2"/>
  <c r="L5364" i="2" s="1"/>
  <c r="K5365" i="2"/>
  <c r="L5365" i="2" s="1"/>
  <c r="K5366" i="2"/>
  <c r="L5366" i="2" s="1"/>
  <c r="K5367" i="2"/>
  <c r="L5367" i="2" s="1"/>
  <c r="K5368" i="2"/>
  <c r="L5368" i="2" s="1"/>
  <c r="K5369" i="2"/>
  <c r="L5369" i="2" s="1"/>
  <c r="K5370" i="2"/>
  <c r="L5370" i="2" s="1"/>
  <c r="K5371" i="2"/>
  <c r="L5371" i="2" s="1"/>
  <c r="K5372" i="2"/>
  <c r="L5372" i="2" s="1"/>
  <c r="K5373" i="2"/>
  <c r="L5373" i="2" s="1"/>
  <c r="K5374" i="2"/>
  <c r="L5374" i="2" s="1"/>
  <c r="K5375" i="2"/>
  <c r="L5375" i="2" s="1"/>
  <c r="K5376" i="2"/>
  <c r="L5376" i="2" s="1"/>
  <c r="K5377" i="2"/>
  <c r="L5377" i="2" s="1"/>
  <c r="K5378" i="2"/>
  <c r="L5378" i="2" s="1"/>
  <c r="K5379" i="2"/>
  <c r="L5379" i="2" s="1"/>
  <c r="K5380" i="2"/>
  <c r="L5380" i="2" s="1"/>
  <c r="K5381" i="2"/>
  <c r="L5381" i="2" s="1"/>
  <c r="K5382" i="2"/>
  <c r="L5382" i="2" s="1"/>
  <c r="K5383" i="2"/>
  <c r="L5383" i="2" s="1"/>
  <c r="K5384" i="2"/>
  <c r="L5384" i="2" s="1"/>
  <c r="K5385" i="2"/>
  <c r="L5385" i="2" s="1"/>
  <c r="M5385" i="2" s="1"/>
  <c r="K5386" i="2"/>
  <c r="L5386" i="2" s="1"/>
  <c r="M5386" i="2" s="1"/>
  <c r="K5387" i="2"/>
  <c r="L5387" i="2" s="1"/>
  <c r="K5388" i="2"/>
  <c r="L5388" i="2" s="1"/>
  <c r="M5388" i="2" s="1"/>
  <c r="K5389" i="2"/>
  <c r="L5389" i="2" s="1"/>
  <c r="M5389" i="2" s="1"/>
  <c r="K5390" i="2"/>
  <c r="L5390" i="2" s="1"/>
  <c r="K5391" i="2"/>
  <c r="L5391" i="2" s="1"/>
  <c r="K5392" i="2"/>
  <c r="L5392" i="2" s="1"/>
  <c r="K5393" i="2"/>
  <c r="L5393" i="2" s="1"/>
  <c r="K5394" i="2"/>
  <c r="L5394" i="2" s="1"/>
  <c r="K5395" i="2"/>
  <c r="L5395" i="2" s="1"/>
  <c r="K5396" i="2"/>
  <c r="L5396" i="2" s="1"/>
  <c r="M5396" i="2" s="1"/>
  <c r="K5397" i="2"/>
  <c r="L5397" i="2" s="1"/>
  <c r="M5397" i="2" s="1"/>
  <c r="K5398" i="2"/>
  <c r="L5398" i="2" s="1"/>
  <c r="K5399" i="2"/>
  <c r="L5399" i="2" s="1"/>
  <c r="M5399" i="2" s="1"/>
  <c r="K5400" i="2"/>
  <c r="L5400" i="2" s="1"/>
  <c r="M5400" i="2" s="1"/>
  <c r="K5401" i="2"/>
  <c r="L5401" i="2" s="1"/>
  <c r="K5402" i="2"/>
  <c r="L5402" i="2" s="1"/>
  <c r="M5402" i="2" s="1"/>
  <c r="K5403" i="2"/>
  <c r="L5403" i="2" s="1"/>
  <c r="M5403" i="2" s="1"/>
  <c r="K5404" i="2"/>
  <c r="L5404" i="2" s="1"/>
  <c r="K5405" i="2"/>
  <c r="L5405" i="2" s="1"/>
  <c r="K5406" i="2"/>
  <c r="L5406" i="2" s="1"/>
  <c r="K5407" i="2"/>
  <c r="L5407" i="2" s="1"/>
  <c r="K5408" i="2"/>
  <c r="L5408" i="2" s="1"/>
  <c r="K5409" i="2"/>
  <c r="L5409" i="2" s="1"/>
  <c r="K5410" i="2"/>
  <c r="L5410" i="2" s="1"/>
  <c r="K5411" i="2"/>
  <c r="L5411" i="2" s="1"/>
  <c r="K5412" i="2"/>
  <c r="L5412" i="2" s="1"/>
  <c r="K5413" i="2"/>
  <c r="L5413" i="2" s="1"/>
  <c r="K5414" i="2"/>
  <c r="L5414" i="2" s="1"/>
  <c r="K5415" i="2"/>
  <c r="L5415" i="2" s="1"/>
  <c r="K5416" i="2"/>
  <c r="L5416" i="2" s="1"/>
  <c r="M5416" i="2" s="1"/>
  <c r="K5417" i="2"/>
  <c r="L5417" i="2" s="1"/>
  <c r="M5417" i="2" s="1"/>
  <c r="K5418" i="2"/>
  <c r="L5418" i="2" s="1"/>
  <c r="K5419" i="2"/>
  <c r="L5419" i="2" s="1"/>
  <c r="M5419" i="2" s="1"/>
  <c r="K5420" i="2"/>
  <c r="L5420" i="2" s="1"/>
  <c r="M5420" i="2" s="1"/>
  <c r="K5421" i="2"/>
  <c r="L5421" i="2" s="1"/>
  <c r="K5422" i="2"/>
  <c r="L5422" i="2" s="1"/>
  <c r="K5423" i="2"/>
  <c r="L5423" i="2" s="1"/>
  <c r="K5424" i="2"/>
  <c r="L5424" i="2" s="1"/>
  <c r="K5425" i="2"/>
  <c r="L5425" i="2" s="1"/>
  <c r="K5426" i="2"/>
  <c r="L5426" i="2" s="1"/>
  <c r="K5427" i="2"/>
  <c r="L5427" i="2" s="1"/>
  <c r="K5428" i="2"/>
  <c r="L5428" i="2" s="1"/>
  <c r="K5429" i="2"/>
  <c r="L5429" i="2" s="1"/>
  <c r="K5430" i="2"/>
  <c r="L5430" i="2" s="1"/>
  <c r="K5431" i="2"/>
  <c r="L5431" i="2" s="1"/>
  <c r="K5432" i="2"/>
  <c r="L5432" i="2" s="1"/>
  <c r="K5433" i="2"/>
  <c r="L5433" i="2" s="1"/>
  <c r="M5433" i="2" s="1"/>
  <c r="K5434" i="2"/>
  <c r="L5434" i="2" s="1"/>
  <c r="M5434" i="2" s="1"/>
  <c r="K5435" i="2"/>
  <c r="L5435" i="2" s="1"/>
  <c r="M5435" i="2" s="1"/>
  <c r="K5436" i="2"/>
  <c r="L5436" i="2" s="1"/>
  <c r="M5436" i="2" s="1"/>
  <c r="K5437" i="2"/>
  <c r="L5437" i="2" s="1"/>
  <c r="M5437" i="2" s="1"/>
  <c r="K5438" i="2"/>
  <c r="L5438" i="2" s="1"/>
  <c r="M5438" i="2" s="1"/>
  <c r="K5439" i="2"/>
  <c r="L5439" i="2" s="1"/>
  <c r="M5439" i="2" s="1"/>
  <c r="K5440" i="2"/>
  <c r="L5440" i="2" s="1"/>
  <c r="M5440" i="2" s="1"/>
  <c r="K5441" i="2"/>
  <c r="L5441" i="2" s="1"/>
  <c r="M5441" i="2" s="1"/>
  <c r="K5442" i="2"/>
  <c r="L5442" i="2" s="1"/>
  <c r="M5442" i="2" s="1"/>
  <c r="K5443" i="2"/>
  <c r="L5443" i="2" s="1"/>
  <c r="M5443" i="2" s="1"/>
  <c r="K5444" i="2"/>
  <c r="L5444" i="2" s="1"/>
  <c r="M5444" i="2" s="1"/>
  <c r="K5445" i="2"/>
  <c r="L5445" i="2" s="1"/>
  <c r="M5445" i="2" s="1"/>
  <c r="K5446" i="2"/>
  <c r="L5446" i="2" s="1"/>
  <c r="M5446" i="2" s="1"/>
  <c r="K5447" i="2"/>
  <c r="L5447" i="2" s="1"/>
  <c r="M5447" i="2" s="1"/>
  <c r="K5448" i="2"/>
  <c r="L5448" i="2" s="1"/>
  <c r="M5448" i="2" s="1"/>
  <c r="K5449" i="2"/>
  <c r="L5449" i="2" s="1"/>
  <c r="M5449" i="2" s="1"/>
  <c r="K5450" i="2"/>
  <c r="L5450" i="2" s="1"/>
  <c r="M5450" i="2" s="1"/>
  <c r="K5451" i="2"/>
  <c r="L5451" i="2" s="1"/>
  <c r="M5451" i="2" s="1"/>
  <c r="K5452" i="2"/>
  <c r="L5452" i="2" s="1"/>
  <c r="M5452" i="2" s="1"/>
  <c r="K5453" i="2"/>
  <c r="L5453" i="2" s="1"/>
  <c r="M5453" i="2" s="1"/>
  <c r="K5454" i="2"/>
  <c r="L5454" i="2" s="1"/>
  <c r="M5454" i="2" s="1"/>
  <c r="K5455" i="2"/>
  <c r="L5455" i="2" s="1"/>
  <c r="M5455" i="2" s="1"/>
  <c r="K5456" i="2"/>
  <c r="L5456" i="2" s="1"/>
  <c r="M5456" i="2" s="1"/>
  <c r="K5457" i="2"/>
  <c r="L5457" i="2" s="1"/>
  <c r="M5457" i="2" s="1"/>
  <c r="K5458" i="2"/>
  <c r="L5458" i="2" s="1"/>
  <c r="M5458" i="2" s="1"/>
  <c r="K5459" i="2"/>
  <c r="L5459" i="2" s="1"/>
  <c r="M5459" i="2" s="1"/>
  <c r="K5460" i="2"/>
  <c r="L5460" i="2" s="1"/>
  <c r="M5460" i="2" s="1"/>
  <c r="K5461" i="2"/>
  <c r="L5461" i="2" s="1"/>
  <c r="M5461" i="2" s="1"/>
  <c r="K5462" i="2"/>
  <c r="L5462" i="2" s="1"/>
  <c r="M5462" i="2" s="1"/>
  <c r="K5463" i="2"/>
  <c r="L5463" i="2" s="1"/>
  <c r="M5463" i="2" s="1"/>
  <c r="K5464" i="2"/>
  <c r="L5464" i="2" s="1"/>
  <c r="M5464" i="2" s="1"/>
  <c r="K5465" i="2"/>
  <c r="L5465" i="2" s="1"/>
  <c r="M5465" i="2" s="1"/>
  <c r="K5466" i="2"/>
  <c r="L5466" i="2" s="1"/>
  <c r="M5466" i="2" s="1"/>
  <c r="K5467" i="2"/>
  <c r="L5467" i="2" s="1"/>
  <c r="M5467" i="2" s="1"/>
  <c r="K5468" i="2"/>
  <c r="L5468" i="2" s="1"/>
  <c r="M5468" i="2" s="1"/>
  <c r="K5469" i="2"/>
  <c r="L5469" i="2" s="1"/>
  <c r="M5469" i="2" s="1"/>
  <c r="K5470" i="2"/>
  <c r="L5470" i="2" s="1"/>
  <c r="M5470" i="2" s="1"/>
  <c r="K5471" i="2"/>
  <c r="L5471" i="2" s="1"/>
  <c r="M5471" i="2" s="1"/>
  <c r="K5472" i="2"/>
  <c r="L5472" i="2" s="1"/>
  <c r="M5472" i="2" s="1"/>
  <c r="K5473" i="2"/>
  <c r="L5473" i="2" s="1"/>
  <c r="M5473" i="2" s="1"/>
  <c r="K5474" i="2"/>
  <c r="L5474" i="2" s="1"/>
  <c r="M5474" i="2" s="1"/>
  <c r="K5475" i="2"/>
  <c r="L5475" i="2" s="1"/>
  <c r="M5475" i="2" s="1"/>
  <c r="K5476" i="2"/>
  <c r="L5476" i="2" s="1"/>
  <c r="M5476" i="2" s="1"/>
  <c r="K5477" i="2"/>
  <c r="L5477" i="2" s="1"/>
  <c r="K5478" i="2"/>
  <c r="L5478" i="2" s="1"/>
  <c r="K5479" i="2"/>
  <c r="L5479" i="2" s="1"/>
  <c r="M5479" i="2" s="1"/>
  <c r="K5480" i="2"/>
  <c r="L5480" i="2" s="1"/>
  <c r="K5481" i="2"/>
  <c r="L5481" i="2" s="1"/>
  <c r="K5482" i="2"/>
  <c r="L5482" i="2" s="1"/>
  <c r="K5483" i="2"/>
  <c r="L5483" i="2" s="1"/>
  <c r="K5484" i="2"/>
  <c r="L5484" i="2" s="1"/>
  <c r="K5485" i="2"/>
  <c r="L5485" i="2" s="1"/>
  <c r="K5486" i="2"/>
  <c r="L5486" i="2" s="1"/>
  <c r="K5487" i="2"/>
  <c r="L5487" i="2" s="1"/>
  <c r="K5488" i="2"/>
  <c r="L5488" i="2" s="1"/>
  <c r="K5489" i="2"/>
  <c r="L5489" i="2" s="1"/>
  <c r="K5490" i="2"/>
  <c r="L5490" i="2" s="1"/>
  <c r="K5491" i="2"/>
  <c r="L5491" i="2" s="1"/>
  <c r="K5492" i="2"/>
  <c r="L5492" i="2" s="1"/>
  <c r="K5493" i="2"/>
  <c r="L5493" i="2" s="1"/>
  <c r="K5494" i="2"/>
  <c r="L5494" i="2" s="1"/>
  <c r="K5495" i="2"/>
  <c r="L5495" i="2" s="1"/>
  <c r="K5496" i="2"/>
  <c r="L5496" i="2" s="1"/>
  <c r="K5497" i="2"/>
  <c r="L5497" i="2" s="1"/>
  <c r="K5498" i="2"/>
  <c r="L5498" i="2" s="1"/>
  <c r="K5499" i="2"/>
  <c r="L5499" i="2" s="1"/>
  <c r="K5500" i="2"/>
  <c r="L5500" i="2" s="1"/>
  <c r="K5501" i="2"/>
  <c r="L5501" i="2" s="1"/>
  <c r="K5502" i="2"/>
  <c r="L5502" i="2" s="1"/>
  <c r="M5502" i="2" s="1"/>
  <c r="K5503" i="2"/>
  <c r="L5503" i="2" s="1"/>
  <c r="M5503" i="2" s="1"/>
  <c r="K5504" i="2"/>
  <c r="L5504" i="2" s="1"/>
  <c r="M5504" i="2" s="1"/>
  <c r="K5505" i="2"/>
  <c r="L5505" i="2" s="1"/>
  <c r="M5505" i="2" s="1"/>
  <c r="K5506" i="2"/>
  <c r="L5506" i="2" s="1"/>
  <c r="M5506" i="2" s="1"/>
  <c r="K5507" i="2"/>
  <c r="L5507" i="2" s="1"/>
  <c r="K5508" i="2"/>
  <c r="L5508" i="2" s="1"/>
  <c r="K5509" i="2"/>
  <c r="L5509" i="2" s="1"/>
  <c r="K5510" i="2"/>
  <c r="L5510" i="2" s="1"/>
  <c r="K5511" i="2"/>
  <c r="L5511" i="2" s="1"/>
  <c r="M5511" i="2" s="1"/>
  <c r="K5512" i="2"/>
  <c r="L5512" i="2" s="1"/>
  <c r="K5513" i="2"/>
  <c r="L5513" i="2" s="1"/>
  <c r="K5514" i="2"/>
  <c r="L5514" i="2" s="1"/>
  <c r="K5515" i="2"/>
  <c r="L5515" i="2" s="1"/>
  <c r="K5516" i="2"/>
  <c r="L5516" i="2" s="1"/>
  <c r="K5517" i="2"/>
  <c r="L5517" i="2" s="1"/>
  <c r="K5518" i="2"/>
  <c r="L5518" i="2" s="1"/>
  <c r="K5519" i="2"/>
  <c r="L5519" i="2" s="1"/>
  <c r="K5520" i="2"/>
  <c r="L5520" i="2" s="1"/>
  <c r="K5521" i="2"/>
  <c r="L5521" i="2" s="1"/>
  <c r="K5522" i="2"/>
  <c r="L5522" i="2" s="1"/>
  <c r="K5523" i="2"/>
  <c r="L5523" i="2" s="1"/>
  <c r="K5524" i="2"/>
  <c r="L5524" i="2" s="1"/>
  <c r="K5525" i="2"/>
  <c r="L5525" i="2" s="1"/>
  <c r="K5526" i="2"/>
  <c r="L5526" i="2" s="1"/>
  <c r="K5527" i="2"/>
  <c r="L5527" i="2" s="1"/>
  <c r="K5528" i="2"/>
  <c r="L5528" i="2" s="1"/>
  <c r="K5529" i="2"/>
  <c r="L5529" i="2" s="1"/>
  <c r="K5530" i="2"/>
  <c r="L5530" i="2" s="1"/>
  <c r="K5531" i="2"/>
  <c r="L5531" i="2" s="1"/>
  <c r="K5532" i="2"/>
  <c r="L5532" i="2" s="1"/>
  <c r="K5533" i="2"/>
  <c r="L5533" i="2" s="1"/>
  <c r="K5534" i="2"/>
  <c r="L5534" i="2" s="1"/>
  <c r="K5535" i="2"/>
  <c r="L5535" i="2" s="1"/>
  <c r="K5536" i="2"/>
  <c r="L5536" i="2" s="1"/>
  <c r="K5537" i="2"/>
  <c r="L5537" i="2" s="1"/>
  <c r="M5537" i="2" s="1"/>
  <c r="K5538" i="2"/>
  <c r="L5538" i="2" s="1"/>
  <c r="M5538" i="2" s="1"/>
  <c r="K5539" i="2"/>
  <c r="L5539" i="2" s="1"/>
  <c r="M5539" i="2" s="1"/>
  <c r="K5540" i="2"/>
  <c r="L5540" i="2" s="1"/>
  <c r="K5541" i="2"/>
  <c r="L5541" i="2" s="1"/>
  <c r="K5542" i="2"/>
  <c r="L5542" i="2" s="1"/>
  <c r="K5543" i="2"/>
  <c r="L5543" i="2" s="1"/>
  <c r="K5544" i="2"/>
  <c r="L5544" i="2" s="1"/>
  <c r="K5545" i="2"/>
  <c r="L5545" i="2" s="1"/>
  <c r="K5546" i="2"/>
  <c r="L5546" i="2" s="1"/>
  <c r="K5547" i="2"/>
  <c r="L5547" i="2" s="1"/>
  <c r="K5548" i="2"/>
  <c r="L5548" i="2" s="1"/>
  <c r="K5549" i="2"/>
  <c r="L5549" i="2" s="1"/>
  <c r="K5550" i="2"/>
  <c r="L5550" i="2" s="1"/>
  <c r="M5550" i="2" s="1"/>
  <c r="K5551" i="2"/>
  <c r="L5551" i="2" s="1"/>
  <c r="K5552" i="2"/>
  <c r="L5552" i="2" s="1"/>
  <c r="M5552" i="2" s="1"/>
  <c r="K5553" i="2"/>
  <c r="L5553" i="2" s="1"/>
  <c r="M5553" i="2" s="1"/>
  <c r="K5554" i="2"/>
  <c r="L5554" i="2" s="1"/>
  <c r="M5554" i="2" s="1"/>
  <c r="K5555" i="2"/>
  <c r="L5555" i="2" s="1"/>
  <c r="M5555" i="2" s="1"/>
  <c r="K5556" i="2"/>
  <c r="L5556" i="2" s="1"/>
  <c r="M5556" i="2" s="1"/>
  <c r="K5557" i="2"/>
  <c r="L5557" i="2" s="1"/>
  <c r="M5557" i="2" s="1"/>
  <c r="K5558" i="2"/>
  <c r="L5558" i="2" s="1"/>
  <c r="M5558" i="2" s="1"/>
  <c r="K5559" i="2"/>
  <c r="L5559" i="2" s="1"/>
  <c r="M5559" i="2" s="1"/>
  <c r="K5560" i="2"/>
  <c r="L5560" i="2" s="1"/>
  <c r="M5560" i="2" s="1"/>
  <c r="K5561" i="2"/>
  <c r="L5561" i="2" s="1"/>
  <c r="M5561" i="2" s="1"/>
  <c r="K5562" i="2"/>
  <c r="L5562" i="2" s="1"/>
  <c r="M5562" i="2" s="1"/>
  <c r="K5563" i="2"/>
  <c r="L5563" i="2" s="1"/>
  <c r="M5563" i="2" s="1"/>
  <c r="K5564" i="2"/>
  <c r="L5564" i="2" s="1"/>
  <c r="K5565" i="2"/>
  <c r="L5565" i="2" s="1"/>
  <c r="M5565" i="2" s="1"/>
  <c r="K5566" i="2"/>
  <c r="L5566" i="2" s="1"/>
  <c r="M5566" i="2" s="1"/>
  <c r="K5567" i="2"/>
  <c r="L5567" i="2" s="1"/>
  <c r="M5567" i="2" s="1"/>
  <c r="K5568" i="2"/>
  <c r="L5568" i="2" s="1"/>
  <c r="M5568" i="2" s="1"/>
  <c r="K5569" i="2"/>
  <c r="L5569" i="2" s="1"/>
  <c r="M5569" i="2" s="1"/>
  <c r="K5570" i="2"/>
  <c r="L5570" i="2" s="1"/>
  <c r="K5571" i="2"/>
  <c r="L5571" i="2" s="1"/>
  <c r="K5572" i="2"/>
  <c r="L5572" i="2" s="1"/>
  <c r="M5572" i="2" s="1"/>
  <c r="K5573" i="2"/>
  <c r="L5573" i="2" s="1"/>
  <c r="K5574" i="2"/>
  <c r="L5574" i="2" s="1"/>
  <c r="K5575" i="2"/>
  <c r="L5575" i="2" s="1"/>
  <c r="K5576" i="2"/>
  <c r="L5576" i="2" s="1"/>
  <c r="K5577" i="2"/>
  <c r="L5577" i="2" s="1"/>
  <c r="K5578" i="2"/>
  <c r="L5578" i="2" s="1"/>
  <c r="M5578" i="2" s="1"/>
  <c r="K5579" i="2"/>
  <c r="L5579" i="2" s="1"/>
  <c r="K5580" i="2"/>
  <c r="L5580" i="2" s="1"/>
  <c r="K5581" i="2"/>
  <c r="L5581" i="2" s="1"/>
  <c r="M5581" i="2" s="1"/>
  <c r="K5582" i="2"/>
  <c r="L5582" i="2" s="1"/>
  <c r="M5582" i="2" s="1"/>
  <c r="K5583" i="2"/>
  <c r="L5583" i="2" s="1"/>
  <c r="K5584" i="2"/>
  <c r="L5584" i="2" s="1"/>
  <c r="M5584" i="2" s="1"/>
  <c r="K5585" i="2"/>
  <c r="L5585" i="2" s="1"/>
  <c r="M5585" i="2" s="1"/>
  <c r="K5586" i="2"/>
  <c r="L5586" i="2" s="1"/>
  <c r="K5587" i="2"/>
  <c r="L5587" i="2" s="1"/>
  <c r="K5588" i="2"/>
  <c r="L5588" i="2" s="1"/>
  <c r="M5588" i="2" s="1"/>
  <c r="K5589" i="2"/>
  <c r="L5589" i="2" s="1"/>
  <c r="K5590" i="2"/>
  <c r="L5590" i="2" s="1"/>
  <c r="K5591" i="2"/>
  <c r="L5591" i="2" s="1"/>
  <c r="M5591" i="2" s="1"/>
  <c r="K5592" i="2"/>
  <c r="L5592" i="2" s="1"/>
  <c r="K5593" i="2"/>
  <c r="L5593" i="2" s="1"/>
  <c r="K5594" i="2"/>
  <c r="L5594" i="2" s="1"/>
  <c r="K5595" i="2"/>
  <c r="L5595" i="2" s="1"/>
  <c r="M5595" i="2" s="1"/>
  <c r="K5596" i="2"/>
  <c r="L5596" i="2" s="1"/>
  <c r="K5597" i="2"/>
  <c r="L5597" i="2" s="1"/>
  <c r="K5598" i="2"/>
  <c r="L5598" i="2" s="1"/>
  <c r="M5598" i="2" s="1"/>
  <c r="K5599" i="2"/>
  <c r="L5599" i="2" s="1"/>
  <c r="M5599" i="2" s="1"/>
  <c r="K5600" i="2"/>
  <c r="L5600" i="2" s="1"/>
  <c r="K5601" i="2"/>
  <c r="L5601" i="2" s="1"/>
  <c r="K5602" i="2"/>
  <c r="L5602" i="2" s="1"/>
  <c r="K5603" i="2"/>
  <c r="L5603" i="2" s="1"/>
  <c r="K5604" i="2"/>
  <c r="L5604" i="2" s="1"/>
  <c r="K5605" i="2"/>
  <c r="L5605" i="2" s="1"/>
  <c r="K5606" i="2"/>
  <c r="L5606" i="2" s="1"/>
  <c r="K5607" i="2"/>
  <c r="L5607" i="2" s="1"/>
  <c r="K5608" i="2"/>
  <c r="L5608" i="2" s="1"/>
  <c r="K5609" i="2"/>
  <c r="L5609" i="2" s="1"/>
  <c r="K5610" i="2"/>
  <c r="L5610" i="2" s="1"/>
  <c r="M5610" i="2" s="1"/>
  <c r="K5611" i="2"/>
  <c r="L5611" i="2" s="1"/>
  <c r="K5612" i="2"/>
  <c r="L5612" i="2" s="1"/>
  <c r="K5613" i="2"/>
  <c r="L5613" i="2" s="1"/>
  <c r="K5614" i="2"/>
  <c r="L5614" i="2" s="1"/>
  <c r="K5615" i="2"/>
  <c r="L5615" i="2" s="1"/>
  <c r="M5615" i="2" s="1"/>
  <c r="K5616" i="2"/>
  <c r="L5616" i="2" s="1"/>
  <c r="M5616" i="2" s="1"/>
  <c r="K5617" i="2"/>
  <c r="L5617" i="2" s="1"/>
  <c r="K5618" i="2"/>
  <c r="L5618" i="2" s="1"/>
  <c r="M5618" i="2" s="1"/>
  <c r="K5619" i="2"/>
  <c r="L5619" i="2" s="1"/>
  <c r="K5620" i="2"/>
  <c r="L5620" i="2" s="1"/>
  <c r="M5620" i="2" s="1"/>
  <c r="K5621" i="2"/>
  <c r="L5621" i="2" s="1"/>
  <c r="M5621" i="2" s="1"/>
  <c r="K5622" i="2"/>
  <c r="L5622" i="2" s="1"/>
  <c r="K5623" i="2"/>
  <c r="L5623" i="2" s="1"/>
  <c r="M5623" i="2" s="1"/>
  <c r="K5624" i="2"/>
  <c r="L5624" i="2" s="1"/>
  <c r="M5624" i="2" s="1"/>
  <c r="K5625" i="2"/>
  <c r="L5625" i="2" s="1"/>
  <c r="K5626" i="2"/>
  <c r="L5626" i="2" s="1"/>
  <c r="M5626" i="2" s="1"/>
  <c r="K5627" i="2"/>
  <c r="L5627" i="2" s="1"/>
  <c r="M5627" i="2" s="1"/>
  <c r="K5628" i="2"/>
  <c r="L5628" i="2" s="1"/>
  <c r="K5629" i="2"/>
  <c r="L5629" i="2" s="1"/>
  <c r="M5629" i="2" s="1"/>
  <c r="K5630" i="2"/>
  <c r="L5630" i="2" s="1"/>
  <c r="M5630" i="2" s="1"/>
  <c r="K5631" i="2"/>
  <c r="L5631" i="2" s="1"/>
  <c r="K5632" i="2"/>
  <c r="L5632" i="2" s="1"/>
  <c r="M5632" i="2" s="1"/>
  <c r="K5633" i="2"/>
  <c r="L5633" i="2" s="1"/>
  <c r="M5633" i="2" s="1"/>
  <c r="K5634" i="2"/>
  <c r="L5634" i="2" s="1"/>
  <c r="K5635" i="2"/>
  <c r="L5635" i="2" s="1"/>
  <c r="M5635" i="2" s="1"/>
  <c r="K5636" i="2"/>
  <c r="L5636" i="2" s="1"/>
  <c r="M5636" i="2" s="1"/>
  <c r="K5637" i="2"/>
  <c r="L5637" i="2" s="1"/>
  <c r="K5638" i="2"/>
  <c r="L5638" i="2" s="1"/>
  <c r="M5638" i="2" s="1"/>
  <c r="K5639" i="2"/>
  <c r="L5639" i="2" s="1"/>
  <c r="M5639" i="2" s="1"/>
  <c r="K5640" i="2"/>
  <c r="L5640" i="2" s="1"/>
  <c r="K5641" i="2"/>
  <c r="L5641" i="2" s="1"/>
  <c r="M5641" i="2" s="1"/>
  <c r="K5642" i="2"/>
  <c r="L5642" i="2" s="1"/>
  <c r="M5642" i="2" s="1"/>
  <c r="K5643" i="2"/>
  <c r="L5643" i="2" s="1"/>
  <c r="K5644" i="2"/>
  <c r="L5644" i="2" s="1"/>
  <c r="M5644" i="2" s="1"/>
  <c r="K5645" i="2"/>
  <c r="L5645" i="2" s="1"/>
  <c r="M5645" i="2" s="1"/>
  <c r="K5646" i="2"/>
  <c r="L5646" i="2" s="1"/>
  <c r="K5647" i="2"/>
  <c r="L5647" i="2" s="1"/>
  <c r="M5647" i="2" s="1"/>
  <c r="K5648" i="2"/>
  <c r="L5648" i="2" s="1"/>
  <c r="M5648" i="2" s="1"/>
  <c r="K5649" i="2"/>
  <c r="L5649" i="2" s="1"/>
  <c r="K5650" i="2"/>
  <c r="L5650" i="2" s="1"/>
  <c r="M5650" i="2" s="1"/>
  <c r="K5651" i="2"/>
  <c r="L5651" i="2" s="1"/>
  <c r="M5651" i="2" s="1"/>
  <c r="K5652" i="2"/>
  <c r="L5652" i="2" s="1"/>
  <c r="K5653" i="2"/>
  <c r="L5653" i="2" s="1"/>
  <c r="M5653" i="2" s="1"/>
  <c r="K5654" i="2"/>
  <c r="L5654" i="2" s="1"/>
  <c r="M5654" i="2" s="1"/>
  <c r="K5655" i="2"/>
  <c r="L5655" i="2" s="1"/>
  <c r="M5655" i="2" s="1"/>
  <c r="K5656" i="2"/>
  <c r="L5656" i="2" s="1"/>
  <c r="M5656" i="2" s="1"/>
  <c r="K5657" i="2"/>
  <c r="L5657" i="2" s="1"/>
  <c r="K5658" i="2"/>
  <c r="L5658" i="2" s="1"/>
  <c r="M5658" i="2" s="1"/>
  <c r="K5659" i="2"/>
  <c r="L5659" i="2" s="1"/>
  <c r="M5659" i="2" s="1"/>
  <c r="K5660" i="2"/>
  <c r="L5660" i="2" s="1"/>
  <c r="K5661" i="2"/>
  <c r="L5661" i="2" s="1"/>
  <c r="M5661" i="2" s="1"/>
  <c r="K5662" i="2"/>
  <c r="L5662" i="2" s="1"/>
  <c r="M5662" i="2" s="1"/>
  <c r="K5663" i="2"/>
  <c r="L5663" i="2" s="1"/>
  <c r="K5664" i="2"/>
  <c r="L5664" i="2" s="1"/>
  <c r="M5664" i="2" s="1"/>
  <c r="K5665" i="2"/>
  <c r="L5665" i="2" s="1"/>
  <c r="M5665" i="2" s="1"/>
  <c r="K5666" i="2"/>
  <c r="L5666" i="2" s="1"/>
  <c r="K5667" i="2"/>
  <c r="L5667" i="2" s="1"/>
  <c r="M5667" i="2" s="1"/>
  <c r="K5668" i="2"/>
  <c r="L5668" i="2" s="1"/>
  <c r="M5668" i="2" s="1"/>
  <c r="K5669" i="2"/>
  <c r="L5669" i="2" s="1"/>
  <c r="K5670" i="2"/>
  <c r="L5670" i="2" s="1"/>
  <c r="M5670" i="2" s="1"/>
  <c r="K5671" i="2"/>
  <c r="L5671" i="2" s="1"/>
  <c r="M5671" i="2" s="1"/>
  <c r="K5672" i="2"/>
  <c r="L5672" i="2" s="1"/>
  <c r="K5673" i="2"/>
  <c r="L5673" i="2" s="1"/>
  <c r="M5673" i="2" s="1"/>
  <c r="K5674" i="2"/>
  <c r="L5674" i="2" s="1"/>
  <c r="M5674" i="2" s="1"/>
  <c r="K5675" i="2"/>
  <c r="L5675" i="2" s="1"/>
  <c r="K5676" i="2"/>
  <c r="L5676" i="2" s="1"/>
  <c r="M5676" i="2" s="1"/>
  <c r="K5677" i="2"/>
  <c r="L5677" i="2" s="1"/>
  <c r="M5677" i="2" s="1"/>
  <c r="K5678" i="2"/>
  <c r="L5678" i="2" s="1"/>
  <c r="K5679" i="2"/>
  <c r="L5679" i="2" s="1"/>
  <c r="M5679" i="2" s="1"/>
  <c r="K5680" i="2"/>
  <c r="L5680" i="2" s="1"/>
  <c r="M5680" i="2" s="1"/>
  <c r="K5681" i="2"/>
  <c r="L5681" i="2" s="1"/>
  <c r="M5681" i="2" s="1"/>
  <c r="K5682" i="2"/>
  <c r="L5682" i="2" s="1"/>
  <c r="M5682" i="2" s="1"/>
  <c r="K5683" i="2"/>
  <c r="L5683" i="2" s="1"/>
  <c r="M5683" i="2" s="1"/>
  <c r="K5684" i="2"/>
  <c r="L5684" i="2" s="1"/>
  <c r="M5684" i="2" s="1"/>
  <c r="K5685" i="2"/>
  <c r="L5685" i="2" s="1"/>
  <c r="M5685" i="2" s="1"/>
  <c r="K5686" i="2"/>
  <c r="L5686" i="2" s="1"/>
  <c r="K5687" i="2"/>
  <c r="L5687" i="2" s="1"/>
  <c r="M5687" i="2" s="1"/>
  <c r="K5688" i="2"/>
  <c r="L5688" i="2" s="1"/>
  <c r="M5688" i="2" s="1"/>
  <c r="K5689" i="2"/>
  <c r="L5689" i="2" s="1"/>
  <c r="M5689" i="2" s="1"/>
  <c r="K5690" i="2"/>
  <c r="L5690" i="2" s="1"/>
  <c r="M5690" i="2" s="1"/>
  <c r="K5691" i="2"/>
  <c r="L5691" i="2" s="1"/>
  <c r="K5692" i="2"/>
  <c r="L5692" i="2" s="1"/>
  <c r="M5692" i="2" s="1"/>
  <c r="K5693" i="2"/>
  <c r="L5693" i="2" s="1"/>
  <c r="M5693" i="2" s="1"/>
  <c r="K5694" i="2"/>
  <c r="L5694" i="2" s="1"/>
  <c r="M5694" i="2" s="1"/>
  <c r="K5695" i="2"/>
  <c r="L5695" i="2" s="1"/>
  <c r="M5695" i="2" s="1"/>
  <c r="K5696" i="2"/>
  <c r="L5696" i="2" s="1"/>
  <c r="M5696" i="2" s="1"/>
  <c r="K5697" i="2"/>
  <c r="L5697" i="2" s="1"/>
  <c r="M5697" i="2" s="1"/>
  <c r="K5698" i="2"/>
  <c r="L5698" i="2" s="1"/>
  <c r="M5698" i="2" s="1"/>
  <c r="K5699" i="2"/>
  <c r="L5699" i="2" s="1"/>
  <c r="M5699" i="2" s="1"/>
  <c r="K5700" i="2"/>
  <c r="L5700" i="2" s="1"/>
  <c r="M5700" i="2" s="1"/>
  <c r="K5701" i="2"/>
  <c r="L5701" i="2" s="1"/>
  <c r="M5701" i="2" s="1"/>
  <c r="K5702" i="2"/>
  <c r="L5702" i="2" s="1"/>
  <c r="K5703" i="2"/>
  <c r="L5703" i="2" s="1"/>
  <c r="K5704" i="2"/>
  <c r="L5704" i="2" s="1"/>
  <c r="K5705" i="2"/>
  <c r="L5705" i="2" s="1"/>
  <c r="K5706" i="2"/>
  <c r="L5706" i="2" s="1"/>
  <c r="K5707" i="2"/>
  <c r="L5707" i="2" s="1"/>
  <c r="K5708" i="2"/>
  <c r="L5708" i="2" s="1"/>
  <c r="K5709" i="2"/>
  <c r="L5709" i="2" s="1"/>
  <c r="K5710" i="2"/>
  <c r="L5710" i="2" s="1"/>
  <c r="K5711" i="2"/>
  <c r="L5711" i="2" s="1"/>
  <c r="K5712" i="2"/>
  <c r="L5712" i="2" s="1"/>
  <c r="K5713" i="2"/>
  <c r="L5713" i="2" s="1"/>
  <c r="K5714" i="2"/>
  <c r="L5714" i="2" s="1"/>
  <c r="K5715" i="2"/>
  <c r="L5715" i="2" s="1"/>
  <c r="M5715" i="2" s="1"/>
  <c r="K5716" i="2"/>
  <c r="L5716" i="2" s="1"/>
  <c r="M5716" i="2" s="1"/>
  <c r="K5717" i="2"/>
  <c r="L5717" i="2" s="1"/>
  <c r="K5718" i="2"/>
  <c r="L5718" i="2" s="1"/>
  <c r="M5718" i="2" s="1"/>
  <c r="K5719" i="2"/>
  <c r="L5719" i="2" s="1"/>
  <c r="M5719" i="2" s="1"/>
  <c r="K5720" i="2"/>
  <c r="L5720" i="2" s="1"/>
  <c r="K5721" i="2"/>
  <c r="L5721" i="2" s="1"/>
  <c r="M5721" i="2" s="1"/>
  <c r="K5722" i="2"/>
  <c r="L5722" i="2" s="1"/>
  <c r="M5722" i="2" s="1"/>
  <c r="K5723" i="2"/>
  <c r="L5723" i="2" s="1"/>
  <c r="K5724" i="2"/>
  <c r="L5724" i="2" s="1"/>
  <c r="K5725" i="2"/>
  <c r="L5725" i="2" s="1"/>
  <c r="K5726" i="2"/>
  <c r="L5726" i="2" s="1"/>
  <c r="K5727" i="2"/>
  <c r="L5727" i="2" s="1"/>
  <c r="K5728" i="2"/>
  <c r="L5728" i="2" s="1"/>
  <c r="K5729" i="2"/>
  <c r="L5729" i="2" s="1"/>
  <c r="M5729" i="2" s="1"/>
  <c r="K5730" i="2"/>
  <c r="L5730" i="2" s="1"/>
  <c r="M5730" i="2" s="1"/>
  <c r="K5731" i="2"/>
  <c r="L5731" i="2" s="1"/>
  <c r="K5732" i="2"/>
  <c r="L5732" i="2" s="1"/>
  <c r="M5732" i="2" s="1"/>
  <c r="K5733" i="2"/>
  <c r="L5733" i="2" s="1"/>
  <c r="M5733" i="2" s="1"/>
  <c r="K5734" i="2"/>
  <c r="L5734" i="2" s="1"/>
  <c r="K5735" i="2"/>
  <c r="L5735" i="2" s="1"/>
  <c r="M5735" i="2" s="1"/>
  <c r="K5736" i="2"/>
  <c r="L5736" i="2" s="1"/>
  <c r="M5736" i="2" s="1"/>
  <c r="K5737" i="2"/>
  <c r="L5737" i="2" s="1"/>
  <c r="K5738" i="2"/>
  <c r="L5738" i="2" s="1"/>
  <c r="K5739" i="2"/>
  <c r="L5739" i="2" s="1"/>
  <c r="K5740" i="2"/>
  <c r="L5740" i="2" s="1"/>
  <c r="K5741" i="2"/>
  <c r="L5741" i="2" s="1"/>
  <c r="K5742" i="2"/>
  <c r="L5742" i="2" s="1"/>
  <c r="K5743" i="2"/>
  <c r="L5743" i="2" s="1"/>
  <c r="M5743" i="2" s="1"/>
  <c r="K5744" i="2"/>
  <c r="L5744" i="2" s="1"/>
  <c r="M5744" i="2" s="1"/>
  <c r="K5745" i="2"/>
  <c r="L5745" i="2" s="1"/>
  <c r="K5746" i="2"/>
  <c r="L5746" i="2" s="1"/>
  <c r="M5746" i="2" s="1"/>
  <c r="K5747" i="2"/>
  <c r="L5747" i="2" s="1"/>
  <c r="M5747" i="2" s="1"/>
  <c r="K5748" i="2"/>
  <c r="L5748" i="2" s="1"/>
  <c r="K5749" i="2"/>
  <c r="L5749" i="2" s="1"/>
  <c r="M5749" i="2" s="1"/>
  <c r="K5750" i="2"/>
  <c r="L5750" i="2" s="1"/>
  <c r="M5750" i="2" s="1"/>
  <c r="K5751" i="2"/>
  <c r="L5751" i="2" s="1"/>
  <c r="K5752" i="2"/>
  <c r="L5752" i="2" s="1"/>
  <c r="K5753" i="2"/>
  <c r="L5753" i="2" s="1"/>
  <c r="K5754" i="2"/>
  <c r="L5754" i="2" s="1"/>
  <c r="K5755" i="2"/>
  <c r="L5755" i="2" s="1"/>
  <c r="K5756" i="2"/>
  <c r="L5756" i="2" s="1"/>
  <c r="K5757" i="2"/>
  <c r="L5757" i="2" s="1"/>
  <c r="M5757" i="2" s="1"/>
  <c r="K5758" i="2"/>
  <c r="L5758" i="2" s="1"/>
  <c r="M5758" i="2" s="1"/>
  <c r="K5759" i="2"/>
  <c r="L5759" i="2" s="1"/>
  <c r="K5760" i="2"/>
  <c r="L5760" i="2" s="1"/>
  <c r="M5760" i="2" s="1"/>
  <c r="K5761" i="2"/>
  <c r="L5761" i="2" s="1"/>
  <c r="M5761" i="2" s="1"/>
  <c r="K5762" i="2"/>
  <c r="L5762" i="2" s="1"/>
  <c r="K5763" i="2"/>
  <c r="L5763" i="2" s="1"/>
  <c r="M5763" i="2" s="1"/>
  <c r="K5764" i="2"/>
  <c r="L5764" i="2" s="1"/>
  <c r="M5764" i="2" s="1"/>
  <c r="K5765" i="2"/>
  <c r="L5765" i="2" s="1"/>
  <c r="K5766" i="2"/>
  <c r="L5766" i="2" s="1"/>
  <c r="K5767" i="2"/>
  <c r="L5767" i="2" s="1"/>
  <c r="K5768" i="2"/>
  <c r="L5768" i="2" s="1"/>
  <c r="K5769" i="2"/>
  <c r="L5769" i="2" s="1"/>
  <c r="K5770" i="2"/>
  <c r="L5770" i="2" s="1"/>
  <c r="M5770" i="2" s="1"/>
  <c r="K5771" i="2"/>
  <c r="L5771" i="2" s="1"/>
  <c r="M5771" i="2" s="1"/>
  <c r="K5772" i="2"/>
  <c r="L5772" i="2" s="1"/>
  <c r="K5773" i="2"/>
  <c r="L5773" i="2" s="1"/>
  <c r="M5773" i="2" s="1"/>
  <c r="K5774" i="2"/>
  <c r="L5774" i="2" s="1"/>
  <c r="M5774" i="2" s="1"/>
  <c r="K5775" i="2"/>
  <c r="L5775" i="2" s="1"/>
  <c r="K5776" i="2"/>
  <c r="L5776" i="2" s="1"/>
  <c r="M5776" i="2" s="1"/>
  <c r="K5777" i="2"/>
  <c r="L5777" i="2" s="1"/>
  <c r="M5777" i="2" s="1"/>
  <c r="K5778" i="2"/>
  <c r="L5778" i="2" s="1"/>
  <c r="K5779" i="2"/>
  <c r="L5779" i="2" s="1"/>
  <c r="K5780" i="2"/>
  <c r="L5780" i="2" s="1"/>
  <c r="K5781" i="2"/>
  <c r="L5781" i="2" s="1"/>
  <c r="K5782" i="2"/>
  <c r="L5782" i="2" s="1"/>
  <c r="K5783" i="2"/>
  <c r="L5783" i="2" s="1"/>
  <c r="K5784" i="2"/>
  <c r="L5784" i="2" s="1"/>
  <c r="K5785" i="2"/>
  <c r="L5785" i="2" s="1"/>
  <c r="K5786" i="2"/>
  <c r="L5786" i="2" s="1"/>
  <c r="K5787" i="2"/>
  <c r="L5787" i="2" s="1"/>
  <c r="K5788" i="2"/>
  <c r="L5788" i="2" s="1"/>
  <c r="M5788" i="2" s="1"/>
  <c r="K5789" i="2"/>
  <c r="L5789" i="2" s="1"/>
  <c r="M5789" i="2" s="1"/>
  <c r="K5790" i="2"/>
  <c r="L5790" i="2" s="1"/>
  <c r="K5791" i="2"/>
  <c r="L5791" i="2" s="1"/>
  <c r="M5791" i="2" s="1"/>
  <c r="K5792" i="2"/>
  <c r="L5792" i="2" s="1"/>
  <c r="M5792" i="2" s="1"/>
  <c r="K5793" i="2"/>
  <c r="L5793" i="2" s="1"/>
  <c r="K5794" i="2"/>
  <c r="L5794" i="2" s="1"/>
  <c r="K5795" i="2"/>
  <c r="L5795" i="2" s="1"/>
  <c r="K5796" i="2"/>
  <c r="L5796" i="2" s="1"/>
  <c r="M5796" i="2" s="1"/>
  <c r="K5797" i="2"/>
  <c r="L5797" i="2" s="1"/>
  <c r="M5797" i="2" s="1"/>
  <c r="K5798" i="2"/>
  <c r="L5798" i="2" s="1"/>
  <c r="K5799" i="2"/>
  <c r="L5799" i="2" s="1"/>
  <c r="M5799" i="2" s="1"/>
  <c r="K5800" i="2"/>
  <c r="L5800" i="2" s="1"/>
  <c r="M5800" i="2" s="1"/>
  <c r="K5801" i="2"/>
  <c r="L5801" i="2" s="1"/>
  <c r="K5802" i="2"/>
  <c r="L5802" i="2" s="1"/>
  <c r="K5803" i="2"/>
  <c r="L5803" i="2" s="1"/>
  <c r="K5804" i="2"/>
  <c r="L5804" i="2" s="1"/>
  <c r="M5804" i="2" s="1"/>
  <c r="K5805" i="2"/>
  <c r="L5805" i="2" s="1"/>
  <c r="M5805" i="2" s="1"/>
  <c r="K5806" i="2"/>
  <c r="L5806" i="2" s="1"/>
  <c r="K5807" i="2"/>
  <c r="L5807" i="2" s="1"/>
  <c r="M5807" i="2" s="1"/>
  <c r="K5808" i="2"/>
  <c r="L5808" i="2" s="1"/>
  <c r="M5808" i="2" s="1"/>
  <c r="K5809" i="2"/>
  <c r="L5809" i="2" s="1"/>
  <c r="K5810" i="2"/>
  <c r="L5810" i="2" s="1"/>
  <c r="K5811" i="2"/>
  <c r="L5811" i="2" s="1"/>
  <c r="K5812" i="2"/>
  <c r="L5812" i="2" s="1"/>
  <c r="M5812" i="2" s="1"/>
  <c r="K5813" i="2"/>
  <c r="L5813" i="2" s="1"/>
  <c r="M5813" i="2" s="1"/>
  <c r="K5814" i="2"/>
  <c r="L5814" i="2" s="1"/>
  <c r="K5815" i="2"/>
  <c r="L5815" i="2" s="1"/>
  <c r="M5815" i="2" s="1"/>
  <c r="K5816" i="2"/>
  <c r="L5816" i="2" s="1"/>
  <c r="M5816" i="2" s="1"/>
  <c r="K5817" i="2"/>
  <c r="L5817" i="2" s="1"/>
  <c r="K5818" i="2"/>
  <c r="L5818" i="2" s="1"/>
  <c r="M5818" i="2" s="1"/>
  <c r="K5819" i="2"/>
  <c r="L5819" i="2" s="1"/>
  <c r="M5819" i="2" s="1"/>
  <c r="K5820" i="2"/>
  <c r="L5820" i="2" s="1"/>
  <c r="K5821" i="2"/>
  <c r="L5821" i="2" s="1"/>
  <c r="K5822" i="2"/>
  <c r="L5822" i="2" s="1"/>
  <c r="K5823" i="2"/>
  <c r="L5823" i="2" s="1"/>
  <c r="K5824" i="2"/>
  <c r="L5824" i="2" s="1"/>
  <c r="K5825" i="2"/>
  <c r="L5825" i="2" s="1"/>
  <c r="K5826" i="2"/>
  <c r="L5826" i="2" s="1"/>
  <c r="K5827" i="2"/>
  <c r="L5827" i="2" s="1"/>
  <c r="K5828" i="2"/>
  <c r="L5828" i="2" s="1"/>
  <c r="K5829" i="2"/>
  <c r="L5829" i="2" s="1"/>
  <c r="K5830" i="2"/>
  <c r="L5830" i="2" s="1"/>
  <c r="K5831" i="2"/>
  <c r="L5831" i="2" s="1"/>
  <c r="K5832" i="2"/>
  <c r="L5832" i="2" s="1"/>
  <c r="K5833" i="2"/>
  <c r="L5833" i="2" s="1"/>
  <c r="K5834" i="2"/>
  <c r="L5834" i="2" s="1"/>
  <c r="K5835" i="2"/>
  <c r="L5835" i="2" s="1"/>
  <c r="K5836" i="2"/>
  <c r="L5836" i="2" s="1"/>
  <c r="K5837" i="2"/>
  <c r="L5837" i="2" s="1"/>
  <c r="K5838" i="2"/>
  <c r="L5838" i="2" s="1"/>
  <c r="K5839" i="2"/>
  <c r="L5839" i="2" s="1"/>
  <c r="K5840" i="2"/>
  <c r="L5840" i="2" s="1"/>
  <c r="K5841" i="2"/>
  <c r="L5841" i="2" s="1"/>
  <c r="K5842" i="2"/>
  <c r="L5842" i="2" s="1"/>
  <c r="K5843" i="2"/>
  <c r="L5843" i="2" s="1"/>
  <c r="K5844" i="2"/>
  <c r="L5844" i="2" s="1"/>
  <c r="K5845" i="2"/>
  <c r="L5845" i="2" s="1"/>
  <c r="K5846" i="2"/>
  <c r="L5846" i="2" s="1"/>
  <c r="K5847" i="2"/>
  <c r="L5847" i="2" s="1"/>
  <c r="K5848" i="2"/>
  <c r="L5848" i="2" s="1"/>
  <c r="K5849" i="2"/>
  <c r="L5849" i="2" s="1"/>
  <c r="K5850" i="2"/>
  <c r="L5850" i="2" s="1"/>
  <c r="K5851" i="2"/>
  <c r="L5851" i="2" s="1"/>
  <c r="K5852" i="2"/>
  <c r="L5852" i="2" s="1"/>
  <c r="K5853" i="2"/>
  <c r="L5853" i="2" s="1"/>
  <c r="K5854" i="2"/>
  <c r="L5854" i="2" s="1"/>
  <c r="K5855" i="2"/>
  <c r="L5855" i="2" s="1"/>
  <c r="K5856" i="2"/>
  <c r="L5856" i="2" s="1"/>
  <c r="K5857" i="2"/>
  <c r="L5857" i="2" s="1"/>
  <c r="K5858" i="2"/>
  <c r="L5858" i="2" s="1"/>
  <c r="K5859" i="2"/>
  <c r="L5859" i="2" s="1"/>
  <c r="K5860" i="2"/>
  <c r="L5860" i="2" s="1"/>
  <c r="K5861" i="2"/>
  <c r="L5861" i="2" s="1"/>
  <c r="K5862" i="2"/>
  <c r="L5862" i="2" s="1"/>
  <c r="K5863" i="2"/>
  <c r="L5863" i="2" s="1"/>
  <c r="K5864" i="2"/>
  <c r="L5864" i="2" s="1"/>
  <c r="K5865" i="2"/>
  <c r="L5865" i="2" s="1"/>
  <c r="K5866" i="2"/>
  <c r="L5866" i="2" s="1"/>
  <c r="K5867" i="2"/>
  <c r="L5867" i="2" s="1"/>
  <c r="K5868" i="2"/>
  <c r="L5868" i="2" s="1"/>
  <c r="K5869" i="2"/>
  <c r="L5869" i="2" s="1"/>
  <c r="K5870" i="2"/>
  <c r="L5870" i="2" s="1"/>
  <c r="K5871" i="2"/>
  <c r="L5871" i="2" s="1"/>
  <c r="K5872" i="2"/>
  <c r="L5872" i="2" s="1"/>
  <c r="K5873" i="2"/>
  <c r="L5873" i="2" s="1"/>
  <c r="K5874" i="2"/>
  <c r="L5874" i="2" s="1"/>
  <c r="K5875" i="2"/>
  <c r="L5875" i="2" s="1"/>
  <c r="K5876" i="2"/>
  <c r="L5876" i="2" s="1"/>
  <c r="M5876" i="2" s="1"/>
  <c r="K5877" i="2"/>
  <c r="L5877" i="2" s="1"/>
  <c r="K5878" i="2"/>
  <c r="L5878" i="2" s="1"/>
  <c r="K5879" i="2"/>
  <c r="L5879" i="2" s="1"/>
  <c r="K5880" i="2"/>
  <c r="L5880" i="2" s="1"/>
  <c r="M5880" i="2" s="1"/>
  <c r="K5881" i="2"/>
  <c r="L5881" i="2" s="1"/>
  <c r="M5881" i="2" s="1"/>
  <c r="K5882" i="2"/>
  <c r="L5882" i="2" s="1"/>
  <c r="K5883" i="2"/>
  <c r="L5883" i="2" s="1"/>
  <c r="M5883" i="2" s="1"/>
  <c r="K5884" i="2"/>
  <c r="L5884" i="2" s="1"/>
  <c r="M5884" i="2" s="1"/>
  <c r="K5885" i="2"/>
  <c r="L5885" i="2" s="1"/>
  <c r="K5886" i="2"/>
  <c r="L5886" i="2" s="1"/>
  <c r="M5886" i="2" s="1"/>
  <c r="K5887" i="2"/>
  <c r="L5887" i="2" s="1"/>
  <c r="M5887" i="2" s="1"/>
  <c r="K5888" i="2"/>
  <c r="L5888" i="2" s="1"/>
  <c r="K5889" i="2"/>
  <c r="L5889" i="2" s="1"/>
  <c r="K5890" i="2"/>
  <c r="L5890" i="2" s="1"/>
  <c r="K5891" i="2"/>
  <c r="L5891" i="2" s="1"/>
  <c r="K5892" i="2"/>
  <c r="L5892" i="2" s="1"/>
  <c r="K5893" i="2"/>
  <c r="L5893" i="2" s="1"/>
  <c r="K5894" i="2"/>
  <c r="L5894" i="2" s="1"/>
  <c r="K5895" i="2"/>
  <c r="L5895" i="2" s="1"/>
  <c r="K5896" i="2"/>
  <c r="L5896" i="2" s="1"/>
  <c r="K5897" i="2"/>
  <c r="L5897" i="2" s="1"/>
  <c r="M5897" i="2" s="1"/>
  <c r="K5898" i="2"/>
  <c r="L5898" i="2" s="1"/>
  <c r="M5898" i="2" s="1"/>
  <c r="K5899" i="2"/>
  <c r="L5899" i="2" s="1"/>
  <c r="K5900" i="2"/>
  <c r="L5900" i="2" s="1"/>
  <c r="M5900" i="2" s="1"/>
  <c r="K5901" i="2"/>
  <c r="L5901" i="2" s="1"/>
  <c r="M5901" i="2" s="1"/>
  <c r="K5902" i="2"/>
  <c r="L5902" i="2" s="1"/>
  <c r="K5903" i="2"/>
  <c r="L5903" i="2" s="1"/>
  <c r="M5903" i="2" s="1"/>
  <c r="K5904" i="2"/>
  <c r="L5904" i="2" s="1"/>
  <c r="M5904" i="2" s="1"/>
  <c r="K5905" i="2"/>
  <c r="L5905" i="2" s="1"/>
  <c r="K5906" i="2"/>
  <c r="L5906" i="2" s="1"/>
  <c r="K5907" i="2"/>
  <c r="L5907" i="2" s="1"/>
  <c r="K5908" i="2"/>
  <c r="L5908" i="2" s="1"/>
  <c r="K5909" i="2"/>
  <c r="L5909" i="2" s="1"/>
  <c r="K5910" i="2"/>
  <c r="L5910" i="2" s="1"/>
  <c r="K5911" i="2"/>
  <c r="L5911" i="2" s="1"/>
  <c r="K5912" i="2"/>
  <c r="L5912" i="2" s="1"/>
  <c r="K5913" i="2"/>
  <c r="L5913" i="2" s="1"/>
  <c r="K5914" i="2"/>
  <c r="L5914" i="2" s="1"/>
  <c r="M5914" i="2" s="1"/>
  <c r="K5915" i="2"/>
  <c r="L5915" i="2" s="1"/>
  <c r="M5915" i="2" s="1"/>
  <c r="K5916" i="2"/>
  <c r="L5916" i="2" s="1"/>
  <c r="K5917" i="2"/>
  <c r="L5917" i="2" s="1"/>
  <c r="M5917" i="2" s="1"/>
  <c r="K5918" i="2"/>
  <c r="L5918" i="2" s="1"/>
  <c r="M5918" i="2" s="1"/>
  <c r="K5919" i="2"/>
  <c r="L5919" i="2" s="1"/>
  <c r="K5920" i="2"/>
  <c r="L5920" i="2" s="1"/>
  <c r="M5920" i="2" s="1"/>
  <c r="K5921" i="2"/>
  <c r="L5921" i="2" s="1"/>
  <c r="M5921" i="2" s="1"/>
  <c r="K5922" i="2"/>
  <c r="L5922" i="2" s="1"/>
  <c r="K5923" i="2"/>
  <c r="L5923" i="2" s="1"/>
  <c r="K5924" i="2"/>
  <c r="L5924" i="2" s="1"/>
  <c r="K5925" i="2"/>
  <c r="L5925" i="2" s="1"/>
  <c r="K5926" i="2"/>
  <c r="L5926" i="2" s="1"/>
  <c r="K5927" i="2"/>
  <c r="L5927" i="2" s="1"/>
  <c r="K5928" i="2"/>
  <c r="L5928" i="2" s="1"/>
  <c r="K5929" i="2"/>
  <c r="L5929" i="2" s="1"/>
  <c r="K5930" i="2"/>
  <c r="L5930" i="2" s="1"/>
  <c r="K5931" i="2"/>
  <c r="L5931" i="2" s="1"/>
  <c r="M5931" i="2" s="1"/>
  <c r="K5932" i="2"/>
  <c r="L5932" i="2" s="1"/>
  <c r="M5932" i="2" s="1"/>
  <c r="K5933" i="2"/>
  <c r="L5933" i="2" s="1"/>
  <c r="K5934" i="2"/>
  <c r="L5934" i="2" s="1"/>
  <c r="M5934" i="2" s="1"/>
  <c r="K5935" i="2"/>
  <c r="L5935" i="2" s="1"/>
  <c r="M5935" i="2" s="1"/>
  <c r="K5936" i="2"/>
  <c r="L5936" i="2" s="1"/>
  <c r="K5937" i="2"/>
  <c r="L5937" i="2" s="1"/>
  <c r="M5937" i="2" s="1"/>
  <c r="K5938" i="2"/>
  <c r="L5938" i="2" s="1"/>
  <c r="M5938" i="2" s="1"/>
  <c r="K5939" i="2"/>
  <c r="L5939" i="2" s="1"/>
  <c r="K5940" i="2"/>
  <c r="L5940" i="2" s="1"/>
  <c r="K5941" i="2"/>
  <c r="L5941" i="2" s="1"/>
  <c r="K5942" i="2"/>
  <c r="L5942" i="2" s="1"/>
  <c r="K5943" i="2"/>
  <c r="L5943" i="2" s="1"/>
  <c r="K5944" i="2"/>
  <c r="L5944" i="2" s="1"/>
  <c r="K5945" i="2"/>
  <c r="L5945" i="2" s="1"/>
  <c r="K5946" i="2"/>
  <c r="L5946" i="2" s="1"/>
  <c r="K5947" i="2"/>
  <c r="L5947" i="2" s="1"/>
  <c r="K5948" i="2"/>
  <c r="L5948" i="2" s="1"/>
  <c r="M5948" i="2" s="1"/>
  <c r="K5949" i="2"/>
  <c r="L5949" i="2" s="1"/>
  <c r="M5949" i="2" s="1"/>
  <c r="K5950" i="2"/>
  <c r="L5950" i="2" s="1"/>
  <c r="K5951" i="2"/>
  <c r="L5951" i="2" s="1"/>
  <c r="M5951" i="2" s="1"/>
  <c r="K5952" i="2"/>
  <c r="L5952" i="2" s="1"/>
  <c r="M5952" i="2" s="1"/>
  <c r="K5953" i="2"/>
  <c r="L5953" i="2" s="1"/>
  <c r="K5954" i="2"/>
  <c r="L5954" i="2" s="1"/>
  <c r="M5954" i="2" s="1"/>
  <c r="K5955" i="2"/>
  <c r="L5955" i="2" s="1"/>
  <c r="M5955" i="2" s="1"/>
  <c r="K5956" i="2"/>
  <c r="L5956" i="2" s="1"/>
  <c r="K5957" i="2"/>
  <c r="L5957" i="2" s="1"/>
  <c r="K5958" i="2"/>
  <c r="L5958" i="2" s="1"/>
  <c r="K5959" i="2"/>
  <c r="L5959" i="2" s="1"/>
  <c r="K5960" i="2"/>
  <c r="L5960" i="2" s="1"/>
  <c r="K5961" i="2"/>
  <c r="L5961" i="2" s="1"/>
  <c r="K5962" i="2"/>
  <c r="L5962" i="2" s="1"/>
  <c r="K5963" i="2"/>
  <c r="L5963" i="2" s="1"/>
  <c r="K5964" i="2"/>
  <c r="L5964" i="2" s="1"/>
  <c r="M5964" i="2" s="1"/>
  <c r="K5965" i="2"/>
  <c r="L5965" i="2" s="1"/>
  <c r="M5965" i="2" s="1"/>
  <c r="K5966" i="2"/>
  <c r="L5966" i="2" s="1"/>
  <c r="K5967" i="2"/>
  <c r="L5967" i="2" s="1"/>
  <c r="M5967" i="2" s="1"/>
  <c r="K5968" i="2"/>
  <c r="L5968" i="2" s="1"/>
  <c r="M5968" i="2" s="1"/>
  <c r="K5969" i="2"/>
  <c r="L5969" i="2" s="1"/>
  <c r="K5970" i="2"/>
  <c r="L5970" i="2" s="1"/>
  <c r="K5971" i="2"/>
  <c r="L5971" i="2" s="1"/>
  <c r="K5972" i="2"/>
  <c r="L5972" i="2" s="1"/>
  <c r="K5973" i="2"/>
  <c r="L5973" i="2" s="1"/>
  <c r="K5974" i="2"/>
  <c r="L5974" i="2" s="1"/>
  <c r="M5974" i="2" s="1"/>
  <c r="K5975" i="2"/>
  <c r="L5975" i="2" s="1"/>
  <c r="K5976" i="2"/>
  <c r="L5976" i="2" s="1"/>
  <c r="K5977" i="2"/>
  <c r="L5977" i="2" s="1"/>
  <c r="M5977" i="2" s="1"/>
  <c r="K5978" i="2"/>
  <c r="L5978" i="2" s="1"/>
  <c r="K5979" i="2"/>
  <c r="L5979" i="2" s="1"/>
  <c r="K5980" i="2"/>
  <c r="L5980" i="2" s="1"/>
  <c r="K5981" i="2"/>
  <c r="L5981" i="2" s="1"/>
  <c r="K5982" i="2"/>
  <c r="L5982" i="2" s="1"/>
  <c r="K5983" i="2"/>
  <c r="L5983" i="2" s="1"/>
  <c r="M5983" i="2" s="1"/>
  <c r="K5984" i="2"/>
  <c r="L5984" i="2" s="1"/>
  <c r="M5984" i="2" s="1"/>
  <c r="K5985" i="2"/>
  <c r="L5985" i="2" s="1"/>
  <c r="K5986" i="2"/>
  <c r="L5986" i="2" s="1"/>
  <c r="M5986" i="2" s="1"/>
  <c r="K5987" i="2"/>
  <c r="L5987" i="2" s="1"/>
  <c r="M5987" i="2" s="1"/>
  <c r="K5988" i="2"/>
  <c r="L5988" i="2" s="1"/>
  <c r="K5989" i="2"/>
  <c r="L5989" i="2" s="1"/>
  <c r="M5989" i="2" s="1"/>
  <c r="K5990" i="2"/>
  <c r="L5990" i="2" s="1"/>
  <c r="M5990" i="2" s="1"/>
  <c r="K5991" i="2"/>
  <c r="L5991" i="2" s="1"/>
  <c r="K5992" i="2"/>
  <c r="L5992" i="2" s="1"/>
  <c r="M5992" i="2" s="1"/>
  <c r="K5993" i="2"/>
  <c r="L5993" i="2" s="1"/>
  <c r="M5993" i="2" s="1"/>
  <c r="K5994" i="2"/>
  <c r="L5994" i="2" s="1"/>
  <c r="K5995" i="2"/>
  <c r="L5995" i="2" s="1"/>
  <c r="K5996" i="2"/>
  <c r="L5996" i="2" s="1"/>
  <c r="K5997" i="2"/>
  <c r="L5997" i="2" s="1"/>
  <c r="M5997" i="2" s="1"/>
  <c r="K5998" i="2"/>
  <c r="L5998" i="2" s="1"/>
  <c r="K5999" i="2"/>
  <c r="L5999" i="2" s="1"/>
  <c r="K6000" i="2"/>
  <c r="L6000" i="2" s="1"/>
  <c r="K6001" i="2"/>
  <c r="L6001" i="2" s="1"/>
  <c r="K6002" i="2"/>
  <c r="L6002" i="2" s="1"/>
  <c r="K6003" i="2"/>
  <c r="L6003" i="2" s="1"/>
  <c r="K6004" i="2"/>
  <c r="L6004" i="2" s="1"/>
  <c r="K6005" i="2"/>
  <c r="L6005" i="2" s="1"/>
  <c r="K6006" i="2"/>
  <c r="L6006" i="2" s="1"/>
  <c r="K6007" i="2"/>
  <c r="L6007" i="2" s="1"/>
  <c r="K6008" i="2"/>
  <c r="L6008" i="2" s="1"/>
  <c r="K6009" i="2"/>
  <c r="L6009" i="2" s="1"/>
  <c r="K6010" i="2"/>
  <c r="L6010" i="2" s="1"/>
  <c r="K6011" i="2"/>
  <c r="L6011" i="2" s="1"/>
  <c r="K6012" i="2"/>
  <c r="L6012" i="2" s="1"/>
  <c r="K6013" i="2"/>
  <c r="L6013" i="2" s="1"/>
  <c r="K6014" i="2"/>
  <c r="L6014" i="2" s="1"/>
  <c r="K6015" i="2"/>
  <c r="L6015" i="2" s="1"/>
  <c r="K6016" i="2"/>
  <c r="L6016" i="2" s="1"/>
  <c r="K6017" i="2"/>
  <c r="L6017" i="2" s="1"/>
  <c r="K6018" i="2"/>
  <c r="L6018" i="2" s="1"/>
  <c r="K6019" i="2"/>
  <c r="L6019" i="2" s="1"/>
  <c r="K6020" i="2"/>
  <c r="L6020" i="2" s="1"/>
  <c r="K6021" i="2"/>
  <c r="L6021" i="2" s="1"/>
  <c r="K6022" i="2"/>
  <c r="L6022" i="2" s="1"/>
  <c r="K6023" i="2"/>
  <c r="L6023" i="2" s="1"/>
  <c r="K6024" i="2"/>
  <c r="L6024" i="2" s="1"/>
  <c r="K6025" i="2"/>
  <c r="L6025" i="2" s="1"/>
  <c r="K6026" i="2"/>
  <c r="L6026" i="2" s="1"/>
  <c r="K6027" i="2"/>
  <c r="L6027" i="2" s="1"/>
  <c r="K6028" i="2"/>
  <c r="L6028" i="2" s="1"/>
  <c r="K6029" i="2"/>
  <c r="L6029" i="2" s="1"/>
  <c r="K6030" i="2"/>
  <c r="L6030" i="2" s="1"/>
  <c r="K6031" i="2"/>
  <c r="L6031" i="2" s="1"/>
  <c r="K6032" i="2"/>
  <c r="L6032" i="2" s="1"/>
  <c r="K6033" i="2"/>
  <c r="L6033" i="2" s="1"/>
  <c r="M6033" i="2" s="1"/>
  <c r="K6034" i="2"/>
  <c r="L6034" i="2" s="1"/>
  <c r="M6034" i="2" s="1"/>
  <c r="K6035" i="2"/>
  <c r="L6035" i="2" s="1"/>
  <c r="K6036" i="2"/>
  <c r="L6036" i="2" s="1"/>
  <c r="M6036" i="2" s="1"/>
  <c r="K6037" i="2"/>
  <c r="L6037" i="2" s="1"/>
  <c r="M6037" i="2" s="1"/>
  <c r="K6038" i="2"/>
  <c r="L6038" i="2" s="1"/>
  <c r="K6039" i="2"/>
  <c r="L6039" i="2" s="1"/>
  <c r="M6039" i="2" s="1"/>
  <c r="K6040" i="2"/>
  <c r="L6040" i="2" s="1"/>
  <c r="M6040" i="2" s="1"/>
  <c r="K6041" i="2"/>
  <c r="L6041" i="2" s="1"/>
  <c r="K6042" i="2"/>
  <c r="L6042" i="2" s="1"/>
  <c r="M6042" i="2" s="1"/>
  <c r="K6043" i="2"/>
  <c r="L6043" i="2" s="1"/>
  <c r="M6043" i="2" s="1"/>
  <c r="K6044" i="2"/>
  <c r="L6044" i="2" s="1"/>
  <c r="K6045" i="2"/>
  <c r="L6045" i="2" s="1"/>
  <c r="K6046" i="2"/>
  <c r="L6046" i="2" s="1"/>
  <c r="K6047" i="2"/>
  <c r="L6047" i="2" s="1"/>
  <c r="K6048" i="2"/>
  <c r="L6048" i="2" s="1"/>
  <c r="K6049" i="2"/>
  <c r="L6049" i="2" s="1"/>
  <c r="K6050" i="2"/>
  <c r="L6050" i="2" s="1"/>
  <c r="K6051" i="2"/>
  <c r="L6051" i="2" s="1"/>
  <c r="K6052" i="2"/>
  <c r="L6052" i="2" s="1"/>
  <c r="M6052" i="2" s="1"/>
  <c r="K6053" i="2"/>
  <c r="L6053" i="2" s="1"/>
  <c r="M6053" i="2" s="1"/>
  <c r="K6054" i="2"/>
  <c r="L6054" i="2" s="1"/>
  <c r="K6055" i="2"/>
  <c r="L6055" i="2" s="1"/>
  <c r="M6055" i="2" s="1"/>
  <c r="K6056" i="2"/>
  <c r="L6056" i="2" s="1"/>
  <c r="M6056" i="2" s="1"/>
  <c r="K6057" i="2"/>
  <c r="L6057" i="2" s="1"/>
  <c r="K6058" i="2"/>
  <c r="L6058" i="2" s="1"/>
  <c r="M6058" i="2" s="1"/>
  <c r="K6059" i="2"/>
  <c r="L6059" i="2" s="1"/>
  <c r="M6059" i="2" s="1"/>
  <c r="K6060" i="2"/>
  <c r="L6060" i="2" s="1"/>
  <c r="K6061" i="2"/>
  <c r="L6061" i="2" s="1"/>
  <c r="M6061" i="2" s="1"/>
  <c r="K6062" i="2"/>
  <c r="L6062" i="2" s="1"/>
  <c r="M6062" i="2" s="1"/>
  <c r="K6063" i="2"/>
  <c r="L6063" i="2" s="1"/>
  <c r="K6064" i="2"/>
  <c r="L6064" i="2" s="1"/>
  <c r="K6065" i="2"/>
  <c r="L6065" i="2" s="1"/>
  <c r="K6066" i="2"/>
  <c r="L6066" i="2" s="1"/>
  <c r="K6067" i="2"/>
  <c r="L6067" i="2" s="1"/>
  <c r="K6068" i="2"/>
  <c r="L6068" i="2" s="1"/>
  <c r="K6069" i="2"/>
  <c r="L6069" i="2" s="1"/>
  <c r="K6070" i="2"/>
  <c r="L6070" i="2" s="1"/>
  <c r="K6071" i="2"/>
  <c r="L6071" i="2" s="1"/>
  <c r="K6072" i="2"/>
  <c r="L6072" i="2" s="1"/>
  <c r="K6073" i="2"/>
  <c r="L6073" i="2" s="1"/>
  <c r="K6074" i="2"/>
  <c r="L6074" i="2" s="1"/>
  <c r="K6075" i="2"/>
  <c r="L6075" i="2" s="1"/>
  <c r="K6076" i="2"/>
  <c r="L6076" i="2" s="1"/>
  <c r="K6077" i="2"/>
  <c r="L6077" i="2" s="1"/>
  <c r="K6078" i="2"/>
  <c r="L6078" i="2" s="1"/>
  <c r="K6079" i="2"/>
  <c r="L6079" i="2" s="1"/>
  <c r="K6080" i="2"/>
  <c r="L6080" i="2" s="1"/>
  <c r="K6081" i="2"/>
  <c r="L6081" i="2" s="1"/>
  <c r="K6082" i="2"/>
  <c r="L6082" i="2" s="1"/>
  <c r="K6083" i="2"/>
  <c r="L6083" i="2" s="1"/>
  <c r="K6084" i="2"/>
  <c r="L6084" i="2" s="1"/>
  <c r="K6085" i="2"/>
  <c r="L6085" i="2" s="1"/>
  <c r="K6086" i="2"/>
  <c r="L6086" i="2" s="1"/>
  <c r="K6087" i="2"/>
  <c r="L6087" i="2" s="1"/>
  <c r="K6088" i="2"/>
  <c r="L6088" i="2" s="1"/>
  <c r="K6089" i="2"/>
  <c r="L6089" i="2" s="1"/>
  <c r="K6090" i="2"/>
  <c r="L6090" i="2" s="1"/>
  <c r="K6091" i="2"/>
  <c r="L6091" i="2" s="1"/>
  <c r="K6092" i="2"/>
  <c r="L6092" i="2" s="1"/>
  <c r="K6093" i="2"/>
  <c r="L6093" i="2" s="1"/>
  <c r="K6094" i="2"/>
  <c r="L6094" i="2" s="1"/>
  <c r="K6095" i="2"/>
  <c r="L6095" i="2" s="1"/>
  <c r="K6096" i="2"/>
  <c r="L6096" i="2" s="1"/>
  <c r="K6097" i="2"/>
  <c r="L6097" i="2" s="1"/>
  <c r="K6098" i="2"/>
  <c r="L6098" i="2" s="1"/>
  <c r="K6099" i="2"/>
  <c r="L6099" i="2" s="1"/>
  <c r="K6100" i="2"/>
  <c r="L6100" i="2" s="1"/>
  <c r="K6101" i="2"/>
  <c r="L6101" i="2" s="1"/>
  <c r="K6102" i="2"/>
  <c r="L6102" i="2" s="1"/>
  <c r="K6103" i="2"/>
  <c r="L6103" i="2" s="1"/>
  <c r="K6104" i="2"/>
  <c r="L6104" i="2" s="1"/>
  <c r="K6105" i="2"/>
  <c r="L6105" i="2" s="1"/>
  <c r="K6106" i="2"/>
  <c r="L6106" i="2" s="1"/>
  <c r="K6107" i="2"/>
  <c r="L6107" i="2" s="1"/>
  <c r="K6108" i="2"/>
  <c r="L6108" i="2" s="1"/>
  <c r="K6109" i="2"/>
  <c r="L6109" i="2" s="1"/>
  <c r="K6110" i="2"/>
  <c r="L6110" i="2" s="1"/>
  <c r="K6111" i="2"/>
  <c r="L6111" i="2" s="1"/>
  <c r="K6112" i="2"/>
  <c r="L6112" i="2" s="1"/>
  <c r="K6113" i="2"/>
  <c r="L6113" i="2" s="1"/>
  <c r="K6114" i="2"/>
  <c r="L6114" i="2" s="1"/>
  <c r="K6115" i="2"/>
  <c r="L6115" i="2" s="1"/>
  <c r="K6116" i="2"/>
  <c r="L6116" i="2" s="1"/>
  <c r="K6117" i="2"/>
  <c r="L6117" i="2" s="1"/>
  <c r="K6118" i="2"/>
  <c r="L6118" i="2" s="1"/>
  <c r="K6119" i="2"/>
  <c r="L6119" i="2" s="1"/>
  <c r="K6120" i="2"/>
  <c r="L6120" i="2" s="1"/>
  <c r="K6121" i="2"/>
  <c r="L6121" i="2" s="1"/>
  <c r="K6122" i="2"/>
  <c r="L6122" i="2" s="1"/>
  <c r="K6123" i="2"/>
  <c r="L6123" i="2" s="1"/>
  <c r="K6124" i="2"/>
  <c r="L6124" i="2" s="1"/>
  <c r="K6125" i="2"/>
  <c r="L6125" i="2" s="1"/>
  <c r="K6126" i="2"/>
  <c r="L6126" i="2" s="1"/>
  <c r="K6127" i="2"/>
  <c r="L6127" i="2" s="1"/>
  <c r="K6128" i="2"/>
  <c r="L6128" i="2" s="1"/>
  <c r="K6129" i="2"/>
  <c r="L6129" i="2" s="1"/>
  <c r="K6130" i="2"/>
  <c r="L6130" i="2" s="1"/>
  <c r="K6131" i="2"/>
  <c r="L6131" i="2" s="1"/>
  <c r="K6132" i="2"/>
  <c r="L6132" i="2" s="1"/>
  <c r="K6133" i="2"/>
  <c r="L6133" i="2" s="1"/>
  <c r="K6134" i="2"/>
  <c r="L6134" i="2" s="1"/>
  <c r="K6135" i="2"/>
  <c r="L6135" i="2" s="1"/>
  <c r="K6136" i="2"/>
  <c r="L6136" i="2" s="1"/>
  <c r="K6137" i="2"/>
  <c r="L6137" i="2" s="1"/>
  <c r="K6138" i="2"/>
  <c r="L6138" i="2" s="1"/>
  <c r="K6139" i="2"/>
  <c r="L6139" i="2" s="1"/>
  <c r="K6140" i="2"/>
  <c r="L6140" i="2" s="1"/>
  <c r="K6141" i="2"/>
  <c r="L6141" i="2" s="1"/>
  <c r="K6142" i="2"/>
  <c r="L6142" i="2" s="1"/>
  <c r="K6143" i="2"/>
  <c r="L6143" i="2" s="1"/>
  <c r="K6144" i="2"/>
  <c r="L6144" i="2" s="1"/>
  <c r="K6145" i="2"/>
  <c r="L6145" i="2" s="1"/>
  <c r="K6146" i="2"/>
  <c r="L6146" i="2" s="1"/>
  <c r="K6147" i="2"/>
  <c r="L6147" i="2" s="1"/>
  <c r="K6148" i="2"/>
  <c r="L6148" i="2" s="1"/>
  <c r="K6149" i="2"/>
  <c r="L6149" i="2" s="1"/>
  <c r="K6150" i="2"/>
  <c r="L6150" i="2" s="1"/>
  <c r="K6151" i="2"/>
  <c r="L6151" i="2" s="1"/>
  <c r="K6152" i="2"/>
  <c r="L6152" i="2" s="1"/>
  <c r="K6153" i="2"/>
  <c r="L6153" i="2" s="1"/>
  <c r="K6154" i="2"/>
  <c r="L6154" i="2" s="1"/>
  <c r="K6155" i="2"/>
  <c r="L6155" i="2" s="1"/>
  <c r="K6156" i="2"/>
  <c r="L6156" i="2" s="1"/>
  <c r="K6157" i="2"/>
  <c r="L6157" i="2" s="1"/>
  <c r="K6158" i="2"/>
  <c r="L6158" i="2" s="1"/>
  <c r="K4" i="2"/>
  <c r="L4" i="2" s="1"/>
  <c r="M4" i="2" s="1"/>
  <c r="M5" i="2" l="1"/>
  <c r="G5" i="2"/>
  <c r="H5" i="2" s="1"/>
  <c r="G6" i="2"/>
  <c r="H6" i="2" s="1"/>
  <c r="G7" i="2"/>
  <c r="H7" i="2" s="1"/>
  <c r="G8" i="2"/>
  <c r="H8" i="2" s="1"/>
  <c r="G9" i="2"/>
  <c r="H9" i="2" s="1"/>
  <c r="G10" i="2"/>
  <c r="H10" i="2" s="1"/>
  <c r="G11" i="2"/>
  <c r="H11" i="2" s="1"/>
  <c r="G12" i="2"/>
  <c r="H12" i="2" s="1"/>
  <c r="G13" i="2"/>
  <c r="H13" i="2" s="1"/>
  <c r="G14" i="2"/>
  <c r="H14" i="2" s="1"/>
  <c r="G15" i="2"/>
  <c r="H15" i="2" s="1"/>
  <c r="G16" i="2"/>
  <c r="H16" i="2" s="1"/>
  <c r="G17" i="2"/>
  <c r="H17" i="2" s="1"/>
  <c r="G18" i="2"/>
  <c r="H18" i="2" s="1"/>
  <c r="G19" i="2"/>
  <c r="H19" i="2" s="1"/>
  <c r="G20" i="2"/>
  <c r="H20" i="2" s="1"/>
  <c r="G21" i="2"/>
  <c r="H21" i="2" s="1"/>
  <c r="G22" i="2"/>
  <c r="H22" i="2" s="1"/>
  <c r="G23" i="2"/>
  <c r="H23" i="2" s="1"/>
  <c r="G24" i="2"/>
  <c r="H24" i="2" s="1"/>
  <c r="G25" i="2"/>
  <c r="H25" i="2" s="1"/>
  <c r="G26" i="2"/>
  <c r="H26" i="2" s="1"/>
  <c r="G27" i="2"/>
  <c r="H27" i="2" s="1"/>
  <c r="G28" i="2"/>
  <c r="H28" i="2" s="1"/>
  <c r="G29" i="2"/>
  <c r="H29" i="2" s="1"/>
  <c r="G30" i="2"/>
  <c r="H30" i="2" s="1"/>
  <c r="G31" i="2"/>
  <c r="H31" i="2" s="1"/>
  <c r="G32" i="2"/>
  <c r="H32" i="2" s="1"/>
  <c r="G33" i="2"/>
  <c r="H33" i="2" s="1"/>
  <c r="G34" i="2"/>
  <c r="H34" i="2" s="1"/>
  <c r="G35" i="2"/>
  <c r="H35" i="2" s="1"/>
  <c r="G36" i="2"/>
  <c r="H36" i="2" s="1"/>
  <c r="G37" i="2"/>
  <c r="H37" i="2" s="1"/>
  <c r="G38" i="2"/>
  <c r="H38" i="2" s="1"/>
  <c r="G39" i="2"/>
  <c r="H39" i="2" s="1"/>
  <c r="G40" i="2"/>
  <c r="H40" i="2" s="1"/>
  <c r="G41" i="2"/>
  <c r="H41" i="2" s="1"/>
  <c r="G42" i="2"/>
  <c r="H42" i="2" s="1"/>
  <c r="G43" i="2"/>
  <c r="H43" i="2" s="1"/>
  <c r="G44" i="2"/>
  <c r="H44" i="2" s="1"/>
  <c r="G45" i="2"/>
  <c r="H45" i="2" s="1"/>
  <c r="G46" i="2"/>
  <c r="H46" i="2" s="1"/>
  <c r="G47" i="2"/>
  <c r="H47" i="2" s="1"/>
  <c r="G48" i="2"/>
  <c r="H48" i="2" s="1"/>
  <c r="G49" i="2"/>
  <c r="H49" i="2" s="1"/>
  <c r="G50" i="2"/>
  <c r="H50" i="2" s="1"/>
  <c r="G51" i="2"/>
  <c r="H51" i="2" s="1"/>
  <c r="G52" i="2"/>
  <c r="H52" i="2" s="1"/>
  <c r="G53" i="2"/>
  <c r="H53" i="2" s="1"/>
  <c r="G54" i="2"/>
  <c r="H54" i="2" s="1"/>
  <c r="G55" i="2"/>
  <c r="H55" i="2" s="1"/>
  <c r="G56" i="2"/>
  <c r="H56" i="2" s="1"/>
  <c r="G57" i="2"/>
  <c r="H57" i="2" s="1"/>
  <c r="G58" i="2"/>
  <c r="H58" i="2" s="1"/>
  <c r="G59" i="2"/>
  <c r="H59" i="2" s="1"/>
  <c r="G60" i="2"/>
  <c r="H60" i="2" s="1"/>
  <c r="G61" i="2"/>
  <c r="H61" i="2" s="1"/>
  <c r="G62" i="2"/>
  <c r="H62" i="2" s="1"/>
  <c r="G63" i="2"/>
  <c r="H63" i="2" s="1"/>
  <c r="G64" i="2"/>
  <c r="G65" i="2"/>
  <c r="H65" i="2" s="1"/>
  <c r="G66" i="2"/>
  <c r="H66" i="2" s="1"/>
  <c r="G67" i="2"/>
  <c r="H67" i="2" s="1"/>
  <c r="G68" i="2"/>
  <c r="H68" i="2" s="1"/>
  <c r="G69" i="2"/>
  <c r="H69" i="2" s="1"/>
  <c r="G70" i="2"/>
  <c r="H70" i="2" s="1"/>
  <c r="G71" i="2"/>
  <c r="H71" i="2" s="1"/>
  <c r="G72" i="2"/>
  <c r="H72" i="2" s="1"/>
  <c r="G73" i="2"/>
  <c r="H73" i="2" s="1"/>
  <c r="G74" i="2"/>
  <c r="H74" i="2" s="1"/>
  <c r="G75" i="2"/>
  <c r="H75" i="2" s="1"/>
  <c r="G76" i="2"/>
  <c r="H76" i="2" s="1"/>
  <c r="G77" i="2"/>
  <c r="H77" i="2" s="1"/>
  <c r="G78" i="2"/>
  <c r="H78" i="2" s="1"/>
  <c r="G79" i="2"/>
  <c r="H79" i="2" s="1"/>
  <c r="G80" i="2"/>
  <c r="H80" i="2" s="1"/>
  <c r="G81" i="2"/>
  <c r="H81" i="2" s="1"/>
  <c r="G82" i="2"/>
  <c r="H82" i="2" s="1"/>
  <c r="G83" i="2"/>
  <c r="G84" i="2"/>
  <c r="H84" i="2" s="1"/>
  <c r="G85" i="2"/>
  <c r="H85" i="2" s="1"/>
  <c r="G86" i="2"/>
  <c r="H86" i="2" s="1"/>
  <c r="G87" i="2"/>
  <c r="H87" i="2" s="1"/>
  <c r="G88" i="2"/>
  <c r="H88" i="2" s="1"/>
  <c r="G89" i="2"/>
  <c r="H89" i="2" s="1"/>
  <c r="G90" i="2"/>
  <c r="H90" i="2" s="1"/>
  <c r="G91" i="2"/>
  <c r="H91" i="2" s="1"/>
  <c r="G92" i="2"/>
  <c r="H92" i="2" s="1"/>
  <c r="G93" i="2"/>
  <c r="G94" i="2"/>
  <c r="H94" i="2" s="1"/>
  <c r="G95" i="2"/>
  <c r="H95" i="2" s="1"/>
  <c r="G96" i="2"/>
  <c r="H96" i="2" s="1"/>
  <c r="G97" i="2"/>
  <c r="H97" i="2" s="1"/>
  <c r="G98" i="2"/>
  <c r="H98" i="2" s="1"/>
  <c r="G99" i="2"/>
  <c r="H99" i="2" s="1"/>
  <c r="G100" i="2"/>
  <c r="H100" i="2" s="1"/>
  <c r="G101" i="2"/>
  <c r="H101" i="2" s="1"/>
  <c r="G102" i="2"/>
  <c r="H102" i="2" s="1"/>
  <c r="G103" i="2"/>
  <c r="G104" i="2"/>
  <c r="H104" i="2" s="1"/>
  <c r="G105" i="2"/>
  <c r="H105" i="2" s="1"/>
  <c r="G106" i="2"/>
  <c r="H106" i="2" s="1"/>
  <c r="G107" i="2"/>
  <c r="H107" i="2" s="1"/>
  <c r="G108" i="2"/>
  <c r="H108" i="2" s="1"/>
  <c r="G109" i="2"/>
  <c r="H109" i="2" s="1"/>
  <c r="G110" i="2"/>
  <c r="G111" i="2"/>
  <c r="H111" i="2" s="1"/>
  <c r="G112" i="2"/>
  <c r="H112" i="2" s="1"/>
  <c r="G113" i="2"/>
  <c r="H113" i="2" s="1"/>
  <c r="G114" i="2"/>
  <c r="H114" i="2" s="1"/>
  <c r="G115" i="2"/>
  <c r="H115" i="2" s="1"/>
  <c r="G116" i="2"/>
  <c r="H116" i="2" s="1"/>
  <c r="G117" i="2"/>
  <c r="H117" i="2" s="1"/>
  <c r="G118" i="2"/>
  <c r="G119" i="2"/>
  <c r="H119" i="2" s="1"/>
  <c r="G120" i="2"/>
  <c r="H120" i="2" s="1"/>
  <c r="G121" i="2"/>
  <c r="H121" i="2" s="1"/>
  <c r="G122" i="2"/>
  <c r="H122" i="2" s="1"/>
  <c r="G123" i="2"/>
  <c r="H123" i="2" s="1"/>
  <c r="G124" i="2"/>
  <c r="H124" i="2" s="1"/>
  <c r="G125" i="2"/>
  <c r="H125" i="2" s="1"/>
  <c r="G126" i="2"/>
  <c r="G127" i="2"/>
  <c r="H127" i="2" s="1"/>
  <c r="G128" i="2"/>
  <c r="H128" i="2" s="1"/>
  <c r="G129" i="2"/>
  <c r="H129" i="2" s="1"/>
  <c r="G130" i="2"/>
  <c r="H130" i="2" s="1"/>
  <c r="G131" i="2"/>
  <c r="H131" i="2" s="1"/>
  <c r="G132" i="2"/>
  <c r="H132" i="2" s="1"/>
  <c r="G133" i="2"/>
  <c r="H133" i="2" s="1"/>
  <c r="G134" i="2"/>
  <c r="H134" i="2" s="1"/>
  <c r="G135" i="2"/>
  <c r="H135" i="2" s="1"/>
  <c r="G136" i="2"/>
  <c r="H136" i="2" s="1"/>
  <c r="G137" i="2"/>
  <c r="H137" i="2" s="1"/>
  <c r="G138" i="2"/>
  <c r="H138" i="2" s="1"/>
  <c r="G139" i="2"/>
  <c r="H139" i="2" s="1"/>
  <c r="G140" i="2"/>
  <c r="H140" i="2" s="1"/>
  <c r="G141" i="2"/>
  <c r="H141" i="2" s="1"/>
  <c r="G142" i="2"/>
  <c r="H142" i="2" s="1"/>
  <c r="G143" i="2"/>
  <c r="H143" i="2" s="1"/>
  <c r="G144" i="2"/>
  <c r="H144" i="2" s="1"/>
  <c r="G145" i="2"/>
  <c r="G146" i="2"/>
  <c r="H146" i="2" s="1"/>
  <c r="G147" i="2"/>
  <c r="H147" i="2" s="1"/>
  <c r="G148" i="2"/>
  <c r="H148" i="2" s="1"/>
  <c r="G149" i="2"/>
  <c r="H149" i="2" s="1"/>
  <c r="G150" i="2"/>
  <c r="H150" i="2" s="1"/>
  <c r="G151" i="2"/>
  <c r="H151" i="2" s="1"/>
  <c r="G152" i="2"/>
  <c r="H152" i="2" s="1"/>
  <c r="G153" i="2"/>
  <c r="H153" i="2" s="1"/>
  <c r="G154" i="2"/>
  <c r="H154" i="2" s="1"/>
  <c r="G155" i="2"/>
  <c r="H155" i="2" s="1"/>
  <c r="G156" i="2"/>
  <c r="H156" i="2" s="1"/>
  <c r="G157" i="2"/>
  <c r="H157" i="2" s="1"/>
  <c r="G158" i="2"/>
  <c r="H158" i="2" s="1"/>
  <c r="G159" i="2"/>
  <c r="H159" i="2" s="1"/>
  <c r="G160" i="2"/>
  <c r="H160" i="2" s="1"/>
  <c r="G161" i="2"/>
  <c r="H161" i="2" s="1"/>
  <c r="G162" i="2"/>
  <c r="H162" i="2" s="1"/>
  <c r="G163" i="2"/>
  <c r="H163" i="2" s="1"/>
  <c r="G164" i="2"/>
  <c r="H164" i="2" s="1"/>
  <c r="G165" i="2"/>
  <c r="H165" i="2" s="1"/>
  <c r="G166" i="2"/>
  <c r="G167" i="2"/>
  <c r="H167" i="2" s="1"/>
  <c r="G168" i="2"/>
  <c r="H168" i="2" s="1"/>
  <c r="G169" i="2"/>
  <c r="H169" i="2" s="1"/>
  <c r="G170" i="2"/>
  <c r="H170" i="2" s="1"/>
  <c r="G171" i="2"/>
  <c r="H171" i="2" s="1"/>
  <c r="G172" i="2"/>
  <c r="H172" i="2" s="1"/>
  <c r="G173" i="2"/>
  <c r="H173" i="2" s="1"/>
  <c r="G174" i="2"/>
  <c r="H174" i="2" s="1"/>
  <c r="G175" i="2"/>
  <c r="H175" i="2" s="1"/>
  <c r="G176" i="2"/>
  <c r="H176" i="2" s="1"/>
  <c r="G177" i="2"/>
  <c r="H177" i="2" s="1"/>
  <c r="G178" i="2"/>
  <c r="H178" i="2" s="1"/>
  <c r="G179" i="2"/>
  <c r="H179" i="2" s="1"/>
  <c r="G180" i="2"/>
  <c r="H180" i="2" s="1"/>
  <c r="G181" i="2"/>
  <c r="H181" i="2" s="1"/>
  <c r="G182" i="2"/>
  <c r="H182" i="2" s="1"/>
  <c r="G183" i="2"/>
  <c r="H183" i="2" s="1"/>
  <c r="G184" i="2"/>
  <c r="H184" i="2" s="1"/>
  <c r="G185" i="2"/>
  <c r="H185" i="2" s="1"/>
  <c r="G186" i="2"/>
  <c r="H186" i="2" s="1"/>
  <c r="G187" i="2"/>
  <c r="H187" i="2" s="1"/>
  <c r="G188" i="2"/>
  <c r="H188" i="2" s="1"/>
  <c r="G189" i="2"/>
  <c r="H189" i="2" s="1"/>
  <c r="G190" i="2"/>
  <c r="H190" i="2" s="1"/>
  <c r="G191" i="2"/>
  <c r="G192" i="2"/>
  <c r="H192" i="2" s="1"/>
  <c r="G193" i="2"/>
  <c r="H193" i="2" s="1"/>
  <c r="G194" i="2"/>
  <c r="H194" i="2" s="1"/>
  <c r="G195" i="2"/>
  <c r="H195" i="2" s="1"/>
  <c r="G196" i="2"/>
  <c r="H196" i="2" s="1"/>
  <c r="G197" i="2"/>
  <c r="H197" i="2" s="1"/>
  <c r="G198" i="2"/>
  <c r="H198" i="2" s="1"/>
  <c r="G199" i="2"/>
  <c r="H199" i="2" s="1"/>
  <c r="G200" i="2"/>
  <c r="H200" i="2" s="1"/>
  <c r="G201" i="2"/>
  <c r="H201" i="2" s="1"/>
  <c r="G202" i="2"/>
  <c r="G203" i="2"/>
  <c r="H203" i="2" s="1"/>
  <c r="G204" i="2"/>
  <c r="H204" i="2" s="1"/>
  <c r="G205" i="2"/>
  <c r="H205" i="2" s="1"/>
  <c r="G206" i="2"/>
  <c r="H206" i="2" s="1"/>
  <c r="G207" i="2"/>
  <c r="H207" i="2" s="1"/>
  <c r="G208" i="2"/>
  <c r="H208" i="2" s="1"/>
  <c r="G209" i="2"/>
  <c r="H209" i="2" s="1"/>
  <c r="G210" i="2"/>
  <c r="H210" i="2" s="1"/>
  <c r="G211" i="2"/>
  <c r="H211" i="2" s="1"/>
  <c r="G212" i="2"/>
  <c r="G213" i="2"/>
  <c r="H213" i="2" s="1"/>
  <c r="G214" i="2"/>
  <c r="H214" i="2" s="1"/>
  <c r="G215" i="2"/>
  <c r="H215" i="2" s="1"/>
  <c r="G216" i="2"/>
  <c r="H216" i="2" s="1"/>
  <c r="G217" i="2"/>
  <c r="H217" i="2" s="1"/>
  <c r="G218" i="2"/>
  <c r="H218" i="2" s="1"/>
  <c r="G219" i="2"/>
  <c r="H219" i="2" s="1"/>
  <c r="G220" i="2"/>
  <c r="H220" i="2" s="1"/>
  <c r="G221" i="2"/>
  <c r="H221" i="2" s="1"/>
  <c r="G222" i="2"/>
  <c r="G223" i="2"/>
  <c r="H223" i="2" s="1"/>
  <c r="G224" i="2"/>
  <c r="H224" i="2" s="1"/>
  <c r="G225" i="2"/>
  <c r="H225" i="2" s="1"/>
  <c r="G226" i="2"/>
  <c r="H226" i="2" s="1"/>
  <c r="G227" i="2"/>
  <c r="H227" i="2" s="1"/>
  <c r="G228" i="2"/>
  <c r="H228" i="2" s="1"/>
  <c r="G229" i="2"/>
  <c r="H229" i="2" s="1"/>
  <c r="G230" i="2"/>
  <c r="H230" i="2" s="1"/>
  <c r="G231" i="2"/>
  <c r="H231" i="2" s="1"/>
  <c r="G232" i="2"/>
  <c r="G233" i="2"/>
  <c r="H233" i="2" s="1"/>
  <c r="G234" i="2"/>
  <c r="H234" i="2" s="1"/>
  <c r="G235" i="2"/>
  <c r="H235" i="2" s="1"/>
  <c r="G236" i="2"/>
  <c r="H236" i="2" s="1"/>
  <c r="G237" i="2"/>
  <c r="H237" i="2" s="1"/>
  <c r="G238" i="2"/>
  <c r="H238" i="2" s="1"/>
  <c r="G239" i="2"/>
  <c r="H239" i="2" s="1"/>
  <c r="G240" i="2"/>
  <c r="H240" i="2" s="1"/>
  <c r="G241" i="2"/>
  <c r="G242" i="2"/>
  <c r="H242" i="2" s="1"/>
  <c r="G243" i="2"/>
  <c r="H243" i="2" s="1"/>
  <c r="G244" i="2"/>
  <c r="H244" i="2" s="1"/>
  <c r="G245" i="2"/>
  <c r="H245" i="2" s="1"/>
  <c r="G246" i="2"/>
  <c r="H246" i="2" s="1"/>
  <c r="G247" i="2"/>
  <c r="H247" i="2" s="1"/>
  <c r="G248" i="2"/>
  <c r="H248" i="2" s="1"/>
  <c r="G249" i="2"/>
  <c r="G250" i="2"/>
  <c r="H250" i="2" s="1"/>
  <c r="G251" i="2"/>
  <c r="H251" i="2" s="1"/>
  <c r="G252" i="2"/>
  <c r="H252" i="2" s="1"/>
  <c r="G253" i="2"/>
  <c r="H253" i="2" s="1"/>
  <c r="G254" i="2"/>
  <c r="H254" i="2" s="1"/>
  <c r="G255" i="2"/>
  <c r="H255" i="2" s="1"/>
  <c r="G256" i="2"/>
  <c r="H256" i="2" s="1"/>
  <c r="G257" i="2"/>
  <c r="G258" i="2"/>
  <c r="H258" i="2" s="1"/>
  <c r="G259" i="2"/>
  <c r="H259" i="2" s="1"/>
  <c r="G260" i="2"/>
  <c r="H260" i="2" s="1"/>
  <c r="G261" i="2"/>
  <c r="H261" i="2" s="1"/>
  <c r="G262" i="2"/>
  <c r="H262" i="2" s="1"/>
  <c r="G263" i="2"/>
  <c r="H263" i="2" s="1"/>
  <c r="G264" i="2"/>
  <c r="H264" i="2" s="1"/>
  <c r="G265" i="2"/>
  <c r="H265" i="2" s="1"/>
  <c r="G266" i="2"/>
  <c r="H266" i="2" s="1"/>
  <c r="G267" i="2"/>
  <c r="H267" i="2" s="1"/>
  <c r="G268" i="2"/>
  <c r="H268" i="2" s="1"/>
  <c r="G269" i="2"/>
  <c r="H269" i="2" s="1"/>
  <c r="G270" i="2"/>
  <c r="H270" i="2" s="1"/>
  <c r="G271" i="2"/>
  <c r="H271" i="2" s="1"/>
  <c r="G272" i="2"/>
  <c r="H272" i="2" s="1"/>
  <c r="G273" i="2"/>
  <c r="H273" i="2" s="1"/>
  <c r="G274" i="2"/>
  <c r="H274" i="2" s="1"/>
  <c r="G275" i="2"/>
  <c r="H275" i="2" s="1"/>
  <c r="G276" i="2"/>
  <c r="H276" i="2" s="1"/>
  <c r="G277" i="2"/>
  <c r="G278" i="2"/>
  <c r="H278" i="2" s="1"/>
  <c r="G279" i="2"/>
  <c r="H279" i="2" s="1"/>
  <c r="G280" i="2"/>
  <c r="H280" i="2" s="1"/>
  <c r="G281" i="2"/>
  <c r="H281" i="2" s="1"/>
  <c r="G282" i="2"/>
  <c r="H282" i="2" s="1"/>
  <c r="G283" i="2"/>
  <c r="H283" i="2" s="1"/>
  <c r="G284" i="2"/>
  <c r="H284" i="2" s="1"/>
  <c r="G285" i="2"/>
  <c r="H285" i="2" s="1"/>
  <c r="G286" i="2"/>
  <c r="H286" i="2" s="1"/>
  <c r="G287" i="2"/>
  <c r="H287" i="2" s="1"/>
  <c r="G288" i="2"/>
  <c r="H288" i="2" s="1"/>
  <c r="G289" i="2"/>
  <c r="H289" i="2" s="1"/>
  <c r="G290" i="2"/>
  <c r="H290" i="2" s="1"/>
  <c r="G291" i="2"/>
  <c r="H291" i="2" s="1"/>
  <c r="G292" i="2"/>
  <c r="H292" i="2" s="1"/>
  <c r="G293" i="2"/>
  <c r="H293" i="2" s="1"/>
  <c r="G294" i="2"/>
  <c r="G295" i="2"/>
  <c r="H295" i="2" s="1"/>
  <c r="G296" i="2"/>
  <c r="H296" i="2" s="1"/>
  <c r="G297" i="2"/>
  <c r="H297" i="2" s="1"/>
  <c r="G298" i="2"/>
  <c r="H298" i="2" s="1"/>
  <c r="G299" i="2"/>
  <c r="H299" i="2" s="1"/>
  <c r="G300" i="2"/>
  <c r="H300" i="2" s="1"/>
  <c r="G301" i="2"/>
  <c r="H301" i="2" s="1"/>
  <c r="G302" i="2"/>
  <c r="H302" i="2" s="1"/>
  <c r="G303" i="2"/>
  <c r="H303" i="2" s="1"/>
  <c r="G304" i="2"/>
  <c r="H304" i="2" s="1"/>
  <c r="G305" i="2"/>
  <c r="H305" i="2" s="1"/>
  <c r="G306" i="2"/>
  <c r="H306" i="2" s="1"/>
  <c r="G307" i="2"/>
  <c r="H307" i="2" s="1"/>
  <c r="G308" i="2"/>
  <c r="H308" i="2" s="1"/>
  <c r="G309" i="2"/>
  <c r="H309" i="2" s="1"/>
  <c r="G310" i="2"/>
  <c r="H310" i="2" s="1"/>
  <c r="G311" i="2"/>
  <c r="H311" i="2" s="1"/>
  <c r="G312" i="2"/>
  <c r="H312" i="2" s="1"/>
  <c r="G313" i="2"/>
  <c r="H313" i="2" s="1"/>
  <c r="G314" i="2"/>
  <c r="G315" i="2"/>
  <c r="H315" i="2" s="1"/>
  <c r="G316" i="2"/>
  <c r="H316" i="2" s="1"/>
  <c r="G317" i="2"/>
  <c r="H317" i="2" s="1"/>
  <c r="G318" i="2"/>
  <c r="H318" i="2" s="1"/>
  <c r="G319" i="2"/>
  <c r="H319" i="2" s="1"/>
  <c r="G320" i="2"/>
  <c r="H320" i="2" s="1"/>
  <c r="G321" i="2"/>
  <c r="H321" i="2" s="1"/>
  <c r="G322" i="2"/>
  <c r="H322" i="2" s="1"/>
  <c r="G323" i="2"/>
  <c r="H323" i="2" s="1"/>
  <c r="G324" i="2"/>
  <c r="G325" i="2"/>
  <c r="H325" i="2" s="1"/>
  <c r="G326" i="2"/>
  <c r="H326" i="2" s="1"/>
  <c r="G327" i="2"/>
  <c r="H327" i="2" s="1"/>
  <c r="G328" i="2"/>
  <c r="H328" i="2" s="1"/>
  <c r="G329" i="2"/>
  <c r="H329" i="2" s="1"/>
  <c r="G330" i="2"/>
  <c r="H330" i="2" s="1"/>
  <c r="G331" i="2"/>
  <c r="H331" i="2" s="1"/>
  <c r="G332" i="2"/>
  <c r="H332" i="2" s="1"/>
  <c r="G333" i="2"/>
  <c r="H333" i="2" s="1"/>
  <c r="G334" i="2"/>
  <c r="H334" i="2" s="1"/>
  <c r="G335" i="2"/>
  <c r="G336" i="2"/>
  <c r="H336" i="2" s="1"/>
  <c r="G337" i="2"/>
  <c r="H337" i="2" s="1"/>
  <c r="G338" i="2"/>
  <c r="H338" i="2" s="1"/>
  <c r="G339" i="2"/>
  <c r="H339" i="2" s="1"/>
  <c r="G340" i="2"/>
  <c r="H340" i="2" s="1"/>
  <c r="G341" i="2"/>
  <c r="H341" i="2" s="1"/>
  <c r="G342" i="2"/>
  <c r="H342" i="2" s="1"/>
  <c r="G343" i="2"/>
  <c r="G344" i="2"/>
  <c r="H344" i="2" s="1"/>
  <c r="G345" i="2"/>
  <c r="H345" i="2" s="1"/>
  <c r="G346" i="2"/>
  <c r="H346" i="2" s="1"/>
  <c r="G347" i="2"/>
  <c r="H347" i="2" s="1"/>
  <c r="G348" i="2"/>
  <c r="H348" i="2" s="1"/>
  <c r="G349" i="2"/>
  <c r="H349" i="2" s="1"/>
  <c r="G350" i="2"/>
  <c r="H350" i="2" s="1"/>
  <c r="G351" i="2"/>
  <c r="G352" i="2"/>
  <c r="H352" i="2" s="1"/>
  <c r="G353" i="2"/>
  <c r="H353" i="2" s="1"/>
  <c r="G354" i="2"/>
  <c r="H354" i="2" s="1"/>
  <c r="G355" i="2"/>
  <c r="H355" i="2" s="1"/>
  <c r="G356" i="2"/>
  <c r="H356" i="2" s="1"/>
  <c r="G357" i="2"/>
  <c r="H357" i="2" s="1"/>
  <c r="G358" i="2"/>
  <c r="H358" i="2" s="1"/>
  <c r="G359" i="2"/>
  <c r="G360" i="2"/>
  <c r="H360" i="2" s="1"/>
  <c r="G361" i="2"/>
  <c r="H361" i="2" s="1"/>
  <c r="G362" i="2"/>
  <c r="H362" i="2" s="1"/>
  <c r="G363" i="2"/>
  <c r="H363" i="2" s="1"/>
  <c r="G364" i="2"/>
  <c r="H364" i="2" s="1"/>
  <c r="G365" i="2"/>
  <c r="H365" i="2" s="1"/>
  <c r="G366" i="2"/>
  <c r="H366" i="2" s="1"/>
  <c r="G367" i="2"/>
  <c r="G368" i="2"/>
  <c r="H368" i="2" s="1"/>
  <c r="G369" i="2"/>
  <c r="H369" i="2" s="1"/>
  <c r="G370" i="2"/>
  <c r="H370" i="2" s="1"/>
  <c r="G371" i="2"/>
  <c r="H371" i="2" s="1"/>
  <c r="G372" i="2"/>
  <c r="H372" i="2" s="1"/>
  <c r="G373" i="2"/>
  <c r="H373" i="2" s="1"/>
  <c r="G374" i="2"/>
  <c r="H374" i="2" s="1"/>
  <c r="G375" i="2"/>
  <c r="G376" i="2"/>
  <c r="H376" i="2" s="1"/>
  <c r="G377" i="2"/>
  <c r="H377" i="2" s="1"/>
  <c r="G378" i="2"/>
  <c r="H378" i="2" s="1"/>
  <c r="G379" i="2"/>
  <c r="H379" i="2" s="1"/>
  <c r="G380" i="2"/>
  <c r="H380" i="2" s="1"/>
  <c r="G381" i="2"/>
  <c r="H381" i="2" s="1"/>
  <c r="G382" i="2"/>
  <c r="H382" i="2" s="1"/>
  <c r="G383" i="2"/>
  <c r="G384" i="2"/>
  <c r="H384" i="2" s="1"/>
  <c r="G385" i="2"/>
  <c r="H385" i="2" s="1"/>
  <c r="G386" i="2"/>
  <c r="H386" i="2" s="1"/>
  <c r="G387" i="2"/>
  <c r="H387" i="2" s="1"/>
  <c r="G388" i="2"/>
  <c r="H388" i="2" s="1"/>
  <c r="G389" i="2"/>
  <c r="H389" i="2" s="1"/>
  <c r="G390" i="2"/>
  <c r="H390" i="2" s="1"/>
  <c r="G391" i="2"/>
  <c r="G392" i="2"/>
  <c r="H392" i="2" s="1"/>
  <c r="G393" i="2"/>
  <c r="H393" i="2" s="1"/>
  <c r="G394" i="2"/>
  <c r="H394" i="2" s="1"/>
  <c r="G395" i="2"/>
  <c r="H395" i="2" s="1"/>
  <c r="G396" i="2"/>
  <c r="H396" i="2" s="1"/>
  <c r="G397" i="2"/>
  <c r="H397" i="2" s="1"/>
  <c r="G398" i="2"/>
  <c r="H398" i="2" s="1"/>
  <c r="G399" i="2"/>
  <c r="G400" i="2"/>
  <c r="H400" i="2" s="1"/>
  <c r="G401" i="2"/>
  <c r="H401" i="2" s="1"/>
  <c r="G402" i="2"/>
  <c r="H402" i="2" s="1"/>
  <c r="G403" i="2"/>
  <c r="H403" i="2" s="1"/>
  <c r="G404" i="2"/>
  <c r="H404" i="2" s="1"/>
  <c r="G405" i="2"/>
  <c r="H405" i="2" s="1"/>
  <c r="G406" i="2"/>
  <c r="H406" i="2" s="1"/>
  <c r="G407" i="2"/>
  <c r="H407" i="2" s="1"/>
  <c r="G408" i="2"/>
  <c r="G409" i="2"/>
  <c r="H409" i="2" s="1"/>
  <c r="G410" i="2"/>
  <c r="H410" i="2" s="1"/>
  <c r="G411" i="2"/>
  <c r="H411" i="2" s="1"/>
  <c r="G412" i="2"/>
  <c r="H412" i="2" s="1"/>
  <c r="G413" i="2"/>
  <c r="H413" i="2" s="1"/>
  <c r="G414" i="2"/>
  <c r="H414" i="2" s="1"/>
  <c r="G415" i="2"/>
  <c r="H415" i="2" s="1"/>
  <c r="G416" i="2"/>
  <c r="H416" i="2" s="1"/>
  <c r="G417" i="2"/>
  <c r="G418" i="2"/>
  <c r="H418" i="2" s="1"/>
  <c r="G419" i="2"/>
  <c r="H419" i="2" s="1"/>
  <c r="G420" i="2"/>
  <c r="H420" i="2" s="1"/>
  <c r="G421" i="2"/>
  <c r="H421" i="2" s="1"/>
  <c r="G422" i="2"/>
  <c r="H422" i="2" s="1"/>
  <c r="G423" i="2"/>
  <c r="H423" i="2" s="1"/>
  <c r="G424" i="2"/>
  <c r="H424" i="2" s="1"/>
  <c r="G425" i="2"/>
  <c r="H425" i="2" s="1"/>
  <c r="G426" i="2"/>
  <c r="G427" i="2"/>
  <c r="H427" i="2" s="1"/>
  <c r="G428" i="2"/>
  <c r="H428" i="2" s="1"/>
  <c r="G429" i="2"/>
  <c r="H429" i="2" s="1"/>
  <c r="G430" i="2"/>
  <c r="H430" i="2" s="1"/>
  <c r="G431" i="2"/>
  <c r="H431" i="2" s="1"/>
  <c r="G432" i="2"/>
  <c r="H432" i="2" s="1"/>
  <c r="G433" i="2"/>
  <c r="H433" i="2" s="1"/>
  <c r="G434" i="2"/>
  <c r="H434" i="2" s="1"/>
  <c r="G435" i="2"/>
  <c r="G436" i="2"/>
  <c r="H436" i="2" s="1"/>
  <c r="G437" i="2"/>
  <c r="H437" i="2" s="1"/>
  <c r="G438" i="2"/>
  <c r="H438" i="2" s="1"/>
  <c r="G439" i="2"/>
  <c r="H439" i="2" s="1"/>
  <c r="G440" i="2"/>
  <c r="H440" i="2" s="1"/>
  <c r="G441" i="2"/>
  <c r="H441" i="2" s="1"/>
  <c r="G442" i="2"/>
  <c r="H442" i="2" s="1"/>
  <c r="G443" i="2"/>
  <c r="H443" i="2" s="1"/>
  <c r="G444" i="2"/>
  <c r="G445" i="2"/>
  <c r="H445" i="2" s="1"/>
  <c r="G446" i="2"/>
  <c r="H446" i="2" s="1"/>
  <c r="G447" i="2"/>
  <c r="H447" i="2" s="1"/>
  <c r="G448" i="2"/>
  <c r="H448" i="2" s="1"/>
  <c r="G449" i="2"/>
  <c r="H449" i="2" s="1"/>
  <c r="G450" i="2"/>
  <c r="H450" i="2" s="1"/>
  <c r="G451" i="2"/>
  <c r="H451" i="2" s="1"/>
  <c r="G452" i="2"/>
  <c r="H452" i="2" s="1"/>
  <c r="G453" i="2"/>
  <c r="H453" i="2" s="1"/>
  <c r="G454" i="2"/>
  <c r="H454" i="2" s="1"/>
  <c r="G455" i="2"/>
  <c r="H455" i="2" s="1"/>
  <c r="G456" i="2"/>
  <c r="H456" i="2" s="1"/>
  <c r="G457" i="2"/>
  <c r="G458" i="2"/>
  <c r="H458" i="2" s="1"/>
  <c r="G459" i="2"/>
  <c r="H459" i="2" s="1"/>
  <c r="G460" i="2"/>
  <c r="H460" i="2" s="1"/>
  <c r="G461" i="2"/>
  <c r="H461" i="2" s="1"/>
  <c r="G462" i="2"/>
  <c r="H462" i="2" s="1"/>
  <c r="G463" i="2"/>
  <c r="H463" i="2" s="1"/>
  <c r="G464" i="2"/>
  <c r="H464" i="2" s="1"/>
  <c r="G465" i="2"/>
  <c r="H465" i="2" s="1"/>
  <c r="G466" i="2"/>
  <c r="H466" i="2" s="1"/>
  <c r="G467" i="2"/>
  <c r="H467" i="2" s="1"/>
  <c r="G468" i="2"/>
  <c r="H468" i="2" s="1"/>
  <c r="G469" i="2"/>
  <c r="H469" i="2" s="1"/>
  <c r="G470" i="2"/>
  <c r="H470" i="2" s="1"/>
  <c r="G471" i="2"/>
  <c r="G472" i="2"/>
  <c r="H472" i="2" s="1"/>
  <c r="G473" i="2"/>
  <c r="H473" i="2" s="1"/>
  <c r="G474" i="2"/>
  <c r="H474" i="2" s="1"/>
  <c r="G475" i="2"/>
  <c r="H475" i="2" s="1"/>
  <c r="G476" i="2"/>
  <c r="H476" i="2" s="1"/>
  <c r="G477" i="2"/>
  <c r="H477" i="2" s="1"/>
  <c r="G478" i="2"/>
  <c r="H478" i="2" s="1"/>
  <c r="G479" i="2"/>
  <c r="H479" i="2" s="1"/>
  <c r="G480" i="2"/>
  <c r="H480" i="2" s="1"/>
  <c r="G481" i="2"/>
  <c r="H481" i="2" s="1"/>
  <c r="G482" i="2"/>
  <c r="H482" i="2" s="1"/>
  <c r="G483" i="2"/>
  <c r="G484" i="2"/>
  <c r="H484" i="2" s="1"/>
  <c r="G485" i="2"/>
  <c r="H485" i="2" s="1"/>
  <c r="G486" i="2"/>
  <c r="H486" i="2" s="1"/>
  <c r="G487" i="2"/>
  <c r="H487" i="2" s="1"/>
  <c r="G488" i="2"/>
  <c r="H488" i="2" s="1"/>
  <c r="G489" i="2"/>
  <c r="H489" i="2" s="1"/>
  <c r="G490" i="2"/>
  <c r="H490" i="2" s="1"/>
  <c r="G491" i="2"/>
  <c r="H491" i="2" s="1"/>
  <c r="G492" i="2"/>
  <c r="H492" i="2" s="1"/>
  <c r="G493" i="2"/>
  <c r="G494" i="2"/>
  <c r="H494" i="2" s="1"/>
  <c r="G495" i="2"/>
  <c r="H495" i="2" s="1"/>
  <c r="G496" i="2"/>
  <c r="H496" i="2" s="1"/>
  <c r="G497" i="2"/>
  <c r="H497" i="2" s="1"/>
  <c r="G498" i="2"/>
  <c r="H498" i="2" s="1"/>
  <c r="G499" i="2"/>
  <c r="H499" i="2" s="1"/>
  <c r="G500" i="2"/>
  <c r="H500" i="2" s="1"/>
  <c r="G501" i="2"/>
  <c r="G502" i="2"/>
  <c r="H502" i="2" s="1"/>
  <c r="G503" i="2"/>
  <c r="H503" i="2" s="1"/>
  <c r="G504" i="2"/>
  <c r="H504" i="2" s="1"/>
  <c r="G505" i="2"/>
  <c r="H505" i="2" s="1"/>
  <c r="G506" i="2"/>
  <c r="H506" i="2" s="1"/>
  <c r="G507" i="2"/>
  <c r="H507" i="2" s="1"/>
  <c r="G508" i="2"/>
  <c r="H508" i="2" s="1"/>
  <c r="G509" i="2"/>
  <c r="G510" i="2"/>
  <c r="H510" i="2" s="1"/>
  <c r="G511" i="2"/>
  <c r="H511" i="2" s="1"/>
  <c r="G512" i="2"/>
  <c r="H512" i="2" s="1"/>
  <c r="G513" i="2"/>
  <c r="H513" i="2" s="1"/>
  <c r="G514" i="2"/>
  <c r="H514" i="2" s="1"/>
  <c r="G515" i="2"/>
  <c r="H515" i="2" s="1"/>
  <c r="G516" i="2"/>
  <c r="H516" i="2" s="1"/>
  <c r="G517" i="2"/>
  <c r="G518" i="2"/>
  <c r="H518" i="2" s="1"/>
  <c r="G519" i="2"/>
  <c r="H519" i="2" s="1"/>
  <c r="G520" i="2"/>
  <c r="H520" i="2" s="1"/>
  <c r="G521" i="2"/>
  <c r="H521" i="2" s="1"/>
  <c r="G522" i="2"/>
  <c r="H522" i="2" s="1"/>
  <c r="G523" i="2"/>
  <c r="H523" i="2" s="1"/>
  <c r="G524" i="2"/>
  <c r="H524" i="2" s="1"/>
  <c r="G525" i="2"/>
  <c r="G526" i="2"/>
  <c r="H526" i="2" s="1"/>
  <c r="G527" i="2"/>
  <c r="H527" i="2" s="1"/>
  <c r="G528" i="2"/>
  <c r="H528" i="2" s="1"/>
  <c r="G529" i="2"/>
  <c r="H529" i="2" s="1"/>
  <c r="G530" i="2"/>
  <c r="H530" i="2" s="1"/>
  <c r="G531" i="2"/>
  <c r="H531" i="2" s="1"/>
  <c r="G532" i="2"/>
  <c r="H532" i="2" s="1"/>
  <c r="G533" i="2"/>
  <c r="H533" i="2" s="1"/>
  <c r="G534" i="2"/>
  <c r="H534" i="2" s="1"/>
  <c r="G535" i="2"/>
  <c r="H535" i="2" s="1"/>
  <c r="G536" i="2"/>
  <c r="H536" i="2" s="1"/>
  <c r="G537" i="2"/>
  <c r="H537" i="2" s="1"/>
  <c r="G538" i="2"/>
  <c r="H538" i="2" s="1"/>
  <c r="G539" i="2"/>
  <c r="H539" i="2" s="1"/>
  <c r="G540" i="2"/>
  <c r="H540" i="2" s="1"/>
  <c r="G541" i="2"/>
  <c r="H541" i="2" s="1"/>
  <c r="G542" i="2"/>
  <c r="H542" i="2" s="1"/>
  <c r="G543" i="2"/>
  <c r="H543" i="2" s="1"/>
  <c r="G544" i="2"/>
  <c r="H544" i="2" s="1"/>
  <c r="G545" i="2"/>
  <c r="H545" i="2" s="1"/>
  <c r="G546" i="2"/>
  <c r="H546" i="2" s="1"/>
  <c r="G547" i="2"/>
  <c r="H547" i="2" s="1"/>
  <c r="G548" i="2"/>
  <c r="H548" i="2" s="1"/>
  <c r="G549" i="2"/>
  <c r="H549" i="2" s="1"/>
  <c r="G550" i="2"/>
  <c r="H550" i="2" s="1"/>
  <c r="G551" i="2"/>
  <c r="H551" i="2" s="1"/>
  <c r="G552" i="2"/>
  <c r="H552" i="2" s="1"/>
  <c r="G553" i="2"/>
  <c r="H553" i="2" s="1"/>
  <c r="G554" i="2"/>
  <c r="H554" i="2" s="1"/>
  <c r="G555" i="2"/>
  <c r="H555" i="2" s="1"/>
  <c r="G556" i="2"/>
  <c r="H556" i="2" s="1"/>
  <c r="G557" i="2"/>
  <c r="H557" i="2" s="1"/>
  <c r="G558" i="2"/>
  <c r="H558" i="2" s="1"/>
  <c r="G559" i="2"/>
  <c r="H559" i="2" s="1"/>
  <c r="G560" i="2"/>
  <c r="H560" i="2" s="1"/>
  <c r="G561" i="2"/>
  <c r="H561" i="2" s="1"/>
  <c r="G562" i="2"/>
  <c r="H562" i="2" s="1"/>
  <c r="G563" i="2"/>
  <c r="H563" i="2" s="1"/>
  <c r="G564" i="2"/>
  <c r="H564" i="2" s="1"/>
  <c r="G565" i="2"/>
  <c r="H565" i="2" s="1"/>
  <c r="G566" i="2"/>
  <c r="H566" i="2" s="1"/>
  <c r="G567" i="2"/>
  <c r="H567" i="2" s="1"/>
  <c r="G568" i="2"/>
  <c r="H568" i="2" s="1"/>
  <c r="G569" i="2"/>
  <c r="H569" i="2" s="1"/>
  <c r="G570" i="2"/>
  <c r="H570" i="2" s="1"/>
  <c r="G571" i="2"/>
  <c r="H571" i="2" s="1"/>
  <c r="G572" i="2"/>
  <c r="H572" i="2" s="1"/>
  <c r="G573" i="2"/>
  <c r="H573" i="2" s="1"/>
  <c r="G574" i="2"/>
  <c r="H574" i="2" s="1"/>
  <c r="G575" i="2"/>
  <c r="H575" i="2" s="1"/>
  <c r="G576" i="2"/>
  <c r="H576" i="2" s="1"/>
  <c r="G577" i="2"/>
  <c r="H577" i="2" s="1"/>
  <c r="G578" i="2"/>
  <c r="H578" i="2" s="1"/>
  <c r="G579" i="2"/>
  <c r="H579" i="2" s="1"/>
  <c r="G580" i="2"/>
  <c r="H580" i="2" s="1"/>
  <c r="G581" i="2"/>
  <c r="H581" i="2" s="1"/>
  <c r="G582" i="2"/>
  <c r="H582" i="2" s="1"/>
  <c r="G583" i="2"/>
  <c r="H583" i="2" s="1"/>
  <c r="G584" i="2"/>
  <c r="H584" i="2" s="1"/>
  <c r="G585" i="2"/>
  <c r="H585" i="2" s="1"/>
  <c r="G586" i="2"/>
  <c r="G587" i="2"/>
  <c r="H587" i="2" s="1"/>
  <c r="G588" i="2"/>
  <c r="H588" i="2" s="1"/>
  <c r="G589" i="2"/>
  <c r="H589" i="2" s="1"/>
  <c r="G590" i="2"/>
  <c r="H590" i="2" s="1"/>
  <c r="G591" i="2"/>
  <c r="H591" i="2" s="1"/>
  <c r="G592" i="2"/>
  <c r="H592" i="2" s="1"/>
  <c r="G593" i="2"/>
  <c r="G594" i="2"/>
  <c r="H594" i="2" s="1"/>
  <c r="G595" i="2"/>
  <c r="G596" i="2"/>
  <c r="H596" i="2" s="1"/>
  <c r="G597" i="2"/>
  <c r="G598" i="2"/>
  <c r="H598" i="2" s="1"/>
  <c r="G599" i="2"/>
  <c r="H599" i="2" s="1"/>
  <c r="G600" i="2"/>
  <c r="H600" i="2" s="1"/>
  <c r="G601" i="2"/>
  <c r="H601" i="2" s="1"/>
  <c r="G602" i="2"/>
  <c r="H602" i="2" s="1"/>
  <c r="G603" i="2"/>
  <c r="G604" i="2"/>
  <c r="H604" i="2" s="1"/>
  <c r="G605" i="2"/>
  <c r="H605" i="2" s="1"/>
  <c r="G606" i="2"/>
  <c r="H606" i="2" s="1"/>
  <c r="G607" i="2"/>
  <c r="H607" i="2" s="1"/>
  <c r="G608" i="2"/>
  <c r="H608" i="2" s="1"/>
  <c r="G609" i="2"/>
  <c r="G610" i="2"/>
  <c r="H610" i="2" s="1"/>
  <c r="G611" i="2"/>
  <c r="H611" i="2" s="1"/>
  <c r="G612" i="2"/>
  <c r="H612" i="2" s="1"/>
  <c r="G613" i="2"/>
  <c r="H613" i="2" s="1"/>
  <c r="G614" i="2"/>
  <c r="H614" i="2" s="1"/>
  <c r="G615" i="2"/>
  <c r="H615" i="2" s="1"/>
  <c r="G616" i="2"/>
  <c r="H616" i="2" s="1"/>
  <c r="G617" i="2"/>
  <c r="H617" i="2" s="1"/>
  <c r="G618" i="2"/>
  <c r="G619" i="2"/>
  <c r="H619" i="2" s="1"/>
  <c r="G620" i="2"/>
  <c r="H620" i="2" s="1"/>
  <c r="G621" i="2"/>
  <c r="H621" i="2" s="1"/>
  <c r="G622" i="2"/>
  <c r="H622" i="2" s="1"/>
  <c r="G623" i="2"/>
  <c r="H623" i="2" s="1"/>
  <c r="G624" i="2"/>
  <c r="G625" i="2"/>
  <c r="H625" i="2" s="1"/>
  <c r="G626" i="2"/>
  <c r="G627" i="2"/>
  <c r="H627" i="2" s="1"/>
  <c r="G628" i="2"/>
  <c r="H628" i="2" s="1"/>
  <c r="G629" i="2"/>
  <c r="H629" i="2" s="1"/>
  <c r="G630" i="2"/>
  <c r="H630" i="2" s="1"/>
  <c r="G631" i="2"/>
  <c r="H631" i="2" s="1"/>
  <c r="G632" i="2"/>
  <c r="H632" i="2" s="1"/>
  <c r="G633" i="2"/>
  <c r="H633" i="2" s="1"/>
  <c r="G634" i="2"/>
  <c r="H634" i="2" s="1"/>
  <c r="G635" i="2"/>
  <c r="H635" i="2" s="1"/>
  <c r="G636" i="2"/>
  <c r="H636" i="2" s="1"/>
  <c r="G637" i="2"/>
  <c r="H637" i="2" s="1"/>
  <c r="G638" i="2"/>
  <c r="G639" i="2"/>
  <c r="H639" i="2" s="1"/>
  <c r="G640" i="2"/>
  <c r="H640" i="2" s="1"/>
  <c r="G641" i="2"/>
  <c r="H641" i="2" s="1"/>
  <c r="G642" i="2"/>
  <c r="H642" i="2" s="1"/>
  <c r="G643" i="2"/>
  <c r="H643" i="2" s="1"/>
  <c r="G644" i="2"/>
  <c r="H644" i="2" s="1"/>
  <c r="G645" i="2"/>
  <c r="H645" i="2" s="1"/>
  <c r="G646" i="2"/>
  <c r="H646" i="2" s="1"/>
  <c r="G647" i="2"/>
  <c r="H647" i="2" s="1"/>
  <c r="G648" i="2"/>
  <c r="H648" i="2" s="1"/>
  <c r="G649" i="2"/>
  <c r="H649" i="2" s="1"/>
  <c r="G650" i="2"/>
  <c r="G651" i="2"/>
  <c r="H651" i="2" s="1"/>
  <c r="G652" i="2"/>
  <c r="H652" i="2" s="1"/>
  <c r="G653" i="2"/>
  <c r="H653" i="2" s="1"/>
  <c r="G654" i="2"/>
  <c r="G655" i="2"/>
  <c r="H655" i="2" s="1"/>
  <c r="G656" i="2"/>
  <c r="H656" i="2" s="1"/>
  <c r="G657" i="2"/>
  <c r="H657" i="2" s="1"/>
  <c r="G658" i="2"/>
  <c r="H658" i="2" s="1"/>
  <c r="G659" i="2"/>
  <c r="H659" i="2" s="1"/>
  <c r="G660" i="2"/>
  <c r="G661" i="2"/>
  <c r="H661" i="2" s="1"/>
  <c r="G662" i="2"/>
  <c r="H662" i="2" s="1"/>
  <c r="G663" i="2"/>
  <c r="H663" i="2" s="1"/>
  <c r="G664" i="2"/>
  <c r="G665" i="2"/>
  <c r="H665" i="2" s="1"/>
  <c r="G666" i="2"/>
  <c r="H666" i="2" s="1"/>
  <c r="G667" i="2"/>
  <c r="H667" i="2" s="1"/>
  <c r="G668" i="2"/>
  <c r="H668" i="2" s="1"/>
  <c r="G669" i="2"/>
  <c r="G670" i="2"/>
  <c r="H670" i="2" s="1"/>
  <c r="G671" i="2"/>
  <c r="H671" i="2" s="1"/>
  <c r="G672" i="2"/>
  <c r="G673" i="2"/>
  <c r="H673" i="2" s="1"/>
  <c r="G674" i="2"/>
  <c r="G675" i="2"/>
  <c r="H675" i="2" s="1"/>
  <c r="G676" i="2"/>
  <c r="H676" i="2" s="1"/>
  <c r="G677" i="2"/>
  <c r="H677" i="2" s="1"/>
  <c r="G678" i="2"/>
  <c r="H678" i="2" s="1"/>
  <c r="G679" i="2"/>
  <c r="H679" i="2" s="1"/>
  <c r="G680" i="2"/>
  <c r="G681" i="2"/>
  <c r="H681" i="2" s="1"/>
  <c r="G682" i="2"/>
  <c r="G683" i="2"/>
  <c r="H683" i="2" s="1"/>
  <c r="G684" i="2"/>
  <c r="H684" i="2" s="1"/>
  <c r="G685" i="2"/>
  <c r="H685" i="2" s="1"/>
  <c r="G686" i="2"/>
  <c r="H686" i="2" s="1"/>
  <c r="G687" i="2"/>
  <c r="G688" i="2"/>
  <c r="H688" i="2" s="1"/>
  <c r="G689" i="2"/>
  <c r="H689" i="2" s="1"/>
  <c r="G690" i="2"/>
  <c r="H690" i="2" s="1"/>
  <c r="G691" i="2"/>
  <c r="H691" i="2" s="1"/>
  <c r="G692" i="2"/>
  <c r="G693" i="2"/>
  <c r="H693" i="2" s="1"/>
  <c r="G694" i="2"/>
  <c r="H694" i="2" s="1"/>
  <c r="G695" i="2"/>
  <c r="H695" i="2" s="1"/>
  <c r="G696" i="2"/>
  <c r="H696" i="2" s="1"/>
  <c r="G697" i="2"/>
  <c r="G698" i="2"/>
  <c r="H698" i="2" s="1"/>
  <c r="G699" i="2"/>
  <c r="H699" i="2" s="1"/>
  <c r="G700" i="2"/>
  <c r="H700" i="2" s="1"/>
  <c r="G701" i="2"/>
  <c r="H701" i="2" s="1"/>
  <c r="G702" i="2"/>
  <c r="H702" i="2" s="1"/>
  <c r="G703" i="2"/>
  <c r="H703" i="2" s="1"/>
  <c r="G704" i="2"/>
  <c r="H704" i="2" s="1"/>
  <c r="G705" i="2"/>
  <c r="H705" i="2" s="1"/>
  <c r="G706" i="2"/>
  <c r="H706" i="2" s="1"/>
  <c r="G707" i="2"/>
  <c r="H707" i="2" s="1"/>
  <c r="G708" i="2"/>
  <c r="H708" i="2" s="1"/>
  <c r="G709" i="2"/>
  <c r="H709" i="2" s="1"/>
  <c r="G710" i="2"/>
  <c r="H710" i="2" s="1"/>
  <c r="G711" i="2"/>
  <c r="H711" i="2" s="1"/>
  <c r="G712" i="2"/>
  <c r="G713" i="2"/>
  <c r="H713" i="2" s="1"/>
  <c r="G714" i="2"/>
  <c r="H714" i="2" s="1"/>
  <c r="G715" i="2"/>
  <c r="H715" i="2" s="1"/>
  <c r="G716" i="2"/>
  <c r="H716" i="2" s="1"/>
  <c r="G717" i="2"/>
  <c r="H717" i="2" s="1"/>
  <c r="G718" i="2"/>
  <c r="H718" i="2" s="1"/>
  <c r="G719" i="2"/>
  <c r="H719" i="2" s="1"/>
  <c r="G720" i="2"/>
  <c r="H720" i="2" s="1"/>
  <c r="G721" i="2"/>
  <c r="H721" i="2" s="1"/>
  <c r="G722" i="2"/>
  <c r="H722" i="2" s="1"/>
  <c r="G723" i="2"/>
  <c r="H723" i="2" s="1"/>
  <c r="G724" i="2"/>
  <c r="H724" i="2" s="1"/>
  <c r="G725" i="2"/>
  <c r="H725" i="2" s="1"/>
  <c r="G726" i="2"/>
  <c r="H726" i="2" s="1"/>
  <c r="G727" i="2"/>
  <c r="G728" i="2"/>
  <c r="H728" i="2" s="1"/>
  <c r="G729" i="2"/>
  <c r="H729" i="2" s="1"/>
  <c r="G730" i="2"/>
  <c r="H730" i="2" s="1"/>
  <c r="G731" i="2"/>
  <c r="H731" i="2" s="1"/>
  <c r="G732" i="2"/>
  <c r="H732" i="2" s="1"/>
  <c r="G733" i="2"/>
  <c r="H733" i="2" s="1"/>
  <c r="G734" i="2"/>
  <c r="H734" i="2" s="1"/>
  <c r="G735" i="2"/>
  <c r="H735" i="2" s="1"/>
  <c r="G736" i="2"/>
  <c r="H736" i="2" s="1"/>
  <c r="G737" i="2"/>
  <c r="H737" i="2" s="1"/>
  <c r="G738" i="2"/>
  <c r="H738" i="2" s="1"/>
  <c r="G739" i="2"/>
  <c r="H739" i="2" s="1"/>
  <c r="G740" i="2"/>
  <c r="H740" i="2" s="1"/>
  <c r="G741" i="2"/>
  <c r="H741" i="2" s="1"/>
  <c r="G742" i="2"/>
  <c r="G743" i="2"/>
  <c r="H743" i="2" s="1"/>
  <c r="G744" i="2"/>
  <c r="H744" i="2" s="1"/>
  <c r="G745" i="2"/>
  <c r="H745" i="2" s="1"/>
  <c r="G746" i="2"/>
  <c r="H746" i="2" s="1"/>
  <c r="G747" i="2"/>
  <c r="H747" i="2" s="1"/>
  <c r="G748" i="2"/>
  <c r="H748" i="2" s="1"/>
  <c r="G749" i="2"/>
  <c r="H749" i="2" s="1"/>
  <c r="G750" i="2"/>
  <c r="H750" i="2" s="1"/>
  <c r="G751" i="2"/>
  <c r="H751" i="2" s="1"/>
  <c r="G752" i="2"/>
  <c r="H752" i="2" s="1"/>
  <c r="G753" i="2"/>
  <c r="H753" i="2" s="1"/>
  <c r="G754" i="2"/>
  <c r="H754" i="2" s="1"/>
  <c r="G755" i="2"/>
  <c r="H755" i="2" s="1"/>
  <c r="G756" i="2"/>
  <c r="H756" i="2" s="1"/>
  <c r="G757" i="2"/>
  <c r="G758" i="2"/>
  <c r="H758" i="2" s="1"/>
  <c r="G759" i="2"/>
  <c r="H759" i="2" s="1"/>
  <c r="G760" i="2"/>
  <c r="H760" i="2" s="1"/>
  <c r="G761" i="2"/>
  <c r="H761" i="2" s="1"/>
  <c r="G762" i="2"/>
  <c r="H762" i="2" s="1"/>
  <c r="G763" i="2"/>
  <c r="H763" i="2" s="1"/>
  <c r="G764" i="2"/>
  <c r="H764" i="2" s="1"/>
  <c r="G765" i="2"/>
  <c r="H765" i="2" s="1"/>
  <c r="G766" i="2"/>
  <c r="H766" i="2" s="1"/>
  <c r="G767" i="2"/>
  <c r="H767" i="2" s="1"/>
  <c r="G768" i="2"/>
  <c r="H768" i="2" s="1"/>
  <c r="G769" i="2"/>
  <c r="H769" i="2" s="1"/>
  <c r="G770" i="2"/>
  <c r="H770" i="2" s="1"/>
  <c r="G771" i="2"/>
  <c r="H771" i="2" s="1"/>
  <c r="G772" i="2"/>
  <c r="G773" i="2"/>
  <c r="H773" i="2" s="1"/>
  <c r="G774" i="2"/>
  <c r="H774" i="2" s="1"/>
  <c r="G775" i="2"/>
  <c r="H775" i="2" s="1"/>
  <c r="G776" i="2"/>
  <c r="H776" i="2" s="1"/>
  <c r="G777" i="2"/>
  <c r="G778" i="2"/>
  <c r="H778" i="2" s="1"/>
  <c r="G779" i="2"/>
  <c r="H779" i="2" s="1"/>
  <c r="G780" i="2"/>
  <c r="H780" i="2" s="1"/>
  <c r="G781" i="2"/>
  <c r="H781" i="2" s="1"/>
  <c r="G782" i="2"/>
  <c r="H782" i="2" s="1"/>
  <c r="G783" i="2"/>
  <c r="H783" i="2" s="1"/>
  <c r="G784" i="2"/>
  <c r="H784" i="2" s="1"/>
  <c r="G785" i="2"/>
  <c r="H785" i="2" s="1"/>
  <c r="G786" i="2"/>
  <c r="G787" i="2"/>
  <c r="H787" i="2" s="1"/>
  <c r="G788" i="2"/>
  <c r="H788" i="2" s="1"/>
  <c r="G789" i="2"/>
  <c r="H789" i="2" s="1"/>
  <c r="G790" i="2"/>
  <c r="H790" i="2" s="1"/>
  <c r="G791" i="2"/>
  <c r="H791" i="2" s="1"/>
  <c r="G792" i="2"/>
  <c r="H792" i="2" s="1"/>
  <c r="G793" i="2"/>
  <c r="H793" i="2" s="1"/>
  <c r="G794" i="2"/>
  <c r="H794" i="2" s="1"/>
  <c r="G795" i="2"/>
  <c r="H795" i="2" s="1"/>
  <c r="G796" i="2"/>
  <c r="H796" i="2" s="1"/>
  <c r="G797" i="2"/>
  <c r="H797" i="2" s="1"/>
  <c r="G798" i="2"/>
  <c r="H798" i="2" s="1"/>
  <c r="G799" i="2"/>
  <c r="H799" i="2" s="1"/>
  <c r="G800" i="2"/>
  <c r="H800" i="2" s="1"/>
  <c r="G801" i="2"/>
  <c r="G802" i="2"/>
  <c r="H802" i="2" s="1"/>
  <c r="G803" i="2"/>
  <c r="H803" i="2" s="1"/>
  <c r="G804" i="2"/>
  <c r="H804" i="2" s="1"/>
  <c r="G805" i="2"/>
  <c r="H805" i="2" s="1"/>
  <c r="G806" i="2"/>
  <c r="H806" i="2" s="1"/>
  <c r="G807" i="2"/>
  <c r="H807" i="2" s="1"/>
  <c r="G808" i="2"/>
  <c r="H808" i="2" s="1"/>
  <c r="G809" i="2"/>
  <c r="H809" i="2" s="1"/>
  <c r="G810" i="2"/>
  <c r="H810" i="2" s="1"/>
  <c r="G811" i="2"/>
  <c r="H811" i="2" s="1"/>
  <c r="G812" i="2"/>
  <c r="H812" i="2" s="1"/>
  <c r="G813" i="2"/>
  <c r="H813" i="2" s="1"/>
  <c r="G814" i="2"/>
  <c r="H814" i="2" s="1"/>
  <c r="G815" i="2"/>
  <c r="H815" i="2" s="1"/>
  <c r="G816" i="2"/>
  <c r="G817" i="2"/>
  <c r="H817" i="2" s="1"/>
  <c r="G818" i="2"/>
  <c r="H818" i="2" s="1"/>
  <c r="G819" i="2"/>
  <c r="H819" i="2" s="1"/>
  <c r="G820" i="2"/>
  <c r="H820" i="2" s="1"/>
  <c r="G821" i="2"/>
  <c r="H821" i="2" s="1"/>
  <c r="G822" i="2"/>
  <c r="G823" i="2"/>
  <c r="H823" i="2" s="1"/>
  <c r="G824" i="2"/>
  <c r="H824" i="2" s="1"/>
  <c r="G825" i="2"/>
  <c r="H825" i="2" s="1"/>
  <c r="G826" i="2"/>
  <c r="H826" i="2" s="1"/>
  <c r="G827" i="2"/>
  <c r="G828" i="2"/>
  <c r="H828" i="2" s="1"/>
  <c r="G829" i="2"/>
  <c r="H829" i="2" s="1"/>
  <c r="G830" i="2"/>
  <c r="H830" i="2" s="1"/>
  <c r="G831" i="2"/>
  <c r="H831" i="2" s="1"/>
  <c r="G832" i="2"/>
  <c r="G833" i="2"/>
  <c r="H833" i="2" s="1"/>
  <c r="G834" i="2"/>
  <c r="H834" i="2" s="1"/>
  <c r="G835" i="2"/>
  <c r="H835" i="2" s="1"/>
  <c r="G836" i="2"/>
  <c r="H836" i="2" s="1"/>
  <c r="G837" i="2"/>
  <c r="G838" i="2"/>
  <c r="H838" i="2" s="1"/>
  <c r="G839" i="2"/>
  <c r="H839" i="2" s="1"/>
  <c r="G840" i="2"/>
  <c r="H840" i="2" s="1"/>
  <c r="G841" i="2"/>
  <c r="H841" i="2" s="1"/>
  <c r="G842" i="2"/>
  <c r="G843" i="2"/>
  <c r="H843" i="2" s="1"/>
  <c r="G844" i="2"/>
  <c r="H844" i="2" s="1"/>
  <c r="G845" i="2"/>
  <c r="H845" i="2" s="1"/>
  <c r="G846" i="2"/>
  <c r="H846" i="2" s="1"/>
  <c r="G847" i="2"/>
  <c r="G848" i="2"/>
  <c r="H848" i="2" s="1"/>
  <c r="G849" i="2"/>
  <c r="H849" i="2" s="1"/>
  <c r="G850" i="2"/>
  <c r="H850" i="2" s="1"/>
  <c r="G851" i="2"/>
  <c r="H851" i="2" s="1"/>
  <c r="G852" i="2"/>
  <c r="G853" i="2"/>
  <c r="H853" i="2" s="1"/>
  <c r="G854" i="2"/>
  <c r="H854" i="2" s="1"/>
  <c r="G855" i="2"/>
  <c r="H855" i="2" s="1"/>
  <c r="G856" i="2"/>
  <c r="H856" i="2" s="1"/>
  <c r="G857" i="2"/>
  <c r="G858" i="2"/>
  <c r="H858" i="2" s="1"/>
  <c r="G859" i="2"/>
  <c r="H859" i="2" s="1"/>
  <c r="G860" i="2"/>
  <c r="H860" i="2" s="1"/>
  <c r="G861" i="2"/>
  <c r="H861" i="2" s="1"/>
  <c r="G862" i="2"/>
  <c r="H862" i="2" s="1"/>
  <c r="G863" i="2"/>
  <c r="H863" i="2" s="1"/>
  <c r="G864" i="2"/>
  <c r="H864" i="2" s="1"/>
  <c r="G865" i="2"/>
  <c r="H865" i="2" s="1"/>
  <c r="G866" i="2"/>
  <c r="H866" i="2" s="1"/>
  <c r="G867" i="2"/>
  <c r="H867" i="2" s="1"/>
  <c r="G868" i="2"/>
  <c r="H868" i="2" s="1"/>
  <c r="G869" i="2"/>
  <c r="H869" i="2" s="1"/>
  <c r="G870" i="2"/>
  <c r="H870" i="2" s="1"/>
  <c r="G871" i="2"/>
  <c r="H871" i="2" s="1"/>
  <c r="G872" i="2"/>
  <c r="G873" i="2"/>
  <c r="H873" i="2" s="1"/>
  <c r="G874" i="2"/>
  <c r="H874" i="2" s="1"/>
  <c r="G875" i="2"/>
  <c r="H875" i="2" s="1"/>
  <c r="G876" i="2"/>
  <c r="H876" i="2" s="1"/>
  <c r="G877" i="2"/>
  <c r="G878" i="2"/>
  <c r="H878" i="2" s="1"/>
  <c r="G879" i="2"/>
  <c r="H879" i="2" s="1"/>
  <c r="G880" i="2"/>
  <c r="H880" i="2" s="1"/>
  <c r="G881" i="2"/>
  <c r="H881" i="2" s="1"/>
  <c r="G882" i="2"/>
  <c r="G883" i="2"/>
  <c r="H883" i="2" s="1"/>
  <c r="G884" i="2"/>
  <c r="H884" i="2" s="1"/>
  <c r="G885" i="2"/>
  <c r="H885" i="2" s="1"/>
  <c r="G886" i="2"/>
  <c r="H886" i="2" s="1"/>
  <c r="G887" i="2"/>
  <c r="G888" i="2"/>
  <c r="H888" i="2" s="1"/>
  <c r="G889" i="2"/>
  <c r="H889" i="2" s="1"/>
  <c r="G890" i="2"/>
  <c r="H890" i="2" s="1"/>
  <c r="G891" i="2"/>
  <c r="H891" i="2" s="1"/>
  <c r="G892" i="2"/>
  <c r="G893" i="2"/>
  <c r="H893" i="2" s="1"/>
  <c r="G894" i="2"/>
  <c r="H894" i="2" s="1"/>
  <c r="G895" i="2"/>
  <c r="H895" i="2" s="1"/>
  <c r="G896" i="2"/>
  <c r="H896" i="2" s="1"/>
  <c r="G897" i="2"/>
  <c r="G898" i="2"/>
  <c r="H898" i="2" s="1"/>
  <c r="G899" i="2"/>
  <c r="H899" i="2" s="1"/>
  <c r="G900" i="2"/>
  <c r="H900" i="2" s="1"/>
  <c r="G901" i="2"/>
  <c r="H901" i="2" s="1"/>
  <c r="G902" i="2"/>
  <c r="H902" i="2" s="1"/>
  <c r="G903" i="2"/>
  <c r="H903" i="2" s="1"/>
  <c r="G904" i="2"/>
  <c r="H904" i="2" s="1"/>
  <c r="G905" i="2"/>
  <c r="H905" i="2" s="1"/>
  <c r="G906" i="2"/>
  <c r="H906" i="2" s="1"/>
  <c r="G907" i="2"/>
  <c r="H907" i="2" s="1"/>
  <c r="G908" i="2"/>
  <c r="H908" i="2" s="1"/>
  <c r="G909" i="2"/>
  <c r="H909" i="2" s="1"/>
  <c r="G910" i="2"/>
  <c r="H910" i="2" s="1"/>
  <c r="G911" i="2"/>
  <c r="H911" i="2" s="1"/>
  <c r="G912" i="2"/>
  <c r="G913" i="2"/>
  <c r="H913" i="2" s="1"/>
  <c r="G914" i="2"/>
  <c r="H914" i="2" s="1"/>
  <c r="G915" i="2"/>
  <c r="H915" i="2" s="1"/>
  <c r="G916" i="2"/>
  <c r="H916" i="2" s="1"/>
  <c r="G917" i="2"/>
  <c r="H917" i="2" s="1"/>
  <c r="G918" i="2"/>
  <c r="H918" i="2" s="1"/>
  <c r="G919" i="2"/>
  <c r="H919" i="2" s="1"/>
  <c r="G920" i="2"/>
  <c r="H920" i="2" s="1"/>
  <c r="G921" i="2"/>
  <c r="H921" i="2" s="1"/>
  <c r="G922" i="2"/>
  <c r="H922" i="2" s="1"/>
  <c r="G923" i="2"/>
  <c r="H923" i="2" s="1"/>
  <c r="G924" i="2"/>
  <c r="H924" i="2" s="1"/>
  <c r="G925" i="2"/>
  <c r="H925" i="2" s="1"/>
  <c r="G926" i="2"/>
  <c r="H926" i="2" s="1"/>
  <c r="G927" i="2"/>
  <c r="G928" i="2"/>
  <c r="H928" i="2" s="1"/>
  <c r="G929" i="2"/>
  <c r="H929" i="2" s="1"/>
  <c r="G930" i="2"/>
  <c r="H930" i="2" s="1"/>
  <c r="G931" i="2"/>
  <c r="H931" i="2" s="1"/>
  <c r="G932" i="2"/>
  <c r="H932" i="2" s="1"/>
  <c r="G933" i="2"/>
  <c r="H933" i="2" s="1"/>
  <c r="G934" i="2"/>
  <c r="H934" i="2" s="1"/>
  <c r="G935" i="2"/>
  <c r="H935" i="2" s="1"/>
  <c r="G936" i="2"/>
  <c r="H936" i="2" s="1"/>
  <c r="G937" i="2"/>
  <c r="H937" i="2" s="1"/>
  <c r="G938" i="2"/>
  <c r="H938" i="2" s="1"/>
  <c r="G939" i="2"/>
  <c r="H939" i="2" s="1"/>
  <c r="G940" i="2"/>
  <c r="H940" i="2" s="1"/>
  <c r="G941" i="2"/>
  <c r="H941" i="2" s="1"/>
  <c r="G942" i="2"/>
  <c r="G943" i="2"/>
  <c r="H943" i="2" s="1"/>
  <c r="G944" i="2"/>
  <c r="H944" i="2" s="1"/>
  <c r="G945" i="2"/>
  <c r="H945" i="2" s="1"/>
  <c r="G946" i="2"/>
  <c r="H946" i="2" s="1"/>
  <c r="G947" i="2"/>
  <c r="H947" i="2" s="1"/>
  <c r="G948" i="2"/>
  <c r="H948" i="2" s="1"/>
  <c r="G949" i="2"/>
  <c r="H949" i="2" s="1"/>
  <c r="G950" i="2"/>
  <c r="H950" i="2" s="1"/>
  <c r="G951" i="2"/>
  <c r="H951" i="2" s="1"/>
  <c r="G952" i="2"/>
  <c r="H952" i="2" s="1"/>
  <c r="G953" i="2"/>
  <c r="H953" i="2" s="1"/>
  <c r="G954" i="2"/>
  <c r="H954" i="2" s="1"/>
  <c r="G955" i="2"/>
  <c r="H955" i="2" s="1"/>
  <c r="G956" i="2"/>
  <c r="H956" i="2" s="1"/>
  <c r="G957" i="2"/>
  <c r="G958" i="2"/>
  <c r="H958" i="2" s="1"/>
  <c r="G959" i="2"/>
  <c r="H959" i="2" s="1"/>
  <c r="G960" i="2"/>
  <c r="H960" i="2" s="1"/>
  <c r="G961" i="2"/>
  <c r="H961" i="2" s="1"/>
  <c r="G962" i="2"/>
  <c r="G963" i="2"/>
  <c r="H963" i="2" s="1"/>
  <c r="G964" i="2"/>
  <c r="H964" i="2" s="1"/>
  <c r="G965" i="2"/>
  <c r="H965" i="2" s="1"/>
  <c r="G966" i="2"/>
  <c r="H966" i="2" s="1"/>
  <c r="G967" i="2"/>
  <c r="G968" i="2"/>
  <c r="H968" i="2" s="1"/>
  <c r="G969" i="2"/>
  <c r="H969" i="2" s="1"/>
  <c r="G970" i="2"/>
  <c r="H970" i="2" s="1"/>
  <c r="G971" i="2"/>
  <c r="H971" i="2" s="1"/>
  <c r="G972" i="2"/>
  <c r="H972" i="2" s="1"/>
  <c r="G973" i="2"/>
  <c r="H973" i="2" s="1"/>
  <c r="G974" i="2"/>
  <c r="G975" i="2"/>
  <c r="H975" i="2" s="1"/>
  <c r="G976" i="2"/>
  <c r="H976" i="2" s="1"/>
  <c r="G977" i="2"/>
  <c r="G978" i="2"/>
  <c r="G979" i="2"/>
  <c r="H979" i="2" s="1"/>
  <c r="G980" i="2"/>
  <c r="H980" i="2" s="1"/>
  <c r="G981" i="2"/>
  <c r="H981" i="2" s="1"/>
  <c r="G982" i="2"/>
  <c r="H982" i="2" s="1"/>
  <c r="G983" i="2"/>
  <c r="H983" i="2" s="1"/>
  <c r="G984" i="2"/>
  <c r="H984" i="2" s="1"/>
  <c r="G985" i="2"/>
  <c r="H985" i="2" s="1"/>
  <c r="G986" i="2"/>
  <c r="H986" i="2" s="1"/>
  <c r="G987" i="2"/>
  <c r="G988" i="2"/>
  <c r="H988" i="2" s="1"/>
  <c r="G989" i="2"/>
  <c r="H989" i="2" s="1"/>
  <c r="G990" i="2"/>
  <c r="H990" i="2" s="1"/>
  <c r="G991" i="2"/>
  <c r="H991" i="2" s="1"/>
  <c r="G992" i="2"/>
  <c r="H992" i="2" s="1"/>
  <c r="G993" i="2"/>
  <c r="H993" i="2" s="1"/>
  <c r="G994" i="2"/>
  <c r="H994" i="2" s="1"/>
  <c r="G995" i="2"/>
  <c r="G996" i="2"/>
  <c r="G997" i="2"/>
  <c r="G998" i="2"/>
  <c r="G999" i="2"/>
  <c r="H999" i="2" s="1"/>
  <c r="G1000" i="2"/>
  <c r="H1000" i="2" s="1"/>
  <c r="G1001" i="2"/>
  <c r="H1001" i="2" s="1"/>
  <c r="G1002" i="2"/>
  <c r="H1002" i="2" s="1"/>
  <c r="G1003" i="2"/>
  <c r="H1003" i="2" s="1"/>
  <c r="G1004" i="2"/>
  <c r="G1005" i="2"/>
  <c r="H1005" i="2" s="1"/>
  <c r="G1006" i="2"/>
  <c r="H1006" i="2" s="1"/>
  <c r="G1007" i="2"/>
  <c r="H1007" i="2" s="1"/>
  <c r="G1008" i="2"/>
  <c r="H1008" i="2" s="1"/>
  <c r="G1009" i="2"/>
  <c r="H1009" i="2" s="1"/>
  <c r="G1010" i="2"/>
  <c r="G1011" i="2"/>
  <c r="H1011" i="2" s="1"/>
  <c r="G1012" i="2"/>
  <c r="H1012" i="2" s="1"/>
  <c r="G1013" i="2"/>
  <c r="H1013" i="2" s="1"/>
  <c r="G1014" i="2"/>
  <c r="H1014" i="2" s="1"/>
  <c r="G1015" i="2"/>
  <c r="H1015" i="2" s="1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H1072" i="2" s="1"/>
  <c r="G1073" i="2"/>
  <c r="H1073" i="2" s="1"/>
  <c r="G1074" i="2"/>
  <c r="G1075" i="2"/>
  <c r="H1075" i="2" s="1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H1123" i="2" s="1"/>
  <c r="G1124" i="2"/>
  <c r="G1125" i="2"/>
  <c r="H1125" i="2" s="1"/>
  <c r="G1126" i="2"/>
  <c r="G1127" i="2"/>
  <c r="H1127" i="2" s="1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H1168" i="2" s="1"/>
  <c r="G1169" i="2"/>
  <c r="G1170" i="2"/>
  <c r="G1171" i="2"/>
  <c r="G1172" i="2"/>
  <c r="G1173" i="2"/>
  <c r="G1174" i="2"/>
  <c r="G1175" i="2"/>
  <c r="G1176" i="2"/>
  <c r="G1177" i="2"/>
  <c r="H1177" i="2" s="1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H1193" i="2" s="1"/>
  <c r="G1194" i="2"/>
  <c r="G1195" i="2"/>
  <c r="H1195" i="2" s="1"/>
  <c r="G1196" i="2"/>
  <c r="G1197" i="2"/>
  <c r="H1197" i="2" s="1"/>
  <c r="G1198" i="2"/>
  <c r="G1199" i="2"/>
  <c r="G1200" i="2"/>
  <c r="G1201" i="2"/>
  <c r="G1202" i="2"/>
  <c r="G1203" i="2"/>
  <c r="H1203" i="2" s="1"/>
  <c r="G1204" i="2"/>
  <c r="G1205" i="2"/>
  <c r="G1206" i="2"/>
  <c r="G1207" i="2"/>
  <c r="G1208" i="2"/>
  <c r="H1208" i="2" s="1"/>
  <c r="G1209" i="2"/>
  <c r="H1209" i="2" s="1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H1266" i="2" s="1"/>
  <c r="G1267" i="2"/>
  <c r="H1267" i="2" s="1"/>
  <c r="G1268" i="2"/>
  <c r="G1269" i="2"/>
  <c r="H1269" i="2" s="1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H1314" i="2" s="1"/>
  <c r="G1315" i="2"/>
  <c r="H1315" i="2" s="1"/>
  <c r="G1316" i="2"/>
  <c r="G1317" i="2"/>
  <c r="H1317" i="2" s="1"/>
  <c r="G1318" i="2"/>
  <c r="H1318" i="2" s="1"/>
  <c r="G1319" i="2"/>
  <c r="G1320" i="2"/>
  <c r="H1320" i="2" s="1"/>
  <c r="G1321" i="2"/>
  <c r="H1321" i="2" s="1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H1339" i="2" s="1"/>
  <c r="G1340" i="2"/>
  <c r="G1341" i="2"/>
  <c r="G1342" i="2"/>
  <c r="H1342" i="2" s="1"/>
  <c r="G1343" i="2"/>
  <c r="H1343" i="2" s="1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H1357" i="2" s="1"/>
  <c r="G1358" i="2"/>
  <c r="G1359" i="2"/>
  <c r="H1359" i="2" s="1"/>
  <c r="G1360" i="2"/>
  <c r="G1361" i="2"/>
  <c r="H1361" i="2" s="1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H1392" i="2" s="1"/>
  <c r="G1393" i="2"/>
  <c r="G1394" i="2"/>
  <c r="H1394" i="2" s="1"/>
  <c r="G1395" i="2"/>
  <c r="H1395" i="2" s="1"/>
  <c r="G1396" i="2"/>
  <c r="H1396" i="2" s="1"/>
  <c r="G1397" i="2"/>
  <c r="H1397" i="2" s="1"/>
  <c r="G1398" i="2"/>
  <c r="H1398" i="2" s="1"/>
  <c r="G1399" i="2"/>
  <c r="H1399" i="2" s="1"/>
  <c r="G1400" i="2"/>
  <c r="H1400" i="2" s="1"/>
  <c r="G1401" i="2"/>
  <c r="H1401" i="2" s="1"/>
  <c r="G1402" i="2"/>
  <c r="H1402" i="2" s="1"/>
  <c r="G1403" i="2"/>
  <c r="H1403" i="2" s="1"/>
  <c r="G1404" i="2"/>
  <c r="H1404" i="2" s="1"/>
  <c r="G1405" i="2"/>
  <c r="H1405" i="2" s="1"/>
  <c r="G1406" i="2"/>
  <c r="H1406" i="2" s="1"/>
  <c r="G1407" i="2"/>
  <c r="H1407" i="2" s="1"/>
  <c r="G1408" i="2"/>
  <c r="H1408" i="2" s="1"/>
  <c r="G1409" i="2"/>
  <c r="H1409" i="2" s="1"/>
  <c r="G1410" i="2"/>
  <c r="H1410" i="2" s="1"/>
  <c r="G1411" i="2"/>
  <c r="H1411" i="2" s="1"/>
  <c r="G1412" i="2"/>
  <c r="H1412" i="2" s="1"/>
  <c r="G1413" i="2"/>
  <c r="G1414" i="2"/>
  <c r="H1414" i="2" s="1"/>
  <c r="G1415" i="2"/>
  <c r="H1415" i="2" s="1"/>
  <c r="G1416" i="2"/>
  <c r="H1416" i="2" s="1"/>
  <c r="G1417" i="2"/>
  <c r="H1417" i="2" s="1"/>
  <c r="G1418" i="2"/>
  <c r="H1418" i="2" s="1"/>
  <c r="G1419" i="2"/>
  <c r="H1419" i="2" s="1"/>
  <c r="G1420" i="2"/>
  <c r="H1420" i="2" s="1"/>
  <c r="G1421" i="2"/>
  <c r="H1421" i="2" s="1"/>
  <c r="G1422" i="2"/>
  <c r="H1422" i="2" s="1"/>
  <c r="G1423" i="2"/>
  <c r="G1424" i="2"/>
  <c r="H1424" i="2" s="1"/>
  <c r="G1425" i="2"/>
  <c r="H1425" i="2" s="1"/>
  <c r="G1426" i="2"/>
  <c r="H1426" i="2" s="1"/>
  <c r="G1427" i="2"/>
  <c r="H1427" i="2" s="1"/>
  <c r="G1428" i="2"/>
  <c r="H1428" i="2" s="1"/>
  <c r="G1429" i="2"/>
  <c r="H1429" i="2" s="1"/>
  <c r="G1430" i="2"/>
  <c r="H1430" i="2" s="1"/>
  <c r="G1431" i="2"/>
  <c r="G1432" i="2"/>
  <c r="H1432" i="2" s="1"/>
  <c r="G1433" i="2"/>
  <c r="H1433" i="2" s="1"/>
  <c r="G1434" i="2"/>
  <c r="H1434" i="2" s="1"/>
  <c r="G1435" i="2"/>
  <c r="H1435" i="2" s="1"/>
  <c r="G1436" i="2"/>
  <c r="G1437" i="2"/>
  <c r="H1437" i="2" s="1"/>
  <c r="G1438" i="2"/>
  <c r="H1438" i="2" s="1"/>
  <c r="G1439" i="2"/>
  <c r="H1439" i="2" s="1"/>
  <c r="G1440" i="2"/>
  <c r="H1440" i="2" s="1"/>
  <c r="G1441" i="2"/>
  <c r="H1441" i="2" s="1"/>
  <c r="G1442" i="2"/>
  <c r="H1442" i="2" s="1"/>
  <c r="G1443" i="2"/>
  <c r="H1443" i="2" s="1"/>
  <c r="G1444" i="2"/>
  <c r="H1444" i="2" s="1"/>
  <c r="G1445" i="2"/>
  <c r="H1445" i="2" s="1"/>
  <c r="G1446" i="2"/>
  <c r="H1446" i="2" s="1"/>
  <c r="G1447" i="2"/>
  <c r="H1447" i="2" s="1"/>
  <c r="G1448" i="2"/>
  <c r="H1448" i="2" s="1"/>
  <c r="G1449" i="2"/>
  <c r="G1450" i="2"/>
  <c r="H1450" i="2" s="1"/>
  <c r="G1451" i="2"/>
  <c r="H1451" i="2" s="1"/>
  <c r="G1452" i="2"/>
  <c r="H1452" i="2" s="1"/>
  <c r="G1453" i="2"/>
  <c r="H1453" i="2" s="1"/>
  <c r="G1454" i="2"/>
  <c r="H1454" i="2" s="1"/>
  <c r="G1455" i="2"/>
  <c r="H1455" i="2" s="1"/>
  <c r="G1456" i="2"/>
  <c r="H1456" i="2" s="1"/>
  <c r="G1457" i="2"/>
  <c r="H1457" i="2" s="1"/>
  <c r="G1458" i="2"/>
  <c r="H1458" i="2" s="1"/>
  <c r="G1459" i="2"/>
  <c r="H1459" i="2" s="1"/>
  <c r="G1460" i="2"/>
  <c r="H1460" i="2" s="1"/>
  <c r="G1461" i="2"/>
  <c r="G1462" i="2"/>
  <c r="H1462" i="2" s="1"/>
  <c r="G1463" i="2"/>
  <c r="H1463" i="2" s="1"/>
  <c r="G1464" i="2"/>
  <c r="H1464" i="2" s="1"/>
  <c r="G1465" i="2"/>
  <c r="H1465" i="2" s="1"/>
  <c r="G1466" i="2"/>
  <c r="H1466" i="2" s="1"/>
  <c r="G1467" i="2"/>
  <c r="H1467" i="2" s="1"/>
  <c r="G1468" i="2"/>
  <c r="H1468" i="2" s="1"/>
  <c r="G1469" i="2"/>
  <c r="H1469" i="2" s="1"/>
  <c r="G1470" i="2"/>
  <c r="H1470" i="2" s="1"/>
  <c r="G1471" i="2"/>
  <c r="H1471" i="2" s="1"/>
  <c r="G1472" i="2"/>
  <c r="H1472" i="2" s="1"/>
  <c r="G1473" i="2"/>
  <c r="G1474" i="2"/>
  <c r="H1474" i="2" s="1"/>
  <c r="G1475" i="2"/>
  <c r="H1475" i="2" s="1"/>
  <c r="G1476" i="2"/>
  <c r="H1476" i="2" s="1"/>
  <c r="G1477" i="2"/>
  <c r="H1477" i="2" s="1"/>
  <c r="G1478" i="2"/>
  <c r="H1478" i="2" s="1"/>
  <c r="G1479" i="2"/>
  <c r="H1479" i="2" s="1"/>
  <c r="G1480" i="2"/>
  <c r="H1480" i="2" s="1"/>
  <c r="G1481" i="2"/>
  <c r="H1481" i="2" s="1"/>
  <c r="G1482" i="2"/>
  <c r="H1482" i="2" s="1"/>
  <c r="G1483" i="2"/>
  <c r="H1483" i="2" s="1"/>
  <c r="G1484" i="2"/>
  <c r="H1484" i="2" s="1"/>
  <c r="G1485" i="2"/>
  <c r="G1486" i="2"/>
  <c r="H1486" i="2" s="1"/>
  <c r="G1487" i="2"/>
  <c r="H1487" i="2" s="1"/>
  <c r="G1488" i="2"/>
  <c r="H1488" i="2" s="1"/>
  <c r="G1489" i="2"/>
  <c r="H1489" i="2" s="1"/>
  <c r="G1490" i="2"/>
  <c r="H1490" i="2" s="1"/>
  <c r="G1491" i="2"/>
  <c r="H1491" i="2" s="1"/>
  <c r="G1492" i="2"/>
  <c r="H1492" i="2" s="1"/>
  <c r="G1493" i="2"/>
  <c r="H1493" i="2" s="1"/>
  <c r="G1494" i="2"/>
  <c r="H1494" i="2" s="1"/>
  <c r="G1495" i="2"/>
  <c r="H1495" i="2" s="1"/>
  <c r="G1496" i="2"/>
  <c r="H1496" i="2" s="1"/>
  <c r="G1497" i="2"/>
  <c r="H1497" i="2" s="1"/>
  <c r="G1498" i="2"/>
  <c r="H1498" i="2" s="1"/>
  <c r="G1499" i="2"/>
  <c r="H1499" i="2" s="1"/>
  <c r="G1500" i="2"/>
  <c r="H1500" i="2" s="1"/>
  <c r="G1501" i="2"/>
  <c r="H1501" i="2" s="1"/>
  <c r="G1502" i="2"/>
  <c r="H1502" i="2" s="1"/>
  <c r="G1503" i="2"/>
  <c r="H1503" i="2" s="1"/>
  <c r="G1504" i="2"/>
  <c r="H1504" i="2" s="1"/>
  <c r="G1505" i="2"/>
  <c r="G1506" i="2"/>
  <c r="H1506" i="2" s="1"/>
  <c r="G1507" i="2"/>
  <c r="H1507" i="2" s="1"/>
  <c r="G1508" i="2"/>
  <c r="H1508" i="2" s="1"/>
  <c r="G1509" i="2"/>
  <c r="H1509" i="2" s="1"/>
  <c r="G1510" i="2"/>
  <c r="H1510" i="2" s="1"/>
  <c r="G1511" i="2"/>
  <c r="H1511" i="2" s="1"/>
  <c r="G1512" i="2"/>
  <c r="H1512" i="2" s="1"/>
  <c r="G1513" i="2"/>
  <c r="H1513" i="2" s="1"/>
  <c r="G1514" i="2"/>
  <c r="H1514" i="2" s="1"/>
  <c r="G1515" i="2"/>
  <c r="H1515" i="2" s="1"/>
  <c r="G1516" i="2"/>
  <c r="H1516" i="2" s="1"/>
  <c r="G1517" i="2"/>
  <c r="H1517" i="2" s="1"/>
  <c r="G1518" i="2"/>
  <c r="H1518" i="2" s="1"/>
  <c r="G1519" i="2"/>
  <c r="H1519" i="2" s="1"/>
  <c r="G1520" i="2"/>
  <c r="H1520" i="2" s="1"/>
  <c r="G1521" i="2"/>
  <c r="G1522" i="2"/>
  <c r="H1522" i="2" s="1"/>
  <c r="G1523" i="2"/>
  <c r="H1523" i="2" s="1"/>
  <c r="G1524" i="2"/>
  <c r="H1524" i="2" s="1"/>
  <c r="G1525" i="2"/>
  <c r="H1525" i="2" s="1"/>
  <c r="G1526" i="2"/>
  <c r="H1526" i="2" s="1"/>
  <c r="G1527" i="2"/>
  <c r="H1527" i="2" s="1"/>
  <c r="G1528" i="2"/>
  <c r="H1528" i="2" s="1"/>
  <c r="G1529" i="2"/>
  <c r="H1529" i="2" s="1"/>
  <c r="G1530" i="2"/>
  <c r="H1530" i="2" s="1"/>
  <c r="G1531" i="2"/>
  <c r="H1531" i="2" s="1"/>
  <c r="G1532" i="2"/>
  <c r="H1532" i="2" s="1"/>
  <c r="G1533" i="2"/>
  <c r="H1533" i="2" s="1"/>
  <c r="G1534" i="2"/>
  <c r="H1534" i="2" s="1"/>
  <c r="G1535" i="2"/>
  <c r="G1536" i="2"/>
  <c r="H1536" i="2" s="1"/>
  <c r="G1537" i="2"/>
  <c r="H1537" i="2" s="1"/>
  <c r="G1538" i="2"/>
  <c r="H1538" i="2" s="1"/>
  <c r="G1539" i="2"/>
  <c r="H1539" i="2" s="1"/>
  <c r="G1540" i="2"/>
  <c r="H1540" i="2" s="1"/>
  <c r="G1541" i="2"/>
  <c r="H1541" i="2" s="1"/>
  <c r="G1542" i="2"/>
  <c r="G1543" i="2"/>
  <c r="H1543" i="2" s="1"/>
  <c r="G1544" i="2"/>
  <c r="H1544" i="2" s="1"/>
  <c r="G1545" i="2"/>
  <c r="H1545" i="2" s="1"/>
  <c r="G1546" i="2"/>
  <c r="H1546" i="2" s="1"/>
  <c r="G1547" i="2"/>
  <c r="H1547" i="2" s="1"/>
  <c r="G1548" i="2"/>
  <c r="H1548" i="2" s="1"/>
  <c r="G1549" i="2"/>
  <c r="H1549" i="2" s="1"/>
  <c r="G1550" i="2"/>
  <c r="H1550" i="2" s="1"/>
  <c r="G1551" i="2"/>
  <c r="H1551" i="2" s="1"/>
  <c r="G1552" i="2"/>
  <c r="H1552" i="2" s="1"/>
  <c r="G1553" i="2"/>
  <c r="H1553" i="2" s="1"/>
  <c r="G1554" i="2"/>
  <c r="H1554" i="2" s="1"/>
  <c r="G1555" i="2"/>
  <c r="G1556" i="2"/>
  <c r="H1556" i="2" s="1"/>
  <c r="G1557" i="2"/>
  <c r="H1557" i="2" s="1"/>
  <c r="G1558" i="2"/>
  <c r="H1558" i="2" s="1"/>
  <c r="G1559" i="2"/>
  <c r="H1559" i="2" s="1"/>
  <c r="G1560" i="2"/>
  <c r="H1560" i="2" s="1"/>
  <c r="G1561" i="2"/>
  <c r="H1561" i="2" s="1"/>
  <c r="G1562" i="2"/>
  <c r="H1562" i="2" s="1"/>
  <c r="G1563" i="2"/>
  <c r="H1563" i="2" s="1"/>
  <c r="G1564" i="2"/>
  <c r="H1564" i="2" s="1"/>
  <c r="G1565" i="2"/>
  <c r="H1565" i="2" s="1"/>
  <c r="G1566" i="2"/>
  <c r="H1566" i="2" s="1"/>
  <c r="G1567" i="2"/>
  <c r="H1567" i="2" s="1"/>
  <c r="G1568" i="2"/>
  <c r="H1568" i="2" s="1"/>
  <c r="G1569" i="2"/>
  <c r="H1569" i="2" s="1"/>
  <c r="G1570" i="2"/>
  <c r="H1570" i="2" s="1"/>
  <c r="G1571" i="2"/>
  <c r="H1571" i="2" s="1"/>
  <c r="G1572" i="2"/>
  <c r="G1573" i="2"/>
  <c r="H1573" i="2" s="1"/>
  <c r="G1574" i="2"/>
  <c r="H1574" i="2" s="1"/>
  <c r="G1575" i="2"/>
  <c r="H1575" i="2" s="1"/>
  <c r="G1576" i="2"/>
  <c r="H1576" i="2" s="1"/>
  <c r="G1577" i="2"/>
  <c r="H1577" i="2" s="1"/>
  <c r="G1578" i="2"/>
  <c r="H1578" i="2" s="1"/>
  <c r="G1579" i="2"/>
  <c r="H1579" i="2" s="1"/>
  <c r="G1580" i="2"/>
  <c r="H1580" i="2" s="1"/>
  <c r="G1581" i="2"/>
  <c r="H1581" i="2" s="1"/>
  <c r="G1582" i="2"/>
  <c r="H1582" i="2" s="1"/>
  <c r="G1583" i="2"/>
  <c r="H1583" i="2" s="1"/>
  <c r="G1584" i="2"/>
  <c r="G1585" i="2"/>
  <c r="H1585" i="2" s="1"/>
  <c r="G1586" i="2"/>
  <c r="H1586" i="2" s="1"/>
  <c r="G1587" i="2"/>
  <c r="H1587" i="2" s="1"/>
  <c r="G1588" i="2"/>
  <c r="H1588" i="2" s="1"/>
  <c r="G1589" i="2"/>
  <c r="H1589" i="2" s="1"/>
  <c r="G1590" i="2"/>
  <c r="H1590" i="2" s="1"/>
  <c r="G1591" i="2"/>
  <c r="H1591" i="2" s="1"/>
  <c r="G1592" i="2"/>
  <c r="H1592" i="2" s="1"/>
  <c r="G1593" i="2"/>
  <c r="H1593" i="2" s="1"/>
  <c r="G1594" i="2"/>
  <c r="H1594" i="2" s="1"/>
  <c r="G1595" i="2"/>
  <c r="H1595" i="2" s="1"/>
  <c r="G1596" i="2"/>
  <c r="H1596" i="2" s="1"/>
  <c r="G1597" i="2"/>
  <c r="H1597" i="2" s="1"/>
  <c r="G1598" i="2"/>
  <c r="H1598" i="2" s="1"/>
  <c r="G1599" i="2"/>
  <c r="H1599" i="2" s="1"/>
  <c r="G1600" i="2"/>
  <c r="H1600" i="2" s="1"/>
  <c r="G1601" i="2"/>
  <c r="H1601" i="2" s="1"/>
  <c r="G1602" i="2"/>
  <c r="H1602" i="2" s="1"/>
  <c r="G1603" i="2"/>
  <c r="H1603" i="2" s="1"/>
  <c r="G1604" i="2"/>
  <c r="G1605" i="2"/>
  <c r="H1605" i="2" s="1"/>
  <c r="G1606" i="2"/>
  <c r="H1606" i="2" s="1"/>
  <c r="G1607" i="2"/>
  <c r="H1607" i="2" s="1"/>
  <c r="G1608" i="2"/>
  <c r="H1608" i="2" s="1"/>
  <c r="G1609" i="2"/>
  <c r="H1609" i="2" s="1"/>
  <c r="G1610" i="2"/>
  <c r="H1610" i="2" s="1"/>
  <c r="G1611" i="2"/>
  <c r="H1611" i="2" s="1"/>
  <c r="G1612" i="2"/>
  <c r="H1612" i="2" s="1"/>
  <c r="G1613" i="2"/>
  <c r="H1613" i="2" s="1"/>
  <c r="G1614" i="2"/>
  <c r="H1614" i="2" s="1"/>
  <c r="G1615" i="2"/>
  <c r="H1615" i="2" s="1"/>
  <c r="G1616" i="2"/>
  <c r="H1616" i="2" s="1"/>
  <c r="G1617" i="2"/>
  <c r="H1617" i="2" s="1"/>
  <c r="G1618" i="2"/>
  <c r="H1618" i="2" s="1"/>
  <c r="G1619" i="2"/>
  <c r="H1619" i="2" s="1"/>
  <c r="G1620" i="2"/>
  <c r="G1621" i="2"/>
  <c r="H1621" i="2" s="1"/>
  <c r="G1622" i="2"/>
  <c r="H1622" i="2" s="1"/>
  <c r="G1623" i="2"/>
  <c r="H1623" i="2" s="1"/>
  <c r="G1624" i="2"/>
  <c r="H1624" i="2" s="1"/>
  <c r="G1625" i="2"/>
  <c r="H1625" i="2" s="1"/>
  <c r="G1626" i="2"/>
  <c r="H1626" i="2" s="1"/>
  <c r="G1627" i="2"/>
  <c r="H1627" i="2" s="1"/>
  <c r="G1628" i="2"/>
  <c r="H1628" i="2" s="1"/>
  <c r="G1629" i="2"/>
  <c r="H1629" i="2" s="1"/>
  <c r="G1630" i="2"/>
  <c r="H1630" i="2" s="1"/>
  <c r="G1631" i="2"/>
  <c r="H1631" i="2" s="1"/>
  <c r="G1632" i="2"/>
  <c r="H1632" i="2" s="1"/>
  <c r="G1633" i="2"/>
  <c r="H1633" i="2" s="1"/>
  <c r="G1634" i="2"/>
  <c r="H1634" i="2" s="1"/>
  <c r="G1635" i="2"/>
  <c r="H1635" i="2" s="1"/>
  <c r="G1636" i="2"/>
  <c r="H1636" i="2" s="1"/>
  <c r="G1637" i="2"/>
  <c r="H1637" i="2" s="1"/>
  <c r="G1638" i="2"/>
  <c r="G1639" i="2"/>
  <c r="H1639" i="2" s="1"/>
  <c r="G1640" i="2"/>
  <c r="H1640" i="2" s="1"/>
  <c r="G1641" i="2"/>
  <c r="H1641" i="2" s="1"/>
  <c r="G1642" i="2"/>
  <c r="H1642" i="2" s="1"/>
  <c r="G1643" i="2"/>
  <c r="H1643" i="2" s="1"/>
  <c r="G1644" i="2"/>
  <c r="H1644" i="2" s="1"/>
  <c r="G1645" i="2"/>
  <c r="H1645" i="2" s="1"/>
  <c r="G1646" i="2"/>
  <c r="H1646" i="2" s="1"/>
  <c r="G1647" i="2"/>
  <c r="H1647" i="2" s="1"/>
  <c r="G1648" i="2"/>
  <c r="H1648" i="2" s="1"/>
  <c r="G1649" i="2"/>
  <c r="H1649" i="2" s="1"/>
  <c r="G1650" i="2"/>
  <c r="G1651" i="2"/>
  <c r="H1651" i="2" s="1"/>
  <c r="G1652" i="2"/>
  <c r="H1652" i="2" s="1"/>
  <c r="G1653" i="2"/>
  <c r="H1653" i="2" s="1"/>
  <c r="G1654" i="2"/>
  <c r="H1654" i="2" s="1"/>
  <c r="G1655" i="2"/>
  <c r="H1655" i="2" s="1"/>
  <c r="G1656" i="2"/>
  <c r="H1656" i="2" s="1"/>
  <c r="G1657" i="2"/>
  <c r="H1657" i="2" s="1"/>
  <c r="G1658" i="2"/>
  <c r="G1659" i="2"/>
  <c r="H1659" i="2" s="1"/>
  <c r="G1660" i="2"/>
  <c r="H1660" i="2" s="1"/>
  <c r="G1661" i="2"/>
  <c r="H1661" i="2" s="1"/>
  <c r="G1662" i="2"/>
  <c r="H1662" i="2" s="1"/>
  <c r="G1663" i="2"/>
  <c r="H1663" i="2" s="1"/>
  <c r="G1664" i="2"/>
  <c r="H1664" i="2" s="1"/>
  <c r="G1665" i="2"/>
  <c r="H1665" i="2" s="1"/>
  <c r="G1666" i="2"/>
  <c r="H1666" i="2" s="1"/>
  <c r="G1667" i="2"/>
  <c r="H1667" i="2" s="1"/>
  <c r="G1668" i="2"/>
  <c r="G1669" i="2"/>
  <c r="H1669" i="2" s="1"/>
  <c r="G1670" i="2"/>
  <c r="H1670" i="2" s="1"/>
  <c r="G1671" i="2"/>
  <c r="H1671" i="2" s="1"/>
  <c r="G1672" i="2"/>
  <c r="H1672" i="2" s="1"/>
  <c r="G1673" i="2"/>
  <c r="H1673" i="2" s="1"/>
  <c r="G1674" i="2"/>
  <c r="H1674" i="2" s="1"/>
  <c r="G1675" i="2"/>
  <c r="H1675" i="2" s="1"/>
  <c r="G1676" i="2"/>
  <c r="H1676" i="2" s="1"/>
  <c r="G1677" i="2"/>
  <c r="H1677" i="2" s="1"/>
  <c r="G1678" i="2"/>
  <c r="G1679" i="2"/>
  <c r="H1679" i="2" s="1"/>
  <c r="G1680" i="2"/>
  <c r="H1680" i="2" s="1"/>
  <c r="G1681" i="2"/>
  <c r="H1681" i="2" s="1"/>
  <c r="G1682" i="2"/>
  <c r="H1682" i="2" s="1"/>
  <c r="G1683" i="2"/>
  <c r="H1683" i="2" s="1"/>
  <c r="G1684" i="2"/>
  <c r="H1684" i="2" s="1"/>
  <c r="G1685" i="2"/>
  <c r="H1685" i="2" s="1"/>
  <c r="G1686" i="2"/>
  <c r="G1687" i="2"/>
  <c r="H1687" i="2" s="1"/>
  <c r="G1688" i="2"/>
  <c r="H1688" i="2" s="1"/>
  <c r="G1689" i="2"/>
  <c r="H1689" i="2" s="1"/>
  <c r="G1690" i="2"/>
  <c r="H1690" i="2" s="1"/>
  <c r="G1691" i="2"/>
  <c r="H1691" i="2" s="1"/>
  <c r="G1692" i="2"/>
  <c r="H1692" i="2" s="1"/>
  <c r="G1693" i="2"/>
  <c r="H1693" i="2" s="1"/>
  <c r="G1694" i="2"/>
  <c r="H1694" i="2" s="1"/>
  <c r="G1695" i="2"/>
  <c r="H1695" i="2" s="1"/>
  <c r="G1696" i="2"/>
  <c r="H1696" i="2" s="1"/>
  <c r="G1697" i="2"/>
  <c r="G1698" i="2"/>
  <c r="H1698" i="2" s="1"/>
  <c r="G1699" i="2"/>
  <c r="H1699" i="2" s="1"/>
  <c r="G1700" i="2"/>
  <c r="H1700" i="2" s="1"/>
  <c r="G1701" i="2"/>
  <c r="H1701" i="2" s="1"/>
  <c r="G1702" i="2"/>
  <c r="H1702" i="2" s="1"/>
  <c r="G1703" i="2"/>
  <c r="H1703" i="2" s="1"/>
  <c r="G1704" i="2"/>
  <c r="H1704" i="2" s="1"/>
  <c r="G1705" i="2"/>
  <c r="H1705" i="2" s="1"/>
  <c r="G1706" i="2"/>
  <c r="H1706" i="2" s="1"/>
  <c r="G1707" i="2"/>
  <c r="G1708" i="2"/>
  <c r="H1708" i="2" s="1"/>
  <c r="G1709" i="2"/>
  <c r="H1709" i="2" s="1"/>
  <c r="G1710" i="2"/>
  <c r="H1710" i="2" s="1"/>
  <c r="G1711" i="2"/>
  <c r="H1711" i="2" s="1"/>
  <c r="G1712" i="2"/>
  <c r="H1712" i="2" s="1"/>
  <c r="G1713" i="2"/>
  <c r="H1713" i="2" s="1"/>
  <c r="G1714" i="2"/>
  <c r="H1714" i="2" s="1"/>
  <c r="G1715" i="2"/>
  <c r="H1715" i="2" s="1"/>
  <c r="G1716" i="2"/>
  <c r="H1716" i="2" s="1"/>
  <c r="G1717" i="2"/>
  <c r="G1718" i="2"/>
  <c r="H1718" i="2" s="1"/>
  <c r="G1719" i="2"/>
  <c r="H1719" i="2" s="1"/>
  <c r="G1720" i="2"/>
  <c r="H1720" i="2" s="1"/>
  <c r="G1721" i="2"/>
  <c r="H1721" i="2" s="1"/>
  <c r="G1722" i="2"/>
  <c r="H1722" i="2" s="1"/>
  <c r="G1723" i="2"/>
  <c r="H1723" i="2" s="1"/>
  <c r="G1724" i="2"/>
  <c r="H1724" i="2" s="1"/>
  <c r="G1725" i="2"/>
  <c r="H1725" i="2" s="1"/>
  <c r="G1726" i="2"/>
  <c r="H1726" i="2" s="1"/>
  <c r="G1727" i="2"/>
  <c r="H1727" i="2" s="1"/>
  <c r="G1728" i="2"/>
  <c r="H1728" i="2" s="1"/>
  <c r="G1729" i="2"/>
  <c r="G1730" i="2"/>
  <c r="H1730" i="2" s="1"/>
  <c r="G1731" i="2"/>
  <c r="H1731" i="2" s="1"/>
  <c r="G1732" i="2"/>
  <c r="H1732" i="2" s="1"/>
  <c r="G1733" i="2"/>
  <c r="H1733" i="2" s="1"/>
  <c r="G1734" i="2"/>
  <c r="H1734" i="2" s="1"/>
  <c r="G1735" i="2"/>
  <c r="H1735" i="2" s="1"/>
  <c r="G1736" i="2"/>
  <c r="H1736" i="2" s="1"/>
  <c r="G1737" i="2"/>
  <c r="H1737" i="2" s="1"/>
  <c r="G1738" i="2"/>
  <c r="H1738" i="2" s="1"/>
  <c r="G1739" i="2"/>
  <c r="H1739" i="2" s="1"/>
  <c r="G1740" i="2"/>
  <c r="H1740" i="2" s="1"/>
  <c r="G1741" i="2"/>
  <c r="H1741" i="2" s="1"/>
  <c r="G1742" i="2"/>
  <c r="H1742" i="2" s="1"/>
  <c r="G1743" i="2"/>
  <c r="H1743" i="2" s="1"/>
  <c r="G1744" i="2"/>
  <c r="H1744" i="2" s="1"/>
  <c r="G1745" i="2"/>
  <c r="G1746" i="2"/>
  <c r="H1746" i="2" s="1"/>
  <c r="G1747" i="2"/>
  <c r="H1747" i="2" s="1"/>
  <c r="G1748" i="2"/>
  <c r="H1748" i="2" s="1"/>
  <c r="G1749" i="2"/>
  <c r="H1749" i="2" s="1"/>
  <c r="G1750" i="2"/>
  <c r="H1750" i="2" s="1"/>
  <c r="G1751" i="2"/>
  <c r="H1751" i="2" s="1"/>
  <c r="G1752" i="2"/>
  <c r="H1752" i="2" s="1"/>
  <c r="G1753" i="2"/>
  <c r="G1754" i="2"/>
  <c r="H1754" i="2" s="1"/>
  <c r="G1755" i="2"/>
  <c r="H1755" i="2" s="1"/>
  <c r="G1756" i="2"/>
  <c r="H1756" i="2" s="1"/>
  <c r="G1757" i="2"/>
  <c r="H1757" i="2" s="1"/>
  <c r="G1758" i="2"/>
  <c r="H1758" i="2" s="1"/>
  <c r="G1759" i="2"/>
  <c r="H1759" i="2" s="1"/>
  <c r="G1760" i="2"/>
  <c r="H1760" i="2" s="1"/>
  <c r="G1761" i="2"/>
  <c r="H1761" i="2" s="1"/>
  <c r="G1762" i="2"/>
  <c r="G1763" i="2"/>
  <c r="H1763" i="2" s="1"/>
  <c r="G1764" i="2"/>
  <c r="H1764" i="2" s="1"/>
  <c r="G1765" i="2"/>
  <c r="H1765" i="2" s="1"/>
  <c r="G1766" i="2"/>
  <c r="H1766" i="2" s="1"/>
  <c r="G1767" i="2"/>
  <c r="H1767" i="2" s="1"/>
  <c r="G1768" i="2"/>
  <c r="H1768" i="2" s="1"/>
  <c r="G1769" i="2"/>
  <c r="H1769" i="2" s="1"/>
  <c r="G1770" i="2"/>
  <c r="H1770" i="2" s="1"/>
  <c r="G1771" i="2"/>
  <c r="H1771" i="2" s="1"/>
  <c r="G1772" i="2"/>
  <c r="G1773" i="2"/>
  <c r="H1773" i="2" s="1"/>
  <c r="G1774" i="2"/>
  <c r="H1774" i="2" s="1"/>
  <c r="G1775" i="2"/>
  <c r="H1775" i="2" s="1"/>
  <c r="G1776" i="2"/>
  <c r="H1776" i="2" s="1"/>
  <c r="G1777" i="2"/>
  <c r="H1777" i="2" s="1"/>
  <c r="G1778" i="2"/>
  <c r="H1778" i="2" s="1"/>
  <c r="G1779" i="2"/>
  <c r="H1779" i="2" s="1"/>
  <c r="G1780" i="2"/>
  <c r="H1780" i="2" s="1"/>
  <c r="G1781" i="2"/>
  <c r="H1781" i="2" s="1"/>
  <c r="G1782" i="2"/>
  <c r="G1783" i="2"/>
  <c r="H1783" i="2" s="1"/>
  <c r="G1784" i="2"/>
  <c r="H1784" i="2" s="1"/>
  <c r="G1785" i="2"/>
  <c r="H1785" i="2" s="1"/>
  <c r="G1786" i="2"/>
  <c r="H1786" i="2" s="1"/>
  <c r="G1787" i="2"/>
  <c r="H1787" i="2" s="1"/>
  <c r="G1788" i="2"/>
  <c r="H1788" i="2" s="1"/>
  <c r="G1789" i="2"/>
  <c r="H1789" i="2" s="1"/>
  <c r="G1790" i="2"/>
  <c r="H1790" i="2" s="1"/>
  <c r="G1791" i="2"/>
  <c r="G1792" i="2"/>
  <c r="H1792" i="2" s="1"/>
  <c r="G1793" i="2"/>
  <c r="H1793" i="2" s="1"/>
  <c r="G1794" i="2"/>
  <c r="H1794" i="2" s="1"/>
  <c r="G1795" i="2"/>
  <c r="H1795" i="2" s="1"/>
  <c r="G1796" i="2"/>
  <c r="H1796" i="2" s="1"/>
  <c r="G1797" i="2"/>
  <c r="H1797" i="2" s="1"/>
  <c r="G1798" i="2"/>
  <c r="H1798" i="2" s="1"/>
  <c r="G1799" i="2"/>
  <c r="H1799" i="2" s="1"/>
  <c r="G1800" i="2"/>
  <c r="H1800" i="2" s="1"/>
  <c r="G1801" i="2"/>
  <c r="G1802" i="2"/>
  <c r="H1802" i="2" s="1"/>
  <c r="G1803" i="2"/>
  <c r="H1803" i="2" s="1"/>
  <c r="G1804" i="2"/>
  <c r="H1804" i="2" s="1"/>
  <c r="G1805" i="2"/>
  <c r="H1805" i="2" s="1"/>
  <c r="G1806" i="2"/>
  <c r="H1806" i="2" s="1"/>
  <c r="G1807" i="2"/>
  <c r="H1807" i="2" s="1"/>
  <c r="G1808" i="2"/>
  <c r="H1808" i="2" s="1"/>
  <c r="G1809" i="2"/>
  <c r="H1809" i="2" s="1"/>
  <c r="G1810" i="2"/>
  <c r="H1810" i="2" s="1"/>
  <c r="G1811" i="2"/>
  <c r="H1811" i="2" s="1"/>
  <c r="G1812" i="2"/>
  <c r="H1812" i="2" s="1"/>
  <c r="G1813" i="2"/>
  <c r="H1813" i="2" s="1"/>
  <c r="G1814" i="2"/>
  <c r="G1815" i="2"/>
  <c r="H1815" i="2" s="1"/>
  <c r="G1816" i="2"/>
  <c r="H1816" i="2" s="1"/>
  <c r="G1817" i="2"/>
  <c r="H1817" i="2" s="1"/>
  <c r="G1818" i="2"/>
  <c r="H1818" i="2" s="1"/>
  <c r="G1819" i="2"/>
  <c r="H1819" i="2" s="1"/>
  <c r="G1820" i="2"/>
  <c r="H1820" i="2" s="1"/>
  <c r="G1821" i="2"/>
  <c r="H1821" i="2" s="1"/>
  <c r="G1822" i="2"/>
  <c r="H1822" i="2" s="1"/>
  <c r="G1823" i="2"/>
  <c r="G1824" i="2"/>
  <c r="H1824" i="2" s="1"/>
  <c r="G1825" i="2"/>
  <c r="H1825" i="2" s="1"/>
  <c r="G1826" i="2"/>
  <c r="H1826" i="2" s="1"/>
  <c r="G1827" i="2"/>
  <c r="H1827" i="2" s="1"/>
  <c r="G1828" i="2"/>
  <c r="H1828" i="2" s="1"/>
  <c r="G1829" i="2"/>
  <c r="H1829" i="2" s="1"/>
  <c r="G1830" i="2"/>
  <c r="H1830" i="2" s="1"/>
  <c r="G1831" i="2"/>
  <c r="H1831" i="2" s="1"/>
  <c r="G1832" i="2"/>
  <c r="H1832" i="2" s="1"/>
  <c r="G1833" i="2"/>
  <c r="G1834" i="2"/>
  <c r="H1834" i="2" s="1"/>
  <c r="G1835" i="2"/>
  <c r="H1835" i="2" s="1"/>
  <c r="G1836" i="2"/>
  <c r="H1836" i="2" s="1"/>
  <c r="G1837" i="2"/>
  <c r="H1837" i="2" s="1"/>
  <c r="G1838" i="2"/>
  <c r="H1838" i="2" s="1"/>
  <c r="G1839" i="2"/>
  <c r="H1839" i="2" s="1"/>
  <c r="G1840" i="2"/>
  <c r="H1840" i="2" s="1"/>
  <c r="G1841" i="2"/>
  <c r="H1841" i="2" s="1"/>
  <c r="G1842" i="2"/>
  <c r="G1843" i="2"/>
  <c r="H1843" i="2" s="1"/>
  <c r="G1844" i="2"/>
  <c r="H1844" i="2" s="1"/>
  <c r="G1845" i="2"/>
  <c r="H1845" i="2" s="1"/>
  <c r="G1846" i="2"/>
  <c r="H1846" i="2" s="1"/>
  <c r="G1847" i="2"/>
  <c r="H1847" i="2" s="1"/>
  <c r="G1848" i="2"/>
  <c r="H1848" i="2" s="1"/>
  <c r="G1849" i="2"/>
  <c r="H1849" i="2" s="1"/>
  <c r="G1850" i="2"/>
  <c r="H1850" i="2" s="1"/>
  <c r="G1851" i="2"/>
  <c r="H1851" i="2" s="1"/>
  <c r="G1852" i="2"/>
  <c r="G1853" i="2"/>
  <c r="H1853" i="2" s="1"/>
  <c r="G1854" i="2"/>
  <c r="H1854" i="2" s="1"/>
  <c r="G1855" i="2"/>
  <c r="H1855" i="2" s="1"/>
  <c r="G1856" i="2"/>
  <c r="H1856" i="2" s="1"/>
  <c r="G1857" i="2"/>
  <c r="H1857" i="2" s="1"/>
  <c r="G1858" i="2"/>
  <c r="H1858" i="2" s="1"/>
  <c r="G1859" i="2"/>
  <c r="H1859" i="2" s="1"/>
  <c r="G1860" i="2"/>
  <c r="H1860" i="2" s="1"/>
  <c r="G1861" i="2"/>
  <c r="G1862" i="2"/>
  <c r="H1862" i="2" s="1"/>
  <c r="G1863" i="2"/>
  <c r="H1863" i="2" s="1"/>
  <c r="G1864" i="2"/>
  <c r="H1864" i="2" s="1"/>
  <c r="G1865" i="2"/>
  <c r="H1865" i="2" s="1"/>
  <c r="G1866" i="2"/>
  <c r="H1866" i="2" s="1"/>
  <c r="G1867" i="2"/>
  <c r="H1867" i="2" s="1"/>
  <c r="G1868" i="2"/>
  <c r="H1868" i="2" s="1"/>
  <c r="G1869" i="2"/>
  <c r="H1869" i="2" s="1"/>
  <c r="G1870" i="2"/>
  <c r="H1870" i="2" s="1"/>
  <c r="G1871" i="2"/>
  <c r="G1872" i="2"/>
  <c r="H1872" i="2" s="1"/>
  <c r="G1873" i="2"/>
  <c r="H1873" i="2" s="1"/>
  <c r="G1874" i="2"/>
  <c r="H1874" i="2" s="1"/>
  <c r="G1875" i="2"/>
  <c r="H1875" i="2" s="1"/>
  <c r="G1876" i="2"/>
  <c r="H1876" i="2" s="1"/>
  <c r="G1877" i="2"/>
  <c r="H1877" i="2" s="1"/>
  <c r="G1878" i="2"/>
  <c r="H1878" i="2" s="1"/>
  <c r="G1879" i="2"/>
  <c r="H1879" i="2" s="1"/>
  <c r="G1880" i="2"/>
  <c r="H1880" i="2" s="1"/>
  <c r="G1881" i="2"/>
  <c r="G1882" i="2"/>
  <c r="H1882" i="2" s="1"/>
  <c r="G1883" i="2"/>
  <c r="H1883" i="2" s="1"/>
  <c r="G1884" i="2"/>
  <c r="H1884" i="2" s="1"/>
  <c r="G1885" i="2"/>
  <c r="H1885" i="2" s="1"/>
  <c r="G1886" i="2"/>
  <c r="H1886" i="2" s="1"/>
  <c r="G1887" i="2"/>
  <c r="H1887" i="2" s="1"/>
  <c r="G1888" i="2"/>
  <c r="H1888" i="2" s="1"/>
  <c r="G1889" i="2"/>
  <c r="H1889" i="2" s="1"/>
  <c r="G1890" i="2"/>
  <c r="H1890" i="2" s="1"/>
  <c r="G1891" i="2"/>
  <c r="G1892" i="2"/>
  <c r="H1892" i="2" s="1"/>
  <c r="G1893" i="2"/>
  <c r="H1893" i="2" s="1"/>
  <c r="G1894" i="2"/>
  <c r="H1894" i="2" s="1"/>
  <c r="G1895" i="2"/>
  <c r="H1895" i="2" s="1"/>
  <c r="G1896" i="2"/>
  <c r="H1896" i="2" s="1"/>
  <c r="G1897" i="2"/>
  <c r="H1897" i="2" s="1"/>
  <c r="G1898" i="2"/>
  <c r="H1898" i="2" s="1"/>
  <c r="G1899" i="2"/>
  <c r="H1899" i="2" s="1"/>
  <c r="G1900" i="2"/>
  <c r="H1900" i="2" s="1"/>
  <c r="G1901" i="2"/>
  <c r="G1902" i="2"/>
  <c r="H1902" i="2" s="1"/>
  <c r="G1903" i="2"/>
  <c r="H1903" i="2" s="1"/>
  <c r="G1904" i="2"/>
  <c r="H1904" i="2" s="1"/>
  <c r="G1905" i="2"/>
  <c r="H1905" i="2" s="1"/>
  <c r="G1906" i="2"/>
  <c r="H1906" i="2" s="1"/>
  <c r="G1907" i="2"/>
  <c r="H1907" i="2" s="1"/>
  <c r="G1908" i="2"/>
  <c r="H1908" i="2" s="1"/>
  <c r="G1909" i="2"/>
  <c r="H1909" i="2" s="1"/>
  <c r="G1910" i="2"/>
  <c r="H1910" i="2" s="1"/>
  <c r="G1911" i="2"/>
  <c r="H1911" i="2" s="1"/>
  <c r="G1912" i="2"/>
  <c r="H1912" i="2" s="1"/>
  <c r="G1913" i="2"/>
  <c r="H1913" i="2" s="1"/>
  <c r="G1914" i="2"/>
  <c r="G1915" i="2"/>
  <c r="H1915" i="2" s="1"/>
  <c r="G1916" i="2"/>
  <c r="H1916" i="2" s="1"/>
  <c r="G1917" i="2"/>
  <c r="H1917" i="2" s="1"/>
  <c r="G1918" i="2"/>
  <c r="H1918" i="2" s="1"/>
  <c r="G1919" i="2"/>
  <c r="H1919" i="2" s="1"/>
  <c r="G1920" i="2"/>
  <c r="H1920" i="2" s="1"/>
  <c r="G1921" i="2"/>
  <c r="H1921" i="2" s="1"/>
  <c r="G1922" i="2"/>
  <c r="H1922" i="2" s="1"/>
  <c r="G1923" i="2"/>
  <c r="G1924" i="2"/>
  <c r="H1924" i="2" s="1"/>
  <c r="G1925" i="2"/>
  <c r="H1925" i="2" s="1"/>
  <c r="G1926" i="2"/>
  <c r="H1926" i="2" s="1"/>
  <c r="G1927" i="2"/>
  <c r="H1927" i="2" s="1"/>
  <c r="G1928" i="2"/>
  <c r="H1928" i="2" s="1"/>
  <c r="G1929" i="2"/>
  <c r="H1929" i="2" s="1"/>
  <c r="G1930" i="2"/>
  <c r="H1930" i="2" s="1"/>
  <c r="G1931" i="2"/>
  <c r="H1931" i="2" s="1"/>
  <c r="G1932" i="2"/>
  <c r="G1933" i="2"/>
  <c r="H1933" i="2" s="1"/>
  <c r="G1934" i="2"/>
  <c r="H1934" i="2" s="1"/>
  <c r="G1935" i="2"/>
  <c r="H1935" i="2" s="1"/>
  <c r="G1936" i="2"/>
  <c r="H1936" i="2" s="1"/>
  <c r="G1937" i="2"/>
  <c r="H1937" i="2" s="1"/>
  <c r="G1938" i="2"/>
  <c r="H1938" i="2" s="1"/>
  <c r="G1939" i="2"/>
  <c r="H1939" i="2" s="1"/>
  <c r="G1940" i="2"/>
  <c r="H1940" i="2" s="1"/>
  <c r="G1941" i="2"/>
  <c r="G1942" i="2"/>
  <c r="H1942" i="2" s="1"/>
  <c r="G1943" i="2"/>
  <c r="H1943" i="2" s="1"/>
  <c r="G1944" i="2"/>
  <c r="H1944" i="2" s="1"/>
  <c r="G1945" i="2"/>
  <c r="H1945" i="2" s="1"/>
  <c r="G1946" i="2"/>
  <c r="H1946" i="2" s="1"/>
  <c r="G1947" i="2"/>
  <c r="H1947" i="2" s="1"/>
  <c r="G1948" i="2"/>
  <c r="H1948" i="2" s="1"/>
  <c r="G1949" i="2"/>
  <c r="H1949" i="2" s="1"/>
  <c r="G1950" i="2"/>
  <c r="H1950" i="2" s="1"/>
  <c r="G1951" i="2"/>
  <c r="G1952" i="2"/>
  <c r="H1952" i="2" s="1"/>
  <c r="G1953" i="2"/>
  <c r="H1953" i="2" s="1"/>
  <c r="G1954" i="2"/>
  <c r="H1954" i="2" s="1"/>
  <c r="G1955" i="2"/>
  <c r="H1955" i="2" s="1"/>
  <c r="G1956" i="2"/>
  <c r="H1956" i="2" s="1"/>
  <c r="G1957" i="2"/>
  <c r="H1957" i="2" s="1"/>
  <c r="G1958" i="2"/>
  <c r="H1958" i="2" s="1"/>
  <c r="G1959" i="2"/>
  <c r="H1959" i="2" s="1"/>
  <c r="G1960" i="2"/>
  <c r="G1961" i="2"/>
  <c r="H1961" i="2" s="1"/>
  <c r="G1962" i="2"/>
  <c r="H1962" i="2" s="1"/>
  <c r="G1963" i="2"/>
  <c r="H1963" i="2" s="1"/>
  <c r="G1964" i="2"/>
  <c r="H1964" i="2" s="1"/>
  <c r="G1965" i="2"/>
  <c r="H1965" i="2" s="1"/>
  <c r="G1966" i="2"/>
  <c r="H1966" i="2" s="1"/>
  <c r="G1967" i="2"/>
  <c r="H1967" i="2" s="1"/>
  <c r="G1968" i="2"/>
  <c r="H1968" i="2" s="1"/>
  <c r="G1969" i="2"/>
  <c r="G1970" i="2"/>
  <c r="H1970" i="2" s="1"/>
  <c r="G1971" i="2"/>
  <c r="H1971" i="2" s="1"/>
  <c r="G1972" i="2"/>
  <c r="H1972" i="2" s="1"/>
  <c r="G1973" i="2"/>
  <c r="H1973" i="2" s="1"/>
  <c r="G1974" i="2"/>
  <c r="H1974" i="2" s="1"/>
  <c r="G1975" i="2"/>
  <c r="H1975" i="2" s="1"/>
  <c r="G1976" i="2"/>
  <c r="H1976" i="2" s="1"/>
  <c r="G1977" i="2"/>
  <c r="H1977" i="2" s="1"/>
  <c r="G1978" i="2"/>
  <c r="G1979" i="2"/>
  <c r="H1979" i="2" s="1"/>
  <c r="G1980" i="2"/>
  <c r="H1980" i="2" s="1"/>
  <c r="G1981" i="2"/>
  <c r="H1981" i="2" s="1"/>
  <c r="G1982" i="2"/>
  <c r="H1982" i="2" s="1"/>
  <c r="G1983" i="2"/>
  <c r="H1983" i="2" s="1"/>
  <c r="G1984" i="2"/>
  <c r="H1984" i="2" s="1"/>
  <c r="G1985" i="2"/>
  <c r="H1985" i="2" s="1"/>
  <c r="G1986" i="2"/>
  <c r="H1986" i="2" s="1"/>
  <c r="G1987" i="2"/>
  <c r="H1987" i="2" s="1"/>
  <c r="G1988" i="2"/>
  <c r="H1988" i="2" s="1"/>
  <c r="G1989" i="2"/>
  <c r="H1989" i="2" s="1"/>
  <c r="G1990" i="2"/>
  <c r="H1990" i="2" s="1"/>
  <c r="G1991" i="2"/>
  <c r="H1991" i="2" s="1"/>
  <c r="G1992" i="2"/>
  <c r="H1992" i="2" s="1"/>
  <c r="G1993" i="2"/>
  <c r="H1993" i="2" s="1"/>
  <c r="G1994" i="2"/>
  <c r="H1994" i="2" s="1"/>
  <c r="G1995" i="2"/>
  <c r="H1995" i="2" s="1"/>
  <c r="G1996" i="2"/>
  <c r="H1996" i="2" s="1"/>
  <c r="G1997" i="2"/>
  <c r="H1997" i="2" s="1"/>
  <c r="G1998" i="2"/>
  <c r="H1998" i="2" s="1"/>
  <c r="G1999" i="2"/>
  <c r="G2000" i="2"/>
  <c r="H2000" i="2" s="1"/>
  <c r="G2001" i="2"/>
  <c r="H2001" i="2" s="1"/>
  <c r="G2002" i="2"/>
  <c r="H2002" i="2" s="1"/>
  <c r="G2003" i="2"/>
  <c r="H2003" i="2" s="1"/>
  <c r="G2004" i="2"/>
  <c r="H2004" i="2" s="1"/>
  <c r="G2005" i="2"/>
  <c r="H2005" i="2" s="1"/>
  <c r="G2006" i="2"/>
  <c r="H2006" i="2" s="1"/>
  <c r="G2007" i="2"/>
  <c r="H2007" i="2" s="1"/>
  <c r="G2008" i="2"/>
  <c r="H2008" i="2" s="1"/>
  <c r="G2009" i="2"/>
  <c r="H2009" i="2" s="1"/>
  <c r="G2010" i="2"/>
  <c r="H2010" i="2" s="1"/>
  <c r="G2011" i="2"/>
  <c r="H2011" i="2" s="1"/>
  <c r="G2012" i="2"/>
  <c r="H2012" i="2" s="1"/>
  <c r="G2013" i="2"/>
  <c r="H2013" i="2" s="1"/>
  <c r="G2014" i="2"/>
  <c r="H2014" i="2" s="1"/>
  <c r="G2015" i="2"/>
  <c r="H2015" i="2" s="1"/>
  <c r="G2016" i="2"/>
  <c r="H2016" i="2" s="1"/>
  <c r="G2017" i="2"/>
  <c r="G2018" i="2"/>
  <c r="H2018" i="2" s="1"/>
  <c r="G2019" i="2"/>
  <c r="H2019" i="2" s="1"/>
  <c r="G2020" i="2"/>
  <c r="H2020" i="2" s="1"/>
  <c r="G2021" i="2"/>
  <c r="H2021" i="2" s="1"/>
  <c r="G2022" i="2"/>
  <c r="H2022" i="2" s="1"/>
  <c r="G2023" i="2"/>
  <c r="H2023" i="2" s="1"/>
  <c r="G2024" i="2"/>
  <c r="H2024" i="2" s="1"/>
  <c r="G2025" i="2"/>
  <c r="H2025" i="2" s="1"/>
  <c r="G2026" i="2"/>
  <c r="H2026" i="2" s="1"/>
  <c r="G2027" i="2"/>
  <c r="H2027" i="2" s="1"/>
  <c r="G2028" i="2"/>
  <c r="H2028" i="2" s="1"/>
  <c r="G2029" i="2"/>
  <c r="H2029" i="2" s="1"/>
  <c r="G2030" i="2"/>
  <c r="H2030" i="2" s="1"/>
  <c r="G2031" i="2"/>
  <c r="H2031" i="2" s="1"/>
  <c r="G2032" i="2"/>
  <c r="H2032" i="2" s="1"/>
  <c r="G2033" i="2"/>
  <c r="H2033" i="2" s="1"/>
  <c r="G2034" i="2"/>
  <c r="H2034" i="2" s="1"/>
  <c r="G2035" i="2"/>
  <c r="H2035" i="2" s="1"/>
  <c r="G2036" i="2"/>
  <c r="H2036" i="2" s="1"/>
  <c r="G2037" i="2"/>
  <c r="H2037" i="2" s="1"/>
  <c r="G2038" i="2"/>
  <c r="H2038" i="2" s="1"/>
  <c r="G2039" i="2"/>
  <c r="H2039" i="2" s="1"/>
  <c r="G2040" i="2"/>
  <c r="H2040" i="2" s="1"/>
  <c r="G2041" i="2"/>
  <c r="G2042" i="2"/>
  <c r="H2042" i="2" s="1"/>
  <c r="G2043" i="2"/>
  <c r="H2043" i="2" s="1"/>
  <c r="G2044" i="2"/>
  <c r="H2044" i="2" s="1"/>
  <c r="G2045" i="2"/>
  <c r="H2045" i="2" s="1"/>
  <c r="G2046" i="2"/>
  <c r="H2046" i="2" s="1"/>
  <c r="G2047" i="2"/>
  <c r="H2047" i="2" s="1"/>
  <c r="G2048" i="2"/>
  <c r="H2048" i="2" s="1"/>
  <c r="G2049" i="2"/>
  <c r="H2049" i="2" s="1"/>
  <c r="G2050" i="2"/>
  <c r="H2050" i="2" s="1"/>
  <c r="G2051" i="2"/>
  <c r="H2051" i="2" s="1"/>
  <c r="G2052" i="2"/>
  <c r="H2052" i="2" s="1"/>
  <c r="G2053" i="2"/>
  <c r="H2053" i="2" s="1"/>
  <c r="G2054" i="2"/>
  <c r="H2054" i="2" s="1"/>
  <c r="G2055" i="2"/>
  <c r="H2055" i="2" s="1"/>
  <c r="G2056" i="2"/>
  <c r="H2056" i="2" s="1"/>
  <c r="G2057" i="2"/>
  <c r="G2058" i="2"/>
  <c r="H2058" i="2" s="1"/>
  <c r="G2059" i="2"/>
  <c r="H2059" i="2" s="1"/>
  <c r="G2060" i="2"/>
  <c r="H2060" i="2" s="1"/>
  <c r="G2061" i="2"/>
  <c r="H2061" i="2" s="1"/>
  <c r="G2062" i="2"/>
  <c r="H2062" i="2" s="1"/>
  <c r="G2063" i="2"/>
  <c r="H2063" i="2" s="1"/>
  <c r="G2064" i="2"/>
  <c r="H2064" i="2" s="1"/>
  <c r="G2065" i="2"/>
  <c r="H2065" i="2" s="1"/>
  <c r="G2066" i="2"/>
  <c r="H2066" i="2" s="1"/>
  <c r="G2067" i="2"/>
  <c r="H2067" i="2" s="1"/>
  <c r="G2068" i="2"/>
  <c r="H2068" i="2" s="1"/>
  <c r="G2069" i="2"/>
  <c r="H2069" i="2" s="1"/>
  <c r="G2070" i="2"/>
  <c r="H2070" i="2" s="1"/>
  <c r="G2071" i="2"/>
  <c r="H2071" i="2" s="1"/>
  <c r="G2072" i="2"/>
  <c r="H2072" i="2" s="1"/>
  <c r="G2073" i="2"/>
  <c r="H2073" i="2" s="1"/>
  <c r="G2074" i="2"/>
  <c r="H2074" i="2" s="1"/>
  <c r="G2075" i="2"/>
  <c r="G2076" i="2"/>
  <c r="H2076" i="2" s="1"/>
  <c r="G2077" i="2"/>
  <c r="H2077" i="2" s="1"/>
  <c r="G2078" i="2"/>
  <c r="H2078" i="2" s="1"/>
  <c r="G2079" i="2"/>
  <c r="H2079" i="2" s="1"/>
  <c r="G2080" i="2"/>
  <c r="H2080" i="2" s="1"/>
  <c r="G2081" i="2"/>
  <c r="H2081" i="2" s="1"/>
  <c r="G2082" i="2"/>
  <c r="H2082" i="2" s="1"/>
  <c r="G2083" i="2"/>
  <c r="H2083" i="2" s="1"/>
  <c r="G2084" i="2"/>
  <c r="H2084" i="2" s="1"/>
  <c r="G2085" i="2"/>
  <c r="H2085" i="2" s="1"/>
  <c r="G2086" i="2"/>
  <c r="H2086" i="2" s="1"/>
  <c r="G2087" i="2"/>
  <c r="H2087" i="2" s="1"/>
  <c r="G2088" i="2"/>
  <c r="H2088" i="2" s="1"/>
  <c r="G2089" i="2"/>
  <c r="H2089" i="2" s="1"/>
  <c r="G2090" i="2"/>
  <c r="H2090" i="2" s="1"/>
  <c r="G2091" i="2"/>
  <c r="H2091" i="2" s="1"/>
  <c r="G2092" i="2"/>
  <c r="G2093" i="2"/>
  <c r="H2093" i="2" s="1"/>
  <c r="G2094" i="2"/>
  <c r="H2094" i="2" s="1"/>
  <c r="G2095" i="2"/>
  <c r="H2095" i="2" s="1"/>
  <c r="G2096" i="2"/>
  <c r="H2096" i="2" s="1"/>
  <c r="G2097" i="2"/>
  <c r="H2097" i="2" s="1"/>
  <c r="G2098" i="2"/>
  <c r="H2098" i="2" s="1"/>
  <c r="G2099" i="2"/>
  <c r="H2099" i="2" s="1"/>
  <c r="G2100" i="2"/>
  <c r="H2100" i="2" s="1"/>
  <c r="G2101" i="2"/>
  <c r="G2102" i="2"/>
  <c r="H2102" i="2" s="1"/>
  <c r="G2103" i="2"/>
  <c r="H2103" i="2" s="1"/>
  <c r="G2104" i="2"/>
  <c r="H2104" i="2" s="1"/>
  <c r="G2105" i="2"/>
  <c r="H2105" i="2" s="1"/>
  <c r="G2106" i="2"/>
  <c r="H2106" i="2" s="1"/>
  <c r="G2107" i="2"/>
  <c r="H2107" i="2" s="1"/>
  <c r="G2108" i="2"/>
  <c r="H2108" i="2" s="1"/>
  <c r="G2109" i="2"/>
  <c r="H2109" i="2" s="1"/>
  <c r="G2110" i="2"/>
  <c r="G2111" i="2"/>
  <c r="H2111" i="2" s="1"/>
  <c r="G2112" i="2"/>
  <c r="H2112" i="2" s="1"/>
  <c r="G2113" i="2"/>
  <c r="H2113" i="2" s="1"/>
  <c r="G2114" i="2"/>
  <c r="H2114" i="2" s="1"/>
  <c r="G2115" i="2"/>
  <c r="H2115" i="2" s="1"/>
  <c r="G2116" i="2"/>
  <c r="H2116" i="2" s="1"/>
  <c r="G2117" i="2"/>
  <c r="H2117" i="2" s="1"/>
  <c r="G2118" i="2"/>
  <c r="H2118" i="2" s="1"/>
  <c r="G2119" i="2"/>
  <c r="G2120" i="2"/>
  <c r="H2120" i="2" s="1"/>
  <c r="G2121" i="2"/>
  <c r="H2121" i="2" s="1"/>
  <c r="G2122" i="2"/>
  <c r="H2122" i="2" s="1"/>
  <c r="G2123" i="2"/>
  <c r="H2123" i="2" s="1"/>
  <c r="G2124" i="2"/>
  <c r="H2124" i="2" s="1"/>
  <c r="G2125" i="2"/>
  <c r="H2125" i="2" s="1"/>
  <c r="G2126" i="2"/>
  <c r="H2126" i="2" s="1"/>
  <c r="G2127" i="2"/>
  <c r="H2127" i="2" s="1"/>
  <c r="G2128" i="2"/>
  <c r="G2129" i="2"/>
  <c r="H2129" i="2" s="1"/>
  <c r="G2130" i="2"/>
  <c r="H2130" i="2" s="1"/>
  <c r="G2131" i="2"/>
  <c r="H2131" i="2" s="1"/>
  <c r="G2132" i="2"/>
  <c r="H2132" i="2" s="1"/>
  <c r="G2133" i="2"/>
  <c r="H2133" i="2" s="1"/>
  <c r="G2134" i="2"/>
  <c r="H2134" i="2" s="1"/>
  <c r="G2135" i="2"/>
  <c r="H2135" i="2" s="1"/>
  <c r="G2136" i="2"/>
  <c r="H2136" i="2" s="1"/>
  <c r="G2137" i="2"/>
  <c r="H2137" i="2" s="1"/>
  <c r="G2138" i="2"/>
  <c r="H2138" i="2" s="1"/>
  <c r="G2139" i="2"/>
  <c r="H2139" i="2" s="1"/>
  <c r="G2140" i="2"/>
  <c r="H2140" i="2" s="1"/>
  <c r="G2141" i="2"/>
  <c r="G2142" i="2"/>
  <c r="H2142" i="2" s="1"/>
  <c r="G2143" i="2"/>
  <c r="H2143" i="2" s="1"/>
  <c r="G2144" i="2"/>
  <c r="H2144" i="2" s="1"/>
  <c r="G2145" i="2"/>
  <c r="H2145" i="2" s="1"/>
  <c r="G2146" i="2"/>
  <c r="H2146" i="2" s="1"/>
  <c r="G2147" i="2"/>
  <c r="H2147" i="2" s="1"/>
  <c r="G2148" i="2"/>
  <c r="H2148" i="2" s="1"/>
  <c r="G2149" i="2"/>
  <c r="H2149" i="2" s="1"/>
  <c r="G2150" i="2"/>
  <c r="H2150" i="2" s="1"/>
  <c r="G2151" i="2"/>
  <c r="H2151" i="2" s="1"/>
  <c r="G2152" i="2"/>
  <c r="H2152" i="2" s="1"/>
  <c r="G2153" i="2"/>
  <c r="H2153" i="2" s="1"/>
  <c r="G2154" i="2"/>
  <c r="H2154" i="2" s="1"/>
  <c r="G2155" i="2"/>
  <c r="G2156" i="2"/>
  <c r="H2156" i="2" s="1"/>
  <c r="G2157" i="2"/>
  <c r="H2157" i="2" s="1"/>
  <c r="G2158" i="2"/>
  <c r="H2158" i="2" s="1"/>
  <c r="G2159" i="2"/>
  <c r="H2159" i="2" s="1"/>
  <c r="G2160" i="2"/>
  <c r="H2160" i="2" s="1"/>
  <c r="G2161" i="2"/>
  <c r="H2161" i="2" s="1"/>
  <c r="G2162" i="2"/>
  <c r="H2162" i="2" s="1"/>
  <c r="G2163" i="2"/>
  <c r="H2163" i="2" s="1"/>
  <c r="G2164" i="2"/>
  <c r="H2164" i="2" s="1"/>
  <c r="G2165" i="2"/>
  <c r="H2165" i="2" s="1"/>
  <c r="G2166" i="2"/>
  <c r="H2166" i="2" s="1"/>
  <c r="G2167" i="2"/>
  <c r="H2167" i="2" s="1"/>
  <c r="G2168" i="2"/>
  <c r="G2169" i="2"/>
  <c r="H2169" i="2" s="1"/>
  <c r="G2170" i="2"/>
  <c r="H2170" i="2" s="1"/>
  <c r="G2171" i="2"/>
  <c r="H2171" i="2" s="1"/>
  <c r="G2172" i="2"/>
  <c r="H2172" i="2" s="1"/>
  <c r="G2173" i="2"/>
  <c r="H2173" i="2" s="1"/>
  <c r="G2174" i="2"/>
  <c r="H2174" i="2" s="1"/>
  <c r="G2175" i="2"/>
  <c r="H2175" i="2" s="1"/>
  <c r="G2176" i="2"/>
  <c r="H2176" i="2" s="1"/>
  <c r="G2177" i="2"/>
  <c r="G2178" i="2"/>
  <c r="H2178" i="2" s="1"/>
  <c r="G2179" i="2"/>
  <c r="H2179" i="2" s="1"/>
  <c r="G2180" i="2"/>
  <c r="H2180" i="2" s="1"/>
  <c r="G2181" i="2"/>
  <c r="H2181" i="2" s="1"/>
  <c r="G2182" i="2"/>
  <c r="H2182" i="2" s="1"/>
  <c r="G2183" i="2"/>
  <c r="H2183" i="2" s="1"/>
  <c r="G2184" i="2"/>
  <c r="H2184" i="2" s="1"/>
  <c r="G2185" i="2"/>
  <c r="H2185" i="2" s="1"/>
  <c r="G2186" i="2"/>
  <c r="G2187" i="2"/>
  <c r="H2187" i="2" s="1"/>
  <c r="G2188" i="2"/>
  <c r="H2188" i="2" s="1"/>
  <c r="G2189" i="2"/>
  <c r="H2189" i="2" s="1"/>
  <c r="G2190" i="2"/>
  <c r="H2190" i="2" s="1"/>
  <c r="G2191" i="2"/>
  <c r="H2191" i="2" s="1"/>
  <c r="G2192" i="2"/>
  <c r="H2192" i="2" s="1"/>
  <c r="G2193" i="2"/>
  <c r="H2193" i="2" s="1"/>
  <c r="G2194" i="2"/>
  <c r="H2194" i="2" s="1"/>
  <c r="G2195" i="2"/>
  <c r="H2195" i="2" s="1"/>
  <c r="G2196" i="2"/>
  <c r="H2196" i="2" s="1"/>
  <c r="G2197" i="2"/>
  <c r="H2197" i="2" s="1"/>
  <c r="G2198" i="2"/>
  <c r="H2198" i="2" s="1"/>
  <c r="G2199" i="2"/>
  <c r="G2200" i="2"/>
  <c r="H2200" i="2" s="1"/>
  <c r="G2201" i="2"/>
  <c r="H2201" i="2" s="1"/>
  <c r="G2202" i="2"/>
  <c r="H2202" i="2" s="1"/>
  <c r="G2203" i="2"/>
  <c r="H2203" i="2" s="1"/>
  <c r="G2204" i="2"/>
  <c r="H2204" i="2" s="1"/>
  <c r="G2205" i="2"/>
  <c r="H2205" i="2" s="1"/>
  <c r="G2206" i="2"/>
  <c r="H2206" i="2" s="1"/>
  <c r="G2207" i="2"/>
  <c r="H2207" i="2" s="1"/>
  <c r="G2208" i="2"/>
  <c r="G2209" i="2"/>
  <c r="H2209" i="2" s="1"/>
  <c r="G2210" i="2"/>
  <c r="H2210" i="2" s="1"/>
  <c r="G2211" i="2"/>
  <c r="H2211" i="2" s="1"/>
  <c r="G2212" i="2"/>
  <c r="H2212" i="2" s="1"/>
  <c r="G2213" i="2"/>
  <c r="H2213" i="2" s="1"/>
  <c r="G2214" i="2"/>
  <c r="H2214" i="2" s="1"/>
  <c r="G2215" i="2"/>
  <c r="H2215" i="2" s="1"/>
  <c r="G2216" i="2"/>
  <c r="H2216" i="2" s="1"/>
  <c r="G2217" i="2"/>
  <c r="G2218" i="2"/>
  <c r="H2218" i="2" s="1"/>
  <c r="G2219" i="2"/>
  <c r="H2219" i="2" s="1"/>
  <c r="G2220" i="2"/>
  <c r="H2220" i="2" s="1"/>
  <c r="G2221" i="2"/>
  <c r="H2221" i="2" s="1"/>
  <c r="G2222" i="2"/>
  <c r="H2222" i="2" s="1"/>
  <c r="G2223" i="2"/>
  <c r="H2223" i="2" s="1"/>
  <c r="G2224" i="2"/>
  <c r="H2224" i="2" s="1"/>
  <c r="G2225" i="2"/>
  <c r="H2225" i="2" s="1"/>
  <c r="G2226" i="2"/>
  <c r="G2227" i="2"/>
  <c r="H2227" i="2" s="1"/>
  <c r="G2228" i="2"/>
  <c r="H2228" i="2" s="1"/>
  <c r="G2229" i="2"/>
  <c r="H2229" i="2" s="1"/>
  <c r="G2230" i="2"/>
  <c r="H2230" i="2" s="1"/>
  <c r="G2231" i="2"/>
  <c r="H2231" i="2" s="1"/>
  <c r="G2232" i="2"/>
  <c r="H2232" i="2" s="1"/>
  <c r="G2233" i="2"/>
  <c r="H2233" i="2" s="1"/>
  <c r="G2234" i="2"/>
  <c r="H2234" i="2" s="1"/>
  <c r="G2235" i="2"/>
  <c r="G2236" i="2"/>
  <c r="H2236" i="2" s="1"/>
  <c r="G2237" i="2"/>
  <c r="H2237" i="2" s="1"/>
  <c r="G2238" i="2"/>
  <c r="H2238" i="2" s="1"/>
  <c r="G2239" i="2"/>
  <c r="H2239" i="2" s="1"/>
  <c r="G2240" i="2"/>
  <c r="H2240" i="2" s="1"/>
  <c r="G2241" i="2"/>
  <c r="H2241" i="2" s="1"/>
  <c r="G2242" i="2"/>
  <c r="H2242" i="2" s="1"/>
  <c r="G2243" i="2"/>
  <c r="H2243" i="2" s="1"/>
  <c r="G2244" i="2"/>
  <c r="H2244" i="2" s="1"/>
  <c r="G2245" i="2"/>
  <c r="G2246" i="2"/>
  <c r="H2246" i="2" s="1"/>
  <c r="G2247" i="2"/>
  <c r="H2247" i="2" s="1"/>
  <c r="G2248" i="2"/>
  <c r="H2248" i="2" s="1"/>
  <c r="G2249" i="2"/>
  <c r="H2249" i="2" s="1"/>
  <c r="G2250" i="2"/>
  <c r="H2250" i="2" s="1"/>
  <c r="G2251" i="2"/>
  <c r="H2251" i="2" s="1"/>
  <c r="G2252" i="2"/>
  <c r="H2252" i="2" s="1"/>
  <c r="G2253" i="2"/>
  <c r="H2253" i="2" s="1"/>
  <c r="G2254" i="2"/>
  <c r="H2254" i="2" s="1"/>
  <c r="G2255" i="2"/>
  <c r="H2255" i="2" s="1"/>
  <c r="G2256" i="2"/>
  <c r="H2256" i="2" s="1"/>
  <c r="G2257" i="2"/>
  <c r="H2257" i="2" s="1"/>
  <c r="G2258" i="2"/>
  <c r="G2259" i="2"/>
  <c r="H2259" i="2" s="1"/>
  <c r="G2260" i="2"/>
  <c r="H2260" i="2" s="1"/>
  <c r="G2261" i="2"/>
  <c r="H2261" i="2" s="1"/>
  <c r="G2262" i="2"/>
  <c r="H2262" i="2" s="1"/>
  <c r="G2263" i="2"/>
  <c r="H2263" i="2" s="1"/>
  <c r="G2264" i="2"/>
  <c r="H2264" i="2" s="1"/>
  <c r="G2265" i="2"/>
  <c r="H2265" i="2" s="1"/>
  <c r="G2266" i="2"/>
  <c r="H2266" i="2" s="1"/>
  <c r="G2267" i="2"/>
  <c r="H2267" i="2" s="1"/>
  <c r="G2268" i="2"/>
  <c r="H2268" i="2" s="1"/>
  <c r="G2269" i="2"/>
  <c r="H2269" i="2" s="1"/>
  <c r="G2270" i="2"/>
  <c r="H2270" i="2" s="1"/>
  <c r="G2271" i="2"/>
  <c r="G2272" i="2"/>
  <c r="H2272" i="2" s="1"/>
  <c r="G2273" i="2"/>
  <c r="H2273" i="2" s="1"/>
  <c r="G2274" i="2"/>
  <c r="H2274" i="2" s="1"/>
  <c r="G2275" i="2"/>
  <c r="H2275" i="2" s="1"/>
  <c r="G2276" i="2"/>
  <c r="H2276" i="2" s="1"/>
  <c r="G2277" i="2"/>
  <c r="H2277" i="2" s="1"/>
  <c r="G2278" i="2"/>
  <c r="H2278" i="2" s="1"/>
  <c r="G2279" i="2"/>
  <c r="H2279" i="2" s="1"/>
  <c r="G2280" i="2"/>
  <c r="H2280" i="2" s="1"/>
  <c r="G2281" i="2"/>
  <c r="H2281" i="2" s="1"/>
  <c r="G2282" i="2"/>
  <c r="H2282" i="2" s="1"/>
  <c r="G2283" i="2"/>
  <c r="H2283" i="2" s="1"/>
  <c r="G2284" i="2"/>
  <c r="H2284" i="2" s="1"/>
  <c r="G2285" i="2"/>
  <c r="H2285" i="2" s="1"/>
  <c r="G2286" i="2"/>
  <c r="H2286" i="2" s="1"/>
  <c r="G2287" i="2"/>
  <c r="H2287" i="2" s="1"/>
  <c r="G2288" i="2"/>
  <c r="H2288" i="2" s="1"/>
  <c r="G2289" i="2"/>
  <c r="H2289" i="2" s="1"/>
  <c r="G2290" i="2"/>
  <c r="H2290" i="2" s="1"/>
  <c r="G2291" i="2"/>
  <c r="G2292" i="2"/>
  <c r="H2292" i="2" s="1"/>
  <c r="G2293" i="2"/>
  <c r="H2293" i="2" s="1"/>
  <c r="G2294" i="2"/>
  <c r="H2294" i="2" s="1"/>
  <c r="G2295" i="2"/>
  <c r="H2295" i="2" s="1"/>
  <c r="G2296" i="2"/>
  <c r="H2296" i="2" s="1"/>
  <c r="G2297" i="2"/>
  <c r="H2297" i="2" s="1"/>
  <c r="G2298" i="2"/>
  <c r="H2298" i="2" s="1"/>
  <c r="G2299" i="2"/>
  <c r="H2299" i="2" s="1"/>
  <c r="G2300" i="2"/>
  <c r="H2300" i="2" s="1"/>
  <c r="G2301" i="2"/>
  <c r="H2301" i="2" s="1"/>
  <c r="G2302" i="2"/>
  <c r="H2302" i="2" s="1"/>
  <c r="G2303" i="2"/>
  <c r="H2303" i="2" s="1"/>
  <c r="G2304" i="2"/>
  <c r="H2304" i="2" s="1"/>
  <c r="G2305" i="2"/>
  <c r="H2305" i="2" s="1"/>
  <c r="G2306" i="2"/>
  <c r="H2306" i="2" s="1"/>
  <c r="G2307" i="2"/>
  <c r="H2307" i="2" s="1"/>
  <c r="G2308" i="2"/>
  <c r="G2309" i="2"/>
  <c r="H2309" i="2" s="1"/>
  <c r="G2310" i="2"/>
  <c r="H2310" i="2" s="1"/>
  <c r="G2311" i="2"/>
  <c r="H2311" i="2" s="1"/>
  <c r="G2312" i="2"/>
  <c r="H2312" i="2" s="1"/>
  <c r="G2313" i="2"/>
  <c r="H2313" i="2" s="1"/>
  <c r="G2314" i="2"/>
  <c r="H2314" i="2" s="1"/>
  <c r="G2315" i="2"/>
  <c r="H2315" i="2" s="1"/>
  <c r="G2316" i="2"/>
  <c r="H2316" i="2" s="1"/>
  <c r="G2317" i="2"/>
  <c r="H2317" i="2" s="1"/>
  <c r="G2318" i="2"/>
  <c r="H2318" i="2" s="1"/>
  <c r="G2319" i="2"/>
  <c r="H2319" i="2" s="1"/>
  <c r="G2320" i="2"/>
  <c r="H2320" i="2" s="1"/>
  <c r="G2321" i="2"/>
  <c r="H2321" i="2" s="1"/>
  <c r="G2322" i="2"/>
  <c r="H2322" i="2" s="1"/>
  <c r="G2323" i="2"/>
  <c r="H2323" i="2" s="1"/>
  <c r="G2324" i="2"/>
  <c r="H2324" i="2" s="1"/>
  <c r="G2325" i="2"/>
  <c r="H2325" i="2" s="1"/>
  <c r="G2326" i="2"/>
  <c r="H2326" i="2" s="1"/>
  <c r="G2327" i="2"/>
  <c r="H2327" i="2" s="1"/>
  <c r="G2328" i="2"/>
  <c r="G2329" i="2"/>
  <c r="H2329" i="2" s="1"/>
  <c r="G2330" i="2"/>
  <c r="H2330" i="2" s="1"/>
  <c r="G2331" i="2"/>
  <c r="H2331" i="2" s="1"/>
  <c r="G2332" i="2"/>
  <c r="H2332" i="2" s="1"/>
  <c r="G2333" i="2"/>
  <c r="H2333" i="2" s="1"/>
  <c r="G2334" i="2"/>
  <c r="H2334" i="2" s="1"/>
  <c r="G2335" i="2"/>
  <c r="H2335" i="2" s="1"/>
  <c r="G2336" i="2"/>
  <c r="H2336" i="2" s="1"/>
  <c r="G2337" i="2"/>
  <c r="H2337" i="2" s="1"/>
  <c r="G2338" i="2"/>
  <c r="H2338" i="2" s="1"/>
  <c r="G2339" i="2"/>
  <c r="H2339" i="2" s="1"/>
  <c r="G2340" i="2"/>
  <c r="H2340" i="2" s="1"/>
  <c r="G2341" i="2"/>
  <c r="H2341" i="2" s="1"/>
  <c r="G2342" i="2"/>
  <c r="H2342" i="2" s="1"/>
  <c r="G2343" i="2"/>
  <c r="H2343" i="2" s="1"/>
  <c r="G2344" i="2"/>
  <c r="H2344" i="2" s="1"/>
  <c r="G2345" i="2"/>
  <c r="H2345" i="2" s="1"/>
  <c r="G2346" i="2"/>
  <c r="H2346" i="2" s="1"/>
  <c r="G2347" i="2"/>
  <c r="H2347" i="2" s="1"/>
  <c r="G2348" i="2"/>
  <c r="G2349" i="2"/>
  <c r="H2349" i="2" s="1"/>
  <c r="G2350" i="2"/>
  <c r="H2350" i="2" s="1"/>
  <c r="G2351" i="2"/>
  <c r="H2351" i="2" s="1"/>
  <c r="G2352" i="2"/>
  <c r="H2352" i="2" s="1"/>
  <c r="G2353" i="2"/>
  <c r="H2353" i="2" s="1"/>
  <c r="G2354" i="2"/>
  <c r="H2354" i="2" s="1"/>
  <c r="G2355" i="2"/>
  <c r="H2355" i="2" s="1"/>
  <c r="G2356" i="2"/>
  <c r="H2356" i="2" s="1"/>
  <c r="G2357" i="2"/>
  <c r="H2357" i="2" s="1"/>
  <c r="G2358" i="2"/>
  <c r="H2358" i="2" s="1"/>
  <c r="G2359" i="2"/>
  <c r="H2359" i="2" s="1"/>
  <c r="G2360" i="2"/>
  <c r="H2360" i="2" s="1"/>
  <c r="G2361" i="2"/>
  <c r="H2361" i="2" s="1"/>
  <c r="G2362" i="2"/>
  <c r="H2362" i="2" s="1"/>
  <c r="G2363" i="2"/>
  <c r="H2363" i="2" s="1"/>
  <c r="G2364" i="2"/>
  <c r="G2365" i="2"/>
  <c r="H2365" i="2" s="1"/>
  <c r="G2366" i="2"/>
  <c r="H2366" i="2" s="1"/>
  <c r="G2367" i="2"/>
  <c r="H2367" i="2" s="1"/>
  <c r="G2368" i="2"/>
  <c r="H2368" i="2" s="1"/>
  <c r="G2369" i="2"/>
  <c r="H2369" i="2" s="1"/>
  <c r="G2370" i="2"/>
  <c r="H2370" i="2" s="1"/>
  <c r="G2371" i="2"/>
  <c r="H2371" i="2" s="1"/>
  <c r="G2372" i="2"/>
  <c r="H2372" i="2" s="1"/>
  <c r="G2373" i="2"/>
  <c r="H2373" i="2" s="1"/>
  <c r="G2374" i="2"/>
  <c r="H2374" i="2" s="1"/>
  <c r="G2375" i="2"/>
  <c r="H2375" i="2" s="1"/>
  <c r="G2376" i="2"/>
  <c r="H2376" i="2" s="1"/>
  <c r="G2377" i="2"/>
  <c r="H2377" i="2" s="1"/>
  <c r="G2378" i="2"/>
  <c r="H2378" i="2" s="1"/>
  <c r="G2379" i="2"/>
  <c r="H2379" i="2" s="1"/>
  <c r="G2380" i="2"/>
  <c r="G2381" i="2"/>
  <c r="H2381" i="2" s="1"/>
  <c r="G2382" i="2"/>
  <c r="H2382" i="2" s="1"/>
  <c r="G2383" i="2"/>
  <c r="H2383" i="2" s="1"/>
  <c r="G2384" i="2"/>
  <c r="H2384" i="2" s="1"/>
  <c r="G2385" i="2"/>
  <c r="H2385" i="2" s="1"/>
  <c r="G2386" i="2"/>
  <c r="H2386" i="2" s="1"/>
  <c r="G2387" i="2"/>
  <c r="H2387" i="2" s="1"/>
  <c r="G2388" i="2"/>
  <c r="H2388" i="2" s="1"/>
  <c r="G2389" i="2"/>
  <c r="G2390" i="2"/>
  <c r="H2390" i="2" s="1"/>
  <c r="G2391" i="2"/>
  <c r="H2391" i="2" s="1"/>
  <c r="G2392" i="2"/>
  <c r="H2392" i="2" s="1"/>
  <c r="G2393" i="2"/>
  <c r="H2393" i="2" s="1"/>
  <c r="G2394" i="2"/>
  <c r="H2394" i="2" s="1"/>
  <c r="G2395" i="2"/>
  <c r="H2395" i="2" s="1"/>
  <c r="G2396" i="2"/>
  <c r="H2396" i="2" s="1"/>
  <c r="G2397" i="2"/>
  <c r="H2397" i="2" s="1"/>
  <c r="G2398" i="2"/>
  <c r="G2399" i="2"/>
  <c r="H2399" i="2" s="1"/>
  <c r="G2400" i="2"/>
  <c r="H2400" i="2" s="1"/>
  <c r="G2401" i="2"/>
  <c r="H2401" i="2" s="1"/>
  <c r="G2402" i="2"/>
  <c r="H2402" i="2" s="1"/>
  <c r="G2403" i="2"/>
  <c r="H2403" i="2" s="1"/>
  <c r="G2404" i="2"/>
  <c r="H2404" i="2" s="1"/>
  <c r="G2405" i="2"/>
  <c r="H2405" i="2" s="1"/>
  <c r="G2406" i="2"/>
  <c r="H2406" i="2" s="1"/>
  <c r="G2407" i="2"/>
  <c r="G2408" i="2"/>
  <c r="H2408" i="2" s="1"/>
  <c r="G2409" i="2"/>
  <c r="H2409" i="2" s="1"/>
  <c r="G2410" i="2"/>
  <c r="H2410" i="2" s="1"/>
  <c r="G2411" i="2"/>
  <c r="H2411" i="2" s="1"/>
  <c r="G2412" i="2"/>
  <c r="H2412" i="2" s="1"/>
  <c r="G2413" i="2"/>
  <c r="H2413" i="2" s="1"/>
  <c r="G2414" i="2"/>
  <c r="H2414" i="2" s="1"/>
  <c r="G2415" i="2"/>
  <c r="H2415" i="2" s="1"/>
  <c r="G2416" i="2"/>
  <c r="G2417" i="2"/>
  <c r="H2417" i="2" s="1"/>
  <c r="G2418" i="2"/>
  <c r="H2418" i="2" s="1"/>
  <c r="G2419" i="2"/>
  <c r="H2419" i="2" s="1"/>
  <c r="G2420" i="2"/>
  <c r="H2420" i="2" s="1"/>
  <c r="G2421" i="2"/>
  <c r="H2421" i="2" s="1"/>
  <c r="G2422" i="2"/>
  <c r="H2422" i="2" s="1"/>
  <c r="G2423" i="2"/>
  <c r="H2423" i="2" s="1"/>
  <c r="G2424" i="2"/>
  <c r="H2424" i="2" s="1"/>
  <c r="G2425" i="2"/>
  <c r="H2425" i="2" s="1"/>
  <c r="G2426" i="2"/>
  <c r="G2427" i="2"/>
  <c r="H2427" i="2" s="1"/>
  <c r="G2428" i="2"/>
  <c r="H2428" i="2" s="1"/>
  <c r="G2429" i="2"/>
  <c r="H2429" i="2" s="1"/>
  <c r="G2430" i="2"/>
  <c r="H2430" i="2" s="1"/>
  <c r="G2431" i="2"/>
  <c r="H2431" i="2" s="1"/>
  <c r="G2432" i="2"/>
  <c r="H2432" i="2" s="1"/>
  <c r="G2433" i="2"/>
  <c r="H2433" i="2" s="1"/>
  <c r="G2434" i="2"/>
  <c r="H2434" i="2" s="1"/>
  <c r="G2435" i="2"/>
  <c r="H2435" i="2" s="1"/>
  <c r="G2436" i="2"/>
  <c r="G2437" i="2"/>
  <c r="H2437" i="2" s="1"/>
  <c r="G2438" i="2"/>
  <c r="H2438" i="2" s="1"/>
  <c r="G2439" i="2"/>
  <c r="H2439" i="2" s="1"/>
  <c r="G2440" i="2"/>
  <c r="H2440" i="2" s="1"/>
  <c r="G2441" i="2"/>
  <c r="H2441" i="2" s="1"/>
  <c r="G2442" i="2"/>
  <c r="H2442" i="2" s="1"/>
  <c r="G2443" i="2"/>
  <c r="H2443" i="2" s="1"/>
  <c r="G2444" i="2"/>
  <c r="H2444" i="2" s="1"/>
  <c r="G2445" i="2"/>
  <c r="G2446" i="2"/>
  <c r="H2446" i="2" s="1"/>
  <c r="G2447" i="2"/>
  <c r="H2447" i="2" s="1"/>
  <c r="G2448" i="2"/>
  <c r="H2448" i="2" s="1"/>
  <c r="G2449" i="2"/>
  <c r="H2449" i="2" s="1"/>
  <c r="G2450" i="2"/>
  <c r="H2450" i="2" s="1"/>
  <c r="G2451" i="2"/>
  <c r="H2451" i="2" s="1"/>
  <c r="G2452" i="2"/>
  <c r="H2452" i="2" s="1"/>
  <c r="G2453" i="2"/>
  <c r="H2453" i="2" s="1"/>
  <c r="G2454" i="2"/>
  <c r="G2455" i="2"/>
  <c r="H2455" i="2" s="1"/>
  <c r="G2456" i="2"/>
  <c r="H2456" i="2" s="1"/>
  <c r="G2457" i="2"/>
  <c r="H2457" i="2" s="1"/>
  <c r="G2458" i="2"/>
  <c r="H2458" i="2" s="1"/>
  <c r="G2459" i="2"/>
  <c r="H2459" i="2" s="1"/>
  <c r="G2460" i="2"/>
  <c r="H2460" i="2" s="1"/>
  <c r="G2461" i="2"/>
  <c r="H2461" i="2" s="1"/>
  <c r="G2462" i="2"/>
  <c r="H2462" i="2" s="1"/>
  <c r="G2463" i="2"/>
  <c r="G2464" i="2"/>
  <c r="H2464" i="2" s="1"/>
  <c r="G2465" i="2"/>
  <c r="H2465" i="2" s="1"/>
  <c r="G2466" i="2"/>
  <c r="H2466" i="2" s="1"/>
  <c r="G2467" i="2"/>
  <c r="H2467" i="2" s="1"/>
  <c r="G2468" i="2"/>
  <c r="H2468" i="2" s="1"/>
  <c r="G2469" i="2"/>
  <c r="H2469" i="2" s="1"/>
  <c r="G2470" i="2"/>
  <c r="H2470" i="2" s="1"/>
  <c r="G2471" i="2"/>
  <c r="H2471" i="2" s="1"/>
  <c r="G2472" i="2"/>
  <c r="G2473" i="2"/>
  <c r="H2473" i="2" s="1"/>
  <c r="G2474" i="2"/>
  <c r="H2474" i="2" s="1"/>
  <c r="G2475" i="2"/>
  <c r="H2475" i="2" s="1"/>
  <c r="G2476" i="2"/>
  <c r="H2476" i="2" s="1"/>
  <c r="G2477" i="2"/>
  <c r="H2477" i="2" s="1"/>
  <c r="G2478" i="2"/>
  <c r="H2478" i="2" s="1"/>
  <c r="G2479" i="2"/>
  <c r="H2479" i="2" s="1"/>
  <c r="G2480" i="2"/>
  <c r="H2480" i="2" s="1"/>
  <c r="G2481" i="2"/>
  <c r="H2481" i="2" s="1"/>
  <c r="G2482" i="2"/>
  <c r="H2482" i="2" s="1"/>
  <c r="G2483" i="2"/>
  <c r="H2483" i="2" s="1"/>
  <c r="G2484" i="2"/>
  <c r="H2484" i="2" s="1"/>
  <c r="G2485" i="2"/>
  <c r="G2486" i="2"/>
  <c r="H2486" i="2" s="1"/>
  <c r="G2487" i="2"/>
  <c r="H2487" i="2" s="1"/>
  <c r="G2488" i="2"/>
  <c r="H2488" i="2" s="1"/>
  <c r="G2489" i="2"/>
  <c r="H2489" i="2" s="1"/>
  <c r="G2490" i="2"/>
  <c r="H2490" i="2" s="1"/>
  <c r="G2491" i="2"/>
  <c r="H2491" i="2" s="1"/>
  <c r="G2492" i="2"/>
  <c r="H2492" i="2" s="1"/>
  <c r="G2493" i="2"/>
  <c r="H2493" i="2" s="1"/>
  <c r="G2494" i="2"/>
  <c r="G2495" i="2"/>
  <c r="H2495" i="2" s="1"/>
  <c r="G2496" i="2"/>
  <c r="H2496" i="2" s="1"/>
  <c r="G2497" i="2"/>
  <c r="H2497" i="2" s="1"/>
  <c r="G2498" i="2"/>
  <c r="H2498" i="2" s="1"/>
  <c r="G2499" i="2"/>
  <c r="H2499" i="2" s="1"/>
  <c r="G2500" i="2"/>
  <c r="H2500" i="2" s="1"/>
  <c r="G2501" i="2"/>
  <c r="H2501" i="2" s="1"/>
  <c r="G2502" i="2"/>
  <c r="H2502" i="2" s="1"/>
  <c r="G2503" i="2"/>
  <c r="G2504" i="2"/>
  <c r="H2504" i="2" s="1"/>
  <c r="G2505" i="2"/>
  <c r="H2505" i="2" s="1"/>
  <c r="G2506" i="2"/>
  <c r="H2506" i="2" s="1"/>
  <c r="G2507" i="2"/>
  <c r="H2507" i="2" s="1"/>
  <c r="G2508" i="2"/>
  <c r="H2508" i="2" s="1"/>
  <c r="G2509" i="2"/>
  <c r="H2509" i="2" s="1"/>
  <c r="G2510" i="2"/>
  <c r="H2510" i="2" s="1"/>
  <c r="G2511" i="2"/>
  <c r="H2511" i="2" s="1"/>
  <c r="G2512" i="2"/>
  <c r="G2513" i="2"/>
  <c r="H2513" i="2" s="1"/>
  <c r="G2514" i="2"/>
  <c r="H2514" i="2" s="1"/>
  <c r="G2515" i="2"/>
  <c r="H2515" i="2" s="1"/>
  <c r="G2516" i="2"/>
  <c r="H2516" i="2" s="1"/>
  <c r="G2517" i="2"/>
  <c r="H2517" i="2" s="1"/>
  <c r="G2518" i="2"/>
  <c r="H2518" i="2" s="1"/>
  <c r="G2519" i="2"/>
  <c r="H2519" i="2" s="1"/>
  <c r="G2520" i="2"/>
  <c r="H2520" i="2" s="1"/>
  <c r="G2521" i="2"/>
  <c r="G2522" i="2"/>
  <c r="H2522" i="2" s="1"/>
  <c r="G2523" i="2"/>
  <c r="H2523" i="2" s="1"/>
  <c r="G2524" i="2"/>
  <c r="H2524" i="2" s="1"/>
  <c r="G2525" i="2"/>
  <c r="H2525" i="2" s="1"/>
  <c r="G2526" i="2"/>
  <c r="H2526" i="2" s="1"/>
  <c r="G2527" i="2"/>
  <c r="H2527" i="2" s="1"/>
  <c r="G2528" i="2"/>
  <c r="H2528" i="2" s="1"/>
  <c r="G2529" i="2"/>
  <c r="H2529" i="2" s="1"/>
  <c r="G2530" i="2"/>
  <c r="H2530" i="2" s="1"/>
  <c r="G2531" i="2"/>
  <c r="H2531" i="2" s="1"/>
  <c r="G2532" i="2"/>
  <c r="G2533" i="2"/>
  <c r="H2533" i="2" s="1"/>
  <c r="G2534" i="2"/>
  <c r="H2534" i="2" s="1"/>
  <c r="G2535" i="2"/>
  <c r="H2535" i="2" s="1"/>
  <c r="G2536" i="2"/>
  <c r="H2536" i="2" s="1"/>
  <c r="G2537" i="2"/>
  <c r="H2537" i="2" s="1"/>
  <c r="G2538" i="2"/>
  <c r="H2538" i="2" s="1"/>
  <c r="G2539" i="2"/>
  <c r="H2539" i="2" s="1"/>
  <c r="G2540" i="2"/>
  <c r="H2540" i="2" s="1"/>
  <c r="G2541" i="2"/>
  <c r="G2542" i="2"/>
  <c r="H2542" i="2" s="1"/>
  <c r="G2543" i="2"/>
  <c r="H2543" i="2" s="1"/>
  <c r="G2544" i="2"/>
  <c r="H2544" i="2" s="1"/>
  <c r="G2545" i="2"/>
  <c r="H2545" i="2" s="1"/>
  <c r="G2546" i="2"/>
  <c r="H2546" i="2" s="1"/>
  <c r="G2547" i="2"/>
  <c r="H2547" i="2" s="1"/>
  <c r="G2548" i="2"/>
  <c r="H2548" i="2" s="1"/>
  <c r="G2549" i="2"/>
  <c r="H2549" i="2" s="1"/>
  <c r="G2550" i="2"/>
  <c r="H2550" i="2" s="1"/>
  <c r="G2551" i="2"/>
  <c r="G2552" i="2"/>
  <c r="H2552" i="2" s="1"/>
  <c r="G2553" i="2"/>
  <c r="H2553" i="2" s="1"/>
  <c r="G2554" i="2"/>
  <c r="H2554" i="2" s="1"/>
  <c r="G2555" i="2"/>
  <c r="H2555" i="2" s="1"/>
  <c r="G2556" i="2"/>
  <c r="H2556" i="2" s="1"/>
  <c r="G2557" i="2"/>
  <c r="H2557" i="2" s="1"/>
  <c r="G2558" i="2"/>
  <c r="H2558" i="2" s="1"/>
  <c r="G2559" i="2"/>
  <c r="H2559" i="2" s="1"/>
  <c r="G2560" i="2"/>
  <c r="H2560" i="2" s="1"/>
  <c r="G2561" i="2"/>
  <c r="H2561" i="2" s="1"/>
  <c r="G2562" i="2"/>
  <c r="H2562" i="2" s="1"/>
  <c r="G2563" i="2"/>
  <c r="H2563" i="2" s="1"/>
  <c r="G2564" i="2"/>
  <c r="H2564" i="2" s="1"/>
  <c r="G2565" i="2"/>
  <c r="H2565" i="2" s="1"/>
  <c r="G2566" i="2"/>
  <c r="H2566" i="2" s="1"/>
  <c r="G2567" i="2"/>
  <c r="G2568" i="2"/>
  <c r="H2568" i="2" s="1"/>
  <c r="G2569" i="2"/>
  <c r="H2569" i="2" s="1"/>
  <c r="G2570" i="2"/>
  <c r="H2570" i="2" s="1"/>
  <c r="G2571" i="2"/>
  <c r="H2571" i="2" s="1"/>
  <c r="G2572" i="2"/>
  <c r="H2572" i="2" s="1"/>
  <c r="G2573" i="2"/>
  <c r="H2573" i="2" s="1"/>
  <c r="G2574" i="2"/>
  <c r="H2574" i="2" s="1"/>
  <c r="G2575" i="2"/>
  <c r="H2575" i="2" s="1"/>
  <c r="G2576" i="2"/>
  <c r="H2576" i="2" s="1"/>
  <c r="G2577" i="2"/>
  <c r="H2577" i="2" s="1"/>
  <c r="G2578" i="2"/>
  <c r="H2578" i="2" s="1"/>
  <c r="G2579" i="2"/>
  <c r="H2579" i="2" s="1"/>
  <c r="G2580" i="2"/>
  <c r="H2580" i="2" s="1"/>
  <c r="G2581" i="2"/>
  <c r="H2581" i="2" s="1"/>
  <c r="G2582" i="2"/>
  <c r="H2582" i="2" s="1"/>
  <c r="G2583" i="2"/>
  <c r="H2583" i="2" s="1"/>
  <c r="G2584" i="2"/>
  <c r="H2584" i="2" s="1"/>
  <c r="G2585" i="2"/>
  <c r="G2586" i="2"/>
  <c r="H2586" i="2" s="1"/>
  <c r="G2587" i="2"/>
  <c r="H2587" i="2" s="1"/>
  <c r="G2588" i="2"/>
  <c r="H2588" i="2" s="1"/>
  <c r="G2589" i="2"/>
  <c r="H2589" i="2" s="1"/>
  <c r="G2590" i="2"/>
  <c r="H2590" i="2" s="1"/>
  <c r="G2591" i="2"/>
  <c r="H2591" i="2" s="1"/>
  <c r="G2592" i="2"/>
  <c r="H2592" i="2" s="1"/>
  <c r="G2593" i="2"/>
  <c r="H2593" i="2" s="1"/>
  <c r="G2594" i="2"/>
  <c r="H2594" i="2" s="1"/>
  <c r="G2595" i="2"/>
  <c r="H2595" i="2" s="1"/>
  <c r="G2596" i="2"/>
  <c r="H2596" i="2" s="1"/>
  <c r="G2597" i="2"/>
  <c r="H2597" i="2" s="1"/>
  <c r="G2598" i="2"/>
  <c r="H2598" i="2" s="1"/>
  <c r="G2599" i="2"/>
  <c r="H2599" i="2" s="1"/>
  <c r="G2600" i="2"/>
  <c r="H2600" i="2" s="1"/>
  <c r="G2601" i="2"/>
  <c r="G2602" i="2"/>
  <c r="H2602" i="2" s="1"/>
  <c r="G2603" i="2"/>
  <c r="H2603" i="2" s="1"/>
  <c r="G2604" i="2"/>
  <c r="H2604" i="2" s="1"/>
  <c r="G2605" i="2"/>
  <c r="H2605" i="2" s="1"/>
  <c r="G2606" i="2"/>
  <c r="H2606" i="2" s="1"/>
  <c r="G2607" i="2"/>
  <c r="H2607" i="2" s="1"/>
  <c r="G2608" i="2"/>
  <c r="H2608" i="2" s="1"/>
  <c r="G2609" i="2"/>
  <c r="H2609" i="2" s="1"/>
  <c r="G2610" i="2"/>
  <c r="H2610" i="2" s="1"/>
  <c r="G2611" i="2"/>
  <c r="H2611" i="2" s="1"/>
  <c r="G2612" i="2"/>
  <c r="H2612" i="2" s="1"/>
  <c r="G2613" i="2"/>
  <c r="H2613" i="2" s="1"/>
  <c r="G2614" i="2"/>
  <c r="H2614" i="2" s="1"/>
  <c r="G2615" i="2"/>
  <c r="H2615" i="2" s="1"/>
  <c r="G2616" i="2"/>
  <c r="H2616" i="2" s="1"/>
  <c r="G2617" i="2"/>
  <c r="G2618" i="2"/>
  <c r="H2618" i="2" s="1"/>
  <c r="G2619" i="2"/>
  <c r="H2619" i="2" s="1"/>
  <c r="G2620" i="2"/>
  <c r="H2620" i="2" s="1"/>
  <c r="G2621" i="2"/>
  <c r="H2621" i="2" s="1"/>
  <c r="G2622" i="2"/>
  <c r="H2622" i="2" s="1"/>
  <c r="G2623" i="2"/>
  <c r="H2623" i="2" s="1"/>
  <c r="G2624" i="2"/>
  <c r="H2624" i="2" s="1"/>
  <c r="G2625" i="2"/>
  <c r="H2625" i="2" s="1"/>
  <c r="G2626" i="2"/>
  <c r="H2626" i="2" s="1"/>
  <c r="G2627" i="2"/>
  <c r="H2627" i="2" s="1"/>
  <c r="G2628" i="2"/>
  <c r="H2628" i="2" s="1"/>
  <c r="G2629" i="2"/>
  <c r="H2629" i="2" s="1"/>
  <c r="G2630" i="2"/>
  <c r="H2630" i="2" s="1"/>
  <c r="G2631" i="2"/>
  <c r="H2631" i="2" s="1"/>
  <c r="G2632" i="2"/>
  <c r="H2632" i="2" s="1"/>
  <c r="G2633" i="2"/>
  <c r="G2634" i="2"/>
  <c r="H2634" i="2" s="1"/>
  <c r="G2635" i="2"/>
  <c r="H2635" i="2" s="1"/>
  <c r="G2636" i="2"/>
  <c r="H2636" i="2" s="1"/>
  <c r="G2637" i="2"/>
  <c r="H2637" i="2" s="1"/>
  <c r="G2638" i="2"/>
  <c r="H2638" i="2" s="1"/>
  <c r="G2639" i="2"/>
  <c r="H2639" i="2" s="1"/>
  <c r="G2640" i="2"/>
  <c r="H2640" i="2" s="1"/>
  <c r="G2641" i="2"/>
  <c r="H2641" i="2" s="1"/>
  <c r="G2642" i="2"/>
  <c r="H2642" i="2" s="1"/>
  <c r="G2643" i="2"/>
  <c r="H2643" i="2" s="1"/>
  <c r="G2644" i="2"/>
  <c r="H2644" i="2" s="1"/>
  <c r="G2645" i="2"/>
  <c r="H2645" i="2" s="1"/>
  <c r="G2646" i="2"/>
  <c r="H2646" i="2" s="1"/>
  <c r="G2647" i="2"/>
  <c r="H2647" i="2" s="1"/>
  <c r="G2648" i="2"/>
  <c r="H2648" i="2" s="1"/>
  <c r="G2649" i="2"/>
  <c r="G2650" i="2"/>
  <c r="H2650" i="2" s="1"/>
  <c r="G2651" i="2"/>
  <c r="H2651" i="2" s="1"/>
  <c r="G2652" i="2"/>
  <c r="H2652" i="2" s="1"/>
  <c r="G2653" i="2"/>
  <c r="H2653" i="2" s="1"/>
  <c r="G2654" i="2"/>
  <c r="H2654" i="2" s="1"/>
  <c r="G2655" i="2"/>
  <c r="H2655" i="2" s="1"/>
  <c r="G2656" i="2"/>
  <c r="H2656" i="2" s="1"/>
  <c r="G2657" i="2"/>
  <c r="H2657" i="2" s="1"/>
  <c r="G2658" i="2"/>
  <c r="G2659" i="2"/>
  <c r="H2659" i="2" s="1"/>
  <c r="G2660" i="2"/>
  <c r="H2660" i="2" s="1"/>
  <c r="G2661" i="2"/>
  <c r="H2661" i="2" s="1"/>
  <c r="G2662" i="2"/>
  <c r="H2662" i="2" s="1"/>
  <c r="G2663" i="2"/>
  <c r="H2663" i="2" s="1"/>
  <c r="G2664" i="2"/>
  <c r="H2664" i="2" s="1"/>
  <c r="G2665" i="2"/>
  <c r="H2665" i="2" s="1"/>
  <c r="G2666" i="2"/>
  <c r="H2666" i="2" s="1"/>
  <c r="G2667" i="2"/>
  <c r="G2668" i="2"/>
  <c r="H2668" i="2" s="1"/>
  <c r="G2669" i="2"/>
  <c r="H2669" i="2" s="1"/>
  <c r="G2670" i="2"/>
  <c r="H2670" i="2" s="1"/>
  <c r="G2671" i="2"/>
  <c r="H2671" i="2" s="1"/>
  <c r="G2672" i="2"/>
  <c r="H2672" i="2" s="1"/>
  <c r="G2673" i="2"/>
  <c r="H2673" i="2" s="1"/>
  <c r="G2674" i="2"/>
  <c r="H2674" i="2" s="1"/>
  <c r="G2675" i="2"/>
  <c r="H2675" i="2" s="1"/>
  <c r="G2676" i="2"/>
  <c r="H2676" i="2" s="1"/>
  <c r="G2677" i="2"/>
  <c r="G2678" i="2"/>
  <c r="H2678" i="2" s="1"/>
  <c r="G2679" i="2"/>
  <c r="H2679" i="2" s="1"/>
  <c r="G2680" i="2"/>
  <c r="H2680" i="2" s="1"/>
  <c r="G2681" i="2"/>
  <c r="H2681" i="2" s="1"/>
  <c r="G2682" i="2"/>
  <c r="H2682" i="2" s="1"/>
  <c r="G2683" i="2"/>
  <c r="H2683" i="2" s="1"/>
  <c r="G2684" i="2"/>
  <c r="H2684" i="2" s="1"/>
  <c r="G2685" i="2"/>
  <c r="H2685" i="2" s="1"/>
  <c r="G2686" i="2"/>
  <c r="G2687" i="2"/>
  <c r="H2687" i="2" s="1"/>
  <c r="G2688" i="2"/>
  <c r="H2688" i="2" s="1"/>
  <c r="G2689" i="2"/>
  <c r="H2689" i="2" s="1"/>
  <c r="G2690" i="2"/>
  <c r="H2690" i="2" s="1"/>
  <c r="G2691" i="2"/>
  <c r="H2691" i="2" s="1"/>
  <c r="G2692" i="2"/>
  <c r="H2692" i="2" s="1"/>
  <c r="G2693" i="2"/>
  <c r="H2693" i="2" s="1"/>
  <c r="G2694" i="2"/>
  <c r="H2694" i="2" s="1"/>
  <c r="G2695" i="2"/>
  <c r="G2696" i="2"/>
  <c r="H2696" i="2" s="1"/>
  <c r="G2697" i="2"/>
  <c r="H2697" i="2" s="1"/>
  <c r="G2698" i="2"/>
  <c r="H2698" i="2" s="1"/>
  <c r="G2699" i="2"/>
  <c r="H2699" i="2" s="1"/>
  <c r="G2700" i="2"/>
  <c r="H2700" i="2" s="1"/>
  <c r="G2701" i="2"/>
  <c r="H2701" i="2" s="1"/>
  <c r="G2702" i="2"/>
  <c r="H2702" i="2" s="1"/>
  <c r="G2703" i="2"/>
  <c r="H2703" i="2" s="1"/>
  <c r="G2704" i="2"/>
  <c r="G2705" i="2"/>
  <c r="H2705" i="2" s="1"/>
  <c r="G2706" i="2"/>
  <c r="H2706" i="2" s="1"/>
  <c r="G2707" i="2"/>
  <c r="H2707" i="2" s="1"/>
  <c r="G2708" i="2"/>
  <c r="H2708" i="2" s="1"/>
  <c r="G2709" i="2"/>
  <c r="H2709" i="2" s="1"/>
  <c r="G2710" i="2"/>
  <c r="H2710" i="2" s="1"/>
  <c r="G2711" i="2"/>
  <c r="H2711" i="2" s="1"/>
  <c r="G2712" i="2"/>
  <c r="H2712" i="2" s="1"/>
  <c r="G2713" i="2"/>
  <c r="G2714" i="2"/>
  <c r="H2714" i="2" s="1"/>
  <c r="G2715" i="2"/>
  <c r="H2715" i="2" s="1"/>
  <c r="G2716" i="2"/>
  <c r="H2716" i="2" s="1"/>
  <c r="G2717" i="2"/>
  <c r="H2717" i="2" s="1"/>
  <c r="G2718" i="2"/>
  <c r="H2718" i="2" s="1"/>
  <c r="G2719" i="2"/>
  <c r="H2719" i="2" s="1"/>
  <c r="G2720" i="2"/>
  <c r="H2720" i="2" s="1"/>
  <c r="G2721" i="2"/>
  <c r="H2721" i="2" s="1"/>
  <c r="G2722" i="2"/>
  <c r="G2723" i="2"/>
  <c r="H2723" i="2" s="1"/>
  <c r="G2724" i="2"/>
  <c r="H2724" i="2" s="1"/>
  <c r="G2725" i="2"/>
  <c r="H2725" i="2" s="1"/>
  <c r="G2726" i="2"/>
  <c r="H2726" i="2" s="1"/>
  <c r="G2727" i="2"/>
  <c r="H2727" i="2" s="1"/>
  <c r="G2728" i="2"/>
  <c r="H2728" i="2" s="1"/>
  <c r="G2729" i="2"/>
  <c r="H2729" i="2" s="1"/>
  <c r="G2730" i="2"/>
  <c r="H2730" i="2" s="1"/>
  <c r="G2731" i="2"/>
  <c r="G2732" i="2"/>
  <c r="H2732" i="2" s="1"/>
  <c r="G2733" i="2"/>
  <c r="H2733" i="2" s="1"/>
  <c r="G2734" i="2"/>
  <c r="H2734" i="2" s="1"/>
  <c r="G2735" i="2"/>
  <c r="H2735" i="2" s="1"/>
  <c r="G2736" i="2"/>
  <c r="H2736" i="2" s="1"/>
  <c r="G2737" i="2"/>
  <c r="H2737" i="2" s="1"/>
  <c r="G2738" i="2"/>
  <c r="H2738" i="2" s="1"/>
  <c r="G2739" i="2"/>
  <c r="H2739" i="2" s="1"/>
  <c r="G2740" i="2"/>
  <c r="G2741" i="2"/>
  <c r="H2741" i="2" s="1"/>
  <c r="G2742" i="2"/>
  <c r="H2742" i="2" s="1"/>
  <c r="G2743" i="2"/>
  <c r="H2743" i="2" s="1"/>
  <c r="G2744" i="2"/>
  <c r="H2744" i="2" s="1"/>
  <c r="G2745" i="2"/>
  <c r="H2745" i="2" s="1"/>
  <c r="G2746" i="2"/>
  <c r="H2746" i="2" s="1"/>
  <c r="G2747" i="2"/>
  <c r="H2747" i="2" s="1"/>
  <c r="G2748" i="2"/>
  <c r="H2748" i="2" s="1"/>
  <c r="G2749" i="2"/>
  <c r="H2749" i="2" s="1"/>
  <c r="G2750" i="2"/>
  <c r="H2750" i="2" s="1"/>
  <c r="G2751" i="2"/>
  <c r="H2751" i="2" s="1"/>
  <c r="G2752" i="2"/>
  <c r="H2752" i="2" s="1"/>
  <c r="G2753" i="2"/>
  <c r="G2754" i="2"/>
  <c r="H2754" i="2" s="1"/>
  <c r="G2755" i="2"/>
  <c r="H2755" i="2" s="1"/>
  <c r="G2756" i="2"/>
  <c r="H2756" i="2" s="1"/>
  <c r="G2757" i="2"/>
  <c r="H2757" i="2" s="1"/>
  <c r="G2758" i="2"/>
  <c r="H2758" i="2" s="1"/>
  <c r="G2759" i="2"/>
  <c r="H2759" i="2" s="1"/>
  <c r="G2760" i="2"/>
  <c r="H2760" i="2" s="1"/>
  <c r="G2761" i="2"/>
  <c r="H2761" i="2" s="1"/>
  <c r="G2762" i="2"/>
  <c r="G2763" i="2"/>
  <c r="H2763" i="2" s="1"/>
  <c r="G2764" i="2"/>
  <c r="H2764" i="2" s="1"/>
  <c r="G2765" i="2"/>
  <c r="H2765" i="2" s="1"/>
  <c r="G2766" i="2"/>
  <c r="H2766" i="2" s="1"/>
  <c r="G2767" i="2"/>
  <c r="H2767" i="2" s="1"/>
  <c r="G2768" i="2"/>
  <c r="H2768" i="2" s="1"/>
  <c r="G2769" i="2"/>
  <c r="H2769" i="2" s="1"/>
  <c r="G2770" i="2"/>
  <c r="H2770" i="2" s="1"/>
  <c r="G2771" i="2"/>
  <c r="G2772" i="2"/>
  <c r="H2772" i="2" s="1"/>
  <c r="G2773" i="2"/>
  <c r="H2773" i="2" s="1"/>
  <c r="G2774" i="2"/>
  <c r="H2774" i="2" s="1"/>
  <c r="G2775" i="2"/>
  <c r="H2775" i="2" s="1"/>
  <c r="G2776" i="2"/>
  <c r="H2776" i="2" s="1"/>
  <c r="G2777" i="2"/>
  <c r="H2777" i="2" s="1"/>
  <c r="G2778" i="2"/>
  <c r="H2778" i="2" s="1"/>
  <c r="G2779" i="2"/>
  <c r="H2779" i="2" s="1"/>
  <c r="G2780" i="2"/>
  <c r="G2781" i="2"/>
  <c r="H2781" i="2" s="1"/>
  <c r="G2782" i="2"/>
  <c r="H2782" i="2" s="1"/>
  <c r="G2783" i="2"/>
  <c r="H2783" i="2" s="1"/>
  <c r="G2784" i="2"/>
  <c r="H2784" i="2" s="1"/>
  <c r="G2785" i="2"/>
  <c r="H2785" i="2" s="1"/>
  <c r="G2786" i="2"/>
  <c r="H2786" i="2" s="1"/>
  <c r="G2787" i="2"/>
  <c r="H2787" i="2" s="1"/>
  <c r="G2788" i="2"/>
  <c r="H2788" i="2" s="1"/>
  <c r="G2789" i="2"/>
  <c r="G2790" i="2"/>
  <c r="H2790" i="2" s="1"/>
  <c r="G2791" i="2"/>
  <c r="H2791" i="2" s="1"/>
  <c r="G2792" i="2"/>
  <c r="H2792" i="2" s="1"/>
  <c r="G2793" i="2"/>
  <c r="H2793" i="2" s="1"/>
  <c r="G2794" i="2"/>
  <c r="H2794" i="2" s="1"/>
  <c r="G2795" i="2"/>
  <c r="H2795" i="2" s="1"/>
  <c r="G2796" i="2"/>
  <c r="H2796" i="2" s="1"/>
  <c r="G2797" i="2"/>
  <c r="H2797" i="2" s="1"/>
  <c r="G2798" i="2"/>
  <c r="H2798" i="2" s="1"/>
  <c r="G2799" i="2"/>
  <c r="H2799" i="2" s="1"/>
  <c r="G2800" i="2"/>
  <c r="H2800" i="2" s="1"/>
  <c r="G2801" i="2"/>
  <c r="H2801" i="2" s="1"/>
  <c r="G2802" i="2"/>
  <c r="H2802" i="2" s="1"/>
  <c r="G2803" i="2"/>
  <c r="H2803" i="2" s="1"/>
  <c r="G2804" i="2"/>
  <c r="H2804" i="2" s="1"/>
  <c r="G2805" i="2"/>
  <c r="H2805" i="2" s="1"/>
  <c r="G2806" i="2"/>
  <c r="G2807" i="2"/>
  <c r="H2807" i="2" s="1"/>
  <c r="G2808" i="2"/>
  <c r="H2808" i="2" s="1"/>
  <c r="G2809" i="2"/>
  <c r="H2809" i="2" s="1"/>
  <c r="G2810" i="2"/>
  <c r="H2810" i="2" s="1"/>
  <c r="G2811" i="2"/>
  <c r="H2811" i="2" s="1"/>
  <c r="G2812" i="2"/>
  <c r="H2812" i="2" s="1"/>
  <c r="G2813" i="2"/>
  <c r="H2813" i="2" s="1"/>
  <c r="G2814" i="2"/>
  <c r="H2814" i="2" s="1"/>
  <c r="G2815" i="2"/>
  <c r="H2815" i="2" s="1"/>
  <c r="G2816" i="2"/>
  <c r="H2816" i="2" s="1"/>
  <c r="G2817" i="2"/>
  <c r="H2817" i="2" s="1"/>
  <c r="G2818" i="2"/>
  <c r="H2818" i="2" s="1"/>
  <c r="G2819" i="2"/>
  <c r="H2819" i="2" s="1"/>
  <c r="G2820" i="2"/>
  <c r="H2820" i="2" s="1"/>
  <c r="G2821" i="2"/>
  <c r="H2821" i="2" s="1"/>
  <c r="G2822" i="2"/>
  <c r="H2822" i="2" s="1"/>
  <c r="G2823" i="2"/>
  <c r="H2823" i="2" s="1"/>
  <c r="G2824" i="2"/>
  <c r="G2825" i="2"/>
  <c r="H2825" i="2" s="1"/>
  <c r="G2826" i="2"/>
  <c r="H2826" i="2" s="1"/>
  <c r="G2827" i="2"/>
  <c r="H2827" i="2" s="1"/>
  <c r="G2828" i="2"/>
  <c r="H2828" i="2" s="1"/>
  <c r="G2829" i="2"/>
  <c r="H2829" i="2" s="1"/>
  <c r="G2830" i="2"/>
  <c r="H2830" i="2" s="1"/>
  <c r="G2831" i="2"/>
  <c r="H2831" i="2" s="1"/>
  <c r="G2832" i="2"/>
  <c r="H2832" i="2" s="1"/>
  <c r="G2833" i="2"/>
  <c r="H2833" i="2" s="1"/>
  <c r="G2834" i="2"/>
  <c r="H2834" i="2" s="1"/>
  <c r="G2835" i="2"/>
  <c r="H2835" i="2" s="1"/>
  <c r="G2836" i="2"/>
  <c r="H2836" i="2" s="1"/>
  <c r="G2837" i="2"/>
  <c r="H2837" i="2" s="1"/>
  <c r="G2838" i="2"/>
  <c r="H2838" i="2" s="1"/>
  <c r="G2839" i="2"/>
  <c r="H2839" i="2" s="1"/>
  <c r="G2840" i="2"/>
  <c r="G2841" i="2"/>
  <c r="H2841" i="2" s="1"/>
  <c r="G2842" i="2"/>
  <c r="H2842" i="2" s="1"/>
  <c r="G2843" i="2"/>
  <c r="H2843" i="2" s="1"/>
  <c r="G2844" i="2"/>
  <c r="H2844" i="2" s="1"/>
  <c r="G2845" i="2"/>
  <c r="H2845" i="2" s="1"/>
  <c r="G2846" i="2"/>
  <c r="H2846" i="2" s="1"/>
  <c r="G2847" i="2"/>
  <c r="H2847" i="2" s="1"/>
  <c r="G2848" i="2"/>
  <c r="H2848" i="2" s="1"/>
  <c r="G2849" i="2"/>
  <c r="H2849" i="2" s="1"/>
  <c r="G2850" i="2"/>
  <c r="H2850" i="2" s="1"/>
  <c r="G2851" i="2"/>
  <c r="H2851" i="2" s="1"/>
  <c r="G2852" i="2"/>
  <c r="H2852" i="2" s="1"/>
  <c r="G2853" i="2"/>
  <c r="H2853" i="2" s="1"/>
  <c r="G2854" i="2"/>
  <c r="H2854" i="2" s="1"/>
  <c r="G2855" i="2"/>
  <c r="H2855" i="2" s="1"/>
  <c r="G2856" i="2"/>
  <c r="G2857" i="2"/>
  <c r="H2857" i="2" s="1"/>
  <c r="G2858" i="2"/>
  <c r="H2858" i="2" s="1"/>
  <c r="G2859" i="2"/>
  <c r="H2859" i="2" s="1"/>
  <c r="G2860" i="2"/>
  <c r="H2860" i="2" s="1"/>
  <c r="G2861" i="2"/>
  <c r="H2861" i="2" s="1"/>
  <c r="G2862" i="2"/>
  <c r="H2862" i="2" s="1"/>
  <c r="G2863" i="2"/>
  <c r="H2863" i="2" s="1"/>
  <c r="G2864" i="2"/>
  <c r="H2864" i="2" s="1"/>
  <c r="G2865" i="2"/>
  <c r="H2865" i="2" s="1"/>
  <c r="G2866" i="2"/>
  <c r="H2866" i="2" s="1"/>
  <c r="G2867" i="2"/>
  <c r="H2867" i="2" s="1"/>
  <c r="G2868" i="2"/>
  <c r="H2868" i="2" s="1"/>
  <c r="G2869" i="2"/>
  <c r="H2869" i="2" s="1"/>
  <c r="G2870" i="2"/>
  <c r="H2870" i="2" s="1"/>
  <c r="G2871" i="2"/>
  <c r="H2871" i="2" s="1"/>
  <c r="G2872" i="2"/>
  <c r="H2872" i="2" s="1"/>
  <c r="G2873" i="2"/>
  <c r="H2873" i="2" s="1"/>
  <c r="G2874" i="2"/>
  <c r="H2874" i="2" s="1"/>
  <c r="G2875" i="2"/>
  <c r="H2875" i="2" s="1"/>
  <c r="G2876" i="2"/>
  <c r="G2877" i="2"/>
  <c r="H2877" i="2" s="1"/>
  <c r="G2878" i="2"/>
  <c r="H2878" i="2" s="1"/>
  <c r="G2879" i="2"/>
  <c r="H2879" i="2" s="1"/>
  <c r="G2880" i="2"/>
  <c r="H2880" i="2" s="1"/>
  <c r="G2881" i="2"/>
  <c r="H2881" i="2" s="1"/>
  <c r="G2882" i="2"/>
  <c r="H2882" i="2" s="1"/>
  <c r="G2883" i="2"/>
  <c r="H2883" i="2" s="1"/>
  <c r="G2884" i="2"/>
  <c r="H2884" i="2" s="1"/>
  <c r="G2885" i="2"/>
  <c r="H2885" i="2" s="1"/>
  <c r="G2886" i="2"/>
  <c r="H2886" i="2" s="1"/>
  <c r="G2887" i="2"/>
  <c r="H2887" i="2" s="1"/>
  <c r="G2888" i="2"/>
  <c r="H2888" i="2" s="1"/>
  <c r="G2889" i="2"/>
  <c r="H2889" i="2" s="1"/>
  <c r="G2890" i="2"/>
  <c r="H2890" i="2" s="1"/>
  <c r="G2891" i="2"/>
  <c r="H2891" i="2" s="1"/>
  <c r="G2892" i="2"/>
  <c r="G2893" i="2"/>
  <c r="H2893" i="2" s="1"/>
  <c r="G2894" i="2"/>
  <c r="G2895" i="2"/>
  <c r="H2895" i="2" s="1"/>
  <c r="G2896" i="2"/>
  <c r="H2896" i="2" s="1"/>
  <c r="G2897" i="2"/>
  <c r="H2897" i="2" s="1"/>
  <c r="G2898" i="2"/>
  <c r="H2898" i="2" s="1"/>
  <c r="G2899" i="2"/>
  <c r="H2899" i="2" s="1"/>
  <c r="G2900" i="2"/>
  <c r="H2900" i="2" s="1"/>
  <c r="G2901" i="2"/>
  <c r="H2901" i="2" s="1"/>
  <c r="G2902" i="2"/>
  <c r="G2903" i="2"/>
  <c r="H2903" i="2" s="1"/>
  <c r="G2904" i="2"/>
  <c r="H2904" i="2" s="1"/>
  <c r="G2905" i="2"/>
  <c r="H2905" i="2" s="1"/>
  <c r="G2906" i="2"/>
  <c r="H2906" i="2" s="1"/>
  <c r="G2907" i="2"/>
  <c r="H2907" i="2" s="1"/>
  <c r="G2908" i="2"/>
  <c r="H2908" i="2" s="1"/>
  <c r="G2909" i="2"/>
  <c r="H2909" i="2" s="1"/>
  <c r="G2910" i="2"/>
  <c r="G2911" i="2"/>
  <c r="H2911" i="2" s="1"/>
  <c r="G2912" i="2"/>
  <c r="H2912" i="2" s="1"/>
  <c r="G2913" i="2"/>
  <c r="H2913" i="2" s="1"/>
  <c r="G2914" i="2"/>
  <c r="H2914" i="2" s="1"/>
  <c r="G2915" i="2"/>
  <c r="H2915" i="2" s="1"/>
  <c r="G2916" i="2"/>
  <c r="H2916" i="2" s="1"/>
  <c r="G2917" i="2"/>
  <c r="G2918" i="2"/>
  <c r="H2918" i="2" s="1"/>
  <c r="G2919" i="2"/>
  <c r="H2919" i="2" s="1"/>
  <c r="G2920" i="2"/>
  <c r="H2920" i="2" s="1"/>
  <c r="G2921" i="2"/>
  <c r="H2921" i="2" s="1"/>
  <c r="G2922" i="2"/>
  <c r="H2922" i="2" s="1"/>
  <c r="G2923" i="2"/>
  <c r="H2923" i="2" s="1"/>
  <c r="G2924" i="2"/>
  <c r="G2925" i="2"/>
  <c r="H2925" i="2" s="1"/>
  <c r="G2926" i="2"/>
  <c r="H2926" i="2" s="1"/>
  <c r="G2927" i="2"/>
  <c r="H2927" i="2" s="1"/>
  <c r="G2928" i="2"/>
  <c r="H2928" i="2" s="1"/>
  <c r="G2929" i="2"/>
  <c r="H2929" i="2" s="1"/>
  <c r="G2930" i="2"/>
  <c r="H2930" i="2" s="1"/>
  <c r="G2931" i="2"/>
  <c r="G2932" i="2"/>
  <c r="H2932" i="2" s="1"/>
  <c r="G2933" i="2"/>
  <c r="H2933" i="2" s="1"/>
  <c r="G2934" i="2"/>
  <c r="H2934" i="2" s="1"/>
  <c r="G2935" i="2"/>
  <c r="H2935" i="2" s="1"/>
  <c r="G2936" i="2"/>
  <c r="H2936" i="2" s="1"/>
  <c r="G2937" i="2"/>
  <c r="H2937" i="2" s="1"/>
  <c r="G2938" i="2"/>
  <c r="G2939" i="2"/>
  <c r="H2939" i="2" s="1"/>
  <c r="G2940" i="2"/>
  <c r="H2940" i="2" s="1"/>
  <c r="G2941" i="2"/>
  <c r="H2941" i="2" s="1"/>
  <c r="G2942" i="2"/>
  <c r="H2942" i="2" s="1"/>
  <c r="G2943" i="2"/>
  <c r="H2943" i="2" s="1"/>
  <c r="G2944" i="2"/>
  <c r="H2944" i="2" s="1"/>
  <c r="G2945" i="2"/>
  <c r="H2945" i="2" s="1"/>
  <c r="G2946" i="2"/>
  <c r="H2946" i="2" s="1"/>
  <c r="G2947" i="2"/>
  <c r="H2947" i="2" s="1"/>
  <c r="G2948" i="2"/>
  <c r="H2948" i="2" s="1"/>
  <c r="G2949" i="2"/>
  <c r="G2950" i="2"/>
  <c r="H2950" i="2" s="1"/>
  <c r="G2951" i="2"/>
  <c r="H2951" i="2" s="1"/>
  <c r="G2952" i="2"/>
  <c r="H2952" i="2" s="1"/>
  <c r="G2953" i="2"/>
  <c r="H2953" i="2" s="1"/>
  <c r="G2954" i="2"/>
  <c r="H2954" i="2" s="1"/>
  <c r="G2955" i="2"/>
  <c r="H2955" i="2" s="1"/>
  <c r="G2956" i="2"/>
  <c r="H2956" i="2" s="1"/>
  <c r="G2957" i="2"/>
  <c r="H2957" i="2" s="1"/>
  <c r="G2958" i="2"/>
  <c r="G2959" i="2"/>
  <c r="H2959" i="2" s="1"/>
  <c r="G2960" i="2"/>
  <c r="H2960" i="2" s="1"/>
  <c r="G2961" i="2"/>
  <c r="H2961" i="2" s="1"/>
  <c r="G2962" i="2"/>
  <c r="H2962" i="2" s="1"/>
  <c r="G2963" i="2"/>
  <c r="H2963" i="2" s="1"/>
  <c r="G2964" i="2"/>
  <c r="H2964" i="2" s="1"/>
  <c r="G2965" i="2"/>
  <c r="H2965" i="2" s="1"/>
  <c r="G2966" i="2"/>
  <c r="H2966" i="2" s="1"/>
  <c r="G2967" i="2"/>
  <c r="G2968" i="2"/>
  <c r="H2968" i="2" s="1"/>
  <c r="G2969" i="2"/>
  <c r="H2969" i="2" s="1"/>
  <c r="G2970" i="2"/>
  <c r="H2970" i="2" s="1"/>
  <c r="G2971" i="2"/>
  <c r="H2971" i="2" s="1"/>
  <c r="G2972" i="2"/>
  <c r="H2972" i="2" s="1"/>
  <c r="G2973" i="2"/>
  <c r="H2973" i="2" s="1"/>
  <c r="G2974" i="2"/>
  <c r="H2974" i="2" s="1"/>
  <c r="G2975" i="2"/>
  <c r="H2975" i="2" s="1"/>
  <c r="G2976" i="2"/>
  <c r="H2976" i="2" s="1"/>
  <c r="G2977" i="2"/>
  <c r="G2978" i="2"/>
  <c r="H2978" i="2" s="1"/>
  <c r="G2979" i="2"/>
  <c r="H2979" i="2" s="1"/>
  <c r="G2980" i="2"/>
  <c r="H2980" i="2" s="1"/>
  <c r="G2981" i="2"/>
  <c r="H2981" i="2" s="1"/>
  <c r="G2982" i="2"/>
  <c r="H2982" i="2" s="1"/>
  <c r="G2983" i="2"/>
  <c r="H2983" i="2" s="1"/>
  <c r="G2984" i="2"/>
  <c r="H2984" i="2" s="1"/>
  <c r="G2985" i="2"/>
  <c r="H2985" i="2" s="1"/>
  <c r="G2986" i="2"/>
  <c r="G2987" i="2"/>
  <c r="H2987" i="2" s="1"/>
  <c r="G2988" i="2"/>
  <c r="H2988" i="2" s="1"/>
  <c r="G2989" i="2"/>
  <c r="H2989" i="2" s="1"/>
  <c r="G2990" i="2"/>
  <c r="H2990" i="2" s="1"/>
  <c r="G2991" i="2"/>
  <c r="H2991" i="2" s="1"/>
  <c r="G2992" i="2"/>
  <c r="H2992" i="2" s="1"/>
  <c r="G2993" i="2"/>
  <c r="H2993" i="2" s="1"/>
  <c r="G2994" i="2"/>
  <c r="H2994" i="2" s="1"/>
  <c r="G2995" i="2"/>
  <c r="H2995" i="2" s="1"/>
  <c r="G2996" i="2"/>
  <c r="H2996" i="2" s="1"/>
  <c r="G2997" i="2"/>
  <c r="G2998" i="2"/>
  <c r="H2998" i="2" s="1"/>
  <c r="G2999" i="2"/>
  <c r="H2999" i="2" s="1"/>
  <c r="G3000" i="2"/>
  <c r="H3000" i="2" s="1"/>
  <c r="G3001" i="2"/>
  <c r="H3001" i="2" s="1"/>
  <c r="G3002" i="2"/>
  <c r="H3002" i="2" s="1"/>
  <c r="G3003" i="2"/>
  <c r="H3003" i="2" s="1"/>
  <c r="G3004" i="2"/>
  <c r="H3004" i="2" s="1"/>
  <c r="G3005" i="2"/>
  <c r="H3005" i="2" s="1"/>
  <c r="G3006" i="2"/>
  <c r="H3006" i="2" s="1"/>
  <c r="G3007" i="2"/>
  <c r="H3007" i="2" s="1"/>
  <c r="G3008" i="2"/>
  <c r="G3009" i="2"/>
  <c r="H3009" i="2" s="1"/>
  <c r="G3010" i="2"/>
  <c r="H3010" i="2" s="1"/>
  <c r="G3011" i="2"/>
  <c r="H3011" i="2" s="1"/>
  <c r="G3012" i="2"/>
  <c r="H3012" i="2" s="1"/>
  <c r="G3013" i="2"/>
  <c r="H3013" i="2" s="1"/>
  <c r="G3014" i="2"/>
  <c r="H3014" i="2" s="1"/>
  <c r="G3015" i="2"/>
  <c r="H3015" i="2" s="1"/>
  <c r="G3016" i="2"/>
  <c r="H3016" i="2" s="1"/>
  <c r="G3017" i="2"/>
  <c r="H3017" i="2" s="1"/>
  <c r="G3018" i="2"/>
  <c r="G3019" i="2"/>
  <c r="H3019" i="2" s="1"/>
  <c r="G3020" i="2"/>
  <c r="H3020" i="2" s="1"/>
  <c r="G3021" i="2"/>
  <c r="H3021" i="2" s="1"/>
  <c r="G3022" i="2"/>
  <c r="H3022" i="2" s="1"/>
  <c r="G3023" i="2"/>
  <c r="H3023" i="2" s="1"/>
  <c r="G3024" i="2"/>
  <c r="H3024" i="2" s="1"/>
  <c r="G3025" i="2"/>
  <c r="H3025" i="2" s="1"/>
  <c r="G3026" i="2"/>
  <c r="H3026" i="2" s="1"/>
  <c r="G3027" i="2"/>
  <c r="H3027" i="2" s="1"/>
  <c r="G3028" i="2"/>
  <c r="G3029" i="2"/>
  <c r="H3029" i="2" s="1"/>
  <c r="G3030" i="2"/>
  <c r="H3030" i="2" s="1"/>
  <c r="G3031" i="2"/>
  <c r="H3031" i="2" s="1"/>
  <c r="G3032" i="2"/>
  <c r="H3032" i="2" s="1"/>
  <c r="G3033" i="2"/>
  <c r="H3033" i="2" s="1"/>
  <c r="G3034" i="2"/>
  <c r="H3034" i="2" s="1"/>
  <c r="G3035" i="2"/>
  <c r="H3035" i="2" s="1"/>
  <c r="G3036" i="2"/>
  <c r="H3036" i="2" s="1"/>
  <c r="G3037" i="2"/>
  <c r="H3037" i="2" s="1"/>
  <c r="G3038" i="2"/>
  <c r="H3038" i="2" s="1"/>
  <c r="G3039" i="2"/>
  <c r="H3039" i="2" s="1"/>
  <c r="G3040" i="2"/>
  <c r="H3040" i="2" s="1"/>
  <c r="G3041" i="2"/>
  <c r="H3041" i="2" s="1"/>
  <c r="G3042" i="2"/>
  <c r="H3042" i="2" s="1"/>
  <c r="G3043" i="2"/>
  <c r="H3043" i="2" s="1"/>
  <c r="G3044" i="2"/>
  <c r="H3044" i="2" s="1"/>
  <c r="G3045" i="2"/>
  <c r="H3045" i="2" s="1"/>
  <c r="G3046" i="2"/>
  <c r="G3047" i="2"/>
  <c r="H3047" i="2" s="1"/>
  <c r="G3048" i="2"/>
  <c r="H3048" i="2" s="1"/>
  <c r="G3049" i="2"/>
  <c r="H3049" i="2" s="1"/>
  <c r="G3050" i="2"/>
  <c r="H3050" i="2" s="1"/>
  <c r="G3051" i="2"/>
  <c r="H3051" i="2" s="1"/>
  <c r="G3052" i="2"/>
  <c r="H3052" i="2" s="1"/>
  <c r="G3053" i="2"/>
  <c r="H3053" i="2" s="1"/>
  <c r="G3054" i="2"/>
  <c r="H3054" i="2" s="1"/>
  <c r="G3055" i="2"/>
  <c r="H3055" i="2" s="1"/>
  <c r="G3056" i="2"/>
  <c r="H3056" i="2" s="1"/>
  <c r="G3057" i="2"/>
  <c r="H3057" i="2" s="1"/>
  <c r="G3058" i="2"/>
  <c r="H3058" i="2" s="1"/>
  <c r="G3059" i="2"/>
  <c r="H3059" i="2" s="1"/>
  <c r="G3060" i="2"/>
  <c r="H3060" i="2" s="1"/>
  <c r="G3061" i="2"/>
  <c r="H3061" i="2" s="1"/>
  <c r="G3062" i="2"/>
  <c r="H3062" i="2" s="1"/>
  <c r="G3063" i="2"/>
  <c r="H3063" i="2" s="1"/>
  <c r="G3064" i="2"/>
  <c r="G3065" i="2"/>
  <c r="H3065" i="2" s="1"/>
  <c r="G3066" i="2"/>
  <c r="H3066" i="2" s="1"/>
  <c r="G3067" i="2"/>
  <c r="H3067" i="2" s="1"/>
  <c r="G3068" i="2"/>
  <c r="H3068" i="2" s="1"/>
  <c r="G3069" i="2"/>
  <c r="H3069" i="2" s="1"/>
  <c r="G3070" i="2"/>
  <c r="H3070" i="2" s="1"/>
  <c r="G3071" i="2"/>
  <c r="H3071" i="2" s="1"/>
  <c r="G3072" i="2"/>
  <c r="H3072" i="2" s="1"/>
  <c r="G3073" i="2"/>
  <c r="G3074" i="2"/>
  <c r="H3074" i="2" s="1"/>
  <c r="G3075" i="2"/>
  <c r="H3075" i="2" s="1"/>
  <c r="G3076" i="2"/>
  <c r="H3076" i="2" s="1"/>
  <c r="G3077" i="2"/>
  <c r="H3077" i="2" s="1"/>
  <c r="G3078" i="2"/>
  <c r="H3078" i="2" s="1"/>
  <c r="G3079" i="2"/>
  <c r="H3079" i="2" s="1"/>
  <c r="G3080" i="2"/>
  <c r="H3080" i="2" s="1"/>
  <c r="G3081" i="2"/>
  <c r="H3081" i="2" s="1"/>
  <c r="G3082" i="2"/>
  <c r="H3082" i="2" s="1"/>
  <c r="G3083" i="2"/>
  <c r="H3083" i="2" s="1"/>
  <c r="G3084" i="2"/>
  <c r="G3085" i="2"/>
  <c r="H3085" i="2" s="1"/>
  <c r="G3086" i="2"/>
  <c r="H3086" i="2" s="1"/>
  <c r="G3087" i="2"/>
  <c r="H3087" i="2" s="1"/>
  <c r="G3088" i="2"/>
  <c r="H3088" i="2" s="1"/>
  <c r="G3089" i="2"/>
  <c r="H3089" i="2" s="1"/>
  <c r="G3090" i="2"/>
  <c r="H3090" i="2" s="1"/>
  <c r="G3091" i="2"/>
  <c r="H3091" i="2" s="1"/>
  <c r="G3092" i="2"/>
  <c r="H3092" i="2" s="1"/>
  <c r="G3093" i="2"/>
  <c r="H3093" i="2" s="1"/>
  <c r="G3094" i="2"/>
  <c r="G3095" i="2"/>
  <c r="H3095" i="2" s="1"/>
  <c r="G3096" i="2"/>
  <c r="H3096" i="2" s="1"/>
  <c r="G3097" i="2"/>
  <c r="H3097" i="2" s="1"/>
  <c r="G3098" i="2"/>
  <c r="H3098" i="2" s="1"/>
  <c r="G3099" i="2"/>
  <c r="H3099" i="2" s="1"/>
  <c r="G3100" i="2"/>
  <c r="H3100" i="2" s="1"/>
  <c r="G3101" i="2"/>
  <c r="H3101" i="2" s="1"/>
  <c r="G3102" i="2"/>
  <c r="H3102" i="2" s="1"/>
  <c r="G3103" i="2"/>
  <c r="H3103" i="2" s="1"/>
  <c r="G3104" i="2"/>
  <c r="G3105" i="2"/>
  <c r="H3105" i="2" s="1"/>
  <c r="G3106" i="2"/>
  <c r="H3106" i="2" s="1"/>
  <c r="G3107" i="2"/>
  <c r="H3107" i="2" s="1"/>
  <c r="G3108" i="2"/>
  <c r="H3108" i="2" s="1"/>
  <c r="G3109" i="2"/>
  <c r="H3109" i="2" s="1"/>
  <c r="G3110" i="2"/>
  <c r="H3110" i="2" s="1"/>
  <c r="G3111" i="2"/>
  <c r="H3111" i="2" s="1"/>
  <c r="G3112" i="2"/>
  <c r="H3112" i="2" s="1"/>
  <c r="G3113" i="2"/>
  <c r="G3114" i="2"/>
  <c r="H3114" i="2" s="1"/>
  <c r="G3115" i="2"/>
  <c r="H3115" i="2" s="1"/>
  <c r="G3116" i="2"/>
  <c r="H3116" i="2" s="1"/>
  <c r="G3117" i="2"/>
  <c r="H3117" i="2" s="1"/>
  <c r="G3118" i="2"/>
  <c r="H3118" i="2" s="1"/>
  <c r="G3119" i="2"/>
  <c r="H3119" i="2" s="1"/>
  <c r="G3120" i="2"/>
  <c r="H3120" i="2" s="1"/>
  <c r="G3121" i="2"/>
  <c r="H3121" i="2" s="1"/>
  <c r="G3122" i="2"/>
  <c r="H3122" i="2" s="1"/>
  <c r="G3123" i="2"/>
  <c r="H3123" i="2" s="1"/>
  <c r="G3124" i="2"/>
  <c r="H3124" i="2" s="1"/>
  <c r="G3125" i="2"/>
  <c r="H3125" i="2" s="1"/>
  <c r="G3126" i="2"/>
  <c r="G3127" i="2"/>
  <c r="H3127" i="2" s="1"/>
  <c r="G3128" i="2"/>
  <c r="H3128" i="2" s="1"/>
  <c r="G3129" i="2"/>
  <c r="H3129" i="2" s="1"/>
  <c r="G3130" i="2"/>
  <c r="H3130" i="2" s="1"/>
  <c r="G3131" i="2"/>
  <c r="H3131" i="2" s="1"/>
  <c r="G3132" i="2"/>
  <c r="H3132" i="2" s="1"/>
  <c r="G3133" i="2"/>
  <c r="H3133" i="2" s="1"/>
  <c r="G3134" i="2"/>
  <c r="H3134" i="2" s="1"/>
  <c r="G3135" i="2"/>
  <c r="G3136" i="2"/>
  <c r="H3136" i="2" s="1"/>
  <c r="G3137" i="2"/>
  <c r="H3137" i="2" s="1"/>
  <c r="G3138" i="2"/>
  <c r="H3138" i="2" s="1"/>
  <c r="G3139" i="2"/>
  <c r="H3139" i="2" s="1"/>
  <c r="G3140" i="2"/>
  <c r="H3140" i="2" s="1"/>
  <c r="G3141" i="2"/>
  <c r="H3141" i="2" s="1"/>
  <c r="G3142" i="2"/>
  <c r="H3142" i="2" s="1"/>
  <c r="G3143" i="2"/>
  <c r="H3143" i="2" s="1"/>
  <c r="G3144" i="2"/>
  <c r="G3145" i="2"/>
  <c r="H3145" i="2" s="1"/>
  <c r="G3146" i="2"/>
  <c r="H3146" i="2" s="1"/>
  <c r="G3147" i="2"/>
  <c r="H3147" i="2" s="1"/>
  <c r="G3148" i="2"/>
  <c r="H3148" i="2" s="1"/>
  <c r="G3149" i="2"/>
  <c r="H3149" i="2" s="1"/>
  <c r="G3150" i="2"/>
  <c r="H3150" i="2" s="1"/>
  <c r="G3151" i="2"/>
  <c r="H3151" i="2" s="1"/>
  <c r="G3152" i="2"/>
  <c r="H3152" i="2" s="1"/>
  <c r="G3153" i="2"/>
  <c r="G3154" i="2"/>
  <c r="H3154" i="2" s="1"/>
  <c r="G3155" i="2"/>
  <c r="H3155" i="2" s="1"/>
  <c r="G3156" i="2"/>
  <c r="H3156" i="2" s="1"/>
  <c r="G3157" i="2"/>
  <c r="H3157" i="2" s="1"/>
  <c r="G3158" i="2"/>
  <c r="H3158" i="2" s="1"/>
  <c r="G3159" i="2"/>
  <c r="H3159" i="2" s="1"/>
  <c r="G3160" i="2"/>
  <c r="H3160" i="2" s="1"/>
  <c r="G3161" i="2"/>
  <c r="H3161" i="2" s="1"/>
  <c r="G3162" i="2"/>
  <c r="H3162" i="2" s="1"/>
  <c r="G3163" i="2"/>
  <c r="H3163" i="2" s="1"/>
  <c r="G3164" i="2"/>
  <c r="H3164" i="2" s="1"/>
  <c r="G3165" i="2"/>
  <c r="H3165" i="2" s="1"/>
  <c r="G3166" i="2"/>
  <c r="H3166" i="2" s="1"/>
  <c r="G3167" i="2"/>
  <c r="H3167" i="2" s="1"/>
  <c r="G3168" i="2"/>
  <c r="H3168" i="2" s="1"/>
  <c r="G3169" i="2"/>
  <c r="G3170" i="2"/>
  <c r="H3170" i="2" s="1"/>
  <c r="G3171" i="2"/>
  <c r="H3171" i="2" s="1"/>
  <c r="G3172" i="2"/>
  <c r="H3172" i="2" s="1"/>
  <c r="G3173" i="2"/>
  <c r="H3173" i="2" s="1"/>
  <c r="G3174" i="2"/>
  <c r="H3174" i="2" s="1"/>
  <c r="G3175" i="2"/>
  <c r="H3175" i="2" s="1"/>
  <c r="G3176" i="2"/>
  <c r="H3176" i="2" s="1"/>
  <c r="G3177" i="2"/>
  <c r="H3177" i="2" s="1"/>
  <c r="G3178" i="2"/>
  <c r="H3178" i="2" s="1"/>
  <c r="G3179" i="2"/>
  <c r="H3179" i="2" s="1"/>
  <c r="G3180" i="2"/>
  <c r="H3180" i="2" s="1"/>
  <c r="G3181" i="2"/>
  <c r="H3181" i="2" s="1"/>
  <c r="G3182" i="2"/>
  <c r="H3182" i="2" s="1"/>
  <c r="G3183" i="2"/>
  <c r="H3183" i="2" s="1"/>
  <c r="G3184" i="2"/>
  <c r="H3184" i="2" s="1"/>
  <c r="G3185" i="2"/>
  <c r="H3185" i="2" s="1"/>
  <c r="G3186" i="2"/>
  <c r="G3187" i="2"/>
  <c r="H3187" i="2" s="1"/>
  <c r="G3188" i="2"/>
  <c r="H3188" i="2" s="1"/>
  <c r="G3189" i="2"/>
  <c r="H3189" i="2" s="1"/>
  <c r="G3190" i="2"/>
  <c r="H3190" i="2" s="1"/>
  <c r="G3191" i="2"/>
  <c r="H3191" i="2" s="1"/>
  <c r="G3192" i="2"/>
  <c r="H3192" i="2" s="1"/>
  <c r="G3193" i="2"/>
  <c r="H3193" i="2" s="1"/>
  <c r="G3194" i="2"/>
  <c r="H3194" i="2" s="1"/>
  <c r="G3195" i="2"/>
  <c r="H3195" i="2" s="1"/>
  <c r="G3196" i="2"/>
  <c r="H3196" i="2" s="1"/>
  <c r="G3197" i="2"/>
  <c r="H3197" i="2" s="1"/>
  <c r="G3198" i="2"/>
  <c r="H3198" i="2" s="1"/>
  <c r="G3199" i="2"/>
  <c r="H3199" i="2" s="1"/>
  <c r="G3200" i="2"/>
  <c r="H3200" i="2" s="1"/>
  <c r="G3201" i="2"/>
  <c r="H3201" i="2" s="1"/>
  <c r="G3202" i="2"/>
  <c r="G3203" i="2"/>
  <c r="H3203" i="2" s="1"/>
  <c r="G3204" i="2"/>
  <c r="H3204" i="2" s="1"/>
  <c r="G3205" i="2"/>
  <c r="H3205" i="2" s="1"/>
  <c r="G3206" i="2"/>
  <c r="H3206" i="2" s="1"/>
  <c r="G3207" i="2"/>
  <c r="H3207" i="2" s="1"/>
  <c r="G3208" i="2"/>
  <c r="H3208" i="2" s="1"/>
  <c r="G3209" i="2"/>
  <c r="H3209" i="2" s="1"/>
  <c r="G3210" i="2"/>
  <c r="H3210" i="2" s="1"/>
  <c r="G3211" i="2"/>
  <c r="H3211" i="2" s="1"/>
  <c r="G3212" i="2"/>
  <c r="H3212" i="2" s="1"/>
  <c r="G3213" i="2"/>
  <c r="H3213" i="2" s="1"/>
  <c r="G3214" i="2"/>
  <c r="H3214" i="2" s="1"/>
  <c r="G3215" i="2"/>
  <c r="H3215" i="2" s="1"/>
  <c r="G3216" i="2"/>
  <c r="H3216" i="2" s="1"/>
  <c r="G3217" i="2"/>
  <c r="H3217" i="2" s="1"/>
  <c r="G3218" i="2"/>
  <c r="H3218" i="2" s="1"/>
  <c r="G3219" i="2"/>
  <c r="H3219" i="2" s="1"/>
  <c r="G3220" i="2"/>
  <c r="H3220" i="2" s="1"/>
  <c r="G3221" i="2"/>
  <c r="H3221" i="2" s="1"/>
  <c r="G3222" i="2"/>
  <c r="G3223" i="2"/>
  <c r="H3223" i="2" s="1"/>
  <c r="G3224" i="2"/>
  <c r="H3224" i="2" s="1"/>
  <c r="G3225" i="2"/>
  <c r="H3225" i="2" s="1"/>
  <c r="G3226" i="2"/>
  <c r="H3226" i="2" s="1"/>
  <c r="G3227" i="2"/>
  <c r="H3227" i="2" s="1"/>
  <c r="G3228" i="2"/>
  <c r="H3228" i="2" s="1"/>
  <c r="G3229" i="2"/>
  <c r="H3229" i="2" s="1"/>
  <c r="G3230" i="2"/>
  <c r="G3231" i="2"/>
  <c r="H3231" i="2" s="1"/>
  <c r="G3232" i="2"/>
  <c r="H3232" i="2" s="1"/>
  <c r="G3233" i="2"/>
  <c r="H3233" i="2" s="1"/>
  <c r="G3234" i="2"/>
  <c r="H3234" i="2" s="1"/>
  <c r="G3235" i="2"/>
  <c r="H3235" i="2" s="1"/>
  <c r="G3236" i="2"/>
  <c r="H3236" i="2" s="1"/>
  <c r="G3237" i="2"/>
  <c r="H3237" i="2" s="1"/>
  <c r="G3238" i="2"/>
  <c r="G3239" i="2"/>
  <c r="H3239" i="2" s="1"/>
  <c r="G3240" i="2"/>
  <c r="H3240" i="2" s="1"/>
  <c r="G3241" i="2"/>
  <c r="H3241" i="2" s="1"/>
  <c r="G3242" i="2"/>
  <c r="H3242" i="2" s="1"/>
  <c r="G3243" i="2"/>
  <c r="H3243" i="2" s="1"/>
  <c r="G3244" i="2"/>
  <c r="H3244" i="2" s="1"/>
  <c r="G3245" i="2"/>
  <c r="H3245" i="2" s="1"/>
  <c r="G3246" i="2"/>
  <c r="H3246" i="2" s="1"/>
  <c r="G3247" i="2"/>
  <c r="H3247" i="2" s="1"/>
  <c r="G3248" i="2"/>
  <c r="G3249" i="2"/>
  <c r="H3249" i="2" s="1"/>
  <c r="G3250" i="2"/>
  <c r="H3250" i="2" s="1"/>
  <c r="G3251" i="2"/>
  <c r="H3251" i="2" s="1"/>
  <c r="G3252" i="2"/>
  <c r="H3252" i="2" s="1"/>
  <c r="G3253" i="2"/>
  <c r="H3253" i="2" s="1"/>
  <c r="G3254" i="2"/>
  <c r="H3254" i="2" s="1"/>
  <c r="G3255" i="2"/>
  <c r="H3255" i="2" s="1"/>
  <c r="G3256" i="2"/>
  <c r="H3256" i="2" s="1"/>
  <c r="G3257" i="2"/>
  <c r="H3257" i="2" s="1"/>
  <c r="G3258" i="2"/>
  <c r="G3259" i="2"/>
  <c r="H3259" i="2" s="1"/>
  <c r="G3260" i="2"/>
  <c r="H3260" i="2" s="1"/>
  <c r="G3261" i="2"/>
  <c r="H3261" i="2" s="1"/>
  <c r="G3262" i="2"/>
  <c r="H3262" i="2" s="1"/>
  <c r="G3263" i="2"/>
  <c r="H3263" i="2" s="1"/>
  <c r="G3264" i="2"/>
  <c r="H3264" i="2" s="1"/>
  <c r="G3265" i="2"/>
  <c r="H3265" i="2" s="1"/>
  <c r="G3266" i="2"/>
  <c r="H3266" i="2" s="1"/>
  <c r="G3267" i="2"/>
  <c r="H3267" i="2" s="1"/>
  <c r="G3268" i="2"/>
  <c r="H3268" i="2" s="1"/>
  <c r="G3269" i="2"/>
  <c r="G3270" i="2"/>
  <c r="H3270" i="2" s="1"/>
  <c r="G3271" i="2"/>
  <c r="H3271" i="2" s="1"/>
  <c r="G3272" i="2"/>
  <c r="H3272" i="2" s="1"/>
  <c r="G3273" i="2"/>
  <c r="H3273" i="2" s="1"/>
  <c r="G3274" i="2"/>
  <c r="H3274" i="2" s="1"/>
  <c r="G3275" i="2"/>
  <c r="H3275" i="2" s="1"/>
  <c r="G3276" i="2"/>
  <c r="H3276" i="2" s="1"/>
  <c r="G3277" i="2"/>
  <c r="H3277" i="2" s="1"/>
  <c r="G3278" i="2"/>
  <c r="G3279" i="2"/>
  <c r="H3279" i="2" s="1"/>
  <c r="G3280" i="2"/>
  <c r="H3280" i="2" s="1"/>
  <c r="G3281" i="2"/>
  <c r="H3281" i="2" s="1"/>
  <c r="G3282" i="2"/>
  <c r="H3282" i="2" s="1"/>
  <c r="G3283" i="2"/>
  <c r="H3283" i="2" s="1"/>
  <c r="G3284" i="2"/>
  <c r="H3284" i="2" s="1"/>
  <c r="G3285" i="2"/>
  <c r="H3285" i="2" s="1"/>
  <c r="G3286" i="2"/>
  <c r="H3286" i="2" s="1"/>
  <c r="G3287" i="2"/>
  <c r="H3287" i="2" s="1"/>
  <c r="G3288" i="2"/>
  <c r="G3289" i="2"/>
  <c r="H3289" i="2" s="1"/>
  <c r="G3290" i="2"/>
  <c r="H3290" i="2" s="1"/>
  <c r="G3291" i="2"/>
  <c r="H3291" i="2" s="1"/>
  <c r="G3292" i="2"/>
  <c r="H3292" i="2" s="1"/>
  <c r="G3293" i="2"/>
  <c r="H3293" i="2" s="1"/>
  <c r="G3294" i="2"/>
  <c r="H3294" i="2" s="1"/>
  <c r="G3295" i="2"/>
  <c r="H3295" i="2" s="1"/>
  <c r="G3296" i="2"/>
  <c r="H3296" i="2" s="1"/>
  <c r="G3297" i="2"/>
  <c r="H3297" i="2" s="1"/>
  <c r="G3298" i="2"/>
  <c r="H3298" i="2" s="1"/>
  <c r="G3299" i="2"/>
  <c r="G3300" i="2"/>
  <c r="H3300" i="2" s="1"/>
  <c r="G3301" i="2"/>
  <c r="H3301" i="2" s="1"/>
  <c r="G3302" i="2"/>
  <c r="H3302" i="2" s="1"/>
  <c r="G3303" i="2"/>
  <c r="H3303" i="2" s="1"/>
  <c r="G3304" i="2"/>
  <c r="H3304" i="2" s="1"/>
  <c r="G3305" i="2"/>
  <c r="H3305" i="2" s="1"/>
  <c r="G3306" i="2"/>
  <c r="H3306" i="2" s="1"/>
  <c r="G3307" i="2"/>
  <c r="H3307" i="2" s="1"/>
  <c r="G3308" i="2"/>
  <c r="H3308" i="2" s="1"/>
  <c r="G3309" i="2"/>
  <c r="H3309" i="2" s="1"/>
  <c r="G3310" i="2"/>
  <c r="G3311" i="2"/>
  <c r="H3311" i="2" s="1"/>
  <c r="G3312" i="2"/>
  <c r="H3312" i="2" s="1"/>
  <c r="G3313" i="2"/>
  <c r="H3313" i="2" s="1"/>
  <c r="G3314" i="2"/>
  <c r="H3314" i="2" s="1"/>
  <c r="G3315" i="2"/>
  <c r="H3315" i="2" s="1"/>
  <c r="G3316" i="2"/>
  <c r="H3316" i="2" s="1"/>
  <c r="G3317" i="2"/>
  <c r="H3317" i="2" s="1"/>
  <c r="G3318" i="2"/>
  <c r="H3318" i="2" s="1"/>
  <c r="G3319" i="2"/>
  <c r="H3319" i="2" s="1"/>
  <c r="G3320" i="2"/>
  <c r="H3320" i="2" s="1"/>
  <c r="G3321" i="2"/>
  <c r="G3322" i="2"/>
  <c r="H3322" i="2" s="1"/>
  <c r="G3323" i="2"/>
  <c r="H3323" i="2" s="1"/>
  <c r="G3324" i="2"/>
  <c r="H3324" i="2" s="1"/>
  <c r="G3325" i="2"/>
  <c r="H3325" i="2" s="1"/>
  <c r="G3326" i="2"/>
  <c r="H3326" i="2" s="1"/>
  <c r="G3327" i="2"/>
  <c r="H3327" i="2" s="1"/>
  <c r="G3328" i="2"/>
  <c r="H3328" i="2" s="1"/>
  <c r="G3329" i="2"/>
  <c r="H3329" i="2" s="1"/>
  <c r="G3330" i="2"/>
  <c r="H3330" i="2" s="1"/>
  <c r="G3331" i="2"/>
  <c r="H3331" i="2" s="1"/>
  <c r="G3332" i="2"/>
  <c r="G3333" i="2"/>
  <c r="H3333" i="2" s="1"/>
  <c r="G3334" i="2"/>
  <c r="H3334" i="2" s="1"/>
  <c r="G3335" i="2"/>
  <c r="H3335" i="2" s="1"/>
  <c r="G3336" i="2"/>
  <c r="H3336" i="2" s="1"/>
  <c r="G3337" i="2"/>
  <c r="H3337" i="2" s="1"/>
  <c r="G3338" i="2"/>
  <c r="H3338" i="2" s="1"/>
  <c r="G3339" i="2"/>
  <c r="H3339" i="2" s="1"/>
  <c r="G3340" i="2"/>
  <c r="H3340" i="2" s="1"/>
  <c r="G3341" i="2"/>
  <c r="H3341" i="2" s="1"/>
  <c r="G3342" i="2"/>
  <c r="H3342" i="2" s="1"/>
  <c r="G3343" i="2"/>
  <c r="H3343" i="2" s="1"/>
  <c r="G3344" i="2"/>
  <c r="H3344" i="2" s="1"/>
  <c r="G3345" i="2"/>
  <c r="H3345" i="2" s="1"/>
  <c r="G3346" i="2"/>
  <c r="H3346" i="2" s="1"/>
  <c r="G3347" i="2"/>
  <c r="H3347" i="2" s="1"/>
  <c r="G3348" i="2"/>
  <c r="H3348" i="2" s="1"/>
  <c r="G3349" i="2"/>
  <c r="H3349" i="2" s="1"/>
  <c r="G3350" i="2"/>
  <c r="H3350" i="2" s="1"/>
  <c r="G3351" i="2"/>
  <c r="H3351" i="2" s="1"/>
  <c r="G3352" i="2"/>
  <c r="H3352" i="2" s="1"/>
  <c r="G3353" i="2"/>
  <c r="H3353" i="2" s="1"/>
  <c r="G3354" i="2"/>
  <c r="H3354" i="2" s="1"/>
  <c r="G3355" i="2"/>
  <c r="H3355" i="2" s="1"/>
  <c r="G3356" i="2"/>
  <c r="G3357" i="2"/>
  <c r="H3357" i="2" s="1"/>
  <c r="G3358" i="2"/>
  <c r="H3358" i="2" s="1"/>
  <c r="G3359" i="2"/>
  <c r="H3359" i="2" s="1"/>
  <c r="G3360" i="2"/>
  <c r="H3360" i="2" s="1"/>
  <c r="G3361" i="2"/>
  <c r="H3361" i="2" s="1"/>
  <c r="G3362" i="2"/>
  <c r="H3362" i="2" s="1"/>
  <c r="G3363" i="2"/>
  <c r="H3363" i="2" s="1"/>
  <c r="G3364" i="2"/>
  <c r="H3364" i="2" s="1"/>
  <c r="G3365" i="2"/>
  <c r="H3365" i="2" s="1"/>
  <c r="G3366" i="2"/>
  <c r="H3366" i="2" s="1"/>
  <c r="G3367" i="2"/>
  <c r="H3367" i="2" s="1"/>
  <c r="G3368" i="2"/>
  <c r="H3368" i="2" s="1"/>
  <c r="G3369" i="2"/>
  <c r="H3369" i="2" s="1"/>
  <c r="G3370" i="2"/>
  <c r="H3370" i="2" s="1"/>
  <c r="G3371" i="2"/>
  <c r="H3371" i="2" s="1"/>
  <c r="G3372" i="2"/>
  <c r="H3372" i="2" s="1"/>
  <c r="G3373" i="2"/>
  <c r="H3373" i="2" s="1"/>
  <c r="G3374" i="2"/>
  <c r="G3375" i="2"/>
  <c r="H3375" i="2" s="1"/>
  <c r="G3376" i="2"/>
  <c r="H3376" i="2" s="1"/>
  <c r="G3377" i="2"/>
  <c r="H3377" i="2" s="1"/>
  <c r="G3378" i="2"/>
  <c r="H3378" i="2" s="1"/>
  <c r="G3379" i="2"/>
  <c r="H3379" i="2" s="1"/>
  <c r="G3380" i="2"/>
  <c r="H3380" i="2" s="1"/>
  <c r="G3381" i="2"/>
  <c r="H3381" i="2" s="1"/>
  <c r="G3382" i="2"/>
  <c r="H3382" i="2" s="1"/>
  <c r="G3383" i="2"/>
  <c r="H3383" i="2" s="1"/>
  <c r="G3384" i="2"/>
  <c r="H3384" i="2" s="1"/>
  <c r="G3385" i="2"/>
  <c r="H3385" i="2" s="1"/>
  <c r="G3386" i="2"/>
  <c r="H3386" i="2" s="1"/>
  <c r="G3387" i="2"/>
  <c r="H3387" i="2" s="1"/>
  <c r="G3388" i="2"/>
  <c r="H3388" i="2" s="1"/>
  <c r="G3389" i="2"/>
  <c r="H3389" i="2" s="1"/>
  <c r="G3390" i="2"/>
  <c r="H3390" i="2" s="1"/>
  <c r="G3391" i="2"/>
  <c r="H3391" i="2" s="1"/>
  <c r="G3392" i="2"/>
  <c r="H3392" i="2" s="1"/>
  <c r="G3393" i="2"/>
  <c r="H3393" i="2" s="1"/>
  <c r="G3394" i="2"/>
  <c r="H3394" i="2" s="1"/>
  <c r="G3395" i="2"/>
  <c r="H3395" i="2" s="1"/>
  <c r="G3396" i="2"/>
  <c r="G3397" i="2"/>
  <c r="H3397" i="2" s="1"/>
  <c r="G3398" i="2"/>
  <c r="H3398" i="2" s="1"/>
  <c r="G3399" i="2"/>
  <c r="H3399" i="2" s="1"/>
  <c r="G3400" i="2"/>
  <c r="H3400" i="2" s="1"/>
  <c r="G3401" i="2"/>
  <c r="H3401" i="2" s="1"/>
  <c r="G3402" i="2"/>
  <c r="H3402" i="2" s="1"/>
  <c r="G3403" i="2"/>
  <c r="H3403" i="2" s="1"/>
  <c r="G3404" i="2"/>
  <c r="H3404" i="2" s="1"/>
  <c r="G3405" i="2"/>
  <c r="H3405" i="2" s="1"/>
  <c r="G3406" i="2"/>
  <c r="H3406" i="2" s="1"/>
  <c r="G3407" i="2"/>
  <c r="H3407" i="2" s="1"/>
  <c r="G3408" i="2"/>
  <c r="H3408" i="2" s="1"/>
  <c r="G3409" i="2"/>
  <c r="H3409" i="2" s="1"/>
  <c r="G3410" i="2"/>
  <c r="H3410" i="2" s="1"/>
  <c r="G3411" i="2"/>
  <c r="H3411" i="2" s="1"/>
  <c r="G3412" i="2"/>
  <c r="H3412" i="2" s="1"/>
  <c r="G3413" i="2"/>
  <c r="H3413" i="2" s="1"/>
  <c r="G3414" i="2"/>
  <c r="G3415" i="2"/>
  <c r="H3415" i="2" s="1"/>
  <c r="G3416" i="2"/>
  <c r="H3416" i="2" s="1"/>
  <c r="G3417" i="2"/>
  <c r="H3417" i="2" s="1"/>
  <c r="G3418" i="2"/>
  <c r="H3418" i="2" s="1"/>
  <c r="G3419" i="2"/>
  <c r="H3419" i="2" s="1"/>
  <c r="G3420" i="2"/>
  <c r="H3420" i="2" s="1"/>
  <c r="G3421" i="2"/>
  <c r="H3421" i="2" s="1"/>
  <c r="G3422" i="2"/>
  <c r="H3422" i="2" s="1"/>
  <c r="G3423" i="2"/>
  <c r="H3423" i="2" s="1"/>
  <c r="G3424" i="2"/>
  <c r="G3425" i="2"/>
  <c r="H3425" i="2" s="1"/>
  <c r="G3426" i="2"/>
  <c r="H3426" i="2" s="1"/>
  <c r="G3427" i="2"/>
  <c r="H3427" i="2" s="1"/>
  <c r="G3428" i="2"/>
  <c r="H3428" i="2" s="1"/>
  <c r="G3429" i="2"/>
  <c r="H3429" i="2" s="1"/>
  <c r="G3430" i="2"/>
  <c r="H3430" i="2" s="1"/>
  <c r="G3431" i="2"/>
  <c r="H3431" i="2" s="1"/>
  <c r="G3432" i="2"/>
  <c r="H3432" i="2" s="1"/>
  <c r="G3433" i="2"/>
  <c r="H3433" i="2" s="1"/>
  <c r="G3434" i="2"/>
  <c r="G3435" i="2"/>
  <c r="H3435" i="2" s="1"/>
  <c r="G3436" i="2"/>
  <c r="H3436" i="2" s="1"/>
  <c r="G3437" i="2"/>
  <c r="H3437" i="2" s="1"/>
  <c r="G3438" i="2"/>
  <c r="H3438" i="2" s="1"/>
  <c r="G3439" i="2"/>
  <c r="H3439" i="2" s="1"/>
  <c r="G3440" i="2"/>
  <c r="H3440" i="2" s="1"/>
  <c r="G3441" i="2"/>
  <c r="H3441" i="2" s="1"/>
  <c r="G3442" i="2"/>
  <c r="H3442" i="2" s="1"/>
  <c r="G3443" i="2"/>
  <c r="H3443" i="2" s="1"/>
  <c r="G3444" i="2"/>
  <c r="H3444" i="2" s="1"/>
  <c r="G3445" i="2"/>
  <c r="G3446" i="2"/>
  <c r="H3446" i="2" s="1"/>
  <c r="G3447" i="2"/>
  <c r="H3447" i="2" s="1"/>
  <c r="G3448" i="2"/>
  <c r="H3448" i="2" s="1"/>
  <c r="G3449" i="2"/>
  <c r="H3449" i="2" s="1"/>
  <c r="G3450" i="2"/>
  <c r="H3450" i="2" s="1"/>
  <c r="G3451" i="2"/>
  <c r="H3451" i="2" s="1"/>
  <c r="G3452" i="2"/>
  <c r="G3453" i="2"/>
  <c r="H3453" i="2" s="1"/>
  <c r="G3454" i="2"/>
  <c r="H3454" i="2" s="1"/>
  <c r="G3455" i="2"/>
  <c r="H3455" i="2" s="1"/>
  <c r="G3456" i="2"/>
  <c r="H3456" i="2" s="1"/>
  <c r="G3457" i="2"/>
  <c r="H3457" i="2" s="1"/>
  <c r="G3458" i="2"/>
  <c r="H3458" i="2" s="1"/>
  <c r="G3459" i="2"/>
  <c r="H3459" i="2" s="1"/>
  <c r="G3460" i="2"/>
  <c r="H3460" i="2" s="1"/>
  <c r="G3461" i="2"/>
  <c r="H3461" i="2" s="1"/>
  <c r="G3462" i="2"/>
  <c r="H3462" i="2" s="1"/>
  <c r="G3463" i="2"/>
  <c r="G3464" i="2"/>
  <c r="H3464" i="2" s="1"/>
  <c r="G3465" i="2"/>
  <c r="H3465" i="2" s="1"/>
  <c r="G3466" i="2"/>
  <c r="H3466" i="2" s="1"/>
  <c r="G3467" i="2"/>
  <c r="H3467" i="2" s="1"/>
  <c r="G3468" i="2"/>
  <c r="H3468" i="2" s="1"/>
  <c r="G3469" i="2"/>
  <c r="H3469" i="2" s="1"/>
  <c r="G3470" i="2"/>
  <c r="H3470" i="2" s="1"/>
  <c r="G3471" i="2"/>
  <c r="H3471" i="2" s="1"/>
  <c r="G3472" i="2"/>
  <c r="G3473" i="2"/>
  <c r="H3473" i="2" s="1"/>
  <c r="G3474" i="2"/>
  <c r="H3474" i="2" s="1"/>
  <c r="G3475" i="2"/>
  <c r="H3475" i="2" s="1"/>
  <c r="G3476" i="2"/>
  <c r="H3476" i="2" s="1"/>
  <c r="G3477" i="2"/>
  <c r="H3477" i="2" s="1"/>
  <c r="G3478" i="2"/>
  <c r="H3478" i="2" s="1"/>
  <c r="G3479" i="2"/>
  <c r="H3479" i="2" s="1"/>
  <c r="G3480" i="2"/>
  <c r="H3480" i="2" s="1"/>
  <c r="G3481" i="2"/>
  <c r="G3482" i="2"/>
  <c r="H3482" i="2" s="1"/>
  <c r="G3483" i="2"/>
  <c r="H3483" i="2" s="1"/>
  <c r="G3484" i="2"/>
  <c r="H3484" i="2" s="1"/>
  <c r="G3485" i="2"/>
  <c r="H3485" i="2" s="1"/>
  <c r="G3486" i="2"/>
  <c r="H3486" i="2" s="1"/>
  <c r="G3487" i="2"/>
  <c r="H3487" i="2" s="1"/>
  <c r="G3488" i="2"/>
  <c r="H3488" i="2" s="1"/>
  <c r="G3489" i="2"/>
  <c r="H3489" i="2" s="1"/>
  <c r="G3490" i="2"/>
  <c r="H3490" i="2" s="1"/>
  <c r="G3491" i="2"/>
  <c r="H3491" i="2" s="1"/>
  <c r="G3492" i="2"/>
  <c r="H3492" i="2" s="1"/>
  <c r="G3493" i="2"/>
  <c r="H3493" i="2" s="1"/>
  <c r="G3494" i="2"/>
  <c r="G3495" i="2"/>
  <c r="H3495" i="2" s="1"/>
  <c r="G3496" i="2"/>
  <c r="H3496" i="2" s="1"/>
  <c r="G3497" i="2"/>
  <c r="H3497" i="2" s="1"/>
  <c r="G3498" i="2"/>
  <c r="H3498" i="2" s="1"/>
  <c r="G3499" i="2"/>
  <c r="H3499" i="2" s="1"/>
  <c r="G3500" i="2"/>
  <c r="H3500" i="2" s="1"/>
  <c r="G3501" i="2"/>
  <c r="H3501" i="2" s="1"/>
  <c r="G3502" i="2"/>
  <c r="H3502" i="2" s="1"/>
  <c r="G3503" i="2"/>
  <c r="H3503" i="2" s="1"/>
  <c r="G3504" i="2"/>
  <c r="H3504" i="2" s="1"/>
  <c r="G3505" i="2"/>
  <c r="H3505" i="2" s="1"/>
  <c r="G3506" i="2"/>
  <c r="H3506" i="2" s="1"/>
  <c r="G3507" i="2"/>
  <c r="G3508" i="2"/>
  <c r="H3508" i="2" s="1"/>
  <c r="G3509" i="2"/>
  <c r="H3509" i="2" s="1"/>
  <c r="G3510" i="2"/>
  <c r="H3510" i="2" s="1"/>
  <c r="G3511" i="2"/>
  <c r="H3511" i="2" s="1"/>
  <c r="G3512" i="2"/>
  <c r="H3512" i="2" s="1"/>
  <c r="G3513" i="2"/>
  <c r="H3513" i="2" s="1"/>
  <c r="G3514" i="2"/>
  <c r="G3515" i="2"/>
  <c r="H3515" i="2" s="1"/>
  <c r="G3516" i="2"/>
  <c r="H3516" i="2" s="1"/>
  <c r="G3517" i="2"/>
  <c r="H3517" i="2" s="1"/>
  <c r="G3518" i="2"/>
  <c r="H3518" i="2" s="1"/>
  <c r="G3519" i="2"/>
  <c r="H3519" i="2" s="1"/>
  <c r="G3520" i="2"/>
  <c r="H3520" i="2" s="1"/>
  <c r="G3521" i="2"/>
  <c r="H3521" i="2" s="1"/>
  <c r="G3522" i="2"/>
  <c r="H3522" i="2" s="1"/>
  <c r="G3523" i="2"/>
  <c r="G3524" i="2"/>
  <c r="H3524" i="2" s="1"/>
  <c r="G3525" i="2"/>
  <c r="H3525" i="2" s="1"/>
  <c r="G3526" i="2"/>
  <c r="H3526" i="2" s="1"/>
  <c r="G3527" i="2"/>
  <c r="H3527" i="2" s="1"/>
  <c r="G3528" i="2"/>
  <c r="H3528" i="2" s="1"/>
  <c r="G3529" i="2"/>
  <c r="H3529" i="2" s="1"/>
  <c r="G3530" i="2"/>
  <c r="H3530" i="2" s="1"/>
  <c r="G3531" i="2"/>
  <c r="H3531" i="2" s="1"/>
  <c r="G3532" i="2"/>
  <c r="G3533" i="2"/>
  <c r="H3533" i="2" s="1"/>
  <c r="G3534" i="2"/>
  <c r="H3534" i="2" s="1"/>
  <c r="G3535" i="2"/>
  <c r="H3535" i="2" s="1"/>
  <c r="G3536" i="2"/>
  <c r="H3536" i="2" s="1"/>
  <c r="G3537" i="2"/>
  <c r="H3537" i="2" s="1"/>
  <c r="G3538" i="2"/>
  <c r="H3538" i="2" s="1"/>
  <c r="G3539" i="2"/>
  <c r="H3539" i="2" s="1"/>
  <c r="G3540" i="2"/>
  <c r="H3540" i="2" s="1"/>
  <c r="G3541" i="2"/>
  <c r="H3541" i="2" s="1"/>
  <c r="G3542" i="2"/>
  <c r="H3542" i="2" s="1"/>
  <c r="G3543" i="2"/>
  <c r="H3543" i="2" s="1"/>
  <c r="G3544" i="2"/>
  <c r="G3545" i="2"/>
  <c r="H3545" i="2" s="1"/>
  <c r="G3546" i="2"/>
  <c r="H3546" i="2" s="1"/>
  <c r="G3547" i="2"/>
  <c r="H3547" i="2" s="1"/>
  <c r="G3548" i="2"/>
  <c r="H3548" i="2" s="1"/>
  <c r="G3549" i="2"/>
  <c r="H3549" i="2" s="1"/>
  <c r="G3550" i="2"/>
  <c r="H3550" i="2" s="1"/>
  <c r="G3551" i="2"/>
  <c r="H3551" i="2" s="1"/>
  <c r="G3552" i="2"/>
  <c r="H3552" i="2" s="1"/>
  <c r="G3553" i="2"/>
  <c r="H3553" i="2" s="1"/>
  <c r="G3554" i="2"/>
  <c r="H3554" i="2" s="1"/>
  <c r="G3555" i="2"/>
  <c r="H3555" i="2" s="1"/>
  <c r="G3556" i="2"/>
  <c r="G3557" i="2"/>
  <c r="H3557" i="2" s="1"/>
  <c r="G3558" i="2"/>
  <c r="H3558" i="2" s="1"/>
  <c r="G3559" i="2"/>
  <c r="H3559" i="2" s="1"/>
  <c r="G3560" i="2"/>
  <c r="H3560" i="2" s="1"/>
  <c r="G3561" i="2"/>
  <c r="H3561" i="2" s="1"/>
  <c r="G3562" i="2"/>
  <c r="H3562" i="2" s="1"/>
  <c r="G3563" i="2"/>
  <c r="H3563" i="2" s="1"/>
  <c r="G3564" i="2"/>
  <c r="G3565" i="2"/>
  <c r="H3565" i="2" s="1"/>
  <c r="G3566" i="2"/>
  <c r="H3566" i="2" s="1"/>
  <c r="G3567" i="2"/>
  <c r="H3567" i="2" s="1"/>
  <c r="G3568" i="2"/>
  <c r="H3568" i="2" s="1"/>
  <c r="G3569" i="2"/>
  <c r="H3569" i="2" s="1"/>
  <c r="G3570" i="2"/>
  <c r="H3570" i="2" s="1"/>
  <c r="G3571" i="2"/>
  <c r="H3571" i="2" s="1"/>
  <c r="G3572" i="2"/>
  <c r="H3572" i="2" s="1"/>
  <c r="G3573" i="2"/>
  <c r="G3574" i="2"/>
  <c r="H3574" i="2" s="1"/>
  <c r="G3575" i="2"/>
  <c r="H3575" i="2" s="1"/>
  <c r="G3576" i="2"/>
  <c r="H3576" i="2" s="1"/>
  <c r="G3577" i="2"/>
  <c r="H3577" i="2" s="1"/>
  <c r="G3578" i="2"/>
  <c r="H3578" i="2" s="1"/>
  <c r="G3579" i="2"/>
  <c r="H3579" i="2" s="1"/>
  <c r="G3580" i="2"/>
  <c r="H3580" i="2" s="1"/>
  <c r="G3581" i="2"/>
  <c r="H3581" i="2" s="1"/>
  <c r="G3582" i="2"/>
  <c r="G3583" i="2"/>
  <c r="H3583" i="2" s="1"/>
  <c r="G3584" i="2"/>
  <c r="H3584" i="2" s="1"/>
  <c r="G3585" i="2"/>
  <c r="H3585" i="2" s="1"/>
  <c r="G3586" i="2"/>
  <c r="H3586" i="2" s="1"/>
  <c r="G3587" i="2"/>
  <c r="H3587" i="2" s="1"/>
  <c r="G3588" i="2"/>
  <c r="H3588" i="2" s="1"/>
  <c r="G3589" i="2"/>
  <c r="H3589" i="2" s="1"/>
  <c r="G3590" i="2"/>
  <c r="G3591" i="2"/>
  <c r="H3591" i="2" s="1"/>
  <c r="G3592" i="2"/>
  <c r="H3592" i="2" s="1"/>
  <c r="G3593" i="2"/>
  <c r="H3593" i="2" s="1"/>
  <c r="G3594" i="2"/>
  <c r="H3594" i="2" s="1"/>
  <c r="G3595" i="2"/>
  <c r="H3595" i="2" s="1"/>
  <c r="G3596" i="2"/>
  <c r="H3596" i="2" s="1"/>
  <c r="G3597" i="2"/>
  <c r="H3597" i="2" s="1"/>
  <c r="G3598" i="2"/>
  <c r="G3599" i="2"/>
  <c r="H3599" i="2" s="1"/>
  <c r="G3600" i="2"/>
  <c r="H3600" i="2" s="1"/>
  <c r="G3601" i="2"/>
  <c r="H3601" i="2" s="1"/>
  <c r="G3602" i="2"/>
  <c r="H3602" i="2" s="1"/>
  <c r="G3603" i="2"/>
  <c r="H3603" i="2" s="1"/>
  <c r="G3604" i="2"/>
  <c r="H3604" i="2" s="1"/>
  <c r="G3605" i="2"/>
  <c r="H3605" i="2" s="1"/>
  <c r="G3606" i="2"/>
  <c r="H3606" i="2" s="1"/>
  <c r="G3607" i="2"/>
  <c r="G3608" i="2"/>
  <c r="H3608" i="2" s="1"/>
  <c r="G3609" i="2"/>
  <c r="H3609" i="2" s="1"/>
  <c r="G3610" i="2"/>
  <c r="H3610" i="2" s="1"/>
  <c r="G3611" i="2"/>
  <c r="H3611" i="2" s="1"/>
  <c r="G3612" i="2"/>
  <c r="H3612" i="2" s="1"/>
  <c r="G3613" i="2"/>
  <c r="H3613" i="2" s="1"/>
  <c r="G3614" i="2"/>
  <c r="H3614" i="2" s="1"/>
  <c r="G3615" i="2"/>
  <c r="H3615" i="2" s="1"/>
  <c r="G3616" i="2"/>
  <c r="H3616" i="2" s="1"/>
  <c r="G3617" i="2"/>
  <c r="H3617" i="2" s="1"/>
  <c r="G3618" i="2"/>
  <c r="G3619" i="2"/>
  <c r="H3619" i="2" s="1"/>
  <c r="G3620" i="2"/>
  <c r="H3620" i="2" s="1"/>
  <c r="G3621" i="2"/>
  <c r="H3621" i="2" s="1"/>
  <c r="G3622" i="2"/>
  <c r="H3622" i="2" s="1"/>
  <c r="G3623" i="2"/>
  <c r="H3623" i="2" s="1"/>
  <c r="G3624" i="2"/>
  <c r="H3624" i="2" s="1"/>
  <c r="G3625" i="2"/>
  <c r="H3625" i="2" s="1"/>
  <c r="G3626" i="2"/>
  <c r="H3626" i="2" s="1"/>
  <c r="G3627" i="2"/>
  <c r="H3627" i="2" s="1"/>
  <c r="G3628" i="2"/>
  <c r="G3629" i="2"/>
  <c r="H3629" i="2" s="1"/>
  <c r="G3630" i="2"/>
  <c r="H3630" i="2" s="1"/>
  <c r="G3631" i="2"/>
  <c r="H3631" i="2" s="1"/>
  <c r="G3632" i="2"/>
  <c r="H3632" i="2" s="1"/>
  <c r="G3633" i="2"/>
  <c r="H3633" i="2" s="1"/>
  <c r="G3634" i="2"/>
  <c r="H3634" i="2" s="1"/>
  <c r="G3635" i="2"/>
  <c r="H3635" i="2" s="1"/>
  <c r="G3636" i="2"/>
  <c r="H3636" i="2" s="1"/>
  <c r="G3637" i="2"/>
  <c r="H3637" i="2" s="1"/>
  <c r="G3638" i="2"/>
  <c r="G3639" i="2"/>
  <c r="H3639" i="2" s="1"/>
  <c r="G3640" i="2"/>
  <c r="H3640" i="2" s="1"/>
  <c r="G3641" i="2"/>
  <c r="H3641" i="2" s="1"/>
  <c r="G3642" i="2"/>
  <c r="H3642" i="2" s="1"/>
  <c r="G3643" i="2"/>
  <c r="H3643" i="2" s="1"/>
  <c r="G3644" i="2"/>
  <c r="H3644" i="2" s="1"/>
  <c r="G3645" i="2"/>
  <c r="H3645" i="2" s="1"/>
  <c r="G3646" i="2"/>
  <c r="H3646" i="2" s="1"/>
  <c r="G3647" i="2"/>
  <c r="H3647" i="2" s="1"/>
  <c r="G3648" i="2"/>
  <c r="G3649" i="2"/>
  <c r="H3649" i="2" s="1"/>
  <c r="G3650" i="2"/>
  <c r="H3650" i="2" s="1"/>
  <c r="G3651" i="2"/>
  <c r="H3651" i="2" s="1"/>
  <c r="G3652" i="2"/>
  <c r="H3652" i="2" s="1"/>
  <c r="G3653" i="2"/>
  <c r="H3653" i="2" s="1"/>
  <c r="G3654" i="2"/>
  <c r="H3654" i="2" s="1"/>
  <c r="G3655" i="2"/>
  <c r="H3655" i="2" s="1"/>
  <c r="G3656" i="2"/>
  <c r="H3656" i="2" s="1"/>
  <c r="G3657" i="2"/>
  <c r="H3657" i="2" s="1"/>
  <c r="G3658" i="2"/>
  <c r="G3659" i="2"/>
  <c r="H3659" i="2" s="1"/>
  <c r="G3660" i="2"/>
  <c r="H3660" i="2" s="1"/>
  <c r="G3661" i="2"/>
  <c r="H3661" i="2" s="1"/>
  <c r="G3662" i="2"/>
  <c r="H3662" i="2" s="1"/>
  <c r="G3663" i="2"/>
  <c r="H3663" i="2" s="1"/>
  <c r="G3664" i="2"/>
  <c r="H3664" i="2" s="1"/>
  <c r="G3665" i="2"/>
  <c r="H3665" i="2" s="1"/>
  <c r="G3666" i="2"/>
  <c r="H3666" i="2" s="1"/>
  <c r="G3667" i="2"/>
  <c r="H3667" i="2" s="1"/>
  <c r="G3668" i="2"/>
  <c r="G3669" i="2"/>
  <c r="H3669" i="2" s="1"/>
  <c r="G3670" i="2"/>
  <c r="H3670" i="2" s="1"/>
  <c r="G3671" i="2"/>
  <c r="H3671" i="2" s="1"/>
  <c r="G3672" i="2"/>
  <c r="H3672" i="2" s="1"/>
  <c r="G3673" i="2"/>
  <c r="H3673" i="2" s="1"/>
  <c r="G3674" i="2"/>
  <c r="H3674" i="2" s="1"/>
  <c r="G3675" i="2"/>
  <c r="H3675" i="2" s="1"/>
  <c r="G3676" i="2"/>
  <c r="H3676" i="2" s="1"/>
  <c r="G3677" i="2"/>
  <c r="G3678" i="2"/>
  <c r="H3678" i="2" s="1"/>
  <c r="G3679" i="2"/>
  <c r="H3679" i="2" s="1"/>
  <c r="G3680" i="2"/>
  <c r="H3680" i="2" s="1"/>
  <c r="G3681" i="2"/>
  <c r="H3681" i="2" s="1"/>
  <c r="G3682" i="2"/>
  <c r="H3682" i="2" s="1"/>
  <c r="G3683" i="2"/>
  <c r="H3683" i="2" s="1"/>
  <c r="G3684" i="2"/>
  <c r="H3684" i="2" s="1"/>
  <c r="G3685" i="2"/>
  <c r="H3685" i="2" s="1"/>
  <c r="G3686" i="2"/>
  <c r="H3686" i="2" s="1"/>
  <c r="G3687" i="2"/>
  <c r="H3687" i="2" s="1"/>
  <c r="G3688" i="2"/>
  <c r="G3689" i="2"/>
  <c r="H3689" i="2" s="1"/>
  <c r="G3690" i="2"/>
  <c r="H3690" i="2" s="1"/>
  <c r="G3691" i="2"/>
  <c r="H3691" i="2" s="1"/>
  <c r="G3692" i="2"/>
  <c r="H3692" i="2" s="1"/>
  <c r="G3693" i="2"/>
  <c r="H3693" i="2" s="1"/>
  <c r="G3694" i="2"/>
  <c r="H3694" i="2" s="1"/>
  <c r="G3695" i="2"/>
  <c r="H3695" i="2" s="1"/>
  <c r="G3696" i="2"/>
  <c r="H3696" i="2" s="1"/>
  <c r="G3697" i="2"/>
  <c r="H3697" i="2" s="1"/>
  <c r="G3698" i="2"/>
  <c r="H3698" i="2" s="1"/>
  <c r="G3699" i="2"/>
  <c r="G3700" i="2"/>
  <c r="H3700" i="2" s="1"/>
  <c r="G3701" i="2"/>
  <c r="H3701" i="2" s="1"/>
  <c r="G3702" i="2"/>
  <c r="H3702" i="2" s="1"/>
  <c r="G3703" i="2"/>
  <c r="H3703" i="2" s="1"/>
  <c r="G3704" i="2"/>
  <c r="H3704" i="2" s="1"/>
  <c r="G3705" i="2"/>
  <c r="H3705" i="2" s="1"/>
  <c r="G3706" i="2"/>
  <c r="H3706" i="2" s="1"/>
  <c r="G3707" i="2"/>
  <c r="H3707" i="2" s="1"/>
  <c r="G3708" i="2"/>
  <c r="H3708" i="2" s="1"/>
  <c r="G3709" i="2"/>
  <c r="H3709" i="2" s="1"/>
  <c r="G3710" i="2"/>
  <c r="H3710" i="2" s="1"/>
  <c r="G3711" i="2"/>
  <c r="H3711" i="2" s="1"/>
  <c r="G3712" i="2"/>
  <c r="H3712" i="2" s="1"/>
  <c r="G3713" i="2"/>
  <c r="H3713" i="2" s="1"/>
  <c r="G3714" i="2"/>
  <c r="H3714" i="2" s="1"/>
  <c r="G3715" i="2"/>
  <c r="G3716" i="2"/>
  <c r="H3716" i="2" s="1"/>
  <c r="G3717" i="2"/>
  <c r="H3717" i="2" s="1"/>
  <c r="G3718" i="2"/>
  <c r="H3718" i="2" s="1"/>
  <c r="G3719" i="2"/>
  <c r="H3719" i="2" s="1"/>
  <c r="G3720" i="2"/>
  <c r="H3720" i="2" s="1"/>
  <c r="G3721" i="2"/>
  <c r="H3721" i="2" s="1"/>
  <c r="G3722" i="2"/>
  <c r="H3722" i="2" s="1"/>
  <c r="G3723" i="2"/>
  <c r="H3723" i="2" s="1"/>
  <c r="G3724" i="2"/>
  <c r="H3724" i="2" s="1"/>
  <c r="G3725" i="2"/>
  <c r="H3725" i="2" s="1"/>
  <c r="G3726" i="2"/>
  <c r="H3726" i="2" s="1"/>
  <c r="G3727" i="2"/>
  <c r="H3727" i="2" s="1"/>
  <c r="G3728" i="2"/>
  <c r="H3728" i="2" s="1"/>
  <c r="G3729" i="2"/>
  <c r="H3729" i="2" s="1"/>
  <c r="G3730" i="2"/>
  <c r="H3730" i="2" s="1"/>
  <c r="G3731" i="2"/>
  <c r="H3731" i="2" s="1"/>
  <c r="G3732" i="2"/>
  <c r="H3732" i="2" s="1"/>
  <c r="G3733" i="2"/>
  <c r="H3733" i="2" s="1"/>
  <c r="G3734" i="2"/>
  <c r="H3734" i="2" s="1"/>
  <c r="G3735" i="2"/>
  <c r="H3735" i="2" s="1"/>
  <c r="G3736" i="2"/>
  <c r="G3737" i="2"/>
  <c r="H3737" i="2" s="1"/>
  <c r="G3738" i="2"/>
  <c r="H3738" i="2" s="1"/>
  <c r="G3739" i="2"/>
  <c r="H3739" i="2" s="1"/>
  <c r="G3740" i="2"/>
  <c r="H3740" i="2" s="1"/>
  <c r="G3741" i="2"/>
  <c r="H3741" i="2" s="1"/>
  <c r="G3742" i="2"/>
  <c r="H3742" i="2" s="1"/>
  <c r="G3743" i="2"/>
  <c r="G3744" i="2"/>
  <c r="H3744" i="2" s="1"/>
  <c r="G3745" i="2"/>
  <c r="H3745" i="2" s="1"/>
  <c r="G3746" i="2"/>
  <c r="H3746" i="2" s="1"/>
  <c r="G3747" i="2"/>
  <c r="H3747" i="2" s="1"/>
  <c r="G3748" i="2"/>
  <c r="H3748" i="2" s="1"/>
  <c r="G3749" i="2"/>
  <c r="H3749" i="2" s="1"/>
  <c r="G3750" i="2"/>
  <c r="H3750" i="2" s="1"/>
  <c r="G3751" i="2"/>
  <c r="G3752" i="2"/>
  <c r="H3752" i="2" s="1"/>
  <c r="G3753" i="2"/>
  <c r="H3753" i="2" s="1"/>
  <c r="G3754" i="2"/>
  <c r="H3754" i="2" s="1"/>
  <c r="G3755" i="2"/>
  <c r="H3755" i="2" s="1"/>
  <c r="G3756" i="2"/>
  <c r="H3756" i="2" s="1"/>
  <c r="G3757" i="2"/>
  <c r="H3757" i="2" s="1"/>
  <c r="G3758" i="2"/>
  <c r="H3758" i="2" s="1"/>
  <c r="G3759" i="2"/>
  <c r="G3760" i="2"/>
  <c r="H3760" i="2" s="1"/>
  <c r="G3761" i="2"/>
  <c r="H3761" i="2" s="1"/>
  <c r="G3762" i="2"/>
  <c r="H3762" i="2" s="1"/>
  <c r="G3763" i="2"/>
  <c r="H3763" i="2" s="1"/>
  <c r="G3764" i="2"/>
  <c r="H3764" i="2" s="1"/>
  <c r="G3765" i="2"/>
  <c r="H3765" i="2" s="1"/>
  <c r="G3766" i="2"/>
  <c r="H3766" i="2" s="1"/>
  <c r="G3767" i="2"/>
  <c r="H3767" i="2" s="1"/>
  <c r="G3768" i="2"/>
  <c r="H3768" i="2" s="1"/>
  <c r="G3769" i="2"/>
  <c r="G3770" i="2"/>
  <c r="H3770" i="2" s="1"/>
  <c r="G3771" i="2"/>
  <c r="H3771" i="2" s="1"/>
  <c r="G3772" i="2"/>
  <c r="H3772" i="2" s="1"/>
  <c r="G3773" i="2"/>
  <c r="H3773" i="2" s="1"/>
  <c r="G3774" i="2"/>
  <c r="H3774" i="2" s="1"/>
  <c r="G3775" i="2"/>
  <c r="H3775" i="2" s="1"/>
  <c r="G3776" i="2"/>
  <c r="H3776" i="2" s="1"/>
  <c r="G3777" i="2"/>
  <c r="H3777" i="2" s="1"/>
  <c r="G3778" i="2"/>
  <c r="H3778" i="2" s="1"/>
  <c r="G3779" i="2"/>
  <c r="H3779" i="2" s="1"/>
  <c r="G3780" i="2"/>
  <c r="H3780" i="2" s="1"/>
  <c r="G3781" i="2"/>
  <c r="H3781" i="2" s="1"/>
  <c r="G3782" i="2"/>
  <c r="H3782" i="2" s="1"/>
  <c r="G3783" i="2"/>
  <c r="H3783" i="2" s="1"/>
  <c r="G3784" i="2"/>
  <c r="H3784" i="2" s="1"/>
  <c r="G3785" i="2"/>
  <c r="H3785" i="2" s="1"/>
  <c r="G3786" i="2"/>
  <c r="H3786" i="2" s="1"/>
  <c r="G3787" i="2"/>
  <c r="H3787" i="2" s="1"/>
  <c r="G3788" i="2"/>
  <c r="H3788" i="2" s="1"/>
  <c r="G3789" i="2"/>
  <c r="H3789" i="2" s="1"/>
  <c r="G3790" i="2"/>
  <c r="H3790" i="2" s="1"/>
  <c r="G3791" i="2"/>
  <c r="H3791" i="2" s="1"/>
  <c r="G3792" i="2"/>
  <c r="H3792" i="2" s="1"/>
  <c r="G3793" i="2"/>
  <c r="H3793" i="2" s="1"/>
  <c r="G3794" i="2"/>
  <c r="H3794" i="2" s="1"/>
  <c r="G3795" i="2"/>
  <c r="H3795" i="2" s="1"/>
  <c r="G3796" i="2"/>
  <c r="H3796" i="2" s="1"/>
  <c r="G3797" i="2"/>
  <c r="H3797" i="2" s="1"/>
  <c r="G3798" i="2"/>
  <c r="H3798" i="2" s="1"/>
  <c r="G3799" i="2"/>
  <c r="H3799" i="2" s="1"/>
  <c r="G3800" i="2"/>
  <c r="H3800" i="2" s="1"/>
  <c r="G3801" i="2"/>
  <c r="H3801" i="2" s="1"/>
  <c r="G3802" i="2"/>
  <c r="H3802" i="2" s="1"/>
  <c r="G3803" i="2"/>
  <c r="H3803" i="2" s="1"/>
  <c r="G3804" i="2"/>
  <c r="H3804" i="2" s="1"/>
  <c r="G3805" i="2"/>
  <c r="G3806" i="2"/>
  <c r="H3806" i="2" s="1"/>
  <c r="G3807" i="2"/>
  <c r="H3807" i="2" s="1"/>
  <c r="G3808" i="2"/>
  <c r="H3808" i="2" s="1"/>
  <c r="G3809" i="2"/>
  <c r="H3809" i="2" s="1"/>
  <c r="G3810" i="2"/>
  <c r="H3810" i="2" s="1"/>
  <c r="G3811" i="2"/>
  <c r="H3811" i="2" s="1"/>
  <c r="G3812" i="2"/>
  <c r="H3812" i="2" s="1"/>
  <c r="G3813" i="2"/>
  <c r="H3813" i="2" s="1"/>
  <c r="G3814" i="2"/>
  <c r="H3814" i="2" s="1"/>
  <c r="G3815" i="2"/>
  <c r="H3815" i="2" s="1"/>
  <c r="G3816" i="2"/>
  <c r="H3816" i="2" s="1"/>
  <c r="G3817" i="2"/>
  <c r="H3817" i="2" s="1"/>
  <c r="G3818" i="2"/>
  <c r="H3818" i="2" s="1"/>
  <c r="G3819" i="2"/>
  <c r="H3819" i="2" s="1"/>
  <c r="G3820" i="2"/>
  <c r="H3820" i="2" s="1"/>
  <c r="G3821" i="2"/>
  <c r="H3821" i="2" s="1"/>
  <c r="G3822" i="2"/>
  <c r="H3822" i="2" s="1"/>
  <c r="G3823" i="2"/>
  <c r="H3823" i="2" s="1"/>
  <c r="G3824" i="2"/>
  <c r="H3824" i="2" s="1"/>
  <c r="G3825" i="2"/>
  <c r="H3825" i="2" s="1"/>
  <c r="G3826" i="2"/>
  <c r="H3826" i="2" s="1"/>
  <c r="G3827" i="2"/>
  <c r="H3827" i="2" s="1"/>
  <c r="G3828" i="2"/>
  <c r="H3828" i="2" s="1"/>
  <c r="G3829" i="2"/>
  <c r="H3829" i="2" s="1"/>
  <c r="G3830" i="2"/>
  <c r="H3830" i="2" s="1"/>
  <c r="G3831" i="2"/>
  <c r="H3831" i="2" s="1"/>
  <c r="G3832" i="2"/>
  <c r="H3832" i="2" s="1"/>
  <c r="G3833" i="2"/>
  <c r="H3833" i="2" s="1"/>
  <c r="G3834" i="2"/>
  <c r="H3834" i="2" s="1"/>
  <c r="G3835" i="2"/>
  <c r="H3835" i="2" s="1"/>
  <c r="G3836" i="2"/>
  <c r="H3836" i="2" s="1"/>
  <c r="G3837" i="2"/>
  <c r="H3837" i="2" s="1"/>
  <c r="G3838" i="2"/>
  <c r="H3838" i="2" s="1"/>
  <c r="G3839" i="2"/>
  <c r="H3839" i="2" s="1"/>
  <c r="G3840" i="2"/>
  <c r="H3840" i="2" s="1"/>
  <c r="G3841" i="2"/>
  <c r="G3842" i="2"/>
  <c r="H3842" i="2" s="1"/>
  <c r="G3843" i="2"/>
  <c r="H3843" i="2" s="1"/>
  <c r="G3844" i="2"/>
  <c r="H3844" i="2" s="1"/>
  <c r="G3845" i="2"/>
  <c r="H3845" i="2" s="1"/>
  <c r="G3846" i="2"/>
  <c r="H3846" i="2" s="1"/>
  <c r="G3847" i="2"/>
  <c r="H3847" i="2" s="1"/>
  <c r="G3848" i="2"/>
  <c r="H3848" i="2" s="1"/>
  <c r="G3849" i="2"/>
  <c r="H3849" i="2" s="1"/>
  <c r="G3850" i="2"/>
  <c r="H3850" i="2" s="1"/>
  <c r="G3851" i="2"/>
  <c r="H3851" i="2" s="1"/>
  <c r="G3852" i="2"/>
  <c r="G3853" i="2"/>
  <c r="H3853" i="2" s="1"/>
  <c r="G3854" i="2"/>
  <c r="H3854" i="2" s="1"/>
  <c r="G3855" i="2"/>
  <c r="H3855" i="2" s="1"/>
  <c r="G3856" i="2"/>
  <c r="H3856" i="2" s="1"/>
  <c r="G3857" i="2"/>
  <c r="H3857" i="2" s="1"/>
  <c r="G3858" i="2"/>
  <c r="H3858" i="2" s="1"/>
  <c r="G3859" i="2"/>
  <c r="H3859" i="2" s="1"/>
  <c r="G3860" i="2"/>
  <c r="H3860" i="2" s="1"/>
  <c r="G3861" i="2"/>
  <c r="H3861" i="2" s="1"/>
  <c r="G3862" i="2"/>
  <c r="H3862" i="2" s="1"/>
  <c r="G3863" i="2"/>
  <c r="H3863" i="2" s="1"/>
  <c r="G3864" i="2"/>
  <c r="H3864" i="2" s="1"/>
  <c r="G3865" i="2"/>
  <c r="H3865" i="2" s="1"/>
  <c r="G3866" i="2"/>
  <c r="H3866" i="2" s="1"/>
  <c r="G3867" i="2"/>
  <c r="H3867" i="2" s="1"/>
  <c r="G3868" i="2"/>
  <c r="H3868" i="2" s="1"/>
  <c r="G3869" i="2"/>
  <c r="G3870" i="2"/>
  <c r="H3870" i="2" s="1"/>
  <c r="G3871" i="2"/>
  <c r="H3871" i="2" s="1"/>
  <c r="G3872" i="2"/>
  <c r="H3872" i="2" s="1"/>
  <c r="G3873" i="2"/>
  <c r="H3873" i="2" s="1"/>
  <c r="G3874" i="2"/>
  <c r="H3874" i="2" s="1"/>
  <c r="G3875" i="2"/>
  <c r="H3875" i="2" s="1"/>
  <c r="G3876" i="2"/>
  <c r="H3876" i="2" s="1"/>
  <c r="G3877" i="2"/>
  <c r="H3877" i="2" s="1"/>
  <c r="G3878" i="2"/>
  <c r="H3878" i="2" s="1"/>
  <c r="G3879" i="2"/>
  <c r="H3879" i="2" s="1"/>
  <c r="G3880" i="2"/>
  <c r="H3880" i="2" s="1"/>
  <c r="G3881" i="2"/>
  <c r="H3881" i="2" s="1"/>
  <c r="G3882" i="2"/>
  <c r="H3882" i="2" s="1"/>
  <c r="G3883" i="2"/>
  <c r="H3883" i="2" s="1"/>
  <c r="G3884" i="2"/>
  <c r="H3884" i="2" s="1"/>
  <c r="G3885" i="2"/>
  <c r="H3885" i="2" s="1"/>
  <c r="G3886" i="2"/>
  <c r="G3887" i="2"/>
  <c r="H3887" i="2" s="1"/>
  <c r="G3888" i="2"/>
  <c r="H3888" i="2" s="1"/>
  <c r="G3889" i="2"/>
  <c r="H3889" i="2" s="1"/>
  <c r="G3890" i="2"/>
  <c r="H3890" i="2" s="1"/>
  <c r="G3891" i="2"/>
  <c r="H3891" i="2" s="1"/>
  <c r="G3892" i="2"/>
  <c r="H3892" i="2" s="1"/>
  <c r="G3893" i="2"/>
  <c r="G3894" i="2"/>
  <c r="H3894" i="2" s="1"/>
  <c r="G3895" i="2"/>
  <c r="H3895" i="2" s="1"/>
  <c r="G3896" i="2"/>
  <c r="H3896" i="2" s="1"/>
  <c r="G3897" i="2"/>
  <c r="H3897" i="2" s="1"/>
  <c r="G3898" i="2"/>
  <c r="H3898" i="2" s="1"/>
  <c r="G3899" i="2"/>
  <c r="H3899" i="2" s="1"/>
  <c r="G3900" i="2"/>
  <c r="G3901" i="2"/>
  <c r="H3901" i="2" s="1"/>
  <c r="G3902" i="2"/>
  <c r="H3902" i="2" s="1"/>
  <c r="G3903" i="2"/>
  <c r="H3903" i="2" s="1"/>
  <c r="G3904" i="2"/>
  <c r="H3904" i="2" s="1"/>
  <c r="G3905" i="2"/>
  <c r="H3905" i="2" s="1"/>
  <c r="G3906" i="2"/>
  <c r="H3906" i="2" s="1"/>
  <c r="G3907" i="2"/>
  <c r="H3907" i="2" s="1"/>
  <c r="G3908" i="2"/>
  <c r="G3909" i="2"/>
  <c r="H3909" i="2" s="1"/>
  <c r="G3910" i="2"/>
  <c r="H3910" i="2" s="1"/>
  <c r="G3911" i="2"/>
  <c r="H3911" i="2" s="1"/>
  <c r="G3912" i="2"/>
  <c r="H3912" i="2" s="1"/>
  <c r="G3913" i="2"/>
  <c r="H3913" i="2" s="1"/>
  <c r="G3914" i="2"/>
  <c r="H3914" i="2" s="1"/>
  <c r="G3915" i="2"/>
  <c r="H3915" i="2" s="1"/>
  <c r="G3916" i="2"/>
  <c r="H3916" i="2" s="1"/>
  <c r="G3917" i="2"/>
  <c r="H3917" i="2" s="1"/>
  <c r="G3918" i="2"/>
  <c r="G3919" i="2"/>
  <c r="H3919" i="2" s="1"/>
  <c r="G3920" i="2"/>
  <c r="H3920" i="2" s="1"/>
  <c r="G3921" i="2"/>
  <c r="H3921" i="2" s="1"/>
  <c r="G3922" i="2"/>
  <c r="H3922" i="2" s="1"/>
  <c r="G3923" i="2"/>
  <c r="H3923" i="2" s="1"/>
  <c r="G3924" i="2"/>
  <c r="H3924" i="2" s="1"/>
  <c r="G3925" i="2"/>
  <c r="H3925" i="2" s="1"/>
  <c r="G3926" i="2"/>
  <c r="H3926" i="2" s="1"/>
  <c r="G3927" i="2"/>
  <c r="H3927" i="2" s="1"/>
  <c r="G3928" i="2"/>
  <c r="G3929" i="2"/>
  <c r="H3929" i="2" s="1"/>
  <c r="G3930" i="2"/>
  <c r="H3930" i="2" s="1"/>
  <c r="G3931" i="2"/>
  <c r="H3931" i="2" s="1"/>
  <c r="G3932" i="2"/>
  <c r="H3932" i="2" s="1"/>
  <c r="G3933" i="2"/>
  <c r="H3933" i="2" s="1"/>
  <c r="G3934" i="2"/>
  <c r="H3934" i="2" s="1"/>
  <c r="G3935" i="2"/>
  <c r="H3935" i="2" s="1"/>
  <c r="G3936" i="2"/>
  <c r="H3936" i="2" s="1"/>
  <c r="G3937" i="2"/>
  <c r="H3937" i="2" s="1"/>
  <c r="G3938" i="2"/>
  <c r="H3938" i="2" s="1"/>
  <c r="G3939" i="2"/>
  <c r="G3940" i="2"/>
  <c r="H3940" i="2" s="1"/>
  <c r="G3941" i="2"/>
  <c r="H3941" i="2" s="1"/>
  <c r="G3942" i="2"/>
  <c r="H3942" i="2" s="1"/>
  <c r="G3943" i="2"/>
  <c r="H3943" i="2" s="1"/>
  <c r="G3944" i="2"/>
  <c r="H3944" i="2" s="1"/>
  <c r="G3945" i="2"/>
  <c r="H3945" i="2" s="1"/>
  <c r="G3946" i="2"/>
  <c r="H3946" i="2" s="1"/>
  <c r="G3947" i="2"/>
  <c r="H3947" i="2" s="1"/>
  <c r="G3948" i="2"/>
  <c r="H3948" i="2" s="1"/>
  <c r="G3949" i="2"/>
  <c r="H3949" i="2" s="1"/>
  <c r="G3950" i="2"/>
  <c r="G3951" i="2"/>
  <c r="H3951" i="2" s="1"/>
  <c r="G3952" i="2"/>
  <c r="H3952" i="2" s="1"/>
  <c r="G3953" i="2"/>
  <c r="H3953" i="2" s="1"/>
  <c r="G3954" i="2"/>
  <c r="H3954" i="2" s="1"/>
  <c r="G3955" i="2"/>
  <c r="H3955" i="2" s="1"/>
  <c r="G3956" i="2"/>
  <c r="H3956" i="2" s="1"/>
  <c r="G3957" i="2"/>
  <c r="H3957" i="2" s="1"/>
  <c r="G3958" i="2"/>
  <c r="H3958" i="2" s="1"/>
  <c r="G3959" i="2"/>
  <c r="H3959" i="2" s="1"/>
  <c r="G3960" i="2"/>
  <c r="H3960" i="2" s="1"/>
  <c r="G3961" i="2"/>
  <c r="G3962" i="2"/>
  <c r="H3962" i="2" s="1"/>
  <c r="G3963" i="2"/>
  <c r="H3963" i="2" s="1"/>
  <c r="G3964" i="2"/>
  <c r="H3964" i="2" s="1"/>
  <c r="G3965" i="2"/>
  <c r="H3965" i="2" s="1"/>
  <c r="G3966" i="2"/>
  <c r="H3966" i="2" s="1"/>
  <c r="G3967" i="2"/>
  <c r="H3967" i="2" s="1"/>
  <c r="G3968" i="2"/>
  <c r="H3968" i="2" s="1"/>
  <c r="G3969" i="2"/>
  <c r="H3969" i="2" s="1"/>
  <c r="G3970" i="2"/>
  <c r="H3970" i="2" s="1"/>
  <c r="G3971" i="2"/>
  <c r="H3971" i="2" s="1"/>
  <c r="G3972" i="2"/>
  <c r="G3973" i="2"/>
  <c r="H3973" i="2" s="1"/>
  <c r="G3974" i="2"/>
  <c r="H3974" i="2" s="1"/>
  <c r="G3975" i="2"/>
  <c r="H3975" i="2" s="1"/>
  <c r="G3976" i="2"/>
  <c r="H3976" i="2" s="1"/>
  <c r="G3977" i="2"/>
  <c r="H3977" i="2" s="1"/>
  <c r="G3978" i="2"/>
  <c r="H3978" i="2" s="1"/>
  <c r="G3979" i="2"/>
  <c r="H3979" i="2" s="1"/>
  <c r="G3980" i="2"/>
  <c r="H3980" i="2" s="1"/>
  <c r="G3981" i="2"/>
  <c r="H3981" i="2" s="1"/>
  <c r="G3982" i="2"/>
  <c r="H3982" i="2" s="1"/>
  <c r="G3983" i="2"/>
  <c r="G3984" i="2"/>
  <c r="H3984" i="2" s="1"/>
  <c r="G3985" i="2"/>
  <c r="H3985" i="2" s="1"/>
  <c r="G3986" i="2"/>
  <c r="H3986" i="2" s="1"/>
  <c r="G3987" i="2"/>
  <c r="H3987" i="2" s="1"/>
  <c r="G3988" i="2"/>
  <c r="H3988" i="2" s="1"/>
  <c r="G3989" i="2"/>
  <c r="H3989" i="2" s="1"/>
  <c r="G3990" i="2"/>
  <c r="H3990" i="2" s="1"/>
  <c r="G3991" i="2"/>
  <c r="G3992" i="2"/>
  <c r="H3992" i="2" s="1"/>
  <c r="G3993" i="2"/>
  <c r="H3993" i="2" s="1"/>
  <c r="G3994" i="2"/>
  <c r="H3994" i="2" s="1"/>
  <c r="G3995" i="2"/>
  <c r="H3995" i="2" s="1"/>
  <c r="G3996" i="2"/>
  <c r="H3996" i="2" s="1"/>
  <c r="G3997" i="2"/>
  <c r="H3997" i="2" s="1"/>
  <c r="G3998" i="2"/>
  <c r="H3998" i="2" s="1"/>
  <c r="G3999" i="2"/>
  <c r="G4000" i="2"/>
  <c r="H4000" i="2" s="1"/>
  <c r="G4001" i="2"/>
  <c r="H4001" i="2" s="1"/>
  <c r="G4002" i="2"/>
  <c r="H4002" i="2" s="1"/>
  <c r="G4003" i="2"/>
  <c r="H4003" i="2" s="1"/>
  <c r="G4004" i="2"/>
  <c r="H4004" i="2" s="1"/>
  <c r="G4005" i="2"/>
  <c r="H4005" i="2" s="1"/>
  <c r="G4006" i="2"/>
  <c r="H4006" i="2" s="1"/>
  <c r="G4007" i="2"/>
  <c r="G4008" i="2"/>
  <c r="H4008" i="2" s="1"/>
  <c r="G4009" i="2"/>
  <c r="H4009" i="2" s="1"/>
  <c r="G4010" i="2"/>
  <c r="H4010" i="2" s="1"/>
  <c r="G4011" i="2"/>
  <c r="H4011" i="2" s="1"/>
  <c r="G4012" i="2"/>
  <c r="H4012" i="2" s="1"/>
  <c r="G4013" i="2"/>
  <c r="H4013" i="2" s="1"/>
  <c r="G4014" i="2"/>
  <c r="H4014" i="2" s="1"/>
  <c r="G4015" i="2"/>
  <c r="H4015" i="2" s="1"/>
  <c r="G4016" i="2"/>
  <c r="G4017" i="2"/>
  <c r="H4017" i="2" s="1"/>
  <c r="G4018" i="2"/>
  <c r="H4018" i="2" s="1"/>
  <c r="G4019" i="2"/>
  <c r="H4019" i="2" s="1"/>
  <c r="G4020" i="2"/>
  <c r="H4020" i="2" s="1"/>
  <c r="G4021" i="2"/>
  <c r="H4021" i="2" s="1"/>
  <c r="G4022" i="2"/>
  <c r="H4022" i="2" s="1"/>
  <c r="G4023" i="2"/>
  <c r="H4023" i="2" s="1"/>
  <c r="G4024" i="2"/>
  <c r="H4024" i="2" s="1"/>
  <c r="G4025" i="2"/>
  <c r="G4026" i="2"/>
  <c r="H4026" i="2" s="1"/>
  <c r="G4027" i="2"/>
  <c r="H4027" i="2" s="1"/>
  <c r="G4028" i="2"/>
  <c r="H4028" i="2" s="1"/>
  <c r="G4029" i="2"/>
  <c r="H4029" i="2" s="1"/>
  <c r="G4030" i="2"/>
  <c r="H4030" i="2" s="1"/>
  <c r="G4031" i="2"/>
  <c r="H4031" i="2" s="1"/>
  <c r="G4032" i="2"/>
  <c r="H4032" i="2" s="1"/>
  <c r="G4033" i="2"/>
  <c r="H4033" i="2" s="1"/>
  <c r="G4034" i="2"/>
  <c r="H4034" i="2" s="1"/>
  <c r="G4035" i="2"/>
  <c r="H4035" i="2" s="1"/>
  <c r="G4036" i="2"/>
  <c r="H4036" i="2" s="1"/>
  <c r="G4037" i="2"/>
  <c r="H4037" i="2" s="1"/>
  <c r="G4038" i="2"/>
  <c r="H4038" i="2" s="1"/>
  <c r="G4039" i="2"/>
  <c r="H4039" i="2" s="1"/>
  <c r="G4040" i="2"/>
  <c r="H4040" i="2" s="1"/>
  <c r="G4041" i="2"/>
  <c r="G4042" i="2"/>
  <c r="H4042" i="2" s="1"/>
  <c r="G4043" i="2"/>
  <c r="H4043" i="2" s="1"/>
  <c r="G4044" i="2"/>
  <c r="H4044" i="2" s="1"/>
  <c r="G4045" i="2"/>
  <c r="H4045" i="2" s="1"/>
  <c r="G4046" i="2"/>
  <c r="H4046" i="2" s="1"/>
  <c r="G4047" i="2"/>
  <c r="H4047" i="2" s="1"/>
  <c r="G4048" i="2"/>
  <c r="H4048" i="2" s="1"/>
  <c r="G4049" i="2"/>
  <c r="H4049" i="2" s="1"/>
  <c r="G4050" i="2"/>
  <c r="H4050" i="2" s="1"/>
  <c r="G4051" i="2"/>
  <c r="H4051" i="2" s="1"/>
  <c r="G4052" i="2"/>
  <c r="H4052" i="2" s="1"/>
  <c r="G4053" i="2"/>
  <c r="H4053" i="2" s="1"/>
  <c r="G4054" i="2"/>
  <c r="H4054" i="2" s="1"/>
  <c r="G4055" i="2"/>
  <c r="H4055" i="2" s="1"/>
  <c r="G4056" i="2"/>
  <c r="H4056" i="2" s="1"/>
  <c r="G4057" i="2"/>
  <c r="G4058" i="2"/>
  <c r="H4058" i="2" s="1"/>
  <c r="G4059" i="2"/>
  <c r="H4059" i="2" s="1"/>
  <c r="G4060" i="2"/>
  <c r="H4060" i="2" s="1"/>
  <c r="G4061" i="2"/>
  <c r="H4061" i="2" s="1"/>
  <c r="G4062" i="2"/>
  <c r="H4062" i="2" s="1"/>
  <c r="G4063" i="2"/>
  <c r="H4063" i="2" s="1"/>
  <c r="G4064" i="2"/>
  <c r="H4064" i="2" s="1"/>
  <c r="G4065" i="2"/>
  <c r="H4065" i="2" s="1"/>
  <c r="G4066" i="2"/>
  <c r="H4066" i="2" s="1"/>
  <c r="G4067" i="2"/>
  <c r="H4067" i="2" s="1"/>
  <c r="G4068" i="2"/>
  <c r="H4068" i="2" s="1"/>
  <c r="G4069" i="2"/>
  <c r="H4069" i="2" s="1"/>
  <c r="G4070" i="2"/>
  <c r="H4070" i="2" s="1"/>
  <c r="G4071" i="2"/>
  <c r="G4072" i="2"/>
  <c r="H4072" i="2" s="1"/>
  <c r="G4073" i="2"/>
  <c r="H4073" i="2" s="1"/>
  <c r="G4074" i="2"/>
  <c r="H4074" i="2" s="1"/>
  <c r="G4075" i="2"/>
  <c r="H4075" i="2" s="1"/>
  <c r="G4076" i="2"/>
  <c r="H4076" i="2" s="1"/>
  <c r="G4077" i="2"/>
  <c r="H4077" i="2" s="1"/>
  <c r="G4078" i="2"/>
  <c r="H4078" i="2" s="1"/>
  <c r="G4079" i="2"/>
  <c r="H4079" i="2" s="1"/>
  <c r="G4080" i="2"/>
  <c r="H4080" i="2" s="1"/>
  <c r="G4081" i="2"/>
  <c r="H4081" i="2" s="1"/>
  <c r="G4082" i="2"/>
  <c r="H4082" i="2" s="1"/>
  <c r="G4083" i="2"/>
  <c r="H4083" i="2" s="1"/>
  <c r="G4084" i="2"/>
  <c r="G4085" i="2"/>
  <c r="H4085" i="2" s="1"/>
  <c r="G4086" i="2"/>
  <c r="H4086" i="2" s="1"/>
  <c r="G4087" i="2"/>
  <c r="H4087" i="2" s="1"/>
  <c r="G4088" i="2"/>
  <c r="H4088" i="2" s="1"/>
  <c r="G4089" i="2"/>
  <c r="H4089" i="2" s="1"/>
  <c r="G4090" i="2"/>
  <c r="H4090" i="2" s="1"/>
  <c r="G4091" i="2"/>
  <c r="H4091" i="2" s="1"/>
  <c r="G4092" i="2"/>
  <c r="H4092" i="2" s="1"/>
  <c r="G4093" i="2"/>
  <c r="H4093" i="2" s="1"/>
  <c r="G4094" i="2"/>
  <c r="H4094" i="2" s="1"/>
  <c r="G4095" i="2"/>
  <c r="H4095" i="2" s="1"/>
  <c r="G4096" i="2"/>
  <c r="H4096" i="2" s="1"/>
  <c r="G4097" i="2"/>
  <c r="H4097" i="2" s="1"/>
  <c r="G4098" i="2"/>
  <c r="H4098" i="2" s="1"/>
  <c r="G4099" i="2"/>
  <c r="H4099" i="2" s="1"/>
  <c r="G4100" i="2"/>
  <c r="H4100" i="2" s="1"/>
  <c r="G4101" i="2"/>
  <c r="H4101" i="2" s="1"/>
  <c r="G4102" i="2"/>
  <c r="H4102" i="2" s="1"/>
  <c r="G4103" i="2"/>
  <c r="H4103" i="2" s="1"/>
  <c r="G4104" i="2"/>
  <c r="H4104" i="2" s="1"/>
  <c r="G4105" i="2"/>
  <c r="H4105" i="2" s="1"/>
  <c r="G4106" i="2"/>
  <c r="H4106" i="2" s="1"/>
  <c r="G4107" i="2"/>
  <c r="H4107" i="2" s="1"/>
  <c r="G4108" i="2"/>
  <c r="H4108" i="2" s="1"/>
  <c r="G4109" i="2"/>
  <c r="H4109" i="2" s="1"/>
  <c r="G4110" i="2"/>
  <c r="H4110" i="2" s="1"/>
  <c r="G4111" i="2"/>
  <c r="H4111" i="2" s="1"/>
  <c r="G4112" i="2"/>
  <c r="H4112" i="2" s="1"/>
  <c r="G4113" i="2"/>
  <c r="H4113" i="2" s="1"/>
  <c r="G4114" i="2"/>
  <c r="H4114" i="2" s="1"/>
  <c r="G4115" i="2"/>
  <c r="H4115" i="2" s="1"/>
  <c r="G4116" i="2"/>
  <c r="H4116" i="2" s="1"/>
  <c r="G4117" i="2"/>
  <c r="H4117" i="2" s="1"/>
  <c r="G4118" i="2"/>
  <c r="H4118" i="2" s="1"/>
  <c r="G4119" i="2"/>
  <c r="H4119" i="2" s="1"/>
  <c r="G4120" i="2"/>
  <c r="H4120" i="2" s="1"/>
  <c r="G4121" i="2"/>
  <c r="H4121" i="2" s="1"/>
  <c r="G4122" i="2"/>
  <c r="H4122" i="2" s="1"/>
  <c r="G4123" i="2"/>
  <c r="H4123" i="2" s="1"/>
  <c r="G4124" i="2"/>
  <c r="H4124" i="2" s="1"/>
  <c r="G4125" i="2"/>
  <c r="H4125" i="2" s="1"/>
  <c r="G4126" i="2"/>
  <c r="H4126" i="2" s="1"/>
  <c r="G4127" i="2"/>
  <c r="H4127" i="2" s="1"/>
  <c r="G4128" i="2"/>
  <c r="H4128" i="2" s="1"/>
  <c r="G4129" i="2"/>
  <c r="H4129" i="2" s="1"/>
  <c r="G4130" i="2"/>
  <c r="H4130" i="2" s="1"/>
  <c r="G4131" i="2"/>
  <c r="H4131" i="2" s="1"/>
  <c r="G4132" i="2"/>
  <c r="H4132" i="2" s="1"/>
  <c r="G4133" i="2"/>
  <c r="H4133" i="2" s="1"/>
  <c r="G4134" i="2"/>
  <c r="H4134" i="2" s="1"/>
  <c r="G4135" i="2"/>
  <c r="H4135" i="2" s="1"/>
  <c r="G4136" i="2"/>
  <c r="H4136" i="2" s="1"/>
  <c r="G4137" i="2"/>
  <c r="H4137" i="2" s="1"/>
  <c r="G4138" i="2"/>
  <c r="H4138" i="2" s="1"/>
  <c r="G4139" i="2"/>
  <c r="G4140" i="2"/>
  <c r="H4140" i="2" s="1"/>
  <c r="G4141" i="2"/>
  <c r="H4141" i="2" s="1"/>
  <c r="G4142" i="2"/>
  <c r="H4142" i="2" s="1"/>
  <c r="G4143" i="2"/>
  <c r="H4143" i="2" s="1"/>
  <c r="G4144" i="2"/>
  <c r="H4144" i="2" s="1"/>
  <c r="G4145" i="2"/>
  <c r="H4145" i="2" s="1"/>
  <c r="G4146" i="2"/>
  <c r="H4146" i="2" s="1"/>
  <c r="G4147" i="2"/>
  <c r="H4147" i="2" s="1"/>
  <c r="G4148" i="2"/>
  <c r="G4149" i="2"/>
  <c r="H4149" i="2" s="1"/>
  <c r="G4150" i="2"/>
  <c r="H4150" i="2" s="1"/>
  <c r="G4151" i="2"/>
  <c r="H4151" i="2" s="1"/>
  <c r="G4152" i="2"/>
  <c r="H4152" i="2" s="1"/>
  <c r="G4153" i="2"/>
  <c r="H4153" i="2" s="1"/>
  <c r="G4154" i="2"/>
  <c r="H4154" i="2" s="1"/>
  <c r="G4155" i="2"/>
  <c r="H4155" i="2" s="1"/>
  <c r="G4156" i="2"/>
  <c r="H4156" i="2" s="1"/>
  <c r="G4157" i="2"/>
  <c r="H4157" i="2" s="1"/>
  <c r="G4158" i="2"/>
  <c r="H4158" i="2" s="1"/>
  <c r="G4159" i="2"/>
  <c r="H4159" i="2" s="1"/>
  <c r="G4160" i="2"/>
  <c r="H4160" i="2" s="1"/>
  <c r="G4161" i="2"/>
  <c r="H4161" i="2" s="1"/>
  <c r="G4162" i="2"/>
  <c r="H4162" i="2" s="1"/>
  <c r="G4163" i="2"/>
  <c r="H4163" i="2" s="1"/>
  <c r="G4164" i="2"/>
  <c r="H4164" i="2" s="1"/>
  <c r="G4165" i="2"/>
  <c r="H4165" i="2" s="1"/>
  <c r="G4166" i="2"/>
  <c r="H4166" i="2" s="1"/>
  <c r="G4167" i="2"/>
  <c r="G4168" i="2"/>
  <c r="H4168" i="2" s="1"/>
  <c r="G4169" i="2"/>
  <c r="H4169" i="2" s="1"/>
  <c r="G4170" i="2"/>
  <c r="H4170" i="2" s="1"/>
  <c r="G4171" i="2"/>
  <c r="H4171" i="2" s="1"/>
  <c r="G4172" i="2"/>
  <c r="H4172" i="2" s="1"/>
  <c r="G4173" i="2"/>
  <c r="H4173" i="2" s="1"/>
  <c r="G4174" i="2"/>
  <c r="H4174" i="2" s="1"/>
  <c r="G4175" i="2"/>
  <c r="H4175" i="2" s="1"/>
  <c r="G4176" i="2"/>
  <c r="H4176" i="2" s="1"/>
  <c r="G4177" i="2"/>
  <c r="H4177" i="2" s="1"/>
  <c r="G4178" i="2"/>
  <c r="G4179" i="2"/>
  <c r="H4179" i="2" s="1"/>
  <c r="G4180" i="2"/>
  <c r="H4180" i="2" s="1"/>
  <c r="G4181" i="2"/>
  <c r="H4181" i="2" s="1"/>
  <c r="G4182" i="2"/>
  <c r="H4182" i="2" s="1"/>
  <c r="G4183" i="2"/>
  <c r="H4183" i="2" s="1"/>
  <c r="G4184" i="2"/>
  <c r="H4184" i="2" s="1"/>
  <c r="G4185" i="2"/>
  <c r="H4185" i="2" s="1"/>
  <c r="G4186" i="2"/>
  <c r="H4186" i="2" s="1"/>
  <c r="G4187" i="2"/>
  <c r="H4187" i="2" s="1"/>
  <c r="G4188" i="2"/>
  <c r="G4189" i="2"/>
  <c r="H4189" i="2" s="1"/>
  <c r="G4190" i="2"/>
  <c r="H4190" i="2" s="1"/>
  <c r="G4191" i="2"/>
  <c r="H4191" i="2" s="1"/>
  <c r="G4192" i="2"/>
  <c r="H4192" i="2" s="1"/>
  <c r="G4193" i="2"/>
  <c r="H4193" i="2" s="1"/>
  <c r="G4194" i="2"/>
  <c r="H4194" i="2" s="1"/>
  <c r="G4195" i="2"/>
  <c r="G4196" i="2"/>
  <c r="H4196" i="2" s="1"/>
  <c r="G4197" i="2"/>
  <c r="H4197" i="2" s="1"/>
  <c r="G4198" i="2"/>
  <c r="H4198" i="2" s="1"/>
  <c r="G4199" i="2"/>
  <c r="H4199" i="2" s="1"/>
  <c r="G4200" i="2"/>
  <c r="H4200" i="2" s="1"/>
  <c r="G4201" i="2"/>
  <c r="H4201" i="2" s="1"/>
  <c r="G4202" i="2"/>
  <c r="G4203" i="2"/>
  <c r="H4203" i="2" s="1"/>
  <c r="G4204" i="2"/>
  <c r="H4204" i="2" s="1"/>
  <c r="G4205" i="2"/>
  <c r="H4205" i="2" s="1"/>
  <c r="G4206" i="2"/>
  <c r="H4206" i="2" s="1"/>
  <c r="G4207" i="2"/>
  <c r="H4207" i="2" s="1"/>
  <c r="G4208" i="2"/>
  <c r="H4208" i="2" s="1"/>
  <c r="G4209" i="2"/>
  <c r="H4209" i="2" s="1"/>
  <c r="G4210" i="2"/>
  <c r="H4210" i="2" s="1"/>
  <c r="G4211" i="2"/>
  <c r="H4211" i="2" s="1"/>
  <c r="G4212" i="2"/>
  <c r="H4212" i="2" s="1"/>
  <c r="G4213" i="2"/>
  <c r="G4214" i="2"/>
  <c r="H4214" i="2" s="1"/>
  <c r="G4215" i="2"/>
  <c r="H4215" i="2" s="1"/>
  <c r="G4216" i="2"/>
  <c r="H4216" i="2" s="1"/>
  <c r="G4217" i="2"/>
  <c r="H4217" i="2" s="1"/>
  <c r="G4218" i="2"/>
  <c r="H4218" i="2" s="1"/>
  <c r="G4219" i="2"/>
  <c r="H4219" i="2" s="1"/>
  <c r="G4220" i="2"/>
  <c r="H4220" i="2" s="1"/>
  <c r="G4221" i="2"/>
  <c r="G4222" i="2"/>
  <c r="H4222" i="2" s="1"/>
  <c r="G4223" i="2"/>
  <c r="H4223" i="2" s="1"/>
  <c r="G4224" i="2"/>
  <c r="H4224" i="2" s="1"/>
  <c r="G4225" i="2"/>
  <c r="H4225" i="2" s="1"/>
  <c r="G4226" i="2"/>
  <c r="H4226" i="2" s="1"/>
  <c r="G4227" i="2"/>
  <c r="G4228" i="2"/>
  <c r="H4228" i="2" s="1"/>
  <c r="G4229" i="2"/>
  <c r="H4229" i="2" s="1"/>
  <c r="G4230" i="2"/>
  <c r="H4230" i="2" s="1"/>
  <c r="G4231" i="2"/>
  <c r="H4231" i="2" s="1"/>
  <c r="G4232" i="2"/>
  <c r="H4232" i="2" s="1"/>
  <c r="G4233" i="2"/>
  <c r="H4233" i="2" s="1"/>
  <c r="G4234" i="2"/>
  <c r="H4234" i="2" s="1"/>
  <c r="G4235" i="2"/>
  <c r="H4235" i="2" s="1"/>
  <c r="G4236" i="2"/>
  <c r="H4236" i="2" s="1"/>
  <c r="G4237" i="2"/>
  <c r="H4237" i="2" s="1"/>
  <c r="G4238" i="2"/>
  <c r="H4238" i="2" s="1"/>
  <c r="G4239" i="2"/>
  <c r="H4239" i="2" s="1"/>
  <c r="G4240" i="2"/>
  <c r="G4241" i="2"/>
  <c r="H4241" i="2" s="1"/>
  <c r="G4242" i="2"/>
  <c r="H4242" i="2" s="1"/>
  <c r="G4243" i="2"/>
  <c r="H4243" i="2" s="1"/>
  <c r="G4244" i="2"/>
  <c r="H4244" i="2" s="1"/>
  <c r="G4245" i="2"/>
  <c r="H4245" i="2" s="1"/>
  <c r="G4246" i="2"/>
  <c r="H4246" i="2" s="1"/>
  <c r="G4247" i="2"/>
  <c r="H4247" i="2" s="1"/>
  <c r="G4248" i="2"/>
  <c r="H4248" i="2" s="1"/>
  <c r="G4249" i="2"/>
  <c r="H4249" i="2" s="1"/>
  <c r="G4250" i="2"/>
  <c r="G4251" i="2"/>
  <c r="H4251" i="2" s="1"/>
  <c r="G4252" i="2"/>
  <c r="H4252" i="2" s="1"/>
  <c r="G4253" i="2"/>
  <c r="H4253" i="2" s="1"/>
  <c r="G4254" i="2"/>
  <c r="H4254" i="2" s="1"/>
  <c r="G4255" i="2"/>
  <c r="H4255" i="2" s="1"/>
  <c r="G4256" i="2"/>
  <c r="H4256" i="2" s="1"/>
  <c r="G4257" i="2"/>
  <c r="H4257" i="2" s="1"/>
  <c r="G4258" i="2"/>
  <c r="H4258" i="2" s="1"/>
  <c r="G4259" i="2"/>
  <c r="H4259" i="2" s="1"/>
  <c r="G4260" i="2"/>
  <c r="G4261" i="2"/>
  <c r="H4261" i="2" s="1"/>
  <c r="G4262" i="2"/>
  <c r="H4262" i="2" s="1"/>
  <c r="G4263" i="2"/>
  <c r="H4263" i="2" s="1"/>
  <c r="G4264" i="2"/>
  <c r="H4264" i="2" s="1"/>
  <c r="G4265" i="2"/>
  <c r="H4265" i="2" s="1"/>
  <c r="G4266" i="2"/>
  <c r="H4266" i="2" s="1"/>
  <c r="G4267" i="2"/>
  <c r="H4267" i="2" s="1"/>
  <c r="G4268" i="2"/>
  <c r="G4269" i="2"/>
  <c r="H4269" i="2" s="1"/>
  <c r="G4270" i="2"/>
  <c r="H4270" i="2" s="1"/>
  <c r="G4271" i="2"/>
  <c r="H4271" i="2" s="1"/>
  <c r="G4272" i="2"/>
  <c r="H4272" i="2" s="1"/>
  <c r="G4273" i="2"/>
  <c r="H4273" i="2" s="1"/>
  <c r="G4274" i="2"/>
  <c r="H4274" i="2" s="1"/>
  <c r="G4275" i="2"/>
  <c r="H4275" i="2" s="1"/>
  <c r="G4276" i="2"/>
  <c r="H4276" i="2" s="1"/>
  <c r="G4277" i="2"/>
  <c r="H4277" i="2" s="1"/>
  <c r="G4278" i="2"/>
  <c r="H4278" i="2" s="1"/>
  <c r="G4279" i="2"/>
  <c r="H4279" i="2" s="1"/>
  <c r="G4280" i="2"/>
  <c r="H4280" i="2" s="1"/>
  <c r="G4281" i="2"/>
  <c r="G4282" i="2"/>
  <c r="H4282" i="2" s="1"/>
  <c r="G4283" i="2"/>
  <c r="H4283" i="2" s="1"/>
  <c r="G4284" i="2"/>
  <c r="H4284" i="2" s="1"/>
  <c r="G4285" i="2"/>
  <c r="H4285" i="2" s="1"/>
  <c r="G4286" i="2"/>
  <c r="G4287" i="2"/>
  <c r="H4287" i="2" s="1"/>
  <c r="G4288" i="2"/>
  <c r="H4288" i="2" s="1"/>
  <c r="G4289" i="2"/>
  <c r="H4289" i="2" s="1"/>
  <c r="G4290" i="2"/>
  <c r="H4290" i="2" s="1"/>
  <c r="G4291" i="2"/>
  <c r="G4292" i="2"/>
  <c r="H4292" i="2" s="1"/>
  <c r="G4293" i="2"/>
  <c r="H4293" i="2" s="1"/>
  <c r="G4294" i="2"/>
  <c r="H4294" i="2" s="1"/>
  <c r="G4295" i="2"/>
  <c r="H4295" i="2" s="1"/>
  <c r="G4296" i="2"/>
  <c r="H4296" i="2" s="1"/>
  <c r="G4297" i="2"/>
  <c r="H4297" i="2" s="1"/>
  <c r="G4298" i="2"/>
  <c r="G4299" i="2"/>
  <c r="H4299" i="2" s="1"/>
  <c r="G4300" i="2"/>
  <c r="G4301" i="2"/>
  <c r="H4301" i="2" s="1"/>
  <c r="G4302" i="2"/>
  <c r="H4302" i="2" s="1"/>
  <c r="G4303" i="2"/>
  <c r="H4303" i="2" s="1"/>
  <c r="G4304" i="2"/>
  <c r="H4304" i="2" s="1"/>
  <c r="G4305" i="2"/>
  <c r="H4305" i="2" s="1"/>
  <c r="G4306" i="2"/>
  <c r="G4307" i="2"/>
  <c r="H4307" i="2" s="1"/>
  <c r="G4308" i="2"/>
  <c r="H4308" i="2" s="1"/>
  <c r="G4309" i="2"/>
  <c r="H4309" i="2" s="1"/>
  <c r="G4310" i="2"/>
  <c r="G4311" i="2"/>
  <c r="H4311" i="2" s="1"/>
  <c r="G4312" i="2"/>
  <c r="H4312" i="2" s="1"/>
  <c r="G4313" i="2"/>
  <c r="H4313" i="2" s="1"/>
  <c r="G4314" i="2"/>
  <c r="H4314" i="2" s="1"/>
  <c r="G4315" i="2"/>
  <c r="H4315" i="2" s="1"/>
  <c r="G4316" i="2"/>
  <c r="G4317" i="2"/>
  <c r="H4317" i="2" s="1"/>
  <c r="G4318" i="2"/>
  <c r="G4319" i="2"/>
  <c r="H4319" i="2" s="1"/>
  <c r="G4320" i="2"/>
  <c r="H4320" i="2" s="1"/>
  <c r="G4321" i="2"/>
  <c r="H4321" i="2" s="1"/>
  <c r="G4322" i="2"/>
  <c r="H4322" i="2" s="1"/>
  <c r="G4323" i="2"/>
  <c r="H4323" i="2" s="1"/>
  <c r="G4324" i="2"/>
  <c r="H4324" i="2" s="1"/>
  <c r="G4325" i="2"/>
  <c r="H4325" i="2" s="1"/>
  <c r="G4326" i="2"/>
  <c r="G4327" i="2"/>
  <c r="H4327" i="2" s="1"/>
  <c r="G4328" i="2"/>
  <c r="H4328" i="2" s="1"/>
  <c r="G4329" i="2"/>
  <c r="H4329" i="2" s="1"/>
  <c r="G4330" i="2"/>
  <c r="H4330" i="2" s="1"/>
  <c r="G4331" i="2"/>
  <c r="H4331" i="2" s="1"/>
  <c r="G4332" i="2"/>
  <c r="H4332" i="2" s="1"/>
  <c r="G4333" i="2"/>
  <c r="H4333" i="2" s="1"/>
  <c r="G4334" i="2"/>
  <c r="G4335" i="2"/>
  <c r="H4335" i="2" s="1"/>
  <c r="G4336" i="2"/>
  <c r="H4336" i="2" s="1"/>
  <c r="G4337" i="2"/>
  <c r="H4337" i="2" s="1"/>
  <c r="G4338" i="2"/>
  <c r="H4338" i="2" s="1"/>
  <c r="G4339" i="2"/>
  <c r="H4339" i="2" s="1"/>
  <c r="G4340" i="2"/>
  <c r="H4340" i="2" s="1"/>
  <c r="G4341" i="2"/>
  <c r="G4342" i="2"/>
  <c r="H4342" i="2" s="1"/>
  <c r="G4343" i="2"/>
  <c r="H4343" i="2" s="1"/>
  <c r="G4344" i="2"/>
  <c r="H4344" i="2" s="1"/>
  <c r="G4345" i="2"/>
  <c r="H4345" i="2" s="1"/>
  <c r="G4346" i="2"/>
  <c r="H4346" i="2" s="1"/>
  <c r="G4347" i="2"/>
  <c r="H4347" i="2" s="1"/>
  <c r="G4348" i="2"/>
  <c r="G4349" i="2"/>
  <c r="H4349" i="2" s="1"/>
  <c r="G4350" i="2"/>
  <c r="H4350" i="2" s="1"/>
  <c r="G4351" i="2"/>
  <c r="H4351" i="2" s="1"/>
  <c r="G4352" i="2"/>
  <c r="H4352" i="2" s="1"/>
  <c r="G4353" i="2"/>
  <c r="H4353" i="2" s="1"/>
  <c r="G4354" i="2"/>
  <c r="H4354" i="2" s="1"/>
  <c r="G4355" i="2"/>
  <c r="H4355" i="2" s="1"/>
  <c r="G4356" i="2"/>
  <c r="H4356" i="2" s="1"/>
  <c r="G4357" i="2"/>
  <c r="H4357" i="2" s="1"/>
  <c r="G4358" i="2"/>
  <c r="G4359" i="2"/>
  <c r="H4359" i="2" s="1"/>
  <c r="G4360" i="2"/>
  <c r="H4360" i="2" s="1"/>
  <c r="G4361" i="2"/>
  <c r="H4361" i="2" s="1"/>
  <c r="G4362" i="2"/>
  <c r="H4362" i="2" s="1"/>
  <c r="G4363" i="2"/>
  <c r="H4363" i="2" s="1"/>
  <c r="G4364" i="2"/>
  <c r="H4364" i="2" s="1"/>
  <c r="G4365" i="2"/>
  <c r="H4365" i="2" s="1"/>
  <c r="G4366" i="2"/>
  <c r="G4367" i="2"/>
  <c r="H4367" i="2" s="1"/>
  <c r="G4368" i="2"/>
  <c r="H4368" i="2" s="1"/>
  <c r="G4369" i="2"/>
  <c r="H4369" i="2" s="1"/>
  <c r="G4370" i="2"/>
  <c r="H4370" i="2" s="1"/>
  <c r="G4371" i="2"/>
  <c r="H4371" i="2" s="1"/>
  <c r="G4372" i="2"/>
  <c r="H4372" i="2" s="1"/>
  <c r="G4373" i="2"/>
  <c r="H4373" i="2" s="1"/>
  <c r="G4374" i="2"/>
  <c r="H4374" i="2" s="1"/>
  <c r="G4375" i="2"/>
  <c r="H4375" i="2" s="1"/>
  <c r="G4376" i="2"/>
  <c r="H4376" i="2" s="1"/>
  <c r="G4377" i="2"/>
  <c r="H4377" i="2" s="1"/>
  <c r="G4378" i="2"/>
  <c r="H4378" i="2" s="1"/>
  <c r="G4379" i="2"/>
  <c r="H4379" i="2" s="1"/>
  <c r="G4380" i="2"/>
  <c r="G4381" i="2"/>
  <c r="H4381" i="2" s="1"/>
  <c r="G4382" i="2"/>
  <c r="H4382" i="2" s="1"/>
  <c r="G4383" i="2"/>
  <c r="H4383" i="2" s="1"/>
  <c r="G4384" i="2"/>
  <c r="H4384" i="2" s="1"/>
  <c r="G4385" i="2"/>
  <c r="H4385" i="2" s="1"/>
  <c r="G4386" i="2"/>
  <c r="H4386" i="2" s="1"/>
  <c r="G4387" i="2"/>
  <c r="H4387" i="2" s="1"/>
  <c r="G4388" i="2"/>
  <c r="G4389" i="2"/>
  <c r="H4389" i="2" s="1"/>
  <c r="G4390" i="2"/>
  <c r="H4390" i="2" s="1"/>
  <c r="G4391" i="2"/>
  <c r="H4391" i="2" s="1"/>
  <c r="G4392" i="2"/>
  <c r="H4392" i="2" s="1"/>
  <c r="G4393" i="2"/>
  <c r="H4393" i="2" s="1"/>
  <c r="G4394" i="2"/>
  <c r="H4394" i="2" s="1"/>
  <c r="G4395" i="2"/>
  <c r="H4395" i="2" s="1"/>
  <c r="G4396" i="2"/>
  <c r="H4396" i="2" s="1"/>
  <c r="G4397" i="2"/>
  <c r="H4397" i="2" s="1"/>
  <c r="G4398" i="2"/>
  <c r="H4398" i="2" s="1"/>
  <c r="G4399" i="2"/>
  <c r="H4399" i="2" s="1"/>
  <c r="G4400" i="2"/>
  <c r="H4400" i="2" s="1"/>
  <c r="G4401" i="2"/>
  <c r="G4402" i="2"/>
  <c r="H4402" i="2" s="1"/>
  <c r="G4403" i="2"/>
  <c r="H4403" i="2" s="1"/>
  <c r="G4404" i="2"/>
  <c r="H4404" i="2" s="1"/>
  <c r="G4405" i="2"/>
  <c r="H4405" i="2" s="1"/>
  <c r="G4406" i="2"/>
  <c r="H4406" i="2" s="1"/>
  <c r="G4407" i="2"/>
  <c r="H4407" i="2" s="1"/>
  <c r="G4408" i="2"/>
  <c r="H4408" i="2" s="1"/>
  <c r="G4409" i="2"/>
  <c r="H4409" i="2" s="1"/>
  <c r="G4410" i="2"/>
  <c r="H4410" i="2" s="1"/>
  <c r="G4411" i="2"/>
  <c r="H4411" i="2" s="1"/>
  <c r="G4412" i="2"/>
  <c r="H4412" i="2" s="1"/>
  <c r="G4413" i="2"/>
  <c r="H4413" i="2" s="1"/>
  <c r="G4414" i="2"/>
  <c r="G4415" i="2"/>
  <c r="H4415" i="2" s="1"/>
  <c r="G4416" i="2"/>
  <c r="H4416" i="2" s="1"/>
  <c r="G4417" i="2"/>
  <c r="H4417" i="2" s="1"/>
  <c r="G4418" i="2"/>
  <c r="H4418" i="2" s="1"/>
  <c r="G4419" i="2"/>
  <c r="H4419" i="2" s="1"/>
  <c r="G4420" i="2"/>
  <c r="H4420" i="2" s="1"/>
  <c r="G4421" i="2"/>
  <c r="H4421" i="2" s="1"/>
  <c r="G4422" i="2"/>
  <c r="H4422" i="2" s="1"/>
  <c r="G4423" i="2"/>
  <c r="H4423" i="2" s="1"/>
  <c r="G4424" i="2"/>
  <c r="G4425" i="2"/>
  <c r="H4425" i="2" s="1"/>
  <c r="G4426" i="2"/>
  <c r="H4426" i="2" s="1"/>
  <c r="G4427" i="2"/>
  <c r="H4427" i="2" s="1"/>
  <c r="G4428" i="2"/>
  <c r="H4428" i="2" s="1"/>
  <c r="G4429" i="2"/>
  <c r="H4429" i="2" s="1"/>
  <c r="G4430" i="2"/>
  <c r="H4430" i="2" s="1"/>
  <c r="G4431" i="2"/>
  <c r="H4431" i="2" s="1"/>
  <c r="G4432" i="2"/>
  <c r="G4433" i="2"/>
  <c r="H4433" i="2" s="1"/>
  <c r="G4434" i="2"/>
  <c r="H4434" i="2" s="1"/>
  <c r="G4435" i="2"/>
  <c r="H4435" i="2" s="1"/>
  <c r="G4436" i="2"/>
  <c r="H4436" i="2" s="1"/>
  <c r="G4437" i="2"/>
  <c r="H4437" i="2" s="1"/>
  <c r="G4438" i="2"/>
  <c r="H4438" i="2" s="1"/>
  <c r="G4439" i="2"/>
  <c r="H4439" i="2" s="1"/>
  <c r="G4440" i="2"/>
  <c r="H4440" i="2" s="1"/>
  <c r="G4441" i="2"/>
  <c r="H4441" i="2" s="1"/>
  <c r="G4442" i="2"/>
  <c r="H4442" i="2" s="1"/>
  <c r="G4443" i="2"/>
  <c r="H4443" i="2" s="1"/>
  <c r="G4444" i="2"/>
  <c r="H4444" i="2" s="1"/>
  <c r="G4445" i="2"/>
  <c r="H4445" i="2" s="1"/>
  <c r="G4446" i="2"/>
  <c r="H4446" i="2" s="1"/>
  <c r="G4447" i="2"/>
  <c r="H4447" i="2" s="1"/>
  <c r="G4448" i="2"/>
  <c r="H4448" i="2" s="1"/>
  <c r="G4449" i="2"/>
  <c r="H4449" i="2" s="1"/>
  <c r="G4450" i="2"/>
  <c r="H4450" i="2" s="1"/>
  <c r="G4451" i="2"/>
  <c r="H4451" i="2" s="1"/>
  <c r="G4452" i="2"/>
  <c r="H4452" i="2" s="1"/>
  <c r="G4453" i="2"/>
  <c r="H4453" i="2" s="1"/>
  <c r="G4454" i="2"/>
  <c r="H4454" i="2" s="1"/>
  <c r="G4455" i="2"/>
  <c r="H4455" i="2" s="1"/>
  <c r="G4456" i="2"/>
  <c r="H4456" i="2" s="1"/>
  <c r="G4457" i="2"/>
  <c r="H4457" i="2" s="1"/>
  <c r="G4458" i="2"/>
  <c r="H4458" i="2" s="1"/>
  <c r="G4459" i="2"/>
  <c r="H4459" i="2" s="1"/>
  <c r="G4460" i="2"/>
  <c r="H4460" i="2" s="1"/>
  <c r="G4461" i="2"/>
  <c r="H4461" i="2" s="1"/>
  <c r="G4462" i="2"/>
  <c r="H4462" i="2" s="1"/>
  <c r="G4463" i="2"/>
  <c r="H4463" i="2" s="1"/>
  <c r="G4464" i="2"/>
  <c r="H4464" i="2" s="1"/>
  <c r="G4465" i="2"/>
  <c r="H4465" i="2" s="1"/>
  <c r="G4466" i="2"/>
  <c r="H4466" i="2" s="1"/>
  <c r="G4467" i="2"/>
  <c r="H4467" i="2" s="1"/>
  <c r="G4468" i="2"/>
  <c r="H4468" i="2" s="1"/>
  <c r="G4469" i="2"/>
  <c r="H4469" i="2" s="1"/>
  <c r="G4470" i="2"/>
  <c r="H4470" i="2" s="1"/>
  <c r="G4471" i="2"/>
  <c r="H4471" i="2" s="1"/>
  <c r="G4472" i="2"/>
  <c r="H4472" i="2" s="1"/>
  <c r="G4473" i="2"/>
  <c r="H4473" i="2" s="1"/>
  <c r="G4474" i="2"/>
  <c r="H4474" i="2" s="1"/>
  <c r="G4475" i="2"/>
  <c r="H4475" i="2" s="1"/>
  <c r="G4476" i="2"/>
  <c r="H4476" i="2" s="1"/>
  <c r="G4477" i="2"/>
  <c r="H4477" i="2" s="1"/>
  <c r="G4478" i="2"/>
  <c r="G4479" i="2"/>
  <c r="H4479" i="2" s="1"/>
  <c r="G4480" i="2"/>
  <c r="H4480" i="2" s="1"/>
  <c r="G4481" i="2"/>
  <c r="H4481" i="2" s="1"/>
  <c r="G4482" i="2"/>
  <c r="H4482" i="2" s="1"/>
  <c r="G4483" i="2"/>
  <c r="H4483" i="2" s="1"/>
  <c r="G4484" i="2"/>
  <c r="H4484" i="2" s="1"/>
  <c r="G4485" i="2"/>
  <c r="H4485" i="2" s="1"/>
  <c r="G4486" i="2"/>
  <c r="H4486" i="2" s="1"/>
  <c r="G4487" i="2"/>
  <c r="H4487" i="2" s="1"/>
  <c r="G4488" i="2"/>
  <c r="H4488" i="2" s="1"/>
  <c r="G4489" i="2"/>
  <c r="H4489" i="2" s="1"/>
  <c r="G4490" i="2"/>
  <c r="H4490" i="2" s="1"/>
  <c r="G4491" i="2"/>
  <c r="H4491" i="2" s="1"/>
  <c r="G4492" i="2"/>
  <c r="H4492" i="2" s="1"/>
  <c r="G4493" i="2"/>
  <c r="H4493" i="2" s="1"/>
  <c r="G4494" i="2"/>
  <c r="H4494" i="2" s="1"/>
  <c r="G4495" i="2"/>
  <c r="H4495" i="2" s="1"/>
  <c r="G4496" i="2"/>
  <c r="H4496" i="2" s="1"/>
  <c r="G4497" i="2"/>
  <c r="H4497" i="2" s="1"/>
  <c r="G4498" i="2"/>
  <c r="H4498" i="2" s="1"/>
  <c r="G4499" i="2"/>
  <c r="G4500" i="2"/>
  <c r="H4500" i="2" s="1"/>
  <c r="G4501" i="2"/>
  <c r="H4501" i="2" s="1"/>
  <c r="G4502" i="2"/>
  <c r="H4502" i="2" s="1"/>
  <c r="G4503" i="2"/>
  <c r="H4503" i="2" s="1"/>
  <c r="G4504" i="2"/>
  <c r="H4504" i="2" s="1"/>
  <c r="G4505" i="2"/>
  <c r="H4505" i="2" s="1"/>
  <c r="G4506" i="2"/>
  <c r="H4506" i="2" s="1"/>
  <c r="G4507" i="2"/>
  <c r="H4507" i="2" s="1"/>
  <c r="G4508" i="2"/>
  <c r="H4508" i="2" s="1"/>
  <c r="G4509" i="2"/>
  <c r="H4509" i="2" s="1"/>
  <c r="G4510" i="2"/>
  <c r="G4511" i="2"/>
  <c r="H4511" i="2" s="1"/>
  <c r="G4512" i="2"/>
  <c r="H4512" i="2" s="1"/>
  <c r="G4513" i="2"/>
  <c r="H4513" i="2" s="1"/>
  <c r="G4514" i="2"/>
  <c r="H4514" i="2" s="1"/>
  <c r="G4515" i="2"/>
  <c r="H4515" i="2" s="1"/>
  <c r="G4516" i="2"/>
  <c r="H4516" i="2" s="1"/>
  <c r="G4517" i="2"/>
  <c r="G4518" i="2"/>
  <c r="H4518" i="2" s="1"/>
  <c r="G4519" i="2"/>
  <c r="H4519" i="2" s="1"/>
  <c r="G4520" i="2"/>
  <c r="H4520" i="2" s="1"/>
  <c r="G4521" i="2"/>
  <c r="H4521" i="2" s="1"/>
  <c r="G4522" i="2"/>
  <c r="H4522" i="2" s="1"/>
  <c r="G4523" i="2"/>
  <c r="H4523" i="2" s="1"/>
  <c r="G4524" i="2"/>
  <c r="G4525" i="2"/>
  <c r="H4525" i="2" s="1"/>
  <c r="G4526" i="2"/>
  <c r="H4526" i="2" s="1"/>
  <c r="G4527" i="2"/>
  <c r="H4527" i="2" s="1"/>
  <c r="G4528" i="2"/>
  <c r="H4528" i="2" s="1"/>
  <c r="G4529" i="2"/>
  <c r="H4529" i="2" s="1"/>
  <c r="G4530" i="2"/>
  <c r="H4530" i="2" s="1"/>
  <c r="G4531" i="2"/>
  <c r="G4532" i="2"/>
  <c r="H4532" i="2" s="1"/>
  <c r="G4533" i="2"/>
  <c r="H4533" i="2" s="1"/>
  <c r="G4534" i="2"/>
  <c r="H4534" i="2" s="1"/>
  <c r="G4535" i="2"/>
  <c r="H4535" i="2" s="1"/>
  <c r="G4536" i="2"/>
  <c r="H4536" i="2" s="1"/>
  <c r="G4537" i="2"/>
  <c r="H4537" i="2" s="1"/>
  <c r="G4538" i="2"/>
  <c r="H4538" i="2" s="1"/>
  <c r="G4539" i="2"/>
  <c r="H4539" i="2" s="1"/>
  <c r="G4540" i="2"/>
  <c r="H4540" i="2" s="1"/>
  <c r="G4541" i="2"/>
  <c r="H4541" i="2" s="1"/>
  <c r="G4542" i="2"/>
  <c r="G4543" i="2"/>
  <c r="H4543" i="2" s="1"/>
  <c r="G4544" i="2"/>
  <c r="H4544" i="2" s="1"/>
  <c r="G4545" i="2"/>
  <c r="H4545" i="2" s="1"/>
  <c r="G4546" i="2"/>
  <c r="H4546" i="2" s="1"/>
  <c r="G4547" i="2"/>
  <c r="H4547" i="2" s="1"/>
  <c r="G4548" i="2"/>
  <c r="H4548" i="2" s="1"/>
  <c r="G4549" i="2"/>
  <c r="H4549" i="2" s="1"/>
  <c r="G4550" i="2"/>
  <c r="H4550" i="2" s="1"/>
  <c r="G4551" i="2"/>
  <c r="H4551" i="2" s="1"/>
  <c r="G4552" i="2"/>
  <c r="H4552" i="2" s="1"/>
  <c r="G4553" i="2"/>
  <c r="H4553" i="2" s="1"/>
  <c r="G4554" i="2"/>
  <c r="H4554" i="2" s="1"/>
  <c r="G4555" i="2"/>
  <c r="G4556" i="2"/>
  <c r="H4556" i="2" s="1"/>
  <c r="G4557" i="2"/>
  <c r="H4557" i="2" s="1"/>
  <c r="G4558" i="2"/>
  <c r="H4558" i="2" s="1"/>
  <c r="G4559" i="2"/>
  <c r="H4559" i="2" s="1"/>
  <c r="G4560" i="2"/>
  <c r="H4560" i="2" s="1"/>
  <c r="G4561" i="2"/>
  <c r="H4561" i="2" s="1"/>
  <c r="G4562" i="2"/>
  <c r="H4562" i="2" s="1"/>
  <c r="G4563" i="2"/>
  <c r="H4563" i="2" s="1"/>
  <c r="G4564" i="2"/>
  <c r="H4564" i="2" s="1"/>
  <c r="G4565" i="2"/>
  <c r="H4565" i="2" s="1"/>
  <c r="G4566" i="2"/>
  <c r="H4566" i="2" s="1"/>
  <c r="G4567" i="2"/>
  <c r="H4567" i="2" s="1"/>
  <c r="G4568" i="2"/>
  <c r="G4569" i="2"/>
  <c r="H4569" i="2" s="1"/>
  <c r="G4570" i="2"/>
  <c r="H4570" i="2" s="1"/>
  <c r="G4571" i="2"/>
  <c r="H4571" i="2" s="1"/>
  <c r="G4572" i="2"/>
  <c r="H4572" i="2" s="1"/>
  <c r="G4573" i="2"/>
  <c r="H4573" i="2" s="1"/>
  <c r="G4574" i="2"/>
  <c r="H4574" i="2" s="1"/>
  <c r="G4575" i="2"/>
  <c r="H4575" i="2" s="1"/>
  <c r="G4576" i="2"/>
  <c r="H4576" i="2" s="1"/>
  <c r="G4577" i="2"/>
  <c r="H4577" i="2" s="1"/>
  <c r="G4578" i="2"/>
  <c r="H4578" i="2" s="1"/>
  <c r="G4579" i="2"/>
  <c r="H4579" i="2" s="1"/>
  <c r="G4580" i="2"/>
  <c r="H4580" i="2" s="1"/>
  <c r="G4581" i="2"/>
  <c r="H4581" i="2" s="1"/>
  <c r="G4582" i="2"/>
  <c r="G4583" i="2"/>
  <c r="H4583" i="2" s="1"/>
  <c r="G4584" i="2"/>
  <c r="H4584" i="2" s="1"/>
  <c r="G4585" i="2"/>
  <c r="H4585" i="2" s="1"/>
  <c r="G4586" i="2"/>
  <c r="H4586" i="2" s="1"/>
  <c r="G4587" i="2"/>
  <c r="H4587" i="2" s="1"/>
  <c r="G4588" i="2"/>
  <c r="H4588" i="2" s="1"/>
  <c r="G4589" i="2"/>
  <c r="H4589" i="2" s="1"/>
  <c r="G4590" i="2"/>
  <c r="H4590" i="2" s="1"/>
  <c r="G4591" i="2"/>
  <c r="G4592" i="2"/>
  <c r="H4592" i="2" s="1"/>
  <c r="G4593" i="2"/>
  <c r="H4593" i="2" s="1"/>
  <c r="G4594" i="2"/>
  <c r="H4594" i="2" s="1"/>
  <c r="G4595" i="2"/>
  <c r="H4595" i="2" s="1"/>
  <c r="G4596" i="2"/>
  <c r="H4596" i="2" s="1"/>
  <c r="G4597" i="2"/>
  <c r="H4597" i="2" s="1"/>
  <c r="G4598" i="2"/>
  <c r="H4598" i="2" s="1"/>
  <c r="G4599" i="2"/>
  <c r="H4599" i="2" s="1"/>
  <c r="G4600" i="2"/>
  <c r="G4601" i="2"/>
  <c r="H4601" i="2" s="1"/>
  <c r="G4602" i="2"/>
  <c r="H4602" i="2" s="1"/>
  <c r="G4603" i="2"/>
  <c r="H4603" i="2" s="1"/>
  <c r="G4604" i="2"/>
  <c r="H4604" i="2" s="1"/>
  <c r="G4605" i="2"/>
  <c r="H4605" i="2" s="1"/>
  <c r="G4606" i="2"/>
  <c r="H4606" i="2" s="1"/>
  <c r="G4607" i="2"/>
  <c r="H4607" i="2" s="1"/>
  <c r="G4608" i="2"/>
  <c r="H4608" i="2" s="1"/>
  <c r="G4609" i="2"/>
  <c r="H4609" i="2" s="1"/>
  <c r="G4610" i="2"/>
  <c r="H4610" i="2" s="1"/>
  <c r="G4611" i="2"/>
  <c r="H4611" i="2" s="1"/>
  <c r="G4612" i="2"/>
  <c r="H4612" i="2" s="1"/>
  <c r="G4613" i="2"/>
  <c r="G4614" i="2"/>
  <c r="H4614" i="2" s="1"/>
  <c r="G4615" i="2"/>
  <c r="H4615" i="2" s="1"/>
  <c r="G4616" i="2"/>
  <c r="H4616" i="2" s="1"/>
  <c r="G4617" i="2"/>
  <c r="H4617" i="2" s="1"/>
  <c r="G4618" i="2"/>
  <c r="H4618" i="2" s="1"/>
  <c r="G4619" i="2"/>
  <c r="H4619" i="2" s="1"/>
  <c r="G4620" i="2"/>
  <c r="H4620" i="2" s="1"/>
  <c r="G4621" i="2"/>
  <c r="H4621" i="2" s="1"/>
  <c r="G4622" i="2"/>
  <c r="H4622" i="2" s="1"/>
  <c r="G4623" i="2"/>
  <c r="H4623" i="2" s="1"/>
  <c r="G4624" i="2"/>
  <c r="H4624" i="2" s="1"/>
  <c r="G4625" i="2"/>
  <c r="H4625" i="2" s="1"/>
  <c r="G4626" i="2"/>
  <c r="H4626" i="2" s="1"/>
  <c r="G4627" i="2"/>
  <c r="G4628" i="2"/>
  <c r="H4628" i="2" s="1"/>
  <c r="G4629" i="2"/>
  <c r="H4629" i="2" s="1"/>
  <c r="G4630" i="2"/>
  <c r="H4630" i="2" s="1"/>
  <c r="G4631" i="2"/>
  <c r="H4631" i="2" s="1"/>
  <c r="G4632" i="2"/>
  <c r="H4632" i="2" s="1"/>
  <c r="G4633" i="2"/>
  <c r="H4633" i="2" s="1"/>
  <c r="G4634" i="2"/>
  <c r="H4634" i="2" s="1"/>
  <c r="G4635" i="2"/>
  <c r="H4635" i="2" s="1"/>
  <c r="G4636" i="2"/>
  <c r="H4636" i="2" s="1"/>
  <c r="G4637" i="2"/>
  <c r="G4638" i="2"/>
  <c r="H4638" i="2" s="1"/>
  <c r="G4639" i="2"/>
  <c r="H4639" i="2" s="1"/>
  <c r="G4640" i="2"/>
  <c r="H4640" i="2" s="1"/>
  <c r="G4641" i="2"/>
  <c r="H4641" i="2" s="1"/>
  <c r="G4642" i="2"/>
  <c r="H4642" i="2" s="1"/>
  <c r="G4643" i="2"/>
  <c r="H4643" i="2" s="1"/>
  <c r="G4644" i="2"/>
  <c r="H4644" i="2" s="1"/>
  <c r="G4645" i="2"/>
  <c r="H4645" i="2" s="1"/>
  <c r="G4646" i="2"/>
  <c r="G4647" i="2"/>
  <c r="H4647" i="2" s="1"/>
  <c r="G4648" i="2"/>
  <c r="H4648" i="2" s="1"/>
  <c r="G4649" i="2"/>
  <c r="H4649" i="2" s="1"/>
  <c r="G4650" i="2"/>
  <c r="H4650" i="2" s="1"/>
  <c r="G4651" i="2"/>
  <c r="H4651" i="2" s="1"/>
  <c r="G4652" i="2"/>
  <c r="H4652" i="2" s="1"/>
  <c r="G4653" i="2"/>
  <c r="H4653" i="2" s="1"/>
  <c r="G4654" i="2"/>
  <c r="H4654" i="2" s="1"/>
  <c r="G4655" i="2"/>
  <c r="H4655" i="2" s="1"/>
  <c r="G4656" i="2"/>
  <c r="G4657" i="2"/>
  <c r="H4657" i="2" s="1"/>
  <c r="G4658" i="2"/>
  <c r="H4658" i="2" s="1"/>
  <c r="G4659" i="2"/>
  <c r="H4659" i="2" s="1"/>
  <c r="G4660" i="2"/>
  <c r="H4660" i="2" s="1"/>
  <c r="G4661" i="2"/>
  <c r="H4661" i="2" s="1"/>
  <c r="G4662" i="2"/>
  <c r="H4662" i="2" s="1"/>
  <c r="G4663" i="2"/>
  <c r="H4663" i="2" s="1"/>
  <c r="G4664" i="2"/>
  <c r="H4664" i="2" s="1"/>
  <c r="G4665" i="2"/>
  <c r="H4665" i="2" s="1"/>
  <c r="G4666" i="2"/>
  <c r="G4667" i="2"/>
  <c r="H4667" i="2" s="1"/>
  <c r="G4668" i="2"/>
  <c r="H4668" i="2" s="1"/>
  <c r="G4669" i="2"/>
  <c r="H4669" i="2" s="1"/>
  <c r="G4670" i="2"/>
  <c r="H4670" i="2" s="1"/>
  <c r="G4671" i="2"/>
  <c r="H4671" i="2" s="1"/>
  <c r="G4672" i="2"/>
  <c r="H4672" i="2" s="1"/>
  <c r="G4673" i="2"/>
  <c r="H4673" i="2" s="1"/>
  <c r="G4674" i="2"/>
  <c r="H4674" i="2" s="1"/>
  <c r="G4675" i="2"/>
  <c r="H4675" i="2" s="1"/>
  <c r="G4676" i="2"/>
  <c r="H4676" i="2" s="1"/>
  <c r="G4677" i="2"/>
  <c r="H4677" i="2" s="1"/>
  <c r="G4678" i="2"/>
  <c r="H4678" i="2" s="1"/>
  <c r="G4679" i="2"/>
  <c r="G4680" i="2"/>
  <c r="H4680" i="2" s="1"/>
  <c r="G4681" i="2"/>
  <c r="H4681" i="2" s="1"/>
  <c r="G4682" i="2"/>
  <c r="H4682" i="2" s="1"/>
  <c r="G4683" i="2"/>
  <c r="H4683" i="2" s="1"/>
  <c r="G4684" i="2"/>
  <c r="H4684" i="2" s="1"/>
  <c r="G4685" i="2"/>
  <c r="H4685" i="2" s="1"/>
  <c r="G4686" i="2"/>
  <c r="H4686" i="2" s="1"/>
  <c r="G4687" i="2"/>
  <c r="H4687" i="2" s="1"/>
  <c r="G4688" i="2"/>
  <c r="H4688" i="2" s="1"/>
  <c r="G4689" i="2"/>
  <c r="H4689" i="2" s="1"/>
  <c r="G4690" i="2"/>
  <c r="H4690" i="2" s="1"/>
  <c r="G4691" i="2"/>
  <c r="H4691" i="2" s="1"/>
  <c r="G4692" i="2"/>
  <c r="G4693" i="2"/>
  <c r="H4693" i="2" s="1"/>
  <c r="G4694" i="2"/>
  <c r="H4694" i="2" s="1"/>
  <c r="G4695" i="2"/>
  <c r="H4695" i="2" s="1"/>
  <c r="G4696" i="2"/>
  <c r="H4696" i="2" s="1"/>
  <c r="G4697" i="2"/>
  <c r="H4697" i="2" s="1"/>
  <c r="G4698" i="2"/>
  <c r="H4698" i="2" s="1"/>
  <c r="G4699" i="2"/>
  <c r="H4699" i="2" s="1"/>
  <c r="G4700" i="2"/>
  <c r="H4700" i="2" s="1"/>
  <c r="G4701" i="2"/>
  <c r="H4701" i="2" s="1"/>
  <c r="G4702" i="2"/>
  <c r="H4702" i="2" s="1"/>
  <c r="G4703" i="2"/>
  <c r="H4703" i="2" s="1"/>
  <c r="G4704" i="2"/>
  <c r="H4704" i="2" s="1"/>
  <c r="G4705" i="2"/>
  <c r="H4705" i="2" s="1"/>
  <c r="G4706" i="2"/>
  <c r="G4707" i="2"/>
  <c r="H4707" i="2" s="1"/>
  <c r="G4708" i="2"/>
  <c r="H4708" i="2" s="1"/>
  <c r="G4709" i="2"/>
  <c r="H4709" i="2" s="1"/>
  <c r="G4710" i="2"/>
  <c r="H4710" i="2" s="1"/>
  <c r="G4711" i="2"/>
  <c r="H4711" i="2" s="1"/>
  <c r="G4712" i="2"/>
  <c r="H4712" i="2" s="1"/>
  <c r="G4713" i="2"/>
  <c r="H4713" i="2" s="1"/>
  <c r="G4714" i="2"/>
  <c r="H4714" i="2" s="1"/>
  <c r="G4715" i="2"/>
  <c r="H4715" i="2" s="1"/>
  <c r="G4716" i="2"/>
  <c r="H4716" i="2" s="1"/>
  <c r="G4717" i="2"/>
  <c r="H4717" i="2" s="1"/>
  <c r="G4718" i="2"/>
  <c r="H4718" i="2" s="1"/>
  <c r="G4719" i="2"/>
  <c r="H4719" i="2" s="1"/>
  <c r="G4720" i="2"/>
  <c r="G4721" i="2"/>
  <c r="H4721" i="2" s="1"/>
  <c r="G4722" i="2"/>
  <c r="H4722" i="2" s="1"/>
  <c r="G4723" i="2"/>
  <c r="H4723" i="2" s="1"/>
  <c r="G4724" i="2"/>
  <c r="H4724" i="2" s="1"/>
  <c r="G4725" i="2"/>
  <c r="H4725" i="2" s="1"/>
  <c r="G4726" i="2"/>
  <c r="H4726" i="2" s="1"/>
  <c r="G4727" i="2"/>
  <c r="H4727" i="2" s="1"/>
  <c r="G4728" i="2"/>
  <c r="H4728" i="2" s="1"/>
  <c r="G4729" i="2"/>
  <c r="H4729" i="2" s="1"/>
  <c r="G4730" i="2"/>
  <c r="H4730" i="2" s="1"/>
  <c r="G4731" i="2"/>
  <c r="H4731" i="2" s="1"/>
  <c r="G4732" i="2"/>
  <c r="H4732" i="2" s="1"/>
  <c r="G4733" i="2"/>
  <c r="G4734" i="2"/>
  <c r="H4734" i="2" s="1"/>
  <c r="G4735" i="2"/>
  <c r="H4735" i="2" s="1"/>
  <c r="G4736" i="2"/>
  <c r="H4736" i="2" s="1"/>
  <c r="G4737" i="2"/>
  <c r="H4737" i="2" s="1"/>
  <c r="G4738" i="2"/>
  <c r="H4738" i="2" s="1"/>
  <c r="G4739" i="2"/>
  <c r="H4739" i="2" s="1"/>
  <c r="G4740" i="2"/>
  <c r="H4740" i="2" s="1"/>
  <c r="G4741" i="2"/>
  <c r="H4741" i="2" s="1"/>
  <c r="G4742" i="2"/>
  <c r="H4742" i="2" s="1"/>
  <c r="G4743" i="2"/>
  <c r="H4743" i="2" s="1"/>
  <c r="G4744" i="2"/>
  <c r="H4744" i="2" s="1"/>
  <c r="G4745" i="2"/>
  <c r="H4745" i="2" s="1"/>
  <c r="G4746" i="2"/>
  <c r="G4747" i="2"/>
  <c r="H4747" i="2" s="1"/>
  <c r="G4748" i="2"/>
  <c r="H4748" i="2" s="1"/>
  <c r="G4749" i="2"/>
  <c r="H4749" i="2" s="1"/>
  <c r="G4750" i="2"/>
  <c r="H4750" i="2" s="1"/>
  <c r="G4751" i="2"/>
  <c r="H4751" i="2" s="1"/>
  <c r="G4752" i="2"/>
  <c r="H4752" i="2" s="1"/>
  <c r="G4753" i="2"/>
  <c r="H4753" i="2" s="1"/>
  <c r="G4754" i="2"/>
  <c r="H4754" i="2" s="1"/>
  <c r="G4755" i="2"/>
  <c r="H4755" i="2" s="1"/>
  <c r="G4756" i="2"/>
  <c r="H4756" i="2" s="1"/>
  <c r="G4757" i="2"/>
  <c r="H4757" i="2" s="1"/>
  <c r="G4758" i="2"/>
  <c r="H4758" i="2" s="1"/>
  <c r="G4759" i="2"/>
  <c r="H4759" i="2" s="1"/>
  <c r="G4760" i="2"/>
  <c r="H4760" i="2" s="1"/>
  <c r="G4761" i="2"/>
  <c r="H4761" i="2" s="1"/>
  <c r="G4762" i="2"/>
  <c r="H4762" i="2" s="1"/>
  <c r="G4763" i="2"/>
  <c r="H4763" i="2" s="1"/>
  <c r="G4764" i="2"/>
  <c r="H4764" i="2" s="1"/>
  <c r="G4765" i="2"/>
  <c r="H4765" i="2" s="1"/>
  <c r="G4766" i="2"/>
  <c r="H4766" i="2" s="1"/>
  <c r="G4767" i="2"/>
  <c r="G4768" i="2"/>
  <c r="H4768" i="2" s="1"/>
  <c r="G4769" i="2"/>
  <c r="H4769" i="2" s="1"/>
  <c r="G4770" i="2"/>
  <c r="H4770" i="2" s="1"/>
  <c r="G4771" i="2"/>
  <c r="H4771" i="2" s="1"/>
  <c r="G4772" i="2"/>
  <c r="H4772" i="2" s="1"/>
  <c r="G4773" i="2"/>
  <c r="H4773" i="2" s="1"/>
  <c r="G4774" i="2"/>
  <c r="H4774" i="2" s="1"/>
  <c r="G4775" i="2"/>
  <c r="H4775" i="2" s="1"/>
  <c r="G4776" i="2"/>
  <c r="H4776" i="2" s="1"/>
  <c r="G4777" i="2"/>
  <c r="H4777" i="2" s="1"/>
  <c r="G4778" i="2"/>
  <c r="H4778" i="2" s="1"/>
  <c r="G4779" i="2"/>
  <c r="H4779" i="2" s="1"/>
  <c r="G4780" i="2"/>
  <c r="G4781" i="2"/>
  <c r="H4781" i="2" s="1"/>
  <c r="G4782" i="2"/>
  <c r="H4782" i="2" s="1"/>
  <c r="G4783" i="2"/>
  <c r="H4783" i="2" s="1"/>
  <c r="G4784" i="2"/>
  <c r="H4784" i="2" s="1"/>
  <c r="G4785" i="2"/>
  <c r="H4785" i="2" s="1"/>
  <c r="G4786" i="2"/>
  <c r="H4786" i="2" s="1"/>
  <c r="G4787" i="2"/>
  <c r="H4787" i="2" s="1"/>
  <c r="G4788" i="2"/>
  <c r="H4788" i="2" s="1"/>
  <c r="G4789" i="2"/>
  <c r="G4790" i="2"/>
  <c r="H4790" i="2" s="1"/>
  <c r="G4791" i="2"/>
  <c r="H4791" i="2" s="1"/>
  <c r="G4792" i="2"/>
  <c r="H4792" i="2" s="1"/>
  <c r="G4793" i="2"/>
  <c r="H4793" i="2" s="1"/>
  <c r="G4794" i="2"/>
  <c r="H4794" i="2" s="1"/>
  <c r="G4795" i="2"/>
  <c r="H4795" i="2" s="1"/>
  <c r="G4796" i="2"/>
  <c r="H4796" i="2" s="1"/>
  <c r="G4797" i="2"/>
  <c r="H4797" i="2" s="1"/>
  <c r="G4798" i="2"/>
  <c r="G4799" i="2"/>
  <c r="H4799" i="2" s="1"/>
  <c r="G4800" i="2"/>
  <c r="H4800" i="2" s="1"/>
  <c r="G4801" i="2"/>
  <c r="H4801" i="2" s="1"/>
  <c r="G4802" i="2"/>
  <c r="H4802" i="2" s="1"/>
  <c r="G4803" i="2"/>
  <c r="H4803" i="2" s="1"/>
  <c r="G4804" i="2"/>
  <c r="H4804" i="2" s="1"/>
  <c r="G4805" i="2"/>
  <c r="H4805" i="2" s="1"/>
  <c r="G4806" i="2"/>
  <c r="H4806" i="2" s="1"/>
  <c r="G4807" i="2"/>
  <c r="G4808" i="2"/>
  <c r="H4808" i="2" s="1"/>
  <c r="G4809" i="2"/>
  <c r="H4809" i="2" s="1"/>
  <c r="G4810" i="2"/>
  <c r="H4810" i="2" s="1"/>
  <c r="G4811" i="2"/>
  <c r="H4811" i="2" s="1"/>
  <c r="G4812" i="2"/>
  <c r="H4812" i="2" s="1"/>
  <c r="G4813" i="2"/>
  <c r="H4813" i="2" s="1"/>
  <c r="G4814" i="2"/>
  <c r="H4814" i="2" s="1"/>
  <c r="G4815" i="2"/>
  <c r="H4815" i="2" s="1"/>
  <c r="G4816" i="2"/>
  <c r="H4816" i="2" s="1"/>
  <c r="G4817" i="2"/>
  <c r="G4818" i="2"/>
  <c r="H4818" i="2" s="1"/>
  <c r="G4819" i="2"/>
  <c r="H4819" i="2" s="1"/>
  <c r="G4820" i="2"/>
  <c r="H4820" i="2" s="1"/>
  <c r="G4821" i="2"/>
  <c r="H4821" i="2" s="1"/>
  <c r="G4822" i="2"/>
  <c r="H4822" i="2" s="1"/>
  <c r="G4823" i="2"/>
  <c r="H4823" i="2" s="1"/>
  <c r="G4824" i="2"/>
  <c r="H4824" i="2" s="1"/>
  <c r="G4825" i="2"/>
  <c r="H4825" i="2" s="1"/>
  <c r="G4826" i="2"/>
  <c r="H4826" i="2" s="1"/>
  <c r="G4827" i="2"/>
  <c r="H4827" i="2" s="1"/>
  <c r="G4828" i="2"/>
  <c r="G4829" i="2"/>
  <c r="H4829" i="2" s="1"/>
  <c r="G4830" i="2"/>
  <c r="H4830" i="2" s="1"/>
  <c r="G4831" i="2"/>
  <c r="H4831" i="2" s="1"/>
  <c r="G4832" i="2"/>
  <c r="H4832" i="2" s="1"/>
  <c r="G4833" i="2"/>
  <c r="H4833" i="2" s="1"/>
  <c r="G4834" i="2"/>
  <c r="H4834" i="2" s="1"/>
  <c r="G4835" i="2"/>
  <c r="H4835" i="2" s="1"/>
  <c r="G4836" i="2"/>
  <c r="H4836" i="2" s="1"/>
  <c r="G4837" i="2"/>
  <c r="G4838" i="2"/>
  <c r="H4838" i="2" s="1"/>
  <c r="G4839" i="2"/>
  <c r="H4839" i="2" s="1"/>
  <c r="G4840" i="2"/>
  <c r="H4840" i="2" s="1"/>
  <c r="G4841" i="2"/>
  <c r="H4841" i="2" s="1"/>
  <c r="G4842" i="2"/>
  <c r="H4842" i="2" s="1"/>
  <c r="G4843" i="2"/>
  <c r="H4843" i="2" s="1"/>
  <c r="G4844" i="2"/>
  <c r="H4844" i="2" s="1"/>
  <c r="G4845" i="2"/>
  <c r="H4845" i="2" s="1"/>
  <c r="G4846" i="2"/>
  <c r="H4846" i="2" s="1"/>
  <c r="G4847" i="2"/>
  <c r="H4847" i="2" s="1"/>
  <c r="G4848" i="2"/>
  <c r="G4849" i="2"/>
  <c r="H4849" i="2" s="1"/>
  <c r="G4850" i="2"/>
  <c r="H4850" i="2" s="1"/>
  <c r="G4851" i="2"/>
  <c r="H4851" i="2" s="1"/>
  <c r="G4852" i="2"/>
  <c r="H4852" i="2" s="1"/>
  <c r="G4853" i="2"/>
  <c r="H4853" i="2" s="1"/>
  <c r="G4854" i="2"/>
  <c r="H4854" i="2" s="1"/>
  <c r="G4855" i="2"/>
  <c r="H4855" i="2" s="1"/>
  <c r="G4856" i="2"/>
  <c r="H4856" i="2" s="1"/>
  <c r="G4857" i="2"/>
  <c r="G4858" i="2"/>
  <c r="H4858" i="2" s="1"/>
  <c r="G4859" i="2"/>
  <c r="H4859" i="2" s="1"/>
  <c r="G4860" i="2"/>
  <c r="H4860" i="2" s="1"/>
  <c r="G4861" i="2"/>
  <c r="H4861" i="2" s="1"/>
  <c r="G4862" i="2"/>
  <c r="H4862" i="2" s="1"/>
  <c r="G4863" i="2"/>
  <c r="H4863" i="2" s="1"/>
  <c r="G4864" i="2"/>
  <c r="H4864" i="2" s="1"/>
  <c r="G4865" i="2"/>
  <c r="H4865" i="2" s="1"/>
  <c r="G4866" i="2"/>
  <c r="G4867" i="2"/>
  <c r="H4867" i="2" s="1"/>
  <c r="G4868" i="2"/>
  <c r="H4868" i="2" s="1"/>
  <c r="G4869" i="2"/>
  <c r="H4869" i="2" s="1"/>
  <c r="G4870" i="2"/>
  <c r="H4870" i="2" s="1"/>
  <c r="G4871" i="2"/>
  <c r="H4871" i="2" s="1"/>
  <c r="G4872" i="2"/>
  <c r="H4872" i="2" s="1"/>
  <c r="G4873" i="2"/>
  <c r="H4873" i="2" s="1"/>
  <c r="G4874" i="2"/>
  <c r="H4874" i="2" s="1"/>
  <c r="G4875" i="2"/>
  <c r="G4876" i="2"/>
  <c r="H4876" i="2" s="1"/>
  <c r="G4877" i="2"/>
  <c r="H4877" i="2" s="1"/>
  <c r="G4878" i="2"/>
  <c r="H4878" i="2" s="1"/>
  <c r="G4879" i="2"/>
  <c r="H4879" i="2" s="1"/>
  <c r="G4880" i="2"/>
  <c r="H4880" i="2" s="1"/>
  <c r="G4881" i="2"/>
  <c r="H4881" i="2" s="1"/>
  <c r="G4882" i="2"/>
  <c r="H4882" i="2" s="1"/>
  <c r="G4883" i="2"/>
  <c r="H4883" i="2" s="1"/>
  <c r="G4884" i="2"/>
  <c r="G4885" i="2"/>
  <c r="H4885" i="2" s="1"/>
  <c r="G4886" i="2"/>
  <c r="H4886" i="2" s="1"/>
  <c r="G4887" i="2"/>
  <c r="H4887" i="2" s="1"/>
  <c r="G4888" i="2"/>
  <c r="H4888" i="2" s="1"/>
  <c r="G4889" i="2"/>
  <c r="H4889" i="2" s="1"/>
  <c r="G4890" i="2"/>
  <c r="H4890" i="2" s="1"/>
  <c r="G4891" i="2"/>
  <c r="H4891" i="2" s="1"/>
  <c r="G4892" i="2"/>
  <c r="H4892" i="2" s="1"/>
  <c r="G4893" i="2"/>
  <c r="G4894" i="2"/>
  <c r="H4894" i="2" s="1"/>
  <c r="G4895" i="2"/>
  <c r="H4895" i="2" s="1"/>
  <c r="G4896" i="2"/>
  <c r="H4896" i="2" s="1"/>
  <c r="G4897" i="2"/>
  <c r="H4897" i="2" s="1"/>
  <c r="G4898" i="2"/>
  <c r="H4898" i="2" s="1"/>
  <c r="G4899" i="2"/>
  <c r="H4899" i="2" s="1"/>
  <c r="G4900" i="2"/>
  <c r="H4900" i="2" s="1"/>
  <c r="G4901" i="2"/>
  <c r="H4901" i="2" s="1"/>
  <c r="G4902" i="2"/>
  <c r="G4903" i="2"/>
  <c r="H4903" i="2" s="1"/>
  <c r="G4904" i="2"/>
  <c r="H4904" i="2" s="1"/>
  <c r="G4905" i="2"/>
  <c r="H4905" i="2" s="1"/>
  <c r="G4906" i="2"/>
  <c r="H4906" i="2" s="1"/>
  <c r="G4907" i="2"/>
  <c r="H4907" i="2" s="1"/>
  <c r="G4908" i="2"/>
  <c r="H4908" i="2" s="1"/>
  <c r="G4909" i="2"/>
  <c r="H4909" i="2" s="1"/>
  <c r="G4910" i="2"/>
  <c r="H4910" i="2" s="1"/>
  <c r="G4911" i="2"/>
  <c r="G4912" i="2"/>
  <c r="H4912" i="2" s="1"/>
  <c r="G4913" i="2"/>
  <c r="H4913" i="2" s="1"/>
  <c r="G4914" i="2"/>
  <c r="H4914" i="2" s="1"/>
  <c r="G4915" i="2"/>
  <c r="H4915" i="2" s="1"/>
  <c r="G4916" i="2"/>
  <c r="H4916" i="2" s="1"/>
  <c r="G4917" i="2"/>
  <c r="H4917" i="2" s="1"/>
  <c r="G4918" i="2"/>
  <c r="H4918" i="2" s="1"/>
  <c r="G4919" i="2"/>
  <c r="H4919" i="2" s="1"/>
  <c r="G4920" i="2"/>
  <c r="G4921" i="2"/>
  <c r="H4921" i="2" s="1"/>
  <c r="G4922" i="2"/>
  <c r="H4922" i="2" s="1"/>
  <c r="G4923" i="2"/>
  <c r="H4923" i="2" s="1"/>
  <c r="G4924" i="2"/>
  <c r="H4924" i="2" s="1"/>
  <c r="G4925" i="2"/>
  <c r="H4925" i="2" s="1"/>
  <c r="G4926" i="2"/>
  <c r="H4926" i="2" s="1"/>
  <c r="G4927" i="2"/>
  <c r="H4927" i="2" s="1"/>
  <c r="G4928" i="2"/>
  <c r="H4928" i="2" s="1"/>
  <c r="G4929" i="2"/>
  <c r="H4929" i="2" s="1"/>
  <c r="G4930" i="2"/>
  <c r="H4930" i="2" s="1"/>
  <c r="G4931" i="2"/>
  <c r="G4932" i="2"/>
  <c r="H4932" i="2" s="1"/>
  <c r="G4933" i="2"/>
  <c r="H4933" i="2" s="1"/>
  <c r="G4934" i="2"/>
  <c r="H4934" i="2" s="1"/>
  <c r="G4935" i="2"/>
  <c r="H4935" i="2" s="1"/>
  <c r="G4936" i="2"/>
  <c r="H4936" i="2" s="1"/>
  <c r="G4937" i="2"/>
  <c r="H4937" i="2" s="1"/>
  <c r="G4938" i="2"/>
  <c r="H4938" i="2" s="1"/>
  <c r="G4939" i="2"/>
  <c r="H4939" i="2" s="1"/>
  <c r="G4940" i="2"/>
  <c r="H4940" i="2" s="1"/>
  <c r="G4941" i="2"/>
  <c r="H4941" i="2" s="1"/>
  <c r="G4942" i="2"/>
  <c r="H4942" i="2" s="1"/>
  <c r="G4943" i="2"/>
  <c r="G4944" i="2"/>
  <c r="H4944" i="2" s="1"/>
  <c r="G4945" i="2"/>
  <c r="H4945" i="2" s="1"/>
  <c r="G4946" i="2"/>
  <c r="H4946" i="2" s="1"/>
  <c r="G4947" i="2"/>
  <c r="H4947" i="2" s="1"/>
  <c r="G4948" i="2"/>
  <c r="H4948" i="2" s="1"/>
  <c r="G4949" i="2"/>
  <c r="H4949" i="2" s="1"/>
  <c r="G4950" i="2"/>
  <c r="H4950" i="2" s="1"/>
  <c r="G4951" i="2"/>
  <c r="H4951" i="2" s="1"/>
  <c r="G4952" i="2"/>
  <c r="G4953" i="2"/>
  <c r="H4953" i="2" s="1"/>
  <c r="G4954" i="2"/>
  <c r="H4954" i="2" s="1"/>
  <c r="G4955" i="2"/>
  <c r="H4955" i="2" s="1"/>
  <c r="G4956" i="2"/>
  <c r="H4956" i="2" s="1"/>
  <c r="G4957" i="2"/>
  <c r="H4957" i="2" s="1"/>
  <c r="G4958" i="2"/>
  <c r="H4958" i="2" s="1"/>
  <c r="G4959" i="2"/>
  <c r="H4959" i="2" s="1"/>
  <c r="G4960" i="2"/>
  <c r="H4960" i="2" s="1"/>
  <c r="G4961" i="2"/>
  <c r="G4962" i="2"/>
  <c r="H4962" i="2" s="1"/>
  <c r="G4963" i="2"/>
  <c r="H4963" i="2" s="1"/>
  <c r="G4964" i="2"/>
  <c r="H4964" i="2" s="1"/>
  <c r="G4965" i="2"/>
  <c r="H4965" i="2" s="1"/>
  <c r="G4966" i="2"/>
  <c r="H4966" i="2" s="1"/>
  <c r="G4967" i="2"/>
  <c r="H4967" i="2" s="1"/>
  <c r="G4968" i="2"/>
  <c r="H4968" i="2" s="1"/>
  <c r="G4969" i="2"/>
  <c r="H4969" i="2" s="1"/>
  <c r="G4970" i="2"/>
  <c r="G4971" i="2"/>
  <c r="H4971" i="2" s="1"/>
  <c r="G4972" i="2"/>
  <c r="H4972" i="2" s="1"/>
  <c r="G4973" i="2"/>
  <c r="H4973" i="2" s="1"/>
  <c r="G4974" i="2"/>
  <c r="H4974" i="2" s="1"/>
  <c r="G4975" i="2"/>
  <c r="H4975" i="2" s="1"/>
  <c r="G4976" i="2"/>
  <c r="H4976" i="2" s="1"/>
  <c r="G4977" i="2"/>
  <c r="H4977" i="2" s="1"/>
  <c r="G4978" i="2"/>
  <c r="H4978" i="2" s="1"/>
  <c r="G4979" i="2"/>
  <c r="G4980" i="2"/>
  <c r="H4980" i="2" s="1"/>
  <c r="G4981" i="2"/>
  <c r="H4981" i="2" s="1"/>
  <c r="G4982" i="2"/>
  <c r="H4982" i="2" s="1"/>
  <c r="G4983" i="2"/>
  <c r="H4983" i="2" s="1"/>
  <c r="G4984" i="2"/>
  <c r="H4984" i="2" s="1"/>
  <c r="G4985" i="2"/>
  <c r="H4985" i="2" s="1"/>
  <c r="G4986" i="2"/>
  <c r="H4986" i="2" s="1"/>
  <c r="G4987" i="2"/>
  <c r="H4987" i="2" s="1"/>
  <c r="G4988" i="2"/>
  <c r="H4988" i="2" s="1"/>
  <c r="G4989" i="2"/>
  <c r="G4990" i="2"/>
  <c r="H4990" i="2" s="1"/>
  <c r="G4991" i="2"/>
  <c r="H4991" i="2" s="1"/>
  <c r="G4992" i="2"/>
  <c r="H4992" i="2" s="1"/>
  <c r="G4993" i="2"/>
  <c r="H4993" i="2" s="1"/>
  <c r="G4994" i="2"/>
  <c r="H4994" i="2" s="1"/>
  <c r="G4995" i="2"/>
  <c r="H4995" i="2" s="1"/>
  <c r="G4996" i="2"/>
  <c r="H4996" i="2" s="1"/>
  <c r="G4997" i="2"/>
  <c r="G4998" i="2"/>
  <c r="H4998" i="2" s="1"/>
  <c r="G4999" i="2"/>
  <c r="H4999" i="2" s="1"/>
  <c r="G5000" i="2"/>
  <c r="H5000" i="2" s="1"/>
  <c r="G5001" i="2"/>
  <c r="H5001" i="2" s="1"/>
  <c r="G5002" i="2"/>
  <c r="H5002" i="2" s="1"/>
  <c r="G5003" i="2"/>
  <c r="H5003" i="2" s="1"/>
  <c r="G5004" i="2"/>
  <c r="H5004" i="2" s="1"/>
  <c r="G5005" i="2"/>
  <c r="H5005" i="2" s="1"/>
  <c r="G5006" i="2"/>
  <c r="H5006" i="2" s="1"/>
  <c r="G5007" i="2"/>
  <c r="G5008" i="2"/>
  <c r="H5008" i="2" s="1"/>
  <c r="G5009" i="2"/>
  <c r="H5009" i="2" s="1"/>
  <c r="G5010" i="2"/>
  <c r="H5010" i="2" s="1"/>
  <c r="G5011" i="2"/>
  <c r="H5011" i="2" s="1"/>
  <c r="G5012" i="2"/>
  <c r="H5012" i="2" s="1"/>
  <c r="G5013" i="2"/>
  <c r="H5013" i="2" s="1"/>
  <c r="G5014" i="2"/>
  <c r="H5014" i="2" s="1"/>
  <c r="G5015" i="2"/>
  <c r="H5015" i="2" s="1"/>
  <c r="G5016" i="2"/>
  <c r="G5017" i="2"/>
  <c r="H5017" i="2" s="1"/>
  <c r="G5018" i="2"/>
  <c r="H5018" i="2" s="1"/>
  <c r="G5019" i="2"/>
  <c r="H5019" i="2" s="1"/>
  <c r="G5020" i="2"/>
  <c r="H5020" i="2" s="1"/>
  <c r="G5021" i="2"/>
  <c r="H5021" i="2" s="1"/>
  <c r="G5022" i="2"/>
  <c r="H5022" i="2" s="1"/>
  <c r="G5023" i="2"/>
  <c r="H5023" i="2" s="1"/>
  <c r="G5024" i="2"/>
  <c r="H5024" i="2" s="1"/>
  <c r="G5025" i="2"/>
  <c r="G5026" i="2"/>
  <c r="H5026" i="2" s="1"/>
  <c r="G5027" i="2"/>
  <c r="H5027" i="2" s="1"/>
  <c r="G5028" i="2"/>
  <c r="H5028" i="2" s="1"/>
  <c r="G5029" i="2"/>
  <c r="H5029" i="2" s="1"/>
  <c r="G5030" i="2"/>
  <c r="H5030" i="2" s="1"/>
  <c r="G5031" i="2"/>
  <c r="H5031" i="2" s="1"/>
  <c r="G5032" i="2"/>
  <c r="H5032" i="2" s="1"/>
  <c r="G5033" i="2"/>
  <c r="H5033" i="2" s="1"/>
  <c r="G5034" i="2"/>
  <c r="G5035" i="2"/>
  <c r="H5035" i="2" s="1"/>
  <c r="G5036" i="2"/>
  <c r="H5036" i="2" s="1"/>
  <c r="G5037" i="2"/>
  <c r="H5037" i="2" s="1"/>
  <c r="G5038" i="2"/>
  <c r="H5038" i="2" s="1"/>
  <c r="G5039" i="2"/>
  <c r="H5039" i="2" s="1"/>
  <c r="G5040" i="2"/>
  <c r="H5040" i="2" s="1"/>
  <c r="G5041" i="2"/>
  <c r="H5041" i="2" s="1"/>
  <c r="G5042" i="2"/>
  <c r="G5043" i="2"/>
  <c r="H5043" i="2" s="1"/>
  <c r="G5044" i="2"/>
  <c r="H5044" i="2" s="1"/>
  <c r="G5045" i="2"/>
  <c r="H5045" i="2" s="1"/>
  <c r="G5046" i="2"/>
  <c r="H5046" i="2" s="1"/>
  <c r="G5047" i="2"/>
  <c r="H5047" i="2" s="1"/>
  <c r="G5048" i="2"/>
  <c r="H5048" i="2" s="1"/>
  <c r="G5049" i="2"/>
  <c r="H5049" i="2" s="1"/>
  <c r="G5050" i="2"/>
  <c r="G5051" i="2"/>
  <c r="H5051" i="2" s="1"/>
  <c r="G5052" i="2"/>
  <c r="H5052" i="2" s="1"/>
  <c r="G5053" i="2"/>
  <c r="H5053" i="2" s="1"/>
  <c r="G5054" i="2"/>
  <c r="H5054" i="2" s="1"/>
  <c r="G5055" i="2"/>
  <c r="H5055" i="2" s="1"/>
  <c r="G5056" i="2"/>
  <c r="H5056" i="2" s="1"/>
  <c r="G5057" i="2"/>
  <c r="H5057" i="2" s="1"/>
  <c r="G5058" i="2"/>
  <c r="H5058" i="2" s="1"/>
  <c r="G5059" i="2"/>
  <c r="H5059" i="2" s="1"/>
  <c r="G5060" i="2"/>
  <c r="H5060" i="2" s="1"/>
  <c r="G5061" i="2"/>
  <c r="H5061" i="2" s="1"/>
  <c r="G5062" i="2"/>
  <c r="H5062" i="2" s="1"/>
  <c r="G5063" i="2"/>
  <c r="H5063" i="2" s="1"/>
  <c r="G5064" i="2"/>
  <c r="H5064" i="2" s="1"/>
  <c r="G5065" i="2"/>
  <c r="H5065" i="2" s="1"/>
  <c r="G5066" i="2"/>
  <c r="H5066" i="2" s="1"/>
  <c r="G5067" i="2"/>
  <c r="H5067" i="2" s="1"/>
  <c r="G5068" i="2"/>
  <c r="H5068" i="2" s="1"/>
  <c r="G5069" i="2"/>
  <c r="H5069" i="2" s="1"/>
  <c r="G5070" i="2"/>
  <c r="H5070" i="2" s="1"/>
  <c r="G5071" i="2"/>
  <c r="H5071" i="2" s="1"/>
  <c r="G5072" i="2"/>
  <c r="H5072" i="2" s="1"/>
  <c r="G5073" i="2"/>
  <c r="G5074" i="2"/>
  <c r="H5074" i="2" s="1"/>
  <c r="G5075" i="2"/>
  <c r="H5075" i="2" s="1"/>
  <c r="G5076" i="2"/>
  <c r="H5076" i="2" s="1"/>
  <c r="G5077" i="2"/>
  <c r="H5077" i="2" s="1"/>
  <c r="G5078" i="2"/>
  <c r="H5078" i="2" s="1"/>
  <c r="G5079" i="2"/>
  <c r="H5079" i="2" s="1"/>
  <c r="G5080" i="2"/>
  <c r="H5080" i="2" s="1"/>
  <c r="G5081" i="2"/>
  <c r="H5081" i="2" s="1"/>
  <c r="G5082" i="2"/>
  <c r="H5082" i="2" s="1"/>
  <c r="G5083" i="2"/>
  <c r="H5083" i="2" s="1"/>
  <c r="G5084" i="2"/>
  <c r="H5084" i="2" s="1"/>
  <c r="G5085" i="2"/>
  <c r="H5085" i="2" s="1"/>
  <c r="G5086" i="2"/>
  <c r="H5086" i="2" s="1"/>
  <c r="G5087" i="2"/>
  <c r="H5087" i="2" s="1"/>
  <c r="G5088" i="2"/>
  <c r="H5088" i="2" s="1"/>
  <c r="G5089" i="2"/>
  <c r="H5089" i="2" s="1"/>
  <c r="G5090" i="2"/>
  <c r="H5090" i="2" s="1"/>
  <c r="G5091" i="2"/>
  <c r="H5091" i="2" s="1"/>
  <c r="G5092" i="2"/>
  <c r="H5092" i="2" s="1"/>
  <c r="G5093" i="2"/>
  <c r="H5093" i="2" s="1"/>
  <c r="G5094" i="2"/>
  <c r="G5095" i="2"/>
  <c r="H5095" i="2" s="1"/>
  <c r="G5096" i="2"/>
  <c r="H5096" i="2" s="1"/>
  <c r="G5097" i="2"/>
  <c r="H5097" i="2" s="1"/>
  <c r="G5098" i="2"/>
  <c r="H5098" i="2" s="1"/>
  <c r="G5099" i="2"/>
  <c r="H5099" i="2" s="1"/>
  <c r="G5100" i="2"/>
  <c r="H5100" i="2" s="1"/>
  <c r="G5101" i="2"/>
  <c r="H5101" i="2" s="1"/>
  <c r="G5102" i="2"/>
  <c r="H5102" i="2" s="1"/>
  <c r="G5103" i="2"/>
  <c r="H5103" i="2" s="1"/>
  <c r="G5104" i="2"/>
  <c r="H5104" i="2" s="1"/>
  <c r="G5105" i="2"/>
  <c r="H5105" i="2" s="1"/>
  <c r="G5106" i="2"/>
  <c r="H5106" i="2" s="1"/>
  <c r="G5107" i="2"/>
  <c r="H5107" i="2" s="1"/>
  <c r="G5108" i="2"/>
  <c r="H5108" i="2" s="1"/>
  <c r="G5109" i="2"/>
  <c r="H5109" i="2" s="1"/>
  <c r="G5110" i="2"/>
  <c r="G5111" i="2"/>
  <c r="H5111" i="2" s="1"/>
  <c r="G5112" i="2"/>
  <c r="H5112" i="2" s="1"/>
  <c r="G5113" i="2"/>
  <c r="H5113" i="2" s="1"/>
  <c r="G5114" i="2"/>
  <c r="H5114" i="2" s="1"/>
  <c r="G5115" i="2"/>
  <c r="H5115" i="2" s="1"/>
  <c r="G5116" i="2"/>
  <c r="H5116" i="2" s="1"/>
  <c r="G5117" i="2"/>
  <c r="H5117" i="2" s="1"/>
  <c r="G5118" i="2"/>
  <c r="H5118" i="2" s="1"/>
  <c r="G5119" i="2"/>
  <c r="H5119" i="2" s="1"/>
  <c r="G5120" i="2"/>
  <c r="H5120" i="2" s="1"/>
  <c r="G5121" i="2"/>
  <c r="H5121" i="2" s="1"/>
  <c r="G5122" i="2"/>
  <c r="H5122" i="2" s="1"/>
  <c r="G5123" i="2"/>
  <c r="H5123" i="2" s="1"/>
  <c r="G5124" i="2"/>
  <c r="H5124" i="2" s="1"/>
  <c r="G5125" i="2"/>
  <c r="H5125" i="2" s="1"/>
  <c r="G5126" i="2"/>
  <c r="H5126" i="2" s="1"/>
  <c r="G5127" i="2"/>
  <c r="G5128" i="2"/>
  <c r="H5128" i="2" s="1"/>
  <c r="G5129" i="2"/>
  <c r="H5129" i="2" s="1"/>
  <c r="G5130" i="2"/>
  <c r="H5130" i="2" s="1"/>
  <c r="G5131" i="2"/>
  <c r="H5131" i="2" s="1"/>
  <c r="G5132" i="2"/>
  <c r="H5132" i="2" s="1"/>
  <c r="G5133" i="2"/>
  <c r="H5133" i="2" s="1"/>
  <c r="G5134" i="2"/>
  <c r="H5134" i="2" s="1"/>
  <c r="G5135" i="2"/>
  <c r="H5135" i="2" s="1"/>
  <c r="G5136" i="2"/>
  <c r="H5136" i="2" s="1"/>
  <c r="G5137" i="2"/>
  <c r="H5137" i="2" s="1"/>
  <c r="G5138" i="2"/>
  <c r="H5138" i="2" s="1"/>
  <c r="G5139" i="2"/>
  <c r="H5139" i="2" s="1"/>
  <c r="G5140" i="2"/>
  <c r="H5140" i="2" s="1"/>
  <c r="G5141" i="2"/>
  <c r="H5141" i="2" s="1"/>
  <c r="G5142" i="2"/>
  <c r="H5142" i="2" s="1"/>
  <c r="G5143" i="2"/>
  <c r="H5143" i="2" s="1"/>
  <c r="G5144" i="2"/>
  <c r="H5144" i="2" s="1"/>
  <c r="G5145" i="2"/>
  <c r="H5145" i="2" s="1"/>
  <c r="G5146" i="2"/>
  <c r="H5146" i="2" s="1"/>
  <c r="G5147" i="2"/>
  <c r="H5147" i="2" s="1"/>
  <c r="G5148" i="2"/>
  <c r="G5149" i="2"/>
  <c r="H5149" i="2" s="1"/>
  <c r="G5150" i="2"/>
  <c r="H5150" i="2" s="1"/>
  <c r="G5151" i="2"/>
  <c r="H5151" i="2" s="1"/>
  <c r="G5152" i="2"/>
  <c r="H5152" i="2" s="1"/>
  <c r="G5153" i="2"/>
  <c r="H5153" i="2" s="1"/>
  <c r="G5154" i="2"/>
  <c r="H5154" i="2" s="1"/>
  <c r="G5155" i="2"/>
  <c r="H5155" i="2" s="1"/>
  <c r="G5156" i="2"/>
  <c r="H5156" i="2" s="1"/>
  <c r="G5157" i="2"/>
  <c r="H5157" i="2" s="1"/>
  <c r="G5158" i="2"/>
  <c r="H5158" i="2" s="1"/>
  <c r="G5159" i="2"/>
  <c r="H5159" i="2" s="1"/>
  <c r="G5160" i="2"/>
  <c r="H5160" i="2" s="1"/>
  <c r="G5161" i="2"/>
  <c r="H5161" i="2" s="1"/>
  <c r="G5162" i="2"/>
  <c r="H5162" i="2" s="1"/>
  <c r="G5163" i="2"/>
  <c r="H5163" i="2" s="1"/>
  <c r="G5164" i="2"/>
  <c r="H5164" i="2" s="1"/>
  <c r="G5165" i="2"/>
  <c r="H5165" i="2" s="1"/>
  <c r="G5166" i="2"/>
  <c r="H5166" i="2" s="1"/>
  <c r="G5167" i="2"/>
  <c r="H5167" i="2" s="1"/>
  <c r="G5168" i="2"/>
  <c r="G5169" i="2"/>
  <c r="H5169" i="2" s="1"/>
  <c r="G5170" i="2"/>
  <c r="H5170" i="2" s="1"/>
  <c r="G5171" i="2"/>
  <c r="H5171" i="2" s="1"/>
  <c r="G5172" i="2"/>
  <c r="H5172" i="2" s="1"/>
  <c r="G5173" i="2"/>
  <c r="H5173" i="2" s="1"/>
  <c r="G5174" i="2"/>
  <c r="H5174" i="2" s="1"/>
  <c r="G5175" i="2"/>
  <c r="H5175" i="2" s="1"/>
  <c r="G5176" i="2"/>
  <c r="H5176" i="2" s="1"/>
  <c r="G5177" i="2"/>
  <c r="G5178" i="2"/>
  <c r="H5178" i="2" s="1"/>
  <c r="G5179" i="2"/>
  <c r="H5179" i="2" s="1"/>
  <c r="G5180" i="2"/>
  <c r="H5180" i="2" s="1"/>
  <c r="G5181" i="2"/>
  <c r="H5181" i="2" s="1"/>
  <c r="G5182" i="2"/>
  <c r="H5182" i="2" s="1"/>
  <c r="G5183" i="2"/>
  <c r="H5183" i="2" s="1"/>
  <c r="G5184" i="2"/>
  <c r="H5184" i="2" s="1"/>
  <c r="G5185" i="2"/>
  <c r="H5185" i="2" s="1"/>
  <c r="G5186" i="2"/>
  <c r="H5186" i="2" s="1"/>
  <c r="G5187" i="2"/>
  <c r="H5187" i="2" s="1"/>
  <c r="G5188" i="2"/>
  <c r="G5189" i="2"/>
  <c r="H5189" i="2" s="1"/>
  <c r="G5190" i="2"/>
  <c r="H5190" i="2" s="1"/>
  <c r="G5191" i="2"/>
  <c r="H5191" i="2" s="1"/>
  <c r="G5192" i="2"/>
  <c r="H5192" i="2" s="1"/>
  <c r="G5193" i="2"/>
  <c r="H5193" i="2" s="1"/>
  <c r="G5194" i="2"/>
  <c r="H5194" i="2" s="1"/>
  <c r="G5195" i="2"/>
  <c r="H5195" i="2" s="1"/>
  <c r="G5196" i="2"/>
  <c r="H5196" i="2" s="1"/>
  <c r="G5197" i="2"/>
  <c r="H5197" i="2" s="1"/>
  <c r="G5198" i="2"/>
  <c r="H5198" i="2" s="1"/>
  <c r="G5199" i="2"/>
  <c r="G5200" i="2"/>
  <c r="H5200" i="2" s="1"/>
  <c r="G5201" i="2"/>
  <c r="H5201" i="2" s="1"/>
  <c r="G5202" i="2"/>
  <c r="H5202" i="2" s="1"/>
  <c r="G5203" i="2"/>
  <c r="H5203" i="2" s="1"/>
  <c r="G5204" i="2"/>
  <c r="H5204" i="2" s="1"/>
  <c r="G5205" i="2"/>
  <c r="H5205" i="2" s="1"/>
  <c r="G5206" i="2"/>
  <c r="G5207" i="2"/>
  <c r="H5207" i="2" s="1"/>
  <c r="G5208" i="2"/>
  <c r="H5208" i="2" s="1"/>
  <c r="G5209" i="2"/>
  <c r="H5209" i="2" s="1"/>
  <c r="G5210" i="2"/>
  <c r="H5210" i="2" s="1"/>
  <c r="G5211" i="2"/>
  <c r="H5211" i="2" s="1"/>
  <c r="G5212" i="2"/>
  <c r="H5212" i="2" s="1"/>
  <c r="G5213" i="2"/>
  <c r="G5214" i="2"/>
  <c r="H5214" i="2" s="1"/>
  <c r="G5215" i="2"/>
  <c r="H5215" i="2" s="1"/>
  <c r="G5216" i="2"/>
  <c r="H5216" i="2" s="1"/>
  <c r="G5217" i="2"/>
  <c r="H5217" i="2" s="1"/>
  <c r="G5218" i="2"/>
  <c r="H5218" i="2" s="1"/>
  <c r="G5219" i="2"/>
  <c r="H5219" i="2" s="1"/>
  <c r="G5220" i="2"/>
  <c r="H5220" i="2" s="1"/>
  <c r="G5221" i="2"/>
  <c r="H5221" i="2" s="1"/>
  <c r="G5222" i="2"/>
  <c r="H5222" i="2" s="1"/>
  <c r="G5223" i="2"/>
  <c r="G5224" i="2"/>
  <c r="H5224" i="2" s="1"/>
  <c r="G5225" i="2"/>
  <c r="H5225" i="2" s="1"/>
  <c r="G5226" i="2"/>
  <c r="H5226" i="2" s="1"/>
  <c r="G5227" i="2"/>
  <c r="H5227" i="2" s="1"/>
  <c r="G5228" i="2"/>
  <c r="H5228" i="2" s="1"/>
  <c r="G5229" i="2"/>
  <c r="H5229" i="2" s="1"/>
  <c r="G5230" i="2"/>
  <c r="H5230" i="2" s="1"/>
  <c r="G5231" i="2"/>
  <c r="H5231" i="2" s="1"/>
  <c r="G5232" i="2"/>
  <c r="H5232" i="2" s="1"/>
  <c r="G5233" i="2"/>
  <c r="G5234" i="2"/>
  <c r="H5234" i="2" s="1"/>
  <c r="G5235" i="2"/>
  <c r="H5235" i="2" s="1"/>
  <c r="G5236" i="2"/>
  <c r="H5236" i="2" s="1"/>
  <c r="G5237" i="2"/>
  <c r="H5237" i="2" s="1"/>
  <c r="G5238" i="2"/>
  <c r="H5238" i="2" s="1"/>
  <c r="G5239" i="2"/>
  <c r="H5239" i="2" s="1"/>
  <c r="G5240" i="2"/>
  <c r="H5240" i="2" s="1"/>
  <c r="G5241" i="2"/>
  <c r="H5241" i="2" s="1"/>
  <c r="G5242" i="2"/>
  <c r="G5243" i="2"/>
  <c r="H5243" i="2" s="1"/>
  <c r="G5244" i="2"/>
  <c r="H5244" i="2" s="1"/>
  <c r="G5245" i="2"/>
  <c r="H5245" i="2" s="1"/>
  <c r="G5246" i="2"/>
  <c r="H5246" i="2" s="1"/>
  <c r="G5247" i="2"/>
  <c r="H5247" i="2" s="1"/>
  <c r="G5248" i="2"/>
  <c r="H5248" i="2" s="1"/>
  <c r="G5249" i="2"/>
  <c r="H5249" i="2" s="1"/>
  <c r="G5250" i="2"/>
  <c r="H5250" i="2" s="1"/>
  <c r="G5251" i="2"/>
  <c r="H5251" i="2" s="1"/>
  <c r="G5252" i="2"/>
  <c r="G5253" i="2"/>
  <c r="H5253" i="2" s="1"/>
  <c r="G5254" i="2"/>
  <c r="G5255" i="2"/>
  <c r="H5255" i="2" s="1"/>
  <c r="G5256" i="2"/>
  <c r="G5257" i="2"/>
  <c r="H5257" i="2" s="1"/>
  <c r="G5258" i="2"/>
  <c r="H5258" i="2" s="1"/>
  <c r="G5259" i="2"/>
  <c r="H5259" i="2" s="1"/>
  <c r="G5260" i="2"/>
  <c r="H5260" i="2" s="1"/>
  <c r="G5261" i="2"/>
  <c r="H5261" i="2" s="1"/>
  <c r="G5262" i="2"/>
  <c r="H5262" i="2" s="1"/>
  <c r="G5263" i="2"/>
  <c r="H5263" i="2" s="1"/>
  <c r="G5264" i="2"/>
  <c r="G5265" i="2"/>
  <c r="H5265" i="2" s="1"/>
  <c r="G5266" i="2"/>
  <c r="H5266" i="2" s="1"/>
  <c r="G5267" i="2"/>
  <c r="H5267" i="2" s="1"/>
  <c r="G5268" i="2"/>
  <c r="H5268" i="2" s="1"/>
  <c r="G5269" i="2"/>
  <c r="H5269" i="2" s="1"/>
  <c r="G5270" i="2"/>
  <c r="H5270" i="2" s="1"/>
  <c r="G5271" i="2"/>
  <c r="H5271" i="2" s="1"/>
  <c r="G5272" i="2"/>
  <c r="H5272" i="2" s="1"/>
  <c r="G5273" i="2"/>
  <c r="G5274" i="2"/>
  <c r="H5274" i="2" s="1"/>
  <c r="G5275" i="2"/>
  <c r="H5275" i="2" s="1"/>
  <c r="G5276" i="2"/>
  <c r="H5276" i="2" s="1"/>
  <c r="G5277" i="2"/>
  <c r="H5277" i="2" s="1"/>
  <c r="G5278" i="2"/>
  <c r="H5278" i="2" s="1"/>
  <c r="G5279" i="2"/>
  <c r="H5279" i="2" s="1"/>
  <c r="G5280" i="2"/>
  <c r="H5280" i="2" s="1"/>
  <c r="G5281" i="2"/>
  <c r="H5281" i="2" s="1"/>
  <c r="G5282" i="2"/>
  <c r="H5282" i="2" s="1"/>
  <c r="G5283" i="2"/>
  <c r="H5283" i="2" s="1"/>
  <c r="G5284" i="2"/>
  <c r="H5284" i="2" s="1"/>
  <c r="G5285" i="2"/>
  <c r="H5285" i="2" s="1"/>
  <c r="G5286" i="2"/>
  <c r="G5287" i="2"/>
  <c r="H5287" i="2" s="1"/>
  <c r="G5288" i="2"/>
  <c r="H5288" i="2" s="1"/>
  <c r="G5289" i="2"/>
  <c r="H5289" i="2" s="1"/>
  <c r="G5290" i="2"/>
  <c r="H5290" i="2" s="1"/>
  <c r="G5291" i="2"/>
  <c r="H5291" i="2" s="1"/>
  <c r="G5292" i="2"/>
  <c r="H5292" i="2" s="1"/>
  <c r="G5293" i="2"/>
  <c r="H5293" i="2" s="1"/>
  <c r="G5294" i="2"/>
  <c r="H5294" i="2" s="1"/>
  <c r="G5295" i="2"/>
  <c r="H5295" i="2" s="1"/>
  <c r="G5296" i="2"/>
  <c r="H5296" i="2" s="1"/>
  <c r="G5297" i="2"/>
  <c r="H5297" i="2" s="1"/>
  <c r="G5298" i="2"/>
  <c r="H5298" i="2" s="1"/>
  <c r="G5299" i="2"/>
  <c r="H5299" i="2" s="1"/>
  <c r="G5300" i="2"/>
  <c r="G5301" i="2"/>
  <c r="H5301" i="2" s="1"/>
  <c r="G5302" i="2"/>
  <c r="H5302" i="2" s="1"/>
  <c r="G5303" i="2"/>
  <c r="H5303" i="2" s="1"/>
  <c r="G5304" i="2"/>
  <c r="H5304" i="2" s="1"/>
  <c r="G5305" i="2"/>
  <c r="H5305" i="2" s="1"/>
  <c r="G5306" i="2"/>
  <c r="H5306" i="2" s="1"/>
  <c r="G5307" i="2"/>
  <c r="H5307" i="2" s="1"/>
  <c r="G5308" i="2"/>
  <c r="H5308" i="2" s="1"/>
  <c r="G5309" i="2"/>
  <c r="H5309" i="2" s="1"/>
  <c r="G5310" i="2"/>
  <c r="H5310" i="2" s="1"/>
  <c r="G5311" i="2"/>
  <c r="H5311" i="2" s="1"/>
  <c r="G5312" i="2"/>
  <c r="G5313" i="2"/>
  <c r="H5313" i="2" s="1"/>
  <c r="G5314" i="2"/>
  <c r="H5314" i="2" s="1"/>
  <c r="G5315" i="2"/>
  <c r="H5315" i="2" s="1"/>
  <c r="G5316" i="2"/>
  <c r="H5316" i="2" s="1"/>
  <c r="G5317" i="2"/>
  <c r="H5317" i="2" s="1"/>
  <c r="G5318" i="2"/>
  <c r="G5319" i="2"/>
  <c r="H5319" i="2" s="1"/>
  <c r="G5320" i="2"/>
  <c r="H5320" i="2" s="1"/>
  <c r="G5321" i="2"/>
  <c r="H5321" i="2" s="1"/>
  <c r="G5322" i="2"/>
  <c r="H5322" i="2" s="1"/>
  <c r="G5323" i="2"/>
  <c r="H5323" i="2" s="1"/>
  <c r="G5324" i="2"/>
  <c r="H5324" i="2" s="1"/>
  <c r="G5325" i="2"/>
  <c r="H5325" i="2" s="1"/>
  <c r="G5326" i="2"/>
  <c r="H5326" i="2" s="1"/>
  <c r="G5327" i="2"/>
  <c r="H5327" i="2" s="1"/>
  <c r="G5328" i="2"/>
  <c r="H5328" i="2" s="1"/>
  <c r="G5329" i="2"/>
  <c r="H5329" i="2" s="1"/>
  <c r="G5330" i="2"/>
  <c r="H5330" i="2" s="1"/>
  <c r="G5331" i="2"/>
  <c r="G5332" i="2"/>
  <c r="H5332" i="2" s="1"/>
  <c r="G5333" i="2"/>
  <c r="H5333" i="2" s="1"/>
  <c r="G5334" i="2"/>
  <c r="H5334" i="2" s="1"/>
  <c r="G5335" i="2"/>
  <c r="H5335" i="2" s="1"/>
  <c r="G5336" i="2"/>
  <c r="H5336" i="2" s="1"/>
  <c r="G5337" i="2"/>
  <c r="H5337" i="2" s="1"/>
  <c r="G5338" i="2"/>
  <c r="H5338" i="2" s="1"/>
  <c r="G5339" i="2"/>
  <c r="H5339" i="2" s="1"/>
  <c r="G5340" i="2"/>
  <c r="H5340" i="2" s="1"/>
  <c r="G5341" i="2"/>
  <c r="H5341" i="2" s="1"/>
  <c r="G5342" i="2"/>
  <c r="H5342" i="2" s="1"/>
  <c r="G5343" i="2"/>
  <c r="H5343" i="2" s="1"/>
  <c r="G5344" i="2"/>
  <c r="H5344" i="2" s="1"/>
  <c r="G5345" i="2"/>
  <c r="H5345" i="2" s="1"/>
  <c r="G5346" i="2"/>
  <c r="H5346" i="2" s="1"/>
  <c r="G5347" i="2"/>
  <c r="H5347" i="2" s="1"/>
  <c r="G5348" i="2"/>
  <c r="H5348" i="2" s="1"/>
  <c r="G5349" i="2"/>
  <c r="G5350" i="2"/>
  <c r="H5350" i="2" s="1"/>
  <c r="G5351" i="2"/>
  <c r="H5351" i="2" s="1"/>
  <c r="G5352" i="2"/>
  <c r="H5352" i="2" s="1"/>
  <c r="G5353" i="2"/>
  <c r="H5353" i="2" s="1"/>
  <c r="G5354" i="2"/>
  <c r="H5354" i="2" s="1"/>
  <c r="G5355" i="2"/>
  <c r="H5355" i="2" s="1"/>
  <c r="G5356" i="2"/>
  <c r="H5356" i="2" s="1"/>
  <c r="G5357" i="2"/>
  <c r="G5358" i="2"/>
  <c r="H5358" i="2" s="1"/>
  <c r="G5359" i="2"/>
  <c r="H5359" i="2" s="1"/>
  <c r="G5360" i="2"/>
  <c r="H5360" i="2" s="1"/>
  <c r="G5361" i="2"/>
  <c r="H5361" i="2" s="1"/>
  <c r="G5362" i="2"/>
  <c r="H5362" i="2" s="1"/>
  <c r="G5363" i="2"/>
  <c r="H5363" i="2" s="1"/>
  <c r="G5364" i="2"/>
  <c r="H5364" i="2" s="1"/>
  <c r="G5365" i="2"/>
  <c r="H5365" i="2" s="1"/>
  <c r="G5366" i="2"/>
  <c r="G5367" i="2"/>
  <c r="H5367" i="2" s="1"/>
  <c r="G5368" i="2"/>
  <c r="H5368" i="2" s="1"/>
  <c r="G5369" i="2"/>
  <c r="H5369" i="2" s="1"/>
  <c r="G5370" i="2"/>
  <c r="H5370" i="2" s="1"/>
  <c r="G5371" i="2"/>
  <c r="H5371" i="2" s="1"/>
  <c r="G5372" i="2"/>
  <c r="H5372" i="2" s="1"/>
  <c r="G5373" i="2"/>
  <c r="H5373" i="2" s="1"/>
  <c r="G5374" i="2"/>
  <c r="G5375" i="2"/>
  <c r="H5375" i="2" s="1"/>
  <c r="G5376" i="2"/>
  <c r="H5376" i="2" s="1"/>
  <c r="G5377" i="2"/>
  <c r="H5377" i="2" s="1"/>
  <c r="G5378" i="2"/>
  <c r="H5378" i="2" s="1"/>
  <c r="G5379" i="2"/>
  <c r="H5379" i="2" s="1"/>
  <c r="G5380" i="2"/>
  <c r="H5380" i="2" s="1"/>
  <c r="G5381" i="2"/>
  <c r="H5381" i="2" s="1"/>
  <c r="G5382" i="2"/>
  <c r="H5382" i="2" s="1"/>
  <c r="G5383" i="2"/>
  <c r="G5384" i="2"/>
  <c r="H5384" i="2" s="1"/>
  <c r="G5385" i="2"/>
  <c r="H5385" i="2" s="1"/>
  <c r="G5386" i="2"/>
  <c r="H5386" i="2" s="1"/>
  <c r="G5387" i="2"/>
  <c r="H5387" i="2" s="1"/>
  <c r="G5388" i="2"/>
  <c r="H5388" i="2" s="1"/>
  <c r="G5389" i="2"/>
  <c r="H5389" i="2" s="1"/>
  <c r="G5390" i="2"/>
  <c r="H5390" i="2" s="1"/>
  <c r="G5391" i="2"/>
  <c r="H5391" i="2" s="1"/>
  <c r="G5392" i="2"/>
  <c r="H5392" i="2" s="1"/>
  <c r="G5393" i="2"/>
  <c r="H5393" i="2" s="1"/>
  <c r="G5394" i="2"/>
  <c r="G5395" i="2"/>
  <c r="H5395" i="2" s="1"/>
  <c r="G5396" i="2"/>
  <c r="H5396" i="2" s="1"/>
  <c r="G5397" i="2"/>
  <c r="H5397" i="2" s="1"/>
  <c r="G5398" i="2"/>
  <c r="H5398" i="2" s="1"/>
  <c r="G5399" i="2"/>
  <c r="H5399" i="2" s="1"/>
  <c r="G5400" i="2"/>
  <c r="H5400" i="2" s="1"/>
  <c r="G5401" i="2"/>
  <c r="H5401" i="2" s="1"/>
  <c r="G5402" i="2"/>
  <c r="H5402" i="2" s="1"/>
  <c r="G5403" i="2"/>
  <c r="H5403" i="2" s="1"/>
  <c r="G5404" i="2"/>
  <c r="H5404" i="2" s="1"/>
  <c r="G5405" i="2"/>
  <c r="H5405" i="2" s="1"/>
  <c r="G5406" i="2"/>
  <c r="H5406" i="2" s="1"/>
  <c r="G5407" i="2"/>
  <c r="G5408" i="2"/>
  <c r="H5408" i="2" s="1"/>
  <c r="G5409" i="2"/>
  <c r="H5409" i="2" s="1"/>
  <c r="G5410" i="2"/>
  <c r="H5410" i="2" s="1"/>
  <c r="G5411" i="2"/>
  <c r="H5411" i="2" s="1"/>
  <c r="G5412" i="2"/>
  <c r="H5412" i="2" s="1"/>
  <c r="G5413" i="2"/>
  <c r="H5413" i="2" s="1"/>
  <c r="G5414" i="2"/>
  <c r="G5415" i="2"/>
  <c r="H5415" i="2" s="1"/>
  <c r="G5416" i="2"/>
  <c r="H5416" i="2" s="1"/>
  <c r="G5417" i="2"/>
  <c r="H5417" i="2" s="1"/>
  <c r="G5418" i="2"/>
  <c r="H5418" i="2" s="1"/>
  <c r="G5419" i="2"/>
  <c r="H5419" i="2" s="1"/>
  <c r="G5420" i="2"/>
  <c r="H5420" i="2" s="1"/>
  <c r="G5421" i="2"/>
  <c r="H5421" i="2" s="1"/>
  <c r="G5422" i="2"/>
  <c r="H5422" i="2" s="1"/>
  <c r="G5423" i="2"/>
  <c r="H5423" i="2" s="1"/>
  <c r="G5424" i="2"/>
  <c r="H5424" i="2" s="1"/>
  <c r="G5425" i="2"/>
  <c r="H5425" i="2" s="1"/>
  <c r="G5426" i="2"/>
  <c r="H5426" i="2" s="1"/>
  <c r="G5427" i="2"/>
  <c r="G5428" i="2"/>
  <c r="H5428" i="2" s="1"/>
  <c r="G5429" i="2"/>
  <c r="H5429" i="2" s="1"/>
  <c r="G5430" i="2"/>
  <c r="H5430" i="2" s="1"/>
  <c r="G5431" i="2"/>
  <c r="H5431" i="2" s="1"/>
  <c r="G5432" i="2"/>
  <c r="H5432" i="2" s="1"/>
  <c r="G5433" i="2"/>
  <c r="H5433" i="2" s="1"/>
  <c r="G5434" i="2"/>
  <c r="H5434" i="2" s="1"/>
  <c r="G5435" i="2"/>
  <c r="H5435" i="2" s="1"/>
  <c r="G5436" i="2"/>
  <c r="H5436" i="2" s="1"/>
  <c r="G5437" i="2"/>
  <c r="H5437" i="2" s="1"/>
  <c r="G5438" i="2"/>
  <c r="H5438" i="2" s="1"/>
  <c r="G5439" i="2"/>
  <c r="H5439" i="2" s="1"/>
  <c r="G5440" i="2"/>
  <c r="H5440" i="2" s="1"/>
  <c r="G5441" i="2"/>
  <c r="H5441" i="2" s="1"/>
  <c r="G5442" i="2"/>
  <c r="H5442" i="2" s="1"/>
  <c r="G5443" i="2"/>
  <c r="H5443" i="2" s="1"/>
  <c r="G5444" i="2"/>
  <c r="H5444" i="2" s="1"/>
  <c r="G5445" i="2"/>
  <c r="H5445" i="2" s="1"/>
  <c r="G5446" i="2"/>
  <c r="H5446" i="2" s="1"/>
  <c r="G5447" i="2"/>
  <c r="H5447" i="2" s="1"/>
  <c r="G5448" i="2"/>
  <c r="H5448" i="2" s="1"/>
  <c r="G5449" i="2"/>
  <c r="H5449" i="2" s="1"/>
  <c r="G5450" i="2"/>
  <c r="H5450" i="2" s="1"/>
  <c r="G5451" i="2"/>
  <c r="H5451" i="2" s="1"/>
  <c r="G5452" i="2"/>
  <c r="H5452" i="2" s="1"/>
  <c r="G5453" i="2"/>
  <c r="H5453" i="2" s="1"/>
  <c r="G5454" i="2"/>
  <c r="H5454" i="2" s="1"/>
  <c r="G5455" i="2"/>
  <c r="H5455" i="2" s="1"/>
  <c r="G5456" i="2"/>
  <c r="H5456" i="2" s="1"/>
  <c r="G5457" i="2"/>
  <c r="H5457" i="2" s="1"/>
  <c r="G5458" i="2"/>
  <c r="H5458" i="2" s="1"/>
  <c r="G5459" i="2"/>
  <c r="H5459" i="2" s="1"/>
  <c r="G5460" i="2"/>
  <c r="H5460" i="2" s="1"/>
  <c r="G5461" i="2"/>
  <c r="H5461" i="2" s="1"/>
  <c r="G5462" i="2"/>
  <c r="H5462" i="2" s="1"/>
  <c r="G5463" i="2"/>
  <c r="H5463" i="2" s="1"/>
  <c r="G5464" i="2"/>
  <c r="H5464" i="2" s="1"/>
  <c r="G5465" i="2"/>
  <c r="H5465" i="2" s="1"/>
  <c r="G5466" i="2"/>
  <c r="H5466" i="2" s="1"/>
  <c r="G5467" i="2"/>
  <c r="H5467" i="2" s="1"/>
  <c r="G5468" i="2"/>
  <c r="H5468" i="2" s="1"/>
  <c r="G5469" i="2"/>
  <c r="H5469" i="2" s="1"/>
  <c r="G5470" i="2"/>
  <c r="H5470" i="2" s="1"/>
  <c r="G5471" i="2"/>
  <c r="H5471" i="2" s="1"/>
  <c r="G5472" i="2"/>
  <c r="H5472" i="2" s="1"/>
  <c r="G5473" i="2"/>
  <c r="H5473" i="2" s="1"/>
  <c r="G5474" i="2"/>
  <c r="H5474" i="2" s="1"/>
  <c r="G5475" i="2"/>
  <c r="H5475" i="2" s="1"/>
  <c r="G5476" i="2"/>
  <c r="H5476" i="2" s="1"/>
  <c r="G5477" i="2"/>
  <c r="G5478" i="2"/>
  <c r="H5478" i="2" s="1"/>
  <c r="G5479" i="2"/>
  <c r="H5479" i="2" s="1"/>
  <c r="G5480" i="2"/>
  <c r="G5481" i="2"/>
  <c r="G5482" i="2"/>
  <c r="H5482" i="2" s="1"/>
  <c r="G5483" i="2"/>
  <c r="G5484" i="2"/>
  <c r="G5485" i="2"/>
  <c r="H5485" i="2" s="1"/>
  <c r="G5486" i="2"/>
  <c r="G5487" i="2"/>
  <c r="H5487" i="2" s="1"/>
  <c r="G5488" i="2"/>
  <c r="H5488" i="2" s="1"/>
  <c r="G5489" i="2"/>
  <c r="H5489" i="2" s="1"/>
  <c r="G5490" i="2"/>
  <c r="H5490" i="2" s="1"/>
  <c r="G5491" i="2"/>
  <c r="H5491" i="2" s="1"/>
  <c r="G5492" i="2"/>
  <c r="H5492" i="2" s="1"/>
  <c r="G5493" i="2"/>
  <c r="H5493" i="2" s="1"/>
  <c r="G5494" i="2"/>
  <c r="H5494" i="2" s="1"/>
  <c r="G5495" i="2"/>
  <c r="H5495" i="2" s="1"/>
  <c r="G5496" i="2"/>
  <c r="H5496" i="2" s="1"/>
  <c r="G5497" i="2"/>
  <c r="H5497" i="2" s="1"/>
  <c r="G5498" i="2"/>
  <c r="G5499" i="2"/>
  <c r="H5499" i="2" s="1"/>
  <c r="G5500" i="2"/>
  <c r="H5500" i="2" s="1"/>
  <c r="G5501" i="2"/>
  <c r="G5502" i="2"/>
  <c r="G5503" i="2"/>
  <c r="G5504" i="2"/>
  <c r="G5505" i="2"/>
  <c r="G5506" i="2"/>
  <c r="G5507" i="2"/>
  <c r="G5508" i="2"/>
  <c r="G5509" i="2"/>
  <c r="G5510" i="2"/>
  <c r="G5511" i="2"/>
  <c r="G5512" i="2"/>
  <c r="G5513" i="2"/>
  <c r="H5513" i="2" s="1"/>
  <c r="G5514" i="2"/>
  <c r="H5514" i="2" s="1"/>
  <c r="G5515" i="2"/>
  <c r="H5515" i="2" s="1"/>
  <c r="G5516" i="2"/>
  <c r="H5516" i="2" s="1"/>
  <c r="G5517" i="2"/>
  <c r="H5517" i="2" s="1"/>
  <c r="G5518" i="2"/>
  <c r="H5518" i="2" s="1"/>
  <c r="G5519" i="2"/>
  <c r="H5519" i="2" s="1"/>
  <c r="G5520" i="2"/>
  <c r="H5520" i="2" s="1"/>
  <c r="G5521" i="2"/>
  <c r="H5521" i="2" s="1"/>
  <c r="G5522" i="2"/>
  <c r="H5522" i="2" s="1"/>
  <c r="G5523" i="2"/>
  <c r="H5523" i="2" s="1"/>
  <c r="G5524" i="2"/>
  <c r="H5524" i="2" s="1"/>
  <c r="G5525" i="2"/>
  <c r="H5525" i="2" s="1"/>
  <c r="G5526" i="2"/>
  <c r="H5526" i="2" s="1"/>
  <c r="G5527" i="2"/>
  <c r="H5527" i="2" s="1"/>
  <c r="G5528" i="2"/>
  <c r="H5528" i="2" s="1"/>
  <c r="G5529" i="2"/>
  <c r="H5529" i="2" s="1"/>
  <c r="G5530" i="2"/>
  <c r="H5530" i="2" s="1"/>
  <c r="G5531" i="2"/>
  <c r="H5531" i="2" s="1"/>
  <c r="G5532" i="2"/>
  <c r="H5532" i="2" s="1"/>
  <c r="G5533" i="2"/>
  <c r="H5533" i="2" s="1"/>
  <c r="G5534" i="2"/>
  <c r="H5534" i="2" s="1"/>
  <c r="G5535" i="2"/>
  <c r="H5535" i="2" s="1"/>
  <c r="G5536" i="2"/>
  <c r="H5536" i="2" s="1"/>
  <c r="G5537" i="2"/>
  <c r="H5537" i="2" s="1"/>
  <c r="G5538" i="2"/>
  <c r="H5538" i="2" s="1"/>
  <c r="G5539" i="2"/>
  <c r="H5539" i="2" s="1"/>
  <c r="G5540" i="2"/>
  <c r="H5540" i="2" s="1"/>
  <c r="G5541" i="2"/>
  <c r="G5542" i="2"/>
  <c r="H5542" i="2" s="1"/>
  <c r="G5543" i="2"/>
  <c r="H5543" i="2" s="1"/>
  <c r="G5544" i="2"/>
  <c r="H5544" i="2" s="1"/>
  <c r="G5545" i="2"/>
  <c r="H5545" i="2" s="1"/>
  <c r="G5546" i="2"/>
  <c r="H5546" i="2" s="1"/>
  <c r="G5547" i="2"/>
  <c r="H5547" i="2" s="1"/>
  <c r="G5548" i="2"/>
  <c r="H5548" i="2" s="1"/>
  <c r="G5549" i="2"/>
  <c r="H5549" i="2" s="1"/>
  <c r="G5550" i="2"/>
  <c r="H5550" i="2" s="1"/>
  <c r="G5551" i="2"/>
  <c r="G5552" i="2"/>
  <c r="H5552" i="2" s="1"/>
  <c r="G5553" i="2"/>
  <c r="H5553" i="2" s="1"/>
  <c r="G5554" i="2"/>
  <c r="H5554" i="2" s="1"/>
  <c r="G5555" i="2"/>
  <c r="H5555" i="2" s="1"/>
  <c r="G5556" i="2"/>
  <c r="H5556" i="2" s="1"/>
  <c r="G5557" i="2"/>
  <c r="H5557" i="2" s="1"/>
  <c r="G5558" i="2"/>
  <c r="H5558" i="2" s="1"/>
  <c r="G5559" i="2"/>
  <c r="H5559" i="2" s="1"/>
  <c r="G5560" i="2"/>
  <c r="H5560" i="2" s="1"/>
  <c r="G5561" i="2"/>
  <c r="H5561" i="2" s="1"/>
  <c r="G5562" i="2"/>
  <c r="H5562" i="2" s="1"/>
  <c r="G5563" i="2"/>
  <c r="H5563" i="2" s="1"/>
  <c r="G5564" i="2"/>
  <c r="G5565" i="2"/>
  <c r="H5565" i="2" s="1"/>
  <c r="G5566" i="2"/>
  <c r="H5566" i="2" s="1"/>
  <c r="G5567" i="2"/>
  <c r="H5567" i="2" s="1"/>
  <c r="G5568" i="2"/>
  <c r="H5568" i="2" s="1"/>
  <c r="G5569" i="2"/>
  <c r="H5569" i="2" s="1"/>
  <c r="G5570" i="2"/>
  <c r="G5571" i="2"/>
  <c r="G5572" i="2"/>
  <c r="H5572" i="2" s="1"/>
  <c r="G5573" i="2"/>
  <c r="G5574" i="2"/>
  <c r="H5574" i="2" s="1"/>
  <c r="G5575" i="2"/>
  <c r="G5576" i="2"/>
  <c r="H5576" i="2" s="1"/>
  <c r="G5577" i="2"/>
  <c r="G5578" i="2"/>
  <c r="G5579" i="2"/>
  <c r="G5580" i="2"/>
  <c r="G5581" i="2"/>
  <c r="G5582" i="2"/>
  <c r="G5583" i="2"/>
  <c r="G5584" i="2"/>
  <c r="G5585" i="2"/>
  <c r="G5586" i="2"/>
  <c r="G5587" i="2"/>
  <c r="G5588" i="2"/>
  <c r="H5588" i="2" s="1"/>
  <c r="G5589" i="2"/>
  <c r="G5590" i="2"/>
  <c r="H5590" i="2" s="1"/>
  <c r="G5591" i="2"/>
  <c r="H5591" i="2" s="1"/>
  <c r="G5592" i="2"/>
  <c r="G5593" i="2"/>
  <c r="H5593" i="2" s="1"/>
  <c r="G5594" i="2"/>
  <c r="H5594" i="2" s="1"/>
  <c r="G5595" i="2"/>
  <c r="H5595" i="2" s="1"/>
  <c r="G5596" i="2"/>
  <c r="G5597" i="2"/>
  <c r="H5597" i="2" s="1"/>
  <c r="G5598" i="2"/>
  <c r="H5598" i="2" s="1"/>
  <c r="G5599" i="2"/>
  <c r="H5599" i="2" s="1"/>
  <c r="G5600" i="2"/>
  <c r="G5601" i="2"/>
  <c r="H5601" i="2" s="1"/>
  <c r="G5602" i="2"/>
  <c r="H5602" i="2" s="1"/>
  <c r="G5603" i="2"/>
  <c r="H5603" i="2" s="1"/>
  <c r="G5604" i="2"/>
  <c r="G5605" i="2"/>
  <c r="H5605" i="2" s="1"/>
  <c r="G5606" i="2"/>
  <c r="G5607" i="2"/>
  <c r="H5607" i="2" s="1"/>
  <c r="G5608" i="2"/>
  <c r="H5608" i="2" s="1"/>
  <c r="G5609" i="2"/>
  <c r="H5609" i="2" s="1"/>
  <c r="G5610" i="2"/>
  <c r="H5610" i="2" s="1"/>
  <c r="G5611" i="2"/>
  <c r="G5612" i="2"/>
  <c r="H5612" i="2" s="1"/>
  <c r="G5613" i="2"/>
  <c r="H5613" i="2" s="1"/>
  <c r="G5614" i="2"/>
  <c r="H5614" i="2" s="1"/>
  <c r="G5615" i="2"/>
  <c r="H5615" i="2" s="1"/>
  <c r="G5616" i="2"/>
  <c r="H5616" i="2" s="1"/>
  <c r="G5617" i="2"/>
  <c r="H5617" i="2" s="1"/>
  <c r="G5618" i="2"/>
  <c r="H5618" i="2" s="1"/>
  <c r="G5619" i="2"/>
  <c r="H5619" i="2" s="1"/>
  <c r="G5620" i="2"/>
  <c r="H5620" i="2" s="1"/>
  <c r="G5621" i="2"/>
  <c r="H5621" i="2" s="1"/>
  <c r="G5622" i="2"/>
  <c r="H5622" i="2" s="1"/>
  <c r="G5623" i="2"/>
  <c r="H5623" i="2" s="1"/>
  <c r="G5624" i="2"/>
  <c r="H5624" i="2" s="1"/>
  <c r="G5625" i="2"/>
  <c r="H5625" i="2" s="1"/>
  <c r="G5626" i="2"/>
  <c r="H5626" i="2" s="1"/>
  <c r="G5627" i="2"/>
  <c r="H5627" i="2" s="1"/>
  <c r="G5628" i="2"/>
  <c r="H5628" i="2" s="1"/>
  <c r="G5629" i="2"/>
  <c r="H5629" i="2" s="1"/>
  <c r="G5630" i="2"/>
  <c r="H5630" i="2" s="1"/>
  <c r="G5631" i="2"/>
  <c r="H5631" i="2" s="1"/>
  <c r="G5632" i="2"/>
  <c r="H5632" i="2" s="1"/>
  <c r="G5633" i="2"/>
  <c r="H5633" i="2" s="1"/>
  <c r="G5634" i="2"/>
  <c r="H5634" i="2" s="1"/>
  <c r="G5635" i="2"/>
  <c r="H5635" i="2" s="1"/>
  <c r="G5636" i="2"/>
  <c r="H5636" i="2" s="1"/>
  <c r="G5637" i="2"/>
  <c r="H5637" i="2" s="1"/>
  <c r="G5638" i="2"/>
  <c r="H5638" i="2" s="1"/>
  <c r="G5639" i="2"/>
  <c r="H5639" i="2" s="1"/>
  <c r="G5640" i="2"/>
  <c r="H5640" i="2" s="1"/>
  <c r="G5641" i="2"/>
  <c r="H5641" i="2" s="1"/>
  <c r="G5642" i="2"/>
  <c r="H5642" i="2" s="1"/>
  <c r="G5643" i="2"/>
  <c r="H5643" i="2" s="1"/>
  <c r="G5644" i="2"/>
  <c r="H5644" i="2" s="1"/>
  <c r="G5645" i="2"/>
  <c r="H5645" i="2" s="1"/>
  <c r="G5646" i="2"/>
  <c r="H5646" i="2" s="1"/>
  <c r="G5647" i="2"/>
  <c r="H5647" i="2" s="1"/>
  <c r="G5648" i="2"/>
  <c r="H5648" i="2" s="1"/>
  <c r="G5649" i="2"/>
  <c r="H5649" i="2" s="1"/>
  <c r="G5650" i="2"/>
  <c r="H5650" i="2" s="1"/>
  <c r="G5651" i="2"/>
  <c r="H5651" i="2" s="1"/>
  <c r="G5652" i="2"/>
  <c r="H5652" i="2" s="1"/>
  <c r="G5653" i="2"/>
  <c r="H5653" i="2" s="1"/>
  <c r="G5654" i="2"/>
  <c r="H5654" i="2" s="1"/>
  <c r="G5655" i="2"/>
  <c r="H5655" i="2" s="1"/>
  <c r="G5656" i="2"/>
  <c r="H5656" i="2" s="1"/>
  <c r="G5657" i="2"/>
  <c r="H5657" i="2" s="1"/>
  <c r="G5658" i="2"/>
  <c r="H5658" i="2" s="1"/>
  <c r="G5659" i="2"/>
  <c r="H5659" i="2" s="1"/>
  <c r="G5660" i="2"/>
  <c r="H5660" i="2" s="1"/>
  <c r="G5661" i="2"/>
  <c r="H5661" i="2" s="1"/>
  <c r="G5662" i="2"/>
  <c r="H5662" i="2" s="1"/>
  <c r="G5663" i="2"/>
  <c r="H5663" i="2" s="1"/>
  <c r="G5664" i="2"/>
  <c r="H5664" i="2" s="1"/>
  <c r="G5665" i="2"/>
  <c r="H5665" i="2" s="1"/>
  <c r="G5666" i="2"/>
  <c r="H5666" i="2" s="1"/>
  <c r="G5667" i="2"/>
  <c r="H5667" i="2" s="1"/>
  <c r="G5668" i="2"/>
  <c r="H5668" i="2" s="1"/>
  <c r="G5669" i="2"/>
  <c r="H5669" i="2" s="1"/>
  <c r="G5670" i="2"/>
  <c r="H5670" i="2" s="1"/>
  <c r="G5671" i="2"/>
  <c r="H5671" i="2" s="1"/>
  <c r="G5672" i="2"/>
  <c r="H5672" i="2" s="1"/>
  <c r="G5673" i="2"/>
  <c r="H5673" i="2" s="1"/>
  <c r="G5674" i="2"/>
  <c r="H5674" i="2" s="1"/>
  <c r="G5675" i="2"/>
  <c r="H5675" i="2" s="1"/>
  <c r="G5676" i="2"/>
  <c r="H5676" i="2" s="1"/>
  <c r="G5677" i="2"/>
  <c r="H5677" i="2" s="1"/>
  <c r="G5678" i="2"/>
  <c r="H5678" i="2" s="1"/>
  <c r="G5679" i="2"/>
  <c r="H5679" i="2" s="1"/>
  <c r="G5680" i="2"/>
  <c r="H5680" i="2" s="1"/>
  <c r="G5681" i="2"/>
  <c r="H5681" i="2" s="1"/>
  <c r="G5682" i="2"/>
  <c r="H5682" i="2" s="1"/>
  <c r="G5683" i="2"/>
  <c r="H5683" i="2" s="1"/>
  <c r="G5684" i="2"/>
  <c r="H5684" i="2" s="1"/>
  <c r="G5685" i="2"/>
  <c r="H5685" i="2" s="1"/>
  <c r="G5686" i="2"/>
  <c r="H5686" i="2" s="1"/>
  <c r="G5687" i="2"/>
  <c r="H5687" i="2" s="1"/>
  <c r="G5688" i="2"/>
  <c r="H5688" i="2" s="1"/>
  <c r="G5689" i="2"/>
  <c r="H5689" i="2" s="1"/>
  <c r="G5690" i="2"/>
  <c r="H5690" i="2" s="1"/>
  <c r="G5691" i="2"/>
  <c r="H5691" i="2" s="1"/>
  <c r="G5692" i="2"/>
  <c r="H5692" i="2" s="1"/>
  <c r="G5693" i="2"/>
  <c r="H5693" i="2" s="1"/>
  <c r="G5694" i="2"/>
  <c r="H5694" i="2" s="1"/>
  <c r="G5695" i="2"/>
  <c r="H5695" i="2" s="1"/>
  <c r="G5696" i="2"/>
  <c r="H5696" i="2" s="1"/>
  <c r="G5697" i="2"/>
  <c r="H5697" i="2" s="1"/>
  <c r="G5698" i="2"/>
  <c r="H5698" i="2" s="1"/>
  <c r="G5699" i="2"/>
  <c r="H5699" i="2" s="1"/>
  <c r="G5700" i="2"/>
  <c r="H5700" i="2" s="1"/>
  <c r="G5701" i="2"/>
  <c r="H5701" i="2" s="1"/>
  <c r="G5702" i="2"/>
  <c r="G5703" i="2"/>
  <c r="G5704" i="2"/>
  <c r="G5705" i="2"/>
  <c r="H5705" i="2" s="1"/>
  <c r="G5706" i="2"/>
  <c r="H5706" i="2" s="1"/>
  <c r="G5707" i="2"/>
  <c r="H5707" i="2" s="1"/>
  <c r="G5708" i="2"/>
  <c r="H5708" i="2" s="1"/>
  <c r="G5709" i="2"/>
  <c r="H5709" i="2" s="1"/>
  <c r="G5710" i="2"/>
  <c r="H5710" i="2" s="1"/>
  <c r="G5711" i="2"/>
  <c r="H5711" i="2" s="1"/>
  <c r="G5712" i="2"/>
  <c r="H5712" i="2" s="1"/>
  <c r="G5713" i="2"/>
  <c r="G5714" i="2"/>
  <c r="H5714" i="2" s="1"/>
  <c r="G5715" i="2"/>
  <c r="H5715" i="2" s="1"/>
  <c r="G5716" i="2"/>
  <c r="H5716" i="2" s="1"/>
  <c r="G5717" i="2"/>
  <c r="H5717" i="2" s="1"/>
  <c r="G5718" i="2"/>
  <c r="H5718" i="2" s="1"/>
  <c r="G5719" i="2"/>
  <c r="H5719" i="2" s="1"/>
  <c r="G5720" i="2"/>
  <c r="H5720" i="2" s="1"/>
  <c r="G5721" i="2"/>
  <c r="H5721" i="2" s="1"/>
  <c r="G5722" i="2"/>
  <c r="H5722" i="2" s="1"/>
  <c r="G5723" i="2"/>
  <c r="H5723" i="2" s="1"/>
  <c r="G5724" i="2"/>
  <c r="H5724" i="2" s="1"/>
  <c r="G5725" i="2"/>
  <c r="H5725" i="2" s="1"/>
  <c r="G5726" i="2"/>
  <c r="G5727" i="2"/>
  <c r="G5728" i="2"/>
  <c r="H5728" i="2" s="1"/>
  <c r="G5729" i="2"/>
  <c r="H5729" i="2" s="1"/>
  <c r="G5730" i="2"/>
  <c r="H5730" i="2" s="1"/>
  <c r="G5731" i="2"/>
  <c r="H5731" i="2" s="1"/>
  <c r="G5732" i="2"/>
  <c r="H5732" i="2" s="1"/>
  <c r="G5733" i="2"/>
  <c r="H5733" i="2" s="1"/>
  <c r="G5734" i="2"/>
  <c r="H5734" i="2" s="1"/>
  <c r="G5735" i="2"/>
  <c r="H5735" i="2" s="1"/>
  <c r="G5736" i="2"/>
  <c r="H5736" i="2" s="1"/>
  <c r="G5737" i="2"/>
  <c r="H5737" i="2" s="1"/>
  <c r="G5738" i="2"/>
  <c r="H5738" i="2" s="1"/>
  <c r="G5739" i="2"/>
  <c r="H5739" i="2" s="1"/>
  <c r="G5740" i="2"/>
  <c r="H5740" i="2" s="1"/>
  <c r="G5741" i="2"/>
  <c r="G5742" i="2"/>
  <c r="H5742" i="2" s="1"/>
  <c r="G5743" i="2"/>
  <c r="H5743" i="2" s="1"/>
  <c r="G5744" i="2"/>
  <c r="H5744" i="2" s="1"/>
  <c r="G5745" i="2"/>
  <c r="H5745" i="2" s="1"/>
  <c r="G5746" i="2"/>
  <c r="H5746" i="2" s="1"/>
  <c r="G5747" i="2"/>
  <c r="H5747" i="2" s="1"/>
  <c r="G5748" i="2"/>
  <c r="H5748" i="2" s="1"/>
  <c r="G5749" i="2"/>
  <c r="H5749" i="2" s="1"/>
  <c r="G5750" i="2"/>
  <c r="H5750" i="2" s="1"/>
  <c r="G5751" i="2"/>
  <c r="H5751" i="2" s="1"/>
  <c r="G5752" i="2"/>
  <c r="H5752" i="2" s="1"/>
  <c r="G5753" i="2"/>
  <c r="H5753" i="2" s="1"/>
  <c r="G5754" i="2"/>
  <c r="G5755" i="2"/>
  <c r="G5756" i="2"/>
  <c r="H5756" i="2" s="1"/>
  <c r="G5757" i="2"/>
  <c r="H5757" i="2" s="1"/>
  <c r="G5758" i="2"/>
  <c r="H5758" i="2" s="1"/>
  <c r="G5759" i="2"/>
  <c r="H5759" i="2" s="1"/>
  <c r="G5760" i="2"/>
  <c r="H5760" i="2" s="1"/>
  <c r="G5761" i="2"/>
  <c r="H5761" i="2" s="1"/>
  <c r="G5762" i="2"/>
  <c r="H5762" i="2" s="1"/>
  <c r="G5763" i="2"/>
  <c r="H5763" i="2" s="1"/>
  <c r="G5764" i="2"/>
  <c r="H5764" i="2" s="1"/>
  <c r="G5765" i="2"/>
  <c r="H5765" i="2" s="1"/>
  <c r="G5766" i="2"/>
  <c r="H5766" i="2" s="1"/>
  <c r="G5767" i="2"/>
  <c r="H5767" i="2" s="1"/>
  <c r="G5768" i="2"/>
  <c r="G5769" i="2"/>
  <c r="H5769" i="2" s="1"/>
  <c r="G5770" i="2"/>
  <c r="H5770" i="2" s="1"/>
  <c r="G5771" i="2"/>
  <c r="H5771" i="2" s="1"/>
  <c r="G5772" i="2"/>
  <c r="H5772" i="2" s="1"/>
  <c r="G5773" i="2"/>
  <c r="H5773" i="2" s="1"/>
  <c r="G5774" i="2"/>
  <c r="H5774" i="2" s="1"/>
  <c r="G5775" i="2"/>
  <c r="H5775" i="2" s="1"/>
  <c r="G5776" i="2"/>
  <c r="H5776" i="2" s="1"/>
  <c r="G5777" i="2"/>
  <c r="H5777" i="2" s="1"/>
  <c r="G5778" i="2"/>
  <c r="H5778" i="2" s="1"/>
  <c r="G5779" i="2"/>
  <c r="H5779" i="2" s="1"/>
  <c r="G5780" i="2"/>
  <c r="H5780" i="2" s="1"/>
  <c r="G5781" i="2"/>
  <c r="H5781" i="2" s="1"/>
  <c r="G5782" i="2"/>
  <c r="H5782" i="2" s="1"/>
  <c r="G5783" i="2"/>
  <c r="H5783" i="2" s="1"/>
  <c r="G5784" i="2"/>
  <c r="G5785" i="2"/>
  <c r="G5786" i="2"/>
  <c r="G5787" i="2"/>
  <c r="G5788" i="2"/>
  <c r="H5788" i="2" s="1"/>
  <c r="G5789" i="2"/>
  <c r="H5789" i="2" s="1"/>
  <c r="G5790" i="2"/>
  <c r="H5790" i="2" s="1"/>
  <c r="G5791" i="2"/>
  <c r="H5791" i="2" s="1"/>
  <c r="G5792" i="2"/>
  <c r="H5792" i="2" s="1"/>
  <c r="G5793" i="2"/>
  <c r="H5793" i="2" s="1"/>
  <c r="G5794" i="2"/>
  <c r="G5795" i="2"/>
  <c r="H5795" i="2" s="1"/>
  <c r="G5796" i="2"/>
  <c r="H5796" i="2" s="1"/>
  <c r="G5797" i="2"/>
  <c r="H5797" i="2" s="1"/>
  <c r="G5798" i="2"/>
  <c r="H5798" i="2" s="1"/>
  <c r="G5799" i="2"/>
  <c r="H5799" i="2" s="1"/>
  <c r="G5800" i="2"/>
  <c r="H5800" i="2" s="1"/>
  <c r="G5801" i="2"/>
  <c r="H5801" i="2" s="1"/>
  <c r="G5802" i="2"/>
  <c r="G5803" i="2"/>
  <c r="H5803" i="2" s="1"/>
  <c r="G5804" i="2"/>
  <c r="H5804" i="2" s="1"/>
  <c r="G5805" i="2"/>
  <c r="H5805" i="2" s="1"/>
  <c r="G5806" i="2"/>
  <c r="H5806" i="2" s="1"/>
  <c r="G5807" i="2"/>
  <c r="H5807" i="2" s="1"/>
  <c r="G5808" i="2"/>
  <c r="H5808" i="2" s="1"/>
  <c r="G5809" i="2"/>
  <c r="H5809" i="2" s="1"/>
  <c r="G5810" i="2"/>
  <c r="G5811" i="2"/>
  <c r="H5811" i="2" s="1"/>
  <c r="G5812" i="2"/>
  <c r="H5812" i="2" s="1"/>
  <c r="G5813" i="2"/>
  <c r="H5813" i="2" s="1"/>
  <c r="G5814" i="2"/>
  <c r="H5814" i="2" s="1"/>
  <c r="G5815" i="2"/>
  <c r="H5815" i="2" s="1"/>
  <c r="G5816" i="2"/>
  <c r="H5816" i="2" s="1"/>
  <c r="G5817" i="2"/>
  <c r="H5817" i="2" s="1"/>
  <c r="G5818" i="2"/>
  <c r="H5818" i="2" s="1"/>
  <c r="G5819" i="2"/>
  <c r="H5819" i="2" s="1"/>
  <c r="G5820" i="2"/>
  <c r="H5820" i="2" s="1"/>
  <c r="G5821" i="2"/>
  <c r="H5821" i="2" s="1"/>
  <c r="G5822" i="2"/>
  <c r="H5822" i="2" s="1"/>
  <c r="G5823" i="2"/>
  <c r="H5823" i="2" s="1"/>
  <c r="G5824" i="2"/>
  <c r="H5824" i="2" s="1"/>
  <c r="G5825" i="2"/>
  <c r="H5825" i="2" s="1"/>
  <c r="G5826" i="2"/>
  <c r="G5827" i="2"/>
  <c r="H5827" i="2" s="1"/>
  <c r="G5828" i="2"/>
  <c r="H5828" i="2" s="1"/>
  <c r="G5829" i="2"/>
  <c r="H5829" i="2" s="1"/>
  <c r="G5830" i="2"/>
  <c r="H5830" i="2" s="1"/>
  <c r="G5831" i="2"/>
  <c r="H5831" i="2" s="1"/>
  <c r="G5832" i="2"/>
  <c r="G5833" i="2"/>
  <c r="H5833" i="2" s="1"/>
  <c r="G5834" i="2"/>
  <c r="H5834" i="2" s="1"/>
  <c r="G5835" i="2"/>
  <c r="H5835" i="2" s="1"/>
  <c r="G5836" i="2"/>
  <c r="H5836" i="2" s="1"/>
  <c r="G5837" i="2"/>
  <c r="H5837" i="2" s="1"/>
  <c r="G5838" i="2"/>
  <c r="G5839" i="2"/>
  <c r="H5839" i="2" s="1"/>
  <c r="G5840" i="2"/>
  <c r="H5840" i="2" s="1"/>
  <c r="G5841" i="2"/>
  <c r="H5841" i="2" s="1"/>
  <c r="G5842" i="2"/>
  <c r="H5842" i="2" s="1"/>
  <c r="G5843" i="2"/>
  <c r="H5843" i="2" s="1"/>
  <c r="G5844" i="2"/>
  <c r="H5844" i="2" s="1"/>
  <c r="G5845" i="2"/>
  <c r="H5845" i="2" s="1"/>
  <c r="G5846" i="2"/>
  <c r="G5847" i="2"/>
  <c r="H5847" i="2" s="1"/>
  <c r="G5848" i="2"/>
  <c r="H5848" i="2" s="1"/>
  <c r="G5849" i="2"/>
  <c r="H5849" i="2" s="1"/>
  <c r="G5850" i="2"/>
  <c r="G5851" i="2"/>
  <c r="H5851" i="2" s="1"/>
  <c r="G5852" i="2"/>
  <c r="H5852" i="2" s="1"/>
  <c r="G5853" i="2"/>
  <c r="H5853" i="2" s="1"/>
  <c r="G5854" i="2"/>
  <c r="H5854" i="2" s="1"/>
  <c r="G5855" i="2"/>
  <c r="H5855" i="2" s="1"/>
  <c r="G5856" i="2"/>
  <c r="H5856" i="2" s="1"/>
  <c r="G5857" i="2"/>
  <c r="H5857" i="2" s="1"/>
  <c r="G5858" i="2"/>
  <c r="H5858" i="2" s="1"/>
  <c r="G5859" i="2"/>
  <c r="H5859" i="2" s="1"/>
  <c r="G5860" i="2"/>
  <c r="G5861" i="2"/>
  <c r="H5861" i="2" s="1"/>
  <c r="G5862" i="2"/>
  <c r="H5862" i="2" s="1"/>
  <c r="G5863" i="2"/>
  <c r="H5863" i="2" s="1"/>
  <c r="G5864" i="2"/>
  <c r="H5864" i="2" s="1"/>
  <c r="G5865" i="2"/>
  <c r="H5865" i="2" s="1"/>
  <c r="G5866" i="2"/>
  <c r="H5866" i="2" s="1"/>
  <c r="G5867" i="2"/>
  <c r="H5867" i="2" s="1"/>
  <c r="G5868" i="2"/>
  <c r="H5868" i="2" s="1"/>
  <c r="G5869" i="2"/>
  <c r="G5870" i="2"/>
  <c r="H5870" i="2" s="1"/>
  <c r="G5871" i="2"/>
  <c r="H5871" i="2" s="1"/>
  <c r="G5872" i="2"/>
  <c r="H5872" i="2" s="1"/>
  <c r="G5873" i="2"/>
  <c r="H5873" i="2" s="1"/>
  <c r="G5874" i="2"/>
  <c r="H5874" i="2" s="1"/>
  <c r="G5875" i="2"/>
  <c r="H5875" i="2" s="1"/>
  <c r="G5876" i="2"/>
  <c r="H5876" i="2" s="1"/>
  <c r="G5877" i="2"/>
  <c r="G5878" i="2"/>
  <c r="H5878" i="2" s="1"/>
  <c r="G5879" i="2"/>
  <c r="H5879" i="2" s="1"/>
  <c r="G5880" i="2"/>
  <c r="H5880" i="2" s="1"/>
  <c r="G5881" i="2"/>
  <c r="H5881" i="2" s="1"/>
  <c r="G5882" i="2"/>
  <c r="H5882" i="2" s="1"/>
  <c r="G5883" i="2"/>
  <c r="H5883" i="2" s="1"/>
  <c r="G5884" i="2"/>
  <c r="H5884" i="2" s="1"/>
  <c r="G5885" i="2"/>
  <c r="H5885" i="2" s="1"/>
  <c r="G5886" i="2"/>
  <c r="H5886" i="2" s="1"/>
  <c r="G5887" i="2"/>
  <c r="H5887" i="2" s="1"/>
  <c r="G5888" i="2"/>
  <c r="H5888" i="2" s="1"/>
  <c r="G5889" i="2"/>
  <c r="H5889" i="2" s="1"/>
  <c r="G5890" i="2"/>
  <c r="H5890" i="2" s="1"/>
  <c r="G5891" i="2"/>
  <c r="H5891" i="2" s="1"/>
  <c r="G5892" i="2"/>
  <c r="H5892" i="2" s="1"/>
  <c r="G5893" i="2"/>
  <c r="H5893" i="2" s="1"/>
  <c r="G5894" i="2"/>
  <c r="G5895" i="2"/>
  <c r="H5895" i="2" s="1"/>
  <c r="G5896" i="2"/>
  <c r="H5896" i="2" s="1"/>
  <c r="G5897" i="2"/>
  <c r="H5897" i="2" s="1"/>
  <c r="G5898" i="2"/>
  <c r="H5898" i="2" s="1"/>
  <c r="G5899" i="2"/>
  <c r="H5899" i="2" s="1"/>
  <c r="G5900" i="2"/>
  <c r="H5900" i="2" s="1"/>
  <c r="G5901" i="2"/>
  <c r="H5901" i="2" s="1"/>
  <c r="G5902" i="2"/>
  <c r="H5902" i="2" s="1"/>
  <c r="G5903" i="2"/>
  <c r="H5903" i="2" s="1"/>
  <c r="G5904" i="2"/>
  <c r="H5904" i="2" s="1"/>
  <c r="G5905" i="2"/>
  <c r="H5905" i="2" s="1"/>
  <c r="G5906" i="2"/>
  <c r="H5906" i="2" s="1"/>
  <c r="G5907" i="2"/>
  <c r="H5907" i="2" s="1"/>
  <c r="G5908" i="2"/>
  <c r="H5908" i="2" s="1"/>
  <c r="G5909" i="2"/>
  <c r="H5909" i="2" s="1"/>
  <c r="G5910" i="2"/>
  <c r="H5910" i="2" s="1"/>
  <c r="G5911" i="2"/>
  <c r="G5912" i="2"/>
  <c r="H5912" i="2" s="1"/>
  <c r="G5913" i="2"/>
  <c r="H5913" i="2" s="1"/>
  <c r="G5914" i="2"/>
  <c r="H5914" i="2" s="1"/>
  <c r="G5915" i="2"/>
  <c r="H5915" i="2" s="1"/>
  <c r="G5916" i="2"/>
  <c r="H5916" i="2" s="1"/>
  <c r="G5917" i="2"/>
  <c r="H5917" i="2" s="1"/>
  <c r="G5918" i="2"/>
  <c r="H5918" i="2" s="1"/>
  <c r="G5919" i="2"/>
  <c r="H5919" i="2" s="1"/>
  <c r="G5920" i="2"/>
  <c r="H5920" i="2" s="1"/>
  <c r="G5921" i="2"/>
  <c r="H5921" i="2" s="1"/>
  <c r="G5922" i="2"/>
  <c r="H5922" i="2" s="1"/>
  <c r="G5923" i="2"/>
  <c r="H5923" i="2" s="1"/>
  <c r="G5924" i="2"/>
  <c r="H5924" i="2" s="1"/>
  <c r="G5925" i="2"/>
  <c r="H5925" i="2" s="1"/>
  <c r="G5926" i="2"/>
  <c r="H5926" i="2" s="1"/>
  <c r="G5927" i="2"/>
  <c r="H5927" i="2" s="1"/>
  <c r="G5928" i="2"/>
  <c r="G5929" i="2"/>
  <c r="H5929" i="2" s="1"/>
  <c r="G5930" i="2"/>
  <c r="H5930" i="2" s="1"/>
  <c r="G5931" i="2"/>
  <c r="H5931" i="2" s="1"/>
  <c r="G5932" i="2"/>
  <c r="H5932" i="2" s="1"/>
  <c r="G5933" i="2"/>
  <c r="H5933" i="2" s="1"/>
  <c r="G5934" i="2"/>
  <c r="H5934" i="2" s="1"/>
  <c r="G5935" i="2"/>
  <c r="H5935" i="2" s="1"/>
  <c r="G5936" i="2"/>
  <c r="H5936" i="2" s="1"/>
  <c r="G5937" i="2"/>
  <c r="H5937" i="2" s="1"/>
  <c r="G5938" i="2"/>
  <c r="H5938" i="2" s="1"/>
  <c r="G5939" i="2"/>
  <c r="H5939" i="2" s="1"/>
  <c r="G5940" i="2"/>
  <c r="H5940" i="2" s="1"/>
  <c r="G5941" i="2"/>
  <c r="H5941" i="2" s="1"/>
  <c r="G5942" i="2"/>
  <c r="H5942" i="2" s="1"/>
  <c r="G5943" i="2"/>
  <c r="H5943" i="2" s="1"/>
  <c r="G5944" i="2"/>
  <c r="H5944" i="2" s="1"/>
  <c r="G5945" i="2"/>
  <c r="G5946" i="2"/>
  <c r="H5946" i="2" s="1"/>
  <c r="G5947" i="2"/>
  <c r="H5947" i="2" s="1"/>
  <c r="G5948" i="2"/>
  <c r="H5948" i="2" s="1"/>
  <c r="G5949" i="2"/>
  <c r="H5949" i="2" s="1"/>
  <c r="G5950" i="2"/>
  <c r="H5950" i="2" s="1"/>
  <c r="G5951" i="2"/>
  <c r="H5951" i="2" s="1"/>
  <c r="G5952" i="2"/>
  <c r="H5952" i="2" s="1"/>
  <c r="G5953" i="2"/>
  <c r="H5953" i="2" s="1"/>
  <c r="G5954" i="2"/>
  <c r="H5954" i="2" s="1"/>
  <c r="G5955" i="2"/>
  <c r="H5955" i="2" s="1"/>
  <c r="G5956" i="2"/>
  <c r="H5956" i="2" s="1"/>
  <c r="G5957" i="2"/>
  <c r="H5957" i="2" s="1"/>
  <c r="G5958" i="2"/>
  <c r="H5958" i="2" s="1"/>
  <c r="G5959" i="2"/>
  <c r="H5959" i="2" s="1"/>
  <c r="G5960" i="2"/>
  <c r="H5960" i="2" s="1"/>
  <c r="G5961" i="2"/>
  <c r="G5962" i="2"/>
  <c r="H5962" i="2" s="1"/>
  <c r="G5963" i="2"/>
  <c r="H5963" i="2" s="1"/>
  <c r="G5964" i="2"/>
  <c r="H5964" i="2" s="1"/>
  <c r="G5965" i="2"/>
  <c r="H5965" i="2" s="1"/>
  <c r="G5966" i="2"/>
  <c r="H5966" i="2" s="1"/>
  <c r="G5967" i="2"/>
  <c r="H5967" i="2" s="1"/>
  <c r="G5968" i="2"/>
  <c r="H5968" i="2" s="1"/>
  <c r="G5969" i="2"/>
  <c r="H5969" i="2" s="1"/>
  <c r="G5970" i="2"/>
  <c r="H5970" i="2" s="1"/>
  <c r="G5971" i="2"/>
  <c r="H5971" i="2" s="1"/>
  <c r="G5972" i="2"/>
  <c r="H5972" i="2" s="1"/>
  <c r="G5973" i="2"/>
  <c r="H5973" i="2" s="1"/>
  <c r="G5974" i="2"/>
  <c r="H5974" i="2" s="1"/>
  <c r="G5975" i="2"/>
  <c r="G5976" i="2"/>
  <c r="G5977" i="2"/>
  <c r="H5977" i="2" s="1"/>
  <c r="G5978" i="2"/>
  <c r="G5979" i="2"/>
  <c r="H5979" i="2" s="1"/>
  <c r="G5980" i="2"/>
  <c r="H5980" i="2" s="1"/>
  <c r="G5981" i="2"/>
  <c r="H5981" i="2" s="1"/>
  <c r="G5982" i="2"/>
  <c r="H5982" i="2" s="1"/>
  <c r="G5983" i="2"/>
  <c r="H5983" i="2" s="1"/>
  <c r="G5984" i="2"/>
  <c r="H5984" i="2" s="1"/>
  <c r="G5985" i="2"/>
  <c r="H5985" i="2" s="1"/>
  <c r="G5986" i="2"/>
  <c r="H5986" i="2" s="1"/>
  <c r="G5987" i="2"/>
  <c r="H5987" i="2" s="1"/>
  <c r="G5988" i="2"/>
  <c r="H5988" i="2" s="1"/>
  <c r="G5989" i="2"/>
  <c r="H5989" i="2" s="1"/>
  <c r="G5990" i="2"/>
  <c r="H5990" i="2" s="1"/>
  <c r="G5991" i="2"/>
  <c r="H5991" i="2" s="1"/>
  <c r="G5992" i="2"/>
  <c r="H5992" i="2" s="1"/>
  <c r="G5993" i="2"/>
  <c r="H5993" i="2" s="1"/>
  <c r="G5994" i="2"/>
  <c r="H5994" i="2" s="1"/>
  <c r="G5995" i="2"/>
  <c r="H5995" i="2" s="1"/>
  <c r="G5996" i="2"/>
  <c r="H5996" i="2" s="1"/>
  <c r="G5997" i="2"/>
  <c r="H5997" i="2" s="1"/>
  <c r="G5998" i="2"/>
  <c r="G5999" i="2"/>
  <c r="H5999" i="2" s="1"/>
  <c r="G6000" i="2"/>
  <c r="H6000" i="2" s="1"/>
  <c r="G6001" i="2"/>
  <c r="H6001" i="2" s="1"/>
  <c r="G6002" i="2"/>
  <c r="H6002" i="2" s="1"/>
  <c r="G6003" i="2"/>
  <c r="H6003" i="2" s="1"/>
  <c r="G6004" i="2"/>
  <c r="H6004" i="2" s="1"/>
  <c r="G6005" i="2"/>
  <c r="H6005" i="2" s="1"/>
  <c r="G6006" i="2"/>
  <c r="H6006" i="2" s="1"/>
  <c r="G6007" i="2"/>
  <c r="H6007" i="2" s="1"/>
  <c r="G6008" i="2"/>
  <c r="H6008" i="2" s="1"/>
  <c r="G6009" i="2"/>
  <c r="G6010" i="2"/>
  <c r="H6010" i="2" s="1"/>
  <c r="G6011" i="2"/>
  <c r="H6011" i="2" s="1"/>
  <c r="G6012" i="2"/>
  <c r="H6012" i="2" s="1"/>
  <c r="G6013" i="2"/>
  <c r="H6013" i="2" s="1"/>
  <c r="G6014" i="2"/>
  <c r="H6014" i="2" s="1"/>
  <c r="G6015" i="2"/>
  <c r="H6015" i="2" s="1"/>
  <c r="G6016" i="2"/>
  <c r="H6016" i="2" s="1"/>
  <c r="G6017" i="2"/>
  <c r="H6017" i="2" s="1"/>
  <c r="G6018" i="2"/>
  <c r="H6018" i="2" s="1"/>
  <c r="G6019" i="2"/>
  <c r="H6019" i="2" s="1"/>
  <c r="G6020" i="2"/>
  <c r="G6021" i="2"/>
  <c r="H6021" i="2" s="1"/>
  <c r="G6022" i="2"/>
  <c r="H6022" i="2" s="1"/>
  <c r="G6023" i="2"/>
  <c r="H6023" i="2" s="1"/>
  <c r="G6024" i="2"/>
  <c r="H6024" i="2" s="1"/>
  <c r="G6025" i="2"/>
  <c r="H6025" i="2" s="1"/>
  <c r="G6026" i="2"/>
  <c r="H6026" i="2" s="1"/>
  <c r="G6027" i="2"/>
  <c r="H6027" i="2" s="1"/>
  <c r="G6028" i="2"/>
  <c r="H6028" i="2" s="1"/>
  <c r="G6029" i="2"/>
  <c r="H6029" i="2" s="1"/>
  <c r="G6030" i="2"/>
  <c r="G6031" i="2"/>
  <c r="H6031" i="2" s="1"/>
  <c r="G6032" i="2"/>
  <c r="H6032" i="2" s="1"/>
  <c r="G6033" i="2"/>
  <c r="H6033" i="2" s="1"/>
  <c r="G6034" i="2"/>
  <c r="H6034" i="2" s="1"/>
  <c r="G6035" i="2"/>
  <c r="H6035" i="2" s="1"/>
  <c r="G6036" i="2"/>
  <c r="H6036" i="2" s="1"/>
  <c r="G6037" i="2"/>
  <c r="H6037" i="2" s="1"/>
  <c r="G6038" i="2"/>
  <c r="H6038" i="2" s="1"/>
  <c r="G6039" i="2"/>
  <c r="H6039" i="2" s="1"/>
  <c r="G6040" i="2"/>
  <c r="H6040" i="2" s="1"/>
  <c r="G6041" i="2"/>
  <c r="H6041" i="2" s="1"/>
  <c r="G6042" i="2"/>
  <c r="H6042" i="2" s="1"/>
  <c r="G6043" i="2"/>
  <c r="H6043" i="2" s="1"/>
  <c r="G6044" i="2"/>
  <c r="H6044" i="2" s="1"/>
  <c r="G6045" i="2"/>
  <c r="H6045" i="2" s="1"/>
  <c r="G6046" i="2"/>
  <c r="H6046" i="2" s="1"/>
  <c r="G6047" i="2"/>
  <c r="H6047" i="2" s="1"/>
  <c r="G6048" i="2"/>
  <c r="H6048" i="2" s="1"/>
  <c r="G6049" i="2"/>
  <c r="G6050" i="2"/>
  <c r="H6050" i="2" s="1"/>
  <c r="G6051" i="2"/>
  <c r="H6051" i="2" s="1"/>
  <c r="G6052" i="2"/>
  <c r="H6052" i="2" s="1"/>
  <c r="G6053" i="2"/>
  <c r="H6053" i="2" s="1"/>
  <c r="G6054" i="2"/>
  <c r="H6054" i="2" s="1"/>
  <c r="G6055" i="2"/>
  <c r="H6055" i="2" s="1"/>
  <c r="G6056" i="2"/>
  <c r="H6056" i="2" s="1"/>
  <c r="G6057" i="2"/>
  <c r="H6057" i="2" s="1"/>
  <c r="G6058" i="2"/>
  <c r="H6058" i="2" s="1"/>
  <c r="G6059" i="2"/>
  <c r="H6059" i="2" s="1"/>
  <c r="G6060" i="2"/>
  <c r="H6060" i="2" s="1"/>
  <c r="G6061" i="2"/>
  <c r="H6061" i="2" s="1"/>
  <c r="G6062" i="2"/>
  <c r="H6062" i="2" s="1"/>
  <c r="G6063" i="2"/>
  <c r="H6063" i="2" s="1"/>
  <c r="G6064" i="2"/>
  <c r="H6064" i="2" s="1"/>
  <c r="G6065" i="2"/>
  <c r="H6065" i="2" s="1"/>
  <c r="G6066" i="2"/>
  <c r="H6066" i="2" s="1"/>
  <c r="G6067" i="2"/>
  <c r="H6067" i="2" s="1"/>
  <c r="G6068" i="2"/>
  <c r="H6068" i="2" s="1"/>
  <c r="G6069" i="2"/>
  <c r="G6070" i="2"/>
  <c r="H6070" i="2" s="1"/>
  <c r="G6071" i="2"/>
  <c r="H6071" i="2" s="1"/>
  <c r="G6072" i="2"/>
  <c r="H6072" i="2" s="1"/>
  <c r="G6073" i="2"/>
  <c r="H6073" i="2" s="1"/>
  <c r="G6074" i="2"/>
  <c r="H6074" i="2" s="1"/>
  <c r="G6075" i="2"/>
  <c r="H6075" i="2" s="1"/>
  <c r="G6076" i="2"/>
  <c r="H6076" i="2" s="1"/>
  <c r="G6077" i="2"/>
  <c r="H6077" i="2" s="1"/>
  <c r="G6078" i="2"/>
  <c r="H6078" i="2" s="1"/>
  <c r="G6079" i="2"/>
  <c r="H6079" i="2" s="1"/>
  <c r="G6080" i="2"/>
  <c r="G6081" i="2"/>
  <c r="H6081" i="2" s="1"/>
  <c r="G6082" i="2"/>
  <c r="H6082" i="2" s="1"/>
  <c r="G6083" i="2"/>
  <c r="H6083" i="2" s="1"/>
  <c r="G6084" i="2"/>
  <c r="H6084" i="2" s="1"/>
  <c r="G6085" i="2"/>
  <c r="H6085" i="2" s="1"/>
  <c r="G6086" i="2"/>
  <c r="H6086" i="2" s="1"/>
  <c r="G6087" i="2"/>
  <c r="H6087" i="2" s="1"/>
  <c r="G6088" i="2"/>
  <c r="H6088" i="2" s="1"/>
  <c r="G6089" i="2"/>
  <c r="H6089" i="2" s="1"/>
  <c r="G6090" i="2"/>
  <c r="H6090" i="2" s="1"/>
  <c r="G6091" i="2"/>
  <c r="G6092" i="2"/>
  <c r="H6092" i="2" s="1"/>
  <c r="G6093" i="2"/>
  <c r="H6093" i="2" s="1"/>
  <c r="G6094" i="2"/>
  <c r="H6094" i="2" s="1"/>
  <c r="G6095" i="2"/>
  <c r="H6095" i="2" s="1"/>
  <c r="G6096" i="2"/>
  <c r="H6096" i="2" s="1"/>
  <c r="G6097" i="2"/>
  <c r="H6097" i="2" s="1"/>
  <c r="G6098" i="2"/>
  <c r="H6098" i="2" s="1"/>
  <c r="G6099" i="2"/>
  <c r="H6099" i="2" s="1"/>
  <c r="G6100" i="2"/>
  <c r="H6100" i="2" s="1"/>
  <c r="G6101" i="2"/>
  <c r="H6101" i="2" s="1"/>
  <c r="G6102" i="2"/>
  <c r="H6102" i="2" s="1"/>
  <c r="G6103" i="2"/>
  <c r="G6104" i="2"/>
  <c r="H6104" i="2" s="1"/>
  <c r="G6105" i="2"/>
  <c r="H6105" i="2" s="1"/>
  <c r="G6106" i="2"/>
  <c r="H6106" i="2" s="1"/>
  <c r="G6107" i="2"/>
  <c r="H6107" i="2" s="1"/>
  <c r="G6108" i="2"/>
  <c r="H6108" i="2" s="1"/>
  <c r="G6109" i="2"/>
  <c r="H6109" i="2" s="1"/>
  <c r="G6110" i="2"/>
  <c r="H6110" i="2" s="1"/>
  <c r="G6111" i="2"/>
  <c r="H6111" i="2" s="1"/>
  <c r="G6112" i="2"/>
  <c r="H6112" i="2" s="1"/>
  <c r="G6113" i="2"/>
  <c r="H6113" i="2" s="1"/>
  <c r="G6114" i="2"/>
  <c r="G6115" i="2"/>
  <c r="H6115" i="2" s="1"/>
  <c r="G6116" i="2"/>
  <c r="H6116" i="2" s="1"/>
  <c r="G6117" i="2"/>
  <c r="H6117" i="2" s="1"/>
  <c r="G6118" i="2"/>
  <c r="H6118" i="2" s="1"/>
  <c r="G6119" i="2"/>
  <c r="H6119" i="2" s="1"/>
  <c r="G6120" i="2"/>
  <c r="H6120" i="2" s="1"/>
  <c r="G6121" i="2"/>
  <c r="H6121" i="2" s="1"/>
  <c r="G6122" i="2"/>
  <c r="H6122" i="2" s="1"/>
  <c r="G6123" i="2"/>
  <c r="H6123" i="2" s="1"/>
  <c r="G6124" i="2"/>
  <c r="G6125" i="2"/>
  <c r="H6125" i="2" s="1"/>
  <c r="G6126" i="2"/>
  <c r="H6126" i="2" s="1"/>
  <c r="G6127" i="2"/>
  <c r="H6127" i="2" s="1"/>
  <c r="G6128" i="2"/>
  <c r="H6128" i="2" s="1"/>
  <c r="G6129" i="2"/>
  <c r="H6129" i="2" s="1"/>
  <c r="G6130" i="2"/>
  <c r="H6130" i="2" s="1"/>
  <c r="G6131" i="2"/>
  <c r="H6131" i="2" s="1"/>
  <c r="G6132" i="2"/>
  <c r="H6132" i="2" s="1"/>
  <c r="G6133" i="2"/>
  <c r="H6133" i="2" s="1"/>
  <c r="G6134" i="2"/>
  <c r="H6134" i="2" s="1"/>
  <c r="G6135" i="2"/>
  <c r="H6135" i="2" s="1"/>
  <c r="G6136" i="2"/>
  <c r="G6137" i="2"/>
  <c r="H6137" i="2" s="1"/>
  <c r="G6138" i="2"/>
  <c r="H6138" i="2" s="1"/>
  <c r="G6139" i="2"/>
  <c r="H6139" i="2" s="1"/>
  <c r="G6140" i="2"/>
  <c r="H6140" i="2" s="1"/>
  <c r="G6141" i="2"/>
  <c r="H6141" i="2" s="1"/>
  <c r="G6142" i="2"/>
  <c r="H6142" i="2" s="1"/>
  <c r="G6143" i="2"/>
  <c r="H6143" i="2" s="1"/>
  <c r="G6144" i="2"/>
  <c r="H6144" i="2" s="1"/>
  <c r="G6145" i="2"/>
  <c r="H6145" i="2" s="1"/>
  <c r="G6146" i="2"/>
  <c r="H6146" i="2" s="1"/>
  <c r="G6147" i="2"/>
  <c r="H6147" i="2" s="1"/>
  <c r="G6148" i="2"/>
  <c r="G6149" i="2"/>
  <c r="H6149" i="2" s="1"/>
  <c r="G6150" i="2"/>
  <c r="H6150" i="2" s="1"/>
  <c r="G6151" i="2"/>
  <c r="H6151" i="2" s="1"/>
  <c r="G6152" i="2"/>
  <c r="H6152" i="2" s="1"/>
  <c r="G6153" i="2"/>
  <c r="H6153" i="2" s="1"/>
  <c r="G6154" i="2"/>
  <c r="H6154" i="2" s="1"/>
  <c r="G6155" i="2"/>
  <c r="H6155" i="2" s="1"/>
  <c r="G6156" i="2"/>
  <c r="H6156" i="2" s="1"/>
  <c r="G6157" i="2"/>
  <c r="H6157" i="2" s="1"/>
  <c r="G6158" i="2"/>
  <c r="H6158" i="2" s="1"/>
  <c r="G4" i="2"/>
  <c r="H4" i="2" s="1"/>
  <c r="C4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5428" i="2"/>
  <c r="C5429" i="2"/>
  <c r="C5430" i="2"/>
  <c r="C5431" i="2"/>
  <c r="C5432" i="2"/>
  <c r="C5433" i="2"/>
  <c r="C5434" i="2"/>
  <c r="C5435" i="2"/>
  <c r="C5436" i="2"/>
  <c r="C5437" i="2"/>
  <c r="C5438" i="2"/>
  <c r="C5439" i="2"/>
  <c r="C5440" i="2"/>
  <c r="C5441" i="2"/>
  <c r="C5442" i="2"/>
  <c r="C5443" i="2"/>
  <c r="C5444" i="2"/>
  <c r="C5445" i="2"/>
  <c r="C5446" i="2"/>
  <c r="C5447" i="2"/>
  <c r="C5448" i="2"/>
  <c r="C5449" i="2"/>
  <c r="C5450" i="2"/>
  <c r="C5451" i="2"/>
  <c r="C5452" i="2"/>
  <c r="C5453" i="2"/>
  <c r="C5454" i="2"/>
  <c r="C5455" i="2"/>
  <c r="C5456" i="2"/>
  <c r="C5457" i="2"/>
  <c r="C5458" i="2"/>
  <c r="C5459" i="2"/>
  <c r="C5460" i="2"/>
  <c r="C5461" i="2"/>
  <c r="C5462" i="2"/>
  <c r="C5463" i="2"/>
  <c r="C5464" i="2"/>
  <c r="C5465" i="2"/>
  <c r="C5466" i="2"/>
  <c r="C5467" i="2"/>
  <c r="C5468" i="2"/>
  <c r="C5469" i="2"/>
  <c r="C5470" i="2"/>
  <c r="C5471" i="2"/>
  <c r="C5472" i="2"/>
  <c r="C5473" i="2"/>
  <c r="C5474" i="2"/>
  <c r="C5475" i="2"/>
  <c r="C5476" i="2"/>
  <c r="C5477" i="2"/>
  <c r="C5478" i="2"/>
  <c r="C5479" i="2"/>
  <c r="C5480" i="2"/>
  <c r="C5481" i="2"/>
  <c r="C5482" i="2"/>
  <c r="C5483" i="2"/>
  <c r="C5484" i="2"/>
  <c r="C5485" i="2"/>
  <c r="C5486" i="2"/>
  <c r="C5487" i="2"/>
  <c r="C5488" i="2"/>
  <c r="C5489" i="2"/>
  <c r="C5490" i="2"/>
  <c r="C5491" i="2"/>
  <c r="C5492" i="2"/>
  <c r="C5493" i="2"/>
  <c r="C5494" i="2"/>
  <c r="C5495" i="2"/>
  <c r="C5496" i="2"/>
  <c r="C5497" i="2"/>
  <c r="C5498" i="2"/>
  <c r="C5499" i="2"/>
  <c r="C5500" i="2"/>
  <c r="C5501" i="2"/>
  <c r="C5502" i="2"/>
  <c r="C5503" i="2"/>
  <c r="C5504" i="2"/>
  <c r="C5505" i="2"/>
  <c r="C5506" i="2"/>
  <c r="C5507" i="2"/>
  <c r="C5508" i="2"/>
  <c r="C5509" i="2"/>
  <c r="C5510" i="2"/>
  <c r="C5511" i="2"/>
  <c r="C5512" i="2"/>
  <c r="C5513" i="2"/>
  <c r="C5514" i="2"/>
  <c r="C5515" i="2"/>
  <c r="C5516" i="2"/>
  <c r="C5517" i="2"/>
  <c r="C5518" i="2"/>
  <c r="C5519" i="2"/>
  <c r="C5520" i="2"/>
  <c r="C5521" i="2"/>
  <c r="C5522" i="2"/>
  <c r="C5523" i="2"/>
  <c r="C5524" i="2"/>
  <c r="C5525" i="2"/>
  <c r="C5526" i="2"/>
  <c r="C5527" i="2"/>
  <c r="C5528" i="2"/>
  <c r="C5529" i="2"/>
  <c r="C5530" i="2"/>
  <c r="C5531" i="2"/>
  <c r="C5532" i="2"/>
  <c r="C5533" i="2"/>
  <c r="C5534" i="2"/>
  <c r="C5535" i="2"/>
  <c r="C5536" i="2"/>
  <c r="C5537" i="2"/>
  <c r="C5538" i="2"/>
  <c r="C5539" i="2"/>
  <c r="C5540" i="2"/>
  <c r="C5541" i="2"/>
  <c r="C5542" i="2"/>
  <c r="C5543" i="2"/>
  <c r="C5544" i="2"/>
  <c r="C5545" i="2"/>
  <c r="C5546" i="2"/>
  <c r="C5547" i="2"/>
  <c r="C5548" i="2"/>
  <c r="C5549" i="2"/>
  <c r="C5550" i="2"/>
  <c r="C5551" i="2"/>
  <c r="C5552" i="2"/>
  <c r="C5553" i="2"/>
  <c r="C5554" i="2"/>
  <c r="C5555" i="2"/>
  <c r="C5556" i="2"/>
  <c r="C5557" i="2"/>
  <c r="C5558" i="2"/>
  <c r="C5559" i="2"/>
  <c r="C5560" i="2"/>
  <c r="C5561" i="2"/>
  <c r="C5562" i="2"/>
  <c r="C5563" i="2"/>
  <c r="C5564" i="2"/>
  <c r="C5565" i="2"/>
  <c r="C5566" i="2"/>
  <c r="C5567" i="2"/>
  <c r="C5568" i="2"/>
  <c r="C5569" i="2"/>
  <c r="C5570" i="2"/>
  <c r="C5571" i="2"/>
  <c r="C5572" i="2"/>
  <c r="C5573" i="2"/>
  <c r="C5574" i="2"/>
  <c r="C5575" i="2"/>
  <c r="C5576" i="2"/>
  <c r="C5577" i="2"/>
  <c r="C5578" i="2"/>
  <c r="C5579" i="2"/>
  <c r="C5580" i="2"/>
  <c r="C5581" i="2"/>
  <c r="C5582" i="2"/>
  <c r="C5583" i="2"/>
  <c r="C5584" i="2"/>
  <c r="C5585" i="2"/>
  <c r="C5586" i="2"/>
  <c r="C5587" i="2"/>
  <c r="C5588" i="2"/>
  <c r="C5589" i="2"/>
  <c r="C5590" i="2"/>
  <c r="C5591" i="2"/>
  <c r="C5592" i="2"/>
  <c r="C5593" i="2"/>
  <c r="C5594" i="2"/>
  <c r="C5595" i="2"/>
  <c r="C5596" i="2"/>
  <c r="C5597" i="2"/>
  <c r="C5598" i="2"/>
  <c r="C5599" i="2"/>
  <c r="C5600" i="2"/>
  <c r="C5601" i="2"/>
  <c r="C5602" i="2"/>
  <c r="C5603" i="2"/>
  <c r="C5604" i="2"/>
  <c r="C5605" i="2"/>
  <c r="C5606" i="2"/>
  <c r="C5607" i="2"/>
  <c r="C5608" i="2"/>
  <c r="C5609" i="2"/>
  <c r="C5610" i="2"/>
  <c r="C5611" i="2"/>
  <c r="C5612" i="2"/>
  <c r="C5613" i="2"/>
  <c r="C5614" i="2"/>
  <c r="C5615" i="2"/>
  <c r="C5616" i="2"/>
  <c r="C5617" i="2"/>
  <c r="C5618" i="2"/>
  <c r="C5619" i="2"/>
  <c r="C5620" i="2"/>
  <c r="C5621" i="2"/>
  <c r="C5622" i="2"/>
  <c r="C5623" i="2"/>
  <c r="C5624" i="2"/>
  <c r="C5625" i="2"/>
  <c r="C5626" i="2"/>
  <c r="C5627" i="2"/>
  <c r="C5628" i="2"/>
  <c r="C5629" i="2"/>
  <c r="C5630" i="2"/>
  <c r="C5631" i="2"/>
  <c r="C5632" i="2"/>
  <c r="C5633" i="2"/>
  <c r="C5634" i="2"/>
  <c r="C5635" i="2"/>
  <c r="C5636" i="2"/>
  <c r="C5637" i="2"/>
  <c r="C5638" i="2"/>
  <c r="C5639" i="2"/>
  <c r="C5640" i="2"/>
  <c r="C5641" i="2"/>
  <c r="C5642" i="2"/>
  <c r="C5643" i="2"/>
  <c r="C5644" i="2"/>
  <c r="C5645" i="2"/>
  <c r="C5646" i="2"/>
  <c r="C5647" i="2"/>
  <c r="C5648" i="2"/>
  <c r="C5649" i="2"/>
  <c r="C5650" i="2"/>
  <c r="C5651" i="2"/>
  <c r="C5652" i="2"/>
  <c r="C5653" i="2"/>
  <c r="C5654" i="2"/>
  <c r="C5655" i="2"/>
  <c r="C5656" i="2"/>
  <c r="C5657" i="2"/>
  <c r="C5658" i="2"/>
  <c r="C5659" i="2"/>
  <c r="C5660" i="2"/>
  <c r="C5661" i="2"/>
  <c r="C5662" i="2"/>
  <c r="C5663" i="2"/>
  <c r="C5664" i="2"/>
  <c r="C5665" i="2"/>
  <c r="C5666" i="2"/>
  <c r="C5667" i="2"/>
  <c r="C5668" i="2"/>
  <c r="C5669" i="2"/>
  <c r="C5670" i="2"/>
  <c r="C5671" i="2"/>
  <c r="C5672" i="2"/>
  <c r="C5673" i="2"/>
  <c r="C5674" i="2"/>
  <c r="C5675" i="2"/>
  <c r="C5676" i="2"/>
  <c r="C5677" i="2"/>
  <c r="C5678" i="2"/>
  <c r="C5679" i="2"/>
  <c r="C5680" i="2"/>
  <c r="C5681" i="2"/>
  <c r="C5682" i="2"/>
  <c r="C5683" i="2"/>
  <c r="C5684" i="2"/>
  <c r="C5685" i="2"/>
  <c r="C5686" i="2"/>
  <c r="C5687" i="2"/>
  <c r="C5688" i="2"/>
  <c r="C5689" i="2"/>
  <c r="C5690" i="2"/>
  <c r="C5691" i="2"/>
  <c r="C5692" i="2"/>
  <c r="C5693" i="2"/>
  <c r="C5694" i="2"/>
  <c r="C5695" i="2"/>
  <c r="C5696" i="2"/>
  <c r="C5697" i="2"/>
  <c r="C5698" i="2"/>
  <c r="C5699" i="2"/>
  <c r="C5700" i="2"/>
  <c r="C5701" i="2"/>
  <c r="C5702" i="2"/>
  <c r="C5703" i="2"/>
  <c r="C5704" i="2"/>
  <c r="C5705" i="2"/>
  <c r="C5706" i="2"/>
  <c r="C5707" i="2"/>
  <c r="C5708" i="2"/>
  <c r="C5709" i="2"/>
  <c r="C5710" i="2"/>
  <c r="C5711" i="2"/>
  <c r="C5712" i="2"/>
  <c r="C5713" i="2"/>
  <c r="C5714" i="2"/>
  <c r="C5715" i="2"/>
  <c r="C5716" i="2"/>
  <c r="C5717" i="2"/>
  <c r="C5718" i="2"/>
  <c r="C5719" i="2"/>
  <c r="C5720" i="2"/>
  <c r="C5721" i="2"/>
  <c r="C5722" i="2"/>
  <c r="C5723" i="2"/>
  <c r="C5724" i="2"/>
  <c r="C5725" i="2"/>
  <c r="C5726" i="2"/>
  <c r="C5727" i="2"/>
  <c r="C5728" i="2"/>
  <c r="C5729" i="2"/>
  <c r="C5730" i="2"/>
  <c r="C5731" i="2"/>
  <c r="C5732" i="2"/>
  <c r="C5733" i="2"/>
  <c r="C5734" i="2"/>
  <c r="C5735" i="2"/>
  <c r="C5736" i="2"/>
  <c r="C5737" i="2"/>
  <c r="C5738" i="2"/>
  <c r="C5739" i="2"/>
  <c r="C5740" i="2"/>
  <c r="C5741" i="2"/>
  <c r="C5742" i="2"/>
  <c r="C5743" i="2"/>
  <c r="C5744" i="2"/>
  <c r="C5745" i="2"/>
  <c r="C5746" i="2"/>
  <c r="C5747" i="2"/>
  <c r="C5748" i="2"/>
  <c r="C5749" i="2"/>
  <c r="C5750" i="2"/>
  <c r="C5751" i="2"/>
  <c r="C5752" i="2"/>
  <c r="C5753" i="2"/>
  <c r="C5754" i="2"/>
  <c r="C5755" i="2"/>
  <c r="C5756" i="2"/>
  <c r="C5757" i="2"/>
  <c r="C5758" i="2"/>
  <c r="C5759" i="2"/>
  <c r="C5760" i="2"/>
  <c r="C5761" i="2"/>
  <c r="C5762" i="2"/>
  <c r="C5763" i="2"/>
  <c r="C5764" i="2"/>
  <c r="C5765" i="2"/>
  <c r="C5766" i="2"/>
  <c r="C5767" i="2"/>
  <c r="C5768" i="2"/>
  <c r="C5769" i="2"/>
  <c r="C5770" i="2"/>
  <c r="C5771" i="2"/>
  <c r="C5772" i="2"/>
  <c r="C5773" i="2"/>
  <c r="C5774" i="2"/>
  <c r="C5775" i="2"/>
  <c r="C5776" i="2"/>
  <c r="C5777" i="2"/>
  <c r="C5778" i="2"/>
  <c r="C5779" i="2"/>
  <c r="C5780" i="2"/>
  <c r="C5781" i="2"/>
  <c r="C5782" i="2"/>
  <c r="C5783" i="2"/>
  <c r="C5784" i="2"/>
  <c r="C5785" i="2"/>
  <c r="C5786" i="2"/>
  <c r="C5787" i="2"/>
  <c r="C5788" i="2"/>
  <c r="C5789" i="2"/>
  <c r="C5790" i="2"/>
  <c r="C5791" i="2"/>
  <c r="C5792" i="2"/>
  <c r="C5793" i="2"/>
  <c r="C5794" i="2"/>
  <c r="C5795" i="2"/>
  <c r="C5796" i="2"/>
  <c r="C5797" i="2"/>
  <c r="C5798" i="2"/>
  <c r="C5799" i="2"/>
  <c r="C5800" i="2"/>
  <c r="C5801" i="2"/>
  <c r="C5802" i="2"/>
  <c r="C5803" i="2"/>
  <c r="C5804" i="2"/>
  <c r="C5805" i="2"/>
  <c r="C5806" i="2"/>
  <c r="C5807" i="2"/>
  <c r="C5808" i="2"/>
  <c r="C5809" i="2"/>
  <c r="C5810" i="2"/>
  <c r="C5811" i="2"/>
  <c r="C5812" i="2"/>
  <c r="C5813" i="2"/>
  <c r="C5814" i="2"/>
  <c r="C5815" i="2"/>
  <c r="C5816" i="2"/>
  <c r="C5817" i="2"/>
  <c r="C5818" i="2"/>
  <c r="C5819" i="2"/>
  <c r="C5820" i="2"/>
  <c r="C5821" i="2"/>
  <c r="C5822" i="2"/>
  <c r="C5823" i="2"/>
  <c r="C5824" i="2"/>
  <c r="C5825" i="2"/>
  <c r="C5826" i="2"/>
  <c r="C5827" i="2"/>
  <c r="C5828" i="2"/>
  <c r="C5829" i="2"/>
  <c r="C5830" i="2"/>
  <c r="C5831" i="2"/>
  <c r="C5832" i="2"/>
  <c r="C5833" i="2"/>
  <c r="C5834" i="2"/>
  <c r="C5835" i="2"/>
  <c r="C5836" i="2"/>
  <c r="C5837" i="2"/>
  <c r="C5838" i="2"/>
  <c r="C5839" i="2"/>
  <c r="C5840" i="2"/>
  <c r="C5841" i="2"/>
  <c r="C5842" i="2"/>
  <c r="C5843" i="2"/>
  <c r="C5844" i="2"/>
  <c r="C5845" i="2"/>
  <c r="C5846" i="2"/>
  <c r="C5847" i="2"/>
  <c r="C5848" i="2"/>
  <c r="C5849" i="2"/>
  <c r="C5850" i="2"/>
  <c r="C5851" i="2"/>
  <c r="C5852" i="2"/>
  <c r="C5853" i="2"/>
  <c r="C5854" i="2"/>
  <c r="C5855" i="2"/>
  <c r="C5856" i="2"/>
  <c r="C5857" i="2"/>
  <c r="C5858" i="2"/>
  <c r="C5859" i="2"/>
  <c r="C5860" i="2"/>
  <c r="C5861" i="2"/>
  <c r="C5862" i="2"/>
  <c r="C5863" i="2"/>
  <c r="C5864" i="2"/>
  <c r="C5865" i="2"/>
  <c r="C5866" i="2"/>
  <c r="C5867" i="2"/>
  <c r="C5868" i="2"/>
  <c r="C5869" i="2"/>
  <c r="C5870" i="2"/>
  <c r="C5871" i="2"/>
  <c r="C5872" i="2"/>
  <c r="C5873" i="2"/>
  <c r="C5874" i="2"/>
  <c r="C5875" i="2"/>
  <c r="C5876" i="2"/>
  <c r="C5877" i="2"/>
  <c r="C5878" i="2"/>
  <c r="C5879" i="2"/>
  <c r="C5880" i="2"/>
  <c r="C5881" i="2"/>
  <c r="C5882" i="2"/>
  <c r="C5883" i="2"/>
  <c r="C5884" i="2"/>
  <c r="C5885" i="2"/>
  <c r="C5886" i="2"/>
  <c r="C5887" i="2"/>
  <c r="C5888" i="2"/>
  <c r="C5889" i="2"/>
  <c r="C5890" i="2"/>
  <c r="C5891" i="2"/>
  <c r="C5892" i="2"/>
  <c r="C5893" i="2"/>
  <c r="C5894" i="2"/>
  <c r="C5895" i="2"/>
  <c r="C5896" i="2"/>
  <c r="C5897" i="2"/>
  <c r="C5898" i="2"/>
  <c r="C5899" i="2"/>
  <c r="C5900" i="2"/>
  <c r="C5901" i="2"/>
  <c r="C5902" i="2"/>
  <c r="C5903" i="2"/>
  <c r="C5904" i="2"/>
  <c r="C5905" i="2"/>
  <c r="C5906" i="2"/>
  <c r="C5907" i="2"/>
  <c r="C5908" i="2"/>
  <c r="C5909" i="2"/>
  <c r="C5910" i="2"/>
  <c r="C5911" i="2"/>
  <c r="C5912" i="2"/>
  <c r="C5913" i="2"/>
  <c r="C5914" i="2"/>
  <c r="C5915" i="2"/>
  <c r="C5916" i="2"/>
  <c r="C5917" i="2"/>
  <c r="C5918" i="2"/>
  <c r="C5919" i="2"/>
  <c r="C5920" i="2"/>
  <c r="C5921" i="2"/>
  <c r="C5922" i="2"/>
  <c r="C5923" i="2"/>
  <c r="C5924" i="2"/>
  <c r="C5925" i="2"/>
  <c r="C5926" i="2"/>
  <c r="C5927" i="2"/>
  <c r="C5928" i="2"/>
  <c r="C5929" i="2"/>
  <c r="C5930" i="2"/>
  <c r="C5931" i="2"/>
  <c r="C5932" i="2"/>
  <c r="C5933" i="2"/>
  <c r="C5934" i="2"/>
  <c r="C5935" i="2"/>
  <c r="C5936" i="2"/>
  <c r="C5937" i="2"/>
  <c r="C5938" i="2"/>
  <c r="C5939" i="2"/>
  <c r="C5940" i="2"/>
  <c r="C5941" i="2"/>
  <c r="C5942" i="2"/>
  <c r="C5943" i="2"/>
  <c r="C5944" i="2"/>
  <c r="C5945" i="2"/>
  <c r="C5946" i="2"/>
  <c r="C5947" i="2"/>
  <c r="C5948" i="2"/>
  <c r="C5949" i="2"/>
  <c r="C5950" i="2"/>
  <c r="C5951" i="2"/>
  <c r="C5952" i="2"/>
  <c r="C5953" i="2"/>
  <c r="C5954" i="2"/>
  <c r="C5955" i="2"/>
  <c r="C5956" i="2"/>
  <c r="C5957" i="2"/>
  <c r="C5958" i="2"/>
  <c r="C5959" i="2"/>
  <c r="C5960" i="2"/>
  <c r="C5961" i="2"/>
  <c r="C5962" i="2"/>
  <c r="C5963" i="2"/>
  <c r="C5964" i="2"/>
  <c r="C5965" i="2"/>
  <c r="C5966" i="2"/>
  <c r="C5967" i="2"/>
  <c r="C5968" i="2"/>
  <c r="C5969" i="2"/>
  <c r="C5970" i="2"/>
  <c r="C5971" i="2"/>
  <c r="C5972" i="2"/>
  <c r="C5973" i="2"/>
  <c r="C5974" i="2"/>
  <c r="C5975" i="2"/>
  <c r="C5976" i="2"/>
  <c r="C5977" i="2"/>
  <c r="C5978" i="2"/>
  <c r="C5979" i="2"/>
  <c r="C5980" i="2"/>
  <c r="C5981" i="2"/>
  <c r="C5982" i="2"/>
  <c r="C5983" i="2"/>
  <c r="C5984" i="2"/>
  <c r="C5985" i="2"/>
  <c r="C5986" i="2"/>
  <c r="C5987" i="2"/>
  <c r="C5988" i="2"/>
  <c r="C5989" i="2"/>
  <c r="C5990" i="2"/>
  <c r="C5991" i="2"/>
  <c r="C5992" i="2"/>
  <c r="C5993" i="2"/>
  <c r="C5994" i="2"/>
  <c r="C5995" i="2"/>
  <c r="C5996" i="2"/>
  <c r="C5997" i="2"/>
  <c r="C5998" i="2"/>
  <c r="C5999" i="2"/>
  <c r="C6000" i="2"/>
  <c r="C6001" i="2"/>
  <c r="C6002" i="2"/>
  <c r="C6003" i="2"/>
  <c r="C6004" i="2"/>
  <c r="C6005" i="2"/>
  <c r="C6006" i="2"/>
  <c r="C6007" i="2"/>
  <c r="C6008" i="2"/>
  <c r="C6009" i="2"/>
  <c r="C6010" i="2"/>
  <c r="C6011" i="2"/>
  <c r="C6012" i="2"/>
  <c r="C6013" i="2"/>
  <c r="C6014" i="2"/>
  <c r="C6015" i="2"/>
  <c r="C6016" i="2"/>
  <c r="C6017" i="2"/>
  <c r="C6018" i="2"/>
  <c r="C6019" i="2"/>
  <c r="C6020" i="2"/>
  <c r="C6021" i="2"/>
  <c r="C6022" i="2"/>
  <c r="C6023" i="2"/>
  <c r="C6024" i="2"/>
  <c r="C6025" i="2"/>
  <c r="C6026" i="2"/>
  <c r="C6027" i="2"/>
  <c r="C6028" i="2"/>
  <c r="C6029" i="2"/>
  <c r="C6030" i="2"/>
  <c r="C6031" i="2"/>
  <c r="C6032" i="2"/>
  <c r="C6033" i="2"/>
  <c r="C6034" i="2"/>
  <c r="C6035" i="2"/>
  <c r="C6036" i="2"/>
  <c r="C6037" i="2"/>
  <c r="C6038" i="2"/>
  <c r="C6039" i="2"/>
  <c r="C6040" i="2"/>
  <c r="C6041" i="2"/>
  <c r="C6042" i="2"/>
  <c r="C6043" i="2"/>
  <c r="C6044" i="2"/>
  <c r="C6045" i="2"/>
  <c r="C6046" i="2"/>
  <c r="C6047" i="2"/>
  <c r="C6048" i="2"/>
  <c r="C6049" i="2"/>
  <c r="C6050" i="2"/>
  <c r="C6051" i="2"/>
  <c r="C6052" i="2"/>
  <c r="C6053" i="2"/>
  <c r="C6054" i="2"/>
  <c r="C6055" i="2"/>
  <c r="C6056" i="2"/>
  <c r="C6057" i="2"/>
  <c r="C6058" i="2"/>
  <c r="C6059" i="2"/>
  <c r="C6060" i="2"/>
  <c r="C6061" i="2"/>
  <c r="C6062" i="2"/>
  <c r="C6063" i="2"/>
  <c r="C6064" i="2"/>
  <c r="C6065" i="2"/>
  <c r="C6066" i="2"/>
  <c r="C6067" i="2"/>
  <c r="C6068" i="2"/>
  <c r="C6069" i="2"/>
  <c r="C6070" i="2"/>
  <c r="C6071" i="2"/>
  <c r="C6072" i="2"/>
  <c r="C6073" i="2"/>
  <c r="C6074" i="2"/>
  <c r="C6075" i="2"/>
  <c r="C6076" i="2"/>
  <c r="C6077" i="2"/>
  <c r="C6078" i="2"/>
  <c r="C6079" i="2"/>
  <c r="C6080" i="2"/>
  <c r="C6081" i="2"/>
  <c r="C6082" i="2"/>
  <c r="C6083" i="2"/>
  <c r="C6084" i="2"/>
  <c r="C6085" i="2"/>
  <c r="C6086" i="2"/>
  <c r="C6087" i="2"/>
  <c r="C6088" i="2"/>
  <c r="C6089" i="2"/>
  <c r="C6090" i="2"/>
  <c r="C6091" i="2"/>
  <c r="C6092" i="2"/>
  <c r="C6093" i="2"/>
  <c r="C6094" i="2"/>
  <c r="C6095" i="2"/>
  <c r="C6096" i="2"/>
  <c r="C6097" i="2"/>
  <c r="C6098" i="2"/>
  <c r="C6099" i="2"/>
  <c r="C6100" i="2"/>
  <c r="C6101" i="2"/>
  <c r="C6102" i="2"/>
  <c r="C6103" i="2"/>
  <c r="C6104" i="2"/>
  <c r="C6105" i="2"/>
  <c r="C6106" i="2"/>
  <c r="C6107" i="2"/>
  <c r="C6108" i="2"/>
  <c r="C6109" i="2"/>
  <c r="C6110" i="2"/>
  <c r="C6111" i="2"/>
  <c r="C6112" i="2"/>
  <c r="C6113" i="2"/>
  <c r="C6114" i="2"/>
  <c r="C6115" i="2"/>
  <c r="C6116" i="2"/>
  <c r="C6117" i="2"/>
  <c r="C6118" i="2"/>
  <c r="C6119" i="2"/>
  <c r="C6120" i="2"/>
  <c r="C6121" i="2"/>
  <c r="C6122" i="2"/>
  <c r="C6123" i="2"/>
  <c r="C6124" i="2"/>
  <c r="C6125" i="2"/>
  <c r="C6126" i="2"/>
  <c r="C6127" i="2"/>
  <c r="C6128" i="2"/>
  <c r="C6129" i="2"/>
  <c r="C6130" i="2"/>
  <c r="C6131" i="2"/>
  <c r="C6132" i="2"/>
  <c r="C6133" i="2"/>
  <c r="C6134" i="2"/>
  <c r="C6135" i="2"/>
  <c r="C6136" i="2"/>
  <c r="C6137" i="2"/>
  <c r="C6138" i="2"/>
  <c r="C6139" i="2"/>
  <c r="C6140" i="2"/>
  <c r="C6141" i="2"/>
  <c r="C6142" i="2"/>
  <c r="C6143" i="2"/>
  <c r="C6144" i="2"/>
  <c r="C6145" i="2"/>
  <c r="C6146" i="2"/>
  <c r="C6147" i="2"/>
  <c r="C6148" i="2"/>
  <c r="C6149" i="2"/>
  <c r="C6150" i="2"/>
  <c r="C6151" i="2"/>
  <c r="C6152" i="2"/>
  <c r="C5" i="2" l="1"/>
  <c r="M6" i="2"/>
  <c r="C6" i="2"/>
  <c r="M7" i="2" l="1"/>
  <c r="C7" i="2"/>
  <c r="M8" i="2" l="1"/>
  <c r="C8" i="2"/>
  <c r="M9" i="2" l="1"/>
  <c r="C9" i="2"/>
  <c r="C10" i="2" s="1"/>
  <c r="M10" i="2" l="1"/>
  <c r="C11" i="2"/>
  <c r="C12" i="2" s="1"/>
  <c r="C13" i="2" s="1"/>
  <c r="M11" i="2" l="1"/>
  <c r="C14" i="2"/>
  <c r="C15" i="2" s="1"/>
  <c r="C16" i="2" s="1"/>
  <c r="C17" i="2" s="1"/>
  <c r="C18" i="2" s="1"/>
  <c r="M12" i="2" l="1"/>
  <c r="M13" i="2" s="1"/>
  <c r="C19" i="2"/>
  <c r="M14" i="2" l="1"/>
  <c r="M15" i="2" s="1"/>
  <c r="M16" i="2" s="1"/>
  <c r="M17" i="2" s="1"/>
  <c r="M18" i="2" s="1"/>
  <c r="M19" i="2" s="1"/>
  <c r="M20" i="2" s="1"/>
  <c r="M21" i="2" s="1"/>
  <c r="M22" i="2" s="1"/>
  <c r="M23" i="2" s="1"/>
  <c r="M24" i="2" s="1"/>
  <c r="M25" i="2" s="1"/>
  <c r="M26" i="2" s="1"/>
  <c r="M27" i="2" s="1"/>
  <c r="M28" i="2" s="1"/>
  <c r="M30" i="2" s="1"/>
  <c r="M31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M49" i="2" s="1"/>
  <c r="M52" i="2" s="1"/>
  <c r="M55" i="2" s="1"/>
  <c r="M58" i="2" s="1"/>
  <c r="M59" i="2" s="1"/>
  <c r="M60" i="2" s="1"/>
  <c r="M61" i="2" s="1"/>
  <c r="M62" i="2" s="1"/>
  <c r="M63" i="2" s="1"/>
  <c r="M64" i="2" s="1"/>
  <c r="M65" i="2" s="1"/>
  <c r="M66" i="2" s="1"/>
  <c r="M67" i="2" s="1"/>
  <c r="M68" i="2" s="1"/>
  <c r="M70" i="2" s="1"/>
  <c r="M71" i="2" s="1"/>
  <c r="M72" i="2" s="1"/>
  <c r="M73" i="2" s="1"/>
  <c r="M74" i="2" s="1"/>
  <c r="M75" i="2" s="1"/>
  <c r="M76" i="2" s="1"/>
  <c r="M77" i="2" s="1"/>
  <c r="M78" i="2" s="1"/>
  <c r="M80" i="2" s="1"/>
  <c r="M81" i="2" s="1"/>
  <c r="M82" i="2" s="1"/>
  <c r="M83" i="2" s="1"/>
  <c r="M84" i="2" s="1"/>
  <c r="M85" i="2" s="1"/>
  <c r="C20" i="2"/>
  <c r="C21" i="2" s="1"/>
  <c r="M86" i="2" l="1"/>
  <c r="M87" i="2" s="1"/>
  <c r="M88" i="2" s="1"/>
  <c r="C22" i="2"/>
  <c r="C23" i="2" s="1"/>
  <c r="M89" i="2" l="1"/>
  <c r="M90" i="2" s="1"/>
  <c r="H64" i="2"/>
  <c r="C24" i="2"/>
  <c r="C25" i="2" s="1"/>
  <c r="M91" i="2" l="1"/>
  <c r="M92" i="2" s="1"/>
  <c r="M93" i="2" s="1"/>
  <c r="M94" i="2" s="1"/>
  <c r="M95" i="2" s="1"/>
  <c r="M96" i="2" s="1"/>
  <c r="M97" i="2" s="1"/>
  <c r="M98" i="2" s="1"/>
  <c r="M99" i="2" s="1"/>
  <c r="M100" i="2" s="1"/>
  <c r="M101" i="2" s="1"/>
  <c r="M102" i="2" s="1"/>
  <c r="M103" i="2" s="1"/>
  <c r="M104" i="2" s="1"/>
  <c r="M105" i="2" s="1"/>
  <c r="M106" i="2" s="1"/>
  <c r="M107" i="2" s="1"/>
  <c r="M108" i="2" s="1"/>
  <c r="M109" i="2" s="1"/>
  <c r="M110" i="2" s="1"/>
  <c r="M111" i="2" s="1"/>
  <c r="M113" i="2" s="1"/>
  <c r="M114" i="2" s="1"/>
  <c r="M115" i="2" s="1"/>
  <c r="M116" i="2" s="1"/>
  <c r="M117" i="2" s="1"/>
  <c r="M118" i="2" s="1"/>
  <c r="M119" i="2" s="1"/>
  <c r="M120" i="2" s="1"/>
  <c r="M121" i="2" s="1"/>
  <c r="M122" i="2" s="1"/>
  <c r="M123" i="2" s="1"/>
  <c r="M124" i="2" s="1"/>
  <c r="M125" i="2" s="1"/>
  <c r="M126" i="2" s="1"/>
  <c r="M127" i="2" s="1"/>
  <c r="M128" i="2" s="1"/>
  <c r="M129" i="2" s="1"/>
  <c r="M130" i="2" s="1"/>
  <c r="M131" i="2" s="1"/>
  <c r="M132" i="2" s="1"/>
  <c r="M133" i="2" s="1"/>
  <c r="M134" i="2" s="1"/>
  <c r="M135" i="2" s="1"/>
  <c r="M136" i="2" s="1"/>
  <c r="M137" i="2" s="1"/>
  <c r="M138" i="2" s="1"/>
  <c r="M139" i="2" s="1"/>
  <c r="M140" i="2" s="1"/>
  <c r="M141" i="2" s="1"/>
  <c r="M142" i="2" s="1"/>
  <c r="M143" i="2" s="1"/>
  <c r="M144" i="2" s="1"/>
  <c r="M145" i="2" s="1"/>
  <c r="M146" i="2" s="1"/>
  <c r="M147" i="2" s="1"/>
  <c r="M148" i="2" s="1"/>
  <c r="M149" i="2" s="1"/>
  <c r="M150" i="2" s="1"/>
  <c r="M151" i="2" s="1"/>
  <c r="M152" i="2" s="1"/>
  <c r="M153" i="2" s="1"/>
  <c r="M154" i="2" s="1"/>
  <c r="M155" i="2" s="1"/>
  <c r="M156" i="2" s="1"/>
  <c r="M157" i="2" s="1"/>
  <c r="M158" i="2" s="1"/>
  <c r="M159" i="2" s="1"/>
  <c r="M160" i="2" s="1"/>
  <c r="M161" i="2" s="1"/>
  <c r="M162" i="2" s="1"/>
  <c r="M163" i="2" s="1"/>
  <c r="M164" i="2" s="1"/>
  <c r="M165" i="2" s="1"/>
  <c r="M166" i="2" s="1"/>
  <c r="M167" i="2" s="1"/>
  <c r="M168" i="2" s="1"/>
  <c r="M169" i="2" s="1"/>
  <c r="M170" i="2" s="1"/>
  <c r="M171" i="2" s="1"/>
  <c r="M172" i="2" s="1"/>
  <c r="M176" i="2" s="1"/>
  <c r="M177" i="2" s="1"/>
  <c r="M178" i="2" s="1"/>
  <c r="M179" i="2" s="1"/>
  <c r="M180" i="2" s="1"/>
  <c r="M181" i="2" s="1"/>
  <c r="M182" i="2" s="1"/>
  <c r="M183" i="2" s="1"/>
  <c r="M184" i="2" s="1"/>
  <c r="M185" i="2" s="1"/>
  <c r="M186" i="2" s="1"/>
  <c r="M187" i="2" s="1"/>
  <c r="M188" i="2" s="1"/>
  <c r="M189" i="2" s="1"/>
  <c r="M190" i="2" s="1"/>
  <c r="M191" i="2" s="1"/>
  <c r="M192" i="2" s="1"/>
  <c r="M193" i="2" s="1"/>
  <c r="M194" i="2" s="1"/>
  <c r="M195" i="2" s="1"/>
  <c r="M196" i="2" s="1"/>
  <c r="M198" i="2" s="1"/>
  <c r="M199" i="2" s="1"/>
  <c r="M200" i="2" s="1"/>
  <c r="M201" i="2" s="1"/>
  <c r="M202" i="2" s="1"/>
  <c r="M203" i="2" s="1"/>
  <c r="M204" i="2" s="1"/>
  <c r="M205" i="2" s="1"/>
  <c r="M206" i="2" s="1"/>
  <c r="M207" i="2" s="1"/>
  <c r="M208" i="2" s="1"/>
  <c r="M209" i="2" s="1"/>
  <c r="M210" i="2" s="1"/>
  <c r="M211" i="2" s="1"/>
  <c r="M212" i="2" s="1"/>
  <c r="M213" i="2" s="1"/>
  <c r="M214" i="2" s="1"/>
  <c r="M215" i="2" s="1"/>
  <c r="M216" i="2" s="1"/>
  <c r="M217" i="2" s="1"/>
  <c r="M218" i="2" s="1"/>
  <c r="M219" i="2" s="1"/>
  <c r="M220" i="2" s="1"/>
  <c r="M221" i="2" s="1"/>
  <c r="M222" i="2" s="1"/>
  <c r="M223" i="2" s="1"/>
  <c r="M224" i="2" s="1"/>
  <c r="M225" i="2" s="1"/>
  <c r="M226" i="2" s="1"/>
  <c r="M227" i="2" s="1"/>
  <c r="M228" i="2" s="1"/>
  <c r="M229" i="2" s="1"/>
  <c r="M230" i="2" s="1"/>
  <c r="M231" i="2" s="1"/>
  <c r="M232" i="2" s="1"/>
  <c r="M233" i="2" s="1"/>
  <c r="M234" i="2" s="1"/>
  <c r="M235" i="2" s="1"/>
  <c r="M236" i="2" s="1"/>
  <c r="M237" i="2" s="1"/>
  <c r="M238" i="2" s="1"/>
  <c r="M239" i="2" s="1"/>
  <c r="M240" i="2" s="1"/>
  <c r="M241" i="2" s="1"/>
  <c r="M242" i="2" s="1"/>
  <c r="M243" i="2" s="1"/>
  <c r="M244" i="2" s="1"/>
  <c r="M245" i="2" s="1"/>
  <c r="M246" i="2" s="1"/>
  <c r="M247" i="2" s="1"/>
  <c r="M248" i="2" s="1"/>
  <c r="M249" i="2" s="1"/>
  <c r="M250" i="2" s="1"/>
  <c r="M251" i="2" s="1"/>
  <c r="M252" i="2" s="1"/>
  <c r="M253" i="2" s="1"/>
  <c r="M254" i="2" s="1"/>
  <c r="M255" i="2" s="1"/>
  <c r="M256" i="2" s="1"/>
  <c r="M257" i="2" s="1"/>
  <c r="M258" i="2" s="1"/>
  <c r="M259" i="2" s="1"/>
  <c r="M262" i="2" s="1"/>
  <c r="M263" i="2" s="1"/>
  <c r="M264" i="2" s="1"/>
  <c r="M265" i="2" s="1"/>
  <c r="M266" i="2" s="1"/>
  <c r="M267" i="2" s="1"/>
  <c r="M268" i="2" s="1"/>
  <c r="M269" i="2" s="1"/>
  <c r="M270" i="2" s="1"/>
  <c r="M271" i="2" s="1"/>
  <c r="M272" i="2" s="1"/>
  <c r="M273" i="2" s="1"/>
  <c r="M274" i="2" s="1"/>
  <c r="M275" i="2" s="1"/>
  <c r="M276" i="2" s="1"/>
  <c r="M277" i="2" s="1"/>
  <c r="M278" i="2" s="1"/>
  <c r="M279" i="2" s="1"/>
  <c r="M282" i="2" s="1"/>
  <c r="M283" i="2" s="1"/>
  <c r="M284" i="2" s="1"/>
  <c r="M285" i="2" s="1"/>
  <c r="M286" i="2" s="1"/>
  <c r="M287" i="2" s="1"/>
  <c r="M288" i="2" s="1"/>
  <c r="M289" i="2" s="1"/>
  <c r="M290" i="2" s="1"/>
  <c r="M291" i="2" s="1"/>
  <c r="M292" i="2" s="1"/>
  <c r="M293" i="2" s="1"/>
  <c r="M294" i="2" s="1"/>
  <c r="M295" i="2" s="1"/>
  <c r="M296" i="2" s="1"/>
  <c r="M299" i="2" s="1"/>
  <c r="M300" i="2" s="1"/>
  <c r="M301" i="2" s="1"/>
  <c r="M302" i="2" s="1"/>
  <c r="M303" i="2" s="1"/>
  <c r="M304" i="2" s="1"/>
  <c r="M305" i="2" s="1"/>
  <c r="M306" i="2" s="1"/>
  <c r="M307" i="2" s="1"/>
  <c r="M308" i="2" s="1"/>
  <c r="M309" i="2" s="1"/>
  <c r="M310" i="2" s="1"/>
  <c r="M311" i="2" s="1"/>
  <c r="M312" i="2" s="1"/>
  <c r="M313" i="2" s="1"/>
  <c r="M314" i="2" s="1"/>
  <c r="M315" i="2" s="1"/>
  <c r="M316" i="2" s="1"/>
  <c r="M317" i="2" s="1"/>
  <c r="M318" i="2" s="1"/>
  <c r="M319" i="2" s="1"/>
  <c r="M320" i="2" s="1"/>
  <c r="M321" i="2" s="1"/>
  <c r="M322" i="2" s="1"/>
  <c r="M323" i="2" s="1"/>
  <c r="M324" i="2" s="1"/>
  <c r="M325" i="2" s="1"/>
  <c r="M326" i="2" s="1"/>
  <c r="M327" i="2" s="1"/>
  <c r="M328" i="2" s="1"/>
  <c r="M329" i="2" s="1"/>
  <c r="M330" i="2" s="1"/>
  <c r="M331" i="2" s="1"/>
  <c r="M332" i="2" s="1"/>
  <c r="M333" i="2" s="1"/>
  <c r="M334" i="2" s="1"/>
  <c r="M335" i="2" s="1"/>
  <c r="M336" i="2" s="1"/>
  <c r="M337" i="2" s="1"/>
  <c r="M338" i="2" s="1"/>
  <c r="M339" i="2" s="1"/>
  <c r="M340" i="2" s="1"/>
  <c r="M341" i="2" s="1"/>
  <c r="M342" i="2" s="1"/>
  <c r="M343" i="2" s="1"/>
  <c r="M344" i="2" s="1"/>
  <c r="M345" i="2" s="1"/>
  <c r="M346" i="2" s="1"/>
  <c r="M347" i="2" s="1"/>
  <c r="M348" i="2" s="1"/>
  <c r="M349" i="2" s="1"/>
  <c r="M350" i="2" s="1"/>
  <c r="M351" i="2" s="1"/>
  <c r="M352" i="2" s="1"/>
  <c r="M353" i="2" s="1"/>
  <c r="M354" i="2" s="1"/>
  <c r="M355" i="2" s="1"/>
  <c r="M356" i="2" s="1"/>
  <c r="M357" i="2" s="1"/>
  <c r="M358" i="2" s="1"/>
  <c r="M359" i="2" s="1"/>
  <c r="M360" i="2" s="1"/>
  <c r="M361" i="2" s="1"/>
  <c r="M362" i="2" s="1"/>
  <c r="M363" i="2" s="1"/>
  <c r="M364" i="2" s="1"/>
  <c r="M365" i="2" s="1"/>
  <c r="M366" i="2" s="1"/>
  <c r="M367" i="2" s="1"/>
  <c r="M368" i="2" s="1"/>
  <c r="M369" i="2" s="1"/>
  <c r="M370" i="2" s="1"/>
  <c r="M371" i="2" s="1"/>
  <c r="M372" i="2" s="1"/>
  <c r="M373" i="2" s="1"/>
  <c r="M374" i="2" s="1"/>
  <c r="M375" i="2" s="1"/>
  <c r="M376" i="2" s="1"/>
  <c r="M377" i="2" s="1"/>
  <c r="M378" i="2" s="1"/>
  <c r="M379" i="2" s="1"/>
  <c r="M380" i="2" s="1"/>
  <c r="M381" i="2" s="1"/>
  <c r="M382" i="2" s="1"/>
  <c r="M383" i="2" s="1"/>
  <c r="M384" i="2" s="1"/>
  <c r="M385" i="2" s="1"/>
  <c r="M386" i="2" s="1"/>
  <c r="M387" i="2" s="1"/>
  <c r="M388" i="2" s="1"/>
  <c r="M389" i="2" s="1"/>
  <c r="M390" i="2" s="1"/>
  <c r="M391" i="2" s="1"/>
  <c r="M392" i="2" s="1"/>
  <c r="M393" i="2" s="1"/>
  <c r="M394" i="2" s="1"/>
  <c r="M395" i="2" s="1"/>
  <c r="M396" i="2" s="1"/>
  <c r="M397" i="2" s="1"/>
  <c r="M398" i="2" s="1"/>
  <c r="M399" i="2" s="1"/>
  <c r="M400" i="2" s="1"/>
  <c r="M401" i="2" s="1"/>
  <c r="M402" i="2" s="1"/>
  <c r="M403" i="2" s="1"/>
  <c r="M404" i="2" s="1"/>
  <c r="M405" i="2" s="1"/>
  <c r="M406" i="2" s="1"/>
  <c r="M407" i="2" s="1"/>
  <c r="M408" i="2" s="1"/>
  <c r="M409" i="2" s="1"/>
  <c r="M410" i="2" s="1"/>
  <c r="M411" i="2" s="1"/>
  <c r="M412" i="2" s="1"/>
  <c r="M413" i="2" s="1"/>
  <c r="M414" i="2" s="1"/>
  <c r="M415" i="2" s="1"/>
  <c r="M416" i="2" s="1"/>
  <c r="M417" i="2" s="1"/>
  <c r="M418" i="2" s="1"/>
  <c r="M419" i="2" s="1"/>
  <c r="M420" i="2" s="1"/>
  <c r="M421" i="2" s="1"/>
  <c r="M422" i="2" s="1"/>
  <c r="M423" i="2" s="1"/>
  <c r="M424" i="2" s="1"/>
  <c r="M425" i="2" s="1"/>
  <c r="M426" i="2" s="1"/>
  <c r="M427" i="2" s="1"/>
  <c r="M428" i="2" s="1"/>
  <c r="M429" i="2" s="1"/>
  <c r="M430" i="2" s="1"/>
  <c r="M431" i="2" s="1"/>
  <c r="M432" i="2" s="1"/>
  <c r="M433" i="2" s="1"/>
  <c r="M434" i="2" s="1"/>
  <c r="M435" i="2" s="1"/>
  <c r="M436" i="2" s="1"/>
  <c r="M437" i="2" s="1"/>
  <c r="M438" i="2" s="1"/>
  <c r="M439" i="2" s="1"/>
  <c r="M440" i="2" s="1"/>
  <c r="M441" i="2" s="1"/>
  <c r="M442" i="2" s="1"/>
  <c r="M443" i="2" s="1"/>
  <c r="M444" i="2" s="1"/>
  <c r="M445" i="2" s="1"/>
  <c r="M446" i="2" s="1"/>
  <c r="M447" i="2" s="1"/>
  <c r="M448" i="2" s="1"/>
  <c r="M449" i="2" s="1"/>
  <c r="M450" i="2" s="1"/>
  <c r="M451" i="2" s="1"/>
  <c r="M452" i="2" s="1"/>
  <c r="M453" i="2" s="1"/>
  <c r="M454" i="2" s="1"/>
  <c r="M455" i="2" s="1"/>
  <c r="M456" i="2" s="1"/>
  <c r="M457" i="2" s="1"/>
  <c r="M458" i="2" s="1"/>
  <c r="M459" i="2" s="1"/>
  <c r="M460" i="2" s="1"/>
  <c r="M461" i="2" s="1"/>
  <c r="M462" i="2" s="1"/>
  <c r="M463" i="2" s="1"/>
  <c r="M464" i="2" s="1"/>
  <c r="M465" i="2" s="1"/>
  <c r="M466" i="2" s="1"/>
  <c r="M467" i="2" s="1"/>
  <c r="M468" i="2" s="1"/>
  <c r="M469" i="2" s="1"/>
  <c r="M470" i="2" s="1"/>
  <c r="M471" i="2" s="1"/>
  <c r="M474" i="2" s="1"/>
  <c r="M477" i="2" s="1"/>
  <c r="M478" i="2" s="1"/>
  <c r="M479" i="2" s="1"/>
  <c r="M480" i="2" s="1"/>
  <c r="M481" i="2" s="1"/>
  <c r="M482" i="2" s="1"/>
  <c r="M483" i="2" s="1"/>
  <c r="M484" i="2" s="1"/>
  <c r="M485" i="2" s="1"/>
  <c r="M486" i="2" s="1"/>
  <c r="M487" i="2" s="1"/>
  <c r="M488" i="2" s="1"/>
  <c r="M489" i="2" s="1"/>
  <c r="M490" i="2" s="1"/>
  <c r="M491" i="2" s="1"/>
  <c r="M492" i="2" s="1"/>
  <c r="M493" i="2" s="1"/>
  <c r="M494" i="2" s="1"/>
  <c r="M495" i="2" s="1"/>
  <c r="M496" i="2" s="1"/>
  <c r="M497" i="2" s="1"/>
  <c r="M498" i="2" s="1"/>
  <c r="M499" i="2" s="1"/>
  <c r="M500" i="2" s="1"/>
  <c r="M501" i="2" s="1"/>
  <c r="M502" i="2" s="1"/>
  <c r="M503" i="2" s="1"/>
  <c r="M504" i="2" s="1"/>
  <c r="M505" i="2" s="1"/>
  <c r="M506" i="2" s="1"/>
  <c r="M507" i="2" s="1"/>
  <c r="M508" i="2" s="1"/>
  <c r="M509" i="2" s="1"/>
  <c r="M510" i="2" s="1"/>
  <c r="M511" i="2" s="1"/>
  <c r="M512" i="2" s="1"/>
  <c r="M513" i="2" s="1"/>
  <c r="M514" i="2" s="1"/>
  <c r="M515" i="2" s="1"/>
  <c r="M516" i="2" s="1"/>
  <c r="M517" i="2" s="1"/>
  <c r="M518" i="2" s="1"/>
  <c r="M519" i="2" s="1"/>
  <c r="M520" i="2" s="1"/>
  <c r="M521" i="2" s="1"/>
  <c r="M522" i="2" s="1"/>
  <c r="M523" i="2" s="1"/>
  <c r="M524" i="2" s="1"/>
  <c r="M525" i="2" s="1"/>
  <c r="M526" i="2" s="1"/>
  <c r="M528" i="2" s="1"/>
  <c r="M529" i="2" s="1"/>
  <c r="M530" i="2" s="1"/>
  <c r="M531" i="2" s="1"/>
  <c r="M532" i="2" s="1"/>
  <c r="M533" i="2" s="1"/>
  <c r="M534" i="2" s="1"/>
  <c r="M535" i="2" s="1"/>
  <c r="M536" i="2" s="1"/>
  <c r="M537" i="2" s="1"/>
  <c r="M538" i="2" s="1"/>
  <c r="M539" i="2" s="1"/>
  <c r="M540" i="2" s="1"/>
  <c r="M541" i="2" s="1"/>
  <c r="M542" i="2" s="1"/>
  <c r="M543" i="2" s="1"/>
  <c r="M544" i="2" s="1"/>
  <c r="M545" i="2" s="1"/>
  <c r="M546" i="2" s="1"/>
  <c r="M547" i="2" s="1"/>
  <c r="M548" i="2" s="1"/>
  <c r="M549" i="2" s="1"/>
  <c r="M550" i="2" s="1"/>
  <c r="M551" i="2" s="1"/>
  <c r="M552" i="2" s="1"/>
  <c r="M553" i="2" s="1"/>
  <c r="M554" i="2" s="1"/>
  <c r="M555" i="2" s="1"/>
  <c r="M556" i="2" s="1"/>
  <c r="M557" i="2" s="1"/>
  <c r="M558" i="2" s="1"/>
  <c r="M559" i="2" s="1"/>
  <c r="M560" i="2" s="1"/>
  <c r="M561" i="2" s="1"/>
  <c r="M562" i="2" s="1"/>
  <c r="M563" i="2" s="1"/>
  <c r="M564" i="2" s="1"/>
  <c r="M565" i="2" s="1"/>
  <c r="M566" i="2" s="1"/>
  <c r="M567" i="2" s="1"/>
  <c r="M568" i="2" s="1"/>
  <c r="M569" i="2" s="1"/>
  <c r="M570" i="2" s="1"/>
  <c r="M571" i="2" s="1"/>
  <c r="M572" i="2" s="1"/>
  <c r="M573" i="2" s="1"/>
  <c r="M574" i="2" s="1"/>
  <c r="M575" i="2" s="1"/>
  <c r="M576" i="2" s="1"/>
  <c r="M577" i="2" s="1"/>
  <c r="M578" i="2" s="1"/>
  <c r="M579" i="2" s="1"/>
  <c r="M580" i="2" s="1"/>
  <c r="M581" i="2" s="1"/>
  <c r="M582" i="2" s="1"/>
  <c r="M583" i="2" s="1"/>
  <c r="M584" i="2" s="1"/>
  <c r="M585" i="2" s="1"/>
  <c r="M586" i="2" s="1"/>
  <c r="M587" i="2" s="1"/>
  <c r="M588" i="2" s="1"/>
  <c r="M589" i="2" s="1"/>
  <c r="M590" i="2" s="1"/>
  <c r="M591" i="2" s="1"/>
  <c r="M592" i="2" s="1"/>
  <c r="M593" i="2" s="1"/>
  <c r="M594" i="2" s="1"/>
  <c r="M595" i="2" s="1"/>
  <c r="M596" i="2" s="1"/>
  <c r="M597" i="2" s="1"/>
  <c r="M600" i="2" s="1"/>
  <c r="M603" i="2" s="1"/>
  <c r="M606" i="2" s="1"/>
  <c r="M609" i="2" s="1"/>
  <c r="M610" i="2" s="1"/>
  <c r="M611" i="2" s="1"/>
  <c r="M612" i="2" s="1"/>
  <c r="M613" i="2" s="1"/>
  <c r="M615" i="2" s="1"/>
  <c r="M616" i="2" s="1"/>
  <c r="M617" i="2" s="1"/>
  <c r="M618" i="2" s="1"/>
  <c r="M619" i="2" s="1"/>
  <c r="M620" i="2" s="1"/>
  <c r="M621" i="2" s="1"/>
  <c r="M624" i="2" s="1"/>
  <c r="M625" i="2" s="1"/>
  <c r="M626" i="2" s="1"/>
  <c r="M629" i="2" s="1"/>
  <c r="M633" i="2" s="1"/>
  <c r="M634" i="2" s="1"/>
  <c r="M635" i="2" s="1"/>
  <c r="M636" i="2" s="1"/>
  <c r="M638" i="2" s="1"/>
  <c r="M641" i="2" s="1"/>
  <c r="M647" i="2" s="1"/>
  <c r="M650" i="2" s="1"/>
  <c r="M651" i="2" s="1"/>
  <c r="M653" i="2" s="1"/>
  <c r="M654" i="2" s="1"/>
  <c r="M655" i="2" s="1"/>
  <c r="M658" i="2" s="1"/>
  <c r="M660" i="2" s="1"/>
  <c r="M661" i="2" s="1"/>
  <c r="M663" i="2" s="1"/>
  <c r="M664" i="2" s="1"/>
  <c r="M666" i="2" s="1"/>
  <c r="M668" i="2" s="1"/>
  <c r="M669" i="2" s="1"/>
  <c r="M671" i="2" s="1"/>
  <c r="M672" i="2" s="1"/>
  <c r="M673" i="2" s="1"/>
  <c r="M674" i="2" s="1"/>
  <c r="M677" i="2" s="1"/>
  <c r="M680" i="2" s="1"/>
  <c r="M681" i="2" s="1"/>
  <c r="M682" i="2" s="1"/>
  <c r="M683" i="2" s="1"/>
  <c r="M684" i="2" s="1"/>
  <c r="M686" i="2" s="1"/>
  <c r="M687" i="2" s="1"/>
  <c r="M688" i="2" s="1"/>
  <c r="M689" i="2" s="1"/>
  <c r="M691" i="2" s="1"/>
  <c r="M692" i="2" s="1"/>
  <c r="M693" i="2" s="1"/>
  <c r="M694" i="2" s="1"/>
  <c r="M696" i="2" s="1"/>
  <c r="M697" i="2" s="1"/>
  <c r="M700" i="2" s="1"/>
  <c r="M703" i="2" s="1"/>
  <c r="M709" i="2" s="1"/>
  <c r="M712" i="2" s="1"/>
  <c r="M715" i="2" s="1"/>
  <c r="M718" i="2" s="1"/>
  <c r="M724" i="2" s="1"/>
  <c r="M727" i="2" s="1"/>
  <c r="M730" i="2" s="1"/>
  <c r="M733" i="2" s="1"/>
  <c r="M739" i="2" s="1"/>
  <c r="M742" i="2" s="1"/>
  <c r="M745" i="2" s="1"/>
  <c r="M748" i="2" s="1"/>
  <c r="M754" i="2" s="1"/>
  <c r="M757" i="2" s="1"/>
  <c r="M760" i="2" s="1"/>
  <c r="M763" i="2" s="1"/>
  <c r="M769" i="2" s="1"/>
  <c r="M772" i="2" s="1"/>
  <c r="M773" i="2" s="1"/>
  <c r="M774" i="2" s="1"/>
  <c r="M776" i="2" s="1"/>
  <c r="M777" i="2" s="1"/>
  <c r="M780" i="2" s="1"/>
  <c r="M783" i="2" s="1"/>
  <c r="M785" i="2" s="1"/>
  <c r="M786" i="2" s="1"/>
  <c r="M789" i="2" s="1"/>
  <c r="M792" i="2" s="1"/>
  <c r="M798" i="2" s="1"/>
  <c r="M801" i="2" s="1"/>
  <c r="M804" i="2" s="1"/>
  <c r="M807" i="2" s="1"/>
  <c r="M813" i="2" s="1"/>
  <c r="M816" i="2" s="1"/>
  <c r="M818" i="2" s="1"/>
  <c r="M819" i="2" s="1"/>
  <c r="M821" i="2" s="1"/>
  <c r="M822" i="2" s="1"/>
  <c r="M823" i="2" s="1"/>
  <c r="M824" i="2" s="1"/>
  <c r="M826" i="2" s="1"/>
  <c r="M827" i="2" s="1"/>
  <c r="M828" i="2" s="1"/>
  <c r="M829" i="2" s="1"/>
  <c r="M831" i="2" s="1"/>
  <c r="M832" i="2" s="1"/>
  <c r="M833" i="2" s="1"/>
  <c r="M834" i="2" s="1"/>
  <c r="M836" i="2" s="1"/>
  <c r="M837" i="2" s="1"/>
  <c r="M838" i="2" s="1"/>
  <c r="M839" i="2" s="1"/>
  <c r="M841" i="2" s="1"/>
  <c r="M842" i="2" s="1"/>
  <c r="M843" i="2" s="1"/>
  <c r="M844" i="2" s="1"/>
  <c r="M846" i="2" s="1"/>
  <c r="M847" i="2" s="1"/>
  <c r="M848" i="2" s="1"/>
  <c r="M849" i="2" s="1"/>
  <c r="M851" i="2" s="1"/>
  <c r="M852" i="2" s="1"/>
  <c r="M853" i="2" s="1"/>
  <c r="M854" i="2" s="1"/>
  <c r="M856" i="2" s="1"/>
  <c r="M857" i="2" s="1"/>
  <c r="M860" i="2" s="1"/>
  <c r="M863" i="2" s="1"/>
  <c r="M869" i="2" s="1"/>
  <c r="M872" i="2" s="1"/>
  <c r="M873" i="2" s="1"/>
  <c r="M874" i="2" s="1"/>
  <c r="M876" i="2" s="1"/>
  <c r="M877" i="2" s="1"/>
  <c r="M878" i="2" s="1"/>
  <c r="M879" i="2" s="1"/>
  <c r="M881" i="2" s="1"/>
  <c r="M882" i="2" s="1"/>
  <c r="M883" i="2" s="1"/>
  <c r="M884" i="2" s="1"/>
  <c r="M886" i="2" s="1"/>
  <c r="M887" i="2" s="1"/>
  <c r="M888" i="2" s="1"/>
  <c r="M889" i="2" s="1"/>
  <c r="M891" i="2" s="1"/>
  <c r="M892" i="2" s="1"/>
  <c r="M893" i="2" s="1"/>
  <c r="M894" i="2" s="1"/>
  <c r="M896" i="2" s="1"/>
  <c r="M897" i="2" s="1"/>
  <c r="M900" i="2" s="1"/>
  <c r="M903" i="2" s="1"/>
  <c r="M909" i="2" s="1"/>
  <c r="M912" i="2" s="1"/>
  <c r="M915" i="2" s="1"/>
  <c r="M918" i="2" s="1"/>
  <c r="M924" i="2" s="1"/>
  <c r="M927" i="2" s="1"/>
  <c r="M930" i="2" s="1"/>
  <c r="M933" i="2" s="1"/>
  <c r="M939" i="2" s="1"/>
  <c r="M942" i="2" s="1"/>
  <c r="M945" i="2" s="1"/>
  <c r="M948" i="2" s="1"/>
  <c r="M954" i="2" s="1"/>
  <c r="M957" i="2" s="1"/>
  <c r="M958" i="2" s="1"/>
  <c r="M959" i="2" s="1"/>
  <c r="M961" i="2" s="1"/>
  <c r="M962" i="2" s="1"/>
  <c r="M963" i="2" s="1"/>
  <c r="M964" i="2" s="1"/>
  <c r="M966" i="2" s="1"/>
  <c r="M967" i="2" s="1"/>
  <c r="M968" i="2" s="1"/>
  <c r="M971" i="2" s="1"/>
  <c r="M974" i="2" s="1"/>
  <c r="M978" i="2" s="1"/>
  <c r="M981" i="2" s="1"/>
  <c r="M984" i="2" s="1"/>
  <c r="M987" i="2" s="1"/>
  <c r="M989" i="2" s="1"/>
  <c r="M990" i="2" s="1"/>
  <c r="M991" i="2" s="1"/>
  <c r="M992" i="2" s="1"/>
  <c r="M993" i="2" s="1"/>
  <c r="M994" i="2" s="1"/>
  <c r="M995" i="2" s="1"/>
  <c r="M996" i="2" s="1"/>
  <c r="M997" i="2" s="1"/>
  <c r="M998" i="2" s="1"/>
  <c r="M999" i="2" s="1"/>
  <c r="M1000" i="2" s="1"/>
  <c r="M1001" i="2" s="1"/>
  <c r="M1002" i="2" s="1"/>
  <c r="M1003" i="2" s="1"/>
  <c r="M1004" i="2" s="1"/>
  <c r="M1005" i="2" s="1"/>
  <c r="M1006" i="2" s="1"/>
  <c r="M1008" i="2" s="1"/>
  <c r="M1010" i="2" s="1"/>
  <c r="M1011" i="2" s="1"/>
  <c r="M1012" i="2" s="1"/>
  <c r="M1014" i="2" s="1"/>
  <c r="M1016" i="2" s="1"/>
  <c r="M1017" i="2" s="1"/>
  <c r="M1018" i="2" s="1"/>
  <c r="M1019" i="2" s="1"/>
  <c r="M1020" i="2" s="1"/>
  <c r="M1021" i="2" s="1"/>
  <c r="M1022" i="2" s="1"/>
  <c r="M1023" i="2" s="1"/>
  <c r="M1024" i="2" s="1"/>
  <c r="M1025" i="2" s="1"/>
  <c r="M1026" i="2" s="1"/>
  <c r="M1027" i="2" s="1"/>
  <c r="M1028" i="2" s="1"/>
  <c r="M1029" i="2" s="1"/>
  <c r="M1030" i="2" s="1"/>
  <c r="M1031" i="2" s="1"/>
  <c r="M1032" i="2" s="1"/>
  <c r="M1033" i="2" s="1"/>
  <c r="M1034" i="2" s="1"/>
  <c r="M1035" i="2" s="1"/>
  <c r="M1036" i="2" s="1"/>
  <c r="M1037" i="2" s="1"/>
  <c r="M1038" i="2" s="1"/>
  <c r="M1039" i="2" s="1"/>
  <c r="M1040" i="2" s="1"/>
  <c r="M1041" i="2" s="1"/>
  <c r="M1042" i="2" s="1"/>
  <c r="M1043" i="2" s="1"/>
  <c r="M1044" i="2" s="1"/>
  <c r="M1045" i="2" s="1"/>
  <c r="M1046" i="2" s="1"/>
  <c r="M1047" i="2" s="1"/>
  <c r="M1048" i="2" s="1"/>
  <c r="M1049" i="2" s="1"/>
  <c r="M1050" i="2" s="1"/>
  <c r="M1051" i="2" s="1"/>
  <c r="M1052" i="2" s="1"/>
  <c r="M1053" i="2" s="1"/>
  <c r="M1054" i="2" s="1"/>
  <c r="M1055" i="2" s="1"/>
  <c r="M1056" i="2" s="1"/>
  <c r="M1057" i="2" s="1"/>
  <c r="M1058" i="2" s="1"/>
  <c r="M1059" i="2" s="1"/>
  <c r="M1060" i="2" s="1"/>
  <c r="M1061" i="2" s="1"/>
  <c r="M1062" i="2" s="1"/>
  <c r="M1063" i="2" s="1"/>
  <c r="M1064" i="2" s="1"/>
  <c r="M1065" i="2" s="1"/>
  <c r="M1066" i="2" s="1"/>
  <c r="M1067" i="2" s="1"/>
  <c r="M1068" i="2" s="1"/>
  <c r="M1069" i="2" s="1"/>
  <c r="M1070" i="2" s="1"/>
  <c r="M1071" i="2" s="1"/>
  <c r="M1072" i="2" s="1"/>
  <c r="M1073" i="2" s="1"/>
  <c r="M1074" i="2" s="1"/>
  <c r="M1075" i="2" s="1"/>
  <c r="M1076" i="2" s="1"/>
  <c r="M1077" i="2" s="1"/>
  <c r="M1078" i="2" s="1"/>
  <c r="M1079" i="2" s="1"/>
  <c r="M1080" i="2" s="1"/>
  <c r="M1081" i="2" s="1"/>
  <c r="M1082" i="2" s="1"/>
  <c r="M1083" i="2" s="1"/>
  <c r="M1084" i="2" s="1"/>
  <c r="M1085" i="2" s="1"/>
  <c r="M1086" i="2" s="1"/>
  <c r="M1087" i="2" s="1"/>
  <c r="M1088" i="2" s="1"/>
  <c r="M1089" i="2" s="1"/>
  <c r="M1090" i="2" s="1"/>
  <c r="M1091" i="2" s="1"/>
  <c r="M1092" i="2" s="1"/>
  <c r="M1093" i="2" s="1"/>
  <c r="M1094" i="2" s="1"/>
  <c r="M1095" i="2" s="1"/>
  <c r="M1096" i="2" s="1"/>
  <c r="M1097" i="2" s="1"/>
  <c r="M1098" i="2" s="1"/>
  <c r="M1099" i="2" s="1"/>
  <c r="M1100" i="2" s="1"/>
  <c r="M1101" i="2" s="1"/>
  <c r="M1102" i="2" s="1"/>
  <c r="M1103" i="2" s="1"/>
  <c r="M1104" i="2" s="1"/>
  <c r="M1105" i="2" s="1"/>
  <c r="M1106" i="2" s="1"/>
  <c r="M1107" i="2" s="1"/>
  <c r="M1108" i="2" s="1"/>
  <c r="M1109" i="2" s="1"/>
  <c r="M1110" i="2" s="1"/>
  <c r="M1111" i="2" s="1"/>
  <c r="M1112" i="2" s="1"/>
  <c r="M1113" i="2" s="1"/>
  <c r="M1114" i="2" s="1"/>
  <c r="M1115" i="2" s="1"/>
  <c r="M1116" i="2" s="1"/>
  <c r="M1119" i="2" s="1"/>
  <c r="M1122" i="2" s="1"/>
  <c r="M1123" i="2" s="1"/>
  <c r="M1124" i="2" s="1"/>
  <c r="M1125" i="2" s="1"/>
  <c r="M1126" i="2" s="1"/>
  <c r="M1127" i="2" s="1"/>
  <c r="M1128" i="2" s="1"/>
  <c r="M1129" i="2" s="1"/>
  <c r="M1130" i="2" s="1"/>
  <c r="M1131" i="2" s="1"/>
  <c r="M1132" i="2" s="1"/>
  <c r="M1133" i="2" s="1"/>
  <c r="M1134" i="2" s="1"/>
  <c r="M1135" i="2" s="1"/>
  <c r="M1136" i="2" s="1"/>
  <c r="M1137" i="2" s="1"/>
  <c r="M1138" i="2" s="1"/>
  <c r="M1139" i="2" s="1"/>
  <c r="M1140" i="2" s="1"/>
  <c r="M1141" i="2" s="1"/>
  <c r="M1142" i="2" s="1"/>
  <c r="M1143" i="2" s="1"/>
  <c r="M1144" i="2" s="1"/>
  <c r="M1145" i="2" s="1"/>
  <c r="M1146" i="2" s="1"/>
  <c r="M1147" i="2" s="1"/>
  <c r="M1148" i="2" s="1"/>
  <c r="M1149" i="2" s="1"/>
  <c r="M1150" i="2" s="1"/>
  <c r="M1151" i="2" s="1"/>
  <c r="M1152" i="2" s="1"/>
  <c r="M1153" i="2" s="1"/>
  <c r="M1154" i="2" s="1"/>
  <c r="M1155" i="2" s="1"/>
  <c r="M1156" i="2" s="1"/>
  <c r="M1157" i="2" s="1"/>
  <c r="M1158" i="2" s="1"/>
  <c r="M1159" i="2" s="1"/>
  <c r="M1160" i="2" s="1"/>
  <c r="M1161" i="2" s="1"/>
  <c r="M1162" i="2" s="1"/>
  <c r="M1163" i="2" s="1"/>
  <c r="M1164" i="2" s="1"/>
  <c r="M1165" i="2" s="1"/>
  <c r="M1166" i="2" s="1"/>
  <c r="M1167" i="2" s="1"/>
  <c r="M1168" i="2" s="1"/>
  <c r="M1169" i="2" s="1"/>
  <c r="M1170" i="2" s="1"/>
  <c r="M1171" i="2" s="1"/>
  <c r="M1172" i="2" s="1"/>
  <c r="M1173" i="2" s="1"/>
  <c r="M1174" i="2" s="1"/>
  <c r="M1175" i="2" s="1"/>
  <c r="M1176" i="2" s="1"/>
  <c r="M1177" i="2" s="1"/>
  <c r="M1178" i="2" s="1"/>
  <c r="M1179" i="2" s="1"/>
  <c r="M1180" i="2" s="1"/>
  <c r="M1181" i="2" s="1"/>
  <c r="M1184" i="2" s="1"/>
  <c r="M1187" i="2" s="1"/>
  <c r="M1188" i="2" s="1"/>
  <c r="M1190" i="2" s="1"/>
  <c r="M1192" i="2" s="1"/>
  <c r="M1193" i="2" s="1"/>
  <c r="M1194" i="2" s="1"/>
  <c r="M1195" i="2" s="1"/>
  <c r="M1196" i="2" s="1"/>
  <c r="M1197" i="2" s="1"/>
  <c r="M1198" i="2" s="1"/>
  <c r="M1199" i="2" s="1"/>
  <c r="M1202" i="2" s="1"/>
  <c r="M1203" i="2" s="1"/>
  <c r="M1204" i="2" s="1"/>
  <c r="M1206" i="2" s="1"/>
  <c r="M1207" i="2" s="1"/>
  <c r="M1208" i="2" s="1"/>
  <c r="M1209" i="2" s="1"/>
  <c r="M1210" i="2" s="1"/>
  <c r="M1211" i="2" s="1"/>
  <c r="M1212" i="2" s="1"/>
  <c r="M1213" i="2" s="1"/>
  <c r="M1214" i="2" s="1"/>
  <c r="M1215" i="2" s="1"/>
  <c r="M1216" i="2" s="1"/>
  <c r="M1217" i="2" s="1"/>
  <c r="M1218" i="2" s="1"/>
  <c r="M1219" i="2" s="1"/>
  <c r="M1220" i="2" s="1"/>
  <c r="M1221" i="2" s="1"/>
  <c r="M1222" i="2" s="1"/>
  <c r="M1223" i="2" s="1"/>
  <c r="M1224" i="2" s="1"/>
  <c r="M1225" i="2" s="1"/>
  <c r="M1226" i="2" s="1"/>
  <c r="M1227" i="2" s="1"/>
  <c r="M1228" i="2" s="1"/>
  <c r="M1229" i="2" s="1"/>
  <c r="M1230" i="2" s="1"/>
  <c r="M1231" i="2" s="1"/>
  <c r="M1232" i="2" s="1"/>
  <c r="M1233" i="2" s="1"/>
  <c r="M1234" i="2" s="1"/>
  <c r="M1235" i="2" s="1"/>
  <c r="M1236" i="2" s="1"/>
  <c r="M1237" i="2" s="1"/>
  <c r="M1238" i="2" s="1"/>
  <c r="M1239" i="2" s="1"/>
  <c r="M1240" i="2" s="1"/>
  <c r="M1241" i="2" s="1"/>
  <c r="M1242" i="2" s="1"/>
  <c r="M1243" i="2" s="1"/>
  <c r="M1244" i="2" s="1"/>
  <c r="M1245" i="2" s="1"/>
  <c r="M1246" i="2" s="1"/>
  <c r="M1247" i="2" s="1"/>
  <c r="M1248" i="2" s="1"/>
  <c r="M1249" i="2" s="1"/>
  <c r="M1250" i="2" s="1"/>
  <c r="M1251" i="2" s="1"/>
  <c r="M1252" i="2" s="1"/>
  <c r="M1253" i="2" s="1"/>
  <c r="M1254" i="2" s="1"/>
  <c r="M1255" i="2" s="1"/>
  <c r="M1256" i="2" s="1"/>
  <c r="M1257" i="2" s="1"/>
  <c r="M1258" i="2" s="1"/>
  <c r="M1259" i="2" s="1"/>
  <c r="M1260" i="2" s="1"/>
  <c r="M1261" i="2" s="1"/>
  <c r="M1262" i="2" s="1"/>
  <c r="M1263" i="2" s="1"/>
  <c r="M1264" i="2" s="1"/>
  <c r="M1265" i="2" s="1"/>
  <c r="M1266" i="2" s="1"/>
  <c r="M1267" i="2" s="1"/>
  <c r="M1268" i="2" s="1"/>
  <c r="M1269" i="2" s="1"/>
  <c r="M1270" i="2" s="1"/>
  <c r="M1271" i="2" s="1"/>
  <c r="M1272" i="2" s="1"/>
  <c r="M1273" i="2" s="1"/>
  <c r="M1274" i="2" s="1"/>
  <c r="M1275" i="2" s="1"/>
  <c r="M1276" i="2" s="1"/>
  <c r="M1277" i="2" s="1"/>
  <c r="M1278" i="2" s="1"/>
  <c r="M1279" i="2" s="1"/>
  <c r="M1280" i="2" s="1"/>
  <c r="M1281" i="2" s="1"/>
  <c r="M1282" i="2" s="1"/>
  <c r="M1283" i="2" s="1"/>
  <c r="M1284" i="2" s="1"/>
  <c r="M1285" i="2" s="1"/>
  <c r="M1286" i="2" s="1"/>
  <c r="M1287" i="2" s="1"/>
  <c r="M1288" i="2" s="1"/>
  <c r="M1289" i="2" s="1"/>
  <c r="M1290" i="2" s="1"/>
  <c r="M1291" i="2" s="1"/>
  <c r="M1292" i="2" s="1"/>
  <c r="M1293" i="2" s="1"/>
  <c r="M1294" i="2" s="1"/>
  <c r="M1295" i="2" s="1"/>
  <c r="M1296" i="2" s="1"/>
  <c r="M1297" i="2" s="1"/>
  <c r="M1298" i="2" s="1"/>
  <c r="M1299" i="2" s="1"/>
  <c r="M1300" i="2" s="1"/>
  <c r="M1301" i="2" s="1"/>
  <c r="M1302" i="2" s="1"/>
  <c r="M1303" i="2" s="1"/>
  <c r="M1304" i="2" s="1"/>
  <c r="M1305" i="2" s="1"/>
  <c r="M1306" i="2" s="1"/>
  <c r="M1307" i="2" s="1"/>
  <c r="M1308" i="2" s="1"/>
  <c r="M1309" i="2" s="1"/>
  <c r="M1310" i="2" s="1"/>
  <c r="M1313" i="2" s="1"/>
  <c r="M1332" i="2" s="1"/>
  <c r="M1335" i="2" s="1"/>
  <c r="M1338" i="2" s="1"/>
  <c r="M1339" i="2" s="1"/>
  <c r="M1340" i="2" s="1"/>
  <c r="M1341" i="2" s="1"/>
  <c r="M1342" i="2" s="1"/>
  <c r="M1343" i="2" s="1"/>
  <c r="M1344" i="2" s="1"/>
  <c r="M1351" i="2" s="1"/>
  <c r="M1355" i="2" s="1"/>
  <c r="M1356" i="2" s="1"/>
  <c r="M1357" i="2" s="1"/>
  <c r="M1358" i="2" s="1"/>
  <c r="M1359" i="2" s="1"/>
  <c r="M1360" i="2" s="1"/>
  <c r="M1361" i="2" s="1"/>
  <c r="M1362" i="2" s="1"/>
  <c r="M1363" i="2" s="1"/>
  <c r="M1364" i="2" s="1"/>
  <c r="M1365" i="2" s="1"/>
  <c r="M1366" i="2" s="1"/>
  <c r="M1367" i="2" s="1"/>
  <c r="M1370" i="2" s="1"/>
  <c r="M1373" i="2" s="1"/>
  <c r="M1376" i="2" s="1"/>
  <c r="M1379" i="2" s="1"/>
  <c r="M1380" i="2" s="1"/>
  <c r="M1381" i="2" s="1"/>
  <c r="M1385" i="2" s="1"/>
  <c r="M1386" i="2" s="1"/>
  <c r="M1387" i="2" s="1"/>
  <c r="M1390" i="2" s="1"/>
  <c r="M1391" i="2" s="1"/>
  <c r="M1392" i="2" s="1"/>
  <c r="M1393" i="2" s="1"/>
  <c r="M1394" i="2" s="1"/>
  <c r="M1397" i="2" s="1"/>
  <c r="M1401" i="2" s="1"/>
  <c r="M1402" i="2" s="1"/>
  <c r="M1403" i="2" s="1"/>
  <c r="M1406" i="2" s="1"/>
  <c r="M1407" i="2" s="1"/>
  <c r="M1408" i="2" s="1"/>
  <c r="M1409" i="2" s="1"/>
  <c r="M1410" i="2" s="1"/>
  <c r="M1411" i="2" s="1"/>
  <c r="M1412" i="2" s="1"/>
  <c r="M1413" i="2" s="1"/>
  <c r="M1414" i="2" s="1"/>
  <c r="M1415" i="2" s="1"/>
  <c r="M1416" i="2" s="1"/>
  <c r="M1417" i="2" s="1"/>
  <c r="M1418" i="2" s="1"/>
  <c r="M1419" i="2" s="1"/>
  <c r="M1420" i="2" s="1"/>
  <c r="M1421" i="2" s="1"/>
  <c r="M1422" i="2" s="1"/>
  <c r="M1423" i="2" s="1"/>
  <c r="M1424" i="2" s="1"/>
  <c r="M1425" i="2" s="1"/>
  <c r="M1426" i="2" s="1"/>
  <c r="M1427" i="2" s="1"/>
  <c r="M1428" i="2" s="1"/>
  <c r="M1429" i="2" s="1"/>
  <c r="M1430" i="2" s="1"/>
  <c r="M1431" i="2" s="1"/>
  <c r="M1432" i="2" s="1"/>
  <c r="M1433" i="2" s="1"/>
  <c r="M1434" i="2" s="1"/>
  <c r="M1435" i="2" s="1"/>
  <c r="M1436" i="2" s="1"/>
  <c r="M1437" i="2" s="1"/>
  <c r="M1438" i="2" s="1"/>
  <c r="M1439" i="2" s="1"/>
  <c r="M1440" i="2" s="1"/>
  <c r="M1441" i="2" s="1"/>
  <c r="M1442" i="2" s="1"/>
  <c r="M1443" i="2" s="1"/>
  <c r="M1444" i="2" s="1"/>
  <c r="M1445" i="2" s="1"/>
  <c r="M1446" i="2" s="1"/>
  <c r="M1447" i="2" s="1"/>
  <c r="M1448" i="2" s="1"/>
  <c r="M1449" i="2" s="1"/>
  <c r="M1450" i="2" s="1"/>
  <c r="M1451" i="2" s="1"/>
  <c r="M1452" i="2" s="1"/>
  <c r="M1453" i="2" s="1"/>
  <c r="M1454" i="2" s="1"/>
  <c r="M1455" i="2" s="1"/>
  <c r="M1456" i="2" s="1"/>
  <c r="M1457" i="2" s="1"/>
  <c r="M1458" i="2" s="1"/>
  <c r="M1459" i="2" s="1"/>
  <c r="M1460" i="2" s="1"/>
  <c r="M1461" i="2" s="1"/>
  <c r="M1462" i="2" s="1"/>
  <c r="M1463" i="2" s="1"/>
  <c r="M1464" i="2" s="1"/>
  <c r="M1465" i="2" s="1"/>
  <c r="M1466" i="2" s="1"/>
  <c r="M1467" i="2" s="1"/>
  <c r="M1468" i="2" s="1"/>
  <c r="M1469" i="2" s="1"/>
  <c r="M1470" i="2" s="1"/>
  <c r="M1471" i="2" s="1"/>
  <c r="M1472" i="2" s="1"/>
  <c r="M1473" i="2" s="1"/>
  <c r="M1474" i="2" s="1"/>
  <c r="M1475" i="2" s="1"/>
  <c r="M1476" i="2" s="1"/>
  <c r="M1477" i="2" s="1"/>
  <c r="M1478" i="2" s="1"/>
  <c r="M1479" i="2" s="1"/>
  <c r="M1480" i="2" s="1"/>
  <c r="M1481" i="2" s="1"/>
  <c r="M1482" i="2" s="1"/>
  <c r="M1483" i="2" s="1"/>
  <c r="M1484" i="2" s="1"/>
  <c r="M1485" i="2" s="1"/>
  <c r="M1486" i="2" s="1"/>
  <c r="M1487" i="2" s="1"/>
  <c r="M1488" i="2" s="1"/>
  <c r="M1489" i="2" s="1"/>
  <c r="M1492" i="2" s="1"/>
  <c r="M1495" i="2" s="1"/>
  <c r="M1498" i="2" s="1"/>
  <c r="M1501" i="2" s="1"/>
  <c r="M1502" i="2" s="1"/>
  <c r="M1503" i="2" s="1"/>
  <c r="M1504" i="2" s="1"/>
  <c r="M1505" i="2" s="1"/>
  <c r="M1506" i="2" s="1"/>
  <c r="M1507" i="2" s="1"/>
  <c r="M1508" i="2" s="1"/>
  <c r="M1509" i="2" s="1"/>
  <c r="M1512" i="2" s="1"/>
  <c r="M1513" i="2" s="1"/>
  <c r="M1516" i="2" s="1"/>
  <c r="M1517" i="2" s="1"/>
  <c r="M1518" i="2" s="1"/>
  <c r="M1519" i="2" s="1"/>
  <c r="M1520" i="2" s="1"/>
  <c r="M1521" i="2" s="1"/>
  <c r="M1522" i="2" s="1"/>
  <c r="M1523" i="2" s="1"/>
  <c r="M1524" i="2" s="1"/>
  <c r="M1525" i="2" s="1"/>
  <c r="M1528" i="2" s="1"/>
  <c r="M1529" i="2" s="1"/>
  <c r="M1532" i="2" s="1"/>
  <c r="M1533" i="2" s="1"/>
  <c r="M1534" i="2" s="1"/>
  <c r="M1535" i="2" s="1"/>
  <c r="M1536" i="2" s="1"/>
  <c r="M1537" i="2" s="1"/>
  <c r="M1538" i="2" s="1"/>
  <c r="M1539" i="2" s="1"/>
  <c r="M1540" i="2" s="1"/>
  <c r="M1541" i="2" s="1"/>
  <c r="M1542" i="2" s="1"/>
  <c r="M1543" i="2" s="1"/>
  <c r="M1544" i="2" s="1"/>
  <c r="M1545" i="2" s="1"/>
  <c r="M1546" i="2" s="1"/>
  <c r="M1547" i="2" s="1"/>
  <c r="M1548" i="2" s="1"/>
  <c r="M1549" i="2" s="1"/>
  <c r="M1550" i="2" s="1"/>
  <c r="M1551" i="2" s="1"/>
  <c r="M1552" i="2" s="1"/>
  <c r="M1553" i="2" s="1"/>
  <c r="M1554" i="2" s="1"/>
  <c r="M1555" i="2" s="1"/>
  <c r="M1556" i="2" s="1"/>
  <c r="M1557" i="2" s="1"/>
  <c r="M1558" i="2" s="1"/>
  <c r="M1559" i="2" s="1"/>
  <c r="M1560" i="2" s="1"/>
  <c r="M1562" i="2" s="1"/>
  <c r="M1563" i="2" s="1"/>
  <c r="M1566" i="2" s="1"/>
  <c r="M1567" i="2" s="1"/>
  <c r="M1568" i="2" s="1"/>
  <c r="M1569" i="2" s="1"/>
  <c r="M1570" i="2" s="1"/>
  <c r="M1571" i="2" s="1"/>
  <c r="M1572" i="2" s="1"/>
  <c r="M1573" i="2" s="1"/>
  <c r="M1574" i="2" s="1"/>
  <c r="M1575" i="2" s="1"/>
  <c r="M1576" i="2" s="1"/>
  <c r="M1577" i="2" s="1"/>
  <c r="M1578" i="2" s="1"/>
  <c r="M1579" i="2" s="1"/>
  <c r="M1580" i="2" s="1"/>
  <c r="M1581" i="2" s="1"/>
  <c r="M1582" i="2" s="1"/>
  <c r="M1583" i="2" s="1"/>
  <c r="M1584" i="2" s="1"/>
  <c r="M1585" i="2" s="1"/>
  <c r="M1586" i="2" s="1"/>
  <c r="M1587" i="2" s="1"/>
  <c r="M1588" i="2" s="1"/>
  <c r="M1591" i="2" s="1"/>
  <c r="M1594" i="2" s="1"/>
  <c r="M1597" i="2" s="1"/>
  <c r="M1600" i="2" s="1"/>
  <c r="M1601" i="2" s="1"/>
  <c r="M1602" i="2" s="1"/>
  <c r="M1603" i="2" s="1"/>
  <c r="M1604" i="2" s="1"/>
  <c r="M1605" i="2" s="1"/>
  <c r="M1606" i="2" s="1"/>
  <c r="M1607" i="2" s="1"/>
  <c r="M1608" i="2" s="1"/>
  <c r="M1609" i="2" s="1"/>
  <c r="M1611" i="2" s="1"/>
  <c r="M1612" i="2" s="1"/>
  <c r="M1613" i="2" s="1"/>
  <c r="M1615" i="2" s="1"/>
  <c r="M1616" i="2" s="1"/>
  <c r="M1617" i="2" s="1"/>
  <c r="M1618" i="2" s="1"/>
  <c r="M1619" i="2" s="1"/>
  <c r="M1620" i="2" s="1"/>
  <c r="M1621" i="2" s="1"/>
  <c r="M1622" i="2" s="1"/>
  <c r="M1623" i="2" s="1"/>
  <c r="M1624" i="2" s="1"/>
  <c r="M1627" i="2" s="1"/>
  <c r="M1630" i="2" s="1"/>
  <c r="M1633" i="2" s="1"/>
  <c r="M1636" i="2" s="1"/>
  <c r="M1637" i="2" s="1"/>
  <c r="M1638" i="2" s="1"/>
  <c r="M1639" i="2" s="1"/>
  <c r="M1640" i="2" s="1"/>
  <c r="M1641" i="2" s="1"/>
  <c r="M1642" i="2" s="1"/>
  <c r="M1643" i="2" s="1"/>
  <c r="M1644" i="2" s="1"/>
  <c r="M1645" i="2" s="1"/>
  <c r="M1646" i="2" s="1"/>
  <c r="M1647" i="2" s="1"/>
  <c r="M1648" i="2" s="1"/>
  <c r="M1649" i="2" s="1"/>
  <c r="M1650" i="2" s="1"/>
  <c r="M1651" i="2" s="1"/>
  <c r="M1652" i="2" s="1"/>
  <c r="M1653" i="2" s="1"/>
  <c r="M1654" i="2" s="1"/>
  <c r="M1655" i="2" s="1"/>
  <c r="M1656" i="2" s="1"/>
  <c r="M1657" i="2" s="1"/>
  <c r="M1658" i="2" s="1"/>
  <c r="M1659" i="2" s="1"/>
  <c r="M1660" i="2" s="1"/>
  <c r="M1661" i="2" s="1"/>
  <c r="M1662" i="2" s="1"/>
  <c r="M1663" i="2" s="1"/>
  <c r="M1664" i="2" s="1"/>
  <c r="M1665" i="2" s="1"/>
  <c r="M1666" i="2" s="1"/>
  <c r="M1667" i="2" s="1"/>
  <c r="M1668" i="2" s="1"/>
  <c r="M1669" i="2" s="1"/>
  <c r="M1670" i="2" s="1"/>
  <c r="M1671" i="2" s="1"/>
  <c r="M1672" i="2" s="1"/>
  <c r="M1673" i="2" s="1"/>
  <c r="M1674" i="2" s="1"/>
  <c r="M1675" i="2" s="1"/>
  <c r="M1676" i="2" s="1"/>
  <c r="M1677" i="2" s="1"/>
  <c r="M1678" i="2" s="1"/>
  <c r="M1679" i="2" s="1"/>
  <c r="M1680" i="2" s="1"/>
  <c r="M1681" i="2" s="1"/>
  <c r="M1682" i="2" s="1"/>
  <c r="M1683" i="2" s="1"/>
  <c r="M1684" i="2" s="1"/>
  <c r="M1685" i="2" s="1"/>
  <c r="M1686" i="2" s="1"/>
  <c r="M1687" i="2" s="1"/>
  <c r="M1688" i="2" s="1"/>
  <c r="M1689" i="2" s="1"/>
  <c r="M1690" i="2" s="1"/>
  <c r="M1691" i="2" s="1"/>
  <c r="M1692" i="2" s="1"/>
  <c r="M1693" i="2" s="1"/>
  <c r="M1694" i="2" s="1"/>
  <c r="M1695" i="2" s="1"/>
  <c r="M1696" i="2" s="1"/>
  <c r="M1697" i="2" s="1"/>
  <c r="M1698" i="2" s="1"/>
  <c r="M1699" i="2" s="1"/>
  <c r="M1700" i="2" s="1"/>
  <c r="M1701" i="2" s="1"/>
  <c r="M1702" i="2" s="1"/>
  <c r="M1703" i="2" s="1"/>
  <c r="M1704" i="2" s="1"/>
  <c r="M1705" i="2" s="1"/>
  <c r="M1706" i="2" s="1"/>
  <c r="M1707" i="2" s="1"/>
  <c r="M1708" i="2" s="1"/>
  <c r="M1709" i="2" s="1"/>
  <c r="M1710" i="2" s="1"/>
  <c r="M1711" i="2" s="1"/>
  <c r="M1712" i="2" s="1"/>
  <c r="M1713" i="2" s="1"/>
  <c r="M1714" i="2" s="1"/>
  <c r="M1715" i="2" s="1"/>
  <c r="M1716" i="2" s="1"/>
  <c r="M1717" i="2" s="1"/>
  <c r="M1718" i="2" s="1"/>
  <c r="M1719" i="2" s="1"/>
  <c r="M1721" i="2" s="1"/>
  <c r="M1722" i="2" s="1"/>
  <c r="M1724" i="2" s="1"/>
  <c r="M1725" i="2" s="1"/>
  <c r="M1726" i="2" s="1"/>
  <c r="M1727" i="2" s="1"/>
  <c r="M1728" i="2" s="1"/>
  <c r="M1729" i="2" s="1"/>
  <c r="M1730" i="2" s="1"/>
  <c r="M1731" i="2" s="1"/>
  <c r="M1734" i="2" s="1"/>
  <c r="M1737" i="2" s="1"/>
  <c r="M1740" i="2" s="1"/>
  <c r="M1741" i="2" s="1"/>
  <c r="M1742" i="2" s="1"/>
  <c r="M1743" i="2" s="1"/>
  <c r="M1744" i="2" s="1"/>
  <c r="M1745" i="2" s="1"/>
  <c r="M1746" i="2" s="1"/>
  <c r="M1747" i="2" s="1"/>
  <c r="M1748" i="2" s="1"/>
  <c r="M1749" i="2" s="1"/>
  <c r="M1750" i="2" s="1"/>
  <c r="M1751" i="2" s="1"/>
  <c r="M1752" i="2" s="1"/>
  <c r="M1753" i="2" s="1"/>
  <c r="M1754" i="2" s="1"/>
  <c r="M1755" i="2" s="1"/>
  <c r="M1756" i="2" s="1"/>
  <c r="M1757" i="2" s="1"/>
  <c r="M1758" i="2" s="1"/>
  <c r="M1759" i="2" s="1"/>
  <c r="M1760" i="2" s="1"/>
  <c r="M1761" i="2" s="1"/>
  <c r="M1762" i="2" s="1"/>
  <c r="M1763" i="2" s="1"/>
  <c r="M1764" i="2" s="1"/>
  <c r="M1765" i="2" s="1"/>
  <c r="M1766" i="2" s="1"/>
  <c r="M1767" i="2" s="1"/>
  <c r="M1768" i="2" s="1"/>
  <c r="M1769" i="2" s="1"/>
  <c r="M1770" i="2" s="1"/>
  <c r="M1771" i="2" s="1"/>
  <c r="M1772" i="2" s="1"/>
  <c r="M1773" i="2" s="1"/>
  <c r="M1774" i="2" s="1"/>
  <c r="M1775" i="2" s="1"/>
  <c r="M1776" i="2" s="1"/>
  <c r="M1777" i="2" s="1"/>
  <c r="M1778" i="2" s="1"/>
  <c r="M1779" i="2" s="1"/>
  <c r="M1780" i="2" s="1"/>
  <c r="M1781" i="2" s="1"/>
  <c r="M1782" i="2" s="1"/>
  <c r="M1783" i="2" s="1"/>
  <c r="M1784" i="2" s="1"/>
  <c r="M1785" i="2" s="1"/>
  <c r="M1786" i="2" s="1"/>
  <c r="M1787" i="2" s="1"/>
  <c r="M1788" i="2" s="1"/>
  <c r="M1789" i="2" s="1"/>
  <c r="M1790" i="2" s="1"/>
  <c r="M1791" i="2" s="1"/>
  <c r="M1792" i="2" s="1"/>
  <c r="M1793" i="2" s="1"/>
  <c r="M1794" i="2" s="1"/>
  <c r="M1795" i="2" s="1"/>
  <c r="M1796" i="2" s="1"/>
  <c r="M1797" i="2" s="1"/>
  <c r="M1798" i="2" s="1"/>
  <c r="M1799" i="2" s="1"/>
  <c r="M1800" i="2" s="1"/>
  <c r="M1801" i="2" s="1"/>
  <c r="M1804" i="2" s="1"/>
  <c r="M1806" i="2" s="1"/>
  <c r="M1807" i="2" s="1"/>
  <c r="M1808" i="2" s="1"/>
  <c r="M1809" i="2" s="1"/>
  <c r="M1810" i="2" s="1"/>
  <c r="M1811" i="2" s="1"/>
  <c r="M1812" i="2" s="1"/>
  <c r="M1813" i="2" s="1"/>
  <c r="M1814" i="2" s="1"/>
  <c r="M1815" i="2" s="1"/>
  <c r="M1816" i="2" s="1"/>
  <c r="M1817" i="2" s="1"/>
  <c r="M1818" i="2" s="1"/>
  <c r="M1819" i="2" s="1"/>
  <c r="M1820" i="2" s="1"/>
  <c r="M1821" i="2" s="1"/>
  <c r="M1822" i="2" s="1"/>
  <c r="M1823" i="2" s="1"/>
  <c r="M1824" i="2" s="1"/>
  <c r="M1825" i="2" s="1"/>
  <c r="M1826" i="2" s="1"/>
  <c r="M1827" i="2" s="1"/>
  <c r="M1828" i="2" s="1"/>
  <c r="M1829" i="2" s="1"/>
  <c r="M1830" i="2" s="1"/>
  <c r="M1831" i="2" s="1"/>
  <c r="M1832" i="2" s="1"/>
  <c r="M1833" i="2" s="1"/>
  <c r="M1834" i="2" s="1"/>
  <c r="M1835" i="2" s="1"/>
  <c r="M1836" i="2" s="1"/>
  <c r="M1837" i="2" s="1"/>
  <c r="M1838" i="2" s="1"/>
  <c r="M1839" i="2" s="1"/>
  <c r="M1840" i="2" s="1"/>
  <c r="M1841" i="2" s="1"/>
  <c r="M1842" i="2" s="1"/>
  <c r="M1843" i="2" s="1"/>
  <c r="M1844" i="2" s="1"/>
  <c r="M1845" i="2" s="1"/>
  <c r="M1846" i="2" s="1"/>
  <c r="M1847" i="2" s="1"/>
  <c r="M1848" i="2" s="1"/>
  <c r="M1849" i="2" s="1"/>
  <c r="M1850" i="2" s="1"/>
  <c r="M1851" i="2" s="1"/>
  <c r="M1852" i="2" s="1"/>
  <c r="M1853" i="2" s="1"/>
  <c r="M1854" i="2" s="1"/>
  <c r="M1855" i="2" s="1"/>
  <c r="M1856" i="2" s="1"/>
  <c r="M1857" i="2" s="1"/>
  <c r="M1858" i="2" s="1"/>
  <c r="M1859" i="2" s="1"/>
  <c r="M1860" i="2" s="1"/>
  <c r="M1861" i="2" s="1"/>
  <c r="M1862" i="2" s="1"/>
  <c r="M1863" i="2" s="1"/>
  <c r="M1864" i="2" s="1"/>
  <c r="M1865" i="2" s="1"/>
  <c r="M1866" i="2" s="1"/>
  <c r="M1867" i="2" s="1"/>
  <c r="M1868" i="2" s="1"/>
  <c r="M1869" i="2" s="1"/>
  <c r="M1870" i="2" s="1"/>
  <c r="M1871" i="2" s="1"/>
  <c r="M1872" i="2" s="1"/>
  <c r="M1873" i="2" s="1"/>
  <c r="M1874" i="2" s="1"/>
  <c r="M1875" i="2" s="1"/>
  <c r="M1876" i="2" s="1"/>
  <c r="M1877" i="2" s="1"/>
  <c r="M1878" i="2" s="1"/>
  <c r="M1879" i="2" s="1"/>
  <c r="M1880" i="2" s="1"/>
  <c r="M1881" i="2" s="1"/>
  <c r="M1882" i="2" s="1"/>
  <c r="M1884" i="2" s="1"/>
  <c r="M1885" i="2" s="1"/>
  <c r="M1886" i="2" s="1"/>
  <c r="M1887" i="2" s="1"/>
  <c r="M1888" i="2" s="1"/>
  <c r="M1889" i="2" s="1"/>
  <c r="M1890" i="2" s="1"/>
  <c r="M1891" i="2" s="1"/>
  <c r="M1892" i="2" s="1"/>
  <c r="M1894" i="2" s="1"/>
  <c r="M1895" i="2" s="1"/>
  <c r="M1896" i="2" s="1"/>
  <c r="M1897" i="2" s="1"/>
  <c r="M1898" i="2" s="1"/>
  <c r="M1899" i="2" s="1"/>
  <c r="M1900" i="2" s="1"/>
  <c r="M1901" i="2" s="1"/>
  <c r="M1904" i="2" s="1"/>
  <c r="M1907" i="2" s="1"/>
  <c r="M1908" i="2" s="1"/>
  <c r="M1909" i="2" s="1"/>
  <c r="M1910" i="2" s="1"/>
  <c r="M1911" i="2" s="1"/>
  <c r="M1912" i="2" s="1"/>
  <c r="M1913" i="2" s="1"/>
  <c r="M1914" i="2" s="1"/>
  <c r="M1915" i="2" s="1"/>
  <c r="M1916" i="2" s="1"/>
  <c r="M1917" i="2" s="1"/>
  <c r="M1918" i="2" s="1"/>
  <c r="M1919" i="2" s="1"/>
  <c r="M1920" i="2" s="1"/>
  <c r="M1921" i="2" s="1"/>
  <c r="M1922" i="2" s="1"/>
  <c r="M1923" i="2" s="1"/>
  <c r="M1924" i="2" s="1"/>
  <c r="M1925" i="2" s="1"/>
  <c r="M1926" i="2" s="1"/>
  <c r="M1927" i="2" s="1"/>
  <c r="M1928" i="2" s="1"/>
  <c r="M1929" i="2" s="1"/>
  <c r="M1930" i="2" s="1"/>
  <c r="M1931" i="2" s="1"/>
  <c r="M1932" i="2" s="1"/>
  <c r="M1933" i="2" s="1"/>
  <c r="M1934" i="2" s="1"/>
  <c r="M1935" i="2" s="1"/>
  <c r="M1936" i="2" s="1"/>
  <c r="M1937" i="2" s="1"/>
  <c r="M1938" i="2" s="1"/>
  <c r="M1939" i="2" s="1"/>
  <c r="M1940" i="2" s="1"/>
  <c r="M1941" i="2" s="1"/>
  <c r="M1942" i="2" s="1"/>
  <c r="M1944" i="2" s="1"/>
  <c r="M1945" i="2" s="1"/>
  <c r="M1946" i="2" s="1"/>
  <c r="M1947" i="2" s="1"/>
  <c r="M1948" i="2" s="1"/>
  <c r="M1949" i="2" s="1"/>
  <c r="M1950" i="2" s="1"/>
  <c r="M1951" i="2" s="1"/>
  <c r="M1952" i="2" s="1"/>
  <c r="M1953" i="2" s="1"/>
  <c r="M1954" i="2" s="1"/>
  <c r="M1955" i="2" s="1"/>
  <c r="M1956" i="2" s="1"/>
  <c r="M1957" i="2" s="1"/>
  <c r="M1958" i="2" s="1"/>
  <c r="M1959" i="2" s="1"/>
  <c r="M1960" i="2" s="1"/>
  <c r="M1961" i="2" s="1"/>
  <c r="M1962" i="2" s="1"/>
  <c r="M1963" i="2" s="1"/>
  <c r="M1964" i="2" s="1"/>
  <c r="M1965" i="2" s="1"/>
  <c r="M1966" i="2" s="1"/>
  <c r="M1967" i="2" s="1"/>
  <c r="M1968" i="2" s="1"/>
  <c r="M1969" i="2" s="1"/>
  <c r="M1970" i="2" s="1"/>
  <c r="M1971" i="2" s="1"/>
  <c r="M1972" i="2" s="1"/>
  <c r="M1973" i="2" s="1"/>
  <c r="M1974" i="2" s="1"/>
  <c r="M1975" i="2" s="1"/>
  <c r="M1976" i="2" s="1"/>
  <c r="M1977" i="2" s="1"/>
  <c r="M1978" i="2" s="1"/>
  <c r="M1981" i="2" s="1"/>
  <c r="M1982" i="2" s="1"/>
  <c r="M1984" i="2" s="1"/>
  <c r="M1985" i="2" s="1"/>
  <c r="M1987" i="2" s="1"/>
  <c r="M1988" i="2" s="1"/>
  <c r="M1989" i="2" s="1"/>
  <c r="M1990" i="2" s="1"/>
  <c r="M1991" i="2" s="1"/>
  <c r="M1992" i="2" s="1"/>
  <c r="M1993" i="2" s="1"/>
  <c r="M1994" i="2" s="1"/>
  <c r="M1995" i="2" s="1"/>
  <c r="M1996" i="2" s="1"/>
  <c r="M1997" i="2" s="1"/>
  <c r="M1998" i="2" s="1"/>
  <c r="M1999" i="2" s="1"/>
  <c r="M2000" i="2" s="1"/>
  <c r="M2002" i="2" s="1"/>
  <c r="M2003" i="2" s="1"/>
  <c r="M2005" i="2" s="1"/>
  <c r="M2006" i="2" s="1"/>
  <c r="M2007" i="2" s="1"/>
  <c r="M2008" i="2" s="1"/>
  <c r="M2009" i="2" s="1"/>
  <c r="M2010" i="2" s="1"/>
  <c r="M2011" i="2" s="1"/>
  <c r="M2012" i="2" s="1"/>
  <c r="M2013" i="2" s="1"/>
  <c r="M2014" i="2" s="1"/>
  <c r="M2015" i="2" s="1"/>
  <c r="M2016" i="2" s="1"/>
  <c r="M2017" i="2" s="1"/>
  <c r="M2020" i="2" s="1"/>
  <c r="M2023" i="2" s="1"/>
  <c r="M2026" i="2" s="1"/>
  <c r="M2029" i="2" s="1"/>
  <c r="M2030" i="2" s="1"/>
  <c r="M2031" i="2" s="1"/>
  <c r="M2032" i="2" s="1"/>
  <c r="M2033" i="2" s="1"/>
  <c r="M2034" i="2" s="1"/>
  <c r="M2035" i="2" s="1"/>
  <c r="M2036" i="2" s="1"/>
  <c r="M2037" i="2" s="1"/>
  <c r="M2038" i="2" s="1"/>
  <c r="M2039" i="2" s="1"/>
  <c r="M2040" i="2" s="1"/>
  <c r="M2041" i="2" s="1"/>
  <c r="M2042" i="2" s="1"/>
  <c r="M2043" i="2" s="1"/>
  <c r="M2044" i="2" s="1"/>
  <c r="M2045" i="2" s="1"/>
  <c r="M2046" i="2" s="1"/>
  <c r="M2047" i="2" s="1"/>
  <c r="M2048" i="2" s="1"/>
  <c r="M2049" i="2" s="1"/>
  <c r="M2050" i="2" s="1"/>
  <c r="M2051" i="2" s="1"/>
  <c r="M2052" i="2" s="1"/>
  <c r="M2053" i="2" s="1"/>
  <c r="M2054" i="2" s="1"/>
  <c r="M2055" i="2" s="1"/>
  <c r="M2056" i="2" s="1"/>
  <c r="M2057" i="2" s="1"/>
  <c r="M2058" i="2" s="1"/>
  <c r="M2061" i="2" s="1"/>
  <c r="M2062" i="2" s="1"/>
  <c r="M2063" i="2" s="1"/>
  <c r="M2064" i="2" s="1"/>
  <c r="M2065" i="2" s="1"/>
  <c r="M2066" i="2" s="1"/>
  <c r="M2067" i="2" s="1"/>
  <c r="M2068" i="2" s="1"/>
  <c r="M2069" i="2" s="1"/>
  <c r="M2070" i="2" s="1"/>
  <c r="M2071" i="2" s="1"/>
  <c r="M2072" i="2" s="1"/>
  <c r="M2073" i="2" s="1"/>
  <c r="M2074" i="2" s="1"/>
  <c r="M2075" i="2" s="1"/>
  <c r="M2076" i="2" s="1"/>
  <c r="M2078" i="2" s="1"/>
  <c r="M2079" i="2" s="1"/>
  <c r="M2080" i="2" s="1"/>
  <c r="M2081" i="2" s="1"/>
  <c r="M2082" i="2" s="1"/>
  <c r="M2083" i="2" s="1"/>
  <c r="M2084" i="2" s="1"/>
  <c r="M2085" i="2" s="1"/>
  <c r="M2086" i="2" s="1"/>
  <c r="M2087" i="2" s="1"/>
  <c r="M2088" i="2" s="1"/>
  <c r="M2089" i="2" s="1"/>
  <c r="M2090" i="2" s="1"/>
  <c r="M2091" i="2" s="1"/>
  <c r="M2092" i="2" s="1"/>
  <c r="M2093" i="2" s="1"/>
  <c r="M2094" i="2" s="1"/>
  <c r="M2095" i="2" s="1"/>
  <c r="M2096" i="2" s="1"/>
  <c r="M2097" i="2" s="1"/>
  <c r="M2098" i="2" s="1"/>
  <c r="M2099" i="2" s="1"/>
  <c r="M2100" i="2" s="1"/>
  <c r="M2101" i="2" s="1"/>
  <c r="M2102" i="2" s="1"/>
  <c r="M2103" i="2" s="1"/>
  <c r="M2104" i="2" s="1"/>
  <c r="M2105" i="2" s="1"/>
  <c r="M2106" i="2" s="1"/>
  <c r="M2107" i="2" s="1"/>
  <c r="M2108" i="2" s="1"/>
  <c r="M2109" i="2" s="1"/>
  <c r="M2110" i="2" s="1"/>
  <c r="M2111" i="2" s="1"/>
  <c r="M2112" i="2" s="1"/>
  <c r="M2113" i="2" s="1"/>
  <c r="M2114" i="2" s="1"/>
  <c r="M2115" i="2" s="1"/>
  <c r="M2116" i="2" s="1"/>
  <c r="M2117" i="2" s="1"/>
  <c r="M2118" i="2" s="1"/>
  <c r="M2119" i="2" s="1"/>
  <c r="M2120" i="2" s="1"/>
  <c r="M2121" i="2" s="1"/>
  <c r="M2122" i="2" s="1"/>
  <c r="M2123" i="2" s="1"/>
  <c r="M2124" i="2" s="1"/>
  <c r="M2125" i="2" s="1"/>
  <c r="M2126" i="2" s="1"/>
  <c r="M2127" i="2" s="1"/>
  <c r="M2128" i="2" s="1"/>
  <c r="M2131" i="2" s="1"/>
  <c r="M2134" i="2" s="1"/>
  <c r="M2135" i="2" s="1"/>
  <c r="M2136" i="2" s="1"/>
  <c r="M2137" i="2" s="1"/>
  <c r="M2138" i="2" s="1"/>
  <c r="M2139" i="2" s="1"/>
  <c r="M2140" i="2" s="1"/>
  <c r="M2141" i="2" s="1"/>
  <c r="M2144" i="2" s="1"/>
  <c r="M2147" i="2" s="1"/>
  <c r="M2148" i="2" s="1"/>
  <c r="M2149" i="2" s="1"/>
  <c r="M2150" i="2" s="1"/>
  <c r="M2151" i="2" s="1"/>
  <c r="M2152" i="2" s="1"/>
  <c r="M2153" i="2" s="1"/>
  <c r="M2154" i="2" s="1"/>
  <c r="M2155" i="2" s="1"/>
  <c r="M2158" i="2" s="1"/>
  <c r="M2161" i="2" s="1"/>
  <c r="M2162" i="2" s="1"/>
  <c r="M2163" i="2" s="1"/>
  <c r="M2164" i="2" s="1"/>
  <c r="M2165" i="2" s="1"/>
  <c r="M2166" i="2" s="1"/>
  <c r="M2167" i="2" s="1"/>
  <c r="M2168" i="2" s="1"/>
  <c r="M2169" i="2" s="1"/>
  <c r="M2170" i="2" s="1"/>
  <c r="M2171" i="2" s="1"/>
  <c r="M2172" i="2" s="1"/>
  <c r="M2173" i="2" s="1"/>
  <c r="M2174" i="2" s="1"/>
  <c r="M2175" i="2" s="1"/>
  <c r="M2176" i="2" s="1"/>
  <c r="M2177" i="2" s="1"/>
  <c r="M2178" i="2" s="1"/>
  <c r="M2179" i="2" s="1"/>
  <c r="M2180" i="2" s="1"/>
  <c r="M2181" i="2" s="1"/>
  <c r="M2182" i="2" s="1"/>
  <c r="M2183" i="2" s="1"/>
  <c r="M2184" i="2" s="1"/>
  <c r="M2185" i="2" s="1"/>
  <c r="M2186" i="2" s="1"/>
  <c r="M2189" i="2" s="1"/>
  <c r="M2192" i="2" s="1"/>
  <c r="M2193" i="2" s="1"/>
  <c r="M2194" i="2" s="1"/>
  <c r="M2195" i="2" s="1"/>
  <c r="M2196" i="2" s="1"/>
  <c r="M2197" i="2" s="1"/>
  <c r="M2198" i="2" s="1"/>
  <c r="M2199" i="2" s="1"/>
  <c r="M2200" i="2" s="1"/>
  <c r="M2201" i="2" s="1"/>
  <c r="M2202" i="2" s="1"/>
  <c r="M2203" i="2" s="1"/>
  <c r="M2204" i="2" s="1"/>
  <c r="M2205" i="2" s="1"/>
  <c r="M2206" i="2" s="1"/>
  <c r="M2207" i="2" s="1"/>
  <c r="M2208" i="2" s="1"/>
  <c r="M2209" i="2" s="1"/>
  <c r="M2210" i="2" s="1"/>
  <c r="M2211" i="2" s="1"/>
  <c r="M2212" i="2" s="1"/>
  <c r="M2213" i="2" s="1"/>
  <c r="M2214" i="2" s="1"/>
  <c r="M2215" i="2" s="1"/>
  <c r="M2216" i="2" s="1"/>
  <c r="M2217" i="2" s="1"/>
  <c r="M2218" i="2" s="1"/>
  <c r="M2219" i="2" s="1"/>
  <c r="M2220" i="2" s="1"/>
  <c r="M2221" i="2" s="1"/>
  <c r="M2222" i="2" s="1"/>
  <c r="M2223" i="2" s="1"/>
  <c r="M2224" i="2" s="1"/>
  <c r="M2225" i="2" s="1"/>
  <c r="M2226" i="2" s="1"/>
  <c r="M2227" i="2" s="1"/>
  <c r="M2228" i="2" s="1"/>
  <c r="M2229" i="2" s="1"/>
  <c r="M2230" i="2" s="1"/>
  <c r="M2231" i="2" s="1"/>
  <c r="M2232" i="2" s="1"/>
  <c r="M2233" i="2" s="1"/>
  <c r="M2234" i="2" s="1"/>
  <c r="M2235" i="2" s="1"/>
  <c r="M2236" i="2" s="1"/>
  <c r="M2238" i="2" s="1"/>
  <c r="M2239" i="2" s="1"/>
  <c r="M2240" i="2" s="1"/>
  <c r="M2241" i="2" s="1"/>
  <c r="M2242" i="2" s="1"/>
  <c r="M2243" i="2" s="1"/>
  <c r="M2244" i="2" s="1"/>
  <c r="M2245" i="2" s="1"/>
  <c r="M2248" i="2" s="1"/>
  <c r="M2251" i="2" s="1"/>
  <c r="M2252" i="2" s="1"/>
  <c r="M2253" i="2" s="1"/>
  <c r="M2254" i="2" s="1"/>
  <c r="M2255" i="2" s="1"/>
  <c r="M2256" i="2" s="1"/>
  <c r="M2257" i="2" s="1"/>
  <c r="M2258" i="2" s="1"/>
  <c r="M2261" i="2" s="1"/>
  <c r="M2264" i="2" s="1"/>
  <c r="M2265" i="2" s="1"/>
  <c r="M2266" i="2" s="1"/>
  <c r="M2267" i="2" s="1"/>
  <c r="M2268" i="2" s="1"/>
  <c r="M2269" i="2" s="1"/>
  <c r="M2270" i="2" s="1"/>
  <c r="M2271" i="2" s="1"/>
  <c r="M2274" i="2" s="1"/>
  <c r="M2276" i="2" s="1"/>
  <c r="M2277" i="2" s="1"/>
  <c r="M2278" i="2" s="1"/>
  <c r="M2279" i="2" s="1"/>
  <c r="M2280" i="2" s="1"/>
  <c r="M2281" i="2" s="1"/>
  <c r="M2282" i="2" s="1"/>
  <c r="M2283" i="2" s="1"/>
  <c r="M2284" i="2" s="1"/>
  <c r="M2285" i="2" s="1"/>
  <c r="M2286" i="2" s="1"/>
  <c r="M2287" i="2" s="1"/>
  <c r="M2288" i="2" s="1"/>
  <c r="M2289" i="2" s="1"/>
  <c r="M2290" i="2" s="1"/>
  <c r="M2291" i="2" s="1"/>
  <c r="M2292" i="2" s="1"/>
  <c r="M2294" i="2" s="1"/>
  <c r="M2295" i="2" s="1"/>
  <c r="M2296" i="2" s="1"/>
  <c r="M2297" i="2" s="1"/>
  <c r="M2298" i="2" s="1"/>
  <c r="M2299" i="2" s="1"/>
  <c r="M2300" i="2" s="1"/>
  <c r="M2301" i="2" s="1"/>
  <c r="M2302" i="2" s="1"/>
  <c r="M2303" i="2" s="1"/>
  <c r="M2304" i="2" s="1"/>
  <c r="M2305" i="2" s="1"/>
  <c r="M2306" i="2" s="1"/>
  <c r="M2307" i="2" s="1"/>
  <c r="M2308" i="2" s="1"/>
  <c r="M2311" i="2" s="1"/>
  <c r="M2314" i="2" s="1"/>
  <c r="M2315" i="2" s="1"/>
  <c r="M2316" i="2" s="1"/>
  <c r="M2317" i="2" s="1"/>
  <c r="M2318" i="2" s="1"/>
  <c r="M2319" i="2" s="1"/>
  <c r="M2320" i="2" s="1"/>
  <c r="M2321" i="2" s="1"/>
  <c r="M2322" i="2" s="1"/>
  <c r="M2323" i="2" s="1"/>
  <c r="M2324" i="2" s="1"/>
  <c r="M2325" i="2" s="1"/>
  <c r="M2326" i="2" s="1"/>
  <c r="M2327" i="2" s="1"/>
  <c r="M2328" i="2" s="1"/>
  <c r="M2331" i="2" s="1"/>
  <c r="M2334" i="2" s="1"/>
  <c r="M2335" i="2" s="1"/>
  <c r="M2336" i="2" s="1"/>
  <c r="M2337" i="2" s="1"/>
  <c r="M2338" i="2" s="1"/>
  <c r="M2339" i="2" s="1"/>
  <c r="M2340" i="2" s="1"/>
  <c r="M2341" i="2" s="1"/>
  <c r="M2342" i="2" s="1"/>
  <c r="M2343" i="2" s="1"/>
  <c r="M2344" i="2" s="1"/>
  <c r="M2345" i="2" s="1"/>
  <c r="M2346" i="2" s="1"/>
  <c r="M2347" i="2" s="1"/>
  <c r="M2348" i="2" s="1"/>
  <c r="M2349" i="2" s="1"/>
  <c r="M2350" i="2" s="1"/>
  <c r="M2351" i="2" s="1"/>
  <c r="M2352" i="2" s="1"/>
  <c r="M2353" i="2" s="1"/>
  <c r="M2354" i="2" s="1"/>
  <c r="M2355" i="2" s="1"/>
  <c r="M2356" i="2" s="1"/>
  <c r="M2357" i="2" s="1"/>
  <c r="M2358" i="2" s="1"/>
  <c r="M2359" i="2" s="1"/>
  <c r="M2360" i="2" s="1"/>
  <c r="M2361" i="2" s="1"/>
  <c r="M2362" i="2" s="1"/>
  <c r="M2363" i="2" s="1"/>
  <c r="M2364" i="2" s="1"/>
  <c r="M2365" i="2" s="1"/>
  <c r="M2366" i="2" s="1"/>
  <c r="M2367" i="2" s="1"/>
  <c r="M2368" i="2" s="1"/>
  <c r="M2369" i="2" s="1"/>
  <c r="M2370" i="2" s="1"/>
  <c r="M2371" i="2" s="1"/>
  <c r="M2372" i="2" s="1"/>
  <c r="M2373" i="2" s="1"/>
  <c r="M2374" i="2" s="1"/>
  <c r="M2375" i="2" s="1"/>
  <c r="M2376" i="2" s="1"/>
  <c r="M2377" i="2" s="1"/>
  <c r="M2378" i="2" s="1"/>
  <c r="M2379" i="2" s="1"/>
  <c r="M2380" i="2" s="1"/>
  <c r="M2381" i="2" s="1"/>
  <c r="M2382" i="2" s="1"/>
  <c r="M2383" i="2" s="1"/>
  <c r="M2384" i="2" s="1"/>
  <c r="M2385" i="2" s="1"/>
  <c r="M2386" i="2" s="1"/>
  <c r="M2387" i="2" s="1"/>
  <c r="M2388" i="2" s="1"/>
  <c r="M2389" i="2" s="1"/>
  <c r="M2390" i="2" s="1"/>
  <c r="M2391" i="2" s="1"/>
  <c r="M2392" i="2" s="1"/>
  <c r="M2393" i="2" s="1"/>
  <c r="M2394" i="2" s="1"/>
  <c r="M2395" i="2" s="1"/>
  <c r="M2396" i="2" s="1"/>
  <c r="M2397" i="2" s="1"/>
  <c r="M2398" i="2" s="1"/>
  <c r="M2399" i="2" s="1"/>
  <c r="M2400" i="2" s="1"/>
  <c r="M2401" i="2" s="1"/>
  <c r="M2402" i="2" s="1"/>
  <c r="M2403" i="2" s="1"/>
  <c r="M2404" i="2" s="1"/>
  <c r="M2405" i="2" s="1"/>
  <c r="M2406" i="2" s="1"/>
  <c r="M2407" i="2" s="1"/>
  <c r="M2408" i="2" s="1"/>
  <c r="M2409" i="2" s="1"/>
  <c r="M2410" i="2" s="1"/>
  <c r="M2411" i="2" s="1"/>
  <c r="M2412" i="2" s="1"/>
  <c r="M2413" i="2" s="1"/>
  <c r="M2414" i="2" s="1"/>
  <c r="M2415" i="2" s="1"/>
  <c r="M2416" i="2" s="1"/>
  <c r="M2417" i="2" s="1"/>
  <c r="M2418" i="2" s="1"/>
  <c r="M2419" i="2" s="1"/>
  <c r="M2420" i="2" s="1"/>
  <c r="M2421" i="2" s="1"/>
  <c r="M2422" i="2" s="1"/>
  <c r="M2423" i="2" s="1"/>
  <c r="M2424" i="2" s="1"/>
  <c r="M2425" i="2" s="1"/>
  <c r="M2426" i="2" s="1"/>
  <c r="M2427" i="2" s="1"/>
  <c r="M2428" i="2" s="1"/>
  <c r="M2429" i="2" s="1"/>
  <c r="M2430" i="2" s="1"/>
  <c r="M2431" i="2" s="1"/>
  <c r="M2432" i="2" s="1"/>
  <c r="M2433" i="2" s="1"/>
  <c r="M2434" i="2" s="1"/>
  <c r="M2435" i="2" s="1"/>
  <c r="M2436" i="2" s="1"/>
  <c r="M2437" i="2" s="1"/>
  <c r="M2438" i="2" s="1"/>
  <c r="M2439" i="2" s="1"/>
  <c r="M2440" i="2" s="1"/>
  <c r="M2441" i="2" s="1"/>
  <c r="M2442" i="2" s="1"/>
  <c r="M2443" i="2" s="1"/>
  <c r="M2444" i="2" s="1"/>
  <c r="M2445" i="2" s="1"/>
  <c r="M2446" i="2" s="1"/>
  <c r="M2447" i="2" s="1"/>
  <c r="M2448" i="2" s="1"/>
  <c r="M2449" i="2" s="1"/>
  <c r="M2450" i="2" s="1"/>
  <c r="M2451" i="2" s="1"/>
  <c r="M2452" i="2" s="1"/>
  <c r="M2453" i="2" s="1"/>
  <c r="M2454" i="2" s="1"/>
  <c r="M2455" i="2" s="1"/>
  <c r="M2456" i="2" s="1"/>
  <c r="M2457" i="2" s="1"/>
  <c r="M2458" i="2" s="1"/>
  <c r="M2459" i="2" s="1"/>
  <c r="M2460" i="2" s="1"/>
  <c r="M2461" i="2" s="1"/>
  <c r="M2462" i="2" s="1"/>
  <c r="M2463" i="2" s="1"/>
  <c r="M2464" i="2" s="1"/>
  <c r="M2465" i="2" s="1"/>
  <c r="M2466" i="2" s="1"/>
  <c r="M2467" i="2" s="1"/>
  <c r="M2468" i="2" s="1"/>
  <c r="M2469" i="2" s="1"/>
  <c r="M2470" i="2" s="1"/>
  <c r="M2471" i="2" s="1"/>
  <c r="M2472" i="2" s="1"/>
  <c r="M2475" i="2" s="1"/>
  <c r="M2478" i="2" s="1"/>
  <c r="M2479" i="2" s="1"/>
  <c r="M2480" i="2" s="1"/>
  <c r="M2481" i="2" s="1"/>
  <c r="M2482" i="2" s="1"/>
  <c r="M2483" i="2" s="1"/>
  <c r="M2484" i="2" s="1"/>
  <c r="M2485" i="2" s="1"/>
  <c r="M2486" i="2" s="1"/>
  <c r="M2487" i="2" s="1"/>
  <c r="M2488" i="2" s="1"/>
  <c r="M2489" i="2" s="1"/>
  <c r="M2490" i="2" s="1"/>
  <c r="M2491" i="2" s="1"/>
  <c r="M2492" i="2" s="1"/>
  <c r="M2493" i="2" s="1"/>
  <c r="M2494" i="2" s="1"/>
  <c r="M2495" i="2" s="1"/>
  <c r="M2496" i="2" s="1"/>
  <c r="M2497" i="2" s="1"/>
  <c r="M2498" i="2" s="1"/>
  <c r="M2499" i="2" s="1"/>
  <c r="M2500" i="2" s="1"/>
  <c r="M2501" i="2" s="1"/>
  <c r="M2502" i="2" s="1"/>
  <c r="M2503" i="2" s="1"/>
  <c r="M2504" i="2" s="1"/>
  <c r="M2505" i="2" s="1"/>
  <c r="M2506" i="2" s="1"/>
  <c r="M2507" i="2" s="1"/>
  <c r="M2508" i="2" s="1"/>
  <c r="M2509" i="2" s="1"/>
  <c r="M2510" i="2" s="1"/>
  <c r="M2511" i="2" s="1"/>
  <c r="M2512" i="2" s="1"/>
  <c r="M2513" i="2" s="1"/>
  <c r="M2514" i="2" s="1"/>
  <c r="M2515" i="2" s="1"/>
  <c r="M2516" i="2" s="1"/>
  <c r="M2517" i="2" s="1"/>
  <c r="M2518" i="2" s="1"/>
  <c r="M2519" i="2" s="1"/>
  <c r="M2520" i="2" s="1"/>
  <c r="M2521" i="2" s="1"/>
  <c r="M2524" i="2" s="1"/>
  <c r="M2525" i="2" s="1"/>
  <c r="M2526" i="2" s="1"/>
  <c r="M2527" i="2" s="1"/>
  <c r="M2528" i="2" s="1"/>
  <c r="M2529" i="2" s="1"/>
  <c r="M2530" i="2" s="1"/>
  <c r="M2531" i="2" s="1"/>
  <c r="M2532" i="2" s="1"/>
  <c r="M2533" i="2" s="1"/>
  <c r="M2534" i="2" s="1"/>
  <c r="M2535" i="2" s="1"/>
  <c r="M2536" i="2" s="1"/>
  <c r="M2537" i="2" s="1"/>
  <c r="M2538" i="2" s="1"/>
  <c r="M2539" i="2" s="1"/>
  <c r="M2540" i="2" s="1"/>
  <c r="M2541" i="2" s="1"/>
  <c r="M2542" i="2" s="1"/>
  <c r="M2543" i="2" s="1"/>
  <c r="M2544" i="2" s="1"/>
  <c r="M2545" i="2" s="1"/>
  <c r="M2546" i="2" s="1"/>
  <c r="M2547" i="2" s="1"/>
  <c r="M2548" i="2" s="1"/>
  <c r="M2549" i="2" s="1"/>
  <c r="M2550" i="2" s="1"/>
  <c r="M2551" i="2" s="1"/>
  <c r="M2552" i="2" s="1"/>
  <c r="M2553" i="2" s="1"/>
  <c r="M2554" i="2" s="1"/>
  <c r="M2555" i="2" s="1"/>
  <c r="M2556" i="2" s="1"/>
  <c r="M2557" i="2" s="1"/>
  <c r="M2558" i="2" s="1"/>
  <c r="M2559" i="2" s="1"/>
  <c r="M2560" i="2" s="1"/>
  <c r="M2561" i="2" s="1"/>
  <c r="M2562" i="2" s="1"/>
  <c r="M2563" i="2" s="1"/>
  <c r="M2564" i="2" s="1"/>
  <c r="M2565" i="2" s="1"/>
  <c r="M2566" i="2" s="1"/>
  <c r="M2567" i="2" s="1"/>
  <c r="M2568" i="2" s="1"/>
  <c r="M2571" i="2" s="1"/>
  <c r="M2572" i="2" s="1"/>
  <c r="M2573" i="2" s="1"/>
  <c r="M2574" i="2" s="1"/>
  <c r="M2575" i="2" s="1"/>
  <c r="M2576" i="2" s="1"/>
  <c r="M2577" i="2" s="1"/>
  <c r="M2578" i="2" s="1"/>
  <c r="M2579" i="2" s="1"/>
  <c r="M2580" i="2" s="1"/>
  <c r="M2581" i="2" s="1"/>
  <c r="M2582" i="2" s="1"/>
  <c r="M2583" i="2" s="1"/>
  <c r="M2584" i="2" s="1"/>
  <c r="M2585" i="2" s="1"/>
  <c r="M2586" i="2" s="1"/>
  <c r="M2587" i="2" s="1"/>
  <c r="M2588" i="2" s="1"/>
  <c r="M2589" i="2" s="1"/>
  <c r="M2590" i="2" s="1"/>
  <c r="M2591" i="2" s="1"/>
  <c r="M2592" i="2" s="1"/>
  <c r="M2593" i="2" s="1"/>
  <c r="M2594" i="2" s="1"/>
  <c r="M2595" i="2" s="1"/>
  <c r="M2596" i="2" s="1"/>
  <c r="M2597" i="2" s="1"/>
  <c r="M2598" i="2" s="1"/>
  <c r="M2599" i="2" s="1"/>
  <c r="M2600" i="2" s="1"/>
  <c r="M2601" i="2" s="1"/>
  <c r="M2602" i="2" s="1"/>
  <c r="M2603" i="2" s="1"/>
  <c r="M2604" i="2" s="1"/>
  <c r="M2605" i="2" s="1"/>
  <c r="M2606" i="2" s="1"/>
  <c r="M2607" i="2" s="1"/>
  <c r="M2608" i="2" s="1"/>
  <c r="M2609" i="2" s="1"/>
  <c r="M2610" i="2" s="1"/>
  <c r="M2611" i="2" s="1"/>
  <c r="M2612" i="2" s="1"/>
  <c r="M2613" i="2" s="1"/>
  <c r="M2614" i="2" s="1"/>
  <c r="M2615" i="2" s="1"/>
  <c r="M2616" i="2" s="1"/>
  <c r="M2617" i="2" s="1"/>
  <c r="M2618" i="2" s="1"/>
  <c r="M2619" i="2" s="1"/>
  <c r="M2620" i="2" s="1"/>
  <c r="M2621" i="2" s="1"/>
  <c r="M2622" i="2" s="1"/>
  <c r="M2623" i="2" s="1"/>
  <c r="M2624" i="2" s="1"/>
  <c r="M2625" i="2" s="1"/>
  <c r="M2626" i="2" s="1"/>
  <c r="M2627" i="2" s="1"/>
  <c r="M2628" i="2" s="1"/>
  <c r="M2629" i="2" s="1"/>
  <c r="M2630" i="2" s="1"/>
  <c r="M2631" i="2" s="1"/>
  <c r="M2632" i="2" s="1"/>
  <c r="M2633" i="2" s="1"/>
  <c r="M2634" i="2" s="1"/>
  <c r="M2635" i="2" s="1"/>
  <c r="M2636" i="2" s="1"/>
  <c r="M2637" i="2" s="1"/>
  <c r="M2638" i="2" s="1"/>
  <c r="M2639" i="2" s="1"/>
  <c r="M2640" i="2" s="1"/>
  <c r="M2641" i="2" s="1"/>
  <c r="M2642" i="2" s="1"/>
  <c r="M2643" i="2" s="1"/>
  <c r="M2644" i="2" s="1"/>
  <c r="M2645" i="2" s="1"/>
  <c r="M2646" i="2" s="1"/>
  <c r="M2647" i="2" s="1"/>
  <c r="M2648" i="2" s="1"/>
  <c r="M2649" i="2" s="1"/>
  <c r="M2650" i="2" s="1"/>
  <c r="M2651" i="2" s="1"/>
  <c r="M2652" i="2" s="1"/>
  <c r="M2653" i="2" s="1"/>
  <c r="M2654" i="2" s="1"/>
  <c r="M2655" i="2" s="1"/>
  <c r="M2656" i="2" s="1"/>
  <c r="M2657" i="2" s="1"/>
  <c r="M2658" i="2" s="1"/>
  <c r="M2659" i="2" s="1"/>
  <c r="M2660" i="2" s="1"/>
  <c r="M2661" i="2" s="1"/>
  <c r="M2662" i="2" s="1"/>
  <c r="M2663" i="2" s="1"/>
  <c r="M2664" i="2" s="1"/>
  <c r="M2665" i="2" s="1"/>
  <c r="M2666" i="2" s="1"/>
  <c r="M2667" i="2" s="1"/>
  <c r="M2668" i="2" s="1"/>
  <c r="M2669" i="2" s="1"/>
  <c r="M2670" i="2" s="1"/>
  <c r="M2671" i="2" s="1"/>
  <c r="M2672" i="2" s="1"/>
  <c r="M2673" i="2" s="1"/>
  <c r="M2674" i="2" s="1"/>
  <c r="M2675" i="2" s="1"/>
  <c r="M2676" i="2" s="1"/>
  <c r="M2677" i="2" s="1"/>
  <c r="M2678" i="2" s="1"/>
  <c r="M2679" i="2" s="1"/>
  <c r="M2680" i="2" s="1"/>
  <c r="M2681" i="2" s="1"/>
  <c r="M2682" i="2" s="1"/>
  <c r="M2683" i="2" s="1"/>
  <c r="M2684" i="2" s="1"/>
  <c r="M2685" i="2" s="1"/>
  <c r="M2686" i="2" s="1"/>
  <c r="M2687" i="2" s="1"/>
  <c r="M2688" i="2" s="1"/>
  <c r="M2689" i="2" s="1"/>
  <c r="M2690" i="2" s="1"/>
  <c r="M2691" i="2" s="1"/>
  <c r="M2692" i="2" s="1"/>
  <c r="M2693" i="2" s="1"/>
  <c r="M2694" i="2" s="1"/>
  <c r="M2695" i="2" s="1"/>
  <c r="M2696" i="2" s="1"/>
  <c r="M2697" i="2" s="1"/>
  <c r="M2698" i="2" s="1"/>
  <c r="M2699" i="2" s="1"/>
  <c r="M2700" i="2" s="1"/>
  <c r="M2701" i="2" s="1"/>
  <c r="M2702" i="2" s="1"/>
  <c r="M2703" i="2" s="1"/>
  <c r="M2704" i="2" s="1"/>
  <c r="M2705" i="2" s="1"/>
  <c r="M2706" i="2" s="1"/>
  <c r="M2707" i="2" s="1"/>
  <c r="M2708" i="2" s="1"/>
  <c r="M2709" i="2" s="1"/>
  <c r="M2710" i="2" s="1"/>
  <c r="M2711" i="2" s="1"/>
  <c r="M2712" i="2" s="1"/>
  <c r="M2713" i="2" s="1"/>
  <c r="M2714" i="2" s="1"/>
  <c r="M2715" i="2" s="1"/>
  <c r="M2716" i="2" s="1"/>
  <c r="M2717" i="2" s="1"/>
  <c r="M2718" i="2" s="1"/>
  <c r="M2719" i="2" s="1"/>
  <c r="M2720" i="2" s="1"/>
  <c r="M2721" i="2" s="1"/>
  <c r="M2722" i="2" s="1"/>
  <c r="M2723" i="2" s="1"/>
  <c r="M2724" i="2" s="1"/>
  <c r="M2725" i="2" s="1"/>
  <c r="M2726" i="2" s="1"/>
  <c r="M2727" i="2" s="1"/>
  <c r="M2728" i="2" s="1"/>
  <c r="M2729" i="2" s="1"/>
  <c r="M2730" i="2" s="1"/>
  <c r="M2731" i="2" s="1"/>
  <c r="M2732" i="2" s="1"/>
  <c r="M2733" i="2" s="1"/>
  <c r="M2734" i="2" s="1"/>
  <c r="M2735" i="2" s="1"/>
  <c r="M2736" i="2" s="1"/>
  <c r="M2737" i="2" s="1"/>
  <c r="M2738" i="2" s="1"/>
  <c r="M2739" i="2" s="1"/>
  <c r="M2740" i="2" s="1"/>
  <c r="M2743" i="2" s="1"/>
  <c r="M2746" i="2" s="1"/>
  <c r="M2747" i="2" s="1"/>
  <c r="M2748" i="2" s="1"/>
  <c r="M2749" i="2" s="1"/>
  <c r="M2750" i="2" s="1"/>
  <c r="M2751" i="2" s="1"/>
  <c r="M2752" i="2" s="1"/>
  <c r="M2753" i="2" s="1"/>
  <c r="M2754" i="2" s="1"/>
  <c r="M2755" i="2" s="1"/>
  <c r="M2756" i="2" s="1"/>
  <c r="M2757" i="2" s="1"/>
  <c r="M2758" i="2" s="1"/>
  <c r="M2759" i="2" s="1"/>
  <c r="M2760" i="2" s="1"/>
  <c r="M2761" i="2" s="1"/>
  <c r="M2762" i="2" s="1"/>
  <c r="M2763" i="2" s="1"/>
  <c r="M2764" i="2" s="1"/>
  <c r="M2765" i="2" s="1"/>
  <c r="M2766" i="2" s="1"/>
  <c r="M2767" i="2" s="1"/>
  <c r="M2768" i="2" s="1"/>
  <c r="M2769" i="2" s="1"/>
  <c r="M2770" i="2" s="1"/>
  <c r="M2771" i="2" s="1"/>
  <c r="M2772" i="2" s="1"/>
  <c r="M2773" i="2" s="1"/>
  <c r="M2774" i="2" s="1"/>
  <c r="M2775" i="2" s="1"/>
  <c r="M2776" i="2" s="1"/>
  <c r="M2777" i="2" s="1"/>
  <c r="M2778" i="2" s="1"/>
  <c r="M2779" i="2" s="1"/>
  <c r="M2780" i="2" s="1"/>
  <c r="M2781" i="2" s="1"/>
  <c r="M2782" i="2" s="1"/>
  <c r="M2783" i="2" s="1"/>
  <c r="M2784" i="2" s="1"/>
  <c r="M2785" i="2" s="1"/>
  <c r="M2786" i="2" s="1"/>
  <c r="M2787" i="2" s="1"/>
  <c r="M2788" i="2" s="1"/>
  <c r="M2789" i="2" s="1"/>
  <c r="M2790" i="2" s="1"/>
  <c r="M2792" i="2" s="1"/>
  <c r="M2793" i="2" s="1"/>
  <c r="M2794" i="2" s="1"/>
  <c r="M2795" i="2" s="1"/>
  <c r="M2796" i="2" s="1"/>
  <c r="M2797" i="2" s="1"/>
  <c r="M2798" i="2" s="1"/>
  <c r="M2799" i="2" s="1"/>
  <c r="M2800" i="2" s="1"/>
  <c r="M2801" i="2" s="1"/>
  <c r="M2802" i="2" s="1"/>
  <c r="M2803" i="2" s="1"/>
  <c r="M2804" i="2" s="1"/>
  <c r="M2805" i="2" s="1"/>
  <c r="M2806" i="2" s="1"/>
  <c r="M2807" i="2" s="1"/>
  <c r="M2810" i="2" s="1"/>
  <c r="M2811" i="2" s="1"/>
  <c r="M2812" i="2" s="1"/>
  <c r="M2813" i="2" s="1"/>
  <c r="M2814" i="2" s="1"/>
  <c r="M2815" i="2" s="1"/>
  <c r="M2816" i="2" s="1"/>
  <c r="M2817" i="2" s="1"/>
  <c r="M2818" i="2" s="1"/>
  <c r="M2819" i="2" s="1"/>
  <c r="M2820" i="2" s="1"/>
  <c r="M2821" i="2" s="1"/>
  <c r="M2822" i="2" s="1"/>
  <c r="M2823" i="2" s="1"/>
  <c r="M2824" i="2" s="1"/>
  <c r="M2825" i="2" s="1"/>
  <c r="M2826" i="2" s="1"/>
  <c r="M2827" i="2" s="1"/>
  <c r="M2828" i="2" s="1"/>
  <c r="M2829" i="2" s="1"/>
  <c r="M2830" i="2" s="1"/>
  <c r="M2831" i="2" s="1"/>
  <c r="M2832" i="2" s="1"/>
  <c r="M2833" i="2" s="1"/>
  <c r="M2834" i="2" s="1"/>
  <c r="M2835" i="2" s="1"/>
  <c r="M2836" i="2" s="1"/>
  <c r="M2837" i="2" s="1"/>
  <c r="M2838" i="2" s="1"/>
  <c r="M2839" i="2" s="1"/>
  <c r="M2840" i="2" s="1"/>
  <c r="M2841" i="2" s="1"/>
  <c r="M2842" i="2" s="1"/>
  <c r="M2843" i="2" s="1"/>
  <c r="M2844" i="2" s="1"/>
  <c r="M2845" i="2" s="1"/>
  <c r="M2846" i="2" s="1"/>
  <c r="M2847" i="2" s="1"/>
  <c r="M2848" i="2" s="1"/>
  <c r="M2849" i="2" s="1"/>
  <c r="M2850" i="2" s="1"/>
  <c r="M2851" i="2" s="1"/>
  <c r="M2852" i="2" s="1"/>
  <c r="M2853" i="2" s="1"/>
  <c r="M2854" i="2" s="1"/>
  <c r="M2855" i="2" s="1"/>
  <c r="M2856" i="2" s="1"/>
  <c r="M2857" i="2" s="1"/>
  <c r="M2860" i="2" s="1"/>
  <c r="M2861" i="2" s="1"/>
  <c r="M2864" i="2" s="1"/>
  <c r="M2865" i="2" s="1"/>
  <c r="M2866" i="2" s="1"/>
  <c r="M2867" i="2" s="1"/>
  <c r="M2868" i="2" s="1"/>
  <c r="M2869" i="2" s="1"/>
  <c r="M2870" i="2" s="1"/>
  <c r="M2871" i="2" s="1"/>
  <c r="M2872" i="2" s="1"/>
  <c r="M2873" i="2" s="1"/>
  <c r="M2874" i="2" s="1"/>
  <c r="M2875" i="2" s="1"/>
  <c r="M2876" i="2" s="1"/>
  <c r="M2877" i="2" s="1"/>
  <c r="M2878" i="2" s="1"/>
  <c r="M2879" i="2" s="1"/>
  <c r="M2880" i="2" s="1"/>
  <c r="M2881" i="2" s="1"/>
  <c r="M2882" i="2" s="1"/>
  <c r="M2883" i="2" s="1"/>
  <c r="M2884" i="2" s="1"/>
  <c r="M2885" i="2" s="1"/>
  <c r="M2886" i="2" s="1"/>
  <c r="M2887" i="2" s="1"/>
  <c r="M2888" i="2" s="1"/>
  <c r="M2889" i="2" s="1"/>
  <c r="M2890" i="2" s="1"/>
  <c r="M2891" i="2" s="1"/>
  <c r="M2892" i="2" s="1"/>
  <c r="M2893" i="2" s="1"/>
  <c r="M2894" i="2" s="1"/>
  <c r="M2895" i="2" s="1"/>
  <c r="M2896" i="2" s="1"/>
  <c r="M2897" i="2" s="1"/>
  <c r="M2898" i="2" s="1"/>
  <c r="M2899" i="2" s="1"/>
  <c r="M2900" i="2" s="1"/>
  <c r="M2901" i="2" s="1"/>
  <c r="M2902" i="2" s="1"/>
  <c r="M2903" i="2" s="1"/>
  <c r="M2904" i="2" s="1"/>
  <c r="M2905" i="2" s="1"/>
  <c r="M2906" i="2" s="1"/>
  <c r="M2907" i="2" s="1"/>
  <c r="M2908" i="2" s="1"/>
  <c r="M2909" i="2" s="1"/>
  <c r="M2910" i="2" s="1"/>
  <c r="M2911" i="2" s="1"/>
  <c r="M2912" i="2" s="1"/>
  <c r="M2913" i="2" s="1"/>
  <c r="M2914" i="2" s="1"/>
  <c r="M2915" i="2" s="1"/>
  <c r="M2916" i="2" s="1"/>
  <c r="M2917" i="2" s="1"/>
  <c r="M2918" i="2" s="1"/>
  <c r="M2919" i="2" s="1"/>
  <c r="M2920" i="2" s="1"/>
  <c r="M2921" i="2" s="1"/>
  <c r="M2922" i="2" s="1"/>
  <c r="M2923" i="2" s="1"/>
  <c r="M2924" i="2" s="1"/>
  <c r="M2925" i="2" s="1"/>
  <c r="M2926" i="2" s="1"/>
  <c r="M2927" i="2" s="1"/>
  <c r="M2928" i="2" s="1"/>
  <c r="M2929" i="2" s="1"/>
  <c r="M2930" i="2" s="1"/>
  <c r="M2931" i="2" s="1"/>
  <c r="M2932" i="2" s="1"/>
  <c r="M2933" i="2" s="1"/>
  <c r="M2934" i="2" s="1"/>
  <c r="M2935" i="2" s="1"/>
  <c r="M2936" i="2" s="1"/>
  <c r="M2937" i="2" s="1"/>
  <c r="M2938" i="2" s="1"/>
  <c r="M2940" i="2" s="1"/>
  <c r="M2942" i="2" s="1"/>
  <c r="M2943" i="2" s="1"/>
  <c r="M2944" i="2" s="1"/>
  <c r="M2945" i="2" s="1"/>
  <c r="M2946" i="2" s="1"/>
  <c r="M2947" i="2" s="1"/>
  <c r="M2948" i="2" s="1"/>
  <c r="M2949" i="2" s="1"/>
  <c r="M2950" i="2" s="1"/>
  <c r="M2951" i="2" s="1"/>
  <c r="M2952" i="2" s="1"/>
  <c r="M2953" i="2" s="1"/>
  <c r="M2954" i="2" s="1"/>
  <c r="M2955" i="2" s="1"/>
  <c r="M2956" i="2" s="1"/>
  <c r="M2957" i="2" s="1"/>
  <c r="M2958" i="2" s="1"/>
  <c r="M2959" i="2" s="1"/>
  <c r="M2960" i="2" s="1"/>
  <c r="M2961" i="2" s="1"/>
  <c r="M2962" i="2" s="1"/>
  <c r="M2963" i="2" s="1"/>
  <c r="M2964" i="2" s="1"/>
  <c r="M2965" i="2" s="1"/>
  <c r="M2966" i="2" s="1"/>
  <c r="M2967" i="2" s="1"/>
  <c r="M2968" i="2" s="1"/>
  <c r="M2969" i="2" s="1"/>
  <c r="M2970" i="2" s="1"/>
  <c r="M2971" i="2" s="1"/>
  <c r="M2972" i="2" s="1"/>
  <c r="M2973" i="2" s="1"/>
  <c r="M2974" i="2" s="1"/>
  <c r="M2975" i="2" s="1"/>
  <c r="M2976" i="2" s="1"/>
  <c r="M2977" i="2" s="1"/>
  <c r="M2978" i="2" s="1"/>
  <c r="M2979" i="2" s="1"/>
  <c r="M2980" i="2" s="1"/>
  <c r="M2981" i="2" s="1"/>
  <c r="M2982" i="2" s="1"/>
  <c r="M2983" i="2" s="1"/>
  <c r="M2984" i="2" s="1"/>
  <c r="M2985" i="2" s="1"/>
  <c r="M2986" i="2" s="1"/>
  <c r="M2987" i="2" s="1"/>
  <c r="M2988" i="2" s="1"/>
  <c r="M2989" i="2" s="1"/>
  <c r="M2990" i="2" s="1"/>
  <c r="M2991" i="2" s="1"/>
  <c r="M2992" i="2" s="1"/>
  <c r="M2993" i="2" s="1"/>
  <c r="M2994" i="2" s="1"/>
  <c r="M2995" i="2" s="1"/>
  <c r="M2996" i="2" s="1"/>
  <c r="M2997" i="2" s="1"/>
  <c r="M2998" i="2" s="1"/>
  <c r="M2999" i="2" s="1"/>
  <c r="M3000" i="2" s="1"/>
  <c r="M3001" i="2" s="1"/>
  <c r="M3002" i="2" s="1"/>
  <c r="M3003" i="2" s="1"/>
  <c r="M3004" i="2" s="1"/>
  <c r="M3005" i="2" s="1"/>
  <c r="M3006" i="2" s="1"/>
  <c r="M3007" i="2" s="1"/>
  <c r="M3008" i="2" s="1"/>
  <c r="M3009" i="2" s="1"/>
  <c r="M3010" i="2" s="1"/>
  <c r="M3011" i="2" s="1"/>
  <c r="M3012" i="2" s="1"/>
  <c r="M3013" i="2" s="1"/>
  <c r="M3014" i="2" s="1"/>
  <c r="M3015" i="2" s="1"/>
  <c r="M3016" i="2" s="1"/>
  <c r="M3017" i="2" s="1"/>
  <c r="M3018" i="2" s="1"/>
  <c r="M3019" i="2" s="1"/>
  <c r="M3020" i="2" s="1"/>
  <c r="M3021" i="2" s="1"/>
  <c r="M3022" i="2" s="1"/>
  <c r="M3023" i="2" s="1"/>
  <c r="M3024" i="2" s="1"/>
  <c r="M3025" i="2" s="1"/>
  <c r="M3026" i="2" s="1"/>
  <c r="M3027" i="2" s="1"/>
  <c r="M3028" i="2" s="1"/>
  <c r="M3029" i="2" s="1"/>
  <c r="M3030" i="2" s="1"/>
  <c r="M3031" i="2" s="1"/>
  <c r="M3032" i="2" s="1"/>
  <c r="M3033" i="2" s="1"/>
  <c r="M3034" i="2" s="1"/>
  <c r="M3035" i="2" s="1"/>
  <c r="M3036" i="2" s="1"/>
  <c r="M3037" i="2" s="1"/>
  <c r="M3038" i="2" s="1"/>
  <c r="M3039" i="2" s="1"/>
  <c r="M3040" i="2" s="1"/>
  <c r="M3041" i="2" s="1"/>
  <c r="M3042" i="2" s="1"/>
  <c r="M3043" i="2" s="1"/>
  <c r="M3044" i="2" s="1"/>
  <c r="M3045" i="2" s="1"/>
  <c r="M3046" i="2" s="1"/>
  <c r="M3047" i="2" s="1"/>
  <c r="M3048" i="2" s="1"/>
  <c r="M3049" i="2" s="1"/>
  <c r="M3050" i="2" s="1"/>
  <c r="M3051" i="2" s="1"/>
  <c r="M3052" i="2" s="1"/>
  <c r="M3053" i="2" s="1"/>
  <c r="M3054" i="2" s="1"/>
  <c r="M3055" i="2" s="1"/>
  <c r="M3056" i="2" s="1"/>
  <c r="M3057" i="2" s="1"/>
  <c r="M3058" i="2" s="1"/>
  <c r="M3059" i="2" s="1"/>
  <c r="M3060" i="2" s="1"/>
  <c r="M3061" i="2" s="1"/>
  <c r="M3062" i="2" s="1"/>
  <c r="M3063" i="2" s="1"/>
  <c r="M3064" i="2" s="1"/>
  <c r="M3065" i="2" s="1"/>
  <c r="M3066" i="2" s="1"/>
  <c r="M3067" i="2" s="1"/>
  <c r="M3068" i="2" s="1"/>
  <c r="M3069" i="2" s="1"/>
  <c r="M3070" i="2" s="1"/>
  <c r="M3071" i="2" s="1"/>
  <c r="M3072" i="2" s="1"/>
  <c r="M3073" i="2" s="1"/>
  <c r="M3076" i="2" s="1"/>
  <c r="M3077" i="2" s="1"/>
  <c r="M3078" i="2" s="1"/>
  <c r="M3079" i="2" s="1"/>
  <c r="M3080" i="2" s="1"/>
  <c r="M3081" i="2" s="1"/>
  <c r="M3082" i="2" s="1"/>
  <c r="M3083" i="2" s="1"/>
  <c r="M3084" i="2" s="1"/>
  <c r="M3085" i="2" s="1"/>
  <c r="M3086" i="2" s="1"/>
  <c r="M3087" i="2" s="1"/>
  <c r="M3088" i="2" s="1"/>
  <c r="M3089" i="2" s="1"/>
  <c r="M3090" i="2" s="1"/>
  <c r="M3091" i="2" s="1"/>
  <c r="M3092" i="2" s="1"/>
  <c r="M3093" i="2" s="1"/>
  <c r="M3094" i="2" s="1"/>
  <c r="M3095" i="2" s="1"/>
  <c r="M3096" i="2" s="1"/>
  <c r="M3097" i="2" s="1"/>
  <c r="M3098" i="2" s="1"/>
  <c r="M3099" i="2" s="1"/>
  <c r="M3100" i="2" s="1"/>
  <c r="M3101" i="2" s="1"/>
  <c r="M3102" i="2" s="1"/>
  <c r="M3103" i="2" s="1"/>
  <c r="M3104" i="2" s="1"/>
  <c r="M3105" i="2" s="1"/>
  <c r="M3106" i="2" s="1"/>
  <c r="M3107" i="2" s="1"/>
  <c r="M3108" i="2" s="1"/>
  <c r="M3109" i="2" s="1"/>
  <c r="M3110" i="2" s="1"/>
  <c r="M3111" i="2" s="1"/>
  <c r="M3112" i="2" s="1"/>
  <c r="M3113" i="2" s="1"/>
  <c r="M3116" i="2" s="1"/>
  <c r="M3119" i="2" s="1"/>
  <c r="M3120" i="2" s="1"/>
  <c r="M3121" i="2" s="1"/>
  <c r="M3122" i="2" s="1"/>
  <c r="M3123" i="2" s="1"/>
  <c r="M3124" i="2" s="1"/>
  <c r="M3125" i="2" s="1"/>
  <c r="M3126" i="2" s="1"/>
  <c r="M3127" i="2" s="1"/>
  <c r="M3128" i="2" s="1"/>
  <c r="M3129" i="2" s="1"/>
  <c r="M3130" i="2" s="1"/>
  <c r="M3131" i="2" s="1"/>
  <c r="M3132" i="2" s="1"/>
  <c r="M3133" i="2" s="1"/>
  <c r="M3134" i="2" s="1"/>
  <c r="M3135" i="2" s="1"/>
  <c r="M3136" i="2" s="1"/>
  <c r="M3137" i="2" s="1"/>
  <c r="M3138" i="2" s="1"/>
  <c r="M3139" i="2" s="1"/>
  <c r="M3140" i="2" s="1"/>
  <c r="M3141" i="2" s="1"/>
  <c r="M3142" i="2" s="1"/>
  <c r="M3143" i="2" s="1"/>
  <c r="M3144" i="2" s="1"/>
  <c r="M3145" i="2" s="1"/>
  <c r="M3146" i="2" s="1"/>
  <c r="M3147" i="2" s="1"/>
  <c r="M3148" i="2" s="1"/>
  <c r="M3149" i="2" s="1"/>
  <c r="M3150" i="2" s="1"/>
  <c r="M3151" i="2" s="1"/>
  <c r="M3152" i="2" s="1"/>
  <c r="M3153" i="2" s="1"/>
  <c r="M3154" i="2" s="1"/>
  <c r="M3155" i="2" s="1"/>
  <c r="M3156" i="2" s="1"/>
  <c r="M3157" i="2" s="1"/>
  <c r="M3158" i="2" s="1"/>
  <c r="M3159" i="2" s="1"/>
  <c r="M3160" i="2" s="1"/>
  <c r="M3161" i="2" s="1"/>
  <c r="M3162" i="2" s="1"/>
  <c r="M3163" i="2" s="1"/>
  <c r="M3164" i="2" s="1"/>
  <c r="M3165" i="2" s="1"/>
  <c r="M3166" i="2" s="1"/>
  <c r="M3167" i="2" s="1"/>
  <c r="M3168" i="2" s="1"/>
  <c r="M3169" i="2" s="1"/>
  <c r="M3170" i="2" s="1"/>
  <c r="M3171" i="2" s="1"/>
  <c r="M3172" i="2" s="1"/>
  <c r="M3173" i="2" s="1"/>
  <c r="M3174" i="2" s="1"/>
  <c r="M3175" i="2" s="1"/>
  <c r="M3176" i="2" s="1"/>
  <c r="M3177" i="2" s="1"/>
  <c r="M3178" i="2" s="1"/>
  <c r="M3179" i="2" s="1"/>
  <c r="M3180" i="2" s="1"/>
  <c r="M3181" i="2" s="1"/>
  <c r="M3182" i="2" s="1"/>
  <c r="M3183" i="2" s="1"/>
  <c r="M3184" i="2" s="1"/>
  <c r="M3185" i="2" s="1"/>
  <c r="M3186" i="2" s="1"/>
  <c r="M3187" i="2" s="1"/>
  <c r="M3188" i="2" s="1"/>
  <c r="M3189" i="2" s="1"/>
  <c r="M3190" i="2" s="1"/>
  <c r="M3191" i="2" s="1"/>
  <c r="M3192" i="2" s="1"/>
  <c r="M3193" i="2" s="1"/>
  <c r="M3194" i="2" s="1"/>
  <c r="M3195" i="2" s="1"/>
  <c r="M3196" i="2" s="1"/>
  <c r="M3197" i="2" s="1"/>
  <c r="M3198" i="2" s="1"/>
  <c r="M3199" i="2" s="1"/>
  <c r="M3200" i="2" s="1"/>
  <c r="M3201" i="2" s="1"/>
  <c r="M3202" i="2" s="1"/>
  <c r="M3205" i="2" s="1"/>
  <c r="M3206" i="2" s="1"/>
  <c r="M3209" i="2" s="1"/>
  <c r="M3210" i="2" s="1"/>
  <c r="M3211" i="2" s="1"/>
  <c r="M3212" i="2" s="1"/>
  <c r="M3213" i="2" s="1"/>
  <c r="M3214" i="2" s="1"/>
  <c r="M3215" i="2" s="1"/>
  <c r="M3216" i="2" s="1"/>
  <c r="M3217" i="2" s="1"/>
  <c r="M3218" i="2" s="1"/>
  <c r="M3219" i="2" s="1"/>
  <c r="M3220" i="2" s="1"/>
  <c r="M3221" i="2" s="1"/>
  <c r="M3222" i="2" s="1"/>
  <c r="M3223" i="2" s="1"/>
  <c r="M3224" i="2" s="1"/>
  <c r="M3225" i="2" s="1"/>
  <c r="M3226" i="2" s="1"/>
  <c r="M3227" i="2" s="1"/>
  <c r="M3228" i="2" s="1"/>
  <c r="M3229" i="2" s="1"/>
  <c r="M3230" i="2" s="1"/>
  <c r="M3231" i="2" s="1"/>
  <c r="M3232" i="2" s="1"/>
  <c r="M3233" i="2" s="1"/>
  <c r="M3234" i="2" s="1"/>
  <c r="M3235" i="2" s="1"/>
  <c r="M3236" i="2" s="1"/>
  <c r="M3237" i="2" s="1"/>
  <c r="M3238" i="2" s="1"/>
  <c r="M3239" i="2" s="1"/>
  <c r="M3240" i="2" s="1"/>
  <c r="M3241" i="2" s="1"/>
  <c r="M3242" i="2" s="1"/>
  <c r="M3243" i="2" s="1"/>
  <c r="M3244" i="2" s="1"/>
  <c r="M3245" i="2" s="1"/>
  <c r="M3246" i="2" s="1"/>
  <c r="M3247" i="2" s="1"/>
  <c r="M3248" i="2" s="1"/>
  <c r="M3249" i="2" s="1"/>
  <c r="M3250" i="2" s="1"/>
  <c r="M3251" i="2" s="1"/>
  <c r="M3252" i="2" s="1"/>
  <c r="M3253" i="2" s="1"/>
  <c r="M3254" i="2" s="1"/>
  <c r="M3255" i="2" s="1"/>
  <c r="M3256" i="2" s="1"/>
  <c r="M3257" i="2" s="1"/>
  <c r="M3258" i="2" s="1"/>
  <c r="M3259" i="2" s="1"/>
  <c r="M3260" i="2" s="1"/>
  <c r="M3261" i="2" s="1"/>
  <c r="M3262" i="2" s="1"/>
  <c r="M3263" i="2" s="1"/>
  <c r="M3264" i="2" s="1"/>
  <c r="M3265" i="2" s="1"/>
  <c r="M3266" i="2" s="1"/>
  <c r="M3267" i="2" s="1"/>
  <c r="M3268" i="2" s="1"/>
  <c r="M3269" i="2" s="1"/>
  <c r="M3270" i="2" s="1"/>
  <c r="M3271" i="2" s="1"/>
  <c r="M3272" i="2" s="1"/>
  <c r="M3273" i="2" s="1"/>
  <c r="M3274" i="2" s="1"/>
  <c r="M3275" i="2" s="1"/>
  <c r="M3276" i="2" s="1"/>
  <c r="M3277" i="2" s="1"/>
  <c r="M3278" i="2" s="1"/>
  <c r="M3279" i="2" s="1"/>
  <c r="M3280" i="2" s="1"/>
  <c r="M3281" i="2" s="1"/>
  <c r="M3282" i="2" s="1"/>
  <c r="M3283" i="2" s="1"/>
  <c r="M3284" i="2" s="1"/>
  <c r="M3285" i="2" s="1"/>
  <c r="M3286" i="2" s="1"/>
  <c r="M3287" i="2" s="1"/>
  <c r="M3288" i="2" s="1"/>
  <c r="M3289" i="2" s="1"/>
  <c r="M3290" i="2" s="1"/>
  <c r="M3291" i="2" s="1"/>
  <c r="M3292" i="2" s="1"/>
  <c r="M3293" i="2" s="1"/>
  <c r="M3294" i="2" s="1"/>
  <c r="M3295" i="2" s="1"/>
  <c r="M3296" i="2" s="1"/>
  <c r="M3297" i="2" s="1"/>
  <c r="M3298" i="2" s="1"/>
  <c r="M3299" i="2" s="1"/>
  <c r="M3300" i="2" s="1"/>
  <c r="M3301" i="2" s="1"/>
  <c r="M3302" i="2" s="1"/>
  <c r="M3303" i="2" s="1"/>
  <c r="M3304" i="2" s="1"/>
  <c r="M3305" i="2" s="1"/>
  <c r="M3306" i="2" s="1"/>
  <c r="M3307" i="2" s="1"/>
  <c r="M3308" i="2" s="1"/>
  <c r="M3309" i="2" s="1"/>
  <c r="M3310" i="2" s="1"/>
  <c r="M3311" i="2" s="1"/>
  <c r="M3312" i="2" s="1"/>
  <c r="M3313" i="2" s="1"/>
  <c r="M3314" i="2" s="1"/>
  <c r="M3315" i="2" s="1"/>
  <c r="M3316" i="2" s="1"/>
  <c r="M3317" i="2" s="1"/>
  <c r="M3318" i="2" s="1"/>
  <c r="M3319" i="2" s="1"/>
  <c r="M3320" i="2" s="1"/>
  <c r="M3321" i="2" s="1"/>
  <c r="M3322" i="2" s="1"/>
  <c r="M3323" i="2" s="1"/>
  <c r="M3324" i="2" s="1"/>
  <c r="M3325" i="2" s="1"/>
  <c r="M3326" i="2" s="1"/>
  <c r="M3327" i="2" s="1"/>
  <c r="M3328" i="2" s="1"/>
  <c r="M3329" i="2" s="1"/>
  <c r="M3330" i="2" s="1"/>
  <c r="M3331" i="2" s="1"/>
  <c r="M3332" i="2" s="1"/>
  <c r="M3333" i="2" s="1"/>
  <c r="M3336" i="2" s="1"/>
  <c r="M3339" i="2" s="1"/>
  <c r="M3340" i="2" s="1"/>
  <c r="M3341" i="2" s="1"/>
  <c r="M3342" i="2" s="1"/>
  <c r="M3343" i="2" s="1"/>
  <c r="M3344" i="2" s="1"/>
  <c r="M3345" i="2" s="1"/>
  <c r="M3346" i="2" s="1"/>
  <c r="M3347" i="2" s="1"/>
  <c r="M3348" i="2" s="1"/>
  <c r="M3349" i="2" s="1"/>
  <c r="M3350" i="2" s="1"/>
  <c r="M3351" i="2" s="1"/>
  <c r="M3352" i="2" s="1"/>
  <c r="M3353" i="2" s="1"/>
  <c r="M3354" i="2" s="1"/>
  <c r="M3355" i="2" s="1"/>
  <c r="M3356" i="2" s="1"/>
  <c r="M3357" i="2" s="1"/>
  <c r="M3358" i="2" s="1"/>
  <c r="M3359" i="2" s="1"/>
  <c r="M3360" i="2" s="1"/>
  <c r="M3361" i="2" s="1"/>
  <c r="M3362" i="2" s="1"/>
  <c r="M3363" i="2" s="1"/>
  <c r="M3364" i="2" s="1"/>
  <c r="M3365" i="2" s="1"/>
  <c r="M3366" i="2" s="1"/>
  <c r="M3367" i="2" s="1"/>
  <c r="M3368" i="2" s="1"/>
  <c r="M3369" i="2" s="1"/>
  <c r="M3370" i="2" s="1"/>
  <c r="M3371" i="2" s="1"/>
  <c r="M3372" i="2" s="1"/>
  <c r="M3373" i="2" s="1"/>
  <c r="M3374" i="2" s="1"/>
  <c r="M3375" i="2" s="1"/>
  <c r="M3376" i="2" s="1"/>
  <c r="M3377" i="2" s="1"/>
  <c r="M3378" i="2" s="1"/>
  <c r="M3379" i="2" s="1"/>
  <c r="M3380" i="2" s="1"/>
  <c r="M3381" i="2" s="1"/>
  <c r="M3382" i="2" s="1"/>
  <c r="M3383" i="2" s="1"/>
  <c r="M3384" i="2" s="1"/>
  <c r="M3385" i="2" s="1"/>
  <c r="M3386" i="2" s="1"/>
  <c r="M3387" i="2" s="1"/>
  <c r="M3388" i="2" s="1"/>
  <c r="M3389" i="2" s="1"/>
  <c r="M3390" i="2" s="1"/>
  <c r="M3391" i="2" s="1"/>
  <c r="M3392" i="2" s="1"/>
  <c r="M3393" i="2" s="1"/>
  <c r="M3394" i="2" s="1"/>
  <c r="M3395" i="2" s="1"/>
  <c r="M3396" i="2" s="1"/>
  <c r="M3397" i="2" s="1"/>
  <c r="M3398" i="2" s="1"/>
  <c r="M3399" i="2" s="1"/>
  <c r="M3400" i="2" s="1"/>
  <c r="M3401" i="2" s="1"/>
  <c r="M3402" i="2" s="1"/>
  <c r="M3403" i="2" s="1"/>
  <c r="M3404" i="2" s="1"/>
  <c r="M3405" i="2" s="1"/>
  <c r="M3406" i="2" s="1"/>
  <c r="M3407" i="2" s="1"/>
  <c r="M3408" i="2" s="1"/>
  <c r="M3409" i="2" s="1"/>
  <c r="M3410" i="2" s="1"/>
  <c r="M3411" i="2" s="1"/>
  <c r="M3412" i="2" s="1"/>
  <c r="M3413" i="2" s="1"/>
  <c r="M3414" i="2" s="1"/>
  <c r="M3415" i="2" s="1"/>
  <c r="M3416" i="2" s="1"/>
  <c r="M3417" i="2" s="1"/>
  <c r="M3418" i="2" s="1"/>
  <c r="M3419" i="2" s="1"/>
  <c r="M3420" i="2" s="1"/>
  <c r="M3421" i="2" s="1"/>
  <c r="M3422" i="2" s="1"/>
  <c r="M3423" i="2" s="1"/>
  <c r="M3424" i="2" s="1"/>
  <c r="M3425" i="2" s="1"/>
  <c r="M3426" i="2" s="1"/>
  <c r="M3427" i="2" s="1"/>
  <c r="M3428" i="2" s="1"/>
  <c r="M3429" i="2" s="1"/>
  <c r="M3430" i="2" s="1"/>
  <c r="M3431" i="2" s="1"/>
  <c r="M3432" i="2" s="1"/>
  <c r="M3433" i="2" s="1"/>
  <c r="M3434" i="2" s="1"/>
  <c r="M3435" i="2" s="1"/>
  <c r="M3436" i="2" s="1"/>
  <c r="M3437" i="2" s="1"/>
  <c r="M3438" i="2" s="1"/>
  <c r="M3439" i="2" s="1"/>
  <c r="M3440" i="2" s="1"/>
  <c r="M3441" i="2" s="1"/>
  <c r="M3442" i="2" s="1"/>
  <c r="M3443" i="2" s="1"/>
  <c r="M3444" i="2" s="1"/>
  <c r="M3445" i="2" s="1"/>
  <c r="M3446" i="2" s="1"/>
  <c r="M3447" i="2" s="1"/>
  <c r="M3448" i="2" s="1"/>
  <c r="M3449" i="2" s="1"/>
  <c r="M3450" i="2" s="1"/>
  <c r="M3451" i="2" s="1"/>
  <c r="M3452" i="2" s="1"/>
  <c r="M3453" i="2" s="1"/>
  <c r="M3454" i="2" s="1"/>
  <c r="M3455" i="2" s="1"/>
  <c r="M3456" i="2" s="1"/>
  <c r="M3457" i="2" s="1"/>
  <c r="M3458" i="2" s="1"/>
  <c r="M3459" i="2" s="1"/>
  <c r="M3460" i="2" s="1"/>
  <c r="M3461" i="2" s="1"/>
  <c r="M3462" i="2" s="1"/>
  <c r="M3463" i="2" s="1"/>
  <c r="M3464" i="2" s="1"/>
  <c r="M3465" i="2" s="1"/>
  <c r="M3466" i="2" s="1"/>
  <c r="M3467" i="2" s="1"/>
  <c r="M3468" i="2" s="1"/>
  <c r="M3469" i="2" s="1"/>
  <c r="M3470" i="2" s="1"/>
  <c r="M3471" i="2" s="1"/>
  <c r="M3472" i="2" s="1"/>
  <c r="M3473" i="2" s="1"/>
  <c r="M3474" i="2" s="1"/>
  <c r="M3475" i="2" s="1"/>
  <c r="M3476" i="2" s="1"/>
  <c r="M3477" i="2" s="1"/>
  <c r="M3478" i="2" s="1"/>
  <c r="M3479" i="2" s="1"/>
  <c r="M3480" i="2" s="1"/>
  <c r="M3481" i="2" s="1"/>
  <c r="M3482" i="2" s="1"/>
  <c r="M3483" i="2" s="1"/>
  <c r="M3484" i="2" s="1"/>
  <c r="M3485" i="2" s="1"/>
  <c r="M3486" i="2" s="1"/>
  <c r="M3487" i="2" s="1"/>
  <c r="M3488" i="2" s="1"/>
  <c r="M3489" i="2" s="1"/>
  <c r="M3490" i="2" s="1"/>
  <c r="M3491" i="2" s="1"/>
  <c r="M3492" i="2" s="1"/>
  <c r="M3493" i="2" s="1"/>
  <c r="M3494" i="2" s="1"/>
  <c r="M3495" i="2" s="1"/>
  <c r="M3496" i="2" s="1"/>
  <c r="M3497" i="2" s="1"/>
  <c r="M3498" i="2" s="1"/>
  <c r="M3499" i="2" s="1"/>
  <c r="M3500" i="2" s="1"/>
  <c r="M3501" i="2" s="1"/>
  <c r="M3502" i="2" s="1"/>
  <c r="M3503" i="2" s="1"/>
  <c r="M3504" i="2" s="1"/>
  <c r="M3505" i="2" s="1"/>
  <c r="M3506" i="2" s="1"/>
  <c r="M3507" i="2" s="1"/>
  <c r="M3508" i="2" s="1"/>
  <c r="M3509" i="2" s="1"/>
  <c r="M3510" i="2" s="1"/>
  <c r="M3511" i="2" s="1"/>
  <c r="M3512" i="2" s="1"/>
  <c r="M3513" i="2" s="1"/>
  <c r="M3514" i="2" s="1"/>
  <c r="M3515" i="2" s="1"/>
  <c r="M3516" i="2" s="1"/>
  <c r="M3517" i="2" s="1"/>
  <c r="M3518" i="2" s="1"/>
  <c r="M3519" i="2" s="1"/>
  <c r="M3520" i="2" s="1"/>
  <c r="M3521" i="2" s="1"/>
  <c r="M3522" i="2" s="1"/>
  <c r="M3523" i="2" s="1"/>
  <c r="M3524" i="2" s="1"/>
  <c r="M3525" i="2" s="1"/>
  <c r="M3526" i="2" s="1"/>
  <c r="M3527" i="2" s="1"/>
  <c r="M3528" i="2" s="1"/>
  <c r="M3529" i="2" s="1"/>
  <c r="M3530" i="2" s="1"/>
  <c r="M3531" i="2" s="1"/>
  <c r="M3532" i="2" s="1"/>
  <c r="M3533" i="2" s="1"/>
  <c r="M3534" i="2" s="1"/>
  <c r="M3535" i="2" s="1"/>
  <c r="M3536" i="2" s="1"/>
  <c r="M3537" i="2" s="1"/>
  <c r="M3538" i="2" s="1"/>
  <c r="M3539" i="2" s="1"/>
  <c r="M3540" i="2" s="1"/>
  <c r="M3541" i="2" s="1"/>
  <c r="M3542" i="2" s="1"/>
  <c r="M3543" i="2" s="1"/>
  <c r="M3544" i="2" s="1"/>
  <c r="M3545" i="2" s="1"/>
  <c r="M3546" i="2" s="1"/>
  <c r="M3547" i="2" s="1"/>
  <c r="M3548" i="2" s="1"/>
  <c r="M3549" i="2" s="1"/>
  <c r="M3550" i="2" s="1"/>
  <c r="M3551" i="2" s="1"/>
  <c r="M3552" i="2" s="1"/>
  <c r="M3553" i="2" s="1"/>
  <c r="M3554" i="2" s="1"/>
  <c r="M3555" i="2" s="1"/>
  <c r="M3556" i="2" s="1"/>
  <c r="M3557" i="2" s="1"/>
  <c r="M3558" i="2" s="1"/>
  <c r="M3559" i="2" s="1"/>
  <c r="M3561" i="2" s="1"/>
  <c r="M3562" i="2" s="1"/>
  <c r="M3563" i="2" s="1"/>
  <c r="M3564" i="2" s="1"/>
  <c r="M3565" i="2" s="1"/>
  <c r="M3566" i="2" s="1"/>
  <c r="M3567" i="2" s="1"/>
  <c r="M3568" i="2" s="1"/>
  <c r="M3569" i="2" s="1"/>
  <c r="M3570" i="2" s="1"/>
  <c r="M3571" i="2" s="1"/>
  <c r="M3572" i="2" s="1"/>
  <c r="M3573" i="2" s="1"/>
  <c r="M3574" i="2" s="1"/>
  <c r="M3575" i="2" s="1"/>
  <c r="M3576" i="2" s="1"/>
  <c r="M3577" i="2" s="1"/>
  <c r="M3579" i="2" s="1"/>
  <c r="M3580" i="2" s="1"/>
  <c r="M3581" i="2" s="1"/>
  <c r="M3582" i="2" s="1"/>
  <c r="M3583" i="2" s="1"/>
  <c r="M3584" i="2" s="1"/>
  <c r="M3585" i="2" s="1"/>
  <c r="M3587" i="2" s="1"/>
  <c r="M3588" i="2" s="1"/>
  <c r="M3589" i="2" s="1"/>
  <c r="M3590" i="2" s="1"/>
  <c r="M3591" i="2" s="1"/>
  <c r="M3592" i="2" s="1"/>
  <c r="M3593" i="2" s="1"/>
  <c r="M3595" i="2" s="1"/>
  <c r="M3596" i="2" s="1"/>
  <c r="M3597" i="2" s="1"/>
  <c r="M3598" i="2" s="1"/>
  <c r="M3599" i="2" s="1"/>
  <c r="M3600" i="2" s="1"/>
  <c r="M3601" i="2" s="1"/>
  <c r="M3602" i="2" s="1"/>
  <c r="M3603" i="2" s="1"/>
  <c r="M3604" i="2" s="1"/>
  <c r="M3605" i="2" s="1"/>
  <c r="M3606" i="2" s="1"/>
  <c r="M3607" i="2" s="1"/>
  <c r="M3608" i="2" s="1"/>
  <c r="M3609" i="2" s="1"/>
  <c r="M3610" i="2" s="1"/>
  <c r="M3611" i="2" s="1"/>
  <c r="M3612" i="2" s="1"/>
  <c r="M3613" i="2" s="1"/>
  <c r="M3614" i="2" s="1"/>
  <c r="M3615" i="2" s="1"/>
  <c r="M3616" i="2" s="1"/>
  <c r="M3617" i="2" s="1"/>
  <c r="M3618" i="2" s="1"/>
  <c r="M3619" i="2" s="1"/>
  <c r="M3620" i="2" s="1"/>
  <c r="M3621" i="2" s="1"/>
  <c r="M3622" i="2" s="1"/>
  <c r="M3623" i="2" s="1"/>
  <c r="M3624" i="2" s="1"/>
  <c r="M3625" i="2" s="1"/>
  <c r="M3626" i="2" s="1"/>
  <c r="M3627" i="2" s="1"/>
  <c r="M3628" i="2" s="1"/>
  <c r="M3629" i="2" s="1"/>
  <c r="M3630" i="2" s="1"/>
  <c r="M3631" i="2" s="1"/>
  <c r="M3632" i="2" s="1"/>
  <c r="M3633" i="2" s="1"/>
  <c r="M3634" i="2" s="1"/>
  <c r="M3635" i="2" s="1"/>
  <c r="M3636" i="2" s="1"/>
  <c r="M3637" i="2" s="1"/>
  <c r="M3638" i="2" s="1"/>
  <c r="M3639" i="2" s="1"/>
  <c r="M3640" i="2" s="1"/>
  <c r="M3641" i="2" s="1"/>
  <c r="M3642" i="2" s="1"/>
  <c r="M3643" i="2" s="1"/>
  <c r="M3644" i="2" s="1"/>
  <c r="M3645" i="2" s="1"/>
  <c r="M3646" i="2" s="1"/>
  <c r="M3647" i="2" s="1"/>
  <c r="M3648" i="2" s="1"/>
  <c r="M3649" i="2" s="1"/>
  <c r="M3650" i="2" s="1"/>
  <c r="M3651" i="2" s="1"/>
  <c r="M3652" i="2" s="1"/>
  <c r="M3653" i="2" s="1"/>
  <c r="M3654" i="2" s="1"/>
  <c r="M3655" i="2" s="1"/>
  <c r="M3656" i="2" s="1"/>
  <c r="M3657" i="2" s="1"/>
  <c r="M3658" i="2" s="1"/>
  <c r="M3659" i="2" s="1"/>
  <c r="M3660" i="2" s="1"/>
  <c r="M3661" i="2" s="1"/>
  <c r="M3662" i="2" s="1"/>
  <c r="M3663" i="2" s="1"/>
  <c r="M3664" i="2" s="1"/>
  <c r="M3665" i="2" s="1"/>
  <c r="M3666" i="2" s="1"/>
  <c r="M3667" i="2" s="1"/>
  <c r="M3668" i="2" s="1"/>
  <c r="M3669" i="2" s="1"/>
  <c r="M3670" i="2" s="1"/>
  <c r="M3671" i="2" s="1"/>
  <c r="M3672" i="2" s="1"/>
  <c r="M3673" i="2" s="1"/>
  <c r="M3674" i="2" s="1"/>
  <c r="M3675" i="2" s="1"/>
  <c r="M3676" i="2" s="1"/>
  <c r="M3677" i="2" s="1"/>
  <c r="M3678" i="2" s="1"/>
  <c r="M3679" i="2" s="1"/>
  <c r="M3680" i="2" s="1"/>
  <c r="M3681" i="2" s="1"/>
  <c r="M3682" i="2" s="1"/>
  <c r="M3683" i="2" s="1"/>
  <c r="M3684" i="2" s="1"/>
  <c r="M3685" i="2" s="1"/>
  <c r="M3686" i="2" s="1"/>
  <c r="M3687" i="2" s="1"/>
  <c r="M3688" i="2" s="1"/>
  <c r="M3689" i="2" s="1"/>
  <c r="M3690" i="2" s="1"/>
  <c r="M3691" i="2" s="1"/>
  <c r="M3692" i="2" s="1"/>
  <c r="M3693" i="2" s="1"/>
  <c r="M3694" i="2" s="1"/>
  <c r="M3695" i="2" s="1"/>
  <c r="M3696" i="2" s="1"/>
  <c r="M3697" i="2" s="1"/>
  <c r="M3698" i="2" s="1"/>
  <c r="M3699" i="2" s="1"/>
  <c r="M3700" i="2" s="1"/>
  <c r="M3701" i="2" s="1"/>
  <c r="M3702" i="2" s="1"/>
  <c r="M3703" i="2" s="1"/>
  <c r="M3704" i="2" s="1"/>
  <c r="M3705" i="2" s="1"/>
  <c r="M3706" i="2" s="1"/>
  <c r="M3707" i="2" s="1"/>
  <c r="M3708" i="2" s="1"/>
  <c r="M3709" i="2" s="1"/>
  <c r="M3710" i="2" s="1"/>
  <c r="M3711" i="2" s="1"/>
  <c r="M3712" i="2" s="1"/>
  <c r="M3713" i="2" s="1"/>
  <c r="M3714" i="2" s="1"/>
  <c r="M3715" i="2" s="1"/>
  <c r="M3716" i="2" s="1"/>
  <c r="M3717" i="2" s="1"/>
  <c r="M3718" i="2" s="1"/>
  <c r="M3719" i="2" s="1"/>
  <c r="M3720" i="2" s="1"/>
  <c r="M3721" i="2" s="1"/>
  <c r="M3722" i="2" s="1"/>
  <c r="M3723" i="2" s="1"/>
  <c r="M3724" i="2" s="1"/>
  <c r="M3725" i="2" s="1"/>
  <c r="M3726" i="2" s="1"/>
  <c r="M3727" i="2" s="1"/>
  <c r="M3728" i="2" s="1"/>
  <c r="M3729" i="2" s="1"/>
  <c r="M3730" i="2" s="1"/>
  <c r="M3731" i="2" s="1"/>
  <c r="M3732" i="2" s="1"/>
  <c r="M3733" i="2" s="1"/>
  <c r="M3734" i="2" s="1"/>
  <c r="M3735" i="2" s="1"/>
  <c r="M3736" i="2" s="1"/>
  <c r="M3737" i="2" s="1"/>
  <c r="M3738" i="2" s="1"/>
  <c r="M3739" i="2" s="1"/>
  <c r="M3740" i="2" s="1"/>
  <c r="M3741" i="2" s="1"/>
  <c r="M3742" i="2" s="1"/>
  <c r="M3743" i="2" s="1"/>
  <c r="M3744" i="2" s="1"/>
  <c r="M3745" i="2" s="1"/>
  <c r="M3746" i="2" s="1"/>
  <c r="M3748" i="2" s="1"/>
  <c r="M3749" i="2" s="1"/>
  <c r="M3750" i="2" s="1"/>
  <c r="M3751" i="2" s="1"/>
  <c r="M3752" i="2" s="1"/>
  <c r="M3753" i="2" s="1"/>
  <c r="M3754" i="2" s="1"/>
  <c r="M3755" i="2" s="1"/>
  <c r="M3756" i="2" s="1"/>
  <c r="M3757" i="2" s="1"/>
  <c r="M3758" i="2" s="1"/>
  <c r="M3759" i="2" s="1"/>
  <c r="M3760" i="2" s="1"/>
  <c r="M3761" i="2" s="1"/>
  <c r="M3762" i="2" s="1"/>
  <c r="M3763" i="2" s="1"/>
  <c r="M3764" i="2" s="1"/>
  <c r="M3765" i="2" s="1"/>
  <c r="M3766" i="2" s="1"/>
  <c r="M3767" i="2" s="1"/>
  <c r="M3768" i="2" s="1"/>
  <c r="M3769" i="2" s="1"/>
  <c r="M3770" i="2" s="1"/>
  <c r="M3771" i="2" s="1"/>
  <c r="M3772" i="2" s="1"/>
  <c r="M3773" i="2" s="1"/>
  <c r="M3774" i="2" s="1"/>
  <c r="M3775" i="2" s="1"/>
  <c r="M3776" i="2" s="1"/>
  <c r="M3777" i="2" s="1"/>
  <c r="M3778" i="2" s="1"/>
  <c r="M3779" i="2" s="1"/>
  <c r="M3780" i="2" s="1"/>
  <c r="M3781" i="2" s="1"/>
  <c r="M3782" i="2" s="1"/>
  <c r="M3783" i="2" s="1"/>
  <c r="M3784" i="2" s="1"/>
  <c r="M3785" i="2" s="1"/>
  <c r="M3786" i="2" s="1"/>
  <c r="M3787" i="2" s="1"/>
  <c r="M3788" i="2" s="1"/>
  <c r="M3789" i="2" s="1"/>
  <c r="M3790" i="2" s="1"/>
  <c r="M3791" i="2" s="1"/>
  <c r="M3792" i="2" s="1"/>
  <c r="M3793" i="2" s="1"/>
  <c r="M3794" i="2" s="1"/>
  <c r="M3795" i="2" s="1"/>
  <c r="M3796" i="2" s="1"/>
  <c r="M3797" i="2" s="1"/>
  <c r="M3798" i="2" s="1"/>
  <c r="M3799" i="2" s="1"/>
  <c r="M3800" i="2" s="1"/>
  <c r="M3801" i="2" s="1"/>
  <c r="M3802" i="2" s="1"/>
  <c r="M3803" i="2" s="1"/>
  <c r="M3804" i="2" s="1"/>
  <c r="M3805" i="2" s="1"/>
  <c r="M3806" i="2" s="1"/>
  <c r="M3807" i="2" s="1"/>
  <c r="M3808" i="2" s="1"/>
  <c r="M3809" i="2" s="1"/>
  <c r="M3810" i="2" s="1"/>
  <c r="M3811" i="2" s="1"/>
  <c r="M3812" i="2" s="1"/>
  <c r="M3813" i="2" s="1"/>
  <c r="M3814" i="2" s="1"/>
  <c r="M3815" i="2" s="1"/>
  <c r="M3816" i="2" s="1"/>
  <c r="M3817" i="2" s="1"/>
  <c r="M3818" i="2" s="1"/>
  <c r="M3819" i="2" s="1"/>
  <c r="M3820" i="2" s="1"/>
  <c r="M3821" i="2" s="1"/>
  <c r="M3822" i="2" s="1"/>
  <c r="M3823" i="2" s="1"/>
  <c r="M3824" i="2" s="1"/>
  <c r="M3825" i="2" s="1"/>
  <c r="M3826" i="2" s="1"/>
  <c r="M3827" i="2" s="1"/>
  <c r="M3828" i="2" s="1"/>
  <c r="M3829" i="2" s="1"/>
  <c r="M3830" i="2" s="1"/>
  <c r="M3831" i="2" s="1"/>
  <c r="M3832" i="2" s="1"/>
  <c r="M3833" i="2" s="1"/>
  <c r="M3834" i="2" s="1"/>
  <c r="M3835" i="2" s="1"/>
  <c r="M3836" i="2" s="1"/>
  <c r="M3837" i="2" s="1"/>
  <c r="M3838" i="2" s="1"/>
  <c r="M3839" i="2" s="1"/>
  <c r="M3840" i="2" s="1"/>
  <c r="M3841" i="2" s="1"/>
  <c r="M3842" i="2" s="1"/>
  <c r="M3843" i="2" s="1"/>
  <c r="M3844" i="2" s="1"/>
  <c r="M3845" i="2" s="1"/>
  <c r="M3846" i="2" s="1"/>
  <c r="M3847" i="2" s="1"/>
  <c r="M3848" i="2" s="1"/>
  <c r="M3849" i="2" s="1"/>
  <c r="M3850" i="2" s="1"/>
  <c r="M3851" i="2" s="1"/>
  <c r="M3852" i="2" s="1"/>
  <c r="M3853" i="2" s="1"/>
  <c r="M3854" i="2" s="1"/>
  <c r="M3855" i="2" s="1"/>
  <c r="M3856" i="2" s="1"/>
  <c r="M3857" i="2" s="1"/>
  <c r="M3858" i="2" s="1"/>
  <c r="M3859" i="2" s="1"/>
  <c r="M3860" i="2" s="1"/>
  <c r="M3861" i="2" s="1"/>
  <c r="M3862" i="2" s="1"/>
  <c r="M3863" i="2" s="1"/>
  <c r="M3864" i="2" s="1"/>
  <c r="M3865" i="2" s="1"/>
  <c r="M3866" i="2" s="1"/>
  <c r="M3867" i="2" s="1"/>
  <c r="M3868" i="2" s="1"/>
  <c r="M3869" i="2" s="1"/>
  <c r="M3870" i="2" s="1"/>
  <c r="M3871" i="2" s="1"/>
  <c r="M3872" i="2" s="1"/>
  <c r="M3873" i="2" s="1"/>
  <c r="M3874" i="2" s="1"/>
  <c r="M3875" i="2" s="1"/>
  <c r="M3876" i="2" s="1"/>
  <c r="M3877" i="2" s="1"/>
  <c r="M3878" i="2" s="1"/>
  <c r="M3879" i="2" s="1"/>
  <c r="M3880" i="2" s="1"/>
  <c r="M3881" i="2" s="1"/>
  <c r="M3882" i="2" s="1"/>
  <c r="M3883" i="2" s="1"/>
  <c r="M3884" i="2" s="1"/>
  <c r="M3885" i="2" s="1"/>
  <c r="M3886" i="2" s="1"/>
  <c r="M3887" i="2" s="1"/>
  <c r="M3888" i="2" s="1"/>
  <c r="M3889" i="2" s="1"/>
  <c r="M3890" i="2" s="1"/>
  <c r="M3891" i="2" s="1"/>
  <c r="M3892" i="2" s="1"/>
  <c r="M3893" i="2" s="1"/>
  <c r="M3894" i="2" s="1"/>
  <c r="M3895" i="2" s="1"/>
  <c r="M3896" i="2" s="1"/>
  <c r="M3897" i="2" s="1"/>
  <c r="M3898" i="2" s="1"/>
  <c r="M3899" i="2" s="1"/>
  <c r="M3900" i="2" s="1"/>
  <c r="M3901" i="2" s="1"/>
  <c r="M3902" i="2" s="1"/>
  <c r="M3903" i="2" s="1"/>
  <c r="M3904" i="2" s="1"/>
  <c r="M3905" i="2" s="1"/>
  <c r="M3906" i="2" s="1"/>
  <c r="M3907" i="2" s="1"/>
  <c r="M3908" i="2" s="1"/>
  <c r="M3910" i="2" s="1"/>
  <c r="M3911" i="2" s="1"/>
  <c r="M3912" i="2" s="1"/>
  <c r="M3913" i="2" s="1"/>
  <c r="M3914" i="2" s="1"/>
  <c r="M3915" i="2" s="1"/>
  <c r="M3916" i="2" s="1"/>
  <c r="M3917" i="2" s="1"/>
  <c r="M3918" i="2" s="1"/>
  <c r="M3920" i="2" s="1"/>
  <c r="M3921" i="2" s="1"/>
  <c r="M3922" i="2" s="1"/>
  <c r="M3923" i="2" s="1"/>
  <c r="M3924" i="2" s="1"/>
  <c r="M3925" i="2" s="1"/>
  <c r="M3926" i="2" s="1"/>
  <c r="M3927" i="2" s="1"/>
  <c r="M3928" i="2" s="1"/>
  <c r="M3930" i="2" s="1"/>
  <c r="M3931" i="2" s="1"/>
  <c r="M3932" i="2" s="1"/>
  <c r="M3933" i="2" s="1"/>
  <c r="M3934" i="2" s="1"/>
  <c r="M3935" i="2" s="1"/>
  <c r="M3936" i="2" s="1"/>
  <c r="M3937" i="2" s="1"/>
  <c r="M3938" i="2" s="1"/>
  <c r="M3939" i="2" s="1"/>
  <c r="M3941" i="2" s="1"/>
  <c r="M3942" i="2" s="1"/>
  <c r="M3943" i="2" s="1"/>
  <c r="M3944" i="2" s="1"/>
  <c r="M3945" i="2" s="1"/>
  <c r="M3946" i="2" s="1"/>
  <c r="M3947" i="2" s="1"/>
  <c r="M3948" i="2" s="1"/>
  <c r="M3949" i="2" s="1"/>
  <c r="M3950" i="2" s="1"/>
  <c r="M3952" i="2" s="1"/>
  <c r="M3953" i="2" s="1"/>
  <c r="M3954" i="2" s="1"/>
  <c r="M3955" i="2" s="1"/>
  <c r="M3956" i="2" s="1"/>
  <c r="M3957" i="2" s="1"/>
  <c r="M3958" i="2" s="1"/>
  <c r="M3959" i="2" s="1"/>
  <c r="M3960" i="2" s="1"/>
  <c r="M3961" i="2" s="1"/>
  <c r="M3963" i="2" s="1"/>
  <c r="M3964" i="2" s="1"/>
  <c r="M3965" i="2" s="1"/>
  <c r="M3966" i="2" s="1"/>
  <c r="M3967" i="2" s="1"/>
  <c r="M3968" i="2" s="1"/>
  <c r="M3969" i="2" s="1"/>
  <c r="M3970" i="2" s="1"/>
  <c r="M3971" i="2" s="1"/>
  <c r="M3972" i="2" s="1"/>
  <c r="M3974" i="2" s="1"/>
  <c r="M3975" i="2" s="1"/>
  <c r="M3976" i="2" s="1"/>
  <c r="M3977" i="2" s="1"/>
  <c r="M3978" i="2" s="1"/>
  <c r="M3979" i="2" s="1"/>
  <c r="M3980" i="2" s="1"/>
  <c r="M3981" i="2" s="1"/>
  <c r="M3982" i="2" s="1"/>
  <c r="M3983" i="2" s="1"/>
  <c r="M3984" i="2" s="1"/>
  <c r="M3985" i="2" s="1"/>
  <c r="M3986" i="2" s="1"/>
  <c r="M3987" i="2" s="1"/>
  <c r="M3988" i="2" s="1"/>
  <c r="M3989" i="2" s="1"/>
  <c r="M3990" i="2" s="1"/>
  <c r="M3991" i="2" s="1"/>
  <c r="M3992" i="2" s="1"/>
  <c r="M3993" i="2" s="1"/>
  <c r="M3994" i="2" s="1"/>
  <c r="M3995" i="2" s="1"/>
  <c r="M3996" i="2" s="1"/>
  <c r="M3997" i="2" s="1"/>
  <c r="M3998" i="2" s="1"/>
  <c r="M3999" i="2" s="1"/>
  <c r="M4000" i="2" s="1"/>
  <c r="M4001" i="2" s="1"/>
  <c r="M4002" i="2" s="1"/>
  <c r="M4003" i="2" s="1"/>
  <c r="M4004" i="2" s="1"/>
  <c r="M4005" i="2" s="1"/>
  <c r="M4006" i="2" s="1"/>
  <c r="M4007" i="2" s="1"/>
  <c r="M4008" i="2" s="1"/>
  <c r="M4009" i="2" s="1"/>
  <c r="M4010" i="2" s="1"/>
  <c r="M4011" i="2" s="1"/>
  <c r="M4012" i="2" s="1"/>
  <c r="M4013" i="2" s="1"/>
  <c r="M4014" i="2" s="1"/>
  <c r="M4015" i="2" s="1"/>
  <c r="M4016" i="2" s="1"/>
  <c r="M4017" i="2" s="1"/>
  <c r="M4018" i="2" s="1"/>
  <c r="M4019" i="2" s="1"/>
  <c r="M4020" i="2" s="1"/>
  <c r="M4021" i="2" s="1"/>
  <c r="M4022" i="2" s="1"/>
  <c r="M4023" i="2" s="1"/>
  <c r="M4024" i="2" s="1"/>
  <c r="M4025" i="2" s="1"/>
  <c r="M4026" i="2" s="1"/>
  <c r="M4027" i="2" s="1"/>
  <c r="M4028" i="2" s="1"/>
  <c r="M4029" i="2" s="1"/>
  <c r="M4030" i="2" s="1"/>
  <c r="M4031" i="2" s="1"/>
  <c r="M4032" i="2" s="1"/>
  <c r="M4033" i="2" s="1"/>
  <c r="M4034" i="2" s="1"/>
  <c r="M4035" i="2" s="1"/>
  <c r="M4036" i="2" s="1"/>
  <c r="M4037" i="2" s="1"/>
  <c r="M4038" i="2" s="1"/>
  <c r="M4039" i="2" s="1"/>
  <c r="M4040" i="2" s="1"/>
  <c r="M4041" i="2" s="1"/>
  <c r="M4042" i="2" s="1"/>
  <c r="M4043" i="2" s="1"/>
  <c r="M4044" i="2" s="1"/>
  <c r="M4045" i="2" s="1"/>
  <c r="M4046" i="2" s="1"/>
  <c r="M4047" i="2" s="1"/>
  <c r="M4048" i="2" s="1"/>
  <c r="M4049" i="2" s="1"/>
  <c r="M4050" i="2" s="1"/>
  <c r="M4051" i="2" s="1"/>
  <c r="M4052" i="2" s="1"/>
  <c r="M4053" i="2" s="1"/>
  <c r="M4054" i="2" s="1"/>
  <c r="M4055" i="2" s="1"/>
  <c r="M4056" i="2" s="1"/>
  <c r="M4057" i="2" s="1"/>
  <c r="M4058" i="2" s="1"/>
  <c r="M4059" i="2" s="1"/>
  <c r="M4060" i="2" s="1"/>
  <c r="M4061" i="2" s="1"/>
  <c r="M4062" i="2" s="1"/>
  <c r="M4063" i="2" s="1"/>
  <c r="M4064" i="2" s="1"/>
  <c r="M4065" i="2" s="1"/>
  <c r="M4066" i="2" s="1"/>
  <c r="M4067" i="2" s="1"/>
  <c r="M4068" i="2" s="1"/>
  <c r="M4069" i="2" s="1"/>
  <c r="M4070" i="2" s="1"/>
  <c r="M4071" i="2" s="1"/>
  <c r="M4072" i="2" s="1"/>
  <c r="M4073" i="2" s="1"/>
  <c r="M4074" i="2" s="1"/>
  <c r="M4075" i="2" s="1"/>
  <c r="M4076" i="2" s="1"/>
  <c r="M4077" i="2" s="1"/>
  <c r="M4078" i="2" s="1"/>
  <c r="M4079" i="2" s="1"/>
  <c r="M4080" i="2" s="1"/>
  <c r="M4081" i="2" s="1"/>
  <c r="M4082" i="2" s="1"/>
  <c r="M4083" i="2" s="1"/>
  <c r="M4084" i="2" s="1"/>
  <c r="M4085" i="2" s="1"/>
  <c r="M4086" i="2" s="1"/>
  <c r="M4087" i="2" s="1"/>
  <c r="M4088" i="2" s="1"/>
  <c r="M4089" i="2" s="1"/>
  <c r="M4090" i="2" s="1"/>
  <c r="M4092" i="2" s="1"/>
  <c r="M4093" i="2" s="1"/>
  <c r="M4094" i="2" s="1"/>
  <c r="M4095" i="2" s="1"/>
  <c r="M4096" i="2" s="1"/>
  <c r="M4097" i="2" s="1"/>
  <c r="M4098" i="2" s="1"/>
  <c r="M4099" i="2" s="1"/>
  <c r="M4100" i="2" s="1"/>
  <c r="M4101" i="2" s="1"/>
  <c r="M4102" i="2" s="1"/>
  <c r="M4103" i="2" s="1"/>
  <c r="M4104" i="2" s="1"/>
  <c r="M4106" i="2" s="1"/>
  <c r="M4107" i="2" s="1"/>
  <c r="M4108" i="2" s="1"/>
  <c r="M4109" i="2" s="1"/>
  <c r="M4110" i="2" s="1"/>
  <c r="M4111" i="2" s="1"/>
  <c r="M4112" i="2" s="1"/>
  <c r="M4113" i="2" s="1"/>
  <c r="M4114" i="2" s="1"/>
  <c r="M4116" i="2" s="1"/>
  <c r="M4117" i="2" s="1"/>
  <c r="M4118" i="2" s="1"/>
  <c r="M4119" i="2" s="1"/>
  <c r="M4120" i="2" s="1"/>
  <c r="M4121" i="2" s="1"/>
  <c r="M4122" i="2" s="1"/>
  <c r="M4123" i="2" s="1"/>
  <c r="M4124" i="2" s="1"/>
  <c r="M4125" i="2" s="1"/>
  <c r="M4126" i="2" s="1"/>
  <c r="M4127" i="2" s="1"/>
  <c r="M4128" i="2" s="1"/>
  <c r="M4129" i="2" s="1"/>
  <c r="M4130" i="2" s="1"/>
  <c r="M4131" i="2" s="1"/>
  <c r="M4132" i="2" s="1"/>
  <c r="M4133" i="2" s="1"/>
  <c r="M4134" i="2" s="1"/>
  <c r="M4135" i="2" s="1"/>
  <c r="M4136" i="2" s="1"/>
  <c r="M4137" i="2" s="1"/>
  <c r="M4138" i="2" s="1"/>
  <c r="M4139" i="2" s="1"/>
  <c r="M4140" i="2" s="1"/>
  <c r="M4141" i="2" s="1"/>
  <c r="M4142" i="2" s="1"/>
  <c r="M4143" i="2" s="1"/>
  <c r="M4144" i="2" s="1"/>
  <c r="M4145" i="2" s="1"/>
  <c r="M4146" i="2" s="1"/>
  <c r="M4147" i="2" s="1"/>
  <c r="M4148" i="2" s="1"/>
  <c r="M4149" i="2" s="1"/>
  <c r="M4150" i="2" s="1"/>
  <c r="M4151" i="2" s="1"/>
  <c r="M4152" i="2" s="1"/>
  <c r="M4153" i="2" s="1"/>
  <c r="M4154" i="2" s="1"/>
  <c r="M4155" i="2" s="1"/>
  <c r="M4156" i="2" s="1"/>
  <c r="M4157" i="2" s="1"/>
  <c r="M4158" i="2" s="1"/>
  <c r="M4159" i="2" s="1"/>
  <c r="M4160" i="2" s="1"/>
  <c r="M4161" i="2" s="1"/>
  <c r="M4162" i="2" s="1"/>
  <c r="M4163" i="2" s="1"/>
  <c r="M4164" i="2" s="1"/>
  <c r="M4165" i="2" s="1"/>
  <c r="M4166" i="2" s="1"/>
  <c r="M4167" i="2" s="1"/>
  <c r="M4168" i="2" s="1"/>
  <c r="M4169" i="2" s="1"/>
  <c r="M4170" i="2" s="1"/>
  <c r="M4171" i="2" s="1"/>
  <c r="M4172" i="2" s="1"/>
  <c r="M4173" i="2" s="1"/>
  <c r="M4174" i="2" s="1"/>
  <c r="M4175" i="2" s="1"/>
  <c r="M4176" i="2" s="1"/>
  <c r="M4177" i="2" s="1"/>
  <c r="M4178" i="2" s="1"/>
  <c r="M4179" i="2" s="1"/>
  <c r="M4180" i="2" s="1"/>
  <c r="M4181" i="2" s="1"/>
  <c r="M4182" i="2" s="1"/>
  <c r="M4183" i="2" s="1"/>
  <c r="M4184" i="2" s="1"/>
  <c r="M4185" i="2" s="1"/>
  <c r="M4186" i="2" s="1"/>
  <c r="M4187" i="2" s="1"/>
  <c r="M4188" i="2" s="1"/>
  <c r="M4189" i="2" s="1"/>
  <c r="M4190" i="2" s="1"/>
  <c r="M4191" i="2" s="1"/>
  <c r="M4192" i="2" s="1"/>
  <c r="M4193" i="2" s="1"/>
  <c r="M4194" i="2" s="1"/>
  <c r="M4195" i="2" s="1"/>
  <c r="M4196" i="2" s="1"/>
  <c r="M4197" i="2" s="1"/>
  <c r="M4198" i="2" s="1"/>
  <c r="M4199" i="2" s="1"/>
  <c r="M4200" i="2" s="1"/>
  <c r="M4201" i="2" s="1"/>
  <c r="M4202" i="2" s="1"/>
  <c r="M4203" i="2" s="1"/>
  <c r="M4204" i="2" s="1"/>
  <c r="M4205" i="2" s="1"/>
  <c r="M4206" i="2" s="1"/>
  <c r="M4207" i="2" s="1"/>
  <c r="M4208" i="2" s="1"/>
  <c r="M4209" i="2" s="1"/>
  <c r="M4210" i="2" s="1"/>
  <c r="M4211" i="2" s="1"/>
  <c r="M4212" i="2" s="1"/>
  <c r="M4213" i="2" s="1"/>
  <c r="M4214" i="2" s="1"/>
  <c r="M4215" i="2" s="1"/>
  <c r="M4216" i="2" s="1"/>
  <c r="M4217" i="2" s="1"/>
  <c r="M4218" i="2" s="1"/>
  <c r="M4219" i="2" s="1"/>
  <c r="M4220" i="2" s="1"/>
  <c r="M4221" i="2" s="1"/>
  <c r="M4222" i="2" s="1"/>
  <c r="M4223" i="2" s="1"/>
  <c r="M4224" i="2" s="1"/>
  <c r="M4225" i="2" s="1"/>
  <c r="M4226" i="2" s="1"/>
  <c r="M4227" i="2" s="1"/>
  <c r="M4228" i="2" s="1"/>
  <c r="M4229" i="2" s="1"/>
  <c r="M4230" i="2" s="1"/>
  <c r="M4231" i="2" s="1"/>
  <c r="M4232" i="2" s="1"/>
  <c r="M4233" i="2" s="1"/>
  <c r="M4234" i="2" s="1"/>
  <c r="M4235" i="2" s="1"/>
  <c r="M4236" i="2" s="1"/>
  <c r="M4237" i="2" s="1"/>
  <c r="M4238" i="2" s="1"/>
  <c r="M4239" i="2" s="1"/>
  <c r="M4240" i="2" s="1"/>
  <c r="M4241" i="2" s="1"/>
  <c r="M4243" i="2" s="1"/>
  <c r="M4244" i="2" s="1"/>
  <c r="M4245" i="2" s="1"/>
  <c r="M4246" i="2" s="1"/>
  <c r="M4247" i="2" s="1"/>
  <c r="M4248" i="2" s="1"/>
  <c r="M4249" i="2" s="1"/>
  <c r="M4250" i="2" s="1"/>
  <c r="M4251" i="2" s="1"/>
  <c r="M4252" i="2" s="1"/>
  <c r="M4253" i="2" s="1"/>
  <c r="M4254" i="2" s="1"/>
  <c r="M4255" i="2" s="1"/>
  <c r="M4256" i="2" s="1"/>
  <c r="M4257" i="2" s="1"/>
  <c r="M4258" i="2" s="1"/>
  <c r="M4259" i="2" s="1"/>
  <c r="M4260" i="2" s="1"/>
  <c r="M4261" i="2" s="1"/>
  <c r="M4262" i="2" s="1"/>
  <c r="M4263" i="2" s="1"/>
  <c r="M4264" i="2" s="1"/>
  <c r="M4265" i="2" s="1"/>
  <c r="M4266" i="2" s="1"/>
  <c r="M4267" i="2" s="1"/>
  <c r="M4268" i="2" s="1"/>
  <c r="M4269" i="2" s="1"/>
  <c r="M4270" i="2" s="1"/>
  <c r="M4271" i="2" s="1"/>
  <c r="M4272" i="2" s="1"/>
  <c r="M4273" i="2" s="1"/>
  <c r="M4274" i="2" s="1"/>
  <c r="M4275" i="2" s="1"/>
  <c r="M4276" i="2" s="1"/>
  <c r="M4277" i="2" s="1"/>
  <c r="M4278" i="2" s="1"/>
  <c r="M4279" i="2" s="1"/>
  <c r="M4280" i="2" s="1"/>
  <c r="M4281" i="2" s="1"/>
  <c r="M4282" i="2" s="1"/>
  <c r="M4283" i="2" s="1"/>
  <c r="M4284" i="2" s="1"/>
  <c r="M4285" i="2" s="1"/>
  <c r="M4286" i="2" s="1"/>
  <c r="M4287" i="2" s="1"/>
  <c r="M4288" i="2" s="1"/>
  <c r="M4289" i="2" s="1"/>
  <c r="M4290" i="2" s="1"/>
  <c r="M4291" i="2" s="1"/>
  <c r="M4292" i="2" s="1"/>
  <c r="M4293" i="2" s="1"/>
  <c r="M4294" i="2" s="1"/>
  <c r="M4295" i="2" s="1"/>
  <c r="M4296" i="2" s="1"/>
  <c r="M4297" i="2" s="1"/>
  <c r="M4298" i="2" s="1"/>
  <c r="M4299" i="2" s="1"/>
  <c r="M4300" i="2" s="1"/>
  <c r="M4301" i="2" s="1"/>
  <c r="M4302" i="2" s="1"/>
  <c r="M4303" i="2" s="1"/>
  <c r="M4304" i="2" s="1"/>
  <c r="M4305" i="2" s="1"/>
  <c r="M4306" i="2" s="1"/>
  <c r="M4307" i="2" s="1"/>
  <c r="M4308" i="2" s="1"/>
  <c r="M4309" i="2" s="1"/>
  <c r="M4310" i="2" s="1"/>
  <c r="M4311" i="2" s="1"/>
  <c r="M4312" i="2" s="1"/>
  <c r="M4313" i="2" s="1"/>
  <c r="M4314" i="2" s="1"/>
  <c r="M4315" i="2" s="1"/>
  <c r="M4316" i="2" s="1"/>
  <c r="M4317" i="2" s="1"/>
  <c r="M4318" i="2" s="1"/>
  <c r="M4319" i="2" s="1"/>
  <c r="M4320" i="2" s="1"/>
  <c r="M4321" i="2" s="1"/>
  <c r="M4322" i="2" s="1"/>
  <c r="M4323" i="2" s="1"/>
  <c r="M4324" i="2" s="1"/>
  <c r="M4325" i="2" s="1"/>
  <c r="M4326" i="2" s="1"/>
  <c r="M4327" i="2" s="1"/>
  <c r="M4328" i="2" s="1"/>
  <c r="M4329" i="2" s="1"/>
  <c r="M4330" i="2" s="1"/>
  <c r="M4331" i="2" s="1"/>
  <c r="M4332" i="2" s="1"/>
  <c r="M4333" i="2" s="1"/>
  <c r="M4334" i="2" s="1"/>
  <c r="M4335" i="2" s="1"/>
  <c r="M4336" i="2" s="1"/>
  <c r="M4337" i="2" s="1"/>
  <c r="M4338" i="2" s="1"/>
  <c r="M4339" i="2" s="1"/>
  <c r="M4340" i="2" s="1"/>
  <c r="M4341" i="2" s="1"/>
  <c r="M4342" i="2" s="1"/>
  <c r="M4343" i="2" s="1"/>
  <c r="M4344" i="2" s="1"/>
  <c r="M4345" i="2" s="1"/>
  <c r="M4346" i="2" s="1"/>
  <c r="M4347" i="2" s="1"/>
  <c r="M4348" i="2" s="1"/>
  <c r="M4349" i="2" s="1"/>
  <c r="M4350" i="2" s="1"/>
  <c r="M4352" i="2" s="1"/>
  <c r="M4353" i="2" s="1"/>
  <c r="M4354" i="2" s="1"/>
  <c r="M4355" i="2" s="1"/>
  <c r="M4356" i="2" s="1"/>
  <c r="M4357" i="2" s="1"/>
  <c r="M4358" i="2" s="1"/>
  <c r="M4359" i="2" s="1"/>
  <c r="M4360" i="2" s="1"/>
  <c r="M4362" i="2" s="1"/>
  <c r="M4363" i="2" s="1"/>
  <c r="M4364" i="2" s="1"/>
  <c r="M4365" i="2" s="1"/>
  <c r="M4366" i="2" s="1"/>
  <c r="M4367" i="2" s="1"/>
  <c r="M4368" i="2" s="1"/>
  <c r="M4369" i="2" s="1"/>
  <c r="M4372" i="2" s="1"/>
  <c r="M4375" i="2" s="1"/>
  <c r="M4378" i="2" s="1"/>
  <c r="M4379" i="2" s="1"/>
  <c r="M4380" i="2" s="1"/>
  <c r="M4381" i="2" s="1"/>
  <c r="M4382" i="2" s="1"/>
  <c r="M4383" i="2" s="1"/>
  <c r="M4384" i="2" s="1"/>
  <c r="M4385" i="2" s="1"/>
  <c r="M4386" i="2" s="1"/>
  <c r="M4387" i="2" s="1"/>
  <c r="M4388" i="2" s="1"/>
  <c r="M4389" i="2" s="1"/>
  <c r="M4390" i="2" s="1"/>
  <c r="M4393" i="2" s="1"/>
  <c r="M4396" i="2" s="1"/>
  <c r="M4399" i="2" s="1"/>
  <c r="M4400" i="2" s="1"/>
  <c r="M4401" i="2" s="1"/>
  <c r="M4402" i="2" s="1"/>
  <c r="M4403" i="2" s="1"/>
  <c r="M4406" i="2" s="1"/>
  <c r="M4409" i="2" s="1"/>
  <c r="M4412" i="2" s="1"/>
  <c r="M4413" i="2" s="1"/>
  <c r="M4414" i="2" s="1"/>
  <c r="M4415" i="2" s="1"/>
  <c r="M4416" i="2" s="1"/>
  <c r="M4418" i="2" s="1"/>
  <c r="M4419" i="2" s="1"/>
  <c r="M4420" i="2" s="1"/>
  <c r="M4421" i="2" s="1"/>
  <c r="M4422" i="2" s="1"/>
  <c r="M4423" i="2" s="1"/>
  <c r="M4424" i="2" s="1"/>
  <c r="M4425" i="2" s="1"/>
  <c r="M4426" i="2" s="1"/>
  <c r="M4428" i="2" s="1"/>
  <c r="M4429" i="2" s="1"/>
  <c r="M4430" i="2" s="1"/>
  <c r="M4431" i="2" s="1"/>
  <c r="M4432" i="2" s="1"/>
  <c r="M4433" i="2" s="1"/>
  <c r="M4434" i="2" s="1"/>
  <c r="M4435" i="2" s="1"/>
  <c r="M4436" i="2" s="1"/>
  <c r="M4437" i="2" s="1"/>
  <c r="M4438" i="2" s="1"/>
  <c r="M4439" i="2" s="1"/>
  <c r="M4440" i="2" s="1"/>
  <c r="M4441" i="2" s="1"/>
  <c r="M4442" i="2" s="1"/>
  <c r="M4443" i="2" s="1"/>
  <c r="M4444" i="2" s="1"/>
  <c r="M4445" i="2" s="1"/>
  <c r="M4446" i="2" s="1"/>
  <c r="M4447" i="2" s="1"/>
  <c r="M4448" i="2" s="1"/>
  <c r="M4449" i="2" s="1"/>
  <c r="M4450" i="2" s="1"/>
  <c r="M4451" i="2" s="1"/>
  <c r="M4452" i="2" s="1"/>
  <c r="M4453" i="2" s="1"/>
  <c r="M4454" i="2" s="1"/>
  <c r="M4455" i="2" s="1"/>
  <c r="M4456" i="2" s="1"/>
  <c r="M4457" i="2" s="1"/>
  <c r="M4458" i="2" s="1"/>
  <c r="M4459" i="2" s="1"/>
  <c r="M4460" i="2" s="1"/>
  <c r="M4461" i="2" s="1"/>
  <c r="M4462" i="2" s="1"/>
  <c r="M4463" i="2" s="1"/>
  <c r="M4464" i="2" s="1"/>
  <c r="M4465" i="2" s="1"/>
  <c r="M4466" i="2" s="1"/>
  <c r="M4467" i="2" s="1"/>
  <c r="M4468" i="2" s="1"/>
  <c r="M4469" i="2" s="1"/>
  <c r="M4470" i="2" s="1"/>
  <c r="M4471" i="2" s="1"/>
  <c r="M4472" i="2" s="1"/>
  <c r="M4473" i="2" s="1"/>
  <c r="M4474" i="2" s="1"/>
  <c r="M4475" i="2" s="1"/>
  <c r="M4476" i="2" s="1"/>
  <c r="M4477" i="2" s="1"/>
  <c r="M4478" i="2" s="1"/>
  <c r="M4479" i="2" s="1"/>
  <c r="M4480" i="2" s="1"/>
  <c r="M4481" i="2" s="1"/>
  <c r="M4482" i="2" s="1"/>
  <c r="M4483" i="2" s="1"/>
  <c r="M4484" i="2" s="1"/>
  <c r="M4485" i="2" s="1"/>
  <c r="M4486" i="2" s="1"/>
  <c r="M4487" i="2" s="1"/>
  <c r="M4488" i="2" s="1"/>
  <c r="M4489" i="2" s="1"/>
  <c r="M4490" i="2" s="1"/>
  <c r="M4491" i="2" s="1"/>
  <c r="M4492" i="2" s="1"/>
  <c r="M4493" i="2" s="1"/>
  <c r="M4494" i="2" s="1"/>
  <c r="M4495" i="2" s="1"/>
  <c r="M4496" i="2" s="1"/>
  <c r="M4497" i="2" s="1"/>
  <c r="M4498" i="2" s="1"/>
  <c r="M4499" i="2" s="1"/>
  <c r="M4500" i="2" s="1"/>
  <c r="M4501" i="2" s="1"/>
  <c r="M4502" i="2" s="1"/>
  <c r="M4503" i="2" s="1"/>
  <c r="M4504" i="2" s="1"/>
  <c r="M4506" i="2" s="1"/>
  <c r="M4507" i="2" s="1"/>
  <c r="M4508" i="2" s="1"/>
  <c r="M4509" i="2" s="1"/>
  <c r="M4510" i="2" s="1"/>
  <c r="M4511" i="2" s="1"/>
  <c r="M4512" i="2" s="1"/>
  <c r="M4513" i="2" s="1"/>
  <c r="M4514" i="2" s="1"/>
  <c r="M4515" i="2" s="1"/>
  <c r="M4516" i="2" s="1"/>
  <c r="M4517" i="2" s="1"/>
  <c r="M4518" i="2" s="1"/>
  <c r="M4519" i="2" s="1"/>
  <c r="M4520" i="2" s="1"/>
  <c r="M4521" i="2" s="1"/>
  <c r="M4522" i="2" s="1"/>
  <c r="M4523" i="2" s="1"/>
  <c r="M4524" i="2" s="1"/>
  <c r="M4525" i="2" s="1"/>
  <c r="M4526" i="2" s="1"/>
  <c r="M4527" i="2" s="1"/>
  <c r="M4528" i="2" s="1"/>
  <c r="M4529" i="2" s="1"/>
  <c r="M4530" i="2" s="1"/>
  <c r="M4531" i="2" s="1"/>
  <c r="M4532" i="2" s="1"/>
  <c r="M4535" i="2" s="1"/>
  <c r="M4538" i="2" s="1"/>
  <c r="M4539" i="2" s="1"/>
  <c r="M4540" i="2" s="1"/>
  <c r="M4541" i="2" s="1"/>
  <c r="M4542" i="2" s="1"/>
  <c r="M4543" i="2" s="1"/>
  <c r="M4545" i="2" s="1"/>
  <c r="M4546" i="2" s="1"/>
  <c r="M4548" i="2" s="1"/>
  <c r="M4549" i="2" s="1"/>
  <c r="M4550" i="2" s="1"/>
  <c r="M4551" i="2" s="1"/>
  <c r="M4552" i="2" s="1"/>
  <c r="M4553" i="2" s="1"/>
  <c r="M4554" i="2" s="1"/>
  <c r="M4555" i="2" s="1"/>
  <c r="M4558" i="2" s="1"/>
  <c r="M4561" i="2" s="1"/>
  <c r="M4562" i="2" s="1"/>
  <c r="M4563" i="2" s="1"/>
  <c r="M4564" i="2" s="1"/>
  <c r="M4565" i="2" s="1"/>
  <c r="M4566" i="2" s="1"/>
  <c r="M4567" i="2" s="1"/>
  <c r="M4568" i="2" s="1"/>
  <c r="M4571" i="2" s="1"/>
  <c r="M4574" i="2" s="1"/>
  <c r="M4575" i="2" s="1"/>
  <c r="M4576" i="2" s="1"/>
  <c r="M4577" i="2" s="1"/>
  <c r="M4578" i="2" s="1"/>
  <c r="M4579" i="2" s="1"/>
  <c r="M4580" i="2" s="1"/>
  <c r="M4581" i="2" s="1"/>
  <c r="M4582" i="2" s="1"/>
  <c r="M4583" i="2" s="1"/>
  <c r="M4584" i="2" s="1"/>
  <c r="M4585" i="2" s="1"/>
  <c r="M4586" i="2" s="1"/>
  <c r="M4587" i="2" s="1"/>
  <c r="M4588" i="2" s="1"/>
  <c r="M4589" i="2" s="1"/>
  <c r="M4590" i="2" s="1"/>
  <c r="M4591" i="2" s="1"/>
  <c r="M4592" i="2" s="1"/>
  <c r="M4593" i="2" s="1"/>
  <c r="M4594" i="2" s="1"/>
  <c r="M4595" i="2" s="1"/>
  <c r="M4596" i="2" s="1"/>
  <c r="M4597" i="2" s="1"/>
  <c r="M4598" i="2" s="1"/>
  <c r="M4599" i="2" s="1"/>
  <c r="M4600" i="2" s="1"/>
  <c r="M4603" i="2" s="1"/>
  <c r="M4606" i="2" s="1"/>
  <c r="M4607" i="2" s="1"/>
  <c r="M4608" i="2" s="1"/>
  <c r="M4609" i="2" s="1"/>
  <c r="M4610" i="2" s="1"/>
  <c r="M4611" i="2" s="1"/>
  <c r="M4612" i="2" s="1"/>
  <c r="M4613" i="2" s="1"/>
  <c r="M4616" i="2" s="1"/>
  <c r="M4619" i="2" s="1"/>
  <c r="M4620" i="2" s="1"/>
  <c r="M4621" i="2" s="1"/>
  <c r="M4622" i="2" s="1"/>
  <c r="M4623" i="2" s="1"/>
  <c r="M4624" i="2" s="1"/>
  <c r="M4625" i="2" s="1"/>
  <c r="M4626" i="2" s="1"/>
  <c r="M4627" i="2" s="1"/>
  <c r="M4628" i="2" s="1"/>
  <c r="M4629" i="2" s="1"/>
  <c r="M4630" i="2" s="1"/>
  <c r="M4631" i="2" s="1"/>
  <c r="M4632" i="2" s="1"/>
  <c r="M4633" i="2" s="1"/>
  <c r="M4634" i="2" s="1"/>
  <c r="M4635" i="2" s="1"/>
  <c r="M4636" i="2" s="1"/>
  <c r="M4637" i="2" s="1"/>
  <c r="M4638" i="2" s="1"/>
  <c r="M4639" i="2" s="1"/>
  <c r="M4640" i="2" s="1"/>
  <c r="M4641" i="2" s="1"/>
  <c r="M4642" i="2" s="1"/>
  <c r="M4643" i="2" s="1"/>
  <c r="M4644" i="2" s="1"/>
  <c r="M4645" i="2" s="1"/>
  <c r="M4646" i="2" s="1"/>
  <c r="M4647" i="2" s="1"/>
  <c r="M4648" i="2" s="1"/>
  <c r="M4649" i="2" s="1"/>
  <c r="M4650" i="2" s="1"/>
  <c r="M4651" i="2" s="1"/>
  <c r="M4652" i="2" s="1"/>
  <c r="M4653" i="2" s="1"/>
  <c r="M4654" i="2" s="1"/>
  <c r="M4655" i="2" s="1"/>
  <c r="M4656" i="2" s="1"/>
  <c r="M4657" i="2" s="1"/>
  <c r="M4658" i="2" s="1"/>
  <c r="M4659" i="2" s="1"/>
  <c r="M4660" i="2" s="1"/>
  <c r="M4661" i="2" s="1"/>
  <c r="M4662" i="2" s="1"/>
  <c r="M4663" i="2" s="1"/>
  <c r="M4664" i="2" s="1"/>
  <c r="M4665" i="2" s="1"/>
  <c r="M4666" i="2" s="1"/>
  <c r="M4669" i="2" s="1"/>
  <c r="M4672" i="2" s="1"/>
  <c r="M4673" i="2" s="1"/>
  <c r="M4674" i="2" s="1"/>
  <c r="M4675" i="2" s="1"/>
  <c r="M4676" i="2" s="1"/>
  <c r="M4677" i="2" s="1"/>
  <c r="M4678" i="2" s="1"/>
  <c r="M4679" i="2" s="1"/>
  <c r="M4682" i="2" s="1"/>
  <c r="M4685" i="2" s="1"/>
  <c r="M4686" i="2" s="1"/>
  <c r="M4687" i="2" s="1"/>
  <c r="M4688" i="2" s="1"/>
  <c r="M4689" i="2" s="1"/>
  <c r="M4690" i="2" s="1"/>
  <c r="M4691" i="2" s="1"/>
  <c r="M4692" i="2" s="1"/>
  <c r="M4695" i="2" s="1"/>
  <c r="M4698" i="2" s="1"/>
  <c r="M4699" i="2" s="1"/>
  <c r="M4700" i="2" s="1"/>
  <c r="M4701" i="2" s="1"/>
  <c r="M4702" i="2" s="1"/>
  <c r="M4703" i="2" s="1"/>
  <c r="M4704" i="2" s="1"/>
  <c r="M4705" i="2" s="1"/>
  <c r="M4706" i="2" s="1"/>
  <c r="M4709" i="2" s="1"/>
  <c r="M4712" i="2" s="1"/>
  <c r="M4713" i="2" s="1"/>
  <c r="M4714" i="2" s="1"/>
  <c r="M4715" i="2" s="1"/>
  <c r="M4716" i="2" s="1"/>
  <c r="M4717" i="2" s="1"/>
  <c r="M4718" i="2" s="1"/>
  <c r="M4719" i="2" s="1"/>
  <c r="M4720" i="2" s="1"/>
  <c r="M4721" i="2" s="1"/>
  <c r="M4722" i="2" s="1"/>
  <c r="M4723" i="2" s="1"/>
  <c r="M4724" i="2" s="1"/>
  <c r="M4725" i="2" s="1"/>
  <c r="M4726" i="2" s="1"/>
  <c r="M4727" i="2" s="1"/>
  <c r="M4728" i="2" s="1"/>
  <c r="M4729" i="2" s="1"/>
  <c r="M4730" i="2" s="1"/>
  <c r="M4731" i="2" s="1"/>
  <c r="M4732" i="2" s="1"/>
  <c r="M4733" i="2" s="1"/>
  <c r="M4734" i="2" s="1"/>
  <c r="M4735" i="2" s="1"/>
  <c r="M4736" i="2" s="1"/>
  <c r="M4737" i="2" s="1"/>
  <c r="M4738" i="2" s="1"/>
  <c r="M4739" i="2" s="1"/>
  <c r="M4740" i="2" s="1"/>
  <c r="M4741" i="2" s="1"/>
  <c r="M4742" i="2" s="1"/>
  <c r="M4743" i="2" s="1"/>
  <c r="M4744" i="2" s="1"/>
  <c r="M4745" i="2" s="1"/>
  <c r="M4746" i="2" s="1"/>
  <c r="M4749" i="2" s="1"/>
  <c r="M4752" i="2" s="1"/>
  <c r="M4755" i="2" s="1"/>
  <c r="M4758" i="2" s="1"/>
  <c r="M4759" i="2" s="1"/>
  <c r="M4760" i="2" s="1"/>
  <c r="M4761" i="2" s="1"/>
  <c r="M4762" i="2" s="1"/>
  <c r="M4763" i="2" s="1"/>
  <c r="M4764" i="2" s="1"/>
  <c r="M4765" i="2" s="1"/>
  <c r="M4766" i="2" s="1"/>
  <c r="M4767" i="2" s="1"/>
  <c r="M4768" i="2" s="1"/>
  <c r="M4769" i="2" s="1"/>
  <c r="M4770" i="2" s="1"/>
  <c r="M4771" i="2" s="1"/>
  <c r="M4772" i="2" s="1"/>
  <c r="M4773" i="2" s="1"/>
  <c r="M4774" i="2" s="1"/>
  <c r="M4775" i="2" s="1"/>
  <c r="M4776" i="2" s="1"/>
  <c r="M4777" i="2" s="1"/>
  <c r="M4778" i="2" s="1"/>
  <c r="M4779" i="2" s="1"/>
  <c r="M4780" i="2" s="1"/>
  <c r="M4781" i="2" s="1"/>
  <c r="M4782" i="2" s="1"/>
  <c r="M4783" i="2" s="1"/>
  <c r="M4784" i="2" s="1"/>
  <c r="M4785" i="2" s="1"/>
  <c r="M4786" i="2" s="1"/>
  <c r="M4787" i="2" s="1"/>
  <c r="M4788" i="2" s="1"/>
  <c r="M4789" i="2" s="1"/>
  <c r="M4790" i="2" s="1"/>
  <c r="M4791" i="2" s="1"/>
  <c r="M4792" i="2" s="1"/>
  <c r="M4793" i="2" s="1"/>
  <c r="M4794" i="2" s="1"/>
  <c r="M4795" i="2" s="1"/>
  <c r="M4796" i="2" s="1"/>
  <c r="M4797" i="2" s="1"/>
  <c r="M4798" i="2" s="1"/>
  <c r="M4799" i="2" s="1"/>
  <c r="M4800" i="2" s="1"/>
  <c r="M4801" i="2" s="1"/>
  <c r="M4802" i="2" s="1"/>
  <c r="M4803" i="2" s="1"/>
  <c r="M4804" i="2" s="1"/>
  <c r="M4805" i="2" s="1"/>
  <c r="M4806" i="2" s="1"/>
  <c r="M4807" i="2" s="1"/>
  <c r="M4808" i="2" s="1"/>
  <c r="M4809" i="2" s="1"/>
  <c r="M4810" i="2" s="1"/>
  <c r="M4811" i="2" s="1"/>
  <c r="M4812" i="2" s="1"/>
  <c r="M4813" i="2" s="1"/>
  <c r="M4814" i="2" s="1"/>
  <c r="M4815" i="2" s="1"/>
  <c r="M4816" i="2" s="1"/>
  <c r="M4817" i="2" s="1"/>
  <c r="M4819" i="2" s="1"/>
  <c r="M4820" i="2" s="1"/>
  <c r="M4821" i="2" s="1"/>
  <c r="M4822" i="2" s="1"/>
  <c r="M4823" i="2" s="1"/>
  <c r="M4824" i="2" s="1"/>
  <c r="M4825" i="2" s="1"/>
  <c r="M4826" i="2" s="1"/>
  <c r="M4827" i="2" s="1"/>
  <c r="M4828" i="2" s="1"/>
  <c r="M4829" i="2" s="1"/>
  <c r="M4830" i="2" s="1"/>
  <c r="M4831" i="2" s="1"/>
  <c r="M4832" i="2" s="1"/>
  <c r="M4833" i="2" s="1"/>
  <c r="M4834" i="2" s="1"/>
  <c r="M4835" i="2" s="1"/>
  <c r="M4836" i="2" s="1"/>
  <c r="M4837" i="2" s="1"/>
  <c r="M4838" i="2" s="1"/>
  <c r="M4839" i="2" s="1"/>
  <c r="M4840" i="2" s="1"/>
  <c r="M4841" i="2" s="1"/>
  <c r="M4842" i="2" s="1"/>
  <c r="M4843" i="2" s="1"/>
  <c r="M4844" i="2" s="1"/>
  <c r="M4845" i="2" s="1"/>
  <c r="M4846" i="2" s="1"/>
  <c r="M4847" i="2" s="1"/>
  <c r="M4848" i="2" s="1"/>
  <c r="M4849" i="2" s="1"/>
  <c r="M4850" i="2" s="1"/>
  <c r="M4851" i="2" s="1"/>
  <c r="M4852" i="2" s="1"/>
  <c r="M4853" i="2" s="1"/>
  <c r="M4854" i="2" s="1"/>
  <c r="M4855" i="2" s="1"/>
  <c r="M4856" i="2" s="1"/>
  <c r="M4857" i="2" s="1"/>
  <c r="M4858" i="2" s="1"/>
  <c r="M4859" i="2" s="1"/>
  <c r="M4860" i="2" s="1"/>
  <c r="M4861" i="2" s="1"/>
  <c r="M4862" i="2" s="1"/>
  <c r="M4863" i="2" s="1"/>
  <c r="M4864" i="2" s="1"/>
  <c r="M4865" i="2" s="1"/>
  <c r="M4866" i="2" s="1"/>
  <c r="M4867" i="2" s="1"/>
  <c r="M4868" i="2" s="1"/>
  <c r="M4869" i="2" s="1"/>
  <c r="M4870" i="2" s="1"/>
  <c r="M4871" i="2" s="1"/>
  <c r="M4872" i="2" s="1"/>
  <c r="M4873" i="2" s="1"/>
  <c r="M4874" i="2" s="1"/>
  <c r="M4875" i="2" s="1"/>
  <c r="M4876" i="2" s="1"/>
  <c r="M4877" i="2" s="1"/>
  <c r="M4878" i="2" s="1"/>
  <c r="M4879" i="2" s="1"/>
  <c r="M4880" i="2" s="1"/>
  <c r="M4881" i="2" s="1"/>
  <c r="M4882" i="2" s="1"/>
  <c r="M4883" i="2" s="1"/>
  <c r="M4884" i="2" s="1"/>
  <c r="M4885" i="2" s="1"/>
  <c r="M4886" i="2" s="1"/>
  <c r="M4887" i="2" s="1"/>
  <c r="M4888" i="2" s="1"/>
  <c r="M4889" i="2" s="1"/>
  <c r="M4890" i="2" s="1"/>
  <c r="M4891" i="2" s="1"/>
  <c r="M4892" i="2" s="1"/>
  <c r="M4893" i="2" s="1"/>
  <c r="M4894" i="2" s="1"/>
  <c r="M4895" i="2" s="1"/>
  <c r="M4896" i="2" s="1"/>
  <c r="M4897" i="2" s="1"/>
  <c r="M4898" i="2" s="1"/>
  <c r="M4899" i="2" s="1"/>
  <c r="M4900" i="2" s="1"/>
  <c r="M4901" i="2" s="1"/>
  <c r="M4902" i="2" s="1"/>
  <c r="M4903" i="2" s="1"/>
  <c r="M4904" i="2" s="1"/>
  <c r="M4905" i="2" s="1"/>
  <c r="M4906" i="2" s="1"/>
  <c r="M4907" i="2" s="1"/>
  <c r="M4908" i="2" s="1"/>
  <c r="M4909" i="2" s="1"/>
  <c r="M4910" i="2" s="1"/>
  <c r="M4911" i="2" s="1"/>
  <c r="M4912" i="2" s="1"/>
  <c r="M4913" i="2" s="1"/>
  <c r="M4914" i="2" s="1"/>
  <c r="M4915" i="2" s="1"/>
  <c r="M4916" i="2" s="1"/>
  <c r="M4917" i="2" s="1"/>
  <c r="M4918" i="2" s="1"/>
  <c r="M4919" i="2" s="1"/>
  <c r="M4920" i="2" s="1"/>
  <c r="M4921" i="2" s="1"/>
  <c r="M4923" i="2" s="1"/>
  <c r="M4924" i="2" s="1"/>
  <c r="M4925" i="2" s="1"/>
  <c r="M4926" i="2" s="1"/>
  <c r="M4927" i="2" s="1"/>
  <c r="M4928" i="2" s="1"/>
  <c r="M4929" i="2" s="1"/>
  <c r="M4930" i="2" s="1"/>
  <c r="M4931" i="2" s="1"/>
  <c r="M4932" i="2" s="1"/>
  <c r="M4933" i="2" s="1"/>
  <c r="M4934" i="2" s="1"/>
  <c r="M4935" i="2" s="1"/>
  <c r="M4936" i="2" s="1"/>
  <c r="M4937" i="2" s="1"/>
  <c r="M4938" i="2" s="1"/>
  <c r="M4939" i="2" s="1"/>
  <c r="M4940" i="2" s="1"/>
  <c r="M4941" i="2" s="1"/>
  <c r="M4942" i="2" s="1"/>
  <c r="M4943" i="2" s="1"/>
  <c r="M4944" i="2" s="1"/>
  <c r="M4945" i="2" s="1"/>
  <c r="M4946" i="2" s="1"/>
  <c r="M4947" i="2" s="1"/>
  <c r="M4948" i="2" s="1"/>
  <c r="M4949" i="2" s="1"/>
  <c r="M4950" i="2" s="1"/>
  <c r="M4951" i="2" s="1"/>
  <c r="M4952" i="2" s="1"/>
  <c r="M4953" i="2" s="1"/>
  <c r="M4954" i="2" s="1"/>
  <c r="M4955" i="2" s="1"/>
  <c r="M4956" i="2" s="1"/>
  <c r="M4957" i="2" s="1"/>
  <c r="M4958" i="2" s="1"/>
  <c r="M4959" i="2" s="1"/>
  <c r="M4960" i="2" s="1"/>
  <c r="M4961" i="2" s="1"/>
  <c r="M4962" i="2" s="1"/>
  <c r="M4963" i="2" s="1"/>
  <c r="M4964" i="2" s="1"/>
  <c r="M4965" i="2" s="1"/>
  <c r="M4966" i="2" s="1"/>
  <c r="M4967" i="2" s="1"/>
  <c r="M4968" i="2" s="1"/>
  <c r="M4969" i="2" s="1"/>
  <c r="M4970" i="2" s="1"/>
  <c r="M4971" i="2" s="1"/>
  <c r="M4972" i="2" s="1"/>
  <c r="M4973" i="2" s="1"/>
  <c r="M4974" i="2" s="1"/>
  <c r="M4975" i="2" s="1"/>
  <c r="M4976" i="2" s="1"/>
  <c r="M4977" i="2" s="1"/>
  <c r="M4978" i="2" s="1"/>
  <c r="M4979" i="2" s="1"/>
  <c r="M4982" i="2" s="1"/>
  <c r="M4983" i="2" s="1"/>
  <c r="M4984" i="2" s="1"/>
  <c r="M4985" i="2" s="1"/>
  <c r="M4986" i="2" s="1"/>
  <c r="M4987" i="2" s="1"/>
  <c r="M4988" i="2" s="1"/>
  <c r="M4989" i="2" s="1"/>
  <c r="M4990" i="2" s="1"/>
  <c r="M4991" i="2" s="1"/>
  <c r="M4992" i="2" s="1"/>
  <c r="M4993" i="2" s="1"/>
  <c r="M4994" i="2" s="1"/>
  <c r="M4995" i="2" s="1"/>
  <c r="M4996" i="2" s="1"/>
  <c r="M4997" i="2" s="1"/>
  <c r="M4998" i="2" s="1"/>
  <c r="M5000" i="2" s="1"/>
  <c r="M5001" i="2" s="1"/>
  <c r="M5002" i="2" s="1"/>
  <c r="M5003" i="2" s="1"/>
  <c r="M5004" i="2" s="1"/>
  <c r="M5005" i="2" s="1"/>
  <c r="M5006" i="2" s="1"/>
  <c r="M5007" i="2" s="1"/>
  <c r="M5008" i="2" s="1"/>
  <c r="M5009" i="2" s="1"/>
  <c r="M5010" i="2" s="1"/>
  <c r="M5011" i="2" s="1"/>
  <c r="M5012" i="2" s="1"/>
  <c r="M5013" i="2" s="1"/>
  <c r="M5014" i="2" s="1"/>
  <c r="M5015" i="2" s="1"/>
  <c r="M5016" i="2" s="1"/>
  <c r="M5017" i="2" s="1"/>
  <c r="M5018" i="2" s="1"/>
  <c r="M5019" i="2" s="1"/>
  <c r="M5020" i="2" s="1"/>
  <c r="M5021" i="2" s="1"/>
  <c r="M5022" i="2" s="1"/>
  <c r="M5023" i="2" s="1"/>
  <c r="M5024" i="2" s="1"/>
  <c r="M5025" i="2" s="1"/>
  <c r="M5026" i="2" s="1"/>
  <c r="M5027" i="2" s="1"/>
  <c r="M5028" i="2" s="1"/>
  <c r="M5029" i="2" s="1"/>
  <c r="M5030" i="2" s="1"/>
  <c r="M5031" i="2" s="1"/>
  <c r="M5032" i="2" s="1"/>
  <c r="M5033" i="2" s="1"/>
  <c r="M5034" i="2" s="1"/>
  <c r="M5035" i="2" s="1"/>
  <c r="M5036" i="2" s="1"/>
  <c r="M5037" i="2" s="1"/>
  <c r="M5038" i="2" s="1"/>
  <c r="M5039" i="2" s="1"/>
  <c r="M5040" i="2" s="1"/>
  <c r="M5041" i="2" s="1"/>
  <c r="M5042" i="2" s="1"/>
  <c r="M5043" i="2" s="1"/>
  <c r="M5044" i="2" s="1"/>
  <c r="M5045" i="2" s="1"/>
  <c r="M5046" i="2" s="1"/>
  <c r="M5047" i="2" s="1"/>
  <c r="M5048" i="2" s="1"/>
  <c r="M5049" i="2" s="1"/>
  <c r="M5050" i="2" s="1"/>
  <c r="M5051" i="2" s="1"/>
  <c r="M5052" i="2" s="1"/>
  <c r="M5053" i="2" s="1"/>
  <c r="M5056" i="2" s="1"/>
  <c r="M5057" i="2" s="1"/>
  <c r="M5058" i="2" s="1"/>
  <c r="M5059" i="2" s="1"/>
  <c r="M5060" i="2" s="1"/>
  <c r="M5061" i="2" s="1"/>
  <c r="M5062" i="2" s="1"/>
  <c r="M5063" i="2" s="1"/>
  <c r="M5064" i="2" s="1"/>
  <c r="M5067" i="2" s="1"/>
  <c r="M5069" i="2" s="1"/>
  <c r="M5070" i="2" s="1"/>
  <c r="M5071" i="2" s="1"/>
  <c r="M5072" i="2" s="1"/>
  <c r="M5073" i="2" s="1"/>
  <c r="M5076" i="2" s="1"/>
  <c r="M5079" i="2" s="1"/>
  <c r="M5080" i="2" s="1"/>
  <c r="M5081" i="2" s="1"/>
  <c r="M5082" i="2" s="1"/>
  <c r="M5083" i="2" s="1"/>
  <c r="M5084" i="2" s="1"/>
  <c r="M5085" i="2" s="1"/>
  <c r="M5086" i="2" s="1"/>
  <c r="M5087" i="2" s="1"/>
  <c r="M5089" i="2" s="1"/>
  <c r="M5090" i="2" s="1"/>
  <c r="M5091" i="2" s="1"/>
  <c r="M5092" i="2" s="1"/>
  <c r="M5093" i="2" s="1"/>
  <c r="M5094" i="2" s="1"/>
  <c r="M5095" i="2" s="1"/>
  <c r="M5096" i="2" s="1"/>
  <c r="M5097" i="2" s="1"/>
  <c r="M5098" i="2" s="1"/>
  <c r="M5099" i="2" s="1"/>
  <c r="M5100" i="2" s="1"/>
  <c r="M5101" i="2" s="1"/>
  <c r="M5102" i="2" s="1"/>
  <c r="M5103" i="2" s="1"/>
  <c r="M5104" i="2" s="1"/>
  <c r="M5105" i="2" s="1"/>
  <c r="M5106" i="2" s="1"/>
  <c r="M5107" i="2" s="1"/>
  <c r="M5108" i="2" s="1"/>
  <c r="M5109" i="2" s="1"/>
  <c r="M5110" i="2" s="1"/>
  <c r="M5111" i="2" s="1"/>
  <c r="M5112" i="2" s="1"/>
  <c r="M5113" i="2" s="1"/>
  <c r="M5114" i="2" s="1"/>
  <c r="M5115" i="2" s="1"/>
  <c r="M5116" i="2" s="1"/>
  <c r="M5117" i="2" s="1"/>
  <c r="M5118" i="2" s="1"/>
  <c r="M5119" i="2" s="1"/>
  <c r="M5120" i="2" s="1"/>
  <c r="M5121" i="2" s="1"/>
  <c r="M5122" i="2" s="1"/>
  <c r="M5123" i="2" s="1"/>
  <c r="M5124" i="2" s="1"/>
  <c r="M5125" i="2" s="1"/>
  <c r="M5126" i="2" s="1"/>
  <c r="M5127" i="2" s="1"/>
  <c r="M5130" i="2" s="1"/>
  <c r="M5132" i="2" s="1"/>
  <c r="M5133" i="2" s="1"/>
  <c r="M5134" i="2" s="1"/>
  <c r="M5135" i="2" s="1"/>
  <c r="M5136" i="2" s="1"/>
  <c r="M5137" i="2" s="1"/>
  <c r="M5138" i="2" s="1"/>
  <c r="M5139" i="2" s="1"/>
  <c r="M5140" i="2" s="1"/>
  <c r="M5143" i="2" s="1"/>
  <c r="M5144" i="2" s="1"/>
  <c r="M5145" i="2" s="1"/>
  <c r="M5146" i="2" s="1"/>
  <c r="M5147" i="2" s="1"/>
  <c r="M5148" i="2" s="1"/>
  <c r="M5151" i="2" s="1"/>
  <c r="M5153" i="2" s="1"/>
  <c r="M5154" i="2" s="1"/>
  <c r="M5155" i="2" s="1"/>
  <c r="M5156" i="2" s="1"/>
  <c r="M5157" i="2" s="1"/>
  <c r="M5158" i="2" s="1"/>
  <c r="M5159" i="2" s="1"/>
  <c r="M5160" i="2" s="1"/>
  <c r="M5161" i="2" s="1"/>
  <c r="M5162" i="2" s="1"/>
  <c r="M5163" i="2" s="1"/>
  <c r="M5164" i="2" s="1"/>
  <c r="M5165" i="2" s="1"/>
  <c r="M5166" i="2" s="1"/>
  <c r="M5167" i="2" s="1"/>
  <c r="M5168" i="2" s="1"/>
  <c r="M5169" i="2" s="1"/>
  <c r="M5170" i="2" s="1"/>
  <c r="M5171" i="2" s="1"/>
  <c r="M5172" i="2" s="1"/>
  <c r="M5173" i="2" s="1"/>
  <c r="M5174" i="2" s="1"/>
  <c r="M5175" i="2" s="1"/>
  <c r="M5176" i="2" s="1"/>
  <c r="M5177" i="2" s="1"/>
  <c r="M5178" i="2" s="1"/>
  <c r="M5179" i="2" s="1"/>
  <c r="M5180" i="2" s="1"/>
  <c r="M5181" i="2" s="1"/>
  <c r="M5182" i="2" s="1"/>
  <c r="M5183" i="2" s="1"/>
  <c r="M5184" i="2" s="1"/>
  <c r="M5185" i="2" s="1"/>
  <c r="M5186" i="2" s="1"/>
  <c r="M5187" i="2" s="1"/>
  <c r="M5188" i="2" s="1"/>
  <c r="M5189" i="2" s="1"/>
  <c r="M5190" i="2" s="1"/>
  <c r="M5191" i="2" s="1"/>
  <c r="M5192" i="2" s="1"/>
  <c r="M5193" i="2" s="1"/>
  <c r="M5194" i="2" s="1"/>
  <c r="M5195" i="2" s="1"/>
  <c r="M5196" i="2" s="1"/>
  <c r="M5197" i="2" s="1"/>
  <c r="M5198" i="2" s="1"/>
  <c r="M5199" i="2" s="1"/>
  <c r="M5200" i="2" s="1"/>
  <c r="M5201" i="2" s="1"/>
  <c r="M5202" i="2" s="1"/>
  <c r="M5203" i="2" s="1"/>
  <c r="M5204" i="2" s="1"/>
  <c r="M5205" i="2" s="1"/>
  <c r="M5206" i="2" s="1"/>
  <c r="M5207" i="2" s="1"/>
  <c r="M5208" i="2" s="1"/>
  <c r="M5209" i="2" s="1"/>
  <c r="M5210" i="2" s="1"/>
  <c r="M5211" i="2" s="1"/>
  <c r="M5212" i="2" s="1"/>
  <c r="M5213" i="2" s="1"/>
  <c r="M5214" i="2" s="1"/>
  <c r="M5216" i="2" s="1"/>
  <c r="M5217" i="2" s="1"/>
  <c r="M5218" i="2" s="1"/>
  <c r="M5219" i="2" s="1"/>
  <c r="M5220" i="2" s="1"/>
  <c r="M5221" i="2" s="1"/>
  <c r="M5222" i="2" s="1"/>
  <c r="M5223" i="2" s="1"/>
  <c r="M5224" i="2" s="1"/>
  <c r="M5225" i="2" s="1"/>
  <c r="M5226" i="2" s="1"/>
  <c r="M5227" i="2" s="1"/>
  <c r="M5228" i="2" s="1"/>
  <c r="M5229" i="2" s="1"/>
  <c r="M5230" i="2" s="1"/>
  <c r="M5231" i="2" s="1"/>
  <c r="M5232" i="2" s="1"/>
  <c r="M5233" i="2" s="1"/>
  <c r="M5234" i="2" s="1"/>
  <c r="M5235" i="2" s="1"/>
  <c r="M5236" i="2" s="1"/>
  <c r="M5237" i="2" s="1"/>
  <c r="M5238" i="2" s="1"/>
  <c r="M5239" i="2" s="1"/>
  <c r="M5240" i="2" s="1"/>
  <c r="M5241" i="2" s="1"/>
  <c r="M5242" i="2" s="1"/>
  <c r="M5243" i="2" s="1"/>
  <c r="M5244" i="2" s="1"/>
  <c r="M5245" i="2" s="1"/>
  <c r="M5246" i="2" s="1"/>
  <c r="M5247" i="2" s="1"/>
  <c r="M5248" i="2" s="1"/>
  <c r="M5249" i="2" s="1"/>
  <c r="M5250" i="2" s="1"/>
  <c r="M5251" i="2" s="1"/>
  <c r="M5252" i="2" s="1"/>
  <c r="M5253" i="2" s="1"/>
  <c r="M5254" i="2" s="1"/>
  <c r="M5255" i="2" s="1"/>
  <c r="M5256" i="2" s="1"/>
  <c r="M5257" i="2" s="1"/>
  <c r="M5258" i="2" s="1"/>
  <c r="M5259" i="2" s="1"/>
  <c r="M5260" i="2" s="1"/>
  <c r="M5261" i="2" s="1"/>
  <c r="M5262" i="2" s="1"/>
  <c r="M5263" i="2" s="1"/>
  <c r="M5264" i="2" s="1"/>
  <c r="M5265" i="2" s="1"/>
  <c r="M5266" i="2" s="1"/>
  <c r="M5267" i="2" s="1"/>
  <c r="M5268" i="2" s="1"/>
  <c r="M5269" i="2" s="1"/>
  <c r="M5270" i="2" s="1"/>
  <c r="M5271" i="2" s="1"/>
  <c r="M5272" i="2" s="1"/>
  <c r="M5273" i="2" s="1"/>
  <c r="M5274" i="2" s="1"/>
  <c r="M5275" i="2" s="1"/>
  <c r="M5276" i="2" s="1"/>
  <c r="M5277" i="2" s="1"/>
  <c r="M5278" i="2" s="1"/>
  <c r="M5279" i="2" s="1"/>
  <c r="M5280" i="2" s="1"/>
  <c r="M5281" i="2" s="1"/>
  <c r="M5282" i="2" s="1"/>
  <c r="M5283" i="2" s="1"/>
  <c r="M5284" i="2" s="1"/>
  <c r="M5285" i="2" s="1"/>
  <c r="M5286" i="2" s="1"/>
  <c r="M5287" i="2" s="1"/>
  <c r="M5288" i="2" s="1"/>
  <c r="M5289" i="2" s="1"/>
  <c r="M5290" i="2" s="1"/>
  <c r="M5291" i="2" s="1"/>
  <c r="M5292" i="2" s="1"/>
  <c r="M5293" i="2" s="1"/>
  <c r="M5294" i="2" s="1"/>
  <c r="M5295" i="2" s="1"/>
  <c r="M5296" i="2" s="1"/>
  <c r="M5297" i="2" s="1"/>
  <c r="M5298" i="2" s="1"/>
  <c r="M5299" i="2" s="1"/>
  <c r="M5300" i="2" s="1"/>
  <c r="M5301" i="2" s="1"/>
  <c r="M5302" i="2" s="1"/>
  <c r="M5303" i="2" s="1"/>
  <c r="M5304" i="2" s="1"/>
  <c r="M5305" i="2" s="1"/>
  <c r="M5306" i="2" s="1"/>
  <c r="M5307" i="2" s="1"/>
  <c r="M5308" i="2" s="1"/>
  <c r="M5309" i="2" s="1"/>
  <c r="M5310" i="2" s="1"/>
  <c r="M5311" i="2" s="1"/>
  <c r="M5312" i="2" s="1"/>
  <c r="M5313" i="2" s="1"/>
  <c r="M5314" i="2" s="1"/>
  <c r="M5315" i="2" s="1"/>
  <c r="M5316" i="2" s="1"/>
  <c r="M5317" i="2" s="1"/>
  <c r="M5318" i="2" s="1"/>
  <c r="M5319" i="2" s="1"/>
  <c r="M5320" i="2" s="1"/>
  <c r="M5321" i="2" s="1"/>
  <c r="M5322" i="2" s="1"/>
  <c r="M5323" i="2" s="1"/>
  <c r="M5324" i="2" s="1"/>
  <c r="M5325" i="2" s="1"/>
  <c r="M5326" i="2" s="1"/>
  <c r="M5327" i="2" s="1"/>
  <c r="M5328" i="2" s="1"/>
  <c r="M5329" i="2" s="1"/>
  <c r="M5330" i="2" s="1"/>
  <c r="M5331" i="2" s="1"/>
  <c r="M5332" i="2" s="1"/>
  <c r="M5333" i="2" s="1"/>
  <c r="M5334" i="2" s="1"/>
  <c r="M5335" i="2" s="1"/>
  <c r="M5336" i="2" s="1"/>
  <c r="M5337" i="2" s="1"/>
  <c r="M5339" i="2" s="1"/>
  <c r="M5340" i="2" s="1"/>
  <c r="M5341" i="2" s="1"/>
  <c r="M5342" i="2" s="1"/>
  <c r="M5343" i="2" s="1"/>
  <c r="M5344" i="2" s="1"/>
  <c r="M5345" i="2" s="1"/>
  <c r="M5346" i="2" s="1"/>
  <c r="M5347" i="2" s="1"/>
  <c r="M5348" i="2" s="1"/>
  <c r="M5349" i="2" s="1"/>
  <c r="M5350" i="2" s="1"/>
  <c r="M5351" i="2" s="1"/>
  <c r="M5352" i="2" s="1"/>
  <c r="M5353" i="2" s="1"/>
  <c r="M5354" i="2" s="1"/>
  <c r="M5355" i="2" s="1"/>
  <c r="M5356" i="2" s="1"/>
  <c r="M5357" i="2" s="1"/>
  <c r="M5358" i="2" s="1"/>
  <c r="M5359" i="2" s="1"/>
  <c r="M5360" i="2" s="1"/>
  <c r="M5361" i="2" s="1"/>
  <c r="M5362" i="2" s="1"/>
  <c r="M5363" i="2" s="1"/>
  <c r="M5364" i="2" s="1"/>
  <c r="M5365" i="2" s="1"/>
  <c r="M5366" i="2" s="1"/>
  <c r="M5367" i="2" s="1"/>
  <c r="M5368" i="2" s="1"/>
  <c r="M5369" i="2" s="1"/>
  <c r="M5370" i="2" s="1"/>
  <c r="M5371" i="2" s="1"/>
  <c r="M5372" i="2" s="1"/>
  <c r="M5373" i="2" s="1"/>
  <c r="M5374" i="2" s="1"/>
  <c r="M5375" i="2" s="1"/>
  <c r="M5376" i="2" s="1"/>
  <c r="M5377" i="2" s="1"/>
  <c r="M5378" i="2" s="1"/>
  <c r="M5379" i="2" s="1"/>
  <c r="M5380" i="2" s="1"/>
  <c r="M5381" i="2" s="1"/>
  <c r="M5382" i="2" s="1"/>
  <c r="M5383" i="2" s="1"/>
  <c r="M5384" i="2" s="1"/>
  <c r="M5387" i="2" s="1"/>
  <c r="M5390" i="2" s="1"/>
  <c r="M5391" i="2" s="1"/>
  <c r="M5392" i="2" s="1"/>
  <c r="M5393" i="2" s="1"/>
  <c r="M5394" i="2" s="1"/>
  <c r="M5395" i="2" s="1"/>
  <c r="M5398" i="2" s="1"/>
  <c r="M5401" i="2" s="1"/>
  <c r="M5404" i="2" s="1"/>
  <c r="M5405" i="2" s="1"/>
  <c r="M5406" i="2" s="1"/>
  <c r="M5407" i="2" s="1"/>
  <c r="M5408" i="2" s="1"/>
  <c r="M5409" i="2" s="1"/>
  <c r="M5410" i="2" s="1"/>
  <c r="M5411" i="2" s="1"/>
  <c r="M5412" i="2" s="1"/>
  <c r="M5413" i="2" s="1"/>
  <c r="M5414" i="2" s="1"/>
  <c r="M5415" i="2" s="1"/>
  <c r="M5418" i="2" s="1"/>
  <c r="M5421" i="2" s="1"/>
  <c r="M5422" i="2" s="1"/>
  <c r="M5423" i="2" s="1"/>
  <c r="M5424" i="2" s="1"/>
  <c r="M5425" i="2" s="1"/>
  <c r="M5426" i="2" s="1"/>
  <c r="M5427" i="2" s="1"/>
  <c r="M5428" i="2" s="1"/>
  <c r="M5429" i="2" s="1"/>
  <c r="M5430" i="2" s="1"/>
  <c r="M5431" i="2" s="1"/>
  <c r="M5432" i="2" s="1"/>
  <c r="H83" i="2"/>
  <c r="H93" i="2" s="1"/>
  <c r="H103" i="2" s="1"/>
  <c r="H110" i="2" s="1"/>
  <c r="H118" i="2" s="1"/>
  <c r="H126" i="2" s="1"/>
  <c r="H145" i="2" s="1"/>
  <c r="H166" i="2" s="1"/>
  <c r="H191" i="2" s="1"/>
  <c r="H202" i="2" s="1"/>
  <c r="H212" i="2" s="1"/>
  <c r="H222" i="2" s="1"/>
  <c r="H232" i="2" s="1"/>
  <c r="H241" i="2" s="1"/>
  <c r="H249" i="2" s="1"/>
  <c r="H257" i="2" s="1"/>
  <c r="H277" i="2" s="1"/>
  <c r="H294" i="2" s="1"/>
  <c r="H314" i="2" s="1"/>
  <c r="H324" i="2" s="1"/>
  <c r="H335" i="2" s="1"/>
  <c r="H343" i="2" s="1"/>
  <c r="H351" i="2" s="1"/>
  <c r="H359" i="2" s="1"/>
  <c r="H367" i="2" s="1"/>
  <c r="H375" i="2" s="1"/>
  <c r="H383" i="2" s="1"/>
  <c r="H391" i="2" s="1"/>
  <c r="H399" i="2" s="1"/>
  <c r="H408" i="2" s="1"/>
  <c r="H417" i="2" s="1"/>
  <c r="H426" i="2" s="1"/>
  <c r="H435" i="2" s="1"/>
  <c r="H444" i="2" s="1"/>
  <c r="H457" i="2" s="1"/>
  <c r="H471" i="2" s="1"/>
  <c r="H483" i="2" s="1"/>
  <c r="H493" i="2" s="1"/>
  <c r="H501" i="2" s="1"/>
  <c r="H509" i="2" s="1"/>
  <c r="H517" i="2" s="1"/>
  <c r="H525" i="2" s="1"/>
  <c r="C26" i="2"/>
  <c r="C27" i="2" s="1"/>
  <c r="M5477" i="2" l="1"/>
  <c r="M5478" i="2" s="1"/>
  <c r="M5480" i="2" s="1"/>
  <c r="M5481" i="2" s="1"/>
  <c r="M5482" i="2" s="1"/>
  <c r="M5483" i="2" s="1"/>
  <c r="M5484" i="2" s="1"/>
  <c r="M5485" i="2" s="1"/>
  <c r="M5486" i="2" s="1"/>
  <c r="M5487" i="2" s="1"/>
  <c r="M5488" i="2" s="1"/>
  <c r="M5489" i="2" s="1"/>
  <c r="M5490" i="2" s="1"/>
  <c r="M5491" i="2" s="1"/>
  <c r="M5492" i="2" s="1"/>
  <c r="M5493" i="2" s="1"/>
  <c r="M5494" i="2" s="1"/>
  <c r="M5495" i="2" s="1"/>
  <c r="M5496" i="2" s="1"/>
  <c r="M5497" i="2" s="1"/>
  <c r="M5498" i="2" s="1"/>
  <c r="M5499" i="2" s="1"/>
  <c r="M5500" i="2" s="1"/>
  <c r="M5501" i="2" s="1"/>
  <c r="M5507" i="2" s="1"/>
  <c r="M5508" i="2" s="1"/>
  <c r="M5509" i="2" s="1"/>
  <c r="M5510" i="2" s="1"/>
  <c r="M5512" i="2" s="1"/>
  <c r="M5513" i="2" s="1"/>
  <c r="M5514" i="2" s="1"/>
  <c r="M5515" i="2" s="1"/>
  <c r="M5516" i="2" s="1"/>
  <c r="M5517" i="2" s="1"/>
  <c r="M5518" i="2" s="1"/>
  <c r="M5519" i="2" s="1"/>
  <c r="M5520" i="2" s="1"/>
  <c r="M5521" i="2" s="1"/>
  <c r="M5522" i="2" s="1"/>
  <c r="M5523" i="2" s="1"/>
  <c r="M5524" i="2" s="1"/>
  <c r="M5525" i="2" s="1"/>
  <c r="M5526" i="2" s="1"/>
  <c r="M5527" i="2" s="1"/>
  <c r="M5528" i="2" s="1"/>
  <c r="M5529" i="2" s="1"/>
  <c r="M5530" i="2" s="1"/>
  <c r="M5531" i="2" s="1"/>
  <c r="M5532" i="2" s="1"/>
  <c r="M5533" i="2" s="1"/>
  <c r="M5534" i="2" s="1"/>
  <c r="M5535" i="2" s="1"/>
  <c r="M5536" i="2" s="1"/>
  <c r="M5540" i="2" s="1"/>
  <c r="M5541" i="2" s="1"/>
  <c r="M5542" i="2" s="1"/>
  <c r="M5543" i="2" s="1"/>
  <c r="M5544" i="2" s="1"/>
  <c r="M5545" i="2" s="1"/>
  <c r="M5546" i="2" s="1"/>
  <c r="M5547" i="2" s="1"/>
  <c r="M5548" i="2" s="1"/>
  <c r="M5549" i="2" s="1"/>
  <c r="M5551" i="2" s="1"/>
  <c r="M5564" i="2" s="1"/>
  <c r="M5570" i="2" s="1"/>
  <c r="M5571" i="2" s="1"/>
  <c r="M5573" i="2" s="1"/>
  <c r="M5574" i="2" s="1"/>
  <c r="M5575" i="2" s="1"/>
  <c r="M5576" i="2" s="1"/>
  <c r="M5577" i="2" s="1"/>
  <c r="M5579" i="2" s="1"/>
  <c r="M5580" i="2" s="1"/>
  <c r="M5583" i="2" s="1"/>
  <c r="M5586" i="2" s="1"/>
  <c r="M5587" i="2" s="1"/>
  <c r="M5589" i="2" s="1"/>
  <c r="M5590" i="2" s="1"/>
  <c r="M5592" i="2" s="1"/>
  <c r="M5593" i="2" s="1"/>
  <c r="M5594" i="2" s="1"/>
  <c r="M5596" i="2" s="1"/>
  <c r="M5597" i="2" s="1"/>
  <c r="M5600" i="2" s="1"/>
  <c r="M5601" i="2" s="1"/>
  <c r="M5602" i="2" s="1"/>
  <c r="M5603" i="2" s="1"/>
  <c r="M5604" i="2" s="1"/>
  <c r="M5605" i="2" s="1"/>
  <c r="M5606" i="2" s="1"/>
  <c r="M5607" i="2" s="1"/>
  <c r="M5608" i="2" s="1"/>
  <c r="M5609" i="2" s="1"/>
  <c r="M5611" i="2" s="1"/>
  <c r="M5612" i="2" s="1"/>
  <c r="M5613" i="2" s="1"/>
  <c r="M5614" i="2" s="1"/>
  <c r="M5617" i="2" s="1"/>
  <c r="M5619" i="2" s="1"/>
  <c r="M5622" i="2" s="1"/>
  <c r="M5625" i="2" s="1"/>
  <c r="M5628" i="2" s="1"/>
  <c r="M5631" i="2" s="1"/>
  <c r="M5634" i="2" s="1"/>
  <c r="M5637" i="2" s="1"/>
  <c r="M5640" i="2" s="1"/>
  <c r="M5643" i="2" s="1"/>
  <c r="M5646" i="2" s="1"/>
  <c r="M5649" i="2" s="1"/>
  <c r="M5652" i="2" s="1"/>
  <c r="M5657" i="2" s="1"/>
  <c r="M5660" i="2" s="1"/>
  <c r="M5663" i="2" s="1"/>
  <c r="M5666" i="2" s="1"/>
  <c r="M5669" i="2" s="1"/>
  <c r="M5672" i="2" s="1"/>
  <c r="M5675" i="2" s="1"/>
  <c r="M5678" i="2" s="1"/>
  <c r="M5686" i="2" s="1"/>
  <c r="M5691" i="2" s="1"/>
  <c r="H586" i="2"/>
  <c r="H593" i="2" s="1"/>
  <c r="C28" i="2"/>
  <c r="M5702" i="2" l="1"/>
  <c r="M5703" i="2" s="1"/>
  <c r="M5704" i="2" s="1"/>
  <c r="M5705" i="2" s="1"/>
  <c r="M5706" i="2" s="1"/>
  <c r="M5707" i="2" s="1"/>
  <c r="M5708" i="2" s="1"/>
  <c r="M5709" i="2" s="1"/>
  <c r="M5710" i="2" s="1"/>
  <c r="M5711" i="2" s="1"/>
  <c r="M5712" i="2" s="1"/>
  <c r="M5713" i="2" s="1"/>
  <c r="M5714" i="2" s="1"/>
  <c r="M5717" i="2" s="1"/>
  <c r="M5720" i="2" s="1"/>
  <c r="M5723" i="2" s="1"/>
  <c r="M5724" i="2" s="1"/>
  <c r="M5725" i="2" s="1"/>
  <c r="M5726" i="2" s="1"/>
  <c r="M5727" i="2" s="1"/>
  <c r="M5728" i="2" s="1"/>
  <c r="M5731" i="2" s="1"/>
  <c r="M5734" i="2" s="1"/>
  <c r="M5737" i="2" s="1"/>
  <c r="M5738" i="2" s="1"/>
  <c r="M5739" i="2" s="1"/>
  <c r="M5740" i="2" s="1"/>
  <c r="M5741" i="2" s="1"/>
  <c r="M5742" i="2" s="1"/>
  <c r="M5745" i="2" s="1"/>
  <c r="M5748" i="2" s="1"/>
  <c r="M5751" i="2" s="1"/>
  <c r="M5752" i="2" s="1"/>
  <c r="M5753" i="2" s="1"/>
  <c r="M5754" i="2" s="1"/>
  <c r="M5755" i="2" s="1"/>
  <c r="M5756" i="2" s="1"/>
  <c r="M5759" i="2" s="1"/>
  <c r="M5762" i="2" s="1"/>
  <c r="M5765" i="2" s="1"/>
  <c r="M5766" i="2" s="1"/>
  <c r="M5767" i="2" s="1"/>
  <c r="M5768" i="2" s="1"/>
  <c r="M5769" i="2" s="1"/>
  <c r="M5772" i="2" s="1"/>
  <c r="M5775" i="2" s="1"/>
  <c r="M5778" i="2" s="1"/>
  <c r="M5779" i="2" s="1"/>
  <c r="M5780" i="2" s="1"/>
  <c r="M5781" i="2" s="1"/>
  <c r="M5782" i="2" s="1"/>
  <c r="M5783" i="2" s="1"/>
  <c r="M5784" i="2" s="1"/>
  <c r="M5785" i="2" s="1"/>
  <c r="M5786" i="2" s="1"/>
  <c r="M5787" i="2" s="1"/>
  <c r="M5790" i="2" s="1"/>
  <c r="M5793" i="2" s="1"/>
  <c r="M5794" i="2" s="1"/>
  <c r="M5795" i="2" s="1"/>
  <c r="M5798" i="2" s="1"/>
  <c r="M5801" i="2" s="1"/>
  <c r="M5802" i="2" s="1"/>
  <c r="M5803" i="2" s="1"/>
  <c r="M5806" i="2" s="1"/>
  <c r="M5809" i="2" s="1"/>
  <c r="M5810" i="2" s="1"/>
  <c r="M5811" i="2" s="1"/>
  <c r="M5814" i="2" s="1"/>
  <c r="M5817" i="2" s="1"/>
  <c r="M5820" i="2" s="1"/>
  <c r="M5821" i="2" s="1"/>
  <c r="M5822" i="2" s="1"/>
  <c r="M5823" i="2" s="1"/>
  <c r="M5824" i="2" s="1"/>
  <c r="M5825" i="2" s="1"/>
  <c r="M5826" i="2" s="1"/>
  <c r="M5827" i="2" s="1"/>
  <c r="M5828" i="2" s="1"/>
  <c r="M5829" i="2" s="1"/>
  <c r="M5830" i="2" s="1"/>
  <c r="M5831" i="2" s="1"/>
  <c r="M5832" i="2" s="1"/>
  <c r="M5833" i="2" s="1"/>
  <c r="M5834" i="2" s="1"/>
  <c r="M5835" i="2" s="1"/>
  <c r="M5836" i="2" s="1"/>
  <c r="M5837" i="2" s="1"/>
  <c r="M5838" i="2" s="1"/>
  <c r="M5839" i="2" s="1"/>
  <c r="M5840" i="2" s="1"/>
  <c r="M5841" i="2" s="1"/>
  <c r="M5842" i="2" s="1"/>
  <c r="M5843" i="2" s="1"/>
  <c r="M5844" i="2" s="1"/>
  <c r="M5845" i="2" s="1"/>
  <c r="M5846" i="2" s="1"/>
  <c r="M5847" i="2" s="1"/>
  <c r="M5848" i="2" s="1"/>
  <c r="M5849" i="2" s="1"/>
  <c r="M5850" i="2" s="1"/>
  <c r="M5851" i="2" s="1"/>
  <c r="M5852" i="2" s="1"/>
  <c r="M5853" i="2" s="1"/>
  <c r="M5854" i="2" s="1"/>
  <c r="M5855" i="2" s="1"/>
  <c r="M5856" i="2" s="1"/>
  <c r="M5857" i="2" s="1"/>
  <c r="M5858" i="2" s="1"/>
  <c r="M5859" i="2" s="1"/>
  <c r="M5860" i="2" s="1"/>
  <c r="M5861" i="2" s="1"/>
  <c r="M5862" i="2" s="1"/>
  <c r="M5863" i="2" s="1"/>
  <c r="M5864" i="2" s="1"/>
  <c r="M5865" i="2" s="1"/>
  <c r="M5866" i="2" s="1"/>
  <c r="M5867" i="2" s="1"/>
  <c r="M5868" i="2" s="1"/>
  <c r="M5869" i="2" s="1"/>
  <c r="M5870" i="2" s="1"/>
  <c r="M5871" i="2" s="1"/>
  <c r="M5872" i="2" s="1"/>
  <c r="M5873" i="2" s="1"/>
  <c r="M5874" i="2" s="1"/>
  <c r="M5875" i="2" s="1"/>
  <c r="M5877" i="2" s="1"/>
  <c r="M5878" i="2" s="1"/>
  <c r="M5879" i="2" s="1"/>
  <c r="M5882" i="2" s="1"/>
  <c r="M5885" i="2" s="1"/>
  <c r="M5888" i="2" s="1"/>
  <c r="M5889" i="2" s="1"/>
  <c r="M5890" i="2" s="1"/>
  <c r="M5891" i="2" s="1"/>
  <c r="M5892" i="2" s="1"/>
  <c r="M5893" i="2" s="1"/>
  <c r="M5894" i="2" s="1"/>
  <c r="M5895" i="2" s="1"/>
  <c r="M5896" i="2" s="1"/>
  <c r="M5899" i="2" s="1"/>
  <c r="M5902" i="2" s="1"/>
  <c r="M5905" i="2" s="1"/>
  <c r="M5906" i="2" s="1"/>
  <c r="M5907" i="2" s="1"/>
  <c r="M5908" i="2" s="1"/>
  <c r="M5909" i="2" s="1"/>
  <c r="M5910" i="2" s="1"/>
  <c r="M5911" i="2" s="1"/>
  <c r="M5912" i="2" s="1"/>
  <c r="M5913" i="2" s="1"/>
  <c r="M5916" i="2" s="1"/>
  <c r="M5919" i="2" s="1"/>
  <c r="M5922" i="2" s="1"/>
  <c r="M5923" i="2" s="1"/>
  <c r="M5924" i="2" s="1"/>
  <c r="M5925" i="2" s="1"/>
  <c r="M5926" i="2" s="1"/>
  <c r="M5927" i="2" s="1"/>
  <c r="M5928" i="2" s="1"/>
  <c r="M5929" i="2" s="1"/>
  <c r="M5930" i="2" s="1"/>
  <c r="M5933" i="2" s="1"/>
  <c r="M5936" i="2" s="1"/>
  <c r="M5939" i="2" s="1"/>
  <c r="M5940" i="2" s="1"/>
  <c r="M5941" i="2" s="1"/>
  <c r="M5942" i="2" s="1"/>
  <c r="M5943" i="2" s="1"/>
  <c r="M5944" i="2" s="1"/>
  <c r="M5945" i="2" s="1"/>
  <c r="M5946" i="2" s="1"/>
  <c r="M5947" i="2" s="1"/>
  <c r="M5950" i="2" s="1"/>
  <c r="M5953" i="2" s="1"/>
  <c r="M5956" i="2" s="1"/>
  <c r="M5957" i="2" s="1"/>
  <c r="M5958" i="2" s="1"/>
  <c r="M5959" i="2" s="1"/>
  <c r="M5960" i="2" s="1"/>
  <c r="M5961" i="2" s="1"/>
  <c r="M5962" i="2" s="1"/>
  <c r="M5963" i="2" s="1"/>
  <c r="M5966" i="2" s="1"/>
  <c r="M5969" i="2" s="1"/>
  <c r="M5970" i="2" s="1"/>
  <c r="M5971" i="2" s="1"/>
  <c r="M5972" i="2" s="1"/>
  <c r="M5973" i="2" s="1"/>
  <c r="M5975" i="2" s="1"/>
  <c r="M5976" i="2" s="1"/>
  <c r="M5978" i="2" s="1"/>
  <c r="M5979" i="2" s="1"/>
  <c r="M5980" i="2" s="1"/>
  <c r="M5981" i="2" s="1"/>
  <c r="M5982" i="2" s="1"/>
  <c r="M5985" i="2" s="1"/>
  <c r="M5988" i="2" s="1"/>
  <c r="M5991" i="2" s="1"/>
  <c r="M5994" i="2" s="1"/>
  <c r="M5995" i="2" s="1"/>
  <c r="M5996" i="2" s="1"/>
  <c r="M5998" i="2" s="1"/>
  <c r="M5999" i="2" s="1"/>
  <c r="M6000" i="2" s="1"/>
  <c r="M6001" i="2" s="1"/>
  <c r="M6002" i="2" s="1"/>
  <c r="M6003" i="2" s="1"/>
  <c r="M6004" i="2" s="1"/>
  <c r="M6005" i="2" s="1"/>
  <c r="M6006" i="2" s="1"/>
  <c r="M6007" i="2" s="1"/>
  <c r="M6008" i="2" s="1"/>
  <c r="M6009" i="2" s="1"/>
  <c r="M6010" i="2" s="1"/>
  <c r="M6011" i="2" s="1"/>
  <c r="M6012" i="2" s="1"/>
  <c r="M6013" i="2" s="1"/>
  <c r="M6014" i="2" s="1"/>
  <c r="M6015" i="2" s="1"/>
  <c r="M6016" i="2" s="1"/>
  <c r="M6017" i="2" s="1"/>
  <c r="M6018" i="2" s="1"/>
  <c r="M6019" i="2" s="1"/>
  <c r="M6020" i="2" s="1"/>
  <c r="M6021" i="2" s="1"/>
  <c r="M6022" i="2" s="1"/>
  <c r="M6023" i="2" s="1"/>
  <c r="M6024" i="2" s="1"/>
  <c r="M6025" i="2" s="1"/>
  <c r="M6026" i="2" s="1"/>
  <c r="M6027" i="2" s="1"/>
  <c r="M6028" i="2" s="1"/>
  <c r="M6029" i="2" s="1"/>
  <c r="M6030" i="2" s="1"/>
  <c r="M6031" i="2" s="1"/>
  <c r="M6032" i="2" s="1"/>
  <c r="M6035" i="2" s="1"/>
  <c r="M6038" i="2" s="1"/>
  <c r="M6041" i="2" s="1"/>
  <c r="M6044" i="2" s="1"/>
  <c r="M6045" i="2" s="1"/>
  <c r="M6046" i="2" s="1"/>
  <c r="M6047" i="2" s="1"/>
  <c r="M6048" i="2" s="1"/>
  <c r="M6049" i="2" s="1"/>
  <c r="M6050" i="2" s="1"/>
  <c r="M6051" i="2" s="1"/>
  <c r="M6054" i="2" s="1"/>
  <c r="M6057" i="2" s="1"/>
  <c r="M6060" i="2" s="1"/>
  <c r="M6063" i="2" s="1"/>
  <c r="M6064" i="2" s="1"/>
  <c r="M6065" i="2" s="1"/>
  <c r="M6066" i="2" s="1"/>
  <c r="M6067" i="2" s="1"/>
  <c r="M6068" i="2" s="1"/>
  <c r="M6069" i="2" s="1"/>
  <c r="M6070" i="2" s="1"/>
  <c r="M6071" i="2" s="1"/>
  <c r="M6072" i="2" s="1"/>
  <c r="M6073" i="2" s="1"/>
  <c r="M6074" i="2" s="1"/>
  <c r="M6075" i="2" s="1"/>
  <c r="M6076" i="2" s="1"/>
  <c r="M6077" i="2" s="1"/>
  <c r="M6078" i="2" s="1"/>
  <c r="M6079" i="2" s="1"/>
  <c r="M6080" i="2" s="1"/>
  <c r="M6081" i="2" s="1"/>
  <c r="M6082" i="2" s="1"/>
  <c r="M6083" i="2" s="1"/>
  <c r="M6084" i="2" s="1"/>
  <c r="M6085" i="2" s="1"/>
  <c r="M6086" i="2" s="1"/>
  <c r="M6087" i="2" s="1"/>
  <c r="M6088" i="2" s="1"/>
  <c r="M6089" i="2" s="1"/>
  <c r="M6090" i="2" s="1"/>
  <c r="M6091" i="2" s="1"/>
  <c r="M6092" i="2" s="1"/>
  <c r="M6093" i="2" s="1"/>
  <c r="M6094" i="2" s="1"/>
  <c r="M6095" i="2" s="1"/>
  <c r="M6096" i="2" s="1"/>
  <c r="M6097" i="2" s="1"/>
  <c r="M6098" i="2" s="1"/>
  <c r="M6099" i="2" s="1"/>
  <c r="M6100" i="2" s="1"/>
  <c r="M6101" i="2" s="1"/>
  <c r="M6102" i="2" s="1"/>
  <c r="M6103" i="2" s="1"/>
  <c r="M6104" i="2" s="1"/>
  <c r="M6105" i="2" s="1"/>
  <c r="M6106" i="2" s="1"/>
  <c r="M6107" i="2" s="1"/>
  <c r="M6108" i="2" s="1"/>
  <c r="M6109" i="2" s="1"/>
  <c r="M6110" i="2" s="1"/>
  <c r="M6111" i="2" s="1"/>
  <c r="M6112" i="2" s="1"/>
  <c r="M6113" i="2" s="1"/>
  <c r="M6114" i="2" s="1"/>
  <c r="M6115" i="2" s="1"/>
  <c r="M6116" i="2" s="1"/>
  <c r="M6117" i="2" s="1"/>
  <c r="M6118" i="2" s="1"/>
  <c r="M6119" i="2" s="1"/>
  <c r="M6120" i="2" s="1"/>
  <c r="M6121" i="2" s="1"/>
  <c r="M6122" i="2" s="1"/>
  <c r="M6123" i="2" s="1"/>
  <c r="M6124" i="2" s="1"/>
  <c r="M6125" i="2" s="1"/>
  <c r="M6126" i="2" s="1"/>
  <c r="M6127" i="2" s="1"/>
  <c r="M6128" i="2" s="1"/>
  <c r="M6129" i="2" s="1"/>
  <c r="M6130" i="2" s="1"/>
  <c r="M6131" i="2" s="1"/>
  <c r="M6132" i="2" s="1"/>
  <c r="M6133" i="2" s="1"/>
  <c r="M6134" i="2" s="1"/>
  <c r="M6135" i="2" s="1"/>
  <c r="M6136" i="2" s="1"/>
  <c r="M6137" i="2" s="1"/>
  <c r="M6138" i="2" s="1"/>
  <c r="M6139" i="2" s="1"/>
  <c r="M6140" i="2" s="1"/>
  <c r="M6141" i="2" s="1"/>
  <c r="M6142" i="2" s="1"/>
  <c r="M6143" i="2" s="1"/>
  <c r="M6144" i="2" s="1"/>
  <c r="M6145" i="2" s="1"/>
  <c r="M6146" i="2" s="1"/>
  <c r="M6147" i="2" s="1"/>
  <c r="M6148" i="2" s="1"/>
  <c r="M6149" i="2" s="1"/>
  <c r="M6150" i="2" s="1"/>
  <c r="M6151" i="2" s="1"/>
  <c r="M6152" i="2" s="1"/>
  <c r="M6153" i="2" s="1"/>
  <c r="M6154" i="2" s="1"/>
  <c r="M6155" i="2" s="1"/>
  <c r="M6156" i="2" s="1"/>
  <c r="M6157" i="2" s="1"/>
  <c r="M6158" i="2" s="1"/>
  <c r="H595" i="2"/>
  <c r="C29" i="2"/>
  <c r="C30" i="2" s="1"/>
  <c r="O51" i="2" l="1"/>
  <c r="O57" i="2"/>
  <c r="O53" i="2"/>
  <c r="O47" i="2"/>
  <c r="O52" i="2"/>
  <c r="O56" i="2"/>
  <c r="O59" i="2"/>
  <c r="O60" i="2"/>
  <c r="O58" i="2"/>
  <c r="O54" i="2"/>
  <c r="O50" i="2"/>
  <c r="O49" i="2"/>
  <c r="O55" i="2"/>
  <c r="O48" i="2"/>
  <c r="O37" i="2"/>
  <c r="O42" i="2"/>
  <c r="O39" i="2"/>
  <c r="O46" i="2"/>
  <c r="O44" i="2"/>
  <c r="O34" i="2"/>
  <c r="O36" i="2"/>
  <c r="O43" i="2"/>
  <c r="O35" i="2"/>
  <c r="O38" i="2"/>
  <c r="O45" i="2"/>
  <c r="O40" i="2"/>
  <c r="O41" i="2"/>
  <c r="O4" i="2"/>
  <c r="O8" i="2"/>
  <c r="O7" i="2"/>
  <c r="O9" i="2"/>
  <c r="O5" i="2"/>
  <c r="O6" i="2"/>
  <c r="H597" i="2"/>
  <c r="C31" i="2"/>
  <c r="O22" i="2" l="1"/>
  <c r="O20" i="2"/>
  <c r="O17" i="2"/>
  <c r="O19" i="2"/>
  <c r="O10" i="2"/>
  <c r="O12" i="2"/>
  <c r="O18" i="2"/>
  <c r="O25" i="2"/>
  <c r="O15" i="2"/>
  <c r="O24" i="2"/>
  <c r="O16" i="2"/>
  <c r="O21" i="2"/>
  <c r="O26" i="2"/>
  <c r="O14" i="2"/>
  <c r="O13" i="2"/>
  <c r="O11" i="2"/>
  <c r="O27" i="2"/>
  <c r="O23" i="2"/>
  <c r="O31" i="2"/>
  <c r="O33" i="2"/>
  <c r="O32" i="2"/>
  <c r="O29" i="2"/>
  <c r="O30" i="2"/>
  <c r="O28" i="2"/>
  <c r="H603" i="2"/>
  <c r="C32" i="2"/>
  <c r="H609" i="2" l="1"/>
  <c r="H618" i="2" s="1"/>
  <c r="H624" i="2" s="1"/>
  <c r="H626" i="2" s="1"/>
  <c r="H638" i="2" s="1"/>
  <c r="H650" i="2" s="1"/>
  <c r="H654" i="2" s="1"/>
  <c r="H660" i="2" s="1"/>
  <c r="H664" i="2" s="1"/>
  <c r="H669" i="2" s="1"/>
  <c r="H672" i="2" s="1"/>
  <c r="H674" i="2" s="1"/>
  <c r="H680" i="2" s="1"/>
  <c r="H682" i="2" s="1"/>
  <c r="H687" i="2" s="1"/>
  <c r="H692" i="2" s="1"/>
  <c r="H697" i="2" s="1"/>
  <c r="H712" i="2" s="1"/>
  <c r="H727" i="2" s="1"/>
  <c r="H742" i="2" s="1"/>
  <c r="H757" i="2" s="1"/>
  <c r="H772" i="2" s="1"/>
  <c r="H777" i="2" s="1"/>
  <c r="H786" i="2" s="1"/>
  <c r="H801" i="2" s="1"/>
  <c r="H816" i="2" s="1"/>
  <c r="H822" i="2" s="1"/>
  <c r="H827" i="2" s="1"/>
  <c r="H832" i="2" s="1"/>
  <c r="H837" i="2" s="1"/>
  <c r="H842" i="2" s="1"/>
  <c r="H847" i="2" s="1"/>
  <c r="H852" i="2" s="1"/>
  <c r="H857" i="2" s="1"/>
  <c r="H872" i="2" s="1"/>
  <c r="H877" i="2" s="1"/>
  <c r="H882" i="2" s="1"/>
  <c r="H887" i="2" s="1"/>
  <c r="H892" i="2" s="1"/>
  <c r="H897" i="2" s="1"/>
  <c r="H912" i="2" s="1"/>
  <c r="H927" i="2" s="1"/>
  <c r="H942" i="2" s="1"/>
  <c r="H957" i="2" s="1"/>
  <c r="H962" i="2" s="1"/>
  <c r="H967" i="2" s="1"/>
  <c r="H974" i="2" s="1"/>
  <c r="H977" i="2" s="1"/>
  <c r="H978" i="2" s="1"/>
  <c r="H987" i="2" s="1"/>
  <c r="H995" i="2" s="1"/>
  <c r="H996" i="2" s="1"/>
  <c r="H997" i="2" s="1"/>
  <c r="H998" i="2" s="1"/>
  <c r="H1004" i="2" s="1"/>
  <c r="H1010" i="2" s="1"/>
  <c r="H1016" i="2" s="1"/>
  <c r="H1017" i="2" s="1"/>
  <c r="H1018" i="2" s="1"/>
  <c r="H1019" i="2" s="1"/>
  <c r="H1020" i="2" s="1"/>
  <c r="H1021" i="2" s="1"/>
  <c r="H1022" i="2" s="1"/>
  <c r="H1023" i="2" s="1"/>
  <c r="H1024" i="2" s="1"/>
  <c r="H1025" i="2" s="1"/>
  <c r="H1026" i="2" s="1"/>
  <c r="H1027" i="2" s="1"/>
  <c r="H1028" i="2" s="1"/>
  <c r="H1029" i="2" s="1"/>
  <c r="H1030" i="2" s="1"/>
  <c r="H1031" i="2" s="1"/>
  <c r="H1032" i="2" s="1"/>
  <c r="H1033" i="2" s="1"/>
  <c r="H1034" i="2" s="1"/>
  <c r="H1035" i="2" s="1"/>
  <c r="H1036" i="2" s="1"/>
  <c r="H1037" i="2" s="1"/>
  <c r="H1038" i="2" s="1"/>
  <c r="H1039" i="2" s="1"/>
  <c r="H1040" i="2" s="1"/>
  <c r="H1041" i="2" s="1"/>
  <c r="H1042" i="2" s="1"/>
  <c r="H1043" i="2" s="1"/>
  <c r="H1044" i="2" s="1"/>
  <c r="H1045" i="2" s="1"/>
  <c r="H1046" i="2" s="1"/>
  <c r="H1047" i="2" s="1"/>
  <c r="H1048" i="2" s="1"/>
  <c r="H1049" i="2" s="1"/>
  <c r="H1050" i="2" s="1"/>
  <c r="H1051" i="2" s="1"/>
  <c r="H1052" i="2" s="1"/>
  <c r="H1053" i="2" s="1"/>
  <c r="H1054" i="2" s="1"/>
  <c r="H1055" i="2" s="1"/>
  <c r="H1056" i="2" s="1"/>
  <c r="H1057" i="2" s="1"/>
  <c r="H1058" i="2" s="1"/>
  <c r="H1059" i="2" s="1"/>
  <c r="H1060" i="2" s="1"/>
  <c r="H1061" i="2" s="1"/>
  <c r="H1062" i="2" s="1"/>
  <c r="H1063" i="2" s="1"/>
  <c r="H1064" i="2" s="1"/>
  <c r="H1065" i="2" s="1"/>
  <c r="H1066" i="2" s="1"/>
  <c r="H1067" i="2" s="1"/>
  <c r="H1068" i="2" s="1"/>
  <c r="H1069" i="2" s="1"/>
  <c r="H1070" i="2" s="1"/>
  <c r="H1071" i="2" s="1"/>
  <c r="H1074" i="2" s="1"/>
  <c r="H1076" i="2" s="1"/>
  <c r="H1077" i="2" s="1"/>
  <c r="H1078" i="2" s="1"/>
  <c r="H1079" i="2" s="1"/>
  <c r="H1080" i="2" s="1"/>
  <c r="H1081" i="2" s="1"/>
  <c r="H1082" i="2" s="1"/>
  <c r="H1083" i="2" s="1"/>
  <c r="H1084" i="2" s="1"/>
  <c r="H1085" i="2" s="1"/>
  <c r="H1086" i="2" s="1"/>
  <c r="H1087" i="2" s="1"/>
  <c r="H1088" i="2" s="1"/>
  <c r="H1089" i="2" s="1"/>
  <c r="H1090" i="2" s="1"/>
  <c r="H1091" i="2" s="1"/>
  <c r="H1092" i="2" s="1"/>
  <c r="H1093" i="2" s="1"/>
  <c r="H1094" i="2" s="1"/>
  <c r="H1095" i="2" s="1"/>
  <c r="H1096" i="2" s="1"/>
  <c r="H1097" i="2" s="1"/>
  <c r="H1098" i="2" s="1"/>
  <c r="H1099" i="2" s="1"/>
  <c r="H1100" i="2" s="1"/>
  <c r="H1101" i="2" s="1"/>
  <c r="H1102" i="2" s="1"/>
  <c r="H1103" i="2" s="1"/>
  <c r="H1104" i="2" s="1"/>
  <c r="H1105" i="2" s="1"/>
  <c r="H1106" i="2" s="1"/>
  <c r="H1107" i="2" s="1"/>
  <c r="H1108" i="2" s="1"/>
  <c r="H1109" i="2" s="1"/>
  <c r="H1110" i="2" s="1"/>
  <c r="H1111" i="2" s="1"/>
  <c r="H1112" i="2" s="1"/>
  <c r="H1113" i="2" s="1"/>
  <c r="H1114" i="2" s="1"/>
  <c r="H1115" i="2" s="1"/>
  <c r="H1116" i="2" s="1"/>
  <c r="H1117" i="2" s="1"/>
  <c r="H1118" i="2" s="1"/>
  <c r="H1119" i="2" s="1"/>
  <c r="H1120" i="2" s="1"/>
  <c r="H1121" i="2" s="1"/>
  <c r="H1122" i="2" s="1"/>
  <c r="H1124" i="2" s="1"/>
  <c r="H1126" i="2" s="1"/>
  <c r="H1128" i="2" s="1"/>
  <c r="H1129" i="2" s="1"/>
  <c r="H1130" i="2" s="1"/>
  <c r="H1131" i="2" s="1"/>
  <c r="H1132" i="2" s="1"/>
  <c r="H1133" i="2" s="1"/>
  <c r="H1134" i="2" s="1"/>
  <c r="H1135" i="2" s="1"/>
  <c r="H1136" i="2" s="1"/>
  <c r="H1137" i="2" s="1"/>
  <c r="H1138" i="2" s="1"/>
  <c r="H1139" i="2" s="1"/>
  <c r="H1140" i="2" s="1"/>
  <c r="H1141" i="2" s="1"/>
  <c r="H1142" i="2" s="1"/>
  <c r="H1143" i="2" s="1"/>
  <c r="H1144" i="2" s="1"/>
  <c r="H1145" i="2" s="1"/>
  <c r="H1146" i="2" s="1"/>
  <c r="H1147" i="2" s="1"/>
  <c r="H1148" i="2" s="1"/>
  <c r="H1149" i="2" s="1"/>
  <c r="H1150" i="2" s="1"/>
  <c r="H1151" i="2" s="1"/>
  <c r="H1152" i="2" s="1"/>
  <c r="H1153" i="2" s="1"/>
  <c r="H1154" i="2" s="1"/>
  <c r="H1155" i="2" s="1"/>
  <c r="H1156" i="2" s="1"/>
  <c r="H1157" i="2" s="1"/>
  <c r="H1158" i="2" s="1"/>
  <c r="H1159" i="2" s="1"/>
  <c r="H1160" i="2" s="1"/>
  <c r="H1161" i="2" s="1"/>
  <c r="H1162" i="2" s="1"/>
  <c r="H1163" i="2" s="1"/>
  <c r="H1164" i="2" s="1"/>
  <c r="H1165" i="2" s="1"/>
  <c r="H1166" i="2" s="1"/>
  <c r="H1167" i="2" s="1"/>
  <c r="H1169" i="2" s="1"/>
  <c r="H1170" i="2" s="1"/>
  <c r="H1171" i="2" s="1"/>
  <c r="H1172" i="2" s="1"/>
  <c r="H1173" i="2" s="1"/>
  <c r="H1174" i="2" s="1"/>
  <c r="H1175" i="2" s="1"/>
  <c r="H1176" i="2" s="1"/>
  <c r="H1178" i="2" s="1"/>
  <c r="H1179" i="2" s="1"/>
  <c r="H1180" i="2" s="1"/>
  <c r="H1181" i="2" s="1"/>
  <c r="H1182" i="2" s="1"/>
  <c r="H1183" i="2" s="1"/>
  <c r="H1184" i="2" s="1"/>
  <c r="H1185" i="2" s="1"/>
  <c r="H1186" i="2" s="1"/>
  <c r="H1187" i="2" s="1"/>
  <c r="H1188" i="2" s="1"/>
  <c r="H1189" i="2" s="1"/>
  <c r="H1190" i="2" s="1"/>
  <c r="H1191" i="2" s="1"/>
  <c r="H1192" i="2" s="1"/>
  <c r="H1194" i="2" s="1"/>
  <c r="H1196" i="2" s="1"/>
  <c r="H1198" i="2" s="1"/>
  <c r="H1199" i="2" s="1"/>
  <c r="H1200" i="2" s="1"/>
  <c r="H1201" i="2" s="1"/>
  <c r="H1202" i="2" s="1"/>
  <c r="H1204" i="2" s="1"/>
  <c r="H1205" i="2" s="1"/>
  <c r="H1206" i="2" s="1"/>
  <c r="H1207" i="2" s="1"/>
  <c r="H1210" i="2" s="1"/>
  <c r="H1211" i="2" s="1"/>
  <c r="H1212" i="2" s="1"/>
  <c r="H1213" i="2" s="1"/>
  <c r="H1214" i="2" s="1"/>
  <c r="H1215" i="2" s="1"/>
  <c r="H1216" i="2" s="1"/>
  <c r="H1217" i="2" s="1"/>
  <c r="H1218" i="2" s="1"/>
  <c r="H1219" i="2" s="1"/>
  <c r="H1220" i="2" s="1"/>
  <c r="H1221" i="2" s="1"/>
  <c r="H1222" i="2" s="1"/>
  <c r="H1223" i="2" s="1"/>
  <c r="H1224" i="2" s="1"/>
  <c r="H1225" i="2" s="1"/>
  <c r="H1226" i="2" s="1"/>
  <c r="H1227" i="2" s="1"/>
  <c r="H1228" i="2" s="1"/>
  <c r="H1229" i="2" s="1"/>
  <c r="H1230" i="2" s="1"/>
  <c r="H1231" i="2" s="1"/>
  <c r="H1232" i="2" s="1"/>
  <c r="H1233" i="2" s="1"/>
  <c r="H1234" i="2" s="1"/>
  <c r="H1235" i="2" s="1"/>
  <c r="H1236" i="2" s="1"/>
  <c r="H1237" i="2" s="1"/>
  <c r="H1238" i="2" s="1"/>
  <c r="H1239" i="2" s="1"/>
  <c r="H1240" i="2" s="1"/>
  <c r="H1241" i="2" s="1"/>
  <c r="H1242" i="2" s="1"/>
  <c r="H1243" i="2" s="1"/>
  <c r="H1244" i="2" s="1"/>
  <c r="H1245" i="2" s="1"/>
  <c r="H1246" i="2" s="1"/>
  <c r="H1247" i="2" s="1"/>
  <c r="H1248" i="2" s="1"/>
  <c r="H1249" i="2" s="1"/>
  <c r="H1250" i="2" s="1"/>
  <c r="H1251" i="2" s="1"/>
  <c r="H1252" i="2" s="1"/>
  <c r="H1253" i="2" s="1"/>
  <c r="H1254" i="2" s="1"/>
  <c r="H1255" i="2" s="1"/>
  <c r="H1256" i="2" s="1"/>
  <c r="H1257" i="2" s="1"/>
  <c r="H1258" i="2" s="1"/>
  <c r="H1259" i="2" s="1"/>
  <c r="H1260" i="2" s="1"/>
  <c r="H1261" i="2" s="1"/>
  <c r="H1262" i="2" s="1"/>
  <c r="H1263" i="2" s="1"/>
  <c r="H1264" i="2" s="1"/>
  <c r="H1265" i="2" s="1"/>
  <c r="H1268" i="2" s="1"/>
  <c r="H1270" i="2" s="1"/>
  <c r="H1271" i="2" s="1"/>
  <c r="H1272" i="2" s="1"/>
  <c r="H1273" i="2" s="1"/>
  <c r="H1274" i="2" s="1"/>
  <c r="H1275" i="2" s="1"/>
  <c r="H1276" i="2" s="1"/>
  <c r="H1277" i="2" s="1"/>
  <c r="H1278" i="2" s="1"/>
  <c r="H1279" i="2" s="1"/>
  <c r="H1280" i="2" s="1"/>
  <c r="H1281" i="2" s="1"/>
  <c r="H1282" i="2" s="1"/>
  <c r="H1283" i="2" s="1"/>
  <c r="H1284" i="2" s="1"/>
  <c r="H1285" i="2" s="1"/>
  <c r="H1286" i="2" s="1"/>
  <c r="H1287" i="2" s="1"/>
  <c r="H1288" i="2" s="1"/>
  <c r="H1289" i="2" s="1"/>
  <c r="H1290" i="2" s="1"/>
  <c r="H1291" i="2" s="1"/>
  <c r="H1292" i="2" s="1"/>
  <c r="H1293" i="2" s="1"/>
  <c r="H1294" i="2" s="1"/>
  <c r="H1295" i="2" s="1"/>
  <c r="H1296" i="2" s="1"/>
  <c r="H1297" i="2" s="1"/>
  <c r="H1298" i="2" s="1"/>
  <c r="H1299" i="2" s="1"/>
  <c r="H1300" i="2" s="1"/>
  <c r="H1301" i="2" s="1"/>
  <c r="H1302" i="2" s="1"/>
  <c r="H1303" i="2" s="1"/>
  <c r="H1304" i="2" s="1"/>
  <c r="H1305" i="2" s="1"/>
  <c r="H1306" i="2" s="1"/>
  <c r="H1307" i="2" s="1"/>
  <c r="H1308" i="2" s="1"/>
  <c r="H1309" i="2" s="1"/>
  <c r="H1310" i="2" s="1"/>
  <c r="H1311" i="2" s="1"/>
  <c r="H1312" i="2" s="1"/>
  <c r="H1313" i="2" s="1"/>
  <c r="H1316" i="2" s="1"/>
  <c r="H1319" i="2" s="1"/>
  <c r="H1322" i="2" s="1"/>
  <c r="H1323" i="2" s="1"/>
  <c r="H1324" i="2" s="1"/>
  <c r="H1325" i="2" s="1"/>
  <c r="H1326" i="2" s="1"/>
  <c r="H1327" i="2" s="1"/>
  <c r="H1328" i="2" s="1"/>
  <c r="H1329" i="2" s="1"/>
  <c r="H1330" i="2" s="1"/>
  <c r="H1331" i="2" s="1"/>
  <c r="H1332" i="2" s="1"/>
  <c r="H1333" i="2" s="1"/>
  <c r="H1334" i="2" s="1"/>
  <c r="H1335" i="2" s="1"/>
  <c r="H1336" i="2" s="1"/>
  <c r="H1337" i="2" s="1"/>
  <c r="H1338" i="2" s="1"/>
  <c r="H1340" i="2" s="1"/>
  <c r="H1341" i="2" s="1"/>
  <c r="H1344" i="2" s="1"/>
  <c r="H1345" i="2" s="1"/>
  <c r="H1346" i="2" s="1"/>
  <c r="H1347" i="2" s="1"/>
  <c r="H1348" i="2" s="1"/>
  <c r="H1349" i="2" s="1"/>
  <c r="H1350" i="2" s="1"/>
  <c r="H1351" i="2" s="1"/>
  <c r="H1352" i="2" s="1"/>
  <c r="H1353" i="2" s="1"/>
  <c r="H1354" i="2" s="1"/>
  <c r="H1355" i="2" s="1"/>
  <c r="H1356" i="2" s="1"/>
  <c r="H1358" i="2" s="1"/>
  <c r="H1360" i="2" s="1"/>
  <c r="H1362" i="2" s="1"/>
  <c r="H1363" i="2" s="1"/>
  <c r="H1364" i="2" s="1"/>
  <c r="H1365" i="2" s="1"/>
  <c r="H1366" i="2" s="1"/>
  <c r="H1367" i="2" s="1"/>
  <c r="H1368" i="2" s="1"/>
  <c r="H1369" i="2" s="1"/>
  <c r="H1370" i="2" s="1"/>
  <c r="H1371" i="2" s="1"/>
  <c r="H1372" i="2" s="1"/>
  <c r="H1373" i="2" s="1"/>
  <c r="H1374" i="2" s="1"/>
  <c r="H1375" i="2" s="1"/>
  <c r="H1376" i="2" s="1"/>
  <c r="H1377" i="2" s="1"/>
  <c r="H1378" i="2" s="1"/>
  <c r="H1379" i="2" s="1"/>
  <c r="H1380" i="2" s="1"/>
  <c r="H1381" i="2" s="1"/>
  <c r="H1382" i="2" s="1"/>
  <c r="H1383" i="2" s="1"/>
  <c r="H1384" i="2" s="1"/>
  <c r="H1385" i="2" s="1"/>
  <c r="H1386" i="2" s="1"/>
  <c r="H1387" i="2" s="1"/>
  <c r="H1388" i="2" s="1"/>
  <c r="H1389" i="2" s="1"/>
  <c r="H1390" i="2" s="1"/>
  <c r="H1391" i="2" s="1"/>
  <c r="H1393" i="2" s="1"/>
  <c r="H1413" i="2" s="1"/>
  <c r="H1423" i="2" s="1"/>
  <c r="H1431" i="2" s="1"/>
  <c r="H1436" i="2" s="1"/>
  <c r="H1449" i="2" s="1"/>
  <c r="H1461" i="2" s="1"/>
  <c r="H1473" i="2" s="1"/>
  <c r="H1485" i="2" s="1"/>
  <c r="H1505" i="2" s="1"/>
  <c r="H1521" i="2" s="1"/>
  <c r="H1535" i="2" s="1"/>
  <c r="H1542" i="2" s="1"/>
  <c r="H1555" i="2" s="1"/>
  <c r="H1572" i="2" s="1"/>
  <c r="H1584" i="2" s="1"/>
  <c r="H1604" i="2" s="1"/>
  <c r="H1620" i="2" s="1"/>
  <c r="H1638" i="2" s="1"/>
  <c r="H1650" i="2" s="1"/>
  <c r="H1658" i="2" s="1"/>
  <c r="H1668" i="2" s="1"/>
  <c r="H1678" i="2" s="1"/>
  <c r="H1686" i="2" s="1"/>
  <c r="H1697" i="2" s="1"/>
  <c r="H1707" i="2" s="1"/>
  <c r="H1717" i="2" s="1"/>
  <c r="H1729" i="2" s="1"/>
  <c r="H1745" i="2" s="1"/>
  <c r="H1753" i="2" s="1"/>
  <c r="H1762" i="2" s="1"/>
  <c r="H1772" i="2" s="1"/>
  <c r="H1782" i="2" s="1"/>
  <c r="H1791" i="2" s="1"/>
  <c r="H1801" i="2" s="1"/>
  <c r="H1814" i="2" s="1"/>
  <c r="H1823" i="2" s="1"/>
  <c r="H1833" i="2" s="1"/>
  <c r="H1842" i="2" s="1"/>
  <c r="H1852" i="2" s="1"/>
  <c r="H1861" i="2" s="1"/>
  <c r="H1871" i="2" s="1"/>
  <c r="H1881" i="2" s="1"/>
  <c r="H1891" i="2" s="1"/>
  <c r="H1901" i="2" s="1"/>
  <c r="H1914" i="2" s="1"/>
  <c r="H1923" i="2" s="1"/>
  <c r="H1932" i="2" s="1"/>
  <c r="H1941" i="2" s="1"/>
  <c r="H1951" i="2" s="1"/>
  <c r="H1960" i="2" s="1"/>
  <c r="H1969" i="2" s="1"/>
  <c r="H1978" i="2" s="1"/>
  <c r="H1999" i="2" s="1"/>
  <c r="H2017" i="2" s="1"/>
  <c r="H2041" i="2" s="1"/>
  <c r="H2057" i="2" s="1"/>
  <c r="H2075" i="2" s="1"/>
  <c r="H2092" i="2" s="1"/>
  <c r="H2101" i="2" s="1"/>
  <c r="H2110" i="2" s="1"/>
  <c r="H2119" i="2" s="1"/>
  <c r="H2128" i="2" s="1"/>
  <c r="H2141" i="2" s="1"/>
  <c r="H2155" i="2" s="1"/>
  <c r="H2168" i="2" s="1"/>
  <c r="H2177" i="2" s="1"/>
  <c r="H2186" i="2" s="1"/>
  <c r="H2199" i="2" s="1"/>
  <c r="H2208" i="2" s="1"/>
  <c r="H2217" i="2" s="1"/>
  <c r="H2226" i="2" s="1"/>
  <c r="H2235" i="2" s="1"/>
  <c r="H2245" i="2" s="1"/>
  <c r="H2258" i="2" s="1"/>
  <c r="H2271" i="2" s="1"/>
  <c r="H2291" i="2" s="1"/>
  <c r="H2308" i="2" s="1"/>
  <c r="H2328" i="2" s="1"/>
  <c r="H2348" i="2" s="1"/>
  <c r="H2364" i="2" s="1"/>
  <c r="H2380" i="2" s="1"/>
  <c r="H2389" i="2" s="1"/>
  <c r="H2398" i="2" s="1"/>
  <c r="H2407" i="2" s="1"/>
  <c r="H2416" i="2" s="1"/>
  <c r="H2426" i="2" s="1"/>
  <c r="H2436" i="2" s="1"/>
  <c r="H2445" i="2" s="1"/>
  <c r="H2454" i="2" s="1"/>
  <c r="H2463" i="2" s="1"/>
  <c r="H2472" i="2" s="1"/>
  <c r="H2485" i="2" s="1"/>
  <c r="H2494" i="2" s="1"/>
  <c r="H2503" i="2" s="1"/>
  <c r="H2512" i="2" s="1"/>
  <c r="H2521" i="2" s="1"/>
  <c r="H2532" i="2" s="1"/>
  <c r="H2541" i="2" s="1"/>
  <c r="H2551" i="2" s="1"/>
  <c r="H2567" i="2" s="1"/>
  <c r="H2585" i="2" s="1"/>
  <c r="H2601" i="2" s="1"/>
  <c r="H2617" i="2" s="1"/>
  <c r="H2633" i="2" s="1"/>
  <c r="H2649" i="2" s="1"/>
  <c r="H2658" i="2" s="1"/>
  <c r="H2667" i="2" s="1"/>
  <c r="H2677" i="2" s="1"/>
  <c r="H2686" i="2" s="1"/>
  <c r="H2695" i="2" s="1"/>
  <c r="H2704" i="2" s="1"/>
  <c r="H2713" i="2" s="1"/>
  <c r="H2722" i="2" s="1"/>
  <c r="H2731" i="2" s="1"/>
  <c r="H2740" i="2" s="1"/>
  <c r="H2753" i="2" s="1"/>
  <c r="H2762" i="2" s="1"/>
  <c r="H2771" i="2" s="1"/>
  <c r="H2780" i="2" s="1"/>
  <c r="H2789" i="2" s="1"/>
  <c r="H2806" i="2" s="1"/>
  <c r="H2824" i="2" s="1"/>
  <c r="H2840" i="2" s="1"/>
  <c r="H2856" i="2" s="1"/>
  <c r="H2876" i="2" s="1"/>
  <c r="H2892" i="2" s="1"/>
  <c r="H2894" i="2" s="1"/>
  <c r="H2902" i="2" s="1"/>
  <c r="H2910" i="2" s="1"/>
  <c r="H2917" i="2" s="1"/>
  <c r="H2924" i="2" s="1"/>
  <c r="H2931" i="2" s="1"/>
  <c r="H2938" i="2" s="1"/>
  <c r="H2949" i="2" s="1"/>
  <c r="H2958" i="2" s="1"/>
  <c r="H2967" i="2" s="1"/>
  <c r="H2977" i="2" s="1"/>
  <c r="H2986" i="2" s="1"/>
  <c r="H2997" i="2" s="1"/>
  <c r="H3008" i="2" s="1"/>
  <c r="H3018" i="2" s="1"/>
  <c r="H3028" i="2" s="1"/>
  <c r="H3046" i="2" s="1"/>
  <c r="H3064" i="2" s="1"/>
  <c r="H3073" i="2" s="1"/>
  <c r="H3084" i="2" s="1"/>
  <c r="H3094" i="2" s="1"/>
  <c r="H3104" i="2" s="1"/>
  <c r="H3113" i="2" s="1"/>
  <c r="H3126" i="2" s="1"/>
  <c r="H3135" i="2" s="1"/>
  <c r="H3144" i="2" s="1"/>
  <c r="H3153" i="2" s="1"/>
  <c r="H3169" i="2" s="1"/>
  <c r="H3186" i="2" s="1"/>
  <c r="H3202" i="2" s="1"/>
  <c r="H3222" i="2" s="1"/>
  <c r="H3230" i="2" s="1"/>
  <c r="H3238" i="2" s="1"/>
  <c r="H3248" i="2" s="1"/>
  <c r="H3258" i="2" s="1"/>
  <c r="H3269" i="2" s="1"/>
  <c r="H3278" i="2" s="1"/>
  <c r="H3288" i="2" s="1"/>
  <c r="H3299" i="2" s="1"/>
  <c r="H3310" i="2" s="1"/>
  <c r="H3321" i="2" s="1"/>
  <c r="H3332" i="2" s="1"/>
  <c r="H3356" i="2" s="1"/>
  <c r="H3374" i="2" s="1"/>
  <c r="H3396" i="2" s="1"/>
  <c r="H3414" i="2" s="1"/>
  <c r="H3424" i="2" s="1"/>
  <c r="H3434" i="2" s="1"/>
  <c r="H3445" i="2" s="1"/>
  <c r="H3452" i="2" s="1"/>
  <c r="H3463" i="2" s="1"/>
  <c r="H3472" i="2" s="1"/>
  <c r="H3481" i="2" s="1"/>
  <c r="H3494" i="2" s="1"/>
  <c r="H3507" i="2" s="1"/>
  <c r="H3514" i="2" s="1"/>
  <c r="H3523" i="2" s="1"/>
  <c r="H3532" i="2" s="1"/>
  <c r="H3544" i="2" s="1"/>
  <c r="H3556" i="2" s="1"/>
  <c r="H3564" i="2" s="1"/>
  <c r="H3573" i="2" s="1"/>
  <c r="H3582" i="2" s="1"/>
  <c r="H3590" i="2" s="1"/>
  <c r="H3598" i="2" s="1"/>
  <c r="H3607" i="2" s="1"/>
  <c r="H3618" i="2" s="1"/>
  <c r="H3628" i="2" s="1"/>
  <c r="H3638" i="2" s="1"/>
  <c r="H3648" i="2" s="1"/>
  <c r="H3658" i="2" s="1"/>
  <c r="H3668" i="2" s="1"/>
  <c r="H3677" i="2" s="1"/>
  <c r="H3688" i="2" s="1"/>
  <c r="H3699" i="2" s="1"/>
  <c r="H3715" i="2" s="1"/>
  <c r="H3736" i="2" s="1"/>
  <c r="H3743" i="2" s="1"/>
  <c r="H3751" i="2" s="1"/>
  <c r="H3759" i="2" s="1"/>
  <c r="H3769" i="2" s="1"/>
  <c r="H3805" i="2" s="1"/>
  <c r="H3841" i="2" s="1"/>
  <c r="H3852" i="2" s="1"/>
  <c r="H3869" i="2" s="1"/>
  <c r="H3886" i="2" s="1"/>
  <c r="H3893" i="2" s="1"/>
  <c r="H3900" i="2" s="1"/>
  <c r="H3908" i="2" s="1"/>
  <c r="H3918" i="2" s="1"/>
  <c r="H3928" i="2" s="1"/>
  <c r="H3939" i="2" s="1"/>
  <c r="H3950" i="2" s="1"/>
  <c r="H3961" i="2" s="1"/>
  <c r="H3972" i="2" s="1"/>
  <c r="H3983" i="2" s="1"/>
  <c r="H3991" i="2" s="1"/>
  <c r="H3999" i="2" s="1"/>
  <c r="H4007" i="2" s="1"/>
  <c r="H4016" i="2" s="1"/>
  <c r="H4025" i="2" s="1"/>
  <c r="H4041" i="2" s="1"/>
  <c r="H4057" i="2" s="1"/>
  <c r="H4071" i="2" s="1"/>
  <c r="H4084" i="2" s="1"/>
  <c r="H4139" i="2" s="1"/>
  <c r="H4148" i="2" s="1"/>
  <c r="H4167" i="2" s="1"/>
  <c r="H4178" i="2" s="1"/>
  <c r="H4188" i="2" s="1"/>
  <c r="H4195" i="2" s="1"/>
  <c r="H4202" i="2" s="1"/>
  <c r="H4213" i="2" s="1"/>
  <c r="H4221" i="2" s="1"/>
  <c r="H4227" i="2" s="1"/>
  <c r="H4240" i="2" s="1"/>
  <c r="H4250" i="2" s="1"/>
  <c r="H4260" i="2" s="1"/>
  <c r="H4268" i="2" s="1"/>
  <c r="H4281" i="2" s="1"/>
  <c r="H4286" i="2" s="1"/>
  <c r="H4291" i="2" s="1"/>
  <c r="H4298" i="2" s="1"/>
  <c r="H4300" i="2" s="1"/>
  <c r="H4306" i="2" s="1"/>
  <c r="H4310" i="2" s="1"/>
  <c r="H4316" i="2" s="1"/>
  <c r="H4318" i="2" s="1"/>
  <c r="H4326" i="2" s="1"/>
  <c r="H4334" i="2" s="1"/>
  <c r="H4341" i="2" s="1"/>
  <c r="H4348" i="2" s="1"/>
  <c r="H4358" i="2" s="1"/>
  <c r="H4366" i="2" s="1"/>
  <c r="H4380" i="2" s="1"/>
  <c r="H4388" i="2" s="1"/>
  <c r="H4401" i="2" s="1"/>
  <c r="H4414" i="2" s="1"/>
  <c r="H4424" i="2" s="1"/>
  <c r="H4432" i="2" s="1"/>
  <c r="H4478" i="2" s="1"/>
  <c r="H4499" i="2" s="1"/>
  <c r="H4510" i="2" s="1"/>
  <c r="H4517" i="2" s="1"/>
  <c r="H4524" i="2" s="1"/>
  <c r="H4531" i="2" s="1"/>
  <c r="H4542" i="2" s="1"/>
  <c r="H4555" i="2" s="1"/>
  <c r="H4568" i="2" s="1"/>
  <c r="H4582" i="2" s="1"/>
  <c r="H4591" i="2" s="1"/>
  <c r="H4600" i="2" s="1"/>
  <c r="H4613" i="2" s="1"/>
  <c r="H4627" i="2" s="1"/>
  <c r="H4637" i="2" s="1"/>
  <c r="H4646" i="2" s="1"/>
  <c r="H4656" i="2" s="1"/>
  <c r="H4666" i="2" s="1"/>
  <c r="H4679" i="2" s="1"/>
  <c r="H4692" i="2" s="1"/>
  <c r="H4706" i="2" s="1"/>
  <c r="H4720" i="2" s="1"/>
  <c r="H4733" i="2" s="1"/>
  <c r="H4746" i="2" s="1"/>
  <c r="H4767" i="2" s="1"/>
  <c r="H4780" i="2" s="1"/>
  <c r="H4789" i="2" s="1"/>
  <c r="H4798" i="2" s="1"/>
  <c r="H4807" i="2" s="1"/>
  <c r="H4817" i="2" s="1"/>
  <c r="H4828" i="2" s="1"/>
  <c r="H4837" i="2" s="1"/>
  <c r="H4848" i="2" s="1"/>
  <c r="H4857" i="2" s="1"/>
  <c r="H4866" i="2" s="1"/>
  <c r="H4875" i="2" s="1"/>
  <c r="H4884" i="2" s="1"/>
  <c r="H4893" i="2" s="1"/>
  <c r="H4902" i="2" s="1"/>
  <c r="H4911" i="2" s="1"/>
  <c r="H4920" i="2" s="1"/>
  <c r="H4931" i="2" s="1"/>
  <c r="H4943" i="2" s="1"/>
  <c r="H4952" i="2" s="1"/>
  <c r="H4961" i="2" s="1"/>
  <c r="H4970" i="2" s="1"/>
  <c r="H4979" i="2" s="1"/>
  <c r="H4989" i="2" s="1"/>
  <c r="H4997" i="2" s="1"/>
  <c r="H5007" i="2" s="1"/>
  <c r="H5016" i="2" s="1"/>
  <c r="H5025" i="2" s="1"/>
  <c r="H5034" i="2" s="1"/>
  <c r="H5042" i="2" s="1"/>
  <c r="H5050" i="2" s="1"/>
  <c r="H5073" i="2" s="1"/>
  <c r="H5094" i="2" s="1"/>
  <c r="H5110" i="2" s="1"/>
  <c r="H5127" i="2" s="1"/>
  <c r="H5148" i="2" s="1"/>
  <c r="H5168" i="2" s="1"/>
  <c r="H5177" i="2" s="1"/>
  <c r="H5188" i="2" s="1"/>
  <c r="H5199" i="2" s="1"/>
  <c r="H5206" i="2" s="1"/>
  <c r="H5213" i="2" s="1"/>
  <c r="H5223" i="2" s="1"/>
  <c r="H5233" i="2" s="1"/>
  <c r="H5242" i="2" s="1"/>
  <c r="H5252" i="2" s="1"/>
  <c r="H5254" i="2" s="1"/>
  <c r="H5256" i="2" s="1"/>
  <c r="H5264" i="2" s="1"/>
  <c r="H5273" i="2" s="1"/>
  <c r="H5286" i="2" s="1"/>
  <c r="H5300" i="2" s="1"/>
  <c r="H5312" i="2" s="1"/>
  <c r="H5318" i="2" s="1"/>
  <c r="H5331" i="2" s="1"/>
  <c r="H5349" i="2" s="1"/>
  <c r="H5357" i="2" s="1"/>
  <c r="H5366" i="2" s="1"/>
  <c r="H5374" i="2" s="1"/>
  <c r="H5383" i="2" s="1"/>
  <c r="H5394" i="2" s="1"/>
  <c r="H5407" i="2" s="1"/>
  <c r="H5414" i="2" s="1"/>
  <c r="H5427" i="2" s="1"/>
  <c r="C33" i="2"/>
  <c r="H5477" i="2" l="1"/>
  <c r="H5480" i="2" s="1"/>
  <c r="H5481" i="2" s="1"/>
  <c r="H5483" i="2" s="1"/>
  <c r="H5484" i="2" s="1"/>
  <c r="H5486" i="2" s="1"/>
  <c r="H5498" i="2" s="1"/>
  <c r="H5501" i="2" s="1"/>
  <c r="H5502" i="2" s="1"/>
  <c r="H5503" i="2" s="1"/>
  <c r="H5504" i="2" s="1"/>
  <c r="H5505" i="2" s="1"/>
  <c r="H5506" i="2" s="1"/>
  <c r="H5507" i="2" s="1"/>
  <c r="H5508" i="2" s="1"/>
  <c r="H5509" i="2" s="1"/>
  <c r="H5510" i="2" s="1"/>
  <c r="H5511" i="2" s="1"/>
  <c r="H5512" i="2" s="1"/>
  <c r="H5541" i="2" s="1"/>
  <c r="H5551" i="2" s="1"/>
  <c r="H5564" i="2" s="1"/>
  <c r="H5570" i="2" s="1"/>
  <c r="H5571" i="2" s="1"/>
  <c r="H5573" i="2" s="1"/>
  <c r="H5575" i="2" s="1"/>
  <c r="H5577" i="2" s="1"/>
  <c r="H5578" i="2" s="1"/>
  <c r="H5579" i="2" s="1"/>
  <c r="H5580" i="2" s="1"/>
  <c r="H5581" i="2" s="1"/>
  <c r="H5582" i="2" s="1"/>
  <c r="H5583" i="2" s="1"/>
  <c r="H5584" i="2" s="1"/>
  <c r="H5585" i="2" s="1"/>
  <c r="H5586" i="2" s="1"/>
  <c r="H5587" i="2" s="1"/>
  <c r="H5589" i="2" s="1"/>
  <c r="H5592" i="2" s="1"/>
  <c r="H5596" i="2" s="1"/>
  <c r="H5600" i="2" s="1"/>
  <c r="H5604" i="2" s="1"/>
  <c r="H5606" i="2" s="1"/>
  <c r="H5611" i="2" s="1"/>
  <c r="C34" i="2"/>
  <c r="H5702" i="2" l="1"/>
  <c r="H5703" i="2" s="1"/>
  <c r="H5704" i="2" s="1"/>
  <c r="H5713" i="2" s="1"/>
  <c r="H5726" i="2" s="1"/>
  <c r="H5727" i="2" s="1"/>
  <c r="H5741" i="2" s="1"/>
  <c r="H5754" i="2" s="1"/>
  <c r="H5755" i="2" s="1"/>
  <c r="H5768" i="2" s="1"/>
  <c r="H5784" i="2" s="1"/>
  <c r="H5785" i="2" s="1"/>
  <c r="H5786" i="2" s="1"/>
  <c r="H5787" i="2" s="1"/>
  <c r="H5794" i="2" s="1"/>
  <c r="H5802" i="2" s="1"/>
  <c r="H5810" i="2" s="1"/>
  <c r="H5826" i="2" s="1"/>
  <c r="H5832" i="2" s="1"/>
  <c r="H5838" i="2" s="1"/>
  <c r="H5846" i="2" s="1"/>
  <c r="H5850" i="2" s="1"/>
  <c r="H5860" i="2" s="1"/>
  <c r="H5869" i="2" s="1"/>
  <c r="H5877" i="2" s="1"/>
  <c r="H5894" i="2" s="1"/>
  <c r="H5911" i="2" s="1"/>
  <c r="H5928" i="2" s="1"/>
  <c r="H5945" i="2" s="1"/>
  <c r="H5961" i="2" s="1"/>
  <c r="H5975" i="2" s="1"/>
  <c r="H5976" i="2" s="1"/>
  <c r="H5978" i="2" s="1"/>
  <c r="H5998" i="2" s="1"/>
  <c r="H6009" i="2" s="1"/>
  <c r="H6020" i="2" s="1"/>
  <c r="H6030" i="2" s="1"/>
  <c r="H6049" i="2" s="1"/>
  <c r="H6069" i="2" s="1"/>
  <c r="H6080" i="2" s="1"/>
  <c r="H6091" i="2" s="1"/>
  <c r="H6103" i="2" s="1"/>
  <c r="H6114" i="2" s="1"/>
  <c r="H6124" i="2" s="1"/>
  <c r="H6136" i="2" s="1"/>
  <c r="H6148" i="2" s="1"/>
  <c r="C35" i="2"/>
  <c r="C36" i="2" l="1"/>
  <c r="C37" i="2" l="1"/>
  <c r="C38" i="2" l="1"/>
  <c r="C39" i="2" l="1"/>
  <c r="C40" i="2" l="1"/>
  <c r="C41" i="2" l="1"/>
  <c r="C42" i="2" s="1"/>
  <c r="C43" i="2" s="1"/>
  <c r="C44" i="2" l="1"/>
  <c r="C45" i="2" s="1"/>
  <c r="C46" i="2" s="1"/>
  <c r="C47" i="2" s="1"/>
  <c r="C48" i="2" s="1"/>
  <c r="C49" i="2" s="1"/>
  <c r="C50" i="2" s="1"/>
  <c r="E4" i="2" l="1"/>
  <c r="E5" i="2"/>
  <c r="E20" i="2"/>
  <c r="E6" i="2"/>
  <c r="E28" i="2"/>
  <c r="E13" i="2"/>
  <c r="E25" i="2"/>
  <c r="E24" i="2"/>
  <c r="E7" i="2"/>
  <c r="E18" i="2"/>
  <c r="E10" i="2"/>
  <c r="E16" i="2"/>
  <c r="E19" i="2"/>
  <c r="E11" i="2"/>
  <c r="E14" i="2"/>
  <c r="E8" i="2"/>
  <c r="E22" i="2"/>
  <c r="E30" i="2"/>
  <c r="E29" i="2"/>
  <c r="E26" i="2"/>
  <c r="E15" i="2"/>
  <c r="E17" i="2"/>
  <c r="E9" i="2"/>
  <c r="E12" i="2"/>
  <c r="E31" i="2"/>
  <c r="E27" i="2"/>
  <c r="E23" i="2"/>
  <c r="E21" i="2"/>
  <c r="E33" i="2"/>
  <c r="E32" i="2"/>
  <c r="E34" i="2"/>
  <c r="E35" i="2"/>
  <c r="E39" i="2"/>
  <c r="E38" i="2"/>
  <c r="E37" i="2"/>
  <c r="E40" i="2"/>
  <c r="E43" i="2"/>
  <c r="E36" i="2"/>
  <c r="E42" i="2"/>
  <c r="E5615" i="2"/>
  <c r="E4333" i="2"/>
  <c r="E3980" i="2"/>
  <c r="E5315" i="2"/>
  <c r="E4126" i="2"/>
  <c r="E1102" i="2"/>
  <c r="E2221" i="2"/>
  <c r="E1257" i="2"/>
  <c r="E2526" i="2"/>
  <c r="E4099" i="2"/>
  <c r="E1278" i="2"/>
  <c r="E5092" i="2"/>
  <c r="E6074" i="2"/>
  <c r="E5562" i="2"/>
  <c r="E5553" i="2"/>
  <c r="E3770" i="2"/>
  <c r="E414" i="2"/>
  <c r="E3627" i="2"/>
  <c r="E420" i="2"/>
  <c r="E2163" i="2"/>
  <c r="E2268" i="2"/>
  <c r="E4872" i="2"/>
  <c r="E1152" i="2"/>
  <c r="E2700" i="2"/>
  <c r="E1847" i="2"/>
  <c r="E1565" i="2"/>
  <c r="E5747" i="2"/>
  <c r="E3343" i="2"/>
  <c r="E4134" i="2"/>
  <c r="E4833" i="2"/>
  <c r="E4002" i="2"/>
  <c r="E4348" i="2"/>
  <c r="E5906" i="2"/>
  <c r="E3821" i="2"/>
  <c r="E4793" i="2"/>
  <c r="E2061" i="2"/>
  <c r="E5737" i="2"/>
  <c r="E5059" i="2"/>
  <c r="E1836" i="2"/>
  <c r="E5318" i="2"/>
  <c r="E1517" i="2"/>
  <c r="E3463" i="2"/>
  <c r="E3312" i="2"/>
  <c r="E4618" i="2"/>
  <c r="E72" i="2"/>
  <c r="E5286" i="2"/>
  <c r="E1087" i="2"/>
  <c r="E3891" i="2"/>
  <c r="E1973" i="2"/>
  <c r="E5190" i="2"/>
  <c r="E3322" i="2"/>
  <c r="E5774" i="2"/>
  <c r="E4744" i="2"/>
  <c r="E3798" i="2"/>
  <c r="E3355" i="2"/>
  <c r="E3688" i="2"/>
  <c r="E2634" i="2"/>
  <c r="E1662" i="2"/>
  <c r="E56" i="2"/>
  <c r="E4760" i="2"/>
  <c r="E4519" i="2"/>
  <c r="E2051" i="2"/>
  <c r="E3600" i="2"/>
  <c r="E1476" i="2"/>
  <c r="E1520" i="2"/>
  <c r="E1903" i="2"/>
  <c r="E3365" i="2"/>
  <c r="E965" i="2"/>
  <c r="E5600" i="2"/>
  <c r="E6027" i="2"/>
  <c r="E2991" i="2"/>
  <c r="E5289" i="2"/>
  <c r="E5041" i="2"/>
  <c r="E5973" i="2"/>
  <c r="E154" i="2"/>
  <c r="E2222" i="2"/>
  <c r="E4078" i="2"/>
  <c r="E1740" i="2"/>
  <c r="E3239" i="2"/>
  <c r="E6048" i="2"/>
  <c r="E2029" i="2"/>
  <c r="E1794" i="2"/>
  <c r="E496" i="2"/>
  <c r="E3444" i="2"/>
  <c r="E5746" i="2"/>
  <c r="E1462" i="2"/>
  <c r="E1817" i="2"/>
  <c r="E2334" i="2"/>
  <c r="E1385" i="2"/>
  <c r="E1658" i="2"/>
  <c r="E5138" i="2"/>
  <c r="E4111" i="2"/>
  <c r="E819" i="2"/>
  <c r="E4900" i="2"/>
  <c r="E5888" i="2"/>
  <c r="E3133" i="2"/>
  <c r="E4079" i="2"/>
  <c r="E1262" i="2"/>
  <c r="E3497" i="2"/>
  <c r="E3357" i="2"/>
  <c r="E1423" i="2"/>
  <c r="E2887" i="2"/>
  <c r="E3372" i="2"/>
  <c r="E740" i="2"/>
  <c r="E2182" i="2"/>
  <c r="E2039" i="2"/>
  <c r="E3018" i="2"/>
  <c r="E3548" i="2"/>
  <c r="E1421" i="2"/>
  <c r="E4938" i="2"/>
  <c r="E2533" i="2"/>
  <c r="E4651" i="2"/>
  <c r="E2722" i="2"/>
  <c r="E5359" i="2"/>
  <c r="E3655" i="2"/>
  <c r="E1968" i="2"/>
  <c r="E281" i="2"/>
  <c r="E6112" i="2"/>
  <c r="E1010" i="2"/>
  <c r="E5833" i="2"/>
  <c r="E3795" i="2"/>
  <c r="E4100" i="2"/>
  <c r="E864" i="2"/>
  <c r="E1732" i="2"/>
  <c r="E3087" i="2"/>
  <c r="E3546" i="2"/>
  <c r="E4578" i="2"/>
  <c r="E1405" i="2"/>
  <c r="E3457" i="2"/>
  <c r="E4841" i="2"/>
  <c r="E3404" i="2"/>
  <c r="E3732" i="2"/>
  <c r="E4436" i="2"/>
  <c r="E3644" i="2"/>
  <c r="E2195" i="2"/>
  <c r="E1204" i="2"/>
  <c r="E87" i="2"/>
  <c r="E3136" i="2"/>
  <c r="E667" i="2"/>
  <c r="E3289" i="2"/>
  <c r="E1722" i="2"/>
  <c r="E3139" i="2"/>
  <c r="E4166" i="2"/>
  <c r="E3051" i="2"/>
  <c r="E1332" i="2"/>
  <c r="E70" i="2"/>
  <c r="E6013" i="2"/>
  <c r="E3311" i="2"/>
  <c r="E213" i="2"/>
  <c r="E828" i="2"/>
  <c r="E1522" i="2"/>
  <c r="E4383" i="2"/>
  <c r="E140" i="2"/>
  <c r="E4961" i="2"/>
  <c r="E741" i="2"/>
  <c r="E5563" i="2"/>
  <c r="E1827" i="2"/>
  <c r="E4507" i="2"/>
  <c r="E1876" i="2"/>
  <c r="E2501" i="2"/>
  <c r="E4781" i="2"/>
  <c r="E548" i="2"/>
  <c r="E525" i="2"/>
  <c r="E4786" i="2"/>
  <c r="E5140" i="2"/>
  <c r="E5139" i="2"/>
  <c r="E1260" i="2"/>
  <c r="E617" i="2"/>
  <c r="E6077" i="2"/>
  <c r="E3541" i="2"/>
  <c r="E1855" i="2"/>
  <c r="E1265" i="2"/>
  <c r="E3295" i="2"/>
  <c r="E3611" i="2"/>
  <c r="E3880" i="2"/>
  <c r="E663" i="2"/>
  <c r="E3244" i="2"/>
  <c r="E1647" i="2"/>
  <c r="E3532" i="2"/>
  <c r="E1715" i="2"/>
  <c r="E5630" i="2"/>
  <c r="E4404" i="2"/>
  <c r="E1077" i="2"/>
  <c r="E3161" i="2"/>
  <c r="E3833" i="2"/>
  <c r="E4848" i="2"/>
  <c r="E2367" i="2"/>
  <c r="E4529" i="2"/>
  <c r="E1674" i="2"/>
  <c r="E2473" i="2"/>
  <c r="E2066" i="2"/>
  <c r="E5304" i="2"/>
  <c r="E3014" i="2"/>
  <c r="E877" i="2"/>
  <c r="E3441" i="2"/>
  <c r="E5297" i="2"/>
  <c r="E4560" i="2"/>
  <c r="E462" i="2"/>
  <c r="E4243" i="2"/>
  <c r="E182" i="2"/>
  <c r="E4208" i="2"/>
  <c r="E1800" i="2"/>
  <c r="E3775" i="2"/>
  <c r="E3109" i="2"/>
  <c r="E2128" i="2"/>
  <c r="E1323" i="2"/>
  <c r="E1688" i="2"/>
  <c r="E1515" i="2"/>
  <c r="E809" i="2"/>
  <c r="E598" i="2"/>
  <c r="E758" i="2"/>
  <c r="E2595" i="2"/>
  <c r="E5105" i="2"/>
  <c r="E1917" i="2"/>
  <c r="E2839" i="2"/>
  <c r="E5904" i="2"/>
  <c r="E2257" i="2"/>
  <c r="E3602" i="2"/>
  <c r="E2844" i="2"/>
  <c r="E2127" i="2"/>
  <c r="E4498" i="2"/>
  <c r="E872" i="2"/>
  <c r="E587" i="2"/>
  <c r="E3402" i="2"/>
  <c r="E4509" i="2"/>
  <c r="E1457" i="2"/>
  <c r="E243" i="2"/>
  <c r="E3240" i="2"/>
  <c r="E295" i="2"/>
  <c r="E6010" i="2"/>
  <c r="E5885" i="2"/>
  <c r="E2842" i="2"/>
  <c r="E3539" i="2"/>
  <c r="E4753" i="2"/>
  <c r="E3573" i="2"/>
  <c r="E5624" i="2"/>
  <c r="E2108" i="2"/>
  <c r="E2656" i="2"/>
  <c r="E2917" i="2"/>
  <c r="E1991" i="2"/>
  <c r="E4206" i="2"/>
  <c r="E4646" i="2"/>
  <c r="E2921" i="2"/>
  <c r="E5446" i="2"/>
  <c r="E1239" i="2"/>
  <c r="E1497" i="2"/>
  <c r="E5347" i="2"/>
  <c r="E4950" i="2"/>
  <c r="E5500" i="2"/>
  <c r="E4795" i="2"/>
  <c r="E48" i="2"/>
  <c r="E6138" i="2"/>
  <c r="E4212" i="2"/>
  <c r="E2555" i="2"/>
  <c r="E4151" i="2"/>
  <c r="E2854" i="2"/>
  <c r="E5928" i="2"/>
  <c r="E1410" i="2"/>
  <c r="E406" i="2"/>
  <c r="E2609" i="2"/>
  <c r="E4168" i="2"/>
  <c r="E1765" i="2"/>
  <c r="E5592" i="2"/>
  <c r="E708" i="2"/>
  <c r="E925" i="2"/>
  <c r="E2080" i="2"/>
  <c r="E1198" i="2"/>
  <c r="E1050" i="2"/>
  <c r="E4851" i="2"/>
  <c r="E1424" i="2"/>
  <c r="E2261" i="2"/>
  <c r="E269" i="2"/>
  <c r="E2981" i="2"/>
  <c r="E6039" i="2"/>
  <c r="E2430" i="2"/>
  <c r="E4750" i="2"/>
  <c r="E2338" i="2"/>
  <c r="E3481" i="2"/>
  <c r="E5501" i="2"/>
  <c r="E3477" i="2"/>
  <c r="E1007" i="2"/>
  <c r="E1694" i="2"/>
  <c r="E2079" i="2"/>
  <c r="E4448" i="2"/>
  <c r="E199" i="2"/>
  <c r="E4077" i="2"/>
  <c r="E5129" i="2"/>
  <c r="E3340" i="2"/>
  <c r="E1725" i="2"/>
  <c r="E5716" i="2"/>
  <c r="E4630" i="2"/>
  <c r="E1076" i="2"/>
  <c r="E3325" i="2"/>
  <c r="E446" i="2"/>
  <c r="E5125" i="2"/>
  <c r="E2520" i="2"/>
  <c r="E3445" i="2"/>
  <c r="E1772" i="2"/>
  <c r="E2445" i="2"/>
  <c r="E4690" i="2"/>
  <c r="E1303" i="2"/>
  <c r="E4949" i="2"/>
  <c r="E4620" i="2"/>
  <c r="E274" i="2"/>
  <c r="E1886" i="2"/>
  <c r="E1258" i="2"/>
  <c r="E2392" i="2"/>
  <c r="E1364" i="2"/>
  <c r="E569" i="2"/>
  <c r="E2775" i="2"/>
  <c r="E6057" i="2"/>
  <c r="E1714" i="2"/>
  <c r="E5684" i="2"/>
  <c r="E2531" i="2"/>
  <c r="E5191" i="2"/>
  <c r="E3096" i="2"/>
  <c r="E2102" i="2"/>
  <c r="E1813" i="2"/>
  <c r="E4931" i="2"/>
  <c r="E4006" i="2"/>
  <c r="E1919" i="2"/>
  <c r="E1810" i="2"/>
  <c r="E1445" i="2"/>
  <c r="E5845" i="2"/>
  <c r="E1124" i="2"/>
  <c r="E3837" i="2"/>
  <c r="E5841" i="2"/>
  <c r="E3158" i="2"/>
  <c r="E1212" i="2"/>
  <c r="E1233" i="2"/>
  <c r="E5735" i="2"/>
  <c r="E6149" i="2"/>
  <c r="E4487" i="2"/>
  <c r="E3722" i="2"/>
  <c r="E5032" i="2"/>
  <c r="E5565" i="2"/>
  <c r="E1727" i="2"/>
  <c r="E1867" i="2"/>
  <c r="E3559" i="2"/>
  <c r="E4812" i="2"/>
  <c r="E3681" i="2"/>
  <c r="E4808" i="2"/>
  <c r="E4840" i="2"/>
  <c r="E5097" i="2"/>
  <c r="E3354" i="2"/>
  <c r="E1894" i="2"/>
  <c r="E4711" i="2"/>
  <c r="E5908" i="2"/>
  <c r="E167" i="2"/>
  <c r="E1060" i="2"/>
  <c r="E4249" i="2"/>
  <c r="E3242" i="2"/>
  <c r="E5174" i="2"/>
  <c r="E4102" i="2"/>
  <c r="E2053" i="2"/>
  <c r="E3054" i="2"/>
  <c r="E5474" i="2"/>
  <c r="E3189" i="2"/>
  <c r="E1559" i="2"/>
  <c r="E372" i="2"/>
  <c r="E4095" i="2"/>
  <c r="E2708" i="2"/>
  <c r="E4622" i="2"/>
  <c r="E5556" i="2"/>
  <c r="E4130" i="2"/>
  <c r="E1940" i="2"/>
  <c r="E5145" i="2"/>
  <c r="E3972" i="2"/>
  <c r="E2418" i="2"/>
  <c r="E5052" i="2"/>
  <c r="E1480" i="2"/>
  <c r="E928" i="2"/>
  <c r="E3808" i="2"/>
  <c r="E2028" i="2"/>
  <c r="E520" i="2"/>
  <c r="E5783" i="2"/>
  <c r="E5980" i="2"/>
  <c r="E3971" i="2"/>
  <c r="E751" i="2"/>
  <c r="E3053" i="2"/>
  <c r="E2253" i="2"/>
  <c r="E3873" i="2"/>
  <c r="E5367" i="2"/>
  <c r="E4595" i="2"/>
  <c r="E3610" i="2"/>
  <c r="E933" i="2"/>
  <c r="E1834" i="2"/>
  <c r="E1513" i="2"/>
  <c r="E373" i="2"/>
  <c r="E731" i="2"/>
  <c r="E1431" i="2"/>
  <c r="E4005" i="2"/>
  <c r="E5494" i="2"/>
  <c r="E3043" i="2"/>
  <c r="E895" i="2"/>
  <c r="E5199" i="2"/>
  <c r="E5742" i="2"/>
  <c r="E3516" i="2"/>
  <c r="E3326" i="2"/>
  <c r="E2568" i="2"/>
  <c r="E2424" i="2"/>
  <c r="E3551" i="2"/>
  <c r="E2241" i="2"/>
  <c r="E1073" i="2"/>
  <c r="E5277" i="2"/>
  <c r="E6044" i="2"/>
  <c r="E2088" i="2"/>
  <c r="E5522" i="2"/>
  <c r="E4160" i="2"/>
  <c r="E2740" i="2"/>
  <c r="E3874" i="2"/>
  <c r="E2867" i="2"/>
  <c r="E4776" i="2"/>
  <c r="E3735" i="2"/>
  <c r="E3671" i="2"/>
  <c r="E1510" i="2"/>
  <c r="E3721" i="2"/>
  <c r="E2703" i="2"/>
  <c r="E3515" i="2"/>
  <c r="E3036" i="2"/>
  <c r="E3300" i="2"/>
  <c r="E4508" i="2"/>
  <c r="E3144" i="2"/>
  <c r="E1939" i="2"/>
  <c r="E4698" i="2"/>
  <c r="E585" i="2"/>
  <c r="E4042" i="2"/>
  <c r="E5614" i="2"/>
  <c r="E3446" i="2"/>
  <c r="E935" i="2"/>
  <c r="E356" i="2"/>
  <c r="E1344" i="2"/>
  <c r="E3232" i="2"/>
  <c r="E2766" i="2"/>
  <c r="E2087" i="2"/>
  <c r="E3025" i="2"/>
  <c r="E2822" i="2"/>
  <c r="E3331" i="2"/>
  <c r="E1723" i="2"/>
  <c r="E5170" i="2"/>
  <c r="E756" i="2"/>
  <c r="E159" i="2"/>
  <c r="E3784" i="2"/>
  <c r="E3613" i="2"/>
  <c r="E5332" i="2"/>
  <c r="E557" i="2"/>
  <c r="E903" i="2"/>
  <c r="E4974" i="2"/>
  <c r="E2086" i="2"/>
  <c r="E217" i="2"/>
  <c r="E3995" i="2"/>
  <c r="E1601" i="2"/>
  <c r="E1686" i="2"/>
  <c r="E4085" i="2"/>
  <c r="E2899" i="2"/>
  <c r="E1716" i="2"/>
  <c r="E1051" i="2"/>
  <c r="E3091" i="2"/>
  <c r="E3209" i="2"/>
  <c r="E1231" i="2"/>
  <c r="E3424" i="2"/>
  <c r="E766" i="2"/>
  <c r="E3733" i="2"/>
  <c r="E2554" i="2"/>
  <c r="E3200" i="2"/>
  <c r="E1200" i="2"/>
  <c r="E3884" i="2"/>
  <c r="E307" i="2"/>
  <c r="E2278" i="2"/>
  <c r="E5167" i="2"/>
  <c r="E41" i="2"/>
  <c r="E4271" i="2"/>
  <c r="E5122" i="2"/>
  <c r="E405" i="2"/>
  <c r="E1960" i="2"/>
  <c r="E1176" i="2"/>
  <c r="E3154" i="2"/>
  <c r="E384" i="2"/>
  <c r="E4838" i="2"/>
  <c r="E4195" i="2"/>
  <c r="E2497" i="2"/>
  <c r="E2292" i="2"/>
  <c r="E1383" i="2"/>
  <c r="E1290" i="2"/>
  <c r="E1017" i="2"/>
  <c r="E2302" i="2"/>
  <c r="E3577" i="2"/>
  <c r="E4261" i="2"/>
  <c r="E2506" i="2"/>
  <c r="E2764" i="2"/>
  <c r="E4401" i="2"/>
  <c r="E2319" i="2"/>
  <c r="E3670" i="2"/>
  <c r="E2139" i="2"/>
  <c r="E2449" i="2"/>
  <c r="E2159" i="2"/>
  <c r="E1202" i="2"/>
  <c r="E3088" i="2"/>
  <c r="E6102" i="2"/>
  <c r="E1534" i="2"/>
  <c r="E2269" i="2"/>
  <c r="E2006" i="2"/>
  <c r="E1652" i="2"/>
  <c r="E4301" i="2"/>
  <c r="E3001" i="2"/>
  <c r="E3399" i="2"/>
  <c r="E1828" i="2"/>
  <c r="E5560" i="2"/>
  <c r="E1439" i="2"/>
  <c r="E2229" i="2"/>
  <c r="E2198" i="2"/>
  <c r="E1868" i="2"/>
  <c r="E5320" i="2"/>
  <c r="E4790" i="2"/>
  <c r="E1972" i="2"/>
  <c r="E2603" i="2"/>
  <c r="E4665" i="2"/>
  <c r="E5947" i="2"/>
  <c r="E2876" i="2"/>
  <c r="E4634" i="2"/>
  <c r="E4150" i="2"/>
  <c r="E4835" i="2"/>
  <c r="E375" i="2"/>
  <c r="E3769" i="2"/>
  <c r="E2118" i="2"/>
  <c r="E1416" i="2"/>
  <c r="E5714" i="2"/>
  <c r="E3072" i="2"/>
  <c r="E1268" i="2"/>
  <c r="E5102" i="2"/>
  <c r="E5313" i="2"/>
  <c r="E2970" i="2"/>
  <c r="E3745" i="2"/>
  <c r="E2516" i="2"/>
  <c r="E1395" i="2"/>
  <c r="E3004" i="2"/>
  <c r="E1639" i="2"/>
  <c r="E3218" i="2"/>
  <c r="E1220" i="2"/>
  <c r="E2242" i="2"/>
  <c r="E1966" i="2"/>
  <c r="E4326" i="2"/>
  <c r="E3932" i="2"/>
  <c r="E4587" i="2"/>
  <c r="E2407" i="2"/>
  <c r="E2199" i="2"/>
  <c r="E4867" i="2"/>
  <c r="E2976" i="2"/>
  <c r="E1402" i="2"/>
  <c r="E2892" i="2"/>
  <c r="E2296" i="2"/>
  <c r="E1736" i="2"/>
  <c r="E4300" i="2"/>
  <c r="E2826" i="2"/>
  <c r="E2437" i="2"/>
  <c r="E3852" i="2"/>
  <c r="E5491" i="2"/>
  <c r="E3593" i="2"/>
  <c r="E6058" i="2"/>
  <c r="E1754" i="2"/>
  <c r="E4205" i="2"/>
  <c r="E3523" i="2"/>
  <c r="E4211" i="2"/>
  <c r="E728" i="2"/>
  <c r="E2146" i="2"/>
  <c r="E3346" i="2"/>
  <c r="E4479" i="2"/>
  <c r="E5797" i="2"/>
  <c r="E1092" i="2"/>
  <c r="E1352" i="2"/>
  <c r="E568" i="2"/>
  <c r="E1832" i="2"/>
  <c r="E2563" i="2"/>
  <c r="E1235" i="2"/>
  <c r="E3585" i="2"/>
  <c r="E979" i="2"/>
  <c r="E2796" i="2"/>
  <c r="E2607" i="2"/>
  <c r="E3278" i="2"/>
  <c r="E2362" i="2"/>
  <c r="E562" i="2"/>
  <c r="E2879" i="2"/>
  <c r="E5868" i="2"/>
  <c r="E1098" i="2"/>
  <c r="E2305" i="2"/>
  <c r="E1557" i="2"/>
  <c r="E687" i="2"/>
  <c r="E3855" i="2"/>
  <c r="E2857" i="2"/>
  <c r="E1108" i="2"/>
  <c r="E2874" i="2"/>
  <c r="E2827" i="2"/>
  <c r="E5262" i="2"/>
  <c r="E3353" i="2"/>
  <c r="E4422" i="2"/>
  <c r="E2429" i="2"/>
  <c r="E4250" i="2"/>
  <c r="E3120" i="2"/>
  <c r="E2353" i="2"/>
  <c r="E4895" i="2"/>
  <c r="E4601" i="2"/>
  <c r="E1753" i="2"/>
  <c r="E4745" i="2"/>
  <c r="E2730" i="2"/>
  <c r="E2973" i="2"/>
  <c r="E1924" i="2"/>
  <c r="E859" i="2"/>
  <c r="E917" i="2"/>
  <c r="E5964" i="2"/>
  <c r="E1055" i="2"/>
  <c r="E5485" i="2"/>
  <c r="E2390" i="2"/>
  <c r="E3092" i="2"/>
  <c r="E5954" i="2"/>
  <c r="E4291" i="2"/>
  <c r="E5204" i="2"/>
  <c r="E3760" i="2"/>
  <c r="E2432" i="2"/>
  <c r="E1938" i="2"/>
  <c r="E137" i="2"/>
  <c r="E6119" i="2"/>
  <c r="E3490" i="2"/>
  <c r="E1540" i="2"/>
  <c r="E3716" i="2"/>
  <c r="E3308" i="2"/>
  <c r="E4935" i="2"/>
  <c r="E4951" i="2"/>
  <c r="E4229" i="2"/>
  <c r="E4298" i="2"/>
  <c r="E2741" i="2"/>
  <c r="E5664" i="2"/>
  <c r="E726" i="2"/>
  <c r="E1518" i="2"/>
  <c r="E402" i="2"/>
  <c r="E4216" i="2"/>
  <c r="E2277" i="2"/>
  <c r="E1508" i="2"/>
  <c r="E1056" i="2"/>
  <c r="E5400" i="2"/>
  <c r="E2831" i="2"/>
  <c r="E3148" i="2"/>
  <c r="E2956" i="2"/>
  <c r="E1401" i="2"/>
  <c r="E2778" i="2"/>
  <c r="E4440" i="2"/>
  <c r="E2824" i="2"/>
  <c r="E4997" i="2"/>
  <c r="E2685" i="2"/>
  <c r="E4571" i="2"/>
  <c r="E910" i="2"/>
  <c r="E1080" i="2"/>
  <c r="E4024" i="2"/>
  <c r="E1161" i="2"/>
  <c r="E3034" i="2"/>
  <c r="E2048" i="2"/>
  <c r="E6015" i="2"/>
  <c r="E4397" i="2"/>
  <c r="E1442" i="2"/>
  <c r="E4821" i="2"/>
  <c r="E3356" i="2"/>
  <c r="E2963" i="2"/>
  <c r="E2864" i="2"/>
  <c r="E287" i="2"/>
  <c r="E883" i="2"/>
  <c r="E2073" i="2"/>
  <c r="E4730" i="2"/>
  <c r="E1923" i="2"/>
  <c r="E309" i="2"/>
  <c r="E4489" i="2"/>
  <c r="E3647" i="2"/>
  <c r="E4617" i="2"/>
  <c r="E3456" i="2"/>
  <c r="E3277" i="2"/>
  <c r="E3206" i="2"/>
  <c r="E3587" i="2"/>
  <c r="E510" i="2"/>
  <c r="E1499" i="2"/>
  <c r="E1576" i="2"/>
  <c r="E5697" i="2"/>
  <c r="E981" i="2"/>
  <c r="E5859" i="2"/>
  <c r="E4253" i="2"/>
  <c r="E2077" i="2"/>
  <c r="E5753" i="2"/>
  <c r="E2476" i="2"/>
  <c r="E3783" i="2"/>
  <c r="E671" i="2"/>
  <c r="E900" i="2"/>
  <c r="E691" i="2"/>
  <c r="E3254" i="2"/>
  <c r="E4965" i="2"/>
  <c r="E4316" i="2"/>
  <c r="E893" i="2"/>
  <c r="E2258" i="2"/>
  <c r="E358" i="2"/>
  <c r="E1946" i="2"/>
  <c r="E3193" i="2"/>
  <c r="E4357" i="2"/>
  <c r="E2335" i="2"/>
  <c r="E2901" i="2"/>
  <c r="E641" i="2"/>
  <c r="E1184" i="2"/>
  <c r="E4065" i="2"/>
  <c r="E647" i="2"/>
  <c r="E120" i="2"/>
  <c r="E2534" i="2"/>
  <c r="E3223" i="2"/>
  <c r="E1654" i="2"/>
  <c r="E3787" i="2"/>
  <c r="E5686" i="2"/>
  <c r="E1296" i="2"/>
  <c r="E2909" i="2"/>
  <c r="E263" i="2"/>
  <c r="E2994" i="2"/>
  <c r="E572" i="2"/>
  <c r="E3155" i="2"/>
  <c r="E4088" i="2"/>
  <c r="E661" i="2"/>
  <c r="E5919" i="2"/>
  <c r="E5706" i="2"/>
  <c r="E4969" i="2"/>
  <c r="E5713" i="2"/>
  <c r="E1907" i="2"/>
  <c r="E639" i="2"/>
  <c r="E1935" i="2"/>
  <c r="E3398" i="2"/>
  <c r="E2370" i="2"/>
  <c r="E1651" i="2"/>
  <c r="E2871" i="2"/>
  <c r="E5256" i="2"/>
  <c r="E1756" i="2"/>
  <c r="E2107" i="2"/>
  <c r="E4738" i="2"/>
  <c r="E2220" i="2"/>
  <c r="E394" i="2"/>
  <c r="E4546" i="2"/>
  <c r="E3321" i="2"/>
  <c r="E2461" i="2"/>
  <c r="E3772" i="2"/>
  <c r="E2636" i="2"/>
  <c r="E2120" i="2"/>
  <c r="E2756" i="2"/>
  <c r="E1809" i="2"/>
  <c r="E5171" i="2"/>
  <c r="E2791" i="2"/>
  <c r="E1620" i="2"/>
  <c r="E3794" i="2"/>
  <c r="E4246" i="2"/>
  <c r="E1177" i="2"/>
  <c r="E240" i="2"/>
  <c r="E2515" i="2"/>
  <c r="E2911" i="2"/>
  <c r="E5655" i="2"/>
  <c r="E3761" i="2"/>
  <c r="E1977" i="2"/>
  <c r="E2907" i="2"/>
  <c r="E2601" i="2"/>
  <c r="E3937" i="2"/>
  <c r="E2813" i="2"/>
  <c r="E4080" i="2"/>
  <c r="E4557" i="2"/>
  <c r="E365" i="2"/>
  <c r="E2942" i="2"/>
  <c r="E2464" i="2"/>
  <c r="E2594" i="2"/>
  <c r="E5080" i="2"/>
  <c r="E3886" i="2"/>
  <c r="E4599" i="2"/>
  <c r="E2612" i="2"/>
  <c r="E4922" i="2"/>
  <c r="E3848" i="2"/>
  <c r="E1558" i="2"/>
  <c r="E2669" i="2"/>
  <c r="E1174" i="2"/>
  <c r="E3377" i="2"/>
  <c r="E3749" i="2"/>
  <c r="E5040" i="2"/>
  <c r="E2479" i="2"/>
  <c r="E1154" i="2"/>
  <c r="E4172" i="2"/>
  <c r="E3813" i="2"/>
  <c r="E2433" i="2"/>
  <c r="E2983" i="2"/>
  <c r="E5350" i="2"/>
  <c r="E2480" i="2"/>
  <c r="E5617" i="2"/>
  <c r="E3713" i="2"/>
  <c r="E4145" i="2"/>
  <c r="E5994" i="2"/>
  <c r="E763" i="2"/>
  <c r="E2132" i="2"/>
  <c r="E3276" i="2"/>
  <c r="E4871" i="2"/>
  <c r="E3238" i="2"/>
  <c r="E2611" i="2"/>
  <c r="E5027" i="2"/>
  <c r="E643" i="2"/>
  <c r="E2757" i="2"/>
  <c r="E5840" i="2"/>
  <c r="E1933" i="2"/>
  <c r="E5584" i="2"/>
  <c r="E5268" i="2"/>
  <c r="E3588" i="2"/>
  <c r="E4804" i="2"/>
  <c r="E5416" i="2"/>
  <c r="E1801" i="2"/>
  <c r="E6003" i="2"/>
  <c r="E2314" i="2"/>
  <c r="E963" i="2"/>
  <c r="E4273" i="2"/>
  <c r="E2644" i="2"/>
  <c r="E1619" i="2"/>
  <c r="E2862" i="2"/>
  <c r="E3262" i="2"/>
  <c r="E5017" i="2"/>
  <c r="E4353" i="2"/>
  <c r="E5259" i="2"/>
  <c r="E2192" i="2"/>
  <c r="E4016" i="2"/>
  <c r="E800" i="2"/>
  <c r="E1337" i="2"/>
  <c r="E345" i="2"/>
  <c r="E3280" i="2"/>
  <c r="E1718" i="2"/>
  <c r="E3413" i="2"/>
  <c r="E293" i="2"/>
  <c r="E943" i="2"/>
  <c r="E3629" i="2"/>
  <c r="E1927" i="2"/>
  <c r="E4787" i="2"/>
  <c r="E3919" i="2"/>
  <c r="E669" i="2"/>
  <c r="E5106" i="2"/>
  <c r="E2616" i="2"/>
  <c r="E625" i="2"/>
  <c r="E3140" i="2"/>
  <c r="E2038" i="2"/>
  <c r="E1049" i="2"/>
  <c r="E1347" i="2"/>
  <c r="E3558" i="2"/>
  <c r="E4537" i="2"/>
  <c r="E4121" i="2"/>
  <c r="E1004" i="2"/>
  <c r="E1611" i="2"/>
  <c r="E5362" i="2"/>
  <c r="E1665" i="2"/>
  <c r="E519" i="2"/>
  <c r="E4731" i="2"/>
  <c r="E1667" i="2"/>
  <c r="E2698" i="2"/>
  <c r="E3922" i="2"/>
  <c r="E2893" i="2"/>
  <c r="E6056" i="2"/>
  <c r="E1535" i="2"/>
  <c r="E313" i="2"/>
  <c r="E426" i="2"/>
  <c r="E951" i="2"/>
  <c r="E5114" i="2"/>
  <c r="E495" i="2"/>
  <c r="E4953" i="2"/>
  <c r="E3204" i="2"/>
  <c r="E5883" i="2"/>
  <c r="E2870" i="2"/>
  <c r="E5023" i="2"/>
  <c r="E3428" i="2"/>
  <c r="E2333" i="2"/>
  <c r="E4647" i="2"/>
  <c r="E2677" i="2"/>
  <c r="E5846" i="2"/>
  <c r="E4207" i="2"/>
  <c r="E6096" i="2"/>
  <c r="E1626" i="2"/>
  <c r="E3069" i="2"/>
  <c r="E2456" i="2"/>
  <c r="E4918" i="2"/>
  <c r="E3422" i="2"/>
  <c r="E5951" i="2"/>
  <c r="E4648" i="2"/>
  <c r="E4721" i="2"/>
  <c r="E1591" i="2"/>
  <c r="E5508" i="2"/>
  <c r="E946" i="2"/>
  <c r="E2187" i="2"/>
  <c r="E1841" i="2"/>
  <c r="E4534" i="2"/>
  <c r="E2929" i="2"/>
  <c r="E1703" i="2"/>
  <c r="E5433" i="2"/>
  <c r="E4602" i="2"/>
  <c r="E3020" i="2"/>
  <c r="E1276" i="2"/>
  <c r="E1490" i="2"/>
  <c r="E5331" i="2"/>
  <c r="E1331" i="2"/>
  <c r="E346" i="2"/>
  <c r="E845" i="2"/>
  <c r="E3793" i="2"/>
  <c r="E4449" i="2"/>
  <c r="E1341" i="2"/>
  <c r="E3316" i="2"/>
  <c r="E2713" i="2"/>
  <c r="E3098" i="2"/>
  <c r="E4308" i="2"/>
  <c r="E323" i="2"/>
  <c r="E1818" i="2"/>
  <c r="E2836" i="2"/>
  <c r="E3452" i="2"/>
  <c r="E2122" i="2"/>
  <c r="E704" i="2"/>
  <c r="E1588" i="2"/>
  <c r="E2579" i="2"/>
  <c r="E4785" i="2"/>
  <c r="E3832" i="2"/>
  <c r="E3468" i="2"/>
  <c r="E516" i="2"/>
  <c r="E6052" i="2"/>
  <c r="E4986" i="2"/>
  <c r="E633" i="2"/>
  <c r="E6139" i="2"/>
  <c r="E3078" i="2"/>
  <c r="E3693" i="2"/>
  <c r="E5452" i="2"/>
  <c r="E1955" i="2"/>
  <c r="E1890" i="2"/>
  <c r="E2950" i="2"/>
  <c r="E3846" i="2"/>
  <c r="E2443" i="2"/>
  <c r="E2632" i="2"/>
  <c r="E5605" i="2"/>
  <c r="E4072" i="2"/>
  <c r="E2081" i="2"/>
  <c r="E738" i="2"/>
  <c r="E4898" i="2"/>
  <c r="E5922" i="2"/>
  <c r="E3304" i="2"/>
  <c r="E4839" i="2"/>
  <c r="E1672" i="2"/>
  <c r="E81" i="2"/>
  <c r="E5396" i="2"/>
  <c r="E5240" i="2"/>
  <c r="E650" i="2"/>
  <c r="E5096" i="2"/>
  <c r="E4930" i="2"/>
  <c r="E807" i="2"/>
  <c r="E1766" i="2"/>
  <c r="E4092" i="2"/>
  <c r="E4453" i="2"/>
  <c r="E4282" i="2"/>
  <c r="E3067" i="2"/>
  <c r="E1673" i="2"/>
  <c r="E4251" i="2"/>
  <c r="E5853" i="2"/>
  <c r="E1292" i="2"/>
  <c r="E1539" i="2"/>
  <c r="E784" i="2"/>
  <c r="E4675" i="2"/>
  <c r="E2499" i="2"/>
  <c r="E1783" i="2"/>
  <c r="E3070" i="2"/>
  <c r="E1733" i="2"/>
  <c r="E5293" i="2"/>
  <c r="E3237" i="2"/>
  <c r="E228" i="2"/>
  <c r="E743" i="2"/>
  <c r="E2207" i="2"/>
  <c r="E5725" i="2"/>
  <c r="E2451" i="2"/>
  <c r="E3085" i="2"/>
  <c r="E2289" i="2"/>
  <c r="E5223" i="2"/>
  <c r="E3958" i="2"/>
  <c r="E3327" i="2"/>
  <c r="E1375" i="2"/>
  <c r="E90" i="2"/>
  <c r="E2736" i="2"/>
  <c r="E1904" i="2"/>
  <c r="E2323" i="2"/>
  <c r="E196" i="2"/>
  <c r="E3175" i="2"/>
  <c r="E1950" i="2"/>
  <c r="E4474" i="2"/>
  <c r="E1544" i="2"/>
  <c r="E6121" i="2"/>
  <c r="E4372" i="2"/>
  <c r="E700" i="2"/>
  <c r="E324" i="2"/>
  <c r="E2165" i="2"/>
  <c r="E2681" i="2"/>
  <c r="E1293" i="2"/>
  <c r="E3981" i="2"/>
  <c r="E2188" i="2"/>
  <c r="E179" i="2"/>
  <c r="E5224" i="2"/>
  <c r="E1956" i="2"/>
  <c r="E5175" i="2"/>
  <c r="E2952" i="2"/>
  <c r="E3479" i="2"/>
  <c r="E2214" i="2"/>
  <c r="E5683" i="2"/>
  <c r="E4566" i="2"/>
  <c r="E4076" i="2"/>
  <c r="E3373" i="2"/>
  <c r="E5197" i="2"/>
  <c r="E3119" i="2"/>
  <c r="E3984" i="2"/>
  <c r="E2922" i="2"/>
  <c r="E5933" i="2"/>
  <c r="E1913" i="2"/>
  <c r="E2939" i="2"/>
  <c r="E1137" i="2"/>
  <c r="E245" i="2"/>
  <c r="E4827" i="2"/>
  <c r="E2724" i="2"/>
  <c r="E379" i="2"/>
  <c r="E1616" i="2"/>
  <c r="E2777" i="2"/>
  <c r="E5622" i="2"/>
  <c r="E1798" i="2"/>
  <c r="E3768" i="2"/>
  <c r="E4236" i="2"/>
  <c r="E4402" i="2"/>
  <c r="E4259" i="2"/>
  <c r="E682" i="2"/>
  <c r="E4458" i="2"/>
  <c r="E5478" i="2"/>
  <c r="E1717" i="2"/>
  <c r="E3921" i="2"/>
  <c r="E4117" i="2"/>
  <c r="E3684" i="2"/>
  <c r="E6069" i="2"/>
  <c r="E4925" i="2"/>
  <c r="E2410" i="2"/>
  <c r="E4847" i="2"/>
  <c r="E3332" i="2"/>
  <c r="E2583" i="2"/>
  <c r="E975" i="2"/>
  <c r="E4828" i="2"/>
  <c r="E3128" i="2"/>
  <c r="E4027" i="2"/>
  <c r="E2168" i="2"/>
  <c r="E865" i="2"/>
  <c r="E54" i="2"/>
  <c r="E1027" i="2"/>
  <c r="E2801" i="2"/>
  <c r="E1853" i="2"/>
  <c r="E211" i="2"/>
  <c r="E1018" i="2"/>
  <c r="E383" i="2"/>
  <c r="E466" i="2"/>
  <c r="E1086" i="2"/>
  <c r="E2234" i="2"/>
  <c r="E354" i="2"/>
  <c r="E215" i="2"/>
  <c r="E1287" i="2"/>
  <c r="E4450" i="2"/>
  <c r="E890" i="2"/>
  <c r="E3455" i="2"/>
  <c r="E5481" i="2"/>
  <c r="E2185" i="2"/>
  <c r="E3170" i="2"/>
  <c r="E4084" i="2"/>
  <c r="E3415" i="2"/>
  <c r="E3330" i="2"/>
  <c r="E4345" i="2"/>
  <c r="E1501" i="2"/>
  <c r="E5090" i="2"/>
  <c r="E2578" i="2"/>
  <c r="E2659" i="2"/>
  <c r="E619" i="2"/>
  <c r="E5532" i="2"/>
  <c r="E3530" i="2"/>
  <c r="E2597" i="2"/>
  <c r="E3180" i="2"/>
  <c r="E6001" i="2"/>
  <c r="E1114" i="2"/>
  <c r="E4133" i="2"/>
  <c r="E3272" i="2"/>
  <c r="E1440" i="2"/>
  <c r="E4501" i="2"/>
  <c r="E464" i="2"/>
  <c r="E2863" i="2"/>
  <c r="E875" i="2"/>
  <c r="E397" i="2"/>
  <c r="E3952" i="2"/>
  <c r="E871" i="2"/>
  <c r="E5809" i="2"/>
  <c r="E988" i="2"/>
  <c r="E3888" i="2"/>
  <c r="E870" i="2"/>
  <c r="E1934" i="2"/>
  <c r="E2396" i="2"/>
  <c r="E221" i="2"/>
  <c r="E1695" i="2"/>
  <c r="E5299" i="2"/>
  <c r="E556" i="2"/>
  <c r="E4846" i="2"/>
  <c r="E5834" i="2"/>
  <c r="E1811" i="2"/>
  <c r="E5117" i="2"/>
  <c r="E4288" i="2"/>
  <c r="E5789" i="2"/>
  <c r="E3599" i="2"/>
  <c r="E4899" i="2"/>
  <c r="E3301" i="2"/>
  <c r="E5130" i="2"/>
  <c r="E3692" i="2"/>
  <c r="E1214" i="2"/>
  <c r="E5464" i="2"/>
  <c r="E4586" i="2"/>
  <c r="E6054" i="2"/>
  <c r="E3388" i="2"/>
  <c r="E1135" i="2"/>
  <c r="E4995" i="2"/>
  <c r="E1335" i="2"/>
  <c r="E79" i="2"/>
  <c r="E4309" i="2"/>
  <c r="E1334" i="2"/>
  <c r="E823" i="2"/>
  <c r="E1373" i="2"/>
  <c r="E2993" i="2"/>
  <c r="E4679" i="2"/>
  <c r="E1250" i="2"/>
  <c r="E2873" i="2"/>
  <c r="E127" i="2"/>
  <c r="E558" i="2"/>
  <c r="E2753" i="2"/>
  <c r="E2858" i="2"/>
  <c r="E2450" i="2"/>
  <c r="E5377" i="2"/>
  <c r="E2919" i="2"/>
  <c r="E3878" i="2"/>
  <c r="E5722" i="2"/>
  <c r="E3063" i="2"/>
  <c r="E1498" i="2"/>
  <c r="E4771" i="2"/>
  <c r="E4714" i="2"/>
  <c r="E3962" i="2"/>
  <c r="E6104" i="2"/>
  <c r="E3902" i="2"/>
  <c r="E2561" i="2"/>
  <c r="E139" i="2"/>
  <c r="E5641" i="2"/>
  <c r="E2376" i="2"/>
  <c r="E1447" i="2"/>
  <c r="E4470" i="2"/>
  <c r="E4116" i="2"/>
  <c r="E2547" i="2"/>
  <c r="E2369" i="2"/>
  <c r="E5666" i="2"/>
  <c r="E2233" i="2"/>
  <c r="E97" i="2"/>
  <c r="E1624" i="2"/>
  <c r="E2735" i="2"/>
  <c r="E2992" i="2"/>
  <c r="E5082" i="2"/>
  <c r="E5895" i="2"/>
  <c r="E442" i="2"/>
  <c r="E5887" i="2"/>
  <c r="E3082" i="2"/>
  <c r="E4376" i="2"/>
  <c r="E584" i="2"/>
  <c r="E92" i="2"/>
  <c r="E3893" i="2"/>
  <c r="E1791" i="2"/>
  <c r="E3525" i="2"/>
  <c r="E2503" i="2"/>
  <c r="E94" i="2"/>
  <c r="E3044" i="2"/>
  <c r="E5676" i="2"/>
  <c r="E99" i="2"/>
  <c r="E1033" i="2"/>
  <c r="E5637" i="2"/>
  <c r="E2666" i="2"/>
  <c r="E3233" i="2"/>
  <c r="E3493" i="2"/>
  <c r="E2177" i="2"/>
  <c r="E533" i="2"/>
  <c r="E4190" i="2"/>
  <c r="E5733" i="2"/>
  <c r="E5049" i="2"/>
  <c r="E3385" i="2"/>
  <c r="E3734" i="2"/>
  <c r="E2226" i="2"/>
  <c r="E4094" i="2"/>
  <c r="E1277" i="2"/>
  <c r="E1104" i="2"/>
  <c r="E806" i="2"/>
  <c r="E3945" i="2"/>
  <c r="E3041" i="2"/>
  <c r="E5599" i="2"/>
  <c r="E2719" i="2"/>
  <c r="E5233" i="2"/>
  <c r="E3550" i="2"/>
  <c r="E673" i="2"/>
  <c r="E4834" i="2"/>
  <c r="E370" i="2"/>
  <c r="E2255" i="2"/>
  <c r="E1746" i="2"/>
  <c r="E2332" i="2"/>
  <c r="E927" i="2"/>
  <c r="E577" i="2"/>
  <c r="E1339" i="2"/>
  <c r="E1821" i="2"/>
  <c r="E451" i="2"/>
  <c r="E5934" i="2"/>
  <c r="E4882" i="2"/>
  <c r="E1350" i="2"/>
  <c r="E3057" i="2"/>
  <c r="E3212" i="2"/>
  <c r="E4666" i="2"/>
  <c r="E3934" i="2"/>
  <c r="E1053" i="2"/>
  <c r="E188" i="2"/>
  <c r="E230" i="2"/>
  <c r="E814" i="2"/>
  <c r="E6025" i="2"/>
  <c r="E255" i="2"/>
  <c r="E64" i="2"/>
  <c r="E1227" i="2"/>
  <c r="E2849" i="2"/>
  <c r="E4869" i="2"/>
  <c r="E2800" i="2"/>
  <c r="E4973" i="2"/>
  <c r="E4524" i="2"/>
  <c r="E5236" i="2"/>
  <c r="E4105" i="2"/>
  <c r="E3122" i="2"/>
  <c r="E549" i="2"/>
  <c r="E4766" i="2"/>
  <c r="E2576" i="2"/>
  <c r="E5202" i="2"/>
  <c r="E2774" i="2"/>
  <c r="E4020" i="2"/>
  <c r="E4883" i="2"/>
  <c r="E685" i="2"/>
  <c r="E958" i="2"/>
  <c r="E3502" i="2"/>
  <c r="E1242" i="2"/>
  <c r="E4467" i="2"/>
  <c r="E4185" i="2"/>
  <c r="E3811" i="2"/>
  <c r="E1592" i="2"/>
  <c r="E1089" i="2"/>
  <c r="E2818" i="2"/>
  <c r="E2581" i="2"/>
  <c r="E181" i="2"/>
  <c r="E2788" i="2"/>
  <c r="E4600" i="2"/>
  <c r="E5745" i="2"/>
  <c r="E2630" i="2"/>
  <c r="E3969" i="2"/>
  <c r="E2565" i="2"/>
  <c r="E5658" i="2"/>
  <c r="E1796" i="2"/>
  <c r="E130" i="2"/>
  <c r="E4186" i="2"/>
  <c r="E3766" i="2"/>
  <c r="E45" i="2"/>
  <c r="E1259" i="2"/>
  <c r="E1815" i="2"/>
  <c r="E4667" i="2"/>
  <c r="E1994" i="2"/>
  <c r="E3347" i="2"/>
  <c r="E5931" i="2"/>
  <c r="E5992" i="2"/>
  <c r="E3567" i="2"/>
  <c r="E1279" i="2"/>
  <c r="E3432" i="2"/>
  <c r="E824" i="2"/>
  <c r="E3319" i="2"/>
  <c r="E1210" i="2"/>
  <c r="E2033" i="2"/>
  <c r="E1613" i="2"/>
  <c r="E2690" i="2"/>
  <c r="E5095" i="2"/>
  <c r="E3040" i="2"/>
  <c r="E2759" i="2"/>
  <c r="E3160" i="2"/>
  <c r="E4916" i="2"/>
  <c r="E2245" i="2"/>
  <c r="E2958" i="2"/>
  <c r="E4242" i="2"/>
  <c r="E5466" i="2"/>
  <c r="E1145" i="2"/>
  <c r="E5727" i="2"/>
  <c r="E4267" i="2"/>
  <c r="E1819" i="2"/>
  <c r="E1126" i="2"/>
  <c r="E2795" i="2"/>
  <c r="E3485" i="2"/>
  <c r="E3914" i="2"/>
  <c r="E2605" i="2"/>
  <c r="E4445" i="2"/>
  <c r="E4031" i="2"/>
  <c r="E2538" i="2"/>
  <c r="E3756" i="2"/>
  <c r="E1728" i="2"/>
  <c r="E1406" i="2"/>
  <c r="E1043" i="2"/>
  <c r="E6008" i="2"/>
  <c r="E2924" i="2"/>
  <c r="E2469" i="2"/>
  <c r="E3417" i="2"/>
  <c r="E4756" i="2"/>
  <c r="E1629" i="2"/>
  <c r="E6103" i="2"/>
  <c r="E1478" i="2"/>
  <c r="E1306" i="2"/>
  <c r="E2513" i="2"/>
  <c r="E3916" i="2"/>
  <c r="E5460" i="2"/>
  <c r="E2160" i="2"/>
  <c r="E1528" i="2"/>
  <c r="E1224" i="2"/>
  <c r="E2949" i="2"/>
  <c r="E3195" i="2"/>
  <c r="E507" i="2"/>
  <c r="E2618" i="2"/>
  <c r="E5269" i="2"/>
  <c r="E2050" i="2"/>
  <c r="E1251" i="2"/>
  <c r="E1771" i="2"/>
  <c r="E286" i="2"/>
  <c r="E4312" i="2"/>
  <c r="E681" i="2"/>
  <c r="E3279" i="2"/>
  <c r="E6101" i="2"/>
  <c r="E5825" i="2"/>
  <c r="E4741" i="2"/>
  <c r="E1459" i="2"/>
  <c r="E89" i="2"/>
  <c r="E2776" i="2"/>
  <c r="E3310" i="2"/>
  <c r="E5618" i="2"/>
  <c r="E1133" i="2"/>
  <c r="E2923" i="2"/>
  <c r="E6014" i="2"/>
  <c r="E5497" i="2"/>
  <c r="E4341" i="2"/>
  <c r="E5146" i="2"/>
  <c r="E1006" i="2"/>
  <c r="E3947" i="2"/>
  <c r="E1930" i="2"/>
  <c r="E653" i="2"/>
  <c r="E3351" i="2"/>
  <c r="E3690" i="2"/>
  <c r="E5520" i="2"/>
  <c r="E2420" i="2"/>
  <c r="E3183" i="2"/>
  <c r="E325" i="2"/>
  <c r="E1288" i="2"/>
  <c r="E5829" i="2"/>
  <c r="E2094" i="2"/>
  <c r="E4558" i="2"/>
  <c r="E2504" i="2"/>
  <c r="E6026" i="2"/>
  <c r="E2206" i="2"/>
  <c r="E5822" i="2"/>
  <c r="E4552" i="2"/>
  <c r="E2414" i="2"/>
  <c r="E1211" i="2"/>
  <c r="E4053" i="2"/>
  <c r="E4739" i="2"/>
  <c r="E2676" i="2"/>
  <c r="E606" i="2"/>
  <c r="E2931" i="2"/>
  <c r="E2832" i="2"/>
  <c r="E4009" i="2"/>
  <c r="E4991" i="2"/>
  <c r="E629" i="2"/>
  <c r="E3951" i="2"/>
  <c r="E4484" i="2"/>
  <c r="E5601" i="2"/>
  <c r="E3011" i="2"/>
  <c r="E5337" i="2"/>
  <c r="E4081" i="2"/>
  <c r="E1708" i="2"/>
  <c r="E2348" i="2"/>
  <c r="E2003" i="2"/>
  <c r="E3251" i="2"/>
  <c r="E2505" i="2"/>
  <c r="E3711" i="2"/>
  <c r="E3334" i="2"/>
  <c r="E4335" i="2"/>
  <c r="E3725" i="2"/>
  <c r="E1892" i="2"/>
  <c r="E835" i="2"/>
  <c r="E86" i="2"/>
  <c r="E4230" i="2"/>
  <c r="E2477" i="2"/>
  <c r="E2377" i="2"/>
  <c r="E3248" i="2"/>
  <c r="E646" i="2"/>
  <c r="E3270" i="2"/>
  <c r="E1320" i="2"/>
  <c r="E3234" i="2"/>
  <c r="E1952" i="2"/>
  <c r="E5687" i="2"/>
  <c r="E827" i="2"/>
  <c r="E1067" i="2"/>
  <c r="E5448" i="2"/>
  <c r="E4441" i="2"/>
  <c r="E5984" i="2"/>
  <c r="E5536" i="2"/>
  <c r="E4582" i="2"/>
  <c r="E5551" i="2"/>
  <c r="E5258" i="2"/>
  <c r="E2799" i="2"/>
  <c r="E695" i="2"/>
  <c r="E1130" i="2"/>
  <c r="E4138" i="2"/>
  <c r="E3926" i="2"/>
  <c r="E2154" i="2"/>
  <c r="E5285" i="2"/>
  <c r="E1739" i="2"/>
  <c r="E4859" i="2"/>
  <c r="E4385" i="2"/>
  <c r="E2395" i="2"/>
  <c r="E1947" i="2"/>
  <c r="E4927" i="2"/>
  <c r="E3955" i="2"/>
  <c r="E630" i="2"/>
  <c r="E500" i="2"/>
  <c r="E3171" i="2"/>
  <c r="E2888" i="2"/>
  <c r="E5568" i="2"/>
  <c r="E3660" i="2"/>
  <c r="E1330" i="2"/>
  <c r="E3210" i="2"/>
  <c r="E2099" i="2"/>
  <c r="E2852" i="2"/>
  <c r="E5390" i="2"/>
  <c r="E989" i="2"/>
  <c r="E108" i="2"/>
  <c r="E563" i="2"/>
  <c r="E1683" i="2"/>
  <c r="E1869" i="2"/>
  <c r="E742" i="2"/>
  <c r="E1625" i="2"/>
  <c r="E3141" i="2"/>
  <c r="E5196" i="2"/>
  <c r="E5701" i="2"/>
  <c r="E4367" i="2"/>
  <c r="E634" i="2"/>
  <c r="E2104" i="2"/>
  <c r="E5164" i="2"/>
  <c r="E3349" i="2"/>
  <c r="E4650" i="2"/>
  <c r="E357" i="2"/>
  <c r="E5976" i="2"/>
  <c r="E3861" i="2"/>
  <c r="E3718" i="2"/>
  <c r="E3858" i="2"/>
  <c r="E2385" i="2"/>
  <c r="E3010" i="2"/>
  <c r="E4199" i="2"/>
  <c r="E497" i="2"/>
  <c r="E2930" i="2"/>
  <c r="E359" i="2"/>
  <c r="E2316" i="2"/>
  <c r="E4778" i="2"/>
  <c r="E1122" i="2"/>
  <c r="E5121" i="2"/>
  <c r="E3608" i="2"/>
  <c r="E1741" i="2"/>
  <c r="E1229" i="2"/>
  <c r="E2428" i="2"/>
  <c r="E4562" i="2"/>
  <c r="E1025" i="2"/>
  <c r="E4319" i="2"/>
  <c r="E2282" i="2"/>
  <c r="E2877" i="2"/>
  <c r="E3887" i="2"/>
  <c r="E2532" i="2"/>
  <c r="E3268" i="2"/>
  <c r="E2129" i="2"/>
  <c r="E4716" i="2"/>
  <c r="E4408" i="2"/>
  <c r="E1628" i="2"/>
  <c r="E1784" i="2"/>
  <c r="E840" i="2"/>
  <c r="E3908" i="2"/>
  <c r="E6131" i="2"/>
  <c r="E6032" i="2"/>
  <c r="E888" i="2"/>
  <c r="E1531" i="2"/>
  <c r="E2467" i="2"/>
  <c r="E320" i="2"/>
  <c r="E4213" i="2"/>
  <c r="E4109" i="2"/>
  <c r="E2691" i="2"/>
  <c r="E868" i="2"/>
  <c r="E5918" i="2"/>
  <c r="E6127" i="2"/>
  <c r="E4637" i="2"/>
  <c r="E5889" i="2"/>
  <c r="E2484" i="2"/>
  <c r="E2556" i="2"/>
  <c r="E941" i="2"/>
  <c r="E4643" i="2"/>
  <c r="E3641" i="2"/>
  <c r="E4228" i="2"/>
  <c r="E5067" i="2"/>
  <c r="E3114" i="2"/>
  <c r="E3996" i="2"/>
  <c r="E1536" i="2"/>
  <c r="E4583" i="2"/>
  <c r="E4162" i="2"/>
  <c r="E717" i="2"/>
  <c r="E3815" i="2"/>
  <c r="E6033" i="2"/>
  <c r="E938" i="2"/>
  <c r="E2577" i="2"/>
  <c r="E5048" i="2"/>
  <c r="E4351" i="2"/>
  <c r="E3505" i="2"/>
  <c r="E1218" i="2"/>
  <c r="E433" i="2"/>
  <c r="E5939" i="2"/>
  <c r="E1302" i="2"/>
  <c r="E2324" i="2"/>
  <c r="E2487" i="2"/>
  <c r="E3748" i="2"/>
  <c r="E1112" i="2"/>
  <c r="E3003" i="2"/>
  <c r="E924" i="2"/>
  <c r="E1786" i="2"/>
  <c r="E912" i="2"/>
  <c r="E4803" i="2"/>
  <c r="E2041" i="2"/>
  <c r="E1549" i="2"/>
  <c r="E4219" i="2"/>
  <c r="E861" i="2"/>
  <c r="E1147" i="2"/>
  <c r="E1466" i="2"/>
  <c r="E803" i="2"/>
  <c r="E6092" i="2"/>
  <c r="E1322" i="2"/>
  <c r="E760" i="2"/>
  <c r="E5427" i="2"/>
  <c r="E4939" i="2"/>
  <c r="E539" i="2"/>
  <c r="E3290" i="2"/>
  <c r="E608" i="2"/>
  <c r="E5960" i="2"/>
  <c r="E3178" i="2"/>
  <c r="E1887" i="2"/>
  <c r="E3528" i="2"/>
  <c r="E764" i="2"/>
  <c r="E3182" i="2"/>
  <c r="E5157" i="2"/>
  <c r="E3197" i="2"/>
  <c r="E1187" i="2"/>
  <c r="E2068" i="2"/>
  <c r="E1971" i="2"/>
  <c r="E732" i="2"/>
  <c r="E5936" i="2"/>
  <c r="E690" i="2"/>
  <c r="E5029" i="2"/>
  <c r="E3553" i="2"/>
  <c r="E4680" i="2"/>
  <c r="E1583" i="2"/>
  <c r="E2239" i="2"/>
  <c r="E936" i="2"/>
  <c r="E3106" i="2"/>
  <c r="E2311" i="2"/>
  <c r="E3896" i="2"/>
  <c r="E3574" i="2"/>
  <c r="E267" i="2"/>
  <c r="E1348" i="2"/>
  <c r="E242" i="2"/>
  <c r="E2411" i="2"/>
  <c r="E4218" i="2"/>
  <c r="E3156" i="2"/>
  <c r="E4621" i="2"/>
  <c r="E3806" i="2"/>
  <c r="E857" i="2"/>
  <c r="E2787" i="2"/>
  <c r="E4110" i="2"/>
  <c r="E5670" i="2"/>
  <c r="E5065" i="2"/>
  <c r="E4814" i="2"/>
  <c r="E318" i="2"/>
  <c r="E5990" i="2"/>
  <c r="E4641" i="2"/>
  <c r="E5391" i="2"/>
  <c r="E67" i="2"/>
  <c r="E3205" i="2"/>
  <c r="E4850" i="2"/>
  <c r="E5604" i="2"/>
  <c r="E4339" i="2"/>
  <c r="E3503" i="2"/>
  <c r="E4792" i="2"/>
  <c r="E1342" i="2"/>
  <c r="E5334" i="2"/>
  <c r="E1026" i="2"/>
  <c r="E774" i="2"/>
  <c r="E4996" i="2"/>
  <c r="E2518" i="2"/>
  <c r="E480" i="2"/>
  <c r="E2545" i="2"/>
  <c r="E953" i="2"/>
  <c r="E5594" i="2"/>
  <c r="E5294" i="2"/>
  <c r="E6055" i="2"/>
  <c r="E5116" i="2"/>
  <c r="E322" i="2"/>
  <c r="E5276" i="2"/>
  <c r="E3287" i="2"/>
  <c r="E5275" i="2"/>
  <c r="E1860" i="2"/>
  <c r="E2032" i="2"/>
  <c r="E1208" i="2"/>
  <c r="E3135" i="2"/>
  <c r="E3397" i="2"/>
  <c r="E4941" i="2"/>
  <c r="E3549" i="2"/>
  <c r="E2074" i="2"/>
  <c r="E2648" i="2"/>
  <c r="E289" i="2"/>
  <c r="E5744" i="2"/>
  <c r="E5306" i="2"/>
  <c r="E3110" i="2"/>
  <c r="E2421" i="2"/>
  <c r="E1789" i="2"/>
  <c r="E5712" i="2"/>
  <c r="E3383" i="2"/>
  <c r="E4198" i="2"/>
  <c r="E5943" i="2"/>
  <c r="E2654" i="2"/>
  <c r="E1146" i="2"/>
  <c r="E5150" i="2"/>
  <c r="E1230" i="2"/>
  <c r="E5100" i="2"/>
  <c r="E3555" i="2"/>
  <c r="E2542" i="2"/>
  <c r="E1095" i="2"/>
  <c r="E5056" i="2"/>
  <c r="E6012" i="2"/>
  <c r="E5018" i="2"/>
  <c r="E1511" i="2"/>
  <c r="E1958" i="2"/>
  <c r="E1074" i="2"/>
  <c r="E5325" i="2"/>
  <c r="E5418" i="2"/>
  <c r="E1491" i="2"/>
  <c r="E4688" i="2"/>
  <c r="E5571" i="2"/>
  <c r="E826" i="2"/>
  <c r="E424" i="2"/>
  <c r="E400" i="2"/>
  <c r="E6108" i="2"/>
  <c r="E4526" i="2"/>
  <c r="E3900" i="2"/>
  <c r="E66" i="2"/>
  <c r="E3792" i="2"/>
  <c r="E5975" i="2"/>
  <c r="E2624" i="2"/>
  <c r="E4818" i="2"/>
  <c r="E752" i="2"/>
  <c r="E4473" i="2"/>
  <c r="E4691" i="2"/>
  <c r="E948" i="2"/>
  <c r="E2912" i="2"/>
  <c r="E4864" i="2"/>
  <c r="E1590" i="2"/>
  <c r="E4982" i="2"/>
  <c r="E4465" i="2"/>
  <c r="E1542" i="2"/>
  <c r="E3022" i="2"/>
  <c r="E3847" i="2"/>
  <c r="E1351" i="2"/>
  <c r="E5408" i="2"/>
  <c r="E425" i="2"/>
  <c r="E6061" i="2"/>
  <c r="E1609" i="2"/>
  <c r="E5183" i="2"/>
  <c r="E3954" i="2"/>
  <c r="E3764" i="2"/>
  <c r="E247" i="2"/>
  <c r="E1370" i="2"/>
  <c r="E5539" i="2"/>
  <c r="E5738" i="2"/>
  <c r="E5014" i="2"/>
  <c r="E2297" i="2"/>
  <c r="E1848" i="2"/>
  <c r="E3260" i="2"/>
  <c r="E5198" i="2"/>
  <c r="E2815" i="2"/>
  <c r="E5709" i="2"/>
  <c r="E104" i="2"/>
  <c r="E1359" i="2"/>
  <c r="E4265" i="2"/>
  <c r="E3364" i="2"/>
  <c r="E2194" i="2"/>
  <c r="E2859" i="2"/>
  <c r="E5952" i="2"/>
  <c r="E2045" i="2"/>
  <c r="E123" i="2"/>
  <c r="E1920" i="2"/>
  <c r="E678" i="2"/>
  <c r="E1360" i="2"/>
  <c r="E5327" i="2"/>
  <c r="E829" i="2"/>
  <c r="E3786" i="2"/>
  <c r="E1460" i="2"/>
  <c r="E3344" i="2"/>
  <c r="E5045" i="2"/>
  <c r="E2880" i="2"/>
  <c r="E3979" i="2"/>
  <c r="E1414" i="2"/>
  <c r="E3386" i="2"/>
  <c r="E1644" i="2"/>
  <c r="E5579" i="2"/>
  <c r="E961" i="2"/>
  <c r="E4570" i="2"/>
  <c r="E4336" i="2"/>
  <c r="E2882" i="2"/>
  <c r="E869" i="2"/>
  <c r="E2990" i="2"/>
  <c r="E3990" i="2"/>
  <c r="E2412" i="2"/>
  <c r="E4759" i="2"/>
  <c r="E1465" i="2"/>
  <c r="E4611" i="2"/>
  <c r="E2986" i="2"/>
  <c r="E277" i="2"/>
  <c r="E2147" i="2"/>
  <c r="E4825" i="2"/>
  <c r="E5836" i="2"/>
  <c r="E5720" i="2"/>
  <c r="E1472" i="2"/>
  <c r="E1451" i="2"/>
  <c r="E770" i="2"/>
  <c r="E2490" i="2"/>
  <c r="E5061" i="2"/>
  <c r="E2114" i="2"/>
  <c r="E191" i="2"/>
  <c r="E1849" i="2"/>
  <c r="E1781" i="2"/>
  <c r="E4604" i="2"/>
  <c r="E5719" i="2"/>
  <c r="E4463" i="2"/>
  <c r="E5388" i="2"/>
  <c r="E3064" i="2"/>
  <c r="E1882" i="2"/>
  <c r="E4957" i="2"/>
  <c r="E1837" i="2"/>
  <c r="E4040" i="2"/>
  <c r="E5874" i="2"/>
  <c r="E2743" i="2"/>
  <c r="E3084" i="2"/>
  <c r="E5404" i="2"/>
  <c r="E1954" i="2"/>
  <c r="E4292" i="2"/>
  <c r="E5208" i="2"/>
  <c r="E5530" i="2"/>
  <c r="E5375" i="2"/>
  <c r="E3939" i="2"/>
  <c r="E2771" i="2"/>
  <c r="E4656" i="2"/>
  <c r="E4837" i="2"/>
  <c r="E2940" i="2"/>
  <c r="E2331" i="2"/>
  <c r="E169" i="2"/>
  <c r="E4485" i="2"/>
  <c r="E5642" i="2"/>
  <c r="E5489" i="2"/>
  <c r="E866" i="2"/>
  <c r="E2063" i="2"/>
  <c r="E6011" i="2"/>
  <c r="E2729" i="2"/>
  <c r="E235" i="2"/>
  <c r="E3107" i="2"/>
  <c r="E3474" i="2"/>
  <c r="E4381" i="2"/>
  <c r="E635" i="2"/>
  <c r="E2684" i="2"/>
  <c r="E3531" i="2"/>
  <c r="E2272" i="2"/>
  <c r="E3408" i="2"/>
  <c r="E3263" i="2"/>
  <c r="E2997" i="2"/>
  <c r="E1790" i="2"/>
  <c r="E205" i="2"/>
  <c r="E749" i="2"/>
  <c r="E4861" i="2"/>
  <c r="E2650" i="2"/>
  <c r="E4023" i="2"/>
  <c r="E1222" i="2"/>
  <c r="E2779" i="2"/>
  <c r="E5144" i="2"/>
  <c r="E5379" i="2"/>
  <c r="E1944" i="2"/>
  <c r="E180" i="2"/>
  <c r="E63" i="2"/>
  <c r="E3759" i="2"/>
  <c r="E3104" i="2"/>
  <c r="E2709" i="2"/>
  <c r="E1793" i="2"/>
  <c r="E4894" i="2"/>
  <c r="E5674" i="2"/>
  <c r="E2959" i="2"/>
  <c r="E174" i="2"/>
  <c r="E5026" i="2"/>
  <c r="E2213" i="2"/>
  <c r="E1707" i="2"/>
  <c r="E5120" i="2"/>
  <c r="E4683" i="2"/>
  <c r="E2398" i="2"/>
  <c r="E3708" i="2"/>
  <c r="E2936" i="2"/>
  <c r="E3134" i="2"/>
  <c r="E5425" i="2"/>
  <c r="E5274" i="2"/>
  <c r="E4148" i="2"/>
  <c r="E367" i="2"/>
  <c r="E2889" i="2"/>
  <c r="E2399" i="2"/>
  <c r="E5403" i="2"/>
  <c r="E5406" i="2"/>
  <c r="E2902" i="2"/>
  <c r="E1603" i="2"/>
  <c r="E5075" i="2"/>
  <c r="E303" i="2"/>
  <c r="E781" i="2"/>
  <c r="E4893" i="2"/>
  <c r="E478" i="2"/>
  <c r="E2614" i="2"/>
  <c r="E855" i="2"/>
  <c r="E1807" i="2"/>
  <c r="E2471" i="2"/>
  <c r="E604" i="2"/>
  <c r="E3451" i="2"/>
  <c r="E435" i="2"/>
  <c r="E4330" i="2"/>
  <c r="E2908" i="2"/>
  <c r="E472" i="2"/>
  <c r="E2530" i="2"/>
  <c r="E4003" i="2"/>
  <c r="E1839" i="2"/>
  <c r="E3173" i="2"/>
  <c r="E1474" i="2"/>
  <c r="E3944" i="2"/>
  <c r="E4289" i="2"/>
  <c r="E5881" i="2"/>
  <c r="E5547" i="2"/>
  <c r="E431" i="2"/>
  <c r="E5910" i="2"/>
  <c r="E4677" i="2"/>
  <c r="E1681" i="2"/>
  <c r="E5780" i="2"/>
  <c r="E2710" i="2"/>
  <c r="E3395" i="2"/>
  <c r="E723" i="2"/>
  <c r="E5555" i="2"/>
  <c r="E621" i="2"/>
  <c r="E995" i="2"/>
  <c r="E1192" i="2"/>
  <c r="E863" i="2"/>
  <c r="E5851" i="2"/>
  <c r="E2123" i="2"/>
  <c r="E2344" i="2"/>
  <c r="E2835" i="2"/>
  <c r="E3694" i="2"/>
  <c r="E3511" i="2"/>
  <c r="E589" i="2"/>
  <c r="E5084" i="2"/>
  <c r="E5354" i="2"/>
  <c r="E1645" i="2"/>
  <c r="E1054" i="2"/>
  <c r="E5729" i="2"/>
  <c r="E3203" i="2"/>
  <c r="E2105" i="2"/>
  <c r="E2608" i="2"/>
  <c r="E1487" i="2"/>
  <c r="E5517" i="2"/>
  <c r="E2742" i="2"/>
  <c r="E364" i="2"/>
  <c r="E5506" i="2"/>
  <c r="E3083" i="2"/>
  <c r="E1519" i="2"/>
  <c r="E78" i="2"/>
  <c r="E5228" i="2"/>
  <c r="E2957" i="2"/>
  <c r="E6137" i="2"/>
  <c r="E4270" i="2"/>
  <c r="E2162" i="2"/>
  <c r="E1706" i="2"/>
  <c r="E5831" i="2"/>
  <c r="E1888" i="2"/>
  <c r="E3006" i="2"/>
  <c r="E5982" i="2"/>
  <c r="E759" i="2"/>
  <c r="E4831" i="2"/>
  <c r="E1426" i="2"/>
  <c r="E1319" i="2"/>
  <c r="E4598" i="2"/>
  <c r="E537" i="2"/>
  <c r="E1099" i="2"/>
  <c r="E5424" i="2"/>
  <c r="E3042" i="2"/>
  <c r="E4912" i="2"/>
  <c r="E5643" i="2"/>
  <c r="E689" i="2"/>
  <c r="E5659" i="2"/>
  <c r="E4223" i="2"/>
  <c r="E1243" i="2"/>
  <c r="E5038" i="2"/>
  <c r="E6134" i="2"/>
  <c r="E3186" i="2"/>
  <c r="E1493" i="2"/>
  <c r="E5942" i="2"/>
  <c r="E1274" i="2"/>
  <c r="E3615" i="2"/>
  <c r="E2894" i="2"/>
  <c r="E4132" i="2"/>
  <c r="E5823" i="2"/>
  <c r="E2763" i="2"/>
  <c r="E3933" i="2"/>
  <c r="E3527" i="2"/>
  <c r="E110" i="2"/>
  <c r="E1062" i="2"/>
  <c r="E1543" i="2"/>
  <c r="E5211" i="2"/>
  <c r="E4673" i="2"/>
  <c r="E2553" i="2"/>
  <c r="E1065" i="2"/>
  <c r="E5718" i="2"/>
  <c r="E1928" i="2"/>
  <c r="E4568" i="2"/>
  <c r="E3869" i="2"/>
  <c r="E4044" i="2"/>
  <c r="E1083" i="2"/>
  <c r="E902" i="2"/>
  <c r="E5775" i="2"/>
  <c r="E3419" i="2"/>
  <c r="E4325" i="2"/>
  <c r="E2814" i="2"/>
  <c r="E4592" i="2"/>
  <c r="E208" i="2"/>
  <c r="E966" i="2"/>
  <c r="E3818" i="2"/>
  <c r="E2384" i="2"/>
  <c r="E804" i="2"/>
  <c r="E3645" i="2"/>
  <c r="E5938" i="2"/>
  <c r="E846" i="2"/>
  <c r="E6117" i="2"/>
  <c r="E4396" i="2"/>
  <c r="E470" i="2"/>
  <c r="E4183" i="2"/>
  <c r="E2489" i="2"/>
  <c r="E2171" i="2"/>
  <c r="E294" i="2"/>
  <c r="E2358" i="2"/>
  <c r="E5675" i="2"/>
  <c r="E2747" i="2"/>
  <c r="E2768" i="2"/>
  <c r="E3834" i="2"/>
  <c r="E3665" i="2"/>
  <c r="E6144" i="2"/>
  <c r="E1189" i="2"/>
  <c r="E1072" i="2"/>
  <c r="E3394" i="2"/>
  <c r="E573" i="2"/>
  <c r="E1638" i="2"/>
  <c r="E2117" i="2"/>
  <c r="E116" i="2"/>
  <c r="E4758" i="2"/>
  <c r="E5582" i="2"/>
  <c r="E5330" i="2"/>
  <c r="E2606" i="2"/>
  <c r="E994" i="2"/>
  <c r="E1883" i="2"/>
  <c r="E2865" i="2"/>
  <c r="E5281" i="2"/>
  <c r="E2752" i="2"/>
  <c r="E795" i="2"/>
  <c r="E613" i="2"/>
  <c r="E340" i="2"/>
  <c r="E5336" i="2"/>
  <c r="E1443" i="2"/>
  <c r="E4901" i="2"/>
  <c r="E5557" i="2"/>
  <c r="E112" i="2"/>
  <c r="E4784" i="2"/>
  <c r="E1035" i="2"/>
  <c r="E1838" i="2"/>
  <c r="E4215" i="2"/>
  <c r="E4375" i="2"/>
  <c r="E3172" i="2"/>
  <c r="E2586" i="2"/>
  <c r="E5927" i="2"/>
  <c r="E3215" i="2"/>
  <c r="E776" i="2"/>
  <c r="E4433" i="2"/>
  <c r="E1653" i="2"/>
  <c r="E3323" i="2"/>
  <c r="E1028" i="2"/>
  <c r="E1657" i="2"/>
  <c r="E1563" i="2"/>
  <c r="E5143" i="2"/>
  <c r="E1691" i="2"/>
  <c r="E119" i="2"/>
  <c r="E410" i="2"/>
  <c r="E607" i="2"/>
  <c r="E1040" i="2"/>
  <c r="E2999" i="2"/>
  <c r="E4968" i="2"/>
  <c r="E2540" i="2"/>
  <c r="E4263" i="2"/>
  <c r="E1696" i="2"/>
  <c r="E3450" i="2"/>
  <c r="E4175" i="2"/>
  <c r="E658" i="2"/>
  <c r="E2498" i="2"/>
  <c r="E1159" i="2"/>
  <c r="E4782" i="2"/>
  <c r="E5024" i="2"/>
  <c r="E3281" i="2"/>
  <c r="E2683" i="2"/>
  <c r="E547" i="2"/>
  <c r="E4594" i="2"/>
  <c r="E4878" i="2"/>
  <c r="E926" i="2"/>
  <c r="E3401" i="2"/>
  <c r="E2739" i="2"/>
  <c r="E713" i="2"/>
  <c r="E2468" i="2"/>
  <c r="E3639" i="2"/>
  <c r="E1415" i="2"/>
  <c r="E422" i="2"/>
  <c r="E2529" i="2"/>
  <c r="E3513" i="2"/>
  <c r="E2702" i="2"/>
  <c r="E2174" i="2"/>
  <c r="E4120" i="2"/>
  <c r="E1366" i="2"/>
  <c r="E5593" i="2"/>
  <c r="E5205" i="2"/>
  <c r="E1687" i="2"/>
  <c r="E3545" i="2"/>
  <c r="E1866" i="2"/>
  <c r="E150" i="2"/>
  <c r="E175" i="2"/>
  <c r="E2043" i="2"/>
  <c r="E4699" i="2"/>
  <c r="E3715" i="2"/>
  <c r="E5449" i="2"/>
  <c r="E3046" i="2"/>
  <c r="E3897" i="2"/>
  <c r="E387" i="2"/>
  <c r="E4098" i="2"/>
  <c r="E6126" i="2"/>
  <c r="E2313" i="2"/>
  <c r="E3225" i="2"/>
  <c r="E1857" i="2"/>
  <c r="E4038" i="2"/>
  <c r="E2170" i="2"/>
  <c r="E1269" i="2"/>
  <c r="E454" i="2"/>
  <c r="E5876" i="2"/>
  <c r="E3266" i="2"/>
  <c r="E460" i="2"/>
  <c r="E2652" i="2"/>
  <c r="E1663" i="2"/>
  <c r="E623" i="2"/>
  <c r="E788" i="2"/>
  <c r="E4400" i="2"/>
  <c r="E2856" i="2"/>
  <c r="E1291" i="2"/>
  <c r="E4603" i="2"/>
  <c r="E2444" i="2"/>
  <c r="E4363" i="2"/>
  <c r="E265" i="2"/>
  <c r="E4285" i="2"/>
  <c r="E1275" i="2"/>
  <c r="E4159" i="2"/>
  <c r="E887" i="2"/>
  <c r="E2657" i="2"/>
  <c r="E3431" i="2"/>
  <c r="E1547" i="2"/>
  <c r="E5760" i="2"/>
  <c r="E468" i="2"/>
  <c r="E2247" i="2"/>
  <c r="E1467" i="2"/>
  <c r="E3297" i="2"/>
  <c r="E5214" i="2"/>
  <c r="E3970" i="2"/>
  <c r="E3642" i="2"/>
  <c r="E2761" i="2"/>
  <c r="E5958" i="2"/>
  <c r="E5217" i="2"/>
  <c r="E5838" i="2"/>
  <c r="E5397" i="2"/>
  <c r="E3228" i="2"/>
  <c r="E745" i="2"/>
  <c r="E2126" i="2"/>
  <c r="E2855" i="2"/>
  <c r="E2374" i="2"/>
  <c r="E2109" i="2"/>
  <c r="E2067" i="2"/>
  <c r="E4774" i="2"/>
  <c r="E614" i="2"/>
  <c r="E5794" i="2"/>
  <c r="E1368" i="2"/>
  <c r="E5750" i="2"/>
  <c r="E1255" i="2"/>
  <c r="E919" i="2"/>
  <c r="E95" i="2"/>
  <c r="E2267" i="2"/>
  <c r="E2052" i="2"/>
  <c r="E457" i="2"/>
  <c r="E645" i="2"/>
  <c r="E1404" i="2"/>
  <c r="E4178" i="2"/>
  <c r="E4755" i="2"/>
  <c r="E171" i="2"/>
  <c r="E2351" i="2"/>
  <c r="E5502" i="2"/>
  <c r="E3953" i="2"/>
  <c r="E5300" i="2"/>
  <c r="E2371" i="2"/>
  <c r="E3192" i="2"/>
  <c r="E4726" i="2"/>
  <c r="E5849" i="2"/>
  <c r="E5708" i="2"/>
  <c r="E4224" i="2"/>
  <c r="E4702" i="2"/>
  <c r="E5743" i="2"/>
  <c r="E4671" i="2"/>
  <c r="E148" i="2"/>
  <c r="E2361" i="2"/>
  <c r="E578" i="2"/>
  <c r="E5567" i="2"/>
  <c r="E5847" i="2"/>
  <c r="E4056" i="2"/>
  <c r="E125" i="2"/>
  <c r="E1452" i="2"/>
  <c r="E3507" i="2"/>
  <c r="E6150" i="2"/>
  <c r="E3336" i="2"/>
  <c r="E3617" i="2"/>
  <c r="E3434" i="2"/>
  <c r="E506" i="2"/>
  <c r="E1003" i="2"/>
  <c r="E5364" i="2"/>
  <c r="E2463" i="2"/>
  <c r="E4585" i="2"/>
  <c r="E6076" i="2"/>
  <c r="E4442" i="2"/>
  <c r="E83" i="2"/>
  <c r="E1556" i="2"/>
  <c r="E2995" i="2"/>
  <c r="E2732" i="2"/>
  <c r="E3987" i="2"/>
  <c r="E4843" i="2"/>
  <c r="E285" i="2"/>
  <c r="E1283" i="2"/>
  <c r="E3827" i="2"/>
  <c r="E4227" i="2"/>
  <c r="E2164" i="2"/>
  <c r="E853" i="2"/>
  <c r="E3774" i="2"/>
  <c r="E5509" i="2"/>
  <c r="E3475" i="2"/>
  <c r="E4892" i="2"/>
  <c r="E4815" i="2"/>
  <c r="E5401" i="2"/>
  <c r="E143" i="2"/>
  <c r="E4817" i="2"/>
  <c r="E825" i="2"/>
  <c r="E1618" i="2"/>
  <c r="E1996" i="2"/>
  <c r="E2089" i="2"/>
  <c r="E4189" i="2"/>
  <c r="E1170" i="2"/>
  <c r="E6109" i="2"/>
  <c r="E1816" i="2"/>
  <c r="E4504" i="2"/>
  <c r="E5465" i="2"/>
  <c r="E5510" i="2"/>
  <c r="E3169" i="2"/>
  <c r="E363" i="2"/>
  <c r="E4910" i="2"/>
  <c r="E2707" i="2"/>
  <c r="E306" i="2"/>
  <c r="E5995" i="2"/>
  <c r="E4685" i="2"/>
  <c r="E1788" i="2"/>
  <c r="E1773" i="2"/>
  <c r="E1682" i="2"/>
  <c r="E194" i="2"/>
  <c r="E3765" i="2"/>
  <c r="E1199" i="2"/>
  <c r="E2082" i="2"/>
  <c r="E362" i="2"/>
  <c r="E6018" i="2"/>
  <c r="E6060" i="2"/>
  <c r="E3282" i="2"/>
  <c r="E2264" i="2"/>
  <c r="E3862" i="2"/>
  <c r="E4055" i="2"/>
  <c r="E3407" i="2"/>
  <c r="E271" i="2"/>
  <c r="E6090" i="2"/>
  <c r="E248" i="2"/>
  <c r="E4723" i="2"/>
  <c r="E5253" i="2"/>
  <c r="E5251" i="2"/>
  <c r="E545" i="2"/>
  <c r="E2030" i="2"/>
  <c r="E284" i="2"/>
  <c r="E6152" i="2"/>
  <c r="E2548" i="2"/>
  <c r="E5569" i="2"/>
  <c r="E1805" i="2"/>
  <c r="E4614" i="2"/>
  <c r="E1566" i="2"/>
  <c r="E3075" i="2"/>
  <c r="E2694" i="2"/>
  <c r="E5882" i="2"/>
  <c r="E381" i="2"/>
  <c r="E1392" i="2"/>
  <c r="E4399" i="2"/>
  <c r="E2249" i="2"/>
  <c r="E1398" i="2"/>
  <c r="E5342" i="2"/>
  <c r="E2955" i="2"/>
  <c r="E4149" i="2"/>
  <c r="E4610" i="2"/>
  <c r="E262" i="2"/>
  <c r="E582" i="2"/>
  <c r="E3369" i="2"/>
  <c r="E1011" i="2"/>
  <c r="E714" i="2"/>
  <c r="E5813" i="2"/>
  <c r="E4438" i="2"/>
  <c r="E4937" i="2"/>
  <c r="E2350" i="2"/>
  <c r="E3350" i="2"/>
  <c r="E6016" i="2"/>
  <c r="E5721" i="2"/>
  <c r="E1475" i="2"/>
  <c r="E4096" i="2"/>
  <c r="E4797" i="2"/>
  <c r="E6062" i="2"/>
  <c r="E3333" i="2"/>
  <c r="E3467" i="2"/>
  <c r="E596" i="2"/>
  <c r="E3865" i="2"/>
  <c r="E50" i="2"/>
  <c r="E3216" i="2"/>
  <c r="E2205" i="2"/>
  <c r="E4245" i="2"/>
  <c r="E3221" i="2"/>
  <c r="E648" i="2"/>
  <c r="E2372" i="2"/>
  <c r="E3583" i="2"/>
  <c r="E1858" i="2"/>
  <c r="E1724" i="2"/>
  <c r="E2130" i="2"/>
  <c r="E5178" i="2"/>
  <c r="E2012" i="2"/>
  <c r="E415" i="2"/>
  <c r="E5610" i="2"/>
  <c r="E4728" i="2"/>
  <c r="E3147" i="2"/>
  <c r="E4645" i="2"/>
  <c r="E2717" i="2"/>
  <c r="E5495" i="2"/>
  <c r="E5766" i="2"/>
  <c r="E209" i="2"/>
  <c r="E3342" i="2"/>
  <c r="E2152" i="2"/>
  <c r="E2807" i="2"/>
  <c r="E5639" i="2"/>
  <c r="E680" i="2"/>
  <c r="E4577" i="2"/>
  <c r="E4717" i="2"/>
  <c r="E4943" i="2"/>
  <c r="E4140" i="2"/>
  <c r="E134" i="2"/>
  <c r="E693" i="2"/>
  <c r="E5054" i="2"/>
  <c r="E3506" i="2"/>
  <c r="E3009" i="2"/>
  <c r="E5652" i="2"/>
  <c r="E1606" i="2"/>
  <c r="E2223" i="2"/>
  <c r="E279" i="2"/>
  <c r="E1071" i="2"/>
  <c r="E272" i="2"/>
  <c r="E2148" i="2"/>
  <c r="E4919" i="2"/>
  <c r="E4393" i="2"/>
  <c r="E3079" i="2"/>
  <c r="E166" i="2"/>
  <c r="E5450" i="2"/>
  <c r="E1909" i="2"/>
  <c r="E226" i="2"/>
  <c r="E4999" i="2"/>
  <c r="E4000" i="2"/>
  <c r="E5357" i="2"/>
  <c r="E3473" i="2"/>
  <c r="E2494" i="2"/>
  <c r="E4541" i="2"/>
  <c r="E2588" i="2"/>
  <c r="E2346" i="2"/>
  <c r="E4235" i="2"/>
  <c r="E1552" i="2"/>
  <c r="E4416" i="2"/>
  <c r="E4475" i="2"/>
  <c r="E2528" i="2"/>
  <c r="E1889" i="2"/>
  <c r="E1167" i="2"/>
  <c r="E2236" i="2"/>
  <c r="E3570" i="2"/>
  <c r="E1541" i="2"/>
  <c r="E3634" i="2"/>
  <c r="E3275" i="2"/>
  <c r="E146" i="2"/>
  <c r="E4852" i="2"/>
  <c r="E2427" i="2"/>
  <c r="E4439" i="2"/>
  <c r="E4277" i="2"/>
  <c r="E5991" i="2"/>
  <c r="E5635" i="2"/>
  <c r="E3039" i="2"/>
  <c r="E6030" i="2"/>
  <c r="E5200" i="2"/>
  <c r="E4613" i="2"/>
  <c r="E1762" i="2"/>
  <c r="E1684" i="2"/>
  <c r="E1922" i="2"/>
  <c r="E2803" i="2"/>
  <c r="E3656" i="2"/>
  <c r="E214" i="2"/>
  <c r="E624" i="2"/>
  <c r="E4512" i="2"/>
  <c r="E3302" i="2"/>
  <c r="E5112" i="2"/>
  <c r="E2136" i="2"/>
  <c r="E5504" i="2"/>
  <c r="E802" i="2"/>
  <c r="E5123" i="2"/>
  <c r="E2823" i="2"/>
  <c r="E2203" i="2"/>
  <c r="E4947" i="2"/>
  <c r="E2841" i="2"/>
  <c r="E4914" i="2"/>
  <c r="E5657" i="2"/>
  <c r="E4089" i="2"/>
  <c r="E2285" i="2"/>
  <c r="E236" i="2"/>
  <c r="E5924" i="2"/>
  <c r="E4434" i="2"/>
  <c r="E4254" i="2"/>
  <c r="E2402" i="2"/>
  <c r="E3181" i="2"/>
  <c r="E5462" i="2"/>
  <c r="E5070" i="2"/>
  <c r="E5886" i="2"/>
  <c r="E2640" i="2"/>
  <c r="E195" i="2"/>
  <c r="E3844" i="2"/>
  <c r="E2209" i="2"/>
  <c r="E2770" i="2"/>
  <c r="E1316" i="2"/>
  <c r="E4654" i="2"/>
  <c r="E2878" i="2"/>
  <c r="E2036" i="2"/>
  <c r="E6037" i="2"/>
  <c r="E1168" i="2"/>
  <c r="E535" i="2"/>
  <c r="E4903" i="2"/>
  <c r="E5663" i="2"/>
  <c r="E1761" i="2"/>
  <c r="E3447" i="2"/>
  <c r="E5612" i="2"/>
  <c r="E1776" i="2"/>
  <c r="E5598" i="2"/>
  <c r="E2821" i="2"/>
  <c r="E2415" i="2"/>
  <c r="E2026" i="2"/>
  <c r="E777" i="2"/>
  <c r="E1769" i="2"/>
  <c r="E4543" i="2"/>
  <c r="E6079" i="2"/>
  <c r="E528" i="2"/>
  <c r="E5496" i="2"/>
  <c r="E5376" i="2"/>
  <c r="E1757" i="2"/>
  <c r="E1232" i="2"/>
  <c r="E2696" i="2"/>
  <c r="E2488" i="2"/>
  <c r="E561" i="2"/>
  <c r="E1355" i="2"/>
  <c r="E1553" i="2"/>
  <c r="E2423" i="2"/>
  <c r="E2121" i="2"/>
  <c r="E5969" i="2"/>
  <c r="E1570" i="2"/>
  <c r="E315" i="2"/>
  <c r="E4664" i="2"/>
  <c r="E84" i="2"/>
  <c r="E1621" i="2"/>
  <c r="E4633" i="2"/>
  <c r="E135" i="2"/>
  <c r="E337" i="2"/>
  <c r="E157" i="2"/>
  <c r="E1704" i="2"/>
  <c r="E5798" i="2"/>
  <c r="E3190" i="2"/>
  <c r="E1185" i="2"/>
  <c r="E1780" i="2"/>
  <c r="E3055" i="2"/>
  <c r="E4533" i="2"/>
  <c r="E711" i="2"/>
  <c r="E3653" i="2"/>
  <c r="E2905" i="2"/>
  <c r="E253" i="2"/>
  <c r="E3543" i="2"/>
  <c r="E5835" i="2"/>
  <c r="E1140" i="2"/>
  <c r="E348" i="2"/>
  <c r="E4497" i="2"/>
  <c r="E5707" i="2"/>
  <c r="E553" i="2"/>
  <c r="E3165" i="2"/>
  <c r="E3430" i="2"/>
  <c r="E5263" i="2"/>
  <c r="E2360" i="2"/>
  <c r="E5472" i="2"/>
  <c r="E5369" i="2"/>
  <c r="E3024" i="2"/>
  <c r="E1854" i="2"/>
  <c r="E566" i="2"/>
  <c r="E482" i="2"/>
  <c r="E1664" i="2"/>
  <c r="E4873" i="2"/>
  <c r="E4294" i="2"/>
  <c r="E5173" i="2"/>
  <c r="E2672" i="2"/>
  <c r="E3115" i="2"/>
  <c r="E4777" i="2"/>
  <c r="E6087" i="2"/>
  <c r="E4569" i="2"/>
  <c r="E3554" i="2"/>
  <c r="E730" i="2"/>
  <c r="E4115" i="2"/>
  <c r="E5155" i="2"/>
  <c r="E3883" i="2"/>
  <c r="E4627" i="2"/>
  <c r="E5110" i="2"/>
  <c r="E4036" i="2"/>
  <c r="E4581" i="2"/>
  <c r="E6071" i="2"/>
  <c r="E1712" i="2"/>
  <c r="E3582" i="2"/>
  <c r="E2062" i="2"/>
  <c r="E1371" i="2"/>
  <c r="E3421" i="2"/>
  <c r="E4276" i="2"/>
  <c r="E694" i="2"/>
  <c r="E5937" i="2"/>
  <c r="E2943" i="2"/>
  <c r="E2961" i="2"/>
  <c r="E679" i="2"/>
  <c r="E502" i="2"/>
  <c r="E3782" i="2"/>
  <c r="E3630" i="2"/>
  <c r="E5587" i="2"/>
  <c r="E4378" i="2"/>
  <c r="E494" i="2"/>
  <c r="E4129" i="2"/>
  <c r="E3315" i="2"/>
  <c r="E5751" i="2"/>
  <c r="E5210" i="2"/>
  <c r="E702" i="2"/>
  <c r="E3649" i="2"/>
  <c r="E1713" i="2"/>
  <c r="E5434" i="2"/>
  <c r="E1738" i="2"/>
  <c r="E244" i="2"/>
  <c r="E1575" i="2"/>
  <c r="E600" i="2"/>
  <c r="E1905" i="2"/>
  <c r="E1864" i="2"/>
  <c r="E1113" i="2"/>
  <c r="E3313" i="2"/>
  <c r="E5356" i="2"/>
  <c r="E5901" i="2"/>
  <c r="E812" i="2"/>
  <c r="E5602" i="2"/>
  <c r="E5234" i="2"/>
  <c r="E4310" i="2"/>
  <c r="E5031" i="2"/>
  <c r="E5290" i="2"/>
  <c r="E5559" i="2"/>
  <c r="E1263" i="2"/>
  <c r="E77" i="2"/>
  <c r="E91" i="2"/>
  <c r="E2330" i="2"/>
  <c r="E5323" i="2"/>
  <c r="E2190" i="2"/>
  <c r="E3341" i="2"/>
  <c r="E438" i="2"/>
  <c r="E3556" i="2"/>
  <c r="E957" i="2"/>
  <c r="E5203" i="2"/>
  <c r="E1976" i="2"/>
  <c r="E3320" i="2"/>
  <c r="E4490" i="2"/>
  <c r="E4880" i="2"/>
  <c r="E4531" i="2"/>
  <c r="E1572" i="2"/>
  <c r="E701" i="2"/>
  <c r="E5046" i="2"/>
  <c r="E4754" i="2"/>
  <c r="E304" i="2"/>
  <c r="E3689" i="2"/>
  <c r="E3142" i="2"/>
  <c r="E5451" i="2"/>
  <c r="E5319" i="2"/>
  <c r="E1456" i="2"/>
  <c r="E5554" i="2"/>
  <c r="E5863" i="2"/>
  <c r="E3638" i="2"/>
  <c r="E388" i="2"/>
  <c r="E1835" i="2"/>
  <c r="E2682" i="2"/>
  <c r="E4197" i="2"/>
  <c r="E820" i="2"/>
  <c r="E1982" i="2"/>
  <c r="E2974" i="2"/>
  <c r="E4830" i="2"/>
  <c r="E3080" i="2"/>
  <c r="E5801" i="2"/>
  <c r="E1833" i="2"/>
  <c r="E1064" i="2"/>
  <c r="E2078" i="2"/>
  <c r="E1481" i="2"/>
  <c r="E874" i="2"/>
  <c r="E554" i="2"/>
  <c r="E3291" i="2"/>
  <c r="E5998" i="2"/>
  <c r="E1349" i="2"/>
  <c r="E2699" i="2"/>
  <c r="E2806" i="2"/>
  <c r="E2058" i="2"/>
  <c r="E4798" i="2"/>
  <c r="E164" i="2"/>
  <c r="E1797" i="2"/>
  <c r="E2299" i="2"/>
  <c r="E257" i="2"/>
  <c r="E1562" i="2"/>
  <c r="E906" i="2"/>
  <c r="E2539" i="2"/>
  <c r="E1897" i="2"/>
  <c r="E219" i="2"/>
  <c r="E2046" i="2"/>
  <c r="E5152" i="2"/>
  <c r="E5467" i="2"/>
  <c r="E4074" i="2"/>
  <c r="E353" i="2"/>
  <c r="E4331" i="2"/>
  <c r="E487" i="2"/>
  <c r="E5328" i="2"/>
  <c r="E5705" i="2"/>
  <c r="E5419" i="2"/>
  <c r="E2670" i="2"/>
  <c r="E4384" i="2"/>
  <c r="E1328" i="2"/>
  <c r="E735" i="2"/>
  <c r="E3174" i="2"/>
  <c r="E3978" i="2"/>
  <c r="E4425" i="2"/>
  <c r="E5884" i="2"/>
  <c r="E390" i="2"/>
  <c r="E6128" i="2"/>
  <c r="E3975" i="2"/>
  <c r="E2829" i="2"/>
  <c r="E4392" i="2"/>
  <c r="E3317" i="2"/>
  <c r="E4226" i="2"/>
  <c r="E3966" i="2"/>
  <c r="E2483" i="2"/>
  <c r="E5088" i="2"/>
  <c r="E2355" i="2"/>
  <c r="E2172" i="2"/>
  <c r="E2744" i="2"/>
  <c r="E540" i="2"/>
  <c r="E1063" i="2"/>
  <c r="E2293" i="2"/>
  <c r="E683" i="2"/>
  <c r="E2688" i="2"/>
  <c r="E5761" i="2"/>
  <c r="E4297" i="2"/>
  <c r="E2060" i="2"/>
  <c r="E2665" i="2"/>
  <c r="E3931" i="2"/>
  <c r="E718" i="2"/>
  <c r="E2486" i="2"/>
  <c r="E3250" i="2"/>
  <c r="E492" i="2"/>
  <c r="E486" i="2"/>
  <c r="E3579" i="2"/>
  <c r="E2021" i="2"/>
  <c r="E1236" i="2"/>
  <c r="E2535" i="2"/>
  <c r="E4394" i="2"/>
  <c r="E6047" i="2"/>
  <c r="E3292" i="2"/>
  <c r="E1023" i="2"/>
  <c r="E5142" i="2"/>
  <c r="E2679" i="2"/>
  <c r="E5381" i="2"/>
  <c r="E945" i="2"/>
  <c r="E3058" i="2"/>
  <c r="E96" i="2"/>
  <c r="E5394" i="2"/>
  <c r="E1069" i="2"/>
  <c r="E3612" i="2"/>
  <c r="E4494" i="2"/>
  <c r="E5091" i="2"/>
  <c r="E421" i="2"/>
  <c r="E6040" i="2"/>
  <c r="E3607" i="2"/>
  <c r="E4884" i="2"/>
  <c r="E5192" i="2"/>
  <c r="E3162" i="2"/>
  <c r="E1240" i="2"/>
  <c r="E3433" i="2"/>
  <c r="E160" i="2"/>
  <c r="E2920" i="2"/>
  <c r="E4296" i="2"/>
  <c r="E2301" i="2"/>
  <c r="E3903" i="2"/>
  <c r="E1042" i="2"/>
  <c r="E3704" i="2"/>
  <c r="E2573" i="2"/>
  <c r="E5558" i="2"/>
  <c r="E1521" i="2"/>
  <c r="E3410" i="2"/>
  <c r="E163" i="2"/>
  <c r="E2452" i="2"/>
  <c r="E1422" i="2"/>
  <c r="E5413" i="2"/>
  <c r="E1648" i="2"/>
  <c r="E5957" i="2"/>
  <c r="E3959" i="2"/>
  <c r="E5660" i="2"/>
  <c r="E4332" i="2"/>
  <c r="E1009" i="2"/>
  <c r="E2861" i="2"/>
  <c r="E5284" i="2"/>
  <c r="E1554" i="2"/>
  <c r="E5134" i="2"/>
  <c r="E2186" i="2"/>
  <c r="E2135" i="2"/>
  <c r="E3370" i="2"/>
  <c r="E5115" i="2"/>
  <c r="E4542" i="2"/>
  <c r="E1166" i="2"/>
  <c r="E2379" i="2"/>
  <c r="E1949" i="2"/>
  <c r="E5303" i="2"/>
  <c r="E3714" i="2"/>
  <c r="E5398" i="2"/>
  <c r="E3707" i="2"/>
  <c r="E1516" i="2"/>
  <c r="E2103" i="2"/>
  <c r="E1551" i="2"/>
  <c r="E1082" i="2"/>
  <c r="E5909" i="2"/>
  <c r="E170" i="2"/>
  <c r="E5533" i="2"/>
  <c r="E1999" i="2"/>
  <c r="E292" i="2"/>
  <c r="E5546" i="2"/>
  <c r="E2044" i="2"/>
  <c r="E3406" i="2"/>
  <c r="E2339" i="2"/>
  <c r="E659" i="2"/>
  <c r="E1433" i="2"/>
  <c r="E4446" i="2"/>
  <c r="E4574" i="2"/>
  <c r="E3466" i="2"/>
  <c r="E2211" i="2"/>
  <c r="E4241" i="2"/>
  <c r="E3496" i="2"/>
  <c r="E5361" i="2"/>
  <c r="E1594" i="2"/>
  <c r="E3877" i="2"/>
  <c r="E1932" i="2"/>
  <c r="E6124" i="2"/>
  <c r="E2204" i="2"/>
  <c r="E1669" i="2"/>
  <c r="E4695" i="2"/>
  <c r="E266" i="2"/>
  <c r="E1117" i="2"/>
  <c r="E4928" i="2"/>
  <c r="E1879" i="2"/>
  <c r="E5540" i="2"/>
  <c r="E2947" i="2"/>
  <c r="E1561" i="2"/>
  <c r="E1141" i="2"/>
  <c r="E5053" i="2"/>
  <c r="E674" i="2"/>
  <c r="E3879" i="2"/>
  <c r="E5877" i="2"/>
  <c r="E2137" i="2"/>
  <c r="E1284" i="2"/>
  <c r="E3779" i="2"/>
  <c r="E3491" i="2"/>
  <c r="E5677" i="2"/>
  <c r="E4240" i="2"/>
  <c r="E1596" i="2"/>
  <c r="E1324" i="2"/>
  <c r="E4359" i="2"/>
  <c r="E3050" i="2"/>
  <c r="E2964" i="2"/>
  <c r="E5339" i="2"/>
  <c r="E1125" i="2"/>
  <c r="E391" i="2"/>
  <c r="E3912" i="2"/>
  <c r="E986" i="2"/>
  <c r="E2197" i="2"/>
  <c r="E5930" i="2"/>
  <c r="E4682" i="2"/>
  <c r="E1945" i="2"/>
  <c r="E2212" i="2"/>
  <c r="E3017" i="2"/>
  <c r="E5039" i="2"/>
  <c r="E3382" i="2"/>
  <c r="E3664" i="2"/>
  <c r="E334" i="2"/>
  <c r="E4874" i="2"/>
  <c r="E5147" i="2"/>
  <c r="E4735" i="2"/>
  <c r="E2478" i="2"/>
  <c r="E1577" i="2"/>
  <c r="E485" i="2"/>
  <c r="E2944" i="2"/>
  <c r="E2711" i="2"/>
  <c r="E2559" i="2"/>
  <c r="E905" i="2"/>
  <c r="E5892" i="2"/>
  <c r="E1225" i="2"/>
  <c r="E3329" i="2"/>
  <c r="E4561" i="2"/>
  <c r="E2965" i="2"/>
  <c r="E5613" i="2"/>
  <c r="E4540" i="2"/>
  <c r="E4948" i="2"/>
  <c r="E4170" i="2"/>
  <c r="E144" i="2"/>
  <c r="E4428" i="2"/>
  <c r="E4977" i="2"/>
  <c r="E1221" i="2"/>
  <c r="E3337" i="2"/>
  <c r="E3622" i="2"/>
  <c r="E382" i="2"/>
  <c r="E3705" i="2"/>
  <c r="E3941" i="2"/>
  <c r="E1298" i="2"/>
  <c r="E5085" i="2"/>
  <c r="E3208" i="2"/>
  <c r="E4579" i="2"/>
  <c r="E5860" i="2"/>
  <c r="E5541" i="2"/>
  <c r="E2131" i="2"/>
  <c r="E1186" i="2"/>
  <c r="E1698" i="2"/>
  <c r="E3393" i="2"/>
  <c r="E1190" i="2"/>
  <c r="E3501" i="2"/>
  <c r="E1012" i="2"/>
  <c r="E5250" i="2"/>
  <c r="E799" i="2"/>
  <c r="E4322" i="2"/>
  <c r="E1193" i="2"/>
  <c r="E833" i="2"/>
  <c r="E1610" i="2"/>
  <c r="E915" i="2"/>
  <c r="E796" i="2"/>
  <c r="E715" i="2"/>
  <c r="E931" i="2"/>
  <c r="E2989" i="2"/>
  <c r="E1374" i="2"/>
  <c r="E6083" i="2"/>
  <c r="E834" i="2"/>
  <c r="E4050" i="2"/>
  <c r="E5136" i="2"/>
  <c r="E575" i="2"/>
  <c r="E434" i="2"/>
  <c r="E2252" i="2"/>
  <c r="E4811" i="2"/>
  <c r="E4751" i="2"/>
  <c r="E2481" i="2"/>
  <c r="E1502" i="2"/>
  <c r="E5940" i="2"/>
  <c r="E3303" i="2"/>
  <c r="E1388" i="2"/>
  <c r="E2016" i="2"/>
  <c r="E4482" i="2"/>
  <c r="E4413" i="2"/>
  <c r="E612" i="2"/>
  <c r="E660" i="2"/>
  <c r="E5724" i="2"/>
  <c r="E5785" i="2"/>
  <c r="E1213" i="2"/>
  <c r="E103" i="2"/>
  <c r="E3387" i="2"/>
  <c r="E2025" i="2"/>
  <c r="E4783" i="2"/>
  <c r="E2785" i="2"/>
  <c r="E2972" i="2"/>
  <c r="E5897" i="2"/>
  <c r="E2748" i="2"/>
  <c r="E4854" i="2"/>
  <c r="E968" i="2"/>
  <c r="E5000" i="2"/>
  <c r="E2049" i="2"/>
  <c r="E5941" i="2"/>
  <c r="E908" i="2"/>
  <c r="E350" i="2"/>
  <c r="E786" i="2"/>
  <c r="E536" i="2"/>
  <c r="E1512" i="2"/>
  <c r="E3804" i="2"/>
  <c r="E2678" i="2"/>
  <c r="E1530" i="2"/>
  <c r="E1755" i="2"/>
  <c r="E1595" i="2"/>
  <c r="E5229" i="2"/>
  <c r="E3418" i="2"/>
  <c r="E239" i="2"/>
  <c r="E1506" i="2"/>
  <c r="E2937" i="2"/>
  <c r="E5360" i="2"/>
  <c r="E250" i="2"/>
  <c r="E5252" i="2"/>
  <c r="E3023" i="2"/>
  <c r="E2327" i="2"/>
  <c r="E2294" i="2"/>
  <c r="E4816" i="2"/>
  <c r="E1967" i="2"/>
  <c r="E4870" i="2"/>
  <c r="E594" i="2"/>
  <c r="E739" i="2"/>
  <c r="E4066" i="2"/>
  <c r="E290" i="2"/>
  <c r="E1425" i="2"/>
  <c r="E1357" i="2"/>
  <c r="E5786" i="2"/>
  <c r="E514" i="2"/>
  <c r="E2101" i="2"/>
  <c r="E2153" i="2"/>
  <c r="E5177" i="2"/>
  <c r="E3112" i="2"/>
  <c r="E1677" i="2"/>
  <c r="E1434" i="2"/>
  <c r="E605" i="2"/>
  <c r="E5058" i="2"/>
  <c r="E4361" i="2"/>
  <c r="E3016" i="2"/>
  <c r="E5878" i="2"/>
  <c r="E1931" i="2"/>
  <c r="E2244" i="2"/>
  <c r="E156" i="2"/>
  <c r="E1037" i="2"/>
  <c r="E1058" i="2"/>
  <c r="E1005" i="2"/>
  <c r="E5698" i="2"/>
  <c r="E2113" i="2"/>
  <c r="E2465" i="2"/>
  <c r="E3703" i="2"/>
  <c r="E2422" i="2"/>
  <c r="E4985" i="2"/>
  <c r="E892" i="2"/>
  <c r="E3913" i="2"/>
  <c r="E5821" i="2"/>
  <c r="E574" i="2"/>
  <c r="E6120" i="2"/>
  <c r="E640" i="2"/>
  <c r="E2417" i="2"/>
  <c r="E4553" i="2"/>
  <c r="E1579" i="2"/>
  <c r="E727" i="2"/>
  <c r="E3864" i="2"/>
  <c r="E2091" i="2"/>
  <c r="E3881" i="2"/>
  <c r="E444" i="2"/>
  <c r="E6082" i="2"/>
  <c r="E4187" i="2"/>
  <c r="E5891" i="2"/>
  <c r="E118" i="2"/>
  <c r="E5552" i="2"/>
  <c r="E5442" i="2"/>
  <c r="E3271" i="2"/>
  <c r="E3166" i="2"/>
  <c r="E597" i="2"/>
  <c r="E1851" i="2"/>
  <c r="E2491" i="2"/>
  <c r="E2218" i="2"/>
  <c r="E1307" i="2"/>
  <c r="E2394" i="2"/>
  <c r="E5524" i="2"/>
  <c r="E5260" i="2"/>
  <c r="E2984" i="2"/>
  <c r="E1537" i="2"/>
  <c r="E1387" i="2"/>
  <c r="E5443" i="2"/>
  <c r="E3061" i="2"/>
  <c r="E3616" i="2"/>
  <c r="E2635" i="2"/>
  <c r="E3537" i="2"/>
  <c r="E4278" i="2"/>
  <c r="E429" i="2"/>
  <c r="E1196" i="2"/>
  <c r="E1308" i="2"/>
  <c r="E4532" i="2"/>
  <c r="E991" i="2"/>
  <c r="E5968" i="2"/>
  <c r="E2838" i="2"/>
  <c r="E5479" i="2"/>
  <c r="E55" i="2"/>
  <c r="E2769" i="2"/>
  <c r="E1361" i="2"/>
  <c r="E5525" i="2"/>
  <c r="E3367" i="2"/>
  <c r="E969" i="2"/>
  <c r="E1822" i="2"/>
  <c r="E992" i="2"/>
  <c r="E1737" i="2"/>
  <c r="E4773" i="2"/>
  <c r="E960" i="2"/>
  <c r="E1254" i="2"/>
  <c r="E1441" i="2"/>
  <c r="E3572" i="2"/>
  <c r="E4306" i="2"/>
  <c r="E1101" i="2"/>
  <c r="E2095" i="2"/>
  <c r="E3669" i="2"/>
  <c r="E5814" i="2"/>
  <c r="E278" i="2"/>
  <c r="E4437" i="2"/>
  <c r="E1961" i="2"/>
  <c r="E3812" i="2"/>
  <c r="E298" i="2"/>
  <c r="E867" i="2"/>
  <c r="E1986" i="2"/>
  <c r="E4823" i="2"/>
  <c r="E237" i="2"/>
  <c r="E5271" i="2"/>
  <c r="E832" i="2"/>
  <c r="E4909" i="2"/>
  <c r="E75" i="2"/>
  <c r="E5371" i="2"/>
  <c r="E5047" i="2"/>
  <c r="E852" i="2"/>
  <c r="E3857" i="2"/>
  <c r="E162" i="2"/>
  <c r="E4182" i="2"/>
  <c r="E5528" i="2"/>
  <c r="E580" i="2"/>
  <c r="E2885" i="2"/>
  <c r="E5647" i="2"/>
  <c r="E251" i="2"/>
  <c r="E583" i="2"/>
  <c r="E4015" i="2"/>
  <c r="E4640" i="2"/>
  <c r="E2507" i="2"/>
  <c r="E2291" i="2"/>
  <c r="E1285" i="2"/>
  <c r="E4697" i="2"/>
  <c r="E1743" i="2"/>
  <c r="E459" i="2"/>
  <c r="E5950" i="2"/>
  <c r="E1246" i="2"/>
  <c r="E4701" i="2"/>
  <c r="E3685" i="2"/>
  <c r="E5804" i="2"/>
  <c r="E1697" i="2"/>
  <c r="E5383" i="2"/>
  <c r="E1699" i="2"/>
  <c r="E1305" i="2"/>
  <c r="E4659" i="2"/>
  <c r="E847" i="2"/>
  <c r="E3654" i="2"/>
  <c r="E6085" i="2"/>
  <c r="E5773" i="2"/>
  <c r="E2833" i="2"/>
  <c r="E3113" i="2"/>
  <c r="E5483" i="2"/>
  <c r="E2000" i="2"/>
  <c r="E142" i="2"/>
  <c r="E330" i="2"/>
  <c r="E1195" i="2"/>
  <c r="E4563" i="2"/>
  <c r="E4424" i="2"/>
  <c r="E6034" i="2"/>
  <c r="E4387" i="2"/>
  <c r="E2809" i="2"/>
  <c r="E6017" i="2"/>
  <c r="E2848" i="2"/>
  <c r="E4769" i="2"/>
  <c r="E5665" i="2"/>
  <c r="E5267" i="2"/>
  <c r="E461" i="2"/>
  <c r="E4019" i="2"/>
  <c r="E2934" i="2"/>
  <c r="E1486" i="2"/>
  <c r="E3284" i="2"/>
  <c r="E467" i="2"/>
  <c r="E993" i="2"/>
  <c r="E4865" i="2"/>
  <c r="E1380" i="2"/>
  <c r="E4377" i="2"/>
  <c r="E4573" i="2"/>
  <c r="E1861" i="2"/>
  <c r="E3619" i="2"/>
  <c r="E3819" i="2"/>
  <c r="E3100" i="2"/>
  <c r="E4244" i="2"/>
  <c r="E3151" i="2"/>
  <c r="E698" i="2"/>
  <c r="E4028" i="2"/>
  <c r="E3976" i="2"/>
  <c r="E970" i="2"/>
  <c r="E3700" i="2"/>
  <c r="E4596" i="2"/>
  <c r="E3176" i="2"/>
  <c r="E4318" i="2"/>
  <c r="E1942" i="2"/>
  <c r="E2562" i="2"/>
  <c r="E6043" i="2"/>
  <c r="E2615" i="2"/>
  <c r="E111" i="2"/>
  <c r="E6081" i="2"/>
  <c r="E2115" i="2"/>
  <c r="E6118" i="2"/>
  <c r="E2781" i="2"/>
  <c r="E2881" i="2"/>
  <c r="E4410" i="2"/>
  <c r="E5172" i="2"/>
  <c r="E3552" i="2"/>
  <c r="E4988" i="2"/>
  <c r="E4343" i="2"/>
  <c r="E2404" i="2"/>
  <c r="E1910" i="2"/>
  <c r="E3988" i="2"/>
  <c r="E113" i="2"/>
  <c r="E3519" i="2"/>
  <c r="E5288" i="2"/>
  <c r="E5921" i="2"/>
  <c r="E1483" i="2"/>
  <c r="E376" i="2"/>
  <c r="E2570" i="2"/>
  <c r="E1085" i="2"/>
  <c r="E5816" i="2"/>
  <c r="E2454" i="2"/>
  <c r="E4810" i="2"/>
  <c r="E254" i="2"/>
  <c r="E483" i="2"/>
  <c r="E404" i="2"/>
  <c r="E550" i="2"/>
  <c r="E4247" i="2"/>
  <c r="E3495" i="2"/>
  <c r="E4406" i="2"/>
  <c r="E2097" i="2"/>
  <c r="E1748" i="2"/>
  <c r="E767" i="2"/>
  <c r="E2413" i="2"/>
  <c r="E5879" i="2"/>
  <c r="E1363" i="2"/>
  <c r="E351" i="2"/>
  <c r="E4779" i="2"/>
  <c r="E964" i="2"/>
  <c r="E5575" i="2"/>
  <c r="E2810" i="2"/>
  <c r="E5837" i="2"/>
  <c r="E2509" i="2"/>
  <c r="E3731" i="2"/>
  <c r="E978" i="2"/>
  <c r="E4062" i="2"/>
  <c r="E4976" i="2"/>
  <c r="E3449" i="2"/>
  <c r="E3687" i="2"/>
  <c r="E798" i="2"/>
  <c r="E3396" i="2"/>
  <c r="E1241" i="2"/>
  <c r="E151" i="2"/>
  <c r="E771" i="2"/>
  <c r="E5839" i="2"/>
  <c r="E369" i="2"/>
  <c r="E3905" i="2"/>
  <c r="E1670" i="2"/>
  <c r="E5034" i="2"/>
  <c r="E5003" i="2"/>
  <c r="E4722" i="2"/>
  <c r="E655" i="2"/>
  <c r="E2496" i="2"/>
  <c r="E5352" i="2"/>
  <c r="E2457" i="2"/>
  <c r="E2034" i="2"/>
  <c r="E2007" i="2"/>
  <c r="E5005" i="2"/>
  <c r="E3930" i="2"/>
  <c r="E792" i="2"/>
  <c r="E3380" i="2"/>
  <c r="E1264" i="2"/>
  <c r="E4264" i="2"/>
  <c r="E4257" i="2"/>
  <c r="E3982" i="2"/>
  <c r="E1573" i="2"/>
  <c r="E567" i="2"/>
  <c r="E3994" i="2"/>
  <c r="E2704" i="2"/>
  <c r="E950" i="2"/>
  <c r="E2903" i="2"/>
  <c r="E3562" i="2"/>
  <c r="E654" i="2"/>
  <c r="E4983" i="2"/>
  <c r="E1507" i="2"/>
  <c r="E5812" i="2"/>
  <c r="E1367" i="2"/>
  <c r="E5955" i="2"/>
  <c r="E49" i="2"/>
  <c r="E5402" i="2"/>
  <c r="E3375" i="2"/>
  <c r="E5476" i="2"/>
  <c r="E2014" i="2"/>
  <c r="E117" i="2"/>
  <c r="E3095" i="2"/>
  <c r="E1430" i="2"/>
  <c r="E1735" i="2"/>
  <c r="E2629" i="2"/>
  <c r="E398" i="2"/>
  <c r="E1574" i="2"/>
  <c r="E1116" i="2"/>
  <c r="E2134" i="2"/>
  <c r="E3742" i="2"/>
  <c r="E4549" i="2"/>
  <c r="E2143" i="2"/>
  <c r="E2009" i="2"/>
  <c r="E4707" i="2"/>
  <c r="E5344" i="2"/>
  <c r="E6053" i="2"/>
  <c r="E5628" i="2"/>
  <c r="E2493" i="2"/>
  <c r="E5634" i="2"/>
  <c r="E4327" i="2"/>
  <c r="E3576" i="2"/>
  <c r="E5728" i="2"/>
  <c r="E3817" i="2"/>
  <c r="E4513" i="2"/>
  <c r="E5979" i="2"/>
  <c r="E579" i="2"/>
  <c r="E3661" i="2"/>
  <c r="E5799" i="2"/>
  <c r="E2645" i="2"/>
  <c r="E5378" i="2"/>
  <c r="E3835" i="2"/>
  <c r="E5759" i="2"/>
  <c r="E3917" i="2"/>
  <c r="E3565" i="2"/>
  <c r="E5012" i="2"/>
  <c r="E5503" i="2"/>
  <c r="E1830" i="2"/>
  <c r="E6095" i="2"/>
  <c r="E4177" i="2"/>
  <c r="E4615" i="2"/>
  <c r="E5064" i="2"/>
  <c r="E3755" i="2"/>
  <c r="E207" i="2"/>
  <c r="E2948" i="2"/>
  <c r="E4337" i="2"/>
  <c r="E5781" i="2"/>
  <c r="E1845" i="2"/>
  <c r="E4763" i="2"/>
  <c r="E5519" i="2"/>
  <c r="E5230" i="2"/>
  <c r="E5956" i="2"/>
  <c r="E5866" i="2"/>
  <c r="E317" i="2"/>
  <c r="E2366" i="2"/>
  <c r="E2090" i="2"/>
  <c r="E4163" i="2"/>
  <c r="E5298" i="2"/>
  <c r="E1989" i="2"/>
  <c r="E1024" i="2"/>
  <c r="E2918" i="2"/>
  <c r="E2100" i="2"/>
  <c r="E909" i="2"/>
  <c r="E2932" i="2"/>
  <c r="E3652" i="2"/>
  <c r="E5819" i="2"/>
  <c r="E3675" i="2"/>
  <c r="E3359" i="2"/>
  <c r="E5488" i="2"/>
  <c r="E768" i="2"/>
  <c r="E2550" i="2"/>
  <c r="E6045" i="2"/>
  <c r="E73" i="2"/>
  <c r="E1057" i="2"/>
  <c r="E1685" i="2"/>
  <c r="E3542" i="2"/>
  <c r="E5447" i="2"/>
  <c r="E3219" i="2"/>
  <c r="E5365" i="2"/>
  <c r="E4067" i="2"/>
  <c r="E2217" i="2"/>
  <c r="E3469" i="2"/>
  <c r="E3111" i="2"/>
  <c r="E531" i="2"/>
  <c r="E2013" i="2"/>
  <c r="E2604" i="2"/>
  <c r="E5158" i="2"/>
  <c r="E2140" i="2"/>
  <c r="E551" i="2"/>
  <c r="E4554" i="2"/>
  <c r="E2365" i="2"/>
  <c r="E4849" i="2"/>
  <c r="E6106" i="2"/>
  <c r="E1165" i="2"/>
  <c r="E6132" i="2"/>
  <c r="E4684" i="2"/>
  <c r="E1482" i="2"/>
  <c r="E1409" i="2"/>
  <c r="E2155" i="2"/>
  <c r="E1477" i="2"/>
  <c r="E3191" i="2"/>
  <c r="E559" i="2"/>
  <c r="E3719" i="2"/>
  <c r="E2895" i="2"/>
  <c r="E6080" i="2"/>
  <c r="E1898" i="2"/>
  <c r="E4757" i="2"/>
  <c r="E1770" i="2"/>
  <c r="E300" i="2"/>
  <c r="E341" i="2"/>
  <c r="E2425" i="2"/>
  <c r="E3309" i="2"/>
  <c r="E5373" i="2"/>
  <c r="E2275" i="2"/>
  <c r="E4082" i="2"/>
  <c r="E5583" i="2"/>
  <c r="E3033" i="2"/>
  <c r="E692" i="2"/>
  <c r="E1878" i="2"/>
  <c r="E1943" i="2"/>
  <c r="E2298" i="2"/>
  <c r="E5209" i="2"/>
  <c r="E2978" i="2"/>
  <c r="E2523" i="2"/>
  <c r="E656" i="2"/>
  <c r="E4390" i="2"/>
  <c r="E4427" i="2"/>
  <c r="E3470" i="2"/>
  <c r="E225" i="2"/>
  <c r="E1139" i="2"/>
  <c r="E2985" i="2"/>
  <c r="E1925" i="2"/>
  <c r="E1327" i="2"/>
  <c r="E2248" i="2"/>
  <c r="E5076" i="2"/>
  <c r="E4153" i="2"/>
  <c r="E4103" i="2"/>
  <c r="E1248" i="2"/>
  <c r="E1692" i="2"/>
  <c r="E998" i="2"/>
  <c r="E4113" i="2"/>
  <c r="E6093" i="2"/>
  <c r="E3544" i="2"/>
  <c r="E3540" i="2"/>
  <c r="E5278" i="2"/>
  <c r="E1155" i="2"/>
  <c r="E2112" i="2"/>
  <c r="E5985" i="2"/>
  <c r="E2295" i="2"/>
  <c r="E3666" i="2"/>
  <c r="E1962" i="2"/>
  <c r="E5515" i="2"/>
  <c r="E2840" i="2"/>
  <c r="E5161" i="2"/>
  <c r="E133" i="2"/>
  <c r="E3560" i="2"/>
  <c r="E716" i="2"/>
  <c r="E934" i="2"/>
  <c r="E1396" i="2"/>
  <c r="E3460" i="2"/>
  <c r="E707" i="2"/>
  <c r="E3231" i="2"/>
  <c r="E4456" i="2"/>
  <c r="E4500" i="2"/>
  <c r="E4403" i="2"/>
  <c r="E1183" i="2"/>
  <c r="E5201" i="2"/>
  <c r="E1829" i="2"/>
  <c r="E997" i="2"/>
  <c r="E5324" i="2"/>
  <c r="E5736" i="2"/>
  <c r="E1311" i="2"/>
  <c r="E5757" i="2"/>
  <c r="E5335" i="2"/>
  <c r="E4119" i="2"/>
  <c r="E4936" i="2"/>
  <c r="E3801" i="2"/>
  <c r="E132" i="2"/>
  <c r="E5087" i="2"/>
  <c r="E2726" i="2"/>
  <c r="E4528" i="2"/>
  <c r="E2495" i="2"/>
  <c r="E1093" i="2"/>
  <c r="E942" i="2"/>
  <c r="E161" i="2"/>
  <c r="E3773" i="2"/>
  <c r="E3695" i="2"/>
  <c r="E3146" i="2"/>
  <c r="E6004" i="2"/>
  <c r="E801" i="2"/>
  <c r="E5055" i="2"/>
  <c r="E5765" i="2"/>
  <c r="E4091" i="2"/>
  <c r="E3566" i="2"/>
  <c r="E5021" i="2"/>
  <c r="E6049" i="2"/>
  <c r="E2622" i="2"/>
  <c r="E2767" i="2"/>
  <c r="E2274" i="2"/>
  <c r="E2627" i="2"/>
  <c r="E5317" i="2"/>
  <c r="E4286" i="2"/>
  <c r="E5037" i="2"/>
  <c r="E3409" i="2"/>
  <c r="E2023" i="2"/>
  <c r="E509" i="2"/>
  <c r="E4998" i="2"/>
  <c r="E3964" i="2"/>
  <c r="E3870" i="2"/>
  <c r="E1997" i="2"/>
  <c r="E2040" i="2"/>
  <c r="E4284" i="2"/>
  <c r="E2906" i="2"/>
  <c r="E85" i="2"/>
  <c r="E3709" i="2"/>
  <c r="E505" i="2"/>
  <c r="E4037" i="2"/>
  <c r="E4252" i="2"/>
  <c r="E1270" i="2"/>
  <c r="E1273" i="2"/>
  <c r="E5680" i="2"/>
  <c r="E4045" i="2"/>
  <c r="E2664" i="2"/>
  <c r="E5999" i="2"/>
  <c r="E1843" i="2"/>
  <c r="E2737" i="2"/>
  <c r="E4469" i="2"/>
  <c r="E5923" i="2"/>
  <c r="E5988" i="2"/>
  <c r="E1413" i="2"/>
  <c r="E2890" i="2"/>
  <c r="E4293" i="2"/>
  <c r="E4547" i="2"/>
  <c r="E4743" i="2"/>
  <c r="E176" i="2"/>
  <c r="E6099" i="2"/>
  <c r="E2462" i="2"/>
  <c r="E664" i="2"/>
  <c r="E1175" i="2"/>
  <c r="E443" i="2"/>
  <c r="E2549" i="2"/>
  <c r="E3989" i="2"/>
  <c r="E3015" i="2"/>
  <c r="E3598" i="2"/>
  <c r="E2441" i="2"/>
  <c r="E192" i="2"/>
  <c r="E3678" i="2"/>
  <c r="E4334" i="2"/>
  <c r="E1564" i="2"/>
  <c r="E2341" i="2"/>
  <c r="E1975" i="2"/>
  <c r="E4472" i="2"/>
  <c r="E3853" i="2"/>
  <c r="E2610" i="2"/>
  <c r="E5704" i="2"/>
  <c r="E4382" i="2"/>
  <c r="E2558" i="2"/>
  <c r="E1983" i="2"/>
  <c r="E352" i="2"/>
  <c r="E765" i="2"/>
  <c r="E2765" i="2"/>
  <c r="E5109" i="2"/>
  <c r="E4201" i="2"/>
  <c r="E982" i="2"/>
  <c r="E2517" i="2"/>
  <c r="E3720" i="2"/>
  <c r="E2935" i="2"/>
  <c r="E335" i="2"/>
  <c r="E59" i="2"/>
  <c r="E2381" i="2"/>
  <c r="E1987" i="2"/>
  <c r="E4862" i="2"/>
  <c r="E5778" i="2"/>
  <c r="E1871" i="2"/>
  <c r="E3663" i="2"/>
  <c r="E2356" i="2"/>
  <c r="E2246" i="2"/>
  <c r="E2564" i="2"/>
  <c r="E862" i="2"/>
  <c r="E2439" i="2"/>
  <c r="E1842" i="2"/>
  <c r="E2536" i="2"/>
  <c r="E2580" i="2"/>
  <c r="E1693" i="2"/>
  <c r="E2022" i="2"/>
  <c r="E2900" i="2"/>
  <c r="E5900" i="2"/>
  <c r="E3829" i="2"/>
  <c r="E355" i="2"/>
  <c r="E2643" i="2"/>
  <c r="E2098" i="2"/>
  <c r="E4118" i="2"/>
  <c r="E5828" i="2"/>
  <c r="E705" i="2"/>
  <c r="E6021" i="2"/>
  <c r="E2977" i="2"/>
  <c r="E5911" i="2"/>
  <c r="E3130" i="2"/>
  <c r="E458" i="2"/>
  <c r="E5576" i="2"/>
  <c r="E2144" i="2"/>
  <c r="E5188" i="2"/>
  <c r="E642" i="2"/>
  <c r="E2037" i="2"/>
  <c r="E5818" i="2"/>
  <c r="E4167" i="2"/>
  <c r="E4452" i="2"/>
  <c r="E479" i="2"/>
  <c r="E2866" i="2"/>
  <c r="E3839" i="2"/>
  <c r="E2191" i="2"/>
  <c r="E5235" i="2"/>
  <c r="E937" i="2"/>
  <c r="E3727" i="2"/>
  <c r="E1136" i="2"/>
  <c r="E1555" i="2"/>
  <c r="E283" i="2"/>
  <c r="E4662" i="2"/>
  <c r="E5411" i="2"/>
  <c r="E5108" i="2"/>
  <c r="E3621" i="2"/>
  <c r="E2953" i="2"/>
  <c r="E3737" i="2"/>
  <c r="E5972" i="2"/>
  <c r="E4767" i="2"/>
  <c r="E62" i="2"/>
  <c r="E489" i="2"/>
  <c r="E1874" i="2"/>
  <c r="E5368" i="2"/>
  <c r="E1118" i="2"/>
  <c r="E2347" i="2"/>
  <c r="E227" i="2"/>
  <c r="E6097" i="2"/>
  <c r="E2015" i="2"/>
  <c r="E843" i="2"/>
  <c r="E1711" i="2"/>
  <c r="E1205" i="2"/>
  <c r="E4626" i="2"/>
  <c r="E5802" i="2"/>
  <c r="E5441" i="2"/>
  <c r="E5499" i="2"/>
  <c r="E5030" i="2"/>
  <c r="E2106" i="2"/>
  <c r="E4752" i="2"/>
  <c r="E810" i="2"/>
  <c r="E2926" i="2"/>
  <c r="E3535" i="2"/>
  <c r="E1412" i="2"/>
  <c r="E5349" i="2"/>
  <c r="E4012" i="2"/>
  <c r="E4856" i="2"/>
  <c r="E6114" i="2"/>
  <c r="E2969" i="2"/>
  <c r="E5852" i="2"/>
  <c r="E1856" i="2"/>
  <c r="E1115" i="2"/>
  <c r="E1333" i="2"/>
  <c r="E5740" i="2"/>
  <c r="E2592" i="2"/>
  <c r="E231" i="2"/>
  <c r="E1378" i="2"/>
  <c r="E2262" i="2"/>
  <c r="E4268" i="2"/>
  <c r="E4464" i="2"/>
  <c r="E1435" i="2"/>
  <c r="E201" i="2"/>
  <c r="E1097" i="2"/>
  <c r="E3957" i="2"/>
  <c r="E3259" i="2"/>
  <c r="E249" i="2"/>
  <c r="E216" i="2"/>
  <c r="E1021" i="2"/>
  <c r="E808" i="2"/>
  <c r="E1203" i="2"/>
  <c r="E3073" i="2"/>
  <c r="E264" i="2"/>
  <c r="E794" i="2"/>
  <c r="E3489" i="2"/>
  <c r="E676" i="2"/>
  <c r="E3533" i="2"/>
  <c r="E1614" i="2"/>
  <c r="E5454" i="2"/>
  <c r="E5763" i="2"/>
  <c r="E4156" i="2"/>
  <c r="E3124" i="2"/>
  <c r="E4323" i="2"/>
  <c r="E3060" i="2"/>
  <c r="E2076" i="2"/>
  <c r="E1824" i="2"/>
  <c r="E1403" i="2"/>
  <c r="E1587" i="2"/>
  <c r="E2281" i="2"/>
  <c r="E2718" i="2"/>
  <c r="E5869" i="2"/>
  <c r="E5672" i="2"/>
  <c r="E4576" i="2"/>
  <c r="E2448" i="2"/>
  <c r="E2916" i="2"/>
  <c r="E5806" i="2"/>
  <c r="E1029" i="2"/>
  <c r="E3168" i="2"/>
  <c r="E4196" i="2"/>
  <c r="E1001" i="2"/>
  <c r="E4142" i="2"/>
  <c r="E223" i="2"/>
  <c r="E4544" i="2"/>
  <c r="E3992" i="2"/>
  <c r="E1633" i="2"/>
  <c r="E5444" i="2"/>
  <c r="E3636" i="2"/>
  <c r="E1709" i="2"/>
  <c r="E5437" i="2"/>
  <c r="E4444" i="2"/>
  <c r="E626" i="2"/>
  <c r="E3255" i="2"/>
  <c r="E5470" i="2"/>
  <c r="E2178" i="2"/>
  <c r="E839" i="2"/>
  <c r="E971" i="2"/>
  <c r="E4644" i="2"/>
  <c r="E4083" i="2"/>
  <c r="E4575" i="2"/>
  <c r="E4203" i="2"/>
  <c r="E521" i="2"/>
  <c r="E3416" i="2"/>
  <c r="E268" i="2"/>
  <c r="E4493" i="2"/>
  <c r="E2092" i="2"/>
  <c r="E3464" i="2"/>
  <c r="E3483" i="2"/>
  <c r="E2337" i="2"/>
  <c r="E5063" i="2"/>
  <c r="E2225" i="2"/>
  <c r="E1649" i="2"/>
  <c r="E423" i="2"/>
  <c r="E5113" i="2"/>
  <c r="E4222" i="2"/>
  <c r="E3752" i="2"/>
  <c r="E1372" i="2"/>
  <c r="E1206" i="2"/>
  <c r="E5002" i="2"/>
  <c r="E5913" i="2"/>
  <c r="E3494" i="2"/>
  <c r="E3875" i="2"/>
  <c r="E2633" i="2"/>
  <c r="E2116" i="2"/>
  <c r="E4340" i="2"/>
  <c r="E504" i="2"/>
  <c r="E4855" i="2"/>
  <c r="E1980" i="2"/>
  <c r="E748" i="2"/>
  <c r="E407" i="2"/>
  <c r="E481" i="2"/>
  <c r="E6133" i="2"/>
  <c r="E3701" i="2"/>
  <c r="E4908" i="2"/>
  <c r="E1309" i="2"/>
  <c r="E3504" i="2"/>
  <c r="E1751" i="2"/>
  <c r="E2639" i="2"/>
  <c r="E904" i="2"/>
  <c r="E1850" i="2"/>
  <c r="E1545" i="2"/>
  <c r="E2008" i="2"/>
  <c r="E5986" i="2"/>
  <c r="E1448" i="2"/>
  <c r="E785" i="2"/>
  <c r="E3651" i="2"/>
  <c r="E232" i="2"/>
  <c r="E672" i="2"/>
  <c r="E4147" i="2"/>
  <c r="E203" i="2"/>
  <c r="E1346" i="2"/>
  <c r="E1641" i="2"/>
  <c r="E2175" i="2"/>
  <c r="E498" i="2"/>
  <c r="E3103" i="2"/>
  <c r="E2511" i="2"/>
  <c r="E1411" i="2"/>
  <c r="E4486" i="2"/>
  <c r="E1163" i="2"/>
  <c r="E3618" i="2"/>
  <c r="E2368" i="2"/>
  <c r="E2096" i="2"/>
  <c r="E3860" i="2"/>
  <c r="E1721" i="2"/>
  <c r="E1429" i="2"/>
  <c r="E4510" i="2"/>
  <c r="E3267" i="2"/>
  <c r="E4913" i="2"/>
  <c r="E4866" i="2"/>
  <c r="E4625" i="2"/>
  <c r="E2156" i="2"/>
  <c r="E3836" i="2"/>
  <c r="E3758" i="2"/>
  <c r="E3132" i="2"/>
  <c r="E4700" i="2"/>
  <c r="E710" i="2"/>
  <c r="E4488" i="2"/>
  <c r="E2238" i="2"/>
  <c r="E3478" i="2"/>
  <c r="E1172" i="2"/>
  <c r="E5758" i="2"/>
  <c r="E1560" i="2"/>
  <c r="E1744" i="2"/>
  <c r="E4202" i="2"/>
  <c r="E838" i="2"/>
  <c r="E5473" i="2"/>
  <c r="E2837" i="2"/>
  <c r="E1382" i="2"/>
  <c r="E3594" i="2"/>
  <c r="E131" i="2"/>
  <c r="E5693" i="2"/>
  <c r="E2169" i="2"/>
  <c r="E4338" i="2"/>
  <c r="E6020" i="2"/>
  <c r="E4696" i="2"/>
  <c r="E1569" i="2"/>
  <c r="E5135" i="2"/>
  <c r="E4305" i="2"/>
  <c r="E282" i="2"/>
  <c r="E602" i="2"/>
  <c r="E3672" i="2"/>
  <c r="E4694" i="2"/>
  <c r="E1394" i="2"/>
  <c r="E4954" i="2"/>
  <c r="E1608" i="2"/>
  <c r="E2982" i="2"/>
  <c r="E3352" i="2"/>
  <c r="E5169" i="2"/>
  <c r="E4017" i="2"/>
  <c r="E4572" i="2"/>
  <c r="E5514" i="2"/>
  <c r="E3376" i="2"/>
  <c r="E3498" i="2"/>
  <c r="E1602" i="2"/>
  <c r="E220" i="2"/>
  <c r="E4125" i="2"/>
  <c r="E1131" i="2"/>
  <c r="E2064" i="2"/>
  <c r="E1247" i="2"/>
  <c r="E4418" i="2"/>
  <c r="E1593" i="2"/>
  <c r="E725" i="2"/>
  <c r="E349" i="2"/>
  <c r="E4670" i="2"/>
  <c r="E1823" i="2"/>
  <c r="E448" i="2"/>
  <c r="E1580" i="2"/>
  <c r="E5585" i="2"/>
  <c r="E2620" i="2"/>
  <c r="E3963" i="2"/>
  <c r="E546" i="2"/>
  <c r="E1775" i="2"/>
  <c r="E5421" i="2"/>
  <c r="E190" i="2"/>
  <c r="E4049" i="2"/>
  <c r="E1700" i="2"/>
  <c r="E5978" i="2"/>
  <c r="E1237" i="2"/>
  <c r="E5574" i="2"/>
  <c r="E4152" i="2"/>
  <c r="E2345" i="2"/>
  <c r="E3788" i="2"/>
  <c r="E4087" i="2"/>
  <c r="E3026" i="2"/>
  <c r="E3843" i="2"/>
  <c r="E3318" i="2"/>
  <c r="E4642" i="2"/>
  <c r="E5008" i="2"/>
  <c r="E4715" i="2"/>
  <c r="E2393" i="2"/>
  <c r="E3335" i="2"/>
  <c r="E878" i="2"/>
  <c r="E5981" i="2"/>
  <c r="E2354" i="2"/>
  <c r="E5646" i="2"/>
  <c r="E4945" i="2"/>
  <c r="E4366" i="2"/>
  <c r="E4481" i="2"/>
  <c r="E4164" i="2"/>
  <c r="E5810" i="2"/>
  <c r="E5696" i="2"/>
  <c r="E2599" i="2"/>
  <c r="E3729" i="2"/>
  <c r="E4360" i="2"/>
  <c r="E88" i="2"/>
  <c r="E1617" i="2"/>
  <c r="E4608" i="2"/>
  <c r="E58" i="2"/>
  <c r="E775" i="2"/>
  <c r="E259" i="2"/>
  <c r="E128" i="2"/>
  <c r="E636" i="2"/>
  <c r="E973" i="2"/>
  <c r="E5916" i="2"/>
  <c r="E5577" i="2"/>
  <c r="E1228" i="2"/>
  <c r="E1158" i="2"/>
  <c r="E5468" i="2"/>
  <c r="E1299" i="2"/>
  <c r="E2820" i="2"/>
  <c r="E3575" i="2"/>
  <c r="E4064" i="2"/>
  <c r="E974" i="2"/>
  <c r="E3924" i="2"/>
  <c r="E1362" i="2"/>
  <c r="E1271" i="2"/>
  <c r="E1873" i="2"/>
  <c r="E733" i="2"/>
  <c r="E2408" i="2"/>
  <c r="E4128" i="2"/>
  <c r="E6151" i="2"/>
  <c r="E168" i="2"/>
  <c r="E2960" i="2"/>
  <c r="E4355" i="2"/>
  <c r="E5855" i="2"/>
  <c r="E5703" i="2"/>
  <c r="E3459" i="2"/>
  <c r="E258" i="2"/>
  <c r="E3826" i="2"/>
  <c r="E3213" i="2"/>
  <c r="E1680" i="2"/>
  <c r="E4987" i="2"/>
  <c r="E2590" i="2"/>
  <c r="E3019" i="2"/>
  <c r="E3118" i="2"/>
  <c r="E4029" i="2"/>
  <c r="E1484" i="2"/>
  <c r="E1201" i="2"/>
  <c r="E530" i="2"/>
  <c r="E837" i="2"/>
  <c r="E138" i="2"/>
  <c r="E4419" i="2"/>
  <c r="E830" i="2"/>
  <c r="E1607" i="2"/>
  <c r="E1806" i="2"/>
  <c r="E3948" i="2"/>
  <c r="E393" i="2"/>
  <c r="E3928" i="2"/>
  <c r="E1301" i="2"/>
  <c r="E6035" i="2"/>
  <c r="E2662" i="2"/>
  <c r="E4407" i="2"/>
  <c r="E1059" i="2"/>
  <c r="E4748" i="2"/>
  <c r="E5871" i="2"/>
  <c r="E2280" i="2"/>
  <c r="E4832" i="2"/>
  <c r="E1103" i="2"/>
  <c r="E4660" i="2"/>
  <c r="E4122" i="2"/>
  <c r="E61" i="2"/>
  <c r="E5755" i="2"/>
  <c r="E2797" i="2"/>
  <c r="E2482" i="2"/>
  <c r="E1256" i="2"/>
  <c r="E4992" i="2"/>
  <c r="E4523" i="2"/>
  <c r="E4374" i="2"/>
  <c r="E3640" i="2"/>
  <c r="E6091" i="2"/>
  <c r="E3108" i="2"/>
  <c r="E5062" i="2"/>
  <c r="E2686" i="2"/>
  <c r="E314" i="2"/>
  <c r="E3035" i="2"/>
  <c r="E2215" i="2"/>
  <c r="E4311" i="2"/>
  <c r="E3809" i="2"/>
  <c r="E4963" i="2"/>
  <c r="E6000" i="2"/>
  <c r="E4476" i="2"/>
  <c r="E4192" i="2"/>
  <c r="E4426" i="2"/>
  <c r="E2745" i="2"/>
  <c r="E5338" i="2"/>
  <c r="E4789" i="2"/>
  <c r="E6105" i="2"/>
  <c r="E4857" i="2"/>
  <c r="E6022" i="2"/>
  <c r="E930" i="2"/>
  <c r="E1461" i="2"/>
  <c r="E757" i="2"/>
  <c r="E1249" i="2"/>
  <c r="E5875" i="2"/>
  <c r="E1008" i="2"/>
  <c r="E3274" i="2"/>
  <c r="E1458" i="2"/>
  <c r="E4443" i="2"/>
  <c r="E3184" i="2"/>
  <c r="E2784" i="2"/>
  <c r="E2941" i="2"/>
  <c r="E1880" i="2"/>
  <c r="E270" i="2"/>
  <c r="E3998" i="2"/>
  <c r="E5905" i="2"/>
  <c r="E5035" i="2"/>
  <c r="E2312" i="2"/>
  <c r="E1217" i="2"/>
  <c r="E3508" i="2"/>
  <c r="E5111" i="2"/>
  <c r="E436" i="2"/>
  <c r="E1523" i="2"/>
  <c r="E3785" i="2"/>
  <c r="E2834" i="2"/>
  <c r="E2714" i="2"/>
  <c r="E149" i="2"/>
  <c r="E5128" i="2"/>
  <c r="E3841" i="2"/>
  <c r="E2224" i="2"/>
  <c r="E1640" i="2"/>
  <c r="E5099" i="2"/>
  <c r="E4059" i="2"/>
  <c r="E3859" i="2"/>
  <c r="E6002" i="2"/>
  <c r="E2375" i="2"/>
  <c r="E3047" i="2"/>
  <c r="E856" i="2"/>
  <c r="E4911" i="2"/>
  <c r="E368" i="2"/>
  <c r="E380" i="2"/>
  <c r="E1785" i="2"/>
  <c r="E4137" i="2"/>
  <c r="E1223" i="2"/>
  <c r="E1820" i="2"/>
  <c r="E2387" i="2"/>
  <c r="E5074" i="2"/>
  <c r="E3059" i="2"/>
  <c r="E5632" i="2"/>
  <c r="E3632" i="2"/>
  <c r="E609" i="2"/>
  <c r="E4022" i="2"/>
  <c r="E5894" i="2"/>
  <c r="E2406" i="2"/>
  <c r="E1207" i="2"/>
  <c r="E611" i="2"/>
  <c r="E1079" i="2"/>
  <c r="E3814" i="2"/>
  <c r="E115" i="2"/>
  <c r="E5690" i="2"/>
  <c r="E4819" i="2"/>
  <c r="E1550" i="2"/>
  <c r="E51" i="2"/>
  <c r="E4768" i="2"/>
  <c r="E844" i="2"/>
  <c r="E793" i="2"/>
  <c r="E5699" i="2"/>
  <c r="E4791" i="2"/>
  <c r="E5808" i="2"/>
  <c r="E2725" i="2"/>
  <c r="E155" i="2"/>
  <c r="E4970" i="2"/>
  <c r="E3743" i="2"/>
  <c r="E5521" i="2"/>
  <c r="E4550" i="2"/>
  <c r="E3842" i="2"/>
  <c r="E1376" i="2"/>
  <c r="E4605" i="2"/>
  <c r="E145" i="2"/>
  <c r="E2502" i="2"/>
  <c r="E1870" i="2"/>
  <c r="E4506" i="2"/>
  <c r="E753" i="2"/>
  <c r="E5457" i="2"/>
  <c r="E2537" i="2"/>
  <c r="E4907" i="2"/>
  <c r="E2201" i="2"/>
  <c r="E3892" i="2"/>
  <c r="E5220" i="2"/>
  <c r="E2485" i="2"/>
  <c r="E3910" i="2"/>
  <c r="E2024" i="2"/>
  <c r="E5967" i="2"/>
  <c r="E1295" i="2"/>
  <c r="E5932" i="2"/>
  <c r="E5176" i="2"/>
  <c r="E4496" i="2"/>
  <c r="E5959" i="2"/>
  <c r="E463" i="2"/>
  <c r="E3137" i="2"/>
  <c r="E2284" i="2"/>
  <c r="E147" i="2"/>
  <c r="E4280" i="2"/>
  <c r="E329" i="2"/>
  <c r="E3791" i="2"/>
  <c r="E1895" i="2"/>
  <c r="E439" i="2"/>
  <c r="E2273" i="2"/>
  <c r="E1779" i="2"/>
  <c r="E719" i="2"/>
  <c r="E4471" i="2"/>
  <c r="E1123" i="2"/>
  <c r="E1840" i="2"/>
  <c r="E3854" i="2"/>
  <c r="E2596" i="2"/>
  <c r="E5784" i="2"/>
  <c r="E477" i="2"/>
  <c r="E2705" i="2"/>
  <c r="E3578" i="2"/>
  <c r="E2591" i="2"/>
  <c r="E1261" i="2"/>
  <c r="E2687" i="2"/>
  <c r="E1812" i="2"/>
  <c r="E5072" i="2"/>
  <c r="E3723" i="2"/>
  <c r="E3927" i="2"/>
  <c r="E1548" i="2"/>
  <c r="E312" i="2"/>
  <c r="E229" i="2"/>
  <c r="E1734" i="2"/>
  <c r="E3935" i="2"/>
  <c r="E1317" i="2"/>
  <c r="E2426" i="2"/>
  <c r="E3305" i="2"/>
  <c r="E996" i="2"/>
  <c r="E311" i="2"/>
  <c r="E512" i="2"/>
  <c r="E1808" i="2"/>
  <c r="E4877" i="2"/>
  <c r="E5119" i="2"/>
  <c r="E3521" i="2"/>
  <c r="E2975" i="2"/>
  <c r="E5850" i="2"/>
  <c r="E1407" i="2"/>
  <c r="E4915" i="2"/>
  <c r="E5363" i="2"/>
  <c r="E5213" i="2"/>
  <c r="E4356" i="2"/>
  <c r="E3909" i="2"/>
  <c r="E5231" i="2"/>
  <c r="E3500" i="2"/>
  <c r="E3637" i="2"/>
  <c r="E4522" i="2"/>
  <c r="E2712" i="2"/>
  <c r="E4932" i="2"/>
  <c r="E2571" i="2"/>
  <c r="E5471" i="2"/>
  <c r="E2492" i="2"/>
  <c r="E5516" i="2"/>
  <c r="E3509" i="2"/>
  <c r="E3712" i="2"/>
  <c r="E5578" i="2"/>
  <c r="E2235" i="2"/>
  <c r="E3163" i="2"/>
  <c r="E2846" i="2"/>
  <c r="E5068" i="2"/>
  <c r="E2057" i="2"/>
  <c r="E2825" i="2"/>
  <c r="E3614" i="2"/>
  <c r="E2689" i="2"/>
  <c r="E1993" i="2"/>
  <c r="E5880" i="2"/>
  <c r="E4001" i="2"/>
  <c r="E2230" i="2"/>
  <c r="E3830" i="2"/>
  <c r="E204" i="2"/>
  <c r="E5345" i="2"/>
  <c r="E3307" i="2"/>
  <c r="E5412" i="2"/>
  <c r="E2184" i="2"/>
  <c r="E889" i="2"/>
  <c r="E2183" i="2"/>
  <c r="E3442" i="2"/>
  <c r="E518" i="2"/>
  <c r="E5395" i="2"/>
  <c r="E5945" i="2"/>
  <c r="E736" i="2"/>
  <c r="E3360" i="2"/>
  <c r="E2671" i="2"/>
  <c r="E4480" i="2"/>
  <c r="E688" i="2"/>
  <c r="E5966" i="2"/>
  <c r="E3427" i="2"/>
  <c r="E218" i="2"/>
  <c r="E1280" i="2"/>
  <c r="E4365" i="2"/>
  <c r="E2738" i="2"/>
  <c r="E5237" i="2"/>
  <c r="E2254" i="2"/>
  <c r="E5312" i="2"/>
  <c r="E1612" i="2"/>
  <c r="E932" i="2"/>
  <c r="E2721" i="2"/>
  <c r="E2409" i="2"/>
  <c r="E1111" i="2"/>
  <c r="E1918" i="2"/>
  <c r="E1525" i="2"/>
  <c r="E2400" i="2"/>
  <c r="E3534" i="2"/>
  <c r="E5864" i="2"/>
  <c r="E2216" i="2"/>
  <c r="E3487" i="2"/>
  <c r="E2317" i="2"/>
  <c r="E2141" i="2"/>
  <c r="E2322" i="2"/>
  <c r="E1948" i="2"/>
  <c r="E3461" i="2"/>
  <c r="E2442" i="2"/>
  <c r="E1148" i="2"/>
  <c r="E5636" i="2"/>
  <c r="E5241" i="2"/>
  <c r="E1863" i="2"/>
  <c r="E880" i="2"/>
  <c r="E4414" i="2"/>
  <c r="E1013" i="2"/>
  <c r="E4822" i="2"/>
  <c r="E638" i="2"/>
  <c r="E4371" i="2"/>
  <c r="E4269" i="2"/>
  <c r="E2352" i="2"/>
  <c r="E1963" i="2"/>
  <c r="E5232" i="2"/>
  <c r="E3683" i="2"/>
  <c r="E396" i="2"/>
  <c r="E412" i="2"/>
  <c r="E5523" i="2"/>
  <c r="E491" i="2"/>
  <c r="E488" i="2"/>
  <c r="E3520" i="2"/>
  <c r="E5912" i="2"/>
  <c r="E3472" i="2"/>
  <c r="E6130" i="2"/>
  <c r="E5645" i="2"/>
  <c r="E409" i="2"/>
  <c r="E1110" i="2"/>
  <c r="E4964" i="2"/>
  <c r="E2270" i="2"/>
  <c r="E4616" i="2"/>
  <c r="E5301" i="2"/>
  <c r="E3586" i="2"/>
  <c r="E5493" i="2"/>
  <c r="E5459" i="2"/>
  <c r="E6115" i="2"/>
  <c r="E3940" i="2"/>
  <c r="E2543" i="2"/>
  <c r="E2802" i="2"/>
  <c r="E6050" i="2"/>
  <c r="E3127" i="2"/>
  <c r="E4657" i="2"/>
  <c r="E696" i="2"/>
  <c r="E967" i="2"/>
  <c r="E2065" i="2"/>
  <c r="E2265" i="2"/>
  <c r="E441" i="2"/>
  <c r="E3249" i="2"/>
  <c r="E4530" i="2"/>
  <c r="E1622" i="2"/>
  <c r="E3736" i="2"/>
  <c r="E5535" i="2"/>
  <c r="E5280" i="2"/>
  <c r="E1022" i="2"/>
  <c r="E1179" i="2"/>
  <c r="E2405" i="2"/>
  <c r="E4889" i="2"/>
  <c r="E3561" i="2"/>
  <c r="E1245" i="2"/>
  <c r="E1127" i="2"/>
  <c r="E4929" i="2"/>
  <c r="E5227" i="2"/>
  <c r="E4658" i="2"/>
  <c r="E999" i="2"/>
  <c r="E413" i="2"/>
  <c r="E884" i="2"/>
  <c r="E3942" i="2"/>
  <c r="E5507" i="2"/>
  <c r="E665" i="2"/>
  <c r="E2811" i="2"/>
  <c r="E4415" i="2"/>
  <c r="E4649" i="2"/>
  <c r="E1090" i="2"/>
  <c r="E1571" i="2"/>
  <c r="E3214" i="2"/>
  <c r="E5372" i="2"/>
  <c r="E1690" i="2"/>
  <c r="E5346" i="2"/>
  <c r="E5549" i="2"/>
  <c r="E3217" i="2"/>
  <c r="E5426" i="2"/>
  <c r="E4158" i="2"/>
  <c r="E4225" i="2"/>
  <c r="E2979" i="2"/>
  <c r="E4593" i="2"/>
  <c r="E4258" i="2"/>
  <c r="E5011" i="2"/>
  <c r="E2946" i="2"/>
  <c r="E5156" i="2"/>
  <c r="E3037" i="2"/>
  <c r="E5009" i="2"/>
  <c r="E1078" i="2"/>
  <c r="E1527" i="2"/>
  <c r="E2005" i="2"/>
  <c r="E2642" i="2"/>
  <c r="E4727" i="2"/>
  <c r="E1485" i="2"/>
  <c r="E5461" i="2"/>
  <c r="E2572" i="2"/>
  <c r="E720" i="2"/>
  <c r="E1321" i="2"/>
  <c r="E5561" i="2"/>
  <c r="E5036" i="2"/>
  <c r="E3526" i="2"/>
  <c r="E2125" i="2"/>
  <c r="E1121" i="2"/>
  <c r="E5311" i="2"/>
  <c r="E4499" i="2"/>
  <c r="E2798" i="2"/>
  <c r="E3514" i="2"/>
  <c r="E4324" i="2"/>
  <c r="E5484" i="2"/>
  <c r="E952" i="2"/>
  <c r="E4495" i="2"/>
  <c r="E2059" i="2"/>
  <c r="E4545" i="2"/>
  <c r="E1489" i="2"/>
  <c r="E5302" i="2"/>
  <c r="E2804" i="2"/>
  <c r="E699" i="2"/>
  <c r="E3777" i="2"/>
  <c r="E456" i="2"/>
  <c r="E4636" i="2"/>
  <c r="E2851" i="2"/>
  <c r="E5006" i="2"/>
  <c r="E5487" i="2"/>
  <c r="E3179" i="2"/>
  <c r="E747" i="2"/>
  <c r="E5611" i="2"/>
  <c r="E746" i="2"/>
  <c r="E2593" i="2"/>
  <c r="E3458" i="2"/>
  <c r="E5513" i="2"/>
  <c r="E3609" i="2"/>
  <c r="E4891" i="2"/>
  <c r="E649" i="2"/>
  <c r="E5805" i="2"/>
  <c r="E5104" i="2"/>
  <c r="E447" i="2"/>
  <c r="E1720" i="2"/>
  <c r="E2227" i="2"/>
  <c r="E670" i="2"/>
  <c r="E1825" i="2"/>
  <c r="E4421" i="2"/>
  <c r="E1951" i="2"/>
  <c r="E121" i="2"/>
  <c r="E6067" i="2"/>
  <c r="E2910" i="2"/>
  <c r="E386" i="2"/>
  <c r="E3667" i="2"/>
  <c r="E5309" i="2"/>
  <c r="E2773" i="2"/>
  <c r="E5649" i="2"/>
  <c r="E2438" i="2"/>
  <c r="E920" i="2"/>
  <c r="E5393" i="2"/>
  <c r="E1981" i="2"/>
  <c r="E4612" i="2"/>
  <c r="E2962" i="2"/>
  <c r="E2783" i="2"/>
  <c r="E5225" i="2"/>
  <c r="E1953" i="2"/>
  <c r="E1219" i="2"/>
  <c r="E3867" i="2"/>
  <c r="E4429" i="2"/>
  <c r="E2613" i="2"/>
  <c r="E2988" i="2"/>
  <c r="E4868" i="2"/>
  <c r="E4942" i="2"/>
  <c r="E2510" i="2"/>
  <c r="E4807" i="2"/>
  <c r="E5872" i="2"/>
  <c r="E787" i="2"/>
  <c r="E187" i="2"/>
  <c r="E3143" i="2"/>
  <c r="E1446" i="2"/>
  <c r="E1132" i="2"/>
  <c r="E3129" i="2"/>
  <c r="E4409" i="2"/>
  <c r="E5581" i="2"/>
  <c r="E1002" i="2"/>
  <c r="E913" i="2"/>
  <c r="E2750" i="2"/>
  <c r="E4188" i="2"/>
  <c r="E233" i="2"/>
  <c r="E4344" i="2"/>
  <c r="E2625" i="2"/>
  <c r="E990" i="2"/>
  <c r="E256" i="2"/>
  <c r="E1782" i="2"/>
  <c r="E1142" i="2"/>
  <c r="E3339" i="2"/>
  <c r="E5295" i="2"/>
  <c r="E4093" i="2"/>
  <c r="E308" i="2"/>
  <c r="E5770" i="2"/>
  <c r="E3868" i="2"/>
  <c r="E1995" i="2"/>
  <c r="E1804" i="2"/>
  <c r="E5033" i="2"/>
  <c r="E737" i="2"/>
  <c r="E4032" i="2"/>
  <c r="E6019" i="2"/>
  <c r="E4897" i="2"/>
  <c r="E1678" i="2"/>
  <c r="E1453" i="2"/>
  <c r="E4875" i="2"/>
  <c r="E3423" i="2"/>
  <c r="E5638" i="2"/>
  <c r="E1666" i="2"/>
  <c r="E4161" i="2"/>
  <c r="E527" i="2"/>
  <c r="E2161" i="2"/>
  <c r="E3081" i="2"/>
  <c r="E522" i="2"/>
  <c r="E603" i="2"/>
  <c r="E297" i="2"/>
  <c r="E5291" i="2"/>
  <c r="E5207" i="2"/>
  <c r="E452" i="2"/>
  <c r="E529" i="2"/>
  <c r="E5596" i="2"/>
  <c r="E2283" i="2"/>
  <c r="E1428" i="2"/>
  <c r="E5355" i="2"/>
  <c r="E4980" i="2"/>
  <c r="E1668" i="2"/>
  <c r="E1634" i="2"/>
  <c r="E564" i="2"/>
  <c r="E5141" i="2"/>
  <c r="E3074" i="2"/>
  <c r="E4466" i="2"/>
  <c r="E3089" i="2"/>
  <c r="E1911" i="2"/>
  <c r="E408" i="2"/>
  <c r="E4885" i="2"/>
  <c r="E1988" i="2"/>
  <c r="E3698" i="2"/>
  <c r="E4538" i="2"/>
  <c r="E5566" i="2"/>
  <c r="E947" i="2"/>
  <c r="E5261" i="2"/>
  <c r="E5066" i="2"/>
  <c r="E6036" i="2"/>
  <c r="E6100" i="2"/>
  <c r="E197" i="2"/>
  <c r="E418" i="2"/>
  <c r="E469" i="2"/>
  <c r="E1325" i="2"/>
  <c r="E5131" i="2"/>
  <c r="E1464" i="2"/>
  <c r="E473" i="2"/>
  <c r="E1084" i="2"/>
  <c r="E4775" i="2"/>
  <c r="E114" i="2"/>
  <c r="E2626" i="2"/>
  <c r="E3626" i="2"/>
  <c r="E3726" i="2"/>
  <c r="E2619" i="2"/>
  <c r="E761" i="2"/>
  <c r="E3682" i="2"/>
  <c r="E850" i="2"/>
  <c r="E5844" i="2"/>
  <c r="E1252" i="2"/>
  <c r="E2751" i="2"/>
  <c r="E929" i="2"/>
  <c r="E2472" i="2"/>
  <c r="E4772" i="2"/>
  <c r="E1926" i="2"/>
  <c r="E4979" i="2"/>
  <c r="E4813" i="2"/>
  <c r="E4432" i="2"/>
  <c r="E842" i="2"/>
  <c r="E3066" i="2"/>
  <c r="E3258" i="2"/>
  <c r="E3538" i="2"/>
  <c r="E5858" i="2"/>
  <c r="E2602" i="2"/>
  <c r="E6078" i="2"/>
  <c r="E3362" i="2"/>
  <c r="E5409" i="2"/>
  <c r="E3031" i="2"/>
  <c r="E4978" i="2"/>
  <c r="E6088" i="2"/>
  <c r="E4460" i="2"/>
  <c r="E4180" i="2"/>
  <c r="E610" i="2"/>
  <c r="E570" i="2"/>
  <c r="E3529" i="2"/>
  <c r="E2380" i="2"/>
  <c r="E2189" i="2"/>
  <c r="E3328" i="2"/>
  <c r="E4154" i="2"/>
  <c r="E523" i="2"/>
  <c r="E2208" i="2"/>
  <c r="E5974" i="2"/>
  <c r="E332" i="2"/>
  <c r="E1039" i="2"/>
  <c r="E987" i="2"/>
  <c r="E1901" i="2"/>
  <c r="E6023" i="2"/>
  <c r="E2075" i="2"/>
  <c r="E5619" i="2"/>
  <c r="E5824" i="2"/>
  <c r="E4026" i="2"/>
  <c r="E4430" i="2"/>
  <c r="E401" i="2"/>
  <c r="E4030" i="2"/>
  <c r="E1505" i="2"/>
  <c r="E590" i="2"/>
  <c r="E5194" i="2"/>
  <c r="E4720" i="2"/>
  <c r="E712" i="2"/>
  <c r="E2251" i="2"/>
  <c r="E5633" i="2"/>
  <c r="E3790" i="2"/>
  <c r="E1514" i="2"/>
  <c r="E1281" i="2"/>
  <c r="E338" i="2"/>
  <c r="E44" i="2"/>
  <c r="E5631" i="2"/>
  <c r="E5492" i="2"/>
  <c r="E1047" i="2"/>
  <c r="E5435" i="2"/>
  <c r="E1881" i="2"/>
  <c r="E1436" i="2"/>
  <c r="E4802" i="2"/>
  <c r="E5656" i="2"/>
  <c r="E4674" i="2"/>
  <c r="E5282" i="2"/>
  <c r="E4174" i="2"/>
  <c r="E3778" i="2"/>
  <c r="E1469" i="2"/>
  <c r="E2651" i="2"/>
  <c r="E5283" i="2"/>
  <c r="E3901" i="2"/>
  <c r="E342" i="2"/>
  <c r="E3071" i="2"/>
  <c r="E599" i="2"/>
  <c r="E2552" i="2"/>
  <c r="E3032" i="2"/>
  <c r="E5414" i="2"/>
  <c r="E5154" i="2"/>
  <c r="E4358" i="2"/>
  <c r="E2027" i="2"/>
  <c r="E644" i="2"/>
  <c r="E3471" i="2"/>
  <c r="E4303" i="2"/>
  <c r="E3659" i="2"/>
  <c r="E6125" i="2"/>
  <c r="E4881" i="2"/>
  <c r="E1656" i="2"/>
  <c r="E1758" i="2"/>
  <c r="E3569" i="2"/>
  <c r="E3623" i="2"/>
  <c r="E555" i="2"/>
  <c r="E1107" i="2"/>
  <c r="E1742" i="2"/>
  <c r="E769" i="2"/>
  <c r="E3547" i="2"/>
  <c r="E385" i="2"/>
  <c r="E5160" i="2"/>
  <c r="E3288" i="2"/>
  <c r="E2378" i="2"/>
  <c r="E5420" i="2"/>
  <c r="E1182" i="2"/>
  <c r="E4520" i="2"/>
  <c r="E4946" i="2"/>
  <c r="E5382" i="2"/>
  <c r="E2716" i="2"/>
  <c r="E762" i="2"/>
  <c r="E4290" i="2"/>
  <c r="E5648" i="2"/>
  <c r="E3686" i="2"/>
  <c r="E2219" i="2"/>
  <c r="E3102" i="2"/>
  <c r="E4689" i="2"/>
  <c r="E2271" i="2"/>
  <c r="E4628" i="2"/>
  <c r="E3159" i="2"/>
  <c r="E4007" i="2"/>
  <c r="E3677" i="2"/>
  <c r="E2649" i="2"/>
  <c r="E1390" i="2"/>
  <c r="E5389" i="2"/>
  <c r="E2522" i="2"/>
  <c r="E1671" i="2"/>
  <c r="E3863" i="2"/>
  <c r="E1046" i="2"/>
  <c r="E3378" i="2"/>
  <c r="E3906" i="2"/>
  <c r="E4631" i="2"/>
  <c r="E5842" i="2"/>
  <c r="E2329" i="2"/>
  <c r="E616" i="2"/>
  <c r="E1650" i="2"/>
  <c r="E3198" i="2"/>
  <c r="E3635" i="2"/>
  <c r="E1138" i="2"/>
  <c r="E5989" i="2"/>
  <c r="E5127" i="2"/>
  <c r="E1379" i="2"/>
  <c r="E3965" i="2"/>
  <c r="E841" i="2"/>
  <c r="E5857" i="2"/>
  <c r="E3243" i="2"/>
  <c r="E4075" i="2"/>
  <c r="E3007" i="2"/>
  <c r="E3825" i="2"/>
  <c r="E5417" i="2"/>
  <c r="E2598" i="2"/>
  <c r="E2786" i="2"/>
  <c r="E5902" i="2"/>
  <c r="E1936" i="2"/>
  <c r="E5873" i="2"/>
  <c r="E4764" i="2"/>
  <c r="E5526" i="2"/>
  <c r="E4004" i="2"/>
  <c r="E3840" i="2"/>
  <c r="E5505" i="2"/>
  <c r="E3668" i="2"/>
  <c r="E4794" i="2"/>
  <c r="E1019" i="2"/>
  <c r="E3697" i="2"/>
  <c r="E3247" i="2"/>
  <c r="E4114" i="2"/>
  <c r="E1846" i="2"/>
  <c r="E5608" i="2"/>
  <c r="E2884" i="2"/>
  <c r="E4214" i="2"/>
  <c r="E3929" i="2"/>
  <c r="E222" i="2"/>
  <c r="E2196" i="2"/>
  <c r="E588" i="2"/>
  <c r="E2727" i="2"/>
  <c r="E3831" i="2"/>
  <c r="E6094" i="2"/>
  <c r="E2723" i="2"/>
  <c r="E955" i="2"/>
  <c r="E3412" i="2"/>
  <c r="E339" i="2"/>
  <c r="E453" i="2"/>
  <c r="E1420" i="2"/>
  <c r="E4368" i="2"/>
  <c r="E6046" i="2"/>
  <c r="E1427" i="2"/>
  <c r="E5832" i="2"/>
  <c r="E5181" i="2"/>
  <c r="E3807" i="2"/>
  <c r="E5685" i="2"/>
  <c r="E5184" i="2"/>
  <c r="E1615" i="2"/>
  <c r="E3094" i="2"/>
  <c r="E3603" i="2"/>
  <c r="E1226" i="2"/>
  <c r="E4981" i="2"/>
  <c r="E2287" i="2"/>
  <c r="E3580" i="2"/>
  <c r="E445" i="2"/>
  <c r="E1449" i="2"/>
  <c r="E3851" i="2"/>
  <c r="E4239" i="2"/>
  <c r="E5588" i="2"/>
  <c r="E2266" i="2"/>
  <c r="E5093" i="2"/>
  <c r="E2290" i="2"/>
  <c r="E3273" i="2"/>
  <c r="E3823" i="2"/>
  <c r="E797" i="2"/>
  <c r="E3899" i="2"/>
  <c r="E238" i="2"/>
  <c r="E3605" i="2"/>
  <c r="E5392" i="2"/>
  <c r="E818" i="2"/>
  <c r="E2734" i="2"/>
  <c r="E4607" i="2"/>
  <c r="E3650" i="2"/>
  <c r="E4590" i="2"/>
  <c r="E5606" i="2"/>
  <c r="E1075" i="2"/>
  <c r="E499" i="2"/>
  <c r="E4934" i="2"/>
  <c r="E4940" i="2"/>
  <c r="E331" i="2"/>
  <c r="E5734" i="2"/>
  <c r="E5126" i="2"/>
  <c r="E4492" i="2"/>
  <c r="E5800" i="2"/>
  <c r="E2020" i="2"/>
  <c r="E3828" i="2"/>
  <c r="E5629" i="2"/>
  <c r="E2434" i="2"/>
  <c r="E5627" i="2"/>
  <c r="E1343" i="2"/>
  <c r="E4412" i="2"/>
  <c r="E6059" i="2"/>
  <c r="E361" i="2"/>
  <c r="E5826" i="2"/>
  <c r="E5792" i="2"/>
  <c r="E4431" i="2"/>
  <c r="E4829" i="2"/>
  <c r="E153" i="2"/>
  <c r="E2805" i="2"/>
  <c r="E5717" i="2"/>
  <c r="E503" i="2"/>
  <c r="E5787" i="2"/>
  <c r="E1676" i="2"/>
  <c r="E1631" i="2"/>
  <c r="E1504" i="2"/>
  <c r="E326" i="2"/>
  <c r="E3986" i="2"/>
  <c r="E601" i="2"/>
  <c r="E3845" i="2"/>
  <c r="E3581" i="2"/>
  <c r="E5013" i="2"/>
  <c r="E3680" i="2"/>
  <c r="E3049" i="2"/>
  <c r="E686" i="2"/>
  <c r="E1749" i="2"/>
  <c r="E1438" i="2"/>
  <c r="E2303" i="2"/>
  <c r="E129" i="2"/>
  <c r="E2363" i="2"/>
  <c r="E3411" i="2"/>
  <c r="E2232" i="2"/>
  <c r="E3911" i="2"/>
  <c r="E4796" i="2"/>
  <c r="E1747" i="2"/>
  <c r="E6123" i="2"/>
  <c r="E5790" i="2"/>
  <c r="E3591" i="2"/>
  <c r="E4123" i="2"/>
  <c r="E1526" i="2"/>
  <c r="E4801" i="2"/>
  <c r="E4923" i="2"/>
  <c r="E2812" i="2"/>
  <c r="E959" i="2"/>
  <c r="E4124" i="2"/>
  <c r="E3856" i="2"/>
  <c r="E1998" i="2"/>
  <c r="E2653" i="2"/>
  <c r="E6024" i="2"/>
  <c r="E6122" i="2"/>
  <c r="E2780" i="2"/>
  <c r="E2945" i="2"/>
  <c r="E4417" i="2"/>
  <c r="E5051" i="2"/>
  <c r="E3696" i="2"/>
  <c r="E813" i="2"/>
  <c r="E5607" i="2"/>
  <c r="E3368" i="2"/>
  <c r="E2047" i="2"/>
  <c r="E3086" i="2"/>
  <c r="E3724" i="2"/>
  <c r="E5573" i="2"/>
  <c r="E3648" i="2"/>
  <c r="E6113" i="2"/>
  <c r="E3252" i="2"/>
  <c r="E5272" i="2"/>
  <c r="E5016" i="2"/>
  <c r="E5609" i="2"/>
  <c r="E4676" i="2"/>
  <c r="E2320" i="2"/>
  <c r="E3754" i="2"/>
  <c r="E484" i="2"/>
  <c r="E3052" i="2"/>
  <c r="E6007" i="2"/>
  <c r="E3426" i="2"/>
  <c r="E5548" i="2"/>
  <c r="E4101" i="2"/>
  <c r="E3425" i="2"/>
  <c r="E2397" i="2"/>
  <c r="E1471" i="2"/>
  <c r="E1266" i="2"/>
  <c r="E3925" i="2"/>
  <c r="E5662" i="2"/>
  <c r="E822" i="2"/>
  <c r="E5752" i="2"/>
  <c r="E1188" i="2"/>
  <c r="E3196" i="2"/>
  <c r="E2149" i="2"/>
  <c r="E3090" i="2"/>
  <c r="E2035" i="2"/>
  <c r="E5431" i="2"/>
  <c r="E3673" i="2"/>
  <c r="E2166" i="2"/>
  <c r="E2589" i="2"/>
  <c r="E3048" i="2"/>
  <c r="E5671" i="2"/>
  <c r="E2584" i="2"/>
  <c r="E3224" i="2"/>
  <c r="E3876" i="2"/>
  <c r="E4018" i="2"/>
  <c r="E4638" i="2"/>
  <c r="E5726" i="2"/>
  <c r="E3536" i="2"/>
  <c r="E4200" i="2"/>
  <c r="E5673" i="2"/>
  <c r="E3691" i="2"/>
  <c r="E1432" i="2"/>
  <c r="E1636" i="2"/>
  <c r="E3062" i="2"/>
  <c r="E4747" i="2"/>
  <c r="E3702" i="2"/>
  <c r="E3101" i="2"/>
  <c r="E1643" i="2"/>
  <c r="E4302" i="2"/>
  <c r="E275" i="2"/>
  <c r="E4984" i="2"/>
  <c r="E684" i="2"/>
  <c r="E3907" i="2"/>
  <c r="E5702" i="2"/>
  <c r="E3625" i="2"/>
  <c r="E4703" i="2"/>
  <c r="E5997" i="2"/>
  <c r="E224" i="2"/>
  <c r="E2138" i="2"/>
  <c r="E276" i="2"/>
  <c r="E627" i="2"/>
  <c r="E1630" i="2"/>
  <c r="E5308" i="2"/>
  <c r="E165" i="2"/>
  <c r="E4725" i="2"/>
  <c r="E790" i="2"/>
  <c r="E4706" i="2"/>
  <c r="E4905" i="2"/>
  <c r="E2914" i="2"/>
  <c r="E4221" i="2"/>
  <c r="E4209" i="2"/>
  <c r="E5620" i="2"/>
  <c r="E3185" i="2"/>
  <c r="E3145" i="2"/>
  <c r="E301" i="2"/>
  <c r="E1965" i="2"/>
  <c r="E3029" i="2"/>
  <c r="E3371" i="2"/>
  <c r="E5329" i="2"/>
  <c r="E6142" i="2"/>
  <c r="E3177" i="2"/>
  <c r="E395" i="2"/>
  <c r="E185" i="2"/>
  <c r="E5926" i="2"/>
  <c r="E5993" i="2"/>
  <c r="E5626" i="2"/>
  <c r="E4317" i="2"/>
  <c r="E1418" i="2"/>
  <c r="E5591" i="2"/>
  <c r="E2318" i="2"/>
  <c r="E4958" i="2"/>
  <c r="E3465" i="2"/>
  <c r="E3150" i="2"/>
  <c r="E4232" i="2"/>
  <c r="E52" i="2"/>
  <c r="E1313" i="2"/>
  <c r="E4921" i="2"/>
  <c r="E944" i="2"/>
  <c r="E1294" i="2"/>
  <c r="E1495" i="2"/>
  <c r="E2004" i="2"/>
  <c r="E4733" i="2"/>
  <c r="E93" i="2"/>
  <c r="E3822" i="2"/>
  <c r="E3222" i="2"/>
  <c r="E552" i="2"/>
  <c r="E4370" i="2"/>
  <c r="E6029" i="2"/>
  <c r="E3904" i="2"/>
  <c r="E5914" i="2"/>
  <c r="E1768" i="2"/>
  <c r="E5739" i="2"/>
  <c r="E428" i="2"/>
  <c r="E1088" i="2"/>
  <c r="E3780" i="2"/>
  <c r="E4057" i="2"/>
  <c r="E2886" i="2"/>
  <c r="E5353" i="2"/>
  <c r="E1509" i="2"/>
  <c r="E344" i="2"/>
  <c r="E4135" i="2"/>
  <c r="E3946" i="2"/>
  <c r="E1191" i="2"/>
  <c r="E5741" i="2"/>
  <c r="E4539" i="2"/>
  <c r="E858" i="2"/>
  <c r="E2306" i="2"/>
  <c r="E5929" i="2"/>
  <c r="E1238" i="2"/>
  <c r="E783" i="2"/>
  <c r="E450" i="2"/>
  <c r="E1893" i="2"/>
  <c r="E5246" i="2"/>
  <c r="E5623" i="2"/>
  <c r="E4732" i="2"/>
  <c r="E310" i="2"/>
  <c r="E1538" i="2"/>
  <c r="E4090" i="2"/>
  <c r="E854" i="2"/>
  <c r="E4655" i="2"/>
  <c r="E3747" i="2"/>
  <c r="E4686" i="2"/>
  <c r="E5180" i="2"/>
  <c r="E3589" i="2"/>
  <c r="E1729" i="2"/>
  <c r="E3314" i="2"/>
  <c r="E1048" i="2"/>
  <c r="E2544" i="2"/>
  <c r="E5820" i="2"/>
  <c r="E1454" i="2"/>
  <c r="E4238" i="2"/>
  <c r="E954" i="2"/>
  <c r="E4906" i="2"/>
  <c r="E3157" i="2"/>
  <c r="E3027" i="2"/>
  <c r="E3866" i="2"/>
  <c r="E2431" i="2"/>
  <c r="E5440" i="2"/>
  <c r="E374" i="2"/>
  <c r="E4468" i="2"/>
  <c r="E5782" i="2"/>
  <c r="E2231" i="2"/>
  <c r="E5333" i="2"/>
  <c r="E2998" i="2"/>
  <c r="E1799" i="2"/>
  <c r="E5168" i="2"/>
  <c r="E5854" i="2"/>
  <c r="E5195" i="2"/>
  <c r="E5455" i="2"/>
  <c r="E565" i="2"/>
  <c r="E74" i="2"/>
  <c r="E4809" i="2"/>
  <c r="E5762" i="2"/>
  <c r="E1589" i="2"/>
  <c r="E4933" i="2"/>
  <c r="E1859" i="2"/>
  <c r="E2403" i="2"/>
  <c r="E5589" i="2"/>
  <c r="E5754" i="2"/>
  <c r="E416" i="2"/>
  <c r="E189" i="2"/>
  <c r="E2720" i="2"/>
  <c r="E1178" i="2"/>
  <c r="E98" i="2"/>
  <c r="E5817" i="2"/>
  <c r="E260" i="2"/>
  <c r="E3293" i="2"/>
  <c r="E5700" i="2"/>
  <c r="E3606" i="2"/>
  <c r="E5001" i="2"/>
  <c r="E897" i="2"/>
  <c r="E2181" i="2"/>
  <c r="E1326" i="2"/>
  <c r="E5965" i="2"/>
  <c r="E5254" i="2"/>
  <c r="E5216" i="2"/>
  <c r="E5848" i="2"/>
  <c r="E885" i="2"/>
  <c r="E3429" i="2"/>
  <c r="E4584" i="2"/>
  <c r="E60" i="2"/>
  <c r="E5083" i="2"/>
  <c r="E2971" i="2"/>
  <c r="E5387" i="2"/>
  <c r="E5148" i="2"/>
  <c r="E302" i="2"/>
  <c r="E1875" i="2"/>
  <c r="E4692" i="2"/>
  <c r="E2389" i="2"/>
  <c r="E4391" i="2"/>
  <c r="E4770" i="2"/>
  <c r="E4398" i="2"/>
  <c r="E3820" i="2"/>
  <c r="E2617" i="2"/>
  <c r="E1767" i="2"/>
  <c r="E5255" i="2"/>
  <c r="E2180" i="2"/>
  <c r="E662" i="2"/>
  <c r="E3633" i="2"/>
  <c r="E4597" i="2"/>
  <c r="E5482" i="2"/>
  <c r="E4740" i="2"/>
  <c r="E206" i="2"/>
  <c r="E5544" i="2"/>
  <c r="E4379" i="2"/>
  <c r="E3967" i="2"/>
  <c r="E544" i="2"/>
  <c r="E1030" i="2"/>
  <c r="E241" i="2"/>
  <c r="E4668" i="2"/>
  <c r="E5531" i="2"/>
  <c r="E1160" i="2"/>
  <c r="E200" i="2"/>
  <c r="E2674" i="2"/>
  <c r="E1896" i="2"/>
  <c r="E5407" i="2"/>
  <c r="E5597" i="2"/>
  <c r="E3717" i="2"/>
  <c r="E5748" i="2"/>
  <c r="E2623" i="2"/>
  <c r="E2897" i="2"/>
  <c r="E791" i="2"/>
  <c r="E1731" i="2"/>
  <c r="E4879" i="2"/>
  <c r="E1702" i="2"/>
  <c r="E907" i="2"/>
  <c r="E2111" i="2"/>
  <c r="E1912" i="2"/>
  <c r="E977" i="2"/>
  <c r="E4565" i="2"/>
  <c r="E5445" i="2"/>
  <c r="E1906" i="2"/>
  <c r="E4624" i="2"/>
  <c r="E2733" i="2"/>
  <c r="E5050" i="2"/>
  <c r="E5386" i="2"/>
  <c r="E2661" i="2"/>
  <c r="E141" i="2"/>
  <c r="E3093" i="2"/>
  <c r="E1792" i="2"/>
  <c r="E2401" i="2"/>
  <c r="E2968" i="2"/>
  <c r="E202" i="2"/>
  <c r="E1209" i="2"/>
  <c r="E2019" i="2"/>
  <c r="E46" i="2"/>
  <c r="E3767" i="2"/>
  <c r="E3949" i="2"/>
  <c r="E4231" i="2"/>
  <c r="E1831" i="2"/>
  <c r="E4104" i="2"/>
  <c r="E5341" i="2"/>
  <c r="E392" i="2"/>
  <c r="E2340" i="2"/>
  <c r="E5477" i="2"/>
  <c r="E3492" i="2"/>
  <c r="E3601" i="2"/>
  <c r="E5498" i="2"/>
  <c r="E3436" i="2"/>
  <c r="E5917" i="2"/>
  <c r="E3285" i="2"/>
  <c r="E305" i="2"/>
  <c r="E1081" i="2"/>
  <c r="E1289" i="2"/>
  <c r="E5222" i="2"/>
  <c r="E3810" i="2"/>
  <c r="E3522" i="2"/>
  <c r="E4944" i="2"/>
  <c r="E2455" i="2"/>
  <c r="E3604" i="2"/>
  <c r="E4990" i="2"/>
  <c r="E4272" i="2"/>
  <c r="E2828" i="2"/>
  <c r="E4070" i="2"/>
  <c r="E709" i="2"/>
  <c r="E6009" i="2"/>
  <c r="E4917" i="2"/>
  <c r="E1399" i="2"/>
  <c r="E347" i="2"/>
  <c r="E6042" i="2"/>
  <c r="E173" i="2"/>
  <c r="E1899" i="2"/>
  <c r="E1937" i="2"/>
  <c r="E212" i="2"/>
  <c r="E455" i="2"/>
  <c r="E1865" i="2"/>
  <c r="E3889" i="2"/>
  <c r="E1149" i="2"/>
  <c r="E1862" i="2"/>
  <c r="E5815" i="2"/>
  <c r="E618" i="2"/>
  <c r="E4972" i="2"/>
  <c r="E1642" i="2"/>
  <c r="E773" i="2"/>
  <c r="E706" i="2"/>
  <c r="E4681" i="2"/>
  <c r="E4629" i="2"/>
  <c r="E4858" i="2"/>
  <c r="E5771" i="2"/>
  <c r="E3121" i="2"/>
  <c r="E668" i="2"/>
  <c r="E5094" i="2"/>
  <c r="E4559" i="2"/>
  <c r="E4046" i="2"/>
  <c r="E4048" i="2"/>
  <c r="E3746" i="2"/>
  <c r="E4669" i="2"/>
  <c r="E3226" i="2"/>
  <c r="E2680" i="2"/>
  <c r="E198" i="2"/>
  <c r="E5795" i="2"/>
  <c r="E5118" i="2"/>
  <c r="E2173" i="2"/>
  <c r="E4806" i="2"/>
  <c r="E4299" i="2"/>
  <c r="E76" i="2"/>
  <c r="E3739" i="2"/>
  <c r="E5366" i="2"/>
  <c r="E5107" i="2"/>
  <c r="E2151" i="2"/>
  <c r="E5042" i="2"/>
  <c r="E1300" i="2"/>
  <c r="E5843" i="2"/>
  <c r="E4411" i="2"/>
  <c r="E1605" i="2"/>
  <c r="E2668" i="2"/>
  <c r="E1978" i="2"/>
  <c r="E5004" i="2"/>
  <c r="E178" i="2"/>
  <c r="E817" i="2"/>
  <c r="E4890" i="2"/>
  <c r="E183" i="2"/>
  <c r="E2070" i="2"/>
  <c r="E4609" i="2"/>
  <c r="E2772" i="2"/>
  <c r="E1345" i="2"/>
  <c r="E3480" i="2"/>
  <c r="E2474" i="2"/>
  <c r="E3624" i="2"/>
  <c r="E1143" i="2"/>
  <c r="E3797" i="2"/>
  <c r="E2373" i="2"/>
  <c r="E4564" i="2"/>
  <c r="E3789" i="2"/>
  <c r="E1340" i="2"/>
  <c r="E4191" i="2"/>
  <c r="E80" i="2"/>
  <c r="E1365" i="2"/>
  <c r="E2655" i="2"/>
  <c r="E3805" i="2"/>
  <c r="E378" i="2"/>
  <c r="E4687" i="2"/>
  <c r="E5273" i="2"/>
  <c r="E5475" i="2"/>
  <c r="E343" i="2"/>
  <c r="E1710" i="2"/>
  <c r="E5731" i="2"/>
  <c r="E876" i="2"/>
  <c r="E3590" i="2"/>
  <c r="E3400" i="2"/>
  <c r="E5326" i="2"/>
  <c r="E4462" i="2"/>
  <c r="E3099" i="2"/>
  <c r="E4013" i="2"/>
  <c r="E628" i="2"/>
  <c r="E3592" i="2"/>
  <c r="E1479" i="2"/>
  <c r="E2928" i="2"/>
  <c r="E4719" i="2"/>
  <c r="E4073" i="2"/>
  <c r="E2083" i="2"/>
  <c r="E1244" i="2"/>
  <c r="E432" i="2"/>
  <c r="E5827" i="2"/>
  <c r="E1156" i="2"/>
  <c r="E2853" i="2"/>
  <c r="E3246" i="2"/>
  <c r="E2758" i="2"/>
  <c r="E100" i="2"/>
  <c r="E5625" i="2"/>
  <c r="E1902" i="2"/>
  <c r="E2566" i="2"/>
  <c r="E2325" i="2"/>
  <c r="E5162" i="2"/>
  <c r="E4060" i="2"/>
  <c r="E5788" i="2"/>
  <c r="E291" i="2"/>
  <c r="E3679" i="2"/>
  <c r="E5861" i="2"/>
  <c r="E1408" i="2"/>
  <c r="E1318" i="2"/>
  <c r="E3658" i="2"/>
  <c r="E4171" i="2"/>
  <c r="E2557" i="2"/>
  <c r="E2637" i="2"/>
  <c r="E4971" i="2"/>
  <c r="E3728" i="2"/>
  <c r="E2017" i="2"/>
  <c r="E3000" i="2"/>
  <c r="E2010" i="2"/>
  <c r="E3167" i="2"/>
  <c r="E3229" i="2"/>
  <c r="E4527" i="2"/>
  <c r="E5870" i="2"/>
  <c r="E419" i="2"/>
  <c r="E517" i="2"/>
  <c r="E5428" i="2"/>
  <c r="E5830" i="2"/>
  <c r="E5580" i="2"/>
  <c r="E4373" i="2"/>
  <c r="E5793" i="2"/>
  <c r="E5081" i="2"/>
  <c r="E4853" i="2"/>
  <c r="E1774" i="2"/>
  <c r="E5749" i="2"/>
  <c r="E4737" i="2"/>
  <c r="E5057" i="2"/>
  <c r="E5944" i="2"/>
  <c r="E1568" i="2"/>
  <c r="E3261" i="2"/>
  <c r="E5586" i="2"/>
  <c r="E3750" i="2"/>
  <c r="E4960" i="2"/>
  <c r="E5949" i="2"/>
  <c r="E2167" i="2"/>
  <c r="E4886" i="2"/>
  <c r="E5399" i="2"/>
  <c r="E1745" i="2"/>
  <c r="E5370" i="2"/>
  <c r="E541" i="2"/>
  <c r="E5247" i="2"/>
  <c r="E3390" i="2"/>
  <c r="E2883" i="2"/>
  <c r="E4799" i="2"/>
  <c r="E1992" i="2"/>
  <c r="E4063" i="2"/>
  <c r="E5946" i="2"/>
  <c r="E5432" i="2"/>
  <c r="E3056" i="2"/>
  <c r="E4518" i="2"/>
  <c r="E1701" i="2"/>
  <c r="E3077" i="2"/>
  <c r="E1908" i="2"/>
  <c r="E4386" i="2"/>
  <c r="E2925" i="2"/>
  <c r="E1500" i="2"/>
  <c r="E3597" i="2"/>
  <c r="E5534" i="2"/>
  <c r="E4734" i="2"/>
  <c r="E4551" i="2"/>
  <c r="E2673" i="2"/>
  <c r="E543" i="2"/>
  <c r="E2237" i="2"/>
  <c r="E1750" i="2"/>
  <c r="E1921" i="2"/>
  <c r="E3097" i="2"/>
  <c r="E4712" i="2"/>
  <c r="E2069" i="2"/>
  <c r="E5101" i="2"/>
  <c r="E3802" i="2"/>
  <c r="E5796" i="2"/>
  <c r="E5186" i="2"/>
  <c r="E3628" i="2"/>
  <c r="E4502" i="2"/>
  <c r="E1582" i="2"/>
  <c r="E1267" i="2"/>
  <c r="E2391" i="2"/>
  <c r="E6073" i="2"/>
  <c r="E5595" i="2"/>
  <c r="E5239" i="2"/>
  <c r="E2980" i="2"/>
  <c r="E882" i="2"/>
  <c r="E4836" i="2"/>
  <c r="E4451" i="2"/>
  <c r="E879" i="2"/>
  <c r="E6072" i="2"/>
  <c r="E4313" i="2"/>
  <c r="E430" i="2"/>
  <c r="E5511" i="2"/>
  <c r="E4713" i="2"/>
  <c r="E2731" i="2"/>
  <c r="E1144" i="2"/>
  <c r="E1524" i="2"/>
  <c r="E4194" i="2"/>
  <c r="E4955" i="2"/>
  <c r="E5977" i="2"/>
  <c r="E4606" i="2"/>
  <c r="E5165" i="2"/>
  <c r="E1689" i="2"/>
  <c r="E6143" i="2"/>
  <c r="E1852" i="2"/>
  <c r="E3938" i="2"/>
  <c r="E2176" i="2"/>
  <c r="E3008" i="2"/>
  <c r="E1215" i="2"/>
  <c r="E5073" i="2"/>
  <c r="E3662" i="2"/>
  <c r="E172" i="2"/>
  <c r="E1659" i="2"/>
  <c r="E4131" i="2"/>
  <c r="E2860" i="2"/>
  <c r="E5020" i="2"/>
  <c r="E5987" i="2"/>
  <c r="E5185" i="2"/>
  <c r="E5351" i="2"/>
  <c r="E261" i="2"/>
  <c r="E4632" i="2"/>
  <c r="E1826" i="2"/>
  <c r="E4362" i="2"/>
  <c r="E4320" i="2"/>
  <c r="E1637" i="2"/>
  <c r="E4287" i="2"/>
  <c r="E513" i="2"/>
  <c r="E3381" i="2"/>
  <c r="E4255" i="2"/>
  <c r="E4805" i="2"/>
  <c r="E4144" i="2"/>
  <c r="E3872" i="2"/>
  <c r="E399" i="2"/>
  <c r="E4860" i="2"/>
  <c r="E2286" i="2"/>
  <c r="E101" i="2"/>
  <c r="E4010" i="2"/>
  <c r="E2915" i="2"/>
  <c r="E2071" i="2"/>
  <c r="E5779" i="2"/>
  <c r="E4106" i="2"/>
  <c r="E2697" i="2"/>
  <c r="E6147" i="2"/>
  <c r="E4639" i="2"/>
  <c r="E328" i="2"/>
  <c r="E1384" i="2"/>
  <c r="E1381" i="2"/>
  <c r="E1091" i="2"/>
  <c r="E1068" i="2"/>
  <c r="E5803" i="2"/>
  <c r="E411" i="2"/>
  <c r="E4260" i="2"/>
  <c r="E5896" i="2"/>
  <c r="E6075" i="2"/>
  <c r="E3363" i="2"/>
  <c r="E5212" i="2"/>
  <c r="E158" i="2"/>
  <c r="E3448" i="2"/>
  <c r="E5692" i="2"/>
  <c r="E3961" i="2"/>
  <c r="E4952" i="2"/>
  <c r="E3021" i="2"/>
  <c r="E2243" i="2"/>
  <c r="E1635" i="2"/>
  <c r="E3117" i="2"/>
  <c r="E3453" i="2"/>
  <c r="E5348" i="2"/>
  <c r="E1529" i="2"/>
  <c r="E3674" i="2"/>
  <c r="E366" i="2"/>
  <c r="E4266" i="2"/>
  <c r="E5221" i="2"/>
  <c r="E273" i="2"/>
  <c r="E4350" i="2"/>
  <c r="E4663" i="2"/>
  <c r="E3153" i="2"/>
  <c r="E2790" i="2"/>
  <c r="E3706" i="2"/>
  <c r="E2693" i="2"/>
  <c r="E5266" i="2"/>
  <c r="E1915" i="2"/>
  <c r="E57" i="2"/>
  <c r="E734" i="2"/>
  <c r="E5463" i="2"/>
  <c r="E2157" i="2"/>
  <c r="E593" i="2"/>
  <c r="E2288" i="2"/>
  <c r="E1173" i="2"/>
  <c r="E4514" i="2"/>
  <c r="E4237" i="2"/>
  <c r="E107" i="2"/>
  <c r="E595" i="2"/>
  <c r="E5769" i="2"/>
  <c r="E860" i="2"/>
  <c r="E4483" i="2"/>
  <c r="E4477" i="2"/>
  <c r="E449" i="2"/>
  <c r="E4321" i="2"/>
  <c r="E3462" i="2"/>
  <c r="E3164" i="2"/>
  <c r="E5907" i="2"/>
  <c r="E2388" i="2"/>
  <c r="E3738" i="2"/>
  <c r="E1777" i="2"/>
  <c r="E4705" i="2"/>
  <c r="E4369" i="2"/>
  <c r="E5098" i="2"/>
  <c r="E1038" i="2"/>
  <c r="E3152" i="2"/>
  <c r="E2210" i="2"/>
  <c r="E1120" i="2"/>
  <c r="E6006" i="2"/>
  <c r="E4342" i="2"/>
  <c r="E534" i="2"/>
  <c r="E1369" i="2"/>
  <c r="E5811" i="2"/>
  <c r="E184" i="2"/>
  <c r="E5715" i="2"/>
  <c r="E4736" i="2"/>
  <c r="E5166" i="2"/>
  <c r="E5772" i="2"/>
  <c r="E2967" i="2"/>
  <c r="E5279" i="2"/>
  <c r="E68" i="2"/>
  <c r="E1990" i="2"/>
  <c r="E2896" i="2"/>
  <c r="E5644" i="2"/>
  <c r="E916" i="2"/>
  <c r="E5963" i="2"/>
  <c r="E5807" i="2"/>
  <c r="E5226" i="2"/>
  <c r="E873" i="2"/>
  <c r="E2621" i="2"/>
  <c r="E3824" i="2"/>
  <c r="E1959" i="2"/>
  <c r="E2845" i="2"/>
  <c r="E4902" i="2"/>
  <c r="E2459" i="2"/>
  <c r="E4967" i="2"/>
  <c r="E3194" i="2"/>
  <c r="E1884" i="2"/>
  <c r="E896" i="2"/>
  <c r="E2546" i="2"/>
  <c r="E894" i="2"/>
  <c r="E280" i="2"/>
  <c r="E2585" i="2"/>
  <c r="E4068" i="2"/>
  <c r="E1329" i="2"/>
  <c r="E5149" i="2"/>
  <c r="E2755" i="2"/>
  <c r="E5970" i="2"/>
  <c r="E921" i="2"/>
  <c r="E5767" i="2"/>
  <c r="E4388" i="2"/>
  <c r="E71" i="2"/>
  <c r="E3776" i="2"/>
  <c r="E5527" i="2"/>
  <c r="E1584" i="2"/>
  <c r="E3443" i="2"/>
  <c r="E252" i="2"/>
  <c r="E5710" i="2"/>
  <c r="E2336" i="2"/>
  <c r="E881" i="2"/>
  <c r="E3920" i="2"/>
  <c r="E1096" i="2"/>
  <c r="E3187" i="2"/>
  <c r="E5219" i="2"/>
  <c r="E780" i="2"/>
  <c r="E4008" i="2"/>
  <c r="E1759" i="2"/>
  <c r="E316" i="2"/>
  <c r="E333" i="2"/>
  <c r="E2093" i="2"/>
  <c r="E5316" i="2"/>
  <c r="E1578" i="2"/>
  <c r="E4924" i="2"/>
  <c r="E2847" i="2"/>
  <c r="E1900" i="2"/>
  <c r="E5529" i="2"/>
  <c r="E576" i="2"/>
  <c r="E5691" i="2"/>
  <c r="E1646" i="2"/>
  <c r="E5550" i="2"/>
  <c r="E501" i="2"/>
  <c r="E4920" i="2"/>
  <c r="E805" i="2"/>
  <c r="E2631" i="2"/>
  <c r="E3065" i="2"/>
  <c r="E1070" i="2"/>
  <c r="E3439" i="2"/>
  <c r="E3950" i="2"/>
  <c r="E1272" i="2"/>
  <c r="E3974" i="2"/>
  <c r="E5590" i="2"/>
  <c r="E586" i="2"/>
  <c r="E4395" i="2"/>
  <c r="E6038" i="2"/>
  <c r="E465" i="2"/>
  <c r="E1726" i="2"/>
  <c r="E1171" i="2"/>
  <c r="E471" i="2"/>
  <c r="E697" i="2"/>
  <c r="E4457" i="2"/>
  <c r="E1045" i="2"/>
  <c r="E2927" i="2"/>
  <c r="E4672" i="2"/>
  <c r="E3699" i="2"/>
  <c r="E3149" i="2"/>
  <c r="E1094" i="2"/>
  <c r="E1600" i="2"/>
  <c r="E1787" i="2"/>
  <c r="E6028" i="2"/>
  <c r="E5193" i="2"/>
  <c r="E4749" i="2"/>
  <c r="E6146" i="2"/>
  <c r="E2310" i="2"/>
  <c r="E2789" i="2"/>
  <c r="E675" i="2"/>
  <c r="E652" i="2"/>
  <c r="E2150" i="2"/>
  <c r="E3991" i="2"/>
  <c r="E4112" i="2"/>
  <c r="E2031" i="2"/>
  <c r="E2527" i="2"/>
  <c r="E2386" i="2"/>
  <c r="E193" i="2"/>
  <c r="E3013" i="2"/>
  <c r="E2793" i="2"/>
  <c r="E4051" i="2"/>
  <c r="E5310" i="2"/>
  <c r="E3871" i="2"/>
  <c r="E4052" i="2"/>
  <c r="E4275" i="2"/>
  <c r="E4525" i="2"/>
  <c r="E1338" i="2"/>
  <c r="E1000" i="2"/>
  <c r="E1632" i="2"/>
  <c r="E5898" i="2"/>
  <c r="E4962" i="2"/>
  <c r="E1061" i="2"/>
  <c r="E2582" i="2"/>
  <c r="E1660" i="2"/>
  <c r="E4086" i="2"/>
  <c r="E4169" i="2"/>
  <c r="E615" i="2"/>
  <c r="E2110" i="2"/>
  <c r="E1655" i="2"/>
  <c r="E5343" i="2"/>
  <c r="E5265" i="2"/>
  <c r="E2541" i="2"/>
  <c r="E1297" i="2"/>
  <c r="E2850" i="2"/>
  <c r="E515" i="2"/>
  <c r="E1150" i="2"/>
  <c r="E5189" i="2"/>
  <c r="E1533" i="2"/>
  <c r="E3517" i="2"/>
  <c r="E3923" i="2"/>
  <c r="E4349" i="2"/>
  <c r="E538" i="2"/>
  <c r="E5044" i="2"/>
  <c r="E5678" i="2"/>
  <c r="E2359" i="2"/>
  <c r="E5439" i="2"/>
  <c r="E2158" i="2"/>
  <c r="E2587" i="2"/>
  <c r="E5358" i="2"/>
  <c r="E3236" i="2"/>
  <c r="E4619" i="2"/>
  <c r="E3803" i="2"/>
  <c r="E2202" i="2"/>
  <c r="E6107" i="2"/>
  <c r="E1377" i="2"/>
  <c r="E3936" i="2"/>
  <c r="E2658" i="2"/>
  <c r="E5163" i="2"/>
  <c r="E5405" i="2"/>
  <c r="E1872" i="2"/>
  <c r="E3211" i="2"/>
  <c r="E2446" i="2"/>
  <c r="E3885" i="2"/>
  <c r="E5187" i="2"/>
  <c r="E3838" i="2"/>
  <c r="E1197" i="2"/>
  <c r="E327" i="2"/>
  <c r="E5776" i="2"/>
  <c r="E1216" i="2"/>
  <c r="E5679" i="2"/>
  <c r="E4842" i="2"/>
  <c r="E657" i="2"/>
  <c r="E3324" i="2"/>
  <c r="E581" i="2"/>
  <c r="E1661" i="2"/>
  <c r="E542" i="2"/>
  <c r="E5920" i="2"/>
  <c r="E288" i="2"/>
  <c r="E5244" i="2"/>
  <c r="E511" i="2"/>
  <c r="E5456" i="2"/>
  <c r="E2701" i="2"/>
  <c r="E4710" i="2"/>
  <c r="E5374" i="2"/>
  <c r="E4820" i="2"/>
  <c r="E4555" i="2"/>
  <c r="E848" i="2"/>
  <c r="E3038" i="2"/>
  <c r="E5245" i="2"/>
  <c r="E2001" i="2"/>
  <c r="E5668" i="2"/>
  <c r="E2124" i="2"/>
  <c r="E5953" i="2"/>
  <c r="E5486" i="2"/>
  <c r="E3045" i="2"/>
  <c r="E5071" i="2"/>
  <c r="E3771" i="2"/>
  <c r="E2193" i="2"/>
  <c r="E2307" i="2"/>
  <c r="E2746" i="2"/>
  <c r="E5545" i="2"/>
  <c r="E5270" i="2"/>
  <c r="E4248" i="2"/>
  <c r="E779" i="2"/>
  <c r="E440" i="2"/>
  <c r="E4548" i="2"/>
  <c r="E4724" i="2"/>
  <c r="E1153" i="2"/>
  <c r="E1503" i="2"/>
  <c r="E3985" i="2"/>
  <c r="E2054" i="2"/>
  <c r="E5028" i="2"/>
  <c r="E6086" i="2"/>
  <c r="E526" i="2"/>
  <c r="E811" i="2"/>
  <c r="E1391" i="2"/>
  <c r="E1312" i="2"/>
  <c r="E622" i="2"/>
  <c r="E2525" i="2"/>
  <c r="E6111" i="2"/>
  <c r="E2843" i="2"/>
  <c r="E5667" i="2"/>
  <c r="E985" i="2"/>
  <c r="E3890" i="2"/>
  <c r="E105" i="2"/>
  <c r="E4844" i="2"/>
  <c r="E1985" i="2"/>
  <c r="E1036" i="2"/>
  <c r="E5661" i="2"/>
  <c r="E2600" i="2"/>
  <c r="E4503" i="2"/>
  <c r="E3306" i="2"/>
  <c r="E2647" i="2"/>
  <c r="E3392" i="2"/>
  <c r="E2794" i="2"/>
  <c r="E1389" i="2"/>
  <c r="E831" i="2"/>
  <c r="E1129" i="2"/>
  <c r="E1066" i="2"/>
  <c r="E4491" i="2"/>
  <c r="E5564" i="2"/>
  <c r="E109" i="2"/>
  <c r="E371" i="2"/>
  <c r="E360" i="2"/>
  <c r="E3201" i="2"/>
  <c r="E4127" i="2"/>
  <c r="E899" i="2"/>
  <c r="E4517" i="2"/>
  <c r="E5133" i="2"/>
  <c r="E3943" i="2"/>
  <c r="E4678" i="2"/>
  <c r="E4314" i="2"/>
  <c r="E102" i="2"/>
  <c r="E4146" i="2"/>
  <c r="E1034" i="2"/>
  <c r="E336" i="2"/>
  <c r="E2084" i="2"/>
  <c r="E3391" i="2"/>
  <c r="E4989" i="2"/>
  <c r="E1194" i="2"/>
  <c r="E2749" i="2"/>
  <c r="E319" i="2"/>
  <c r="E177" i="2"/>
  <c r="E4274" i="2"/>
  <c r="E5423" i="2"/>
  <c r="E4141" i="2"/>
  <c r="E2869" i="2"/>
  <c r="E1100" i="2"/>
  <c r="E2133" i="2"/>
  <c r="E2762" i="2"/>
  <c r="E3374" i="2"/>
  <c r="E5089" i="2"/>
  <c r="E321" i="2"/>
  <c r="E3116" i="2"/>
  <c r="E5764" i="2"/>
  <c r="E2816" i="2"/>
  <c r="E2240" i="2"/>
  <c r="E3030" i="2"/>
  <c r="E2276" i="2"/>
  <c r="E2256" i="2"/>
  <c r="E3005" i="2"/>
  <c r="E1492" i="2"/>
  <c r="E3741" i="2"/>
  <c r="E5640" i="2"/>
  <c r="E5422" i="2"/>
  <c r="E5867" i="2"/>
  <c r="E4405" i="2"/>
  <c r="E475" i="2"/>
  <c r="E5469" i="2"/>
  <c r="E6084" i="2"/>
  <c r="E2628" i="2"/>
  <c r="E5723" i="2"/>
  <c r="E2440" i="2"/>
  <c r="E2551" i="2"/>
  <c r="E6110" i="2"/>
  <c r="E1623" i="2"/>
  <c r="E2782" i="2"/>
  <c r="E1044" i="2"/>
  <c r="E4347" i="2"/>
  <c r="E4011" i="2"/>
  <c r="E3595" i="2"/>
  <c r="E3956" i="2"/>
  <c r="E2342" i="2"/>
  <c r="E2560" i="2"/>
  <c r="E5572" i="2"/>
  <c r="E2524" i="2"/>
  <c r="E6140" i="2"/>
  <c r="E5314" i="2"/>
  <c r="E5385" i="2"/>
  <c r="E5453" i="2"/>
  <c r="E3850" i="2"/>
  <c r="E3631" i="2"/>
  <c r="E1795" i="2"/>
  <c r="E5537" i="2"/>
  <c r="E6129" i="2"/>
  <c r="E1604" i="2"/>
  <c r="E2279" i="2"/>
  <c r="E836" i="2"/>
  <c r="E1444" i="2"/>
  <c r="E1151" i="2"/>
  <c r="E2512" i="2"/>
  <c r="E651" i="2"/>
  <c r="E3207" i="2"/>
  <c r="E4956" i="2"/>
  <c r="E1969" i="2"/>
  <c r="E2055" i="2"/>
  <c r="E5694" i="2"/>
  <c r="E53" i="2"/>
  <c r="E1470" i="2"/>
  <c r="E4217" i="2"/>
  <c r="E2575" i="2"/>
  <c r="E1417" i="2"/>
  <c r="E4210" i="2"/>
  <c r="E5238" i="2"/>
  <c r="E1169" i="2"/>
  <c r="E5621" i="2"/>
  <c r="E1419" i="2"/>
  <c r="E4041" i="2"/>
  <c r="E1016" i="2"/>
  <c r="E4516" i="2"/>
  <c r="E1719" i="2"/>
  <c r="E1778" i="2"/>
  <c r="E3125" i="2"/>
  <c r="E490" i="2"/>
  <c r="E4704" i="2"/>
  <c r="E5307" i="2"/>
  <c r="E3269" i="2"/>
  <c r="E722" i="2"/>
  <c r="E1134" i="2"/>
  <c r="E4025" i="2"/>
  <c r="E5077" i="2"/>
  <c r="E2569" i="2"/>
  <c r="E4567" i="2"/>
  <c r="E6066" i="2"/>
  <c r="E3299" i="2"/>
  <c r="E5132" i="2"/>
  <c r="E3518" i="2"/>
  <c r="E1970" i="2"/>
  <c r="E2383" i="2"/>
  <c r="E4047" i="2"/>
  <c r="E2951" i="2"/>
  <c r="E3564" i="2"/>
  <c r="E666" i="2"/>
  <c r="E4887" i="2"/>
  <c r="E403" i="2"/>
  <c r="E5264" i="2"/>
  <c r="E186" i="2"/>
  <c r="E4455" i="2"/>
  <c r="E5242" i="2"/>
  <c r="E1473" i="2"/>
  <c r="E3403" i="2"/>
  <c r="E6148" i="2"/>
  <c r="E5915" i="2"/>
  <c r="E5257" i="2"/>
  <c r="E5856" i="2"/>
  <c r="E703" i="2"/>
  <c r="E246" i="2"/>
  <c r="E1730" i="2"/>
  <c r="E3781" i="2"/>
  <c r="E1164" i="2"/>
  <c r="E1106" i="2"/>
  <c r="E4304" i="2"/>
  <c r="E1885" i="2"/>
  <c r="E2260" i="2"/>
  <c r="E1844" i="2"/>
  <c r="E2308" i="2"/>
  <c r="E3138" i="2"/>
  <c r="E2872" i="2"/>
  <c r="E620" i="2"/>
  <c r="E493" i="2"/>
  <c r="E3265" i="2"/>
  <c r="E2436" i="2"/>
  <c r="E4588" i="2"/>
  <c r="E1109" i="2"/>
  <c r="E3235" i="2"/>
  <c r="E2321" i="2"/>
  <c r="E5865" i="2"/>
  <c r="E2938" i="2"/>
  <c r="E724" i="2"/>
  <c r="E1041" i="2"/>
  <c r="E3744" i="2"/>
  <c r="E4521" i="2"/>
  <c r="E5438" i="2"/>
  <c r="E3751" i="2"/>
  <c r="E1914" i="2"/>
  <c r="E5603" i="2"/>
  <c r="E4262" i="2"/>
  <c r="E3202" i="2"/>
  <c r="E5983" i="2"/>
  <c r="E5137" i="2"/>
  <c r="E2416" i="2"/>
  <c r="E437" i="2"/>
  <c r="E1705" i="2"/>
  <c r="E6064" i="2"/>
  <c r="E591" i="2"/>
  <c r="E3245" i="2"/>
  <c r="E3105" i="2"/>
  <c r="E4459" i="2"/>
  <c r="E3499" i="2"/>
  <c r="E1315" i="2"/>
  <c r="E1386" i="2"/>
  <c r="E3557" i="2"/>
  <c r="E816" i="2"/>
  <c r="E2447" i="2"/>
  <c r="E2309" i="2"/>
  <c r="E5215" i="2"/>
  <c r="E5287" i="2"/>
  <c r="E1496" i="2"/>
  <c r="E972" i="2"/>
  <c r="E1400" i="2"/>
  <c r="E923" i="2"/>
  <c r="E427" i="2"/>
  <c r="E5543" i="2"/>
  <c r="E3484" i="2"/>
  <c r="E5015" i="2"/>
  <c r="E2695" i="2"/>
  <c r="E2011" i="2"/>
  <c r="E571" i="2"/>
  <c r="E4994" i="2"/>
  <c r="E3199" i="2"/>
  <c r="E3338" i="2"/>
  <c r="E1234" i="2"/>
  <c r="E1675" i="2"/>
  <c r="E2145" i="2"/>
  <c r="E1494" i="2"/>
  <c r="E3230" i="2"/>
  <c r="E2754" i="2"/>
  <c r="E4295" i="2"/>
  <c r="E2933" i="2"/>
  <c r="E3488" i="2"/>
  <c r="E5243" i="2"/>
  <c r="E5903" i="2"/>
  <c r="E592" i="2"/>
  <c r="E4478" i="2"/>
  <c r="E2646" i="2"/>
  <c r="E6098" i="2"/>
  <c r="E4788" i="2"/>
  <c r="E5086" i="2"/>
  <c r="E4279" i="2"/>
  <c r="E5518" i="2"/>
  <c r="E2470" i="2"/>
  <c r="E940" i="2"/>
  <c r="E4420" i="2"/>
  <c r="E1397" i="2"/>
  <c r="E3571" i="2"/>
  <c r="E4034" i="2"/>
  <c r="E984" i="2"/>
  <c r="E3389" i="2"/>
  <c r="E1128" i="2"/>
  <c r="E1310" i="2"/>
  <c r="E1052" i="2"/>
  <c r="E4765" i="2"/>
  <c r="E2574" i="2"/>
  <c r="E3762" i="2"/>
  <c r="E4354" i="2"/>
  <c r="E1598" i="2"/>
  <c r="E4380" i="2"/>
  <c r="E4742" i="2"/>
  <c r="E1450" i="2"/>
  <c r="E3993" i="2"/>
  <c r="E1891" i="2"/>
  <c r="E3068" i="2"/>
  <c r="E532" i="2"/>
  <c r="E3620" i="2"/>
  <c r="E4014" i="2"/>
  <c r="E891" i="2"/>
  <c r="E3414" i="2"/>
  <c r="E3438" i="2"/>
  <c r="E1488" i="2"/>
  <c r="E5730" i="2"/>
  <c r="E4035" i="2"/>
  <c r="E1814" i="2"/>
  <c r="E82" i="2"/>
  <c r="E6070" i="2"/>
  <c r="E782" i="2"/>
  <c r="E5688" i="2"/>
  <c r="E4708" i="2"/>
  <c r="E4653" i="2"/>
  <c r="E1031" i="2"/>
  <c r="E2567" i="2"/>
  <c r="E3568" i="2"/>
  <c r="E2508" i="2"/>
  <c r="E1282" i="2"/>
  <c r="E4800" i="2"/>
  <c r="E2072" i="2"/>
  <c r="E4926" i="2"/>
  <c r="E2996" i="2"/>
  <c r="E1964" i="2"/>
  <c r="E2519" i="2"/>
  <c r="E3257" i="2"/>
  <c r="E5022" i="2"/>
  <c r="E2500" i="2"/>
  <c r="E980" i="2"/>
  <c r="E2898" i="2"/>
  <c r="E5512" i="2"/>
  <c r="E2875" i="2"/>
  <c r="E4746" i="2"/>
  <c r="E911" i="2"/>
  <c r="E3968" i="2"/>
  <c r="E5305" i="2"/>
  <c r="E5340" i="2"/>
  <c r="E106" i="2"/>
  <c r="E524" i="2"/>
  <c r="E389" i="2"/>
  <c r="E5653" i="2"/>
  <c r="E729" i="2"/>
  <c r="E2142" i="2"/>
  <c r="E4220" i="2"/>
  <c r="E637" i="2"/>
  <c r="E2692" i="2"/>
  <c r="E918" i="2"/>
  <c r="E5206" i="2"/>
  <c r="E3977" i="2"/>
  <c r="E1119" i="2"/>
  <c r="E4069" i="2"/>
  <c r="E4505" i="2"/>
  <c r="E744" i="2"/>
  <c r="E4556" i="2"/>
  <c r="E6063" i="2"/>
  <c r="E2300" i="2"/>
  <c r="E5711" i="2"/>
  <c r="E2382" i="2"/>
  <c r="E1760" i="2"/>
  <c r="E3002" i="2"/>
  <c r="E5179" i="2"/>
  <c r="E983" i="2"/>
  <c r="E3643" i="2"/>
  <c r="E5893" i="2"/>
  <c r="E4184" i="2"/>
  <c r="E4157" i="2"/>
  <c r="E2343" i="2"/>
  <c r="E4423" i="2"/>
  <c r="E3253" i="2"/>
  <c r="E3510" i="2"/>
  <c r="E4652" i="2"/>
  <c r="E1468" i="2"/>
  <c r="E4511" i="2"/>
  <c r="E1974" i="2"/>
  <c r="E3076" i="2"/>
  <c r="E2475" i="2"/>
  <c r="E2660" i="2"/>
  <c r="E5124" i="2"/>
  <c r="E5791" i="2"/>
  <c r="E476" i="2"/>
  <c r="E3241" i="2"/>
  <c r="E1802" i="2"/>
  <c r="E3657" i="2"/>
  <c r="E5961" i="2"/>
  <c r="E6068" i="2"/>
  <c r="E631" i="2"/>
  <c r="E3482" i="2"/>
  <c r="E2259" i="2"/>
  <c r="E3710" i="2"/>
  <c r="E1803" i="2"/>
  <c r="E4283" i="2"/>
  <c r="E5768" i="2"/>
  <c r="E5948" i="2"/>
  <c r="E4709" i="2"/>
  <c r="E4896" i="2"/>
  <c r="E377" i="2"/>
  <c r="E3960" i="2"/>
  <c r="E4039" i="2"/>
  <c r="E4071" i="2"/>
  <c r="E5890" i="2"/>
  <c r="E1597" i="2"/>
  <c r="E3800" i="2"/>
  <c r="E2891" i="2"/>
  <c r="E4352" i="2"/>
  <c r="E4204" i="2"/>
  <c r="E3898" i="2"/>
  <c r="E2706" i="2"/>
  <c r="E956" i="2"/>
  <c r="E6089" i="2"/>
  <c r="E3294" i="2"/>
  <c r="E4966" i="2"/>
  <c r="E886" i="2"/>
  <c r="E5248" i="2"/>
  <c r="E5292" i="2"/>
  <c r="E2830" i="2"/>
  <c r="E4165" i="2"/>
  <c r="E3220" i="2"/>
  <c r="E3012" i="2"/>
  <c r="E2521" i="2"/>
  <c r="E4139" i="2"/>
  <c r="E1314" i="2"/>
  <c r="E3405" i="2"/>
  <c r="E2349" i="2"/>
  <c r="E2002" i="2"/>
  <c r="E3486" i="2"/>
  <c r="E508" i="2"/>
  <c r="E677" i="2"/>
  <c r="E750" i="2"/>
  <c r="E3348" i="2"/>
  <c r="E4761" i="2"/>
  <c r="E1437" i="2"/>
  <c r="E5296" i="2"/>
  <c r="E3849" i="2"/>
  <c r="E2357" i="2"/>
  <c r="E3345" i="2"/>
  <c r="E5458" i="2"/>
  <c r="E296" i="2"/>
  <c r="E2954" i="2"/>
  <c r="E2728" i="2"/>
  <c r="E3894" i="2"/>
  <c r="E851" i="2"/>
  <c r="E2819" i="2"/>
  <c r="E6145" i="2"/>
  <c r="E2419" i="2"/>
  <c r="E2514" i="2"/>
  <c r="E3676" i="2"/>
  <c r="E5490" i="2"/>
  <c r="E1546" i="2"/>
  <c r="E2200" i="2"/>
  <c r="E1353" i="2"/>
  <c r="E4959" i="2"/>
  <c r="E4729" i="2"/>
  <c r="E2466" i="2"/>
  <c r="E2458" i="2"/>
  <c r="E4054" i="2"/>
  <c r="E4535" i="2"/>
  <c r="E1304" i="2"/>
  <c r="E2641" i="2"/>
  <c r="E4888" i="2"/>
  <c r="E1015" i="2"/>
  <c r="E2966" i="2"/>
  <c r="E3476" i="2"/>
  <c r="E5935" i="2"/>
  <c r="E1020" i="2"/>
  <c r="E3563" i="2"/>
  <c r="E2460" i="2"/>
  <c r="E5681" i="2"/>
  <c r="E5079" i="2"/>
  <c r="E2453" i="2"/>
  <c r="E4718" i="2"/>
  <c r="E3286" i="2"/>
  <c r="E5007" i="2"/>
  <c r="E2042" i="2"/>
  <c r="E4461" i="2"/>
  <c r="E126" i="2"/>
  <c r="E5322" i="2"/>
  <c r="E3366" i="2"/>
  <c r="E1957" i="2"/>
  <c r="E849" i="2"/>
  <c r="E299" i="2"/>
  <c r="E1014" i="2"/>
  <c r="E914" i="2"/>
  <c r="E5429" i="2"/>
  <c r="E1877" i="2"/>
  <c r="E1916" i="2"/>
  <c r="E3999" i="2"/>
  <c r="E2228" i="2"/>
  <c r="E3730" i="2"/>
  <c r="E1356" i="2"/>
  <c r="E3361" i="2"/>
  <c r="E3895" i="2"/>
  <c r="E5182" i="2"/>
  <c r="E2179" i="2"/>
  <c r="E3997" i="2"/>
  <c r="E3799" i="2"/>
  <c r="E3596" i="2"/>
  <c r="E5078" i="2"/>
  <c r="E1763" i="2"/>
  <c r="E3358" i="2"/>
  <c r="E5151" i="2"/>
  <c r="E4329" i="2"/>
  <c r="E4307" i="2"/>
  <c r="E1336" i="2"/>
  <c r="E5025" i="2"/>
  <c r="E3256" i="2"/>
  <c r="E4623" i="2"/>
  <c r="E2250" i="2"/>
  <c r="E772" i="2"/>
  <c r="E6136" i="2"/>
  <c r="E2638" i="2"/>
  <c r="E1599" i="2"/>
  <c r="E4780" i="2"/>
  <c r="E3123" i="2"/>
  <c r="E1157" i="2"/>
  <c r="E152" i="2"/>
  <c r="E5682" i="2"/>
  <c r="E5380" i="2"/>
  <c r="E136" i="2"/>
  <c r="E1984" i="2"/>
  <c r="E1455" i="2"/>
  <c r="E4143" i="2"/>
  <c r="E4108" i="2"/>
  <c r="E2018" i="2"/>
  <c r="E1627" i="2"/>
  <c r="E5153" i="2"/>
  <c r="E4173" i="2"/>
  <c r="E2868" i="2"/>
  <c r="E4993" i="2"/>
  <c r="E789" i="2"/>
  <c r="E2987" i="2"/>
  <c r="E210" i="2"/>
  <c r="E5669" i="2"/>
  <c r="E815" i="2"/>
  <c r="E4256" i="2"/>
  <c r="E4233" i="2"/>
  <c r="E3753" i="2"/>
  <c r="E5430" i="2"/>
  <c r="E1979" i="2"/>
  <c r="E4447" i="2"/>
  <c r="E3816" i="2"/>
  <c r="E1929" i="2"/>
  <c r="E1105" i="2"/>
  <c r="E5480" i="2"/>
  <c r="E474" i="2"/>
  <c r="E5159" i="2"/>
  <c r="E2056" i="2"/>
  <c r="E5962" i="2"/>
  <c r="E3379" i="2"/>
  <c r="E4364" i="2"/>
  <c r="E5538" i="2"/>
  <c r="E124" i="2"/>
  <c r="E3796" i="2"/>
  <c r="E1162" i="2"/>
  <c r="E4876" i="2"/>
  <c r="E5410" i="2"/>
  <c r="E632" i="2"/>
  <c r="E4536" i="2"/>
  <c r="E4176" i="2"/>
  <c r="E2760" i="2"/>
  <c r="E3420" i="2"/>
  <c r="E4824" i="2"/>
  <c r="E3440" i="2"/>
  <c r="E6065" i="2"/>
  <c r="E1585" i="2"/>
  <c r="E5570" i="2"/>
  <c r="E417" i="2"/>
  <c r="E4097" i="2"/>
  <c r="E1393" i="2"/>
  <c r="E2913" i="2"/>
  <c r="E2304" i="2"/>
  <c r="E4181" i="2"/>
  <c r="E4346" i="2"/>
  <c r="E4021" i="2"/>
  <c r="E3296" i="2"/>
  <c r="E5249" i="2"/>
  <c r="E1764" i="2"/>
  <c r="E3454" i="2"/>
  <c r="E962" i="2"/>
  <c r="E755" i="2"/>
  <c r="E6005" i="2"/>
  <c r="E4454" i="2"/>
  <c r="E69" i="2"/>
  <c r="E4975" i="2"/>
  <c r="E3028" i="2"/>
  <c r="E754" i="2"/>
  <c r="E234" i="2"/>
  <c r="E1567" i="2"/>
  <c r="E4693" i="2"/>
  <c r="E3188" i="2"/>
  <c r="E3757" i="2"/>
  <c r="E3437" i="2"/>
  <c r="E5689" i="2"/>
  <c r="E3763" i="2"/>
  <c r="E5650" i="2"/>
  <c r="E1463" i="2"/>
  <c r="E1032" i="2"/>
  <c r="E5010" i="2"/>
  <c r="E3983" i="2"/>
  <c r="E3524" i="2"/>
  <c r="E3918" i="2"/>
  <c r="E3126" i="2"/>
  <c r="E922" i="2"/>
  <c r="E1253" i="2"/>
  <c r="E3384" i="2"/>
  <c r="E4863" i="2"/>
  <c r="E560" i="2"/>
  <c r="E1181" i="2"/>
  <c r="E6135" i="2"/>
  <c r="E47" i="2"/>
  <c r="E1354" i="2"/>
  <c r="E2435" i="2"/>
  <c r="E5971" i="2"/>
  <c r="E3283" i="2"/>
  <c r="E821" i="2"/>
  <c r="E3264" i="2"/>
  <c r="E4635" i="2"/>
  <c r="E901" i="2"/>
  <c r="E5415" i="2"/>
  <c r="E1941" i="2"/>
  <c r="E4281" i="2"/>
  <c r="E1180" i="2"/>
  <c r="E122" i="2"/>
  <c r="E5043" i="2"/>
  <c r="E5899" i="2"/>
  <c r="E5019" i="2"/>
  <c r="E898" i="2"/>
  <c r="E2817" i="2"/>
  <c r="E5542" i="2"/>
  <c r="E2675" i="2"/>
  <c r="E5103" i="2"/>
  <c r="E4580" i="2"/>
  <c r="E4061" i="2"/>
  <c r="E4328" i="2"/>
  <c r="E5616" i="2"/>
  <c r="E4435" i="2"/>
  <c r="E2364" i="2"/>
  <c r="E4904" i="2"/>
  <c r="E6141" i="2"/>
  <c r="E4058" i="2"/>
  <c r="E5695" i="2"/>
  <c r="E5654" i="2"/>
  <c r="E4826" i="2"/>
  <c r="E5060" i="2"/>
  <c r="E4591" i="2"/>
  <c r="E3646" i="2"/>
  <c r="E5069" i="2"/>
  <c r="E939" i="2"/>
  <c r="E3131" i="2"/>
  <c r="E5732" i="2"/>
  <c r="E5651" i="2"/>
  <c r="E2808" i="2"/>
  <c r="E3227" i="2"/>
  <c r="E4033" i="2"/>
  <c r="E3512" i="2"/>
  <c r="E5862" i="2"/>
  <c r="E5756" i="2"/>
  <c r="E5436" i="2"/>
  <c r="E1679" i="2"/>
  <c r="E2667" i="2"/>
  <c r="E2715" i="2"/>
  <c r="E4315" i="2"/>
  <c r="E4155" i="2"/>
  <c r="E5777" i="2"/>
  <c r="E3882" i="2"/>
  <c r="E949" i="2"/>
  <c r="E4107" i="2"/>
  <c r="E3435" i="2"/>
  <c r="E721" i="2"/>
  <c r="E6116" i="2"/>
  <c r="E5218" i="2"/>
  <c r="E2326" i="2"/>
  <c r="E4845" i="2"/>
  <c r="E1752" i="2"/>
  <c r="E4179" i="2"/>
  <c r="E3298" i="2"/>
  <c r="E2263" i="2"/>
  <c r="E4762" i="2"/>
  <c r="E4193" i="2"/>
  <c r="E3740" i="2"/>
  <c r="E2328" i="2"/>
  <c r="E3915" i="2"/>
  <c r="E5384" i="2"/>
  <c r="E4136" i="2"/>
  <c r="E2315" i="2"/>
  <c r="E4234" i="2"/>
  <c r="E6041" i="2"/>
  <c r="E5321" i="2"/>
  <c r="E6031" i="2"/>
  <c r="E2663" i="2"/>
  <c r="E3973" i="2"/>
  <c r="E2119" i="2"/>
  <c r="E3584" i="2"/>
  <c r="E4515" i="2"/>
  <c r="E1586" i="2"/>
  <c r="E1581" i="2"/>
  <c r="E5925" i="2"/>
  <c r="E4043" i="2"/>
  <c r="E4589" i="2"/>
  <c r="E976" i="2"/>
  <c r="E65" i="2"/>
  <c r="E4389" i="2"/>
  <c r="E2904" i="2"/>
  <c r="E2792" i="2"/>
  <c r="E1286" i="2"/>
  <c r="E1358" i="2"/>
  <c r="E778" i="2"/>
  <c r="E2085" i="2"/>
  <c r="E4661" i="2"/>
  <c r="E1532" i="2"/>
  <c r="E5996" i="2"/>
  <c r="E6051" i="2"/>
  <c r="J438" i="2" l="1"/>
  <c r="J17" i="2"/>
  <c r="J12" i="2"/>
  <c r="J14" i="2"/>
  <c r="J10" i="2"/>
  <c r="J16" i="2"/>
  <c r="J18" i="2"/>
  <c r="J22" i="2"/>
  <c r="J24" i="2"/>
  <c r="J15" i="2"/>
  <c r="J4" i="2"/>
  <c r="J20" i="2"/>
  <c r="J25" i="2"/>
  <c r="J8" i="2"/>
  <c r="J21" i="2"/>
  <c r="J26" i="2"/>
  <c r="J6" i="2"/>
  <c r="J7" i="2"/>
  <c r="J23" i="2"/>
  <c r="J9" i="2"/>
  <c r="J19" i="2"/>
  <c r="J5" i="2"/>
  <c r="J11" i="2"/>
  <c r="J13" i="2"/>
  <c r="J27" i="2"/>
  <c r="J28" i="2"/>
  <c r="J89" i="2"/>
  <c r="J101" i="2"/>
  <c r="J149" i="2"/>
  <c r="J65" i="2"/>
  <c r="J82" i="2"/>
  <c r="J110" i="2"/>
  <c r="J96" i="2"/>
  <c r="J154" i="2"/>
  <c r="J44" i="2"/>
  <c r="J90" i="2"/>
  <c r="J36" i="2"/>
  <c r="J105" i="2"/>
  <c r="J126" i="2"/>
  <c r="J46" i="2"/>
  <c r="J77" i="2"/>
  <c r="J104" i="2"/>
  <c r="J113" i="2"/>
  <c r="J131" i="2"/>
  <c r="J132" i="2"/>
  <c r="J147" i="2"/>
  <c r="J127" i="2"/>
  <c r="J98" i="2"/>
  <c r="J100" i="2"/>
  <c r="J150" i="2"/>
  <c r="J69" i="2"/>
  <c r="J76" i="2"/>
  <c r="J73" i="2"/>
  <c r="J34" i="2"/>
  <c r="J49" i="2"/>
  <c r="J95" i="2"/>
  <c r="J62" i="2"/>
  <c r="J86" i="2"/>
  <c r="J114" i="2"/>
  <c r="J70" i="2"/>
  <c r="J136" i="2"/>
  <c r="J47" i="2"/>
  <c r="J72" i="2"/>
  <c r="J137" i="2"/>
  <c r="J40" i="2"/>
  <c r="J107" i="2"/>
  <c r="J116" i="2"/>
  <c r="J50" i="2"/>
  <c r="J38" i="2"/>
  <c r="J51" i="2"/>
  <c r="J141" i="2"/>
  <c r="J48" i="2"/>
  <c r="J31" i="2"/>
  <c r="J151" i="2"/>
  <c r="J120" i="2"/>
  <c r="J121" i="2"/>
  <c r="J138" i="2"/>
  <c r="J61" i="2"/>
  <c r="J115" i="2"/>
  <c r="J124" i="2"/>
  <c r="J142" i="2"/>
  <c r="J93" i="2"/>
  <c r="J29" i="2"/>
  <c r="J158" i="2"/>
  <c r="J68" i="2"/>
  <c r="J57" i="2"/>
  <c r="J130" i="2"/>
  <c r="J63" i="2"/>
  <c r="J60" i="2"/>
  <c r="J155" i="2"/>
  <c r="J103" i="2"/>
  <c r="J139" i="2"/>
  <c r="J43" i="2"/>
  <c r="J64" i="2"/>
  <c r="J125" i="2"/>
  <c r="J32" i="2"/>
  <c r="J117" i="2"/>
  <c r="J108" i="2"/>
  <c r="J99" i="2"/>
  <c r="J79" i="2"/>
  <c r="J152" i="2"/>
  <c r="J153" i="2"/>
  <c r="J157" i="2"/>
  <c r="J111" i="2"/>
  <c r="J118" i="2"/>
  <c r="J135" i="2"/>
  <c r="J92" i="2"/>
  <c r="J53" i="2"/>
  <c r="J94" i="2"/>
  <c r="J83" i="2"/>
  <c r="J134" i="2"/>
  <c r="J148" i="2"/>
  <c r="J56" i="2"/>
  <c r="J42" i="2"/>
  <c r="J35" i="2"/>
  <c r="J66" i="2"/>
  <c r="J133" i="2"/>
  <c r="J85" i="2"/>
  <c r="J129" i="2"/>
  <c r="J41" i="2"/>
  <c r="J78" i="2"/>
  <c r="J106" i="2"/>
  <c r="J143" i="2"/>
  <c r="J37" i="2"/>
  <c r="J39" i="2"/>
  <c r="J75" i="2"/>
  <c r="J71" i="2"/>
  <c r="J91" i="2"/>
  <c r="J145" i="2"/>
  <c r="J45" i="2"/>
  <c r="J123" i="2"/>
  <c r="J80" i="2"/>
  <c r="J122" i="2"/>
  <c r="J144" i="2"/>
  <c r="J97" i="2"/>
  <c r="J88" i="2"/>
  <c r="J112" i="2"/>
  <c r="J74" i="2"/>
  <c r="J84" i="2"/>
  <c r="J109" i="2"/>
  <c r="J146" i="2"/>
  <c r="J102" i="2"/>
  <c r="J33" i="2"/>
  <c r="J67" i="2"/>
  <c r="J140" i="2"/>
  <c r="J55" i="2"/>
  <c r="J59" i="2"/>
  <c r="J159" i="2"/>
  <c r="J58" i="2"/>
  <c r="J156" i="2"/>
  <c r="J52" i="2"/>
  <c r="J54" i="2"/>
  <c r="J87" i="2"/>
  <c r="J128" i="2"/>
  <c r="J119" i="2"/>
  <c r="J30" i="2"/>
  <c r="J81" i="2"/>
  <c r="J164" i="2"/>
  <c r="J160" i="2"/>
  <c r="J161" i="2"/>
  <c r="J162" i="2"/>
  <c r="J163" i="2"/>
  <c r="J165" i="2"/>
  <c r="J166" i="2"/>
  <c r="J167" i="2"/>
  <c r="J168" i="2"/>
  <c r="J169" i="2"/>
  <c r="J296" i="2"/>
  <c r="J284" i="2"/>
  <c r="J281" i="2"/>
  <c r="J458" i="2"/>
  <c r="J386" i="2"/>
  <c r="J536" i="2"/>
  <c r="J443" i="2"/>
  <c r="J389" i="2"/>
  <c r="J336" i="2"/>
  <c r="J454" i="2"/>
  <c r="J543" i="2"/>
  <c r="J275" i="2"/>
  <c r="J425" i="2"/>
  <c r="J273" i="2"/>
  <c r="J526" i="2"/>
  <c r="J468" i="2"/>
  <c r="J203" i="2"/>
  <c r="J368" i="2"/>
  <c r="J302" i="2"/>
  <c r="J292" i="2"/>
  <c r="J236" i="2"/>
  <c r="J306" i="2"/>
  <c r="J197" i="2"/>
  <c r="J371" i="2"/>
  <c r="J217" i="2"/>
  <c r="J406" i="2"/>
  <c r="J234" i="2"/>
  <c r="J200" i="2"/>
  <c r="J222" i="2"/>
  <c r="J414" i="2"/>
  <c r="J337" i="2"/>
  <c r="J267" i="2"/>
  <c r="J506" i="2"/>
  <c r="J402" i="2"/>
  <c r="J237" i="2"/>
  <c r="J204" i="2"/>
  <c r="J340" i="2"/>
  <c r="J549" i="2"/>
  <c r="J472" i="2"/>
  <c r="J351" i="2"/>
  <c r="J462" i="2"/>
  <c r="J339" i="2"/>
  <c r="J175" i="2"/>
  <c r="J280" i="2"/>
  <c r="J271" i="2"/>
  <c r="J265" i="2"/>
  <c r="J186" i="2"/>
  <c r="J172" i="2"/>
  <c r="J243" i="2"/>
  <c r="J471" i="2"/>
  <c r="J546" i="2"/>
  <c r="J220" i="2"/>
  <c r="J486" i="2"/>
  <c r="J233" i="2"/>
  <c r="J453" i="2"/>
  <c r="J499" i="2"/>
  <c r="J391" i="2"/>
  <c r="J479" i="2"/>
  <c r="J304" i="2"/>
  <c r="J531" i="2"/>
  <c r="J394" i="2"/>
  <c r="J533" i="2"/>
  <c r="J433" i="2"/>
  <c r="J430" i="2"/>
  <c r="J419" i="2"/>
  <c r="J260" i="2"/>
  <c r="J323" i="2"/>
  <c r="J504" i="2"/>
  <c r="J507" i="2"/>
  <c r="J379" i="2"/>
  <c r="J192" i="2"/>
  <c r="J431" i="2"/>
  <c r="J373" i="2"/>
  <c r="J249" i="2"/>
  <c r="J229" i="2"/>
  <c r="J329" i="2"/>
  <c r="J496" i="2"/>
  <c r="J235" i="2"/>
  <c r="J417" i="2"/>
  <c r="J268" i="2"/>
  <c r="J444" i="2"/>
  <c r="J532" i="2"/>
  <c r="J345" i="2"/>
  <c r="J362" i="2"/>
  <c r="J199" i="2"/>
  <c r="J194" i="2"/>
  <c r="J452" i="2"/>
  <c r="J344" i="2"/>
  <c r="J288" i="2"/>
  <c r="J322" i="2"/>
  <c r="J353" i="2"/>
  <c r="J467" i="2"/>
  <c r="J381" i="2"/>
  <c r="J539" i="2"/>
  <c r="J459" i="2"/>
  <c r="J518" i="2"/>
  <c r="J294" i="2"/>
  <c r="J439" i="2"/>
  <c r="J449" i="2"/>
  <c r="J230" i="2"/>
  <c r="J463" i="2"/>
  <c r="J276" i="2"/>
  <c r="J227" i="2"/>
  <c r="J250" i="2"/>
  <c r="J429" i="2"/>
  <c r="J274" i="2"/>
  <c r="J541" i="2"/>
  <c r="J416" i="2"/>
  <c r="J312" i="2"/>
  <c r="J461" i="2"/>
  <c r="J266" i="2"/>
  <c r="J490" i="2"/>
  <c r="J290" i="2"/>
  <c r="J528" i="2"/>
  <c r="J187" i="2"/>
  <c r="J269" i="2"/>
  <c r="J252" i="2"/>
  <c r="J383" i="2"/>
  <c r="J177" i="2"/>
  <c r="J370" i="2"/>
  <c r="J378" i="2"/>
  <c r="J498" i="2"/>
  <c r="J193" i="2"/>
  <c r="J282" i="2"/>
  <c r="J437" i="2"/>
  <c r="J184" i="2"/>
  <c r="J484" i="2"/>
  <c r="J393" i="2"/>
  <c r="J349" i="2"/>
  <c r="J189" i="2"/>
  <c r="J213" i="2"/>
  <c r="J508" i="2"/>
  <c r="J415" i="2"/>
  <c r="J239" i="2"/>
  <c r="J400" i="2"/>
  <c r="J185" i="2"/>
  <c r="J206" i="2"/>
  <c r="J392" i="2"/>
  <c r="J310" i="2"/>
  <c r="J529" i="2"/>
  <c r="J375" i="2"/>
  <c r="J447" i="2"/>
  <c r="J317" i="2"/>
  <c r="J497" i="2"/>
  <c r="J314" i="2"/>
  <c r="J355" i="2"/>
  <c r="J434" i="2"/>
  <c r="J388" i="2"/>
  <c r="J510" i="2"/>
  <c r="J398" i="2"/>
  <c r="J179" i="2"/>
  <c r="J440" i="2"/>
  <c r="J512" i="2"/>
  <c r="J520" i="2"/>
  <c r="J515" i="2"/>
  <c r="J214" i="2"/>
  <c r="J450" i="2"/>
  <c r="J473" i="2"/>
  <c r="J503" i="2"/>
  <c r="J523" i="2"/>
  <c r="J332" i="2"/>
  <c r="J464" i="2"/>
  <c r="J195" i="2"/>
  <c r="J348" i="2"/>
  <c r="J412" i="2"/>
  <c r="J491" i="2"/>
  <c r="J171" i="2"/>
  <c r="J346" i="2"/>
  <c r="J283" i="2"/>
  <c r="J367" i="2"/>
  <c r="J190" i="2"/>
  <c r="J357" i="2"/>
  <c r="J551" i="2"/>
  <c r="J245" i="2"/>
  <c r="J488" i="2"/>
  <c r="J511" i="2"/>
  <c r="J218" i="2"/>
  <c r="J547" i="2"/>
  <c r="J201" i="2"/>
  <c r="J385" i="2"/>
  <c r="J372" i="2"/>
  <c r="J287" i="2"/>
  <c r="J325" i="2"/>
  <c r="J489" i="2"/>
  <c r="J342" i="2"/>
  <c r="J403" i="2"/>
  <c r="J364" i="2"/>
  <c r="J359" i="2"/>
  <c r="J352" i="2"/>
  <c r="J522" i="2"/>
  <c r="J334" i="2"/>
  <c r="J319" i="2"/>
  <c r="J207" i="2"/>
  <c r="J448" i="2"/>
  <c r="J298" i="2"/>
  <c r="J264" i="2"/>
  <c r="J428" i="2"/>
  <c r="J330" i="2"/>
  <c r="J424" i="2"/>
  <c r="J209" i="2"/>
  <c r="J173" i="2"/>
  <c r="J548" i="2"/>
  <c r="J211" i="2"/>
  <c r="J181" i="2"/>
  <c r="J272" i="2"/>
  <c r="J401" i="2"/>
  <c r="J210" i="2"/>
  <c r="J537" i="2"/>
  <c r="J238" i="2"/>
  <c r="J535" i="2"/>
  <c r="J277" i="2"/>
  <c r="J309" i="2"/>
  <c r="J256" i="2"/>
  <c r="J374" i="2"/>
  <c r="J335" i="2"/>
  <c r="J396" i="2"/>
  <c r="J219" i="2"/>
  <c r="J343" i="2"/>
  <c r="J481" i="2"/>
  <c r="J299" i="2"/>
  <c r="J432" i="2"/>
  <c r="J301" i="2"/>
  <c r="J279" i="2"/>
  <c r="J390" i="2"/>
  <c r="J259" i="2"/>
  <c r="J188" i="2"/>
  <c r="J538" i="2"/>
  <c r="J509" i="2"/>
  <c r="J408" i="2"/>
  <c r="J540" i="2"/>
  <c r="J321" i="2"/>
  <c r="J502" i="2"/>
  <c r="J363" i="2"/>
  <c r="J409" i="2"/>
  <c r="J407" i="2"/>
  <c r="J492" i="2"/>
  <c r="J514" i="2"/>
  <c r="J240" i="2"/>
  <c r="J196" i="2"/>
  <c r="J456" i="2"/>
  <c r="J544" i="2"/>
  <c r="J420" i="2"/>
  <c r="J460" i="2"/>
  <c r="J225" i="2"/>
  <c r="J327" i="2"/>
  <c r="J291" i="2"/>
  <c r="J174" i="2"/>
  <c r="J517" i="2"/>
  <c r="J480" i="2"/>
  <c r="J333" i="2"/>
  <c r="J366" i="2"/>
  <c r="J426" i="2"/>
  <c r="J248" i="2"/>
  <c r="J482" i="2"/>
  <c r="J470" i="2"/>
  <c r="J270" i="2"/>
  <c r="J176" i="2"/>
  <c r="J477" i="2"/>
  <c r="J221" i="2"/>
  <c r="J224" i="2"/>
  <c r="J405" i="2"/>
  <c r="J254" i="2"/>
  <c r="J263" i="2"/>
  <c r="J550" i="2"/>
  <c r="J308" i="2"/>
  <c r="J208" i="2"/>
  <c r="J466" i="2"/>
  <c r="J318" i="2"/>
  <c r="J376" i="2"/>
  <c r="J278" i="2"/>
  <c r="J542" i="2"/>
  <c r="J251" i="2"/>
  <c r="J404" i="2"/>
  <c r="J303" i="2"/>
  <c r="J436" i="2"/>
  <c r="J255" i="2"/>
  <c r="J485" i="2"/>
  <c r="J261" i="2"/>
  <c r="J360" i="2"/>
  <c r="J212" i="2"/>
  <c r="J534" i="2"/>
  <c r="J545" i="2"/>
  <c r="J410" i="2"/>
  <c r="J435" i="2"/>
  <c r="J476" i="2"/>
  <c r="J253" i="2"/>
  <c r="J519" i="2"/>
  <c r="J358" i="2"/>
  <c r="J445" i="2"/>
  <c r="J262" i="2"/>
  <c r="J483" i="2"/>
  <c r="J521" i="2"/>
  <c r="J231" i="2"/>
  <c r="J524" i="2"/>
  <c r="J399" i="2"/>
  <c r="J180" i="2"/>
  <c r="J338" i="2"/>
  <c r="J285" i="2"/>
  <c r="J527" i="2"/>
  <c r="J316" i="2"/>
  <c r="J305" i="2"/>
  <c r="J228" i="2"/>
  <c r="J356" i="2"/>
  <c r="J382" i="2"/>
  <c r="J232" i="2"/>
  <c r="J191" i="2"/>
  <c r="J241" i="2"/>
  <c r="J311" i="2"/>
  <c r="J530" i="2"/>
  <c r="J307" i="2"/>
  <c r="J347" i="2"/>
  <c r="J202" i="2"/>
  <c r="J397" i="2"/>
  <c r="J331" i="2"/>
  <c r="J422" i="2"/>
  <c r="J324" i="2"/>
  <c r="J457" i="2"/>
  <c r="J493" i="2"/>
  <c r="J411" i="2"/>
  <c r="J223" i="2"/>
  <c r="J257" i="2"/>
  <c r="J441" i="2"/>
  <c r="J215" i="2"/>
  <c r="J451" i="2"/>
  <c r="J380" i="2"/>
  <c r="J297" i="2"/>
  <c r="J516" i="2"/>
  <c r="J242" i="2"/>
  <c r="J513" i="2"/>
  <c r="J455" i="2"/>
  <c r="J384" i="2"/>
  <c r="J178" i="2"/>
  <c r="J495" i="2"/>
  <c r="J365" i="2"/>
  <c r="J300" i="2"/>
  <c r="J341" i="2"/>
  <c r="J183" i="2"/>
  <c r="J170" i="2"/>
  <c r="J469" i="2"/>
  <c r="J501" i="2"/>
  <c r="J247" i="2"/>
  <c r="J258" i="2"/>
  <c r="J328" i="2"/>
  <c r="J369" i="2"/>
  <c r="J478" i="2"/>
  <c r="J205" i="2"/>
  <c r="J354" i="2"/>
  <c r="J418" i="2"/>
  <c r="J525" i="2"/>
  <c r="J182" i="2"/>
  <c r="J474" i="2"/>
  <c r="J377" i="2"/>
  <c r="J494" i="2"/>
  <c r="J350" i="2"/>
  <c r="J500" i="2"/>
  <c r="J421" i="2"/>
  <c r="J198" i="2"/>
  <c r="J315" i="2"/>
  <c r="J286" i="2"/>
  <c r="J244" i="2"/>
  <c r="J226" i="2"/>
  <c r="J442" i="2"/>
  <c r="J395" i="2"/>
  <c r="J387" i="2"/>
  <c r="J313" i="2"/>
  <c r="J505" i="2"/>
  <c r="J361" i="2"/>
  <c r="J465" i="2"/>
  <c r="J295" i="2"/>
  <c r="J423" i="2"/>
  <c r="J320" i="2"/>
  <c r="J246" i="2"/>
  <c r="J326" i="2"/>
  <c r="J293" i="2"/>
  <c r="J413" i="2"/>
  <c r="J289" i="2"/>
  <c r="J487" i="2"/>
  <c r="J427" i="2"/>
  <c r="J475" i="2"/>
  <c r="J216" i="2"/>
  <c r="J446" i="2"/>
</calcChain>
</file>

<file path=xl/sharedStrings.xml><?xml version="1.0" encoding="utf-8"?>
<sst xmlns="http://schemas.openxmlformats.org/spreadsheetml/2006/main" count="30781" uniqueCount="14609">
  <si>
    <t>P0-93-010 - Резервуар для хранения противопожарного запаса воды №2</t>
  </si>
  <si>
    <t>P0-93-020 - Резервуар для хранения противопожарного запаса воды №4</t>
  </si>
  <si>
    <t>P0-93-030 - Резервуар для хранения противопожарного запаса воды №6</t>
  </si>
  <si>
    <t>P0-80-020 - Пожарное депо с аварийно-спасательным формированием</t>
  </si>
  <si>
    <t>P0-80-030 - Служебно-бытовой корпус</t>
  </si>
  <si>
    <t>P0-80-040 - Склад хранения дизельного топлива для ДЭС</t>
  </si>
  <si>
    <t>P0-84-010 - Блок подготовки топливного газа на ТСБ</t>
  </si>
  <si>
    <t>P0-02-010 - Центральная эстакада. Участок 1</t>
  </si>
  <si>
    <t>P0-02-101 - Эстакада (к котельной). Участок №1</t>
  </si>
  <si>
    <t>P0-02-102 - Эстакада (к котельной). Участок №2</t>
  </si>
  <si>
    <t>P0-02-104 - Эстакада (к котельной). Участок №4</t>
  </si>
  <si>
    <t>P0-02-103 - Эстакада (к котельной). Участок №3</t>
  </si>
  <si>
    <t>P0-02-105 - Эстакада (к котельной). Участок №5</t>
  </si>
  <si>
    <t>P0-02-112 - Эстакада к пожарному депо. Участок №2</t>
  </si>
  <si>
    <t>P0-02-113 - Эстакада к пожарному депо. Участок №3</t>
  </si>
  <si>
    <t>P0-02-111 - Эстакада к пожарному депо. Участок №1</t>
  </si>
  <si>
    <t>P0-93-050 - Резервуар для хранения противопожарного запаса воды №1</t>
  </si>
  <si>
    <t>P0-94-010 - Мобильные установки получения азота и воздуха</t>
  </si>
  <si>
    <t>P0-96-010 - Насосная станция хозяйственно-питьевого водоснабжения с установкой УФ обеззараживания воды</t>
  </si>
  <si>
    <t>P0-96-020 - Резервуары для хранения хозяйственно-питьевой воды №1</t>
  </si>
  <si>
    <t>P0-96-030 - Резервуары для хранения хозяйственно-питьевой воды №2</t>
  </si>
  <si>
    <t>P0-97-010 - Резервуар для сбора производственно-дождевых стоков с КНС №1</t>
  </si>
  <si>
    <t>P0-97-050 - Резервуар для сбора производственно-дождевых стоков с КНС №5</t>
  </si>
  <si>
    <t>P0-97-060 - КНС бытовых стоков №1</t>
  </si>
  <si>
    <t>P0-97-070 - КНС бытовых стоков №2</t>
  </si>
  <si>
    <t>P0-71-010 - Группа резервуаров №1</t>
  </si>
  <si>
    <t>P0-71-020 - Группа резервуаров №2</t>
  </si>
  <si>
    <t>P0-02-080 - Эстакада к ГПП-4 и КПП№1</t>
  </si>
  <si>
    <t>P0-02-090 - Эстакада к зданию служебно-бытового комплекса</t>
  </si>
  <si>
    <t>P0-02-120 - Эстакада к насосной станции противопожарного водоснабжения</t>
  </si>
  <si>
    <t>P0-02-131 - Эстакады к ДЭС. Участок №1</t>
  </si>
  <si>
    <t>P0-02-132 - Эстакады к ДЭС. Участок №2</t>
  </si>
  <si>
    <t>P0-85-030 - Здание электроустановок №2</t>
  </si>
  <si>
    <t>P0-88-010 - Котельная</t>
  </si>
  <si>
    <t>P0-93-040 - Насосная станция противопожарного водоснабжения</t>
  </si>
  <si>
    <t>P0-73-011 - Изотермический резервуар СПГ№1/LNG Storage Tank 1</t>
  </si>
  <si>
    <t>P0-90-030 - Факельные сепараторы/Flare KO Drums</t>
  </si>
  <si>
    <t>P0-02-020 - Центральная эстакада. Участок 2</t>
  </si>
  <si>
    <t>P0-02-030 - Центральная эстакада. Участок 3</t>
  </si>
  <si>
    <t>P0-02-103 - Эстакада (к котельной). Участок №4</t>
  </si>
  <si>
    <t>P0-02-103 - Эстакада (к котельной). Участок №5</t>
  </si>
  <si>
    <t>Эстакада к ДЭС Участок №1</t>
  </si>
  <si>
    <t>P0-88-010 Котельная</t>
  </si>
  <si>
    <t>P0-84-010 Блок подготовки топливного газа на ТСБ</t>
  </si>
  <si>
    <t>P0-94-010 Система азота и воздуха</t>
  </si>
  <si>
    <t xml:space="preserve">Участок системы азота и зоздуха </t>
  </si>
  <si>
    <t>Фундаментная плита Пфм-1 (1 шт)</t>
  </si>
  <si>
    <t>-</t>
  </si>
  <si>
    <t>Ростверк РСм1 (8 шт)</t>
  </si>
  <si>
    <t>Ростверк РСм2 (2 шт)</t>
  </si>
  <si>
    <t>Ростверк РСм2н (2 шт)</t>
  </si>
  <si>
    <t>Ростверк РСм3 (2 шт)</t>
  </si>
  <si>
    <t>Ростверк РСм4А (2 шт)</t>
  </si>
  <si>
    <t>Ростверк РСм4Б (1 шт)</t>
  </si>
  <si>
    <t>Ростверк РСм5 (1 шт)</t>
  </si>
  <si>
    <t>Ростверк РСм6 (1 шт)</t>
  </si>
  <si>
    <t>Плита Пм1 (1 шт)</t>
  </si>
  <si>
    <t>Плита Пм2 (1 шт)</t>
  </si>
  <si>
    <t>Плита Пм3 (1 шт)</t>
  </si>
  <si>
    <t>Плита Пм4 (2 шт)</t>
  </si>
  <si>
    <t>Плита Пм5 (7 шт)</t>
  </si>
  <si>
    <t>Плита Пм6 (1 шт)</t>
  </si>
  <si>
    <t>Плита Пм7 (1 шт)</t>
  </si>
  <si>
    <t>Фундамент Фм1(8 шт)</t>
  </si>
  <si>
    <t>Осмотровая канава Ок1 (3 шт)</t>
  </si>
  <si>
    <t>Приямок Пр1 (1 шт)</t>
  </si>
  <si>
    <t>Приямок Пр2 (1 шт)</t>
  </si>
  <si>
    <t>Колонны монолитные Км1 (1 шт)</t>
  </si>
  <si>
    <t>Колонны монолитные Км2 (1 шт)</t>
  </si>
  <si>
    <t>Колонны монолитные Км3 (5 шт)</t>
  </si>
  <si>
    <t>Колонны монолитные Км4 (1 шт)</t>
  </si>
  <si>
    <t>Колонны монолитные Км5 (1 шт)</t>
  </si>
  <si>
    <t>Колонны монолитные Км6 (1 шт)</t>
  </si>
  <si>
    <t>Колонны монолитные Км7 (1 шт)</t>
  </si>
  <si>
    <t>Колонны монолитные Км8 (1 шт)</t>
  </si>
  <si>
    <t>Колонны монолитные Км9 (1 шт)</t>
  </si>
  <si>
    <t>Колонны монолитные Км10 (2 шт)</t>
  </si>
  <si>
    <t>Колонны монолитные Км11 (1 шт)</t>
  </si>
  <si>
    <t>Колонны монолитные Км12 (1 шт)</t>
  </si>
  <si>
    <t>Колонны монолитные Км13 (1 шт)</t>
  </si>
  <si>
    <t>Колонны монолитные Км14 (1 шт)</t>
  </si>
  <si>
    <t>Колонны монолитные Км15 (1 шт)</t>
  </si>
  <si>
    <t>Плита перекрытия монолитная Пм1 на отм. +4,100</t>
  </si>
  <si>
    <t>Плита перекрытия монолитная Пм2 на отм. +4,100</t>
  </si>
  <si>
    <t>Плита перекрытия монолитная Пм3 на отм. +8,100</t>
  </si>
  <si>
    <t>Плита перекрытия монолитная Пм4 на отм. +8,100</t>
  </si>
  <si>
    <t>Лестницы Л1 на отм. -0,100</t>
  </si>
  <si>
    <t>Лестницы Л2 на отм. -0,100</t>
  </si>
  <si>
    <t>Лестницы Л1 на отм. +4,100</t>
  </si>
  <si>
    <t>Лестницы Л2 на отм. +4,100</t>
  </si>
  <si>
    <t>Стены монолитные на отм. -0,100 и +4,100, в осях 11-17</t>
  </si>
  <si>
    <t>Колонна Км4</t>
  </si>
  <si>
    <t>Ригель Рм1</t>
  </si>
  <si>
    <t>Ригель Рм10</t>
  </si>
  <si>
    <t>Колонна Км1</t>
  </si>
  <si>
    <t>Колонна Км2</t>
  </si>
  <si>
    <t>Колонна Км3</t>
  </si>
  <si>
    <t>Колонна Км5</t>
  </si>
  <si>
    <t>Плита монолитная Пм2 (1 шт)</t>
  </si>
  <si>
    <t>Плита перекрытия Пм1 на отм.+5.320 толщиной 250мм</t>
  </si>
  <si>
    <t>Плита перекрытия Пм2 на отм.+5.320 толщиной 250мм</t>
  </si>
  <si>
    <t>Плита перекрытия Пм3 на отм.+5.320 толщиной 250мм</t>
  </si>
  <si>
    <t>Плита перекрытия Пм4 на отм.+10.720  толщиной 300мм</t>
  </si>
  <si>
    <t>Плита перекрытия Пм5 на отм.+10.720 толщиной 300мм</t>
  </si>
  <si>
    <t>Плита перекрытия Пм6 на отм.+10.720 толщиной 300мм</t>
  </si>
  <si>
    <t>Лестница Лм1 в осях  А-Б/13/1-14, А-Б/18-19 (2шт)</t>
  </si>
  <si>
    <t>Лестница Лм2 в осях А-Б/4-5</t>
  </si>
  <si>
    <t>Ригель Рм11</t>
  </si>
  <si>
    <t>Ригель Рм12</t>
  </si>
  <si>
    <t>Ригель Рм13</t>
  </si>
  <si>
    <t>Ригель Рм14</t>
  </si>
  <si>
    <t>Ригель Рм15</t>
  </si>
  <si>
    <t>Ригель Рм16</t>
  </si>
  <si>
    <t>Ригель Рм17</t>
  </si>
  <si>
    <t>Ригель Рм18</t>
  </si>
  <si>
    <t>Ригель Рм19</t>
  </si>
  <si>
    <t>Ригель Рм2</t>
  </si>
  <si>
    <t>Ригель Рм20</t>
  </si>
  <si>
    <t>Ригель Рм21</t>
  </si>
  <si>
    <t>Ригель Рм22</t>
  </si>
  <si>
    <t>Ригель Рм23</t>
  </si>
  <si>
    <t>Ригель Рм24</t>
  </si>
  <si>
    <t>Ригель Рм25</t>
  </si>
  <si>
    <t>Ригель Рм26</t>
  </si>
  <si>
    <t>Ригель Рм27</t>
  </si>
  <si>
    <t>Ригель Рм28</t>
  </si>
  <si>
    <t>Ригель Рм29</t>
  </si>
  <si>
    <t>Ригель Рм3</t>
  </si>
  <si>
    <t>Ригель Рм30</t>
  </si>
  <si>
    <t>Ригель Рм31</t>
  </si>
  <si>
    <t>Ригель Рм32</t>
  </si>
  <si>
    <t>Ригель Рм33</t>
  </si>
  <si>
    <t>Ригель Рм34</t>
  </si>
  <si>
    <t>Ригель Рм4</t>
  </si>
  <si>
    <t>Ригель Рм5</t>
  </si>
  <si>
    <t>Ригель Рм6</t>
  </si>
  <si>
    <t>Ригель Рм7</t>
  </si>
  <si>
    <t>Ригель Рм8</t>
  </si>
  <si>
    <t>Ригель Рм9</t>
  </si>
  <si>
    <t>Стены в осях 13/1-19</t>
  </si>
  <si>
    <t>Стены в осях 1-7</t>
  </si>
  <si>
    <t>Стены в осях 7/1-13</t>
  </si>
  <si>
    <t>Ростверк РСм1 (1 шт)</t>
  </si>
  <si>
    <t>Ростверк РСм2 (1 шт)</t>
  </si>
  <si>
    <t>Ростверк РСм3 (1 шт)</t>
  </si>
  <si>
    <t>Плита монолитная Пм1 (1 шт)</t>
  </si>
  <si>
    <t>Плита монолитная Пм3 (4 шт)</t>
  </si>
  <si>
    <t>Плита монолитная Пм4 (1 шт)</t>
  </si>
  <si>
    <t>Стена См1</t>
  </si>
  <si>
    <t>Стена См10</t>
  </si>
  <si>
    <t>Стена См11</t>
  </si>
  <si>
    <t>Стена См12</t>
  </si>
  <si>
    <t>Стена См13</t>
  </si>
  <si>
    <t>Стена См16</t>
  </si>
  <si>
    <t>Стена См18</t>
  </si>
  <si>
    <t>Стена См19</t>
  </si>
  <si>
    <t>Стена См20</t>
  </si>
  <si>
    <t>Стена См21</t>
  </si>
  <si>
    <t>Стена См22</t>
  </si>
  <si>
    <t>Стена См23</t>
  </si>
  <si>
    <t>Стена См24</t>
  </si>
  <si>
    <t>Стена См25</t>
  </si>
  <si>
    <t>Стена См26</t>
  </si>
  <si>
    <t>Стена См27</t>
  </si>
  <si>
    <t>Стена См28</t>
  </si>
  <si>
    <t>Стена См29</t>
  </si>
  <si>
    <t>Стена См3</t>
  </si>
  <si>
    <t>Стена См30</t>
  </si>
  <si>
    <t>Стена См31</t>
  </si>
  <si>
    <t>Стена См32</t>
  </si>
  <si>
    <t>Стена См33</t>
  </si>
  <si>
    <t>Стена См34</t>
  </si>
  <si>
    <t>Стена См35</t>
  </si>
  <si>
    <t>Стена См36</t>
  </si>
  <si>
    <t>Стена См37</t>
  </si>
  <si>
    <t>Стена См38</t>
  </si>
  <si>
    <t>Стена См39</t>
  </si>
  <si>
    <t>Стена См4</t>
  </si>
  <si>
    <t>Стена См40</t>
  </si>
  <si>
    <t>Стена См41</t>
  </si>
  <si>
    <t>Стена См42</t>
  </si>
  <si>
    <t>Стена См43</t>
  </si>
  <si>
    <t>Стена См6</t>
  </si>
  <si>
    <t>Стена См7</t>
  </si>
  <si>
    <t>Стена См8</t>
  </si>
  <si>
    <t>Стена См9</t>
  </si>
  <si>
    <t>Ростверк РСм1 (5 шт)</t>
  </si>
  <si>
    <t>Ростверк РСм2 (6 шт)</t>
  </si>
  <si>
    <t>Отмостка (1 шт)</t>
  </si>
  <si>
    <t>Ростверков монолитные РСм8а (4 шт) и РСм8б (5 шт)</t>
  </si>
  <si>
    <t>Ростверк монолитный РСм8в (1шт)</t>
  </si>
  <si>
    <t>Ростверк монолитный РСм9а (2 шт)</t>
  </si>
  <si>
    <t>Ростверк монолитный РСм9б (3 шт)</t>
  </si>
  <si>
    <t>Ростверк монолитный РСм9в (1 шт)</t>
  </si>
  <si>
    <t>Ростверк монолитный РСм10 (17 шт)</t>
  </si>
  <si>
    <t>Ростверк монолитный РСм11 (4 шт)</t>
  </si>
  <si>
    <t>Ростверк монолитный РСм12 (3шт)</t>
  </si>
  <si>
    <t>Ростверк монолитный РСм13 (1 шт)  в оси Б/5</t>
  </si>
  <si>
    <t>Ростверк монолитный РСм8б (7 шт)</t>
  </si>
  <si>
    <t>Ростверк монолитный РСм9а (4 шт)</t>
  </si>
  <si>
    <t>Ростверк монолитный РСм9б (4 шт)</t>
  </si>
  <si>
    <t>Ростверк монолитный РСм10 (14 шт)</t>
  </si>
  <si>
    <t>Ростверк монолитный РСм13 (1 шт)</t>
  </si>
  <si>
    <t>Ростверк монолитный РСм14 (2шт)</t>
  </si>
  <si>
    <t>Ростверк монолитный РСм1а (10 шт), РСм1б (1шт)</t>
  </si>
  <si>
    <t>Ростверк монолитный РСм2 (13 шт)</t>
  </si>
  <si>
    <t>Ростверк монолитный РСм3 (8 шт)</t>
  </si>
  <si>
    <t>Ростверк монолитный РСм4 (1 шт)</t>
  </si>
  <si>
    <t>Ростверк монолитный РСм5 (1 шт)</t>
  </si>
  <si>
    <t>Ростверк монолитный РСм6 (1шт)</t>
  </si>
  <si>
    <t>Ростверк монолитный РСм1а (14 шт)</t>
  </si>
  <si>
    <t>Ростверк монолитный РСм2 (18 шт)</t>
  </si>
  <si>
    <t>Ростверк монолитный РСм6 (3шт)</t>
  </si>
  <si>
    <t>Ростверк монолитный РСм7а (1 шт), РСм7б (1 шт)</t>
  </si>
  <si>
    <t>Ростверк монолитный РСм15 (2шт)</t>
  </si>
  <si>
    <t xml:space="preserve">Колонна монолитная Км1-1 </t>
  </si>
  <si>
    <t>Колонна монолитная Км1-2</t>
  </si>
  <si>
    <t>Колонна монолитная Км1-4</t>
  </si>
  <si>
    <t>Колонна монолитная Км1-5</t>
  </si>
  <si>
    <t>Колонна монолитная Км1-6</t>
  </si>
  <si>
    <t>Колонна монолитная Км1-9</t>
  </si>
  <si>
    <t>Колонна монолитная Км1-12</t>
  </si>
  <si>
    <t>Колонна монолитная Км1-13</t>
  </si>
  <si>
    <t>Колонна монолитная Км1-14</t>
  </si>
  <si>
    <t>Колонна монолитная Км1-15</t>
  </si>
  <si>
    <t>Колонна монолитная Км2-1</t>
  </si>
  <si>
    <t>Колонна монолитная Км2-2</t>
  </si>
  <si>
    <t>Колонна монолитная Км3-3</t>
  </si>
  <si>
    <t>Колонна монолитная Км3-4</t>
  </si>
  <si>
    <t>Колонна монолитная Км3-5</t>
  </si>
  <si>
    <t>Колонна монолитная Км3-6</t>
  </si>
  <si>
    <t>Колонна монолитная Км2-7</t>
  </si>
  <si>
    <t>Колонна монолитная Км2-8</t>
  </si>
  <si>
    <t>Колонна монолитная Км2-12</t>
  </si>
  <si>
    <t>Колонна монолитная Км2-13</t>
  </si>
  <si>
    <t>Рама монолитная Рм1-1</t>
  </si>
  <si>
    <t>Рама монолитная Рм1-2</t>
  </si>
  <si>
    <t>Рама монолитная Рм1-5</t>
  </si>
  <si>
    <t>Рама монолитная Рм1-6</t>
  </si>
  <si>
    <t>Рама монолитная Рм1-7</t>
  </si>
  <si>
    <t>Рама монолитная Рм1-8</t>
  </si>
  <si>
    <t>Колонна монолитная Км1-10</t>
  </si>
  <si>
    <t>Колонна монолитная Км1-11</t>
  </si>
  <si>
    <t>Колонна монолитная Км2-9</t>
  </si>
  <si>
    <t>Колонна монолитная Км2-10</t>
  </si>
  <si>
    <t>Колонна монолитная Км1-7</t>
  </si>
  <si>
    <t>Колонна монолитная Км1-8</t>
  </si>
  <si>
    <t>Колонна монолитная Км2-11</t>
  </si>
  <si>
    <t>Колонна монолитная Км1-3</t>
  </si>
  <si>
    <t>Рама монолитная Рм1-3</t>
  </si>
  <si>
    <t>Рама монолитная Рм1-4</t>
  </si>
  <si>
    <t>Ростверков РСм1 (3 шт) и РСм4 (22 шт) в осах 1-11/А-Б/1
Ростверков РСм1 (3 шт), РСм2 (14 шт), РСм3 (2 шт) и  РСм4 (6 шт) в осах 12-23/А-Б/1</t>
  </si>
  <si>
    <t>Ростверков РСм1 (3 шт) в осах 1-11/А-Б/1</t>
  </si>
  <si>
    <t>Ростверков РСм1 (3 шт) в осах 12-23/А-Б/1</t>
  </si>
  <si>
    <t>Ростверков РСм4 (22 шт) в осах 1-11/А-Б/1</t>
  </si>
  <si>
    <t>Ростверков РСм2 (14 шт) в осах 12-23/А-Б/1</t>
  </si>
  <si>
    <t>Ростверков РСм3 (2 шт) в осах 12-23/А-Б/1</t>
  </si>
  <si>
    <t>Ростверков РСм4 (6 шт) в осах 12-23/А-Б/1</t>
  </si>
  <si>
    <t>Колонны монолитные Км1-1 (3 шт)</t>
  </si>
  <si>
    <t>Колонны монолитные Км4-1 (5 шт)</t>
  </si>
  <si>
    <t>Колонны монолитные Км4-2 (5 шт)</t>
  </si>
  <si>
    <t>Колонны монолитные Км4-3 (2 шт)</t>
  </si>
  <si>
    <t>Колонны монолитные Км4-4 (2 шт)</t>
  </si>
  <si>
    <t>Колонны монолитные Км4-5 (1 шт)</t>
  </si>
  <si>
    <t>Колонны монолитные Км4-6 (1 шт)</t>
  </si>
  <si>
    <t>Колонны монолитные Км4-7 (1 шт)</t>
  </si>
  <si>
    <t>Колонны монолитные Км4-8 (1 шт)</t>
  </si>
  <si>
    <t>Рама монолитная Рм2а (1 шт)</t>
  </si>
  <si>
    <t>Рама монолитная Рм2б (1 шт)</t>
  </si>
  <si>
    <t>Колонны монолитные Км2-1 (2 шт)</t>
  </si>
  <si>
    <t>Колонны монолитные Км2-2 (2 шт)</t>
  </si>
  <si>
    <t>Колонны монолитные Км2-3 (3 шт)</t>
  </si>
  <si>
    <t>Колонны монолитные Км2-4 (3 шт)</t>
  </si>
  <si>
    <t>Колонны монолитные Км3-1 (2 шт)</t>
  </si>
  <si>
    <t>Колонны монолитные Км3-2 (2 шт)</t>
  </si>
  <si>
    <t>Колонны монолитные Км4-1 (1 шт)</t>
  </si>
  <si>
    <t>Колонны монолитные Км4-2 (1 шт)</t>
  </si>
  <si>
    <t>Рама монолитная Рм1а (1 шт)</t>
  </si>
  <si>
    <t>Рама монолитная Рм1б (1 шт)</t>
  </si>
  <si>
    <t>Рама монолитная Рм2в (1 шт)</t>
  </si>
  <si>
    <t>Рама монолитная Рм2г (1 шт)</t>
  </si>
  <si>
    <t xml:space="preserve">Ростверков РСм1 (12 шт) </t>
  </si>
  <si>
    <t>Ростверков РСм2 (12 шт)</t>
  </si>
  <si>
    <t>Колонны монолитные Км1-1 (4 шт)</t>
  </si>
  <si>
    <t>Колонны монолитные Км1-2 (4 шт)</t>
  </si>
  <si>
    <t>Колонны монолитные Км2-7 (1 шт)</t>
  </si>
  <si>
    <t>Колонны монолитные Км2-1 (1 шт)</t>
  </si>
  <si>
    <t>Колонны монолитные Км2-3 (1 шт)</t>
  </si>
  <si>
    <t>Колонны монолитные Км2-4 (1 шт)</t>
  </si>
  <si>
    <t>Колонны монолитные Км2-5 (1 шт)</t>
  </si>
  <si>
    <t>Колонны монолитные Км2-6 (1 шт)</t>
  </si>
  <si>
    <t>Рама монолитная Рм1-1 (1 шт)</t>
  </si>
  <si>
    <t>Рама монолитная Рм1 (1 шт)</t>
  </si>
  <si>
    <t>Рама монолитная Рм2 (1 шт)</t>
  </si>
  <si>
    <t>Ростверк монолитный РСм1 (1 шт)</t>
  </si>
  <si>
    <t>Ростверк монолитный РСм2 (1 шт)</t>
  </si>
  <si>
    <t>Фундамент монолитный Фм1 (10 шт)</t>
  </si>
  <si>
    <t>Ростверк монолитный РСм1 (6 шт)</t>
  </si>
  <si>
    <t>Фундамент монолитный Фм1 (4 шт)</t>
  </si>
  <si>
    <t>Колонны монолитные Км1а (4 шт)</t>
  </si>
  <si>
    <t>Колонны монолитные Км1б (4 шт)</t>
  </si>
  <si>
    <t xml:space="preserve">Ростверков РСм1 (8 шт) </t>
  </si>
  <si>
    <t>Колонны монолитные Км1-1 (2 шт)</t>
  </si>
  <si>
    <t>Колонны монолитные Км1-2 (2 шт)</t>
  </si>
  <si>
    <t>Ростверк монолитный РСм1 (8 шт)</t>
  </si>
  <si>
    <t>Ростверк монолитный РСм2 (20 шт)</t>
  </si>
  <si>
    <t>Ростверк монолитный РСм3 (3 шт)</t>
  </si>
  <si>
    <t>Ростверк монолитный РСм4 (4 шт)</t>
  </si>
  <si>
    <t>Ростверк монолитный РСм5 (3 шт)</t>
  </si>
  <si>
    <t>Колонны монолитные Км1-4 (1 шт), Км1-5 (2 шт), Км1-6 (2 шт)</t>
  </si>
  <si>
    <t>Колонны монолитные Км1-10(2 шт), Км1-3 (1 шт), Км1-8 (1 шт)</t>
  </si>
  <si>
    <t>Колонны монолитные Км1-9 (2 шт),Км1-12 (1 шт)</t>
  </si>
  <si>
    <t>Колонны монолитные Км1-14 (1 шт)</t>
  </si>
  <si>
    <t>Колонны монолитные Км1-15 (1 шт)</t>
  </si>
  <si>
    <t>Колонны монолитные Км1-13 (1 шт)</t>
  </si>
  <si>
    <t>Колонны монолитные Км1-7 (1 шт)</t>
  </si>
  <si>
    <t>Колонны монолитные Км1-11 (2 шт)</t>
  </si>
  <si>
    <t>Колонны монолитные Км1-1 (1 шт)</t>
  </si>
  <si>
    <t>Колонны монолитные Км1-2 (1 шт)</t>
  </si>
  <si>
    <t>Рама монолитная Рм1-2 (1 шт), Рм1-4 (1 шт)</t>
  </si>
  <si>
    <t>Рама монолитная Рм1-1(1 шт), Рм1-3 (1 шт)</t>
  </si>
  <si>
    <t>Колонны монолитные Км2 (3 шт)</t>
  </si>
  <si>
    <t>Ростверк монолитный РСм1 (12 шт)</t>
  </si>
  <si>
    <t>Ростверк монолитный РСм2 (4 шт)</t>
  </si>
  <si>
    <t>Фундамент монолитный Фм1 (9 шт)</t>
  </si>
  <si>
    <t>Рамы монолитные Рм1-1, Рм1-2</t>
  </si>
  <si>
    <t>Колонны монолитные Км1-1(1шт), Км1-2(1шт), Км1-3(1шт), Км1-4(3шт),</t>
  </si>
  <si>
    <t>Колонны монолитные Км1-5 (2шт)</t>
  </si>
  <si>
    <t>Рамы монолитные Рм2-1 и Рм2-2</t>
  </si>
  <si>
    <t>Рамы монолитные Рм2-2</t>
  </si>
  <si>
    <t>Ростверк монолитный РСм1 (10 шт)</t>
  </si>
  <si>
    <t>Ростверк монолитный РСм3 (2 шт)</t>
  </si>
  <si>
    <t>Колонны монолитные Км1-3 (2 шт)</t>
  </si>
  <si>
    <t>Колонны монолитные Км1-4 (2 шт)</t>
  </si>
  <si>
    <t>Колонны монолитные Км2-2 (1 шт)</t>
  </si>
  <si>
    <t>Колонны монолитные Км3-1 (1 шт)</t>
  </si>
  <si>
    <t>Колонны монолитные Км3-2 (1 шт)</t>
  </si>
  <si>
    <t>Колонны монолитные Км3-3 (1 шт)</t>
  </si>
  <si>
    <t>Колонны монолитные Км3-4 (1 шт)</t>
  </si>
  <si>
    <t>Рама монолитная Рм1-2 (1 шт)</t>
  </si>
  <si>
    <t>Фундаментная плита Пфм1 (1 шт)</t>
  </si>
  <si>
    <t>Фундаментная плита ФПм1 (1 шт)</t>
  </si>
  <si>
    <t>Стен монолитная Стм1 (1 шт)</t>
  </si>
  <si>
    <t>Стен монолитная Стм2 (1 шт)</t>
  </si>
  <si>
    <t>Стен монолитная Стм3 (2 шт)</t>
  </si>
  <si>
    <t>Стен монолитная Стм4 (1 шт)</t>
  </si>
  <si>
    <t>Стен монолитная Стм5 (1 шт)</t>
  </si>
  <si>
    <t>Колонны монолитные Км1 (16 шт)</t>
  </si>
  <si>
    <t>Плита монолитная Пм3 на отм.+0.170 (1шт)</t>
  </si>
  <si>
    <t>Стена монолитная Стм6 (1шт)</t>
  </si>
  <si>
    <t>Стена монолитная Стм7 (1шт)</t>
  </si>
  <si>
    <t>Колонна монолитная Км2 (2шт)</t>
  </si>
  <si>
    <t>Плита монолитная Пм4 на отм.-2.610 (1шт)</t>
  </si>
  <si>
    <t xml:space="preserve"> Плита монолитная Пм5 на отм.+1.170 (1шт)</t>
  </si>
  <si>
    <t>Устройство бетонной подготовки плиты Пм1 из бетона В10, толщ. 100 мм (1шт.)</t>
  </si>
  <si>
    <t>Плита монолитная ППм1 (1 шт)</t>
  </si>
  <si>
    <t>Плита ППм1 (1 шт)</t>
  </si>
  <si>
    <t>Ростверк монолитный РСм1.1 (2шт)</t>
  </si>
  <si>
    <t>Ростверк монолитный РСм1.2 (2шт)</t>
  </si>
  <si>
    <t>Ростверк монолитный РСм2 (10шт)</t>
  </si>
  <si>
    <t>Ростверк монолитный РСм3 (4шт)</t>
  </si>
  <si>
    <t>Фундамент Фм1 (1шт)</t>
  </si>
  <si>
    <t>Фундамент Фм2 (1шт)</t>
  </si>
  <si>
    <t>Ростверк монолитный РСм1.1 (1шт)</t>
  </si>
  <si>
    <t>Ростверк монолитный РСм1.2 (3шт)</t>
  </si>
  <si>
    <t>Плита резервуара (1 шт)</t>
  </si>
  <si>
    <t xml:space="preserve">Бетонирование стены внешнего резервуара </t>
  </si>
  <si>
    <t>Ростверк РСм1 (14 шт)</t>
  </si>
  <si>
    <t>Ростверк РСм1а (12 шт)</t>
  </si>
  <si>
    <t>Ростверк РСм2 (4 шт)</t>
  </si>
  <si>
    <t>Ростверк РСм2a (4 шт)</t>
  </si>
  <si>
    <t>Колонны монолитные Км1-2 (6 шт)</t>
  </si>
  <si>
    <t>Колонны монолитные Км2-2 (5 шт)</t>
  </si>
  <si>
    <t>Колонны монолитные Км2-5 (3 шт)</t>
  </si>
  <si>
    <t>Ростверк монолитный РСм2 (8 шт)</t>
  </si>
  <si>
    <t>Ростверк монолитный РСм4 (9 шт)</t>
  </si>
  <si>
    <t>Колонна монолитная Км1-1 (1шт)</t>
  </si>
  <si>
    <t>Колонна монолитная Км1-2 (1шт)</t>
  </si>
  <si>
    <t>Колонна монолитная Км1-3 (1шт)</t>
  </si>
  <si>
    <t>Колонна монолитная Км1-4 (2шт)</t>
  </si>
  <si>
    <t>Колонна монолитная Км1-5 (1шт)</t>
  </si>
  <si>
    <t>Колонна монолитная Км1-6 (1шт)</t>
  </si>
  <si>
    <t>Колонна монолитная Км1-7 (1шт)</t>
  </si>
  <si>
    <t>Колонна монолитная Км2-1 (1шт)</t>
  </si>
  <si>
    <t>Колонна монолитная Км2-2 (1шт)</t>
  </si>
  <si>
    <t>Колонна монолитная Км2-3 (1шт)</t>
  </si>
  <si>
    <t>Колонна монолитная Км2-4 (1шт)</t>
  </si>
  <si>
    <t>Колонна монолитная Км2-5 (1шт)</t>
  </si>
  <si>
    <t>Колонна монолитная Км2-6 (1шт)</t>
  </si>
  <si>
    <t>Колонна монолитная Км2-7 (3шт)</t>
  </si>
  <si>
    <t>Колонна монолитная Км2-8 (3шт)</t>
  </si>
  <si>
    <t>Колонна монолитная Км2-9 (1шт)</t>
  </si>
  <si>
    <t>Колонна монолитная Км2-10 (1шт)</t>
  </si>
  <si>
    <t>Колонна монолитная Км3-1 (1шт)</t>
  </si>
  <si>
    <t>Колонна монолитная Км3-2 (1шт)</t>
  </si>
  <si>
    <t>Колонна монолитная Км3-3 (1шт)</t>
  </si>
  <si>
    <t>Колонна монолитная Км3-4 (1шт)</t>
  </si>
  <si>
    <t>Колонна монолитная Км4-1 (1шт)</t>
  </si>
  <si>
    <t>Колонна монолитная Км4-2 (1шт)</t>
  </si>
  <si>
    <t>Колонна монолитная Км4-3 (1шт)</t>
  </si>
  <si>
    <t>Колонна монолитная Км4-4 (1шт)</t>
  </si>
  <si>
    <t>Рама монолитные Рм1-1 (1шт)</t>
  </si>
  <si>
    <t>Рама монолитные Рм1-2 (1шт)</t>
  </si>
  <si>
    <t>Рама монолитные Рм2-1 (1шт)</t>
  </si>
  <si>
    <t>Рама монолитные Рм2-2 (1шт)</t>
  </si>
  <si>
    <t>Рама монолитные Рм3-1 (1шт)</t>
  </si>
  <si>
    <t>Рама монолитные Рм3-2 (1шт)</t>
  </si>
  <si>
    <t>Ростверк монолитный РСм1 (11 шт)</t>
  </si>
  <si>
    <t>Ростверк монолитный РСм2 (3 шт)</t>
  </si>
  <si>
    <t>Фундамент монолитный Фм1 (32 шт)</t>
  </si>
  <si>
    <t>Ростверк РСм1 (4шт)</t>
  </si>
  <si>
    <t>Ростверк РСм2 (4шт)</t>
  </si>
  <si>
    <t>Ростверк РСм3 (2шт)</t>
  </si>
  <si>
    <t>Фундамент Фм1 (1 шт)</t>
  </si>
  <si>
    <t>Фундамент Фм3 (2 шт)</t>
  </si>
  <si>
    <t>Фундамент Фм4 (1 шт)</t>
  </si>
  <si>
    <t>Фундамент Фм5 (1 шт)</t>
  </si>
  <si>
    <t>Колонны монолитные Км1 (2 шт)</t>
  </si>
  <si>
    <t>Колонны монолитные Км1а (2 шт)</t>
  </si>
  <si>
    <t>Фундамент Фм1 (20 шт)</t>
  </si>
  <si>
    <t>Ростверк РСм1 (15 шт)</t>
  </si>
  <si>
    <t>Ростверк РСм2 (10 шт)</t>
  </si>
  <si>
    <t>Фундаментная плита ПФм1 с отмосткой (1 шт)</t>
  </si>
  <si>
    <t>Ростверк РСм1 (1шт)</t>
  </si>
  <si>
    <t>Ростверк РСм2 (1шт)</t>
  </si>
  <si>
    <t>Фундамент Фм1 (4 шт)</t>
  </si>
  <si>
    <t>Фундамент Фм2 (1 шт)</t>
  </si>
  <si>
    <t>Ростверк РСм1 (20 шт)</t>
  </si>
  <si>
    <t>Ростверк РСм3 (10 шт)</t>
  </si>
  <si>
    <t>Ростверк РСм4 (6 шт)</t>
  </si>
  <si>
    <t>Фундаментная балка БФ1 (33шт)</t>
  </si>
  <si>
    <t>SOIL GRUBBING AND SCRUBBING / 
ВЫКОРЧЕВКА И РАСЧИСТКА</t>
  </si>
  <si>
    <t>Колонны</t>
  </si>
  <si>
    <t>Ростверк РСм1 (12ШТ)</t>
  </si>
  <si>
    <t>КМ</t>
  </si>
  <si>
    <t>Ростверк РСм1 (8шт) Изготовление до ревизии №3 15.03.2023</t>
  </si>
  <si>
    <t>?</t>
  </si>
  <si>
    <t>Колонны КМ-2</t>
  </si>
  <si>
    <t>РСм2</t>
  </si>
  <si>
    <t>РСм3</t>
  </si>
  <si>
    <t>ПМ-1</t>
  </si>
  <si>
    <t>Стена</t>
  </si>
  <si>
    <t xml:space="preserve">Колонны </t>
  </si>
  <si>
    <t>РВС -1 нанесение панетрона согласно TQ VLS-TQ-(Р0-93-050)-С 2011-0195-02</t>
  </si>
  <si>
    <t xml:space="preserve">Стены </t>
  </si>
  <si>
    <t>Замена грунта</t>
  </si>
  <si>
    <t>Особо легкие металлоконструкции - листы толщиной до 12мм и профили до 16кг/м
(Галереи, переходы, платформы, ограждения, стремянки, лестницы, площадки, электрокабельные трассы, кронштейны и.т.д). 
Изготовление + монтаж</t>
  </si>
  <si>
    <t>Стена на для тренинга</t>
  </si>
  <si>
    <t>Плиты для колодцев НВК</t>
  </si>
  <si>
    <t>Изготовление стоек для лесов (200 шт) КП №1</t>
  </si>
  <si>
    <t>Изготовление стоек для лесов</t>
  </si>
  <si>
    <t>Резка заводских плоских каркасов на СБК</t>
  </si>
  <si>
    <t>Ростверк ПМ2 (1 шт)</t>
  </si>
  <si>
    <t>Колонна КМ-2</t>
  </si>
  <si>
    <t>Колонна КМ-1</t>
  </si>
  <si>
    <t>Оконные и дверные проемы</t>
  </si>
  <si>
    <t>Колонна КМ-4</t>
  </si>
  <si>
    <t>Рама РМ 2</t>
  </si>
  <si>
    <t>Колонна КМ-5</t>
  </si>
  <si>
    <t>Доп часы</t>
  </si>
  <si>
    <t>ФПм1</t>
  </si>
  <si>
    <t>Пм1</t>
  </si>
  <si>
    <t>Стм1</t>
  </si>
  <si>
    <t>Стена СТм1</t>
  </si>
  <si>
    <t>Стм2</t>
  </si>
  <si>
    <t xml:space="preserve">Стм3 </t>
  </si>
  <si>
    <t>Стена СТм3</t>
  </si>
  <si>
    <t>Стм4</t>
  </si>
  <si>
    <t>Стм5</t>
  </si>
  <si>
    <t>Стм</t>
  </si>
  <si>
    <t>Км1</t>
  </si>
  <si>
    <t xml:space="preserve">Колонны монолитные Км1 </t>
  </si>
  <si>
    <t>Км2</t>
  </si>
  <si>
    <t>Км3</t>
  </si>
  <si>
    <t>ППм1</t>
  </si>
  <si>
    <t>Нбм1</t>
  </si>
  <si>
    <t>Нбм2</t>
  </si>
  <si>
    <t>ППм2</t>
  </si>
  <si>
    <t>Насып</t>
  </si>
  <si>
    <t>ППм3</t>
  </si>
  <si>
    <t>Стм6</t>
  </si>
  <si>
    <t>Стм7</t>
  </si>
  <si>
    <t>РСм1</t>
  </si>
  <si>
    <t>РСм2а</t>
  </si>
  <si>
    <t>РСм2б</t>
  </si>
  <si>
    <t>РСм4</t>
  </si>
  <si>
    <t>РСм5</t>
  </si>
  <si>
    <t>РСм16</t>
  </si>
  <si>
    <t>РСм6</t>
  </si>
  <si>
    <t>РСм7</t>
  </si>
  <si>
    <t>РСм8</t>
  </si>
  <si>
    <t>РСм9</t>
  </si>
  <si>
    <t>РСм10</t>
  </si>
  <si>
    <t>РСм11</t>
  </si>
  <si>
    <t>РСм12</t>
  </si>
  <si>
    <t>Монтаж анкерных болтов колонн</t>
  </si>
  <si>
    <t>Монтаж анкерных болтов стен</t>
  </si>
  <si>
    <t>Испытание свай динамическими нагрузками</t>
  </si>
  <si>
    <t>Организационное время (должно быть учтено в БДР и БП)</t>
  </si>
  <si>
    <t>Обратная засыпка песком средней крупности вручную</t>
  </si>
  <si>
    <t xml:space="preserve">Уплотнение вручную </t>
  </si>
  <si>
    <t>Укладка пеноплекса толщиной 100 мм под конструкциями фундаментов</t>
  </si>
  <si>
    <t>Устройство бетонной подготовки плиты из бетона В10, толщ. 100 мм(1шт.)</t>
  </si>
  <si>
    <t xml:space="preserve">Монтаж - демонтаж опалубки заводского изготовления фундаментной плиты Пфм1 между деформационных швов </t>
  </si>
  <si>
    <t xml:space="preserve">Монтаж - демонтаж опалубки заводского изготовления боковой части круглой фундаментной плиты Пм1 </t>
  </si>
  <si>
    <t>Армированные плиты ПФм-1(1шт.)  ПРЯМИМИ стержнями диаметром  до 12 мм</t>
  </si>
  <si>
    <t>Армированные плиты ПФм-1 (1шт.)  ПРЯМИМИ стержнями диаметром 14 мм и более</t>
  </si>
  <si>
    <t>Армированные плиты ПФм-1 (1шт.) ПРЯМИМИ стержнями диаметром 14 мм и более</t>
  </si>
  <si>
    <t>Армированные плиты ПФм-1 (1шт.) ГНУТЫЕ стержнями диаметром 14 мм и более</t>
  </si>
  <si>
    <t xml:space="preserve">Монтаж каркасов  пространственных КП1  весом 14,77 кг/шт </t>
  </si>
  <si>
    <t>Устройство  монолитные плиты ПФм-1 из бетона  B25 W8 F200</t>
  </si>
  <si>
    <t>Укладка пенополистирола для деформационных швов между фундаментными плитами, шириной 50 мм</t>
  </si>
  <si>
    <t>Устройство деформационного изоляционного шва между  фундаментными плитами, шириной 50 мм, с заполнением герметиком</t>
  </si>
  <si>
    <t>Устройство отмостки из асфальтобетона толщиной от 50 до 150 мм</t>
  </si>
  <si>
    <t>Устройство основания из песка  - вручную</t>
  </si>
  <si>
    <t>Уплотнение основания из песка  - вручную</t>
  </si>
  <si>
    <t>Устройство резервуара под уклоном из асфальтобетона, гидрофобный слой толщиной от 20 до 230 мм</t>
  </si>
  <si>
    <t>Устройство бетонной подготовки фундаментов РСм1 из бетона В10, толщ. 100 мм (8шт.)</t>
  </si>
  <si>
    <t>Армирование фундамента РСм1 (8 шт)  ГНУТЫМИ сварными стержнями диаметром 14 мм и более</t>
  </si>
  <si>
    <t>Устройство сварных стыков для арматуры Ø22мм, соединение типа К1-Кт по ГОСТ 14098-2014 в заводских условиях</t>
  </si>
  <si>
    <t>Армирование фундамента  РСм1 (8 шт)  ПРЯМЫМИ стержнями диаметром  до 12 мм</t>
  </si>
  <si>
    <t>Армирование фундамента  РСм1 (8 шт)  ГНУТЫМИ стержнями диаметром  до 12 мм</t>
  </si>
  <si>
    <t>Монтаж и демонтаж опалубки ростверка РСм1 (8 шт)</t>
  </si>
  <si>
    <t>Бетонирование ростверка РСм1</t>
  </si>
  <si>
    <t>Ростверк РСм1н (8 шт)</t>
  </si>
  <si>
    <t>Устройство бетонной подготовки фундаментов РСм1н из бетона В10, толщ. 100 мм (8шт.)</t>
  </si>
  <si>
    <t>Армирование фундамента РСм1н (8 шт)  ГНУТЫМИ сварными стержнями диаметром 14 мм и более</t>
  </si>
  <si>
    <t>Армирование фундамента  РСм1н (8 шт)  ПРЯМЫМИ стержнями диаметром  до 12 мм</t>
  </si>
  <si>
    <t>Армирование фундамента  РСм1н (8 шт)  ГНУТЫМИ стержнями диаметром  до 12 мм</t>
  </si>
  <si>
    <t>Монтаж и демонтаж опалубки ростверка РСм1н (8 шт)</t>
  </si>
  <si>
    <t>Бетонирование ростверка РСм1н</t>
  </si>
  <si>
    <t>Устройство бетонной подготовки фундаментов РСм2 из бетона В10, толщ. 100 мм (2шт.)</t>
  </si>
  <si>
    <t>Армирование фундамента РСм2 (2 шт)  ГНУТЫМИ сварными стержнями диаметром 14 мм и более</t>
  </si>
  <si>
    <t>Армирование фундамента РСм2 (2 шт)  ПРЯМЫМИ стержнями диаметром  до 12 мм</t>
  </si>
  <si>
    <t>Армирование фундамента  РСм2 (2 шт)  ГНУТЫМИ стержнями диаметром  до 12 мм</t>
  </si>
  <si>
    <t>Монтаж каркасов  пространственных КП1  весом 5,06кг/м</t>
  </si>
  <si>
    <t xml:space="preserve">Монтаж и демонтаж опалубки ростверка РСм2 (2 шт) </t>
  </si>
  <si>
    <t>Бетонирование ростверка РСм2</t>
  </si>
  <si>
    <t>Устройство бетонной подготовки фундаментов РСм2н из бетона В10, толщ. 100 мм (2шт.)</t>
  </si>
  <si>
    <t>Армирование фундамента РСм2н (2 шт)  ГНУТЫМИ сварными стержнями диаметром 14 мм и более</t>
  </si>
  <si>
    <t>Армирование фундамента РСм2н (2 шт)  ПРЯМЫМИ стержнями диаметром  до 12 мм</t>
  </si>
  <si>
    <t>Армирование фундамента  РСм2н (2 шт)  ГНУТЫМИ стержнями диаметром  до 12 мм</t>
  </si>
  <si>
    <t xml:space="preserve">Монтаж и демонтаж опалубки ростверка РСм2н (2 шт) </t>
  </si>
  <si>
    <t>Бетонирование ростверка РСм2н</t>
  </si>
  <si>
    <t>Устройство бетонной подготовки фундаментов РСм3 из бетона В10, толщ. 100 мм (2шт.)</t>
  </si>
  <si>
    <t>Армирование фундамента  РСм3 (2 шт)  ГНУТЫМИ стержнями диаметром  до 12 мм</t>
  </si>
  <si>
    <t>Монтаж анкерной группы АГ1 ростверка РСм3</t>
  </si>
  <si>
    <t>Устройство подливки толщиной 50мм ростверка РСм3</t>
  </si>
  <si>
    <t>Монтаж и демонтаж опалубки ростверка РСм3 (2 шт)</t>
  </si>
  <si>
    <t>Бетонирование ростверка РСм3</t>
  </si>
  <si>
    <t>Устройство бетонной подготовки фундаментов РСм4А из бетона В10, толщ. 100 мм (2шт.)</t>
  </si>
  <si>
    <t>Армирование фундамента  РСм4А (2 шт)  ГНУТЫМИ стержнями диаметром  до 12 мм</t>
  </si>
  <si>
    <t>Монтаж анкерной группы АГ2 ростверка РСм4А</t>
  </si>
  <si>
    <t>Устройство подливки толщиной 50мм ростверка РСм4А</t>
  </si>
  <si>
    <t xml:space="preserve">Монтаж и демонтаж опалубки ростверка РСм4А (2 шт) </t>
  </si>
  <si>
    <t>Бетонирование ростверка РСм4А</t>
  </si>
  <si>
    <t>Устройство бетонной подготовки фундаментов РСм4Б из бетона В10, толщ. 100 мм (1шт.)</t>
  </si>
  <si>
    <t>Армирование фундамента  РСм4Б (1 шт)  ПРЯМЫМИ стержнями диаметром  до 12 мм</t>
  </si>
  <si>
    <t>Армирование фундамента  РСм4Б (1 шт)  ГНУТЫМИ стержнями диаметром  до 12 мм</t>
  </si>
  <si>
    <t>Монтаж анкерной группы АГ3 ростверка РСм4Б</t>
  </si>
  <si>
    <t>Устройство подливки толщиной 50мм ростверка РСм4Б</t>
  </si>
  <si>
    <t xml:space="preserve">Монтаж и демонтаж опалубки ростверка РСм4Б (1 шт) </t>
  </si>
  <si>
    <t xml:space="preserve">Бетонирование ростверка РСм4Б (1 шт) </t>
  </si>
  <si>
    <t>Устройство бетонной подготовки фундаментов РСм5 из бетона В10, толщ. 100 мм (1шт.)</t>
  </si>
  <si>
    <t>Устройство рулонной наплавляемой гидроизоляции Техноэласт Барьер БО горизонтальных поверхностей здания ниже уровни земли</t>
  </si>
  <si>
    <t>Устройство гидроизоляции Праймер битумный AquaMast горизонтальных поверхностей здания ниже уровни земли</t>
  </si>
  <si>
    <t>Устройство гидроизоляции Мастика битумная Технониколь №21  горизонтальных поверхностей здания ниже уровни земли</t>
  </si>
  <si>
    <t>Армирование фундамента РСм5 (1 шт)  ПРЯМЫМИ стержнями диаметром 14 мм и более</t>
  </si>
  <si>
    <t>Армирование фундамента РСм5 (1 шт) ГНУТЫМИ стержнями диаметром 14 мм и более</t>
  </si>
  <si>
    <t>Сверление отверстий в ЖБ конструкциях диаметром  Ø20мм, глубиной 280мм.
Сверление перфоратором для вклейки арматурных стержней  Ø16 поз.10-13</t>
  </si>
  <si>
    <t>Вклейка арматурных стержней  Ø16 поз.10-13 химическим составом EASYFIX bit-EX в готовые отверстия с последующим контрольным испытанием части вклеиваемых арматурных стержней на выдергивающее усилие 3,65 т.</t>
  </si>
  <si>
    <t>Срезка арматурных стержней  Ø16 поз.3-4</t>
  </si>
  <si>
    <t>Монтаж каркасов  пространственных КП2  весом 5,07кг/м</t>
  </si>
  <si>
    <t xml:space="preserve">Монтаж и демонтаж опалубки фундамента  РСм5 (1 шт) </t>
  </si>
  <si>
    <t xml:space="preserve">Бетонирование фундамента  РСм5 (1 шт) </t>
  </si>
  <si>
    <t>Устройство теплоизоляции из пеноплекса толщиной 100 мм горизонтальных поверхностей ростверка</t>
  </si>
  <si>
    <t>Устройство теплоизоляции из пеноплекса толщиной 100 мм вертикальных поверхностей ростверка</t>
  </si>
  <si>
    <t>Монтаж закладных деталей РСм5 - гильзы Г1 весом 11,1 кг</t>
  </si>
  <si>
    <t>Изготовление закладных деталей РСм5 - гильзы Г1 весом 11,1 кг</t>
  </si>
  <si>
    <t>Устройство гидроизоляции на базе бентонита мест прохождения гильз через рулонную наплавляемую гидроизоляцию</t>
  </si>
  <si>
    <t>Устройство дополнительного слоя рулонной наплавляемой гидроизоляции Техноэласт Барьер БО горизонтальных поверхностей здания ниже уровни земли вокруг гильз</t>
  </si>
  <si>
    <t>Устройство гидроизоляции Гидростоп гильз</t>
  </si>
  <si>
    <t>Устройство бетонной подготовки фундаментов РСм6 из бетона В10, толщ. 100 мм (1шт.)</t>
  </si>
  <si>
    <t>Армирование фундамента РСм6 (1 шт)  ПРЯМЫМИ стержнями диаметром 14 мм и более</t>
  </si>
  <si>
    <t>Армирование фундамента РСм6 (1 шт) ГНУТЫМИ стержнями диаметром 14 мм и более</t>
  </si>
  <si>
    <t>Сверление отверстий в ЖБ конструкциях диаметром  Ø20мм, глубиной 280мм.
Сверление перфоратором для вклейки арматурных стержней  Ø16 поз.12-15</t>
  </si>
  <si>
    <t>Вклейка арматурных стержней  Ø16 поз.12-15 химическим составом EASYFIX bit-EX в готовые отверстия с последующим контрольным испытанием части вклеиваемых арматурных стержней на выдергивающее усилие 3,65 т.</t>
  </si>
  <si>
    <t>Срезка арматурных стержней  Ø16 поз.3-4,12</t>
  </si>
  <si>
    <t xml:space="preserve">Монтаж и демонтаж опалубки фундамента  РСм6 (1 шт) </t>
  </si>
  <si>
    <t xml:space="preserve">Бетонирование фундамента  РСм6 (1 шт) </t>
  </si>
  <si>
    <t>Монтаж закладных деталей РСм6 - гильзы Г1 весом 11,1 кг</t>
  </si>
  <si>
    <t>Изготовление закладных деталей РСм6 - гильзы Г1 весом 11,1 кг</t>
  </si>
  <si>
    <t>Монтаж закладных деталей РСм6 весом от 5,1-8,0кг - гильзы Г2</t>
  </si>
  <si>
    <t>Изготовление закладных деталей РСм6 весом от 5,1-8,0кг - гильзы Г2</t>
  </si>
  <si>
    <t>Армирование плиты Пм1 (1 шт)  ПРЯМЫМИ стержнями диаметром 14 мм и более</t>
  </si>
  <si>
    <t>Армирование плиты  Пм1 (1 шт)  ПРЯМЫМИ стержнями диаметром  до 12 мм</t>
  </si>
  <si>
    <t>Армирование плиты  Пм1 (1 шт)  ГНУТЫМИ стержнями диаметром  до 12 мм</t>
  </si>
  <si>
    <t>Монтаж анкерной группы АГ4 фундаментной плиты Пм1</t>
  </si>
  <si>
    <t>Устройство подливки толщиной 50мм плиты Пм1</t>
  </si>
  <si>
    <t>Монтаж закладных деталей ЗД1 фундаментной плиты Пм1 - МН 117-1 весом 1,9 кг</t>
  </si>
  <si>
    <t>Монтаж и демонтаж опалубки плиты Пм1 (1 шт)</t>
  </si>
  <si>
    <t>Бетонирование плиты Пм1 (1 шт)</t>
  </si>
  <si>
    <t>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</si>
  <si>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Устройство шва глубиной 70мм между картами 6х6м после бетонирования плиты Пм1 (1 шт)</t>
  </si>
  <si>
    <t>Устройство теплоизоляции из пеноплекса толщиной 100 мм горизонтальных поверхностей фундаментной плиты</t>
  </si>
  <si>
    <t>Устройство теплоизоляции из пеноплекса толщиной 100 мм вертикальных поверхностей фундаментной плиты</t>
  </si>
  <si>
    <t>Монтаж закладных деталей фундаментной плиты Пм1 - гильзы Г3 весом 6,52 кг</t>
  </si>
  <si>
    <t>Изготовление закладных деталей фундаментной плиты Пм1 - гильзы Г3 весом 6,52 кг</t>
  </si>
  <si>
    <t>Монтаж закладных деталей фундаментной плиты Пм1 весом от 2,1-5,0кг - гильзы Г4.</t>
  </si>
  <si>
    <t>Изготовление закладных деталей фундаментной плиты Пм1 весом от 2,1-5,0кг - гильзы Г4</t>
  </si>
  <si>
    <t>Укладка пенополистирола для деформационных швов между фундаментными плитами и колоннами, шириной 20 мм</t>
  </si>
  <si>
    <t>Устройство деформационного изоляционного шва между  фундаментными плитами и колоннами, шириной 20 мм, с заполнением герметиком</t>
  </si>
  <si>
    <t>Выемка грунта при замене грунта под плиту Пм2 - вручную</t>
  </si>
  <si>
    <t>Устройство основания из песка толщиной 1100мм под плиту Пм2 - вручную</t>
  </si>
  <si>
    <t>Уплотнение основания из песка толщиной 1100мм под плиту Пм2 - вручную</t>
  </si>
  <si>
    <t>Устройство бетонной подготовки плиты Пм2 из бетона В10, толщ. 100 мм (1шт.)</t>
  </si>
  <si>
    <t>Армирование плиты  Пм2 (1 шт)  ПРЯМЫМИ стержнями диаметром  до 12 мм</t>
  </si>
  <si>
    <t>Армирование плиты  Пм2 (1 шт)  ГНУТЫМИ стержнями диаметром  до 12 мм</t>
  </si>
  <si>
    <t xml:space="preserve">Монтаж и демонтаж опалубки плиты Пм2 (1 шт) </t>
  </si>
  <si>
    <t>Бетонирование плиты Пм2 (1 шт) толщиной 200-350мм</t>
  </si>
  <si>
    <t>Укладка пенополистирола для деформационных швов между фундаментными плитами, шириной 20 мм</t>
  </si>
  <si>
    <t>Устройство деформационного изоляционного шва между  фундаментными плитами, шириной 20 мм, с заполнением герметиком</t>
  </si>
  <si>
    <t>Выемка грунта при замене грунта под плиту Пм3 - вручную</t>
  </si>
  <si>
    <t>Устройство основания из песка толщиной 500мм под плиту Пм3 - вручную</t>
  </si>
  <si>
    <t>Уплотнение основания из песка толщиной 500мм под плиту Пм3 - вручную</t>
  </si>
  <si>
    <t>Устройство бетонной подготовки плиты Пм3 из бетона В10, толщ. 100 мм (1шт.)</t>
  </si>
  <si>
    <t>Монтаж заводских арматурных сеток плиты Пм3 (1 шт) из арматуры диаметром от Ø4 до Ø6мм. Соединение нахлестов сеток проволокой</t>
  </si>
  <si>
    <t xml:space="preserve">Монтаж и демонтаж опалубки плиты Пм3 (1 шт) </t>
  </si>
  <si>
    <t>Бетонирование плиты Пм3 (1 шт) толщиной 150мм</t>
  </si>
  <si>
    <t>Выемка грунта при замене грунта под плиту Пм4 - вручную</t>
  </si>
  <si>
    <t>Устройство основания из песка толщиной 500мм под плиту Пм4 - вручную</t>
  </si>
  <si>
    <t>Уплотнение основания из песка толщиной 500мм под плиту Пм4 - вручную</t>
  </si>
  <si>
    <t>Устройство бетонной подготовки плиты Пм4 из бетона В10, толщ. 100 мм (2шт.)</t>
  </si>
  <si>
    <t>Монтаж заводских арматурных сеток плиты Пм4 (2 шт) из арматуры диаметром от Ø4 до Ø6мм. Соединение нахлестов сеток проволокой</t>
  </si>
  <si>
    <t>Монтаж и демонтаж опалубки плиты Пм4 (2 шт)</t>
  </si>
  <si>
    <t>Бетонирование плиты Пм4 (2 шт) толщиной 150мм</t>
  </si>
  <si>
    <t>Выемка грунта при замене грунта под плиту Пм5 - вручную</t>
  </si>
  <si>
    <t>Устройство основания из песка толщиной 200мм под плиту Пм5 - вручную</t>
  </si>
  <si>
    <t>Уплотнение основания из песка толщиной 200мм под плиту Пм5 - вручную</t>
  </si>
  <si>
    <t>Устройство бетонной подготовки плиты Пм5 из бетона В10, толщ. 100 мм (7шт.)</t>
  </si>
  <si>
    <t>Монтаж заводских арматурных сеток плиты Пм5 (7 шт) из арматуры диаметром от Ø4 до Ø6мм. Соединение нахлестов сеток проволокой</t>
  </si>
  <si>
    <t xml:space="preserve">Монтаж и демонтаж опалубки плиты Пм5 (7 шт) </t>
  </si>
  <si>
    <t>Бетонирование плиты Пм5 (7 шт) толщиной 150мм</t>
  </si>
  <si>
    <t>Выемка грунта при замене грунта под плиту Пм6 - вручную</t>
  </si>
  <si>
    <t>Устройство основания из песка толщиной 200мм под плиту Пм6 - вручную</t>
  </si>
  <si>
    <t>Уплотнение основания из песка толщиной 200мм под плиту Пм6 - вручную</t>
  </si>
  <si>
    <t>Устройство бетонной подготовки плиты Пм6 из бетона В10, толщ. 100 мм (1шт.)</t>
  </si>
  <si>
    <t>Армирование плиты  Пм6 (1 шт)  ПРЯМЫМИ стержнями диаметром  до 12 мм</t>
  </si>
  <si>
    <t>Армирование плиты  Пм6 (1 шт)  ГНУТЫМИ стержнями диаметром  до 12 мм</t>
  </si>
  <si>
    <t xml:space="preserve">Монтаж и демонтаж опалубки плиты Пм6 (1 шт) </t>
  </si>
  <si>
    <t>Бетонирование плиты Пм6 (1 шт) толщиной 200мм</t>
  </si>
  <si>
    <t>Выемка грунта при замене грунта под плиту Пм7 - вручную</t>
  </si>
  <si>
    <t>Устройство основания из песка толщиной 200мм под плиту Пм7 - вручную</t>
  </si>
  <si>
    <t>Уплотнение основания из песка толщиной 200мм под плиту Пм7 - вручную</t>
  </si>
  <si>
    <t>Устройство бетонной подготовки плиты Пм7 из бетона В10, толщ. 100 мм (1шт.)</t>
  </si>
  <si>
    <t>Армирование плиты  Пм7 (1 шт)  ГНУТЫМИ стержнями диаметром  до 12 мм</t>
  </si>
  <si>
    <t xml:space="preserve">Монтаж и демонтаж опалубки плиты Пм7 (1 шт) </t>
  </si>
  <si>
    <t>Бетонирование плиты Пм7 (1 шт) толщиной 200мм</t>
  </si>
  <si>
    <t>Выемка грунта при замене грунта под фундамент Фм1(8шт) - вручную</t>
  </si>
  <si>
    <t>Устройство основания из песка толщиной 200мм под фундамент Фм1(8шт) - вручную</t>
  </si>
  <si>
    <t>Уплотнение основания из песка толщиной 200мм под фундамент Фм1(8шт) - вручную</t>
  </si>
  <si>
    <t xml:space="preserve">Устройство бетонной подготовки фундаментов Фм1(1шт) из бетона В10, толщ. 100 мм </t>
  </si>
  <si>
    <t>Армирование фундамента Фм1 (8шт)  ПРЯМЫМИ стержнями диаметром  до 12 мм</t>
  </si>
  <si>
    <t>Армирование фундамента Фм1 (8шт)  ГНУТЫМИ стержнями диаметром  до 12 мм</t>
  </si>
  <si>
    <t>Монтаж и демонтаж опалубки фундамента Фм1 (8шт)</t>
  </si>
  <si>
    <t>Бетонирование фундамента Фм1 (8шт)</t>
  </si>
  <si>
    <t>Устройство бетонной подготовки осмотровой канавы Ок1  из бетона В10, толщ. 100 мм (3шт.)</t>
  </si>
  <si>
    <t>Армирование осмотровой канавы Ок1 (3 шт)  ПРЯМЫМИ стержнями диаметром  до 12 мм</t>
  </si>
  <si>
    <t>Армирование осмотровой канавы Ок1 (3 шт)  ГНУТЫМИ стержнями диаметром  до 12 мм</t>
  </si>
  <si>
    <t>Монтаж трубы Ø32х4 для прокладки кабелей осмотровой канавы Ок1 (3 шт)</t>
  </si>
  <si>
    <t>Монтаж закладных деталей ЗД1 осмотровой канавы Ок1 - МН 548 весом 4,2 кг/п.м.</t>
  </si>
  <si>
    <t>Монтаж закладных деталей ЗД2 осмотровой канавы Ок1 - МН 109-6 весом 1,7 кг</t>
  </si>
  <si>
    <t>Монтаж закладных деталей ЗД3 осмотровой канавы Ок1 - МН 801 весом 0,74 кг</t>
  </si>
  <si>
    <t>Монтаж закладных деталей ЗД2 осмотровой канавы Ок1 - МН 107-6 весом 1,4 кг</t>
  </si>
  <si>
    <t>Монтаж опалубки заводского изготовления боковой части плиты</t>
  </si>
  <si>
    <t>Монтаж опалубки заводского изготовления стены</t>
  </si>
  <si>
    <t>Бетонирование осмотровой канавы Ок1 (3 шт)</t>
  </si>
  <si>
    <t>Установка гидрошпонки для гидроизоляции сопряжения между двумя слоями бетона (горизонтальный рабочий шов)</t>
  </si>
  <si>
    <t>Укладка пенополистирола для деформационных швов между фундаментной плитой и приямком, шириной 20 мм</t>
  </si>
  <si>
    <t>Устройство деформационного изоляционного шва между  фундаментной плитой и приямком, шириной 20 мм, с заполнением герметиком</t>
  </si>
  <si>
    <t>Монтаж металоконструкции покрытия осмотровая канава Ок1 (3 шт) щита съемного Щ1 1020х1070мм из листа просечно-вытяжного и уголка</t>
  </si>
  <si>
    <t>Монтаж металоконструкции покрытия осмотровая канава Ок1 (3 шт) щита съемного Щ3 430х1070мм из листа просечно-вытяжного и уголка</t>
  </si>
  <si>
    <t>Устройство бетонной подготовки под приямок Пр1 из бетона В10, толщ. 100 мм (1шт.)</t>
  </si>
  <si>
    <t>Армирование плиты  Пр1 (1 шт)  ПРЯМЫМИ стержнями диаметром  до 12 мм</t>
  </si>
  <si>
    <t>Армирование плиты  Пр1 (1 шт)  ГНУТЫМИ стержнями диаметром  до 12 мм</t>
  </si>
  <si>
    <t>Укладка пеноплекса толщиной 100 мм под приямком</t>
  </si>
  <si>
    <t>Монтаж закладных деталей фундаментной плиты Пр1 - гильзы Г3 весом 6,52 кг</t>
  </si>
  <si>
    <t>Изготовление закладных деталей фундаментной плиты Пр1 - гильзы Г3 весом 6,52 кг</t>
  </si>
  <si>
    <t>Монтаж закладных деталей ЗДИ1 фундаментной плиты Пр1 весом 6,16 кг/п.м.</t>
  </si>
  <si>
    <t>Бетонирование приямка Пр1 (1 шт)</t>
  </si>
  <si>
    <t>Монтаж металоконструкции покрытия приямка Пр1 (1 шт) решетчатого настила Рш1 SP Г/К 34š51/70х4/1000х1020 Zn, обр. В</t>
  </si>
  <si>
    <t>Устройство бетонной подготовки под приямок Пр2 из бетона В10, толщ. 100 мм (1шт.)</t>
  </si>
  <si>
    <t>Армирование плиты  Пр2 (1 шт)  ПРЯМЫМИ стержнями диаметром  до 12 мм</t>
  </si>
  <si>
    <t>Армирование плиты  Пр2 (1 шт)  ГНУТЫМИ стержнями диаметром  до 12 мм</t>
  </si>
  <si>
    <t>Монтаж закладных деталей фундаментной плиты Пр2 - гильзы Г5 весом 3,46 кг</t>
  </si>
  <si>
    <t>Изготовление закладных деталей фундаментной плиты Пр2 - гильзы Г5 весом 3,46 кг</t>
  </si>
  <si>
    <t>Монтаж закладных деталей ЗД1 фундаментной плиты Пр2 - МН 517 весом 6 кг/п.м.</t>
  </si>
  <si>
    <t>Монтаж закладных деталей ЗД2 фундаментной плиты Пр2 - МН 107-6 весом 1,4 кг</t>
  </si>
  <si>
    <t>Монтаж закладных деталей ЗД3 фундаментной плиты Пр2 - МН 801 весом 0,74 кг</t>
  </si>
  <si>
    <t>Монтаж закладных деталей ЗД4 фундаментной плиты Пр2 - МН 111-5 весом 1,9 кг</t>
  </si>
  <si>
    <t>Бетонирование приямка Пр2 (1 шт)</t>
  </si>
  <si>
    <t>Монтаж металоконструкции покрытия приямка Пр2 (1 шт) щита съемного Щ2 1370х1370мм из листа просечно-вытяжного и уголка</t>
  </si>
  <si>
    <t>Армированные колонн Км1 (1 шт) ГНУТЫМИ стержнями диаметром до 12 мм</t>
  </si>
  <si>
    <t xml:space="preserve">Армированные колонн Км1 (1 шт) ГНУТЫМИ стержнями диаметром до 12 мм- Изготовление </t>
  </si>
  <si>
    <t>Армированные колонн Км1 (1 шт) ПРЯМЫМИ стержнями диаметром 14 мм и более</t>
  </si>
  <si>
    <t>Армированные колонн Км1 (1 шт) ПРЯМЫМИ стержнями диаметром 14 мм и более - Изготовление</t>
  </si>
  <si>
    <t>Монтаж и демонтаж опалубки заводского изготовления колонн Км1 (1 шт)</t>
  </si>
  <si>
    <t xml:space="preserve">Бетонирование колонн Км1 (1 шт) из бетона B25 W8 F200 </t>
  </si>
  <si>
    <t>Монтаж закладных деталей ЗД1 колонн Км  весом от
2,1-5,0кг</t>
  </si>
  <si>
    <t>Монтаж закладных деталей ЗД2 колонн Км  весом от
 0,5-2,0кг</t>
  </si>
  <si>
    <t>Монтаж закладных деталей ЗДИ2н колонн Км  весом от
30,1-40,0кг</t>
  </si>
  <si>
    <t>Армированные колонн Км2 (1 шт) ГНУТЫМИ стержнями диаметром до 12 мм</t>
  </si>
  <si>
    <t xml:space="preserve">Армированные колонн Км2 (1 шт) ГНУТЫМИ стержнями диаметром до 12 мм - Изготовление </t>
  </si>
  <si>
    <t>Армированные колонн Км2 (1 шт) ПРЯМЫМИ стержнями диаметром 14 мм и более</t>
  </si>
  <si>
    <t xml:space="preserve">Армированные колонн Км2 (1 шт) ПРЯМЫМИ стержнями диаметром 14 мм и более - Изготовление </t>
  </si>
  <si>
    <t>Монтаж и демонтаж опалубки заводского изготовления колонн Км2 (1 шт)</t>
  </si>
  <si>
    <t xml:space="preserve">Бетонирование колонн Км2 (1 шт) из бетона B25 W8 F200 </t>
  </si>
  <si>
    <t>Монтаж закладных деталей ЗД1 колонн Км  весом от 2,1-5,0кг</t>
  </si>
  <si>
    <t>Монтаж закладных деталей ЗД3 колонн Км  весом от 2,1-5,0кг</t>
  </si>
  <si>
    <t>Монтаж закладных деталей ЗДИ1 колонн Км  весом от
30,1-40,0кг</t>
  </si>
  <si>
    <t>Армированные колонн Км3 (5 шт) ГНУТЫМИ стержнями диаметром до 12 мм</t>
  </si>
  <si>
    <t>Армированные колонн Км3 (5 шт) ПРЯМЫМИ стержнями диаметром 14 мм и более</t>
  </si>
  <si>
    <t>Монтаж и демонтаж опалубки заводского изготовления колонн Км3 (5 шт)</t>
  </si>
  <si>
    <t xml:space="preserve">Бетонирование колонн Км3 (5 шт) из бетона B25 W8 F200 </t>
  </si>
  <si>
    <t>Армированные колонн Км4 (1 шт) ГНУТЫМИ стержнями диаметром до 12 мм</t>
  </si>
  <si>
    <t>Армированные колонн Км4 (1 шт) ПРЯМЫМИ стержнями диаметром 14 мм и более</t>
  </si>
  <si>
    <t>Монтаж и демонтаж опалубки заводского изготовления колонн Км4 (1 шт)</t>
  </si>
  <si>
    <t xml:space="preserve">Бетонирование колонн Км4 (1 шт) из бетона B25 W8 F200 </t>
  </si>
  <si>
    <t>Армированные колонн Км5 (1 шт) ГНУТЫМИ стержнями диаметром до 12 мм</t>
  </si>
  <si>
    <t>Армированные колонн Км5 (1 шт) ПРЯМЫМИ стержнями диаметром 14 мм и более</t>
  </si>
  <si>
    <t>Монтаж и демонтаж опалубки заводского изготовления колонн Км5 (1 шт)</t>
  </si>
  <si>
    <t xml:space="preserve">Бетонирование колонн Км5 (1 шт) из бетона B25 W8 F200 </t>
  </si>
  <si>
    <t>Армированные колонн Км6 (1 шт) ГНУТЫМИ стержнями диаметром до 12 мм</t>
  </si>
  <si>
    <t>Армированные колонн Км6 (1 шт) ПРЯМЫМИ стержнями диаметром 14 мм и более</t>
  </si>
  <si>
    <t>Монтаж и демонтаж опалубки заводского изготовления колонн Км6 (1 шт)</t>
  </si>
  <si>
    <t xml:space="preserve">Бетонирование колонн Км6 (1 шт) из бетона B25 W8 F200 </t>
  </si>
  <si>
    <t>Монтаж закладных деталей ЗДИ2 колонн Км  весом от
30,1-40,0кг</t>
  </si>
  <si>
    <t>Армированные колонн Км7 (1 шт) ГНУТЫМИ стержнями диаметром до 12 мм</t>
  </si>
  <si>
    <t>Армированные колонн Км7 (1 шт) ПРЯМЫМИ стержнями диаметром 14 мм и более</t>
  </si>
  <si>
    <t>Монтаж и демонтаж опалубки заводского изготовления колонн Км7 (1 шт)</t>
  </si>
  <si>
    <t xml:space="preserve">Бетонирование колонн Км7 (1 шт) из бетона B25 W8 F200 </t>
  </si>
  <si>
    <t>Армированные колонн Км8 (1 шт) ГНУТЫМИ стержнями диаметром до 12 мм</t>
  </si>
  <si>
    <t>Армированные колонн Км8 (1 шт) ПРЯМЫМИ стержнями диаметром 14 мм и более</t>
  </si>
  <si>
    <t>Монтаж и демонтаж опалубки заводского изготовления колонн Км8 (1 шт)</t>
  </si>
  <si>
    <t xml:space="preserve">Бетонирование колонн Км8 (1 шт) из бетона B25 W8 F200 </t>
  </si>
  <si>
    <t>Армированные колонн Км9 (1 шт) ГНУТЫМИ стержнями диаметром до 12 мм</t>
  </si>
  <si>
    <t>Армированные колонн Км9 (1 шт) ПРЯМЫМИ стержнями диаметром 14 мм и более</t>
  </si>
  <si>
    <t>Монтаж и демонтаж опалубки заводского изготовления колонн Км9 (1 шт)</t>
  </si>
  <si>
    <t xml:space="preserve">Бетонирование колонн Км9 (1 шт) из бетона B25 W8 F200 </t>
  </si>
  <si>
    <t>Армированные колонн Км10 (2 шт) ГНУТЫМИ стержнями диаметром до 12 мм</t>
  </si>
  <si>
    <t>Армированные колонн Км10 (2 шт) ПРЯМЫМИ стержнями диаметром 14 мм и более</t>
  </si>
  <si>
    <t>Монтаж и демонтаж опалубки заводского изготовления колонн Км10 (2 шт)</t>
  </si>
  <si>
    <t xml:space="preserve">Бетонирование колонн Км10 (2 шт) из бетона B25 W8 F200 </t>
  </si>
  <si>
    <t>Армированные колонн Км11 (1 шт) ГНУТЫМИ стержнями диаметром до 12 мм</t>
  </si>
  <si>
    <t>Армированные колонн Км11 (1 шт) ПРЯМЫМИ стержнями диаметром 14 мм и более</t>
  </si>
  <si>
    <t>Монтаж и демонтаж опалубки заводского изготовления колонн Км11 (1 шт)</t>
  </si>
  <si>
    <t xml:space="preserve">Бетонирование колонн Км11 (1 шт) из бетона B25 W8 F200 </t>
  </si>
  <si>
    <t>Монтаж закладных деталей ЗД3 колонн Км  весом от
от 2,1-5,0кг</t>
  </si>
  <si>
    <t>Армированные колонн Км12 (1 шт) ГНУТЫМИ стержнями диаметром до 12 мм</t>
  </si>
  <si>
    <t>Армированные колонн Км12 (1 шт) ПРЯМЫМИ стержнями диаметром 14 мм и более</t>
  </si>
  <si>
    <t>Монтаж и демонтаж опалубки заводского изготовления колонн Км12 (1 шт)</t>
  </si>
  <si>
    <t xml:space="preserve">Бетонирование колонн Км12 (1 шт) из бетона B25 W8 F200 </t>
  </si>
  <si>
    <t>Армированные колонн Км13 (1 шт) ГНУТЫМИ стержнями диаметром до 12 мм</t>
  </si>
  <si>
    <t>Армированные колонн Км13 (1 шт) ПРЯМЫМИ стержнями диаметром 14 мм и более</t>
  </si>
  <si>
    <t>Монтаж и демонтаж опалубки заводского изготовления колонн Км13 (1 шт)</t>
  </si>
  <si>
    <t xml:space="preserve">Бетонирование колонн Км13 (1 шт) из бетона B25 W8 F200 </t>
  </si>
  <si>
    <t>Армированные колонн Км14 (1 шт) ГНУТЫМИ стержнями диаметром до 12 мм</t>
  </si>
  <si>
    <t>Армированные колонн Км14 (1 шт) ПРЯМЫМИ стержнями диаметром 14 мм и более</t>
  </si>
  <si>
    <t>Монтаж и демонтаж опалубки заводского изготовления колонн Км14 (1 шт)</t>
  </si>
  <si>
    <t xml:space="preserve">Бетонирование колонн Км14 (1 шт) из бетона B25 W8 F200 </t>
  </si>
  <si>
    <t>Армированные колонн Км15 (1 шт) ГНУТЫМИ стержнями диаметром до 12 мм</t>
  </si>
  <si>
    <t>Армированные колонн Км15 (1 шт) ПРЯМЫМИ стержнями диаметром 14 мм и более</t>
  </si>
  <si>
    <t>Монтаж и демонтаж опалубки заводского изготовления колонн Км15 (1 шт)</t>
  </si>
  <si>
    <t xml:space="preserve">Бетонирование колонн Км15 (1 шт) из бетона B25 W8 F200 </t>
  </si>
  <si>
    <t>Армированные плиты перекрытия Пм1 (1 шт) ПРЯМЫМИ стержнями диаметром 14 мм и более</t>
  </si>
  <si>
    <t>Армированные плиты перекрытия Пм1 (1 шт) ПРЯМЫМИ стержнями диаметром до 12 мм</t>
  </si>
  <si>
    <t>Армированные плиты перекрытия Пм1 (1 шт) ГНУТЫМИ стержнями диаметром до 12 мм</t>
  </si>
  <si>
    <t>Армированные плиты перекрытия Пм1 (1 шт) ГНУТЫМИ стержнями диаметром 14 мм и более</t>
  </si>
  <si>
    <t>Монтаж каркасов пространственных КР3. Соединение элементов армокаркаса сваркой.</t>
  </si>
  <si>
    <t>Монтаж каркасов пространственных КР4. Соединение элементов армокаркаса сваркой.</t>
  </si>
  <si>
    <t>Монтаж закладных деталей (гильзы Г1) весом от 2,1-5,0кг</t>
  </si>
  <si>
    <t>Монтаж закладных деталей (гильзы Г2) весом от 0,5-2,0кг</t>
  </si>
  <si>
    <t>Монтаж и демонтаж опалубки заводского изготовления плиты перекрытия Пм3 (1 шт)</t>
  </si>
  <si>
    <t xml:space="preserve">Бетонирование плиты перекрытия Пм1(1 шт) из бетона B25 W8 F100 </t>
  </si>
  <si>
    <t>Сверление отверстия под гильз Г1</t>
  </si>
  <si>
    <t>Замоноличивание гильз Г1 цементно-песчаным раствором М200</t>
  </si>
  <si>
    <t>Армированные плиты перекрытия Пм2 (1 шт) ПРЯМЫМИ стержнями диаметром 14 мм и более</t>
  </si>
  <si>
    <t>Армированные плиты перекрытия Пм2 (1 шт) ПРЯМЫМИ стержнями диаметром до 12 мм</t>
  </si>
  <si>
    <t>Армированные плиты перекрытия Пм2 (1 шт) ГНУТЫМИ стержнями диаметром до 12 мм</t>
  </si>
  <si>
    <t>Армированные плиты перекрытия Пм2 (1 шт) ГНУТЫМИ стержнями диаметром 14 мм и более</t>
  </si>
  <si>
    <t>Монтаж закладных деталей (гильзы Г3) весом от 2,1-5,0кг</t>
  </si>
  <si>
    <t xml:space="preserve">Бетонирование плиты перекрытия Пм2(1 шт) из бетона B25 W8 F100 </t>
  </si>
  <si>
    <t>Армированные плиты перекрытия Пм3 (1 шт) ПРЯМЫМИ стержнями диаметром до 12 мм</t>
  </si>
  <si>
    <t>Армированные плиты перекрытия Пм3 (1 шт) ГНУТЫМИ стержнями диаметром до 12 мм</t>
  </si>
  <si>
    <t>Армированные плиты перекрытия Пм3 (1 шт) ГНУТЫМИ стержнями диаметром 14 мм и более</t>
  </si>
  <si>
    <t>Монтаж закладных деталей (гильзы Г4) весом от 8,1-12,0кг</t>
  </si>
  <si>
    <t>Монтаж закладных деталей ЗД1 колонн Км  весом от
 2,1-5,0 кг</t>
  </si>
  <si>
    <t xml:space="preserve">Бетонирование плиты перекрытия Пм3(1 шт) из бетона B25 W8 F100 </t>
  </si>
  <si>
    <t>Армированные плиты перекрытия Пм4 (1 шт) ПРЯМЫМИ стержнями диаметром до 12 мм</t>
  </si>
  <si>
    <t>Армированные плиты перекрытия Пм4 (1 шт) ПРЯМЫМИ стержнями диаметром до 12 мм - Изготовление</t>
  </si>
  <si>
    <t>Армированные плиты перекрытия Пм4 (1 шт) ГНУТЫМИ стержнями диаметром до 12 мм</t>
  </si>
  <si>
    <t>Армированные плиты перекрытия Пм4 (1 шт) ГНУТЫМИ стержнями диаметром до 12 мм - Изготовление</t>
  </si>
  <si>
    <t>Армированные плиты перекрытия Пм4 (1 шт) ГНУТЫМИ стержнями диаметром 14 мм и более</t>
  </si>
  <si>
    <t>Монтаж закладных деталей ЗД1 весом от 2,1-5,0кг</t>
  </si>
  <si>
    <t>Монтаж и демонтаж опалубки заводского изготовления плиты перекрытия Пм4 (1 шт)</t>
  </si>
  <si>
    <t xml:space="preserve">Бетонирование плиты перекрытия Пм4(1 шт) из бетона B25 W8 F100 </t>
  </si>
  <si>
    <t>Армированные Лестницы Л1 ПРЯМЫМИ стержнями диаметром до 12 мм</t>
  </si>
  <si>
    <t>Армированные Лестницы Л1 ГНУТЫМИ стержнями диаметром до 12 мм</t>
  </si>
  <si>
    <t>Монтаж каркасов пространственных КР1. Соединение элементов армокаркаса сваркой.</t>
  </si>
  <si>
    <t>Монтаж каркасов пространственных КР2. Соединение элементов армокаркаса сваркой.</t>
  </si>
  <si>
    <t>Изготовление опалубки Лестницы Л1 (1 шт)</t>
  </si>
  <si>
    <t>Монтаж и демонтаж опалубки собственного изготовления Лестницы Л1 (1 шт)</t>
  </si>
  <si>
    <t xml:space="preserve">Бетонирование Лестницы Л1(1 шт) из бетона B25 W8 F100 </t>
  </si>
  <si>
    <t>Армированные Лестницы Л2 ПРЯМЫМИ стержнями диаметром до 12 мм</t>
  </si>
  <si>
    <t>Армированные Лестницы Л2 ГНУТЫМИ стержнями диаметром до 12 мм</t>
  </si>
  <si>
    <t>Изготовление опалубки Лестницы Л2 (1 шт)</t>
  </si>
  <si>
    <t>Монтаж и демонтаж опалубки собственного изготовления Лестницы Л2 (1 шт)</t>
  </si>
  <si>
    <t xml:space="preserve">Бетонирование Лестницы Л2 (1 шт) из бетона B25 W8 F100 </t>
  </si>
  <si>
    <t>Армированные стены монолитные на отм. -0,100 и +4,100, в осях 11-17 ПРЯМЫМИ стержнями диаметром от 14мм и более</t>
  </si>
  <si>
    <t>Армированные стены монолитные на отм. -0,100 и +4,100, в осях 11-17 ПРЯМЫМИ стержнями диаметром до 12мм</t>
  </si>
  <si>
    <t>Армированные стены монолитные на отм. -0,100 и +4,100, в осях 11-17 ГНУТЫМИ стержнями диаметром до 12 мм</t>
  </si>
  <si>
    <t>Монтаж каркасов пространственных КР5. Соединение элементов армокаркаса сваркой.</t>
  </si>
  <si>
    <t>Монтаж каркасов пространственных КР6. Соединение элементов армокаркаса сваркой.</t>
  </si>
  <si>
    <t>Монтаж каркасов пространственных КР7. Соединение элементов армокаркаса сваркой.</t>
  </si>
  <si>
    <t>Монтаж каркасов пространственных КР8. Соединение элементов армокаркаса сваркой.</t>
  </si>
  <si>
    <t>Монтаж закладных деталей (гильзы Г5) весом от 2,1-5,0кг</t>
  </si>
  <si>
    <t xml:space="preserve">Монтаж закладных деталей (гильзы Г5) на отм. -0,100, в осях 11...14 весом от 2,1-5,0кг </t>
  </si>
  <si>
    <t>Изготовление закладных деталей (гильзы Г5) весом от 2,1-5,0кг</t>
  </si>
  <si>
    <t>Монтаж закладных деталей (гильзы Г6) весом от 2,1-5,0кг</t>
  </si>
  <si>
    <t>Изготовление закладных деталей (гильзы Г6) весом от 2,1-5,0кг</t>
  </si>
  <si>
    <t>Монтаж закладных деталей (гильзы Г7) весом от 2,1-5,0кг</t>
  </si>
  <si>
    <t>Монтаж закладных деталей (гильзы Г7) на отм. -0,100, в осях 11...14 весом от 2,1-5,0кг</t>
  </si>
  <si>
    <t>Изготовление закладных деталей (гильзы Г7) на отм. -0,100, в осях 11...14 весом от 2,1-5,0кг</t>
  </si>
  <si>
    <t>Сверление отверстия под гильз Г7</t>
  </si>
  <si>
    <t>Замоноличивание гильз Г7 цементно-песчаным раствором М200</t>
  </si>
  <si>
    <t>Монтаж закладных деталей (гильзы Г8) весом от 8,1-12,0кг</t>
  </si>
  <si>
    <t>Изготовление закладных деталей (гильзы Г8) весом от 8,1-12,0кг</t>
  </si>
  <si>
    <t>Монтаж закладных деталей (гильзы Г9) весом от 2,1-5,0кг</t>
  </si>
  <si>
    <t>Изготовление закладных деталей (гильзы Г9) весом от 2,1-5,0кг</t>
  </si>
  <si>
    <t>Монтаж закладных деталей ЗДИ 3 весом 139,72кг/шт</t>
  </si>
  <si>
    <t>Арматура Ø10 (А500С)</t>
  </si>
  <si>
    <t xml:space="preserve">Уголок 75х6, C355-5 </t>
  </si>
  <si>
    <t xml:space="preserve">Лист 4, C355-5 </t>
  </si>
  <si>
    <t>Монтаж закладных деталей ЗДИ 3 на отм. -0,100, в осях 11...14 весом 139,72кг/шт</t>
  </si>
  <si>
    <t>Изготовление закладных деталей ЗДИ 3на отм. -0,100, в осях 11...14, весом 139,72кг/шт</t>
  </si>
  <si>
    <t>Монтаж закладных деталей ЗДИ 4 весом 129,18кг/шт</t>
  </si>
  <si>
    <t>Монтаж закладных деталей ЗДИ 4на отм. -0,100, в осях 11...14, весом от 2,1-5,0кг</t>
  </si>
  <si>
    <t>Изготовление закладных деталей ЗДИ 4 на отм. -0,100, в осях 11...14,весом от 2,1-5,0кг</t>
  </si>
  <si>
    <t>Монтаж закладных деталей ЗДИ 5на отм. -0,100, в осях 11...14, весом 130,52кг/шт</t>
  </si>
  <si>
    <t>Изготовление закладных деталей ЗДИ 5на отм. -0,100, в осях 11...14, весом 130,52кг/шт</t>
  </si>
  <si>
    <t>Монтаж закладных деталей ЗДИ 6 весом 129,18кг/шт</t>
  </si>
  <si>
    <t>Монтаж закладных деталей ЗДИ 6 на отм. -0,100, в осях 11...14,весом 129,18кг/шт</t>
  </si>
  <si>
    <t>Изготовление закладных деталей ЗДИ 6 на отм. -0,100, в осях 11...14,весом 129,18кг/шт</t>
  </si>
  <si>
    <t>Монтаж и демонтаж опалубки заводского изготовления стены монолитные на отм. -0,100 и +4,100, в осях 11-17</t>
  </si>
  <si>
    <t xml:space="preserve">Бетонирование стены монолитные на отм. -0,100 и +4,100, в осях 11-17 из бетона B25 W8 F100 </t>
  </si>
  <si>
    <t>Монтаж закладных деталей ЗДИ 7 весом 145,22кг/шт</t>
  </si>
  <si>
    <t>Изготовление закладных деталей ЗДИ 7 весом 145,22кг/шт</t>
  </si>
  <si>
    <t>Армирование  колонн Км4 (7 шт) ГНУТЫМИ стержнями диаметром 14мм и более</t>
  </si>
  <si>
    <t>Армирование  колонн Км4 (7 шт) ГНУТЫМИ стержнями диаметром 14мм и более - ИЗГОТОВЛЕНИЕ</t>
  </si>
  <si>
    <t>Армирование  колонн Км4 (7 шт) ГНУТЫМИ стержнями диаметром 14мм и более - МОНТАЖ</t>
  </si>
  <si>
    <t>Армирование  колонн Км4 (7 шт) ГНУТЫМИ стержнями диаметром до 12мм</t>
  </si>
  <si>
    <t>Армирование  колонн Км4 (7 шт) Прямыми  стержнями диаметром 14мм и более</t>
  </si>
  <si>
    <t>Армирование  колонн Км4 (7 шт) Прямыми  стержнями диаметром 14мм и более - ИЗГОТОВЛЕНИЕ</t>
  </si>
  <si>
    <t>Армирование  колонн Км4 (7 шт) Прямыми  стержнями диаметром 14мм и более - МОНТАЖ</t>
  </si>
  <si>
    <t>Армирование  ригеля Рм1 (1 шт) ГНУТЫМИ стержнями диаметром до 12мм</t>
  </si>
  <si>
    <t>Армирование  ригеля Рм1 (1 шт) ПРЯМЫМИ стержнями диаметром до 12мм</t>
  </si>
  <si>
    <t>Армирование  ригеля Рм10 (1 шт) ГНУТЫМИ стержнями диаметром до 12мм</t>
  </si>
  <si>
    <t>Армирование  ригеля Рм10 (1 шт) ПРЯМЫМИ стержнямидиаметром до 12мм</t>
  </si>
  <si>
    <t>Армирование колонн Км1 (41 шт) ГНУТЫМИ стержнями диаметром 14мм и более</t>
  </si>
  <si>
    <t>Армирование колонн Км1 (41 шт) ГНУТЫМИ стержнями диаметром до 12мм</t>
  </si>
  <si>
    <t>Армирование колонны Км2 (8 шт) ГНУТЫМИ стержнями диаметром 14мм и более</t>
  </si>
  <si>
    <t>Армирование колонны Км2 (8 шт) ГНУТЫМИ стержнями диаметром до 12мм</t>
  </si>
  <si>
    <t>Армирование колонны Км3 (11 шт) ГНУТЫМИ стержнями диаметром 14мм и более</t>
  </si>
  <si>
    <t>Армирование колонны Км3 (11 шт) ГНУТЫМИ стержнями диаметром 14мм и более изготовление</t>
  </si>
  <si>
    <t>Армирование колонны Км3 (11 шт) ГНУТЫМИ стержнями диаметром 14мм и более монтаж</t>
  </si>
  <si>
    <t>Армирование колонны Км3 (11 шт) ГНУТЫМИ стержнями диаметром до 12мм</t>
  </si>
  <si>
    <t xml:space="preserve">Армирование колонны Км3 (11 шт) ГНУТЫМИ стержнями диаметром до 12мм - Монтаж </t>
  </si>
  <si>
    <t>Армирование колонны Км3 (11 шт) Прямыми стержнями диаметром 14мм и более</t>
  </si>
  <si>
    <t>Армирование колонны Км3 (11 шт) Прямыми стержнями диаметром 14мм и более изготовление</t>
  </si>
  <si>
    <t>Армирование колонны Км3 (11 шт) Прямыми стержнями диаметром 14мм и более монтаж</t>
  </si>
  <si>
    <t>Армирование колонны Км5 (8 шт) ГНУТЫМИ стержнями диаметром 14мм и более</t>
  </si>
  <si>
    <t xml:space="preserve">Армирование колонны Км5 (8 шт) ГНУТЫМИ стержнями диаметром 14мм и более-Изготовление </t>
  </si>
  <si>
    <t>Армирование колонны Км5 (8 шт) ГНУТЫМИ стержнями диаметром 14мм и более-Монтаж</t>
  </si>
  <si>
    <t>Армирование колонны Км5 (8 шт) ГНУТЫМИ стержнями диаметром до 12мм</t>
  </si>
  <si>
    <t>Армирование плиты перекрытия Пм1 ГНУТЫМИ стержнями диаметром 14мм и более</t>
  </si>
  <si>
    <t>Армирование плиты перекрытия Пм1 ГНУТЫМИ стержнями диаметром до 12мм</t>
  </si>
  <si>
    <t xml:space="preserve">Армирование плиты перекрытия Пм1 ГНУТЫМИ стержнями диаметром до 12мм - Изготовление </t>
  </si>
  <si>
    <t xml:space="preserve">Армирование плиты перекрытия Пм1 ГНУТЫМИ стержнями диаметром до 12мм - Монтаж </t>
  </si>
  <si>
    <t>Армирование плиты перекрытия Пм1 ПРЯМЫМИ стержнями диаметром 14мм и более</t>
  </si>
  <si>
    <t xml:space="preserve">Армирование плиты перекрытия Пм1 ПРЯМЫМИ стержнями диаметром 14мм и более - Изготовление </t>
  </si>
  <si>
    <t>Армирование плиты перекрытия Пм2 ГНУТЫМИ стержнями диаметром 14мм и более</t>
  </si>
  <si>
    <t>Армирование плиты перекрытия Пм2 ГНУТЫМИ стержнями диаметром до 12мм</t>
  </si>
  <si>
    <t>Армирование плиты перекрытия Пм2 ПРЯМЫМИ стержнями диаметром 14мм и более</t>
  </si>
  <si>
    <t>Армирование плиты перекрытия Пм3 ГНУТЫМИ стержнями диаметром 14мм и более</t>
  </si>
  <si>
    <t>Армирование плиты перекрытия Пм3 ГНУТЫМИ стержнями диаметром до 12мм</t>
  </si>
  <si>
    <t>Армирование плиты перекрытия Пм3 ПРЯМЫМИ стержнями диаметром 14мм и более</t>
  </si>
  <si>
    <t>Армирование плиты перекрытия Пм4 ГНУТЫМИ стержнями диаметром 14мм и более</t>
  </si>
  <si>
    <t>Армирование плиты перекрытия Пм4 ГНУТЫМИ стержнями диаметром до 12мм</t>
  </si>
  <si>
    <t>Армирование плиты перекрытия Пм4 ПРЯМЫМИ стержнями диаметром 14мм и более</t>
  </si>
  <si>
    <t>Армирование плиты перекрытия Пм5 ГНУТЫМИ стержнями диаметром 14мм и более</t>
  </si>
  <si>
    <t>Армирование плиты перекрытия Пм5 ГНУТЫМИ стержнями диаметром до 12мм</t>
  </si>
  <si>
    <t>Армирование плиты перекрытия Пм5 ПРЯМЫМИ стержнями диаметром 14мм и более</t>
  </si>
  <si>
    <t>Армирование плиты перекрытия Пм6 ГНУТЫМИ стержнями диаметром 14мм и более</t>
  </si>
  <si>
    <t>Армирование плиты перекрытия Пм6 ГНУТЫМИ стержнями диаметром до 12мм</t>
  </si>
  <si>
    <t>Армирование плиты перекрытия Пм6 ПРЯМЫМИ стержнями диаметром 14мм и более</t>
  </si>
  <si>
    <t>Армирование площадок и маршей лестницы Лм1 (2 шт) ГНУТЫМИ стержнями диаметром до 12мм</t>
  </si>
  <si>
    <t>Армирование площадок и маршей лестницы Лм1 (2 шт) ПРЯМЫМИ стержнями диаметром до 12мм</t>
  </si>
  <si>
    <t>Армирование площадок и маршей лестницы Лм2 ГНУТЫМИ стержнями диаметром до 12мм</t>
  </si>
  <si>
    <t>Армирование площадок и маршей лестницы Лм2 ПРЯМЫМИ стержнями диаметром до 12мм</t>
  </si>
  <si>
    <t>Армирование ригеля Рм1 (1 шт) ГНУТЫМИ стержнями диаметром 14мм и более</t>
  </si>
  <si>
    <t>Армирование ригеля Рм1 (1 шт) ПРЯМЫМИ стержнями диаметром 14мм и более</t>
  </si>
  <si>
    <t>Армирование ригеля Рм10 (1 шт) ГНУТЫМИ стержнями диаметром 14мм и более</t>
  </si>
  <si>
    <t>Армирование ригеля Рм10 (1 шт) ПРЯМЫМИ стержнями диаметром 14мм и более</t>
  </si>
  <si>
    <t>Армирование ригеля Рм11 ГНУТЫМИ стержнями диаметром 14мм и более</t>
  </si>
  <si>
    <t>Армирование ригеля Рм11 ГНУТЫМИ стержнями диаметром до 12мм</t>
  </si>
  <si>
    <t>Армирование ригеля Рм11 ПРЯМЫМИ стержнями диаметром 14мм и более</t>
  </si>
  <si>
    <t>Армирование ригеля Рм11 ПРЯМЫМИ стержнями диаметром до 12мм</t>
  </si>
  <si>
    <t>Армирование ригеля Рм12 ГНУТЫМИ стержнями диаметром 14мм и более</t>
  </si>
  <si>
    <t>Армирование ригеля Рм12 ГНУТЫМИ стержнями диаметром до 12мм</t>
  </si>
  <si>
    <t>Армирование ригеля Рм12 ПРЯМЫМИ стержнями диаметром 14мм и более</t>
  </si>
  <si>
    <t>Армирование ригеля Рм12 ПРЯМЫМИ стержнями диаметром до 12мм</t>
  </si>
  <si>
    <t>Армирование ригеля Рм13 ГНУТЫМИ стержнями диаметром 14мм и более</t>
  </si>
  <si>
    <t>Армирование ригеля Рм13 ГНУТЫМИ стержнями диаметром до 12мм</t>
  </si>
  <si>
    <t>Армирование ригеля Рм13 ПРЯМЫМИ стержнями диаметром 14мм и более</t>
  </si>
  <si>
    <t>Армирование ригеля Рм13 ПРЯМЫМИ стержнями диаметром до 12мм</t>
  </si>
  <si>
    <t>Армирование ригеля Рм14 ГНУТЫМИ стержнями диаметром 14мм и более</t>
  </si>
  <si>
    <t>Армирование ригеля Рм14 ГНУТЫМИ стержнями диаметром до 12мм</t>
  </si>
  <si>
    <t>Армирование ригеля Рм14 ПРЯМЫМИ стержнями диаметром 14мм и более</t>
  </si>
  <si>
    <t>Армирование ригеля Рм14 ПРЯМЫМИ стержнями диаметром до 12мм</t>
  </si>
  <si>
    <t>Армирование ригеля Рм15 ГНУТЫМИ стержнями диаметром 14мм и более</t>
  </si>
  <si>
    <t>Армирование ригеля Рм15 ГНУТЫМИ стержнями диаметром до 12мм</t>
  </si>
  <si>
    <t>Армирование ригеля Рм15 ПРЯМЫМИ стержнями диаметром 14мм и более</t>
  </si>
  <si>
    <t>Армирование ригеля Рм15 ПРЯМЫМИ стержнями диаметром до 12мм</t>
  </si>
  <si>
    <t>Армирование ригеля Рм16 ГНУТЫМИ стержнями диаметром 14мм и более</t>
  </si>
  <si>
    <t>Армирование ригеля Рм16 ГНУТЫМИ стержнями диаметром до 12мм</t>
  </si>
  <si>
    <t>Армирование ригеля Рм16 ПРЯМЫМИ стержнями диаметром 14мм и более</t>
  </si>
  <si>
    <t>Армирование ригеля Рм16 ПРЯМЫМИ стержнями диаметром до 12мм</t>
  </si>
  <si>
    <t>Армирование ригеля Рм17 ГНУТЫМИ стержнями диаметром 14мм и более</t>
  </si>
  <si>
    <t>Армирование ригеля Рм17 ГНУТЫМИ стержнями диаметром до 12мм</t>
  </si>
  <si>
    <t>Армирование ригеля Рм17 ПРЯМЫМИ стержнями диаметром 14мм и более</t>
  </si>
  <si>
    <t>Армирование ригеля Рм17 ПРЯМЫМИ стержнями диаметром до 12мм</t>
  </si>
  <si>
    <t>Армирование ригеля Рм18 ГНУТЫМИ стержнями диаметром 14мм и более</t>
  </si>
  <si>
    <t>Армирование ригеля Рм18 ГНУТЫМИ стержнями диаметром до 12мм</t>
  </si>
  <si>
    <t>Армирование ригеля Рм18 ПРЯМЫМИ стержнями диаметром 14мм и более</t>
  </si>
  <si>
    <t>Армирование ригеля Рм18 ПРЯМЫМИ стержнями диаметром до 12мм</t>
  </si>
  <si>
    <t>Армирование ригеля Рм19 ГНУТЫМИ стержнями диаметром 14мм и более</t>
  </si>
  <si>
    <t>Армирование ригеля Рм19 ГНУТЫМИ стержнями диаметром до 12мм</t>
  </si>
  <si>
    <t>Армирование ригеля Рм19 ПРЯМЫМИ стержнями диаметром 14мм и более</t>
  </si>
  <si>
    <t>Армирование ригеля Рм19 ПРЯМЫМИ стержнями диаметром до 12мм</t>
  </si>
  <si>
    <t>Армирование ригеля Рм2 ГНУТЫМИ стержнями диаметром 14мм и более</t>
  </si>
  <si>
    <t>Армирование ригеля Рм2 ГНУТЫМИ стержнями диаметром до 12мм</t>
  </si>
  <si>
    <t>Армирование ригеля Рм2 ПРЯМЫМИ стержнями диаметром 14мм и более</t>
  </si>
  <si>
    <t>Армирование ригеля Рм2 ПРЯМЫМИ стержнями диаметром до 12мм</t>
  </si>
  <si>
    <t>Армирование ригеля Рм20 ГНУТЫМИ стержнями диаметром 14мм и более</t>
  </si>
  <si>
    <t>Армирование ригеля Рм20 ГНУТЫМИ стержнями диаметром до 12мм</t>
  </si>
  <si>
    <t>Армирование ригеля Рм20 ПРЯМЫМИ стержнями диаметром 14мм и более</t>
  </si>
  <si>
    <t>Армирование ригеля Рм20 ПРЯМЫМИ стержнями диаметром до 12мм</t>
  </si>
  <si>
    <t>Армирование ригеля Рм21 ГНУТЫМИ стержнями диаметром 14мм и более</t>
  </si>
  <si>
    <t>Армирование ригеля Рм21 ГНУТЫМИ стержнями диаметром до 12мм</t>
  </si>
  <si>
    <t>Армирование ригеля Рм21 ПРЯМЫМИ стержнями диаметром 14мм и более</t>
  </si>
  <si>
    <t>Армирование ригеля Рм21 ПРЯМЫМИ стержнями диаметром до 12мм</t>
  </si>
  <si>
    <t>Армирование ригеля Рм22 ГНУТЫМИ стержнями диаметром 14мм и более</t>
  </si>
  <si>
    <t>Армирование ригеля Рм22 ГНУТЫМИ стержнями диаметром до 12мм</t>
  </si>
  <si>
    <t>Армирование ригеля Рм22 ПРЯМЫМИ стержнями диаметром 14мм и более</t>
  </si>
  <si>
    <t>Армирование ригеля Рм22 ПРЯМЫМИ стержнями диаметром до 12мм</t>
  </si>
  <si>
    <t>Армирование ригеля Рм23 ГНУТЫМИ стержнями диаметром 14мм и более</t>
  </si>
  <si>
    <t>Армирование ригеля Рм23 ГНУТЫМИ стержнями диаметром до 12мм</t>
  </si>
  <si>
    <t>Армирование ригеля Рм23 ПРЯМЫМИ стержнями диаметром 14мм и более</t>
  </si>
  <si>
    <t>Армирование ригеля Рм23 ПРЯМЫМИ стержнями диаметром до 12мм</t>
  </si>
  <si>
    <t>Армирование ригеля Рм24 ГНУТЫМИ стержнями диаметром 14мм и более</t>
  </si>
  <si>
    <t>Армирование ригеля Рм24 ГНУТЫМИ стержнями диаметром до 12мм</t>
  </si>
  <si>
    <t>Армирование ригеля Рм24 ПРЯМЫМИ стержнями диаметром 14мм и более</t>
  </si>
  <si>
    <t>Армирование ригеля Рм24 ПРЯМЫМИ стержнями диаметром до 12мм</t>
  </si>
  <si>
    <t>Армирование ригеля Рм25 ГНУТЫМИ стержнями диаметром 14мм и более</t>
  </si>
  <si>
    <t>Армирование ригеля Рм25 ГНУТЫМИ стержнями диаметром до 12мм</t>
  </si>
  <si>
    <t>Армирование ригеля Рм25 ПРЯМЫМИ стержнями диаметром 14мм и более</t>
  </si>
  <si>
    <t>Армирование ригеля Рм25 ПРЯМЫМИ стержнями диаметром до 12мм</t>
  </si>
  <si>
    <t>Армирование ригеля Рм26 ГНУТЫМИ стержнями диаметром 14мм и более</t>
  </si>
  <si>
    <t>Армирование ригеля Рм26 ГНУТЫМИ стержнями диаметром до 12мм</t>
  </si>
  <si>
    <t>Армирование ригеля Рм26 ПРЯМЫМИ стержнями диаметром 14мм и более</t>
  </si>
  <si>
    <t>Армирование ригеля Рм26 ПРЯМЫМИ стержнями диаметром до 12мм</t>
  </si>
  <si>
    <t>Армирование ригеля Рм27 ГНУТЫМИ стержнями диаметром 14мм и более</t>
  </si>
  <si>
    <t>Армирование ригеля Рм27 ГНУТЫМИ стержнями диаметром до 12мм</t>
  </si>
  <si>
    <t>Армирование ригеля Рм27 ПРЯМЫМИ стержнями диаметром 14мм и более</t>
  </si>
  <si>
    <t>Армирование ригеля Рм27 ПРЯМЫМИ стержнями диаметром до 12мм</t>
  </si>
  <si>
    <t>Армирование ригеля Рм28 ГНУТЫМИ стержнями диаметром 14мм и более</t>
  </si>
  <si>
    <t>Армирование ригеля Рм28 ГНУТЫМИ стержнями диаметром до 12мм</t>
  </si>
  <si>
    <t>Армирование ригеля Рм28 ПРЯМЫМИ стержнями диаметром 14мм и более</t>
  </si>
  <si>
    <t>Армирование ригеля Рм28 ПРЯМЫМИ стержнями диаметром до 12мм</t>
  </si>
  <si>
    <t>Армирование ригеля Рм29 ГНУТЫМИ стержнями диаметром 14мм и более</t>
  </si>
  <si>
    <t>Армирование ригеля Рм29 ГНУТЫМИ стержнями диаметром до 12мм</t>
  </si>
  <si>
    <t>Армирование ригеля Рм29 ПРЯМЫМИ стержнями диаметром 14мм и более</t>
  </si>
  <si>
    <t>Армирование ригеля Рм29 ПРЯМЫМИ стержнями диаметром до 12мм</t>
  </si>
  <si>
    <t>Армирование ригеля Рм3 ГНУТЫМИ стержнями диаметром 14мм и более</t>
  </si>
  <si>
    <t>Армирование ригеля Рм3 ГНУТЫМИ стержнями диаметром до 12мм</t>
  </si>
  <si>
    <t>Армирование ригеля Рм3 ПРЯМЫМИ стержнями диаметром 14мм и более</t>
  </si>
  <si>
    <t>Армирование ригеля Рм3 ПРЯМЫМИ стержнями диаметром до 12мм</t>
  </si>
  <si>
    <t>Армирование ригеля Рм30 ГНУТЫМИ стержнями диаметром 14мм и более</t>
  </si>
  <si>
    <t>Армирование ригеля Рм30 ГНУТЫМИ стержнями диаметром до 12мм</t>
  </si>
  <si>
    <t>Армирование ригеля Рм30 ПРЯМЫМИ стержнями диаметром 14мм и более</t>
  </si>
  <si>
    <t>Армирование ригеля Рм30 ПРЯМЫМИ стержнями диаметром до 12мм</t>
  </si>
  <si>
    <t>Армирование ригеля Рм31 ГНУТЫМИ стержнями диаметром 14мм и более</t>
  </si>
  <si>
    <t>Армирование ригеля Рм31 ГНУТЫМИ стержнями диаметром до 12мм</t>
  </si>
  <si>
    <t>Армирование ригеля Рм31 ПРЯМЫМИ стержнями диаметром 14мм и более</t>
  </si>
  <si>
    <t>Армирование ригеля Рм31 ПРЯМЫМИ стержнями диаметром до 12мм</t>
  </si>
  <si>
    <t>Армирование ригеля Рм32 ГНУТЫМИ стержнями диаметром 14мм и более</t>
  </si>
  <si>
    <t>Армирование ригеля Рм32 ГНУТЫМИ стержнями диаметром до 12мм</t>
  </si>
  <si>
    <t>Армирование ригеля Рм32 ПРЯМЫМИ стержнями диаметром 14мм и более</t>
  </si>
  <si>
    <t>Армирование ригеля Рм32 ПРЯМЫМИ стержнями диаметром до 12мм</t>
  </si>
  <si>
    <t>Армирование ригеля Рм33 ГНУТЫМИ стержнями диаметром 14мм и более</t>
  </si>
  <si>
    <t>Армирование ригеля Рм33 ГНУТЫМИ стержнями диаметром до 12мм</t>
  </si>
  <si>
    <t>Армирование ригеля Рм33 ПРЯМЫМИ стержнями диаметром 14мм и более</t>
  </si>
  <si>
    <t>Армирование ригеля Рм33 ПРЯМЫМИ стержнями диаметром до 12мм</t>
  </si>
  <si>
    <t>Армирование ригеля Рм34 ГНУТЫМИ стержнями диаметром 14мм и более</t>
  </si>
  <si>
    <t>Армирование ригеля Рм34 ГНУТЫМИ стержнями диаметром до 12мм</t>
  </si>
  <si>
    <t>Армирование ригеля Рм34 ПРЯМЫМИ стержнями диаметром 14мм и более</t>
  </si>
  <si>
    <t>Армирование ригеля Рм34 ПРЯМЫМИ стержнями диаметром до 12мм</t>
  </si>
  <si>
    <t>Армирование ригеля Рм4 ГНУТЫМИ стержнями диаметром 14мм и более</t>
  </si>
  <si>
    <t>Армирование ригеля Рм4 ГНУТЫМИ стержнями диаметром до 12мм</t>
  </si>
  <si>
    <t>Армирование ригеля Рм4 ПРЯМЫМИ стержнями диаметром 14мм и более</t>
  </si>
  <si>
    <t>Армирование ригеля Рм4 ПРЯМЫМИ стержнями диаметром до 12мм</t>
  </si>
  <si>
    <t>Армирование ригеля Рм5 ГНУТЫМИ стержнями диаметром 14мм и более</t>
  </si>
  <si>
    <t>Армирование ригеля Рм5 ГНУТЫМИ стержнями диаметром до 12мм</t>
  </si>
  <si>
    <t>Армирование ригеля Рм5 ПРЯМЫМИ стержнями диаметром 14мм и более</t>
  </si>
  <si>
    <t>Армирование ригеля Рм5 ПРЯМЫМИ стержнями диаметром до 12мм</t>
  </si>
  <si>
    <t>Армирование ригеля Рм6 ГНУТЫМИ стержнями диаметром 14мм и более</t>
  </si>
  <si>
    <t>Армирование ригеля Рм6 ГНУТЫМИ стержнями диаметром до 12мм</t>
  </si>
  <si>
    <t>Армирование ригеля Рм6 ПРЯМЫМИ стержнями диаметром 14мм и более</t>
  </si>
  <si>
    <t>Армирование ригеля Рм6 ПРЯМЫМИ стержнями диаметром до 12мм</t>
  </si>
  <si>
    <t>Армирование ригеля Рм7 ГНУТЫМИ стержнями диаметром 14мм и более</t>
  </si>
  <si>
    <t>Армирование ригеля Рм7 ГНУТЫМИ стержнями диаметром до 12мм</t>
  </si>
  <si>
    <t>Армирование ригеля Рм7 ПРЯМЫМИ стержнями диаметром 14мм и более</t>
  </si>
  <si>
    <t>Армирование ригеля Рм7 ПРЯМЫМИ стержнями диаметром до 12мм</t>
  </si>
  <si>
    <t>Армирование ригеля Рм8 ГНУТЫМИ стержнями диаметром 14мм и более</t>
  </si>
  <si>
    <t>Армирование ригеля Рм8 ГНУТЫМИ стержнями диаметром до 12мм</t>
  </si>
  <si>
    <t>Армирование ригеля Рм8 ПРЯМЫМИ стержнями диаметром 14мм и более</t>
  </si>
  <si>
    <t>Армирование ригеля Рм8 ПРЯМЫМИ стержнями диаметром до 12мм</t>
  </si>
  <si>
    <t>Армирование ригеля Рм9 ГНУТЫМИ стержнями диаметром 14мм и более</t>
  </si>
  <si>
    <t>Армирование ригеля Рм9 ГНУТЫМИ стержнями диаметром до 12мм</t>
  </si>
  <si>
    <t>Армирование ригеля Рм9 ПРЯМЫМИ стержнями диаметром 14мм и более</t>
  </si>
  <si>
    <t>Армирование ригеля Рм9 ПРЯМЫМИ стержнями диаметром до 12мм</t>
  </si>
  <si>
    <t>Армирование стен в осях 13/1-19 ГНУТЫМИ стержнями диаметром диаметром до 12мм</t>
  </si>
  <si>
    <t>Армирование стен в осях 13/1-19 ПРЯМЫМИ стержнями диаметром 14мм и более</t>
  </si>
  <si>
    <t>Армирование стен в осях 13/1-19 ПРЯМЫМИ стержнями диаметром диаметром до 12мм</t>
  </si>
  <si>
    <t>Армирование стен в осях 1-7 ГНУТЫМИ стержнями диаметром 14мм и более</t>
  </si>
  <si>
    <t>Армирование стен в осях 1-7 ГНУТЫМИ стержнями диаметром диаметром до 12мм</t>
  </si>
  <si>
    <t>Армирование стен в осях 1-7 ПРЯМЫМИ стержнями диаметром 14мм и более</t>
  </si>
  <si>
    <t>Армирование стен в осях 1-7 ПРЯМЫМИ стержнями диаметром диаметром до 12мм</t>
  </si>
  <si>
    <t>Армирование стен в осях 7/1-13 ГНУТЫМИ стержнями диаметром 14мм и более</t>
  </si>
  <si>
    <t xml:space="preserve">Армирование стен в осях 7/1-13 ГНУТЫМИ стержнями диаметром 14мм и более-Изготовление </t>
  </si>
  <si>
    <t>Армирование стен в осях 7/1-13 ГНУТЫМИ стержнями диаметром диаметром до 12мм</t>
  </si>
  <si>
    <t>Армирование стен в осях 7/1-13 ПРЯМЫМИ стержнями диаметром 14мм и более</t>
  </si>
  <si>
    <t xml:space="preserve">Армирование стен в осях 7/1-13 ПРЯМЫМИ стержнями диаметром 14мм и более Изготовление </t>
  </si>
  <si>
    <t xml:space="preserve">Армирование стен в осях 7/1-13 ПРЯМЫМИ стержнями диаметром 14мм и более Монтаж </t>
  </si>
  <si>
    <t>Армирование стен в осях 7/1-13 ПРЯМЫМИ стержнями диаметром диаметром до 12мм</t>
  </si>
  <si>
    <t>Армирование стоек парапета Ст1 на плите перекрытия Пм4 ГНУТЫМИ стержнями диаметром до 12мм</t>
  </si>
  <si>
    <t>Армирование стоек парапета Ст1 на плите перекрытия Пм5 ГНУТЫМИ стержнями диаметром до 12мм</t>
  </si>
  <si>
    <t>Армирование стоек парапета Ст1 на плите перекрытия Пм6 ГНУТЫМИ стержнями диаметром до 12мм</t>
  </si>
  <si>
    <t>Армирование фундамента РСм1 (1 шт)  ГНУТЫМИ стержнями диаметром  до 12 мм</t>
  </si>
  <si>
    <t>Армирование фундамента РСм1 (1 шт)  ПРЯМЫМИ стержнями диаметром   14 мм и более</t>
  </si>
  <si>
    <t>Армирование фундамента РСм1 (1 шт)  ПРЯМЫМИ стержнями диаметром  до 12 мм</t>
  </si>
  <si>
    <t>Армирование фундамента РСм1 (1 шт)  ПРЯМЫМИ стержнями диаметром 14 мм и более</t>
  </si>
  <si>
    <t>Армирование фундамента РСм1 (1 шт) ГНУТЫМИ сварными стержнями диаметром 14 мм и более</t>
  </si>
  <si>
    <t>Армирование фундамента РСм1 (1 шт) ГНУТЫМИ стержнями диаметром 14 мм и более</t>
  </si>
  <si>
    <t>Армирование фундамента РСм2 (1 шт)  ГНУТЫМИ стержнями диаметром  до 12 мм</t>
  </si>
  <si>
    <t>Армирование фундамента РСм2 (1 шт)  ПРЯМЫМИ стержнями диаметром  до 12 мм</t>
  </si>
  <si>
    <t>Армирование фундамента РСм2 (1 шт)  ПРЯМЫМИ стержнями диаметром 14 мм и более</t>
  </si>
  <si>
    <t>Армирование фундамента РСм2 (1 шт) ГНУТЫМИ стержнями диаметром 14 мм и более</t>
  </si>
  <si>
    <t>Армирование фундамента РСм3 (1 шт)  ГНУТЫМИ стержнями диаметром  до 12 мм</t>
  </si>
  <si>
    <t>Армирование фундамента РСм3 (1 шт)  ПРЯМЫМИ стержнями диаметром  до 12 мм</t>
  </si>
  <si>
    <t>Армирование фундамента РСм3 (1 шт)  ПРЯМЫМИ стержнями диаметром 14 мм и более</t>
  </si>
  <si>
    <t>Армирование фундамента РСм3 (1 шт) ГНУТЫМИ стержнями диаметром 14 мм и более</t>
  </si>
  <si>
    <t>Бетонирование колонн Км1</t>
  </si>
  <si>
    <t>Бетонирование колонн Км2</t>
  </si>
  <si>
    <t>Бетонирование колонн Км3</t>
  </si>
  <si>
    <t>Бетонирование колонн Км4</t>
  </si>
  <si>
    <t>Бетонирование колонн Км5</t>
  </si>
  <si>
    <t>Бетонирование плиты перекрытия Пм1</t>
  </si>
  <si>
    <t>Бетонирование плиты перекрытия Пм2</t>
  </si>
  <si>
    <t>Бетонирование плиты перекрытия Пм3</t>
  </si>
  <si>
    <t>Бетонирование плиты перекрытия Пм4</t>
  </si>
  <si>
    <t>Бетонирование плиты перекрытия Пм5</t>
  </si>
  <si>
    <t>Бетонирование плиты перекрытия Пм6</t>
  </si>
  <si>
    <t>Бетонирование плиты Пм1 (1 шт) толщиной 150мм</t>
  </si>
  <si>
    <t>Бетонирование плиты Пм2 (1 шт) толщиной 200-400мм</t>
  </si>
  <si>
    <t>Бетонирование плиты Пм3 (4 шт) толщиной 150мм</t>
  </si>
  <si>
    <t>Бетонирование плиты Пм4 (1 шт) толщиной 150мм</t>
  </si>
  <si>
    <t>Бетонирование площадок и маршей лестницы Лм1 (2 шт)</t>
  </si>
  <si>
    <t>Бетонирование площадок и маршей лестницы Лм2</t>
  </si>
  <si>
    <t>Бетонирование ригеля h=600мм РЗ (1 шт)</t>
  </si>
  <si>
    <t>Бетонирование ригеля h=600мм Рм1 (1 шт)</t>
  </si>
  <si>
    <t>Бетонирование ригеля h=600мм Рм2 (1 шт)</t>
  </si>
  <si>
    <t>Бетонирование ригеля h=600мм Рм20 (1 шт)</t>
  </si>
  <si>
    <t>Бетонирование ригеля h=600мм Рм21 (1 шт)</t>
  </si>
  <si>
    <t>Бетонирование ригеля h=600мм Рм22 (1 шт)</t>
  </si>
  <si>
    <t>Бетонирование ригеля h=600мм Рм23 (1 шт)</t>
  </si>
  <si>
    <t>Бетонирование ригеля h=600мм Рм24 (3 шт)</t>
  </si>
  <si>
    <t>Бетонирование ригеля h=600мм Рм25 (2 шт)</t>
  </si>
  <si>
    <t>Бетонирование ригеля h=600мм Рм26 (1 шт)</t>
  </si>
  <si>
    <t>Бетонирование ригеля h=600мм Рм4 (1 шт)</t>
  </si>
  <si>
    <t>Бетонирование ригеля h=600мм Рм5 (1 шт)</t>
  </si>
  <si>
    <t>Бетонирование ригеля h=600мм Рм6 (1 шт)</t>
  </si>
  <si>
    <t>Бетонирование ригеля h=600мм Рм7 (2 шт)</t>
  </si>
  <si>
    <t>Бетонирование ригеля h=600мм Рм8 (2 шт)</t>
  </si>
  <si>
    <t>Бетонирование ригеля h=600мм Рм9 (1 шт)</t>
  </si>
  <si>
    <t>Бетонирование ригеля h=700мм РЗЗ (3 шт)</t>
  </si>
  <si>
    <t>Бетонирование ригеля h=700мм Рм10  (1 шт)</t>
  </si>
  <si>
    <t>Бетонирование ригеля h=700мм Рм11 (1 шт)</t>
  </si>
  <si>
    <t>Бетонирование ригеля h=700мм Рм12 (2 шт)</t>
  </si>
  <si>
    <t>Бетонирование ригеля h=700мм Рм13 (2 шт)</t>
  </si>
  <si>
    <t>Бетонирование ригеля h=700мм Рм14 (1 шт)</t>
  </si>
  <si>
    <t>Бетонирование ригеля h=700мм Рм15 (2 шт)</t>
  </si>
  <si>
    <t>Бетонирование ригеля h=700мм Рм16 (1 шт)</t>
  </si>
  <si>
    <t>Бетонирование ригеля h=700мм Рм17 (1 шт)</t>
  </si>
  <si>
    <t>Бетонирование ригеля h=700мм Рм18 (2 шт)</t>
  </si>
  <si>
    <t>Бетонирование ригеля h=700мм Рм19 (1 шт)</t>
  </si>
  <si>
    <t>Бетонирование ригеля h=700мм Рм27 (1 шт)</t>
  </si>
  <si>
    <t>Бетонирование ригеля h=700мм Рм28 (2 шт)</t>
  </si>
  <si>
    <t>Бетонирование ригеля h=700мм Рм29 (2 шт)</t>
  </si>
  <si>
    <t>Бетонирование ригеля h=700мм Рм30 (2 шт)</t>
  </si>
  <si>
    <t>Бетонирование ригеля h=700мм Рм31 (1 шт)</t>
  </si>
  <si>
    <t>Бетонирование ригеля h=700мм Рм32 (3 шт)</t>
  </si>
  <si>
    <t>Бетонирование ригеля h=700мм Рм34 (1 шт)</t>
  </si>
  <si>
    <t>Бетонирование стены См1</t>
  </si>
  <si>
    <t>Бетонирование стены См10</t>
  </si>
  <si>
    <t>Бетонирование стены См11</t>
  </si>
  <si>
    <t>Бетонирование стены См12</t>
  </si>
  <si>
    <t>Бетонирование стены См13</t>
  </si>
  <si>
    <t>Бетонирование стены См14</t>
  </si>
  <si>
    <t>Бетонирование стены См15</t>
  </si>
  <si>
    <t>Бетонирование стены См16</t>
  </si>
  <si>
    <t>Бетонирование стены См17</t>
  </si>
  <si>
    <t>Бетонирование стены См18</t>
  </si>
  <si>
    <t>Бетонирование стены См19</t>
  </si>
  <si>
    <t>Бетонирование стены См2</t>
  </si>
  <si>
    <t>Бетонирование стены См20</t>
  </si>
  <si>
    <t>Бетонирование стены См21</t>
  </si>
  <si>
    <t>Бетонирование стены См22</t>
  </si>
  <si>
    <t>Бетонирование стены См23</t>
  </si>
  <si>
    <t>Бетонирование стены См24</t>
  </si>
  <si>
    <t>Бетонирование стены См25</t>
  </si>
  <si>
    <t>Бетонирование стены См26</t>
  </si>
  <si>
    <t>Бетонирование стены См27</t>
  </si>
  <si>
    <t>Бетонирование стены См28</t>
  </si>
  <si>
    <t>Бетонирование стены См29</t>
  </si>
  <si>
    <t>Бетонирование стены См3</t>
  </si>
  <si>
    <t>Бетонирование стены См30</t>
  </si>
  <si>
    <t>Бетонирование стены См31</t>
  </si>
  <si>
    <t>Бетонирование стены См32</t>
  </si>
  <si>
    <t>Бетонирование стены См33</t>
  </si>
  <si>
    <t>Бетонирование стены См34</t>
  </si>
  <si>
    <t>Бетонирование стены См35</t>
  </si>
  <si>
    <t>Бетонирование стены См36</t>
  </si>
  <si>
    <t>Бетонирование стены См37</t>
  </si>
  <si>
    <t>Бетонирование стены См38</t>
  </si>
  <si>
    <t>Бетонирование стены См39</t>
  </si>
  <si>
    <t>Бетонирование стены См4</t>
  </si>
  <si>
    <t>Бетонирование стены См40</t>
  </si>
  <si>
    <t>Бетонирование стены См41</t>
  </si>
  <si>
    <t>Бетонирование стены См42</t>
  </si>
  <si>
    <t>Бетонирование стены См43</t>
  </si>
  <si>
    <t>Бетонирование стены См5</t>
  </si>
  <si>
    <t>Бетонирование стены См6</t>
  </si>
  <si>
    <t>Бетонирование стены См7</t>
  </si>
  <si>
    <t>Бетонирование стены См8</t>
  </si>
  <si>
    <t>Бетонирование стены См9</t>
  </si>
  <si>
    <t>Бетонирование стоек парапета Ст1 на плите перекрытия Пм4</t>
  </si>
  <si>
    <t>Бетонирование стоек парапета Ст1 на плите перекрытия Пм5</t>
  </si>
  <si>
    <t>Бетонирование стоек парапета Ст1 на плите перекрытия Пм6</t>
  </si>
  <si>
    <t xml:space="preserve">Бетонирование фундамента РСм1 (1 шт) </t>
  </si>
  <si>
    <t xml:space="preserve">Бетонирование фундамента РСм2 (1 шт) </t>
  </si>
  <si>
    <t xml:space="preserve">Бетонирование фундамента РСм3 (1 шт) </t>
  </si>
  <si>
    <t>Заделка цементно-песчаным раствором закладных деталей гильз плит перекрытия после бетонирования в просверленных отверстиях</t>
  </si>
  <si>
    <t>Заделка цементно-песчаным раствором закладных деталей гильз стен после бетонирования в просверленных отверстиях</t>
  </si>
  <si>
    <t>Изготовление закладных деталей РСм1 - гильзы Г1 весом от 8,1-12,0кг</t>
  </si>
  <si>
    <t>Изготовление закладных деталей РСм1 - гильзы Г2 весом весом от 5,1-8,0кг</t>
  </si>
  <si>
    <t>Изготовление закладных деталей РСм2 - гильзы Г1 весом от 8,1-12,0кг</t>
  </si>
  <si>
    <t>Изготовление закладных деталей РСм2 - гильзы Г2.1 весом весом от 5,1-8,0кг</t>
  </si>
  <si>
    <t>Изготовление закладных деталей РСм3 - гильзы Г1 весом от 8,1-12,0кг</t>
  </si>
  <si>
    <t>Изготовление закладных деталей РСм3 - гильзы Г2.2 весом весом от 5,1-8,0кг</t>
  </si>
  <si>
    <t>Изготовление и монтаж каркасов КР3  площадок и маршей лестницы Лм1 (2 шт)</t>
  </si>
  <si>
    <t>Изготовление и монтаж каркасов КР3 площадок и маршей лестницы Лм2</t>
  </si>
  <si>
    <t>Изготовление и монтаж каркасов КР4 площадок и маршей лестницы Лм1 (2 шт)</t>
  </si>
  <si>
    <t>Изготовление и монтаж каркасов КР4 площадок и маршей лестницы Лм2</t>
  </si>
  <si>
    <t>Изготовление и монтаж плоских каркасов КР1 плиты перекрытия Пм1</t>
  </si>
  <si>
    <t>Изготовление и монтаж плоских каркасов КР1 плиты перекрытия Пм2</t>
  </si>
  <si>
    <t>Изготовление и монтаж плоских каркасов КР1 плиты перекрытия Пм3</t>
  </si>
  <si>
    <t>Изготовление и монтаж плоских каркасов КР2 плиты перекрытия Пм4</t>
  </si>
  <si>
    <t>Изготовление и монтаж плоских каркасов КР2 плиты перекрытия Пм6</t>
  </si>
  <si>
    <t xml:space="preserve">Изготовление из пиломатериала oпалубка собственного изготовления для плиты Пм1 (1 шт) </t>
  </si>
  <si>
    <t xml:space="preserve">Изготовление из пиломатериала oпалубка собственного изготовления для плиты Пм3 (4 шт) </t>
  </si>
  <si>
    <t xml:space="preserve">Изготовление из пиломатериала oпалубка собственного изготовления для плиты Пм4 (1 шт) </t>
  </si>
  <si>
    <t>Изготовление опалубки для проемов  стены См12</t>
  </si>
  <si>
    <t>Изготовление опалубки для проемов  стены См28</t>
  </si>
  <si>
    <t>Изготовление опалубки для проемов  стены См35</t>
  </si>
  <si>
    <t>Изготовление опалубки для проемов  стены См37</t>
  </si>
  <si>
    <t>Изготовление опалубки для проемов  стены См38</t>
  </si>
  <si>
    <t>Изготовление опалубки для проемов  стены См7</t>
  </si>
  <si>
    <t>Изготовление опалубки для проемов  стены См8</t>
  </si>
  <si>
    <t>Изготовление опалубки для проемов и стены См4</t>
  </si>
  <si>
    <t>Изготовление опалубки для проемов стены См1</t>
  </si>
  <si>
    <t>Изготовление опалубки для проемов стены См10</t>
  </si>
  <si>
    <t>Изготовление опалубки для проемов стены См11</t>
  </si>
  <si>
    <t>Изготовление опалубки для проемов стены См13</t>
  </si>
  <si>
    <t>Изготовление опалубки для проемов стены См16</t>
  </si>
  <si>
    <t>Изготовление опалубки для проемов стены См2</t>
  </si>
  <si>
    <t>Изготовление опалубки для проемов стены См21</t>
  </si>
  <si>
    <t>Изготовление опалубки для проемов стены См22</t>
  </si>
  <si>
    <t>Изготовление опалубки для проемов стены См23</t>
  </si>
  <si>
    <t>Изготовление опалубки для проемов стены См24</t>
  </si>
  <si>
    <t>Изготовление опалубки для проемов стены См25</t>
  </si>
  <si>
    <t>Изготовление опалубки для проемов стены См26</t>
  </si>
  <si>
    <t>Изготовление опалубки для проемов стены См27</t>
  </si>
  <si>
    <t>Изготовление опалубки для проемов стены См3</t>
  </si>
  <si>
    <t>Изготовление опалубки для проемов стены См31</t>
  </si>
  <si>
    <t>Изготовление опалубки для проемов стены См33</t>
  </si>
  <si>
    <t>Изготовление опалубки для проемов стены См34</t>
  </si>
  <si>
    <t>Изготовление опалубки для проемов стены См39</t>
  </si>
  <si>
    <t>Изготовление опалубки для проемов стены См42</t>
  </si>
  <si>
    <t>Изготовление опалубки для проемов стены См5</t>
  </si>
  <si>
    <t>Изготовление опалубки для проемов стены См9</t>
  </si>
  <si>
    <t>Изготовление опалубки для проемовстены См18</t>
  </si>
  <si>
    <t>Изготовление опалубки для проемовстены См6</t>
  </si>
  <si>
    <t>Изготовление опалубки плиты перекрытия Пм1</t>
  </si>
  <si>
    <t>Изготовление опалубки плиты перекрытия Пм2</t>
  </si>
  <si>
    <t>Изготовление опалубки плиты перекрытия Пм3</t>
  </si>
  <si>
    <t>Изготовление опалубки площадок и маршей лестницы Лм1 (2 шт)</t>
  </si>
  <si>
    <t>Изготовление опалубки площадок и маршей лестницы Лм2</t>
  </si>
  <si>
    <t>Монтаж анкерной группы АГ1 фундамента РСм2</t>
  </si>
  <si>
    <t>Монтаж анкерной группы АГ2 фундамента РСм2</t>
  </si>
  <si>
    <t>Монтаж заводских арматурных сеток плиты Пм1 (1 шт) из арматуры диаметром от Ø4 до Ø6мм. Соединение нахлестов сеток проволокой</t>
  </si>
  <si>
    <t>Монтаж заводских арматурных сеток плиты Пм3 (4 шт) из арматуры диаметром от Ø4 до Ø6мм. Соединение нахлестов сеток проволокой</t>
  </si>
  <si>
    <t>Монтаж заводских арматурных сеток плиты Пм4 (1 шт) из арматуры диаметром от Ø4 до Ø6мм. Соединение нахлестов сеток проволокой</t>
  </si>
  <si>
    <t>Монтаж закладных деталей гильз плит перекрытия после бетонирования в просверленные отверстия, весом от 2,1-5,0кг</t>
  </si>
  <si>
    <t>Монтаж закладных деталей гильз стен после бетонирования в просверленные отверстия, весом от 0,5-2,0кг</t>
  </si>
  <si>
    <t>Монтаж закладных деталей плит перекрытия весом от 12,1-20,0кг - гильза Г3</t>
  </si>
  <si>
    <t>Монтаж закладных деталей плит перекрытия весом от 5,1-8,0кг - гильза Г9</t>
  </si>
  <si>
    <t>Монтаж закладных деталей РСм1 - гильзы  гильзы Г2 весом от 5,1-8,0кг</t>
  </si>
  <si>
    <t>Монтаж закладных деталей РСм1 - гильзы Г1 весом от 8,1-12,0кг</t>
  </si>
  <si>
    <t>Монтаж закладных деталей РСм2 - гильзы  гильзы Г2.1 весом от 5,1-8,0кг</t>
  </si>
  <si>
    <t>Монтаж закладных деталей РСм2 - гильзы Г1 весом от 8,1-12,0кг</t>
  </si>
  <si>
    <t>Монтаж закладных деталей РСм3 - гильзы  гильзы Г2.2 весом от 5,1-8,0кг</t>
  </si>
  <si>
    <t>Монтаж закладных деталей РСм3 - гильзы Г1 весом от 8,1-12,0кг</t>
  </si>
  <si>
    <t>Монтаж закладных деталей стен весом от 12,1-20,0кг - гильза Г1</t>
  </si>
  <si>
    <t>Монтаж закладных деталей стен весом от 12,1-20,0кг - закладная деталь ЗДИ1</t>
  </si>
  <si>
    <t>Монтаж закладных деталей стен весом от 2,1-5,0кг - гильза Г5</t>
  </si>
  <si>
    <t>Монтаж закладных деталей стен весом от 2,1-5,0кг - гильза Г7</t>
  </si>
  <si>
    <t>Монтаж закладных деталей стен весом от 2,1-5,0кг - гильза Г8</t>
  </si>
  <si>
    <t>Монтаж закладных деталей стен весом от 2,1-5,0кг - закладная деталь ЗДИ2</t>
  </si>
  <si>
    <t>Монтаж закладных деталей стен весом от 5,1-8,0кг - гильза Г2</t>
  </si>
  <si>
    <t>Монтаж закладных деталей стен весом от 5,1-8,0кг - гильза Г6</t>
  </si>
  <si>
    <t>Монтаж закладных деталей стен весом от 8,1-12,0кг - гильза Г4</t>
  </si>
  <si>
    <t>Монтаж и демонтаж опалубки h=600мм ригеля Рм2 (1 шт)</t>
  </si>
  <si>
    <t>Монтаж и демонтаж опалубки h=600мм ригеля Рм20 (1 шт)</t>
  </si>
  <si>
    <t>Монтаж и демонтаж опалубки h=600мм ригеля Рм21 (1 шт)</t>
  </si>
  <si>
    <t>Монтаж и демонтаж опалубки h=600мм ригеля Рм22 (1 шт)</t>
  </si>
  <si>
    <t>Монтаж и демонтаж опалубки h=600мм ригеля Рм23 (1 шт)</t>
  </si>
  <si>
    <t>Монтаж и демонтаж опалубки h=600мм ригеля Рм24 (3 шт)</t>
  </si>
  <si>
    <t>Монтаж и демонтаж опалубки h=600мм ригеля Рм25 (2 шт)</t>
  </si>
  <si>
    <t>Монтаж и демонтаж опалубки h=600мм ригеля Рм26 (1 шт)</t>
  </si>
  <si>
    <t>Монтаж и демонтаж опалубки h=600мм ригеля Рм3 (1 шт)</t>
  </si>
  <si>
    <t>Монтаж и демонтаж опалубки h=600мм ригеля Рм4 (1 шт)</t>
  </si>
  <si>
    <t>Монтаж и демонтаж опалубки h=600мм ригеля Рм5 (1 шт)</t>
  </si>
  <si>
    <t>Монтаж и демонтаж опалубки h=600мм ригеля Рм6 (1 шт)</t>
  </si>
  <si>
    <t>Монтаж и демонтаж опалубки h=600мм ригеля Рм7 (2 шт)</t>
  </si>
  <si>
    <t>Монтаж и демонтаж опалубки h=600мм ригеля Рм8 (2 шт)</t>
  </si>
  <si>
    <t>Монтаж и демонтаж опалубки h=600мм ригеля Рм9 (1 шт)</t>
  </si>
  <si>
    <t>Монтаж и демонтаж опалубки h=700мм ригеля Рм11 (1 шт)</t>
  </si>
  <si>
    <t>Монтаж и демонтаж опалубки h=700мм ригеля Рм12 (2 шт)</t>
  </si>
  <si>
    <t>Монтаж и демонтаж опалубки h=700мм ригеля Рм13 (2 шт)</t>
  </si>
  <si>
    <t>Монтаж и демонтаж опалубки h=700мм ригеля Рм14 (1 шт)</t>
  </si>
  <si>
    <t>Монтаж и демонтаж опалубки h=700мм ригеля Рм15 (2 шт)</t>
  </si>
  <si>
    <t>Монтаж и демонтаж опалубки h=700мм ригеля Рм16 (1 шт)</t>
  </si>
  <si>
    <t>Монтаж и демонтаж опалубки h=700мм ригеля Рм17 (1 шт)</t>
  </si>
  <si>
    <t>Монтаж и демонтаж опалубки h=700мм ригеля Рм18 (2 шт)</t>
  </si>
  <si>
    <t>Монтаж и демонтаж опалубки h=700мм ригеля Рм19 (1 шт)</t>
  </si>
  <si>
    <t>Монтаж и демонтаж опалубки h=700мм ригеля Рм27 (1 шт)</t>
  </si>
  <si>
    <t>Монтаж и демонтаж опалубки h=700мм ригеля Рм28 (2 шт)</t>
  </si>
  <si>
    <t>Монтаж и демонтаж опалубки h=700мм ригеля Рм29 (2 шт)</t>
  </si>
  <si>
    <t>Монтаж и демонтаж опалубки h=700мм ригеля Рм30 (2 шт)</t>
  </si>
  <si>
    <t>Монтаж и демонтаж опалубки h=700мм ригеля Рм31 (1 шт)</t>
  </si>
  <si>
    <t>Монтаж и демонтаж опалубки h=700мм ригеля Рм32 (3 шт)</t>
  </si>
  <si>
    <t>Монтаж и демонтаж опалубки h=700мм ригеля Рм33 (3 шт)</t>
  </si>
  <si>
    <t>Монтаж и демонтаж опалубки h=700мм ригеля Рм34 (1 шт)</t>
  </si>
  <si>
    <t>Монтаж и демонтаж опалубки колонн Км1 (41 шт)</t>
  </si>
  <si>
    <t>Монтаж и демонтаж опалубки колонн Км3 (11 шт)</t>
  </si>
  <si>
    <t>Монтаж и демонтаж опалубки колонн Км4 (7 шт)</t>
  </si>
  <si>
    <t>Монтаж и демонтаж опалубки колонн Км5 (8 шт)</t>
  </si>
  <si>
    <t>Монтаж и демонтаж опалубки колонн колонн Км2 (8 шт)</t>
  </si>
  <si>
    <t>Монтаж и демонтаж опалубки плиты перекрытия Пм1</t>
  </si>
  <si>
    <t>Монтаж и демонтаж опалубки плиты перекрытия Пм2</t>
  </si>
  <si>
    <t>Монтаж и демонтаж опалубки плиты перекрытия Пм3</t>
  </si>
  <si>
    <t>Монтаж и демонтаж опалубки плиты перекрытия Пм4</t>
  </si>
  <si>
    <t>Монтаж и демонтаж опалубки плиты перекрытия Пм5</t>
  </si>
  <si>
    <t>Монтаж и демонтаж опалубки плиты перекрытия Пм6</t>
  </si>
  <si>
    <t xml:space="preserve">Монтаж и демонтаж опалубки плиты Пм1 (1 шт) </t>
  </si>
  <si>
    <t xml:space="preserve">Монтаж и демонтаж опалубки плиты Пм3 (4 шт) </t>
  </si>
  <si>
    <t xml:space="preserve">Монтаж и демонтаж опалубки плиты Пм4 (1 шт) </t>
  </si>
  <si>
    <t>Монтаж и демонтаж опалубки площадок и маршей лестницы Лм1 (2 шт)</t>
  </si>
  <si>
    <t>Монтаж и демонтаж опалубки площадок и маршей лестницы Лм2</t>
  </si>
  <si>
    <t>Монтаж и демонтаж опалубки ригеля Рм1</t>
  </si>
  <si>
    <t>Монтаж и демонтаж опалубки ригеля Рм10</t>
  </si>
  <si>
    <t>Монтаж и демонтаж опалубки стены См1</t>
  </si>
  <si>
    <t>Монтаж и демонтаж опалубки стены См10</t>
  </si>
  <si>
    <t>Монтаж и демонтаж опалубки стены См11</t>
  </si>
  <si>
    <t>Монтаж и демонтаж опалубки стены См12</t>
  </si>
  <si>
    <t>Монтаж и демонтаж опалубки стены См13</t>
  </si>
  <si>
    <t>Монтаж и демонтаж опалубки стены См14</t>
  </si>
  <si>
    <t>Монтаж и демонтаж опалубки стены См15</t>
  </si>
  <si>
    <t>Монтаж и демонтаж опалубки стены См16</t>
  </si>
  <si>
    <t>Монтаж и демонтаж опалубки стены См17</t>
  </si>
  <si>
    <t>Монтаж и демонтаж опалубки стены См18</t>
  </si>
  <si>
    <t>Монтаж и демонтаж опалубки стены См19</t>
  </si>
  <si>
    <t>Монтаж и демонтаж опалубки стены См2</t>
  </si>
  <si>
    <t>Монтаж и демонтаж опалубки стены См20</t>
  </si>
  <si>
    <t>Монтаж и демонтаж опалубки стены См21</t>
  </si>
  <si>
    <t>Монтаж и демонтаж опалубки стены См22</t>
  </si>
  <si>
    <t>Монтаж и демонтаж опалубки стены См23</t>
  </si>
  <si>
    <t>Монтаж и демонтаж опалубки стены См24</t>
  </si>
  <si>
    <t>Монтаж и демонтаж опалубки стены См25</t>
  </si>
  <si>
    <t>Монтаж и демонтаж опалубки стены См26</t>
  </si>
  <si>
    <t>Монтаж и демонтаж опалубки стены См27</t>
  </si>
  <si>
    <t>Монтаж и демонтаж опалубки стены См28</t>
  </si>
  <si>
    <t>Монтаж и демонтаж опалубки стены См29</t>
  </si>
  <si>
    <t>Монтаж и демонтаж опалубки стены См3</t>
  </si>
  <si>
    <t>Монтаж и демонтаж опалубки стены См30</t>
  </si>
  <si>
    <t>Монтаж и демонтаж опалубки стены См31</t>
  </si>
  <si>
    <t>Монтаж и демонтаж опалубки стены См32</t>
  </si>
  <si>
    <t>Монтаж и демонтаж опалубки стены См33</t>
  </si>
  <si>
    <t>Монтаж и демонтаж опалубки стены См34</t>
  </si>
  <si>
    <t>Монтаж и демонтаж опалубки стены См35</t>
  </si>
  <si>
    <t>Монтаж и демонтаж опалубки стены См36</t>
  </si>
  <si>
    <t>Монтаж и демонтаж опалубки стены См37</t>
  </si>
  <si>
    <t>Монтаж и демонтаж опалубки стены См38</t>
  </si>
  <si>
    <t>Монтаж и демонтаж опалубки стены См39</t>
  </si>
  <si>
    <t>Монтаж и демонтаж опалубки стены См4</t>
  </si>
  <si>
    <t>Монтаж и демонтаж опалубки стены См40</t>
  </si>
  <si>
    <t>Монтаж и демонтаж опалубки стены См41</t>
  </si>
  <si>
    <t>Монтаж и демонтаж опалубки стены См42</t>
  </si>
  <si>
    <t>Монтаж и демонтаж опалубки стены См43</t>
  </si>
  <si>
    <t>Монтаж и демонтаж опалубки стены См5</t>
  </si>
  <si>
    <t>Монтаж и демонтаж опалубки стены См6</t>
  </si>
  <si>
    <t>Монтаж и демонтаж опалубки стены См7</t>
  </si>
  <si>
    <t>Монтаж и демонтаж опалубки стены См8</t>
  </si>
  <si>
    <t>Монтаж и демонтаж опалубки стены См9</t>
  </si>
  <si>
    <t>Монтаж и демонтаж опалубки стоек парапета Ст1 на плите перекрытия Пм4</t>
  </si>
  <si>
    <t>Монтаж и демонтаж опалубки стоек парапета Ст1 на плите перекрытия Пм5</t>
  </si>
  <si>
    <t>Монтаж и демонтаж опалубки стоек парапета Ст1 на плите перекрытия Пм6</t>
  </si>
  <si>
    <t xml:space="preserve">Монтаж и демонтаж опалубки фундамента РСм1 (1 шт) </t>
  </si>
  <si>
    <t xml:space="preserve">Монтаж и демонтаж опалубки фундамента РСм2 (1 шт) </t>
  </si>
  <si>
    <t xml:space="preserve">Монтаж и демонтаж опалубки фундамента РСм3 (1 шт) </t>
  </si>
  <si>
    <t>Монтаж каркасов пространственных КР1 весом 9,36 кг/м</t>
  </si>
  <si>
    <t>Сверление отверстий для монтажа закладных деталей гильз плит перекрытия, весом от 2,1-5,0кг</t>
  </si>
  <si>
    <t>Сверление отверстий для монтажа закладных деталей гильз стен, весом от 2,1-5,0кг</t>
  </si>
  <si>
    <t>Стена См14</t>
  </si>
  <si>
    <t>Стена См15</t>
  </si>
  <si>
    <t>Стена См17</t>
  </si>
  <si>
    <t>Стена См2</t>
  </si>
  <si>
    <t>Стена См5</t>
  </si>
  <si>
    <t>Уплотнение основания из песка толщиной 100мм под плиту Пм2 - вручную</t>
  </si>
  <si>
    <t>Уплотнение основания из песка толщиной 300мм под плиту Пм1 - вручную</t>
  </si>
  <si>
    <t>Уплотнение основания из песка толщиной 300мм под плиту Пм1 - механизированным способом</t>
  </si>
  <si>
    <t>Уплотнение основания из песка толщиной 300мм под плиту Пм3 (4 шт) - вручную</t>
  </si>
  <si>
    <t>Уплотнение основания из песка толщиной 300мм под плиту Пм3 (4 шт) - механизированным способом</t>
  </si>
  <si>
    <t>Уплотнение основания из песка толщиной 300мм под плиту Пм4 (1 шт) - вручную</t>
  </si>
  <si>
    <t>Уплотнение основания из песка толщиной 300мм под плиту Пм4 (1 шт) - механизированным способом</t>
  </si>
  <si>
    <t>Установка шпонки в вертикальных швах  Лм2 бетонирования на ширину примыкающего лестничного марша</t>
  </si>
  <si>
    <t>Установка шпонки в вертикальных швах Лм1 бетонирования на ширину примыкающего лестничного марша</t>
  </si>
  <si>
    <t>Устройство бетонной подготовки фундаментов РСм1 из бетона В10, толщ. 100 мм (1шт.)</t>
  </si>
  <si>
    <t>Устройство бетонной подготовки фундаментов РСм2 из бетона В10, толщ. 100 мм (1шт.)</t>
  </si>
  <si>
    <t>Устройство бетонной подготовки фундаментов РСм3 из бетона В10, толщ. 100 мм (1шт.)</t>
  </si>
  <si>
    <t>Устройство деформационного изоляционного шва  между ростверками РСм1 и РСм2, шириной 100 мм, с заполнением герметиком</t>
  </si>
  <si>
    <t>Устройство деформационного изоляционного шва  между ростверками РСм2 и РСм3, шириной 100 мм, с заполнением герметиком</t>
  </si>
  <si>
    <t>Устройство деформационного шва толщиной 100 мм между ростверками РСм1 и РСм2</t>
  </si>
  <si>
    <t>Устройство деформационного шва толщиной 100 мм между ростверками РСм2 и РСм3</t>
  </si>
  <si>
    <t>Устройство основания из песка толщиной 100мм под плиту Пм2 - вручную</t>
  </si>
  <si>
    <t>Устройство основания из песка толщиной 300мм под плиту Пм1 - вручную</t>
  </si>
  <si>
    <t>Устройство основания из песка толщиной 300мм под плиту Пм1 - механизированным способом</t>
  </si>
  <si>
    <t>Устройство бетонной подготовки фундаментов РСм1 из бетона В10, толщ. 100 мм (5шт.)</t>
  </si>
  <si>
    <t>Армирование фундамента РСм1 (5 шт)  ГНУТЫМИ сварными стержнями диаметром 14 мм и более</t>
  </si>
  <si>
    <t>Армирование фундамента  РСм1 (5 шт)  ПРЯМЫМИ стержнями диаметром  14 мм и более</t>
  </si>
  <si>
    <t>Армирование фундамента РСм1 (5 шт)  ГНУТЫМИ сварными стержнями диаметром до 12 мм</t>
  </si>
  <si>
    <t>Армирование фундамента РСм1 (5 шт)  ПРЯМЫМИ сварными стержнями диаметром до 12 мм</t>
  </si>
  <si>
    <t>Армирование фундамента  РСм1 (5 шт)  ПРЯМЫМИ стержнями диаметром  до 12 мм</t>
  </si>
  <si>
    <t>Армирование фундамента  РСм1 (5 шт)   ГНУТЫМИ стержнями диаметром  до 12 мм</t>
  </si>
  <si>
    <t xml:space="preserve">Установка анкерных болтов М1 (перед бетонированием) диаметром от Ø20мм до Ø40мм </t>
  </si>
  <si>
    <t>Опалубка заводского изготовления. Ступенчатые фундаменты - ростверки (нижний ярус), фундаментные балки и боковой части плиты перекрытия. 
Монтаж и демонтаж</t>
  </si>
  <si>
    <t>Опалубка заводского изготовления. Ступенчатые фундаменты - ростверки (верхний ярус), балки. 
Монтаж и демонтаж</t>
  </si>
  <si>
    <t>Бетонирование ростверка РСм1 (5 шт)</t>
  </si>
  <si>
    <t xml:space="preserve">Устройство подливки ростверков РСм1 (5 шт) толщиной 50мм
</t>
  </si>
  <si>
    <t xml:space="preserve">Устройство бетонной подготовки фундаментовРСм2 (6 шт) из бетона В10, толщ. 100 мм </t>
  </si>
  <si>
    <t>Армирование фундамента РСм2 (6 шт)  ГНУТЫМИ сварными стержнями диаметром до 12 мм</t>
  </si>
  <si>
    <t>Армирование фундамента РСм2 (6 шт)  ПРЯМЫМИ сварными стержнями диаметром до 12 мм</t>
  </si>
  <si>
    <t>Армирование фундамента  РСм2 (6 шт)   ГНУТЫМИ стержнями диаметром  до 12 мм</t>
  </si>
  <si>
    <t>Бетонирование ростверка РСм2 (6 шт)</t>
  </si>
  <si>
    <t xml:space="preserve">Устройство подливки ростверков РСм2 (6 шт) толщиной 50мм
</t>
  </si>
  <si>
    <t>Уплотнение вручную</t>
  </si>
  <si>
    <t>Укладка пеноплекса толщиной 100 мм под фундаментной плитой</t>
  </si>
  <si>
    <t xml:space="preserve">Монтаж - демонтаж опалубки заводского изготовления боковой части  фундаментной плиты Пфм-1 </t>
  </si>
  <si>
    <t>Армированные плиты ПФм-1(1шт.)  ПРЯМЫМИ стержнями диаметром  до 12 мм</t>
  </si>
  <si>
    <t>Армированные плиты ПФм-1(1шт.)  ГНУТЫМИ стержнями диаметром  до 12 мм</t>
  </si>
  <si>
    <t>Укладка деформационных швов между фундаментной плитой и отмостки, шириной 20 мм</t>
  </si>
  <si>
    <t xml:space="preserve">Монтаж заводских арматурных сеток из арматуры диаметром от Ø4 до Ø6мм. Соединение нахлестов сеток проволокой- отмостка </t>
  </si>
  <si>
    <t>Устройство отмостки из бетона с железнением поверхности толщиной не менее 100мм, (толщ. 120мм-150мм)</t>
  </si>
  <si>
    <t>Устройство основания из песка толщиной 200мм под ростверков РСм8а, РСм8б - вручную</t>
  </si>
  <si>
    <t>Уплотнение основания из песка толщиной 200мм под ростверков РСм8а, РСм8б - вручную</t>
  </si>
  <si>
    <t>Устройство бетонной подготовки фундаментов РСм8а и РСм8б из бетона В10, толщ. 100 мм (9шт.)</t>
  </si>
  <si>
    <t xml:space="preserve">Монтаж - демонтаж опалубки заводского изготовления для фундамента РСм8а (4 шт) и Рсм8б(5шт) </t>
  </si>
  <si>
    <t>Армированные фундамента РСм8а (4 шт)  и Рсм8б(5шт) ПРЯМИМИ стержнями диаметром 14 мм и более</t>
  </si>
  <si>
    <t>Армированные фундамента РСм8а (4 шт)  и Рсм8б(5шт) ПРЯМИМИ стержнями диаметром  до 12 мм</t>
  </si>
  <si>
    <t>Армированные фундамента РСм8а (4 шт)  и Рсм8б(5шт) ГНУТЫЕ стержнями диаметром 14 мм и более</t>
  </si>
  <si>
    <t>Армированные фундамента РСм8а (4 шт)  и Рсм8б(5шт) ГНУТЫЕ стержнями диаметром  до 12 мм</t>
  </si>
  <si>
    <t xml:space="preserve">Изготовление и монтаж каркасов пространственных КР7 весом 19,51 кг/шт </t>
  </si>
  <si>
    <t xml:space="preserve">Изготовление и монтаж каркасов пространственных КР8 весом 7,88кг/шт </t>
  </si>
  <si>
    <t>Устройство фундаментов РСм8а (4 шт)  и Рсм8б(5шт)  из бетона B25 W8 F200</t>
  </si>
  <si>
    <t>Устройство основания из песка толщиной 200мм под ростверков РСм8в - вручную</t>
  </si>
  <si>
    <t>Уплотнение основания из песка толщиной 200мм под ростверков РСм8в - вручную</t>
  </si>
  <si>
    <t>Устройство бетонной подготовки фундаментов РСм8в из бетона В10, толщ. 100 мм (1 шт.)</t>
  </si>
  <si>
    <t>Монтаж - демонтаж опалубки заводского изготовления для фундамента РСм8в (1 шт)</t>
  </si>
  <si>
    <t>Армированные фундамента РСм8в (1 шт) ПРЯМИМИ стержнями диаметром 14 мм и более</t>
  </si>
  <si>
    <t>Армированные фундамента РСм8в (1 шт) ПРЯМИМИ стержнями диаметром  до 12 мм</t>
  </si>
  <si>
    <t>Армированные фундамента РСм8в (1 шт) ГНУТЫЕ стержнями диаметром 14 мм и более</t>
  </si>
  <si>
    <t>Армированные фундамента РСм8в (1 шт) ГНУТЫЕ стержнями диаметром  до 12 мм</t>
  </si>
  <si>
    <t>Устройство фундамента РСм8в (1 шт) из бетона B25 W8 F200</t>
  </si>
  <si>
    <t>Устройство основания из песка толщиной 200мм под ростверков РСм9а - вручную</t>
  </si>
  <si>
    <t>Уплотнение основания из песка толщиной 200мм под ростверков РСм9а - вручную</t>
  </si>
  <si>
    <t>Устройство бетонной подготовки фундаментов РСм9а из бетона В10, толщ. 100 мм(2 шт.)</t>
  </si>
  <si>
    <t>Монтаж - демонтаж опалубки заводского изготовления для фундамента РСм9а (2 шт)</t>
  </si>
  <si>
    <t>Армированные фундамента РСм9а (2 шт) ПРЯМИМИ стержнями диаметром 14 мм и более</t>
  </si>
  <si>
    <t>Армированные фундамента РСм9а (2 шт) ПРЯМИМИ стержнями диаметром  до 12 мм</t>
  </si>
  <si>
    <t>Армированные фундамента РСм9а (2 шт) ГНУТЫЕ стержнями диаметром 14 мм и более</t>
  </si>
  <si>
    <t>Армированные фундамента РСм9а (2 шт) ГНУТЫЕ стержнями диаметром  до 12 мм</t>
  </si>
  <si>
    <t xml:space="preserve">Изготовление и монтаж каркасов пространственных КР9 весом 11,82 кг/шт </t>
  </si>
  <si>
    <t xml:space="preserve">Изготовление и монтаж каркасов пространственных КР10 весом 3,94кг/шт </t>
  </si>
  <si>
    <t>Устройство фундамента РСм9а (2 шт) из бетона B25 W8 F200</t>
  </si>
  <si>
    <t>Устройство основания из песка толщиной 200мм под ростверков РСм9б - вручную</t>
  </si>
  <si>
    <t>Уплотнение основания из песка толщиной 200мм под ростверков РСм9б- вручную</t>
  </si>
  <si>
    <t>Устройство бетонной подготовки фундаментов РСм9б из бетона В10, толщ. 100 мм(3 шт.)</t>
  </si>
  <si>
    <t>Монтаж - демонтаж опалубки заводского изготовления для фундамента РСм9б (3шт)</t>
  </si>
  <si>
    <t>Армированные фундамента РСм9б (3 шт) ПРЯМИМИ стержнями диаметром 14 мм и более</t>
  </si>
  <si>
    <t>Армированные фундамента РСм9б (3 шт) ПРЯМИМИ стержнями диаметром  до 12 мм</t>
  </si>
  <si>
    <t>Армированные фундамента РСм9б (3 шт) ГНУТЫЕ стержнями диаметром 14 мм и более</t>
  </si>
  <si>
    <t>Армированные фундамента РСм9б (3шт) ГНУТЫЕ стержнями диаметром  до 12 мм</t>
  </si>
  <si>
    <t>Устройство фундамента РСм9б (3шт) из бетона B25 W8 F200</t>
  </si>
  <si>
    <t>Устройство основания из песка толщиной 200мм под ростверков РСм9в - вручную</t>
  </si>
  <si>
    <t>Уплотнение основания из песка толщиной 200мм под ростверков РСм9в- вручную</t>
  </si>
  <si>
    <t>Устройство бетонной подготовки фундаментов РСм9в из бетона В10, толщ. 100 мм(1 шт.)</t>
  </si>
  <si>
    <t>Монтаж - демонтаж опалубки заводского изготовления для фундамента РСм9в (1шт)</t>
  </si>
  <si>
    <t>Армированные фундамента РСм9в (1 шт) ПРЯМИМИ стержнями диаметром 14 мм и более</t>
  </si>
  <si>
    <t>Армированные фундамента РСм9в (1 шт) ПРЯМИМИ стержнями диаметром  до 12 мм</t>
  </si>
  <si>
    <t>Армированные фундамента РСм9в (1 шт) ГНУТЫЕ стержнями диаметром 14 мм и более</t>
  </si>
  <si>
    <t>Армированные фундамента РСм9в (1шт) ГНУТЫЕ стержнями диаметром  до 12 мм</t>
  </si>
  <si>
    <t>Устройство фундамента РСм9в (1шт) из бетона B25 W8 F200</t>
  </si>
  <si>
    <t>Устройство основания из песка толщиной 200мм под ростверков РСм10 - вручную</t>
  </si>
  <si>
    <t>Уплотнение основания из песка толщиной 200мм под ростверков РСм10- вручную</t>
  </si>
  <si>
    <t>Устройство бетонной подготовки фундаментов РСм10 из бетона В10, толщ. 100 мм(17 шт.)</t>
  </si>
  <si>
    <t>Монтаж - демонтаж опалубки заводского изготовления для фундамента РСм10 (17шт)</t>
  </si>
  <si>
    <t>Армированные фундамента РСм10 (17 шт) ПРЯМИМИ стержнями диаметром 14 мм и более</t>
  </si>
  <si>
    <t>Армированные фундамента РСм10 (17 шт) ПРЯМИМИ стержнями диаметром  до 12 мм</t>
  </si>
  <si>
    <t>Армированные фундамента РСм10 (17 шт) ГНУТЫЕ стержнями диаметром 14 мм и более</t>
  </si>
  <si>
    <t>Армированные фундамента РСм10 (17шт) ГНУТЫЕ стержнями диаметром  до 12 мм</t>
  </si>
  <si>
    <t>Устройство фундамента РСм10 (17шт) из бетона B25 W8 F200</t>
  </si>
  <si>
    <t>Устройство основания из песка толщиной 200мм под ростверков РСм11 - вручную</t>
  </si>
  <si>
    <t>Уплотнение основания из песка толщиной 200мм под ростверков РСм11- вручную</t>
  </si>
  <si>
    <t>Устройство бетонной подготовки фундаментов РСм11 из бетона В10, толщ. 100 мм(4 шт.)</t>
  </si>
  <si>
    <t>Монтаж - демонтаж опалубки заводского изготовления для фундамента РСм11 (4шт)</t>
  </si>
  <si>
    <t>Армированные фундамента РСм11 (4шт) ПРЯМИМИ стержнями диаметром 14 мм и более</t>
  </si>
  <si>
    <t>Армированные фундамента РСм11 (4 шт) ПРЯМИМИ стержнями диаметром  до 12 мм</t>
  </si>
  <si>
    <t>Армированные фундамента РСм11 (4 шт) ГНУТЫЕ стержнями диаметром 14 мм и более</t>
  </si>
  <si>
    <t>Армированные фундамента РСм11 (4шт) ГНУТЫЕ стержнями диаметром  до 12 мм</t>
  </si>
  <si>
    <t>Устройство фундамента РСм11 (4шт) из бетона B25 W8 F200</t>
  </si>
  <si>
    <t>Устройство бетонной подготовки фундаментов РСм12 из бетона В10, толщ. 100 мм(3 шт.)</t>
  </si>
  <si>
    <t>Монтаж - демонтаж опалубки заводского изготовления для фундамента РСм12 (3шт)</t>
  </si>
  <si>
    <t>Армированные фундамента РСм12 (3шт) ПРЯМИМИ стержнями диаметром 14 мм и более</t>
  </si>
  <si>
    <t>Армированные фундамента РСм12(3шт) ГНУТЫЕ стержнями диаметром  до 12 мм</t>
  </si>
  <si>
    <t>Устройство фундамента РСм12 (3шт) из бетона B25 W8 F200</t>
  </si>
  <si>
    <t>Устройство подливки фундамента РСм12 (3шт) толщиной 50мм</t>
  </si>
  <si>
    <t>Устройство основания из песка толщиной 200мм под ростверков РСм13 - вручную</t>
  </si>
  <si>
    <t>Уплотнение основания из песка толщиной 200мм под ростверков РСм13- вручную</t>
  </si>
  <si>
    <t>Устройство бетонной подготовки фундаментов РСм13 из бетона В10, толщ. 100 мм(1 шт.)</t>
  </si>
  <si>
    <t>Монтаж - демонтаж опалубки заводского изготовления для фундамента РСм13 (1шт)</t>
  </si>
  <si>
    <t>Армированные фундамента РСм13 (1шт) ПРЯМИМИ стержнями диаметром 14 мм и более</t>
  </si>
  <si>
    <t>Армированные фундамента РСм13 (1 шт) ПРЯМИМИ стержнями диаметром  до 12 мм</t>
  </si>
  <si>
    <t>Армированные фундамента РСм13 (1шт) ГНУТЫЕ стержнями диаметром 14 мм и более</t>
  </si>
  <si>
    <t>Армированные фундамента РСм13 (1шт) ГНУТЫЕ стержнями диаметром  до 12 мм</t>
  </si>
  <si>
    <t>Устройство фундамента РСм13 (1шт) из бетона B25 W8 F200</t>
  </si>
  <si>
    <t>Монтаж сборных железобетонных элементов весом од 500 до 1,500 кг</t>
  </si>
  <si>
    <t>Устройство основания из песка толщиной 200мм под ростверков РСм8б - вручную</t>
  </si>
  <si>
    <t>Уплотнение основания из песка толщиной 200мм под ростверков РСм8б- вручную</t>
  </si>
  <si>
    <t>Устройство бетонной подготовки фундаментов РСм8б из бетона В10, толщ. 100 мм (7 шт)</t>
  </si>
  <si>
    <t>Монтаж - демонтаж опалубки заводского изготовления для фундамента  РСм8б (7 шт)</t>
  </si>
  <si>
    <t>Армированные фундамента РСм8б (7 шт) ПРЯМИМИ стержнями диаметром 14 мм и более</t>
  </si>
  <si>
    <t>Армированные фундамента РСм8б (7 шт) ПРЯМИМИ стержнями диаметром 14 мм и более - Монтаж</t>
  </si>
  <si>
    <t>Армированные фундамента РСм8б (7 шт) ПРЯМИМИ стержнями диаметром  до 12 мм</t>
  </si>
  <si>
    <t>Армированные фундамента  РСм8б (7 шт)  ГНУТЫЕ стержнями диаметром 14 мм и более</t>
  </si>
  <si>
    <t>Армированные фундамента РСм8б (7 шт)ПРЯМИМИ стержнями диаметром 14 мм и более</t>
  </si>
  <si>
    <t>Армированные фундамента РСм8б (7 шт) ГНУТЫЕ стержнями диаметром  до 12 мм</t>
  </si>
  <si>
    <t>Устройство фундамента РСм8б (7 шт) из бетона B25 W8 F200</t>
  </si>
  <si>
    <t>Уплотнение основания из песка толщиной 200мм под ростверков РСм9а- вручную</t>
  </si>
  <si>
    <t>Устройство бетонной подготовки фундаментов РСм9а из бетона В10, толщ. 100 мм(4 шт.)</t>
  </si>
  <si>
    <t>Монтаж - демонтаж опалубки заводского изготовления для фундамента РСм9а (4 шт)</t>
  </si>
  <si>
    <t>Армированные фундамента РСм9а (4шт)  ПРЯМИМИ стержнями диаметром 14 мм и более</t>
  </si>
  <si>
    <t>Армированные фундамента РСм9а (4 шт) ПРЯМИМИ стержнями диаметром  до 12 мм</t>
  </si>
  <si>
    <t>Армированные фундамента РСм9а (4 шт) ГНУТЫЕ стержнями диаметром 14 мм и более</t>
  </si>
  <si>
    <t>Армированные фундамента РСм9а (4 шт) ГНУТЫЕ стержнями диаметром  до 12 мм</t>
  </si>
  <si>
    <t>Устройство фундамента РСм9а (4шт) из бетона B25 W8 F200</t>
  </si>
  <si>
    <t>Устройство бетонной подготовки фундаментов РСм9б из бетона В10, толщ. 100 мм(4 шт.)</t>
  </si>
  <si>
    <t>Монтаж - демонтаж опалубки заводского изготовления для фундамента РСм9б (4 шт)</t>
  </si>
  <si>
    <t>Армированные фундамента РСм9б (4шт) ПРЯМИМИ стержнями диаметром 14 мм и более</t>
  </si>
  <si>
    <t>Армированные фундамента РСм9б (4шт) ПРЯМИМИ стержнями диаметром  до 12 мм</t>
  </si>
  <si>
    <t>Армированные фундамента РСм9б (4 шт) ГНУТЫЕ стержнями диаметром 14 мм и более</t>
  </si>
  <si>
    <t>Армированные фундамента РСм9б (4 шт) ГНУТЫЕ стержнями диаметром  до 12 мм</t>
  </si>
  <si>
    <t>Устройство фундамента РСм9б (4 шт) из бетона  B25 W8 F200</t>
  </si>
  <si>
    <t>Устройство бетонной подготовки фундаментов РСм10 из бетона В10, толщ. 100 мм(14 шт.)</t>
  </si>
  <si>
    <t>Монтаж - демонтаж опалубки заводского изготовления для фундамента РСм10 (14шт)</t>
  </si>
  <si>
    <t>Армированные фундамента РСм10 (14шт) ПРЯМИМИ стержнями диаметром 14 мм и более</t>
  </si>
  <si>
    <t xml:space="preserve">Армированные фундамента РСм10 (14шт) ПРЯМИМИ стержнями диаметром 14 мм и более  - Изготовление </t>
  </si>
  <si>
    <t>Армированные фундамента РСм10 (14 шт) ПРЯМИМИ стержнями диаметром  до 12 мм</t>
  </si>
  <si>
    <t>Армированные фундамента РСм10 (14 шт) ГНУТЫЕ стержнями диаметром 14 мм и более</t>
  </si>
  <si>
    <t xml:space="preserve">Армированные фундамента РСм10 (14 шт) ГНУТЫЕ стержнями диаметром 14 мм и более - Изготовление </t>
  </si>
  <si>
    <t>Армированные фундамента РСм10 (14шт) ГНУТЫЕ стержнями диаметром  до 12 мм</t>
  </si>
  <si>
    <t>Устройство фундамента РСм10 (14шт) из бетона B25 W8 F200</t>
  </si>
  <si>
    <t>Устройство бетонной подготовки фундаментов РСм14 из бетона В10, толщ. 100 мм(2 шт.)</t>
  </si>
  <si>
    <t>Монтаж - демонтаж опалубки заводского изготовления для фундамента РСм14 (2шт)</t>
  </si>
  <si>
    <t>Армированные фундамента РСм14 (2шт) ПРЯМИМИ стержнями диаметром 14 мм и более</t>
  </si>
  <si>
    <t>Армированные фундамента РСм14(2шт) ГНУТЫЕ стержнями диаметром  до 12 мм</t>
  </si>
  <si>
    <t>Устройство фундамента РСм14 (2шт) из бетона B25 W8 F200</t>
  </si>
  <si>
    <t>Устройство подливки фундамента РСм14 (2шт) толщиной 50мм</t>
  </si>
  <si>
    <t>Монтаж сборных железобетонных элементов весом од 1,500-3,500 кг</t>
  </si>
  <si>
    <t>Устройство бетонной подготовки фундаментов РСм1а (10 шт), РСм1б (1шт)  из бетона В10, толщ. 100 мм</t>
  </si>
  <si>
    <t>Монтаж - демонтаж опалубки заводского изготовления для фундамента  РСм1а (10 шт), РСм1б (1шт)</t>
  </si>
  <si>
    <t>Армированные фундамента РСм1а (10 шт), РСм1б (1шт)  ПРЯМИМИ стержнями диаметром 14 мм и более</t>
  </si>
  <si>
    <t>Армированные фундамента РСм1а (10 шт), РСм1б (1шт)   ПРЯМИМИ стержнями диаметром  до 12 мм</t>
  </si>
  <si>
    <t>Армированные фундаментаРСм1а (10 шт), РСм1б (1шт) ГНУТЫЕ стержнями диаметром 14 мм и более</t>
  </si>
  <si>
    <t>Армированные фундамента РСм1а (10 шт), РСм1б (1шт)  ГНУТЫЕ стержнями диаметром  до 12 мм</t>
  </si>
  <si>
    <t xml:space="preserve">Изготовление и монтаж каркасов пространственных КР1 весом 12,24 кг/шт </t>
  </si>
  <si>
    <t xml:space="preserve">Изготовление и монтаж каркасов пространственных КР2 весом 4,46 кг/шт </t>
  </si>
  <si>
    <t>Устройство фундамента РСм1а (10 шт РСм1а (10 шт), РСм1б (1шт) из бетона B25 W8 F200</t>
  </si>
  <si>
    <t>Устройство бетонной подготовки фундаментов РСм2 из бетона В10, толщ. 100 мм(13шт.)</t>
  </si>
  <si>
    <t>Монтаж - демонтаж опалубки заводского изготовления для фундамента РСм2 (13 шт)</t>
  </si>
  <si>
    <t>Армированные фундамента РСм2 (13 шт)  ПРЯМИМИ стержнями диаметром 14 мм и более</t>
  </si>
  <si>
    <t>Армированные фундамента РСм2 (13 шт) ПРЯМИМИ стержнями диаметром  до 12 мм</t>
  </si>
  <si>
    <t>Армированные фундамента РСм2 (13 шт) ГНУТЫЕ стержнями диаметром 14 мм и более</t>
  </si>
  <si>
    <t>Армированные фундамента РСм2 (13 шт) ГНУТЫЕ стержнями диаметром  до 12 мм</t>
  </si>
  <si>
    <t xml:space="preserve">Изготовление и монтаж каркасов пространственных КР3  весом 12,46 кг/шт </t>
  </si>
  <si>
    <t xml:space="preserve">Изготовление и монтаж каркасов пространственных КР4  весом 4,54 кг/шт </t>
  </si>
  <si>
    <t>Устройство фундамента РСм2 (13 шт) из бетона B25 W8 F200</t>
  </si>
  <si>
    <t>Устройство бетонной подготовки фундаментов РСм3 из бетона В10, толщ. 100 мм(8 шт.)</t>
  </si>
  <si>
    <t>Монтаж - демонтаж опалубки заводского изготовления для фундамента РСм3 (8 шт)</t>
  </si>
  <si>
    <t>Армированные фундамента РСм3 (8 шт) ПРЯМИМИ стержнями диаметром 14 мм и более</t>
  </si>
  <si>
    <t>Армированные фундамента РСм3 (8 шт) ПРЯМИМИ стержнями диаметром  до 12 мм</t>
  </si>
  <si>
    <t>Армированные фундамента РСм3 (8 шт) ГНУТЫЕ стержнями диаметром 14 мм и более</t>
  </si>
  <si>
    <t>Армированные фундамента РСм3 (8 шт) ГНУТЫЕ стержнями диаметром  до 12 мм</t>
  </si>
  <si>
    <t>Устройство фундамента РСм3 (8 шт) из бетона  B25 W8 F200</t>
  </si>
  <si>
    <t>Устройство бетонной подготовки фундаментов РСм4 из бетона В10, толщ. 100 мм(1 шт.)</t>
  </si>
  <si>
    <t>Монтаж - демонтаж опалубки заводского изготовления для фундамента РСм4 (1шт)</t>
  </si>
  <si>
    <t>Армированные фундамента РСм4 (1шт) ПРЯМИМИ стержнями диаметром 14 мм и более</t>
  </si>
  <si>
    <t>Армированные фундамента РСм4 (1 шт) ПРЯМИМИ стержнями диаметром  до 12 мм</t>
  </si>
  <si>
    <t>Армированные фундамента РСм4 (1шт) ГНУТЫЕ стержнями диаметром 14 мм и более</t>
  </si>
  <si>
    <t>Армированные фундамента РСм4 (1шт) ГНУТЫЕ стержнями диаметром  до 12 мм</t>
  </si>
  <si>
    <t xml:space="preserve">Изготовление и монтаж каркасов пространственных КР2 весом 4,41кг/шт </t>
  </si>
  <si>
    <t xml:space="preserve">Изготовление и монтаж каркасов пространственных КР5 весом 14,33 кг/шт </t>
  </si>
  <si>
    <t xml:space="preserve">Изготовление и монтаж каркасов пространственных КР6 весом 6,62кг/шт </t>
  </si>
  <si>
    <t>Устройство фундамента РСм4 (1шт) из бетона B25 W8 F200</t>
  </si>
  <si>
    <t>Устройство бетонной подготовки фундаментов РСм5 из бетона В10, толщ. 100 мм(1 шт.)</t>
  </si>
  <si>
    <t>Монтаж - демонтаж опалубки заводского изготовления для фундамента РСм5 (1шт)</t>
  </si>
  <si>
    <t>Армированные фундамента РСм5 (1шт) ПРЯМИМИ стержнями диаметром 14 мм и более</t>
  </si>
  <si>
    <t>Армированные фундамента РСм5 (1 шт) ПРЯМИМИ стержнями диаметром  до 12 мм</t>
  </si>
  <si>
    <t>Армированные фундамента РСм5 (1шт) ГНУТЫЕ стержнями диаметром 14 мм и более</t>
  </si>
  <si>
    <t>Армированные фундамента РСм5 (1шт) ГНУТЫЕ стержнями диаметром  до 12 мм</t>
  </si>
  <si>
    <t xml:space="preserve">Изготовление и монтаж каркасов пространственных КР3 весом 12,47кг/шт </t>
  </si>
  <si>
    <t xml:space="preserve">Изготовление и монтаж каркасов пространственных КР4 весом 4,53кг/шт </t>
  </si>
  <si>
    <t>Устройство бетонной подготовки фундаментов РСм6 из бетона В10, толщ. 100 мм(1 шт.)</t>
  </si>
  <si>
    <t>Монтаж - демонтаж опалубки заводского изготовления для фундамента РСм6 (1шт)-(нижний ярус)</t>
  </si>
  <si>
    <t>Монтаж - демонтаж опалубки заводского изготовления для фундамента РСм6 (1шт)-(верхний ярус)</t>
  </si>
  <si>
    <t>Армированные фундамента РСм6 (1шт) ПРЯМИМИ стержнями диаметром 14 мм и более</t>
  </si>
  <si>
    <t>Армированные фундамента РСм6(1шт) ГНУТЫЕ стержнями диаметром  до 12 мм</t>
  </si>
  <si>
    <t>Устройство фундамента РСм6 (1шт) из бетона B25 W8 F200</t>
  </si>
  <si>
    <t>Устройство подливки фундамента РСм6 (1шт) толщиной 50мм</t>
  </si>
  <si>
    <t>Устройство бетонной подготовки фундаментов РСм1а из бетона В10, толщ. 100 мм (14 шт)</t>
  </si>
  <si>
    <t xml:space="preserve">Монтаж - демонтаж опалубки заводского изготовления для фундамента  РСм1а (14 шт) </t>
  </si>
  <si>
    <t>Армированные фундамента РСм1а (14шт) ПРЯМИМИ стержнями диаметром 14 мм и более</t>
  </si>
  <si>
    <t>Армированные фундамента РСм1а (14 шт) ПРЯМИМИ стержнями диаметром  до 12 мм</t>
  </si>
  <si>
    <t>Армированные фундамента РСм1а (14 шт)  ГНУТЫЕ стержнями диаметром 14 мм и более</t>
  </si>
  <si>
    <t>Армированные фундамента РСм1а (14 шт) ГНУТЫЕ стержнями диаметром  до 12 мм</t>
  </si>
  <si>
    <t xml:space="preserve">Изготовление и монтаж каркасов пространственных КР1 весом 12,13 кг/шт </t>
  </si>
  <si>
    <t xml:space="preserve">Изготовление и монтаж каркасов пространственных КР2 весом 4,41 кг/шт </t>
  </si>
  <si>
    <t>Устройство фундамента РСм1а (14 шт) из бетона B25 W8 F200</t>
  </si>
  <si>
    <t>Устройство бетонной подготовки фундаментов РСм2 из бетона В10, толщ. 100 мм(18 шт.)</t>
  </si>
  <si>
    <t>Монтаж - демонтаж опалубки заводского изготовления для фундамента РСм2 (18 шт)</t>
  </si>
  <si>
    <t>Армированные фундамента РСм2 (18 шт)  ПРЯМИМИ стержнями диаметром 14 мм и более</t>
  </si>
  <si>
    <t>Армированные фундамента РСм2 (18 шт) ПРЯМИМИ стержнями диаметром  до 12 мм</t>
  </si>
  <si>
    <t>Армированные фундамента РСм2 (18 шт) ГНУТЫЕ стержнями диаметром 14 мм и более</t>
  </si>
  <si>
    <t>Армированные фундамента РСм2 (18 шт) ГНУТЫЕ стержнями диаметром  до 12 мм</t>
  </si>
  <si>
    <t>Устройство фундамента РСм2 (18 шт) из бетона B25 W8 F200</t>
  </si>
  <si>
    <t>Устройство бетонной подготовки фундаментов РСм6 из бетона В10, толщ. 100 мм(3 шт.)</t>
  </si>
  <si>
    <t>Монтаж - демонтаж опалубки заводского изготовления для фундамента РСм6 (3шт)-(нижний ярус)</t>
  </si>
  <si>
    <t>Монтаж - демонтаж опалубки заводского изготовления для фундамента РСм6 (3шт)-(верхний ярус)</t>
  </si>
  <si>
    <t>Армированные фундамента РСм6 (3шт) ПРЯМИМИ стержнями диаметром 14 мм и более</t>
  </si>
  <si>
    <t>Армированные фундамента РСм6(3шт) ГНУТЫЕ стержнями диаметром  до 12 мм</t>
  </si>
  <si>
    <t>Устройство фундамента РСм6 (3шт) из бетона B25 W8 F200</t>
  </si>
  <si>
    <t>Устройство подливки фундамента РСм6 (3шт) толщиной 50мм</t>
  </si>
  <si>
    <t>Устройство бетонной подготовки фундаментов РСм7а (1 шт), РСм7б (1 шт) из бетона В10, толщ. 100 мм</t>
  </si>
  <si>
    <t>Монтаж - демонтаж опалубки заводского изготовления для фундамента РСм7а (1 шт), РСм7б (1 шт)</t>
  </si>
  <si>
    <t>Армированные фундамента РСм7а (1 шт), РСм7б (1 шт) ПРЯМИМИ стержнями диаметром 14 мм и более</t>
  </si>
  <si>
    <t>Армированные фундамента РСм7а (1 шт), РСм7б (1 шт)  ПРЯМИМИ стержнями диаметром  до 12 мм</t>
  </si>
  <si>
    <t>Армированные фундамента РСм7а (1 шт), РСм7б (1 шт) ГНУТЫЕ стержнями диаметром 14 мм и более</t>
  </si>
  <si>
    <t>Армированные фундамента РСм7а (1 шт), РСм7б (1 шт) ГНУТЫЕ стержнями диаметром  до 12 мм</t>
  </si>
  <si>
    <t xml:space="preserve">Изготовление и монтаж каркасов пространственных КР1 весом 12,13кг/шт </t>
  </si>
  <si>
    <t>Устройство фундамента РСм7а (1 шт), РСм7б (1 шт) из бетона B25 W8 F200</t>
  </si>
  <si>
    <t>Устройство бетонной подготовки фундаментов РСм15 из бетона В10, толщ. 100 мм(2 шт.)</t>
  </si>
  <si>
    <t>Монтаж - демонтаж опалубки заводского изготовления для фундамента РСм15 (2шт)-(нижний ярус)</t>
  </si>
  <si>
    <t>Монтаж - демонтаж опалубки заводского изготовления для фундамента РСм15 (2шт)-(верхний ярус)</t>
  </si>
  <si>
    <t>Армированные фундамента РСм15 (2шт) ПРЯМИМИ стержнями диаметром 14 мм и более</t>
  </si>
  <si>
    <t>Армированные фундамента РСм15(2шт) ГНУТЫЕ стержнями диаметром  до 12 мм</t>
  </si>
  <si>
    <t>Устройство фундамента РСм15 (2шт) из бетона B25 W8 F200</t>
  </si>
  <si>
    <t>Устройство подливки фундамента РСм15 (2шт) толщиной 50мм</t>
  </si>
  <si>
    <t>Армированные колонн Км1-1 (3 шт) ПРЯМЫМИ стержнями диаметром 14 мм и более</t>
  </si>
  <si>
    <t>Армированные колонн Км1-1 (3 шт) ГНУТЫМИ стержнями диаметром до 12 мм</t>
  </si>
  <si>
    <t xml:space="preserve">Установка анкерных блоков АБ1 весом 55,199кг/шт (перед бетонированием) диаметром от Ø20мм до Ø40мм </t>
  </si>
  <si>
    <t>Монтаж закладных деталей ЗДИ1 колонн весом от 100,1-140,0кг.</t>
  </si>
  <si>
    <t>Монтаж закладных деталей ЗДИ4 колонн весом от 50,1-70,0кг</t>
  </si>
  <si>
    <t>Монтаж и демонтаж опалубки заводского изготовления колонн Км1-1 (3 шт)</t>
  </si>
  <si>
    <t xml:space="preserve">Бетонирование колонн Км1-1 (3 шт) из бетона B25 W8 F200 </t>
  </si>
  <si>
    <t>Устройство подливки колонн Км1-1 (3 шт ) толщиной 50мм</t>
  </si>
  <si>
    <t>Армированные колонн Км1-2 (2 шт) ПРЯМЫМИ стержнями диаметром 14 мм и более</t>
  </si>
  <si>
    <t>Армированные колонн Км1-2 (2шт) ГНУТЫМИ стержнями диаметром до 12 мм</t>
  </si>
  <si>
    <t>Армированные колонн Км1-2 (2шт) ГНУТЫМИ стержнями диаметром до 12 мм - Монтаж</t>
  </si>
  <si>
    <t>Монтаж и демонтаж опалубки заводского изготовления колонн Км1-2 (2 шт)</t>
  </si>
  <si>
    <t xml:space="preserve">Бетонирование колонн Км1-2 (2 шт) из бетона B25 W8 F200 </t>
  </si>
  <si>
    <t>Устройство подливки колонн Км1-2 (2 шт ) толщиной 50мм</t>
  </si>
  <si>
    <t>Армированные колонн Км1-4 (3 шт) ПРЯМЫМИ стержнями диаметром 14 мм и более</t>
  </si>
  <si>
    <t>Армированные колонн Км1-4 (3шт) ГНУТЫМИ стержнями диаметром до 12 мм</t>
  </si>
  <si>
    <t>Армированные колонн Км1-4 (3шт) ГНУТЫМИ стержнями диаметром до 12 мм- Монтаж</t>
  </si>
  <si>
    <t>Монтаж закладных деталей ЗДИ3 колонн весом от 70,1-100,0кг</t>
  </si>
  <si>
    <t>Монтаж и демонтаж опалубки заводского изготовления колонн Км1-4 (3 шт)</t>
  </si>
  <si>
    <t xml:space="preserve">Бетонирование колонн Км1-4 (3 шт) из бетона B25 W8 F200 </t>
  </si>
  <si>
    <t>Устройство подливки колонн Км1-4 (3 шт ) толщиной 50мм</t>
  </si>
  <si>
    <t>Армированные колонн Км1-5(2 шт) ПРЯМЫМИ стержнями диаметром 14 мм и более</t>
  </si>
  <si>
    <t>Армированные колонн Км1-5 (2шт) ГНУТЫМИ стержнями диаметром до 12 мм</t>
  </si>
  <si>
    <t>Монтаж и демонтаж опалубки заводского изготовления колонн Км1-5 (2 шт)</t>
  </si>
  <si>
    <t xml:space="preserve">Бетонирование колонн Км1-5 (2 шт) из бетона B25 W8 F200 </t>
  </si>
  <si>
    <t>Устройство подливки колонн Км1-5 (2 шт ) толщиной 50мм</t>
  </si>
  <si>
    <t>Армированные колонн Км1-6 (2 шт) ПРЯМЫМИ стержнями диаметром 14 мм и более</t>
  </si>
  <si>
    <t>Армированные колонн Км1-6 (2шт) ГНУТЫМИ стержнями диаметром до 12 мм</t>
  </si>
  <si>
    <t>Армированные колонн Км1-6 (2шт) ГНУТЫМИ стержнями диаметром до 12 мм- Монтаж</t>
  </si>
  <si>
    <t>Монтаж и демонтаж опалубки заводского изготовления колонн Км1-6 (2 шт)</t>
  </si>
  <si>
    <t xml:space="preserve">Бетонирование колонн Км1-6 (2 шт) из бетона B25 W8 F200 </t>
  </si>
  <si>
    <t>Устройство подливки колонн Км1-6 (2 шт ) толщиной 50мм</t>
  </si>
  <si>
    <t>Армированные колонн Км1-9 (1 шт) ПРЯМЫМИ стержнями диаметром 14 мм и более</t>
  </si>
  <si>
    <t>Армированные колонн Км1-9 (1шт) ГНУТЫМИ стержнями диаметром до 12 мм</t>
  </si>
  <si>
    <t>Монтаж и демонтаж опалубки заводского изготовления колонн Км1-9 (1 шт)</t>
  </si>
  <si>
    <t xml:space="preserve">Бетонирование колонн Км1-9 (1 шт) из бетона B25 W8 F200 </t>
  </si>
  <si>
    <t>Устройство подливки колонн Км1-9 (1 шт ) толщиной 50мм</t>
  </si>
  <si>
    <t>Армированные колонн Км1-12 (1 шт) ПРЯМЫМИ стержнями диаметром 14 мм и более</t>
  </si>
  <si>
    <t>Армированные колонн Км1-12 (1шт) ГНУТЫМИ стержнями диаметром до 12 мм</t>
  </si>
  <si>
    <t>Монтаж закладных деталей ЗДИ9 колонн весом от --кг</t>
  </si>
  <si>
    <t>Монтаж и демонтаж опалубки заводского изготовления колонн Км1-12 (1 шт)</t>
  </si>
  <si>
    <t xml:space="preserve">Бетонирование колонн Км1-12 (1 шт) из бетона B25 W8 F200 </t>
  </si>
  <si>
    <t>Устройство подливки колонн Км1-12 (1 шт ) толщиной 50мм</t>
  </si>
  <si>
    <t>Армированные колонн Км1-13 (1 шт) ПРЯМЫМИ стержнями диаметром 14 мм и более</t>
  </si>
  <si>
    <t>Армированные колонн Км1-13 (1шт) ГНУТЫМИ стержнями диаметром до 12 мм</t>
  </si>
  <si>
    <t>Монтаж и демонтаж опалубки заводского изготовления колонн Км1-13 (1 шт)</t>
  </si>
  <si>
    <t xml:space="preserve">Бетонирование колонн Км1-13 (1 шт) из бетона B25 W8 F200 </t>
  </si>
  <si>
    <t>Устройство подливки колонн Км1-13 (1 шт ) толщиной 50мм</t>
  </si>
  <si>
    <t>Армированные колонн Км1-14 (1 шт) ПРЯМЫМИ стержнями диаметром 14 мм и более</t>
  </si>
  <si>
    <t>Армированные колонн Км1-14 (1шт) ГНУТЫМИ стержнями диаметром до 12 мм</t>
  </si>
  <si>
    <t>Монтаж закладных деталей ЗДИ10 колонн весом от --кг</t>
  </si>
  <si>
    <t>Монтаж и демонтаж опалубки заводского изготовления колонн Км1-14 (1 шт)</t>
  </si>
  <si>
    <t xml:space="preserve">Бетонирование колонн Км1-14 (1 шт) из бетона B25 W8 F200 </t>
  </si>
  <si>
    <t>Устройство подливки колонн Км1-14 (1 шт ) толщиной 50мм</t>
  </si>
  <si>
    <t>Армированные колонн Км1-15 (1 шт) ПРЯМЫМИ стержнями диаметром 14 мм и более</t>
  </si>
  <si>
    <t>Армированные колонн Км1-15 (1шт) ГНУТЫМИ стержнями диаметром до 12 мм</t>
  </si>
  <si>
    <t>Монтаж и демонтаж опалубки заводского изготовления колонн Км1-15 (1 шт)</t>
  </si>
  <si>
    <t xml:space="preserve">Бетонирование колонн Км1-15 (1 шт) из бетона B25 W8 F200 </t>
  </si>
  <si>
    <t>Устройство подливки колонн Км1-15 (1 шт ) толщиной 50мм</t>
  </si>
  <si>
    <t>Армированные колонн Км2-1 (1 шт) ПРЯМЫМИ стержнями диаметром 14 мм и более</t>
  </si>
  <si>
    <t>Армированные колонн Км2-1 (1шт) ГНУТЫМИ стержнями диаметром до 12 мм</t>
  </si>
  <si>
    <t xml:space="preserve">Установка анкерных блоков АБ2 весом 53,77кг/шт (перед бетонированием) диаметром от Ø20мм до Ø40мм  </t>
  </si>
  <si>
    <t>Монтаж и демонтаж опалубки заводского изготовления колонн Км2-1 (1 шт)</t>
  </si>
  <si>
    <t xml:space="preserve">Бетонирование колонн Км2-1 (1 шт) из бетона B25 W8 F200 </t>
  </si>
  <si>
    <t>Устройство подливки колонн Км2-1(1 шт ) толщиной 50мм</t>
  </si>
  <si>
    <t>Армированные колонн Км2-2 (4 шт) ПРЯМЫМИ стержнями диаметром 14 мм и более</t>
  </si>
  <si>
    <t>Армированные колонн Км2-2 (4шт) ГНУТЫМИ стержнями диаметром до 12 мм</t>
  </si>
  <si>
    <t xml:space="preserve">Установка анкерных блоков АБ2 весом 53,77кг/шт (перед бетонированием) диаметром от Ø20мм до Ø40мм </t>
  </si>
  <si>
    <t>Монтаж и демонтаж опалубки заводского изготовления колонн Км2-2 (4 шт)</t>
  </si>
  <si>
    <t xml:space="preserve">Бетонирование колонн Км2-2 (4 шт) из бетона B25 W8 F200 </t>
  </si>
  <si>
    <t>Устройство подливки колонн Км2-2(4 шт ) толщиной 50мм</t>
  </si>
  <si>
    <t>Армированные колонн Км3-3 (1 шт) ПРЯМЫМИ стержнями диаметром 14 мм и более</t>
  </si>
  <si>
    <t>Армированные колонн Км3-3 (1шт) ГНУТЫМИ стержнями диаметром до 12 мм</t>
  </si>
  <si>
    <t>Монтаж закладных деталей ЗДИ6 колонн весом от 70,1-100,0кг</t>
  </si>
  <si>
    <t>Монтаж и демонтаж опалубки заводского изготовления колонн Км3-3 (1шт)</t>
  </si>
  <si>
    <t xml:space="preserve">Бетонирование колонн Км3-3 (1 шт) из бетона B25 W8 F200 </t>
  </si>
  <si>
    <t>Устройство подливки колонн Км3-3(1 шт ) толщиной 50мм</t>
  </si>
  <si>
    <t>Армированные колонн Км3-4 (1 шт) ПРЯМЫМИ стержнями диаметром 14 мм и более</t>
  </si>
  <si>
    <t>Армированные колонн Км3-4 (1шт) ГНУТЫМИ стержнями диаметром до 12 мм</t>
  </si>
  <si>
    <t>Монтаж и демонтаж опалубки заводского изготовления колонн Км3-4 (1шт)</t>
  </si>
  <si>
    <t xml:space="preserve">Бетонирование колонн Км3-4 (1 шт) из бетона B25 W8 F200 </t>
  </si>
  <si>
    <t>Устройство подливки колонн Км3-4(1 шт ) толщиной 50мм</t>
  </si>
  <si>
    <t>Армированные колонн Км3-5 (1 шт) ПРЯМЫМИ стержнями диаметром 14 мм и более</t>
  </si>
  <si>
    <t>Армированные колонн Км3,-5 (1шт) ГНУТЫМИ стержнями диаметром до 12 мм</t>
  </si>
  <si>
    <t>Монтаж и демонтаж опалубки заводского изготовления колонн Км3-5 (1шт)</t>
  </si>
  <si>
    <t xml:space="preserve">Бетонирование колонн Км3-5 (1 шт) из бетона B25 W8 F200 </t>
  </si>
  <si>
    <t>Устройство подливки колонн Км3-5(1 шт ) толщиной 50мм</t>
  </si>
  <si>
    <t>Армированные колонн Км3-6 (1 шт) ПРЯМЫМИ стержнями диаметром 14 мм и более</t>
  </si>
  <si>
    <t>Армированные колонн Км3-6 (1шт) ГНУТЫМИ стержнями диаметром до 12 мм</t>
  </si>
  <si>
    <t>Монтаж и демонтаж опалубки заводского изготовления колонн Км3-6 (1шт)</t>
  </si>
  <si>
    <t xml:space="preserve">Бетонирование колонн Км3-6(1 шт) из бетона B25 W8 F200 </t>
  </si>
  <si>
    <t>Устройство подливки колонн Км3-6(1 шт ) толщиной 50мм</t>
  </si>
  <si>
    <t>Армированные колонн Км2-7 (1 шт) ПРЯМЫМИ стержнями диаметром 14 мм и более</t>
  </si>
  <si>
    <t>Армированные колонн Км2-7 (1шт) ГНУТЫМИ стержнями диаметром до 12 мм</t>
  </si>
  <si>
    <t>Монтаж и демонтаж опалубки заводского изготовления колонн Км2-7 (1шт)</t>
  </si>
  <si>
    <t xml:space="preserve">Бетонирование колонн Км2-7(1 шт) из бетона B25 W8 F200 </t>
  </si>
  <si>
    <t>Устройство подливки колонн Км2-7(1 шт ) толщиной 50мм</t>
  </si>
  <si>
    <t>Армированные колонн Км2-8 (1 шт) ПРЯМЫМИ стержнями диаметром 14 мм и более</t>
  </si>
  <si>
    <t>Армированные колонн Км2-8 (1шт) ГНУТЫМИ стержнями диаметром до 12 мм</t>
  </si>
  <si>
    <t>Монтаж и демонтаж опалубки заводского изготовления колонн Км2-8 (1шт)</t>
  </si>
  <si>
    <t xml:space="preserve">Бетонирование колонн Км2-8(1 шт) из бетона B25 W8 F200 </t>
  </si>
  <si>
    <t>Устройство подливки колонн Км2-8(1 шт ) толщиной 50мм</t>
  </si>
  <si>
    <t>Армированные колонн Км2-12 (1 шт) ПРЯМЫМИ стержнями диаметром 14 мм и более</t>
  </si>
  <si>
    <t>Армированные колонн Км2-12 (1шт) ГНУТЫМИ стержнями диаметром до 12 мм</t>
  </si>
  <si>
    <t>Монтаж и демонтаж опалубки заводского изготовления колонн Км2-12 (1шт)</t>
  </si>
  <si>
    <t xml:space="preserve">Бетонирование колонн Км2-12(1 шт) из бетона B25 W8 F200 </t>
  </si>
  <si>
    <t>Устройство подливки колонн Км2-12(1 шт ) толщиной 50мм</t>
  </si>
  <si>
    <t>Армированные колонн Км2-13 (1 шт) ПРЯМЫМИ стержнями диаметром 14 мм и более</t>
  </si>
  <si>
    <t>Армированные колонн Км2-13 (1шт) ГНУТЫМИ стержнями диаметром до 12 мм</t>
  </si>
  <si>
    <t>Монтаж и демонтаж опалубки заводского изготовления колонн Км2-13 (1шт)</t>
  </si>
  <si>
    <t xml:space="preserve">Бетонирование колонн Км2-13(1 шт) из бетона B25 W8 F200 </t>
  </si>
  <si>
    <t>Устройство подливки колонн Км2-13(1 шт ) толщиной 50мм</t>
  </si>
  <si>
    <t>Армированные колонн монолитной рамы Рм1-1 ПРЯМЫМИ стержнями диаметром 14 мм и более</t>
  </si>
  <si>
    <t>Армированные колонн монолитной рамы Рм1-1 ГНУТЫМИ стержнями диаметром до 12 мм</t>
  </si>
  <si>
    <t xml:space="preserve">Армированные колонн монолитной рамы Рм1-1 ГНУТЫМИ стержнями диаметром до 12 мм - Монтаж </t>
  </si>
  <si>
    <t>Армированные балки монолитной рамы Рм1-1 ГНУТЫМИ стержнями диаметром до 12 мм</t>
  </si>
  <si>
    <t>Армированные балки монолитной рамы Рм1-1 ГНУТЫМИ стержнями диаметром 14 мм и более</t>
  </si>
  <si>
    <t>Армированные балки монолитной рамы Рм1-1 ПРЯМЫМИ стержнями диаметром 14 мм и более</t>
  </si>
  <si>
    <t>Монтаж закладных деталей ЗДИ1 колонн весом от 100,1-140,0кг</t>
  </si>
  <si>
    <t>Монтаж закладных деталей ЗДИ2 балки весом от 70,1-100,0кг</t>
  </si>
  <si>
    <t>Монтаж закладных деталей ЗДИ5 балки  весом от 40,1-50,0кг</t>
  </si>
  <si>
    <t>Монтаж и демонтаж опалубки заводского изготовления колонн монолитной рамы Рм1-1</t>
  </si>
  <si>
    <t>Монтаж и демонтаж опалубки заводского изготовления балок монолитной рамы Рм1-1</t>
  </si>
  <si>
    <t xml:space="preserve">Бетонирование колонн монолитной рамы Рм1-1 из бетона B25 W8 F200 </t>
  </si>
  <si>
    <t xml:space="preserve">Бетонирование балок монолитной рамы Рм1-1 из бетона B25 W8 F200 </t>
  </si>
  <si>
    <t>Устройство подливки колонн монолитной рамы Рм1-1 (2 шт ) толщиной 50мм</t>
  </si>
  <si>
    <t>Армированные колонн монолитной рамы Рм1-2 ПРЯМЫМИ стержнями диаметром 14 мм и более</t>
  </si>
  <si>
    <t>Армированные колонн монолитной рамы Рм1-2 ГНУТЫМИ стержнями диаметром до 12 мм</t>
  </si>
  <si>
    <t>Армированные балки монолитной рамы Рм1-2 ГНУТЫМИ стержнями диаметром до 12 мм</t>
  </si>
  <si>
    <t>Армированные балки монолитной рамы Рм1-2 ГНУТЫМИ стержнями диаметром 14 мм и более</t>
  </si>
  <si>
    <t>Армированные балки монолитной рамы Рм1-2 ПРЯМЫМИ стержнями диаметром 14 мм и более</t>
  </si>
  <si>
    <t>Монтаж закладных деталей ЗДИ2 балки  весом от 70,1-100,0кг</t>
  </si>
  <si>
    <t>Монтаж закладных деталей ЗДИ5 балки весом от 40,1-50,0кг</t>
  </si>
  <si>
    <t>Монтаж и демонтаж опалубки заводского изготовления колонн монолитной рамы Рм1-2</t>
  </si>
  <si>
    <t>Монтаж и демонтаж опалубки заводского изготовления балок монолитной рамы Рм1-2</t>
  </si>
  <si>
    <t xml:space="preserve">Бетонирование колонн монолитной рамы Рм1-2 из бетона B25 W8 F200 </t>
  </si>
  <si>
    <t xml:space="preserve">Бетонирование балок монолитной рамы Рм1-2 из бетона B25 W8 F200 </t>
  </si>
  <si>
    <t>Устройство подливки колонн монолитной рамы Рм1-2 (2 шт ) толщиной 50мм</t>
  </si>
  <si>
    <t>Армированные колонн монолитной рамы Рм1-5 ПРЯМЫМИ стержнями диаметром 14 мм и более</t>
  </si>
  <si>
    <t>Армированные колонн монолитной рамы Рм1-5 ГНУТЫМИ стержнями диаметром до 12 мм</t>
  </si>
  <si>
    <t>Армированные балки монолитной рамы Рм1-5 ГНУТЫМИ стержнями диаметром до 12 мм</t>
  </si>
  <si>
    <t>Армированные балки монолитной рамы Рм1-5 ГНУТЫМИ стержнями диаметром 14 мм и более</t>
  </si>
  <si>
    <t>Армированные балки монолитной рамы Рм1-5 ПРЯМЫМИ стержнями диаметром 14 мм и более</t>
  </si>
  <si>
    <t>Монтаж закладных деталей ЗДИ2  балки весом от 70,1-100,0кг</t>
  </si>
  <si>
    <t>Монтаж и демонтаж опалубки заводского изготовления колонн монолитной рамы Рм1-5</t>
  </si>
  <si>
    <t>Монтаж и демонтаж опалубки заводского изготовления балок монолитной рамы Рм1-5</t>
  </si>
  <si>
    <t xml:space="preserve">Бетонирование колонн монолитной рамы Рм1-5 из бетона B25 W8 F200 </t>
  </si>
  <si>
    <t xml:space="preserve">Бетонирование балок монолитной рамы Рм1-5 из бетона B25 W8 F200 </t>
  </si>
  <si>
    <t>Устройство подливки колонн монолитной рамы Рм1-5 (2 шт ) толщиной 50мм</t>
  </si>
  <si>
    <t>Армированные колонн монолитной рамы Рм1-6 ПРЯМЫМИ стержнями диаметром 14 мм и более</t>
  </si>
  <si>
    <t>Армированные колонн монолитной рамы Рм1-6 ГНУТЫМИ стержнями диаметром до 12 мм</t>
  </si>
  <si>
    <t>Армированные балки монолитной рамы Рм1-6 ГНУТЫМИ стержнями диаметром до 12 мм</t>
  </si>
  <si>
    <t>Армированные балки монолитной рамы Рм1-6 ГНУТЫМИ стержнями диаметром 14 мм и более</t>
  </si>
  <si>
    <t>Армированные балки монолитной рамы Рм1-6 ПРЯМЫМИ стержнями диаметром 14 мм и более</t>
  </si>
  <si>
    <t>Монтаж и демонтаж опалубки заводского изготовления колонн монолитной рамы Рм1-6</t>
  </si>
  <si>
    <t>Монтаж и демонтаж опалубки заводского изготовления балок монолитной рамы Рм1-6</t>
  </si>
  <si>
    <t xml:space="preserve">Бетонирование колонн монолитной рамы Рм1-6 из бетона B25 W8 F200 </t>
  </si>
  <si>
    <t xml:space="preserve">Бетонирование балок монолитной рамы Рм1-6 из бетона B25 W8 F200 </t>
  </si>
  <si>
    <t>Устройство подливки колонн монолитной рамы Рм1-6 (2 шт ) толщиной 50мм</t>
  </si>
  <si>
    <t>Армированные колонн монолитной рамы Рм1-7 ПРЯМЫМИ стержнями диаметром 14 мм и более</t>
  </si>
  <si>
    <t>Армированные колонн монолитной рамы Рм1-7 ГНУТЫМИ стержнями диаметром до 12 мм</t>
  </si>
  <si>
    <t>Армированные балки монолитной рамы Рм1-7 ГНУТЫМИ стержнями диаметром до 12 мм</t>
  </si>
  <si>
    <t>Армированные балки монолитной рамы Рм1-7 ГНУТЫМИ стержнями диаметром 14 мм и более</t>
  </si>
  <si>
    <t>Армированные балки монолитной рамы Рм1-7 ПРЯМЫМИ стержнями диаметром 14 мм и более</t>
  </si>
  <si>
    <t>Монтаж и демонтаж опалубки заводского изготовления колонн монолитной рамы Рм1-7</t>
  </si>
  <si>
    <t>Монтаж и демонтаж опалубки заводского изготовления балок монолитной рамы Рм1-7</t>
  </si>
  <si>
    <t xml:space="preserve">Бетонирование колонн монолитной рамы Рм1-7 из бетона B25 W8 F200 </t>
  </si>
  <si>
    <t xml:space="preserve">Бетонирование балок монолитной рамы Рм1-7 из бетона B25 W8 F200 </t>
  </si>
  <si>
    <t>Устройство подливки колонн монолитной рамы Рм1-7 (2 шт ) толщиной 50мм</t>
  </si>
  <si>
    <t>Армированные колонн монолитной рамы Рм1-8 ПРЯМЫМИ стержнями диаметром 14 мм и более</t>
  </si>
  <si>
    <t>Армированные колонн монолитной рамы Рм1-8 ГНУТЫМИ стержнями диаметром до 12 мм</t>
  </si>
  <si>
    <t>Армированные балки монолитной рамы Рм1-8 ГНУТЫМИ стержнями диаметром до 12 мм</t>
  </si>
  <si>
    <t>Армированные балки монолитной рамы Рм1-8 ГНУТЫМИ стержнями диаметром 14 мм и более</t>
  </si>
  <si>
    <t>Армированные балки монолитной рамы Рм1-8 ПРЯМЫМИ стержнями диаметром 14 мм и более</t>
  </si>
  <si>
    <t>Монтаж и демонтаж опалубки заводского изготовления колонн монолитной рамы Рм1-8</t>
  </si>
  <si>
    <t>Монтаж и демонтаж опалубки заводского изготовления балок монолитной рамы Рм1-8</t>
  </si>
  <si>
    <t xml:space="preserve">Бетонирование колонн монолитной рамы Рм1-8 из бетона B25 W8 F200 </t>
  </si>
  <si>
    <t xml:space="preserve">Бетонирование балок монолитной рамы Рм1-8 из бетона B25 W8 F200 </t>
  </si>
  <si>
    <t>Устройство подливки колонн монолитной рамы Рм1-8 (2 шт ) толщиной 50мм</t>
  </si>
  <si>
    <t>Армированные колонн Км1-2 (1 шт) ПРЯМЫМИ стержнями диаметром 14 мм и более</t>
  </si>
  <si>
    <t>Армированные колонн Км1-2 (1шт) ГНУТЫМИ стержнями диаметром до 12 мм</t>
  </si>
  <si>
    <t>Монтаж и демонтаж опалубки заводского изготовления колонн Км1-2 (1 шт)</t>
  </si>
  <si>
    <t xml:space="preserve">Бетонирование колонн Км1-2 (1 шт) из бетона B25 W8 F200 </t>
  </si>
  <si>
    <t>Устройство подливки колонн Км1-2 (1 шт ) толщиной 50мм</t>
  </si>
  <si>
    <t>Армированные колонн Км1-4 (2 шт) ПРЯМЫМИ стержнями диаметром 14 мм и более</t>
  </si>
  <si>
    <t>Армированные колонн Км1-4 (2шт) ГНУТЫМИ стержнями диаметром до 12 мм</t>
  </si>
  <si>
    <t>Монтаж и демонтаж опалубки заводского изготовления колонн Км1-4 (2 шт)</t>
  </si>
  <si>
    <t xml:space="preserve">Бетонирование колонн Км1-4 (2 шт) из бетона B25 W8 F200 </t>
  </si>
  <si>
    <t>Устройство подливки колонн Км1-4 (2 шт ) толщиной 50мм</t>
  </si>
  <si>
    <t>Армированные колонн Км1-5(1 шт) ПРЯМЫМИ стержнями диаметром 14 мм и более</t>
  </si>
  <si>
    <t>Армированные колонн Км1-5 (1шт) ГНУТЫМИ стержнями диаметром до 12 мм</t>
  </si>
  <si>
    <t>Монтаж и демонтаж опалубки заводского изготовления колонн Км1-5 (1 шт)</t>
  </si>
  <si>
    <t xml:space="preserve">Бетонирование колонн Км1-5 (1 шт) из бетона B25 W8 F200 </t>
  </si>
  <si>
    <t>Устройство подливки колонн Км1-5 (1 шт ) толщиной 50мм</t>
  </si>
  <si>
    <t>Армированные колонн Км1-6 (1 шт) ПРЯМЫМИ стержнями диаметром 14 мм и более</t>
  </si>
  <si>
    <t>Армированные колонн Км1-6 (1шт) ГНУТЫМИ стержнями диаметром до 12 мм</t>
  </si>
  <si>
    <t>Монтаж и демонтаж опалубки заводского изготовления колонн Км1-6 (1шт)</t>
  </si>
  <si>
    <t xml:space="preserve">Бетонирование колонн Км1-6 (1 шт) из бетона B25 W8 F200 </t>
  </si>
  <si>
    <t>Устройство подливки колонн Км1-6 (1 шт ) толщиной 50мм</t>
  </si>
  <si>
    <t>Армированные колонн Км1-10 (1 шт) ПРЯМЫМИ стержнями диаметром 14 мм и более</t>
  </si>
  <si>
    <t>Армированные колонн Км1-10 (1шт) ГНУТЫМИ стержнями диаметром до 12 мм</t>
  </si>
  <si>
    <t>Монтаж и демонтаж опалубки заводского изготовления колонн Км1-10 (1 шт)</t>
  </si>
  <si>
    <t xml:space="preserve">Бетонирование колонн Км1-10 (1 шт) из бетона B25 W8 F200 </t>
  </si>
  <si>
    <t>Устройство подливки колонн Км1-10 (1шт ) толщиной 50мм</t>
  </si>
  <si>
    <t>Армированные колонн Км1-11 (1 шт) ПРЯМЫМИ стержнями диаметром 14 мм и более</t>
  </si>
  <si>
    <t>Армированные колонн Км1-11 (1 шт) ГНУТЫМИ стержнями диаметром до 12 мм</t>
  </si>
  <si>
    <t>Монтаж и демонтаж опалубки заводского изготовления колонн Км1-11 (1 шт)</t>
  </si>
  <si>
    <t xml:space="preserve">Бетонирование колонн Км1-11 (1 шт) из бетона B25 W8 F200 </t>
  </si>
  <si>
    <t>Устройство подливки колонн Км1-11 (1 шт ) толщиной 50мм</t>
  </si>
  <si>
    <t>Армированные колонн Км2-1 (5 шт) ПРЯМЫМИ стержнями диаметром 14 мм и более</t>
  </si>
  <si>
    <t>Армированные колонн Км2-1 (5шт) ГНУТЫМИ стержнями диаметром до 12 мм</t>
  </si>
  <si>
    <t>Монтаж и демонтаж опалубки заводского изготовления колонн Км2-1 (5 шт)</t>
  </si>
  <si>
    <t xml:space="preserve">Бетонирование колонн Км2-1 (5шт) из бетона B25 W8 F200 </t>
  </si>
  <si>
    <t>Устройство подливки колонн Км2-1(5 шт ) толщиной 50мм</t>
  </si>
  <si>
    <t>Армированные колонн Км2-2 (5 шт) ПРЯМЫМИ стержнями диаметром 14 мм и более</t>
  </si>
  <si>
    <t>Армированные колонн Км2-2 (5шт) ГНУТЫМИ стержнями диаметром до 12 мм</t>
  </si>
  <si>
    <t>Монтаж и демонтаж опалубки заводского изготовления колонн Км2-2 (5 шт)</t>
  </si>
  <si>
    <t xml:space="preserve">Бетонирование колонн Км2-2 (5 шт) из бетона B25 W8 F200 </t>
  </si>
  <si>
    <t>Устройство подливки колонн Км2-2(5 шт ) толщиной 50мм</t>
  </si>
  <si>
    <t>Армированные колонн Км3-5 (1шт) ГНУТЫМИ стержнями диаметром до 12 мм</t>
  </si>
  <si>
    <t>Армированные колонн Км2-9 (1 шт) ПРЯМЫМИ стержнями диаметром 14 мм и более</t>
  </si>
  <si>
    <t>Армированные колонн Км2-9 (1шт) ГНУТЫМИ стержнями диаметром до 12 мм</t>
  </si>
  <si>
    <t>Монтаж и демонтаж опалубки заводского изготовления колонн Км2-9 (1шт)</t>
  </si>
  <si>
    <t xml:space="preserve">Бетонирование колонн Км2-9(1 шт) из бетона B25 W8 F200 </t>
  </si>
  <si>
    <t>Устройство подливки колонн Км2-9(1 шт ) толщиной 50мм</t>
  </si>
  <si>
    <t>Армированные колонн Км2-10 (1 шт) ПРЯМЫМИ стержнями диаметром 14 мм и более</t>
  </si>
  <si>
    <t>Армированные колонн Км2-10 (1шт) ГНУТЫМИ стержнями диаметром до 12 мм</t>
  </si>
  <si>
    <t>Монтаж и демонтаж опалубки заводского изготовления колонн Км2-10 (1шт)</t>
  </si>
  <si>
    <t xml:space="preserve">Бетонирование колонн Км2-10(1 шт) из бетона B25 W8 F200 </t>
  </si>
  <si>
    <t>Устройство подливки колонн Км2-10(1 шт ) толщиной 50мм</t>
  </si>
  <si>
    <t xml:space="preserve">Армированные колонн монолитной рамы Рм1-1 ГНУТЫМИ стержнями диаметром до 12 мм </t>
  </si>
  <si>
    <t xml:space="preserve">Армированные колонн монолитной рамы Рм1-1 ГНУТЫМИ стержнями диаметром до 12 мм- Монтаж </t>
  </si>
  <si>
    <t>Армированные колонн Км1-7(1 шт) ПРЯМЫМИ стержнями диаметром 14 мм и более</t>
  </si>
  <si>
    <t>Армированные колонн Км1-7 (1шт) ГНУТЫМИ стержнями диаметром до 12 мм</t>
  </si>
  <si>
    <t>Армированные колонн Км1-7 (1шт) ГНУТЫМИ стержнями диаметром до 12 мм- Монтаж</t>
  </si>
  <si>
    <t>Монтаж и демонтаж опалубки заводского изготовления колонн Км1-7 (1 шт)</t>
  </si>
  <si>
    <t xml:space="preserve">Бетонирование колонн Км1-7 (1 шт) из бетона B25 W8 F200 </t>
  </si>
  <si>
    <t>Устройство подливки колонн Км1-7 (1 шт ) толщиной 50мм</t>
  </si>
  <si>
    <t>Армированные колонн Км1-8 (1 шт) ПРЯМЫМИ стержнями диаметром 14 мм и более</t>
  </si>
  <si>
    <t>Армированные колонн Км1-8 (1шт) ГНУТЫМИ стержнями диаметром до 12 мм</t>
  </si>
  <si>
    <t>Монтаж и демонтаж опалубки заводского изготовления колонн Км1-8 (1 шт)</t>
  </si>
  <si>
    <t xml:space="preserve">Бетонирование колонн Км1-8 (1 шт) из бетона B25 W8 F200 </t>
  </si>
  <si>
    <t>Устройство подливки колонн Км1-8 (1шт ) толщиной 50мм</t>
  </si>
  <si>
    <t>Армированные колонн Км2-1 (2 шт) ПРЯМЫМИ стержнями диаметром 14 мм и более</t>
  </si>
  <si>
    <t>Армированные колонн Км2-1 (2шт) ГНУТЫМИ стержнями диаметром до 12 мм</t>
  </si>
  <si>
    <t>Монтаж и демонтаж опалубки заводского изготовления колонн Км2-1 (2 шт)</t>
  </si>
  <si>
    <t xml:space="preserve">Бетонирование колонн Км2-1 (2шт) из бетона B25 W8 F200 </t>
  </si>
  <si>
    <t>Устройство подливки колонн Км2-1(2 шт ) толщиной 50мм</t>
  </si>
  <si>
    <t>Армированные колонн Км2-2 (3 шт) ПРЯМЫМИ стержнями диаметром 14 мм и более</t>
  </si>
  <si>
    <t>Армированные колонн Км2-2 (3шт) ГНУТЫМИ стержнями диаметром до 12 мм</t>
  </si>
  <si>
    <t>Монтаж и демонтаж опалубки заводского изготовления колонн Км2-2 (3 шт)</t>
  </si>
  <si>
    <t xml:space="preserve">Бетонирование колонн Км2-2 (3 шт) из бетона B25 W8 F200 </t>
  </si>
  <si>
    <t>Устройство подливки колонн Км2-2(3 шт ) толщиной 50мм</t>
  </si>
  <si>
    <t>Армированные колонн Км2-11 (1 шт) ПРЯМЫМИ стержнями диаметром 14 мм и более</t>
  </si>
  <si>
    <t>Армированные колонн Км2-11 (1шт) ГНУТЫМИ стержнями диаметром до 12 мм</t>
  </si>
  <si>
    <t>Монтаж и демонтаж опалубки заводского изготовления колонн Км2-11 (1шт)</t>
  </si>
  <si>
    <t xml:space="preserve">Бетонирование колонн Км2-11(1 шт) из бетона B25 W8 F200 </t>
  </si>
  <si>
    <t>Устройство подливки колонн Км2-11(1 шт ) толщиной 50мм</t>
  </si>
  <si>
    <t>Армированные колонн Км1-1 (1 шт) ПРЯМЫМИ стержнями диаметром 14 мм и более</t>
  </si>
  <si>
    <t>Армированные колонн Км1-1 (1 шт) ГНУТЫМИ стержнями диаметром до 12 мм</t>
  </si>
  <si>
    <t>Монтаж и демонтаж опалубки заводского изготовления колонн Км1-1 (1 шт)</t>
  </si>
  <si>
    <t xml:space="preserve">Бетонирование колонн Км1-1 (1 шт) из бетона B25 W8 F200 </t>
  </si>
  <si>
    <t>Устройство подливки колонн Км1-1 (1 шт ) толщиной 50мм</t>
  </si>
  <si>
    <t>Армированные колонн Км1-2 (3 шт) ПРЯМЫМИ стержнями диаметром 14 мм и более</t>
  </si>
  <si>
    <t>Армированные колонн Км1-2 (3шт) ГНУТЫМИ стержнями диаметром до 12 мм</t>
  </si>
  <si>
    <t>Монтаж и демонтаж опалубки заводского изготовления колонн Км1-2 (3 шт)</t>
  </si>
  <si>
    <t xml:space="preserve">Бетонирование колонн Км1-2 (3 шт) из бетона B25 W8 F200 </t>
  </si>
  <si>
    <t>Устройство подливки колонн Км1-2 (3шт ) толщиной 50мм</t>
  </si>
  <si>
    <t>Армированные колонн Км1-3 (1 шт) ПРЯМЫМИ стержнями диаметром 14 мм и более</t>
  </si>
  <si>
    <t>Армированные колонн Км1-3 (1шт) ГНУТЫМИ стержнями диаметром до 12 мм</t>
  </si>
  <si>
    <t>Монтаж и демонтаж опалубки заводского изготовления колонн Км1-3 (1 шт)</t>
  </si>
  <si>
    <t xml:space="preserve">Бетонирование колонн Км1-3 (1 шт) из бетона B25 W8 F200 </t>
  </si>
  <si>
    <t>Устройство подливки колонн Км1-3 (1шт ) толщиной 50мм</t>
  </si>
  <si>
    <t>Монтаж и демонтаж опалубки заводского изготовления колонн Км1-4 (3шт)</t>
  </si>
  <si>
    <t>Монтаж и демонтаж опалубки заводского изготовления колонн Км1-6 (2шт)</t>
  </si>
  <si>
    <t xml:space="preserve">Бетонирование колонн Км1-6 (2шт) из бетона B25 W8 F200 </t>
  </si>
  <si>
    <t>Армированные колонн Км2-1 (6 шт) ПРЯМЫМИ стержнями диаметром 14 мм и более</t>
  </si>
  <si>
    <t>Армированные колонн Км2-1 (6шт) ГНУТЫМИ стержнями диаметром до 12 мм</t>
  </si>
  <si>
    <t>Монтаж и демонтаж опалубки заводского изготовления колонн Км2-1 (6 шт)</t>
  </si>
  <si>
    <t xml:space="preserve">Бетонирование колонн Км2-1 (6шт) из бетона B25 W8 F200 </t>
  </si>
  <si>
    <t>Устройство подливки колонн Км2-1(6 шт ) толщиной 50мм</t>
  </si>
  <si>
    <t>Армированные колонн Км2-2 (6 шт) ПРЯМЫМИ стержнями диаметром 14 мм и более</t>
  </si>
  <si>
    <t>Армированные колонн Км2-2 (6 шт) ГНУТЫМИ стержнями диаметром до 12 мм</t>
  </si>
  <si>
    <t>Монтаж и демонтаж опалубки заводского изготовления колонн Км2-2 (6 шт)</t>
  </si>
  <si>
    <t xml:space="preserve">Бетонирование колонн Км2-2 (6 шт) из бетона B25 W8 F200 </t>
  </si>
  <si>
    <t>Устройство подливки колонн Км2-2(6 шт ) толщиной 50мм</t>
  </si>
  <si>
    <t>Армированные колонн монолитной рамы Рм1-3 ПРЯМЫМИ стержнями диаметром 14 мм и более</t>
  </si>
  <si>
    <t>Армированные колонн монолитной рамы Рм1-3 ГНУТЫМИ стержнями диаметром до 12 мм</t>
  </si>
  <si>
    <t>Армированные балки монолитной рамы Рм1-3 ГНУТЫМИ стержнями диаметром до 12 мм</t>
  </si>
  <si>
    <t>Армированные балки монолитной рамы Рм1-3 ГНУТЫМИ стержнями диаметром 14 мм и более</t>
  </si>
  <si>
    <t>Армированные балки монолитной рамы Рм1-3 ПРЯМЫМИ стержнями диаметром 14 мм и более</t>
  </si>
  <si>
    <t>Монтаж и демонтаж опалубки заводского изготовления колонн монолитной рамы Рм1-3</t>
  </si>
  <si>
    <t>Монтаж и демонтаж опалубки заводского изготовления балок монолитной рамы Рм1-3</t>
  </si>
  <si>
    <t xml:space="preserve">Бетонирование колонн монолитной рамы Рм1-3 из бетона B25 W8 F200 </t>
  </si>
  <si>
    <t xml:space="preserve">Бетонирование балок монолитной рамы Рм1-3 из бетона B25 W8 F200 </t>
  </si>
  <si>
    <t>Устройство подливки колонн монолитной рамы Рм1-3 (2 шт ) толщиной 50мм</t>
  </si>
  <si>
    <t>Армированные колонн монолитной рамы Рм1-4 ПРЯМЫМИ стержнями диаметром 14 мм и более</t>
  </si>
  <si>
    <t>Армированные колонн монолитной рамы Рм1-4 ГНУТЫМИ стержнями диаметром до 12 мм</t>
  </si>
  <si>
    <t>Армированные балки монолитной рамы Рм1-4 ГНУТЫМИ стержнями диаметром до 12 мм</t>
  </si>
  <si>
    <t>Армированные балки монолитной рамы Рм1-4 ГНУТЫМИ стержнями диаметром 14 мм и более</t>
  </si>
  <si>
    <t>Армированные балки монолитной рамы Рм1-4 ПРЯМЫМИ стержнями диаметром 14 мм и более</t>
  </si>
  <si>
    <t>Монтаж и демонтаж опалубки заводского изготовления колонн монолитной рамы Рм1-4</t>
  </si>
  <si>
    <t>Монтаж и демонтаж опалубки заводского изготовления балок монолитной рамы Рм1-4</t>
  </si>
  <si>
    <t xml:space="preserve">Бетонирование колонн монолитной рамы Рм1-4 из бетона B25 W8 F200 </t>
  </si>
  <si>
    <t xml:space="preserve">Бетонирование балок монолитной рамы Рм1-4 из бетона B25 W8 F200 </t>
  </si>
  <si>
    <t>Устройство подливки колонн монолитной рамы Рм1-4 (2 шт ) толщиной 50мм</t>
  </si>
  <si>
    <t>Устройство бетонной подготовки фундаментов РСм1 из бетона В10, толщ. 100 мм (3 шт.)</t>
  </si>
  <si>
    <t>Армирование фундамента РСм1 (3 шт)  ГНУТЫМИ стержнями диаметром  до 12 мм</t>
  </si>
  <si>
    <t>Армирование фундамента РСм1 (3 шт)  ПРЯМЫМИ стержнями диаметром до 12 мм</t>
  </si>
  <si>
    <t>Армирование фундамента РСм1 (3 шт)  ГНУТЫМИ стержнями диаметром до 12 мм</t>
  </si>
  <si>
    <t>Армирование фундамента РСм1 (3 шт) ГНУТЫМИ сварными стержнями диаметром 14 мм и более</t>
  </si>
  <si>
    <t xml:space="preserve">Монтаж и демонтаж опалубки фундамента РСм1 (3 шт) </t>
  </si>
  <si>
    <t xml:space="preserve">Бетонирование фундамента РСм1 (3 шт) </t>
  </si>
  <si>
    <t>Устройство бетонной подготовки фундаментов РСм4 из бетона В10, толщ. 100 мм (22 шт.)</t>
  </si>
  <si>
    <t>Армирование фундамента РСм4 (22 шт)  ГНУТЫМИ стержнями диаметром  до 12 мм</t>
  </si>
  <si>
    <t>Армирование фундамента РСм4 (22 шт)  ПРЯМЫМИ стержнями диаметром до 12 мм</t>
  </si>
  <si>
    <t>Армирование фундамента РСм4 (22 шт) ГНУТЫМИ сварными стержнями диаметром 14 мм и более</t>
  </si>
  <si>
    <t>Монтаж и демонтаж опалубки фундамента РСм4 (22 шт)</t>
  </si>
  <si>
    <t>Бетонирование фундамента РСм4 (22 шт)</t>
  </si>
  <si>
    <t>Устройство бетонной подготовки фундаментов РСм2 из бетона В10, толщ. 100 мм (14 шт.)</t>
  </si>
  <si>
    <t>Армирование фундамента РСм2 (14 шт)  ГНУТЫМИ стержнями диаметром  до 12 мм</t>
  </si>
  <si>
    <t>Армирование фундамента РСм2 (14 шт)  ПРЯМЫМИ стержнями диаметром до 12 мм</t>
  </si>
  <si>
    <t>Армирование фундамента РСм2 (14 шт) ГНУТЫМИ сварными стержнями диаметром 14 мм и более</t>
  </si>
  <si>
    <t>Монтаж и демонтаж опалубки фундамента РСм2 (14 шт)</t>
  </si>
  <si>
    <t>Бетонирование фундамента РСм2 (14 шт)</t>
  </si>
  <si>
    <t>Устройство бетонной подготовки фундаментов РСм3 из бетона В10, толщ. 100 мм (2 шт.)</t>
  </si>
  <si>
    <t>Армирование фундамента РСм3 (2 шт)  ГНУТЫМИ стержнями диаметром  до 12 мм</t>
  </si>
  <si>
    <t>Армирование фундамента РСм3 (2 шт)  ПРЯМЫМИ стержнями диаметром до 12 мм</t>
  </si>
  <si>
    <t>Армирование фундамента РСм3 (2 шт) ГНУТЫМИ сварными стержнями диаметром 14 мм и более</t>
  </si>
  <si>
    <t>Монтаж и демонтаж опалубки фундамента РСм3 (2 шт)</t>
  </si>
  <si>
    <t>Бетонирование фундамента РСм3 (2 шт)</t>
  </si>
  <si>
    <t>Устройство бетонной подготовки фундаментов РСм4 из бетона В10, толщ. 100 мм (6 шт.)</t>
  </si>
  <si>
    <t>Армирование фундамента РСм4 (6 шт)  ГНУТЫМИ стержнями диаметром  до 12 мм</t>
  </si>
  <si>
    <t>Армирование фундамента РСм4 (6 шт)  ПРЯМЫМИ стержнями диаметром  до 12 мм</t>
  </si>
  <si>
    <t>Армирование фундамента РСм4 (6 шт) ГНУТЫМИ сварными стержнями диаметром 14 мм и более</t>
  </si>
  <si>
    <t>Монтаж и демонтаж опалубки фундамента РСм4 (6 шт)</t>
  </si>
  <si>
    <t>Бетонирование фундамента РСм4 (6 шт)</t>
  </si>
  <si>
    <t>Армированные колонн Км1 (3 шт) ГНУТЫМИ стержнями диаметром до 12 мм</t>
  </si>
  <si>
    <t>Армированные колонн Км1 (3 шт) ПРЯМЫМИ стержнями диаметром 14 мм и более</t>
  </si>
  <si>
    <t>Монтаж и демонтаж опалубки заводского изготовления колонн Км1 (3 шт)</t>
  </si>
  <si>
    <t xml:space="preserve">Бетонирование колонн Км1 (3 шт) из бетона B25 W8 F200 </t>
  </si>
  <si>
    <t>Устройство подливки колонн Км1 толщиной 50мм
(3 шт)</t>
  </si>
  <si>
    <t>Монтаж закладных деталей ЗДИ3 колонн Км1-1  весом от
8,1-12,0кг.</t>
  </si>
  <si>
    <t>Монтаж закладных деталей ЗДИ7 колонн Км1-1 весом от
8,1-15,0кг.</t>
  </si>
  <si>
    <t>Армированные колонн Км4 (5 шт) ГНУТЫМИ стержнями диаметром до 12 мм</t>
  </si>
  <si>
    <t>Армированные колонн Км4 (5 шт) ПРЯМЫМИ стержнями диаметром 14 мм и более</t>
  </si>
  <si>
    <t>Монтаж и демонтаж опалубки заводского изготовления колонн Км4 (5 шт)</t>
  </si>
  <si>
    <t xml:space="preserve">Бетонирование колонн Км4 (5 шт) из бетона B25 W8 F200 </t>
  </si>
  <si>
    <t>Устройство подливки колонн Км4 толщиной 50мм
(5 шт)</t>
  </si>
  <si>
    <t>Монтаж закладных деталей ЗДИ1 колонн Км4-1  весом от
8,1-12,0кг.</t>
  </si>
  <si>
    <t>Монтаж закладных деталей ЗДИ2 колонн Км4-1 весом от
15,1-20,0кг.</t>
  </si>
  <si>
    <t>Монтаж закладных деталей ЗДИ1 колонн Км4-2  весом от
8,1-12,0кг.</t>
  </si>
  <si>
    <t>Монтаж закладных деталей ЗДИ2 колонн Км4-2 весом от
15,1-20,0кг.</t>
  </si>
  <si>
    <t>Армированные колонн Км4 (2 шт) ГНУТЫМИ стержнями диаметром до 12 мм</t>
  </si>
  <si>
    <t>Армированные колонн Км4 (2 шт) ПРЯМЫМИ стержнями диаметром 14 мм и более</t>
  </si>
  <si>
    <t>Монтаж и демонтаж опалубки заводского изготовления колонн Км4 (2 шт)</t>
  </si>
  <si>
    <t xml:space="preserve">Бетонирование колонн Км4 (2 шт) из бетона B25 W8 F200 </t>
  </si>
  <si>
    <t>Устройство подливки колонн Км4 толщиной 50мм
(2 шт)</t>
  </si>
  <si>
    <t>Монтаж закладных деталей ЗДИ1 колонн Км4-3  весом от
8,1-12,0кг.</t>
  </si>
  <si>
    <t>Монтаж закладных деталей ЗДИ3 колонн Км4-3 весом от
8,1-120кг.</t>
  </si>
  <si>
    <t>Монтаж закладных деталей ЗДИ7 колонн Км4-1 весом от
8,1-15,0кг.</t>
  </si>
  <si>
    <t>Монтаж закладных деталей ЗДИ1 колонн Км4-4  весом от
8,1-12,0кг.</t>
  </si>
  <si>
    <t>Монтаж закладных деталей ЗДИ7 колонн Км4-4 весом от
8,1-15,0кг.</t>
  </si>
  <si>
    <t>Устройство подливки колонн Км4 толщиной 50мм
(1 шт)</t>
  </si>
  <si>
    <t>Монтаж закладных деталей ЗДИ1 колонн Км4-5  весом от
8,1-12,0кг.</t>
  </si>
  <si>
    <t>Монтаж закладных деталей ЗДИ2 колонн Км4-5  весом от
15,1-20,0кг.</t>
  </si>
  <si>
    <t>Монтаж закладных деталей ЗДИ6 колонн Км4-5   весом от
12,1-20,0кг.</t>
  </si>
  <si>
    <t>Монтаж закладных деталей ЗДИ1 колонн Км4-6  весом от
8,1-12,0кг.</t>
  </si>
  <si>
    <t>Монтаж закладных деталей ЗДИ2 колонн Км4-6  весом от
15,1-20,0кг.</t>
  </si>
  <si>
    <t>Монтаж закладных деталей ЗДИ6 колонн Км4-6  весом от
12,1-20,0кг.</t>
  </si>
  <si>
    <t>Монтаж закладных деталей ЗДИ1 колонн Км4-7  весом от
8,1-12,0кг.</t>
  </si>
  <si>
    <t>Монтаж закладных деталей ЗДИ2 колонн Км4-7  весом от
8,1-12,0кг.</t>
  </si>
  <si>
    <t>Монтаж закладных деталей ЗДИ8 колонн Км4-7 весом от
5,1-8,0кг.</t>
  </si>
  <si>
    <t>Монтаж закладных деталей ЗДИ1 колонн Км4-8  весом от
8,1-12,0кг.</t>
  </si>
  <si>
    <t>Монтаж закладных деталей ЗДИ2 колонн Км4-8  весом от
8,1-12,0кг.</t>
  </si>
  <si>
    <t>Монтаж закладных деталей ЗДИ8 колонн Км4-8 весом от
5,1-8,0кг.</t>
  </si>
  <si>
    <t>Армированные колонн раме Рм2 (1 шт) ГНУТЫМИ стержнями диаметром до 12 мм</t>
  </si>
  <si>
    <t>Армированные балок раме Рм2 (1 шт) ГНУТЫМИ стержнями диаметром до 12 мм</t>
  </si>
  <si>
    <t>Армированные колонн раме Рм2  (1 шт) ПРЯМЫМИ стержнями диаметром 14 мм и более</t>
  </si>
  <si>
    <t>Армированные балок раме Рм2  (1 шт) ПРЯМЫМИ стержнями диаметром 14 мм и более</t>
  </si>
  <si>
    <t>Армированные раме Рм2  (1 шт) ГНУТЫМИ стержнями диаметром 14 мм и более</t>
  </si>
  <si>
    <t>Монтаж и демонтаж опалубки  заводского изготовления колонн раме Рм2  (1 шт)</t>
  </si>
  <si>
    <t>Монтаж и демонтаж опалубки заводского изготовления балок раме Рм2  (1 шт)</t>
  </si>
  <si>
    <t xml:space="preserve">Бетонирование колонн раме Рм2 (1 шт) из бетона B25 W8 F200 </t>
  </si>
  <si>
    <t xml:space="preserve">Бетонирование балок раме Рм2 (1 шт) из бетона B25 W8 F200 </t>
  </si>
  <si>
    <t>Устройство подливки раме Рм2 толщиной 50мм
(1 шт)</t>
  </si>
  <si>
    <t>Монтаж закладных деталей ЗДИ1 раме Рм2а  весом от
8,1-12,0кг.</t>
  </si>
  <si>
    <t>Монтаж закладных деталей ЗДИ3 раме Рм2а  весом от
8,1-12,0кг.</t>
  </si>
  <si>
    <t>Монтаж закладных деталей ЗДИ4 раме Рм2а  весом от
12,1-20,0кг.</t>
  </si>
  <si>
    <t>Монтаж закладных деталей ЗДИ5 раме Рм2а  весом от
20,1-30,0кг.</t>
  </si>
  <si>
    <t>Монтаж закладных деталей ЗДИ6 раме Рм2а  весом от
12,1-20,0кг.</t>
  </si>
  <si>
    <t>Монтаж закладных деталей ЗДИ8 раме Рм2а  весом от
12,1-20,0кг.</t>
  </si>
  <si>
    <t>Монтаж и демонтаж опалубки заводского изготовления колонн раме Рм2  (1 шт)</t>
  </si>
  <si>
    <t xml:space="preserve">Бетонирование раме Рм2 (1 шт) из бетона B25 W8 F200 </t>
  </si>
  <si>
    <t>Монтаж закладных деталей ЗДИ1 раме Рм2б  весом от
8,1-12,0кг.</t>
  </si>
  <si>
    <t>Монтаж закладных деталей ЗДИ3 раме Рм2б  весом от
8,1-12,0кг.</t>
  </si>
  <si>
    <t>Монтаж закладных деталей ЗДИ4 раме Рм2б  весом от
12,1-20,0кг.</t>
  </si>
  <si>
    <t>Монтаж закладных деталей ЗДИ5 раме Рм2б  весом от
20,1-30,0кг.</t>
  </si>
  <si>
    <t>Монтаж закладных деталей ЗДИ6 раме Рм2б  весом от
12,1-20,0кг.</t>
  </si>
  <si>
    <t>Монтаж закладных деталей ЗДИ8 раме Рм2б  весом от
12,1-20,0кг.</t>
  </si>
  <si>
    <t>Монтаж закладных деталей ЗДИ1 колонн Км1-1  весом от
8,1-12,0кг.</t>
  </si>
  <si>
    <t>Монтаж закладных деталей ЗДИ2 колонн Км1-1 весом от
8,1-15,0кг.</t>
  </si>
  <si>
    <t>Армированные колонн Км2 (2 шт) ГНУТЫМИ стержнями диаметром до 12 мм</t>
  </si>
  <si>
    <t>Армированные колонн Км2 (2 шт) ПРЯМЫМИ стержнями диаметром 14 мм и более</t>
  </si>
  <si>
    <t>Монтаж и демонтаж опалубки заводского изготовления колонн Км2 (2 шт)</t>
  </si>
  <si>
    <t xml:space="preserve">Бетонирование колонн Км2 (2 шт) из бетона B25 W8 F200 </t>
  </si>
  <si>
    <t>Устройство подливки колонн Км2 толщиной 50мм
(2 шт)</t>
  </si>
  <si>
    <t>Монтаж закладных деталей ЗДИ1 колонн Км2-1  весом от
8,1-12,0кг.</t>
  </si>
  <si>
    <t>Монтаж закладных деталей ЗДИ2 колонн Км2-1 весом от
15,1-20,0кг.</t>
  </si>
  <si>
    <t>Монтаж закладных деталей ЗДИ1 колонн Км2-2  весом от
8,1-12,0кг.</t>
  </si>
  <si>
    <t>Монтаж закладных деталей ЗДИ2 колонн Км2-2 весом от
15,1-20,0кг.</t>
  </si>
  <si>
    <t>Монтаж закладных деталей ЗДИ8 колонн Км2-2 весом от
5,1-8,0кг.</t>
  </si>
  <si>
    <t>Армированные колонн Км2 (3 шт) ПРЯМЫМИ стержнями диаметром 14 мм и более</t>
  </si>
  <si>
    <t>Монтаж и демонтаж опалубки заводского изготовления колонн Км2 (3 шт)</t>
  </si>
  <si>
    <t xml:space="preserve">Бетонирование колонн Км2 (3 шт) из бетона B25 W8 F200 </t>
  </si>
  <si>
    <t>Устройство подливки колонн Км2 толщиной 50мм
(3 шт)</t>
  </si>
  <si>
    <t>Монтаж закладных деталей ЗДИ1 колонн Км2-3  весом от
8,1-12,0кг.</t>
  </si>
  <si>
    <t>Монтаж закладных деталей ЗДИ2 колонн Км2-3 весом от
8,1-12,0кг.</t>
  </si>
  <si>
    <t>Монтаж закладных деталей ЗДИ7 колонн Км2-3 весом от
8,1-12,0кг.</t>
  </si>
  <si>
    <t>Монтаж закладных деталей ЗДИ1 колонн Км2-4  весом от
8,1-12,0кг.</t>
  </si>
  <si>
    <t>Монтаж закладных деталей ЗДИ7 колонн Км2-4 весом от
8,1-12,0кг.</t>
  </si>
  <si>
    <t>Армированные колонн Км3 (2 шт) ГНУТЫМИ стержнями диаметром до 12 мм</t>
  </si>
  <si>
    <t>Армированные колонн Км3 (2 шт)) ПРЯМЫМИ стержнями диаметром 14 мм и более</t>
  </si>
  <si>
    <t>Монтаж и демонтаж опалубки заводского изготовления колонн Км3 (2 шт)</t>
  </si>
  <si>
    <t xml:space="preserve">Бетонирование колонн Км3 (2 шт)) из бетона B25 W8 F200 </t>
  </si>
  <si>
    <t>Устройство подливки колонн Км3 толщиной 50мм
(2 шт)</t>
  </si>
  <si>
    <t>Монтаж закладных деталей ЗДИ1 колонн Км3-1  весом от
8,1-12,0кг.</t>
  </si>
  <si>
    <t>Монтаж закладных деталей ЗДИ2 колонн Км3-1  весом от
15,1-20,0кг.</t>
  </si>
  <si>
    <t>Армированные колонн раме Рм1 (1 шт) ГНУТЫМИ стержнями диаметром до 12 мм</t>
  </si>
  <si>
    <t>Армированные балок раме Рм1 (1 шт) ГНУТЫМИ стержнями диаметром до 12 мм</t>
  </si>
  <si>
    <t>Армированные колонн раме Рм1 (1 шт) ПРЯМЫМИ стержнями диаметром 14 мм и более</t>
  </si>
  <si>
    <t>Армированные балок раме Рм1 (1 шт) ПРЯМЫМИ стержнями диаметром 14 мм и более</t>
  </si>
  <si>
    <t>Армированные раме Рм1 (1 шт) ГНУТЫМИ стержнями диаметром 14 мм и более</t>
  </si>
  <si>
    <t>Монтаж и демонтаж опалубки заводского изготовления колонн раме Рм1 (1 шт)</t>
  </si>
  <si>
    <t>Монтаж и демонтаж опалубки заводского изготовления балок раме Рм1 (1 шт)</t>
  </si>
  <si>
    <t xml:space="preserve">Бетонирование раме Рм1 (1 шт) из бетона B25 W8 F200 </t>
  </si>
  <si>
    <t xml:space="preserve">Бетонирование балок раме Рм1 (1 шт) из бетона B25 W8 F200 </t>
  </si>
  <si>
    <t>Устройство подливки раме Рм1 толщиной 50мм
(1 шт)</t>
  </si>
  <si>
    <t>Монтаж закладных деталей ЗДИ1 раме Рм1а  весом от
8,1-12,0кг.</t>
  </si>
  <si>
    <t>Монтаж закладных деталей ЗДИ3 раме Рм1а  весом от
8,1-12,0кг.</t>
  </si>
  <si>
    <t>Монтаж закладных деталей ЗДИ4 раме Рм1а  весом от
12,1-20,0кг.</t>
  </si>
  <si>
    <t>Монтаж закладных деталей ЗДИ5 раме Рм1а  весом от
20,1-30,0кг.</t>
  </si>
  <si>
    <t xml:space="preserve">Бетонирование колонн раме Рм1 (1 шт) из бетона B25 W8 F200 </t>
  </si>
  <si>
    <t>Монтаж закладных деталей ЗДИ8 раме Рм1а весом от
5,1-8,0кг.</t>
  </si>
  <si>
    <t>Армированные балок  раме Рм2  (1 шт) ПРЯМЫМИ стержнями диаметром 14 мм и более</t>
  </si>
  <si>
    <t>Монтаж закладных деталей ЗДИ1 раме Рм2в  весом от
8,1-12,0кг.</t>
  </si>
  <si>
    <t>Монтаж закладных деталей ЗДИ3 раме Рм2в  весом от
8,1-12,0кг.</t>
  </si>
  <si>
    <t>Монтаж закладных деталей ЗДИ4 раме Рм2в  весом от
12,1-20,0кг.</t>
  </si>
  <si>
    <t>Монтаж закладных деталей ЗДИ5 раме Рм2в  весом от
20,1-30,0кг.</t>
  </si>
  <si>
    <t>Устройство песчаной подготовки под фундамент, Вручную</t>
  </si>
  <si>
    <t>Устройство бетонной подготовки фундаментов РСм1 из бетона В10, толщ. 100 мм (12 шт.)</t>
  </si>
  <si>
    <t>Армирование фундамента РСм1 (12 шт)  ГНУТЫМИ стержнями диаметром  до 12 мм</t>
  </si>
  <si>
    <t>Армирование фундамента РСм1 (12 шт)  ПРЯМЫМИ стержнями диаметром 14 мм и более</t>
  </si>
  <si>
    <t>Армирование фундамента РСм1 (12 шт) ГНУТЫМИ сварными стержнями диаметром 14 мм и более</t>
  </si>
  <si>
    <t xml:space="preserve">Монтаж и демонтаж опалубки фундамента РСм1 (12 шт) </t>
  </si>
  <si>
    <t xml:space="preserve">Бетонирование фундамента РСм1 (12 шт) </t>
  </si>
  <si>
    <t>Устройство бетонной подготовки фундаментов РСм2 из бетона В10, толщ. 100 мм (12 шт.)</t>
  </si>
  <si>
    <t>Армирование фундамента РСм2 (12шт)  ГНУТЫМИ стержнями диаметром  до 12 мм</t>
  </si>
  <si>
    <t>Армирование фундамента РСм2 (12 шт)  ПРЯМЫМИ стержнями диаметром 14 мм и более</t>
  </si>
  <si>
    <t>Армирование фундамента РСм2 (12 шт) ГНУТЫМИ сварными стержнями диаметром 14 мм и более</t>
  </si>
  <si>
    <t>Монтаж и демонтаж опалубки фундамента РСм2 (12 шт)</t>
  </si>
  <si>
    <t>Бетонирование фундамента РСм2 (12 шт)</t>
  </si>
  <si>
    <t>Армированные колонн Км1 (4 шт) ГНУТЫМИ стержнями диаметром до 12 мм</t>
  </si>
  <si>
    <t>Армированные колонн Км1 (4 шт) ПРЯМЫМИ стержнями диаметром 14 мм и более</t>
  </si>
  <si>
    <t>Монтаж и демонтаж опалубки заводского изготовления колонн Км1(4 шт)</t>
  </si>
  <si>
    <t xml:space="preserve">Бетонирование колонн Км1(4 шт) из бетона B25 W8 F200 </t>
  </si>
  <si>
    <t>Устройство подливки колонн Км1 толщиной 50мм
(4 шт)</t>
  </si>
  <si>
    <t>Монтаж закладных деталей ЗДИ2 колонн Км1-1 весом от 12,1-20,0кг</t>
  </si>
  <si>
    <t>Монтаж закладных деталей ЗДИ5 колонн Км1-1 весом от 8,1-12,0кг</t>
  </si>
  <si>
    <t>Монтаж закладных деталей ЗДИ1 колонн Км1-2 весом от
8,1-12,0кг.</t>
  </si>
  <si>
    <t>Монтаж закладных деталей ЗДИ2 колонн Км1-2 весом от 12,1-20,0кг</t>
  </si>
  <si>
    <t>Монтаж закладных деталей ЗДИ5 колонн Км1-2 весом от 8,1-12,0кг</t>
  </si>
  <si>
    <t>Устройство подливки колонн Км2 толщиной 50мм
(1 шт)</t>
  </si>
  <si>
    <t>Монтаж закладных деталей ЗДИ1 колонн Км2-7  весом от 5,1-8,0кг.</t>
  </si>
  <si>
    <t>Монтаж закладных деталей ЗДИ2 колонн Км2-7 весом от 12,1-20,0кг</t>
  </si>
  <si>
    <t>Монтаж закладных деталей ЗДИ5 колонн Км2-7 весом от 8,1-12,0кг</t>
  </si>
  <si>
    <t>Монтаж закладных деталей ЗДИ9 колонн Км2-7, весом от 8,1-12,0кг</t>
  </si>
  <si>
    <t>Монтаж закладных деталей ЗДИ2 колонн Км2-1 весом от 12,1-20,0кг</t>
  </si>
  <si>
    <t>Монтаж закладных деталей ЗДИ5 колонн Км2-1 весом от 8,1-12,0кг</t>
  </si>
  <si>
    <t>Монтаж закладных деталей ЗДИ2 колонн Км2-2 весом от 12,1-20,0кг</t>
  </si>
  <si>
    <t>Монтаж закладных деталей ЗДИ5 колонн Км2-2 весом от 8,1-12,0кг</t>
  </si>
  <si>
    <t>Монтаж закладных деталей ЗДИ2 колонн Км2-3 весом от 12,1-20,0кг</t>
  </si>
  <si>
    <t>Монтаж закладных деталей ЗДИ5 колонн Км2-3 весом от 8,1-12,0кг</t>
  </si>
  <si>
    <t>Монтаж закладных деталей ЗДИ6 колонн Км2-3 весом от 8,1-12,0кг</t>
  </si>
  <si>
    <t>Монтаж закладных деталей ЗДИ9 колонн Км2-3 весом от 8,1-12,0кг</t>
  </si>
  <si>
    <t>Монтаж закладных деталей ЗДИ2 колонн Км2-4 весом от 12,1-20,0кг</t>
  </si>
  <si>
    <t>Монтаж закладных деталей ЗДИ5 колонн Км2-4 весом от 8,1-12,0кг</t>
  </si>
  <si>
    <t>Монтаж закладных деталей ЗДИ6 колонн Км2-4 весом от 8,1-12,0кг</t>
  </si>
  <si>
    <t>Монтаж закладных деталей ЗДИ9 колонн Км2-4 весом от 8,1-12,0кг</t>
  </si>
  <si>
    <t>Монтаж закладных деталей ЗДИ5 колонн Км2-5 весом от 8,1-12,0кг</t>
  </si>
  <si>
    <t>Монтаж закладных деталей ЗДИ6 колонн Км2-5 весом от 8,1-12,0кг</t>
  </si>
  <si>
    <t>Монтаж закладных деталей ЗДИ7 колонн Км2-5 весом от 12,1-20,0кг</t>
  </si>
  <si>
    <t>Монтаж закладных деталей ЗДИ9 колонн Км2-5 весом от 8,1-12,0кг</t>
  </si>
  <si>
    <t>Монтаж закладных деталей ЗДИ5 колонн Км2-6 весом от 8,1-12,0кг</t>
  </si>
  <si>
    <t>Монтаж закладных деталей ЗДИ6 колонн Км2-6 весом от 8,1-12,0кг</t>
  </si>
  <si>
    <t>Монтаж закладных деталей ЗДИ7 колонн Км2-6 весом от 12,1-20,0кг</t>
  </si>
  <si>
    <t>Монтаж закладных деталей ЗДИ9 колонн Км2-6 весом от 8,1-12,0кг</t>
  </si>
  <si>
    <t>Армированные раме Рм1 (1 шт) ГНУТЫМИ стержнями диаметром до 12 мм - балки</t>
  </si>
  <si>
    <t>Армированные раме Рм1 (1 шт) ГНУТЫМИ стержнями диаметром до 12 мм - колонны</t>
  </si>
  <si>
    <t>Армированные раме Рм1  (1 шт) ПРЯМЫМИ стержнями диаметром 14 мм и более - колонны</t>
  </si>
  <si>
    <t>Армированные раме Рм1 (1 шт) ПРЯМЫМИ стержнями диаметром до 12 мм - балки</t>
  </si>
  <si>
    <t>Армированные раме Рм1  (1 шт) ГНУТЫМИ стержнями диаметром 14 мм и более</t>
  </si>
  <si>
    <t>Монтаж и демонтаж опалубки заводского изготовления раме Рм1  (1 шт) - колонны</t>
  </si>
  <si>
    <t>Монтаж и демонтаж опалубки заводского изготовления раме Рм1  (1 шт) - балки</t>
  </si>
  <si>
    <t>Бетонирование из бетона B25 W8 F200 - колонны</t>
  </si>
  <si>
    <t>Бетонирование раме Рм1  (1 шт) из бетона B25 W8 F200 - балки</t>
  </si>
  <si>
    <t>Монтаж закладных деталей ЗДИ1 раме Рм1  весом от
8,1-12,0кг</t>
  </si>
  <si>
    <t>Монтаж закладных деталей ЗДИ2 раме Рм1  весом от
8,1-15,0кг.</t>
  </si>
  <si>
    <t>Монтаж закладных деталей ЗДИ3 раме Рм1  весом от
20,1-30,0кг.</t>
  </si>
  <si>
    <t>Монтаж закладных деталей ЗДИ4 раме Рм1  весом от
12,1-20,0кг.</t>
  </si>
  <si>
    <t>Монтаж закладных деталей ЗДИ5 колонн Рм1 весом от 8,1-12,0кг</t>
  </si>
  <si>
    <t>Монтаж закладных деталей ЗДИ6 колонн Рм1 весом от 8,1-12,0кг</t>
  </si>
  <si>
    <t>Монтаж закладных деталей ЗДИ7 колонн Рм1 весом от 12,1-20,0кг</t>
  </si>
  <si>
    <t>Монтаж закладных деталей ЗДИ8 колонн Рм1 весом от 2,1-5,0кг</t>
  </si>
  <si>
    <t>Армированные раме Рм1  (1 шт) ГНУТЫМИ стержнями диаметром 14 мм и более - балки</t>
  </si>
  <si>
    <t>Монтаж закладных деталей ЗДИ1 раме Рм1  весом от
5,1-8,0кг.</t>
  </si>
  <si>
    <t>Армированные раме Рм2 (1 шт) ГНУТЫМИ стержнями диаметром до 12 мм - балки</t>
  </si>
  <si>
    <t>Армированные раме Рм2 (1 шт) ГНУТЫМИ стержнями диаметром до 12 мм - колонны</t>
  </si>
  <si>
    <t xml:space="preserve">Армированные раме Рм2 (1 шт) ГНУТЫМИ стержнями диаметром до 12 мм - колонны - Изготовление </t>
  </si>
  <si>
    <t xml:space="preserve">Армированные раме Рм2 (1 шт) ГНУТЫМИ стержнями диаметром до 12 мм - колонны- Монтаж </t>
  </si>
  <si>
    <t>Армированные раме Рм2  (1 шт) ПРЯМЫМИ стержнями диаметром 14 мм и болеем - колонны</t>
  </si>
  <si>
    <t xml:space="preserve">Армированные раме Рм2  (1 шт) ПРЯМЫМИ стержнями диаметром 14 мм и болеем - колонны -Изготовление </t>
  </si>
  <si>
    <t xml:space="preserve">Армированные раме Рм2  (1 шт) ПРЯМЫМИ стержнями диаметром 14 мм и болеем - колонны -Монтаж </t>
  </si>
  <si>
    <t>Армированные раме Рм2 (1 шт) ПРЯМЫМИ стержнями диаметром до 12 мм - балки</t>
  </si>
  <si>
    <t>Армированные раме Рм2  (1 шт) ГНУТЫМИ стержнями диаметром 14 мм и более - балки</t>
  </si>
  <si>
    <t>Монтаж и демонтаж опалубки заводского изготовления раме Рм2 (1 шт) - колонны</t>
  </si>
  <si>
    <t>Монтаж и демонтаж опалубки заводского изготовления раме Рм2 (1 шт) - балки</t>
  </si>
  <si>
    <t>Бетонирование раме Рм2 (1 шт) из бетона B25 W8 F200  - балки</t>
  </si>
  <si>
    <t>Монтаж закладных деталей ЗДИ1 раме Рм2  весом от
5,1-8,0кг.</t>
  </si>
  <si>
    <t>Монтаж закладных деталей ЗДИ2 раме Рм2  весом от
8,1-15,0кг.</t>
  </si>
  <si>
    <t>Монтаж закладных деталей ЗДИ3 раме Рм2  весом от
20,1-30,0кг.</t>
  </si>
  <si>
    <t>Монтаж закладных деталей ЗДИ4 раме Рм2  весом от
12,1-20,0кг.</t>
  </si>
  <si>
    <t>Монтаж закладных деталей ЗДИ5 колонн Рм2 весом от 8,1-12,0кг</t>
  </si>
  <si>
    <t>Монтаж закладных деталей ЗДИ6 колонн Рм2 весом от 8,1-12,0кг</t>
  </si>
  <si>
    <t>Армированные раме Рм2а (1 шт) ГНУТЫМИ стержнями диаметром до 12 мм - балки</t>
  </si>
  <si>
    <t>Армированные раме Рм2а (1 шт) ГНУТЫМИ стержнями диаметром до 12 мм - колонны</t>
  </si>
  <si>
    <t>Армированные раме Рм2а  (1 шт) ПРЯМЫМИ стержнями диаметром 14 мм и более - колонны</t>
  </si>
  <si>
    <t>Армированные раме Рм2а (1 шт) ПРЯМЫМИ стержнями диаметром до 12 мм - балки</t>
  </si>
  <si>
    <t>Армированные раме Рм2а  (1 шт) ГНУТЫМИ стержнями диаметром 14 мм и более - балки</t>
  </si>
  <si>
    <t>Монтаж и демонтаж опалубки заводского изготовления раме Рм2а (1 шт) - колонны</t>
  </si>
  <si>
    <t>Монтаж и демонтаж опалубки заводского изготовления раме Рм2а (1 шт) - балки</t>
  </si>
  <si>
    <t>Бетонирование раме Рм2а (1 шт) из бетона B25 W8 F200 - балки</t>
  </si>
  <si>
    <t>Устройство подливки раме Рм2а толщиной 50мм
(1 шт)</t>
  </si>
  <si>
    <t>Монтаж закладных деталей ЗДИ1 раме Рм2а  весом от
5,1-8,0кг.</t>
  </si>
  <si>
    <t>Монтаж закладных деталей ЗДИ2 раме Рм2а  весом от
8,1-15,0кг.</t>
  </si>
  <si>
    <t>Монтаж закладных деталей ЗДИ3 раме Рм2а  весом от
20,1-30,0кг.</t>
  </si>
  <si>
    <t>Монтаж закладных деталей ЗДИ4 раме Рм2а весом от
12,1-20,0кг.</t>
  </si>
  <si>
    <t>Монтаж закладных деталей ЗДИ5 колонн Рм2a весом от 8,1-12,0кг</t>
  </si>
  <si>
    <t>Монтаж закладных деталей ЗДИ6 колонн Рм2a весом от 8,1-12,0кг</t>
  </si>
  <si>
    <t>Устройство бетонной подготовки фундаментов РСм1 из бетона В10, толщ. 100 мм(1 шт.)</t>
  </si>
  <si>
    <t>Армированные фундамента РСм1 (1 шт)  ПРЯМЫМИ стержнями диаметром 14 мм и более</t>
  </si>
  <si>
    <t>Армированные фундамента РСм1 (1 шт) ГНУТЫМИ стержнями диаметром 14 мм и более</t>
  </si>
  <si>
    <t>Армированные фундамента  РСм1 (1 шт)  ГНУТЫМИ стержнями диаметром  до 12 мм</t>
  </si>
  <si>
    <t xml:space="preserve">Установка анкерных болтов (перед бетонированием) диаметром от Ø20мм до Ø40мм </t>
  </si>
  <si>
    <t>Монтаж - демонтаж опалубки заводского изготовления для фундамента  РСм1 (1 шт) нижний ярус</t>
  </si>
  <si>
    <t>Монтаж - демонтаж опалубки заводского изготовления для фундамента  РСм1 (1 шт) верхний ярус</t>
  </si>
  <si>
    <t>Устройство фундамента  РСм1 (1 шт) из бетона  B25 W8 F200</t>
  </si>
  <si>
    <t>Устройство подливки толщиной 50мм фундаментов РСм2 (3 шт) из бетона  B30 W8 F200</t>
  </si>
  <si>
    <t>Устройство бетонной подготовки фундаментов РСм2 из бетона В10, толщ. 100 мм(1 шт.)</t>
  </si>
  <si>
    <t>Армированные фундамента РСм2 (1 шт)  ПРЯМЫМИ стержнями диаметром 14 мм и более</t>
  </si>
  <si>
    <t>Армированные фундамента РСм2 (1 шт) ГНУТЫМИ стержнями диаметром 14 мм и более</t>
  </si>
  <si>
    <t>Армированные фундамента  РСм2 (1 шт)  ГНУТЫМИ стержнями диаметром  до 12 мм</t>
  </si>
  <si>
    <t>Монтаж - демонтаж опалубки заводского изготовления для фундамента  РСм2 (1 шт) нижний ярус</t>
  </si>
  <si>
    <t>Монтаж - демонтаж опалубки заводского изготовления для фундамента  РСм2 (1 шт) верхний ярус</t>
  </si>
  <si>
    <t>Устройство фундамента  РСм2 (1 шт) из бетона  B25 W8 F200</t>
  </si>
  <si>
    <t>Устройство бетонной подготовки фундаментов Фм1 из бетона В10, толщ. 100 мм(10 шт.)</t>
  </si>
  <si>
    <t>Армированные фундамента Фм1 (10 шт) ГНУТЫМИ стержнями диаметром 14 мм и более</t>
  </si>
  <si>
    <t>Армированные фундамента Фм1(10 шт)  ПРЯМЫМИ стержнями диаметром до 12 мм</t>
  </si>
  <si>
    <t>Армированные фундамента Фм1 (10 шт) ГНУТЫМИ стержнями диаметром до 12 мм</t>
  </si>
  <si>
    <t>Армированные фундамента  Фм1 (10 шт) ГНУТЫМИ стержнями диаметром  до 12 мм</t>
  </si>
  <si>
    <t>Монтаж - демонтаж опалубки заводского изготовления для фундамента  Фм1 (10 шт) нижний ярус</t>
  </si>
  <si>
    <t>Монтаж - демонтаж опалубки заводского изготовления для фундамента  Фм1 (10 шт) верхний ярус</t>
  </si>
  <si>
    <t>Устройство фундамента  Фм1 (10 шт) из бетона  B25 W8 F200</t>
  </si>
  <si>
    <t>Устройство подливки толщиной 50мм фундаментов Фм1 (10 шт) из бетона  B30 W8 F200</t>
  </si>
  <si>
    <t>Устройство бетонной подготовки фундаментов РСм1 из бетона В10, толщ. 100 мм(6 шт.)</t>
  </si>
  <si>
    <t>Армированные фундамента РСм1 (6 шт)  ПРЯМЫМИ стержнями диаметром 14 мм и более</t>
  </si>
  <si>
    <t>Армированные фундамента РСм1 (6 шт) ГНУТЫМИ стержнями диаметром 14 мм и более</t>
  </si>
  <si>
    <t>Армированные фундамента  РСм1 (6 шт)  ГНУТЫМИ стержнями диаметром  до 12 мм</t>
  </si>
  <si>
    <t>Монтаж - демонтаж опалубки заводского изготовления для фундамента  РСм1 (6 шт)</t>
  </si>
  <si>
    <t>Устройство фундамента  РСм1 (6 шт) из бетона  B25 W8 F200</t>
  </si>
  <si>
    <t>Устройство бетонной подготовки фундаментов Фм1 из бетона В10, толщ. 100 мм(4 шт.)</t>
  </si>
  <si>
    <t>Армированные фундамента Фм1 (4 шт) ГНУТЫМИ стержнями диаметром 14 мм и более</t>
  </si>
  <si>
    <t>Армированные фундамента Фм1 (4 шт)  ПРЯМЫМИ стержнями диаметром до 12 мм</t>
  </si>
  <si>
    <t>Армированные фундамента Фм1 (4 шт) ГНУТЫМИ стержнями диаметром до 12 мм</t>
  </si>
  <si>
    <t>Армированные фундамента  Фм1 (4 шт) ГНУТЫМИ стержнями диаметром  до 12 мм</t>
  </si>
  <si>
    <t>Монтаж - демонтаж опалубки заводского изготовления для фундамента  Фм1 (4 шт) нижний ярус</t>
  </si>
  <si>
    <t>Монтаж - демонтаж опалубки заводского изготовления для фундамента  Фм1 (4 шт) верхний ярус</t>
  </si>
  <si>
    <t>Устройство фундамента  Фм1 (4 шт) из бетона  B25 W8 F200</t>
  </si>
  <si>
    <t>Устройство подливки толщиной 50мм фундаментов Фм1 (4 шт) из бетона  B30 W8 F200</t>
  </si>
  <si>
    <t>Монтаж и демонтаж опалубки заводского изготовления колонн Км1 (4 шт)</t>
  </si>
  <si>
    <t xml:space="preserve">Бетонирование колонн Км1 (4 шт) из бетона B25 W8 F200 </t>
  </si>
  <si>
    <t>Монтаж закладных деталей ЗДИ1 колонн Км1а  весом от
8,1-12,0кг.</t>
  </si>
  <si>
    <t>Монтаж закладных деталей ЗДИ2 колонн Км1а весом от
20,1-30,0кг.</t>
  </si>
  <si>
    <t>Монтаж закладных деталей ЗДИ1 колонн Км1б  весом от
8,1-12,0кг.</t>
  </si>
  <si>
    <t>Монтаж закладных деталей ЗДИ2 колонн Км1б весом от
20,1-30,0кг.</t>
  </si>
  <si>
    <t>Армированные раме Рм1 (1 шт) ГНУТЫМИ стержнями диаметром до 12 мм</t>
  </si>
  <si>
    <t>Армированные раме Рм1 (1 шт) ПРЯМЫМИ стержнями диаметром 14 мм и более</t>
  </si>
  <si>
    <t>Монтаж и демонтаж опалубки заводского изготовления раме Рм1 (1 шт)</t>
  </si>
  <si>
    <t>Монтаж закладных деталей ЗДИ1 раме Рм1 весом от
8,1-12,0кг.</t>
  </si>
  <si>
    <t>Монтаж закладных деталей ЗДИ3 раме Рм1  весом от
15,1-20,0кг.</t>
  </si>
  <si>
    <t>Монтаж закладных деталей ЗДИ4 раме Рм1 весом от
15,1-20,0кг.</t>
  </si>
  <si>
    <t>Монтаж закладных деталей ЗДИ5 раме Рм1  весом от
8,1-12,0кг.</t>
  </si>
  <si>
    <t>Монтаж закладных деталей ЗДИ6 раме Рм1  весом от
8,1-12,0кг.</t>
  </si>
  <si>
    <t>Армированные раме Рм1а (1 шт) ГНУТЫМИ стержнями диаметром до 12 мм</t>
  </si>
  <si>
    <t>Армированные раме Рм1а (1 шт) ПРЯМЫМИ стержнями диаметром 14 мм и более</t>
  </si>
  <si>
    <t>Армированные раме Рм1а (1 шт) ГНУТЫМИ стержнями диаметром 14 мм и более</t>
  </si>
  <si>
    <t>Монтаж и демонтаж опалубки заводского изготовления раме Рм1а (1 шт)</t>
  </si>
  <si>
    <t xml:space="preserve">Бетонирование раме Рм1а (1 шт) из бетона B25 W8 F200 </t>
  </si>
  <si>
    <t>Устройство подливки раме Рм1а толщиной 50мм
(1 шт)</t>
  </si>
  <si>
    <t>Монтаж закладных деталей ЗДИ1 раме Рм1а весом от
8,1-12,0кг.</t>
  </si>
  <si>
    <t>Монтаж закладных деталей ЗДИ3 раме Рм1а  весом от
15,1-20,0кг.</t>
  </si>
  <si>
    <t>Монтаж закладных деталей ЗДИ4 раме Рм1а весом от
15,1-20,0кг.</t>
  </si>
  <si>
    <t>Монтаж закладных деталей ЗДИ5 раме Рм1а  весом от
8,1-12,0кг.</t>
  </si>
  <si>
    <t>Монтаж закладных деталей ЗДИ6 раме Рм1а  весом от
8,1-12,0кг.</t>
  </si>
  <si>
    <t>Устройство бетонной подготовки фундаментов РСм1 из бетона В10, толщ. 100 мм (8 шт.)</t>
  </si>
  <si>
    <t>Армирование фундамента РСм1 (8 шт)  ГНУТЫМИ стержнями диаметром  до 12 мм</t>
  </si>
  <si>
    <t>Армирование фундамента РСм1 (8 шт)  ПРЯМЫМИ стержнями диаметром 14 мм и более</t>
  </si>
  <si>
    <t>Армирование фундамента РСм1 (8 шт) ГНУТЫМИ сварными стержнями диаметром 14 мм и более</t>
  </si>
  <si>
    <t xml:space="preserve">Монтаж и демонтаж опалубки фундамента РСм1 (8 шт) </t>
  </si>
  <si>
    <t xml:space="preserve">Бетонирование фундамента РСм1 (8 шт) </t>
  </si>
  <si>
    <t>Армированные колонн Км1 (2 шт) ГНУТЫМИ стержнями диаметром до 12 мм</t>
  </si>
  <si>
    <t>Армированные колонн Км1 (2 шт) ПРЯМЫМИ стержнями диаметром 14 мм и более</t>
  </si>
  <si>
    <t>Монтаж и демонтаж опалубки заводского изготовления колонн Км1 (2 шт)</t>
  </si>
  <si>
    <t xml:space="preserve">Бетонирование колонн Км1 (2 шт) из бетона B25 W8 F200 </t>
  </si>
  <si>
    <t>Устройство подливки колонн Км1 толщиной 50мм
(2 шт)</t>
  </si>
  <si>
    <t>Монтаж закладных деталей ЗДИ2 колонн Км1-1 весом от
12,1-20,0кг.</t>
  </si>
  <si>
    <t>Монтаж закладных деталей ЗДИ2 колонн Км1-1 весом от
8,0-15,0кг.</t>
  </si>
  <si>
    <t>Монтаж закладных деталей ЗДИ2 раме Рм1 весом от
8,1-15,0кг.</t>
  </si>
  <si>
    <t>Монтаж закладных деталей ЗДИ4 раме Рм1 весом от
20,1-30,0кг.</t>
  </si>
  <si>
    <t>Монтаж закладных деталей ЗДИ2 раме Рм1а весом от
8,1-15,0кг.</t>
  </si>
  <si>
    <t>Монтаж закладных деталей ЗДИ3 раме Рм1а  весом от
20,1-30,0кг.</t>
  </si>
  <si>
    <t>Устройство бетонной подготовки фундаментов РСм1 из бетона В10, толщ. 100 мм(8шт.)</t>
  </si>
  <si>
    <t>Монтаж - демонтаж опалубки заводского изготовления для фундамента  РСм1 (8 шт) нижний ярус</t>
  </si>
  <si>
    <t>Армированные фундамента РСм1 (8 шт)  ПРЯМИМИ стержнями диаметром 14 мм и более</t>
  </si>
  <si>
    <t>Армированные фундамента РСм1 (8 шт) ГНУТЫЕ стержнями диаметром 14 мм и более</t>
  </si>
  <si>
    <t>Армированные фундамента  РСм1 (8 шт)  ГНУТЫЕ стержнями диаметром  до 12 мм</t>
  </si>
  <si>
    <t>Устройство фундамента  РСм1 (8 шт) из бетона  B25 W8 F200</t>
  </si>
  <si>
    <t>Устройство бетонной подготовки фундаментов РСм2 из бетона В10, толщ. 100 мм(20 шт.)</t>
  </si>
  <si>
    <t>Монтаж - демонтаж опалубки заводского изготовления для фундамента  РСм2 (20 шт) нижний ярус</t>
  </si>
  <si>
    <t>Монтаж - демонтаж опалубки заводского изготовления для фундамента  РСм2 (20 шт) верхний ярус</t>
  </si>
  <si>
    <t>Армированные фундамента РСм2 (20 шт)  ПРЯМИМИ стержнями диаметром 14 мм и более</t>
  </si>
  <si>
    <t>Армированные фундамента РСм1 (20 шт)  ПРЯМИМИ стержнями диаметром 14 мм и более</t>
  </si>
  <si>
    <t>Армированные фундамента РСм2 (20 шт)  ГНУТЫЕ стержнями диаметром 14 мм и более</t>
  </si>
  <si>
    <t>Армированные фундамента  РСм2 (20 шт)  ГНУТЫЕ стержнями диаметром  до 12 мм</t>
  </si>
  <si>
    <t>Устройство фундамента  РСм2 (20 шт) из бетона  B25 W8 F200</t>
  </si>
  <si>
    <t>Устройство бетонной подготовки фундаментов РСм3 из бетона В10, толщ. 100 мм(3 шт.)</t>
  </si>
  <si>
    <t>Монтаж - демонтаж опалубки заводского изготовления для фундамента  РСм3 (3 шт)  нижний ярус</t>
  </si>
  <si>
    <t>Монтаж - демонтаж опалубки заводского изготовления для фундамента  РСм3 (3 шт)  верхний ярус</t>
  </si>
  <si>
    <t>Армированные фундамента РСм3 (3 шт)  ПРЯМИМИ стержнями диаметром до 12 мм</t>
  </si>
  <si>
    <t>Армированные фундамента РСм3 (3 шт)  ГНУТЫЕ стержнями диаметром 14 мм и более</t>
  </si>
  <si>
    <t>Армированные фундамента  РСм3 (3 шт)  ГНУТЫЕ стержнями диаметром  до 12 мм</t>
  </si>
  <si>
    <t>Устройство фундамента  РСм3 (3 шт) из бетона  B25 W8 F200</t>
  </si>
  <si>
    <t>Устройство бетонной подготовки фундаментов РСм4 из бетона В10, толщ. 100 мм(4 шт.)</t>
  </si>
  <si>
    <t>Монтаж - демонтаж опалубки заводского изготовления для фундамента  РСм4 (4 шт)</t>
  </si>
  <si>
    <t>Армированные фундамента РСм4 (4 шт)  ПРЯМИМИ стержнями диаметром до 12 мм</t>
  </si>
  <si>
    <t>Армированные фундамента РСм4 (4 шт)  ГНУТЫЕ стержнями диаметром 14 мм и более</t>
  </si>
  <si>
    <t>Армированные фундамента  РСм4 (4 шт)  ГНУТЫЕ стержнями диаметром  до 12 мм</t>
  </si>
  <si>
    <t>Устройство фундамента  РСм4 (4 шт) из бетона  B25 W8 F200</t>
  </si>
  <si>
    <t>Устройство бетонной подготовки фундаментов РСм5 из бетона В10, толщ. 100 мм(3 шт.)</t>
  </si>
  <si>
    <t>Монтаж - демонтаж опалубки заводского изготовления для фундамента  РСм5 (3 шт)</t>
  </si>
  <si>
    <t>Армированные фундамента РСм5 (3 шт)  ПРЯМИМИ стержнями диаметром до 12 мм</t>
  </si>
  <si>
    <t>Армированные фундамента РСм5 (3 шт)  ГНУТЫЕ стержнями диаметром 14 мм и более</t>
  </si>
  <si>
    <t>Армированные фундамента  РСм5 (3 шт)  ГНУТЫЕ стержнями диаметром  до 12 мм</t>
  </si>
  <si>
    <t>Устройство фундамента  РСм5 (3 шт) из бетона  B25 W8 F200</t>
  </si>
  <si>
    <t>Армированные колонн Км1 (5 шт) ГНУТЫМИ стержнями диаметром до 12 мм</t>
  </si>
  <si>
    <t>Армированные колонн Км1 (5 шт) ПРЯМЫМИ стержнями диаметром 14 мм и более</t>
  </si>
  <si>
    <t>Установка анкерных болтов (10 шт) весом 15,49 кг/шт (перед бетонированием) диаметром от Ø20мм до Ø40мм Соединение элементов анкерных блоков сваркой.</t>
  </si>
  <si>
    <t>Монтаж и демонтаж опалубки заводского изготовления колонн Км1(5 шт)</t>
  </si>
  <si>
    <t xml:space="preserve">Бетонирование колонн Км1(5 шт) из бетона B25 W8 F200 </t>
  </si>
  <si>
    <t>Устройство подливки колонн Км1 толщиной 50мм
(5 шт)</t>
  </si>
  <si>
    <t>Монтаж закладных деталей ЗДИ1 колонн весом от 12,01-20,0 кг.</t>
  </si>
  <si>
    <t>Монтаж закладных деталей ЗДИ2 колонн весом от 12,1-20,0кг.</t>
  </si>
  <si>
    <t>Установка анкерных болтов (8 шт) весом 15,49 кг/шт (перед бетонированием) диаметром от Ø20мм до Ø40мм Соединение элементов анкерных блоков сваркой.</t>
  </si>
  <si>
    <t>Монтаж закладных деталей ЗДИ3 колонн весом от 20,1-30,0 кг</t>
  </si>
  <si>
    <t>Монтаж закладных деталей ЗДИ6 колонн весом от 12,1-20,0кг.</t>
  </si>
  <si>
    <t>Установка анкерных болтов (6 шт) весом 15,49 кг/шт (перед бетонированием) диаметром от Ø20мм до Ø40мм Соединение элементов анкерных блоков сваркой.</t>
  </si>
  <si>
    <t xml:space="preserve">Бетонирование колонн Км1(3 шт) из бетона B25 W8 F200 </t>
  </si>
  <si>
    <t>Монтаж закладных деталей ЗДИ2 колонн  весом от 12,1-20,0кг</t>
  </si>
  <si>
    <t>Монтаж закладных деталей ЗДИ3 колонн  весом от 20,1-30,0кг</t>
  </si>
  <si>
    <t>Установка анкерных болтов (2 шт) весом 15,49 кг/шт (перед бетонированием) диаметром от Ø20мм до Ø40мм Соединение элементов анкерных блоков сваркой.</t>
  </si>
  <si>
    <t xml:space="preserve">Бетонирование колонн Км1(1 шт) из бетона B25 W8 F200 </t>
  </si>
  <si>
    <t>Устройство подливки колонн Км1 толщиной 50мм
(1 шт)</t>
  </si>
  <si>
    <t>Монтаж закладных деталей ЗДИ1 колонн  весом от 12,1-20,0кг.</t>
  </si>
  <si>
    <t>Монтаж закладных деталей ЗДИ3 колонн весом от 20,1-30,0кг.</t>
  </si>
  <si>
    <t>Установка анкерных болтов (4 шт) весом 15,49 кг/шт (перед бетонированием) диаметром от Ø20мм до Ø40мм Соединение элементов анкерных блоков сваркой.</t>
  </si>
  <si>
    <t xml:space="preserve">Бетонирование колонн Км1(2 шт) из бетона B25 W8 F200 </t>
  </si>
  <si>
    <t>Монтаж закладных деталей ЗДИ3 колонн весом от 20,1-30,1кг.</t>
  </si>
  <si>
    <t>Монтаж закладных деталей ЗДИ7 колонн весом от 12,01-20,0 кг.</t>
  </si>
  <si>
    <t>Армированные Рм1-2 (1 шт), Рм1-4 (1 шт) ГНУТЫМИ стержнями диаметром до 12 мм- колонны</t>
  </si>
  <si>
    <t>Армированные Рм1-2 (1 шт), Рм1-4 (1 шт) ГНУТЫМИ стержнями диаметром до 12 мм- балки</t>
  </si>
  <si>
    <t>Армированные рамы Рм1-2 (1 шт), Рм1-4 (1 шт) ГНУТЫМИ стержнями диаметром 14 мм и более</t>
  </si>
  <si>
    <t>Армированные рамы Рм1-2 (1 шт), Рм1-4 (1 шт) ПРЯМЫМИ стержнями диаметром 14 мм и более</t>
  </si>
  <si>
    <t>Армированные колонн рамы Рм1-2 (1 шт), Рм1-4 (1 шт) ПРЯМЫМИ стержнями диаметром 14 мм и более</t>
  </si>
  <si>
    <t>Монтаж и демонтаж опалубки заводского изготовления - колонны  рамы Рм1-2 (1 шт), Рм1-4 (1 шт)</t>
  </si>
  <si>
    <t>Монтаж и демонтаж опалубки заводского изготовления- балки   рамы Рм1-2 (1 шт), Рм1-4 (1 шт)</t>
  </si>
  <si>
    <t>Бетонирование из бетона B25 W8 F200  колонны  рамы Рм1-2 (1 шт), Рм1-4 (1 шт)</t>
  </si>
  <si>
    <t>Бетонирование из бетона B25 W8 F200  балки рамы Рм1-2 (1 шт), Рм1-4 (1 шт)</t>
  </si>
  <si>
    <t>Устройство подливки рамы Рм1-2 (1 шт), Рм1-4 (1 шт) толщиной 50мм</t>
  </si>
  <si>
    <t>Монтаж закладных деталей ЗДИ1 колонн рамы Рм1-2 (1 шт), Рм1-4 (1 шт) весом от 12,1-20,0кг</t>
  </si>
  <si>
    <t>Монтаж закладных деталей ЗДИ2 колонн рамы Рм1-2 (1 шт), Рм1-4 (1 шт) весом от 12,1-20,0кг</t>
  </si>
  <si>
    <t>Монтаж закладных деталей ЗДИ4 балок рамы Рм1  (0 шт)весом от
8,0-15,0кг.</t>
  </si>
  <si>
    <t>Монтаж закладных деталей ЗДИ5 колонн рамы Рм1-2 (1 шт), Рм1-4 (1 шт) весом от 20,1-30,0кг</t>
  </si>
  <si>
    <t>Армированные рамы Рм1-1(1 шт), Рм1-3 (1 шт) ГНУТЫМИ стержнями диаметром до 12 мм- колонны</t>
  </si>
  <si>
    <t xml:space="preserve">Армированные рамы Рм1-1(1 шт), Рм1-3 (1 шт) ГНУТЫМИ стержнями диаметром до 12 мм- колонны - Изготовление </t>
  </si>
  <si>
    <t>Армированные рамы Рм1-1(1 шт), Рм1-3 (1 шт) ГНУТЫМИ стержнями диаметром до 12 мм- балки</t>
  </si>
  <si>
    <t xml:space="preserve">Армированные рамы Рм1-1(1 шт), Рм1-3 (1 шт) ГНУТЫМИ стержнями диаметром до 12 мм- балки  - Изготовление </t>
  </si>
  <si>
    <t xml:space="preserve">Армированные рамы Рм1-1(1 шт), Рм1-3 (1 шт) ГНУТЫМИ стержнями диаметром до 12 мм- балки - Изготовление </t>
  </si>
  <si>
    <t>Армированные рамы Рм1-1(1 шт), Рм1-3 (1 шт) ГНУТЫМИ стержнями диаметром 14 мм и более</t>
  </si>
  <si>
    <t xml:space="preserve">Армированные рамы Рм1-1(1 шт), Рм1-3 (1 шт) ГНУТЫМИ стержнями диаметром 14 мм и более - Изготовление </t>
  </si>
  <si>
    <t xml:space="preserve">Армированные рамы Рм1-1(1 шт), Рм1-3 (1 шт) ГНУТЫМИ стержнями диаметром 14 мм и более - Монтаж </t>
  </si>
  <si>
    <t>Армированные рамы Рм1-1(1 шт), Рм1-3 (1 шт) ПРЯМЫМИ стержнями диаметром 14 мм и более</t>
  </si>
  <si>
    <t>Армированные  колонн рамы Рм1-1(1 шт), Рм1-3 (1 шт) ПРЯМЫМИ стержнями диаметром 14 мм и более</t>
  </si>
  <si>
    <t>Монтаж и демонтаж опалубки заводского изготовления - колонны рамы Рм1-1(1 шт), Рм1-3 (1 шт)</t>
  </si>
  <si>
    <t>Монтаж и демонтаж опалубки заводского изготовления- балки рамы Рм1-1(1 шт), Рм1-3 (1 шт)</t>
  </si>
  <si>
    <t>Бетонирование из бетона B25 W8 F200  колонны рамы Рм1-1(1 шт), Рм1-3 (1 шт)</t>
  </si>
  <si>
    <t>Бетонирование из бетона B25 W8 F200 балки рамы Рм1-1(1 шт), Рм1-3 (1 шт)</t>
  </si>
  <si>
    <t>Устройство подливки  колонн рамы Рм1-1(1 шт), Рм1-3 (1 шт) толщиной 50мм
(1 шт)</t>
  </si>
  <si>
    <t>Монтаж закладных деталей ЗДИ1 колонн рамы Рм1-1 (1 шт), Рм1-3 (1 шт) весом от 12,1-20,0кг</t>
  </si>
  <si>
    <t>Монтаж закладных деталей ЗДИ2 колонн рамы Рм1-1 (1 шт), Рм1-3 (1 шт) весом от 12,1-20кг</t>
  </si>
  <si>
    <t>Монтаж закладных деталей ЗДИ4 колонн рамы Рм1-1 (1 шт), Рм1-3 (1 шт) весом от 20,1-30,0кг</t>
  </si>
  <si>
    <t>Монтаж закладных деталей ЗДИ5 колонн рамы Рм1-1 (1 шт), Рм1-3 (1 шт) весом от 20,1-30,0кг</t>
  </si>
  <si>
    <t>Армированные колонн Км2 (3 шт) ГНУТЫМИ стержнями диаметром до 12 мм</t>
  </si>
  <si>
    <t>Монтаж закладных деталей ЗДИ3 колонн весом от 20,1-30,0 кг.</t>
  </si>
  <si>
    <t>Монтаж закладных деталей ЗДИ2 колонн весом от 12,01-20,0 кг.</t>
  </si>
  <si>
    <t>Устройство бетонной подготовки фундаментов РСм1 из бетона В10, толщ. 100 мм(12 шт.)</t>
  </si>
  <si>
    <t>Монтаж - демонтаж опалубки заводского изготовления для фундамента  РСм1 (12 шт) нижний ярус</t>
  </si>
  <si>
    <t>Армированные фундамента РСм1 (12 шт)  ПРЯМИМИ стержнями диаметром 14 мм и более</t>
  </si>
  <si>
    <t>Армированные фундамента РСм1 (12 шт) ГНУТЫЕ стержнями диаметром 14 мм и более</t>
  </si>
  <si>
    <t>Армированные фундамента  РСм1 (12 шт)  ГНУТЫЕ стержнями диаметром  до 12 мм</t>
  </si>
  <si>
    <t>Устройство фундамента  РСм1 (12 шт) из бетона  B25 W8 F200</t>
  </si>
  <si>
    <t>Устройство бетонной подготовки фундаментов РСм2 из бетона В10, толщ. 100 мм(4 шт.)</t>
  </si>
  <si>
    <t>Монтаж - демонтаж опалубки заводского изготовления для фундамента  РСм2 (4 шт) нижний ярус</t>
  </si>
  <si>
    <t>Армированные фундамента РСм2 (4 шт)  ПРЯМИМИ стержнями диаметром 14 мм и более</t>
  </si>
  <si>
    <t>Армированные фундамента РСм1 (4 шт)  ПРЯМИМИ стержнями диаметром 14 мм и более</t>
  </si>
  <si>
    <t>Армированные фундамента РСм2 (4 шт)  ГНУТЫЕ стержнями диаметром 14 мм и более</t>
  </si>
  <si>
    <t>Армированные фундамента  РСм2 (4 шт)  ГНУТЫЕ стержнями диаметром  до 12 мм</t>
  </si>
  <si>
    <t>Устройство фундамента  РСм2 (4 шт) из бетона  B25 W8 F200</t>
  </si>
  <si>
    <t>Устройство бетонной подготовки фундаментов Фм1 из бетона В10, толщ. 100 мм(9 шт.)</t>
  </si>
  <si>
    <t xml:space="preserve">Монтаж - демонтаж опалубки заводского изготовления для фундамента  Фм1 (9 шт) </t>
  </si>
  <si>
    <t>Армированные фундамента Фм1 (9 шт)  ПРЯМИМИ стержнями диаметром 14 мм и более</t>
  </si>
  <si>
    <t>Армированные фундамента Фм1(9 шт)  ПРЯМИМИ стержнями диаметром до 12 мм</t>
  </si>
  <si>
    <t>Армированные фундамента Фм1 (9 шт)  ПРЯМИМИ стержнями диаметром до 12 мм</t>
  </si>
  <si>
    <t>Армированные фундамента  Фм1 (9 шт)  ГНУТЫЕ стержнями диаметром  до 12 мм</t>
  </si>
  <si>
    <t>Устройство фундамента  Фм1 (9 шт) из бетона  B25 W8 F200</t>
  </si>
  <si>
    <t>Устройство подливки фундаментов  Фм1 (9 шт) из бетона  B30 W8 F200</t>
  </si>
  <si>
    <t>Армированные колонн рамы монолитных Рм1-1 ГНУТЫМИ стержнями диаметром до 12 мм</t>
  </si>
  <si>
    <t>Армированные колонн рамы монолитных Рм1-2 ГНУТЫМИ стержнями диаметром до 12 мм</t>
  </si>
  <si>
    <t>Армированные балок рамы монолитных Рм1-1 ГНУТЫМИ стержнями диаметром до 12 мм</t>
  </si>
  <si>
    <t>Армированные балок рамы монолитных Рм1-2 ГНУТЫМИ стержнями диаметром до 12 мм</t>
  </si>
  <si>
    <t>Армированные колонн рамы монолитных Рм1-1 РЯМЫМИ стержнями диаметром 14 мм и более</t>
  </si>
  <si>
    <t>Армированные колонн рамы монолитных Рм1-2 РЯМЫМИ стержнями диаметром 14 мм и более</t>
  </si>
  <si>
    <t>Армированные балок рамы монолитных Рм1-1 ГНУТЫМИ стержнями диаметром 14 мм и более</t>
  </si>
  <si>
    <t>Армированные балок рамы монолитных Рм1-2 ГНУТЫМИ стержнями диаметром 14 мм и более</t>
  </si>
  <si>
    <t>Установка анкерного блока АБ1(2 компл) бесом 17,26кг/шт (перед бетонированием) диаметром от Ø20мм до Ø40мм. Рама монолитных Рм1-1</t>
  </si>
  <si>
    <t>Установка анкерного блока АБ1(2 компл) бесом 17,26кг/шт (перед бетонированием) диаметром от Ø20мм до Ø40мм. Рама монолитных Рм1-2</t>
  </si>
  <si>
    <t>Монтаж закладных деталей колонн ЗДИ1 весом от
5,1-8,0кг.</t>
  </si>
  <si>
    <t>Монтаж закладных деталей колонн ЗДИ2 весом от
12,1-20,0кг.</t>
  </si>
  <si>
    <t>Монтаж закладных деталей колонн рамы монолитных Рм1-1  ЗДИ1(5шт) весом от 8,1-12,0кг</t>
  </si>
  <si>
    <t>Монтаж закладных деталей колонн рамы монолитных Рм1-2  ЗДИ1(5шт) весом от 8,1-12,0кг</t>
  </si>
  <si>
    <t>Монтаж закладных деталей балок рамы монолитных Рм1-1  ЗДИ1(1шт) весом от 8,1-12,0кг</t>
  </si>
  <si>
    <t>Монтаж закладных деталей балок рамы монолитных Рм1-2  ЗДИ1(1шт) весом от 8,1-12,0кг</t>
  </si>
  <si>
    <t>Монтаж закладных деталей колонн рамы монолитных Рм1-1 ЗДИ2(1шт) весом от 30,1-40,0кг</t>
  </si>
  <si>
    <t>Монтаж закладных деталей колонн рамы монолитных Рм1-2 ЗДИ2(1шт) весом от 30,1-40,0кг</t>
  </si>
  <si>
    <t>Монтаж закладных деталей колонн рамы монолитных Рм1-1 ЗДИ3(1шт) весом от 40,1-50,0кг</t>
  </si>
  <si>
    <t>Монтаж закладных деталей колонн рамы монолитных Рм1-2 ЗДИ3(1шт) весом от 40,1-50,0кг</t>
  </si>
  <si>
    <t>Монтаж закладных деталей балок рамы монолитных Рм1-1 ЗДИ4(2шт) весом от 20,1-30,0кг</t>
  </si>
  <si>
    <t>Монтаж закладных деталей балок рамы монолитных Рм1-2 ЗДИ4(2шт) весом от 20,1-30,0кг</t>
  </si>
  <si>
    <t>Монтаж закладных деталей балок рамы монолитных Рм1-1 ЗДИ5 (2шт) весом от 20,1-30,0кг</t>
  </si>
  <si>
    <t>Монтаж закладных деталей балок рамы монолитных Рм1-2 ЗДИ5 (2шт) весом от 20,1-30,0кг</t>
  </si>
  <si>
    <t>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перфоратором. Рама монолитных Рм1-1</t>
  </si>
  <si>
    <t>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перфоратором. Рама монолитных Рм1-2</t>
  </si>
  <si>
    <t>Монтаж и демонтаж опалубки заводского изготовления колонн рамы монолитных Рм1-1</t>
  </si>
  <si>
    <t>Монтаж и демонтаж опалубки заводского изготовления колонн рамы монолитных Рм1-2</t>
  </si>
  <si>
    <t>Монтаж и демонтаж опалубки заводского изготовления балок рамы монолитных Рм1-1</t>
  </si>
  <si>
    <t>Монтаж и демонтаж опалубки заводского изготовления блок рамы монолитных Рм1-2</t>
  </si>
  <si>
    <t xml:space="preserve">Бетонирование колонн рамы монолитных Рм1-1 из бетона B25 W8 F200 </t>
  </si>
  <si>
    <t xml:space="preserve">Бетонирование колонн рамы монолитных Рм1-2 из бетона B25 W8 F200 </t>
  </si>
  <si>
    <t xml:space="preserve">Бетонирование балок рамы монолитных Рм1-1 из бетона B25 W8 F200 </t>
  </si>
  <si>
    <t xml:space="preserve">Бетонирование балок рамы монолитных Рм1-2 из бетона B25 W8 F200 </t>
  </si>
  <si>
    <t>Устройство подливки рамы монолитных Рм1-1 толщиной 50мм (2 шт)</t>
  </si>
  <si>
    <t>Устройство подливки рамы монолитных Рм1-2 толщиной 50мм (2 шт)</t>
  </si>
  <si>
    <t>Армированные колонн Км1-1(1шт) ГНУТЫМИ стержнями диаметром до 12 мм</t>
  </si>
  <si>
    <t>Армированные колонн Км1-2(1шт) ГНУТЫМИ стержнями диаметром до 12 мм</t>
  </si>
  <si>
    <t>Армированные колонн Км1-3(1шт) ГНУТЫМИ стержнями диаметром до 12 мм</t>
  </si>
  <si>
    <t>Армированные колонн Км1-4(3шт) ГНУТЫМИ стержнями диаметром до 12 мм</t>
  </si>
  <si>
    <t>Армированные колонн Км1-1(1шт) ПРЯМЫМИ стержнями диаметром 14 мм и более</t>
  </si>
  <si>
    <t>Армированные колонн Км1-2(1шт) ПРЯМЫМИ стержнями диаметром 14 мм и более</t>
  </si>
  <si>
    <t>Армированные колонн Км1-3(1шт) ПРЯМЫМИ стержнями диаметром 14 мм и более</t>
  </si>
  <si>
    <t>Армированные колонн Км1-4(3шт) ПРЯМЫМИ стержнями диаметром 14 мм и более</t>
  </si>
  <si>
    <t>Установка анкерного блока АБ1(1 компл) бесом 17,26кг/шт (перед бетонированием) диаметром от Ø20мм до Ø40мм. Колонн Км1-1 (1шт)</t>
  </si>
  <si>
    <t>Установка анкерного блока АБ1(1 компл) бесом 17,26кг/шт (перед бетонированием) диаметром от Ø20мм до Ø40мм. Колонн Км1-2 (1шт)</t>
  </si>
  <si>
    <t>Установка анкерного блока АБ1(1 компл) бесом 17,26кг/шт (перед бетонированием) диаметром от Ø20мм до Ø40мм. Колонн Км1-3 (1шт)</t>
  </si>
  <si>
    <t>Установка анкерного блока АБ1(3 компл) бесом 17,26кг/шт (перед бетонированием) диаметром от Ø20мм до Ø40мм. Колонн Км1-4 (3шт)</t>
  </si>
  <si>
    <t>Монтаж закладных деталей колонн Км1-1(1шт) ЗДИ1(2шт) весом от 8,1-12,0кг</t>
  </si>
  <si>
    <t>Монтаж закладных деталей колонн Км1-2(1шт) ЗДИ1(2шт) весом от 8,1-12,0кг</t>
  </si>
  <si>
    <t>Монтаж закладных деталей колонн Км1-3(1шт) ЗДИ1(3шт) весом от 8,1-12,0кг</t>
  </si>
  <si>
    <t>Монтаж закладных деталей колонн Км1-3(1шт) ЗДИ2(1шт) весом от 30,1-40,0кг</t>
  </si>
  <si>
    <t>Монтаж закладных деталей колонн Км1-4(3шт) ЗДИ1(3шт) весом от 8,1-12,0кг</t>
  </si>
  <si>
    <t>Монтаж закладных деталей колонн Км1-4(3шт) ЗДИ2(3шт) весом от 30,1-40,0кг</t>
  </si>
  <si>
    <t>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перфоратором. Км1-1(1шт)</t>
  </si>
  <si>
    <t>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перфоратором. Км1-2(1шт)</t>
  </si>
  <si>
    <t>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перфоратором. Км1-3(1шт)</t>
  </si>
  <si>
    <t>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перфоратором. Км1-4(3шт)</t>
  </si>
  <si>
    <t>Монтаж и демонтаж опалубки заводского изготовления колонн Км1-1(1шт)</t>
  </si>
  <si>
    <t>Монтаж и демонтаж опалубки заводского изготовления колонн Км1-2(1шт)</t>
  </si>
  <si>
    <t>Монтаж и демонтаж опалубки заводского изготовления колонн Км1-3(1шт)</t>
  </si>
  <si>
    <t>Монтаж и демонтаж опалубки заводского изготовления колонн Км1-4(3шт)</t>
  </si>
  <si>
    <t xml:space="preserve">Бетонирование колонн Км1-1(1шт) из бетона 
B25 W8 F200 </t>
  </si>
  <si>
    <t xml:space="preserve">Бетонирование колонн Км1-2(1шт) из бетона 
B25 W8 F200 </t>
  </si>
  <si>
    <t xml:space="preserve">Бетонирование колонн Км1-3(1шт) из бетона 
B25 W8 F200 </t>
  </si>
  <si>
    <t xml:space="preserve">Бетонирование колонн Км1-4(3шт) из бетона 
B25 W8 F200 </t>
  </si>
  <si>
    <t>Устройство подливки колонн Км1-1(1шт) 
толщиной 50мм (6 шт)</t>
  </si>
  <si>
    <t>Устройство подливки колонн Км1-2(1шт)
толщиной 50мм (6 шт)</t>
  </si>
  <si>
    <t>Устройство подливки колонн Км1-3(1шт)
толщиной 50мм (6 шт)</t>
  </si>
  <si>
    <t>Устройство подливки колонн Км1-4(3шт)
толщиной 50мм (6 шт)</t>
  </si>
  <si>
    <t>Армированные колонн Км1-5 (2шт) ПРЯМЫМИ стержнями диаметром 14 мм и более</t>
  </si>
  <si>
    <t>Установка анкерного блока АБ1(1 компл) бесом 17,26кг/шт (перед бетонированием) диаметром от Ø20мм до Ø40мм. Колонн Км1-5 (2шт)</t>
  </si>
  <si>
    <t>Монтаж закладных деталей колонн Км1-5(2шт) ЗДИ1(4шт) весом от 8,1-12,0кг</t>
  </si>
  <si>
    <t>Монтаж закладных деталей колонн Км1-5(2шт) ЗДИ2(2шт) весом от 30,1-40,0кг</t>
  </si>
  <si>
    <t>Монтаж и демонтаж опалубки заводского изготовления колонн Км1-5(2 шт)</t>
  </si>
  <si>
    <t xml:space="preserve">Бетонирование колонн Км1-5(2 шт) из бетона B25 W8 F200 </t>
  </si>
  <si>
    <t>Устройство подливки колонн Км1-5 толщиной 50мм
(2шт)</t>
  </si>
  <si>
    <t>Армированные колонн рамы Рм2-1 ГНУТЫМИ стержнями диаметром до 12 мм</t>
  </si>
  <si>
    <t>Армированные колонн рамы Рм2-1 ПРЯМЫМИ стержнями диаметром 14 мм и более</t>
  </si>
  <si>
    <t>Армированные балки рамы Рм2-1 ГНУТЫМИ стержнями диаметром до 12 мм</t>
  </si>
  <si>
    <t>Армированные балки рамы Рм2-1 ГНУТЫМИ стержнями диаметром 14 мм и более</t>
  </si>
  <si>
    <t>Установка анкерного блока АБ1(2 компл) бесом 17,26кг/шт (перед бетонированием) диаметром от Ø20мм до Ø40мм. Рама Рм2-1</t>
  </si>
  <si>
    <t>Монтаж закладных деталей колонн ЗДИ3 весом от
5,1-8,0кг.</t>
  </si>
  <si>
    <t>Монтаж закладных деталей балок ЗДИ4 весом от
5,1-8,0кг.</t>
  </si>
  <si>
    <t>Монтаж закладных деталей балок ЗДИ5 весом от
20,1-30,0кг.</t>
  </si>
  <si>
    <t>Монтаж закладных деталей колоонн рамы монолитных Рм2-1  ЗДИ1(6шт) весом от 8,1-12,0кг</t>
  </si>
  <si>
    <t>Монтаж закладных деталей балок рамы монолитных Рм2-1 ЗДИ4(1шт) весом от 20,1-30,0кг</t>
  </si>
  <si>
    <t>Монтаж и демонтаж опалубки заводского изготовления колонн рамы Рм2-1(2 шт)</t>
  </si>
  <si>
    <t>Монтаж и демонтаж опалубки заводского изготовления балок рамы Рм2-1(1 шт)</t>
  </si>
  <si>
    <t xml:space="preserve">Бетонирование колонн рамы Рм2-1(2 шт) из бетона 
B25 W8 F200 </t>
  </si>
  <si>
    <t xml:space="preserve">Бетонирование балок рамы Рм2-1(1шт) из бетона 
B25 W8 F200 </t>
  </si>
  <si>
    <t>Устройство подливки колонн рамы Рм2-1 толщиной 50мм
(2шт)</t>
  </si>
  <si>
    <t>Армированные колонн рамы Рм2-2 ГНУТЫМИ стержнями диаметром до 12 мм</t>
  </si>
  <si>
    <t>Армированные колонн рамы Рм2-2 ПРЯМЫМИ стержнями диаметром 14 мм и более</t>
  </si>
  <si>
    <t>Армированные балки рамы Рм2-2 ГНУТЫМИ стержнями диаметром до 12 мм</t>
  </si>
  <si>
    <t>Армированные балки рамы Рм2-2 ГНУТЫМИ стержнями диаметром 14 мм и более</t>
  </si>
  <si>
    <t>Установка анкерного блока АБ1(2 компл) бесом 17,26кг/шт (перед бетонированием) диаметром от Ø20мм до Ø40мм. Рама Рм2-2</t>
  </si>
  <si>
    <t>Монтаж закладных деталей колоонн рамы монолитных Рм2-2  ЗДИ1(2шт) весом от 8,1-12,0кг</t>
  </si>
  <si>
    <t>Монтаж закладных деталей балок рамы монолитных Рм2-2 ЗДИ4(1шт) весом от 20,1-30,0кг</t>
  </si>
  <si>
    <t>Монтаж и демонтаж опалубки заводского изготовления колонн рамы Рм2-2(2 шт)</t>
  </si>
  <si>
    <t>Монтаж и демонтаж опалубки заводского изготовления балок рамы Рм2-2(шт)</t>
  </si>
  <si>
    <t xml:space="preserve">Бетонирование колонн рамы Рм2-2(2 шт) из бетона 
B25 W8 F200 </t>
  </si>
  <si>
    <t xml:space="preserve">Бетонирование балок рамы Рм2-2(1шт) из бетона 
B25 W8 F200 </t>
  </si>
  <si>
    <t>Устройство подливки колонн рамы Рм2-2 толщиной 50мм
(2шт)</t>
  </si>
  <si>
    <t>Устройство бетонной подготовки фундаментов РСм1 из бетона В10, толщ. 100 мм(10 шт.)</t>
  </si>
  <si>
    <t>Монтаж - демонтаж опалубки заводского изготовления для фундамента  РСм1 (10 шт) нижний ярус</t>
  </si>
  <si>
    <t>Армированные фундамента РСм1 (10 шт)  ПРЯМИМИ стержнями диаметром 14 мм и более</t>
  </si>
  <si>
    <t>Армированные фундамента РСм1 (10 шт)  ГНУТЫЕ стержнями диаметром 14 мм и более</t>
  </si>
  <si>
    <t>Армированные фундамента  РСм1 (10 шт)  ГНУТЫЕ стержнями диаметром  до 12 мм</t>
  </si>
  <si>
    <t>Устройство фундамента  РСм1 (10 шт) из бетона  B25 W8 F200</t>
  </si>
  <si>
    <t>Устройство бетонной подготовки фундаментов РСм2 из бетона В10, толщ. 100 мм(4шт.)</t>
  </si>
  <si>
    <t>Устройство бетонной подготовки фундаментов РСм3 из бетона В10, толщ. 100 мм(2 шт.)</t>
  </si>
  <si>
    <t>Монтаж - демонтаж опалубки заводского изготовления для фундамента  РСм3 (2 шт) нижний ярус</t>
  </si>
  <si>
    <t>Армированные фундамента РСм3 (2 шт)  ПРЯМИМИ стержнями диаметром 14 мм и более</t>
  </si>
  <si>
    <t>Армированные фундамента РСм3 (2 шт)   ГНУТЫЕ стержнями диаметром 14 мм и более</t>
  </si>
  <si>
    <t>Армированные фундамента РСм3 (2 шт)  ГНУТЫЕ стержнями диаметром  до 12 мм</t>
  </si>
  <si>
    <t xml:space="preserve">Изготовление и монтаж каркасов пространственных КР1 весом 4,41 кг/шт </t>
  </si>
  <si>
    <t>Устройство фундамента  РСм3 (2 шт) из бетона  B25 W8 F200</t>
  </si>
  <si>
    <t>Установка анкерных болтов М1 (10шт) весом 14,27кг/шт (перед бетонированием) диаметром от Ø20мм до Ø40мм с изготовлением и монтажом кондукторов из арматуры , листа и анкерных болтов. Соединение элементов анкерных блоков сваркой.</t>
  </si>
  <si>
    <t>Монтаж и демонтаж опалубки заводского изготовления колонн Км1(1 шт)</t>
  </si>
  <si>
    <t>Монтаж закладных деталей ЗДИ1 колонн Км1-1  весом от 12,1-20,0кг</t>
  </si>
  <si>
    <t>Монтаж закладных деталей ЗДИ2 колонн Км1-1 весом от 30,1-40,0кг</t>
  </si>
  <si>
    <t>Установка анкерных болтов М1 (8шт) весом 14,71кг/шт (перед бетонированием) диаметром от Ø20мм до Ø40мм с изготовлением и монтажом кондукторов из арматуры , листа и анкерных болтов. Соединение элементов анкерных блоков сваркой.</t>
  </si>
  <si>
    <t xml:space="preserve">Бетонирование колонн Км1(1 шт) из бетона B25 W8 F1200 </t>
  </si>
  <si>
    <t>Монтаж закладных деталей ЗДИ1 колонн Км1-2  весом от 12,1-20,0кг</t>
  </si>
  <si>
    <t>Монтаж закладных деталей ЗДИ2 колонн Км1-2 весом от 30,1-40,0кг</t>
  </si>
  <si>
    <t>Армированные колонн Км1 (2шт) ГНУТЫМИ стержнями диаметром до 12 мм</t>
  </si>
  <si>
    <t>Установка анкерных болтов М1 (2шт) весом 14,27кг/шт (перед бетонированием) диаметром от Ø20мм до Ø40мм с изготовлением и монтажом кондукторов из арматуры , листа и анкерных болтов. Соединение элементов анкерных блоков сваркой.</t>
  </si>
  <si>
    <t>Монтаж закладных деталей ЗДИ1 колонн Км1-3  весом от 12,1-20,0кг</t>
  </si>
  <si>
    <t>Монтаж закладных деталей ЗДИ3 колонн Км1-3 весом от 50,1-70,0кг</t>
  </si>
  <si>
    <t>Монтаж закладных деталей ЗДИ6 колонн Км1-3  весом от 5,1-8,0кг.</t>
  </si>
  <si>
    <t>Установка анкерных болтов М1 (2шт) весом 14,71кг/шт (перед бетонированием) диаметром от Ø20мм до Ø40мм с изготовлением и монтажом кондукторов из арматуры , листа и анкерных болтов. Соединение элементов анкерных блоков сваркой.</t>
  </si>
  <si>
    <t>Монтаж закладных деталей ЗДИ1 колонн Км1-4  весом от 12,1-20,0кг</t>
  </si>
  <si>
    <t>Монтаж закладных деталей ЗДИ3 колонн Км1-4 весом от 50,1-70,0кг</t>
  </si>
  <si>
    <t>Монтаж закладных деталей ЗДИ6 колонн Км1-4  весом от 5,1-8,0кг.</t>
  </si>
  <si>
    <t>Армированные колонн Км2(1 шт) ГНУТЫМИ стержнями диаметром до 12 мм</t>
  </si>
  <si>
    <t>Армированные колонн Км2(1 шт) ПРЯМЫМИ стержнями диаметром 14 мм и более</t>
  </si>
  <si>
    <t xml:space="preserve">Бетонирование колонн Км2(1 шт) из бетона B25 W8 F200 </t>
  </si>
  <si>
    <t>Монтаж закладных деталей ЗДИ1 колонн Км2-1 весом от 12,1-20,0кг</t>
  </si>
  <si>
    <t>Монтаж закладных деталей ЗДИ3 колонн Км2-1 весом от 50,1-70,0кг</t>
  </si>
  <si>
    <t>Монтаж закладных деталей ЗДИ6 колонн Км2-1 весом от 12,1-20,0кг</t>
  </si>
  <si>
    <t>Монтаж и демонтаж опалубки заводского изготовления колонн Км2(1 шт)</t>
  </si>
  <si>
    <t>Монтаж закладных деталей ЗДИ1 колонн Км2-2  весом от 12,1-20,0кг</t>
  </si>
  <si>
    <t>Монтаж закладных деталей ЗДИ3 колонн Км2-2 весом от 50,1-70,0кг</t>
  </si>
  <si>
    <t>Монтаж закладных деталей ЗДИ6 колонн Км2-2 весом от 12,1-20,0кг</t>
  </si>
  <si>
    <t>Монтаж закладных деталей ЗДИ1 колонн Км2-3 весом от 12,1-20,0кг</t>
  </si>
  <si>
    <t>Монтаж закладных деталей ЗДИ3 колонн Км2-3
 от 50,1-70,0кг</t>
  </si>
  <si>
    <t>Монтаж закладных деталей ЗДИ6 колонн Км1-7  весом от
5,1-8,0кг.</t>
  </si>
  <si>
    <t>Монтаж закладных деталей ЗДИ1 колонн Км2-4 весом от 12,1-20,0кг</t>
  </si>
  <si>
    <t>Монтаж закладных деталей ЗДИ3 колонн Км2-4 весом от 50,1-70,0кг</t>
  </si>
  <si>
    <t>Армированные колонн Км3 (1 шт) ГНУТЫМИ стержнями диаметром до 12 мм</t>
  </si>
  <si>
    <t>Армированные колонн Км3 (1 шт) ПРЯМЫМИ стержнями диаметром 14 мм и более</t>
  </si>
  <si>
    <t>Монтаж и демонтаж опалубки заводского изготовления колонн Км3 (1 шт)</t>
  </si>
  <si>
    <t xml:space="preserve">Бетонирование колонн Км3(1 шт) из бетона B25 W8 F200 </t>
  </si>
  <si>
    <t>Устройство подливки колонн Км3 толщиной 50мм
(1 шт)</t>
  </si>
  <si>
    <t>Монтаж закладных деталей ЗДИ1 колонн Км3-1 весом от  12,1-20,0кг</t>
  </si>
  <si>
    <t>Монтаж закладных деталей ЗДИ3 колонн Км3-1 весом от 50,1-70,0кг</t>
  </si>
  <si>
    <t>Монтаж закладных деталей ЗДИ1 колонн Км3-2 весом от  12,1-20,0кг</t>
  </si>
  <si>
    <t>Монтаж закладных деталей ЗДИ3 колонн Км3-2 весом от 50,1-70,0кг</t>
  </si>
  <si>
    <t>Монтаж закладных деталей ЗДИ1 колонн Км3-3 весом от  12,1-20,0кг</t>
  </si>
  <si>
    <t>Монтаж закладных деталей ЗДИ3 колонн Км3-3 весом от 50,1-70,0кг</t>
  </si>
  <si>
    <t>Монтаж закладных деталей ЗДИ6 колонн Км3-3 весом от 12,1-20,0кг</t>
  </si>
  <si>
    <t>Монтаж закладных деталей ЗДИ1 колонн Км3-4 весом от  12,1-20,0кг</t>
  </si>
  <si>
    <t>Монтаж закладных деталей ЗДИ3 колонн Км3-4 весом от 50,1-70,0кг</t>
  </si>
  <si>
    <t>Монтаж закладных деталей ЗДИ6 колонн Км3-4 весом от 12,1-20,0кг</t>
  </si>
  <si>
    <t>Армированные колонн рамы Рм1-1 (2 шт) ГНУТЫМИ стержнями диаметром до 12 мм</t>
  </si>
  <si>
    <t>Армированные балки рамы Рм1-1 (1 шт) ГНУТЫМИ стержнями диаметром до 12 мм</t>
  </si>
  <si>
    <t>Армированные балки рамы Рм1-1 (1 шт) ГНУТЫМИ стержнями диаметром 14 мм и более</t>
  </si>
  <si>
    <t>Армированные балки рамы Рм1-1 (1 шт) ПРЯМЫМИ стержнями диаметром  до 12 мм</t>
  </si>
  <si>
    <t>Армированные колонн рамы Рм1-1 (2 шт) ПРЯМЫМИ стержнями диаметром 14 мм и более</t>
  </si>
  <si>
    <t>Монтаж и демонтаж опалубки заводского изготовления колонн рамы Рм1-1(2 шт)</t>
  </si>
  <si>
    <t>Монтаж и демонтаж опалубки заводского изготовления балок рамы Рм1-1(1 шт)</t>
  </si>
  <si>
    <t xml:space="preserve">Бетонирование колонн рамы Рм1-1(2 шт) из бетона 
B25 W8 F200 </t>
  </si>
  <si>
    <t xml:space="preserve">Бетонирование балок рамы Рм1-1(1шт) из бетона 
B25 W8 F200 </t>
  </si>
  <si>
    <t>Устройство подливки колонн рамы Рм1-1(2 шт) толщиной 50мм
(1 шт)</t>
  </si>
  <si>
    <t>Монтаж закладных деталей ЗДИ1 колонн рамы Рм1-1 (2 шт) весом от  12,1-20,0кг</t>
  </si>
  <si>
    <t>Монтаж закладных деталей ЗДИ2 колонн рамы Рм1-1 (1 шт) весом от 30,1-40,0кг</t>
  </si>
  <si>
    <t>Монтаж закладных деталей ЗДИ4  балок рамы Рм1-1 (1 шт) весом от 20,1-30,0кг</t>
  </si>
  <si>
    <t>Монтаж закладных деталей ЗДИ5 балок рамы  Рм1-1 (1 шт)  весом от 20,1-30,0кг</t>
  </si>
  <si>
    <t>Армированные колонн рамы Рм1-2 (2 шт) ГНУТЫМИ стержнями диаметром до 12 мм</t>
  </si>
  <si>
    <t>Армированные балки рамы Рм1-2 (1 шт) ГНУТЫМИ стержнями диаметром до 12 мм</t>
  </si>
  <si>
    <t>Армированные балки рамы Рм1-2(1 шт) ГНУТЫМИ стержнями диаметром 14 мм и более</t>
  </si>
  <si>
    <t>Армированные балки рамы Рм1-2(1 шт) ПРЯМЫМИ стержнями диаметром   до 12 мм</t>
  </si>
  <si>
    <t>Армированные колонн рамы Рм1-2 (1 шт) ПРЯМЫМИ стержнями диаметром 14 мм и более</t>
  </si>
  <si>
    <t>Монтаж и демонтаж опалубки заводского изготовления колонн рамы Рм1-2(2 шт)</t>
  </si>
  <si>
    <t>Монтаж и демонтаж опалубки заводского изготовления балок рамы Рм1-2(1 шт)</t>
  </si>
  <si>
    <t xml:space="preserve">Бетонирование колонн рамы Рм1-2(2 шт) из бетона 
B25 W8 F200 </t>
  </si>
  <si>
    <t xml:space="preserve">Бетонирование балок рамы Рм1-2(1шт) из бетона 
B25 W8 F200 </t>
  </si>
  <si>
    <t>Устройство подливки колонн рамы Рм1-2 (2 шт) толщиной 50мм
(1 шт)</t>
  </si>
  <si>
    <t>Монтаж закладных деталей ЗДИ1 колонн рамы Рм1-2 (2 шт) весом от 12,1-20,0кг</t>
  </si>
  <si>
    <t>Монтаж закладных деталей ЗДИ2 колонн рамы Рм1-2 (2 шт) весом от 30,1-40,0кг</t>
  </si>
  <si>
    <t>Монтаж закладных деталей ЗДИ4 балок рамы  Рм1-2 (1 шт) весом от 20,1-30,0кг</t>
  </si>
  <si>
    <t>Монтаж закладных деталей ЗДИ5 балок рамы  Рм1-2 (1 шт)  весом от 20,1-30,0кг</t>
  </si>
  <si>
    <t>Укладка деформационных швов между фундаментными плитами, шириной 50 мм</t>
  </si>
  <si>
    <t>Устройство отмостки из асфальтобетона толщиной не менее 100мм</t>
  </si>
  <si>
    <t>Монтаж - демонтаж опалубки заводского изготовления для фундамента  РСм1 (12 шт)верхний ярус</t>
  </si>
  <si>
    <t>Армированные фундамента РСм1 (12 шт)  ГНУТЫЕ стержнями диаметром 14 мм и более</t>
  </si>
  <si>
    <t>Обратная засыпка внутри конструкции ростверка РСм1  песком, вручную</t>
  </si>
  <si>
    <t>Обратная засыпка внутри конструкции ростверка РСм1 щебнем, вручную</t>
  </si>
  <si>
    <t>Устройство асфальтобетона внутри ростверков РСм1 (12 шт)  по слою щебна</t>
  </si>
  <si>
    <t xml:space="preserve">Устройство подливки ростверков РСм1 (12 шт) толщиной 50мм
</t>
  </si>
  <si>
    <t>Монтаж анкерной группы АГ1 ростверка РСм1</t>
  </si>
  <si>
    <t xml:space="preserve">Монтаж - демонтаж опалубки заводского изготовления боковой части отмостки Пм1 </t>
  </si>
  <si>
    <t>Армированные плиты ПФм1(1шт.)  ГНУТЫЕ стержнями диаметром  до 12 мм</t>
  </si>
  <si>
    <t>Армированные плиты ПФм1(1шт.)  ПРЯМИМИ стержнями диаметром  до 12 мм</t>
  </si>
  <si>
    <t>Монтаж закладных деталей ЗДИ1 плиты ПФм1(1шт.)  весом от
5,1-8,0кг.</t>
  </si>
  <si>
    <t>Устройство  монолитные плиты ПФм1 из бетона  B25 W8 F200</t>
  </si>
  <si>
    <t>Устройство отмостки из из бетона  B20 W8 F200 толщиной от 120 до 150 мм</t>
  </si>
  <si>
    <t>Армированные плиты ПФм-1 (1шт.) ГНУТЫЕ стержнями диаметром до 12 мм</t>
  </si>
  <si>
    <t>Устройство геополотна, плотностью не менее 300г/м2</t>
  </si>
  <si>
    <t>Устройство основания под фундаментами из щебня механизированным способом</t>
  </si>
  <si>
    <t>Устройство основания под фундаментами из щебня-вручную</t>
  </si>
  <si>
    <t>Уплотнение механизированным способом</t>
  </si>
  <si>
    <t>Монтаж арматурного каркаса КП-1 (Л=4400мм)</t>
  </si>
  <si>
    <t>Монтаж арматурного каркаса КП-1(Л=5000мм)</t>
  </si>
  <si>
    <t>Монтаж арматурного каркаса КП-1(Л=3060мм)</t>
  </si>
  <si>
    <t>Монтаж арматурного каркаса КП-1(Л=4280мм)</t>
  </si>
  <si>
    <t>Монтаж арматурного каркаса КП-1(Л=4080мм)</t>
  </si>
  <si>
    <t>Монтаж арматурного каркаса КП-1(Л=3680мм)</t>
  </si>
  <si>
    <t>Монтаж арматурного каркаса КП-1(Л=4330мм)</t>
  </si>
  <si>
    <t>Монтаж арматурного каркаса КП-1(Л=3110мм)</t>
  </si>
  <si>
    <t>Монтаж арматурного каркаса КП-1(Л=3160мм)</t>
  </si>
  <si>
    <t>Монтаж арматурного каркаса КП-1(Л=2200мм)</t>
  </si>
  <si>
    <t>Монтаж арматурного каркаса КП-1(Л=2800мм)</t>
  </si>
  <si>
    <t>Монтаж арматурного каркаса КП-1(Л=4130мм)</t>
  </si>
  <si>
    <t>Монтаж арматурного каркаса КП-1(Л=4900мм)</t>
  </si>
  <si>
    <t>Монтаж арматурного каркаса КП-1(Л=4850мм)</t>
  </si>
  <si>
    <t>Монтаж арматурного каркаса КП-2(Л=4900мм)</t>
  </si>
  <si>
    <t>Монтаж арматурного каркаса КР-1 (Л=1750мм)</t>
  </si>
  <si>
    <t>Монтаж арматурного каркаса КР-1 (Л=950мм)</t>
  </si>
  <si>
    <t>Монтаж - демонтаж опалубки заводского изготовления боковой части круглой фундаментной плиты Пфм1</t>
  </si>
  <si>
    <t>Армированные плиты Пфм1 ПРЯМИМИ стержнями диаметром 14 мм и более</t>
  </si>
  <si>
    <t>Армированные плиты Пфм1 ГНУТЫЕ стержнями диаметром 14 мм и более</t>
  </si>
  <si>
    <t>Армированные плиты Пфм1 ГНУТЫЕ стержнями диаметром до 12 мм</t>
  </si>
  <si>
    <t>Бетонирование плиты ФПм1 (1 шт)</t>
  </si>
  <si>
    <t>Устройство рулонной наплавляемой гидроизоляции Пенетрон Адмикс горизонтальных поверхностей здания ниже уровни земли</t>
  </si>
  <si>
    <t>Армирование плиты  Пм1 (1 шт)  ГНУТЫМИ стержнями диаметром  14 мм и более</t>
  </si>
  <si>
    <t>Монтаж и демонтаж опалубки плиты Пм2 (1 шт)</t>
  </si>
  <si>
    <t>Бетонирование плиты Пм2 (1 шт)</t>
  </si>
  <si>
    <t>Устройство стяжки плиты Пм2 (1 шт)</t>
  </si>
  <si>
    <t>Устройство поверхность стяжки плиты Пм2 (1 шт) железнением</t>
  </si>
  <si>
    <t>Монтаж заводских арматурных сеток стяжки плиты Пм2 (1 шт) из арматуры диаметром от Ø4 до Ø6мм. Соединение нахлестов сеток проволокой</t>
  </si>
  <si>
    <t>Армированные стен Стм1 (1 шт) ГНУТЫМИ стержнями диаметром до 12 мм</t>
  </si>
  <si>
    <t>Армированные стен Стм1 (1 шт) ГНУТЫМИ стержнями диаметром диаметром 14 мм и более</t>
  </si>
  <si>
    <t>Армированные стен Стм1 (1 шт) ПРЯМЫМИ стержнями диаметром диаметром 14 мм и более</t>
  </si>
  <si>
    <t>Монтаж и демонтаж опалубки заводского изготовления  стен Стм1 (1 шт)</t>
  </si>
  <si>
    <t>Бетонированиестен Стм1 (1 шт) из бетона B25 W8 F1200</t>
  </si>
  <si>
    <t>Монтаж закладных деталей С1 (2 шт) стен Стм1 , Сальник по сер. 5.900-2 Ду 800 весом от 140,1-200,0кг</t>
  </si>
  <si>
    <t>Армированные стен Стм2 (1 шт) ГНУТЫМИ стержнями диаметром до 12 мм</t>
  </si>
  <si>
    <t>Армированные стен Стм2 (1 шт) ГНУТЫМИ стержнями диаметром диаметром 14 мм и более</t>
  </si>
  <si>
    <t>Армированные стен Стм2 (1 шт) ПРЯМЫМИ стержнями диаметром диаметром 14 мм и более</t>
  </si>
  <si>
    <t>Монтаж и демонтаж опалубки заводского изготовления  стен Стм2 (1 шт)</t>
  </si>
  <si>
    <t>Бетонированиестен Стм2 (1 шт) из бетона B25 W8 F1200</t>
  </si>
  <si>
    <t>Армированные стен Стм3 (2 шт) ГНУТЫМИ стержнями диаметром до 12 мм</t>
  </si>
  <si>
    <t>Армированные стен Стм3 (2 шт) ПРЯМЫМИ стержнями диаметром диаметром 14 мм и более</t>
  </si>
  <si>
    <t>Армированные стен Стм3 (2 шт) ГНУТЫМИ стержнями диаметром диаметром 14 мм и более</t>
  </si>
  <si>
    <t>Монтаж и демонтаж опалубки заводского изготовления  стен Стм3 (2 шт)</t>
  </si>
  <si>
    <t>Бетонированиестен Стм3 (2 шт) из бетона B25 W8 F1200</t>
  </si>
  <si>
    <t>Армированные стен Стм4 (1 шт) ГНУТЫМИ стержнями диаметром до 12 мм</t>
  </si>
  <si>
    <t>Армированные стен Стм4 (1 шт) ПРЯМЫМИ стержнями диаметром диаметром 14 мм и более</t>
  </si>
  <si>
    <t>Армированные стен Стм4 (1 шт) ГНУТЫМИ стержнями диаметром диаметром 14 мм и более</t>
  </si>
  <si>
    <t>Монтаж и демонтаж опалубки заводского изготовления  стен Стм4 (1 шт)</t>
  </si>
  <si>
    <t>Бетонирование стен Стм4 (1 шт) из бетона B25 W8 F1200</t>
  </si>
  <si>
    <t>Армированные стен Стм5 (1 шт) ГНУТЫМИ стержнями диаметром до 12 мм</t>
  </si>
  <si>
    <t>Армированные стен Стм5 (1 шт) ГНУТЫМИ стержнями диаметром диаметром 14 мм и более</t>
  </si>
  <si>
    <t>Армированные стен Стм5 (1 шт) ПРЯМЫМИ стержнями диаметром диаметром 14 мм и более</t>
  </si>
  <si>
    <t>Монтаж и демонтаж опалубки заводского изготовления  стен Стм5 (1 шт)</t>
  </si>
  <si>
    <t>Бетонированиестен Стм5 (1 шт) из бетона B25 W8 F1200</t>
  </si>
  <si>
    <t>Монтаж закладных деталей С1 (1 шт) стен Стм5, Сальник по сер. 5.900-2 Ду 500  весом от 70,1-100,0кг</t>
  </si>
  <si>
    <t>Армированные колонн Км1 (16 шт) ГНУТЫМИ стержнями диаметром до 12 мм</t>
  </si>
  <si>
    <t>Армированные колонн Км1 (16 шт) ГНУТЫМИ стержнями диаметром диаметром 14 мм и более</t>
  </si>
  <si>
    <t>Монтаж и демонтаж опалубки заводского изготовления  колонн Км1 (16 шт)</t>
  </si>
  <si>
    <t>Бетонирование колонн Км1 (16 шт) из бетона B25 W8 F1200</t>
  </si>
  <si>
    <t>Уплотнение песка толщиной 1590мм между стен Стм1 и Стм5 - вручную</t>
  </si>
  <si>
    <t>Устройство бетонных поверхностей гидроизоляцией Пенетрон - вертикальных поверхностей здания ниже уровни земл</t>
  </si>
  <si>
    <t>Армирование плит перекрытия ПРЯМЫМИ стержнями диаметром 14мм и более плиты монолитной Пм3</t>
  </si>
  <si>
    <t>Армирование плит перекрытия ГНУТЫМИ стержнями диаметром 14мм и более плиты монолитной Пм3</t>
  </si>
  <si>
    <t>Монтаж закладных деталей плит перекрытия весом от 20,1-30,0кг МН1</t>
  </si>
  <si>
    <t>Монтаж и демонтаж опалубки  плиты монолитной Пм3</t>
  </si>
  <si>
    <t>Бетонирование плиты монолитной Пм3 на отм.+0.170</t>
  </si>
  <si>
    <t>Армирование стен ПРЯМЫМИ стержнями диаметром 14мм и более стена монолитная Стм6 (1шт)</t>
  </si>
  <si>
    <t>Армирование стен ГНУТЫМИ стержнями диаметром 14мм и более стена монолитная Стм6 (1шт)</t>
  </si>
  <si>
    <t>Армирование стен ГНУТЫМИ стержнями диаметром до 12мм стена монолитная Стм6 (1шт)</t>
  </si>
  <si>
    <t>Монтаж закладных деталей С1 (2 шт) стен Стм6, Сальник по сер. 5.900-2  Ду 50 весом от 8,1-12,0кг</t>
  </si>
  <si>
    <t>Монтаж закладных деталей С2 (4 шт) стен Стм6, Сальник по сер. 5.900-2 Ду 150 весом от от 30,1-40,0кг</t>
  </si>
  <si>
    <t>Заполнение зазора между стеной и сальником</t>
  </si>
  <si>
    <t>Монтаж закладных деталей стены монолитной Стм6 весом от 20,1-30,0кг МН1</t>
  </si>
  <si>
    <t>Монтаж закладных деталей стены монолитной Стм6 весом от 8,1-12,0кг МН1</t>
  </si>
  <si>
    <t>Монтаж закладных деталей стены монолитной Стм6 весом от 2,1-5,0кг МН2</t>
  </si>
  <si>
    <t>Монтаж и демонтаж опалубки стены монолитной Стм6</t>
  </si>
  <si>
    <t>Бетонирование стены монолитной Стм6</t>
  </si>
  <si>
    <t>Армирование стен ПРЯМЫМИ стержнями диаметром 14мм и более стена монолитная Стм7 (1шт)</t>
  </si>
  <si>
    <t>Армирование стен ГНУТЫМИ стержнями диаметром 14мм и более стена монолитная Стм7 (1шт)</t>
  </si>
  <si>
    <t>Армирование стен ГНУТЫМИ стержнями диаметром до 12мм стена монолитная Стм7 (1шт)</t>
  </si>
  <si>
    <t>Монтаж закладных деталей стены монолитной Стм7 весом от 20,1-30,0кг</t>
  </si>
  <si>
    <t>Монтаж закладных деталей стены монолитной Стм7 весом от 12,1-20,0кг</t>
  </si>
  <si>
    <t>Монтаж закладных деталей стены монолитной Стм7 весом от 8,1-12,0кг</t>
  </si>
  <si>
    <t>Монтаж и демонтаж опалубки стены монолитной Стм7</t>
  </si>
  <si>
    <t>Бетонирование стены монолитной Стм7</t>
  </si>
  <si>
    <t>Армирование колонны Км2 (2шт)</t>
  </si>
  <si>
    <t>Монтаж и демонтаж опалубки колонны Км2 (2шт)</t>
  </si>
  <si>
    <t>Бетонирование колонны Км2</t>
  </si>
  <si>
    <t>Колонна монолитная Км3 (3шт)</t>
  </si>
  <si>
    <t>Армирование колонны Км3 (3шт)</t>
  </si>
  <si>
    <t>Монтаж и демонтаж опалубки колонны Км3 (3шт)</t>
  </si>
  <si>
    <t>Бетонирование колонны Км3</t>
  </si>
  <si>
    <t>Засыпка камеры песком под плиту монолитную Пм4</t>
  </si>
  <si>
    <t>Уплотнение песчаной засыпки камеры под плитой монолитной Пм4</t>
  </si>
  <si>
    <t>Армирование плит перекрытия ПРЯМЫМИ стержнями диаметром 14мм и более плиты монолитной Пм4</t>
  </si>
  <si>
    <t>Бетонирование плиты монолитной Пм4 на отм.-2.610</t>
  </si>
  <si>
    <t>Монтаж и демонтаж опалубки собственного изготовления упора плиты монолитной Пм4</t>
  </si>
  <si>
    <t>Бетонирование упора плиты монолитной Пм4 на отм.-2.610</t>
  </si>
  <si>
    <t>Армирование плит перекрытия ПРЯМЫМИ стержнями диаметром 14мм и более плиты монолитной Пм5</t>
  </si>
  <si>
    <t>Армирование плит перекрытия ГНУТЫМИ стержнями диаметром 14мм и более плиты монолитной Пм5</t>
  </si>
  <si>
    <t>Монтаж закладных деталей  плиты монолитной Пм5 весом от 8,1-12,0кг</t>
  </si>
  <si>
    <t>Монтаж закладных деталей  плиты монолитной Пм5 весом отвесом от 2,1-5,0кг МН2</t>
  </si>
  <si>
    <t>Монтаж и демонтаж опалубки  плиты монолитной Пм5</t>
  </si>
  <si>
    <t>Бетонирование плиты монолитной Пм5 на отм.+1.170</t>
  </si>
  <si>
    <t>Транспортировка грунта материалов автомобилям-самосвалам до 1 км</t>
  </si>
  <si>
    <t>Устройство насыпи над монолитной плитой покрытия Пм3 высотой 1м - механизированным способом</t>
  </si>
  <si>
    <t>Устройство насыпи над монолитной плитой покрытия Пм3 высотой 1м - вручную</t>
  </si>
  <si>
    <t>Уплотнение насыпи над монолитной плитой покрытия Пм3 высотой 1м - механизированным способом</t>
  </si>
  <si>
    <t>Уплотнение  насыпи над монолитной плитой покрытия Пм3 высотой 1м - вручную</t>
  </si>
  <si>
    <t>Устройство теплоизоляции стен Стм6 и Стм2 по оси А</t>
  </si>
  <si>
    <t>Устройство бетонной подготовки плиты Пм2 (1 шт) из бетона В10, толщ. 100 мм (1шт.)</t>
  </si>
  <si>
    <t>Армирование плиты Пм2 (1 шт) ПРЯМЫМИ стержнями диаметром 14 мм и более</t>
  </si>
  <si>
    <t>Армирование плиты  Пм2 (1 шт)  ГНУТЫМИ стержнями диаметром  до 12 мме</t>
  </si>
  <si>
    <t>Устройство бетонной подготовки плиты ППм1 (1 шт) из бетона В10, толщ. 100 мм (1шт.)</t>
  </si>
  <si>
    <t>Армирование плиты  ППм1 (1 шт) ГНУТЫМИ стержнями диаметром  до 12 мме</t>
  </si>
  <si>
    <t xml:space="preserve">Изготовление и монтаж каркасов пространственных КР2 весом 4,83 кг/шт </t>
  </si>
  <si>
    <t>Монтаж и демонтаж опалубки плиты ППм1 (1 шт)</t>
  </si>
  <si>
    <t>Бетонирование плиты ППм1 (1 шт)</t>
  </si>
  <si>
    <t>Армирование плиты Пм1 (1 шт) ПРЯМЫМИ стержнями диаметром 14 мм и более</t>
  </si>
  <si>
    <t>Армирование плиты Пм1 (1 шт) ГНУТЫМИ стержнями диаметром 14 мм и более</t>
  </si>
  <si>
    <t>Монтаж каркасов пространственных КР1 весом 8,6 кг/м</t>
  </si>
  <si>
    <t>Армирование плиты Пм2 (1 шт) ГНУТЫМИ стержнями диаметром  до 12 мм</t>
  </si>
  <si>
    <t>Устройство бетонной подготовки плиты ППм1 из бетона В10, толщ. 100 мм (1шт.)</t>
  </si>
  <si>
    <t>Армирование плиты ППм1  (1 шт) ГНУТЫМИ стержнями диаметром  до 12 мм</t>
  </si>
  <si>
    <t>Монтаж каркасов пространственных КР2 весом 5 кг/м</t>
  </si>
  <si>
    <t>Бетонирование отмостки  (1 шт)</t>
  </si>
  <si>
    <t>Монтаж заводских арматурных сеток диаметром от Ø4 до Ø6мм. отмостки (1 шт)</t>
  </si>
  <si>
    <t>Монтаж каркасов пространственных КП1. Соединение элементов армокаркаса сваркой.</t>
  </si>
  <si>
    <t>Монтаж каркасов плоских КР1. Соединение элементов армокаркаса сваркой.</t>
  </si>
  <si>
    <t>Устройство подбетонки из бетона В10 толщиной 100мм</t>
  </si>
  <si>
    <t>Армирование ростверка РСм1.1 (2шт.)  ПРЯМЫМИ стержнями диаметром 14мм и более.</t>
  </si>
  <si>
    <t>Армирование ростверка РСм1.1 (2шт.)  ГНУТЫМИ стержнями диаметром 14мм и более.</t>
  </si>
  <si>
    <t>Армированные плиты РСм1.1 (2шт.)  ГНУТЫМИ стержнями диаметром диаметром до 12мм.</t>
  </si>
  <si>
    <t xml:space="preserve">Монтаж/демонтаж опалубки ростверка РСм1.1 (2шт.)  заводского изготовления </t>
  </si>
  <si>
    <t xml:space="preserve">Бетонирование ростверка РСм1.1 (2шт.) бетоном В25 W8 F200 </t>
  </si>
  <si>
    <t>Армирование ростверка РСм1.2 (2шт.)  ПРЯМЫМИ стержнями диаметром 14мм и более.</t>
  </si>
  <si>
    <t>Армирование ростверка РСм1.2 (2шт.)  ГНУТЫМИ стержнями диаметром 14мм и более.</t>
  </si>
  <si>
    <t>Армированные плиты РСм1.2 (2шт.)  ГНУТЫМИ стержнями диаметром диаметром до 12мм.</t>
  </si>
  <si>
    <t xml:space="preserve">Монтаж/демонтаж опалубки ростверка РСм1.2 (2шт.)   заводского изготовления </t>
  </si>
  <si>
    <t xml:space="preserve">Бетонирование ростверка РСм1.2 (2шт.)  бетоном В25 W8 F200 </t>
  </si>
  <si>
    <t>Монтаж каркасов пространственных КП2. Соединение элементов армокаркаса сваркой.</t>
  </si>
  <si>
    <t>Армирование ростверка РСм 2 (10шт.)  ПРЯМЫМИ стержнями диаметром 14мм и более.</t>
  </si>
  <si>
    <t>Армирование ростверка РСм 2 (10шт.)  ГНУТЫМИ стержнями диаметром 14мм и более.</t>
  </si>
  <si>
    <t>Армированные плиты РСм 2 (10шт.)  ГНУТЫМИ стержнями диаметром диаметром до 12мм.</t>
  </si>
  <si>
    <t xml:space="preserve">Монтаж/демонтаж опалубки ростверка РСм 2 (10шт.)    заводского изготовления </t>
  </si>
  <si>
    <t xml:space="preserve">Бетонирование ростверка РСм 2 (10шт.)   бетоном В25 W8 F200 </t>
  </si>
  <si>
    <t>Армирование ростверка РСм3 (4шт.) ПРЯМЫМИ стержнями диаметром 14мм и более.</t>
  </si>
  <si>
    <t>Армирование ростверка РСм3 (4шт.)  ГНУТЫМИ стержнями диаметром 14мм и более.</t>
  </si>
  <si>
    <t>Армированные плиты РСм3 (4шт.)  ГНУТЫМИ стержнями диаметром диаметром до 12мм.</t>
  </si>
  <si>
    <t xml:space="preserve">Монтаж/демонтаж опалубки ростверка РСм3 (4шт.)    заводского изготовления </t>
  </si>
  <si>
    <t xml:space="preserve">Бетонирование ростверка РСм3 (4шт.)  бетоном В25 W8 F200 </t>
  </si>
  <si>
    <t>Армирование ростверка Фм1 ПРЯМЫМИ стержнями диаметром до 12мм.</t>
  </si>
  <si>
    <t>Армирование ростверка Фм1 ГНУТЫМИ стержнями диаметром до 12мм.</t>
  </si>
  <si>
    <t>Монтаж/демонтаж опалубки ростверка Фм1(1шт) заводского изготовления нижний ярус</t>
  </si>
  <si>
    <t>Монтаж/демонтаж опалубки ростверка Фм1(1шт) заводского изготовления верхний ярус</t>
  </si>
  <si>
    <t xml:space="preserve">Бетонирование ростверка Фм1(1шт) бетоном В25 W8 F200 </t>
  </si>
  <si>
    <t>Устройство деформационного изоляционного шва  между ростверками фм1, шириной 100 мм, с заполнением герметиком</t>
  </si>
  <si>
    <t>Армирование ростверка Фм2 ПРЯМЫМИ стержнями диаметром до 12мм.</t>
  </si>
  <si>
    <t>Армирование ростверка Фм2 ГНУТЫМИ стержнями диаметром до 12мм.</t>
  </si>
  <si>
    <t>Монтаж/демонтаж опалубки ростверка Фм2(1шт) заводского изготовления нижний ярус</t>
  </si>
  <si>
    <t>Монтаж/демонтаж опалубки ростверка Фм2(1шт) заводского изготовления верхний ярус</t>
  </si>
  <si>
    <t xml:space="preserve">Бетонирование ростверка Фм2(1шт) бетоном В25 W8 F200 </t>
  </si>
  <si>
    <t>Армирование ростверка РСм1.1 (1шт.)  ПРЯМЫМИ стержнями диаметром 14мм и более.</t>
  </si>
  <si>
    <t>Армирование ростверка РСм1.1 (1шт.)  ГНУТЫМИ стержнями диаметром 14мм и более.</t>
  </si>
  <si>
    <t>Армированные плиты РСм1.1 (1шт.)  ГНУТЫМИ стержнями диаметром диаметром до 12мм.</t>
  </si>
  <si>
    <t xml:space="preserve">Монтаж/демонтаж опалубки ростверка РСм1.1 (1шт.)  заводского изготовления </t>
  </si>
  <si>
    <t xml:space="preserve">Бетонирование ростверка РСм1.1 (1шт.) бетоном В25 W8 F200 </t>
  </si>
  <si>
    <t>Армирование ростверка РСм1.2 (3шт.)  ПРЯМЫМИ стержнями диаметром 14мм и более.</t>
  </si>
  <si>
    <t>Армирование ростверка РСм1.2 (3шт.)  ГНУТЫМИ стержнями диаметром 14мм и более.</t>
  </si>
  <si>
    <t>Армированные плиты РСм1.2 (3шт.)  ГНУТЫМИ стержнями диаметром диаметром до 12мм.</t>
  </si>
  <si>
    <t xml:space="preserve">Монтаж/демонтаж опалубки ростверка РСм1.2 (3шт.)   заводского изготовления </t>
  </si>
  <si>
    <t xml:space="preserve">Бетонирование ростверка РСм1.2 (3шт.)  бетоном В25 W8 F200 </t>
  </si>
  <si>
    <t>Монтаж Труб гофрированных Ø 100мм. Т1 (12 шт.) по радиусу резервуара R43700</t>
  </si>
  <si>
    <t>Установка болты  Ø10мм из нержавеющей стали в верхней части плиты основания</t>
  </si>
  <si>
    <t xml:space="preserve">Монтаж закладных деталей плиты резервуара (1шт.) </t>
  </si>
  <si>
    <t xml:space="preserve">Устройство стяжки резервуара с уклоном </t>
  </si>
  <si>
    <t>Армированные плиты ГНУТЫЕ Арматуре (Ак 500) стержнями диаметром диаметром 14 мм и более</t>
  </si>
  <si>
    <t>Монтаж - демонтаж опалубки заводского изготовления фундаментной плиты между деформационных швов и изготовления боковой части</t>
  </si>
  <si>
    <t>Монтаж - демонтаж опалубки заводского изготовления фундаментной плиты изготовления боковой части</t>
  </si>
  <si>
    <t>Обеспечение шероховатости бетонной поверхности при устройстве вертикального рабочего шва. Обработка бетонной поверхности методом промывки водой под высоким давлением.</t>
  </si>
  <si>
    <t xml:space="preserve">Устройств плиты толщ.1250мм из бетона B50 W10 F300 </t>
  </si>
  <si>
    <t>Монтаж - Трубы каналов плиты</t>
  </si>
  <si>
    <t>Армированные плиты ГНУТЫЕ Арматуре (Ас 500) стержнями диаметром диаметром 14 мм и более</t>
  </si>
  <si>
    <t>Армированные плиты ГНУТЫМИ стержнями диаметром  до 12 мм</t>
  </si>
  <si>
    <t>Армированные плиты ГНУТЫМИ Арматуре (Ас 500) стержнями диаметром диаметром 14 мм и более</t>
  </si>
  <si>
    <t>Армированные плиты ПРЯМЫМИ Арматуре (Ас 500) стержнями диаметром диаметром 14 мм и более</t>
  </si>
  <si>
    <t>Армированные плиты ГНУТЫМИ Арматуре (А500) стержнями диаметром диаметром 14 мм и более</t>
  </si>
  <si>
    <t>Стыковое соединение арматурной муфтой Φ38мм на поз. А9 и А10</t>
  </si>
  <si>
    <t>Армированные плиты ПРЯМЫМИ Арматуре (Ан 600С) стержнями диаметром диаметром 14 мм и более</t>
  </si>
  <si>
    <t>Армированные плиты ПРЯМЫМИ Арматуре (Ан 600С) стержнями диаметром  до 12 мм</t>
  </si>
  <si>
    <t>Армирование стены внешнего резервуара ПРЯМЫМИ стержнями диаметром до 12мм</t>
  </si>
  <si>
    <t>Армирование стены внешнего резервуара ПРЯМЫМИ стержнями диаметром 14мм и более.</t>
  </si>
  <si>
    <t>Стыковое соединение арматурной муфтой Φ20 - Φ36мм с нарезкой резьбы для большой проем</t>
  </si>
  <si>
    <t>Стыковое соединение арматурной муфтой Φ20 - Φ36мм с нарезкой резьбы для малый проем</t>
  </si>
  <si>
    <t>Монтаж демонтаж опалубки стены внешнего резервуара</t>
  </si>
  <si>
    <t>Монтаж каналов для горизонтальных напрягаемых элементов стены внешнего резервуара</t>
  </si>
  <si>
    <t>Натяжение пучков из высокопрочной арматуры</t>
  </si>
  <si>
    <t>Монтаж прядей необходимого для операции по преднапряжения контфорса горизонтальных напрягаемых элементов  стены внешнего резервуара</t>
  </si>
  <si>
    <t>Установка анкерных блоков горизонтальных напрягаемых элементов стены внешнего резервуара  на контрфорсах</t>
  </si>
  <si>
    <t>Монтаж соединителей каналов для горизонтальных напрягаемых элементов стены внешнего резервуара</t>
  </si>
  <si>
    <t xml:space="preserve">Инъецирование каналов для промежуточного горизонтальных напрягаемых элементов стены внешнего резервуара </t>
  </si>
  <si>
    <t>Монтаж каналов для вертикальных напрягаемых элементов стены внешнего резервуара</t>
  </si>
  <si>
    <t>Монтаж дополнительного выпуска прядей необходимого для операции по преднапряжения контфорса вертикальных напрягаемых элементов  стены внешнего резервуара</t>
  </si>
  <si>
    <t>Установка анкерных блоков вертикальных напрягаемых элементов стены внешнего резервуара  на контрфорсах</t>
  </si>
  <si>
    <t xml:space="preserve">
Монтаж прядей необходимого для операции по преднапряжения контфорса вертикальных напрягаемых элементов  стены внешнего резервуара</t>
  </si>
  <si>
    <t xml:space="preserve">Инъецирование каналов для промежуточного вертикальных напрягаемых элементов стены внешнего резервуара </t>
  </si>
  <si>
    <t>Монтаж закладных деталей ЗДИ3 резервуара весом от 50,1-70,0кг</t>
  </si>
  <si>
    <t>Монтаж закладных деталей ЗДИ4 резервуара весом от 30,1-40,0кг</t>
  </si>
  <si>
    <t>Монтаж закладных деталей ЗДИ2 резервуара весом от 70,1-100,0кг</t>
  </si>
  <si>
    <t>Монтаж закладных деталей ЗДИ1 резервуара весом от 40,1-50,0кг</t>
  </si>
  <si>
    <t>Монтаж закладных деталей ЗДИ5 резервуара весом от 40,1-50,0кг</t>
  </si>
  <si>
    <t>Монтаж закладных деталей ЗДИ6 резервуара весом от 30,1-40,0кг</t>
  </si>
  <si>
    <t>Монтаж закладных деталей ЗДг-1 резервуара весом от 200,1-300,0кг</t>
  </si>
  <si>
    <t>Монтаж закладных деталей ЗДг-2 резервуара весом от 200,1-300,0кг</t>
  </si>
  <si>
    <t>Монтаж закладных деталей ЗДг-3 резервуара весом от 100,1-140,0кг</t>
  </si>
  <si>
    <t>Монтаж закладных деталей ЗДг-4 резервуара весом от 100,1-140,0кг</t>
  </si>
  <si>
    <t>Монтаж закладных деталей ЗДв-1 резервуара весом от 50,1-70,0кг</t>
  </si>
  <si>
    <t>Монтаж закладных деталей ЗДв-2 резервуара весом от 40,1-50,0кг</t>
  </si>
  <si>
    <t>Монтаж закладных деталей ЗДв-3 резервуара весом от 50,1-70,0кг</t>
  </si>
  <si>
    <t>Монтаж закладных деталей ЗДв-4 резервуара весом от 50,1-70,0кг</t>
  </si>
  <si>
    <t>Монтаж закладных деталей ЗДв-5 резервуара весом от 50,1-70,0кг</t>
  </si>
  <si>
    <t>Монтаж закладных деталей ЗДв-6 резервуара весом от 2,1-5,0кг</t>
  </si>
  <si>
    <t>Устройство бетонной подготовки фундаментов РСм1 из бетона В10, толщ. 100 мм (14шт.)</t>
  </si>
  <si>
    <t>Армирование фундамента РСм1 (14 шт)  ГНУТЫМИ сварными стержнями диаметром 14 мм и более</t>
  </si>
  <si>
    <t xml:space="preserve">Армирование фундамента РСм1 (14 шт)  ГНУТЫМИ сварными стержнями диаметром 14 мм и более - изготовление </t>
  </si>
  <si>
    <t>Армирование фундамента  РСм1 (14 шт)  ПРЯМЫМИ стержнями диаметром  14 мм и более</t>
  </si>
  <si>
    <t xml:space="preserve">Армирование фундамента  РСм1 (14 шт)  ПРЯМЫМИ стержнями диаметром  14 мм и более-изготовление </t>
  </si>
  <si>
    <t>Армирование фундамента  РСм1 (14 шт)   ГНУТЫМИ стержнями диаметром  до 12 мм</t>
  </si>
  <si>
    <t>Монтаж и демонтаж опалубки ростверкаРСм1 (14 шт)</t>
  </si>
  <si>
    <t>Бетонирование ростверка РСм1 (14 шт)</t>
  </si>
  <si>
    <t>Армирование фундамента РСм1а (12 шт)  ГНУТЫМИ сварными стержнями диаметром 14 мм и более</t>
  </si>
  <si>
    <t>Армирование фундамента  РСм1а (12 шт)  ПРЯМЫМИ стержнями диаметром  14 мм и более</t>
  </si>
  <si>
    <t>Армирование фундамента  РСм1а (12 шт)   ГНУТЫМИ стержнями диаметром  до 12 мм</t>
  </si>
  <si>
    <t>Монтаж и демонтаж опалубки ростверка РСм1а (12 шт)</t>
  </si>
  <si>
    <t>Бетонирование ростверка РСм1а (12 шт)</t>
  </si>
  <si>
    <t xml:space="preserve">Устройство бетонной подготовки фундаментов РСм2 (4 шт) из бетона В10, толщ. 100 мм </t>
  </si>
  <si>
    <t>Армирование фундамента РСм2 (4 шт)  ГНУТЫМИ сварными стержнями 14 мм и более</t>
  </si>
  <si>
    <t>Армирование фундамента РСм2 (4 шт) ПРЯМЫМИ сварными стержнями 14 мм и более</t>
  </si>
  <si>
    <t>Армирование фундамента РСм2 (4 шт)   ГНУТЫМИ стержнями диаметром  до 12 мм</t>
  </si>
  <si>
    <t>Монтаж и демонтаж опалубки ростверка РСм2 (4 шт)</t>
  </si>
  <si>
    <t>Бетонирование ростверка РСм2 (4 шт)</t>
  </si>
  <si>
    <t xml:space="preserve">Устройство бетонной подготовки фундаментов РСм2a (4 шт) из бетона В10, толщ. 100 мм </t>
  </si>
  <si>
    <t>Армирование фундамента РСм2a (4 шт)  ГНУТЫМИ сварными стержнями 14 мм и более</t>
  </si>
  <si>
    <t>Армирование фундамента РСм2a (4 шт) ПРЯМЫМИ сварными стержнями 14 мм и более</t>
  </si>
  <si>
    <t>Армирование фундамента РСм2a (4 шт)   ГНУТЫМИ стержнями диаметром  до 12 мм</t>
  </si>
  <si>
    <t>Монтаж и демонтаж опалубки ростверка РСм2a (4 шт)</t>
  </si>
  <si>
    <t>Бетонирование ростверка РСм2a (4 шт)</t>
  </si>
  <si>
    <t xml:space="preserve">Устройство бетонной подготовки фундаментов РСм3 (2 шт) из бетона В10, толщ. 100 мм </t>
  </si>
  <si>
    <t>Армирование фундамента РСм3 (2 шт)  ГНУТЫМИ сварными стержнями 14 мм и более</t>
  </si>
  <si>
    <t>Армирование фундамента РСм3 (2 шт) ПРЯМЫМИ сварными стержнями 14 мм и более</t>
  </si>
  <si>
    <t>Бетонирование ростверкаРСм3 (2 шт)</t>
  </si>
  <si>
    <t xml:space="preserve">Армированные колонн Км1 (2 шт) ГНУТЫМИ стержнями диаметром до 12 мм - Изготовление </t>
  </si>
  <si>
    <t xml:space="preserve">Армированные колонн Км1 (2 шт) ПРЯМЫМИ стержнями диаметром 14 мм и более - Изготовление </t>
  </si>
  <si>
    <t>Монтаж и демонтаж опалубки заводского изготовления колонн Км1(2 шт)</t>
  </si>
  <si>
    <t>Монтаж закладных деталей ЗДИ1 колонн Км1-1  весом от
5,1-8,0кг.</t>
  </si>
  <si>
    <t>Армированные колонн Км1 (6 шт) ГНУТЫМИ стержнями диаметром до 12 мм</t>
  </si>
  <si>
    <t>Армированные колонн Км1 (6 шт) ПРЯМЫМИ стержнями диаметром 14 мм и более</t>
  </si>
  <si>
    <t>Монтаж и демонтаж опалубки заводского изготовления колонн Км1(6 шт)</t>
  </si>
  <si>
    <t xml:space="preserve">Бетонирование колонн Км1(6 шт) из бетона B25 W8 F200 </t>
  </si>
  <si>
    <t>Устройство подливки колонн Км1 толщиной 50мм
(6 шт)</t>
  </si>
  <si>
    <t>Монтаж закладных деталей ЗДИ1 колонн Км1-2  весом от
5,1-8,0кг.</t>
  </si>
  <si>
    <t>Монтаж закладных деталей ЗДИ2 колонн Км1-2 весом от
8,0-15,0кг.</t>
  </si>
  <si>
    <t>Монтаж закладных деталей ЗДИ1 колонн Км1-3  весом от
5,1-8,0кг.</t>
  </si>
  <si>
    <t>Монтаж закладных деталей ЗДИ2 колонн Км1-3 весом от
8,0-15,0кг.</t>
  </si>
  <si>
    <t>Монтаж закладных деталей ЗДИ6 колонн Км1-3 весом от
5,0-8,0кг.</t>
  </si>
  <si>
    <t>Монтаж закладных деталей ЗДИ1 колонн Км1-4  весом от
5,1-8,0кг.</t>
  </si>
  <si>
    <t>Монтаж закладных деталей ЗДИ2 колонн Км1-4 весом от
8,0-15,0кг.</t>
  </si>
  <si>
    <t>Монтаж и демонтаж опалубки заводского изготовления колонн Км2(2 шт)</t>
  </si>
  <si>
    <t xml:space="preserve">Бетонирование колонн Км2(2 шт) из бетона B25 W8 F200 </t>
  </si>
  <si>
    <t>Монтаж закладных деталей ЗДИ1 колонн Км2-1  весом от
5,1-8,0кг.</t>
  </si>
  <si>
    <t>Монтаж закладных деталей ЗДИ2 колонн Км2-1 весом от
8,0-15,0кг.</t>
  </si>
  <si>
    <t>Армированные колонн Км2 (5 шт) ГНУТЫМИ стержнями диаметром до 12 мм</t>
  </si>
  <si>
    <t>Армированные колонн Км2 (5 шт) ПРЯМЫМИ стержнями диаметром 14 мм и более</t>
  </si>
  <si>
    <t>Монтаж и демонтаж опалубки заводского изготовления колонн Км2(5 шт)</t>
  </si>
  <si>
    <t xml:space="preserve">Бетонирование колонн Км2(5 шт) из бетона B25 W8 F200 </t>
  </si>
  <si>
    <t>Устройство подливки колонн Км2 толщиной 50мм
(5 шт)</t>
  </si>
  <si>
    <t>Монтаж закладных деталей ЗДИ1 колонн Км2-2  весом от
5,1-8,0кг.</t>
  </si>
  <si>
    <t>Монтаж закладных деталей ЗДИ2 колонн Км2-2 весом от
8,0-15,0кг.</t>
  </si>
  <si>
    <t>Монтаж закладных деталей ЗДИ1 колонн Км2-3  весом от
5,1-8,0кг.</t>
  </si>
  <si>
    <t>Монтаж закладных деталей ЗДИ2 колонн Км2-3 весом от
8,0-15,0кг.</t>
  </si>
  <si>
    <t>Монтаж закладных деталей ЗДИ6 колонн Км2-3 весом от
5,0-8,0кг.</t>
  </si>
  <si>
    <t>Монтаж закладных деталей ЗДИ1 колонн Км2-4  весом от
5,1-8,0кг.</t>
  </si>
  <si>
    <t>Монтаж закладных деталей ЗДИ2 колонн Км2-4 весом от
8,0-15,0кг.</t>
  </si>
  <si>
    <t>Монтаж закладных деталей ЗДИ6 колонн Км2-4 весом от
5,0-8,0кг.</t>
  </si>
  <si>
    <t>Монтаж и демонтаж опалубки заводского изготовления колонн Км2(3 шт)</t>
  </si>
  <si>
    <t xml:space="preserve">Бетонирование колонн Км2(3 шт) из бетона B25 W8 F200 </t>
  </si>
  <si>
    <t>Монтаж закладных деталей ЗДИ1 колонн Км2-5  весом от
5,1-8,0кг.</t>
  </si>
  <si>
    <t>Монтаж закладных деталей ЗДИ2 колонн Км2-5 весом от
8,0-15,0кг.</t>
  </si>
  <si>
    <t>Монтаж закладных деталей ЗДИ2 колонн Км2-6 весом от
8,0-15,0кг.</t>
  </si>
  <si>
    <t>Монтаж закладных деталей ЗДИ6 колонн Км2-6 весом от
5,0-8,0кг.</t>
  </si>
  <si>
    <t>Монтаж закладных деталей ЗДИ1 колонн Км2-7  весом от
5,1-8,0кг.</t>
  </si>
  <si>
    <t>Монтаж закладных деталей ЗДИ2 колонн Км2-7 весом от
8,0-15,0кг.</t>
  </si>
  <si>
    <t>Монтаж закладных деталей ЗДИ6 колонн Км2-7 весом от
5,0-8,0кг.</t>
  </si>
  <si>
    <t>Монтаж и демонтаж опалубки заводского изготовления колонн Км3(1 шт)</t>
  </si>
  <si>
    <t>Монтаж закладных деталей ЗДИ1 колонн Км3-1  весом от
5,1-8,0кг.</t>
  </si>
  <si>
    <t>Монтаж закладных деталей ЗДИ6 колонн Км3-1 весом от
8,0-15,0кг.</t>
  </si>
  <si>
    <t>Монтаж закладных деталей ЗДИ1 колонн Км3-2  весом от
5,1-8,0кг.</t>
  </si>
  <si>
    <t>Монтаж закладных деталей ЗДИ6 колонн Км3-2 весом от
8,0-15,0кг.</t>
  </si>
  <si>
    <t>Монтаж закладных деталей ЗДИ1 колонн Км3-3  весом от
5,1-8,0кг.</t>
  </si>
  <si>
    <t>Монтаж закладных деталей ЗДИ6 колонн Км3-3 весом от
8,0-15,0кг.</t>
  </si>
  <si>
    <t>Монтаж закладных деталей ЗДИ7 колонн Км3-3 весом от
8,0-15,0кг.</t>
  </si>
  <si>
    <t>Монтаж закладных деталей ЗДИ1 колонн Км3-4  весом от
5,1-8,0кг.</t>
  </si>
  <si>
    <t>Монтаж закладных деталей ЗДИ6 колонн Км3-4 весом от
8,0-15,0кг.</t>
  </si>
  <si>
    <t>Монтаж закладных деталей ЗДИ7 колонн Км3-4 весом от
8,0-15,0кг.</t>
  </si>
  <si>
    <t>Монтаж и демонтаж опалубки заводского изготовления раме Рм1(1 шт)</t>
  </si>
  <si>
    <t xml:space="preserve">Бетонирование раме Рм1(1 шт) из бетона B25 W8 F200 </t>
  </si>
  <si>
    <t>Монтаж закладных деталей ЗДИ3 раме Рм1  весом от
5,1-8,0кг.</t>
  </si>
  <si>
    <t>Монтаж закладных деталей ЗДИ4 раме Рм1  весом от
8,0-15,0кг.</t>
  </si>
  <si>
    <t>Монтаж закладных деталей ЗДИ5 раме Рм1 весом от
15,0-30,0кг.</t>
  </si>
  <si>
    <t>Монтаж и демонтаж опалубки заводского изготовления раме Рм1а(1 шт)</t>
  </si>
  <si>
    <t xml:space="preserve">Бетонирование раме Рм1а(1 шт) из бетона B25 W8 F200 </t>
  </si>
  <si>
    <t>Монтаж закладных деталей ЗДИ1 раме Рм1а  весом от
5,1-8,0кг.</t>
  </si>
  <si>
    <t>Монтаж закладных деталей ЗДИ3 раме Рм1а  весом от
5,1-8,0кг.</t>
  </si>
  <si>
    <t>Монтаж закладных деталей ЗДИ4 раме Рм1а  весом от
8,0-15,0кг.</t>
  </si>
  <si>
    <t>Монтаж закладных деталей ЗДИ5 раме Рм1а весом от
15,0-30,0кг.</t>
  </si>
  <si>
    <t>Армированные раме Рм2 (1 шт) ГНУТЫМИ стержнями диаметром до 12 мм</t>
  </si>
  <si>
    <t>Армированные раме Рм2 (1 шт) ПРЯМЫМИ стержнями диаметром 14 мм и более</t>
  </si>
  <si>
    <t>Армированные раме Рм2 (1 шт) ГНУТЫМИ стержнями диаметром 14 мм и более</t>
  </si>
  <si>
    <t>Монтаж и демонтаж опалубки заводского изготовления раме Рм2(1 шт)</t>
  </si>
  <si>
    <t xml:space="preserve">Бетонирование раме Рм2(1 шт) из бетона B25 W8 F200 </t>
  </si>
  <si>
    <t>Монтаж закладных деталей ЗДИ3 раме Рм2  весом от
5,1-8,0кг.</t>
  </si>
  <si>
    <t>Монтаж закладных деталей ЗДИ4 раме Рм2  весом от
8,0-15,0кг.</t>
  </si>
  <si>
    <t>Монтаж закладных деталей ЗДИ5 раме Рм2 весом от
15,0-30,0кг.</t>
  </si>
  <si>
    <t>Армированные раме Рм2а (1 шт) ГНУТЫМИ стержнями диаметром до 12 мм</t>
  </si>
  <si>
    <t>Армированные раме Рм2а (1 шт) ПРЯМЫМИ стержнями диаметром 14 мм и более</t>
  </si>
  <si>
    <t>Армированные раме Рм2а (1 шт) ГНУТЫМИ стержнями диаметром 14 мм и более</t>
  </si>
  <si>
    <t>Монтаж и демонтаж опалубки заводского изготовления раме Рм2а(1 шт)</t>
  </si>
  <si>
    <t xml:space="preserve">Бетонирование раме Рм2а(1 шт) из бетона B25 W8 F200 </t>
  </si>
  <si>
    <t>Монтаж закладных деталей ЗДИ3 раме Рм2а  весом от
5,1-8,0кг.</t>
  </si>
  <si>
    <t>Монтаж закладных деталей ЗДИ4 раме Рм2а  весом от
8,0-15,0кг.</t>
  </si>
  <si>
    <t>Монтаж закладных деталей ЗДИ5 раме Рм2а весом от
15,0-30,0кг.</t>
  </si>
  <si>
    <t>Устройство бетонной подготовки фундаментов РСм2 из бетона В10, толщ. 100 мм(8шт.)</t>
  </si>
  <si>
    <t>Монтаж - демонтаж опалубки заводского изготовления для фундамента  РСм2 (8 шт) нижний ярус</t>
  </si>
  <si>
    <t>Армированные фундамента РСм2 (8 шт)  ПРЯМИМИ стержнями диаметром 14 мм и более</t>
  </si>
  <si>
    <t>Армированные фундамента РСм2 (8 шт)  ГНУТЫЕ стержнями диаметром 14 мм и более</t>
  </si>
  <si>
    <t>Армированные фундамента  РСм2 (8 шт)  ГНУТЫЕ стержнями диаметром  до 12 мм</t>
  </si>
  <si>
    <t>Устройство фундамента  РСм2 (8 шт) из бетона  B25 W8 F200</t>
  </si>
  <si>
    <t>Армированные фундамента РСм3 (2 шт)  ГНУТЫЕ стержнями диаметром 14 мм и более</t>
  </si>
  <si>
    <t>Армированные фундамента  РСм3 (2 шт)  ГНУТЫЕ стержнями диаметром  до 12 мм</t>
  </si>
  <si>
    <t>Устройство бетонной подготовки фундаментов РСм4 из бетона В10, толщ. 100 мм(9 шт.)</t>
  </si>
  <si>
    <t>Монтаж - демонтаж опалубки заводского изготовления для фундамента  РСм4 (9 шт) нижний ярус</t>
  </si>
  <si>
    <t>Армированные фундамента РСм4 (9 шт)  ПРЯМИМИ стержнями диаметром 14 мм и более</t>
  </si>
  <si>
    <t>Армированные фундамента РСм4 (9 шт)  ГНУТЫЕ стержнями диаметром 14 мм и более</t>
  </si>
  <si>
    <t>Армированные фундамента  РСм4 (9 шт)  ГНУТЫЕ стержнями диаметром  до 12 мм</t>
  </si>
  <si>
    <t>Устройство фундамента  РСм4 (9 шт) из бетона  B25 W8 F200</t>
  </si>
  <si>
    <t>Армирование колонн Км1-1 ПРЯМЫМИ стержнями диаметром 14мм и более.</t>
  </si>
  <si>
    <t>Армирование колонн Км1-1 ГНУТЫМИ стержнями диаметром до 12мм</t>
  </si>
  <si>
    <t xml:space="preserve">Установка анкерных блоков АБ1 весом 28.46кг/шт (перед бетонированием) диаметром от Ø20мм до Ø40мм </t>
  </si>
  <si>
    <t>Монтаж закладных деталей ЗДИ5 колонн весом от 40,1-50,0кг</t>
  </si>
  <si>
    <t>Монтаж закладных деталей ЗДИ7 колонн весом от 20,1-30,0кг</t>
  </si>
  <si>
    <t>Монтаж закладных деталей ЗДИ11 колонн весом от 8,0-15,0кг.</t>
  </si>
  <si>
    <t xml:space="preserve">Монтаж/демонтаж опалубки колонн рамы Км1-1(1шт) заводского изготовления </t>
  </si>
  <si>
    <t>Бетонирование колонн Км1-1 (1шт) бетоном В25 W8 F200</t>
  </si>
  <si>
    <t>Устройство подливки цементно-песчаными или растворами, толщиной 50 мм из бетона В30 безусадочном цементе</t>
  </si>
  <si>
    <t>Армирование колонн Км1-2 ПРЯМЫМИ стержнями диаметром 14мм и более.</t>
  </si>
  <si>
    <t>Армирование колонн Км1-2 ГНУТЫМИ стержнями диаметром до 12мм</t>
  </si>
  <si>
    <t xml:space="preserve">Монтаж/демонтаж опалубки колонн рамы Км1-2 (1шт) заводского изготовления </t>
  </si>
  <si>
    <t>Бетонирование колонн Км1-2 (1шт) бетоном В25 W8 F200</t>
  </si>
  <si>
    <t>Армирование колонн Км1-3 ПРЯМЫМИ стержнями диаметром 14мм и более.</t>
  </si>
  <si>
    <t>Армирование колонн Км1-3 ГНУТЫМИ стержнями диаметром до 12мм</t>
  </si>
  <si>
    <t>Монтаж закладных деталей ЗДИ4 колонн весом от 70,1-100,0кг</t>
  </si>
  <si>
    <t xml:space="preserve">Монтаж/демонтаж опалубки колонн рамы Км1-3(1шт) заводского изготовления </t>
  </si>
  <si>
    <t>Бетонирование колонн Км1-3 (1шт) бетоном В25 W8 F200</t>
  </si>
  <si>
    <t>Армирование колонн Км1-4 ПРЯМЫМИ стержнями диаметром 14мм и более.</t>
  </si>
  <si>
    <t>Армирование колонн Км1-4 ГНУТЫМИ стержнями диаметром до 12мм</t>
  </si>
  <si>
    <t xml:space="preserve">Монтаж/демонтаж опалубки колонн рамы Км1-4 (2шт) заводского изготовления </t>
  </si>
  <si>
    <t>Бетонирование колонн Км1-4 (2шт) бетоном В25 W8 F200</t>
  </si>
  <si>
    <t>Армирование колонн Км1-5 ПРЯМЫМИ стержнями диаметром 14мм и более.</t>
  </si>
  <si>
    <t>Армирование колонн Км1-5ГНУТЫМИ стержнями диаметром до 12мм</t>
  </si>
  <si>
    <t xml:space="preserve">Монтаж/демонтаж опалубки колонн рамы Км1-5(1шт) заводского изготовления </t>
  </si>
  <si>
    <t>Бетонирование колонн Км1-5 (1шт) бетоном В25 W8 F200</t>
  </si>
  <si>
    <t>Армирование колонн Км1-6 ПРЯМЫМИ стержнями диаметром 14мм и более.</t>
  </si>
  <si>
    <t>Армирование колонн Км1-6 ГНУТЫМИ стержнями диаметром до 12мм</t>
  </si>
  <si>
    <t xml:space="preserve">Монтаж/демонтаж опалубки колонн рамы Км1-6 (1шт) заводского изготовления </t>
  </si>
  <si>
    <t>Бетонирование колонн Км1-6 (1шт) бетоном В25 W8 F200</t>
  </si>
  <si>
    <t>Армирование колонн Км1-7 ПРЯМЫМИ стержнями диаметром 14мм и более.</t>
  </si>
  <si>
    <t>Армирование колонн Км1-7 ГНУТЫМИ стержнями диаметром до 12мм</t>
  </si>
  <si>
    <t xml:space="preserve">Монтаж/демонтаж опалубки колонн рамы Км1-7(1шт) заводского изготовления </t>
  </si>
  <si>
    <t>Бетонирование колонн Км1-7 (1шт) бетоном В25 W8 F200</t>
  </si>
  <si>
    <t>Армирование колонн Км2-1 ПРЯМЫМИ стержнями диаметром 14мм и более.</t>
  </si>
  <si>
    <t>Армирование колонн Км2-1 ГНУТЫМИ стержнями диаметром до 12мм</t>
  </si>
  <si>
    <t xml:space="preserve">Установка анкерных блоков АБ2 весом 29.34кг/шт (перед бетонированием) диаметром от Ø20мм до Ø40мм </t>
  </si>
  <si>
    <t xml:space="preserve">Монтаж/демонтаж опалубки колонн рамы Км2-1(1шт) заводского изготовления </t>
  </si>
  <si>
    <t>Бетонирование колонн Км2-1 (1шт) бетоном В25 W8 F200</t>
  </si>
  <si>
    <t>Армирование колонн Км2-2 ПРЯМЫМИ стержнями диаметром 14мм и более.</t>
  </si>
  <si>
    <t>Армирование колонн Км2-2 ГНУТЫМИ стержнями диаметром до 12мм</t>
  </si>
  <si>
    <t xml:space="preserve">Монтаж/демонтаж опалубки колонн рамы Км2-2(1шт) заводского изготовления </t>
  </si>
  <si>
    <t>Бетонирование колонн Км2-2 (1шт) бетоном В25 W8 F200</t>
  </si>
  <si>
    <t>Армирование колонн Км2-3 ПРЯМЫМИ стержнями диаметром 14мм и более.</t>
  </si>
  <si>
    <t>Армирование колонн Км2-3 ГНУТЫМИ стержнями диаметром до 12мм</t>
  </si>
  <si>
    <t>Монтаж закладных деталей ЗДИ1 колонн весом от  70,1-100,0кг</t>
  </si>
  <si>
    <t xml:space="preserve">Монтаж/демонтаж опалубки колонн рамы Км2-3(1шт) заводского изготовления </t>
  </si>
  <si>
    <t>Бетонирование колонн Км2-3 (1шт) бетоном В25 W8 F200</t>
  </si>
  <si>
    <t>Армирование колонн Км2-4 ПРЯМЫМИ стержнями диаметром 14мм и более.</t>
  </si>
  <si>
    <t>Армирование колонн Км2-4 ГНУТЫМИ стержнями диаметром до 12мм</t>
  </si>
  <si>
    <t xml:space="preserve">Монтаж/демонтаж опалубки колонн рамы Км2-4(1шт) заводского изготовления </t>
  </si>
  <si>
    <t>Бетонирование колонн Км2-4 (1шт) бетоном В25 W8 F200</t>
  </si>
  <si>
    <t>Армирование колонн Км2-5 ПРЯМЫМИ стержнями диаметром 14мм и более.</t>
  </si>
  <si>
    <t>Армирование колонн Км2-5 ГНУТЫМИ стержнями диаметром до 12мм</t>
  </si>
  <si>
    <t xml:space="preserve">Монтаж/демонтаж опалубки колонн рамы Км2-5(1шт) заводского изготовления </t>
  </si>
  <si>
    <t>Бетонирование колонн Км2-5 (1шт) бетоном В25 W8 F200</t>
  </si>
  <si>
    <t>Армирование колонн Км2-6 ПРЯМЫМИ стержнями диаметром 14мм и более.</t>
  </si>
  <si>
    <t>Армирование колонн Км2-6 ГНУТЫМИ стержнями диаметром до 12мм</t>
  </si>
  <si>
    <t>Монтаж закладных деталей ЗДИ2 колонн весом от 40,1-50,0кг</t>
  </si>
  <si>
    <t xml:space="preserve">Монтаж/демонтаж опалубки колонн рамы Км2-6(1шт) заводского изготовления </t>
  </si>
  <si>
    <t>Бетонирование колонн Км2-6 (1шт) бетоном В25 W8 F200</t>
  </si>
  <si>
    <t>Армирование колонн Км2-7 ПРЯМЫМИ стержнями диаметром 14мм и более.</t>
  </si>
  <si>
    <t>Армирование колонн Км2-7 ГНУТЫМИ стержнями диаметром до 12мм</t>
  </si>
  <si>
    <t xml:space="preserve">Монтаж/демонтаж опалубки колонн рамы Км2-7(3шт) заводского изготовления </t>
  </si>
  <si>
    <t>Бетонирование колонн Км2-7 (3шт) бетоном В25 W8 F200</t>
  </si>
  <si>
    <t>Армирование колонн Км2-8 ПРЯМЫМИ стержнями диаметром 14мм и более.</t>
  </si>
  <si>
    <t>Армирование колонн Км2-8 ГНУТЫМИ стержнями диаметром до 12мм</t>
  </si>
  <si>
    <t xml:space="preserve">Монтаж/демонтаж опалубки колонн рамы Км2-8(3шт) заводского изготовления </t>
  </si>
  <si>
    <t>Бетонирование колонн Км2-8 (3шт) бетоном В25 W8 F200</t>
  </si>
  <si>
    <t>Армирование колонн Км2-9 ПРЯМЫМИ стержнями диаметром 14мм и более.</t>
  </si>
  <si>
    <t>Армирование колонн Км2-9 ГНУТЫМИ стержнями диаметром до 12мм</t>
  </si>
  <si>
    <t xml:space="preserve">Монтаж/демонтаж опалубки колонн рамы Км2-9(1шт) заводского изготовления </t>
  </si>
  <si>
    <t>Бетонирование колонн Км2-9 (1шт) бетоном В25 W8 F200</t>
  </si>
  <si>
    <t>Армирование колонн Км2-10 ПРЯМЫМИ стержнями диаметром 14мм и более.</t>
  </si>
  <si>
    <t>Армирование колонн Км2-10 ГНУТЫМИ стержнями диаметром до 12мм</t>
  </si>
  <si>
    <t xml:space="preserve">Монтаж/демонтаж опалубки колонн рамы Км2-10(1шт) заводского изготовления </t>
  </si>
  <si>
    <t>Бетонирование колонн Км2-10 (1шт) бетоном В25 W8 F200</t>
  </si>
  <si>
    <t>Армирование колонн Км3-1 ПРЯМЫМИ стержнями диаметром 14мм и более.</t>
  </si>
  <si>
    <t>Армирование колонн Км3-1 ГНУТЫМИ стержнями диаметром до 12мм</t>
  </si>
  <si>
    <t xml:space="preserve">Установка анкерных блоков АБ3 весом 32.38кг/шт (перед бетонированием) диаметром от Ø20мм до Ø40мм </t>
  </si>
  <si>
    <t xml:space="preserve">Монтаж/демонтаж опалубки колонн рамы Км3-1 заводского изготовления </t>
  </si>
  <si>
    <t>Бетонирование колонн Км3-1  бетоном В25 W8 F200</t>
  </si>
  <si>
    <t>Армирование колонн Км3-2 ПРЯМЫМИ стержнями диаметром 14мм и более.</t>
  </si>
  <si>
    <t>Армирование колонн Км3-2 ГНУТЫМИ стержнями диаметром до 12мм</t>
  </si>
  <si>
    <t xml:space="preserve">Монтаж/демонтаж опалубки колонн рамы Км3-2 заводского изготовления </t>
  </si>
  <si>
    <t>Бетонирование колонн Км3-2 бетоном В25 W8 F200</t>
  </si>
  <si>
    <t>Армирование колонн Км3-3 ПРЯМЫМИ стержнями диаметром 14мм и более.</t>
  </si>
  <si>
    <t>Армирование колонн Км3-3 ГНУТЫМИ стержнями диаметром до 12мм</t>
  </si>
  <si>
    <t>Монтаж закладных деталей ЗДИ6 колонн весом от 30,1-40,0кг</t>
  </si>
  <si>
    <t xml:space="preserve">Монтаж/демонтаж опалубки колонн рамы Км3-3 заводского изготовления </t>
  </si>
  <si>
    <t>Бетонирование колонн Км3-3 бетоном В25 W8 F200</t>
  </si>
  <si>
    <t>Армирование колонн Км3-4 ПРЯМЫМИ стержнями диаметром 14мм и более.</t>
  </si>
  <si>
    <t>Армирование колонн Км3-4 ГНУТЫМИ стержнями диаметром до 12мм</t>
  </si>
  <si>
    <t xml:space="preserve">Монтаж/демонтаж опалубки колонн рамы Км3-4 заводского изготовления </t>
  </si>
  <si>
    <t>Бетонирование колонн Км3-4 бетоном В25 W8 F200</t>
  </si>
  <si>
    <t>Армирование колонн Км4-1 ПРЯМЫМИ стержнями диаметром 14мм и более.</t>
  </si>
  <si>
    <t>Армирование колонн Км4-1ГНУТЫМИ стержнями диаметром до 12мм</t>
  </si>
  <si>
    <t xml:space="preserve">Установка анкерных блоков АБ4 весом 38.86кг/шт (перед бетонированием) диаметром от Ø20мм до Ø40мм </t>
  </si>
  <si>
    <t>Монтаж закладных деталей ЗДИ8 колонн весом от 30,1-40,0кг</t>
  </si>
  <si>
    <t xml:space="preserve">Монтаж/демонтаж опалубки колонн рамы Км4-1 заводского изготовления </t>
  </si>
  <si>
    <t>Бетонирование колонн Км 4-1 бетоном В25 W8 F200</t>
  </si>
  <si>
    <t>Армирование колонн Км4-2 ПРЯМЫМИ стержнями диаметром 14мм и более.</t>
  </si>
  <si>
    <t>Армирование колонн Км4-2 ГНУТЫМИ стержнями диаметром до 12мм</t>
  </si>
  <si>
    <t xml:space="preserve">Монтаж/демонтаж опалубки колонн рамы Км4-2 заводского изготовления </t>
  </si>
  <si>
    <t>Бетонирование колонн Км 4-2 бетоном В25 W8 F200</t>
  </si>
  <si>
    <t>Армирование колонн Км4-3 ПРЯМЫМИ стержнями диаметром 14мм и более.</t>
  </si>
  <si>
    <t>Армирование колонн Км4-3 ГНУТЫМИ стержнями диаметром до 12мм</t>
  </si>
  <si>
    <t xml:space="preserve">Монтаж/демонтаж опалубки колонн рамы Км4-3 заводского изготовления </t>
  </si>
  <si>
    <t>Бетонирование колонн Км 4-3 бетоном В25 W8 F200</t>
  </si>
  <si>
    <t>Армирование колонн Км4-4 ПРЯМЫМИ стержнями диаметром 14мм и более.</t>
  </si>
  <si>
    <t>Армирование колонн Км4-4 ГНУТЫМИ стержнями диаметром до 12мм</t>
  </si>
  <si>
    <t xml:space="preserve">Монтаж/демонтаж опалубки колонн рамы Км4-4 заводского изготовления </t>
  </si>
  <si>
    <t>Бетонирование колонн Км 4-4 бетоном В25 W8 F200</t>
  </si>
  <si>
    <t>Армирование колонн рамы Рм1-1   ПРЯМЫМИ стержнями диаметром 14мм и более.</t>
  </si>
  <si>
    <t xml:space="preserve">Армирование колонн рамы Рм1-1   ПРЯМЫМИ стержнями диаметром 14мм и более- Изготовление </t>
  </si>
  <si>
    <t xml:space="preserve">Армирование колонн рамы Рм1-1   ПРЯМЫМИ стержнями диаметром 14мм и более- Монтаж </t>
  </si>
  <si>
    <t>Армирование колонн рамы Рм1-1   ГНУТЫМИ стержнями диаметром до 12мм</t>
  </si>
  <si>
    <t xml:space="preserve">Монтаж/демонтаж опалубки колонн рамы Рм1-1   (1шт) заводского изготовления </t>
  </si>
  <si>
    <t>Бетонирование колонн рамы Рм1-1(1шт) бетоном В25 W8 F200</t>
  </si>
  <si>
    <t>Армирование балок рамы Рм1-1  ПРЯМЫМИ стержнями диаметром 14мм и более.</t>
  </si>
  <si>
    <t>Армирование балок рамы Рм1-1  ГНУТЫМИ стержнями диаметром 14мм и более.</t>
  </si>
  <si>
    <t>Армирование балок рамы Рм1-1 ГНУТЫМИ стержнями диаметром до 12мм</t>
  </si>
  <si>
    <t>Монтаж закладных деталей ЗДИ9 колонн весом от 20,1-30,0кг</t>
  </si>
  <si>
    <t>Монтаж закладных деталей ЗДИ10 колонн весом от 50,1-70,0кг</t>
  </si>
  <si>
    <t xml:space="preserve">Монтаж/демонтаж опалубки балок рамы Рм1-1   (1шт) заводского изготовления </t>
  </si>
  <si>
    <t>Бетонирование балок рамы Рм1-1  (1шт) бетоном В25 W8 F200</t>
  </si>
  <si>
    <t>Армирование колонн рамы Рм1-2   ПРЯМЫМИ стержнями диаметром 14мм и более.</t>
  </si>
  <si>
    <t>Армирование колонн рамы Рм1-2   ГНУТЫМИ стержнями диаметром до 12мм</t>
  </si>
  <si>
    <t xml:space="preserve">Монтаж/демонтаж опалубки колонн рамы Рм1-2   (1шт) заводского изготовления </t>
  </si>
  <si>
    <t>Бетонирование колонн рамы Рм1-2(1шт) бетоном В25 W8 F200</t>
  </si>
  <si>
    <t>Армирование балок рамы Рм1-2  ПРЯМЫМИ стержнями диаметром 14мм и более.</t>
  </si>
  <si>
    <t>Армирование балок рамы Рм1-2  ГНУТЫМИ стержнями диаметром 14мм и более.</t>
  </si>
  <si>
    <t>Армирование балок рамы Рм1-2 ГНУТЫМИ стержнями диаметром до 12мм</t>
  </si>
  <si>
    <t xml:space="preserve">Монтаж/демонтаж опалубки балок рамы Рм1-2 (1шт) заводского изготовления </t>
  </si>
  <si>
    <t>Бетонирование балок рамы Рм1-2  (1шт) бетоном В25 W8 F200</t>
  </si>
  <si>
    <t>Армирование колонн рамы Рм2-1  ПРЯМЫМИ стержнями диаметром 14мм и более.</t>
  </si>
  <si>
    <t>Армирование колонн рамы Рм2-1  ГНУТЫМИ стержнями диаметром до 12мм</t>
  </si>
  <si>
    <t xml:space="preserve">Монтаж/демонтаж опалубки колонн рамы Рм2-1  (1шт) заводского изготовления </t>
  </si>
  <si>
    <t>Бетонирование колонн рамы Рм2-1  (1шт) бетоном В25 W8 F200</t>
  </si>
  <si>
    <t>Армирование балок рамы Рм2-1 ПРЯМЫМИ стержнями диаметром 14мм и более.</t>
  </si>
  <si>
    <t>Армирование балок рамы Рм2-1 ГНУТЫМИ стержнями диаметром 14мм и более.</t>
  </si>
  <si>
    <t>Армирование балок рамы Рм2-1  ГНУТЫМИ стержнями диаметром до 12мм</t>
  </si>
  <si>
    <t xml:space="preserve">Монтаж/демонтаж опалубки балок рамы Рм2-1  (1шт) заводского изготовления </t>
  </si>
  <si>
    <t>Бетонирование балок рамы Рм2-1  (1шт) бетоном В25 W8 F200</t>
  </si>
  <si>
    <t>Армирование колонн рамы Рм2-2  ПРЯМЫМИ стержнями диаметром 14мм и более.</t>
  </si>
  <si>
    <t>Армирование колонн рамы Рм2-2  ГНУТЫМИ стержнями диаметром до 12мм</t>
  </si>
  <si>
    <t xml:space="preserve">Монтаж/демонтаж опалубки колонн рамы Рм2-2  (1шт) заводского изготовления </t>
  </si>
  <si>
    <t>Бетонирование колонн рамы Рм2-2  (1шт) бетоном В25 W8 F200</t>
  </si>
  <si>
    <t>Армирование балок рамы Рм2-2 ПРЯМЫМИ стержнями диаметром 14мм и более.</t>
  </si>
  <si>
    <t>Армирование балок рамы Рм2-2 ГНУТЫМИ стержнями диаметром 14мм и более.</t>
  </si>
  <si>
    <t>Армирование балок рамы Рм2-2  ГНУТЫМИ стержнями диаметром до 12мм</t>
  </si>
  <si>
    <t xml:space="preserve">Монтаж/демонтаж опалубки балок рамы Рм2-2  (1шт) заводского изготовления </t>
  </si>
  <si>
    <t>Бетонирование балок рамы Рм2-2  (1шт) бетоном В25 W8 F200</t>
  </si>
  <si>
    <t>Армирование колонн рамы Рм3-1  ПРЯМЫМИ стержнями диаметром 14мм и более.</t>
  </si>
  <si>
    <t>Армирование колонн рамы Рм3-1  ГНУТЫМИ стержнями диаметром до 12мм</t>
  </si>
  <si>
    <t>Армирование колонн рамы Рм3-1  ГНУТЫМИ стержнями диаметром до 12мм - Монтаж</t>
  </si>
  <si>
    <t xml:space="preserve">Монтаж/демонтаж опалубки колонн рамы Рм3-1  (1шт) заводского изготовления </t>
  </si>
  <si>
    <t>Бетонирование колонн рамы Рм3-1  (1шт) бетоном В25 W8 F200</t>
  </si>
  <si>
    <t>Армирование балок рамы Рм3-1 ПРЯМЫМИ стержнями диаметром 14мм и более.</t>
  </si>
  <si>
    <t>Армирование балок рамы Рм3-1 ГНУТЫМИ стержнями диаметром 14мм и более.</t>
  </si>
  <si>
    <t>Армирование балок рамы Рм3-1  ГНУТЫМИ стержнями диаметром до 12мм</t>
  </si>
  <si>
    <t xml:space="preserve">Монтаж/демонтаж опалубки балок рамы Рм3-1  (1шт) заводского изготовления </t>
  </si>
  <si>
    <t>Бетонирование балок рамы Рм3-1 (1шт) бетоном В25 W8 F200</t>
  </si>
  <si>
    <t>Армирование колонн рамы Рм3-2  ПРЯМЫМИ стержнями диаметром 14мм и более.</t>
  </si>
  <si>
    <t>Армирование колонн рамы Рм3-2  ГНУТЫМИ стержнями диаметром до 12мм</t>
  </si>
  <si>
    <t>Армирование колонн рамы Рм3-2  ГНУТЫМИ стержнями диаметром до 12мм - Монтаж</t>
  </si>
  <si>
    <t xml:space="preserve">Монтаж/демонтаж опалубки колонн рамы Рм3-2  (1шт) заводского изготовления </t>
  </si>
  <si>
    <t>Бетонирование колонн рамы Рм3-2  (1шт) бетоном В25 W8 F200</t>
  </si>
  <si>
    <t>Армирование балок рамы Рм3-2 ПРЯМЫМИ стержнями диаметром 14мм и более.</t>
  </si>
  <si>
    <t>Армирование балок рамы Рм3-2 ГНУТЫМИ стержнями диаметром 14мм и более.</t>
  </si>
  <si>
    <t>Армирование балок рамы Рм3-2  ГНУТЫМИ стержнями диаметром до 12мм</t>
  </si>
  <si>
    <t xml:space="preserve">Монтаж/демонтаж опалубки балок рамы Рм3-2  (1шт) заводского изготовления </t>
  </si>
  <si>
    <t>Бетонирование балок рамы Рм3-2 (1шт) бетоном В25 W8 F200</t>
  </si>
  <si>
    <t>Устройство бетонной подготовки фундаментов РСм1 из бетона В10, толщ. 100 мм(11 шт.)</t>
  </si>
  <si>
    <t>Армированные фундамента РСм1 (11 шт)  ПРЯМЫМИ стержнями диаметром 14 мм и более</t>
  </si>
  <si>
    <t>Армированные фундамента РСм1 (11 шт) ГНУТЫМИ стержнями диаметром 14 мм и более</t>
  </si>
  <si>
    <t>Армированные фундамента  РСм1 (11 шт)  ГНУТЫМИ стержнями диаметром  до 12 мм</t>
  </si>
  <si>
    <t>Монтаж закладных деталей ЗДИ1 фундамента  РСм1 (44 шт)  весом от
30,1-40,0кг.</t>
  </si>
  <si>
    <t>Монтаж - демонтаж опалубки заводского изготовления для фундамента  РСм1 (11 шт) нижний ярус</t>
  </si>
  <si>
    <t>Монтаж - демонтаж опалубки заводского изготовления для фундамента  РСм1 (11 шт) верхний ярус</t>
  </si>
  <si>
    <t>Устройство фундамента  РСм1 (11 шт) из бетона  B25 W8 F200</t>
  </si>
  <si>
    <t>Устройство бетонной подготовки фундаментов РСм2 из бетона В10, толщ. 100 мм(3 шт.)</t>
  </si>
  <si>
    <t>Армированные фундамента РСм2 (3 шт)  ПРЯМЫМИ стержнями диаметром 14 мм и более</t>
  </si>
  <si>
    <t>Армированные фундамента РСм2 (3 шт) ГНУТЫМИ стержнями диаметром 14 мм и более</t>
  </si>
  <si>
    <t>Армированные фундамента  РСм2 (3 шт)  ГНУТЫМИ стержнями диаметром  до 12 мм</t>
  </si>
  <si>
    <t>Монтаж закладных деталей ЗДИ1 фундамента  РСм2 (3 шт)  весом от
30,1-40,0кг.</t>
  </si>
  <si>
    <t>Монтаж - демонтаж опалубки заводского изготовления для фундамента  РСм2 (3 шт) нижний ярус</t>
  </si>
  <si>
    <t>Монтаж - демонтаж опалубки заводского изготовления для фундамента  РСм2 (3 шт) верхний ярус</t>
  </si>
  <si>
    <t>Устройство фундамента  РСм2 (3 шт) из бетона  B25 W8 F200</t>
  </si>
  <si>
    <t>Устройство бетонной подготовки фундаментов Фм1 из бетона В10, толщ. 100 мм(32 шт.)</t>
  </si>
  <si>
    <t>Армированные фундамента Фм1 (32 шт) ГНУТЫМИ стержнями диаметром 14 мм и более</t>
  </si>
  <si>
    <t>Армированные фундамента Фм1(32 шт)  ПРЯМЫМИ стержнями диаметром до 12 мм</t>
  </si>
  <si>
    <t>Армированные фундамента Фм1 (32 шт) ГНУТЫМИ стержнями диаметром до 12 мм</t>
  </si>
  <si>
    <t>Армированные фундамента  Фм1 (32 шт) ГНУТЫМИ стержнями диаметром  до 12 мм</t>
  </si>
  <si>
    <t>Монтаж - демонтаж опалубки заводского изготовления для фундамента  Фм1 (32 шт) нижний ярус</t>
  </si>
  <si>
    <t>Монтаж - демонтаж опалубки заводского изготовления для фундамента  Фм1 (32 шт) верхний ярус</t>
  </si>
  <si>
    <t>Устройство фундамента  Фм1 (32 шт) из бетона  B25 W8 F200</t>
  </si>
  <si>
    <t>Устройство подливки толщиной 50мм фундаментов Фм1 (32 шт) из бетона  B30 W8 F200</t>
  </si>
  <si>
    <t>Армирование ростверка РСм1 ПРЯМЫМИ стержнями диаметром 14мм и более.</t>
  </si>
  <si>
    <t>Армирование ростверка РСм1 ГНУТЫМИ стержнями диаметром 14мм и более.</t>
  </si>
  <si>
    <t>Армирование ростверка РСм1 ГНУТЫМИ стержнями диаметром до 12мм.</t>
  </si>
  <si>
    <t xml:space="preserve">Монтаж/демонтаж опалубки ростверка РСм1(4шт) заводского изготовления </t>
  </si>
  <si>
    <t xml:space="preserve">Бетонирование ростверка РСм1(4шт) бетоном В25 W8 F200 </t>
  </si>
  <si>
    <t>Армирование ростверка РСм2 ПРЯМЫМИ стержнями диаметром 14мм и более.</t>
  </si>
  <si>
    <t>Армирование ростверка РСм2 ГНУТЫМИ стержнями диаметром 14мм и более.</t>
  </si>
  <si>
    <t>Армирование ростверка РСм2 ГНУТЫМИ стержнями диаметром до 12мм.</t>
  </si>
  <si>
    <t xml:space="preserve">Монтаж/демонтаж опалубки ростверка РСм2(4шт) заводского изготовления </t>
  </si>
  <si>
    <t xml:space="preserve">Бетонирование ростверка РСм2(4шт) бетоном В25 W8 F200 </t>
  </si>
  <si>
    <t>Армирование ростверка РСм3 ПРЯМЫМИ стержнями диаметром 14мм и более.</t>
  </si>
  <si>
    <t>Армирование ростверка РСм3 ГНУТЫМИ стержнями диаметром 14мм и более.</t>
  </si>
  <si>
    <t>Армирование ростверка РСм3 ГНУТЫМИ стержнями диаметром до 12мм.</t>
  </si>
  <si>
    <t>Монтаж закладных деталей ЗДИ1 весом от 40,1-50,0кг</t>
  </si>
  <si>
    <t>Монтаж/демонтаж опалубки ростверка РСм3(2шт) заводского изготовления нижний ярус</t>
  </si>
  <si>
    <t>Монтаж/демонтаж опалубки ростверка РСм3(2шт) заводского изготовления верхний ярус</t>
  </si>
  <si>
    <t xml:space="preserve">Бетонирование ростверка РСм3(2шт) бетоном В25 W8 F200 </t>
  </si>
  <si>
    <t>Армирование ростверка Фм1 ГНУТЫМИ стержнями диаметром 14мм и более.</t>
  </si>
  <si>
    <t>Установка анкерных БОЛТОВ (4шт) весом 3,42 кг/1шт (перед бетонированием) диаметром от Ø20 до Ø40мм Соединение елементов анкернных блоков сваркои (длина резбы 200мм)</t>
  </si>
  <si>
    <t>Устройство подливки, толщиной 40 мм из бетона В30 на мелокм заполнителе</t>
  </si>
  <si>
    <t>Армирование ростверка Фм2 ГНУТЫМИ стержнями диаметром 14мм и более.</t>
  </si>
  <si>
    <t>Монтаж закладных деталей МН126-3 весом от 5,1-8,0кг</t>
  </si>
  <si>
    <t>Армирование ростверка Фм3 ПРЯМЫМИ стержнями диаметром до 12мм.</t>
  </si>
  <si>
    <t>Армирование ростверка Фм3 ГНУТЫМИ стержнями диаметром 14мм и более.</t>
  </si>
  <si>
    <t>Армирование ростверка Фм3 ГНУТЫМИ стержнями диаметром до 12мм.</t>
  </si>
  <si>
    <t>Установка анкерных БОЛТОВ ростверка Фм3 (2 шт) весом 3,42 кг/1шт (перед бетонированием) диаметром от Ø20 до Ø40мм Соединение елементов анкернных блоков сваркои (длина резбы 200мм)</t>
  </si>
  <si>
    <t>Монтаж/демонтаж опалубки ростверка Фм3(2шт) заводского изготовления нижний ярус</t>
  </si>
  <si>
    <t>Монтаж/демонтаж опалубки ростверка Фм3(2шт) заводского изготовления верхний ярус</t>
  </si>
  <si>
    <t xml:space="preserve">Бетонирование ростверка Фм3(2шт) бетоном В25 W8 F200 </t>
  </si>
  <si>
    <t xml:space="preserve">Монтаж/демонтаж опалубки ростверка Фм4 (1шт) заводского изготовления </t>
  </si>
  <si>
    <t xml:space="preserve">Бетонирование ростверка Фм4(1шт) бетоном В25 W8 F200 </t>
  </si>
  <si>
    <t xml:space="preserve">Монтаж/демонтаж опалубки ростверка Фм5 (1шт) заводского изготовления </t>
  </si>
  <si>
    <t xml:space="preserve">Бетонирование ростверка Фм5(1шт) бетоном В25 W8 F200 </t>
  </si>
  <si>
    <t>Монтаж закладных деталей ЗДИ1 колонн Км1  весом от
12,1-20,0кг.</t>
  </si>
  <si>
    <t>Армированные колонн Км1 (2 шт) до 12 мм</t>
  </si>
  <si>
    <t>Армированные колонн Км1а (2 шт) ГНУТЫМИ стержнями диаметром до 12 мм</t>
  </si>
  <si>
    <t>Армированные колонн Км1а (2 шт) ПРЯМЫМИ стержнями диаметром 14 мм и более</t>
  </si>
  <si>
    <t>Монтаж и демонтаж опалубки заводского изготовления колонн Км1а (2 шт)</t>
  </si>
  <si>
    <t xml:space="preserve">Бетонирование колонн Км1а (2 шт) из бетона B25 W8 F200 </t>
  </si>
  <si>
    <t>Устройство подливки колонн Км1а толщиной 50мм
(2 шт)</t>
  </si>
  <si>
    <t>Монтаж закладных деталей ЗДИ2 колонн Км1а  весом от
5,1-8,0кг.</t>
  </si>
  <si>
    <t>Монтаж закладных деталей ЗДИ3 колонн Км1а  весом от
8,1-12,0кг.</t>
  </si>
  <si>
    <t>Армированные раме Рм1  (1 шт) ПРЯМЫМИ стержнями диаметром 14 мм и более  - балки</t>
  </si>
  <si>
    <t>Армированные раме Рм1 (1 шт) ГНУТЫМИ стержнями диаметром 14 мм и более  - балки</t>
  </si>
  <si>
    <t>Монтаж и демонтаж опалубки заводского изготовления раме Рм1 (1 шт) - колонны</t>
  </si>
  <si>
    <t>Монтаж и демонтаж опалубки заводского изготовления раме Рм1 (1 шт) - балки</t>
  </si>
  <si>
    <t>Бетонирование раме Рм1  (1 шт) из бетона B25 W8 F200 - колонны</t>
  </si>
  <si>
    <t>Армированные колонны раме Рм1 (1 шт) до 12 мм</t>
  </si>
  <si>
    <t>Армированные раме Рм1а (1 шт) ГНУТЫМИ стержнями диаметром до 12 мм - балки</t>
  </si>
  <si>
    <t>Армированные раме Рм1а (1 шт) ГНУТЫМИ стержнями диаметром до 12 мм - колонны</t>
  </si>
  <si>
    <t>Армированные раме Рм1а  (1 шт) ПРЯМЫМИ стержнями диаметром 14 мм и более - колонны</t>
  </si>
  <si>
    <t>Армированные раме Рм1а  (1 шт) ПРЯМЫМИ стержнями диаметром 14 мм и более  - балки</t>
  </si>
  <si>
    <t>Армированные раме Рм1а (1 шт) ГНУТЫМИ стержнями диаметром 14 мм и более  - балки</t>
  </si>
  <si>
    <t>Монтаж и демонтаж опалубки заводского изготовления раме Рм1а  (1 шт) - колонны</t>
  </si>
  <si>
    <t>Монтаж и демонтаж опалубки заводского изготовления раме Рм1а (1 шт) - балки</t>
  </si>
  <si>
    <t>Бетонирование раме Рм1а  (1 шт) из бетона B25 W8 F200 - колонны</t>
  </si>
  <si>
    <t>Бетонирование раме Рм1а  (1 шт) из бетона B25 W8 F200 - балки</t>
  </si>
  <si>
    <t>Устройство бетонной подготовки фундамента из бетона В10, толщ. 100 мм(20 шт.)</t>
  </si>
  <si>
    <t>Армирование фундамента Фм1 (20 шт)  ПРЯМЫМИ стержнями диаметром  до 12 мм</t>
  </si>
  <si>
    <t>Армирование фундамента Фм1 (20 шт)  ГНУТЫМИ стержнями диаметром  до 12 мм</t>
  </si>
  <si>
    <t>Армирование фундамента Фм1 (20 шт)  ГНУТЫМИ стержнями диаметром 14 мм и более</t>
  </si>
  <si>
    <t>Монтаж и демонтаж опалубки фундамента Фм1 (20 шт) нижний ярус</t>
  </si>
  <si>
    <t>Монтаж и демонтаж опалубки фундамента Фм1 (20 шт) верхний ярус</t>
  </si>
  <si>
    <t>Бетонирование фундамента Фм1 (20 шт)</t>
  </si>
  <si>
    <t>Устройство подливки толщиной 50мм фундамента Фм1 (20 шт)</t>
  </si>
  <si>
    <t>Устройство бетонной подготовки фундаментов РСм1 из бетона В10, толщ. 100 мм (15 шт.)</t>
  </si>
  <si>
    <t>Армирование фундамента РСм1 (15 шт)  ГНУТЫМИ сварными стержнями диаметром 14 мм и более</t>
  </si>
  <si>
    <t>Армирование фундамента  РСм1 (15 шт)  ПРЯМЫМИ стержнями диаметром  14 мм и более</t>
  </si>
  <si>
    <t>Армирование фундамента  РСм1 (15 шт)  ГНУТЫМИ стержнями диаметром  до 12 мм</t>
  </si>
  <si>
    <t>Монтаж и демонтаж опалубки ростверка РСм1 (15 шт)</t>
  </si>
  <si>
    <t>Бетонирование ростверка РСм1 (15 шт)</t>
  </si>
  <si>
    <t>Устройство бетонной подготовки фундаментов РСм2 из бетона В10, толщ. 100 мм (10 шт.)</t>
  </si>
  <si>
    <t>Армирование фундамента РСм2 (10 шт)  ГНУТЫМИ сварными стержнями диаметром 14 мм и более</t>
  </si>
  <si>
    <t>Армирование фундамента  РСм2 (10 шт)  ПРЯМЫМИ стержнями диаметром  14 мм и более</t>
  </si>
  <si>
    <t>Армирование фундамента  РСм2 (10 шт)  ГНУТЫМИ стержнями диаметром  до 12 мм</t>
  </si>
  <si>
    <t>Монтаж и демонтаж опалубки ростверка РСм2 (10 шт)</t>
  </si>
  <si>
    <t>Бетонирование ростверка РСм2 (10 шт)</t>
  </si>
  <si>
    <t>Укладка пеноплекса толщиной 60 мм под конструкциями фундаментов</t>
  </si>
  <si>
    <t>Устройство бетонной подготовки фундаментов РСм2 (10 шт.) из бетона В25, толщ. от 430мм до 830мм</t>
  </si>
  <si>
    <t>Устройство опирания балок на подбетонки ростверка РСм2 (10 шт) Кладочный цементный раствором М200 толщ.20мм</t>
  </si>
  <si>
    <t>Установка Монтажно-кладочные смесь М-200</t>
  </si>
  <si>
    <t>Укладка заводских сборных балок БФ1 (4 шт)</t>
  </si>
  <si>
    <t>Укладка заводских сборных балок БФ2 (4 шт)</t>
  </si>
  <si>
    <t>Укладка заводских сборных балок БФ3 (2 шт)</t>
  </si>
  <si>
    <t xml:space="preserve">Монтаж - демонтаж опалубки заводского изготовления фундаментной плиты ПФм1 между деформационных швов </t>
  </si>
  <si>
    <t xml:space="preserve">Монтаж - демонтаж опалубки заводского изготовления боковой части отмостки ПФм1 </t>
  </si>
  <si>
    <t>Армированные плиты ПФм1(1шт.)  ГНУТЫМИ стержнями диаметром диаметром 14 мм и более</t>
  </si>
  <si>
    <t>Армированные плиты ПФм1(1шт.)  ПРЯМЫМИ стержнями диаметром диаметром 14 мм и более</t>
  </si>
  <si>
    <t>Укладка пенополистирола для деформационных швов между фундаментными плитами, шириной 100 мм</t>
  </si>
  <si>
    <t>Устройство деформационного изоляционного шва между  фундаментными плитами, шириной 100 мм, с заполнением герметиком</t>
  </si>
  <si>
    <t>Устройство деформационного изоляционного шва между  фундаментными плитами и отмосткам , шириной 20 мм, с заполнением герметиком</t>
  </si>
  <si>
    <t xml:space="preserve">Монтаж заводских арматурных сеток диаметром от Ø4 до Ø6мм. (82 шт) - отмостка </t>
  </si>
  <si>
    <t>Армированные плиты ПФм1(1шт.)  ГНУТЫМИ стержнями диаметром диаметром до 12мм.</t>
  </si>
  <si>
    <t xml:space="preserve">Установка анкерных блоков АБ1 в (перед бетонированием) диаметром от Ø20мм до Ø40мм </t>
  </si>
  <si>
    <t>Монтаж каркасов  пространственных КП1  весом 9.63кг/м</t>
  </si>
  <si>
    <t xml:space="preserve">Монтаж/демонтаж опалубки ростверка РСм1(1шт) заводского изготовления </t>
  </si>
  <si>
    <t xml:space="preserve">Бетонирование ростверка РСм1(1шт) бетоном В25 W8 F200 </t>
  </si>
  <si>
    <t>Устройство подливки, толщиной 50 мм из бетона В30 на мелокм заполнителе</t>
  </si>
  <si>
    <t>Монтаж каркасов  пространственных КП2  весом 11.35кг/м</t>
  </si>
  <si>
    <t>Монтаж каркасов  пространственных КП3  весом 20.43кг/м</t>
  </si>
  <si>
    <t xml:space="preserve">Монтаж/демонтаж опалубки ростверка РСм2(1шт) заводского изготовления </t>
  </si>
  <si>
    <t xml:space="preserve">Бетонирование ростверка РСм2(1шт) бетоном В25 W8 F200 </t>
  </si>
  <si>
    <t>Армирование ростверка Фм1 ПРЯМЫМИ стержнями диаметром  14мм и более.</t>
  </si>
  <si>
    <t>Монтаж/демонтаж опалубки ростверка Фм1(4шт) заводского изготовления нижний ярус</t>
  </si>
  <si>
    <t>Монтаж/демонтаж опалубки ростверка Фм1(4шт) заводского изготовления верхний ярус</t>
  </si>
  <si>
    <t xml:space="preserve">Бетонирование ростверка Фм1(4шт) бетоном В25 W8 F200 </t>
  </si>
  <si>
    <t>Армирование ростверка Фм2 ПРЯМЫМИ стержнями диаметром  14мм и более.</t>
  </si>
  <si>
    <t>Монтаж/демонтаж опалубки ростверка Фм2(1шт) заводского изготовления</t>
  </si>
  <si>
    <t>Погружение забивных железобетонных свай  С90.40-9 без устройства лидерной скважины - сечение сваи 40 x 40 см длиной 9м</t>
  </si>
  <si>
    <t>Срубка свай размером 400х400мм после погружения до проектной отметки (высота срезаной части 700 мм)</t>
  </si>
  <si>
    <t>Устройство бетонной подготовки фундаментов РСм1 из бетона В10, толщ. 100 мм</t>
  </si>
  <si>
    <t>Армирование фундамента РСм1 (20 шт)  ГНУТЫМИ сварными стержнями диаметром 14 мм и более</t>
  </si>
  <si>
    <t>Армирование фундамента РСм1 (20 шт)  ПРЯМЫМИ сварными стержнями диаметром 14 мм и более</t>
  </si>
  <si>
    <t>Армирование фундамента  РСм1 (20 шт)  ГНУТЫМИ стержнями диаметром  до 12 мм</t>
  </si>
  <si>
    <t>Монтаж и демонтаж опалубки ростверка РСм1 (20 шт)</t>
  </si>
  <si>
    <t>Обеспечение шероховатости бетонной поверхности при устройстве горизонтального рабочего шва бетонных элементов (между двумя слоями бетона)</t>
  </si>
  <si>
    <t>Устройство бетонной подготовки фундаментов РСм2 из бетона В10, толщ. 100 мм</t>
  </si>
  <si>
    <t>Армирование фундамента РСм2 (2 шт)  ПРЯМЫМИ сварными стержнями диаметром 14 мм и более</t>
  </si>
  <si>
    <t>Монтаж и демонтаж опалубки ростверка РСм2 (2 шт)</t>
  </si>
  <si>
    <t>Устройство бетонной подготовки фундаментов РСм3 из бетона В10, толщ. 100 мм</t>
  </si>
  <si>
    <t>Армирование фундамента РСм3 (10 шт)  ГНУТЫМИ сварными стержнями диаметром 14 мм и более</t>
  </si>
  <si>
    <t>Армирование фундамента РСм3 (10 шт)  ПРЯМЫМИ сварными стержнями диаметром 14 мм и более</t>
  </si>
  <si>
    <t>Армирование фундамента  РСм3 (10 шт)  ГНУТЫМИ стержнями диаметром  до 12 мм</t>
  </si>
  <si>
    <t>Монтаж и демонтаж опалубки ростверка РСм3 (10 шт)</t>
  </si>
  <si>
    <t>Устройство бетонной подготовки фундаментов РСм4 из бетона В10, толщ. 100 мм</t>
  </si>
  <si>
    <t>Армирование фундамента РСм4 (6 шт)  ГНУТЫМИ сварными стержнями диаметром 14 мм и более</t>
  </si>
  <si>
    <t>Армирование фундамента  РСм4 (6 шт)  ГНУТЫМИ стержнями диаметром  до 12 мм</t>
  </si>
  <si>
    <t>Монтаж и демонтаж опалубки ростверка РСм4 (6 шт) нижний ярус</t>
  </si>
  <si>
    <t>Монтаж и демонтаж опалубки ростверка РСм4 (6 шт)  верхний ярус</t>
  </si>
  <si>
    <t>Устройство подливки толщиной 50мм ростверка РСм4</t>
  </si>
  <si>
    <t>Бетонирование ростверка РСм4</t>
  </si>
  <si>
    <t>Устройство бетонной подготовки фундаментной балки БФ1 из бетона В25, толщ. 380 мм</t>
  </si>
  <si>
    <t>Установка цементного раствора М200</t>
  </si>
  <si>
    <t>Монтаж сборных балки фундаментные БФ1</t>
  </si>
  <si>
    <t>Монтаж сборных балки фундаментные БФ2</t>
  </si>
  <si>
    <t>Укладка пеноплекса толщиной - мм под конструкциями фундаментной балки</t>
  </si>
  <si>
    <t>МЕХАНИЗИРОВАННАЯ ВЫЕМКА ГРУНТА (ОТ СЛАБОГО/СРЕДНЕГО ДО РЫХЛОГО ГРУНТА) НА ЗАРАНЕЕ ОТВЕДЕННЫХ ПЛОЩАДКАХ</t>
  </si>
  <si>
    <t xml:space="preserve">МЕХАНИЗИРОВАННАЯ ВЫЕМКА ГРУНТА (ОТ СЛАБОГО/СРЕДНЕГО ДО РЫХЛОГО ГРУНТА) НА ЗАРАНЕЕ ОТВЕДЕННЫХ ПЛОЩАДКАХ </t>
  </si>
  <si>
    <t>ОБРАТНАЯ ЗАСЫПКА С ИСПОЛЬЗОВАНИЕМ ПЕСКА</t>
  </si>
  <si>
    <t>GEO-TEXTILE / ГЕОТЕКСТИЛЬ</t>
  </si>
  <si>
    <t>Демонтаж подбетонки из=за ревизии НВК</t>
  </si>
  <si>
    <t>Повторный монтажподбетонки из=за ревизии НВК</t>
  </si>
  <si>
    <t>Подбетонка</t>
  </si>
  <si>
    <t>БЕТОН ДЛЯ КОЛОНН</t>
  </si>
  <si>
    <t>МОНТАЖ ОПАЛУБКИ ДО РЕВИЗИИ №3 15.03.2023</t>
  </si>
  <si>
    <t>ДЕМОНТАЖ ОПАЛУБКИ ПО РЕВИЗИИ №3 15.03.2023</t>
  </si>
  <si>
    <t>ОПАЛУБКА ДЛЯ КОЛОНН</t>
  </si>
  <si>
    <t xml:space="preserve">Армирование -   Изготовление  ( гнутые) </t>
  </si>
  <si>
    <t xml:space="preserve">Армирование -   Изготовление  (прямые) </t>
  </si>
  <si>
    <t xml:space="preserve">Армирование -   Монтаж  ( гнутые) </t>
  </si>
  <si>
    <t xml:space="preserve">Армирование -   Монтаж  ( прямые) </t>
  </si>
  <si>
    <t xml:space="preserve">Армирование -   ДЕМОНТАЖ ПО РЕВИЗИИ  ( гнутые) </t>
  </si>
  <si>
    <t xml:space="preserve">Армирование -   ДЕМОНТАЖ ПО РЕВИЗИИ ( прямые) </t>
  </si>
  <si>
    <t xml:space="preserve">Армирование -   Демонтаж по ревизии   ( гнутые) </t>
  </si>
  <si>
    <t xml:space="preserve">Армирование -   Демонтаж по ревизии  ( прямые ) </t>
  </si>
  <si>
    <t>Армирование -   Изготовление  Каркасов</t>
  </si>
  <si>
    <t>Устройство утеплителся из пеноплекса</t>
  </si>
  <si>
    <t>Гидроизоляция обмазочная мастикой</t>
  </si>
  <si>
    <t xml:space="preserve">РУЧНАЯ ВЫЕМКА ГРУНТА </t>
  </si>
  <si>
    <t>Насип - механизированным способом
Уплотнение - механизированным способом</t>
  </si>
  <si>
    <t>Насип - вручную
Уплотнение - вручную</t>
  </si>
  <si>
    <t>РУЧНАЯ ВЫЕМКА ГРУНТА замена</t>
  </si>
  <si>
    <t>РУЧНАЯ ВЫЕМКА ГРУНТА  замена</t>
  </si>
  <si>
    <t>Песок: Насип - вручную
Уплотнение - вручную</t>
  </si>
  <si>
    <t>Насип - вручную (щебень)
Уплотнение - вручную (щебень)</t>
  </si>
  <si>
    <t>Стойки- Труба   Ø 57*3 (Изготовление)</t>
  </si>
  <si>
    <t>Прогоны- Труба   Ø 57*3 (Изготовление)</t>
  </si>
  <si>
    <t>Стойки- Труба   Ø 57*3 (Монтаж)</t>
  </si>
  <si>
    <t>Прогоны- Труба   Ø 57*3 (Монтаж)</t>
  </si>
  <si>
    <t>Стойки- Труба   Ø 57*3  (Изготовление)</t>
  </si>
  <si>
    <t>Прогоны- Труба   Ø 57*3  (Изготовление)</t>
  </si>
  <si>
    <t>Устройство утеплителся из пеноплекса для обогрева подбетонки</t>
  </si>
  <si>
    <t>ОПАЛУБКА ДЛЯ ФУНДАМЕНТОВ</t>
  </si>
  <si>
    <t>БЕТОН ДЛЯ ФУНДАМЕНТОВ</t>
  </si>
  <si>
    <t>Устройство бентонитовой шпатели около гильзы СБК</t>
  </si>
  <si>
    <t>ПЕРЕМЕЩЕНИЕ ВРЕМЕННОГО СКЛАДА (МАТЕРИАЛОВ)</t>
  </si>
  <si>
    <t>Наряд ЭРАСТРОЙ</t>
  </si>
  <si>
    <t>Работа у Эрастроя</t>
  </si>
  <si>
    <t>Резка металла, полевой цех, толщина листа ≤ 10 мм</t>
  </si>
  <si>
    <t>Сварка полевой цех, толщина шва ≤ 6 мм</t>
  </si>
  <si>
    <t>Подготовка арматуры диаметром от Ø14 мм и более</t>
  </si>
  <si>
    <t>Перемещение материала (погрузо-разгрузочные работы)</t>
  </si>
  <si>
    <t>Помощь геодезисту (работа с рейкой и нивелиром)</t>
  </si>
  <si>
    <t>Уборка территории/монтаж ограждения</t>
  </si>
  <si>
    <t>монтаж опоры ОП4</t>
  </si>
  <si>
    <t>Устройство основания из песка толщиной 300мм под плиту Пм3 (4 шт) - вручную</t>
  </si>
  <si>
    <t>Устройство основания из песка толщиной 300мм под плиту Пм3 (4 шт) - механизированным способом</t>
  </si>
  <si>
    <t>Устройство основания из песка толщиной 300мм под плиту Пм4 (1 шт) - вручную</t>
  </si>
  <si>
    <t>Устройство основания из песка толщиной 300мм под плиту Пм4 (1 шт) - механизированным способом</t>
  </si>
  <si>
    <t>Устройство парапета из кирпича толщиной 250мм</t>
  </si>
  <si>
    <t>Устройство подливки толщиной 100мм фундамента РСм2</t>
  </si>
  <si>
    <t>Устройство сварных стыков для арматуры Ø25мм, соединение типа Кз-Рп по ГОСТ 14098-2014 в заводских условиях</t>
  </si>
  <si>
    <t>Монтаж закладных деталей ЗД3 
12,1-20,0кг.</t>
  </si>
  <si>
    <t>Устройство деформационного шва толщиной 100 мм между плитами перекрытия ПМ1 ПМ2 ПМ3</t>
  </si>
  <si>
    <t>Армирование Колонны Км-2   ПРЯМЫМИ сварными стержнями диаметром 14 мм и более</t>
  </si>
  <si>
    <t>Армирование Колонны Км-2  ГНУТЫМИ стержнями диаметром  до 12 мм</t>
  </si>
  <si>
    <t xml:space="preserve">Монтаж закладных деталей </t>
  </si>
  <si>
    <t>Армирование Колонны Км-1   ПРЯМЫМИ сварными стержнями диаметром 14 мм и более</t>
  </si>
  <si>
    <t xml:space="preserve">Армирование Колонны Км-1  ГНУТЫМИ стержнями диаметром  до 12 мм - Изготовление </t>
  </si>
  <si>
    <t xml:space="preserve">Армирование Колонны Км-1  ГНУТЫМИ стержнями диаметром  до 12 мм - МОНТАЖ </t>
  </si>
  <si>
    <t>Изготовление опалубки оконных и дверных проемов</t>
  </si>
  <si>
    <t>Основные проектные работы (ненормируемые) ТТ</t>
  </si>
  <si>
    <t>Основные проектные работы (ненормируемые) МК</t>
  </si>
  <si>
    <t>Основные работы
(работа с трубными узлами силами ГУС)</t>
  </si>
  <si>
    <t>Основные проектные работы</t>
  </si>
  <si>
    <t>Сопутствующие работы:
изготовление временных приспособлений для возможности и удобства проведения проектных работ по монтажу и сварке труб и резервуаров.</t>
  </si>
  <si>
    <t>Сопутствующие работы</t>
  </si>
  <si>
    <t>Перенос работ с субподрядной организации на ВелесстройМонтаж</t>
  </si>
  <si>
    <t>Устранение брака субподрядных организации силами ВелесстройМонтаж</t>
  </si>
  <si>
    <t>Склад (ФДБ)</t>
  </si>
  <si>
    <t>УМиТ (ФДБ)</t>
  </si>
  <si>
    <t>ДКиС (ФДБ)</t>
  </si>
  <si>
    <t>АХО (ФДБ)</t>
  </si>
  <si>
    <t>Энергетики (ФДБ)</t>
  </si>
  <si>
    <t>Лаборатория (ФДБ)</t>
  </si>
  <si>
    <t>УВР (ФДБ)</t>
  </si>
  <si>
    <t>Управление проектированием (ФДБ)</t>
  </si>
  <si>
    <t xml:space="preserve">Непредвиденные расходы (ненормируемые) </t>
  </si>
  <si>
    <t>Склад (Простой, ФДБ)</t>
  </si>
  <si>
    <t>УМиТ (Простой, ФДБ)</t>
  </si>
  <si>
    <t>ДКиС (Простой, ФДБ)</t>
  </si>
  <si>
    <t>Энергетики (Простой, ФДБ)</t>
  </si>
  <si>
    <t>ОСК (Простой, ФДБ)</t>
  </si>
  <si>
    <t>Проект (простой)</t>
  </si>
  <si>
    <t>Актированные часы</t>
  </si>
  <si>
    <t>Погодные условия</t>
  </si>
  <si>
    <t>Простой по вине Заказчика</t>
  </si>
  <si>
    <t>Резервуар для сбора производственно-дождевых стоков с КНС №1</t>
  </si>
  <si>
    <t>Изготовление цементной стяжки и бетона по уклону - плиты ФПм1 путем стяжки из бетона на мелкозернистом заполнителе В25 F200 W8 с гидрофобной добавкой Пенетрон "Адмикс" толшиной 50-665 мм</t>
  </si>
  <si>
    <t>Устройство бетонной подготовки плиты Пм1 (1 шт) из бетона В10, толщ. 100 мм</t>
  </si>
  <si>
    <t>Армирование плиты  Пм1 (1 шт) ГНУТЫМИ стержнями диаметром  14 и более</t>
  </si>
  <si>
    <t>Армирование плиты  Пм1 (1 шт) ГНУТЫМИ стержнями диаметром  до 12 мм</t>
  </si>
  <si>
    <t>Армирование плиты  Пм1 (1 шт) ПРЯМИМ стержнями диаметром  14 и более</t>
  </si>
  <si>
    <t>Устройство монолитные плиты из бетона В25 F200 W8 Пм1 (1 шт) с гидрофобной добавкой Пенетрон "Адмикс"</t>
  </si>
  <si>
    <t>Устройство деформационного изоляционного шва между фундаментной плиты и стенами гидрошпонкам</t>
  </si>
  <si>
    <t>Стена Стм1 (2 шт)</t>
  </si>
  <si>
    <t>Армированные стен Стм1 (2 шт) ГНУТЫМИ стержнями диаметром  14 и более</t>
  </si>
  <si>
    <t>Армированные стен Стм1 (2 шт) ГНУТЫМИ стержнями диаметром до 12 мм</t>
  </si>
  <si>
    <t>Армированные стен Стм1 (2 шт) ПРЯМЫМИ стержнями диаметром 14 мм и более</t>
  </si>
  <si>
    <t xml:space="preserve">Монтаж и демонтаж опалубки заводского изготовления стене Стм1 (2 шт) и колонн Км2 (14 шт) </t>
  </si>
  <si>
    <t>Бетонирование стен Стм1 (2 шт) из бетона B25 W8 F200 с гидрофобной добавкой Пенетрон "Адмикс"</t>
  </si>
  <si>
    <t>Стена Стм2 (1 шт)</t>
  </si>
  <si>
    <t>Армированные стен Стм2 (1 шт) ПРЯМЫМИ стержнями диаметром 14 мм и более</t>
  </si>
  <si>
    <t>Армированные стен Стм2 (1 шт) ГНУТЫМИ стержнями диаметром 14 мм и более</t>
  </si>
  <si>
    <t xml:space="preserve">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 </t>
  </si>
  <si>
    <t xml:space="preserve">Монтаж и демонтаж опалубки заводского изготовления стене Стм2 (1 шт) и колонн Км2 (6 шт) </t>
  </si>
  <si>
    <t>Монтаж закладных деталей С3 (1 шт) стене Стм2 весом от 100,1-140,0кг</t>
  </si>
  <si>
    <t>Бетонирование стене Стм2 (1 шт) из бетона B25 F200 W8 с гидрофобной добавкой Пенетрон "Адмикс"</t>
  </si>
  <si>
    <t>Стена Стм3 (1 шт)</t>
  </si>
  <si>
    <t>Армированные стен Стм3 (1 шт) ГНУТЫМИ стержнями диаметром до 12 мм</t>
  </si>
  <si>
    <t>Армированные стен Стм3 (1 шт) ГНУТЫМИ стержнями диаметром 14 мм и более</t>
  </si>
  <si>
    <t>Армированные стен Стм3 (1 шт) ПРЯМЫМИ стержнями диаметром 14 мм и более</t>
  </si>
  <si>
    <t xml:space="preserve">Монтаж и демонтаж опалубки заводского изготовления стене Стм3 (1 шт) и колонн Км2 (6 шт) </t>
  </si>
  <si>
    <t>Бетонирование стене Стм3 (1 шт) из бетона B25 F200 W8 с гидрофобной добавкой Пенетрон "Адмикс"</t>
  </si>
  <si>
    <t>Стена Стм4 (1 шт)</t>
  </si>
  <si>
    <t>Армированные стен Стм4 (1 шт) ГНУТЫМИ стержнями диаметром 14 мм и более</t>
  </si>
  <si>
    <t>Армированные стен Стм4 (1 шт) ПРЯМЫМИ стержнями диаметром 14 мм и более</t>
  </si>
  <si>
    <t>Монтаж и демонтаж опалубки заводского изготовления стене Стм4 (1 шт) и колонн Км3 (7 шт)</t>
  </si>
  <si>
    <t>Бетонирование стене Стм4 (1 шт) из бетона B25 F200 W8 с гидрофобной добавкой Пенетрон "Адмикс"</t>
  </si>
  <si>
    <t>Стена Стм5 (1 шт)</t>
  </si>
  <si>
    <t>Армированные стен Стм5 (1 шт) ГНУТЫМИ стержнями диаметром 14 мм и более</t>
  </si>
  <si>
    <t>Армированные стен Стм5 (1 шт) ПРЯМЫМИ стержнями диаметром 14 мм и более</t>
  </si>
  <si>
    <t>Монтаж и демонтаж опалубки заводского изготовления стене Стм5 (1 шт)</t>
  </si>
  <si>
    <t>Монтаж закладных деталей С1 (1 шт) стене Стм5 весом от 100,1-140,0кг</t>
  </si>
  <si>
    <t>Монтаж закладных деталей С2 (1 шт) стене Стм5 весом от 70,1-100,0кг</t>
  </si>
  <si>
    <t>Бетонирование стене Стм5 (1 шт) из бетона B25 F200 W8 с гидрофобной добавкой Пенетрон "Адмикс"</t>
  </si>
  <si>
    <t>Изготовление цементной стяжки и бетона по уклону - бетон B25 F200 W8 с гидрофобной добавкой Пенетрон "Адмикс" толшиной 150 - 1195 мм</t>
  </si>
  <si>
    <t>Колонны монолитные Км1 (42 шт)</t>
  </si>
  <si>
    <t>Монтаж и демонтаж опалубки заводского изготовления  колонн Км1 (42 шт)</t>
  </si>
  <si>
    <t>Армированные колонн Км1 (42 шт) ГНУТЫМИ стержнями диаметром до 12 мм</t>
  </si>
  <si>
    <t>Армированные колонн Км1 (42 шт) ГНУТЫМИ стержнями диаметром 14 мм и более</t>
  </si>
  <si>
    <t>Бетонирование колонн Км1 (42 шт) из бетона B25 F200 W8 с гидрофобной добавкой Пенетрон "Адмикс"</t>
  </si>
  <si>
    <t>Колонны монолитные Км2 (26 шт)</t>
  </si>
  <si>
    <t>Армированные колонн Км2 (26 шт) ГНУТЫМИ стержнями диаметром до 12 мм</t>
  </si>
  <si>
    <t>Армированные колонн Км2 (26 шт) ГНУТЫМИ стержнями диаметром 14 мм и более</t>
  </si>
  <si>
    <t>Бетонирование колонн Км2 (26 шт) из бетона B25 F200 W8 с гидрофобной добавкой Пенетрон "Адмикс"</t>
  </si>
  <si>
    <t>Колонны монолитные Км3 (7 шт)</t>
  </si>
  <si>
    <t>Армированные колонн Км3 (7 шт) ГНУТЫМИ стержнями диаметром до 12 мм</t>
  </si>
  <si>
    <t>Армированные колонн Км3 (7 шт) ГНУТЫМИ стержнями диаметром 14 мм и более</t>
  </si>
  <si>
    <t>Бетонирование колонн Км3 (7 шт) из бетона B25 F200 W8 с гидрофобной добавкой Пенетрон "Адмикс"</t>
  </si>
  <si>
    <t>Плита перкрытия ППм1 (1шт)</t>
  </si>
  <si>
    <t>Армирование плити перекрытия ППм1 (1шт) ПРЯМЫМИ стержнями диаметром 14мм и более</t>
  </si>
  <si>
    <t>Армирование плити перекрытия ППм1 (1шт) ГНУТЫМИ стержнями диаметром 14мм и более</t>
  </si>
  <si>
    <t>Армирование плити перекрытия ППм1 (1шт) ГНУТЫМИ стержнями диаметром до 12мм</t>
  </si>
  <si>
    <t>Монтаж каркаса пространственного КР1 (482,4м)</t>
  </si>
  <si>
    <t>Монтаж каркаса пространственного КР2 (142,99м)</t>
  </si>
  <si>
    <t>Монтаж закладных деталей весом от 70,1-100,0кг</t>
  </si>
  <si>
    <t xml:space="preserve">Монтаж и демонтаж опалубки заводского изготовления плити перекрытия ППм1 (1шт) </t>
  </si>
  <si>
    <t xml:space="preserve">Бетонирование плити перекрытия ППм1 (1шт) </t>
  </si>
  <si>
    <t>Набетонка Нбм1 (5шт)</t>
  </si>
  <si>
    <t>Армирование Набетонки Нбм1 (5шт) ГНУТЫМИ стержнями диаметром до 12мм</t>
  </si>
  <si>
    <t>Установка анкерных болтов (10 шт)(перед бетонированием) диаметром от Ø20мм до Ø40мм весом 7,34 кг/шт</t>
  </si>
  <si>
    <t>Монтаж и демонтаж опалубки заводского изготовления Набетонки Нбм1 (5шт)</t>
  </si>
  <si>
    <t>Бетонирование Набетонки Нбм1 (5шт)</t>
  </si>
  <si>
    <t>Набетонка Нбм2 (13шт)</t>
  </si>
  <si>
    <t>Армирование Набетонки Нбм2 (13шт) ГНУТЫМИ стержнями диаметром до 12мм</t>
  </si>
  <si>
    <t>Монтаж закладных деталей весом от 5,1-12,0кг</t>
  </si>
  <si>
    <t>Монтаж и демонтаж опалубки заводского изготовления Набетонки Нбм2 (13шт)</t>
  </si>
  <si>
    <t>Бетонирование Набетонки Нбм2 (13шт)</t>
  </si>
  <si>
    <t>Плита перкрытия ППм2 (1шт)</t>
  </si>
  <si>
    <t>Армирование плити перекрытия ППм2 (1шт) ПРЯМЫМИ стержнями диаметром 14мм и более</t>
  </si>
  <si>
    <t>Армирование плити перекрытия ППм2 (1шт) ГНУТЫМИ стержнями диаметром 14мм и более</t>
  </si>
  <si>
    <t>Армирование плити перекрытия ППм2 (1шт) ГНУТЫМИ стержнями диаметром до 12мм</t>
  </si>
  <si>
    <t xml:space="preserve">Изготовление из пиломатериала опалубки собственного иОпалубка собственного изготовления плити перекрытия ППм2 (1шт) </t>
  </si>
  <si>
    <t xml:space="preserve">Монтаж и демонтаж опалубки собственного изготовления плити перекрытия ППм2 (1шт) </t>
  </si>
  <si>
    <t xml:space="preserve">Бетонирование плити перекрытия ППм2 (1шт) </t>
  </si>
  <si>
    <t>Устройство насыпи над монолитной плитой покрытия ППм1 высотой 1,14м - механизированным способом</t>
  </si>
  <si>
    <t>Устройство насыпи над монолитной плитой покрытия ППм1 высотой 1,14м - вручную</t>
  </si>
  <si>
    <t>Уплотнение насыпи над монолитной плитой покрытия ППм1 высотой 1,14м - механизированным способом</t>
  </si>
  <si>
    <t>Уплотнение  насыпи над монолитной плитой покрытия ППм1 высотой 1,14м - вручную</t>
  </si>
  <si>
    <t>Плита перкрытия ППм3 (1шт)</t>
  </si>
  <si>
    <t>Армирование плити перекрытия ППм3 (1шт) ПРЯМЫМИ стержнями диаметром до 12мм</t>
  </si>
  <si>
    <t>Армирование плити перекрытия ППм3 (1шт) ГНУТЫМИ стержнями диаметром до 12мм</t>
  </si>
  <si>
    <t>Монтаж каркаса пплоского КР3 (74,5м)</t>
  </si>
  <si>
    <t xml:space="preserve">Изготовление из пиломатериала опалубки собственного иОпалубка собственного изготовления плити перекрытия ППм3 (1шт) </t>
  </si>
  <si>
    <t xml:space="preserve">Монтаж и демонтаж опалубки собственного изготовления плити перекрытия ППм3 (1шт) </t>
  </si>
  <si>
    <t xml:space="preserve">Бетонирование плити перекрытия ППм3 (1шт) </t>
  </si>
  <si>
    <t>Устройство деформационного шва между  фундаментными плитами, шириной 20 мм, с заполнением герметиком</t>
  </si>
  <si>
    <t>Стена Стм6 (1шт)</t>
  </si>
  <si>
    <t xml:space="preserve">Армирование стен Стм6 (1шт) ПРЯМЫМИ стержнями диаметром 14мм и более </t>
  </si>
  <si>
    <t>Армирование стен Стм6 (1шт) ГНУТЫМИ стержнями диаметром 14мм и более</t>
  </si>
  <si>
    <t xml:space="preserve">Армирование стен Стм6 (1шт) ГНУТЫМИ стержнями диаметром до 12мм </t>
  </si>
  <si>
    <t>Установка анкерных болтов (4 шт)(перед бетонированием) диаметром от Ø20мм до Ø40мм весом 7,34 кг/шт</t>
  </si>
  <si>
    <t>Монтаж закладных деталей весом от 2,1-5,0кг</t>
  </si>
  <si>
    <t>Монтаж и демонтаж опалубки стены монолитной Стм6 (1шт)</t>
  </si>
  <si>
    <t>Бетонирование стены Стм6 (1 шт)</t>
  </si>
  <si>
    <t>Устройство теплоизоляции стени Стм2, Стм3, Стм5, Стм6 по оси 1 и 9</t>
  </si>
  <si>
    <t>Стена Стм7 (1шт)</t>
  </si>
  <si>
    <t xml:space="preserve">Армирование стен Стм7 (1шт) ПРЯМЫМИ стержнями диаметром 14мм и более </t>
  </si>
  <si>
    <t>Армирование стен Стм7 (1шт) ГНУТЫМИ стержнями диаметром 14мм и более</t>
  </si>
  <si>
    <t xml:space="preserve">Армирование стен Стм7 (1шт) ГНУТЫМИ стержнями диаметром до 12мм </t>
  </si>
  <si>
    <t>Монтаж и демонтаж опалубки стены монолитной Стм7 (1шт)</t>
  </si>
  <si>
    <t>Бетонирование стены Стм7 (1 шт)</t>
  </si>
  <si>
    <t>Армирование ростверка РСм1 (8 шт) ГНУТЫМИ сварными стержнями диаметром 14 мм и более</t>
  </si>
  <si>
    <t>Армирование ростверка РСм1 (8 шт) ПРЯМЫМИ стержнями диаметром  14 мм и более</t>
  </si>
  <si>
    <t>Армирование ростверка РСм1 (8 шт) ГНУТЫМИ стержнями диаметром  до 12 мм</t>
  </si>
  <si>
    <t>Монтаж каркасов  плоскых КР1 весом 16,4кг/шт.</t>
  </si>
  <si>
    <t>Монтаж каркасов  плоскых КР2 весом 5,6кг/шт.</t>
  </si>
  <si>
    <t>Монтаж и демонтаж опалубки ростверка РСм1 (8 шт) нижний ярус</t>
  </si>
  <si>
    <t>Монтаж и демонтаж опалубки ростверка РСм1 (8 шт) верхний ярус</t>
  </si>
  <si>
    <t>Ростверк РСм2а (6 шт)</t>
  </si>
  <si>
    <t>Устройство бетонной подготовки фундаментов РСм2а из бетона В10, толщ. 100 мм (6шт.)</t>
  </si>
  <si>
    <t>Армирование ростверка РСм2а (6 шт) ГНУТЫМИ сварными стержнями диаметром 14 мм и более</t>
  </si>
  <si>
    <t>Армирование ростверка РСм2а (6 шт) ПРЯМЫМИ стержнями диаметром  14 мм и более</t>
  </si>
  <si>
    <t>Армирование ростверка РСм2а (6 шт) ГНУТЫМИ стержнями диаметром  до 12 мм</t>
  </si>
  <si>
    <t>Монтаж каркасов  плоскых КР3 весом 12,46кг/шт.</t>
  </si>
  <si>
    <t>Монтаж каркасов  плоскых КР4 весом 4,54кг/шт.</t>
  </si>
  <si>
    <t>Монтаж и демонтаж опалубки ростверка РСм2а (6 шт) нижний ярус</t>
  </si>
  <si>
    <t>Монтаж и демонтаж опалубки ростверка РСм2а (6 шт) верхний ярус</t>
  </si>
  <si>
    <t>Бетонирование ростверка РСм2а</t>
  </si>
  <si>
    <t>Ростверк РСм2б (10 шт)</t>
  </si>
  <si>
    <t>Устройство бетонной подготовки фундаментов РСм2б из бетона В10, толщ. 100 мм (10шт.)</t>
  </si>
  <si>
    <t>Армирование ростверка РСм2б (10 шт)  ГНУТЫМИ сварными стержнями диаметром 14 мм и более</t>
  </si>
  <si>
    <t>Армирование ростверка РСм2б (10 шт)  ПРЯМЫМИ стержнями диаметром  14 мм и более</t>
  </si>
  <si>
    <t>Армирование ростверка РСм2б (10 шт) ГНУТЫМИ стержнями диаметром  до 12 мм</t>
  </si>
  <si>
    <t>Монтаж и демонтаж опалубки ростверка РСм2б (10 шт) нижний ярус</t>
  </si>
  <si>
    <t>Монтаж и демонтаж опалубки ростверка РСм2б (10 шт) верхний ярус</t>
  </si>
  <si>
    <t>Бетонирование ростверка РСм2б</t>
  </si>
  <si>
    <t>Ростверк РСм3 (4 шт)</t>
  </si>
  <si>
    <t>Устройство бетонной подготовки фундаментов РСм3 из бетона В10, толщ. 100 мм (4шт.)</t>
  </si>
  <si>
    <t>Армирование ростверка РСм3 (4 шт) ГНУТЫМИ сварными стержнями диаметром 14 мм и более</t>
  </si>
  <si>
    <t>Армирование ростверка РСм3 (4 шт) ПРЯМЫМИ стержнями диаметром  14 мм и более</t>
  </si>
  <si>
    <t>Армирование ростверка РСм3 (4 шт) ГНУТЫМИ стержнями диаметром  до 12 мм</t>
  </si>
  <si>
    <t>Монтаж каркасов плоскых КР5 весом 12кг/шт.</t>
  </si>
  <si>
    <t>Монтаж каркасов плоскых КР6 весом 4,4кг/шт.</t>
  </si>
  <si>
    <t>Монтаж и демонтаж опалубки ростверка РСм3 (4 шт) нижний ярус</t>
  </si>
  <si>
    <t>Монтаж и демонтаж опалубки ростверка РСм3 (4 шт) верхний ярус</t>
  </si>
  <si>
    <t>Ростверк РСм4 (8 шт)</t>
  </si>
  <si>
    <t>Устройство бетонной подготовки фундаментов РСм4 из бетона В10, толщ. 100 мм (8шт.)</t>
  </si>
  <si>
    <t>Армирование ростверка РСм4 (8 шт) ГНУТЫМИ сварными стержнями диаметром 14 мм и более</t>
  </si>
  <si>
    <t>Армирование ростверка РСм4 (8 шт)  ПРЯМЫМИ стержнями диаметром  14 мм и более</t>
  </si>
  <si>
    <t>Армирование ростверка РСм4 (8 шт)  ГНУТЫМИ стержнями диаметром  до 12 мм</t>
  </si>
  <si>
    <t>Монтаж каркасов плоскых КР7 весом 6,8кг/шт.</t>
  </si>
  <si>
    <t>Монтаж и демонтаж опалубки ростверка РСм4 (8 шт) нижний ярус</t>
  </si>
  <si>
    <t>Монтаж и демонтаж опалубки ростверка РСм4 (8 шт) верхний ярус</t>
  </si>
  <si>
    <t>Ростверк РСм5 (2 шт)</t>
  </si>
  <si>
    <t>Устройство бетонной подготовки фундаментов РСм5 из бетона В10, толщ. 100 мм (2шт.)</t>
  </si>
  <si>
    <t>Армирование ростверка РСм5 (2 шт) ГНУТЫМИ сварными стержнями диаметром 14 мм и более</t>
  </si>
  <si>
    <t>Армирование ростверка РСм5 (2 шт)  ГНУТЫМИ стержнями диаметром  до 12 мм</t>
  </si>
  <si>
    <t>Монтаж и демонтаж опалубки ростверка РСм5 (2 шт) нижний ярус</t>
  </si>
  <si>
    <t>Монтаж и демонтаж опалубки ростверка РСм5 (2 шт) верхний ярус</t>
  </si>
  <si>
    <t>Бетонирование ростверка РСм5</t>
  </si>
  <si>
    <t xml:space="preserve">Бетонирование колонн Км из бетона B25 W8 F200 </t>
  </si>
  <si>
    <t>Ростверк монолитный РСм16 (1шт)</t>
  </si>
  <si>
    <t>Устройство бетонной подготовки толщиной 100 мм</t>
  </si>
  <si>
    <t xml:space="preserve">Изготовление и монтаж каркасов пространственных КР11 весом 15,6кг/шт </t>
  </si>
  <si>
    <t xml:space="preserve">Изготовление и монтаж каркасов пространственных КР12 весом 5,7кг/шт </t>
  </si>
  <si>
    <t>Армирование фундамента РСм16 (1шт) ПРЯМЫМИ стержнями диаметром 14 мм и более</t>
  </si>
  <si>
    <t>Армирование фундамента  РСм16 (1шт) ГНУТЫЕ стержнями диаметром 14 мм и более</t>
  </si>
  <si>
    <t>Армирование фундамента  РСм16 (1шт) ПРЯМЫМИ стержнями диаметром  до 12 мм</t>
  </si>
  <si>
    <t>Армирование фундамента  РСм16 (1шт) ГНУТЫЕ стержнями диаметром  до 12 мм</t>
  </si>
  <si>
    <t>Монтаж - демонтаж опалубки заводского изготовления для фундамента РСм16 (1шт)</t>
  </si>
  <si>
    <t>Устройство фундамента РСм16 (1шт) из бетона B25 W8 F200</t>
  </si>
  <si>
    <t>Ростверк РСм1 (4 шт)</t>
  </si>
  <si>
    <t>Устройство бетонной подготовки фундаментов РСм1 из бетона В10, толщ. 100 мм (4 шт.)</t>
  </si>
  <si>
    <t>Армирование ростверка РСм1 (4 шт) ГНУТЫМИ сварными стержнями диаметром 14 мм и более</t>
  </si>
  <si>
    <t>Армирование ростверка РСм1 (4 шт) ПРЯМЫМИ стержнями диаметром  14 мм и более</t>
  </si>
  <si>
    <t>Армирование ростверка РСм1 (4 шт) ПРЯМЫМИ стержнями диаметром  до 12 мм</t>
  </si>
  <si>
    <t>Армирование ростверка РСм1 (4 шт) ГНУТЫМИ стержнями диаметром  до 12 мм</t>
  </si>
  <si>
    <t>Монтаж каркасов  плоскых КР1 весом 10,49 кг/шт.</t>
  </si>
  <si>
    <t>Монтаж и демонтаж опалубки ростверка РСм1 (4 шт) нижний ярус</t>
  </si>
  <si>
    <t>Монтаж и демонтаж опалубки ростверка РСм1 (4 шт) верхний ярус</t>
  </si>
  <si>
    <t>Ростверк РСм4 (4 шт)</t>
  </si>
  <si>
    <t>Устройство бетонной подготовки фундаментов РСм4 из бетона В10, толщ. 100 мм (4 шт.)</t>
  </si>
  <si>
    <t>Армирование ростверка РСм4 (4 шт) ГНУТЫМИ сварными стержнями диаметром 14 мм и более</t>
  </si>
  <si>
    <t>Армирование ростверка РСм4 (4 шт) ПРЯМЫМИ стержнями диаметром  14 мм и более</t>
  </si>
  <si>
    <t>Армирование ростверка РСм4 (4 шт) ПРЯМЫМИ стержнями диаметром  до 12 мм</t>
  </si>
  <si>
    <t>Армирование ростверка РСм4 (4 шт) ГНУТЫМИ стержнями диаметром  до 12 мм</t>
  </si>
  <si>
    <t>Монтаж и демонтаж опалубки ростверка РСм4 (4 шт) нижний ярус</t>
  </si>
  <si>
    <t>Монтаж и демонтаж опалубки ростверка РСм4 (4 шт) верхний ярус</t>
  </si>
  <si>
    <t>Ростверк РСм6 (4 шт)</t>
  </si>
  <si>
    <t>Устройство бетонной подготовки фундаментов РСм6 из бетона В10, толщ. 100 мм (4 шт.)</t>
  </si>
  <si>
    <t>Армирование ростверка РСм6 (4 шт) ГНУТЫМИ сварными стержнями диаметром 14 мм и более</t>
  </si>
  <si>
    <t>Армирование ростверка РСм6 (4 шт) ПРЯМЫМИ стержнями диаметром  14 мм и более</t>
  </si>
  <si>
    <t>Армирование ростверка РСм6 (4 шт) ПРЯМЫМИ стержнями диаметром  до 12 мм</t>
  </si>
  <si>
    <t>Армирование ростверка РСм6 (4 шт) ГНУТЫМИ стержнями диаметром  до 12 мм</t>
  </si>
  <si>
    <t>Монтаж и демонтаж опалубки ростверка РСм6 (4 шт) нижний ярус</t>
  </si>
  <si>
    <t>Монтаж и демонтаж опалубки ростверка РСм6 (4 шт) верхний ярус</t>
  </si>
  <si>
    <t>Бетонирование ростверка РСм6</t>
  </si>
  <si>
    <t>Ростверк РСм7 (6 шт)</t>
  </si>
  <si>
    <t>Устройство бетонной подготовки фундаментов РСм7 из бетона В10, толщ. 100 мм (6 шт.)</t>
  </si>
  <si>
    <t>Армирование ростверка РСм7 (6 шт) ГНУТЫМИ сварными стержнями диаметром 14 мм и более</t>
  </si>
  <si>
    <t>Армирование ростверка РСм7 (6 шт) ПРЯМЫМИ стержнями диаметром  14 мм и более</t>
  </si>
  <si>
    <t>Армирование ростверкаРСм7 (6 шт) ПРЯМЫМИ стержнями диаметром  до 12 мм</t>
  </si>
  <si>
    <t>Армирование ростверка РСм7 (6 шт) ГНУТЫМИ стержнями диаметром  до 12 мм</t>
  </si>
  <si>
    <t>Монтаж каркасов  плоскых КР3 весом 11,53 кг/шт.</t>
  </si>
  <si>
    <t>Монтаж и демонтаж опалубки ростверка РСм7 (6 шт) нижний ярус</t>
  </si>
  <si>
    <t>Монтаж и демонтаж опалубки ростверка РСм7 (6 шт) верхний ярус</t>
  </si>
  <si>
    <t>Бетонирование ростверка РСм7</t>
  </si>
  <si>
    <t>Ростверк РСм8 (8 шт)</t>
  </si>
  <si>
    <t>Устройство бетонной подготовки фундаментов РСм8 из бетона В10, толщ. 100 мм (8 шт.)</t>
  </si>
  <si>
    <t>Армирование ростверкаРСм8 (8 шт) ГНУТЫМИ сварными стержнями диаметром 14 мм и более</t>
  </si>
  <si>
    <t>Армирование ростверка РСм8 (8 шт) ПРЯМЫМИ стержнями диаметром  14 мм и более</t>
  </si>
  <si>
    <t>Армирование ростверка РСм8 (8 шт) ПРЯМЫМИ стержнями диаметром  до 12 мм</t>
  </si>
  <si>
    <t>Армирование ростверка РСм8 (8 шт) ГНУТЫМИ стержнями диаметром  до 12 мм</t>
  </si>
  <si>
    <t>Монтаж каркасов  плоскых КР2 весом 12,48 кг/шт.</t>
  </si>
  <si>
    <t>Монтаж каркасов  плоскых КР4 весом 4,61 кг/шт.</t>
  </si>
  <si>
    <t>Монтаж и демонтаж опалубки ростверкаРСм8 (8 шт) нижний ярус</t>
  </si>
  <si>
    <t>Монтаж и демонтаж опалубки ростверка РСм8 (8 шт) верхний ярус</t>
  </si>
  <si>
    <t>Бетонирование ростверка РСм8</t>
  </si>
  <si>
    <t>Ростверк РСм1 (6 шт)</t>
  </si>
  <si>
    <t>Устройство бетонной подготовки фундаментов РСм1 из бетона В10, толщ. 100 мм (6 шт.)</t>
  </si>
  <si>
    <t>Армирование ростверка РСм1 (6 шт) ГНУТЫМИ сварными стержнями диаметром 14 мм и более</t>
  </si>
  <si>
    <t>Армирование ростверка РСм1 (6 шт) ПРЯМЫМИ стержнями диаметром  14 мм и более</t>
  </si>
  <si>
    <t>Армирование ростверка РСм1 (6 шт) ПРЯМЫМИ стержнями диаметром  до 12 мм</t>
  </si>
  <si>
    <t>Армирование ростверка РСм1 (6 шт) ГНУТЫМИ стержнями диаметром  до 12 мм</t>
  </si>
  <si>
    <t>Монтаж и демонтаж опалубки ростверка РСм1 (6 шт) нижний ярус</t>
  </si>
  <si>
    <t>Монтаж и демонтаж опалубки ростверка РСм1 (6 шт) верхний ярус</t>
  </si>
  <si>
    <t>Ростверк РСм2 (9 шт)</t>
  </si>
  <si>
    <t>Устройство бетонной подготовки фундаментов РСм2 из бетона В10, толщ. 100 мм (9 шт.)</t>
  </si>
  <si>
    <t>Армирование ростверка РСм2 (9 шт) ГНУТЫМИ сварными стержнями диаметром 14 мм и более</t>
  </si>
  <si>
    <t>Армирование ростверка РСм2 (9 шт) ПРЯМЫМИ стержнями диаметром  14 мм и более</t>
  </si>
  <si>
    <t>Армирование ростверка РСм2 (9 шт) ПРЯМЫМИ стержнями диаметром  до 12 мм</t>
  </si>
  <si>
    <t>Армирование ростверка РСм2 (9 шт) ГНУТЫМИ стержнями диаметром  до 12 мм</t>
  </si>
  <si>
    <t>Монтаж и демонтаж опалубки ростверка РСм2 (9 шт) нижний ярус</t>
  </si>
  <si>
    <t>Монтаж и демонтаж опалубки ростверка РСм2 (9 шт) верхний ярус</t>
  </si>
  <si>
    <t>Ростверк РСм3 (6 шт)</t>
  </si>
  <si>
    <t>Устройство бетонной подготовки фундаментов РСм3 из бетона В10, толщ. 100 мм (6 шт.)</t>
  </si>
  <si>
    <t>Армирование ростверка РСм3 (6 шт) ГНУТЫМИ сварными стержнями диаметром 14 мм и более</t>
  </si>
  <si>
    <t>Армирование ростверка РСм3 (6 шт) ПРЯМЫМИ стержнями диаметром  14 мм и более</t>
  </si>
  <si>
    <t>Армирование ростверка РСм3 (6 шт) ПРЯМЫМИ стержнями диаметром  до 12 мм</t>
  </si>
  <si>
    <t>Армирование ростверка РСм3 (6 шт) ГНУТЫМИ стержнями диаметром  до 12 мм</t>
  </si>
  <si>
    <t>Монтаж каркасов  плоскых КР2 весом 17,48 кг/шт.</t>
  </si>
  <si>
    <t>Монтаж и демонтаж опалубки ростверка РСм3 (6 шт) нижний ярус</t>
  </si>
  <si>
    <t>Монтаж и демонтаж опалубки ростверкаРСм3 (6 шт) верхний ярус</t>
  </si>
  <si>
    <t>Ростверк РСм5 (3 шт)</t>
  </si>
  <si>
    <t>Устройство бетонной подготовки фундаментов РСм5 из бетона В10, толщ. 100 мм (3 шт.)</t>
  </si>
  <si>
    <t>Армирование ростверка РСм5 (3 шт) ГНУТЫМИ сварными стержнями диаметром 14 мм и более</t>
  </si>
  <si>
    <t>Армирование ростверка РСм5 (3 шт) ПРЯМЫМИ стержнями диаметром  14 мм и более</t>
  </si>
  <si>
    <t>Армирование ростверка РСм5 (3 шт) ПРЯМЫМИ стержнями диаметром  до 12 мм</t>
  </si>
  <si>
    <t>Армирование ростверка РСм5 (3 шт) ГНУТЫМИ стержнями диаметром  до 12 мм</t>
  </si>
  <si>
    <t>Монтаж и демонтаж опалубки ростверкаРСм5 (3 шт) нижний ярус</t>
  </si>
  <si>
    <t>Монтаж и демонтаж опалубки ростверка РСм5 (3 шт) верхний ярус</t>
  </si>
  <si>
    <t>Ростверк РСм9 (17 шт)</t>
  </si>
  <si>
    <t>Устройство бетонной подготовки фундаментов РСм9 из бетона В10, толщ. 100 мм (17 шт.)</t>
  </si>
  <si>
    <t>Армирование ростверка РСм9 (17 шт) ГНУТЫМИ сварными стержнями диаметром 14 мм и более</t>
  </si>
  <si>
    <t>Армирование ростверка РСм9 (17 шт) ПРЯМЫМИ стержнями диаметром  14 мм и более</t>
  </si>
  <si>
    <t>Армирование ростверка РСм9 (17 шт) ПРЯМЫМИ стержнями диаметром  до 12 мм</t>
  </si>
  <si>
    <t>Армирование ростверка РСм9 (17 шт) ГНУТЫМИ стержнями диаметром  до 12 мм</t>
  </si>
  <si>
    <t>Монтаж каркасов плоскых КР2 весом 17,48 кг/шт.</t>
  </si>
  <si>
    <t>Монтаж каркасов плоскых КР4 весом 4,61 кг/шт.</t>
  </si>
  <si>
    <t>Монтаж и демонтаж опалубки ростверка РСм9 (17 шт) нижний ярус</t>
  </si>
  <si>
    <t>Монтаж и демонтаж опалубки ростверкаРСм9 (17 шт) верхний ярус</t>
  </si>
  <si>
    <t>Бетонирование ростверка РСм9</t>
  </si>
  <si>
    <t>Ростверк РСм10 (1 шт)</t>
  </si>
  <si>
    <t>Устройство бетонной подготовки фундаментов РСм10 из бетона В10, толщ. 100 мм (1 шт.)</t>
  </si>
  <si>
    <t>Армирование ростверка РСм10 (1 шт) ГНУТЫМИ сварными стержнями диаметром 14 мм и более</t>
  </si>
  <si>
    <t>Армирование ростверка РСм10 (1 шт) ПРЯМЫМИ стержнями диаметром  14 мм и более</t>
  </si>
  <si>
    <t>Армирование ростверка РСм10 (1 шт) ПРЯМЫМИ стержнями диаметром  до 12 мм</t>
  </si>
  <si>
    <t>Армирование ростверка РСм10 (1 шт) ГНУТЫМИ стержнями диаметром  до 12 мм</t>
  </si>
  <si>
    <t>Монтаж и демонтаж опалубки ростверка РСм10 (1 шт) нижний ярус</t>
  </si>
  <si>
    <t>Монтаж и демонтаж опалубки ростверка РСм10 (1 шт) верхний ярус</t>
  </si>
  <si>
    <t>Бетонирование ростверка РСм10</t>
  </si>
  <si>
    <t>Ростверк РСм11 (3 шт)</t>
  </si>
  <si>
    <t>Устройство бетонной подготовки фундаментов РСм11 из бетона В10, толщ. 100 мм (3 шт.)</t>
  </si>
  <si>
    <t>Армирование ростверка РСм11 (3 шт) ГНУТЫМИ сварными стержнями диаметром 14 мм и более</t>
  </si>
  <si>
    <t>Армирование ростверка РСм11 (3 шт) ПРЯМЫМИ стержнями диаметром  14 мм и более</t>
  </si>
  <si>
    <t>Армирование ростверка РСм11 (3 шт) ПРЯМЫМИ стержнями диаметром  до 12 мм</t>
  </si>
  <si>
    <t>Армирование ростверка РСм11 (3 шт) ГНУТЫМИ стержнями диаметром  до 12 мм</t>
  </si>
  <si>
    <t>Монтаж и демонтаж опалубки ростверка РСм11 (3 шт) нижний ярус</t>
  </si>
  <si>
    <t>Монтаж и демонтаж опалубки ростверка РСм11 (3 шт) верхний ярус</t>
  </si>
  <si>
    <t>Бетонирование ростверка РСм11</t>
  </si>
  <si>
    <t>Ростверк РСм12 (2 шт)</t>
  </si>
  <si>
    <t>Устройство бетонной подготовки фундаментов РСм12 из бетона В10, толщ. 100 мм (2 шт.)</t>
  </si>
  <si>
    <t>Армирование ростверка РСм12 (2 шт) ПРЯМЫМИ стержнями диаметром  14 мм и более</t>
  </si>
  <si>
    <t>Армирование ростверка РСм12 (2 шт) ГНУТЫМИ стержнями диаметром  до 12 мм</t>
  </si>
  <si>
    <t>Монтаж и демонтаж опалубки ростверка РСм12 (2 шт)</t>
  </si>
  <si>
    <t>Бетонирование ростверка РСм12</t>
  </si>
  <si>
    <t>Позиция РКЦ</t>
  </si>
  <si>
    <t>11-00275</t>
  </si>
  <si>
    <t>11-00277</t>
  </si>
  <si>
    <t>11-00279</t>
  </si>
  <si>
    <t>11-00281</t>
  </si>
  <si>
    <t>11-00283</t>
  </si>
  <si>
    <t>11-00284</t>
  </si>
  <si>
    <t>11-00285</t>
  </si>
  <si>
    <t>11-00287</t>
  </si>
  <si>
    <t>11-00289</t>
  </si>
  <si>
    <t>11-00291</t>
  </si>
  <si>
    <t>11-00293</t>
  </si>
  <si>
    <t>11-00296</t>
  </si>
  <si>
    <t>11-00297</t>
  </si>
  <si>
    <t>11-00299</t>
  </si>
  <si>
    <t>11-00301</t>
  </si>
  <si>
    <t>11-11590</t>
  </si>
  <si>
    <t>11-11592</t>
  </si>
  <si>
    <t>11-00407</t>
  </si>
  <si>
    <t>11-00409</t>
  </si>
  <si>
    <t>11-00411</t>
  </si>
  <si>
    <t>11-00413</t>
  </si>
  <si>
    <t>11-00415</t>
  </si>
  <si>
    <t>11-00416</t>
  </si>
  <si>
    <t>11-00417</t>
  </si>
  <si>
    <t>11-00419</t>
  </si>
  <si>
    <t>11-10269</t>
  </si>
  <si>
    <t>11-00421</t>
  </si>
  <si>
    <t>11-00423</t>
  </si>
  <si>
    <t>11-00423-1</t>
  </si>
  <si>
    <t>11-00423-2</t>
  </si>
  <si>
    <t>11-00425</t>
  </si>
  <si>
    <t>11-00428</t>
  </si>
  <si>
    <t>11-00429</t>
  </si>
  <si>
    <t>11-00431</t>
  </si>
  <si>
    <t>11-00433</t>
  </si>
  <si>
    <t>11-10418</t>
  </si>
  <si>
    <t>11-00305</t>
  </si>
  <si>
    <t>11-00307</t>
  </si>
  <si>
    <t>11-00309</t>
  </si>
  <si>
    <t>11-00311</t>
  </si>
  <si>
    <t>11-00313</t>
  </si>
  <si>
    <t>11-00314</t>
  </si>
  <si>
    <t>11-00315</t>
  </si>
  <si>
    <t>11-00315-1</t>
  </si>
  <si>
    <t>11-00315-2</t>
  </si>
  <si>
    <t>11-00317</t>
  </si>
  <si>
    <t>11-00317-1</t>
  </si>
  <si>
    <t>11-00317-2</t>
  </si>
  <si>
    <t>11-00319</t>
  </si>
  <si>
    <t>11-00319-1</t>
  </si>
  <si>
    <t>11-00319-2</t>
  </si>
  <si>
    <t>11-00321</t>
  </si>
  <si>
    <t>11-00321-1</t>
  </si>
  <si>
    <t>11-00321-2</t>
  </si>
  <si>
    <t>11-00323</t>
  </si>
  <si>
    <t>11-00326</t>
  </si>
  <si>
    <t>11-00327</t>
  </si>
  <si>
    <t>11-00329</t>
  </si>
  <si>
    <t>11-00331</t>
  </si>
  <si>
    <t>11-10420</t>
  </si>
  <si>
    <t>11-01150</t>
  </si>
  <si>
    <t>11-00894</t>
  </si>
  <si>
    <t>11-00895</t>
  </si>
  <si>
    <t>11-00898</t>
  </si>
  <si>
    <t>11-00900</t>
  </si>
  <si>
    <t>11-00902</t>
  </si>
  <si>
    <t>11-00904</t>
  </si>
  <si>
    <t>11-01152</t>
  </si>
  <si>
    <t>11-01153</t>
  </si>
  <si>
    <t>11-00906</t>
  </si>
  <si>
    <t>11-01155</t>
  </si>
  <si>
    <t>11-00907</t>
  </si>
  <si>
    <t>11-00908</t>
  </si>
  <si>
    <t>11-00911</t>
  </si>
  <si>
    <t>11-00913</t>
  </si>
  <si>
    <t>11-00915</t>
  </si>
  <si>
    <t>11-00917</t>
  </si>
  <si>
    <t>11-01157</t>
  </si>
  <si>
    <t>11-01158</t>
  </si>
  <si>
    <t>11-01160</t>
  </si>
  <si>
    <t>11-00920</t>
  </si>
  <si>
    <t>11-00921</t>
  </si>
  <si>
    <t>11-00924</t>
  </si>
  <si>
    <t>11-00926</t>
  </si>
  <si>
    <t>11-00928</t>
  </si>
  <si>
    <t>11-00930</t>
  </si>
  <si>
    <t>11-00932</t>
  </si>
  <si>
    <t>11-01162</t>
  </si>
  <si>
    <t>11-01163</t>
  </si>
  <si>
    <t>11-01165</t>
  </si>
  <si>
    <t>11-00935</t>
  </si>
  <si>
    <t>11-00936</t>
  </si>
  <si>
    <t>11-00939</t>
  </si>
  <si>
    <t>11-00941</t>
  </si>
  <si>
    <t>11-00943</t>
  </si>
  <si>
    <t>11-00945</t>
  </si>
  <si>
    <t>11-00947</t>
  </si>
  <si>
    <t>11-01167</t>
  </si>
  <si>
    <t>11-01168</t>
  </si>
  <si>
    <t>11-01170</t>
  </si>
  <si>
    <t>11-00950</t>
  </si>
  <si>
    <t>11-01172</t>
  </si>
  <si>
    <t>11-01174</t>
  </si>
  <si>
    <t>11-01176</t>
  </si>
  <si>
    <t>11-01177</t>
  </si>
  <si>
    <t>11-00952</t>
  </si>
  <si>
    <t>11-01179</t>
  </si>
  <si>
    <t>11-00955</t>
  </si>
  <si>
    <t>11-00957</t>
  </si>
  <si>
    <t>11-00959</t>
  </si>
  <si>
    <t>11-01181</t>
  </si>
  <si>
    <t>11-01183</t>
  </si>
  <si>
    <t>11-01185</t>
  </si>
  <si>
    <t>11-01186</t>
  </si>
  <si>
    <t>11-01188</t>
  </si>
  <si>
    <t>11-00962</t>
  </si>
  <si>
    <t>11-00964</t>
  </si>
  <si>
    <t>11-00966</t>
  </si>
  <si>
    <t>11-01190</t>
  </si>
  <si>
    <t>11-01192</t>
  </si>
  <si>
    <t>11-01194</t>
  </si>
  <si>
    <t>11-01195</t>
  </si>
  <si>
    <t>11-01197</t>
  </si>
  <si>
    <t>11-01199</t>
  </si>
  <si>
    <t>11-10517</t>
  </si>
  <si>
    <t>11-10519</t>
  </si>
  <si>
    <t>11-00969</t>
  </si>
  <si>
    <t>11-00971</t>
  </si>
  <si>
    <t>11-11909</t>
  </si>
  <si>
    <t>11-11910</t>
  </si>
  <si>
    <t>11-11912</t>
  </si>
  <si>
    <t>11-00973</t>
  </si>
  <si>
    <t>11-01201</t>
  </si>
  <si>
    <t>11-01202</t>
  </si>
  <si>
    <t>11-00975</t>
  </si>
  <si>
    <t>11-00977</t>
  </si>
  <si>
    <t>11-00979</t>
  </si>
  <si>
    <t>11-01204</t>
  </si>
  <si>
    <t>11-01207</t>
  </si>
  <si>
    <t>11-01209</t>
  </si>
  <si>
    <t>11-01211</t>
  </si>
  <si>
    <t>11-01213</t>
  </si>
  <si>
    <t>11-01215</t>
  </si>
  <si>
    <t>11-10521</t>
  </si>
  <si>
    <t>11-10523</t>
  </si>
  <si>
    <t>11-00982</t>
  </si>
  <si>
    <t>11-00986</t>
  </si>
  <si>
    <t>11-11913</t>
  </si>
  <si>
    <t>11-11914</t>
  </si>
  <si>
    <t>11-11916</t>
  </si>
  <si>
    <t>11-00988</t>
  </si>
  <si>
    <t>11-01217</t>
  </si>
  <si>
    <t>11-01218</t>
  </si>
  <si>
    <t>11-00990</t>
  </si>
  <si>
    <t>11-00992</t>
  </si>
  <si>
    <t>11-00994</t>
  </si>
  <si>
    <t>11-01220</t>
  </si>
  <si>
    <t>11-00996</t>
  </si>
  <si>
    <t>11-01223</t>
  </si>
  <si>
    <t>11-01226</t>
  </si>
  <si>
    <t>11-01228</t>
  </si>
  <si>
    <t>11-01230</t>
  </si>
  <si>
    <t>11-01232</t>
  </si>
  <si>
    <t>11-01234</t>
  </si>
  <si>
    <t>11-11524</t>
  </si>
  <si>
    <t>11-10525</t>
  </si>
  <si>
    <t>11-00999</t>
  </si>
  <si>
    <t>11-01001</t>
  </si>
  <si>
    <t>11-01004</t>
  </si>
  <si>
    <t>11-01007</t>
  </si>
  <si>
    <t>11-01009</t>
  </si>
  <si>
    <t>11-01011</t>
  </si>
  <si>
    <t>11-01236</t>
  </si>
  <si>
    <t>11-01238</t>
  </si>
  <si>
    <t>11-01240</t>
  </si>
  <si>
    <t>11-01242</t>
  </si>
  <si>
    <t>11-01243</t>
  </si>
  <si>
    <t>11-01245</t>
  </si>
  <si>
    <t>11-01246</t>
  </si>
  <si>
    <t>11-01013</t>
  </si>
  <si>
    <t>11-01015</t>
  </si>
  <si>
    <t>11-01017</t>
  </si>
  <si>
    <t>11-01248</t>
  </si>
  <si>
    <t>11-01019</t>
  </si>
  <si>
    <t>11-01251</t>
  </si>
  <si>
    <t>11-01021</t>
  </si>
  <si>
    <t>11-01254</t>
  </si>
  <si>
    <t>11-01257</t>
  </si>
  <si>
    <t>11-01259</t>
  </si>
  <si>
    <t>11-01261</t>
  </si>
  <si>
    <t>11-01263</t>
  </si>
  <si>
    <t>11-01024</t>
  </si>
  <si>
    <t>11-01026</t>
  </si>
  <si>
    <t>11-01028</t>
  </si>
  <si>
    <t>11-01265</t>
  </si>
  <si>
    <t>11-01266</t>
  </si>
  <si>
    <t>11-01030</t>
  </si>
  <si>
    <t>11-01268</t>
  </si>
  <si>
    <t>11-01271</t>
  </si>
  <si>
    <t>11-01273</t>
  </si>
  <si>
    <t>11-01275</t>
  </si>
  <si>
    <t>11-01277</t>
  </si>
  <si>
    <t>11-01033</t>
  </si>
  <si>
    <t>11-01279</t>
  </si>
  <si>
    <t>11-01280</t>
  </si>
  <si>
    <t>11-01035</t>
  </si>
  <si>
    <t>11-01037</t>
  </si>
  <si>
    <t>11-01282</t>
  </si>
  <si>
    <t>11-01285</t>
  </si>
  <si>
    <t>11-01287</t>
  </si>
  <si>
    <t>11-01289</t>
  </si>
  <si>
    <t>11-01291</t>
  </si>
  <si>
    <t>11-01040</t>
  </si>
  <si>
    <t>11-01293</t>
  </si>
  <si>
    <t>11-01294</t>
  </si>
  <si>
    <t>11-01042</t>
  </si>
  <si>
    <t>11-01044</t>
  </si>
  <si>
    <t>11-01296</t>
  </si>
  <si>
    <t>11-01299</t>
  </si>
  <si>
    <t>11-01301</t>
  </si>
  <si>
    <t>11-01303</t>
  </si>
  <si>
    <t>11-01305</t>
  </si>
  <si>
    <t>11-01047</t>
  </si>
  <si>
    <t>11-01307</t>
  </si>
  <si>
    <t>11-01308</t>
  </si>
  <si>
    <t>11-01049</t>
  </si>
  <si>
    <t>11-01051</t>
  </si>
  <si>
    <t>11-01310</t>
  </si>
  <si>
    <t>11-01313</t>
  </si>
  <si>
    <t>11-01315</t>
  </si>
  <si>
    <t>11-01317</t>
  </si>
  <si>
    <t>11-01319</t>
  </si>
  <si>
    <t>11-01054</t>
  </si>
  <si>
    <t>11-01056</t>
  </si>
  <si>
    <t>11-01321</t>
  </si>
  <si>
    <t>11-01322</t>
  </si>
  <si>
    <t>11-01058</t>
  </si>
  <si>
    <t>11-08390</t>
  </si>
  <si>
    <t>11-08392</t>
  </si>
  <si>
    <t>11-08394</t>
  </si>
  <si>
    <t>11-08396</t>
  </si>
  <si>
    <t>11-08398</t>
  </si>
  <si>
    <t>11-08400</t>
  </si>
  <si>
    <t>11-08401</t>
  </si>
  <si>
    <t>11-08403</t>
  </si>
  <si>
    <t>11-08407</t>
  </si>
  <si>
    <t>11-08409</t>
  </si>
  <si>
    <t>11-08411</t>
  </si>
  <si>
    <t>11-08413</t>
  </si>
  <si>
    <t>11-08415</t>
  </si>
  <si>
    <t>11-08417</t>
  </si>
  <si>
    <t>11-08419</t>
  </si>
  <si>
    <t>11-08420</t>
  </si>
  <si>
    <t>11-01324</t>
  </si>
  <si>
    <t>11-01061</t>
  </si>
  <si>
    <t>11-01063</t>
  </si>
  <si>
    <t>11-01066</t>
  </si>
  <si>
    <t>11-01068</t>
  </si>
  <si>
    <t>11-01326</t>
  </si>
  <si>
    <t>11-01328</t>
  </si>
  <si>
    <t>11-01330</t>
  </si>
  <si>
    <t>11-01332</t>
  </si>
  <si>
    <t>11-01334</t>
  </si>
  <si>
    <t>11-01336</t>
  </si>
  <si>
    <t>11-09170</t>
  </si>
  <si>
    <t>11-01337</t>
  </si>
  <si>
    <t>11-01339</t>
  </si>
  <si>
    <t>11-01340</t>
  </si>
  <si>
    <t>11-01071</t>
  </si>
  <si>
    <t>11-01073</t>
  </si>
  <si>
    <t>11-01342</t>
  </si>
  <si>
    <t>11-01344</t>
  </si>
  <si>
    <t>11-10169</t>
  </si>
  <si>
    <t>11-01346</t>
  </si>
  <si>
    <t>11-01076</t>
  </si>
  <si>
    <t>11-01078</t>
  </si>
  <si>
    <t>11-01080</t>
  </si>
  <si>
    <t>11-01082</t>
  </si>
  <si>
    <t>11-01084</t>
  </si>
  <si>
    <t>11-01086</t>
  </si>
  <si>
    <t>11-01348</t>
  </si>
  <si>
    <t>11-01351</t>
  </si>
  <si>
    <t>11-01353</t>
  </si>
  <si>
    <t>11-09171</t>
  </si>
  <si>
    <t>11-01354</t>
  </si>
  <si>
    <t>11-01356</t>
  </si>
  <si>
    <t>11-01357</t>
  </si>
  <si>
    <t>11-01088</t>
  </si>
  <si>
    <t>11-01359</t>
  </si>
  <si>
    <t>11-01361</t>
  </si>
  <si>
    <t>11-01363</t>
  </si>
  <si>
    <t>11-01091</t>
  </si>
  <si>
    <t>11-01093</t>
  </si>
  <si>
    <t>11-01095</t>
  </si>
  <si>
    <t>11-01097</t>
  </si>
  <si>
    <t>11-01099</t>
  </si>
  <si>
    <t>11-01101</t>
  </si>
  <si>
    <t>11-01365</t>
  </si>
  <si>
    <t>11-01368</t>
  </si>
  <si>
    <t>11-01370</t>
  </si>
  <si>
    <t>11-01372</t>
  </si>
  <si>
    <t>11-01374</t>
  </si>
  <si>
    <t>11-01376</t>
  </si>
  <si>
    <t>11-09172</t>
  </si>
  <si>
    <t>11-01377</t>
  </si>
  <si>
    <t>11-01379</t>
  </si>
  <si>
    <t>11-01380</t>
  </si>
  <si>
    <t>11-01103</t>
  </si>
  <si>
    <t>11-01382</t>
  </si>
  <si>
    <t>11-01384</t>
  </si>
  <si>
    <t>11-10658</t>
  </si>
  <si>
    <t>11-10658-1</t>
  </si>
  <si>
    <t>11-10660</t>
  </si>
  <si>
    <t>11-10660-1</t>
  </si>
  <si>
    <t>11-13304</t>
  </si>
  <si>
    <t>11-10662</t>
  </si>
  <si>
    <t>11-10663</t>
  </si>
  <si>
    <t>11-10665</t>
  </si>
  <si>
    <t>11-10667</t>
  </si>
  <si>
    <t>11-10669</t>
  </si>
  <si>
    <t>11-10678</t>
  </si>
  <si>
    <t>11-10678-1</t>
  </si>
  <si>
    <t>11-10680</t>
  </si>
  <si>
    <t>11-10680-1</t>
  </si>
  <si>
    <t>11-13305</t>
  </si>
  <si>
    <t>11-10682</t>
  </si>
  <si>
    <t>11-10683</t>
  </si>
  <si>
    <t>11-10685</t>
  </si>
  <si>
    <t>11-10687</t>
  </si>
  <si>
    <t>11-10689</t>
  </si>
  <si>
    <t>11-10691</t>
  </si>
  <si>
    <t>11-10700</t>
  </si>
  <si>
    <t>11-10702</t>
  </si>
  <si>
    <t>11-13306</t>
  </si>
  <si>
    <t>11-10704</t>
  </si>
  <si>
    <t>11-10705</t>
  </si>
  <si>
    <t>11-10707</t>
  </si>
  <si>
    <t>11-10709</t>
  </si>
  <si>
    <t>11-10711</t>
  </si>
  <si>
    <t>11-10720</t>
  </si>
  <si>
    <t>11-10722</t>
  </si>
  <si>
    <t>11-13307</t>
  </si>
  <si>
    <t>11-10724</t>
  </si>
  <si>
    <t>11-10725</t>
  </si>
  <si>
    <t>11-10727</t>
  </si>
  <si>
    <t>11-10729</t>
  </si>
  <si>
    <t>11-10731</t>
  </si>
  <si>
    <t>11-10740</t>
  </si>
  <si>
    <t>11-10742</t>
  </si>
  <si>
    <t>11-13308</t>
  </si>
  <si>
    <t>11-10744</t>
  </si>
  <si>
    <t>11-10745</t>
  </si>
  <si>
    <t>11-10747</t>
  </si>
  <si>
    <t>11-10749</t>
  </si>
  <si>
    <t>11-10751</t>
  </si>
  <si>
    <t>11-10760</t>
  </si>
  <si>
    <t>11-10762</t>
  </si>
  <si>
    <t>11-13309</t>
  </si>
  <si>
    <t>11-10764</t>
  </si>
  <si>
    <t>11-10765</t>
  </si>
  <si>
    <t>11-10767</t>
  </si>
  <si>
    <t>11-10769</t>
  </si>
  <si>
    <t>11-10771</t>
  </si>
  <si>
    <t>11-10780</t>
  </si>
  <si>
    <t>11-10782</t>
  </si>
  <si>
    <t>11-13310</t>
  </si>
  <si>
    <t>11-10784</t>
  </si>
  <si>
    <t>11-10785</t>
  </si>
  <si>
    <t>11-10787</t>
  </si>
  <si>
    <t>11-10789</t>
  </si>
  <si>
    <t>11-10791</t>
  </si>
  <si>
    <t>11-10800</t>
  </si>
  <si>
    <t>11-10802</t>
  </si>
  <si>
    <t>11-13311</t>
  </si>
  <si>
    <t>11-10804</t>
  </si>
  <si>
    <t>11-10805</t>
  </si>
  <si>
    <t>11-10807</t>
  </si>
  <si>
    <t>11-10809</t>
  </si>
  <si>
    <t>11-10811</t>
  </si>
  <si>
    <t>11-10820</t>
  </si>
  <si>
    <t>11-10822</t>
  </si>
  <si>
    <t>11-13312</t>
  </si>
  <si>
    <t>11-10824</t>
  </si>
  <si>
    <t>11-10825</t>
  </si>
  <si>
    <t>11-10827</t>
  </si>
  <si>
    <t>11-10829</t>
  </si>
  <si>
    <t>11-10831</t>
  </si>
  <si>
    <t>11-10840</t>
  </si>
  <si>
    <t>11-10842</t>
  </si>
  <si>
    <t>11-13313</t>
  </si>
  <si>
    <t>11-10844</t>
  </si>
  <si>
    <t>11-10845</t>
  </si>
  <si>
    <t>11-10847</t>
  </si>
  <si>
    <t>11-10849</t>
  </si>
  <si>
    <t>11-10851</t>
  </si>
  <si>
    <t>11-10860</t>
  </si>
  <si>
    <t>11-10862</t>
  </si>
  <si>
    <t>11-13314</t>
  </si>
  <si>
    <t>11-10864</t>
  </si>
  <si>
    <t>11-10865</t>
  </si>
  <si>
    <t>11-10867</t>
  </si>
  <si>
    <t>11-10869</t>
  </si>
  <si>
    <t>11-10871</t>
  </si>
  <si>
    <t>11-10873</t>
  </si>
  <si>
    <t>11-10882</t>
  </si>
  <si>
    <t>11-10884</t>
  </si>
  <si>
    <t>11-13315</t>
  </si>
  <si>
    <t>11-10886</t>
  </si>
  <si>
    <t>11-10887</t>
  </si>
  <si>
    <t>11-10889</t>
  </si>
  <si>
    <t>11-10891</t>
  </si>
  <si>
    <t>11-10893</t>
  </si>
  <si>
    <t>11-10895</t>
  </si>
  <si>
    <t>11-10904</t>
  </si>
  <si>
    <t>11-10906</t>
  </si>
  <si>
    <t>11-13316</t>
  </si>
  <si>
    <t>11-10908</t>
  </si>
  <si>
    <t>11-10909</t>
  </si>
  <si>
    <t>11-10911</t>
  </si>
  <si>
    <t>11-10913</t>
  </si>
  <si>
    <t>11-10915</t>
  </si>
  <si>
    <t>11-10917</t>
  </si>
  <si>
    <t>11-10926</t>
  </si>
  <si>
    <t>11-10928</t>
  </si>
  <si>
    <t>11-13317</t>
  </si>
  <si>
    <t>11-10930</t>
  </si>
  <si>
    <t>11-10931</t>
  </si>
  <si>
    <t>11-10933</t>
  </si>
  <si>
    <t>11-10935</t>
  </si>
  <si>
    <t>11-10937</t>
  </si>
  <si>
    <t>11-10939</t>
  </si>
  <si>
    <t>11-10948</t>
  </si>
  <si>
    <t>11-10950</t>
  </si>
  <si>
    <t>11-13318</t>
  </si>
  <si>
    <t>11-10952</t>
  </si>
  <si>
    <t>11-10953</t>
  </si>
  <si>
    <t>11-10955</t>
  </si>
  <si>
    <t>11-10957</t>
  </si>
  <si>
    <t>11-10959</t>
  </si>
  <si>
    <t>11-10961</t>
  </si>
  <si>
    <t>11-12760</t>
  </si>
  <si>
    <t>11-12765</t>
  </si>
  <si>
    <t>11-12767</t>
  </si>
  <si>
    <t>11-12770</t>
  </si>
  <si>
    <t>11-12774</t>
  </si>
  <si>
    <t>11-12777</t>
  </si>
  <si>
    <t>11-12780</t>
  </si>
  <si>
    <t>11-12782</t>
  </si>
  <si>
    <t>11-12784</t>
  </si>
  <si>
    <t>11-12785</t>
  </si>
  <si>
    <t>11-12786</t>
  </si>
  <si>
    <t>11-12788</t>
  </si>
  <si>
    <t>11-12789</t>
  </si>
  <si>
    <t>11-12792</t>
  </si>
  <si>
    <t>11-12796</t>
  </si>
  <si>
    <t>11-12798</t>
  </si>
  <si>
    <t>11-12801</t>
  </si>
  <si>
    <t>11-12806</t>
  </si>
  <si>
    <t>11-12809</t>
  </si>
  <si>
    <t>11-12812</t>
  </si>
  <si>
    <t>11-12814</t>
  </si>
  <si>
    <t>11-12816</t>
  </si>
  <si>
    <t>11-12818</t>
  </si>
  <si>
    <t>11-12819</t>
  </si>
  <si>
    <t>11-12820</t>
  </si>
  <si>
    <t>11-12822</t>
  </si>
  <si>
    <t>11-12823</t>
  </si>
  <si>
    <t>11-12826</t>
  </si>
  <si>
    <t>11-12826-1</t>
  </si>
  <si>
    <t>11-12826-2</t>
  </si>
  <si>
    <t>11-12828</t>
  </si>
  <si>
    <t>11-12828-1</t>
  </si>
  <si>
    <t>11-12828-2</t>
  </si>
  <si>
    <t>11-12831</t>
  </si>
  <si>
    <t>11-12833</t>
  </si>
  <si>
    <t>11-13322</t>
  </si>
  <si>
    <t>11-12835</t>
  </si>
  <si>
    <t>11-12836</t>
  </si>
  <si>
    <t>11-12837</t>
  </si>
  <si>
    <t>11-12840</t>
  </si>
  <si>
    <t>11-12840-1</t>
  </si>
  <si>
    <t>11-12842</t>
  </si>
  <si>
    <t>11-12842-1</t>
  </si>
  <si>
    <t>11-12845</t>
  </si>
  <si>
    <t>11-12848</t>
  </si>
  <si>
    <t>11-12850</t>
  </si>
  <si>
    <t>11-12852</t>
  </si>
  <si>
    <t>11-12853</t>
  </si>
  <si>
    <t>11-12854</t>
  </si>
  <si>
    <t>11-12857</t>
  </si>
  <si>
    <t>11-12860</t>
  </si>
  <si>
    <t>11-12863</t>
  </si>
  <si>
    <t>11-12866</t>
  </si>
  <si>
    <t>11-12869</t>
  </si>
  <si>
    <t>11-12870</t>
  </si>
  <si>
    <t>11-12871</t>
  </si>
  <si>
    <t>11-12872</t>
  </si>
  <si>
    <t>11-12875</t>
  </si>
  <si>
    <t>11-12878</t>
  </si>
  <si>
    <t>11-12881</t>
  </si>
  <si>
    <t>11-12884</t>
  </si>
  <si>
    <t>11-12887</t>
  </si>
  <si>
    <t>11-12888</t>
  </si>
  <si>
    <t>11-12889</t>
  </si>
  <si>
    <t>11-12890</t>
  </si>
  <si>
    <t>11-12893</t>
  </si>
  <si>
    <t>11-12896</t>
  </si>
  <si>
    <t>11-12899</t>
  </si>
  <si>
    <t>11-12902</t>
  </si>
  <si>
    <t>11-12905</t>
  </si>
  <si>
    <t>11-12906</t>
  </si>
  <si>
    <t>11-12907</t>
  </si>
  <si>
    <t>11-12908</t>
  </si>
  <si>
    <t>11-12911</t>
  </si>
  <si>
    <t>11-12914</t>
  </si>
  <si>
    <t>11-12917</t>
  </si>
  <si>
    <t>11-12920</t>
  </si>
  <si>
    <t>11-12923</t>
  </si>
  <si>
    <t>11-12924</t>
  </si>
  <si>
    <t>11-12925</t>
  </si>
  <si>
    <t>11-12926</t>
  </si>
  <si>
    <t>11-12928</t>
  </si>
  <si>
    <t>11-12932</t>
  </si>
  <si>
    <t>11-12932-1</t>
  </si>
  <si>
    <t>11-12934</t>
  </si>
  <si>
    <t>11-12939</t>
  </si>
  <si>
    <t>11-12942</t>
  </si>
  <si>
    <t>11-12945</t>
  </si>
  <si>
    <t>11-12948</t>
  </si>
  <si>
    <t>11-12952</t>
  </si>
  <si>
    <t>11-11918</t>
  </si>
  <si>
    <t>11-11919</t>
  </si>
  <si>
    <t>11-12954</t>
  </si>
  <si>
    <t>11-16482</t>
  </si>
  <si>
    <t>11-12956</t>
  </si>
  <si>
    <t>11-11923</t>
  </si>
  <si>
    <t>11-11924</t>
  </si>
  <si>
    <t>11-12958</t>
  </si>
  <si>
    <t>11-12959</t>
  </si>
  <si>
    <t>11-12961</t>
  </si>
  <si>
    <t>11-16485</t>
  </si>
  <si>
    <t>11-12963</t>
  </si>
  <si>
    <t>11-16488</t>
  </si>
  <si>
    <t>11-12965</t>
  </si>
  <si>
    <t>11-12966</t>
  </si>
  <si>
    <t>11-12967</t>
  </si>
  <si>
    <t>11-12968</t>
  </si>
  <si>
    <t>11-11927</t>
  </si>
  <si>
    <t>11-11928</t>
  </si>
  <si>
    <t>11-11929</t>
  </si>
  <si>
    <t>11-11930</t>
  </si>
  <si>
    <t>11-11931</t>
  </si>
  <si>
    <t>11-11932</t>
  </si>
  <si>
    <t>11-11933</t>
  </si>
  <si>
    <t>11-11934</t>
  </si>
  <si>
    <t>11-12970</t>
  </si>
  <si>
    <t>11-11939</t>
  </si>
  <si>
    <t>11-11940</t>
  </si>
  <si>
    <t>11-11944</t>
  </si>
  <si>
    <t>11-11945</t>
  </si>
  <si>
    <t>11-11946</t>
  </si>
  <si>
    <t>11-11947</t>
  </si>
  <si>
    <t>11-11948</t>
  </si>
  <si>
    <t>11-11949</t>
  </si>
  <si>
    <t>11-11950</t>
  </si>
  <si>
    <t>11-11951</t>
  </si>
  <si>
    <t>11-12972</t>
  </si>
  <si>
    <t>11-12973</t>
  </si>
  <si>
    <t>11-12974</t>
  </si>
  <si>
    <t>11-12975</t>
  </si>
  <si>
    <t>11-11956</t>
  </si>
  <si>
    <t>11-11957</t>
  </si>
  <si>
    <t>11-11958</t>
  </si>
  <si>
    <t>11-11959</t>
  </si>
  <si>
    <t>11-11960</t>
  </si>
  <si>
    <t>11-11961</t>
  </si>
  <si>
    <t>11-11962</t>
  </si>
  <si>
    <t>11-11963</t>
  </si>
  <si>
    <t>11-12977</t>
  </si>
  <si>
    <t>11-12978</t>
  </si>
  <si>
    <t>11-13326</t>
  </si>
  <si>
    <t>11-16491</t>
  </si>
  <si>
    <t>11-13577</t>
  </si>
  <si>
    <t>11-13577-1</t>
  </si>
  <si>
    <t>11-13577-2</t>
  </si>
  <si>
    <t>11-13578</t>
  </si>
  <si>
    <t>11-16880</t>
  </si>
  <si>
    <t>11-16880-1</t>
  </si>
  <si>
    <t>11-16880-2</t>
  </si>
  <si>
    <t>11-13624</t>
  </si>
  <si>
    <t>11-13622</t>
  </si>
  <si>
    <t>11-13704</t>
  </si>
  <si>
    <t>11-13702</t>
  </si>
  <si>
    <t>11-13556</t>
  </si>
  <si>
    <t>11-13556-1</t>
  </si>
  <si>
    <t>11-13556-2</t>
  </si>
  <si>
    <t>11-13557</t>
  </si>
  <si>
    <t>11-13557-1</t>
  </si>
  <si>
    <t>11-13557-2</t>
  </si>
  <si>
    <t>11-13563</t>
  </si>
  <si>
    <t>11-13563-1</t>
  </si>
  <si>
    <t>11-13563-2</t>
  </si>
  <si>
    <t>11-13564</t>
  </si>
  <si>
    <t>11-13564-1</t>
  </si>
  <si>
    <t>11-13564-2</t>
  </si>
  <si>
    <t>11-13570</t>
  </si>
  <si>
    <t>11-13570-1</t>
  </si>
  <si>
    <t>11-13570-2</t>
  </si>
  <si>
    <t>11-13571</t>
  </si>
  <si>
    <t>11-13571-1</t>
  </si>
  <si>
    <t>11-13571-2</t>
  </si>
  <si>
    <t>11-16992</t>
  </si>
  <si>
    <t>11-16992-1</t>
  </si>
  <si>
    <t>11-16992-2</t>
  </si>
  <si>
    <t>11-13584</t>
  </si>
  <si>
    <t>11-13584-1</t>
  </si>
  <si>
    <t>11-13584-2</t>
  </si>
  <si>
    <t>11-13585</t>
  </si>
  <si>
    <t>11-13585-1</t>
  </si>
  <si>
    <t>11-13585-2</t>
  </si>
  <si>
    <t>11-01639</t>
  </si>
  <si>
    <t>11-01637</t>
  </si>
  <si>
    <t>11-13929</t>
  </si>
  <si>
    <t>11-13929-1</t>
  </si>
  <si>
    <t>11-13929-2</t>
  </si>
  <si>
    <t>11-13930</t>
  </si>
  <si>
    <t>11-13930-1</t>
  </si>
  <si>
    <t>11-13930-2</t>
  </si>
  <si>
    <t>11-13931</t>
  </si>
  <si>
    <t>11-13931-1</t>
  </si>
  <si>
    <t>11-13931-2</t>
  </si>
  <si>
    <t>11-13928</t>
  </si>
  <si>
    <t>11-13928-1</t>
  </si>
  <si>
    <t>11-13928-2</t>
  </si>
  <si>
    <t>11-13947</t>
  </si>
  <si>
    <t>11-13947-1</t>
  </si>
  <si>
    <t>11-13947-2</t>
  </si>
  <si>
    <t>11-13948</t>
  </si>
  <si>
    <t>11-13948-1</t>
  </si>
  <si>
    <t>11-13948-2</t>
  </si>
  <si>
    <t>11-13949</t>
  </si>
  <si>
    <t>11-13949-1</t>
  </si>
  <si>
    <t>11-13949-2</t>
  </si>
  <si>
    <t>11-13946</t>
  </si>
  <si>
    <t>11-13946-1</t>
  </si>
  <si>
    <t>11-13946-2</t>
  </si>
  <si>
    <t>11-13965</t>
  </si>
  <si>
    <t>11-13966</t>
  </si>
  <si>
    <t>11-13967</t>
  </si>
  <si>
    <t>11-13964</t>
  </si>
  <si>
    <t>11-13983</t>
  </si>
  <si>
    <t>11-13984</t>
  </si>
  <si>
    <t>11-13985</t>
  </si>
  <si>
    <t>11-13985-1</t>
  </si>
  <si>
    <t>11-13982</t>
  </si>
  <si>
    <t>11-13982-1</t>
  </si>
  <si>
    <t>11-14001</t>
  </si>
  <si>
    <t>11-14002</t>
  </si>
  <si>
    <t>11-14003</t>
  </si>
  <si>
    <t>11-14000</t>
  </si>
  <si>
    <t>11-14022</t>
  </si>
  <si>
    <t>11-14022-1</t>
  </si>
  <si>
    <t>11-14023</t>
  </si>
  <si>
    <t>11-14024</t>
  </si>
  <si>
    <t>11-14021</t>
  </si>
  <si>
    <t>11-13598</t>
  </si>
  <si>
    <t>11-13598-1</t>
  </si>
  <si>
    <t>11-13597</t>
  </si>
  <si>
    <t>11-13613</t>
  </si>
  <si>
    <t>11-13612</t>
  </si>
  <si>
    <t>11-13623</t>
  </si>
  <si>
    <t>11-13623-1</t>
  </si>
  <si>
    <t>11-13623-2</t>
  </si>
  <si>
    <t>11-13621</t>
  </si>
  <si>
    <t>11-13621-1</t>
  </si>
  <si>
    <t>11-13621-2</t>
  </si>
  <si>
    <t>11-13703</t>
  </si>
  <si>
    <t>11-13701</t>
  </si>
  <si>
    <t>11-13710</t>
  </si>
  <si>
    <t>11-13713</t>
  </si>
  <si>
    <t>11-13709</t>
  </si>
  <si>
    <t>11-13711</t>
  </si>
  <si>
    <t>11-13712</t>
  </si>
  <si>
    <t>11-13719</t>
  </si>
  <si>
    <t>11-13722</t>
  </si>
  <si>
    <t>11-13718</t>
  </si>
  <si>
    <t>11-13720</t>
  </si>
  <si>
    <t>11-13721</t>
  </si>
  <si>
    <t>11-13728</t>
  </si>
  <si>
    <t>11-13731</t>
  </si>
  <si>
    <t>11-13727</t>
  </si>
  <si>
    <t>11-13729</t>
  </si>
  <si>
    <t>11-13730</t>
  </si>
  <si>
    <t>11-13737</t>
  </si>
  <si>
    <t>11-13737-1</t>
  </si>
  <si>
    <t>11-13737-2</t>
  </si>
  <si>
    <t>11-13740</t>
  </si>
  <si>
    <t>11-13740-1</t>
  </si>
  <si>
    <t>11-13740-2</t>
  </si>
  <si>
    <t>11-13736</t>
  </si>
  <si>
    <t>11-13736-1</t>
  </si>
  <si>
    <t>11-13736-2</t>
  </si>
  <si>
    <t>11-13738</t>
  </si>
  <si>
    <t>11-13738-1</t>
  </si>
  <si>
    <t>11-13738-2</t>
  </si>
  <si>
    <t>11-13739</t>
  </si>
  <si>
    <t>11-13739-1</t>
  </si>
  <si>
    <t>11-13739-2</t>
  </si>
  <si>
    <t>11-13746</t>
  </si>
  <si>
    <t>11-13746-1</t>
  </si>
  <si>
    <t>11-13746-2</t>
  </si>
  <si>
    <t>11-13749</t>
  </si>
  <si>
    <t>11-13749-1</t>
  </si>
  <si>
    <t>11-13749-2</t>
  </si>
  <si>
    <t>11-13745</t>
  </si>
  <si>
    <t>11-13745-1</t>
  </si>
  <si>
    <t>11-13745-2</t>
  </si>
  <si>
    <t>11-13747</t>
  </si>
  <si>
    <t>11-13747-1</t>
  </si>
  <si>
    <t>11-13747-2</t>
  </si>
  <si>
    <t>11-13748</t>
  </si>
  <si>
    <t>11-13748-1</t>
  </si>
  <si>
    <t>11-13748-2</t>
  </si>
  <si>
    <t>11-13755</t>
  </si>
  <si>
    <t>11-13755-1</t>
  </si>
  <si>
    <t>11-13755-2</t>
  </si>
  <si>
    <t>11-13758</t>
  </si>
  <si>
    <t>11-13758-1</t>
  </si>
  <si>
    <t>11-13758-2</t>
  </si>
  <si>
    <t>11-13754</t>
  </si>
  <si>
    <t>11-13754-1</t>
  </si>
  <si>
    <t>11-13754-2</t>
  </si>
  <si>
    <t>11-13756</t>
  </si>
  <si>
    <t>11-13756-1</t>
  </si>
  <si>
    <t>11-13756-2</t>
  </si>
  <si>
    <t>11-13757</t>
  </si>
  <si>
    <t>11-13757-1</t>
  </si>
  <si>
    <t>11-13757-2</t>
  </si>
  <si>
    <t>11-13764</t>
  </si>
  <si>
    <t>11-13764-1</t>
  </si>
  <si>
    <t>11-13764-2</t>
  </si>
  <si>
    <t>11-13767</t>
  </si>
  <si>
    <t>11-13767-1</t>
  </si>
  <si>
    <t>11-13767-2</t>
  </si>
  <si>
    <t>11-13763</t>
  </si>
  <si>
    <t>11-13763-1</t>
  </si>
  <si>
    <t>11-13763-2</t>
  </si>
  <si>
    <t>11-13765</t>
  </si>
  <si>
    <t>11-13765-1</t>
  </si>
  <si>
    <t>11-13765-2</t>
  </si>
  <si>
    <t>11-13766</t>
  </si>
  <si>
    <t>11-13766-1</t>
  </si>
  <si>
    <t>11-13766-2</t>
  </si>
  <si>
    <t>11-13773</t>
  </si>
  <si>
    <t>11-13773-1</t>
  </si>
  <si>
    <t>11-13773-2</t>
  </si>
  <si>
    <t>11-13776</t>
  </si>
  <si>
    <t>11-13776-1</t>
  </si>
  <si>
    <t>11-13776-2</t>
  </si>
  <si>
    <t>11-13772</t>
  </si>
  <si>
    <t>11-13772-1</t>
  </si>
  <si>
    <t>11-13772-2</t>
  </si>
  <si>
    <t>11-13774</t>
  </si>
  <si>
    <t>11-13774-1</t>
  </si>
  <si>
    <t>11-13774-2</t>
  </si>
  <si>
    <t>11-13775</t>
  </si>
  <si>
    <t>11-13775-1</t>
  </si>
  <si>
    <t>11-13775-2</t>
  </si>
  <si>
    <t>11-13782</t>
  </si>
  <si>
    <t>11-13785</t>
  </si>
  <si>
    <t>11-13781</t>
  </si>
  <si>
    <t>11-13783</t>
  </si>
  <si>
    <t>11-13784</t>
  </si>
  <si>
    <t>11-13630</t>
  </si>
  <si>
    <t>11-13630-1</t>
  </si>
  <si>
    <t>11-13630-2</t>
  </si>
  <si>
    <t>11-13633</t>
  </si>
  <si>
    <t>11-13633-1</t>
  </si>
  <si>
    <t>11-13633-2</t>
  </si>
  <si>
    <t>11-13629</t>
  </si>
  <si>
    <t>11-13631</t>
  </si>
  <si>
    <t>11-13632</t>
  </si>
  <si>
    <t>11-13791</t>
  </si>
  <si>
    <t>11-13791-1</t>
  </si>
  <si>
    <t>11-13791-2</t>
  </si>
  <si>
    <t>11-13794</t>
  </si>
  <si>
    <t>11-13794-1</t>
  </si>
  <si>
    <t>11-13794-2</t>
  </si>
  <si>
    <t>11-13790</t>
  </si>
  <si>
    <t>11-13790-1</t>
  </si>
  <si>
    <t>11-13790-2</t>
  </si>
  <si>
    <t>11-13792</t>
  </si>
  <si>
    <t>11-13792-1</t>
  </si>
  <si>
    <t>11-13792-2</t>
  </si>
  <si>
    <t>11-13793</t>
  </si>
  <si>
    <t>11-13793-1</t>
  </si>
  <si>
    <t>11-13793-2</t>
  </si>
  <si>
    <t>11-13800</t>
  </si>
  <si>
    <t>11-13800-1</t>
  </si>
  <si>
    <t>11-13800-2</t>
  </si>
  <si>
    <t>11-13803</t>
  </si>
  <si>
    <t>11-13803-1</t>
  </si>
  <si>
    <t>11-13803-2</t>
  </si>
  <si>
    <t>11-13799</t>
  </si>
  <si>
    <t>11-13799-1</t>
  </si>
  <si>
    <t>11-13799-2</t>
  </si>
  <si>
    <t>11-13801</t>
  </si>
  <si>
    <t>11-13801-1</t>
  </si>
  <si>
    <t>11-13801-2</t>
  </si>
  <si>
    <t>11-13802</t>
  </si>
  <si>
    <t>11-13802-1</t>
  </si>
  <si>
    <t>11-13802-2</t>
  </si>
  <si>
    <t>11-13809</t>
  </si>
  <si>
    <t>11-13809-2</t>
  </si>
  <si>
    <t>11-13812</t>
  </si>
  <si>
    <t>11-13808</t>
  </si>
  <si>
    <t>11-13810</t>
  </si>
  <si>
    <t>11-13811</t>
  </si>
  <si>
    <t>11-13818</t>
  </si>
  <si>
    <t>11-13821</t>
  </si>
  <si>
    <t>11-13817</t>
  </si>
  <si>
    <t>11-13819</t>
  </si>
  <si>
    <t>11-13820</t>
  </si>
  <si>
    <t>11-13827</t>
  </si>
  <si>
    <t>11-13830</t>
  </si>
  <si>
    <t>11-13826</t>
  </si>
  <si>
    <t>11-13828</t>
  </si>
  <si>
    <t>11-13829</t>
  </si>
  <si>
    <t>11-13836</t>
  </si>
  <si>
    <t>11-13839</t>
  </si>
  <si>
    <t>11-13835</t>
  </si>
  <si>
    <t>11-13837</t>
  </si>
  <si>
    <t>11-13838</t>
  </si>
  <si>
    <t>11-13845</t>
  </si>
  <si>
    <t>11-13848</t>
  </si>
  <si>
    <t>11-13844</t>
  </si>
  <si>
    <t>11-13846</t>
  </si>
  <si>
    <t>11-13847</t>
  </si>
  <si>
    <t>11-13854</t>
  </si>
  <si>
    <t>11-13857</t>
  </si>
  <si>
    <t>11-13853</t>
  </si>
  <si>
    <t>11-13855</t>
  </si>
  <si>
    <t>11-13856</t>
  </si>
  <si>
    <t>11-13863</t>
  </si>
  <si>
    <t>11-13866</t>
  </si>
  <si>
    <t>11-13862</t>
  </si>
  <si>
    <t>11-13864</t>
  </si>
  <si>
    <t>11-13865</t>
  </si>
  <si>
    <t>11-13872</t>
  </si>
  <si>
    <t>11-13875</t>
  </si>
  <si>
    <t>11-13871</t>
  </si>
  <si>
    <t>11-13873</t>
  </si>
  <si>
    <t>11-13874</t>
  </si>
  <si>
    <t>11-13639</t>
  </si>
  <si>
    <t>11-13639-1</t>
  </si>
  <si>
    <t>11-13639-2</t>
  </si>
  <si>
    <t>11-13642</t>
  </si>
  <si>
    <t>11-13642-1</t>
  </si>
  <si>
    <t>11-13642-2</t>
  </si>
  <si>
    <t>11-13638</t>
  </si>
  <si>
    <t>11-13638-1</t>
  </si>
  <si>
    <t>11-13638-2</t>
  </si>
  <si>
    <t>11-13640</t>
  </si>
  <si>
    <t>11-13640-1</t>
  </si>
  <si>
    <t>11-13640-2</t>
  </si>
  <si>
    <t>11-13641</t>
  </si>
  <si>
    <t>11-13641-1</t>
  </si>
  <si>
    <t>11-13641-2</t>
  </si>
  <si>
    <t>11-13881</t>
  </si>
  <si>
    <t>11-13884</t>
  </si>
  <si>
    <t>11-13880</t>
  </si>
  <si>
    <t>11-13882</t>
  </si>
  <si>
    <t>11-13883</t>
  </si>
  <si>
    <t>11-13890</t>
  </si>
  <si>
    <t>11-13893</t>
  </si>
  <si>
    <t>11-13889</t>
  </si>
  <si>
    <t>11-13891</t>
  </si>
  <si>
    <t>11-13892</t>
  </si>
  <si>
    <t>11-13899</t>
  </si>
  <si>
    <t>11-13902</t>
  </si>
  <si>
    <t>11-13898</t>
  </si>
  <si>
    <t>11-13900</t>
  </si>
  <si>
    <t>11-13901</t>
  </si>
  <si>
    <t>11-13908</t>
  </si>
  <si>
    <t>11-13911</t>
  </si>
  <si>
    <t>11-13907</t>
  </si>
  <si>
    <t>11-13909</t>
  </si>
  <si>
    <t>11-13910</t>
  </si>
  <si>
    <t>11-13917</t>
  </si>
  <si>
    <t>11-13920</t>
  </si>
  <si>
    <t>11-13916</t>
  </si>
  <si>
    <t>11-13918</t>
  </si>
  <si>
    <t>11-13919</t>
  </si>
  <si>
    <t>11-13648</t>
  </si>
  <si>
    <t>11-13648-1</t>
  </si>
  <si>
    <t>11-13648-2</t>
  </si>
  <si>
    <t>11-13651</t>
  </si>
  <si>
    <t>11-13651-1</t>
  </si>
  <si>
    <t>11-13651-2</t>
  </si>
  <si>
    <t>11-13647</t>
  </si>
  <si>
    <t>11-13647-1</t>
  </si>
  <si>
    <t>11-13647-2</t>
  </si>
  <si>
    <t>11-13649</t>
  </si>
  <si>
    <t>11-13649-1</t>
  </si>
  <si>
    <t>11-13649-2</t>
  </si>
  <si>
    <t>11-13650</t>
  </si>
  <si>
    <t>11-13650-1</t>
  </si>
  <si>
    <t>11-13650-2</t>
  </si>
  <si>
    <t>11-13657</t>
  </si>
  <si>
    <t>11-13657-1</t>
  </si>
  <si>
    <t>11-13657-2</t>
  </si>
  <si>
    <t>11-13660</t>
  </si>
  <si>
    <t>11-13660-1</t>
  </si>
  <si>
    <t>11-13660-2</t>
  </si>
  <si>
    <t>11-13656</t>
  </si>
  <si>
    <t>11-13656-1</t>
  </si>
  <si>
    <t>11-13656-2</t>
  </si>
  <si>
    <t>11-13658</t>
  </si>
  <si>
    <t>11-13658-1</t>
  </si>
  <si>
    <t>11-13658-2</t>
  </si>
  <si>
    <t>11-13659</t>
  </si>
  <si>
    <t>11-13659-1</t>
  </si>
  <si>
    <t>11-13659-2</t>
  </si>
  <si>
    <t>11-13666</t>
  </si>
  <si>
    <t>11-13666-1</t>
  </si>
  <si>
    <t>11-13666-2</t>
  </si>
  <si>
    <t>11-13669</t>
  </si>
  <si>
    <t>11-13669-1</t>
  </si>
  <si>
    <t>11-13669-2</t>
  </si>
  <si>
    <t>11-13665</t>
  </si>
  <si>
    <t>11-13665-1</t>
  </si>
  <si>
    <t>11-13665-2</t>
  </si>
  <si>
    <t>11-13667</t>
  </si>
  <si>
    <t>11-13667-1</t>
  </si>
  <si>
    <t>11-13667-2</t>
  </si>
  <si>
    <t>11-13668</t>
  </si>
  <si>
    <t>11-13668-1</t>
  </si>
  <si>
    <t>11-13668-2</t>
  </si>
  <si>
    <t>11-13675</t>
  </si>
  <si>
    <t>11-13675-1</t>
  </si>
  <si>
    <t>11-13675-2</t>
  </si>
  <si>
    <t>11-13678</t>
  </si>
  <si>
    <t>11-13678-1</t>
  </si>
  <si>
    <t>11-13678-2</t>
  </si>
  <si>
    <t>11-13674</t>
  </si>
  <si>
    <t>11-13674-1</t>
  </si>
  <si>
    <t>11-13674-2</t>
  </si>
  <si>
    <t>11-13676</t>
  </si>
  <si>
    <t>11-13676-1</t>
  </si>
  <si>
    <t>11-13676-2</t>
  </si>
  <si>
    <t>11-13677</t>
  </si>
  <si>
    <t>11-13677-1</t>
  </si>
  <si>
    <t>11-13677-2</t>
  </si>
  <si>
    <t>11-13684</t>
  </si>
  <si>
    <t>11-13687</t>
  </si>
  <si>
    <t>11-13683</t>
  </si>
  <si>
    <t>11-13685</t>
  </si>
  <si>
    <t>11-13686</t>
  </si>
  <si>
    <t>11-13693</t>
  </si>
  <si>
    <t>11-13696</t>
  </si>
  <si>
    <t>11-13692</t>
  </si>
  <si>
    <t>11-13694</t>
  </si>
  <si>
    <t>11-13695</t>
  </si>
  <si>
    <t>11-13498</t>
  </si>
  <si>
    <t>11-13495</t>
  </si>
  <si>
    <t>11-13495-1</t>
  </si>
  <si>
    <t>11-13495-2</t>
  </si>
  <si>
    <t>11-13497</t>
  </si>
  <si>
    <t>11-13497-1</t>
  </si>
  <si>
    <t>11-13497-2</t>
  </si>
  <si>
    <t>11-13341</t>
  </si>
  <si>
    <t>11-13341-1</t>
  </si>
  <si>
    <t>11-13341-2</t>
  </si>
  <si>
    <t>11-13496</t>
  </si>
  <si>
    <t>11-13343</t>
  </si>
  <si>
    <t>11-13343-1</t>
  </si>
  <si>
    <t>11-13343-2</t>
  </si>
  <si>
    <t>11-13340</t>
  </si>
  <si>
    <t>11-13340-1</t>
  </si>
  <si>
    <t>11-13340-2</t>
  </si>
  <si>
    <t>11-13342</t>
  </si>
  <si>
    <t>11-13342-1</t>
  </si>
  <si>
    <t>11-13342-2</t>
  </si>
  <si>
    <t>11-13440</t>
  </si>
  <si>
    <t>11-13440-1</t>
  </si>
  <si>
    <t>11-13440-2</t>
  </si>
  <si>
    <t>11-13442</t>
  </si>
  <si>
    <t>11-13439</t>
  </si>
  <si>
    <t>11-13439-1</t>
  </si>
  <si>
    <t>11-13439-2</t>
  </si>
  <si>
    <t>11-13441</t>
  </si>
  <si>
    <t>11-13991</t>
  </si>
  <si>
    <t>11-14009</t>
  </si>
  <si>
    <t>11-14035</t>
  </si>
  <si>
    <t>11-01509</t>
  </si>
  <si>
    <t>11-09181</t>
  </si>
  <si>
    <t>11-01507</t>
  </si>
  <si>
    <t>11-01492</t>
  </si>
  <si>
    <t>11-01500</t>
  </si>
  <si>
    <t>11-01504</t>
  </si>
  <si>
    <t>11-01555</t>
  </si>
  <si>
    <t>11-01553</t>
  </si>
  <si>
    <t>11-01541</t>
  </si>
  <si>
    <t>11-11530</t>
  </si>
  <si>
    <t>11-01546</t>
  </si>
  <si>
    <t>11-01550</t>
  </si>
  <si>
    <t>11-01609</t>
  </si>
  <si>
    <t>11-01607</t>
  </si>
  <si>
    <t>11-01593</t>
  </si>
  <si>
    <t>11-11535</t>
  </si>
  <si>
    <t>11-01599</t>
  </si>
  <si>
    <t>11-01603</t>
  </si>
  <si>
    <t>11-13560</t>
  </si>
  <si>
    <t>11-13567</t>
  </si>
  <si>
    <t>11-13574</t>
  </si>
  <si>
    <t>11-13581</t>
  </si>
  <si>
    <t>11-13588</t>
  </si>
  <si>
    <t>11-13933</t>
  </si>
  <si>
    <t>11-13951</t>
  </si>
  <si>
    <t>11-13969</t>
  </si>
  <si>
    <t>11-13989</t>
  </si>
  <si>
    <t>11-14007</t>
  </si>
  <si>
    <t>11-14033</t>
  </si>
  <si>
    <t>11-01625</t>
  </si>
  <si>
    <t>11-01643</t>
  </si>
  <si>
    <t>11-01660</t>
  </si>
  <si>
    <t>11-09205</t>
  </si>
  <si>
    <t>11-13601</t>
  </si>
  <si>
    <t>11-13616</t>
  </si>
  <si>
    <t>11-13644</t>
  </si>
  <si>
    <t>11-13626</t>
  </si>
  <si>
    <t>11-13635</t>
  </si>
  <si>
    <t>11-13796</t>
  </si>
  <si>
    <t>11-13805</t>
  </si>
  <si>
    <t>11-13814</t>
  </si>
  <si>
    <t>11-13823</t>
  </si>
  <si>
    <t>11-13832</t>
  </si>
  <si>
    <t>11-13841</t>
  </si>
  <si>
    <t>11-13850</t>
  </si>
  <si>
    <t>11-13653</t>
  </si>
  <si>
    <t>11-13662</t>
  </si>
  <si>
    <t>11-13671</t>
  </si>
  <si>
    <t>11-13680</t>
  </si>
  <si>
    <t>11-13689</t>
  </si>
  <si>
    <t>11-13698</t>
  </si>
  <si>
    <t>11-13913</t>
  </si>
  <si>
    <t>11-13706</t>
  </si>
  <si>
    <t>11-13715</t>
  </si>
  <si>
    <t>11-13724</t>
  </si>
  <si>
    <t>11-13733</t>
  </si>
  <si>
    <t>11-13742</t>
  </si>
  <si>
    <t>11-13751</t>
  </si>
  <si>
    <t>11-13760</t>
  </si>
  <si>
    <t>11-13769</t>
  </si>
  <si>
    <t>11-13778</t>
  </si>
  <si>
    <t>11-13787</t>
  </si>
  <si>
    <t>11-13859</t>
  </si>
  <si>
    <t>11-13868</t>
  </si>
  <si>
    <t>11-13877</t>
  </si>
  <si>
    <t>11-13886</t>
  </si>
  <si>
    <t>11-13895</t>
  </si>
  <si>
    <t>11-13904</t>
  </si>
  <si>
    <t>11-13922</t>
  </si>
  <si>
    <t>11-13350</t>
  </si>
  <si>
    <t>11-13457</t>
  </si>
  <si>
    <t>11-13461</t>
  </si>
  <si>
    <t>11-13517</t>
  </si>
  <si>
    <t>11-13366</t>
  </si>
  <si>
    <t>11-13369</t>
  </si>
  <si>
    <t>11-13372</t>
  </si>
  <si>
    <t>11-13376</t>
  </si>
  <si>
    <t>11-13379</t>
  </si>
  <si>
    <t>11-13383</t>
  </si>
  <si>
    <t>11-13386</t>
  </si>
  <si>
    <t>11-13354</t>
  </si>
  <si>
    <t>11-13389</t>
  </si>
  <si>
    <t>11-13393</t>
  </si>
  <si>
    <t>11-13465</t>
  </si>
  <si>
    <t>11-13469</t>
  </si>
  <si>
    <t>11-13473</t>
  </si>
  <si>
    <t>11-13477</t>
  </si>
  <si>
    <t>11-13481</t>
  </si>
  <si>
    <t>11-13485</t>
  </si>
  <si>
    <t>11-13521</t>
  </si>
  <si>
    <t>11-13524</t>
  </si>
  <si>
    <t>11-13449</t>
  </si>
  <si>
    <t>11-13396</t>
  </si>
  <si>
    <t>11-13400</t>
  </si>
  <si>
    <t>11-13403</t>
  </si>
  <si>
    <t>11-13407</t>
  </si>
  <si>
    <t>11-13411</t>
  </si>
  <si>
    <t>11-13528</t>
  </si>
  <si>
    <t>11-13531</t>
  </si>
  <si>
    <t>11-13535</t>
  </si>
  <si>
    <t>11-13539</t>
  </si>
  <si>
    <t>11-13543</t>
  </si>
  <si>
    <t>11-13505</t>
  </si>
  <si>
    <t>11-13546</t>
  </si>
  <si>
    <t>11-13549</t>
  </si>
  <si>
    <t>11-13553</t>
  </si>
  <si>
    <t>11-13414</t>
  </si>
  <si>
    <t>11-13358</t>
  </si>
  <si>
    <t>11-13453</t>
  </si>
  <si>
    <t>11-13509</t>
  </si>
  <si>
    <t>11-13513</t>
  </si>
  <si>
    <t>11-13362</t>
  </si>
  <si>
    <t>11-13994</t>
  </si>
  <si>
    <t>11-14012</t>
  </si>
  <si>
    <t>11-14038</t>
  </si>
  <si>
    <t>11-01512</t>
  </si>
  <si>
    <t>11-01564</t>
  </si>
  <si>
    <t>11-01612</t>
  </si>
  <si>
    <t>11-13940</t>
  </si>
  <si>
    <t>11-13958</t>
  </si>
  <si>
    <t>11-13976</t>
  </si>
  <si>
    <t>11-13338</t>
  </si>
  <si>
    <t>11-13437</t>
  </si>
  <si>
    <t>11-13493</t>
  </si>
  <si>
    <t>11-01477</t>
  </si>
  <si>
    <t>11-01482</t>
  </si>
  <si>
    <t>11-01526</t>
  </si>
  <si>
    <t>11-01531</t>
  </si>
  <si>
    <t>11-01578</t>
  </si>
  <si>
    <t>11-01583</t>
  </si>
  <si>
    <t>11-13591</t>
  </si>
  <si>
    <t>11-13606</t>
  </si>
  <si>
    <t>11-13594</t>
  </si>
  <si>
    <t>11-13609</t>
  </si>
  <si>
    <t>11-13925</t>
  </si>
  <si>
    <t>11-13943</t>
  </si>
  <si>
    <t>11-13961</t>
  </si>
  <si>
    <t>11-13979</t>
  </si>
  <si>
    <t>11-14018</t>
  </si>
  <si>
    <t>11-09191</t>
  </si>
  <si>
    <t>11-09192</t>
  </si>
  <si>
    <t>11-09203</t>
  </si>
  <si>
    <t>11-13515</t>
  </si>
  <si>
    <t>11-13519</t>
  </si>
  <si>
    <t>11-13526</t>
  </si>
  <si>
    <t>11-13533</t>
  </si>
  <si>
    <t>11-13537</t>
  </si>
  <si>
    <t>11-13507</t>
  </si>
  <si>
    <t>11-13511</t>
  </si>
  <si>
    <t>11-13503</t>
  </si>
  <si>
    <t>11-13348</t>
  </si>
  <si>
    <t>11-13455</t>
  </si>
  <si>
    <t>11-13459</t>
  </si>
  <si>
    <t>11-13364</t>
  </si>
  <si>
    <t>11-13374</t>
  </si>
  <si>
    <t>11-13352</t>
  </si>
  <si>
    <t>11-13391</t>
  </si>
  <si>
    <t>11-13463</t>
  </si>
  <si>
    <t>11-13467</t>
  </si>
  <si>
    <t>11-13471</t>
  </si>
  <si>
    <t>11-13475</t>
  </si>
  <si>
    <t>11-13479</t>
  </si>
  <si>
    <t>11-13483</t>
  </si>
  <si>
    <t>11-13447</t>
  </si>
  <si>
    <t>11-13398</t>
  </si>
  <si>
    <t>11-13405</t>
  </si>
  <si>
    <t>11-13409</t>
  </si>
  <si>
    <t>11-13541</t>
  </si>
  <si>
    <t>11-13551</t>
  </si>
  <si>
    <t>11-13356</t>
  </si>
  <si>
    <t>11-13360</t>
  </si>
  <si>
    <t>11-13381</t>
  </si>
  <si>
    <t>11-13451</t>
  </si>
  <si>
    <t>11-16779</t>
  </si>
  <si>
    <t>11-16780</t>
  </si>
  <si>
    <t>11-16781</t>
  </si>
  <si>
    <t>11-16777</t>
  </si>
  <si>
    <t>11-16778</t>
  </si>
  <si>
    <t>11-01557</t>
  </si>
  <si>
    <t>11-01559</t>
  </si>
  <si>
    <t>11-01622</t>
  </si>
  <si>
    <t>11-01657</t>
  </si>
  <si>
    <t>11-09201</t>
  </si>
  <si>
    <t>11-13936</t>
  </si>
  <si>
    <t>11-13954</t>
  </si>
  <si>
    <t>11-13972</t>
  </si>
  <si>
    <t>11-13336</t>
  </si>
  <si>
    <t>11-13434</t>
  </si>
  <si>
    <t>11-13491</t>
  </si>
  <si>
    <t>11-14029</t>
  </si>
  <si>
    <t>11-13986</t>
  </si>
  <si>
    <t>11-14025</t>
  </si>
  <si>
    <t>11-14004</t>
  </si>
  <si>
    <t>11-14027</t>
  </si>
  <si>
    <t>11-01481</t>
  </si>
  <si>
    <t>11-01476</t>
  </si>
  <si>
    <t>11-01530</t>
  </si>
  <si>
    <t>11-01525</t>
  </si>
  <si>
    <t>11-01582</t>
  </si>
  <si>
    <t>11-01577</t>
  </si>
  <si>
    <t>11-13417</t>
  </si>
  <si>
    <t>11-13331</t>
  </si>
  <si>
    <t>11-13431</t>
  </si>
  <si>
    <t>11-13488</t>
  </si>
  <si>
    <t>11-13423</t>
  </si>
  <si>
    <t>11-13427</t>
  </si>
  <si>
    <t>11-13329</t>
  </si>
  <si>
    <t>11-13429</t>
  </si>
  <si>
    <t>11-13333</t>
  </si>
  <si>
    <t>11-13419</t>
  </si>
  <si>
    <t>11-13425</t>
  </si>
  <si>
    <t>11-13421</t>
  </si>
  <si>
    <t>11-13634</t>
  </si>
  <si>
    <t>11-13795</t>
  </si>
  <si>
    <t>11-13804</t>
  </si>
  <si>
    <t>11-13813</t>
  </si>
  <si>
    <t>11-13822</t>
  </si>
  <si>
    <t>11-13831</t>
  </si>
  <si>
    <t>11-13840</t>
  </si>
  <si>
    <t>11-13849</t>
  </si>
  <si>
    <t>11-13643</t>
  </si>
  <si>
    <t>11-13652</t>
  </si>
  <si>
    <t>11-13661</t>
  </si>
  <si>
    <t>11-13670</t>
  </si>
  <si>
    <t>11-13679</t>
  </si>
  <si>
    <t>11-13688</t>
  </si>
  <si>
    <t>11-13697</t>
  </si>
  <si>
    <t>11-13714</t>
  </si>
  <si>
    <t>11-13723</t>
  </si>
  <si>
    <t>11-13732</t>
  </si>
  <si>
    <t>11-13741</t>
  </si>
  <si>
    <t>11-13750</t>
  </si>
  <si>
    <t>11-13759</t>
  </si>
  <si>
    <t>11-13768</t>
  </si>
  <si>
    <t>11-13777</t>
  </si>
  <si>
    <t>11-13786</t>
  </si>
  <si>
    <t>11-13858</t>
  </si>
  <si>
    <t>11-13867</t>
  </si>
  <si>
    <t>11-13876</t>
  </si>
  <si>
    <t>11-13885</t>
  </si>
  <si>
    <t>11-13894</t>
  </si>
  <si>
    <t>11-13903</t>
  </si>
  <si>
    <t>11-13912</t>
  </si>
  <si>
    <t>11-13921</t>
  </si>
  <si>
    <t>11-13558</t>
  </si>
  <si>
    <t>11-13572</t>
  </si>
  <si>
    <t>11-13579</t>
  </si>
  <si>
    <t>11-13586</t>
  </si>
  <si>
    <t>11-13565</t>
  </si>
  <si>
    <t>11-13932</t>
  </si>
  <si>
    <t>11-13950</t>
  </si>
  <si>
    <t>11-13968</t>
  </si>
  <si>
    <t>11-13988</t>
  </si>
  <si>
    <t>11-14006</t>
  </si>
  <si>
    <t>11-14032</t>
  </si>
  <si>
    <t>11-01624</t>
  </si>
  <si>
    <t>11-01642</t>
  </si>
  <si>
    <t>11-01659</t>
  </si>
  <si>
    <t>11-09204</t>
  </si>
  <si>
    <t>11-13599</t>
  </si>
  <si>
    <t>11-13614</t>
  </si>
  <si>
    <t>11-13625</t>
  </si>
  <si>
    <t>11-13705</t>
  </si>
  <si>
    <t>11-13349</t>
  </si>
  <si>
    <t>11-13456</t>
  </si>
  <si>
    <t>11-13460</t>
  </si>
  <si>
    <t>11-13516</t>
  </si>
  <si>
    <t>11-13365</t>
  </si>
  <si>
    <t>11-13368</t>
  </si>
  <si>
    <t>11-13371</t>
  </si>
  <si>
    <t>11-13375</t>
  </si>
  <si>
    <t>11-13378</t>
  </si>
  <si>
    <t>11-13382</t>
  </si>
  <si>
    <t>11-13385</t>
  </si>
  <si>
    <t>11-13353</t>
  </si>
  <si>
    <t>11-13388</t>
  </si>
  <si>
    <t>11-13392</t>
  </si>
  <si>
    <t>11-13464</t>
  </si>
  <si>
    <t>11-13468</t>
  </si>
  <si>
    <t>11-13472</t>
  </si>
  <si>
    <t>11-13476</t>
  </si>
  <si>
    <t>11-13480</t>
  </si>
  <si>
    <t>11-13484</t>
  </si>
  <si>
    <t>11-13520</t>
  </si>
  <si>
    <t>11-13523</t>
  </si>
  <si>
    <t>11-13448</t>
  </si>
  <si>
    <t>11-13395</t>
  </si>
  <si>
    <t>11-13399</t>
  </si>
  <si>
    <t>11-13402</t>
  </si>
  <si>
    <t>11-13406</t>
  </si>
  <si>
    <t>11-13410</t>
  </si>
  <si>
    <t>11-13527</t>
  </si>
  <si>
    <t>11-13530</t>
  </si>
  <si>
    <t>11-13534</t>
  </si>
  <si>
    <t>11-13538</t>
  </si>
  <si>
    <t>11-13542</t>
  </si>
  <si>
    <t>11-13504</t>
  </si>
  <si>
    <t>11-13545</t>
  </si>
  <si>
    <t>11-13548</t>
  </si>
  <si>
    <t>11-13552</t>
  </si>
  <si>
    <t>11-13413</t>
  </si>
  <si>
    <t>11-13357</t>
  </si>
  <si>
    <t>11-13452</t>
  </si>
  <si>
    <t>11-13508</t>
  </si>
  <si>
    <t>11-13512</t>
  </si>
  <si>
    <t>11-13361</t>
  </si>
  <si>
    <t>11-13992</t>
  </si>
  <si>
    <t>11-14010</t>
  </si>
  <si>
    <t>11-14036</t>
  </si>
  <si>
    <t>11-01511</t>
  </si>
  <si>
    <t>11-01563</t>
  </si>
  <si>
    <t>11-01611</t>
  </si>
  <si>
    <t>11-09178</t>
  </si>
  <si>
    <t>11-09184</t>
  </si>
  <si>
    <t>11-10213</t>
  </si>
  <si>
    <t>11-13344</t>
  </si>
  <si>
    <t>11-13345</t>
  </si>
  <si>
    <t>11-13346</t>
  </si>
  <si>
    <t>11-13443</t>
  </si>
  <si>
    <t>11-13444</t>
  </si>
  <si>
    <t>11-13445</t>
  </si>
  <si>
    <t>11-13499</t>
  </si>
  <si>
    <t>11-13500</t>
  </si>
  <si>
    <t>11-13501</t>
  </si>
  <si>
    <t>11-13559</t>
  </si>
  <si>
    <t>11-13566</t>
  </si>
  <si>
    <t>11-13573</t>
  </si>
  <si>
    <t>11-13580</t>
  </si>
  <si>
    <t>11-13587</t>
  </si>
  <si>
    <t>11-13600</t>
  </si>
  <si>
    <t>11-13615</t>
  </si>
  <si>
    <t>11-13993</t>
  </si>
  <si>
    <t>11-14011</t>
  </si>
  <si>
    <t>11-14037</t>
  </si>
  <si>
    <t>11-13935</t>
  </si>
  <si>
    <t>11-13953</t>
  </si>
  <si>
    <t>11-13971</t>
  </si>
  <si>
    <t>11-13335</t>
  </si>
  <si>
    <t>11-13433</t>
  </si>
  <si>
    <t>11-13490</t>
  </si>
  <si>
    <t>11-13367</t>
  </si>
  <si>
    <t>11-13370</t>
  </si>
  <si>
    <t>11-13377</t>
  </si>
  <si>
    <t>11-13351</t>
  </si>
  <si>
    <t>11-13355</t>
  </si>
  <si>
    <t>11-13359</t>
  </si>
  <si>
    <t>11-01470</t>
  </si>
  <si>
    <t>11-01519</t>
  </si>
  <si>
    <t>11-01571</t>
  </si>
  <si>
    <t>11-01620</t>
  </si>
  <si>
    <t>11-01635</t>
  </si>
  <si>
    <t>11-01655</t>
  </si>
  <si>
    <t>11-09199</t>
  </si>
  <si>
    <t>11-01627</t>
  </si>
  <si>
    <t>11-01645</t>
  </si>
  <si>
    <t>11-01662</t>
  </si>
  <si>
    <t>11-09207</t>
  </si>
  <si>
    <t>11-01633</t>
  </si>
  <si>
    <t>11-01618</t>
  </si>
  <si>
    <t>11-01617</t>
  </si>
  <si>
    <t>11-01653</t>
  </si>
  <si>
    <t>11-01652</t>
  </si>
  <si>
    <t>11-09197</t>
  </si>
  <si>
    <t>11-09196</t>
  </si>
  <si>
    <t>11-13618</t>
  </si>
  <si>
    <t>11-13603</t>
  </si>
  <si>
    <t>11-01472</t>
  </si>
  <si>
    <t>11-01521</t>
  </si>
  <si>
    <t>11-01573</t>
  </si>
  <si>
    <t>11-01490</t>
  </si>
  <si>
    <t>11-01539</t>
  </si>
  <si>
    <t>11-01591</t>
  </si>
  <si>
    <t>11-11527</t>
  </si>
  <si>
    <t>11-11533</t>
  </si>
  <si>
    <t>11-11538</t>
  </si>
  <si>
    <t>11-01486</t>
  </si>
  <si>
    <t>11-01535</t>
  </si>
  <si>
    <t>11-01587</t>
  </si>
  <si>
    <t>11-11525</t>
  </si>
  <si>
    <t>11-11531</t>
  </si>
  <si>
    <t>11-11536</t>
  </si>
  <si>
    <t>11-01516</t>
  </si>
  <si>
    <t>11-01568</t>
  </si>
  <si>
    <t>11-01629</t>
  </si>
  <si>
    <t>11-01647</t>
  </si>
  <si>
    <t>11-01664</t>
  </si>
  <si>
    <t>11-09209</t>
  </si>
  <si>
    <t>11-01514</t>
  </si>
  <si>
    <t>11-01566</t>
  </si>
  <si>
    <t>11-01488</t>
  </si>
  <si>
    <t>11-01537</t>
  </si>
  <si>
    <t>11-01589</t>
  </si>
  <si>
    <t>11-01632</t>
  </si>
  <si>
    <t>11-01616</t>
  </si>
  <si>
    <t>11-01615</t>
  </si>
  <si>
    <t>11-03317</t>
  </si>
  <si>
    <t>11-03319</t>
  </si>
  <si>
    <t>11-03319-1</t>
  </si>
  <si>
    <t>11-03319-2</t>
  </si>
  <si>
    <t>11-03321</t>
  </si>
  <si>
    <t>11-03321-1</t>
  </si>
  <si>
    <t>11-03321-2</t>
  </si>
  <si>
    <t>11-03323</t>
  </si>
  <si>
    <t>11-03325</t>
  </si>
  <si>
    <t>11-03327</t>
  </si>
  <si>
    <t>11-03329</t>
  </si>
  <si>
    <t>11-03329-1</t>
  </si>
  <si>
    <t>11-03329-m</t>
  </si>
  <si>
    <t>11-03331</t>
  </si>
  <si>
    <t>11-03333</t>
  </si>
  <si>
    <t>11-03335</t>
  </si>
  <si>
    <t>11-03336</t>
  </si>
  <si>
    <t>11-10215</t>
  </si>
  <si>
    <t>11-03337</t>
  </si>
  <si>
    <t>11-03339</t>
  </si>
  <si>
    <t>11-03342</t>
  </si>
  <si>
    <t>11-03344</t>
  </si>
  <si>
    <t>11-03346</t>
  </si>
  <si>
    <t>11-03348</t>
  </si>
  <si>
    <t>11-03350</t>
  </si>
  <si>
    <t>11-03352</t>
  </si>
  <si>
    <t>11-03353</t>
  </si>
  <si>
    <t>11-10216</t>
  </si>
  <si>
    <t>11-03354</t>
  </si>
  <si>
    <t>11-03356</t>
  </si>
  <si>
    <t>11-07575</t>
  </si>
  <si>
    <t>11-07578</t>
  </si>
  <si>
    <t>11-07580</t>
  </si>
  <si>
    <t>11-07582</t>
  </si>
  <si>
    <t>11-07584</t>
  </si>
  <si>
    <t>11-07585</t>
  </si>
  <si>
    <t>11-07587</t>
  </si>
  <si>
    <t>11-07590</t>
  </si>
  <si>
    <t>11-07594</t>
  </si>
  <si>
    <t>11-07597</t>
  </si>
  <si>
    <t>11-07599</t>
  </si>
  <si>
    <t>11-07603</t>
  </si>
  <si>
    <t>11-07605</t>
  </si>
  <si>
    <t>11-11969</t>
  </si>
  <si>
    <t>11-11971</t>
  </si>
  <si>
    <t>11-07949</t>
  </si>
  <si>
    <t>11-07951</t>
  </si>
  <si>
    <t>11-07952</t>
  </si>
  <si>
    <t>11-07955</t>
  </si>
  <si>
    <t>11-07957</t>
  </si>
  <si>
    <t>11-11974</t>
  </si>
  <si>
    <t>11-07960</t>
  </si>
  <si>
    <t>11-07962</t>
  </si>
  <si>
    <t>11-07965</t>
  </si>
  <si>
    <t>11-07968</t>
  </si>
  <si>
    <t>11-07969</t>
  </si>
  <si>
    <t>11-11977</t>
  </si>
  <si>
    <t>11-11979</t>
  </si>
  <si>
    <t>11-07972</t>
  </si>
  <si>
    <t>11-07974</t>
  </si>
  <si>
    <t>11-07975</t>
  </si>
  <si>
    <t>11-07978</t>
  </si>
  <si>
    <t>11-07980</t>
  </si>
  <si>
    <t>11-07982</t>
  </si>
  <si>
    <t>11-07984</t>
  </si>
  <si>
    <t>11-07987</t>
  </si>
  <si>
    <t>11-07990</t>
  </si>
  <si>
    <t>11-07991</t>
  </si>
  <si>
    <t>11-11984</t>
  </si>
  <si>
    <t>11-11986</t>
  </si>
  <si>
    <t>11-07994</t>
  </si>
  <si>
    <t>11-07996</t>
  </si>
  <si>
    <t>11-07997</t>
  </si>
  <si>
    <t>11-07999</t>
  </si>
  <si>
    <t>11-08001</t>
  </si>
  <si>
    <t>11-08003</t>
  </si>
  <si>
    <t>11-11991</t>
  </si>
  <si>
    <t>11-11994</t>
  </si>
  <si>
    <t>11-08005</t>
  </si>
  <si>
    <t>11-08006</t>
  </si>
  <si>
    <t>11-11999</t>
  </si>
  <si>
    <t>11-12001</t>
  </si>
  <si>
    <t>11-12003</t>
  </si>
  <si>
    <t>11-12005</t>
  </si>
  <si>
    <t>11-12006</t>
  </si>
  <si>
    <t>11-12010</t>
  </si>
  <si>
    <t>11-12012</t>
  </si>
  <si>
    <t>11-12014</t>
  </si>
  <si>
    <t>11-12016</t>
  </si>
  <si>
    <t>11-12019</t>
  </si>
  <si>
    <t>11-12022</t>
  </si>
  <si>
    <t>11-12023</t>
  </si>
  <si>
    <t>11-12027</t>
  </si>
  <si>
    <t>11-12029</t>
  </si>
  <si>
    <t>11-12031</t>
  </si>
  <si>
    <t>11-12033</t>
  </si>
  <si>
    <t>11-12034</t>
  </si>
  <si>
    <t>11-12034-1</t>
  </si>
  <si>
    <t>11-12034-2</t>
  </si>
  <si>
    <t>11-12038</t>
  </si>
  <si>
    <t>11-12038-1</t>
  </si>
  <si>
    <t>11-12038-2</t>
  </si>
  <si>
    <t>11-12040</t>
  </si>
  <si>
    <t>11-12040-1</t>
  </si>
  <si>
    <t>11-12040-2</t>
  </si>
  <si>
    <t>11-12042</t>
  </si>
  <si>
    <t>11-12042-1</t>
  </si>
  <si>
    <t>11-12042-2</t>
  </si>
  <si>
    <t>11-12044</t>
  </si>
  <si>
    <t>11-12047</t>
  </si>
  <si>
    <t>11-12050</t>
  </si>
  <si>
    <t>11-12051</t>
  </si>
  <si>
    <t>11-12055</t>
  </si>
  <si>
    <t>11-12057</t>
  </si>
  <si>
    <t>11-12059</t>
  </si>
  <si>
    <t>11-12061</t>
  </si>
  <si>
    <t>11-12062</t>
  </si>
  <si>
    <t>11-12062-1</t>
  </si>
  <si>
    <t>11-12062-2</t>
  </si>
  <si>
    <t>11-12066</t>
  </si>
  <si>
    <t>11-12068</t>
  </si>
  <si>
    <t>11-12068-1</t>
  </si>
  <si>
    <t>11-12068-2</t>
  </si>
  <si>
    <t>11-12070</t>
  </si>
  <si>
    <t>11-12072</t>
  </si>
  <si>
    <t>11-12075</t>
  </si>
  <si>
    <t>11-12078</t>
  </si>
  <si>
    <t>11-12079</t>
  </si>
  <si>
    <t>11-12083</t>
  </si>
  <si>
    <t>11-12085</t>
  </si>
  <si>
    <t>11-12087</t>
  </si>
  <si>
    <t>11-12089</t>
  </si>
  <si>
    <t>11-12090</t>
  </si>
  <si>
    <t>11-12090-1</t>
  </si>
  <si>
    <t>11-12090-2</t>
  </si>
  <si>
    <t>11-12094</t>
  </si>
  <si>
    <t>11-12096</t>
  </si>
  <si>
    <t>11-12096-1</t>
  </si>
  <si>
    <t>11-12096-2</t>
  </si>
  <si>
    <t>11-12098</t>
  </si>
  <si>
    <t>11-12100</t>
  </si>
  <si>
    <t>11-12101</t>
  </si>
  <si>
    <t>11-12104</t>
  </si>
  <si>
    <t>11-12106</t>
  </si>
  <si>
    <t>11-12107</t>
  </si>
  <si>
    <t>11-12109</t>
  </si>
  <si>
    <t>11-12111</t>
  </si>
  <si>
    <t>11-12113</t>
  </si>
  <si>
    <t>11-12115</t>
  </si>
  <si>
    <t>11-12119</t>
  </si>
  <si>
    <t>11-12121</t>
  </si>
  <si>
    <t>11-12123</t>
  </si>
  <si>
    <t>11-12125</t>
  </si>
  <si>
    <t>11-12126</t>
  </si>
  <si>
    <t>11-12130</t>
  </si>
  <si>
    <t>11-12132</t>
  </si>
  <si>
    <t>11-12134</t>
  </si>
  <si>
    <t>11-12136</t>
  </si>
  <si>
    <t>11-12139</t>
  </si>
  <si>
    <t>11-12142</t>
  </si>
  <si>
    <t>11-12143</t>
  </si>
  <si>
    <t>11-12145</t>
  </si>
  <si>
    <t>11-12148</t>
  </si>
  <si>
    <t>11-12150</t>
  </si>
  <si>
    <t>11-08010</t>
  </si>
  <si>
    <t>11-08012</t>
  </si>
  <si>
    <t>11-08013</t>
  </si>
  <si>
    <t>11-08013-1</t>
  </si>
  <si>
    <t>11-08013-2</t>
  </si>
  <si>
    <t>11-08016</t>
  </si>
  <si>
    <t>11-08018</t>
  </si>
  <si>
    <t>11-08018-1</t>
  </si>
  <si>
    <t>11-08018-2</t>
  </si>
  <si>
    <t>11-12153</t>
  </si>
  <si>
    <t>11-08021</t>
  </si>
  <si>
    <t>11-08023</t>
  </si>
  <si>
    <t>11-08026</t>
  </si>
  <si>
    <t>11-08029</t>
  </si>
  <si>
    <t>11-08030</t>
  </si>
  <si>
    <t>11-12156</t>
  </si>
  <si>
    <t>11-12158</t>
  </si>
  <si>
    <t>11-08033</t>
  </si>
  <si>
    <t>11-08035</t>
  </si>
  <si>
    <t>11-08036</t>
  </si>
  <si>
    <t>11-08039</t>
  </si>
  <si>
    <t>11-08041</t>
  </si>
  <si>
    <t>11-08043</t>
  </si>
  <si>
    <t>11-08045</t>
  </si>
  <si>
    <t>11-08048</t>
  </si>
  <si>
    <t>11-08051</t>
  </si>
  <si>
    <t>11-08052</t>
  </si>
  <si>
    <t>11-12163</t>
  </si>
  <si>
    <t>11-12165</t>
  </si>
  <si>
    <t>11-08055</t>
  </si>
  <si>
    <t>11-08057</t>
  </si>
  <si>
    <t>11-08058</t>
  </si>
  <si>
    <t>11-08058-1</t>
  </si>
  <si>
    <t>11-08058-2</t>
  </si>
  <si>
    <t>11-08060</t>
  </si>
  <si>
    <t>11-08060-1</t>
  </si>
  <si>
    <t>11-08060-2</t>
  </si>
  <si>
    <t>11-08062</t>
  </si>
  <si>
    <t>11-08062-1</t>
  </si>
  <si>
    <t>11-08062-2</t>
  </si>
  <si>
    <t>11-08064</t>
  </si>
  <si>
    <t>11-08064-1</t>
  </si>
  <si>
    <t>11-08064-2</t>
  </si>
  <si>
    <t>11-12170</t>
  </si>
  <si>
    <t>11-12173</t>
  </si>
  <si>
    <t>11-08066</t>
  </si>
  <si>
    <t>11-08067</t>
  </si>
  <si>
    <t>11-12178</t>
  </si>
  <si>
    <t>11-12180</t>
  </si>
  <si>
    <t>11-12182</t>
  </si>
  <si>
    <t>11-12184</t>
  </si>
  <si>
    <t>11-12185</t>
  </si>
  <si>
    <t>11-12185-1</t>
  </si>
  <si>
    <t>11-12185-2</t>
  </si>
  <si>
    <t>11-12189</t>
  </si>
  <si>
    <t>11-12191</t>
  </si>
  <si>
    <t>11-12191-1</t>
  </si>
  <si>
    <t>11-12191-2</t>
  </si>
  <si>
    <t>11-12193</t>
  </si>
  <si>
    <t>11-12195</t>
  </si>
  <si>
    <t>11-12198</t>
  </si>
  <si>
    <t>11-12201</t>
  </si>
  <si>
    <t>11-12202</t>
  </si>
  <si>
    <t>11-12206</t>
  </si>
  <si>
    <t>11-12208</t>
  </si>
  <si>
    <t>11-12210</t>
  </si>
  <si>
    <t>11-12212</t>
  </si>
  <si>
    <t>11-12213</t>
  </si>
  <si>
    <t>11-12213-1</t>
  </si>
  <si>
    <t>11-12213-2</t>
  </si>
  <si>
    <t>11-12217</t>
  </si>
  <si>
    <t>11-12217-1</t>
  </si>
  <si>
    <t>11-12217-2</t>
  </si>
  <si>
    <t>11-12219</t>
  </si>
  <si>
    <t>11-12219-1</t>
  </si>
  <si>
    <t>11-12219-2</t>
  </si>
  <si>
    <t>11-12221</t>
  </si>
  <si>
    <t>11-12221-1</t>
  </si>
  <si>
    <t>11-12221-2</t>
  </si>
  <si>
    <t>11-12223</t>
  </si>
  <si>
    <t>11-12224</t>
  </si>
  <si>
    <t>11-12228</t>
  </si>
  <si>
    <t>11-12230</t>
  </si>
  <si>
    <t>11-12232</t>
  </si>
  <si>
    <t>11-12234</t>
  </si>
  <si>
    <t>11-12235</t>
  </si>
  <si>
    <t>11-12239</t>
  </si>
  <si>
    <t>11-12241</t>
  </si>
  <si>
    <t>11-12243</t>
  </si>
  <si>
    <t>11-12245</t>
  </si>
  <si>
    <t>11-12248</t>
  </si>
  <si>
    <t>11-12251</t>
  </si>
  <si>
    <t>11-12252</t>
  </si>
  <si>
    <t>11-12255</t>
  </si>
  <si>
    <t>11-12257</t>
  </si>
  <si>
    <t>11-12258</t>
  </si>
  <si>
    <t>11-12260</t>
  </si>
  <si>
    <t>11-12262</t>
  </si>
  <si>
    <t>11-12264</t>
  </si>
  <si>
    <t>11-12266</t>
  </si>
  <si>
    <t>11-12268</t>
  </si>
  <si>
    <t>11-08071</t>
  </si>
  <si>
    <t>11-08073</t>
  </si>
  <si>
    <t>11-08074</t>
  </si>
  <si>
    <t>11-08077</t>
  </si>
  <si>
    <t>11-08079</t>
  </si>
  <si>
    <t>11-08082</t>
  </si>
  <si>
    <t>11-08084</t>
  </si>
  <si>
    <t>11-08087</t>
  </si>
  <si>
    <t>11-08090</t>
  </si>
  <si>
    <t>11-08091</t>
  </si>
  <si>
    <t>11-08094</t>
  </si>
  <si>
    <t>11-08096</t>
  </si>
  <si>
    <t>11-08097</t>
  </si>
  <si>
    <t>11-08100</t>
  </si>
  <si>
    <t>11-08102</t>
  </si>
  <si>
    <t>11-08104</t>
  </si>
  <si>
    <t>11-08106</t>
  </si>
  <si>
    <t>11-08109</t>
  </si>
  <si>
    <t>11-08112</t>
  </si>
  <si>
    <t>11-08113</t>
  </si>
  <si>
    <t>11-08116</t>
  </si>
  <si>
    <t>11-08118</t>
  </si>
  <si>
    <t>11-08119</t>
  </si>
  <si>
    <t>11-08121</t>
  </si>
  <si>
    <t>11-08123</t>
  </si>
  <si>
    <t>11-08125</t>
  </si>
  <si>
    <t>11-08127</t>
  </si>
  <si>
    <t>11-08128</t>
  </si>
  <si>
    <t>11-12272</t>
  </si>
  <si>
    <t>11-12274</t>
  </si>
  <si>
    <t>11-12275</t>
  </si>
  <si>
    <t>11-12279</t>
  </si>
  <si>
    <t>11-12281</t>
  </si>
  <si>
    <t>11-12283</t>
  </si>
  <si>
    <t>11-12285</t>
  </si>
  <si>
    <t>11-12288</t>
  </si>
  <si>
    <t>11-12291</t>
  </si>
  <si>
    <t>11-12294</t>
  </si>
  <si>
    <t>11-12295</t>
  </si>
  <si>
    <t>11-12298</t>
  </si>
  <si>
    <t>11-12300</t>
  </si>
  <si>
    <t>11-12301</t>
  </si>
  <si>
    <t>11-12305</t>
  </si>
  <si>
    <t>11-12307</t>
  </si>
  <si>
    <t>11-12309</t>
  </si>
  <si>
    <t>11-12311</t>
  </si>
  <si>
    <t>11-12314</t>
  </si>
  <si>
    <t>11-12317</t>
  </si>
  <si>
    <t>11-12318</t>
  </si>
  <si>
    <t>11-12321</t>
  </si>
  <si>
    <t>11-12323</t>
  </si>
  <si>
    <t>11-12324</t>
  </si>
  <si>
    <t>11-12325</t>
  </si>
  <si>
    <t>11-12326</t>
  </si>
  <si>
    <t>11-12328</t>
  </si>
  <si>
    <t>11-12330</t>
  </si>
  <si>
    <t>11-12332</t>
  </si>
  <si>
    <t>11-12334</t>
  </si>
  <si>
    <t>11-12336</t>
  </si>
  <si>
    <t>11-08132</t>
  </si>
  <si>
    <t>11-08134</t>
  </si>
  <si>
    <t>11-08135</t>
  </si>
  <si>
    <t>11-08135-1</t>
  </si>
  <si>
    <t>11-08138</t>
  </si>
  <si>
    <t>11-08140</t>
  </si>
  <si>
    <t>11-08140-1</t>
  </si>
  <si>
    <t>11-08143</t>
  </si>
  <si>
    <t>11-08145</t>
  </si>
  <si>
    <t>11-08148</t>
  </si>
  <si>
    <t>11-08151</t>
  </si>
  <si>
    <t>11-08152</t>
  </si>
  <si>
    <t>11-08155</t>
  </si>
  <si>
    <t>11-08157</t>
  </si>
  <si>
    <t>11-08158</t>
  </si>
  <si>
    <t>11-08158-1</t>
  </si>
  <si>
    <t>11-08158-2</t>
  </si>
  <si>
    <t>11-08161</t>
  </si>
  <si>
    <t>11-08161-1</t>
  </si>
  <si>
    <t>11-08161-2</t>
  </si>
  <si>
    <t>11-08163</t>
  </si>
  <si>
    <t>11-08163-1</t>
  </si>
  <si>
    <t>11-08163-2</t>
  </si>
  <si>
    <t>11-08165</t>
  </si>
  <si>
    <t>11-08167</t>
  </si>
  <si>
    <t>11-08170</t>
  </si>
  <si>
    <t>11-08173</t>
  </si>
  <si>
    <t>11-08174</t>
  </si>
  <si>
    <t>11-08177</t>
  </si>
  <si>
    <t>11-08179</t>
  </si>
  <si>
    <t>11-08180</t>
  </si>
  <si>
    <t>11-08182</t>
  </si>
  <si>
    <t>11-08184</t>
  </si>
  <si>
    <t>11-08186</t>
  </si>
  <si>
    <t>11-08188</t>
  </si>
  <si>
    <t>11-08189</t>
  </si>
  <si>
    <t>11-12340</t>
  </si>
  <si>
    <t>11-12342</t>
  </si>
  <si>
    <t>11-12343</t>
  </si>
  <si>
    <t>11-12344</t>
  </si>
  <si>
    <t>11-12345</t>
  </si>
  <si>
    <t>11-12347</t>
  </si>
  <si>
    <t>11-12349</t>
  </si>
  <si>
    <t>11-12351</t>
  </si>
  <si>
    <t>11-12353</t>
  </si>
  <si>
    <t>11-12356</t>
  </si>
  <si>
    <t>11-12358</t>
  </si>
  <si>
    <t>11-12359</t>
  </si>
  <si>
    <t>11-12363</t>
  </si>
  <si>
    <t>11-12365</t>
  </si>
  <si>
    <t>11-12367</t>
  </si>
  <si>
    <t>11-12369</t>
  </si>
  <si>
    <t>11-12372</t>
  </si>
  <si>
    <t>11-12375</t>
  </si>
  <si>
    <t>11-12376</t>
  </si>
  <si>
    <t>11-12379</t>
  </si>
  <si>
    <t>11-12381</t>
  </si>
  <si>
    <t>11-12382</t>
  </si>
  <si>
    <t>11-12383</t>
  </si>
  <si>
    <t>11-12384</t>
  </si>
  <si>
    <t>11-12386</t>
  </si>
  <si>
    <t>11-12388</t>
  </si>
  <si>
    <t>11-12390</t>
  </si>
  <si>
    <t>11-12392</t>
  </si>
  <si>
    <t>11-12394</t>
  </si>
  <si>
    <t>11-14043</t>
  </si>
  <si>
    <t>11-14045</t>
  </si>
  <si>
    <t>11-12398</t>
  </si>
  <si>
    <t>11-14047</t>
  </si>
  <si>
    <t>11-14049</t>
  </si>
  <si>
    <t>11-16495</t>
  </si>
  <si>
    <t>11-14051</t>
  </si>
  <si>
    <t>11-14052</t>
  </si>
  <si>
    <t>11-14054</t>
  </si>
  <si>
    <t>11-14056</t>
  </si>
  <si>
    <t>11-14058</t>
  </si>
  <si>
    <t>11-14058-2</t>
  </si>
  <si>
    <t>11-12401</t>
  </si>
  <si>
    <t>11-14060</t>
  </si>
  <si>
    <t>11-14062</t>
  </si>
  <si>
    <t>11-16496</t>
  </si>
  <si>
    <t>11-14064</t>
  </si>
  <si>
    <t>11-14065</t>
  </si>
  <si>
    <t>11-14067</t>
  </si>
  <si>
    <t>11-14069</t>
  </si>
  <si>
    <t>11-14069-1</t>
  </si>
  <si>
    <t>11-14069-2</t>
  </si>
  <si>
    <t>11-14071</t>
  </si>
  <si>
    <t>11-14071-1</t>
  </si>
  <si>
    <t>11-14071-2</t>
  </si>
  <si>
    <t>11-12404</t>
  </si>
  <si>
    <t>11-14073</t>
  </si>
  <si>
    <t>11-14075</t>
  </si>
  <si>
    <t>11-16497</t>
  </si>
  <si>
    <t>11-14077</t>
  </si>
  <si>
    <t>11-14078</t>
  </si>
  <si>
    <t>11-14080</t>
  </si>
  <si>
    <t>11-14082</t>
  </si>
  <si>
    <t>11-14084</t>
  </si>
  <si>
    <t>11-12407</t>
  </si>
  <si>
    <t>11-14086</t>
  </si>
  <si>
    <t>11-14088</t>
  </si>
  <si>
    <t>11-16498</t>
  </si>
  <si>
    <t>11-14090</t>
  </si>
  <si>
    <t>11-14091</t>
  </si>
  <si>
    <t>11-14093</t>
  </si>
  <si>
    <t>11-14095</t>
  </si>
  <si>
    <t>11-14097</t>
  </si>
  <si>
    <t>11-14097-2</t>
  </si>
  <si>
    <t>11-12410</t>
  </si>
  <si>
    <t>11-14099</t>
  </si>
  <si>
    <t>11-14101</t>
  </si>
  <si>
    <t>11-16499</t>
  </si>
  <si>
    <t>11-14103</t>
  </si>
  <si>
    <t>11-14104</t>
  </si>
  <si>
    <t>11-14106</t>
  </si>
  <si>
    <t>11-14108</t>
  </si>
  <si>
    <t>11-14110</t>
  </si>
  <si>
    <t>11-12413</t>
  </si>
  <si>
    <t>11-14112</t>
  </si>
  <si>
    <t>11-14114</t>
  </si>
  <si>
    <t>11-16500</t>
  </si>
  <si>
    <t>11-14116</t>
  </si>
  <si>
    <t>11-14117</t>
  </si>
  <si>
    <t>11-14119</t>
  </si>
  <si>
    <t>11-14121</t>
  </si>
  <si>
    <t>11-14123</t>
  </si>
  <si>
    <t>11-12416</t>
  </si>
  <si>
    <t>11-14125</t>
  </si>
  <si>
    <t>11-14127</t>
  </si>
  <si>
    <t>11-14129</t>
  </si>
  <si>
    <t>11-16501</t>
  </si>
  <si>
    <t>11-14131</t>
  </si>
  <si>
    <t>11-14132</t>
  </si>
  <si>
    <t>11-14134</t>
  </si>
  <si>
    <t>11-14136</t>
  </si>
  <si>
    <t>11-14138</t>
  </si>
  <si>
    <t>11-12419</t>
  </si>
  <si>
    <t>11-14140</t>
  </si>
  <si>
    <t>11-14142</t>
  </si>
  <si>
    <t>11-16502</t>
  </si>
  <si>
    <t>11-14144</t>
  </si>
  <si>
    <t>11-14145</t>
  </si>
  <si>
    <t>11-14147</t>
  </si>
  <si>
    <t>11-14149</t>
  </si>
  <si>
    <t>11-14151</t>
  </si>
  <si>
    <t>11-12422</t>
  </si>
  <si>
    <t>11-14153</t>
  </si>
  <si>
    <t>11-14155</t>
  </si>
  <si>
    <t>11-14157</t>
  </si>
  <si>
    <t>11-16503</t>
  </si>
  <si>
    <t>11-14159</t>
  </si>
  <si>
    <t>11-14160</t>
  </si>
  <si>
    <t>11-14162</t>
  </si>
  <si>
    <t>11-14164</t>
  </si>
  <si>
    <t>11-14166</t>
  </si>
  <si>
    <t>11-12425</t>
  </si>
  <si>
    <t>11-14168</t>
  </si>
  <si>
    <t>11-14170</t>
  </si>
  <si>
    <t>11-14172</t>
  </si>
  <si>
    <t>11-16504</t>
  </si>
  <si>
    <t>11-14174</t>
  </si>
  <si>
    <t>11-14175</t>
  </si>
  <si>
    <t>11-14177</t>
  </si>
  <si>
    <t>11-14179</t>
  </si>
  <si>
    <t>11-14181</t>
  </si>
  <si>
    <t>11-14181-2</t>
  </si>
  <si>
    <t>11-12428</t>
  </si>
  <si>
    <t>11-14183</t>
  </si>
  <si>
    <t>11-14185</t>
  </si>
  <si>
    <t>11-16505</t>
  </si>
  <si>
    <t>11-14187</t>
  </si>
  <si>
    <t>11-14188</t>
  </si>
  <si>
    <t>11-14190</t>
  </si>
  <si>
    <t>11-14192</t>
  </si>
  <si>
    <t>11-14194</t>
  </si>
  <si>
    <t>11-14194-2</t>
  </si>
  <si>
    <t>11-12431</t>
  </si>
  <si>
    <t>11-14196</t>
  </si>
  <si>
    <t>11-14198</t>
  </si>
  <si>
    <t>11-16506</t>
  </si>
  <si>
    <t>11-14200</t>
  </si>
  <si>
    <t>11-14201</t>
  </si>
  <si>
    <t>11-14203</t>
  </si>
  <si>
    <t>11-14205</t>
  </si>
  <si>
    <t>11-14205-1</t>
  </si>
  <si>
    <t>11-14205-2</t>
  </si>
  <si>
    <t>11-14207</t>
  </si>
  <si>
    <t>11-14207-1</t>
  </si>
  <si>
    <t>11-14207-2</t>
  </si>
  <si>
    <t>11-12434</t>
  </si>
  <si>
    <t>11-14209</t>
  </si>
  <si>
    <t>11-14211</t>
  </si>
  <si>
    <t>11-16507</t>
  </si>
  <si>
    <t>11-14213</t>
  </si>
  <si>
    <t>11-14214</t>
  </si>
  <si>
    <t>11-14216</t>
  </si>
  <si>
    <t>11-14218</t>
  </si>
  <si>
    <t>11-14220</t>
  </si>
  <si>
    <t>11-12437</t>
  </si>
  <si>
    <t>11-14222</t>
  </si>
  <si>
    <t>11-14224</t>
  </si>
  <si>
    <t>11-16508</t>
  </si>
  <si>
    <t>11-14226</t>
  </si>
  <si>
    <t>11-14227</t>
  </si>
  <si>
    <t>11-14229</t>
  </si>
  <si>
    <t>11-14231</t>
  </si>
  <si>
    <t>11-14233</t>
  </si>
  <si>
    <t>11-12440</t>
  </si>
  <si>
    <t>11-14235</t>
  </si>
  <si>
    <t>11-14237</t>
  </si>
  <si>
    <t>11-16509</t>
  </si>
  <si>
    <t>11-14239</t>
  </si>
  <si>
    <t>11-14240</t>
  </si>
  <si>
    <t>11-14242</t>
  </si>
  <si>
    <t>11-14244</t>
  </si>
  <si>
    <t>11-14246</t>
  </si>
  <si>
    <t>11-12443</t>
  </si>
  <si>
    <t>11-14248</t>
  </si>
  <si>
    <t>11-14250</t>
  </si>
  <si>
    <t>11-16510</t>
  </si>
  <si>
    <t>11-14252</t>
  </si>
  <si>
    <t>11-14253</t>
  </si>
  <si>
    <t>11-14255</t>
  </si>
  <si>
    <t>11-14257</t>
  </si>
  <si>
    <t>11-14259</t>
  </si>
  <si>
    <t>11-14259-2</t>
  </si>
  <si>
    <t>11-12446</t>
  </si>
  <si>
    <t>11-14261</t>
  </si>
  <si>
    <t>11-14263</t>
  </si>
  <si>
    <t>11-16511</t>
  </si>
  <si>
    <t>11-14265</t>
  </si>
  <si>
    <t>11-14266</t>
  </si>
  <si>
    <t>11-14268</t>
  </si>
  <si>
    <t>11-14270</t>
  </si>
  <si>
    <t>11-14272</t>
  </si>
  <si>
    <t>11-12449</t>
  </si>
  <si>
    <t>11-14274</t>
  </si>
  <si>
    <t>11-14276</t>
  </si>
  <si>
    <t>11-16512</t>
  </si>
  <si>
    <t>11-14278</t>
  </si>
  <si>
    <t>11-14279</t>
  </si>
  <si>
    <t>11-14281</t>
  </si>
  <si>
    <t>11-14283</t>
  </si>
  <si>
    <t>11-14285</t>
  </si>
  <si>
    <t>11-12452</t>
  </si>
  <si>
    <t>11-14287</t>
  </si>
  <si>
    <t>11-14289</t>
  </si>
  <si>
    <t>11-16513</t>
  </si>
  <si>
    <t>11-14291</t>
  </si>
  <si>
    <t>11-14292</t>
  </si>
  <si>
    <t>11-14294</t>
  </si>
  <si>
    <t>11-14296</t>
  </si>
  <si>
    <t>11-14298</t>
  </si>
  <si>
    <t>11-12455</t>
  </si>
  <si>
    <t>11-14300</t>
  </si>
  <si>
    <t>11-14302</t>
  </si>
  <si>
    <t>11-16514</t>
  </si>
  <si>
    <t>11-14304</t>
  </si>
  <si>
    <t>11-14305</t>
  </si>
  <si>
    <t>11-14307</t>
  </si>
  <si>
    <t>11-14309</t>
  </si>
  <si>
    <t>11-14309-1</t>
  </si>
  <si>
    <t>11-14309-2</t>
  </si>
  <si>
    <t>11-14311</t>
  </si>
  <si>
    <t>11-14311-1</t>
  </si>
  <si>
    <t>11-14311-2</t>
  </si>
  <si>
    <t>11-14313</t>
  </si>
  <si>
    <t>11-14315</t>
  </si>
  <si>
    <t>11-14315-1</t>
  </si>
  <si>
    <t>11-14317</t>
  </si>
  <si>
    <t>11-14319</t>
  </si>
  <si>
    <t>11-14321</t>
  </si>
  <si>
    <t>11-14323</t>
  </si>
  <si>
    <t>11-14325</t>
  </si>
  <si>
    <t>11-12459</t>
  </si>
  <si>
    <t>11-14327</t>
  </si>
  <si>
    <t>11-14328</t>
  </si>
  <si>
    <t>11-14329</t>
  </si>
  <si>
    <t>11-14330</t>
  </si>
  <si>
    <t>11-14331</t>
  </si>
  <si>
    <t>11-14333</t>
  </si>
  <si>
    <t>11-14335</t>
  </si>
  <si>
    <t>11-14337</t>
  </si>
  <si>
    <t>11-14337-2</t>
  </si>
  <si>
    <t>11-14339</t>
  </si>
  <si>
    <t>11-14341</t>
  </si>
  <si>
    <t>11-14341-1</t>
  </si>
  <si>
    <t>11-14343</t>
  </si>
  <si>
    <t>11-14345</t>
  </si>
  <si>
    <t>11-14347</t>
  </si>
  <si>
    <t>11-14349</t>
  </si>
  <si>
    <t>11-14351</t>
  </si>
  <si>
    <t>11-12462</t>
  </si>
  <si>
    <t>11-14353</t>
  </si>
  <si>
    <t>11-14354</t>
  </si>
  <si>
    <t>11-14355</t>
  </si>
  <si>
    <t>11-14356</t>
  </si>
  <si>
    <t>11-14357</t>
  </si>
  <si>
    <t>11-14359</t>
  </si>
  <si>
    <t>11-14361</t>
  </si>
  <si>
    <t>11-14361-1</t>
  </si>
  <si>
    <t>11-14361-2</t>
  </si>
  <si>
    <t>11-14363</t>
  </si>
  <si>
    <t>11-14363-1</t>
  </si>
  <si>
    <t>11-14363-2</t>
  </si>
  <si>
    <t>11-14365</t>
  </si>
  <si>
    <t>11-14365-1</t>
  </si>
  <si>
    <t>11-14365-2</t>
  </si>
  <si>
    <t>11-14367</t>
  </si>
  <si>
    <t>11-14367-1</t>
  </si>
  <si>
    <t>11-14367-2</t>
  </si>
  <si>
    <t>11-14369</t>
  </si>
  <si>
    <t>11-14371</t>
  </si>
  <si>
    <t>11-14373</t>
  </si>
  <si>
    <t>11-14375</t>
  </si>
  <si>
    <t>11-14377</t>
  </si>
  <si>
    <t>11-12465</t>
  </si>
  <si>
    <t>11-14379</t>
  </si>
  <si>
    <t>11-14380</t>
  </si>
  <si>
    <t>11-14381</t>
  </si>
  <si>
    <t>11-14382</t>
  </si>
  <si>
    <t>11-14383</t>
  </si>
  <si>
    <t>11-14385</t>
  </si>
  <si>
    <t>11-14387</t>
  </si>
  <si>
    <t>11-14389</t>
  </si>
  <si>
    <t>11-14391</t>
  </si>
  <si>
    <t>11-14393</t>
  </si>
  <si>
    <t>11-14395</t>
  </si>
  <si>
    <t>11-14397</t>
  </si>
  <si>
    <t>11-14399</t>
  </si>
  <si>
    <t>11-14401</t>
  </si>
  <si>
    <t>11-14403</t>
  </si>
  <si>
    <t>11-12468</t>
  </si>
  <si>
    <t>11-14405</t>
  </si>
  <si>
    <t>11-14406</t>
  </si>
  <si>
    <t>11-14407</t>
  </si>
  <si>
    <t>11-14408</t>
  </si>
  <si>
    <t>11-14409</t>
  </si>
  <si>
    <t>11-14411</t>
  </si>
  <si>
    <t>11-14413</t>
  </si>
  <si>
    <t>11-14415</t>
  </si>
  <si>
    <t>11-14415-1</t>
  </si>
  <si>
    <t>11-14415-2</t>
  </si>
  <si>
    <t>11-14417</t>
  </si>
  <si>
    <t>11-14419</t>
  </si>
  <si>
    <t>11-14421</t>
  </si>
  <si>
    <t>11-14423</t>
  </si>
  <si>
    <t>11-14425</t>
  </si>
  <si>
    <t>11-14427</t>
  </si>
  <si>
    <t>11-14429</t>
  </si>
  <si>
    <t>11-12471</t>
  </si>
  <si>
    <t>11-14431</t>
  </si>
  <si>
    <t>11-14432</t>
  </si>
  <si>
    <t>11-14433</t>
  </si>
  <si>
    <t>11-14434</t>
  </si>
  <si>
    <t>11-14435</t>
  </si>
  <si>
    <t>11-14437</t>
  </si>
  <si>
    <t>11-14439</t>
  </si>
  <si>
    <t>11-14441</t>
  </si>
  <si>
    <t>11-14441-2</t>
  </si>
  <si>
    <t>11-14443</t>
  </si>
  <si>
    <t>11-14445</t>
  </si>
  <si>
    <t>11-14447</t>
  </si>
  <si>
    <t>11-14449</t>
  </si>
  <si>
    <t>11-14451</t>
  </si>
  <si>
    <t>11-14453</t>
  </si>
  <si>
    <t>11-14455</t>
  </si>
  <si>
    <t>11-12474</t>
  </si>
  <si>
    <t>11-14457</t>
  </si>
  <si>
    <t>11-14458</t>
  </si>
  <si>
    <t>11-14459</t>
  </si>
  <si>
    <t>11-14460</t>
  </si>
  <si>
    <t>11-14461</t>
  </si>
  <si>
    <t>11-14463</t>
  </si>
  <si>
    <t>11-14465</t>
  </si>
  <si>
    <t>11-14467</t>
  </si>
  <si>
    <t>11-12478</t>
  </si>
  <si>
    <t>11-14469</t>
  </si>
  <si>
    <t>11-14471</t>
  </si>
  <si>
    <t>11-16788</t>
  </si>
  <si>
    <t>11-14473</t>
  </si>
  <si>
    <t>11-14474</t>
  </si>
  <si>
    <t>11-14476</t>
  </si>
  <si>
    <t>11-14478</t>
  </si>
  <si>
    <t>11-14480</t>
  </si>
  <si>
    <t>11-12481</t>
  </si>
  <si>
    <t>11-14482</t>
  </si>
  <si>
    <t>11-14484</t>
  </si>
  <si>
    <t>11-16789</t>
  </si>
  <si>
    <t>11-14486</t>
  </si>
  <si>
    <t>11-14487</t>
  </si>
  <si>
    <t>11-14489</t>
  </si>
  <si>
    <t>11-14491</t>
  </si>
  <si>
    <t>11-14493</t>
  </si>
  <si>
    <t>11-12484</t>
  </si>
  <si>
    <t>11-14495</t>
  </si>
  <si>
    <t>11-14497</t>
  </si>
  <si>
    <t>11-16790</t>
  </si>
  <si>
    <t>11-14499</t>
  </si>
  <si>
    <t>11-14500</t>
  </si>
  <si>
    <t>11-14502</t>
  </si>
  <si>
    <t>11-14504</t>
  </si>
  <si>
    <t>11-14506</t>
  </si>
  <si>
    <t>11-12487</t>
  </si>
  <si>
    <t>11-14508</t>
  </si>
  <si>
    <t>11-14510</t>
  </si>
  <si>
    <t>11-16791</t>
  </si>
  <si>
    <t>11-14512</t>
  </si>
  <si>
    <t>11-14513</t>
  </si>
  <si>
    <t>11-14515</t>
  </si>
  <si>
    <t>11-14517</t>
  </si>
  <si>
    <t>11-14517-1</t>
  </si>
  <si>
    <t>11-14517-2</t>
  </si>
  <si>
    <t>11-14519</t>
  </si>
  <si>
    <t>11-14519-1</t>
  </si>
  <si>
    <t>11-14519-2</t>
  </si>
  <si>
    <t>11-12490</t>
  </si>
  <si>
    <t>11-14521</t>
  </si>
  <si>
    <t>11-14523</t>
  </si>
  <si>
    <t>11-16792</t>
  </si>
  <si>
    <t>11-14525</t>
  </si>
  <si>
    <t>11-14526</t>
  </si>
  <si>
    <t>11-14528</t>
  </si>
  <si>
    <t>11-14530</t>
  </si>
  <si>
    <t>11-14530-1</t>
  </si>
  <si>
    <t>11-14530-2</t>
  </si>
  <si>
    <t>11-14532</t>
  </si>
  <si>
    <t>11-14532-1</t>
  </si>
  <si>
    <t>11-14532-2</t>
  </si>
  <si>
    <t>11-12493</t>
  </si>
  <si>
    <t>11-14534</t>
  </si>
  <si>
    <t>11-14536</t>
  </si>
  <si>
    <t>11-14538</t>
  </si>
  <si>
    <t>11-16793</t>
  </si>
  <si>
    <t>11-14540</t>
  </si>
  <si>
    <t>11-14541</t>
  </si>
  <si>
    <t>11-14543</t>
  </si>
  <si>
    <t>11-14545</t>
  </si>
  <si>
    <t>11-14545-1</t>
  </si>
  <si>
    <t>11-14545-2</t>
  </si>
  <si>
    <t>11-14547</t>
  </si>
  <si>
    <t>11-14547-1</t>
  </si>
  <si>
    <t>11-14547-2</t>
  </si>
  <si>
    <t>11-12496</t>
  </si>
  <si>
    <t>11-14549</t>
  </si>
  <si>
    <t>11-14551</t>
  </si>
  <si>
    <t>11-16794</t>
  </si>
  <si>
    <t>11-14553</t>
  </si>
  <si>
    <t>11-14554</t>
  </si>
  <si>
    <t>11-14556</t>
  </si>
  <si>
    <t>11-14558</t>
  </si>
  <si>
    <t>11-14560</t>
  </si>
  <si>
    <t>11-12499</t>
  </si>
  <si>
    <t>11-14562</t>
  </si>
  <si>
    <t>11-14564</t>
  </si>
  <si>
    <t>11-16795</t>
  </si>
  <si>
    <t>11-14566</t>
  </si>
  <si>
    <t>11-14567</t>
  </si>
  <si>
    <t>11-14569</t>
  </si>
  <si>
    <t>11-14571</t>
  </si>
  <si>
    <t>11-14573</t>
  </si>
  <si>
    <t>11-12502</t>
  </si>
  <si>
    <t>11-14575</t>
  </si>
  <si>
    <t>11-14577</t>
  </si>
  <si>
    <t>11-16796</t>
  </si>
  <si>
    <t>11-14579</t>
  </si>
  <si>
    <t>11-14580</t>
  </si>
  <si>
    <t>11-14582</t>
  </si>
  <si>
    <t>11-14584</t>
  </si>
  <si>
    <t>11-14584-1</t>
  </si>
  <si>
    <t>11-14584-2</t>
  </si>
  <si>
    <t>11-14586</t>
  </si>
  <si>
    <t>11-14586-1</t>
  </si>
  <si>
    <t>11-14586-2</t>
  </si>
  <si>
    <t>11-12505</t>
  </si>
  <si>
    <t>11-14588</t>
  </si>
  <si>
    <t>11-14590</t>
  </si>
  <si>
    <t>11-16798</t>
  </si>
  <si>
    <t>11-14592</t>
  </si>
  <si>
    <t>11-14593</t>
  </si>
  <si>
    <t>11-14595</t>
  </si>
  <si>
    <t>11-14597</t>
  </si>
  <si>
    <t>11-14599</t>
  </si>
  <si>
    <t>11-12508</t>
  </si>
  <si>
    <t>11-14601</t>
  </si>
  <si>
    <t>11-14603</t>
  </si>
  <si>
    <t>11-16800</t>
  </si>
  <si>
    <t>11-14605</t>
  </si>
  <si>
    <t>11-14606</t>
  </si>
  <si>
    <t>11-14608</t>
  </si>
  <si>
    <t>11-14610</t>
  </si>
  <si>
    <t>11-14612</t>
  </si>
  <si>
    <t>11-12511</t>
  </si>
  <si>
    <t>11-14614</t>
  </si>
  <si>
    <t>11-14616</t>
  </si>
  <si>
    <t>11-16802</t>
  </si>
  <si>
    <t>11-14618</t>
  </si>
  <si>
    <t>11-14619</t>
  </si>
  <si>
    <t>11-14621</t>
  </si>
  <si>
    <t>11-14623</t>
  </si>
  <si>
    <t>11-14625</t>
  </si>
  <si>
    <t>11-12514</t>
  </si>
  <si>
    <t>11-14627</t>
  </si>
  <si>
    <t>11-14629</t>
  </si>
  <si>
    <t>11-16804</t>
  </si>
  <si>
    <t>11-14631</t>
  </si>
  <si>
    <t>11-14632</t>
  </si>
  <si>
    <t>11-14634</t>
  </si>
  <si>
    <t>11-14636</t>
  </si>
  <si>
    <t>11-14638</t>
  </si>
  <si>
    <t>11-12517</t>
  </si>
  <si>
    <t>11-14640</t>
  </si>
  <si>
    <t>11-14642</t>
  </si>
  <si>
    <t>11-16805</t>
  </si>
  <si>
    <t>11-14644</t>
  </si>
  <si>
    <t>11-14645</t>
  </si>
  <si>
    <t>11-14647</t>
  </si>
  <si>
    <t>11-14649</t>
  </si>
  <si>
    <t>11-14651</t>
  </si>
  <si>
    <t>11-14651-2</t>
  </si>
  <si>
    <t>11-12520</t>
  </si>
  <si>
    <t>11-14653</t>
  </si>
  <si>
    <t>11-14655</t>
  </si>
  <si>
    <t>11-16806</t>
  </si>
  <si>
    <t>11-14657</t>
  </si>
  <si>
    <t>11-14658</t>
  </si>
  <si>
    <t>11-14660</t>
  </si>
  <si>
    <t>11-14662</t>
  </si>
  <si>
    <t>11-14662-1</t>
  </si>
  <si>
    <t>11-14662-2</t>
  </si>
  <si>
    <t>11-14664</t>
  </si>
  <si>
    <t>11-14664-1</t>
  </si>
  <si>
    <t>11-14664-2</t>
  </si>
  <si>
    <t>11-12523</t>
  </si>
  <si>
    <t>11-14666</t>
  </si>
  <si>
    <t>11-14668</t>
  </si>
  <si>
    <t>11-16807</t>
  </si>
  <si>
    <t>11-14670</t>
  </si>
  <si>
    <t>11-14671</t>
  </si>
  <si>
    <t>11-14673</t>
  </si>
  <si>
    <t>11-14675</t>
  </si>
  <si>
    <t>11-14675-1</t>
  </si>
  <si>
    <t>11-14675-2</t>
  </si>
  <si>
    <t>11-14677</t>
  </si>
  <si>
    <t>11-14677-1</t>
  </si>
  <si>
    <t>11-14677-2</t>
  </si>
  <si>
    <t>11-12526</t>
  </si>
  <si>
    <t>11-14679</t>
  </si>
  <si>
    <t>11-14681</t>
  </si>
  <si>
    <t>11-16808</t>
  </si>
  <si>
    <t>11-14683</t>
  </si>
  <si>
    <t>11-14684</t>
  </si>
  <si>
    <t>11-14686</t>
  </si>
  <si>
    <t>11-14688</t>
  </si>
  <si>
    <t>11-14688-1</t>
  </si>
  <si>
    <t>11-14688-2</t>
  </si>
  <si>
    <t>11-14690</t>
  </si>
  <si>
    <t>11-14690-1</t>
  </si>
  <si>
    <t>11-14690-2</t>
  </si>
  <si>
    <t>11-14692</t>
  </si>
  <si>
    <t>11-14694</t>
  </si>
  <si>
    <t>11-14696</t>
  </si>
  <si>
    <t>11-14698</t>
  </si>
  <si>
    <t>11-14700</t>
  </si>
  <si>
    <t>11-14702</t>
  </si>
  <si>
    <t>11-14704</t>
  </si>
  <si>
    <t>11-12530</t>
  </si>
  <si>
    <t>11-14706</t>
  </si>
  <si>
    <t>11-14707</t>
  </si>
  <si>
    <t>11-14708</t>
  </si>
  <si>
    <t>11-14709</t>
  </si>
  <si>
    <t>11-14710</t>
  </si>
  <si>
    <t>11-14712</t>
  </si>
  <si>
    <t>11-14714</t>
  </si>
  <si>
    <t>11-14716</t>
  </si>
  <si>
    <t>11-14716-2</t>
  </si>
  <si>
    <t>11-14718</t>
  </si>
  <si>
    <t>11-14720</t>
  </si>
  <si>
    <t>11-14722</t>
  </si>
  <si>
    <t>11-14724</t>
  </si>
  <si>
    <t>11-14726</t>
  </si>
  <si>
    <t>11-14728</t>
  </si>
  <si>
    <t>11-14730</t>
  </si>
  <si>
    <t>11-12533</t>
  </si>
  <si>
    <t>11-14732</t>
  </si>
  <si>
    <t>11-14733</t>
  </si>
  <si>
    <t>11-14734</t>
  </si>
  <si>
    <t>11-14735</t>
  </si>
  <si>
    <t>11-14736</t>
  </si>
  <si>
    <t>11-14738</t>
  </si>
  <si>
    <t>11-14740</t>
  </si>
  <si>
    <t>11-14740-1</t>
  </si>
  <si>
    <t>11-14740-2</t>
  </si>
  <si>
    <t>11-14742</t>
  </si>
  <si>
    <t>11-14742-1</t>
  </si>
  <si>
    <t>11-14742-2</t>
  </si>
  <si>
    <t>11-14744</t>
  </si>
  <si>
    <t>11-14746</t>
  </si>
  <si>
    <t>11-14748</t>
  </si>
  <si>
    <t>11-14750</t>
  </si>
  <si>
    <t>11-14752</t>
  </si>
  <si>
    <t>11-14754</t>
  </si>
  <si>
    <t>11-14756</t>
  </si>
  <si>
    <t>11-12536</t>
  </si>
  <si>
    <t>11-14758</t>
  </si>
  <si>
    <t>11-14759</t>
  </si>
  <si>
    <t>11-14760</t>
  </si>
  <si>
    <t>11-14761</t>
  </si>
  <si>
    <t>11-14762</t>
  </si>
  <si>
    <t>11-14764</t>
  </si>
  <si>
    <t>11-14766</t>
  </si>
  <si>
    <t>11-14766-1</t>
  </si>
  <si>
    <t>11-14766-2</t>
  </si>
  <si>
    <t>11-14768</t>
  </si>
  <si>
    <t>11-14768-1</t>
  </si>
  <si>
    <t>11-14768-2</t>
  </si>
  <si>
    <t>11-14770</t>
  </si>
  <si>
    <t>11-14772</t>
  </si>
  <si>
    <t>11-14774</t>
  </si>
  <si>
    <t>11-14776</t>
  </si>
  <si>
    <t>11-14778</t>
  </si>
  <si>
    <t>11-14780</t>
  </si>
  <si>
    <t>11-14782</t>
  </si>
  <si>
    <t>11-12539</t>
  </si>
  <si>
    <t>11-14784</t>
  </si>
  <si>
    <t>11-14785</t>
  </si>
  <si>
    <t>11-14786</t>
  </si>
  <si>
    <t>11-14787</t>
  </si>
  <si>
    <t>11-14788</t>
  </si>
  <si>
    <t>11-14790</t>
  </si>
  <si>
    <t>11-14792</t>
  </si>
  <si>
    <t>11-14794</t>
  </si>
  <si>
    <t>11-14796</t>
  </si>
  <si>
    <t>11-14798</t>
  </si>
  <si>
    <t>11-14800</t>
  </si>
  <si>
    <t>11-14802</t>
  </si>
  <si>
    <t>11-14804</t>
  </si>
  <si>
    <t>11-14806</t>
  </si>
  <si>
    <t>11-14808</t>
  </si>
  <si>
    <t>11-12542</t>
  </si>
  <si>
    <t>11-14810</t>
  </si>
  <si>
    <t>11-14811</t>
  </si>
  <si>
    <t>11-14812</t>
  </si>
  <si>
    <t>11-14813</t>
  </si>
  <si>
    <t>11-14814</t>
  </si>
  <si>
    <t>11-14816</t>
  </si>
  <si>
    <t>11-14818</t>
  </si>
  <si>
    <t>11-14820</t>
  </si>
  <si>
    <t>11-14822</t>
  </si>
  <si>
    <t>11-14824</t>
  </si>
  <si>
    <t>11-14826</t>
  </si>
  <si>
    <t>11-14828</t>
  </si>
  <si>
    <t>11-14830</t>
  </si>
  <si>
    <t>11-14832</t>
  </si>
  <si>
    <t>11-14834</t>
  </si>
  <si>
    <t>11-12545</t>
  </si>
  <si>
    <t>11-14836</t>
  </si>
  <si>
    <t>11-14837</t>
  </si>
  <si>
    <t>11-14838</t>
  </si>
  <si>
    <t>11-14839</t>
  </si>
  <si>
    <t>11-14840</t>
  </si>
  <si>
    <t>11-14842</t>
  </si>
  <si>
    <t>11-14844</t>
  </si>
  <si>
    <t>11-14846</t>
  </si>
  <si>
    <t>11-12549</t>
  </si>
  <si>
    <t>11-14848</t>
  </si>
  <si>
    <t>11-14850</t>
  </si>
  <si>
    <t>11-16811</t>
  </si>
  <si>
    <t>11-14852</t>
  </si>
  <si>
    <t>11-14853</t>
  </si>
  <si>
    <t>11-14855</t>
  </si>
  <si>
    <t>11-14857</t>
  </si>
  <si>
    <t>11-14859</t>
  </si>
  <si>
    <t>11-12552</t>
  </si>
  <si>
    <t>11-14861</t>
  </si>
  <si>
    <t>11-14863</t>
  </si>
  <si>
    <t>11-16812</t>
  </si>
  <si>
    <t>11-14865</t>
  </si>
  <si>
    <t>11-14866</t>
  </si>
  <si>
    <t>11-14868</t>
  </si>
  <si>
    <t>11-14870</t>
  </si>
  <si>
    <t>11-14872</t>
  </si>
  <si>
    <t>11-12555</t>
  </si>
  <si>
    <t>11-14874</t>
  </si>
  <si>
    <t>11-14876</t>
  </si>
  <si>
    <t>11-16813</t>
  </si>
  <si>
    <t>11-14878</t>
  </si>
  <si>
    <t>11-14879</t>
  </si>
  <si>
    <t>11-14881</t>
  </si>
  <si>
    <t>11-14883</t>
  </si>
  <si>
    <t>11-14885</t>
  </si>
  <si>
    <t>11-12558</t>
  </si>
  <si>
    <t>11-14887</t>
  </si>
  <si>
    <t>11-14889</t>
  </si>
  <si>
    <t>11-16814</t>
  </si>
  <si>
    <t>11-14891</t>
  </si>
  <si>
    <t>11-14892</t>
  </si>
  <si>
    <t>11-14894</t>
  </si>
  <si>
    <t>11-14896</t>
  </si>
  <si>
    <t>11-14898</t>
  </si>
  <si>
    <t>11-14898-2</t>
  </si>
  <si>
    <t>11-12561</t>
  </si>
  <si>
    <t>11-14900</t>
  </si>
  <si>
    <t>11-14902</t>
  </si>
  <si>
    <t>11-16815</t>
  </si>
  <si>
    <t>11-14904</t>
  </si>
  <si>
    <t>11-14905</t>
  </si>
  <si>
    <t>11-14907</t>
  </si>
  <si>
    <t>11-14909</t>
  </si>
  <si>
    <t>11-14911</t>
  </si>
  <si>
    <t>11-12564</t>
  </si>
  <si>
    <t>11-14913</t>
  </si>
  <si>
    <t>11-14915</t>
  </si>
  <si>
    <t>11-14917</t>
  </si>
  <si>
    <t>11-16816</t>
  </si>
  <si>
    <t>11-14919</t>
  </si>
  <si>
    <t>11-14920</t>
  </si>
  <si>
    <t>11-14922</t>
  </si>
  <si>
    <t>11-14924</t>
  </si>
  <si>
    <t>11-14926</t>
  </si>
  <si>
    <t>11-12567</t>
  </si>
  <si>
    <t>11-14928</t>
  </si>
  <si>
    <t>11-14930</t>
  </si>
  <si>
    <t>11-16817</t>
  </si>
  <si>
    <t>11-14932</t>
  </si>
  <si>
    <t>11-14933</t>
  </si>
  <si>
    <t>11-14935</t>
  </si>
  <si>
    <t>11-14937</t>
  </si>
  <si>
    <t>11-14939</t>
  </si>
  <si>
    <t>11-12570</t>
  </si>
  <si>
    <t>11-14941</t>
  </si>
  <si>
    <t>11-14943</t>
  </si>
  <si>
    <t>11-16818</t>
  </si>
  <si>
    <t>11-14945</t>
  </si>
  <si>
    <t>11-14946</t>
  </si>
  <si>
    <t>11-14948</t>
  </si>
  <si>
    <t>11-14950</t>
  </si>
  <si>
    <t>11-14952</t>
  </si>
  <si>
    <t>11-12573</t>
  </si>
  <si>
    <t>11-14954</t>
  </si>
  <si>
    <t>11-14956</t>
  </si>
  <si>
    <t>11-16819</t>
  </si>
  <si>
    <t>11-14958</t>
  </si>
  <si>
    <t>11-14959</t>
  </si>
  <si>
    <t>11-14961</t>
  </si>
  <si>
    <t>11-14963</t>
  </si>
  <si>
    <t>11-14965</t>
  </si>
  <si>
    <t>11-12576</t>
  </si>
  <si>
    <t>11-14967</t>
  </si>
  <si>
    <t>11-14969</t>
  </si>
  <si>
    <t>11-16821</t>
  </si>
  <si>
    <t>11-14971</t>
  </si>
  <si>
    <t>11-14972</t>
  </si>
  <si>
    <t>11-14974</t>
  </si>
  <si>
    <t>11-14976</t>
  </si>
  <si>
    <t>11-14976-1</t>
  </si>
  <si>
    <t>11-14976-2</t>
  </si>
  <si>
    <t>11-14978</t>
  </si>
  <si>
    <t>11-14978-1</t>
  </si>
  <si>
    <t>11-14978-2</t>
  </si>
  <si>
    <t>11-12579</t>
  </si>
  <si>
    <t>11-14980</t>
  </si>
  <si>
    <t>11-14982</t>
  </si>
  <si>
    <t>11-16823</t>
  </si>
  <si>
    <t>11-14984</t>
  </si>
  <si>
    <t>11-14985</t>
  </si>
  <si>
    <t>11-14987</t>
  </si>
  <si>
    <t>11-14989</t>
  </si>
  <si>
    <t>11-14991</t>
  </si>
  <si>
    <t>11-12582</t>
  </si>
  <si>
    <t>11-14993</t>
  </si>
  <si>
    <t>11-14995</t>
  </si>
  <si>
    <t>11-16825</t>
  </si>
  <si>
    <t>11-14997</t>
  </si>
  <si>
    <t>11-14998</t>
  </si>
  <si>
    <t>11-15000</t>
  </si>
  <si>
    <t>11-15002</t>
  </si>
  <si>
    <t>11-15004</t>
  </si>
  <si>
    <t>11-12585</t>
  </si>
  <si>
    <t>11-15006</t>
  </si>
  <si>
    <t>11-15008</t>
  </si>
  <si>
    <t>11-16827</t>
  </si>
  <si>
    <t>11-15010</t>
  </si>
  <si>
    <t>11-15011</t>
  </si>
  <si>
    <t>11-15013</t>
  </si>
  <si>
    <t>11-15015</t>
  </si>
  <si>
    <t>11-15017</t>
  </si>
  <si>
    <t>11-12588</t>
  </si>
  <si>
    <t>11-15019</t>
  </si>
  <si>
    <t>11-15021</t>
  </si>
  <si>
    <t>11-16828</t>
  </si>
  <si>
    <t>11-15023</t>
  </si>
  <si>
    <t>11-15024</t>
  </si>
  <si>
    <t>11-15026</t>
  </si>
  <si>
    <t>11-15028</t>
  </si>
  <si>
    <t>11-15030</t>
  </si>
  <si>
    <t>11-12591</t>
  </si>
  <si>
    <t>11-15032</t>
  </si>
  <si>
    <t>11-15034</t>
  </si>
  <si>
    <t>11-16829</t>
  </si>
  <si>
    <t>11-15036</t>
  </si>
  <si>
    <t>11-15037</t>
  </si>
  <si>
    <t>11-15039</t>
  </si>
  <si>
    <t>11-15041</t>
  </si>
  <si>
    <t>11-15041-1</t>
  </si>
  <si>
    <t>11-15041-2</t>
  </si>
  <si>
    <t>11-15043</t>
  </si>
  <si>
    <t>11-12594</t>
  </si>
  <si>
    <t>11-15045</t>
  </si>
  <si>
    <t>11-15047</t>
  </si>
  <si>
    <t>11-16830</t>
  </si>
  <si>
    <t>11-15049</t>
  </si>
  <si>
    <t>11-15050</t>
  </si>
  <si>
    <t>11-15052</t>
  </si>
  <si>
    <t>11-15054</t>
  </si>
  <si>
    <t>11-15056</t>
  </si>
  <si>
    <t>11-12597</t>
  </si>
  <si>
    <t>11-15058</t>
  </si>
  <si>
    <t>11-15060</t>
  </si>
  <si>
    <t>11-16831</t>
  </si>
  <si>
    <t>11-15062</t>
  </si>
  <si>
    <t>11-15063</t>
  </si>
  <si>
    <t>11-15065</t>
  </si>
  <si>
    <t>11-15067</t>
  </si>
  <si>
    <t>11-15069</t>
  </si>
  <si>
    <t>11-12600</t>
  </si>
  <si>
    <t>11-15071</t>
  </si>
  <si>
    <t>11-15073</t>
  </si>
  <si>
    <t>11-15075</t>
  </si>
  <si>
    <t>11-16832</t>
  </si>
  <si>
    <t>11-15077</t>
  </si>
  <si>
    <t>11-15078</t>
  </si>
  <si>
    <t>11-15080</t>
  </si>
  <si>
    <t>11-15082</t>
  </si>
  <si>
    <t>11-15084</t>
  </si>
  <si>
    <t>11-15086</t>
  </si>
  <si>
    <t>11-15088</t>
  </si>
  <si>
    <t>11-15090</t>
  </si>
  <si>
    <t>11-15092</t>
  </si>
  <si>
    <t>11-15094</t>
  </si>
  <si>
    <t>11-15096</t>
  </si>
  <si>
    <t>11-15098</t>
  </si>
  <si>
    <t>11-12604</t>
  </si>
  <si>
    <t>11-15100</t>
  </si>
  <si>
    <t>11-15101</t>
  </si>
  <si>
    <t>11-15102</t>
  </si>
  <si>
    <t>11-15103</t>
  </si>
  <si>
    <t>11-15104</t>
  </si>
  <si>
    <t>11-15106</t>
  </si>
  <si>
    <t>11-15108</t>
  </si>
  <si>
    <t>11-15110</t>
  </si>
  <si>
    <t>11-15110-1</t>
  </si>
  <si>
    <t>11-15110-2</t>
  </si>
  <si>
    <t>11-15112</t>
  </si>
  <si>
    <t>11-15114</t>
  </si>
  <si>
    <t>11-15116</t>
  </si>
  <si>
    <t>11-15118</t>
  </si>
  <si>
    <t>11-15120</t>
  </si>
  <si>
    <t>11-15122</t>
  </si>
  <si>
    <t>11-15124</t>
  </si>
  <si>
    <t>11-12607</t>
  </si>
  <si>
    <t>11-15126</t>
  </si>
  <si>
    <t>11-15127</t>
  </si>
  <si>
    <t>11-15128</t>
  </si>
  <si>
    <t>11-15129</t>
  </si>
  <si>
    <t>11-15130</t>
  </si>
  <si>
    <t>11-15132</t>
  </si>
  <si>
    <t>11-15134</t>
  </si>
  <si>
    <t>11-15136</t>
  </si>
  <si>
    <t>11-15138</t>
  </si>
  <si>
    <t>11-15140</t>
  </si>
  <si>
    <t>11-15142</t>
  </si>
  <si>
    <t>11-15144</t>
  </si>
  <si>
    <t>11-15146</t>
  </si>
  <si>
    <t>11-15148</t>
  </si>
  <si>
    <t>11-15150</t>
  </si>
  <si>
    <t>11-12610</t>
  </si>
  <si>
    <t>11-15152</t>
  </si>
  <si>
    <t>11-15153</t>
  </si>
  <si>
    <t>11-15154</t>
  </si>
  <si>
    <t>11-15155</t>
  </si>
  <si>
    <t>11-15156</t>
  </si>
  <si>
    <t>11-15158</t>
  </si>
  <si>
    <t>11-15160</t>
  </si>
  <si>
    <t>11-15162</t>
  </si>
  <si>
    <t>11-15164</t>
  </si>
  <si>
    <t>11-15166</t>
  </si>
  <si>
    <t>11-15168</t>
  </si>
  <si>
    <t>11-15170</t>
  </si>
  <si>
    <t>11-15172</t>
  </si>
  <si>
    <t>11-15174</t>
  </si>
  <si>
    <t>11-15176</t>
  </si>
  <si>
    <t>11-12613</t>
  </si>
  <si>
    <t>11-15178</t>
  </si>
  <si>
    <t>11-15179</t>
  </si>
  <si>
    <t>11-15180</t>
  </si>
  <si>
    <t>11-15181</t>
  </si>
  <si>
    <t>11-15182</t>
  </si>
  <si>
    <t>11-15184</t>
  </si>
  <si>
    <t>11-15186</t>
  </si>
  <si>
    <t>11-15188</t>
  </si>
  <si>
    <t>11-15190</t>
  </si>
  <si>
    <t>11-15192</t>
  </si>
  <si>
    <t>11-15194</t>
  </si>
  <si>
    <t>11-15196</t>
  </si>
  <si>
    <t>11-15198</t>
  </si>
  <si>
    <t>11-15200</t>
  </si>
  <si>
    <t>11-15202</t>
  </si>
  <si>
    <t>11-12616</t>
  </si>
  <si>
    <t>11-15204</t>
  </si>
  <si>
    <t>11-15205</t>
  </si>
  <si>
    <t>11-15206</t>
  </si>
  <si>
    <t>11-15207</t>
  </si>
  <si>
    <t>11-15208</t>
  </si>
  <si>
    <t>11-15210</t>
  </si>
  <si>
    <t>11-15212</t>
  </si>
  <si>
    <t>11-15214</t>
  </si>
  <si>
    <t>11-15216</t>
  </si>
  <si>
    <t>11-15218</t>
  </si>
  <si>
    <t>11-15220</t>
  </si>
  <si>
    <t>11-15222</t>
  </si>
  <si>
    <t>11-15224</t>
  </si>
  <si>
    <t>11-15226</t>
  </si>
  <si>
    <t>11-15228</t>
  </si>
  <si>
    <t>11-12619</t>
  </si>
  <si>
    <t>11-15230</t>
  </si>
  <si>
    <t>11-15231</t>
  </si>
  <si>
    <t>11-15232</t>
  </si>
  <si>
    <t>11-15233</t>
  </si>
  <si>
    <t>11-15234</t>
  </si>
  <si>
    <t>11-15236</t>
  </si>
  <si>
    <t>11-15238</t>
  </si>
  <si>
    <t>11-15240</t>
  </si>
  <si>
    <t>11-12983</t>
  </si>
  <si>
    <t>11-15242</t>
  </si>
  <si>
    <t>11-12623</t>
  </si>
  <si>
    <t>11-16835</t>
  </si>
  <si>
    <t>11-15244</t>
  </si>
  <si>
    <t>11-15245</t>
  </si>
  <si>
    <t>11-15247</t>
  </si>
  <si>
    <t>11-15249</t>
  </si>
  <si>
    <t>11-15251</t>
  </si>
  <si>
    <t>11-12985</t>
  </si>
  <si>
    <t>11-15253</t>
  </si>
  <si>
    <t>11-12626</t>
  </si>
  <si>
    <t>11-16836</t>
  </si>
  <si>
    <t>11-15255</t>
  </si>
  <si>
    <t>11-15256</t>
  </si>
  <si>
    <t>11-15258</t>
  </si>
  <si>
    <t>11-15260</t>
  </si>
  <si>
    <t>11-15262</t>
  </si>
  <si>
    <t>11-12987</t>
  </si>
  <si>
    <t>11-15264</t>
  </si>
  <si>
    <t>11-15266</t>
  </si>
  <si>
    <t>11-12629</t>
  </si>
  <si>
    <t>11-16837</t>
  </si>
  <si>
    <t>11-15268</t>
  </si>
  <si>
    <t>11-15269</t>
  </si>
  <si>
    <t>11-15271</t>
  </si>
  <si>
    <t>11-15273</t>
  </si>
  <si>
    <t>11-15275</t>
  </si>
  <si>
    <t>11-12989</t>
  </si>
  <si>
    <t>11-15277</t>
  </si>
  <si>
    <t>11-12632</t>
  </si>
  <si>
    <t>11-16838</t>
  </si>
  <si>
    <t>11-15279</t>
  </si>
  <si>
    <t>11-15280</t>
  </si>
  <si>
    <t>11-15282</t>
  </si>
  <si>
    <t>11-15284</t>
  </si>
  <si>
    <t>11-15286</t>
  </si>
  <si>
    <t>11-12991</t>
  </si>
  <si>
    <t>11-15288</t>
  </si>
  <si>
    <t>11-12635</t>
  </si>
  <si>
    <t>11-16839</t>
  </si>
  <si>
    <t>11-15290</t>
  </si>
  <si>
    <t>11-15291</t>
  </si>
  <si>
    <t>11-15293</t>
  </si>
  <si>
    <t>11-15295</t>
  </si>
  <si>
    <t>11-15297</t>
  </si>
  <si>
    <t>11-12993</t>
  </si>
  <si>
    <t>11-15299</t>
  </si>
  <si>
    <t>11-12638</t>
  </si>
  <si>
    <t>11-16840</t>
  </si>
  <si>
    <t>11-15301</t>
  </si>
  <si>
    <t>11-15302</t>
  </si>
  <si>
    <t>11-15304</t>
  </si>
  <si>
    <t>11-15306</t>
  </si>
  <si>
    <t>11-15308</t>
  </si>
  <si>
    <t>11-12995</t>
  </si>
  <si>
    <t>11-15310</t>
  </si>
  <si>
    <t>11-12641</t>
  </si>
  <si>
    <t>11-16841</t>
  </si>
  <si>
    <t>11-15312</t>
  </si>
  <si>
    <t>11-15313</t>
  </si>
  <si>
    <t>11-15315</t>
  </si>
  <si>
    <t>11-15317</t>
  </si>
  <si>
    <t>11-15319</t>
  </si>
  <si>
    <t>11-12997</t>
  </si>
  <si>
    <t>11-15321</t>
  </si>
  <si>
    <t>11-12644</t>
  </si>
  <si>
    <t>11-16842</t>
  </si>
  <si>
    <t>11-15323</t>
  </si>
  <si>
    <t>11-15324</t>
  </si>
  <si>
    <t>11-15326</t>
  </si>
  <si>
    <t>11-15328</t>
  </si>
  <si>
    <t>11-15330</t>
  </si>
  <si>
    <t>11-12999</t>
  </si>
  <si>
    <t>11-15332</t>
  </si>
  <si>
    <t>11-12647</t>
  </si>
  <si>
    <t>11-16843</t>
  </si>
  <si>
    <t>11-15334</t>
  </si>
  <si>
    <t>11-15335</t>
  </si>
  <si>
    <t>11-15337</t>
  </si>
  <si>
    <t>11-15339</t>
  </si>
  <si>
    <t>11-15341</t>
  </si>
  <si>
    <t>11-13001</t>
  </si>
  <si>
    <t>11-15343</t>
  </si>
  <si>
    <t>11-12650</t>
  </si>
  <si>
    <t>11-16845</t>
  </si>
  <si>
    <t>11-15345</t>
  </si>
  <si>
    <t>11-15346</t>
  </si>
  <si>
    <t>11-15348</t>
  </si>
  <si>
    <t>11-15350</t>
  </si>
  <si>
    <t>11-15350-1</t>
  </si>
  <si>
    <t>11-15350-2</t>
  </si>
  <si>
    <t>11-15352</t>
  </si>
  <si>
    <t>11-15352-1</t>
  </si>
  <si>
    <t>11-15352-2</t>
  </si>
  <si>
    <t>11-13003</t>
  </si>
  <si>
    <t>11-15354</t>
  </si>
  <si>
    <t>11-12653</t>
  </si>
  <si>
    <t>11-16847</t>
  </si>
  <si>
    <t>11-15356</t>
  </si>
  <si>
    <t>11-15357</t>
  </si>
  <si>
    <t>11-15359</t>
  </si>
  <si>
    <t>11-15361</t>
  </si>
  <si>
    <t>11-15363</t>
  </si>
  <si>
    <t>11-13005</t>
  </si>
  <si>
    <t>11-15365</t>
  </si>
  <si>
    <t>11-12656</t>
  </si>
  <si>
    <t>11-16849</t>
  </si>
  <si>
    <t>11-15367</t>
  </si>
  <si>
    <t>11-15368</t>
  </si>
  <si>
    <t>11-15370</t>
  </si>
  <si>
    <t>11-15372</t>
  </si>
  <si>
    <t>11-15374</t>
  </si>
  <si>
    <t>11-13007</t>
  </si>
  <si>
    <t>11-15376</t>
  </si>
  <si>
    <t>11-12659</t>
  </si>
  <si>
    <t>11-16851</t>
  </si>
  <si>
    <t>11-15378</t>
  </si>
  <si>
    <t>11-15379</t>
  </si>
  <si>
    <t>11-15381</t>
  </si>
  <si>
    <t>11-15383</t>
  </si>
  <si>
    <t>11-15385</t>
  </si>
  <si>
    <t>11-13009</t>
  </si>
  <si>
    <t>11-15387</t>
  </si>
  <si>
    <t>11-12662</t>
  </si>
  <si>
    <t>11-16852</t>
  </si>
  <si>
    <t>11-15389</t>
  </si>
  <si>
    <t>11-15390</t>
  </si>
  <si>
    <t>11-15392</t>
  </si>
  <si>
    <t>11-15394</t>
  </si>
  <si>
    <t>11-15396</t>
  </si>
  <si>
    <t>11-13011</t>
  </si>
  <si>
    <t>11-15398</t>
  </si>
  <si>
    <t>11-12665</t>
  </si>
  <si>
    <t>11-16853</t>
  </si>
  <si>
    <t>11-15400</t>
  </si>
  <si>
    <t>11-15401</t>
  </si>
  <si>
    <t>11-15403</t>
  </si>
  <si>
    <t>11-15405</t>
  </si>
  <si>
    <t>11-15407</t>
  </si>
  <si>
    <t>11-15407-2</t>
  </si>
  <si>
    <t>11-15409</t>
  </si>
  <si>
    <t>11-15411</t>
  </si>
  <si>
    <t>11-15413</t>
  </si>
  <si>
    <t>11-13013</t>
  </si>
  <si>
    <t>11-13015</t>
  </si>
  <si>
    <t>11-15415</t>
  </si>
  <si>
    <t>11-15417</t>
  </si>
  <si>
    <t>11-12669</t>
  </si>
  <si>
    <t>11-15419</t>
  </si>
  <si>
    <t>11-15420</t>
  </si>
  <si>
    <t>11-15421</t>
  </si>
  <si>
    <t>11-15422</t>
  </si>
  <si>
    <t>11-15423</t>
  </si>
  <si>
    <t>11-15425</t>
  </si>
  <si>
    <t>11-15427</t>
  </si>
  <si>
    <t>11-15429</t>
  </si>
  <si>
    <t>11-15429-1</t>
  </si>
  <si>
    <t>11-15429-2</t>
  </si>
  <si>
    <t>11-15431</t>
  </si>
  <si>
    <t>11-15433</t>
  </si>
  <si>
    <t>11-15435</t>
  </si>
  <si>
    <t>11-13017</t>
  </si>
  <si>
    <t>11-13019</t>
  </si>
  <si>
    <t>11-15437</t>
  </si>
  <si>
    <t>11-15439</t>
  </si>
  <si>
    <t>11-12672</t>
  </si>
  <si>
    <t>11-15441</t>
  </si>
  <si>
    <t>11-15442</t>
  </si>
  <si>
    <t>11-15443</t>
  </si>
  <si>
    <t>11-15444</t>
  </si>
  <si>
    <t>11-15445</t>
  </si>
  <si>
    <t>11-15447</t>
  </si>
  <si>
    <t>11-15449</t>
  </si>
  <si>
    <t>11-15451</t>
  </si>
  <si>
    <t>11-15453</t>
  </si>
  <si>
    <t>11-15455</t>
  </si>
  <si>
    <t>11-15457</t>
  </si>
  <si>
    <t>11-13021</t>
  </si>
  <si>
    <t>11-13023</t>
  </si>
  <si>
    <t>11-15459</t>
  </si>
  <si>
    <t>11-15461</t>
  </si>
  <si>
    <t>11-12675</t>
  </si>
  <si>
    <t>11-15463</t>
  </si>
  <si>
    <t>11-15464</t>
  </si>
  <si>
    <t>11-15465</t>
  </si>
  <si>
    <t>11-15466</t>
  </si>
  <si>
    <t>11-15467</t>
  </si>
  <si>
    <t>11-15469</t>
  </si>
  <si>
    <t>11-15471</t>
  </si>
  <si>
    <t>11-15473</t>
  </si>
  <si>
    <t>11-15475</t>
  </si>
  <si>
    <t>11-15477</t>
  </si>
  <si>
    <t>11-15479</t>
  </si>
  <si>
    <t>11-13025</t>
  </si>
  <si>
    <t>11-13027</t>
  </si>
  <si>
    <t>11-15481</t>
  </si>
  <si>
    <t>11-15483</t>
  </si>
  <si>
    <t>11-12678</t>
  </si>
  <si>
    <t>11-15485</t>
  </si>
  <si>
    <t>11-15486</t>
  </si>
  <si>
    <t>11-15487</t>
  </si>
  <si>
    <t>11-15488</t>
  </si>
  <si>
    <t>11-15489</t>
  </si>
  <si>
    <t>11-15491</t>
  </si>
  <si>
    <t>11-15493</t>
  </si>
  <si>
    <t>11-15495</t>
  </si>
  <si>
    <t>11-15495-1</t>
  </si>
  <si>
    <t>11-15495-2</t>
  </si>
  <si>
    <t>11-15497</t>
  </si>
  <si>
    <t>11-15499</t>
  </si>
  <si>
    <t>11-15499-1</t>
  </si>
  <si>
    <t>11-15499-2</t>
  </si>
  <si>
    <t>11-15501</t>
  </si>
  <si>
    <t>11-15503</t>
  </si>
  <si>
    <t>11-15505</t>
  </si>
  <si>
    <t>11-15507</t>
  </si>
  <si>
    <t>11-15509</t>
  </si>
  <si>
    <t>11-12681</t>
  </si>
  <si>
    <t>11-15511</t>
  </si>
  <si>
    <t>11-15512</t>
  </si>
  <si>
    <t>11-15513</t>
  </si>
  <si>
    <t>11-15514</t>
  </si>
  <si>
    <t>11-15515</t>
  </si>
  <si>
    <t>11-15517</t>
  </si>
  <si>
    <t>11-15519</t>
  </si>
  <si>
    <t>11-15521</t>
  </si>
  <si>
    <t>11-15523</t>
  </si>
  <si>
    <t>11-15525</t>
  </si>
  <si>
    <t>11-15527</t>
  </si>
  <si>
    <t>11-15529</t>
  </si>
  <si>
    <t>11-15531</t>
  </si>
  <si>
    <t>11-15533</t>
  </si>
  <si>
    <t>11-15535</t>
  </si>
  <si>
    <t>11-12684</t>
  </si>
  <si>
    <t>11-15537</t>
  </si>
  <si>
    <t>11-15538</t>
  </si>
  <si>
    <t>11-15539</t>
  </si>
  <si>
    <t>11-15540</t>
  </si>
  <si>
    <t>11-15541</t>
  </si>
  <si>
    <t>11-15543</t>
  </si>
  <si>
    <t>11-07796</t>
  </si>
  <si>
    <t>11-07798</t>
  </si>
  <si>
    <t>11-07801</t>
  </si>
  <si>
    <t>11-07803</t>
  </si>
  <si>
    <t>11-07805</t>
  </si>
  <si>
    <t>11-11600</t>
  </si>
  <si>
    <t>11-07807</t>
  </si>
  <si>
    <t>11-07810</t>
  </si>
  <si>
    <t>11-07811</t>
  </si>
  <si>
    <t>11-07812</t>
  </si>
  <si>
    <t>11-07815</t>
  </si>
  <si>
    <t>11-07817</t>
  </si>
  <si>
    <t>11-07819</t>
  </si>
  <si>
    <t>11-11604</t>
  </si>
  <si>
    <t>11-07821</t>
  </si>
  <si>
    <t>11-07824</t>
  </si>
  <si>
    <t>11-07825</t>
  </si>
  <si>
    <t>11-07826</t>
  </si>
  <si>
    <t>11-07829</t>
  </si>
  <si>
    <t>11-07831</t>
  </si>
  <si>
    <t>11-07833</t>
  </si>
  <si>
    <t>11-07835</t>
  </si>
  <si>
    <t>11-07838</t>
  </si>
  <si>
    <t>11-07839</t>
  </si>
  <si>
    <t>11-07840</t>
  </si>
  <si>
    <t>11-07843</t>
  </si>
  <si>
    <t>11-07845</t>
  </si>
  <si>
    <t>11-07847</t>
  </si>
  <si>
    <t>11-07849</t>
  </si>
  <si>
    <t>11-07852</t>
  </si>
  <si>
    <t>11-07853</t>
  </si>
  <si>
    <t>11-07854</t>
  </si>
  <si>
    <t>11-07857</t>
  </si>
  <si>
    <t>11-07859</t>
  </si>
  <si>
    <t>11-07861</t>
  </si>
  <si>
    <t>11-07864</t>
  </si>
  <si>
    <t>11-07867</t>
  </si>
  <si>
    <t>11-07868</t>
  </si>
  <si>
    <t>11-07869</t>
  </si>
  <si>
    <t>11-11616</t>
  </si>
  <si>
    <t>11-11618</t>
  </si>
  <si>
    <t>11-11621</t>
  </si>
  <si>
    <t>11-11623</t>
  </si>
  <si>
    <t>11-11625</t>
  </si>
  <si>
    <t>11-11626</t>
  </si>
  <si>
    <t>11-11627</t>
  </si>
  <si>
    <t>11-09298</t>
  </si>
  <si>
    <t>11-09298-1</t>
  </si>
  <si>
    <t>11-09300</t>
  </si>
  <si>
    <t>11-09300-1</t>
  </si>
  <si>
    <t>11-09302</t>
  </si>
  <si>
    <t>11-09304</t>
  </si>
  <si>
    <t>11-09305</t>
  </si>
  <si>
    <t>11-09306</t>
  </si>
  <si>
    <t>11-09308</t>
  </si>
  <si>
    <t>11-09310</t>
  </si>
  <si>
    <t>11-09314</t>
  </si>
  <si>
    <t>11-09320</t>
  </si>
  <si>
    <t>11-09322</t>
  </si>
  <si>
    <t>11-09324</t>
  </si>
  <si>
    <t>11-09326</t>
  </si>
  <si>
    <t>11-09327</t>
  </si>
  <si>
    <t>11-09328</t>
  </si>
  <si>
    <t>11-09330</t>
  </si>
  <si>
    <t>11-09332</t>
  </si>
  <si>
    <t>11-09336</t>
  </si>
  <si>
    <t>11-09342</t>
  </si>
  <si>
    <t>11-09344</t>
  </si>
  <si>
    <t>11-09346</t>
  </si>
  <si>
    <t>11-09348</t>
  </si>
  <si>
    <t>11-09349</t>
  </si>
  <si>
    <t>11-09350</t>
  </si>
  <si>
    <t>11-09352</t>
  </si>
  <si>
    <t>11-09354</t>
  </si>
  <si>
    <t>11-09358</t>
  </si>
  <si>
    <t>11-09364</t>
  </si>
  <si>
    <t>11-09366</t>
  </si>
  <si>
    <t>11-09368</t>
  </si>
  <si>
    <t>11-09370</t>
  </si>
  <si>
    <t>11-09371</t>
  </si>
  <si>
    <t>11-09372</t>
  </si>
  <si>
    <t>11-09374</t>
  </si>
  <si>
    <t>11-09376</t>
  </si>
  <si>
    <t>11-09380</t>
  </si>
  <si>
    <t>11-09384</t>
  </si>
  <si>
    <t>11-09390</t>
  </si>
  <si>
    <t>11-09392</t>
  </si>
  <si>
    <t>11-09394</t>
  </si>
  <si>
    <t>11-09396</t>
  </si>
  <si>
    <t>11-09397</t>
  </si>
  <si>
    <t>11-09398</t>
  </si>
  <si>
    <t>11-09400</t>
  </si>
  <si>
    <t>11-09402</t>
  </si>
  <si>
    <t>11-09406</t>
  </si>
  <si>
    <t>11-11630</t>
  </si>
  <si>
    <t>11-11631</t>
  </si>
  <si>
    <t>11-11633</t>
  </si>
  <si>
    <t>11-11635</t>
  </si>
  <si>
    <t>11-11637</t>
  </si>
  <si>
    <t>11-11638</t>
  </si>
  <si>
    <t>11-11639</t>
  </si>
  <si>
    <t>11-11641</t>
  </si>
  <si>
    <t>11-11643</t>
  </si>
  <si>
    <t>11-11647</t>
  </si>
  <si>
    <t>11-11651</t>
  </si>
  <si>
    <t>11-11656</t>
  </si>
  <si>
    <t>11-11657</t>
  </si>
  <si>
    <t>11-11659</t>
  </si>
  <si>
    <t>11-11661</t>
  </si>
  <si>
    <t>11-11663</t>
  </si>
  <si>
    <t>11-11664</t>
  </si>
  <si>
    <t>11-11665</t>
  </si>
  <si>
    <t>11-11667</t>
  </si>
  <si>
    <t>11-11669</t>
  </si>
  <si>
    <t>11-11673</t>
  </si>
  <si>
    <t>11-11677</t>
  </si>
  <si>
    <t>11-09412</t>
  </si>
  <si>
    <t>11-09414</t>
  </si>
  <si>
    <t>11-09416</t>
  </si>
  <si>
    <t>11-09418</t>
  </si>
  <si>
    <t>11-09419</t>
  </si>
  <si>
    <t>11-09420</t>
  </si>
  <si>
    <t>11-09422</t>
  </si>
  <si>
    <t>11-09424</t>
  </si>
  <si>
    <t>11-09428</t>
  </si>
  <si>
    <t>11-09432</t>
  </si>
  <si>
    <t>11-09438</t>
  </si>
  <si>
    <t>11-09440</t>
  </si>
  <si>
    <t>11-09442</t>
  </si>
  <si>
    <t>11-09444</t>
  </si>
  <si>
    <t>11-09445</t>
  </si>
  <si>
    <t>11-09446</t>
  </si>
  <si>
    <t>11-09448</t>
  </si>
  <si>
    <t>11-09450</t>
  </si>
  <si>
    <t>11-09454</t>
  </si>
  <si>
    <t>11-09458</t>
  </si>
  <si>
    <t>11-09464</t>
  </si>
  <si>
    <t>11-16856</t>
  </si>
  <si>
    <t>11-09467</t>
  </si>
  <si>
    <t>11-16857</t>
  </si>
  <si>
    <t>11-09470</t>
  </si>
  <si>
    <t>11-09472</t>
  </si>
  <si>
    <t>11-09474</t>
  </si>
  <si>
    <t>11-09475</t>
  </si>
  <si>
    <t>11-16858</t>
  </si>
  <si>
    <t>11-09476</t>
  </si>
  <si>
    <t>11-16859</t>
  </si>
  <si>
    <t>11-09478</t>
  </si>
  <si>
    <t>11-09480</t>
  </si>
  <si>
    <t>11-09484</t>
  </si>
  <si>
    <t>11-09488</t>
  </si>
  <si>
    <t>11-09492</t>
  </si>
  <si>
    <t>11-09496</t>
  </si>
  <si>
    <t>11-11681</t>
  </si>
  <si>
    <t>11-09502</t>
  </si>
  <si>
    <t>11-16860</t>
  </si>
  <si>
    <t>11-09505</t>
  </si>
  <si>
    <t>11-16861</t>
  </si>
  <si>
    <t>11-09508</t>
  </si>
  <si>
    <t>11-09510</t>
  </si>
  <si>
    <t>11-09512</t>
  </si>
  <si>
    <t>11-09513</t>
  </si>
  <si>
    <t>11-16862</t>
  </si>
  <si>
    <t>11-09514</t>
  </si>
  <si>
    <t>11-16863</t>
  </si>
  <si>
    <t>11-09516</t>
  </si>
  <si>
    <t>11-09518</t>
  </si>
  <si>
    <t>11-09522</t>
  </si>
  <si>
    <t>11-09526</t>
  </si>
  <si>
    <t>11-09530</t>
  </si>
  <si>
    <t>11-09534</t>
  </si>
  <si>
    <t>11-11685</t>
  </si>
  <si>
    <t>11-09541</t>
  </si>
  <si>
    <t>11-09543</t>
  </si>
  <si>
    <t>11-09545</t>
  </si>
  <si>
    <t>11-09547</t>
  </si>
  <si>
    <t>11-09548</t>
  </si>
  <si>
    <t>11-09549</t>
  </si>
  <si>
    <t>11-09551</t>
  </si>
  <si>
    <t>11-09553</t>
  </si>
  <si>
    <t>11-09557</t>
  </si>
  <si>
    <t>11-09563</t>
  </si>
  <si>
    <t>11-09563-1</t>
  </si>
  <si>
    <t>11-09563-2</t>
  </si>
  <si>
    <t>11-09565</t>
  </si>
  <si>
    <t>11-09567</t>
  </si>
  <si>
    <t>11-09569</t>
  </si>
  <si>
    <t>11-09570</t>
  </si>
  <si>
    <t>11-09571</t>
  </si>
  <si>
    <t>11-09573</t>
  </si>
  <si>
    <t>11-09575</t>
  </si>
  <si>
    <t>11-09579</t>
  </si>
  <si>
    <t>11-09585</t>
  </si>
  <si>
    <t>11-09587</t>
  </si>
  <si>
    <t>11-09589</t>
  </si>
  <si>
    <t>11-09591</t>
  </si>
  <si>
    <t>11-09592</t>
  </si>
  <si>
    <t>11-09593</t>
  </si>
  <si>
    <t>11-09595</t>
  </si>
  <si>
    <t>11-09597</t>
  </si>
  <si>
    <t>11-09601</t>
  </si>
  <si>
    <t>11-09605</t>
  </si>
  <si>
    <t>11-09611</t>
  </si>
  <si>
    <t>11-09613</t>
  </si>
  <si>
    <t>11-09615</t>
  </si>
  <si>
    <t>11-09617</t>
  </si>
  <si>
    <t>11-09618</t>
  </si>
  <si>
    <t>11-09619</t>
  </si>
  <si>
    <t>11-09621</t>
  </si>
  <si>
    <t>11-09623</t>
  </si>
  <si>
    <t>11-09627</t>
  </si>
  <si>
    <t>11-09631</t>
  </si>
  <si>
    <t>11-09637</t>
  </si>
  <si>
    <t>11-09639</t>
  </si>
  <si>
    <t>11-09641</t>
  </si>
  <si>
    <t>11-09643</t>
  </si>
  <si>
    <t>11-09644</t>
  </si>
  <si>
    <t>11-09645</t>
  </si>
  <si>
    <t>11-09647</t>
  </si>
  <si>
    <t>11-09649</t>
  </si>
  <si>
    <t>11-09653</t>
  </si>
  <si>
    <t>11-09659</t>
  </si>
  <si>
    <t>11-09659-1</t>
  </si>
  <si>
    <t>11-09659-2</t>
  </si>
  <si>
    <t>11-09661</t>
  </si>
  <si>
    <t>11-09661-1</t>
  </si>
  <si>
    <t>11-09661-2</t>
  </si>
  <si>
    <t>11-09663</t>
  </si>
  <si>
    <t>11-09665</t>
  </si>
  <si>
    <t>11-09666</t>
  </si>
  <si>
    <t>11-09667</t>
  </si>
  <si>
    <t>11-09669</t>
  </si>
  <si>
    <t>11-09671</t>
  </si>
  <si>
    <t>11-09675</t>
  </si>
  <si>
    <t>11-09681</t>
  </si>
  <si>
    <t>11-09683</t>
  </si>
  <si>
    <t>11-09685</t>
  </si>
  <si>
    <t>11-09687</t>
  </si>
  <si>
    <t>11-09688</t>
  </si>
  <si>
    <t>11-09689</t>
  </si>
  <si>
    <t>11-09691</t>
  </si>
  <si>
    <t>11-09693</t>
  </si>
  <si>
    <t>11-09697</t>
  </si>
  <si>
    <t>11-09703</t>
  </si>
  <si>
    <t>11-09705</t>
  </si>
  <si>
    <t>11-09707</t>
  </si>
  <si>
    <t>11-09709</t>
  </si>
  <si>
    <t>11-09710</t>
  </si>
  <si>
    <t>11-09711</t>
  </si>
  <si>
    <t>11-09713</t>
  </si>
  <si>
    <t>11-09715</t>
  </si>
  <si>
    <t>11-09719</t>
  </si>
  <si>
    <t>11-09725</t>
  </si>
  <si>
    <t>11-09727</t>
  </si>
  <si>
    <t>11-09729</t>
  </si>
  <si>
    <t>11-09731</t>
  </si>
  <si>
    <t>11-09732</t>
  </si>
  <si>
    <t>11-09733</t>
  </si>
  <si>
    <t>11-09735</t>
  </si>
  <si>
    <t>11-09737</t>
  </si>
  <si>
    <t>11-09741</t>
  </si>
  <si>
    <t>11-09747</t>
  </si>
  <si>
    <t>11-16864</t>
  </si>
  <si>
    <t>11-09750</t>
  </si>
  <si>
    <t>11-16865</t>
  </si>
  <si>
    <t>11-09753</t>
  </si>
  <si>
    <t>11-09755</t>
  </si>
  <si>
    <t>11-09757</t>
  </si>
  <si>
    <t>11-09758</t>
  </si>
  <si>
    <t>11-16866</t>
  </si>
  <si>
    <t>11-09759</t>
  </si>
  <si>
    <t>11-16867</t>
  </si>
  <si>
    <t>11-09761</t>
  </si>
  <si>
    <t>11-09763</t>
  </si>
  <si>
    <t>11-09767</t>
  </si>
  <si>
    <t>11-09771</t>
  </si>
  <si>
    <t>11-09775</t>
  </si>
  <si>
    <t>11-09781</t>
  </si>
  <si>
    <t>11-16868</t>
  </si>
  <si>
    <t>11-09784</t>
  </si>
  <si>
    <t>11-16869</t>
  </si>
  <si>
    <t>11-09787</t>
  </si>
  <si>
    <t>11-09789</t>
  </si>
  <si>
    <t>11-09791</t>
  </si>
  <si>
    <t>11-09792</t>
  </si>
  <si>
    <t>11-16870</t>
  </si>
  <si>
    <t>11-09793</t>
  </si>
  <si>
    <t>11-16871</t>
  </si>
  <si>
    <t>11-09795</t>
  </si>
  <si>
    <t>11-09797</t>
  </si>
  <si>
    <t>11-09801</t>
  </si>
  <si>
    <t>11-09805</t>
  </si>
  <si>
    <t>11-09809</t>
  </si>
  <si>
    <t>11-09813</t>
  </si>
  <si>
    <t>11-09819</t>
  </si>
  <si>
    <t>11-16872</t>
  </si>
  <si>
    <t>11-09822</t>
  </si>
  <si>
    <t>11-16873</t>
  </si>
  <si>
    <t>11-09825</t>
  </si>
  <si>
    <t>11-09827</t>
  </si>
  <si>
    <t>11-09829</t>
  </si>
  <si>
    <t>11-09830</t>
  </si>
  <si>
    <t>11-16874</t>
  </si>
  <si>
    <t>11-09831</t>
  </si>
  <si>
    <t>11-16875</t>
  </si>
  <si>
    <t>11-09833</t>
  </si>
  <si>
    <t>11-09835</t>
  </si>
  <si>
    <t>11-09839</t>
  </si>
  <si>
    <t>11-09843</t>
  </si>
  <si>
    <t>11-09847</t>
  </si>
  <si>
    <t>11-09853</t>
  </si>
  <si>
    <t>11-09853-1</t>
  </si>
  <si>
    <t>11-09853-2</t>
  </si>
  <si>
    <t>11-16876</t>
  </si>
  <si>
    <t>11-09856</t>
  </si>
  <si>
    <t>11-09856-1</t>
  </si>
  <si>
    <t>11-09856-2</t>
  </si>
  <si>
    <t>11-16877</t>
  </si>
  <si>
    <t>11-09859</t>
  </si>
  <si>
    <t>11-09861</t>
  </si>
  <si>
    <t>11-09863</t>
  </si>
  <si>
    <t>11-09864</t>
  </si>
  <si>
    <t>11-16878</t>
  </si>
  <si>
    <t>11-09865</t>
  </si>
  <si>
    <t>11-16879</t>
  </si>
  <si>
    <t>11-09867</t>
  </si>
  <si>
    <t>11-09869</t>
  </si>
  <si>
    <t>11-09873</t>
  </si>
  <si>
    <t>11-09877</t>
  </si>
  <si>
    <t>11-09881</t>
  </si>
  <si>
    <t>11-11541</t>
  </si>
  <si>
    <t>11-07875</t>
  </si>
  <si>
    <t>11-07877</t>
  </si>
  <si>
    <t>11-07879</t>
  </si>
  <si>
    <t>11-07881</t>
  </si>
  <si>
    <t>11-07884</t>
  </si>
  <si>
    <t>11-07885</t>
  </si>
  <si>
    <t>11-07886</t>
  </si>
  <si>
    <t>11-11546</t>
  </si>
  <si>
    <t>11-07889</t>
  </si>
  <si>
    <t>11-07891</t>
  </si>
  <si>
    <t>11-07893</t>
  </si>
  <si>
    <t>11-07895</t>
  </si>
  <si>
    <t>11-07898</t>
  </si>
  <si>
    <t>11-07899</t>
  </si>
  <si>
    <t>11-07900</t>
  </si>
  <si>
    <t>11-08567</t>
  </si>
  <si>
    <t>11-08569</t>
  </si>
  <si>
    <t>11-08571</t>
  </si>
  <si>
    <t>11-15545</t>
  </si>
  <si>
    <t>11-08573</t>
  </si>
  <si>
    <t>11-08574</t>
  </si>
  <si>
    <t>11-08576</t>
  </si>
  <si>
    <t>11-08578</t>
  </si>
  <si>
    <t>11-08582</t>
  </si>
  <si>
    <t>11-11689</t>
  </si>
  <si>
    <t>11-08588</t>
  </si>
  <si>
    <t>11-08590</t>
  </si>
  <si>
    <t>11-08592</t>
  </si>
  <si>
    <t>11-15546</t>
  </si>
  <si>
    <t>11-08594</t>
  </si>
  <si>
    <t>11-08595</t>
  </si>
  <si>
    <t>11-08597</t>
  </si>
  <si>
    <t>11-08599</t>
  </si>
  <si>
    <t>11-08603</t>
  </si>
  <si>
    <t>11-11693</t>
  </si>
  <si>
    <t>11-08609</t>
  </si>
  <si>
    <t>11-08611</t>
  </si>
  <si>
    <t>11-08613</t>
  </si>
  <si>
    <t>11-15547</t>
  </si>
  <si>
    <t>11-08615</t>
  </si>
  <si>
    <t>11-08616</t>
  </si>
  <si>
    <t>11-08618</t>
  </si>
  <si>
    <t>11-08620</t>
  </si>
  <si>
    <t>11-08624</t>
  </si>
  <si>
    <t>11-11697</t>
  </si>
  <si>
    <t>11-11701</t>
  </si>
  <si>
    <t>11-11707</t>
  </si>
  <si>
    <t>11-11709</t>
  </si>
  <si>
    <t>11-11711</t>
  </si>
  <si>
    <t>11-15548</t>
  </si>
  <si>
    <t>11-11712</t>
  </si>
  <si>
    <t>11-11713</t>
  </si>
  <si>
    <t>11-11715</t>
  </si>
  <si>
    <t>11-11717</t>
  </si>
  <si>
    <t>11-11721</t>
  </si>
  <si>
    <t>11-08630</t>
  </si>
  <si>
    <t>11-08632</t>
  </si>
  <si>
    <t>11-08634</t>
  </si>
  <si>
    <t>11-15549</t>
  </si>
  <si>
    <t>11-08636</t>
  </si>
  <si>
    <t>11-08637</t>
  </si>
  <si>
    <t>11-08639</t>
  </si>
  <si>
    <t>11-08641</t>
  </si>
  <si>
    <t>11-08645</t>
  </si>
  <si>
    <t>11-11725</t>
  </si>
  <si>
    <t>11-11731</t>
  </si>
  <si>
    <t>11-11733</t>
  </si>
  <si>
    <t>11-11735</t>
  </si>
  <si>
    <t>11-15550</t>
  </si>
  <si>
    <t>11-11736</t>
  </si>
  <si>
    <t>11-11737</t>
  </si>
  <si>
    <t>11-11739</t>
  </si>
  <si>
    <t>11-11741</t>
  </si>
  <si>
    <t>11-11745</t>
  </si>
  <si>
    <t>11-11749</t>
  </si>
  <si>
    <t>11-11753</t>
  </si>
  <si>
    <t>11-11759</t>
  </si>
  <si>
    <t>11-11761</t>
  </si>
  <si>
    <t>11-11763</t>
  </si>
  <si>
    <t>11-15551</t>
  </si>
  <si>
    <t>11-11764</t>
  </si>
  <si>
    <t>11-11765</t>
  </si>
  <si>
    <t>11-11767</t>
  </si>
  <si>
    <t>11-11769</t>
  </si>
  <si>
    <t>11-11773</t>
  </si>
  <si>
    <t>11-11777</t>
  </si>
  <si>
    <t>11-11781</t>
  </si>
  <si>
    <t>11-11787</t>
  </si>
  <si>
    <t>11-11789</t>
  </si>
  <si>
    <t>11-11791</t>
  </si>
  <si>
    <t>11-15552</t>
  </si>
  <si>
    <t>11-11792</t>
  </si>
  <si>
    <t>11-11793</t>
  </si>
  <si>
    <t>11-11795</t>
  </si>
  <si>
    <t>11-11797</t>
  </si>
  <si>
    <t>11-11801</t>
  </si>
  <si>
    <t>11-11805</t>
  </si>
  <si>
    <t>11-11809</t>
  </si>
  <si>
    <t>11-11815</t>
  </si>
  <si>
    <t>11-11817</t>
  </si>
  <si>
    <t>11-11819</t>
  </si>
  <si>
    <t>11-15553</t>
  </si>
  <si>
    <t>11-11820</t>
  </si>
  <si>
    <t>11-11821</t>
  </si>
  <si>
    <t>11-11823</t>
  </si>
  <si>
    <t>11-11825</t>
  </si>
  <si>
    <t>11-11829</t>
  </si>
  <si>
    <t>11-11833</t>
  </si>
  <si>
    <t>11-11837</t>
  </si>
  <si>
    <t>11-08651</t>
  </si>
  <si>
    <t>11-10560</t>
  </si>
  <si>
    <t>11-10560-1</t>
  </si>
  <si>
    <t>11-10560-2</t>
  </si>
  <si>
    <t>11-08654</t>
  </si>
  <si>
    <t>11-08654-1</t>
  </si>
  <si>
    <t>11-08654-2</t>
  </si>
  <si>
    <t>11-10561</t>
  </si>
  <si>
    <t>11-08657</t>
  </si>
  <si>
    <t>11-08659</t>
  </si>
  <si>
    <t>11-08661</t>
  </si>
  <si>
    <t>11-10562</t>
  </si>
  <si>
    <t>11-08662</t>
  </si>
  <si>
    <t>11-10563</t>
  </si>
  <si>
    <t>11-08663</t>
  </si>
  <si>
    <t>11-08665</t>
  </si>
  <si>
    <t>11-08667</t>
  </si>
  <si>
    <t>11-08671</t>
  </si>
  <si>
    <t>11-08675</t>
  </si>
  <si>
    <t>11-08679</t>
  </si>
  <si>
    <t>11-11842</t>
  </si>
  <si>
    <t>11-11846</t>
  </si>
  <si>
    <t>11-11850</t>
  </si>
  <si>
    <t>11-11854</t>
  </si>
  <si>
    <t>11-08685</t>
  </si>
  <si>
    <t>11-10564</t>
  </si>
  <si>
    <t>11-08688</t>
  </si>
  <si>
    <t>11-10565</t>
  </si>
  <si>
    <t>11-08691</t>
  </si>
  <si>
    <t>11-08693</t>
  </si>
  <si>
    <t>11-08695</t>
  </si>
  <si>
    <t>11-10566</t>
  </si>
  <si>
    <t>11-08696</t>
  </si>
  <si>
    <t>11-10567</t>
  </si>
  <si>
    <t>11-08697</t>
  </si>
  <si>
    <t>11-08699</t>
  </si>
  <si>
    <t>11-08701</t>
  </si>
  <si>
    <t>11-08705</t>
  </si>
  <si>
    <t>11-08709</t>
  </si>
  <si>
    <t>11-11859</t>
  </si>
  <si>
    <t>11-11863</t>
  </si>
  <si>
    <t>11-11867</t>
  </si>
  <si>
    <t>11-08714</t>
  </si>
  <si>
    <t>11-10568</t>
  </si>
  <si>
    <t>11-10568-1</t>
  </si>
  <si>
    <t>11-10568-2</t>
  </si>
  <si>
    <t>11-08717</t>
  </si>
  <si>
    <t>11-08717-1</t>
  </si>
  <si>
    <t>11-08717-2</t>
  </si>
  <si>
    <t>11-10569</t>
  </si>
  <si>
    <t>11-08720</t>
  </si>
  <si>
    <t>11-08722</t>
  </si>
  <si>
    <t>11-08724</t>
  </si>
  <si>
    <t>11-10570</t>
  </si>
  <si>
    <t>11-08725</t>
  </si>
  <si>
    <t>11-10571</t>
  </si>
  <si>
    <t>11-08726</t>
  </si>
  <si>
    <t>11-08728</t>
  </si>
  <si>
    <t>11-08730</t>
  </si>
  <si>
    <t>11-08734</t>
  </si>
  <si>
    <t>11-08738</t>
  </si>
  <si>
    <t>11-08742</t>
  </si>
  <si>
    <t>11-11872</t>
  </si>
  <si>
    <t>11-11876</t>
  </si>
  <si>
    <t>11-08747</t>
  </si>
  <si>
    <t>11-10572</t>
  </si>
  <si>
    <t>11-08750</t>
  </si>
  <si>
    <t>11-10573</t>
  </si>
  <si>
    <t>11-08753</t>
  </si>
  <si>
    <t>11-08755</t>
  </si>
  <si>
    <t>11-08757</t>
  </si>
  <si>
    <t>11-10574</t>
  </si>
  <si>
    <t>11-08758</t>
  </si>
  <si>
    <t>11-10575</t>
  </si>
  <si>
    <t>11-08759</t>
  </si>
  <si>
    <t>11-08761</t>
  </si>
  <si>
    <t>11-08763</t>
  </si>
  <si>
    <t>11-08767</t>
  </si>
  <si>
    <t>11-08771</t>
  </si>
  <si>
    <t>11-08775</t>
  </si>
  <si>
    <t>11-11881</t>
  </si>
  <si>
    <t>11-11885</t>
  </si>
  <si>
    <t>11-08786</t>
  </si>
  <si>
    <t>11-08788</t>
  </si>
  <si>
    <t>11-08790</t>
  </si>
  <si>
    <t>11-08792</t>
  </si>
  <si>
    <t>11-08794</t>
  </si>
  <si>
    <t>11-08796</t>
  </si>
  <si>
    <t>11-08797</t>
  </si>
  <si>
    <t>11-08798</t>
  </si>
  <si>
    <t>11-08799</t>
  </si>
  <si>
    <t>11-08801</t>
  </si>
  <si>
    <t>11-08804</t>
  </si>
  <si>
    <t>11-08806</t>
  </si>
  <si>
    <t>11-08808</t>
  </si>
  <si>
    <t>11-08810</t>
  </si>
  <si>
    <t>11-08812</t>
  </si>
  <si>
    <t>11-08814</t>
  </si>
  <si>
    <t>11-08815</t>
  </si>
  <si>
    <t>11-08816</t>
  </si>
  <si>
    <t>11-08817</t>
  </si>
  <si>
    <t>11-08819</t>
  </si>
  <si>
    <t>11-08822</t>
  </si>
  <si>
    <t>11-08824</t>
  </si>
  <si>
    <t>11-08826</t>
  </si>
  <si>
    <t>11-08828</t>
  </si>
  <si>
    <t>11-08830</t>
  </si>
  <si>
    <t>11-08832</t>
  </si>
  <si>
    <t>11-08834</t>
  </si>
  <si>
    <t>11-08835</t>
  </si>
  <si>
    <t>11-08836</t>
  </si>
  <si>
    <t>11-08837</t>
  </si>
  <si>
    <t>11-08839</t>
  </si>
  <si>
    <t>11-10225</t>
  </si>
  <si>
    <t>11-10227</t>
  </si>
  <si>
    <t>11-10229</t>
  </si>
  <si>
    <t>11-10232</t>
  </si>
  <si>
    <t>11-10234</t>
  </si>
  <si>
    <t>11-10235</t>
  </si>
  <si>
    <t>11-10236</t>
  </si>
  <si>
    <t>11-10239</t>
  </si>
  <si>
    <t>11-10241</t>
  </si>
  <si>
    <t>11-10243</t>
  </si>
  <si>
    <t>11-10245</t>
  </si>
  <si>
    <t>11-10247</t>
  </si>
  <si>
    <t>11-10249</t>
  </si>
  <si>
    <t>11-10251</t>
  </si>
  <si>
    <t>11-10252</t>
  </si>
  <si>
    <t>11-10253</t>
  </si>
  <si>
    <t>11-10254</t>
  </si>
  <si>
    <t>11-10256</t>
  </si>
  <si>
    <t>11-10280</t>
  </si>
  <si>
    <t>11-10282</t>
  </si>
  <si>
    <t>11-10284</t>
  </si>
  <si>
    <t>11-15554</t>
  </si>
  <si>
    <t>11-10286</t>
  </si>
  <si>
    <t>11-10287</t>
  </si>
  <si>
    <t>11-10289</t>
  </si>
  <si>
    <t>11-10291</t>
  </si>
  <si>
    <t>11-10295</t>
  </si>
  <si>
    <t>11-10301</t>
  </si>
  <si>
    <t>11-10303</t>
  </si>
  <si>
    <t>11-10305</t>
  </si>
  <si>
    <t>11-15555</t>
  </si>
  <si>
    <t>11-10307</t>
  </si>
  <si>
    <t>11-10308</t>
  </si>
  <si>
    <t>11-10310</t>
  </si>
  <si>
    <t>11-10312</t>
  </si>
  <si>
    <t>11-10316</t>
  </si>
  <si>
    <t>11-10321</t>
  </si>
  <si>
    <t>11-10323</t>
  </si>
  <si>
    <t>11-10326</t>
  </si>
  <si>
    <t>11-10328</t>
  </si>
  <si>
    <t>11-10330</t>
  </si>
  <si>
    <t>11-10331</t>
  </si>
  <si>
    <t>11-10332</t>
  </si>
  <si>
    <t>11-10334</t>
  </si>
  <si>
    <t>11-10336</t>
  </si>
  <si>
    <t>11-10340</t>
  </si>
  <si>
    <t>11-10344</t>
  </si>
  <si>
    <t>11-10348</t>
  </si>
  <si>
    <t>11-10352</t>
  </si>
  <si>
    <t>11-10357</t>
  </si>
  <si>
    <t>11-10359</t>
  </si>
  <si>
    <t>11-10362</t>
  </si>
  <si>
    <t>11-10364</t>
  </si>
  <si>
    <t>11-10366</t>
  </si>
  <si>
    <t>11-10367</t>
  </si>
  <si>
    <t>11-10368</t>
  </si>
  <si>
    <t>11-10370</t>
  </si>
  <si>
    <t>11-10372</t>
  </si>
  <si>
    <t>11-10376</t>
  </si>
  <si>
    <t>11-10380</t>
  </si>
  <si>
    <t>11-10384</t>
  </si>
  <si>
    <t>11-10388</t>
  </si>
  <si>
    <t>11-07908</t>
  </si>
  <si>
    <t>11-07910</t>
  </si>
  <si>
    <t>11-07912</t>
  </si>
  <si>
    <t>11-07914</t>
  </si>
  <si>
    <t>11-07917</t>
  </si>
  <si>
    <t>11-07918</t>
  </si>
  <si>
    <t>11-07919</t>
  </si>
  <si>
    <t>11-08844</t>
  </si>
  <si>
    <t>11-08846</t>
  </si>
  <si>
    <t>11-08848</t>
  </si>
  <si>
    <t>11-15556</t>
  </si>
  <si>
    <t>11-08850</t>
  </si>
  <si>
    <t>11-08851</t>
  </si>
  <si>
    <t>11-08853</t>
  </si>
  <si>
    <t>11-08855</t>
  </si>
  <si>
    <t>11-08859</t>
  </si>
  <si>
    <t>11-08865</t>
  </si>
  <si>
    <t>11-08867</t>
  </si>
  <si>
    <t>11-08869</t>
  </si>
  <si>
    <t>11-15557</t>
  </si>
  <si>
    <t>11-08871</t>
  </si>
  <si>
    <t>11-08872</t>
  </si>
  <si>
    <t>11-08874</t>
  </si>
  <si>
    <t>11-08876</t>
  </si>
  <si>
    <t>11-08880</t>
  </si>
  <si>
    <t>11-08885</t>
  </si>
  <si>
    <t>11-08887</t>
  </si>
  <si>
    <t>11-08890</t>
  </si>
  <si>
    <t>11-08892</t>
  </si>
  <si>
    <t>11-08894</t>
  </si>
  <si>
    <t>11-08895</t>
  </si>
  <si>
    <t>11-08896</t>
  </si>
  <si>
    <t>11-08898</t>
  </si>
  <si>
    <t>11-08900</t>
  </si>
  <si>
    <t>11-08904</t>
  </si>
  <si>
    <t>11-08908</t>
  </si>
  <si>
    <t>11-08912</t>
  </si>
  <si>
    <t>11-08917</t>
  </si>
  <si>
    <t>11-08919</t>
  </si>
  <si>
    <t>11-08922</t>
  </si>
  <si>
    <t>11-08924</t>
  </si>
  <si>
    <t>11-08926</t>
  </si>
  <si>
    <t>11-08927</t>
  </si>
  <si>
    <t>11-08928</t>
  </si>
  <si>
    <t>11-08930</t>
  </si>
  <si>
    <t>11-08932</t>
  </si>
  <si>
    <t>11-08936</t>
  </si>
  <si>
    <t>11-08940</t>
  </si>
  <si>
    <t>11-08944</t>
  </si>
  <si>
    <t>11-00735</t>
  </si>
  <si>
    <t>11-00737</t>
  </si>
  <si>
    <t>11-00738</t>
  </si>
  <si>
    <t>11-00740</t>
  </si>
  <si>
    <t>11-00742</t>
  </si>
  <si>
    <t>11-00744</t>
  </si>
  <si>
    <t>11-00746</t>
  </si>
  <si>
    <t>11-00747</t>
  </si>
  <si>
    <t>11-00750</t>
  </si>
  <si>
    <t>11-00752</t>
  </si>
  <si>
    <t>11-10425</t>
  </si>
  <si>
    <t>11-00753</t>
  </si>
  <si>
    <t>11-00755</t>
  </si>
  <si>
    <t>11-00757</t>
  </si>
  <si>
    <t>11-00759</t>
  </si>
  <si>
    <t>11-00761</t>
  </si>
  <si>
    <t>11-00762</t>
  </si>
  <si>
    <t>11-00765</t>
  </si>
  <si>
    <t>11-00767</t>
  </si>
  <si>
    <t>11-10429</t>
  </si>
  <si>
    <t>11-00768</t>
  </si>
  <si>
    <t>11-00770</t>
  </si>
  <si>
    <t>11-00772</t>
  </si>
  <si>
    <t>11-00774</t>
  </si>
  <si>
    <t>11-00776</t>
  </si>
  <si>
    <t>11-00777</t>
  </si>
  <si>
    <t>11-00780</t>
  </si>
  <si>
    <t>11-00782</t>
  </si>
  <si>
    <t>11-00783</t>
  </si>
  <si>
    <t>11-00785</t>
  </si>
  <si>
    <t>11-00787</t>
  </si>
  <si>
    <t>11-00789</t>
  </si>
  <si>
    <t>11-00791</t>
  </si>
  <si>
    <t>11-00792</t>
  </si>
  <si>
    <t>11-00795</t>
  </si>
  <si>
    <t>11-00797</t>
  </si>
  <si>
    <t>11-00798</t>
  </si>
  <si>
    <t>11-00800</t>
  </si>
  <si>
    <t>11-00802</t>
  </si>
  <si>
    <t>11-00804</t>
  </si>
  <si>
    <t>11-00806</t>
  </si>
  <si>
    <t>11-00807</t>
  </si>
  <si>
    <t>11-03361</t>
  </si>
  <si>
    <t>11-03363</t>
  </si>
  <si>
    <t>11-03365</t>
  </si>
  <si>
    <t>11-03367</t>
  </si>
  <si>
    <t>11-03368</t>
  </si>
  <si>
    <t>11-03369</t>
  </si>
  <si>
    <t>11-03371</t>
  </si>
  <si>
    <t>11-03373</t>
  </si>
  <si>
    <t>11-03377</t>
  </si>
  <si>
    <t>11-03383</t>
  </si>
  <si>
    <t>11-03385</t>
  </si>
  <si>
    <t>11-03387</t>
  </si>
  <si>
    <t>11-03389</t>
  </si>
  <si>
    <t>11-03390</t>
  </si>
  <si>
    <t>11-03391</t>
  </si>
  <si>
    <t>11-03393</t>
  </si>
  <si>
    <t>11-03395</t>
  </si>
  <si>
    <t>11-03399</t>
  </si>
  <si>
    <t>11-10993</t>
  </si>
  <si>
    <t>11-10997</t>
  </si>
  <si>
    <t>11-03405</t>
  </si>
  <si>
    <t>11-03408</t>
  </si>
  <si>
    <t>11-03410</t>
  </si>
  <si>
    <t>11-03412</t>
  </si>
  <si>
    <t>11-03413</t>
  </si>
  <si>
    <t>11-03414</t>
  </si>
  <si>
    <t>11-03416</t>
  </si>
  <si>
    <t>11-03418</t>
  </si>
  <si>
    <t>11-03422</t>
  </si>
  <si>
    <t>11-11012</t>
  </si>
  <si>
    <t>11-03428</t>
  </si>
  <si>
    <t>11-03430</t>
  </si>
  <si>
    <t>11-03432</t>
  </si>
  <si>
    <t>11-03434</t>
  </si>
  <si>
    <t>11-03435</t>
  </si>
  <si>
    <t>11-03436</t>
  </si>
  <si>
    <t>11-03438</t>
  </si>
  <si>
    <t>11-03440</t>
  </si>
  <si>
    <t>11-03444</t>
  </si>
  <si>
    <t>11-03448</t>
  </si>
  <si>
    <t>11-03454</t>
  </si>
  <si>
    <t>11-03456</t>
  </si>
  <si>
    <t>11-03458</t>
  </si>
  <si>
    <t>11-03460</t>
  </si>
  <si>
    <t>11-03461</t>
  </si>
  <si>
    <t>11-03462</t>
  </si>
  <si>
    <t>11-03464</t>
  </si>
  <si>
    <t>11-03466</t>
  </si>
  <si>
    <t>11-03470</t>
  </si>
  <si>
    <t>11-03474</t>
  </si>
  <si>
    <t>11-03480</t>
  </si>
  <si>
    <t>11-03482</t>
  </si>
  <si>
    <t>11-03484</t>
  </si>
  <si>
    <t>11-03486</t>
  </si>
  <si>
    <t>11-03487</t>
  </si>
  <si>
    <t>11-03488</t>
  </si>
  <si>
    <t>11-03490</t>
  </si>
  <si>
    <t>11-03492</t>
  </si>
  <si>
    <t>11-03496</t>
  </si>
  <si>
    <t>11-03500</t>
  </si>
  <si>
    <t>11-03506</t>
  </si>
  <si>
    <t>11-03508</t>
  </si>
  <si>
    <t>11-03510</t>
  </si>
  <si>
    <t>11-03512</t>
  </si>
  <si>
    <t>11-03513</t>
  </si>
  <si>
    <t>11-03514</t>
  </si>
  <si>
    <t>11-03516</t>
  </si>
  <si>
    <t>11-03518</t>
  </si>
  <si>
    <t>11-03522</t>
  </si>
  <si>
    <t>11-03526</t>
  </si>
  <si>
    <t>11-03532</t>
  </si>
  <si>
    <t>11-03534</t>
  </si>
  <si>
    <t>11-03536</t>
  </si>
  <si>
    <t>11-03538</t>
  </si>
  <si>
    <t>11-03539</t>
  </si>
  <si>
    <t>11-03540</t>
  </si>
  <si>
    <t>11-03542</t>
  </si>
  <si>
    <t>11-03544</t>
  </si>
  <si>
    <t>11-03548</t>
  </si>
  <si>
    <t>11-03554</t>
  </si>
  <si>
    <t>11-03556</t>
  </si>
  <si>
    <t>11-03558</t>
  </si>
  <si>
    <t>11-03560</t>
  </si>
  <si>
    <t>11-03561</t>
  </si>
  <si>
    <t>11-03562</t>
  </si>
  <si>
    <t>11-03564</t>
  </si>
  <si>
    <t>11-03566</t>
  </si>
  <si>
    <t>11-03570</t>
  </si>
  <si>
    <t>11-03574</t>
  </si>
  <si>
    <t>11-11097</t>
  </si>
  <si>
    <t>11-03580</t>
  </si>
  <si>
    <t>11-03582</t>
  </si>
  <si>
    <t>11-03584</t>
  </si>
  <si>
    <t>11-03586</t>
  </si>
  <si>
    <t>11-03587</t>
  </si>
  <si>
    <t>11-03588</t>
  </si>
  <si>
    <t>11-03590</t>
  </si>
  <si>
    <t>11-03592</t>
  </si>
  <si>
    <t>11-03596</t>
  </si>
  <si>
    <t>11-03600</t>
  </si>
  <si>
    <t>11-11115</t>
  </si>
  <si>
    <t>11-03605</t>
  </si>
  <si>
    <t>11-04632</t>
  </si>
  <si>
    <t>11-03607</t>
  </si>
  <si>
    <t>11-03610</t>
  </si>
  <si>
    <t>11-03612</t>
  </si>
  <si>
    <t>11-03614</t>
  </si>
  <si>
    <t>11-03616</t>
  </si>
  <si>
    <t>11-03617</t>
  </si>
  <si>
    <t>11-04633</t>
  </si>
  <si>
    <t>11-04634</t>
  </si>
  <si>
    <t>11-03618</t>
  </si>
  <si>
    <t>11-03620</t>
  </si>
  <si>
    <t>11-03622</t>
  </si>
  <si>
    <t>11-03626</t>
  </si>
  <si>
    <t>11-03630</t>
  </si>
  <si>
    <t>11-03634</t>
  </si>
  <si>
    <t>11-03639</t>
  </si>
  <si>
    <t>11-03639-1</t>
  </si>
  <si>
    <t>11-04635</t>
  </si>
  <si>
    <t>11-04635-1</t>
  </si>
  <si>
    <t>11-04635-2</t>
  </si>
  <si>
    <t>11-03641</t>
  </si>
  <si>
    <t>11-03641-1</t>
  </si>
  <si>
    <t>11-03641-2</t>
  </si>
  <si>
    <t>11-03643</t>
  </si>
  <si>
    <t>11-03645</t>
  </si>
  <si>
    <t>11-03647</t>
  </si>
  <si>
    <t>11-03649</t>
  </si>
  <si>
    <t>11-03650</t>
  </si>
  <si>
    <t>11-04636</t>
  </si>
  <si>
    <t>11-04637</t>
  </si>
  <si>
    <t>11-03651</t>
  </si>
  <si>
    <t>11-03653</t>
  </si>
  <si>
    <t>11-03655</t>
  </si>
  <si>
    <t>11-03659</t>
  </si>
  <si>
    <t>11-03663</t>
  </si>
  <si>
    <t>11-03667</t>
  </si>
  <si>
    <t>11-03672</t>
  </si>
  <si>
    <t>11-03674</t>
  </si>
  <si>
    <t>11-03677</t>
  </si>
  <si>
    <t>11-03678</t>
  </si>
  <si>
    <t>11-03679</t>
  </si>
  <si>
    <t>11-03681</t>
  </si>
  <si>
    <t>11-03685</t>
  </si>
  <si>
    <t>11-00811</t>
  </si>
  <si>
    <t>11-00813</t>
  </si>
  <si>
    <t>11-00814</t>
  </si>
  <si>
    <t>11-00816</t>
  </si>
  <si>
    <t>11-00818</t>
  </si>
  <si>
    <t>11-00820</t>
  </si>
  <si>
    <t>11-00822</t>
  </si>
  <si>
    <t>11-00823</t>
  </si>
  <si>
    <t>11-00826</t>
  </si>
  <si>
    <t>11-00828</t>
  </si>
  <si>
    <t>11-00829</t>
  </si>
  <si>
    <t>11-00831</t>
  </si>
  <si>
    <t>11-00833</t>
  </si>
  <si>
    <t>11-00835</t>
  </si>
  <si>
    <t>11-00837</t>
  </si>
  <si>
    <t>11-00838</t>
  </si>
  <si>
    <t>11-00841</t>
  </si>
  <si>
    <t>11-00843</t>
  </si>
  <si>
    <t>11-00844</t>
  </si>
  <si>
    <t>11-00846</t>
  </si>
  <si>
    <t>11-00848</t>
  </si>
  <si>
    <t>11-00850</t>
  </si>
  <si>
    <t>11-00852</t>
  </si>
  <si>
    <t>11-00854</t>
  </si>
  <si>
    <t>11-00855</t>
  </si>
  <si>
    <t>11-00857</t>
  </si>
  <si>
    <t>11-01667</t>
  </si>
  <si>
    <t>11-11158</t>
  </si>
  <si>
    <t>11-11159</t>
  </si>
  <si>
    <t>11-11160</t>
  </si>
  <si>
    <t>11-01670</t>
  </si>
  <si>
    <t>11-11161</t>
  </si>
  <si>
    <t>11-11163</t>
  </si>
  <si>
    <t>11-11165</t>
  </si>
  <si>
    <t>11-01672</t>
  </si>
  <si>
    <t>11-11167</t>
  </si>
  <si>
    <t>11-01674</t>
  </si>
  <si>
    <t>11-01678</t>
  </si>
  <si>
    <t>11-11172</t>
  </si>
  <si>
    <t>11-11173</t>
  </si>
  <si>
    <t>11-11174</t>
  </si>
  <si>
    <t>11-11175</t>
  </si>
  <si>
    <t>11-11179</t>
  </si>
  <si>
    <t>11-11180</t>
  </si>
  <si>
    <t>11-11184</t>
  </si>
  <si>
    <t>11-11185</t>
  </si>
  <si>
    <t>11-11189</t>
  </si>
  <si>
    <t>11-11190</t>
  </si>
  <si>
    <t>11-11194</t>
  </si>
  <si>
    <t>11-11195</t>
  </si>
  <si>
    <t>11-01682</t>
  </si>
  <si>
    <t>11-11199</t>
  </si>
  <si>
    <t>11-01683</t>
  </si>
  <si>
    <t>11-11200</t>
  </si>
  <si>
    <t>11-11201</t>
  </si>
  <si>
    <t>11-11202</t>
  </si>
  <si>
    <t>11-01684</t>
  </si>
  <si>
    <t>11-11203</t>
  </si>
  <si>
    <t>11-11204</t>
  </si>
  <si>
    <t>11-11205</t>
  </si>
  <si>
    <t>11-01686</t>
  </si>
  <si>
    <t>11-11206</t>
  </si>
  <si>
    <t>11-01689</t>
  </si>
  <si>
    <t>11-11207</t>
  </si>
  <si>
    <t>11-11208</t>
  </si>
  <si>
    <t>11-11209</t>
  </si>
  <si>
    <t>11-01691</t>
  </si>
  <si>
    <t>11-11210</t>
  </si>
  <si>
    <t>11-11211</t>
  </si>
  <si>
    <t>11-11212</t>
  </si>
  <si>
    <t>11-01694</t>
  </si>
  <si>
    <t>11-11213</t>
  </si>
  <si>
    <t>11-11214</t>
  </si>
  <si>
    <t>11-11215</t>
  </si>
  <si>
    <t>11-01696</t>
  </si>
  <si>
    <t>11-01700</t>
  </si>
  <si>
    <t>11-11220</t>
  </si>
  <si>
    <t>11-11224</t>
  </si>
  <si>
    <t>11-11228</t>
  </si>
  <si>
    <t>11-11232</t>
  </si>
  <si>
    <t>11-11236</t>
  </si>
  <si>
    <t>11-11240</t>
  </si>
  <si>
    <t>11-01704</t>
  </si>
  <si>
    <t>11-11244</t>
  </si>
  <si>
    <t>11-11245</t>
  </si>
  <si>
    <t>11-11246</t>
  </si>
  <si>
    <t>11-01705</t>
  </si>
  <si>
    <t>11-11247</t>
  </si>
  <si>
    <t>11-11248</t>
  </si>
  <si>
    <t>11-11249</t>
  </si>
  <si>
    <t>11-01706</t>
  </si>
  <si>
    <t>11-11250</t>
  </si>
  <si>
    <t>11-11251</t>
  </si>
  <si>
    <t>11-11252</t>
  </si>
  <si>
    <t>11-01708</t>
  </si>
  <si>
    <t>11-11253</t>
  </si>
  <si>
    <t>11-11254</t>
  </si>
  <si>
    <t>11-11255</t>
  </si>
  <si>
    <t>11-01711</t>
  </si>
  <si>
    <t>11-01713</t>
  </si>
  <si>
    <t>11-01715</t>
  </si>
  <si>
    <t>11-01717</t>
  </si>
  <si>
    <t>11-01721</t>
  </si>
  <si>
    <t>11-11260</t>
  </si>
  <si>
    <t>11-11264</t>
  </si>
  <si>
    <t>11-01725</t>
  </si>
  <si>
    <t>11-01726</t>
  </si>
  <si>
    <t>11-01727</t>
  </si>
  <si>
    <t>11-01729</t>
  </si>
  <si>
    <t>11-01732</t>
  </si>
  <si>
    <t>11-01734</t>
  </si>
  <si>
    <t>11-01736</t>
  </si>
  <si>
    <t>11-01738</t>
  </si>
  <si>
    <t>11-01740</t>
  </si>
  <si>
    <t>11-01742</t>
  </si>
  <si>
    <t>11-01746</t>
  </si>
  <si>
    <t>11-01750</t>
  </si>
  <si>
    <t>11-01754</t>
  </si>
  <si>
    <t>11-11272</t>
  </si>
  <si>
    <t>11-11276</t>
  </si>
  <si>
    <t>11-01758</t>
  </si>
  <si>
    <t>11-01759</t>
  </si>
  <si>
    <t>11-01760</t>
  </si>
  <si>
    <t>11-01761</t>
  </si>
  <si>
    <t>11-01763</t>
  </si>
  <si>
    <t>11-01765</t>
  </si>
  <si>
    <t>11-01768</t>
  </si>
  <si>
    <t>11-01770</t>
  </si>
  <si>
    <t>11-01772</t>
  </si>
  <si>
    <t>11-01774</t>
  </si>
  <si>
    <t>11-01776</t>
  </si>
  <si>
    <t>11-01778</t>
  </si>
  <si>
    <t>11-01782</t>
  </si>
  <si>
    <t>11-01786</t>
  </si>
  <si>
    <t>11-01790</t>
  </si>
  <si>
    <t>11-11284</t>
  </si>
  <si>
    <t>11-11288</t>
  </si>
  <si>
    <t>11-01794</t>
  </si>
  <si>
    <t>11-01795</t>
  </si>
  <si>
    <t>11-01796</t>
  </si>
  <si>
    <t>11-01797</t>
  </si>
  <si>
    <t>11-01799</t>
  </si>
  <si>
    <t>11-01801</t>
  </si>
  <si>
    <t>11-00588</t>
  </si>
  <si>
    <t>11-00590</t>
  </si>
  <si>
    <t>11-00591</t>
  </si>
  <si>
    <t>11-00593</t>
  </si>
  <si>
    <t>11-00595</t>
  </si>
  <si>
    <t>11-00597</t>
  </si>
  <si>
    <t>11-00598</t>
  </si>
  <si>
    <t>11-00601</t>
  </si>
  <si>
    <t>11-00603</t>
  </si>
  <si>
    <t>11-00604</t>
  </si>
  <si>
    <t>11-00606</t>
  </si>
  <si>
    <t>11-00608</t>
  </si>
  <si>
    <t>11-00610</t>
  </si>
  <si>
    <t>11-00611</t>
  </si>
  <si>
    <t>11-10440</t>
  </si>
  <si>
    <t>11-10442</t>
  </si>
  <si>
    <t>11-10443</t>
  </si>
  <si>
    <t>11-10446</t>
  </si>
  <si>
    <t>11-10449</t>
  </si>
  <si>
    <t>11-10451</t>
  </si>
  <si>
    <t>11-10454</t>
  </si>
  <si>
    <t>11-10455</t>
  </si>
  <si>
    <t>11-03692</t>
  </si>
  <si>
    <t>11-03692-1</t>
  </si>
  <si>
    <t>11-03695</t>
  </si>
  <si>
    <t>11-03697</t>
  </si>
  <si>
    <t>11-03699</t>
  </si>
  <si>
    <t>11-03700</t>
  </si>
  <si>
    <t>11-03701</t>
  </si>
  <si>
    <t>11-03703</t>
  </si>
  <si>
    <t>11-03705</t>
  </si>
  <si>
    <t>11-03709</t>
  </si>
  <si>
    <t>11-03715</t>
  </si>
  <si>
    <t>11-03715-1</t>
  </si>
  <si>
    <t>11-03717</t>
  </si>
  <si>
    <t>11-03719</t>
  </si>
  <si>
    <t>11-03721</t>
  </si>
  <si>
    <t>11-03722</t>
  </si>
  <si>
    <t>11-03723</t>
  </si>
  <si>
    <t>11-03725</t>
  </si>
  <si>
    <t>11-03727</t>
  </si>
  <si>
    <t>11-03731</t>
  </si>
  <si>
    <t>11-03737</t>
  </si>
  <si>
    <t>11-03737-1</t>
  </si>
  <si>
    <t>11-03739</t>
  </si>
  <si>
    <t>11-03742</t>
  </si>
  <si>
    <t>11-03744</t>
  </si>
  <si>
    <t>11-03745</t>
  </si>
  <si>
    <t>11-03746</t>
  </si>
  <si>
    <t>11-03748</t>
  </si>
  <si>
    <t>11-03750</t>
  </si>
  <si>
    <t>11-03754</t>
  </si>
  <si>
    <t>11-03758</t>
  </si>
  <si>
    <t>11-03764</t>
  </si>
  <si>
    <t>11-03764-1</t>
  </si>
  <si>
    <t>11-03766</t>
  </si>
  <si>
    <t>11-03768</t>
  </si>
  <si>
    <t>11-03770</t>
  </si>
  <si>
    <t>11-03771</t>
  </si>
  <si>
    <t>11-03772</t>
  </si>
  <si>
    <t>11-03774</t>
  </si>
  <si>
    <t>11-03776</t>
  </si>
  <si>
    <t>11-03780</t>
  </si>
  <si>
    <t>11-03784</t>
  </si>
  <si>
    <t>11-03790</t>
  </si>
  <si>
    <t>11-03790-1</t>
  </si>
  <si>
    <t>11-03792</t>
  </si>
  <si>
    <t>11-03794</t>
  </si>
  <si>
    <t>11-03796</t>
  </si>
  <si>
    <t>11-03797</t>
  </si>
  <si>
    <t>11-03798</t>
  </si>
  <si>
    <t>11-03800</t>
  </si>
  <si>
    <t>11-03802</t>
  </si>
  <si>
    <t>11-03806</t>
  </si>
  <si>
    <t>11-11346</t>
  </si>
  <si>
    <t>11-03812</t>
  </si>
  <si>
    <t>11-03812-1</t>
  </si>
  <si>
    <t>11-03814</t>
  </si>
  <si>
    <t>11-03816</t>
  </si>
  <si>
    <t>11-03818</t>
  </si>
  <si>
    <t>11-03819</t>
  </si>
  <si>
    <t>11-03820</t>
  </si>
  <si>
    <t>11-03822</t>
  </si>
  <si>
    <t>11-03824</t>
  </si>
  <si>
    <t>11-03828</t>
  </si>
  <si>
    <t>11-03832</t>
  </si>
  <si>
    <t>11-03838</t>
  </si>
  <si>
    <t>11-03838-1</t>
  </si>
  <si>
    <t>11-03840</t>
  </si>
  <si>
    <t>11-03842</t>
  </si>
  <si>
    <t>11-03844</t>
  </si>
  <si>
    <t>11-03845</t>
  </si>
  <si>
    <t>11-03846</t>
  </si>
  <si>
    <t>11-03848</t>
  </si>
  <si>
    <t>11-03850</t>
  </si>
  <si>
    <t>11-03854</t>
  </si>
  <si>
    <t>11-03858</t>
  </si>
  <si>
    <t>11-11375</t>
  </si>
  <si>
    <t>11-11377</t>
  </si>
  <si>
    <t>11-15558</t>
  </si>
  <si>
    <t>11-11379</t>
  </si>
  <si>
    <t>11-11380</t>
  </si>
  <si>
    <t>11-11382</t>
  </si>
  <si>
    <t>11-11384</t>
  </si>
  <si>
    <t>11-11388</t>
  </si>
  <si>
    <t>11-11394</t>
  </si>
  <si>
    <t>11-11396</t>
  </si>
  <si>
    <t>11-15559</t>
  </si>
  <si>
    <t>11-11398</t>
  </si>
  <si>
    <t>11-11399</t>
  </si>
  <si>
    <t>11-11401</t>
  </si>
  <si>
    <t>11-11403</t>
  </si>
  <si>
    <t>11-11407</t>
  </si>
  <si>
    <t>11-11413</t>
  </si>
  <si>
    <t>11-11415</t>
  </si>
  <si>
    <t>11-15560</t>
  </si>
  <si>
    <t>11-11417</t>
  </si>
  <si>
    <t>11-11418</t>
  </si>
  <si>
    <t>11-11420</t>
  </si>
  <si>
    <t>11-11422</t>
  </si>
  <si>
    <t>11-11426</t>
  </si>
  <si>
    <t>11-11432</t>
  </si>
  <si>
    <t>11-11434</t>
  </si>
  <si>
    <t>11-15561</t>
  </si>
  <si>
    <t>11-11436</t>
  </si>
  <si>
    <t>11-11437</t>
  </si>
  <si>
    <t>11-11439</t>
  </si>
  <si>
    <t>11-11441</t>
  </si>
  <si>
    <t>11-11445</t>
  </si>
  <si>
    <t>11-11449</t>
  </si>
  <si>
    <t>11-11455</t>
  </si>
  <si>
    <t>11-11457</t>
  </si>
  <si>
    <t>11-15562</t>
  </si>
  <si>
    <t>11-11459</t>
  </si>
  <si>
    <t>11-11460</t>
  </si>
  <si>
    <t>11-11462</t>
  </si>
  <si>
    <t>11-11464</t>
  </si>
  <si>
    <t>11-11468</t>
  </si>
  <si>
    <t>11-11472</t>
  </si>
  <si>
    <t>11-03863</t>
  </si>
  <si>
    <t>11-04638</t>
  </si>
  <si>
    <t>11-03865</t>
  </si>
  <si>
    <t>11-03867</t>
  </si>
  <si>
    <t>11-03869</t>
  </si>
  <si>
    <t>11-03871</t>
  </si>
  <si>
    <t>11-03873</t>
  </si>
  <si>
    <t>11-03874</t>
  </si>
  <si>
    <t>11-04639</t>
  </si>
  <si>
    <t>11-04640</t>
  </si>
  <si>
    <t>11-03875</t>
  </si>
  <si>
    <t>11-03877</t>
  </si>
  <si>
    <t>11-03879</t>
  </si>
  <si>
    <t>11-03883</t>
  </si>
  <si>
    <t>11-03887</t>
  </si>
  <si>
    <t>11-03891</t>
  </si>
  <si>
    <t>11-03896</t>
  </si>
  <si>
    <t>11-04641</t>
  </si>
  <si>
    <t>11-03898</t>
  </si>
  <si>
    <t>11-03900</t>
  </si>
  <si>
    <t>11-03902</t>
  </si>
  <si>
    <t>11-03904</t>
  </si>
  <si>
    <t>11-03906</t>
  </si>
  <si>
    <t>11-03907</t>
  </si>
  <si>
    <t>11-04642</t>
  </si>
  <si>
    <t>11-04643</t>
  </si>
  <si>
    <t>11-03908</t>
  </si>
  <si>
    <t>11-03910</t>
  </si>
  <si>
    <t>11-03912</t>
  </si>
  <si>
    <t>11-03916</t>
  </si>
  <si>
    <t>11-03920</t>
  </si>
  <si>
    <t>11-03924</t>
  </si>
  <si>
    <t>11-00455</t>
  </si>
  <si>
    <t>11-00457</t>
  </si>
  <si>
    <t>11-00459</t>
  </si>
  <si>
    <t>11-00461</t>
  </si>
  <si>
    <t>11-00463</t>
  </si>
  <si>
    <t>11-00464</t>
  </si>
  <si>
    <t>11-00465</t>
  </si>
  <si>
    <t>11-00467</t>
  </si>
  <si>
    <t>11-00469</t>
  </si>
  <si>
    <t>11-00471</t>
  </si>
  <si>
    <t>11-00473</t>
  </si>
  <si>
    <t>11-00476</t>
  </si>
  <si>
    <t>11-00477</t>
  </si>
  <si>
    <t>11-00480</t>
  </si>
  <si>
    <t>11-16414</t>
  </si>
  <si>
    <t>11-16416</t>
  </si>
  <si>
    <t>11-16417</t>
  </si>
  <si>
    <t>11-16418</t>
  </si>
  <si>
    <t>11-16420</t>
  </si>
  <si>
    <t>11-16422</t>
  </si>
  <si>
    <t>11-16425</t>
  </si>
  <si>
    <t>11-16426</t>
  </si>
  <si>
    <t>11-16428</t>
  </si>
  <si>
    <t>11-16430</t>
  </si>
  <si>
    <t>11-16432</t>
  </si>
  <si>
    <t>11-16434</t>
  </si>
  <si>
    <t>11-16436</t>
  </si>
  <si>
    <t>11-07609</t>
  </si>
  <si>
    <t>11-07611</t>
  </si>
  <si>
    <t>11-07613</t>
  </si>
  <si>
    <t>11-07615</t>
  </si>
  <si>
    <t>11-07617</t>
  </si>
  <si>
    <t>11-07618</t>
  </si>
  <si>
    <t>11-07619</t>
  </si>
  <si>
    <t>11-07621</t>
  </si>
  <si>
    <t>11-07623</t>
  </si>
  <si>
    <t>11-07625</t>
  </si>
  <si>
    <t>11-07630</t>
  </si>
  <si>
    <t>11-07632</t>
  </si>
  <si>
    <t>11-07634</t>
  </si>
  <si>
    <t>11-07636</t>
  </si>
  <si>
    <t>11-08193</t>
  </si>
  <si>
    <t>11-08195</t>
  </si>
  <si>
    <t>11-08197</t>
  </si>
  <si>
    <t>11-08199</t>
  </si>
  <si>
    <t>11-08201</t>
  </si>
  <si>
    <t>11-08202</t>
  </si>
  <si>
    <t>11-08204</t>
  </si>
  <si>
    <t>11-08206</t>
  </si>
  <si>
    <t>11-08208</t>
  </si>
  <si>
    <t>11-08210</t>
  </si>
  <si>
    <t>11-08214</t>
  </si>
  <si>
    <t>11-08216</t>
  </si>
  <si>
    <t>11-08218</t>
  </si>
  <si>
    <t>11-08220</t>
  </si>
  <si>
    <t>11-08222</t>
  </si>
  <si>
    <t>11-08223</t>
  </si>
  <si>
    <t>11-08225</t>
  </si>
  <si>
    <t>11-08227</t>
  </si>
  <si>
    <t>11-08229</t>
  </si>
  <si>
    <t>11-08231</t>
  </si>
  <si>
    <t>11-13263</t>
  </si>
  <si>
    <t>11-13266</t>
  </si>
  <si>
    <t>11-13267</t>
  </si>
  <si>
    <t>11-13268</t>
  </si>
  <si>
    <t>11-13270</t>
  </si>
  <si>
    <t>11-13272</t>
  </si>
  <si>
    <t>11-13274</t>
  </si>
  <si>
    <t>11-13276</t>
  </si>
  <si>
    <t>11-13278</t>
  </si>
  <si>
    <t>11-13280</t>
  </si>
  <si>
    <t>11-13282</t>
  </si>
  <si>
    <t>11-13284</t>
  </si>
  <si>
    <t>11-13286</t>
  </si>
  <si>
    <t>11-13288</t>
  </si>
  <si>
    <t>11-13290</t>
  </si>
  <si>
    <t>11-13292</t>
  </si>
  <si>
    <t>11-13294</t>
  </si>
  <si>
    <t>11-13296</t>
  </si>
  <si>
    <t>11-13298</t>
  </si>
  <si>
    <t>11-13300</t>
  </si>
  <si>
    <t>11-13302</t>
  </si>
  <si>
    <t>11-16439</t>
  </si>
  <si>
    <t>11-16441</t>
  </si>
  <si>
    <t>11-16442</t>
  </si>
  <si>
    <t>11-16445</t>
  </si>
  <si>
    <t>11-16449</t>
  </si>
  <si>
    <t>11-16451</t>
  </si>
  <si>
    <t>11-16452</t>
  </si>
  <si>
    <t>11-16454</t>
  </si>
  <si>
    <t>11-16456</t>
  </si>
  <si>
    <t>11-03940</t>
  </si>
  <si>
    <t>11-03942</t>
  </si>
  <si>
    <t>11-03944</t>
  </si>
  <si>
    <t>11-03946</t>
  </si>
  <si>
    <t>11-03950</t>
  </si>
  <si>
    <t>11-03951</t>
  </si>
  <si>
    <t>11-03953</t>
  </si>
  <si>
    <t>11-03955</t>
  </si>
  <si>
    <t>11-03956</t>
  </si>
  <si>
    <t>11-03958</t>
  </si>
  <si>
    <t>11-03960</t>
  </si>
  <si>
    <t>11-03962</t>
  </si>
  <si>
    <t>11-03967</t>
  </si>
  <si>
    <t>11-03968</t>
  </si>
  <si>
    <t>11-03970</t>
  </si>
  <si>
    <t>11-03971</t>
  </si>
  <si>
    <t>11-11550</t>
  </si>
  <si>
    <t>11-11552</t>
  </si>
  <si>
    <t>11-11554</t>
  </si>
  <si>
    <t>11-07640</t>
  </si>
  <si>
    <t>11-07642</t>
  </si>
  <si>
    <t>11-07644</t>
  </si>
  <si>
    <t>11-07646</t>
  </si>
  <si>
    <t>11-07648</t>
  </si>
  <si>
    <t>11-07650</t>
  </si>
  <si>
    <t>11-07652</t>
  </si>
  <si>
    <t>11-07654</t>
  </si>
  <si>
    <t>11-07655</t>
  </si>
  <si>
    <t>11-07656</t>
  </si>
  <si>
    <t>11-07658</t>
  </si>
  <si>
    <t>11-07661</t>
  </si>
  <si>
    <t>11-07663</t>
  </si>
  <si>
    <t>11-07665</t>
  </si>
  <si>
    <t>11-07667</t>
  </si>
  <si>
    <t>11-07669</t>
  </si>
  <si>
    <t>11-07671</t>
  </si>
  <si>
    <t>11-07673</t>
  </si>
  <si>
    <t>11-07675</t>
  </si>
  <si>
    <t>11-07676</t>
  </si>
  <si>
    <t>11-07677</t>
  </si>
  <si>
    <t>11-07680</t>
  </si>
  <si>
    <t>11-07682</t>
  </si>
  <si>
    <t>11-07684</t>
  </si>
  <si>
    <t>11-07686</t>
  </si>
  <si>
    <t>11-07688</t>
  </si>
  <si>
    <t>11-07689</t>
  </si>
  <si>
    <t>11-07690</t>
  </si>
  <si>
    <t>11-07693</t>
  </si>
  <si>
    <t>11-07695</t>
  </si>
  <si>
    <t>11-07697</t>
  </si>
  <si>
    <t>11-07699</t>
  </si>
  <si>
    <t>11-07701</t>
  </si>
  <si>
    <t>11-07702</t>
  </si>
  <si>
    <t>11-07703</t>
  </si>
  <si>
    <t>11-07706</t>
  </si>
  <si>
    <t>11-07708</t>
  </si>
  <si>
    <t>11-07710</t>
  </si>
  <si>
    <t>11-07712</t>
  </si>
  <si>
    <t>11-07714</t>
  </si>
  <si>
    <t>11-07716</t>
  </si>
  <si>
    <t>11-07718</t>
  </si>
  <si>
    <t>11-07720</t>
  </si>
  <si>
    <t>11-07721</t>
  </si>
  <si>
    <t>11-07722</t>
  </si>
  <si>
    <t>11-07724</t>
  </si>
  <si>
    <t>11-07727</t>
  </si>
  <si>
    <t>11-07729</t>
  </si>
  <si>
    <t>11-07731</t>
  </si>
  <si>
    <t>11-07732</t>
  </si>
  <si>
    <t>11-07733</t>
  </si>
  <si>
    <t>11-07735</t>
  </si>
  <si>
    <t>11-07737</t>
  </si>
  <si>
    <t>11-11556</t>
  </si>
  <si>
    <t>11-08950</t>
  </si>
  <si>
    <t>11-08954</t>
  </si>
  <si>
    <t>11-08957</t>
  </si>
  <si>
    <t>11-08961</t>
  </si>
  <si>
    <t>11-08962</t>
  </si>
  <si>
    <t>11-08963</t>
  </si>
  <si>
    <t>11-08966</t>
  </si>
  <si>
    <t>11-08968</t>
  </si>
  <si>
    <t>11-08971</t>
  </si>
  <si>
    <t>11-08973</t>
  </si>
  <si>
    <t>11-08975</t>
  </si>
  <si>
    <t>11-08977</t>
  </si>
  <si>
    <t>11-08979</t>
  </si>
  <si>
    <t>11-08980</t>
  </si>
  <si>
    <t>11-08984</t>
  </si>
  <si>
    <t>11-08988</t>
  </si>
  <si>
    <t>11-08990</t>
  </si>
  <si>
    <t>11-08991</t>
  </si>
  <si>
    <t>11-08992</t>
  </si>
  <si>
    <t>11-08995</t>
  </si>
  <si>
    <t>11-08998</t>
  </si>
  <si>
    <t>11-08998-1</t>
  </si>
  <si>
    <t>11-09001</t>
  </si>
  <si>
    <t>11-09003</t>
  </si>
  <si>
    <t>11-09004</t>
  </si>
  <si>
    <t>11-09005</t>
  </si>
  <si>
    <t>11-09009</t>
  </si>
  <si>
    <t>11-09010</t>
  </si>
  <si>
    <t>11-09011</t>
  </si>
  <si>
    <t>11-09014</t>
  </si>
  <si>
    <t>11-09016</t>
  </si>
  <si>
    <t>11-09018</t>
  </si>
  <si>
    <t>11-09019</t>
  </si>
  <si>
    <t>11-09020</t>
  </si>
  <si>
    <t>11-09022</t>
  </si>
  <si>
    <t>11-09023</t>
  </si>
  <si>
    <t>11-09025</t>
  </si>
  <si>
    <t>11-09026</t>
  </si>
  <si>
    <t>11-09027</t>
  </si>
  <si>
    <t>11-09030</t>
  </si>
  <si>
    <t>11-09032</t>
  </si>
  <si>
    <t>11-09033</t>
  </si>
  <si>
    <t>11-09035</t>
  </si>
  <si>
    <t>11-09036</t>
  </si>
  <si>
    <t>11-09038</t>
  </si>
  <si>
    <t>11-09039</t>
  </si>
  <si>
    <t>11-09040</t>
  </si>
  <si>
    <t>11-09043</t>
  </si>
  <si>
    <t>11-09045</t>
  </si>
  <si>
    <t>11-09047</t>
  </si>
  <si>
    <t>11-09051</t>
  </si>
  <si>
    <t>11-09055</t>
  </si>
  <si>
    <t>11-09056</t>
  </si>
  <si>
    <t>11-09057</t>
  </si>
  <si>
    <t>11-09059</t>
  </si>
  <si>
    <t>11-09060</t>
  </si>
  <si>
    <t>11-09061</t>
  </si>
  <si>
    <t>11-09062</t>
  </si>
  <si>
    <t>11-09063</t>
  </si>
  <si>
    <t>11-09064</t>
  </si>
  <si>
    <t>11-13043</t>
  </si>
  <si>
    <t>11-13045</t>
  </si>
  <si>
    <t>11-13047</t>
  </si>
  <si>
    <t>11-13050</t>
  </si>
  <si>
    <t>11-13051</t>
  </si>
  <si>
    <t>11-13054</t>
  </si>
  <si>
    <t>11-13056</t>
  </si>
  <si>
    <t>11-13058</t>
  </si>
  <si>
    <t>11-13061</t>
  </si>
  <si>
    <t>11-13062</t>
  </si>
  <si>
    <t>11-13065</t>
  </si>
  <si>
    <t>11-13067</t>
  </si>
  <si>
    <t>11-13069</t>
  </si>
  <si>
    <t>11-13072</t>
  </si>
  <si>
    <t>11-13073</t>
  </si>
  <si>
    <t>11-13075</t>
  </si>
  <si>
    <t>11-13077</t>
  </si>
  <si>
    <t>11-13080</t>
  </si>
  <si>
    <t>11-13082</t>
  </si>
  <si>
    <t>11-13222</t>
  </si>
  <si>
    <t>11-13224</t>
  </si>
  <si>
    <t>11-13226</t>
  </si>
  <si>
    <t>11-13228</t>
  </si>
  <si>
    <t>11-13231</t>
  </si>
  <si>
    <t>11-13232</t>
  </si>
  <si>
    <t>11-13235</t>
  </si>
  <si>
    <t>11-13237</t>
  </si>
  <si>
    <t>11-13240</t>
  </si>
  <si>
    <t>11-13241</t>
  </si>
  <si>
    <t>11-13244</t>
  </si>
  <si>
    <t>11-13246</t>
  </si>
  <si>
    <t>11-13248</t>
  </si>
  <si>
    <t>11-13251</t>
  </si>
  <si>
    <t>11-13253</t>
  </si>
  <si>
    <t>11-13255</t>
  </si>
  <si>
    <t>11-13258</t>
  </si>
  <si>
    <t>11-13260</t>
  </si>
  <si>
    <t>11-15567</t>
  </si>
  <si>
    <t>11-15569</t>
  </si>
  <si>
    <t>11-16575</t>
  </si>
  <si>
    <t>11-16577</t>
  </si>
  <si>
    <t>11-16580</t>
  </si>
  <si>
    <t>11-16583</t>
  </si>
  <si>
    <t>11-16585</t>
  </si>
  <si>
    <t>11-16586</t>
  </si>
  <si>
    <t>11-15572</t>
  </si>
  <si>
    <t>11-15574</t>
  </si>
  <si>
    <t>11-16588</t>
  </si>
  <si>
    <t>11-16590</t>
  </si>
  <si>
    <t>11-16593</t>
  </si>
  <si>
    <t>11-16596</t>
  </si>
  <si>
    <t>11-16598</t>
  </si>
  <si>
    <t>11-16599</t>
  </si>
  <si>
    <t>11-15577</t>
  </si>
  <si>
    <t>11-16601</t>
  </si>
  <si>
    <t>11-16603</t>
  </si>
  <si>
    <t>11-16605</t>
  </si>
  <si>
    <t>11-16608</t>
  </si>
  <si>
    <t>11-16610</t>
  </si>
  <si>
    <t>11-16611</t>
  </si>
  <si>
    <t>11-15580</t>
  </si>
  <si>
    <t>11-16613</t>
  </si>
  <si>
    <t>11-16615</t>
  </si>
  <si>
    <t>11-16617</t>
  </si>
  <si>
    <t>11-16620</t>
  </si>
  <si>
    <t>11-16622</t>
  </si>
  <si>
    <t>11-16623</t>
  </si>
  <si>
    <t>11-16626</t>
  </si>
  <si>
    <t>11-16628</t>
  </si>
  <si>
    <t>11-16631</t>
  </si>
  <si>
    <t>11-16634</t>
  </si>
  <si>
    <t>11-16636</t>
  </si>
  <si>
    <t>11-16637</t>
  </si>
  <si>
    <t>11-16638</t>
  </si>
  <si>
    <t>11-16639</t>
  </si>
  <si>
    <t>11-16641</t>
  </si>
  <si>
    <t>11-16643</t>
  </si>
  <si>
    <t>11-16646</t>
  </si>
  <si>
    <t>11-16648</t>
  </si>
  <si>
    <t>11-16651</t>
  </si>
  <si>
    <t>11-16654</t>
  </si>
  <si>
    <t>11-16656</t>
  </si>
  <si>
    <t>11-16657</t>
  </si>
  <si>
    <t>11-16658</t>
  </si>
  <si>
    <t>11-16659</t>
  </si>
  <si>
    <t>11-15583</t>
  </si>
  <si>
    <t>11-15585</t>
  </si>
  <si>
    <t>11-16661</t>
  </si>
  <si>
    <t>11-16663</t>
  </si>
  <si>
    <t>11-16663-1</t>
  </si>
  <si>
    <t>11-16663-2</t>
  </si>
  <si>
    <t>11-16666</t>
  </si>
  <si>
    <t>11-16666-1</t>
  </si>
  <si>
    <t>11-16666-2</t>
  </si>
  <si>
    <t>11-16669</t>
  </si>
  <si>
    <t>11-16669-1</t>
  </si>
  <si>
    <t>11-16669-2</t>
  </si>
  <si>
    <t>11-16671</t>
  </si>
  <si>
    <t>11-16672</t>
  </si>
  <si>
    <t>11-15588</t>
  </si>
  <si>
    <t>11-15590</t>
  </si>
  <si>
    <t>11-16674</t>
  </si>
  <si>
    <t>11-16676</t>
  </si>
  <si>
    <t>11-16679</t>
  </si>
  <si>
    <t>11-16682</t>
  </si>
  <si>
    <t>11-16684</t>
  </si>
  <si>
    <t>11-16685</t>
  </si>
  <si>
    <t>11-15593</t>
  </si>
  <si>
    <t>11-16687</t>
  </si>
  <si>
    <t>11-16689</t>
  </si>
  <si>
    <t>11-16689-1</t>
  </si>
  <si>
    <t>11-16689-2</t>
  </si>
  <si>
    <t>11-16691</t>
  </si>
  <si>
    <t>11-16691-1</t>
  </si>
  <si>
    <t>11-16691-2</t>
  </si>
  <si>
    <t>11-16694</t>
  </si>
  <si>
    <t>11-16694-1</t>
  </si>
  <si>
    <t>11-16694-2</t>
  </si>
  <si>
    <t>11-16696</t>
  </si>
  <si>
    <t>11-16697</t>
  </si>
  <si>
    <t>11-15596</t>
  </si>
  <si>
    <t>11-16699</t>
  </si>
  <si>
    <t>11-16701</t>
  </si>
  <si>
    <t>11-16701-1</t>
  </si>
  <si>
    <t>11-16701-2</t>
  </si>
  <si>
    <t>11-16703</t>
  </si>
  <si>
    <t>11-16703-1</t>
  </si>
  <si>
    <t>11-16703-2</t>
  </si>
  <si>
    <t>11-16706</t>
  </si>
  <si>
    <t>11-16706-1</t>
  </si>
  <si>
    <t>11-16706-2</t>
  </si>
  <si>
    <t>11-16708</t>
  </si>
  <si>
    <t>11-16709</t>
  </si>
  <si>
    <t>11-16712</t>
  </si>
  <si>
    <t>11-16714</t>
  </si>
  <si>
    <t>11-16717</t>
  </si>
  <si>
    <t>11-16720</t>
  </si>
  <si>
    <t>11-16722</t>
  </si>
  <si>
    <t>11-16723</t>
  </si>
  <si>
    <t>11-16724</t>
  </si>
  <si>
    <t>11-16725</t>
  </si>
  <si>
    <t>11-16727</t>
  </si>
  <si>
    <t>11-16729</t>
  </si>
  <si>
    <t>11-16732</t>
  </si>
  <si>
    <t>11-16734</t>
  </si>
  <si>
    <t>11-16737</t>
  </si>
  <si>
    <t>11-16740</t>
  </si>
  <si>
    <t>11-16742</t>
  </si>
  <si>
    <t>11-16743</t>
  </si>
  <si>
    <t>11-16744</t>
  </si>
  <si>
    <t>11-16745</t>
  </si>
  <si>
    <t>11-08323</t>
  </si>
  <si>
    <t>11-08325</t>
  </si>
  <si>
    <t>11-08327</t>
  </si>
  <si>
    <t>11-08329</t>
  </si>
  <si>
    <t>11-08331</t>
  </si>
  <si>
    <t>11-08333</t>
  </si>
  <si>
    <t>11-10266</t>
  </si>
  <si>
    <t>11-08334</t>
  </si>
  <si>
    <t>11-08335</t>
  </si>
  <si>
    <t>11-08344</t>
  </si>
  <si>
    <t>11-08349</t>
  </si>
  <si>
    <t>11-08351</t>
  </si>
  <si>
    <t>11-08353</t>
  </si>
  <si>
    <t>11-08358</t>
  </si>
  <si>
    <t>11-08360</t>
  </si>
  <si>
    <t>11-08362</t>
  </si>
  <si>
    <t>11-10267</t>
  </si>
  <si>
    <t>11-08364</t>
  </si>
  <si>
    <t>11-08366</t>
  </si>
  <si>
    <t>11-08370</t>
  </si>
  <si>
    <t>11-08373</t>
  </si>
  <si>
    <t>11-08375</t>
  </si>
  <si>
    <t>11-08379</t>
  </si>
  <si>
    <t>11-08381</t>
  </si>
  <si>
    <t>11-08383</t>
  </si>
  <si>
    <t>11-08385</t>
  </si>
  <si>
    <t>11-11518</t>
  </si>
  <si>
    <t>11-13094</t>
  </si>
  <si>
    <t>11-13096</t>
  </si>
  <si>
    <t>11-13105</t>
  </si>
  <si>
    <t>11-13107</t>
  </si>
  <si>
    <t>11-13114</t>
  </si>
  <si>
    <t>11-13119</t>
  </si>
  <si>
    <t>11-13123</t>
  </si>
  <si>
    <t>11-13124</t>
  </si>
  <si>
    <t>11-13126</t>
  </si>
  <si>
    <t>11-13127</t>
  </si>
  <si>
    <t>11-13129</t>
  </si>
  <si>
    <t>11-13132</t>
  </si>
  <si>
    <t>11-13135</t>
  </si>
  <si>
    <t>11-13137</t>
  </si>
  <si>
    <t>11-13139</t>
  </si>
  <si>
    <t>11-13140</t>
  </si>
  <si>
    <t>11-13142</t>
  </si>
  <si>
    <t>11-13145</t>
  </si>
  <si>
    <t>11-13148</t>
  </si>
  <si>
    <t>11-12695</t>
  </si>
  <si>
    <t>11-12697</t>
  </si>
  <si>
    <t>11-12699</t>
  </si>
  <si>
    <t>11-12701</t>
  </si>
  <si>
    <t>11-12703</t>
  </si>
  <si>
    <t>11-12705</t>
  </si>
  <si>
    <t>11-12707</t>
  </si>
  <si>
    <t>11-12709</t>
  </si>
  <si>
    <t>11-12711</t>
  </si>
  <si>
    <t>11-12713</t>
  </si>
  <si>
    <t>11-12715</t>
  </si>
  <si>
    <t>11-12717</t>
  </si>
  <si>
    <t>11-12719</t>
  </si>
  <si>
    <t>11-12721</t>
  </si>
  <si>
    <t>11-12723</t>
  </si>
  <si>
    <t>11-12725</t>
  </si>
  <si>
    <t>11-12727</t>
  </si>
  <si>
    <t>11-12729</t>
  </si>
  <si>
    <t>11-12731</t>
  </si>
  <si>
    <t>11-12733</t>
  </si>
  <si>
    <t>11-12735</t>
  </si>
  <si>
    <t>11-04053</t>
  </si>
  <si>
    <t>11-04055</t>
  </si>
  <si>
    <t>11-04055-1</t>
  </si>
  <si>
    <t>11-04055-2</t>
  </si>
  <si>
    <t>11-04058</t>
  </si>
  <si>
    <t>11-04058-1</t>
  </si>
  <si>
    <t>11-04058-2</t>
  </si>
  <si>
    <t>11-04060</t>
  </si>
  <si>
    <t>11-04062</t>
  </si>
  <si>
    <t>11-04063</t>
  </si>
  <si>
    <t>11-04064</t>
  </si>
  <si>
    <t>11-04067</t>
  </si>
  <si>
    <t>11-04069</t>
  </si>
  <si>
    <t>11-04072</t>
  </si>
  <si>
    <t>11-04074</t>
  </si>
  <si>
    <t>11-04076</t>
  </si>
  <si>
    <t>11-04077</t>
  </si>
  <si>
    <t>11-04078</t>
  </si>
  <si>
    <t>11-04081</t>
  </si>
  <si>
    <t>11-04083</t>
  </si>
  <si>
    <t>11-04086</t>
  </si>
  <si>
    <t>11-04088</t>
  </si>
  <si>
    <t>11-04090</t>
  </si>
  <si>
    <t>11-04091</t>
  </si>
  <si>
    <t>11-04092</t>
  </si>
  <si>
    <t>11-04095</t>
  </si>
  <si>
    <t>11-04097</t>
  </si>
  <si>
    <t>11-04100</t>
  </si>
  <si>
    <t>11-04102</t>
  </si>
  <si>
    <t>11-04104</t>
  </si>
  <si>
    <t>11-04105</t>
  </si>
  <si>
    <t>11-04106</t>
  </si>
  <si>
    <t>11-04109</t>
  </si>
  <si>
    <t>11-04111</t>
  </si>
  <si>
    <t>11-04111-2</t>
  </si>
  <si>
    <t>11-04111-1</t>
  </si>
  <si>
    <t>11-04114</t>
  </si>
  <si>
    <t>11-04114-2</t>
  </si>
  <si>
    <t>11-04114-1</t>
  </si>
  <si>
    <t>11-04117</t>
  </si>
  <si>
    <t>11-04119</t>
  </si>
  <si>
    <t>11-04120</t>
  </si>
  <si>
    <t>11-04121</t>
  </si>
  <si>
    <t>11-04144</t>
  </si>
  <si>
    <t>11-04144-1</t>
  </si>
  <si>
    <t>11-04144-2</t>
  </si>
  <si>
    <t>11-04146</t>
  </si>
  <si>
    <t>11-04146-1</t>
  </si>
  <si>
    <t>11-04146-2</t>
  </si>
  <si>
    <t>11-04148</t>
  </si>
  <si>
    <t>11-04150</t>
  </si>
  <si>
    <t>11-04151</t>
  </si>
  <si>
    <t>11-04152</t>
  </si>
  <si>
    <t>11-04154</t>
  </si>
  <si>
    <t>11-04156</t>
  </si>
  <si>
    <t>11-04160</t>
  </si>
  <si>
    <t>11-04166</t>
  </si>
  <si>
    <t>11-04166-1</t>
  </si>
  <si>
    <t>11-04166-2</t>
  </si>
  <si>
    <t>11-04168</t>
  </si>
  <si>
    <t>11-04168-1</t>
  </si>
  <si>
    <t>11-04168-2</t>
  </si>
  <si>
    <t>11-04170</t>
  </si>
  <si>
    <t>11-04172</t>
  </si>
  <si>
    <t>11-04173</t>
  </si>
  <si>
    <t>11-04174</t>
  </si>
  <si>
    <t>11-04176</t>
  </si>
  <si>
    <t>11-04178</t>
  </si>
  <si>
    <t>11-04182</t>
  </si>
  <si>
    <t>11-04188</t>
  </si>
  <si>
    <t>11-04188-1</t>
  </si>
  <si>
    <t>11-04188-2</t>
  </si>
  <si>
    <t>11-04190</t>
  </si>
  <si>
    <t>11-04190-1</t>
  </si>
  <si>
    <t>11-04190-2</t>
  </si>
  <si>
    <t>11-04192</t>
  </si>
  <si>
    <t>11-04194</t>
  </si>
  <si>
    <t>11-04195</t>
  </si>
  <si>
    <t>11-04196</t>
  </si>
  <si>
    <t>11-04198</t>
  </si>
  <si>
    <t>11-04200</t>
  </si>
  <si>
    <t>11-04204</t>
  </si>
  <si>
    <t>11-04208</t>
  </si>
  <si>
    <t>11-04214</t>
  </si>
  <si>
    <t>11-04216</t>
  </si>
  <si>
    <t>11-04218</t>
  </si>
  <si>
    <t>11-04220</t>
  </si>
  <si>
    <t>11-04221</t>
  </si>
  <si>
    <t>11-04222</t>
  </si>
  <si>
    <t>11-04224</t>
  </si>
  <si>
    <t>11-04226</t>
  </si>
  <si>
    <t>11-04230</t>
  </si>
  <si>
    <t>11-04236</t>
  </si>
  <si>
    <t>11-04238</t>
  </si>
  <si>
    <t>11-04240</t>
  </si>
  <si>
    <t>11-04242</t>
  </si>
  <si>
    <t>11-04243</t>
  </si>
  <si>
    <t>11-04244</t>
  </si>
  <si>
    <t>11-04246</t>
  </si>
  <si>
    <t>11-04248</t>
  </si>
  <si>
    <t>11-04252</t>
  </si>
  <si>
    <t>11-04258</t>
  </si>
  <si>
    <t>11-04258-1</t>
  </si>
  <si>
    <t>11-04258-2</t>
  </si>
  <si>
    <t>11-04260</t>
  </si>
  <si>
    <t>11-04260-1</t>
  </si>
  <si>
    <t>11-04260-2</t>
  </si>
  <si>
    <t>11-04262</t>
  </si>
  <si>
    <t>11-04264</t>
  </si>
  <si>
    <t>11-04265</t>
  </si>
  <si>
    <t>11-04266</t>
  </si>
  <si>
    <t>11-04268</t>
  </si>
  <si>
    <t>11-04270</t>
  </si>
  <si>
    <t>11-04274</t>
  </si>
  <si>
    <t>11-04280</t>
  </si>
  <si>
    <t>11-04280-1</t>
  </si>
  <si>
    <t>11-04280-2</t>
  </si>
  <si>
    <t>11-04282</t>
  </si>
  <si>
    <t>11-04282-1</t>
  </si>
  <si>
    <t>11-04282-2</t>
  </si>
  <si>
    <t>11-04284</t>
  </si>
  <si>
    <t>11-04286</t>
  </si>
  <si>
    <t>11-04287</t>
  </si>
  <si>
    <t>11-04288</t>
  </si>
  <si>
    <t>11-04290</t>
  </si>
  <si>
    <t>11-04292</t>
  </si>
  <si>
    <t>11-04296</t>
  </si>
  <si>
    <t>11-04300</t>
  </si>
  <si>
    <t>11-04306</t>
  </si>
  <si>
    <t>11-04308</t>
  </si>
  <si>
    <t>11-04310</t>
  </si>
  <si>
    <t>11-04312</t>
  </si>
  <si>
    <t>11-04313</t>
  </si>
  <si>
    <t>11-04314</t>
  </si>
  <si>
    <t>11-04316</t>
  </si>
  <si>
    <t>11-04318</t>
  </si>
  <si>
    <t>11-04322</t>
  </si>
  <si>
    <t>11-04326</t>
  </si>
  <si>
    <t>11-04332</t>
  </si>
  <si>
    <t>11-04334</t>
  </si>
  <si>
    <t>11-04336</t>
  </si>
  <si>
    <t>11-04338</t>
  </si>
  <si>
    <t>11-04339</t>
  </si>
  <si>
    <t>11-04340</t>
  </si>
  <si>
    <t>11-04342</t>
  </si>
  <si>
    <t>11-04344</t>
  </si>
  <si>
    <t>11-04348</t>
  </si>
  <si>
    <t>11-04354</t>
  </si>
  <si>
    <t>11-04356</t>
  </si>
  <si>
    <t>11-04358</t>
  </si>
  <si>
    <t>11-04360</t>
  </si>
  <si>
    <t>11-04361</t>
  </si>
  <si>
    <t>11-04362</t>
  </si>
  <si>
    <t>11-04364</t>
  </si>
  <si>
    <t>11-04366</t>
  </si>
  <si>
    <t>11-04370</t>
  </si>
  <si>
    <t>11-04374</t>
  </si>
  <si>
    <t>11-04380</t>
  </si>
  <si>
    <t>11-04382</t>
  </si>
  <si>
    <t>11-04384</t>
  </si>
  <si>
    <t>11-04386</t>
  </si>
  <si>
    <t>11-04387</t>
  </si>
  <si>
    <t>11-04388</t>
  </si>
  <si>
    <t>11-04390</t>
  </si>
  <si>
    <t>11-04392</t>
  </si>
  <si>
    <t>11-04396</t>
  </si>
  <si>
    <t>11-04400</t>
  </si>
  <si>
    <t>11-04406</t>
  </si>
  <si>
    <t>11-04406-1</t>
  </si>
  <si>
    <t>11-04406-2</t>
  </si>
  <si>
    <t>11-04408</t>
  </si>
  <si>
    <t>11-04408-1</t>
  </si>
  <si>
    <t>11-04408-2</t>
  </si>
  <si>
    <t>11-04410</t>
  </si>
  <si>
    <t>11-04412</t>
  </si>
  <si>
    <t>11-04413</t>
  </si>
  <si>
    <t>11-04414</t>
  </si>
  <si>
    <t>11-04416</t>
  </si>
  <si>
    <t>11-04418</t>
  </si>
  <si>
    <t>11-04422</t>
  </si>
  <si>
    <t>11-04428</t>
  </si>
  <si>
    <t>11-04428-1</t>
  </si>
  <si>
    <t>11-04428-2</t>
  </si>
  <si>
    <t>11-04430</t>
  </si>
  <si>
    <t>11-04430-1</t>
  </si>
  <si>
    <t>11-04430-2</t>
  </si>
  <si>
    <t>11-04432</t>
  </si>
  <si>
    <t>11-04434</t>
  </si>
  <si>
    <t>11-04435</t>
  </si>
  <si>
    <t>11-04436</t>
  </si>
  <si>
    <t>11-04438</t>
  </si>
  <si>
    <t>11-04440</t>
  </si>
  <si>
    <t>11-04444</t>
  </si>
  <si>
    <t>11-04450</t>
  </si>
  <si>
    <t>11-04450-1</t>
  </si>
  <si>
    <t>11-04450-2</t>
  </si>
  <si>
    <t>11-04452</t>
  </si>
  <si>
    <t>11-04452-1</t>
  </si>
  <si>
    <t>11-04452-2</t>
  </si>
  <si>
    <t>11-04454</t>
  </si>
  <si>
    <t>11-04456</t>
  </si>
  <si>
    <t>11-04457</t>
  </si>
  <si>
    <t>11-04458</t>
  </si>
  <si>
    <t>11-04460</t>
  </si>
  <si>
    <t>11-04462</t>
  </si>
  <si>
    <t>11-04466</t>
  </si>
  <si>
    <t>11-04470</t>
  </si>
  <si>
    <t>11-04476</t>
  </si>
  <si>
    <t>11-04476-1</t>
  </si>
  <si>
    <t>11-04476-2</t>
  </si>
  <si>
    <t>11-04478</t>
  </si>
  <si>
    <t>11-04478-1</t>
  </si>
  <si>
    <t>11-04478-2</t>
  </si>
  <si>
    <t>11-04480</t>
  </si>
  <si>
    <t>11-04482</t>
  </si>
  <si>
    <t>11-04483</t>
  </si>
  <si>
    <t>11-04484</t>
  </si>
  <si>
    <t>11-04486</t>
  </si>
  <si>
    <t>11-04488</t>
  </si>
  <si>
    <t>11-04492</t>
  </si>
  <si>
    <t>11-04496</t>
  </si>
  <si>
    <t>11-04501</t>
  </si>
  <si>
    <t>11-04503</t>
  </si>
  <si>
    <t>11-04505</t>
  </si>
  <si>
    <t>11-04507</t>
  </si>
  <si>
    <t>11-04509</t>
  </si>
  <si>
    <t>11-04511</t>
  </si>
  <si>
    <t>11-04512</t>
  </si>
  <si>
    <t>11-04513</t>
  </si>
  <si>
    <t>11-04515</t>
  </si>
  <si>
    <t>11-04517</t>
  </si>
  <si>
    <t>11-04521</t>
  </si>
  <si>
    <t>11-04525</t>
  </si>
  <si>
    <t>11-04529</t>
  </si>
  <si>
    <t>11-04534</t>
  </si>
  <si>
    <t>11-04536</t>
  </si>
  <si>
    <t>11-04538</t>
  </si>
  <si>
    <t>11-04540</t>
  </si>
  <si>
    <t>11-04542</t>
  </si>
  <si>
    <t>11-04544</t>
  </si>
  <si>
    <t>11-04545</t>
  </si>
  <si>
    <t>11-04546</t>
  </si>
  <si>
    <t>11-04548</t>
  </si>
  <si>
    <t>11-04550</t>
  </si>
  <si>
    <t>11-04554</t>
  </si>
  <si>
    <t>11-04558</t>
  </si>
  <si>
    <t>11-04562</t>
  </si>
  <si>
    <t>11-04567</t>
  </si>
  <si>
    <t>11-04567-1</t>
  </si>
  <si>
    <t>11-04567-2</t>
  </si>
  <si>
    <t>11-04569</t>
  </si>
  <si>
    <t>11-04569-1</t>
  </si>
  <si>
    <t>11-04569-2</t>
  </si>
  <si>
    <t>11-04571</t>
  </si>
  <si>
    <t>11-04571-1</t>
  </si>
  <si>
    <t>11-04571-2</t>
  </si>
  <si>
    <t>11-04573</t>
  </si>
  <si>
    <t>11-04573-1</t>
  </si>
  <si>
    <t>11-04573-2</t>
  </si>
  <si>
    <t>11-04575</t>
  </si>
  <si>
    <t>11-04577</t>
  </si>
  <si>
    <t>11-04578</t>
  </si>
  <si>
    <t>11-04579</t>
  </si>
  <si>
    <t>11-04581</t>
  </si>
  <si>
    <t>11-04583</t>
  </si>
  <si>
    <t>11-04587</t>
  </si>
  <si>
    <t>11-04591</t>
  </si>
  <si>
    <t>11-04595</t>
  </si>
  <si>
    <t>11-04600</t>
  </si>
  <si>
    <t>11-04602</t>
  </si>
  <si>
    <t>11-04604</t>
  </si>
  <si>
    <t>11-04606</t>
  </si>
  <si>
    <t>11-04608</t>
  </si>
  <si>
    <t>11-04610</t>
  </si>
  <si>
    <t>11-04611</t>
  </si>
  <si>
    <t>11-04612</t>
  </si>
  <si>
    <t>11-04614</t>
  </si>
  <si>
    <t>11-04616</t>
  </si>
  <si>
    <t>11-04620</t>
  </si>
  <si>
    <t>11-04624</t>
  </si>
  <si>
    <t>11-04628</t>
  </si>
  <si>
    <t>11-01404</t>
  </si>
  <si>
    <t>11-01406</t>
  </si>
  <si>
    <t>11-01408</t>
  </si>
  <si>
    <t>11-01410</t>
  </si>
  <si>
    <t>11-01411</t>
  </si>
  <si>
    <t>11-01413</t>
  </si>
  <si>
    <t>11-01416</t>
  </si>
  <si>
    <t>11-01418</t>
  </si>
  <si>
    <t>11-01419</t>
  </si>
  <si>
    <t>11-01423</t>
  </si>
  <si>
    <t>11-01425</t>
  </si>
  <si>
    <t>11-01427</t>
  </si>
  <si>
    <t>11-01429</t>
  </si>
  <si>
    <t>11-01430</t>
  </si>
  <si>
    <t>11-01432</t>
  </si>
  <si>
    <t>11-01435</t>
  </si>
  <si>
    <t>11-01437</t>
  </si>
  <si>
    <t>11-01438</t>
  </si>
  <si>
    <t>11-01442</t>
  </si>
  <si>
    <t>11-01444</t>
  </si>
  <si>
    <t>11-01446</t>
  </si>
  <si>
    <t>11-01448</t>
  </si>
  <si>
    <t>11-01449</t>
  </si>
  <si>
    <t>11-01452</t>
  </si>
  <si>
    <t>11-01455</t>
  </si>
  <si>
    <t>11-01457</t>
  </si>
  <si>
    <t>11-01458</t>
  </si>
  <si>
    <t>11-10496</t>
  </si>
  <si>
    <t>11-10498</t>
  </si>
  <si>
    <t>11-10500</t>
  </si>
  <si>
    <t>11-10502</t>
  </si>
  <si>
    <t>11-10503</t>
  </si>
  <si>
    <t>11-10506</t>
  </si>
  <si>
    <t>11-10509</t>
  </si>
  <si>
    <t>11-10511</t>
  </si>
  <si>
    <t>11-10512</t>
  </si>
  <si>
    <t>11-10514</t>
  </si>
  <si>
    <t>11-15599</t>
  </si>
  <si>
    <t>11-15599-2</t>
  </si>
  <si>
    <t>11-15601</t>
  </si>
  <si>
    <t>11-15603</t>
  </si>
  <si>
    <t>11-15605</t>
  </si>
  <si>
    <t>11-15607</t>
  </si>
  <si>
    <t>11-15609</t>
  </si>
  <si>
    <t>11-15611</t>
  </si>
  <si>
    <t>11-15612</t>
  </si>
  <si>
    <t>11-15613</t>
  </si>
  <si>
    <t>11-15615</t>
  </si>
  <si>
    <t>11-15618</t>
  </si>
  <si>
    <t>11-15620</t>
  </si>
  <si>
    <t>11-15622</t>
  </si>
  <si>
    <t>11-15624</t>
  </si>
  <si>
    <t>11-15626</t>
  </si>
  <si>
    <t>11-15628</t>
  </si>
  <si>
    <t>11-15629</t>
  </si>
  <si>
    <t>11-15630</t>
  </si>
  <si>
    <t>11-15632</t>
  </si>
  <si>
    <t>11-15635</t>
  </si>
  <si>
    <t>11-15637</t>
  </si>
  <si>
    <t>11-15639</t>
  </si>
  <si>
    <t>11-15641</t>
  </si>
  <si>
    <t>11-15643</t>
  </si>
  <si>
    <t>11-15645</t>
  </si>
  <si>
    <t>11-15647</t>
  </si>
  <si>
    <t>11-15649</t>
  </si>
  <si>
    <t>11-15650</t>
  </si>
  <si>
    <t>11-15651</t>
  </si>
  <si>
    <t>11-15653</t>
  </si>
  <si>
    <t>11-15656</t>
  </si>
  <si>
    <t>11-15658</t>
  </si>
  <si>
    <t>11-15660</t>
  </si>
  <si>
    <t>11-15662</t>
  </si>
  <si>
    <t>11-15664</t>
  </si>
  <si>
    <t>11-15666</t>
  </si>
  <si>
    <t>11-15667</t>
  </si>
  <si>
    <t>11-15668</t>
  </si>
  <si>
    <t>11-15670</t>
  </si>
  <si>
    <t>11-15673</t>
  </si>
  <si>
    <t>11-15675</t>
  </si>
  <si>
    <t>11-15677</t>
  </si>
  <si>
    <t>11-15679</t>
  </si>
  <si>
    <t>11-15681</t>
  </si>
  <si>
    <t>11-15683</t>
  </si>
  <si>
    <t>11-15684</t>
  </si>
  <si>
    <t>11-15685</t>
  </si>
  <si>
    <t>11-15687</t>
  </si>
  <si>
    <t>11-15690</t>
  </si>
  <si>
    <t>11-15692</t>
  </si>
  <si>
    <t>11-15694</t>
  </si>
  <si>
    <t>11-15696</t>
  </si>
  <si>
    <t>11-15698</t>
  </si>
  <si>
    <t>11-15700</t>
  </si>
  <si>
    <t>11-15701</t>
  </si>
  <si>
    <t>11-15702</t>
  </si>
  <si>
    <t>11-15704</t>
  </si>
  <si>
    <t>11-15707</t>
  </si>
  <si>
    <t>11-15709</t>
  </si>
  <si>
    <t>11-15711</t>
  </si>
  <si>
    <t>11-15713</t>
  </si>
  <si>
    <t>11-15715</t>
  </si>
  <si>
    <t>11-15717</t>
  </si>
  <si>
    <t>11-15718</t>
  </si>
  <si>
    <t>11-15719</t>
  </si>
  <si>
    <t>11-15721</t>
  </si>
  <si>
    <t>11-15724</t>
  </si>
  <si>
    <t>11-15726</t>
  </si>
  <si>
    <t>11-15728</t>
  </si>
  <si>
    <t>11-15730</t>
  </si>
  <si>
    <t>11-15732</t>
  </si>
  <si>
    <t>11-15734</t>
  </si>
  <si>
    <t>11-15735</t>
  </si>
  <si>
    <t>11-15736</t>
  </si>
  <si>
    <t>11-15738</t>
  </si>
  <si>
    <t>11-15741</t>
  </si>
  <si>
    <t>11-15743</t>
  </si>
  <si>
    <t>11-15745</t>
  </si>
  <si>
    <t>11-15747</t>
  </si>
  <si>
    <t>11-15749</t>
  </si>
  <si>
    <t>11-15751</t>
  </si>
  <si>
    <t>11-15752</t>
  </si>
  <si>
    <t>11-15753</t>
  </si>
  <si>
    <t>11-15755</t>
  </si>
  <si>
    <t>11-15758</t>
  </si>
  <si>
    <t>11-15760</t>
  </si>
  <si>
    <t>11-15762</t>
  </si>
  <si>
    <t>11-15764</t>
  </si>
  <si>
    <t>11-15766</t>
  </si>
  <si>
    <t>11-15768</t>
  </si>
  <si>
    <t>11-15769</t>
  </si>
  <si>
    <t>11-15770</t>
  </si>
  <si>
    <t>11-15772</t>
  </si>
  <si>
    <t>11-15775</t>
  </si>
  <si>
    <t>11-15777</t>
  </si>
  <si>
    <t>11-15779</t>
  </si>
  <si>
    <t>11-15781</t>
  </si>
  <si>
    <t>11-15783</t>
  </si>
  <si>
    <t>11-15785</t>
  </si>
  <si>
    <t>11-15786</t>
  </si>
  <si>
    <t>11-15787</t>
  </si>
  <si>
    <t>11-15789</t>
  </si>
  <si>
    <t>11-15792</t>
  </si>
  <si>
    <t>11-15794</t>
  </si>
  <si>
    <t>11-15794-2</t>
  </si>
  <si>
    <t>11-15796</t>
  </si>
  <si>
    <t>11-15798</t>
  </si>
  <si>
    <t>11-15800</t>
  </si>
  <si>
    <t>11-15802</t>
  </si>
  <si>
    <t>11-15804</t>
  </si>
  <si>
    <t>11-15805</t>
  </si>
  <si>
    <t>11-15806</t>
  </si>
  <si>
    <t>11-15808</t>
  </si>
  <si>
    <t>11-15811</t>
  </si>
  <si>
    <t>11-15813</t>
  </si>
  <si>
    <t>11-15815</t>
  </si>
  <si>
    <t>11-15817</t>
  </si>
  <si>
    <t>11-15819</t>
  </si>
  <si>
    <t>11-15821</t>
  </si>
  <si>
    <t>11-15823</t>
  </si>
  <si>
    <t>11-15825</t>
  </si>
  <si>
    <t>11-15827</t>
  </si>
  <si>
    <t>11-15828</t>
  </si>
  <si>
    <t>11-15829</t>
  </si>
  <si>
    <t>11-15831</t>
  </si>
  <si>
    <t>11-15834</t>
  </si>
  <si>
    <t>11-15836</t>
  </si>
  <si>
    <t>11-15838</t>
  </si>
  <si>
    <t>11-15840</t>
  </si>
  <si>
    <t>11-15842</t>
  </si>
  <si>
    <t>11-15844</t>
  </si>
  <si>
    <t>11-15845</t>
  </si>
  <si>
    <t>11-15846</t>
  </si>
  <si>
    <t>11-15848</t>
  </si>
  <si>
    <t>11-15851</t>
  </si>
  <si>
    <t>11-15853</t>
  </si>
  <si>
    <t>11-15855</t>
  </si>
  <si>
    <t>11-15857</t>
  </si>
  <si>
    <t>11-15859</t>
  </si>
  <si>
    <t>11-15861</t>
  </si>
  <si>
    <t>11-15862</t>
  </si>
  <si>
    <t>11-15863</t>
  </si>
  <si>
    <t>11-15865</t>
  </si>
  <si>
    <t>11-15868</t>
  </si>
  <si>
    <t>11-15870</t>
  </si>
  <si>
    <t>11-15872</t>
  </si>
  <si>
    <t>11-15874</t>
  </si>
  <si>
    <t>11-15876</t>
  </si>
  <si>
    <t>11-15878</t>
  </si>
  <si>
    <t>11-15879</t>
  </si>
  <si>
    <t>11-15880</t>
  </si>
  <si>
    <t>11-15882</t>
  </si>
  <si>
    <t>11-15885</t>
  </si>
  <si>
    <t>11-15887</t>
  </si>
  <si>
    <t>11-15889</t>
  </si>
  <si>
    <t>11-15891</t>
  </si>
  <si>
    <t>11-15893</t>
  </si>
  <si>
    <t>11-15895</t>
  </si>
  <si>
    <t>11-15896</t>
  </si>
  <si>
    <t>11-15897</t>
  </si>
  <si>
    <t>11-15899</t>
  </si>
  <si>
    <t>11-15902</t>
  </si>
  <si>
    <t>11-15902-1</t>
  </si>
  <si>
    <t>11-15902-2</t>
  </si>
  <si>
    <t>11-15904</t>
  </si>
  <si>
    <t>11-15906</t>
  </si>
  <si>
    <t>11-15908</t>
  </si>
  <si>
    <t>11-15910</t>
  </si>
  <si>
    <t>11-15911</t>
  </si>
  <si>
    <t>11-15912</t>
  </si>
  <si>
    <t>11-15914</t>
  </si>
  <si>
    <t>11-15917</t>
  </si>
  <si>
    <t>11-15919</t>
  </si>
  <si>
    <t>11-15921</t>
  </si>
  <si>
    <t>11-15923</t>
  </si>
  <si>
    <t>11-15925</t>
  </si>
  <si>
    <t>11-15926</t>
  </si>
  <si>
    <t>11-15927</t>
  </si>
  <si>
    <t>11-15929</t>
  </si>
  <si>
    <t>11-15932</t>
  </si>
  <si>
    <t>11-15934</t>
  </si>
  <si>
    <t>11-15934-2</t>
  </si>
  <si>
    <t>11-15936</t>
  </si>
  <si>
    <t>11-15938</t>
  </si>
  <si>
    <t>11-15940</t>
  </si>
  <si>
    <t>11-15942</t>
  </si>
  <si>
    <t>11-15943</t>
  </si>
  <si>
    <t>11-15944</t>
  </si>
  <si>
    <t>11-15946</t>
  </si>
  <si>
    <t>11-15949</t>
  </si>
  <si>
    <t>11-15951</t>
  </si>
  <si>
    <t>11-15953</t>
  </si>
  <si>
    <t>11-15955</t>
  </si>
  <si>
    <t>11-15957</t>
  </si>
  <si>
    <t>11-15959</t>
  </si>
  <si>
    <t>11-15960</t>
  </si>
  <si>
    <t>11-15961</t>
  </si>
  <si>
    <t>11-15963</t>
  </si>
  <si>
    <t>11-15966</t>
  </si>
  <si>
    <t>11-15968</t>
  </si>
  <si>
    <t>11-15970</t>
  </si>
  <si>
    <t>11-15972</t>
  </si>
  <si>
    <t>11-15974</t>
  </si>
  <si>
    <t>11-15976</t>
  </si>
  <si>
    <t>11-15977</t>
  </si>
  <si>
    <t>11-15978</t>
  </si>
  <si>
    <t>11-15980</t>
  </si>
  <si>
    <t>11-15983</t>
  </si>
  <si>
    <t>11-15985</t>
  </si>
  <si>
    <t>11-15987</t>
  </si>
  <si>
    <t>11-15989</t>
  </si>
  <si>
    <t>11-15991</t>
  </si>
  <si>
    <t>11-15993</t>
  </si>
  <si>
    <t>11-15994</t>
  </si>
  <si>
    <t>11-15995</t>
  </si>
  <si>
    <t>11-15997</t>
  </si>
  <si>
    <t>11-16000</t>
  </si>
  <si>
    <t>11-16002</t>
  </si>
  <si>
    <t>11-16004</t>
  </si>
  <si>
    <t>11-16006</t>
  </si>
  <si>
    <t>11-16008</t>
  </si>
  <si>
    <t>11-16009</t>
  </si>
  <si>
    <t>11-16010</t>
  </si>
  <si>
    <t>11-16012</t>
  </si>
  <si>
    <t>11-16015</t>
  </si>
  <si>
    <t>11-16017</t>
  </si>
  <si>
    <t>11-16019</t>
  </si>
  <si>
    <t>11-16021</t>
  </si>
  <si>
    <t>11-16023</t>
  </si>
  <si>
    <t>11-16024</t>
  </si>
  <si>
    <t>11-16025</t>
  </si>
  <si>
    <t>11-16027</t>
  </si>
  <si>
    <t>11-16030</t>
  </si>
  <si>
    <t>11-16030-1</t>
  </si>
  <si>
    <t>11-16030-2</t>
  </si>
  <si>
    <t>11-16032</t>
  </si>
  <si>
    <t>11-16032-1</t>
  </si>
  <si>
    <t>11-16032-2</t>
  </si>
  <si>
    <t>11-16034</t>
  </si>
  <si>
    <t>11-16036</t>
  </si>
  <si>
    <t>11-16038</t>
  </si>
  <si>
    <t>11-16040</t>
  </si>
  <si>
    <t>11-16041</t>
  </si>
  <si>
    <t>11-16042</t>
  </si>
  <si>
    <t>11-16044</t>
  </si>
  <si>
    <t>11-16046</t>
  </si>
  <si>
    <t>11-16048</t>
  </si>
  <si>
    <t>11-16048-1</t>
  </si>
  <si>
    <t>11-16048-2</t>
  </si>
  <si>
    <t>11-16050</t>
  </si>
  <si>
    <t>11-16050-1</t>
  </si>
  <si>
    <t>11-16052</t>
  </si>
  <si>
    <t>11-16054</t>
  </si>
  <si>
    <t>11-16056</t>
  </si>
  <si>
    <t>11-16057</t>
  </si>
  <si>
    <t>11-16060</t>
  </si>
  <si>
    <t>11-16060-1</t>
  </si>
  <si>
    <t>11-16060-2</t>
  </si>
  <si>
    <t>11-16062</t>
  </si>
  <si>
    <t>11-16062-1</t>
  </si>
  <si>
    <t>11-16062-2</t>
  </si>
  <si>
    <t>11-16064</t>
  </si>
  <si>
    <t>11-16066</t>
  </si>
  <si>
    <t>11-16068</t>
  </si>
  <si>
    <t>11-16070</t>
  </si>
  <si>
    <t>11-16071</t>
  </si>
  <si>
    <t>11-16072</t>
  </si>
  <si>
    <t>11-16074</t>
  </si>
  <si>
    <t>11-16076</t>
  </si>
  <si>
    <t>11-16078</t>
  </si>
  <si>
    <t>11-16078-2</t>
  </si>
  <si>
    <t>11-16080</t>
  </si>
  <si>
    <t>11-16082</t>
  </si>
  <si>
    <t>11-16084</t>
  </si>
  <si>
    <t>11-16086</t>
  </si>
  <si>
    <t>11-16087</t>
  </si>
  <si>
    <t>11-16090</t>
  </si>
  <si>
    <t>11-16092</t>
  </si>
  <si>
    <t>11-16094</t>
  </si>
  <si>
    <t>11-16096</t>
  </si>
  <si>
    <t>11-16098</t>
  </si>
  <si>
    <t>11-16100</t>
  </si>
  <si>
    <t>11-16101</t>
  </si>
  <si>
    <t>11-16102</t>
  </si>
  <si>
    <t>11-16104</t>
  </si>
  <si>
    <t>11-16106</t>
  </si>
  <si>
    <t>11-16108</t>
  </si>
  <si>
    <t>11-16110</t>
  </si>
  <si>
    <t>11-16112</t>
  </si>
  <si>
    <t>11-16114</t>
  </si>
  <si>
    <t>11-16116</t>
  </si>
  <si>
    <t>11-16117</t>
  </si>
  <si>
    <t>11-16120</t>
  </si>
  <si>
    <t>11-16122</t>
  </si>
  <si>
    <t>11-16124</t>
  </si>
  <si>
    <t>11-16126</t>
  </si>
  <si>
    <t>11-16128</t>
  </si>
  <si>
    <t>11-16130</t>
  </si>
  <si>
    <t>11-16132</t>
  </si>
  <si>
    <t>11-16133</t>
  </si>
  <si>
    <t>11-16134</t>
  </si>
  <si>
    <t>11-16136</t>
  </si>
  <si>
    <t>11-16138</t>
  </si>
  <si>
    <t>11-16140</t>
  </si>
  <si>
    <t>11-16142</t>
  </si>
  <si>
    <t>11-16144</t>
  </si>
  <si>
    <t>11-16146</t>
  </si>
  <si>
    <t>11-16148</t>
  </si>
  <si>
    <t>11-16149</t>
  </si>
  <si>
    <t>11-16152</t>
  </si>
  <si>
    <t>11-16152-1</t>
  </si>
  <si>
    <t>11-16152-2</t>
  </si>
  <si>
    <t>11-16154</t>
  </si>
  <si>
    <t>11-16154-1</t>
  </si>
  <si>
    <t>11-16154-2</t>
  </si>
  <si>
    <t>11-16156</t>
  </si>
  <si>
    <t>11-16158</t>
  </si>
  <si>
    <t>11-16160</t>
  </si>
  <si>
    <t>11-16161</t>
  </si>
  <si>
    <t>11-16162</t>
  </si>
  <si>
    <t>11-16164</t>
  </si>
  <si>
    <t>11-16166</t>
  </si>
  <si>
    <t>11-16168</t>
  </si>
  <si>
    <t>11-16168-1</t>
  </si>
  <si>
    <t>11-16168-2</t>
  </si>
  <si>
    <t>11-16170</t>
  </si>
  <si>
    <t>11-16172</t>
  </si>
  <si>
    <t>11-16174</t>
  </si>
  <si>
    <t>11-16176</t>
  </si>
  <si>
    <t>11-16177</t>
  </si>
  <si>
    <t>11-16180</t>
  </si>
  <si>
    <t>11-16180-1</t>
  </si>
  <si>
    <t>11-16180-2</t>
  </si>
  <si>
    <t>11-16182</t>
  </si>
  <si>
    <t>11-16182-1</t>
  </si>
  <si>
    <t>11-16182-2</t>
  </si>
  <si>
    <t>11-16184</t>
  </si>
  <si>
    <t>11-16186</t>
  </si>
  <si>
    <t>11-16188</t>
  </si>
  <si>
    <t>11-16190</t>
  </si>
  <si>
    <t>11-16191</t>
  </si>
  <si>
    <t>11-16192</t>
  </si>
  <si>
    <t>11-16194</t>
  </si>
  <si>
    <t>11-16196</t>
  </si>
  <si>
    <t>11-16198</t>
  </si>
  <si>
    <t>11-16200</t>
  </si>
  <si>
    <t>11-16202</t>
  </si>
  <si>
    <t>11-16204</t>
  </si>
  <si>
    <t>11-16206</t>
  </si>
  <si>
    <t>11-16207</t>
  </si>
  <si>
    <t>11-07374</t>
  </si>
  <si>
    <t>11-07376</t>
  </si>
  <si>
    <t>11-07378</t>
  </si>
  <si>
    <t>11-07380</t>
  </si>
  <si>
    <t>11-07382</t>
  </si>
  <si>
    <t>11-07386</t>
  </si>
  <si>
    <t>11-07387</t>
  </si>
  <si>
    <t>11-07388</t>
  </si>
  <si>
    <t>11-07389</t>
  </si>
  <si>
    <t>11-07392</t>
  </si>
  <si>
    <t>11-07394</t>
  </si>
  <si>
    <t>11-07396</t>
  </si>
  <si>
    <t>11-07398</t>
  </si>
  <si>
    <t>11-07400</t>
  </si>
  <si>
    <t>11-07402</t>
  </si>
  <si>
    <t>11-07406</t>
  </si>
  <si>
    <t>11-07407</t>
  </si>
  <si>
    <t>11-07408</t>
  </si>
  <si>
    <t>11-07409</t>
  </si>
  <si>
    <t>11-07411</t>
  </si>
  <si>
    <t>11-07414</t>
  </si>
  <si>
    <t>11-07416</t>
  </si>
  <si>
    <t>11-07418</t>
  </si>
  <si>
    <t>11-07420</t>
  </si>
  <si>
    <t>11-07422</t>
  </si>
  <si>
    <t>11-07424</t>
  </si>
  <si>
    <t>11-07426</t>
  </si>
  <si>
    <t>11-07427</t>
  </si>
  <si>
    <t>11-07428</t>
  </si>
  <si>
    <t>11-07429</t>
  </si>
  <si>
    <t>11-07431</t>
  </si>
  <si>
    <t>11-08473</t>
  </si>
  <si>
    <t>11-08475</t>
  </si>
  <si>
    <t>11-08478</t>
  </si>
  <si>
    <t>11-08481</t>
  </si>
  <si>
    <t>11-08483</t>
  </si>
  <si>
    <t>11-08484</t>
  </si>
  <si>
    <t>11-08486</t>
  </si>
  <si>
    <t>11-08488</t>
  </si>
  <si>
    <t>11-08490</t>
  </si>
  <si>
    <t>11-08493</t>
  </si>
  <si>
    <t>11-08496</t>
  </si>
  <si>
    <t>11-08498</t>
  </si>
  <si>
    <t>11-08499</t>
  </si>
  <si>
    <t>11-08501</t>
  </si>
  <si>
    <t>11-08503</t>
  </si>
  <si>
    <t>11-17030-2</t>
  </si>
  <si>
    <t>11-08505</t>
  </si>
  <si>
    <t>11-08508</t>
  </si>
  <si>
    <t>11-08510</t>
  </si>
  <si>
    <t>11-08512</t>
  </si>
  <si>
    <t>11-08516</t>
  </si>
  <si>
    <t>11-11559</t>
  </si>
  <si>
    <t>11-08517</t>
  </si>
  <si>
    <t>11-08519</t>
  </si>
  <si>
    <t>11-08521</t>
  </si>
  <si>
    <t>11-08523</t>
  </si>
  <si>
    <t>11-08525</t>
  </si>
  <si>
    <t>11-08527</t>
  </si>
  <si>
    <t>11-08530</t>
  </si>
  <si>
    <t>11-08532</t>
  </si>
  <si>
    <t>11-11560</t>
  </si>
  <si>
    <t>11-08533</t>
  </si>
  <si>
    <t>11-08535</t>
  </si>
  <si>
    <t>11-08536</t>
  </si>
  <si>
    <t>11-08539</t>
  </si>
  <si>
    <t>11-08541</t>
  </si>
  <si>
    <t>11-08543</t>
  </si>
  <si>
    <t>11-08545</t>
  </si>
  <si>
    <t>11-08548</t>
  </si>
  <si>
    <t>11-08552</t>
  </si>
  <si>
    <t>11-11561</t>
  </si>
  <si>
    <t>11-08553</t>
  </si>
  <si>
    <t>11-08555</t>
  </si>
  <si>
    <t>11-11563</t>
  </si>
  <si>
    <t>11-11565</t>
  </si>
  <si>
    <t>11-11567</t>
  </si>
  <si>
    <t>11-11569</t>
  </si>
  <si>
    <t>11-11572</t>
  </si>
  <si>
    <t>11-11574</t>
  </si>
  <si>
    <t>11-11575</t>
  </si>
  <si>
    <t>11-11576</t>
  </si>
  <si>
    <t>11-11578</t>
  </si>
  <si>
    <t>11-11579</t>
  </si>
  <si>
    <t>11-11582</t>
  </si>
  <si>
    <t>11-11583</t>
  </si>
  <si>
    <t>11-11586</t>
  </si>
  <si>
    <t>11-11587</t>
  </si>
  <si>
    <t>11-09231</t>
  </si>
  <si>
    <t>11-09233</t>
  </si>
  <si>
    <t>11-09235</t>
  </si>
  <si>
    <t>11-09237</t>
  </si>
  <si>
    <t>11-09238</t>
  </si>
  <si>
    <t>11-09240</t>
  </si>
  <si>
    <t>11-09242</t>
  </si>
  <si>
    <t>11-10581</t>
  </si>
  <si>
    <t>11-09245</t>
  </si>
  <si>
    <t>11-09247</t>
  </si>
  <si>
    <t>11-09249</t>
  </si>
  <si>
    <t>11-09251</t>
  </si>
  <si>
    <t>11-09252</t>
  </si>
  <si>
    <t>11-09254</t>
  </si>
  <si>
    <t>11-09256</t>
  </si>
  <si>
    <t>11-09258</t>
  </si>
  <si>
    <t>11-10590</t>
  </si>
  <si>
    <t>11-09261</t>
  </si>
  <si>
    <t>11-10595</t>
  </si>
  <si>
    <t>11-09263</t>
  </si>
  <si>
    <t>11-10596</t>
  </si>
  <si>
    <t>11-09266</t>
  </si>
  <si>
    <t>11-09268</t>
  </si>
  <si>
    <t>11-09270</t>
  </si>
  <si>
    <t>11-10598</t>
  </si>
  <si>
    <t>11-09271</t>
  </si>
  <si>
    <t>11-10599</t>
  </si>
  <si>
    <t>11-09272</t>
  </si>
  <si>
    <t>11-09274</t>
  </si>
  <si>
    <t>11-10600</t>
  </si>
  <si>
    <t>11-09277</t>
  </si>
  <si>
    <t>11-10605</t>
  </si>
  <si>
    <t>11-09279</t>
  </si>
  <si>
    <t>11-10606</t>
  </si>
  <si>
    <t>11-09282</t>
  </si>
  <si>
    <t>11-09284</t>
  </si>
  <si>
    <t>11-09286</t>
  </si>
  <si>
    <t>11-10608</t>
  </si>
  <si>
    <t>11-09287</t>
  </si>
  <si>
    <t>11-10609</t>
  </si>
  <si>
    <t>11-09288</t>
  </si>
  <si>
    <t>11-09290</t>
  </si>
  <si>
    <t>11-09292</t>
  </si>
  <si>
    <t>11-10611</t>
  </si>
  <si>
    <t>11-09142</t>
  </si>
  <si>
    <t>11-09144</t>
  </si>
  <si>
    <t>11-09146</t>
  </si>
  <si>
    <t>11-09148</t>
  </si>
  <si>
    <t>11-09150</t>
  </si>
  <si>
    <t>11-09153</t>
  </si>
  <si>
    <t>11-09155</t>
  </si>
  <si>
    <t>11-09156</t>
  </si>
  <si>
    <t>11-09157</t>
  </si>
  <si>
    <t>11-09159</t>
  </si>
  <si>
    <t>11-09160</t>
  </si>
  <si>
    <t>11-09162</t>
  </si>
  <si>
    <t>11-16218</t>
  </si>
  <si>
    <t>11-16220</t>
  </si>
  <si>
    <t>11-16224</t>
  </si>
  <si>
    <t>11-16226</t>
  </si>
  <si>
    <t>11-16228</t>
  </si>
  <si>
    <t>11-16229</t>
  </si>
  <si>
    <t>11-16232</t>
  </si>
  <si>
    <t>11-16234</t>
  </si>
  <si>
    <t>11-16238</t>
  </si>
  <si>
    <t>11-16240</t>
  </si>
  <si>
    <t>11-16242</t>
  </si>
  <si>
    <t>11-16243</t>
  </si>
  <si>
    <t>11-16245</t>
  </si>
  <si>
    <t>11-16247</t>
  </si>
  <si>
    <t>11-16249</t>
  </si>
  <si>
    <t>11-16763</t>
  </si>
  <si>
    <t>11-16251</t>
  </si>
  <si>
    <t>11-16253</t>
  </si>
  <si>
    <t>11-16255</t>
  </si>
  <si>
    <t>11-07741</t>
  </si>
  <si>
    <t>11-07743</t>
  </si>
  <si>
    <t>11-07745</t>
  </si>
  <si>
    <t>11-07747</t>
  </si>
  <si>
    <t>11-07749</t>
  </si>
  <si>
    <t>11-07750</t>
  </si>
  <si>
    <t>11-07751</t>
  </si>
  <si>
    <t>11-07753</t>
  </si>
  <si>
    <t>11-07755</t>
  </si>
  <si>
    <t>11-07758</t>
  </si>
  <si>
    <t>11-07760</t>
  </si>
  <si>
    <t>11-07762</t>
  </si>
  <si>
    <t>11-07764</t>
  </si>
  <si>
    <t>11-07766</t>
  </si>
  <si>
    <t>11-07768</t>
  </si>
  <si>
    <t>11-16257</t>
  </si>
  <si>
    <t>11-16260</t>
  </si>
  <si>
    <t>11-16263</t>
  </si>
  <si>
    <t>11-16267</t>
  </si>
  <si>
    <t>11-16269</t>
  </si>
  <si>
    <t>11-16272</t>
  </si>
  <si>
    <t>11-16275</t>
  </si>
  <si>
    <t>11-16277</t>
  </si>
  <si>
    <t>11-16280</t>
  </si>
  <si>
    <t>11-16281</t>
  </si>
  <si>
    <t>11-16283</t>
  </si>
  <si>
    <t>11-16286</t>
  </si>
  <si>
    <t>11-16288</t>
  </si>
  <si>
    <t>11-16291</t>
  </si>
  <si>
    <t>11-16294</t>
  </si>
  <si>
    <t>11-16297</t>
  </si>
  <si>
    <t>11-16300</t>
  </si>
  <si>
    <t>11-16302</t>
  </si>
  <si>
    <t>11-16303</t>
  </si>
  <si>
    <t>11-16305</t>
  </si>
  <si>
    <t>11-16308</t>
  </si>
  <si>
    <t>11-16310</t>
  </si>
  <si>
    <t>11-16312</t>
  </si>
  <si>
    <t>11-16314</t>
  </si>
  <si>
    <t>11-16316</t>
  </si>
  <si>
    <t>11-16317</t>
  </si>
  <si>
    <t>11-16318</t>
  </si>
  <si>
    <t>11-16319</t>
  </si>
  <si>
    <t>11-16322</t>
  </si>
  <si>
    <t>11-16324</t>
  </si>
  <si>
    <t>11-16327</t>
  </si>
  <si>
    <t>11-16330</t>
  </si>
  <si>
    <t>11-16332</t>
  </si>
  <si>
    <t>11-16333</t>
  </si>
  <si>
    <t>11-00494</t>
  </si>
  <si>
    <t>11-00495</t>
  </si>
  <si>
    <t>11-00497</t>
  </si>
  <si>
    <t>11-16343</t>
  </si>
  <si>
    <t>11-16345</t>
  </si>
  <si>
    <t>11-16345-1</t>
  </si>
  <si>
    <t>11-16345-2</t>
  </si>
  <si>
    <t>11-16348</t>
  </si>
  <si>
    <t>11-16348-1</t>
  </si>
  <si>
    <t>11-16348-2</t>
  </si>
  <si>
    <t>11-16351</t>
  </si>
  <si>
    <t>11-16353</t>
  </si>
  <si>
    <t>11-16354</t>
  </si>
  <si>
    <t>11-16356</t>
  </si>
  <si>
    <t>11-16358</t>
  </si>
  <si>
    <t>11-16360</t>
  </si>
  <si>
    <t>11-16360-1</t>
  </si>
  <si>
    <t>11-16360-2</t>
  </si>
  <si>
    <t>11-16363</t>
  </si>
  <si>
    <t>11-16363-1</t>
  </si>
  <si>
    <t>11-16363-2</t>
  </si>
  <si>
    <t>11-16366</t>
  </si>
  <si>
    <t>11-16366-1</t>
  </si>
  <si>
    <t>11-16366-2</t>
  </si>
  <si>
    <t>11-16368</t>
  </si>
  <si>
    <t>11-16369</t>
  </si>
  <si>
    <t>11-16371</t>
  </si>
  <si>
    <t>11-16373</t>
  </si>
  <si>
    <t>11-16375</t>
  </si>
  <si>
    <t>11-16377</t>
  </si>
  <si>
    <t>11-16380</t>
  </si>
  <si>
    <t>11-16382</t>
  </si>
  <si>
    <t>11-16383</t>
  </si>
  <si>
    <t>11-16385</t>
  </si>
  <si>
    <t>11-16387</t>
  </si>
  <si>
    <t>11-16389</t>
  </si>
  <si>
    <t>11-16389-1</t>
  </si>
  <si>
    <t>11-16389-2</t>
  </si>
  <si>
    <t>11-16391</t>
  </si>
  <si>
    <t>11-16391-1</t>
  </si>
  <si>
    <t>11-16391-2</t>
  </si>
  <si>
    <t>11-16393</t>
  </si>
  <si>
    <t>11-16394</t>
  </si>
  <si>
    <t>11-16395</t>
  </si>
  <si>
    <t>11-16397</t>
  </si>
  <si>
    <t>11-16399</t>
  </si>
  <si>
    <t>11-16401</t>
  </si>
  <si>
    <t>11-16403</t>
  </si>
  <si>
    <t>11-16405</t>
  </si>
  <si>
    <t>11-16775</t>
  </si>
  <si>
    <t>11-16407</t>
  </si>
  <si>
    <t>11-16409</t>
  </si>
  <si>
    <t>11-16411</t>
  </si>
  <si>
    <t>Раздел_3</t>
  </si>
  <si>
    <t>Доп14.1</t>
  </si>
  <si>
    <t>Доп14.2</t>
  </si>
  <si>
    <t>Доп14.3</t>
  </si>
  <si>
    <t>Доп14.4</t>
  </si>
  <si>
    <t>Доп14.5</t>
  </si>
  <si>
    <t>Доп14.6</t>
  </si>
  <si>
    <t>Доп14.8</t>
  </si>
  <si>
    <t>Доп14.10</t>
  </si>
  <si>
    <t>Доп14.11</t>
  </si>
  <si>
    <t>Доп14.12</t>
  </si>
  <si>
    <t>Доп14.13</t>
  </si>
  <si>
    <t>Доп14.14</t>
  </si>
  <si>
    <t>Доп14.15</t>
  </si>
  <si>
    <t>Доп14.16</t>
  </si>
  <si>
    <t>Доп14.17</t>
  </si>
  <si>
    <t>Доп14.18</t>
  </si>
  <si>
    <t>Доп14.19</t>
  </si>
  <si>
    <t>Доп14.20</t>
  </si>
  <si>
    <t>Доп14.242</t>
  </si>
  <si>
    <t>Доп14.243</t>
  </si>
  <si>
    <t>Доп14.21</t>
  </si>
  <si>
    <t>Доп14.22</t>
  </si>
  <si>
    <t>Доп14.23</t>
  </si>
  <si>
    <t>Доп14.24</t>
  </si>
  <si>
    <t>Доп14.25</t>
  </si>
  <si>
    <t>Доп14.26</t>
  </si>
  <si>
    <t>Доп14.27</t>
  </si>
  <si>
    <t>Доп14.28</t>
  </si>
  <si>
    <t>Доп14.29</t>
  </si>
  <si>
    <t>Доп14.35</t>
  </si>
  <si>
    <t>Доп14.36</t>
  </si>
  <si>
    <t>Доп14.37</t>
  </si>
  <si>
    <t>Доп14.38</t>
  </si>
  <si>
    <t>Доп14.39</t>
  </si>
  <si>
    <t>Доп14.40</t>
  </si>
  <si>
    <t>Доп14.41</t>
  </si>
  <si>
    <t>Доп14.42</t>
  </si>
  <si>
    <t>Доп14.43</t>
  </si>
  <si>
    <t>Доп14.44</t>
  </si>
  <si>
    <t>Доп14.45</t>
  </si>
  <si>
    <t>Доп14.46</t>
  </si>
  <si>
    <t>Доп14.47</t>
  </si>
  <si>
    <t>Доп14.49</t>
  </si>
  <si>
    <t>Доп14.59</t>
  </si>
  <si>
    <t>Доп14.60</t>
  </si>
  <si>
    <t>Доп14.61</t>
  </si>
  <si>
    <t>Доп14.64</t>
  </si>
  <si>
    <t>Доп14.70</t>
  </si>
  <si>
    <t>Доп14.71</t>
  </si>
  <si>
    <t>Доп14.76</t>
  </si>
  <si>
    <t>Доп14.92</t>
  </si>
  <si>
    <t>Доп14.93</t>
  </si>
  <si>
    <t>Доп14.106</t>
  </si>
  <si>
    <t>Доп14.107</t>
  </si>
  <si>
    <t>Доп14.108</t>
  </si>
  <si>
    <t>Доп14.109</t>
  </si>
  <si>
    <t>Доп14.110</t>
  </si>
  <si>
    <t>Доп14.111</t>
  </si>
  <si>
    <t>Доп14.112</t>
  </si>
  <si>
    <t>Доп14.113</t>
  </si>
  <si>
    <t>Доп14.114</t>
  </si>
  <si>
    <t>Доп14.115</t>
  </si>
  <si>
    <t>Доп14.116</t>
  </si>
  <si>
    <t>Доп14.117</t>
  </si>
  <si>
    <t>Доп14.126</t>
  </si>
  <si>
    <t>Доп14.127</t>
  </si>
  <si>
    <t>Доп14.129</t>
  </si>
  <si>
    <t>Доп14.130</t>
  </si>
  <si>
    <t>Доп14.131</t>
  </si>
  <si>
    <t>Доп14.132</t>
  </si>
  <si>
    <t>Доп14.133</t>
  </si>
  <si>
    <t>Доп14.134</t>
  </si>
  <si>
    <t>Доп14.136</t>
  </si>
  <si>
    <t>Доп14.145</t>
  </si>
  <si>
    <t>Доп14.148</t>
  </si>
  <si>
    <t>Доп14.149</t>
  </si>
  <si>
    <t>Доп14.150</t>
  </si>
  <si>
    <t>Доп14.151</t>
  </si>
  <si>
    <t>Доп14.152</t>
  </si>
  <si>
    <t>Доп14.153</t>
  </si>
  <si>
    <t>Доп14.154</t>
  </si>
  <si>
    <t>Доп14.155</t>
  </si>
  <si>
    <t>Доп14.157</t>
  </si>
  <si>
    <t>Доп14.158</t>
  </si>
  <si>
    <t>Доп14.160</t>
  </si>
  <si>
    <t>Доп14.161</t>
  </si>
  <si>
    <t>Доп14.162</t>
  </si>
  <si>
    <t>Доп14.163</t>
  </si>
  <si>
    <t>Доп14.164</t>
  </si>
  <si>
    <t>Доп14.165</t>
  </si>
  <si>
    <t>Доп14.166</t>
  </si>
  <si>
    <t>Доп14.167</t>
  </si>
  <si>
    <t>Доп14.168</t>
  </si>
  <si>
    <t>Доп14.169</t>
  </si>
  <si>
    <t>Доп14.170</t>
  </si>
  <si>
    <t>Доп14.171</t>
  </si>
  <si>
    <t>Доп14.172</t>
  </si>
  <si>
    <t>Доп14.173</t>
  </si>
  <si>
    <t>Доп14.174</t>
  </si>
  <si>
    <t>Доп14.175</t>
  </si>
  <si>
    <t>Доп14.176</t>
  </si>
  <si>
    <t>Доп14.177</t>
  </si>
  <si>
    <t>Доп14.178</t>
  </si>
  <si>
    <t>Доп14.179</t>
  </si>
  <si>
    <t>Доп14.180</t>
  </si>
  <si>
    <t>Доп14.181</t>
  </si>
  <si>
    <t>Доп14.183</t>
  </si>
  <si>
    <t>Доп14.210</t>
  </si>
  <si>
    <t>Доп14.211</t>
  </si>
  <si>
    <t>Доп14.212</t>
  </si>
  <si>
    <t>Доп14.213</t>
  </si>
  <si>
    <t>расхлоп позиции</t>
  </si>
  <si>
    <t>Доп14.214</t>
  </si>
  <si>
    <t>Доп14.215</t>
  </si>
  <si>
    <t>Доп14.216</t>
  </si>
  <si>
    <t>Доп14.217</t>
  </si>
  <si>
    <t>Доп14.219</t>
  </si>
  <si>
    <t>Доп14.220</t>
  </si>
  <si>
    <t>Доп14.222</t>
  </si>
  <si>
    <t>Доп14.223</t>
  </si>
  <si>
    <t>Доп14.226</t>
  </si>
  <si>
    <t>Доп14.227</t>
  </si>
  <si>
    <t>Доп14.228</t>
  </si>
  <si>
    <t>Доп14.229</t>
  </si>
  <si>
    <t>Доп14.230</t>
  </si>
  <si>
    <t>Доп14.231</t>
  </si>
  <si>
    <t>Доп14.232</t>
  </si>
  <si>
    <t>Доп14.233</t>
  </si>
  <si>
    <t>Доп14.234</t>
  </si>
  <si>
    <t>Доп14.235</t>
  </si>
  <si>
    <t>11-17051</t>
  </si>
  <si>
    <t>Доп14.236</t>
  </si>
  <si>
    <t>Доп14.237</t>
  </si>
  <si>
    <t>Доп14.238</t>
  </si>
  <si>
    <t>Доп14.241</t>
  </si>
  <si>
    <t>Раздел_4</t>
  </si>
  <si>
    <t>11-16993</t>
  </si>
  <si>
    <t>12-00001</t>
  </si>
  <si>
    <t>11-01651</t>
  </si>
  <si>
    <t>11-01650</t>
  </si>
  <si>
    <t>11-09195</t>
  </si>
  <si>
    <t>11-09194</t>
  </si>
  <si>
    <t>11-13996</t>
  </si>
  <si>
    <t>11-14014</t>
  </si>
  <si>
    <t>11-01561</t>
  </si>
  <si>
    <t>11-01501</t>
  </si>
  <si>
    <t>11-01547</t>
  </si>
  <si>
    <t>11-01600</t>
  </si>
  <si>
    <t>11-01474</t>
  </si>
  <si>
    <t>11-01523</t>
  </si>
  <si>
    <t>11-01575</t>
  </si>
  <si>
    <t>11-17046</t>
  </si>
  <si>
    <t>12-00005</t>
  </si>
  <si>
    <t>11-17006-2</t>
  </si>
  <si>
    <t>11-17007-2</t>
  </si>
  <si>
    <t>11-17008</t>
  </si>
  <si>
    <t>11-17015-2</t>
  </si>
  <si>
    <t>11-17016-1</t>
  </si>
  <si>
    <t>11-17016-2</t>
  </si>
  <si>
    <t>11-17044</t>
  </si>
  <si>
    <t>11-17045</t>
  </si>
  <si>
    <t>Доп14.118</t>
  </si>
  <si>
    <t>Доп14.119</t>
  </si>
  <si>
    <t>Доп14.120</t>
  </si>
  <si>
    <t>Доп14.121</t>
  </si>
  <si>
    <t>Доп14.123</t>
  </si>
  <si>
    <t>Доп14.125</t>
  </si>
  <si>
    <t>11-20001-1</t>
  </si>
  <si>
    <t>11-20001-2</t>
  </si>
  <si>
    <t>11-20002-1</t>
  </si>
  <si>
    <t>11-20002-2</t>
  </si>
  <si>
    <t>Раздел_5</t>
  </si>
  <si>
    <t>ВЗЛР_1.1(ТТ)</t>
  </si>
  <si>
    <t>ВЗЛР_1.1(МК)</t>
  </si>
  <si>
    <t>ВЗЛР_1.1(ГУС)</t>
  </si>
  <si>
    <t>ВЗЛР_1.1(ЗР)</t>
  </si>
  <si>
    <t>ВЗЛР_1.1(Б)</t>
  </si>
  <si>
    <t>ВЗЛР_1.1(ОС)</t>
  </si>
  <si>
    <t>ВЗЛР_1.2(ТТ)</t>
  </si>
  <si>
    <t>ВЗЛР_1.2(МК)</t>
  </si>
  <si>
    <t>ВЗЛР_1.2(ЗР)</t>
  </si>
  <si>
    <t>ВЗЛР_1.2(Б)</t>
  </si>
  <si>
    <t>ВЗЛР_1.2(ОС)</t>
  </si>
  <si>
    <t>ВЗЛР_4.1(ЗР)</t>
  </si>
  <si>
    <t>ВЗЛР_4.1(Б)</t>
  </si>
  <si>
    <t>ВЗЛР_4.1(ОС)</t>
  </si>
  <si>
    <t>ВЗЛР_4.2(ЗР)</t>
  </si>
  <si>
    <t>ВЗЛР_4.2(Б)</t>
  </si>
  <si>
    <t>ВЗЛР_4.2(ОС)</t>
  </si>
  <si>
    <t>ВЗЛР_5.1(ЗР)</t>
  </si>
  <si>
    <t>ВЗЛР_5.1(Б)</t>
  </si>
  <si>
    <t>ВЗЛР_5.1(ОС)</t>
  </si>
  <si>
    <t>ВЗЛР_5.2(ЗР)</t>
  </si>
  <si>
    <t>ВЗЛР_5.2(Б)</t>
  </si>
  <si>
    <t>ВЗЛР_5.2(ОС)</t>
  </si>
  <si>
    <t>ВЗЛР_5.3(ЗР)</t>
  </si>
  <si>
    <t>ВЗЛР_5.3(Б)</t>
  </si>
  <si>
    <t>ВЗЛР_5.3(ОС)</t>
  </si>
  <si>
    <t>ВЗЛР_5.4(ЗР)</t>
  </si>
  <si>
    <t>ВЗЛР_5.4(Б)</t>
  </si>
  <si>
    <t>ВЗЛР_5.4(ОС)</t>
  </si>
  <si>
    <t>ВЗЛР_5.5(ЗР)</t>
  </si>
  <si>
    <t>ВЗЛР_5.5(Б)</t>
  </si>
  <si>
    <t>ВЗЛР_5.5(ОС)</t>
  </si>
  <si>
    <t>ВЗЛР_5.6(ЗР)</t>
  </si>
  <si>
    <t>ВЗЛР_5.6(Б)</t>
  </si>
  <si>
    <t>ВЗЛР_5.6(ОС)</t>
  </si>
  <si>
    <t>ВЗЛР_5.7(ЗР)</t>
  </si>
  <si>
    <t>ВЗЛР_5.7(Б)</t>
  </si>
  <si>
    <t>ВЗЛР_5.7(ОС)</t>
  </si>
  <si>
    <t>ВЗЛР_5.8(ЗР)</t>
  </si>
  <si>
    <t>ВЗЛР_5.8(Б)</t>
  </si>
  <si>
    <t>ВЗЛР_5.8(ОС)</t>
  </si>
  <si>
    <t>ВЗЛР_6(ТТ)</t>
  </si>
  <si>
    <t>ВЗЛР_6(МК)</t>
  </si>
  <si>
    <t>ВЗЛР_6(ЗР)</t>
  </si>
  <si>
    <t>ВЗЛР_6(Б)</t>
  </si>
  <si>
    <t>ВЗЛР_6(ОС)</t>
  </si>
  <si>
    <t>ВЗЛР_7(ЗР)</t>
  </si>
  <si>
    <t>ВЗЛР_7(Б)</t>
  </si>
  <si>
    <t>ВЗЛР_7(ОС)</t>
  </si>
  <si>
    <t>ВЗЛР_8.1(ЗР)</t>
  </si>
  <si>
    <t>ВЗЛР_8.1(Б)</t>
  </si>
  <si>
    <t>ВЗЛР_8.1(ОС)</t>
  </si>
  <si>
    <t>ВЗЛР_8.2(ЗР)</t>
  </si>
  <si>
    <t>ВЗЛР_8.2(Б)</t>
  </si>
  <si>
    <t>ВЗЛР_8.2(ОС)</t>
  </si>
  <si>
    <t>ВЗЛР_8.3(ЗР)</t>
  </si>
  <si>
    <t>ВЗЛР_8.3(Б)</t>
  </si>
  <si>
    <t>ВЗЛР_8.3(ОС)</t>
  </si>
  <si>
    <t>ВЗЛР_8.4(ЗР)</t>
  </si>
  <si>
    <t>ВЗЛР_8.4(Б)</t>
  </si>
  <si>
    <t>ВЗЛР_8.4(ОС)</t>
  </si>
  <si>
    <t>ВЗЛР_8.5.(ЗР)</t>
  </si>
  <si>
    <t>ВЗЛР_8.5.(Б)</t>
  </si>
  <si>
    <t>ВЗЛР_8.5(ОС)</t>
  </si>
  <si>
    <t>ВЗЛР_9.1(ЗР)</t>
  </si>
  <si>
    <t>ВЗЛР_9.1(Б)</t>
  </si>
  <si>
    <t>ВЗЛР_9.1(ОС)</t>
  </si>
  <si>
    <t>ВЗЛР_9.2(ЗР)</t>
  </si>
  <si>
    <t>ВЗЛР_9.2(Б)</t>
  </si>
  <si>
    <t>ВЗЛР_9.2(ОС)</t>
  </si>
  <si>
    <t>ВЗЛР_9.2(ИМ)</t>
  </si>
  <si>
    <t>ВЗЛР_9.2(АКЗ)</t>
  </si>
  <si>
    <t>ВЗЛР_9.2(ОиВ)</t>
  </si>
  <si>
    <t>ВЗЛР_9.2(ВиК)</t>
  </si>
  <si>
    <t>ВЗЛР_9.2(ВиКМ)</t>
  </si>
  <si>
    <t>ВЗЛР_10.1(ЗР)</t>
  </si>
  <si>
    <t>ВЗЛР_10.1(Б)</t>
  </si>
  <si>
    <t>ВЗЛР_10.1(ОС)</t>
  </si>
  <si>
    <t>ВЗЛР_10.1(АКЗ)</t>
  </si>
  <si>
    <t>ВЗЛР_10.1(ИМ)</t>
  </si>
  <si>
    <t>ВЗЛР_10.2(ЗР)</t>
  </si>
  <si>
    <t>ВЗЛР_10.2(ИМ)</t>
  </si>
  <si>
    <t>ВЗЛР_10.2(Б)</t>
  </si>
  <si>
    <t>ВЗЛР_10.2(ОС)</t>
  </si>
  <si>
    <t>Раздел_6</t>
  </si>
  <si>
    <t>Лимитир_1</t>
  </si>
  <si>
    <t>Лимитир_2</t>
  </si>
  <si>
    <t>Лимитир_3</t>
  </si>
  <si>
    <t>Лимитир_4</t>
  </si>
  <si>
    <t>11-18585</t>
  </si>
  <si>
    <t>11-18586</t>
  </si>
  <si>
    <t>11-18588</t>
  </si>
  <si>
    <t>11-18589</t>
  </si>
  <si>
    <t>11-18591</t>
  </si>
  <si>
    <t>11-18593</t>
  </si>
  <si>
    <t>11-18595</t>
  </si>
  <si>
    <t>11-18597</t>
  </si>
  <si>
    <t>11-18598</t>
  </si>
  <si>
    <t>11-18600</t>
  </si>
  <si>
    <t>11-18601</t>
  </si>
  <si>
    <t>11-18603</t>
  </si>
  <si>
    <t>11-18604</t>
  </si>
  <si>
    <t>11-18604-1</t>
  </si>
  <si>
    <t>11-18604-2</t>
  </si>
  <si>
    <t>11-18607</t>
  </si>
  <si>
    <t>11-18607-1</t>
  </si>
  <si>
    <t>11-18607-2</t>
  </si>
  <si>
    <t>11-18609</t>
  </si>
  <si>
    <t>11-18609-1</t>
  </si>
  <si>
    <t>11-18609-2</t>
  </si>
  <si>
    <t>11-18611</t>
  </si>
  <si>
    <t>11-18612</t>
  </si>
  <si>
    <t>11-18613</t>
  </si>
  <si>
    <t>11-17026</t>
  </si>
  <si>
    <t>11-18615</t>
  </si>
  <si>
    <t>11-18616</t>
  </si>
  <si>
    <t>11-18616-1</t>
  </si>
  <si>
    <t>11-18616-2</t>
  </si>
  <si>
    <t>11-18618</t>
  </si>
  <si>
    <t>11-18618-1</t>
  </si>
  <si>
    <t>11-18618-2</t>
  </si>
  <si>
    <t>11-18620</t>
  </si>
  <si>
    <t>11-18620-1</t>
  </si>
  <si>
    <t>11-18620-2</t>
  </si>
  <si>
    <t>11-18623</t>
  </si>
  <si>
    <t>11-18624</t>
  </si>
  <si>
    <t>11-18625</t>
  </si>
  <si>
    <t>11-18627</t>
  </si>
  <si>
    <t>11-18629</t>
  </si>
  <si>
    <t>11-18630</t>
  </si>
  <si>
    <t>11-18630-1</t>
  </si>
  <si>
    <t>11-18630-2</t>
  </si>
  <si>
    <t>11-18632</t>
  </si>
  <si>
    <t>11-18632-1</t>
  </si>
  <si>
    <t>11-18632-2</t>
  </si>
  <si>
    <t>11-18635</t>
  </si>
  <si>
    <t>11-18635-1</t>
  </si>
  <si>
    <t>11-18635-2</t>
  </si>
  <si>
    <t>11-18637</t>
  </si>
  <si>
    <t>11-18638</t>
  </si>
  <si>
    <t>11-18639</t>
  </si>
  <si>
    <t>11-16995</t>
  </si>
  <si>
    <t>11-18641</t>
  </si>
  <si>
    <t>11-18642</t>
  </si>
  <si>
    <t>11-18642-1</t>
  </si>
  <si>
    <t>11-18642-2</t>
  </si>
  <si>
    <t>11-18644</t>
  </si>
  <si>
    <t>11-18644-1</t>
  </si>
  <si>
    <t>11-18644-2</t>
  </si>
  <si>
    <t>11-18646</t>
  </si>
  <si>
    <t>11-18646-1</t>
  </si>
  <si>
    <t>11-18646-2</t>
  </si>
  <si>
    <t>11-18648</t>
  </si>
  <si>
    <t>11-18649</t>
  </si>
  <si>
    <t>11-18650</t>
  </si>
  <si>
    <t>11-18652</t>
  </si>
  <si>
    <t>11-18653</t>
  </si>
  <si>
    <t>11-18653-1</t>
  </si>
  <si>
    <t>11-18653-2</t>
  </si>
  <si>
    <t>11-18655</t>
  </si>
  <si>
    <t>11-18655-1</t>
  </si>
  <si>
    <t>11-18655-2</t>
  </si>
  <si>
    <t>11-18657</t>
  </si>
  <si>
    <t>11-18657-1</t>
  </si>
  <si>
    <t>11-18657-2</t>
  </si>
  <si>
    <t>11-18659</t>
  </si>
  <si>
    <t>11-18660</t>
  </si>
  <si>
    <t>11-18661</t>
  </si>
  <si>
    <t>11-18663</t>
  </si>
  <si>
    <t>11-18665</t>
  </si>
  <si>
    <t>11-18667</t>
  </si>
  <si>
    <t>11-21902</t>
  </si>
  <si>
    <t>11-18669</t>
  </si>
  <si>
    <t>11-16994</t>
  </si>
  <si>
    <t>11-18670</t>
  </si>
  <si>
    <t>11-18670-1</t>
  </si>
  <si>
    <t>11-18670-2</t>
  </si>
  <si>
    <t>11-18672</t>
  </si>
  <si>
    <t>11-18672-1</t>
  </si>
  <si>
    <t>11-18672-2</t>
  </si>
  <si>
    <t>11-18674</t>
  </si>
  <si>
    <t>11-18676</t>
  </si>
  <si>
    <t>11-18677</t>
  </si>
  <si>
    <t>11-18677-1</t>
  </si>
  <si>
    <t>11-18677-2</t>
  </si>
  <si>
    <t>11-18679</t>
  </si>
  <si>
    <t>11-18679-1</t>
  </si>
  <si>
    <t>11-18679-2</t>
  </si>
  <si>
    <t>11-18681</t>
  </si>
  <si>
    <t>11-18683</t>
  </si>
  <si>
    <t>11-18684</t>
  </si>
  <si>
    <t>11-18684-1</t>
  </si>
  <si>
    <t>11-18684-2</t>
  </si>
  <si>
    <t>11-18686</t>
  </si>
  <si>
    <t>11-18686-1</t>
  </si>
  <si>
    <t>11-18686-2</t>
  </si>
  <si>
    <t>11-18688</t>
  </si>
  <si>
    <t>11-18690</t>
  </si>
  <si>
    <t>11-18691</t>
  </si>
  <si>
    <t>11-18691-1</t>
  </si>
  <si>
    <t>11-18691-2</t>
  </si>
  <si>
    <t>11-18695</t>
  </si>
  <si>
    <t>11-18695-1</t>
  </si>
  <si>
    <t>11-18695-2</t>
  </si>
  <si>
    <t>11-18698</t>
  </si>
  <si>
    <t>11-18698-1</t>
  </si>
  <si>
    <t>11-18698-2</t>
  </si>
  <si>
    <t>11-18700</t>
  </si>
  <si>
    <t>11-18707</t>
  </si>
  <si>
    <t>11-18712</t>
  </si>
  <si>
    <t>11-18714</t>
  </si>
  <si>
    <t>11-18715</t>
  </si>
  <si>
    <t>11-18716</t>
  </si>
  <si>
    <t>11-18718</t>
  </si>
  <si>
    <t>11-18719</t>
  </si>
  <si>
    <t>11-18721</t>
  </si>
  <si>
    <t>11-18723</t>
  </si>
  <si>
    <t>11-18724</t>
  </si>
  <si>
    <t>11-18726</t>
  </si>
  <si>
    <t>11-18728</t>
  </si>
  <si>
    <t>11-18729</t>
  </si>
  <si>
    <t>11-18731</t>
  </si>
  <si>
    <t>11-18733</t>
  </si>
  <si>
    <t>11-18734</t>
  </si>
  <si>
    <t>11-18736</t>
  </si>
  <si>
    <t>11-18738</t>
  </si>
  <si>
    <t>11-18739</t>
  </si>
  <si>
    <t>11-18742</t>
  </si>
  <si>
    <t>11-18745</t>
  </si>
  <si>
    <t>11-18749</t>
  </si>
  <si>
    <t>11-18751</t>
  </si>
  <si>
    <t>11-18752</t>
  </si>
  <si>
    <t>11-18753</t>
  </si>
  <si>
    <t>11-18755</t>
  </si>
  <si>
    <t>11-18756</t>
  </si>
  <si>
    <t>11-18757</t>
  </si>
  <si>
    <t>11-18758</t>
  </si>
  <si>
    <t>11-18759</t>
  </si>
  <si>
    <t>11-18760</t>
  </si>
  <si>
    <t>11-18762</t>
  </si>
  <si>
    <t>11-18764</t>
  </si>
  <si>
    <t>11-18766</t>
  </si>
  <si>
    <t>11-18770</t>
  </si>
  <si>
    <t>11-18772</t>
  </si>
  <si>
    <t>11-18773</t>
  </si>
  <si>
    <t>11-18774</t>
  </si>
  <si>
    <t>11-18776</t>
  </si>
  <si>
    <t>11-18779</t>
  </si>
  <si>
    <t>11-18780</t>
  </si>
  <si>
    <t>11-18782</t>
  </si>
  <si>
    <t>11-18784</t>
  </si>
  <si>
    <t>11-18786</t>
  </si>
  <si>
    <t>11-18788</t>
  </si>
  <si>
    <t>11-18790</t>
  </si>
  <si>
    <t>11-18791</t>
  </si>
  <si>
    <t>11-18793</t>
  </si>
  <si>
    <t>11-18795</t>
  </si>
  <si>
    <t>11-18796</t>
  </si>
  <si>
    <t>11-18798</t>
  </si>
  <si>
    <t>11-18800</t>
  </si>
  <si>
    <t>11-18802</t>
  </si>
  <si>
    <t>11-18804</t>
  </si>
  <si>
    <t>11-18805</t>
  </si>
  <si>
    <t>11-18913</t>
  </si>
  <si>
    <t>11-18914</t>
  </si>
  <si>
    <t>11-18916</t>
  </si>
  <si>
    <t>11-18916-1</t>
  </si>
  <si>
    <t>11-18916-2</t>
  </si>
  <si>
    <t>11-18919</t>
  </si>
  <si>
    <t>11-18919-1</t>
  </si>
  <si>
    <t>11-18919-2</t>
  </si>
  <si>
    <t>11-18923</t>
  </si>
  <si>
    <t>11-18923-1</t>
  </si>
  <si>
    <t>11-18923-2</t>
  </si>
  <si>
    <t>11-18925</t>
  </si>
  <si>
    <t>11-18927</t>
  </si>
  <si>
    <t>11-18929</t>
  </si>
  <si>
    <t>11-18930</t>
  </si>
  <si>
    <t>11-18931</t>
  </si>
  <si>
    <t>11-18932</t>
  </si>
  <si>
    <t>11-18934</t>
  </si>
  <si>
    <t>11-18935</t>
  </si>
  <si>
    <t>11-18937</t>
  </si>
  <si>
    <t>11-18937-1</t>
  </si>
  <si>
    <t>11-18937-2</t>
  </si>
  <si>
    <t>11-18940</t>
  </si>
  <si>
    <t>11-18940-1</t>
  </si>
  <si>
    <t>11-18940-2</t>
  </si>
  <si>
    <t>11-18945</t>
  </si>
  <si>
    <t>11-18945-1</t>
  </si>
  <si>
    <t>11-18945-2</t>
  </si>
  <si>
    <t>11-18947</t>
  </si>
  <si>
    <t>11-18949</t>
  </si>
  <si>
    <t>11-18951</t>
  </si>
  <si>
    <t>11-18952</t>
  </si>
  <si>
    <t>11-18953</t>
  </si>
  <si>
    <t>11-18954</t>
  </si>
  <si>
    <t>11-18956</t>
  </si>
  <si>
    <t>11-18957</t>
  </si>
  <si>
    <t>11-18959</t>
  </si>
  <si>
    <t>11-18959-1</t>
  </si>
  <si>
    <t>11-18959-2</t>
  </si>
  <si>
    <t>11-18962</t>
  </si>
  <si>
    <t>11-18962-1</t>
  </si>
  <si>
    <t>11-18962-2</t>
  </si>
  <si>
    <t>11-18966</t>
  </si>
  <si>
    <t>11-18966-1</t>
  </si>
  <si>
    <t>11-18966-2</t>
  </si>
  <si>
    <t>11-18968</t>
  </si>
  <si>
    <t>11-18970</t>
  </si>
  <si>
    <t>11-18972</t>
  </si>
  <si>
    <t>11-18973</t>
  </si>
  <si>
    <t>11-18974</t>
  </si>
  <si>
    <t>11-18975</t>
  </si>
  <si>
    <t>11-18977</t>
  </si>
  <si>
    <t>11-18978</t>
  </si>
  <si>
    <t>11-18980</t>
  </si>
  <si>
    <t>11-18980-1</t>
  </si>
  <si>
    <t>11-18980-2</t>
  </si>
  <si>
    <t>11-18983</t>
  </si>
  <si>
    <t>11-18983-1</t>
  </si>
  <si>
    <t>11-18983-2</t>
  </si>
  <si>
    <t>11-18987</t>
  </si>
  <si>
    <t>11-18987-1</t>
  </si>
  <si>
    <t>11-18987-2</t>
  </si>
  <si>
    <t>11-18989</t>
  </si>
  <si>
    <t>11-18991</t>
  </si>
  <si>
    <t>11-18993</t>
  </si>
  <si>
    <t>11-18994</t>
  </si>
  <si>
    <t>11-18995</t>
  </si>
  <si>
    <t>11-18996</t>
  </si>
  <si>
    <t>11-18998</t>
  </si>
  <si>
    <t>11-18999</t>
  </si>
  <si>
    <t>11-19001</t>
  </si>
  <si>
    <t>11-19001-1</t>
  </si>
  <si>
    <t>11-19001-2</t>
  </si>
  <si>
    <t>11-19004</t>
  </si>
  <si>
    <t>11-19004-1</t>
  </si>
  <si>
    <t>11-19004-2</t>
  </si>
  <si>
    <t>11-19009</t>
  </si>
  <si>
    <t>11-19009-1</t>
  </si>
  <si>
    <t>11-19009-2</t>
  </si>
  <si>
    <t>11-19011</t>
  </si>
  <si>
    <t>11-19013</t>
  </si>
  <si>
    <t>11-19014</t>
  </si>
  <si>
    <t>11-19015</t>
  </si>
  <si>
    <t>11-19016</t>
  </si>
  <si>
    <t>11-19018</t>
  </si>
  <si>
    <t>11-19019</t>
  </si>
  <si>
    <t>11-19021</t>
  </si>
  <si>
    <t>11-19021-1</t>
  </si>
  <si>
    <t>11-19021-2</t>
  </si>
  <si>
    <t>11-19023</t>
  </si>
  <si>
    <t>11-19023-1</t>
  </si>
  <si>
    <t>11-19023-2</t>
  </si>
  <si>
    <t>11-19025</t>
  </si>
  <si>
    <t>11-19027</t>
  </si>
  <si>
    <t>11-19028</t>
  </si>
  <si>
    <t>11-19029</t>
  </si>
  <si>
    <t>11-19030</t>
  </si>
  <si>
    <t>11-17048</t>
  </si>
  <si>
    <t>12-00003</t>
  </si>
  <si>
    <t>11-24013</t>
  </si>
  <si>
    <t>11-24014</t>
  </si>
  <si>
    <t>11-24016</t>
  </si>
  <si>
    <t>11-24019</t>
  </si>
  <si>
    <t>11-24022</t>
  </si>
  <si>
    <t>11-24022-1</t>
  </si>
  <si>
    <t>11-24022-2</t>
  </si>
  <si>
    <t>11-24026</t>
  </si>
  <si>
    <t>11-24026-1</t>
  </si>
  <si>
    <t>11-24026-2</t>
  </si>
  <si>
    <t>11-24028</t>
  </si>
  <si>
    <t>11-24028-1</t>
  </si>
  <si>
    <t>11-24028-2</t>
  </si>
  <si>
    <t>11-24030</t>
  </si>
  <si>
    <t>11-24030-1</t>
  </si>
  <si>
    <t>11-24030-2</t>
  </si>
  <si>
    <t>11-24032</t>
  </si>
  <si>
    <t>11-24033</t>
  </si>
  <si>
    <t>11-24034</t>
  </si>
  <si>
    <t>11-19700</t>
  </si>
  <si>
    <t>11-19701</t>
  </si>
  <si>
    <t>11-19703</t>
  </si>
  <si>
    <t>11-19706</t>
  </si>
  <si>
    <t>11-19709</t>
  </si>
  <si>
    <t>11-19711</t>
  </si>
  <si>
    <t>11-19713</t>
  </si>
  <si>
    <t>11-19715</t>
  </si>
  <si>
    <t>11-19716</t>
  </si>
  <si>
    <t>11-19717</t>
  </si>
  <si>
    <t>11-19718</t>
  </si>
  <si>
    <t>11-19720</t>
  </si>
  <si>
    <t>11-19721</t>
  </si>
  <si>
    <t>11-19723</t>
  </si>
  <si>
    <t>11-19726</t>
  </si>
  <si>
    <t>11-19729</t>
  </si>
  <si>
    <t>11-19731</t>
  </si>
  <si>
    <t>11-19733</t>
  </si>
  <si>
    <t>11-19735</t>
  </si>
  <si>
    <t>11-19736</t>
  </si>
  <si>
    <t>11-19737</t>
  </si>
  <si>
    <t>11-19738</t>
  </si>
  <si>
    <t>11-19740</t>
  </si>
  <si>
    <t>11-19741</t>
  </si>
  <si>
    <t>11-19743</t>
  </si>
  <si>
    <t>11-19746</t>
  </si>
  <si>
    <t>11-19749</t>
  </si>
  <si>
    <t>11-19751</t>
  </si>
  <si>
    <t>11-19753</t>
  </si>
  <si>
    <t>11-19754</t>
  </si>
  <si>
    <t>11-19755</t>
  </si>
  <si>
    <t>11-19756</t>
  </si>
  <si>
    <t>11-19758</t>
  </si>
  <si>
    <t>11-19759</t>
  </si>
  <si>
    <t>11-19761</t>
  </si>
  <si>
    <t>11-19761-1</t>
  </si>
  <si>
    <t>11-19761-2</t>
  </si>
  <si>
    <t>11-19764</t>
  </si>
  <si>
    <t>11-19764-1</t>
  </si>
  <si>
    <t>11-19764-2</t>
  </si>
  <si>
    <t>11-19767</t>
  </si>
  <si>
    <t>11-19767-1</t>
  </si>
  <si>
    <t>11-19767-2</t>
  </si>
  <si>
    <t>11-19769</t>
  </si>
  <si>
    <t>11-19769-1</t>
  </si>
  <si>
    <t>11-19769-2</t>
  </si>
  <si>
    <t>11-19771</t>
  </si>
  <si>
    <t>11-19773</t>
  </si>
  <si>
    <t>11-19774</t>
  </si>
  <si>
    <t>11-19775</t>
  </si>
  <si>
    <t>11-19776</t>
  </si>
  <si>
    <t>11-19778</t>
  </si>
  <si>
    <t>11-19779</t>
  </si>
  <si>
    <t>11-19781</t>
  </si>
  <si>
    <t>11-19781-1</t>
  </si>
  <si>
    <t>11-19781-2</t>
  </si>
  <si>
    <t>11-19784</t>
  </si>
  <si>
    <t>11-19784-1</t>
  </si>
  <si>
    <t>11-19784-2</t>
  </si>
  <si>
    <t>11-19787</t>
  </si>
  <si>
    <t>11-19787-1</t>
  </si>
  <si>
    <t>11-19787-2</t>
  </si>
  <si>
    <t>11-19789</t>
  </si>
  <si>
    <t>11-19789-1</t>
  </si>
  <si>
    <t>11-19789-2</t>
  </si>
  <si>
    <t>11-19791</t>
  </si>
  <si>
    <t>11-19793</t>
  </si>
  <si>
    <t>11-19795</t>
  </si>
  <si>
    <t>11-19796</t>
  </si>
  <si>
    <t>11-19797</t>
  </si>
  <si>
    <t>11-19798</t>
  </si>
  <si>
    <t>11-19801</t>
  </si>
  <si>
    <t>11-19802</t>
  </si>
  <si>
    <t>11-19804</t>
  </si>
  <si>
    <t>11-19807</t>
  </si>
  <si>
    <t>11-19810</t>
  </si>
  <si>
    <t>11-19812</t>
  </si>
  <si>
    <t>11-19814</t>
  </si>
  <si>
    <t>11-19816</t>
  </si>
  <si>
    <t>11-19817</t>
  </si>
  <si>
    <t>11-19818</t>
  </si>
  <si>
    <t>11-19819</t>
  </si>
  <si>
    <t>11-19821</t>
  </si>
  <si>
    <t>11-19822</t>
  </si>
  <si>
    <t>11-19824</t>
  </si>
  <si>
    <t>11-19827</t>
  </si>
  <si>
    <t>11-19830</t>
  </si>
  <si>
    <t>11-19832</t>
  </si>
  <si>
    <t>11-19834</t>
  </si>
  <si>
    <t>11-19836</t>
  </si>
  <si>
    <t>11-19837</t>
  </si>
  <si>
    <t>11-19838</t>
  </si>
  <si>
    <t>11-19839</t>
  </si>
  <si>
    <t>11-19841</t>
  </si>
  <si>
    <t>11-19842</t>
  </si>
  <si>
    <t>11-19844</t>
  </si>
  <si>
    <t>11-19847</t>
  </si>
  <si>
    <t>11-19850</t>
  </si>
  <si>
    <t>11-19852</t>
  </si>
  <si>
    <t>11-19854</t>
  </si>
  <si>
    <t>11-19856</t>
  </si>
  <si>
    <t>11-19858</t>
  </si>
  <si>
    <t>11-19859</t>
  </si>
  <si>
    <t>11-19860</t>
  </si>
  <si>
    <t>11-19861</t>
  </si>
  <si>
    <t>11-19863</t>
  </si>
  <si>
    <t>11-19864</t>
  </si>
  <si>
    <t>11-19866</t>
  </si>
  <si>
    <t>11-19869</t>
  </si>
  <si>
    <t>11-19872</t>
  </si>
  <si>
    <t>11-19874</t>
  </si>
  <si>
    <t>11-19876</t>
  </si>
  <si>
    <t>11-19878</t>
  </si>
  <si>
    <t>11-19879</t>
  </si>
  <si>
    <t>11-19880</t>
  </si>
  <si>
    <t>11-19881</t>
  </si>
  <si>
    <t>11-19883</t>
  </si>
  <si>
    <t>11-19884</t>
  </si>
  <si>
    <t>11-19886</t>
  </si>
  <si>
    <t>11-19889</t>
  </si>
  <si>
    <t>11-19892</t>
  </si>
  <si>
    <t>11-19894</t>
  </si>
  <si>
    <t>11-19896</t>
  </si>
  <si>
    <t>11-19897</t>
  </si>
  <si>
    <t>11-19898</t>
  </si>
  <si>
    <t>11-19899</t>
  </si>
  <si>
    <t>11-19901</t>
  </si>
  <si>
    <t>11-19902</t>
  </si>
  <si>
    <t>11-19904</t>
  </si>
  <si>
    <t>11-19907</t>
  </si>
  <si>
    <t>11-19910</t>
  </si>
  <si>
    <t>11-19912</t>
  </si>
  <si>
    <t>11-19914</t>
  </si>
  <si>
    <t>11-19916</t>
  </si>
  <si>
    <t>11-19918</t>
  </si>
  <si>
    <t>11-19919</t>
  </si>
  <si>
    <t>11-19920</t>
  </si>
  <si>
    <t>11-19921</t>
  </si>
  <si>
    <t>11-19923</t>
  </si>
  <si>
    <t>11-19924</t>
  </si>
  <si>
    <t>11-19926</t>
  </si>
  <si>
    <t>11-19929</t>
  </si>
  <si>
    <t>11-19932</t>
  </si>
  <si>
    <t>11-19934</t>
  </si>
  <si>
    <t>11-19936</t>
  </si>
  <si>
    <t>11-19938</t>
  </si>
  <si>
    <t>11-19940</t>
  </si>
  <si>
    <t>11-19941</t>
  </si>
  <si>
    <t>11-19942</t>
  </si>
  <si>
    <t>11-19943</t>
  </si>
  <si>
    <t>11-19945</t>
  </si>
  <si>
    <t>11-19946</t>
  </si>
  <si>
    <t>11-19948</t>
  </si>
  <si>
    <t>11-19951</t>
  </si>
  <si>
    <t>11-19954</t>
  </si>
  <si>
    <t>11-19956</t>
  </si>
  <si>
    <t>11-19958</t>
  </si>
  <si>
    <t>11-19960</t>
  </si>
  <si>
    <t>11-19962</t>
  </si>
  <si>
    <t>11-19963</t>
  </si>
  <si>
    <t>11-19964</t>
  </si>
  <si>
    <t>11-19965</t>
  </si>
  <si>
    <t>11-19967</t>
  </si>
  <si>
    <t>11-19968</t>
  </si>
  <si>
    <t>11-19970</t>
  </si>
  <si>
    <t>11-19972</t>
  </si>
  <si>
    <t>11-19974</t>
  </si>
  <si>
    <t>11-19976</t>
  </si>
  <si>
    <t>11-19977</t>
  </si>
  <si>
    <t>12-00006</t>
  </si>
  <si>
    <t>Внеконтрактная позиция</t>
  </si>
  <si>
    <t>Описание РКЦ</t>
  </si>
  <si>
    <t>Доп работы</t>
  </si>
  <si>
    <t>ВЗЛР</t>
  </si>
  <si>
    <t>Лимитированные затраты</t>
  </si>
  <si>
    <t>Аттестация и обучение</t>
  </si>
  <si>
    <t>Проживание работников</t>
  </si>
  <si>
    <t>Доставка вахтовиков по РФ</t>
  </si>
  <si>
    <t>Питание с учетом налогов</t>
  </si>
  <si>
    <t>выбор 1</t>
  </si>
  <si>
    <t>выбор 2</t>
  </si>
  <si>
    <t>нумерация</t>
  </si>
  <si>
    <t>список уник</t>
  </si>
  <si>
    <t>титул</t>
  </si>
  <si>
    <t>структура РКЦ</t>
  </si>
  <si>
    <t>конструкция</t>
  </si>
  <si>
    <t>нумерация по титулу</t>
  </si>
  <si>
    <t>нумерация по поиску</t>
  </si>
  <si>
    <t>описание работы</t>
  </si>
  <si>
    <t>нумерация по конструкции</t>
  </si>
  <si>
    <t>фильтрация_Т</t>
  </si>
  <si>
    <t>фильтрация_К</t>
  </si>
  <si>
    <t>фильтрация_О</t>
  </si>
  <si>
    <t>позиция ркц</t>
  </si>
  <si>
    <t>выбор 3</t>
  </si>
  <si>
    <t>P0-93-010 - Резервуар для хранения противопожарного запаса воды №2Фундаментная плита Пфм-1 (1 шт)Обратная засыпка песком средней крупности вручную</t>
  </si>
  <si>
    <t xml:space="preserve">P0-93-010 - Резервуар для хранения противопожарного запаса воды №2Фундаментная плита Пфм-1 (1 шт)Уплотнение вручную </t>
  </si>
  <si>
    <t>P0-93-010 - Резервуар для хранения противопожарного запаса воды №2Фундаментная плита Пфм-1 (1 шт)Укладка пеноплекса толщиной 100 мм под конструкциями фундаментов</t>
  </si>
  <si>
    <t>P0-93-010 - Резервуар для хранения противопожарного запаса воды №2Фундаментная плита Пфм-1 (1 шт)Устройство бетонной подготовки плиты из бетона В10, толщ. 100 мм(1шт.)</t>
  </si>
  <si>
    <t xml:space="preserve">P0-93-010 - Резервуар для хранения противопожарного запаса воды №2Фундаментная плита Пфм-1 (1 шт)Монтаж - демонтаж опалубки заводского изготовления фундаментной плиты Пфм1 между деформационных швов </t>
  </si>
  <si>
    <t xml:space="preserve">P0-93-010 - Резервуар для хранения противопожарного запаса воды №2Фундаментная плита Пфм-1 (1 шт)Монтаж - демонтаж опалубки заводского изготовления боковой части круглой фундаментной плиты Пм1 </t>
  </si>
  <si>
    <t>P0-93-010 - Резервуар для хранения противопожарного запаса воды №2Фундаментная плита Пфм-1 (1 шт)Армированные плиты ПФм-1(1шт.)  ПРЯМИМИ стержнями диаметром  до 12 мм</t>
  </si>
  <si>
    <t>P0-93-010 - Резервуар для хранения противопожарного запаса воды №2Фундаментная плита Пфм-1 (1 шт)Армированные плиты ПФм-1 (1шт.)  ПРЯМИМИ стержнями диаметром 14 мм и более</t>
  </si>
  <si>
    <t>P0-93-010 - Резервуар для хранения противопожарного запаса воды №2Фундаментная плита Пфм-1 (1 шт)Армированные плиты ПФм-1 (1шт.) ПРЯМИМИ стержнями диаметром 14 мм и более</t>
  </si>
  <si>
    <t>P0-93-010 - Резервуар для хранения противопожарного запаса воды №2Фундаментная плита Пфм-1 (1 шт)Армированные плиты ПФм-1 (1шт.) ГНУТЫЕ стержнями диаметром 14 мм и более</t>
  </si>
  <si>
    <t xml:space="preserve">P0-93-010 - Резервуар для хранения противопожарного запаса воды №2Фундаментная плита Пфм-1 (1 шт)Монтаж каркасов  пространственных КП1  весом 14,77 кг/шт </t>
  </si>
  <si>
    <t>P0-93-010 - Резервуар для хранения противопожарного запаса воды №2Фундаментная плита Пфм-1 (1 шт)Устройство  монолитные плиты ПФм-1 из бетона  B25 W8 F200</t>
  </si>
  <si>
    <t>P0-93-010 - Резервуар для хранения противопожарного запаса воды №2Фундаментная плита Пфм-1 (1 шт)Укладка пенополистирола для деформационных швов между фундаментными плитами, шириной 50 мм</t>
  </si>
  <si>
    <t>P0-93-010 - Резервуар для хранения противопожарного запаса воды №2Фундаментная плита Пфм-1 (1 шт)Устройство деформационного изоляционного шва между  фундаментными плитами, шириной 50 мм, с заполнением герметиком</t>
  </si>
  <si>
    <t>P0-93-010 - Резервуар для хранения противопожарного запаса воды №2Фундаментная плита Пфм-1 (1 шт)Устройство отмостки из асфальтобетона толщиной от 50 до 150 мм</t>
  </si>
  <si>
    <t>P0-93-020 - Резервуар для хранения противопожарного запаса воды №4Фундаментная плита Пфм-1 (1 шт)Устройство основания из песка  - вручную</t>
  </si>
  <si>
    <t>P0-93-020 - Резервуар для хранения противопожарного запаса воды №4Фундаментная плита Пфм-1 (1 шт)Уплотнение основания из песка  - вручную</t>
  </si>
  <si>
    <t>P0-93-020 - Резервуар для хранения противопожарного запаса воды №4Фундаментная плита Пфм-1 (1 шт)Обратная засыпка песком средней крупности вручную</t>
  </si>
  <si>
    <t xml:space="preserve">P0-93-020 - Резервуар для хранения противопожарного запаса воды №4Фундаментная плита Пфм-1 (1 шт)Уплотнение вручную </t>
  </si>
  <si>
    <t>P0-93-020 - Резервуар для хранения противопожарного запаса воды №4Фундаментная плита Пфм-1 (1 шт)Укладка пеноплекса толщиной 100 мм под конструкциями фундаментов</t>
  </si>
  <si>
    <t>P0-93-020 - Резервуар для хранения противопожарного запаса воды №4Фундаментная плита Пфм-1 (1 шт)Устройство бетонной подготовки плиты из бетона В10, толщ. 100 мм(1шт.)</t>
  </si>
  <si>
    <t xml:space="preserve">P0-93-020 - Резервуар для хранения противопожарного запаса воды №4Фундаментная плита Пфм-1 (1 шт)Монтаж - демонтаж опалубки заводского изготовления фундаментной плиты Пфм1 между деформационных швов </t>
  </si>
  <si>
    <t xml:space="preserve">P0-93-020 - Резервуар для хранения противопожарного запаса воды №4Фундаментная плита Пфм-1 (1 шт)Монтаж - демонтаж опалубки заводского изготовления боковой части круглой фундаментной плиты Пм1 </t>
  </si>
  <si>
    <t>P0-93-020 - Резервуар для хранения противопожарного запаса воды №4Фундаментная плита Пфм-1 (1 шт)Армированные плиты ПФм-1(1шт.)  ПРЯМИМИ стержнями диаметром  до 12 мм</t>
  </si>
  <si>
    <t>P0-93-020 - Резервуар для хранения противопожарного запаса воды №4Фундаментная плита Пфм-1 (1 шт)Армированные плиты ПФм-1 (1шт.)  ПРЯМИМИ стержнями диаметром 14 мм и более</t>
  </si>
  <si>
    <t>P0-93-020 - Резервуар для хранения противопожарного запаса воды №4Фундаментная плита Пфм-1 (1 шт)Армированные плиты ПФм-1 (1шт.) ПРЯМИМИ стержнями диаметром 14 мм и более</t>
  </si>
  <si>
    <t>P0-93-020 - Резервуар для хранения противопожарного запаса воды №4Фундаментная плита Пфм-1 (1 шт)Армированные плиты ПФм-1 (1шт.) ГНУТЫЕ стержнями диаметром 14 мм и более</t>
  </si>
  <si>
    <t xml:space="preserve">P0-93-020 - Резервуар для хранения противопожарного запаса воды №4Фундаментная плита Пфм-1 (1 шт)Монтаж каркасов  пространственных КП1  весом 14,77 кг/шт </t>
  </si>
  <si>
    <t>P0-93-020 - Резервуар для хранения противопожарного запаса воды №4Фундаментная плита Пфм-1 (1 шт)Устройство  монолитные плиты ПФм-1 из бетона  B25 W8 F200</t>
  </si>
  <si>
    <t>P0-93-020 - Резервуар для хранения противопожарного запаса воды №4Фундаментная плита Пфм-1 (1 шт)Укладка пенополистирола для деформационных швов между фундаментными плитами, шириной 50 мм</t>
  </si>
  <si>
    <t>P0-93-020 - Резервуар для хранения противопожарного запаса воды №4Фундаментная плита Пфм-1 (1 шт)Устройство деформационного изоляционного шва между  фундаментными плитами, шириной 50 мм, с заполнением герметиком</t>
  </si>
  <si>
    <t>P0-93-020 - Резервуар для хранения противопожарного запаса воды №4Фундаментная плита Пфм-1 (1 шт)Устройство отмостки из асфальтобетона толщиной от 50 до 150 мм</t>
  </si>
  <si>
    <t>P0-93-020 - Резервуар для хранения противопожарного запаса воды №4Фундаментная плита Пфм-1 (1 шт)Устройство резервуара под уклоном из асфальтобетона, гидрофобный слой толщиной от 20 до 230 мм</t>
  </si>
  <si>
    <t>P0-93-030 - Резервуар для хранения противопожарного запаса воды №6Фундаментная плита Пфм-1 (1 шт)Обратная засыпка песком средней крупности вручную</t>
  </si>
  <si>
    <t xml:space="preserve">P0-93-030 - Резервуар для хранения противопожарного запаса воды №6Фундаментная плита Пфм-1 (1 шт)Уплотнение вручную </t>
  </si>
  <si>
    <t>P0-93-030 - Резервуар для хранения противопожарного запаса воды №6Фундаментная плита Пфм-1 (1 шт)Укладка пеноплекса толщиной 100 мм под конструкциями фундаментов</t>
  </si>
  <si>
    <t>P0-93-030 - Резервуар для хранения противопожарного запаса воды №6Фундаментная плита Пфм-1 (1 шт)Устройство бетонной подготовки плиты из бетона В10, толщ. 100 мм(1шт.)</t>
  </si>
  <si>
    <t xml:space="preserve">P0-93-030 - Резервуар для хранения противопожарного запаса воды №6Фундаментная плита Пфм-1 (1 шт)Монтаж - демонтаж опалубки заводского изготовления фундаментной плиты Пфм1 между деформационных швов </t>
  </si>
  <si>
    <t xml:space="preserve">P0-93-030 - Резервуар для хранения противопожарного запаса воды №6Фундаментная плита Пфм-1 (1 шт)Монтаж - демонтаж опалубки заводского изготовления боковой части круглой фундаментной плиты Пм1 </t>
  </si>
  <si>
    <t>P0-93-030 - Резервуар для хранения противопожарного запаса воды №6Фундаментная плита Пфм-1 (1 шт)Армированные плиты ПФм-1(1шт.)  ПРЯМИМИ стержнями диаметром  до 12 мм</t>
  </si>
  <si>
    <t>P0-93-030 - Резервуар для хранения противопожарного запаса воды №6Фундаментная плита Пфм-1 (1 шт)Армированные плиты ПФм-1 (1шт.)  ПРЯМИМИ стержнями диаметром 14 мм и более</t>
  </si>
  <si>
    <t>P0-93-030 - Резервуар для хранения противопожарного запаса воды №6Фундаментная плита Пфм-1 (1 шт)Армированные плиты ПФм-1 (1шт.) ПРЯМИМИ стержнями диаметром 14 мм и более</t>
  </si>
  <si>
    <t>P0-93-030 - Резервуар для хранения противопожарного запаса воды №6Фундаментная плита Пфм-1 (1 шт)Армированные плиты ПФм-1 (1шт.) ГНУТЫЕ стержнями диаметром 14 мм и более</t>
  </si>
  <si>
    <t xml:space="preserve">P0-93-030 - Резервуар для хранения противопожарного запаса воды №6Фундаментная плита Пфм-1 (1 шт)Монтаж каркасов  пространственных КП1  весом 14,77 кг/шт </t>
  </si>
  <si>
    <t>P0-93-030 - Резервуар для хранения противопожарного запаса воды №6Фундаментная плита Пфм-1 (1 шт)Устройство  монолитные плиты ПФм-1 из бетона  B25 W8 F200</t>
  </si>
  <si>
    <t>P0-93-030 - Резервуар для хранения противопожарного запаса воды №6Фундаментная плита Пфм-1 (1 шт)Укладка пенополистирола для деформационных швов между фундаментными плитами, шириной 50 мм</t>
  </si>
  <si>
    <t>P0-93-030 - Резервуар для хранения противопожарного запаса воды №6Фундаментная плита Пфм-1 (1 шт)Устройство деформационного изоляционного шва между  фундаментными плитами, шириной 50 мм, с заполнением герметиком</t>
  </si>
  <si>
    <t>P0-93-030 - Резервуар для хранения противопожарного запаса воды №6Фундаментная плита Пфм-1 (1 шт)Устройство отмостки из асфальтобетона толщиной от 50 до 150 мм</t>
  </si>
  <si>
    <t>P0-93-030 - Резервуар для хранения противопожарного запаса воды №6Фундаментная плита Пфм-1 (1 шт)Устройство резервуара под уклоном из асфальтобетона, гидрофобный слой толщиной от 20 до 230 мм</t>
  </si>
  <si>
    <t>P0-80-020 - Пожарное депо с аварийно-спасательным формированиемРостверк РСм1 (8 шт)Устройство бетонной подготовки фундаментов РСм1 из бетона В10, толщ. 100 мм (8шт.)</t>
  </si>
  <si>
    <t>P0-80-020 - Пожарное депо с аварийно-спасательным формированиемРостверк РСм1 (8 шт)Армирование фундамента РСм1 (8 шт)  ГНУТЫМИ сварными стержнями диаметром 14 мм и более</t>
  </si>
  <si>
    <t>P0-80-020 - Пожарное депо с аварийно-спасательным формированиемРостверк РСм1 (8 шт)Устройство сварных стыков для арматуры Ø22мм, соединение типа К1-Кт по ГОСТ 14098-2014 в заводских условиях</t>
  </si>
  <si>
    <t>P0-80-020 - Пожарное депо с аварийно-спасательным формированиемРостверк РСм1 (8 шт)Армирование фундамента  РСм1 (8 шт)  ПРЯМЫМИ стержнями диаметром  до 12 мм</t>
  </si>
  <si>
    <t>P0-80-020 - Пожарное депо с аварийно-спасательным формированиемРостверк РСм1 (8 шт)Армирование фундамента  РСм1 (8 шт)  ГНУТЫМИ стержнями диаметром  до 12 мм</t>
  </si>
  <si>
    <t>P0-80-020 - Пожарное депо с аварийно-спасательным формированиемРостверк РСм1 (8 шт)Укладка пеноплекса толщиной 100 мм под конструкциями фундаментов</t>
  </si>
  <si>
    <t>P0-80-020 - Пожарное депо с аварийно-спасательным формированиемРостверк РСм1 (8 шт)Монтаж и демонтаж опалубки ростверка РСм1 (8 шт)</t>
  </si>
  <si>
    <t>P0-80-020 - Пожарное депо с аварийно-спасательным формированиемРостверк РСм1 (8 шт)Бетонирование ростверка РСм1</t>
  </si>
  <si>
    <t>P0-80-020 - Пожарное депо с аварийно-спасательным формированиемРостверк РСм1 (8 шт)Ростверк РСм1н (8 шт)</t>
  </si>
  <si>
    <t>P0-80-020 - Пожарное депо с аварийно-спасательным формированиемРостверк РСм1 (8 шт)Устройство бетонной подготовки фундаментов РСм1н из бетона В10, толщ. 100 мм (8шт.)</t>
  </si>
  <si>
    <t>P0-80-020 - Пожарное депо с аварийно-спасательным формированиемРостверк РСм1 (8 шт)Армирование фундамента РСм1н (8 шт)  ГНУТЫМИ сварными стержнями диаметром 14 мм и более</t>
  </si>
  <si>
    <t>P0-80-020 - Пожарное депо с аварийно-спасательным формированиемРостверк РСм1 (8 шт)Армирование фундамента  РСм1н (8 шт)  ПРЯМЫМИ стержнями диаметром  до 12 мм</t>
  </si>
  <si>
    <t>P0-80-020 - Пожарное депо с аварийно-спасательным формированиемРостверк РСм1 (8 шт)Армирование фундамента  РСм1н (8 шт)  ГНУТЫМИ стержнями диаметром  до 12 мм</t>
  </si>
  <si>
    <t>P0-80-020 - Пожарное депо с аварийно-спасательным формированиемРостверк РСм1 (8 шт)Монтаж и демонтаж опалубки ростверка РСм1н (8 шт)</t>
  </si>
  <si>
    <t>P0-80-020 - Пожарное депо с аварийно-спасательным формированиемРостверк РСм1 (8 шт)Бетонирование ростверка РСм1н</t>
  </si>
  <si>
    <t>P0-80-020 - Пожарное депо с аварийно-спасательным формированиемРостверк РСм2 (2 шт)Устройство бетонной подготовки фундаментов РСм2 из бетона В10, толщ. 100 мм (2шт.)</t>
  </si>
  <si>
    <t>P0-80-020 - Пожарное депо с аварийно-спасательным формированиемРостверк РСм2 (2 шт)Армирование фундамента РСм2 (2 шт)  ГНУТЫМИ сварными стержнями диаметром 14 мм и более</t>
  </si>
  <si>
    <t>P0-80-020 - Пожарное депо с аварийно-спасательным формированиемРостверк РСм2 (2 шт)Устройство сварных стыков для арматуры Ø22мм, соединение типа К1-Кт по ГОСТ 14098-2014 в заводских условиях</t>
  </si>
  <si>
    <t>P0-80-020 - Пожарное депо с аварийно-спасательным формированиемРостверк РСм2 (2 шт)Армирование фундамента РСм2 (2 шт)  ПРЯМЫМИ стержнями диаметром  до 12 мм</t>
  </si>
  <si>
    <t>P0-80-020 - Пожарное депо с аварийно-спасательным формированиемРостверк РСм2 (2 шт)Армирование фундамента  РСм2 (2 шт)  ГНУТЫМИ стержнями диаметром  до 12 мм</t>
  </si>
  <si>
    <t>P0-80-020 - Пожарное депо с аварийно-спасательным формированиемРостверк РСм2 (2 шт)Монтаж каркасов  пространственных КП1  весом 5,06кг/м</t>
  </si>
  <si>
    <t>P0-80-020 - Пожарное депо с аварийно-спасательным формированиемРостверк РСм2 (2 шт)Укладка пеноплекса толщиной 100 мм под конструкциями фундаментов</t>
  </si>
  <si>
    <t xml:space="preserve">P0-80-020 - Пожарное депо с аварийно-спасательным формированиемРостверк РСм2 (2 шт)Монтаж и демонтаж опалубки ростверка РСм2 (2 шт) </t>
  </si>
  <si>
    <t>P0-80-020 - Пожарное депо с аварийно-спасательным формированиемРостверк РСм2 (2 шт)Бетонирование ростверка РСм2</t>
  </si>
  <si>
    <t>P0-80-020 - Пожарное депо с аварийно-спасательным формированиемРостверк РСм2н (2 шт)Устройство бетонной подготовки фундаментов РСм2н из бетона В10, толщ. 100 мм (2шт.)</t>
  </si>
  <si>
    <t>P0-80-020 - Пожарное депо с аварийно-спасательным формированиемРостверк РСм2н (2 шт)Армирование фундамента РСм2н (2 шт)  ГНУТЫМИ сварными стержнями диаметром 14 мм и более</t>
  </si>
  <si>
    <t>P0-80-020 - Пожарное депо с аварийно-спасательным формированиемРостверк РСм2н (2 шт)Устройство сварных стыков для арматуры Ø22мм, соединение типа К1-Кт по ГОСТ 14098-2014 в заводских условиях</t>
  </si>
  <si>
    <t>P0-80-020 - Пожарное депо с аварийно-спасательным формированиемРостверк РСм2н (2 шт)Армирование фундамента РСм2н (2 шт)  ПРЯМЫМИ стержнями диаметром  до 12 мм</t>
  </si>
  <si>
    <t>P0-80-020 - Пожарное депо с аварийно-спасательным формированиемРостверк РСм2н (2 шт)Армирование фундамента  РСм2н (2 шт)  ГНУТЫМИ стержнями диаметром  до 12 мм</t>
  </si>
  <si>
    <t>P0-80-020 - Пожарное депо с аварийно-спасательным формированиемРостверк РСм2н (2 шт)Монтаж каркасов  пространственных КП1  весом 5,06кг/м</t>
  </si>
  <si>
    <t>P0-80-020 - Пожарное депо с аварийно-спасательным формированиемРостверк РСм2н (2 шт)Укладка пеноплекса толщиной 100 мм под конструкциями фундаментов</t>
  </si>
  <si>
    <t xml:space="preserve">P0-80-020 - Пожарное депо с аварийно-спасательным формированиемРостверк РСм2н (2 шт)Монтаж и демонтаж опалубки ростверка РСм2н (2 шт) </t>
  </si>
  <si>
    <t>P0-80-020 - Пожарное депо с аварийно-спасательным формированиемРостверк РСм2н (2 шт)Бетонирование ростверка РСм2н</t>
  </si>
  <si>
    <t>P0-80-020 - Пожарное депо с аварийно-спасательным формированиемРостверк РСм3 (2 шт)Устройство бетонной подготовки фундаментов РСм3 из бетона В10, толщ. 100 мм (2шт.)</t>
  </si>
  <si>
    <t>P0-80-020 - Пожарное депо с аварийно-спасательным формированиемРостверк РСм3 (2 шт)Армирование фундамента  РСм3 (2 шт)  ГНУТЫМИ стержнями диаметром  до 12 мм</t>
  </si>
  <si>
    <t>P0-80-020 - Пожарное депо с аварийно-спасательным формированиемРостверк РСм3 (2 шт)Монтаж анкерной группы АГ1 ростверка РСм3</t>
  </si>
  <si>
    <t>P0-80-020 - Пожарное депо с аварийно-спасательным формированиемРостверк РСм3 (2 шт)Устройство подливки толщиной 50мм ростверка РСм3</t>
  </si>
  <si>
    <t>P0-80-020 - Пожарное депо с аварийно-спасательным формированиемРостверк РСм3 (2 шт)Монтаж и демонтаж опалубки ростверка РСм3 (2 шт)</t>
  </si>
  <si>
    <t>P0-80-020 - Пожарное депо с аварийно-спасательным формированиемРостверк РСм3 (2 шт)Бетонирование ростверка РСм3</t>
  </si>
  <si>
    <t>P0-80-020 - Пожарное депо с аварийно-спасательным формированиемРостверк РСм3 (2 шт)Укладка пеноплекса толщиной 100 мм под конструкциями фундаментов</t>
  </si>
  <si>
    <t>P0-80-020 - Пожарное депо с аварийно-спасательным формированиемРостверк РСм4А (2 шт)Устройство бетонной подготовки фундаментов РСм4А из бетона В10, толщ. 100 мм (2шт.)</t>
  </si>
  <si>
    <t>P0-80-020 - Пожарное депо с аварийно-спасательным формированиемРостверк РСм4А (2 шт)Армирование фундамента  РСм4А (2 шт)  ГНУТЫМИ стержнями диаметром  до 12 мм</t>
  </si>
  <si>
    <t>P0-80-020 - Пожарное депо с аварийно-спасательным формированиемРостверк РСм4А (2 шт)Укладка пеноплекса толщиной 100 мм под конструкциями фундаментов</t>
  </si>
  <si>
    <t>P0-80-020 - Пожарное депо с аварийно-спасательным формированиемРостверк РСм4А (2 шт)Монтаж анкерной группы АГ2 ростверка РСм4А</t>
  </si>
  <si>
    <t>P0-80-020 - Пожарное депо с аварийно-спасательным формированиемРостверк РСм4А (2 шт)Устройство подливки толщиной 50мм ростверка РСм4А</t>
  </si>
  <si>
    <t xml:space="preserve">P0-80-020 - Пожарное депо с аварийно-спасательным формированиемРостверк РСм4А (2 шт)Монтаж и демонтаж опалубки ростверка РСм4А (2 шт) </t>
  </si>
  <si>
    <t>P0-80-020 - Пожарное депо с аварийно-спасательным формированиемРостверк РСм4А (2 шт)Бетонирование ростверка РСм4А</t>
  </si>
  <si>
    <t>P0-80-020 - Пожарное депо с аварийно-спасательным формированиемРостверк РСм4Б (1 шт)Устройство бетонной подготовки фундаментов РСм4Б из бетона В10, толщ. 100 мм (1шт.)</t>
  </si>
  <si>
    <t>P0-80-020 - Пожарное депо с аварийно-спасательным формированиемРостверк РСм4Б (1 шт)Армирование фундамента  РСм4Б (1 шт)  ПРЯМЫМИ стержнями диаметром  до 12 мм</t>
  </si>
  <si>
    <t>P0-80-020 - Пожарное депо с аварийно-спасательным формированиемРостверк РСм4Б (1 шт)Армирование фундамента  РСм4Б (1 шт)  ГНУТЫМИ стержнями диаметром  до 12 мм</t>
  </si>
  <si>
    <t>P0-80-020 - Пожарное депо с аварийно-спасательным формированиемРостверк РСм4Б (1 шт)Укладка пеноплекса толщиной 100 мм под конструкциями фундаментов</t>
  </si>
  <si>
    <t>P0-80-020 - Пожарное депо с аварийно-спасательным формированиемРостверк РСм4Б (1 шт)Монтаж анкерной группы АГ3 ростверка РСм4Б</t>
  </si>
  <si>
    <t>P0-80-020 - Пожарное депо с аварийно-спасательным формированиемРостверк РСм4Б (1 шт)Устройство подливки толщиной 50мм ростверка РСм4Б</t>
  </si>
  <si>
    <t xml:space="preserve">P0-80-020 - Пожарное депо с аварийно-спасательным формированиемРостверк РСм4Б (1 шт)Монтаж и демонтаж опалубки ростверка РСм4Б (1 шт) </t>
  </si>
  <si>
    <t xml:space="preserve">P0-80-020 - Пожарное депо с аварийно-спасательным формированиемРостверк РСм4Б (1 шт)Бетонирование ростверка РСм4Б (1 шт) </t>
  </si>
  <si>
    <t>P0-80-020 - Пожарное депо с аварийно-спасательным формированиемРостверк РСм5 (1 шт)Устройство бетонной подготовки фундаментов РСм5 из бетона В10, толщ. 100 мм (1шт.)</t>
  </si>
  <si>
    <t>P0-80-020 - Пожарное депо с аварийно-спасательным формированиемРостверк РСм5 (1 шт)Устройство рулонной наплавляемой гидроизоляции Техноэласт Барьер БО горизонтальных поверхностей здания ниже уровни земли</t>
  </si>
  <si>
    <t>P0-80-020 - Пожарное депо с аварийно-спасательным формированиемРостверк РСм5 (1 шт)Устройство гидроизоляции Праймер битумный AquaMast горизонтальных поверхностей здания ниже уровни земли</t>
  </si>
  <si>
    <t>P0-80-020 - Пожарное депо с аварийно-спасательным формированиемРостверк РСм5 (1 шт)Устройство гидроизоляции Мастика битумная Технониколь №21  горизонтальных поверхностей здания ниже уровни земли</t>
  </si>
  <si>
    <t>P0-80-020 - Пожарное депо с аварийно-спасательным формированиемРостверк РСм5 (1 шт)Армирование фундамента РСм5 (1 шт)  ПРЯМЫМИ стержнями диаметром 14 мм и более</t>
  </si>
  <si>
    <t>P0-80-020 - Пожарное депо с аварийно-спасательным формированиемРостверк РСм5 (1 шт)Армирование фундамента РСм5 (1 шт) ГНУТЫМИ стержнями диаметром 14 мм и более</t>
  </si>
  <si>
    <t>P0-80-020 - Пожарное депо с аварийно-спасательным формированиемРостверк РСм5 (1 шт)Сверление отверстий в ЖБ конструкциях диаметром  Ø20мм, глубиной 280мм.
Сверление перфоратором для вклейки арматурных стержней  Ø16 поз.10-13</t>
  </si>
  <si>
    <t>P0-80-020 - Пожарное депо с аварийно-спасательным формированиемРостверк РСм5 (1 шт)Вклейка арматурных стержней  Ø16 поз.10-13 химическим составом EASYFIX bit-EX в готовые отверстия с последующим контрольным испытанием части вклеиваемых арматурных стержней на выдергивающее усилие 3,65 т.</t>
  </si>
  <si>
    <t>P0-80-020 - Пожарное депо с аварийно-спасательным формированиемРостверк РСм5 (1 шт)Срезка арматурных стержней  Ø16 поз.3-4</t>
  </si>
  <si>
    <t>P0-80-020 - Пожарное депо с аварийно-спасательным формированиемРостверк РСм5 (1 шт)Монтаж каркасов  пространственных КП2  весом 5,07кг/м</t>
  </si>
  <si>
    <t xml:space="preserve">P0-80-020 - Пожарное депо с аварийно-спасательным формированиемРостверк РСм5 (1 шт)Монтаж и демонтаж опалубки фундамента  РСм5 (1 шт) </t>
  </si>
  <si>
    <t xml:space="preserve">P0-80-020 - Пожарное депо с аварийно-спасательным формированиемРостверк РСм5 (1 шт)Бетонирование фундамента  РСм5 (1 шт) </t>
  </si>
  <si>
    <t>P0-80-020 - Пожарное депо с аварийно-спасательным формированиемРостверк РСм5 (1 шт)Устройство теплоизоляции из пеноплекса толщиной 100 мм горизонтальных поверхностей ростверка</t>
  </si>
  <si>
    <t>P0-80-020 - Пожарное депо с аварийно-спасательным формированиемРостверк РСм5 (1 шт)Устройство теплоизоляции из пеноплекса толщиной 100 мм вертикальных поверхностей ростверка</t>
  </si>
  <si>
    <t>P0-80-020 - Пожарное депо с аварийно-спасательным формированиемРостверк РСм5 (1 шт)Монтаж закладных деталей РСм5 - гильзы Г1 весом 11,1 кг</t>
  </si>
  <si>
    <t>P0-80-020 - Пожарное депо с аварийно-спасательным формированиемРостверк РСм5 (1 шт)Изготовление закладных деталей РСм5 - гильзы Г1 весом 11,1 кг</t>
  </si>
  <si>
    <t>P0-80-020 - Пожарное депо с аварийно-спасательным формированиемРостверк РСм5 (1 шт)Устройство гидроизоляции на базе бентонита мест прохождения гильз через рулонную наплавляемую гидроизоляцию</t>
  </si>
  <si>
    <t>P0-80-020 - Пожарное депо с аварийно-спасательным формированиемРостверк РСм5 (1 шт)Устройство дополнительного слоя рулонной наплавляемой гидроизоляции Техноэласт Барьер БО горизонтальных поверхностей здания ниже уровни земли вокруг гильз</t>
  </si>
  <si>
    <t>P0-80-020 - Пожарное депо с аварийно-спасательным формированиемРостверк РСм5 (1 шт)Устройство гидроизоляции Гидростоп гильз</t>
  </si>
  <si>
    <t>P0-80-020 - Пожарное депо с аварийно-спасательным формированиемРостверк РСм6 (1 шт)Устройство бетонной подготовки фундаментов РСм6 из бетона В10, толщ. 100 мм (1шт.)</t>
  </si>
  <si>
    <t>P0-80-020 - Пожарное депо с аварийно-спасательным формированиемРостверк РСм6 (1 шт)Устройство рулонной наплавляемой гидроизоляции Техноэласт Барьер БО горизонтальных поверхностей здания ниже уровни земли</t>
  </si>
  <si>
    <t>P0-80-020 - Пожарное депо с аварийно-спасательным формированиемРостверк РСм6 (1 шт)Устройство гидроизоляции Праймер битумный AquaMast горизонтальных поверхностей здания ниже уровни земли</t>
  </si>
  <si>
    <t>P0-80-020 - Пожарное депо с аварийно-спасательным формированиемРостверк РСм6 (1 шт)Устройство гидроизоляции Мастика битумная Технониколь №21  горизонтальных поверхностей здания ниже уровни земли</t>
  </si>
  <si>
    <t>P0-80-020 - Пожарное депо с аварийно-спасательным формированиемРостверк РСм6 (1 шт)Армирование фундамента РСм6 (1 шт)  ПРЯМЫМИ стержнями диаметром 14 мм и более</t>
  </si>
  <si>
    <t>P0-80-020 - Пожарное депо с аварийно-спасательным формированиемРостверк РСм6 (1 шт)Армирование фундамента РСм6 (1 шт) ГНУТЫМИ стержнями диаметром 14 мм и более</t>
  </si>
  <si>
    <t>P0-80-020 - Пожарное депо с аварийно-спасательным формированиемРостверк РСм6 (1 шт)Сверление отверстий в ЖБ конструкциях диаметром  Ø20мм, глубиной 280мм.
Сверление перфоратором для вклейки арматурных стержней  Ø16 поз.12-15</t>
  </si>
  <si>
    <t>P0-80-020 - Пожарное депо с аварийно-спасательным формированиемРостверк РСм6 (1 шт)Вклейка арматурных стержней  Ø16 поз.12-15 химическим составом EASYFIX bit-EX в готовые отверстия с последующим контрольным испытанием части вклеиваемых арматурных стержней на выдергивающее усилие 3,65 т.</t>
  </si>
  <si>
    <t>P0-80-020 - Пожарное депо с аварийно-спасательным формированиемРостверк РСм6 (1 шт)Срезка арматурных стержней  Ø16 поз.3-4,12</t>
  </si>
  <si>
    <t>P0-80-020 - Пожарное депо с аварийно-спасательным формированиемРостверк РСм6 (1 шт)Монтаж каркасов  пространственных КП2  весом 5,07кг/м</t>
  </si>
  <si>
    <t xml:space="preserve">P0-80-020 - Пожарное депо с аварийно-спасательным формированиемРостверк РСм6 (1 шт)Монтаж и демонтаж опалубки фундамента  РСм6 (1 шт) </t>
  </si>
  <si>
    <t xml:space="preserve">P0-80-020 - Пожарное депо с аварийно-спасательным формированиемРостверк РСм6 (1 шт)Бетонирование фундамента  РСм6 (1 шт) </t>
  </si>
  <si>
    <t>P0-80-020 - Пожарное депо с аварийно-спасательным формированиемРостверк РСм6 (1 шт)Устройство теплоизоляции из пеноплекса толщиной 100 мм горизонтальных поверхностей ростверка</t>
  </si>
  <si>
    <t>P0-80-020 - Пожарное депо с аварийно-спасательным формированиемРостверк РСм6 (1 шт)Устройство теплоизоляции из пеноплекса толщиной 100 мм вертикальных поверхностей ростверка</t>
  </si>
  <si>
    <t>P0-80-020 - Пожарное депо с аварийно-спасательным формированиемРостверк РСм6 (1 шт)Монтаж закладных деталей РСм6 - гильзы Г1 весом 11,1 кг</t>
  </si>
  <si>
    <t>P0-80-020 - Пожарное депо с аварийно-спасательным формированиемРостверк РСм6 (1 шт)Изготовление закладных деталей РСм6 - гильзы Г1 весом 11,1 кг</t>
  </si>
  <si>
    <t>P0-80-020 - Пожарное депо с аварийно-спасательным формированиемРостверк РСм6 (1 шт)Монтаж закладных деталей РСм6 весом от 5,1-8,0кг - гильзы Г2</t>
  </si>
  <si>
    <t>P0-80-020 - Пожарное депо с аварийно-спасательным формированиемРостверк РСм6 (1 шт)Изготовление закладных деталей РСм6 весом от 5,1-8,0кг - гильзы Г2</t>
  </si>
  <si>
    <t>P0-80-020 - Пожарное депо с аварийно-спасательным формированиемРостверк РСм6 (1 шт)Устройство гидроизоляции на базе бентонита мест прохождения гильз через рулонную наплавляемую гидроизоляцию</t>
  </si>
  <si>
    <t>P0-80-020 - Пожарное депо с аварийно-спасательным формированиемРостверк РСм6 (1 шт)Устройство дополнительного слоя рулонной наплавляемой гидроизоляции Техноэласт Барьер БО горизонтальных поверхностей здания ниже уровни земли вокруг гильз</t>
  </si>
  <si>
    <t>P0-80-020 - Пожарное депо с аварийно-спасательным формированиемРостверк РСм6 (1 шт)Устройство гидроизоляции Гидростоп гильз</t>
  </si>
  <si>
    <t>P0-80-020 - Пожарное депо с аварийно-спасательным формированиемПлита Пм1 (1 шт)Устройство бетонной подготовки плиты Пм1 из бетона В10, толщ. 100 мм (1шт.)</t>
  </si>
  <si>
    <t>P0-80-020 - Пожарное депо с аварийно-спасательным формированиемПлита Пм1 (1 шт)Устройство рулонной наплавляемой гидроизоляции Техноэласт Барьер БО горизонтальных поверхностей здания ниже уровни земли</t>
  </si>
  <si>
    <t>P0-80-020 - Пожарное депо с аварийно-спасательным формированиемПлита Пм1 (1 шт)Устройство гидроизоляции Праймер битумный AquaMast горизонтальных поверхностей здания ниже уровни земли</t>
  </si>
  <si>
    <t>P0-80-020 - Пожарное депо с аварийно-спасательным формированиемПлита Пм1 (1 шт)Устройство гидроизоляции Мастика битумная Технониколь №21  горизонтальных поверхностей здания ниже уровни земли</t>
  </si>
  <si>
    <t>P0-80-020 - Пожарное депо с аварийно-спасательным формированиемПлита Пм1 (1 шт)Армирование плиты Пм1 (1 шт)  ПРЯМЫМИ стержнями диаметром 14 мм и более</t>
  </si>
  <si>
    <t>P0-80-020 - Пожарное депо с аварийно-спасательным формированиемПлита Пм1 (1 шт)Армирование плиты  Пм1 (1 шт)  ПРЯМЫМИ стержнями диаметром  до 12 мм</t>
  </si>
  <si>
    <t>P0-80-020 - Пожарное депо с аварийно-спасательным формированиемПлита Пм1 (1 шт)Армирование плиты  Пм1 (1 шт)  ГНУТЫМИ стержнями диаметром  до 12 мм</t>
  </si>
  <si>
    <t>P0-80-020 - Пожарное депо с аварийно-спасательным формированиемПлита Пм1 (1 шт)Монтаж анкерной группы АГ4 фундаментной плиты Пм1</t>
  </si>
  <si>
    <t>P0-80-020 - Пожарное депо с аварийно-спасательным формированиемПлита Пм1 (1 шт)Устройство подливки толщиной 50мм плиты Пм1</t>
  </si>
  <si>
    <t>P0-80-020 - Пожарное депо с аварийно-спасательным формированиемПлита Пм1 (1 шт)Монтаж закладных деталей ЗД1 фундаментной плиты Пм1 - МН 117-1 весом 1,9 кг</t>
  </si>
  <si>
    <t>P0-80-020 - Пожарное депо с аварийно-спасательным формированиемПлита Пм1 (1 шт)Монтаж и демонтаж опалубки плиты Пм1 (1 шт)</t>
  </si>
  <si>
    <t>P0-80-020 - Пожарное депо с аварийно-спасательным формированиемПлита Пм1 (1 шт)Бетонирование плиты Пм1 (1 шт)</t>
  </si>
  <si>
    <t>P0-80-020 - Пожарное депо с аварийно-спасательным формированиемПлита Пм1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</si>
  <si>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формированиемПлита Пм1 (1 шт)Устройство шва глубиной 70мм между картами 6х6м после бетонирования плиты Пм1 (1 шт)</t>
  </si>
  <si>
    <t>P0-80-020 - Пожарное депо с аварийно-спасательным формированиемПлита Пм1 (1 шт)Устройство теплоизоляции из пеноплекса толщиной 100 мм горизонтальных поверхностей фундаментной плиты</t>
  </si>
  <si>
    <t>P0-80-020 - Пожарное депо с аварийно-спасательным формированиемПлита Пм1 (1 шт)Устройство теплоизоляции из пеноплекса толщиной 100 мм вертикальных поверхностей фундаментной плиты</t>
  </si>
  <si>
    <t>P0-80-020 - Пожарное депо с аварийно-спасательным формированиемПлита Пм1 (1 шт)Монтаж закладных деталей фундаментной плиты Пм1 - гильзы Г3 весом 6,52 кг</t>
  </si>
  <si>
    <t>P0-80-020 - Пожарное депо с аварийно-спасательным формированиемПлита Пм1 (1 шт)Изготовление закладных деталей фундаментной плиты Пм1 - гильзы Г3 весом 6,52 кг</t>
  </si>
  <si>
    <t>P0-80-020 - Пожарное депо с аварийно-спасательным формированиемПлита Пм1 (1 шт)Монтаж закладных деталей фундаментной плиты Пм1 весом от 2,1-5,0кг - гильзы Г4.</t>
  </si>
  <si>
    <t>P0-80-020 - Пожарное депо с аварийно-спасательным формированиемПлита Пм1 (1 шт)Изготовление закладных деталей фундаментной плиты Пм1 весом от 2,1-5,0кг - гильзы Г4</t>
  </si>
  <si>
    <t>P0-80-020 - Пожарное депо с аварийно-спасательным формированиемПлита Пм1 (1 шт)Укладка пенополистирола для деформационных швов между фундаментными плитами и колоннами, шириной 20 мм</t>
  </si>
  <si>
    <t>P0-80-020 - Пожарное депо с аварийно-спасательным формированиемПлита Пм1 (1 шт)Устройство деформационного изоляционного шва между  фундаментными плитами и колоннами, шириной 20 мм, с заполнением герметиком</t>
  </si>
  <si>
    <t>P0-80-020 - Пожарное депо с аварийно-спасательным формированиемПлита Пм2 (1 шт)Выемка грунта при замене грунта под плиту Пм2 - вручную</t>
  </si>
  <si>
    <t>P0-80-020 - Пожарное депо с аварийно-спасательным формированиемПлита Пм2 (1 шт)Устройство основания из песка толщиной 1100мм под плиту Пм2 - вручную</t>
  </si>
  <si>
    <t>P0-80-020 - Пожарное депо с аварийно-спасательным формированиемПлита Пм2 (1 шт)Уплотнение основания из песка толщиной 1100мм под плиту Пм2 - вручную</t>
  </si>
  <si>
    <t>P0-80-020 - Пожарное депо с аварийно-спасательным формированиемПлита Пм2 (1 шт)Устройство бетонной подготовки плиты Пм2 из бетона В10, толщ. 100 мм (1шт.)</t>
  </si>
  <si>
    <t>P0-80-020 - Пожарное депо с аварийно-спасательным формированиемПлита Пм2 (1 шт)Армирование плиты  Пм2 (1 шт)  ПРЯМЫМИ стержнями диаметром  до 12 мм</t>
  </si>
  <si>
    <t>P0-80-020 - Пожарное депо с аварийно-спасательным формированиемПлита Пм2 (1 шт)Армирование плиты  Пм2 (1 шт)  ГНУТЫМИ стержнями диаметром  до 12 мм</t>
  </si>
  <si>
    <t xml:space="preserve">P0-80-020 - Пожарное депо с аварийно-спасательным формированиемПлита Пм2 (1 шт)Монтаж и демонтаж опалубки плиты Пм2 (1 шт) </t>
  </si>
  <si>
    <t>P0-80-020 - Пожарное депо с аварийно-спасательным формированиемПлита Пм2 (1 шт)Бетонирование плиты Пм2 (1 шт) толщиной 200-350мм</t>
  </si>
  <si>
    <t>P0-80-020 - Пожарное депо с аварийно-спасательным формированиемПлита Пм2 (1 шт)Укладка пенополистирола для деформационных швов между фундаментными плитами, шириной 20 мм</t>
  </si>
  <si>
    <t>P0-80-020 - Пожарное депо с аварийно-спасательным формированиемПлита Пм2 (1 шт)Устройство деформационного изоляционного шва между  фундаментными плитами, шириной 20 мм, с заполнением герметиком</t>
  </si>
  <si>
    <t>P0-80-020 - Пожарное депо с аварийно-спасательным формированиемПлита Пм3 (1 шт)Выемка грунта при замене грунта под плиту Пм3 - вручную</t>
  </si>
  <si>
    <t>P0-80-020 - Пожарное депо с аварийно-спасательным формированиемПлита Пм3 (1 шт)Устройство основания из песка толщиной 500мм под плиту Пм3 - вручную</t>
  </si>
  <si>
    <t>P0-80-020 - Пожарное депо с аварийно-спасательным формированиемПлита Пм3 (1 шт)Уплотнение основания из песка толщиной 500мм под плиту Пм3 - вручную</t>
  </si>
  <si>
    <t>P0-80-020 - Пожарное депо с аварийно-спасательным формированиемПлита Пм3 (1 шт)Устройство бетонной подготовки плиты Пм3 из бетона В10, толщ. 100 мм (1шт.)</t>
  </si>
  <si>
    <t>P0-80-020 - Пожарное депо с аварийно-спасательным формированиемПлита Пм3 (1 шт)Монтаж заводских арматурных сеток плиты Пм3 (1 шт) из арматуры диаметром от Ø4 до Ø6мм. Соединение нахлестов сеток проволокой</t>
  </si>
  <si>
    <t xml:space="preserve">P0-80-020 - Пожарное депо с аварийно-спасательным формированиемПлита Пм3 (1 шт)Монтаж и демонтаж опалубки плиты Пм3 (1 шт) </t>
  </si>
  <si>
    <t>P0-80-020 - Пожарное депо с аварийно-спасательным формированиемПлита Пм3 (1 шт)Бетонирование плиты Пм3 (1 шт) толщиной 150мм</t>
  </si>
  <si>
    <t>P0-80-020 - Пожарное депо с аварийно-спасательным формированиемПлита Пм3 (1 шт)Укладка пеноплекса толщиной 100 мм под конструкциями фундаментов</t>
  </si>
  <si>
    <t>P0-80-020 - Пожарное депо с аварийно-спасательным формированиемПлита Пм3 (1 шт)Укладка пенополистирола для деформационных швов между фундаментными плитами, шириной 20 мм</t>
  </si>
  <si>
    <t>P0-80-020 - Пожарное депо с аварийно-спасательным формированиемПлита Пм3 (1 шт)Устройство деформационного изоляционного шва между  фундаментными плитами, шириной 20 мм, с заполнением герметиком</t>
  </si>
  <si>
    <t>P0-80-020 - Пожарное депо с аварийно-спасательным формированиемПлита Пм4 (2 шт)Выемка грунта при замене грунта под плиту Пм4 - вручную</t>
  </si>
  <si>
    <t>P0-80-020 - Пожарное депо с аварийно-спасательным формированиемПлита Пм4 (2 шт)Устройство основания из песка толщиной 500мм под плиту Пм4 - вручную</t>
  </si>
  <si>
    <t>P0-80-020 - Пожарное депо с аварийно-спасательным формированиемПлита Пм4 (2 шт)Уплотнение основания из песка толщиной 500мм под плиту Пм4 - вручную</t>
  </si>
  <si>
    <t>P0-80-020 - Пожарное депо с аварийно-спасательным формированиемПлита Пм4 (2 шт)Устройство бетонной подготовки плиты Пм4 из бетона В10, толщ. 100 мм (2шт.)</t>
  </si>
  <si>
    <t>P0-80-020 - Пожарное депо с аварийно-спасательным формированиемПлита Пм4 (2 шт)Монтаж заводских арматурных сеток плиты Пм4 (2 шт) из арматуры диаметром от Ø4 до Ø6мм. Соединение нахлестов сеток проволокой</t>
  </si>
  <si>
    <t>P0-80-020 - Пожарное депо с аварийно-спасательным формированиемПлита Пм4 (2 шт)Монтаж и демонтаж опалубки плиты Пм4 (2 шт)</t>
  </si>
  <si>
    <t>P0-80-020 - Пожарное депо с аварийно-спасательным формированиемПлита Пм4 (2 шт)Бетонирование плиты Пм4 (2 шт) толщиной 150мм</t>
  </si>
  <si>
    <t>P0-80-020 - Пожарное депо с аварийно-спасательным формированиемПлита Пм4 (2 шт)Укладка пеноплекса толщиной 100 мм под конструкциями фундаментов</t>
  </si>
  <si>
    <t>P0-80-020 - Пожарное депо с аварийно-спасательным формированиемПлита Пм4 (2 шт)Укладка пенополистирола для деформационных швов между фундаментными плитами, шириной 20 мм</t>
  </si>
  <si>
    <t>P0-80-020 - Пожарное депо с аварийно-спасательным формированиемПлита Пм4 (2 шт)Устройство деформационного изоляционного шва между  фундаментными плитами, шириной 20 мм, с заполнением герметиком</t>
  </si>
  <si>
    <t>P0-80-020 - Пожарное депо с аварийно-спасательным формированиемПлита Пм5 (7 шт)Выемка грунта при замене грунта под плиту Пм5 - вручную</t>
  </si>
  <si>
    <t>P0-80-020 - Пожарное депо с аварийно-спасательным формированиемПлита Пм5 (7 шт)Устройство основания из песка толщиной 200мм под плиту Пм5 - вручную</t>
  </si>
  <si>
    <t>P0-80-020 - Пожарное депо с аварийно-спасательным формированиемПлита Пм5 (7 шт)Уплотнение основания из песка толщиной 200мм под плиту Пм5 - вручную</t>
  </si>
  <si>
    <t>P0-80-020 - Пожарное депо с аварийно-спасательным формированиемПлита Пм5 (7 шт)Устройство бетонной подготовки плиты Пм5 из бетона В10, толщ. 100 мм (7шт.)</t>
  </si>
  <si>
    <t>P0-80-020 - Пожарное депо с аварийно-спасательным формированиемПлита Пм5 (7 шт)Монтаж заводских арматурных сеток плиты Пм5 (7 шт) из арматуры диаметром от Ø4 до Ø6мм. Соединение нахлестов сеток проволокой</t>
  </si>
  <si>
    <t xml:space="preserve">P0-80-020 - Пожарное депо с аварийно-спасательным формированиемПлита Пм5 (7 шт)Монтаж и демонтаж опалубки плиты Пм5 (7 шт) </t>
  </si>
  <si>
    <t>P0-80-020 - Пожарное депо с аварийно-спасательным формированиемПлита Пм5 (7 шт)Бетонирование плиты Пм5 (7 шт) толщиной 150мм</t>
  </si>
  <si>
    <t>P0-80-020 - Пожарное депо с аварийно-спасательным формированиемПлита Пм5 (7 шт)Укладка пеноплекса толщиной 100 мм под конструкциями фундаментов</t>
  </si>
  <si>
    <t>P0-80-020 - Пожарное депо с аварийно-спасательным формированиемПлита Пм5 (7 шт)Укладка пенополистирола для деформационных швов между фундаментными плитами, шириной 20 мм</t>
  </si>
  <si>
    <t>P0-80-020 - Пожарное депо с аварийно-спасательным формированиемПлита Пм5 (7 шт)Устройство деформационного изоляционного шва между  фундаментными плитами, шириной 20 мм, с заполнением герметиком</t>
  </si>
  <si>
    <t>P0-80-020 - Пожарное депо с аварийно-спасательным формированиемПлита Пм6 (1 шт)Выемка грунта при замене грунта под плиту Пм6 - вручную</t>
  </si>
  <si>
    <t>P0-80-020 - Пожарное депо с аварийно-спасательным формированиемПлита Пм6 (1 шт)Устройство основания из песка толщиной 200мм под плиту Пм6 - вручную</t>
  </si>
  <si>
    <t>P0-80-020 - Пожарное депо с аварийно-спасательным формированиемПлита Пм6 (1 шт)Уплотнение основания из песка толщиной 200мм под плиту Пм6 - вручную</t>
  </si>
  <si>
    <t>P0-80-020 - Пожарное депо с аварийно-спасательным формированиемПлита Пм6 (1 шт)Устройство бетонной подготовки плиты Пм6 из бетона В10, толщ. 100 мм (1шт.)</t>
  </si>
  <si>
    <t>P0-80-020 - Пожарное депо с аварийно-спасательным формированиемПлита Пм6 (1 шт)Армирование плиты  Пм6 (1 шт)  ПРЯМЫМИ стержнями диаметром  до 12 мм</t>
  </si>
  <si>
    <t>P0-80-020 - Пожарное депо с аварийно-спасательным формированиемПлита Пм6 (1 шт)Армирование плиты  Пм6 (1 шт)  ГНУТЫМИ стержнями диаметром  до 12 мм</t>
  </si>
  <si>
    <t xml:space="preserve">P0-80-020 - Пожарное депо с аварийно-спасательным формированиемПлита Пм6 (1 шт)Монтаж и демонтаж опалубки плиты Пм6 (1 шт) </t>
  </si>
  <si>
    <t>P0-80-020 - Пожарное депо с аварийно-спасательным формированиемПлита Пм6 (1 шт)Бетонирование плиты Пм6 (1 шт) толщиной 200мм</t>
  </si>
  <si>
    <t>P0-80-020 - Пожарное депо с аварийно-спасательным формированиемПлита Пм6 (1 шт)Укладка пеноплекса толщиной 100 мм под конструкциями фундаментов</t>
  </si>
  <si>
    <t>P0-80-020 - Пожарное депо с аварийно-спасательным формированиемПлита Пм7 (1 шт)Выемка грунта при замене грунта под плиту Пм7 - вручную</t>
  </si>
  <si>
    <t>P0-80-020 - Пожарное депо с аварийно-спасательным формированиемПлита Пм7 (1 шт)Устройство основания из песка толщиной 200мм под плиту Пм7 - вручную</t>
  </si>
  <si>
    <t>P0-80-020 - Пожарное депо с аварийно-спасательным формированиемПлита Пм7 (1 шт)Уплотнение основания из песка толщиной 200мм под плиту Пм7 - вручную</t>
  </si>
  <si>
    <t>P0-80-020 - Пожарное депо с аварийно-спасательным формированиемПлита Пм7 (1 шт)Устройство бетонной подготовки плиты Пм7 из бетона В10, толщ. 100 мм (1шт.)</t>
  </si>
  <si>
    <t>P0-80-020 - Пожарное депо с аварийно-спасательным формированиемПлита Пм7 (1 шт)Армирование плиты  Пм7 (1 шт)  ГНУТЫМИ стержнями диаметром  до 12 мм</t>
  </si>
  <si>
    <t xml:space="preserve">P0-80-020 - Пожарное депо с аварийно-спасательным формированиемПлита Пм7 (1 шт)Монтаж и демонтаж опалубки плиты Пм7 (1 шт) </t>
  </si>
  <si>
    <t>P0-80-020 - Пожарное депо с аварийно-спасательным формированиемПлита Пм7 (1 шт)Бетонирование плиты Пм7 (1 шт) толщиной 200мм</t>
  </si>
  <si>
    <t>P0-80-020 - Пожарное депо с аварийно-спасательным формированиемПлита Пм7 (1 шт)Укладка пеноплекса толщиной 100 мм под конструкциями фундаментов</t>
  </si>
  <si>
    <t>P0-80-020 - Пожарное депо с аварийно-спасательным формированиемФундамент Фм1(8 шт)Выемка грунта при замене грунта под фундамент Фм1(8шт) - вручную</t>
  </si>
  <si>
    <t>P0-80-020 - Пожарное депо с аварийно-спасательным формированиемФундамент Фм1(8 шт)Устройство основания из песка толщиной 200мм под фундамент Фм1(8шт) - вручную</t>
  </si>
  <si>
    <t>P0-80-020 - Пожарное депо с аварийно-спасательным формированиемФундамент Фм1(8 шт)Уплотнение основания из песка толщиной 200мм под фундамент Фм1(8шт) - вручную</t>
  </si>
  <si>
    <t xml:space="preserve">P0-80-020 - Пожарное депо с аварийно-спасательным формированиемФундамент Фм1(8 шт)Устройство бетонной подготовки фундаментов Фм1(1шт) из бетона В10, толщ. 100 мм </t>
  </si>
  <si>
    <t>P0-80-020 - Пожарное депо с аварийно-спасательным формированиемФундамент Фм1(8 шт)Армирование фундамента Фм1 (8шт)  ПРЯМЫМИ стержнями диаметром  до 12 мм</t>
  </si>
  <si>
    <t>P0-80-020 - Пожарное депо с аварийно-спасательным формированиемФундамент Фм1(8 шт)Армирование фундамента Фм1 (8шт)  ГНУТЫМИ стержнями диаметром  до 12 мм</t>
  </si>
  <si>
    <t>P0-80-020 - Пожарное депо с аварийно-спасательным формированиемФундамент Фм1(8 шт)Монтаж и демонтаж опалубки фундамента Фм1 (8шт)</t>
  </si>
  <si>
    <t>P0-80-020 - Пожарное депо с аварийно-спасательным формированиемФундамент Фм1(8 шт)Бетонирование фундамента Фм1 (8шт)</t>
  </si>
  <si>
    <t>P0-80-020 - Пожарное депо с аварийно-спасательным формированиемОсмотровая канава Ок1 (3 шт)Устройство бетонной подготовки осмотровой канавы Ок1  из бетона В10, толщ. 100 мм (3шт.)</t>
  </si>
  <si>
    <t>P0-80-020 - Пожарное депо с аварийно-спасательным формированиемОсмотровая канава Ок1 (3 шт)Армирование осмотровой канавы Ок1 (3 шт)  ПРЯМЫМИ стержнями диаметром  до 12 мм</t>
  </si>
  <si>
    <t>P0-80-020 - Пожарное депо с аварийно-спасательным формированиемОсмотровая канава Ок1 (3 шт)Армирование осмотровой канавы Ок1 (3 шт)  ГНУТЫМИ стержнями диаметром  до 12 мм</t>
  </si>
  <si>
    <t>P0-80-020 - Пожарное депо с аварийно-спасательным формированиемОсмотровая канава Ок1 (3 шт)Монтаж трубы Ø32х4 для прокладки кабелей осмотровой канавы Ок1 (3 шт)</t>
  </si>
  <si>
    <t>P0-80-020 - Пожарное депо с аварийно-спасательным формированиемОсмотровая канава Ок1 (3 шт)Монтаж закладных деталей ЗД1 осмотровой канавы Ок1 - МН 548 весом 4,2 кг/п.м.</t>
  </si>
  <si>
    <t>P0-80-020 - Пожарное депо с аварийно-спасательным формированиемОсмотровая канава Ок1 (3 шт)Монтаж закладных деталей ЗД2 осмотровой канавы Ок1 - МН 109-6 весом 1,7 кг</t>
  </si>
  <si>
    <t>P0-80-020 - Пожарное депо с аварийно-спасательным формированиемОсмотровая канава Ок1 (3 шт)Монтаж закладных деталей ЗД3 осмотровой канавы Ок1 - МН 801 весом 0,74 кг</t>
  </si>
  <si>
    <t>P0-80-020 - Пожарное депо с аварийно-спасательным формированиемОсмотровая канава Ок1 (3 шт)Монтаж закладных деталей ЗД2 осмотровой канавы Ок1 - МН 107-6 весом 1,4 кг</t>
  </si>
  <si>
    <t>P0-80-020 - Пожарное депо с аварийно-спасательным формированиемОсмотровая канава Ок1 (3 шт)Монтаж опалубки заводского изготовления боковой части плиты</t>
  </si>
  <si>
    <t>P0-80-020 - Пожарное депо с аварийно-спасательным формированиемОсмотровая канава Ок1 (3 шт)Монтаж опалубки заводского изготовления стены</t>
  </si>
  <si>
    <t>P0-80-020 - Пожарное депо с аварийно-спасательным формированиемОсмотровая канава Ок1 (3 шт)Бетонирование осмотровой канавы Ок1 (3 шт)</t>
  </si>
  <si>
    <t>P0-80-020 - Пожарное депо с аварийно-спасательным формированиемОсмотровая канава Ок1 (3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</si>
  <si>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формированиемОсмотровая канава Ок1 (3 шт)Установка гидрошпонки для гидроизоляции сопряжения между двумя слоями бетона (горизонтальный рабочий шов)</t>
  </si>
  <si>
    <t>P0-80-020 - Пожарное депо с аварийно-спасательным формированиемОсмотровая канава Ок1 (3 шт)Укладка пеноплекса толщиной 100 мм под конструкциями фундаментов</t>
  </si>
  <si>
    <t>P0-80-020 - Пожарное депо с аварийно-спасательным формированиемОсмотровая канава Ок1 (3 шт)Укладка пенополистирола для деформационных швов между фундаментной плитой и приямком, шириной 20 мм</t>
  </si>
  <si>
    <t>P0-80-020 - Пожарное депо с аварийно-спасательным формированиемОсмотровая канава Ок1 (3 шт)Устройство деформационного изоляционного шва между  фундаментной плитой и приямком, шириной 20 мм, с заполнением герметиком</t>
  </si>
  <si>
    <t>P0-80-020 - Пожарное депо с аварийно-спасательным формированиемОсмотровая канава Ок1 (3 шт)Монтаж металоконструкции покрытия осмотровая канава Ок1 (3 шт) щита съемного Щ1 1020х1070мм из листа просечно-вытяжного и уголка</t>
  </si>
  <si>
    <t>P0-80-020 - Пожарное депо с аварийно-спасательным формированиемОсмотровая канава Ок1 (3 шт)Монтаж металоконструкции покрытия осмотровая канава Ок1 (3 шт) щита съемного Щ3 430х1070мм из листа просечно-вытяжного и уголка</t>
  </si>
  <si>
    <t>P0-80-020 - Пожарное депо с аварийно-спасательным формированиемПриямок Пр1 (1 шт)Устройство бетонной подготовки под приямок Пр1 из бетона В10, толщ. 100 мм (1шт.)</t>
  </si>
  <si>
    <t>P0-80-020 - Пожарное депо с аварийно-спасательным формированиемПриямок Пр1 (1 шт)Армирование плиты  Пр1 (1 шт)  ПРЯМЫМИ стержнями диаметром  до 12 мм</t>
  </si>
  <si>
    <t>P0-80-020 - Пожарное депо с аварийно-спасательным формированиемПриямок Пр1 (1 шт)Армирование плиты  Пр1 (1 шт)  ГНУТЫМИ стержнями диаметром  до 12 мм</t>
  </si>
  <si>
    <t>P0-80-020 - Пожарное депо с аварийно-спасательным формированиемПриямок Пр1 (1 шт)Укладка пеноплекса толщиной 100 мм под приямком</t>
  </si>
  <si>
    <t>P0-80-020 - Пожарное депо с аварийно-спасательным формированиемПриямок Пр1 (1 шт)Монтаж закладных деталей фундаментной плиты Пр1 - гильзы Г3 весом 6,52 кг</t>
  </si>
  <si>
    <t>P0-80-020 - Пожарное депо с аварийно-спасательным формированиемПриямок Пр1 (1 шт)Изготовление закладных деталей фундаментной плиты Пр1 - гильзы Г3 весом 6,52 кг</t>
  </si>
  <si>
    <t>P0-80-020 - Пожарное депо с аварийно-спасательным формированиемПриямок Пр1 (1 шт)Монтаж закладных деталей ЗДИ1 фундаментной плиты Пр1 весом 6,16 кг/п.м.</t>
  </si>
  <si>
    <t>P0-80-020 - Пожарное депо с аварийно-спасательным формированиемПриямок Пр1 (1 шт)Монтаж опалубки заводского изготовления боковой части плиты</t>
  </si>
  <si>
    <t>P0-80-020 - Пожарное депо с аварийно-спасательным формированиемПриямок Пр1 (1 шт)Монтаж опалубки заводского изготовления стены</t>
  </si>
  <si>
    <t>P0-80-020 - Пожарное депо с аварийно-спасательным формированиемПриямок Пр1 (1 шт)Бетонирование приямка Пр1 (1 шт)</t>
  </si>
  <si>
    <t>P0-80-020 - Пожарное депо с аварийно-спасательным формированиемПриямок Пр1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</si>
  <si>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формированиемПриямок Пр1 (1 шт)Установка гидрошпонки для гидроизоляции сопряжения между двумя слоями бетона (горизонтальный рабочий шов)</t>
  </si>
  <si>
    <t>P0-80-020 - Пожарное депо с аварийно-спасательным формированиемПриямок Пр1 (1 шт)Укладка пенополистирола для деформационных швов между фундаментной плитой и приямком, шириной 20 мм</t>
  </si>
  <si>
    <t>P0-80-020 - Пожарное депо с аварийно-спасательным формированиемПриямок Пр1 (1 шт)Устройство деформационного изоляционного шва между  фундаментной плитой и приямком, шириной 20 мм, с заполнением герметиком</t>
  </si>
  <si>
    <t>P0-80-020 - Пожарное депо с аварийно-спасательным формированиемПриямок Пр1 (1 шт)Монтаж металоконструкции покрытия приямка Пр1 (1 шт) решетчатого настила Рш1 SP Г/К 34š51/70х4/1000х1020 Zn, обр. В</t>
  </si>
  <si>
    <t>P0-80-020 - Пожарное депо с аварийно-спасательным формированиемПриямок Пр2 (1 шт)Устройство бетонной подготовки под приямок Пр2 из бетона В10, толщ. 100 мм (1шт.)</t>
  </si>
  <si>
    <t>P0-80-020 - Пожарное депо с аварийно-спасательным формированиемПриямок Пр2 (1 шт)Армирование плиты  Пр2 (1 шт)  ПРЯМЫМИ стержнями диаметром  до 12 мм</t>
  </si>
  <si>
    <t>P0-80-020 - Пожарное депо с аварийно-спасательным формированиемПриямок Пр2 (1 шт)Армирование плиты  Пр2 (1 шт)  ГНУТЫМИ стержнями диаметром  до 12 мм</t>
  </si>
  <si>
    <t>P0-80-020 - Пожарное депо с аварийно-спасательным формированиемПриямок Пр2 (1 шт)Укладка пеноплекса толщиной 100 мм под приямком</t>
  </si>
  <si>
    <t>P0-80-020 - Пожарное депо с аварийно-спасательным формированиемПриямок Пр2 (1 шт)Монтаж закладных деталей фундаментной плиты Пр2 - гильзы Г5 весом 3,46 кг</t>
  </si>
  <si>
    <t>P0-80-020 - Пожарное депо с аварийно-спасательным формированиемПриямок Пр2 (1 шт)Изготовление закладных деталей фундаментной плиты Пр2 - гильзы Г5 весом 3,46 кг</t>
  </si>
  <si>
    <t>P0-80-020 - Пожарное депо с аварийно-спасательным формированиемПриямок Пр2 (1 шт)Монтаж закладных деталей ЗД1 фундаментной плиты Пр2 - МН 517 весом 6 кг/п.м.</t>
  </si>
  <si>
    <t>P0-80-020 - Пожарное депо с аварийно-спасательным формированиемПриямок Пр2 (1 шт)Монтаж закладных деталей ЗД2 фундаментной плиты Пр2 - МН 107-6 весом 1,4 кг</t>
  </si>
  <si>
    <t>P0-80-020 - Пожарное депо с аварийно-спасательным формированиемПриямок Пр2 (1 шт)Монтаж закладных деталей ЗД3 фундаментной плиты Пр2 - МН 801 весом 0,74 кг</t>
  </si>
  <si>
    <t>P0-80-020 - Пожарное депо с аварийно-спасательным формированиемПриямок Пр2 (1 шт)Монтаж закладных деталей ЗД4 фундаментной плиты Пр2 - МН 111-5 весом 1,9 кг</t>
  </si>
  <si>
    <t>P0-80-020 - Пожарное депо с аварийно-спасательным формированиемПриямок Пр2 (1 шт)Монтаж опалубки заводского изготовления боковой части плиты</t>
  </si>
  <si>
    <t>P0-80-020 - Пожарное депо с аварийно-спасательным формированиемПриямок Пр2 (1 шт)Монтаж опалубки заводского изготовления стены</t>
  </si>
  <si>
    <t>P0-80-020 - Пожарное депо с аварийно-спасательным формированиемПриямок Пр2 (1 шт)Бетонирование приямка Пр2 (1 шт)</t>
  </si>
  <si>
    <t>P0-80-020 - Пожарное депо с аварийно-спасательным формированиемПриямок Пр2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</si>
  <si>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формированиемПриямок Пр2 (1 шт)Установка гидрошпонки для гидроизоляции сопряжения между двумя слоями бетона (горизонтальный рабочий шов)</t>
  </si>
  <si>
    <t>P0-80-020 - Пожарное депо с аварийно-спасательным формированиемПриямок Пр2 (1 шт)Укладка пенополистирола для деформационных швов между фундаментной плитой и приямком, шириной 20 мм</t>
  </si>
  <si>
    <t>P0-80-020 - Пожарное депо с аварийно-спасательным формированиемПриямок Пр2 (1 шт)Устройство деформационного изоляционного шва между  фундаментной плитой и приямком, шириной 20 мм, с заполнением герметиком</t>
  </si>
  <si>
    <t>P0-80-020 - Пожарное депо с аварийно-спасательным формированиемПриямок Пр2 (1 шт)Монтаж металоконструкции покрытия приямка Пр2 (1 шт) щита съемного Щ2 1370х1370мм из листа просечно-вытяжного и уголка</t>
  </si>
  <si>
    <t>P0-80-020 - Пожарное депо с аварийно-спасательным формированиемКолонны монолитные Км1 (1 шт)Армированные колонн Км1 (1 шт) ГНУТЫМИ стержнями диаметром до 12 мм</t>
  </si>
  <si>
    <t xml:space="preserve">P0-80-020 - Пожарное депо с аварийно-спасательным формированиемКолонны монолитные Км1 (1 шт)Армированные колонн Км1 (1 шт) ГНУТЫМИ стержнями диаметром до 12 мм- Изготовление </t>
  </si>
  <si>
    <t>P0-80-020 - Пожарное депо с аварийно-спасательным формированиемКолонны монолитные Км1 (1 шт)Армированные колонн Км1 (1 шт) ПРЯМЫМИ стержнями диаметром 14 мм и более</t>
  </si>
  <si>
    <t>P0-80-020 - Пожарное депо с аварийно-спасательным формированиемКолонны монолитные Км1 (1 шт)Армированные колонн Км1 (1 шт) ПРЯМЫМИ стержнями диаметром 14 мм и более - Изготовление</t>
  </si>
  <si>
    <t>P0-80-020 - Пожарное депо с аварийно-спасательным формированиемКолонны монолитные Км1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</si>
  <si>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формированиемКолонны монолитные Км1 (1 шт)Монтаж и демонтаж опалубки заводского изготовления колонн Км1 (1 шт)</t>
  </si>
  <si>
    <t xml:space="preserve">P0-80-020 - Пожарное депо с аварийно-спасательным формированиемКолонны монолитные Км1 (1 шт)Бетонирование колонн Км1 (1 шт) из бетона B25 W8 F200 </t>
  </si>
  <si>
    <t>P0-80-020 - Пожарное депо с аварийно-спасательным формированиемКолонны монолитные Км1 (1 шт)Монтаж закладных деталей ЗД1 колонн Км  весом от
2,1-5,0кг</t>
  </si>
  <si>
    <t>P0-80-020 - Пожарное депо с аварийно-спасательным формированиемКолонны монолитные Км1 (1 шт)Монтаж закладных деталей ЗД2 колонн Км  весом от
 0,5-2,0кг</t>
  </si>
  <si>
    <t>P0-80-020 - Пожарное депо с аварийно-спасательным формированиемКолонны монолитные Км1 (1 шт)Монтаж закладных деталей ЗДИ2н колонн Км  весом от
30,1-40,0кг</t>
  </si>
  <si>
    <t>P0-80-020 - Пожарное депо с аварийно-спасательным формированиемКолонны монолитные Км2 (1 шт)Армированные колонн Км2 (1 шт) ГНУТЫМИ стержнями диаметром до 12 мм</t>
  </si>
  <si>
    <t xml:space="preserve">P0-80-020 - Пожарное депо с аварийно-спасательным формированиемКолонны монолитные Км2 (1 шт)Армированные колонн Км2 (1 шт) ГНУТЫМИ стержнями диаметром до 12 мм - Изготовление </t>
  </si>
  <si>
    <t>P0-80-020 - Пожарное депо с аварийно-спасательным формированиемКолонны монолитные Км2 (1 шт)Армированные колонн Км2 (1 шт) ПРЯМЫМИ стержнями диаметром 14 мм и более</t>
  </si>
  <si>
    <t xml:space="preserve">P0-80-020 - Пожарное депо с аварийно-спасательным формированиемКолонны монолитные Км2 (1 шт)Армированные колонн Км2 (1 шт) ПРЯМЫМИ стержнями диаметром 14 мм и более - Изготовление </t>
  </si>
  <si>
    <t>P0-80-020 - Пожарное депо с аварийно-спасательным формированиемКолонны монолитные Км2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</si>
  <si>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формированиемКолонны монолитные Км2 (1 шт)Монтаж и демонтаж опалубки заводского изготовления колонн Км2 (1 шт)</t>
  </si>
  <si>
    <t xml:space="preserve">P0-80-020 - Пожарное депо с аварийно-спасательным формированиемКолонны монолитные Км2 (1 шт)Бетонирование колонн Км2 (1 шт) из бетона B25 W8 F200 </t>
  </si>
  <si>
    <t>P0-80-020 - Пожарное депо с аварийно-спасательным формированиемКолонны монолитные Км2 (1 шт)Монтаж закладных деталей ЗД1 колонн Км  весом от 2,1-5,0кг</t>
  </si>
  <si>
    <t>P0-80-020 - Пожарное депо с аварийно-спасательным формированиемКолонны монолитные Км2 (1 шт)Монтаж закладных деталей ЗД2 колонн Км  весом от
 0,5-2,0кг</t>
  </si>
  <si>
    <t>P0-80-020 - Пожарное депо с аварийно-спасательным формированиемКолонны монолитные Км2 (1 шт)Монтаж закладных деталей ЗД3 колонн Км  весом от 2,1-5,0кг</t>
  </si>
  <si>
    <t>P0-80-020 - Пожарное депо с аварийно-спасательным формированиемКолонны монолитные Км2 (1 шт)Монтаж закладных деталей ЗДИ1 колонн Км  весом от
30,1-40,0кг</t>
  </si>
  <si>
    <t>P0-80-020 - Пожарное депо с аварийно-спасательным формированиемКолонны монолитные Км3 (5 шт)Армированные колонн Км3 (5 шт) ГНУТЫМИ стержнями диаметром до 12 мм</t>
  </si>
  <si>
    <t>P0-80-020 - Пожарное депо с аварийно-спасательным формированиемКолонны монолитные Км3 (5 шт)Армированные колонн Км3 (5 шт) ПРЯМЫМИ стержнями диаметром 14 мм и более</t>
  </si>
  <si>
    <t>P0-80-020 - Пожарное депо с аварийно-спасательным формированиемКолонны монолитные Км3 (5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</si>
  <si>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формированиемКолонны монолитные Км3 (5 шт)Монтаж и демонтаж опалубки заводского изготовления колонн Км3 (5 шт)</t>
  </si>
  <si>
    <t xml:space="preserve">P0-80-020 - Пожарное депо с аварийно-спасательным формированиемКолонны монолитные Км3 (5 шт)Бетонирование колонн Км3 (5 шт) из бетона B25 W8 F200 </t>
  </si>
  <si>
    <t>P0-80-020 - Пожарное депо с аварийно-спасательным формированиемКолонны монолитные Км3 (5 шт)Монтаж закладных деталей ЗД1 колонн Км  весом от 2,1-5,0кг</t>
  </si>
  <si>
    <t>P0-80-020 - Пожарное депо с аварийно-спасательным формированиемКолонны монолитные Км3 (5 шт)Монтаж закладных деталей ЗД2 колонн Км  весом от
 0,5-2,0кг</t>
  </si>
  <si>
    <t>P0-80-020 - Пожарное депо с аварийно-спасательным формированиемКолонны монолитные Км3 (5 шт)Монтаж закладных деталей ЗДИ1 колонн Км  весом от
30,1-40,0кг</t>
  </si>
  <si>
    <t>P0-80-020 - Пожарное депо с аварийно-спасательным формированиемКолонны монолитные Км4 (1 шт)Армированные колонн Км4 (1 шт) ГНУТЫМИ стержнями диаметром до 12 мм</t>
  </si>
  <si>
    <t>P0-80-020 - Пожарное депо с аварийно-спасательным формированиемКолонны монолитные Км4 (1 шт)Армированные колонн Км4 (1 шт) ПРЯМЫМИ стержнями диаметром 14 мм и более</t>
  </si>
  <si>
    <t>P0-80-020 - Пожарное депо с аварийно-спасательным формированиемКолонны монолитные Км4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</si>
  <si>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формированиемКолонны монолитные Км4 (1 шт)Монтаж и демонтаж опалубки заводского изготовления колонн Км4 (1 шт)</t>
  </si>
  <si>
    <t xml:space="preserve">P0-80-020 - Пожарное депо с аварийно-спасательным формированиемКолонны монолитные Км4 (1 шт)Бетонирование колонн Км4 (1 шт) из бетона B25 W8 F200 </t>
  </si>
  <si>
    <t>P0-80-020 - Пожарное депо с аварийно-спасательным формированиемКолонны монолитные Км4 (1 шт)Монтаж закладных деталей ЗД1 колонн Км  весом от 2,1-5,0кг</t>
  </si>
  <si>
    <t>P0-80-020 - Пожарное депо с аварийно-спасательным формированиемКолонны монолитные Км4 (1 шт)Монтаж закладных деталей ЗД2 колонн Км  весом от
 0,5-2,0кг</t>
  </si>
  <si>
    <t>P0-80-020 - Пожарное депо с аварийно-спасательным формированиемКолонны монолитные Км4 (1 шт)Монтаж закладных деталей ЗДИ1 колонн Км  весом от
30,1-40,0кг</t>
  </si>
  <si>
    <t>P0-80-020 - Пожарное депо с аварийно-спасательным формированиемКолонны монолитные Км5 (1 шт)Армированные колонн Км5 (1 шт) ГНУТЫМИ стержнями диаметром до 12 мм</t>
  </si>
  <si>
    <t>P0-80-020 - Пожарное депо с аварийно-спасательным формированиемКолонны монолитные Км5 (1 шт)Армированные колонн Км5 (1 шт) ПРЯМЫМИ стержнями диаметром 14 мм и более</t>
  </si>
  <si>
    <t>P0-80-020 - Пожарное депо с аварийно-спасательным формированиемКолонны монолитные Км5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</si>
  <si>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формированиемКолонны монолитные Км5 (1 шт)Монтаж и демонтаж опалубки заводского изготовления колонн Км5 (1 шт)</t>
  </si>
  <si>
    <t xml:space="preserve">P0-80-020 - Пожарное депо с аварийно-спасательным формированиемКолонны монолитные Км5 (1 шт)Бетонирование колонн Км5 (1 шт) из бетона B25 W8 F200 </t>
  </si>
  <si>
    <t>P0-80-020 - Пожарное депо с аварийно-спасательным формированиемКолонны монолитные Км5 (1 шт)Монтаж закладных деталей ЗД1 колонн Км  весом от 2,1-5,0кг</t>
  </si>
  <si>
    <t>P0-80-020 - Пожарное депо с аварийно-спасательным формированиемКолонны монолитные Км5 (1 шт)Монтаж закладных деталей ЗД2 колонн Км  весом от
 0,5-2,0кг</t>
  </si>
  <si>
    <t>P0-80-020 - Пожарное депо с аварийно-спасательным формированиемКолонны монолитные Км5 (1 шт)Монтаж закладных деталей ЗДИ1 колонн Км  весом от
30,1-40,0кг</t>
  </si>
  <si>
    <t>P0-80-020 - Пожарное депо с аварийно-спасательным формированиемКолонны монолитные Км6 (1 шт)Армированные колонн Км6 (1 шт) ГНУТЫМИ стержнями диаметром до 12 мм</t>
  </si>
  <si>
    <t>P0-80-020 - Пожарное депо с аварийно-спасательным формированиемКолонны монолитные Км6 (1 шт)Армированные колонн Км6 (1 шт) ПРЯМЫМИ стержнями диаметром 14 мм и более</t>
  </si>
  <si>
    <t>P0-80-020 - Пожарное депо с аварийно-спасательным формированиемКолонны монолитные Км6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</si>
  <si>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формированиемКолонны монолитные Км6 (1 шт)Монтаж и демонтаж опалубки заводского изготовления колонн Км6 (1 шт)</t>
  </si>
  <si>
    <t xml:space="preserve">P0-80-020 - Пожарное депо с аварийно-спасательным формированиемКолонны монолитные Км6 (1 шт)Бетонирование колонн Км6 (1 шт) из бетона B25 W8 F200 </t>
  </si>
  <si>
    <t>P0-80-020 - Пожарное депо с аварийно-спасательным формированиемКолонны монолитные Км6 (1 шт)Монтаж закладных деталей ЗД1 колонн Км  весом от 2,1-5,0кг</t>
  </si>
  <si>
    <t>P0-80-020 - Пожарное депо с аварийно-спасательным формированиемКолонны монолитные Км6 (1 шт)Монтаж закладных деталей ЗД2 колонн Км  весом от
 0,5-2,0кг</t>
  </si>
  <si>
    <t>P0-80-020 - Пожарное депо с аварийно-спасательным формированиемКолонны монолитные Км6 (1 шт)Монтаж закладных деталей ЗДИ2 колонн Км  весом от
30,1-40,0кг</t>
  </si>
  <si>
    <t>P0-80-020 - Пожарное депо с аварийно-спасательным формированиемКолонны монолитные Км7 (1 шт)Армированные колонн Км7 (1 шт) ГНУТЫМИ стержнями диаметром до 12 мм</t>
  </si>
  <si>
    <t>P0-80-020 - Пожарное депо с аварийно-спасательным формированиемКолонны монолитные Км7 (1 шт)Армированные колонн Км7 (1 шт) ПРЯМЫМИ стержнями диаметром 14 мм и более</t>
  </si>
  <si>
    <t>P0-80-020 - Пожарное депо с аварийно-спасательным формированиемКолонны монолитные Км7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</si>
  <si>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формированиемКолонны монолитные Км7 (1 шт)Монтаж и демонтаж опалубки заводского изготовления колонн Км7 (1 шт)</t>
  </si>
  <si>
    <t xml:space="preserve">P0-80-020 - Пожарное депо с аварийно-спасательным формированиемКолонны монолитные Км7 (1 шт)Бетонирование колонн Км7 (1 шт) из бетона B25 W8 F200 </t>
  </si>
  <si>
    <t>P0-80-020 - Пожарное депо с аварийно-спасательным формированиемКолонны монолитные Км7 (1 шт)Монтаж закладных деталей ЗД1 колонн Км  весом от 2,1-5,0кг</t>
  </si>
  <si>
    <t>P0-80-020 - Пожарное депо с аварийно-спасательным формированиемКолонны монолитные Км7 (1 шт)Монтаж закладных деталей ЗД2 колонн Км  весом от
 0,5-2,0кг</t>
  </si>
  <si>
    <t>P0-80-020 - Пожарное депо с аварийно-спасательным формированиемКолонны монолитные Км7 (1 шт)Монтаж закладных деталей ЗДИ2 колонн Км  весом от
30,1-40,0кг</t>
  </si>
  <si>
    <t>P0-80-020 - Пожарное депо с аварийно-спасательным формированиемКолонны монолитные Км8 (1 шт)Армированные колонн Км8 (1 шт) ГНУТЫМИ стержнями диаметром до 12 мм</t>
  </si>
  <si>
    <t>P0-80-020 - Пожарное депо с аварийно-спасательным формированиемКолонны монолитные Км8 (1 шт)Армированные колонн Км8 (1 шт) ПРЯМЫМИ стержнями диаметром 14 мм и более</t>
  </si>
  <si>
    <t>P0-80-020 - Пожарное депо с аварийно-спасательным формированиемКолонны монолитные Км8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</si>
  <si>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формированиемКолонны монолитные Км8 (1 шт)Монтаж и демонтаж опалубки заводского изготовления колонн Км8 (1 шт)</t>
  </si>
  <si>
    <t xml:space="preserve">P0-80-020 - Пожарное депо с аварийно-спасательным формированиемКолонны монолитные Км8 (1 шт)Бетонирование колонн Км8 (1 шт) из бетона B25 W8 F200 </t>
  </si>
  <si>
    <t>P0-80-020 - Пожарное депо с аварийно-спасательным формированиемКолонны монолитные Км8 (1 шт)Монтаж закладных деталей ЗД1 колонн Км  весом от 2,1-5,0кг</t>
  </si>
  <si>
    <t>P0-80-020 - Пожарное депо с аварийно-спасательным формированиемКолонны монолитные Км8 (1 шт)Монтаж закладных деталей ЗД2 колонн Км  весом от
 0,5-2,0кг</t>
  </si>
  <si>
    <t>P0-80-020 - Пожарное депо с аварийно-спасательным формированиемКолонны монолитные Км8 (1 шт)Монтаж закладных деталей ЗДИ1 колонн Км  весом от
30,1-40,0кг</t>
  </si>
  <si>
    <t>P0-80-020 - Пожарное депо с аварийно-спасательным формированиемКолонны монолитные Км9 (1 шт)Армированные колонн Км9 (1 шт) ГНУТЫМИ стержнями диаметром до 12 мм</t>
  </si>
  <si>
    <t>P0-80-020 - Пожарное депо с аварийно-спасательным формированиемКолонны монолитные Км9 (1 шт)Армированные колонн Км9 (1 шт) ПРЯМЫМИ стержнями диаметром 14 мм и более</t>
  </si>
  <si>
    <t>P0-80-020 - Пожарное депо с аварийно-спасательным формированиемКолонны монолитные Км9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</si>
  <si>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формированиемКолонны монолитные Км9 (1 шт)Монтаж и демонтаж опалубки заводского изготовления колонн Км9 (1 шт)</t>
  </si>
  <si>
    <t xml:space="preserve">P0-80-020 - Пожарное депо с аварийно-спасательным формированиемКолонны монолитные Км9 (1 шт)Бетонирование колонн Км9 (1 шт) из бетона B25 W8 F200 </t>
  </si>
  <si>
    <t>P0-80-020 - Пожарное депо с аварийно-спасательным формированиемКолонны монолитные Км9 (1 шт)Монтаж закладных деталей ЗД1 колонн Км  весом от 2,1-5,0кг</t>
  </si>
  <si>
    <t>P0-80-020 - Пожарное депо с аварийно-спасательным формированиемКолонны монолитные Км9 (1 шт)Монтаж закладных деталей ЗД2 колонн Км  весом от
 0,5-2,0кг</t>
  </si>
  <si>
    <t>P0-80-020 - Пожарное депо с аварийно-спасательным формированиемКолонны монолитные Км9 (1 шт)Монтаж закладных деталей ЗДИ1 колонн Км  весом от
30,1-40,0кг</t>
  </si>
  <si>
    <t>P0-80-020 - Пожарное депо с аварийно-спасательным формированиемКолонны монолитные Км10 (2 шт)Армированные колонн Км10 (2 шт) ГНУТЫМИ стержнями диаметром до 12 мм</t>
  </si>
  <si>
    <t>P0-80-020 - Пожарное депо с аварийно-спасательным формированиемКолонны монолитные Км10 (2 шт)Армированные колонн Км10 (2 шт) ПРЯМЫМИ стержнями диаметром 14 мм и более</t>
  </si>
  <si>
    <t>P0-80-020 - Пожарное депо с аварийно-спасательным формированиемКолонны монолитные Км10 (2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</si>
  <si>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формированиемКолонны монолитные Км10 (2 шт)Монтаж и демонтаж опалубки заводского изготовления колонн Км10 (2 шт)</t>
  </si>
  <si>
    <t xml:space="preserve">P0-80-020 - Пожарное депо с аварийно-спасательным формированиемКолонны монолитные Км10 (2 шт)Бетонирование колонн Км10 (2 шт) из бетона B25 W8 F200 </t>
  </si>
  <si>
    <t>P0-80-020 - Пожарное депо с аварийно-спасательным формированиемКолонны монолитные Км10 (2 шт)Монтаж закладных деталей ЗД1 колонн Км  весом от 2,1-5,0кг</t>
  </si>
  <si>
    <t>P0-80-020 - Пожарное депо с аварийно-спасательным формированиемКолонны монолитные Км10 (2 шт)Монтаж закладных деталей ЗД2 колонн Км  весом от
 0,5-2,0кг</t>
  </si>
  <si>
    <t>P0-80-020 - Пожарное депо с аварийно-спасательным формированиемКолонны монолитные Км10 (2 шт)Монтаж закладных деталей ЗДИ1 колонн Км  весом от
30,1-40,0кг</t>
  </si>
  <si>
    <t>P0-80-020 - Пожарное депо с аварийно-спасательным формированиемКолонны монолитные Км11 (1 шт)Армированные колонн Км11 (1 шт) ГНУТЫМИ стержнями диаметром до 12 мм</t>
  </si>
  <si>
    <t>P0-80-020 - Пожарное депо с аварийно-спасательным формированиемКолонны монолитные Км11 (1 шт)Армированные колонн Км11 (1 шт) ПРЯМЫМИ стержнями диаметром 14 мм и более</t>
  </si>
  <si>
    <t>P0-80-020 - Пожарное депо с аварийно-спасательным формированиемКолонны монолитные Км11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</si>
  <si>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формированиемКолонны монолитные Км11 (1 шт)Монтаж и демонтаж опалубки заводского изготовления колонн Км11 (1 шт)</t>
  </si>
  <si>
    <t xml:space="preserve">P0-80-020 - Пожарное депо с аварийно-спасательным формированиемКолонны монолитные Км11 (1 шт)Бетонирование колонн Км11 (1 шт) из бетона B25 W8 F200 </t>
  </si>
  <si>
    <t>P0-80-020 - Пожарное депо с аварийно-спасательным формированиемКолонны монолитные Км11 (1 шт)Монтаж закладных деталей ЗД1 колонн Км  весом от 2,1-5,0кг</t>
  </si>
  <si>
    <t>P0-80-020 - Пожарное депо с аварийно-спасательным формированиемКолонны монолитные Км11 (1 шт)Монтаж закладных деталей ЗД2 колонн Км  весом от
 0,5-2,0кг</t>
  </si>
  <si>
    <t>P0-80-020 - Пожарное депо с аварийно-спасательным формированиемКолонны монолитные Км11 (1 шт)Монтаж закладных деталей ЗД3 колонн Км  весом от
от 2,1-5,0кг</t>
  </si>
  <si>
    <t>P0-80-020 - Пожарное депо с аварийно-спасательным формированиемКолонны монолитные Км11 (1 шт)Монтаж закладных деталей ЗДИ1 колонн Км  весом от
30,1-40,0кг</t>
  </si>
  <si>
    <t>P0-80-020 - Пожарное депо с аварийно-спасательным формированиемКолонны монолитные Км12 (1 шт)Армированные колонн Км12 (1 шт) ГНУТЫМИ стержнями диаметром до 12 мм</t>
  </si>
  <si>
    <t>P0-80-020 - Пожарное депо с аварийно-спасательным формированиемКолонны монолитные Км12 (1 шт)Армированные колонн Км12 (1 шт) ПРЯМЫМИ стержнями диаметром 14 мм и более</t>
  </si>
  <si>
    <t>P0-80-020 - Пожарное депо с аварийно-спасательным формированиемКолонны монолитные Км12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</si>
  <si>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формированиемКолонны монолитные Км12 (1 шт)Монтаж и демонтаж опалубки заводского изготовления колонн Км12 (1 шт)</t>
  </si>
  <si>
    <t xml:space="preserve">P0-80-020 - Пожарное депо с аварийно-спасательным формированиемКолонны монолитные Км12 (1 шт)Бетонирование колонн Км12 (1 шт) из бетона B25 W8 F200 </t>
  </si>
  <si>
    <t>P0-80-020 - Пожарное депо с аварийно-спасательным формированиемКолонны монолитные Км12 (1 шт)Монтаж закладных деталей ЗД1 колонн Км  весом от 2,1-5,0кг</t>
  </si>
  <si>
    <t>P0-80-020 - Пожарное депо с аварийно-спасательным формированиемКолонны монолитные Км12 (1 шт)Монтаж закладных деталей ЗД2 колонн Км  весом от
 0,5-2,0кг</t>
  </si>
  <si>
    <t>P0-80-020 - Пожарное депо с аварийно-спасательным формированиемКолонны монолитные Км12 (1 шт)Монтаж закладных деталей ЗД3 колонн Км  весом от
от 2,1-5,0кг</t>
  </si>
  <si>
    <t>P0-80-020 - Пожарное депо с аварийно-спасательным формированиемКолонны монолитные Км12 (1 шт)Монтаж закладных деталей ЗДИ1 колонн Км  весом от
30,1-40,0кг</t>
  </si>
  <si>
    <t>P0-80-020 - Пожарное депо с аварийно-спасательным формированиемКолонны монолитные Км13 (1 шт)Армированные колонн Км13 (1 шт) ГНУТЫМИ стержнями диаметром до 12 мм</t>
  </si>
  <si>
    <t>P0-80-020 - Пожарное депо с аварийно-спасательным формированиемКолонны монолитные Км13 (1 шт)Армированные колонн Км13 (1 шт) ПРЯМЫМИ стержнями диаметром 14 мм и более</t>
  </si>
  <si>
    <t>P0-80-020 - Пожарное депо с аварийно-спасательным формированиемКолонны монолитные Км13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</si>
  <si>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формированиемКолонны монолитные Км13 (1 шт)Монтаж и демонтаж опалубки заводского изготовления колонн Км13 (1 шт)</t>
  </si>
  <si>
    <t xml:space="preserve">P0-80-020 - Пожарное депо с аварийно-спасательным формированиемКолонны монолитные Км13 (1 шт)Бетонирование колонн Км13 (1 шт) из бетона B25 W8 F200 </t>
  </si>
  <si>
    <t>P0-80-020 - Пожарное депо с аварийно-спасательным формированиемКолонны монолитные Км13 (1 шт)Монтаж закладных деталей ЗД1 колонн Км  весом от 2,1-5,0кг</t>
  </si>
  <si>
    <t>P0-80-020 - Пожарное депо с аварийно-спасательным формированиемКолонны монолитные Км13 (1 шт)Монтаж закладных деталей ЗД2 колонн Км  весом от
 0,5-2,0кг</t>
  </si>
  <si>
    <t>P0-80-020 - Пожарное депо с аварийно-спасательным формированиемКолонны монолитные Км13 (1 шт)Монтаж закладных деталей ЗД3 колонн Км  весом от
от 2,1-5,0кг</t>
  </si>
  <si>
    <t>P0-80-020 - Пожарное депо с аварийно-спасательным формированиемКолонны монолитные Км13 (1 шт)Монтаж закладных деталей ЗДИ1 колонн Км  весом от
30,1-40,0кг</t>
  </si>
  <si>
    <t>P0-80-020 - Пожарное депо с аварийно-спасательным формированиемКолонны монолитные Км14 (1 шт)Армированные колонн Км14 (1 шт) ГНУТЫМИ стержнями диаметром до 12 мм</t>
  </si>
  <si>
    <t>P0-80-020 - Пожарное депо с аварийно-спасательным формированиемКолонны монолитные Км14 (1 шт)Армированные колонн Км14 (1 шт) ПРЯМЫМИ стержнями диаметром 14 мм и более</t>
  </si>
  <si>
    <t>P0-80-020 - Пожарное депо с аварийно-спасательным формированиемКолонны монолитные Км14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</si>
  <si>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формированиемКолонны монолитные Км14 (1 шт)Монтаж и демонтаж опалубки заводского изготовления колонн Км14 (1 шт)</t>
  </si>
  <si>
    <t xml:space="preserve">P0-80-020 - Пожарное депо с аварийно-спасательным формированиемКолонны монолитные Км14 (1 шт)Бетонирование колонн Км14 (1 шт) из бетона B25 W8 F200 </t>
  </si>
  <si>
    <t>P0-80-020 - Пожарное депо с аварийно-спасательным формированиемКолонны монолитные Км14 (1 шт)Монтаж закладных деталей ЗД1 колонн Км  весом от 2,1-5,0кг</t>
  </si>
  <si>
    <t>P0-80-020 - Пожарное депо с аварийно-спасательным формированиемКолонны монолитные Км14 (1 шт)Монтаж закладных деталей ЗД2 колонн Км  весом от
 0,5-2,0кг</t>
  </si>
  <si>
    <t>P0-80-020 - Пожарное депо с аварийно-спасательным формированиемКолонны монолитные Км14 (1 шт)Монтаж закладных деталей ЗД3 колонн Км  весом от
от 2,1-5,0кг</t>
  </si>
  <si>
    <t>P0-80-020 - Пожарное депо с аварийно-спасательным формированиемКолонны монолитные Км14 (1 шт)Монтаж закладных деталей ЗДИ1 колонн Км  весом от
30,1-40,0кг</t>
  </si>
  <si>
    <t>P0-80-020 - Пожарное депо с аварийно-спасательным формированиемКолонны монолитные Км15 (1 шт)Армированные колонн Км15 (1 шт) ГНУТЫМИ стержнями диаметром до 12 мм</t>
  </si>
  <si>
    <t>P0-80-020 - Пожарное депо с аварийно-спасательным формированиемКолонны монолитные Км15 (1 шт)Армированные колонн Км15 (1 шт) ПРЯМЫМИ стержнями диаметром 14 мм и более</t>
  </si>
  <si>
    <t>P0-80-020 - Пожарное депо с аварийно-спасательным формированиемКолонны монолитные Км15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</si>
  <si>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формированиемКолонны монолитные Км15 (1 шт)Монтаж и демонтаж опалубки заводского изготовления колонн Км15 (1 шт)</t>
  </si>
  <si>
    <t xml:space="preserve">P0-80-020 - Пожарное депо с аварийно-спасательным формированиемКолонны монолитные Км15 (1 шт)Бетонирование колонн Км15 (1 шт) из бетона B25 W8 F200 </t>
  </si>
  <si>
    <t>P0-80-020 - Пожарное депо с аварийно-спасательным формированиемКолонны монолитные Км15 (1 шт)Монтаж закладных деталей ЗД1 колонн Км  весом от 2,1-5,0кг</t>
  </si>
  <si>
    <t>P0-80-020 - Пожарное депо с аварийно-спасательным формированиемКолонны монолитные Км15 (1 шт)Монтаж закладных деталей ЗД2 колонн Км  весом от
 0,5-2,0кг</t>
  </si>
  <si>
    <t>P0-80-020 - Пожарное депо с аварийно-спасательным формированиемКолонны монолитные Км15 (1 шт)Монтаж закладных деталей ЗД3 колонн Км  весом от
от 2,1-5,0кг</t>
  </si>
  <si>
    <t>P0-80-020 - Пожарное депо с аварийно-спасательным формированиемКолонны монолитные Км15 (1 шт)Монтаж закладных деталей ЗДИ2н колонн Км  весом от
30,1-40,0кг</t>
  </si>
  <si>
    <t>P0-80-020 - Пожарное депо с аварийно-спасательным формированиемПлита перекрытия монолитная Пм1 на отм. +4,100Армированные плиты перекрытия Пм1 (1 шт) ПРЯМЫМИ стержнями диаметром 14 мм и более</t>
  </si>
  <si>
    <t>P0-80-020 - Пожарное депо с аварийно-спасательным формированиемПлита перекрытия монолитная Пм1 на отм. +4,100Армированные плиты перекрытия Пм1 (1 шт) ПРЯМЫМИ стержнями диаметром до 12 мм</t>
  </si>
  <si>
    <t>P0-80-020 - Пожарное депо с аварийно-спасательным формированиемПлита перекрытия монолитная Пм1 на отм. +4,100Армированные плиты перекрытия Пм1 (1 шт) ГНУТЫМИ стержнями диаметром до 12 мм</t>
  </si>
  <si>
    <t>P0-80-020 - Пожарное депо с аварийно-спасательным формированиемПлита перекрытия монолитная Пм1 на отм. +4,100Армированные плиты перекрытия Пм1 (1 шт) ГНУТЫМИ стержнями диаметром 14 мм и более</t>
  </si>
  <si>
    <t>P0-80-020 - Пожарное депо с аварийно-спасательным формированиемПлита перекрытия монолитная Пм1 на отм. +4,100Монтаж каркасов пространственных КР3. Соединение элементов армокаркаса сваркой.</t>
  </si>
  <si>
    <t>P0-80-020 - Пожарное депо с аварийно-спасательным формированиемПлита перекрытия монолитная Пм1 на отм. +4,100Монтаж каркасов пространственных КР4. Соединение элементов армокаркаса сваркой.</t>
  </si>
  <si>
    <t>P0-80-020 - Пожарное депо с аварийно-спасательным формированиемПлита перекрытия монолитная Пм1 на отм. +4,100Монтаж закладных деталей (гильзы Г1) весом от 2,1-5,0кг</t>
  </si>
  <si>
    <t>P0-80-020 - Пожарное депо с аварийно-спасательным формированиемПлита перекрытия монолитная Пм1 на отм. +4,100Монтаж закладных деталей (гильзы Г2) весом от 0,5-2,0кг</t>
  </si>
  <si>
    <t>P0-80-020 - Пожарное депо с аварийно-спасательным формированиемПлита перекрытия монолитная Пм1 на отм. +4,100Обеспечение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</si>
  <si>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формированиемПлита перекрытия монолитная Пм1 на отм. +4,100Монтаж и демонтаж опалубки заводского изготовления плиты перекрытия Пм3 (1 шт)</t>
  </si>
  <si>
    <t xml:space="preserve">P0-80-020 - Пожарное депо с аварийно-спасательным формированиемПлита перекрытия монолитная Пм1 на отм. +4,100Бетонирование плиты перекрытия Пм1(1 шт) из бетона B25 W8 F100 </t>
  </si>
  <si>
    <t>P0-80-020 - Пожарное депо с аварийно-спасательным формированиемПлита перекрытия монолитная Пм1 на отм. +4,100Сверление отверстия под гильз Г1</t>
  </si>
  <si>
    <t>P0-80-020 - Пожарное депо с аварийно-спасательным формированиемПлита перекрытия монолитная Пм1 на отм. +4,100Замоноличивание гильз Г1 цементно-песчаным раствором М200</t>
  </si>
  <si>
    <t>P0-80-020 - Пожарное депо с аварийно-спасательным формированиемПлита перекрытия монолитная Пм2 на отм. +4,100Армированные плиты перекрытия Пм2 (1 шт) ПРЯМЫМИ стержнями диаметром 14 мм и более</t>
  </si>
  <si>
    <t>P0-80-020 - Пожарное депо с аварийно-спасательным формированиемПлита перекрытия монолитная Пм2 на отм. +4,100Армированные плиты перекрытия Пм2 (1 шт) ПРЯМЫМИ стержнями диаметром до 12 мм</t>
  </si>
  <si>
    <t>P0-80-020 - Пожарное депо с аварийно-спасательным формированиемПлита перекрытия монолитная Пм2 на отм. +4,100Армированные плиты перекрытия Пм2 (1 шт) ГНУТЫМИ стержнями диаметром до 12 мм</t>
  </si>
  <si>
    <t>P0-80-020 - Пожарное депо с аварийно-спасательным формированиемПлита перекрытия монолитная Пм2 на отм. +4,100Армированные плиты перекрытия Пм2 (1 шт) ГНУТЫМИ стержнями диаметром 14 мм и более</t>
  </si>
  <si>
    <t>P0-80-020 - Пожарное депо с аварийно-спасательным формированиемПлита перекрытия монолитная Пм2 на отм. +4,100Монтаж каркасов пространственных КР3. Соединение элементов армокаркаса сваркой.</t>
  </si>
  <si>
    <t>P0-80-020 - Пожарное депо с аварийно-спасательным формированиемПлита перекрытия монолитная Пм2 на отм. +4,100Монтаж каркасов пространственных КР4. Соединение элементов армокаркаса сваркой.</t>
  </si>
  <si>
    <t>P0-80-020 - Пожарное депо с аварийно-спасательным формированиемПлита перекрытия монолитная Пм2 на отм. +4,100Монтаж закладных деталей (гильзы Г1) весом от 2,1-5,0кг</t>
  </si>
  <si>
    <t>P0-80-020 - Пожарное депо с аварийно-спасательным формированиемПлита перекрытия монолитная Пм2 на отм. +4,100Монтаж закладных деталей (гильзы Г2) весом от 0,5-2,0кг</t>
  </si>
  <si>
    <t>P0-80-020 - Пожарное депо с аварийно-спасательным формированиемПлита перекрытия монолитная Пм2 на отм. +4,100Монтаж закладных деталей (гильзы Г3) весом от 2,1-5,0кг</t>
  </si>
  <si>
    <t>P0-80-020 - Пожарное депо с аварийно-спасательным формированиемПлита перекрытия монолитная Пм2 на отм. +4,100Обеспечение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</si>
  <si>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формированиемПлита перекрытия монолитная Пм2 на отм. +4,100Монтаж и демонтаж опалубки заводского изготовления плиты перекрытия Пм3 (1 шт)</t>
  </si>
  <si>
    <t xml:space="preserve">P0-80-020 - Пожарное депо с аварийно-спасательным формированиемПлита перекрытия монолитная Пм2 на отм. +4,100Бетонирование плиты перекрытия Пм2(1 шт) из бетона B25 W8 F100 </t>
  </si>
  <si>
    <t>P0-80-020 - Пожарное депо с аварийно-спасательным формированиемПлита перекрытия монолитная Пм2 на отм. +4,100Сверление отверстия под гильз Г1</t>
  </si>
  <si>
    <t>P0-80-020 - Пожарное депо с аварийно-спасательным формированиемПлита перекрытия монолитная Пм2 на отм. +4,100Замоноличивание гильз Г1 цементно-песчаным раствором М200</t>
  </si>
  <si>
    <t>P0-80-020 - Пожарное депо с аварийно-спасательным формированиемПлита перекрытия монолитная Пм3 на отм. +8,100Армированные плиты перекрытия Пм3 (1 шт) ПРЯМЫМИ стержнями диаметром до 12 мм</t>
  </si>
  <si>
    <t>P0-80-020 - Пожарное депо с аварийно-спасательным формированиемПлита перекрытия монолитная Пм3 на отм. +8,100Армированные плиты перекрытия Пм3 (1 шт) ГНУТЫМИ стержнями диаметром до 12 мм</t>
  </si>
  <si>
    <t>P0-80-020 - Пожарное депо с аварийно-спасательным формированиемПлита перекрытия монолитная Пм3 на отм. +8,100Армированные плиты перекрытия Пм3 (1 шт) ГНУТЫМИ стержнями диаметром 14 мм и более</t>
  </si>
  <si>
    <t>P0-80-020 - Пожарное депо с аварийно-спасательным формированиемПлита перекрытия монолитная Пм3 на отм. +8,100Монтаж закладных деталей (гильзы Г4) весом от 8,1-12,0кг</t>
  </si>
  <si>
    <t>P0-80-020 - Пожарное депо с аварийно-спасательным формированиемПлита перекрытия монолитная Пм3 на отм. +8,100Монтаж закладных деталей ЗД1 колонн Км  весом от
 2,1-5,0 кг</t>
  </si>
  <si>
    <t>P0-80-020 - Пожарное депо с аварийно-спасательным формированиемПлита перекрытия монолитная Пм3 на отм. +8,100Обеспечение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</si>
  <si>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формированиемПлита перекрытия монолитная Пм3 на отм. +8,100Монтаж и демонтаж опалубки заводского изготовления плиты перекрытия Пм3 (1 шт)</t>
  </si>
  <si>
    <t xml:space="preserve">P0-80-020 - Пожарное депо с аварийно-спасательным формированиемПлита перекрытия монолитная Пм3 на отм. +8,100Бетонирование плиты перекрытия Пм3(1 шт) из бетона B25 W8 F100 </t>
  </si>
  <si>
    <t>P0-80-020 - Пожарное депо с аварийно-спасательным формированиемПлита перекрытия монолитная Пм4 на отм. +8,100Армированные плиты перекрытия Пм4 (1 шт) ПРЯМЫМИ стержнями диаметром до 12 мм</t>
  </si>
  <si>
    <t>P0-80-020 - Пожарное депо с аварийно-спасательным формированиемПлита перекрытия монолитная Пм4 на отм. +8,100Армированные плиты перекрытия Пм4 (1 шт) ПРЯМЫМИ стержнями диаметром до 12 мм - Изготовление</t>
  </si>
  <si>
    <t>P0-80-020 - Пожарное депо с аварийно-спасательным формированиемПлита перекрытия монолитная Пм4 на отм. +8,100Армированные плиты перекрытия Пм4 (1 шт) ГНУТЫМИ стержнями диаметром до 12 мм</t>
  </si>
  <si>
    <t>P0-80-020 - Пожарное депо с аварийно-спасательным формированиемПлита перекрытия монолитная Пм4 на отм. +8,100Армированные плиты перекрытия Пм4 (1 шт) ГНУТЫМИ стержнями диаметром до 12 мм - Изготовление</t>
  </si>
  <si>
    <t>P0-80-020 - Пожарное депо с аварийно-спасательным формированиемПлита перекрытия монолитная Пм4 на отм. +8,100Армированные плиты перекрытия Пм4 (1 шт) ГНУТЫМИ стержнями диаметром 14 мм и более</t>
  </si>
  <si>
    <t>P0-80-020 - Пожарное депо с аварийно-спасательным формированиемПлита перекрытия монолитная Пм4 на отм. +8,100Монтаж закладных деталей (гильзы Г4) весом от 8,1-12,0кг</t>
  </si>
  <si>
    <t>P0-80-020 - Пожарное депо с аварийно-спасательным формированиемПлита перекрытия монолитная Пм4 на отм. +8,100Монтаж закладных деталей ЗД1 весом от 2,1-5,0кг</t>
  </si>
  <si>
    <t>P0-80-020 - Пожарное депо с аварийно-спасательным формированиемПлита перекрытия монолитная Пм4 на отм. +8,100Обеспечение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</si>
  <si>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формированиемПлита перекрытия монолитная Пм4 на отм. +8,100Монтаж и демонтаж опалубки заводского изготовления плиты перекрытия Пм4 (1 шт)</t>
  </si>
  <si>
    <t xml:space="preserve">P0-80-020 - Пожарное депо с аварийно-спасательным формированиемПлита перекрытия монолитная Пм4 на отм. +8,100Бетонирование плиты перекрытия Пм4(1 шт) из бетона B25 W8 F100 </t>
  </si>
  <si>
    <t>P0-80-020 - Пожарное депо с аварийно-спасательным формированиемЛестницы Л1 на отм. -0,100Армированные Лестницы Л1 ПРЯМЫМИ стержнями диаметром до 12 мм</t>
  </si>
  <si>
    <t>P0-80-020 - Пожарное депо с аварийно-спасательным формированиемЛестницы Л1 на отм. -0,100Армированные Лестницы Л1 ГНУТЫМИ стержнями диаметром до 12 мм</t>
  </si>
  <si>
    <t>P0-80-020 - Пожарное депо с аварийно-спасательным формированиемЛестницы Л1 на отм. -0,100Монтаж каркасов пространственных КР1. Соединение элементов армокаркаса сваркой.</t>
  </si>
  <si>
    <t>P0-80-020 - Пожарное депо с аварийно-спасательным формированиемЛестницы Л1 на отм. -0,100Монтаж каркасов пространственных КР2. Соединение элементов армокаркаса сваркой.</t>
  </si>
  <si>
    <t>P0-80-020 - Пожарное депо с аварийно-спасательным формированиемЛестницы Л1 на отм. -0,100Обеспечение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</si>
  <si>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формированиемЛестницы Л1 на отм. -0,100Изготовление опалубки Лестницы Л1 (1 шт)</t>
  </si>
  <si>
    <t>P0-80-020 - Пожарное депо с аварийно-спасательным формированиемЛестницы Л1 на отм. -0,100Монтаж и демонтаж опалубки собственного изготовления Лестницы Л1 (1 шт)</t>
  </si>
  <si>
    <t xml:space="preserve">P0-80-020 - Пожарное депо с аварийно-спасательным формированиемЛестницы Л1 на отм. -0,100Бетонирование Лестницы Л1(1 шт) из бетона B25 W8 F100 </t>
  </si>
  <si>
    <t>P0-80-020 - Пожарное депо с аварийно-спасательным формированиемЛестницы Л2 на отм. -0,100Армированные Лестницы Л2 ПРЯМЫМИ стержнями диаметром до 12 мм</t>
  </si>
  <si>
    <t>P0-80-020 - Пожарное депо с аварийно-спасательным формированиемЛестницы Л2 на отм. -0,100Армированные Лестницы Л2 ГНУТЫМИ стержнями диаметром до 12 мм</t>
  </si>
  <si>
    <t>P0-80-020 - Пожарное депо с аварийно-спасательным формированиемЛестницы Л2 на отм. -0,100Монтаж каркасов пространственных КР1. Соединение элементов армокаркаса сваркой.</t>
  </si>
  <si>
    <t>P0-80-020 - Пожарное депо с аварийно-спасательным формированиемЛестницы Л2 на отм. -0,100Монтаж каркасов пространственных КР2. Соединение элементов армокаркаса сваркой.</t>
  </si>
  <si>
    <t>P0-80-020 - Пожарное депо с аварийно-спасательным формированиемЛестницы Л2 на отм. -0,100Обеспечение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</si>
  <si>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формированиемЛестницы Л2 на отм. -0,100Изготовление опалубки Лестницы Л2 (1 шт)</t>
  </si>
  <si>
    <t>P0-80-020 - Пожарное депо с аварийно-спасательным формированиемЛестницы Л2 на отм. -0,100Монтаж и демонтаж опалубки собственного изготовления Лестницы Л2 (1 шт)</t>
  </si>
  <si>
    <t xml:space="preserve">P0-80-020 - Пожарное депо с аварийно-спасательным формированиемЛестницы Л2 на отм. -0,100Бетонирование Лестницы Л2 (1 шт) из бетона B25 W8 F100 </t>
  </si>
  <si>
    <t>P0-80-020 - Пожарное депо с аварийно-спасательным формированиемЛестницы Л1 на отм. +4,100Армированные Лестницы Л1 ПРЯМЫМИ стержнями диаметром до 12 мм</t>
  </si>
  <si>
    <t>P0-80-020 - Пожарное депо с аварийно-спасательным формированиемЛестницы Л1 на отм. +4,100Армированные Лестницы Л1 ГНУТЫМИ стержнями диаметром до 12 мм</t>
  </si>
  <si>
    <t>P0-80-020 - Пожарное депо с аварийно-спасательным формированиемЛестницы Л1 на отм. +4,100Монтаж каркасов пространственных КР1. Соединение элементов армокаркаса сваркой.</t>
  </si>
  <si>
    <t>P0-80-020 - Пожарное депо с аварийно-спасательным формированиемЛестницы Л1 на отм. +4,100Монтаж каркасов пространственных КР2. Соединение элементов армокаркаса сваркой.</t>
  </si>
  <si>
    <t>P0-80-020 - Пожарное депо с аварийно-спасательным формированиемЛестницы Л1 на отм. +4,100Обеспечение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</si>
  <si>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формированиемЛестницы Л1 на отм. +4,100Изготовление опалубки Лестницы Л1 (1 шт)</t>
  </si>
  <si>
    <t>P0-80-020 - Пожарное депо с аварийно-спасательным формированиемЛестницы Л1 на отм. +4,100Монтаж и демонтаж опалубки собственного изготовления Лестницы Л1 (1 шт)</t>
  </si>
  <si>
    <t xml:space="preserve">P0-80-020 - Пожарное депо с аварийно-спасательным формированиемЛестницы Л1 на отм. +4,100Бетонирование Лестницы Л1(1 шт) из бетона B25 W8 F100 </t>
  </si>
  <si>
    <t>P0-80-020 - Пожарное депо с аварийно-спасательным формированиемЛестницы Л2 на отм. +4,100Армированные Лестницы Л2 ПРЯМЫМИ стержнями диаметром до 12 мм</t>
  </si>
  <si>
    <t>P0-80-020 - Пожарное депо с аварийно-спасательным формированиемЛестницы Л2 на отм. +4,100Армированные Лестницы Л2 ГНУТЫМИ стержнями диаметром до 12 мм</t>
  </si>
  <si>
    <t>P0-80-020 - Пожарное депо с аварийно-спасательным формированиемЛестницы Л2 на отм. +4,100Монтаж каркасов пространственных КР1. Соединение элементов армокаркаса сваркой.</t>
  </si>
  <si>
    <t>P0-80-020 - Пожарное депо с аварийно-спасательным формированиемЛестницы Л2 на отм. +4,100Монтаж каркасов пространственных КР2. Соединение элементов армокаркаса сваркой.</t>
  </si>
  <si>
    <t>P0-80-020 - Пожарное депо с аварийно-спасательным формированиемЛестницы Л2 на отм. +4,100Обеспечение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</si>
  <si>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P0-80-020 - Пожарное депо с аварийно-спасательным формированиемЛестницы Л2 на отм. +4,100Изготовление опалубки Лестницы Л2 (1 шт)</t>
  </si>
  <si>
    <t>P0-80-020 - Пожарное депо с аварийно-спасательным формированиемЛестницы Л2 на отм. +4,100Монтаж и демонтаж опалубки собственного изготовления Лестницы Л2 (1 шт)</t>
  </si>
  <si>
    <t xml:space="preserve">P0-80-020 - Пожарное депо с аварийно-спасательным формированиемЛестницы Л2 на отм. +4,100Бетонирование Лестницы Л2 (1 шт) из бетона B25 W8 F100 </t>
  </si>
  <si>
    <t>P0-80-020 - Пожарное депо с аварийно-спасательным формированиемСтены монолитные на отм. -0,100 и +4,100, в осях 11-17Армированные стены монолитные на отм. -0,100 и +4,100, в осях 11-17 ПРЯМЫМИ стержнями диаметром от 14мм и более</t>
  </si>
  <si>
    <t>P0-80-020 - Пожарное депо с аварийно-спасательным формированиемСтены монолитные на отм. -0,100 и +4,100, в осях 11-17Армированные стены монолитные на отм. -0,100 и +4,100, в осях 11-17 ПРЯМЫМИ стержнями диаметром до 12мм</t>
  </si>
  <si>
    <t>P0-80-020 - Пожарное депо с аварийно-спасательным формированиемСтены монолитные на отм. -0,100 и +4,100, в осях 11-17Армированные стены монолитные на отм. -0,100 и +4,100, в осях 11-17 ГНУТЫМИ стержнями диаметром до 12 мм</t>
  </si>
  <si>
    <t>P0-80-020 - Пожарное депо с аварийно-спасательным формированиемСтены монолитные на отм. -0,100 и +4,100, в осях 11-17Монтаж каркасов пространственных КР5. Соединение элементов армокаркаса сваркой.</t>
  </si>
  <si>
    <t>P0-80-020 - Пожарное депо с аварийно-спасательным формированиемСтены монолитные на отм. -0,100 и +4,100, в осях 11-17Монтаж каркасов пространственных КР6. Соединение элементов армокаркаса сваркой.</t>
  </si>
  <si>
    <t>P0-80-020 - Пожарное депо с аварийно-спасательным формированиемСтены монолитные на отм. -0,100 и +4,100, в осях 11-17Монтаж каркасов пространственных КР7. Соединение элементов армокаркаса сваркой.</t>
  </si>
  <si>
    <t>P0-80-020 - Пожарное депо с аварийно-спасательным формированиемСтены монолитные на отм. -0,100 и +4,100, в осях 11-17Монтаж каркасов пространственных КР8. Соединение элементов армокаркаса сваркой.</t>
  </si>
  <si>
    <t>P0-80-020 - Пожарное депо с аварийно-спасательным формированиемСтены монолитные на отм. -0,100 и +4,100, в осях 11-17Монтаж закладных деталей (гильзы Г5) весом от 2,1-5,0кг</t>
  </si>
  <si>
    <t xml:space="preserve">P0-80-020 - Пожарное депо с аварийно-спасательным формированиемСтены монолитные на отм. -0,100 и +4,100, в осях 11-17Монтаж закладных деталей (гильзы Г5) на отм. -0,100, в осях 11...14 весом от 2,1-5,0кг </t>
  </si>
  <si>
    <t>P0-80-020 - Пожарное депо с аварийно-спасательным формированиемСтены монолитные на отм. -0,100 и +4,100, в осях 11-17Изготовление закладных деталей (гильзы Г5) весом от 2,1-5,0кг</t>
  </si>
  <si>
    <t>P0-80-020 - Пожарное депо с аварийно-спасательным формированиемСтены монолитные на отм. -0,100 и +4,100, в осях 11-17Монтаж закладных деталей (гильзы Г6) весом от 2,1-5,0кг</t>
  </si>
  <si>
    <t>P0-80-020 - Пожарное депо с аварийно-спасательным формированиемСтены монолитные на отм. -0,100 и +4,100, в осях 11-17Изготовление закладных деталей (гильзы Г6) весом от 2,1-5,0кг</t>
  </si>
  <si>
    <t>P0-80-020 - Пожарное депо с аварийно-спасательным формированиемСтены монолитные на отм. -0,100 и +4,100, в осях 11-17Монтаж закладных деталей (гильзы Г7) весом от 2,1-5,0кг</t>
  </si>
  <si>
    <t>P0-80-020 - Пожарное депо с аварийно-спасательным формированиемСтены монолитные на отм. -0,100 и +4,100, в осях 11-17Монтаж закладных деталей (гильзы Г7) на отм. -0,100, в осях 11...14 весом от 2,1-5,0кг</t>
  </si>
  <si>
    <t>P0-80-020 - Пожарное депо с аварийно-спасательным формированиемСтены монолитные на отм. -0,100 и +4,100, в осях 11-17Изготовление закладных деталей (гильзы Г7) на отм. -0,100, в осях 11...14 весом от 2,1-5,0кг</t>
  </si>
  <si>
    <t>P0-80-020 - Пожарное депо с аварийно-спасательным формированиемСтены монолитные на отм. -0,100 и +4,100, в осях 11-17Сверление отверстия под гильз Г7</t>
  </si>
  <si>
    <t>P0-80-020 - Пожарное депо с аварийно-спасательным формированиемСтены монолитные на отм. -0,100 и +4,100, в осях 11-17Замоноличивание гильз Г7 цементно-песчаным раствором М200</t>
  </si>
  <si>
    <t>P0-80-020 - Пожарное депо с аварийно-спасательным формированиемСтены монолитные на отм. -0,100 и +4,100, в осях 11-17Монтаж закладных деталей (гильзы Г8) весом от 8,1-12,0кг</t>
  </si>
  <si>
    <t>P0-80-020 - Пожарное депо с аварийно-спасательным формированиемСтены монолитные на отм. -0,100 и +4,100, в осях 11-17Изготовление закладных деталей (гильзы Г8) весом от 8,1-12,0кг</t>
  </si>
  <si>
    <t>P0-80-020 - Пожарное депо с аварийно-спасательным формированиемСтены монолитные на отм. -0,100 и +4,100, в осях 11-17Монтаж закладных деталей (гильзы Г9) весом от 2,1-5,0кг</t>
  </si>
  <si>
    <t>P0-80-020 - Пожарное депо с аварийно-спасательным формированиемСтены монолитные на отм. -0,100 и +4,100, в осях 11-17Изготовление закладных деталей (гильзы Г9) весом от 2,1-5,0кг</t>
  </si>
  <si>
    <t>P0-80-020 - Пожарное депо с аварийно-спасательным формированиемСтены монолитные на отм. -0,100 и +4,100, в осях 11-17Монтаж закладных деталей ЗДИ 3 весом 139,72кг/шт</t>
  </si>
  <si>
    <t>P0-80-020 - Пожарное депо с аварийно-спасательным формированиемСтены монолитные на отм. -0,100 и +4,100, в осях 11-17Арматура Ø10 (А500С)</t>
  </si>
  <si>
    <t xml:space="preserve">P0-80-020 - Пожарное депо с аварийно-спасательным формированиемСтены монолитные на отм. -0,100 и +4,100, в осях 11-17Уголок 75х6, C355-5 </t>
  </si>
  <si>
    <t xml:space="preserve">P0-80-020 - Пожарное депо с аварийно-спасательным формированиемСтены монолитные на отм. -0,100 и +4,100, в осях 11-17Лист 4, C355-5 </t>
  </si>
  <si>
    <t>P0-80-020 - Пожарное депо с аварийно-спасательным формированиемСтены монолитные на отм. -0,100 и +4,100, в осях 11-17Монтаж закладных деталей ЗДИ 3 на отм. -0,100, в осях 11...14 весом 139,72кг/шт</t>
  </si>
  <si>
    <t>P0-80-020 - Пожарное депо с аварийно-спасательным формированиемСтены монолитные на отм. -0,100 и +4,100, в осях 11-17Изготовление закладных деталей ЗДИ 3на отм. -0,100, в осях 11...14, весом 139,72кг/шт</t>
  </si>
  <si>
    <t>P0-80-020 - Пожарное депо с аварийно-спасательным формированиемСтены монолитные на отм. -0,100 и +4,100, в осях 11-17Монтаж закладных деталей ЗДИ 4 весом 129,18кг/шт</t>
  </si>
  <si>
    <t>P0-80-020 - Пожарное депо с аварийно-спасательным формированиемСтены монолитные на отм. -0,100 и +4,100, в осях 11-17Монтаж закладных деталей ЗДИ 4на отм. -0,100, в осях 11...14, весом от 2,1-5,0кг</t>
  </si>
  <si>
    <t>P0-80-020 - Пожарное депо с аварийно-спасательным формированиемСтены монолитные на отм. -0,100 и +4,100, в осях 11-17Изготовление закладных деталей ЗДИ 4 на отм. -0,100, в осях 11...14,весом от 2,1-5,0кг</t>
  </si>
  <si>
    <t>P0-80-020 - Пожарное депо с аварийно-спасательным формированиемСтены монолитные на отм. -0,100 и +4,100, в осях 11-17Монтаж закладных деталей ЗДИ 5на отм. -0,100, в осях 11...14, весом 130,52кг/шт</t>
  </si>
  <si>
    <t>P0-80-020 - Пожарное депо с аварийно-спасательным формированиемСтены монолитные на отм. -0,100 и +4,100, в осях 11-17Изготовление закладных деталей ЗДИ 5на отм. -0,100, в осях 11...14, весом 130,52кг/шт</t>
  </si>
  <si>
    <t>P0-80-020 - Пожарное депо с аварийно-спасательным формированиемСтены монолитные на отм. -0,100 и +4,100, в осях 11-17Монтаж закладных деталей ЗДИ 6 весом 129,18кг/шт</t>
  </si>
  <si>
    <t>P0-80-020 - Пожарное депо с аварийно-спасательным формированиемСтены монолитные на отм. -0,100 и +4,100, в осях 11-17Монтаж закладных деталей ЗДИ 6 на отм. -0,100, в осях 11...14,весом 129,18кг/шт</t>
  </si>
  <si>
    <t>P0-80-020 - Пожарное депо с аварийно-спасательным формированиемСтены монолитные на отм. -0,100 и +4,100, в осях 11-17Изготовление закладных деталей ЗДИ 6 на отм. -0,100, в осях 11...14,весом 129,18кг/шт</t>
  </si>
  <si>
    <t>P0-80-020 - Пожарное депо с аварийно-спасательным формированиемСтены монолитные на отм. -0,100 и +4,100, в осях 11-17Монтаж и демонтаж опалубки заводского изготовления стены монолитные на отм. -0,100 и +4,100, в осях 11-17</t>
  </si>
  <si>
    <t xml:space="preserve">P0-80-020 - Пожарное депо с аварийно-спасательным формированиемСтены монолитные на отм. -0,100 и +4,100, в осях 11-17Бетонирование стены монолитные на отм. -0,100 и +4,100, в осях 11-17 из бетона B25 W8 F100 </t>
  </si>
  <si>
    <t>P0-80-020 - Пожарное депо с аварийно-спасательным формированиемСтены монолитные на отм. -0,100 и +4,100, в осях 11-17Монтаж закладных деталей ЗДИ 7 весом 145,22кг/шт</t>
  </si>
  <si>
    <t>P0-80-020 - Пожарное депо с аварийно-спасательным формированиемСтены монолитные на отм. -0,100 и +4,100, в осях 11-17Изготовление закладных деталей ЗДИ 7 весом 145,22кг/шт</t>
  </si>
  <si>
    <t>P0-80-030 - Служебно-бытовой корпусКолонна Км4Армирование  колонн Км4 (7 шт) ГНУТЫМИ стержнями диаметром 14мм и более</t>
  </si>
  <si>
    <t>P0-80-030 - Служебно-бытовой корпусКолонна Км4Армирование  колонн Км4 (7 шт) ГНУТЫМИ стержнями диаметром 14мм и более - ИЗГОТОВЛЕНИЕ</t>
  </si>
  <si>
    <t>P0-80-030 - Служебно-бытовой корпусКолонна Км4Армирование  колонн Км4 (7 шт) ГНУТЫМИ стержнями диаметром 14мм и более - МОНТАЖ</t>
  </si>
  <si>
    <t>P0-80-030 - Служебно-бытовой корпусКолонна Км4Армирование  колонн Км4 (7 шт) ГНУТЫМИ стержнями диаметром до 12мм</t>
  </si>
  <si>
    <t>P0-80-030 - Служебно-бытовой корпусКолонна Км4Армирование  колонн Км4 (7 шт) Прямыми  стержнями диаметром 14мм и более</t>
  </si>
  <si>
    <t>P0-80-030 - Служебно-бытовой корпусКолонна Км4Армирование  колонн Км4 (7 шт) Прямыми  стержнями диаметром 14мм и более - ИЗГОТОВЛЕНИЕ</t>
  </si>
  <si>
    <t>P0-80-030 - Служебно-бытовой корпусКолонна Км4Армирование  колонн Км4 (7 шт) Прямыми  стержнями диаметром 14мм и более - МОНТАЖ</t>
  </si>
  <si>
    <t>P0-80-030 - Служебно-бытовой корпусРигель Рм1Армирование  ригеля Рм1 (1 шт) ГНУТЫМИ стержнями диаметром до 12мм</t>
  </si>
  <si>
    <t>P0-80-030 - Служебно-бытовой корпусРигель Рм1Армирование  ригеля Рм1 (1 шт) ПРЯМЫМИ стержнями диаметром до 12мм</t>
  </si>
  <si>
    <t>P0-80-030 - Служебно-бытовой корпусРигель Рм10Армирование  ригеля Рм10 (1 шт) ГНУТЫМИ стержнями диаметром до 12мм</t>
  </si>
  <si>
    <t>P0-80-030 - Служебно-бытовой корпусРигель Рм10Армирование  ригеля Рм10 (1 шт) ПРЯМЫМИ стержнямидиаметром до 12мм</t>
  </si>
  <si>
    <t>P0-80-030 - Служебно-бытовой корпусКолонна Км1Армирование колонн Км1 (41 шт) ГНУТЫМИ стержнями диаметром 14мм и более</t>
  </si>
  <si>
    <t>P0-80-030 - Служебно-бытовой корпусКолонна Км1Армирование колонн Км1 (41 шт) ГНУТЫМИ стержнями диаметром до 12мм</t>
  </si>
  <si>
    <t>P0-80-030 - Служебно-бытовой корпусКолонна Км2Армирование колонны Км2 (8 шт) ГНУТЫМИ стержнями диаметром 14мм и более</t>
  </si>
  <si>
    <t>P0-80-030 - Служебно-бытовой корпусКолонна Км2Армирование колонны Км2 (8 шт) ГНУТЫМИ стержнями диаметром до 12мм</t>
  </si>
  <si>
    <t>P0-80-030 - Служебно-бытовой корпусКолонна Км3Армирование колонны Км3 (11 шт) ГНУТЫМИ стержнями диаметром 14мм и более</t>
  </si>
  <si>
    <t>P0-80-030 - Служебно-бытовой корпусКолонна Км3Армирование колонны Км3 (11 шт) ГНУТЫМИ стержнями диаметром 14мм и более изготовление</t>
  </si>
  <si>
    <t>P0-80-030 - Служебно-бытовой корпусКолонна Км3Армирование колонны Км3 (11 шт) ГНУТЫМИ стержнями диаметром 14мм и более монтаж</t>
  </si>
  <si>
    <t>P0-80-030 - Служебно-бытовой корпусКолонна Км3Армирование колонны Км3 (11 шт) ГНУТЫМИ стержнями диаметром до 12мм</t>
  </si>
  <si>
    <t xml:space="preserve">P0-80-030 - Служебно-бытовой корпусКолонна Км3Армирование колонны Км3 (11 шт) ГНУТЫМИ стержнями диаметром до 12мм - Монтаж </t>
  </si>
  <si>
    <t>P0-80-030 - Служебно-бытовой корпусКолонна Км3Армирование колонны Км3 (11 шт) Прямыми стержнями диаметром 14мм и более</t>
  </si>
  <si>
    <t>P0-80-030 - Служебно-бытовой корпусКолонна Км3Армирование колонны Км3 (11 шт) Прямыми стержнями диаметром 14мм и более изготовление</t>
  </si>
  <si>
    <t>P0-80-030 - Служебно-бытовой корпусКолонна Км3Армирование колонны Км3 (11 шт) Прямыми стержнями диаметром 14мм и более монтаж</t>
  </si>
  <si>
    <t>P0-80-030 - Служебно-бытовой корпусКолонна Км5Армирование колонны Км5 (8 шт) ГНУТЫМИ стержнями диаметром 14мм и более</t>
  </si>
  <si>
    <t xml:space="preserve">P0-80-030 - Служебно-бытовой корпусКолонна Км5Армирование колонны Км5 (8 шт) ГНУТЫМИ стержнями диаметром 14мм и более-Изготовление </t>
  </si>
  <si>
    <t>P0-80-030 - Служебно-бытовой корпусКолонна Км5Армирование колонны Км5 (8 шт) ГНУТЫМИ стержнями диаметром 14мм и более-Монтаж</t>
  </si>
  <si>
    <t>P0-80-030 - Служебно-бытовой корпусКолонна Км5Армирование колонны Км5 (8 шт) ГНУТЫМИ стержнями диаметром до 12мм</t>
  </si>
  <si>
    <t>P0-80-030 - Служебно-бытовой корпусПлита монолитная Пм2 (1 шт)Армирование плиты  Пм2 (1 шт)  ГНУТЫМИ стержнями диаметром  до 12 мм</t>
  </si>
  <si>
    <t>P0-80-030 - Служебно-бытовой корпусПлита монолитная Пм2 (1 шт)Армирование плиты  Пм2 (1 шт)  ПРЯМЫМИ стержнями диаметром  до 12 мм</t>
  </si>
  <si>
    <t>P0-80-030 - Служебно-бытовой корпусПлита перекрытия Пм1 на отм.+5.320 толщиной 250ммАрмирование плиты перекрытия Пм1 ГНУТЫМИ стержнями диаметром 14мм и более</t>
  </si>
  <si>
    <t>P0-80-030 - Служебно-бытовой корпусПлита перекрытия Пм1 на отм.+5.320 толщиной 250ммАрмирование плиты перекрытия Пм1 ГНУТЫМИ стержнями диаметром до 12мм</t>
  </si>
  <si>
    <t xml:space="preserve">P0-80-030 - Служебно-бытовой корпусПлита перекрытия Пм1 на отм.+5.320 толщиной 250ммАрмирование плиты перекрытия Пм1 ГНУТЫМИ стержнями диаметром до 12мм - Изготовление </t>
  </si>
  <si>
    <t xml:space="preserve">P0-80-030 - Служебно-бытовой корпусПлита перекрытия Пм1 на отм.+5.320 толщиной 250ммАрмирование плиты перекрытия Пм1 ГНУТЫМИ стержнями диаметром до 12мм - Монтаж </t>
  </si>
  <si>
    <t>P0-80-030 - Служебно-бытовой корпусПлита перекрытия Пм1 на отм.+5.320 толщиной 250ммАрмирование плиты перекрытия Пм1 ПРЯМЫМИ стержнями диаметром 14мм и более</t>
  </si>
  <si>
    <t xml:space="preserve">P0-80-030 - Служебно-бытовой корпусПлита перекрытия Пм1 на отм.+5.320 толщиной 250ммАрмирование плиты перекрытия Пм1 ПРЯМЫМИ стержнями диаметром 14мм и более - Изготовление </t>
  </si>
  <si>
    <t>P0-80-030 - Служебно-бытовой корпусПлита перекрытия Пм2 на отм.+5.320 толщиной 250ммАрмирование плиты перекрытия Пм2 ГНУТЫМИ стержнями диаметром 14мм и более</t>
  </si>
  <si>
    <t>P0-80-030 - Служебно-бытовой корпусПлита перекрытия Пм2 на отм.+5.320 толщиной 250ммАрмирование плиты перекрытия Пм2 ГНУТЫМИ стержнями диаметром до 12мм</t>
  </si>
  <si>
    <t>P0-80-030 - Служебно-бытовой корпусПлита перекрытия Пм2 на отм.+5.320 толщиной 250ммАрмирование плиты перекрытия Пм2 ПРЯМЫМИ стержнями диаметром 14мм и более</t>
  </si>
  <si>
    <t>P0-80-030 - Служебно-бытовой корпусПлита перекрытия Пм3 на отм.+5.320 толщиной 250ммАрмирование плиты перекрытия Пм3 ГНУТЫМИ стержнями диаметром 14мм и более</t>
  </si>
  <si>
    <t>P0-80-030 - Служебно-бытовой корпусПлита перекрытия Пм3 на отм.+5.320 толщиной 250ммАрмирование плиты перекрытия Пм3 ГНУТЫМИ стержнями диаметром до 12мм</t>
  </si>
  <si>
    <t>P0-80-030 - Служебно-бытовой корпусПлита перекрытия Пм3 на отм.+5.320 толщиной 250ммАрмирование плиты перекрытия Пм3 ПРЯМЫМИ стержнями диаметром 14мм и более</t>
  </si>
  <si>
    <t>P0-80-030 - Служебно-бытовой корпусПлита перекрытия Пм4 на отм.+10.720  толщиной 300ммАрмирование плиты перекрытия Пм4 ГНУТЫМИ стержнями диаметром 14мм и более</t>
  </si>
  <si>
    <t>P0-80-030 - Служебно-бытовой корпусПлита перекрытия Пм4 на отм.+10.720  толщиной 300ммАрмирование плиты перекрытия Пм4 ГНУТЫМИ стержнями диаметром до 12мм</t>
  </si>
  <si>
    <t>P0-80-030 - Служебно-бытовой корпусПлита перекрытия Пм4 на отм.+10.720  толщиной 300ммАрмирование плиты перекрытия Пм4 ПРЯМЫМИ стержнями диаметром 14мм и более</t>
  </si>
  <si>
    <t>P0-80-030 - Служебно-бытовой корпусПлита перекрытия Пм5 на отм.+10.720 толщиной 300ммАрмирование плиты перекрытия Пм5 ГНУТЫМИ стержнями диаметром 14мм и более</t>
  </si>
  <si>
    <t>P0-80-030 - Служебно-бытовой корпусПлита перекрытия Пм5 на отм.+10.720 толщиной 300ммАрмирование плиты перекрытия Пм5 ГНУТЫМИ стержнями диаметром до 12мм</t>
  </si>
  <si>
    <t>P0-80-030 - Служебно-бытовой корпусПлита перекрытия Пм5 на отм.+10.720 толщиной 300ммАрмирование плиты перекрытия Пм5 ПРЯМЫМИ стержнями диаметром 14мм и более</t>
  </si>
  <si>
    <t>P0-80-030 - Служебно-бытовой корпусПлита перекрытия Пм6 на отм.+10.720 толщиной 300ммАрмирование плиты перекрытия Пм6 ГНУТЫМИ стержнями диаметром 14мм и более</t>
  </si>
  <si>
    <t>P0-80-030 - Служебно-бытовой корпусПлита перекрытия Пм6 на отм.+10.720 толщиной 300ммАрмирование плиты перекрытия Пм6 ГНУТЫМИ стержнями диаметром до 12мм</t>
  </si>
  <si>
    <t>P0-80-030 - Служебно-бытовой корпусПлита перекрытия Пм6 на отм.+10.720 толщиной 300ммАрмирование плиты перекрытия Пм6 ПРЯМЫМИ стержнями диаметром 14мм и более</t>
  </si>
  <si>
    <t>P0-80-030 - Служебно-бытовой корпусЛестница Лм1 в осях  А-Б/13/1-14, А-Б/18-19 (2шт)Армирование площадок и маршей лестницы Лм1 (2 шт) ГНУТЫМИ стержнями диаметром до 12мм</t>
  </si>
  <si>
    <t>P0-80-030 - Служебно-бытовой корпусЛестница Лм1 в осях  А-Б/13/1-14, А-Б/18-19 (2шт)Армирование площадок и маршей лестницы Лм1 (2 шт) ПРЯМЫМИ стержнями диаметром до 12мм</t>
  </si>
  <si>
    <t>P0-80-030 - Служебно-бытовой корпусЛестница Лм2 в осях А-Б/4-5Армирование площадок и маршей лестницы Лм2 ГНУТЫМИ стержнями диаметром до 12мм</t>
  </si>
  <si>
    <t>P0-80-030 - Служебно-бытовой корпусЛестница Лм2 в осях А-Б/4-5Армирование площадок и маршей лестницы Лм2 ПРЯМЫМИ стержнями диаметром до 12мм</t>
  </si>
  <si>
    <t>P0-80-030 - Служебно-бытовой корпусРигель Рм1Армирование ригеля Рм1 (1 шт) ГНУТЫМИ стержнями диаметром 14мм и более</t>
  </si>
  <si>
    <t>P0-80-030 - Служебно-бытовой корпусРигель Рм1Армирование ригеля Рм1 (1 шт) ПРЯМЫМИ стержнями диаметром 14мм и более</t>
  </si>
  <si>
    <t>P0-80-030 - Служебно-бытовой корпусРигель Рм10Армирование ригеля Рм10 (1 шт) ГНУТЫМИ стержнями диаметром 14мм и более</t>
  </si>
  <si>
    <t>P0-80-030 - Служебно-бытовой корпусРигель Рм10Армирование ригеля Рм10 (1 шт) ПРЯМЫМИ стержнями диаметром 14мм и более</t>
  </si>
  <si>
    <t>P0-80-030 - Служебно-бытовой корпусРигель Рм11Армирование ригеля Рм11 ГНУТЫМИ стержнями диаметром 14мм и более</t>
  </si>
  <si>
    <t>P0-80-030 - Служебно-бытовой корпусРигель Рм11Армирование ригеля Рм11 ГНУТЫМИ стержнями диаметром до 12мм</t>
  </si>
  <si>
    <t>P0-80-030 - Служебно-бытовой корпусРигель Рм11Армирование ригеля Рм11 ПРЯМЫМИ стержнями диаметром 14мм и более</t>
  </si>
  <si>
    <t>P0-80-030 - Служебно-бытовой корпусРигель Рм11Армирование ригеля Рм11 ПРЯМЫМИ стержнями диаметром до 12мм</t>
  </si>
  <si>
    <t>P0-80-030 - Служебно-бытовой корпусРигель Рм12Армирование ригеля Рм12 ГНУТЫМИ стержнями диаметром 14мм и более</t>
  </si>
  <si>
    <t>P0-80-030 - Служебно-бытовой корпусРигель Рм12Армирование ригеля Рм12 ГНУТЫМИ стержнями диаметром до 12мм</t>
  </si>
  <si>
    <t>P0-80-030 - Служебно-бытовой корпусРигель Рм12Армирование ригеля Рм12 ПРЯМЫМИ стержнями диаметром 14мм и более</t>
  </si>
  <si>
    <t>P0-80-030 - Служебно-бытовой корпусРигель Рм12Армирование ригеля Рм12 ПРЯМЫМИ стержнями диаметром до 12мм</t>
  </si>
  <si>
    <t>P0-80-030 - Служебно-бытовой корпусРигель Рм13Армирование ригеля Рм13 ГНУТЫМИ стержнями диаметром 14мм и более</t>
  </si>
  <si>
    <t>P0-80-030 - Служебно-бытовой корпусРигель Рм13Армирование ригеля Рм13 ГНУТЫМИ стержнями диаметром до 12мм</t>
  </si>
  <si>
    <t>P0-80-030 - Служебно-бытовой корпусРигель Рм13Армирование ригеля Рм13 ПРЯМЫМИ стержнями диаметром 14мм и более</t>
  </si>
  <si>
    <t>P0-80-030 - Служебно-бытовой корпусРигель Рм13Армирование ригеля Рм13 ПРЯМЫМИ стержнями диаметром до 12мм</t>
  </si>
  <si>
    <t>P0-80-030 - Служебно-бытовой корпусРигель Рм14Армирование ригеля Рм14 ГНУТЫМИ стержнями диаметром 14мм и более</t>
  </si>
  <si>
    <t>P0-80-030 - Служебно-бытовой корпусРигель Рм14Армирование ригеля Рм14 ГНУТЫМИ стержнями диаметром до 12мм</t>
  </si>
  <si>
    <t>P0-80-030 - Служебно-бытовой корпусРигель Рм14Армирование ригеля Рм14 ПРЯМЫМИ стержнями диаметром 14мм и более</t>
  </si>
  <si>
    <t>P0-80-030 - Служебно-бытовой корпусРигель Рм14Армирование ригеля Рм14 ПРЯМЫМИ стержнями диаметром до 12мм</t>
  </si>
  <si>
    <t>P0-80-030 - Служебно-бытовой корпусРигель Рм15Армирование ригеля Рм15 ГНУТЫМИ стержнями диаметром 14мм и более</t>
  </si>
  <si>
    <t>P0-80-030 - Служебно-бытовой корпусРигель Рм15Армирование ригеля Рм15 ГНУТЫМИ стержнями диаметром до 12мм</t>
  </si>
  <si>
    <t>P0-80-030 - Служебно-бытовой корпусРигель Рм15Армирование ригеля Рм15 ПРЯМЫМИ стержнями диаметром 14мм и более</t>
  </si>
  <si>
    <t>P0-80-030 - Служебно-бытовой корпусРигель Рм15Армирование ригеля Рм15 ПРЯМЫМИ стержнями диаметром до 12мм</t>
  </si>
  <si>
    <t>P0-80-030 - Служебно-бытовой корпусРигель Рм16Армирование ригеля Рм16 ГНУТЫМИ стержнями диаметром 14мм и более</t>
  </si>
  <si>
    <t>P0-80-030 - Служебно-бытовой корпусРигель Рм16Армирование ригеля Рм16 ГНУТЫМИ стержнями диаметром до 12мм</t>
  </si>
  <si>
    <t>P0-80-030 - Служебно-бытовой корпусРигель Рм16Армирование ригеля Рм16 ПРЯМЫМИ стержнями диаметром 14мм и более</t>
  </si>
  <si>
    <t>P0-80-030 - Служебно-бытовой корпусРигель Рм16Армирование ригеля Рм16 ПРЯМЫМИ стержнями диаметром до 12мм</t>
  </si>
  <si>
    <t>P0-80-030 - Служебно-бытовой корпусРигель Рм17Армирование ригеля Рм17 ГНУТЫМИ стержнями диаметром 14мм и более</t>
  </si>
  <si>
    <t>P0-80-030 - Служебно-бытовой корпусРигель Рм17Армирование ригеля Рм17 ГНУТЫМИ стержнями диаметром до 12мм</t>
  </si>
  <si>
    <t>P0-80-030 - Служебно-бытовой корпусРигель Рм17Армирование ригеля Рм17 ПРЯМЫМИ стержнями диаметром 14мм и более</t>
  </si>
  <si>
    <t>P0-80-030 - Служебно-бытовой корпусРигель Рм17Армирование ригеля Рм17 ПРЯМЫМИ стержнями диаметром до 12мм</t>
  </si>
  <si>
    <t>P0-80-030 - Служебно-бытовой корпусРигель Рм18Армирование ригеля Рм18 ГНУТЫМИ стержнями диаметром 14мм и более</t>
  </si>
  <si>
    <t>P0-80-030 - Служебно-бытовой корпусРигель Рм18Армирование ригеля Рм18 ГНУТЫМИ стержнями диаметром до 12мм</t>
  </si>
  <si>
    <t>P0-80-030 - Служебно-бытовой корпусРигель Рм18Армирование ригеля Рм18 ПРЯМЫМИ стержнями диаметром 14мм и более</t>
  </si>
  <si>
    <t>P0-80-030 - Служебно-бытовой корпусРигель Рм18Армирование ригеля Рм18 ПРЯМЫМИ стержнями диаметром до 12мм</t>
  </si>
  <si>
    <t>P0-80-030 - Служебно-бытовой корпусРигель Рм19Армирование ригеля Рм19 ГНУТЫМИ стержнями диаметром 14мм и более</t>
  </si>
  <si>
    <t>P0-80-030 - Служебно-бытовой корпусРигель Рм19Армирование ригеля Рм19 ГНУТЫМИ стержнями диаметром до 12мм</t>
  </si>
  <si>
    <t>P0-80-030 - Служебно-бытовой корпусРигель Рм19Армирование ригеля Рм19 ПРЯМЫМИ стержнями диаметром 14мм и более</t>
  </si>
  <si>
    <t>P0-80-030 - Служебно-бытовой корпусРигель Рм19Армирование ригеля Рм19 ПРЯМЫМИ стержнями диаметром до 12мм</t>
  </si>
  <si>
    <t>P0-80-030 - Служебно-бытовой корпусРигель Рм2Армирование ригеля Рм2 ГНУТЫМИ стержнями диаметром 14мм и более</t>
  </si>
  <si>
    <t>P0-80-030 - Служебно-бытовой корпусРигель Рм2Армирование ригеля Рм2 ГНУТЫМИ стержнями диаметром до 12мм</t>
  </si>
  <si>
    <t>P0-80-030 - Служебно-бытовой корпусРигель Рм2Армирование ригеля Рм2 ПРЯМЫМИ стержнями диаметром 14мм и более</t>
  </si>
  <si>
    <t>P0-80-030 - Служебно-бытовой корпусРигель Рм2Армирование ригеля Рм2 ПРЯМЫМИ стержнями диаметром до 12мм</t>
  </si>
  <si>
    <t>P0-80-030 - Служебно-бытовой корпусРигель Рм20Армирование ригеля Рм20 ГНУТЫМИ стержнями диаметром 14мм и более</t>
  </si>
  <si>
    <t>P0-80-030 - Служебно-бытовой корпусРигель Рм20Армирование ригеля Рм20 ГНУТЫМИ стержнями диаметром до 12мм</t>
  </si>
  <si>
    <t>P0-80-030 - Служебно-бытовой корпусРигель Рм20Армирование ригеля Рм20 ПРЯМЫМИ стержнями диаметром 14мм и более</t>
  </si>
  <si>
    <t>P0-80-030 - Служебно-бытовой корпусРигель Рм20Армирование ригеля Рм20 ПРЯМЫМИ стержнями диаметром до 12мм</t>
  </si>
  <si>
    <t>P0-80-030 - Служебно-бытовой корпусРигель Рм21Армирование ригеля Рм21 ГНУТЫМИ стержнями диаметром 14мм и более</t>
  </si>
  <si>
    <t>P0-80-030 - Служебно-бытовой корпусРигель Рм21Армирование ригеля Рм21 ГНУТЫМИ стержнями диаметром до 12мм</t>
  </si>
  <si>
    <t>P0-80-030 - Служебно-бытовой корпусРигель Рм21Армирование ригеля Рм21 ПРЯМЫМИ стержнями диаметром 14мм и более</t>
  </si>
  <si>
    <t>P0-80-030 - Служебно-бытовой корпусРигель Рм21Армирование ригеля Рм21 ПРЯМЫМИ стержнями диаметром до 12мм</t>
  </si>
  <si>
    <t>P0-80-030 - Служебно-бытовой корпусРигель Рм22Армирование ригеля Рм22 ГНУТЫМИ стержнями диаметром 14мм и более</t>
  </si>
  <si>
    <t>P0-80-030 - Служебно-бытовой корпусРигель Рм22Армирование ригеля Рм22 ГНУТЫМИ стержнями диаметром до 12мм</t>
  </si>
  <si>
    <t>P0-80-030 - Служебно-бытовой корпусРигель Рм22Армирование ригеля Рм22 ПРЯМЫМИ стержнями диаметром 14мм и более</t>
  </si>
  <si>
    <t>P0-80-030 - Служебно-бытовой корпусРигель Рм22Армирование ригеля Рм22 ПРЯМЫМИ стержнями диаметром до 12мм</t>
  </si>
  <si>
    <t>P0-80-030 - Служебно-бытовой корпусРигель Рм23Армирование ригеля Рм23 ГНУТЫМИ стержнями диаметром 14мм и более</t>
  </si>
  <si>
    <t>P0-80-030 - Служебно-бытовой корпусРигель Рм23Армирование ригеля Рм23 ГНУТЫМИ стержнями диаметром до 12мм</t>
  </si>
  <si>
    <t>P0-80-030 - Служебно-бытовой корпусРигель Рм23Армирование ригеля Рм23 ПРЯМЫМИ стержнями диаметром 14мм и более</t>
  </si>
  <si>
    <t>P0-80-030 - Служебно-бытовой корпусРигель Рм23Армирование ригеля Рм23 ПРЯМЫМИ стержнями диаметром до 12мм</t>
  </si>
  <si>
    <t>P0-80-030 - Служебно-бытовой корпусРигель Рм24Армирование ригеля Рм24 ГНУТЫМИ стержнями диаметром 14мм и более</t>
  </si>
  <si>
    <t>P0-80-030 - Служебно-бытовой корпусРигель Рм24Армирование ригеля Рм24 ГНУТЫМИ стержнями диаметром до 12мм</t>
  </si>
  <si>
    <t>P0-80-030 - Служебно-бытовой корпусРигель Рм24Армирование ригеля Рм24 ПРЯМЫМИ стержнями диаметром 14мм и более</t>
  </si>
  <si>
    <t>P0-80-030 - Служебно-бытовой корпусРигель Рм24Армирование ригеля Рм24 ПРЯМЫМИ стержнями диаметром до 12мм</t>
  </si>
  <si>
    <t>P0-80-030 - Служебно-бытовой корпусРигель Рм25Армирование ригеля Рм25 ГНУТЫМИ стержнями диаметром 14мм и более</t>
  </si>
  <si>
    <t>P0-80-030 - Служебно-бытовой корпусРигель Рм25Армирование ригеля Рм25 ГНУТЫМИ стержнями диаметром до 12мм</t>
  </si>
  <si>
    <t>P0-80-030 - Служебно-бытовой корпусРигель Рм25Армирование ригеля Рм25 ПРЯМЫМИ стержнями диаметром 14мм и более</t>
  </si>
  <si>
    <t>P0-80-030 - Служебно-бытовой корпусРигель Рм25Армирование ригеля Рм25 ПРЯМЫМИ стержнями диаметром до 12мм</t>
  </si>
  <si>
    <t>P0-80-030 - Служебно-бытовой корпусРигель Рм26Армирование ригеля Рм26 ГНУТЫМИ стержнями диаметром 14мм и более</t>
  </si>
  <si>
    <t>P0-80-030 - Служебно-бытовой корпусРигель Рм26Армирование ригеля Рм26 ГНУТЫМИ стержнями диаметром до 12мм</t>
  </si>
  <si>
    <t>P0-80-030 - Служебно-бытовой корпусРигель Рм26Армирование ригеля Рм26 ПРЯМЫМИ стержнями диаметром 14мм и более</t>
  </si>
  <si>
    <t>P0-80-030 - Служебно-бытовой корпусРигель Рм26Армирование ригеля Рм26 ПРЯМЫМИ стержнями диаметром до 12мм</t>
  </si>
  <si>
    <t>P0-80-030 - Служебно-бытовой корпусРигель Рм27Армирование ригеля Рм27 ГНУТЫМИ стержнями диаметром 14мм и более</t>
  </si>
  <si>
    <t>P0-80-030 - Служебно-бытовой корпусРигель Рм27Армирование ригеля Рм27 ГНУТЫМИ стержнями диаметром до 12мм</t>
  </si>
  <si>
    <t>P0-80-030 - Служебно-бытовой корпусРигель Рм27Армирование ригеля Рм27 ПРЯМЫМИ стержнями диаметром 14мм и более</t>
  </si>
  <si>
    <t>P0-80-030 - Служебно-бытовой корпусРигель Рм27Армирование ригеля Рм27 ПРЯМЫМИ стержнями диаметром до 12мм</t>
  </si>
  <si>
    <t>P0-80-030 - Служебно-бытовой корпусРигель Рм28Армирование ригеля Рм28 ГНУТЫМИ стержнями диаметром 14мм и более</t>
  </si>
  <si>
    <t>P0-80-030 - Служебно-бытовой корпусРигель Рм28Армирование ригеля Рм28 ГНУТЫМИ стержнями диаметром до 12мм</t>
  </si>
  <si>
    <t>P0-80-030 - Служебно-бытовой корпусРигель Рм28Армирование ригеля Рм28 ПРЯМЫМИ стержнями диаметром 14мм и более</t>
  </si>
  <si>
    <t>P0-80-030 - Служебно-бытовой корпусРигель Рм28Армирование ригеля Рм28 ПРЯМЫМИ стержнями диаметром до 12мм</t>
  </si>
  <si>
    <t>P0-80-030 - Служебно-бытовой корпусРигель Рм29Армирование ригеля Рм29 ГНУТЫМИ стержнями диаметром 14мм и более</t>
  </si>
  <si>
    <t>P0-80-030 - Служебно-бытовой корпусРигель Рм29Армирование ригеля Рм29 ГНУТЫМИ стержнями диаметром до 12мм</t>
  </si>
  <si>
    <t>P0-80-030 - Служебно-бытовой корпусРигель Рм29Армирование ригеля Рм29 ПРЯМЫМИ стержнями диаметром 14мм и более</t>
  </si>
  <si>
    <t>P0-80-030 - Служебно-бытовой корпусРигель Рм29Армирование ригеля Рм29 ПРЯМЫМИ стержнями диаметром до 12мм</t>
  </si>
  <si>
    <t>P0-80-030 - Служебно-бытовой корпусРигель Рм3Армирование ригеля Рм3 ГНУТЫМИ стержнями диаметром 14мм и более</t>
  </si>
  <si>
    <t>P0-80-030 - Служебно-бытовой корпусРигель Рм3Армирование ригеля Рм3 ГНУТЫМИ стержнями диаметром до 12мм</t>
  </si>
  <si>
    <t>P0-80-030 - Служебно-бытовой корпусРигель Рм3Армирование ригеля Рм3 ПРЯМЫМИ стержнями диаметром 14мм и более</t>
  </si>
  <si>
    <t>P0-80-030 - Служебно-бытовой корпусРигель Рм3Армирование ригеля Рм3 ПРЯМЫМИ стержнями диаметром до 12мм</t>
  </si>
  <si>
    <t>P0-80-030 - Служебно-бытовой корпусРигель Рм30Армирование ригеля Рм30 ГНУТЫМИ стержнями диаметром 14мм и более</t>
  </si>
  <si>
    <t>P0-80-030 - Служебно-бытовой корпусРигель Рм30Армирование ригеля Рм30 ГНУТЫМИ стержнями диаметром до 12мм</t>
  </si>
  <si>
    <t>P0-80-030 - Служебно-бытовой корпусРигель Рм30Армирование ригеля Рм30 ПРЯМЫМИ стержнями диаметром 14мм и более</t>
  </si>
  <si>
    <t>P0-80-030 - Служебно-бытовой корпусРигель Рм30Армирование ригеля Рм30 ПРЯМЫМИ стержнями диаметром до 12мм</t>
  </si>
  <si>
    <t>P0-80-030 - Служебно-бытовой корпусРигель Рм31Армирование ригеля Рм31 ГНУТЫМИ стержнями диаметром 14мм и более</t>
  </si>
  <si>
    <t>P0-80-030 - Служебно-бытовой корпусРигель Рм31Армирование ригеля Рм31 ГНУТЫМИ стержнями диаметром до 12мм</t>
  </si>
  <si>
    <t>P0-80-030 - Служебно-бытовой корпусРигель Рм31Армирование ригеля Рм31 ПРЯМЫМИ стержнями диаметром 14мм и более</t>
  </si>
  <si>
    <t>P0-80-030 - Служебно-бытовой корпусРигель Рм31Армирование ригеля Рм31 ПРЯМЫМИ стержнями диаметром до 12мм</t>
  </si>
  <si>
    <t>P0-80-030 - Служебно-бытовой корпусРигель Рм32Армирование ригеля Рм32 ГНУТЫМИ стержнями диаметром 14мм и более</t>
  </si>
  <si>
    <t>P0-80-030 - Служебно-бытовой корпусРигель Рм32Армирование ригеля Рм32 ГНУТЫМИ стержнями диаметром до 12мм</t>
  </si>
  <si>
    <t>P0-80-030 - Служебно-бытовой корпусРигель Рм32Армирование ригеля Рм32 ПРЯМЫМИ стержнями диаметром 14мм и более</t>
  </si>
  <si>
    <t>P0-80-030 - Служебно-бытовой корпусРигель Рм32Армирование ригеля Рм32 ПРЯМЫМИ стержнями диаметром до 12мм</t>
  </si>
  <si>
    <t>P0-80-030 - Служебно-бытовой корпусРигель Рм33Армирование ригеля Рм33 ГНУТЫМИ стержнями диаметром 14мм и более</t>
  </si>
  <si>
    <t>P0-80-030 - Служебно-бытовой корпусРигель Рм33Армирование ригеля Рм33 ГНУТЫМИ стержнями диаметром до 12мм</t>
  </si>
  <si>
    <t>P0-80-030 - Служебно-бытовой корпусРигель Рм33Армирование ригеля Рм33 ПРЯМЫМИ стержнями диаметром 14мм и более</t>
  </si>
  <si>
    <t>P0-80-030 - Служебно-бытовой корпусРигель Рм33Армирование ригеля Рм33 ПРЯМЫМИ стержнями диаметром до 12мм</t>
  </si>
  <si>
    <t>P0-80-030 - Служебно-бытовой корпусРигель Рм34Армирование ригеля Рм34 ГНУТЫМИ стержнями диаметром 14мм и более</t>
  </si>
  <si>
    <t>P0-80-030 - Служебно-бытовой корпусРигель Рм34Армирование ригеля Рм34 ГНУТЫМИ стержнями диаметром до 12мм</t>
  </si>
  <si>
    <t>P0-80-030 - Служебно-бытовой корпусРигель Рм34Армирование ригеля Рм34 ПРЯМЫМИ стержнями диаметром 14мм и более</t>
  </si>
  <si>
    <t>P0-80-030 - Служебно-бытовой корпусРигель Рм34Армирование ригеля Рм34 ПРЯМЫМИ стержнями диаметром до 12мм</t>
  </si>
  <si>
    <t>P0-80-030 - Служебно-бытовой корпусРигель Рм4Армирование ригеля Рм4 ГНУТЫМИ стержнями диаметром 14мм и более</t>
  </si>
  <si>
    <t>P0-80-030 - Служебно-бытовой корпусРигель Рм4Армирование ригеля Рм4 ГНУТЫМИ стержнями диаметром до 12мм</t>
  </si>
  <si>
    <t>P0-80-030 - Служебно-бытовой корпусРигель Рм4Армирование ригеля Рм4 ПРЯМЫМИ стержнями диаметром 14мм и более</t>
  </si>
  <si>
    <t>P0-80-030 - Служебно-бытовой корпусРигель Рм4Армирование ригеля Рм4 ПРЯМЫМИ стержнями диаметром до 12мм</t>
  </si>
  <si>
    <t>P0-80-030 - Служебно-бытовой корпусРигель Рм5Армирование ригеля Рм5 ГНУТЫМИ стержнями диаметром 14мм и более</t>
  </si>
  <si>
    <t>P0-80-030 - Служебно-бытовой корпусРигель Рм5Армирование ригеля Рм5 ГНУТЫМИ стержнями диаметром до 12мм</t>
  </si>
  <si>
    <t>P0-80-030 - Служебно-бытовой корпусРигель Рм5Армирование ригеля Рм5 ПРЯМЫМИ стержнями диаметром 14мм и более</t>
  </si>
  <si>
    <t>P0-80-030 - Служебно-бытовой корпусРигель Рм5Армирование ригеля Рм5 ПРЯМЫМИ стержнями диаметром до 12мм</t>
  </si>
  <si>
    <t>P0-80-030 - Служебно-бытовой корпусРигель Рм6Армирование ригеля Рм6 ГНУТЫМИ стержнями диаметром 14мм и более</t>
  </si>
  <si>
    <t>P0-80-030 - Служебно-бытовой корпусРигель Рм6Армирование ригеля Рм6 ГНУТЫМИ стержнями диаметром до 12мм</t>
  </si>
  <si>
    <t>P0-80-030 - Служебно-бытовой корпусРигель Рм6Армирование ригеля Рм6 ПРЯМЫМИ стержнями диаметром 14мм и более</t>
  </si>
  <si>
    <t>P0-80-030 - Служебно-бытовой корпусРигель Рм6Армирование ригеля Рм6 ПРЯМЫМИ стержнями диаметром до 12мм</t>
  </si>
  <si>
    <t>P0-80-030 - Служебно-бытовой корпусРигель Рм7Армирование ригеля Рм7 ГНУТЫМИ стержнями диаметром 14мм и более</t>
  </si>
  <si>
    <t>P0-80-030 - Служебно-бытовой корпусРигель Рм7Армирование ригеля Рм7 ГНУТЫМИ стержнями диаметром до 12мм</t>
  </si>
  <si>
    <t>P0-80-030 - Служебно-бытовой корпусРигель Рм7Армирование ригеля Рм7 ПРЯМЫМИ стержнями диаметром 14мм и более</t>
  </si>
  <si>
    <t>P0-80-030 - Служебно-бытовой корпусРигель Рм7Армирование ригеля Рм7 ПРЯМЫМИ стержнями диаметром до 12мм</t>
  </si>
  <si>
    <t>P0-80-030 - Служебно-бытовой корпусРигель Рм8Армирование ригеля Рм8 ГНУТЫМИ стержнями диаметром 14мм и более</t>
  </si>
  <si>
    <t>P0-80-030 - Служебно-бытовой корпусРигель Рм8Армирование ригеля Рм8 ГНУТЫМИ стержнями диаметром до 12мм</t>
  </si>
  <si>
    <t>P0-80-030 - Служебно-бытовой корпусРигель Рм8Армирование ригеля Рм8 ПРЯМЫМИ стержнями диаметром 14мм и более</t>
  </si>
  <si>
    <t>P0-80-030 - Служебно-бытовой корпусРигель Рм8Армирование ригеля Рм8 ПРЯМЫМИ стержнями диаметром до 12мм</t>
  </si>
  <si>
    <t>P0-80-030 - Служебно-бытовой корпусРигель Рм9Армирование ригеля Рм9 ГНУТЫМИ стержнями диаметром 14мм и более</t>
  </si>
  <si>
    <t>P0-80-030 - Служебно-бытовой корпусРигель Рм9Армирование ригеля Рм9 ГНУТЫМИ стержнями диаметром до 12мм</t>
  </si>
  <si>
    <t>P0-80-030 - Служебно-бытовой корпусРигель Рм9Армирование ригеля Рм9 ПРЯМЫМИ стержнями диаметром 14мм и более</t>
  </si>
  <si>
    <t>P0-80-030 - Служебно-бытовой корпусРигель Рм9Армирование ригеля Рм9 ПРЯМЫМИ стержнями диаметром до 12мм</t>
  </si>
  <si>
    <t>P0-80-030 - Служебно-бытовой корпусСтены в осях 13/1-19Армирование стен в осях 13/1-19 ГНУТЫМИ стержнями диаметром диаметром до 12мм</t>
  </si>
  <si>
    <t>P0-80-030 - Служебно-бытовой корпусСтены в осях 13/1-19Армирование стен в осях 13/1-19 ПРЯМЫМИ стержнями диаметром 14мм и более</t>
  </si>
  <si>
    <t>P0-80-030 - Служебно-бытовой корпусСтены в осях 13/1-19Армирование стен в осях 13/1-19 ПРЯМЫМИ стержнями диаметром диаметром до 12мм</t>
  </si>
  <si>
    <t>P0-80-030 - Служебно-бытовой корпусСтены в осях 1-7Армирование стен в осях 1-7 ГНУТЫМИ стержнями диаметром 14мм и более</t>
  </si>
  <si>
    <t>P0-80-030 - Служебно-бытовой корпусСтены в осях 13/1-19Армирование стен в осях 1-7 ГНУТЫМИ стержнями диаметром 14мм и более</t>
  </si>
  <si>
    <t>P0-80-030 - Служебно-бытовой корпусСтены в осях 1-7Армирование стен в осях 1-7 ГНУТЫМИ стержнями диаметром диаметром до 12мм</t>
  </si>
  <si>
    <t>P0-80-030 - Служебно-бытовой корпусСтены в осях 1-7Армирование стен в осях 1-7 ПРЯМЫМИ стержнями диаметром 14мм и более</t>
  </si>
  <si>
    <t>P0-80-030 - Служебно-бытовой корпусСтены в осях 1-7Армирование стен в осях 1-7 ПРЯМЫМИ стержнями диаметром диаметром до 12мм</t>
  </si>
  <si>
    <t>P0-80-030 - Служебно-бытовой корпусСтены в осях 7/1-13Армирование стен в осях 7/1-13 ГНУТЫМИ стержнями диаметром 14мм и более</t>
  </si>
  <si>
    <t xml:space="preserve">P0-80-030 - Служебно-бытовой корпусСтены в осях 7/1-13Армирование стен в осях 7/1-13 ГНУТЫМИ стержнями диаметром 14мм и более-Изготовление </t>
  </si>
  <si>
    <t>P0-80-030 - Служебно-бытовой корпусСтены в осях 7/1-13Армирование стен в осях 7/1-13 ГНУТЫМИ стержнями диаметром диаметром до 12мм</t>
  </si>
  <si>
    <t>P0-80-030 - Служебно-бытовой корпусСтены в осях 7/1-13Армирование стен в осях 7/1-13 ПРЯМЫМИ стержнями диаметром 14мм и более</t>
  </si>
  <si>
    <t xml:space="preserve">P0-80-030 - Служебно-бытовой корпусСтены в осях 7/1-13Армирование стен в осях 7/1-13 ПРЯМЫМИ стержнями диаметром 14мм и более Изготовление </t>
  </si>
  <si>
    <t xml:space="preserve">P0-80-030 - Служебно-бытовой корпусСтены в осях 7/1-13Армирование стен в осях 7/1-13 ПРЯМЫМИ стержнями диаметром 14мм и более Монтаж </t>
  </si>
  <si>
    <t>P0-80-030 - Служебно-бытовой корпусСтены в осях 7/1-13Армирование стен в осях 7/1-13 ПРЯМЫМИ стержнями диаметром диаметром до 12мм</t>
  </si>
  <si>
    <t>P0-80-030 - Служебно-бытовой корпусПлита перекрытия Пм4 на отм.+10.720  толщиной 300ммАрмирование стоек парапета Ст1 на плите перекрытия Пм4 ГНУТЫМИ стержнями диаметром до 12мм</t>
  </si>
  <si>
    <t>P0-80-030 - Служебно-бытовой корпусПлита перекрытия Пм5 на отм.+10.720 толщиной 300ммАрмирование стоек парапета Ст1 на плите перекрытия Пм5 ГНУТЫМИ стержнями диаметром до 12мм</t>
  </si>
  <si>
    <t>P0-80-030 - Служебно-бытовой корпусПлита перекрытия Пм6 на отм.+10.720 толщиной 300ммАрмирование стоек парапета Ст1 на плите перекрытия Пм6 ГНУТЫМИ стержнями диаметром до 12мм</t>
  </si>
  <si>
    <t>P0-80-030 - Служебно-бытовой корпусРостверк РСм1 (1 шт)Армирование фундамента РСм1 (1 шт)  ГНУТЫМИ стержнями диаметром  до 12 мм</t>
  </si>
  <si>
    <t>P0-80-030 - Служебно-бытовой корпусРостверк РСм1 (1 шт)Армирование фундамента РСм1 (1 шт)  ПРЯМЫМИ стержнями диаметром   14 мм и более</t>
  </si>
  <si>
    <t>P0-80-030 - Служебно-бытовой корпусРостверк РСм1 (1 шт)Армирование фундамента РСм1 (1 шт)  ПРЯМЫМИ стержнями диаметром  до 12 мм</t>
  </si>
  <si>
    <t>P0-80-030 - Служебно-бытовой корпусРостверк РСм1 (1 шт)Армирование фундамента РСм1 (1 шт)  ПРЯМЫМИ стержнями диаметром 14 мм и более</t>
  </si>
  <si>
    <t>P0-80-030 - Служебно-бытовой корпусРостверк РСм1 (1 шт)Армирование фундамента РСм1 (1 шт) ГНУТЫМИ сварными стержнями диаметром 14 мм и более</t>
  </si>
  <si>
    <t>P0-80-030 - Служебно-бытовой корпусРостверк РСм1 (1 шт)Армирование фундамента РСм1 (1 шт) ГНУТЫМИ стержнями диаметром 14 мм и более</t>
  </si>
  <si>
    <t>P0-80-030 - Служебно-бытовой корпусРостверк РСм2 (1 шт)Армирование фундамента РСм2 (1 шт)  ГНУТЫМИ стержнями диаметром  до 12 мм</t>
  </si>
  <si>
    <t>P0-80-030 - Служебно-бытовой корпусРостверк РСм2 (1 шт)Армирование фундамента РСм2 (1 шт)  ПРЯМЫМИ стержнями диаметром  до 12 мм</t>
  </si>
  <si>
    <t>P0-80-030 - Служебно-бытовой корпусРостверк РСм2 (1 шт)Армирование фундамента РСм2 (1 шт)  ПРЯМЫМИ стержнями диаметром 14 мм и более</t>
  </si>
  <si>
    <t>P0-80-030 - Служебно-бытовой корпусРостверк РСм2 (1 шт)Армирование фундамента РСм2 (1 шт) ГНУТЫМИ стержнями диаметром 14 мм и более</t>
  </si>
  <si>
    <t>P0-80-030 - Служебно-бытовой корпусРостверк РСм3 (1 шт)Армирование фундамента РСм3 (1 шт)  ГНУТЫМИ стержнями диаметром  до 12 мм</t>
  </si>
  <si>
    <t>P0-80-030 - Служебно-бытовой корпусРостверк РСм3 (1 шт)Армирование фундамента РСм3 (1 шт)  ПРЯМЫМИ стержнями диаметром  до 12 мм</t>
  </si>
  <si>
    <t>P0-80-030 - Служебно-бытовой корпусРостверк РСм3 (1 шт)Армирование фундамента РСм3 (1 шт)  ПРЯМЫМИ стержнями диаметром 14 мм и более</t>
  </si>
  <si>
    <t>P0-80-030 - Служебно-бытовой корпусРостверк РСм3 (1 шт)Армирование фундамента РСм3 (1 шт) ГНУТЫМИ стержнями диаметром 14 мм и более</t>
  </si>
  <si>
    <t>P0-80-030 - Служебно-бытовой корпусКолонна Км1Бетонирование колонн Км1</t>
  </si>
  <si>
    <t>P0-80-030 - Служебно-бытовой корпусКолонна Км2Бетонирование колонн Км2</t>
  </si>
  <si>
    <t>P0-80-030 - Служебно-бытовой корпусКолонна Км3Бетонирование колонн Км3</t>
  </si>
  <si>
    <t>P0-80-030 - Служебно-бытовой корпусКолонна Км4Бетонирование колонн Км4</t>
  </si>
  <si>
    <t>P0-80-030 - Служебно-бытовой корпусКолонна Км5Бетонирование колонн Км5</t>
  </si>
  <si>
    <t>P0-80-030 - Служебно-бытовой корпусПлита перекрытия Пм1 на отм.+5.320 толщиной 250ммБетонирование плиты перекрытия Пм1</t>
  </si>
  <si>
    <t>P0-80-030 - Служебно-бытовой корпусПлита перекрытия Пм2 на отм.+5.320 толщиной 250ммБетонирование плиты перекрытия Пм2</t>
  </si>
  <si>
    <t>P0-80-030 - Служебно-бытовой корпусПлита перекрытия Пм3 на отм.+5.320 толщиной 250ммБетонирование плиты перекрытия Пм3</t>
  </si>
  <si>
    <t>P0-80-030 - Служебно-бытовой корпусПлита перекрытия Пм4 на отм.+10.720  толщиной 300ммБетонирование плиты перекрытия Пм4</t>
  </si>
  <si>
    <t>P0-80-030 - Служебно-бытовой корпусПлита перекрытия Пм5 на отм.+10.720 толщиной 300ммБетонирование плиты перекрытия Пм5</t>
  </si>
  <si>
    <t>P0-80-030 - Служебно-бытовой корпусПлита перекрытия Пм6 на отм.+10.720 толщиной 300ммБетонирование плиты перекрытия Пм6</t>
  </si>
  <si>
    <t>P0-80-030 - Служебно-бытовой корпусПлита монолитная Пм1 (1 шт)Бетонирование плиты Пм1 (1 шт) толщиной 150мм</t>
  </si>
  <si>
    <t>P0-80-030 - Служебно-бытовой корпусПлита монолитная Пм2 (1 шт)Бетонирование плиты Пм2 (1 шт) толщиной 200-400мм</t>
  </si>
  <si>
    <t>P0-80-030 - Служебно-бытовой корпусПлита монолитная Пм3 (4 шт)Бетонирование плиты Пм3 (4 шт) толщиной 150мм</t>
  </si>
  <si>
    <t>P0-80-030 - Служебно-бытовой корпусПлита монолитная Пм4 (1 шт)Бетонирование плиты Пм4 (1 шт) толщиной 150мм</t>
  </si>
  <si>
    <t>P0-80-030 - Служебно-бытовой корпусЛестница Лм1 в осях  А-Б/13/1-14, А-Б/18-19 (2шт)Бетонирование площадок и маршей лестницы Лм1 (2 шт)</t>
  </si>
  <si>
    <t>P0-80-030 - Служебно-бытовой корпусЛестница Лм2 в осях А-Б/4-5Бетонирование площадок и маршей лестницы Лм2</t>
  </si>
  <si>
    <t>P0-80-030 - Служебно-бытовой корпусРигель Рм3Бетонирование ригеля h=600мм РЗ (1 шт)</t>
  </si>
  <si>
    <t>P0-80-030 - Служебно-бытовой корпусРигель Рм1Бетонирование ригеля h=600мм Рм1 (1 шт)</t>
  </si>
  <si>
    <t>P0-80-030 - Служебно-бытовой корпусРигель Рм2Бетонирование ригеля h=600мм Рм2 (1 шт)</t>
  </si>
  <si>
    <t>P0-80-030 - Служебно-бытовой корпусРигель Рм20Бетонирование ригеля h=600мм Рм20 (1 шт)</t>
  </si>
  <si>
    <t>P0-80-030 - Служебно-бытовой корпусРигель Рм21Бетонирование ригеля h=600мм Рм21 (1 шт)</t>
  </si>
  <si>
    <t>P0-80-030 - Служебно-бытовой корпусРигель Рм22Бетонирование ригеля h=600мм Рм22 (1 шт)</t>
  </si>
  <si>
    <t>P0-80-030 - Служебно-бытовой корпусРигель Рм23Бетонирование ригеля h=600мм Рм23 (1 шт)</t>
  </si>
  <si>
    <t>P0-80-030 - Служебно-бытовой корпусРигель Рм24Бетонирование ригеля h=600мм Рм24 (3 шт)</t>
  </si>
  <si>
    <t>P0-80-030 - Служебно-бытовой корпусРигель Рм25Бетонирование ригеля h=600мм Рм25 (2 шт)</t>
  </si>
  <si>
    <t>P0-80-030 - Служебно-бытовой корпусРигель Рм26Бетонирование ригеля h=600мм Рм26 (1 шт)</t>
  </si>
  <si>
    <t>P0-80-030 - Служебно-бытовой корпусРигель Рм4Бетонирование ригеля h=600мм Рм4 (1 шт)</t>
  </si>
  <si>
    <t>P0-80-030 - Служебно-бытовой корпусРигель Рм5Бетонирование ригеля h=600мм Рм5 (1 шт)</t>
  </si>
  <si>
    <t>P0-80-030 - Служебно-бытовой корпусРигель Рм6Бетонирование ригеля h=600мм Рм6 (1 шт)</t>
  </si>
  <si>
    <t>P0-80-030 - Служебно-бытовой корпусРигель Рм7Бетонирование ригеля h=600мм Рм7 (2 шт)</t>
  </si>
  <si>
    <t>P0-80-030 - Служебно-бытовой корпусРигель Рм8Бетонирование ригеля h=600мм Рм8 (2 шт)</t>
  </si>
  <si>
    <t>P0-80-030 - Служебно-бытовой корпусРигель Рм9Бетонирование ригеля h=600мм Рм9 (1 шт)</t>
  </si>
  <si>
    <t>P0-80-030 - Служебно-бытовой корпусРигель Рм33Бетонирование ригеля h=700мм РЗЗ (3 шт)</t>
  </si>
  <si>
    <t>P0-80-030 - Служебно-бытовой корпусРигель Рм10Бетонирование ригеля h=700мм Рм10  (1 шт)</t>
  </si>
  <si>
    <t>P0-80-030 - Служебно-бытовой корпусРигель Рм11Бетонирование ригеля h=700мм Рм11 (1 шт)</t>
  </si>
  <si>
    <t>P0-80-030 - Служебно-бытовой корпусРигель Рм12Бетонирование ригеля h=700мм Рм12 (2 шт)</t>
  </si>
  <si>
    <t>P0-80-030 - Служебно-бытовой корпусРигель Рм13Бетонирование ригеля h=700мм Рм13 (2 шт)</t>
  </si>
  <si>
    <t>P0-80-030 - Служебно-бытовой корпусРигель Рм14Бетонирование ригеля h=700мм Рм14 (1 шт)</t>
  </si>
  <si>
    <t>P0-80-030 - Служебно-бытовой корпусРигель Рм15Бетонирование ригеля h=700мм Рм15 (2 шт)</t>
  </si>
  <si>
    <t>P0-80-030 - Служебно-бытовой корпусРигель Рм16Бетонирование ригеля h=700мм Рм16 (1 шт)</t>
  </si>
  <si>
    <t>P0-80-030 - Служебно-бытовой корпусРигель Рм17Бетонирование ригеля h=700мм Рм17 (1 шт)</t>
  </si>
  <si>
    <t>P0-80-030 - Служебно-бытовой корпусРигель Рм18Бетонирование ригеля h=700мм Рм18 (2 шт)</t>
  </si>
  <si>
    <t>P0-80-030 - Служебно-бытовой корпусРигель Рм19Бетонирование ригеля h=700мм Рм19 (1 шт)</t>
  </si>
  <si>
    <t>P0-80-030 - Служебно-бытовой корпусРигель Рм27Бетонирование ригеля h=700мм Рм27 (1 шт)</t>
  </si>
  <si>
    <t>P0-80-030 - Служебно-бытовой корпусРигель Рм28Бетонирование ригеля h=700мм Рм28 (2 шт)</t>
  </si>
  <si>
    <t>P0-80-030 - Служебно-бытовой корпусРигель Рм29Бетонирование ригеля h=700мм Рм29 (2 шт)</t>
  </si>
  <si>
    <t>P0-80-030 - Служебно-бытовой корпусРигель Рм30Бетонирование ригеля h=700мм Рм30 (2 шт)</t>
  </si>
  <si>
    <t>P0-80-030 - Служебно-бытовой корпусРигель Рм31Бетонирование ригеля h=700мм Рм31 (1 шт)</t>
  </si>
  <si>
    <t>P0-80-030 - Служебно-бытовой корпусРигель Рм32Бетонирование ригеля h=700мм Рм32 (3 шт)</t>
  </si>
  <si>
    <t>P0-80-030 - Служебно-бытовой корпусРигель Рм34Бетонирование ригеля h=700мм Рм34 (1 шт)</t>
  </si>
  <si>
    <t>P0-80-030 - Служебно-бытовой корпусСтена См1Бетонирование стены См1</t>
  </si>
  <si>
    <t>P0-80-030 - Служебно-бытовой корпусСтена См10Бетонирование стены См10</t>
  </si>
  <si>
    <t>P0-80-030 - Служебно-бытовой корпусСтена См11Бетонирование стены См11</t>
  </si>
  <si>
    <t>P0-80-030 - Служебно-бытовой корпусСтена См12Бетонирование стены См12</t>
  </si>
  <si>
    <t>P0-80-030 - Служебно-бытовой корпусСтена См13Бетонирование стены См13</t>
  </si>
  <si>
    <t>P0-80-030 - Служебно-бытовой корпусСтена См13Бетонирование стены См14</t>
  </si>
  <si>
    <t>P0-80-030 - Служебно-бытовой корпусСтена См13Бетонирование стены См15</t>
  </si>
  <si>
    <t>P0-80-030 - Служебно-бытовой корпусСтена См16Бетонирование стены См16</t>
  </si>
  <si>
    <t>P0-80-030 - Служебно-бытовой корпусСтена См16Бетонирование стены См17</t>
  </si>
  <si>
    <t>P0-80-030 - Служебно-бытовой корпусСтена См18Бетонирование стены См18</t>
  </si>
  <si>
    <t>P0-80-030 - Служебно-бытовой корпусСтена См19Бетонирование стены См19</t>
  </si>
  <si>
    <t>P0-80-030 - Служебно-бытовой корпусСтена См1Бетонирование стены См2</t>
  </si>
  <si>
    <t>P0-80-030 - Служебно-бытовой корпусСтена См20Бетонирование стены См20</t>
  </si>
  <si>
    <t>P0-80-030 - Служебно-бытовой корпусСтена См21Бетонирование стены См21</t>
  </si>
  <si>
    <t>P0-80-030 - Служебно-бытовой корпусСтена См22Бетонирование стены См22</t>
  </si>
  <si>
    <t>P0-80-030 - Служебно-бытовой корпусСтена См23Бетонирование стены См23</t>
  </si>
  <si>
    <t>P0-80-030 - Служебно-бытовой корпусСтена См24Бетонирование стены См24</t>
  </si>
  <si>
    <t>P0-80-030 - Служебно-бытовой корпусСтена См25Бетонирование стены См25</t>
  </si>
  <si>
    <t>P0-80-030 - Служебно-бытовой корпусСтена См26Бетонирование стены См26</t>
  </si>
  <si>
    <t>P0-80-030 - Служебно-бытовой корпусСтена См27Бетонирование стены См27</t>
  </si>
  <si>
    <t>P0-80-030 - Служебно-бытовой корпусСтена См28Бетонирование стены См28</t>
  </si>
  <si>
    <t>P0-80-030 - Служебно-бытовой корпусСтена См29Бетонирование стены См29</t>
  </si>
  <si>
    <t>P0-80-030 - Служебно-бытовой корпусСтена См3Бетонирование стены См3</t>
  </si>
  <si>
    <t>P0-80-030 - Служебно-бытовой корпусСтена См30Бетонирование стены См30</t>
  </si>
  <si>
    <t>P0-80-030 - Служебно-бытовой корпусСтена См31Бетонирование стены См31</t>
  </si>
  <si>
    <t>P0-80-030 - Служебно-бытовой корпусСтена См32Бетонирование стены См32</t>
  </si>
  <si>
    <t>P0-80-030 - Служебно-бытовой корпусСтена См33Бетонирование стены См33</t>
  </si>
  <si>
    <t>P0-80-030 - Служебно-бытовой корпусСтена См34Бетонирование стены См34</t>
  </si>
  <si>
    <t>P0-80-030 - Служебно-бытовой корпусСтена См35Бетонирование стены См35</t>
  </si>
  <si>
    <t>P0-80-030 - Служебно-бытовой корпусСтена См36Бетонирование стены См36</t>
  </si>
  <si>
    <t>P0-80-030 - Служебно-бытовой корпусСтена См37Бетонирование стены См37</t>
  </si>
  <si>
    <t>P0-80-030 - Служебно-бытовой корпусСтена См38Бетонирование стены См38</t>
  </si>
  <si>
    <t>P0-80-030 - Служебно-бытовой корпусСтена См39Бетонирование стены См39</t>
  </si>
  <si>
    <t>P0-80-030 - Служебно-бытовой корпусСтена См4Бетонирование стены См4</t>
  </si>
  <si>
    <t>P0-80-030 - Служебно-бытовой корпусСтена См40Бетонирование стены См40</t>
  </si>
  <si>
    <t>P0-80-030 - Служебно-бытовой корпусСтена См41Бетонирование стены См41</t>
  </si>
  <si>
    <t>P0-80-030 - Служебно-бытовой корпусСтена См42Бетонирование стены См42</t>
  </si>
  <si>
    <t>P0-80-030 - Служебно-бытовой корпусСтена См43Бетонирование стены См43</t>
  </si>
  <si>
    <t>P0-80-030 - Служебно-бытовой корпусСтена См1Бетонирование стены См5</t>
  </si>
  <si>
    <t>P0-80-030 - Служебно-бытовой корпусСтена См6Бетонирование стены См6</t>
  </si>
  <si>
    <t>P0-80-030 - Служебно-бытовой корпусСтена См7Бетонирование стены См7</t>
  </si>
  <si>
    <t>P0-80-030 - Служебно-бытовой корпусСтена См8Бетонирование стены См8</t>
  </si>
  <si>
    <t>P0-80-030 - Служебно-бытовой корпусСтена См1Бетонирование стены См9</t>
  </si>
  <si>
    <t>P0-80-030 - Служебно-бытовой корпусПлита перекрытия Пм4 на отм.+10.720  толщиной 300ммБетонирование стоек парапета Ст1 на плите перекрытия Пм4</t>
  </si>
  <si>
    <t>P0-80-030 - Служебно-бытовой корпусПлита перекрытия Пм5 на отм.+10.720 толщиной 300ммБетонирование стоек парапета Ст1 на плите перекрытия Пм5</t>
  </si>
  <si>
    <t>P0-80-030 - Служебно-бытовой корпусПлита перекрытия Пм6 на отм.+10.720 толщиной 300ммБетонирование стоек парапета Ст1 на плите перекрытия Пм6</t>
  </si>
  <si>
    <t xml:space="preserve">P0-80-030 - Служебно-бытовой корпусРостверк РСм1 (1 шт)Бетонирование фундамента РСм1 (1 шт) </t>
  </si>
  <si>
    <t xml:space="preserve">P0-80-030 - Служебно-бытовой корпусРостверк РСм2 (1 шт)Бетонирование фундамента РСм2 (1 шт) </t>
  </si>
  <si>
    <t xml:space="preserve">P0-80-030 - Служебно-бытовой корпусРостверк РСм3 (1 шт)Бетонирование фундамента РСм3 (1 шт) </t>
  </si>
  <si>
    <t>P0-80-030 - Служебно-бытовой корпусПлита перекрытия Пм1 на отм.+5.320 толщиной 250ммЗаделка цементно-песчаным раствором закладных деталей гильз плит перекрытия после бетонирования в просверленных отверстиях</t>
  </si>
  <si>
    <t>P0-80-030 - Служебно-бытовой корпусПлита перекрытия Пм2 на отм.+5.320 толщиной 250ммЗаделка цементно-песчаным раствором закладных деталей гильз плит перекрытия после бетонирования в просверленных отверстиях</t>
  </si>
  <si>
    <t>P0-80-030 - Служебно-бытовой корпусПлита перекрытия Пм3 на отм.+5.320 толщиной 250ммЗаделка цементно-песчаным раствором закладных деталей гильз плит перекрытия после бетонирования в просверленных отверстиях</t>
  </si>
  <si>
    <t>P0-80-030 - Служебно-бытовой корпусСтены в осях 1-7Заделка цементно-песчаным раствором закладных деталей гильз стен после бетонирования в просверленных отверстиях</t>
  </si>
  <si>
    <t>P0-80-030 - Служебно-бытовой корпусСтены в осях 7/1-13Заделка цементно-песчаным раствором закладных деталей гильз стен после бетонирования в просверленных отверстиях</t>
  </si>
  <si>
    <t>P0-80-030 - Служебно-бытовой корпусСтены в осях 13/1-19Заделка цементно-песчаным раствором закладных деталей гильз стен после бетонирования в просверленных отверстиях</t>
  </si>
  <si>
    <t>P0-80-030 - Служебно-бытовой корпусРостверк РСм1 (1 шт)Изготовление закладных деталей РСм1 - гильзы Г1 весом от 8,1-12,0кг</t>
  </si>
  <si>
    <t>P0-80-030 - Служебно-бытовой корпусРостверк РСм1 (1 шт)Изготовление закладных деталей РСм1 - гильзы Г2 весом весом от 5,1-8,0кг</t>
  </si>
  <si>
    <t>P0-80-030 - Служебно-бытовой корпусРостверк РСм2 (1 шт)Изготовление закладных деталей РСм2 - гильзы Г1 весом от 8,1-12,0кг</t>
  </si>
  <si>
    <t>P0-80-030 - Служебно-бытовой корпусРостверк РСм2 (1 шт)Изготовление закладных деталей РСм2 - гильзы Г2.1 весом весом от 5,1-8,0кг</t>
  </si>
  <si>
    <t>P0-80-030 - Служебно-бытовой корпусРостверк РСм3 (1 шт)Изготовление закладных деталей РСм3 - гильзы Г1 весом от 8,1-12,0кг</t>
  </si>
  <si>
    <t>P0-80-030 - Служебно-бытовой корпусРостверк РСм3 (1 шт)Изготовление закладных деталей РСм3 - гильзы Г2.2 весом весом от 5,1-8,0кг</t>
  </si>
  <si>
    <t>P0-80-030 - Служебно-бытовой корпусЛестница Лм1 в осях  А-Б/13/1-14, А-Б/18-19 (2шт)Изготовление и монтаж каркасов КР3  площадок и маршей лестницы Лм1 (2 шт)</t>
  </si>
  <si>
    <t>P0-80-030 - Служебно-бытовой корпусЛестница Лм2 в осях А-Б/4-5Изготовление и монтаж каркасов КР3 площадок и маршей лестницы Лм2</t>
  </si>
  <si>
    <t>P0-80-030 - Служебно-бытовой корпусЛестница Лм1 в осях  А-Б/13/1-14, А-Б/18-19 (2шт)Изготовление и монтаж каркасов КР4 площадок и маршей лестницы Лм1 (2 шт)</t>
  </si>
  <si>
    <t>P0-80-030 - Служебно-бытовой корпусЛестница Лм2 в осях А-Б/4-5Изготовление и монтаж каркасов КР4 площадок и маршей лестницы Лм2</t>
  </si>
  <si>
    <t>P0-80-030 - Служебно-бытовой корпусПлита перекрытия Пм1 на отм.+5.320 толщиной 250ммИзготовление и монтаж плоских каркасов КР1 плиты перекрытия Пм1</t>
  </si>
  <si>
    <t>P0-80-030 - Служебно-бытовой корпусПлита перекрытия Пм2 на отм.+5.320 толщиной 250ммИзготовление и монтаж плоских каркасов КР1 плиты перекрытия Пм2</t>
  </si>
  <si>
    <t>P0-80-030 - Служебно-бытовой корпусПлита перекрытия Пм3 на отм.+5.320 толщиной 250ммИзготовление и монтаж плоских каркасов КР1 плиты перекрытия Пм3</t>
  </si>
  <si>
    <t>P0-80-030 - Служебно-бытовой корпусПлита перекрытия Пм4 на отм.+10.720  толщиной 300ммИзготовление и монтаж плоских каркасов КР2 плиты перекрытия Пм4</t>
  </si>
  <si>
    <t>P0-80-030 - Служебно-бытовой корпусПлита перекрытия Пм6 на отм.+10.720 толщиной 300ммИзготовление и монтаж плоских каркасов КР2 плиты перекрытия Пм6</t>
  </si>
  <si>
    <t xml:space="preserve">P0-80-030 - Служебно-бытовой корпусПлита монолитная Пм1 (1 шт)Изготовление из пиломатериала oпалубка собственного изготовления для плиты Пм1 (1 шт) </t>
  </si>
  <si>
    <t xml:space="preserve">P0-80-030 - Служебно-бытовой корпусПлита монолитная Пм3 (4 шт)Изготовление из пиломатериала oпалубка собственного изготовления для плиты Пм3 (4 шт) </t>
  </si>
  <si>
    <t xml:space="preserve">P0-80-030 - Служебно-бытовой корпусПлита монолитная Пм4 (1 шт)Изготовление из пиломатериала oпалубка собственного изготовления для плиты Пм4 (1 шт) </t>
  </si>
  <si>
    <t>P0-80-030 - Служебно-бытовой корпусСтена См12Изготовление опалубки для проемов  стены См12</t>
  </si>
  <si>
    <t>P0-80-030 - Служебно-бытовой корпусСтена См28Изготовление опалубки для проемов  стены См28</t>
  </si>
  <si>
    <t>P0-80-030 - Служебно-бытовой корпусСтена См35Изготовление опалубки для проемов  стены См35</t>
  </si>
  <si>
    <t>P0-80-030 - Служебно-бытовой корпусСтена См37Изготовление опалубки для проемов  стены См37</t>
  </si>
  <si>
    <t>P0-80-030 - Служебно-бытовой корпусСтена См38Изготовление опалубки для проемов  стены См38</t>
  </si>
  <si>
    <t>P0-80-030 - Служебно-бытовой корпусСтена См7Изготовление опалубки для проемов  стены См7</t>
  </si>
  <si>
    <t>P0-80-030 - Служебно-бытовой корпусСтена См8Изготовление опалубки для проемов  стены См8</t>
  </si>
  <si>
    <t>P0-80-030 - Служебно-бытовой корпусСтена См4Изготовление опалубки для проемов и стены См4</t>
  </si>
  <si>
    <t>P0-80-030 - Служебно-бытовой корпусСтена См1Изготовление опалубки для проемов стены См1</t>
  </si>
  <si>
    <t>P0-80-030 - Служебно-бытовой корпусСтена См10Изготовление опалубки для проемов стены См10</t>
  </si>
  <si>
    <t>P0-80-030 - Служебно-бытовой корпусСтена См11Изготовление опалубки для проемов стены См11</t>
  </si>
  <si>
    <t>P0-80-030 - Служебно-бытовой корпусСтена См13Изготовление опалубки для проемов стены См13</t>
  </si>
  <si>
    <t>P0-80-030 - Служебно-бытовой корпусСтена См16Изготовление опалубки для проемов стены См16</t>
  </si>
  <si>
    <t>P0-80-030 - Служебно-бытовой корпусСтена См1Изготовление опалубки для проемов стены См2</t>
  </si>
  <si>
    <t>P0-80-030 - Служебно-бытовой корпусСтена См21Изготовление опалубки для проемов стены См21</t>
  </si>
  <si>
    <t>P0-80-030 - Служебно-бытовой корпусСтена См22Изготовление опалубки для проемов стены См22</t>
  </si>
  <si>
    <t>P0-80-030 - Служебно-бытовой корпусСтена См23Изготовление опалубки для проемов стены См23</t>
  </si>
  <si>
    <t>P0-80-030 - Служебно-бытовой корпусСтена См24Изготовление опалубки для проемов стены См24</t>
  </si>
  <si>
    <t>P0-80-030 - Служебно-бытовой корпусСтена См25Изготовление опалубки для проемов стены См25</t>
  </si>
  <si>
    <t>P0-80-030 - Служебно-бытовой корпусСтена См26Изготовление опалубки для проемов стены См26</t>
  </si>
  <si>
    <t>P0-80-030 - Служебно-бытовой корпусСтена См27Изготовление опалубки для проемов стены См27</t>
  </si>
  <si>
    <t>P0-80-030 - Служебно-бытовой корпусСтена См3Изготовление опалубки для проемов стены См3</t>
  </si>
  <si>
    <t>P0-80-030 - Служебно-бытовой корпусСтена См31Изготовление опалубки для проемов стены См31</t>
  </si>
  <si>
    <t>P0-80-030 - Служебно-бытовой корпусСтена См33Изготовление опалубки для проемов стены См33</t>
  </si>
  <si>
    <t>P0-80-030 - Служебно-бытовой корпусСтена См34Изготовление опалубки для проемов стены См34</t>
  </si>
  <si>
    <t>P0-80-030 - Служебно-бытовой корпусСтена См39Изготовление опалубки для проемов стены См39</t>
  </si>
  <si>
    <t>P0-80-030 - Служебно-бытовой корпусСтена См42Изготовление опалубки для проемов стены См42</t>
  </si>
  <si>
    <t>P0-80-030 - Служебно-бытовой корпусСтена См1Изготовление опалубки для проемов стены См5</t>
  </si>
  <si>
    <t>P0-80-030 - Служебно-бытовой корпусСтена См1Изготовление опалубки для проемов стены См9</t>
  </si>
  <si>
    <t>P0-80-030 - Служебно-бытовой корпусСтена См18Изготовление опалубки для проемовстены См18</t>
  </si>
  <si>
    <t>P0-80-030 - Служебно-бытовой корпусСтена См6Изготовление опалубки для проемовстены См6</t>
  </si>
  <si>
    <t>P0-80-030 - Служебно-бытовой корпусПлита перекрытия Пм1 на отм.+5.320 толщиной 250ммИзготовление опалубки плиты перекрытия Пм1</t>
  </si>
  <si>
    <t>P0-80-030 - Служебно-бытовой корпусПлита перекрытия Пм2 на отм.+5.320 толщиной 250ммИзготовление опалубки плиты перекрытия Пм2</t>
  </si>
  <si>
    <t>P0-80-030 - Служебно-бытовой корпусПлита перекрытия Пм3 на отм.+5.320 толщиной 250ммИзготовление опалубки плиты перекрытия Пм3</t>
  </si>
  <si>
    <t>P0-80-030 - Служебно-бытовой корпусЛестница Лм1 в осях  А-Б/13/1-14, А-Б/18-19 (2шт)Изготовление опалубки площадок и маршей лестницы Лм1 (2 шт)</t>
  </si>
  <si>
    <t>P0-80-030 - Служебно-бытовой корпусЛестница Лм2 в осях А-Б/4-5Изготовление опалубки площадок и маршей лестницы Лм2</t>
  </si>
  <si>
    <t>P0-80-030 - Служебно-бытовой корпусРостверк РСм2 (1 шт)Монтаж анкерной группы АГ1 фундамента РСм2</t>
  </si>
  <si>
    <t>P0-80-030 - Служебно-бытовой корпусРостверк РСм2 (1 шт)Монтаж анкерной группы АГ2 фундамента РСм2</t>
  </si>
  <si>
    <t>P0-80-030 - Служебно-бытовой корпусПлита монолитная Пм1 (1 шт)Монтаж заводских арматурных сеток плиты Пм1 (1 шт) из арматуры диаметром от Ø4 до Ø6мм. Соединение нахлестов сеток проволокой</t>
  </si>
  <si>
    <t>P0-80-030 - Служебно-бытовой корпусПлита монолитная Пм3 (4 шт)Монтаж заводских арматурных сеток плиты Пм3 (4 шт) из арматуры диаметром от Ø4 до Ø6мм. Соединение нахлестов сеток проволокой</t>
  </si>
  <si>
    <t>P0-80-030 - Служебно-бытовой корпусПлита монолитная Пм4 (1 шт)Монтаж заводских арматурных сеток плиты Пм4 (1 шт) из арматуры диаметром от Ø4 до Ø6мм. Соединение нахлестов сеток проволокой</t>
  </si>
  <si>
    <t>P0-80-030 - Служебно-бытовой корпусПлита перекрытия Пм1 на отм.+5.320 толщиной 250ммМонтаж закладных деталей гильз плит перекрытия после бетонирования в просверленные отверстия, весом от 2,1-5,0кг</t>
  </si>
  <si>
    <t>P0-80-030 - Служебно-бытовой корпусПлита перекрытия Пм2 на отм.+5.320 толщиной 250ммМонтаж закладных деталей гильз плит перекрытия после бетонирования в просверленные отверстия, весом от 2,1-5,0кг</t>
  </si>
  <si>
    <t>P0-80-030 - Служебно-бытовой корпусПлита перекрытия Пм3 на отм.+5.320 толщиной 250ммМонтаж закладных деталей гильз плит перекрытия после бетонирования в просверленные отверстия, весом от 2,1-5,0кг</t>
  </si>
  <si>
    <t>P0-80-030 - Служебно-бытовой корпусСтены в осях 1-7Монтаж закладных деталей гильз стен после бетонирования в просверленные отверстия, весом от 0,5-2,0кг</t>
  </si>
  <si>
    <t>P0-80-030 - Служебно-бытовой корпусСтены в осях 7/1-13Монтаж закладных деталей гильз стен после бетонирования в просверленные отверстия, весом от 0,5-2,0кг</t>
  </si>
  <si>
    <t>P0-80-030 - Служебно-бытовой корпусСтены в осях 13/1-19Монтаж закладных деталей гильз стен после бетонирования в просверленные отверстия, весом от 0,5-2,0кг</t>
  </si>
  <si>
    <t>P0-80-030 - Служебно-бытовой корпусПлита перекрытия Пм6 на отм.+10.720 толщиной 300ммМонтаж закладных деталей ЗД1 весом от 2,1-5,0кг</t>
  </si>
  <si>
    <t>P0-80-030 - Служебно-бытовой корпусПлита перекрытия Пм4 на отм.+10.720  толщиной 300ммМонтаж закладных деталей плит перекрытия весом от 12,1-20,0кг - гильза Г3</t>
  </si>
  <si>
    <t>P0-80-030 - Служебно-бытовой корпусПлита перекрытия Пм6 на отм.+10.720 толщиной 300ммМонтаж закладных деталей плит перекрытия весом от 12,1-20,0кг - гильза Г3</t>
  </si>
  <si>
    <t>P0-80-030 - Служебно-бытовой корпусПлита перекрытия Пм5 на отм.+10.720 толщиной 300ммМонтаж закладных деталей плит перекрытия весом от 5,1-8,0кг - гильза Г9</t>
  </si>
  <si>
    <t>P0-80-030 - Служебно-бытовой корпусПлита перекрытия Пм6 на отм.+10.720 толщиной 300ммМонтаж закладных деталей плит перекрытия весом от 5,1-8,0кг - гильза Г9</t>
  </si>
  <si>
    <t>P0-80-030 - Служебно-бытовой корпусРостверк РСм1 (1 шт)Монтаж закладных деталей РСм1 - гильзы  гильзы Г2 весом от 5,1-8,0кг</t>
  </si>
  <si>
    <t>P0-80-030 - Служебно-бытовой корпусРостверк РСм1 (1 шт)Монтаж закладных деталей РСм1 - гильзы Г1 весом от 8,1-12,0кг</t>
  </si>
  <si>
    <t>P0-80-030 - Служебно-бытовой корпусРостверк РСм2 (1 шт)Монтаж закладных деталей РСм2 - гильзы  гильзы Г2.1 весом от 5,1-8,0кг</t>
  </si>
  <si>
    <t>P0-80-030 - Служебно-бытовой корпусРостверк РСм2 (1 шт)Монтаж закладных деталей РСм2 - гильзы Г1 весом от 8,1-12,0кг</t>
  </si>
  <si>
    <t>P0-80-030 - Служебно-бытовой корпусРостверк РСм3 (1 шт)Монтаж закладных деталей РСм3 - гильзы  гильзы Г2.2 весом от 5,1-8,0кг</t>
  </si>
  <si>
    <t>P0-80-030 - Служебно-бытовой корпусРостверк РСм3 (1 шт)Монтаж закладных деталей РСм3 - гильзы Г1 весом от 8,1-12,0кг</t>
  </si>
  <si>
    <t>P0-80-030 - Служебно-бытовой корпусСтены в осях 7/1-13Монтаж закладных деталей стен весом от 12,1-20,0кг - гильза Г1</t>
  </si>
  <si>
    <t>P0-80-030 - Служебно-бытовой корпусСтены в осях 1-7Монтаж закладных деталей стен весом от 12,1-20,0кг - закладная деталь ЗДИ1</t>
  </si>
  <si>
    <t>P0-80-030 - Служебно-бытовой корпусСтены в осях 7/1-13Монтаж закладных деталей стен весом от 12,1-20,0кг - закладная деталь ЗДИ1</t>
  </si>
  <si>
    <t>P0-80-030 - Служебно-бытовой корпусСтены в осях 13/1-19Монтаж закладных деталей стен весом от 12,1-20,0кг - закладная деталь ЗДИ1</t>
  </si>
  <si>
    <t>P0-80-030 - Служебно-бытовой корпусСтены в осях 7/1-13Монтаж закладных деталей стен весом от 2,1-5,0кг - гильза Г5</t>
  </si>
  <si>
    <t>P0-80-030 - Служебно-бытовой корпусСтены в осях 7/1-13Монтаж закладных деталей стен весом от 2,1-5,0кг - гильза Г7</t>
  </si>
  <si>
    <t>P0-80-030 - Служебно-бытовой корпусСтены в осях 1-7Монтаж закладных деталей стен весом от 2,1-5,0кг - гильза Г8</t>
  </si>
  <si>
    <t>P0-80-030 - Служебно-бытовой корпусСтены в осях 7/1-13Монтаж закладных деталей стен весом от 2,1-5,0кг - гильза Г8</t>
  </si>
  <si>
    <t>P0-80-030 - Служебно-бытовой корпусСтены в осях 1-7Монтаж закладных деталей стен весом от 2,1-5,0кг - закладная деталь ЗДИ2</t>
  </si>
  <si>
    <t>P0-80-030 - Служебно-бытовой корпусСтены в осях 7/1-13Монтаж закладных деталей стен весом от 5,1-8,0кг - гильза Г2</t>
  </si>
  <si>
    <t>P0-80-030 - Служебно-бытовой корпусСтены в осях 7/1-13Монтаж закладных деталей стен весом от 5,1-8,0кг - гильза Г6</t>
  </si>
  <si>
    <t>P0-80-030 - Служебно-бытовой корпусСтены в осях 7/1-13Монтаж закладных деталей стен весом от 8,1-12,0кг - гильза Г4</t>
  </si>
  <si>
    <t>P0-80-030 - Служебно-бытовой корпусРигель Рм2Монтаж и демонтаж опалубки h=600мм ригеля Рм2 (1 шт)</t>
  </si>
  <si>
    <t>P0-80-030 - Служебно-бытовой корпусРигель Рм20Монтаж и демонтаж опалубки h=600мм ригеля Рм20 (1 шт)</t>
  </si>
  <si>
    <t>P0-80-030 - Служебно-бытовой корпусРигель Рм21Монтаж и демонтаж опалубки h=600мм ригеля Рм21 (1 шт)</t>
  </si>
  <si>
    <t>P0-80-030 - Служебно-бытовой корпусРигель Рм22Монтаж и демонтаж опалубки h=600мм ригеля Рм22 (1 шт)</t>
  </si>
  <si>
    <t>P0-80-030 - Служебно-бытовой корпусРигель Рм23Монтаж и демонтаж опалубки h=600мм ригеля Рм23 (1 шт)</t>
  </si>
  <si>
    <t>P0-80-030 - Служебно-бытовой корпусРигель Рм24Монтаж и демонтаж опалубки h=600мм ригеля Рм24 (3 шт)</t>
  </si>
  <si>
    <t>P0-80-030 - Служебно-бытовой корпусРигель Рм25Монтаж и демонтаж опалубки h=600мм ригеля Рм25 (2 шт)</t>
  </si>
  <si>
    <t>P0-80-030 - Служебно-бытовой корпусРигель Рм26Монтаж и демонтаж опалубки h=600мм ригеля Рм26 (1 шт)</t>
  </si>
  <si>
    <t>P0-80-030 - Служебно-бытовой корпусРигель Рм3Монтаж и демонтаж опалубки h=600мм ригеля Рм3 (1 шт)</t>
  </si>
  <si>
    <t>P0-80-030 - Служебно-бытовой корпусРигель Рм4Монтаж и демонтаж опалубки h=600мм ригеля Рм4 (1 шт)</t>
  </si>
  <si>
    <t>P0-80-030 - Служебно-бытовой корпусРигель Рм5Монтаж и демонтаж опалубки h=600мм ригеля Рм5 (1 шт)</t>
  </si>
  <si>
    <t>P0-80-030 - Служебно-бытовой корпусРигель Рм6Монтаж и демонтаж опалубки h=600мм ригеля Рм6 (1 шт)</t>
  </si>
  <si>
    <t>P0-80-030 - Служебно-бытовой корпусРигель Рм7Монтаж и демонтаж опалубки h=600мм ригеля Рм7 (2 шт)</t>
  </si>
  <si>
    <t>P0-80-030 - Служебно-бытовой корпусРигель Рм8Монтаж и демонтаж опалубки h=600мм ригеля Рм8 (2 шт)</t>
  </si>
  <si>
    <t>P0-80-030 - Служебно-бытовой корпусРигель Рм9Монтаж и демонтаж опалубки h=600мм ригеля Рм9 (1 шт)</t>
  </si>
  <si>
    <t>P0-80-030 - Служебно-бытовой корпусРигель Рм11Монтаж и демонтаж опалубки h=700мм ригеля Рм11 (1 шт)</t>
  </si>
  <si>
    <t>P0-80-030 - Служебно-бытовой корпусРигель Рм12Монтаж и демонтаж опалубки h=700мм ригеля Рм12 (2 шт)</t>
  </si>
  <si>
    <t>P0-80-030 - Служебно-бытовой корпусРигель Рм13Монтаж и демонтаж опалубки h=700мм ригеля Рм13 (2 шт)</t>
  </si>
  <si>
    <t>P0-80-030 - Служебно-бытовой корпусРигель Рм14Монтаж и демонтаж опалубки h=700мм ригеля Рм14 (1 шт)</t>
  </si>
  <si>
    <t>P0-80-030 - Служебно-бытовой корпусРигель Рм15Монтаж и демонтаж опалубки h=700мм ригеля Рм15 (2 шт)</t>
  </si>
  <si>
    <t>P0-80-030 - Служебно-бытовой корпусРигель Рм16Монтаж и демонтаж опалубки h=700мм ригеля Рм16 (1 шт)</t>
  </si>
  <si>
    <t>P0-80-030 - Служебно-бытовой корпусРигель Рм17Монтаж и демонтаж опалубки h=700мм ригеля Рм17 (1 шт)</t>
  </si>
  <si>
    <t>P0-80-030 - Служебно-бытовой корпусРигель Рм18Монтаж и демонтаж опалубки h=700мм ригеля Рм18 (2 шт)</t>
  </si>
  <si>
    <t>P0-80-030 - Служебно-бытовой корпусРигель Рм19Монтаж и демонтаж опалубки h=700мм ригеля Рм19 (1 шт)</t>
  </si>
  <si>
    <t>P0-80-030 - Служебно-бытовой корпусРигель Рм27Монтаж и демонтаж опалубки h=700мм ригеля Рм27 (1 шт)</t>
  </si>
  <si>
    <t>P0-80-030 - Служебно-бытовой корпусРигель Рм28Монтаж и демонтаж опалубки h=700мм ригеля Рм28 (2 шт)</t>
  </si>
  <si>
    <t>P0-80-030 - Служебно-бытовой корпусРигель Рм29Монтаж и демонтаж опалубки h=700мм ригеля Рм29 (2 шт)</t>
  </si>
  <si>
    <t>P0-80-030 - Служебно-бытовой корпусРигель Рм30Монтаж и демонтаж опалубки h=700мм ригеля Рм30 (2 шт)</t>
  </si>
  <si>
    <t>P0-80-030 - Служебно-бытовой корпусРигель Рм31Монтаж и демонтаж опалубки h=700мм ригеля Рм31 (1 шт)</t>
  </si>
  <si>
    <t>P0-80-030 - Служебно-бытовой корпусРигель Рм32Монтаж и демонтаж опалубки h=700мм ригеля Рм32 (3 шт)</t>
  </si>
  <si>
    <t>P0-80-030 - Служебно-бытовой корпусРигель Рм33Монтаж и демонтаж опалубки h=700мм ригеля Рм33 (3 шт)</t>
  </si>
  <si>
    <t>P0-80-030 - Служебно-бытовой корпусРигель Рм34Монтаж и демонтаж опалубки h=700мм ригеля Рм34 (1 шт)</t>
  </si>
  <si>
    <t>P0-80-030 - Служебно-бытовой корпусКолонна Км1Монтаж и демонтаж опалубки колонн Км1 (41 шт)</t>
  </si>
  <si>
    <t>P0-80-030 - Служебно-бытовой корпусКолонна Км3Монтаж и демонтаж опалубки колонн Км3 (11 шт)</t>
  </si>
  <si>
    <t>P0-80-030 - Служебно-бытовой корпусКолонна Км4Монтаж и демонтаж опалубки колонн Км4 (7 шт)</t>
  </si>
  <si>
    <t>P0-80-030 - Служебно-бытовой корпусКолонна Км5Монтаж и демонтаж опалубки колонн Км5 (8 шт)</t>
  </si>
  <si>
    <t>P0-80-030 - Служебно-бытовой корпусКолонна Км2Монтаж и демонтаж опалубки колонн колонн Км2 (8 шт)</t>
  </si>
  <si>
    <t>P0-80-030 - Служебно-бытовой корпусПлита перекрытия Пм1 на отм.+5.320 толщиной 250ммМонтаж и демонтаж опалубки плиты перекрытия Пм1</t>
  </si>
  <si>
    <t>P0-80-030 - Служебно-бытовой корпусПлита перекрытия Пм2 на отм.+5.320 толщиной 250ммМонтаж и демонтаж опалубки плиты перекрытия Пм2</t>
  </si>
  <si>
    <t>P0-80-030 - Служебно-бытовой корпусПлита перекрытия Пм3 на отм.+5.320 толщиной 250ммМонтаж и демонтаж опалубки плиты перекрытия Пм3</t>
  </si>
  <si>
    <t>P0-80-030 - Служебно-бытовой корпусПлита перекрытия Пм4 на отм.+10.720  толщиной 300ммМонтаж и демонтаж опалубки плиты перекрытия Пм4</t>
  </si>
  <si>
    <t>P0-80-030 - Служебно-бытовой корпусПлита перекрытия Пм5 на отм.+10.720 толщиной 300ммМонтаж и демонтаж опалубки плиты перекрытия Пм5</t>
  </si>
  <si>
    <t>P0-80-030 - Служебно-бытовой корпусПлита перекрытия Пм6 на отм.+10.720 толщиной 300ммМонтаж и демонтаж опалубки плиты перекрытия Пм6</t>
  </si>
  <si>
    <t xml:space="preserve">P0-80-030 - Служебно-бытовой корпусПлита монолитная Пм1 (1 шт)Монтаж и демонтаж опалубки плиты Пм1 (1 шт) </t>
  </si>
  <si>
    <t xml:space="preserve">P0-80-030 - Служебно-бытовой корпусПлита монолитная Пм2 (1 шт)Монтаж и демонтаж опалубки плиты Пм2 (1 шт) </t>
  </si>
  <si>
    <t xml:space="preserve">P0-80-030 - Служебно-бытовой корпусПлита монолитная Пм3 (4 шт)Монтаж и демонтаж опалубки плиты Пм3 (4 шт) </t>
  </si>
  <si>
    <t xml:space="preserve">P0-80-030 - Служебно-бытовой корпусПлита монолитная Пм4 (1 шт)Монтаж и демонтаж опалубки плиты Пм4 (1 шт) </t>
  </si>
  <si>
    <t>P0-80-030 - Служебно-бытовой корпусЛестница Лм1 в осях  А-Б/13/1-14, А-Б/18-19 (2шт)Монтаж и демонтаж опалубки площадок и маршей лестницы Лм1 (2 шт)</t>
  </si>
  <si>
    <t>P0-80-030 - Служебно-бытовой корпусЛестница Лм2 в осях А-Б/4-5Монтаж и демонтаж опалубки площадок и маршей лестницы Лм2</t>
  </si>
  <si>
    <t>P0-80-030 - Служебно-бытовой корпусРигель Рм1Монтаж и демонтаж опалубки ригеля Рм1</t>
  </si>
  <si>
    <t>P0-80-030 - Служебно-бытовой корпусРигель Рм10Монтаж и демонтаж опалубки ригеля Рм10</t>
  </si>
  <si>
    <t>P0-80-030 - Служебно-бытовой корпусСтена См1Монтаж и демонтаж опалубки стены См1</t>
  </si>
  <si>
    <t>P0-80-030 - Служебно-бытовой корпусСтена См10Монтаж и демонтаж опалубки стены См10</t>
  </si>
  <si>
    <t>P0-80-030 - Служебно-бытовой корпусСтена См11Монтаж и демонтаж опалубки стены См11</t>
  </si>
  <si>
    <t>P0-80-030 - Служебно-бытовой корпусСтена См12Монтаж и демонтаж опалубки стены См12</t>
  </si>
  <si>
    <t>P0-80-030 - Служебно-бытовой корпусСтена См13Монтаж и демонтаж опалубки стены См13</t>
  </si>
  <si>
    <t>P0-80-030 - Служебно-бытовой корпусСтена См13Монтаж и демонтаж опалубки стены См14</t>
  </si>
  <si>
    <t>P0-80-030 - Служебно-бытовой корпусСтена См13Монтаж и демонтаж опалубки стены См15</t>
  </si>
  <si>
    <t>P0-80-030 - Служебно-бытовой корпусСтена См16Монтаж и демонтаж опалубки стены См16</t>
  </si>
  <si>
    <t>P0-80-030 - Служебно-бытовой корпусСтена См16Монтаж и демонтаж опалубки стены См17</t>
  </si>
  <si>
    <t>P0-80-030 - Служебно-бытовой корпусСтена См18Монтаж и демонтаж опалубки стены См18</t>
  </si>
  <si>
    <t>P0-80-030 - Служебно-бытовой корпусСтена См19Монтаж и демонтаж опалубки стены См19</t>
  </si>
  <si>
    <t>P0-80-030 - Служебно-бытовой корпусСтена См1Монтаж и демонтаж опалубки стены См2</t>
  </si>
  <si>
    <t>P0-80-030 - Служебно-бытовой корпусСтена См20Монтаж и демонтаж опалубки стены См20</t>
  </si>
  <si>
    <t>P0-80-030 - Служебно-бытовой корпусСтена См21Монтаж и демонтаж опалубки стены См21</t>
  </si>
  <si>
    <t>P0-80-030 - Служебно-бытовой корпусСтена См22Монтаж и демонтаж опалубки стены См22</t>
  </si>
  <si>
    <t>P0-80-030 - Служебно-бытовой корпусСтена См23Монтаж и демонтаж опалубки стены См23</t>
  </si>
  <si>
    <t>P0-80-030 - Служебно-бытовой корпусСтена См24Монтаж и демонтаж опалубки стены См24</t>
  </si>
  <si>
    <t>P0-80-030 - Служебно-бытовой корпусСтена См25Монтаж и демонтаж опалубки стены См25</t>
  </si>
  <si>
    <t>P0-80-030 - Служебно-бытовой корпусСтена См26Монтаж и демонтаж опалубки стены См26</t>
  </si>
  <si>
    <t>P0-80-030 - Служебно-бытовой корпусСтена См27Монтаж и демонтаж опалубки стены См27</t>
  </si>
  <si>
    <t>P0-80-030 - Служебно-бытовой корпусСтена См28Монтаж и демонтаж опалубки стены См28</t>
  </si>
  <si>
    <t>P0-80-030 - Служебно-бытовой корпусСтена См29Монтаж и демонтаж опалубки стены См29</t>
  </si>
  <si>
    <t>P0-80-030 - Служебно-бытовой корпусСтена См3Монтаж и демонтаж опалубки стены См3</t>
  </si>
  <si>
    <t>P0-80-030 - Служебно-бытовой корпусСтена См30Монтаж и демонтаж опалубки стены См30</t>
  </si>
  <si>
    <t>P0-80-030 - Служебно-бытовой корпусСтена См31Монтаж и демонтаж опалубки стены См31</t>
  </si>
  <si>
    <t>P0-80-030 - Служебно-бытовой корпусСтена См32Монтаж и демонтаж опалубки стены См32</t>
  </si>
  <si>
    <t>P0-80-030 - Служебно-бытовой корпусСтена См33Монтаж и демонтаж опалубки стены См33</t>
  </si>
  <si>
    <t>P0-80-030 - Служебно-бытовой корпусСтена См34Монтаж и демонтаж опалубки стены См34</t>
  </si>
  <si>
    <t>P0-80-030 - Служебно-бытовой корпусСтена См35Монтаж и демонтаж опалубки стены См35</t>
  </si>
  <si>
    <t>P0-80-030 - Служебно-бытовой корпусСтена См36Монтаж и демонтаж опалубки стены См36</t>
  </si>
  <si>
    <t>P0-80-030 - Служебно-бытовой корпусСтена См37Монтаж и демонтаж опалубки стены См37</t>
  </si>
  <si>
    <t>P0-80-030 - Служебно-бытовой корпусСтена См38Монтаж и демонтаж опалубки стены См38</t>
  </si>
  <si>
    <t>P0-80-030 - Служебно-бытовой корпусСтена См39Монтаж и демонтаж опалубки стены См39</t>
  </si>
  <si>
    <t>P0-80-030 - Служебно-бытовой корпусСтена См4Монтаж и демонтаж опалубки стены См4</t>
  </si>
  <si>
    <t>P0-80-030 - Служебно-бытовой корпусСтена См40Монтаж и демонтаж опалубки стены См40</t>
  </si>
  <si>
    <t>P0-80-030 - Служебно-бытовой корпусСтена См41Монтаж и демонтаж опалубки стены См41</t>
  </si>
  <si>
    <t>P0-80-030 - Служебно-бытовой корпусСтена См42Монтаж и демонтаж опалубки стены См42</t>
  </si>
  <si>
    <t>P0-80-030 - Служебно-бытовой корпусСтена См43Монтаж и демонтаж опалубки стены См43</t>
  </si>
  <si>
    <t>P0-80-030 - Служебно-бытовой корпусСтена См1Монтаж и демонтаж опалубки стены См5</t>
  </si>
  <si>
    <t>P0-80-030 - Служебно-бытовой корпусСтена См6Монтаж и демонтаж опалубки стены См6</t>
  </si>
  <si>
    <t>P0-80-030 - Служебно-бытовой корпусСтена См7Монтаж и демонтаж опалубки стены См7</t>
  </si>
  <si>
    <t>P0-80-030 - Служебно-бытовой корпусСтена См8Монтаж и демонтаж опалубки стены См8</t>
  </si>
  <si>
    <t>P0-80-030 - Служебно-бытовой корпусСтена См9Монтаж и демонтаж опалубки стены См9</t>
  </si>
  <si>
    <t>P0-80-030 - Служебно-бытовой корпусПлита перекрытия Пм4 на отм.+10.720  толщиной 300ммМонтаж и демонтаж опалубки стоек парапета Ст1 на плите перекрытия Пм4</t>
  </si>
  <si>
    <t>P0-80-030 - Служебно-бытовой корпусПлита перекрытия Пм5 на отм.+10.720 толщиной 300ммМонтаж и демонтаж опалубки стоек парапета Ст1 на плите перекрытия Пм5</t>
  </si>
  <si>
    <t>P0-80-030 - Служебно-бытовой корпусПлита перекрытия Пм6 на отм.+10.720 толщиной 300ммМонтаж и демонтаж опалубки стоек парапета Ст1 на плите перекрытия Пм6</t>
  </si>
  <si>
    <t xml:space="preserve">P0-80-030 - Служебно-бытовой корпусРостверк РСм1 (1 шт)Монтаж и демонтаж опалубки фундамента РСм1 (1 шт) </t>
  </si>
  <si>
    <t xml:space="preserve">P0-80-030 - Служебно-бытовой корпусРостверк РСм2 (1 шт)Монтаж и демонтаж опалубки фундамента РСм2 (1 шт) </t>
  </si>
  <si>
    <t xml:space="preserve">P0-80-030 - Служебно-бытовой корпусРостверк РСм3 (1 шт)Монтаж и демонтаж опалубки фундамента РСм3 (1 шт) </t>
  </si>
  <si>
    <t>P0-80-030 - Служебно-бытовой корпусРостверк РСм1 (1 шт)Монтаж каркасов пространственных КР1 весом 9,36 кг/м</t>
  </si>
  <si>
    <t>P0-80-030 - Служебно-бытовой корпусРостверк РСм2 (1 шт)Монтаж каркасов пространственных КР1 весом 9,36 кг/м</t>
  </si>
  <si>
    <t>P0-80-030 - Служебно-бытовой корпусРостверк РСм3 (1 шт)Монтаж каркасов пространственных КР1 весом 9,36 кг/м</t>
  </si>
  <si>
    <t>P0-80-030 - Служебно-бытовой корпусСтены в осях 1-7Обеспечение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</si>
  <si>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P0-80-030 - Служебно-бытовой корпусСтены в осях 7/1-13Обеспечение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</si>
  <si>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P0-80-030 - Служебно-бытовой корпусСтены в осях 13/1-19Обеспечение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</si>
  <si>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P0-80-030 - Служебно-бытовой корпусКолонна Км1Обеспечение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</si>
  <si>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P0-80-030 - Служебно-бытовой корпусКолонна Км2Обеспечение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</si>
  <si>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P0-80-030 - Служебно-бытовой корпусКолонна Км3Обеспечение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</si>
  <si>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P0-80-030 - Служебно-бытовой корпусКолонна Км4Обеспечение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</si>
  <si>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P0-80-030 - Служебно-бытовой корпусКолонна Км5Обеспечение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</si>
  <si>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P0-80-030 - Служебно-бытовой корпусЛестница Лм1 в осях  А-Б/13/1-14, А-Б/18-19 (2шт)Обеспечение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</si>
  <si>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P0-80-030 - Служебно-бытовой корпусЛестница Лм2 в осях А-Б/4-5Обеспечение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</si>
  <si>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P0-80-030 - Служебно-бытовой корпусПлита перекрытия Пм4 на отм.+10.720  толщиной 300ммОбеспечение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</si>
  <si>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P0-80-030 - Служебно-бытовой корпусПлита перекрытия Пм5 на отм.+10.720 толщиной 300ммОбеспечение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</si>
  <si>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P0-80-030 - Служебно-бытовой корпусПлита перекрытия Пм6 на отм.+10.720 толщиной 300ммОбеспечение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</si>
  <si>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P0-80-030 - Служебно-бытовой корпусПлита перекрытия Пм1 на отм.+5.320 толщиной 250ммСверление отверстий для монтажа закладных деталей гильз плит перекрытия, весом от 2,1-5,0кг</t>
  </si>
  <si>
    <t>P0-80-030 - Служебно-бытовой корпусПлита перекрытия Пм2 на отм.+5.320 толщиной 250ммСверление отверстий для монтажа закладных деталей гильз плит перекрытия, весом от 2,1-5,0кг</t>
  </si>
  <si>
    <t>P0-80-030 - Служебно-бытовой корпусПлита перекрытия Пм3 на отм.+5.320 толщиной 250ммСверление отверстий для монтажа закладных деталей гильз плит перекрытия, весом от 2,1-5,0кг</t>
  </si>
  <si>
    <t>P0-80-030 - Служебно-бытовой корпусСтены в осях 1-7Сверление отверстий для монтажа закладных деталей гильз стен, весом от 2,1-5,0кг</t>
  </si>
  <si>
    <t>P0-80-030 - Служебно-бытовой корпусСтены в осях 7/1-13Сверление отверстий для монтажа закладных деталей гильз стен, весом от 2,1-5,0кг</t>
  </si>
  <si>
    <t>P0-80-030 - Служебно-бытовой корпусСтены в осях 13/1-19Сверление отверстий для монтажа закладных деталей гильз стен, весом от 2,1-5,0кг</t>
  </si>
  <si>
    <t>P0-80-030 - Служебно-бытовой корпусСтена См13Стена См14</t>
  </si>
  <si>
    <t>P0-80-030 - Служебно-бытовой корпусСтена См13Стена См15</t>
  </si>
  <si>
    <t>P0-80-030 - Служебно-бытовой корпусСтена См16Стена См17</t>
  </si>
  <si>
    <t>P0-80-030 - Служебно-бытовой корпусСтена См1Стена См2</t>
  </si>
  <si>
    <t>P0-80-030 - Служебно-бытовой корпусСтена См1Стена См5</t>
  </si>
  <si>
    <t>P0-80-030 - Служебно-бытовой корпусСтена См1Стена См9</t>
  </si>
  <si>
    <t>P0-80-030 - Служебно-бытовой корпусРостверк РСм1 (1 шт)Укладка пеноплекса толщиной 100 мм под конструкциями фундаментов</t>
  </si>
  <si>
    <t>P0-80-030 - Служебно-бытовой корпусРостверк РСм2 (1 шт)Укладка пеноплекса толщиной 100 мм под конструкциями фундаментов</t>
  </si>
  <si>
    <t>P0-80-030 - Служебно-бытовой корпусРостверк РСм3 (1 шт)Укладка пеноплекса толщиной 100 мм под конструкциями фундаментов</t>
  </si>
  <si>
    <t>P0-80-030 - Служебно-бытовой корпусПлита монолитная Пм1 (1 шт)Укладка пеноплекса толщиной 100 мм под конструкциями фундаментов</t>
  </si>
  <si>
    <t>P0-80-030 - Служебно-бытовой корпусПлита монолитная Пм2 (1 шт)Укладка пеноплекса толщиной 100 мм под конструкциями фундаментов</t>
  </si>
  <si>
    <t>P0-80-030 - Служебно-бытовой корпусПлита монолитная Пм3 (4 шт)Укладка пеноплекса толщиной 100 мм под конструкциями фундаментов</t>
  </si>
  <si>
    <t>P0-80-030 - Служебно-бытовой корпусПлита монолитная Пм4 (1 шт)Укладка пеноплекса толщиной 100 мм под конструкциями фундаментов</t>
  </si>
  <si>
    <t>P0-80-030 - Служебно-бытовой корпусПлита монолитная Пм1 (1 шт)Укладка пенополистирола для деформационных швов между фундаментными плитами, шириной 20 мм</t>
  </si>
  <si>
    <t>P0-80-030 - Служебно-бытовой корпусПлита монолитная Пм2 (1 шт)Укладка пенополистирола для деформационных швов между фундаментными плитами, шириной 20 мм</t>
  </si>
  <si>
    <t>P0-80-030 - Служебно-бытовой корпусПлита монолитная Пм3 (4 шт)Укладка пенополистирола для деформационных швов между фундаментными плитами, шириной 20 мм</t>
  </si>
  <si>
    <t>P0-80-030 - Служебно-бытовой корпусПлита монолитная Пм4 (1 шт)Укладка пенополистирола для деформационных швов между фундаментными плитами, шириной 20 мм</t>
  </si>
  <si>
    <t>P0-80-030 - Служебно-бытовой корпусПлита монолитная Пм2 (1 шт)Уплотнение основания из песка толщиной 100мм под плиту Пм2 - вручную</t>
  </si>
  <si>
    <t>P0-80-030 - Служебно-бытовой корпусПлита монолитная Пм1 (1 шт)Уплотнение основания из песка толщиной 300мм под плиту Пм1 - вручную</t>
  </si>
  <si>
    <t>P0-80-030 - Служебно-бытовой корпусПлита монолитная Пм1 (1 шт)Уплотнение основания из песка толщиной 300мм под плиту Пм1 - механизированным способом</t>
  </si>
  <si>
    <t>P0-80-030 - Служебно-бытовой корпусПлита монолитная Пм3 (4 шт)Уплотнение основания из песка толщиной 300мм под плиту Пм3 (4 шт) - вручную</t>
  </si>
  <si>
    <t>P0-80-030 - Служебно-бытовой корпусПлита монолитная Пм3 (4 шт)Уплотнение основания из песка толщиной 300мм под плиту Пм3 (4 шт) - механизированным способом</t>
  </si>
  <si>
    <t>P0-80-030 - Служебно-бытовой корпусПлита монолитная Пм4 (1 шт)Уплотнение основания из песка толщиной 300мм под плиту Пм4 (1 шт) - вручную</t>
  </si>
  <si>
    <t>P0-80-030 - Служебно-бытовой корпусПлита монолитная Пм4 (1 шт)Уплотнение основания из песка толщиной 300мм под плиту Пм4 (1 шт) - механизированным способом</t>
  </si>
  <si>
    <t>P0-80-030 - Служебно-бытовой корпусЛестница Лм2 в осях А-Б/4-5Установка шпонки в вертикальных швах  Лм2 бетонирования на ширину примыкающего лестничного марша</t>
  </si>
  <si>
    <t>P0-80-030 - Служебно-бытовой корпусЛестница Лм1 в осях  А-Б/13/1-14, А-Б/18-19 (2шт)Установка шпонки в вертикальных швах Лм1 бетонирования на ширину примыкающего лестничного марша</t>
  </si>
  <si>
    <t>P0-80-030 - Служебно-бытовой корпусРостверк РСм1 (1 шт)Устройство бетонной подготовки фундаментов РСм1 из бетона В10, толщ. 100 мм (1шт.)</t>
  </si>
  <si>
    <t>P0-80-030 - Служебно-бытовой корпусРостверк РСм2 (1 шт)Устройство бетонной подготовки фундаментов РСм2 из бетона В10, толщ. 100 мм (1шт.)</t>
  </si>
  <si>
    <t>P0-80-030 - Служебно-бытовой корпусРостверк РСм3 (1 шт)Устройство бетонной подготовки фундаментов РСм3 из бетона В10, толщ. 100 мм (1шт.)</t>
  </si>
  <si>
    <t>P0-80-030 - Служебно-бытовой корпусРостверк РСм1 (1 шт)Устройство гидроизоляции Гидростоп гильз</t>
  </si>
  <si>
    <t>P0-80-030 - Служебно-бытовой корпусРостверк РСм2 (1 шт)Устройство гидроизоляции Гидростоп гильз</t>
  </si>
  <si>
    <t>P0-80-030 - Служебно-бытовой корпусРостверк РСм3 (1 шт)Устройство гидроизоляции Гидростоп гильз</t>
  </si>
  <si>
    <t>P0-80-030 - Служебно-бытовой корпусРостверк РСм1 (1 шт)Устройство гидроизоляции Мастика битумная Технониколь №21  горизонтальных поверхностей здания ниже уровни земли</t>
  </si>
  <si>
    <t>P0-80-030 - Служебно-бытовой корпусРостверк РСм2 (1 шт)Устройство гидроизоляции Мастика битумная Технониколь №21  горизонтальных поверхностей здания ниже уровни земли</t>
  </si>
  <si>
    <t>P0-80-030 - Служебно-бытовой корпусРостверк РСм3 (1 шт)Устройство гидроизоляции Мастика битумная Технониколь №21  горизонтальных поверхностей здания ниже уровни земли</t>
  </si>
  <si>
    <t>P0-80-030 - Служебно-бытовой корпусРостверк РСм1 (1 шт)Устройство гидроизоляции на базе бентонита мест прохождения гильз через рулонную наплавляемую гидроизоляцию</t>
  </si>
  <si>
    <t>P0-80-030 - Служебно-бытовой корпусРостверк РСм2 (1 шт)Устройство гидроизоляции на базе бентонита мест прохождения гильз через рулонную наплавляемую гидроизоляцию</t>
  </si>
  <si>
    <t>P0-80-030 - Служебно-бытовой корпусРостверк РСм3 (1 шт)Устройство гидроизоляции на базе бентонита мест прохождения гильз через рулонную наплавляемую гидроизоляцию</t>
  </si>
  <si>
    <t>P0-80-030 - Служебно-бытовой корпусРостверк РСм1 (1 шт)Устройство гидроизоляции Праймер битумный AquaMast горизонтальных поверхностей здания ниже уровни земли</t>
  </si>
  <si>
    <t>P0-80-030 - Служебно-бытовой корпусРостверк РСм2 (1 шт)Устройство гидроизоляции Праймер битумный AquaMast горизонтальных поверхностей здания ниже уровни земли</t>
  </si>
  <si>
    <t>P0-80-030 - Служебно-бытовой корпусРостверк РСм3 (1 шт)Устройство гидроизоляции Праймер битумный AquaMast горизонтальных поверхностей здания ниже уровни земли</t>
  </si>
  <si>
    <t>P0-80-030 - Служебно-бытовой корпусРостверк РСм1 (1 шт)Устройство деформационного изоляционного шва  между ростверками РСм1 и РСм2, шириной 100 мм, с заполнением герметиком</t>
  </si>
  <si>
    <t>P0-80-030 - Служебно-бытовой корпусРостверк РСм2 (1 шт)Устройство деформационного изоляционного шва  между ростверками РСм2 и РСм3, шириной 100 мм, с заполнением герметиком</t>
  </si>
  <si>
    <t>P0-80-030 - Служебно-бытовой корпусПлита монолитная Пм1 (1 шт)Устройство деформационного изоляционного шва между  фундаментными плитами, шириной 20 мм, с заполнением герметиком</t>
  </si>
  <si>
    <t>P0-80-030 - Служебно-бытовой корпусПлита монолитная Пм2 (1 шт)Устройство деформационного изоляционного шва между  фундаментными плитами, шириной 20 мм, с заполнением герметиком</t>
  </si>
  <si>
    <t>P0-80-030 - Служебно-бытовой корпусПлита монолитная Пм3 (4 шт)Устройство деформационного изоляционного шва между  фундаментными плитами, шириной 20 мм, с заполнением герметиком</t>
  </si>
  <si>
    <t>P0-80-030 - Служебно-бытовой корпусПлита монолитная Пм4 (1 шт)Устройство деформационного изоляционного шва между  фундаментными плитами, шириной 20 мм, с заполнением герметиком</t>
  </si>
  <si>
    <t>P0-80-030 - Служебно-бытовой корпусРостверк РСм1 (1 шт)Устройство деформационного шва толщиной 100 мм между ростверками РСм1 и РСм2</t>
  </si>
  <si>
    <t>P0-80-030 - Служебно-бытовой корпусРостверк РСм2 (1 шт)Устройство деформационного шва толщиной 100 мм между ростверками РСм2 и РСм3</t>
  </si>
  <si>
    <t>P0-80-030 - Служебно-бытовой корпусРостверк РСм1 (1 шт)Устройство дополнительного слоя рулонной наплавляемой гидроизоляции Техноэласт Барьер БО горизонтальных поверхностей здания ниже уровни земли вокруг гильз</t>
  </si>
  <si>
    <t>P0-80-030 - Служебно-бытовой корпусРостверк РСм2 (1 шт)Устройство дополнительного слоя рулонной наплавляемой гидроизоляции Техноэласт Барьер БО горизонтальных поверхностей здания ниже уровни земли вокруг гильз</t>
  </si>
  <si>
    <t>P0-80-030 - Служебно-бытовой корпусРостверк РСм3 (1 шт)Устройство дополнительного слоя рулонной наплавляемой гидроизоляции Техноэласт Барьер БО горизонтальных поверхностей здания ниже уровни земли вокруг гильз</t>
  </si>
  <si>
    <t>P0-80-030 - Служебно-бытовой корпусПлита монолитная Пм2 (1 шт)Устройство основания из песка толщиной 100мм под плиту Пм2 - вручную</t>
  </si>
  <si>
    <t>P0-80-030 - Служебно-бытовой корпусПлита монолитная Пм1 (1 шт)Устройство основания из песка толщиной 300мм под плиту Пм1 - вручную</t>
  </si>
  <si>
    <t>P0-80-030 - Служебно-бытовой корпусПлита монолитная Пм1 (1 шт)Устройство основания из песка толщиной 300мм под плиту Пм1 - механизированным способом</t>
  </si>
  <si>
    <t>P0-80-040 - Склад хранения дизельного топлива для ДЭСРостверк РСм1 (5 шт)Устройство бетонной подготовки фундаментов РСм1 из бетона В10, толщ. 100 мм (5шт.)</t>
  </si>
  <si>
    <t>P0-80-040 - Склад хранения дизельного топлива для ДЭСРостверк РСм1 (5 шт)Армирование фундамента РСм1 (5 шт)  ГНУТЫМИ сварными стержнями диаметром 14 мм и более</t>
  </si>
  <si>
    <t>P0-80-040 - Склад хранения дизельного топлива для ДЭСРостверк РСм1 (5 шт)Армирование фундамента  РСм1 (5 шт)  ПРЯМЫМИ стержнями диаметром  14 мм и более</t>
  </si>
  <si>
    <t>P0-80-040 - Склад хранения дизельного топлива для ДЭСРостверк РСм1 (5 шт)Армирование фундамента РСм1 (5 шт)  ГНУТЫМИ сварными стержнями диаметром до 12 мм</t>
  </si>
  <si>
    <t>P0-80-040 - Склад хранения дизельного топлива для ДЭСРостверк РСм1 (5 шт)Армирование фундамента РСм1 (5 шт)  ПРЯМЫМИ сварными стержнями диаметром до 12 мм</t>
  </si>
  <si>
    <t>P0-80-040 - Склад хранения дизельного топлива для ДЭСРостверк РСм1 (5 шт)Армирование фундамента  РСм1 (5 шт)  ПРЯМЫМИ стержнями диаметром  до 12 мм</t>
  </si>
  <si>
    <t>P0-80-040 - Склад хранения дизельного топлива для ДЭСРостверк РСм1 (5 шт)Армирование фундамента  РСм1 (5 шт)   ГНУТЫМИ стержнями диаметром  до 12 мм</t>
  </si>
  <si>
    <t xml:space="preserve">P0-80-040 - Склад хранения дизельного топлива для ДЭСРостверк РСм1 (5 шт)Установка анкерных болтов М1 (перед бетонированием) диаметром от Ø20мм до Ø40мм </t>
  </si>
  <si>
    <t>P0-80-040 - Склад хранения дизельного топлива для ДЭСРостверк РСм1 (5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</si>
  <si>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P0-80-040 - Склад хранения дизельного топлива для ДЭСРостверк РСм1 (5 шт)Опалубка заводского изготовления. Ступенчатые фундаменты - ростверки (нижний ярус), фундаментные балки и боковой части плиты перекрытия. 
Монтаж и демонтаж</t>
  </si>
  <si>
    <t>P0-80-040 - Склад хранения дизельного топлива для ДЭСРостверк РСм1 (5 шт)Опалубка заводского изготовления. Ступенчатые фундаменты - ростверки (верхний ярус), балки. 
Монтаж и демонтаж</t>
  </si>
  <si>
    <t>P0-80-040 - Склад хранения дизельного топлива для ДЭСРостверк РСм1 (5 шт)Бетонирование ростверка РСм1 (5 шт)</t>
  </si>
  <si>
    <t xml:space="preserve">P0-80-040 - Склад хранения дизельного топлива для ДЭСРостверк РСм1 (5 шт)Устройство подливки ростверков РСм1 (5 шт) толщиной 50мм
</t>
  </si>
  <si>
    <t xml:space="preserve">P0-80-040 - Склад хранения дизельного топлива для ДЭСРостверк РСм2 (6 шт)Устройство бетонной подготовки фундаментовРСм2 (6 шт) из бетона В10, толщ. 100 мм </t>
  </si>
  <si>
    <t>P0-80-040 - Склад хранения дизельного топлива для ДЭСРостверк РСм2 (6 шт)Армирование фундамента РСм2 (6 шт)  ГНУТЫМИ сварными стержнями диаметром до 12 мм</t>
  </si>
  <si>
    <t>P0-80-040 - Склад хранения дизельного топлива для ДЭСРостверк РСм2 (6 шт)Армирование фундамента РСм2 (6 шт)  ПРЯМЫМИ сварными стержнями диаметром до 12 мм</t>
  </si>
  <si>
    <t>P0-80-040 - Склад хранения дизельного топлива для ДЭСРостверк РСм2 (6 шт)Армирование фундамента  РСм2 (6 шт)   ГНУТЫМИ стержнями диаметром  до 12 мм</t>
  </si>
  <si>
    <t xml:space="preserve">P0-80-040 - Склад хранения дизельного топлива для ДЭСРостверк РСм2 (6 шт)Установка анкерных болтов М1 (перед бетонированием) диаметром от Ø20мм до Ø40мм </t>
  </si>
  <si>
    <t>P0-80-040 - Склад хранения дизельного топлива для ДЭСРостверк РСм2 (6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</si>
  <si>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P0-80-040 - Склад хранения дизельного топлива для ДЭСРостверк РСм2 (6 шт)Опалубка заводского изготовления. Ступенчатые фундаменты - ростверки (нижний ярус), фундаментные балки и боковой части плиты перекрытия. 
Монтаж и демонтаж</t>
  </si>
  <si>
    <t>P0-80-040 - Склад хранения дизельного топлива для ДЭСРостверк РСм2 (6 шт)Опалубка заводского изготовления. Ступенчатые фундаменты - ростверки (верхний ярус), балки. 
Монтаж и демонтаж</t>
  </si>
  <si>
    <t>P0-80-040 - Склад хранения дизельного топлива для ДЭСРостверк РСм2 (6 шт)Бетонирование ростверка РСм2 (6 шт)</t>
  </si>
  <si>
    <t xml:space="preserve">P0-80-040 - Склад хранения дизельного топлива для ДЭСРостверк РСм2 (6 шт)Устройство подливки ростверков РСм2 (6 шт) толщиной 50мм
</t>
  </si>
  <si>
    <t>P0-84-010 - Блок подготовки топливного газа на ТСБФундаментная плита Пфм-1 (1 шт)Обратная засыпка песком средней крупности вручную</t>
  </si>
  <si>
    <t>P0-84-010 - Блок подготовки топливного газа на ТСБФундаментная плита Пфм-1 (1 шт)Уплотнение вручную</t>
  </si>
  <si>
    <t>P0-84-010 - Блок подготовки топливного газа на ТСБФундаментная плита Пфм-1 (1 шт)Укладка пеноплекса толщиной 100 мм под фундаментной плитой</t>
  </si>
  <si>
    <t>P0-84-010 - Блок подготовки топливного газа на ТСБФундаментная плита Пфм-1 (1 шт)Устройство бетонной подготовки плиты из бетона В10, толщ. 100 мм(1шт.)</t>
  </si>
  <si>
    <t xml:space="preserve">P0-84-010 - Блок подготовки топливного газа на ТСБФундаментная плита Пфм-1 (1 шт)Монтаж - демонтаж опалубки заводского изготовления боковой части  фундаментной плиты Пфм-1 </t>
  </si>
  <si>
    <t>P0-84-010 - Блок подготовки топливного газа на ТСБФундаментная плита Пфм-1 (1 шт)Армированные плиты ПФм-1(1шт.)  ПРЯМЫМИ стержнями диаметром  до 12 мм</t>
  </si>
  <si>
    <t>P0-84-010 - Блок подготовки топливного газа на ТСБФундаментная плита Пфм-1 (1 шт)Армированные плиты ПФм-1(1шт.)  ГНУТЫМИ стержнями диаметром  до 12 мм</t>
  </si>
  <si>
    <t>P0-84-010 - Блок подготовки топливного газа на ТСБФундаментная плита Пфм-1 (1 шт)Устройство  монолитные плиты ПФм-1 из бетона  B25 W8 F200</t>
  </si>
  <si>
    <t>P0-84-010 - Блок подготовки топливного газа на ТСБОтмостка (1 шт)Обратная засыпка песком средней крупности вручную</t>
  </si>
  <si>
    <t>P0-84-010 - Блок подготовки топливного газа на ТСБОтмостка (1 шт)Уплотнение вручную</t>
  </si>
  <si>
    <t>P0-84-010 - Блок подготовки топливного газа на ТСБОтмостка (1 шт)Укладка деформационных швов между фундаментной плитой и отмостки, шириной 20 мм</t>
  </si>
  <si>
    <t xml:space="preserve">P0-84-010 - Блок подготовки топливного газа на ТСБОтмостка (1 шт)Монтаж заводских арматурных сеток из арматуры диаметром от Ø4 до Ø6мм. Соединение нахлестов сеток проволокой- отмостка </t>
  </si>
  <si>
    <t>P0-84-010 - Блок подготовки топливного газа на ТСБОтмостка (1 шт)Устройство отмостки из бетона с железнением поверхности толщиной не менее 100мм, (толщ. 120мм-150мм)</t>
  </si>
  <si>
    <t>P0-02-010 - Центральная эстакада. Участок 1Ростверков монолитные РСм8а (4 шт) и РСм8б (5 шт)Устройство основания из песка толщиной 200мм под ростверков РСм8а, РСм8б - вручную</t>
  </si>
  <si>
    <t>P0-02-010 - Центральная эстакада. Участок 1Ростверков монолитные РСм8а (4 шт) и РСм8б (5 шт)Уплотнение основания из песка толщиной 200мм под ростверков РСм8а, РСм8б - вручную</t>
  </si>
  <si>
    <t>P0-02-010 - Центральная эстакада. Участок 1Ростверков монолитные РСм8а (4 шт) и РСм8б (5 шт)Устройство бетонной подготовки фундаментов РСм8а и РСм8б из бетона В10, толщ. 100 мм (9шт.)</t>
  </si>
  <si>
    <t xml:space="preserve">P0-02-010 - Центральная эстакада. Участок 1Ростверков монолитные РСм8а (4 шт) и РСм8б (5 шт)Монтаж - демонтаж опалубки заводского изготовления для фундамента РСм8а (4 шт) и Рсм8б(5шт) </t>
  </si>
  <si>
    <t>P0-02-010 - Центральная эстакада. Участок 1Ростверков монолитные РСм8а (4 шт) и РСм8б (5 шт)Армированные фундамента РСм8а (4 шт)  и Рсм8б(5шт) ПРЯМИМИ стержнями диаметром 14 мм и более</t>
  </si>
  <si>
    <t>P0-02-010 - Центральная эстакада. Участок 1Ростверков монолитные РСм8а (4 шт) и РСм8б (5 шт)Армированные фундамента РСм8а (4 шт)  и Рсм8б(5шт) ПРЯМИМИ стержнями диаметром  до 12 мм</t>
  </si>
  <si>
    <t>P0-02-010 - Центральная эстакада. Участок 1Ростверков монолитные РСм8а (4 шт) и РСм8б (5 шт)Армированные фундамента РСм8а (4 шт)  и Рсм8б(5шт) ГНУТЫЕ стержнями диаметром 14 мм и более</t>
  </si>
  <si>
    <t>P0-02-010 - Центральная эстакада. Участок 1Ростверков монолитные РСм8а (4 шт) и РСм8б (5 шт)Армированные фундамента РСм8а (4 шт)  и Рсм8б(5шт) ГНУТЫЕ стержнями диаметром  до 12 мм</t>
  </si>
  <si>
    <t xml:space="preserve">P0-02-010 - Центральная эстакада. Участок 1Ростверков монолитные РСм8а (4 шт) и РСм8б (5 шт)Изготовление и монтаж каркасов пространственных КР7 весом 19,51 кг/шт </t>
  </si>
  <si>
    <t xml:space="preserve">P0-02-010 - Центральная эстакада. Участок 1Ростверков монолитные РСм8а (4 шт) и РСм8б (5 шт)Изготовление и монтаж каркасов пространственных КР8 весом 7,88кг/шт </t>
  </si>
  <si>
    <t>P0-02-010 - Центральная эстакада. Участок 1Ростверков монолитные РСм8а (4 шт) и РСм8б (5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</si>
  <si>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1Ростверков монолитные РСм8а (4 шт) и РСм8б (5 шт)Устройство фундаментов РСм8а (4 шт)  и Рсм8б(5шт)  из бетона B25 W8 F200</t>
  </si>
  <si>
    <t>P0-02-010 - Центральная эстакада. Участок 1Ростверк монолитный РСм8в (1шт)Устройство основания из песка толщиной 200мм под ростверков РСм8в - вручную</t>
  </si>
  <si>
    <t>P0-02-010 - Центральная эстакада. Участок 1Ростверк монолитный РСм8в (1шт)Уплотнение основания из песка толщиной 200мм под ростверков РСм8в - вручную</t>
  </si>
  <si>
    <t>P0-02-010 - Центральная эстакада. Участок 1Ростверк монолитный РСм8в (1шт)Устройство бетонной подготовки фундаментов РСм8в из бетона В10, толщ. 100 мм (1 шт.)</t>
  </si>
  <si>
    <t>P0-02-010 - Центральная эстакада. Участок 1Ростверк монолитный РСм8в (1шт)Монтаж - демонтаж опалубки заводского изготовления для фундамента РСм8в (1 шт)</t>
  </si>
  <si>
    <t>P0-02-010 - Центральная эстакада. Участок 1Ростверк монолитный РСм8в (1шт)Армированные фундамента РСм8в (1 шт) ПРЯМИМИ стержнями диаметром 14 мм и более</t>
  </si>
  <si>
    <t>P0-02-010 - Центральная эстакада. Участок 1Ростверк монолитный РСм8в (1шт)Армированные фундамента РСм8в (1 шт) ПРЯМИМИ стержнями диаметром  до 12 мм</t>
  </si>
  <si>
    <t>P0-02-010 - Центральная эстакада. Участок 1Ростверк монолитный РСм8в (1шт)Армированные фундамента РСм8в (1 шт) ГНУТЫЕ стержнями диаметром 14 мм и более</t>
  </si>
  <si>
    <t>P0-02-010 - Центральная эстакада. Участок 1Ростверк монолитный РСм8в (1шт)Армированные фундамента РСм8в (1 шт) ГНУТЫЕ стержнями диаметром  до 12 мм</t>
  </si>
  <si>
    <t xml:space="preserve">P0-02-010 - Центральная эстакада. Участок 1Ростверк монолитный РСм8в (1шт)Изготовление и монтаж каркасов пространственных КР7 весом 19,51 кг/шт </t>
  </si>
  <si>
    <t xml:space="preserve">P0-02-010 - Центральная эстакада. Участок 1Ростверк монолитный РСм8в (1шт)Изготовление и монтаж каркасов пространственных КР8 весом 7,88кг/шт </t>
  </si>
  <si>
    <t>P0-02-010 - Центральная эстакада. Участок 1Ростверк монолитный РСм8в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</si>
  <si>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1Ростверк монолитный РСм8в (1шт)Устройство фундамента РСм8в (1 шт) из бетона B25 W8 F200</t>
  </si>
  <si>
    <t>P0-02-010 - Центральная эстакада. Участок 1Ростверк монолитный РСм9а (2 шт)Устройство основания из песка толщиной 200мм под ростверков РСм9а - вручную</t>
  </si>
  <si>
    <t>P0-02-010 - Центральная эстакада. Участок 1Ростверк монолитный РСм9а (2 шт)Уплотнение основания из песка толщиной 200мм под ростверков РСм9а - вручную</t>
  </si>
  <si>
    <t>P0-02-010 - Центральная эстакада. Участок 1Ростверк монолитный РСм9а (2 шт)Устройство бетонной подготовки фундаментов РСм9а из бетона В10, толщ. 100 мм(2 шт.)</t>
  </si>
  <si>
    <t>P0-02-010 - Центральная эстакада. Участок 1Ростверк монолитный РСм9а (2 шт)Монтаж - демонтаж опалубки заводского изготовления для фундамента РСм9а (2 шт)</t>
  </si>
  <si>
    <t>P0-02-010 - Центральная эстакада. Участок 1Ростверк монолитный РСм9а (2 шт)Армированные фундамента РСм9а (2 шт) ПРЯМИМИ стержнями диаметром 14 мм и более</t>
  </si>
  <si>
    <t>P0-02-010 - Центральная эстакада. Участок 1Ростверк монолитный РСм9а (2 шт)Армированные фундамента РСм9а (2 шт) ПРЯМИМИ стержнями диаметром  до 12 мм</t>
  </si>
  <si>
    <t>P0-02-010 - Центральная эстакада. Участок 1Ростверк монолитный РСм9а (2 шт)Армированные фундамента РСм9а (2 шт) ГНУТЫЕ стержнями диаметром 14 мм и более</t>
  </si>
  <si>
    <t>P0-02-010 - Центральная эстакада. Участок 1Ростверк монолитный РСм9а (2 шт)Армированные фундамента РСм9а (2 шт) ГНУТЫЕ стержнями диаметром  до 12 мм</t>
  </si>
  <si>
    <t xml:space="preserve">P0-02-010 - Центральная эстакада. Участок 1Ростверк монолитный РСм9а (2 шт)Изготовление и монтаж каркасов пространственных КР9 весом 11,82 кг/шт </t>
  </si>
  <si>
    <t xml:space="preserve">P0-02-010 - Центральная эстакада. Участок 1Ростверк монолитный РСм9а (2 шт)Изготовление и монтаж каркасов пространственных КР10 весом 3,94кг/шт </t>
  </si>
  <si>
    <t>P0-02-010 - Центральная эстакада. Участок 1Ростверк монолитный РСм9а (2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</si>
  <si>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1Ростверк монолитный РСм9а (2 шт)Устройство фундамента РСм9а (2 шт) из бетона B25 W8 F200</t>
  </si>
  <si>
    <t>P0-02-010 - Центральная эстакада. Участок 1Ростверк монолитный РСм9б (3 шт)Устройство основания из песка толщиной 200мм под ростверков РСм9б - вручную</t>
  </si>
  <si>
    <t>P0-02-010 - Центральная эстакада. Участок 1Ростверк монолитный РСм9б (3 шт)Уплотнение основания из песка толщиной 200мм под ростверков РСм9б- вручную</t>
  </si>
  <si>
    <t>P0-02-010 - Центральная эстакада. Участок 1Ростверк монолитный РСм9б (3 шт)Устройство бетонной подготовки фундаментов РСм9б из бетона В10, толщ. 100 мм(3 шт.)</t>
  </si>
  <si>
    <t>P0-02-010 - Центральная эстакада. Участок 1Ростверк монолитный РСм9б (3 шт)Монтаж - демонтаж опалубки заводского изготовления для фундамента РСм9б (3шт)</t>
  </si>
  <si>
    <t>P0-02-010 - Центральная эстакада. Участок 1Ростверк монолитный РСм9б (3 шт)Армированные фундамента РСм9б (3 шт) ПРЯМИМИ стержнями диаметром 14 мм и более</t>
  </si>
  <si>
    <t>P0-02-010 - Центральная эстакада. Участок 1Ростверк монолитный РСм9б (3 шт)Армированные фундамента РСм9б (3 шт) ПРЯМИМИ стержнями диаметром  до 12 мм</t>
  </si>
  <si>
    <t>P0-02-010 - Центральная эстакада. Участок 1Ростверк монолитный РСм9б (3 шт)Армированные фундамента РСм9б (3 шт) ГНУТЫЕ стержнями диаметром 14 мм и более</t>
  </si>
  <si>
    <t>P0-02-010 - Центральная эстакада. Участок 1Ростверк монолитный РСм9б (3 шт)Армированные фундамента РСм9б (3шт) ГНУТЫЕ стержнями диаметром  до 12 мм</t>
  </si>
  <si>
    <t xml:space="preserve">P0-02-010 - Центральная эстакада. Участок 1Ростверк монолитный РСм9б (3 шт)Изготовление и монтаж каркасов пространственных КР9 весом 11,82 кг/шт </t>
  </si>
  <si>
    <t xml:space="preserve">P0-02-010 - Центральная эстакада. Участок 1Ростверк монолитный РСм9б (3 шт)Изготовление и монтаж каркасов пространственных КР10 весом 3,94кг/шт </t>
  </si>
  <si>
    <t>P0-02-010 - Центральная эстакада. Участок 1Ростверк монолитный РСм9б (3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</si>
  <si>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1Ростверк монолитный РСм9б (3 шт)Устройство фундамента РСм9б (3шт) из бетона B25 W8 F200</t>
  </si>
  <si>
    <t>P0-02-010 - Центральная эстакада. Участок 1Ростверк монолитный РСм9в (1 шт)Устройство основания из песка толщиной 200мм под ростверков РСм9в - вручную</t>
  </si>
  <si>
    <t>P0-02-010 - Центральная эстакада. Участок 1Ростверк монолитный РСм9в (1 шт)Уплотнение основания из песка толщиной 200мм под ростверков РСм9в- вручную</t>
  </si>
  <si>
    <t>P0-02-010 - Центральная эстакада. Участок 1Ростверк монолитный РСм9в (1 шт)Устройство бетонной подготовки фундаментов РСм9в из бетона В10, толщ. 100 мм(1 шт.)</t>
  </si>
  <si>
    <t>P0-02-010 - Центральная эстакада. Участок 1Ростверк монолитный РСм9в (1 шт)Монтаж - демонтаж опалубки заводского изготовления для фундамента РСм9в (1шт)</t>
  </si>
  <si>
    <t>P0-02-010 - Центральная эстакада. Участок 1Ростверк монолитный РСм9в (1 шт)Армированные фундамента РСм9в (1 шт) ПРЯМИМИ стержнями диаметром 14 мм и более</t>
  </si>
  <si>
    <t>P0-02-010 - Центральная эстакада. Участок 1Ростверк монолитный РСм9в (1 шт)Армированные фундамента РСм9в (1 шт) ПРЯМИМИ стержнями диаметром  до 12 мм</t>
  </si>
  <si>
    <t>P0-02-010 - Центральная эстакада. Участок 1Ростверк монолитный РСм9в (1 шт)Армированные фундамента РСм9в (1 шт) ГНУТЫЕ стержнями диаметром 14 мм и более</t>
  </si>
  <si>
    <t>P0-02-010 - Центральная эстакада. Участок 1Ростверк монолитный РСм9в (1 шт)Армированные фундамента РСм9в (1шт) ГНУТЫЕ стержнями диаметром  до 12 мм</t>
  </si>
  <si>
    <t xml:space="preserve">P0-02-010 - Центральная эстакада. Участок 1Ростверк монолитный РСм9в (1 шт)Изготовление и монтаж каркасов пространственных КР9 весом 11,82 кг/шт </t>
  </si>
  <si>
    <t xml:space="preserve">P0-02-010 - Центральная эстакада. Участок 1Ростверк монолитный РСм9в (1 шт)Изготовление и монтаж каркасов пространственных КР10 весом 3,94кг/шт </t>
  </si>
  <si>
    <t>P0-02-010 - Центральная эстакада. Участок 1Ростверк монолитный РСм9в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</si>
  <si>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1Ростверк монолитный РСм9в (1 шт)Устройство фундамента РСм9в (1шт) из бетона B25 W8 F200</t>
  </si>
  <si>
    <t>P0-02-010 - Центральная эстакада. Участок 1Ростверк монолитный РСм10 (17 шт)Устройство основания из песка толщиной 200мм под ростверков РСм10 - вручную</t>
  </si>
  <si>
    <t>P0-02-010 - Центральная эстакада. Участок 1Ростверк монолитный РСм10 (17 шт)Уплотнение основания из песка толщиной 200мм под ростверков РСм10- вручную</t>
  </si>
  <si>
    <t>P0-02-010 - Центральная эстакада. Участок 1Ростверк монолитный РСм10 (17 шт)Устройство бетонной подготовки фундаментов РСм10 из бетона В10, толщ. 100 мм(17 шт.)</t>
  </si>
  <si>
    <t>P0-02-010 - Центральная эстакада. Участок 1Ростверк монолитный РСм10 (17 шт)Монтаж - демонтаж опалубки заводского изготовления для фундамента РСм10 (17шт)</t>
  </si>
  <si>
    <t>P0-02-010 - Центральная эстакада. Участок 1Ростверк монолитный РСм10 (17 шт)Армированные фундамента РСм10 (17 шт) ПРЯМИМИ стержнями диаметром 14 мм и более</t>
  </si>
  <si>
    <t>P0-02-010 - Центральная эстакада. Участок 1Ростверк монолитный РСм10 (17 шт)Армированные фундамента РСм10 (17 шт) ПРЯМИМИ стержнями диаметром  до 12 мм</t>
  </si>
  <si>
    <t>P0-02-010 - Центральная эстакада. Участок 1Ростверк монолитный РСм10 (17 шт)Армированные фундамента РСм10 (17 шт) ГНУТЫЕ стержнями диаметром 14 мм и более</t>
  </si>
  <si>
    <t>P0-02-010 - Центральная эстакада. Участок 1Ростверк монолитный РСм10 (17 шт)Армированные фундамента РСм10 (17шт) ГНУТЫЕ стержнями диаметром  до 12 мм</t>
  </si>
  <si>
    <t xml:space="preserve">P0-02-010 - Центральная эстакада. Участок 1Ростверк монолитный РСм10 (17 шт)Изготовление и монтаж каркасов пространственных КР9 весом 11,82 кг/шт </t>
  </si>
  <si>
    <t xml:space="preserve">P0-02-010 - Центральная эстакада. Участок 1Ростверк монолитный РСм10 (17 шт)Изготовление и монтаж каркасов пространственных КР10 весом 3,94кг/шт </t>
  </si>
  <si>
    <t>P0-02-010 - Центральная эстакада. Участок 1Ростверк монолитный РСм10 (17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</si>
  <si>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1Ростверк монолитный РСм10 (17 шт)Устройство фундамента РСм10 (17шт) из бетона B25 W8 F200</t>
  </si>
  <si>
    <t>P0-02-010 - Центральная эстакада. Участок 1Ростверк монолитный РСм11 (4 шт)Устройство основания из песка толщиной 200мм под ростверков РСм11 - вручную</t>
  </si>
  <si>
    <t>P0-02-010 - Центральная эстакада. Участок 1Ростверк монолитный РСм11 (4 шт)Уплотнение основания из песка толщиной 200мм под ростверков РСм11- вручную</t>
  </si>
  <si>
    <t>P0-02-010 - Центральная эстакада. Участок 1Ростверк монолитный РСм11 (4 шт)Устройство бетонной подготовки фундаментов РСм11 из бетона В10, толщ. 100 мм(4 шт.)</t>
  </si>
  <si>
    <t>P0-02-010 - Центральная эстакада. Участок 1Ростверк монолитный РСм11 (4 шт)Монтаж - демонтаж опалубки заводского изготовления для фундамента РСм11 (4шт)</t>
  </si>
  <si>
    <t>P0-02-010 - Центральная эстакада. Участок 1Ростверк монолитный РСм11 (4 шт)Армированные фундамента РСм11 (4шт) ПРЯМИМИ стержнями диаметром 14 мм и более</t>
  </si>
  <si>
    <t>P0-02-010 - Центральная эстакада. Участок 1Ростверк монолитный РСм11 (4 шт)Армированные фундамента РСм11 (4 шт) ПРЯМИМИ стержнями диаметром  до 12 мм</t>
  </si>
  <si>
    <t>P0-02-010 - Центральная эстакада. Участок 1Ростверк монолитный РСм11 (4 шт)Армированные фундамента РСм11 (4 шт) ГНУТЫЕ стержнями диаметром 14 мм и более</t>
  </si>
  <si>
    <t>P0-02-010 - Центральная эстакада. Участок 1Ростверк монолитный РСм11 (4 шт)Армированные фундамента РСм11 (4шт) ГНУТЫЕ стержнями диаметром  до 12 мм</t>
  </si>
  <si>
    <t>P0-02-010 - Центральная эстакада. Участок 1Ростверк монолитный РСм11 (4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</si>
  <si>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1Ростверк монолитный РСм11 (4 шт)Устройство фундамента РСм11 (4шт) из бетона B25 W8 F200</t>
  </si>
  <si>
    <t>P0-02-010 - Центральная эстакада. Участок 1Ростверк монолитный РСм12 (3шт)Устройство бетонной подготовки фундаментов РСм12 из бетона В10, толщ. 100 мм(3 шт.)</t>
  </si>
  <si>
    <t>P0-02-010 - Центральная эстакада. Участок 1Ростверк монолитный РСм12 (3шт)Монтаж - демонтаж опалубки заводского изготовления для фундамента РСм12 (3шт)</t>
  </si>
  <si>
    <t>P0-02-010 - Центральная эстакада. Участок 1Ростверк монолитный РСм12 (3шт)Армированные фундамента РСм12 (3шт) ПРЯМИМИ стержнями диаметром 14 мм и более</t>
  </si>
  <si>
    <t>P0-02-010 - Центральная эстакада. Участок 1Ростверк монолитный РСм12 (3шт)Армированные фундамента РСм12(3шт) ГНУТЫЕ стержнями диаметром  до 12 мм</t>
  </si>
  <si>
    <t xml:space="preserve">P0-02-010 - Центральная эстакада. Участок 1Ростверк монолитный РСм12 (3шт)Установка анкерных болтов М1 (перед бетонированием) диаметром от Ø20мм до Ø40мм </t>
  </si>
  <si>
    <t>P0-02-010 - Центральная эстакада. Участок 1Ростверк монолитный РСм12 (3шт)Устройство фундамента РСм12 (3шт) из бетона B25 W8 F200</t>
  </si>
  <si>
    <t>P0-02-010 - Центральная эстакада. Участок 1Ростверк монолитный РСм12 (3шт)Устройство подливки фундамента РСм12 (3шт) толщиной 50мм</t>
  </si>
  <si>
    <t>P0-02-010 - Центральная эстакада. Участок 1Ростверк монолитный РСм13 (1 шт)  в оси Б/5Устройство основания из песка толщиной 200мм под ростверков РСм13 - вручную</t>
  </si>
  <si>
    <t>P0-02-010 - Центральная эстакада. Участок 1Ростверк монолитный РСм13 (1 шт)  в оси Б/5Уплотнение основания из песка толщиной 200мм под ростверков РСм13- вручную</t>
  </si>
  <si>
    <t>P0-02-010 - Центральная эстакада. Участок 1Ростверк монолитный РСм13 (1 шт)  в оси Б/5Устройство бетонной подготовки фундаментов РСм13 из бетона В10, толщ. 100 мм(1 шт.)</t>
  </si>
  <si>
    <t>P0-02-010 - Центральная эстакада. Участок 1Ростверк монолитный РСм13 (1 шт)  в оси Б/5Монтаж - демонтаж опалубки заводского изготовления для фундамента РСм13 (1шт)</t>
  </si>
  <si>
    <t>P0-02-010 - Центральная эстакада. Участок 1Ростверк монолитный РСм13 (1 шт)  в оси Б/5Армированные фундамента РСм13 (1шт) ПРЯМИМИ стержнями диаметром 14 мм и более</t>
  </si>
  <si>
    <t>P0-02-010 - Центральная эстакада. Участок 1Ростверк монолитный РСм13 (1 шт)  в оси Б/5Армированные фундамента РСм13 (1 шт) ПРЯМИМИ стержнями диаметром  до 12 мм</t>
  </si>
  <si>
    <t>P0-02-010 - Центральная эстакада. Участок 1Ростверк монолитный РСм13 (1 шт)  в оси Б/5Армированные фундамента РСм13 (1шт) ГНУТЫЕ стержнями диаметром 14 мм и более</t>
  </si>
  <si>
    <t>P0-02-010 - Центральная эстакада. Участок 1Ростверк монолитный РСм13 (1 шт)  в оси Б/5Армированные фундамента РСм13 (1шт) ГНУТЫЕ стержнями диаметром  до 12 мм</t>
  </si>
  <si>
    <t xml:space="preserve">P0-02-010 - Центральная эстакада. Участок 1Ростверк монолитный РСм13 (1 шт)  в оси Б/5Изготовление и монтаж каркасов пространственных КР7 весом 19,51 кг/шт </t>
  </si>
  <si>
    <t xml:space="preserve">P0-02-010 - Центральная эстакада. Участок 1Ростверк монолитный РСм13 (1 шт)  в оси Б/5Изготовление и монтаж каркасов пространственных КР8 весом 7,88кг/шт </t>
  </si>
  <si>
    <t>P0-02-010 - Центральная эстакада. Участок 1Ростверк монолитный РСм13 (1 шт)  в оси Б/5Обеспечение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</si>
  <si>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1Ростверк монолитный РСм13 (1 шт)  в оси Б/5Устройство фундамента РСм13 (1шт) из бетона B25 W8 F200</t>
  </si>
  <si>
    <t>P0-02-010 - Центральная эстакада. Участок 1Ростверк монолитный РСм13 (1 шт)  в оси Б/5Монтаж сборных железобетонных элементов весом од 500 до 1,500 кг</t>
  </si>
  <si>
    <t>P0-02-010 - Центральная эстакада. Участок 1Ростверк монолитный РСм8б (7 шт)Устройство основания из песка толщиной 200мм под ростверков РСм8б - вручную</t>
  </si>
  <si>
    <t>P0-02-010 - Центральная эстакада. Участок 1Ростверк монолитный РСм8б (7 шт)Уплотнение основания из песка толщиной 200мм под ростверков РСм8б- вручную</t>
  </si>
  <si>
    <t>P0-02-010 - Центральная эстакада. Участок 1Ростверк монолитный РСм8б (7 шт)Устройство бетонной подготовки фундаментов РСм8б из бетона В10, толщ. 100 мм (7 шт)</t>
  </si>
  <si>
    <t>P0-02-010 - Центральная эстакада. Участок 1Ростверк монолитный РСм8б (7 шт)Монтаж - демонтаж опалубки заводского изготовления для фундамента  РСм8б (7 шт)</t>
  </si>
  <si>
    <t>P0-02-010 - Центральная эстакада. Участок 1Ростверк монолитный РСм8б (7 шт)Армированные фундамента РСм8б (7 шт) ПРЯМИМИ стержнями диаметром 14 мм и более</t>
  </si>
  <si>
    <t>P0-02-010 - Центральная эстакада. Участок 1Ростверк монолитный РСм8б (7 шт)Армированные фундамента РСм8б (7 шт) ПРЯМИМИ стержнями диаметром 14 мм и более - Монтаж</t>
  </si>
  <si>
    <t>P0-02-010 - Центральная эстакада. Участок 1Ростверк монолитный РСм8б (7 шт)Армированные фундамента РСм8б (7 шт) ПРЯМИМИ стержнями диаметром  до 12 мм</t>
  </si>
  <si>
    <t>P0-02-010 - Центральная эстакада. Участок 1Ростверк монолитный РСм8б (7 шт)Армированные фундамента  РСм8б (7 шт)  ГНУТЫЕ стержнями диаметром 14 мм и более</t>
  </si>
  <si>
    <t>P0-02-010 - Центральная эстакада. Участок 1Ростверк монолитный РСм8б (7 шт)Армированные фундамента РСм8б (7 шт)ПРЯМИМИ стержнями диаметром 14 мм и более</t>
  </si>
  <si>
    <t>P0-02-010 - Центральная эстакада. Участок 1Ростверк монолитный РСм8б (7 шт)Армированные фундамента РСм8б (7 шт) ГНУТЫЕ стержнями диаметром  до 12 мм</t>
  </si>
  <si>
    <t xml:space="preserve">P0-02-010 - Центральная эстакада. Участок 1Ростверк монолитный РСм8б (7 шт)Изготовление и монтаж каркасов пространственных КР7 весом 19,51 кг/шт </t>
  </si>
  <si>
    <t xml:space="preserve">P0-02-010 - Центральная эстакада. Участок 1Ростверк монолитный РСм8б (7 шт)Изготовление и монтаж каркасов пространственных КР8 весом 7,88кг/шт </t>
  </si>
  <si>
    <t>P0-02-010 - Центральная эстакада. Участок 1Ростверк монолитный РСм8б (7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</si>
  <si>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1Ростверк монолитный РСм8б (7 шт)Устройство фундамента РСм8б (7 шт) из бетона B25 W8 F200</t>
  </si>
  <si>
    <t>P0-02-010 - Центральная эстакада. Участок 1Ростверк монолитный РСм9а (4 шт)Устройство основания из песка толщиной 200мм под ростверков РСм9а - вручную</t>
  </si>
  <si>
    <t>P0-02-010 - Центральная эстакада. Участок 1Ростверк монолитный РСм9а (4 шт)Уплотнение основания из песка толщиной 200мм под ростверков РСм9а- вручную</t>
  </si>
  <si>
    <t>P0-02-010 - Центральная эстакада. Участок 1Ростверк монолитный РСм9а (4 шт)Устройство бетонной подготовки фундаментов РСм9а из бетона В10, толщ. 100 мм(4 шт.)</t>
  </si>
  <si>
    <t>P0-02-010 - Центральная эстакада. Участок 1Ростверк монолитный РСм9а (4 шт)Монтаж - демонтаж опалубки заводского изготовления для фундамента РСм9а (4 шт)</t>
  </si>
  <si>
    <t>P0-02-010 - Центральная эстакада. Участок 1Ростверк монолитный РСм9а (4 шт)Армированные фундамента РСм9а (4шт)  ПРЯМИМИ стержнями диаметром 14 мм и более</t>
  </si>
  <si>
    <t>P0-02-010 - Центральная эстакада. Участок 1Ростверк монолитный РСм9а (4 шт)Армированные фундамента РСм9а (4 шт) ПРЯМИМИ стержнями диаметром  до 12 мм</t>
  </si>
  <si>
    <t>P0-02-010 - Центральная эстакада. Участок 1Ростверк монолитный РСм9а (4 шт)Армированные фундамента РСм9а (4 шт) ГНУТЫЕ стержнями диаметром 14 мм и более</t>
  </si>
  <si>
    <t>P0-02-010 - Центральная эстакада. Участок 1Ростверк монолитный РСм9а (4 шт)Армированные фундамента РСм9а (4 шт) ГНУТЫЕ стержнями диаметром  до 12 мм</t>
  </si>
  <si>
    <t xml:space="preserve">P0-02-010 - Центральная эстакада. Участок 1Ростверк монолитный РСм9а (4 шт)Изготовление и монтаж каркасов пространственных КР9 весом 11,82 кг/шт </t>
  </si>
  <si>
    <t xml:space="preserve">P0-02-010 - Центральная эстакада. Участок 1Ростверк монолитный РСм9а (4 шт)Изготовление и монтаж каркасов пространственных КР10 весом 3,94кг/шт </t>
  </si>
  <si>
    <t>P0-02-010 - Центральная эстакада. Участок 1Ростверк монолитный РСм9а (4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</si>
  <si>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1Ростверк монолитный РСм9а (4 шт)Устройство фундамента РСм9а (4шт) из бетона B25 W8 F200</t>
  </si>
  <si>
    <t>P0-02-010 - Центральная эстакада. Участок 1Ростверк монолитный РСм9б (4 шт)Устройство основания из песка толщиной 200мм под ростверков РСм9б - вручную</t>
  </si>
  <si>
    <t>P0-02-010 - Центральная эстакада. Участок 1Ростверк монолитный РСм9б (4 шт)Уплотнение основания из песка толщиной 200мм под ростверков РСм9б- вручную</t>
  </si>
  <si>
    <t>P0-02-010 - Центральная эстакада. Участок 1Ростверк монолитный РСм9б (4 шт)Устройство бетонной подготовки фундаментов РСм9б из бетона В10, толщ. 100 мм(4 шт.)</t>
  </si>
  <si>
    <t>P0-02-010 - Центральная эстакада. Участок 1Ростверк монолитный РСм9б (4 шт)Монтаж - демонтаж опалубки заводского изготовления для фундамента РСм9б (4 шт)</t>
  </si>
  <si>
    <t>P0-02-010 - Центральная эстакада. Участок 1Ростверк монолитный РСм9б (4 шт)Армированные фундамента РСм9б (4шт) ПРЯМИМИ стержнями диаметром 14 мм и более</t>
  </si>
  <si>
    <t>P0-02-010 - Центральная эстакада. Участок 1Ростверк монолитный РСм9б (4 шт)Армированные фундамента РСм9б (4шт) ПРЯМИМИ стержнями диаметром  до 12 мм</t>
  </si>
  <si>
    <t>P0-02-010 - Центральная эстакада. Участок 1Ростверк монолитный РСм9б (4 шт)Армированные фундамента РСм9б (4 шт) ГНУТЫЕ стержнями диаметром 14 мм и более</t>
  </si>
  <si>
    <t>P0-02-010 - Центральная эстакада. Участок 1Ростверк монолитный РСм9б (4 шт)Армированные фундамента РСм9б (4 шт) ГНУТЫЕ стержнями диаметром  до 12 мм</t>
  </si>
  <si>
    <t xml:space="preserve">P0-02-010 - Центральная эстакада. Участок 1Ростверк монолитный РСм9б (4 шт)Изготовление и монтаж каркасов пространственных КР9 весом 11,82 кг/шт </t>
  </si>
  <si>
    <t xml:space="preserve">P0-02-010 - Центральная эстакада. Участок 1Ростверк монолитный РСм9б (4 шт)Изготовление и монтаж каркасов пространственных КР10 весом 3,94кг/шт </t>
  </si>
  <si>
    <t>P0-02-010 - Центральная эстакада. Участок 1Ростверк монолитный РСм9б (4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</si>
  <si>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1Ростверк монолитный РСм9б (4 шт)Устройство фундамента РСм9б (4 шт) из бетона  B25 W8 F200</t>
  </si>
  <si>
    <t>P0-02-010 - Центральная эстакада. Участок 1Ростверк монолитный РСм10 (14 шт)Устройство основания из песка толщиной 200мм под ростверков РСм10 - вручную</t>
  </si>
  <si>
    <t>P0-02-010 - Центральная эстакада. Участок 1Ростверк монолитный РСм10 (14 шт)Уплотнение основания из песка толщиной 200мм под ростверков РСм10- вручную</t>
  </si>
  <si>
    <t>P0-02-010 - Центральная эстакада. Участок 1Ростверк монолитный РСм10 (14 шт)Устройство бетонной подготовки фундаментов РСм10 из бетона В10, толщ. 100 мм(14 шт.)</t>
  </si>
  <si>
    <t>P0-02-010 - Центральная эстакада. Участок 1Ростверк монолитный РСм10 (14 шт)Монтаж - демонтаж опалубки заводского изготовления для фундамента РСм10 (14шт)</t>
  </si>
  <si>
    <t>P0-02-010 - Центральная эстакада. Участок 1Ростверк монолитный РСм10 (14 шт)Армированные фундамента РСм10 (14шт) ПРЯМИМИ стержнями диаметром 14 мм и более</t>
  </si>
  <si>
    <t xml:space="preserve">P0-02-010 - Центральная эстакада. Участок 1Ростверк монолитный РСм10 (14 шт)Армированные фундамента РСм10 (14шт) ПРЯМИМИ стержнями диаметром 14 мм и более  - Изготовление </t>
  </si>
  <si>
    <t>P0-02-010 - Центральная эстакада. Участок 1Ростверк монолитный РСм10 (14 шт)Армированные фундамента РСм10 (14 шт) ПРЯМИМИ стержнями диаметром  до 12 мм</t>
  </si>
  <si>
    <t>P0-02-010 - Центральная эстакада. Участок 1Ростверк монолитный РСм10 (14 шт)Армированные фундамента РСм10 (14 шт) ГНУТЫЕ стержнями диаметром 14 мм и более</t>
  </si>
  <si>
    <t xml:space="preserve">P0-02-010 - Центральная эстакада. Участок 1Ростверк монолитный РСм10 (14 шт)Армированные фундамента РСм10 (14 шт) ГНУТЫЕ стержнями диаметром 14 мм и более - Изготовление </t>
  </si>
  <si>
    <t>P0-02-010 - Центральная эстакада. Участок 1Ростверк монолитный РСм10 (14 шт)Армированные фундамента РСм10 (14шт) ГНУТЫЕ стержнями диаметром  до 12 мм</t>
  </si>
  <si>
    <t xml:space="preserve">P0-02-010 - Центральная эстакада. Участок 1Ростверк монолитный РСм10 (14 шт)Изготовление и монтаж каркасов пространственных КР9 весом 11,82 кг/шт </t>
  </si>
  <si>
    <t xml:space="preserve">P0-02-010 - Центральная эстакада. Участок 1Ростверк монолитный РСм10 (14 шт)Изготовление и монтаж каркасов пространственных КР10 весом 3,94кг/шт </t>
  </si>
  <si>
    <t>P0-02-010 - Центральная эстакада. Участок 1Ростверк монолитный РСм10 (14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</si>
  <si>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1Ростверк монолитный РСм10 (14 шт)Устройство фундамента РСм10 (14шт) из бетона B25 W8 F200</t>
  </si>
  <si>
    <t>P0-02-010 - Центральная эстакада. Участок 1Ростверк монолитный РСм13 (1 шт)Устройство основания из песка толщиной 200мм под ростверков РСм13 - вручную</t>
  </si>
  <si>
    <t>P0-02-010 - Центральная эстакада. Участок 1Ростверк монолитный РСм13 (1 шт)Уплотнение основания из песка толщиной 200мм под ростверков РСм13- вручную</t>
  </si>
  <si>
    <t>P0-02-010 - Центральная эстакада. Участок 1Ростверк монолитный РСм13 (1 шт)Устройство бетонной подготовки фундаментов РСм13 из бетона В10, толщ. 100 мм(1 шт.)</t>
  </si>
  <si>
    <t>P0-02-010 - Центральная эстакада. Участок 1Ростверк монолитный РСм13 (1 шт)Монтаж - демонтаж опалубки заводского изготовления для фундамента РСм13 (1шт)</t>
  </si>
  <si>
    <t>P0-02-010 - Центральная эстакада. Участок 1Ростверк монолитный РСм13 (1 шт)Армированные фундамента РСм13 (1шт) ПРЯМИМИ стержнями диаметром 14 мм и более</t>
  </si>
  <si>
    <t>P0-02-010 - Центральная эстакада. Участок 1Ростверк монолитный РСм13 (1 шт)Армированные фундамента РСм13 (1 шт) ПРЯМИМИ стержнями диаметром  до 12 мм</t>
  </si>
  <si>
    <t>P0-02-010 - Центральная эстакада. Участок 1Ростверк монолитный РСм13 (1 шт)Армированные фундамента РСм13 (1шт) ГНУТЫЕ стержнями диаметром 14 мм и более</t>
  </si>
  <si>
    <t>P0-02-010 - Центральная эстакада. Участок 1Ростверк монолитный РСм13 (1 шт)Армированные фундамента РСм13 (1шт) ГНУТЫЕ стержнями диаметром  до 12 мм</t>
  </si>
  <si>
    <t xml:space="preserve">P0-02-010 - Центральная эстакада. Участок 1Ростверк монолитный РСм13 (1 шт)Изготовление и монтаж каркасов пространственных КР7 весом 19,51 кг/шт </t>
  </si>
  <si>
    <t xml:space="preserve">P0-02-010 - Центральная эстакада. Участок 1Ростверк монолитный РСм13 (1 шт)Изготовление и монтаж каркасов пространственных КР8 весом 7,88кг/шт </t>
  </si>
  <si>
    <t>P0-02-010 - Центральная эстакада. Участок 1Ростверк монолитный РСм13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</si>
  <si>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1Ростверк монолитный РСм13 (1 шт)Устройство фундамента РСм13 (1шт) из бетона B25 W8 F200</t>
  </si>
  <si>
    <t>P0-02-010 - Центральная эстакада. Участок 1Ростверк монолитный РСм14 (2шт)Устройство бетонной подготовки фундаментов РСм14 из бетона В10, толщ. 100 мм(2 шт.)</t>
  </si>
  <si>
    <t>P0-02-010 - Центральная эстакада. Участок 1Ростверк монолитный РСм14 (2шт)Монтаж - демонтаж опалубки заводского изготовления для фундамента РСм14 (2шт)</t>
  </si>
  <si>
    <t>P0-02-010 - Центральная эстакада. Участок 1Ростверк монолитный РСм14 (2шт)Армированные фундамента РСм14 (2шт) ПРЯМИМИ стержнями диаметром 14 мм и более</t>
  </si>
  <si>
    <t>P0-02-010 - Центральная эстакада. Участок 1Ростверк монолитный РСм14 (2шт)Армированные фундамента РСм14(2шт) ГНУТЫЕ стержнями диаметром  до 12 мм</t>
  </si>
  <si>
    <t xml:space="preserve">P0-02-010 - Центральная эстакада. Участок 1Ростверк монолитный РСм14 (2шт)Установка анкерных болтов М1 (перед бетонированием) диаметром от Ø20мм до Ø40мм </t>
  </si>
  <si>
    <t>P0-02-010 - Центральная эстакада. Участок 1Ростверк монолитный РСм14 (2шт)Устройство фундамента РСм14 (2шт) из бетона B25 W8 F200</t>
  </si>
  <si>
    <t>P0-02-010 - Центральная эстакада. Участок 1Ростверк монолитный РСм14 (2шт)Устройство подливки фундамента РСм14 (2шт) толщиной 50мм</t>
  </si>
  <si>
    <t>P0-02-010 - Центральная эстакада. Участок 1Ростверк монолитный РСм14 (2шт)Монтаж сборных железобетонных элементов весом од 1,500-3,500 кг</t>
  </si>
  <si>
    <t>P0-02-010 - Центральная эстакада. Участок 1Ростверк монолитный РСм1а (10 шт), РСм1б (1шт)Устройство бетонной подготовки фундаментов РСм1а (10 шт), РСм1б (1шт)  из бетона В10, толщ. 100 мм</t>
  </si>
  <si>
    <t>P0-02-010 - Центральная эстакада. Участок 1Ростверк монолитный РСм1а (10 шт), РСм1б (1шт)Монтаж - демонтаж опалубки заводского изготовления для фундамента  РСм1а (10 шт), РСм1б (1шт)</t>
  </si>
  <si>
    <t>P0-02-010 - Центральная эстакада. Участок 1Ростверк монолитный РСм1а (10 шт), РСм1б (1шт)Армированные фундамента РСм1а (10 шт), РСм1б (1шт)  ПРЯМИМИ стержнями диаметром 14 мм и более</t>
  </si>
  <si>
    <t>P0-02-010 - Центральная эстакада. Участок 1Ростверк монолитный РСм1а (10 шт), РСм1б (1шт)Армированные фундамента РСм1а (10 шт), РСм1б (1шт)   ПРЯМИМИ стержнями диаметром  до 12 мм</t>
  </si>
  <si>
    <t>P0-02-010 - Центральная эстакада. Участок 1Ростверк монолитный РСм1а (10 шт), РСм1б (1шт)Армированные фундаментаРСм1а (10 шт), РСм1б (1шт) ГНУТЫЕ стержнями диаметром 14 мм и более</t>
  </si>
  <si>
    <t>P0-02-010 - Центральная эстакада. Участок 1Ростверк монолитный РСм1а (10 шт), РСм1б (1шт)Армированные фундамента РСм1а (10 шт), РСм1б (1шт)  ГНУТЫЕ стержнями диаметром  до 12 мм</t>
  </si>
  <si>
    <t xml:space="preserve">P0-02-010 - Центральная эстакада. Участок 1Ростверк монолитный РСм1а (10 шт), РСм1б (1шт)Изготовление и монтаж каркасов пространственных КР1 весом 12,24 кг/шт </t>
  </si>
  <si>
    <t xml:space="preserve">P0-02-010 - Центральная эстакада. Участок 1Ростверк монолитный РСм1а (10 шт), РСм1б (1шт)Изготовление и монтаж каркасов пространственных КР2 весом 4,46 кг/шт </t>
  </si>
  <si>
    <t>P0-02-010 - Центральная эстакада. Участок 1Ростверк монолитный РСм1а (10 шт), РСм1б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</si>
  <si>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1Ростверк монолитный РСм1а (10 шт), РСм1б (1шт)Устройство фундамента РСм1а (10 шт РСм1а (10 шт), РСм1б (1шт) из бетона B25 W8 F200</t>
  </si>
  <si>
    <t>P0-02-010 - Центральная эстакада. Участок 1Ростверк монолитный РСм2 (13 шт)Устройство бетонной подготовки фундаментов РСм2 из бетона В10, толщ. 100 мм(13шт.)</t>
  </si>
  <si>
    <t>P0-02-010 - Центральная эстакада. Участок 1Ростверк монолитный РСм2 (13 шт)Монтаж - демонтаж опалубки заводского изготовления для фундамента РСм2 (13 шт)</t>
  </si>
  <si>
    <t>P0-02-010 - Центральная эстакада. Участок 1Ростверк монолитный РСм2 (13 шт)Армированные фундамента РСм2 (13 шт)  ПРЯМИМИ стержнями диаметром 14 мм и более</t>
  </si>
  <si>
    <t>P0-02-010 - Центральная эстакада. Участок 1Ростверк монолитный РСм2 (13 шт)Армированные фундамента РСм2 (13 шт) ПРЯМИМИ стержнями диаметром  до 12 мм</t>
  </si>
  <si>
    <t>P0-02-010 - Центральная эстакада. Участок 1Ростверк монолитный РСм2 (13 шт)Армированные фундамента РСм2 (13 шт) ГНУТЫЕ стержнями диаметром 14 мм и более</t>
  </si>
  <si>
    <t>P0-02-010 - Центральная эстакада. Участок 1Ростверк монолитный РСм2 (13 шт)Армированные фундамента РСм2 (13 шт) ГНУТЫЕ стержнями диаметром  до 12 мм</t>
  </si>
  <si>
    <t xml:space="preserve">P0-02-010 - Центральная эстакада. Участок 1Ростверк монолитный РСм2 (13 шт)Изготовление и монтаж каркасов пространственных КР3  весом 12,46 кг/шт </t>
  </si>
  <si>
    <t xml:space="preserve">P0-02-010 - Центральная эстакада. Участок 1Ростверк монолитный РСм2 (13 шт)Изготовление и монтаж каркасов пространственных КР4  весом 4,54 кг/шт </t>
  </si>
  <si>
    <t>P0-02-010 - Центральная эстакада. Участок 1Ростверк монолитный РСм2 (13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</si>
  <si>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1Ростверк монолитный РСм2 (13 шт)Устройство фундамента РСм2 (13 шт) из бетона B25 W8 F200</t>
  </si>
  <si>
    <t>P0-02-010 - Центральная эстакада. Участок 1Ростверк монолитный РСм3 (8 шт)Устройство бетонной подготовки фундаментов РСм3 из бетона В10, толщ. 100 мм(8 шт.)</t>
  </si>
  <si>
    <t>P0-02-010 - Центральная эстакада. Участок 1Ростверк монолитный РСм3 (8 шт)Монтаж - демонтаж опалубки заводского изготовления для фундамента РСм3 (8 шт)</t>
  </si>
  <si>
    <t>P0-02-010 - Центральная эстакада. Участок 1Ростверк монолитный РСм3 (8 шт)Армированные фундамента РСм3 (8 шт) ПРЯМИМИ стержнями диаметром 14 мм и более</t>
  </si>
  <si>
    <t>P0-02-010 - Центральная эстакада. Участок 1Ростверк монолитный РСм3 (8 шт)Армированные фундамента РСм3 (8 шт) ПРЯМИМИ стержнями диаметром  до 12 мм</t>
  </si>
  <si>
    <t>P0-02-010 - Центральная эстакада. Участок 1Ростверк монолитный РСм3 (8 шт)Армированные фундамента РСм3 (8 шт) ГНУТЫЕ стержнями диаметром 14 мм и более</t>
  </si>
  <si>
    <t>P0-02-010 - Центральная эстакада. Участок 1Ростверк монолитный РСм3 (8 шт)Армированные фундамента РСм3 (8 шт) ГНУТЫЕ стержнями диаметром  до 12 мм</t>
  </si>
  <si>
    <t>P0-02-010 - Центральная эстакада. Участок 1Ростверк монолитный РСм3 (8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</si>
  <si>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1Ростверк монолитный РСм3 (8 шт)Устройство фундамента РСм3 (8 шт) из бетона  B25 W8 F200</t>
  </si>
  <si>
    <t>P0-02-010 - Центральная эстакада. Участок 1Ростверк монолитный РСм4 (1 шт)Устройство бетонной подготовки фундаментов РСм4 из бетона В10, толщ. 100 мм(1 шт.)</t>
  </si>
  <si>
    <t>P0-02-010 - Центральная эстакада. Участок 1Ростверк монолитный РСм4 (1 шт)Монтаж - демонтаж опалубки заводского изготовления для фундамента РСм4 (1шт)</t>
  </si>
  <si>
    <t>P0-02-010 - Центральная эстакада. Участок 1Ростверк монолитный РСм4 (1 шт)Армированные фундамента РСм4 (1шт) ПРЯМИМИ стержнями диаметром 14 мм и более</t>
  </si>
  <si>
    <t>P0-02-010 - Центральная эстакада. Участок 1Ростверк монолитный РСм4 (1 шт)Армированные фундамента РСм4 (1 шт) ПРЯМИМИ стержнями диаметром  до 12 мм</t>
  </si>
  <si>
    <t>P0-02-010 - Центральная эстакада. Участок 1Ростверк монолитный РСм4 (1 шт)Армированные фундамента РСм4 (1шт) ГНУТЫЕ стержнями диаметром 14 мм и более</t>
  </si>
  <si>
    <t>P0-02-010 - Центральная эстакада. Участок 1Ростверк монолитный РСм4 (1 шт)Армированные фундамента РСм4 (1шт) ГНУТЫЕ стержнями диаметром  до 12 мм</t>
  </si>
  <si>
    <t xml:space="preserve">P0-02-010 - Центральная эстакада. Участок 1Ростверк монолитный РСм4 (1 шт)Изготовление и монтаж каркасов пространственных КР2 весом 4,41кг/шт </t>
  </si>
  <si>
    <t xml:space="preserve">P0-02-010 - Центральная эстакада. Участок 1Ростверк монолитный РСм4 (1 шт)Изготовление и монтаж каркасов пространственных КР5 весом 14,33 кг/шт </t>
  </si>
  <si>
    <t xml:space="preserve">P0-02-010 - Центральная эстакада. Участок 1Ростверк монолитный РСм4 (1 шт)Изготовление и монтаж каркасов пространственных КР6 весом 6,62кг/шт </t>
  </si>
  <si>
    <t>P0-02-010 - Центральная эстакада. Участок 1Ростверк монолитный РСм4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</si>
  <si>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1Ростверк монолитный РСм4 (1 шт)Устройство фундамента РСм4 (1шт) из бетона B25 W8 F200</t>
  </si>
  <si>
    <t>P0-02-010 - Центральная эстакада. Участок 1Ростверк монолитный РСм5 (1 шт)Устройство бетонной подготовки фундаментов РСм5 из бетона В10, толщ. 100 мм(1 шт.)</t>
  </si>
  <si>
    <t>P0-02-010 - Центральная эстакада. Участок 1Ростверк монолитный РСм5 (1 шт)Монтаж - демонтаж опалубки заводского изготовления для фундамента РСм5 (1шт)</t>
  </si>
  <si>
    <t>P0-02-010 - Центральная эстакада. Участок 1Ростверк монолитный РСм5 (1 шт)Армированные фундамента РСм5 (1шт) ПРЯМИМИ стержнями диаметром 14 мм и более</t>
  </si>
  <si>
    <t>P0-02-010 - Центральная эстакада. Участок 1Ростверк монолитный РСм5 (1 шт)Армированные фундамента РСм5 (1 шт) ПРЯМИМИ стержнями диаметром  до 12 мм</t>
  </si>
  <si>
    <t>P0-02-010 - Центральная эстакада. Участок 1Ростверк монолитный РСм5 (1 шт)Армированные фундамента РСм5 (1шт) ГНУТЫЕ стержнями диаметром 14 мм и более</t>
  </si>
  <si>
    <t>P0-02-010 - Центральная эстакада. Участок 1Ростверк монолитный РСм5 (1 шт)Армированные фундамента РСм5 (1шт) ГНУТЫЕ стержнями диаметром  до 12 мм</t>
  </si>
  <si>
    <t xml:space="preserve">P0-02-010 - Центральная эстакада. Участок 1Ростверк монолитный РСм5 (1 шт)Изготовление и монтаж каркасов пространственных КР3 весом 12,47кг/шт </t>
  </si>
  <si>
    <t xml:space="preserve">P0-02-010 - Центральная эстакада. Участок 1Ростверк монолитный РСм5 (1 шт)Изготовление и монтаж каркасов пространственных КР4 весом 4,53кг/шт </t>
  </si>
  <si>
    <t>P0-02-010 - Центральная эстакада. Участок 1Ростверк монолитный РСм5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</si>
  <si>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1Ростверк монолитный РСм5 (1 шт)Устройство фундамента РСм4 (1шт) из бетона B25 W8 F200</t>
  </si>
  <si>
    <t>P0-02-010 - Центральная эстакада. Участок 1Ростверк монолитный РСм6 (1шт)Устройство бетонной подготовки фундаментов РСм6 из бетона В10, толщ. 100 мм(1 шт.)</t>
  </si>
  <si>
    <t>P0-02-010 - Центральная эстакада. Участок 1Ростверк монолитный РСм6 (1шт)Монтаж - демонтаж опалубки заводского изготовления для фундамента РСм6 (1шт)-(нижний ярус)</t>
  </si>
  <si>
    <t>P0-02-010 - Центральная эстакада. Участок 1Ростверк монолитный РСм6 (1шт)Монтаж - демонтаж опалубки заводского изготовления для фундамента РСм6 (1шт)-(верхний ярус)</t>
  </si>
  <si>
    <t>P0-02-010 - Центральная эстакада. Участок 1Ростверк монолитный РСм6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</si>
  <si>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1Ростверк монолитный РСм6 (1шт)Армированные фундамента РСм6 (1шт) ПРЯМИМИ стержнями диаметром 14 мм и более</t>
  </si>
  <si>
    <t>P0-02-010 - Центральная эстакада. Участок 1Ростверк монолитный РСм6 (1шт)Армированные фундамента РСм6(1шт) ГНУТЫЕ стержнями диаметром  до 12 мм</t>
  </si>
  <si>
    <t xml:space="preserve">P0-02-010 - Центральная эстакада. Участок 1Ростверк монолитный РСм6 (1шт)Установка анкерных болтов М1 (перед бетонированием) диаметром от Ø20мм до Ø40мм </t>
  </si>
  <si>
    <t>P0-02-010 - Центральная эстакада. Участок 1Ростверк монолитный РСм6 (1шт)Устройство фундамента РСм6 (1шт) из бетона B25 W8 F200</t>
  </si>
  <si>
    <t>P0-02-010 - Центральная эстакада. Участок 1Ростверк монолитный РСм6 (1шт)Устройство подливки фундамента РСм6 (1шт) толщиной 50мм</t>
  </si>
  <si>
    <t>P0-02-010 - Центральная эстакада. Участок 1Ростверк монолитный РСм6 (1шт)Монтаж сборных железобетонных элементов весом од 1,500-3,500 кг</t>
  </si>
  <si>
    <t>P0-02-010 - Центральная эстакада. Участок 1Ростверк монолитный РСм1а (14 шт)Устройство бетонной подготовки фундаментов РСм1а из бетона В10, толщ. 100 мм (14 шт)</t>
  </si>
  <si>
    <t xml:space="preserve">P0-02-010 - Центральная эстакада. Участок 1Ростверк монолитный РСм1а (14 шт)Монтаж - демонтаж опалубки заводского изготовления для фундамента  РСм1а (14 шт) </t>
  </si>
  <si>
    <t>P0-02-010 - Центральная эстакада. Участок 1Ростверк монолитный РСм1а (14 шт)Армированные фундамента РСм1а (14шт) ПРЯМИМИ стержнями диаметром 14 мм и более</t>
  </si>
  <si>
    <t>P0-02-010 - Центральная эстакада. Участок 1Ростверк монолитный РСм1а (14 шт)Армированные фундамента РСм1а (14 шт) ПРЯМИМИ стержнями диаметром  до 12 мм</t>
  </si>
  <si>
    <t>P0-02-010 - Центральная эстакада. Участок 1Ростверк монолитный РСм1а (14 шт)Армированные фундамента РСм1а (14 шт)  ГНУТЫЕ стержнями диаметром 14 мм и более</t>
  </si>
  <si>
    <t>P0-02-010 - Центральная эстакада. Участок 1Ростверк монолитный РСм1а (14 шт)Армированные фундамента РСм1а (14 шт) ГНУТЫЕ стержнями диаметром  до 12 мм</t>
  </si>
  <si>
    <t xml:space="preserve">P0-02-010 - Центральная эстакада. Участок 1Ростверк монолитный РСм1а (14 шт)Изготовление и монтаж каркасов пространственных КР1 весом 12,13 кг/шт </t>
  </si>
  <si>
    <t xml:space="preserve">P0-02-010 - Центральная эстакада. Участок 1Ростверк монолитный РСм1а (14 шт)Изготовление и монтаж каркасов пространственных КР2 весом 4,41 кг/шт </t>
  </si>
  <si>
    <t>P0-02-010 - Центральная эстакада. Участок 1Ростверк монолитный РСм1а (14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</si>
  <si>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1Ростверк монолитный РСм1а (14 шт)Устройство фундамента РСм1а (14 шт) из бетона B25 W8 F200</t>
  </si>
  <si>
    <t>P0-02-010 - Центральная эстакада. Участок 1Ростверк монолитный РСм2 (18 шт)Устройство бетонной подготовки фундаментов РСм2 из бетона В10, толщ. 100 мм(18 шт.)</t>
  </si>
  <si>
    <t>P0-02-010 - Центральная эстакада. Участок 1Ростверк монолитный РСм2 (18 шт)Монтаж - демонтаж опалубки заводского изготовления для фундамента РСм2 (18 шт)</t>
  </si>
  <si>
    <t>P0-02-010 - Центральная эстакада. Участок 1Ростверк монолитный РСм2 (18 шт)Армированные фундамента РСм2 (18 шт)  ПРЯМИМИ стержнями диаметром 14 мм и более</t>
  </si>
  <si>
    <t>P0-02-010 - Центральная эстакада. Участок 1Ростверк монолитный РСм2 (18 шт)Армированные фундамента РСм2 (18 шт) ПРЯМИМИ стержнями диаметром  до 12 мм</t>
  </si>
  <si>
    <t>P0-02-010 - Центральная эстакада. Участок 1Ростверк монолитный РСм2 (18 шт)Армированные фундамента РСм2 (18 шт) ГНУТЫЕ стержнями диаметром 14 мм и более</t>
  </si>
  <si>
    <t>P0-02-010 - Центральная эстакада. Участок 1Ростверк монолитный РСм2 (18 шт)Армированные фундамента РСм2 (18 шт) ГНУТЫЕ стержнями диаметром  до 12 мм</t>
  </si>
  <si>
    <t xml:space="preserve">P0-02-010 - Центральная эстакада. Участок 1Ростверк монолитный РСм2 (18 шт)Изготовление и монтаж каркасов пространственных КР3  весом 12,46 кг/шт </t>
  </si>
  <si>
    <t xml:space="preserve">P0-02-010 - Центральная эстакада. Участок 1Ростверк монолитный РСм2 (18 шт)Изготовление и монтаж каркасов пространственных КР4  весом 4,54 кг/шт </t>
  </si>
  <si>
    <t>P0-02-010 - Центральная эстакада. Участок 1Ростверк монолитный РСм2 (18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</si>
  <si>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1Ростверк монолитный РСм2 (18 шт)Устройство фундамента РСм2 (18 шт) из бетона B25 W8 F200</t>
  </si>
  <si>
    <t>P0-02-010 - Центральная эстакада. Участок 1Ростверк монолитный РСм6 (3шт)Устройство бетонной подготовки фундаментов РСм6 из бетона В10, толщ. 100 мм(3 шт.)</t>
  </si>
  <si>
    <t>P0-02-010 - Центральная эстакада. Участок 1Ростверк монолитный РСм6 (3шт)Монтаж - демонтаж опалубки заводского изготовления для фундамента РСм6 (3шт)-(нижний ярус)</t>
  </si>
  <si>
    <t>P0-02-010 - Центральная эстакада. Участок 1Ростверк монолитный РСм6 (3шт)Монтаж - демонтаж опалубки заводского изготовления для фундамента РСм6 (3шт)-(верхний ярус)</t>
  </si>
  <si>
    <t>P0-02-010 - Центральная эстакада. Участок 1Ростверк монолитный РСм6 (3шт)Обеспечение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</si>
  <si>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1Ростверк монолитный РСм6 (3шт)Армированные фундамента РСм6 (3шт) ПРЯМИМИ стержнями диаметром 14 мм и более</t>
  </si>
  <si>
    <t>P0-02-010 - Центральная эстакада. Участок 1Ростверк монолитный РСм6 (3шт)Армированные фундамента РСм6(3шт) ГНУТЫЕ стержнями диаметром  до 12 мм</t>
  </si>
  <si>
    <t xml:space="preserve">P0-02-010 - Центральная эстакада. Участок 1Ростверк монолитный РСм6 (3шт)Установка анкерных болтов М1 (перед бетонированием) диаметром от Ø20мм до Ø40мм </t>
  </si>
  <si>
    <t>P0-02-010 - Центральная эстакада. Участок 1Ростверк монолитный РСм6 (3шт)Устройство фундамента РСм6 (3шт) из бетона B25 W8 F200</t>
  </si>
  <si>
    <t>P0-02-010 - Центральная эстакада. Участок 1Ростверк монолитный РСм6 (3шт)Устройство подливки фундамента РСм6 (3шт) толщиной 50мм</t>
  </si>
  <si>
    <t>P0-02-010 - Центральная эстакада. Участок 1Ростверк монолитный РСм7а (1 шт), РСм7б (1 шт)Устройство бетонной подготовки фундаментов РСм7а (1 шт), РСм7б (1 шт) из бетона В10, толщ. 100 мм</t>
  </si>
  <si>
    <t>P0-02-010 - Центральная эстакада. Участок 1Ростверк монолитный РСм7а (1 шт), РСм7б (1 шт)Монтаж - демонтаж опалубки заводского изготовления для фундамента РСм7а (1 шт), РСм7б (1 шт)</t>
  </si>
  <si>
    <t>P0-02-010 - Центральная эстакада. Участок 1Ростверк монолитный РСм7а (1 шт), РСм7б (1 шт)Армированные фундамента РСм7а (1 шт), РСм7б (1 шт) ПРЯМИМИ стержнями диаметром 14 мм и более</t>
  </si>
  <si>
    <t>P0-02-010 - Центральная эстакада. Участок 1Ростверк монолитный РСм7а (1 шт), РСм7б (1 шт)Армированные фундамента РСм7а (1 шт), РСм7б (1 шт)  ПРЯМИМИ стержнями диаметром  до 12 мм</t>
  </si>
  <si>
    <t>P0-02-010 - Центральная эстакада. Участок 1Ростверк монолитный РСм7а (1 шт), РСм7б (1 шт)Армированные фундамента РСм7а (1 шт), РСм7б (1 шт) ГНУТЫЕ стержнями диаметром 14 мм и более</t>
  </si>
  <si>
    <t>P0-02-010 - Центральная эстакада. Участок 1Ростверк монолитный РСм7а (1 шт), РСм7б (1 шт)Армированные фундамента РСм7а (1 шт), РСм7б (1 шт) ГНУТЫЕ стержнями диаметром  до 12 мм</t>
  </si>
  <si>
    <t xml:space="preserve">P0-02-010 - Центральная эстакада. Участок 1Ростверк монолитный РСм7а (1 шт), РСм7б (1 шт)Изготовление и монтаж каркасов пространственных КР1 весом 12,13кг/шт </t>
  </si>
  <si>
    <t xml:space="preserve">P0-02-010 - Центральная эстакада. Участок 1Ростверк монолитный РСм7а (1 шт), РСм7б (1 шт)Изготовление и монтаж каркасов пространственных КР2 весом 4,41кг/шт </t>
  </si>
  <si>
    <t>P0-02-010 - Центральная эстакада. Участок 1Ростверк монолитный РСм7а (1 шт), РСм7б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</si>
  <si>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1Ростверк монолитный РСм7а (1 шт), РСм7б (1 шт)Устройство фундамента РСм7а (1 шт), РСм7б (1 шт) из бетона B25 W8 F200</t>
  </si>
  <si>
    <t>P0-02-010 - Центральная эстакада. Участок 1Ростверк монолитный РСм15 (2шт)Устройство бетонной подготовки фундаментов РСм15 из бетона В10, толщ. 100 мм(2 шт.)</t>
  </si>
  <si>
    <t>P0-02-010 - Центральная эстакада. Участок 1Ростверк монолитный РСм15 (2шт)Монтаж - демонтаж опалубки заводского изготовления для фундамента РСм15 (2шт)-(нижний ярус)</t>
  </si>
  <si>
    <t>P0-02-010 - Центральная эстакада. Участок 1Ростверк монолитный РСм15 (2шт)Монтаж - демонтаж опалубки заводского изготовления для фундамента РСм15 (2шт)-(верхний ярус)</t>
  </si>
  <si>
    <t>P0-02-010 - Центральная эстакада. Участок 1Ростверк монолитный РСм15 (2шт)Обеспечение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</si>
  <si>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1Ростверк монолитный РСм15 (2шт)Армированные фундамента РСм15 (2шт) ПРЯМИМИ стержнями диаметром 14 мм и более</t>
  </si>
  <si>
    <t>P0-02-010 - Центральная эстакада. Участок 1Ростверк монолитный РСм15 (2шт)Армированные фундамента РСм15(2шт) ГНУТЫЕ стержнями диаметром  до 12 мм</t>
  </si>
  <si>
    <t xml:space="preserve">P0-02-010 - Центральная эстакада. Участок 1Ростверк монолитный РСм15 (2шт)Установка анкерных болтов М1 (перед бетонированием) диаметром от Ø20мм до Ø40мм </t>
  </si>
  <si>
    <t>P0-02-010 - Центральная эстакада. Участок 1Ростверк монолитный РСм15 (2шт)Устройство фундамента РСм15 (2шт) из бетона B25 W8 F200</t>
  </si>
  <si>
    <t>P0-02-010 - Центральная эстакада. Участок 1Ростверк монолитный РСм15 (2шт)Устройство подливки фундамента РСм15 (2шт) толщиной 50мм</t>
  </si>
  <si>
    <t>P0-02-010 - Центральная эстакада. Участок 1Ростверк монолитный РСм15 (2шт)Монтаж сборных железобетонных элементов весом од 1,500-3,500 кг</t>
  </si>
  <si>
    <t>P0-02-010 - Центральная эстакада. Участок 1Колонна монолитная Км1-1 Армированные колонн Км1-1 (3 шт) ПРЯМЫМИ стержнями диаметром 14 мм и более</t>
  </si>
  <si>
    <t>P0-02-010 - Центральная эстакада. Участок 1Колонна монолитная Км1-1 Армированные колонн Км1-1 (3 шт) ГНУТЫМИ стержнями диаметром до 12 мм</t>
  </si>
  <si>
    <t xml:space="preserve">P0-02-010 - Центральная эстакада. Участок 1Колонна монолитная Км1-1 Установка анкерных блоков АБ1 весом 55,199кг/шт (перед бетонированием) диаметром от Ø20мм до Ø40мм </t>
  </si>
  <si>
    <t>P0-02-010 - Центральная эстакада. Участок 1Колонна монолитная Км1-1 Монтаж закладных деталей ЗДИ1 колонн весом от 100,1-140,0кг.</t>
  </si>
  <si>
    <t>P0-02-010 - Центральная эстакада. Участок 1Колонна монолитная Км1-1 Монтаж закладных деталей ЗДИ4 колонн весом от 50,1-70,0кг</t>
  </si>
  <si>
    <t>P0-02-010 - Центральная эстакада. Участок 1Колонна монолитная Км1-1 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</si>
  <si>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Км1-1 Монтаж и демонтаж опалубки заводского изготовления колонн Км1-1 (3 шт)</t>
  </si>
  <si>
    <t xml:space="preserve">P0-02-010 - Центральная эстакада. Участок 1Колонна монолитная Км1-1 Бетонирование колонн Км1-1 (3 шт) из бетона B25 W8 F200 </t>
  </si>
  <si>
    <t>P0-02-010 - Центральная эстакада. Участок 1Колонна монолитная Км1-1 Устройство подливки колонн Км1-1 (3 шт ) толщиной 50мм</t>
  </si>
  <si>
    <t>P0-02-010 - Центральная эстакада. Участок 1Колонна монолитная Км1-2Армированные колонн Км1-2 (2 шт) ПРЯМЫМИ стержнями диаметром 14 мм и более</t>
  </si>
  <si>
    <t>P0-02-010 - Центральная эстакада. Участок 1Колонна монолитная Км1-2Армированные колонн Км1-2 (2шт) ГНУТЫМИ стержнями диаметром до 12 мм</t>
  </si>
  <si>
    <t>P0-02-010 - Центральная эстакада. Участок 1Колонна монолитная Км1-2Армированные колонн Км1-2 (2шт) ГНУТЫМИ стержнями диаметром до 12 мм - Монтаж</t>
  </si>
  <si>
    <t xml:space="preserve">P0-02-010 - Центральная эстакада. Участок 1Колонна монолитная Км1-2Установка анкерных блоков АБ1 весом 55,199кг/шт (перед бетонированием) диаметром от Ø20мм до Ø40мм </t>
  </si>
  <si>
    <t>P0-02-010 - Центральная эстакада. Участок 1Колонна монолитная Км1-2Монтаж закладных деталей ЗДИ1 колонн весом от 100,1-140,0кг.</t>
  </si>
  <si>
    <t>P0-02-010 - Центральная эстакада. Участок 1Колонна монолитная Км1-2Монтаж закладных деталей ЗДИ4 колонн весом от 50,1-70,0кг</t>
  </si>
  <si>
    <t>P0-02-010 - Центральная эстакада. Участок 1Колонна монолитная Км1-2Обеспечение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</si>
  <si>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Км1-2Монтаж и демонтаж опалубки заводского изготовления колонн Км1-2 (2 шт)</t>
  </si>
  <si>
    <t xml:space="preserve">P0-02-010 - Центральная эстакада. Участок 1Колонна монолитная Км1-2Бетонирование колонн Км1-2 (2 шт) из бетона B25 W8 F200 </t>
  </si>
  <si>
    <t>P0-02-010 - Центральная эстакада. Участок 1Колонна монолитная Км1-2Устройство подливки колонн Км1-2 (2 шт ) толщиной 50мм</t>
  </si>
  <si>
    <t>P0-02-010 - Центральная эстакада. Участок 1Колонна монолитная Км1-4Армированные колонн Км1-4 (3 шт) ПРЯМЫМИ стержнями диаметром 14 мм и более</t>
  </si>
  <si>
    <t>P0-02-010 - Центральная эстакада. Участок 1Колонна монолитная Км1-4Армированные колонн Км1-4 (3шт) ГНУТЫМИ стержнями диаметром до 12 мм</t>
  </si>
  <si>
    <t>P0-02-010 - Центральная эстакада. Участок 1Колонна монолитная Км1-4Армированные колонн Км1-4 (3шт) ГНУТЫМИ стержнями диаметром до 12 мм- Монтаж</t>
  </si>
  <si>
    <t xml:space="preserve">P0-02-010 - Центральная эстакада. Участок 1Колонна монолитная Км1-4Установка анкерных блоков АБ1 весом 55,199кг/шт (перед бетонированием) диаметром от Ø20мм до Ø40мм </t>
  </si>
  <si>
    <t>P0-02-010 - Центральная эстакада. Участок 1Колонна монолитная Км1-4Монтаж закладных деталей ЗДИ1 колонн весом от 100,1-140,0кг.</t>
  </si>
  <si>
    <t>P0-02-010 - Центральная эстакада. Участок 1Колонна монолитная Км1-4Монтаж закладных деталей ЗДИ3 колонн весом от 70,1-100,0кг</t>
  </si>
  <si>
    <t>P0-02-010 - Центральная эстакада. Участок 1Колонна монолитная Км1-4Обеспечение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</si>
  <si>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Км1-4Монтаж и демонтаж опалубки заводского изготовления колонн Км1-4 (3 шт)</t>
  </si>
  <si>
    <t xml:space="preserve">P0-02-010 - Центральная эстакада. Участок 1Колонна монолитная Км1-4Бетонирование колонн Км1-4 (3 шт) из бетона B25 W8 F200 </t>
  </si>
  <si>
    <t>P0-02-010 - Центральная эстакада. Участок 1Колонна монолитная Км1-4Устройство подливки колонн Км1-4 (3 шт ) толщиной 50мм</t>
  </si>
  <si>
    <t>P0-02-010 - Центральная эстакада. Участок 1Колонна монолитная Км1-5Армированные колонн Км1-5(2 шт) ПРЯМЫМИ стержнями диаметром 14 мм и более</t>
  </si>
  <si>
    <t>P0-02-010 - Центральная эстакада. Участок 1Колонна монолитная Км1-5Армированные колонн Км1-5 (2шт) ГНУТЫМИ стержнями диаметром до 12 мм</t>
  </si>
  <si>
    <t xml:space="preserve">P0-02-010 - Центральная эстакада. Участок 1Колонна монолитная Км1-5Установка анкерных блоков АБ1 весом 55,199кг/шт (перед бетонированием) диаметром от Ø20мм до Ø40мм </t>
  </si>
  <si>
    <t>P0-02-010 - Центральная эстакада. Участок 1Колонна монолитная Км1-5Монтаж закладных деталей ЗДИ1 колонн весом от 100,1-140,0кг.</t>
  </si>
  <si>
    <t>P0-02-010 - Центральная эстакада. Участок 1Колонна монолитная Км1-5Монтаж закладных деталей ЗДИ4 колонн весом от 50,1-70,0кг</t>
  </si>
  <si>
    <t>P0-02-010 - Центральная эстакада. Участок 1Колонна монолитная Км1-5Обеспечение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</si>
  <si>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Км1-5Монтаж и демонтаж опалубки заводского изготовления колонн Км1-5 (2 шт)</t>
  </si>
  <si>
    <t xml:space="preserve">P0-02-010 - Центральная эстакада. Участок 1Колонна монолитная Км1-5Бетонирование колонн Км1-5 (2 шт) из бетона B25 W8 F200 </t>
  </si>
  <si>
    <t>P0-02-010 - Центральная эстакада. Участок 1Колонна монолитная Км1-5Устройство подливки колонн Км1-5 (2 шт ) толщиной 50мм</t>
  </si>
  <si>
    <t>P0-02-010 - Центральная эстакада. Участок 1Колонна монолитная Км1-6Армированные колонн Км1-6 (2 шт) ПРЯМЫМИ стержнями диаметром 14 мм и более</t>
  </si>
  <si>
    <t>P0-02-010 - Центральная эстакада. Участок 1Колонна монолитная Км1-6Армированные колонн Км1-6 (2шт) ГНУТЫМИ стержнями диаметром до 12 мм</t>
  </si>
  <si>
    <t>P0-02-010 - Центральная эстакада. Участок 1Колонна монолитная Км1-6Армированные колонн Км1-6 (2шт) ГНУТЫМИ стержнями диаметром до 12 мм- Монтаж</t>
  </si>
  <si>
    <t xml:space="preserve">P0-02-010 - Центральная эстакада. Участок 1Колонна монолитная Км1-6Установка анкерных блоков АБ1 весом 55,199кг/шт (перед бетонированием) диаметром от Ø20мм до Ø40мм </t>
  </si>
  <si>
    <t>P0-02-010 - Центральная эстакада. Участок 1Колонна монолитная Км1-6Монтаж закладных деталей ЗДИ1 колонн весом от 100,1-140,0кг.</t>
  </si>
  <si>
    <t>P0-02-010 - Центральная эстакада. Участок 1Колонна монолитная Км1-6Монтаж закладных деталей ЗДИ3 колонн весом от 70,1-100,0кг</t>
  </si>
  <si>
    <t>P0-02-010 - Центральная эстакада. Участок 1Колонна монолитная Км1-6Обеспечение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</si>
  <si>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Км1-6Монтаж и демонтаж опалубки заводского изготовления колонн Км1-6 (2 шт)</t>
  </si>
  <si>
    <t xml:space="preserve">P0-02-010 - Центральная эстакада. Участок 1Колонна монолитная Км1-6Бетонирование колонн Км1-6 (2 шт) из бетона B25 W8 F200 </t>
  </si>
  <si>
    <t>P0-02-010 - Центральная эстакада. Участок 1Колонна монолитная Км1-6Устройство подливки колонн Км1-6 (2 шт ) толщиной 50мм</t>
  </si>
  <si>
    <t>P0-02-010 - Центральная эстакада. Участок 1Колонна монолитная Км1-9Армированные колонн Км1-9 (1 шт) ПРЯМЫМИ стержнями диаметром 14 мм и более</t>
  </si>
  <si>
    <t>P0-02-010 - Центральная эстакада. Участок 1Колонна монолитная Км1-9Армированные колонн Км1-9 (1шт) ГНУТЫМИ стержнями диаметром до 12 мм</t>
  </si>
  <si>
    <t xml:space="preserve">P0-02-010 - Центральная эстакада. Участок 1Колонна монолитная Км1-9Установка анкерных блоков АБ1 весом 55,199кг/шт (перед бетонированием) диаметром от Ø20мм до Ø40мм </t>
  </si>
  <si>
    <t>P0-02-010 - Центральная эстакада. Участок 1Колонна монолитная Км1-9Монтаж закладных деталей ЗДИ1 колонн весом от 100,1-140,0кг.</t>
  </si>
  <si>
    <t>P0-02-010 - Центральная эстакада. Участок 1Колонна монолитная Км1-9Монтаж закладных деталей ЗДИ4 колонн весом от 50,1-70,0кг</t>
  </si>
  <si>
    <t>P0-02-010 - Центральная эстакада. Участок 1Колонна монолитная Км1-9Обеспечение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</si>
  <si>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Км1-9Монтаж и демонтаж опалубки заводского изготовления колонн Км1-9 (1 шт)</t>
  </si>
  <si>
    <t xml:space="preserve">P0-02-010 - Центральная эстакада. Участок 1Колонна монолитная Км1-9Бетонирование колонн Км1-9 (1 шт) из бетона B25 W8 F200 </t>
  </si>
  <si>
    <t>P0-02-010 - Центральная эстакада. Участок 1Колонна монолитная Км1-9Устройство подливки колонн Км1-9 (1 шт ) толщиной 50мм</t>
  </si>
  <si>
    <t>P0-02-010 - Центральная эстакада. Участок 1Колонна монолитная Км1-12Армированные колонн Км1-12 (1 шт) ПРЯМЫМИ стержнями диаметром 14 мм и более</t>
  </si>
  <si>
    <t>P0-02-010 - Центральная эстакада. Участок 1Колонна монолитная Км1-12Армированные колонн Км1-12 (1шт) ГНУТЫМИ стержнями диаметром до 12 мм</t>
  </si>
  <si>
    <t xml:space="preserve">P0-02-010 - Центральная эстакада. Участок 1Колонна монолитная Км1-12Установка анкерных блоков АБ1 весом 55,199кг/шт (перед бетонированием) диаметром от Ø20мм до Ø40мм </t>
  </si>
  <si>
    <t>P0-02-010 - Центральная эстакада. Участок 1Колонна монолитная Км1-12Монтаж закладных деталей ЗДИ1 колонн весом от 100,1-140,0кг.</t>
  </si>
  <si>
    <t>P0-02-010 - Центральная эстакада. Участок 1Колонна монолитная Км1-12Монтаж закладных деталей ЗДИ4 колонн весом от 50,1-70,0кг</t>
  </si>
  <si>
    <t>P0-02-010 - Центральная эстакада. Участок 1Колонна монолитная Км1-12Монтаж закладных деталей ЗДИ9 колонн весом от --кг</t>
  </si>
  <si>
    <t>P0-02-010 - Центральная эстакада. Участок 1Колонна монолитная Км1-12Обеспечение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</si>
  <si>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Км1-12Монтаж и демонтаж опалубки заводского изготовления колонн Км1-12 (1 шт)</t>
  </si>
  <si>
    <t xml:space="preserve">P0-02-010 - Центральная эстакада. Участок 1Колонна монолитная Км1-12Бетонирование колонн Км1-12 (1 шт) из бетона B25 W8 F200 </t>
  </si>
  <si>
    <t>P0-02-010 - Центральная эстакада. Участок 1Колонна монолитная Км1-12Устройство подливки колонн Км1-12 (1 шт ) толщиной 50мм</t>
  </si>
  <si>
    <t>P0-02-010 - Центральная эстакада. Участок 1Колонна монолитная Км1-13Армированные колонн Км1-13 (1 шт) ПРЯМЫМИ стержнями диаметром 14 мм и более</t>
  </si>
  <si>
    <t>P0-02-010 - Центральная эстакада. Участок 1Колонна монолитная Км1-13Армированные колонн Км1-13 (1шт) ГНУТЫМИ стержнями диаметром до 12 мм</t>
  </si>
  <si>
    <t xml:space="preserve">P0-02-010 - Центральная эстакада. Участок 1Колонна монолитная Км1-13Установка анкерных блоков АБ1 весом 55,199кг/шт (перед бетонированием) диаметром от Ø20мм до Ø40мм </t>
  </si>
  <si>
    <t>P0-02-010 - Центральная эстакада. Участок 1Колонна монолитная Км1-13Монтаж закладных деталей ЗДИ1 колонн весом от 100,1-140,0кг.</t>
  </si>
  <si>
    <t>P0-02-010 - Центральная эстакада. Участок 1Колонна монолитная Км1-13Монтаж закладных деталей ЗДИ9 колонн весом от --кг</t>
  </si>
  <si>
    <t>P0-02-010 - Центральная эстакада. Участок 1Колонна монолитная Км1-13Обеспечение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</si>
  <si>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Км1-13Монтаж и демонтаж опалубки заводского изготовления колонн Км1-13 (1 шт)</t>
  </si>
  <si>
    <t xml:space="preserve">P0-02-010 - Центральная эстакада. Участок 1Колонна монолитная Км1-13Бетонирование колонн Км1-13 (1 шт) из бетона B25 W8 F200 </t>
  </si>
  <si>
    <t>P0-02-010 - Центральная эстакада. Участок 1Колонна монолитная Км1-13Устройство подливки колонн Км1-13 (1 шт ) толщиной 50мм</t>
  </si>
  <si>
    <t>P0-02-010 - Центральная эстакада. Участок 1Колонна монолитная Км1-14Армированные колонн Км1-14 (1 шт) ПРЯМЫМИ стержнями диаметром 14 мм и более</t>
  </si>
  <si>
    <t>P0-02-010 - Центральная эстакада. Участок 1Колонна монолитная Км1-14Армированные колонн Км1-14 (1шт) ГНУТЫМИ стержнями диаметром до 12 мм</t>
  </si>
  <si>
    <t xml:space="preserve">P0-02-010 - Центральная эстакада. Участок 1Колонна монолитная Км1-14Установка анкерных блоков АБ1 весом 55,199кг/шт (перед бетонированием) диаметром от Ø20мм до Ø40мм </t>
  </si>
  <si>
    <t>P0-02-010 - Центральная эстакада. Участок 1Колонна монолитная Км1-14Монтаж закладных деталей ЗДИ1 колонн весом от 100,1-140,0кг.</t>
  </si>
  <si>
    <t>P0-02-010 - Центральная эстакада. Участок 1Колонна монолитная Км1-14Монтаж закладных деталей ЗДИ3 колонн весом от 70,1-100,0кг</t>
  </si>
  <si>
    <t>P0-02-010 - Центральная эстакада. Участок 1Колонна монолитная Км1-14Монтаж закладных деталей ЗДИ10 колонн весом от --кг</t>
  </si>
  <si>
    <t>P0-02-010 - Центральная эстакада. Участок 1Колонна монолитная Км1-14Обеспечение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</si>
  <si>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Км1-14Монтаж и демонтаж опалубки заводского изготовления колонн Км1-14 (1 шт)</t>
  </si>
  <si>
    <t xml:space="preserve">P0-02-010 - Центральная эстакада. Участок 1Колонна монолитная Км1-14Бетонирование колонн Км1-14 (1 шт) из бетона B25 W8 F200 </t>
  </si>
  <si>
    <t>P0-02-010 - Центральная эстакада. Участок 1Колонна монолитная Км1-14Устройство подливки колонн Км1-14 (1 шт ) толщиной 50мм</t>
  </si>
  <si>
    <t>P0-02-010 - Центральная эстакада. Участок 1Колонна монолитная Км1-15Армированные колонн Км1-15 (1 шт) ПРЯМЫМИ стержнями диаметром 14 мм и более</t>
  </si>
  <si>
    <t>P0-02-010 - Центральная эстакада. Участок 1Колонна монолитная Км1-15Армированные колонн Км1-15 (1шт) ГНУТЫМИ стержнями диаметром до 12 мм</t>
  </si>
  <si>
    <t xml:space="preserve">P0-02-010 - Центральная эстакада. Участок 1Колонна монолитная Км1-15Установка анкерных блоков АБ1 весом 55,199кг/шт (перед бетонированием) диаметром от Ø20мм до Ø40мм </t>
  </si>
  <si>
    <t>P0-02-010 - Центральная эстакада. Участок 1Колонна монолитная Км1-15Монтаж закладных деталей ЗДИ1 колонн весом от 100,1-140,0кг.</t>
  </si>
  <si>
    <t>P0-02-010 - Центральная эстакада. Участок 1Колонна монолитная Км1-15Монтаж закладных деталей ЗДИ4 колонн весом от 50,1-70,0кг</t>
  </si>
  <si>
    <t>P0-02-010 - Центральная эстакада. Участок 1Колонна монолитная Км1-15Монтаж закладных деталей ЗДИ10 колонн весом от --кг</t>
  </si>
  <si>
    <t>P0-02-010 - Центральная эстакада. Участок 1Колонна монолитная Км1-15Обеспечение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</si>
  <si>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Км1-15Монтаж и демонтаж опалубки заводского изготовления колонн Км1-15 (1 шт)</t>
  </si>
  <si>
    <t xml:space="preserve">P0-02-010 - Центральная эстакада. Участок 1Колонна монолитная Км1-15Бетонирование колонн Км1-15 (1 шт) из бетона B25 W8 F200 </t>
  </si>
  <si>
    <t>P0-02-010 - Центральная эстакада. Участок 1Колонна монолитная Км1-15Устройство подливки колонн Км1-15 (1 шт ) толщиной 50мм</t>
  </si>
  <si>
    <t>P0-02-010 - Центральная эстакада. Участок 1Колонна монолитная Км2-1Армированные колонн Км2-1 (1 шт) ПРЯМЫМИ стержнями диаметром 14 мм и более</t>
  </si>
  <si>
    <t>P0-02-010 - Центральная эстакада. Участок 1Колонна монолитная Км2-1Армированные колонн Км2-1 (1шт) ГНУТЫМИ стержнями диаметром до 12 мм</t>
  </si>
  <si>
    <t xml:space="preserve">P0-02-010 - Центральная эстакада. Участок 1Колонна монолитная Км2-1Установка анкерных блоков АБ2 весом 53,77кг/шт (перед бетонированием) диаметром от Ø20мм до Ø40мм  </t>
  </si>
  <si>
    <t>P0-02-010 - Центральная эстакада. Участок 1Колонна монолитная Км2-1Монтаж закладных деталей ЗДИ1 колонн весом от 100,1-140,0кг.</t>
  </si>
  <si>
    <t>P0-02-010 - Центральная эстакада. Участок 1Колонна монолитная Км2-1Монтаж закладных деталей ЗДИ3 колонн весом от 70,1-100,0кг</t>
  </si>
  <si>
    <t>P0-02-010 - Центральная эстакада. Участок 1Колонна монолитная Км2-1Обеспечение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</si>
  <si>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Км2-1Монтаж и демонтаж опалубки заводского изготовления колонн Км2-1 (1 шт)</t>
  </si>
  <si>
    <t xml:space="preserve">P0-02-010 - Центральная эстакада. Участок 1Колонна монолитная Км2-1Бетонирование колонн Км2-1 (1 шт) из бетона B25 W8 F200 </t>
  </si>
  <si>
    <t>P0-02-010 - Центральная эстакада. Участок 1Колонна монолитная Км2-1Устройство подливки колонн Км2-1(1 шт ) толщиной 50мм</t>
  </si>
  <si>
    <t>P0-02-010 - Центральная эстакада. Участок 1Колонна монолитная Км2-2Армированные колонн Км2-2 (4 шт) ПРЯМЫМИ стержнями диаметром 14 мм и более</t>
  </si>
  <si>
    <t>P0-02-010 - Центральная эстакада. Участок 1Колонна монолитная Км2-2Армированные колонн Км2-2 (4шт) ГНУТЫМИ стержнями диаметром до 12 мм</t>
  </si>
  <si>
    <t xml:space="preserve">P0-02-010 - Центральная эстакада. Участок 1Колонна монолитная Км2-2Установка анкерных блоков АБ2 весом 53,77кг/шт (перед бетонированием) диаметром от Ø20мм до Ø40мм </t>
  </si>
  <si>
    <t>P0-02-010 - Центральная эстакада. Участок 1Колонна монолитная Км2-2Монтаж закладных деталей ЗДИ1 колонн весом от 100,1-140,0кг.</t>
  </si>
  <si>
    <t>P0-02-010 - Центральная эстакада. Участок 1Колонна монолитная Км2-2Монтаж закладных деталей ЗДИ3 колонн весом от 70,1-100,0кг</t>
  </si>
  <si>
    <t>P0-02-010 - Центральная эстакада. Участок 1Колонна монолитная Км2-2Обеспечение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</si>
  <si>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Км2-2Монтаж и демонтаж опалубки заводского изготовления колонн Км2-2 (4 шт)</t>
  </si>
  <si>
    <t xml:space="preserve">P0-02-010 - Центральная эстакада. Участок 1Колонна монолитная Км2-2Бетонирование колонн Км2-2 (4 шт) из бетона B25 W8 F200 </t>
  </si>
  <si>
    <t>P0-02-010 - Центральная эстакада. Участок 1Колонна монолитная Км2-2Устройство подливки колонн Км2-2(4 шт ) толщиной 50мм</t>
  </si>
  <si>
    <t>P0-02-010 - Центральная эстакада. Участок 1Колонна монолитная Км3-3Армированные колонн Км3-3 (1 шт) ПРЯМЫМИ стержнями диаметром 14 мм и более</t>
  </si>
  <si>
    <t>P0-02-010 - Центральная эстакада. Участок 1Колонна монолитная Км3-3Армированные колонн Км3-3 (1шт) ГНУТЫМИ стержнями диаметром до 12 мм</t>
  </si>
  <si>
    <t xml:space="preserve">P0-02-010 - Центральная эстакада. Участок 1Колонна монолитная Км3-3Установка анкерных блоков АБ2 весом 53,77кг/шт (перед бетонированием) диаметром от Ø20мм до Ø40мм  </t>
  </si>
  <si>
    <t>P0-02-010 - Центральная эстакада. Участок 1Колонна монолитная Км3-3Монтаж закладных деталей ЗДИ1 колонн весом от 100,1-140,0кг.</t>
  </si>
  <si>
    <t>P0-02-010 - Центральная эстакада. Участок 1Колонна монолитная Км3-3Монтаж закладных деталей ЗДИ6 колонн весом от 70,1-100,0кг</t>
  </si>
  <si>
    <t>P0-02-010 - Центральная эстакада. Участок 1Колонна монолитная Км3-3Обеспечение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</si>
  <si>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Км3-3Монтаж и демонтаж опалубки заводского изготовления колонн Км3-3 (1шт)</t>
  </si>
  <si>
    <t xml:space="preserve">P0-02-010 - Центральная эстакада. Участок 1Колонна монолитная Км3-3Бетонирование колонн Км3-3 (1 шт) из бетона B25 W8 F200 </t>
  </si>
  <si>
    <t>P0-02-010 - Центральная эстакада. Участок 1Колонна монолитная Км3-3Устройство подливки колонн Км3-3(1 шт ) толщиной 50мм</t>
  </si>
  <si>
    <t>P0-02-010 - Центральная эстакада. Участок 1Колонна монолитная Км3-4Армированные колонн Км3-4 (1 шт) ПРЯМЫМИ стержнями диаметром 14 мм и более</t>
  </si>
  <si>
    <t>P0-02-010 - Центральная эстакада. Участок 1Колонна монолитная Км3-4Армированные колонн Км3-4 (1шт) ГНУТЫМИ стержнями диаметром до 12 мм</t>
  </si>
  <si>
    <t xml:space="preserve">P0-02-010 - Центральная эстакада. Участок 1Колонна монолитная Км3-4Установка анкерных блоков АБ2 весом 53,77кг/шт (перед бетонированием) диаметром от Ø20мм до Ø40мм  </t>
  </si>
  <si>
    <t>P0-02-010 - Центральная эстакада. Участок 1Колонна монолитная Км3-4Монтаж закладных деталей ЗДИ1 колонн весом от 100,1-140,0кг.</t>
  </si>
  <si>
    <t>P0-02-010 - Центральная эстакада. Участок 1Колонна монолитная Км3-4Монтаж закладных деталей ЗДИ6 колонн весом от 70,1-100,0кг</t>
  </si>
  <si>
    <t>P0-02-010 - Центральная эстакада. Участок 1Колонна монолитная Км3-4Обеспечение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</si>
  <si>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Км3-4Монтаж и демонтаж опалубки заводского изготовления колонн Км3-4 (1шт)</t>
  </si>
  <si>
    <t xml:space="preserve">P0-02-010 - Центральная эстакада. Участок 1Колонна монолитная Км3-4Бетонирование колонн Км3-4 (1 шт) из бетона B25 W8 F200 </t>
  </si>
  <si>
    <t>P0-02-010 - Центральная эстакада. Участок 1Колонна монолитная Км3-4Устройство подливки колонн Км3-4(1 шт ) толщиной 50мм</t>
  </si>
  <si>
    <t>P0-02-010 - Центральная эстакада. Участок 1Колонна монолитная Км3-5Армированные колонн Км3-5 (1 шт) ПРЯМЫМИ стержнями диаметром 14 мм и более</t>
  </si>
  <si>
    <t>P0-02-010 - Центральная эстакада. Участок 1Колонна монолитная Км3-5Армированные колонн Км3,-5 (1шт) ГНУТЫМИ стержнями диаметром до 12 мм</t>
  </si>
  <si>
    <t xml:space="preserve">P0-02-010 - Центральная эстакада. Участок 1Колонна монолитная Км3-5Установка анкерных блоков АБ2 весом 53,77кг/шт (перед бетонированием) диаметром от Ø20мм до Ø40мм  </t>
  </si>
  <si>
    <t>P0-02-010 - Центральная эстакада. Участок 1Колонна монолитная Км3-5Монтаж закладных деталей ЗДИ1 колонн весом от 100,1-140,0кг.</t>
  </si>
  <si>
    <t>P0-02-010 - Центральная эстакада. Участок 1Колонна монолитная Км3-5Монтаж закладных деталей ЗДИ6 колонн весом от 70,1-100,0кг</t>
  </si>
  <si>
    <t>P0-02-010 - Центральная эстакада. Участок 1Колонна монолитная Км3-5Обеспечение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</si>
  <si>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Км3-5Монтаж и демонтаж опалубки заводского изготовления колонн Км3-5 (1шт)</t>
  </si>
  <si>
    <t xml:space="preserve">P0-02-010 - Центральная эстакада. Участок 1Колонна монолитная Км3-5Бетонирование колонн Км3-5 (1 шт) из бетона B25 W8 F200 </t>
  </si>
  <si>
    <t>P0-02-010 - Центральная эстакада. Участок 1Колонна монолитная Км3-5Устройство подливки колонн Км3-5(1 шт ) толщиной 50мм</t>
  </si>
  <si>
    <t>P0-02-010 - Центральная эстакада. Участок 1Колонна монолитная Км3-6Армированные колонн Км3-6 (1 шт) ПРЯМЫМИ стержнями диаметром 14 мм и более</t>
  </si>
  <si>
    <t>P0-02-010 - Центральная эстакада. Участок 1Колонна монолитная Км3-6Армированные колонн Км3-6 (1шт) ГНУТЫМИ стержнями диаметром до 12 мм</t>
  </si>
  <si>
    <t xml:space="preserve">P0-02-010 - Центральная эстакада. Участок 1Колонна монолитная Км3-6Установка анкерных блоков АБ2 весом 53,77кг/шт (перед бетонированием) диаметром от Ø20мм до Ø40мм  </t>
  </si>
  <si>
    <t>P0-02-010 - Центральная эстакада. Участок 1Колонна монолитная Км3-6Монтаж закладных деталей ЗДИ1 колонн весом от 100,1-140,0кг.</t>
  </si>
  <si>
    <t>P0-02-010 - Центральная эстакада. Участок 1Колонна монолитная Км3-6Монтаж закладных деталей ЗДИ6 колонн весом от 70,1-100,0кг</t>
  </si>
  <si>
    <t>P0-02-010 - Центральная эстакада. Участок 1Колонна монолитная Км3-6Обеспечение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</si>
  <si>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Км3-6Монтаж и демонтаж опалубки заводского изготовления колонн Км3-6 (1шт)</t>
  </si>
  <si>
    <t xml:space="preserve">P0-02-010 - Центральная эстакада. Участок 1Колонна монолитная Км3-6Бетонирование колонн Км3-6(1 шт) из бетона B25 W8 F200 </t>
  </si>
  <si>
    <t>P0-02-010 - Центральная эстакада. Участок 1Колонна монолитная Км3-6Устройство подливки колонн Км3-6(1 шт ) толщиной 50мм</t>
  </si>
  <si>
    <t>P0-02-010 - Центральная эстакада. Участок 1Колонна монолитная Км2-7Армированные колонн Км2-7 (1 шт) ПРЯМЫМИ стержнями диаметром 14 мм и более</t>
  </si>
  <si>
    <t>P0-02-010 - Центральная эстакада. Участок 1Колонна монолитная Км2-7Армированные колонн Км2-7 (1шт) ГНУТЫМИ стержнями диаметром до 12 мм</t>
  </si>
  <si>
    <t xml:space="preserve">P0-02-010 - Центральная эстакада. Участок 1Колонна монолитная Км2-7Установка анкерных блоков АБ2 весом 53,77кг/шт (перед бетонированием) диаметром от Ø20мм до Ø40мм  </t>
  </si>
  <si>
    <t>P0-02-010 - Центральная эстакада. Участок 1Колонна монолитная Км2-7Монтаж закладных деталей ЗДИ1 колонн весом от 100,1-140,0кг.</t>
  </si>
  <si>
    <t>P0-02-010 - Центральная эстакада. Участок 1Колонна монолитная Км2-7Монтаж закладных деталей ЗДИ4 колонн весом от 50,1-70,0кг</t>
  </si>
  <si>
    <t>P0-02-010 - Центральная эстакада. Участок 1Колонна монолитная Км2-7Обеспечение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</si>
  <si>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Км2-7Монтаж и демонтаж опалубки заводского изготовления колонн Км2-7 (1шт)</t>
  </si>
  <si>
    <t xml:space="preserve">P0-02-010 - Центральная эстакада. Участок 1Колонна монолитная Км2-7Бетонирование колонн Км2-7(1 шт) из бетона B25 W8 F200 </t>
  </si>
  <si>
    <t>P0-02-010 - Центральная эстакада. Участок 1Колонна монолитная Км2-7Устройство подливки колонн Км2-7(1 шт ) толщиной 50мм</t>
  </si>
  <si>
    <t>P0-02-010 - Центральная эстакада. Участок 1Колонна монолитная Км2-8Армированные колонн Км2-8 (1 шт) ПРЯМЫМИ стержнями диаметром 14 мм и более</t>
  </si>
  <si>
    <t>P0-02-010 - Центральная эстакада. Участок 1Колонна монолитная Км2-8Армированные колонн Км2-8 (1шт) ГНУТЫМИ стержнями диаметром до 12 мм</t>
  </si>
  <si>
    <t xml:space="preserve">P0-02-010 - Центральная эстакада. Участок 1Колонна монолитная Км2-8Установка анкерных блоков АБ2 весом 53,77кг/шт (перед бетонированием) диаметром от Ø20мм до Ø40мм  </t>
  </si>
  <si>
    <t>P0-02-010 - Центральная эстакада. Участок 1Колонна монолитная Км2-8Монтаж закладных деталей ЗДИ1 колонн весом от 100,1-140,0кг.</t>
  </si>
  <si>
    <t>P0-02-010 - Центральная эстакада. Участок 1Колонна монолитная Км2-8Монтаж закладных деталей ЗДИ4 колонн весом от 50,1-70,0кг</t>
  </si>
  <si>
    <t>P0-02-010 - Центральная эстакада. Участок 1Колонна монолитная Км2-8Обеспечение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</si>
  <si>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Км2-8Монтаж и демонтаж опалубки заводского изготовления колонн Км2-8 (1шт)</t>
  </si>
  <si>
    <t xml:space="preserve">P0-02-010 - Центральная эстакада. Участок 1Колонна монолитная Км2-8Бетонирование колонн Км2-8(1 шт) из бетона B25 W8 F200 </t>
  </si>
  <si>
    <t>P0-02-010 - Центральная эстакада. Участок 1Колонна монолитная Км2-8Устройство подливки колонн Км2-8(1 шт ) толщиной 50мм</t>
  </si>
  <si>
    <t>P0-02-010 - Центральная эстакада. Участок 1Колонна монолитная Км2-12Армированные колонн Км2-12 (1 шт) ПРЯМЫМИ стержнями диаметром 14 мм и более</t>
  </si>
  <si>
    <t>P0-02-010 - Центральная эстакада. Участок 1Колонна монолитная Км2-12Армированные колонн Км2-12 (1шт) ГНУТЫМИ стержнями диаметром до 12 мм</t>
  </si>
  <si>
    <t xml:space="preserve">P0-02-010 - Центральная эстакада. Участок 1Колонна монолитная Км2-12Установка анкерных блоков АБ2 весом 53,77кг/шт (перед бетонированием) диаметром от Ø20мм до Ø40мм  </t>
  </si>
  <si>
    <t>P0-02-010 - Центральная эстакада. Участок 1Колонна монолитная Км2-12Монтаж закладных деталей ЗДИ1 колонн весом от 100,1-140,0кг.</t>
  </si>
  <si>
    <t>P0-02-010 - Центральная эстакада. Участок 1Колонна монолитная Км2-12Монтаж закладных деталей ЗДИ9 колонн весом от --кг</t>
  </si>
  <si>
    <t>P0-02-010 - Центральная эстакада. Участок 1Колонна монолитная Км2-12Обеспечение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</si>
  <si>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Км2-12Монтаж и демонтаж опалубки заводского изготовления колонн Км2-12 (1шт)</t>
  </si>
  <si>
    <t xml:space="preserve">P0-02-010 - Центральная эстакада. Участок 1Колонна монолитная Км2-12Бетонирование колонн Км2-12(1 шт) из бетона B25 W8 F200 </t>
  </si>
  <si>
    <t>P0-02-010 - Центральная эстакада. Участок 1Колонна монолитная Км2-12Устройство подливки колонн Км2-12(1 шт ) толщиной 50мм</t>
  </si>
  <si>
    <t>P0-02-010 - Центральная эстакада. Участок 1Колонна монолитная Км2-13Армированные колонн Км2-13 (1 шт) ПРЯМЫМИ стержнями диаметром 14 мм и более</t>
  </si>
  <si>
    <t>P0-02-010 - Центральная эстакада. Участок 1Колонна монолитная Км2-13Армированные колонн Км2-13 (1шт) ГНУТЫМИ стержнями диаметром до 12 мм</t>
  </si>
  <si>
    <t xml:space="preserve">P0-02-010 - Центральная эстакада. Участок 1Колонна монолитная Км2-13Установка анкерных блоков АБ2 весом 53,77кг/шт (перед бетонированием) диаметром от Ø20мм до Ø40мм  </t>
  </si>
  <si>
    <t>P0-02-010 - Центральная эстакада. Участок 1Колонна монолитная Км2-13Монтаж закладных деталей ЗДИ1 колонн весом от 100,1-140,0кг.</t>
  </si>
  <si>
    <t>P0-02-010 - Центральная эстакада. Участок 1Колонна монолитная Км2-13Монтаж закладных деталей ЗДИ9 колонн весом от --кг</t>
  </si>
  <si>
    <t>P0-02-010 - Центральная эстакада. Участок 1Колонна монолитная Км2-13Обеспечение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</si>
  <si>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Км2-13Монтаж и демонтаж опалубки заводского изготовления колонн Км2-13 (1шт)</t>
  </si>
  <si>
    <t xml:space="preserve">P0-02-010 - Центральная эстакада. Участок 1Колонна монолитная Км2-13Бетонирование колонн Км2-13(1 шт) из бетона B25 W8 F200 </t>
  </si>
  <si>
    <t>P0-02-010 - Центральная эстакада. Участок 1Колонна монолитная Км2-13Устройство подливки колонн Км2-13(1 шт ) толщиной 50мм</t>
  </si>
  <si>
    <t>P0-02-010 - Центральная эстакада. Участок 1Рама монолитная Рм1-1Армированные колонн монолитной рамы Рм1-1 ПРЯМЫМИ стержнями диаметром 14 мм и более</t>
  </si>
  <si>
    <t>P0-02-010 - Центральная эстакада. Участок 1Рама монолитная Рм1-1Армированные колонн монолитной рамы Рм1-1 ГНУТЫМИ стержнями диаметром до 12 мм</t>
  </si>
  <si>
    <t xml:space="preserve">P0-02-010 - Центральная эстакада. Участок 1Рама монолитная Рм1-1Армированные колонн монолитной рамы Рм1-1 ГНУТЫМИ стержнями диаметром до 12 мм - Монтаж </t>
  </si>
  <si>
    <t>P0-02-010 - Центральная эстакада. Участок 1Рама монолитная Рм1-1Армированные балки монолитной рамы Рм1-1 ГНУТЫМИ стержнями диаметром до 12 мм</t>
  </si>
  <si>
    <t>P0-02-010 - Центральная эстакада. Участок 1Рама монолитная Рм1-1Армированные балки монолитной рамы Рм1-1 ГНУТЫМИ стержнями диаметром 14 мм и более</t>
  </si>
  <si>
    <t>P0-02-010 - Центральная эстакада. Участок 1Рама монолитная Рм1-1Армированные балки монолитной рамы Рм1-1 ПРЯМЫМИ стержнями диаметром 14 мм и более</t>
  </si>
  <si>
    <t>P0-02-010 - Центральная эстакада. Участок 1Рама монолитная Рм1-1Монтаж закладных деталей ЗДИ1 колонн весом от 100,1-140,0кг</t>
  </si>
  <si>
    <t>P0-02-010 - Центральная эстакада. Участок 1Рама монолитная Рм1-1Монтаж закладных деталей ЗДИ4 колонн весом от 50,1-70,0кг</t>
  </si>
  <si>
    <t>P0-02-010 - Центральная эстакада. Участок 1Рама монолитная Рм1-1Монтаж закладных деталей ЗДИ2 балки весом от 70,1-100,0кг</t>
  </si>
  <si>
    <t>P0-02-010 - Центральная эстакада. Участок 1Рама монолитная Рм1-1Монтаж закладных деталей ЗДИ5 балки  весом от 40,1-50,0кг</t>
  </si>
  <si>
    <t xml:space="preserve">P0-02-010 - Центральная эстакада. Участок 1Рама монолитная Рм1-1Установка анкерных блоков АБ2 весом 53,77кг/шт (перед бетонированием) диаметром от Ø20мм до Ø40мм  </t>
  </si>
  <si>
    <t>P0-02-010 - Центральная эстакада. Участок 1Рама монолитная Рм1-1Обеспечение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</si>
  <si>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1Рама монолитная Рм1-1Монтаж и демонтаж опалубки заводского изготовления колонн монолитной рамы Рм1-1</t>
  </si>
  <si>
    <t>P0-02-010 - Центральная эстакада. Участок 1Рама монолитная Рм1-1Монтаж и демонтаж опалубки заводского изготовления балок монолитной рамы Рм1-1</t>
  </si>
  <si>
    <t xml:space="preserve">P0-02-010 - Центральная эстакада. Участок 1Рама монолитная Рм1-1Бетонирование колонн монолитной рамы Рм1-1 из бетона B25 W8 F200 </t>
  </si>
  <si>
    <t xml:space="preserve">P0-02-010 - Центральная эстакада. Участок 1Рама монолитная Рм1-1Бетонирование балок монолитной рамы Рм1-1 из бетона B25 W8 F200 </t>
  </si>
  <si>
    <t>P0-02-010 - Центральная эстакада. Участок 1Рама монолитная Рм1-1Устройство подливки колонн монолитной рамы Рм1-1 (2 шт ) толщиной 50мм</t>
  </si>
  <si>
    <t>P0-02-010 - Центральная эстакада. Участок 1Рама монолитная Рм1-2Армированные колонн монолитной рамы Рм1-2 ПРЯМЫМИ стержнями диаметром 14 мм и более</t>
  </si>
  <si>
    <t>P0-02-010 - Центральная эстакада. Участок 1Рама монолитная Рм1-2Армированные колонн монолитной рамы Рм1-2 ГНУТЫМИ стержнями диаметром до 12 мм</t>
  </si>
  <si>
    <t>P0-02-010 - Центральная эстакада. Участок 1Рама монолитная Рм1-2Армированные балки монолитной рамы Рм1-2 ГНУТЫМИ стержнями диаметром до 12 мм</t>
  </si>
  <si>
    <t>P0-02-010 - Центральная эстакада. Участок 1Рама монолитная Рм1-2Армированные балки монолитной рамы Рм1-2 ГНУТЫМИ стержнями диаметром 14 мм и более</t>
  </si>
  <si>
    <t>P0-02-010 - Центральная эстакада. Участок 1Рама монолитная Рм1-2Армированные балки монолитной рамы Рм1-2 ПРЯМЫМИ стержнями диаметром 14 мм и более</t>
  </si>
  <si>
    <t>P0-02-010 - Центральная эстакада. Участок 1Рама монолитная Рм1-2Монтаж закладных деталей ЗДИ1 колонн весом от 100,1-140,0кг</t>
  </si>
  <si>
    <t>P0-02-010 - Центральная эстакада. Участок 1Рама монолитная Рм1-2Монтаж закладных деталей ЗДИ4 колонн весом от 50,1-70,0кг</t>
  </si>
  <si>
    <t>P0-02-010 - Центральная эстакада. Участок 1Рама монолитная Рм1-2Монтаж закладных деталей ЗДИ2 балки  весом от 70,1-100,0кг</t>
  </si>
  <si>
    <t>P0-02-010 - Центральная эстакада. Участок 1Рама монолитная Рм1-2Монтаж закладных деталей ЗДИ5 балки весом от 40,1-50,0кг</t>
  </si>
  <si>
    <t xml:space="preserve">P0-02-010 - Центральная эстакада. Участок 1Рама монолитная Рм1-2Установка анкерных блоков АБ2 весом 53,77кг/шт (перед бетонированием) диаметром от Ø20мм до Ø40мм  </t>
  </si>
  <si>
    <t>P0-02-010 - Центральная эстакада. Участок 1Рама монолитная Рм1-2Обеспечение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</si>
  <si>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1Рама монолитная Рм1-2Монтаж и демонтаж опалубки заводского изготовления колонн монолитной рамы Рм1-2</t>
  </si>
  <si>
    <t>P0-02-010 - Центральная эстакада. Участок 1Рама монолитная Рм1-2Монтаж и демонтаж опалубки заводского изготовления балок монолитной рамы Рм1-2</t>
  </si>
  <si>
    <t xml:space="preserve">P0-02-010 - Центральная эстакада. Участок 1Рама монолитная Рм1-2Бетонирование колонн монолитной рамы Рм1-2 из бетона B25 W8 F200 </t>
  </si>
  <si>
    <t xml:space="preserve">P0-02-010 - Центральная эстакада. Участок 1Рама монолитная Рм1-2Бетонирование балок монолитной рамы Рм1-2 из бетона B25 W8 F200 </t>
  </si>
  <si>
    <t>P0-02-010 - Центральная эстакада. Участок 1Рама монолитная Рм1-2Устройство подливки колонн монолитной рамы Рм1-2 (2 шт ) толщиной 50мм</t>
  </si>
  <si>
    <t>P0-02-010 - Центральная эстакада. Участок 1Рама монолитная Рм1-5Армированные колонн монолитной рамы Рм1-5 ПРЯМЫМИ стержнями диаметром 14 мм и более</t>
  </si>
  <si>
    <t>P0-02-010 - Центральная эстакада. Участок 1Рама монолитная Рм1-5Армированные колонн монолитной рамы Рм1-5 ГНУТЫМИ стержнями диаметром до 12 мм</t>
  </si>
  <si>
    <t>P0-02-010 - Центральная эстакада. Участок 1Рама монолитная Рм1-5Армированные балки монолитной рамы Рм1-5 ГНУТЫМИ стержнями диаметром до 12 мм</t>
  </si>
  <si>
    <t>P0-02-010 - Центральная эстакада. Участок 1Рама монолитная Рм1-5Армированные балки монолитной рамы Рм1-5 ГНУТЫМИ стержнями диаметром 14 мм и более</t>
  </si>
  <si>
    <t>P0-02-010 - Центральная эстакада. Участок 1Рама монолитная Рм1-5Армированные балки монолитной рамы Рм1-5 ПРЯМЫМИ стержнями диаметром 14 мм и более</t>
  </si>
  <si>
    <t>P0-02-010 - Центральная эстакада. Участок 1Рама монолитная Рм1-5Монтаж закладных деталей ЗДИ1 колонн весом от 100,1-140,0кг</t>
  </si>
  <si>
    <t>P0-02-010 - Центральная эстакада. Участок 1Рама монолитная Рм1-5Монтаж закладных деталей ЗДИ6 колонн весом от 70,1-100,0кг</t>
  </si>
  <si>
    <t>P0-02-010 - Центральная эстакада. Участок 1Рама монолитная Рм1-5Монтаж закладных деталей ЗДИ2  балки весом от 70,1-100,0кг</t>
  </si>
  <si>
    <t>P0-02-010 - Центральная эстакада. Участок 1Рама монолитная Рм1-5Монтаж закладных деталей ЗДИ5 балки  весом от 40,1-50,0кг</t>
  </si>
  <si>
    <t xml:space="preserve">P0-02-010 - Центральная эстакада. Участок 1Рама монолитная Рм1-5Установка анкерных блоков АБ2 весом 53,77кг/шт (перед бетонированием) диаметром от Ø20мм до Ø40мм  </t>
  </si>
  <si>
    <t>P0-02-010 - Центральная эстакада. Участок 1Рама монолитная Рм1-5Обеспечение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</si>
  <si>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1Рама монолитная Рм1-5Монтаж и демонтаж опалубки заводского изготовления колонн монолитной рамы Рм1-5</t>
  </si>
  <si>
    <t>P0-02-010 - Центральная эстакада. Участок 1Рама монолитная Рм1-5Монтаж и демонтаж опалубки заводского изготовления балок монолитной рамы Рм1-5</t>
  </si>
  <si>
    <t xml:space="preserve">P0-02-010 - Центральная эстакада. Участок 1Рама монолитная Рм1-5Бетонирование колонн монолитной рамы Рм1-5 из бетона B25 W8 F200 </t>
  </si>
  <si>
    <t xml:space="preserve">P0-02-010 - Центральная эстакада. Участок 1Рама монолитная Рм1-5Бетонирование балок монолитной рамы Рм1-5 из бетона B25 W8 F200 </t>
  </si>
  <si>
    <t>P0-02-010 - Центральная эстакада. Участок 1Рама монолитная Рм1-5Устройство подливки колонн монолитной рамы Рм1-5 (2 шт ) толщиной 50мм</t>
  </si>
  <si>
    <t>P0-02-010 - Центральная эстакада. Участок 1Рама монолитная Рм1-6Армированные колонн монолитной рамы Рм1-6 ПРЯМЫМИ стержнями диаметром 14 мм и более</t>
  </si>
  <si>
    <t>P0-02-010 - Центральная эстакада. Участок 1Рама монолитная Рм1-6Армированные колонн монолитной рамы Рм1-6 ГНУТЫМИ стержнями диаметром до 12 мм</t>
  </si>
  <si>
    <t>P0-02-010 - Центральная эстакада. Участок 1Рама монолитная Рм1-6Армированные балки монолитной рамы Рм1-6 ГНУТЫМИ стержнями диаметром до 12 мм</t>
  </si>
  <si>
    <t>P0-02-010 - Центральная эстакада. Участок 1Рама монолитная Рм1-6Армированные балки монолитной рамы Рм1-6 ГНУТЫМИ стержнями диаметром 14 мм и более</t>
  </si>
  <si>
    <t>P0-02-010 - Центральная эстакада. Участок 1Рама монолитная Рм1-6Армированные балки монолитной рамы Рм1-6 ПРЯМЫМИ стержнями диаметром 14 мм и более</t>
  </si>
  <si>
    <t>P0-02-010 - Центральная эстакада. Участок 1Рама монолитная Рм1-6Монтаж закладных деталей ЗДИ1 колонн весом от 100,1-140,0кг</t>
  </si>
  <si>
    <t>P0-02-010 - Центральная эстакада. Участок 1Рама монолитная Рм1-6Монтаж закладных деталей ЗДИ6 колонн весом от 70,1-100,0кг</t>
  </si>
  <si>
    <t>P0-02-010 - Центральная эстакада. Участок 1Рама монолитная Рм1-6Монтаж закладных деталей ЗДИ2  балки весом от 70,1-100,0кг</t>
  </si>
  <si>
    <t>P0-02-010 - Центральная эстакада. Участок 1Рама монолитная Рм1-6Монтаж закладных деталей ЗДИ5 балки  весом от 40,1-50,0кг</t>
  </si>
  <si>
    <t xml:space="preserve">P0-02-010 - Центральная эстакада. Участок 1Рама монолитная Рм1-6Установка анкерных блоков АБ2 весом 53,77кг/шт (перед бетонированием) диаметром от Ø20мм до Ø40мм  </t>
  </si>
  <si>
    <t>P0-02-010 - Центральная эстакада. Участок 1Рама монолитная Рм1-6Обеспечение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</si>
  <si>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1Рама монолитная Рм1-6Монтаж и демонтаж опалубки заводского изготовления колонн монолитной рамы Рм1-6</t>
  </si>
  <si>
    <t>P0-02-010 - Центральная эстакада. Участок 1Рама монолитная Рм1-6Монтаж и демонтаж опалубки заводского изготовления балок монолитной рамы Рм1-6</t>
  </si>
  <si>
    <t xml:space="preserve">P0-02-010 - Центральная эстакада. Участок 1Рама монолитная Рм1-6Бетонирование колонн монолитной рамы Рм1-6 из бетона B25 W8 F200 </t>
  </si>
  <si>
    <t xml:space="preserve">P0-02-010 - Центральная эстакада. Участок 1Рама монолитная Рм1-6Бетонирование балок монолитной рамы Рм1-6 из бетона B25 W8 F200 </t>
  </si>
  <si>
    <t>P0-02-010 - Центральная эстакада. Участок 1Рама монолитная Рм1-6Устройство подливки колонн монолитной рамы Рм1-6 (2 шт ) толщиной 50мм</t>
  </si>
  <si>
    <t>P0-02-010 - Центральная эстакада. Участок 1Рама монолитная Рм1-7Армированные колонн монолитной рамы Рм1-7 ПРЯМЫМИ стержнями диаметром 14 мм и более</t>
  </si>
  <si>
    <t>P0-02-010 - Центральная эстакада. Участок 1Рама монолитная Рм1-7Армированные колонн монолитной рамы Рм1-7 ГНУТЫМИ стержнями диаметром до 12 мм</t>
  </si>
  <si>
    <t>P0-02-010 - Центральная эстакада. Участок 1Рама монолитная Рм1-7Армированные балки монолитной рамы Рм1-7 ГНУТЫМИ стержнями диаметром до 12 мм</t>
  </si>
  <si>
    <t>P0-02-010 - Центральная эстакада. Участок 1Рама монолитная Рм1-7Армированные балки монолитной рамы Рм1-7 ГНУТЫМИ стержнями диаметром 14 мм и более</t>
  </si>
  <si>
    <t>P0-02-010 - Центральная эстакада. Участок 1Рама монолитная Рм1-7Армированные балки монолитной рамы Рм1-7 ПРЯМЫМИ стержнями диаметром 14 мм и более</t>
  </si>
  <si>
    <t>P0-02-010 - Центральная эстакада. Участок 1Рама монолитная Рм1-7Монтаж закладных деталей ЗДИ1 колонн весом от 100,1-140,0кг</t>
  </si>
  <si>
    <t>P0-02-010 - Центральная эстакада. Участок 1Рама монолитная Рм1-7Монтаж закладных деталей ЗДИ4 колонн весом от 50,1-70,0кг</t>
  </si>
  <si>
    <t>P0-02-010 - Центральная эстакада. Участок 1Рама монолитная Рм1-7Монтаж закладных деталей ЗДИ2 балки  весом от 70,1-100,0кг</t>
  </si>
  <si>
    <t>P0-02-010 - Центральная эстакада. Участок 1Рама монолитная Рм1-7Монтаж закладных деталей ЗДИ5 балки весом от 40,1-50,0кг</t>
  </si>
  <si>
    <t xml:space="preserve">P0-02-010 - Центральная эстакада. Участок 1Рама монолитная Рм1-7Установка анкерных блоков АБ1 весом 55,199кг/шт (перед бетонированием) диаметром от Ø20мм до Ø40мм </t>
  </si>
  <si>
    <t>P0-02-010 - Центральная эстакада. Участок 1Рама монолитная Рм1-7Обеспечение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</si>
  <si>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1Рама монолитная Рм1-7Монтаж и демонтаж опалубки заводского изготовления колонн монолитной рамы Рм1-7</t>
  </si>
  <si>
    <t>P0-02-010 - Центральная эстакада. Участок 1Рама монолитная Рм1-7Монтаж и демонтаж опалубки заводского изготовления балок монолитной рамы Рм1-7</t>
  </si>
  <si>
    <t xml:space="preserve">P0-02-010 - Центральная эстакада. Участок 1Рама монолитная Рм1-7Бетонирование колонн монолитной рамы Рм1-7 из бетона B25 W8 F200 </t>
  </si>
  <si>
    <t xml:space="preserve">P0-02-010 - Центральная эстакада. Участок 1Рама монолитная Рм1-7Бетонирование балок монолитной рамы Рм1-7 из бетона B25 W8 F200 </t>
  </si>
  <si>
    <t>P0-02-010 - Центральная эстакада. Участок 1Рама монолитная Рм1-7Устройство подливки колонн монолитной рамы Рм1-7 (2 шт ) толщиной 50мм</t>
  </si>
  <si>
    <t>P0-02-010 - Центральная эстакада. Участок 1Рама монолитная Рм1-8Армированные колонн монолитной рамы Рм1-8 ПРЯМЫМИ стержнями диаметром 14 мм и более</t>
  </si>
  <si>
    <t>P0-02-010 - Центральная эстакада. Участок 1Рама монолитная Рм1-8Армированные колонн монолитной рамы Рм1-8 ГНУТЫМИ стержнями диаметром до 12 мм</t>
  </si>
  <si>
    <t>P0-02-010 - Центральная эстакада. Участок 1Рама монолитная Рм1-8Армированные балки монолитной рамы Рм1-8 ГНУТЫМИ стержнями диаметром до 12 мм</t>
  </si>
  <si>
    <t>P0-02-010 - Центральная эстакада. Участок 1Рама монолитная Рм1-8Армированные балки монолитной рамы Рм1-8 ГНУТЫМИ стержнями диаметром 14 мм и более</t>
  </si>
  <si>
    <t>P0-02-010 - Центральная эстакада. Участок 1Рама монолитная Рм1-8Армированные балки монолитной рамы Рм1-8 ПРЯМЫМИ стержнями диаметром 14 мм и более</t>
  </si>
  <si>
    <t>P0-02-010 - Центральная эстакада. Участок 1Рама монолитная Рм1-8Монтаж закладных деталей ЗДИ1 колонн весом от 100,1-140,0кг</t>
  </si>
  <si>
    <t>P0-02-010 - Центральная эстакада. Участок 1Рама монолитная Рм1-8Монтаж закладных деталей ЗДИ4 колонн весом от 50,1-70,0кг</t>
  </si>
  <si>
    <t>P0-02-010 - Центральная эстакада. Участок 1Рама монолитная Рм1-8Монтаж закладных деталей ЗДИ2 балки  весом от 70,1-100,0кг</t>
  </si>
  <si>
    <t>P0-02-010 - Центральная эстакада. Участок 1Рама монолитная Рм1-8Монтаж закладных деталей ЗДИ5 балки весом от 40,1-50,0кг</t>
  </si>
  <si>
    <t xml:space="preserve">P0-02-010 - Центральная эстакада. Участок 1Рама монолитная Рм1-8Установка анкерных блоков АБ1 весом 55,199кг/шт (перед бетонированием) диаметром от Ø20мм до Ø40мм </t>
  </si>
  <si>
    <t>P0-02-010 - Центральная эстакада. Участок 1Рама монолитная Рм1-8Обеспечение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</si>
  <si>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1Рама монолитная Рм1-8Монтаж и демонтаж опалубки заводского изготовления колонн монолитной рамы Рм1-8</t>
  </si>
  <si>
    <t>P0-02-010 - Центральная эстакада. Участок 1Рама монолитная Рм1-8Монтаж и демонтаж опалубки заводского изготовления балок монолитной рамы Рм1-8</t>
  </si>
  <si>
    <t xml:space="preserve">P0-02-010 - Центральная эстакада. Участок 1Рама монолитная Рм1-8Бетонирование колонн монолитной рамы Рм1-8 из бетона B25 W8 F200 </t>
  </si>
  <si>
    <t xml:space="preserve">P0-02-010 - Центральная эстакада. Участок 1Рама монолитная Рм1-8Бетонирование балок монолитной рамы Рм1-8 из бетона B25 W8 F200 </t>
  </si>
  <si>
    <t>P0-02-010 - Центральная эстакада. Участок 1Рама монолитная Рм1-8Устройство подливки колонн монолитной рамы Рм1-8 (2 шт ) толщиной 50мм</t>
  </si>
  <si>
    <t>P0-02-010 - Центральная эстакада. Участок 1Колонна монолитная Км1-2Армированные колонн Км1-2 (1 шт) ПРЯМЫМИ стержнями диаметром 14 мм и более</t>
  </si>
  <si>
    <t>P0-02-010 - Центральная эстакада. Участок 1Колонна монолитная Км1-2Армированные колонн Км1-2 (1шт) ГНУТЫМИ стержнями диаметром до 12 мм</t>
  </si>
  <si>
    <t>P0-02-010 - Центральная эстакада. Участок 1Колонна монолитная Км1-2Монтаж и демонтаж опалубки заводского изготовления колонн Км1-2 (1 шт)</t>
  </si>
  <si>
    <t xml:space="preserve">P0-02-010 - Центральная эстакада. Участок 1Колонна монолитная Км1-2Бетонирование колонн Км1-2 (1 шт) из бетона B25 W8 F200 </t>
  </si>
  <si>
    <t>P0-02-010 - Центральная эстакада. Участок 1Колонна монолитная Км1-2Устройство подливки колонн Км1-2 (1 шт ) толщиной 50мм</t>
  </si>
  <si>
    <t>P0-02-010 - Центральная эстакада. Участок 1Колонна монолитная Км1-4Армированные колонн Км1-4 (2 шт) ПРЯМЫМИ стержнями диаметром 14 мм и более</t>
  </si>
  <si>
    <t>P0-02-010 - Центральная эстакада. Участок 1Колонна монолитная Км1-4Армированные колонн Км1-4 (2шт) ГНУТЫМИ стержнями диаметром до 12 мм</t>
  </si>
  <si>
    <t>P0-02-010 - Центральная эстакада. Участок 1Колонна монолитная Км1-4Монтаж и демонтаж опалубки заводского изготовления колонн Км1-4 (2 шт)</t>
  </si>
  <si>
    <t xml:space="preserve">P0-02-010 - Центральная эстакада. Участок 1Колонна монолитная Км1-4Бетонирование колонн Км1-4 (2 шт) из бетона B25 W8 F200 </t>
  </si>
  <si>
    <t>P0-02-010 - Центральная эстакада. Участок 1Колонна монолитная Км1-4Устройство подливки колонн Км1-4 (2 шт ) толщиной 50мм</t>
  </si>
  <si>
    <t>P0-02-010 - Центральная эстакада. Участок 1Колонна монолитная Км1-5Армированные колонн Км1-5(1 шт) ПРЯМЫМИ стержнями диаметром 14 мм и более</t>
  </si>
  <si>
    <t>P0-02-010 - Центральная эстакада. Участок 1Колонна монолитная Км1-5Армированные колонн Км1-5 (1шт) ГНУТЫМИ стержнями диаметром до 12 мм</t>
  </si>
  <si>
    <t>P0-02-010 - Центральная эстакада. Участок 1Колонна монолитная Км1-5Монтаж и демонтаж опалубки заводского изготовления колонн Км1-5 (1 шт)</t>
  </si>
  <si>
    <t xml:space="preserve">P0-02-010 - Центральная эстакада. Участок 1Колонна монолитная Км1-5Бетонирование колонн Км1-5 (1 шт) из бетона B25 W8 F200 </t>
  </si>
  <si>
    <t>P0-02-010 - Центральная эстакада. Участок 1Колонна монолитная Км1-5Устройство подливки колонн Км1-5 (1 шт ) толщиной 50мм</t>
  </si>
  <si>
    <t>P0-02-010 - Центральная эстакада. Участок 1Колонна монолитная Км1-6Армированные колонн Км1-6 (1 шт) ПРЯМЫМИ стержнями диаметром 14 мм и более</t>
  </si>
  <si>
    <t>P0-02-010 - Центральная эстакада. Участок 1Колонна монолитная Км1-6Армированные колонн Км1-6 (1шт) ГНУТЫМИ стержнями диаметром до 12 мм</t>
  </si>
  <si>
    <t>P0-02-010 - Центральная эстакада. Участок 1Колонна монолитная Км1-6Монтаж и демонтаж опалубки заводского изготовления колонн Км1-6 (1шт)</t>
  </si>
  <si>
    <t xml:space="preserve">P0-02-010 - Центральная эстакада. Участок 1Колонна монолитная Км1-6Бетонирование колонн Км1-6 (1 шт) из бетона B25 W8 F200 </t>
  </si>
  <si>
    <t>P0-02-010 - Центральная эстакада. Участок 1Колонна монолитная Км1-6Устройство подливки колонн Км1-6 (1 шт ) толщиной 50мм</t>
  </si>
  <si>
    <t>P0-02-010 - Центральная эстакада. Участок 1Колонна монолитная Км1-10Армированные колонн Км1-10 (1 шт) ПРЯМЫМИ стержнями диаметром 14 мм и более</t>
  </si>
  <si>
    <t>P0-02-010 - Центральная эстакада. Участок 1Колонна монолитная Км1-10Армированные колонн Км1-10 (1шт) ГНУТЫМИ стержнями диаметром до 12 мм</t>
  </si>
  <si>
    <t xml:space="preserve">P0-02-010 - Центральная эстакада. Участок 1Колонна монолитная Км1-10Установка анкерных блоков АБ1 весом 55,199кг/шт (перед бетонированием) диаметром от Ø20мм до Ø40мм </t>
  </si>
  <si>
    <t>P0-02-010 - Центральная эстакада. Участок 1Колонна монолитная Км1-10Монтаж закладных деталей ЗДИ1 колонн весом от 100,1-140,0кг.</t>
  </si>
  <si>
    <t>P0-02-010 - Центральная эстакада. Участок 1Колонна монолитная Км1-10Монтаж закладных деталей ЗДИ3 колонн весом от 70,1-100,0кг</t>
  </si>
  <si>
    <t>P0-02-010 - Центральная эстакада. Участок 1Колонна монолитная Км1-10Монтаж закладных деталей ЗДИ4 колонн весом от 50,1-70,0кг</t>
  </si>
  <si>
    <t>P0-02-010 - Центральная эстакада. Участок 1Колонна монолитная Км1-10Обеспечение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</si>
  <si>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Км1-10Монтаж и демонтаж опалубки заводского изготовления колонн Км1-10 (1 шт)</t>
  </si>
  <si>
    <t xml:space="preserve">P0-02-010 - Центральная эстакада. Участок 1Колонна монолитная Км1-10Бетонирование колонн Км1-10 (1 шт) из бетона B25 W8 F200 </t>
  </si>
  <si>
    <t>P0-02-010 - Центральная эстакада. Участок 1Колонна монолитная Км1-10Устройство подливки колонн Км1-10 (1шт ) толщиной 50мм</t>
  </si>
  <si>
    <t>P0-02-010 - Центральная эстакада. Участок 1Колонна монолитная Км1-11Армированные колонн Км1-11 (1 шт) ПРЯМЫМИ стержнями диаметром 14 мм и более</t>
  </si>
  <si>
    <t>P0-02-010 - Центральная эстакада. Участок 1Колонна монолитная Км1-11Армированные колонн Км1-11 (1 шт) ГНУТЫМИ стержнями диаметром до 12 мм</t>
  </si>
  <si>
    <t xml:space="preserve">P0-02-010 - Центральная эстакада. Участок 1Колонна монолитная Км1-11Установка анкерных блоков АБ1 весом 55,199кг/шт (перед бетонированием) диаметром от Ø20мм до Ø40мм </t>
  </si>
  <si>
    <t>P0-02-010 - Центральная эстакада. Участок 1Колонна монолитная Км1-11Монтаж закладных деталей ЗДИ1 колонн весом от 100,1-140,0кг.</t>
  </si>
  <si>
    <t>P0-02-010 - Центральная эстакада. Участок 1Колонна монолитная Км1-11Монтаж закладных деталей ЗДИ4 колонн весом от 50,1-70,0кг</t>
  </si>
  <si>
    <t>P0-02-010 - Центральная эстакада. Участок 1Колонна монолитная Км1-11Обеспечение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</si>
  <si>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Км1-11Монтаж и демонтаж опалубки заводского изготовления колонн Км1-11 (1 шт)</t>
  </si>
  <si>
    <t xml:space="preserve">P0-02-010 - Центральная эстакада. Участок 1Колонна монолитная Км1-11Бетонирование колонн Км1-11 (1 шт) из бетона B25 W8 F200 </t>
  </si>
  <si>
    <t>P0-02-010 - Центральная эстакада. Участок 1Колонна монолитная Км1-11Устройство подливки колонн Км1-11 (1 шт ) толщиной 50мм</t>
  </si>
  <si>
    <t>P0-02-010 - Центральная эстакада. Участок 1Колонна монолитная Км2-1Армированные колонн Км2-1 (5 шт) ПРЯМЫМИ стержнями диаметром 14 мм и более</t>
  </si>
  <si>
    <t>P0-02-010 - Центральная эстакада. Участок 1Колонна монолитная Км2-1Армированные колонн Км2-1 (5шт) ГНУТЫМИ стержнями диаметром до 12 мм</t>
  </si>
  <si>
    <t>P0-02-010 - Центральная эстакада. Участок 1Колонна монолитная Км2-1Монтаж и демонтаж опалубки заводского изготовления колонн Км2-1 (5 шт)</t>
  </si>
  <si>
    <t xml:space="preserve">P0-02-010 - Центральная эстакада. Участок 1Колонна монолитная Км2-1Бетонирование колонн Км2-1 (5шт) из бетона B25 W8 F200 </t>
  </si>
  <si>
    <t>P0-02-010 - Центральная эстакада. Участок 1Колонна монолитная Км2-1Устройство подливки колонн Км2-1(5 шт ) толщиной 50мм</t>
  </si>
  <si>
    <t>P0-02-010 - Центральная эстакада. Участок 1Колонна монолитная Км2-2Армированные колонн Км2-2 (5 шт) ПРЯМЫМИ стержнями диаметром 14 мм и более</t>
  </si>
  <si>
    <t>P0-02-010 - Центральная эстакада. Участок 1Колонна монолитная Км2-2Армированные колонн Км2-2 (5шт) ГНУТЫМИ стержнями диаметром до 12 мм</t>
  </si>
  <si>
    <t xml:space="preserve">P0-02-010 - Центральная эстакада. Участок 1Колонна монолитная Км2-2Установка анкерных блоков АБ2 весом 53,77кг/шт (перед бетонированием) диаметром от Ø20мм до Ø40мм  </t>
  </si>
  <si>
    <t>P0-02-010 - Центральная эстакада. Участок 1Колонна монолитная Км2-2Монтаж и демонтаж опалубки заводского изготовления колонн Км2-2 (5 шт)</t>
  </si>
  <si>
    <t xml:space="preserve">P0-02-010 - Центральная эстакада. Участок 1Колонна монолитная Км2-2Бетонирование колонн Км2-2 (5 шт) из бетона B25 W8 F200 </t>
  </si>
  <si>
    <t>P0-02-010 - Центральная эстакада. Участок 1Колонна монолитная Км2-2Устройство подливки колонн Км2-2(5 шт ) толщиной 50мм</t>
  </si>
  <si>
    <t>P0-02-010 - Центральная эстакада. Участок 1Колонна монолитная Км3-5Армированные колонн Км3-5 (1шт) ГНУТЫМИ стержнями диаметром до 12 мм</t>
  </si>
  <si>
    <t>P0-02-010 - Центральная эстакада. Участок 1Колонна монолитная Км2-9Армированные колонн Км2-9 (1 шт) ПРЯМЫМИ стержнями диаметром 14 мм и более</t>
  </si>
  <si>
    <t>P0-02-010 - Центральная эстакада. Участок 1Колонна монолитная Км2-9Армированные колонн Км2-9 (1шт) ГНУТЫМИ стержнями диаметром до 12 мм</t>
  </si>
  <si>
    <t xml:space="preserve">P0-02-010 - Центральная эстакада. Участок 1Колонна монолитная Км2-9Установка анкерных блоков АБ2 весом 53,77кг/шт (перед бетонированием) диаметром от Ø20мм до Ø40мм  </t>
  </si>
  <si>
    <t>P0-02-010 - Центральная эстакада. Участок 1Колонна монолитная Км2-9Монтаж закладных деталей ЗДИ1 колонн весом от 100,1-140,0кг.</t>
  </si>
  <si>
    <t>P0-02-010 - Центральная эстакада. Участок 1Колонна монолитная Км2-9Монтаж закладных деталей ЗДИ4 колонн весом от 50,1-70,0кг</t>
  </si>
  <si>
    <t>P0-02-010 - Центральная эстакада. Участок 1Колонна монолитная Км2-9Обеспечение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</si>
  <si>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Км2-9Монтаж и демонтаж опалубки заводского изготовления колонн Км2-9 (1шт)</t>
  </si>
  <si>
    <t xml:space="preserve">P0-02-010 - Центральная эстакада. Участок 1Колонна монолитная Км2-9Бетонирование колонн Км2-9(1 шт) из бетона B25 W8 F200 </t>
  </si>
  <si>
    <t>P0-02-010 - Центральная эстакада. Участок 1Колонна монолитная Км2-9Устройство подливки колонн Км2-9(1 шт ) толщиной 50мм</t>
  </si>
  <si>
    <t>P0-02-010 - Центральная эстакада. Участок 1Колонна монолитная Км2-10Армированные колонн Км2-10 (1 шт) ПРЯМЫМИ стержнями диаметром 14 мм и более</t>
  </si>
  <si>
    <t>P0-02-010 - Центральная эстакада. Участок 1Колонна монолитная Км2-10Армированные колонн Км2-10 (1шт) ГНУТЫМИ стержнями диаметром до 12 мм</t>
  </si>
  <si>
    <t xml:space="preserve">P0-02-010 - Центральная эстакада. Участок 1Колонна монолитная Км2-10Установка анкерных блоков АБ2 весом 53,77кг/шт (перед бетонированием) диаметром от Ø20мм до Ø40мм  </t>
  </si>
  <si>
    <t>P0-02-010 - Центральная эстакада. Участок 1Колонна монолитная Км2-10Монтаж закладных деталей ЗДИ1 колонн весом от 100,1-140,0кг.</t>
  </si>
  <si>
    <t>P0-02-010 - Центральная эстакада. Участок 1Колонна монолитная Км2-10Монтаж закладных деталей ЗДИ4 колонн весом от 50,1-70,0кг</t>
  </si>
  <si>
    <t>P0-02-010 - Центральная эстакада. Участок 1Колонна монолитная Км2-10Обеспечение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</si>
  <si>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Км2-10Монтаж и демонтаж опалубки заводского изготовления колонн Км2-10 (1шт)</t>
  </si>
  <si>
    <t xml:space="preserve">P0-02-010 - Центральная эстакада. Участок 1Колонна монолитная Км2-10Бетонирование колонн Км2-10(1 шт) из бетона B25 W8 F200 </t>
  </si>
  <si>
    <t>P0-02-010 - Центральная эстакада. Участок 1Колонна монолитная Км2-10Устройство подливки колонн Км2-10(1 шт ) толщиной 50мм</t>
  </si>
  <si>
    <t xml:space="preserve">P0-02-010 - Центральная эстакада. Участок 1Рама монолитная Рм1-1Армированные колонн монолитной рамы Рм1-1 ГНУТЫМИ стержнями диаметром до 12 мм </t>
  </si>
  <si>
    <t xml:space="preserve">P0-02-010 - Центральная эстакада. Участок 1Рама монолитная Рм1-1Армированные колонн монолитной рамы Рм1-1 ГНУТЫМИ стержнями диаметром до 12 мм- Монтаж </t>
  </si>
  <si>
    <t>P0-02-010 - Центральная эстакада. Участок 1Рама монолитная Рм1-1Монтаж закладных деталей ЗДИ2 балки  весом от 70,1-100,0кг</t>
  </si>
  <si>
    <t>P0-02-010 - Центральная эстакада. Участок 1Рама монолитная Рм1-1Монтаж закладных деталей ЗДИ5 балки весом от 40,1-50,0кг</t>
  </si>
  <si>
    <t>P0-02-010 - Центральная эстакада. Участок 1Рама монолитная Рм1-2Монтаж закладных деталей ЗДИ5 балки  весом от 40,1-50,0кг</t>
  </si>
  <si>
    <t>P0-02-010 - Центральная эстакада. Участок 1Колонна монолитная Км1-7Армированные колонн Км1-7(1 шт) ПРЯМЫМИ стержнями диаметром 14 мм и более</t>
  </si>
  <si>
    <t>P0-02-010 - Центральная эстакада. Участок 1Колонна монолитная Км1-7Армированные колонн Км1-7 (1шт) ГНУТЫМИ стержнями диаметром до 12 мм</t>
  </si>
  <si>
    <t>P0-02-010 - Центральная эстакада. Участок 1Колонна монолитная Км1-7Армированные колонн Км1-7 (1шт) ГНУТЫМИ стержнями диаметром до 12 мм- Монтаж</t>
  </si>
  <si>
    <t xml:space="preserve">P0-02-010 - Центральная эстакада. Участок 1Колонна монолитная Км1-7Установка анкерных блоков АБ1 весом 55,199кг/шт (перед бетонированием) диаметром от Ø20мм до Ø40мм </t>
  </si>
  <si>
    <t>P0-02-010 - Центральная эстакада. Участок 1Колонна монолитная Км1-7Монтаж закладных деталей ЗДИ1 колонн весом от 100,1-140,0кг.</t>
  </si>
  <si>
    <t>P0-02-010 - Центральная эстакада. Участок 1Колонна монолитная Км1-7Монтаж закладных деталей ЗДИ4 колонн весом от 50,1-70,0кг</t>
  </si>
  <si>
    <t>P0-02-010 - Центральная эстакада. Участок 1Колонна монолитная Км1-7Обеспечение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</si>
  <si>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Км1-7Монтаж и демонтаж опалубки заводского изготовления колонн Км1-7 (1 шт)</t>
  </si>
  <si>
    <t xml:space="preserve">P0-02-010 - Центральная эстакада. Участок 1Колонна монолитная Км1-7Бетонирование колонн Км1-7 (1 шт) из бетона B25 W8 F200 </t>
  </si>
  <si>
    <t>P0-02-010 - Центральная эстакада. Участок 1Колонна монолитная Км1-7Устройство подливки колонн Км1-7 (1 шт ) толщиной 50мм</t>
  </si>
  <si>
    <t>P0-02-010 - Центральная эстакада. Участок 1Колонна монолитная Км1-8Армированные колонн Км1-8 (1 шт) ПРЯМЫМИ стержнями диаметром 14 мм и более</t>
  </si>
  <si>
    <t>P0-02-010 - Центральная эстакада. Участок 1Колонна монолитная Км1-8Армированные колонн Км1-8 (1шт) ГНУТЫМИ стержнями диаметром до 12 мм</t>
  </si>
  <si>
    <t xml:space="preserve">P0-02-010 - Центральная эстакада. Участок 1Колонна монолитная Км1-8Установка анкерных блоков АБ1 весом 55,199кг/шт (перед бетонированием) диаметром от Ø20мм до Ø40мм </t>
  </si>
  <si>
    <t>P0-02-010 - Центральная эстакада. Участок 1Колонна монолитная Км1-8Монтаж закладных деталей ЗДИ1 колонн весом от 100,1-140,0кг.</t>
  </si>
  <si>
    <t>P0-02-010 - Центральная эстакада. Участок 1Колонна монолитная Км1-8Монтаж закладных деталей ЗДИ3 колонн весом от 70,1-100,0кг</t>
  </si>
  <si>
    <t>P0-02-010 - Центральная эстакада. Участок 1Колонна монолитная Км1-8Монтаж закладных деталей ЗДИ4 колонн весом от 50,1-70,0кг</t>
  </si>
  <si>
    <t>P0-02-010 - Центральная эстакада. Участок 1Колонна монолитная Км1-8Обеспечение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</si>
  <si>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Км1-8Монтаж и демонтаж опалубки заводского изготовления колонн Км1-8 (1 шт)</t>
  </si>
  <si>
    <t xml:space="preserve">P0-02-010 - Центральная эстакада. Участок 1Колонна монолитная Км1-8Бетонирование колонн Км1-8 (1 шт) из бетона B25 W8 F200 </t>
  </si>
  <si>
    <t>P0-02-010 - Центральная эстакада. Участок 1Колонна монолитная Км1-8Устройство подливки колонн Км1-8 (1шт ) толщиной 50мм</t>
  </si>
  <si>
    <t>P0-02-010 - Центральная эстакада. Участок 1Колонна монолитная Км2-1Армированные колонн Км2-1 (2 шт) ПРЯМЫМИ стержнями диаметром 14 мм и более</t>
  </si>
  <si>
    <t>P0-02-010 - Центральная эстакада. Участок 1Колонна монолитная Км2-1Армированные колонн Км2-1 (2шт) ГНУТЫМИ стержнями диаметром до 12 мм</t>
  </si>
  <si>
    <t>P0-02-010 - Центральная эстакада. Участок 1Колонна монолитная Км2-1Монтаж и демонтаж опалубки заводского изготовления колонн Км2-1 (2 шт)</t>
  </si>
  <si>
    <t xml:space="preserve">P0-02-010 - Центральная эстакада. Участок 1Колонна монолитная Км2-1Бетонирование колонн Км2-1 (2шт) из бетона B25 W8 F200 </t>
  </si>
  <si>
    <t>P0-02-010 - Центральная эстакада. Участок 1Колонна монолитная Км2-1Устройство подливки колонн Км2-1(2 шт ) толщиной 50мм</t>
  </si>
  <si>
    <t>P0-02-010 - Центральная эстакада. Участок 1Колонна монолитная Км2-2Армированные колонн Км2-2 (3 шт) ПРЯМЫМИ стержнями диаметром 14 мм и более</t>
  </si>
  <si>
    <t>P0-02-010 - Центральная эстакада. Участок 1Колонна монолитная Км2-2Армированные колонн Км2-2 (3шт) ГНУТЫМИ стержнями диаметром до 12 мм</t>
  </si>
  <si>
    <t>P0-02-010 - Центральная эстакада. Участок 1Колонна монолитная Км2-2Монтаж и демонтаж опалубки заводского изготовления колонн Км2-2 (3 шт)</t>
  </si>
  <si>
    <t xml:space="preserve">P0-02-010 - Центральная эстакада. Участок 1Колонна монолитная Км2-2Бетонирование колонн Км2-2 (3 шт) из бетона B25 W8 F200 </t>
  </si>
  <si>
    <t>P0-02-010 - Центральная эстакада. Участок 1Колонна монолитная Км2-2Устройство подливки колонн Км2-2(3 шт ) толщиной 50мм</t>
  </si>
  <si>
    <t>P0-02-010 - Центральная эстакада. Участок 1Колонна монолитная Км2-11Армированные колонн Км2-11 (1 шт) ПРЯМЫМИ стержнями диаметром 14 мм и более</t>
  </si>
  <si>
    <t>P0-02-010 - Центральная эстакада. Участок 1Колонна монолитная Км2-11Армированные колонн Км2-11 (1шт) ГНУТЫМИ стержнями диаметром до 12 мм</t>
  </si>
  <si>
    <t xml:space="preserve">P0-02-010 - Центральная эстакада. Участок 1Колонна монолитная Км2-11Установка анкерных блоков АБ2 весом 53,77кг/шт (перед бетонированием) диаметром от Ø20мм до Ø40мм  </t>
  </si>
  <si>
    <t>P0-02-010 - Центральная эстакада. Участок 1Колонна монолитная Км2-11Монтаж закладных деталей ЗДИ1 колонн весом от 100,1-140,0кг.</t>
  </si>
  <si>
    <t>P0-02-010 - Центральная эстакада. Участок 1Колонна монолитная Км2-11Монтаж закладных деталей ЗДИ3 колонн весом от 70,1-100,0кг</t>
  </si>
  <si>
    <t>P0-02-010 - Центральная эстакада. Участок 1Колонна монолитная Км2-11Монтаж закладных деталей ЗДИ4 колонн весом от 50,1-70,0кг</t>
  </si>
  <si>
    <t>P0-02-010 - Центральная эстакада. Участок 1Колонна монолитная Км2-11Обеспечение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</si>
  <si>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Км2-11Монтаж и демонтаж опалубки заводского изготовления колонн Км2-11 (1шт)</t>
  </si>
  <si>
    <t xml:space="preserve">P0-02-010 - Центральная эстакада. Участок 1Колонна монолитная Км2-11Бетонирование колонн Км2-11(1 шт) из бетона B25 W8 F200 </t>
  </si>
  <si>
    <t>P0-02-010 - Центральная эстакада. Участок 1Колонна монолитная Км2-11Устройство подливки колонн Км2-11(1 шт ) толщиной 50мм</t>
  </si>
  <si>
    <t>P0-02-010 - Центральная эстакада. Участок 1Колонна монолитная Км1-1 Армированные колонн Км1-1 (1 шт) ПРЯМЫМИ стержнями диаметром 14 мм и более</t>
  </si>
  <si>
    <t>P0-02-010 - Центральная эстакада. Участок 1Колонна монолитная Км1-1 Армированные колонн Км1-1 (1 шт) ГНУТЫМИ стержнями диаметром до 12 мм</t>
  </si>
  <si>
    <t>P0-02-010 - Центральная эстакада. Участок 1Колонна монолитная Км1-1 Монтаж закладных деталей ЗДИ1 колонн весом от 100,1-140,0кг</t>
  </si>
  <si>
    <t>P0-02-010 - Центральная эстакада. Участок 1Колонна монолитная Км1-1 Монтаж и демонтаж опалубки заводского изготовления колонн Км1-1 (1 шт)</t>
  </si>
  <si>
    <t xml:space="preserve">P0-02-010 - Центральная эстакада. Участок 1Колонна монолитная Км1-1 Бетонирование колонн Км1-1 (1 шт) из бетона B25 W8 F200 </t>
  </si>
  <si>
    <t>P0-02-010 - Центральная эстакада. Участок 1Колонна монолитная Км1-1 Устройство подливки колонн Км1-1 (1 шт ) толщиной 50мм</t>
  </si>
  <si>
    <t>P0-02-010 - Центральная эстакада. Участок 1Колонна монолитная Км1-2Армированные колонн Км1-2 (3 шт) ПРЯМЫМИ стержнями диаметром 14 мм и более</t>
  </si>
  <si>
    <t>P0-02-010 - Центральная эстакада. Участок 1Колонна монолитная Км1-2Армированные колонн Км1-2 (3шт) ГНУТЫМИ стержнями диаметром до 12 мм</t>
  </si>
  <si>
    <t>P0-02-010 - Центральная эстакада. Участок 1Колонна монолитная Км1-2Монтаж закладных деталей ЗДИ1 колонн весом от 100,1-140,0кг</t>
  </si>
  <si>
    <t>P0-02-010 - Центральная эстакада. Участок 1Колонна монолитная Км1-2Монтаж и демонтаж опалубки заводского изготовления колонн Км1-2 (3 шт)</t>
  </si>
  <si>
    <t xml:space="preserve">P0-02-010 - Центральная эстакада. Участок 1Колонна монолитная Км1-2Бетонирование колонн Км1-2 (3 шт) из бетона B25 W8 F200 </t>
  </si>
  <si>
    <t>P0-02-010 - Центральная эстакада. Участок 1Колонна монолитная Км1-2Устройство подливки колонн Км1-2 (3шт ) толщиной 50мм</t>
  </si>
  <si>
    <t>P0-02-010 - Центральная эстакада. Участок 1Колонна монолитная Км1-3Армированные колонн Км1-3 (1 шт) ПРЯМЫМИ стержнями диаметром 14 мм и более</t>
  </si>
  <si>
    <t>P0-02-010 - Центральная эстакада. Участок 1Колонна монолитная Км1-3Армированные колонн Км1-3 (1шт) ГНУТЫМИ стержнями диаметром до 12 мм</t>
  </si>
  <si>
    <t>P0-02-010 - Центральная эстакада. Участок 1Колонна монолитная Км1-3Монтаж закладных деталей ЗДИ1 колонн весом от 100,1-140,0кг</t>
  </si>
  <si>
    <t>P0-02-010 - Центральная эстакада. Участок 1Колонна монолитная Км1-3Монтаж закладных деталей ЗДИ3 колонн весом от 70,1-100,0кг</t>
  </si>
  <si>
    <t>P0-02-010 - Центральная эстакада. Участок 1Колонна монолитная Км1-3Монтаж закладных деталей ЗДИ4 колонн весом от 50,1-70,0кг</t>
  </si>
  <si>
    <t xml:space="preserve">P0-02-010 - Центральная эстакада. Участок 1Колонна монолитная Км1-3Установка анкерных блоков АБ1 весом 55,199кг/шт (перед бетонированием) диаметром от Ø20мм до Ø40мм </t>
  </si>
  <si>
    <t>P0-02-010 - Центральная эстакада. Участок 1Колонна монолитная Км1-3Обеспечение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</si>
  <si>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1Колонна монолитная Км1-3Монтаж и демонтаж опалубки заводского изготовления колонн Км1-3 (1 шт)</t>
  </si>
  <si>
    <t xml:space="preserve">P0-02-010 - Центральная эстакада. Участок 1Колонна монолитная Км1-3Бетонирование колонн Км1-3 (1 шт) из бетона B25 W8 F200 </t>
  </si>
  <si>
    <t>P0-02-010 - Центральная эстакада. Участок 1Колонна монолитная Км1-3Устройство подливки колонн Км1-3 (1шт ) толщиной 50мм</t>
  </si>
  <si>
    <t>P0-02-010 - Центральная эстакада. Участок 1Колонна монолитная Км1-4Монтаж закладных деталей ЗДИ1 колонн весом от 100,1-140,0кг</t>
  </si>
  <si>
    <t>P0-02-010 - Центральная эстакада. Участок 1Колонна монолитная Км1-4Монтаж и демонтаж опалубки заводского изготовления колонн Км1-4 (3шт)</t>
  </si>
  <si>
    <t>P0-02-010 - Центральная эстакада. Участок 1Колонна монолитная Км1-5Монтаж закладных деталей ЗДИ1 колонн весом от 100,1-140,0кг</t>
  </si>
  <si>
    <t>P0-02-010 - Центральная эстакада. Участок 1Колонна монолитная Км1-6Монтаж закладных деталей ЗДИ1 колонн весом от 100,1-140,0кг</t>
  </si>
  <si>
    <t>P0-02-010 - Центральная эстакада. Участок 1Колонна монолитная Км1-6Монтаж и демонтаж опалубки заводского изготовления колонн Км1-6 (2шт)</t>
  </si>
  <si>
    <t xml:space="preserve">P0-02-010 - Центральная эстакада. Участок 1Колонна монолитная Км1-6Бетонирование колонн Км1-6 (2шт) из бетона B25 W8 F200 </t>
  </si>
  <si>
    <t>P0-02-010 - Центральная эстакада. Участок 1Колонна монолитная Км1-7Монтаж закладных деталей ЗДИ1 колонн весом от 100,1-140,0кг</t>
  </si>
  <si>
    <t>P0-02-010 - Центральная эстакада. Участок 1Колонна монолитная Км2-1Армированные колонн Км2-1 (6 шт) ПРЯМЫМИ стержнями диаметром 14 мм и более</t>
  </si>
  <si>
    <t>P0-02-010 - Центральная эстакада. Участок 1Колонна монолитная Км2-1Армированные колонн Км2-1 (6шт) ГНУТЫМИ стержнями диаметром до 12 мм</t>
  </si>
  <si>
    <t>P0-02-010 - Центральная эстакада. Участок 1Колонна монолитная Км2-1Монтаж закладных деталей ЗДИ1 колонн весом от 100,1-140,0кг</t>
  </si>
  <si>
    <t>P0-02-010 - Центральная эстакада. Участок 1Колонна монолитная Км2-1Монтаж и демонтаж опалубки заводского изготовления колонн Км2-1 (6 шт)</t>
  </si>
  <si>
    <t xml:space="preserve">P0-02-010 - Центральная эстакада. Участок 1Колонна монолитная Км2-1Бетонирование колонн Км2-1 (6шт) из бетона B25 W8 F200 </t>
  </si>
  <si>
    <t>P0-02-010 - Центральная эстакада. Участок 1Колонна монолитная Км2-1Устройство подливки колонн Км2-1(6 шт ) толщиной 50мм</t>
  </si>
  <si>
    <t>P0-02-010 - Центральная эстакада. Участок 1Колонна монолитная Км2-2Армированные колонн Км2-2 (6 шт) ПРЯМЫМИ стержнями диаметром 14 мм и более</t>
  </si>
  <si>
    <t>P0-02-010 - Центральная эстакада. Участок 1Колонна монолитная Км2-2Армированные колонн Км2-2 (6 шт) ГНУТЫМИ стержнями диаметром до 12 мм</t>
  </si>
  <si>
    <t>P0-02-010 - Центральная эстакада. Участок 1Колонна монолитная Км2-2Монтаж закладных деталей ЗДИ1 колонн весом от 100,1-140,0кг</t>
  </si>
  <si>
    <t>P0-02-010 - Центральная эстакада. Участок 1Колонна монолитная Км2-2Монтаж и демонтаж опалубки заводского изготовления колонн Км2-2 (6 шт)</t>
  </si>
  <si>
    <t xml:space="preserve">P0-02-010 - Центральная эстакада. Участок 1Колонна монолитная Км2-2Бетонирование колонн Км2-2 (6 шт) из бетона B25 W8 F200 </t>
  </si>
  <si>
    <t>P0-02-010 - Центральная эстакада. Участок 1Колонна монолитная Км2-2Устройство подливки колонн Км2-2(6 шт ) толщиной 50мм</t>
  </si>
  <si>
    <t>P0-02-010 - Центральная эстакада. Участок 1Колонна монолитная Км3-3Монтаж закладных деталей ЗДИ1 колонн весом от 100,1-140,0кг</t>
  </si>
  <si>
    <t>P0-02-010 - Центральная эстакада. Участок 1Колонна монолитная Км3-4Монтаж закладных деталей ЗДИ1 колонн весом от 100,1-140,0кг</t>
  </si>
  <si>
    <t>P0-02-010 - Центральная эстакада. Участок 1Колонна монолитная Км3-5Монтаж закладных деталей ЗДИ1 колонн весом от 100,1-140,0кг</t>
  </si>
  <si>
    <t>P0-02-010 - Центральная эстакада. Участок 1Колонна монолитная Км3-6Монтаж закладных деталей ЗДИ1 колонн весом от 100,1-140,0кг</t>
  </si>
  <si>
    <t>P0-02-010 - Центральная эстакада. Участок 1Колонна монолитная Км2-7Монтаж закладных деталей ЗДИ1 колонн весом от 100,1-140,0кг</t>
  </si>
  <si>
    <t>P0-02-010 - Центральная эстакада. Участок 1Колонна монолитная Км2-8Монтаж закладных деталей ЗДИ1 колонн весом от 100,1-140,0кг</t>
  </si>
  <si>
    <t>P0-02-010 - Центральная эстакада. Участок 1Рама монолитная Рм1-3Армированные колонн монолитной рамы Рм1-3 ПРЯМЫМИ стержнями диаметром 14 мм и более</t>
  </si>
  <si>
    <t>P0-02-010 - Центральная эстакада. Участок 1Рама монолитная Рм1-3Армированные колонн монолитной рамы Рм1-3 ГНУТЫМИ стержнями диаметром до 12 мм</t>
  </si>
  <si>
    <t>P0-02-010 - Центральная эстакада. Участок 1Рама монолитная Рм1-3Армированные балки монолитной рамы Рм1-3 ГНУТЫМИ стержнями диаметром до 12 мм</t>
  </si>
  <si>
    <t>P0-02-010 - Центральная эстакада. Участок 1Рама монолитная Рм1-3Армированные балки монолитной рамы Рм1-3 ГНУТЫМИ стержнями диаметром 14 мм и более</t>
  </si>
  <si>
    <t>P0-02-010 - Центральная эстакада. Участок 1Рама монолитная Рм1-3Армированные балки монолитной рамы Рм1-3 ПРЯМЫМИ стержнями диаметром 14 мм и более</t>
  </si>
  <si>
    <t>P0-02-010 - Центральная эстакада. Участок 1Рама монолитная Рм1-3Монтаж закладных деталей ЗДИ1 колонн весом от 100,1-140,0кг</t>
  </si>
  <si>
    <t>P0-02-010 - Центральная эстакада. Участок 1Рама монолитная Рм1-3Монтаж закладных деталей ЗДИ2 балки  весом от 70,1-100,0кг</t>
  </si>
  <si>
    <t>P0-02-010 - Центральная эстакада. Участок 1Рама монолитная Рм1-3Монтаж закладных деталей ЗДИ4 колонн весом от 50,1-70,0кг</t>
  </si>
  <si>
    <t>P0-02-010 - Центральная эстакада. Участок 1Рама монолитная Рм1-3Монтаж закладных деталей ЗДИ5 балки весом от 40,1-50,0кг</t>
  </si>
  <si>
    <t xml:space="preserve">P0-02-010 - Центральная эстакада. Участок 1Рама монолитная Рм1-3Установка анкерных блоков АБ1 весом 55,199кг/шт (перед бетонированием) диаметром от Ø20мм до Ø40мм </t>
  </si>
  <si>
    <t>P0-02-010 - Центральная эстакада. Участок 1Рама монолитная Рм1-3Обеспечение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</si>
  <si>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1Рама монолитная Рм1-3Монтаж и демонтаж опалубки заводского изготовления колонн монолитной рамы Рм1-3</t>
  </si>
  <si>
    <t>P0-02-010 - Центральная эстакада. Участок 1Рама монолитная Рм1-3Монтаж и демонтаж опалубки заводского изготовления балок монолитной рамы Рм1-3</t>
  </si>
  <si>
    <t xml:space="preserve">P0-02-010 - Центральная эстакада. Участок 1Рама монолитная Рм1-3Бетонирование колонн монолитной рамы Рм1-3 из бетона B25 W8 F200 </t>
  </si>
  <si>
    <t xml:space="preserve">P0-02-010 - Центральная эстакада. Участок 1Рама монолитная Рм1-3Бетонирование балок монолитной рамы Рм1-3 из бетона B25 W8 F200 </t>
  </si>
  <si>
    <t>P0-02-010 - Центральная эстакада. Участок 1Рама монолитная Рм1-3Устройство подливки колонн монолитной рамы Рм1-3 (2 шт ) толщиной 50мм</t>
  </si>
  <si>
    <t>P0-02-010 - Центральная эстакада. Участок 1Рама монолитная Рм1-4Армированные колонн монолитной рамы Рм1-4 ПРЯМЫМИ стержнями диаметром 14 мм и более</t>
  </si>
  <si>
    <t>P0-02-010 - Центральная эстакада. Участок 1Рама монолитная Рм1-4Армированные колонн монолитной рамы Рм1-4 ГНУТЫМИ стержнями диаметром до 12 мм</t>
  </si>
  <si>
    <t>P0-02-010 - Центральная эстакада. Участок 1Рама монолитная Рм1-4Армированные балки монолитной рамы Рм1-4 ГНУТЫМИ стержнями диаметром до 12 мм</t>
  </si>
  <si>
    <t>P0-02-010 - Центральная эстакада. Участок 1Рама монолитная Рм1-4Армированные балки монолитной рамы Рм1-4 ГНУТЫМИ стержнями диаметром 14 мм и более</t>
  </si>
  <si>
    <t>P0-02-010 - Центральная эстакада. Участок 1Рама монолитная Рм1-4Армированные балки монолитной рамы Рм1-4 ПРЯМЫМИ стержнями диаметром 14 мм и более</t>
  </si>
  <si>
    <t>P0-02-010 - Центральная эстакада. Участок 1Рама монолитная Рм1-4Монтаж закладных деталей ЗДИ1 колонн весом от 100,1-140,0кг</t>
  </si>
  <si>
    <t>P0-02-010 - Центральная эстакада. Участок 1Рама монолитная Рм1-4Монтаж закладных деталей ЗДИ2 балки  весом от 70,1-100,0кг</t>
  </si>
  <si>
    <t>P0-02-010 - Центральная эстакада. Участок 1Рама монолитная Рм1-4Монтаж закладных деталей ЗДИ4 колонн весом от 50,1-70,0кг</t>
  </si>
  <si>
    <t>P0-02-010 - Центральная эстакада. Участок 1Рама монолитная Рм1-4Монтаж закладных деталей ЗДИ5 балки весом от 40,1-50,0кг</t>
  </si>
  <si>
    <t xml:space="preserve">P0-02-010 - Центральная эстакада. Участок 1Рама монолитная Рм1-4Установка анкерных блоков АБ1 весом 55,199кг/шт (перед бетонированием) диаметром от Ø20мм до Ø40мм </t>
  </si>
  <si>
    <t>P0-02-010 - Центральная эстакада. Участок 1Рама монолитная Рм1-4Обеспечение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</si>
  <si>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1Рама монолитная Рм1-4Монтаж и демонтаж опалубки заводского изготовления колонн монолитной рамы Рм1-4</t>
  </si>
  <si>
    <t>P0-02-010 - Центральная эстакада. Участок 1Рама монолитная Рм1-4Монтаж и демонтаж опалубки заводского изготовления балок монолитной рамы Рм1-4</t>
  </si>
  <si>
    <t xml:space="preserve">P0-02-010 - Центральная эстакада. Участок 1Рама монолитная Рм1-4Бетонирование колонн монолитной рамы Рм1-4 из бетона B25 W8 F200 </t>
  </si>
  <si>
    <t xml:space="preserve">P0-02-010 - Центральная эстакада. Участок 1Рама монолитная Рм1-4Бетонирование балок монолитной рамы Рм1-4 из бетона B25 W8 F200 </t>
  </si>
  <si>
    <t>P0-02-010 - Центральная эстакада. Участок 1Рама монолитная Рм1-4Устройство подливки колонн монолитной рамы Рм1-4 (2 шт ) толщиной 50мм</t>
  </si>
  <si>
    <t>P0-02-101 - Эстакада (к котельной). Участок №1Ростверков РСм1 (3 шт) и РСм4 (22 шт) в осах 1-11/А-Б/1
Ростверков РСм1 (3 шт), РСм2 (14 шт), РСм3 (2 шт) и  РСм4 (6 шт) в осах 12-23/А-Б/1Обратная засыпка песком средней крупности вручную</t>
  </si>
  <si>
    <t xml:space="preserve">P0-02-101 - Эстакада (к котельной). Участок №1Ростверков РСм1 (3 шт) и РСм4 (22 шт) в осах 1-11/А-Б/1
Ростверков РСм1 (3 шт), РСм2 (14 шт), РСм3 (2 шт) и  РСм4 (6 шт) в осах 12-23/А-Б/1Уплотнение вручную </t>
  </si>
  <si>
    <t>P0-02-101 - Эстакада (к котельной). Участок №1Ростверков РСм1 (3 шт) в осах 1-11/А-Б/1Устройство бетонной подготовки фундаментов РСм1 из бетона В10, толщ. 100 мм (3 шт.)</t>
  </si>
  <si>
    <t>P0-02-101 - Эстакада (к котельной). Участок №1Ростверков РСм1 (3 шт) в осах 1-11/А-Б/1Армирование фундамента РСм1 (3 шт)  ГНУТЫМИ стержнями диаметром  до 12 мм</t>
  </si>
  <si>
    <t>P0-02-101 - Эстакада (к котельной). Участок №1Ростверков РСм1 (3 шт) в осах 1-11/А-Б/1Армирование фундамента РСм1 (3 шт)  ПРЯМЫМИ стержнями диаметром до 12 мм</t>
  </si>
  <si>
    <t>P0-02-101 - Эстакада (к котельной). Участок №1Ростверков РСм1 (3 шт) в осах 1-11/А-Б/1Армирование фундамента РСм1 (3 шт)  ГНУТЫМИ стержнями диаметром до 12 мм</t>
  </si>
  <si>
    <t>P0-02-101 - Эстакада (к котельной). Участок №1Ростверков РСм1 (3 шт) в осах 1-11/А-Б/1Армирование фундамента РСм1 (3 шт) ГНУТЫМИ сварными стержнями диаметром 14 мм и более</t>
  </si>
  <si>
    <t>P0-02-101 - Эстакада (к котельной). Участок №1Ростверков РСм1 (3 шт) в осах 1-11/А-Б/1Обеспечение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</si>
  <si>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P0-02-101 - Эстакада (к котельной). Участок №1Ростверков РСм1 (3 шт) в осах 1-11/А-Б/1Монтаж и демонтаж опалубки фундамента РСм1 (3 шт) </t>
  </si>
  <si>
    <t xml:space="preserve">P0-02-101 - Эстакада (к котельной). Участок №1Ростверков РСм1 (3 шт) в осах 1-11/А-Б/1Бетонирование фундамента РСм1 (3 шт) </t>
  </si>
  <si>
    <t>P0-02-101 - Эстакада (к котельной). Участок №1Ростверков РСм1 (3 шт) в осах 12-23/А-Б/1Устройство бетонной подготовки фундаментов РСм1 из бетона В10, толщ. 100 мм (3 шт.)</t>
  </si>
  <si>
    <t>P0-02-101 - Эстакада (к котельной). Участок №1Ростверков РСм1 (3 шт) в осах 12-23/А-Б/1Армирование фундамента РСм1 (3 шт)  ГНУТЫМИ стержнями диаметром  до 12 мм</t>
  </si>
  <si>
    <t>P0-02-101 - Эстакада (к котельной). Участок №1Ростверков РСм1 (3 шт) в осах 12-23/А-Б/1Армирование фундамента РСм1 (3 шт)  ПРЯМЫМИ стержнями диаметром до 12 мм</t>
  </si>
  <si>
    <t>P0-02-101 - Эстакада (к котельной). Участок №1Ростверков РСм1 (3 шт) в осах 12-23/А-Б/1Армирование фундамента РСм1 (3 шт)  ГНУТЫМИ стержнями диаметром до 12 мм</t>
  </si>
  <si>
    <t>P0-02-101 - Эстакада (к котельной). Участок №1Ростверков РСм1 (3 шт) в осах 12-23/А-Б/1Армирование фундамента РСм1 (3 шт) ГНУТЫМИ сварными стержнями диаметром 14 мм и более</t>
  </si>
  <si>
    <t>P0-02-101 - Эстакада (к котельной). Участок №1Ростверков РСм1 (3 шт) в осах 12-23/А-Б/1Обеспечение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</si>
  <si>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P0-02-101 - Эстакада (к котельной). Участок №1Ростверков РСм1 (3 шт) в осах 12-23/А-Б/1Монтаж и демонтаж опалубки фундамента РСм1 (3 шт) </t>
  </si>
  <si>
    <t xml:space="preserve">P0-02-101 - Эстакада (к котельной). Участок №1Ростверков РСм1 (3 шт) в осах 12-23/А-Б/1Бетонирование фундамента РСм1 (3 шт) </t>
  </si>
  <si>
    <t>P0-02-101 - Эстакада (к котельной). Участок №1Ростверков РСм4 (22 шт) в осах 1-11/А-Б/1Устройство бетонной подготовки фундаментов РСм4 из бетона В10, толщ. 100 мм (22 шт.)</t>
  </si>
  <si>
    <t>P0-02-101 - Эстакада (к котельной). Участок №1Ростверков РСм4 (22 шт) в осах 1-11/А-Б/1Армирование фундамента РСм4 (22 шт)  ГНУТЫМИ стержнями диаметром  до 12 мм</t>
  </si>
  <si>
    <t>P0-02-101 - Эстакада (к котельной). Участок №1Ростверков РСм4 (22 шт) в осах 1-11/А-Б/1Армирование фундамента РСм4 (22 шт)  ПРЯМЫМИ стержнями диаметром до 12 мм</t>
  </si>
  <si>
    <t>P0-02-101 - Эстакада (к котельной). Участок №1Ростверков РСм4 (22 шт) в осах 1-11/А-Б/1Армирование фундамента РСм4 (22 шт) ГНУТЫМИ сварными стержнями диаметром 14 мм и более</t>
  </si>
  <si>
    <t>P0-02-101 - Эстакада (к котельной). Участок №1Ростверков РСм4 (22 шт) в осах 1-11/А-Б/1Обеспечение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</si>
  <si>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№1Ростверков РСм4 (22 шт) в осах 1-11/А-Б/1Монтаж и демонтаж опалубки фундамента РСм4 (22 шт)</t>
  </si>
  <si>
    <t>P0-02-101 - Эстакада (к котельной). Участок №1Ростверков РСм4 (22 шт) в осах 1-11/А-Б/1Бетонирование фундамента РСм4 (22 шт)</t>
  </si>
  <si>
    <t>P0-02-101 - Эстакада (к котельной). Участок №1Ростверков РСм2 (14 шт) в осах 12-23/А-Б/1Устройство бетонной подготовки фундаментов РСм2 из бетона В10, толщ. 100 мм (14 шт.)</t>
  </si>
  <si>
    <t>P0-02-101 - Эстакада (к котельной). Участок №1Ростверков РСм2 (14 шт) в осах 12-23/А-Б/1Армирование фундамента РСм2 (14 шт)  ГНУТЫМИ стержнями диаметром  до 12 мм</t>
  </si>
  <si>
    <t>P0-02-101 - Эстакада (к котельной). Участок №1Ростверков РСм2 (14 шт) в осах 12-23/А-Б/1Армирование фундамента РСм2 (14 шт)  ПРЯМЫМИ стержнями диаметром до 12 мм</t>
  </si>
  <si>
    <t>P0-02-101 - Эстакада (к котельной). Участок №1Ростверков РСм2 (14 шт) в осах 12-23/А-Б/1Армирование фундамента РСм2 (14 шт) ГНУТЫМИ сварными стержнями диаметром 14 мм и более</t>
  </si>
  <si>
    <t>P0-02-101 - Эстакада (к котельной). Участок №1Ростверков РСм2 (14 шт) в осах 12-23/А-Б/1Обеспечение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</si>
  <si>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№1Ростверков РСм2 (14 шт) в осах 12-23/А-Б/1Монтаж и демонтаж опалубки фундамента РСм2 (14 шт)</t>
  </si>
  <si>
    <t>P0-02-101 - Эстакада (к котельной). Участок №1Ростверков РСм2 (14 шт) в осах 12-23/А-Б/1Бетонирование фундамента РСм2 (14 шт)</t>
  </si>
  <si>
    <t>P0-02-101 - Эстакада (к котельной). Участок №1Ростверков РСм3 (2 шт) в осах 12-23/А-Б/1Устройство бетонной подготовки фундаментов РСм3 из бетона В10, толщ. 100 мм (2 шт.)</t>
  </si>
  <si>
    <t>P0-02-101 - Эстакада (к котельной). Участок №1Ростверков РСм3 (2 шт) в осах 12-23/А-Б/1Армирование фундамента РСм3 (2 шт)  ГНУТЫМИ стержнями диаметром  до 12 мм</t>
  </si>
  <si>
    <t>P0-02-101 - Эстакада (к котельной). Участок №1Ростверков РСм3 (2 шт) в осах 12-23/А-Б/1Армирование фундамента РСм3 (2 шт)  ПРЯМЫМИ стержнями диаметром до 12 мм</t>
  </si>
  <si>
    <t>P0-02-101 - Эстакада (к котельной). Участок №1Ростверков РСм3 (2 шт) в осах 12-23/А-Б/1Армирование фундамента РСм3 (2 шт) ГНУТЫМИ сварными стержнями диаметром 14 мм и более</t>
  </si>
  <si>
    <t>P0-02-101 - Эстакада (к котельной). Участок №1Ростверков РСм3 (2 шт) в осах 12-23/А-Б/1Обеспечение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</si>
  <si>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№1Ростверков РСм3 (2 шт) в осах 12-23/А-Б/1Монтаж и демонтаж опалубки фундамента РСм3 (2 шт)</t>
  </si>
  <si>
    <t>P0-02-101 - Эстакада (к котельной). Участок №1Ростверков РСм3 (2 шт) в осах 12-23/А-Б/1Бетонирование фундамента РСм3 (2 шт)</t>
  </si>
  <si>
    <t>P0-02-101 - Эстакада (к котельной). Участок №1Ростверков РСм4 (6 шт) в осах 12-23/А-Б/1Устройство бетонной подготовки фундаментов РСм4 из бетона В10, толщ. 100 мм (6 шт.)</t>
  </si>
  <si>
    <t>P0-02-101 - Эстакада (к котельной). Участок №1Ростверков РСм4 (6 шт) в осах 12-23/А-Б/1Армирование фундамента РСм4 (6 шт)  ГНУТЫМИ стержнями диаметром  до 12 мм</t>
  </si>
  <si>
    <t>P0-02-101 - Эстакада (к котельной). Участок №1Ростверков РСм4 (6 шт) в осах 12-23/А-Б/1Армирование фундамента РСм4 (6 шт)  ПРЯМЫМИ стержнями диаметром  до 12 мм</t>
  </si>
  <si>
    <t>P0-02-101 - Эстакада (к котельной). Участок №1Ростверков РСм4 (6 шт) в осах 12-23/А-Б/1Армирование фундамента РСм4 (6 шт) ГНУТЫМИ сварными стержнями диаметром 14 мм и более</t>
  </si>
  <si>
    <t>P0-02-101 - Эстакада (к котельной). Участок №1Ростверков РСм4 (6 шт) в осах 12-23/А-Б/1Обеспечение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</si>
  <si>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№1Ростверков РСм4 (6 шт) в осах 12-23/А-Б/1Монтаж и демонтаж опалубки фундамента РСм4 (6 шт)</t>
  </si>
  <si>
    <t>P0-02-101 - Эстакада (к котельной). Участок №1Ростверков РСм4 (6 шт) в осах 12-23/А-Б/1Бетонирование фундамента РСм4 (6 шт)</t>
  </si>
  <si>
    <t>P0-02-101 - Эстакада (к котельной). Участок №1Колонны монолитные Км1-1 (3 шт)Армированные колонн Км1 (3 шт) ГНУТЫМИ стержнями диаметром до 12 мм</t>
  </si>
  <si>
    <t>P0-02-101 - Эстакада (к котельной). Участок №1Колонны монолитные Км1-1 (3 шт)Армированные колонн Км1 (3 шт) ПРЯМЫМИ стержнями диаметром 14 мм и более</t>
  </si>
  <si>
    <t xml:space="preserve">P0-02-101 - Эстакада (к котельной). Участок №1Колонны монолитные Км1-1 (3 шт)Установка анкерных болтов М1 (перед бетонированием) диаметром от Ø20мм до Ø40мм </t>
  </si>
  <si>
    <t>P0-02-101 - Эстакада (к котельной). Участок №1Колонны монолитные Км1-1 (3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</si>
  <si>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№1Колонны монолитные Км1-1 (3 шт)Монтаж и демонтаж опалубки заводского изготовления колонн Км1 (3 шт)</t>
  </si>
  <si>
    <t xml:space="preserve">P0-02-101 - Эстакада (к котельной). Участок №1Колонны монолитные Км1-1 (3 шт)Бетонирование колонн Км1 (3 шт) из бетона B25 W8 F200 </t>
  </si>
  <si>
    <t>P0-02-101 - Эстакада (к котельной). Участок №1Колонны монолитные Км1-1 (3 шт)Устройство подливки колонн Км1 толщиной 50мм
(3 шт)</t>
  </si>
  <si>
    <t>P0-02-101 - Эстакада (к котельной). Участок №1Колонны монолитные Км1-1 (3 шт)Монтаж закладных деталей ЗДИ3 колонн Км1-1  весом от
8,1-12,0кг.</t>
  </si>
  <si>
    <t>P0-02-101 - Эстакада (к котельной). Участок №1Колонны монолитные Км1-1 (3 шт)Монтаж закладных деталей ЗДИ7 колонн Км1-1 весом от
8,1-15,0кг.</t>
  </si>
  <si>
    <t>P0-02-101 - Эстакада (к котельной). Участок №1Колонны монолитные Км4-1 (5 шт)Армированные колонн Км4 (5 шт) ГНУТЫМИ стержнями диаметром до 12 мм</t>
  </si>
  <si>
    <t>P0-02-101 - Эстакада (к котельной). Участок №1Колонны монолитные Км4-1 (5 шт)Армированные колонн Км4 (5 шт) ПРЯМЫМИ стержнями диаметром 14 мм и более</t>
  </si>
  <si>
    <t xml:space="preserve">P0-02-101 - Эстакада (к котельной). Участок №1Колонны монолитные Км4-1 (5 шт)Установка анкерных болтов М1 (перед бетонированием) диаметром от Ø20мм до Ø40мм </t>
  </si>
  <si>
    <t>P0-02-101 - Эстакада (к котельной). Участок №1Колонны монолитные Км4-1 (5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</si>
  <si>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№1Колонны монолитные Км4-1 (5 шт)Монтаж и демонтаж опалубки заводского изготовления колонн Км4 (5 шт)</t>
  </si>
  <si>
    <t xml:space="preserve">P0-02-101 - Эстакада (к котельной). Участок №1Колонны монолитные Км4-1 (5 шт)Бетонирование колонн Км4 (5 шт) из бетона B25 W8 F200 </t>
  </si>
  <si>
    <t>P0-02-101 - Эстакада (к котельной). Участок №1Колонны монолитные Км4-1 (5 шт)Устройство подливки колонн Км4 толщиной 50мм
(5 шт)</t>
  </si>
  <si>
    <t>P0-02-101 - Эстакада (к котельной). Участок №1Колонны монолитные Км4-1 (5 шт)Монтаж закладных деталей ЗДИ1 колонн Км4-1  весом от
8,1-12,0кг.</t>
  </si>
  <si>
    <t>P0-02-101 - Эстакада (к котельной). Участок №1Колонны монолитные Км4-1 (5 шт)Монтаж закладных деталей ЗДИ2 колонн Км4-1 весом от
15,1-20,0кг.</t>
  </si>
  <si>
    <t>P0-02-101 - Эстакада (к котельной). Участок №1Колонны монолитные Км4-2 (5 шт)Армированные колонн Км4 (5 шт) ГНУТЫМИ стержнями диаметром до 12 мм</t>
  </si>
  <si>
    <t>P0-02-101 - Эстакада (к котельной). Участок №1Колонны монолитные Км4-2 (5 шт)Армированные колонн Км4 (5 шт) ПРЯМЫМИ стержнями диаметром 14 мм и более</t>
  </si>
  <si>
    <t xml:space="preserve">P0-02-101 - Эстакада (к котельной). Участок №1Колонны монолитные Км4-2 (5 шт)Установка анкерных болтов М1 (перед бетонированием) диаметром от Ø20мм до Ø40мм </t>
  </si>
  <si>
    <t>P0-02-101 - Эстакада (к котельной). Участок №1Колонны монолитные Км4-2 (5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</si>
  <si>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№1Колонны монолитные Км4-2 (5 шт)Монтаж и демонтаж опалубки заводского изготовления колонн Км4 (5 шт)</t>
  </si>
  <si>
    <t xml:space="preserve">P0-02-101 - Эстакада (к котельной). Участок №1Колонны монолитные Км4-2 (5 шт)Бетонирование колонн Км4 (5 шт) из бетона B25 W8 F200 </t>
  </si>
  <si>
    <t>P0-02-101 - Эстакада (к котельной). Участок №1Колонны монолитные Км4-2 (5 шт)Устройство подливки колонн Км4 толщиной 50мм
(5 шт)</t>
  </si>
  <si>
    <t>P0-02-101 - Эстакада (к котельной). Участок №1Колонны монолитные Км4-2 (5 шт)Монтаж закладных деталей ЗДИ1 колонн Км4-2  весом от
8,1-12,0кг.</t>
  </si>
  <si>
    <t>P0-02-101 - Эстакада (к котельной). Участок №1Колонны монолитные Км4-2 (5 шт)Монтаж закладных деталей ЗДИ2 колонн Км4-2 весом от
15,1-20,0кг.</t>
  </si>
  <si>
    <t>P0-02-101 - Эстакада (к котельной). Участок №1Колонны монолитные Км4-3 (2 шт)Армированные колонн Км4 (2 шт) ГНУТЫМИ стержнями диаметром до 12 мм</t>
  </si>
  <si>
    <t>P0-02-101 - Эстакада (к котельной). Участок №1Колонны монолитные Км4-3 (2 шт)Армированные колонн Км4 (2 шт) ПРЯМЫМИ стержнями диаметром 14 мм и более</t>
  </si>
  <si>
    <t xml:space="preserve">P0-02-101 - Эстакада (к котельной). Участок №1Колонны монолитные Км4-3 (2 шт)Установка анкерных болтов М1 (перед бетонированием) диаметром от Ø20мм до Ø40мм </t>
  </si>
  <si>
    <t>P0-02-101 - Эстакада (к котельной). Участок №1Колонны монолитные Км4-3 (2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</si>
  <si>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№1Колонны монолитные Км4-3 (2 шт)Монтаж и демонтаж опалубки заводского изготовления колонн Км4 (2 шт)</t>
  </si>
  <si>
    <t xml:space="preserve">P0-02-101 - Эстакада (к котельной). Участок №1Колонны монолитные Км4-3 (2 шт)Бетонирование колонн Км4 (2 шт) из бетона B25 W8 F200 </t>
  </si>
  <si>
    <t>P0-02-101 - Эстакада (к котельной). Участок №1Колонны монолитные Км4-3 (2 шт)Устройство подливки колонн Км4 толщиной 50мм
(2 шт)</t>
  </si>
  <si>
    <t>P0-02-101 - Эстакада (к котельной). Участок №1Колонны монолитные Км4-3 (2 шт)Монтаж закладных деталей ЗДИ1 колонн Км4-3  весом от
8,1-12,0кг.</t>
  </si>
  <si>
    <t>P0-02-101 - Эстакада (к котельной). Участок №1Колонны монолитные Км4-3 (2 шт)Монтаж закладных деталей ЗДИ3 колонн Км4-3 весом от
8,1-120кг.</t>
  </si>
  <si>
    <t>P0-02-101 - Эстакада (к котельной). Участок №1Колонны монолитные Км4-3 (2 шт)Монтаж закладных деталей ЗДИ7 колонн Км4-1 весом от
8,1-15,0кг.</t>
  </si>
  <si>
    <t>P0-02-101 - Эстакада (к котельной). Участок №1Колонны монолитные Км4-4 (2 шт)Армированные колонн Км4 (2 шт) ГНУТЫМИ стержнями диаметром до 12 мм</t>
  </si>
  <si>
    <t>P0-02-101 - Эстакада (к котельной). Участок №1Колонны монолитные Км4-4 (2 шт)Армированные колонн Км4 (2 шт) ПРЯМЫМИ стержнями диаметром 14 мм и более</t>
  </si>
  <si>
    <t xml:space="preserve">P0-02-101 - Эстакада (к котельной). Участок №1Колонны монолитные Км4-4 (2 шт)Установка анкерных болтов М1 (перед бетонированием) диаметром от Ø20мм до Ø40мм </t>
  </si>
  <si>
    <t>P0-02-101 - Эстакада (к котельной). Участок №1Колонны монолитные Км4-4 (2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</si>
  <si>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№1Колонны монолитные Км4-4 (2 шт)Монтаж и демонтаж опалубки заводского изготовления колонн Км4 (2 шт)</t>
  </si>
  <si>
    <t xml:space="preserve">P0-02-101 - Эстакада (к котельной). Участок №1Колонны монолитные Км4-4 (2 шт)Бетонирование колонн Км4 (2 шт) из бетона B25 W8 F200 </t>
  </si>
  <si>
    <t>P0-02-101 - Эстакада (к котельной). Участок №1Колонны монолитные Км4-4 (2 шт)Устройство подливки колонн Км4 толщиной 50мм
(2 шт)</t>
  </si>
  <si>
    <t>P0-02-101 - Эстакада (к котельной). Участок №1Колонны монолитные Км4-4 (2 шт)Монтаж закладных деталей ЗДИ1 колонн Км4-4  весом от
8,1-12,0кг.</t>
  </si>
  <si>
    <t>P0-02-101 - Эстакада (к котельной). Участок №1Колонны монолитные Км4-4 (2 шт)Монтаж закладных деталей ЗДИ7 колонн Км4-4 весом от
8,1-15,0кг.</t>
  </si>
  <si>
    <t>P0-02-101 - Эстакада (к котельной). Участок №1Колонны монолитные Км4-5 (1 шт)Колонны монолитные Км4 (1 шт)</t>
  </si>
  <si>
    <t>P0-02-101 - Эстакада (к котельной). Участок №1Колонны монолитные Км4-5 (1 шт)Армированные колонн Км4 (1 шт) ГНУТЫМИ стержнями диаметром до 12 мм</t>
  </si>
  <si>
    <t>P0-02-101 - Эстакада (к котельной). Участок №1Колонны монолитные Км4-5 (1 шт)Армированные колонн Км4 (1 шт) ПРЯМЫМИ стержнями диаметром 14 мм и более</t>
  </si>
  <si>
    <t xml:space="preserve">P0-02-101 - Эстакада (к котельной). Участок №1Колонны монолитные Км4-5 (1 шт)Установка анкерных болтов М1 (перед бетонированием) диаметром от Ø20мм до Ø40мм </t>
  </si>
  <si>
    <t>P0-02-101 - Эстакада (к котельной). Участок №1Колонны монолитные Км4-5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</si>
  <si>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№1Колонны монолитные Км4-5 (1 шт)Монтаж и демонтаж опалубки заводского изготовления колонн Км4 (1 шт)</t>
  </si>
  <si>
    <t xml:space="preserve">P0-02-101 - Эстакада (к котельной). Участок №1Колонны монолитные Км4-5 (1 шт)Бетонирование колонн Км4 (1 шт) из бетона B25 W8 F200 </t>
  </si>
  <si>
    <t>P0-02-101 - Эстакада (к котельной). Участок №1Колонны монолитные Км4-5 (1 шт)Устройство подливки колонн Км4 толщиной 50мм
(1 шт)</t>
  </si>
  <si>
    <t>P0-02-101 - Эстакада (к котельной). Участок №1Колонны монолитные Км4-5 (1 шт)Монтаж закладных деталей ЗДИ1 колонн Км4-5  весом от
8,1-12,0кг.</t>
  </si>
  <si>
    <t>P0-02-101 - Эстакада (к котельной). Участок №1Колонны монолитные Км4-5 (1 шт)Монтаж закладных деталей ЗДИ2 колонн Км4-5  весом от
15,1-20,0кг.</t>
  </si>
  <si>
    <t>P0-02-101 - Эстакада (к котельной). Участок №1Колонны монолитные Км4-5 (1 шт)Монтаж закладных деталей ЗДИ6 колонн Км4-5   весом от
12,1-20,0кг.</t>
  </si>
  <si>
    <t>P0-02-101 - Эстакада (к котельной). Участок №1Колонны монолитные Км4-6 (1 шт)Колонны монолитные Км4 (1 шт)</t>
  </si>
  <si>
    <t>P0-02-101 - Эстакада (к котельной). Участок №1Колонны монолитные Км4-6 (1 шт)Армированные колонн Км4 (1 шт) ГНУТЫМИ стержнями диаметром до 12 мм</t>
  </si>
  <si>
    <t>P0-02-101 - Эстакада (к котельной). Участок №1Колонны монолитные Км4-6 (1 шт)Армированные колонн Км4 (1 шт) ПРЯМЫМИ стержнями диаметром 14 мм и более</t>
  </si>
  <si>
    <t xml:space="preserve">P0-02-101 - Эстакада (к котельной). Участок №1Колонны монолитные Км4-6 (1 шт)Установка анкерных болтов М1 (перед бетонированием) диаметром от Ø20мм до Ø40мм </t>
  </si>
  <si>
    <t>P0-02-101 - Эстакада (к котельной). Участок №1Колонны монолитные Км4-6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</si>
  <si>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№1Колонны монолитные Км4-6 (1 шт)Монтаж и демонтаж опалубки заводского изготовления колонн Км4 (1 шт)</t>
  </si>
  <si>
    <t xml:space="preserve">P0-02-101 - Эстакада (к котельной). Участок №1Колонны монолитные Км4-6 (1 шт)Бетонирование колонн Км4 (1 шт) из бетона B25 W8 F200 </t>
  </si>
  <si>
    <t>P0-02-101 - Эстакада (к котельной). Участок №1Колонны монолитные Км4-6 (1 шт)Устройство подливки колонн Км4 толщиной 50мм
(1 шт)</t>
  </si>
  <si>
    <t>P0-02-101 - Эстакада (к котельной). Участок №1Колонны монолитные Км4-6 (1 шт)Монтаж закладных деталей ЗДИ1 колонн Км4-6  весом от
8,1-12,0кг.</t>
  </si>
  <si>
    <t>P0-02-101 - Эстакада (к котельной). Участок №1Колонны монолитные Км4-6 (1 шт)Монтаж закладных деталей ЗДИ2 колонн Км4-6  весом от
15,1-20,0кг.</t>
  </si>
  <si>
    <t>P0-02-101 - Эстакада (к котельной). Участок №1Колонны монолитные Км4-6 (1 шт)Монтаж закладных деталей ЗДИ6 колонн Км4-6  весом от
12,1-20,0кг.</t>
  </si>
  <si>
    <t>P0-02-101 - Эстакада (к котельной). Участок №1Колонны монолитные Км4-7 (1 шт)Армированные колонн Км4 (1 шт) ГНУТЫМИ стержнями диаметром до 12 мм</t>
  </si>
  <si>
    <t>P0-02-101 - Эстакада (к котельной). Участок №1Колонны монолитные Км4-7 (1 шт)Армированные колонн Км4 (1 шт) ПРЯМЫМИ стержнями диаметром 14 мм и более</t>
  </si>
  <si>
    <t xml:space="preserve">P0-02-101 - Эстакада (к котельной). Участок №1Колонны монолитные Км4-7 (1 шт)Установка анкерных болтов М1 (перед бетонированием) диаметром от Ø20мм до Ø40мм </t>
  </si>
  <si>
    <t>P0-02-101 - Эстакада (к котельной). Участок №1Колонны монолитные Км4-7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</si>
  <si>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№1Колонны монолитные Км4-7 (1 шт)Монтаж и демонтаж опалубки заводского изготовления колонн Км4 (1 шт)</t>
  </si>
  <si>
    <t xml:space="preserve">P0-02-101 - Эстакада (к котельной). Участок №1Колонны монолитные Км4-7 (1 шт)Бетонирование колонн Км4 (1 шт) из бетона B25 W8 F200 </t>
  </si>
  <si>
    <t>P0-02-101 - Эстакада (к котельной). Участок №1Колонны монолитные Км4-7 (1 шт)Устройство подливки колонн Км4 толщиной 50мм
(1 шт)</t>
  </si>
  <si>
    <t>P0-02-101 - Эстакада (к котельной). Участок №1Колонны монолитные Км4-7 (1 шт)Монтаж закладных деталей ЗДИ1 колонн Км4-7  весом от
8,1-12,0кг.</t>
  </si>
  <si>
    <t>P0-02-101 - Эстакада (к котельной). Участок №1Колонны монолитные Км4-7 (1 шт)Монтаж закладных деталей ЗДИ2 колонн Км4-7  весом от
8,1-12,0кг.</t>
  </si>
  <si>
    <t>P0-02-101 - Эстакада (к котельной). Участок №1Колонны монолитные Км4-7 (1 шт)Монтаж закладных деталей ЗДИ8 колонн Км4-7 весом от
5,1-8,0кг.</t>
  </si>
  <si>
    <t>P0-02-101 - Эстакада (к котельной). Участок №1Колонны монолитные Км4-8 (1 шт)Армированные колонн Км4 (1 шт) ГНУТЫМИ стержнями диаметром до 12 мм</t>
  </si>
  <si>
    <t>P0-02-101 - Эстакада (к котельной). Участок №1Колонны монолитные Км4-8 (1 шт)Армированные колонн Км4 (1 шт) ПРЯМЫМИ стержнями диаметром 14 мм и более</t>
  </si>
  <si>
    <t xml:space="preserve">P0-02-101 - Эстакада (к котельной). Участок №1Колонны монолитные Км4-8 (1 шт)Установка анкерных болтов М1 (перед бетонированием) диаметром от Ø20мм до Ø40мм </t>
  </si>
  <si>
    <t>P0-02-101 - Эстакада (к котельной). Участок №1Колонны монолитные Км4-8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</si>
  <si>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№1Колонны монолитные Км4-8 (1 шт)Монтаж и демонтаж опалубки заводского изготовления колонн Км4 (1 шт)</t>
  </si>
  <si>
    <t xml:space="preserve">P0-02-101 - Эстакада (к котельной). Участок №1Колонны монолитные Км4-8 (1 шт)Бетонирование колонн Км4 (1 шт) из бетона B25 W8 F200 </t>
  </si>
  <si>
    <t>P0-02-101 - Эстакада (к котельной). Участок №1Колонны монолитные Км4-8 (1 шт)Устройство подливки колонн Км4 толщиной 50мм
(1 шт)</t>
  </si>
  <si>
    <t>P0-02-101 - Эстакада (к котельной). Участок №1Колонны монолитные Км4-8 (1 шт)Монтаж закладных деталей ЗДИ1 колонн Км4-8  весом от
8,1-12,0кг.</t>
  </si>
  <si>
    <t>P0-02-101 - Эстакада (к котельной). Участок №1Колонны монолитные Км4-8 (1 шт)Монтаж закладных деталей ЗДИ2 колонн Км4-8  весом от
8,1-12,0кг.</t>
  </si>
  <si>
    <t>P0-02-101 - Эстакада (к котельной). Участок №1Колонны монолитные Км4-8 (1 шт)Монтаж закладных деталей ЗДИ8 колонн Км4-8 весом от
5,1-8,0кг.</t>
  </si>
  <si>
    <t>P0-02-101 - Эстакада (к котельной). Участок №1Рама монолитная Рм2а (1 шт)Армированные колонн раме Рм2 (1 шт) ГНУТЫМИ стержнями диаметром до 12 мм</t>
  </si>
  <si>
    <t>P0-02-101 - Эстакада (к котельной). Участок №1Рама монолитная Рм2а (1 шт)Армированные балок раме Рм2 (1 шт) ГНУТЫМИ стержнями диаметром до 12 мм</t>
  </si>
  <si>
    <t>P0-02-101 - Эстакада (к котельной). Участок №1Рама монолитная Рм2а (1 шт)Армированные колонн раме Рм2  (1 шт) ПРЯМЫМИ стержнями диаметром 14 мм и более</t>
  </si>
  <si>
    <t>P0-02-101 - Эстакада (к котельной). Участок №1Рама монолитная Рм2а (1 шт)Армированные балок раме Рм2  (1 шт) ПРЯМЫМИ стержнями диаметром 14 мм и более</t>
  </si>
  <si>
    <t>P0-02-101 - Эстакада (к котельной). Участок №1Рама монолитная Рм2а (1 шт)Армированные раме Рм2  (1 шт) ГНУТЫМИ стержнями диаметром 14 мм и более</t>
  </si>
  <si>
    <t xml:space="preserve">P0-02-101 - Эстакада (к котельной). Участок №1Рама монолитная Рм2а (1 шт)Установка анкерных болтов М1 (перед бетонированием) диаметром от Ø20мм до Ø40мм </t>
  </si>
  <si>
    <t>P0-02-101 - Эстакада (к котельной). Участок №1Рама монолитная Рм2а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</si>
  <si>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№1Рама монолитная Рм2а (1 шт)Монтаж и демонтаж опалубки  заводского изготовления колонн раме Рм2  (1 шт)</t>
  </si>
  <si>
    <t>P0-02-101 - Эстакада (к котельной). Участок №1Рама монолитная Рм2а (1 шт)Монтаж и демонтаж опалубки заводского изготовления балок раме Рм2  (1 шт)</t>
  </si>
  <si>
    <t xml:space="preserve">P0-02-101 - Эстакада (к котельной). Участок №1Рама монолитная Рм2а (1 шт)Бетонирование колонн раме Рм2 (1 шт) из бетона B25 W8 F200 </t>
  </si>
  <si>
    <t xml:space="preserve">P0-02-101 - Эстакада (к котельной). Участок №1Рама монолитная Рм2а (1 шт)Бетонирование балок раме Рм2 (1 шт) из бетона B25 W8 F200 </t>
  </si>
  <si>
    <t>P0-02-101 - Эстакада (к котельной). Участок №1Рама монолитная Рм2а (1 шт)Устройство подливки раме Рм2 толщиной 50мм
(1 шт)</t>
  </si>
  <si>
    <t>P0-02-101 - Эстакада (к котельной). Участок №1Рама монолитная Рм2а (1 шт)Монтаж закладных деталей ЗДИ1 раме Рм2а  весом от
8,1-12,0кг.</t>
  </si>
  <si>
    <t>P0-02-101 - Эстакада (к котельной). Участок №1Рама монолитная Рм2а (1 шт)Монтаж закладных деталей ЗДИ3 раме Рм2а  весом от
8,1-12,0кг.</t>
  </si>
  <si>
    <t>P0-02-101 - Эстакада (к котельной). Участок №1Рама монолитная Рм2а (1 шт)Монтаж закладных деталей ЗДИ4 раме Рм2а  весом от
12,1-20,0кг.</t>
  </si>
  <si>
    <t>P0-02-101 - Эстакада (к котельной). Участок №1Рама монолитная Рм2а (1 шт)Монтаж закладных деталей ЗДИ5 раме Рм2а  весом от
20,1-30,0кг.</t>
  </si>
  <si>
    <t>P0-02-101 - Эстакада (к котельной). Участок №1Рама монолитная Рм2а (1 шт)Монтаж закладных деталей ЗДИ6 раме Рм2а  весом от
12,1-20,0кг.</t>
  </si>
  <si>
    <t>P0-02-101 - Эстакада (к котельной). Участок №1Рама монолитная Рм2а (1 шт)Монтаж закладных деталей ЗДИ8 раме Рм2а  весом от
12,1-20,0кг.</t>
  </si>
  <si>
    <t>P0-02-101 - Эстакада (к котельной). Участок №1Рама монолитная Рм2б (1 шт)Армированные колонн раме Рм2 (1 шт) ГНУТЫМИ стержнями диаметром до 12 мм</t>
  </si>
  <si>
    <t>P0-02-101 - Эстакада (к котельной). Участок №1Рама монолитная Рм2б (1 шт)Армированные балок раме Рм2 (1 шт) ГНУТЫМИ стержнями диаметром до 12 мм</t>
  </si>
  <si>
    <t>P0-02-101 - Эстакада (к котельной). Участок №1Рама монолитная Рм2б (1 шт)Армированные колонн раме Рм2  (1 шт) ПРЯМЫМИ стержнями диаметром 14 мм и более</t>
  </si>
  <si>
    <t>P0-02-101 - Эстакада (к котельной). Участок №1Рама монолитная Рм2б (1 шт)Армированные балок раме Рм2  (1 шт) ПРЯМЫМИ стержнями диаметром 14 мм и более</t>
  </si>
  <si>
    <t>P0-02-101 - Эстакада (к котельной). Участок №1Рама монолитная Рм2б (1 шт)Армированные раме Рм2  (1 шт) ГНУТЫМИ стержнями диаметром 14 мм и более</t>
  </si>
  <si>
    <t xml:space="preserve">P0-02-101 - Эстакада (к котельной). Участок №1Рама монолитная Рм2б (1 шт)Установка анкерных болтов М1 (перед бетонированием) диаметром от Ø20мм до Ø40мм </t>
  </si>
  <si>
    <t>P0-02-101 - Эстакада (к котельной). Участок №1Рама монолитная Рм2б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</si>
  <si>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№1Рама монолитная Рм2б (1 шт)Монтаж и демонтаж опалубки заводского изготовления колонн раме Рм2  (1 шт)</t>
  </si>
  <si>
    <t>P0-02-101 - Эстакада (к котельной). Участок №1Рама монолитная Рм2б (1 шт)Монтаж и демонтаж опалубки заводского изготовления балок раме Рм2  (1 шт)</t>
  </si>
  <si>
    <t xml:space="preserve">P0-02-101 - Эстакада (к котельной). Участок №1Рама монолитная Рм2б (1 шт)Бетонирование раме Рм2 (1 шт) из бетона B25 W8 F200 </t>
  </si>
  <si>
    <t xml:space="preserve">P0-02-101 - Эстакада (к котельной). Участок №1Рама монолитная Рм2б (1 шт)Бетонирование балок раме Рм2 (1 шт) из бетона B25 W8 F200 </t>
  </si>
  <si>
    <t>P0-02-101 - Эстакада (к котельной). Участок №1Рама монолитная Рм2б (1 шт)Устройство подливки раме Рм2 толщиной 50мм
(1 шт)</t>
  </si>
  <si>
    <t>P0-02-101 - Эстакада (к котельной). Участок №1Рама монолитная Рм2б (1 шт)Монтаж закладных деталей ЗДИ1 раме Рм2б  весом от
8,1-12,0кг.</t>
  </si>
  <si>
    <t>P0-02-101 - Эстакада (к котельной). Участок №1Рама монолитная Рм2б (1 шт)Монтаж закладных деталей ЗДИ3 раме Рм2б  весом от
8,1-12,0кг.</t>
  </si>
  <si>
    <t>P0-02-101 - Эстакада (к котельной). Участок №1Рама монолитная Рм2б (1 шт)Монтаж закладных деталей ЗДИ4 раме Рм2б  весом от
12,1-20,0кг.</t>
  </si>
  <si>
    <t>P0-02-101 - Эстакада (к котельной). Участок №1Рама монолитная Рм2б (1 шт)Монтаж закладных деталей ЗДИ5 раме Рм2б  весом от
20,1-30,0кг.</t>
  </si>
  <si>
    <t>P0-02-101 - Эстакада (к котельной). Участок №1Рама монолитная Рм2б (1 шт)Монтаж закладных деталей ЗДИ6 раме Рм2б  весом от
12,1-20,0кг.</t>
  </si>
  <si>
    <t>P0-02-101 - Эстакада (к котельной). Участок №1Рама монолитная Рм2б (1 шт)Монтаж закладных деталей ЗДИ8 раме Рм2б  весом от
12,1-20,0кг.</t>
  </si>
  <si>
    <t>P0-02-101 - Эстакада (к котельной). Участок №1Колонны монолитные Км1-1 (3 шт)Монтаж закладных деталей ЗДИ1 колонн Км1-1  весом от
8,1-12,0кг.</t>
  </si>
  <si>
    <t>P0-02-101 - Эстакада (к котельной). Участок №1Колонны монолитные Км1-1 (3 шт)Монтаж закладных деталей ЗДИ2 колонн Км1-1 весом от
8,1-15,0кг.</t>
  </si>
  <si>
    <t>P0-02-101 - Эстакада (к котельной). Участок №1Колонны монолитные Км2-1 (2 шт)Армированные колонн Км2 (2 шт) ГНУТЫМИ стержнями диаметром до 12 мм</t>
  </si>
  <si>
    <t>P0-02-101 - Эстакада (к котельной). Участок №1Колонны монолитные Км2-1 (2 шт)Армированные колонн Км2 (2 шт) ПРЯМЫМИ стержнями диаметром 14 мм и более</t>
  </si>
  <si>
    <t xml:space="preserve">P0-02-101 - Эстакада (к котельной). Участок №1Колонны монолитные Км2-1 (2 шт)Установка анкерных болтов М1 (перед бетонированием) диаметром от Ø20мм до Ø40мм </t>
  </si>
  <si>
    <t>P0-02-101 - Эстакада (к котельной). Участок №1Колонны монолитные Км2-1 (2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</si>
  <si>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№1Колонны монолитные Км2-1 (2 шт)Монтаж и демонтаж опалубки заводского изготовления колонн Км2 (2 шт)</t>
  </si>
  <si>
    <t xml:space="preserve">P0-02-101 - Эстакада (к котельной). Участок №1Колонны монолитные Км2-1 (2 шт)Бетонирование колонн Км2 (2 шт) из бетона B25 W8 F200 </t>
  </si>
  <si>
    <t>P0-02-101 - Эстакада (к котельной). Участок №1Колонны монолитные Км2-1 (2 шт)Устройство подливки колонн Км2 толщиной 50мм
(2 шт)</t>
  </si>
  <si>
    <t>P0-02-101 - Эстакада (к котельной). Участок №1Колонны монолитные Км2-1 (2 шт)Монтаж закладных деталей ЗДИ1 колонн Км2-1  весом от
8,1-12,0кг.</t>
  </si>
  <si>
    <t>P0-02-101 - Эстакада (к котельной). Участок №1Колонны монолитные Км2-1 (2 шт)Монтаж закладных деталей ЗДИ2 колонн Км2-1 весом от
15,1-20,0кг.</t>
  </si>
  <si>
    <t>P0-02-101 - Эстакада (к котельной). Участок №1Колонны монолитные Км2-2 (2 шт)Армированные колонн Км2 (2 шт) ГНУТЫМИ стержнями диаметром до 12 мм</t>
  </si>
  <si>
    <t>P0-02-101 - Эстакада (к котельной). Участок №1Колонны монолитные Км2-2 (2 шт)Армированные колонн Км2 (2 шт) ПРЯМЫМИ стержнями диаметром 14 мм и более</t>
  </si>
  <si>
    <t xml:space="preserve">P0-02-101 - Эстакада (к котельной). Участок №1Колонны монолитные Км2-2 (2 шт)Установка анкерных болтов М1 (перед бетонированием) диаметром от Ø20мм до Ø40мм </t>
  </si>
  <si>
    <t>P0-02-101 - Эстакада (к котельной). Участок №1Колонны монолитные Км2-2 (2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</si>
  <si>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№1Колонны монолитные Км2-2 (2 шт)Монтаж и демонтаж опалубки заводского изготовления колонн Км2 (2 шт)</t>
  </si>
  <si>
    <t xml:space="preserve">P0-02-101 - Эстакада (к котельной). Участок №1Колонны монолитные Км2-2 (2 шт)Бетонирование колонн Км2 (2 шт) из бетона B25 W8 F200 </t>
  </si>
  <si>
    <t>P0-02-101 - Эстакада (к котельной). Участок №1Колонны монолитные Км2-2 (2 шт)Устройство подливки колонн Км2 толщиной 50мм
(2 шт)</t>
  </si>
  <si>
    <t>P0-02-101 - Эстакада (к котельной). Участок №1Колонны монолитные Км2-2 (2 шт)Монтаж закладных деталей ЗДИ1 колонн Км2-2  весом от
8,1-12,0кг.</t>
  </si>
  <si>
    <t>P0-02-101 - Эстакада (к котельной). Участок №1Колонны монолитные Км2-2 (2 шт)Монтаж закладных деталей ЗДИ2 колонн Км2-2 весом от
15,1-20,0кг.</t>
  </si>
  <si>
    <t>P0-02-101 - Эстакада (к котельной). Участок №1Колонны монолитные Км2-2 (2 шт)Монтаж закладных деталей ЗДИ8 колонн Км2-2 весом от
5,1-8,0кг.</t>
  </si>
  <si>
    <t>P0-02-101 - Эстакада (к котельной). Участок №1Колонны монолитные Км2-3 (3 шт)Армированные колонн Км2 (2 шт) ГНУТЫМИ стержнями диаметром до 12 мм</t>
  </si>
  <si>
    <t>P0-02-101 - Эстакада (к котельной). Участок №1Колонны монолитные Км2-3 (3 шт)Армированные колонн Км2 (3 шт) ПРЯМЫМИ стержнями диаметром 14 мм и более</t>
  </si>
  <si>
    <t xml:space="preserve">P0-02-101 - Эстакада (к котельной). Участок №1Колонны монолитные Км2-3 (3 шт)Установка анкерных болтов М1 (перед бетонированием) диаметром от Ø20мм до Ø40мм </t>
  </si>
  <si>
    <t>P0-02-101 - Эстакада (к котельной). Участок №1Колонны монолитные Км2-3 (3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</si>
  <si>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№1Колонны монолитные Км2-3 (3 шт)Монтаж и демонтаж опалубки заводского изготовления колонн Км2 (3 шт)</t>
  </si>
  <si>
    <t xml:space="preserve">P0-02-101 - Эстакада (к котельной). Участок №1Колонны монолитные Км2-3 (3 шт)Бетонирование колонн Км2 (3 шт) из бетона B25 W8 F200 </t>
  </si>
  <si>
    <t>P0-02-101 - Эстакада (к котельной). Участок №1Колонны монолитные Км2-3 (3 шт)Устройство подливки колонн Км2 толщиной 50мм
(3 шт)</t>
  </si>
  <si>
    <t>P0-02-101 - Эстакада (к котельной). Участок №1Колонны монолитные Км2-3 (3 шт)Монтаж закладных деталей ЗДИ1 колонн Км2-3  весом от
8,1-12,0кг.</t>
  </si>
  <si>
    <t>P0-02-101 - Эстакада (к котельной). Участок №1Колонны монолитные Км2-3 (3 шт)Монтаж закладных деталей ЗДИ2 колонн Км2-3 весом от
8,1-12,0кг.</t>
  </si>
  <si>
    <t>P0-02-101 - Эстакада (к котельной). Участок №1Колонны монолитные Км2-3 (3 шт)Монтаж закладных деталей ЗДИ7 колонн Км2-3 весом от
8,1-12,0кг.</t>
  </si>
  <si>
    <t>P0-02-101 - Эстакада (к котельной). Участок №1Колонны монолитные Км2-4 (3 шт)Армированные колонн Км2 (2 шт) ГНУТЫМИ стержнями диаметром до 12 мм</t>
  </si>
  <si>
    <t>P0-02-101 - Эстакада (к котельной). Участок №1Колонны монолитные Км2-4 (3 шт)Армированные колонн Км2 (3 шт) ПРЯМЫМИ стержнями диаметром 14 мм и более</t>
  </si>
  <si>
    <t xml:space="preserve">P0-02-101 - Эстакада (к котельной). Участок №1Колонны монолитные Км2-4 (3 шт)Установка анкерных болтов М1 (перед бетонированием) диаметром от Ø20мм до Ø40мм </t>
  </si>
  <si>
    <t>P0-02-101 - Эстакада (к котельной). Участок №1Колонны монолитные Км2-4 (3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</si>
  <si>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№1Колонны монолитные Км2-4 (3 шт)Монтаж и демонтаж опалубки заводского изготовления колонн Км2 (3 шт)</t>
  </si>
  <si>
    <t xml:space="preserve">P0-02-101 - Эстакада (к котельной). Участок №1Колонны монолитные Км2-4 (3 шт)Бетонирование колонн Км2 (3 шт) из бетона B25 W8 F200 </t>
  </si>
  <si>
    <t>P0-02-101 - Эстакада (к котельной). Участок №1Колонны монолитные Км2-4 (3 шт)Устройство подливки колонн Км2 толщиной 50мм
(3 шт)</t>
  </si>
  <si>
    <t>P0-02-101 - Эстакада (к котельной). Участок №1Колонны монолитные Км2-4 (3 шт)Монтаж закладных деталей ЗДИ1 колонн Км2-4  весом от
8,1-12,0кг.</t>
  </si>
  <si>
    <t>P0-02-101 - Эстакада (к котельной). Участок №1Колонны монолитные Км2-4 (3 шт)Монтаж закладных деталей ЗДИ7 колонн Км2-4 весом от
8,1-12,0кг.</t>
  </si>
  <si>
    <t>P0-02-101 - Эстакада (к котельной). Участок №1Колонны монолитные Км3-1 (2 шт)Армированные колонн Км3 (2 шт) ГНУТЫМИ стержнями диаметром до 12 мм</t>
  </si>
  <si>
    <t>P0-02-101 - Эстакада (к котельной). Участок №1Колонны монолитные Км3-1 (2 шт)Армированные колонн Км3 (2 шт)) ПРЯМЫМИ стержнями диаметром 14 мм и более</t>
  </si>
  <si>
    <t xml:space="preserve">P0-02-101 - Эстакада (к котельной). Участок №1Колонны монолитные Км3-1 (2 шт)Установка анкерных болтов М1 (перед бетонированием) диаметром от Ø20мм до Ø40мм </t>
  </si>
  <si>
    <t>P0-02-101 - Эстакада (к котельной). Участок №1Колонны монолитные Км3-1 (2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</si>
  <si>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№1Колонны монолитные Км3-1 (2 шт)Монтаж и демонтаж опалубки заводского изготовления колонн Км3 (2 шт)</t>
  </si>
  <si>
    <t xml:space="preserve">P0-02-101 - Эстакада (к котельной). Участок №1Колонны монолитные Км3-1 (2 шт)Бетонирование колонн Км3 (2 шт)) из бетона B25 W8 F200 </t>
  </si>
  <si>
    <t>P0-02-101 - Эстакада (к котельной). Участок №1Колонны монолитные Км3-1 (2 шт)Устройство подливки колонн Км3 толщиной 50мм
(2 шт)</t>
  </si>
  <si>
    <t>P0-02-101 - Эстакада (к котельной). Участок №1Колонны монолитные Км3-1 (2 шт)Монтаж закладных деталей ЗДИ1 колонн Км3-1  весом от
8,1-12,0кг.</t>
  </si>
  <si>
    <t>P0-02-101 - Эстакада (к котельной). Участок №1Колонны монолитные Км3-1 (2 шт)Монтаж закладных деталей ЗДИ2 колонн Км3-1  весом от
15,1-20,0кг.</t>
  </si>
  <si>
    <t>P0-02-101 - Эстакада (к котельной). Участок №1Колонны монолитные Км3-2 (2 шт)Армированные колонн Км3 (2 шт) ГНУТЫМИ стержнями диаметром до 12 мм</t>
  </si>
  <si>
    <t>P0-02-101 - Эстакада (к котельной). Участок №1Колонны монолитные Км3-2 (2 шт)Армированные колонн Км3 (2 шт)) ПРЯМЫМИ стержнями диаметром 14 мм и более</t>
  </si>
  <si>
    <t xml:space="preserve">P0-02-101 - Эстакада (к котельной). Участок №1Колонны монолитные Км3-2 (2 шт)Установка анкерных болтов М1 (перед бетонированием) диаметром от Ø20мм до Ø40мм </t>
  </si>
  <si>
    <t>P0-02-101 - Эстакада (к котельной). Участок №1Колонны монолитные Км3-2 (2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</si>
  <si>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№1Колонны монолитные Км3-2 (2 шт)Монтаж и демонтаж опалубки заводского изготовления колонн Км3 (2 шт)</t>
  </si>
  <si>
    <t xml:space="preserve">P0-02-101 - Эстакада (к котельной). Участок №1Колонны монолитные Км3-2 (2 шт)Бетонирование колонн Км3 (2 шт)) из бетона B25 W8 F200 </t>
  </si>
  <si>
    <t>P0-02-101 - Эстакада (к котельной). Участок №1Колонны монолитные Км3-2 (2 шт)Устройство подливки колонн Км3 толщиной 50мм
(2 шт)</t>
  </si>
  <si>
    <t>P0-02-101 - Эстакада (к котельной). Участок №1Колонны монолитные Км3-2 (2 шт)Монтаж закладных деталей ЗДИ1 колонн Км3-1  весом от
8,1-12,0кг.</t>
  </si>
  <si>
    <t>P0-02-101 - Эстакада (к котельной). Участок №1Колонны монолитные Км3-2 (2 шт)Монтаж закладных деталей ЗДИ2 колонн Км3-1  весом от
15,1-20,0кг.</t>
  </si>
  <si>
    <t>P0-02-101 - Эстакада (к котельной). Участок №1Колонны монолитные Км4-1 (1 шт)Армированные колонн Км4 (1 шт) ГНУТЫМИ стержнями диаметром до 12 мм</t>
  </si>
  <si>
    <t>P0-02-101 - Эстакада (к котельной). Участок №1Колонны монолитные Км4-1 (1 шт)Армированные колонн Км4 (1 шт) ПРЯМЫМИ стержнями диаметром 14 мм и более</t>
  </si>
  <si>
    <t xml:space="preserve">P0-02-101 - Эстакада (к котельной). Участок №1Колонны монолитные Км4-1 (1 шт)Установка анкерных болтов М1 (перед бетонированием) диаметром от Ø20мм до Ø40мм </t>
  </si>
  <si>
    <t>P0-02-101 - Эстакада (к котельной). Участок №1Колонны монолитные Км4-1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</si>
  <si>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№1Колонны монолитные Км4-1 (1 шт)Монтаж и демонтаж опалубки заводского изготовления колонн Км4 (1 шт)</t>
  </si>
  <si>
    <t xml:space="preserve">P0-02-101 - Эстакада (к котельной). Участок №1Колонны монолитные Км4-1 (1 шт)Бетонирование колонн Км4 (1 шт) из бетона B25 W8 F200 </t>
  </si>
  <si>
    <t>P0-02-101 - Эстакада (к котельной). Участок №1Колонны монолитные Км4-1 (1 шт)Устройство подливки колонн Км4 толщиной 50мм
(1 шт)</t>
  </si>
  <si>
    <t>P0-02-101 - Эстакада (к котельной). Участок №1Колонны монолитные Км4-1 (1 шт)Монтаж закладных деталей ЗДИ1 колонн Км4-1  весом от
8,1-12,0кг.</t>
  </si>
  <si>
    <t>P0-02-101 - Эстакада (к котельной). Участок №1Колонны монолитные Км4-1 (1 шт)Монтаж закладных деталей ЗДИ2 колонн Км4-1 весом от
15,1-20,0кг.</t>
  </si>
  <si>
    <t>P0-02-101 - Эстакада (к котельной). Участок №1Колонны монолитные Км4-2 (1 шт)Армированные колонн Км4 (1 шт) ГНУТЫМИ стержнями диаметром до 12 мм</t>
  </si>
  <si>
    <t>P0-02-101 - Эстакада (к котельной). Участок №1Колонны монолитные Км4-2 (1 шт)Армированные колонн Км4 (1 шт) ПРЯМЫМИ стержнями диаметром 14 мм и более</t>
  </si>
  <si>
    <t xml:space="preserve">P0-02-101 - Эстакада (к котельной). Участок №1Колонны монолитные Км4-2 (1 шт)Установка анкерных болтов М1 (перед бетонированием) диаметром от Ø20мм до Ø40мм </t>
  </si>
  <si>
    <t>P0-02-101 - Эстакада (к котельной). Участок №1Колонны монолитные Км4-2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</si>
  <si>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№1Колонны монолитные Км4-2 (1 шт)Монтаж и демонтаж опалубки заводского изготовления колонн Км4 (1 шт)</t>
  </si>
  <si>
    <t xml:space="preserve">P0-02-101 - Эстакада (к котельной). Участок №1Колонны монолитные Км4-2 (1 шт)Бетонирование колонн Км4 (1 шт) из бетона B25 W8 F200 </t>
  </si>
  <si>
    <t>P0-02-101 - Эстакада (к котельной). Участок №1Колонны монолитные Км4-2 (1 шт)Устройство подливки колонн Км4 толщиной 50мм
(1 шт)</t>
  </si>
  <si>
    <t>P0-02-101 - Эстакада (к котельной). Участок №1Колонны монолитные Км4-2 (1 шт)Монтаж закладных деталей ЗДИ1 колонн Км4-2  весом от
8,1-12,0кг.</t>
  </si>
  <si>
    <t>P0-02-101 - Эстакада (к котельной). Участок №1Колонны монолитные Км4-2 (1 шт)Монтаж закладных деталей ЗДИ2 колонн Км4-2 весом от
15,1-20,0кг.</t>
  </si>
  <si>
    <t>P0-02-101 - Эстакада (к котельной). Участок №1Рама монолитная Рм1а (1 шт)Армированные колонн раме Рм1 (1 шт) ГНУТЫМИ стержнями диаметром до 12 мм</t>
  </si>
  <si>
    <t>P0-02-101 - Эстакада (к котельной). Участок №1Рама монолитная Рм1а (1 шт)Армированные балок раме Рм1 (1 шт) ГНУТЫМИ стержнями диаметром до 12 мм</t>
  </si>
  <si>
    <t>P0-02-101 - Эстакада (к котельной). Участок №1Рама монолитная Рм1а (1 шт)Армированные колонн раме Рм1 (1 шт) ПРЯМЫМИ стержнями диаметром 14 мм и более</t>
  </si>
  <si>
    <t>P0-02-101 - Эстакада (к котельной). Участок №1Рама монолитная Рм1а (1 шт)Армированные балок раме Рм1 (1 шт) ПРЯМЫМИ стержнями диаметром 14 мм и более</t>
  </si>
  <si>
    <t>P0-02-101 - Эстакада (к котельной). Участок №1Рама монолитная Рм1а (1 шт)Армированные раме Рм1 (1 шт) ГНУТЫМИ стержнями диаметром 14 мм и более</t>
  </si>
  <si>
    <t xml:space="preserve">P0-02-101 - Эстакада (к котельной). Участок №1Рама монолитная Рм1а (1 шт)Установка анкерных болтов М1 (перед бетонированием) диаметром от Ø20мм до Ø40мм </t>
  </si>
  <si>
    <t>P0-02-101 - Эстакада (к котельной). Участок №1Рама монолитная Рм1а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</si>
  <si>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№1Рама монолитная Рм1а (1 шт)Монтаж и демонтаж опалубки заводского изготовления колонн раме Рм1 (1 шт)</t>
  </si>
  <si>
    <t>P0-02-101 - Эстакада (к котельной). Участок №1Рама монолитная Рм1а (1 шт)Монтаж и демонтаж опалубки заводского изготовления балок раме Рм1 (1 шт)</t>
  </si>
  <si>
    <t xml:space="preserve">P0-02-101 - Эстакада (к котельной). Участок №1Рама монолитная Рм1а (1 шт)Бетонирование раме Рм1 (1 шт) из бетона B25 W8 F200 </t>
  </si>
  <si>
    <t xml:space="preserve">P0-02-101 - Эстакада (к котельной). Участок №1Рама монолитная Рм1а (1 шт)Бетонирование балок раме Рм1 (1 шт) из бетона B25 W8 F200 </t>
  </si>
  <si>
    <t>P0-02-101 - Эстакада (к котельной). Участок №1Рама монолитная Рм1а (1 шт)Устройство подливки раме Рм1 толщиной 50мм
(1 шт)</t>
  </si>
  <si>
    <t>P0-02-101 - Эстакада (к котельной). Участок №1Рама монолитная Рм1а (1 шт)Монтаж закладных деталей ЗДИ1 раме Рм1а  весом от
8,1-12,0кг.</t>
  </si>
  <si>
    <t>P0-02-101 - Эстакада (к котельной). Участок №1Рама монолитная Рм1а (1 шт)Монтаж закладных деталей ЗДИ3 раме Рм1а  весом от
8,1-12,0кг.</t>
  </si>
  <si>
    <t>P0-02-101 - Эстакада (к котельной). Участок №1Рама монолитная Рм1а (1 шт)Монтаж закладных деталей ЗДИ4 раме Рм1а  весом от
12,1-20,0кг.</t>
  </si>
  <si>
    <t>P0-02-101 - Эстакада (к котельной). Участок №1Рама монолитная Рм1а (1 шт)Монтаж закладных деталей ЗДИ5 раме Рм1а  весом от
20,1-30,0кг.</t>
  </si>
  <si>
    <t>P0-02-101 - Эстакада (к котельной). Участок №1Рама монолитная Рм1б (1 шт)Армированные колонн раме Рм1 (1 шт) ГНУТЫМИ стержнями диаметром до 12 мм</t>
  </si>
  <si>
    <t>P0-02-101 - Эстакада (к котельной). Участок №1Рама монолитная Рм1б (1 шт)Армированные балок раме Рм1 (1 шт) ГНУТЫМИ стержнями диаметром до 12 мм</t>
  </si>
  <si>
    <t>P0-02-101 - Эстакада (к котельной). Участок №1Рама монолитная Рм1б (1 шт)Армированные колонн раме Рм1 (1 шт) ПРЯМЫМИ стержнями диаметром 14 мм и более</t>
  </si>
  <si>
    <t>P0-02-101 - Эстакада (к котельной). Участок №1Рама монолитная Рм1б (1 шт)Армированные балок раме Рм1 (1 шт) ПРЯМЫМИ стержнями диаметром 14 мм и более</t>
  </si>
  <si>
    <t>P0-02-101 - Эстакада (к котельной). Участок №1Рама монолитная Рм1б (1 шт)Армированные раме Рм1 (1 шт) ГНУТЫМИ стержнями диаметром 14 мм и более</t>
  </si>
  <si>
    <t xml:space="preserve">P0-02-101 - Эстакада (к котельной). Участок №1Рама монолитная Рм1б (1 шт)Установка анкерных болтов М1 (перед бетонированием) диаметром от Ø20мм до Ø40мм </t>
  </si>
  <si>
    <t>P0-02-101 - Эстакада (к котельной). Участок №1Рама монолитная Рм1б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</si>
  <si>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№1Рама монолитная Рм1б (1 шт)Монтаж и демонтаж опалубки заводского изготовления колонн раме Рм1 (1 шт)</t>
  </si>
  <si>
    <t>P0-02-101 - Эстакада (к котельной). Участок №1Рама монолитная Рм1б (1 шт)Монтаж и демонтаж опалубки заводского изготовления балок раме Рм1 (1 шт)</t>
  </si>
  <si>
    <t xml:space="preserve">P0-02-101 - Эстакада (к котельной). Участок №1Рама монолитная Рм1б (1 шт)Бетонирование колонн раме Рм1 (1 шт) из бетона B25 W8 F200 </t>
  </si>
  <si>
    <t xml:space="preserve">P0-02-101 - Эстакада (к котельной). Участок №1Рама монолитная Рм1б (1 шт)Бетонирование балок раме Рм1 (1 шт) из бетона B25 W8 F200 </t>
  </si>
  <si>
    <t>P0-02-101 - Эстакада (к котельной). Участок №1Рама монолитная Рм1б (1 шт)Устройство подливки раме Рм1 толщиной 50мм
(1 шт)</t>
  </si>
  <si>
    <t>P0-02-101 - Эстакада (к котельной). Участок №1Рама монолитная Рм1б (1 шт)Монтаж закладных деталей ЗДИ1 раме Рм1а  весом от
8,1-12,0кг.</t>
  </si>
  <si>
    <t>P0-02-101 - Эстакада (к котельной). Участок №1Рама монолитная Рм1б (1 шт)Монтаж закладных деталей ЗДИ3 раме Рм1а  весом от
8,1-12,0кг.</t>
  </si>
  <si>
    <t>P0-02-101 - Эстакада (к котельной). Участок №1Рама монолитная Рм1б (1 шт)Монтаж закладных деталей ЗДИ4 раме Рм1а  весом от
12,1-20,0кг.</t>
  </si>
  <si>
    <t>P0-02-101 - Эстакада (к котельной). Участок №1Рама монолитная Рм1б (1 шт)Монтаж закладных деталей ЗДИ5 раме Рм1а  весом от
20,1-30,0кг.</t>
  </si>
  <si>
    <t>P0-02-101 - Эстакада (к котельной). Участок №1Рама монолитная Рм1б (1 шт)Монтаж закладных деталей ЗДИ8 раме Рм1а весом от
5,1-8,0кг.</t>
  </si>
  <si>
    <t>P0-02-101 - Эстакада (к котельной). Участок №1Рама монолитная Рм2в (1 шт)Армированные колонн раме Рм2 (1 шт) ГНУТЫМИ стержнями диаметром до 12 мм</t>
  </si>
  <si>
    <t>P0-02-101 - Эстакада (к котельной). Участок №1Рама монолитная Рм2в (1 шт)Армированные балок раме Рм2 (1 шт) ГНУТЫМИ стержнями диаметром до 12 мм</t>
  </si>
  <si>
    <t>P0-02-101 - Эстакада (к котельной). Участок №1Рама монолитная Рм2в (1 шт)Армированные колонн раме Рм2  (1 шт) ПРЯМЫМИ стержнями диаметром 14 мм и более</t>
  </si>
  <si>
    <t>P0-02-101 - Эстакада (к котельной). Участок №1Рама монолитная Рм2в (1 шт)Армированные балок  раме Рм2  (1 шт) ПРЯМЫМИ стержнями диаметром 14 мм и более</t>
  </si>
  <si>
    <t>P0-02-101 - Эстакада (к котельной). Участок №1Рама монолитная Рм2в (1 шт)Армированные раме Рм2  (1 шт) ГНУТЫМИ стержнями диаметром 14 мм и более</t>
  </si>
  <si>
    <t xml:space="preserve">P0-02-101 - Эстакада (к котельной). Участок №1Рама монолитная Рм2в (1 шт)Установка анкерных болтов М1 (перед бетонированием) диаметром от Ø20мм до Ø40мм </t>
  </si>
  <si>
    <t>P0-02-101 - Эстакада (к котельной). Участок №1Рама монолитная Рм2в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</si>
  <si>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№1Рама монолитная Рм2в (1 шт)Монтаж и демонтаж опалубки заводского изготовления колонн раме Рм2  (1 шт)</t>
  </si>
  <si>
    <t>P0-02-101 - Эстакада (к котельной). Участок №1Рама монолитная Рм2в (1 шт)Монтаж и демонтаж опалубки заводского изготовления балок раме Рм2  (1 шт)</t>
  </si>
  <si>
    <t xml:space="preserve">P0-02-101 - Эстакада (к котельной). Участок №1Рама монолитная Рм2в (1 шт)Бетонирование колонн раме Рм2 (1 шт) из бетона B25 W8 F200 </t>
  </si>
  <si>
    <t xml:space="preserve">P0-02-101 - Эстакада (к котельной). Участок №1Рама монолитная Рм2в (1 шт)Бетонирование балок раме Рм2 (1 шт) из бетона B25 W8 F200 </t>
  </si>
  <si>
    <t>P0-02-101 - Эстакада (к котельной). Участок №1Рама монолитная Рм2в (1 шт)Устройство подливки раме Рм2 толщиной 50мм
(1 шт)</t>
  </si>
  <si>
    <t>P0-02-101 - Эстакада (к котельной). Участок №1Рама монолитная Рм2в (1 шт)Монтаж закладных деталей ЗДИ1 раме Рм2в  весом от
8,1-12,0кг.</t>
  </si>
  <si>
    <t>P0-02-101 - Эстакада (к котельной). Участок №1Рама монолитная Рм2в (1 шт)Монтаж закладных деталей ЗДИ3 раме Рм2в  весом от
8,1-12,0кг.</t>
  </si>
  <si>
    <t>P0-02-101 - Эстакада (к котельной). Участок №1Рама монолитная Рм2в (1 шт)Монтаж закладных деталей ЗДИ4 раме Рм2в  весом от
12,1-20,0кг.</t>
  </si>
  <si>
    <t>P0-02-101 - Эстакада (к котельной). Участок №1Рама монолитная Рм2в (1 шт)Монтаж закладных деталей ЗДИ5 раме Рм2в  весом от
20,1-30,0кг.</t>
  </si>
  <si>
    <t>P0-02-101 - Эстакада (к котельной). Участок №1Рама монолитная Рм2г (1 шт)Армированные колонн раме Рм2 (1 шт) ГНУТЫМИ стержнями диаметром до 12 мм</t>
  </si>
  <si>
    <t>P0-02-101 - Эстакада (к котельной). Участок №1Рама монолитная Рм2г (1 шт)Армированные балок раме Рм2 (1 шт) ГНУТЫМИ стержнями диаметром до 12 мм</t>
  </si>
  <si>
    <t>P0-02-101 - Эстакада (к котельной). Участок №1Рама монолитная Рм2г (1 шт)Армированные колонн раме Рм2  (1 шт) ПРЯМЫМИ стержнями диаметром 14 мм и более</t>
  </si>
  <si>
    <t>P0-02-101 - Эстакада (к котельной). Участок №1Рама монолитная Рм2г (1 шт)Армированные балок раме Рм2  (1 шт) ПРЯМЫМИ стержнями диаметром 14 мм и более</t>
  </si>
  <si>
    <t>P0-02-101 - Эстакада (к котельной). Участок №1Рама монолитная Рм2г (1 шт)Армированные раме Рм2  (1 шт) ГНУТЫМИ стержнями диаметром 14 мм и более</t>
  </si>
  <si>
    <t xml:space="preserve">P0-02-101 - Эстакада (к котельной). Участок №1Рама монолитная Рм2г (1 шт)Установка анкерных болтов М1 (перед бетонированием) диаметром от Ø20мм до Ø40мм </t>
  </si>
  <si>
    <t>P0-02-101 - Эстакада (к котельной). Участок №1Рама монолитная Рм2г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</si>
  <si>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P0-02-101 - Эстакада (к котельной). Участок №1Рама монолитная Рм2г (1 шт)Монтаж и демонтаж опалубки заводского изготовления колонн раме Рм2  (1 шт)</t>
  </si>
  <si>
    <t>P0-02-101 - Эстакада (к котельной). Участок №1Рама монолитная Рм2г (1 шт)Монтаж и демонтаж опалубки заводского изготовления балок раме Рм2  (1 шт)</t>
  </si>
  <si>
    <t xml:space="preserve">P0-02-101 - Эстакада (к котельной). Участок №1Рама монолитная Рм2г (1 шт)Бетонирование колонн раме Рм2 (1 шт) из бетона B25 W8 F200 </t>
  </si>
  <si>
    <t xml:space="preserve">P0-02-101 - Эстакада (к котельной). Участок №1Рама монолитная Рм2г (1 шт)Бетонирование балок раме Рм2 (1 шт) из бетона B25 W8 F200 </t>
  </si>
  <si>
    <t>P0-02-101 - Эстакада (к котельной). Участок №1Рама монолитная Рм2г (1 шт)Устройство подливки раме Рм2 толщиной 50мм
(1 шт)</t>
  </si>
  <si>
    <t>P0-02-101 - Эстакада (к котельной). Участок №1Рама монолитная Рм2г (1 шт)Монтаж закладных деталей ЗДИ1 раме Рм2в  весом от
8,1-12,0кг.</t>
  </si>
  <si>
    <t>P0-02-101 - Эстакада (к котельной). Участок №1Рама монолитная Рм2г (1 шт)Монтаж закладных деталей ЗДИ3 раме Рм2в  весом от
8,1-12,0кг.</t>
  </si>
  <si>
    <t>P0-02-101 - Эстакада (к котельной). Участок №1Рама монолитная Рм2г (1 шт)Монтаж закладных деталей ЗДИ4 раме Рм2в  весом от
12,1-20,0кг.</t>
  </si>
  <si>
    <t>P0-02-101 - Эстакада (к котельной). Участок №1Рама монолитная Рм2г (1 шт)Монтаж закладных деталей ЗДИ5 раме Рм2в  весом от
20,1-30,0кг.</t>
  </si>
  <si>
    <t>P0-02-102 - Эстакада (к котельной). Участок №2Ростверков РСм1 (12 шт) Устройство песчаной подготовки под фундамент, Вручную</t>
  </si>
  <si>
    <t>P0-02-102 - Эстакада (к котельной). Участок №2Ростверков РСм1 (12 шт) Устройство бетонной подготовки фундаментов РСм1 из бетона В10, толщ. 100 мм (12 шт.)</t>
  </si>
  <si>
    <t>P0-02-102 - Эстакада (к котельной). Участок №2Ростверков РСм1 (12 шт) Армирование фундамента РСм1 (12 шт)  ГНУТЫМИ стержнями диаметром  до 12 мм</t>
  </si>
  <si>
    <t>P0-02-102 - Эстакада (к котельной). Участок №2Ростверков РСм1 (12 шт) Армирование фундамента РСм1 (12 шт)  ПРЯМЫМИ стержнями диаметром 14 мм и более</t>
  </si>
  <si>
    <t>P0-02-102 - Эстакада (к котельной). Участок №2Ростверков РСм1 (12 шт) Армирование фундамента РСм1 (12 шт) ГНУТЫМИ сварными стержнями диаметром 14 мм и более</t>
  </si>
  <si>
    <t>P0-02-102 - Эстакада (к котельной). Участок №2Ростверков РСм1 (12 шт) 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</si>
  <si>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P0-02-102 - Эстакада (к котельной). Участок №2Ростверков РСм1 (12 шт) Монтаж и демонтаж опалубки фундамента РСм1 (12 шт) </t>
  </si>
  <si>
    <t xml:space="preserve">P0-02-102 - Эстакада (к котельной). Участок №2Ростверков РСм1 (12 шт) Бетонирование фундамента РСм1 (12 шт) </t>
  </si>
  <si>
    <t>P0-02-102 - Эстакада (к котельной). Участок №2Ростверков РСм2 (12 шт)Устройство песчаной подготовки под фундамент, Вручную</t>
  </si>
  <si>
    <t>P0-02-102 - Эстакада (к котельной). Участок №2Ростверков РСм2 (12 шт)Устройство бетонной подготовки фундаментов РСм2 из бетона В10, толщ. 100 мм (12 шт.)</t>
  </si>
  <si>
    <t>P0-02-102 - Эстакада (к котельной). Участок №2Ростверков РСм2 (12 шт)Армирование фундамента РСм2 (12шт)  ГНУТЫМИ стержнями диаметром  до 12 мм</t>
  </si>
  <si>
    <t>P0-02-102 - Эстакада (к котельной). Участок №2Ростверков РСм2 (12 шт)Армирование фундамента РСм2 (12 шт)  ПРЯМЫМИ стержнями диаметром 14 мм и более</t>
  </si>
  <si>
    <t>P0-02-102 - Эстакада (к котельной). Участок №2Ростверков РСм2 (12 шт)Армирование фундамента РСм2 (12 шт) ГНУТЫМИ сварными стержнями диаметром 14 мм и более</t>
  </si>
  <si>
    <t>P0-02-102 - Эстакада (к котельной). Участок №2Ростверков РСм2 (12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</si>
  <si>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P0-02-102 - Эстакада (к котельной). Участок №2Ростверков РСм2 (12 шт)Монтаж и демонтаж опалубки фундамента РСм2 (12 шт)</t>
  </si>
  <si>
    <t>P0-02-102 - Эстакада (к котельной). Участок №2Ростверков РСм2 (12 шт)Бетонирование фундамента РСм2 (12 шт)</t>
  </si>
  <si>
    <t>P0-02-102 - Эстакада (к котельной). Участок №2Колонны монолитные Км1-1 (4 шт)Армированные колонн Км1 (4 шт) ГНУТЫМИ стержнями диаметром до 12 мм</t>
  </si>
  <si>
    <t>P0-02-102 - Эстакада (к котельной). Участок №2Колонны монолитные Км1-1 (4 шт)Армированные колонн Км1 (4 шт) ПРЯМЫМИ стержнями диаметром 14 мм и более</t>
  </si>
  <si>
    <t xml:space="preserve">P0-02-102 - Эстакада (к котельной). Участок №2Колонны монолитные Км1-1 (4 шт)Установка анкерных болтов М1 (перед бетонированием) диаметром от Ø20мм до Ø40мм </t>
  </si>
  <si>
    <t>P0-02-102 - Эстакада (к котельной). Участок №2Колонны монолитные Км1-1 (4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</si>
  <si>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P0-02-102 - Эстакада (к котельной). Участок №2Колонны монолитные Км1-1 (4 шт)Монтаж и демонтаж опалубки заводского изготовления колонн Км1(4 шт)</t>
  </si>
  <si>
    <t xml:space="preserve">P0-02-102 - Эстакада (к котельной). Участок №2Колонны монолитные Км1-1 (4 шт)Бетонирование колонн Км1(4 шт) из бетона B25 W8 F200 </t>
  </si>
  <si>
    <t>P0-02-102 - Эстакада (к котельной). Участок №2Колонны монолитные Км1-1 (4 шт)Устройство подливки колонн Км1 толщиной 50мм
(4 шт)</t>
  </si>
  <si>
    <t>P0-02-102 - Эстакада (к котельной). Участок №2Колонны монолитные Км1-1 (4 шт)Монтаж закладных деталей ЗДИ1 колонн Км1-1  весом от
8,1-12,0кг.</t>
  </si>
  <si>
    <t>P0-02-102 - Эстакада (к котельной). Участок №2Колонны монолитные Км1-1 (4 шт)Монтаж закладных деталей ЗДИ2 колонн Км1-1 весом от 12,1-20,0кг</t>
  </si>
  <si>
    <t>P0-02-102 - Эстакада (к котельной). Участок №2Колонны монолитные Км1-1 (4 шт)Монтаж закладных деталей ЗДИ5 колонн Км1-1 весом от 8,1-12,0кг</t>
  </si>
  <si>
    <t>P0-02-102 - Эстакада (к котельной). Участок №2Колонны монолитные Км1-2 (4 шт)Армированные колонн Км1 (4 шт) ГНУТЫМИ стержнями диаметром до 12 мм</t>
  </si>
  <si>
    <t>P0-02-102 - Эстакада (к котельной). Участок №2Колонны монолитные Км1-2 (4 шт)Армированные колонн Км1 (4 шт) ПРЯМЫМИ стержнями диаметром 14 мм и более</t>
  </si>
  <si>
    <t xml:space="preserve">P0-02-102 - Эстакада (к котельной). Участок №2Колонны монолитные Км1-2 (4 шт)Установка анкерных болтов М1 (перед бетонированием) диаметром от Ø20мм до Ø40мм </t>
  </si>
  <si>
    <t>P0-02-102 - Эстакада (к котельной). Участок №2Колонны монолитные Км1-2 (4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</si>
  <si>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P0-02-102 - Эстакада (к котельной). Участок №2Колонны монолитные Км1-2 (4 шт)Монтаж и демонтаж опалубки заводского изготовления колонн Км1(4 шт)</t>
  </si>
  <si>
    <t xml:space="preserve">P0-02-102 - Эстакада (к котельной). Участок №2Колонны монолитные Км1-2 (4 шт)Бетонирование колонн Км1(4 шт) из бетона B25 W8 F200 </t>
  </si>
  <si>
    <t>P0-02-102 - Эстакада (к котельной). Участок №2Колонны монолитные Км1-2 (4 шт)Устройство подливки колонн Км1 толщиной 50мм
(4 шт)</t>
  </si>
  <si>
    <t>P0-02-102 - Эстакада (к котельной). Участок №2Колонны монолитные Км1-2 (4 шт)Монтаж закладных деталей ЗДИ1 колонн Км1-2 весом от
8,1-12,0кг.</t>
  </si>
  <si>
    <t>P0-02-102 - Эстакада (к котельной). Участок №2Колонны монолитные Км1-2 (4 шт)Монтаж закладных деталей ЗДИ2 колонн Км1-2 весом от 12,1-20,0кг</t>
  </si>
  <si>
    <t>P0-02-102 - Эстакада (к котельной). Участок №2Колонны монолитные Км1-2 (4 шт)Монтаж закладных деталей ЗДИ5 колонн Км1-2 весом от 8,1-12,0кг</t>
  </si>
  <si>
    <t>P0-02-102 - Эстакада (к котельной). Участок №2Колонны монолитные Км2-7 (1 шт)Армированные колонн Км2 (1 шт) ГНУТЫМИ стержнями диаметром до 12 мм</t>
  </si>
  <si>
    <t>P0-02-102 - Эстакада (к котельной). Участок №2Колонны монолитные Км2-7 (1 шт)Армированные колонн Км2 (1 шт) ПРЯМЫМИ стержнями диаметром 14 мм и более</t>
  </si>
  <si>
    <t xml:space="preserve">P0-02-102 - Эстакада (к котельной). Участок №2Колонны монолитные Км2-7 (1 шт)Установка анкерных болтов М1 (перед бетонированием) диаметром от Ø20мм до Ø40мм </t>
  </si>
  <si>
    <t>P0-02-102 - Эстакада (к котельной). Участок №2Колонны монолитные Км2-7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</si>
  <si>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P0-02-102 - Эстакада (к котельной). Участок №2Колонны монолитные Км2-7 (1 шт)Монтаж и демонтаж опалубки заводского изготовления колонн Км2 (1 шт)</t>
  </si>
  <si>
    <t xml:space="preserve">P0-02-102 - Эстакада (к котельной). Участок №2Колонны монолитные Км2-7 (1 шт)Бетонирование колонн Км2 (1 шт) из бетона B25 W8 F200 </t>
  </si>
  <si>
    <t>P0-02-102 - Эстакада (к котельной). Участок №2Колонны монолитные Км2-7 (1 шт)Устройство подливки колонн Км2 толщиной 50мм
(1 шт)</t>
  </si>
  <si>
    <t>P0-02-102 - Эстакада (к котельной). Участок №2Колонны монолитные Км2-7 (1 шт)Монтаж закладных деталей ЗДИ1 колонн Км2-7  весом от 5,1-8,0кг.</t>
  </si>
  <si>
    <t>P0-02-102 - Эстакада (к котельной). Участок №2Колонны монолитные Км2-7 (1 шт)Монтаж закладных деталей ЗДИ2 колонн Км2-7 весом от 12,1-20,0кг</t>
  </si>
  <si>
    <t>P0-02-102 - Эстакада (к котельной). Участок №2Колонны монолитные Км2-7 (1 шт)Монтаж закладных деталей ЗДИ5 колонн Км2-7 весом от 8,1-12,0кг</t>
  </si>
  <si>
    <t>P0-02-102 - Эстакада (к котельной). Участок №2Колонны монолитные Км2-7 (1 шт)Монтаж закладных деталей ЗДИ9 колонн Км2-7, весом от 8,1-12,0кг</t>
  </si>
  <si>
    <t>P0-02-102 - Эстакада (к котельной). Участок №2Колонны монолитные Км2-1 (1 шт)Армированные колонн Км2 (1 шт) ГНУТЫМИ стержнями диаметром до 12 мм</t>
  </si>
  <si>
    <t>P0-02-102 - Эстакада (к котельной). Участок №2Колонны монолитные Км2-1 (1 шт)Армированные колонн Км2 (1 шт) ПРЯМЫМИ стержнями диаметром 14 мм и более</t>
  </si>
  <si>
    <t xml:space="preserve">P0-02-102 - Эстакада (к котельной). Участок №2Колонны монолитные Км2-1 (1 шт)Установка анкерных болтов М1 (перед бетонированием) диаметром от Ø20мм до Ø40мм </t>
  </si>
  <si>
    <t>P0-02-102 - Эстакада (к котельной). Участок №2Колонны монолитные Км2-1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</si>
  <si>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P0-02-102 - Эстакада (к котельной). Участок №2Колонны монолитные Км2-1 (1 шт)Монтаж и демонтаж опалубки заводского изготовления колонн Км2 (1 шт)</t>
  </si>
  <si>
    <t xml:space="preserve">P0-02-102 - Эстакада (к котельной). Участок №2Колонны монолитные Км2-1 (1 шт)Бетонирование колонн Км2 (1 шт) из бетона B25 W8 F200 </t>
  </si>
  <si>
    <t>P0-02-102 - Эстакада (к котельной). Участок №2Колонны монолитные Км2-1 (1 шт)Устройство подливки колонн Км2 толщиной 50мм
(1 шт)</t>
  </si>
  <si>
    <t>P0-02-102 - Эстакада (к котельной). Участок №2Колонны монолитные Км2-1 (1 шт)Монтаж закладных деталей ЗДИ2 колонн Км2-1 весом от 12,1-20,0кг</t>
  </si>
  <si>
    <t>P0-02-102 - Эстакада (к котельной). Участок №2Колонны монолитные Км2-1 (1 шт)Монтаж закладных деталей ЗДИ5 колонн Км2-1 весом от 8,1-12,0кг</t>
  </si>
  <si>
    <t>P0-02-102 - Эстакада (к котельной). Участок №2Колонны монолитные Км2-2 (2 шт)Армированные колонн Км2 (2 шт) ГНУТЫМИ стержнями диаметром до 12 мм</t>
  </si>
  <si>
    <t>P0-02-102 - Эстакада (к котельной). Участок №2Колонны монолитные Км2-2 (2 шт)Армированные колонн Км2 (2 шт) ПРЯМЫМИ стержнями диаметром 14 мм и более</t>
  </si>
  <si>
    <t xml:space="preserve">P0-02-102 - Эстакада (к котельной). Участок №2Колонны монолитные Км2-2 (2 шт)Установка анкерных болтов М1 (перед бетонированием) диаметром от Ø20мм до Ø40мм </t>
  </si>
  <si>
    <t>P0-02-102 - Эстакада (к котельной). Участок №2Колонны монолитные Км2-2 (2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</si>
  <si>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P0-02-102 - Эстакада (к котельной). Участок №2Колонны монолитные Км2-2 (2 шт)Монтаж и демонтаж опалубки заводского изготовления колонн Км2 (2 шт)</t>
  </si>
  <si>
    <t xml:space="preserve">P0-02-102 - Эстакада (к котельной). Участок №2Колонны монолитные Км2-2 (2 шт)Бетонирование колонн Км2 (2 шт) из бетона B25 W8 F200 </t>
  </si>
  <si>
    <t>P0-02-102 - Эстакада (к котельной). Участок №2Колонны монолитные Км2-2 (2 шт)Устройство подливки колонн Км2 толщиной 50мм
(2 шт)</t>
  </si>
  <si>
    <t>P0-02-102 - Эстакада (к котельной). Участок №2Колонны монолитные Км2-2 (2 шт)Монтаж закладных деталей ЗДИ1 колонн Км1-1  весом от
8,1-12,0кг.</t>
  </si>
  <si>
    <t>P0-02-102 - Эстакада (к котельной). Участок №2Колонны монолитные Км2-2 (2 шт)Монтаж закладных деталей ЗДИ2 колонн Км2-2 весом от 12,1-20,0кг</t>
  </si>
  <si>
    <t>P0-02-102 - Эстакада (к котельной). Участок №2Колонны монолитные Км2-2 (2 шт)Монтаж закладных деталей ЗДИ5 колонн Км2-2 весом от 8,1-12,0кг</t>
  </si>
  <si>
    <t>P0-02-102 - Эстакада (к котельной). Участок №2Колонны монолитные Км2-3 (1 шт)Армированные колонн Км2 (1 шт) ГНУТЫМИ стержнями диаметром до 12 мм</t>
  </si>
  <si>
    <t>P0-02-102 - Эстакада (к котельной). Участок №2Колонны монолитные Км2-3 (1 шт)Армированные колонн Км2 (1 шт) ПРЯМЫМИ стержнями диаметром 14 мм и более</t>
  </si>
  <si>
    <t xml:space="preserve">P0-02-102 - Эстакада (к котельной). Участок №2Колонны монолитные Км2-3 (1 шт)Установка анкерных болтов М1 (перед бетонированием) диаметром от Ø20мм до Ø40мм </t>
  </si>
  <si>
    <t>P0-02-102 - Эстакада (к котельной). Участок №2Колонны монолитные Км2-3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</si>
  <si>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P0-02-102 - Эстакада (к котельной). Участок №2Колонны монолитные Км2-3 (1 шт)Монтаж и демонтаж опалубки заводского изготовления колонн Км2 (1 шт)</t>
  </si>
  <si>
    <t xml:space="preserve">P0-02-102 - Эстакада (к котельной). Участок №2Колонны монолитные Км2-3 (1 шт)Бетонирование колонн Км2 (1 шт) из бетона B25 W8 F200 </t>
  </si>
  <si>
    <t>P0-02-102 - Эстакада (к котельной). Участок №2Колонны монолитные Км2-3 (1 шт)Устройство подливки колонн Км2 толщиной 50мм
(1 шт)</t>
  </si>
  <si>
    <t>P0-02-102 - Эстакада (к котельной). Участок №2Колонны монолитные Км2-3 (1 шт)Монтаж закладных деталей ЗДИ2 колонн Км2-3 весом от 12,1-20,0кг</t>
  </si>
  <si>
    <t>P0-02-102 - Эстакада (к котельной). Участок №2Колонны монолитные Км2-3 (1 шт)Монтаж закладных деталей ЗДИ5 колонн Км2-3 весом от 8,1-12,0кг</t>
  </si>
  <si>
    <t>P0-02-102 - Эстакада (к котельной). Участок №2Колонны монолитные Км2-3 (1 шт)Монтаж закладных деталей ЗДИ6 колонн Км2-3 весом от 8,1-12,0кг</t>
  </si>
  <si>
    <t>P0-02-102 - Эстакада (к котельной). Участок №2Колонны монолитные Км2-3 (1 шт)Монтаж закладных деталей ЗДИ9 колонн Км2-3 весом от 8,1-12,0кг</t>
  </si>
  <si>
    <t>P0-02-102 - Эстакада (к котельной). Участок №2Колонны монолитные Км2-4 (1 шт)Армированные колонн Км2 (1 шт) ГНУТЫМИ стержнями диаметром до 12 мм</t>
  </si>
  <si>
    <t>P0-02-102 - Эстакада (к котельной). Участок №2Колонны монолитные Км2-4 (1 шт)Армированные колонн Км2 (1 шт) ПРЯМЫМИ стержнями диаметром 14 мм и более</t>
  </si>
  <si>
    <t xml:space="preserve">P0-02-102 - Эстакада (к котельной). Участок №2Колонны монолитные Км2-4 (1 шт)Установка анкерных болтов М1 (перед бетонированием) диаметром от Ø20мм до Ø40мм </t>
  </si>
  <si>
    <t>P0-02-102 - Эстакада (к котельной). Участок №2Колонны монолитные Км2-4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</si>
  <si>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P0-02-102 - Эстакада (к котельной). Участок №2Колонны монолитные Км2-4 (1 шт)Монтаж и демонтаж опалубки заводского изготовления колонн Км2 (1 шт)</t>
  </si>
  <si>
    <t xml:space="preserve">P0-02-102 - Эстакада (к котельной). Участок №2Колонны монолитные Км2-4 (1 шт)Бетонирование колонн Км2 (1 шт) из бетона B25 W8 F200 </t>
  </si>
  <si>
    <t>P0-02-102 - Эстакада (к котельной). Участок №2Колонны монолитные Км2-4 (1 шт)Устройство подливки колонн Км2 толщиной 50мм
(1 шт)</t>
  </si>
  <si>
    <t>P0-02-102 - Эстакада (к котельной). Участок №2Колонны монолитные Км2-4 (1 шт)Монтаж закладных деталей ЗДИ2 колонн Км2-4 весом от 12,1-20,0кг</t>
  </si>
  <si>
    <t>P0-02-102 - Эстакада (к котельной). Участок №2Колонны монолитные Км2-4 (1 шт)Монтаж закладных деталей ЗДИ5 колонн Км2-4 весом от 8,1-12,0кг</t>
  </si>
  <si>
    <t>P0-02-102 - Эстакада (к котельной). Участок №2Колонны монолитные Км2-4 (1 шт)Монтаж закладных деталей ЗДИ6 колонн Км2-4 весом от 8,1-12,0кг</t>
  </si>
  <si>
    <t>P0-02-102 - Эстакада (к котельной). Участок №2Колонны монолитные Км2-4 (1 шт)Монтаж закладных деталей ЗДИ9 колонн Км2-4 весом от 8,1-12,0кг</t>
  </si>
  <si>
    <t>P0-02-102 - Эстакада (к котельной). Участок №2Колонны монолитные Км2-5 (1 шт)Армированные колонн Км2 (1 шт) ГНУТЫМИ стержнями диаметром до 12 мм</t>
  </si>
  <si>
    <t>P0-02-102 - Эстакада (к котельной). Участок №2Колонны монолитные Км2-5 (1 шт)Армированные колонн Км2 (1 шт) ПРЯМЫМИ стержнями диаметром 14 мм и более</t>
  </si>
  <si>
    <t xml:space="preserve">P0-02-102 - Эстакада (к котельной). Участок №2Колонны монолитные Км2-5 (1 шт)Установка анкерных болтов М1 (перед бетонированием) диаметром от Ø20мм до Ø40мм </t>
  </si>
  <si>
    <t>P0-02-102 - Эстакада (к котельной). Участок №2Колонны монолитные Км2-5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</si>
  <si>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P0-02-102 - Эстакада (к котельной). Участок №2Колонны монолитные Км2-5 (1 шт)Монтаж и демонтаж опалубки заводского изготовления колонн Км2 (1 шт)</t>
  </si>
  <si>
    <t xml:space="preserve">P0-02-102 - Эстакада (к котельной). Участок №2Колонны монолитные Км2-5 (1 шт)Бетонирование колонн Км2 (1 шт) из бетона B25 W8 F200 </t>
  </si>
  <si>
    <t>P0-02-102 - Эстакада (к котельной). Участок №2Колонны монолитные Км2-5 (1 шт)Устройство подливки колонн Км2 толщиной 50мм
(1 шт)</t>
  </si>
  <si>
    <t>P0-02-102 - Эстакада (к котельной). Участок №2Колонны монолитные Км2-5 (1 шт)Монтаж закладных деталей ЗДИ5 колонн Км2-5 весом от 8,1-12,0кг</t>
  </si>
  <si>
    <t>P0-02-102 - Эстакада (к котельной). Участок №2Колонны монолитные Км2-5 (1 шт)Монтаж закладных деталей ЗДИ6 колонн Км2-5 весом от 8,1-12,0кг</t>
  </si>
  <si>
    <t>P0-02-102 - Эстакада (к котельной). Участок №2Колонны монолитные Км2-5 (1 шт)Монтаж закладных деталей ЗДИ7 колонн Км2-5 весом от 12,1-20,0кг</t>
  </si>
  <si>
    <t>P0-02-102 - Эстакада (к котельной). Участок №2Колонны монолитные Км2-5 (1 шт)Монтаж закладных деталей ЗДИ9 колонн Км2-5 весом от 8,1-12,0кг</t>
  </si>
  <si>
    <t>P0-02-102 - Эстакада (к котельной). Участок №2Колонны монолитные Км2-6 (1 шт)Армированные колонн Км2 (1 шт) ГНУТЫМИ стержнями диаметром до 12 мм</t>
  </si>
  <si>
    <t>P0-02-102 - Эстакада (к котельной). Участок №2Колонны монолитные Км2-6 (1 шт)Армированные колонн Км2 (1 шт) ПРЯМЫМИ стержнями диаметром 14 мм и более</t>
  </si>
  <si>
    <t xml:space="preserve">P0-02-102 - Эстакада (к котельной). Участок №2Колонны монолитные Км2-6 (1 шт)Установка анкерных болтов М1 (перед бетонированием) диаметром от Ø20мм до Ø40мм </t>
  </si>
  <si>
    <t>P0-02-102 - Эстакада (к котельной). Участок №2Колонны монолитные Км2-6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</si>
  <si>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P0-02-102 - Эстакада (к котельной). Участок №2Колонны монолитные Км2-6 (1 шт)Монтаж и демонтаж опалубки заводского изготовления колонн Км2 (1 шт)</t>
  </si>
  <si>
    <t xml:space="preserve">P0-02-102 - Эстакада (к котельной). Участок №2Колонны монолитные Км2-6 (1 шт)Бетонирование колонн Км2 (1 шт) из бетона B25 W8 F200 </t>
  </si>
  <si>
    <t>P0-02-102 - Эстакада (к котельной). Участок №2Колонны монолитные Км2-6 (1 шт)Устройство подливки колонн Км2 толщиной 50мм
(1 шт)</t>
  </si>
  <si>
    <t>P0-02-102 - Эстакада (к котельной). Участок №2Колонны монолитные Км2-6 (1 шт)Монтаж закладных деталей ЗДИ5 колонн Км2-6 весом от 8,1-12,0кг</t>
  </si>
  <si>
    <t>P0-02-102 - Эстакада (к котельной). Участок №2Колонны монолитные Км2-6 (1 шт)Монтаж закладных деталей ЗДИ6 колонн Км2-6 весом от 8,1-12,0кг</t>
  </si>
  <si>
    <t>P0-02-102 - Эстакада (к котельной). Участок №2Колонны монолитные Км2-6 (1 шт)Монтаж закладных деталей ЗДИ7 колонн Км2-6 весом от 12,1-20,0кг</t>
  </si>
  <si>
    <t>P0-02-102 - Эстакада (к котельной). Участок №2Колонны монолитные Км2-6 (1 шт)Монтаж закладных деталей ЗДИ9 колонн Км2-6 весом от 8,1-12,0кг</t>
  </si>
  <si>
    <t>P0-02-102 - Эстакада (к котельной). Участок №2Рама монолитная Рм1-1 (1 шт)Армированные раме Рм1 (1 шт) ГНУТЫМИ стержнями диаметром до 12 мм - балки</t>
  </si>
  <si>
    <t>P0-02-102 - Эстакада (к котельной). Участок №2Рама монолитная Рм1-1 (1 шт)Армированные раме Рм1 (1 шт) ГНУТЫМИ стержнями диаметром до 12 мм - колонны</t>
  </si>
  <si>
    <t>P0-02-102 - Эстакада (к котельной). Участок №2Рама монолитная Рм1-1 (1 шт)Армированные раме Рм1  (1 шт) ПРЯМЫМИ стержнями диаметром 14 мм и более - колонны</t>
  </si>
  <si>
    <t>P0-02-102 - Эстакада (к котельной). Участок №2Рама монолитная Рм1-1 (1 шт)Армированные раме Рм1 (1 шт) ПРЯМЫМИ стержнями диаметром до 12 мм - балки</t>
  </si>
  <si>
    <t>P0-02-102 - Эстакада (к котельной). Участок №2Рама монолитная Рм1-1 (1 шт)Армированные раме Рм1  (1 шт) ГНУТЫМИ стержнями диаметром 14 мм и более</t>
  </si>
  <si>
    <t xml:space="preserve">P0-02-102 - Эстакада (к котельной). Участок №2Рама монолитная Рм1-1 (1 шт)Установка анкерных болтов М1 (перед бетонированием) диаметром от Ø20мм до Ø40мм </t>
  </si>
  <si>
    <t>P0-02-102 - Эстакада (к котельной). Участок №2Рама монолитная Рм1-1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</si>
  <si>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P0-02-102 - Эстакада (к котельной). Участок №2Рама монолитная Рм1-1 (1 шт)Монтаж и демонтаж опалубки заводского изготовления раме Рм1  (1 шт) - колонны</t>
  </si>
  <si>
    <t>P0-02-102 - Эстакада (к котельной). Участок №2Рама монолитная Рм1-1 (1 шт)Монтаж и демонтаж опалубки заводского изготовления раме Рм1  (1 шт) - балки</t>
  </si>
  <si>
    <t>P0-02-102 - Эстакада (к котельной). Участок №2Рама монолитная Рм1-1 (1 шт)Бетонирование из бетона B25 W8 F200 - колонны</t>
  </si>
  <si>
    <t>P0-02-102 - Эстакада (к котельной). Участок №2Рама монолитная Рм1-1 (1 шт)Бетонирование раме Рм1  (1 шт) из бетона B25 W8 F200 - балки</t>
  </si>
  <si>
    <t>P0-02-102 - Эстакада (к котельной). Участок №2Рама монолитная Рм1-1 (1 шт)Устройство подливки раме Рм1 толщиной 50мм
(1 шт)</t>
  </si>
  <si>
    <t>P0-02-102 - Эстакада (к котельной). Участок №2Рама монолитная Рм1-1 (1 шт)Монтаж закладных деталей ЗДИ1 раме Рм1  весом от
8,1-12,0кг</t>
  </si>
  <si>
    <t>P0-02-102 - Эстакада (к котельной). Участок №2Рама монолитная Рм1-1 (1 шт)Монтаж закладных деталей ЗДИ2 раме Рм1  весом от
8,1-15,0кг.</t>
  </si>
  <si>
    <t>P0-02-102 - Эстакада (к котельной). Участок №2Рама монолитная Рм1-1 (1 шт)Монтаж закладных деталей ЗДИ3 раме Рм1  весом от
20,1-30,0кг.</t>
  </si>
  <si>
    <t>P0-02-102 - Эстакада (к котельной). Участок №2Рама монолитная Рм1-1 (1 шт)Монтаж закладных деталей ЗДИ4 раме Рм1  весом от
12,1-20,0кг.</t>
  </si>
  <si>
    <t>P0-02-102 - Эстакада (к котельной). Участок №2Рама монолитная Рм1-1 (1 шт)Монтаж закладных деталей ЗДИ5 колонн Рм1 весом от 8,1-12,0кг</t>
  </si>
  <si>
    <t>P0-02-102 - Эстакада (к котельной). Участок №2Рама монолитная Рм1-1 (1 шт)Монтаж закладных деталей ЗДИ6 колонн Рм1 весом от 8,1-12,0кг</t>
  </si>
  <si>
    <t>P0-02-102 - Эстакада (к котельной). Участок №2Рама монолитная Рм1-1 (1 шт)Монтаж закладных деталей ЗДИ7 колонн Рм1 весом от 12,1-20,0кг</t>
  </si>
  <si>
    <t>P0-02-102 - Эстакада (к котельной). Участок №2Рама монолитная Рм1-1 (1 шт)Монтаж закладных деталей ЗДИ8 колонн Рм1 весом от 2,1-5,0кг</t>
  </si>
  <si>
    <t>P0-02-102 - Эстакада (к котельной). Участок №2Рама монолитная Рм1 (1 шт)Армированные раме Рм1 (1 шт) ГНУТЫМИ стержнями диаметром до 12 мм - балки</t>
  </si>
  <si>
    <t>P0-02-102 - Эстакада (к котельной). Участок №2Рама монолитная Рм1 (1 шт)Армированные раме Рм1 (1 шт) ГНУТЫМИ стержнями диаметром до 12 мм - колонны</t>
  </si>
  <si>
    <t>P0-02-102 - Эстакада (к котельной). Участок №2Рама монолитная Рм1 (1 шт)Армированные раме Рм1  (1 шт) ПРЯМЫМИ стержнями диаметром 14 мм и более - колонны</t>
  </si>
  <si>
    <t>P0-02-102 - Эстакада (к котельной). Участок №2Рама монолитная Рм1 (1 шт)Армированные раме Рм1 (1 шт) ПРЯМЫМИ стержнями диаметром до 12 мм - балки</t>
  </si>
  <si>
    <t>P0-02-102 - Эстакада (к котельной). Участок №2Рама монолитная Рм1 (1 шт)Армированные раме Рм1  (1 шт) ГНУТЫМИ стержнями диаметром 14 мм и более - балки</t>
  </si>
  <si>
    <t xml:space="preserve">P0-02-102 - Эстакада (к котельной). Участок №2Рама монолитная Рм1 (1 шт)Установка анкерных болтов М1 (перед бетонированием) диаметром от Ø20мм до Ø40мм </t>
  </si>
  <si>
    <t>P0-02-102 - Эстакада (к котельной). Участок №2Рама монолитная Рм1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</si>
  <si>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P0-02-102 - Эстакада (к котельной). Участок №2Рама монолитная Рм1 (1 шт)Монтаж и демонтаж опалубки заводского изготовления раме Рм1  (1 шт) - колонны</t>
  </si>
  <si>
    <t>P0-02-102 - Эстакада (к котельной). Участок №2Рама монолитная Рм1 (1 шт)Монтаж и демонтаж опалубки заводского изготовления раме Рм1  (1 шт) - балки</t>
  </si>
  <si>
    <t>P0-02-102 - Эстакада (к котельной). Участок №2Рама монолитная Рм1 (1 шт)Бетонирование из бетона B25 W8 F200 - колонны</t>
  </si>
  <si>
    <t>P0-02-102 - Эстакада (к котельной). Участок №2Рама монолитная Рм1 (1 шт)Бетонирование раме Рм1  (1 шт) из бетона B25 W8 F200 - балки</t>
  </si>
  <si>
    <t>P0-02-102 - Эстакада (к котельной). Участок №2Рама монолитная Рм1 (1 шт)Устройство подливки раме Рм1 толщиной 50мм
(1 шт)</t>
  </si>
  <si>
    <t>P0-02-102 - Эстакада (к котельной). Участок №2Рама монолитная Рм1 (1 шт)Монтаж закладных деталей ЗДИ1 раме Рм1  весом от
5,1-8,0кг.</t>
  </si>
  <si>
    <t>P0-02-102 - Эстакада (к котельной). Участок №2Рама монолитная Рм1 (1 шт)Монтаж закладных деталей ЗДИ3 раме Рм1  весом от
20,1-30,0кг.</t>
  </si>
  <si>
    <t>P0-02-102 - Эстакада (к котельной). Участок №2Рама монолитная Рм1 (1 шт)Монтаж закладных деталей ЗДИ4 раме Рм1  весом от
12,1-20,0кг.</t>
  </si>
  <si>
    <t>P0-02-102 - Эстакада (к котельной). Участок №2Рама монолитная Рм1 (1 шт)Монтаж закладных деталей ЗДИ5 колонн Рм1 весом от 8,1-12,0кг</t>
  </si>
  <si>
    <t>P0-02-102 - Эстакада (к котельной). Участок №2Рама монолитная Рм1 (1 шт)Монтаж закладных деталей ЗДИ6 колонн Рм1 весом от 8,1-12,0кг</t>
  </si>
  <si>
    <t>P0-02-102 - Эстакада (к котельной). Участок №2Рама монолитная Рм1 (1 шт)Монтаж закладных деталей ЗДИ7 колонн Рм1 весом от 12,1-20,0кг</t>
  </si>
  <si>
    <t>P0-02-102 - Эстакада (к котельной). Участок №2Рама монолитная Рм2 (1 шт)Армированные раме Рм2 (1 шт) ГНУТЫМИ стержнями диаметром до 12 мм - балки</t>
  </si>
  <si>
    <t>P0-02-102 - Эстакада (к котельной). Участок №2Рама монолитная Рм2 (1 шт)Армированные раме Рм2 (1 шт) ГНУТЫМИ стержнями диаметром до 12 мм - колонны</t>
  </si>
  <si>
    <t xml:space="preserve">P0-02-102 - Эстакада (к котельной). Участок №2Рама монолитная Рм2 (1 шт)Армированные раме Рм2 (1 шт) ГНУТЫМИ стержнями диаметром до 12 мм - колонны - Изготовление </t>
  </si>
  <si>
    <t xml:space="preserve">P0-02-102 - Эстакада (к котельной). Участок №2Рама монолитная Рм2 (1 шт)Армированные раме Рм2 (1 шт) ГНУТЫМИ стержнями диаметром до 12 мм - колонны- Монтаж </t>
  </si>
  <si>
    <t>P0-02-102 - Эстакада (к котельной). Участок №2Рама монолитная Рм2 (1 шт)Армированные раме Рм2  (1 шт) ПРЯМЫМИ стержнями диаметром 14 мм и болеем - колонны</t>
  </si>
  <si>
    <t xml:space="preserve">P0-02-102 - Эстакада (к котельной). Участок №2Рама монолитная Рм2 (1 шт)Армированные раме Рм2  (1 шт) ПРЯМЫМИ стержнями диаметром 14 мм и болеем - колонны -Изготовление </t>
  </si>
  <si>
    <t xml:space="preserve">P0-02-102 - Эстакада (к котельной). Участок №2Рама монолитная Рм2 (1 шт)Армированные раме Рм2  (1 шт) ПРЯМЫМИ стержнями диаметром 14 мм и болеем - колонны -Монтаж </t>
  </si>
  <si>
    <t>P0-02-102 - Эстакада (к котельной). Участок №2Рама монолитная Рм2 (1 шт)Армированные раме Рм2 (1 шт) ПРЯМЫМИ стержнями диаметром до 12 мм - балки</t>
  </si>
  <si>
    <t>P0-02-102 - Эстакада (к котельной). Участок №2Рама монолитная Рм2 (1 шт)Армированные раме Рм2  (1 шт) ГНУТЫМИ стержнями диаметром 14 мм и более - балки</t>
  </si>
  <si>
    <t xml:space="preserve">P0-02-102 - Эстакада (к котельной). Участок №2Рама монолитная Рм2 (1 шт)Установка анкерных болтов М1 (перед бетонированием) диаметром от Ø20мм до Ø40мм </t>
  </si>
  <si>
    <t>P0-02-102 - Эстакада (к котельной). Участок №2Рама монолитная Рм2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</si>
  <si>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P0-02-102 - Эстакада (к котельной). Участок №2Рама монолитная Рм2 (1 шт)Монтаж и демонтаж опалубки заводского изготовления раме Рм2 (1 шт) - колонны</t>
  </si>
  <si>
    <t>P0-02-102 - Эстакада (к котельной). Участок №2Рама монолитная Рм2 (1 шт)Монтаж и демонтаж опалубки заводского изготовления раме Рм2 (1 шт) - балки</t>
  </si>
  <si>
    <t>P0-02-102 - Эстакада (к котельной). Участок №2Рама монолитная Рм2 (1 шт)Бетонирование из бетона B25 W8 F200 - колонны</t>
  </si>
  <si>
    <t>P0-02-102 - Эстакада (к котельной). Участок №2Рама монолитная Рм2 (1 шт)Бетонирование раме Рм2 (1 шт) из бетона B25 W8 F200  - балки</t>
  </si>
  <si>
    <t>P0-02-102 - Эстакада (к котельной). Участок №2Рама монолитная Рм2 (1 шт)Устройство подливки раме Рм2 толщиной 50мм
(1 шт)</t>
  </si>
  <si>
    <t>P0-02-102 - Эстакада (к котельной). Участок №2Рама монолитная Рм2 (1 шт)Монтаж закладных деталей ЗДИ1 раме Рм2  весом от
5,1-8,0кг.</t>
  </si>
  <si>
    <t>P0-02-102 - Эстакада (к котельной). Участок №2Рама монолитная Рм2 (1 шт)Монтаж закладных деталей ЗДИ2 раме Рм2  весом от
8,1-15,0кг.</t>
  </si>
  <si>
    <t>P0-02-102 - Эстакада (к котельной). Участок №2Рама монолитная Рм2 (1 шт)Монтаж закладных деталей ЗДИ3 раме Рм2  весом от
20,1-30,0кг.</t>
  </si>
  <si>
    <t>P0-02-102 - Эстакада (к котельной). Участок №2Рама монолитная Рм2 (1 шт)Монтаж закладных деталей ЗДИ4 раме Рм2  весом от
12,1-20,0кг.</t>
  </si>
  <si>
    <t>P0-02-102 - Эстакада (к котельной). Участок №2Рама монолитная Рм2 (1 шт)Монтаж закладных деталей ЗДИ5 колонн Рм2 весом от 8,1-12,0кг</t>
  </si>
  <si>
    <t>P0-02-102 - Эстакада (к котельной). Участок №2Рама монолитная Рм2 (1 шт)Монтаж закладных деталей ЗДИ6 колонн Рм2 весом от 8,1-12,0кг</t>
  </si>
  <si>
    <t>P0-02-102 - Эстакада (к котельной). Участок №2Рама монолитная Рм2а (1 шт)Армированные раме Рм2а (1 шт) ГНУТЫМИ стержнями диаметром до 12 мм - балки</t>
  </si>
  <si>
    <t>P0-02-102 - Эстакада (к котельной). Участок №2Рама монолитная Рм2а (1 шт)Армированные раме Рм2а (1 шт) ГНУТЫМИ стержнями диаметром до 12 мм - колонны</t>
  </si>
  <si>
    <t>P0-02-102 - Эстакада (к котельной). Участок №2Рама монолитная Рм2а (1 шт)Армированные раме Рм2а  (1 шт) ПРЯМЫМИ стержнями диаметром 14 мм и более - колонны</t>
  </si>
  <si>
    <t>P0-02-102 - Эстакада (к котельной). Участок №2Рама монолитная Рм2а (1 шт)Армированные раме Рм2а (1 шт) ПРЯМЫМИ стержнями диаметром до 12 мм - балки</t>
  </si>
  <si>
    <t>P0-02-102 - Эстакада (к котельной). Участок №2Рама монолитная Рм2а (1 шт)Армированные раме Рм2а  (1 шт) ГНУТЫМИ стержнями диаметром 14 мм и более - балки</t>
  </si>
  <si>
    <t xml:space="preserve">P0-02-102 - Эстакада (к котельной). Участок №2Рама монолитная Рм2а (1 шт)Установка анкерных болтов М1 (перед бетонированием) диаметром от Ø20мм до Ø40мм </t>
  </si>
  <si>
    <t>P0-02-102 - Эстакада (к котельной). Участок №2Рама монолитная Рм2а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</si>
  <si>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P0-02-102 - Эстакада (к котельной). Участок №2Рама монолитная Рм2а (1 шт)Монтаж и демонтаж опалубки заводского изготовления раме Рм2а (1 шт) - колонны</t>
  </si>
  <si>
    <t>P0-02-102 - Эстакада (к котельной). Участок №2Рама монолитная Рм2а (1 шт)Монтаж и демонтаж опалубки заводского изготовления раме Рм2а (1 шт) - балки</t>
  </si>
  <si>
    <t>P0-02-102 - Эстакада (к котельной). Участок №2Рама монолитная Рм2а (1 шт)Бетонирование из бетона B25 W8 F200 - колонны</t>
  </si>
  <si>
    <t>P0-02-102 - Эстакада (к котельной). Участок №2Рама монолитная Рм2а (1 шт)Бетонирование раме Рм2а (1 шт) из бетона B25 W8 F200 - балки</t>
  </si>
  <si>
    <t>P0-02-102 - Эстакада (к котельной). Участок №2Рама монолитная Рм2а (1 шт)Устройство подливки раме Рм2а толщиной 50мм
(1 шт)</t>
  </si>
  <si>
    <t>P0-02-102 - Эстакада (к котельной). Участок №2Рама монолитная Рм2а (1 шт)Монтаж закладных деталей ЗДИ1 раме Рм2а  весом от
5,1-8,0кг.</t>
  </si>
  <si>
    <t>P0-02-102 - Эстакада (к котельной). Участок №2Рама монолитная Рм2а (1 шт)Монтаж закладных деталей ЗДИ2 раме Рм2а  весом от
8,1-15,0кг.</t>
  </si>
  <si>
    <t>P0-02-102 - Эстакада (к котельной). Участок №2Рама монолитная Рм2а (1 шт)Монтаж закладных деталей ЗДИ3 раме Рм2а  весом от
20,1-30,0кг.</t>
  </si>
  <si>
    <t>P0-02-102 - Эстакада (к котельной). Участок №2Рама монолитная Рм2а (1 шт)Монтаж закладных деталей ЗДИ4 раме Рм2а весом от
12,1-20,0кг.</t>
  </si>
  <si>
    <t>P0-02-102 - Эстакада (к котельной). Участок №2Рама монолитная Рм2а (1 шт)Монтаж закладных деталей ЗДИ5 колонн Рм2a весом от 8,1-12,0кг</t>
  </si>
  <si>
    <t>P0-02-102 - Эстакада (к котельной). Участок №2Рама монолитная Рм2а (1 шт)Монтаж закладных деталей ЗДИ6 колонн Рм2a весом от 8,1-12,0кг</t>
  </si>
  <si>
    <t>P0-02-104 - Эстакада (к котельной). Участок №4Ростверк монолитный РСм1 (1 шт)Устройство бетонной подготовки фундаментов РСм1 из бетона В10, толщ. 100 мм(1 шт.)</t>
  </si>
  <si>
    <t>P0-02-104 - Эстакада (к котельной). Участок №4Ростверк монолитный РСм1 (1 шт)Армированные фундамента РСм1 (1 шт)  ПРЯМЫМИ стержнями диаметром 14 мм и более</t>
  </si>
  <si>
    <t>P0-02-104 - Эстакада (к котельной). Участок №4Ростверк монолитный РСм1 (1 шт)Армированные фундамента РСм1 (1 шт) ГНУТЫМИ стержнями диаметром 14 мм и более</t>
  </si>
  <si>
    <t>P0-02-104 - Эстакада (к котельной). Участок №4Ростверк монолитный РСм1 (1 шт)Армированные фундамента  РСм1 (1 шт)  ГНУТЫМИ стержнями диаметром  до 12 мм</t>
  </si>
  <si>
    <t xml:space="preserve">P0-02-104 - Эстакада (к котельной). Участок №4Ростверк монолитный РСм1 (1 шт)Установка анкерных болтов (перед бетонированием) диаметром от Ø20мм до Ø40мм </t>
  </si>
  <si>
    <t>P0-02-104 - Эстакада (к котельной). Участок №4Ростверк монолитный РСм1 (1 шт)Монтаж - демонтаж опалубки заводского изготовления для фундамента  РСм1 (1 шт) нижний ярус</t>
  </si>
  <si>
    <t>P0-02-104 - Эстакада (к котельной). Участок №4Ростверк монолитный РСм1 (1 шт)Монтаж - демонтаж опалубки заводского изготовления для фундамента  РСм1 (1 шт) верхний ярус</t>
  </si>
  <si>
    <t>P0-02-104 - Эстакада (к котельной). Участок №4Ростверк монолитный РСм1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</si>
  <si>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P0-02-104 - Эстакада (к котельной). Участок №4Ростверк монолитный РСм1 (1 шт)Устройство фундамента  РСм1 (1 шт) из бетона  B25 W8 F200</t>
  </si>
  <si>
    <t>P0-02-104 - Эстакада (к котельной). Участок №4Ростверк монолитный РСм1 (1 шт)Устройство подливки толщиной 50мм фундаментов РСм2 (3 шт) из бетона  B30 W8 F200</t>
  </si>
  <si>
    <t>P0-02-104 - Эстакада (к котельной). Участок №4Ростверк монолитный РСм2 (1 шт)Устройство бетонной подготовки фундаментов РСм2 из бетона В10, толщ. 100 мм(1 шт.)</t>
  </si>
  <si>
    <t>P0-02-104 - Эстакада (к котельной). Участок №4Ростверк монолитный РСм2 (1 шт)Армированные фундамента РСм2 (1 шт)  ПРЯМЫМИ стержнями диаметром 14 мм и более</t>
  </si>
  <si>
    <t>P0-02-104 - Эстакада (к котельной). Участок №4Ростверк монолитный РСм2 (1 шт)Армированные фундамента РСм2 (1 шт) ГНУТЫМИ стержнями диаметром 14 мм и более</t>
  </si>
  <si>
    <t>P0-02-104 - Эстакада (к котельной). Участок №4Ростверк монолитный РСм2 (1 шт)Армированные фундамента  РСм2 (1 шт)  ГНУТЫМИ стержнями диаметром  до 12 мм</t>
  </si>
  <si>
    <t xml:space="preserve">P0-02-104 - Эстакада (к котельной). Участок №4Ростверк монолитный РСм2 (1 шт)Установка анкерных болтов (перед бетонированием) диаметром от Ø20мм до Ø40мм </t>
  </si>
  <si>
    <t>P0-02-104 - Эстакада (к котельной). Участок №4Ростверк монолитный РСм2 (1 шт)Монтаж - демонтаж опалубки заводского изготовления для фундамента  РСм2 (1 шт) нижний ярус</t>
  </si>
  <si>
    <t>P0-02-104 - Эстакада (к котельной). Участок №4Ростверк монолитный РСм2 (1 шт)Монтаж - демонтаж опалубки заводского изготовления для фундамента  РСм2 (1 шт) верхний ярус</t>
  </si>
  <si>
    <t>P0-02-104 - Эстакада (к котельной). Участок №4Ростверк монолитный РСм2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</si>
  <si>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P0-02-104 - Эстакада (к котельной). Участок №4Ростверк монолитный РСм2 (1 шт)Устройство фундамента  РСм2 (1 шт) из бетона  B25 W8 F200</t>
  </si>
  <si>
    <t>P0-02-104 - Эстакада (к котельной). Участок №4Ростверк монолитный РСм2 (1 шт)Устройство подливки толщиной 50мм фундаментов РСм2 (3 шт) из бетона  B30 W8 F200</t>
  </si>
  <si>
    <t>P0-02-104 - Эстакада (к котельной). Участок №4Фундамент монолитный Фм1 (10 шт)Устройство бетонной подготовки фундаментов Фм1 из бетона В10, толщ. 100 мм(10 шт.)</t>
  </si>
  <si>
    <t>P0-02-104 - Эстакада (к котельной). Участок №4Фундамент монолитный Фм1 (10 шт)Армированные фундамента Фм1 (10 шт) ГНУТЫМИ стержнями диаметром 14 мм и более</t>
  </si>
  <si>
    <t>P0-02-104 - Эстакада (к котельной). Участок №4Фундамент монолитный Фм1 (10 шт)Армированные фундамента Фм1(10 шт)  ПРЯМЫМИ стержнями диаметром до 12 мм</t>
  </si>
  <si>
    <t>P0-02-104 - Эстакада (к котельной). Участок №4Фундамент монолитный Фм1 (10 шт)Армированные фундамента Фм1 (10 шт) ГНУТЫМИ стержнями диаметром до 12 мм</t>
  </si>
  <si>
    <t>P0-02-104 - Эстакада (к котельной). Участок №4Фундамент монолитный Фм1 (10 шт)Армированные фундамента  Фм1 (10 шт) ГНУТЫМИ стержнями диаметром  до 12 мм</t>
  </si>
  <si>
    <t xml:space="preserve">P0-02-104 - Эстакада (к котельной). Участок №4Фундамент монолитный Фм1 (10 шт)Установка анкерных болтов (перед бетонированием) диаметром от Ø20мм до Ø40мм </t>
  </si>
  <si>
    <t>P0-02-104 - Эстакада (к котельной). Участок №4Фундамент монолитный Фм1 (10 шт)Монтаж - демонтаж опалубки заводского изготовления для фундамента  Фм1 (10 шт) нижний ярус</t>
  </si>
  <si>
    <t>P0-02-104 - Эстакада (к котельной). Участок №4Фундамент монолитный Фм1 (10 шт)Монтаж - демонтаж опалубки заводского изготовления для фундамента  Фм1 (10 шт) верхний ярус</t>
  </si>
  <si>
    <t>P0-02-104 - Эстакада (к котельной). Участок №4Фундамент монолитный Фм1 (10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</si>
  <si>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P0-02-104 - Эстакада (к котельной). Участок №4Фундамент монолитный Фм1 (10 шт)Устройство фундамента  Фм1 (10 шт) из бетона  B25 W8 F200</t>
  </si>
  <si>
    <t>P0-02-104 - Эстакада (к котельной). Участок №4Фундамент монолитный Фм1 (10 шт)Устройство подливки толщиной 50мм фундаментов Фм1 (10 шт) из бетона  B30 W8 F200</t>
  </si>
  <si>
    <t>P0-02-103 - Эстакада (к котельной). Участок №3Ростверк монолитный РСм1 (6 шт)Устройство бетонной подготовки фундаментов РСм1 из бетона В10, толщ. 100 мм(6 шт.)</t>
  </si>
  <si>
    <t>P0-02-103 - Эстакада (к котельной). Участок №3Ростверк монолитный РСм1 (6 шт)Армированные фундамента РСм1 (6 шт)  ПРЯМЫМИ стержнями диаметром 14 мм и более</t>
  </si>
  <si>
    <t>P0-02-103 - Эстакада (к котельной). Участок №3Ростверк монолитный РСм1 (6 шт)Армированные фундамента РСм1 (6 шт) ГНУТЫМИ стержнями диаметром 14 мм и более</t>
  </si>
  <si>
    <t>P0-02-103 - Эстакада (к котельной). Участок №3Ростверк монолитный РСм1 (6 шт)Армированные фундамента  РСм1 (6 шт)  ГНУТЫМИ стержнями диаметром  до 12 мм</t>
  </si>
  <si>
    <t>P0-02-103 - Эстакада (к котельной). Участок №3Ростверк монолитный РСм1 (6 шт)Монтаж - демонтаж опалубки заводского изготовления для фундамента  РСм1 (6 шт)</t>
  </si>
  <si>
    <t>P0-02-103 - Эстакада (к котельной). Участок №3Ростверк монолитный РСм1 (6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</si>
  <si>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P0-02-103 - Эстакада (к котельной). Участок №3Ростверк монолитный РСм1 (6 шт)Устройство фундамента  РСм1 (6 шт) из бетона  B25 W8 F200</t>
  </si>
  <si>
    <t>P0-02-103 - Эстакада (к котельной). Участок №3Фундамент монолитный Фм1 (4 шт)Устройство бетонной подготовки фундаментов Фм1 из бетона В10, толщ. 100 мм(4 шт.)</t>
  </si>
  <si>
    <t>P0-02-103 - Эстакада (к котельной). Участок №3Фундамент монолитный Фм1 (4 шт)Армированные фундамента Фм1 (4 шт) ГНУТЫМИ стержнями диаметром 14 мм и более</t>
  </si>
  <si>
    <t>P0-02-103 - Эстакада (к котельной). Участок №3Фундамент монолитный Фм1 (4 шт)Армированные фундамента Фм1 (4 шт)  ПРЯМЫМИ стержнями диаметром до 12 мм</t>
  </si>
  <si>
    <t>P0-02-103 - Эстакада (к котельной). Участок №3Фундамент монолитный Фм1 (4 шт)Армированные фундамента Фм1 (4 шт) ГНУТЫМИ стержнями диаметром до 12 мм</t>
  </si>
  <si>
    <t>P0-02-103 - Эстакада (к котельной). Участок №3Фундамент монолитный Фм1 (4 шт)Армированные фундамента  Фм1 (4 шт) ГНУТЫМИ стержнями диаметром  до 12 мм</t>
  </si>
  <si>
    <t xml:space="preserve">P0-02-103 - Эстакада (к котельной). Участок №3Фундамент монолитный Фм1 (4 шт)Установка анкерных болтов (перед бетонированием) диаметром от Ø20мм до Ø40мм </t>
  </si>
  <si>
    <t>P0-02-103 - Эстакада (к котельной). Участок №3Фундамент монолитный Фм1 (4 шт)Монтаж - демонтаж опалубки заводского изготовления для фундамента  Фм1 (4 шт) нижний ярус</t>
  </si>
  <si>
    <t>P0-02-103 - Эстакада (к котельной). Участок №3Фундамент монолитный Фм1 (4 шт)Монтаж - демонтаж опалубки заводского изготовления для фундамента  Фм1 (4 шт) верхний ярус</t>
  </si>
  <si>
    <t>P0-02-103 - Эстакада (к котельной). Участок №3Фундамент монолитный Фм1 (4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</si>
  <si>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P0-02-103 - Эстакада (к котельной). Участок №3Фундамент монолитный Фм1 (4 шт)Устройство фундамента  Фм1 (4 шт) из бетона  B25 W8 F200</t>
  </si>
  <si>
    <t>P0-02-103 - Эстакада (к котельной). Участок №3Фундамент монолитный Фм1 (4 шт)Устройство подливки толщиной 50мм фундаментов Фм1 (4 шт) из бетона  B30 W8 F200</t>
  </si>
  <si>
    <t>P0-02-103 - Эстакада (к котельной). Участок №3Колонны монолитные Км1а (4 шт)Армированные колонн Км1 (4 шт) ГНУТЫМИ стержнями диаметром до 12 мм</t>
  </si>
  <si>
    <t>P0-02-103 - Эстакада (к котельной). Участок №3Колонны монолитные Км1а (4 шт)Армированные колонн Км1 (4 шт) ПРЯМЫМИ стержнями диаметром 14 мм и более</t>
  </si>
  <si>
    <t xml:space="preserve">P0-02-103 - Эстакада (к котельной). Участок №3Колонны монолитные Км1а (4 шт)Установка анкерных болтов М1 (перед бетонированием) диаметром от Ø20мм до Ø40мм </t>
  </si>
  <si>
    <t>P0-02-103 - Эстакада (к котельной). Участок №3Колонны монолитные Км1а (4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</si>
  <si>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P0-02-103 - Эстакада (к котельной). Участок №3Колонны монолитные Км1а (4 шт)Монтаж и демонтаж опалубки заводского изготовления колонн Км1 (4 шт)</t>
  </si>
  <si>
    <t xml:space="preserve">P0-02-103 - Эстакада (к котельной). Участок №3Колонны монолитные Км1а (4 шт)Бетонирование колонн Км1 (4 шт) из бетона B25 W8 F200 </t>
  </si>
  <si>
    <t>P0-02-103 - Эстакада (к котельной). Участок №3Колонны монолитные Км1а (4 шт)Устройство подливки колонн Км1 толщиной 50мм
(4 шт)</t>
  </si>
  <si>
    <t>P0-02-103 - Эстакада (к котельной). Участок №3Колонны монолитные Км1а (4 шт)Монтаж закладных деталей ЗДИ1 колонн Км1а  весом от
8,1-12,0кг.</t>
  </si>
  <si>
    <t>P0-02-103 - Эстакада (к котельной). Участок №3Колонны монолитные Км1а (4 шт)Монтаж закладных деталей ЗДИ2 колонн Км1а весом от
20,1-30,0кг.</t>
  </si>
  <si>
    <t>P0-02-103 - Эстакада (к котельной). Участок №3Колонны монолитные Км1б (4 шт)Армированные колонн Км1 (4 шт) ГНУТЫМИ стержнями диаметром до 12 мм</t>
  </si>
  <si>
    <t>P0-02-103 - Эстакада (к котельной). Участок №3Колонны монолитные Км1б (4 шт)Армированные колонн Км1 (4 шт) ПРЯМЫМИ стержнями диаметром 14 мм и более</t>
  </si>
  <si>
    <t xml:space="preserve">P0-02-103 - Эстакада (к котельной). Участок №3Колонны монолитные Км1б (4 шт)Установка анкерных болтов М1 (перед бетонированием) диаметром от Ø20мм до Ø40мм </t>
  </si>
  <si>
    <t>P0-02-103 - Эстакада (к котельной). Участок №3Колонны монолитные Км1б (4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</si>
  <si>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P0-02-103 - Эстакада (к котельной). Участок №3Колонны монолитные Км1б (4 шт)Монтаж и демонтаж опалубки заводского изготовления колонн Км1 (4 шт)</t>
  </si>
  <si>
    <t xml:space="preserve">P0-02-103 - Эстакада (к котельной). Участок №3Колонны монолитные Км1б (4 шт)Бетонирование колонн Км1 (4 шт) из бетона B25 W8 F200 </t>
  </si>
  <si>
    <t>P0-02-103 - Эстакада (к котельной). Участок №3Колонны монолитные Км1б (4 шт)Устройство подливки колонн Км1 толщиной 50мм
(4 шт)</t>
  </si>
  <si>
    <t>P0-02-103 - Эстакада (к котельной). Участок №3Колонны монолитные Км1б (4 шт)Монтаж закладных деталей ЗДИ1 колонн Км1б  весом от
8,1-12,0кг.</t>
  </si>
  <si>
    <t>P0-02-103 - Эстакада (к котельной). Участок №3Колонны монолитные Км1б (4 шт)Монтаж закладных деталей ЗДИ2 колонн Км1б весом от
20,1-30,0кг.</t>
  </si>
  <si>
    <t>P0-02-103 - Эстакада (к котельной). Участок №3Рама монолитная Рм1 (1 шт)Армированные раме Рм1 (1 шт) ГНУТЫМИ стержнями диаметром до 12 мм</t>
  </si>
  <si>
    <t>P0-02-103 - Эстакада (к котельной). Участок №3Рама монолитная Рм1 (1 шт)Армированные раме Рм1 (1 шт) ПРЯМЫМИ стержнями диаметром 14 мм и более</t>
  </si>
  <si>
    <t>P0-02-103 - Эстакада (к котельной). Участок №3Рама монолитная Рм1 (1 шт)Армированные раме Рм1 (1 шт) ГНУТЫМИ стержнями диаметром 14 мм и более</t>
  </si>
  <si>
    <t xml:space="preserve">P0-02-103 - Эстакада (к котельной). Участок №3Рама монолитная Рм1 (1 шт)Установка анкерных болтов М1 (перед бетонированием) диаметром от Ø20мм до Ø40мм </t>
  </si>
  <si>
    <t>P0-02-103 - Эстакада (к котельной). Участок №3Рама монолитная Рм1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</si>
  <si>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P0-02-103 - Эстакада (к котельной). Участок №3Рама монолитная Рм1 (1 шт)Монтаж и демонтаж опалубки заводского изготовления раме Рм1 (1 шт)</t>
  </si>
  <si>
    <t xml:space="preserve">P0-02-103 - Эстакада (к котельной). Участок №3Рама монолитная Рм1 (1 шт)Бетонирование раме Рм1 (1 шт) из бетона B25 W8 F200 </t>
  </si>
  <si>
    <t>P0-02-103 - Эстакада (к котельной). Участок №3Рама монолитная Рм1 (1 шт)Устройство подливки раме Рм1 толщиной 50мм
(1 шт)</t>
  </si>
  <si>
    <t>P0-02-103 - Эстакада (к котельной). Участок №3Рама монолитная Рм1 (1 шт)Монтаж закладных деталей ЗДИ1 раме Рм1 весом от
8,1-12,0кг.</t>
  </si>
  <si>
    <t>P0-02-103 - Эстакада (к котельной). Участок №3Рама монолитная Рм1 (1 шт)Монтаж закладных деталей ЗДИ3 раме Рм1  весом от
15,1-20,0кг.</t>
  </si>
  <si>
    <t>P0-02-103 - Эстакада (к котельной). Участок №3Рама монолитная Рм1 (1 шт)Монтаж закладных деталей ЗДИ4 раме Рм1 весом от
15,1-20,0кг.</t>
  </si>
  <si>
    <t>P0-02-103 - Эстакада (к котельной). Участок №3Рама монолитная Рм1 (1 шт)Монтаж закладных деталей ЗДИ5 раме Рм1  весом от
8,1-12,0кг.</t>
  </si>
  <si>
    <t>P0-02-103 - Эстакада (к котельной). Участок №3Рама монолитная Рм1 (1 шт)Монтаж закладных деталей ЗДИ6 раме Рм1  весом от
8,1-12,0кг.</t>
  </si>
  <si>
    <t>P0-02-103 - Эстакада (к котельной). Участок №3Рама монолитная Рм1а (1 шт)Армированные раме Рм1а (1 шт) ГНУТЫМИ стержнями диаметром до 12 мм</t>
  </si>
  <si>
    <t>P0-02-103 - Эстакада (к котельной). Участок №3Рама монолитная Рм1а (1 шт)Армированные раме Рм1а (1 шт) ПРЯМЫМИ стержнями диаметром 14 мм и более</t>
  </si>
  <si>
    <t>P0-02-103 - Эстакада (к котельной). Участок №3Рама монолитная Рм1а (1 шт)Армированные раме Рм1а (1 шт) ГНУТЫМИ стержнями диаметром 14 мм и более</t>
  </si>
  <si>
    <t xml:space="preserve">P0-02-103 - Эстакада (к котельной). Участок №3Рама монолитная Рм1а (1 шт)Установка анкерных болтов М1 (перед бетонированием) диаметром от Ø20мм до Ø40мм </t>
  </si>
  <si>
    <t>P0-02-103 - Эстакада (к котельной). Участок №3Рама монолитная Рм1а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</si>
  <si>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P0-02-103 - Эстакада (к котельной). Участок №3Рама монолитная Рм1а (1 шт)Монтаж и демонтаж опалубки заводского изготовления раме Рм1а (1 шт)</t>
  </si>
  <si>
    <t xml:space="preserve">P0-02-103 - Эстакада (к котельной). Участок №3Рама монолитная Рм1а (1 шт)Бетонирование раме Рм1а (1 шт) из бетона B25 W8 F200 </t>
  </si>
  <si>
    <t>P0-02-103 - Эстакада (к котельной). Участок №3Рама монолитная Рм1а (1 шт)Устройство подливки раме Рм1а толщиной 50мм
(1 шт)</t>
  </si>
  <si>
    <t>P0-02-103 - Эстакада (к котельной). Участок №3Рама монолитная Рм1а (1 шт)Монтаж закладных деталей ЗДИ1 раме Рм1а весом от
8,1-12,0кг.</t>
  </si>
  <si>
    <t>P0-02-103 - Эстакада (к котельной). Участок №3Рама монолитная Рм1а (1 шт)Монтаж закладных деталей ЗДИ3 раме Рм1а  весом от
15,1-20,0кг.</t>
  </si>
  <si>
    <t>P0-02-103 - Эстакада (к котельной). Участок №3Рама монолитная Рм1а (1 шт)Монтаж закладных деталей ЗДИ4 раме Рм1а весом от
15,1-20,0кг.</t>
  </si>
  <si>
    <t>P0-02-103 - Эстакада (к котельной). Участок №3Рама монолитная Рм1а (1 шт)Монтаж закладных деталей ЗДИ5 раме Рм1а  весом от
8,1-12,0кг.</t>
  </si>
  <si>
    <t>P0-02-103 - Эстакада (к котельной). Участок №3Рама монолитная Рм1а (1 шт)Монтаж закладных деталей ЗДИ6 раме Рм1а  весом от
8,1-12,0кг.</t>
  </si>
  <si>
    <t>P0-02-105 - Эстакада (к котельной). Участок №5Ростверков РСм1 (8 шт) Устройство бетонной подготовки фундаментов РСм1 из бетона В10, толщ. 100 мм (8 шт.)</t>
  </si>
  <si>
    <t>P0-02-105 - Эстакада (к котельной). Участок №5Ростверков РСм1 (8 шт) Армирование фундамента РСм1 (8 шт)  ГНУТЫМИ стержнями диаметром  до 12 мм</t>
  </si>
  <si>
    <t>P0-02-105 - Эстакада (к котельной). Участок №5Ростверков РСм1 (8 шт) Армирование фундамента РСм1 (8 шт)  ПРЯМЫМИ стержнями диаметром 14 мм и более</t>
  </si>
  <si>
    <t>P0-02-105 - Эстакада (к котельной). Участок №5Ростверков РСм1 (8 шт) Армирование фундамента РСм1 (8 шт) ГНУТЫМИ сварными стержнями диаметром 14 мм и более</t>
  </si>
  <si>
    <t>P0-02-105 - Эстакада (к котельной). Участок №5Ростверков РСм1 (8 шт) 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</si>
  <si>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P0-02-105 - Эстакада (к котельной). Участок №5Ростверков РСм1 (8 шт) Монтаж и демонтаж опалубки фундамента РСм1 (8 шт) </t>
  </si>
  <si>
    <t xml:space="preserve">P0-02-105 - Эстакада (к котельной). Участок №5Ростверков РСм1 (8 шт) Бетонирование фундамента РСм1 (8 шт) </t>
  </si>
  <si>
    <t>P0-02-105 - Эстакада (к котельной). Участок №5Колонны монолитные Км1-1 (2 шт)Армированные колонн Км1 (2 шт) ГНУТЫМИ стержнями диаметром до 12 мм</t>
  </si>
  <si>
    <t>P0-02-105 - Эстакада (к котельной). Участок №5Колонны монолитные Км1-1 (2 шт)Армированные колонн Км1 (2 шт) ПРЯМЫМИ стержнями диаметром 14 мм и более</t>
  </si>
  <si>
    <t xml:space="preserve">P0-02-105 - Эстакада (к котельной). Участок №5Колонны монолитные Км1-1 (2 шт)Установка анкерных болтов М1 (перед бетонированием) диаметром от Ø20мм до Ø40мм </t>
  </si>
  <si>
    <t>P0-02-105 - Эстакада (к котельной). Участок №5Колонны монолитные Км1-1 (2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</si>
  <si>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P0-02-105 - Эстакада (к котельной). Участок №5Колонны монолитные Км1-1 (2 шт)Монтаж и демонтаж опалубки заводского изготовления колонн Км1 (2 шт)</t>
  </si>
  <si>
    <t xml:space="preserve">P0-02-105 - Эстакада (к котельной). Участок №5Колонны монолитные Км1-1 (2 шт)Бетонирование колонн Км1 (2 шт) из бетона B25 W8 F200 </t>
  </si>
  <si>
    <t>P0-02-105 - Эстакада (к котельной). Участок №5Колонны монолитные Км1-1 (2 шт)Устройство подливки колонн Км1 толщиной 50мм
(2 шт)</t>
  </si>
  <si>
    <t>P0-02-105 - Эстакада (к котельной). Участок №5Колонны монолитные Км1-1 (2 шт)Монтаж закладных деталей ЗДИ1 колонн Км1-1  весом от
8,1-12,0кг.</t>
  </si>
  <si>
    <t>P0-02-105 - Эстакада (к котельной). Участок №5Колонны монолитные Км1-1 (2 шт)Монтаж закладных деталей ЗДИ2 колонн Км1-1 весом от
12,1-20,0кг.</t>
  </si>
  <si>
    <t>P0-02-105 - Эстакада (к котельной). Участок №5Колонны монолитные Км1-2 (2 шт)Армированные колонн Км1 (2 шт) ГНУТЫМИ стержнями диаметром до 12 мм</t>
  </si>
  <si>
    <t>P0-02-105 - Эстакада (к котельной). Участок №5Колонны монолитные Км1-2 (2 шт)Армированные колонн Км1 (2 шт) ПРЯМЫМИ стержнями диаметром 14 мм и более</t>
  </si>
  <si>
    <t xml:space="preserve">P0-02-105 - Эстакада (к котельной). Участок №5Колонны монолитные Км1-2 (2 шт)Установка анкерных болтов М1 (перед бетонированием) диаметром от Ø20мм до Ø40мм </t>
  </si>
  <si>
    <t>P0-02-105 - Эстакада (к котельной). Участок №5Колонны монолитные Км1-2 (2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</si>
  <si>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P0-02-105 - Эстакада (к котельной). Участок №5Колонны монолитные Км1-2 (2 шт)Монтаж и демонтаж опалубки заводского изготовления колонн Км1 (2 шт)</t>
  </si>
  <si>
    <t xml:space="preserve">P0-02-105 - Эстакада (к котельной). Участок №5Колонны монолитные Км1-2 (2 шт)Бетонирование колонн Км1 (2 шт) из бетона B25 W8 F200 </t>
  </si>
  <si>
    <t>P0-02-105 - Эстакада (к котельной). Участок №5Колонны монолитные Км1-2 (2 шт)Устройство подливки колонн Км1 толщиной 50мм
(2 шт)</t>
  </si>
  <si>
    <t>P0-02-105 - Эстакада (к котельной). Участок №5Колонны монолитные Км1-2 (2 шт)Монтаж закладных деталей ЗДИ1 колонн Км1-1  весом от
8,1-12,0кг.</t>
  </si>
  <si>
    <t>P0-02-105 - Эстакада (к котельной). Участок №5Колонны монолитные Км1-2 (2 шт)Монтаж закладных деталей ЗДИ2 колонн Км1-1 весом от
8,0-15,0кг.</t>
  </si>
  <si>
    <t>P0-02-105 - Эстакада (к котельной). Участок №5Рама монолитная Рм1 (1 шт)Армированные раме Рм1 (1 шт) ГНУТЫМИ стержнями диаметром до 12 мм</t>
  </si>
  <si>
    <t>P0-02-105 - Эстакада (к котельной). Участок №5Рама монолитная Рм1 (1 шт)Армированные раме Рм1 (1 шт) ПРЯМЫМИ стержнями диаметром 14 мм и более</t>
  </si>
  <si>
    <t>P0-02-105 - Эстакада (к котельной). Участок №5Рама монолитная Рм1 (1 шт)Армированные раме Рм1 (1 шт) ГНУТЫМИ стержнями диаметром 14 мм и более</t>
  </si>
  <si>
    <t xml:space="preserve">P0-02-105 - Эстакада (к котельной). Участок №5Рама монолитная Рм1 (1 шт)Установка анкерных болтов М1 (перед бетонированием) диаметром от Ø20мм до Ø40мм </t>
  </si>
  <si>
    <t>P0-02-105 - Эстакада (к котельной). Участок №5Рама монолитная Рм1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</si>
  <si>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P0-02-105 - Эстакада (к котельной). Участок №5Рама монолитная Рм1 (1 шт)Монтаж и демонтаж опалубки заводского изготовления раме Рм1 (1 шт)</t>
  </si>
  <si>
    <t xml:space="preserve">P0-02-105 - Эстакада (к котельной). Участок №5Рама монолитная Рм1 (1 шт)Бетонирование раме Рм1 (1 шт) из бетона B25 W8 F200 </t>
  </si>
  <si>
    <t>P0-02-105 - Эстакада (к котельной). Участок №5Рама монолитная Рм1 (1 шт)Устройство подливки раме Рм1 толщиной 50мм
(1 шт)</t>
  </si>
  <si>
    <t>P0-02-105 - Эстакада (к котельной). Участок №5Рама монолитная Рм1 (1 шт)Монтаж закладных деталей ЗДИ1 раме Рм1 весом от
8,1-12,0кг.</t>
  </si>
  <si>
    <t>P0-02-105 - Эстакада (к котельной). Участок №5Рама монолитная Рм1 (1 шт)Монтаж закладных деталей ЗДИ2 раме Рм1 весом от
8,1-15,0кг.</t>
  </si>
  <si>
    <t>P0-02-105 - Эстакада (к котельной). Участок №5Рама монолитная Рм1 (1 шт)Монтаж закладных деталей ЗДИ3 раме Рм1  весом от
20,1-30,0кг.</t>
  </si>
  <si>
    <t>P0-02-105 - Эстакада (к котельной). Участок №5Рама монолитная Рм1 (1 шт)Монтаж закладных деталей ЗДИ4 раме Рм1 весом от
20,1-30,0кг.</t>
  </si>
  <si>
    <t>P0-02-105 - Эстакада (к котельной). Участок №5Рама монолитная Рм1а (1 шт)Армированные раме Рм1а (1 шт) ГНУТЫМИ стержнями диаметром до 12 мм</t>
  </si>
  <si>
    <t>P0-02-105 - Эстакада (к котельной). Участок №5Рама монолитная Рм1а (1 шт)Армированные раме Рм1а (1 шт) ПРЯМЫМИ стержнями диаметром 14 мм и более</t>
  </si>
  <si>
    <t>P0-02-105 - Эстакада (к котельной). Участок №5Рама монолитная Рм1а (1 шт)Армированные раме Рм1а (1 шт) ГНУТЫМИ стержнями диаметром 14 мм и более</t>
  </si>
  <si>
    <t xml:space="preserve">P0-02-105 - Эстакада (к котельной). Участок №5Рама монолитная Рм1а (1 шт)Установка анкерных болтов М1 (перед бетонированием) диаметром от Ø20мм до Ø40мм </t>
  </si>
  <si>
    <t>P0-02-105 - Эстакада (к котельной). Участок №5Рама монолитная Рм1а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</si>
  <si>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P0-02-105 - Эстакада (к котельной). Участок №5Рама монолитная Рм1а (1 шт)Монтаж и демонтаж опалубки заводского изготовления раме Рм1а (1 шт)</t>
  </si>
  <si>
    <t xml:space="preserve">P0-02-105 - Эстакада (к котельной). Участок №5Рама монолитная Рм1а (1 шт)Бетонирование раме Рм1а (1 шт) из бетона B25 W8 F200 </t>
  </si>
  <si>
    <t>P0-02-105 - Эстакада (к котельной). Участок №5Рама монолитная Рм1а (1 шт)Устройство подливки раме Рм1а толщиной 50мм
(1 шт)</t>
  </si>
  <si>
    <t>P0-02-105 - Эстакада (к котельной). Участок №5Рама монолитная Рм1а (1 шт)Монтаж закладных деталей ЗДИ1 раме Рм1а весом от
8,1-12,0кг.</t>
  </si>
  <si>
    <t>P0-02-105 - Эстакада (к котельной). Участок №5Рама монолитная Рм1а (1 шт)Монтаж закладных деталей ЗДИ2 раме Рм1а весом от
8,1-15,0кг.</t>
  </si>
  <si>
    <t>P0-02-105 - Эстакада (к котельной). Участок №5Рама монолитная Рм1а (1 шт)Монтаж закладных деталей ЗДИ3 раме Рм1а  весом от
20,1-30,0кг.</t>
  </si>
  <si>
    <t>P0-02-105 - Эстакада (к котельной). Участок №5Рама монолитная Рм1а (1 шт)Монтаж закладных деталей ЗДИ4 раме Рм1 весом от
20,1-30,0кг.</t>
  </si>
  <si>
    <t>P0-02-112 - Эстакада к пожарному депо. Участок №2Ростверк монолитный РСм1 (8 шт)Устройство бетонной подготовки фундаментов РСм1 из бетона В10, толщ. 100 мм(8шт.)</t>
  </si>
  <si>
    <t>P0-02-112 - Эстакада к пожарному депо. Участок №2Ростверк монолитный РСм1 (8 шт)Монтаж - демонтаж опалубки заводского изготовления для фундамента  РСм1 (8 шт) нижний ярус</t>
  </si>
  <si>
    <t>P0-02-112 - Эстакада к пожарному депо. Участок №2Ростверк монолитный РСм1 (8 шт)Армированные фундамента РСм1 (8 шт)  ПРЯМИМИ стержнями диаметром 14 мм и более</t>
  </si>
  <si>
    <t>P0-02-112 - Эстакада к пожарному депо. Участок №2Ростверк монолитный РСм1 (8 шт)Армированные фундамента РСм1 (8 шт) ГНУТЫЕ стержнями диаметром 14 мм и более</t>
  </si>
  <si>
    <t>P0-02-112 - Эстакада к пожарному депо. Участок №2Ростверк монолитный РСм1 (8 шт)Армированные фундамента  РСм1 (8 шт)  ГНУТЫЕ стержнями диаметром  до 12 мм</t>
  </si>
  <si>
    <t>P0-02-112 - Эстакада к пожарному депо. Участок №2Ростверк монолитный РСм1 (8 шт)Устройство фундамента  РСм1 (8 шт) из бетона  B25 W8 F200</t>
  </si>
  <si>
    <t>P0-02-112 - Эстакада к пожарному депо. Участок №2Ростверк монолитный РСм1 (8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</si>
  <si>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P0-02-112 - Эстакада к пожарному депо. Участок №2Ростверк монолитный РСм2 (20 шт)Устройство бетонной подготовки фундаментов РСм2 из бетона В10, толщ. 100 мм(20 шт.)</t>
  </si>
  <si>
    <t>P0-02-112 - Эстакада к пожарному депо. Участок №2Ростверк монолитный РСм2 (20 шт)Монтаж - демонтаж опалубки заводского изготовления для фундамента  РСм2 (20 шт) нижний ярус</t>
  </si>
  <si>
    <t>P0-02-112 - Эстакада к пожарному депо. Участок №2Ростверк монолитный РСм2 (20 шт)Монтаж - демонтаж опалубки заводского изготовления для фундамента  РСм2 (20 шт) верхний ярус</t>
  </si>
  <si>
    <t>P0-02-112 - Эстакада к пожарному депо. Участок №2Ростверк монолитный РСм2 (20 шт)Армированные фундамента РСм2 (20 шт)  ПРЯМИМИ стержнями диаметром 14 мм и более</t>
  </si>
  <si>
    <t>P0-02-112 - Эстакада к пожарному депо. Участок №2Ростверк монолитный РСм2 (20 шт)Армированные фундамента РСм1 (20 шт)  ПРЯМИМИ стержнями диаметром 14 мм и более</t>
  </si>
  <si>
    <t>P0-02-112 - Эстакада к пожарному депо. Участок №2Ростверк монолитный РСм2 (20 шт)Армированные фундамента РСм2 (20 шт)  ГНУТЫЕ стержнями диаметром 14 мм и более</t>
  </si>
  <si>
    <t>P0-02-112 - Эстакада к пожарному депо. Участок №2Ростверк монолитный РСм2 (20 шт)Армированные фундамента  РСм2 (20 шт)  ГНУТЫЕ стержнями диаметром  до 12 мм</t>
  </si>
  <si>
    <t>P0-02-112 - Эстакада к пожарному депо. Участок №2Ростверк монолитный РСм2 (20 шт)Устройство фундамента  РСм2 (20 шт) из бетона  B25 W8 F200</t>
  </si>
  <si>
    <t>P0-02-112 - Эстакада к пожарному депо. Участок №2Ростверк монолитный РСм2 (20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</si>
  <si>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P0-02-112 - Эстакада к пожарному депо. Участок №2Ростверк монолитный РСм3 (3 шт)Устройство бетонной подготовки фундаментов РСм3 из бетона В10, толщ. 100 мм(3 шт.)</t>
  </si>
  <si>
    <t>P0-02-112 - Эстакада к пожарному депо. Участок №2Ростверк монолитный РСм3 (3 шт)Монтаж - демонтаж опалубки заводского изготовления для фундамента  РСм3 (3 шт)  нижний ярус</t>
  </si>
  <si>
    <t>P0-02-112 - Эстакада к пожарному депо. Участок №2Ростверк монолитный РСм3 (3 шт)Монтаж - демонтаж опалубки заводского изготовления для фундамента  РСм3 (3 шт)  верхний ярус</t>
  </si>
  <si>
    <t>P0-02-112 - Эстакада к пожарному депо. Участок №2Ростверк монолитный РСм3 (3 шт)Армированные фундамента РСм3 (3 шт)  ПРЯМИМИ стержнями диаметром до 12 мм</t>
  </si>
  <si>
    <t>P0-02-112 - Эстакада к пожарному депо. Участок №2Ростверк монолитный РСм3 (3 шт)Армированные фундамента РСм3 (3 шт)  ГНУТЫЕ стержнями диаметром 14 мм и более</t>
  </si>
  <si>
    <t>P0-02-112 - Эстакада к пожарному депо. Участок №2Ростверк монолитный РСм3 (3 шт)Армированные фундамента  РСм3 (3 шт)  ГНУТЫЕ стержнями диаметром  до 12 мм</t>
  </si>
  <si>
    <t>P0-02-112 - Эстакада к пожарному депо. Участок №2Ростверк монолитный РСм3 (3 шт)Устройство фундамента  РСм3 (3 шт) из бетона  B25 W8 F200</t>
  </si>
  <si>
    <t>P0-02-112 - Эстакада к пожарному депо. Участок №2Ростверк монолитный РСм3 (3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</si>
  <si>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P0-02-112 - Эстакада к пожарному депо. Участок №2Ростверк монолитный РСм4 (4 шт)Устройство бетонной подготовки фундаментов РСм4 из бетона В10, толщ. 100 мм(4 шт.)</t>
  </si>
  <si>
    <t>P0-02-112 - Эстакада к пожарному депо. Участок №2Ростверк монолитный РСм4 (4 шт)Монтаж - демонтаж опалубки заводского изготовления для фундамента  РСм4 (4 шт)</t>
  </si>
  <si>
    <t>P0-02-112 - Эстакада к пожарному депо. Участок №2Ростверк монолитный РСм4 (4 шт)Армированные фундамента РСм4 (4 шт)  ПРЯМИМИ стержнями диаметром до 12 мм</t>
  </si>
  <si>
    <t>P0-02-112 - Эстакада к пожарному депо. Участок №2Ростверк монолитный РСм4 (4 шт)Армированные фундамента РСм4 (4 шт)  ГНУТЫЕ стержнями диаметром 14 мм и более</t>
  </si>
  <si>
    <t>P0-02-112 - Эстакада к пожарному депо. Участок №2Ростверк монолитный РСм4 (4 шт)Армированные фундамента  РСм4 (4 шт)  ГНУТЫЕ стержнями диаметром  до 12 мм</t>
  </si>
  <si>
    <t>P0-02-112 - Эстакада к пожарному депо. Участок №2Ростверк монолитный РСм4 (4 шт)Устройство фундамента  РСм4 (4 шт) из бетона  B25 W8 F200</t>
  </si>
  <si>
    <t>P0-02-112 - Эстакада к пожарному депо. Участок №2Ростверк монолитный РСм4 (4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</si>
  <si>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P0-02-112 - Эстакада к пожарному депо. Участок №2Ростверк монолитный РСм5 (3 шт)Устройство бетонной подготовки фундаментов РСм5 из бетона В10, толщ. 100 мм(3 шт.)</t>
  </si>
  <si>
    <t>P0-02-112 - Эстакада к пожарному депо. Участок №2Ростверк монолитный РСм5 (3 шт)Монтаж - демонтаж опалубки заводского изготовления для фундамента  РСм5 (3 шт)</t>
  </si>
  <si>
    <t>P0-02-112 - Эстакада к пожарному депо. Участок №2Ростверк монолитный РСм5 (3 шт)Армированные фундамента РСм5 (3 шт)  ПРЯМИМИ стержнями диаметром до 12 мм</t>
  </si>
  <si>
    <t>P0-02-112 - Эстакада к пожарному депо. Участок №2Ростверк монолитный РСм5 (3 шт)Армированные фундамента РСм5 (3 шт)  ГНУТЫЕ стержнями диаметром 14 мм и более</t>
  </si>
  <si>
    <t>P0-02-112 - Эстакада к пожарному депо. Участок №2Ростверк монолитный РСм5 (3 шт)Армированные фундамента  РСм5 (3 шт)  ГНУТЫЕ стержнями диаметром  до 12 мм</t>
  </si>
  <si>
    <t>P0-02-112 - Эстакада к пожарному депо. Участок №2Ростверк монолитный РСм5 (3 шт)Устройство фундамента  РСм5 (3 шт) из бетона  B25 W8 F200</t>
  </si>
  <si>
    <t>P0-02-112 - Эстакада к пожарному депо. Участок №2Ростверк монолитный РСм5 (3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</si>
  <si>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P0-02-112 - Эстакада к пожарному депо. Участок №2Колонны монолитные Км1-4 (1 шт), Км1-5 (2 шт), Км1-6 (2 шт)Армированные колонн Км1 (5 шт) ГНУТЫМИ стержнями диаметром до 12 мм</t>
  </si>
  <si>
    <t>P0-02-112 - Эстакада к пожарному депо. Участок №2Колонны монолитные Км1-4 (1 шт), Км1-5 (2 шт), Км1-6 (2 шт)Армированные колонн Км1 (5 шт) ПРЯМЫМИ стержнями диаметром 14 мм и более</t>
  </si>
  <si>
    <t>P0-02-112 - Эстакада к пожарному депо. Участок №2Колонны монолитные Км1-4 (1 шт), Км1-5 (2 шт), Км1-6 (2 шт)Установка анкерных болтов (10 шт) весом 15,49 кг/шт (перед бетонированием) диаметром от Ø20мм до Ø40мм Соединение элементов анкерных блоков сваркой.</t>
  </si>
  <si>
    <t>P0-02-112 - Эстакада к пожарному депо. Участок №2Колонны монолитные Км1-4 (1 шт), Км1-5 (2 шт), Км1-6 (2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</si>
  <si>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P0-02-112 - Эстакада к пожарному депо. Участок №2Колонны монолитные Км1-4 (1 шт), Км1-5 (2 шт), Км1-6 (2 шт)Монтаж и демонтаж опалубки заводского изготовления колонн Км1(5 шт)</t>
  </si>
  <si>
    <t xml:space="preserve">P0-02-112 - Эстакада к пожарному депо. Участок №2Колонны монолитные Км1-4 (1 шт), Км1-5 (2 шт), Км1-6 (2 шт)Бетонирование колонн Км1(5 шт) из бетона B25 W8 F200 </t>
  </si>
  <si>
    <t>P0-02-112 - Эстакада к пожарному депо. Участок №2Колонны монолитные Км1-4 (1 шт), Км1-5 (2 шт), Км1-6 (2 шт)Устройство подливки колонн Км1 толщиной 50мм
(5 шт)</t>
  </si>
  <si>
    <t>P0-02-112 - Эстакада к пожарному депо. Участок №2Колонны монолитные Км1-4 (1 шт), Км1-5 (2 шт), Км1-6 (2 шт)Монтаж закладных деталей ЗДИ1 колонн весом от 12,01-20,0 кг.</t>
  </si>
  <si>
    <t>P0-02-112 - Эстакада к пожарному депо. Участок №2Колонны монолитные Км1-4 (1 шт), Км1-5 (2 шт), Км1-6 (2 шт)Монтаж закладных деталей ЗДИ2 колонн весом от 12,1-20,0кг.</t>
  </si>
  <si>
    <t>P0-02-112 - Эстакада к пожарному депо. Участок №2Колонны монолитные Км1-10(2 шт), Км1-3 (1 шт), Км1-8 (1 шт)Армированные колонн Км1 (4 шт) ГНУТЫМИ стержнями диаметром до 12 мм</t>
  </si>
  <si>
    <t>P0-02-112 - Эстакада к пожарному депо. Участок №2Колонны монолитные Км1-10(2 шт), Км1-3 (1 шт), Км1-8 (1 шт)Армированные колонн Км1 (4 шт) ПРЯМЫМИ стержнями диаметром 14 мм и более</t>
  </si>
  <si>
    <t>P0-02-112 - Эстакада к пожарному депо. Участок №2Колонны монолитные Км1-10(2 шт), Км1-3 (1 шт), Км1-8 (1 шт)Установка анкерных болтов (8 шт) весом 15,49 кг/шт (перед бетонированием) диаметром от Ø20мм до Ø40мм Соединение элементов анкерных блоков сваркой.</t>
  </si>
  <si>
    <t>P0-02-112 - Эстакада к пожарному депо. Участок №2Колонны монолитные Км1-10(2 шт), Км1-3 (1 шт), Км1-8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</si>
  <si>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P0-02-112 - Эстакада к пожарному депо. Участок №2Колонны монолитные Км1-10(2 шт), Км1-3 (1 шт), Км1-8 (1 шт)Монтаж и демонтаж опалубки заводского изготовления колонн Км1(4 шт)</t>
  </si>
  <si>
    <t xml:space="preserve">P0-02-112 - Эстакада к пожарному депо. Участок №2Колонны монолитные Км1-10(2 шт), Км1-3 (1 шт), Км1-8 (1 шт)Бетонирование колонн Км1(4 шт) из бетона B25 W8 F200 </t>
  </si>
  <si>
    <t>P0-02-112 - Эстакада к пожарному депо. Участок №2Колонны монолитные Км1-10(2 шт), Км1-3 (1 шт), Км1-8 (1 шт)Устройство подливки колонн Км1 толщиной 50мм
(4 шт)</t>
  </si>
  <si>
    <t>P0-02-112 - Эстакада к пожарному депо. Участок №2Колонны монолитные Км1-10(2 шт), Км1-3 (1 шт), Км1-8 (1 шт)Монтаж закладных деталей ЗДИ1 колонн весом от 12,01-20,0 кг.</t>
  </si>
  <si>
    <t>P0-02-112 - Эстакада к пожарному депо. Участок №2Колонны монолитные Км1-10(2 шт), Км1-3 (1 шт), Км1-8 (1 шт)Монтаж закладных деталей ЗДИ2 колонн весом от 12,1-20,0кг.</t>
  </si>
  <si>
    <t>P0-02-112 - Эстакада к пожарному депо. Участок №2Колонны монолитные Км1-10(2 шт), Км1-3 (1 шт), Км1-8 (1 шт)Монтаж закладных деталей ЗДИ3 колонн весом от 20,1-30,0 кг</t>
  </si>
  <si>
    <t>P0-02-112 - Эстакада к пожарному депо. Участок №2Колонны монолитные Км1-10(2 шт), Км1-3 (1 шт), Км1-8 (1 шт)Монтаж закладных деталей ЗДИ6 колонн весом от 12,1-20,0кг.</t>
  </si>
  <si>
    <t>P0-02-112 - Эстакада к пожарному депо. Участок №2Колонны монолитные Км1-9 (2 шт),Км1-12 (1 шт)Армированные колонн Км1 (3 шт) ГНУТЫМИ стержнями диаметром до 12 мм</t>
  </si>
  <si>
    <t>P0-02-112 - Эстакада к пожарному депо. Участок №2Колонны монолитные Км1-9 (2 шт),Км1-12 (1 шт)Армированные колонн Км1 (3 шт) ПРЯМЫМИ стержнями диаметром 14 мм и более</t>
  </si>
  <si>
    <t>P0-02-112 - Эстакада к пожарному депо. Участок №2Колонны монолитные Км1-9 (2 шт),Км1-12 (1 шт)Установка анкерных болтов (6 шт) весом 15,49 кг/шт (перед бетонированием) диаметром от Ø20мм до Ø40мм Соединение элементов анкерных блоков сваркой.</t>
  </si>
  <si>
    <t>P0-02-112 - Эстакада к пожарному депо. Участок №2Колонны монолитные Км1-9 (2 шт),Км1-12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</si>
  <si>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P0-02-112 - Эстакада к пожарному депо. Участок №2Колонны монолитные Км1-9 (2 шт),Км1-12 (1 шт)Монтаж и демонтаж опалубки заводского изготовления колонн Км1 (3 шт)</t>
  </si>
  <si>
    <t xml:space="preserve">P0-02-112 - Эстакада к пожарному депо. Участок №2Колонны монолитные Км1-9 (2 шт),Км1-12 (1 шт)Бетонирование колонн Км1(3 шт) из бетона B25 W8 F200 </t>
  </si>
  <si>
    <t>P0-02-112 - Эстакада к пожарному депо. Участок №2Колонны монолитные Км1-9 (2 шт),Км1-12 (1 шт)Устройство подливки колонн Км1 толщиной 50мм
(3 шт)</t>
  </si>
  <si>
    <t>P0-02-112 - Эстакада к пожарному депо. Участок №2Колонны монолитные Км1-9 (2 шт),Км1-12 (1 шт)Монтаж закладных деталей ЗДИ2 колонн  весом от 12,1-20,0кг</t>
  </si>
  <si>
    <t>P0-02-112 - Эстакада к пожарному депо. Участок №2Колонны монолитные Км1-9 (2 шт),Км1-12 (1 шт)Монтаж закладных деталей ЗДИ3 колонн  весом от 20,1-30,0кг</t>
  </si>
  <si>
    <t>P0-02-112 - Эстакада к пожарному депо. Участок №2Колонны монолитные Км1-9 (2 шт),Км1-12 (1 шт)Монтаж закладных деталей ЗДИ6 колонн весом от 12,1-20,0кг.</t>
  </si>
  <si>
    <t>P0-02-112 - Эстакада к пожарному депо. Участок №2Колонны монолитные Км1-14 (1 шт)Армированные колонн Км1 (1 шт) ГНУТЫМИ стержнями диаметром до 12 мм</t>
  </si>
  <si>
    <t>P0-02-112 - Эстакада к пожарному депо. Участок №2Колонны монолитные Км1-14 (1 шт)Армированные колонн Км1 (1 шт) ПРЯМЫМИ стержнями диаметром 14 мм и более</t>
  </si>
  <si>
    <t>P0-02-112 - Эстакада к пожарному депо. Участок №2Колонны монолитные Км1-14 (1 шт)Установка анкерных болтов (2 шт) весом 15,49 кг/шт (перед бетонированием) диаметром от Ø20мм до Ø40мм Соединение элементов анкерных блоков сваркой.</t>
  </si>
  <si>
    <t>P0-02-112 - Эстакада к пожарному депо. Участок №2Колонны монолитные Км1-14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</si>
  <si>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P0-02-112 - Эстакада к пожарному депо. Участок №2Колонны монолитные Км1-14 (1 шт)Монтаж и демонтаж опалубки заводского изготовления колонн Км1 (1 шт)</t>
  </si>
  <si>
    <t xml:space="preserve">P0-02-112 - Эстакада к пожарному депо. Участок №2Колонны монолитные Км1-14 (1 шт)Бетонирование колонн Км1(1 шт) из бетона B25 W8 F200 </t>
  </si>
  <si>
    <t>P0-02-112 - Эстакада к пожарному депо. Участок №2Колонны монолитные Км1-14 (1 шт)Устройство подливки колонн Км1 толщиной 50мм
(1 шт)</t>
  </si>
  <si>
    <t>P0-02-112 - Эстакада к пожарному депо. Участок №2Колонны монолитные Км1-14 (1 шт)Монтаж закладных деталей ЗДИ1 колонн  весом от 12,1-20,0кг.</t>
  </si>
  <si>
    <t>P0-02-112 - Эстакада к пожарному депо. Участок №2Колонны монолитные Км1-14 (1 шт)Монтаж закладных деталей ЗДИ2 колонн весом от 12,1-20,0кг.</t>
  </si>
  <si>
    <t>P0-02-112 - Эстакада к пожарному депо. Участок №2Колонны монолитные Км1-14 (1 шт)Монтаж закладных деталей ЗДИ6 колонн весом от 12,1-20,0кг.</t>
  </si>
  <si>
    <t>P0-02-112 - Эстакада к пожарному депо. Участок №2Колонны монолитные Км1-15 (1 шт)Армированные колонн Км1 (1 шт) ГНУТЫМИ стержнями диаметром до 12 мм</t>
  </si>
  <si>
    <t>P0-02-112 - Эстакада к пожарному депо. Участок №2Колонны монолитные Км1-15 (1 шт)Армированные колонн Км1 (1 шт) ПРЯМЫМИ стержнями диаметром 14 мм и более</t>
  </si>
  <si>
    <t>P0-02-112 - Эстакада к пожарному депо. Участок №2Колонны монолитные Км1-15 (1 шт)Установка анкерных болтов (2 шт) весом 15,49 кг/шт (перед бетонированием) диаметром от Ø20мм до Ø40мм Соединение элементов анкерных блоков сваркой.</t>
  </si>
  <si>
    <t>P0-02-112 - Эстакада к пожарному депо. Участок №2Колонны монолитные Км1-15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</si>
  <si>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P0-02-112 - Эстакада к пожарному депо. Участок №2Колонны монолитные Км1-15 (1 шт)Монтаж и демонтаж опалубки заводского изготовления колонн Км1 (1 шт)</t>
  </si>
  <si>
    <t xml:space="preserve">P0-02-112 - Эстакада к пожарному депо. Участок №2Колонны монолитные Км1-15 (1 шт)Бетонирование колонн Км1(1 шт) из бетона B25 W8 F200 </t>
  </si>
  <si>
    <t>P0-02-112 - Эстакада к пожарному депо. Участок №2Колонны монолитные Км1-15 (1 шт)Устройство подливки колонн Км1 толщиной 50мм
(1 шт)</t>
  </si>
  <si>
    <t>P0-02-112 - Эстакада к пожарному депо. Участок №2Колонны монолитные Км1-15 (1 шт)Монтаж закладных деталей ЗДИ1 колонн  весом от 12,1-20,0кг.</t>
  </si>
  <si>
    <t>P0-02-112 - Эстакада к пожарному депо. Участок №2Колонны монолитные Км1-15 (1 шт)Монтаж закладных деталей ЗДИ2 колонн весом от 12,1-20,0кг.</t>
  </si>
  <si>
    <t>P0-02-112 - Эстакада к пожарному депо. Участок №2Колонны монолитные Км1-15 (1 шт)Монтаж закладных деталей ЗДИ6 колонн весом от 12,1-20,0кг.</t>
  </si>
  <si>
    <t>P0-02-112 - Эстакада к пожарному депо. Участок №2Колонны монолитные Км1-13 (1 шт)Армированные колонн Км1 (1 шт) ГНУТЫМИ стержнями диаметром до 12 мм</t>
  </si>
  <si>
    <t>P0-02-112 - Эстакада к пожарному депо. Участок №2Колонны монолитные Км1-13 (1 шт)Армированные колонн Км1 (1 шт) ПРЯМЫМИ стержнями диаметром 14 мм и более</t>
  </si>
  <si>
    <t>P0-02-112 - Эстакада к пожарному депо. Участок №2Колонны монолитные Км1-13 (1 шт)Установка анкерных болтов (2 шт) весом 15,49 кг/шт (перед бетонированием) диаметром от Ø20мм до Ø40мм Соединение элементов анкерных блоков сваркой.</t>
  </si>
  <si>
    <t>P0-02-112 - Эстакада к пожарному депо. Участок №2Колонны монолитные Км1-13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</si>
  <si>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P0-02-112 - Эстакада к пожарному депо. Участок №2Колонны монолитные Км1-13 (1 шт)Монтаж и демонтаж опалубки заводского изготовления колонн Км1 (1 шт)</t>
  </si>
  <si>
    <t xml:space="preserve">P0-02-112 - Эстакада к пожарному депо. Участок №2Колонны монолитные Км1-13 (1 шт)Бетонирование колонн Км1(1 шт) из бетона B25 W8 F200 </t>
  </si>
  <si>
    <t>P0-02-112 - Эстакада к пожарному депо. Участок №2Колонны монолитные Км1-13 (1 шт)Устройство подливки колонн Км1 толщиной 50мм
(1 шт)</t>
  </si>
  <si>
    <t>P0-02-112 - Эстакада к пожарному депо. Участок №2Колонны монолитные Км1-13 (1 шт)Монтаж закладных деталей ЗДИ3 колонн весом от 20,1-30,0кг.</t>
  </si>
  <si>
    <t>P0-02-112 - Эстакада к пожарному депо. Участок №2Колонны монолитные Км1-13 (1 шт)Монтаж закладных деталей ЗДИ2 колонн весом от 12,1-20,0кг.</t>
  </si>
  <si>
    <t>P0-02-112 - Эстакада к пожарному депо. Участок №2Колонны монолитные Км1-13 (1 шт)Монтаж закладных деталей ЗДИ6 колонн весом от 12,1-20,0кг.</t>
  </si>
  <si>
    <t>P0-02-112 - Эстакада к пожарному депо. Участок №2Колонны монолитные Км1-7 (1 шт)Армированные колонн Км1 (1 шт) ГНУТЫМИ стержнями диаметром до 12 мм</t>
  </si>
  <si>
    <t>P0-02-112 - Эстакада к пожарному депо. Участок №2Колонны монолитные Км1-7 (1 шт)Армированные колонн Км1 (1 шт) ПРЯМЫМИ стержнями диаметром 14 мм и более</t>
  </si>
  <si>
    <t>P0-02-112 - Эстакада к пожарному депо. Участок №2Колонны монолитные Км1-7 (1 шт)Установка анкерных болтов (2 шт) весом 15,49 кг/шт (перед бетонированием) диаметром от Ø20мм до Ø40мм Соединение элементов анкерных блоков сваркой.</t>
  </si>
  <si>
    <t>P0-02-112 - Эстакада к пожарному депо. Участок №2Колонны монолитные Км1-7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</si>
  <si>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P0-02-112 - Эстакада к пожарному депо. Участок №2Колонны монолитные Км1-7 (1 шт)Монтаж и демонтаж опалубки заводского изготовления колонн Км1 (1 шт)</t>
  </si>
  <si>
    <t xml:space="preserve">P0-02-112 - Эстакада к пожарному депо. Участок №2Колонны монолитные Км1-7 (1 шт)Бетонирование колонн Км1(1 шт) из бетона B25 W8 F200 </t>
  </si>
  <si>
    <t>P0-02-112 - Эстакада к пожарному депо. Участок №2Колонны монолитные Км1-7 (1 шт)Устройство подливки колонн Км1 толщиной 50мм
(1 шт)</t>
  </si>
  <si>
    <t>P0-02-112 - Эстакада к пожарному депо. Участок №2Колонны монолитные Км1-7 (1 шт)Монтаж закладных деталей ЗДИ1 колонн весом от 12,01-20,0 кг.</t>
  </si>
  <si>
    <t>P0-02-112 - Эстакада к пожарному депо. Участок №2Колонны монолитные Км1-7 (1 шт)Монтаж закладных деталей ЗДИ2 колонн весом от 12,1-20,0кг.</t>
  </si>
  <si>
    <t>P0-02-112 - Эстакада к пожарному депо. Участок №2Колонны монолитные Км1-7 (1 шт)Монтаж закладных деталей ЗДИ6 колонн весом от 12,1-20,0кг.</t>
  </si>
  <si>
    <t>P0-02-112 - Эстакада к пожарному депо. Участок №2Колонны монолитные Км1-11 (2 шт)Армированные колонн Км1 (2 шт) ГНУТЫМИ стержнями диаметром до 12 мм</t>
  </si>
  <si>
    <t>P0-02-112 - Эстакада к пожарному депо. Участок №2Колонны монолитные Км1-11 (2 шт)Армированные колонн Км1 (2 шт) ПРЯМЫМИ стержнями диаметром 14 мм и более</t>
  </si>
  <si>
    <t>P0-02-112 - Эстакада к пожарному депо. Участок №2Колонны монолитные Км1-11 (2 шт)Установка анкерных болтов (4 шт) весом 15,49 кг/шт (перед бетонированием) диаметром от Ø20мм до Ø40мм Соединение элементов анкерных блоков сваркой.</t>
  </si>
  <si>
    <t>P0-02-112 - Эстакада к пожарному депо. Участок №2Колонны монолитные Км1-11 (2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</si>
  <si>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P0-02-112 - Эстакада к пожарному депо. Участок №2Колонны монолитные Км1-11 (2 шт)Монтаж и демонтаж опалубки заводского изготовления колонн Км1 (2 шт)</t>
  </si>
  <si>
    <t xml:space="preserve">P0-02-112 - Эстакада к пожарному депо. Участок №2Колонны монолитные Км1-11 (2 шт)Бетонирование колонн Км1(2 шт) из бетона B25 W8 F200 </t>
  </si>
  <si>
    <t>P0-02-112 - Эстакада к пожарному депо. Участок №2Колонны монолитные Км1-11 (2 шт)Устройство подливки колонн Км1 толщиной 50мм
(2 шт)</t>
  </si>
  <si>
    <t>P0-02-112 - Эстакада к пожарному депо. Участок №2Колонны монолитные Км1-11 (2 шт)Монтаж закладных деталей ЗДИ3 колонн весом от 20,1-30,1кг.</t>
  </si>
  <si>
    <t>P0-02-112 - Эстакада к пожарному депо. Участок №2Колонны монолитные Км1-11 (2 шт)Монтаж закладных деталей ЗДИ2 колонн весом от 12,1-20,0кг.</t>
  </si>
  <si>
    <t>P0-02-112 - Эстакада к пожарному депо. Участок №2Колонны монолитные Км1-1 (1 шт)Армированные колонн Км1 (1 шт) ГНУТЫМИ стержнями диаметром до 12 мм</t>
  </si>
  <si>
    <t>P0-02-112 - Эстакада к пожарному депо. Участок №2Колонны монолитные Км1-1 (1 шт)Армированные колонн Км1 (1 шт) ПРЯМЫМИ стержнями диаметром 14 мм и более</t>
  </si>
  <si>
    <t>P0-02-112 - Эстакада к пожарному депо. Участок №2Колонны монолитные Км1-1 (1 шт)Установка анкерных болтов (2 шт) весом 15,49 кг/шт (перед бетонированием) диаметром от Ø20мм до Ø40мм Соединение элементов анкерных блоков сваркой.</t>
  </si>
  <si>
    <t>P0-02-112 - Эстакада к пожарному депо. Участок №2Колонны монолитные Км1-1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</si>
  <si>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P0-02-112 - Эстакада к пожарному депо. Участок №2Колонны монолитные Км1-1 (1 шт)Монтаж и демонтаж опалубки заводского изготовления колонн Км1 (1 шт)</t>
  </si>
  <si>
    <t xml:space="preserve">P0-02-112 - Эстакада к пожарному депо. Участок №2Колонны монолитные Км1-1 (1 шт)Бетонирование колонн Км1(1 шт) из бетона B25 W8 F200 </t>
  </si>
  <si>
    <t>P0-02-112 - Эстакада к пожарному депо. Участок №2Колонны монолитные Км1-1 (1 шт)Устройство подливки колонн Км1 толщиной 50мм
(1 шт)</t>
  </si>
  <si>
    <t>P0-02-112 - Эстакада к пожарному депо. Участок №2Колонны монолитные Км1-1 (1 шт)Монтаж закладных деталей ЗДИ1 колонн весом от 12,01-20,0 кг.</t>
  </si>
  <si>
    <t>P0-02-112 - Эстакада к пожарному депо. Участок №2Колонны монолитные Км1-1 (1 шт)Монтаж закладных деталей ЗДИ2 колонн весом от 12,1-20,0кг.</t>
  </si>
  <si>
    <t>P0-02-112 - Эстакада к пожарному депо. Участок №2Колонны монолитные Км1-1 (1 шт)Монтаж закладных деталей ЗДИ6 колонн весом от 12,1-20,0кг.</t>
  </si>
  <si>
    <t>P0-02-112 - Эстакада к пожарному депо. Участок №2Колонны монолитные Км1-1 (1 шт)Монтаж закладных деталей ЗДИ7 колонн весом от 12,01-20,0 кг.</t>
  </si>
  <si>
    <t>P0-02-112 - Эстакада к пожарному депо. Участок №2Колонны монолитные Км1-2 (1 шт)Армированные колонн Км1 (1 шт) ГНУТЫМИ стержнями диаметром до 12 мм</t>
  </si>
  <si>
    <t>P0-02-112 - Эстакада к пожарному депо. Участок №2Колонны монолитные Км1-2 (1 шт)Армированные колонн Км1 (1 шт) ПРЯМЫМИ стержнями диаметром 14 мм и более</t>
  </si>
  <si>
    <t>P0-02-112 - Эстакада к пожарному депо. Участок №2Колонны монолитные Км1-2 (1 шт)Установка анкерных болтов (2 шт) весом 15,49 кг/шт (перед бетонированием) диаметром от Ø20мм до Ø40мм Соединение элементов анкерных блоков сваркой.</t>
  </si>
  <si>
    <t>P0-02-112 - Эстакада к пожарному депо. Участок №2Колонны монолитные Км1-2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</si>
  <si>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P0-02-112 - Эстакада к пожарному депо. Участок №2Колонны монолитные Км1-2 (1 шт)Монтаж и демонтаж опалубки заводского изготовления колонн Км1 (1 шт)</t>
  </si>
  <si>
    <t xml:space="preserve">P0-02-112 - Эстакада к пожарному депо. Участок №2Колонны монолитные Км1-2 (1 шт)Бетонирование колонн Км1(1 шт) из бетона B25 W8 F200 </t>
  </si>
  <si>
    <t>P0-02-112 - Эстакада к пожарному депо. Участок №2Колонны монолитные Км1-2 (1 шт)Устройство подливки колонн Км1 толщиной 50мм
(1 шт)</t>
  </si>
  <si>
    <t>P0-02-112 - Эстакада к пожарному депо. Участок №2Колонны монолитные Км1-2 (1 шт)Монтаж закладных деталей ЗДИ1 колонн весом от 12,01-20,0 кг.</t>
  </si>
  <si>
    <t>P0-02-112 - Эстакада к пожарному депо. Участок №2Колонны монолитные Км1-2 (1 шт)Монтаж закладных деталей ЗДИ2 колонн весом от 12,1-20,0кг.</t>
  </si>
  <si>
    <t>P0-02-112 - Эстакада к пожарному депо. Участок №2Колонны монолитные Км1-2 (1 шт)Монтаж закладных деталей ЗДИ6 колонн весом от 12,1-20,0кг.</t>
  </si>
  <si>
    <t>P0-02-112 - Эстакада к пожарному депо. Участок №2Колонны монолитные Км1-2 (1 шт)Монтаж закладных деталей ЗДИ7 колонн весом от 12,01-20,0 кг.</t>
  </si>
  <si>
    <t>P0-02-112 - Эстакада к пожарному депо. Участок №2Рама монолитная Рм1-2 (1 шт), Рм1-4 (1 шт)Армированные Рм1-2 (1 шт), Рм1-4 (1 шт) ГНУТЫМИ стержнями диаметром до 12 мм- колонны</t>
  </si>
  <si>
    <t>P0-02-112 - Эстакада к пожарному депо. Участок №2Рама монолитная Рм1-2 (1 шт), Рм1-4 (1 шт)Армированные Рм1-2 (1 шт), Рм1-4 (1 шт) ГНУТЫМИ стержнями диаметром до 12 мм- балки</t>
  </si>
  <si>
    <t>P0-02-112 - Эстакада к пожарному депо. Участок №2Рама монолитная Рм1-2 (1 шт), Рм1-4 (1 шт)Армированные рамы Рм1-2 (1 шт), Рм1-4 (1 шт) ГНУТЫМИ стержнями диаметром 14 мм и более</t>
  </si>
  <si>
    <t>P0-02-112 - Эстакада к пожарному депо. Участок №2Рама монолитная Рм1-2 (1 шт), Рм1-4 (1 шт)Армированные рамы Рм1-2 (1 шт), Рм1-4 (1 шт) ПРЯМЫМИ стержнями диаметром 14 мм и более</t>
  </si>
  <si>
    <t>P0-02-112 - Эстакада к пожарному депо. Участок №2Рама монолитная Рм1-2 (1 шт), Рм1-4 (1 шт)Армированные колонн рамы Рм1-2 (1 шт), Рм1-4 (1 шт) ПРЯМЫМИ стержнями диаметром 14 мм и более</t>
  </si>
  <si>
    <t>P0-02-112 - Эстакада к пожарному депо. Участок №2Рама монолитная Рм1-2 (1 шт), Рм1-4 (1 шт)Установка анкерных болтов (8 шт) весом 15,49 кг/шт (перед бетонированием) диаметром от Ø20мм до Ø40мм Соединение элементов анкерных блоков сваркой.</t>
  </si>
  <si>
    <t>P0-02-112 - Эстакада к пожарному депо. Участок №2Рама монолитная Рм1-2 (1 шт), Рм1-4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</si>
  <si>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P0-02-112 - Эстакада к пожарному депо. Участок №2Рама монолитная Рм1-2 (1 шт), Рм1-4 (1 шт)Монтаж и демонтаж опалубки заводского изготовления - колонны  рамы Рм1-2 (1 шт), Рм1-4 (1 шт)</t>
  </si>
  <si>
    <t>P0-02-112 - Эстакада к пожарному депо. Участок №2Рама монолитная Рм1-2 (1 шт), Рм1-4 (1 шт)Монтаж и демонтаж опалубки заводского изготовления- балки   рамы Рм1-2 (1 шт), Рм1-4 (1 шт)</t>
  </si>
  <si>
    <t>P0-02-112 - Эстакада к пожарному депо. Участок №2Рама монолитная Рм1-2 (1 шт), Рм1-4 (1 шт)Бетонирование из бетона B25 W8 F200  колонны  рамы Рм1-2 (1 шт), Рм1-4 (1 шт)</t>
  </si>
  <si>
    <t>P0-02-112 - Эстакада к пожарному депо. Участок №2Рама монолитная Рм1-2 (1 шт), Рм1-4 (1 шт)Бетонирование из бетона B25 W8 F200  балки рамы Рм1-2 (1 шт), Рм1-4 (1 шт)</t>
  </si>
  <si>
    <t>P0-02-112 - Эстакада к пожарному депо. Участок №2Рама монолитная Рм1-2 (1 шт), Рм1-4 (1 шт)Устройство подливки рамы Рм1-2 (1 шт), Рм1-4 (1 шт) толщиной 50мм</t>
  </si>
  <si>
    <t>P0-02-112 - Эстакада к пожарному депо. Участок №2Рама монолитная Рм1-2 (1 шт), Рм1-4 (1 шт)Монтаж закладных деталей ЗДИ1 колонн рамы Рм1-2 (1 шт), Рм1-4 (1 шт) весом от 12,1-20,0кг</t>
  </si>
  <si>
    <t>P0-02-112 - Эстакада к пожарному депо. Участок №2Рама монолитная Рм1-2 (1 шт), Рм1-4 (1 шт)Монтаж закладных деталей ЗДИ2 колонн рамы Рм1-2 (1 шт), Рм1-4 (1 шт) весом от 12,1-20,0кг</t>
  </si>
  <si>
    <t>P0-02-112 - Эстакада к пожарному депо. Участок №2Рама монолитная Рм1-2 (1 шт), Рм1-4 (1 шт)Монтаж закладных деталей ЗДИ4 балок рамы Рм1  (0 шт)весом от
8,0-15,0кг.</t>
  </si>
  <si>
    <t>P0-02-112 - Эстакада к пожарному депо. Участок №2Рама монолитная Рм1-2 (1 шт), Рм1-4 (1 шт)Монтаж закладных деталей ЗДИ5 колонн рамы Рм1-2 (1 шт), Рм1-4 (1 шт) весом от 20,1-30,0кг</t>
  </si>
  <si>
    <t>P0-02-112 - Эстакада к пожарному депо. Участок №2Рама монолитная Рм1-1(1 шт), Рм1-3 (1 шт)Армированные рамы Рм1-1(1 шт), Рм1-3 (1 шт) ГНУТЫМИ стержнями диаметром до 12 мм- колонны</t>
  </si>
  <si>
    <t xml:space="preserve">P0-02-112 - Эстакада к пожарному депо. Участок №2Рама монолитная Рм1-1(1 шт), Рм1-3 (1 шт)Армированные рамы Рм1-1(1 шт), Рм1-3 (1 шт) ГНУТЫМИ стержнями диаметром до 12 мм- колонны - Изготовление </t>
  </si>
  <si>
    <t>P0-02-112 - Эстакада к пожарному депо. Участок №2Рама монолитная Рм1-1(1 шт), Рм1-3 (1 шт)Армированные рамы Рм1-1(1 шт), Рм1-3 (1 шт) ГНУТЫМИ стержнями диаметром до 12 мм- балки</t>
  </si>
  <si>
    <t xml:space="preserve">P0-02-112 - Эстакада к пожарному депо. Участок №2Рама монолитная Рм1-1(1 шт), Рм1-3 (1 шт)Армированные рамы Рм1-1(1 шт), Рм1-3 (1 шт) ГНУТЫМИ стержнями диаметром до 12 мм- балки  - Изготовление </t>
  </si>
  <si>
    <t xml:space="preserve">P0-02-112 - Эстакада к пожарному депо. Участок №2Рама монолитная Рм1-1(1 шт), Рм1-3 (1 шт)Армированные рамы Рм1-1(1 шт), Рм1-3 (1 шт) ГНУТЫМИ стержнями диаметром до 12 мм- балки - Изготовление </t>
  </si>
  <si>
    <t>P0-02-112 - Эстакада к пожарному депо. Участок №2Рама монолитная Рм1-1(1 шт), Рм1-3 (1 шт)Армированные рамы Рм1-1(1 шт), Рм1-3 (1 шт) ГНУТЫМИ стержнями диаметром 14 мм и более</t>
  </si>
  <si>
    <t xml:space="preserve">P0-02-112 - Эстакада к пожарному депо. Участок №2Рама монолитная Рм1-1(1 шт), Рм1-3 (1 шт)Армированные рамы Рм1-1(1 шт), Рм1-3 (1 шт) ГНУТЫМИ стержнями диаметром 14 мм и более - Изготовление </t>
  </si>
  <si>
    <t xml:space="preserve">P0-02-112 - Эстакада к пожарному депо. Участок №2Рама монолитная Рм1-1(1 шт), Рм1-3 (1 шт)Армированные рамы Рм1-1(1 шт), Рм1-3 (1 шт) ГНУТЫМИ стержнями диаметром 14 мм и более - Монтаж </t>
  </si>
  <si>
    <t>P0-02-112 - Эстакада к пожарному депо. Участок №2Рама монолитная Рм1-1(1 шт), Рм1-3 (1 шт)Армированные рамы Рм1-1(1 шт), Рм1-3 (1 шт) ПРЯМЫМИ стержнями диаметром 14 мм и более</t>
  </si>
  <si>
    <t>P0-02-112 - Эстакада к пожарному депо. Участок №2Рама монолитная Рм1-1(1 шт), Рм1-3 (1 шт)Армированные  колонн рамы Рм1-1(1 шт), Рм1-3 (1 шт) ПРЯМЫМИ стержнями диаметром 14 мм и более</t>
  </si>
  <si>
    <t>P0-02-112 - Эстакада к пожарному депо. Участок №2Рама монолитная Рм1-1(1 шт), Рм1-3 (1 шт)Установка анкерных болтов (8 шт) весом 15,49 кг/шт (перед бетонированием) диаметром от Ø20мм до Ø40мм Соединение элементов анкерных блоков сваркой.</t>
  </si>
  <si>
    <t>P0-02-112 - Эстакада к пожарному депо. Участок №2Рама монолитная Рм1-1(1 шт), Рм1-3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</si>
  <si>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P0-02-112 - Эстакада к пожарному депо. Участок №2Рама монолитная Рм1-1(1 шт), Рм1-3 (1 шт)Монтаж и демонтаж опалубки заводского изготовления - колонны рамы Рм1-1(1 шт), Рм1-3 (1 шт)</t>
  </si>
  <si>
    <t>P0-02-112 - Эстакада к пожарному депо. Участок №2Рама монолитная Рм1-1(1 шт), Рм1-3 (1 шт)Монтаж и демонтаж опалубки заводского изготовления- балки рамы Рм1-1(1 шт), Рм1-3 (1 шт)</t>
  </si>
  <si>
    <t>P0-02-112 - Эстакада к пожарному депо. Участок №2Рама монолитная Рм1-1(1 шт), Рм1-3 (1 шт)Бетонирование из бетона B25 W8 F200  колонны рамы Рм1-1(1 шт), Рм1-3 (1 шт)</t>
  </si>
  <si>
    <t>P0-02-112 - Эстакада к пожарному депо. Участок №2Рама монолитная Рм1-1(1 шт), Рм1-3 (1 шт)Бетонирование из бетона B25 W8 F200 балки рамы Рм1-1(1 шт), Рм1-3 (1 шт)</t>
  </si>
  <si>
    <t>P0-02-112 - Эстакада к пожарному депо. Участок №2Рама монолитная Рм1-1(1 шт), Рм1-3 (1 шт)Устройство подливки  колонн рамы Рм1-1(1 шт), Рм1-3 (1 шт) толщиной 50мм
(1 шт)</t>
  </si>
  <si>
    <t>P0-02-112 - Эстакада к пожарному депо. Участок №2Рама монолитная Рм1-1(1 шт), Рм1-3 (1 шт)Монтаж закладных деталей ЗДИ1 колонн рамы Рм1-1 (1 шт), Рм1-3 (1 шт) весом от 12,1-20,0кг</t>
  </si>
  <si>
    <t>P0-02-112 - Эстакада к пожарному депо. Участок №2Рама монолитная Рм1-1(1 шт), Рм1-3 (1 шт)Монтаж закладных деталей ЗДИ2 колонн рамы Рм1-1 (1 шт), Рм1-3 (1 шт) весом от 12,1-20кг</t>
  </si>
  <si>
    <t>P0-02-112 - Эстакада к пожарному депо. Участок №2Рама монолитная Рм1-1(1 шт), Рм1-3 (1 шт)Монтаж закладных деталей ЗДИ4 колонн рамы Рм1-1 (1 шт), Рм1-3 (1 шт) весом от 20,1-30,0кг</t>
  </si>
  <si>
    <t>P0-02-112 - Эстакада к пожарному депо. Участок №2Рама монолитная Рм1-1(1 шт), Рм1-3 (1 шт)Монтаж закладных деталей ЗДИ5 колонн рамы Рм1-1 (1 шт), Рм1-3 (1 шт) весом от 20,1-30,0кг</t>
  </si>
  <si>
    <t>P0-02-112 - Эстакада к пожарному депо. Участок №2Колонны монолитные Км2 (3 шт)Армированные колонн Км2 (3 шт) ГНУТЫМИ стержнями диаметром до 12 мм</t>
  </si>
  <si>
    <t>P0-02-112 - Эстакада к пожарному депо. Участок №2Колонны монолитные Км2 (3 шт)Армированные колонн Км2 (3 шт) ПРЯМЫМИ стержнями диаметром 14 мм и более</t>
  </si>
  <si>
    <t>P0-02-112 - Эстакада к пожарному депо. Участок №2Колонны монолитные Км2 (3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</si>
  <si>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P0-02-112 - Эстакада к пожарному депо. Участок №2Колонны монолитные Км2 (3 шт)Монтаж и демонтаж опалубки заводского изготовления колонн Км2 (3 шт)</t>
  </si>
  <si>
    <t xml:space="preserve">P0-02-112 - Эстакада к пожарному депо. Участок №2Колонны монолитные Км2 (3 шт)Бетонирование колонн Км2 (3 шт) из бетона B25 W8 F200 </t>
  </si>
  <si>
    <t>P0-02-112 - Эстакада к пожарному депо. Участок №2Колонны монолитные Км2 (3 шт)Монтаж закладных деталей ЗДИ3 колонн весом от 20,1-30,0 кг.</t>
  </si>
  <si>
    <t>P0-02-112 - Эстакада к пожарному депо. Участок №2Колонны монолитные Км2 (3 шт)Монтаж закладных деталей ЗДИ2 колонн весом от 12,01-20,0 кг.</t>
  </si>
  <si>
    <t>P0-02-113 - Эстакада к пожарному депо. Участок №3Ростверк монолитный РСм1 (12 шт)Устройство бетонной подготовки фундаментов РСм1 из бетона В10, толщ. 100 мм(12 шт.)</t>
  </si>
  <si>
    <t>P0-02-113 - Эстакада к пожарному депо. Участок №3Ростверк монолитный РСм1 (12 шт)Монтаж - демонтаж опалубки заводского изготовления для фундамента  РСм1 (12 шт) нижний ярус</t>
  </si>
  <si>
    <t>P0-02-113 - Эстакада к пожарному депо. Участок №3Ростверк монолитный РСм1 (12 шт)Армированные фундамента РСм1 (12 шт)  ПРЯМИМИ стержнями диаметром 14 мм и более</t>
  </si>
  <si>
    <t>P0-02-113 - Эстакада к пожарному депо. Участок №3Ростверк монолитный РСм1 (12 шт)Армированные фундамента РСм1 (12 шт) ГНУТЫЕ стержнями диаметром 14 мм и более</t>
  </si>
  <si>
    <t>P0-02-113 - Эстакада к пожарному депо. Участок №3Ростверк монолитный РСм1 (12 шт)Армированные фундамента  РСм1 (12 шт)  ГНУТЫЕ стержнями диаметром  до 12 мм</t>
  </si>
  <si>
    <t>P0-02-113 - Эстакада к пожарному депо. Участок №3Ростверк монолитный РСм1 (12 шт)Устройство фундамента  РСм1 (12 шт) из бетона  B25 W8 F200</t>
  </si>
  <si>
    <t>P0-02-113 - Эстакада к пожарному депо. Участок №3Ростверк монолитный РСм1 (12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</si>
  <si>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P0-02-113 - Эстакада к пожарному депо. Участок №3Ростверк монолитный РСм2 (4 шт)Устройство бетонной подготовки фундаментов РСм2 из бетона В10, толщ. 100 мм(4 шт.)</t>
  </si>
  <si>
    <t>P0-02-113 - Эстакада к пожарному депо. Участок №3Ростверк монолитный РСм2 (4 шт)Монтаж - демонтаж опалубки заводского изготовления для фундамента  РСм2 (4 шт) нижний ярус</t>
  </si>
  <si>
    <t>P0-02-113 - Эстакада к пожарному депо. Участок №3Ростверк монолитный РСм2 (4 шт)Армированные фундамента РСм2 (4 шт)  ПРЯМИМИ стержнями диаметром 14 мм и более</t>
  </si>
  <si>
    <t>P0-02-113 - Эстакада к пожарному депо. Участок №3Ростверк монолитный РСм2 (4 шт)Армированные фундамента РСм1 (4 шт)  ПРЯМИМИ стержнями диаметром 14 мм и более</t>
  </si>
  <si>
    <t>P0-02-113 - Эстакада к пожарному депо. Участок №3Ростверк монолитный РСм2 (4 шт)Армированные фундамента РСм2 (4 шт)  ГНУТЫЕ стержнями диаметром 14 мм и более</t>
  </si>
  <si>
    <t>P0-02-113 - Эстакада к пожарному депо. Участок №3Ростверк монолитный РСм2 (4 шт)Армированные фундамента  РСм2 (4 шт)  ГНУТЫЕ стержнями диаметром  до 12 мм</t>
  </si>
  <si>
    <t>P0-02-113 - Эстакада к пожарному депо. Участок №3Ростверк монолитный РСм2 (4 шт)Устройство фундамента  РСм2 (4 шт) из бетона  B25 W8 F200</t>
  </si>
  <si>
    <t>P0-02-113 - Эстакада к пожарному депо. Участок №3Ростверк монолитный РСм2 (4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</si>
  <si>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P0-02-113 - Эстакада к пожарному депо. Участок №3Фундамент монолитный Фм1 (9 шт)Устройство бетонной подготовки фундаментов Фм1 из бетона В10, толщ. 100 мм(9 шт.)</t>
  </si>
  <si>
    <t xml:space="preserve">P0-02-113 - Эстакада к пожарному депо. Участок №3Фундамент монолитный Фм1 (9 шт)Монтаж - демонтаж опалубки заводского изготовления для фундамента  Фм1 (9 шт) </t>
  </si>
  <si>
    <t>P0-02-113 - Эстакада к пожарному депо. Участок №3Фундамент монолитный Фм1 (9 шт)Армированные фундамента Фм1 (9 шт)  ПРЯМИМИ стержнями диаметром 14 мм и более</t>
  </si>
  <si>
    <t>P0-02-113 - Эстакада к пожарному депо. Участок №3Фундамент монолитный Фм1 (9 шт)Армированные фундамента Фм1(9 шт)  ПРЯМИМИ стержнями диаметром до 12 мм</t>
  </si>
  <si>
    <t>P0-02-113 - Эстакада к пожарному депо. Участок №3Фундамент монолитный Фм1 (9 шт)Армированные фундамента Фм1 (9 шт)  ПРЯМИМИ стержнями диаметром до 12 мм</t>
  </si>
  <si>
    <t>P0-02-113 - Эстакада к пожарному депо. Участок №3Фундамент монолитный Фм1 (9 шт)Армированные фундамента  Фм1 (9 шт)  ГНУТЫЕ стержнями диаметром  до 12 мм</t>
  </si>
  <si>
    <t xml:space="preserve">P0-02-113 - Эстакада к пожарному депо. Участок №3Фундамент монолитный Фм1 (9 шт)Установка анкерных болтов (перед бетонированием) диаметром от Ø20мм до Ø40мм </t>
  </si>
  <si>
    <t>P0-02-113 - Эстакада к пожарному депо. Участок №3Фундамент монолитный Фм1 (9 шт)Устройство фундамента  Фм1 (9 шт) из бетона  B25 W8 F200</t>
  </si>
  <si>
    <t>P0-02-113 - Эстакада к пожарному депо. Участок №3Фундамент монолитный Фм1 (9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</si>
  <si>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P0-02-113 - Эстакада к пожарному депо. Участок №3Фундамент монолитный Фм1 (9 шт)Устройство подливки фундаментов  Фм1 (9 шт) из бетона  B30 W8 F200</t>
  </si>
  <si>
    <t>P0-02-113 - Эстакада к пожарному депо. Участок №3Рамы монолитные Рм1-1, Рм1-2Армированные колонн рамы монолитных Рм1-1 ГНУТЫМИ стержнями диаметром до 12 мм</t>
  </si>
  <si>
    <t>P0-02-113 - Эстакада к пожарному депо. Участок №3Рамы монолитные Рм1-1, Рм1-2Армированные колонн рамы монолитных Рм1-2 ГНУТЫМИ стержнями диаметром до 12 мм</t>
  </si>
  <si>
    <t>P0-02-113 - Эстакада к пожарному депо. Участок №3Рамы монолитные Рм1-1, Рм1-2Армированные балок рамы монолитных Рм1-1 ГНУТЫМИ стержнями диаметром до 12 мм</t>
  </si>
  <si>
    <t>P0-02-113 - Эстакада к пожарному депо. Участок №3Рамы монолитные Рм1-1, Рм1-2Армированные балок рамы монолитных Рм1-2 ГНУТЫМИ стержнями диаметром до 12 мм</t>
  </si>
  <si>
    <t>P0-02-113 - Эстакада к пожарному депо. Участок №3Рамы монолитные Рм1-1, Рм1-2Армированные колонн рамы монолитных Рм1-1 РЯМЫМИ стержнями диаметром 14 мм и более</t>
  </si>
  <si>
    <t>P0-02-113 - Эстакада к пожарному депо. Участок №3Рамы монолитные Рм1-1, Рм1-2Армированные колонн рамы монолитных Рм1-2 РЯМЫМИ стержнями диаметром 14 мм и более</t>
  </si>
  <si>
    <t>P0-02-113 - Эстакада к пожарному депо. Участок №3Рамы монолитные Рм1-1, Рм1-2Армированные балок рамы монолитных Рм1-1 ГНУТЫМИ стержнями диаметром 14 мм и более</t>
  </si>
  <si>
    <t>P0-02-113 - Эстакада к пожарному депо. Участок №3Рамы монолитные Рм1-1, Рм1-2Армированные балок рамы монолитных Рм1-2 ГНУТЫМИ стержнями диаметром 14 мм и более</t>
  </si>
  <si>
    <t>P0-02-113 - Эстакада к пожарному депо. Участок №3Рамы монолитные Рм1-1, Рм1-2Установка анкерного блока АБ1(2 компл) бесом 17,26кг/шт (перед бетонированием) диаметром от Ø20мм до Ø40мм. Рама монолитных Рм1-1</t>
  </si>
  <si>
    <t>P0-02-113 - Эстакада к пожарному депо. Участок №3Рамы монолитные Рм1-1, Рм1-2Установка анкерного блока АБ1(2 компл) бесом 17,26кг/шт (перед бетонированием) диаметром от Ø20мм до Ø40мм. Рама монолитных Рм1-2</t>
  </si>
  <si>
    <t>P0-02-113 - Эстакада к пожарному депо. Участок №3Рамы монолитные Рм1-1, Рм1-2Монтаж закладных деталей колонн ЗДИ1 весом от
5,1-8,0кг.</t>
  </si>
  <si>
    <t>P0-02-113 - Эстакада к пожарному депо. Участок №3Рамы монолитные Рм1-1, Рм1-2Монтаж закладных деталей колонн ЗДИ2 весом от
12,1-20,0кг.</t>
  </si>
  <si>
    <t>P0-02-113 - Эстакада к пожарному депо. Участок №3Рамы монолитные Рм1-1, Рм1-2Монтаж закладных деталей колонн рамы монолитных Рм1-1  ЗДИ1(5шт) весом от 8,1-12,0кг</t>
  </si>
  <si>
    <t>P0-02-113 - Эстакада к пожарному депо. Участок №3Рамы монолитные Рм1-1, Рм1-2Монтаж закладных деталей колонн рамы монолитных Рм1-2  ЗДИ1(5шт) весом от 8,1-12,0кг</t>
  </si>
  <si>
    <t>P0-02-113 - Эстакада к пожарному депо. Участок №3Рамы монолитные Рм1-1, Рм1-2Монтаж закладных деталей балок рамы монолитных Рм1-1  ЗДИ1(1шт) весом от 8,1-12,0кг</t>
  </si>
  <si>
    <t>P0-02-113 - Эстакада к пожарному депо. Участок №3Рамы монолитные Рм1-1, Рм1-2Монтаж закладных деталей балок рамы монолитных Рм1-2  ЗДИ1(1шт) весом от 8,1-12,0кг</t>
  </si>
  <si>
    <t>P0-02-113 - Эстакада к пожарному депо. Участок №3Рамы монолитные Рм1-1, Рм1-2Монтаж закладных деталей колонн рамы монолитных Рм1-1 ЗДИ2(1шт) весом от 30,1-40,0кг</t>
  </si>
  <si>
    <t>P0-02-113 - Эстакада к пожарному депо. Участок №3Рамы монолитные Рм1-1, Рм1-2Монтаж закладных деталей колонн рамы монолитных Рм1-2 ЗДИ2(1шт) весом от 30,1-40,0кг</t>
  </si>
  <si>
    <t>P0-02-113 - Эстакада к пожарному депо. Участок №3Рамы монолитные Рм1-1, Рм1-2Монтаж закладных деталей колонн рамы монолитных Рм1-1 ЗДИ3(1шт) весом от 40,1-50,0кг</t>
  </si>
  <si>
    <t>P0-02-113 - Эстакада к пожарному депо. Участок №3Рамы монолитные Рм1-1, Рм1-2Монтаж закладных деталей колонн рамы монолитных Рм1-2 ЗДИ3(1шт) весом от 40,1-50,0кг</t>
  </si>
  <si>
    <t>P0-02-113 - Эстакада к пожарному депо. Участок №3Рамы монолитные Рм1-1, Рм1-2Монтаж закладных деталей балок рамы монолитных Рм1-1 ЗДИ4(2шт) весом от 20,1-30,0кг</t>
  </si>
  <si>
    <t>P0-02-113 - Эстакада к пожарному депо. Участок №3Рамы монолитные Рм1-1, Рм1-2Монтаж закладных деталей балок рамы монолитных Рм1-2 ЗДИ4(2шт) весом от 20,1-30,0кг</t>
  </si>
  <si>
    <t>P0-02-113 - Эстакада к пожарному депо. Участок №3Рамы монолитные Рм1-1, Рм1-2Монтаж закладных деталей балок рамы монолитных Рм1-1 ЗДИ5 (2шт) весом от 20,1-30,0кг</t>
  </si>
  <si>
    <t>P0-02-113 - Эстакада к пожарному депо. Участок №3Рамы монолитные Рм1-1, Рм1-2Монтаж закладных деталей балок рамы монолитных Рм1-2 ЗДИ5 (2шт) весом от 20,1-30,0кг</t>
  </si>
  <si>
    <t>P0-02-113 - Эстакада к пожарному депо. Участок №3Рамы монолитные Рм1-1, Рм1-2Обеспечение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перфоратором. Рама монолитных Рм1-1</t>
  </si>
  <si>
    <t>P0-02-113 - Эстакада к пожарному депо. Участок №3Рамы монолитные Рм1-1, Рм1-2Обеспечение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перфоратором. Рама монолитных Рм1-2</t>
  </si>
  <si>
    <t>P0-02-113 - Эстакада к пожарному депо. Участок №3Рамы монолитные Рм1-1, Рм1-2Монтаж и демонтаж опалубки заводского изготовления колонн рамы монолитных Рм1-1</t>
  </si>
  <si>
    <t>P0-02-113 - Эстакада к пожарному депо. Участок №3Рамы монолитные Рм1-1, Рм1-2Монтаж и демонтаж опалубки заводского изготовления колонн рамы монолитных Рм1-2</t>
  </si>
  <si>
    <t>P0-02-113 - Эстакада к пожарному депо. Участок №3Рамы монолитные Рм1-1, Рм1-2Монтаж и демонтаж опалубки заводского изготовления балок рамы монолитных Рм1-1</t>
  </si>
  <si>
    <t>P0-02-113 - Эстакада к пожарному депо. Участок №3Рамы монолитные Рм1-1, Рм1-2Монтаж и демонтаж опалубки заводского изготовления блок рамы монолитных Рм1-2</t>
  </si>
  <si>
    <t xml:space="preserve">P0-02-113 - Эстакада к пожарному депо. Участок №3Рамы монолитные Рм1-1, Рм1-2Бетонирование колонн рамы монолитных Рм1-1 из бетона B25 W8 F200 </t>
  </si>
  <si>
    <t xml:space="preserve">P0-02-113 - Эстакада к пожарному депо. Участок №3Рамы монолитные Рм1-1, Рм1-2Бетонирование колонн рамы монолитных Рм1-2 из бетона B25 W8 F200 </t>
  </si>
  <si>
    <t xml:space="preserve">P0-02-113 - Эстакада к пожарному депо. Участок №3Рамы монолитные Рм1-1, Рм1-2Бетонирование балок рамы монолитных Рм1-1 из бетона B25 W8 F200 </t>
  </si>
  <si>
    <t xml:space="preserve">P0-02-113 - Эстакада к пожарному депо. Участок №3Рамы монолитные Рм1-1, Рм1-2Бетонирование балок рамы монолитных Рм1-2 из бетона B25 W8 F200 </t>
  </si>
  <si>
    <t>P0-02-113 - Эстакада к пожарному депо. Участок №3Рамы монолитные Рм1-1, Рм1-2Устройство подливки рамы монолитных Рм1-1 толщиной 50мм (2 шт)</t>
  </si>
  <si>
    <t>P0-02-113 - Эстакада к пожарному депо. Участок №3Рамы монолитные Рм1-1, Рм1-2Устройство подливки рамы монолитных Рм1-2 толщиной 50мм (2 шт)</t>
  </si>
  <si>
    <t>P0-02-113 - Эстакада к пожарному депо. Участок №3Колонны монолитные Км1-1(1шт), Км1-2(1шт), Км1-3(1шт), Км1-4(3шт),Армированные колонн Км1-1(1шт) ГНУТЫМИ стержнями диаметром до 12 мм</t>
  </si>
  <si>
    <t>P0-02-113 - Эстакада к пожарному депо. Участок №3Колонны монолитные Км1-1(1шт), Км1-2(1шт), Км1-3(1шт), Км1-4(3шт),Армированные колонн Км1-2(1шт) ГНУТЫМИ стержнями диаметром до 12 мм</t>
  </si>
  <si>
    <t>P0-02-113 - Эстакада к пожарному депо. Участок №3Колонны монолитные Км1-1(1шт), Км1-2(1шт), Км1-3(1шт), Км1-4(3шт),Армированные колонн Км1-3(1шт) ГНУТЫМИ стержнями диаметром до 12 мм</t>
  </si>
  <si>
    <t>P0-02-113 - Эстакада к пожарному депо. Участок №3Колонны монолитные Км1-1(1шт), Км1-2(1шт), Км1-3(1шт), Км1-4(3шт),Армированные колонн Км1-4(3шт) ГНУТЫМИ стержнями диаметром до 12 мм</t>
  </si>
  <si>
    <t>P0-02-113 - Эстакада к пожарному депо. Участок №3Колонны монолитные Км1-1(1шт), Км1-2(1шт), Км1-3(1шт), Км1-4(3шт),Армированные колонн Км1-1(1шт) ПРЯМЫМИ стержнями диаметром 14 мм и более</t>
  </si>
  <si>
    <t>P0-02-113 - Эстакада к пожарному депо. Участок №3Колонны монолитные Км1-1(1шт), Км1-2(1шт), Км1-3(1шт), Км1-4(3шт),Армированные колонн Км1-2(1шт) ПРЯМЫМИ стержнями диаметром 14 мм и более</t>
  </si>
  <si>
    <t>P0-02-113 - Эстакада к пожарному депо. Участок №3Колонны монолитные Км1-1(1шт), Км1-2(1шт), Км1-3(1шт), Км1-4(3шт),Армированные колонн Км1-3(1шт) ПРЯМЫМИ стержнями диаметром 14 мм и более</t>
  </si>
  <si>
    <t>P0-02-113 - Эстакада к пожарному депо. Участок №3Колонны монолитные Км1-1(1шт), Км1-2(1шт), Км1-3(1шт), Км1-4(3шт),Армированные колонн Км1-4(3шт) ПРЯМЫМИ стержнями диаметром 14 мм и более</t>
  </si>
  <si>
    <t>P0-02-113 - Эстакада к пожарному депо. Участок №3Колонны монолитные Км1-1(1шт), Км1-2(1шт), Км1-3(1шт), Км1-4(3шт),Установка анкерного блока АБ1(1 компл) бесом 17,26кг/шт (перед бетонированием) диаметром от Ø20мм до Ø40мм. Колонн Км1-1 (1шт)</t>
  </si>
  <si>
    <t>P0-02-113 - Эстакада к пожарному депо. Участок №3Колонны монолитные Км1-1(1шт), Км1-2(1шт), Км1-3(1шт), Км1-4(3шт),Установка анкерного блока АБ1(1 компл) бесом 17,26кг/шт (перед бетонированием) диаметром от Ø20мм до Ø40мм. Колонн Км1-2 (1шт)</t>
  </si>
  <si>
    <t>P0-02-113 - Эстакада к пожарному депо. Участок №3Колонны монолитные Км1-1(1шт), Км1-2(1шт), Км1-3(1шт), Км1-4(3шт),Установка анкерного блока АБ1(1 компл) бесом 17,26кг/шт (перед бетонированием) диаметром от Ø20мм до Ø40мм. Колонн Км1-3 (1шт)</t>
  </si>
  <si>
    <t>P0-02-113 - Эстакада к пожарному депо. Участок №3Колонны монолитные Км1-1(1шт), Км1-2(1шт), Км1-3(1шт), Км1-4(3шт),Установка анкерного блока АБ1(3 компл) бесом 17,26кг/шт (перед бетонированием) диаметром от Ø20мм до Ø40мм. Колонн Км1-4 (3шт)</t>
  </si>
  <si>
    <t>P0-02-113 - Эстакада к пожарному депо. Участок №3Колонны монолитные Км1-1(1шт), Км1-2(1шт), Км1-3(1шт), Км1-4(3шт),Монтаж закладных деталей колонн ЗДИ1 весом от
5,1-8,0кг.</t>
  </si>
  <si>
    <t>P0-02-113 - Эстакада к пожарному депо. Участок №3Колонны монолитные Км1-1(1шт), Км1-2(1шт), Км1-3(1шт), Км1-4(3шт),Монтаж закладных деталей колонн ЗДИ2 весом от
12,1-20,0кг.</t>
  </si>
  <si>
    <t>P0-02-113 - Эстакада к пожарному депо. Участок №3Колонны монолитные Км1-1(1шт), Км1-2(1шт), Км1-3(1шт), Км1-4(3шт),Монтаж закладных деталей колонн Км1-1(1шт) ЗДИ1(2шт) весом от 8,1-12,0кг</t>
  </si>
  <si>
    <t>P0-02-113 - Эстакада к пожарному депо. Участок №3Колонны монолитные Км1-1(1шт), Км1-2(1шт), Км1-3(1шт), Км1-4(3шт),Монтаж закладных деталей колонн Км1-2(1шт) ЗДИ1(2шт) весом от 8,1-12,0кг</t>
  </si>
  <si>
    <t>P0-02-113 - Эстакада к пожарному депо. Участок №3Колонны монолитные Км1-1(1шт), Км1-2(1шт), Км1-3(1шт), Км1-4(3шт),Монтаж закладных деталей колонн Км1-3(1шт) ЗДИ1(3шт) весом от 8,1-12,0кг</t>
  </si>
  <si>
    <t>P0-02-113 - Эстакада к пожарному депо. Участок №3Колонны монолитные Км1-1(1шт), Км1-2(1шт), Км1-3(1шт), Км1-4(3шт),Монтаж закладных деталей колонн Км1-3(1шт) ЗДИ2(1шт) весом от 30,1-40,0кг</t>
  </si>
  <si>
    <t>P0-02-113 - Эстакада к пожарному депо. Участок №3Колонны монолитные Км1-1(1шт), Км1-2(1шт), Км1-3(1шт), Км1-4(3шт),Монтаж закладных деталей колонн Км1-4(3шт) ЗДИ1(3шт) весом от 8,1-12,0кг</t>
  </si>
  <si>
    <t>P0-02-113 - Эстакада к пожарному депо. Участок №3Колонны монолитные Км1-1(1шт), Км1-2(1шт), Км1-3(1шт), Км1-4(3шт),Монтаж закладных деталей колонн Км1-4(3шт) ЗДИ2(3шт) весом от 30,1-40,0кг</t>
  </si>
  <si>
    <t>P0-02-113 - Эстакада к пожарному депо. Участок №3Колонны монолитные Км1-1(1шт), Км1-2(1шт), Км1-3(1шт), Км1-4(3шт),Обеспечение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перфоратором. Км1-1(1шт)</t>
  </si>
  <si>
    <t>P0-02-113 - Эстакада к пожарному депо. Участок №3Колонны монолитные Км1-1(1шт), Км1-2(1шт), Км1-3(1шт), Км1-4(3шт),Обеспечение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перфоратором. Км1-2(1шт)</t>
  </si>
  <si>
    <t>P0-02-113 - Эстакада к пожарному депо. Участок №3Колонны монолитные Км1-1(1шт), Км1-2(1шт), Км1-3(1шт), Км1-4(3шт),Обеспечение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перфоратором. Км1-3(1шт)</t>
  </si>
  <si>
    <t>P0-02-113 - Эстакада к пожарному депо. Участок №3Колонны монолитные Км1-1(1шт), Км1-2(1шт), Км1-3(1шт), Км1-4(3шт),Обеспечение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перфоратором. Км1-4(3шт)</t>
  </si>
  <si>
    <t>P0-02-113 - Эстакада к пожарному депо. Участок №3Колонны монолитные Км1-1(1шт), Км1-2(1шт), Км1-3(1шт), Км1-4(3шт),Монтаж и демонтаж опалубки заводского изготовления колонн Км1-1(1шт)</t>
  </si>
  <si>
    <t>P0-02-113 - Эстакада к пожарному депо. Участок №3Колонны монолитные Км1-1(1шт), Км1-2(1шт), Км1-3(1шт), Км1-4(3шт),Монтаж и демонтаж опалубки заводского изготовления колонн Км1-2(1шт)</t>
  </si>
  <si>
    <t>P0-02-113 - Эстакада к пожарному депо. Участок №3Колонны монолитные Км1-1(1шт), Км1-2(1шт), Км1-3(1шт), Км1-4(3шт),Монтаж и демонтаж опалубки заводского изготовления колонн Км1-3(1шт)</t>
  </si>
  <si>
    <t>P0-02-113 - Эстакада к пожарному депо. Участок №3Колонны монолитные Км1-1(1шт), Км1-2(1шт), Км1-3(1шт), Км1-4(3шт),Монтаж и демонтаж опалубки заводского изготовления колонн Км1-4(3шт)</t>
  </si>
  <si>
    <t xml:space="preserve">P0-02-113 - Эстакада к пожарному депо. Участок №3Колонны монолитные Км1-1(1шт), Км1-2(1шт), Км1-3(1шт), Км1-4(3шт),Бетонирование колонн Км1-1(1шт) из бетона 
B25 W8 F200 </t>
  </si>
  <si>
    <t xml:space="preserve">P0-02-113 - Эстакада к пожарному депо. Участок №3Колонны монолитные Км1-1(1шт), Км1-2(1шт), Км1-3(1шт), Км1-4(3шт),Бетонирование колонн Км1-2(1шт) из бетона 
B25 W8 F200 </t>
  </si>
  <si>
    <t xml:space="preserve">P0-02-113 - Эстакада к пожарному депо. Участок №3Колонны монолитные Км1-1(1шт), Км1-2(1шт), Км1-3(1шт), Км1-4(3шт),Бетонирование колонн Км1-3(1шт) из бетона 
B25 W8 F200 </t>
  </si>
  <si>
    <t xml:space="preserve">P0-02-113 - Эстакада к пожарному депо. Участок №3Колонны монолитные Км1-1(1шт), Км1-2(1шт), Км1-3(1шт), Км1-4(3шт),Бетонирование колонн Км1-4(3шт) из бетона 
B25 W8 F200 </t>
  </si>
  <si>
    <t>P0-02-113 - Эстакада к пожарному депо. Участок №3Колонны монолитные Км1-1(1шт), Км1-2(1шт), Км1-3(1шт), Км1-4(3шт),Устройство подливки колонн Км1-1(1шт) 
толщиной 50мм (6 шт)</t>
  </si>
  <si>
    <t>P0-02-113 - Эстакада к пожарному депо. Участок №3Колонны монолитные Км1-1(1шт), Км1-2(1шт), Км1-3(1шт), Км1-4(3шт),Устройство подливки колонн Км1-2(1шт)
толщиной 50мм (6 шт)</t>
  </si>
  <si>
    <t>P0-02-113 - Эстакада к пожарному депо. Участок №3Колонны монолитные Км1-1(1шт), Км1-2(1шт), Км1-3(1шт), Км1-4(3шт),Устройство подливки колонн Км1-3(1шт)
толщиной 50мм (6 шт)</t>
  </si>
  <si>
    <t>P0-02-113 - Эстакада к пожарному депо. Участок №3Колонны монолитные Км1-1(1шт), Км1-2(1шт), Км1-3(1шт), Км1-4(3шт),Устройство подливки колонн Км1-4(3шт)
толщиной 50мм (6 шт)</t>
  </si>
  <si>
    <t>P0-02-113 - Эстакада к пожарному депо. Участок №3Колонны монолитные Км1-5 (2шт)Армированные колонн Км1-5 (2шт) ГНУТЫМИ стержнями диаметром до 12 мм</t>
  </si>
  <si>
    <t>P0-02-113 - Эстакада к пожарному депо. Участок №3Колонны монолитные Км1-5 (2шт)Армированные колонн Км1-5 (2шт) ПРЯМЫМИ стержнями диаметром 14 мм и более</t>
  </si>
  <si>
    <t>P0-02-113 - Эстакада к пожарному депо. Участок №3Колонны монолитные Км1-5 (2шт)Установка анкерного блока АБ1(1 компл) бесом 17,26кг/шт (перед бетонированием) диаметром от Ø20мм до Ø40мм. Колонн Км1-5 (2шт)</t>
  </si>
  <si>
    <t>P0-02-113 - Эстакада к пожарному депо. Участок №3Колонны монолитные Км1-5 (2шт)Монтаж закладных деталей колонн ЗДИ1 весом от
5,1-8,0кг.</t>
  </si>
  <si>
    <t>P0-02-113 - Эстакада к пожарному депо. Участок №3Колонны монолитные Км1-5 (2шт)Монтаж закладных деталей колонн ЗДИ2 весом от
12,1-20,0кг.</t>
  </si>
  <si>
    <t>P0-02-113 - Эстакада к пожарному депо. Участок №3Колонны монолитные Км1-5 (2шт)Монтаж закладных деталей колонн Км1-5(2шт) ЗДИ1(4шт) весом от 8,1-12,0кг</t>
  </si>
  <si>
    <t>P0-02-113 - Эстакада к пожарному депо. Участок №3Колонны монолитные Км1-5 (2шт)Монтаж закладных деталей колонн Км1-5(2шт) ЗДИ2(2шт) весом от 30,1-40,0кг</t>
  </si>
  <si>
    <t>P0-02-113 - Эстакада к пожарному депо. Участок №3Колонны монолитные Км1-5 (2шт)Обеспечение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</si>
  <si>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P0-02-113 - Эстакада к пожарному депо. Участок №3Колонны монолитные Км1-5 (2шт)Монтаж и демонтаж опалубки заводского изготовления колонн Км1-5(2 шт)</t>
  </si>
  <si>
    <t xml:space="preserve">P0-02-113 - Эстакада к пожарному депо. Участок №3Колонны монолитные Км1-5 (2шт)Бетонирование колонн Км1-5(2 шт) из бетона B25 W8 F200 </t>
  </si>
  <si>
    <t>P0-02-113 - Эстакада к пожарному депо. Участок №3Колонны монолитные Км1-5 (2шт)Устройство подливки колонн Км1-5 толщиной 50мм
(2шт)</t>
  </si>
  <si>
    <t>P0-02-113 - Эстакада к пожарному депо. Участок №3Рамы монолитные Рм2-1 и Рм2-2Армированные колонн рамы Рм2-1 ГНУТЫМИ стержнями диаметром до 12 мм</t>
  </si>
  <si>
    <t>P0-02-113 - Эстакада к пожарному депо. Участок №3Рамы монолитные Рм2-1 и Рм2-2Армированные колонн рамы Рм2-1 ПРЯМЫМИ стержнями диаметром 14 мм и более</t>
  </si>
  <si>
    <t>P0-02-113 - Эстакада к пожарному депо. Участок №3Рамы монолитные Рм2-1 и Рм2-2Армированные балки рамы Рм2-1 ГНУТЫМИ стержнями диаметром до 12 мм</t>
  </si>
  <si>
    <t>P0-02-113 - Эстакада к пожарному депо. Участок №3Рамы монолитные Рм2-1 и Рм2-2Армированные балки рамы Рм2-1 ГНУТЫМИ стержнями диаметром 14 мм и более</t>
  </si>
  <si>
    <t>P0-02-113 - Эстакада к пожарному депо. Участок №3Рамы монолитные Рм2-1 и Рм2-2Установка анкерного блока АБ1(2 компл) бесом 17,26кг/шт (перед бетонированием) диаметром от Ø20мм до Ø40мм. Рама Рм2-1</t>
  </si>
  <si>
    <t>P0-02-113 - Эстакада к пожарному депо. Участок №3Рамы монолитные Рм2-1 и Рм2-2Монтаж закладных деталей колонн ЗДИ1 весом от
5,1-8,0кг.</t>
  </si>
  <si>
    <t>P0-02-113 - Эстакада к пожарному депо. Участок №3Рамы монолитные Рм2-1 и Рм2-2Монтаж закладных деталей колонн ЗДИ3 весом от
5,1-8,0кг.</t>
  </si>
  <si>
    <t>P0-02-113 - Эстакада к пожарному депо. Участок №3Рамы монолитные Рм2-1 и Рм2-2Монтаж закладных деталей балок ЗДИ4 весом от
5,1-8,0кг.</t>
  </si>
  <si>
    <t>P0-02-113 - Эстакада к пожарному депо. Участок №3Рамы монолитные Рм2-1 и Рм2-2Монтаж закладных деталей балок ЗДИ5 весом от
20,1-30,0кг.</t>
  </si>
  <si>
    <t>P0-02-113 - Эстакада к пожарному депо. Участок №3Рамы монолитные Рм2-1 и Рм2-2Монтаж закладных деталей колоонн рамы монолитных Рм2-1  ЗДИ1(6шт) весом от 8,1-12,0кг</t>
  </si>
  <si>
    <t>P0-02-113 - Эстакада к пожарному депо. Участок №3Рамы монолитные Рм2-1 и Рм2-2Монтаж закладных деталей балок рамы монолитных Рм2-1 ЗДИ4(1шт) весом от 20,1-30,0кг</t>
  </si>
  <si>
    <t>P0-02-113 - Эстакада к пожарному депо. Участок №3Рамы монолитные Рм2-1 и Рм2-2Обеспечение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</si>
  <si>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P0-02-113 - Эстакада к пожарному депо. Участок №3Рамы монолитные Рм2-1 и Рм2-2Монтаж и демонтаж опалубки заводского изготовления колонн рамы Рм2-1(2 шт)</t>
  </si>
  <si>
    <t>P0-02-113 - Эстакада к пожарному депо. Участок №3Рамы монолитные Рм2-1 и Рм2-2Монтаж и демонтаж опалубки заводского изготовления балок рамы Рм2-1(1 шт)</t>
  </si>
  <si>
    <t xml:space="preserve">P0-02-113 - Эстакада к пожарному депо. Участок №3Рамы монолитные Рм2-1 и Рм2-2Бетонирование колонн рамы Рм2-1(2 шт) из бетона 
B25 W8 F200 </t>
  </si>
  <si>
    <t xml:space="preserve">P0-02-113 - Эстакада к пожарному депо. Участок №3Рамы монолитные Рм2-1 и Рм2-2Бетонирование балок рамы Рм2-1(1шт) из бетона 
B25 W8 F200 </t>
  </si>
  <si>
    <t>P0-02-113 - Эстакада к пожарному депо. Участок №3Рамы монолитные Рм2-1 и Рм2-2Устройство подливки колонн рамы Рм2-1 толщиной 50мм
(2шт)</t>
  </si>
  <si>
    <t>P0-02-113 - Эстакада к пожарному депо. Участок №3Рамы монолитные Рм2-2Армированные колонн рамы Рм2-2 ГНУТЫМИ стержнями диаметром до 12 мм</t>
  </si>
  <si>
    <t>P0-02-113 - Эстакада к пожарному депо. Участок №3Рамы монолитные Рм2-2Армированные колонн рамы Рм2-2 ПРЯМЫМИ стержнями диаметром 14 мм и более</t>
  </si>
  <si>
    <t>P0-02-113 - Эстакада к пожарному депо. Участок №3Рамы монолитные Рм2-2Армированные балки рамы Рм2-2 ГНУТЫМИ стержнями диаметром до 12 мм</t>
  </si>
  <si>
    <t>P0-02-113 - Эстакада к пожарному депо. Участок №3Рамы монолитные Рм2-2Армированные балки рамы Рм2-2 ГНУТЫМИ стержнями диаметром 14 мм и более</t>
  </si>
  <si>
    <t>P0-02-113 - Эстакада к пожарному депо. Участок №3Рамы монолитные Рм2-2Установка анкерного блока АБ1(2 компл) бесом 17,26кг/шт (перед бетонированием) диаметром от Ø20мм до Ø40мм. Рама Рм2-2</t>
  </si>
  <si>
    <t>P0-02-113 - Эстакада к пожарному депо. Участок №3Рамы монолитные Рм2-2Монтаж закладных деталей колонн ЗДИ1 весом от
5,1-8,0кг.</t>
  </si>
  <si>
    <t>P0-02-113 - Эстакада к пожарному депо. Участок №3Рамы монолитные Рм2-2Монтаж закладных деталей колонн ЗДИ3 весом от
5,1-8,0кг.</t>
  </si>
  <si>
    <t>P0-02-113 - Эстакада к пожарному депо. Участок №3Рамы монолитные Рм2-2Монтаж закладных деталей балок ЗДИ4 весом от
5,1-8,0кг.</t>
  </si>
  <si>
    <t>P0-02-113 - Эстакада к пожарному депо. Участок №3Рамы монолитные Рм2-2Монтаж закладных деталей балок ЗДИ5 весом от
20,1-30,0кг.</t>
  </si>
  <si>
    <t>P0-02-113 - Эстакада к пожарному депо. Участок №3Рамы монолитные Рм2-2Монтаж закладных деталей колоонн рамы монолитных Рм2-2  ЗДИ1(2шт) весом от 8,1-12,0кг</t>
  </si>
  <si>
    <t>P0-02-113 - Эстакада к пожарному депо. Участок №3Рамы монолитные Рм2-2Монтаж закладных деталей балок рамы монолитных Рм2-2 ЗДИ4(1шт) весом от 20,1-30,0кг</t>
  </si>
  <si>
    <t>P0-02-113 - Эстакада к пожарному депо. Участок №3Рамы монолитные Рм2-2Обеспечение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</si>
  <si>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P0-02-113 - Эстакада к пожарному депо. Участок №3Рамы монолитные Рм2-2Монтаж и демонтаж опалубки заводского изготовления колонн рамы Рм2-2(2 шт)</t>
  </si>
  <si>
    <t>P0-02-113 - Эстакада к пожарному депо. Участок №3Рамы монолитные Рм2-2Монтаж и демонтаж опалубки заводского изготовления балок рамы Рм2-2(шт)</t>
  </si>
  <si>
    <t xml:space="preserve">P0-02-113 - Эстакада к пожарному депо. Участок №3Рамы монолитные Рм2-2Бетонирование колонн рамы Рм2-2(2 шт) из бетона 
B25 W8 F200 </t>
  </si>
  <si>
    <t xml:space="preserve">P0-02-113 - Эстакада к пожарному депо. Участок №3Рамы монолитные Рм2-2Бетонирование балок рамы Рм2-2(1шт) из бетона 
B25 W8 F200 </t>
  </si>
  <si>
    <t>P0-02-113 - Эстакада к пожарному депо. Участок №3Рамы монолитные Рм2-2Устройство подливки колонн рамы Рм2-2 толщиной 50мм
(2шт)</t>
  </si>
  <si>
    <t>P0-02-111 - Эстакада к пожарному депо. Участок №1Ростверк монолитный РСм1 (10 шт)Устройство бетонной подготовки фундаментов РСм1 из бетона В10, толщ. 100 мм(10 шт.)</t>
  </si>
  <si>
    <t>P0-02-111 - Эстакада к пожарному депо. Участок №1Ростверк монолитный РСм1 (10 шт)Монтаж - демонтаж опалубки заводского изготовления для фундамента  РСм1 (10 шт) нижний ярус</t>
  </si>
  <si>
    <t>P0-02-111 - Эстакада к пожарному депо. Участок №1Ростверк монолитный РСм1 (10 шт)Армированные фундамента РСм1 (10 шт)  ПРЯМИМИ стержнями диаметром 14 мм и более</t>
  </si>
  <si>
    <t>P0-02-111 - Эстакада к пожарному депо. Участок №1Ростверк монолитный РСм1 (10 шт)Армированные фундамента РСм1 (10 шт)  ГНУТЫЕ стержнями диаметром 14 мм и более</t>
  </si>
  <si>
    <t>P0-02-111 - Эстакада к пожарному депо. Участок №1Ростверк монолитный РСм1 (10 шт)Армированные фундамента  РСм1 (10 шт)  ГНУТЫЕ стержнями диаметром  до 12 мм</t>
  </si>
  <si>
    <t>P0-02-111 - Эстакада к пожарному депо. Участок №1Ростверк монолитный РСм1 (10 шт)Устройство фундамента  РСм1 (10 шт) из бетона  B25 W8 F200</t>
  </si>
  <si>
    <t>P0-02-111 - Эстакада к пожарному депо. Участок №1Ростверк монолитный РСм1 (10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</si>
  <si>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P0-02-111 - Эстакада к пожарному депо. Участок №1Ростверк монолитный РСм2 (4 шт)Устройство бетонной подготовки фундаментов РСм2 из бетона В10, толщ. 100 мм(4шт.)</t>
  </si>
  <si>
    <t>P0-02-111 - Эстакада к пожарному депо. Участок №1Ростверк монолитный РСм2 (4 шт)Монтаж - демонтаж опалубки заводского изготовления для фундамента  РСм2 (4 шт) нижний ярус</t>
  </si>
  <si>
    <t>P0-02-111 - Эстакада к пожарному депо. Участок №1Ростверк монолитный РСм2 (4 шт)Армированные фундамента РСм2 (4 шт)  ПРЯМИМИ стержнями диаметром 14 мм и более</t>
  </si>
  <si>
    <t>P0-02-111 - Эстакада к пожарному депо. Участок №1Ростверк монолитный РСм2 (4 шт)Армированные фундамента РСм2 (4 шт)  ГНУТЫЕ стержнями диаметром 14 мм и более</t>
  </si>
  <si>
    <t>P0-02-111 - Эстакада к пожарному депо. Участок №1Ростверк монолитный РСм2 (4 шт)Армированные фундамента  РСм2 (4 шт)  ГНУТЫЕ стержнями диаметром  до 12 мм</t>
  </si>
  <si>
    <t>P0-02-111 - Эстакада к пожарному депо. Участок №1Ростверк монолитный РСм2 (4 шт)Устройство фундамента  РСм2 (4 шт) из бетона  B25 W8 F200</t>
  </si>
  <si>
    <t>P0-02-111 - Эстакада к пожарному депо. Участок №1Ростверк монолитный РСм2 (4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</si>
  <si>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P0-02-111 - Эстакада к пожарному депо. Участок №1Ростверк монолитный РСм3 (2 шт)Устройство бетонной подготовки фундаментов РСм3 из бетона В10, толщ. 100 мм(2 шт.)</t>
  </si>
  <si>
    <t>P0-02-111 - Эстакада к пожарному депо. Участок №1Ростверк монолитный РСм3 (2 шт)Монтаж - демонтаж опалубки заводского изготовления для фундамента  РСм3 (2 шт) нижний ярус</t>
  </si>
  <si>
    <t>P0-02-111 - Эстакада к пожарному депо. Участок №1Ростверк монолитный РСм3 (2 шт)Армированные фундамента РСм3 (2 шт)  ПРЯМИМИ стержнями диаметром 14 мм и более</t>
  </si>
  <si>
    <t>P0-02-111 - Эстакада к пожарному депо. Участок №1Ростверк монолитный РСм3 (2 шт)Армированные фундамента РСм3 (2 шт)   ГНУТЫЕ стержнями диаметром 14 мм и более</t>
  </si>
  <si>
    <t>P0-02-111 - Эстакада к пожарному депо. Участок №1Ростверк монолитный РСм3 (2 шт)Армированные фундамента РСм3 (2 шт)  ГНУТЫЕ стержнями диаметром  до 12 мм</t>
  </si>
  <si>
    <t xml:space="preserve">P0-02-111 - Эстакада к пожарному депо. Участок №1Ростверк монолитный РСм3 (2 шт)Изготовление и монтаж каркасов пространственных КР1 весом 4,41 кг/шт </t>
  </si>
  <si>
    <t>P0-02-111 - Эстакада к пожарному депо. Участок №1Ростверк монолитный РСм3 (2 шт)Устройство фундамента  РСм3 (2 шт) из бетона  B25 W8 F200</t>
  </si>
  <si>
    <t>P0-02-111 - Эстакада к пожарному депо. Участок №1Ростверк монолитный РСм3 (2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</si>
  <si>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P0-02-111 - Эстакада к пожарному депо. Участок №1Колонны монолитные Км1-1 (1 шт)Армированные колонн Км1 (1 шт) ГНУТЫМИ стержнями диаметром до 12 мм</t>
  </si>
  <si>
    <t>P0-02-111 - Эстакада к пожарному депо. Участок №1Колонны монолитные Км1-1 (1 шт)Армированные колонн Км1 (1 шт) ПРЯМЫМИ стержнями диаметром 14 мм и более</t>
  </si>
  <si>
    <t>P0-02-111 - Эстакада к пожарному депо. Участок №1Колонны монолитные Км1-1 (1 шт)Установка анкерных болтов М1 (10шт) весом 14,27кг/шт (перед бетонированием) диаметром от Ø20мм до Ø40мм с изготовлением и монтажом кондукторов из арматуры , листа и анкерных болтов. Соединение элементов анкерных блоков сваркой.</t>
  </si>
  <si>
    <t>P0-02-111 - Эстакада к пожарному депо. Участок №1Колонны монолитные Км1-1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</si>
  <si>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P0-02-111 - Эстакада к пожарному депо. Участок №1Колонны монолитные Км1-1 (1 шт)Монтаж и демонтаж опалубки заводского изготовления колонн Км1(1 шт)</t>
  </si>
  <si>
    <t xml:space="preserve">P0-02-111 - Эстакада к пожарному депо. Участок №1Колонны монолитные Км1-1 (1 шт)Бетонирование колонн Км1(1 шт) из бетона B25 W8 F200 </t>
  </si>
  <si>
    <t>P0-02-111 - Эстакада к пожарному депо. Участок №1Колонны монолитные Км1-1 (1 шт)Устройство подливки колонн Км1 толщиной 50мм
(1 шт)</t>
  </si>
  <si>
    <t>P0-02-111 - Эстакада к пожарному депо. Участок №1Колонны монолитные Км1-1 (1 шт)Монтаж закладных деталей ЗДИ1 колонн Км1-1  весом от 12,1-20,0кг</t>
  </si>
  <si>
    <t>P0-02-111 - Эстакада к пожарному депо. Участок №1Колонны монолитные Км1-1 (1 шт)Монтаж закладных деталей ЗДИ2 колонн Км1-1 весом от 30,1-40,0кг</t>
  </si>
  <si>
    <t>P0-02-111 - Эстакада к пожарному депо. Участок №1Колонны монолитные Км1-2 (1 шт)Армированные колонн Км1 (1 шт) ГНУТЫМИ стержнями диаметром до 12 мм</t>
  </si>
  <si>
    <t>P0-02-111 - Эстакада к пожарному депо. Участок №1Колонны монолитные Км1-2 (1 шт)Армированные колонн Км1 (1 шт) ПРЯМЫМИ стержнями диаметром 14 мм и более</t>
  </si>
  <si>
    <t>P0-02-111 - Эстакада к пожарному депо. Участок №1Колонны монолитные Км1-2 (1 шт)Установка анкерных болтов М1 (8шт) весом 14,71кг/шт (перед бетонированием) диаметром от Ø20мм до Ø40мм с изготовлением и монтажом кондукторов из арматуры , листа и анкерных болтов. Соединение элементов анкерных блоков сваркой.</t>
  </si>
  <si>
    <t>P0-02-111 - Эстакада к пожарному депо. Участок №1Колонны монолитные Км1-2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</si>
  <si>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P0-02-111 - Эстакада к пожарному депо. Участок №1Колонны монолитные Км1-2 (1 шт)Монтаж и демонтаж опалубки заводского изготовления колонн Км1(1 шт)</t>
  </si>
  <si>
    <t xml:space="preserve">P0-02-111 - Эстакада к пожарному депо. Участок №1Колонны монолитные Км1-2 (1 шт)Бетонирование колонн Км1(1 шт) из бетона B25 W8 F1200 </t>
  </si>
  <si>
    <t>P0-02-111 - Эстакада к пожарному депо. Участок №1Колонны монолитные Км1-2 (1 шт)Устройство подливки колонн Км1 толщиной 50мм
(1 шт)</t>
  </si>
  <si>
    <t>P0-02-111 - Эстакада к пожарному депо. Участок №1Колонны монолитные Км1-2 (1 шт)Монтаж закладных деталей ЗДИ1 колонн Км1-2  весом от 12,1-20,0кг</t>
  </si>
  <si>
    <t>P0-02-111 - Эстакада к пожарному депо. Участок №1Колонны монолитные Км1-2 (1 шт)Монтаж закладных деталей ЗДИ2 колонн Км1-2 весом от 30,1-40,0кг</t>
  </si>
  <si>
    <t>P0-02-111 - Эстакада к пожарному депо. Участок №1Колонны монолитные Км1-3 (2 шт)Армированные колонн Км1 (2шт) ГНУТЫМИ стержнями диаметром до 12 мм</t>
  </si>
  <si>
    <t>P0-02-111 - Эстакада к пожарному депо. Участок №1Колонны монолитные Км1-3 (2 шт)Армированные колонн Км1 (2 шт) ПРЯМЫМИ стержнями диаметром 14 мм и более</t>
  </si>
  <si>
    <t>P0-02-111 - Эстакада к пожарному депо. Участок №1Колонны монолитные Км1-3 (2 шт)Установка анкерных болтов М1 (2шт) весом 14,27кг/шт (перед бетонированием) диаметром от Ø20мм до Ø40мм с изготовлением и монтажом кондукторов из арматуры , листа и анкерных болтов. Соединение элементов анкерных блоков сваркой.</t>
  </si>
  <si>
    <t>P0-02-111 - Эстакада к пожарному депо. Участок №1Колонны монолитные Км1-3 (2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</si>
  <si>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P0-02-111 - Эстакада к пожарному депо. Участок №1Колонны монолитные Км1-3 (2 шт)Монтаж и демонтаж опалубки заводского изготовления колонн Км1 (2 шт)</t>
  </si>
  <si>
    <t xml:space="preserve">P0-02-111 - Эстакада к пожарному депо. Участок №1Колонны монолитные Км1-3 (2 шт)Бетонирование колонн Км1(2 шт) из бетона B25 W8 F200 </t>
  </si>
  <si>
    <t>P0-02-111 - Эстакада к пожарному депо. Участок №1Колонны монолитные Км1-3 (2 шт)Устройство подливки колонн Км1 толщиной 50мм
(2 шт)</t>
  </si>
  <si>
    <t>P0-02-111 - Эстакада к пожарному депо. Участок №1Колонны монолитные Км1-3 (2 шт)Монтаж закладных деталей ЗДИ1 колонн Км1-3  весом от 12,1-20,0кг</t>
  </si>
  <si>
    <t>P0-02-111 - Эстакада к пожарному депо. Участок №1Колонны монолитные Км1-3 (2 шт)Монтаж закладных деталей ЗДИ3 колонн Км1-3 весом от 50,1-70,0кг</t>
  </si>
  <si>
    <t>P0-02-111 - Эстакада к пожарному депо. Участок №1Колонны монолитные Км1-3 (2 шт)Монтаж закладных деталей ЗДИ6 колонн Км1-3  весом от 5,1-8,0кг.</t>
  </si>
  <si>
    <t>P0-02-111 - Эстакада к пожарному депо. Участок №1Колонны монолитные Км1-4 (2 шт)Армированные колонн Км1 (2 шт) ГНУТЫМИ стержнями диаметром до 12 мм</t>
  </si>
  <si>
    <t>P0-02-111 - Эстакада к пожарному депо. Участок №1Колонны монолитные Км1-4 (2 шт)Армированные колонн Км1 (2 шт) ПРЯМЫМИ стержнями диаметром 14 мм и более</t>
  </si>
  <si>
    <t>P0-02-111 - Эстакада к пожарному депо. Участок №1Колонны монолитные Км1-4 (2 шт)Установка анкерных болтов М1 (2шт) весом 14,71кг/шт (перед бетонированием) диаметром от Ø20мм до Ø40мм с изготовлением и монтажом кондукторов из арматуры , листа и анкерных болтов. Соединение элементов анкерных блоков сваркой.</t>
  </si>
  <si>
    <t>P0-02-111 - Эстакада к пожарному депо. Участок №1Колонны монолитные Км1-4 (2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</si>
  <si>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P0-02-111 - Эстакада к пожарному депо. Участок №1Колонны монолитные Км1-4 (2 шт)Монтаж и демонтаж опалубки заводского изготовления колонн Км1 (2 шт)</t>
  </si>
  <si>
    <t xml:space="preserve">P0-02-111 - Эстакада к пожарному депо. Участок №1Колонны монолитные Км1-4 (2 шт)Бетонирование колонн Км1(2 шт) из бетона B25 W8 F200 </t>
  </si>
  <si>
    <t>P0-02-111 - Эстакада к пожарному депо. Участок №1Колонны монолитные Км1-4 (2 шт)Устройство подливки колонн Км1 толщиной 50мм
(2 шт)</t>
  </si>
  <si>
    <t>P0-02-111 - Эстакада к пожарному депо. Участок №1Колонны монолитные Км1-4 (2 шт)Монтаж закладных деталей ЗДИ1 колонн Км1-4  весом от 12,1-20,0кг</t>
  </si>
  <si>
    <t>P0-02-111 - Эстакада к пожарному депо. Участок №1Колонны монолитные Км1-4 (2 шт)Монтаж закладных деталей ЗДИ3 колонн Км1-4 весом от 50,1-70,0кг</t>
  </si>
  <si>
    <t>P0-02-111 - Эстакада к пожарному депо. Участок №1Колонны монолитные Км1-4 (2 шт)Монтаж закладных деталей ЗДИ6 колонн Км1-4  весом от 5,1-8,0кг.</t>
  </si>
  <si>
    <t>P0-02-111 - Эстакада к пожарному депо. Участок №1Колонны монолитные Км2-1 (1 шт)Армированные колонн Км2(1 шт) ГНУТЫМИ стержнями диаметром до 12 мм</t>
  </si>
  <si>
    <t>P0-02-111 - Эстакада к пожарному депо. Участок №1Колонны монолитные Км2-1 (1 шт)Армированные колонн Км2(1 шт) ПРЯМЫМИ стержнями диаметром 14 мм и более</t>
  </si>
  <si>
    <t>P0-02-111 - Эстакада к пожарному депо. Участок №1Колонны монолитные Км2-1 (1 шт)Установка анкерных болтов М1 (2шт) весом 14,71кг/шт (перед бетонированием) диаметром от Ø20мм до Ø40мм с изготовлением и монтажом кондукторов из арматуры , листа и анкерных болтов. Соединение элементов анкерных блоков сваркой.</t>
  </si>
  <si>
    <t>P0-02-111 - Эстакада к пожарному депо. Участок №1Колонны монолитные Км2-1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</si>
  <si>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P0-02-111 - Эстакада к пожарному депо. Участок №1Колонны монолитные Км2-1 (1 шт)Монтаж и демонтаж опалубки заводского изготовления колонн Км2 (1 шт)</t>
  </si>
  <si>
    <t xml:space="preserve">P0-02-111 - Эстакада к пожарному депо. Участок №1Колонны монолитные Км2-1 (1 шт)Бетонирование колонн Км2(1 шт) из бетона B25 W8 F200 </t>
  </si>
  <si>
    <t>P0-02-111 - Эстакада к пожарному депо. Участок №1Колонны монолитные Км2-1 (1 шт)Устройство подливки колонн Км2 толщиной 50мм
(1 шт)</t>
  </si>
  <si>
    <t>P0-02-111 - Эстакада к пожарному депо. Участок №1Колонны монолитные Км2-1 (1 шт)Монтаж закладных деталей ЗДИ1 колонн Км2-1 весом от 12,1-20,0кг</t>
  </si>
  <si>
    <t>P0-02-111 - Эстакада к пожарному депо. Участок №1Колонны монолитные Км2-1 (1 шт)Монтаж закладных деталей ЗДИ3 колонн Км2-1 весом от 50,1-70,0кг</t>
  </si>
  <si>
    <t>P0-02-111 - Эстакада к пожарному депо. Участок №1Колонны монолитные Км2-1 (1 шт)Монтаж закладных деталей ЗДИ6 колонн Км2-1 весом от 12,1-20,0кг</t>
  </si>
  <si>
    <t>P0-02-111 - Эстакада к пожарному депо. Участок №1Колонны монолитные Км2-2 (1 шт)Армированные колонн Км2 (1 шт) ГНУТЫМИ стержнями диаметром до 12 мм</t>
  </si>
  <si>
    <t>P0-02-111 - Эстакада к пожарному депо. Участок №1Колонны монолитные Км2-2 (1 шт)Армированные колонн Км2 (1 шт) ПРЯМЫМИ стержнями диаметром 14 мм и более</t>
  </si>
  <si>
    <t>P0-02-111 - Эстакада к пожарному депо. Участок №1Колонны монолитные Км2-2 (1 шт)Установка анкерных болтов М1 (2шт) весом 14,71кг/шт (перед бетонированием) диаметром от Ø20мм до Ø40мм с изготовлением и монтажом кондукторов из арматуры , листа и анкерных болтов. Соединение элементов анкерных блоков сваркой.</t>
  </si>
  <si>
    <t>P0-02-111 - Эстакада к пожарному депо. Участок №1Колонны монолитные Км2-2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</si>
  <si>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P0-02-111 - Эстакада к пожарному депо. Участок №1Колонны монолитные Км2-2 (1 шт)Монтаж и демонтаж опалубки заводского изготовления колонн Км2(1 шт)</t>
  </si>
  <si>
    <t xml:space="preserve">P0-02-111 - Эстакада к пожарному депо. Участок №1Колонны монолитные Км2-2 (1 шт)Бетонирование колонн Км2(1 шт) из бетона B25 W8 F200 </t>
  </si>
  <si>
    <t>P0-02-111 - Эстакада к пожарному депо. Участок №1Колонны монолитные Км2-2 (1 шт)Устройство подливки колонн Км2 толщиной 50мм
(1 шт)</t>
  </si>
  <si>
    <t>P0-02-111 - Эстакада к пожарному депо. Участок №1Колонны монолитные Км2-2 (1 шт)Монтаж закладных деталей ЗДИ1 колонн Км2-2  весом от 12,1-20,0кг</t>
  </si>
  <si>
    <t>P0-02-111 - Эстакада к пожарному депо. Участок №1Колонны монолитные Км2-2 (1 шт)Монтаж закладных деталей ЗДИ3 колонн Км2-2 весом от 50,1-70,0кг</t>
  </si>
  <si>
    <t>P0-02-111 - Эстакада к пожарному депо. Участок №1Колонны монолитные Км2-2 (1 шт)Монтаж закладных деталей ЗДИ6 колонн Км2-2 весом от 12,1-20,0кг</t>
  </si>
  <si>
    <t>P0-02-111 - Эстакада к пожарному депо. Участок №1Колонны монолитные Км2-3 (1 шт)Армированные колонн Км2 (1 шт) ГНУТЫМИ стержнями диаметром до 12 мм</t>
  </si>
  <si>
    <t>P0-02-111 - Эстакада к пожарному депо. Участок №1Колонны монолитные Км2-3 (1 шт)Армированные колонн Км2 (1 шт) ПРЯМЫМИ стержнями диаметром 14 мм и более</t>
  </si>
  <si>
    <t>P0-02-111 - Эстакада к пожарному депо. Участок №1Колонны монолитные Км2-3 (1 шт)Установка анкерных болтов М1 (2шт) весом 14,71кг/шт (перед бетонированием) диаметром от Ø20мм до Ø40мм с изготовлением и монтажом кондукторов из арматуры , листа и анкерных болтов. Соединение элементов анкерных блоков сваркой.</t>
  </si>
  <si>
    <t>P0-02-111 - Эстакада к пожарному депо. Участок №1Колонны монолитные Км2-3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</si>
  <si>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P0-02-111 - Эстакада к пожарному депо. Участок №1Колонны монолитные Км2-3 (1 шт)Монтаж и демонтаж опалубки заводского изготовления колонн Км2 (1 шт)</t>
  </si>
  <si>
    <t xml:space="preserve">P0-02-111 - Эстакада к пожарному депо. Участок №1Колонны монолитные Км2-3 (1 шт)Бетонирование колонн Км2(1 шт) из бетона B25 W8 F200 </t>
  </si>
  <si>
    <t>P0-02-111 - Эстакада к пожарному депо. Участок №1Колонны монолитные Км2-3 (1 шт)Устройство подливки колонн Км2 толщиной 50мм
(1 шт)</t>
  </si>
  <si>
    <t>P0-02-111 - Эстакада к пожарному депо. Участок №1Колонны монолитные Км2-3 (1 шт)Монтаж закладных деталей ЗДИ1 колонн Км2-3 весом от 12,1-20,0кг</t>
  </si>
  <si>
    <t>P0-02-111 - Эстакада к пожарному депо. Участок №1Колонны монолитные Км2-3 (1 шт)Монтаж закладных деталей ЗДИ3 колонн Км2-3
 от 50,1-70,0кг</t>
  </si>
  <si>
    <t>P0-02-111 - Эстакада к пожарному депо. Участок №1Колонны монолитные Км2-3 (1 шт)Монтаж закладных деталей ЗДИ6 колонн Км1-7  весом от
5,1-8,0кг.</t>
  </si>
  <si>
    <t>P0-02-111 - Эстакада к пожарному депо. Участок №1Колонны монолитные Км2-4 (1 шт)Армированные колонн Км2 (1 шт) ГНУТЫМИ стержнями диаметром до 12 мм</t>
  </si>
  <si>
    <t>P0-02-111 - Эстакада к пожарному депо. Участок №1Колонны монолитные Км2-4 (1 шт)Армированные колонн Км2 (1 шт) ПРЯМЫМИ стержнями диаметром 14 мм и более</t>
  </si>
  <si>
    <t>P0-02-111 - Эстакада к пожарному депо. Участок №1Колонны монолитные Км2-4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</si>
  <si>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P0-02-111 - Эстакада к пожарному депо. Участок №1Колонны монолитные Км2-4 (1 шт)Монтаж и демонтаж опалубки заводского изготовления колонн Км2 (1 шт)</t>
  </si>
  <si>
    <t xml:space="preserve">P0-02-111 - Эстакада к пожарному депо. Участок №1Колонны монолитные Км2-4 (1 шт)Бетонирование колонн Км2(1 шт) из бетона B25 W8 F200 </t>
  </si>
  <si>
    <t>P0-02-111 - Эстакада к пожарному депо. Участок №1Колонны монолитные Км2-4 (1 шт)Устройство подливки колонн Км2 толщиной 50мм
(1 шт)</t>
  </si>
  <si>
    <t>P0-02-111 - Эстакада к пожарному депо. Участок №1Колонны монолитные Км2-4 (1 шт)Монтаж закладных деталей ЗДИ1 колонн Км2-4 весом от 12,1-20,0кг</t>
  </si>
  <si>
    <t>P0-02-111 - Эстакада к пожарному депо. Участок №1Колонны монолитные Км2-4 (1 шт)Монтаж закладных деталей ЗДИ3 колонн Км2-4 весом от 50,1-70,0кг</t>
  </si>
  <si>
    <t>P0-02-111 - Эстакада к пожарному депо. Участок №1Колонны монолитные Км3-1 (1 шт)Армированные колонн Км3 (1 шт) ГНУТЫМИ стержнями диаметром до 12 мм</t>
  </si>
  <si>
    <t>P0-02-111 - Эстакада к пожарному депо. Участок №1Колонны монолитные Км3-1 (1 шт)Армированные колонн Км3 (1 шт) ПРЯМЫМИ стержнями диаметром 14 мм и более</t>
  </si>
  <si>
    <t>P0-02-111 - Эстакада к пожарному депо. Участок №1Колонны монолитные Км3-1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</si>
  <si>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P0-02-111 - Эстакада к пожарному депо. Участок №1Колонны монолитные Км3-1 (1 шт)Монтаж и демонтаж опалубки заводского изготовления колонн Км3 (1 шт)</t>
  </si>
  <si>
    <t xml:space="preserve">P0-02-111 - Эстакада к пожарному депо. Участок №1Колонны монолитные Км3-1 (1 шт)Бетонирование колонн Км3(1 шт) из бетона B25 W8 F200 </t>
  </si>
  <si>
    <t>P0-02-111 - Эстакада к пожарному депо. Участок №1Колонны монолитные Км3-1 (1 шт)Устройство подливки колонн Км3 толщиной 50мм
(1 шт)</t>
  </si>
  <si>
    <t>P0-02-111 - Эстакада к пожарному депо. Участок №1Колонны монолитные Км3-1 (1 шт)Монтаж закладных деталей ЗДИ1 колонн Км3-1 весом от  12,1-20,0кг</t>
  </si>
  <si>
    <t>P0-02-111 - Эстакада к пожарному депо. Участок №1Колонны монолитные Км3-1 (1 шт)Монтаж закладных деталей ЗДИ3 колонн Км3-1 весом от 50,1-70,0кг</t>
  </si>
  <si>
    <t>P0-02-111 - Эстакада к пожарному депо. Участок №1Колонны монолитные Км3-2 (1 шт)Армированные колонн Км3 (1 шт) ГНУТЫМИ стержнями диаметром до 12 мм</t>
  </si>
  <si>
    <t>P0-02-111 - Эстакада к пожарному депо. Участок №1Колонны монолитные Км3-2 (1 шт)Армированные колонн Км3 (1 шт) ПРЯМЫМИ стержнями диаметром 14 мм и более</t>
  </si>
  <si>
    <t>P0-02-111 - Эстакада к пожарному депо. Участок №1Колонны монолитные Км3-2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</si>
  <si>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P0-02-111 - Эстакада к пожарному депо. Участок №1Колонны монолитные Км3-2 (1 шт)Монтаж и демонтаж опалубки заводского изготовления колонн Км3 (1 шт)</t>
  </si>
  <si>
    <t xml:space="preserve">P0-02-111 - Эстакада к пожарному депо. Участок №1Колонны монолитные Км3-2 (1 шт)Бетонирование колонн Км3(1 шт) из бетона B25 W8 F200 </t>
  </si>
  <si>
    <t>P0-02-111 - Эстакада к пожарному депо. Участок №1Колонны монолитные Км3-2 (1 шт)Устройство подливки колонн Км3 толщиной 50мм
(1 шт)</t>
  </si>
  <si>
    <t>P0-02-111 - Эстакада к пожарному депо. Участок №1Колонны монолитные Км3-2 (1 шт)Монтаж закладных деталей ЗДИ1 колонн Км3-2 весом от  12,1-20,0кг</t>
  </si>
  <si>
    <t>P0-02-111 - Эстакада к пожарному депо. Участок №1Колонны монолитные Км3-2 (1 шт)Монтаж закладных деталей ЗДИ3 колонн Км3-2 весом от 50,1-70,0кг</t>
  </si>
  <si>
    <t>P0-02-111 - Эстакада к пожарному депо. Участок №1Колонны монолитные Км3-3 (1 шт)Армированные колонн Км3 (1 шт) ГНУТЫМИ стержнями диаметром до 12 мм</t>
  </si>
  <si>
    <t>P0-02-111 - Эстакада к пожарному депо. Участок №1Колонны монолитные Км3-3 (1 шт)Армированные колонн Км3 (1 шт) ПРЯМЫМИ стержнями диаметром 14 мм и более</t>
  </si>
  <si>
    <t>P0-02-111 - Эстакада к пожарному депо. Участок №1Колонны монолитные Км3-3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</si>
  <si>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P0-02-111 - Эстакада к пожарному депо. Участок №1Колонны монолитные Км3-3 (1 шт)Монтаж и демонтаж опалубки заводского изготовления колонн Км3 (1 шт)</t>
  </si>
  <si>
    <t xml:space="preserve">P0-02-111 - Эстакада к пожарному депо. Участок №1Колонны монолитные Км3-3 (1 шт)Бетонирование колонн Км3(1 шт) из бетона B25 W8 F200 </t>
  </si>
  <si>
    <t>P0-02-111 - Эстакада к пожарному депо. Участок №1Колонны монолитные Км3-3 (1 шт)Устройство подливки колонн Км3 толщиной 50мм
(1 шт)</t>
  </si>
  <si>
    <t>P0-02-111 - Эстакада к пожарному депо. Участок №1Колонны монолитные Км3-3 (1 шт)Монтаж закладных деталей ЗДИ1 колонн Км3-3 весом от  12,1-20,0кг</t>
  </si>
  <si>
    <t>P0-02-111 - Эстакада к пожарному депо. Участок №1Колонны монолитные Км3-3 (1 шт)Монтаж закладных деталей ЗДИ3 колонн Км3-3 весом от 50,1-70,0кг</t>
  </si>
  <si>
    <t>P0-02-111 - Эстакада к пожарному депо. Участок №1Колонны монолитные Км3-3 (1 шт)Монтаж закладных деталей ЗДИ6 колонн Км3-3 весом от 12,1-20,0кг</t>
  </si>
  <si>
    <t>P0-02-111 - Эстакада к пожарному депо. Участок №1Колонны монолитные Км3-4 (1 шт)Армированные колонн Км3 (1 шт) ГНУТЫМИ стержнями диаметром до 12 мм</t>
  </si>
  <si>
    <t>P0-02-111 - Эстакада к пожарному депо. Участок №1Колонны монолитные Км3-4 (1 шт)Армированные колонн Км3 (1 шт) ПРЯМЫМИ стержнями диаметром 14 мм и более</t>
  </si>
  <si>
    <t>P0-02-111 - Эстакада к пожарному депо. Участок №1Колонны монолитные Км3-4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</si>
  <si>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P0-02-111 - Эстакада к пожарному депо. Участок №1Колонны монолитные Км3-4 (1 шт)Монтаж и демонтаж опалубки заводского изготовления колонн Км3 (1 шт)</t>
  </si>
  <si>
    <t xml:space="preserve">P0-02-111 - Эстакада к пожарному депо. Участок №1Колонны монолитные Км3-4 (1 шт)Бетонирование колонн Км3(1 шт) из бетона B25 W8 F200 </t>
  </si>
  <si>
    <t>P0-02-111 - Эстакада к пожарному депо. Участок №1Колонны монолитные Км3-4 (1 шт)Устройство подливки колонн Км3 толщиной 50мм
(1 шт)</t>
  </si>
  <si>
    <t>P0-02-111 - Эстакада к пожарному депо. Участок №1Колонны монолитные Км3-4 (1 шт)Монтаж закладных деталей ЗДИ1 колонн Км3-4 весом от  12,1-20,0кг</t>
  </si>
  <si>
    <t>P0-02-111 - Эстакада к пожарному депо. Участок №1Колонны монолитные Км3-4 (1 шт)Монтаж закладных деталей ЗДИ3 колонн Км3-4 весом от 50,1-70,0кг</t>
  </si>
  <si>
    <t>P0-02-111 - Эстакада к пожарному депо. Участок №1Колонны монолитные Км3-4 (1 шт)Монтаж закладных деталей ЗДИ6 колонн Км3-4 весом от 12,1-20,0кг</t>
  </si>
  <si>
    <t>P0-02-111 - Эстакада к пожарному депо. Участок №1Рама монолитная Рм1-1 (1 шт)Армированные колонн рамы Рм1-1 (2 шт) ГНУТЫМИ стержнями диаметром до 12 мм</t>
  </si>
  <si>
    <t>P0-02-111 - Эстакада к пожарному депо. Участок №1Рама монолитная Рм1-1 (1 шт)Армированные балки рамы Рм1-1 (1 шт) ГНУТЫМИ стержнями диаметром до 12 мм</t>
  </si>
  <si>
    <t>P0-02-111 - Эстакада к пожарному депо. Участок №1Рама монолитная Рм1-1 (1 шт)Армированные балки рамы Рм1-1 (1 шт) ГНУТЫМИ стержнями диаметром 14 мм и более</t>
  </si>
  <si>
    <t>P0-02-111 - Эстакада к пожарному депо. Участок №1Рама монолитная Рм1-1 (1 шт)Армированные балки рамы Рм1-1 (1 шт) ПРЯМЫМИ стержнями диаметром  до 12 мм</t>
  </si>
  <si>
    <t>P0-02-111 - Эстакада к пожарному депо. Участок №1Рама монолитная Рм1-1 (1 шт)Армированные колонн рамы Рм1-1 (2 шт) ПРЯМЫМИ стержнями диаметром 14 мм и более</t>
  </si>
  <si>
    <t>P0-02-111 - Эстакада к пожарному депо. Участок №1Рама монолитная Рм1-1 (1 шт)Установка анкерных болтов М1 (2шт) весом 14,27кг/шт (перед бетонированием) диаметром от Ø20мм до Ø40мм с изготовлением и монтажом кондукторов из арматуры , листа и анкерных болтов. Соединение элементов анкерных блоков сваркой.</t>
  </si>
  <si>
    <t>P0-02-111 - Эстакада к пожарному депо. Участок №1Рама монолитная Рм1-1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</si>
  <si>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P0-02-111 - Эстакада к пожарному депо. Участок №1Рама монолитная Рм1-1 (1 шт)Монтаж и демонтаж опалубки заводского изготовления колонн рамы Рм1-1(2 шт)</t>
  </si>
  <si>
    <t>P0-02-111 - Эстакада к пожарному депо. Участок №1Рама монолитная Рм1-1 (1 шт)Монтаж и демонтаж опалубки заводского изготовления балок рамы Рм1-1(1 шт)</t>
  </si>
  <si>
    <t xml:space="preserve">P0-02-111 - Эстакада к пожарному депо. Участок №1Рама монолитная Рм1-1 (1 шт)Бетонирование колонн рамы Рм1-1(2 шт) из бетона 
B25 W8 F200 </t>
  </si>
  <si>
    <t xml:space="preserve">P0-02-111 - Эстакада к пожарному депо. Участок №1Рама монолитная Рм1-1 (1 шт)Бетонирование балок рамы Рм1-1(1шт) из бетона 
B25 W8 F200 </t>
  </si>
  <si>
    <t>P0-02-111 - Эстакада к пожарному депо. Участок №1Рама монолитная Рм1-1 (1 шт)Устройство подливки колонн рамы Рм1-1(2 шт) толщиной 50мм
(1 шт)</t>
  </si>
  <si>
    <t>P0-02-111 - Эстакада к пожарному депо. Участок №1Рама монолитная Рм1-1 (1 шт)Монтаж закладных деталей ЗДИ1 колонн рамы Рм1-1 (2 шт) весом от  12,1-20,0кг</t>
  </si>
  <si>
    <t>P0-02-111 - Эстакада к пожарному депо. Участок №1Рама монолитная Рм1-1 (1 шт)Монтаж закладных деталей ЗДИ2 колонн рамы Рм1-1 (1 шт) весом от 30,1-40,0кг</t>
  </si>
  <si>
    <t>P0-02-111 - Эстакада к пожарному депо. Участок №1Рама монолитная Рм1-1 (1 шт)Монтаж закладных деталей ЗДИ4  балок рамы Рм1-1 (1 шт) весом от 20,1-30,0кг</t>
  </si>
  <si>
    <t>P0-02-111 - Эстакада к пожарному депо. Участок №1Рама монолитная Рм1-1 (1 шт)Монтаж закладных деталей ЗДИ5 балок рамы  Рм1-1 (1 шт)  весом от 20,1-30,0кг</t>
  </si>
  <si>
    <t>P0-02-111 - Эстакада к пожарному депо. Участок №1Рама монолитная Рм1-2 (1 шт)Армированные колонн рамы Рм1-2 (2 шт) ГНУТЫМИ стержнями диаметром до 12 мм</t>
  </si>
  <si>
    <t>P0-02-111 - Эстакада к пожарному депо. Участок №1Рама монолитная Рм1-2 (1 шт)Армированные балки рамы Рм1-2 (1 шт) ГНУТЫМИ стержнями диаметром до 12 мм</t>
  </si>
  <si>
    <t>P0-02-111 - Эстакада к пожарному депо. Участок №1Рама монолитная Рм1-2 (1 шт)Армированные балки рамы Рм1-2(1 шт) ГНУТЫМИ стержнями диаметром 14 мм и более</t>
  </si>
  <si>
    <t>P0-02-111 - Эстакада к пожарному депо. Участок №1Рама монолитная Рм1-2 (1 шт)Армированные балки рамы Рм1-2(1 шт) ПРЯМЫМИ стержнями диаметром   до 12 мм</t>
  </si>
  <si>
    <t>P0-02-111 - Эстакада к пожарному депо. Участок №1Рама монолитная Рм1-2 (1 шт)Армированные колонн рамы Рм1-2 (1 шт) ПРЯМЫМИ стержнями диаметром 14 мм и более</t>
  </si>
  <si>
    <t>P0-02-111 - Эстакада к пожарному депо. Участок №1Рама монолитная Рм1-2 (1 шт)Установка анкерных болтов М1 (2шт) весом 14,27кг/шт (перед бетонированием) диаметром от Ø20мм до Ø40мм с изготовлением и монтажом кондукторов из арматуры , листа и анкерных болтов. Соединение элементов анкерных блоков сваркой.</t>
  </si>
  <si>
    <t>P0-02-111 - Эстакада к пожарному депо. Участок №1Рама монолитная Рм1-2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</si>
  <si>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P0-02-111 - Эстакада к пожарному депо. Участок №1Рама монолитная Рм1-2 (1 шт)Монтаж и демонтаж опалубки заводского изготовления колонн рамы Рм1-2(2 шт)</t>
  </si>
  <si>
    <t>P0-02-111 - Эстакада к пожарному депо. Участок №1Рама монолитная Рм1-2 (1 шт)Монтаж и демонтаж опалубки заводского изготовления балок рамы Рм1-2(1 шт)</t>
  </si>
  <si>
    <t xml:space="preserve">P0-02-111 - Эстакада к пожарному депо. Участок №1Рама монолитная Рм1-2 (1 шт)Бетонирование колонн рамы Рм1-2(2 шт) из бетона 
B25 W8 F200 </t>
  </si>
  <si>
    <t xml:space="preserve">P0-02-111 - Эстакада к пожарному депо. Участок №1Рама монолитная Рм1-2 (1 шт)Бетонирование балок рамы Рм1-2(1шт) из бетона 
B25 W8 F200 </t>
  </si>
  <si>
    <t>P0-02-111 - Эстакада к пожарному депо. Участок №1Рама монолитная Рм1-2 (1 шт)Устройство подливки колонн рамы Рм1-2 (2 шт) толщиной 50мм
(1 шт)</t>
  </si>
  <si>
    <t>P0-02-111 - Эстакада к пожарному депо. Участок №1Рама монолитная Рм1-2 (1 шт)Монтаж закладных деталей ЗДИ1 колонн рамы Рм1-2 (2 шт) весом от 12,1-20,0кг</t>
  </si>
  <si>
    <t>P0-02-111 - Эстакада к пожарному депо. Участок №1Рама монолитная Рм1-2 (1 шт)Монтаж закладных деталей ЗДИ2 колонн рамы Рм1-2 (2 шт) весом от 30,1-40,0кг</t>
  </si>
  <si>
    <t>P0-02-111 - Эстакада к пожарному депо. Участок №1Рама монолитная Рм1-2 (1 шт)Монтаж закладных деталей ЗДИ4 балок рамы  Рм1-2 (1 шт) весом от 20,1-30,0кг</t>
  </si>
  <si>
    <t>P0-02-111 - Эстакада к пожарному депо. Участок №1Рама монолитная Рм1-2 (1 шт)Монтаж закладных деталей ЗДИ5 балок рамы  Рм1-2 (1 шт)  весом от 20,1-30,0кг</t>
  </si>
  <si>
    <t>P0-93-050 - Резервуар для хранения противопожарного запаса воды №1Фундаментная плита Пфм-1 (1 шт)Обратная засыпка песком средней крупности вручную</t>
  </si>
  <si>
    <t xml:space="preserve">P0-93-050 - Резервуар для хранения противопожарного запаса воды №1Фундаментная плита Пфм-1 (1 шт)Уплотнение вручную </t>
  </si>
  <si>
    <t>P0-93-050 - Резервуар для хранения противопожарного запаса воды №1Фундаментная плита Пфм-1 (1 шт)Укладка пеноплекса толщиной 100 мм под конструкциями фундаментов</t>
  </si>
  <si>
    <t>P0-93-050 - Резервуар для хранения противопожарного запаса воды №1Фундаментная плита Пфм-1 (1 шт)Устройство бетонной подготовки плиты из бетона В10, толщ. 100 мм(1шт.)</t>
  </si>
  <si>
    <t xml:space="preserve">P0-93-050 - Резервуар для хранения противопожарного запаса воды №1Фундаментная плита Пфм-1 (1 шт)Монтаж - демонтаж опалубки заводского изготовления фундаментной плиты Пфм1 между деформационных швов </t>
  </si>
  <si>
    <t xml:space="preserve">P0-93-050 - Резервуар для хранения противопожарного запаса воды №1Фундаментная плита Пфм-1 (1 шт)Монтаж - демонтаж опалубки заводского изготовления боковой части круглой фундаментной плиты Пм1 </t>
  </si>
  <si>
    <t>P0-93-050 - Резервуар для хранения противопожарного запаса воды №1Фундаментная плита Пфм-1 (1 шт)Армированные плиты ПФм-1(1шт.)  ПРЯМИМИ стержнями диаметром  до 12 мм</t>
  </si>
  <si>
    <t>P0-93-050 - Резервуар для хранения противопожарного запаса воды №1Фундаментная плита Пфм-1 (1 шт)Армированные плиты ПФм-1 (1шт.)  ПРЯМИМИ стержнями диаметром 14 мм и более</t>
  </si>
  <si>
    <t>P0-93-050 - Резервуар для хранения противопожарного запаса воды №1Фундаментная плита Пфм-1 (1 шт)Армированные плиты ПФм-1 (1шт.) ПРЯМИМИ стержнями диаметром 14 мм и более</t>
  </si>
  <si>
    <t>P0-93-050 - Резервуар для хранения противопожарного запаса воды №1Фундаментная плита Пфм-1 (1 шт)Армированные плиты ПФм-1 (1шт.) ГНУТЫЕ стержнями диаметром 14 мм и более</t>
  </si>
  <si>
    <t xml:space="preserve">P0-93-050 - Резервуар для хранения противопожарного запаса воды №1Фундаментная плита Пфм-1 (1 шт)Монтаж каркасов  пространственных КП1  весом 14,77 кг/шт </t>
  </si>
  <si>
    <t>P0-93-050 - Резервуар для хранения противопожарного запаса воды №1Фундаментная плита Пфм-1 (1 шт)Устройство  монолитные плиты ПФм-1 из бетона  B25 W8 F200</t>
  </si>
  <si>
    <t>P0-93-050 - Резервуар для хранения противопожарного запаса воды №1Фундаментная плита Пфм-1 (1 шт)Укладка деформационных швов между фундаментными плитами, шириной 50 мм</t>
  </si>
  <si>
    <t>P0-93-050 - Резервуар для хранения противопожарного запаса воды №1Фундаментная плита Пфм-1 (1 шт)Устройство отмостки из асфальтобетона толщиной не менее 100мм</t>
  </si>
  <si>
    <t>P0-94-010 - Мобильные установки получения азота и воздухаРостверк монолитный РСм1 (12 шт)Устройство бетонной подготовки фундаментов РСм1 из бетона В10, толщ. 100 мм(12 шт.)</t>
  </si>
  <si>
    <t>P0-94-010 - Мобильные установки получения азота и воздухаРостверк монолитный РСм1 (12 шт)Монтаж - демонтаж опалубки заводского изготовления для фундамента  РСм1 (12 шт) нижний ярус</t>
  </si>
  <si>
    <t>P0-94-010 - Мобильные установки получения азота и воздухаРостверк монолитный РСм1 (12 шт)Монтаж - демонтаж опалубки заводского изготовления для фундамента  РСм1 (12 шт)верхний ярус</t>
  </si>
  <si>
    <t>P0-94-010 - Мобильные установки получения азота и воздухаРостверк монолитный РСм1 (12 шт)Армированные фундамента РСм1 (12 шт)  ПРЯМИМИ стержнями диаметром 14 мм и более</t>
  </si>
  <si>
    <t>P0-94-010 - Мобильные установки получения азота и воздухаРостверк монолитный РСм1 (12 шт)Армированные фундамента РСм1 (12 шт)  ГНУТЫЕ стержнями диаметром 14 мм и более</t>
  </si>
  <si>
    <t>P0-94-010 - Мобильные установки получения азота и воздухаРостверк монолитный РСм1 (12 шт)Армированные фундамента  РСм1 (12 шт)  ГНУТЫЕ стержнями диаметром  до 12 мм</t>
  </si>
  <si>
    <t>P0-94-010 - Мобильные установки получения азота и воздухаРостверк монолитный РСм1 (12 шт)Устройство фундамента  РСм1 (12 шт) из бетона  B25 W8 F200</t>
  </si>
  <si>
    <t>P0-94-010 - Мобильные установки получения азота и воздухаРостверк монолитный РСм1 (12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</si>
  <si>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P0-94-010 - Мобильные установки получения азота и воздухаРостверк монолитный РСм1 (12 шт)Обратная засыпка внутри конструкции ростверка РСм1  песком, вручную</t>
  </si>
  <si>
    <t>P0-94-010 - Мобильные установки получения азота и воздухаРостверк монолитный РСм1 (12 шт)Обратная засыпка внутри конструкции ростверка РСм1 щебнем, вручную</t>
  </si>
  <si>
    <t>P0-94-010 - Мобильные установки получения азота и воздухаРостверк монолитный РСм1 (12 шт)Устройство асфальтобетона внутри ростверков РСм1 (12 шт)  по слою щебна</t>
  </si>
  <si>
    <t xml:space="preserve">P0-94-010 - Мобильные установки получения азота и воздухаРостверк монолитный РСм1 (12 шт)Устройство подливки ростверков РСм1 (12 шт) толщиной 50мм
</t>
  </si>
  <si>
    <t>P0-94-010 - Мобильные установки получения азота и воздухаРостверк монолитный РСм1 (12 шт)Монтаж анкерной группы АГ1 ростверка РСм1</t>
  </si>
  <si>
    <t>P0-96-010 - Насосная станция хозяйственно-питьевого водоснабжения с установкой УФ обеззараживания водыФундаментная плита Пфм1 (1 шт)Обратная засыпка песком средней крупности вручную</t>
  </si>
  <si>
    <t xml:space="preserve">P0-96-010 - Насосная станция хозяйственно-питьевого водоснабжения с установкой УФ обеззараживания водыФундаментная плита Пфм1 (1 шт)Уплотнение вручную </t>
  </si>
  <si>
    <t>P0-96-010 - Насосная станция хозяйственно-питьевого водоснабжения с установкой УФ обеззараживания водыФундаментная плита Пфм1 (1 шт)Укладка пеноплекса толщиной 100 мм под конструкциями фундаментов</t>
  </si>
  <si>
    <t>P0-96-010 - Насосная станция хозяйственно-питьевого водоснабжения с установкой УФ обеззараживания водыФундаментная плита Пфм1 (1 шт)Устройство бетонной подготовки плиты из бетона В10, толщ. 100 мм(1шт.)</t>
  </si>
  <si>
    <t xml:space="preserve">P0-96-010 - Насосная станция хозяйственно-питьевого водоснабжения с установкой УФ обеззараживания водыФундаментная плита Пфм1 (1 шт)Монтаж - демонтаж опалубки заводского изготовления фундаментной плиты Пфм1 между деформационных швов </t>
  </si>
  <si>
    <t xml:space="preserve">P0-96-010 - Насосная станция хозяйственно-питьевого водоснабжения с установкой УФ обеззараживания водыФундаментная плита Пфм1 (1 шт)Монтаж - демонтаж опалубки заводского изготовления боковой части отмостки Пм1 </t>
  </si>
  <si>
    <t>P0-96-010 - Насосная станция хозяйственно-питьевого водоснабжения с установкой УФ обеззараживания водыФундаментная плита Пфм1 (1 шт)Армированные плиты ПФм1(1шт.)  ГНУТЫЕ стержнями диаметром  до 12 мм</t>
  </si>
  <si>
    <t>P0-96-010 - Насосная станция хозяйственно-питьевого водоснабжения с установкой УФ обеззараживания водыФундаментная плита Пфм1 (1 шт)Армированные плиты ПФм1(1шт.)  ПРЯМИМИ стержнями диаметром  до 12 мм</t>
  </si>
  <si>
    <t>P0-96-010 - Насосная станция хозяйственно-питьевого водоснабжения с установкой УФ обеззараживания водыФундаментная плита Пфм1 (1 шт)Монтаж закладных деталей ЗДИ1 плиты ПФм1(1шт.)  весом от
5,1-8,0кг.</t>
  </si>
  <si>
    <t>P0-96-010 - Насосная станция хозяйственно-питьевого водоснабжения с установкой УФ обеззараживания водыФундаментная плита Пфм1 (1 шт)Устройство  монолитные плиты ПФм1 из бетона  B25 W8 F200</t>
  </si>
  <si>
    <t>P0-96-010 - Насосная станция хозяйственно-питьевого водоснабжения с установкой УФ обеззараживания водыФундаментная плита Пфм1 (1 шт)Укладка пенополистирола для деформационных швов между фундаментными плитами, шириной 20 мм</t>
  </si>
  <si>
    <t>P0-96-010 - Насосная станция хозяйственно-питьевого водоснабжения с установкой УФ обеззараживания водыФундаментная плита Пфм1 (1 шт)Устройство деформационного изоляционного шва между  фундаментными плитами, шириной 20 мм, с заполнением герметиком</t>
  </si>
  <si>
    <t>P0-96-010 - Насосная станция хозяйственно-питьевого водоснабжения с установкой УФ обеззараживания водыФундаментная плита Пфм1 (1 шт)Устройство отмостки из из бетона  B20 W8 F200 толщиной от 120 до 150 мм</t>
  </si>
  <si>
    <t>P0-96-020 - Резервуары для хранения хозяйственно-питьевой воды №1Фундаментная плита Пфм1 (1 шт)Обратная засыпка песком средней крупности вручную</t>
  </si>
  <si>
    <t xml:space="preserve">P0-96-020 - Резервуары для хранения хозяйственно-питьевой воды №1Фундаментная плита Пфм1 (1 шт)Уплотнение вручную </t>
  </si>
  <si>
    <t>P0-96-020 - Резервуары для хранения хозяйственно-питьевой воды №1Фундаментная плита Пфм1 (1 шт)Укладка пеноплекса толщиной 100 мм под конструкциями фундаментов</t>
  </si>
  <si>
    <t>P0-96-020 - Резервуары для хранения хозяйственно-питьевой воды №1Фундаментная плита Пфм1 (1 шт)Устройство бетонной подготовки плиты из бетона В10, толщ. 100 мм(1шт.)</t>
  </si>
  <si>
    <t xml:space="preserve">P0-96-020 - Резервуары для хранения хозяйственно-питьевой воды №1Фундаментная плита Пфм1 (1 шт)Монтаж - демонтаж опалубки заводского изготовления боковой части круглой фундаментной плиты Пм1 </t>
  </si>
  <si>
    <t>P0-96-020 - Резервуары для хранения хозяйственно-питьевой воды №1Фундаментная плита Пфм1 (1 шт)Армированные плиты ПФм-1(1шт.)  ПРЯМИМИ стержнями диаметром  до 12 мм</t>
  </si>
  <si>
    <t>P0-96-020 - Резервуары для хранения хозяйственно-питьевой воды №1Фундаментная плита Пфм1 (1 шт)Армированные плиты ПФм-1 (1шт.) ГНУТЫЕ стержнями диаметром до 12 мм</t>
  </si>
  <si>
    <t>P0-96-020 - Резервуары для хранения хозяйственно-питьевой воды №1Фундаментная плита Пфм1 (1 шт)Устройство  монолитные плиты ПФм-1 из бетона  B25 W8 F200</t>
  </si>
  <si>
    <t>P0-96-020 - Резервуары для хранения хозяйственно-питьевой воды №1Фундаментная плита Пфм1 (1 шт)Устройство отмостки из асфальтобетона толщиной не менее 100мм</t>
  </si>
  <si>
    <t>P0-96-030 - Резервуары для хранения хозяйственно-питьевой воды №2Фундаментная плита Пфм1 (1 шт)Обратная засыпка песком средней крупности вручную</t>
  </si>
  <si>
    <t xml:space="preserve">P0-96-030 - Резервуары для хранения хозяйственно-питьевой воды №2Фундаментная плита Пфм1 (1 шт)Уплотнение вручную </t>
  </si>
  <si>
    <t>P0-96-030 - Резервуары для хранения хозяйственно-питьевой воды №2Фундаментная плита Пфм1 (1 шт)Укладка пеноплекса толщиной 100 мм под конструкциями фундаментов</t>
  </si>
  <si>
    <t>P0-96-030 - Резервуары для хранения хозяйственно-питьевой воды №2Фундаментная плита Пфм1 (1 шт)Устройство бетонной подготовки плиты из бетона В10, толщ. 100 мм(1шт.)</t>
  </si>
  <si>
    <t xml:space="preserve">P0-96-030 - Резервуары для хранения хозяйственно-питьевой воды №2Фундаментная плита Пфм1 (1 шт)Монтаж - демонтаж опалубки заводского изготовления боковой части круглой фундаментной плиты Пм1 </t>
  </si>
  <si>
    <t>P0-96-030 - Резервуары для хранения хозяйственно-питьевой воды №2Фундаментная плита Пфм1 (1 шт)Армированные плиты ПФм-1(1шт.)  ПРЯМИМИ стержнями диаметром  до 12 мм</t>
  </si>
  <si>
    <t>P0-96-030 - Резервуары для хранения хозяйственно-питьевой воды №2Фундаментная плита Пфм1 (1 шт)Армированные плиты ПФм-1 (1шт.) ГНУТЫЕ стержнями диаметром до 12 мм</t>
  </si>
  <si>
    <t>P0-96-030 - Резервуары для хранения хозяйственно-питьевой воды №2Фундаментная плита Пфм1 (1 шт)Устройство  монолитные плиты ПФм-1 из бетона  B25 W8 F200</t>
  </si>
  <si>
    <t>P0-96-030 - Резервуары для хранения хозяйственно-питьевой воды №2Фундаментная плита Пфм1 (1 шт)Устройство отмостки из асфальтобетона толщиной не менее 100мм</t>
  </si>
  <si>
    <t>P0-97-010 - Резервуар для сбора производственно-дождевых стоков с КНС №1Фундаментная плита Пфм1 (1 шт)Устройство геополотна, плотностью не менее 300г/м2</t>
  </si>
  <si>
    <t>P0-97-010 - Резервуар для сбора производственно-дождевых стоков с КНС №1Фундаментная плита Пфм1 (1 шт)Устройство основания под фундаментами из щебня механизированным способом</t>
  </si>
  <si>
    <t>P0-97-010 - Резервуар для сбора производственно-дождевых стоков с КНС №1Фундаментная плита Пфм1 (1 шт)Устройство основания под фундаментами из щебня-вручную</t>
  </si>
  <si>
    <t>P0-97-010 - Резервуар для сбора производственно-дождевых стоков с КНС №1Фундаментная плита Пфм1 (1 шт)Уплотнение механизированным способом</t>
  </si>
  <si>
    <t>P0-97-010 - Резервуар для сбора производственно-дождевых стоков с КНС №1Фундаментная плита Пфм1 (1 шт)Монтаж арматурного каркаса КП-1 (Л=4400мм)</t>
  </si>
  <si>
    <t>P0-97-010 - Резервуар для сбора производственно-дождевых стоков с КНС №1Фундаментная плита Пфм1 (1 шт)Монтаж арматурного каркаса КП-1(Л=5000мм)</t>
  </si>
  <si>
    <t>P0-97-010 - Резервуар для сбора производственно-дождевых стоков с КНС №1Фундаментная плита Пфм1 (1 шт)Монтаж арматурного каркаса КП-1(Л=3060мм)</t>
  </si>
  <si>
    <t>P0-97-010 - Резервуар для сбора производственно-дождевых стоков с КНС №1Фундаментная плита Пфм1 (1 шт)Монтаж арматурного каркаса КП-1(Л=4280мм)</t>
  </si>
  <si>
    <t>P0-97-010 - Резервуар для сбора производственно-дождевых стоков с КНС №1Фундаментная плита Пфм1 (1 шт)Монтаж арматурного каркаса КП-1(Л=4080мм)</t>
  </si>
  <si>
    <t>P0-97-010 - Резервуар для сбора производственно-дождевых стоков с КНС №1Фундаментная плита Пфм1 (1 шт)Монтаж арматурного каркаса КП-1(Л=3680мм)</t>
  </si>
  <si>
    <t>P0-97-010 - Резервуар для сбора производственно-дождевых стоков с КНС №1Фундаментная плита Пфм1 (1 шт)Монтаж арматурного каркаса КП-1(Л=4330мм)</t>
  </si>
  <si>
    <t>P0-97-010 - Резервуар для сбора производственно-дождевых стоков с КНС №1Фундаментная плита Пфм1 (1 шт)Монтаж арматурного каркаса КП-1(Л=3110мм)</t>
  </si>
  <si>
    <t>P0-97-010 - Резервуар для сбора производственно-дождевых стоков с КНС №1Фундаментная плита Пфм1 (1 шт)Монтаж арматурного каркаса КП-1(Л=3160мм)</t>
  </si>
  <si>
    <t>P0-97-010 - Резервуар для сбора производственно-дождевых стоков с КНС №1Фундаментная плита Пфм1 (1 шт)Монтаж арматурного каркаса КП-1(Л=2200мм)</t>
  </si>
  <si>
    <t>P0-97-010 - Резервуар для сбора производственно-дождевых стоков с КНС №1Фундаментная плита Пфм1 (1 шт)Монтаж арматурного каркаса КП-1(Л=2800мм)</t>
  </si>
  <si>
    <t>P0-97-010 - Резервуар для сбора производственно-дождевых стоков с КНС №1Фундаментная плита Пфм1 (1 шт)Монтаж арматурного каркаса КП-1(Л=4130мм)</t>
  </si>
  <si>
    <t>P0-97-010 - Резервуар для сбора производственно-дождевых стоков с КНС №1Фундаментная плита Пфм1 (1 шт)Монтаж арматурного каркаса КП-1(Л=4900мм)</t>
  </si>
  <si>
    <t>P0-97-010 - Резервуар для сбора производственно-дождевых стоков с КНС №1Фундаментная плита Пфм1 (1 шт)Монтаж арматурного каркаса КП-1(Л=4850мм)</t>
  </si>
  <si>
    <t>P0-97-010 - Резервуар для сбора производственно-дождевых стоков с КНС №1Фундаментная плита Пфм1 (1 шт)Монтаж арматурного каркаса КП-2(Л=4900мм)</t>
  </si>
  <si>
    <t>P0-97-010 - Резервуар для сбора производственно-дождевых стоков с КНС №1Фундаментная плита Пфм1 (1 шт)Монтаж арматурного каркаса КР-1 (Л=1750мм)</t>
  </si>
  <si>
    <t>P0-97-010 - Резервуар для сбора производственно-дождевых стоков с КНС №1Фундаментная плита Пфм1 (1 шт)Монтаж арматурного каркаса КР-1 (Л=950мм)</t>
  </si>
  <si>
    <t>P0-97-010 - Резервуар для сбора производственно-дождевых стоков с КНС №1Фундаментная плита ФПм1 (1 шт)Устройство бетонной подготовки плиты из бетона В10, толщ. 100 мм(1шт.)</t>
  </si>
  <si>
    <t>P0-97-010 - Резервуар для сбора производственно-дождевых стоков с КНС №1Фундаментная плита ФПм1 (1 шт)Монтаж - демонтаж опалубки заводского изготовления боковой части круглой фундаментной плиты Пфм1</t>
  </si>
  <si>
    <t>P0-97-010 - Резервуар для сбора производственно-дождевых стоков с КНС №1Фундаментная плита ФПм1 (1 шт)Армированные плиты Пфм1 ПРЯМИМИ стержнями диаметром 14 мм и более</t>
  </si>
  <si>
    <t>P0-97-010 - Резервуар для сбора производственно-дождевых стоков с КНС №1Фундаментная плита ФПм1 (1 шт)Армированные плиты Пфм1 ГНУТЫЕ стержнями диаметром 14 мм и более</t>
  </si>
  <si>
    <t>P0-97-010 - Резервуар для сбора производственно-дождевых стоков с КНС №1Фундаментная плита ФПм1 (1 шт)Армированные плиты Пфм1 ГНУТЫЕ стержнями диаметром до 12 мм</t>
  </si>
  <si>
    <t>P0-97-010 - Резервуар для сбора производственно-дождевых стоков с КНС №1Фундаментная плита ФПм1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</si>
  <si>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P0-97-010 - Резервуар для сбора производственно-дождевых стоков с КНС №1Фундаментная плита ФПм1 (1 шт)Установка гидрошпонки для гидроизоляции сопряжения между двумя слоями бетона (горизонтальный рабочий шов)</t>
  </si>
  <si>
    <t>P0-97-010 - Резервуар для сбора производственно-дождевых стоков с КНС №1Фундаментная плита ФПм1 (1 шт)Бетонирование плиты ФПм1 (1 шт)</t>
  </si>
  <si>
    <t>P0-97-010 - Резервуар для сбора производственно-дождевых стоков с КНС №1Фундаментная плита ФПм1 (1 шт)Устройство рулонной наплавляемой гидроизоляции Пенетрон Адмикс горизонтальных поверхностей здания ниже уровни земли</t>
  </si>
  <si>
    <t>P0-97-050 - Резервуар для сбора производственно-дождевых стоков с КНС №5Плита монолитная Пм1 (1 шт)Устройство бетонной подготовки плиты Пм1 из бетона В10, толщ. 100 мм (1шт.)</t>
  </si>
  <si>
    <t>P0-97-050 - Резервуар для сбора производственно-дождевых стоков с КНС №5Плита монолитная Пм1 (1 шт)Устройство рулонной наплавляемой гидроизоляции Пенетрон Адмикс горизонтальных поверхностей здания ниже уровни земли</t>
  </si>
  <si>
    <t>P0-97-050 - Резервуар для сбора производственно-дождевых стоков с КНС №5Плита монолитная Пм1 (1 шт)Армирование плиты Пм1 (1 шт)  ПРЯМЫМИ стержнями диаметром 14 мм и более</t>
  </si>
  <si>
    <t>P0-97-050 - Резервуар для сбора производственно-дождевых стоков с КНС №5Плита монолитная Пм1 (1 шт)Армирование плиты  Пм1 (1 шт)  ГНУТЫМИ стержнями диаметром  14 мм и более</t>
  </si>
  <si>
    <t>P0-97-050 - Резервуар для сбора производственно-дождевых стоков с КНС №5Плита монолитная Пм1 (1 шт)Монтаж и демонтаж опалубки плиты Пм1 (1 шт)</t>
  </si>
  <si>
    <t>P0-97-050 - Резервуар для сбора производственно-дождевых стоков с КНС №5Плита монолитная Пм1 (1 шт)Бетонирование плиты Пм1 (1 шт)</t>
  </si>
  <si>
    <t>P0-97-050 - Резервуар для сбора производственно-дождевых стоков с КНС №5Плита монолитная Пм1 (1 шт)Установка гидрошпонки для гидроизоляции сопряжения между двумя слоями бетона (горизонтальный рабочий шов)</t>
  </si>
  <si>
    <t>P0-97-050 - Резервуар для сбора производственно-дождевых стоков с КНС №5Плита монолитная Пм1 (1 шт)Плита монолитная Пм2 (1 шт)</t>
  </si>
  <si>
    <t>P0-97-050 - Резервуар для сбора производственно-дождевых стоков с КНС №5Плита монолитная Пм1 (1 шт)Устройство бетонной подготовки плиты Пм2 из бетона В10, толщ. 100 мм (1шт.)</t>
  </si>
  <si>
    <t>P0-97-050 - Резервуар для сбора производственно-дождевых стоков с КНС №5Плита монолитная Пм1 (1 шт)Монтаж и демонтаж опалубки плиты Пм2 (1 шт)</t>
  </si>
  <si>
    <t>P0-97-050 - Резервуар для сбора производственно-дождевых стоков с КНС №5Плита монолитная Пм1 (1 шт)Бетонирование плиты Пм2 (1 шт)</t>
  </si>
  <si>
    <t>P0-97-050 - Резервуар для сбора производственно-дождевых стоков с КНС №5Плита монолитная Пм1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</si>
  <si>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P0-97-050 - Резервуар для сбора производственно-дождевых стоков с КНС №5Плита монолитная Пм1 (1 шт)Устройство стяжки плиты Пм2 (1 шт)</t>
  </si>
  <si>
    <t>P0-97-050 - Резервуар для сбора производственно-дождевых стоков с КНС №5Плита монолитная Пм1 (1 шт)Устройство поверхность стяжки плиты Пм2 (1 шт) железнением</t>
  </si>
  <si>
    <t>P0-97-050 - Резервуар для сбора производственно-дождевых стоков с КНС №5Плита монолитная Пм1 (1 шт)Монтаж заводских арматурных сеток стяжки плиты Пм2 (1 шт) из арматуры диаметром от Ø4 до Ø6мм. Соединение нахлестов сеток проволокой</t>
  </si>
  <si>
    <t>P0-97-050 - Резервуар для сбора производственно-дождевых стоков с КНС №5Стен монолитная Стм1 (1 шт)Армированные стен Стм1 (1 шт) ГНУТЫМИ стержнями диаметром до 12 мм</t>
  </si>
  <si>
    <t>P0-97-050 - Резервуар для сбора производственно-дождевых стоков с КНС №5Стен монолитная Стм1 (1 шт)Армированные стен Стм1 (1 шт) ГНУТЫМИ стержнями диаметром диаметром 14 мм и более</t>
  </si>
  <si>
    <t>P0-97-050 - Резервуар для сбора производственно-дождевых стоков с КНС №5Стен монолитная Стм1 (1 шт)Армированные стен Стм1 (1 шт) ПРЯМЫМИ стержнями диаметром диаметром 14 мм и более</t>
  </si>
  <si>
    <t>P0-97-050 - Резервуар для сбора производственно-дождевых стоков с КНС №5Стен монолитная Стм1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</si>
  <si>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P0-97-050 - Резервуар для сбора производственно-дождевых стоков с КНС №5Стен монолитная Стм1 (1 шт)Монтаж и демонтаж опалубки заводского изготовления  стен Стм1 (1 шт)</t>
  </si>
  <si>
    <t>P0-97-050 - Резервуар для сбора производственно-дождевых стоков с КНС №5Стен монолитная Стм1 (1 шт)Бетонированиестен Стм1 (1 шт) из бетона B25 W8 F1200</t>
  </si>
  <si>
    <t>P0-97-050 - Резервуар для сбора производственно-дождевых стоков с КНС №5Стен монолитная Стм1 (1 шт)Монтаж закладных деталей С1 (2 шт) стен Стм1 , Сальник по сер. 5.900-2 Ду 800 весом от 140,1-200,0кг</t>
  </si>
  <si>
    <t>P0-97-050 - Резервуар для сбора производственно-дождевых стоков с КНС №5Стен монолитная Стм2 (1 шт)Армированные стен Стм2 (1 шт) ГНУТЫМИ стержнями диаметром до 12 мм</t>
  </si>
  <si>
    <t>P0-97-050 - Резервуар для сбора производственно-дождевых стоков с КНС №5Стен монолитная Стм2 (1 шт)Армированные стен Стм2 (1 шт) ГНУТЫМИ стержнями диаметром диаметром 14 мм и более</t>
  </si>
  <si>
    <t>P0-97-050 - Резервуар для сбора производственно-дождевых стоков с КНС №5Стен монолитная Стм2 (1 шт)Армированные стен Стм2 (1 шт) ПРЯМЫМИ стержнями диаметром диаметром 14 мм и более</t>
  </si>
  <si>
    <t>P0-97-050 - Резервуар для сбора производственно-дождевых стоков с КНС №5Стен монолитная Стм2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</si>
  <si>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P0-97-050 - Резервуар для сбора производственно-дождевых стоков с КНС №5Стен монолитная Стм2 (1 шт)Монтаж и демонтаж опалубки заводского изготовления  стен Стм2 (1 шт)</t>
  </si>
  <si>
    <t>P0-97-050 - Резервуар для сбора производственно-дождевых стоков с КНС №5Стен монолитная Стм2 (1 шт)Бетонированиестен Стм2 (1 шт) из бетона B25 W8 F1200</t>
  </si>
  <si>
    <t>P0-97-050 - Резервуар для сбора производственно-дождевых стоков с КНС №5Стен монолитная Стм3 (2 шт)Армированные стен Стм3 (2 шт) ГНУТЫМИ стержнями диаметром до 12 мм</t>
  </si>
  <si>
    <t>P0-97-050 - Резервуар для сбора производственно-дождевых стоков с КНС №5Стен монолитная Стм3 (2 шт)Армированные стен Стм3 (2 шт) ПРЯМЫМИ стержнями диаметром диаметром 14 мм и более</t>
  </si>
  <si>
    <t>P0-97-050 - Резервуар для сбора производственно-дождевых стоков с КНС №5Стен монолитная Стм3 (2 шт)Армированные стен Стм3 (2 шт) ГНУТЫМИ стержнями диаметром диаметром 14 мм и более</t>
  </si>
  <si>
    <t>P0-97-050 - Резервуар для сбора производственно-дождевых стоков с КНС №5Стен монолитная Стм3 (2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</si>
  <si>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P0-97-050 - Резервуар для сбора производственно-дождевых стоков с КНС №5Стен монолитная Стм3 (2 шт)Монтаж и демонтаж опалубки заводского изготовления  стен Стм3 (2 шт)</t>
  </si>
  <si>
    <t>P0-97-050 - Резервуар для сбора производственно-дождевых стоков с КНС №5Стен монолитная Стм3 (2 шт)Бетонированиестен Стм3 (2 шт) из бетона B25 W8 F1200</t>
  </si>
  <si>
    <t>P0-97-050 - Резервуар для сбора производственно-дождевых стоков с КНС №5Стен монолитная Стм4 (1 шт)Армированные стен Стм4 (1 шт) ГНУТЫМИ стержнями диаметром до 12 мм</t>
  </si>
  <si>
    <t>P0-97-050 - Резервуар для сбора производственно-дождевых стоков с КНС №5Стен монолитная Стм4 (1 шт)Армированные стен Стм4 (1 шт) ПРЯМЫМИ стержнями диаметром диаметром 14 мм и более</t>
  </si>
  <si>
    <t>P0-97-050 - Резервуар для сбора производственно-дождевых стоков с КНС №5Стен монолитная Стм4 (1 шт)Армированные стен Стм4 (1 шт) ГНУТЫМИ стержнями диаметром диаметром 14 мм и более</t>
  </si>
  <si>
    <t>P0-97-050 - Резервуар для сбора производственно-дождевых стоков с КНС №5Стен монолитная Стм4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</si>
  <si>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P0-97-050 - Резервуар для сбора производственно-дождевых стоков с КНС №5Стен монолитная Стм4 (1 шт)Монтаж и демонтаж опалубки заводского изготовления  стен Стм4 (1 шт)</t>
  </si>
  <si>
    <t>P0-97-050 - Резервуар для сбора производственно-дождевых стоков с КНС №5Стен монолитная Стм4 (1 шт)Бетонирование стен Стм4 (1 шт) из бетона B25 W8 F1200</t>
  </si>
  <si>
    <t>P0-97-050 - Резервуар для сбора производственно-дождевых стоков с КНС №5Стен монолитная Стм5 (1 шт)Армированные стен Стм5 (1 шт) ГНУТЫМИ стержнями диаметром до 12 мм</t>
  </si>
  <si>
    <t>P0-97-050 - Резервуар для сбора производственно-дождевых стоков с КНС №5Стен монолитная Стм5 (1 шт)Армированные стен Стм5 (1 шт) ГНУТЫМИ стержнями диаметром диаметром 14 мм и более</t>
  </si>
  <si>
    <t>P0-97-050 - Резервуар для сбора производственно-дождевых стоков с КНС №5Стен монолитная Стм5 (1 шт)Армированные стен Стм5 (1 шт) ПРЯМЫМИ стержнями диаметром диаметром 14 мм и более</t>
  </si>
  <si>
    <t>P0-97-050 - Резервуар для сбора производственно-дождевых стоков с КНС №5Стен монолитная Стм5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</si>
  <si>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P0-97-050 - Резервуар для сбора производственно-дождевых стоков с КНС №5Стен монолитная Стм5 (1 шт)Монтаж и демонтаж опалубки заводского изготовления  стен Стм5 (1 шт)</t>
  </si>
  <si>
    <t>P0-97-050 - Резервуар для сбора производственно-дождевых стоков с КНС №5Стен монолитная Стм5 (1 шт)Бетонированиестен Стм5 (1 шт) из бетона B25 W8 F1200</t>
  </si>
  <si>
    <t>P0-97-050 - Резервуар для сбора производственно-дождевых стоков с КНС №5Стен монолитная Стм5 (1 шт)Монтаж закладных деталей С1 (1 шт) стен Стм5, Сальник по сер. 5.900-2 Ду 500  весом от 70,1-100,0кг</t>
  </si>
  <si>
    <t>P0-97-050 - Резервуар для сбора производственно-дождевых стоков с КНС №5Колонны монолитные Км1 (16 шт)Армированные колонн Км1 (16 шт) ГНУТЫМИ стержнями диаметром до 12 мм</t>
  </si>
  <si>
    <t>P0-97-050 - Резервуар для сбора производственно-дождевых стоков с КНС №5Колонны монолитные Км1 (16 шт)Армированные колонн Км1 (16 шт) ГНУТЫМИ стержнями диаметром диаметром 14 мм и более</t>
  </si>
  <si>
    <t>P0-97-050 - Резервуар для сбора производственно-дождевых стоков с КНС №5Колонны монолитные Км1 (16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</si>
  <si>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P0-97-050 - Резервуар для сбора производственно-дождевых стоков с КНС №5Колонны монолитные Км1 (16 шт)Монтаж и демонтаж опалубки заводского изготовления  колонн Км1 (16 шт)</t>
  </si>
  <si>
    <t>P0-97-050 - Резервуар для сбора производственно-дождевых стоков с КНС №5Колонны монолитные Км1 (16 шт)Бетонирование колонн Км1 (16 шт) из бетона B25 W8 F1200</t>
  </si>
  <si>
    <t>P0-97-050 - Резервуар для сбора производственно-дождевых стоков с КНС №5Колонны монолитные Км1 (16 шт)Установка гидрошпонки для гидроизоляции сопряжения между двумя слоями бетона (горизонтальный рабочий шов)</t>
  </si>
  <si>
    <t>P0-97-050 - Резервуар для сбора производственно-дождевых стоков с КНС №5Колонны монолитные Км1 (16 шт)Уплотнение песка толщиной 1590мм между стен Стм1 и Стм5 - вручную</t>
  </si>
  <si>
    <t>P0-97-050 - Резервуар для сбора производственно-дождевых стоков с КНС №5Колонны монолитные Км1 (16 шт)Устройство бетонных поверхностей гидроизоляцией Пенетрон - вертикальных поверхностей здания ниже уровни земл</t>
  </si>
  <si>
    <t>P0-97-050 - Резервуар для сбора производственно-дождевых стоков с КНС №5Плита монолитная Пм3 на отм.+0.170 (1шт)Армирование плит перекрытия ПРЯМЫМИ стержнями диаметром 14мм и более плиты монолитной Пм3</t>
  </si>
  <si>
    <t>P0-97-050 - Резервуар для сбора производственно-дождевых стоков с КНС №5Плита монолитная Пм3 на отм.+0.170 (1шт)Армирование плит перекрытия ГНУТЫМИ стержнями диаметром 14мм и более плиты монолитной Пм3</t>
  </si>
  <si>
    <t>P0-97-050 - Резервуар для сбора производственно-дождевых стоков с КНС №5Плита монолитная Пм3 на отм.+0.170 (1шт)Монтаж закладных деталей плит перекрытия весом от 20,1-30,0кг МН1</t>
  </si>
  <si>
    <t>P0-97-050 - Резервуар для сбора производственно-дождевых стоков с КНС №5Плита монолитная Пм3 на отм.+0.170 (1шт)Монтаж и демонтаж опалубки  плиты монолитной Пм3</t>
  </si>
  <si>
    <t>P0-97-050 - Резервуар для сбора производственно-дождевых стоков с КНС №5Плита монолитная Пм3 на отм.+0.170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</si>
  <si>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P0-97-050 - Резервуар для сбора производственно-дождевых стоков с КНС №5Плита монолитная Пм3 на отм.+0.170 (1шт)Бетонирование плиты монолитной Пм3 на отм.+0.170</t>
  </si>
  <si>
    <t>P0-97-050 - Резервуар для сбора производственно-дождевых стоков с КНС №5Стена монолитная Стм6 (1шт)Армирование стен ПРЯМЫМИ стержнями диаметром 14мм и более стена монолитная Стм6 (1шт)</t>
  </si>
  <si>
    <t>P0-97-050 - Резервуар для сбора производственно-дождевых стоков с КНС №5Стена монолитная Стм6 (1шт)Армирование стен ГНУТЫМИ стержнями диаметром 14мм и более стена монолитная Стм6 (1шт)</t>
  </si>
  <si>
    <t>P0-97-050 - Резервуар для сбора производственно-дождевых стоков с КНС №5Стена монолитная Стм6 (1шт)Армирование стен ГНУТЫМИ стержнями диаметром до 12мм стена монолитная Стм6 (1шт)</t>
  </si>
  <si>
    <t>P0-97-050 - Резервуар для сбора производственно-дождевых стоков с КНС №5Стена монолитная Стм6 (1шт)Монтаж закладных деталей С1 (2 шт) стен Стм6, Сальник по сер. 5.900-2  Ду 50 весом от 8,1-12,0кг</t>
  </si>
  <si>
    <t>P0-97-050 - Резервуар для сбора производственно-дождевых стоков с КНС №5Стена монолитная Стм6 (1шт)Монтаж закладных деталей С2 (4 шт) стен Стм6, Сальник по сер. 5.900-2 Ду 150 весом от от 30,1-40,0кг</t>
  </si>
  <si>
    <t>P0-97-050 - Резервуар для сбора производственно-дождевых стоков с КНС №5Стена монолитная Стм6 (1шт)Заполнение зазора между стеной и сальником</t>
  </si>
  <si>
    <t>P0-97-050 - Резервуар для сбора производственно-дождевых стоков с КНС №5Стена монолитная Стм6 (1шт)Монтаж закладных деталей стены монолитной Стм6 весом от 20,1-30,0кг МН1</t>
  </si>
  <si>
    <t>P0-97-050 - Резервуар для сбора производственно-дождевых стоков с КНС №5Стена монолитная Стм6 (1шт)Монтаж закладных деталей стены монолитной Стм6 весом от 8,1-12,0кг МН1</t>
  </si>
  <si>
    <t>P0-97-050 - Резервуар для сбора производственно-дождевых стоков с КНС №5Стена монолитная Стм6 (1шт)Монтаж закладных деталей стены монолитной Стм6 весом от 2,1-5,0кг МН2</t>
  </si>
  <si>
    <t>P0-97-050 - Резервуар для сбора производственно-дождевых стоков с КНС №5Стена монолитная Стм6 (1шт)Монтаж анкерных болтов стен</t>
  </si>
  <si>
    <t>P0-97-050 - Резервуар для сбора производственно-дождевых стоков с КНС №5Стена монолитная Стм6 (1шт)Монтаж и демонтаж опалубки стены монолитной Стм6</t>
  </si>
  <si>
    <t>P0-97-050 - Резервуар для сбора производственно-дождевых стоков с КНС №5Стена монолитная Стм6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</si>
  <si>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P0-97-050 - Резервуар для сбора производственно-дождевых стоков с КНС №5Стена монолитная Стм6 (1шт)Бетонирование стены монолитной Стм6</t>
  </si>
  <si>
    <t>P0-97-050 - Резервуар для сбора производственно-дождевых стоков с КНС №5Стена монолитная Стм7 (1шт)Армирование стен ПРЯМЫМИ стержнями диаметром 14мм и более стена монолитная Стм7 (1шт)</t>
  </si>
  <si>
    <t>P0-97-050 - Резервуар для сбора производственно-дождевых стоков с КНС №5Стена монолитная Стм7 (1шт)Армирование стен ГНУТЫМИ стержнями диаметром 14мм и более стена монолитная Стм7 (1шт)</t>
  </si>
  <si>
    <t>P0-97-050 - Резервуар для сбора производственно-дождевых стоков с КНС №5Стена монолитная Стм7 (1шт)Армирование стен ГНУТЫМИ стержнями диаметром до 12мм стена монолитная Стм7 (1шт)</t>
  </si>
  <si>
    <t>P0-97-050 - Резервуар для сбора производственно-дождевых стоков с КНС №5Стена монолитная Стм7 (1шт)Монтаж закладных деталей стены монолитной Стм7 весом от 20,1-30,0кг</t>
  </si>
  <si>
    <t>P0-97-050 - Резервуар для сбора производственно-дождевых стоков с КНС №5Стена монолитная Стм7 (1шт)Монтаж закладных деталей стены монолитной Стм7 весом от 12,1-20,0кг</t>
  </si>
  <si>
    <t>P0-97-050 - Резервуар для сбора производственно-дождевых стоков с КНС №5Стена монолитная Стм7 (1шт)Монтаж закладных деталей стены монолитной Стм7 весом от 8,1-12,0кг</t>
  </si>
  <si>
    <t>P0-97-050 - Резервуар для сбора производственно-дождевых стоков с КНС №5Стена монолитная Стм7 (1шт)Монтаж и демонтаж опалубки стены монолитной Стм7</t>
  </si>
  <si>
    <t>P0-97-050 - Резервуар для сбора производственно-дождевых стоков с КНС №5Стена монолитная Стм7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</si>
  <si>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P0-97-050 - Резервуар для сбора производственно-дождевых стоков с КНС №5Стена монолитная Стм7 (1шт)Бетонирование стены монолитной Стм7</t>
  </si>
  <si>
    <t>P0-97-050 - Резервуар для сбора производственно-дождевых стоков с КНС №5Колонна монолитная Км2 (2шт)Армирование колонны Км2 (2шт)</t>
  </si>
  <si>
    <t>P0-97-050 - Резервуар для сбора производственно-дождевых стоков с КНС №5Колонна монолитная Км2 (2шт)Монтаж анкерных болтов колонн</t>
  </si>
  <si>
    <t>P0-97-050 - Резервуар для сбора производственно-дождевых стоков с КНС №5Колонна монолитная Км2 (2шт)Монтаж и демонтаж опалубки колонны Км2 (2шт)</t>
  </si>
  <si>
    <t>P0-97-050 - Резервуар для сбора производственно-дождевых стоков с КНС №5Колонна монолитная Км2 (2шт)Обеспечение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</si>
  <si>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P0-97-050 - Резервуар для сбора производственно-дождевых стоков с КНС №5Колонна монолитная Км2 (2шт)Бетонирование колонны Км2</t>
  </si>
  <si>
    <t>P0-97-050 - Резервуар для сбора производственно-дождевых стоков с КНС №5Колонна монолитная Км2 (2шт)Колонна монолитная Км3 (3шт)</t>
  </si>
  <si>
    <t>P0-97-050 - Резервуар для сбора производственно-дождевых стоков с КНС №5Колонна монолитная Км2 (2шт)Армирование колонны Км3 (3шт)</t>
  </si>
  <si>
    <t>P0-97-050 - Резервуар для сбора производственно-дождевых стоков с КНС №5Колонна монолитная Км2 (2шт)Монтаж и демонтаж опалубки колонны Км3 (3шт)</t>
  </si>
  <si>
    <t>P0-97-050 - Резервуар для сбора производственно-дождевых стоков с КНС №5Колонна монолитная Км2 (2шт)Бетонирование колонны Км3</t>
  </si>
  <si>
    <t>P0-97-050 - Резервуар для сбора производственно-дождевых стоков с КНС №5Плита монолитная Пм4 на отм.-2.610 (1шт)Засыпка камеры песком под плиту монолитную Пм4</t>
  </si>
  <si>
    <t>P0-97-050 - Резервуар для сбора производственно-дождевых стоков с КНС №5Плита монолитная Пм4 на отм.-2.610 (1шт)Уплотнение песчаной засыпки камеры под плитой монолитной Пм4</t>
  </si>
  <si>
    <t>P0-97-050 - Резервуар для сбора производственно-дождевых стоков с КНС №5Плита монолитная Пм4 на отм.-2.610 (1шт)Армирование плит перекрытия ПРЯМЫМИ стержнями диаметром 14мм и более плиты монолитной Пм4</t>
  </si>
  <si>
    <t>P0-97-050 - Резервуар для сбора производственно-дождевых стоков с КНС №5Плита монолитная Пм4 на отм.-2.610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</si>
  <si>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P0-97-050 - Резервуар для сбора производственно-дождевых стоков с КНС №5Плита монолитная Пм4 на отм.-2.610 (1шт)Бетонирование плиты монолитной Пм4 на отм.-2.610</t>
  </si>
  <si>
    <t>P0-97-050 - Резервуар для сбора производственно-дождевых стоков с КНС №5Плита монолитная Пм4 на отм.-2.610 (1шт)Монтаж и демонтаж опалубки собственного изготовления упора плиты монолитной Пм4</t>
  </si>
  <si>
    <t>P0-97-050 - Резервуар для сбора производственно-дождевых стоков с КНС №5Плита монолитная Пм4 на отм.-2.610 (1шт)Бетонирование упора плиты монолитной Пм4 на отм.-2.610</t>
  </si>
  <si>
    <t>P0-97-050 - Резервуар для сбора производственно-дождевых стоков с КНС №5 Плита монолитная Пм5 на отм.+1.170 (1шт)Армирование плит перекрытия ПРЯМЫМИ стержнями диаметром 14мм и более плиты монолитной Пм5</t>
  </si>
  <si>
    <t>P0-97-050 - Резервуар для сбора производственно-дождевых стоков с КНС №5 Плита монолитная Пм5 на отм.+1.170 (1шт)Армирование плит перекрытия ГНУТЫМИ стержнями диаметром 14мм и более плиты монолитной Пм5</t>
  </si>
  <si>
    <t>P0-97-050 - Резервуар для сбора производственно-дождевых стоков с КНС №5 Плита монолитная Пм5 на отм.+1.170 (1шт)Монтаж закладных деталей  плиты монолитной Пм5 весом от 8,1-12,0кг</t>
  </si>
  <si>
    <t>P0-97-050 - Резервуар для сбора производственно-дождевых стоков с КНС №5 Плита монолитная Пм5 на отм.+1.170 (1шт)Монтаж закладных деталей  плиты монолитной Пм5 весом отвесом от 2,1-5,0кг МН2</t>
  </si>
  <si>
    <t>P0-97-050 - Резервуар для сбора производственно-дождевых стоков с КНС №5 Плита монолитная Пм5 на отм.+1.170 (1шт)Монтаж и демонтаж опалубки  плиты монолитной Пм5</t>
  </si>
  <si>
    <t>P0-97-050 - Резервуар для сбора производственно-дождевых стоков с КНС №5 Плита монолитная Пм5 на отм.+1.170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</si>
  <si>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P0-97-050 - Резервуар для сбора производственно-дождевых стоков с КНС №5 Плита монолитная Пм5 на отм.+1.170 (1шт)Бетонирование плиты монолитной Пм5 на отм.+1.170</t>
  </si>
  <si>
    <t>P0-97-050 - Резервуар для сбора производственно-дождевых стоков с КНС №5 Плита монолитная Пм5 на отм.+1.170 (1шт)Транспортировка грунта материалов автомобилям-самосвалам до 1 км</t>
  </si>
  <si>
    <t>P0-97-050 - Резервуар для сбора производственно-дождевых стоков с КНС №5 Плита монолитная Пм5 на отм.+1.170 (1шт)Устройство насыпи над монолитной плитой покрытия Пм3 высотой 1м - механизированным способом</t>
  </si>
  <si>
    <t>P0-97-050 - Резервуар для сбора производственно-дождевых стоков с КНС №5 Плита монолитная Пм5 на отм.+1.170 (1шт)Устройство насыпи над монолитной плитой покрытия Пм3 высотой 1м - вручную</t>
  </si>
  <si>
    <t>P0-97-050 - Резервуар для сбора производственно-дождевых стоков с КНС №5 Плита монолитная Пм5 на отм.+1.170 (1шт)Уплотнение насыпи над монолитной плитой покрытия Пм3 высотой 1м - механизированным способом</t>
  </si>
  <si>
    <t>P0-97-050 - Резервуар для сбора производственно-дождевых стоков с КНС №5 Плита монолитная Пм5 на отм.+1.170 (1шт)Уплотнение  насыпи над монолитной плитой покрытия Пм3 высотой 1м - вручную</t>
  </si>
  <si>
    <t>P0-97-050 - Резервуар для сбора производственно-дождевых стоков с КНС №5 Плита монолитная Пм5 на отм.+1.170 (1шт)Устройство теплоизоляции стен Стм6 и Стм2 по оси А</t>
  </si>
  <si>
    <t>P0-97-060 - КНС бытовых стоков №1Устройство бетонной подготовки плиты Пм1 из бетона В10, толщ. 100 мм (1шт.)Армирование плиты Пм1 (1 шт)  ПРЯМЫМИ стержнями диаметром 14 мм и более</t>
  </si>
  <si>
    <t>P0-97-060 - КНС бытовых стоков №1Устройство бетонной подготовки плиты Пм1 из бетона В10, толщ. 100 мм (1шт.)Армирование плиты  Пм1 (1 шт)  ГНУТЫМИ стержнями диаметром  14 мм и более</t>
  </si>
  <si>
    <t xml:space="preserve">P0-97-060 - КНС бытовых стоков №1Устройство бетонной подготовки плиты Пм1 из бетона В10, толщ. 100 мм (1шт.)Изготовление и монтаж каркасов пространственных КР1 весом 12,24 кг/шт </t>
  </si>
  <si>
    <t>P0-97-060 - КНС бытовых стоков №1Устройство бетонной подготовки плиты Пм1 из бетона В10, толщ. 100 мм (1шт.)Монтаж и демонтаж опалубки плиты Пм1 (1 шт)</t>
  </si>
  <si>
    <t>P0-97-060 - КНС бытовых стоков №1Устройство бетонной подготовки плиты Пм1 из бетона В10, толщ. 100 мм (1шт.)Бетонирование плиты Пм1 (1 шт)</t>
  </si>
  <si>
    <t>P0-97-060 - КНС бытовых стоков №1Плита монолитная Пм2 (1 шт)Устройство бетонной подготовки плиты Пм2 (1 шт) из бетона В10, толщ. 100 мм (1шт.)</t>
  </si>
  <si>
    <t>P0-97-060 - КНС бытовых стоков №1Плита монолитная Пм2 (1 шт)Армирование плиты Пм2 (1 шт) ПРЯМЫМИ стержнями диаметром 14 мм и более</t>
  </si>
  <si>
    <t>P0-97-060 - КНС бытовых стоков №1Плита монолитная Пм2 (1 шт)Армирование плиты  Пм2 (1 шт)  ГНУТЫМИ стержнями диаметром  до 12 мме</t>
  </si>
  <si>
    <t>P0-97-060 - КНС бытовых стоков №1Плита монолитная Пм2 (1 шт)Монтаж и демонтаж опалубки плиты Пм2 (1 шт)</t>
  </si>
  <si>
    <t>P0-97-060 - КНС бытовых стоков №1Плита монолитная Пм2 (1 шт)Бетонирование плиты Пм2 (1 шт)</t>
  </si>
  <si>
    <t>P0-97-060 - КНС бытовых стоков №1Плита монолитная ППм1 (1 шт)Устройство бетонной подготовки плиты ППм1 (1 шт) из бетона В10, толщ. 100 мм (1шт.)</t>
  </si>
  <si>
    <t>P0-97-060 - КНС бытовых стоков №1Плита монолитная ППм1 (1 шт)Армирование плиты  ППм1 (1 шт) ГНУТЫМИ стержнями диаметром  до 12 мме</t>
  </si>
  <si>
    <t xml:space="preserve">P0-97-060 - КНС бытовых стоков №1Плита монолитная ППм1 (1 шт)Изготовление и монтаж каркасов пространственных КР2 весом 4,83 кг/шт </t>
  </si>
  <si>
    <t>P0-97-060 - КНС бытовых стоков №1Плита монолитная ППм1 (1 шт)Монтаж и демонтаж опалубки плиты ППм1 (1 шт)</t>
  </si>
  <si>
    <t>P0-97-060 - КНС бытовых стоков №1Плита монолитная ППм1 (1 шт)Бетонирование плиты ППм1 (1 шт)</t>
  </si>
  <si>
    <t>P0-97-060 - КНС бытовых стоков №1Плита монолитная ППм1 (1 шт)Устройство деформационного изоляционного шва между  фундаментными плитами, шириной 20 мм, с заполнением герметиком</t>
  </si>
  <si>
    <t>P0-97-060 - КНС бытовых стоков №1Плита монолитная ППм1 (1 шт)Укладка пенополистирола для деформационных швов между фундаментными плитами, шириной 20 мм</t>
  </si>
  <si>
    <t xml:space="preserve">P0-97-060 - КНС бытовых стоков №1Отмостка (1 шт)Монтаж заводских арматурных сеток из арматуры диаметром от Ø4 до Ø6мм. Соединение нахлестов сеток проволокой- отмостка </t>
  </si>
  <si>
    <t>P0-97-060 - КНС бытовых стоков №1Отмостка (1 шт)Устройство отмостки из бетона с железнением поверхности толщиной не менее 100мм, (толщ. 120мм-150мм)</t>
  </si>
  <si>
    <t>P0-97-070 - КНС бытовых стоков №2Плита Пм1 (1 шт)Устройство бетонной подготовки плиты Пм1 из бетона В10, толщ. 100 мм (1шт.)</t>
  </si>
  <si>
    <t>P0-97-070 - КНС бытовых стоков №2Плита Пм1 (1 шт)Армирование плиты Пм1 (1 шт) ПРЯМЫМИ стержнями диаметром 14 мм и более</t>
  </si>
  <si>
    <t>P0-97-070 - КНС бытовых стоков №2Плита Пм1 (1 шт)Армирование плиты Пм1 (1 шт) ГНУТЫМИ стержнями диаметром 14 мм и более</t>
  </si>
  <si>
    <t>P0-97-070 - КНС бытовых стоков №2Плита Пм1 (1 шт)Монтаж каркасов пространственных КР1 весом 8,6 кг/м</t>
  </si>
  <si>
    <t>P0-97-070 - КНС бытовых стоков №2Плита Пм1 (1 шт)Монтаж и демонтаж опалубки плиты Пм1 (1 шт)</t>
  </si>
  <si>
    <t>P0-97-070 - КНС бытовых стоков №2Плита Пм1 (1 шт)Бетонирование плиты Пм1 (1 шт)</t>
  </si>
  <si>
    <t>P0-97-070 - КНС бытовых стоков №2Плита Пм2 (1 шт)Армирование плиты Пм2 (1 шт) ПРЯМЫМИ стержнями диаметром 14 мм и более</t>
  </si>
  <si>
    <t>P0-97-070 - КНС бытовых стоков №2Плита Пм2 (1 шт)Армирование плиты Пм2 (1 шт) ГНУТЫМИ стержнями диаметром  до 12 мм</t>
  </si>
  <si>
    <t>P0-97-070 - КНС бытовых стоков №2Плита Пм2 (1 шт)Монтаж и демонтаж опалубки плиты Пм2 (1 шт)</t>
  </si>
  <si>
    <t>P0-97-070 - КНС бытовых стоков №2Плита Пм2 (1 шт)Бетонирование плиты Пм1 (1 шт)</t>
  </si>
  <si>
    <t>P0-97-070 - КНС бытовых стоков №2Плита ППм1 (1 шт)Устройство бетонной подготовки плиты ППм1 из бетона В10, толщ. 100 мм (1шт.)</t>
  </si>
  <si>
    <t>P0-97-070 - КНС бытовых стоков №2Плита ППм1 (1 шт)Армирование плиты ППм1  (1 шт) ГНУТЫМИ стержнями диаметром  до 12 мм</t>
  </si>
  <si>
    <t>P0-97-070 - КНС бытовых стоков №2Плита ППм1 (1 шт)Монтаж каркасов пространственных КР2 весом 5 кг/м</t>
  </si>
  <si>
    <t>P0-97-070 - КНС бытовых стоков №2Плита ППм1 (1 шт)Укладка пенополистирола для деформационных швов между фундаментными плитами, шириной 20 мм</t>
  </si>
  <si>
    <t>P0-97-070 - КНС бытовых стоков №2Плита ППм1 (1 шт)Бетонирование плиты ППм1 (1 шт)</t>
  </si>
  <si>
    <t>P0-97-070 - КНС бытовых стоков №2Плита ППм1 (1 шт)Устройство деформационного изоляционного шва между  фундаментными плитами, шириной 20 мм, с заполнением герметиком</t>
  </si>
  <si>
    <t>P0-97-070 - КНС бытовых стоков №2Отмостка (1 шт)Бетонирование отмостки  (1 шт)</t>
  </si>
  <si>
    <t>P0-97-070 - КНС бытовых стоков №2Отмостка (1 шт)Монтаж заводских арматурных сеток диаметром от Ø4 до Ø6мм. отмостки (1 шт)</t>
  </si>
  <si>
    <t>P0-71-010 - Группа резервуаров №1Ростверк монолитный РСм1.1 (2шт)Монтаж каркасов пространственных КП1. Соединение элементов армокаркаса сваркой.</t>
  </si>
  <si>
    <t>P0-71-010 - Группа резервуаров №1Ростверк монолитный РСм1.1 (2шт)Монтаж каркасов плоских КР1. Соединение элементов армокаркаса сваркой.</t>
  </si>
  <si>
    <t>P0-71-010 - Группа резервуаров №1Ростверк монолитный РСм1.1 (2шт)Устройство подбетонки из бетона В10 толщиной 100мм</t>
  </si>
  <si>
    <t>P0-71-010 - Группа резервуаров №1Ростверк монолитный РСм1.1 (2шт)Армирование ростверка РСм1.1 (2шт.)  ПРЯМЫМИ стержнями диаметром 14мм и более.</t>
  </si>
  <si>
    <t>P0-71-010 - Группа резервуаров №1Ростверк монолитный РСм1.1 (2шт)Армирование ростверка РСм1.1 (2шт.)  ГНУТЫМИ стержнями диаметром 14мм и более.</t>
  </si>
  <si>
    <t>P0-71-010 - Группа резервуаров №1Ростверк монолитный РСм1.1 (2шт)Армированные плиты РСм1.1 (2шт.)  ГНУТЫМИ стержнями диаметром диаметром до 12мм.</t>
  </si>
  <si>
    <t xml:space="preserve">P0-71-010 - Группа резервуаров №1Ростверк монолитный РСм1.1 (2шт)Монтаж/демонтаж опалубки ростверка РСм1.1 (2шт.)  заводского изготовления </t>
  </si>
  <si>
    <t xml:space="preserve">P0-71-010 - Группа резервуаров №1Ростверк монолитный РСм1.1 (2шт)Бетонирование ростверка РСм1.1 (2шт.) бетоном В25 W8 F200 </t>
  </si>
  <si>
    <t>P0-71-010 - Группа резервуаров №1Ростверк монолитный РСм1.2 (2шт)Монтаж каркасов пространственных КП1. Соединение элементов армокаркаса сваркой.</t>
  </si>
  <si>
    <t>P0-71-010 - Группа резервуаров №1Ростверк монолитный РСм1.2 (2шт)Монтаж каркасов плоских КР1. Соединение элементов армокаркаса сваркой.</t>
  </si>
  <si>
    <t>P0-71-010 - Группа резервуаров №1Ростверк монолитный РСм1.2 (2шт)Устройство подбетонки из бетона В10 толщиной 100мм</t>
  </si>
  <si>
    <t>P0-71-010 - Группа резервуаров №1Ростверк монолитный РСм1.2 (2шт)Армирование ростверка РСм1.2 (2шт.)  ПРЯМЫМИ стержнями диаметром 14мм и более.</t>
  </si>
  <si>
    <t>P0-71-010 - Группа резервуаров №1Ростверк монолитный РСм1.2 (2шт)Армирование ростверка РСм1.2 (2шт.)  ГНУТЫМИ стержнями диаметром 14мм и более.</t>
  </si>
  <si>
    <t>P0-71-010 - Группа резервуаров №1Ростверк монолитный РСм1.2 (2шт)Армированные плиты РСм1.2 (2шт.)  ГНУТЫМИ стержнями диаметром диаметром до 12мм.</t>
  </si>
  <si>
    <t xml:space="preserve">P0-71-010 - Группа резервуаров №1Ростверк монолитный РСм1.2 (2шт)Монтаж/демонтаж опалубки ростверка РСм1.2 (2шт.)   заводского изготовления </t>
  </si>
  <si>
    <t xml:space="preserve">P0-71-010 - Группа резервуаров №1Ростверк монолитный РСм1.2 (2шт)Бетонирование ростверка РСм1.2 (2шт.)  бетоном В25 W8 F200 </t>
  </si>
  <si>
    <t>P0-71-010 - Группа резервуаров №1Ростверк монолитный РСм2 (10шт)Монтаж каркасов пространственных КП2. Соединение элементов армокаркаса сваркой.</t>
  </si>
  <si>
    <t>P0-71-010 - Группа резервуаров №1Ростверк монолитный РСм2 (10шт)Устройство подбетонки из бетона В10 толщиной 100мм</t>
  </si>
  <si>
    <t>P0-71-010 - Группа резервуаров №1Ростверк монолитный РСм2 (10шт)Армирование ростверка РСм 2 (10шт.)  ПРЯМЫМИ стержнями диаметром 14мм и более.</t>
  </si>
  <si>
    <t>P0-71-010 - Группа резервуаров №1Ростверк монолитный РСм2 (10шт)Армирование ростверка РСм 2 (10шт.)  ГНУТЫМИ стержнями диаметром 14мм и более.</t>
  </si>
  <si>
    <t>P0-71-010 - Группа резервуаров №1Ростверк монолитный РСм2 (10шт)Армированные плиты РСм 2 (10шт.)  ГНУТЫМИ стержнями диаметром диаметром до 12мм.</t>
  </si>
  <si>
    <t xml:space="preserve">P0-71-010 - Группа резервуаров №1Ростверк монолитный РСм2 (10шт)Монтаж/демонтаж опалубки ростверка РСм 2 (10шт.)    заводского изготовления </t>
  </si>
  <si>
    <t xml:space="preserve">P0-71-010 - Группа резервуаров №1Ростверк монолитный РСм2 (10шт)Бетонирование ростверка РСм 2 (10шт.)   бетоном В25 W8 F200 </t>
  </si>
  <si>
    <t>P0-71-010 - Группа резервуаров №1Ростверк монолитный РСм3 (4шт)Монтаж каркасов пространственных КП2. Соединение элементов армокаркаса сваркой.</t>
  </si>
  <si>
    <t>P0-71-010 - Группа резервуаров №1Ростверк монолитный РСм3 (4шт)Устройство подбетонки из бетона В10 толщиной 100мм</t>
  </si>
  <si>
    <t>P0-71-010 - Группа резервуаров №1Ростверк монолитный РСм3 (4шт)Армирование ростверка РСм3 (4шт.) ПРЯМЫМИ стержнями диаметром 14мм и более.</t>
  </si>
  <si>
    <t>P0-71-010 - Группа резервуаров №1Ростверк монолитный РСм3 (4шт)Армирование ростверка РСм3 (4шт.)  ГНУТЫМИ стержнями диаметром 14мм и более.</t>
  </si>
  <si>
    <t>P0-71-010 - Группа резервуаров №1Ростверк монолитный РСм3 (4шт)Армированные плиты РСм3 (4шт.)  ГНУТЫМИ стержнями диаметром диаметром до 12мм.</t>
  </si>
  <si>
    <t xml:space="preserve">P0-71-010 - Группа резервуаров №1Ростверк монолитный РСм3 (4шт)Монтаж/демонтаж опалубки ростверка РСм3 (4шт.)    заводского изготовления </t>
  </si>
  <si>
    <t xml:space="preserve">P0-71-010 - Группа резервуаров №1Ростверк монолитный РСм3 (4шт)Бетонирование ростверка РСм3 (4шт.)  бетоном В25 W8 F200 </t>
  </si>
  <si>
    <t>P0-71-010 - Группа резервуаров №1Фундамент Фм1 (1шт)Устройство подбетонки из бетона В10 толщиной 100мм</t>
  </si>
  <si>
    <t>P0-71-010 - Группа резервуаров №1Фундамент Фм1 (1шт)Армирование ростверка Фм1 ПРЯМЫМИ стержнями диаметром до 12мм.</t>
  </si>
  <si>
    <t>P0-71-010 - Группа резервуаров №1Фундамент Фм1 (1шт)Армирование ростверка Фм1 ГНУТЫМИ стержнями диаметром до 12мм.</t>
  </si>
  <si>
    <t>P0-71-010 - Группа резервуаров №1Фундамент Фм1 (1шт)Монтаж/демонтаж опалубки ростверка Фм1(1шт) заводского изготовления нижний ярус</t>
  </si>
  <si>
    <t>P0-71-010 - Группа резервуаров №1Фундамент Фм1 (1шт)Монтаж/демонтаж опалубки ростверка Фм1(1шт) заводского изготовления верхний ярус</t>
  </si>
  <si>
    <t>P0-71-010 - Группа резервуаров №1Фундамент Фм1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</si>
  <si>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P0-71-010 - Группа резервуаров №1Фундамент Фм1 (1шт)Бетонирование ростверка Фм1(1шт) бетоном В25 W8 F200 </t>
  </si>
  <si>
    <t>P0-71-010 - Группа резервуаров №1Фундамент Фм1 (1шт)Устройство деформационного изоляционного шва  между ростверками фм1, шириной 100 мм, с заполнением герметиком</t>
  </si>
  <si>
    <t>P0-71-010 - Группа резервуаров №1Фундамент Фм1 (1шт)Укладка пенополистирола для деформационных швов между фундаментными плитами, шириной 20 мм</t>
  </si>
  <si>
    <t>P0-71-010 - Группа резервуаров №1Фундамент Фм2 (1шт)Устройство подбетонки из бетона В10 толщиной 100мм</t>
  </si>
  <si>
    <t>P0-71-010 - Группа резервуаров №1Фундамент Фм2 (1шт)Армирование ростверка Фм2 ПРЯМЫМИ стержнями диаметром до 12мм.</t>
  </si>
  <si>
    <t>P0-71-010 - Группа резервуаров №1Фундамент Фм2 (1шт)Армирование ростверка Фм2 ГНУТЫМИ стержнями диаметром до 12мм.</t>
  </si>
  <si>
    <t>P0-71-010 - Группа резервуаров №1Фундамент Фм2 (1шт)Монтаж/демонтаж опалубки ростверка Фм2(1шт) заводского изготовления нижний ярус</t>
  </si>
  <si>
    <t>P0-71-010 - Группа резервуаров №1Фундамент Фм2 (1шт)Монтаж/демонтаж опалубки ростверка Фм2(1шт) заводского изготовления верхний ярус</t>
  </si>
  <si>
    <t>P0-71-010 - Группа резервуаров №1Фундамент Фм2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</si>
  <si>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P0-71-010 - Группа резервуаров №1Фундамент Фм2 (1шт)Бетонирование ростверка Фм2(1шт) бетоном В25 W8 F200 </t>
  </si>
  <si>
    <t>P0-71-020 - Группа резервуаров №2Ростверк монолитный РСм1.1 (1шт)Монтаж каркасов пространственных КП1. Соединение элементов армокаркаса сваркой.</t>
  </si>
  <si>
    <t>P0-71-020 - Группа резервуаров №2Ростверк монолитный РСм1.1 (1шт)Монтаж каркасов плоских КР1. Соединение элементов армокаркаса сваркой.</t>
  </si>
  <si>
    <t>P0-71-020 - Группа резервуаров №2Ростверк монолитный РСм1.1 (1шт)Устройство подбетонки из бетона В10 толщиной 100мм</t>
  </si>
  <si>
    <t>P0-71-020 - Группа резервуаров №2Ростверк монолитный РСм1.1 (1шт)Армирование ростверка РСм1.1 (1шт.)  ПРЯМЫМИ стержнями диаметром 14мм и более.</t>
  </si>
  <si>
    <t>P0-71-020 - Группа резервуаров №2Ростверк монолитный РСм1.1 (1шт)Армирование ростверка РСм1.1 (1шт.)  ГНУТЫМИ стержнями диаметром 14мм и более.</t>
  </si>
  <si>
    <t>P0-71-020 - Группа резервуаров №2Ростверк монолитный РСм1.1 (1шт)Армированные плиты РСм1.1 (1шт.)  ГНУТЫМИ стержнями диаметром диаметром до 12мм.</t>
  </si>
  <si>
    <t xml:space="preserve">P0-71-020 - Группа резервуаров №2Ростверк монолитный РСм1.1 (1шт)Монтаж/демонтаж опалубки ростверка РСм1.1 (1шт.)  заводского изготовления </t>
  </si>
  <si>
    <t xml:space="preserve">P0-71-020 - Группа резервуаров №2Ростверк монолитный РСм1.1 (1шт)Бетонирование ростверка РСм1.1 (1шт.) бетоном В25 W8 F200 </t>
  </si>
  <si>
    <t>P0-71-020 - Группа резервуаров №2Ростверк монолитный РСм1.2 (3шт)Монтаж каркасов пространственных КП1. Соединение элементов армокаркаса сваркой.</t>
  </si>
  <si>
    <t>P0-71-020 - Группа резервуаров №2Ростверк монолитный РСм1.2 (3шт)Монтаж каркасов плоских КР1. Соединение элементов армокаркаса сваркой.</t>
  </si>
  <si>
    <t>P0-71-020 - Группа резервуаров №2Ростверк монолитный РСм1.2 (3шт)Устройство подбетонки из бетона В10 толщиной 100мм</t>
  </si>
  <si>
    <t>P0-71-020 - Группа резервуаров №2Ростверк монолитный РСм1.2 (3шт)Армирование ростверка РСм1.2 (3шт.)  ПРЯМЫМИ стержнями диаметром 14мм и более.</t>
  </si>
  <si>
    <t>P0-71-020 - Группа резервуаров №2Ростверк монолитный РСм1.2 (3шт)Армирование ростверка РСм1.2 (3шт.)  ГНУТЫМИ стержнями диаметром 14мм и более.</t>
  </si>
  <si>
    <t>P0-71-020 - Группа резервуаров №2Ростверк монолитный РСм1.2 (3шт)Армированные плиты РСм1.2 (3шт.)  ГНУТЫМИ стержнями диаметром диаметром до 12мм.</t>
  </si>
  <si>
    <t xml:space="preserve">P0-71-020 - Группа резервуаров №2Ростверк монолитный РСм1.2 (3шт)Монтаж/демонтаж опалубки ростверка РСм1.2 (3шт.)   заводского изготовления </t>
  </si>
  <si>
    <t xml:space="preserve">P0-71-020 - Группа резервуаров №2Ростверк монолитный РСм1.2 (3шт)Бетонирование ростверка РСм1.2 (3шт.)  бетоном В25 W8 F200 </t>
  </si>
  <si>
    <t>P0-71-020 - Группа резервуаров №2Ростверк монолитный РСм2 (10шт)Монтаж каркасов пространственных КП2. Соединение элементов армокаркаса сваркой.</t>
  </si>
  <si>
    <t>P0-71-020 - Группа резервуаров №2Ростверк монолитный РСм2 (10шт)Устройство подбетонки из бетона В10 толщиной 100мм</t>
  </si>
  <si>
    <t>P0-71-020 - Группа резервуаров №2Ростверк монолитный РСм2 (10шт)Армирование ростверка РСм 2 (10шт.)  ПРЯМЫМИ стержнями диаметром 14мм и более.</t>
  </si>
  <si>
    <t>P0-71-020 - Группа резервуаров №2Ростверк монолитный РСм2 (10шт)Армирование ростверка РСм 2 (10шт.)  ГНУТЫМИ стержнями диаметром 14мм и более.</t>
  </si>
  <si>
    <t>P0-71-020 - Группа резервуаров №2Ростверк монолитный РСм2 (10шт)Армированные плиты РСм 2 (10шт.)  ГНУТЫМИ стержнями диаметром диаметром до 12мм.</t>
  </si>
  <si>
    <t xml:space="preserve">P0-71-020 - Группа резервуаров №2Ростверк монолитный РСм2 (10шт)Монтаж/демонтаж опалубки ростверка РСм 2 (10шт.)    заводского изготовления </t>
  </si>
  <si>
    <t xml:space="preserve">P0-71-020 - Группа резервуаров №2Ростверк монолитный РСм2 (10шт)Бетонирование ростверка РСм 2 (10шт.)   бетоном В25 W8 F200 </t>
  </si>
  <si>
    <t>P0-71-020 - Группа резервуаров №2Ростверк монолитный РСм3 (4шт)Монтаж каркасов пространственных КП2. Соединение элементов армокаркаса сваркой.</t>
  </si>
  <si>
    <t>P0-71-020 - Группа резервуаров №2Ростверк монолитный РСм3 (4шт)Устройство подбетонки из бетона В10 толщиной 100мм</t>
  </si>
  <si>
    <t>P0-71-020 - Группа резервуаров №2Ростверк монолитный РСм3 (4шт)Армирование ростверка РСм3 (4шт.) ПРЯМЫМИ стержнями диаметром 14мм и более.</t>
  </si>
  <si>
    <t>P0-71-020 - Группа резервуаров №2Ростверк монолитный РСм3 (4шт)Армирование ростверка РСм3 (4шт.)  ГНУТЫМИ стержнями диаметром 14мм и более.</t>
  </si>
  <si>
    <t>P0-71-020 - Группа резервуаров №2Ростверк монолитный РСм3 (4шт)Армированные плиты РСм3 (4шт.)  ГНУТЫМИ стержнями диаметром диаметром до 12мм.</t>
  </si>
  <si>
    <t xml:space="preserve">P0-71-020 - Группа резервуаров №2Ростверк монолитный РСм3 (4шт)Монтаж/демонтаж опалубки ростверка РСм3 (4шт.)    заводского изготовления </t>
  </si>
  <si>
    <t xml:space="preserve">P0-71-020 - Группа резервуаров №2Ростверк монолитный РСм3 (4шт)Бетонирование ростверка РСм3 (4шт.)  бетоном В25 W8 F200 </t>
  </si>
  <si>
    <t>P0-71-020 - Группа резервуаров №2Фундамент Фм1 (1шт)Устройство подбетонки из бетона В10 толщиной 100мм</t>
  </si>
  <si>
    <t>P0-71-020 - Группа резервуаров №2Фундамент Фм1 (1шт)Армирование ростверка Фм1 ПРЯМЫМИ стержнями диаметром до 12мм.</t>
  </si>
  <si>
    <t>P0-71-020 - Группа резервуаров №2Фундамент Фм1 (1шт)Армирование ростверка Фм1 ГНУТЫМИ стержнями диаметром до 12мм.</t>
  </si>
  <si>
    <t>P0-71-020 - Группа резервуаров №2Фундамент Фм1 (1шт)Монтаж/демонтаж опалубки ростверка Фм1(1шт) заводского изготовления нижний ярус</t>
  </si>
  <si>
    <t>P0-71-020 - Группа резервуаров №2Фундамент Фм1 (1шт)Монтаж/демонтаж опалубки ростверка Фм1(1шт) заводского изготовления верхний ярус</t>
  </si>
  <si>
    <t>P0-71-020 - Группа резервуаров №2Фундамент Фм1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</si>
  <si>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P0-71-020 - Группа резервуаров №2Фундамент Фм1 (1шт)Бетонирование ростверка Фм1(1шт) бетоном В25 W8 F200 </t>
  </si>
  <si>
    <t>P0-71-020 - Группа резервуаров №2Фундамент Фм1 (1шт)Устройство деформационного изоляционного шва  между ростверками фм1, шириной 100 мм, с заполнением герметиком</t>
  </si>
  <si>
    <t>P0-71-020 - Группа резервуаров №2Фундамент Фм1 (1шт)Укладка пенополистирола для деформационных швов между фундаментными плитами, шириной 20 мм</t>
  </si>
  <si>
    <t>P0-71-020 - Группа резервуаров №2Фундамент Фм2 (1шт)Устройство подбетонки из бетона В10 толщиной 100мм</t>
  </si>
  <si>
    <t>P0-71-020 - Группа резервуаров №2Фундамент Фм2 (1шт)Армирование ростверка Фм2 ПРЯМЫМИ стержнями диаметром до 12мм.</t>
  </si>
  <si>
    <t>P0-71-020 - Группа резервуаров №2Фундамент Фм2 (1шт)Армирование ростверка Фм2 ГНУТЫМИ стержнями диаметром до 12мм.</t>
  </si>
  <si>
    <t>P0-71-020 - Группа резервуаров №2Фундамент Фм2 (1шт)Монтаж/демонтаж опалубки ростверка Фм2(1шт) заводского изготовления нижний ярус</t>
  </si>
  <si>
    <t>P0-71-020 - Группа резервуаров №2Фундамент Фм2 (1шт)Монтаж/демонтаж опалубки ростверка Фм2(1шт) заводского изготовления верхний ярус</t>
  </si>
  <si>
    <t>P0-71-020 - Группа резервуаров №2Фундамент Фм2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</si>
  <si>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P0-71-020 - Группа резервуаров №2Фундамент Фм2 (1шт)Бетонирование ростверка Фм2(1шт) бетоном В25 W8 F200 </t>
  </si>
  <si>
    <t>P0-73-011 - Изотермический резервуар СПГ№1/LNG Storage Tank 1Плита резервуара (1 шт)Монтаж Труб гофрированных Ø 100мм. Т1 (12 шт.) по радиусу резервуара R43700</t>
  </si>
  <si>
    <t>P0-73-011 - Изотермический резервуар СПГ№1/LNG Storage Tank 1Плита резервуара (1 шт)Установка болты  Ø10мм из нержавеющей стали в верхней части плиты основания</t>
  </si>
  <si>
    <t xml:space="preserve">P0-73-011 - Изотермический резервуар СПГ№1/LNG Storage Tank 1Плита резервуара (1 шт)Монтаж закладных деталей плиты резервуара (1шт.) </t>
  </si>
  <si>
    <t xml:space="preserve">P0-73-011 - Изотермический резервуар СПГ№1/LNG Storage Tank 1Плита резервуара (1 шт)Устройство стяжки резервуара с уклоном </t>
  </si>
  <si>
    <t>P0-73-011 - Изотермический резервуар СПГ№1/LNG Storage Tank 1Плита резервуара (1 шт)Армированные плиты ГНУТЫЕ Арматуре (Ак 500) стержнями диаметром диаметром 14 мм и более</t>
  </si>
  <si>
    <t>P0-73-011 - Изотермический резервуар СПГ№1/LNG Storage Tank 1Плита резервуара (1 шт)Монтаж - демонтаж опалубки заводского изготовления фундаментной плиты между деформационных швов и изготовления боковой части</t>
  </si>
  <si>
    <t>P0-73-011 - Изотермический резервуар СПГ№1/LNG Storage Tank 1Плита резервуара (1 шт)Монтаж - демонтаж опалубки заводского изготовления фундаментной плиты изготовления боковой части</t>
  </si>
  <si>
    <t>P0-73-011 - Изотермический резервуар СПГ№1/LNG Storage Tank 1Плита резервуара (1 шт)Обеспечение шероховатости бетонной поверхности при устройстве вертикального рабочего шва. Обработка бетонной поверхности методом промывки водой под высоким давлением.</t>
  </si>
  <si>
    <t xml:space="preserve">P0-73-011 - Изотермический резервуар СПГ№1/LNG Storage Tank 1Плита резервуара (1 шт)Устройств плиты толщ.1250мм из бетона B50 W10 F300 </t>
  </si>
  <si>
    <t>P0-73-011 - Изотермический резервуар СПГ№1/LNG Storage Tank 1Плита резервуара (1 шт)Монтаж - Трубы каналов плиты</t>
  </si>
  <si>
    <t>P0-73-011 - Изотермический резервуар СПГ№1/LNG Storage Tank 1Плита резервуара (1 шт)Армированные плиты ГНУТЫЕ Арматуре (Ас 500) стержнями диаметром диаметром 14 мм и более</t>
  </si>
  <si>
    <t>P0-73-011 - Изотермический резервуар СПГ№1/LNG Storage Tank 1Плита резервуара (1 шт)Армированные плиты ГНУТЫМИ стержнями диаметром  до 12 мм</t>
  </si>
  <si>
    <t>P0-73-011 - Изотермический резервуар СПГ№1/LNG Storage Tank 1Плита резервуара (1 шт)Армированные плиты ГНУТЫМИ Арматуре (Ас 500) стержнями диаметром диаметром 14 мм и более</t>
  </si>
  <si>
    <t>P0-73-011 - Изотермический резервуар СПГ№1/LNG Storage Tank 1Плита резервуара (1 шт)Армированные плиты ПРЯМЫМИ Арматуре (Ас 500) стержнями диаметром диаметром 14 мм и более</t>
  </si>
  <si>
    <t>P0-73-011 - Изотермический резервуар СПГ№1/LNG Storage Tank 1Плита резервуара (1 шт)Армированные плиты ГНУТЫМИ Арматуре (А500) стержнями диаметром диаметром 14 мм и более</t>
  </si>
  <si>
    <t>P0-73-011 - Изотермический резервуар СПГ№1/LNG Storage Tank 1Плита резервуара (1 шт)Стыковое соединение арматурной муфтой Φ38мм на поз. А9 и А10</t>
  </si>
  <si>
    <t>P0-73-011 - Изотермический резервуар СПГ№1/LNG Storage Tank 1Плита резервуара (1 шт)Армированные плиты ПРЯМЫМИ Арматуре (Ан 600С) стержнями диаметром диаметром 14 мм и более</t>
  </si>
  <si>
    <t>P0-73-011 - Изотермический резервуар СПГ№1/LNG Storage Tank 1Плита резервуара (1 шт)Армированные плиты ПРЯМЫМИ Арматуре (Ан 600С) стержнями диаметром  до 12 мм</t>
  </si>
  <si>
    <t>P0-73-011 - Изотермический резервуар СПГ№1/LNG Storage Tank 1Плита резервуара (1 шт)Армирование стены внешнего резервуара ПРЯМЫМИ стержнями диаметром до 12мм</t>
  </si>
  <si>
    <t>P0-73-011 - Изотермический резервуар СПГ№1/LNG Storage Tank 1Плита резервуара (1 шт)Армирование стены внешнего резервуара ПРЯМЫМИ стержнями диаметром 14мм и более.</t>
  </si>
  <si>
    <t>P0-73-011 - Изотермический резервуар СПГ№1/LNG Storage Tank 1Плита резервуара (1 шт)Стыковое соединение арматурной муфтой Φ20 - Φ36мм с нарезкой резьбы для большой проем</t>
  </si>
  <si>
    <t>P0-73-011 - Изотермический резервуар СПГ№1/LNG Storage Tank 1Плита резервуара (1 шт)Стыковое соединение арматурной муфтой Φ20 - Φ36мм с нарезкой резьбы для малый проем</t>
  </si>
  <si>
    <t>P0-73-011 - Изотермический резервуар СПГ№1/LNG Storage Tank 1Плита резервуара (1 шт)Монтаж демонтаж опалубки стены внешнего резервуара</t>
  </si>
  <si>
    <t>P0-73-011 - Изотермический резервуар СПГ№1/LNG Storage Tank 1Плита резервуара (1 шт)Монтаж каналов для горизонтальных напрягаемых элементов стены внешнего резервуара</t>
  </si>
  <si>
    <t>P0-73-011 - Изотермический резервуар СПГ№1/LNG Storage Tank 1Плита резервуара (1 шт)Натяжение пучков из высокопрочной арматуры</t>
  </si>
  <si>
    <t>P0-73-011 - Изотермический резервуар СПГ№1/LNG Storage Tank 1Плита резервуара (1 шт)Монтаж прядей необходимого для операции по преднапряжения контфорса горизонтальных напрягаемых элементов  стены внешнего резервуара</t>
  </si>
  <si>
    <t>P0-73-011 - Изотермический резервуар СПГ№1/LNG Storage Tank 1Плита резервуара (1 шт)Установка анкерных блоков горизонтальных напрягаемых элементов стены внешнего резервуара  на контрфорсах</t>
  </si>
  <si>
    <t>P0-73-011 - Изотермический резервуар СПГ№1/LNG Storage Tank 1Плита резервуара (1 шт)Монтаж соединителей каналов для горизонтальных напрягаемых элементов стены внешнего резервуара</t>
  </si>
  <si>
    <t xml:space="preserve">P0-73-011 - Изотермический резервуар СПГ№1/LNG Storage Tank 1Плита резервуара (1 шт)Инъецирование каналов для промежуточного горизонтальных напрягаемых элементов стены внешнего резервуара </t>
  </si>
  <si>
    <t>P0-73-011 - Изотермический резервуар СПГ№1/LNG Storage Tank 1Плита резервуара (1 шт)Монтаж каналов для вертикальных напрягаемых элементов стены внешнего резервуара</t>
  </si>
  <si>
    <t>P0-73-011 - Изотермический резервуар СПГ№1/LNG Storage Tank 1Плита резервуара (1 шт)Монтаж дополнительного выпуска прядей необходимого для операции по преднапряжения контфорса вертикальных напрягаемых элементов  стены внешнего резервуара</t>
  </si>
  <si>
    <t>P0-73-011 - Изотермический резервуар СПГ№1/LNG Storage Tank 1Плита резервуара (1 шт)Установка анкерных блоков вертикальных напрягаемых элементов стены внешнего резервуара  на контрфорсах</t>
  </si>
  <si>
    <t>P0-73-011 - Изотермический резервуар СПГ№1/LNG Storage Tank 1Плита резервуара (1 шт)
Монтаж прядей необходимого для операции по преднапряжения контфорса вертикальных напрягаемых элементов  стены внешнего резервуара</t>
  </si>
  <si>
    <t xml:space="preserve">P0-73-011 - Изотермический резервуар СПГ№1/LNG Storage Tank 1Плита резервуара (1 шт)Инъецирование каналов для промежуточного вертикальных напрягаемых элементов стены внешнего резервуара </t>
  </si>
  <si>
    <t>P0-73-011 - Изотермический резервуар СПГ№1/LNG Storage Tank 1Бетонирование стены внешнего резервуара Монтаж закладных деталей ЗДИ3 резервуара весом от 50,1-70,0кг</t>
  </si>
  <si>
    <t>P0-73-011 - Изотермический резервуар СПГ№1/LNG Storage Tank 1Бетонирование стены внешнего резервуара Монтаж закладных деталей ЗДИ4 резервуара весом от 30,1-40,0кг</t>
  </si>
  <si>
    <t>P0-73-011 - Изотермический резервуар СПГ№1/LNG Storage Tank 1Бетонирование стены внешнего резервуара Монтаж закладных деталей ЗДИ2 резервуара весом от 70,1-100,0кг</t>
  </si>
  <si>
    <t>P0-73-011 - Изотермический резервуар СПГ№1/LNG Storage Tank 1Бетонирование стены внешнего резервуара Монтаж закладных деталей ЗДИ1 резервуара весом от 40,1-50,0кг</t>
  </si>
  <si>
    <t>P0-73-011 - Изотермический резервуар СПГ№1/LNG Storage Tank 1Бетонирование стены внешнего резервуара Монтаж закладных деталей ЗДИ5 резервуара весом от 40,1-50,0кг</t>
  </si>
  <si>
    <t>P0-73-011 - Изотермический резервуар СПГ№1/LNG Storage Tank 1Бетонирование стены внешнего резервуара Монтаж закладных деталей ЗДИ6 резервуара весом от 30,1-40,0кг</t>
  </si>
  <si>
    <t>P0-73-011 - Изотермический резервуар СПГ№1/LNG Storage Tank 1Бетонирование стены внешнего резервуара Монтаж закладных деталей ЗДг-1 резервуара весом от 200,1-300,0кг</t>
  </si>
  <si>
    <t>P0-73-011 - Изотермический резервуар СПГ№1/LNG Storage Tank 1Бетонирование стены внешнего резервуара Монтаж закладных деталей ЗДг-2 резервуара весом от 200,1-300,0кг</t>
  </si>
  <si>
    <t>P0-73-011 - Изотермический резервуар СПГ№1/LNG Storage Tank 1Бетонирование стены внешнего резервуара Монтаж закладных деталей ЗДг-3 резервуара весом от 100,1-140,0кг</t>
  </si>
  <si>
    <t>P0-73-011 - Изотермический резервуар СПГ№1/LNG Storage Tank 1Бетонирование стены внешнего резервуара Монтаж закладных деталей ЗДг-4 резервуара весом от 100,1-140,0кг</t>
  </si>
  <si>
    <t>P0-73-011 - Изотермический резервуар СПГ№1/LNG Storage Tank 1Бетонирование стены внешнего резервуара Монтаж закладных деталей ЗДв-1 резервуара весом от 50,1-70,0кг</t>
  </si>
  <si>
    <t>P0-73-011 - Изотермический резервуар СПГ№1/LNG Storage Tank 1Бетонирование стены внешнего резервуара Монтаж закладных деталей ЗДв-2 резервуара весом от 40,1-50,0кг</t>
  </si>
  <si>
    <t>P0-73-011 - Изотермический резервуар СПГ№1/LNG Storage Tank 1Бетонирование стены внешнего резервуара Монтаж закладных деталей ЗДв-3 резервуара весом от 50,1-70,0кг</t>
  </si>
  <si>
    <t>P0-73-011 - Изотермический резервуар СПГ№1/LNG Storage Tank 1Бетонирование стены внешнего резервуара Монтаж закладных деталей ЗДв-4 резервуара весом от 50,1-70,0кг</t>
  </si>
  <si>
    <t>P0-73-011 - Изотермический резервуар СПГ№1/LNG Storage Tank 1Бетонирование стены внешнего резервуара Монтаж закладных деталей ЗДв-5 резервуара весом от 50,1-70,0кг</t>
  </si>
  <si>
    <t>P0-73-011 - Изотермический резервуар СПГ№1/LNG Storage Tank 1Бетонирование стены внешнего резервуара Монтаж закладных деталей ЗДв-6 резервуара весом от 2,1-5,0кг</t>
  </si>
  <si>
    <t>P0-02-080 - Эстакада к ГПП-4 и КПП№1Ростверк РСм1 (14 шт)Устройство бетонной подготовки фундаментов РСм1 из бетона В10, толщ. 100 мм (14шт.)</t>
  </si>
  <si>
    <t>P0-02-080 - Эстакада к ГПП-4 и КПП№1Ростверк РСм1 (14 шт)Армирование фундамента РСм1 (14 шт)  ГНУТЫМИ сварными стержнями диаметром 14 мм и более</t>
  </si>
  <si>
    <t xml:space="preserve">P0-02-080 - Эстакада к ГПП-4 и КПП№1Ростверк РСм1 (14 шт)Армирование фундамента РСм1 (14 шт)  ГНУТЫМИ сварными стержнями диаметром 14 мм и более - изготовление </t>
  </si>
  <si>
    <t>P0-02-080 - Эстакада к ГПП-4 и КПП№1Ростверк РСм1 (14 шт)Армирование фундамента  РСм1 (14 шт)  ПРЯМЫМИ стержнями диаметром  14 мм и более</t>
  </si>
  <si>
    <t xml:space="preserve">P0-02-080 - Эстакада к ГПП-4 и КПП№1Ростверк РСм1 (14 шт)Армирование фундамента  РСм1 (14 шт)  ПРЯМЫМИ стержнями диаметром  14 мм и более-изготовление </t>
  </si>
  <si>
    <t>P0-02-080 - Эстакада к ГПП-4 и КПП№1Ростверк РСм1 (14 шт)Армирование фундамента  РСм1 (14 шт)   ГНУТЫМИ стержнями диаметром  до 12 мм</t>
  </si>
  <si>
    <t>P0-02-080 - Эстакада к ГПП-4 и КПП№1Ростверк РСм1 (14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</si>
  <si>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P0-02-080 - Эстакада к ГПП-4 и КПП№1Ростверк РСм1 (14 шт)Монтаж и демонтаж опалубки ростверкаРСм1 (14 шт)</t>
  </si>
  <si>
    <t>P0-02-080 - Эстакада к ГПП-4 и КПП№1Ростверк РСм1 (14 шт)Бетонирование ростверка РСм1 (14 шт)</t>
  </si>
  <si>
    <t>P0-02-080 - Эстакада к ГПП-4 и КПП№1Ростверк РСм1а (12 шт)Устройство бетонной подготовки фундаментов РСм1 из бетона В10, толщ. 100 мм (14шт.)</t>
  </si>
  <si>
    <t>P0-02-080 - Эстакада к ГПП-4 и КПП№1Ростверк РСм1а (12 шт)Армирование фундамента РСм1а (12 шт)  ГНУТЫМИ сварными стержнями диаметром 14 мм и более</t>
  </si>
  <si>
    <t>P0-02-080 - Эстакада к ГПП-4 и КПП№1Ростверк РСм1а (12 шт)Армирование фундамента  РСм1а (12 шт)  ПРЯМЫМИ стержнями диаметром  14 мм и более</t>
  </si>
  <si>
    <t>P0-02-080 - Эстакада к ГПП-4 и КПП№1Ростверк РСм1а (12 шт)Армирование фундамента  РСм1а (12 шт)   ГНУТЫМИ стержнями диаметром  до 12 мм</t>
  </si>
  <si>
    <t>P0-02-080 - Эстакада к ГПП-4 и КПП№1Ростверк РСм1а (12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</si>
  <si>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P0-02-080 - Эстакада к ГПП-4 и КПП№1Ростверк РСм1а (12 шт)Монтаж и демонтаж опалубки ростверка РСм1а (12 шт)</t>
  </si>
  <si>
    <t>P0-02-080 - Эстакада к ГПП-4 и КПП№1Ростверк РСм1а (12 шт)Бетонирование ростверка РСм1а (12 шт)</t>
  </si>
  <si>
    <t xml:space="preserve">P0-02-080 - Эстакада к ГПП-4 и КПП№1Ростверк РСм2 (4 шт)Устройство бетонной подготовки фундаментов РСм2 (4 шт) из бетона В10, толщ. 100 мм </t>
  </si>
  <si>
    <t>P0-02-080 - Эстакада к ГПП-4 и КПП№1Ростверк РСм2 (4 шт)Армирование фундамента РСм2 (4 шт)  ГНУТЫМИ сварными стержнями 14 мм и более</t>
  </si>
  <si>
    <t>P0-02-080 - Эстакада к ГПП-4 и КПП№1Ростверк РСм2 (4 шт)Армирование фундамента РСм2 (4 шт) ПРЯМЫМИ сварными стержнями 14 мм и более</t>
  </si>
  <si>
    <t>P0-02-080 - Эстакада к ГПП-4 и КПП№1Ростверк РСм2 (4 шт)Армирование фундамента РСм2 (4 шт)   ГНУТЫМИ стержнями диаметром  до 12 мм</t>
  </si>
  <si>
    <t>P0-02-080 - Эстакада к ГПП-4 и КПП№1Ростверк РСм2 (4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</si>
  <si>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P0-02-080 - Эстакада к ГПП-4 и КПП№1Ростверк РСм2 (4 шт)Монтаж и демонтаж опалубки ростверка РСм2 (4 шт)</t>
  </si>
  <si>
    <t>P0-02-080 - Эстакада к ГПП-4 и КПП№1Ростверк РСм2 (4 шт)Бетонирование ростверка РСм2 (4 шт)</t>
  </si>
  <si>
    <t xml:space="preserve">P0-02-080 - Эстакада к ГПП-4 и КПП№1Ростверк РСм2a (4 шт)Устройство бетонной подготовки фундаментов РСм2a (4 шт) из бетона В10, толщ. 100 мм </t>
  </si>
  <si>
    <t>P0-02-080 - Эстакада к ГПП-4 и КПП№1Ростверк РСм2a (4 шт)Армирование фундамента РСм2a (4 шт)  ГНУТЫМИ сварными стержнями 14 мм и более</t>
  </si>
  <si>
    <t>P0-02-080 - Эстакада к ГПП-4 и КПП№1Ростверк РСм2a (4 шт)Армирование фундамента РСм2a (4 шт) ПРЯМЫМИ сварными стержнями 14 мм и более</t>
  </si>
  <si>
    <t>P0-02-080 - Эстакада к ГПП-4 и КПП№1Ростверк РСм2a (4 шт)Армирование фундамента РСм2a (4 шт)   ГНУТЫМИ стержнями диаметром  до 12 мм</t>
  </si>
  <si>
    <t>P0-02-080 - Эстакада к ГПП-4 и КПП№1Ростверк РСм2a (4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</si>
  <si>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P0-02-080 - Эстакада к ГПП-4 и КПП№1Ростверк РСм2a (4 шт)Монтаж и демонтаж опалубки ростверка РСм2a (4 шт)</t>
  </si>
  <si>
    <t>P0-02-080 - Эстакада к ГПП-4 и КПП№1Ростверк РСм2a (4 шт)Бетонирование ростверка РСм2a (4 шт)</t>
  </si>
  <si>
    <t xml:space="preserve">P0-02-080 - Эстакада к ГПП-4 и КПП№1Ростверк РСм3 (2 шт)Устройство бетонной подготовки фундаментов РСм3 (2 шт) из бетона В10, толщ. 100 мм </t>
  </si>
  <si>
    <t>P0-02-080 - Эстакада к ГПП-4 и КПП№1Ростверк РСм3 (2 шт)Армирование фундамента РСм3 (2 шт)  ГНУТЫМИ сварными стержнями 14 мм и более</t>
  </si>
  <si>
    <t>P0-02-080 - Эстакада к ГПП-4 и КПП№1Ростверк РСм3 (2 шт)Армирование фундамента РСм3 (2 шт) ПРЯМЫМИ сварными стержнями 14 мм и более</t>
  </si>
  <si>
    <t>P0-02-080 - Эстакада к ГПП-4 и КПП№1Ростверк РСм3 (2 шт)Армирование фундамента РСм3 (2 шт)  ГНУТЫМИ стержнями диаметром  до 12 мм</t>
  </si>
  <si>
    <t>P0-02-080 - Эстакада к ГПП-4 и КПП№1Ростверк РСм3 (2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</si>
  <si>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P0-02-080 - Эстакада к ГПП-4 и КПП№1Ростверк РСм3 (2 шт)Монтаж и демонтаж опалубки ростверка РСм3 (2 шт)</t>
  </si>
  <si>
    <t>P0-02-080 - Эстакада к ГПП-4 и КПП№1Ростверк РСм3 (2 шт)Бетонирование ростверкаРСм3 (2 шт)</t>
  </si>
  <si>
    <t>P0-02-080 - Эстакада к ГПП-4 и КПП№1Колонны монолитные Км1-1 (2 шт)Армированные колонн Км1 (2 шт) ГНУТЫМИ стержнями диаметром до 12 мм</t>
  </si>
  <si>
    <t xml:space="preserve">P0-02-080 - Эстакада к ГПП-4 и КПП№1Колонны монолитные Км1-1 (2 шт)Армированные колонн Км1 (2 шт) ГНУТЫМИ стержнями диаметром до 12 мм - Изготовление </t>
  </si>
  <si>
    <t>P0-02-080 - Эстакада к ГПП-4 и КПП№1Колонны монолитные Км1-1 (2 шт)Армированные колонн Км1 (2 шт) ПРЯМЫМИ стержнями диаметром 14 мм и более</t>
  </si>
  <si>
    <t xml:space="preserve">P0-02-080 - Эстакада к ГПП-4 и КПП№1Колонны монолитные Км1-1 (2 шт)Армированные колонн Км1 (2 шт) ПРЯМЫМИ стержнями диаметром 14 мм и более - Изготовление </t>
  </si>
  <si>
    <t xml:space="preserve">P0-02-080 - Эстакада к ГПП-4 и КПП№1Колонны монолитные Км1-1 (2 шт)Установка анкерных болтов М1 (перед бетонированием) диаметром от Ø20мм до Ø40мм </t>
  </si>
  <si>
    <t>P0-02-080 - Эстакада к ГПП-4 и КПП№1Колонны монолитные Км1-1 (2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</si>
  <si>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P0-02-080 - Эстакада к ГПП-4 и КПП№1Колонны монолитные Км1-1 (2 шт)Монтаж и демонтаж опалубки заводского изготовления колонн Км1(2 шт)</t>
  </si>
  <si>
    <t xml:space="preserve">P0-02-080 - Эстакада к ГПП-4 и КПП№1Колонны монолитные Км1-1 (2 шт)Бетонирование колонн Км1(2 шт) из бетона B25 W8 F200 </t>
  </si>
  <si>
    <t>P0-02-080 - Эстакада к ГПП-4 и КПП№1Колонны монолитные Км1-1 (2 шт)Устройство подливки колонн Км1 толщиной 50мм
(2 шт)</t>
  </si>
  <si>
    <t>P0-02-080 - Эстакада к ГПП-4 и КПП№1Колонны монолитные Км1-1 (2 шт)Монтаж закладных деталей ЗДИ1 колонн Км1-1  весом от
5,1-8,0кг.</t>
  </si>
  <si>
    <t>P0-02-080 - Эстакада к ГПП-4 и КПП№1Колонны монолитные Км1-1 (2 шт)Монтаж закладных деталей ЗДИ2 колонн Км1-1 весом от
8,0-15,0кг.</t>
  </si>
  <si>
    <t>P0-02-080 - Эстакада к ГПП-4 и КПП№1Колонны монолитные Км1-2 (6 шт)Армированные колонн Км1 (6 шт) ГНУТЫМИ стержнями диаметром до 12 мм</t>
  </si>
  <si>
    <t>P0-02-080 - Эстакада к ГПП-4 и КПП№1Колонны монолитные Км1-2 (6 шт)Армированные колонн Км1 (6 шт) ПРЯМЫМИ стержнями диаметром 14 мм и более</t>
  </si>
  <si>
    <t xml:space="preserve">P0-02-080 - Эстакада к ГПП-4 и КПП№1Колонны монолитные Км1-2 (6 шт)Установка анкерных болтов М1 (перед бетонированием) диаметром от Ø20мм до Ø40мм </t>
  </si>
  <si>
    <t>P0-02-080 - Эстакада к ГПП-4 и КПП№1Колонны монолитные Км1-2 (6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</si>
  <si>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P0-02-080 - Эстакада к ГПП-4 и КПП№1Колонны монолитные Км1-2 (6 шт)Монтаж и демонтаж опалубки заводского изготовления колонн Км1(6 шт)</t>
  </si>
  <si>
    <t xml:space="preserve">P0-02-080 - Эстакада к ГПП-4 и КПП№1Колонны монолитные Км1-2 (6 шт)Бетонирование колонн Км1(6 шт) из бетона B25 W8 F200 </t>
  </si>
  <si>
    <t>P0-02-080 - Эстакада к ГПП-4 и КПП№1Колонны монолитные Км1-2 (6 шт)Устройство подливки колонн Км1 толщиной 50мм
(6 шт)</t>
  </si>
  <si>
    <t>P0-02-080 - Эстакада к ГПП-4 и КПП№1Колонны монолитные Км1-2 (6 шт)Монтаж закладных деталей ЗДИ1 колонн Км1-2  весом от
5,1-8,0кг.</t>
  </si>
  <si>
    <t>P0-02-080 - Эстакада к ГПП-4 и КПП№1Колонны монолитные Км1-2 (6 шт)Монтаж закладных деталей ЗДИ2 колонн Км1-2 весом от
8,0-15,0кг.</t>
  </si>
  <si>
    <t>P0-02-080 - Эстакада к ГПП-4 и КПП№1Колонны монолитные Км1-3 (2 шт)Армированные колонн Км1 (2 шт) ГНУТЫМИ стержнями диаметром до 12 мм</t>
  </si>
  <si>
    <t>P0-02-080 - Эстакада к ГПП-4 и КПП№1Колонны монолитные Км1-3 (2 шт)Армированные колонн Км1 (2 шт) ПРЯМЫМИ стержнями диаметром 14 мм и более</t>
  </si>
  <si>
    <t xml:space="preserve">P0-02-080 - Эстакада к ГПП-4 и КПП№1Колонны монолитные Км1-3 (2 шт)Установка анкерных болтов М1 (перед бетонированием) диаметром от Ø20мм до Ø40мм </t>
  </si>
  <si>
    <t>P0-02-080 - Эстакада к ГПП-4 и КПП№1Колонны монолитные Км1-3 (2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</si>
  <si>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P0-02-080 - Эстакада к ГПП-4 и КПП№1Колонны монолитные Км1-3 (2 шт)Монтаж и демонтаж опалубки заводского изготовления колонн Км1(2 шт)</t>
  </si>
  <si>
    <t xml:space="preserve">P0-02-080 - Эстакада к ГПП-4 и КПП№1Колонны монолитные Км1-3 (2 шт)Бетонирование колонн Км1(2 шт) из бетона B25 W8 F200 </t>
  </si>
  <si>
    <t>P0-02-080 - Эстакада к ГПП-4 и КПП№1Колонны монолитные Км1-3 (2 шт)Устройство подливки колонн Км1 толщиной 50мм
(2 шт)</t>
  </si>
  <si>
    <t>P0-02-080 - Эстакада к ГПП-4 и КПП№1Колонны монолитные Км1-3 (2 шт)Монтаж закладных деталей ЗДИ1 колонн Км1-3  весом от
5,1-8,0кг.</t>
  </si>
  <si>
    <t>P0-02-080 - Эстакада к ГПП-4 и КПП№1Колонны монолитные Км1-3 (2 шт)Монтаж закладных деталей ЗДИ2 колонн Км1-3 весом от
8,0-15,0кг.</t>
  </si>
  <si>
    <t>P0-02-080 - Эстакада к ГПП-4 и КПП№1Колонны монолитные Км1-3 (2 шт)Монтаж закладных деталей ЗДИ6 колонн Км1-3 весом от
5,0-8,0кг.</t>
  </si>
  <si>
    <t>P0-02-080 - Эстакада к ГПП-4 и КПП№1Колонны монолитные Км1-4 (2 шт)Армированные колонн Км1 (2 шт) ГНУТЫМИ стержнями диаметром до 12 мм</t>
  </si>
  <si>
    <t>P0-02-080 - Эстакада к ГПП-4 и КПП№1Колонны монолитные Км1-4 (2 шт)Армированные колонн Км1 (2 шт) ПРЯМЫМИ стержнями диаметром 14 мм и более</t>
  </si>
  <si>
    <t xml:space="preserve">P0-02-080 - Эстакада к ГПП-4 и КПП№1Колонны монолитные Км1-4 (2 шт)Установка анкерных болтов М1 (перед бетонированием) диаметром от Ø20мм до Ø40мм </t>
  </si>
  <si>
    <t>P0-02-080 - Эстакада к ГПП-4 и КПП№1Колонны монолитные Км1-4 (2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</si>
  <si>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P0-02-080 - Эстакада к ГПП-4 и КПП№1Колонны монолитные Км1-4 (2 шт)Монтаж и демонтаж опалубки заводского изготовления колонн Км1(2 шт)</t>
  </si>
  <si>
    <t xml:space="preserve">P0-02-080 - Эстакада к ГПП-4 и КПП№1Колонны монолитные Км1-4 (2 шт)Бетонирование колонн Км1(2 шт) из бетона B25 W8 F200 </t>
  </si>
  <si>
    <t>P0-02-080 - Эстакада к ГПП-4 и КПП№1Колонны монолитные Км1-4 (2 шт)Устройство подливки колонн Км1 толщиной 50мм
(2 шт)</t>
  </si>
  <si>
    <t>P0-02-080 - Эстакада к ГПП-4 и КПП№1Колонны монолитные Км1-4 (2 шт)Монтаж закладных деталей ЗДИ1 колонн Км1-4  весом от
5,1-8,0кг.</t>
  </si>
  <si>
    <t>P0-02-080 - Эстакада к ГПП-4 и КПП№1Колонны монолитные Км1-4 (2 шт)Монтаж закладных деталей ЗДИ2 колонн Км1-4 весом от
8,0-15,0кг.</t>
  </si>
  <si>
    <t>P0-02-080 - Эстакада к ГПП-4 и КПП№1Колонны монолитные Км2-1 (2 шт)Армированные колонн Км2 (2 шт) ГНУТЫМИ стержнями диаметром до 12 мм</t>
  </si>
  <si>
    <t>P0-02-080 - Эстакада к ГПП-4 и КПП№1Колонны монолитные Км2-1 (2 шт)Армированные колонн Км2 (2 шт) ПРЯМЫМИ стержнями диаметром 14 мм и более</t>
  </si>
  <si>
    <t xml:space="preserve">P0-02-080 - Эстакада к ГПП-4 и КПП№1Колонны монолитные Км2-1 (2 шт)Установка анкерных болтов М1 (перед бетонированием) диаметром от Ø20мм до Ø40мм </t>
  </si>
  <si>
    <t>P0-02-080 - Эстакада к ГПП-4 и КПП№1Колонны монолитные Км2-1 (2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</si>
  <si>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P0-02-080 - Эстакада к ГПП-4 и КПП№1Колонны монолитные Км2-1 (2 шт)Монтаж и демонтаж опалубки заводского изготовления колонн Км2(2 шт)</t>
  </si>
  <si>
    <t xml:space="preserve">P0-02-080 - Эстакада к ГПП-4 и КПП№1Колонны монолитные Км2-1 (2 шт)Бетонирование колонн Км2(2 шт) из бетона B25 W8 F200 </t>
  </si>
  <si>
    <t>P0-02-080 - Эстакада к ГПП-4 и КПП№1Колонны монолитные Км2-1 (2 шт)Устройство подливки колонн Км2 толщиной 50мм
(2 шт)</t>
  </si>
  <si>
    <t>P0-02-080 - Эстакада к ГПП-4 и КПП№1Колонны монолитные Км2-1 (2 шт)Монтаж закладных деталей ЗДИ1 колонн Км2-1  весом от
5,1-8,0кг.</t>
  </si>
  <si>
    <t>P0-02-080 - Эстакада к ГПП-4 и КПП№1Колонны монолитные Км2-1 (2 шт)Монтаж закладных деталей ЗДИ2 колонн Км2-1 весом от
8,0-15,0кг.</t>
  </si>
  <si>
    <t>P0-02-080 - Эстакада к ГПП-4 и КПП№1Колонны монолитные Км2-2 (5 шт)Армированные колонн Км2 (5 шт) ГНУТЫМИ стержнями диаметром до 12 мм</t>
  </si>
  <si>
    <t>P0-02-080 - Эстакада к ГПП-4 и КПП№1Колонны монолитные Км2-2 (5 шт)Армированные колонн Км2 (5 шт) ПРЯМЫМИ стержнями диаметром 14 мм и более</t>
  </si>
  <si>
    <t xml:space="preserve">P0-02-080 - Эстакада к ГПП-4 и КПП№1Колонны монолитные Км2-2 (5 шт)Установка анкерных болтов М1 (перед бетонированием) диаметром от Ø20мм до Ø40мм </t>
  </si>
  <si>
    <t>P0-02-080 - Эстакада к ГПП-4 и КПП№1Колонны монолитные Км2-2 (5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</si>
  <si>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P0-02-080 - Эстакада к ГПП-4 и КПП№1Колонны монолитные Км2-2 (5 шт)Монтаж и демонтаж опалубки заводского изготовления колонн Км2(5 шт)</t>
  </si>
  <si>
    <t xml:space="preserve">P0-02-080 - Эстакада к ГПП-4 и КПП№1Колонны монолитные Км2-2 (5 шт)Бетонирование колонн Км2(5 шт) из бетона B25 W8 F200 </t>
  </si>
  <si>
    <t>P0-02-080 - Эстакада к ГПП-4 и КПП№1Колонны монолитные Км2-2 (5 шт)Устройство подливки колонн Км2 толщиной 50мм
(5 шт)</t>
  </si>
  <si>
    <t>P0-02-080 - Эстакада к ГПП-4 и КПП№1Колонны монолитные Км2-2 (5 шт)Монтаж закладных деталей ЗДИ1 колонн Км2-2  весом от
5,1-8,0кг.</t>
  </si>
  <si>
    <t>P0-02-080 - Эстакада к ГПП-4 и КПП№1Колонны монолитные Км2-2 (5 шт)Монтаж закладных деталей ЗДИ2 колонн Км2-2 весом от
8,0-15,0кг.</t>
  </si>
  <si>
    <t>P0-02-080 - Эстакада к ГПП-4 и КПП№1Колонны монолитные Км2-3 (1 шт)Армированные колонн Км2 (1 шт) ГНУТЫМИ стержнями диаметром до 12 мм</t>
  </si>
  <si>
    <t>P0-02-080 - Эстакада к ГПП-4 и КПП№1Колонны монолитные Км2-3 (1 шт)Армированные колонн Км2 (1 шт) ПРЯМЫМИ стержнями диаметром 14 мм и более</t>
  </si>
  <si>
    <t xml:space="preserve">P0-02-080 - Эстакада к ГПП-4 и КПП№1Колонны монолитные Км2-3 (1 шт)Установка анкерных болтов М1 (перед бетонированием) диаметром от Ø20мм до Ø40мм </t>
  </si>
  <si>
    <t>P0-02-080 - Эстакада к ГПП-4 и КПП№1Колонны монолитные Км2-3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</si>
  <si>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P0-02-080 - Эстакада к ГПП-4 и КПП№1Колонны монолитные Км2-3 (1 шт)Монтаж и демонтаж опалубки заводского изготовления колонн Км2(1 шт)</t>
  </si>
  <si>
    <t xml:space="preserve">P0-02-080 - Эстакада к ГПП-4 и КПП№1Колонны монолитные Км2-3 (1 шт)Бетонирование колонн Км2(1 шт) из бетона B25 W8 F200 </t>
  </si>
  <si>
    <t>P0-02-080 - Эстакада к ГПП-4 и КПП№1Колонны монолитные Км2-3 (1 шт)Устройство подливки колонн Км2 толщиной 50мм
(1 шт)</t>
  </si>
  <si>
    <t>P0-02-080 - Эстакада к ГПП-4 и КПП№1Колонны монолитные Км2-3 (1 шт)Монтаж закладных деталей ЗДИ1 колонн Км2-3  весом от
5,1-8,0кг.</t>
  </si>
  <si>
    <t>P0-02-080 - Эстакада к ГПП-4 и КПП№1Колонны монолитные Км2-3 (1 шт)Монтаж закладных деталей ЗДИ2 колонн Км2-3 весом от
8,0-15,0кг.</t>
  </si>
  <si>
    <t>P0-02-080 - Эстакада к ГПП-4 и КПП№1Колонны монолитные Км2-3 (1 шт)Монтаж закладных деталей ЗДИ6 колонн Км2-3 весом от
5,0-8,0кг.</t>
  </si>
  <si>
    <t>P0-02-080 - Эстакада к ГПП-4 и КПП№1Колонны монолитные Км2-4 (1 шт)Армированные колонн Км2 (1 шт) ГНУТЫМИ стержнями диаметром до 12 мм</t>
  </si>
  <si>
    <t>P0-02-080 - Эстакада к ГПП-4 и КПП№1Колонны монолитные Км2-4 (1 шт)Армированные колонн Км2 (1 шт) ПРЯМЫМИ стержнями диаметром 14 мм и более</t>
  </si>
  <si>
    <t xml:space="preserve">P0-02-080 - Эстакада к ГПП-4 и КПП№1Колонны монолитные Км2-4 (1 шт)Установка анкерных болтов М1 (перед бетонированием) диаметром от Ø20мм до Ø40мм </t>
  </si>
  <si>
    <t>P0-02-080 - Эстакада к ГПП-4 и КПП№1Колонны монолитные Км2-4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</si>
  <si>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P0-02-080 - Эстакада к ГПП-4 и КПП№1Колонны монолитные Км2-4 (1 шт)Монтаж и демонтаж опалубки заводского изготовления колонн Км2(1 шт)</t>
  </si>
  <si>
    <t xml:space="preserve">P0-02-080 - Эстакада к ГПП-4 и КПП№1Колонны монолитные Км2-4 (1 шт)Бетонирование колонн Км2(1 шт) из бетона B25 W8 F200 </t>
  </si>
  <si>
    <t>P0-02-080 - Эстакада к ГПП-4 и КПП№1Колонны монолитные Км2-4 (1 шт)Устройство подливки колонн Км2 толщиной 50мм
(1 шт)</t>
  </si>
  <si>
    <t>P0-02-080 - Эстакада к ГПП-4 и КПП№1Колонны монолитные Км2-4 (1 шт)Монтаж закладных деталей ЗДИ1 колонн Км2-4  весом от
5,1-8,0кг.</t>
  </si>
  <si>
    <t>P0-02-080 - Эстакада к ГПП-4 и КПП№1Колонны монолитные Км2-4 (1 шт)Монтаж закладных деталей ЗДИ2 колонн Км2-4 весом от
8,0-15,0кг.</t>
  </si>
  <si>
    <t>P0-02-080 - Эстакада к ГПП-4 и КПП№1Колонны монолитные Км2-4 (1 шт)Монтаж закладных деталей ЗДИ6 колонн Км2-4 весом от
5,0-8,0кг.</t>
  </si>
  <si>
    <t>P0-02-080 - Эстакада к ГПП-4 и КПП№1Колонны монолитные Км2-5 (3 шт)Армированные колонн Км2 (3 шт) ГНУТЫМИ стержнями диаметром до 12 мм</t>
  </si>
  <si>
    <t>P0-02-080 - Эстакада к ГПП-4 и КПП№1Колонны монолитные Км2-5 (3 шт)Армированные колонн Км2 (3 шт) ПРЯМЫМИ стержнями диаметром 14 мм и более</t>
  </si>
  <si>
    <t xml:space="preserve">P0-02-080 - Эстакада к ГПП-4 и КПП№1Колонны монолитные Км2-5 (3 шт)Установка анкерных болтов М1 (перед бетонированием) диаметром от Ø20мм до Ø40мм </t>
  </si>
  <si>
    <t>P0-02-080 - Эстакада к ГПП-4 и КПП№1Колонны монолитные Км2-5 (3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</si>
  <si>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P0-02-080 - Эстакада к ГПП-4 и КПП№1Колонны монолитные Км2-5 (3 шт)Монтаж и демонтаж опалубки заводского изготовления колонн Км2(3 шт)</t>
  </si>
  <si>
    <t xml:space="preserve">P0-02-080 - Эстакада к ГПП-4 и КПП№1Колонны монолитные Км2-5 (3 шт)Бетонирование колонн Км2(3 шт) из бетона B25 W8 F200 </t>
  </si>
  <si>
    <t>P0-02-080 - Эстакада к ГПП-4 и КПП№1Колонны монолитные Км2-5 (3 шт)Устройство подливки колонн Км2 толщиной 50мм
(3 шт)</t>
  </si>
  <si>
    <t>P0-02-080 - Эстакада к ГПП-4 и КПП№1Колонны монолитные Км2-5 (3 шт)Монтаж закладных деталей ЗДИ1 колонн Км2-5  весом от
5,1-8,0кг.</t>
  </si>
  <si>
    <t>P0-02-080 - Эстакада к ГПП-4 и КПП№1Колонны монолитные Км2-5 (3 шт)Монтаж закладных деталей ЗДИ2 колонн Км2-5 весом от
8,0-15,0кг.</t>
  </si>
  <si>
    <t>P0-02-080 - Эстакада к ГПП-4 и КПП№1Колонны монолитные Км2-6 (1 шт)Армированные колонн Км2 (1 шт) ГНУТЫМИ стержнями диаметром до 12 мм</t>
  </si>
  <si>
    <t>P0-02-080 - Эстакада к ГПП-4 и КПП№1Колонны монолитные Км2-6 (1 шт)Армированные колонн Км2 (1 шт) ПРЯМЫМИ стержнями диаметром 14 мм и более</t>
  </si>
  <si>
    <t xml:space="preserve">P0-02-080 - Эстакада к ГПП-4 и КПП№1Колонны монолитные Км2-6 (1 шт)Установка анкерных болтов М1 (перед бетонированием) диаметром от Ø20мм до Ø40мм </t>
  </si>
  <si>
    <t>P0-02-080 - Эстакада к ГПП-4 и КПП№1Колонны монолитные Км2-6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</si>
  <si>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P0-02-080 - Эстакада к ГПП-4 и КПП№1Колонны монолитные Км2-6 (1 шт)Монтаж и демонтаж опалубки заводского изготовления колонн Км2(1 шт)</t>
  </si>
  <si>
    <t xml:space="preserve">P0-02-080 - Эстакада к ГПП-4 и КПП№1Колонны монолитные Км2-6 (1 шт)Бетонирование колонн Км2(1 шт) из бетона B25 W8 F200 </t>
  </si>
  <si>
    <t>P0-02-080 - Эстакада к ГПП-4 и КПП№1Колонны монолитные Км2-6 (1 шт)Устройство подливки колонн Км2 толщиной 50мм
(1 шт)</t>
  </si>
  <si>
    <t>P0-02-080 - Эстакада к ГПП-4 и КПП№1Колонны монолитные Км2-6 (1 шт)Монтаж закладных деталей ЗДИ1 колонн Км2-5  весом от
5,1-8,0кг.</t>
  </si>
  <si>
    <t>P0-02-080 - Эстакада к ГПП-4 и КПП№1Колонны монолитные Км2-6 (1 шт)Монтаж закладных деталей ЗДИ2 колонн Км2-6 весом от
8,0-15,0кг.</t>
  </si>
  <si>
    <t>P0-02-080 - Эстакада к ГПП-4 и КПП№1Колонны монолитные Км2-6 (1 шт)Монтаж закладных деталей ЗДИ6 колонн Км2-6 весом от
5,0-8,0кг.</t>
  </si>
  <si>
    <t>P0-02-080 - Эстакада к ГПП-4 и КПП№1Колонны монолитные Км2-7 (1 шт)Армированные колонн Км2 (1 шт) ГНУТЫМИ стержнями диаметром до 12 мм</t>
  </si>
  <si>
    <t>P0-02-080 - Эстакада к ГПП-4 и КПП№1Колонны монолитные Км2-7 (1 шт)Армированные колонн Км2 (1 шт) ПРЯМЫМИ стержнями диаметром 14 мм и более</t>
  </si>
  <si>
    <t xml:space="preserve">P0-02-080 - Эстакада к ГПП-4 и КПП№1Колонны монолитные Км2-7 (1 шт)Установка анкерных болтов М1 (перед бетонированием) диаметром от Ø20мм до Ø40мм </t>
  </si>
  <si>
    <t>P0-02-080 - Эстакада к ГПП-4 и КПП№1Колонны монолитные Км2-7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</si>
  <si>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P0-02-080 - Эстакада к ГПП-4 и КПП№1Колонны монолитные Км2-7 (1 шт)Монтаж и демонтаж опалубки заводского изготовления колонн Км2(1 шт)</t>
  </si>
  <si>
    <t xml:space="preserve">P0-02-080 - Эстакада к ГПП-4 и КПП№1Колонны монолитные Км2-7 (1 шт)Бетонирование колонн Км2(1 шт) из бетона B25 W8 F200 </t>
  </si>
  <si>
    <t>P0-02-080 - Эстакада к ГПП-4 и КПП№1Колонны монолитные Км2-7 (1 шт)Устройство подливки колонн Км2 толщиной 50мм
(1 шт)</t>
  </si>
  <si>
    <t>P0-02-080 - Эстакада к ГПП-4 и КПП№1Колонны монолитные Км2-7 (1 шт)Монтаж закладных деталей ЗДИ1 колонн Км2-7  весом от
5,1-8,0кг.</t>
  </si>
  <si>
    <t>P0-02-080 - Эстакада к ГПП-4 и КПП№1Колонны монолитные Км2-7 (1 шт)Монтаж закладных деталей ЗДИ2 колонн Км2-7 весом от
8,0-15,0кг.</t>
  </si>
  <si>
    <t>P0-02-080 - Эстакада к ГПП-4 и КПП№1Колонны монолитные Км2-7 (1 шт)Монтаж закладных деталей ЗДИ6 колонн Км2-7 весом от
5,0-8,0кг.</t>
  </si>
  <si>
    <t>P0-02-080 - Эстакада к ГПП-4 и КПП№1Колонны монолитные Км3-1 (1 шт)Армированные колонн Км3 (1 шт) ГНУТЫМИ стержнями диаметром до 12 мм</t>
  </si>
  <si>
    <t>P0-02-080 - Эстакада к ГПП-4 и КПП№1Колонны монолитные Км3-1 (1 шт)Армированные колонн Км3 (1 шт) ПРЯМЫМИ стержнями диаметром 14 мм и более</t>
  </si>
  <si>
    <t xml:space="preserve">P0-02-080 - Эстакада к ГПП-4 и КПП№1Колонны монолитные Км3-1 (1 шт)Установка анкерных болтов М1 (перед бетонированием) диаметром от Ø20мм до Ø40мм </t>
  </si>
  <si>
    <t>P0-02-080 - Эстакада к ГПП-4 и КПП№1Колонны монолитные Км3-1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</si>
  <si>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P0-02-080 - Эстакада к ГПП-4 и КПП№1Колонны монолитные Км3-1 (1 шт)Монтаж и демонтаж опалубки заводского изготовления колонн Км3(1 шт)</t>
  </si>
  <si>
    <t xml:space="preserve">P0-02-080 - Эстакада к ГПП-4 и КПП№1Колонны монолитные Км3-1 (1 шт)Бетонирование колонн Км3(1 шт) из бетона B25 W8 F200 </t>
  </si>
  <si>
    <t>P0-02-080 - Эстакада к ГПП-4 и КПП№1Колонны монолитные Км3-1 (1 шт)Устройство подливки колонн Км3 толщиной 50мм
(1 шт)</t>
  </si>
  <si>
    <t>P0-02-080 - Эстакада к ГПП-4 и КПП№1Колонны монолитные Км3-1 (1 шт)Монтаж закладных деталей ЗДИ1 колонн Км3-1  весом от
5,1-8,0кг.</t>
  </si>
  <si>
    <t>P0-02-080 - Эстакада к ГПП-4 и КПП№1Колонны монолитные Км3-1 (1 шт)Монтаж закладных деталей ЗДИ6 колонн Км3-1 весом от
8,0-15,0кг.</t>
  </si>
  <si>
    <t>P0-02-080 - Эстакада к ГПП-4 и КПП№1Колонны монолитные Км3-2 (1 шт)Армированные колонн Км3 (1 шт) ГНУТЫМИ стержнями диаметром до 12 мм</t>
  </si>
  <si>
    <t>P0-02-080 - Эстакада к ГПП-4 и КПП№1Колонны монолитные Км3-2 (1 шт)Армированные колонн Км3 (1 шт) ПРЯМЫМИ стержнями диаметром 14 мм и более</t>
  </si>
  <si>
    <t xml:space="preserve">P0-02-080 - Эстакада к ГПП-4 и КПП№1Колонны монолитные Км3-2 (1 шт)Установка анкерных болтов М1 (перед бетонированием) диаметром от Ø20мм до Ø40мм </t>
  </si>
  <si>
    <t>P0-02-080 - Эстакада к ГПП-4 и КПП№1Колонны монолитные Км3-2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</si>
  <si>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P0-02-080 - Эстакада к ГПП-4 и КПП№1Колонны монолитные Км3-2 (1 шт)Монтаж и демонтаж опалубки заводского изготовления колонн Км3(1 шт)</t>
  </si>
  <si>
    <t xml:space="preserve">P0-02-080 - Эстакада к ГПП-4 и КПП№1Колонны монолитные Км3-2 (1 шт)Бетонирование колонн Км3(1 шт) из бетона B25 W8 F200 </t>
  </si>
  <si>
    <t>P0-02-080 - Эстакада к ГПП-4 и КПП№1Колонны монолитные Км3-2 (1 шт)Устройство подливки колонн Км3 толщиной 50мм
(1 шт)</t>
  </si>
  <si>
    <t>P0-02-080 - Эстакада к ГПП-4 и КПП№1Колонны монолитные Км3-2 (1 шт)Монтаж закладных деталей ЗДИ1 колонн Км3-2  весом от
5,1-8,0кг.</t>
  </si>
  <si>
    <t>P0-02-080 - Эстакада к ГПП-4 и КПП№1Колонны монолитные Км3-2 (1 шт)Монтаж закладных деталей ЗДИ6 колонн Км3-2 весом от
8,0-15,0кг.</t>
  </si>
  <si>
    <t>P0-02-080 - Эстакада к ГПП-4 и КПП№1Колонны монолитные Км3-3 (1 шт)Армированные колонн Км3 (1 шт) ГНУТЫМИ стержнями диаметром до 12 мм</t>
  </si>
  <si>
    <t>P0-02-080 - Эстакада к ГПП-4 и КПП№1Колонны монолитные Км3-3 (1 шт)Армированные колонн Км3 (1 шт) ПРЯМЫМИ стержнями диаметром 14 мм и более</t>
  </si>
  <si>
    <t xml:space="preserve">P0-02-080 - Эстакада к ГПП-4 и КПП№1Колонны монолитные Км3-3 (1 шт)Установка анкерных болтов М1 (перед бетонированием) диаметром от Ø20мм до Ø40мм </t>
  </si>
  <si>
    <t>P0-02-080 - Эстакада к ГПП-4 и КПП№1Колонны монолитные Км3-3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</si>
  <si>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P0-02-080 - Эстакада к ГПП-4 и КПП№1Колонны монолитные Км3-3 (1 шт)Монтаж и демонтаж опалубки заводского изготовления колонн Км3(1 шт)</t>
  </si>
  <si>
    <t xml:space="preserve">P0-02-080 - Эстакада к ГПП-4 и КПП№1Колонны монолитные Км3-3 (1 шт)Бетонирование колонн Км3(1 шт) из бетона B25 W8 F200 </t>
  </si>
  <si>
    <t>P0-02-080 - Эстакада к ГПП-4 и КПП№1Колонны монолитные Км3-3 (1 шт)Устройство подливки колонн Км3 толщиной 50мм
(1 шт)</t>
  </si>
  <si>
    <t>P0-02-080 - Эстакада к ГПП-4 и КПП№1Колонны монолитные Км3-3 (1 шт)Монтаж закладных деталей ЗДИ1 колонн Км3-3  весом от
5,1-8,0кг.</t>
  </si>
  <si>
    <t>P0-02-080 - Эстакада к ГПП-4 и КПП№1Колонны монолитные Км3-3 (1 шт)Монтаж закладных деталей ЗДИ6 колонн Км3-3 весом от
8,0-15,0кг.</t>
  </si>
  <si>
    <t>P0-02-080 - Эстакада к ГПП-4 и КПП№1Колонны монолитные Км3-3 (1 шт)Монтаж закладных деталей ЗДИ7 колонн Км3-3 весом от
8,0-15,0кг.</t>
  </si>
  <si>
    <t>P0-02-080 - Эстакада к ГПП-4 и КПП№1Колонны монолитные Км3-4 (1 шт)Армированные колонн Км3 (1 шт) ГНУТЫМИ стержнями диаметром до 12 мм</t>
  </si>
  <si>
    <t>P0-02-080 - Эстакада к ГПП-4 и КПП№1Колонны монолитные Км3-4 (1 шт)Армированные колонн Км3 (1 шт) ПРЯМЫМИ стержнями диаметром 14 мм и более</t>
  </si>
  <si>
    <t xml:space="preserve">P0-02-080 - Эстакада к ГПП-4 и КПП№1Колонны монолитные Км3-4 (1 шт)Установка анкерных болтов М1 (перед бетонированием) диаметром от Ø20мм до Ø40мм </t>
  </si>
  <si>
    <t>P0-02-080 - Эстакада к ГПП-4 и КПП№1Колонны монолитные Км3-4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</si>
  <si>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P0-02-080 - Эстакада к ГПП-4 и КПП№1Колонны монолитные Км3-4 (1 шт)Монтаж и демонтаж опалубки заводского изготовления колонн Км3(1 шт)</t>
  </si>
  <si>
    <t xml:space="preserve">P0-02-080 - Эстакада к ГПП-4 и КПП№1Колонны монолитные Км3-4 (1 шт)Бетонирование колонн Км3(1 шт) из бетона B25 W8 F200 </t>
  </si>
  <si>
    <t>P0-02-080 - Эстакада к ГПП-4 и КПП№1Колонны монолитные Км3-4 (1 шт)Устройство подливки колонн Км3 толщиной 50мм
(1 шт)</t>
  </si>
  <si>
    <t>P0-02-080 - Эстакада к ГПП-4 и КПП№1Колонны монолитные Км3-4 (1 шт)Монтаж закладных деталей ЗДИ1 колонн Км3-4  весом от
5,1-8,0кг.</t>
  </si>
  <si>
    <t>P0-02-080 - Эстакада к ГПП-4 и КПП№1Колонны монолитные Км3-4 (1 шт)Монтаж закладных деталей ЗДИ6 колонн Км3-4 весом от
8,0-15,0кг.</t>
  </si>
  <si>
    <t>P0-02-080 - Эстакада к ГПП-4 и КПП№1Колонны монолитные Км3-4 (1 шт)Монтаж закладных деталей ЗДИ7 колонн Км3-4 весом от
8,0-15,0кг.</t>
  </si>
  <si>
    <t>P0-02-080 - Эстакада к ГПП-4 и КПП№1Рама монолитная Рм1 (1 шт)Армированные раме Рм1 (1 шт) ГНУТЫМИ стержнями диаметром до 12 мм</t>
  </si>
  <si>
    <t>P0-02-080 - Эстакада к ГПП-4 и КПП№1Рама монолитная Рм1 (1 шт)Армированные раме Рм1 (1 шт) ПРЯМЫМИ стержнями диаметром 14 мм и более</t>
  </si>
  <si>
    <t>P0-02-080 - Эстакада к ГПП-4 и КПП№1Рама монолитная Рм1 (1 шт)Армированные раме Рм1 (1 шт) ГНУТЫМИ стержнями диаметром 14 мм и более</t>
  </si>
  <si>
    <t xml:space="preserve">P0-02-080 - Эстакада к ГПП-4 и КПП№1Рама монолитная Рм1 (1 шт)Установка анкерных болтов М1 (перед бетонированием) диаметром от Ø20мм до Ø40мм </t>
  </si>
  <si>
    <t>P0-02-080 - Эстакада к ГПП-4 и КПП№1Рама монолитная Рм1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</si>
  <si>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P0-02-080 - Эстакада к ГПП-4 и КПП№1Рама монолитная Рм1 (1 шт)Монтаж и демонтаж опалубки заводского изготовления раме Рм1(1 шт)</t>
  </si>
  <si>
    <t xml:space="preserve">P0-02-080 - Эстакада к ГПП-4 и КПП№1Рама монолитная Рм1 (1 шт)Бетонирование раме Рм1(1 шт) из бетона B25 W8 F200 </t>
  </si>
  <si>
    <t>P0-02-080 - Эстакада к ГПП-4 и КПП№1Рама монолитная Рм1 (1 шт)Устройство подливки раме Рм1 толщиной 50мм
(1 шт)</t>
  </si>
  <si>
    <t>P0-02-080 - Эстакада к ГПП-4 и КПП№1Рама монолитная Рм1 (1 шт)Монтаж закладных деталей ЗДИ1 раме Рм1  весом от
5,1-8,0кг.</t>
  </si>
  <si>
    <t>P0-02-080 - Эстакада к ГПП-4 и КПП№1Рама монолитная Рм1 (1 шт)Монтаж закладных деталей ЗДИ3 раме Рм1  весом от
5,1-8,0кг.</t>
  </si>
  <si>
    <t>P0-02-080 - Эстакада к ГПП-4 и КПП№1Рама монолитная Рм1 (1 шт)Монтаж закладных деталей ЗДИ4 раме Рм1  весом от
8,0-15,0кг.</t>
  </si>
  <si>
    <t>P0-02-080 - Эстакада к ГПП-4 и КПП№1Рама монолитная Рм1 (1 шт)Монтаж закладных деталей ЗДИ5 раме Рм1 весом от
15,0-30,0кг.</t>
  </si>
  <si>
    <t>P0-02-080 - Эстакада к ГПП-4 и КПП№1Рама монолитная Рм1а (1 шт)Армированные раме Рм1 (1 шт) ГНУТЫМИ стержнями диаметром до 12 мм</t>
  </si>
  <si>
    <t>P0-02-080 - Эстакада к ГПП-4 и КПП№1Рама монолитная Рм1а (1 шт)Армированные раме Рм1а (1 шт) ПРЯМЫМИ стержнями диаметром 14 мм и более</t>
  </si>
  <si>
    <t>P0-02-080 - Эстакада к ГПП-4 и КПП№1Рама монолитная Рм1а (1 шт)Армированные раме Рм1а (1 шт) ГНУТЫМИ стержнями диаметром 14 мм и более</t>
  </si>
  <si>
    <t xml:space="preserve">P0-02-080 - Эстакада к ГПП-4 и КПП№1Рама монолитная Рм1а (1 шт)Установка анкерных болтов М1 (перед бетонированием) диаметром от Ø20мм до Ø40мм </t>
  </si>
  <si>
    <t>P0-02-080 - Эстакада к ГПП-4 и КПП№1Рама монолитная Рм1а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</si>
  <si>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P0-02-080 - Эстакада к ГПП-4 и КПП№1Рама монолитная Рм1а (1 шт)Монтаж и демонтаж опалубки заводского изготовления раме Рм1а(1 шт)</t>
  </si>
  <si>
    <t xml:space="preserve">P0-02-080 - Эстакада к ГПП-4 и КПП№1Рама монолитная Рм1а (1 шт)Бетонирование раме Рм1а(1 шт) из бетона B25 W8 F200 </t>
  </si>
  <si>
    <t>P0-02-080 - Эстакада к ГПП-4 и КПП№1Рама монолитная Рм1а (1 шт)Устройство подливки раме Рм1а толщиной 50мм
(1 шт)</t>
  </si>
  <si>
    <t>P0-02-080 - Эстакада к ГПП-4 и КПП№1Рама монолитная Рм1а (1 шт)Монтаж закладных деталей ЗДИ1 раме Рм1а  весом от
5,1-8,0кг.</t>
  </si>
  <si>
    <t>P0-02-080 - Эстакада к ГПП-4 и КПП№1Рама монолитная Рм1а (1 шт)Монтаж закладных деталей ЗДИ3 раме Рм1а  весом от
5,1-8,0кг.</t>
  </si>
  <si>
    <t>P0-02-080 - Эстакада к ГПП-4 и КПП№1Рама монолитная Рм1а (1 шт)Монтаж закладных деталей ЗДИ4 раме Рм1а  весом от
8,0-15,0кг.</t>
  </si>
  <si>
    <t>P0-02-080 - Эстакада к ГПП-4 и КПП№1Рама монолитная Рм1а (1 шт)Монтаж закладных деталей ЗДИ5 раме Рм1а весом от
15,0-30,0кг.</t>
  </si>
  <si>
    <t>P0-02-080 - Эстакада к ГПП-4 и КПП№1Рама монолитная Рм2 (1 шт)Армированные раме Рм2 (1 шт) ГНУТЫМИ стержнями диаметром до 12 мм</t>
  </si>
  <si>
    <t>P0-02-080 - Эстакада к ГПП-4 и КПП№1Рама монолитная Рм2 (1 шт)Армированные раме Рм2 (1 шт) ПРЯМЫМИ стержнями диаметром 14 мм и более</t>
  </si>
  <si>
    <t>P0-02-080 - Эстакада к ГПП-4 и КПП№1Рама монолитная Рм2 (1 шт)Армированные раме Рм2 (1 шт) ГНУТЫМИ стержнями диаметром 14 мм и более</t>
  </si>
  <si>
    <t xml:space="preserve">P0-02-080 - Эстакада к ГПП-4 и КПП№1Рама монолитная Рм2 (1 шт)Установка анкерных болтов М1 (перед бетонированием) диаметром от Ø20мм до Ø40мм </t>
  </si>
  <si>
    <t>P0-02-080 - Эстакада к ГПП-4 и КПП№1Рама монолитная Рм2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</si>
  <si>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P0-02-080 - Эстакада к ГПП-4 и КПП№1Рама монолитная Рм2 (1 шт)Монтаж и демонтаж опалубки заводского изготовления раме Рм2(1 шт)</t>
  </si>
  <si>
    <t xml:space="preserve">P0-02-080 - Эстакада к ГПП-4 и КПП№1Рама монолитная Рм2 (1 шт)Бетонирование раме Рм2(1 шт) из бетона B25 W8 F200 </t>
  </si>
  <si>
    <t>P0-02-080 - Эстакада к ГПП-4 и КПП№1Рама монолитная Рм2 (1 шт)Устройство подливки раме Рм2 толщиной 50мм
(1 шт)</t>
  </si>
  <si>
    <t>P0-02-080 - Эстакада к ГПП-4 и КПП№1Рама монолитная Рм2 (1 шт)Монтаж закладных деталей ЗДИ1 раме Рм2  весом от
5,1-8,0кг.</t>
  </si>
  <si>
    <t>P0-02-080 - Эстакада к ГПП-4 и КПП№1Рама монолитная Рм2 (1 шт)Монтаж закладных деталей ЗДИ3 раме Рм2  весом от
5,1-8,0кг.</t>
  </si>
  <si>
    <t>P0-02-080 - Эстакада к ГПП-4 и КПП№1Рама монолитная Рм2 (1 шт)Монтаж закладных деталей ЗДИ4 раме Рм2  весом от
8,0-15,0кг.</t>
  </si>
  <si>
    <t>P0-02-080 - Эстакада к ГПП-4 и КПП№1Рама монолитная Рм2 (1 шт)Монтаж закладных деталей ЗДИ5 раме Рм2 весом от
15,0-30,0кг.</t>
  </si>
  <si>
    <t>P0-02-080 - Эстакада к ГПП-4 и КПП№1Рама монолитная Рм2а (1 шт)Армированные раме Рм2а (1 шт) ГНУТЫМИ стержнями диаметром до 12 мм</t>
  </si>
  <si>
    <t>P0-02-080 - Эстакада к ГПП-4 и КПП№1Рама монолитная Рм2а (1 шт)Армированные раме Рм2а (1 шт) ПРЯМЫМИ стержнями диаметром 14 мм и более</t>
  </si>
  <si>
    <t>P0-02-080 - Эстакада к ГПП-4 и КПП№1Рама монолитная Рм2а (1 шт)Армированные раме Рм2а (1 шт) ГНУТЫМИ стержнями диаметром 14 мм и более</t>
  </si>
  <si>
    <t xml:space="preserve">P0-02-080 - Эстакада к ГПП-4 и КПП№1Рама монолитная Рм2а (1 шт)Установка анкерных болтов М1 (перед бетонированием) диаметром от Ø20мм до Ø40мм </t>
  </si>
  <si>
    <t>P0-02-080 - Эстакада к ГПП-4 и КПП№1Рама монолитная Рм2а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</si>
  <si>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P0-02-080 - Эстакада к ГПП-4 и КПП№1Рама монолитная Рм2а (1 шт)Монтаж и демонтаж опалубки заводского изготовления раме Рм2а(1 шт)</t>
  </si>
  <si>
    <t xml:space="preserve">P0-02-080 - Эстакада к ГПП-4 и КПП№1Рама монолитная Рм2а (1 шт)Бетонирование раме Рм2а(1 шт) из бетона B25 W8 F200 </t>
  </si>
  <si>
    <t>P0-02-080 - Эстакада к ГПП-4 и КПП№1Рама монолитная Рм2а (1 шт)Устройство подливки раме Рм2а толщиной 50мм
(1 шт)</t>
  </si>
  <si>
    <t>P0-02-080 - Эстакада к ГПП-4 и КПП№1Рама монолитная Рм2а (1 шт)Монтаж закладных деталей ЗДИ1 раме Рм2а  весом от
5,1-8,0кг.</t>
  </si>
  <si>
    <t>P0-02-080 - Эстакада к ГПП-4 и КПП№1Рама монолитная Рм2а (1 шт)Монтаж закладных деталей ЗДИ3 раме Рм2а  весом от
5,1-8,0кг.</t>
  </si>
  <si>
    <t>P0-02-080 - Эстакада к ГПП-4 и КПП№1Рама монолитная Рм2а (1 шт)Монтаж закладных деталей ЗДИ4 раме Рм2а  весом от
8,0-15,0кг.</t>
  </si>
  <si>
    <t>P0-02-080 - Эстакада к ГПП-4 и КПП№1Рама монолитная Рм2а (1 шт)Монтаж закладных деталей ЗДИ5 раме Рм2а весом от
15,0-30,0кг.</t>
  </si>
  <si>
    <t>P0-02-090 - Эстакада к зданию служебно-бытового комплексаРостверк монолитный РСм1 (12 шт)Обратная засыпка песком средней крупности вручную</t>
  </si>
  <si>
    <t xml:space="preserve">P0-02-090 - Эстакада к зданию служебно-бытового комплексаРостверк монолитный РСм1 (12 шт)Уплотнение вручную </t>
  </si>
  <si>
    <t>P0-02-090 - Эстакада к зданию служебно-бытового комплексаРостверк монолитный РСм1 (12 шт)Устройство бетонной подготовки фундаментов РСм1 из бетона В10, толщ. 100 мм(12 шт.)</t>
  </si>
  <si>
    <t>P0-02-090 - Эстакада к зданию служебно-бытового комплексаРостверк монолитный РСм1 (12 шт)Монтаж - демонтаж опалубки заводского изготовления для фундамента  РСм1 (12 шт) нижний ярус</t>
  </si>
  <si>
    <t>P0-02-090 - Эстакада к зданию служебно-бытового комплексаРостверк монолитный РСм1 (12 шт)Армированные фундамента РСм1 (12 шт)  ПРЯМИМИ стержнями диаметром 14 мм и более</t>
  </si>
  <si>
    <t>P0-02-090 - Эстакада к зданию служебно-бытового комплексаРостверк монолитный РСм1 (12 шт)Армированные фундамента РСм1 (12 шт)  ГНУТЫЕ стержнями диаметром 14 мм и более</t>
  </si>
  <si>
    <t>P0-02-090 - Эстакада к зданию служебно-бытового комплексаРостверк монолитный РСм1 (12 шт)Армированные фундамента  РСм1 (12 шт)  ГНУТЫЕ стержнями диаметром  до 12 мм</t>
  </si>
  <si>
    <t>P0-02-090 - Эстакада к зданию служебно-бытового комплексаРостверк монолитный РСм1 (12 шт)Устройство фундамента  РСм1 (12 шт) из бетона  B25 W8 F200</t>
  </si>
  <si>
    <t>P0-02-090 - Эстакада к зданию служебно-бытового комплексаРостверк монолитный РСм1 (12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</si>
  <si>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P0-02-090 - Эстакада к зданию служебно-бытового комплексаРостверк монолитный РСм2 (8 шт)Обратная засыпка песком средней крупности вручную</t>
  </si>
  <si>
    <t xml:space="preserve">P0-02-090 - Эстакада к зданию служебно-бытового комплексаРостверк монолитный РСм2 (8 шт)Уплотнение вручную </t>
  </si>
  <si>
    <t>P0-02-090 - Эстакада к зданию служебно-бытового комплексаРостверк монолитный РСм2 (8 шт)Устройство бетонной подготовки фундаментов РСм2 из бетона В10, толщ. 100 мм(8шт.)</t>
  </si>
  <si>
    <t>P0-02-090 - Эстакада к зданию служебно-бытового комплексаРостверк монолитный РСм2 (8 шт)Монтаж - демонтаж опалубки заводского изготовления для фундамента  РСм2 (8 шт) нижний ярус</t>
  </si>
  <si>
    <t>P0-02-090 - Эстакада к зданию служебно-бытового комплексаРостверк монолитный РСм2 (8 шт)Армированные фундамента РСм2 (8 шт)  ПРЯМИМИ стержнями диаметром 14 мм и более</t>
  </si>
  <si>
    <t>P0-02-090 - Эстакада к зданию служебно-бытового комплексаРостверк монолитный РСм2 (8 шт)Армированные фундамента РСм2 (8 шт)  ГНУТЫЕ стержнями диаметром 14 мм и более</t>
  </si>
  <si>
    <t>P0-02-090 - Эстакада к зданию служебно-бытового комплексаРостверк монолитный РСм2 (8 шт)Армированные фундамента  РСм2 (8 шт)  ГНУТЫЕ стержнями диаметром  до 12 мм</t>
  </si>
  <si>
    <t>P0-02-090 - Эстакада к зданию служебно-бытового комплексаРостверк монолитный РСм2 (8 шт)Устройство фундамента  РСм2 (8 шт) из бетона  B25 W8 F200</t>
  </si>
  <si>
    <t>P0-02-090 - Эстакада к зданию служебно-бытового комплексаРостверк монолитный РСм2 (8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</si>
  <si>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P0-02-090 - Эстакада к зданию служебно-бытового комплексаРостверк монолитный РСм3 (2 шт)Обратная засыпка песком средней крупности вручную</t>
  </si>
  <si>
    <t xml:space="preserve">P0-02-090 - Эстакада к зданию служебно-бытового комплексаРостверк монолитный РСм3 (2 шт)Уплотнение вручную </t>
  </si>
  <si>
    <t>P0-02-090 - Эстакада к зданию служебно-бытового комплексаРостверк монолитный РСм3 (2 шт)Устройство бетонной подготовки фундаментов РСм3 из бетона В10, толщ. 100 мм(2 шт.)</t>
  </si>
  <si>
    <t>P0-02-090 - Эстакада к зданию служебно-бытового комплексаРостверк монолитный РСм3 (2 шт)Монтаж - демонтаж опалубки заводского изготовления для фундамента  РСм3 (2 шт) нижний ярус</t>
  </si>
  <si>
    <t>P0-02-090 - Эстакада к зданию служебно-бытового комплексаРостверк монолитный РСм3 (2 шт)Армированные фундамента РСм3 (2 шт)  ПРЯМИМИ стержнями диаметром 14 мм и более</t>
  </si>
  <si>
    <t>P0-02-090 - Эстакада к зданию служебно-бытового комплексаРостверк монолитный РСм3 (2 шт)Армированные фундамента РСм3 (2 шт)  ГНУТЫЕ стержнями диаметром 14 мм и более</t>
  </si>
  <si>
    <t>P0-02-090 - Эстакада к зданию служебно-бытового комплексаРостверк монолитный РСм3 (2 шт)Армированные фундамента  РСм3 (2 шт)  ГНУТЫЕ стержнями диаметром  до 12 мм</t>
  </si>
  <si>
    <t>P0-02-090 - Эстакада к зданию служебно-бытового комплексаРостверк монолитный РСм3 (2 шт)Устройство фундамента  РСм3 (2 шт) из бетона  B25 W8 F200</t>
  </si>
  <si>
    <t>P0-02-090 - Эстакада к зданию служебно-бытового комплексаРостверк монолитный РСм3 (2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</si>
  <si>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P0-02-090 - Эстакада к зданию служебно-бытового комплексаРостверк монолитный РСм4 (9 шт)Обратная засыпка песком средней крупности вручную</t>
  </si>
  <si>
    <t xml:space="preserve">P0-02-090 - Эстакада к зданию служебно-бытового комплексаРостверк монолитный РСм4 (9 шт)Уплотнение вручную </t>
  </si>
  <si>
    <t>P0-02-090 - Эстакада к зданию служебно-бытового комплексаРостверк монолитный РСм4 (9 шт)Устройство бетонной подготовки фундаментов РСм4 из бетона В10, толщ. 100 мм(9 шт.)</t>
  </si>
  <si>
    <t>P0-02-090 - Эстакада к зданию служебно-бытового комплексаРостверк монолитный РСм4 (9 шт)Монтаж - демонтаж опалубки заводского изготовления для фундамента  РСм4 (9 шт) нижний ярус</t>
  </si>
  <si>
    <t>P0-02-090 - Эстакада к зданию служебно-бытового комплексаРостверк монолитный РСм4 (9 шт)Армированные фундамента РСм4 (9 шт)  ПРЯМИМИ стержнями диаметром 14 мм и более</t>
  </si>
  <si>
    <t>P0-02-090 - Эстакада к зданию служебно-бытового комплексаРостверк монолитный РСм4 (9 шт)Армированные фундамента РСм4 (9 шт)  ГНУТЫЕ стержнями диаметром 14 мм и более</t>
  </si>
  <si>
    <t>P0-02-090 - Эстакада к зданию служебно-бытового комплексаРостверк монолитный РСм4 (9 шт)Армированные фундамента  РСм4 (9 шт)  ГНУТЫЕ стержнями диаметром  до 12 мм</t>
  </si>
  <si>
    <t>P0-02-090 - Эстакада к зданию служебно-бытового комплексаРостверк монолитный РСм4 (9 шт)Устройство фундамента  РСм4 (9 шт) из бетона  B25 W8 F200</t>
  </si>
  <si>
    <t>P0-02-090 - Эстакада к зданию служебно-бытового комплексаРостверк монолитный РСм4 (9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</si>
  <si>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комплексаРостверк монолитный РСм4 (9 шт)Изготовление и монтаж каркасов пространственных КР1 весом 12,24 кг/шт </t>
  </si>
  <si>
    <t>P0-02-090 - Эстакада к зданию служебно-бытового комплексаКолонна монолитная Км1-1 (1шт)Армирование колонн Км1-1 ПРЯМЫМИ стержнями диаметром 14мм и более.</t>
  </si>
  <si>
    <t>P0-02-090 - Эстакада к зданию служебно-бытового комплексаКолонна монолитная Км1-1 (1шт)Армирование колонн Км1-1 ГНУТЫМИ стержнями диаметром до 12мм</t>
  </si>
  <si>
    <t xml:space="preserve">P0-02-090 - Эстакада к зданию служебно-бытового комплексаКолонна монолитная Км1-1 (1шт)Установка анкерных блоков АБ1 весом 28.46кг/шт (перед бетонированием) диаметром от Ø20мм до Ø40мм </t>
  </si>
  <si>
    <t>P0-02-090 - Эстакада к зданию служебно-бытового комплексаКолонна монолитная Км1-1 (1шт)Монтаж закладных деталей ЗДИ5 колонн весом от 40,1-50,0кг</t>
  </si>
  <si>
    <t>P0-02-090 - Эстакада к зданию служебно-бытового комплексаКолонна монолитная Км1-1 (1шт)Монтаж закладных деталей ЗДИ7 колонн весом от 20,1-30,0кг</t>
  </si>
  <si>
    <t>P0-02-090 - Эстакада к зданию служебно-бытового комплексаКолонна монолитная Км1-1 (1шт)Монтаж закладных деталей ЗДИ11 колонн весом от 8,0-15,0кг.</t>
  </si>
  <si>
    <t>P0-02-090 - Эстакада к зданию служебно-бытового комплексаКолонна монолитная Км1-1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</si>
  <si>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комплексаКолонна монолитная Км1-1 (1шт)Монтаж/демонтаж опалубки колонн рамы Км1-1(1шт) заводского изготовления </t>
  </si>
  <si>
    <t>P0-02-090 - Эстакада к зданию служебно-бытового комплексаКолонна монолитная Км1-1 (1шт)Бетонирование колонн Км1-1 (1шт) бетоном В25 W8 F200</t>
  </si>
  <si>
    <t>P0-02-090 - Эстакада к зданию служебно-бытового комплексаКолонна монолитная Км1-1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</si>
  <si>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комплексаКолонна монолитная Км1-2 (1шт)Армирование колонн Км1-2 ПРЯМЫМИ стержнями диаметром 14мм и более.</t>
  </si>
  <si>
    <t>P0-02-090 - Эстакада к зданию служебно-бытового комплексаКолонна монолитная Км1-2 (1шт)Армирование колонн Км1-2 ГНУТЫМИ стержнями диаметром до 12мм</t>
  </si>
  <si>
    <t xml:space="preserve">P0-02-090 - Эстакада к зданию служебно-бытового комплексаКолонна монолитная Км1-2 (1шт)Установка анкерных блоков АБ1 весом 28.46кг/шт (перед бетонированием) диаметром от Ø20мм до Ø40мм </t>
  </si>
  <si>
    <t>P0-02-090 - Эстакада к зданию служебно-бытового комплексаКолонна монолитная Км1-2 (1шт)Монтаж закладных деталей ЗДИ5 колонн весом от 40,1-50,0кг</t>
  </si>
  <si>
    <t>P0-02-090 - Эстакада к зданию служебно-бытового комплексаКолонна монолитная Км1-2 (1шт)Монтаж закладных деталей ЗДИ7 колонн весом от 20,1-30,0кг</t>
  </si>
  <si>
    <t>P0-02-090 - Эстакада к зданию служебно-бытового комплексаКолонна монолитная Км1-2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</si>
  <si>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комплексаКолонна монолитная Км1-2 (1шт)Монтаж/демонтаж опалубки колонн рамы Км1-2 (1шт) заводского изготовления </t>
  </si>
  <si>
    <t>P0-02-090 - Эстакада к зданию служебно-бытового комплексаКолонна монолитная Км1-2 (1шт)Бетонирование колонн Км1-2 (1шт) бетоном В25 W8 F200</t>
  </si>
  <si>
    <t>P0-02-090 - Эстакада к зданию служебно-бытового комплексаКолонна монолитная Км1-2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</si>
  <si>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комплексаКолонна монолитная Км1-3 (1шт)Армирование колонн Км1-3 ПРЯМЫМИ стержнями диаметром 14мм и более.</t>
  </si>
  <si>
    <t>P0-02-090 - Эстакада к зданию служебно-бытового комплексаКолонна монолитная Км1-3 (1шт)Армирование колонн Км1-3 ГНУТЫМИ стержнями диаметром до 12мм</t>
  </si>
  <si>
    <t xml:space="preserve">P0-02-090 - Эстакада к зданию служебно-бытового комплексаКолонна монолитная Км1-3 (1шт)Установка анкерных блоков АБ1 весом 28.46кг/шт (перед бетонированием) диаметром от Ø20мм до Ø40мм </t>
  </si>
  <si>
    <t>P0-02-090 - Эстакада к зданию служебно-бытового комплексаКолонна монолитная Км1-3 (1шт)Монтаж закладных деталей ЗДИ4 колонн весом от 70,1-100,0кг</t>
  </si>
  <si>
    <t>P0-02-090 - Эстакада к зданию служебно-бытового комплексаКолонна монолитная Км1-3 (1шт)Монтаж закладных деталей ЗДИ5 колонн весом от 40,1-50,0кг</t>
  </si>
  <si>
    <t>P0-02-090 - Эстакада к зданию служебно-бытового комплексаКолонна монолитная Км1-3 (1шт)Монтаж закладных деталей ЗДИ7 колонн весом от 20,1-30,0кг</t>
  </si>
  <si>
    <t>P0-02-090 - Эстакада к зданию служебно-бытового комплексаКолонна монолитная Км1-3 (1шт)Монтаж закладных деталей ЗДИ11 колонн весом от 8,0-15,0кг.</t>
  </si>
  <si>
    <t>P0-02-090 - Эстакада к зданию служебно-бытового комплексаКолонна монолитная Км1-3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</si>
  <si>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комплексаКолонна монолитная Км1-3 (1шт)Монтаж/демонтаж опалубки колонн рамы Км1-3(1шт) заводского изготовления </t>
  </si>
  <si>
    <t>P0-02-090 - Эстакада к зданию служебно-бытового комплексаКолонна монолитная Км1-3 (1шт)Бетонирование колонн Км1-3 (1шт) бетоном В25 W8 F200</t>
  </si>
  <si>
    <t>P0-02-090 - Эстакада к зданию служебно-бытового комплексаКолонна монолитная Км1-3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</si>
  <si>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комплексаКолонна монолитная Км1-4 (2шт)Армирование колонн Км1-4 ПРЯМЫМИ стержнями диаметром 14мм и более.</t>
  </si>
  <si>
    <t>P0-02-090 - Эстакада к зданию служебно-бытового комплексаКолонна монолитная Км1-4 (2шт)Армирование колонн Км1-4 ГНУТЫМИ стержнями диаметром до 12мм</t>
  </si>
  <si>
    <t xml:space="preserve">P0-02-090 - Эстакада к зданию служебно-бытового комплексаКолонна монолитная Км1-4 (2шт)Установка анкерных блоков АБ1 весом 28.46кг/шт (перед бетонированием) диаметром от Ø20мм до Ø40мм </t>
  </si>
  <si>
    <t>P0-02-090 - Эстакада к зданию служебно-бытового комплексаКолонна монолитная Км1-4 (2шт)Монтаж закладных деталей ЗДИ4 колонн весом от 70,1-100,0кг</t>
  </si>
  <si>
    <t>P0-02-090 - Эстакада к зданию служебно-бытового комплексаКолонна монолитная Км1-4 (2шт)Монтаж закладных деталей ЗДИ7 колонн весом от 20,1-30,0кг</t>
  </si>
  <si>
    <t>P0-02-090 - Эстакада к зданию служебно-бытового комплексаКолонна монолитная Км1-4 (2шт)Обеспечение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</si>
  <si>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комплексаКолонна монолитная Км1-4 (2шт)Монтаж/демонтаж опалубки колонн рамы Км1-4 (2шт) заводского изготовления </t>
  </si>
  <si>
    <t>P0-02-090 - Эстакада к зданию служебно-бытового комплексаКолонна монолитная Км1-4 (2шт)Бетонирование колонн Км1-4 (2шт) бетоном В25 W8 F200</t>
  </si>
  <si>
    <t>P0-02-090 - Эстакада к зданию служебно-бытового комплексаКолонна монолитная Км1-4 (2шт)Устройство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</si>
  <si>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комплексаКолонна монолитная Км1-5 (1шт)Армирование колонн Км1-5 ПРЯМЫМИ стержнями диаметром 14мм и более.</t>
  </si>
  <si>
    <t>P0-02-090 - Эстакада к зданию служебно-бытового комплексаКолонна монолитная Км1-5 (1шт)Армирование колонн Км1-5ГНУТЫМИ стержнями диаметром до 12мм</t>
  </si>
  <si>
    <t xml:space="preserve">P0-02-090 - Эстакада к зданию служебно-бытового комплексаКолонна монолитная Км1-5 (1шт)Установка анкерных блоков АБ1 весом 28.46кг/шт (перед бетонированием) диаметром от Ø20мм до Ø40мм </t>
  </si>
  <si>
    <t>P0-02-090 - Эстакада к зданию служебно-бытового комплексаКолонна монолитная Км1-5 (1шт)Монтаж закладных деталей ЗДИ4 колонн весом от 70,1-100,0кг</t>
  </si>
  <si>
    <t>P0-02-090 - Эстакада к зданию служебно-бытового комплексаКолонна монолитная Км1-5 (1шт)Монтаж закладных деталей ЗДИ7 колонн весом от 20,1-30,0кг</t>
  </si>
  <si>
    <t>P0-02-090 - Эстакада к зданию служебно-бытового комплексаКолонна монолитная Км1-5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</si>
  <si>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комплексаКолонна монолитная Км1-5 (1шт)Монтаж/демонтаж опалубки колонн рамы Км1-5(1шт) заводского изготовления </t>
  </si>
  <si>
    <t>P0-02-090 - Эстакада к зданию служебно-бытового комплексаКолонна монолитная Км1-5 (1шт)Бетонирование колонн Км1-5 (1шт) бетоном В25 W8 F200</t>
  </si>
  <si>
    <t>P0-02-090 - Эстакада к зданию служебно-бытового комплексаКолонна монолитная Км1-5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</si>
  <si>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комплексаКолонна монолитная Км1-6 (1шт)Армирование колонн Км1-6 ПРЯМЫМИ стержнями диаметром 14мм и более.</t>
  </si>
  <si>
    <t>P0-02-090 - Эстакада к зданию служебно-бытового комплексаКолонна монолитная Км1-6 (1шт)Армирование колонн Км1-6 ГНУТЫМИ стержнями диаметром до 12мм</t>
  </si>
  <si>
    <t xml:space="preserve">P0-02-090 - Эстакада к зданию служебно-бытового комплексаКолонна монолитная Км1-6 (1шт)Установка анкерных блоков АБ1 весом 28.46кг/шт (перед бетонированием) диаметром от Ø20мм до Ø40мм </t>
  </si>
  <si>
    <t>P0-02-090 - Эстакада к зданию служебно-бытового комплексаКолонна монолитная Км1-6 (1шт)Монтаж закладных деталей ЗДИ5 колонн весом от 40,1-50,0кг</t>
  </si>
  <si>
    <t>P0-02-090 - Эстакада к зданию служебно-бытового комплексаКолонна монолитная Км1-6 (1шт)Монтаж закладных деталей ЗДИ7 колонн весом от 20,1-30,0кг</t>
  </si>
  <si>
    <t>P0-02-090 - Эстакада к зданию служебно-бытового комплексаКолонна монолитная Км1-6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</si>
  <si>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комплексаКолонна монолитная Км1-6 (1шт)Монтаж/демонтаж опалубки колонн рамы Км1-6 (1шт) заводского изготовления </t>
  </si>
  <si>
    <t>P0-02-090 - Эстакада к зданию служебно-бытового комплексаКолонна монолитная Км1-6 (1шт)Бетонирование колонн Км1-6 (1шт) бетоном В25 W8 F200</t>
  </si>
  <si>
    <t>P0-02-090 - Эстакада к зданию служебно-бытового комплексаКолонна монолитная Км1-6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</si>
  <si>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комплексаКолонна монолитная Км1-7 (1шт)Армирование колонн Км1-7 ПРЯМЫМИ стержнями диаметром 14мм и более.</t>
  </si>
  <si>
    <t>P0-02-090 - Эстакада к зданию служебно-бытового комплексаКолонна монолитная Км1-7 (1шт)Армирование колонн Км1-7 ГНУТЫМИ стержнями диаметром до 12мм</t>
  </si>
  <si>
    <t xml:space="preserve">P0-02-090 - Эстакада к зданию служебно-бытового комплексаКолонна монолитная Км1-7 (1шт)Установка анкерных блоков АБ1 весом 28.46кг/шт (перед бетонированием) диаметром от Ø20мм до Ø40мм </t>
  </si>
  <si>
    <t>P0-02-090 - Эстакада к зданию служебно-бытового комплексаКолонна монолитная Км1-7 (1шт)Монтаж закладных деталей ЗДИ5 колонн весом от 40,1-50,0кг</t>
  </si>
  <si>
    <t>P0-02-090 - Эстакада к зданию служебно-бытового комплексаКолонна монолитная Км1-7 (1шт)Монтаж закладных деталей ЗДИ7 колонн весом от 20,1-30,0кг</t>
  </si>
  <si>
    <t>P0-02-090 - Эстакада к зданию служебно-бытового комплексаКолонна монолитная Км1-7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</si>
  <si>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комплексаКолонна монолитная Км1-7 (1шт)Монтаж/демонтаж опалубки колонн рамы Км1-7(1шт) заводского изготовления </t>
  </si>
  <si>
    <t>P0-02-090 - Эстакада к зданию служебно-бытового комплексаКолонна монолитная Км1-7 (1шт)Бетонирование колонн Км1-7 (1шт) бетоном В25 W8 F200</t>
  </si>
  <si>
    <t>P0-02-090 - Эстакада к зданию служебно-бытового комплексаКолонна монолитная Км1-7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</si>
  <si>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комплексаКолонна монолитная Км2-1 (1шт)Армирование колонн Км2-1 ПРЯМЫМИ стержнями диаметром 14мм и более.</t>
  </si>
  <si>
    <t>P0-02-090 - Эстакада к зданию служебно-бытового комплексаКолонна монолитная Км2-1 (1шт)Армирование колонн Км2-1 ГНУТЫМИ стержнями диаметром до 12мм</t>
  </si>
  <si>
    <t xml:space="preserve">P0-02-090 - Эстакада к зданию служебно-бытового комплексаКолонна монолитная Км2-1 (1шт)Установка анкерных блоков АБ2 весом 29.34кг/шт (перед бетонированием) диаметром от Ø20мм до Ø40мм </t>
  </si>
  <si>
    <t>P0-02-090 - Эстакада к зданию служебно-бытового комплексаКолонна монолитная Км2-1 (1шт)Монтаж закладных деталей ЗДИ5 колонн весом от 40,1-50,0кг</t>
  </si>
  <si>
    <t>P0-02-090 - Эстакада к зданию служебно-бытового комплексаКолонна монолитная Км2-1 (1шт)Монтаж закладных деталей ЗДИ7 колонн весом от 20,1-30,0кг</t>
  </si>
  <si>
    <t>P0-02-090 - Эстакада к зданию служебно-бытового комплексаКолонна монолитная Км2-1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</si>
  <si>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комплексаКолонна монолитная Км2-1 (1шт)Монтаж/демонтаж опалубки колонн рамы Км2-1(1шт) заводского изготовления </t>
  </si>
  <si>
    <t>P0-02-090 - Эстакада к зданию служебно-бытового комплексаКолонна монолитная Км2-1 (1шт)Бетонирование колонн Км2-1 (1шт) бетоном В25 W8 F200</t>
  </si>
  <si>
    <t>P0-02-090 - Эстакада к зданию служебно-бытового комплексаКолонна монолитная Км2-1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</si>
  <si>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комплексаКолонна монолитная Км2-2 (1шт)Армирование колонн Км2-2 ПРЯМЫМИ стержнями диаметром 14мм и более.</t>
  </si>
  <si>
    <t>P0-02-090 - Эстакада к зданию служебно-бытового комплексаКолонна монолитная Км2-2 (1шт)Армирование колонн Км2-2 ГНУТЫМИ стержнями диаметром до 12мм</t>
  </si>
  <si>
    <t xml:space="preserve">P0-02-090 - Эстакада к зданию служебно-бытового комплексаКолонна монолитная Км2-2 (1шт)Установка анкерных блоков АБ2 весом 29.34кг/шт (перед бетонированием) диаметром от Ø20мм до Ø40мм </t>
  </si>
  <si>
    <t>P0-02-090 - Эстакада к зданию служебно-бытового комплексаКолонна монолитная Км2-2 (1шт)Монтаж закладных деталей ЗДИ5 колонн весом от 40,1-50,0кг</t>
  </si>
  <si>
    <t>P0-02-090 - Эстакада к зданию служебно-бытового комплексаКолонна монолитная Км2-2 (1шт)Монтаж закладных деталей ЗДИ7 колонн весом от 20,1-30,0кг</t>
  </si>
  <si>
    <t>P0-02-090 - Эстакада к зданию служебно-бытового комплексаКолонна монолитная Км2-2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</si>
  <si>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комплексаКолонна монолитная Км2-2 (1шт)Монтаж/демонтаж опалубки колонн рамы Км2-2(1шт) заводского изготовления </t>
  </si>
  <si>
    <t>P0-02-090 - Эстакада к зданию служебно-бытового комплексаКолонна монолитная Км2-2 (1шт)Бетонирование колонн Км2-2 (1шт) бетоном В25 W8 F200</t>
  </si>
  <si>
    <t>P0-02-090 - Эстакада к зданию служебно-бытового комплексаКолонна монолитная Км2-2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</si>
  <si>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комплексаКолонна монолитная Км2-3 (1шт)Армирование колонн Км2-3 ПРЯМЫМИ стержнями диаметром 14мм и более.</t>
  </si>
  <si>
    <t>P0-02-090 - Эстакада к зданию служебно-бытового комплексаКолонна монолитная Км2-3 (1шт)Армирование колонн Км2-3 ГНУТЫМИ стержнями диаметром до 12мм</t>
  </si>
  <si>
    <t xml:space="preserve">P0-02-090 - Эстакада к зданию служебно-бытового комплексаКолонна монолитная Км2-3 (1шт)Установка анкерных блоков АБ2 весом 29.34кг/шт (перед бетонированием) диаметром от Ø20мм до Ø40мм </t>
  </si>
  <si>
    <t>P0-02-090 - Эстакада к зданию служебно-бытового комплексаКолонна монолитная Км2-3 (1шт)Монтаж закладных деталей ЗДИ1 колонн весом от  70,1-100,0кг</t>
  </si>
  <si>
    <t>P0-02-090 - Эстакада к зданию служебно-бытового комплексаКолонна монолитная Км2-3 (1шт)Монтаж закладных деталей ЗДИ7 колонн весом от 20,1-30,0кг</t>
  </si>
  <si>
    <t>P0-02-090 - Эстакада к зданию служебно-бытового комплексаКолонна монолитная Км2-3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</si>
  <si>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комплексаКолонна монолитная Км2-3 (1шт)Монтаж/демонтаж опалубки колонн рамы Км2-3(1шт) заводского изготовления </t>
  </si>
  <si>
    <t>P0-02-090 - Эстакада к зданию служебно-бытового комплексаКолонна монолитная Км2-3 (1шт)Бетонирование колонн Км2-3 (1шт) бетоном В25 W8 F200</t>
  </si>
  <si>
    <t>P0-02-090 - Эстакада к зданию служебно-бытового комплексаКолонна монолитная Км2-3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</si>
  <si>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комплексаКолонна монолитная Км2-4 (1шт)Армирование колонн Км2-4 ПРЯМЫМИ стержнями диаметром 14мм и более.</t>
  </si>
  <si>
    <t>P0-02-090 - Эстакада к зданию служебно-бытового комплексаКолонна монолитная Км2-4 (1шт)Армирование колонн Км2-4 ГНУТЫМИ стержнями диаметром до 12мм</t>
  </si>
  <si>
    <t xml:space="preserve">P0-02-090 - Эстакада к зданию служебно-бытового комплексаКолонна монолитная Км2-4 (1шт)Установка анкерных блоков АБ2 весом 29.34кг/шт (перед бетонированием) диаметром от Ø20мм до Ø40мм </t>
  </si>
  <si>
    <t>P0-02-090 - Эстакада к зданию служебно-бытового комплексаКолонна монолитная Км2-4 (1шт)Монтаж закладных деталей ЗДИ1 колонн весом от  70,1-100,0кг</t>
  </si>
  <si>
    <t>P0-02-090 - Эстакада к зданию служебно-бытового комплексаКолонна монолитная Км2-4 (1шт)Монтаж закладных деталей ЗДИ7 колонн весом от 20,1-30,0кг</t>
  </si>
  <si>
    <t>P0-02-090 - Эстакада к зданию служебно-бытового комплексаКолонна монолитная Км2-4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</si>
  <si>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комплексаКолонна монолитная Км2-4 (1шт)Монтаж/демонтаж опалубки колонн рамы Км2-4(1шт) заводского изготовления </t>
  </si>
  <si>
    <t>P0-02-090 - Эстакада к зданию служебно-бытового комплексаКолонна монолитная Км2-4 (1шт)Бетонирование колонн Км2-4 (1шт) бетоном В25 W8 F200</t>
  </si>
  <si>
    <t>P0-02-090 - Эстакада к зданию служебно-бытового комплексаКолонна монолитная Км2-4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</si>
  <si>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комплексаКолонна монолитная Км2-5 (1шт)Армирование колонн Км2-5 ПРЯМЫМИ стержнями диаметром 14мм и более.</t>
  </si>
  <si>
    <t>P0-02-090 - Эстакада к зданию служебно-бытового комплексаКолонна монолитная Км2-5 (1шт)Армирование колонн Км2-5 ГНУТЫМИ стержнями диаметром до 12мм</t>
  </si>
  <si>
    <t xml:space="preserve">P0-02-090 - Эстакада к зданию служебно-бытового комплексаКолонна монолитная Км2-5 (1шт)Установка анкерных блоков АБ2 весом 29.34кг/шт (перед бетонированием) диаметром от Ø20мм до Ø40мм </t>
  </si>
  <si>
    <t>P0-02-090 - Эстакада к зданию служебно-бытового комплексаКолонна монолитная Км2-5 (1шт)Монтаж закладных деталей ЗДИ4 колонн весом от 70,1-100,0кг</t>
  </si>
  <si>
    <t>P0-02-090 - Эстакада к зданию служебно-бытового комплексаКолонна монолитная Км2-5 (1шт)Монтаж закладных деталей ЗДИ5 колонн весом от 40,1-50,0кг</t>
  </si>
  <si>
    <t>P0-02-090 - Эстакада к зданию служебно-бытового комплексаКолонна монолитная Км2-5 (1шт)Монтаж закладных деталей ЗДИ7 колонн весом от 20,1-30,0кг</t>
  </si>
  <si>
    <t>P0-02-090 - Эстакада к зданию служебно-бытового комплексаКолонна монолитная Км2-5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</si>
  <si>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комплексаКолонна монолитная Км2-5 (1шт)Монтаж/демонтаж опалубки колонн рамы Км2-5(1шт) заводского изготовления </t>
  </si>
  <si>
    <t>P0-02-090 - Эстакада к зданию служебно-бытового комплексаКолонна монолитная Км2-5 (1шт)Бетонирование колонн Км2-5 (1шт) бетоном В25 W8 F200</t>
  </si>
  <si>
    <t>P0-02-090 - Эстакада к зданию служебно-бытового комплексаКолонна монолитная Км2-5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</si>
  <si>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комплексаКолонна монолитная Км2-6 (1шт)Армирование колонн Км2-6 ПРЯМЫМИ стержнями диаметром 14мм и более.</t>
  </si>
  <si>
    <t>P0-02-090 - Эстакада к зданию служебно-бытового комплексаКолонна монолитная Км2-6 (1шт)Армирование колонн Км2-6 ГНУТЫМИ стержнями диаметром до 12мм</t>
  </si>
  <si>
    <t xml:space="preserve">P0-02-090 - Эстакада к зданию служебно-бытового комплексаКолонна монолитная Км2-6 (1шт)Установка анкерных блоков АБ2 весом 29.34кг/шт (перед бетонированием) диаметром от Ø20мм до Ø40мм </t>
  </si>
  <si>
    <t>P0-02-090 - Эстакада к зданию служебно-бытового комплексаКолонна монолитная Км2-6 (1шт)Монтаж закладных деталей ЗДИ2 колонн весом от 40,1-50,0кг</t>
  </si>
  <si>
    <t>P0-02-090 - Эстакада к зданию служебно-бытового комплексаКолонна монолитная Км2-6 (1шт)Монтаж закладных деталей ЗДИ4 колонн весом от 70,1-100,0кг</t>
  </si>
  <si>
    <t>P0-02-090 - Эстакада к зданию служебно-бытового комплексаКолонна монолитная Км2-6 (1шт)Монтаж закладных деталей ЗДИ5 колонн весом от 40,1-50,0кг</t>
  </si>
  <si>
    <t>P0-02-090 - Эстакада к зданию служебно-бытового комплексаКолонна монолитная Км2-6 (1шт)Монтаж закладных деталей ЗДИ7 колонн весом от 20,1-30,0кг</t>
  </si>
  <si>
    <t>P0-02-090 - Эстакада к зданию служебно-бытового комплексаКолонна монолитная Км2-6 (1шт)Монтаж закладных деталей ЗДИ11 колонн весом от 8,0-15,0кг.</t>
  </si>
  <si>
    <t>P0-02-090 - Эстакада к зданию служебно-бытового комплексаКолонна монолитная Км2-6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</si>
  <si>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комплексаКолонна монолитная Км2-6 (1шт)Монтаж/демонтаж опалубки колонн рамы Км2-6(1шт) заводского изготовления </t>
  </si>
  <si>
    <t>P0-02-090 - Эстакада к зданию служебно-бытового комплексаКолонна монолитная Км2-6 (1шт)Бетонирование колонн Км2-6 (1шт) бетоном В25 W8 F200</t>
  </si>
  <si>
    <t>P0-02-090 - Эстакада к зданию служебно-бытового комплексаКолонна монолитная Км2-6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</si>
  <si>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комплексаКолонна монолитная Км2-7 (3шт)Армирование колонн Км2-7 ПРЯМЫМИ стержнями диаметром 14мм и более.</t>
  </si>
  <si>
    <t>P0-02-090 - Эстакада к зданию служебно-бытового комплексаКолонна монолитная Км2-7 (3шт)Армирование колонн Км2-7 ГНУТЫМИ стержнями диаметром до 12мм</t>
  </si>
  <si>
    <t xml:space="preserve">P0-02-090 - Эстакада к зданию служебно-бытового комплексаКолонна монолитная Км2-7 (3шт)Установка анкерных блоков АБ2 весом 29.34кг/шт (перед бетонированием) диаметром от Ø20мм до Ø40мм </t>
  </si>
  <si>
    <t>P0-02-090 - Эстакада к зданию служебно-бытового комплексаКолонна монолитная Км2-7 (3шт)Монтаж закладных деталей ЗДИ4 колонн весом от 70,1-100,0кг</t>
  </si>
  <si>
    <t>P0-02-090 - Эстакада к зданию служебно-бытового комплексаКолонна монолитная Км2-7 (3шт)Монтаж закладных деталей ЗДИ7 колонн весом от 20,1-30,0кг</t>
  </si>
  <si>
    <t>P0-02-090 - Эстакада к зданию служебно-бытового комплексаКолонна монолитная Км2-7 (3шт)Обеспечение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</si>
  <si>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комплексаКолонна монолитная Км2-7 (3шт)Монтаж/демонтаж опалубки колонн рамы Км2-7(3шт) заводского изготовления </t>
  </si>
  <si>
    <t>P0-02-090 - Эстакада к зданию служебно-бытового комплексаКолонна монолитная Км2-7 (3шт)Бетонирование колонн Км2-7 (3шт) бетоном В25 W8 F200</t>
  </si>
  <si>
    <t>P0-02-090 - Эстакада к зданию служебно-бытового комплексаКолонна монолитная Км2-7 (3шт)Устройство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</si>
  <si>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комплексаКолонна монолитная Км2-8 (3шт)Армирование колонн Км2-8 ПРЯМЫМИ стержнями диаметром 14мм и более.</t>
  </si>
  <si>
    <t>P0-02-090 - Эстакада к зданию служебно-бытового комплексаКолонна монолитная Км2-8 (3шт)Армирование колонн Км2-8 ГНУТЫМИ стержнями диаметром до 12мм</t>
  </si>
  <si>
    <t xml:space="preserve">P0-02-090 - Эстакада к зданию служебно-бытового комплексаКолонна монолитная Км2-8 (3шт)Установка анкерных блоков АБ2 весом 29.34кг/шт (перед бетонированием) диаметром от Ø20мм до Ø40мм </t>
  </si>
  <si>
    <t>P0-02-090 - Эстакада к зданию служебно-бытового комплексаКолонна монолитная Км2-8 (3шт)Монтаж закладных деталей ЗДИ4 колонн весом от 70,1-100,0кг</t>
  </si>
  <si>
    <t>P0-02-090 - Эстакада к зданию служебно-бытового комплексаКолонна монолитная Км2-8 (3шт)Монтаж закладных деталей ЗДИ7 колонн весом от 20,1-30,0кг</t>
  </si>
  <si>
    <t>P0-02-090 - Эстакада к зданию служебно-бытового комплексаКолонна монолитная Км2-8 (3шт)Обеспечение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</si>
  <si>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комплексаКолонна монолитная Км2-8 (3шт)Монтаж/демонтаж опалубки колонн рамы Км2-8(3шт) заводского изготовления </t>
  </si>
  <si>
    <t>P0-02-090 - Эстакада к зданию служебно-бытового комплексаКолонна монолитная Км2-8 (3шт)Бетонирование колонн Км2-8 (3шт) бетоном В25 W8 F200</t>
  </si>
  <si>
    <t>P0-02-090 - Эстакада к зданию служебно-бытового комплексаКолонна монолитная Км2-8 (3шт)Устройство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</si>
  <si>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комплексаКолонна монолитная Км2-9 (1шт)Армирование колонн Км2-9 ПРЯМЫМИ стержнями диаметром 14мм и более.</t>
  </si>
  <si>
    <t>P0-02-090 - Эстакада к зданию служебно-бытового комплексаКолонна монолитная Км2-9 (1шт)Армирование колонн Км2-9 ГНУТЫМИ стержнями диаметром до 12мм</t>
  </si>
  <si>
    <t xml:space="preserve">P0-02-090 - Эстакада к зданию служебно-бытового комплексаКолонна монолитная Км2-9 (1шт)Установка анкерных блоков АБ2 весом 29.34кг/шт (перед бетонированием) диаметром от Ø20мм до Ø40мм </t>
  </si>
  <si>
    <t>P0-02-090 - Эстакада к зданию служебно-бытового комплексаКолонна монолитная Км2-9 (1шт)Монтаж закладных деталей ЗДИ5 колонн весом от 40,1-50,0кг</t>
  </si>
  <si>
    <t>P0-02-090 - Эстакада к зданию служебно-бытового комплексаКолонна монолитная Км2-9 (1шт)Монтаж закладных деталей ЗДИ7 колонн весом от 20,1-30,0кг</t>
  </si>
  <si>
    <t>P0-02-090 - Эстакада к зданию служебно-бытового комплексаКолонна монолитная Км2-9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</si>
  <si>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комплексаКолонна монолитная Км2-9 (1шт)Монтаж/демонтаж опалубки колонн рамы Км2-9(1шт) заводского изготовления </t>
  </si>
  <si>
    <t>P0-02-090 - Эстакада к зданию служебно-бытового комплексаКолонна монолитная Км2-9 (1шт)Бетонирование колонн Км2-9 (1шт) бетоном В25 W8 F200</t>
  </si>
  <si>
    <t>P0-02-090 - Эстакада к зданию служебно-бытового комплексаКолонна монолитная Км2-9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</si>
  <si>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комплексаКолонна монолитная Км2-10 (1шт)Армирование колонн Км2-10 ПРЯМЫМИ стержнями диаметром 14мм и более.</t>
  </si>
  <si>
    <t>P0-02-090 - Эстакада к зданию служебно-бытового комплексаКолонна монолитная Км2-10 (1шт)Армирование колонн Км2-10 ГНУТЫМИ стержнями диаметром до 12мм</t>
  </si>
  <si>
    <t xml:space="preserve">P0-02-090 - Эстакада к зданию служебно-бытового комплексаКолонна монолитная Км2-10 (1шт)Установка анкерных блоков АБ2 весом 29.34кг/шт (перед бетонированием) диаметром от Ø20мм до Ø40мм </t>
  </si>
  <si>
    <t>P0-02-090 - Эстакада к зданию служебно-бытового комплексаКолонна монолитная Км2-10 (1шт)Монтаж закладных деталей ЗДИ5 колонн весом от 40,1-50,0кг</t>
  </si>
  <si>
    <t>P0-02-090 - Эстакада к зданию служебно-бытового комплексаКолонна монолитная Км2-10 (1шт)Монтаж закладных деталей ЗДИ7 колонн весом от 20,1-30,0кг</t>
  </si>
  <si>
    <t>P0-02-090 - Эстакада к зданию служебно-бытового комплексаКолонна монолитная Км2-10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</si>
  <si>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комплексаКолонна монолитная Км2-10 (1шт)Монтаж/демонтаж опалубки колонн рамы Км2-10(1шт) заводского изготовления </t>
  </si>
  <si>
    <t>P0-02-090 - Эстакада к зданию служебно-бытового комплексаКолонна монолитная Км2-10 (1шт)Бетонирование колонн Км2-10 (1шт) бетоном В25 W8 F200</t>
  </si>
  <si>
    <t>P0-02-090 - Эстакада к зданию служебно-бытового комплексаКолонна монолитная Км2-10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</si>
  <si>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комплексаКолонна монолитная Км3-1 (1шт)Армирование колонн Км3-1 ПРЯМЫМИ стержнями диаметром 14мм и более.</t>
  </si>
  <si>
    <t>P0-02-090 - Эстакада к зданию служебно-бытового комплексаКолонна монолитная Км3-1 (1шт)Армирование колонн Км3-1 ГНУТЫМИ стержнями диаметром до 12мм</t>
  </si>
  <si>
    <t xml:space="preserve">P0-02-090 - Эстакада к зданию служебно-бытового комплексаКолонна монолитная Км3-1 (1шт)Установка анкерных блоков АБ3 весом 32.38кг/шт (перед бетонированием) диаметром от Ø20мм до Ø40мм </t>
  </si>
  <si>
    <t>P0-02-090 - Эстакада к зданию служебно-бытового комплексаКолонна монолитная Км3-1 (1шт)Монтаж закладных деталей ЗДИ7 колонн весом от 20,1-30,0кг</t>
  </si>
  <si>
    <t>P0-02-090 - Эстакада к зданию служебно-бытового комплексаКолонна монолитная Км3-1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</si>
  <si>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комплексаКолонна монолитная Км3-1 (1шт)Монтаж/демонтаж опалубки колонн рамы Км3-1 заводского изготовления </t>
  </si>
  <si>
    <t>P0-02-090 - Эстакада к зданию служебно-бытового комплексаКолонна монолитная Км3-1 (1шт)Бетонирование колонн Км3-1  бетоном В25 W8 F200</t>
  </si>
  <si>
    <t>P0-02-090 - Эстакада к зданию служебно-бытового комплексаКолонна монолитная Км3-1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</si>
  <si>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комплексаКолонна монолитная Км3-2 (1шт)Армирование колонн Км3-2 ПРЯМЫМИ стержнями диаметром 14мм и более.</t>
  </si>
  <si>
    <t>P0-02-090 - Эстакада к зданию служебно-бытового комплексаКолонна монолитная Км3-2 (1шт)Армирование колонн Км3-2 ГНУТЫМИ стержнями диаметром до 12мм</t>
  </si>
  <si>
    <t xml:space="preserve">P0-02-090 - Эстакада к зданию служебно-бытового комплексаКолонна монолитная Км3-2 (1шт)Установка анкерных блоков АБ3 весом 32.38кг/шт (перед бетонированием) диаметром от Ø20мм до Ø40мм </t>
  </si>
  <si>
    <t>P0-02-090 - Эстакада к зданию служебно-бытового комплексаКолонна монолитная Км3-2 (1шт)Монтаж закладных деталей ЗДИ7 колонн весом от 20,1-30,0кг</t>
  </si>
  <si>
    <t>P0-02-090 - Эстакада к зданию служебно-бытового комплексаКолонна монолитная Км3-2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</si>
  <si>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комплексаКолонна монолитная Км3-2 (1шт)Монтаж/демонтаж опалубки колонн рамы Км3-2 заводского изготовления </t>
  </si>
  <si>
    <t>P0-02-090 - Эстакада к зданию служебно-бытового комплексаКолонна монолитная Км3-2 (1шт)Бетонирование колонн Км3-2 бетоном В25 W8 F200</t>
  </si>
  <si>
    <t>P0-02-090 - Эстакада к зданию служебно-бытового комплексаКолонна монолитная Км3-2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</si>
  <si>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комплексаКолонна монолитная Км3-3 (1шт)Армирование колонн Км3-3 ПРЯМЫМИ стержнями диаметром 14мм и более.</t>
  </si>
  <si>
    <t>P0-02-090 - Эстакада к зданию служебно-бытового комплексаКолонна монолитная Км3-3 (1шт)Армирование колонн Км3-3 ГНУТЫМИ стержнями диаметром до 12мм</t>
  </si>
  <si>
    <t xml:space="preserve">P0-02-090 - Эстакада к зданию служебно-бытового комплексаКолонна монолитная Км3-3 (1шт)Установка анкерных блоков АБ3 весом 32.38кг/шт (перед бетонированием) диаметром от Ø20мм до Ø40мм </t>
  </si>
  <si>
    <t>P0-02-090 - Эстакада к зданию служебно-бытового комплексаКолонна монолитная Км3-3 (1шт)Монтаж закладных деталей ЗДИ6 колонн весом от 30,1-40,0кг</t>
  </si>
  <si>
    <t>P0-02-090 - Эстакада к зданию служебно-бытового комплексаКолонна монолитная Км3-3 (1шт)Монтаж закладных деталей ЗДИ7 колонн весом от 20,1-30,0кг</t>
  </si>
  <si>
    <t>P0-02-090 - Эстакада к зданию служебно-бытового комплексаКолонна монолитная Км3-3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</si>
  <si>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комплексаКолонна монолитная Км3-3 (1шт)Монтаж/демонтаж опалубки колонн рамы Км3-3 заводского изготовления </t>
  </si>
  <si>
    <t>P0-02-090 - Эстакада к зданию служебно-бытового комплексаКолонна монолитная Км3-3 (1шт)Бетонирование колонн Км3-3 бетоном В25 W8 F200</t>
  </si>
  <si>
    <t>P0-02-090 - Эстакада к зданию служебно-бытового комплексаКолонна монолитная Км3-3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</si>
  <si>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комплексаКолонна монолитная Км3-4 (1шт)Армирование колонн Км3-4 ПРЯМЫМИ стержнями диаметром 14мм и более.</t>
  </si>
  <si>
    <t>P0-02-090 - Эстакада к зданию служебно-бытового комплексаКолонна монолитная Км3-4 (1шт)Армирование колонн Км3-4 ГНУТЫМИ стержнями диаметром до 12мм</t>
  </si>
  <si>
    <t xml:space="preserve">P0-02-090 - Эстакада к зданию служебно-бытового комплексаКолонна монолитная Км3-4 (1шт)Установка анкерных блоков АБ3 весом 32.38кг/шт (перед бетонированием) диаметром от Ø20мм до Ø40мм </t>
  </si>
  <si>
    <t>P0-02-090 - Эстакада к зданию служебно-бытового комплексаКолонна монолитная Км3-4 (1шт)Монтаж закладных деталей ЗДИ6 колонн весом от 30,1-40,0кг</t>
  </si>
  <si>
    <t>P0-02-090 - Эстакада к зданию служебно-бытового комплексаКолонна монолитная Км3-4 (1шт)Монтаж закладных деталей ЗДИ7 колонн весом от 20,1-30,0кг</t>
  </si>
  <si>
    <t>P0-02-090 - Эстакада к зданию служебно-бытового комплексаКолонна монолитная Км3-4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</si>
  <si>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комплексаКолонна монолитная Км3-4 (1шт)Монтаж/демонтаж опалубки колонн рамы Км3-4 заводского изготовления </t>
  </si>
  <si>
    <t>P0-02-090 - Эстакада к зданию служебно-бытового комплексаКолонна монолитная Км3-4 (1шт)Бетонирование колонн Км3-4 бетоном В25 W8 F200</t>
  </si>
  <si>
    <t>P0-02-090 - Эстакада к зданию служебно-бытового комплексаКолонна монолитная Км3-4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</si>
  <si>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комплексаКолонна монолитная Км4-1 (1шт)Армирование колонн Км4-1 ПРЯМЫМИ стержнями диаметром 14мм и более.</t>
  </si>
  <si>
    <t>P0-02-090 - Эстакада к зданию служебно-бытового комплексаКолонна монолитная Км4-1 (1шт)Армирование колонн Км4-1ГНУТЫМИ стержнями диаметром до 12мм</t>
  </si>
  <si>
    <t xml:space="preserve">P0-02-090 - Эстакада к зданию служебно-бытового комплексаКолонна монолитная Км4-1 (1шт)Установка анкерных блоков АБ4 весом 38.86кг/шт (перед бетонированием) диаметром от Ø20мм до Ø40мм </t>
  </si>
  <si>
    <t>P0-02-090 - Эстакада к зданию служебно-бытового комплексаКолонна монолитная Км4-1 (1шт)Монтаж закладных деталей ЗДИ7 колонн весом от 20,1-30,0кг</t>
  </si>
  <si>
    <t>P0-02-090 - Эстакада к зданию служебно-бытового комплексаКолонна монолитная Км4-1 (1шт)Монтаж закладных деталей ЗДИ8 колонн весом от 30,1-40,0кг</t>
  </si>
  <si>
    <t>P0-02-090 - Эстакада к зданию служебно-бытового комплексаКолонна монолитная Км4-1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</si>
  <si>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комплексаКолонна монолитная Км4-1 (1шт)Монтаж/демонтаж опалубки колонн рамы Км4-1 заводского изготовления </t>
  </si>
  <si>
    <t>P0-02-090 - Эстакада к зданию служебно-бытового комплексаКолонна монолитная Км4-1 (1шт)Бетонирование колонн Км 4-1 бетоном В25 W8 F200</t>
  </si>
  <si>
    <t>P0-02-090 - Эстакада к зданию служебно-бытового комплексаКолонна монолитная Км4-1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</si>
  <si>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комплексаКолонна монолитная Км4-2 (1шт)Армирование колонн Км4-2 ПРЯМЫМИ стержнями диаметром 14мм и более.</t>
  </si>
  <si>
    <t>P0-02-090 - Эстакада к зданию служебно-бытового комплексаКолонна монолитная Км4-2 (1шт)Армирование колонн Км4-2 ГНУТЫМИ стержнями диаметром до 12мм</t>
  </si>
  <si>
    <t xml:space="preserve">P0-02-090 - Эстакада к зданию служебно-бытового комплексаКолонна монолитная Км4-2 (1шт)Установка анкерных блоков АБ4 весом 38.86кг/шт (перед бетонированием) диаметром от Ø20мм до Ø40мм </t>
  </si>
  <si>
    <t>P0-02-090 - Эстакада к зданию служебно-бытового комплексаКолонна монолитная Км4-2 (1шт)Монтаж закладных деталей ЗДИ7 колонн весом от 20,1-30,0кг</t>
  </si>
  <si>
    <t>P0-02-090 - Эстакада к зданию служебно-бытового комплексаКолонна монолитная Км4-2 (1шт)Монтаж закладных деталей ЗДИ8 колонн весом от 30,1-40,0кг</t>
  </si>
  <si>
    <t>P0-02-090 - Эстакада к зданию служебно-бытового комплексаКолонна монолитная Км4-2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</si>
  <si>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комплексаКолонна монолитная Км4-2 (1шт)Монтаж/демонтаж опалубки колонн рамы Км4-2 заводского изготовления </t>
  </si>
  <si>
    <t>P0-02-090 - Эстакада к зданию служебно-бытового комплексаКолонна монолитная Км4-2 (1шт)Бетонирование колонн Км 4-2 бетоном В25 W8 F200</t>
  </si>
  <si>
    <t>P0-02-090 - Эстакада к зданию служебно-бытового комплексаКолонна монолитная Км4-2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</si>
  <si>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комплексаКолонна монолитная Км4-3 (1шт)Армирование колонн Км4-3 ПРЯМЫМИ стержнями диаметром 14мм и более.</t>
  </si>
  <si>
    <t>P0-02-090 - Эстакада к зданию служебно-бытового комплексаКолонна монолитная Км4-3 (1шт)Армирование колонн Км4-3 ГНУТЫМИ стержнями диаметром до 12мм</t>
  </si>
  <si>
    <t xml:space="preserve">P0-02-090 - Эстакада к зданию служебно-бытового комплексаКолонна монолитная Км4-3 (1шт)Установка анкерных блоков АБ4 весом 38.86кг/шт (перед бетонированием) диаметром от Ø20мм до Ø40мм </t>
  </si>
  <si>
    <t>P0-02-090 - Эстакада к зданию служебно-бытового комплексаКолонна монолитная Км4-3 (1шт)Монтаж закладных деталей ЗДИ7 колонн весом от 20,1-30,0кг</t>
  </si>
  <si>
    <t>P0-02-090 - Эстакада к зданию служебно-бытового комплексаКолонна монолитная Км4-3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</si>
  <si>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комплексаКолонна монолитная Км4-3 (1шт)Монтаж/демонтаж опалубки колонн рамы Км4-3 заводского изготовления </t>
  </si>
  <si>
    <t>P0-02-090 - Эстакада к зданию служебно-бытового комплексаКолонна монолитная Км4-3 (1шт)Бетонирование колонн Км 4-3 бетоном В25 W8 F200</t>
  </si>
  <si>
    <t>P0-02-090 - Эстакада к зданию служебно-бытового комплексаКолонна монолитная Км4-3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</si>
  <si>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комплексаКолонна монолитная Км4-4 (1шт)Армирование колонн Км4-4 ПРЯМЫМИ стержнями диаметром 14мм и более.</t>
  </si>
  <si>
    <t>P0-02-090 - Эстакада к зданию служебно-бытового комплексаКолонна монолитная Км4-4 (1шт)Армирование колонн Км4-4 ГНУТЫМИ стержнями диаметром до 12мм</t>
  </si>
  <si>
    <t xml:space="preserve">P0-02-090 - Эстакада к зданию служебно-бытового комплексаКолонна монолитная Км4-4 (1шт)Установка анкерных блоков АБ4 весом 38.86кг/шт (перед бетонированием) диаметром от Ø20мм до Ø40мм </t>
  </si>
  <si>
    <t>P0-02-090 - Эстакада к зданию служебно-бытового комплексаКолонна монолитная Км4-4 (1шт)Монтаж закладных деталей ЗДИ7 колонн весом от 20,1-30,0кг</t>
  </si>
  <si>
    <t>P0-02-090 - Эстакада к зданию служебно-бытового комплексаКолонна монолитная Км4-4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</si>
  <si>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комплексаКолонна монолитная Км4-4 (1шт)Монтаж/демонтаж опалубки колонн рамы Км4-4 заводского изготовления </t>
  </si>
  <si>
    <t>P0-02-090 - Эстакада к зданию служебно-бытового комплексаКолонна монолитная Км4-4 (1шт)Бетонирование колонн Км 4-4 бетоном В25 W8 F200</t>
  </si>
  <si>
    <t>P0-02-090 - Эстакада к зданию служебно-бытового комплексаКолонна монолитная Км4-4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</si>
  <si>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комплексаРама монолитные Рм1-1 (1шт)Армирование колонн рамы Рм1-1   ПРЯМЫМИ стержнями диаметром 14мм и более.</t>
  </si>
  <si>
    <t xml:space="preserve">P0-02-090 - Эстакада к зданию служебно-бытового комплексаРама монолитные Рм1-1 (1шт)Армирование колонн рамы Рм1-1   ПРЯМЫМИ стержнями диаметром 14мм и более- Изготовление </t>
  </si>
  <si>
    <t xml:space="preserve">P0-02-090 - Эстакада к зданию служебно-бытового комплексаРама монолитные Рм1-1 (1шт)Армирование колонн рамы Рм1-1   ПРЯМЫМИ стержнями диаметром 14мм и более- Монтаж </t>
  </si>
  <si>
    <t>P0-02-090 - Эстакада к зданию служебно-бытового комплексаРама монолитные Рм1-1 (1шт)Армирование колонн рамы Рм1-1   ГНУТЫМИ стержнями диаметром до 12мм</t>
  </si>
  <si>
    <t>P0-02-090 - Эстакада к зданию служебно-бытового комплексаРама монолитные Рм1-1 (1шт)Монтаж закладных деталей ЗДИ2 колонн весом от 40,1-50,0кг</t>
  </si>
  <si>
    <t>P0-02-090 - Эстакада к зданию служебно-бытового комплексаРама монолитные Рм1-1 (1шт)Монтаж закладных деталей ЗДИ7 колонн весом от 20,1-30,0кг</t>
  </si>
  <si>
    <t xml:space="preserve">P0-02-090 - Эстакада к зданию служебно-бытового комплексаРама монолитные Рм1-1 (1шт)Установка анкерных блоков АБ1 весом 28.46кг/шт (перед бетонированием) диаметром от Ø20мм до Ø40мм </t>
  </si>
  <si>
    <t>P0-02-090 - Эстакада к зданию служебно-бытового комплексаРама монолитные Рм1-1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</si>
  <si>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комплексаРама монолитные Рм1-1 (1шт)Монтаж/демонтаж опалубки колонн рамы Рм1-1   (1шт) заводского изготовления </t>
  </si>
  <si>
    <t>P0-02-090 - Эстакада к зданию служебно-бытового комплексаРама монолитные Рм1-1 (1шт)Бетонирование колонн рамы Рм1-1(1шт) бетоном В25 W8 F200</t>
  </si>
  <si>
    <t>P0-02-090 - Эстакада к зданию служебно-бытового комплексаРама монолитные Рм1-1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</si>
  <si>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комплексаРама монолитные Рм1-1 (1шт)Армирование балок рамы Рм1-1  ПРЯМЫМИ стержнями диаметром 14мм и более.</t>
  </si>
  <si>
    <t>P0-02-090 - Эстакада к зданию служебно-бытового комплексаРама монолитные Рм1-1 (1шт)Армирование балок рамы Рм1-1  ГНУТЫМИ стержнями диаметром 14мм и более.</t>
  </si>
  <si>
    <t>P0-02-090 - Эстакада к зданию служебно-бытового комплексаРама монолитные Рм1-1 (1шт)Армирование балок рамы Рм1-1 ГНУТЫМИ стержнями диаметром до 12мм</t>
  </si>
  <si>
    <t>P0-02-090 - Эстакада к зданию служебно-бытового комплексаРама монолитные Рм1-1 (1шт)Монтаж закладных деталей ЗДИ9 колонн весом от 20,1-30,0кг</t>
  </si>
  <si>
    <t>P0-02-090 - Эстакада к зданию служебно-бытового комплексаРама монолитные Рм1-1 (1шт)Монтаж закладных деталей ЗДИ10 колонн весом от 50,1-70,0кг</t>
  </si>
  <si>
    <t xml:space="preserve">P0-02-090 - Эстакада к зданию служебно-бытового комплексаРама монолитные Рм1-1 (1шт)Монтаж/демонтаж опалубки балок рамы Рм1-1   (1шт) заводского изготовления </t>
  </si>
  <si>
    <t>P0-02-090 - Эстакада к зданию служебно-бытового комплексаРама монолитные Рм1-1 (1шт)Бетонирование балок рамы Рм1-1  (1шт) бетоном В25 W8 F200</t>
  </si>
  <si>
    <t>P0-02-090 - Эстакада к зданию служебно-бытового комплексаРама монолитные Рм1-2 (1шт)Армирование колонн рамы Рм1-2   ПРЯМЫМИ стержнями диаметром 14мм и более.</t>
  </si>
  <si>
    <t>P0-02-090 - Эстакада к зданию служебно-бытового комплексаРама монолитные Рм1-2 (1шт)Армирование колонн рамы Рм1-2   ГНУТЫМИ стержнями диаметром до 12мм</t>
  </si>
  <si>
    <t>P0-02-090 - Эстакада к зданию служебно-бытового комплексаРама монолитные Рм1-2 (1шт)Монтаж закладных деталей ЗДИ2 колонн весом от 40,1-50,0кг</t>
  </si>
  <si>
    <t>P0-02-090 - Эстакада к зданию служебно-бытового комплексаРама монолитные Рм1-2 (1шт)Монтаж закладных деталей ЗДИ7 колонн весом от 20,1-30,0кг</t>
  </si>
  <si>
    <t xml:space="preserve">P0-02-090 - Эстакада к зданию служебно-бытового комплексаРама монолитные Рм1-2 (1шт)Установка анкерных блоков АБ1 весом 28.46кг/шт (перед бетонированием) диаметром от Ø20мм до Ø40мм </t>
  </si>
  <si>
    <t>P0-02-090 - Эстакада к зданию служебно-бытового комплексаРама монолитные Рм1-2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</si>
  <si>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комплексаРама монолитные Рм1-2 (1шт)Монтаж/демонтаж опалубки колонн рамы Рм1-2   (1шт) заводского изготовления </t>
  </si>
  <si>
    <t>P0-02-090 - Эстакада к зданию служебно-бытового комплексаРама монолитные Рм1-2 (1шт)Бетонирование колонн рамы Рм1-2(1шт) бетоном В25 W8 F200</t>
  </si>
  <si>
    <t>P0-02-090 - Эстакада к зданию служебно-бытового комплексаРама монолитные Рм1-2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</si>
  <si>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комплексаРама монолитные Рм1-2 (1шт)Армирование балок рамы Рм1-2  ПРЯМЫМИ стержнями диаметром 14мм и более.</t>
  </si>
  <si>
    <t>P0-02-090 - Эстакада к зданию служебно-бытового комплексаРама монолитные Рм1-2 (1шт)Армирование балок рамы Рм1-2  ГНУТЫМИ стержнями диаметром 14мм и более.</t>
  </si>
  <si>
    <t>P0-02-090 - Эстакада к зданию служебно-бытового комплексаРама монолитные Рм1-2 (1шт)Армирование балок рамы Рм1-2 ГНУТЫМИ стержнями диаметром до 12мм</t>
  </si>
  <si>
    <t>P0-02-090 - Эстакада к зданию служебно-бытового комплексаРама монолитные Рм1-2 (1шт)Монтаж закладных деталей ЗДИ9 колонн весом от 20,1-30,0кг</t>
  </si>
  <si>
    <t>P0-02-090 - Эстакада к зданию служебно-бытового комплексаРама монолитные Рм1-2 (1шт)Монтаж закладных деталей ЗДИ10 колонн весом от 50,1-70,0кг</t>
  </si>
  <si>
    <t xml:space="preserve">P0-02-090 - Эстакада к зданию служебно-бытового комплексаРама монолитные Рм1-2 (1шт)Монтаж/демонтаж опалубки балок рамы Рм1-2 (1шт) заводского изготовления </t>
  </si>
  <si>
    <t>P0-02-090 - Эстакада к зданию служебно-бытового комплексаРама монолитные Рм1-2 (1шт)Бетонирование балок рамы Рм1-2  (1шт) бетоном В25 W8 F200</t>
  </si>
  <si>
    <t>P0-02-090 - Эстакада к зданию служебно-бытового комплексаРама монолитные Рм2-1 (1шт)Армирование колонн рамы Рм2-1  ПРЯМЫМИ стержнями диаметром 14мм и более.</t>
  </si>
  <si>
    <t>P0-02-090 - Эстакада к зданию служебно-бытового комплексаРама монолитные Рм2-1 (1шт)Армирование колонн рамы Рм2-1  ГНУТЫМИ стержнями диаметром до 12мм</t>
  </si>
  <si>
    <t>P0-02-090 - Эстакада к зданию служебно-бытового комплексаРама монолитные Рм2-1 (1шт)Монтаж закладных деталей ЗДИ2 колонн весом от 40,1-50,0кг</t>
  </si>
  <si>
    <t>P0-02-090 - Эстакада к зданию служебно-бытового комплексаРама монолитные Рм2-1 (1шт)Монтаж закладных деталей ЗДИ7 колонн весом от 20,1-30,0кг</t>
  </si>
  <si>
    <t xml:space="preserve">P0-02-090 - Эстакада к зданию служебно-бытового комплексаРама монолитные Рм2-1 (1шт)Установка анкерных блоков АБ2 весом 29.34кг/шт (перед бетонированием) диаметром от Ø20мм до Ø40мм </t>
  </si>
  <si>
    <t>P0-02-090 - Эстакада к зданию служебно-бытового комплексаРама монолитные Рм2-1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</si>
  <si>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комплексаРама монолитные Рм2-1 (1шт)Монтаж/демонтаж опалубки колонн рамы Рм2-1  (1шт) заводского изготовления </t>
  </si>
  <si>
    <t>P0-02-090 - Эстакада к зданию служебно-бытового комплексаРама монолитные Рм2-1 (1шт)Бетонирование колонн рамы Рм2-1  (1шт) бетоном В25 W8 F200</t>
  </si>
  <si>
    <t>P0-02-090 - Эстакада к зданию служебно-бытового комплексаРама монолитные Рм2-1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</si>
  <si>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комплексаРама монолитные Рм2-1 (1шт)Армирование балок рамы Рм2-1 ПРЯМЫМИ стержнями диаметром 14мм и более.</t>
  </si>
  <si>
    <t>P0-02-090 - Эстакада к зданию служебно-бытового комплексаРама монолитные Рм2-1 (1шт)Армирование балок рамы Рм2-1 ГНУТЫМИ стержнями диаметром 14мм и более.</t>
  </si>
  <si>
    <t>P0-02-090 - Эстакада к зданию служебно-бытового комплексаРама монолитные Рм2-1 (1шт)Армирование балок рамы Рм2-1  ГНУТЫМИ стержнями диаметром до 12мм</t>
  </si>
  <si>
    <t>P0-02-090 - Эстакада к зданию служебно-бытового комплексаРама монолитные Рм2-1 (1шт)Монтаж закладных деталей ЗДИ9 колонн весом от 20,1-30,0кг</t>
  </si>
  <si>
    <t>P0-02-090 - Эстакада к зданию служебно-бытового комплексаРама монолитные Рм2-1 (1шт)Монтаж закладных деталей ЗДИ10 колонн весом от 50,1-70,0кг</t>
  </si>
  <si>
    <t xml:space="preserve">P0-02-090 - Эстакада к зданию служебно-бытового комплексаРама монолитные Рм2-1 (1шт)Монтаж/демонтаж опалубки балок рамы Рм2-1  (1шт) заводского изготовления </t>
  </si>
  <si>
    <t>P0-02-090 - Эстакада к зданию служебно-бытового комплексаРама монолитные Рм2-1 (1шт)Бетонирование балок рамы Рм2-1  (1шт) бетоном В25 W8 F200</t>
  </si>
  <si>
    <t>P0-02-090 - Эстакада к зданию служебно-бытового комплексаРама монолитные Рм2-2 (1шт)Армирование колонн рамы Рм2-2  ПРЯМЫМИ стержнями диаметром 14мм и более.</t>
  </si>
  <si>
    <t>P0-02-090 - Эстакада к зданию служебно-бытового комплексаРама монолитные Рм2-2 (1шт)Армирование колонн рамы Рм2-2  ГНУТЫМИ стержнями диаметром до 12мм</t>
  </si>
  <si>
    <t>P0-02-090 - Эстакада к зданию служебно-бытового комплексаРама монолитные Рм2-2 (1шт)Монтаж закладных деталей ЗДИ2 колонн весом от 40,1-50,0кг</t>
  </si>
  <si>
    <t>P0-02-090 - Эстакада к зданию служебно-бытового комплексаРама монолитные Рм2-2 (1шт)Монтаж закладных деталей ЗДИ7 колонн весом от 20,1-30,0кг</t>
  </si>
  <si>
    <t>P0-02-090 - Эстакада к зданию служебно-бытового комплексаРама монолитные Рм2-2 (1шт)Монтаж закладных деталей ЗДИ11 колонн весом от 8,0-15,0кг.</t>
  </si>
  <si>
    <t xml:space="preserve">P0-02-090 - Эстакада к зданию служебно-бытового комплексаРама монолитные Рм2-2 (1шт)Установка анкерных блоков АБ2 весом 29.34кг/шт (перед бетонированием) диаметром от Ø20мм до Ø40мм </t>
  </si>
  <si>
    <t>P0-02-090 - Эстакада к зданию служебно-бытового комплексаРама монолитные Рм2-2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</si>
  <si>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комплексаРама монолитные Рм2-2 (1шт)Монтаж/демонтаж опалубки колонн рамы Рм2-2  (1шт) заводского изготовления </t>
  </si>
  <si>
    <t>P0-02-090 - Эстакада к зданию служебно-бытового комплексаРама монолитные Рм2-2 (1шт)Бетонирование колонн рамы Рм2-2  (1шт) бетоном В25 W8 F200</t>
  </si>
  <si>
    <t>P0-02-090 - Эстакада к зданию служебно-бытового комплексаРама монолитные Рм2-2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</si>
  <si>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комплексаРама монолитные Рм2-2 (1шт)Армирование балок рамы Рм2-2 ПРЯМЫМИ стержнями диаметром 14мм и более.</t>
  </si>
  <si>
    <t>P0-02-090 - Эстакада к зданию служебно-бытового комплексаРама монолитные Рм2-2 (1шт)Армирование балок рамы Рм2-2 ГНУТЫМИ стержнями диаметром 14мм и более.</t>
  </si>
  <si>
    <t>P0-02-090 - Эстакада к зданию служебно-бытового комплексаРама монолитные Рм2-2 (1шт)Армирование балок рамы Рм2-2  ГНУТЫМИ стержнями диаметром до 12мм</t>
  </si>
  <si>
    <t>P0-02-090 - Эстакада к зданию служебно-бытового комплексаРама монолитные Рм2-2 (1шт)Монтаж закладных деталей ЗДИ9 колонн весом от 20,1-30,0кг</t>
  </si>
  <si>
    <t>P0-02-090 - Эстакада к зданию служебно-бытового комплексаРама монолитные Рм2-2 (1шт)Монтаж закладных деталей ЗДИ10 колонн весом от 50,1-70,0кг</t>
  </si>
  <si>
    <t xml:space="preserve">P0-02-090 - Эстакада к зданию служебно-бытового комплексаРама монолитные Рм2-2 (1шт)Монтаж/демонтаж опалубки балок рамы Рм2-2  (1шт) заводского изготовления </t>
  </si>
  <si>
    <t>P0-02-090 - Эстакада к зданию служебно-бытового комплексаРама монолитные Рм2-2 (1шт)Бетонирование балок рамы Рм2-2  (1шт) бетоном В25 W8 F200</t>
  </si>
  <si>
    <t>P0-02-090 - Эстакада к зданию служебно-бытового комплексаРама монолитные Рм3-1 (1шт)Армирование колонн рамы Рм3-1  ПРЯМЫМИ стержнями диаметром 14мм и более.</t>
  </si>
  <si>
    <t>P0-02-090 - Эстакада к зданию служебно-бытового комплексаРама монолитные Рм3-1 (1шт)Армирование колонн рамы Рм3-1  ГНУТЫМИ стержнями диаметром до 12мм</t>
  </si>
  <si>
    <t>P0-02-090 - Эстакада к зданию служебно-бытового комплексаРама монолитные Рм3-1 (1шт)Армирование колонн рамы Рм3-1  ГНУТЫМИ стержнями диаметром до 12мм - Монтаж</t>
  </si>
  <si>
    <t>P0-02-090 - Эстакада к зданию служебно-бытового комплексаРама монолитные Рм3-1 (1шт)Монтаж закладных деталей ЗДИ7 колонн весом от 20,1-30,0кг</t>
  </si>
  <si>
    <t xml:space="preserve">P0-02-090 - Эстакада к зданию служебно-бытового комплексаРама монолитные Рм3-1 (1шт)Установка анкерных блоков АБ3 весом 32.38кг/шт (перед бетонированием) диаметром от Ø20мм до Ø40мм </t>
  </si>
  <si>
    <t>P0-02-090 - Эстакада к зданию служебно-бытового комплексаРама монолитные Рм3-1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</si>
  <si>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комплексаРама монолитные Рм3-1 (1шт)Монтаж/демонтаж опалубки колонн рамы Рм3-1  (1шт) заводского изготовления </t>
  </si>
  <si>
    <t>P0-02-090 - Эстакада к зданию служебно-бытового комплексаРама монолитные Рм3-1 (1шт)Бетонирование колонн рамы Рм3-1  (1шт) бетоном В25 W8 F200</t>
  </si>
  <si>
    <t>P0-02-090 - Эстакада к зданию служебно-бытового комплексаРама монолитные Рм3-1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</si>
  <si>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комплексаРама монолитные Рм3-1 (1шт)Армирование балок рамы Рм3-1 ПРЯМЫМИ стержнями диаметром 14мм и более.</t>
  </si>
  <si>
    <t>P0-02-090 - Эстакада к зданию служебно-бытового комплексаРама монолитные Рм3-1 (1шт)Армирование балок рамы Рм3-1 ГНУТЫМИ стержнями диаметром 14мм и более.</t>
  </si>
  <si>
    <t>P0-02-090 - Эстакада к зданию служебно-бытового комплексаРама монолитные Рм3-1 (1шт)Армирование балок рамы Рм3-1  ГНУТЫМИ стержнями диаметром до 12мм</t>
  </si>
  <si>
    <t>P0-02-090 - Эстакада к зданию служебно-бытового комплексаРама монолитные Рм3-1 (1шт)Монтаж закладных деталей ЗДИ9 колонн весом от 20,1-30,0кг</t>
  </si>
  <si>
    <t>P0-02-090 - Эстакада к зданию служебно-бытового комплексаРама монолитные Рм3-1 (1шт)Монтаж закладных деталей ЗДИ10 колонн весом от 50,1-70,0кг</t>
  </si>
  <si>
    <t xml:space="preserve">P0-02-090 - Эстакада к зданию служебно-бытового комплексаРама монолитные Рм3-1 (1шт)Монтаж/демонтаж опалубки балок рамы Рм3-1  (1шт) заводского изготовления </t>
  </si>
  <si>
    <t>P0-02-090 - Эстакада к зданию служебно-бытового комплексаРама монолитные Рм3-1 (1шт)Бетонирование балок рамы Рм3-1 (1шт) бетоном В25 W8 F200</t>
  </si>
  <si>
    <t>P0-02-090 - Эстакада к зданию служебно-бытового комплексаРама монолитные Рм3-2 (1шт)Армирование колонн рамы Рм3-2  ПРЯМЫМИ стержнями диаметром 14мм и более.</t>
  </si>
  <si>
    <t>P0-02-090 - Эстакада к зданию служебно-бытового комплексаРама монолитные Рм3-2 (1шт)Армирование колонн рамы Рм3-2  ГНУТЫМИ стержнями диаметром до 12мм</t>
  </si>
  <si>
    <t>P0-02-090 - Эстакада к зданию служебно-бытового комплексаРама монолитные Рм3-2 (1шт)Армирование колонн рамы Рм3-2  ГНУТЫМИ стержнями диаметром до 12мм - Монтаж</t>
  </si>
  <si>
    <t>P0-02-090 - Эстакада к зданию служебно-бытового комплексаРама монолитные Рм3-2 (1шт)Монтаж закладных деталей ЗДИ7 колонн весом от 20,1-30,0кг</t>
  </si>
  <si>
    <t>P0-02-090 - Эстакада к зданию служебно-бытового комплексаРама монолитные Рм3-2 (1шт)Монтаж закладных деталей ЗДИ6 колонн весом от 30,1-40,0кг</t>
  </si>
  <si>
    <t xml:space="preserve">P0-02-090 - Эстакада к зданию служебно-бытового комплексаРама монолитные Рм3-2 (1шт)Установка анкерных блоков АБ3 весом 32.38кг/шт (перед бетонированием) диаметром от Ø20мм до Ø40мм </t>
  </si>
  <si>
    <t>P0-02-090 - Эстакада к зданию служебно-бытового комплексаРама монолитные Рм3-2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</si>
  <si>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P0-02-090 - Эстакада к зданию служебно-бытового комплексаРама монолитные Рм3-2 (1шт)Монтаж/демонтаж опалубки колонн рамы Рм3-2  (1шт) заводского изготовления </t>
  </si>
  <si>
    <t>P0-02-090 - Эстакада к зданию служебно-бытового комплексаРама монолитные Рм3-2 (1шт)Бетонирование колонн рамы Рм3-2  (1шт) бетоном В25 W8 F200</t>
  </si>
  <si>
    <t>P0-02-090 - Эстакада к зданию служебно-бытового комплексаРама монолитные Рм3-2 (1шт)Устройство подливки цементно-песчаными или растворами, толщиной 50 мм из бетона В30 безусадочном цементе</t>
  </si>
  <si>
    <t>P0-02-090 - Эстакада к зданию служебно-бытового комплексаРама монолитные Рм3-2 (1шт)Армирование балок рамы Рм3-2 ПРЯМЫМИ стержнями диаметром 14мм и более.</t>
  </si>
  <si>
    <t>P0-02-090 - Эстакада к зданию служебно-бытового комплексаРама монолитные Рм3-2 (1шт)Армирование балок рамы Рм3-2 ГНУТЫМИ стержнями диаметром 14мм и более.</t>
  </si>
  <si>
    <t>P0-02-090 - Эстакада к зданию служебно-бытового комплексаРама монолитные Рм3-2 (1шт)Армирование балок рамы Рм3-2  ГНУТЫМИ стержнями диаметром до 12мм</t>
  </si>
  <si>
    <t>P0-02-090 - Эстакада к зданию служебно-бытового комплексаРама монолитные Рм3-2 (1шт)Монтаж закладных деталей ЗДИ9 колонн весом от 20,1-30,0кг</t>
  </si>
  <si>
    <t>P0-02-090 - Эстакада к зданию служебно-бытового комплексаРама монолитные Рм3-2 (1шт)Монтаж закладных деталей ЗДИ10 колонн весом от 50,1-70,0кг</t>
  </si>
  <si>
    <t xml:space="preserve">P0-02-090 - Эстакада к зданию служебно-бытового комплексаРама монолитные Рм3-2 (1шт)Монтаж/демонтаж опалубки балок рамы Рм3-2  (1шт) заводского изготовления </t>
  </si>
  <si>
    <t>P0-02-090 - Эстакада к зданию служебно-бытового комплексаРама монолитные Рм3-2 (1шт)Бетонирование балок рамы Рм3-2 (1шт) бетоном В25 W8 F200</t>
  </si>
  <si>
    <t>P0-02-120 - Эстакада к насосной станции противопожарного водоснабженияРостверк монолитный РСм1 (11 шт)Устройство бетонной подготовки фундаментов РСм1 из бетона В10, толщ. 100 мм(11 шт.)</t>
  </si>
  <si>
    <t>P0-02-120 - Эстакада к насосной станции противопожарного водоснабженияРостверк монолитный РСм1 (11 шт)Армированные фундамента РСм1 (11 шт)  ПРЯМЫМИ стержнями диаметром 14 мм и более</t>
  </si>
  <si>
    <t>P0-02-120 - Эстакада к насосной станции противопожарного водоснабженияРостверк монолитный РСм1 (11 шт)Армированные фундамента РСм1 (11 шт) ГНУТЫМИ стержнями диаметром 14 мм и более</t>
  </si>
  <si>
    <t>P0-02-120 - Эстакада к насосной станции противопожарного водоснабженияРостверк монолитный РСм1 (11 шт)Армированные фундамента  РСм1 (11 шт)  ГНУТЫМИ стержнями диаметром  до 12 мм</t>
  </si>
  <si>
    <t>P0-02-120 - Эстакада к насосной станции противопожарного водоснабженияРостверк монолитный РСм1 (11 шт)Монтаж закладных деталей ЗДИ1 фундамента  РСм1 (44 шт)  весом от
30,1-40,0кг.</t>
  </si>
  <si>
    <t>P0-02-120 - Эстакада к насосной станции противопожарного водоснабженияРостверк монолитный РСм1 (11 шт)Монтаж - демонтаж опалубки заводского изготовления для фундамента  РСм1 (11 шт) нижний ярус</t>
  </si>
  <si>
    <t>P0-02-120 - Эстакада к насосной станции противопожарного водоснабженияРостверк монолитный РСм1 (11 шт)Монтаж - демонтаж опалубки заводского изготовления для фундамента  РСм1 (11 шт) верхний ярус</t>
  </si>
  <si>
    <t>P0-02-120 - Эстакада к насосной станции противопожарного водоснабженияРостверк монолитный РСм1 (11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</si>
  <si>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P0-02-120 - Эстакада к насосной станции противопожарного водоснабженияРостверк монолитный РСм1 (11 шт)Устройство фундамента  РСм1 (11 шт) из бетона  B25 W8 F200</t>
  </si>
  <si>
    <t>P0-02-120 - Эстакада к насосной станции противопожарного водоснабженияРостверк монолитный РСм2 (3 шт)Устройство бетонной подготовки фундаментов РСм2 из бетона В10, толщ. 100 мм(3 шт.)</t>
  </si>
  <si>
    <t>P0-02-120 - Эстакада к насосной станции противопожарного водоснабженияРостверк монолитный РСм2 (3 шт)Армированные фундамента РСм2 (3 шт)  ПРЯМЫМИ стержнями диаметром 14 мм и более</t>
  </si>
  <si>
    <t>P0-02-120 - Эстакада к насосной станции противопожарного водоснабженияРостверк монолитный РСм2 (3 шт)Армированные фундамента РСм2 (3 шт) ГНУТЫМИ стержнями диаметром 14 мм и более</t>
  </si>
  <si>
    <t>P0-02-120 - Эстакада к насосной станции противопожарного водоснабженияРостверк монолитный РСм2 (3 шт)Армированные фундамента  РСм2 (3 шт)  ГНУТЫМИ стержнями диаметром  до 12 мм</t>
  </si>
  <si>
    <t xml:space="preserve">P0-02-120 - Эстакада к насосной станции противопожарного водоснабженияРостверк монолитный РСм2 (3 шт)Установка анкерных болтов (перед бетонированием) диаметром от Ø20мм до Ø40мм </t>
  </si>
  <si>
    <t>P0-02-120 - Эстакада к насосной станции противопожарного водоснабженияРостверк монолитный РСм2 (3 шт)Монтаж закладных деталей ЗДИ1 фундамента  РСм2 (3 шт)  весом от
30,1-40,0кг.</t>
  </si>
  <si>
    <t>P0-02-120 - Эстакада к насосной станции противопожарного водоснабженияРостверк монолитный РСм2 (3 шт)Монтаж - демонтаж опалубки заводского изготовления для фундамента  РСм2 (3 шт) нижний ярус</t>
  </si>
  <si>
    <t>P0-02-120 - Эстакада к насосной станции противопожарного водоснабженияРостверк монолитный РСм2 (3 шт)Монтаж - демонтаж опалубки заводского изготовления для фундамента  РСм2 (3 шт) верхний ярус</t>
  </si>
  <si>
    <t>P0-02-120 - Эстакада к насосной станции противопожарного водоснабженияРостверк монолитный РСм2 (3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</si>
  <si>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P0-02-120 - Эстакада к насосной станции противопожарного водоснабженияРостверк монолитный РСм2 (3 шт)Устройство фундамента  РСм2 (3 шт) из бетона  B25 W8 F200</t>
  </si>
  <si>
    <t>P0-02-120 - Эстакада к насосной станции противопожарного водоснабженияРостверк монолитный РСм2 (3 шт)Устройство подливки толщиной 50мм фундаментов РСм2 (3 шт) из бетона  B30 W8 F200</t>
  </si>
  <si>
    <t>P0-02-120 - Эстакада к насосной станции противопожарного водоснабженияФундамент монолитный Фм1 (32 шт)Устройство бетонной подготовки фундаментов Фм1 из бетона В10, толщ. 100 мм(32 шт.)</t>
  </si>
  <si>
    <t>P0-02-120 - Эстакада к насосной станции противопожарного водоснабженияФундамент монолитный Фм1 (32 шт)Армированные фундамента Фм1 (32 шт) ГНУТЫМИ стержнями диаметром 14 мм и более</t>
  </si>
  <si>
    <t>P0-02-120 - Эстакада к насосной станции противопожарного водоснабженияФундамент монолитный Фм1 (32 шт)Армированные фундамента Фм1(32 шт)  ПРЯМЫМИ стержнями диаметром до 12 мм</t>
  </si>
  <si>
    <t>P0-02-120 - Эстакада к насосной станции противопожарного водоснабженияФундамент монолитный Фм1 (32 шт)Армированные фундамента Фм1 (32 шт) ГНУТЫМИ стержнями диаметром до 12 мм</t>
  </si>
  <si>
    <t>P0-02-120 - Эстакада к насосной станции противопожарного водоснабженияФундамент монолитный Фм1 (32 шт)Армированные фундамента  Фм1 (32 шт) ГНУТЫМИ стержнями диаметром  до 12 мм</t>
  </si>
  <si>
    <t xml:space="preserve">P0-02-120 - Эстакада к насосной станции противопожарного водоснабженияФундамент монолитный Фм1 (32 шт)Установка анкерных болтов (перед бетонированием) диаметром от Ø20мм до Ø40мм </t>
  </si>
  <si>
    <t>P0-02-120 - Эстакада к насосной станции противопожарного водоснабженияФундамент монолитный Фм1 (32 шт)Монтаж - демонтаж опалубки заводского изготовления для фундамента  Фм1 (32 шт) нижний ярус</t>
  </si>
  <si>
    <t>P0-02-120 - Эстакада к насосной станции противопожарного водоснабженияФундамент монолитный Фм1 (32 шт)Монтаж - демонтаж опалубки заводского изготовления для фундамента  Фм1 (32 шт) верхний ярус</t>
  </si>
  <si>
    <t>P0-02-120 - Эстакада к насосной станции противопожарного водоснабженияФундамент монолитный Фм1 (32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</si>
  <si>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P0-02-120 - Эстакада к насосной станции противопожарного водоснабженияФундамент монолитный Фм1 (32 шт)Устройство фундамента  Фм1 (32 шт) из бетона  B25 W8 F200</t>
  </si>
  <si>
    <t>P0-02-120 - Эстакада к насосной станции противопожарного водоснабженияФундамент монолитный Фм1 (32 шт)Устройство подливки толщиной 50мм фундаментов Фм1 (32 шт) из бетона  B30 W8 F200</t>
  </si>
  <si>
    <t>P0-02-131 - Эстакады к ДЭС. Участок №1Ростверк РСм1 (4шт)Устройство подбетонки из бетона В10 толщиной 100мм</t>
  </si>
  <si>
    <t>P0-02-131 - Эстакады к ДЭС. Участок №1Ростверк РСм1 (4шт)Армирование ростверка РСм1 ПРЯМЫМИ стержнями диаметром 14мм и более.</t>
  </si>
  <si>
    <t>P0-02-131 - Эстакады к ДЭС. Участок №1Ростверк РСм1 (4шт)Армирование ростверка РСм1 ГНУТЫМИ стержнями диаметром 14мм и более.</t>
  </si>
  <si>
    <t>P0-02-131 - Эстакады к ДЭС. Участок №1Ростверк РСм1 (4шт)Армирование ростверка РСм1 ГНУТЫМИ стержнями диаметром до 12мм.</t>
  </si>
  <si>
    <t xml:space="preserve">P0-02-131 - Эстакады к ДЭС. Участок №1Ростверк РСм1 (4шт)Монтаж/демонтаж опалубки ростверка РСм1(4шт) заводского изготовления </t>
  </si>
  <si>
    <t xml:space="preserve">P0-02-131 - Эстакады к ДЭС. Участок №1Ростверк РСм1 (4шт)Бетонирование ростверка РСм1(4шт) бетоном В25 W8 F200 </t>
  </si>
  <si>
    <t>P0-02-131 - Эстакады к ДЭС. Участок №1Ростверк РСм1 (4шт)Обеспечение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</si>
  <si>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P0-02-131 - Эстакады к ДЭС. Участок №1Ростверк РСм2 (4шт)Устройство подбетонки из бетона В10 толщиной 100мм</t>
  </si>
  <si>
    <t>P0-02-131 - Эстакады к ДЭС. Участок №1Ростверк РСм2 (4шт)Армирование ростверка РСм2 ПРЯМЫМИ стержнями диаметром 14мм и более.</t>
  </si>
  <si>
    <t>P0-02-131 - Эстакады к ДЭС. Участок №1Ростверк РСм2 (4шт)Армирование ростверка РСм2 ГНУТЫМИ стержнями диаметром 14мм и более.</t>
  </si>
  <si>
    <t>P0-02-131 - Эстакады к ДЭС. Участок №1Ростверк РСм2 (4шт)Армирование ростверка РСм2 ГНУТЫМИ стержнями диаметром до 12мм.</t>
  </si>
  <si>
    <t xml:space="preserve">P0-02-131 - Эстакады к ДЭС. Участок №1Ростверк РСм2 (4шт)Монтаж/демонтаж опалубки ростверка РСм2(4шт) заводского изготовления </t>
  </si>
  <si>
    <t xml:space="preserve">P0-02-131 - Эстакады к ДЭС. Участок №1Ростверк РСм2 (4шт)Бетонирование ростверка РСм2(4шт) бетоном В25 W8 F200 </t>
  </si>
  <si>
    <t>P0-02-131 - Эстакады к ДЭС. Участок №1Ростверк РСм2 (4шт)Обеспечение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</si>
  <si>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P0-02-131 - Эстакады к ДЭС. Участок №1Ростверк РСм3 (2шт)Устройство подбетонки из бетона В10 толщиной 100мм</t>
  </si>
  <si>
    <t>P0-02-131 - Эстакады к ДЭС. Участок №1Ростверк РСм3 (2шт)Армирование ростверка РСм3 ПРЯМЫМИ стержнями диаметром 14мм и более.</t>
  </si>
  <si>
    <t>P0-02-131 - Эстакады к ДЭС. Участок №1Ростверк РСм3 (2шт)Армирование ростверка РСм3 ГНУТЫМИ стержнями диаметром 14мм и более.</t>
  </si>
  <si>
    <t>P0-02-131 - Эстакады к ДЭС. Участок №1Ростверк РСм3 (2шт)Армирование ростверка РСм3 ГНУТЫМИ стержнями диаметром до 12мм.</t>
  </si>
  <si>
    <t>P0-02-131 - Эстакады к ДЭС. Участок №1Ростверк РСм3 (2шт)Монтаж закладных деталей ЗДИ1 весом от 40,1-50,0кг</t>
  </si>
  <si>
    <t>P0-02-131 - Эстакады к ДЭС. Участок №1Ростверк РСм3 (2шт)Монтаж/демонтаж опалубки ростверка РСм3(2шт) заводского изготовления нижний ярус</t>
  </si>
  <si>
    <t>P0-02-131 - Эстакады к ДЭС. Участок №1Ростверк РСм3 (2шт)Монтаж/демонтаж опалубки ростверка РСм3(2шт) заводского изготовления верхний ярус</t>
  </si>
  <si>
    <t xml:space="preserve">P0-02-131 - Эстакады к ДЭС. Участок №1Ростверк РСм3 (2шт)Бетонирование ростверка РСм3(2шт) бетоном В25 W8 F200 </t>
  </si>
  <si>
    <t>P0-02-131 - Эстакады к ДЭС. Участок №1Ростверк РСм3 (2шт)Обеспечение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</si>
  <si>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P0-02-131 - Эстакады к ДЭС. Участок №1Фундамент Фм1 (1 шт)Устройство подбетонки из бетона В10 толщиной 100мм</t>
  </si>
  <si>
    <t>P0-02-131 - Эстакады к ДЭС. Участок №1Фундамент Фм1 (1 шт)Армирование ростверка Фм1 ПРЯМЫМИ стержнями диаметром до 12мм.</t>
  </si>
  <si>
    <t>P0-02-131 - Эстакады к ДЭС. Участок №1Фундамент Фм1 (1 шт)Армирование ростверка Фм1 ГНУТЫМИ стержнями диаметром 14мм и более.</t>
  </si>
  <si>
    <t>P0-02-131 - Эстакады к ДЭС. Участок №1Фундамент Фм1 (1 шт)Армирование ростверка Фм1 ГНУТЫМИ стержнями диаметром до 12мм.</t>
  </si>
  <si>
    <t>P0-02-131 - Эстакады к ДЭС. Участок №1Фундамент Фм1 (1 шт)Установка анкерных БОЛТОВ (4шт) весом 3,42 кг/1шт (перед бетонированием) диаметром от Ø20 до Ø40мм Соединение елементов анкернных блоков сваркои (длина резбы 200мм)</t>
  </si>
  <si>
    <t>P0-02-131 - Эстакады к ДЭС. Участок №1Фундамент Фм1 (1 шт)Монтаж/демонтаж опалубки ростверка Фм1(1шт) заводского изготовления нижний ярус</t>
  </si>
  <si>
    <t>P0-02-131 - Эстакады к ДЭС. Участок №1Фундамент Фм1 (1 шт)Монтаж/демонтаж опалубки ростверка Фм1(1шт) заводского изготовления верхний ярус</t>
  </si>
  <si>
    <t xml:space="preserve">P0-02-131 - Эстакады к ДЭС. Участок №1Фундамент Фм1 (1 шт)Бетонирование ростверка Фм1(1шт) бетоном В25 W8 F200 </t>
  </si>
  <si>
    <t>P0-02-131 - Эстакады к ДЭС. Участок №1Фундамент Фм1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</si>
  <si>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P0-02-131 - Эстакады к ДЭС. Участок №1Фундамент Фм1 (1 шт)Устройство подливки, толщиной 40 мм из бетона В30 на мелокм заполнителе</t>
  </si>
  <si>
    <t>P0-02-131 - Эстакады к ДЭС. Участок №1Фундамент Фм2 (1шт)Устройство подбетонки из бетона В10 толщиной 100мм</t>
  </si>
  <si>
    <t>P0-02-131 - Эстакады к ДЭС. Участок №1Фундамент Фм2 (1шт)Армирование ростверка Фм2 ПРЯМЫМИ стержнями диаметром до 12мм.</t>
  </si>
  <si>
    <t>P0-02-131 - Эстакады к ДЭС. Участок №1Фундамент Фм2 (1шт)Армирование ростверка Фм2 ГНУТЫМИ стержнями диаметром 14мм и более.</t>
  </si>
  <si>
    <t>P0-02-131 - Эстакады к ДЭС. Участок №1Фундамент Фм2 (1шт)Армирование ростверка Фм2 ГНУТЫМИ стержнями диаметром до 12мм.</t>
  </si>
  <si>
    <t>P0-02-131 - Эстакады к ДЭС. Участок №1Фундамент Фм2 (1шт)Монтаж закладных деталей МН126-3 весом от 5,1-8,0кг</t>
  </si>
  <si>
    <t>P0-02-131 - Эстакады к ДЭС. Участок №1Фундамент Фм2 (1шт)Монтаж/демонтаж опалубки ростверка Фм2(1шт) заводского изготовления нижний ярус</t>
  </si>
  <si>
    <t>P0-02-131 - Эстакады к ДЭС. Участок №1Фундамент Фм2 (1шт)Монтаж/демонтаж опалубки ростверка Фм2(1шт) заводского изготовления верхний ярус</t>
  </si>
  <si>
    <t xml:space="preserve">P0-02-131 - Эстакады к ДЭС. Участок №1Фундамент Фм2 (1шт)Бетонирование ростверка Фм2(1шт) бетоном В25 W8 F200 </t>
  </si>
  <si>
    <t>P0-02-131 - Эстакады к ДЭС. Участок №1Фундамент Фм2 (1шт)Обеспечение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</si>
  <si>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P0-02-131 - Эстакады к ДЭС. Участок №1Фундамент Фм3 (2 шт)Устройство подбетонки из бетона В10 толщиной 100мм</t>
  </si>
  <si>
    <t>P0-02-131 - Эстакады к ДЭС. Участок №1Фундамент Фм3 (2 шт)Армирование ростверка Фм3 ПРЯМЫМИ стержнями диаметром до 12мм.</t>
  </si>
  <si>
    <t>P0-02-131 - Эстакады к ДЭС. Участок №1Фундамент Фм3 (2 шт)Армирование ростверка Фм3 ГНУТЫМИ стержнями диаметром 14мм и более.</t>
  </si>
  <si>
    <t>P0-02-131 - Эстакады к ДЭС. Участок №1Фундамент Фм3 (2 шт)Армирование ростверка Фм3 ГНУТЫМИ стержнями диаметром до 12мм.</t>
  </si>
  <si>
    <t>P0-02-131 - Эстакады к ДЭС. Участок №1Фундамент Фм3 (2 шт)Установка анкерных БОЛТОВ ростверка Фм3 (2 шт) весом 3,42 кг/1шт (перед бетонированием) диаметром от Ø20 до Ø40мм Соединение елементов анкернных блоков сваркои (длина резбы 200мм)</t>
  </si>
  <si>
    <t>P0-02-131 - Эстакады к ДЭС. Участок №1Фундамент Фм3 (2 шт)Монтаж/демонтаж опалубки ростверка Фм3(2шт) заводского изготовления нижний ярус</t>
  </si>
  <si>
    <t>P0-02-131 - Эстакады к ДЭС. Участок №1Фундамент Фм3 (2 шт)Монтаж/демонтаж опалубки ростверка Фм3(2шт) заводского изготовления верхний ярус</t>
  </si>
  <si>
    <t xml:space="preserve">P0-02-131 - Эстакады к ДЭС. Участок №1Фундамент Фм3 (2 шт)Бетонирование ростверка Фм3(2шт) бетоном В25 W8 F200 </t>
  </si>
  <si>
    <t>P0-02-131 - Эстакады к ДЭС. Участок №1Фундамент Фм3 (2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</si>
  <si>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P0-02-131 - Эстакады к ДЭС. Участок №1Фундамент Фм3 (2 шт)Устройство подливки, толщиной 40 мм из бетона В30 на мелокм заполнителе</t>
  </si>
  <si>
    <t xml:space="preserve">P0-02-131 - Эстакады к ДЭС. Участок №1Фундамент Фм4 (1 шт)Монтаж/демонтаж опалубки ростверка Фм4 (1шт) заводского изготовления </t>
  </si>
  <si>
    <t xml:space="preserve">P0-02-131 - Эстакады к ДЭС. Участок №1Фундамент Фм4 (1 шт)Бетонирование ростверка Фм4(1шт) бетоном В25 W8 F200 </t>
  </si>
  <si>
    <t xml:space="preserve">P0-02-131 - Эстакады к ДЭС. Участок №1Фундамент Фм5 (1 шт)Монтаж/демонтаж опалубки ростверка Фм5 (1шт) заводского изготовления </t>
  </si>
  <si>
    <t xml:space="preserve">P0-02-131 - Эстакады к ДЭС. Участок №1Фундамент Фм5 (1 шт)Бетонирование ростверка Фм5(1шт) бетоном В25 W8 F200 </t>
  </si>
  <si>
    <t>P0-02-131 - Эстакады к ДЭС. Участок №1Колонны монолитные Км1 (2 шт)Армированные колонн Км1 (2 шт) ГНУТЫМИ стержнями диаметром до 12 мм</t>
  </si>
  <si>
    <t>P0-02-131 - Эстакады к ДЭС. Участок №1Колонны монолитные Км1 (2 шт)Армированные колонн Км1 (2 шт) ПРЯМЫМИ стержнями диаметром 14 мм и более</t>
  </si>
  <si>
    <t xml:space="preserve">P0-02-131 - Эстакады к ДЭС. Участок №1Колонны монолитные Км1 (2 шт)Установка анкерных болтов М1 (перед бетонированием) диаметром от Ø20мм до Ø40мм </t>
  </si>
  <si>
    <t>P0-02-131 - Эстакады к ДЭС. Участок №1Колонны монолитные Км1 (2 шт)Монтаж и демонтаж опалубки заводского изготовления колонн Км1 (2 шт)</t>
  </si>
  <si>
    <t xml:space="preserve">P0-02-131 - Эстакады к ДЭС. Участок №1Колонны монолитные Км1 (2 шт)Бетонирование колонн Км1 (2 шт) из бетона B25 W8 F200 </t>
  </si>
  <si>
    <t>P0-02-131 - Эстакады к ДЭС. Участок №1Колонны монолитные Км1 (2 шт)Устройство подливки колонн Км1 толщиной 50мм
(2 шт)</t>
  </si>
  <si>
    <t>P0-02-131 - Эстакады к ДЭС. Участок №1Колонны монолитные Км1 (2 шт)Монтаж закладных деталей ЗДИ1 колонн Км1  весом от
12,1-20,0кг.</t>
  </si>
  <si>
    <t>P0-02-131 - Эстакады к ДЭС. Участок №1Колонны монолитные Км1 (2 шт)Армированные колонн Км1 (2 шт) до 12 мм</t>
  </si>
  <si>
    <t>P0-02-131 - Эстакады к ДЭС. Участок №1Колонны монолитные Км1а (2 шт)Армированные колонн Км1а (2 шт) ГНУТЫМИ стержнями диаметром до 12 мм</t>
  </si>
  <si>
    <t>P0-02-131 - Эстакады к ДЭС. Участок №1Колонны монолитные Км1а (2 шт)Армированные колонн Км1а (2 шт) ПРЯМЫМИ стержнями диаметром 14 мм и более</t>
  </si>
  <si>
    <t xml:space="preserve">P0-02-131 - Эстакады к ДЭС. Участок №1Колонны монолитные Км1а (2 шт)Установка анкерных болтов М1 (перед бетонированием) диаметром от Ø20мм до Ø40мм </t>
  </si>
  <si>
    <t>P0-02-131 - Эстакады к ДЭС. Участок №1Колонны монолитные Км1а (2 шт)Монтаж и демонтаж опалубки заводского изготовления колонн Км1а (2 шт)</t>
  </si>
  <si>
    <t xml:space="preserve">P0-02-131 - Эстакады к ДЭС. Участок №1Колонны монолитные Км1а (2 шт)Бетонирование колонн Км1а (2 шт) из бетона B25 W8 F200 </t>
  </si>
  <si>
    <t>P0-02-131 - Эстакады к ДЭС. Участок №1Колонны монолитные Км1а (2 шт)Устройство подливки колонн Км1а толщиной 50мм
(2 шт)</t>
  </si>
  <si>
    <t>P0-02-131 - Эстакады к ДЭС. Участок №1Колонны монолитные Км1а (2 шт)Монтаж закладных деталей ЗДИ2 колонн Км1а  весом от
5,1-8,0кг.</t>
  </si>
  <si>
    <t>P0-02-131 - Эстакады к ДЭС. Участок №1Колонны монолитные Км1а (2 шт)Монтаж закладных деталей ЗДИ3 колонн Км1а  весом от
8,1-12,0кг.</t>
  </si>
  <si>
    <t>P0-02-131 - Эстакады к ДЭС. Участок №1Колонны монолитные Км1а (2 шт)Армированные колонн Км1 (2 шт) до 12 мм</t>
  </si>
  <si>
    <t>P0-02-131 - Эстакады к ДЭС. Участок №1Рама монолитная Рм1 (1 шт)Армированные раме Рм1 (1 шт) ГНУТЫМИ стержнями диаметром до 12 мм - балки</t>
  </si>
  <si>
    <t>P0-02-131 - Эстакады к ДЭС. Участок №1Рама монолитная Рм1 (1 шт)Армированные раме Рм1 (1 шт) ГНУТЫМИ стержнями диаметром до 12 мм - колонны</t>
  </si>
  <si>
    <t>P0-02-131 - Эстакады к ДЭС. Участок №1Рама монолитная Рм1 (1 шт)Армированные раме Рм1  (1 шт) ПРЯМЫМИ стержнями диаметром 14 мм и более - колонны</t>
  </si>
  <si>
    <t>P0-02-131 - Эстакады к ДЭС. Участок №1Рама монолитная Рм1 (1 шт)Армированные раме Рм1  (1 шт) ПРЯМЫМИ стержнями диаметром 14 мм и более  - балки</t>
  </si>
  <si>
    <t>P0-02-131 - Эстакады к ДЭС. Участок №1Рама монолитная Рм1 (1 шт)Армированные раме Рм1 (1 шт) ГНУТЫМИ стержнями диаметром 14 мм и более  - балки</t>
  </si>
  <si>
    <t xml:space="preserve">P0-02-131 - Эстакады к ДЭС. Участок №1Рама монолитная Рм1 (1 шт)Установка анкерных болтов М1 (перед бетонированием) диаметром от Ø20мм до Ø40мм </t>
  </si>
  <si>
    <t>P0-02-131 - Эстакады к ДЭС. Участок №1Рама монолитная Рм1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</si>
  <si>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P0-02-131 - Эстакады к ДЭС. Участок №1Рама монолитная Рм1 (1 шт)Монтаж и демонтаж опалубки заводского изготовления раме Рм1 (1 шт) - колонны</t>
  </si>
  <si>
    <t>P0-02-131 - Эстакады к ДЭС. Участок №1Рама монолитная Рм1 (1 шт)Монтаж и демонтаж опалубки заводского изготовления раме Рм1 (1 шт) - балки</t>
  </si>
  <si>
    <t>P0-02-131 - Эстакады к ДЭС. Участок №1Рама монолитная Рм1 (1 шт)Бетонирование раме Рм1  (1 шт) из бетона B25 W8 F200 - колонны</t>
  </si>
  <si>
    <t>P0-02-131 - Эстакады к ДЭС. Участок №1Рама монолитная Рм1 (1 шт)Бетонирование раме Рм1  (1 шт) из бетона B25 W8 F200 - балки</t>
  </si>
  <si>
    <t>P0-02-131 - Эстакады к ДЭС. Участок №1Рама монолитная Рм1 (1 шт)Устройство подливки раме Рм1 толщиной 50мм
(1 шт)</t>
  </si>
  <si>
    <t>P0-02-131 - Эстакады к ДЭС. Участок №1Рама монолитная Рм1 (1 шт)Армированные колонны раме Рм1 (1 шт) до 12 мм</t>
  </si>
  <si>
    <t>P0-02-131 - Эстакады к ДЭС. Участок №1Рама монолитная Рм1а (1 шт)Армированные раме Рм1а (1 шт) ГНУТЫМИ стержнями диаметром до 12 мм - балки</t>
  </si>
  <si>
    <t>P0-02-131 - Эстакады к ДЭС. Участок №1Рама монолитная Рм1а (1 шт)Армированные раме Рм1а (1 шт) ГНУТЫМИ стержнями диаметром до 12 мм - колонны</t>
  </si>
  <si>
    <t>P0-02-131 - Эстакады к ДЭС. Участок №1Рама монолитная Рм1а (1 шт)Армированные раме Рм1а  (1 шт) ПРЯМЫМИ стержнями диаметром 14 мм и более - колонны</t>
  </si>
  <si>
    <t>P0-02-131 - Эстакады к ДЭС. Участок №1Рама монолитная Рм1а (1 шт)Армированные раме Рм1а  (1 шт) ПРЯМЫМИ стержнями диаметром 14 мм и более  - балки</t>
  </si>
  <si>
    <t>P0-02-131 - Эстакады к ДЭС. Участок №1Рама монолитная Рм1а (1 шт)Армированные раме Рм1а (1 шт) ГНУТЫМИ стержнями диаметром 14 мм и более  - балки</t>
  </si>
  <si>
    <t xml:space="preserve">P0-02-131 - Эстакады к ДЭС. Участок №1Рама монолитная Рм1а (1 шт)Установка анкерных болтов М1 (перед бетонированием) диаметром от Ø20мм до Ø40мм </t>
  </si>
  <si>
    <t>P0-02-131 - Эстакады к ДЭС. Участок №1Рама монолитная Рм1а (1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</si>
  <si>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P0-02-131 - Эстакады к ДЭС. Участок №1Рама монолитная Рм1а (1 шт)Монтаж и демонтаж опалубки заводского изготовления раме Рм1а  (1 шт) - колонны</t>
  </si>
  <si>
    <t>P0-02-131 - Эстакады к ДЭС. Участок №1Рама монолитная Рм1а (1 шт)Монтаж и демонтаж опалубки заводского изготовления раме Рм1а (1 шт) - балки</t>
  </si>
  <si>
    <t>P0-02-131 - Эстакады к ДЭС. Участок №1Рама монолитная Рм1а (1 шт)Бетонирование раме Рм1а  (1 шт) из бетона B25 W8 F200 - колонны</t>
  </si>
  <si>
    <t>P0-02-131 - Эстакады к ДЭС. Участок №1Рама монолитная Рм1а (1 шт)Бетонирование раме Рм1а  (1 шт) из бетона B25 W8 F200 - балки</t>
  </si>
  <si>
    <t>P0-02-131 - Эстакады к ДЭС. Участок №1Рама монолитная Рм1а (1 шт)Устройство подливки раме Рм1а толщиной 50мм
(1 шт)</t>
  </si>
  <si>
    <t>P0-02-131 - Эстакады к ДЭС. Участок №1Рама монолитная Рм1а (1 шт)Монтаж закладных деталей ЗДИ1 колонн Км1  весом от
12,1-20,0кг.</t>
  </si>
  <si>
    <t>P0-02-131 - Эстакады к ДЭС. Участок №1Рама монолитная Рм1а (1 шт)Армированные колонны раме Рм1 (1 шт) до 12 мм</t>
  </si>
  <si>
    <t>P0-02-132 - Эстакады к ДЭС. Участок №2Фундамент Фм1 (20 шт)Обратная засыпка песком средней крупности вручную</t>
  </si>
  <si>
    <t xml:space="preserve">P0-02-132 - Эстакады к ДЭС. Участок №2Фундамент Фм1 (20 шт)Уплотнение вручную </t>
  </si>
  <si>
    <t>P0-02-132 - Эстакады к ДЭС. Участок №2Фундамент Фм1 (20 шт)Устройство бетонной подготовки фундамента из бетона В10, толщ. 100 мм(20 шт.)</t>
  </si>
  <si>
    <t>P0-02-132 - Эстакады к ДЭС. Участок №2Фундамент Фм1 (20 шт)Армирование фундамента Фм1 (20 шт)  ПРЯМЫМИ стержнями диаметром  до 12 мм</t>
  </si>
  <si>
    <t>P0-02-132 - Эстакады к ДЭС. Участок №2Фундамент Фм1 (20 шт)Армирование фундамента Фм1 (20 шт)  ГНУТЫМИ стержнями диаметром  до 12 мм</t>
  </si>
  <si>
    <t>P0-02-132 - Эстакады к ДЭС. Участок №2Фундамент Фм1 (20 шт)Армирование фундамента Фм1 (20 шт)  ГНУТЫМИ стержнями диаметром 14 мм и более</t>
  </si>
  <si>
    <t>P0-02-132 - Эстакады к ДЭС. Участок №2Фундамент Фм1 (20 шт)Монтаж и демонтаж опалубки фундамента Фм1 (20 шт) нижний ярус</t>
  </si>
  <si>
    <t>P0-02-132 - Эстакады к ДЭС. Участок №2Фундамент Фм1 (20 шт)Монтаж и демонтаж опалубки фундамента Фм1 (20 шт) верхний ярус</t>
  </si>
  <si>
    <t>P0-02-132 - Эстакады к ДЭС. Участок №2Фундамент Фм1 (20 шт)Бетонирование фундамента Фм1 (20 шт)</t>
  </si>
  <si>
    <t>P0-02-132 - Эстакады к ДЭС. Участок №2Фундамент Фм1 (20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</si>
  <si>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P0-02-132 - Эстакады к ДЭС. Участок №2Фундамент Фм1 (20 шт)Установка анкерных болтов М1 (перед бетонированием) диаметром от Ø20мм до Ø40мм </t>
  </si>
  <si>
    <t>P0-02-132 - Эстакады к ДЭС. Участок №2Фундамент Фм1 (20 шт)Устройство подливки толщиной 50мм фундамента Фм1 (20 шт)</t>
  </si>
  <si>
    <t>P0-85-030 - Здание электроустановок №2Ростверк РСм1 (15 шт)Устройство бетонной подготовки фундаментов РСм1 из бетона В10, толщ. 100 мм (15 шт.)</t>
  </si>
  <si>
    <t>P0-85-030 - Здание электроустановок №2Ростверк РСм1 (15 шт)Армирование фундамента РСм1 (15 шт)  ГНУТЫМИ сварными стержнями диаметром 14 мм и более</t>
  </si>
  <si>
    <t>P0-85-030 - Здание электроустановок №2Ростверк РСм1 (15 шт)Армирование фундамента  РСм1 (15 шт)  ПРЯМЫМИ стержнями диаметром  14 мм и более</t>
  </si>
  <si>
    <t>P0-85-030 - Здание электроустановок №2Ростверк РСм1 (15 шт)Армирование фундамента  РСм1 (15 шт)  ГНУТЫМИ стержнями диаметром  до 12 мм</t>
  </si>
  <si>
    <t>P0-85-030 - Здание электроустановок №2Ростверк РСм1 (15 шт)Монтаж и демонтаж опалубки ростверка РСм1 (15 шт)</t>
  </si>
  <si>
    <t>P0-85-030 - Здание электроустановок №2Ростверк РСм1 (15 шт)Бетонирование ростверка РСм1 (15 шт)</t>
  </si>
  <si>
    <t>P0-85-030 - Здание электроустановок №2Ростверк РСм2 (10 шт)Устройство бетонной подготовки фундаментов РСм2 из бетона В10, толщ. 100 мм (10 шт.)</t>
  </si>
  <si>
    <t>P0-85-030 - Здание электроустановок №2Ростверк РСм2 (10 шт)Армирование фундамента РСм2 (10 шт)  ГНУТЫМИ сварными стержнями диаметром 14 мм и более</t>
  </si>
  <si>
    <t>P0-85-030 - Здание электроустановок №2Ростверк РСм2 (10 шт)Армирование фундамента  РСм2 (10 шт)  ПРЯМЫМИ стержнями диаметром  14 мм и более</t>
  </si>
  <si>
    <t>P0-85-030 - Здание электроустановок №2Ростверк РСм2 (10 шт)Армирование фундамента  РСм2 (10 шт)  ГНУТЫМИ стержнями диаметром  до 12 мм</t>
  </si>
  <si>
    <t>P0-85-030 - Здание электроустановок №2Ростверк РСм2 (10 шт)Монтаж и демонтаж опалубки ростверка РСм2 (10 шт)</t>
  </si>
  <si>
    <t>P0-85-030 - Здание электроустановок №2Ростверк РСм2 (10 шт)Бетонирование ростверка РСм2 (10 шт)</t>
  </si>
  <si>
    <t>P0-85-030 - Здание электроустановок №2Ростверк РСм2 (10 шт)Укладка пеноплекса толщиной 60 мм под конструкциями фундаментов</t>
  </si>
  <si>
    <t>P0-85-030 - Здание электроустановок №2Ростверк РСм2 (10 шт)Устройство бетонной подготовки фундаментов РСм2 (10 шт.) из бетона В25, толщ. от 430мм до 830мм</t>
  </si>
  <si>
    <t>P0-85-030 - Здание электроустановок №2Ростверк РСм2 (10 шт)Устройство опирания балок на подбетонки ростверка РСм2 (10 шт) Кладочный цементный раствором М200 толщ.20мм</t>
  </si>
  <si>
    <t>P0-85-030 - Здание электроустановок №2Ростверк РСм2 (10 шт)Установка Монтажно-кладочные смесь М-200</t>
  </si>
  <si>
    <t>P0-85-030 - Здание электроустановок №2Ростверк РСм2 (10 шт)Укладка заводских сборных балок БФ1 (4 шт)</t>
  </si>
  <si>
    <t>P0-85-030 - Здание электроустановок №2Ростверк РСм2 (10 шт)Укладка заводских сборных балок БФ2 (4 шт)</t>
  </si>
  <si>
    <t>P0-85-030 - Здание электроустановок №2Ростверк РСм2 (10 шт)Укладка заводских сборных балок БФ3 (2 шт)</t>
  </si>
  <si>
    <t>P0-88-010 - КотельнаяФундаментная плита ПФм1 с отмосткой (1 шт)Обратная засыпка песком средней крупности вручную</t>
  </si>
  <si>
    <t xml:space="preserve">P0-88-010 - КотельнаяФундаментная плита ПФм1 с отмосткой (1 шт)Уплотнение вручную </t>
  </si>
  <si>
    <t>P0-88-010 - КотельнаяФундаментная плита ПФм1 с отмосткой (1 шт)Укладка пеноплекса толщиной 100 мм под конструкциями фундаментов</t>
  </si>
  <si>
    <t>P0-88-010 - КотельнаяФундаментная плита ПФм1 с отмосткой (1 шт)Устройство бетонной подготовки плиты из бетона В10, толщ. 100 мм(1шт.)</t>
  </si>
  <si>
    <t xml:space="preserve">P0-88-010 - КотельнаяФундаментная плита ПФм1 с отмосткой (1 шт)Монтаж - демонтаж опалубки заводского изготовления фундаментной плиты ПФм1 между деформационных швов </t>
  </si>
  <si>
    <t xml:space="preserve">P0-88-010 - КотельнаяФундаментная плита ПФм1 с отмосткой (1 шт)Монтаж - демонтаж опалубки заводского изготовления боковой части отмостки ПФм1 </t>
  </si>
  <si>
    <t>P0-88-010 - КотельнаяФундаментная плита ПФм1 с отмосткой (1 шт)Армированные плиты ПФм1(1шт.)  ГНУТЫМИ стержнями диаметром диаметром 14 мм и более</t>
  </si>
  <si>
    <t>P0-88-010 - КотельнаяФундаментная плита ПФм1 с отмосткой (1 шт)Армированные плиты ПФм1(1шт.)  ПРЯМЫМИ стержнями диаметром диаметром 14 мм и более</t>
  </si>
  <si>
    <t>P0-88-010 - КотельнаяФундаментная плита ПФм1 с отмосткой (1 шт)Устройство  монолитные плиты ПФм1 из бетона  B25 W8 F200</t>
  </si>
  <si>
    <t>P0-88-010 - КотельнаяФундаментная плита ПФм1 с отмосткой (1 шт)Укладка пенополистирола для деформационных швов между фундаментными плитами, шириной 100 мм</t>
  </si>
  <si>
    <t>P0-88-010 - КотельнаяФундаментная плита ПФм1 с отмосткой (1 шт)Устройство деформационного изоляционного шва между  фундаментными плитами, шириной 100 мм, с заполнением герметиком</t>
  </si>
  <si>
    <t>P0-88-010 - КотельнаяФундаментная плита ПФм1 с отмосткой (1 шт)Устройство деформационного изоляционного шва между  фундаментными плитами и отмосткам , шириной 20 мм, с заполнением герметиком</t>
  </si>
  <si>
    <t xml:space="preserve">P0-88-010 - КотельнаяФундаментная плита ПФм1 с отмосткой (1 шт)Монтаж заводских арматурных сеток диаметром от Ø4 до Ø6мм. (82 шт) - отмостка </t>
  </si>
  <si>
    <t>P0-88-010 - КотельнаяФундаментная плита ПФм1 с отмосткой (1 шт)Устройство отмостки из из бетона  B20 W8 F200 толщиной от 120 до 150 мм</t>
  </si>
  <si>
    <t>P0-88-010 - КотельнаяФундаментная плита ПФм1 с отмосткой (1 шт)Армированные плиты ПФм1(1шт.)  ГНУТЫМИ стержнями диаметром диаметром до 12мм.</t>
  </si>
  <si>
    <t>P0-88-010 - КотельнаяРостверк РСм1 (1шт)Устройство подбетонки из бетона В10 толщиной 100мм</t>
  </si>
  <si>
    <t>P0-88-010 - КотельнаяРостверк РСм1 (1шт)Армирование ростверка РСм1 ПРЯМЫМИ стержнями диаметром 14мм и более.</t>
  </si>
  <si>
    <t>P0-88-010 - КотельнаяРостверк РСм1 (1шт)Армирование ростверка РСм1 ГНУТЫМИ стержнями диаметром 14мм и более.</t>
  </si>
  <si>
    <t xml:space="preserve">P0-88-010 - КотельнаяРостверк РСм1 (1шт)Установка анкерных блоков АБ1 в (перед бетонированием) диаметром от Ø20мм до Ø40мм </t>
  </si>
  <si>
    <t>P0-88-010 - КотельнаяРостверк РСм1 (1шт)Монтаж каркасов  пространственных КП1  весом 9.63кг/м</t>
  </si>
  <si>
    <t xml:space="preserve">P0-88-010 - КотельнаяРостверк РСм1 (1шт)Монтаж/демонтаж опалубки ростверка РСм1(1шт) заводского изготовления </t>
  </si>
  <si>
    <t xml:space="preserve">P0-88-010 - КотельнаяРостверк РСм1 (1шт)Бетонирование ростверка РСм1(1шт) бетоном В25 W8 F200 </t>
  </si>
  <si>
    <t>P0-88-010 - КотельнаяРостверк РСм1 (1шт)Устройство подливки, толщиной 50 мм из бетона В30 на мелокм заполнителе</t>
  </si>
  <si>
    <t>P0-88-010 - КотельнаяРостверк РСм2 (1шт)Устройство подбетонки из бетона В10 толщиной 100мм</t>
  </si>
  <si>
    <t>P0-88-010 - КотельнаяРостверк РСм2 (1шт)Армирование ростверка РСм2 ПРЯМЫМИ стержнями диаметром 14мм и более.</t>
  </si>
  <si>
    <t>P0-88-010 - КотельнаяРостверк РСм2 (1шт)Армирование ростверка РСм2 ГНУТЫМИ стержнями диаметром 14мм и более.</t>
  </si>
  <si>
    <t>P0-88-010 - КотельнаяРостверк РСм2 (1шт)Монтаж каркасов  пространственных КП2  весом 11.35кг/м</t>
  </si>
  <si>
    <t>P0-88-010 - КотельнаяРостверк РСм2 (1шт)Монтаж каркасов  пространственных КП3  весом 20.43кг/м</t>
  </si>
  <si>
    <t xml:space="preserve">P0-88-010 - КотельнаяРостверк РСм2 (1шт)Установка анкерных блоков АБ1 в (перед бетонированием) диаметром от Ø20мм до Ø40мм </t>
  </si>
  <si>
    <t xml:space="preserve">P0-88-010 - КотельнаяРостверк РСм2 (1шт)Монтаж/демонтаж опалубки ростверка РСм2(1шт) заводского изготовления </t>
  </si>
  <si>
    <t xml:space="preserve">P0-88-010 - КотельнаяРостверк РСм2 (1шт)Бетонирование ростверка РСм2(1шт) бетоном В25 W8 F200 </t>
  </si>
  <si>
    <t>P0-88-010 - КотельнаяРостверк РСм2 (1шт)Устройство подливки, толщиной 50 мм из бетона В30 на мелокм заполнителе</t>
  </si>
  <si>
    <t>P0-88-010 - КотельнаяФундамент Фм1 (4 шт)Устройство подбетонки из бетона В10 толщиной 100мм</t>
  </si>
  <si>
    <t>P0-88-010 - КотельнаяФундамент Фм1 (4 шт)Армирование ростверка Фм1 ПРЯМЫМИ стержнями диаметром  14мм и более.</t>
  </si>
  <si>
    <t>P0-88-010 - КотельнаяФундамент Фм1 (4 шт)Армирование ростверка Фм1 ГНУТЫМИ стержнями диаметром 14мм и более.</t>
  </si>
  <si>
    <t>P0-88-010 - КотельнаяФундамент Фм1 (4 шт)Армирование ростверка Фм1 ГНУТЫМИ стержнями диаметром до 12мм.</t>
  </si>
  <si>
    <t>P0-88-010 - КотельнаяФундамент Фм1 (4 шт)Монтаж/демонтаж опалубки ростверка Фм1(4шт) заводского изготовления нижний ярус</t>
  </si>
  <si>
    <t>P0-88-010 - КотельнаяФундамент Фм1 (4 шт)Монтаж/демонтаж опалубки ростверка Фм1(4шт) заводского изготовления верхний ярус</t>
  </si>
  <si>
    <t>P0-88-010 - КотельнаяФундамент Фм1 (4 шт)Обеспечение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</si>
  <si>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P0-88-010 - КотельнаяФундамент Фм1 (4 шт)Бетонирование ростверка Фм1(4шт) бетоном В25 W8 F200 </t>
  </si>
  <si>
    <t>P0-88-010 - КотельнаяФундамент Фм2 (1 шт)Устройство подбетонки из бетона В10 толщиной 100мм</t>
  </si>
  <si>
    <t>P0-88-010 - КотельнаяФундамент Фм2 (1 шт)Армирование ростверка Фм2 ПРЯМЫМИ стержнями диаметром  14мм и более.</t>
  </si>
  <si>
    <t>P0-88-010 - КотельнаяФундамент Фм2 (1 шт)Армирование ростверка Фм2 ГНУТЫМИ стержнями диаметром 14мм и более.</t>
  </si>
  <si>
    <t>P0-88-010 - КотельнаяФундамент Фм2 (1 шт)Армирование ростверка Фм2 ГНУТЫМИ стержнями диаметром до 12мм.</t>
  </si>
  <si>
    <t>P0-88-010 - КотельнаяФундамент Фм2 (1 шт)Монтаж/демонтаж опалубки ростверка Фм2(1шт) заводского изготовления</t>
  </si>
  <si>
    <t xml:space="preserve">P0-88-010 - КотельнаяФундамент Фм2 (1 шт)Бетонирование ростверка Фм2(1шт) бетоном В25 W8 F200 </t>
  </si>
  <si>
    <t>P0-90-030 - Факельные сепараторы/Flare KO DrumsФундамент Фм2 (1 шт)Испытание свай динамическими нагрузками</t>
  </si>
  <si>
    <t>P0-90-030 - Факельные сепараторы/Flare KO DrumsФундамент Фм2 (1 шт)Погружение забивных железобетонных свай  С90.40-9 без устройства лидерной скважины - сечение сваи 40 x 40 см длиной 9м</t>
  </si>
  <si>
    <t>P0-90-030 - Факельные сепараторы/Flare KO DrumsФундамент Фм2 (1 шт)Срубка свай размером 400х400мм после погружения до проектной отметки (высота срезаной части 700 мм)</t>
  </si>
  <si>
    <t>P0-93-040 - Насосная станция противопожарного водоснабженияРостверк РСм1 (20 шт)Устройство бетонной подготовки фундаментов РСм1 из бетона В10, толщ. 100 мм</t>
  </si>
  <si>
    <t>P0-93-040 - Насосная станция противопожарного водоснабженияРостверк РСм1 (20 шт)Армирование фундамента РСм1 (20 шт)  ГНУТЫМИ сварными стержнями диаметром 14 мм и более</t>
  </si>
  <si>
    <t>P0-93-040 - Насосная станция противопожарного водоснабженияРостверк РСм1 (20 шт)Армирование фундамента РСм1 (20 шт)  ПРЯМЫМИ сварными стержнями диаметром 14 мм и более</t>
  </si>
  <si>
    <t>P0-93-040 - Насосная станция противопожарного водоснабженияРостверк РСм1 (20 шт)Армирование фундамента  РСм1 (20 шт)  ГНУТЫМИ стержнями диаметром  до 12 мм</t>
  </si>
  <si>
    <t>P0-93-040 - Насосная станция противопожарного водоснабженияРостверк РСм1 (20 шт)Монтаж и демонтаж опалубки ростверка РСм1 (20 шт)</t>
  </si>
  <si>
    <t>P0-93-040 - Насосная станция противопожарного водоснабженияРостверк РСм1 (20 шт)Бетонирование ростверка РСм1</t>
  </si>
  <si>
    <t>P0-93-040 - Насосная станция противопожарного водоснабженияРостверк РСм1 (20 шт)Обеспечение шероховатости бетонной поверхности при устройстве горизонтального рабочего шва бетонных элементов (между двумя слоями бетона)</t>
  </si>
  <si>
    <t>P0-93-040 - Насосная станция противопожарного водоснабженияРостверк РСм2 (2 шт)Устройство бетонной подготовки фундаментов РСм2 из бетона В10, толщ. 100 мм</t>
  </si>
  <si>
    <t>P0-93-040 - Насосная станция противопожарного водоснабженияРостверк РСм2 (2 шт)Армирование фундамента РСм2 (2 шт)  ГНУТЫМИ сварными стержнями диаметром 14 мм и более</t>
  </si>
  <si>
    <t>P0-93-040 - Насосная станция противопожарного водоснабженияРостверк РСм2 (2 шт)Армирование фундамента РСм2 (2 шт)  ПРЯМЫМИ сварными стержнями диаметром 14 мм и более</t>
  </si>
  <si>
    <t>P0-93-040 - Насосная станция противопожарного водоснабженияРостверк РСм2 (2 шт)Армирование фундамента  РСм2 (2 шт)  ГНУТЫМИ стержнями диаметром  до 12 мм</t>
  </si>
  <si>
    <t>P0-93-040 - Насосная станция противопожарного водоснабженияРостверк РСм2 (2 шт)Монтаж и демонтаж опалубки ростверка РСм2 (2 шт)</t>
  </si>
  <si>
    <t>P0-93-040 - Насосная станция противопожарного водоснабженияРостверк РСм2 (2 шт)Бетонирование ростверка РСм2</t>
  </si>
  <si>
    <t>P0-93-040 - Насосная станция противопожарного водоснабженияРостверк РСм2 (2 шт)Обеспечение шероховатости бетонной поверхности при устройстве горизонтального рабочего шва бетонных элементов (между двумя слоями бетона)</t>
  </si>
  <si>
    <t>P0-93-040 - Насосная станция противопожарного водоснабженияРостверк РСм3 (10 шт)Устройство бетонной подготовки фундаментов РСм3 из бетона В10, толщ. 100 мм</t>
  </si>
  <si>
    <t>P0-93-040 - Насосная станция противопожарного водоснабженияРостверк РСм3 (10 шт)Армирование фундамента РСм3 (10 шт)  ГНУТЫМИ сварными стержнями диаметром 14 мм и более</t>
  </si>
  <si>
    <t>P0-93-040 - Насосная станция противопожарного водоснабженияРостверк РСм3 (10 шт)Армирование фундамента РСм3 (10 шт)  ПРЯМЫМИ сварными стержнями диаметром 14 мм и более</t>
  </si>
  <si>
    <t>P0-93-040 - Насосная станция противопожарного водоснабженияРостверк РСм3 (10 шт)Армирование фундамента  РСм3 (10 шт)  ГНУТЫМИ стержнями диаметром  до 12 мм</t>
  </si>
  <si>
    <t>P0-93-040 - Насосная станция противопожарного водоснабженияРостверк РСм3 (10 шт)Монтаж и демонтаж опалубки ростверка РСм3 (10 шт)</t>
  </si>
  <si>
    <t>P0-93-040 - Насосная станция противопожарного водоснабженияРостверк РСм3 (10 шт)Бетонирование ростверка РСм3</t>
  </si>
  <si>
    <t>P0-93-040 - Насосная станция противопожарного водоснабженияРостверк РСм3 (10 шт)Обеспечение шероховатости бетонной поверхности при устройстве горизонтального рабочего шва бетонных элементов (между двумя слоями бетона)</t>
  </si>
  <si>
    <t>P0-93-040 - Насосная станция противопожарного водоснабженияРостверк РСм4 (6 шт)Устройство бетонной подготовки фундаментов РСм4 из бетона В10, толщ. 100 мм</t>
  </si>
  <si>
    <t>P0-93-040 - Насосная станция противопожарного водоснабженияРостверк РСм4 (6 шт)Армирование фундамента РСм4 (6 шт)  ГНУТЫМИ сварными стержнями диаметром 14 мм и более</t>
  </si>
  <si>
    <t>P0-93-040 - Насосная станция противопожарного водоснабженияРостверк РСм4 (6 шт)Армирование фундамента  РСм4 (6 шт)  ГНУТЫМИ стержнями диаметром  до 12 мм</t>
  </si>
  <si>
    <t>P0-93-040 - Насосная станция противопожарного водоснабженияРостверк РСм4 (6 шт)Монтаж и демонтаж опалубки ростверка РСм4 (6 шт) нижний ярус</t>
  </si>
  <si>
    <t>P0-93-040 - Насосная станция противопожарного водоснабженияРостверк РСм4 (6 шт)Монтаж и демонтаж опалубки ростверка РСм4 (6 шт)  верхний ярус</t>
  </si>
  <si>
    <t xml:space="preserve">P0-93-040 - Насосная станция противопожарного водоснабженияРостверк РСм4 (6 шт)Установка анкерных болтов (перед бетонированием) диаметром от Ø20мм до Ø40мм </t>
  </si>
  <si>
    <t>P0-93-040 - Насосная станция противопожарного водоснабженияРостверк РСм4 (6 шт)Устройство подливки толщиной 50мм ростверка РСм4</t>
  </si>
  <si>
    <t>P0-93-040 - Насосная станция противопожарного водоснабженияРостверк РСм4 (6 шт)Бетонирование ростверка РСм4</t>
  </si>
  <si>
    <t>P0-93-040 - Насосная станция противопожарного водоснабженияРостверк РСм4 (6 шт)Обеспечение шероховатости бетонной поверхности при устройстве горизонтального рабочего шва бетонных элементов (между двумя слоями бетона)</t>
  </si>
  <si>
    <t>P0-93-040 - Насосная станция противопожарного водоснабженияФундаментная балка БФ1 (33шт)Устройство бетонной подготовки фундаментной балки БФ1 из бетона В25, толщ. 380 мм</t>
  </si>
  <si>
    <t>P0-93-040 - Насосная станция противопожарного водоснабженияФундаментная балка БФ1 (33шт)Установка цементного раствора М200</t>
  </si>
  <si>
    <t>P0-93-040 - Насосная станция противопожарного водоснабженияФундаментная балка БФ1 (33шт)Установка Монтажно-кладочные смесь М-200</t>
  </si>
  <si>
    <t>P0-93-040 - Насосная станция противопожарного водоснабженияФундаментная балка БФ1 (33шт)Монтаж сборных балки фундаментные БФ1</t>
  </si>
  <si>
    <t>P0-93-040 - Насосная станция противопожарного водоснабженияФундаментная балка БФ1 (33шт)Монтаж сборных балки фундаментные БФ2</t>
  </si>
  <si>
    <t>P0-93-040 - Насосная станция противопожарного водоснабженияФундаментная балка БФ1 (33шт)Укладка пеноплекса толщиной - мм под конструкциями фундаментной балки</t>
  </si>
  <si>
    <t>P0-88-010 КотельнаяМЕХАНИЗИРОВАННАЯ ВЫЕМКА ГРУНТА (ОТ СЛАБОГО/СРЕДНЕГО ДО РЫХЛОГО ГРУНТА) НА ЗАРАНЕЕ ОТВЕДЕННЫХ ПЛОЩАДКАХ</t>
  </si>
  <si>
    <t>P0-93-040 - Насосная станция противопожарного водоснабженияМЕХАНИЗИРОВАННАЯ ВЫЕМКА ГРУНТА (ОТ СЛАБОГО/СРЕДНЕГО ДО РЫХЛОГО ГРУНТА) НА ЗАРАНЕЕ ОТВЕДЕННЫХ ПЛОЩАДКАХ</t>
  </si>
  <si>
    <t xml:space="preserve">P0-93-040 - Насосная станция противопожарного водоснабженияМонтаж закладных деталей </t>
  </si>
  <si>
    <t>P0-93-050 - Резервуар для хранения противопожарного запаса воды №1МЕХАНИЗИРОВАННАЯ ВЫЕМКА ГРУНТА (ОТ СЛАБОГО/СРЕДНЕГО ДО РЫХЛОГО ГРУНТА) НА ЗАРАНЕЕ ОТВЕДЕННЫХ ПЛОЩАДКАХ</t>
  </si>
  <si>
    <t>P0-94-010 Система азота и воздухаМЕХАНИЗИРОВАННАЯ ВЫЕМКА ГРУНТА (ОТ СЛАБОГО/СРЕДНЕГО ДО РЫХЛОГО ГРУНТА) НА ЗАРАНЕЕ ОТВЕДЕННЫХ ПЛОЩАДКАХ</t>
  </si>
  <si>
    <t>P0-97-010 - Резервуар для сбора производственно-дождевых стоков с КНС №1МЕХАНИЗИРОВАННАЯ ВЫЕМКА ГРУНТА (ОТ СЛАБОГО/СРЕДНЕГО ДО РЫХЛОГО ГРУНТА) НА ЗАРАНЕЕ ОТВЕДЕННЫХ ПЛОЩАДКАХ</t>
  </si>
  <si>
    <t>P0-97-010 - Резервуар для сбора производственно-дождевых стоков с КНС №1GEO-TEXTILE / ГЕОТЕКСТИЛЬ</t>
  </si>
  <si>
    <t>P0-97-050 - Резервуар для сбора производственно-дождевых стоков с КНС №5ОБРАТНАЯ ЗАСЫПКА С ИСПОЛЬЗОВАНИЕМ ПЕСКА</t>
  </si>
  <si>
    <t>P0-97-050 - Резервуар для сбора производственно-дождевых стоков с КНС №5МЕХАНИЗИРОВАННАЯ ВЫЕМКА ГРУНТА (ОТ СЛАБОГО/СРЕДНЕГО ДО РЫХЛОГО ГРУНТА) НА ЗАРАНЕЕ ОТВЕДЕННЫХ ПЛОЩАДКАХ</t>
  </si>
  <si>
    <t>P0-97-050 - Резервуар для сбора производственно-дождевых стоков с КНС №5GEO-TEXTILE / ГЕОТЕКСТИЛЬ</t>
  </si>
  <si>
    <t>P0-97-050 - Резервуар для сбора производственно-дождевых стоков с КНС №5Устройство утеплителся из пеноплекса для обогрева подбетонки</t>
  </si>
  <si>
    <t>Участок системы азота и зоздуха Подбетонка</t>
  </si>
  <si>
    <t>Эстакада к ДЭС Участок №1МЕХАНИЗИРОВАННАЯ ВЫЕМКА ГРУНТА (ОТ СЛАБОГО/СРЕДНЕГО ДО РЫХЛОГО ГРУНТА) НА ЗАРАНЕЕ ОТВЕДЕННЫХ ПЛОЩАДКАХ</t>
  </si>
  <si>
    <t/>
  </si>
  <si>
    <t>дата</t>
  </si>
  <si>
    <t>объём</t>
  </si>
  <si>
    <t>шифр прораба</t>
  </si>
  <si>
    <t>машиночасы</t>
  </si>
  <si>
    <t>SOIL GRUBBING AND SCRUBBING / 
ВЫКОРЧЕВКА И РАСЧИСТКАSOIL GRUBBING AND SCRUBBING / 
ВЫКОРЧЕВКА И РАСЧИСТКА</t>
  </si>
  <si>
    <t>P0-02-010 - Центральная эстакада. Участок 1МЕХАНИЗИРОВАННАЯ ВЫЕМКА ГРУНТА (ОТ СЛАБОГО/СРЕДНЕГО ДО РЫХЛОГО ГРУНТА) НА ЗАРАНЕЕ ОТВЕДЕННЫХ ПЛОЩАДКАХ</t>
  </si>
  <si>
    <t>P0-02-020 - Центральная эстакада. Участок 2МЕХАНИЗИРОВАННАЯ ВЫЕМКА ГРУНТА (ОТ СЛАБОГО/СРЕДНЕГО ДО РЫХЛОГО ГРУНТА) НА ЗАРАНЕЕ ОТВЕДЕННЫХ ПЛОЩАДКАХ</t>
  </si>
  <si>
    <t>P0-02-030 - Центральная эстакада. Участок 3МЕХАНИЗИРОВАННАЯ ВЫЕМКА ГРУНТА (ОТ СЛАБОГО/СРЕДНЕГО ДО РЫХЛОГО ГРУНТА) НА ЗАРАНЕЕ ОТВЕДЕННЫХ ПЛОЩАДКАХ</t>
  </si>
  <si>
    <t xml:space="preserve">P0-93-010 - Резервуар для хранения противопожарного запаса воды №2МЕХАНИЗИРОВАННАЯ ВЫЕМКА ГРУНТА (ОТ СЛАБОГО/СРЕДНЕГО ДО РЫХЛОГО ГРУНТА) НА ЗАРАНЕЕ ОТВЕДЕННЫХ ПЛОЩАДКАХ </t>
  </si>
  <si>
    <t>P0-93-020 - Резервуар для хранения противопожарного запаса воды №4МЕХАНИЗИРОВАННАЯ ВЫЕМКА ГРУНТА (ОТ СЛАБОГО/СРЕДНЕГО ДО РЫХЛОГО ГРУНТА) НА ЗАРАНЕЕ ОТВЕДЕННЫХ ПЛОЩАДКАХ</t>
  </si>
  <si>
    <t>P0-02-090 - Эстакада к зданию служебно-бытового комплексаМЕХАНИЗИРОВАННАЯ ВЫЕМКА ГРУНТА (ОТ СЛАБОГО/СРЕДНЕГО ДО РЫХЛОГО ГРУНТА) НА ЗАРАНЕЕ ОТВЕДЕННЫХ ПЛОЩАДКАХ</t>
  </si>
  <si>
    <t>P0-80-020 - Пожарное депо с аварийно-спасательным формированиемМЕХАНИЗИРОВАННАЯ ВЫЕМКА ГРУНТА (ОТ СЛАБОГО/СРЕДНЕГО ДО РЫХЛОГО ГРУНТА) НА ЗАРАНЕЕ ОТВЕДЕННЫХ ПЛОЩАДКАХ</t>
  </si>
  <si>
    <t>P0-80-030 - Служебно-бытовой корпусМЕХАНИЗИРОВАННАЯ ВЫЕМКА ГРУНТА (ОТ СЛАБОГО/СРЕДНЕГО ДО РЫХЛОГО ГРУНТА) НА ЗАРАНЕЕ ОТВЕДЕННЫХ ПЛОЩАДКАХ</t>
  </si>
  <si>
    <t>P0-02-111 - Эстакада к пожарному депо. Участок №1МЕХАНИЗИРОВАННАЯ ВЫЕМКА ГРУНТА (ОТ СЛАБОГО/СРЕДНЕГО ДО РЫХЛОГО ГРУНТА) НА ЗАРАНЕЕ ОТВЕДЕННЫХ ПЛОЩАДКАХ</t>
  </si>
  <si>
    <t>P0-02-112 - Эстакада к пожарному депо. Участок №2МЕХАНИЗИРОВАННАЯ ВЫЕМКА ГРУНТА (ОТ СЛАБОГО/СРЕДНЕГО ДО РЫХЛОГО ГРУНТА) НА ЗАРАНЕЕ ОТВЕДЕННЫХ ПЛОЩАДКАХ</t>
  </si>
  <si>
    <t>P0-02-113 - Эстакада к пожарному депо. Участок №3МЕХАНИЗИРОВАННАЯ ВЫЕМКА ГРУНТА (ОТ СЛАБОГО/СРЕДНЕГО ДО РЫХЛОГО ГРУНТА) НА ЗАРАНЕЕ ОТВЕДЕННЫХ ПЛОЩАДКАХ</t>
  </si>
  <si>
    <t>P0-02-101 - Эстакада (к котельной). Участок №1МЕХАНИЗИРОВАННАЯ ВЫЕМКА ГРУНТА (ОТ СЛАБОГО/СРЕДНЕГО ДО РЫХЛОГО ГРУНТА) НА ЗАРАНЕЕ ОТВЕДЕННЫХ ПЛОЩАДКАХ</t>
  </si>
  <si>
    <t>P0-02-102 - Эстакада (к котельной). Участок №2МЕХАНИЗИРОВАННАЯ ВЫЕМКА ГРУНТА (ОТ СЛАБОГО/СРЕДНЕГО ДО РЫХЛОГО ГРУНТА) НА ЗАРАНЕЕ ОТВЕДЕННЫХ ПЛОЩАДКАХ</t>
  </si>
  <si>
    <t>P0-02-103 - Эстакада (к котельной). Участок №3МЕХАНИЗИРОВАННАЯ ВЫЕМКА ГРУНТА (ОТ СЛАБОГО/СРЕДНЕГО ДО РЫХЛОГО ГРУНТА) НА ЗАРАНЕЕ ОТВЕДЕННЫХ ПЛОЩАДКАХ</t>
  </si>
  <si>
    <t>P0-02-103 - Эстакада (к котельной). Участок №4МЕХАНИЗИРОВАННАЯ ВЫЕМКА ГРУНТА (ОТ СЛАБОГО/СРЕДНЕГО ДО РЫХЛОГО ГРУНТА) НА ЗАРАНЕЕ ОТВЕДЕННЫХ ПЛОЩАДКАХ</t>
  </si>
  <si>
    <t>P0-02-103 - Эстакада (к котельной). Участок №5МЕХАНИЗИРОВАННАЯ ВЫЕМКА ГРУНТА (ОТ СЛАБОГО/СРЕДНЕГО ДО РЫХЛОГО ГРУНТА) НА ЗАРАНЕЕ ОТВЕДЕННЫХ ПЛОЩАДКАХ</t>
  </si>
  <si>
    <t>P0-02-080 - Эстакада к ГПП-4 и КПП№1МЕХАНИЗИРОВАННАЯ ВЫЕМКА ГРУНТА (ОТ СЛАБОГО/СРЕДНЕГО ДО РЫХЛОГО ГРУНТА) НА ЗАРАНЕЕ ОТВЕДЕННЫХ ПЛОЩАДКАХ</t>
  </si>
  <si>
    <t>P0-85-030 - Здание электроустановок №2МЕХАНИЗИРОВАННАЯ ВЫЕМКА ГРУНТА (ОТ СЛАБОГО/СРЕДНЕГО ДО РЫХЛОГО ГРУНТА) НА ЗАРАНЕЕ ОТВЕДЕННЫХ ПЛОЩАДКАХ</t>
  </si>
  <si>
    <t>P0-80-040 - Склад хранения дизельного топлива для ДЭСМЕХАНИЗИРОВАННАЯ ВЫЕМКА ГРУНТА (ОТ СЛАБОГО/СРЕДНЕГО ДО РЫХЛОГО ГРУНТА) НА ЗАРАНЕЕ ОТВЕДЕННЫХ ПЛОЩАДКАХ</t>
  </si>
  <si>
    <t>P0-84-010 Блок подготовки топливного газа на ТСБМЕХАНИЗИРОВАННАЯ ВЫЕМКА ГРУНТА (ОТ СЛАБОГО/СРЕДНЕГО ДО РЫХЛОГО ГРУНТА) НА ЗАРАНЕЕ ОТВЕДЕННЫХ ПЛОЩАДКАХ</t>
  </si>
  <si>
    <t>P0-71-020 - Группа резервуаров №2МЕХАНИЗИРОВАННАЯ ВЫЕМКА ГРУНТА (ОТ СЛАБОГО/СРЕДНЕГО ДО РЫХЛОГО ГРУНТА) НА ЗАРАНЕЕ ОТВЕДЕННЫХ ПЛОЩАДКАХ</t>
  </si>
  <si>
    <t>P0-02-111 - Эстакада к пожарному депо. Участок №1ОБРАТНАЯ ЗАСЫПКА С ИСПОЛЬЗОВАНИЕМ ПЕСКА</t>
  </si>
  <si>
    <t>P0-02-112 - Эстакада к пожарному депо. Участок №2ОБРАТНАЯ ЗАСЫПКА С ИСПОЛЬЗОВАНИЕМ ПЕСКА</t>
  </si>
  <si>
    <t>P0-02-113 - Эстакада к пожарному депо. Участок №3ОБРАТНАЯ ЗАСЫПКА С ИСПОЛЬЗОВАНИЕМ ПЕСКА</t>
  </si>
  <si>
    <t>P0-80-020 - Пожарное депо с аварийно-спасательным формированиемОБРАТНАЯ ЗАСЫПКА С ИСПОЛЬЗОВАНИЕМ ПЕСКА</t>
  </si>
  <si>
    <t>P0-80-030 - Служебно-бытовой корпусОБРАТНАЯ ЗАСЫПКА С ИСПОЛЬЗОВАНИЕМ ПЕСКА</t>
  </si>
  <si>
    <t>P0-02-090 - Эстакада к зданию служебно-бытового комплексаОБРАТНАЯ ЗАСЫПКА С ИСПОЛЬЗОВАНИЕМ ПЕСКА</t>
  </si>
  <si>
    <t>P0-02-010 - Центральная эстакада. Участок 1ОБРАТНАЯ ЗАСЫПКА С ИСПОЛЬЗОВАНИЕМ ПЕСКА</t>
  </si>
  <si>
    <t>P0-02-101 - Эстакада (к котельной). Участок №1ОБРАТНАЯ ЗАСЫПКА С ИСПОЛЬЗОВАНИЕМ ПЕСКА</t>
  </si>
  <si>
    <t>P0-02-102 - Эстакада (к котельной). Участок №2ОБРАТНАЯ ЗАСЫПКА С ИСПОЛЬЗОВАНИЕМ ПЕСКА</t>
  </si>
  <si>
    <t>P0-85-030 - Здание электроустановок №2ОБРАТНАЯ ЗАСЫПКА С ИСПОЛЬЗОВАНИЕМ ПЕСКА</t>
  </si>
  <si>
    <t>P0-02-080 - Эстакада к ГПП-4 и КПП№1ОБРАТНАЯ ЗАСЫПКА С ИСПОЛЬЗОВАНИЕМ ПЕСКА</t>
  </si>
  <si>
    <t>P0-80-030 - Служебно-бытовой корпусРостверк РСм2 (1 шт)Демонтаж подбетонки из=за ревизии НВК</t>
  </si>
  <si>
    <t>P0-80-030 - Служебно-бытовой корпусРостверк РСм2 (1 шт)Повторный монтажподбетонки из=за ревизии НВК</t>
  </si>
  <si>
    <t>P0-85-030 - Здание электроустановок №2КолонныБЕТОН ДЛЯ КОЛОНН</t>
  </si>
  <si>
    <t>P0-02-090 - Эстакада к зданию служебно-бытового комплексаРостверк РСм1 (12ШТ)МОНТАЖ ОПАЛУБКИ ДО РЕВИЗИИ №3 15.03.2023</t>
  </si>
  <si>
    <t>P0-02-090 - Эстакада к зданию служебно-бытового комплексаРостверк РСм1 (12ШТ)ДЕМОНТАЖ ОПАЛУБКИ ПО РЕВИЗИИ №3 15.03.2023</t>
  </si>
  <si>
    <t>P0-97-050 - Резервуар для сбора производственно-дождевых стоков с КНС №5КМОПАЛУБКА ДЛЯ КОЛОНН</t>
  </si>
  <si>
    <t xml:space="preserve">P0-02-111 - Эстакада к пожарному депо. Участок №1Ростверк РСм1 (8шт) Изготовление до ревизии №3 15.03.2023Армирование -   Изготовление  ( гнутые) </t>
  </si>
  <si>
    <t xml:space="preserve">P0-02-111 - Эстакада к пожарному депо. Участок №1Ростверк РСм1 (8шт) Изготовление до ревизии №3 15.03.2023Армирование -   Изготовление  (прямые) </t>
  </si>
  <si>
    <t xml:space="preserve">P0-02-090 - Эстакада к зданию служебно-бытового комплекса?Армирование -   Изготовление  ( гнутые) </t>
  </si>
  <si>
    <t xml:space="preserve">P0-02-090 - Эстакада к зданию служебно-бытового комплекса?Армирование -   Монтаж  ( гнутые) </t>
  </si>
  <si>
    <t xml:space="preserve">P0-02-090 - Эстакада к зданию служебно-бытового комплекса?Армирование -   Изготовление  (прямые) </t>
  </si>
  <si>
    <t xml:space="preserve">P0-02-090 - Эстакада к зданию служебно-бытового комплекса?Армирование -   Монтаж  ( прямые) </t>
  </si>
  <si>
    <t xml:space="preserve">P0-02-090 - Эстакада к зданию служебно-бытового комплекса?Армирование -   ДЕМОНТАЖ ПО РЕВИЗИИ  ( гнутые) </t>
  </si>
  <si>
    <t xml:space="preserve">P0-02-090 - Эстакада к зданию служебно-бытового комплекса?Армирование -   ДЕМОНТАЖ ПО РЕВИЗИИ ( прямые) </t>
  </si>
  <si>
    <t xml:space="preserve">P0-02-101 - Эстакада (к котельной). Участок №1?Армирование -   Изготовление  ( гнутые) </t>
  </si>
  <si>
    <t xml:space="preserve">P0-02-101 - Эстакада (к котельной). Участок №1?Армирование -   Монтаж  ( гнутые) </t>
  </si>
  <si>
    <t xml:space="preserve">P0-02-101 - Эстакада (к котельной). Участок №1?Армирование -   Изготовление  (прямые) </t>
  </si>
  <si>
    <t xml:space="preserve">P0-02-101 - Эстакада (к котельной). Участок №1?Армирование -   Монтаж  ( прямые) </t>
  </si>
  <si>
    <t xml:space="preserve">P0-02-101 - Эстакада (к котельной). Участок №1?Армирование -   Демонтаж по ревизии   ( гнутые) </t>
  </si>
  <si>
    <t xml:space="preserve">P0-02-101 - Эстакада (к котельной). Участок №1?Армирование -   Демонтаж по ревизии  ( прямые ) </t>
  </si>
  <si>
    <t xml:space="preserve">P0-93-040 - Насосная станция противопожарного водоснабженияКолонны КМ-2Армирование -   Изготовление  ( гнутые) </t>
  </si>
  <si>
    <t xml:space="preserve">P0-93-040 - Насосная станция противопожарного водоснабженияКолонны КМ-2Армирование -   Монтаж  ( гнутые) </t>
  </si>
  <si>
    <t xml:space="preserve">P0-93-040 - Насосная станция противопожарного водоснабженияКолонны КМ-2Армирование -   Монтаж  ( прямые) </t>
  </si>
  <si>
    <t>P0-80-030 - Служебно-бытовой корпусРСм2Армирование -   Изготовление  Каркасов</t>
  </si>
  <si>
    <t>P0-80-030 - Служебно-бытовой корпусРСм3Армирование -   Изготовление  Каркасов</t>
  </si>
  <si>
    <t>P0-93-040 - Насосная станция противопожарного водоснабженияПМ-1Армирование -   Изготовление  Каркасов</t>
  </si>
  <si>
    <t>P0-80-020 - Пожарное депо с аварийно-спасательным формированиемРостверк РСм5 (1 шт)Армирование -   Изготовление  Каркасов</t>
  </si>
  <si>
    <t>P0-80-020 - Пожарное депо с аварийно-спасательным формированиемРостверк РСм6 (1 шт)Армирование -   Изготовление  Каркасов</t>
  </si>
  <si>
    <t>P0-02-010 - Центральная эстакада. Участок 1РСм2Армирование -   Изготовление  Каркасов</t>
  </si>
  <si>
    <t>P0-80-030 - Служебно-бытовой корпусСтенаУстройство утеплителся из пеноплекса</t>
  </si>
  <si>
    <t>P0-80-030 - Служебно-бытовой корпусКолонны Гидроизоляция обмазочная мастикой</t>
  </si>
  <si>
    <t>P0-93-050 - Резервуар для хранения противопожарного запаса воды №1РВС -1 нанесение панетрона согласно TQ VLS-TQ-(Р0-93-050)-С 2011-0195-02РВС -1 нанесение панетрона согласно TQ VLS-TQ-(Р0-93-050)-С 2011-0195-02</t>
  </si>
  <si>
    <t>P0-97-050 - Резервуар для сбора производственно-дождевых стоков с КНС №5Колонны Гидроизоляция обмазочная мастикой</t>
  </si>
  <si>
    <t>P0-97-050 - Резервуар для сбора производственно-дождевых стоков с КНС №5Стены Гидроизоляция обмазочная мастикой</t>
  </si>
  <si>
    <t>P0-80-020 - Пожарное депо с аварийно-спасательным формированиемЗамена грунтаМЕХАНИЗИРОВАННАЯ ВЫЕМКА ГРУНТА (ОТ СЛАБОГО/СРЕДНЕГО ДО РЫХЛОГО ГРУНТА) НА ЗАРАНЕЕ ОТВЕДЕННЫХ ПЛОЩАДКАХ</t>
  </si>
  <si>
    <t xml:space="preserve">P0-80-020 - Пожарное депо с аварийно-спасательным формированиемЗамена грунтаРУЧНАЯ ВЫЕМКА ГРУНТА </t>
  </si>
  <si>
    <t>P0-80-020 - Пожарное депо с аварийно-спасательным формированиемЗамена грунтаНасип - механизированным способом
Уплотнение - механизированным способом</t>
  </si>
  <si>
    <t>P0-80-020 - Пожарное депо с аварийно-спасательным формированиемЗамена грунтаНасип - вручную
Уплотнение - вручную</t>
  </si>
  <si>
    <t xml:space="preserve">P0-02-111 - Эстакада к пожарному депо. Участок №1Замена грунтаРУЧНАЯ ВЫЕМКА ГРУНТА </t>
  </si>
  <si>
    <t>P0-02-111 - Эстакада к пожарному депо. Участок №1Замена грунтаНасип - вручную
Уплотнение - вручную</t>
  </si>
  <si>
    <t xml:space="preserve">P0-02-112 - Эстакада к пожарному депо. Участок №2Замена грунтаРУЧНАЯ ВЫЕМКА ГРУНТА </t>
  </si>
  <si>
    <t>P0-02-112 - Эстакада к пожарному депо. Участок №2Замена грунтаНасип - вручную
Уплотнение - вручную</t>
  </si>
  <si>
    <t>P0-02-113 - Эстакада к пожарному депо. Участок №3Замена грунтаМЕХАНИЗИРОВАННАЯ ВЫЕМКА ГРУНТА (ОТ СЛАБОГО/СРЕДНЕГО ДО РЫХЛОГО ГРУНТА) НА ЗАРАНЕЕ ОТВЕДЕННЫХ ПЛОЩАДКАХ</t>
  </si>
  <si>
    <t xml:space="preserve">P0-02-113 - Эстакада к пожарному депо. Участок №3Замена грунтаРУЧНАЯ ВЫЕМКА ГРУНТА </t>
  </si>
  <si>
    <t>P0-02-113 - Эстакада к пожарному депо. Участок №3Замена грунтаНасип - вручную
Уплотнение - вручную</t>
  </si>
  <si>
    <t>P0-85-030 - Здание электроустановок №2Замена грунтаМЕХАНИЗИРОВАННАЯ ВЫЕМКА ГРУНТА (ОТ СЛАБОГО/СРЕДНЕГО ДО РЫХЛОГО ГРУНТА) НА ЗАРАНЕЕ ОТВЕДЕННЫХ ПЛОЩАДКАХ</t>
  </si>
  <si>
    <t xml:space="preserve">P0-85-030 - Здание электроустановок №2Замена грунтаРУЧНАЯ ВЫЕМКА ГРУНТА </t>
  </si>
  <si>
    <t>P0-85-030 - Здание электроустановок №2Замена грунтаНасип - механизированным способом
Уплотнение - механизированным способом</t>
  </si>
  <si>
    <t>P0-85-030 - Здание электроустановок №2Замена грунтаНасип - вручную
Уплотнение - вручную</t>
  </si>
  <si>
    <t>P0-80-030 - Служебно-бытовой корпусЗамена грунтаМЕХАНИЗИРОВАННАЯ ВЫЕМКА ГРУНТА (ОТ СЛАБОГО/СРЕДНЕГО ДО РЫХЛОГО ГРУНТА) НА ЗАРАНЕЕ ОТВЕДЕННЫХ ПЛОЩАДКАХ</t>
  </si>
  <si>
    <t>P0-80-030 - Служебно-бытовой корпусЗамена грунтаНасип - механизированным способом
Уплотнение - механизированным способом</t>
  </si>
  <si>
    <t>P0-80-030 - Служебно-бытовой корпусЗамена грунтаРУЧНАЯ ВЫЕМКА ГРУНТА замена</t>
  </si>
  <si>
    <t>P0-80-030 - Служебно-бытовой корпусЗамена грунтаНасип - вручную
Уплотнение - вручную</t>
  </si>
  <si>
    <t>P0-02-090 - Эстакада к зданию служебно-бытового комплексаЗамена грунтаРУЧНАЯ ВЫЕМКА ГРУНТА  замена</t>
  </si>
  <si>
    <t>P0-02-090 - Эстакада к зданию служебно-бытового комплексаЗамена грунтаПесок: Насип - вручную
Уплотнение - вручную</t>
  </si>
  <si>
    <t>P0-02-010 - Центральная эстакада. Участок 1Замена грунтаРУЧНАЯ ВЫЕМКА ГРУНТА  замена</t>
  </si>
  <si>
    <t>P0-02-010 - Центральная эстакада. Участок 1Замена грунтаПесок: Насип - вручную
Уплотнение - вручную</t>
  </si>
  <si>
    <t xml:space="preserve">P0-93-050 - Резервуар для хранения противопожарного запаса воды №1Замена грунтаРУЧНАЯ ВЫЕМКА ГРУНТА </t>
  </si>
  <si>
    <t>P0-93-050 - Резервуар для хранения противопожарного запаса воды №1Замена грунтаПесок: Насип - вручную
Уплотнение - вручную</t>
  </si>
  <si>
    <t>P0-93-010 - Резервуар для хранения противопожарного запаса воды №2Замена грунтаПесок: Насип - вручную
Уплотнение - вручную</t>
  </si>
  <si>
    <t>P0-93-020 - Резервуар для хранения противопожарного запаса воды №4Замена грунтаПесок: Насип - вручную
Уплотнение - вручную</t>
  </si>
  <si>
    <t>P0-93-030 - Резервуар для хранения противопожарного запаса воды №6Замена грунтаПесок: Насип - вручную
Уплотнение - вручную</t>
  </si>
  <si>
    <t>P0-97-050 - Резервуар для сбора производственно-дождевых стоков с КНС №5Замена грунтаНасип - вручную (щебень)
Уплотнение - вручную (щебень)</t>
  </si>
  <si>
    <t>P0-93-020 - Резервуар для хранения противопожарного запаса воды №4Особо легкие металлоконструкции - листы толщиной до 12мм и профили до 16кг/м
(Галереи, переходы, платформы, ограждения, стремянки, лестницы, площадки, электрокабельные трассы, кронштейны и.т.д). 
Изготовление + монтажСтойки- Труба   Ø 57*3 (Изготовление)</t>
  </si>
  <si>
    <t>P0-93-020 - Резервуар для хранения противопожарного запаса воды №4Особо легкие металлоконструкции - листы толщиной до 12мм и профили до 16кг/м
(Галереи, переходы, платформы, ограждения, стремянки, лестницы, площадки, электрокабельные трассы, кронштейны и.т.д). 
Изготовление + монтажПрогоны- Труба   Ø 57*3 (Изготовление)</t>
  </si>
  <si>
    <t>P0-93-020 - Резервуар для хранения противопожарного запаса воды №4Особо легкие металлоконструкции - листы толщиной до 12мм и профили до 16кг/м
(Галереи, переходы, платформы, ограждения, стремянки, лестницы, площадки, электрокабельные трассы, кронштейны и.т.д). 
Изготовление + монтажСтойки- Труба   Ø 57*3 (Монтаж)</t>
  </si>
  <si>
    <t>P0-93-020 - Резервуар для хранения противопожарного запаса воды №4Особо легкие металлоконструкции - листы толщиной до 12мм и профили до 16кг/м
(Галереи, переходы, платформы, ограждения, стремянки, лестницы, площадки, электрокабельные трассы, кронштейны и.т.д). 
Изготовление + монтажПрогоны- Труба   Ø 57*3 (Монтаж)</t>
  </si>
  <si>
    <t>P0-93-030 - Резервуар для хранения противопожарного запаса воды №6Особо легкие металлоконструкции - листы толщиной до 12мм и профили до 16кг/м
(Галереи, переходы, платформы, ограждения, стремянки, лестницы, площадки, электрокабельные трассы, кронштейны и.т.д). 
Изготовление + монтажОсобо легкие металлоконструкции - листы толщиной до 12мм и профили до 16кг/м
(Галереи, переходы, платформы, ограждения, стремянки, лестницы, площадки, электрокабельные трассы, кронштейны и.т.д). 
Изготовление + монтаж</t>
  </si>
  <si>
    <t>P0-93-030 - Резервуар для хранения противопожарного запаса воды №6Особо легкие металлоконструкции - листы толщиной до 12мм и профили до 16кг/м
(Галереи, переходы, платформы, ограждения, стремянки, лестницы, площадки, электрокабельные трассы, кронштейны и.т.д). 
Изготовление + монтажСтойки- Труба   Ø 57*3  (Изготовление)</t>
  </si>
  <si>
    <t>P0-93-030 - Резервуар для хранения противопожарного запаса воды №6Особо легкие металлоконструкции - листы толщиной до 12мм и профили до 16кг/м
(Галереи, переходы, платформы, ограждения, стремянки, лестницы, площадки, электрокабельные трассы, кронштейны и.т.д). 
Изготовление + монтажПрогоны- Труба   Ø 57*3  (Изготовление)</t>
  </si>
  <si>
    <t>P0-93-030 - Резервуар для хранения противопожарного запаса воды №6Особо легкие металлоконструкции - листы толщиной до 12мм и профили до 16кг/м
(Галереи, переходы, платформы, ограждения, стремянки, лестницы, площадки, электрокабельные трассы, кронштейны и.т.д). 
Изготовление + монтажСтойки- Труба   Ø 57*3 (Монтаж)</t>
  </si>
  <si>
    <t>P0-93-030 - Резервуар для хранения противопожарного запаса воды №6Особо легкие металлоконструкции - листы толщиной до 12мм и профили до 16кг/м
(Галереи, переходы, платформы, ограждения, стремянки, лестницы, площадки, электрокабельные трассы, кронштейны и.т.д). 
Изготовление + монтажПрогоны- Труба   Ø 57*3 (Монтаж)</t>
  </si>
  <si>
    <t>P0-80-030 - Служебно-бытовой корпусЗамена грунтаПесок: Насип - вручную
Уплотнение - вручную</t>
  </si>
  <si>
    <t xml:space="preserve">Стена на для тренингаАрмирование -   Изготовление  ( гнутые) </t>
  </si>
  <si>
    <t xml:space="preserve">Стена на для тренингаАрмирование -   Монтаж  ( гнутые) </t>
  </si>
  <si>
    <t>Плиты для колодцев НВКМЕХАНИЗИРОВАННАЯ ВЫЕМКА ГРУНТА (ОТ СЛАБОГО/СРЕДНЕГО ДО РЫХЛОГО ГРУНТА) НА ЗАРАНЕЕ ОТВЕДЕННЫХ ПЛОЩАДКАХ</t>
  </si>
  <si>
    <t xml:space="preserve">Плиты для колодцев НВКАрмирование -   Монтаж  ( прямые) </t>
  </si>
  <si>
    <t>Плиты для колодцев НВКОПАЛУБКА ДЛЯ ФУНДАМЕНТОВ</t>
  </si>
  <si>
    <t>Изготовление стоек для лесов (200 шт) КП №1Резка металла, полевой цех, толщина листа ≤ 10 мм</t>
  </si>
  <si>
    <t>Изготовление стоек для лесов (200 шт) КП №1Сварка полевой цех, толщина шва ≤ 6 мм</t>
  </si>
  <si>
    <t>P0-02-020 - Центральная эстакада. Участок 2Изготовление стоек для лесовИзготовление стоек для лесов</t>
  </si>
  <si>
    <t>Резка заводских плоских каркасов на СБКПодготовка арматуры диаметром от Ø14 мм и более</t>
  </si>
  <si>
    <t>P0-97-050 - Резервуар для сбора производственно-дождевых стоков с КНС №5Стены Устройство бетонных поверхностей гидроизоляцией Пенетрон - вертикальных поверхностей здания ниже уровни земл</t>
  </si>
  <si>
    <t>P0-97-050 - Резервуар для сбора производственно-дождевых стоков с КНС №5 Плита монолитная Пм5 на отм.+1.170 (1шт)монтаж опоры ОП4</t>
  </si>
  <si>
    <t>P0-80-030 - Служебно-бытовой корпусПлита монолитная Пм3 (4 шт)Устройство основания из песка толщиной 300мм под плиту Пм3 (4 шт) - вручную</t>
  </si>
  <si>
    <t>P0-80-030 - Служебно-бытовой корпусПлита монолитная Пм3 (4 шт)Устройство основания из песка толщиной 300мм под плиту Пм3 (4 шт) - механизированным способом</t>
  </si>
  <si>
    <t>P0-80-030 - Служебно-бытовой корпусПлита монолитная Пм4 (1 шт)Устройство основания из песка толщиной 300мм под плиту Пм4 (1 шт) - вручную</t>
  </si>
  <si>
    <t>P0-80-030 - Служебно-бытовой корпусПлита монолитная Пм4 (1 шт)Устройство основания из песка толщиной 300мм под плиту Пм4 (1 шт) - механизированным способом</t>
  </si>
  <si>
    <t>P0-80-030 - Служебно-бытовой корпусПлита перекрытия Пм4 на отм.+10.720  толщиной 300ммУстройство парапета из кирпича толщиной 250мм</t>
  </si>
  <si>
    <t>P0-80-030 - Служебно-бытовой корпусПлита перекрытия Пм5 на отм.+10.720 толщиной 300ммУстройство парапета из кирпича толщиной 250мм</t>
  </si>
  <si>
    <t>P0-80-030 - Служебно-бытовой корпусРостверк РСм2 (1 шт)Устройство подливки толщиной 100мм фундамента РСм2</t>
  </si>
  <si>
    <t>P0-80-030 - Служебно-бытовой корпусРостверк РСм1 (1 шт)Устройство сварных стыков для арматуры Ø25мм, соединение типа Кз-Рп по ГОСТ 14098-2014 в заводских условиях</t>
  </si>
  <si>
    <t>P0-80-030 - Служебно-бытовой корпусРостверк РСм2 (1 шт)Устройство сварных стыков для арматуры Ø25мм, соединение типа Кз-Рп по ГОСТ 14098-2014 в заводских условиях</t>
  </si>
  <si>
    <t>P0-80-030 - Служебно-бытовой корпусРостверк РСм3 (1 шт)Устройство сварных стыков для арматуры Ø25мм, соединение типа Кз-Рп по ГОСТ 14098-2014 в заводских условиях</t>
  </si>
  <si>
    <t>P0-80-030 - Служебно-бытовой корпусРостверк РСм1 (1 шт)Устройство рулонной наплавляемой гидроизоляции Техноэласт Барьер БО горизонтальных поверхностей здания ниже уровни земли</t>
  </si>
  <si>
    <t>P0-80-030 - Служебно-бытовой корпусРостверк РСм2 (1 шт)Устройство рулонной наплавляемой гидроизоляции Техноэласт Барьер БО горизонтальных поверхностей здания ниже уровни земли</t>
  </si>
  <si>
    <t>P0-80-030 - Служебно-бытовой корпусРостверк РСм3 (1 шт)Устройство рулонной наплавляемой гидроизоляции Техноэласт Барьер БО горизонтальных поверхностей здания ниже уровни земли</t>
  </si>
  <si>
    <t>P0-80-030 - Служебно-бытовой корпусПлита перекрытия Пм1 на отм.+5.320 толщиной 250ммМонтаж закладных деталей ЗД3 
12,1-20,0кг.</t>
  </si>
  <si>
    <t>P0-80-030 - Служебно-бытовой корпусРостверк ПМ2 (1 шт)Устройство деформационного шва толщиной 100 мм между плитами перекрытия ПМ1 ПМ2 ПМ3</t>
  </si>
  <si>
    <t>P0-93-040 - Насосная станция противопожарного водоснабженияКолонна КМ-2Армирование Колонны Км-2   ПРЯМЫМИ сварными стержнями диаметром 14 мм и более</t>
  </si>
  <si>
    <t>P0-93-040 - Насосная станция противопожарного водоснабженияКолонна КМ-2Армирование Колонны Км-2  ГНУТЫМИ стержнями диаметром  до 12 мм</t>
  </si>
  <si>
    <t>P0-93-040 - Насосная станция противопожарного водоснабженияКолонна КМ-1Армирование Колонны Км-1   ПРЯМЫМИ сварными стержнями диаметром 14 мм и более</t>
  </si>
  <si>
    <t xml:space="preserve">P0-93-040 - Насосная станция противопожарного водоснабженияКолонна КМ-1Армирование Колонны Км-1  ГНУТЫМИ стержнями диаметром  до 12 мм - Изготовление </t>
  </si>
  <si>
    <t xml:space="preserve">P0-93-040 - Насосная станция противопожарного водоснабженияКолонна КМ-1Армирование Колонны Км-1  ГНУТЫМИ стержнями диаметром  до 12 мм - МОНТАЖ </t>
  </si>
  <si>
    <t>P0-80-020 - Пожарное депо с аварийно-спасательным формированиемОконные и дверные проемыИзготовление опалубки оконных и дверных проемов</t>
  </si>
  <si>
    <t>P0-80-020 - Пожарное депо с аварийно-спасательным формированиемОконные и дверные проемыМонтаж и демонтаж опалубки собственного изготовления Лестницы Л2 (1 шт)</t>
  </si>
  <si>
    <t xml:space="preserve">P0-02-104 - Эстакада (к котельной). Участок №4Колонна КМ-4Армирование -   Изготовление  ( гнутые) </t>
  </si>
  <si>
    <t xml:space="preserve">P0-02-104 - Эстакада (к котельной). Участок №4Колонна КМ-4Армирование -   Монтаж  ( гнутые) </t>
  </si>
  <si>
    <t xml:space="preserve">P0-02-104 - Эстакада (к котельной). Участок №4Колонна КМ-4Армирование -   Изготовление  (прямые) </t>
  </si>
  <si>
    <t xml:space="preserve">P0-02-104 - Эстакада (к котельной). Участок №4Колонна КМ-4Армирование -   Монтаж  ( прямые) </t>
  </si>
  <si>
    <t xml:space="preserve">P0-02-104 - Эстакада (к котельной). Участок №4Рама РМ 2Армирование -   Монтаж  ( гнутые) </t>
  </si>
  <si>
    <t xml:space="preserve">P0-02-104 - Эстакада (к котельной). Участок №4Рама РМ 2Армирование -   Монтаж  ( прямые) </t>
  </si>
  <si>
    <t xml:space="preserve">P0-02-104 - Эстакада (к котельной). Участок №4Колонна КМ-5Армирование -   Изготовление  ( гнутые) </t>
  </si>
  <si>
    <t xml:space="preserve">P0-02-104 - Эстакада (к котельной). Участок №4Колонна КМ-5Армирование -   Монтаж  ( гнутые) </t>
  </si>
  <si>
    <t xml:space="preserve">P0-02-104 - Эстакада (к котельной). Участок №4Колонна КМ-5Армирование -   Изготовление  (прямые) </t>
  </si>
  <si>
    <t xml:space="preserve">P0-02-104 - Эстакада (к котельной). Участок №4Колонна КМ-5Армирование -   Монтаж  ( прямые) </t>
  </si>
  <si>
    <t>Доп часы-Основные проектные работы (ненормируемые) ТТ</t>
  </si>
  <si>
    <t>Доп часы-Основные проектные работы (ненормируемые) МК</t>
  </si>
  <si>
    <t>Доп часы-Основные работы
(работа с трубными узлами силами ГУС)</t>
  </si>
  <si>
    <t>Доп часы-Основные проектные работы</t>
  </si>
  <si>
    <t>Доп часы-Сопутствующие работы:
изготовление временных приспособлений для возможности и удобства проведения проектных работ по монтажу и сварке труб и резервуаров.</t>
  </si>
  <si>
    <t>Доп часы-Сопутствующие работы</t>
  </si>
  <si>
    <t>Доп часы-Перенос работ с субподрядной организации на ВелесстройМонтаж</t>
  </si>
  <si>
    <t>Доп часы-Устранение брака субподрядных организации силами ВелесстройМонтаж</t>
  </si>
  <si>
    <t>Доп часы-Склад (ФДБ)</t>
  </si>
  <si>
    <t>Доп часы-УМиТ (ФДБ)</t>
  </si>
  <si>
    <t>Доп часы-ДКиС (ФДБ)</t>
  </si>
  <si>
    <t>Доп часы-АХО (ФДБ)</t>
  </si>
  <si>
    <t>Доп часы-Энергетики (ФДБ)</t>
  </si>
  <si>
    <t>Доп часы-Лаборатория (ФДБ)</t>
  </si>
  <si>
    <t>Доп часы-УВР (ФДБ)</t>
  </si>
  <si>
    <t>Доп часы-Управление проектированием (ФДБ)</t>
  </si>
  <si>
    <t xml:space="preserve">Доп часы-Непредвиденные расходы (ненормируемые) </t>
  </si>
  <si>
    <t>Доп часы-Организационное время (должно быть учтено в БДР и БП)</t>
  </si>
  <si>
    <t>Доп часы-Склад (Простой, ФДБ)</t>
  </si>
  <si>
    <t>Доп часы-УМиТ (Простой, ФДБ)</t>
  </si>
  <si>
    <t>Доп часы-ДКиС (Простой, ФДБ)</t>
  </si>
  <si>
    <t>Доп часы-Энергетики (Простой, ФДБ)</t>
  </si>
  <si>
    <t>Доп часы-ОСК (Простой, ФДБ)</t>
  </si>
  <si>
    <t>Доп часы-Проект (простой)</t>
  </si>
  <si>
    <t>Доп часы-Актированные часы</t>
  </si>
  <si>
    <t>Доп часы-Погодные условия</t>
  </si>
  <si>
    <t>Доп часы-Простой по вине Заказчика</t>
  </si>
  <si>
    <t>P0-97-010 - Резервуар для сбора производственно-дождевых стоков с КНС №1-Резервуар для сбора производственно-дождевых стоков с КНС №1</t>
  </si>
  <si>
    <t>P0-97-010 - Резервуар для сбора производственно-дождевых стоков с КНС №1ФПм1Изготовление цементной стяжки и бетона по уклону - плиты ФПм1 путем стяжки из бетона на мелкозернистом заполнителе В25 F200 W8 с гидрофобной добавкой Пенетрон "Адмикс" толшиной 50-665 мм</t>
  </si>
  <si>
    <t>P0-97-010 - Резервуар для сбора производственно-дождевых стоков с КНС №1Пм1Плита монолитная Пм1 (1 шт)</t>
  </si>
  <si>
    <t>P0-97-010 - Резервуар для сбора производственно-дождевых стоков с КНС №1Пм1Устройство бетонной подготовки плиты Пм1 (1 шт) из бетона В10, толщ. 100 мм</t>
  </si>
  <si>
    <t>P0-97-010 - Резервуар для сбора производственно-дождевых стоков с КНС №1Пм1Армирование плиты  Пм1 (1 шт) ГНУТЫМИ стержнями диаметром  14 и более</t>
  </si>
  <si>
    <t>P0-97-010 - Резервуар для сбора производственно-дождевых стоков с КНС №1Пм1Армирование плиты  Пм1 (1 шт) ГНУТЫМИ стержнями диаметром  до 12 мм</t>
  </si>
  <si>
    <t>P0-97-010 - Резервуар для сбора производственно-дождевых стоков с КНС №1Пм1Армирование плиты  Пм1 (1 шт) ПРЯМИМ стержнями диаметром  14 и более</t>
  </si>
  <si>
    <t>P0-97-010 - Резервуар для сбора производственно-дождевых стоков с КНС №1Пм1Монтаж и демонтаж опалубки плиты Пм1 (1 шт)</t>
  </si>
  <si>
    <t>P0-97-010 - Резервуар для сбора производственно-дождевых стоков с КНС №1Пм1Устройство монолитные плиты из бетона В25 F200 W8 Пм1 (1 шт) с гидрофобной добавкой Пенетрон "Адмикс"</t>
  </si>
  <si>
    <t>P0-97-010 - Резервуар для сбора производственно-дождевых стоков с КНС №1Пм1Обеспечение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</si>
  <si>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P0-97-010 - Резервуар для сбора производственно-дождевых стоков с КНС №1Пм1Устройство деформационного изоляционного шва между фундаментной плиты и стенами гидрошпонкам</t>
  </si>
  <si>
    <t>P0-97-010 - Резервуар для сбора производственно-дождевых стоков с КНС №1Стм1Стена Стм1 (2 шт)</t>
  </si>
  <si>
    <t>P0-97-010 - Резервуар для сбора производственно-дождевых стоков с КНС №1Стм1Армированные стен Стм1 (2 шт) ГНУТЫМИ стержнями диаметром  14 и более</t>
  </si>
  <si>
    <t>P0-97-010 - Резервуар для сбора производственно-дождевых стоков с КНС №1Стм1Армированные стен Стм1 (2 шт) ГНУТЫМИ стержнями диаметром до 12 мм</t>
  </si>
  <si>
    <t>P0-97-010 - Резервуар для сбора производственно-дождевых стоков с КНС №1Стм1Армированные стен Стм1 (2 шт) ПРЯМЫМИ стержнями диаметром 14 мм и более</t>
  </si>
  <si>
    <t>P0-97-010 - Резервуар для сбора производственно-дождевых стоков с КНС №1Стм1Обеспечение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</si>
  <si>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P0-97-010 - Резервуар для сбора производственно-дождевых стоков с КНС №1Стм1Монтаж и демонтаж опалубки заводского изготовления стене Стм1 (2 шт) и колонн Км2 (14 шт) </t>
  </si>
  <si>
    <t>P0-97-010 - Резервуар для сбора производственно-дождевых стоков с КНС №1Стм1Бетонирование стен Стм1 (2 шт) из бетона B25 W8 F200 с гидрофобной добавкой Пенетрон "Адмикс"</t>
  </si>
  <si>
    <t>P0-97-010 - Резервуар для сбора производственно-дождевых стоков с КНС №1Стена СТм1Установка гидрошпонки для гидроизоляции сопряжения между двумя слоями бетона (горизонтальный рабочий шов)</t>
  </si>
  <si>
    <t>P0-97-010 - Резервуар для сбора производственно-дождевых стоков с КНС №1Стм2Стена Стм2 (1 шт)</t>
  </si>
  <si>
    <t>P0-97-010 - Резервуар для сбора производственно-дождевых стоков с КНС №1Стм2Армированные стен Стм2 (1 шт) ПРЯМЫМИ стержнями диаметром 14 мм и более</t>
  </si>
  <si>
    <t>P0-97-010 - Резервуар для сбора производственно-дождевых стоков с КНС №1Стм2Армированные стен Стм2 (1 шт) ГНУТЫМИ стержнями диаметром до 12 мм</t>
  </si>
  <si>
    <t>P0-97-010 - Резервуар для сбора производственно-дождевых стоков с КНС №1Стм2Армированные стен Стм2 (1 шт) ГНУТЫМИ стержнями диаметром 14 мм и более</t>
  </si>
  <si>
    <t xml:space="preserve">P0-97-010 - Резервуар для сбора производственно-дождевых стоков с КНС №1Стм2Обеспечение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 </t>
  </si>
  <si>
    <t xml:space="preserve">P0-97-010 - Резервуар для сбора производственно-дождевых стоков с КНС №1Стм2Монтаж и демонтаж опалубки заводского изготовления стене Стм2 (1 шт) и колонн Км2 (6 шт) </t>
  </si>
  <si>
    <t>P0-97-010 - Резервуар для сбора производственно-дождевых стоков с КНС №1Стм2Монтаж закладных деталей С3 (1 шт) стене Стм2 весом от 100,1-140,0кг</t>
  </si>
  <si>
    <t>P0-97-010 - Резервуар для сбора производственно-дождевых стоков с КНС №1Стм2Бетонирование стене Стм2 (1 шт) из бетона B25 F200 W8 с гидрофобной добавкой Пенетрон "Адмикс"</t>
  </si>
  <si>
    <t>P0-97-010 - Резервуар для сбора производственно-дождевых стоков с КНС №1Стм3 Стена Стм3 (1 шт)</t>
  </si>
  <si>
    <t>P0-97-010 - Резервуар для сбора производственно-дождевых стоков с КНС №1Стм3 Армированные стен Стм3 (1 шт) ГНУТЫМИ стержнями диаметром до 12 мм</t>
  </si>
  <si>
    <t>P0-97-010 - Резервуар для сбора производственно-дождевых стоков с КНС №1Стм3 Армированные стен Стм3 (1 шт) ГНУТЫМИ стержнями диаметром 14 мм и более</t>
  </si>
  <si>
    <t>P0-97-010 - Резервуар для сбора производственно-дождевых стоков с КНС №1Стм3 Армированные стен Стм3 (1 шт) ПРЯМЫМИ стержнями диаметром 14 мм и более</t>
  </si>
  <si>
    <t>P0-97-010 - Резервуар для сбора производственно-дождевых стоков с КНС №1Стм3 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</si>
  <si>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P0-97-010 - Резервуар для сбора производственно-дождевых стоков с КНС №1Стм3 Монтаж и демонтаж опалубки заводского изготовления стене Стм3 (1 шт) и колонн Км2 (6 шт) </t>
  </si>
  <si>
    <t>P0-97-010 - Резервуар для сбора производственно-дождевых стоков с КНС №1Стм3 Бетонирование стене Стм3 (1 шт) из бетона B25 F200 W8 с гидрофобной добавкой Пенетрон "Адмикс"</t>
  </si>
  <si>
    <t>P0-97-010 - Резервуар для сбора производственно-дождевых стоков с КНС №1Стена СТм3Установка гидрошпонки для гидроизоляции сопряжения между двумя слоями бетона (горизонтальный рабочий шов)</t>
  </si>
  <si>
    <t>P0-97-010 - Резервуар для сбора производственно-дождевых стоков с КНС №1Стм4Стена Стм4 (1 шт)</t>
  </si>
  <si>
    <t>P0-97-010 - Резервуар для сбора производственно-дождевых стоков с КНС №1Стм4Армированные стен Стм4 (1 шт) ГНУТЫМИ стержнями диаметром до 12 мм</t>
  </si>
  <si>
    <t>P0-97-010 - Резервуар для сбора производственно-дождевых стоков с КНС №1Стм4Армированные стен Стм4 (1 шт) ГНУТЫМИ стержнями диаметром 14 мм и более</t>
  </si>
  <si>
    <t>P0-97-010 - Резервуар для сбора производственно-дождевых стоков с КНС №1Стм4Армированные стен Стм4 (1 шт) ПРЯМЫМИ стержнями диаметром 14 мм и более</t>
  </si>
  <si>
    <t>P0-97-010 - Резервуар для сбора производственно-дождевых стоков с КНС №1Стм4Обеспечение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</si>
  <si>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P0-97-010 - Резервуар для сбора производственно-дождевых стоков с КНС №1Стм4Монтаж и демонтаж опалубки заводского изготовления стене Стм4 (1 шт) и колонн Км3 (7 шт)</t>
  </si>
  <si>
    <t>P0-97-010 - Резервуар для сбора производственно-дождевых стоков с КНС №1Стм4Бетонирование стене Стм4 (1 шт) из бетона B25 F200 W8 с гидрофобной добавкой Пенетрон "Адмикс"</t>
  </si>
  <si>
    <t>P0-97-010 - Резервуар для сбора производственно-дождевых стоков с КНС №1Стм5Стена Стм5 (1 шт)</t>
  </si>
  <si>
    <t>P0-97-010 - Резервуар для сбора производственно-дождевых стоков с КНС №1Стм5Армированные стен Стм5 (1 шт) ГНУТЫМИ стержнями диаметром до 12 мм</t>
  </si>
  <si>
    <t>P0-97-010 - Резервуар для сбора производственно-дождевых стоков с КНС №1Стм5Армированные стен Стм5 (1 шт) ГНУТЫМИ стержнями диаметром 14 мм и более</t>
  </si>
  <si>
    <t>P0-97-010 - Резервуар для сбора производственно-дождевых стоков с КНС №1Стм5Армированные стен Стм5 (1 шт) ПРЯМЫМИ стержнями диаметром 14 мм и более</t>
  </si>
  <si>
    <t>P0-97-010 - Резервуар для сбора производственно-дождевых стоков с КНС №1Стм5Обеспечение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</si>
  <si>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P0-97-010 - Резервуар для сбора производственно-дождевых стоков с КНС №1Стм5Монтаж и демонтаж опалубки заводского изготовления стене Стм5 (1 шт)</t>
  </si>
  <si>
    <t>P0-97-010 - Резервуар для сбора производственно-дождевых стоков с КНС №1Стм5Монтаж закладных деталей С1 (1 шт) стене Стм5 весом от 100,1-140,0кг</t>
  </si>
  <si>
    <t>P0-97-010 - Резервуар для сбора производственно-дождевых стоков с КНС №1Стм5Монтаж закладных деталей С2 (1 шт) стене Стм5 весом от 70,1-100,0кг</t>
  </si>
  <si>
    <t>P0-97-010 - Резервуар для сбора производственно-дождевых стоков с КНС №1Стм5Бетонирование стене Стм5 (1 шт) из бетона B25 F200 W8 с гидрофобной добавкой Пенетрон "Адмикс"</t>
  </si>
  <si>
    <t>P0-97-010 - Резервуар для сбора производственно-дождевых стоков с КНС №1Стм5Изготовление цементной стяжки и бетона по уклону - бетон B25 F200 W8 с гидрофобной добавкой Пенетрон "Адмикс" толшиной 150 - 1195 мм</t>
  </si>
  <si>
    <t>P0-97-010 - Резервуар для сбора производственно-дождевых стоков с КНС №1СтмУстройство деформационного изоляционного шва между фундаментной плиты и стенами гидрошпонкам</t>
  </si>
  <si>
    <t>P0-97-010 - Резервуар для сбора производственно-дождевых стоков с КНС №1Км1Колонны монолитные Км1 (42 шт)</t>
  </si>
  <si>
    <t>P0-97-010 - Резервуар для сбора производственно-дождевых стоков с КНС №1Колонны монолитные Км1 Монтаж и демонтаж опалубки заводского изготовления  колонн Км1 (42 шт)</t>
  </si>
  <si>
    <t>P0-97-010 - Резервуар для сбора производственно-дождевых стоков с КНС №1Км1Армированные колонн Км1 (42 шт) ГНУТЫМИ стержнями диаметром до 12 мм</t>
  </si>
  <si>
    <t>P0-97-010 - Резервуар для сбора производственно-дождевых стоков с КНС №1Км1Армированные колонн Км1 (42 шт) ГНУТЫМИ стержнями диаметром 14 мм и более</t>
  </si>
  <si>
    <t>P0-97-010 - Резервуар для сбора производственно-дождевых стоков с КНС №1Км1Бетонирование колонн Км1 (42 шт) из бетона B25 F200 W8 с гидрофобной добавкой Пенетрон "Адмикс"</t>
  </si>
  <si>
    <t>P0-97-010 - Резервуар для сбора производственно-дождевых стоков с КНС №1Км2Колонны монолитные Км2 (26 шт)</t>
  </si>
  <si>
    <t>P0-97-010 - Резервуар для сбора производственно-дождевых стоков с КНС №1Км2Армированные колонн Км2 (26 шт) ГНУТЫМИ стержнями диаметром до 12 мм</t>
  </si>
  <si>
    <t>P0-97-010 - Резервуар для сбора производственно-дождевых стоков с КНС №1Км2Армированные колонн Км2 (26 шт) ГНУТЫМИ стержнями диаметром 14 мм и более</t>
  </si>
  <si>
    <t>P0-97-010 - Резервуар для сбора производственно-дождевых стоков с КНС №1Км2Бетонирование колонн Км2 (26 шт) из бетона B25 F200 W8 с гидрофобной добавкой Пенетрон "Адмикс"</t>
  </si>
  <si>
    <t>P0-97-010 - Резервуар для сбора производственно-дождевых стоков с КНС №1Км3Колонны монолитные Км3 (7 шт)</t>
  </si>
  <si>
    <t>P0-97-010 - Резервуар для сбора производственно-дождевых стоков с КНС №1Км3Армированные колонн Км3 (7 шт) ГНУТЫМИ стержнями диаметром до 12 мм</t>
  </si>
  <si>
    <t>P0-97-010 - Резервуар для сбора производственно-дождевых стоков с КНС №1Км3Армированные колонн Км3 (7 шт) ГНУТЫМИ стержнями диаметром 14 мм и более</t>
  </si>
  <si>
    <t>P0-97-010 - Резервуар для сбора производственно-дождевых стоков с КНС №1Км3Бетонирование колонн Км3 (7 шт) из бетона B25 F200 W8 с гидрофобной добавкой Пенетрон "Адмикс"</t>
  </si>
  <si>
    <t>P0-97-010 - Резервуар для сбора производственно-дождевых стоков с КНС №1ППм1Плита перкрытия ППм1 (1шт)</t>
  </si>
  <si>
    <t>P0-97-010 - Резервуар для сбора производственно-дождевых стоков с КНС №1ППм1Армирование плити перекрытия ППм1 (1шт) ПРЯМЫМИ стержнями диаметром 14мм и более</t>
  </si>
  <si>
    <t>P0-97-010 - Резервуар для сбора производственно-дождевых стоков с КНС №1ППм1Армирование плити перекрытия ППм1 (1шт) ГНУТЫМИ стержнями диаметром 14мм и более</t>
  </si>
  <si>
    <t>P0-97-010 - Резервуар для сбора производственно-дождевых стоков с КНС №1ППм1Армирование плити перекрытия ППм1 (1шт) ГНУТЫМИ стержнями диаметром до 12мм</t>
  </si>
  <si>
    <t>P0-97-010 - Резервуар для сбора производственно-дождевых стоков с КНС №1ППм1Монтаж каркаса пространственного КР1 (482,4м)</t>
  </si>
  <si>
    <t>P0-97-010 - Резервуар для сбора производственно-дождевых стоков с КНС №1ППм1Монтаж каркаса пространственного КР2 (142,99м)</t>
  </si>
  <si>
    <t>P0-97-010 - Резервуар для сбора производственно-дождевых стоков с КНС №1ППм1Монтаж закладных деталей весом от 70,1-100,0кг</t>
  </si>
  <si>
    <t xml:space="preserve">P0-97-010 - Резервуар для сбора производственно-дождевых стоков с КНС №1ППм1Монтаж и демонтаж опалубки заводского изготовления плити перекрытия ППм1 (1шт) </t>
  </si>
  <si>
    <t>P0-97-010 - Резервуар для сбора производственно-дождевых стоков с КНС №1ППм1Обеспечение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</si>
  <si>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 xml:space="preserve">P0-97-010 - Резервуар для сбора производственно-дождевых стоков с КНС №1ППм1Бетонирование плити перекрытия ППм1 (1шт) </t>
  </si>
  <si>
    <t>P0-97-010 - Резервуар для сбора производственно-дождевых стоков с КНС №1Нбм1Набетонка Нбм1 (5шт)</t>
  </si>
  <si>
    <t>P0-97-010 - Резервуар для сбора производственно-дождевых стоков с КНС №1Нбм1Армирование Набетонки Нбм1 (5шт) ГНУТЫМИ стержнями диаметром до 12мм</t>
  </si>
  <si>
    <t>P0-97-010 - Резервуар для сбора производственно-дождевых стоков с КНС №1Нбм1Установка анкерных болтов (10 шт)(перед бетонированием) диаметром от Ø20мм до Ø40мм весом 7,34 кг/шт</t>
  </si>
  <si>
    <t>P0-97-010 - Резервуар для сбора производственно-дождевых стоков с КНС №1Нбм1Монтаж и демонтаж опалубки заводского изготовления Набетонки Нбм1 (5шт)</t>
  </si>
  <si>
    <t>P0-97-010 - Резервуар для сбора производственно-дождевых стоков с КНС №1Нбм1Бетонирование Набетонки Нбм1 (5шт)</t>
  </si>
  <si>
    <t>P0-97-010 - Резервуар для сбора производственно-дождевых стоков с КНС №1Нбм1Устройство подливки, толщиной 50 мм из бетона В30 на мелокм заполнителе</t>
  </si>
  <si>
    <t>P0-97-010 - Резервуар для сбора производственно-дождевых стоков с КНС №1Нбм2Набетонка Нбм2 (13шт)</t>
  </si>
  <si>
    <t>P0-97-010 - Резервуар для сбора производственно-дождевых стоков с КНС №1Нбм2Армирование Набетонки Нбм2 (13шт) ГНУТЫМИ стержнями диаметром до 12мм</t>
  </si>
  <si>
    <t>P0-97-010 - Резервуар для сбора производственно-дождевых стоков с КНС №1Нбм2Монтаж закладных деталей весом от 5,1-12,0кг</t>
  </si>
  <si>
    <t>P0-97-010 - Резервуар для сбора производственно-дождевых стоков с КНС №1Нбм2Монтаж и демонтаж опалубки заводского изготовления Набетонки Нбм2 (13шт)</t>
  </si>
  <si>
    <t>P0-97-010 - Резервуар для сбора производственно-дождевых стоков с КНС №1Нбм2Бетонирование Набетонки Нбм2 (13шт)</t>
  </si>
  <si>
    <t>P0-97-010 - Резервуар для сбора производственно-дождевых стоков с КНС №1Нбм2Устройство подливки, толщиной 50 мм из бетона В30 на мелокм заполнителе</t>
  </si>
  <si>
    <t>P0-97-010 - Резервуар для сбора производственно-дождевых стоков с КНС №1ППм2Плита перкрытия ППм2 (1шт)</t>
  </si>
  <si>
    <t>P0-97-010 - Резервуар для сбора производственно-дождевых стоков с КНС №1ППм2Армирование плити перекрытия ППм2 (1шт) ПРЯМЫМИ стержнями диаметром 14мм и более</t>
  </si>
  <si>
    <t>P0-97-010 - Резервуар для сбора производственно-дождевых стоков с КНС №1ППм2Армирование плити перекрытия ППм2 (1шт) ГНУТЫМИ стержнями диаметром 14мм и более</t>
  </si>
  <si>
    <t>P0-97-010 - Резервуар для сбора производственно-дождевых стоков с КНС №1ППм2Армирование плити перекрытия ППм2 (1шт) ГНУТЫМИ стержнями диаметром до 12мм</t>
  </si>
  <si>
    <t>P0-97-010 - Резервуар для сбора производственно-дождевых стоков с КНС №1ППм2Монтаж закладных деталей весом от 5,1-12,0кг</t>
  </si>
  <si>
    <t xml:space="preserve">P0-97-010 - Резервуар для сбора производственно-дождевых стоков с КНС №1ППм2Изготовление из пиломатериала опалубки собственного иОпалубка собственного изготовления плити перекрытия ППм2 (1шт) </t>
  </si>
  <si>
    <t xml:space="preserve">P0-97-010 - Резервуар для сбора производственно-дождевых стоков с КНС №1ППм2Монтаж и демонтаж опалубки собственного изготовления плити перекрытия ППм2 (1шт) </t>
  </si>
  <si>
    <t xml:space="preserve">P0-97-010 - Резервуар для сбора производственно-дождевых стоков с КНС №1ППм2Бетонирование плити перекрытия ППм2 (1шт) </t>
  </si>
  <si>
    <t>P0-97-010 - Резервуар для сбора производственно-дождевых стоков с КНС №1НасыпУстройство насыпи над монолитной плитой покрытия ППм1 высотой 1,14м - механизированным способом</t>
  </si>
  <si>
    <t>P0-97-010 - Резервуар для сбора производственно-дождевых стоков с КНС №1НасыпУстройство насыпи над монолитной плитой покрытия ППм1 высотой 1,14м - вручную</t>
  </si>
  <si>
    <t>P0-97-010 - Резервуар для сбора производственно-дождевых стоков с КНС №1НасыпУплотнение насыпи над монолитной плитой покрытия ППм1 высотой 1,14м - механизированным способом</t>
  </si>
  <si>
    <t>P0-97-010 - Резервуар для сбора производственно-дождевых стоков с КНС №1НасыпУплотнение  насыпи над монолитной плитой покрытия ППм1 высотой 1,14м - вручную</t>
  </si>
  <si>
    <t>P0-97-010 - Резервуар для сбора производственно-дождевых стоков с КНС №1ППм3Плита перкрытия ППм3 (1шт)</t>
  </si>
  <si>
    <t>P0-97-010 - Резервуар для сбора производственно-дождевых стоков с КНС №1ППм3Устройство подбетонки из бетона В10 толщиной 100мм</t>
  </si>
  <si>
    <t>P0-97-010 - Резервуар для сбора производственно-дождевых стоков с КНС №1ППм3Армирование плити перекрытия ППм3 (1шт) ПРЯМЫМИ стержнями диаметром до 12мм</t>
  </si>
  <si>
    <t>P0-97-010 - Резервуар для сбора производственно-дождевых стоков с КНС №1ППм3Армирование плити перекрытия ППм3 (1шт) ГНУТЫМИ стержнями диаметром до 12мм</t>
  </si>
  <si>
    <t>P0-97-010 - Резервуар для сбора производственно-дождевых стоков с КНС №1ППм3Монтаж каркаса пплоского КР3 (74,5м)</t>
  </si>
  <si>
    <t>P0-97-010 - Резервуар для сбора производственно-дождевых стоков с КНС №1ППм3Монтаж закладных деталей весом от 5,1-12,0кг</t>
  </si>
  <si>
    <t xml:space="preserve">P0-97-010 - Резервуар для сбора производственно-дождевых стоков с КНС №1ППм3Изготовление из пиломатериала опалубки собственного иОпалубка собственного изготовления плити перекрытия ППм3 (1шт) </t>
  </si>
  <si>
    <t xml:space="preserve">P0-97-010 - Резервуар для сбора производственно-дождевых стоков с КНС №1ППм3Монтаж и демонтаж опалубки собственного изготовления плити перекрытия ППм3 (1шт) </t>
  </si>
  <si>
    <t xml:space="preserve">P0-97-010 - Резервуар для сбора производственно-дождевых стоков с КНС №1ППм3Бетонирование плити перекрытия ППм3 (1шт) </t>
  </si>
  <si>
    <t>P0-97-010 - Резервуар для сбора производственно-дождевых стоков с КНС №1ППм3Устройство деформационного шва между  фундаментными плитами, шириной 20 мм, с заполнением герметиком</t>
  </si>
  <si>
    <t>P0-97-010 - Резервуар для сбора производственно-дождевых стоков с КНС №1Стм6Стена Стм6 (1шт)</t>
  </si>
  <si>
    <t xml:space="preserve">P0-97-010 - Резервуар для сбора производственно-дождевых стоков с КНС №1Стм6Армирование стен Стм6 (1шт) ПРЯМЫМИ стержнями диаметром 14мм и более </t>
  </si>
  <si>
    <t>P0-97-010 - Резервуар для сбора производственно-дождевых стоков с КНС №1Стм6Армирование стен Стм6 (1шт) ГНУТЫМИ стержнями диаметром 14мм и более</t>
  </si>
  <si>
    <t xml:space="preserve">P0-97-010 - Резервуар для сбора производственно-дождевых стоков с КНС №1Стм6Армирование стен Стм6 (1шт) ГНУТЫМИ стержнями диаметром до 12мм </t>
  </si>
  <si>
    <t>P0-97-010 - Резервуар для сбора производственно-дождевых стоков с КНС №1Стм6Установка анкерных болтов (4 шт)(перед бетонированием) диаметром от Ø20мм до Ø40мм весом 7,34 кг/шт</t>
  </si>
  <si>
    <t>P0-97-010 - Резервуар для сбора производственно-дождевых стоков с КНС №1Стм6Монтаж закладных деталей весом от 2,1-5,0кг</t>
  </si>
  <si>
    <t>P0-97-010 - Резервуар для сбора производственно-дождевых стоков с КНС №1Стм6Монтаж и демонтаж опалубки стены монолитной Стм6 (1шт)</t>
  </si>
  <si>
    <t>P0-97-010 - Резервуар для сбора производственно-дождевых стоков с КНС №1Стм6Бетонирование стены Стм6 (1 шт)</t>
  </si>
  <si>
    <t>P0-97-010 - Резервуар для сбора производственно-дождевых стоков с КНС №1Стм6Устройство теплоизоляции стени Стм2, Стм3, Стм5, Стм6 по оси 1 и 9</t>
  </si>
  <si>
    <t>P0-97-010 - Резервуар для сбора производственно-дождевых стоков с КНС №1Стм7Стена Стм7 (1шт)</t>
  </si>
  <si>
    <t xml:space="preserve">P0-97-010 - Резервуар для сбора производственно-дождевых стоков с КНС №1Стм7Армирование стен Стм7 (1шт) ПРЯМЫМИ стержнями диаметром 14мм и более </t>
  </si>
  <si>
    <t>P0-97-010 - Резервуар для сбора производственно-дождевых стоков с КНС №1Стм7Армирование стен Стм7 (1шт) ГНУТЫМИ стержнями диаметром 14мм и более</t>
  </si>
  <si>
    <t xml:space="preserve">P0-97-010 - Резервуар для сбора производственно-дождевых стоков с КНС №1Стм7Армирование стен Стм7 (1шт) ГНУТЫМИ стержнями диаметром до 12мм </t>
  </si>
  <si>
    <t>P0-97-010 - Резервуар для сбора производственно-дождевых стоков с КНС №1Стм7Монтаж закладных деталей весом от 5,1-12,0кг</t>
  </si>
  <si>
    <t>P0-97-010 - Резервуар для сбора производственно-дождевых стоков с КНС №1Стм7Монтаж и демонтаж опалубки стены монолитной Стм7 (1шт)</t>
  </si>
  <si>
    <t>P0-97-010 - Резервуар для сбора производственно-дождевых стоков с КНС №1Стм7Бетонирование стены Стм7 (1 шт)</t>
  </si>
  <si>
    <t>P0-02-020 - Центральная эстакада. Участок 2РСм1Ростверк РСм1 (8 шт)</t>
  </si>
  <si>
    <t>P0-02-020 - Центральная эстакада. Участок 2РСм1Устройство бетонной подготовки фундаментов РСм1 из бетона В10, толщ. 100 мм (8шт.)</t>
  </si>
  <si>
    <t>P0-02-020 - Центральная эстакада. Участок 2РСм1Армирование ростверка РСм1 (8 шт) ГНУТЫМИ сварными стержнями диаметром 14 мм и более</t>
  </si>
  <si>
    <t>P0-02-020 - Центральная эстакада. Участок 2РСм1Армирование ростверка РСм1 (8 шт) ПРЯМЫМИ стержнями диаметром  14 мм и более</t>
  </si>
  <si>
    <t>P0-02-020 - Центральная эстакада. Участок 2РСм1Армирование ростверка РСм1 (8 шт) ГНУТЫМИ стержнями диаметром  до 12 мм</t>
  </si>
  <si>
    <t>P0-02-020 - Центральная эстакада. Участок 2РСм1Монтаж каркасов  плоскых КР1 весом 16,4кг/шт.</t>
  </si>
  <si>
    <t>P0-02-020 - Центральная эстакада. Участок 2РСм1Монтаж каркасов  плоскых КР2 весом 5,6кг/шт.</t>
  </si>
  <si>
    <t>P0-02-020 - Центральная эстакада. Участок 2РСм1Монтаж и демонтаж опалубки ростверка РСм1 (8 шт) нижний ярус</t>
  </si>
  <si>
    <t>P0-02-020 - Центральная эстакада. Участок 2РСм1Монтаж и демонтаж опалубки ростверка РСм1 (8 шт) верхний ярус</t>
  </si>
  <si>
    <t>P0-02-020 - Центральная эстакада. Участок 2РСм1Обеспечение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</si>
  <si>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P0-02-020 - Центральная эстакада. Участок 2РСм1Бетонирование ростверка РСм1</t>
  </si>
  <si>
    <t>P0-02-020 - Центральная эстакада. Участок 2РСм2аРостверк РСм2а (6 шт)</t>
  </si>
  <si>
    <t>P0-02-020 - Центральная эстакада. Участок 2РСм2аУстройство бетонной подготовки фундаментов РСм2а из бетона В10, толщ. 100 мм (6шт.)</t>
  </si>
  <si>
    <t>P0-02-020 - Центральная эстакада. Участок 2РСм2аАрмирование ростверка РСм2а (6 шт) ГНУТЫМИ сварными стержнями диаметром 14 мм и более</t>
  </si>
  <si>
    <t>P0-02-020 - Центральная эстакада. Участок 2РСм2аАрмирование ростверка РСм2а (6 шт) ПРЯМЫМИ стержнями диаметром  14 мм и более</t>
  </si>
  <si>
    <t>P0-02-020 - Центральная эстакада. Участок 2РСм2аАрмирование ростверка РСм2а (6 шт) ГНУТЫМИ стержнями диаметром  до 12 мм</t>
  </si>
  <si>
    <t>P0-02-020 - Центральная эстакада. Участок 2РСм2аМонтаж каркасов  плоскых КР3 весом 12,46кг/шт.</t>
  </si>
  <si>
    <t>P0-02-020 - Центральная эстакада. Участок 2РСм2аМонтаж каркасов  плоскых КР4 весом 4,54кг/шт.</t>
  </si>
  <si>
    <t>P0-02-020 - Центральная эстакада. Участок 2РСм2аМонтаж и демонтаж опалубки ростверка РСм2а (6 шт) нижний ярус</t>
  </si>
  <si>
    <t>P0-02-020 - Центральная эстакада. Участок 2РСм2аМонтаж и демонтаж опалубки ростверка РСм2а (6 шт) верхний ярус</t>
  </si>
  <si>
    <t>P0-02-020 - Центральная эстакада. Участок 2РСм2аОбеспечение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</si>
  <si>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P0-02-020 - Центральная эстакада. Участок 2РСм2аБетонирование ростверка РСм2а</t>
  </si>
  <si>
    <t>P0-02-020 - Центральная эстакада. Участок 2РСм2бРостверк РСм2б (10 шт)</t>
  </si>
  <si>
    <t>P0-02-020 - Центральная эстакада. Участок 2РСм2бУстройство бетонной подготовки фундаментов РСм2б из бетона В10, толщ. 100 мм (10шт.)</t>
  </si>
  <si>
    <t>P0-02-020 - Центральная эстакада. Участок 2РСм2бАрмирование ростверка РСм2б (10 шт)  ГНУТЫМИ сварными стержнями диаметром 14 мм и более</t>
  </si>
  <si>
    <t>P0-02-020 - Центральная эстакада. Участок 2РСм2бАрмирование ростверка РСм2б (10 шт)  ПРЯМЫМИ стержнями диаметром  14 мм и более</t>
  </si>
  <si>
    <t>P0-02-020 - Центральная эстакада. Участок 2РСм2бАрмирование ростверка РСм2б (10 шт) ГНУТЫМИ стержнями диаметром  до 12 мм</t>
  </si>
  <si>
    <t>P0-02-020 - Центральная эстакада. Участок 2РСм2бМонтаж каркасов  плоскых КР3 весом 12,46кг/шт.</t>
  </si>
  <si>
    <t>P0-02-020 - Центральная эстакада. Участок 2РСм2бМонтаж каркасов  плоскых КР4 весом 4,54кг/шт.</t>
  </si>
  <si>
    <t>P0-02-020 - Центральная эстакада. Участок 2РСм2бМонтаж и демонтаж опалубки ростверка РСм2б (10 шт) нижний ярус</t>
  </si>
  <si>
    <t>P0-02-020 - Центральная эстакада. Участок 2РСм2бМонтаж и демонтаж опалубки ростверка РСм2б (10 шт) верхний ярус</t>
  </si>
  <si>
    <t>P0-02-020 - Центральная эстакада. Участок 2РСм2бОбеспечение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</si>
  <si>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P0-02-020 - Центральная эстакада. Участок 2РСм2бБетонирование ростверка РСм2б</t>
  </si>
  <si>
    <t>P0-02-020 - Центральная эстакада. Участок 2РСм3Ростверк РСм3 (4 шт)</t>
  </si>
  <si>
    <t>P0-02-020 - Центральная эстакада. Участок 2РСм3Устройство бетонной подготовки фундаментов РСм3 из бетона В10, толщ. 100 мм (4шт.)</t>
  </si>
  <si>
    <t>P0-02-020 - Центральная эстакада. Участок 2РСм3Армирование ростверка РСм3 (4 шт) ГНУТЫМИ сварными стержнями диаметром 14 мм и более</t>
  </si>
  <si>
    <t>P0-02-020 - Центральная эстакада. Участок 2РСм3Армирование ростверка РСм3 (4 шт) ПРЯМЫМИ стержнями диаметром  14 мм и более</t>
  </si>
  <si>
    <t>P0-02-020 - Центральная эстакада. Участок 2РСм3Армирование ростверка РСм3 (4 шт) ГНУТЫМИ стержнями диаметром  до 12 мм</t>
  </si>
  <si>
    <t>P0-02-020 - Центральная эстакада. Участок 2РСм3Монтаж каркасов плоскых КР5 весом 12кг/шт.</t>
  </si>
  <si>
    <t>P0-02-020 - Центральная эстакада. Участок 2РСм3Монтаж каркасов плоскых КР6 весом 4,4кг/шт.</t>
  </si>
  <si>
    <t>P0-02-020 - Центральная эстакада. Участок 2РСм3Монтаж и демонтаж опалубки ростверка РСм3 (4 шт) нижний ярус</t>
  </si>
  <si>
    <t>P0-02-020 - Центральная эстакада. Участок 2РСм3Монтаж и демонтаж опалубки ростверка РСм3 (4 шт) верхний ярус</t>
  </si>
  <si>
    <t>P0-02-020 - Центральная эстакада. Участок 2РСм3Обеспечение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</si>
  <si>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P0-02-020 - Центральная эстакада. Участок 2РСм3Бетонирование ростверка РСм3</t>
  </si>
  <si>
    <t>P0-02-020 - Центральная эстакада. Участок 2РСм4Ростверк РСм4 (8 шт)</t>
  </si>
  <si>
    <t>P0-02-020 - Центральная эстакада. Участок 2РСм4Устройство бетонной подготовки фундаментов РСм4 из бетона В10, толщ. 100 мм (8шт.)</t>
  </si>
  <si>
    <t>P0-02-020 - Центральная эстакада. Участок 2РСм4Армирование ростверка РСм4 (8 шт) ГНУТЫМИ сварными стержнями диаметром 14 мм и более</t>
  </si>
  <si>
    <t>P0-02-020 - Центральная эстакада. Участок 2РСм4Армирование ростверка РСм4 (8 шт)  ПРЯМЫМИ стержнями диаметром  14 мм и более</t>
  </si>
  <si>
    <t>P0-02-020 - Центральная эстакада. Участок 2РСм4Армирование ростверка РСм4 (8 шт)  ГНУТЫМИ стержнями диаметром  до 12 мм</t>
  </si>
  <si>
    <t>P0-02-020 - Центральная эстакада. Участок 2РСм4Монтаж каркасов плоскых КР7 весом 6,8кг/шт.</t>
  </si>
  <si>
    <t>P0-02-020 - Центральная эстакада. Участок 2РСм4Монтаж и демонтаж опалубки ростверка РСм4 (8 шт) нижний ярус</t>
  </si>
  <si>
    <t>P0-02-020 - Центральная эстакада. Участок 2РСм4Монтаж и демонтаж опалубки ростверка РСм4 (8 шт) верхний ярус</t>
  </si>
  <si>
    <t>P0-02-020 - Центральная эстакада. Участок 2РСм4Обеспечение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</si>
  <si>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P0-02-020 - Центральная эстакада. Участок 2РСм4Бетонирование ростверка РСм4</t>
  </si>
  <si>
    <t>P0-02-020 - Центральная эстакада. Участок 2РСм5Ростверк РСм5 (2 шт)</t>
  </si>
  <si>
    <t>P0-02-020 - Центральная эстакада. Участок 2РСм5Устройство бетонной подготовки фундаментов РСм5 из бетона В10, толщ. 100 мм (2шт.)</t>
  </si>
  <si>
    <t>P0-02-020 - Центральная эстакада. Участок 2РСм5Армирование ростверка РСм5 (2 шт) ГНУТЫМИ сварными стержнями диаметром 14 мм и более</t>
  </si>
  <si>
    <t>P0-02-020 - Центральная эстакада. Участок 2РСм5Армирование ростверка РСм5 (2 шт)  ГНУТЫМИ стержнями диаметром  до 12 мм</t>
  </si>
  <si>
    <t xml:space="preserve">P0-02-020 - Центральная эстакада. Участок 2РСм5Установка анкерных болтов М1 (перед бетонированием) диаметром от Ø20мм до Ø40мм </t>
  </si>
  <si>
    <t>P0-02-020 - Центральная эстакада. Участок 2РСм5Монтаж и демонтаж опалубки ростверка РСм5 (2 шт) нижний ярус</t>
  </si>
  <si>
    <t>P0-02-020 - Центральная эстакада. Участок 2РСм5Монтаж и демонтаж опалубки ростверка РСм5 (2 шт) верхний ярус</t>
  </si>
  <si>
    <t>P0-02-020 - Центральная эстакада. Участок 2РСм5Обеспечение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</si>
  <si>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P0-02-020 - Центральная эстакада. Участок 2РСм5Бетонирование ростверка РСм5</t>
  </si>
  <si>
    <t xml:space="preserve">P0-02-020 - Центральная эстакада. Участок 2Колонна монолитная Км1-5Бетонирование колонн Км из бетона B25 W8 F200 </t>
  </si>
  <si>
    <t>P0-93-050 - Резервуар для хранения противопожарного запаса воды №1Фундаментная плита Пфм-1 (1 шт)Устройство резервуара под уклоном из асфальтобетона, гидрофобный слой толщиной от 20 до 230 мм</t>
  </si>
  <si>
    <t>P0-02-010 - Центральная эстакада. Участок 1РСм16Ростверк монолитный РСм16 (1шт)</t>
  </si>
  <si>
    <t>P0-02-010 - Центральная эстакада. Участок 1РСм16Устройство бетонной подготовки толщиной 100 мм</t>
  </si>
  <si>
    <t xml:space="preserve">P0-02-010 - Центральная эстакада. Участок 1РСм16Изготовление и монтаж каркасов пространственных КР11 весом 15,6кг/шт </t>
  </si>
  <si>
    <t xml:space="preserve">P0-02-010 - Центральная эстакада. Участок 1РСм16Изготовление и монтаж каркасов пространственных КР12 весом 5,7кг/шт </t>
  </si>
  <si>
    <t>P0-02-010 - Центральная эстакада. Участок 1РСм16Армирование фундамента РСм16 (1шт) ПРЯМЫМИ стержнями диаметром 14 мм и более</t>
  </si>
  <si>
    <t>P0-02-010 - Центральная эстакада. Участок 1РСм16Армирование фундамента  РСм16 (1шт) ГНУТЫЕ стержнями диаметром 14 мм и более</t>
  </si>
  <si>
    <t>P0-02-010 - Центральная эстакада. Участок 1РСм16Армирование фундамента  РСм16 (1шт) ПРЯМЫМИ стержнями диаметром  до 12 мм</t>
  </si>
  <si>
    <t>P0-02-010 - Центральная эстакада. Участок 1РСм16Армирование фундамента  РСм16 (1шт) ГНУТЫЕ стержнями диаметром  до 12 мм</t>
  </si>
  <si>
    <t>P0-02-010 - Центральная эстакада. Участок 1РСм16Монтаж - демонтаж опалубки заводского изготовления для фундамента РСм16 (1шт)</t>
  </si>
  <si>
    <t>P0-02-010 - Центральная эстакада. Участок 1РСм16Обеспечение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</si>
  <si>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P0-02-010 - Центральная эстакада. Участок 1РСм16Устройство фундамента РСм16 (1шт) из бетона B25 W8 F200</t>
  </si>
  <si>
    <t>P0-02-030 - Центральная эстакада. Участок 3РСм1Ростверк РСм1 (4 шт)</t>
  </si>
  <si>
    <t>P0-02-030 - Центральная эстакада. Участок 3РСм1Устройство бетонной подготовки фундаментов РСм1 из бетона В10, толщ. 100 мм (4 шт.)</t>
  </si>
  <si>
    <t>P0-02-030 - Центральная эстакада. Участок 3РСм1Армирование ростверка РСм1 (4 шт) ГНУТЫМИ сварными стержнями диаметром 14 мм и более</t>
  </si>
  <si>
    <t>P0-02-030 - Центральная эстакада. Участок 3РСм1Армирование ростверка РСм1 (4 шт) ПРЯМЫМИ стержнями диаметром  14 мм и более</t>
  </si>
  <si>
    <t>P0-02-030 - Центральная эстакада. Участок 3РСм1Армирование ростверка РСм1 (4 шт) ПРЯМЫМИ стержнями диаметром  до 12 мм</t>
  </si>
  <si>
    <t>P0-02-030 - Центральная эстакада. Участок 3РСм1Армирование ростверка РСм1 (4 шт) ГНУТЫМИ стержнями диаметром  до 12 мм</t>
  </si>
  <si>
    <t>P0-02-030 - Центральная эстакада. Участок 3РСм1Монтаж каркасов  плоскых КР1 весом 10,49 кг/шт.</t>
  </si>
  <si>
    <t>P0-02-030 - Центральная эстакада. Участок 3РСм1Монтаж и демонтаж опалубки ростверка РСм1 (4 шт) нижний ярус</t>
  </si>
  <si>
    <t>P0-02-030 - Центральная эстакада. Участок 3РСм1Монтаж и демонтаж опалубки ростверка РСм1 (4 шт) верхний ярус</t>
  </si>
  <si>
    <t>P0-02-030 - Центральная эстакада. Участок 3РСм1Обеспечение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</si>
  <si>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P0-02-030 - Центральная эстакада. Участок 3РСм1Бетонирование ростверка РСм1</t>
  </si>
  <si>
    <t>P0-02-030 - Центральная эстакада. Участок 3РСм4Ростверк РСм4 (4 шт)</t>
  </si>
  <si>
    <t>P0-02-030 - Центральная эстакада. Участок 3РСм4Устройство бетонной подготовки фундаментов РСм4 из бетона В10, толщ. 100 мм (4 шт.)</t>
  </si>
  <si>
    <t>P0-02-030 - Центральная эстакада. Участок 3РСм4Армирование ростверка РСм4 (4 шт) ГНУТЫМИ сварными стержнями диаметром 14 мм и более</t>
  </si>
  <si>
    <t>P0-02-030 - Центральная эстакада. Участок 3РСм4Армирование ростверка РСм4 (4 шт) ПРЯМЫМИ стержнями диаметром  14 мм и более</t>
  </si>
  <si>
    <t>P0-02-030 - Центральная эстакада. Участок 3РСм4Армирование ростверка РСм4 (4 шт) ПРЯМЫМИ стержнями диаметром  до 12 мм</t>
  </si>
  <si>
    <t>P0-02-030 - Центральная эстакада. Участок 3РСм4Армирование ростверка РСм4 (4 шт) ГНУТЫМИ стержнями диаметром  до 12 мм</t>
  </si>
  <si>
    <t>P0-02-030 - Центральная эстакада. Участок 3РСм4Монтаж каркасов  плоскых КР1 весом 10,49 кг/шт.</t>
  </si>
  <si>
    <t>P0-02-030 - Центральная эстакада. Участок 3РСм4Монтаж и демонтаж опалубки ростверка РСм4 (4 шт) нижний ярус</t>
  </si>
  <si>
    <t>P0-02-030 - Центральная эстакада. Участок 3РСм4Монтаж и демонтаж опалубки ростверка РСм4 (4 шт) верхний ярус</t>
  </si>
  <si>
    <t>P0-02-030 - Центральная эстакада. Участок 3РСм4Обеспечение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</si>
  <si>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P0-02-030 - Центральная эстакада. Участок 3РСм4Бетонирование ростверка РСм4</t>
  </si>
  <si>
    <t>P0-02-030 - Центральная эстакада. Участок 3РСм6Ростверк РСм6 (4 шт)</t>
  </si>
  <si>
    <t>P0-02-030 - Центральная эстакада. Участок 3РСм6Устройство бетонной подготовки фундаментов РСм6 из бетона В10, толщ. 100 мм (4 шт.)</t>
  </si>
  <si>
    <t>P0-02-030 - Центральная эстакада. Участок 3РСм6Армирование ростверка РСм6 (4 шт) ГНУТЫМИ сварными стержнями диаметром 14 мм и более</t>
  </si>
  <si>
    <t>P0-02-030 - Центральная эстакада. Участок 3РСм6Армирование ростверка РСм6 (4 шт) ПРЯМЫМИ стержнями диаметром  14 мм и более</t>
  </si>
  <si>
    <t>P0-02-030 - Центральная эстакада. Участок 3РСм6Армирование ростверка РСм6 (4 шт) ПРЯМЫМИ стержнями диаметром  до 12 мм</t>
  </si>
  <si>
    <t>P0-02-030 - Центральная эстакада. Участок 3РСм6Армирование ростверка РСм6 (4 шт) ГНУТЫМИ стержнями диаметром  до 12 мм</t>
  </si>
  <si>
    <t>P0-02-030 - Центральная эстакада. Участок 3РСм6Монтаж и демонтаж опалубки ростверка РСм6 (4 шт) нижний ярус</t>
  </si>
  <si>
    <t>P0-02-030 - Центральная эстакада. Участок 3РСм6Монтаж и демонтаж опалубки ростверка РСм6 (4 шт) верхний ярус</t>
  </si>
  <si>
    <t>P0-02-030 - Центральная эстакада. Участок 3РСм6Обеспечение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</si>
  <si>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P0-02-030 - Центральная эстакада. Участок 3РСм6Бетонирование ростверка РСм6</t>
  </si>
  <si>
    <t>P0-02-030 - Центральная эстакада. Участок 3РСм7Ростверк РСм7 (6 шт)</t>
  </si>
  <si>
    <t>P0-02-030 - Центральная эстакада. Участок 3РСм7Устройство бетонной подготовки фундаментов РСм7 из бетона В10, толщ. 100 мм (6 шт.)</t>
  </si>
  <si>
    <t>P0-02-030 - Центральная эстакада. Участок 3РСм7Армирование ростверка РСм7 (6 шт) ГНУТЫМИ сварными стержнями диаметром 14 мм и более</t>
  </si>
  <si>
    <t>P0-02-030 - Центральная эстакада. Участок 3РСм7Армирование ростверка РСм7 (6 шт) ПРЯМЫМИ стержнями диаметром  14 мм и более</t>
  </si>
  <si>
    <t>P0-02-030 - Центральная эстакада. Участок 3РСм7Армирование ростверкаРСм7 (6 шт) ПРЯМЫМИ стержнями диаметром  до 12 мм</t>
  </si>
  <si>
    <t>P0-02-030 - Центральная эстакада. Участок 3РСм7Армирование ростверка РСм7 (6 шт) ГНУТЫМИ стержнями диаметром  до 12 мм</t>
  </si>
  <si>
    <t>P0-02-030 - Центральная эстакада. Участок 3РСм7Монтаж каркасов  плоскых КР3 весом 11,53 кг/шт.</t>
  </si>
  <si>
    <t>P0-02-030 - Центральная эстакада. Участок 3РСм7Монтаж и демонтаж опалубки ростверка РСм7 (6 шт) нижний ярус</t>
  </si>
  <si>
    <t>P0-02-030 - Центральная эстакада. Участок 3РСм7Монтаж и демонтаж опалубки ростверка РСм7 (6 шт) верхний ярус</t>
  </si>
  <si>
    <t>P0-02-030 - Центральная эстакада. Участок 3РСм7Обеспечение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</si>
  <si>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P0-02-030 - Центральная эстакада. Участок 3РСм7Бетонирование ростверка РСм7</t>
  </si>
  <si>
    <t>P0-02-030 - Центральная эстакада. Участок 3РСм8Ростверк РСм8 (8 шт)</t>
  </si>
  <si>
    <t>P0-02-030 - Центральная эстакада. Участок 3РСм8Устройство бетонной подготовки фундаментов РСм8 из бетона В10, толщ. 100 мм (8 шт.)</t>
  </si>
  <si>
    <t>P0-02-030 - Центральная эстакада. Участок 3РСм8Армирование ростверкаРСм8 (8 шт) ГНУТЫМИ сварными стержнями диаметром 14 мм и более</t>
  </si>
  <si>
    <t>P0-02-030 - Центральная эстакада. Участок 3РСм8Армирование ростверка РСм8 (8 шт) ПРЯМЫМИ стержнями диаметром  14 мм и более</t>
  </si>
  <si>
    <t>P0-02-030 - Центральная эстакада. Участок 3РСм8Армирование ростверка РСм8 (8 шт) ПРЯМЫМИ стержнями диаметром  до 12 мм</t>
  </si>
  <si>
    <t>P0-02-030 - Центральная эстакада. Участок 3РСм8Армирование ростверка РСм8 (8 шт) ГНУТЫМИ стержнями диаметром  до 12 мм</t>
  </si>
  <si>
    <t>P0-02-030 - Центральная эстакада. Участок 3РСм8Монтаж каркасов  плоскых КР2 весом 12,48 кг/шт.</t>
  </si>
  <si>
    <t>P0-02-030 - Центральная эстакада. Участок 3РСм8Монтаж каркасов  плоскых КР4 весом 4,61 кг/шт.</t>
  </si>
  <si>
    <t>P0-02-030 - Центральная эстакада. Участок 3РСм8Монтаж и демонтаж опалубки ростверкаРСм8 (8 шт) нижний ярус</t>
  </si>
  <si>
    <t>P0-02-030 - Центральная эстакада. Участок 3РСм8Монтаж и демонтаж опалубки ростверка РСм8 (8 шт) верхний ярус</t>
  </si>
  <si>
    <t>P0-02-030 - Центральная эстакада. Участок 3РСм8Обеспечение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</si>
  <si>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P0-02-030 - Центральная эстакада. Участок 3РСм8Бетонирование ростверка РСм8</t>
  </si>
  <si>
    <t>P0-02-030 - Центральная эстакада. Участок 3РСм1Ростверк РСм1 (6 шт)</t>
  </si>
  <si>
    <t>P0-02-030 - Центральная эстакада. Участок 3РСм1Устройство бетонной подготовки фундаментов РСм1 из бетона В10, толщ. 100 мм (6 шт.)</t>
  </si>
  <si>
    <t>P0-02-030 - Центральная эстакада. Участок 3РСм1Армирование ростверка РСм1 (6 шт) ГНУТЫМИ сварными стержнями диаметром 14 мм и более</t>
  </si>
  <si>
    <t>P0-02-030 - Центральная эстакада. Участок 3РСм1Армирование ростверка РСм1 (6 шт) ПРЯМЫМИ стержнями диаметром  14 мм и более</t>
  </si>
  <si>
    <t>P0-02-030 - Центральная эстакада. Участок 3РСм1Армирование ростверка РСм1 (6 шт) ПРЯМЫМИ стержнями диаметром  до 12 мм</t>
  </si>
  <si>
    <t>P0-02-030 - Центральная эстакада. Участок 3РСм1Армирование ростверка РСм1 (6 шт) ГНУТЫМИ стержнями диаметром  до 12 мм</t>
  </si>
  <si>
    <t>P0-02-030 - Центральная эстакада. Участок 3РСм1Монтаж и демонтаж опалубки ростверка РСм1 (6 шт) нижний ярус</t>
  </si>
  <si>
    <t>P0-02-030 - Центральная эстакада. Участок 3РСм1Монтаж и демонтаж опалубки ростверка РСм1 (6 шт) верхний ярус</t>
  </si>
  <si>
    <t>P0-02-030 - Центральная эстакада. Участок 3РСм2Ростверк РСм2 (9 шт)</t>
  </si>
  <si>
    <t>P0-02-030 - Центральная эстакада. Участок 3РСм2Устройство бетонной подготовки фундаментов РСм2 из бетона В10, толщ. 100 мм (9 шт.)</t>
  </si>
  <si>
    <t>P0-02-030 - Центральная эстакада. Участок 3РСм2Армирование ростверка РСм2 (9 шт) ГНУТЫМИ сварными стержнями диаметром 14 мм и более</t>
  </si>
  <si>
    <t>P0-02-030 - Центральная эстакада. Участок 3РСм2Армирование ростверка РСм2 (9 шт) ПРЯМЫМИ стержнями диаметром  14 мм и более</t>
  </si>
  <si>
    <t>P0-02-030 - Центральная эстакада. Участок 3РСм2Армирование ростверка РСм2 (9 шт) ПРЯМЫМИ стержнями диаметром  до 12 мм</t>
  </si>
  <si>
    <t>P0-02-030 - Центральная эстакада. Участок 3РСм2Армирование ростверка РСм2 (9 шт) ГНУТЫМИ стержнями диаметром  до 12 мм</t>
  </si>
  <si>
    <t>P0-02-030 - Центральная эстакада. Участок 3РСм2Монтаж каркасов  плоскых КР1 весом 10,49 кг/шт.</t>
  </si>
  <si>
    <t>P0-02-030 - Центральная эстакада. Участок 3РСм2Монтаж и демонтаж опалубки ростверка РСм2 (9 шт) нижний ярус</t>
  </si>
  <si>
    <t>P0-02-030 - Центральная эстакада. Участок 3РСм2Монтаж и демонтаж опалубки ростверка РСм2 (9 шт) верхний ярус</t>
  </si>
  <si>
    <t>P0-02-030 - Центральная эстакада. Участок 3РСм2Обеспечение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</si>
  <si>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P0-02-030 - Центральная эстакада. Участок 3РСм2Бетонирование ростверка РСм2</t>
  </si>
  <si>
    <t>P0-02-030 - Центральная эстакада. Участок 3РСм3Ростверк РСм3 (6 шт)</t>
  </si>
  <si>
    <t>P0-02-030 - Центральная эстакада. Участок 3РСм3Устройство бетонной подготовки фундаментов РСм3 из бетона В10, толщ. 100 мм (6 шт.)</t>
  </si>
  <si>
    <t>P0-02-030 - Центральная эстакада. Участок 3РСм3Армирование ростверка РСм3 (6 шт) ГНУТЫМИ сварными стержнями диаметром 14 мм и более</t>
  </si>
  <si>
    <t>P0-02-030 - Центральная эстакада. Участок 3РСм3Армирование ростверка РСм3 (6 шт) ПРЯМЫМИ стержнями диаметром  14 мм и более</t>
  </si>
  <si>
    <t>P0-02-030 - Центральная эстакада. Участок 3РСм3Армирование ростверка РСм3 (6 шт) ПРЯМЫМИ стержнями диаметром  до 12 мм</t>
  </si>
  <si>
    <t>P0-02-030 - Центральная эстакада. Участок 3РСм3Армирование ростверка РСм3 (6 шт) ГНУТЫМИ стержнями диаметром  до 12 мм</t>
  </si>
  <si>
    <t>P0-02-030 - Центральная эстакада. Участок 3РСм3Монтаж каркасов  плоскых КР2 весом 17,48 кг/шт.</t>
  </si>
  <si>
    <t>P0-02-030 - Центральная эстакада. Участок 3РСм3Монтаж каркасов  плоскых КР4 весом 4,61 кг/шт.</t>
  </si>
  <si>
    <t>P0-02-030 - Центральная эстакада. Участок 3РСм3Монтаж и демонтаж опалубки ростверка РСм3 (6 шт) нижний ярус</t>
  </si>
  <si>
    <t>P0-02-030 - Центральная эстакада. Участок 3РСм3Монтаж и демонтаж опалубки ростверкаРСм3 (6 шт) верхний ярус</t>
  </si>
  <si>
    <t>P0-02-030 - Центральная эстакада. Участок 3РСм3Обеспечение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</si>
  <si>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P0-02-030 - Центральная эстакада. Участок 3РСм3Бетонирование ростверка РСм3</t>
  </si>
  <si>
    <t>P0-02-030 - Центральная эстакада. Участок 3РСм5Ростверк РСм5 (3 шт)</t>
  </si>
  <si>
    <t>P0-02-030 - Центральная эстакада. Участок 3РСм5Устройство бетонной подготовки фундаментов РСм5 из бетона В10, толщ. 100 мм (3 шт.)</t>
  </si>
  <si>
    <t>P0-02-030 - Центральная эстакада. Участок 3РСм5Армирование ростверка РСм5 (3 шт) ГНУТЫМИ сварными стержнями диаметром 14 мм и более</t>
  </si>
  <si>
    <t>P0-02-030 - Центральная эстакада. Участок 3РСм5Армирование ростверка РСм5 (3 шт) ПРЯМЫМИ стержнями диаметром  14 мм и более</t>
  </si>
  <si>
    <t>P0-02-030 - Центральная эстакада. Участок 3РСм5Армирование ростверка РСм5 (3 шт) ПРЯМЫМИ стержнями диаметром  до 12 мм</t>
  </si>
  <si>
    <t>P0-02-030 - Центральная эстакада. Участок 3РСм5Армирование ростверка РСм5 (3 шт) ГНУТЫМИ стержнями диаметром  до 12 мм</t>
  </si>
  <si>
    <t>P0-02-030 - Центральная эстакада. Участок 3РСм5Монтаж каркасов  плоскых КР1 весом 10,49 кг/шт.</t>
  </si>
  <si>
    <t>P0-02-030 - Центральная эстакада. Участок 3РСм5Монтаж и демонтаж опалубки ростверкаРСм5 (3 шт) нижний ярус</t>
  </si>
  <si>
    <t>P0-02-030 - Центральная эстакада. Участок 3РСм5Монтаж и демонтаж опалубки ростверка РСм5 (3 шт) верхний ярус</t>
  </si>
  <si>
    <t>P0-02-030 - Центральная эстакада. Участок 3РСм5Обеспечение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</si>
  <si>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P0-02-030 - Центральная эстакада. Участок 3РСм5Бетонирование ростверка РСм5</t>
  </si>
  <si>
    <t>P0-02-030 - Центральная эстакада. Участок 3РСм9Ростверк РСм9 (17 шт)</t>
  </si>
  <si>
    <t>P0-02-030 - Центральная эстакада. Участок 3РСм9Устройство бетонной подготовки фундаментов РСм9 из бетона В10, толщ. 100 мм (17 шт.)</t>
  </si>
  <si>
    <t>P0-02-030 - Центральная эстакада. Участок 3РСм9Армирование ростверка РСм9 (17 шт) ГНУТЫМИ сварными стержнями диаметром 14 мм и более</t>
  </si>
  <si>
    <t>P0-02-030 - Центральная эстакада. Участок 3РСм9Армирование ростверка РСм9 (17 шт) ПРЯМЫМИ стержнями диаметром  14 мм и более</t>
  </si>
  <si>
    <t>P0-02-030 - Центральная эстакада. Участок 3РСм9Армирование ростверка РСм9 (17 шт) ПРЯМЫМИ стержнями диаметром  до 12 мм</t>
  </si>
  <si>
    <t>P0-02-030 - Центральная эстакада. Участок 3РСм9Армирование ростверка РСм9 (17 шт) ГНУТЫМИ стержнями диаметром  до 12 мм</t>
  </si>
  <si>
    <t>P0-02-030 - Центральная эстакада. Участок 3РСм9Монтаж каркасов плоскых КР2 весом 17,48 кг/шт.</t>
  </si>
  <si>
    <t>P0-02-030 - Центральная эстакада. Участок 3РСм9Монтаж каркасов плоскых КР4 весом 4,61 кг/шт.</t>
  </si>
  <si>
    <t>P0-02-030 - Центральная эстакада. Участок 3РСм9Монтаж и демонтаж опалубки ростверка РСм9 (17 шт) нижний ярус</t>
  </si>
  <si>
    <t>P0-02-030 - Центральная эстакада. Участок 3РСм9Монтаж и демонтаж опалубки ростверкаРСм9 (17 шт) верхний ярус</t>
  </si>
  <si>
    <t>P0-02-030 - Центральная эстакада. Участок 3РСм9Обеспечение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</si>
  <si>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P0-02-030 - Центральная эстакада. Участок 3РСм9Бетонирование ростверка РСм9</t>
  </si>
  <si>
    <t>P0-02-030 - Центральная эстакада. Участок 3РСм10Ростверк РСм10 (1 шт)</t>
  </si>
  <si>
    <t>P0-02-030 - Центральная эстакада. Участок 3РСм10Устройство бетонной подготовки фундаментов РСм10 из бетона В10, толщ. 100 мм (1 шт.)</t>
  </si>
  <si>
    <t>P0-02-030 - Центральная эстакада. Участок 3РСм10Армирование ростверка РСм10 (1 шт) ГНУТЫМИ сварными стержнями диаметром 14 мм и более</t>
  </si>
  <si>
    <t>P0-02-030 - Центральная эстакада. Участок 3РСм10Армирование ростверка РСм10 (1 шт) ПРЯМЫМИ стержнями диаметром  14 мм и более</t>
  </si>
  <si>
    <t>P0-02-030 - Центральная эстакада. Участок 3РСм10Армирование ростверка РСм10 (1 шт) ПРЯМЫМИ стержнями диаметром  до 12 мм</t>
  </si>
  <si>
    <t>P0-02-030 - Центральная эстакада. Участок 3РСм10Армирование ростверка РСм10 (1 шт) ГНУТЫМИ стержнями диаметром  до 12 мм</t>
  </si>
  <si>
    <t>P0-02-030 - Центральная эстакада. Участок 3РСм10Монтаж каркасов плоскых КР2 весом 17,48 кг/шт.</t>
  </si>
  <si>
    <t>P0-02-030 - Центральная эстакада. Участок 3РСм10Монтаж каркасов плоскых КР4 весом 4,61 кг/шт.</t>
  </si>
  <si>
    <t>P0-02-030 - Центральная эстакада. Участок 3РСм10Монтаж и демонтаж опалубки ростверка РСм10 (1 шт) нижний ярус</t>
  </si>
  <si>
    <t>P0-02-030 - Центральная эстакада. Участок 3РСм10Монтаж и демонтаж опалубки ростверка РСм10 (1 шт) верхний ярус</t>
  </si>
  <si>
    <t>P0-02-030 - Центральная эстакада. Участок 3РСм10Обеспечение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</si>
  <si>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P0-02-030 - Центральная эстакада. Участок 3РСм10Бетонирование ростверка РСм10</t>
  </si>
  <si>
    <t>P0-02-030 - Центральная эстакада. Участок 3РСм11Ростверк РСм11 (3 шт)</t>
  </si>
  <si>
    <t>P0-02-030 - Центральная эстакада. Участок 3РСм11Устройство бетонной подготовки фундаментов РСм11 из бетона В10, толщ. 100 мм (3 шт.)</t>
  </si>
  <si>
    <t>P0-02-030 - Центральная эстакада. Участок 3РСм11Армирование ростверка РСм11 (3 шт) ГНУТЫМИ сварными стержнями диаметром 14 мм и более</t>
  </si>
  <si>
    <t>P0-02-030 - Центральная эстакада. Участок 3РСм11Армирование ростверка РСм11 (3 шт) ПРЯМЫМИ стержнями диаметром  14 мм и более</t>
  </si>
  <si>
    <t>P0-02-030 - Центральная эстакада. Участок 3РСм11Армирование ростверка РСм11 (3 шт) ПРЯМЫМИ стержнями диаметром  до 12 мм</t>
  </si>
  <si>
    <t>P0-02-030 - Центральная эстакада. Участок 3РСм11Армирование ростверка РСм11 (3 шт) ГНУТЫМИ стержнями диаметром  до 12 мм</t>
  </si>
  <si>
    <t>P0-02-030 - Центральная эстакада. Участок 3РСм11Монтаж каркасов плоскых КР2 весом 17,48 кг/шт.</t>
  </si>
  <si>
    <t>P0-02-030 - Центральная эстакада. Участок 3РСм11Монтаж каркасов плоскых КР4 весом 4,61 кг/шт.</t>
  </si>
  <si>
    <t>P0-02-030 - Центральная эстакада. Участок 3РСм11Монтаж и демонтаж опалубки ростверка РСм11 (3 шт) нижний ярус</t>
  </si>
  <si>
    <t>P0-02-030 - Центральная эстакада. Участок 3РСм11Монтаж и демонтаж опалубки ростверка РСм11 (3 шт) верхний ярус</t>
  </si>
  <si>
    <t>P0-02-030 - Центральная эстакада. Участок 3РСм11Обеспечение шероховатости бетонной поверхности при устройстве горизонтального рабочего шва бетонных элементов (между двумя слоями бетона). Обработка бетонной поверхности перфоратором</t>
  </si>
  <si>
    <t>P0-02-030 - Центральная эстакада. Участок 3РСм11Бетонирование ростверка РСм11</t>
  </si>
  <si>
    <t>P0-02-030 - Центральная эстакада. Участок 3РСм12Ростверк РСм12 (2 шт)</t>
  </si>
  <si>
    <t>P0-02-030 - Центральная эстакада. Участок 3РСм12Устройство бетонной подготовки фундаментов РСм12 из бетона В10, толщ. 100 мм (2 шт.)</t>
  </si>
  <si>
    <t>P0-02-030 - Центральная эстакада. Участок 3РСм12Армирование ростверка РСм12 (2 шт) ПРЯМЫМИ стержнями диаметром  14 мм и более</t>
  </si>
  <si>
    <t>P0-02-030 - Центральная эстакада. Участок 3РСм12Армирование ростверка РСм12 (2 шт) ГНУТЫМИ стержнями диаметром  до 12 мм</t>
  </si>
  <si>
    <t xml:space="preserve">P0-02-030 - Центральная эстакада. Участок 3РСм12Установка анкерных болтов М1 (перед бетонированием) диаметром от Ø20мм до Ø40мм </t>
  </si>
  <si>
    <t>P0-02-030 - Центральная эстакада. Участок 3РСм12Монтаж и демонтаж опалубки ростверка РСм12 (2 шт)</t>
  </si>
  <si>
    <t>P0-02-030 - Центральная эстакада. Участок 3РСм12Бетонирование ростверка РСм12</t>
  </si>
  <si>
    <t>бетонщик</t>
  </si>
  <si>
    <t>выполненная работа</t>
  </si>
  <si>
    <t>вторая строка</t>
  </si>
  <si>
    <t>третья строка</t>
  </si>
  <si>
    <t>удщаоцдщаод</t>
  </si>
  <si>
    <t>БЕТОН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</si>
</sst>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Fill="1"/>
    <xf numFmtId="0" fontId="0" fillId="0" borderId="1" xfId="0" applyFill="1" applyBorder="1"/>
    <xf numFmtId="0" fontId="0" fillId="0" borderId="0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1" xfId="0" applyFill="1" applyBorder="1" applyAlignment="1">
      <alignment wrapText="1"/>
    </xf>
    <xf numFmtId="0" fontId="0" fillId="0" borderId="0" xfId="0" applyFill="1" applyBorder="1" applyAlignment="1">
      <alignment wrapText="1"/>
    </xf>
    <xf numFmtId="49" fontId="0" fillId="0" borderId="0" xfId="0" applyNumberFormat="1" applyAlignment="1">
      <alignment horizontal="center" wrapText="1"/>
    </xf>
    <xf numFmtId="0" fontId="0" fillId="0" borderId="0" xfId="0" applyAlignment="1">
      <alignment wrapText="1"/>
    </xf>
    <xf numFmtId="49" fontId="0" fillId="0" borderId="0" xfId="0" applyNumberFormat="1" applyFill="1" applyBorder="1"/>
    <xf numFmtId="14" fontId="0" fillId="0" borderId="0" xfId="0" applyNumberFormat="1"/>
    <xf numFmtId="0" fontId="0" fillId="0" borderId="0" xfId="0" applyNumberFormat="1"/>
    <xf numFmtId="0" fontId="0" fillId="0" borderId="2" xfId="0" applyNumberFormat="1" applyFill="1" applyBorder="1"/>
    <xf numFmtId="49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Обычный" xfId="0" builtinId="0"/>
  </cellStyles>
  <dxfs count="1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right style="medium">
          <color indexed="64"/>
        </right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47625</xdr:rowOff>
        </xdr:from>
        <xdr:to>
          <xdr:col>1</xdr:col>
          <xdr:colOff>5572125</xdr:colOff>
          <xdr:row>14</xdr:row>
          <xdr:rowOff>142875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12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E6FA42-FE73-4F6C-9FEE-D2F8DC1C54C6}" name="Таблица2" displayName="Таблица2" ref="E3:E554" totalsRowShown="0" headerRowDxfId="16" dataDxfId="15" tableBorderDxfId="14">
  <tableColumns count="1">
    <tableColumn id="1" xr3:uid="{7FB46AED-55D2-4244-83FC-E3CAED2DFC87}" name="фильтрация_Т" dataDxfId="13">
      <calculatedColumnFormula>IFERROR(INDEX(D:D,MATCH(ROW(E4)-ROW($E$3),C:C,0)),"")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9EF68F-B0F9-4492-BE3B-D579BBCB27B3}" name="Таблица3" displayName="Таблица3" ref="J3:J551" totalsRowShown="0" headerRowDxfId="12" dataDxfId="11">
  <autoFilter ref="J3:J551" xr:uid="{60C12F80-527E-4C3F-AEB5-9AF464791F90}"/>
  <tableColumns count="1">
    <tableColumn id="1" xr3:uid="{65C46116-E8DD-4BE9-A682-42BFBF887C68}" name="фильтрация_К" dataDxfId="10">
      <calculatedColumnFormula>IFERROR(INDEX(I:I,MATCH(ROW(J4)-ROW($E$3),H:H,0)),"")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DF3E31-08D7-4BF8-82C9-7F0632761EA2}" name="Таблица4" displayName="Таблица4" ref="O3:O60" totalsRowShown="0" headerRowDxfId="9" dataDxfId="8">
  <autoFilter ref="O3:O60" xr:uid="{41D529F9-AA11-4EC3-8DFE-D4379EE81F7E}"/>
  <tableColumns count="1">
    <tableColumn id="1" xr3:uid="{1096350D-A81E-45E8-B3A7-D44DB9CD1DBD}" name="фильтрация_О" dataDxfId="7">
      <calculatedColumnFormula>IFERROR(INDEX(N:N,MATCH(ROW(O4)-ROW($E$3),M:M,0)),"")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8C94EE-0539-40B3-B2DB-1EA6E91F1682}" name="Таблица1" displayName="Таблица1" ref="E6:K11" totalsRowShown="0">
  <autoFilter ref="E6:K11" xr:uid="{14D080F7-4272-48F8-998F-8FBEF8016343}"/>
  <tableColumns count="7">
    <tableColumn id="1" xr3:uid="{CC5DD65E-A4E2-44D0-B943-C1CF8C182F27}" name="позиция ркц" dataDxfId="6">
      <calculatedColumnFormula>B7</calculatedColumnFormula>
    </tableColumn>
    <tableColumn id="2" xr3:uid="{EC4BFB65-6D79-45C4-B6CC-4FB3FA7F2C95}" name="дата" dataDxfId="5">
      <calculatedColumnFormula>B8</calculatedColumnFormula>
    </tableColumn>
    <tableColumn id="3" xr3:uid="{98E8E6E8-7C6C-4957-8C95-EE2B8A01DBF9}" name="объём" dataDxfId="4">
      <calculatedColumnFormula>B9</calculatedColumnFormula>
    </tableColumn>
    <tableColumn id="4" xr3:uid="{7AC8A10C-E3A0-489E-B4AC-55F2E2C4FE0A}" name="бетонщик" dataDxfId="3">
      <calculatedColumnFormula>B10</calculatedColumnFormula>
    </tableColumn>
    <tableColumn id="5" xr3:uid="{CD4A4417-2A8F-4DE7-B46A-3F09ACBFA193}" name="машиночасы" dataDxfId="2">
      <calculatedColumnFormula>B11</calculatedColumnFormula>
    </tableColumn>
    <tableColumn id="6" xr3:uid="{E6CC0F0F-AEB8-4E46-95BF-9D82CDE905E3}" name="шифр прораба" dataDxfId="1">
      <calculatedColumnFormula>B12</calculatedColumnFormula>
    </tableColumn>
    <tableColumn id="7" xr3:uid="{41864431-FF11-4EA4-A5EE-B23616D4EDE2}" name="выполненная работа" dataDxfId="0">
      <calculatedColumnFormula>B13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34C55-200C-492E-8D37-21DFA946884D}">
  <sheetPr codeName="Лист2"/>
  <dimension ref="A1:O6169"/>
  <sheetViews>
    <sheetView topLeftCell="A4" zoomScale="70" zoomScaleNormal="70" workbookViewId="0">
      <selection activeCell="O4" sqref="O4"/>
    </sheetView>
  </sheetViews>
  <sheetFormatPr defaultRowHeight="15" x14ac:dyDescent="0.25"/>
  <cols>
    <col min="1" max="1" width="9.140625" style="1"/>
    <col min="2" max="2" width="10.7109375" style="3" customWidth="1"/>
    <col min="3" max="3" width="11.140625" style="2" bestFit="1" customWidth="1"/>
    <col min="4" max="4" width="12.42578125" style="3" customWidth="1"/>
    <col min="5" max="5" width="41.140625" style="9" customWidth="1"/>
    <col min="6" max="6" width="48" style="4" customWidth="1"/>
    <col min="7" max="7" width="11.140625" style="2" bestFit="1" customWidth="1"/>
    <col min="8" max="8" width="11.140625" style="3" customWidth="1"/>
    <col min="9" max="9" width="27.5703125" style="3" customWidth="1"/>
    <col min="10" max="10" width="27.5703125" style="4" customWidth="1"/>
    <col min="11" max="11" width="11" style="2" customWidth="1"/>
    <col min="12" max="12" width="14.7109375" style="3" customWidth="1"/>
    <col min="13" max="13" width="11.140625" style="3" bestFit="1" customWidth="1"/>
    <col min="14" max="14" width="9.140625" style="3"/>
    <col min="15" max="15" width="22.140625" style="4" customWidth="1"/>
    <col min="16" max="16384" width="9.140625" style="1"/>
  </cols>
  <sheetData>
    <row r="1" spans="1:15" x14ac:dyDescent="0.25">
      <c r="C1" s="5"/>
      <c r="D1" s="6"/>
      <c r="E1" s="8"/>
      <c r="F1" s="7"/>
      <c r="G1" s="5"/>
      <c r="H1" s="6"/>
      <c r="I1" s="6"/>
      <c r="J1" s="7"/>
      <c r="K1" s="5"/>
      <c r="L1" s="6"/>
      <c r="M1" s="6"/>
      <c r="N1" s="6"/>
      <c r="O1" s="7"/>
    </row>
    <row r="2" spans="1:15" x14ac:dyDescent="0.25">
      <c r="B2" s="3" t="s">
        <v>3627</v>
      </c>
      <c r="D2" s="3" t="s">
        <v>9790</v>
      </c>
      <c r="I2" s="3" t="s">
        <v>9791</v>
      </c>
      <c r="N2" s="3" t="s">
        <v>9805</v>
      </c>
    </row>
    <row r="3" spans="1:15" ht="45" x14ac:dyDescent="0.25">
      <c r="C3" s="2" t="s">
        <v>9792</v>
      </c>
      <c r="D3" s="3" t="s">
        <v>9793</v>
      </c>
      <c r="E3" s="9" t="s">
        <v>9801</v>
      </c>
      <c r="F3" s="4" t="s">
        <v>9795</v>
      </c>
      <c r="G3" s="10" t="s">
        <v>9797</v>
      </c>
      <c r="H3" s="11" t="s">
        <v>9798</v>
      </c>
      <c r="I3" s="3" t="s">
        <v>9795</v>
      </c>
      <c r="J3" s="4" t="s">
        <v>9802</v>
      </c>
      <c r="K3" s="10" t="s">
        <v>9797</v>
      </c>
      <c r="L3" s="11" t="s">
        <v>9800</v>
      </c>
      <c r="M3" s="11" t="s">
        <v>9798</v>
      </c>
      <c r="N3" s="3" t="s">
        <v>9782</v>
      </c>
      <c r="O3" s="4" t="s">
        <v>9803</v>
      </c>
    </row>
    <row r="4" spans="1:15" x14ac:dyDescent="0.25">
      <c r="A4" s="1" t="s">
        <v>9806</v>
      </c>
      <c r="B4" s="3" t="s">
        <v>3628</v>
      </c>
      <c r="C4" s="2">
        <f ca="1">IF(ISNUMBER(SEARCH(Лист2!$B$4,D:D)),MAX($C$3:OFFSET(C4,-1,0))+1,0)</f>
        <v>0</v>
      </c>
      <c r="D4" s="3" t="s">
        <v>7</v>
      </c>
      <c r="E4" s="9" t="str">
        <f ca="1">IFERROR(INDEX(D:D,MATCH(ROW(E4)-ROW($E$3),C:C,0)),"")</f>
        <v>P0-02-020 - Центральная эстакада. Участок 2</v>
      </c>
      <c r="F4" s="4" t="s">
        <v>0</v>
      </c>
      <c r="G4" s="2">
        <f>IF(ISNUMBER(SEARCH(Лист2!$B$4,F:F)),1,0)</f>
        <v>0</v>
      </c>
      <c r="H4" s="3">
        <f ca="1">IF(AND(I4&lt;&gt;I3,ISNUMBER(SEARCH(Лист2!$B$5,I:I)),G4=1),MAX($H$3:OFFSET(H4,-1,0))+1,0)</f>
        <v>0</v>
      </c>
      <c r="I4" s="3" t="s">
        <v>46</v>
      </c>
      <c r="J4" s="4" t="str">
        <f ca="1">IFERROR(INDEX(I:I,MATCH(ROW(J4)-ROW($E$3),H:H,0)),"")</f>
        <v>РСм3</v>
      </c>
      <c r="K4" s="2">
        <f>IF(ISNUMBER(SEARCH(Лист2!$B$4,F:F)),1,0)</f>
        <v>0</v>
      </c>
      <c r="L4" s="14">
        <f>IF(ISNUMBER(SEARCH(Лист2!$B$5,I:I)),1,0)+K4</f>
        <v>0</v>
      </c>
      <c r="M4" s="3">
        <f ca="1">IF(AND(N4&lt;&gt;N3,ISNUMBER(SEARCH(Лист2!$B$6,N:N)),L4=2),MAX($M$3:OFFSET(M4,-1,0))+1,0)</f>
        <v>0</v>
      </c>
      <c r="N4" s="3" t="s">
        <v>499</v>
      </c>
      <c r="O4" s="4" t="str">
        <f t="shared" ref="O4:O33" ca="1" si="0">IFERROR(INDEX(N:N,MATCH(ROW(O4)-ROW($E$3),M:M,0)),"")</f>
        <v>Монтаж и демонтаж опалубки ростверка РСм3 (4 шт) верхний ярус</v>
      </c>
    </row>
    <row r="5" spans="1:15" x14ac:dyDescent="0.25">
      <c r="A5" s="1" t="s">
        <v>9807</v>
      </c>
      <c r="B5" s="3" t="s">
        <v>3629</v>
      </c>
      <c r="C5" s="2">
        <f ca="1">IF(ISNUMBER(SEARCH(Лист2!$B$4,D:D)),MAX($C$3:OFFSET(C5,-1,0))+1,0)</f>
        <v>1</v>
      </c>
      <c r="D5" s="3" t="s">
        <v>37</v>
      </c>
      <c r="E5" s="9" t="str">
        <f ca="1">IFERROR(INDEX(D:D,MATCH(ROW(E5)-ROW($E$3),C:C,0)),"")</f>
        <v/>
      </c>
      <c r="F5" s="4" t="s">
        <v>0</v>
      </c>
      <c r="G5" s="2">
        <f>IF(ISNUMBER(SEARCH(Лист2!$B$4,F:F)),1,0)</f>
        <v>0</v>
      </c>
      <c r="H5" s="3">
        <f ca="1">IF(AND(I5&lt;&gt;I4,ISNUMBER(SEARCH(Лист2!$B$5,I:I)),G5=1),MAX($H$3:OFFSET(H5,-1,0))+1,0)</f>
        <v>0</v>
      </c>
      <c r="I5" s="3" t="s">
        <v>46</v>
      </c>
      <c r="J5" s="4" t="str">
        <f t="shared" ref="J5:J67" ca="1" si="1">IFERROR(INDEX(I:I,MATCH(ROW(J5)-ROW($E$3),H:H,0)),"")</f>
        <v/>
      </c>
      <c r="K5" s="2">
        <f>IF(ISNUMBER(SEARCH(Лист2!$B$4,F:F)),1,0)</f>
        <v>0</v>
      </c>
      <c r="L5" s="14">
        <f>IF(ISNUMBER(SEARCH(Лист2!$B$5,I:I)),1,0)+K5</f>
        <v>0</v>
      </c>
      <c r="M5" s="3">
        <f ca="1">IF(AND(N5&lt;&gt;N4,ISNUMBER(SEARCH(Лист2!$B$6,N:N)),L5=2),MAX($M$3:OFFSET(M5,-1,0))+1,0)</f>
        <v>0</v>
      </c>
      <c r="N5" s="3" t="s">
        <v>500</v>
      </c>
      <c r="O5" s="4" t="str">
        <f t="shared" ca="1" si="0"/>
        <v/>
      </c>
    </row>
    <row r="6" spans="1:15" x14ac:dyDescent="0.25">
      <c r="A6" s="1" t="s">
        <v>9808</v>
      </c>
      <c r="B6" s="3" t="s">
        <v>3630</v>
      </c>
      <c r="C6" s="2">
        <f ca="1">IF(ISNUMBER(SEARCH(Лист2!$B$4,D:D)),MAX($C$3:OFFSET(C6,-1,0))+1,0)</f>
        <v>0</v>
      </c>
      <c r="D6" s="3" t="s">
        <v>38</v>
      </c>
      <c r="E6" s="9" t="str">
        <f t="shared" ref="E6:E68" ca="1" si="2">IFERROR(INDEX(D:D,MATCH(ROW(E6)-ROW($E$3),C:C,0)),"")</f>
        <v/>
      </c>
      <c r="F6" s="4" t="s">
        <v>0</v>
      </c>
      <c r="G6" s="2">
        <f>IF(ISNUMBER(SEARCH(Лист2!$B$4,F:F)),1,0)</f>
        <v>0</v>
      </c>
      <c r="H6" s="3">
        <f ca="1">IF(AND(I6&lt;&gt;I5,ISNUMBER(SEARCH(Лист2!$B$5,I:I)),G6=1),MAX($H$3:OFFSET(H6,-1,0))+1,0)</f>
        <v>0</v>
      </c>
      <c r="I6" s="3" t="s">
        <v>46</v>
      </c>
      <c r="J6" s="4" t="str">
        <f t="shared" ca="1" si="1"/>
        <v/>
      </c>
      <c r="K6" s="2">
        <f>IF(ISNUMBER(SEARCH(Лист2!$B$4,F:F)),1,0)</f>
        <v>0</v>
      </c>
      <c r="L6" s="14">
        <f>IF(ISNUMBER(SEARCH(Лист2!$B$5,I:I)),1,0)+K6</f>
        <v>0</v>
      </c>
      <c r="M6" s="3">
        <f ca="1">IF(AND(N6&lt;&gt;N5,ISNUMBER(SEARCH(Лист2!$B$6,N:N)),L6=2),MAX($M$3:OFFSET(M6,-1,0))+1,0)</f>
        <v>0</v>
      </c>
      <c r="N6" s="3" t="s">
        <v>501</v>
      </c>
      <c r="O6" s="4" t="str">
        <f t="shared" ca="1" si="0"/>
        <v/>
      </c>
    </row>
    <row r="7" spans="1:15" x14ac:dyDescent="0.25">
      <c r="A7" s="1" t="s">
        <v>9809</v>
      </c>
      <c r="B7" s="3" t="s">
        <v>3631</v>
      </c>
      <c r="C7" s="2">
        <f ca="1">IF(ISNUMBER(SEARCH(Лист2!$B$4,D:D)),MAX($C$3:OFFSET(C7,-1,0))+1,0)</f>
        <v>0</v>
      </c>
      <c r="D7" s="3" t="s">
        <v>27</v>
      </c>
      <c r="E7" s="9" t="str">
        <f t="shared" ca="1" si="2"/>
        <v/>
      </c>
      <c r="F7" s="4" t="s">
        <v>0</v>
      </c>
      <c r="G7" s="2">
        <f>IF(ISNUMBER(SEARCH(Лист2!$B$4,F:F)),1,0)</f>
        <v>0</v>
      </c>
      <c r="H7" s="3">
        <f ca="1">IF(AND(I7&lt;&gt;I6,ISNUMBER(SEARCH(Лист2!$B$5,I:I)),G7=1),MAX($H$3:OFFSET(H7,-1,0))+1,0)</f>
        <v>0</v>
      </c>
      <c r="I7" s="3" t="s">
        <v>46</v>
      </c>
      <c r="J7" s="4" t="str">
        <f t="shared" ca="1" si="1"/>
        <v/>
      </c>
      <c r="K7" s="2">
        <f>IF(ISNUMBER(SEARCH(Лист2!$B$4,F:F)),1,0)</f>
        <v>0</v>
      </c>
      <c r="L7" s="14">
        <f>IF(ISNUMBER(SEARCH(Лист2!$B$5,I:I)),1,0)+K7</f>
        <v>0</v>
      </c>
      <c r="M7" s="3">
        <f ca="1">IF(AND(N7&lt;&gt;N6,ISNUMBER(SEARCH(Лист2!$B$6,N:N)),L7=2),MAX($M$3:OFFSET(M7,-1,0))+1,0)</f>
        <v>0</v>
      </c>
      <c r="N7" s="3" t="s">
        <v>502</v>
      </c>
      <c r="O7" s="4" t="str">
        <f t="shared" ca="1" si="0"/>
        <v/>
      </c>
    </row>
    <row r="8" spans="1:15" x14ac:dyDescent="0.25">
      <c r="A8" s="1" t="s">
        <v>9810</v>
      </c>
      <c r="B8" s="3" t="s">
        <v>3632</v>
      </c>
      <c r="C8" s="2">
        <f ca="1">IF(ISNUMBER(SEARCH(Лист2!$B$4,D:D)),MAX($C$3:OFFSET(C8,-1,0))+1,0)</f>
        <v>0</v>
      </c>
      <c r="D8" s="3" t="s">
        <v>28</v>
      </c>
      <c r="E8" s="9" t="str">
        <f t="shared" ca="1" si="2"/>
        <v/>
      </c>
      <c r="F8" s="4" t="s">
        <v>0</v>
      </c>
      <c r="G8" s="2">
        <f>IF(ISNUMBER(SEARCH(Лист2!$B$4,F:F)),1,0)</f>
        <v>0</v>
      </c>
      <c r="H8" s="3">
        <f ca="1">IF(AND(I8&lt;&gt;I7,ISNUMBER(SEARCH(Лист2!$B$5,I:I)),G8=1),MAX($H$3:OFFSET(H8,-1,0))+1,0)</f>
        <v>0</v>
      </c>
      <c r="I8" s="3" t="s">
        <v>46</v>
      </c>
      <c r="J8" s="4" t="str">
        <f t="shared" ca="1" si="1"/>
        <v/>
      </c>
      <c r="K8" s="2">
        <f>IF(ISNUMBER(SEARCH(Лист2!$B$4,F:F)),1,0)</f>
        <v>0</v>
      </c>
      <c r="L8" s="14">
        <f>IF(ISNUMBER(SEARCH(Лист2!$B$5,I:I)),1,0)+K8</f>
        <v>0</v>
      </c>
      <c r="M8" s="3">
        <f ca="1">IF(AND(N8&lt;&gt;N7,ISNUMBER(SEARCH(Лист2!$B$6,N:N)),L8=2),MAX($M$3:OFFSET(M8,-1,0))+1,0)</f>
        <v>0</v>
      </c>
      <c r="N8" s="3" t="s">
        <v>503</v>
      </c>
      <c r="O8" s="4" t="str">
        <f t="shared" ca="1" si="0"/>
        <v/>
      </c>
    </row>
    <row r="9" spans="1:15" x14ac:dyDescent="0.25">
      <c r="A9" s="1" t="s">
        <v>9811</v>
      </c>
      <c r="B9" s="3" t="s">
        <v>3633</v>
      </c>
      <c r="C9" s="2">
        <f ca="1">IF(ISNUMBER(SEARCH(Лист2!$B$4,D:D)),MAX($C$3:OFFSET(C9,-1,0))+1,0)</f>
        <v>0</v>
      </c>
      <c r="D9" s="3" t="s">
        <v>8</v>
      </c>
      <c r="E9" s="9" t="str">
        <f t="shared" ca="1" si="2"/>
        <v/>
      </c>
      <c r="F9" s="4" t="s">
        <v>0</v>
      </c>
      <c r="G9" s="2">
        <f>IF(ISNUMBER(SEARCH(Лист2!$B$4,F:F)),1,0)</f>
        <v>0</v>
      </c>
      <c r="H9" s="3">
        <f ca="1">IF(AND(I9&lt;&gt;I8,ISNUMBER(SEARCH(Лист2!$B$5,I:I)),G9=1),MAX($H$3:OFFSET(H9,-1,0))+1,0)</f>
        <v>0</v>
      </c>
      <c r="I9" s="3" t="s">
        <v>46</v>
      </c>
      <c r="J9" s="4" t="str">
        <f t="shared" ca="1" si="1"/>
        <v/>
      </c>
      <c r="K9" s="2">
        <f>IF(ISNUMBER(SEARCH(Лист2!$B$4,F:F)),1,0)</f>
        <v>0</v>
      </c>
      <c r="L9" s="14">
        <f>IF(ISNUMBER(SEARCH(Лист2!$B$5,I:I)),1,0)+K9</f>
        <v>0</v>
      </c>
      <c r="M9" s="3">
        <f ca="1">IF(AND(N9&lt;&gt;N8,ISNUMBER(SEARCH(Лист2!$B$6,N:N)),L9=2),MAX($M$3:OFFSET(M9,-1,0))+1,0)</f>
        <v>0</v>
      </c>
      <c r="N9" s="3" t="s">
        <v>504</v>
      </c>
      <c r="O9" s="4" t="str">
        <f t="shared" ca="1" si="0"/>
        <v/>
      </c>
    </row>
    <row r="10" spans="1:15" x14ac:dyDescent="0.25">
      <c r="A10" s="1" t="s">
        <v>9812</v>
      </c>
      <c r="B10" s="3" t="s">
        <v>3634</v>
      </c>
      <c r="C10" s="2">
        <f ca="1">IF(ISNUMBER(SEARCH(Лист2!$B$4,D:D)),MAX($C$3:OFFSET(C10,-1,0))+1,0)</f>
        <v>0</v>
      </c>
      <c r="D10" s="3" t="s">
        <v>9</v>
      </c>
      <c r="E10" s="9" t="str">
        <f t="shared" ca="1" si="2"/>
        <v/>
      </c>
      <c r="F10" s="4" t="s">
        <v>0</v>
      </c>
      <c r="G10" s="2">
        <f>IF(ISNUMBER(SEARCH(Лист2!$B$4,F:F)),1,0)</f>
        <v>0</v>
      </c>
      <c r="H10" s="3">
        <f ca="1">IF(AND(I10&lt;&gt;I9,ISNUMBER(SEARCH(Лист2!$B$5,I:I)),G10=1),MAX($H$3:OFFSET(H10,-1,0))+1,0)</f>
        <v>0</v>
      </c>
      <c r="I10" s="3" t="s">
        <v>46</v>
      </c>
      <c r="J10" s="4" t="str">
        <f t="shared" ca="1" si="1"/>
        <v/>
      </c>
      <c r="K10" s="2">
        <f>IF(ISNUMBER(SEARCH(Лист2!$B$4,F:F)),1,0)</f>
        <v>0</v>
      </c>
      <c r="L10" s="14">
        <f>IF(ISNUMBER(SEARCH(Лист2!$B$5,I:I)),1,0)+K10</f>
        <v>0</v>
      </c>
      <c r="M10" s="3">
        <f ca="1">IF(AND(N10&lt;&gt;N9,ISNUMBER(SEARCH(Лист2!$B$6,N:N)),L10=2),MAX($M$3:OFFSET(M10,-1,0))+1,0)</f>
        <v>0</v>
      </c>
      <c r="N10" s="3" t="s">
        <v>505</v>
      </c>
      <c r="O10" s="4" t="str">
        <f t="shared" ca="1" si="0"/>
        <v/>
      </c>
    </row>
    <row r="11" spans="1:15" x14ac:dyDescent="0.25">
      <c r="A11" s="1" t="s">
        <v>9813</v>
      </c>
      <c r="B11" s="3" t="s">
        <v>3635</v>
      </c>
      <c r="C11" s="2">
        <f ca="1">IF(ISNUMBER(SEARCH(Лист2!$B$4,D:D)),MAX($C$3:OFFSET(C11,-1,0))+1,0)</f>
        <v>0</v>
      </c>
      <c r="D11" s="3" t="s">
        <v>11</v>
      </c>
      <c r="E11" s="9" t="str">
        <f t="shared" ca="1" si="2"/>
        <v/>
      </c>
      <c r="F11" s="4" t="s">
        <v>0</v>
      </c>
      <c r="G11" s="2">
        <f>IF(ISNUMBER(SEARCH(Лист2!$B$4,F:F)),1,0)</f>
        <v>0</v>
      </c>
      <c r="H11" s="3">
        <f ca="1">IF(AND(I11&lt;&gt;I10,ISNUMBER(SEARCH(Лист2!$B$5,I:I)),G11=1),MAX($H$3:OFFSET(H11,-1,0))+1,0)</f>
        <v>0</v>
      </c>
      <c r="I11" s="3" t="s">
        <v>46</v>
      </c>
      <c r="J11" s="4" t="str">
        <f t="shared" ca="1" si="1"/>
        <v/>
      </c>
      <c r="K11" s="2">
        <f>IF(ISNUMBER(SEARCH(Лист2!$B$4,F:F)),1,0)</f>
        <v>0</v>
      </c>
      <c r="L11" s="14">
        <f>IF(ISNUMBER(SEARCH(Лист2!$B$5,I:I)),1,0)+K11</f>
        <v>0</v>
      </c>
      <c r="M11" s="3">
        <f ca="1">IF(AND(N11&lt;&gt;N10,ISNUMBER(SEARCH(Лист2!$B$6,N:N)),L11=2),MAX($M$3:OFFSET(M11,-1,0))+1,0)</f>
        <v>0</v>
      </c>
      <c r="N11" s="3" t="s">
        <v>506</v>
      </c>
      <c r="O11" s="4" t="str">
        <f t="shared" ca="1" si="0"/>
        <v/>
      </c>
    </row>
    <row r="12" spans="1:15" x14ac:dyDescent="0.25">
      <c r="A12" s="1" t="s">
        <v>9814</v>
      </c>
      <c r="B12" s="3" t="s">
        <v>3636</v>
      </c>
      <c r="C12" s="2">
        <f ca="1">IF(ISNUMBER(SEARCH(Лист2!$B$4,D:D)),MAX($C$3:OFFSET(C12,-1,0))+1,0)</f>
        <v>0</v>
      </c>
      <c r="D12" s="3" t="s">
        <v>39</v>
      </c>
      <c r="E12" s="9" t="str">
        <f t="shared" ca="1" si="2"/>
        <v/>
      </c>
      <c r="F12" s="4" t="s">
        <v>0</v>
      </c>
      <c r="G12" s="2">
        <f>IF(ISNUMBER(SEARCH(Лист2!$B$4,F:F)),1,0)</f>
        <v>0</v>
      </c>
      <c r="H12" s="3">
        <f ca="1">IF(AND(I12&lt;&gt;I11,ISNUMBER(SEARCH(Лист2!$B$5,I:I)),G12=1),MAX($H$3:OFFSET(H12,-1,0))+1,0)</f>
        <v>0</v>
      </c>
      <c r="I12" s="3" t="s">
        <v>46</v>
      </c>
      <c r="J12" s="4" t="str">
        <f t="shared" ca="1" si="1"/>
        <v/>
      </c>
      <c r="K12" s="2">
        <f>IF(ISNUMBER(SEARCH(Лист2!$B$4,F:F)),1,0)</f>
        <v>0</v>
      </c>
      <c r="L12" s="14">
        <f>IF(ISNUMBER(SEARCH(Лист2!$B$5,I:I)),1,0)+K12</f>
        <v>0</v>
      </c>
      <c r="M12" s="3">
        <f ca="1">IF(AND(N12&lt;&gt;N11,ISNUMBER(SEARCH(Лист2!$B$6,N:N)),L12=2),MAX($M$3:OFFSET(M12,-1,0))+1,0)</f>
        <v>0</v>
      </c>
      <c r="N12" s="3" t="s">
        <v>507</v>
      </c>
      <c r="O12" s="4" t="str">
        <f t="shared" ca="1" si="0"/>
        <v/>
      </c>
    </row>
    <row r="13" spans="1:15" x14ac:dyDescent="0.25">
      <c r="A13" s="1" t="s">
        <v>9815</v>
      </c>
      <c r="B13" s="3" t="s">
        <v>3637</v>
      </c>
      <c r="C13" s="2">
        <f ca="1">IF(ISNUMBER(SEARCH(Лист2!$B$4,D:D)),MAX($C$3:OFFSET(C13,-1,0))+1,0)</f>
        <v>0</v>
      </c>
      <c r="D13" s="3" t="s">
        <v>40</v>
      </c>
      <c r="E13" s="9" t="str">
        <f t="shared" ca="1" si="2"/>
        <v/>
      </c>
      <c r="F13" s="4" t="s">
        <v>0</v>
      </c>
      <c r="G13" s="2">
        <f>IF(ISNUMBER(SEARCH(Лист2!$B$4,F:F)),1,0)</f>
        <v>0</v>
      </c>
      <c r="H13" s="3">
        <f ca="1">IF(AND(I13&lt;&gt;I12,ISNUMBER(SEARCH(Лист2!$B$5,I:I)),G13=1),MAX($H$3:OFFSET(H13,-1,0))+1,0)</f>
        <v>0</v>
      </c>
      <c r="I13" s="3" t="s">
        <v>46</v>
      </c>
      <c r="J13" s="4" t="str">
        <f t="shared" ca="1" si="1"/>
        <v/>
      </c>
      <c r="K13" s="2">
        <f>IF(ISNUMBER(SEARCH(Лист2!$B$4,F:F)),1,0)</f>
        <v>0</v>
      </c>
      <c r="L13" s="14">
        <f>IF(ISNUMBER(SEARCH(Лист2!$B$5,I:I)),1,0)+K13</f>
        <v>0</v>
      </c>
      <c r="M13" s="3">
        <f ca="1">IF(AND(N13&lt;&gt;N12,ISNUMBER(SEARCH(Лист2!$B$6,N:N)),L13=2),MAX($M$3:OFFSET(M13,-1,0))+1,0)</f>
        <v>0</v>
      </c>
      <c r="N13" s="3" t="s">
        <v>508</v>
      </c>
      <c r="O13" s="4" t="str">
        <f t="shared" ca="1" si="0"/>
        <v/>
      </c>
    </row>
    <row r="14" spans="1:15" x14ac:dyDescent="0.25">
      <c r="A14" s="1" t="s">
        <v>9816</v>
      </c>
      <c r="B14" s="3" t="s">
        <v>3638</v>
      </c>
      <c r="C14" s="2">
        <f ca="1">IF(ISNUMBER(SEARCH(Лист2!$B$4,D:D)),MAX($C$3:OFFSET(C14,-1,0))+1,0)</f>
        <v>0</v>
      </c>
      <c r="D14" s="3" t="s">
        <v>10</v>
      </c>
      <c r="E14" s="9" t="str">
        <f t="shared" ca="1" si="2"/>
        <v/>
      </c>
      <c r="F14" s="4" t="s">
        <v>0</v>
      </c>
      <c r="G14" s="2">
        <f>IF(ISNUMBER(SEARCH(Лист2!$B$4,F:F)),1,0)</f>
        <v>0</v>
      </c>
      <c r="H14" s="3">
        <f ca="1">IF(AND(I14&lt;&gt;I13,ISNUMBER(SEARCH(Лист2!$B$5,I:I)),G14=1),MAX($H$3:OFFSET(H14,-1,0))+1,0)</f>
        <v>0</v>
      </c>
      <c r="I14" s="3" t="s">
        <v>46</v>
      </c>
      <c r="J14" s="4" t="str">
        <f t="shared" ca="1" si="1"/>
        <v/>
      </c>
      <c r="K14" s="2">
        <f>IF(ISNUMBER(SEARCH(Лист2!$B$4,F:F)),1,0)</f>
        <v>0</v>
      </c>
      <c r="L14" s="14">
        <f>IF(ISNUMBER(SEARCH(Лист2!$B$5,I:I)),1,0)+K14</f>
        <v>0</v>
      </c>
      <c r="M14" s="3">
        <f ca="1">IF(AND(N14&lt;&gt;N13,ISNUMBER(SEARCH(Лист2!$B$6,N:N)),L14=2),MAX($M$3:OFFSET(M14,-1,0))+1,0)</f>
        <v>0</v>
      </c>
      <c r="N14" s="3" t="s">
        <v>509</v>
      </c>
      <c r="O14" s="4" t="str">
        <f t="shared" ca="1" si="0"/>
        <v/>
      </c>
    </row>
    <row r="15" spans="1:15" x14ac:dyDescent="0.25">
      <c r="A15" s="1" t="s">
        <v>9817</v>
      </c>
      <c r="B15" s="3" t="s">
        <v>3639</v>
      </c>
      <c r="C15" s="2">
        <f ca="1">IF(ISNUMBER(SEARCH(Лист2!$B$4,D:D)),MAX($C$3:OFFSET(C15,-1,0))+1,0)</f>
        <v>0</v>
      </c>
      <c r="D15" s="3" t="s">
        <v>12</v>
      </c>
      <c r="E15" s="9" t="str">
        <f t="shared" ca="1" si="2"/>
        <v/>
      </c>
      <c r="F15" s="4" t="s">
        <v>0</v>
      </c>
      <c r="G15" s="2">
        <f>IF(ISNUMBER(SEARCH(Лист2!$B$4,F:F)),1,0)</f>
        <v>0</v>
      </c>
      <c r="H15" s="3">
        <f ca="1">IF(AND(I15&lt;&gt;I14,ISNUMBER(SEARCH(Лист2!$B$5,I:I)),G15=1),MAX($H$3:OFFSET(H15,-1,0))+1,0)</f>
        <v>0</v>
      </c>
      <c r="I15" s="3" t="s">
        <v>46</v>
      </c>
      <c r="J15" s="4" t="str">
        <f t="shared" ca="1" si="1"/>
        <v/>
      </c>
      <c r="K15" s="2">
        <f>IF(ISNUMBER(SEARCH(Лист2!$B$4,F:F)),1,0)</f>
        <v>0</v>
      </c>
      <c r="L15" s="14">
        <f>IF(ISNUMBER(SEARCH(Лист2!$B$5,I:I)),1,0)+K15</f>
        <v>0</v>
      </c>
      <c r="M15" s="3">
        <f ca="1">IF(AND(N15&lt;&gt;N14,ISNUMBER(SEARCH(Лист2!$B$6,N:N)),L15=2),MAX($M$3:OFFSET(M15,-1,0))+1,0)</f>
        <v>0</v>
      </c>
      <c r="N15" s="3" t="s">
        <v>510</v>
      </c>
      <c r="O15" s="4" t="str">
        <f t="shared" ca="1" si="0"/>
        <v/>
      </c>
    </row>
    <row r="16" spans="1:15" x14ac:dyDescent="0.25">
      <c r="A16" s="1" t="s">
        <v>9818</v>
      </c>
      <c r="B16" s="3" t="s">
        <v>3640</v>
      </c>
      <c r="C16" s="2">
        <f ca="1">IF(ISNUMBER(SEARCH(Лист2!$B$4,D:D)),MAX($C$3:OFFSET(C16,-1,0))+1,0)</f>
        <v>0</v>
      </c>
      <c r="D16" s="3" t="s">
        <v>15</v>
      </c>
      <c r="E16" s="9" t="str">
        <f t="shared" ca="1" si="2"/>
        <v/>
      </c>
      <c r="F16" s="4" t="s">
        <v>0</v>
      </c>
      <c r="G16" s="2">
        <f>IF(ISNUMBER(SEARCH(Лист2!$B$4,F:F)),1,0)</f>
        <v>0</v>
      </c>
      <c r="H16" s="3">
        <f ca="1">IF(AND(I16&lt;&gt;I15,ISNUMBER(SEARCH(Лист2!$B$5,I:I)),G16=1),MAX($H$3:OFFSET(H16,-1,0))+1,0)</f>
        <v>0</v>
      </c>
      <c r="I16" s="3" t="s">
        <v>46</v>
      </c>
      <c r="J16" s="4" t="str">
        <f t="shared" ca="1" si="1"/>
        <v/>
      </c>
      <c r="K16" s="2">
        <f>IF(ISNUMBER(SEARCH(Лист2!$B$4,F:F)),1,0)</f>
        <v>0</v>
      </c>
      <c r="L16" s="14">
        <f>IF(ISNUMBER(SEARCH(Лист2!$B$5,I:I)),1,0)+K16</f>
        <v>0</v>
      </c>
      <c r="M16" s="3">
        <f ca="1">IF(AND(N16&lt;&gt;N15,ISNUMBER(SEARCH(Лист2!$B$6,N:N)),L16=2),MAX($M$3:OFFSET(M16,-1,0))+1,0)</f>
        <v>0</v>
      </c>
      <c r="N16" s="3" t="s">
        <v>511</v>
      </c>
      <c r="O16" s="4" t="str">
        <f t="shared" ca="1" si="0"/>
        <v/>
      </c>
    </row>
    <row r="17" spans="1:15" x14ac:dyDescent="0.25">
      <c r="A17" s="1" t="s">
        <v>9819</v>
      </c>
      <c r="B17" s="3" t="s">
        <v>3641</v>
      </c>
      <c r="C17" s="2">
        <f ca="1">IF(ISNUMBER(SEARCH(Лист2!$B$4,D:D)),MAX($C$3:OFFSET(C17,-1,0))+1,0)</f>
        <v>0</v>
      </c>
      <c r="D17" s="3" t="s">
        <v>13</v>
      </c>
      <c r="E17" s="9" t="str">
        <f t="shared" ca="1" si="2"/>
        <v/>
      </c>
      <c r="F17" s="4" t="s">
        <v>0</v>
      </c>
      <c r="G17" s="2">
        <f>IF(ISNUMBER(SEARCH(Лист2!$B$4,F:F)),1,0)</f>
        <v>0</v>
      </c>
      <c r="H17" s="3">
        <f ca="1">IF(AND(I17&lt;&gt;I16,ISNUMBER(SEARCH(Лист2!$B$5,I:I)),G17=1),MAX($H$3:OFFSET(H17,-1,0))+1,0)</f>
        <v>0</v>
      </c>
      <c r="I17" s="3" t="s">
        <v>46</v>
      </c>
      <c r="J17" s="4" t="str">
        <f t="shared" ca="1" si="1"/>
        <v/>
      </c>
      <c r="K17" s="2">
        <f>IF(ISNUMBER(SEARCH(Лист2!$B$4,F:F)),1,0)</f>
        <v>0</v>
      </c>
      <c r="L17" s="14">
        <f>IF(ISNUMBER(SEARCH(Лист2!$B$5,I:I)),1,0)+K17</f>
        <v>0</v>
      </c>
      <c r="M17" s="3">
        <f ca="1">IF(AND(N17&lt;&gt;N16,ISNUMBER(SEARCH(Лист2!$B$6,N:N)),L17=2),MAX($M$3:OFFSET(M17,-1,0))+1,0)</f>
        <v>0</v>
      </c>
      <c r="N17" s="3" t="s">
        <v>512</v>
      </c>
      <c r="O17" s="4" t="str">
        <f t="shared" ca="1" si="0"/>
        <v/>
      </c>
    </row>
    <row r="18" spans="1:15" x14ac:dyDescent="0.25">
      <c r="A18" s="1" t="s">
        <v>9820</v>
      </c>
      <c r="B18" s="3" t="s">
        <v>3642</v>
      </c>
      <c r="C18" s="2">
        <f ca="1">IF(ISNUMBER(SEARCH(Лист2!$B$4,D:D)),MAX($C$3:OFFSET(C18,-1,0))+1,0)</f>
        <v>0</v>
      </c>
      <c r="D18" s="3" t="s">
        <v>14</v>
      </c>
      <c r="E18" s="9" t="str">
        <f t="shared" ca="1" si="2"/>
        <v/>
      </c>
      <c r="F18" s="4" t="s">
        <v>0</v>
      </c>
      <c r="G18" s="2">
        <f>IF(ISNUMBER(SEARCH(Лист2!$B$4,F:F)),1,0)</f>
        <v>0</v>
      </c>
      <c r="H18" s="3">
        <f ca="1">IF(AND(I18&lt;&gt;I17,ISNUMBER(SEARCH(Лист2!$B$5,I:I)),G18=1),MAX($H$3:OFFSET(H18,-1,0))+1,0)</f>
        <v>0</v>
      </c>
      <c r="I18" s="3" t="s">
        <v>46</v>
      </c>
      <c r="J18" s="4" t="str">
        <f t="shared" ca="1" si="1"/>
        <v/>
      </c>
      <c r="K18" s="2">
        <f>IF(ISNUMBER(SEARCH(Лист2!$B$4,F:F)),1,0)</f>
        <v>0</v>
      </c>
      <c r="L18" s="14">
        <f>IF(ISNUMBER(SEARCH(Лист2!$B$5,I:I)),1,0)+K18</f>
        <v>0</v>
      </c>
      <c r="M18" s="3">
        <f ca="1">IF(AND(N18&lt;&gt;N17,ISNUMBER(SEARCH(Лист2!$B$6,N:N)),L18=2),MAX($M$3:OFFSET(M18,-1,0))+1,0)</f>
        <v>0</v>
      </c>
      <c r="N18" s="3" t="s">
        <v>513</v>
      </c>
      <c r="O18" s="4" t="str">
        <f t="shared" ca="1" si="0"/>
        <v/>
      </c>
    </row>
    <row r="19" spans="1:15" x14ac:dyDescent="0.25">
      <c r="A19" s="1" t="s">
        <v>9821</v>
      </c>
      <c r="B19" s="3" t="s">
        <v>3643</v>
      </c>
      <c r="C19" s="2">
        <f ca="1">IF(ISNUMBER(SEARCH(Лист2!$B$4,D:D)),MAX($C$3:OFFSET(C19,-1,0))+1,0)</f>
        <v>0</v>
      </c>
      <c r="D19" s="3" t="s">
        <v>29</v>
      </c>
      <c r="E19" s="9" t="str">
        <f t="shared" ca="1" si="2"/>
        <v/>
      </c>
      <c r="F19" s="4" t="s">
        <v>1</v>
      </c>
      <c r="G19" s="2">
        <f>IF(ISNUMBER(SEARCH(Лист2!$B$4,F:F)),1,0)</f>
        <v>0</v>
      </c>
      <c r="H19" s="3">
        <f ca="1">IF(AND(I19&lt;&gt;I18,ISNUMBER(SEARCH(Лист2!$B$5,I:I)),G19=1),MAX($H$3:OFFSET(H19,-1,0))+1,0)</f>
        <v>0</v>
      </c>
      <c r="I19" s="3" t="s">
        <v>46</v>
      </c>
      <c r="J19" s="4" t="str">
        <f t="shared" ca="1" si="1"/>
        <v/>
      </c>
      <c r="K19" s="2">
        <f>IF(ISNUMBER(SEARCH(Лист2!$B$4,F:F)),1,0)</f>
        <v>0</v>
      </c>
      <c r="L19" s="14">
        <f>IF(ISNUMBER(SEARCH(Лист2!$B$5,I:I)),1,0)+K19</f>
        <v>0</v>
      </c>
      <c r="M19" s="3">
        <f ca="1">IF(AND(N19&lt;&gt;N18,ISNUMBER(SEARCH(Лист2!$B$6,N:N)),L19=2),MAX($M$3:OFFSET(M19,-1,0))+1,0)</f>
        <v>0</v>
      </c>
      <c r="N19" s="3" t="s">
        <v>514</v>
      </c>
      <c r="O19" s="4" t="str">
        <f t="shared" ca="1" si="0"/>
        <v/>
      </c>
    </row>
    <row r="20" spans="1:15" x14ac:dyDescent="0.25">
      <c r="A20" s="1" t="s">
        <v>9822</v>
      </c>
      <c r="B20" s="3" t="s">
        <v>3644</v>
      </c>
      <c r="C20" s="2">
        <f ca="1">IF(ISNUMBER(SEARCH(Лист2!$B$4,D:D)),MAX($C$3:OFFSET(C20,-1,0))+1,0)</f>
        <v>0</v>
      </c>
      <c r="D20" s="3" t="s">
        <v>30</v>
      </c>
      <c r="E20" s="9" t="str">
        <f t="shared" ca="1" si="2"/>
        <v/>
      </c>
      <c r="F20" s="4" t="s">
        <v>1</v>
      </c>
      <c r="G20" s="2">
        <f>IF(ISNUMBER(SEARCH(Лист2!$B$4,F:F)),1,0)</f>
        <v>0</v>
      </c>
      <c r="H20" s="3">
        <f ca="1">IF(AND(I20&lt;&gt;I19,ISNUMBER(SEARCH(Лист2!$B$5,I:I)),G20=1),MAX($H$3:OFFSET(H20,-1,0))+1,0)</f>
        <v>0</v>
      </c>
      <c r="I20" s="3" t="s">
        <v>46</v>
      </c>
      <c r="J20" s="4" t="str">
        <f t="shared" ca="1" si="1"/>
        <v/>
      </c>
      <c r="K20" s="2">
        <f>IF(ISNUMBER(SEARCH(Лист2!$B$4,F:F)),1,0)</f>
        <v>0</v>
      </c>
      <c r="L20" s="14">
        <f>IF(ISNUMBER(SEARCH(Лист2!$B$5,I:I)),1,0)+K20</f>
        <v>0</v>
      </c>
      <c r="M20" s="3">
        <f ca="1">IF(AND(N20&lt;&gt;N19,ISNUMBER(SEARCH(Лист2!$B$6,N:N)),L20=2),MAX($M$3:OFFSET(M20,-1,0))+1,0)</f>
        <v>0</v>
      </c>
      <c r="N20" s="3" t="s">
        <v>515</v>
      </c>
      <c r="O20" s="4" t="str">
        <f t="shared" ca="1" si="0"/>
        <v/>
      </c>
    </row>
    <row r="21" spans="1:15" x14ac:dyDescent="0.25">
      <c r="A21" s="1" t="s">
        <v>9823</v>
      </c>
      <c r="B21" s="3" t="s">
        <v>3645</v>
      </c>
      <c r="C21" s="2">
        <f ca="1">IF(ISNUMBER(SEARCH(Лист2!$B$4,D:D)),MAX($C$3:OFFSET(C21,-1,0))+1,0)</f>
        <v>0</v>
      </c>
      <c r="D21" s="3" t="s">
        <v>31</v>
      </c>
      <c r="E21" s="9" t="str">
        <f t="shared" ca="1" si="2"/>
        <v/>
      </c>
      <c r="F21" s="4" t="s">
        <v>1</v>
      </c>
      <c r="G21" s="2">
        <f>IF(ISNUMBER(SEARCH(Лист2!$B$4,F:F)),1,0)</f>
        <v>0</v>
      </c>
      <c r="H21" s="3">
        <f ca="1">IF(AND(I21&lt;&gt;I20,ISNUMBER(SEARCH(Лист2!$B$5,I:I)),G21=1),MAX($H$3:OFFSET(H21,-1,0))+1,0)</f>
        <v>0</v>
      </c>
      <c r="I21" s="3" t="s">
        <v>46</v>
      </c>
      <c r="J21" s="4" t="str">
        <f t="shared" ca="1" si="1"/>
        <v/>
      </c>
      <c r="K21" s="2">
        <f>IF(ISNUMBER(SEARCH(Лист2!$B$4,F:F)),1,0)</f>
        <v>0</v>
      </c>
      <c r="L21" s="14">
        <f>IF(ISNUMBER(SEARCH(Лист2!$B$5,I:I)),1,0)+K21</f>
        <v>0</v>
      </c>
      <c r="M21" s="3">
        <f ca="1">IF(AND(N21&lt;&gt;N20,ISNUMBER(SEARCH(Лист2!$B$6,N:N)),L21=2),MAX($M$3:OFFSET(M21,-1,0))+1,0)</f>
        <v>0</v>
      </c>
      <c r="N21" s="3" t="s">
        <v>499</v>
      </c>
      <c r="O21" s="4" t="str">
        <f t="shared" ca="1" si="0"/>
        <v/>
      </c>
    </row>
    <row r="22" spans="1:15" x14ac:dyDescent="0.25">
      <c r="A22" s="1" t="s">
        <v>9824</v>
      </c>
      <c r="B22" s="3" t="s">
        <v>3646</v>
      </c>
      <c r="C22" s="2">
        <f ca="1">IF(ISNUMBER(SEARCH(Лист2!$B$4,D:D)),MAX($C$3:OFFSET(C22,-1,0))+1,0)</f>
        <v>0</v>
      </c>
      <c r="D22" s="3" t="s">
        <v>25</v>
      </c>
      <c r="E22" s="9" t="str">
        <f t="shared" ca="1" si="2"/>
        <v/>
      </c>
      <c r="F22" s="4" t="s">
        <v>1</v>
      </c>
      <c r="G22" s="2">
        <f>IF(ISNUMBER(SEARCH(Лист2!$B$4,F:F)),1,0)</f>
        <v>0</v>
      </c>
      <c r="H22" s="3">
        <f ca="1">IF(AND(I22&lt;&gt;I21,ISNUMBER(SEARCH(Лист2!$B$5,I:I)),G22=1),MAX($H$3:OFFSET(H22,-1,0))+1,0)</f>
        <v>0</v>
      </c>
      <c r="I22" s="3" t="s">
        <v>46</v>
      </c>
      <c r="J22" s="4" t="str">
        <f t="shared" ca="1" si="1"/>
        <v/>
      </c>
      <c r="K22" s="2">
        <f>IF(ISNUMBER(SEARCH(Лист2!$B$4,F:F)),1,0)</f>
        <v>0</v>
      </c>
      <c r="L22" s="14">
        <f>IF(ISNUMBER(SEARCH(Лист2!$B$5,I:I)),1,0)+K22</f>
        <v>0</v>
      </c>
      <c r="M22" s="3">
        <f ca="1">IF(AND(N22&lt;&gt;N21,ISNUMBER(SEARCH(Лист2!$B$6,N:N)),L22=2),MAX($M$3:OFFSET(M22,-1,0))+1,0)</f>
        <v>0</v>
      </c>
      <c r="N22" s="3" t="s">
        <v>500</v>
      </c>
      <c r="O22" s="4" t="str">
        <f t="shared" ca="1" si="0"/>
        <v/>
      </c>
    </row>
    <row r="23" spans="1:15" x14ac:dyDescent="0.25">
      <c r="A23" s="1" t="s">
        <v>9825</v>
      </c>
      <c r="B23" s="3" t="s">
        <v>3647</v>
      </c>
      <c r="C23" s="2">
        <f ca="1">IF(ISNUMBER(SEARCH(Лист2!$B$4,D:D)),MAX($C$3:OFFSET(C23,-1,0))+1,0)</f>
        <v>0</v>
      </c>
      <c r="D23" s="3" t="s">
        <v>26</v>
      </c>
      <c r="E23" s="9" t="str">
        <f t="shared" ca="1" si="2"/>
        <v/>
      </c>
      <c r="F23" s="4" t="s">
        <v>1</v>
      </c>
      <c r="G23" s="2">
        <f>IF(ISNUMBER(SEARCH(Лист2!$B$4,F:F)),1,0)</f>
        <v>0</v>
      </c>
      <c r="H23" s="3">
        <f ca="1">IF(AND(I23&lt;&gt;I22,ISNUMBER(SEARCH(Лист2!$B$5,I:I)),G23=1),MAX($H$3:OFFSET(H23,-1,0))+1,0)</f>
        <v>0</v>
      </c>
      <c r="I23" s="3" t="s">
        <v>46</v>
      </c>
      <c r="J23" s="4" t="str">
        <f t="shared" ca="1" si="1"/>
        <v/>
      </c>
      <c r="K23" s="2">
        <f>IF(ISNUMBER(SEARCH(Лист2!$B$4,F:F)),1,0)</f>
        <v>0</v>
      </c>
      <c r="L23" s="14">
        <f>IF(ISNUMBER(SEARCH(Лист2!$B$5,I:I)),1,0)+K23</f>
        <v>0</v>
      </c>
      <c r="M23" s="3">
        <f ca="1">IF(AND(N23&lt;&gt;N22,ISNUMBER(SEARCH(Лист2!$B$6,N:N)),L23=2),MAX($M$3:OFFSET(M23,-1,0))+1,0)</f>
        <v>0</v>
      </c>
      <c r="N23" s="3" t="s">
        <v>501</v>
      </c>
      <c r="O23" s="4" t="str">
        <f t="shared" ca="1" si="0"/>
        <v/>
      </c>
    </row>
    <row r="24" spans="1:15" x14ac:dyDescent="0.25">
      <c r="A24" s="1" t="s">
        <v>9826</v>
      </c>
      <c r="B24" s="3" t="s">
        <v>3648</v>
      </c>
      <c r="C24" s="2">
        <f ca="1">IF(ISNUMBER(SEARCH(Лист2!$B$4,D:D)),MAX($C$3:OFFSET(C24,-1,0))+1,0)</f>
        <v>0</v>
      </c>
      <c r="D24" s="3" t="s">
        <v>35</v>
      </c>
      <c r="E24" s="9" t="str">
        <f t="shared" ca="1" si="2"/>
        <v/>
      </c>
      <c r="F24" s="4" t="s">
        <v>1</v>
      </c>
      <c r="G24" s="2">
        <f>IF(ISNUMBER(SEARCH(Лист2!$B$4,F:F)),1,0)</f>
        <v>0</v>
      </c>
      <c r="H24" s="3">
        <f ca="1">IF(AND(I24&lt;&gt;I23,ISNUMBER(SEARCH(Лист2!$B$5,I:I)),G24=1),MAX($H$3:OFFSET(H24,-1,0))+1,0)</f>
        <v>0</v>
      </c>
      <c r="I24" s="3" t="s">
        <v>46</v>
      </c>
      <c r="J24" s="4" t="str">
        <f t="shared" ca="1" si="1"/>
        <v/>
      </c>
      <c r="K24" s="2">
        <f>IF(ISNUMBER(SEARCH(Лист2!$B$4,F:F)),1,0)</f>
        <v>0</v>
      </c>
      <c r="L24" s="14">
        <f>IF(ISNUMBER(SEARCH(Лист2!$B$5,I:I)),1,0)+K24</f>
        <v>0</v>
      </c>
      <c r="M24" s="3">
        <f ca="1">IF(AND(N24&lt;&gt;N23,ISNUMBER(SEARCH(Лист2!$B$6,N:N)),L24=2),MAX($M$3:OFFSET(M24,-1,0))+1,0)</f>
        <v>0</v>
      </c>
      <c r="N24" s="3" t="s">
        <v>502</v>
      </c>
      <c r="O24" s="4" t="str">
        <f t="shared" ca="1" si="0"/>
        <v/>
      </c>
    </row>
    <row r="25" spans="1:15" x14ac:dyDescent="0.25">
      <c r="A25" s="1" t="s">
        <v>9827</v>
      </c>
      <c r="B25" s="3" t="s">
        <v>3649</v>
      </c>
      <c r="C25" s="2">
        <f ca="1">IF(ISNUMBER(SEARCH(Лист2!$B$4,D:D)),MAX($C$3:OFFSET(C25,-1,0))+1,0)</f>
        <v>0</v>
      </c>
      <c r="D25" s="3" t="s">
        <v>3</v>
      </c>
      <c r="E25" s="9" t="str">
        <f t="shared" ca="1" si="2"/>
        <v/>
      </c>
      <c r="F25" s="4" t="s">
        <v>1</v>
      </c>
      <c r="G25" s="2">
        <f>IF(ISNUMBER(SEARCH(Лист2!$B$4,F:F)),1,0)</f>
        <v>0</v>
      </c>
      <c r="H25" s="3">
        <f ca="1">IF(AND(I25&lt;&gt;I24,ISNUMBER(SEARCH(Лист2!$B$5,I:I)),G25=1),MAX($H$3:OFFSET(H25,-1,0))+1,0)</f>
        <v>0</v>
      </c>
      <c r="I25" s="3" t="s">
        <v>46</v>
      </c>
      <c r="J25" s="4" t="str">
        <f t="shared" ca="1" si="1"/>
        <v/>
      </c>
      <c r="K25" s="2">
        <f>IF(ISNUMBER(SEARCH(Лист2!$B$4,F:F)),1,0)</f>
        <v>0</v>
      </c>
      <c r="L25" s="14">
        <f>IF(ISNUMBER(SEARCH(Лист2!$B$5,I:I)),1,0)+K25</f>
        <v>0</v>
      </c>
      <c r="M25" s="3">
        <f ca="1">IF(AND(N25&lt;&gt;N24,ISNUMBER(SEARCH(Лист2!$B$6,N:N)),L25=2),MAX($M$3:OFFSET(M25,-1,0))+1,0)</f>
        <v>0</v>
      </c>
      <c r="N25" s="3" t="s">
        <v>503</v>
      </c>
      <c r="O25" s="4" t="str">
        <f t="shared" ca="1" si="0"/>
        <v/>
      </c>
    </row>
    <row r="26" spans="1:15" x14ac:dyDescent="0.25">
      <c r="A26" s="1" t="s">
        <v>9828</v>
      </c>
      <c r="B26" s="3" t="s">
        <v>3650</v>
      </c>
      <c r="C26" s="2">
        <f ca="1">IF(ISNUMBER(SEARCH(Лист2!$B$4,D:D)),MAX($C$3:OFFSET(C26,-1,0))+1,0)</f>
        <v>0</v>
      </c>
      <c r="D26" s="3" t="s">
        <v>4</v>
      </c>
      <c r="E26" s="9" t="str">
        <f t="shared" ca="1" si="2"/>
        <v/>
      </c>
      <c r="F26" s="4" t="s">
        <v>1</v>
      </c>
      <c r="G26" s="2">
        <f>IF(ISNUMBER(SEARCH(Лист2!$B$4,F:F)),1,0)</f>
        <v>0</v>
      </c>
      <c r="H26" s="3">
        <f ca="1">IF(AND(I26&lt;&gt;I25,ISNUMBER(SEARCH(Лист2!$B$5,I:I)),G26=1),MAX($H$3:OFFSET(H26,-1,0))+1,0)</f>
        <v>0</v>
      </c>
      <c r="I26" s="3" t="s">
        <v>46</v>
      </c>
      <c r="J26" s="4" t="str">
        <f t="shared" ca="1" si="1"/>
        <v/>
      </c>
      <c r="K26" s="2">
        <f>IF(ISNUMBER(SEARCH(Лист2!$B$4,F:F)),1,0)</f>
        <v>0</v>
      </c>
      <c r="L26" s="14">
        <f>IF(ISNUMBER(SEARCH(Лист2!$B$5,I:I)),1,0)+K26</f>
        <v>0</v>
      </c>
      <c r="M26" s="3">
        <f ca="1">IF(AND(N26&lt;&gt;N25,ISNUMBER(SEARCH(Лист2!$B$6,N:N)),L26=2),MAX($M$3:OFFSET(M26,-1,0))+1,0)</f>
        <v>0</v>
      </c>
      <c r="N26" s="3" t="s">
        <v>504</v>
      </c>
      <c r="O26" s="4" t="str">
        <f t="shared" ca="1" si="0"/>
        <v/>
      </c>
    </row>
    <row r="27" spans="1:15" x14ac:dyDescent="0.25">
      <c r="A27" s="1" t="s">
        <v>9829</v>
      </c>
      <c r="B27" s="3" t="s">
        <v>3651</v>
      </c>
      <c r="C27" s="2">
        <f ca="1">IF(ISNUMBER(SEARCH(Лист2!$B$4,D:D)),MAX($C$3:OFFSET(C27,-1,0))+1,0)</f>
        <v>0</v>
      </c>
      <c r="D27" s="3" t="s">
        <v>5</v>
      </c>
      <c r="E27" s="9" t="str">
        <f t="shared" ca="1" si="2"/>
        <v/>
      </c>
      <c r="F27" s="4" t="s">
        <v>1</v>
      </c>
      <c r="G27" s="2">
        <f>IF(ISNUMBER(SEARCH(Лист2!$B$4,F:F)),1,0)</f>
        <v>0</v>
      </c>
      <c r="H27" s="3">
        <f ca="1">IF(AND(I27&lt;&gt;I26,ISNUMBER(SEARCH(Лист2!$B$5,I:I)),G27=1),MAX($H$3:OFFSET(H27,-1,0))+1,0)</f>
        <v>0</v>
      </c>
      <c r="I27" s="3" t="s">
        <v>46</v>
      </c>
      <c r="J27" s="4" t="str">
        <f t="shared" ca="1" si="1"/>
        <v/>
      </c>
      <c r="K27" s="2">
        <f>IF(ISNUMBER(SEARCH(Лист2!$B$4,F:F)),1,0)</f>
        <v>0</v>
      </c>
      <c r="L27" s="14">
        <f>IF(ISNUMBER(SEARCH(Лист2!$B$5,I:I)),1,0)+K27</f>
        <v>0</v>
      </c>
      <c r="M27" s="3">
        <f ca="1">IF(AND(N27&lt;&gt;N26,ISNUMBER(SEARCH(Лист2!$B$6,N:N)),L27=2),MAX($M$3:OFFSET(M27,-1,0))+1,0)</f>
        <v>0</v>
      </c>
      <c r="N27" s="3" t="s">
        <v>505</v>
      </c>
      <c r="O27" s="4" t="str">
        <f t="shared" ca="1" si="0"/>
        <v/>
      </c>
    </row>
    <row r="28" spans="1:15" x14ac:dyDescent="0.25">
      <c r="A28" s="1" t="s">
        <v>9830</v>
      </c>
      <c r="B28" s="3" t="s">
        <v>3652</v>
      </c>
      <c r="C28" s="2">
        <f ca="1">IF(ISNUMBER(SEARCH(Лист2!$B$4,D:D)),MAX($C$3:OFFSET(C28,-1,0))+1,0)</f>
        <v>0</v>
      </c>
      <c r="D28" s="3" t="s">
        <v>6</v>
      </c>
      <c r="E28" s="9" t="str">
        <f t="shared" ca="1" si="2"/>
        <v/>
      </c>
      <c r="F28" s="4" t="s">
        <v>1</v>
      </c>
      <c r="G28" s="2">
        <f>IF(ISNUMBER(SEARCH(Лист2!$B$4,F:F)),1,0)</f>
        <v>0</v>
      </c>
      <c r="H28" s="3">
        <f ca="1">IF(AND(I28&lt;&gt;I27,ISNUMBER(SEARCH(Лист2!$B$5,I:I)),G28=1),MAX($H$3:OFFSET(H28,-1,0))+1,0)</f>
        <v>0</v>
      </c>
      <c r="I28" s="3" t="s">
        <v>46</v>
      </c>
      <c r="J28" s="4" t="str">
        <f t="shared" ca="1" si="1"/>
        <v/>
      </c>
      <c r="K28" s="2">
        <f>IF(ISNUMBER(SEARCH(Лист2!$B$4,F:F)),1,0)</f>
        <v>0</v>
      </c>
      <c r="L28" s="14">
        <f>IF(ISNUMBER(SEARCH(Лист2!$B$5,I:I)),1,0)+K28</f>
        <v>0</v>
      </c>
      <c r="M28" s="3">
        <f ca="1">IF(AND(N28&lt;&gt;N27,ISNUMBER(SEARCH(Лист2!$B$6,N:N)),L28=2),MAX($M$3:OFFSET(M28,-1,0))+1,0)</f>
        <v>0</v>
      </c>
      <c r="N28" s="3" t="s">
        <v>506</v>
      </c>
      <c r="O28" s="4" t="str">
        <f t="shared" ca="1" si="0"/>
        <v/>
      </c>
    </row>
    <row r="29" spans="1:15" x14ac:dyDescent="0.25">
      <c r="A29" s="1" t="s">
        <v>9830</v>
      </c>
      <c r="B29" s="3" t="s">
        <v>3653</v>
      </c>
      <c r="C29" s="2">
        <f ca="1">IF(ISNUMBER(SEARCH(Лист2!$B$4,D:D)),MAX($C$3:OFFSET(C29,-1,0))+1,0)</f>
        <v>0</v>
      </c>
      <c r="D29" s="3" t="s">
        <v>43</v>
      </c>
      <c r="E29" s="9" t="str">
        <f t="shared" ca="1" si="2"/>
        <v/>
      </c>
      <c r="F29" s="4" t="s">
        <v>1</v>
      </c>
      <c r="G29" s="2">
        <f>IF(ISNUMBER(SEARCH(Лист2!$B$4,F:F)),1,0)</f>
        <v>0</v>
      </c>
      <c r="H29" s="3">
        <f ca="1">IF(AND(I29&lt;&gt;I28,ISNUMBER(SEARCH(Лист2!$B$5,I:I)),G29=1),MAX($H$3:OFFSET(H29,-1,0))+1,0)</f>
        <v>0</v>
      </c>
      <c r="I29" s="3" t="s">
        <v>46</v>
      </c>
      <c r="J29" s="4" t="str">
        <f t="shared" ca="1" si="1"/>
        <v/>
      </c>
      <c r="K29" s="2">
        <f>IF(ISNUMBER(SEARCH(Лист2!$B$4,F:F)),1,0)</f>
        <v>0</v>
      </c>
      <c r="L29" s="14">
        <f>IF(ISNUMBER(SEARCH(Лист2!$B$5,I:I)),1,0)+K29</f>
        <v>0</v>
      </c>
      <c r="M29" s="3">
        <f ca="1">IF(AND(N29&lt;&gt;N28,ISNUMBER(SEARCH(Лист2!$B$6,N:N)),L29=2),MAX($M$3:OFFSET(M29,-1,0))+1,0)</f>
        <v>0</v>
      </c>
      <c r="N29" s="3" t="s">
        <v>506</v>
      </c>
      <c r="O29" s="4" t="str">
        <f t="shared" ca="1" si="0"/>
        <v/>
      </c>
    </row>
    <row r="30" spans="1:15" x14ac:dyDescent="0.25">
      <c r="A30" s="1" t="s">
        <v>9831</v>
      </c>
      <c r="B30" s="3" t="s">
        <v>3654</v>
      </c>
      <c r="C30" s="2">
        <f ca="1">IF(ISNUMBER(SEARCH(Лист2!$B$4,D:D)),MAX($C$3:OFFSET(C30,-1,0))+1,0)</f>
        <v>0</v>
      </c>
      <c r="D30" s="3" t="s">
        <v>32</v>
      </c>
      <c r="E30" s="9" t="str">
        <f t="shared" ca="1" si="2"/>
        <v/>
      </c>
      <c r="F30" s="4" t="s">
        <v>1</v>
      </c>
      <c r="G30" s="2">
        <f>IF(ISNUMBER(SEARCH(Лист2!$B$4,F:F)),1,0)</f>
        <v>0</v>
      </c>
      <c r="H30" s="3">
        <f ca="1">IF(AND(I30&lt;&gt;I29,ISNUMBER(SEARCH(Лист2!$B$5,I:I)),G30=1),MAX($H$3:OFFSET(H30,-1,0))+1,0)</f>
        <v>0</v>
      </c>
      <c r="I30" s="3" t="s">
        <v>46</v>
      </c>
      <c r="J30" s="4" t="str">
        <f t="shared" ca="1" si="1"/>
        <v/>
      </c>
      <c r="K30" s="2">
        <f>IF(ISNUMBER(SEARCH(Лист2!$B$4,F:F)),1,0)</f>
        <v>0</v>
      </c>
      <c r="L30" s="14">
        <f>IF(ISNUMBER(SEARCH(Лист2!$B$5,I:I)),1,0)+K30</f>
        <v>0</v>
      </c>
      <c r="M30" s="3">
        <f ca="1">IF(AND(N30&lt;&gt;N29,ISNUMBER(SEARCH(Лист2!$B$6,N:N)),L30=2),MAX($M$3:OFFSET(M30,-1,0))+1,0)</f>
        <v>0</v>
      </c>
      <c r="N30" s="3" t="s">
        <v>507</v>
      </c>
      <c r="O30" s="4" t="str">
        <f t="shared" ca="1" si="0"/>
        <v/>
      </c>
    </row>
    <row r="31" spans="1:15" x14ac:dyDescent="0.25">
      <c r="A31" s="1" t="s">
        <v>9832</v>
      </c>
      <c r="B31" s="3" t="s">
        <v>3655</v>
      </c>
      <c r="C31" s="2">
        <f ca="1">IF(ISNUMBER(SEARCH(Лист2!$B$4,D:D)),MAX($C$3:OFFSET(C31,-1,0))+1,0)</f>
        <v>0</v>
      </c>
      <c r="D31" s="3" t="s">
        <v>33</v>
      </c>
      <c r="E31" s="9" t="str">
        <f t="shared" ca="1" si="2"/>
        <v/>
      </c>
      <c r="F31" s="4" t="s">
        <v>1</v>
      </c>
      <c r="G31" s="2">
        <f>IF(ISNUMBER(SEARCH(Лист2!$B$4,F:F)),1,0)</f>
        <v>0</v>
      </c>
      <c r="H31" s="3">
        <f ca="1">IF(AND(I31&lt;&gt;I30,ISNUMBER(SEARCH(Лист2!$B$5,I:I)),G31=1),MAX($H$3:OFFSET(H31,-1,0))+1,0)</f>
        <v>0</v>
      </c>
      <c r="I31" s="3" t="s">
        <v>46</v>
      </c>
      <c r="J31" s="4" t="str">
        <f t="shared" ca="1" si="1"/>
        <v/>
      </c>
      <c r="K31" s="2">
        <f>IF(ISNUMBER(SEARCH(Лист2!$B$4,F:F)),1,0)</f>
        <v>0</v>
      </c>
      <c r="L31" s="14">
        <f>IF(ISNUMBER(SEARCH(Лист2!$B$5,I:I)),1,0)+K31</f>
        <v>0</v>
      </c>
      <c r="M31" s="3">
        <f ca="1">IF(AND(N31&lt;&gt;N30,ISNUMBER(SEARCH(Лист2!$B$6,N:N)),L31=2),MAX($M$3:OFFSET(M31,-1,0))+1,0)</f>
        <v>0</v>
      </c>
      <c r="N31" s="3" t="s">
        <v>508</v>
      </c>
      <c r="O31" s="4" t="str">
        <f t="shared" ca="1" si="0"/>
        <v/>
      </c>
    </row>
    <row r="32" spans="1:15" x14ac:dyDescent="0.25">
      <c r="A32" s="1" t="s">
        <v>9832</v>
      </c>
      <c r="B32" s="3" t="s">
        <v>3656</v>
      </c>
      <c r="C32" s="2">
        <f ca="1">IF(ISNUMBER(SEARCH(Лист2!$B$4,D:D)),MAX($C$3:OFFSET(C32,-1,0))+1,0)</f>
        <v>0</v>
      </c>
      <c r="D32" s="3" t="s">
        <v>42</v>
      </c>
      <c r="E32" s="9" t="str">
        <f t="shared" ca="1" si="2"/>
        <v/>
      </c>
      <c r="F32" s="4" t="s">
        <v>1</v>
      </c>
      <c r="G32" s="2">
        <f>IF(ISNUMBER(SEARCH(Лист2!$B$4,F:F)),1,0)</f>
        <v>0</v>
      </c>
      <c r="H32" s="3">
        <f ca="1">IF(AND(I32&lt;&gt;I31,ISNUMBER(SEARCH(Лист2!$B$5,I:I)),G32=1),MAX($H$3:OFFSET(H32,-1,0))+1,0)</f>
        <v>0</v>
      </c>
      <c r="I32" s="3" t="s">
        <v>46</v>
      </c>
      <c r="J32" s="4" t="str">
        <f t="shared" ca="1" si="1"/>
        <v/>
      </c>
      <c r="K32" s="2">
        <f>IF(ISNUMBER(SEARCH(Лист2!$B$4,F:F)),1,0)</f>
        <v>0</v>
      </c>
      <c r="L32" s="14">
        <f>IF(ISNUMBER(SEARCH(Лист2!$B$5,I:I)),1,0)+K32</f>
        <v>0</v>
      </c>
      <c r="M32" s="3">
        <f ca="1">IF(AND(N32&lt;&gt;N31,ISNUMBER(SEARCH(Лист2!$B$6,N:N)),L32=2),MAX($M$3:OFFSET(M32,-1,0))+1,0)</f>
        <v>0</v>
      </c>
      <c r="N32" s="3" t="s">
        <v>508</v>
      </c>
      <c r="O32" s="4" t="str">
        <f t="shared" ca="1" si="0"/>
        <v/>
      </c>
    </row>
    <row r="33" spans="1:15" x14ac:dyDescent="0.25">
      <c r="A33" s="1" t="s">
        <v>9832</v>
      </c>
      <c r="B33" s="3" t="s">
        <v>3657</v>
      </c>
      <c r="C33" s="2">
        <f ca="1">IF(ISNUMBER(SEARCH(Лист2!$B$4,D:D)),MAX($C$3:OFFSET(C33,-1,0))+1,0)</f>
        <v>0</v>
      </c>
      <c r="D33" s="3" t="s">
        <v>36</v>
      </c>
      <c r="E33" s="9" t="str">
        <f t="shared" ca="1" si="2"/>
        <v/>
      </c>
      <c r="F33" s="4" t="s">
        <v>1</v>
      </c>
      <c r="G33" s="2">
        <f>IF(ISNUMBER(SEARCH(Лист2!$B$4,F:F)),1,0)</f>
        <v>0</v>
      </c>
      <c r="H33" s="3">
        <f ca="1">IF(AND(I33&lt;&gt;I32,ISNUMBER(SEARCH(Лист2!$B$5,I:I)),G33=1),MAX($H$3:OFFSET(H33,-1,0))+1,0)</f>
        <v>0</v>
      </c>
      <c r="I33" s="3" t="s">
        <v>46</v>
      </c>
      <c r="J33" s="4" t="str">
        <f t="shared" ca="1" si="1"/>
        <v/>
      </c>
      <c r="K33" s="2">
        <f>IF(ISNUMBER(SEARCH(Лист2!$B$4,F:F)),1,0)</f>
        <v>0</v>
      </c>
      <c r="L33" s="14">
        <f>IF(ISNUMBER(SEARCH(Лист2!$B$5,I:I)),1,0)+K33</f>
        <v>0</v>
      </c>
      <c r="M33" s="3">
        <f ca="1">IF(AND(N33&lt;&gt;N32,ISNUMBER(SEARCH(Лист2!$B$6,N:N)),L33=2),MAX($M$3:OFFSET(M33,-1,0))+1,0)</f>
        <v>0</v>
      </c>
      <c r="N33" s="3" t="s">
        <v>508</v>
      </c>
      <c r="O33" s="4" t="str">
        <f t="shared" ca="1" si="0"/>
        <v/>
      </c>
    </row>
    <row r="34" spans="1:15" x14ac:dyDescent="0.25">
      <c r="A34" s="1" t="s">
        <v>9833</v>
      </c>
      <c r="B34" s="3" t="s">
        <v>3658</v>
      </c>
      <c r="C34" s="2">
        <f ca="1">IF(ISNUMBER(SEARCH(Лист2!$B$4,D:D)),MAX($C$3:OFFSET(C34,-1,0))+1,0)</f>
        <v>0</v>
      </c>
      <c r="D34" s="3" t="s">
        <v>0</v>
      </c>
      <c r="E34" s="9" t="str">
        <f t="shared" ca="1" si="2"/>
        <v/>
      </c>
      <c r="F34" s="4" t="s">
        <v>1</v>
      </c>
      <c r="G34" s="2">
        <f>IF(ISNUMBER(SEARCH(Лист2!$B$4,F:F)),1,0)</f>
        <v>0</v>
      </c>
      <c r="H34" s="3">
        <f ca="1">IF(AND(I34&lt;&gt;I33,ISNUMBER(SEARCH(Лист2!$B$5,I:I)),G34=1),MAX($H$3:OFFSET(H34,-1,0))+1,0)</f>
        <v>0</v>
      </c>
      <c r="I34" s="3" t="s">
        <v>46</v>
      </c>
      <c r="J34" s="4" t="str">
        <f t="shared" ca="1" si="1"/>
        <v/>
      </c>
      <c r="K34" s="2">
        <f>IF(ISNUMBER(SEARCH(Лист2!$B$4,F:F)),1,0)</f>
        <v>0</v>
      </c>
      <c r="L34" s="14">
        <f>IF(ISNUMBER(SEARCH(Лист2!$B$5,I:I)),1,0)+K34</f>
        <v>0</v>
      </c>
      <c r="M34" s="3">
        <f ca="1">IF(AND(N34&lt;&gt;N33,ISNUMBER(SEARCH(Лист2!$B$6,N:N)),L34=2),MAX($M$3:OFFSET(M34,-1,0))+1,0)</f>
        <v>0</v>
      </c>
      <c r="N34" s="3" t="s">
        <v>509</v>
      </c>
      <c r="O34" s="17" t="str">
        <f t="shared" ref="O34:O46" ca="1" si="3">IFERROR(INDEX(N:N,MATCH(ROW(O34)-ROW($E$3),M:M,0)),"")</f>
        <v/>
      </c>
    </row>
    <row r="35" spans="1:15" x14ac:dyDescent="0.25">
      <c r="A35" s="1" t="s">
        <v>9834</v>
      </c>
      <c r="B35" s="3" t="s">
        <v>3659</v>
      </c>
      <c r="C35" s="2">
        <f ca="1">IF(ISNUMBER(SEARCH(Лист2!$B$4,D:D)),MAX($C$3:OFFSET(C35,-1,0))+1,0)</f>
        <v>0</v>
      </c>
      <c r="D35" s="3" t="s">
        <v>1</v>
      </c>
      <c r="E35" s="9" t="str">
        <f t="shared" ca="1" si="2"/>
        <v/>
      </c>
      <c r="F35" s="4" t="s">
        <v>1</v>
      </c>
      <c r="G35" s="2">
        <f>IF(ISNUMBER(SEARCH(Лист2!$B$4,F:F)),1,0)</f>
        <v>0</v>
      </c>
      <c r="H35" s="3">
        <f ca="1">IF(AND(I35&lt;&gt;I34,ISNUMBER(SEARCH(Лист2!$B$5,I:I)),G35=1),MAX($H$3:OFFSET(H35,-1,0))+1,0)</f>
        <v>0</v>
      </c>
      <c r="I35" s="3" t="s">
        <v>46</v>
      </c>
      <c r="J35" s="4" t="str">
        <f t="shared" ca="1" si="1"/>
        <v/>
      </c>
      <c r="K35" s="2">
        <f>IF(ISNUMBER(SEARCH(Лист2!$B$4,F:F)),1,0)</f>
        <v>0</v>
      </c>
      <c r="L35" s="14">
        <f>IF(ISNUMBER(SEARCH(Лист2!$B$5,I:I)),1,0)+K35</f>
        <v>0</v>
      </c>
      <c r="M35" s="3">
        <f ca="1">IF(AND(N35&lt;&gt;N34,ISNUMBER(SEARCH(Лист2!$B$6,N:N)),L35=2),MAX($M$3:OFFSET(M35,-1,0))+1,0)</f>
        <v>0</v>
      </c>
      <c r="N35" s="3" t="s">
        <v>510</v>
      </c>
      <c r="O35" s="17" t="str">
        <f t="shared" ca="1" si="3"/>
        <v/>
      </c>
    </row>
    <row r="36" spans="1:15" x14ac:dyDescent="0.25">
      <c r="A36" s="1" t="s">
        <v>9835</v>
      </c>
      <c r="B36" s="3" t="s">
        <v>3660</v>
      </c>
      <c r="C36" s="2">
        <f ca="1">IF(ISNUMBER(SEARCH(Лист2!$B$4,D:D)),MAX($C$3:OFFSET(C36,-1,0))+1,0)</f>
        <v>0</v>
      </c>
      <c r="D36" s="3" t="s">
        <v>2</v>
      </c>
      <c r="E36" s="9" t="str">
        <f t="shared" ca="1" si="2"/>
        <v/>
      </c>
      <c r="F36" s="4" t="s">
        <v>1</v>
      </c>
      <c r="G36" s="2">
        <f>IF(ISNUMBER(SEARCH(Лист2!$B$4,F:F)),1,0)</f>
        <v>0</v>
      </c>
      <c r="H36" s="3">
        <f ca="1">IF(AND(I36&lt;&gt;I35,ISNUMBER(SEARCH(Лист2!$B$5,I:I)),G36=1),MAX($H$3:OFFSET(H36,-1,0))+1,0)</f>
        <v>0</v>
      </c>
      <c r="I36" s="3" t="s">
        <v>46</v>
      </c>
      <c r="J36" s="4" t="str">
        <f t="shared" ca="1" si="1"/>
        <v/>
      </c>
      <c r="K36" s="2">
        <f>IF(ISNUMBER(SEARCH(Лист2!$B$4,F:F)),1,0)</f>
        <v>0</v>
      </c>
      <c r="L36" s="14">
        <f>IF(ISNUMBER(SEARCH(Лист2!$B$5,I:I)),1,0)+K36</f>
        <v>0</v>
      </c>
      <c r="M36" s="3">
        <f ca="1">IF(AND(N36&lt;&gt;N35,ISNUMBER(SEARCH(Лист2!$B$6,N:N)),L36=2),MAX($M$3:OFFSET(M36,-1,0))+1,0)</f>
        <v>0</v>
      </c>
      <c r="N36" s="3" t="s">
        <v>511</v>
      </c>
      <c r="O36" s="17" t="str">
        <f t="shared" ca="1" si="3"/>
        <v/>
      </c>
    </row>
    <row r="37" spans="1:15" x14ac:dyDescent="0.25">
      <c r="A37" s="1" t="s">
        <v>9836</v>
      </c>
      <c r="B37" s="3" t="s">
        <v>3661</v>
      </c>
      <c r="C37" s="2">
        <f ca="1">IF(ISNUMBER(SEARCH(Лист2!$B$4,D:D)),MAX($C$3:OFFSET(C37,-1,0))+1,0)</f>
        <v>0</v>
      </c>
      <c r="D37" s="3" t="s">
        <v>34</v>
      </c>
      <c r="E37" s="9" t="str">
        <f t="shared" ca="1" si="2"/>
        <v/>
      </c>
      <c r="F37" s="4" t="s">
        <v>1</v>
      </c>
      <c r="G37" s="2">
        <f>IF(ISNUMBER(SEARCH(Лист2!$B$4,F:F)),1,0)</f>
        <v>0</v>
      </c>
      <c r="H37" s="3">
        <f ca="1">IF(AND(I37&lt;&gt;I36,ISNUMBER(SEARCH(Лист2!$B$5,I:I)),G37=1),MAX($H$3:OFFSET(H37,-1,0))+1,0)</f>
        <v>0</v>
      </c>
      <c r="I37" s="3" t="s">
        <v>46</v>
      </c>
      <c r="J37" s="4" t="str">
        <f t="shared" ca="1" si="1"/>
        <v/>
      </c>
      <c r="K37" s="2">
        <f>IF(ISNUMBER(SEARCH(Лист2!$B$4,F:F)),1,0)</f>
        <v>0</v>
      </c>
      <c r="L37" s="14">
        <f>IF(ISNUMBER(SEARCH(Лист2!$B$5,I:I)),1,0)+K37</f>
        <v>0</v>
      </c>
      <c r="M37" s="3">
        <f ca="1">IF(AND(N37&lt;&gt;N36,ISNUMBER(SEARCH(Лист2!$B$6,N:N)),L37=2),MAX($M$3:OFFSET(M37,-1,0))+1,0)</f>
        <v>0</v>
      </c>
      <c r="N37" s="3" t="s">
        <v>512</v>
      </c>
      <c r="O37" s="17" t="str">
        <f t="shared" ca="1" si="3"/>
        <v/>
      </c>
    </row>
    <row r="38" spans="1:15" x14ac:dyDescent="0.25">
      <c r="A38" s="1" t="s">
        <v>9837</v>
      </c>
      <c r="B38" s="3" t="s">
        <v>3662</v>
      </c>
      <c r="C38" s="2">
        <f ca="1">IF(ISNUMBER(SEARCH(Лист2!$B$4,D:D)),MAX($C$3:OFFSET(C38,-1,0))+1,0)</f>
        <v>0</v>
      </c>
      <c r="D38" s="3" t="s">
        <v>16</v>
      </c>
      <c r="E38" s="9" t="str">
        <f t="shared" ca="1" si="2"/>
        <v/>
      </c>
      <c r="F38" s="4" t="s">
        <v>1</v>
      </c>
      <c r="G38" s="2">
        <f>IF(ISNUMBER(SEARCH(Лист2!$B$4,F:F)),1,0)</f>
        <v>0</v>
      </c>
      <c r="H38" s="3">
        <f ca="1">IF(AND(I38&lt;&gt;I37,ISNUMBER(SEARCH(Лист2!$B$5,I:I)),G38=1),MAX($H$3:OFFSET(H38,-1,0))+1,0)</f>
        <v>0</v>
      </c>
      <c r="I38" s="3" t="s">
        <v>46</v>
      </c>
      <c r="J38" s="4" t="str">
        <f t="shared" ca="1" si="1"/>
        <v/>
      </c>
      <c r="K38" s="2">
        <f>IF(ISNUMBER(SEARCH(Лист2!$B$4,F:F)),1,0)</f>
        <v>0</v>
      </c>
      <c r="L38" s="14">
        <f>IF(ISNUMBER(SEARCH(Лист2!$B$5,I:I)),1,0)+K38</f>
        <v>0</v>
      </c>
      <c r="M38" s="3">
        <f ca="1">IF(AND(N38&lt;&gt;N37,ISNUMBER(SEARCH(Лист2!$B$6,N:N)),L38=2),MAX($M$3:OFFSET(M38,-1,0))+1,0)</f>
        <v>0</v>
      </c>
      <c r="N38" s="3" t="s">
        <v>513</v>
      </c>
      <c r="O38" s="17" t="str">
        <f t="shared" ca="1" si="3"/>
        <v/>
      </c>
    </row>
    <row r="39" spans="1:15" x14ac:dyDescent="0.25">
      <c r="A39" s="1" t="s">
        <v>9838</v>
      </c>
      <c r="B39" s="3" t="s">
        <v>3663</v>
      </c>
      <c r="C39" s="2">
        <f ca="1">IF(ISNUMBER(SEARCH(Лист2!$B$4,D:D)),MAX($C$3:OFFSET(C39,-1,0))+1,0)</f>
        <v>0</v>
      </c>
      <c r="D39" s="3" t="s">
        <v>17</v>
      </c>
      <c r="E39" s="9" t="str">
        <f t="shared" ca="1" si="2"/>
        <v/>
      </c>
      <c r="F39" s="4" t="s">
        <v>1</v>
      </c>
      <c r="G39" s="2">
        <f>IF(ISNUMBER(SEARCH(Лист2!$B$4,F:F)),1,0)</f>
        <v>0</v>
      </c>
      <c r="H39" s="3">
        <f ca="1">IF(AND(I39&lt;&gt;I38,ISNUMBER(SEARCH(Лист2!$B$5,I:I)),G39=1),MAX($H$3:OFFSET(H39,-1,0))+1,0)</f>
        <v>0</v>
      </c>
      <c r="I39" s="3" t="s">
        <v>46</v>
      </c>
      <c r="J39" s="4" t="str">
        <f t="shared" ca="1" si="1"/>
        <v/>
      </c>
      <c r="K39" s="2">
        <f>IF(ISNUMBER(SEARCH(Лист2!$B$4,F:F)),1,0)</f>
        <v>0</v>
      </c>
      <c r="L39" s="14">
        <f>IF(ISNUMBER(SEARCH(Лист2!$B$5,I:I)),1,0)+K39</f>
        <v>0</v>
      </c>
      <c r="M39" s="3">
        <f ca="1">IF(AND(N39&lt;&gt;N38,ISNUMBER(SEARCH(Лист2!$B$6,N:N)),L39=2),MAX($M$3:OFFSET(M39,-1,0))+1,0)</f>
        <v>0</v>
      </c>
      <c r="N39" s="3" t="s">
        <v>516</v>
      </c>
      <c r="O39" s="17" t="str">
        <f t="shared" ca="1" si="3"/>
        <v/>
      </c>
    </row>
    <row r="40" spans="1:15" x14ac:dyDescent="0.25">
      <c r="A40" s="1" t="s">
        <v>9839</v>
      </c>
      <c r="B40" s="3" t="s">
        <v>3664</v>
      </c>
      <c r="C40" s="2">
        <f ca="1">IF(ISNUMBER(SEARCH(Лист2!$B$4,D:D)),MAX($C$3:OFFSET(C40,-1,0))+1,0)</f>
        <v>0</v>
      </c>
      <c r="D40" s="3" t="s">
        <v>44</v>
      </c>
      <c r="E40" s="9" t="str">
        <f t="shared" ca="1" si="2"/>
        <v/>
      </c>
      <c r="F40" s="4" t="s">
        <v>2</v>
      </c>
      <c r="G40" s="2">
        <f>IF(ISNUMBER(SEARCH(Лист2!$B$4,F:F)),1,0)</f>
        <v>0</v>
      </c>
      <c r="H40" s="3">
        <f ca="1">IF(AND(I40&lt;&gt;I39,ISNUMBER(SEARCH(Лист2!$B$5,I:I)),G40=1),MAX($H$3:OFFSET(H40,-1,0))+1,0)</f>
        <v>0</v>
      </c>
      <c r="I40" s="3" t="s">
        <v>46</v>
      </c>
      <c r="J40" s="4" t="str">
        <f t="shared" ca="1" si="1"/>
        <v/>
      </c>
      <c r="K40" s="2">
        <f>IF(ISNUMBER(SEARCH(Лист2!$B$4,F:F)),1,0)</f>
        <v>0</v>
      </c>
      <c r="L40" s="14">
        <f>IF(ISNUMBER(SEARCH(Лист2!$B$5,I:I)),1,0)+K40</f>
        <v>0</v>
      </c>
      <c r="M40" s="3">
        <f ca="1">IF(AND(N40&lt;&gt;N39,ISNUMBER(SEARCH(Лист2!$B$6,N:N)),L40=2),MAX($M$3:OFFSET(M40,-1,0))+1,0)</f>
        <v>0</v>
      </c>
      <c r="N40" s="3" t="s">
        <v>499</v>
      </c>
      <c r="O40" s="17" t="str">
        <f t="shared" ca="1" si="3"/>
        <v/>
      </c>
    </row>
    <row r="41" spans="1:15" x14ac:dyDescent="0.25">
      <c r="A41" s="1" t="s">
        <v>9840</v>
      </c>
      <c r="B41" s="3" t="s">
        <v>3665</v>
      </c>
      <c r="C41" s="2">
        <f ca="1">IF(ISNUMBER(SEARCH(Лист2!$B$4,D:D)),MAX($C$3:OFFSET(C41,-1,0))+1,0)</f>
        <v>0</v>
      </c>
      <c r="D41" s="3" t="s">
        <v>18</v>
      </c>
      <c r="E41" s="9" t="str">
        <f t="shared" ca="1" si="2"/>
        <v/>
      </c>
      <c r="F41" s="4" t="s">
        <v>2</v>
      </c>
      <c r="G41" s="2">
        <f>IF(ISNUMBER(SEARCH(Лист2!$B$4,F:F)),1,0)</f>
        <v>0</v>
      </c>
      <c r="H41" s="3">
        <f ca="1">IF(AND(I41&lt;&gt;I40,ISNUMBER(SEARCH(Лист2!$B$5,I:I)),G41=1),MAX($H$3:OFFSET(H41,-1,0))+1,0)</f>
        <v>0</v>
      </c>
      <c r="I41" s="3" t="s">
        <v>46</v>
      </c>
      <c r="J41" s="4" t="str">
        <f t="shared" ca="1" si="1"/>
        <v/>
      </c>
      <c r="K41" s="2">
        <f>IF(ISNUMBER(SEARCH(Лист2!$B$4,F:F)),1,0)</f>
        <v>0</v>
      </c>
      <c r="L41" s="14">
        <f>IF(ISNUMBER(SEARCH(Лист2!$B$5,I:I)),1,0)+K41</f>
        <v>0</v>
      </c>
      <c r="M41" s="3">
        <f ca="1">IF(AND(N41&lt;&gt;N40,ISNUMBER(SEARCH(Лист2!$B$6,N:N)),L41=2),MAX($M$3:OFFSET(M41,-1,0))+1,0)</f>
        <v>0</v>
      </c>
      <c r="N41" s="3" t="s">
        <v>500</v>
      </c>
      <c r="O41" s="17" t="str">
        <f t="shared" ca="1" si="3"/>
        <v/>
      </c>
    </row>
    <row r="42" spans="1:15" x14ac:dyDescent="0.25">
      <c r="A42" s="1" t="s">
        <v>9841</v>
      </c>
      <c r="B42" s="3" t="s">
        <v>3666</v>
      </c>
      <c r="C42" s="2">
        <f ca="1">IF(ISNUMBER(SEARCH(Лист2!$B$4,D:D)),MAX($C$3:OFFSET(C42,-1,0))+1,0)</f>
        <v>0</v>
      </c>
      <c r="D42" s="3" t="s">
        <v>19</v>
      </c>
      <c r="E42" s="9" t="str">
        <f t="shared" ca="1" si="2"/>
        <v/>
      </c>
      <c r="F42" s="4" t="s">
        <v>2</v>
      </c>
      <c r="G42" s="2">
        <f>IF(ISNUMBER(SEARCH(Лист2!$B$4,F:F)),1,0)</f>
        <v>0</v>
      </c>
      <c r="H42" s="3">
        <f ca="1">IF(AND(I42&lt;&gt;I41,ISNUMBER(SEARCH(Лист2!$B$5,I:I)),G42=1),MAX($H$3:OFFSET(H42,-1,0))+1,0)</f>
        <v>0</v>
      </c>
      <c r="I42" s="3" t="s">
        <v>46</v>
      </c>
      <c r="J42" s="4" t="str">
        <f t="shared" ca="1" si="1"/>
        <v/>
      </c>
      <c r="K42" s="2">
        <f>IF(ISNUMBER(SEARCH(Лист2!$B$4,F:F)),1,0)</f>
        <v>0</v>
      </c>
      <c r="L42" s="14">
        <f>IF(ISNUMBER(SEARCH(Лист2!$B$5,I:I)),1,0)+K42</f>
        <v>0</v>
      </c>
      <c r="M42" s="3">
        <f ca="1">IF(AND(N42&lt;&gt;N41,ISNUMBER(SEARCH(Лист2!$B$6,N:N)),L42=2),MAX($M$3:OFFSET(M42,-1,0))+1,0)</f>
        <v>0</v>
      </c>
      <c r="N42" s="3" t="s">
        <v>501</v>
      </c>
      <c r="O42" s="17" t="str">
        <f t="shared" ca="1" si="3"/>
        <v/>
      </c>
    </row>
    <row r="43" spans="1:15" x14ac:dyDescent="0.25">
      <c r="A43" s="1" t="s">
        <v>9842</v>
      </c>
      <c r="B43" s="3" t="s">
        <v>3667</v>
      </c>
      <c r="C43" s="2">
        <f ca="1">IF(ISNUMBER(SEARCH(Лист2!$B$4,D:D)),MAX($C$3:OFFSET(C43,-1,0))+1,0)</f>
        <v>0</v>
      </c>
      <c r="D43" s="3" t="s">
        <v>20</v>
      </c>
      <c r="E43" s="9" t="str">
        <f t="shared" ca="1" si="2"/>
        <v/>
      </c>
      <c r="F43" s="4" t="s">
        <v>2</v>
      </c>
      <c r="G43" s="2">
        <f>IF(ISNUMBER(SEARCH(Лист2!$B$4,F:F)),1,0)</f>
        <v>0</v>
      </c>
      <c r="H43" s="3">
        <f ca="1">IF(AND(I43&lt;&gt;I42,ISNUMBER(SEARCH(Лист2!$B$5,I:I)),G43=1),MAX($H$3:OFFSET(H43,-1,0))+1,0)</f>
        <v>0</v>
      </c>
      <c r="I43" s="3" t="s">
        <v>46</v>
      </c>
      <c r="J43" s="4" t="str">
        <f t="shared" ca="1" si="1"/>
        <v/>
      </c>
      <c r="K43" s="2">
        <f>IF(ISNUMBER(SEARCH(Лист2!$B$4,F:F)),1,0)</f>
        <v>0</v>
      </c>
      <c r="L43" s="14">
        <f>IF(ISNUMBER(SEARCH(Лист2!$B$5,I:I)),1,0)+K43</f>
        <v>0</v>
      </c>
      <c r="M43" s="3">
        <f ca="1">IF(AND(N43&lt;&gt;N42,ISNUMBER(SEARCH(Лист2!$B$6,N:N)),L43=2),MAX($M$3:OFFSET(M43,-1,0))+1,0)</f>
        <v>0</v>
      </c>
      <c r="N43" s="3" t="s">
        <v>502</v>
      </c>
      <c r="O43" s="17" t="str">
        <f t="shared" ca="1" si="3"/>
        <v/>
      </c>
    </row>
    <row r="44" spans="1:15" x14ac:dyDescent="0.25">
      <c r="A44" s="1" t="s">
        <v>9843</v>
      </c>
      <c r="B44" s="3" t="s">
        <v>3668</v>
      </c>
      <c r="C44" s="2">
        <f ca="1">IF(ISNUMBER(SEARCH(Лист2!$B$4,D:D)),MAX($C$3:OFFSET(C44,-1,0))+1,0)</f>
        <v>0</v>
      </c>
      <c r="D44" s="3" t="s">
        <v>21</v>
      </c>
      <c r="E44" s="9" t="str">
        <f t="shared" ca="1" si="2"/>
        <v/>
      </c>
      <c r="F44" s="4" t="s">
        <v>2</v>
      </c>
      <c r="G44" s="2">
        <f>IF(ISNUMBER(SEARCH(Лист2!$B$4,F:F)),1,0)</f>
        <v>0</v>
      </c>
      <c r="H44" s="3">
        <f ca="1">IF(AND(I44&lt;&gt;I43,ISNUMBER(SEARCH(Лист2!$B$5,I:I)),G44=1),MAX($H$3:OFFSET(H44,-1,0))+1,0)</f>
        <v>0</v>
      </c>
      <c r="I44" s="3" t="s">
        <v>46</v>
      </c>
      <c r="J44" s="4" t="str">
        <f t="shared" ca="1" si="1"/>
        <v/>
      </c>
      <c r="K44" s="2">
        <f>IF(ISNUMBER(SEARCH(Лист2!$B$4,F:F)),1,0)</f>
        <v>0</v>
      </c>
      <c r="L44" s="14">
        <f>IF(ISNUMBER(SEARCH(Лист2!$B$5,I:I)),1,0)+K44</f>
        <v>0</v>
      </c>
      <c r="M44" s="3">
        <f ca="1">IF(AND(N44&lt;&gt;N43,ISNUMBER(SEARCH(Лист2!$B$6,N:N)),L44=2),MAX($M$3:OFFSET(M44,-1,0))+1,0)</f>
        <v>0</v>
      </c>
      <c r="N44" s="3" t="s">
        <v>503</v>
      </c>
      <c r="O44" s="17" t="str">
        <f t="shared" ca="1" si="3"/>
        <v/>
      </c>
    </row>
    <row r="45" spans="1:15" x14ac:dyDescent="0.25">
      <c r="A45" s="1" t="s">
        <v>9844</v>
      </c>
      <c r="B45" s="3" t="s">
        <v>3669</v>
      </c>
      <c r="C45" s="2">
        <f ca="1">IF(ISNUMBER(SEARCH(Лист2!$B$4,D:D)),MAX($C$3:OFFSET(C45,-1,0))+1,0)</f>
        <v>0</v>
      </c>
      <c r="D45" s="3" t="s">
        <v>22</v>
      </c>
      <c r="E45" s="9" t="str">
        <f t="shared" ca="1" si="2"/>
        <v/>
      </c>
      <c r="F45" s="4" t="s">
        <v>2</v>
      </c>
      <c r="G45" s="2">
        <f>IF(ISNUMBER(SEARCH(Лист2!$B$4,F:F)),1,0)</f>
        <v>0</v>
      </c>
      <c r="H45" s="3">
        <f ca="1">IF(AND(I45&lt;&gt;I44,ISNUMBER(SEARCH(Лист2!$B$5,I:I)),G45=1),MAX($H$3:OFFSET(H45,-1,0))+1,0)</f>
        <v>0</v>
      </c>
      <c r="I45" s="3" t="s">
        <v>46</v>
      </c>
      <c r="J45" s="4" t="str">
        <f t="shared" ca="1" si="1"/>
        <v/>
      </c>
      <c r="K45" s="2">
        <f>IF(ISNUMBER(SEARCH(Лист2!$B$4,F:F)),1,0)</f>
        <v>0</v>
      </c>
      <c r="L45" s="14">
        <f>IF(ISNUMBER(SEARCH(Лист2!$B$5,I:I)),1,0)+K45</f>
        <v>0</v>
      </c>
      <c r="M45" s="3">
        <f ca="1">IF(AND(N45&lt;&gt;N44,ISNUMBER(SEARCH(Лист2!$B$6,N:N)),L45=2),MAX($M$3:OFFSET(M45,-1,0))+1,0)</f>
        <v>0</v>
      </c>
      <c r="N45" s="3" t="s">
        <v>504</v>
      </c>
      <c r="O45" s="17" t="str">
        <f t="shared" ca="1" si="3"/>
        <v/>
      </c>
    </row>
    <row r="46" spans="1:15" x14ac:dyDescent="0.25">
      <c r="A46" s="1" t="s">
        <v>9845</v>
      </c>
      <c r="B46" s="3" t="s">
        <v>3670</v>
      </c>
      <c r="C46" s="2">
        <f ca="1">IF(ISNUMBER(SEARCH(Лист2!$B$4,D:D)),MAX($C$3:OFFSET(C46,-1,0))+1,0)</f>
        <v>0</v>
      </c>
      <c r="D46" s="3" t="s">
        <v>23</v>
      </c>
      <c r="E46" s="9" t="str">
        <f t="shared" ca="1" si="2"/>
        <v/>
      </c>
      <c r="F46" s="4" t="s">
        <v>2</v>
      </c>
      <c r="G46" s="2">
        <f>IF(ISNUMBER(SEARCH(Лист2!$B$4,F:F)),1,0)</f>
        <v>0</v>
      </c>
      <c r="H46" s="3">
        <f ca="1">IF(AND(I46&lt;&gt;I45,ISNUMBER(SEARCH(Лист2!$B$5,I:I)),G46=1),MAX($H$3:OFFSET(H46,-1,0))+1,0)</f>
        <v>0</v>
      </c>
      <c r="I46" s="3" t="s">
        <v>46</v>
      </c>
      <c r="J46" s="4" t="str">
        <f t="shared" ca="1" si="1"/>
        <v/>
      </c>
      <c r="K46" s="2">
        <f>IF(ISNUMBER(SEARCH(Лист2!$B$4,F:F)),1,0)</f>
        <v>0</v>
      </c>
      <c r="L46" s="14">
        <f>IF(ISNUMBER(SEARCH(Лист2!$B$5,I:I)),1,0)+K46</f>
        <v>0</v>
      </c>
      <c r="M46" s="3">
        <f ca="1">IF(AND(N46&lt;&gt;N45,ISNUMBER(SEARCH(Лист2!$B$6,N:N)),L46=2),MAX($M$3:OFFSET(M46,-1,0))+1,0)</f>
        <v>0</v>
      </c>
      <c r="N46" s="3" t="s">
        <v>505</v>
      </c>
      <c r="O46" s="17" t="str">
        <f t="shared" ca="1" si="3"/>
        <v/>
      </c>
    </row>
    <row r="47" spans="1:15" x14ac:dyDescent="0.25">
      <c r="A47" s="1" t="s">
        <v>9845</v>
      </c>
      <c r="B47" s="3" t="s">
        <v>3671</v>
      </c>
      <c r="C47" s="2">
        <f ca="1">IF(ISNUMBER(SEARCH(Лист2!$B$4,D:D)),MAX($C$3:OFFSET(C47,-1,0))+1,0)</f>
        <v>0</v>
      </c>
      <c r="D47" s="3" t="s">
        <v>24</v>
      </c>
      <c r="E47" s="9" t="str">
        <f t="shared" ca="1" si="2"/>
        <v/>
      </c>
      <c r="F47" s="4" t="s">
        <v>2</v>
      </c>
      <c r="G47" s="2">
        <f>IF(ISNUMBER(SEARCH(Лист2!$B$4,F:F)),1,0)</f>
        <v>0</v>
      </c>
      <c r="H47" s="3">
        <f ca="1">IF(AND(I47&lt;&gt;I46,ISNUMBER(SEARCH(Лист2!$B$5,I:I)),G47=1),MAX($H$3:OFFSET(H47,-1,0))+1,0)</f>
        <v>0</v>
      </c>
      <c r="I47" s="3" t="s">
        <v>46</v>
      </c>
      <c r="J47" s="4" t="str">
        <f t="shared" ca="1" si="1"/>
        <v/>
      </c>
      <c r="K47" s="2">
        <f>IF(ISNUMBER(SEARCH(Лист2!$B$4,F:F)),1,0)</f>
        <v>0</v>
      </c>
      <c r="L47" s="14">
        <f>IF(ISNUMBER(SEARCH(Лист2!$B$5,I:I)),1,0)+K47</f>
        <v>0</v>
      </c>
      <c r="M47" s="3">
        <f ca="1">IF(AND(N47&lt;&gt;N46,ISNUMBER(SEARCH(Лист2!$B$6,N:N)),L47=2),MAX($M$3:OFFSET(M47,-1,0))+1,0)</f>
        <v>0</v>
      </c>
      <c r="N47" s="3" t="s">
        <v>505</v>
      </c>
      <c r="O47" s="17" t="str">
        <f t="shared" ref="O47:O60" ca="1" si="4">IFERROR(INDEX(N:N,MATCH(ROW(O47)-ROW($E$3),M:M,0)),"")</f>
        <v/>
      </c>
    </row>
    <row r="48" spans="1:15" x14ac:dyDescent="0.25">
      <c r="A48" s="1" t="s">
        <v>9845</v>
      </c>
      <c r="B48" s="3" t="s">
        <v>3672</v>
      </c>
      <c r="C48" s="2">
        <f ca="1">IF(ISNUMBER(SEARCH(Лист2!$B$4,D:D)),MAX($C$3:OFFSET(C48,-1,0))+1,0)</f>
        <v>0</v>
      </c>
      <c r="D48" s="3" t="s">
        <v>459</v>
      </c>
      <c r="E48" s="9" t="str">
        <f t="shared" ca="1" si="2"/>
        <v/>
      </c>
      <c r="F48" s="4" t="s">
        <v>2</v>
      </c>
      <c r="G48" s="2">
        <f>IF(ISNUMBER(SEARCH(Лист2!$B$4,F:F)),1,0)</f>
        <v>0</v>
      </c>
      <c r="H48" s="3">
        <f ca="1">IF(AND(I48&lt;&gt;I47,ISNUMBER(SEARCH(Лист2!$B$5,I:I)),G48=1),MAX($H$3:OFFSET(H48,-1,0))+1,0)</f>
        <v>0</v>
      </c>
      <c r="I48" s="3" t="s">
        <v>46</v>
      </c>
      <c r="J48" s="4" t="str">
        <f t="shared" ca="1" si="1"/>
        <v/>
      </c>
      <c r="K48" s="2">
        <f>IF(ISNUMBER(SEARCH(Лист2!$B$4,F:F)),1,0)</f>
        <v>0</v>
      </c>
      <c r="L48" s="14">
        <f>IF(ISNUMBER(SEARCH(Лист2!$B$5,I:I)),1,0)+K48</f>
        <v>0</v>
      </c>
      <c r="M48" s="3">
        <f ca="1">IF(AND(N48&lt;&gt;N47,ISNUMBER(SEARCH(Лист2!$B$6,N:N)),L48=2),MAX($M$3:OFFSET(M48,-1,0))+1,0)</f>
        <v>0</v>
      </c>
      <c r="N48" s="3" t="s">
        <v>505</v>
      </c>
      <c r="O48" s="17" t="str">
        <f t="shared" ca="1" si="4"/>
        <v/>
      </c>
    </row>
    <row r="49" spans="1:15" x14ac:dyDescent="0.25">
      <c r="A49" s="1" t="s">
        <v>9846</v>
      </c>
      <c r="B49" s="3" t="s">
        <v>3673</v>
      </c>
      <c r="C49" s="2">
        <f ca="1">IF(ISNUMBER(SEARCH(Лист2!$B$4,D:D)),MAX($C$3:OFFSET(C49,-1,0))+1,0)</f>
        <v>0</v>
      </c>
      <c r="D49" s="3" t="s">
        <v>45</v>
      </c>
      <c r="E49" s="9" t="str">
        <f t="shared" ca="1" si="2"/>
        <v/>
      </c>
      <c r="F49" s="4" t="s">
        <v>2</v>
      </c>
      <c r="G49" s="2">
        <f>IF(ISNUMBER(SEARCH(Лист2!$B$4,F:F)),1,0)</f>
        <v>0</v>
      </c>
      <c r="H49" s="3">
        <f ca="1">IF(AND(I49&lt;&gt;I48,ISNUMBER(SEARCH(Лист2!$B$5,I:I)),G49=1),MAX($H$3:OFFSET(H49,-1,0))+1,0)</f>
        <v>0</v>
      </c>
      <c r="I49" s="3" t="s">
        <v>46</v>
      </c>
      <c r="J49" s="4" t="str">
        <f t="shared" ca="1" si="1"/>
        <v/>
      </c>
      <c r="K49" s="2">
        <f>IF(ISNUMBER(SEARCH(Лист2!$B$4,F:F)),1,0)</f>
        <v>0</v>
      </c>
      <c r="L49" s="14">
        <f>IF(ISNUMBER(SEARCH(Лист2!$B$5,I:I)),1,0)+K49</f>
        <v>0</v>
      </c>
      <c r="M49" s="3">
        <f ca="1">IF(AND(N49&lt;&gt;N48,ISNUMBER(SEARCH(Лист2!$B$6,N:N)),L49=2),MAX($M$3:OFFSET(M49,-1,0))+1,0)</f>
        <v>0</v>
      </c>
      <c r="N49" s="3" t="s">
        <v>506</v>
      </c>
      <c r="O49" s="17" t="str">
        <f t="shared" ca="1" si="4"/>
        <v/>
      </c>
    </row>
    <row r="50" spans="1:15" x14ac:dyDescent="0.25">
      <c r="A50" s="1" t="s">
        <v>9846</v>
      </c>
      <c r="B50" s="3" t="s">
        <v>3674</v>
      </c>
      <c r="C50" s="2">
        <f ca="1">IF(ISNUMBER(SEARCH(Лист2!$B$4,D:D)),MAX($C$3:OFFSET(C50,-1,0))+1,0)</f>
        <v>0</v>
      </c>
      <c r="D50" s="3" t="s">
        <v>41</v>
      </c>
      <c r="E50" s="9" t="str">
        <f t="shared" ca="1" si="2"/>
        <v/>
      </c>
      <c r="F50" s="4" t="s">
        <v>2</v>
      </c>
      <c r="G50" s="2">
        <f>IF(ISNUMBER(SEARCH(Лист2!$B$4,F:F)),1,0)</f>
        <v>0</v>
      </c>
      <c r="H50" s="3">
        <f ca="1">IF(AND(I50&lt;&gt;I49,ISNUMBER(SEARCH(Лист2!$B$5,I:I)),G50=1),MAX($H$3:OFFSET(H50,-1,0))+1,0)</f>
        <v>0</v>
      </c>
      <c r="I50" s="3" t="s">
        <v>46</v>
      </c>
      <c r="J50" s="4" t="str">
        <f t="shared" ca="1" si="1"/>
        <v/>
      </c>
      <c r="K50" s="2">
        <f>IF(ISNUMBER(SEARCH(Лист2!$B$4,F:F)),1,0)</f>
        <v>0</v>
      </c>
      <c r="L50" s="14">
        <f>IF(ISNUMBER(SEARCH(Лист2!$B$5,I:I)),1,0)+K50</f>
        <v>0</v>
      </c>
      <c r="M50" s="3">
        <f ca="1">IF(AND(N50&lt;&gt;N49,ISNUMBER(SEARCH(Лист2!$B$6,N:N)),L50=2),MAX($M$3:OFFSET(M50,-1,0))+1,0)</f>
        <v>0</v>
      </c>
      <c r="N50" s="3" t="s">
        <v>506</v>
      </c>
      <c r="O50" s="17" t="str">
        <f t="shared" ca="1" si="4"/>
        <v/>
      </c>
    </row>
    <row r="51" spans="1:15" x14ac:dyDescent="0.25">
      <c r="A51" s="1" t="s">
        <v>9846</v>
      </c>
      <c r="B51" s="3" t="s">
        <v>3675</v>
      </c>
      <c r="C51" s="2">
        <f ca="1">IF(ISNUMBER(SEARCH(Лист2!$B$4,D:D)),MAX($C$3:OFFSET(C51,-1,0))+1,0)</f>
        <v>0</v>
      </c>
      <c r="E51" s="9" t="str">
        <f t="shared" ca="1" si="2"/>
        <v/>
      </c>
      <c r="F51" s="4" t="s">
        <v>2</v>
      </c>
      <c r="G51" s="2">
        <f>IF(ISNUMBER(SEARCH(Лист2!$B$4,F:F)),1,0)</f>
        <v>0</v>
      </c>
      <c r="H51" s="3">
        <f ca="1">IF(AND(I51&lt;&gt;I50,ISNUMBER(SEARCH(Лист2!$B$5,I:I)),G51=1),MAX($H$3:OFFSET(H51,-1,0))+1,0)</f>
        <v>0</v>
      </c>
      <c r="I51" s="3" t="s">
        <v>46</v>
      </c>
      <c r="J51" s="4" t="str">
        <f t="shared" ca="1" si="1"/>
        <v/>
      </c>
      <c r="K51" s="2">
        <f>IF(ISNUMBER(SEARCH(Лист2!$B$4,F:F)),1,0)</f>
        <v>0</v>
      </c>
      <c r="L51" s="14">
        <f>IF(ISNUMBER(SEARCH(Лист2!$B$5,I:I)),1,0)+K51</f>
        <v>0</v>
      </c>
      <c r="M51" s="3">
        <f ca="1">IF(AND(N51&lt;&gt;N50,ISNUMBER(SEARCH(Лист2!$B$6,N:N)),L51=2),MAX($M$3:OFFSET(M51,-1,0))+1,0)</f>
        <v>0</v>
      </c>
      <c r="N51" s="3" t="s">
        <v>506</v>
      </c>
      <c r="O51" s="17" t="str">
        <f t="shared" ca="1" si="4"/>
        <v/>
      </c>
    </row>
    <row r="52" spans="1:15" x14ac:dyDescent="0.25">
      <c r="A52" s="1" t="s">
        <v>9847</v>
      </c>
      <c r="B52" s="3" t="s">
        <v>3676</v>
      </c>
      <c r="C52" s="2">
        <f ca="1">IF(ISNUMBER(SEARCH(Лист2!$B$4,D:D)),MAX($C$3:OFFSET(C52,-1,0))+1,0)</f>
        <v>0</v>
      </c>
      <c r="E52" s="9" t="str">
        <f t="shared" ca="1" si="2"/>
        <v/>
      </c>
      <c r="F52" s="4" t="s">
        <v>2</v>
      </c>
      <c r="G52" s="2">
        <f>IF(ISNUMBER(SEARCH(Лист2!$B$4,F:F)),1,0)</f>
        <v>0</v>
      </c>
      <c r="H52" s="3">
        <f ca="1">IF(AND(I52&lt;&gt;I51,ISNUMBER(SEARCH(Лист2!$B$5,I:I)),G52=1),MAX($H$3:OFFSET(H52,-1,0))+1,0)</f>
        <v>0</v>
      </c>
      <c r="I52" s="3" t="s">
        <v>46</v>
      </c>
      <c r="J52" s="4" t="str">
        <f t="shared" ca="1" si="1"/>
        <v/>
      </c>
      <c r="K52" s="2">
        <f>IF(ISNUMBER(SEARCH(Лист2!$B$4,F:F)),1,0)</f>
        <v>0</v>
      </c>
      <c r="L52" s="14">
        <f>IF(ISNUMBER(SEARCH(Лист2!$B$5,I:I)),1,0)+K52</f>
        <v>0</v>
      </c>
      <c r="M52" s="3">
        <f ca="1">IF(AND(N52&lt;&gt;N51,ISNUMBER(SEARCH(Лист2!$B$6,N:N)),L52=2),MAX($M$3:OFFSET(M52,-1,0))+1,0)</f>
        <v>0</v>
      </c>
      <c r="N52" s="3" t="s">
        <v>507</v>
      </c>
      <c r="O52" s="17" t="str">
        <f t="shared" ca="1" si="4"/>
        <v/>
      </c>
    </row>
    <row r="53" spans="1:15" x14ac:dyDescent="0.25">
      <c r="A53" s="1" t="s">
        <v>9847</v>
      </c>
      <c r="B53" s="3" t="s">
        <v>3677</v>
      </c>
      <c r="C53" s="2">
        <f ca="1">IF(ISNUMBER(SEARCH(Лист2!$B$4,D:D)),MAX($C$3:OFFSET(C53,-1,0))+1,0)</f>
        <v>0</v>
      </c>
      <c r="E53" s="9" t="str">
        <f t="shared" ca="1" si="2"/>
        <v/>
      </c>
      <c r="F53" s="4" t="s">
        <v>2</v>
      </c>
      <c r="G53" s="2">
        <f>IF(ISNUMBER(SEARCH(Лист2!$B$4,F:F)),1,0)</f>
        <v>0</v>
      </c>
      <c r="H53" s="3">
        <f ca="1">IF(AND(I53&lt;&gt;I52,ISNUMBER(SEARCH(Лист2!$B$5,I:I)),G53=1),MAX($H$3:OFFSET(H53,-1,0))+1,0)</f>
        <v>0</v>
      </c>
      <c r="I53" s="3" t="s">
        <v>46</v>
      </c>
      <c r="J53" s="4" t="str">
        <f t="shared" ca="1" si="1"/>
        <v/>
      </c>
      <c r="K53" s="2">
        <f>IF(ISNUMBER(SEARCH(Лист2!$B$4,F:F)),1,0)</f>
        <v>0</v>
      </c>
      <c r="L53" s="14">
        <f>IF(ISNUMBER(SEARCH(Лист2!$B$5,I:I)),1,0)+K53</f>
        <v>0</v>
      </c>
      <c r="M53" s="3">
        <f ca="1">IF(AND(N53&lt;&gt;N52,ISNUMBER(SEARCH(Лист2!$B$6,N:N)),L53=2),MAX($M$3:OFFSET(M53,-1,0))+1,0)</f>
        <v>0</v>
      </c>
      <c r="N53" s="3" t="s">
        <v>507</v>
      </c>
      <c r="O53" s="17" t="str">
        <f t="shared" ca="1" si="4"/>
        <v/>
      </c>
    </row>
    <row r="54" spans="1:15" x14ac:dyDescent="0.25">
      <c r="A54" s="1" t="s">
        <v>9847</v>
      </c>
      <c r="B54" s="3" t="s">
        <v>3678</v>
      </c>
      <c r="C54" s="2">
        <f ca="1">IF(ISNUMBER(SEARCH(Лист2!$B$4,D:D)),MAX($C$3:OFFSET(C54,-1,0))+1,0)</f>
        <v>0</v>
      </c>
      <c r="E54" s="9" t="str">
        <f t="shared" ca="1" si="2"/>
        <v/>
      </c>
      <c r="F54" s="4" t="s">
        <v>2</v>
      </c>
      <c r="G54" s="2">
        <f>IF(ISNUMBER(SEARCH(Лист2!$B$4,F:F)),1,0)</f>
        <v>0</v>
      </c>
      <c r="H54" s="3">
        <f ca="1">IF(AND(I54&lt;&gt;I53,ISNUMBER(SEARCH(Лист2!$B$5,I:I)),G54=1),MAX($H$3:OFFSET(H54,-1,0))+1,0)</f>
        <v>0</v>
      </c>
      <c r="I54" s="3" t="s">
        <v>46</v>
      </c>
      <c r="J54" s="4" t="str">
        <f t="shared" ca="1" si="1"/>
        <v/>
      </c>
      <c r="K54" s="2">
        <f>IF(ISNUMBER(SEARCH(Лист2!$B$4,F:F)),1,0)</f>
        <v>0</v>
      </c>
      <c r="L54" s="14">
        <f>IF(ISNUMBER(SEARCH(Лист2!$B$5,I:I)),1,0)+K54</f>
        <v>0</v>
      </c>
      <c r="M54" s="3">
        <f ca="1">IF(AND(N54&lt;&gt;N53,ISNUMBER(SEARCH(Лист2!$B$6,N:N)),L54=2),MAX($M$3:OFFSET(M54,-1,0))+1,0)</f>
        <v>0</v>
      </c>
      <c r="N54" s="3" t="s">
        <v>507</v>
      </c>
      <c r="O54" s="17" t="str">
        <f t="shared" ca="1" si="4"/>
        <v/>
      </c>
    </row>
    <row r="55" spans="1:15" x14ac:dyDescent="0.25">
      <c r="A55" s="1" t="s">
        <v>9848</v>
      </c>
      <c r="B55" s="3" t="s">
        <v>3679</v>
      </c>
      <c r="C55" s="2">
        <f ca="1">IF(ISNUMBER(SEARCH(Лист2!$B$4,D:D)),MAX($C$3:OFFSET(C55,-1,0))+1,0)</f>
        <v>0</v>
      </c>
      <c r="E55" s="9" t="str">
        <f t="shared" ca="1" si="2"/>
        <v/>
      </c>
      <c r="F55" s="4" t="s">
        <v>2</v>
      </c>
      <c r="G55" s="2">
        <f>IF(ISNUMBER(SEARCH(Лист2!$B$4,F:F)),1,0)</f>
        <v>0</v>
      </c>
      <c r="H55" s="3">
        <f ca="1">IF(AND(I55&lt;&gt;I54,ISNUMBER(SEARCH(Лист2!$B$5,I:I)),G55=1),MAX($H$3:OFFSET(H55,-1,0))+1,0)</f>
        <v>0</v>
      </c>
      <c r="I55" s="3" t="s">
        <v>46</v>
      </c>
      <c r="J55" s="4" t="str">
        <f t="shared" ca="1" si="1"/>
        <v/>
      </c>
      <c r="K55" s="2">
        <f>IF(ISNUMBER(SEARCH(Лист2!$B$4,F:F)),1,0)</f>
        <v>0</v>
      </c>
      <c r="L55" s="14">
        <f>IF(ISNUMBER(SEARCH(Лист2!$B$5,I:I)),1,0)+K55</f>
        <v>0</v>
      </c>
      <c r="M55" s="3">
        <f ca="1">IF(AND(N55&lt;&gt;N54,ISNUMBER(SEARCH(Лист2!$B$6,N:N)),L55=2),MAX($M$3:OFFSET(M55,-1,0))+1,0)</f>
        <v>0</v>
      </c>
      <c r="N55" s="3" t="s">
        <v>508</v>
      </c>
      <c r="O55" s="17" t="str">
        <f t="shared" ca="1" si="4"/>
        <v/>
      </c>
    </row>
    <row r="56" spans="1:15" x14ac:dyDescent="0.25">
      <c r="A56" s="1" t="s">
        <v>9848</v>
      </c>
      <c r="B56" s="3" t="s">
        <v>3680</v>
      </c>
      <c r="C56" s="2">
        <f ca="1">IF(ISNUMBER(SEARCH(Лист2!$B$4,D:D)),MAX($C$3:OFFSET(C56,-1,0))+1,0)</f>
        <v>0</v>
      </c>
      <c r="E56" s="9" t="str">
        <f t="shared" ca="1" si="2"/>
        <v/>
      </c>
      <c r="F56" s="4" t="s">
        <v>2</v>
      </c>
      <c r="G56" s="2">
        <f>IF(ISNUMBER(SEARCH(Лист2!$B$4,F:F)),1,0)</f>
        <v>0</v>
      </c>
      <c r="H56" s="3">
        <f ca="1">IF(AND(I56&lt;&gt;I55,ISNUMBER(SEARCH(Лист2!$B$5,I:I)),G56=1),MAX($H$3:OFFSET(H56,-1,0))+1,0)</f>
        <v>0</v>
      </c>
      <c r="I56" s="3" t="s">
        <v>46</v>
      </c>
      <c r="J56" s="4" t="str">
        <f t="shared" ca="1" si="1"/>
        <v/>
      </c>
      <c r="K56" s="2">
        <f>IF(ISNUMBER(SEARCH(Лист2!$B$4,F:F)),1,0)</f>
        <v>0</v>
      </c>
      <c r="L56" s="14">
        <f>IF(ISNUMBER(SEARCH(Лист2!$B$5,I:I)),1,0)+K56</f>
        <v>0</v>
      </c>
      <c r="M56" s="3">
        <f ca="1">IF(AND(N56&lt;&gt;N55,ISNUMBER(SEARCH(Лист2!$B$6,N:N)),L56=2),MAX($M$3:OFFSET(M56,-1,0))+1,0)</f>
        <v>0</v>
      </c>
      <c r="N56" s="3" t="s">
        <v>508</v>
      </c>
      <c r="O56" s="17" t="str">
        <f t="shared" ca="1" si="4"/>
        <v/>
      </c>
    </row>
    <row r="57" spans="1:15" x14ac:dyDescent="0.25">
      <c r="A57" s="1" t="s">
        <v>9848</v>
      </c>
      <c r="B57" s="3" t="s">
        <v>3681</v>
      </c>
      <c r="C57" s="2">
        <f ca="1">IF(ISNUMBER(SEARCH(Лист2!$B$4,D:D)),MAX($C$3:OFFSET(C57,-1,0))+1,0)</f>
        <v>0</v>
      </c>
      <c r="E57" s="9" t="str">
        <f t="shared" ca="1" si="2"/>
        <v/>
      </c>
      <c r="F57" s="4" t="s">
        <v>2</v>
      </c>
      <c r="G57" s="2">
        <f>IF(ISNUMBER(SEARCH(Лист2!$B$4,F:F)),1,0)</f>
        <v>0</v>
      </c>
      <c r="H57" s="3">
        <f ca="1">IF(AND(I57&lt;&gt;I56,ISNUMBER(SEARCH(Лист2!$B$5,I:I)),G57=1),MAX($H$3:OFFSET(H57,-1,0))+1,0)</f>
        <v>0</v>
      </c>
      <c r="I57" s="3" t="s">
        <v>46</v>
      </c>
      <c r="J57" s="4" t="str">
        <f t="shared" ca="1" si="1"/>
        <v/>
      </c>
      <c r="K57" s="2">
        <f>IF(ISNUMBER(SEARCH(Лист2!$B$4,F:F)),1,0)</f>
        <v>0</v>
      </c>
      <c r="L57" s="14">
        <f>IF(ISNUMBER(SEARCH(Лист2!$B$5,I:I)),1,0)+K57</f>
        <v>0</v>
      </c>
      <c r="M57" s="3">
        <f ca="1">IF(AND(N57&lt;&gt;N56,ISNUMBER(SEARCH(Лист2!$B$6,N:N)),L57=2),MAX($M$3:OFFSET(M57,-1,0))+1,0)</f>
        <v>0</v>
      </c>
      <c r="N57" s="3" t="s">
        <v>508</v>
      </c>
      <c r="O57" s="17" t="str">
        <f t="shared" ca="1" si="4"/>
        <v/>
      </c>
    </row>
    <row r="58" spans="1:15" x14ac:dyDescent="0.25">
      <c r="A58" s="1" t="s">
        <v>9849</v>
      </c>
      <c r="B58" s="3" t="s">
        <v>3682</v>
      </c>
      <c r="C58" s="2">
        <f ca="1">IF(ISNUMBER(SEARCH(Лист2!$B$4,D:D)),MAX($C$3:OFFSET(C58,-1,0))+1,0)</f>
        <v>0</v>
      </c>
      <c r="E58" s="9" t="str">
        <f t="shared" ca="1" si="2"/>
        <v/>
      </c>
      <c r="F58" s="4" t="s">
        <v>2</v>
      </c>
      <c r="G58" s="2">
        <f>IF(ISNUMBER(SEARCH(Лист2!$B$4,F:F)),1,0)</f>
        <v>0</v>
      </c>
      <c r="H58" s="3">
        <f ca="1">IF(AND(I58&lt;&gt;I57,ISNUMBER(SEARCH(Лист2!$B$5,I:I)),G58=1),MAX($H$3:OFFSET(H58,-1,0))+1,0)</f>
        <v>0</v>
      </c>
      <c r="I58" s="3" t="s">
        <v>46</v>
      </c>
      <c r="J58" s="4" t="str">
        <f t="shared" ca="1" si="1"/>
        <v/>
      </c>
      <c r="K58" s="2">
        <f>IF(ISNUMBER(SEARCH(Лист2!$B$4,F:F)),1,0)</f>
        <v>0</v>
      </c>
      <c r="L58" s="14">
        <f>IF(ISNUMBER(SEARCH(Лист2!$B$5,I:I)),1,0)+K58</f>
        <v>0</v>
      </c>
      <c r="M58" s="3">
        <f ca="1">IF(AND(N58&lt;&gt;N57,ISNUMBER(SEARCH(Лист2!$B$6,N:N)),L58=2),MAX($M$3:OFFSET(M58,-1,0))+1,0)</f>
        <v>0</v>
      </c>
      <c r="N58" s="3" t="s">
        <v>509</v>
      </c>
      <c r="O58" s="17" t="str">
        <f t="shared" ca="1" si="4"/>
        <v/>
      </c>
    </row>
    <row r="59" spans="1:15" x14ac:dyDescent="0.25">
      <c r="A59" s="1" t="s">
        <v>9850</v>
      </c>
      <c r="B59" s="3" t="s">
        <v>3683</v>
      </c>
      <c r="C59" s="2">
        <f ca="1">IF(ISNUMBER(SEARCH(Лист2!$B$4,D:D)),MAX($C$3:OFFSET(C59,-1,0))+1,0)</f>
        <v>0</v>
      </c>
      <c r="E59" s="9" t="str">
        <f t="shared" ca="1" si="2"/>
        <v/>
      </c>
      <c r="F59" s="4" t="s">
        <v>2</v>
      </c>
      <c r="G59" s="2">
        <f>IF(ISNUMBER(SEARCH(Лист2!$B$4,F:F)),1,0)</f>
        <v>0</v>
      </c>
      <c r="H59" s="3">
        <f ca="1">IF(AND(I59&lt;&gt;I58,ISNUMBER(SEARCH(Лист2!$B$5,I:I)),G59=1),MAX($H$3:OFFSET(H59,-1,0))+1,0)</f>
        <v>0</v>
      </c>
      <c r="I59" s="3" t="s">
        <v>46</v>
      </c>
      <c r="J59" s="4" t="str">
        <f t="shared" ca="1" si="1"/>
        <v/>
      </c>
      <c r="K59" s="2">
        <f>IF(ISNUMBER(SEARCH(Лист2!$B$4,F:F)),1,0)</f>
        <v>0</v>
      </c>
      <c r="L59" s="14">
        <f>IF(ISNUMBER(SEARCH(Лист2!$B$5,I:I)),1,0)+K59</f>
        <v>0</v>
      </c>
      <c r="M59" s="3">
        <f ca="1">IF(AND(N59&lt;&gt;N58,ISNUMBER(SEARCH(Лист2!$B$6,N:N)),L59=2),MAX($M$3:OFFSET(M59,-1,0))+1,0)</f>
        <v>0</v>
      </c>
      <c r="N59" s="3" t="s">
        <v>510</v>
      </c>
      <c r="O59" s="17" t="str">
        <f t="shared" ca="1" si="4"/>
        <v/>
      </c>
    </row>
    <row r="60" spans="1:15" x14ac:dyDescent="0.25">
      <c r="A60" s="1" t="s">
        <v>9851</v>
      </c>
      <c r="B60" s="3" t="s">
        <v>3684</v>
      </c>
      <c r="C60" s="2">
        <f ca="1">IF(ISNUMBER(SEARCH(Лист2!$B$4,D:D)),MAX($C$3:OFFSET(C60,-1,0))+1,0)</f>
        <v>0</v>
      </c>
      <c r="E60" s="9" t="str">
        <f t="shared" ca="1" si="2"/>
        <v/>
      </c>
      <c r="F60" s="4" t="s">
        <v>2</v>
      </c>
      <c r="G60" s="2">
        <f>IF(ISNUMBER(SEARCH(Лист2!$B$4,F:F)),1,0)</f>
        <v>0</v>
      </c>
      <c r="H60" s="3">
        <f ca="1">IF(AND(I60&lt;&gt;I59,ISNUMBER(SEARCH(Лист2!$B$5,I:I)),G60=1),MAX($H$3:OFFSET(H60,-1,0))+1,0)</f>
        <v>0</v>
      </c>
      <c r="I60" s="3" t="s">
        <v>46</v>
      </c>
      <c r="J60" s="4" t="str">
        <f t="shared" ca="1" si="1"/>
        <v/>
      </c>
      <c r="K60" s="2">
        <f>IF(ISNUMBER(SEARCH(Лист2!$B$4,F:F)),1,0)</f>
        <v>0</v>
      </c>
      <c r="L60" s="14">
        <f>IF(ISNUMBER(SEARCH(Лист2!$B$5,I:I)),1,0)+K60</f>
        <v>0</v>
      </c>
      <c r="M60" s="3">
        <f ca="1">IF(AND(N60&lt;&gt;N59,ISNUMBER(SEARCH(Лист2!$B$6,N:N)),L60=2),MAX($M$3:OFFSET(M60,-1,0))+1,0)</f>
        <v>0</v>
      </c>
      <c r="N60" s="3" t="s">
        <v>511</v>
      </c>
      <c r="O60" s="17" t="str">
        <f t="shared" ca="1" si="4"/>
        <v/>
      </c>
    </row>
    <row r="61" spans="1:15" x14ac:dyDescent="0.25">
      <c r="A61" s="1" t="s">
        <v>9852</v>
      </c>
      <c r="B61" s="3" t="s">
        <v>3685</v>
      </c>
      <c r="C61" s="2">
        <f ca="1">IF(ISNUMBER(SEARCH(Лист2!$B$4,D:D)),MAX($C$3:OFFSET(C61,-1,0))+1,0)</f>
        <v>0</v>
      </c>
      <c r="E61" s="9" t="str">
        <f t="shared" ca="1" si="2"/>
        <v/>
      </c>
      <c r="F61" s="4" t="s">
        <v>2</v>
      </c>
      <c r="G61" s="2">
        <f>IF(ISNUMBER(SEARCH(Лист2!$B$4,F:F)),1,0)</f>
        <v>0</v>
      </c>
      <c r="H61" s="3">
        <f ca="1">IF(AND(I61&lt;&gt;I60,ISNUMBER(SEARCH(Лист2!$B$5,I:I)),G61=1),MAX($H$3:OFFSET(H61,-1,0))+1,0)</f>
        <v>0</v>
      </c>
      <c r="I61" s="3" t="s">
        <v>46</v>
      </c>
      <c r="J61" s="4" t="str">
        <f t="shared" ca="1" si="1"/>
        <v/>
      </c>
      <c r="K61" s="2">
        <f>IF(ISNUMBER(SEARCH(Лист2!$B$4,F:F)),1,0)</f>
        <v>0</v>
      </c>
      <c r="L61" s="14">
        <f>IF(ISNUMBER(SEARCH(Лист2!$B$5,I:I)),1,0)+K61</f>
        <v>0</v>
      </c>
      <c r="M61" s="3">
        <f ca="1">IF(AND(N61&lt;&gt;N60,ISNUMBER(SEARCH(Лист2!$B$6,N:N)),L61=2),MAX($M$3:OFFSET(M61,-1,0))+1,0)</f>
        <v>0</v>
      </c>
      <c r="N61" s="3" t="s">
        <v>512</v>
      </c>
    </row>
    <row r="62" spans="1:15" x14ac:dyDescent="0.25">
      <c r="A62" s="1" t="s">
        <v>9853</v>
      </c>
      <c r="B62" s="3" t="s">
        <v>3686</v>
      </c>
      <c r="C62" s="2">
        <f ca="1">IF(ISNUMBER(SEARCH(Лист2!$B$4,D:D)),MAX($C$3:OFFSET(C62,-1,0))+1,0)</f>
        <v>0</v>
      </c>
      <c r="E62" s="9" t="str">
        <f t="shared" ca="1" si="2"/>
        <v/>
      </c>
      <c r="F62" s="4" t="s">
        <v>2</v>
      </c>
      <c r="G62" s="2">
        <f>IF(ISNUMBER(SEARCH(Лист2!$B$4,F:F)),1,0)</f>
        <v>0</v>
      </c>
      <c r="H62" s="3">
        <f ca="1">IF(AND(I62&lt;&gt;I61,ISNUMBER(SEARCH(Лист2!$B$5,I:I)),G62=1),MAX($H$3:OFFSET(H62,-1,0))+1,0)</f>
        <v>0</v>
      </c>
      <c r="I62" s="3" t="s">
        <v>46</v>
      </c>
      <c r="J62" s="4" t="str">
        <f t="shared" ca="1" si="1"/>
        <v/>
      </c>
      <c r="K62" s="2">
        <f>IF(ISNUMBER(SEARCH(Лист2!$B$4,F:F)),1,0)</f>
        <v>0</v>
      </c>
      <c r="L62" s="14">
        <f>IF(ISNUMBER(SEARCH(Лист2!$B$5,I:I)),1,0)+K62</f>
        <v>0</v>
      </c>
      <c r="M62" s="3">
        <f ca="1">IF(AND(N62&lt;&gt;N61,ISNUMBER(SEARCH(Лист2!$B$6,N:N)),L62=2),MAX($M$3:OFFSET(M62,-1,0))+1,0)</f>
        <v>0</v>
      </c>
      <c r="N62" s="3" t="s">
        <v>513</v>
      </c>
    </row>
    <row r="63" spans="1:15" x14ac:dyDescent="0.25">
      <c r="A63" s="1" t="s">
        <v>9854</v>
      </c>
      <c r="B63" s="3" t="s">
        <v>3687</v>
      </c>
      <c r="C63" s="2">
        <f ca="1">IF(ISNUMBER(SEARCH(Лист2!$B$4,D:D)),MAX($C$3:OFFSET(C63,-1,0))+1,0)</f>
        <v>0</v>
      </c>
      <c r="E63" s="9" t="str">
        <f t="shared" ca="1" si="2"/>
        <v/>
      </c>
      <c r="F63" s="4" t="s">
        <v>2</v>
      </c>
      <c r="G63" s="2">
        <f>IF(ISNUMBER(SEARCH(Лист2!$B$4,F:F)),1,0)</f>
        <v>0</v>
      </c>
      <c r="H63" s="3">
        <f ca="1">IF(AND(I63&lt;&gt;I62,ISNUMBER(SEARCH(Лист2!$B$5,I:I)),G63=1),MAX($H$3:OFFSET(H63,-1,0))+1,0)</f>
        <v>0</v>
      </c>
      <c r="I63" s="3" t="s">
        <v>46</v>
      </c>
      <c r="J63" s="4" t="str">
        <f t="shared" ca="1" si="1"/>
        <v/>
      </c>
      <c r="K63" s="2">
        <f>IF(ISNUMBER(SEARCH(Лист2!$B$4,F:F)),1,0)</f>
        <v>0</v>
      </c>
      <c r="L63" s="14">
        <f>IF(ISNUMBER(SEARCH(Лист2!$B$5,I:I)),1,0)+K63</f>
        <v>0</v>
      </c>
      <c r="M63" s="3">
        <f ca="1">IF(AND(N63&lt;&gt;N62,ISNUMBER(SEARCH(Лист2!$B$6,N:N)),L63=2),MAX($M$3:OFFSET(M63,-1,0))+1,0)</f>
        <v>0</v>
      </c>
      <c r="N63" s="3" t="s">
        <v>516</v>
      </c>
    </row>
    <row r="64" spans="1:15" x14ac:dyDescent="0.25">
      <c r="A64" s="1" t="s">
        <v>9855</v>
      </c>
      <c r="B64" s="3" t="s">
        <v>3688</v>
      </c>
      <c r="C64" s="2">
        <f ca="1">IF(ISNUMBER(SEARCH(Лист2!$B$4,D:D)),MAX($C$3:OFFSET(C64,-1,0))+1,0)</f>
        <v>0</v>
      </c>
      <c r="E64" s="9" t="str">
        <f t="shared" ca="1" si="2"/>
        <v/>
      </c>
      <c r="F64" s="4" t="s">
        <v>3</v>
      </c>
      <c r="G64" s="2">
        <f>IF(ISNUMBER(SEARCH(Лист2!$B$4,F:F)),1,0)</f>
        <v>0</v>
      </c>
      <c r="H64" s="3">
        <f ca="1">IF(AND(I64&lt;&gt;I63,ISNUMBER(SEARCH(Лист2!$B$5,I:I)),G64=1),MAX($H$3:OFFSET(H64,-1,0))+1,0)</f>
        <v>0</v>
      </c>
      <c r="I64" s="3" t="s">
        <v>48</v>
      </c>
      <c r="J64" s="4" t="str">
        <f t="shared" ca="1" si="1"/>
        <v/>
      </c>
      <c r="K64" s="2">
        <f>IF(ISNUMBER(SEARCH(Лист2!$B$4,F:F)),1,0)</f>
        <v>0</v>
      </c>
      <c r="L64" s="14">
        <f>IF(ISNUMBER(SEARCH(Лист2!$B$5,I:I)),1,0)+K64</f>
        <v>0</v>
      </c>
      <c r="M64" s="3">
        <f ca="1">IF(AND(N64&lt;&gt;N63,ISNUMBER(SEARCH(Лист2!$B$6,N:N)),L64=2),MAX($M$3:OFFSET(M64,-1,0))+1,0)</f>
        <v>0</v>
      </c>
      <c r="N64" s="3" t="s">
        <v>517</v>
      </c>
    </row>
    <row r="65" spans="1:14" x14ac:dyDescent="0.25">
      <c r="A65" s="1" t="s">
        <v>9856</v>
      </c>
      <c r="B65" s="3" t="s">
        <v>3689</v>
      </c>
      <c r="C65" s="2">
        <f ca="1">IF(ISNUMBER(SEARCH(Лист2!$B$4,D:D)),MAX($C$3:OFFSET(C65,-1,0))+1,0)</f>
        <v>0</v>
      </c>
      <c r="E65" s="9" t="str">
        <f t="shared" ca="1" si="2"/>
        <v/>
      </c>
      <c r="F65" s="4" t="s">
        <v>3</v>
      </c>
      <c r="G65" s="2">
        <f>IF(ISNUMBER(SEARCH(Лист2!$B$4,F:F)),1,0)</f>
        <v>0</v>
      </c>
      <c r="H65" s="3">
        <f ca="1">IF(AND(I65&lt;&gt;I64,ISNUMBER(SEARCH(Лист2!$B$5,I:I)),G65=1),MAX($H$3:OFFSET(H65,-1,0))+1,0)</f>
        <v>0</v>
      </c>
      <c r="I65" s="3" t="s">
        <v>48</v>
      </c>
      <c r="J65" s="4" t="str">
        <f t="shared" ca="1" si="1"/>
        <v/>
      </c>
      <c r="K65" s="2">
        <f>IF(ISNUMBER(SEARCH(Лист2!$B$4,F:F)),1,0)</f>
        <v>0</v>
      </c>
      <c r="L65" s="14">
        <f>IF(ISNUMBER(SEARCH(Лист2!$B$5,I:I)),1,0)+K65</f>
        <v>0</v>
      </c>
      <c r="M65" s="3">
        <f ca="1">IF(AND(N65&lt;&gt;N64,ISNUMBER(SEARCH(Лист2!$B$6,N:N)),L65=2),MAX($M$3:OFFSET(M65,-1,0))+1,0)</f>
        <v>0</v>
      </c>
      <c r="N65" s="3" t="s">
        <v>518</v>
      </c>
    </row>
    <row r="66" spans="1:14" x14ac:dyDescent="0.25">
      <c r="A66" s="1" t="s">
        <v>9857</v>
      </c>
      <c r="B66" s="3" t="s">
        <v>3690</v>
      </c>
      <c r="C66" s="2">
        <f ca="1">IF(ISNUMBER(SEARCH(Лист2!$B$4,D:D)),MAX($C$3:OFFSET(C66,-1,0))+1,0)</f>
        <v>0</v>
      </c>
      <c r="E66" s="9" t="str">
        <f t="shared" ca="1" si="2"/>
        <v/>
      </c>
      <c r="F66" s="4" t="s">
        <v>3</v>
      </c>
      <c r="G66" s="2">
        <f>IF(ISNUMBER(SEARCH(Лист2!$B$4,F:F)),1,0)</f>
        <v>0</v>
      </c>
      <c r="H66" s="3">
        <f ca="1">IF(AND(I66&lt;&gt;I65,ISNUMBER(SEARCH(Лист2!$B$5,I:I)),G66=1),MAX($H$3:OFFSET(H66,-1,0))+1,0)</f>
        <v>0</v>
      </c>
      <c r="I66" s="3" t="s">
        <v>48</v>
      </c>
      <c r="J66" s="4" t="str">
        <f t="shared" ca="1" si="1"/>
        <v/>
      </c>
      <c r="K66" s="2">
        <f>IF(ISNUMBER(SEARCH(Лист2!$B$4,F:F)),1,0)</f>
        <v>0</v>
      </c>
      <c r="L66" s="14">
        <f>IF(ISNUMBER(SEARCH(Лист2!$B$5,I:I)),1,0)+K66</f>
        <v>0</v>
      </c>
      <c r="M66" s="3">
        <f ca="1">IF(AND(N66&lt;&gt;N65,ISNUMBER(SEARCH(Лист2!$B$6,N:N)),L66=2),MAX($M$3:OFFSET(M66,-1,0))+1,0)</f>
        <v>0</v>
      </c>
      <c r="N66" s="3" t="s">
        <v>519</v>
      </c>
    </row>
    <row r="67" spans="1:14" x14ac:dyDescent="0.25">
      <c r="A67" s="1" t="s">
        <v>9858</v>
      </c>
      <c r="B67" s="3" t="s">
        <v>3691</v>
      </c>
      <c r="C67" s="2">
        <f ca="1">IF(ISNUMBER(SEARCH(Лист2!$B$4,D:D)),MAX($C$3:OFFSET(C67,-1,0))+1,0)</f>
        <v>0</v>
      </c>
      <c r="E67" s="9" t="str">
        <f t="shared" ca="1" si="2"/>
        <v/>
      </c>
      <c r="F67" s="4" t="s">
        <v>3</v>
      </c>
      <c r="G67" s="2">
        <f>IF(ISNUMBER(SEARCH(Лист2!$B$4,F:F)),1,0)</f>
        <v>0</v>
      </c>
      <c r="H67" s="3">
        <f ca="1">IF(AND(I67&lt;&gt;I66,ISNUMBER(SEARCH(Лист2!$B$5,I:I)),G67=1),MAX($H$3:OFFSET(H67,-1,0))+1,0)</f>
        <v>0</v>
      </c>
      <c r="I67" s="3" t="s">
        <v>48</v>
      </c>
      <c r="J67" s="4" t="str">
        <f t="shared" ca="1" si="1"/>
        <v/>
      </c>
      <c r="K67" s="2">
        <f>IF(ISNUMBER(SEARCH(Лист2!$B$4,F:F)),1,0)</f>
        <v>0</v>
      </c>
      <c r="L67" s="14">
        <f>IF(ISNUMBER(SEARCH(Лист2!$B$5,I:I)),1,0)+K67</f>
        <v>0</v>
      </c>
      <c r="M67" s="3">
        <f ca="1">IF(AND(N67&lt;&gt;N66,ISNUMBER(SEARCH(Лист2!$B$6,N:N)),L67=2),MAX($M$3:OFFSET(M67,-1,0))+1,0)</f>
        <v>0</v>
      </c>
      <c r="N67" s="3" t="s">
        <v>520</v>
      </c>
    </row>
    <row r="68" spans="1:14" x14ac:dyDescent="0.25">
      <c r="A68" s="1" t="s">
        <v>9859</v>
      </c>
      <c r="B68" s="3" t="s">
        <v>3692</v>
      </c>
      <c r="C68" s="2">
        <f ca="1">IF(ISNUMBER(SEARCH(Лист2!$B$4,D:D)),MAX($C$3:OFFSET(C68,-1,0))+1,0)</f>
        <v>0</v>
      </c>
      <c r="E68" s="9" t="str">
        <f t="shared" ca="1" si="2"/>
        <v/>
      </c>
      <c r="F68" s="4" t="s">
        <v>3</v>
      </c>
      <c r="G68" s="2">
        <f>IF(ISNUMBER(SEARCH(Лист2!$B$4,F:F)),1,0)</f>
        <v>0</v>
      </c>
      <c r="H68" s="3">
        <f ca="1">IF(AND(I68&lt;&gt;I67,ISNUMBER(SEARCH(Лист2!$B$5,I:I)),G68=1),MAX($H$3:OFFSET(H68,-1,0))+1,0)</f>
        <v>0</v>
      </c>
      <c r="I68" s="3" t="s">
        <v>48</v>
      </c>
      <c r="J68" s="4" t="str">
        <f t="shared" ref="J68:J131" ca="1" si="5">IFERROR(INDEX(I:I,MATCH(ROW(J68)-ROW($E$3),H:H,0)),"")</f>
        <v/>
      </c>
      <c r="K68" s="2">
        <f>IF(ISNUMBER(SEARCH(Лист2!$B$4,F:F)),1,0)</f>
        <v>0</v>
      </c>
      <c r="L68" s="14">
        <f>IF(ISNUMBER(SEARCH(Лист2!$B$5,I:I)),1,0)+K68</f>
        <v>0</v>
      </c>
      <c r="M68" s="3">
        <f ca="1">IF(AND(N68&lt;&gt;N67,ISNUMBER(SEARCH(Лист2!$B$6,N:N)),L68=2),MAX($M$3:OFFSET(M68,-1,0))+1,0)</f>
        <v>0</v>
      </c>
      <c r="N68" s="3" t="s">
        <v>521</v>
      </c>
    </row>
    <row r="69" spans="1:14" x14ac:dyDescent="0.25">
      <c r="A69" s="1" t="s">
        <v>9859</v>
      </c>
      <c r="B69" s="3" t="s">
        <v>3693</v>
      </c>
      <c r="C69" s="2">
        <f ca="1">IF(ISNUMBER(SEARCH(Лист2!$B$4,D:D)),MAX($C$3:OFFSET(C69,-1,0))+1,0)</f>
        <v>0</v>
      </c>
      <c r="E69" s="9" t="str">
        <f t="shared" ref="E69:E132" ca="1" si="6">IFERROR(INDEX(D:D,MATCH(ROW(E69)-ROW($E$3),C:C,0)),"")</f>
        <v/>
      </c>
      <c r="F69" s="4" t="s">
        <v>3</v>
      </c>
      <c r="G69" s="2">
        <f>IF(ISNUMBER(SEARCH(Лист2!$B$4,F:F)),1,0)</f>
        <v>0</v>
      </c>
      <c r="H69" s="3">
        <f ca="1">IF(AND(I69&lt;&gt;I68,ISNUMBER(SEARCH(Лист2!$B$5,I:I)),G69=1),MAX($H$3:OFFSET(H69,-1,0))+1,0)</f>
        <v>0</v>
      </c>
      <c r="I69" s="3" t="s">
        <v>48</v>
      </c>
      <c r="J69" s="4" t="str">
        <f t="shared" ca="1" si="5"/>
        <v/>
      </c>
      <c r="K69" s="2">
        <f>IF(ISNUMBER(SEARCH(Лист2!$B$4,F:F)),1,0)</f>
        <v>0</v>
      </c>
      <c r="L69" s="14">
        <f>IF(ISNUMBER(SEARCH(Лист2!$B$5,I:I)),1,0)+K69</f>
        <v>0</v>
      </c>
      <c r="M69" s="3">
        <f ca="1">IF(AND(N69&lt;&gt;N68,ISNUMBER(SEARCH(Лист2!$B$6,N:N)),L69=2),MAX($M$3:OFFSET(M69,-1,0))+1,0)</f>
        <v>0</v>
      </c>
      <c r="N69" s="3" t="s">
        <v>521</v>
      </c>
    </row>
    <row r="70" spans="1:14" x14ac:dyDescent="0.25">
      <c r="A70" s="1" t="s">
        <v>9860</v>
      </c>
      <c r="B70" s="3" t="s">
        <v>3694</v>
      </c>
      <c r="C70" s="2">
        <f ca="1">IF(ISNUMBER(SEARCH(Лист2!$B$4,D:D)),MAX($C$3:OFFSET(C70,-1,0))+1,0)</f>
        <v>0</v>
      </c>
      <c r="E70" s="9" t="str">
        <f t="shared" ca="1" si="6"/>
        <v/>
      </c>
      <c r="F70" s="4" t="s">
        <v>3</v>
      </c>
      <c r="G70" s="2">
        <f>IF(ISNUMBER(SEARCH(Лист2!$B$4,F:F)),1,0)</f>
        <v>0</v>
      </c>
      <c r="H70" s="3">
        <f ca="1">IF(AND(I70&lt;&gt;I69,ISNUMBER(SEARCH(Лист2!$B$5,I:I)),G70=1),MAX($H$3:OFFSET(H70,-1,0))+1,0)</f>
        <v>0</v>
      </c>
      <c r="I70" s="3" t="s">
        <v>48</v>
      </c>
      <c r="J70" s="4" t="str">
        <f t="shared" ca="1" si="5"/>
        <v/>
      </c>
      <c r="K70" s="2">
        <f>IF(ISNUMBER(SEARCH(Лист2!$B$4,F:F)),1,0)</f>
        <v>0</v>
      </c>
      <c r="L70" s="14">
        <f>IF(ISNUMBER(SEARCH(Лист2!$B$5,I:I)),1,0)+K70</f>
        <v>0</v>
      </c>
      <c r="M70" s="3">
        <f ca="1">IF(AND(N70&lt;&gt;N69,ISNUMBER(SEARCH(Лист2!$B$6,N:N)),L70=2),MAX($M$3:OFFSET(M70,-1,0))+1,0)</f>
        <v>0</v>
      </c>
      <c r="N70" s="3" t="s">
        <v>501</v>
      </c>
    </row>
    <row r="71" spans="1:14" x14ac:dyDescent="0.25">
      <c r="A71" s="1" t="s">
        <v>9861</v>
      </c>
      <c r="B71" s="3" t="s">
        <v>3695</v>
      </c>
      <c r="C71" s="2">
        <f ca="1">IF(ISNUMBER(SEARCH(Лист2!$B$4,D:D)),MAX($C$3:OFFSET(C71,-1,0))+1,0)</f>
        <v>0</v>
      </c>
      <c r="E71" s="9" t="str">
        <f t="shared" ca="1" si="6"/>
        <v/>
      </c>
      <c r="F71" s="4" t="s">
        <v>3</v>
      </c>
      <c r="G71" s="2">
        <f>IF(ISNUMBER(SEARCH(Лист2!$B$4,F:F)),1,0)</f>
        <v>0</v>
      </c>
      <c r="H71" s="3">
        <f ca="1">IF(AND(I71&lt;&gt;I70,ISNUMBER(SEARCH(Лист2!$B$5,I:I)),G71=1),MAX($H$3:OFFSET(H71,-1,0))+1,0)</f>
        <v>0</v>
      </c>
      <c r="I71" s="3" t="s">
        <v>48</v>
      </c>
      <c r="J71" s="4" t="str">
        <f t="shared" ca="1" si="5"/>
        <v/>
      </c>
      <c r="K71" s="2">
        <f>IF(ISNUMBER(SEARCH(Лист2!$B$4,F:F)),1,0)</f>
        <v>0</v>
      </c>
      <c r="L71" s="14">
        <f>IF(ISNUMBER(SEARCH(Лист2!$B$5,I:I)),1,0)+K71</f>
        <v>0</v>
      </c>
      <c r="M71" s="3">
        <f ca="1">IF(AND(N71&lt;&gt;N70,ISNUMBER(SEARCH(Лист2!$B$6,N:N)),L71=2),MAX($M$3:OFFSET(M71,-1,0))+1,0)</f>
        <v>0</v>
      </c>
      <c r="N71" s="3" t="s">
        <v>522</v>
      </c>
    </row>
    <row r="72" spans="1:14" x14ac:dyDescent="0.25">
      <c r="A72" s="1" t="s">
        <v>9862</v>
      </c>
      <c r="B72" s="3" t="s">
        <v>3696</v>
      </c>
      <c r="C72" s="2">
        <f ca="1">IF(ISNUMBER(SEARCH(Лист2!$B$4,D:D)),MAX($C$3:OFFSET(C72,-1,0))+1,0)</f>
        <v>0</v>
      </c>
      <c r="E72" s="9" t="str">
        <f t="shared" ca="1" si="6"/>
        <v/>
      </c>
      <c r="F72" s="4" t="s">
        <v>3</v>
      </c>
      <c r="G72" s="2">
        <f>IF(ISNUMBER(SEARCH(Лист2!$B$4,F:F)),1,0)</f>
        <v>0</v>
      </c>
      <c r="H72" s="3">
        <f ca="1">IF(AND(I72&lt;&gt;I71,ISNUMBER(SEARCH(Лист2!$B$5,I:I)),G72=1),MAX($H$3:OFFSET(H72,-1,0))+1,0)</f>
        <v>0</v>
      </c>
      <c r="I72" s="3" t="s">
        <v>48</v>
      </c>
      <c r="J72" s="4" t="str">
        <f t="shared" ca="1" si="5"/>
        <v/>
      </c>
      <c r="K72" s="2">
        <f>IF(ISNUMBER(SEARCH(Лист2!$B$4,F:F)),1,0)</f>
        <v>0</v>
      </c>
      <c r="L72" s="14">
        <f>IF(ISNUMBER(SEARCH(Лист2!$B$5,I:I)),1,0)+K72</f>
        <v>0</v>
      </c>
      <c r="M72" s="3">
        <f ca="1">IF(AND(N72&lt;&gt;N71,ISNUMBER(SEARCH(Лист2!$B$6,N:N)),L72=2),MAX($M$3:OFFSET(M72,-1,0))+1,0)</f>
        <v>0</v>
      </c>
      <c r="N72" s="3" t="s">
        <v>523</v>
      </c>
    </row>
    <row r="73" spans="1:14" x14ac:dyDescent="0.25">
      <c r="A73" s="1" t="s">
        <v>9863</v>
      </c>
      <c r="B73" s="3" t="s">
        <v>3697</v>
      </c>
      <c r="C73" s="2">
        <f ca="1">IF(ISNUMBER(SEARCH(Лист2!$B$4,D:D)),MAX($C$3:OFFSET(C73,-1,0))+1,0)</f>
        <v>0</v>
      </c>
      <c r="E73" s="9" t="str">
        <f t="shared" ca="1" si="6"/>
        <v/>
      </c>
      <c r="F73" s="4" t="s">
        <v>3</v>
      </c>
      <c r="G73" s="2">
        <f>IF(ISNUMBER(SEARCH(Лист2!$B$4,F:F)),1,0)</f>
        <v>0</v>
      </c>
      <c r="H73" s="3">
        <f ca="1">IF(AND(I73&lt;&gt;I72,ISNUMBER(SEARCH(Лист2!$B$5,I:I)),G73=1),MAX($H$3:OFFSET(H73,-1,0))+1,0)</f>
        <v>0</v>
      </c>
      <c r="I73" s="3" t="s">
        <v>48</v>
      </c>
      <c r="J73" s="4" t="str">
        <f t="shared" ca="1" si="5"/>
        <v/>
      </c>
      <c r="K73" s="2">
        <f>IF(ISNUMBER(SEARCH(Лист2!$B$4,F:F)),1,0)</f>
        <v>0</v>
      </c>
      <c r="L73" s="14">
        <f>IF(ISNUMBER(SEARCH(Лист2!$B$5,I:I)),1,0)+K73</f>
        <v>0</v>
      </c>
      <c r="M73" s="3">
        <f ca="1">IF(AND(N73&lt;&gt;N72,ISNUMBER(SEARCH(Лист2!$B$6,N:N)),L73=2),MAX($M$3:OFFSET(M73,-1,0))+1,0)</f>
        <v>0</v>
      </c>
      <c r="N73" s="3" t="s">
        <v>524</v>
      </c>
    </row>
    <row r="74" spans="1:14" x14ac:dyDescent="0.25">
      <c r="A74" s="1" t="s">
        <v>9864</v>
      </c>
      <c r="B74" s="3" t="s">
        <v>3698</v>
      </c>
      <c r="C74" s="2">
        <f ca="1">IF(ISNUMBER(SEARCH(Лист2!$B$4,D:D)),MAX($C$3:OFFSET(C74,-1,0))+1,0)</f>
        <v>0</v>
      </c>
      <c r="E74" s="9" t="str">
        <f t="shared" ca="1" si="6"/>
        <v/>
      </c>
      <c r="F74" s="4" t="s">
        <v>3</v>
      </c>
      <c r="G74" s="2">
        <f>IF(ISNUMBER(SEARCH(Лист2!$B$4,F:F)),1,0)</f>
        <v>0</v>
      </c>
      <c r="H74" s="3">
        <f ca="1">IF(AND(I74&lt;&gt;I73,ISNUMBER(SEARCH(Лист2!$B$5,I:I)),G74=1),MAX($H$3:OFFSET(H74,-1,0))+1,0)</f>
        <v>0</v>
      </c>
      <c r="I74" s="3" t="s">
        <v>48</v>
      </c>
      <c r="J74" s="4" t="str">
        <f t="shared" ca="1" si="5"/>
        <v/>
      </c>
      <c r="K74" s="2">
        <f>IF(ISNUMBER(SEARCH(Лист2!$B$4,F:F)),1,0)</f>
        <v>0</v>
      </c>
      <c r="L74" s="14">
        <f>IF(ISNUMBER(SEARCH(Лист2!$B$5,I:I)),1,0)+K74</f>
        <v>0</v>
      </c>
      <c r="M74" s="3">
        <f ca="1">IF(AND(N74&lt;&gt;N73,ISNUMBER(SEARCH(Лист2!$B$6,N:N)),L74=2),MAX($M$3:OFFSET(M74,-1,0))+1,0)</f>
        <v>0</v>
      </c>
      <c r="N74" s="3" t="s">
        <v>525</v>
      </c>
    </row>
    <row r="75" spans="1:14" x14ac:dyDescent="0.25">
      <c r="A75" s="1" t="s">
        <v>9865</v>
      </c>
      <c r="B75" s="3" t="s">
        <v>3699</v>
      </c>
      <c r="C75" s="2">
        <f ca="1">IF(ISNUMBER(SEARCH(Лист2!$B$4,D:D)),MAX($C$3:OFFSET(C75,-1,0))+1,0)</f>
        <v>0</v>
      </c>
      <c r="E75" s="9" t="str">
        <f t="shared" ca="1" si="6"/>
        <v/>
      </c>
      <c r="F75" s="4" t="s">
        <v>3</v>
      </c>
      <c r="G75" s="2">
        <f>IF(ISNUMBER(SEARCH(Лист2!$B$4,F:F)),1,0)</f>
        <v>0</v>
      </c>
      <c r="H75" s="3">
        <f ca="1">IF(AND(I75&lt;&gt;I74,ISNUMBER(SEARCH(Лист2!$B$5,I:I)),G75=1),MAX($H$3:OFFSET(H75,-1,0))+1,0)</f>
        <v>0</v>
      </c>
      <c r="I75" s="3" t="s">
        <v>48</v>
      </c>
      <c r="J75" s="4" t="str">
        <f t="shared" ca="1" si="5"/>
        <v/>
      </c>
      <c r="K75" s="2">
        <f>IF(ISNUMBER(SEARCH(Лист2!$B$4,F:F)),1,0)</f>
        <v>0</v>
      </c>
      <c r="L75" s="14">
        <f>IF(ISNUMBER(SEARCH(Лист2!$B$5,I:I)),1,0)+K75</f>
        <v>0</v>
      </c>
      <c r="M75" s="3">
        <f ca="1">IF(AND(N75&lt;&gt;N74,ISNUMBER(SEARCH(Лист2!$B$6,N:N)),L75=2),MAX($M$3:OFFSET(M75,-1,0))+1,0)</f>
        <v>0</v>
      </c>
      <c r="N75" s="3" t="s">
        <v>526</v>
      </c>
    </row>
    <row r="76" spans="1:14" x14ac:dyDescent="0.25">
      <c r="A76" s="1" t="s">
        <v>9857</v>
      </c>
      <c r="B76" s="3" t="s">
        <v>3700</v>
      </c>
      <c r="C76" s="2">
        <f ca="1">IF(ISNUMBER(SEARCH(Лист2!$B$4,D:D)),MAX($C$3:OFFSET(C76,-1,0))+1,0)</f>
        <v>0</v>
      </c>
      <c r="E76" s="9" t="str">
        <f t="shared" ca="1" si="6"/>
        <v/>
      </c>
      <c r="F76" s="4" t="s">
        <v>3</v>
      </c>
      <c r="G76" s="2">
        <f>IF(ISNUMBER(SEARCH(Лист2!$B$4,F:F)),1,0)</f>
        <v>0</v>
      </c>
      <c r="H76" s="3">
        <f ca="1">IF(AND(I76&lt;&gt;I75,ISNUMBER(SEARCH(Лист2!$B$5,I:I)),G76=1),MAX($H$3:OFFSET(H76,-1,0))+1,0)</f>
        <v>0</v>
      </c>
      <c r="I76" s="3" t="s">
        <v>48</v>
      </c>
      <c r="J76" s="4" t="str">
        <f t="shared" ca="1" si="5"/>
        <v/>
      </c>
      <c r="K76" s="2">
        <f>IF(ISNUMBER(SEARCH(Лист2!$B$4,F:F)),1,0)</f>
        <v>0</v>
      </c>
      <c r="L76" s="14">
        <f>IF(ISNUMBER(SEARCH(Лист2!$B$5,I:I)),1,0)+K76</f>
        <v>0</v>
      </c>
      <c r="M76" s="3">
        <f ca="1">IF(AND(N76&lt;&gt;N75,ISNUMBER(SEARCH(Лист2!$B$6,N:N)),L76=2),MAX($M$3:OFFSET(M76,-1,0))+1,0)</f>
        <v>0</v>
      </c>
      <c r="N76" s="3" t="s">
        <v>519</v>
      </c>
    </row>
    <row r="77" spans="1:14" x14ac:dyDescent="0.25">
      <c r="A77" s="1" t="s">
        <v>9866</v>
      </c>
      <c r="B77" s="3" t="s">
        <v>3701</v>
      </c>
      <c r="C77" s="2">
        <f ca="1">IF(ISNUMBER(SEARCH(Лист2!$B$4,D:D)),MAX($C$3:OFFSET(C77,-1,0))+1,0)</f>
        <v>0</v>
      </c>
      <c r="E77" s="9" t="str">
        <f t="shared" ca="1" si="6"/>
        <v/>
      </c>
      <c r="F77" s="4" t="s">
        <v>3</v>
      </c>
      <c r="G77" s="2">
        <f>IF(ISNUMBER(SEARCH(Лист2!$B$4,F:F)),1,0)</f>
        <v>0</v>
      </c>
      <c r="H77" s="3">
        <f ca="1">IF(AND(I77&lt;&gt;I76,ISNUMBER(SEARCH(Лист2!$B$5,I:I)),G77=1),MAX($H$3:OFFSET(H77,-1,0))+1,0)</f>
        <v>0</v>
      </c>
      <c r="I77" s="3" t="s">
        <v>48</v>
      </c>
      <c r="J77" s="4" t="str">
        <f t="shared" ca="1" si="5"/>
        <v/>
      </c>
      <c r="K77" s="2">
        <f>IF(ISNUMBER(SEARCH(Лист2!$B$4,F:F)),1,0)</f>
        <v>0</v>
      </c>
      <c r="L77" s="14">
        <f>IF(ISNUMBER(SEARCH(Лист2!$B$5,I:I)),1,0)+K77</f>
        <v>0</v>
      </c>
      <c r="M77" s="3">
        <f ca="1">IF(AND(N77&lt;&gt;N76,ISNUMBER(SEARCH(Лист2!$B$6,N:N)),L77=2),MAX($M$3:OFFSET(M77,-1,0))+1,0)</f>
        <v>0</v>
      </c>
      <c r="N77" s="3" t="s">
        <v>527</v>
      </c>
    </row>
    <row r="78" spans="1:14" x14ac:dyDescent="0.25">
      <c r="A78" s="1" t="s">
        <v>9867</v>
      </c>
      <c r="B78" s="3" t="s">
        <v>3702</v>
      </c>
      <c r="C78" s="2">
        <f ca="1">IF(ISNUMBER(SEARCH(Лист2!$B$4,D:D)),MAX($C$3:OFFSET(C78,-1,0))+1,0)</f>
        <v>0</v>
      </c>
      <c r="E78" s="9" t="str">
        <f t="shared" ca="1" si="6"/>
        <v/>
      </c>
      <c r="F78" s="4" t="s">
        <v>3</v>
      </c>
      <c r="G78" s="2">
        <f>IF(ISNUMBER(SEARCH(Лист2!$B$4,F:F)),1,0)</f>
        <v>0</v>
      </c>
      <c r="H78" s="3">
        <f ca="1">IF(AND(I78&lt;&gt;I77,ISNUMBER(SEARCH(Лист2!$B$5,I:I)),G78=1),MAX($H$3:OFFSET(H78,-1,0))+1,0)</f>
        <v>0</v>
      </c>
      <c r="I78" s="3" t="s">
        <v>48</v>
      </c>
      <c r="J78" s="4" t="str">
        <f t="shared" ca="1" si="5"/>
        <v/>
      </c>
      <c r="K78" s="2">
        <f>IF(ISNUMBER(SEARCH(Лист2!$B$4,F:F)),1,0)</f>
        <v>0</v>
      </c>
      <c r="L78" s="14">
        <f>IF(ISNUMBER(SEARCH(Лист2!$B$5,I:I)),1,0)+K78</f>
        <v>0</v>
      </c>
      <c r="M78" s="3">
        <f ca="1">IF(AND(N78&lt;&gt;N77,ISNUMBER(SEARCH(Лист2!$B$6,N:N)),L78=2),MAX($M$3:OFFSET(M78,-1,0))+1,0)</f>
        <v>0</v>
      </c>
      <c r="N78" s="3" t="s">
        <v>528</v>
      </c>
    </row>
    <row r="79" spans="1:14" x14ac:dyDescent="0.25">
      <c r="A79" s="1" t="s">
        <v>9867</v>
      </c>
      <c r="B79" s="3" t="s">
        <v>3703</v>
      </c>
      <c r="C79" s="2">
        <f ca="1">IF(ISNUMBER(SEARCH(Лист2!$B$4,D:D)),MAX($C$3:OFFSET(C79,-1,0))+1,0)</f>
        <v>0</v>
      </c>
      <c r="E79" s="9" t="str">
        <f t="shared" ca="1" si="6"/>
        <v/>
      </c>
      <c r="F79" s="4" t="s">
        <v>3</v>
      </c>
      <c r="G79" s="2">
        <f>IF(ISNUMBER(SEARCH(Лист2!$B$4,F:F)),1,0)</f>
        <v>0</v>
      </c>
      <c r="H79" s="3">
        <f ca="1">IF(AND(I79&lt;&gt;I78,ISNUMBER(SEARCH(Лист2!$B$5,I:I)),G79=1),MAX($H$3:OFFSET(H79,-1,0))+1,0)</f>
        <v>0</v>
      </c>
      <c r="I79" s="3" t="s">
        <v>48</v>
      </c>
      <c r="J79" s="4" t="str">
        <f t="shared" ca="1" si="5"/>
        <v/>
      </c>
      <c r="K79" s="2">
        <f>IF(ISNUMBER(SEARCH(Лист2!$B$4,F:F)),1,0)</f>
        <v>0</v>
      </c>
      <c r="L79" s="14">
        <f>IF(ISNUMBER(SEARCH(Лист2!$B$5,I:I)),1,0)+K79</f>
        <v>0</v>
      </c>
      <c r="M79" s="3">
        <f ca="1">IF(AND(N79&lt;&gt;N78,ISNUMBER(SEARCH(Лист2!$B$6,N:N)),L79=2),MAX($M$3:OFFSET(M79,-1,0))+1,0)</f>
        <v>0</v>
      </c>
      <c r="N79" s="3" t="s">
        <v>528</v>
      </c>
    </row>
    <row r="80" spans="1:14" x14ac:dyDescent="0.25">
      <c r="A80" s="1" t="s">
        <v>9860</v>
      </c>
      <c r="B80" s="3" t="s">
        <v>3704</v>
      </c>
      <c r="C80" s="2">
        <f ca="1">IF(ISNUMBER(SEARCH(Лист2!$B$4,D:D)),MAX($C$3:OFFSET(C80,-1,0))+1,0)</f>
        <v>0</v>
      </c>
      <c r="E80" s="9" t="str">
        <f t="shared" ca="1" si="6"/>
        <v/>
      </c>
      <c r="F80" s="4" t="s">
        <v>3</v>
      </c>
      <c r="G80" s="2">
        <f>IF(ISNUMBER(SEARCH(Лист2!$B$4,F:F)),1,0)</f>
        <v>0</v>
      </c>
      <c r="H80" s="3">
        <f ca="1">IF(AND(I80&lt;&gt;I79,ISNUMBER(SEARCH(Лист2!$B$5,I:I)),G80=1),MAX($H$3:OFFSET(H80,-1,0))+1,0)</f>
        <v>0</v>
      </c>
      <c r="I80" s="3" t="s">
        <v>48</v>
      </c>
      <c r="J80" s="4" t="str">
        <f t="shared" ca="1" si="5"/>
        <v/>
      </c>
      <c r="K80" s="2">
        <f>IF(ISNUMBER(SEARCH(Лист2!$B$4,F:F)),1,0)</f>
        <v>0</v>
      </c>
      <c r="L80" s="14">
        <f>IF(ISNUMBER(SEARCH(Лист2!$B$5,I:I)),1,0)+K80</f>
        <v>0</v>
      </c>
      <c r="M80" s="3">
        <f ca="1">IF(AND(N80&lt;&gt;N79,ISNUMBER(SEARCH(Лист2!$B$6,N:N)),L80=2),MAX($M$3:OFFSET(M80,-1,0))+1,0)</f>
        <v>0</v>
      </c>
      <c r="N80" s="3" t="s">
        <v>501</v>
      </c>
    </row>
    <row r="81" spans="1:14" x14ac:dyDescent="0.25">
      <c r="A81" s="1" t="s">
        <v>9868</v>
      </c>
      <c r="B81" s="3" t="s">
        <v>3705</v>
      </c>
      <c r="C81" s="2">
        <f ca="1">IF(ISNUMBER(SEARCH(Лист2!$B$4,D:D)),MAX($C$3:OFFSET(C81,-1,0))+1,0)</f>
        <v>0</v>
      </c>
      <c r="E81" s="9" t="str">
        <f t="shared" ca="1" si="6"/>
        <v/>
      </c>
      <c r="F81" s="4" t="s">
        <v>3</v>
      </c>
      <c r="G81" s="2">
        <f>IF(ISNUMBER(SEARCH(Лист2!$B$4,F:F)),1,0)</f>
        <v>0</v>
      </c>
      <c r="H81" s="3">
        <f ca="1">IF(AND(I81&lt;&gt;I80,ISNUMBER(SEARCH(Лист2!$B$5,I:I)),G81=1),MAX($H$3:OFFSET(H81,-1,0))+1,0)</f>
        <v>0</v>
      </c>
      <c r="I81" s="3" t="s">
        <v>48</v>
      </c>
      <c r="J81" s="4" t="str">
        <f t="shared" ca="1" si="5"/>
        <v/>
      </c>
      <c r="K81" s="2">
        <f>IF(ISNUMBER(SEARCH(Лист2!$B$4,F:F)),1,0)</f>
        <v>0</v>
      </c>
      <c r="L81" s="14">
        <f>IF(ISNUMBER(SEARCH(Лист2!$B$5,I:I)),1,0)+K81</f>
        <v>0</v>
      </c>
      <c r="M81" s="3">
        <f ca="1">IF(AND(N81&lt;&gt;N80,ISNUMBER(SEARCH(Лист2!$B$6,N:N)),L81=2),MAX($M$3:OFFSET(M81,-1,0))+1,0)</f>
        <v>0</v>
      </c>
      <c r="N81" s="3" t="s">
        <v>529</v>
      </c>
    </row>
    <row r="82" spans="1:14" x14ac:dyDescent="0.25">
      <c r="A82" s="1" t="s">
        <v>9869</v>
      </c>
      <c r="B82" s="3" t="s">
        <v>3706</v>
      </c>
      <c r="C82" s="2">
        <f ca="1">IF(ISNUMBER(SEARCH(Лист2!$B$4,D:D)),MAX($C$3:OFFSET(C82,-1,0))+1,0)</f>
        <v>0</v>
      </c>
      <c r="E82" s="9" t="str">
        <f t="shared" ca="1" si="6"/>
        <v/>
      </c>
      <c r="F82" s="4" t="s">
        <v>3</v>
      </c>
      <c r="G82" s="2">
        <f>IF(ISNUMBER(SEARCH(Лист2!$B$4,F:F)),1,0)</f>
        <v>0</v>
      </c>
      <c r="H82" s="3">
        <f ca="1">IF(AND(I82&lt;&gt;I81,ISNUMBER(SEARCH(Лист2!$B$5,I:I)),G82=1),MAX($H$3:OFFSET(H82,-1,0))+1,0)</f>
        <v>0</v>
      </c>
      <c r="I82" s="3" t="s">
        <v>48</v>
      </c>
      <c r="J82" s="4" t="str">
        <f t="shared" ca="1" si="5"/>
        <v/>
      </c>
      <c r="K82" s="2">
        <f>IF(ISNUMBER(SEARCH(Лист2!$B$4,F:F)),1,0)</f>
        <v>0</v>
      </c>
      <c r="L82" s="14">
        <f>IF(ISNUMBER(SEARCH(Лист2!$B$5,I:I)),1,0)+K82</f>
        <v>0</v>
      </c>
      <c r="M82" s="3">
        <f ca="1">IF(AND(N82&lt;&gt;N81,ISNUMBER(SEARCH(Лист2!$B$6,N:N)),L82=2),MAX($M$3:OFFSET(M82,-1,0))+1,0)</f>
        <v>0</v>
      </c>
      <c r="N82" s="3" t="s">
        <v>530</v>
      </c>
    </row>
    <row r="83" spans="1:14" x14ac:dyDescent="0.25">
      <c r="A83" s="1" t="s">
        <v>9870</v>
      </c>
      <c r="B83" s="3" t="s">
        <v>3707</v>
      </c>
      <c r="C83" s="2">
        <f ca="1">IF(ISNUMBER(SEARCH(Лист2!$B$4,D:D)),MAX($C$3:OFFSET(C83,-1,0))+1,0)</f>
        <v>0</v>
      </c>
      <c r="E83" s="9" t="str">
        <f t="shared" ca="1" si="6"/>
        <v/>
      </c>
      <c r="F83" s="4" t="s">
        <v>3</v>
      </c>
      <c r="G83" s="2">
        <f>IF(ISNUMBER(SEARCH(Лист2!$B$4,F:F)),1,0)</f>
        <v>0</v>
      </c>
      <c r="H83" s="3">
        <f ca="1">IF(AND(I83&lt;&gt;I82,ISNUMBER(SEARCH(Лист2!$B$5,I:I)),G83=1),MAX($H$3:OFFSET(H83,-1,0))+1,0)</f>
        <v>0</v>
      </c>
      <c r="I83" s="3" t="s">
        <v>49</v>
      </c>
      <c r="J83" s="4" t="str">
        <f t="shared" ca="1" si="5"/>
        <v/>
      </c>
      <c r="K83" s="2">
        <f>IF(ISNUMBER(SEARCH(Лист2!$B$4,F:F)),1,0)</f>
        <v>0</v>
      </c>
      <c r="L83" s="14">
        <f>IF(ISNUMBER(SEARCH(Лист2!$B$5,I:I)),1,0)+K83</f>
        <v>0</v>
      </c>
      <c r="M83" s="3">
        <f ca="1">IF(AND(N83&lt;&gt;N82,ISNUMBER(SEARCH(Лист2!$B$6,N:N)),L83=2),MAX($M$3:OFFSET(M83,-1,0))+1,0)</f>
        <v>0</v>
      </c>
      <c r="N83" s="3" t="s">
        <v>531</v>
      </c>
    </row>
    <row r="84" spans="1:14" x14ac:dyDescent="0.25">
      <c r="A84" s="1" t="s">
        <v>9871</v>
      </c>
      <c r="B84" s="3" t="s">
        <v>3708</v>
      </c>
      <c r="C84" s="2">
        <f ca="1">IF(ISNUMBER(SEARCH(Лист2!$B$4,D:D)),MAX($C$3:OFFSET(C84,-1,0))+1,0)</f>
        <v>0</v>
      </c>
      <c r="E84" s="9" t="str">
        <f t="shared" ca="1" si="6"/>
        <v/>
      </c>
      <c r="F84" s="4" t="s">
        <v>3</v>
      </c>
      <c r="G84" s="2">
        <f>IF(ISNUMBER(SEARCH(Лист2!$B$4,F:F)),1,0)</f>
        <v>0</v>
      </c>
      <c r="H84" s="3">
        <f ca="1">IF(AND(I84&lt;&gt;I83,ISNUMBER(SEARCH(Лист2!$B$5,I:I)),G84=1),MAX($H$3:OFFSET(H84,-1,0))+1,0)</f>
        <v>0</v>
      </c>
      <c r="I84" s="3" t="s">
        <v>49</v>
      </c>
      <c r="J84" s="4" t="str">
        <f t="shared" ca="1" si="5"/>
        <v/>
      </c>
      <c r="K84" s="2">
        <f>IF(ISNUMBER(SEARCH(Лист2!$B$4,F:F)),1,0)</f>
        <v>0</v>
      </c>
      <c r="L84" s="14">
        <f>IF(ISNUMBER(SEARCH(Лист2!$B$5,I:I)),1,0)+K84</f>
        <v>0</v>
      </c>
      <c r="M84" s="3">
        <f ca="1">IF(AND(N84&lt;&gt;N83,ISNUMBER(SEARCH(Лист2!$B$6,N:N)),L84=2),MAX($M$3:OFFSET(M84,-1,0))+1,0)</f>
        <v>0</v>
      </c>
      <c r="N84" s="3" t="s">
        <v>532</v>
      </c>
    </row>
    <row r="85" spans="1:14" x14ac:dyDescent="0.25">
      <c r="A85" s="1" t="s">
        <v>9872</v>
      </c>
      <c r="B85" s="3" t="s">
        <v>3709</v>
      </c>
      <c r="C85" s="2">
        <f ca="1">IF(ISNUMBER(SEARCH(Лист2!$B$4,D:D)),MAX($C$3:OFFSET(C85,-1,0))+1,0)</f>
        <v>0</v>
      </c>
      <c r="E85" s="9" t="str">
        <f t="shared" ca="1" si="6"/>
        <v/>
      </c>
      <c r="F85" s="4" t="s">
        <v>3</v>
      </c>
      <c r="G85" s="2">
        <f>IF(ISNUMBER(SEARCH(Лист2!$B$4,F:F)),1,0)</f>
        <v>0</v>
      </c>
      <c r="H85" s="3">
        <f ca="1">IF(AND(I85&lt;&gt;I84,ISNUMBER(SEARCH(Лист2!$B$5,I:I)),G85=1),MAX($H$3:OFFSET(H85,-1,0))+1,0)</f>
        <v>0</v>
      </c>
      <c r="I85" s="3" t="s">
        <v>49</v>
      </c>
      <c r="J85" s="4" t="str">
        <f t="shared" ca="1" si="5"/>
        <v/>
      </c>
      <c r="K85" s="2">
        <f>IF(ISNUMBER(SEARCH(Лист2!$B$4,F:F)),1,0)</f>
        <v>0</v>
      </c>
      <c r="L85" s="14">
        <f>IF(ISNUMBER(SEARCH(Лист2!$B$5,I:I)),1,0)+K85</f>
        <v>0</v>
      </c>
      <c r="M85" s="3">
        <f ca="1">IF(AND(N85&lt;&gt;N84,ISNUMBER(SEARCH(Лист2!$B$6,N:N)),L85=2),MAX($M$3:OFFSET(M85,-1,0))+1,0)</f>
        <v>0</v>
      </c>
      <c r="N85" s="3" t="s">
        <v>519</v>
      </c>
    </row>
    <row r="86" spans="1:14" x14ac:dyDescent="0.25">
      <c r="A86" s="1" t="s">
        <v>9873</v>
      </c>
      <c r="B86" s="3" t="s">
        <v>3710</v>
      </c>
      <c r="C86" s="2">
        <f ca="1">IF(ISNUMBER(SEARCH(Лист2!$B$4,D:D)),MAX($C$3:OFFSET(C86,-1,0))+1,0)</f>
        <v>0</v>
      </c>
      <c r="E86" s="9" t="str">
        <f t="shared" ca="1" si="6"/>
        <v/>
      </c>
      <c r="F86" s="4" t="s">
        <v>3</v>
      </c>
      <c r="G86" s="2">
        <f>IF(ISNUMBER(SEARCH(Лист2!$B$4,F:F)),1,0)</f>
        <v>0</v>
      </c>
      <c r="H86" s="3">
        <f ca="1">IF(AND(I86&lt;&gt;I85,ISNUMBER(SEARCH(Лист2!$B$5,I:I)),G86=1),MAX($H$3:OFFSET(H86,-1,0))+1,0)</f>
        <v>0</v>
      </c>
      <c r="I86" s="3" t="s">
        <v>49</v>
      </c>
      <c r="J86" s="4" t="str">
        <f t="shared" ca="1" si="5"/>
        <v/>
      </c>
      <c r="K86" s="2">
        <f>IF(ISNUMBER(SEARCH(Лист2!$B$4,F:F)),1,0)</f>
        <v>0</v>
      </c>
      <c r="L86" s="14">
        <f>IF(ISNUMBER(SEARCH(Лист2!$B$5,I:I)),1,0)+K86</f>
        <v>0</v>
      </c>
      <c r="M86" s="3">
        <f ca="1">IF(AND(N86&lt;&gt;N85,ISNUMBER(SEARCH(Лист2!$B$6,N:N)),L86=2),MAX($M$3:OFFSET(M86,-1,0))+1,0)</f>
        <v>0</v>
      </c>
      <c r="N86" s="3" t="s">
        <v>533</v>
      </c>
    </row>
    <row r="87" spans="1:14" x14ac:dyDescent="0.25">
      <c r="A87" s="1" t="s">
        <v>9874</v>
      </c>
      <c r="B87" s="3" t="s">
        <v>3711</v>
      </c>
      <c r="C87" s="2">
        <f ca="1">IF(ISNUMBER(SEARCH(Лист2!$B$4,D:D)),MAX($C$3:OFFSET(C87,-1,0))+1,0)</f>
        <v>0</v>
      </c>
      <c r="E87" s="9" t="str">
        <f t="shared" ca="1" si="6"/>
        <v/>
      </c>
      <c r="F87" s="4" t="s">
        <v>3</v>
      </c>
      <c r="G87" s="2">
        <f>IF(ISNUMBER(SEARCH(Лист2!$B$4,F:F)),1,0)</f>
        <v>0</v>
      </c>
      <c r="H87" s="3">
        <f ca="1">IF(AND(I87&lt;&gt;I86,ISNUMBER(SEARCH(Лист2!$B$5,I:I)),G87=1),MAX($H$3:OFFSET(H87,-1,0))+1,0)</f>
        <v>0</v>
      </c>
      <c r="I87" s="3" t="s">
        <v>49</v>
      </c>
      <c r="J87" s="4" t="str">
        <f t="shared" ca="1" si="5"/>
        <v/>
      </c>
      <c r="K87" s="2">
        <f>IF(ISNUMBER(SEARCH(Лист2!$B$4,F:F)),1,0)</f>
        <v>0</v>
      </c>
      <c r="L87" s="14">
        <f>IF(ISNUMBER(SEARCH(Лист2!$B$5,I:I)),1,0)+K87</f>
        <v>0</v>
      </c>
      <c r="M87" s="3">
        <f ca="1">IF(AND(N87&lt;&gt;N86,ISNUMBER(SEARCH(Лист2!$B$6,N:N)),L87=2),MAX($M$3:OFFSET(M87,-1,0))+1,0)</f>
        <v>0</v>
      </c>
      <c r="N87" s="3" t="s">
        <v>534</v>
      </c>
    </row>
    <row r="88" spans="1:14" x14ac:dyDescent="0.25">
      <c r="A88" s="1" t="s">
        <v>9875</v>
      </c>
      <c r="B88" s="3" t="s">
        <v>3712</v>
      </c>
      <c r="C88" s="2">
        <f ca="1">IF(ISNUMBER(SEARCH(Лист2!$B$4,D:D)),MAX($C$3:OFFSET(C88,-1,0))+1,0)</f>
        <v>0</v>
      </c>
      <c r="E88" s="9" t="str">
        <f t="shared" ca="1" si="6"/>
        <v/>
      </c>
      <c r="F88" s="4" t="s">
        <v>3</v>
      </c>
      <c r="G88" s="2">
        <f>IF(ISNUMBER(SEARCH(Лист2!$B$4,F:F)),1,0)</f>
        <v>0</v>
      </c>
      <c r="H88" s="3">
        <f ca="1">IF(AND(I88&lt;&gt;I87,ISNUMBER(SEARCH(Лист2!$B$5,I:I)),G88=1),MAX($H$3:OFFSET(H88,-1,0))+1,0)</f>
        <v>0</v>
      </c>
      <c r="I88" s="3" t="s">
        <v>49</v>
      </c>
      <c r="J88" s="4" t="str">
        <f t="shared" ca="1" si="5"/>
        <v/>
      </c>
      <c r="K88" s="2">
        <f>IF(ISNUMBER(SEARCH(Лист2!$B$4,F:F)),1,0)</f>
        <v>0</v>
      </c>
      <c r="L88" s="14">
        <f>IF(ISNUMBER(SEARCH(Лист2!$B$5,I:I)),1,0)+K88</f>
        <v>0</v>
      </c>
      <c r="M88" s="3">
        <f ca="1">IF(AND(N88&lt;&gt;N87,ISNUMBER(SEARCH(Лист2!$B$6,N:N)),L88=2),MAX($M$3:OFFSET(M88,-1,0))+1,0)</f>
        <v>0</v>
      </c>
      <c r="N88" s="3" t="s">
        <v>535</v>
      </c>
    </row>
    <row r="89" spans="1:14" x14ac:dyDescent="0.25">
      <c r="A89" s="1" t="s">
        <v>9874</v>
      </c>
      <c r="B89" s="3" t="s">
        <v>3713</v>
      </c>
      <c r="C89" s="2">
        <f ca="1">IF(ISNUMBER(SEARCH(Лист2!$B$4,D:D)),MAX($C$3:OFFSET(C89,-1,0))+1,0)</f>
        <v>0</v>
      </c>
      <c r="E89" s="9" t="str">
        <f t="shared" ca="1" si="6"/>
        <v/>
      </c>
      <c r="F89" s="4" t="s">
        <v>3</v>
      </c>
      <c r="G89" s="2">
        <f>IF(ISNUMBER(SEARCH(Лист2!$B$4,F:F)),1,0)</f>
        <v>0</v>
      </c>
      <c r="H89" s="3">
        <f ca="1">IF(AND(I89&lt;&gt;I88,ISNUMBER(SEARCH(Лист2!$B$5,I:I)),G89=1),MAX($H$3:OFFSET(H89,-1,0))+1,0)</f>
        <v>0</v>
      </c>
      <c r="I89" s="3" t="s">
        <v>49</v>
      </c>
      <c r="J89" s="4" t="str">
        <f t="shared" ca="1" si="5"/>
        <v/>
      </c>
      <c r="K89" s="2">
        <f>IF(ISNUMBER(SEARCH(Лист2!$B$4,F:F)),1,0)</f>
        <v>0</v>
      </c>
      <c r="L89" s="14">
        <f>IF(ISNUMBER(SEARCH(Лист2!$B$5,I:I)),1,0)+K89</f>
        <v>0</v>
      </c>
      <c r="M89" s="3">
        <f ca="1">IF(AND(N89&lt;&gt;N88,ISNUMBER(SEARCH(Лист2!$B$6,N:N)),L89=2),MAX($M$3:OFFSET(M89,-1,0))+1,0)</f>
        <v>0</v>
      </c>
      <c r="N89" s="3" t="s">
        <v>534</v>
      </c>
    </row>
    <row r="90" spans="1:14" x14ac:dyDescent="0.25">
      <c r="A90" s="1" t="s">
        <v>9876</v>
      </c>
      <c r="B90" s="3" t="s">
        <v>3714</v>
      </c>
      <c r="C90" s="2">
        <f ca="1">IF(ISNUMBER(SEARCH(Лист2!$B$4,D:D)),MAX($C$3:OFFSET(C90,-1,0))+1,0)</f>
        <v>0</v>
      </c>
      <c r="E90" s="9" t="str">
        <f t="shared" ca="1" si="6"/>
        <v/>
      </c>
      <c r="F90" s="4" t="s">
        <v>3</v>
      </c>
      <c r="G90" s="2">
        <f>IF(ISNUMBER(SEARCH(Лист2!$B$4,F:F)),1,0)</f>
        <v>0</v>
      </c>
      <c r="H90" s="3">
        <f ca="1">IF(AND(I90&lt;&gt;I89,ISNUMBER(SEARCH(Лист2!$B$5,I:I)),G90=1),MAX($H$3:OFFSET(H90,-1,0))+1,0)</f>
        <v>0</v>
      </c>
      <c r="I90" s="3" t="s">
        <v>49</v>
      </c>
      <c r="J90" s="4" t="str">
        <f t="shared" ca="1" si="5"/>
        <v/>
      </c>
      <c r="K90" s="2">
        <f>IF(ISNUMBER(SEARCH(Лист2!$B$4,F:F)),1,0)</f>
        <v>0</v>
      </c>
      <c r="L90" s="14">
        <f>IF(ISNUMBER(SEARCH(Лист2!$B$5,I:I)),1,0)+K90</f>
        <v>0</v>
      </c>
      <c r="M90" s="3">
        <f ca="1">IF(AND(N90&lt;&gt;N89,ISNUMBER(SEARCH(Лист2!$B$6,N:N)),L90=2),MAX($M$3:OFFSET(M90,-1,0))+1,0)</f>
        <v>0</v>
      </c>
      <c r="N90" s="3" t="s">
        <v>501</v>
      </c>
    </row>
    <row r="91" spans="1:14" x14ac:dyDescent="0.25">
      <c r="A91" s="1" t="s">
        <v>9877</v>
      </c>
      <c r="B91" s="3" t="s">
        <v>3715</v>
      </c>
      <c r="C91" s="2">
        <f ca="1">IF(ISNUMBER(SEARCH(Лист2!$B$4,D:D)),MAX($C$3:OFFSET(C91,-1,0))+1,0)</f>
        <v>0</v>
      </c>
      <c r="E91" s="9" t="str">
        <f t="shared" ca="1" si="6"/>
        <v/>
      </c>
      <c r="F91" s="4" t="s">
        <v>3</v>
      </c>
      <c r="G91" s="2">
        <f>IF(ISNUMBER(SEARCH(Лист2!$B$4,F:F)),1,0)</f>
        <v>0</v>
      </c>
      <c r="H91" s="3">
        <f ca="1">IF(AND(I91&lt;&gt;I90,ISNUMBER(SEARCH(Лист2!$B$5,I:I)),G91=1),MAX($H$3:OFFSET(H91,-1,0))+1,0)</f>
        <v>0</v>
      </c>
      <c r="I91" s="3" t="s">
        <v>49</v>
      </c>
      <c r="J91" s="4" t="str">
        <f t="shared" ca="1" si="5"/>
        <v/>
      </c>
      <c r="K91" s="2">
        <f>IF(ISNUMBER(SEARCH(Лист2!$B$4,F:F)),1,0)</f>
        <v>0</v>
      </c>
      <c r="L91" s="14">
        <f>IF(ISNUMBER(SEARCH(Лист2!$B$5,I:I)),1,0)+K91</f>
        <v>0</v>
      </c>
      <c r="M91" s="3">
        <f ca="1">IF(AND(N91&lt;&gt;N90,ISNUMBER(SEARCH(Лист2!$B$6,N:N)),L91=2),MAX($M$3:OFFSET(M91,-1,0))+1,0)</f>
        <v>0</v>
      </c>
      <c r="N91" s="3" t="s">
        <v>536</v>
      </c>
    </row>
    <row r="92" spans="1:14" x14ac:dyDescent="0.25">
      <c r="A92" s="1" t="s">
        <v>9878</v>
      </c>
      <c r="B92" s="3" t="s">
        <v>3716</v>
      </c>
      <c r="C92" s="2">
        <f ca="1">IF(ISNUMBER(SEARCH(Лист2!$B$4,D:D)),MAX($C$3:OFFSET(C92,-1,0))+1,0)</f>
        <v>0</v>
      </c>
      <c r="E92" s="9" t="str">
        <f t="shared" ca="1" si="6"/>
        <v/>
      </c>
      <c r="F92" s="4" t="s">
        <v>3</v>
      </c>
      <c r="G92" s="2">
        <f>IF(ISNUMBER(SEARCH(Лист2!$B$4,F:F)),1,0)</f>
        <v>0</v>
      </c>
      <c r="H92" s="3">
        <f ca="1">IF(AND(I92&lt;&gt;I91,ISNUMBER(SEARCH(Лист2!$B$5,I:I)),G92=1),MAX($H$3:OFFSET(H92,-1,0))+1,0)</f>
        <v>0</v>
      </c>
      <c r="I92" s="3" t="s">
        <v>49</v>
      </c>
      <c r="J92" s="4" t="str">
        <f t="shared" ca="1" si="5"/>
        <v/>
      </c>
      <c r="K92" s="2">
        <f>IF(ISNUMBER(SEARCH(Лист2!$B$4,F:F)),1,0)</f>
        <v>0</v>
      </c>
      <c r="L92" s="14">
        <f>IF(ISNUMBER(SEARCH(Лист2!$B$5,I:I)),1,0)+K92</f>
        <v>0</v>
      </c>
      <c r="M92" s="3">
        <f ca="1">IF(AND(N92&lt;&gt;N91,ISNUMBER(SEARCH(Лист2!$B$6,N:N)),L92=2),MAX($M$3:OFFSET(M92,-1,0))+1,0)</f>
        <v>0</v>
      </c>
      <c r="N92" s="3" t="s">
        <v>537</v>
      </c>
    </row>
    <row r="93" spans="1:14" x14ac:dyDescent="0.25">
      <c r="A93" s="1" t="s">
        <v>9879</v>
      </c>
      <c r="B93" s="3" t="s">
        <v>3717</v>
      </c>
      <c r="C93" s="2">
        <f ca="1">IF(ISNUMBER(SEARCH(Лист2!$B$4,D:D)),MAX($C$3:OFFSET(C93,-1,0))+1,0)</f>
        <v>0</v>
      </c>
      <c r="E93" s="9" t="str">
        <f t="shared" ca="1" si="6"/>
        <v/>
      </c>
      <c r="F93" s="4" t="s">
        <v>3</v>
      </c>
      <c r="G93" s="2">
        <f>IF(ISNUMBER(SEARCH(Лист2!$B$4,F:F)),1,0)</f>
        <v>0</v>
      </c>
      <c r="H93" s="3">
        <f ca="1">IF(AND(I93&lt;&gt;I92,ISNUMBER(SEARCH(Лист2!$B$5,I:I)),G93=1),MAX($H$3:OFFSET(H93,-1,0))+1,0)</f>
        <v>0</v>
      </c>
      <c r="I93" s="3" t="s">
        <v>50</v>
      </c>
      <c r="J93" s="4" t="str">
        <f t="shared" ca="1" si="5"/>
        <v/>
      </c>
      <c r="K93" s="2">
        <f>IF(ISNUMBER(SEARCH(Лист2!$B$4,F:F)),1,0)</f>
        <v>0</v>
      </c>
      <c r="L93" s="14">
        <f>IF(ISNUMBER(SEARCH(Лист2!$B$5,I:I)),1,0)+K93</f>
        <v>0</v>
      </c>
      <c r="M93" s="3">
        <f ca="1">IF(AND(N93&lt;&gt;N92,ISNUMBER(SEARCH(Лист2!$B$6,N:N)),L93=2),MAX($M$3:OFFSET(M93,-1,0))+1,0)</f>
        <v>0</v>
      </c>
      <c r="N93" s="3" t="s">
        <v>538</v>
      </c>
    </row>
    <row r="94" spans="1:14" x14ac:dyDescent="0.25">
      <c r="A94" s="1" t="s">
        <v>9880</v>
      </c>
      <c r="B94" s="3" t="s">
        <v>3718</v>
      </c>
      <c r="C94" s="2">
        <f ca="1">IF(ISNUMBER(SEARCH(Лист2!$B$4,D:D)),MAX($C$3:OFFSET(C94,-1,0))+1,0)</f>
        <v>0</v>
      </c>
      <c r="E94" s="9" t="str">
        <f t="shared" ca="1" si="6"/>
        <v/>
      </c>
      <c r="F94" s="4" t="s">
        <v>3</v>
      </c>
      <c r="G94" s="2">
        <f>IF(ISNUMBER(SEARCH(Лист2!$B$4,F:F)),1,0)</f>
        <v>0</v>
      </c>
      <c r="H94" s="3">
        <f ca="1">IF(AND(I94&lt;&gt;I93,ISNUMBER(SEARCH(Лист2!$B$5,I:I)),G94=1),MAX($H$3:OFFSET(H94,-1,0))+1,0)</f>
        <v>0</v>
      </c>
      <c r="I94" s="3" t="s">
        <v>50</v>
      </c>
      <c r="J94" s="4" t="str">
        <f t="shared" ca="1" si="5"/>
        <v/>
      </c>
      <c r="K94" s="2">
        <f>IF(ISNUMBER(SEARCH(Лист2!$B$4,F:F)),1,0)</f>
        <v>0</v>
      </c>
      <c r="L94" s="14">
        <f>IF(ISNUMBER(SEARCH(Лист2!$B$5,I:I)),1,0)+K94</f>
        <v>0</v>
      </c>
      <c r="M94" s="3">
        <f ca="1">IF(AND(N94&lt;&gt;N93,ISNUMBER(SEARCH(Лист2!$B$6,N:N)),L94=2),MAX($M$3:OFFSET(M94,-1,0))+1,0)</f>
        <v>0</v>
      </c>
      <c r="N94" s="3" t="s">
        <v>539</v>
      </c>
    </row>
    <row r="95" spans="1:14" x14ac:dyDescent="0.25">
      <c r="A95" s="1" t="s">
        <v>9881</v>
      </c>
      <c r="B95" s="3" t="s">
        <v>3719</v>
      </c>
      <c r="C95" s="2">
        <f ca="1">IF(ISNUMBER(SEARCH(Лист2!$B$4,D:D)),MAX($C$3:OFFSET(C95,-1,0))+1,0)</f>
        <v>0</v>
      </c>
      <c r="E95" s="9" t="str">
        <f t="shared" ca="1" si="6"/>
        <v/>
      </c>
      <c r="F95" s="4" t="s">
        <v>3</v>
      </c>
      <c r="G95" s="2">
        <f>IF(ISNUMBER(SEARCH(Лист2!$B$4,F:F)),1,0)</f>
        <v>0</v>
      </c>
      <c r="H95" s="3">
        <f ca="1">IF(AND(I95&lt;&gt;I94,ISNUMBER(SEARCH(Лист2!$B$5,I:I)),G95=1),MAX($H$3:OFFSET(H95,-1,0))+1,0)</f>
        <v>0</v>
      </c>
      <c r="I95" s="3" t="s">
        <v>50</v>
      </c>
      <c r="J95" s="4" t="str">
        <f t="shared" ca="1" si="5"/>
        <v/>
      </c>
      <c r="K95" s="2">
        <f>IF(ISNUMBER(SEARCH(Лист2!$B$4,F:F)),1,0)</f>
        <v>0</v>
      </c>
      <c r="L95" s="14">
        <f>IF(ISNUMBER(SEARCH(Лист2!$B$5,I:I)),1,0)+K95</f>
        <v>0</v>
      </c>
      <c r="M95" s="3">
        <f ca="1">IF(AND(N95&lt;&gt;N94,ISNUMBER(SEARCH(Лист2!$B$6,N:N)),L95=2),MAX($M$3:OFFSET(M95,-1,0))+1,0)</f>
        <v>0</v>
      </c>
      <c r="N95" s="3" t="s">
        <v>519</v>
      </c>
    </row>
    <row r="96" spans="1:14" x14ac:dyDescent="0.25">
      <c r="A96" s="1" t="s">
        <v>9882</v>
      </c>
      <c r="B96" s="3" t="s">
        <v>3720</v>
      </c>
      <c r="C96" s="2">
        <f ca="1">IF(ISNUMBER(SEARCH(Лист2!$B$4,D:D)),MAX($C$3:OFFSET(C96,-1,0))+1,0)</f>
        <v>0</v>
      </c>
      <c r="E96" s="9" t="str">
        <f t="shared" ca="1" si="6"/>
        <v/>
      </c>
      <c r="F96" s="4" t="s">
        <v>3</v>
      </c>
      <c r="G96" s="2">
        <f>IF(ISNUMBER(SEARCH(Лист2!$B$4,F:F)),1,0)</f>
        <v>0</v>
      </c>
      <c r="H96" s="3">
        <f ca="1">IF(AND(I96&lt;&gt;I95,ISNUMBER(SEARCH(Лист2!$B$5,I:I)),G96=1),MAX($H$3:OFFSET(H96,-1,0))+1,0)</f>
        <v>0</v>
      </c>
      <c r="I96" s="3" t="s">
        <v>50</v>
      </c>
      <c r="J96" s="4" t="str">
        <f t="shared" ca="1" si="5"/>
        <v/>
      </c>
      <c r="K96" s="2">
        <f>IF(ISNUMBER(SEARCH(Лист2!$B$4,F:F)),1,0)</f>
        <v>0</v>
      </c>
      <c r="L96" s="14">
        <f>IF(ISNUMBER(SEARCH(Лист2!$B$5,I:I)),1,0)+K96</f>
        <v>0</v>
      </c>
      <c r="M96" s="3">
        <f ca="1">IF(AND(N96&lt;&gt;N95,ISNUMBER(SEARCH(Лист2!$B$6,N:N)),L96=2),MAX($M$3:OFFSET(M96,-1,0))+1,0)</f>
        <v>0</v>
      </c>
      <c r="N96" s="3" t="s">
        <v>540</v>
      </c>
    </row>
    <row r="97" spans="1:14" x14ac:dyDescent="0.25">
      <c r="A97" s="1" t="s">
        <v>9883</v>
      </c>
      <c r="B97" s="3" t="s">
        <v>3721</v>
      </c>
      <c r="C97" s="2">
        <f ca="1">IF(ISNUMBER(SEARCH(Лист2!$B$4,D:D)),MAX($C$3:OFFSET(C97,-1,0))+1,0)</f>
        <v>0</v>
      </c>
      <c r="E97" s="9" t="str">
        <f t="shared" ca="1" si="6"/>
        <v/>
      </c>
      <c r="F97" s="4" t="s">
        <v>3</v>
      </c>
      <c r="G97" s="2">
        <f>IF(ISNUMBER(SEARCH(Лист2!$B$4,F:F)),1,0)</f>
        <v>0</v>
      </c>
      <c r="H97" s="3">
        <f ca="1">IF(AND(I97&lt;&gt;I96,ISNUMBER(SEARCH(Лист2!$B$5,I:I)),G97=1),MAX($H$3:OFFSET(H97,-1,0))+1,0)</f>
        <v>0</v>
      </c>
      <c r="I97" s="3" t="s">
        <v>50</v>
      </c>
      <c r="J97" s="4" t="str">
        <f t="shared" ca="1" si="5"/>
        <v/>
      </c>
      <c r="K97" s="2">
        <f>IF(ISNUMBER(SEARCH(Лист2!$B$4,F:F)),1,0)</f>
        <v>0</v>
      </c>
      <c r="L97" s="14">
        <f>IF(ISNUMBER(SEARCH(Лист2!$B$5,I:I)),1,0)+K97</f>
        <v>0</v>
      </c>
      <c r="M97" s="3">
        <f ca="1">IF(AND(N97&lt;&gt;N96,ISNUMBER(SEARCH(Лист2!$B$6,N:N)),L97=2),MAX($M$3:OFFSET(M97,-1,0))+1,0)</f>
        <v>0</v>
      </c>
      <c r="N97" s="3" t="s">
        <v>541</v>
      </c>
    </row>
    <row r="98" spans="1:14" x14ac:dyDescent="0.25">
      <c r="A98" s="1" t="s">
        <v>9884</v>
      </c>
      <c r="B98" s="3" t="s">
        <v>3722</v>
      </c>
      <c r="C98" s="2">
        <f ca="1">IF(ISNUMBER(SEARCH(Лист2!$B$4,D:D)),MAX($C$3:OFFSET(C98,-1,0))+1,0)</f>
        <v>0</v>
      </c>
      <c r="E98" s="9" t="str">
        <f t="shared" ca="1" si="6"/>
        <v/>
      </c>
      <c r="F98" s="4" t="s">
        <v>3</v>
      </c>
      <c r="G98" s="2">
        <f>IF(ISNUMBER(SEARCH(Лист2!$B$4,F:F)),1,0)</f>
        <v>0</v>
      </c>
      <c r="H98" s="3">
        <f ca="1">IF(AND(I98&lt;&gt;I97,ISNUMBER(SEARCH(Лист2!$B$5,I:I)),G98=1),MAX($H$3:OFFSET(H98,-1,0))+1,0)</f>
        <v>0</v>
      </c>
      <c r="I98" s="3" t="s">
        <v>50</v>
      </c>
      <c r="J98" s="4" t="str">
        <f t="shared" ca="1" si="5"/>
        <v/>
      </c>
      <c r="K98" s="2">
        <f>IF(ISNUMBER(SEARCH(Лист2!$B$4,F:F)),1,0)</f>
        <v>0</v>
      </c>
      <c r="L98" s="14">
        <f>IF(ISNUMBER(SEARCH(Лист2!$B$5,I:I)),1,0)+K98</f>
        <v>0</v>
      </c>
      <c r="M98" s="3">
        <f ca="1">IF(AND(N98&lt;&gt;N97,ISNUMBER(SEARCH(Лист2!$B$6,N:N)),L98=2),MAX($M$3:OFFSET(M98,-1,0))+1,0)</f>
        <v>0</v>
      </c>
      <c r="N98" s="3" t="s">
        <v>535</v>
      </c>
    </row>
    <row r="99" spans="1:14" x14ac:dyDescent="0.25">
      <c r="A99" s="1" t="s">
        <v>9883</v>
      </c>
      <c r="B99" s="3" t="s">
        <v>3723</v>
      </c>
      <c r="C99" s="2">
        <f ca="1">IF(ISNUMBER(SEARCH(Лист2!$B$4,D:D)),MAX($C$3:OFFSET(C99,-1,0))+1,0)</f>
        <v>0</v>
      </c>
      <c r="E99" s="9" t="str">
        <f t="shared" ca="1" si="6"/>
        <v/>
      </c>
      <c r="F99" s="4" t="s">
        <v>3</v>
      </c>
      <c r="G99" s="2">
        <f>IF(ISNUMBER(SEARCH(Лист2!$B$4,F:F)),1,0)</f>
        <v>0</v>
      </c>
      <c r="H99" s="3">
        <f ca="1">IF(AND(I99&lt;&gt;I98,ISNUMBER(SEARCH(Лист2!$B$5,I:I)),G99=1),MAX($H$3:OFFSET(H99,-1,0))+1,0)</f>
        <v>0</v>
      </c>
      <c r="I99" s="3" t="s">
        <v>50</v>
      </c>
      <c r="J99" s="4" t="str">
        <f t="shared" ca="1" si="5"/>
        <v/>
      </c>
      <c r="K99" s="2">
        <f>IF(ISNUMBER(SEARCH(Лист2!$B$4,F:F)),1,0)</f>
        <v>0</v>
      </c>
      <c r="L99" s="14">
        <f>IF(ISNUMBER(SEARCH(Лист2!$B$5,I:I)),1,0)+K99</f>
        <v>0</v>
      </c>
      <c r="M99" s="3">
        <f ca="1">IF(AND(N99&lt;&gt;N98,ISNUMBER(SEARCH(Лист2!$B$6,N:N)),L99=2),MAX($M$3:OFFSET(M99,-1,0))+1,0)</f>
        <v>0</v>
      </c>
      <c r="N99" s="3" t="s">
        <v>541</v>
      </c>
    </row>
    <row r="100" spans="1:14" x14ac:dyDescent="0.25">
      <c r="A100" s="1" t="s">
        <v>9885</v>
      </c>
      <c r="B100" s="3" t="s">
        <v>3724</v>
      </c>
      <c r="C100" s="2">
        <f ca="1">IF(ISNUMBER(SEARCH(Лист2!$B$4,D:D)),MAX($C$3:OFFSET(C100,-1,0))+1,0)</f>
        <v>0</v>
      </c>
      <c r="E100" s="9" t="str">
        <f t="shared" ca="1" si="6"/>
        <v/>
      </c>
      <c r="F100" s="4" t="s">
        <v>3</v>
      </c>
      <c r="G100" s="2">
        <f>IF(ISNUMBER(SEARCH(Лист2!$B$4,F:F)),1,0)</f>
        <v>0</v>
      </c>
      <c r="H100" s="3">
        <f ca="1">IF(AND(I100&lt;&gt;I99,ISNUMBER(SEARCH(Лист2!$B$5,I:I)),G100=1),MAX($H$3:OFFSET(H100,-1,0))+1,0)</f>
        <v>0</v>
      </c>
      <c r="I100" s="3" t="s">
        <v>50</v>
      </c>
      <c r="J100" s="4" t="str">
        <f t="shared" ca="1" si="5"/>
        <v/>
      </c>
      <c r="K100" s="2">
        <f>IF(ISNUMBER(SEARCH(Лист2!$B$4,F:F)),1,0)</f>
        <v>0</v>
      </c>
      <c r="L100" s="14">
        <f>IF(ISNUMBER(SEARCH(Лист2!$B$5,I:I)),1,0)+K100</f>
        <v>0</v>
      </c>
      <c r="M100" s="3">
        <f ca="1">IF(AND(N100&lt;&gt;N99,ISNUMBER(SEARCH(Лист2!$B$6,N:N)),L100=2),MAX($M$3:OFFSET(M100,-1,0))+1,0)</f>
        <v>0</v>
      </c>
      <c r="N100" s="3" t="s">
        <v>501</v>
      </c>
    </row>
    <row r="101" spans="1:14" x14ac:dyDescent="0.25">
      <c r="A101" s="1" t="s">
        <v>9886</v>
      </c>
      <c r="B101" s="3" t="s">
        <v>3725</v>
      </c>
      <c r="C101" s="2">
        <f ca="1">IF(ISNUMBER(SEARCH(Лист2!$B$4,D:D)),MAX($C$3:OFFSET(C101,-1,0))+1,0)</f>
        <v>0</v>
      </c>
      <c r="E101" s="9" t="str">
        <f t="shared" ca="1" si="6"/>
        <v/>
      </c>
      <c r="F101" s="4" t="s">
        <v>3</v>
      </c>
      <c r="G101" s="2">
        <f>IF(ISNUMBER(SEARCH(Лист2!$B$4,F:F)),1,0)</f>
        <v>0</v>
      </c>
      <c r="H101" s="3">
        <f ca="1">IF(AND(I101&lt;&gt;I100,ISNUMBER(SEARCH(Лист2!$B$5,I:I)),G101=1),MAX($H$3:OFFSET(H101,-1,0))+1,0)</f>
        <v>0</v>
      </c>
      <c r="I101" s="3" t="s">
        <v>50</v>
      </c>
      <c r="J101" s="4" t="str">
        <f t="shared" ca="1" si="5"/>
        <v/>
      </c>
      <c r="K101" s="2">
        <f>IF(ISNUMBER(SEARCH(Лист2!$B$4,F:F)),1,0)</f>
        <v>0</v>
      </c>
      <c r="L101" s="14">
        <f>IF(ISNUMBER(SEARCH(Лист2!$B$5,I:I)),1,0)+K101</f>
        <v>0</v>
      </c>
      <c r="M101" s="3">
        <f ca="1">IF(AND(N101&lt;&gt;N100,ISNUMBER(SEARCH(Лист2!$B$6,N:N)),L101=2),MAX($M$3:OFFSET(M101,-1,0))+1,0)</f>
        <v>0</v>
      </c>
      <c r="N101" s="3" t="s">
        <v>542</v>
      </c>
    </row>
    <row r="102" spans="1:14" x14ac:dyDescent="0.25">
      <c r="A102" s="1" t="s">
        <v>9887</v>
      </c>
      <c r="B102" s="3" t="s">
        <v>3726</v>
      </c>
      <c r="C102" s="2">
        <f ca="1">IF(ISNUMBER(SEARCH(Лист2!$B$4,D:D)),MAX($C$3:OFFSET(C102,-1,0))+1,0)</f>
        <v>0</v>
      </c>
      <c r="E102" s="9" t="str">
        <f t="shared" ca="1" si="6"/>
        <v/>
      </c>
      <c r="F102" s="4" t="s">
        <v>3</v>
      </c>
      <c r="G102" s="2">
        <f>IF(ISNUMBER(SEARCH(Лист2!$B$4,F:F)),1,0)</f>
        <v>0</v>
      </c>
      <c r="H102" s="3">
        <f ca="1">IF(AND(I102&lt;&gt;I101,ISNUMBER(SEARCH(Лист2!$B$5,I:I)),G102=1),MAX($H$3:OFFSET(H102,-1,0))+1,0)</f>
        <v>0</v>
      </c>
      <c r="I102" s="3" t="s">
        <v>50</v>
      </c>
      <c r="J102" s="4" t="str">
        <f t="shared" ca="1" si="5"/>
        <v/>
      </c>
      <c r="K102" s="2">
        <f>IF(ISNUMBER(SEARCH(Лист2!$B$4,F:F)),1,0)</f>
        <v>0</v>
      </c>
      <c r="L102" s="14">
        <f>IF(ISNUMBER(SEARCH(Лист2!$B$5,I:I)),1,0)+K102</f>
        <v>0</v>
      </c>
      <c r="M102" s="3">
        <f ca="1">IF(AND(N102&lt;&gt;N101,ISNUMBER(SEARCH(Лист2!$B$6,N:N)),L102=2),MAX($M$3:OFFSET(M102,-1,0))+1,0)</f>
        <v>0</v>
      </c>
      <c r="N102" s="3" t="s">
        <v>543</v>
      </c>
    </row>
    <row r="103" spans="1:14" x14ac:dyDescent="0.25">
      <c r="A103" s="1" t="s">
        <v>9888</v>
      </c>
      <c r="B103" s="3" t="s">
        <v>3727</v>
      </c>
      <c r="C103" s="2">
        <f ca="1">IF(ISNUMBER(SEARCH(Лист2!$B$4,D:D)),MAX($C$3:OFFSET(C103,-1,0))+1,0)</f>
        <v>0</v>
      </c>
      <c r="E103" s="9" t="str">
        <f t="shared" ca="1" si="6"/>
        <v/>
      </c>
      <c r="F103" s="4" t="s">
        <v>3</v>
      </c>
      <c r="G103" s="2">
        <f>IF(ISNUMBER(SEARCH(Лист2!$B$4,F:F)),1,0)</f>
        <v>0</v>
      </c>
      <c r="H103" s="3">
        <f ca="1">IF(AND(I103&lt;&gt;I102,ISNUMBER(SEARCH(Лист2!$B$5,I:I)),G103=1),MAX($H$3:OFFSET(H103,-1,0))+1,0)</f>
        <v>0</v>
      </c>
      <c r="I103" s="3" t="s">
        <v>51</v>
      </c>
      <c r="J103" s="4" t="str">
        <f t="shared" ca="1" si="5"/>
        <v/>
      </c>
      <c r="K103" s="2">
        <f>IF(ISNUMBER(SEARCH(Лист2!$B$4,F:F)),1,0)</f>
        <v>0</v>
      </c>
      <c r="L103" s="14">
        <f>IF(ISNUMBER(SEARCH(Лист2!$B$5,I:I)),1,0)+K103</f>
        <v>1</v>
      </c>
      <c r="M103" s="3">
        <f ca="1">IF(AND(N103&lt;&gt;N102,ISNUMBER(SEARCH(Лист2!$B$6,N:N)),L103=2),MAX($M$3:OFFSET(M103,-1,0))+1,0)</f>
        <v>0</v>
      </c>
      <c r="N103" s="3" t="s">
        <v>544</v>
      </c>
    </row>
    <row r="104" spans="1:14" x14ac:dyDescent="0.25">
      <c r="A104" s="1" t="s">
        <v>9889</v>
      </c>
      <c r="B104" s="3" t="s">
        <v>3728</v>
      </c>
      <c r="C104" s="2">
        <f ca="1">IF(ISNUMBER(SEARCH(Лист2!$B$4,D:D)),MAX($C$3:OFFSET(C104,-1,0))+1,0)</f>
        <v>0</v>
      </c>
      <c r="E104" s="9" t="str">
        <f t="shared" ca="1" si="6"/>
        <v/>
      </c>
      <c r="F104" s="4" t="s">
        <v>3</v>
      </c>
      <c r="G104" s="2">
        <f>IF(ISNUMBER(SEARCH(Лист2!$B$4,F:F)),1,0)</f>
        <v>0</v>
      </c>
      <c r="H104" s="3">
        <f ca="1">IF(AND(I104&lt;&gt;I103,ISNUMBER(SEARCH(Лист2!$B$5,I:I)),G104=1),MAX($H$3:OFFSET(H104,-1,0))+1,0)</f>
        <v>0</v>
      </c>
      <c r="I104" s="3" t="s">
        <v>51</v>
      </c>
      <c r="J104" s="4" t="str">
        <f t="shared" ca="1" si="5"/>
        <v/>
      </c>
      <c r="K104" s="2">
        <f>IF(ISNUMBER(SEARCH(Лист2!$B$4,F:F)),1,0)</f>
        <v>0</v>
      </c>
      <c r="L104" s="14">
        <f>IF(ISNUMBER(SEARCH(Лист2!$B$5,I:I)),1,0)+K104</f>
        <v>1</v>
      </c>
      <c r="M104" s="3">
        <f ca="1">IF(AND(N104&lt;&gt;N103,ISNUMBER(SEARCH(Лист2!$B$6,N:N)),L104=2),MAX($M$3:OFFSET(M104,-1,0))+1,0)</f>
        <v>0</v>
      </c>
      <c r="N104" s="3" t="s">
        <v>545</v>
      </c>
    </row>
    <row r="105" spans="1:14" x14ac:dyDescent="0.25">
      <c r="A105" s="1" t="s">
        <v>9890</v>
      </c>
      <c r="B105" s="3" t="s">
        <v>3729</v>
      </c>
      <c r="C105" s="2">
        <f ca="1">IF(ISNUMBER(SEARCH(Лист2!$B$4,D:D)),MAX($C$3:OFFSET(C105,-1,0))+1,0)</f>
        <v>0</v>
      </c>
      <c r="E105" s="9" t="str">
        <f t="shared" ca="1" si="6"/>
        <v/>
      </c>
      <c r="F105" s="4" t="s">
        <v>3</v>
      </c>
      <c r="G105" s="2">
        <f>IF(ISNUMBER(SEARCH(Лист2!$B$4,F:F)),1,0)</f>
        <v>0</v>
      </c>
      <c r="H105" s="3">
        <f ca="1">IF(AND(I105&lt;&gt;I104,ISNUMBER(SEARCH(Лист2!$B$5,I:I)),G105=1),MAX($H$3:OFFSET(H105,-1,0))+1,0)</f>
        <v>0</v>
      </c>
      <c r="I105" s="3" t="s">
        <v>51</v>
      </c>
      <c r="J105" s="4" t="str">
        <f t="shared" ca="1" si="5"/>
        <v/>
      </c>
      <c r="K105" s="2">
        <f>IF(ISNUMBER(SEARCH(Лист2!$B$4,F:F)),1,0)</f>
        <v>0</v>
      </c>
      <c r="L105" s="14">
        <f>IF(ISNUMBER(SEARCH(Лист2!$B$5,I:I)),1,0)+K105</f>
        <v>1</v>
      </c>
      <c r="M105" s="3">
        <f ca="1">IF(AND(N105&lt;&gt;N104,ISNUMBER(SEARCH(Лист2!$B$6,N:N)),L105=2),MAX($M$3:OFFSET(M105,-1,0))+1,0)</f>
        <v>0</v>
      </c>
      <c r="N105" s="3" t="s">
        <v>546</v>
      </c>
    </row>
    <row r="106" spans="1:14" x14ac:dyDescent="0.25">
      <c r="A106" s="1" t="s">
        <v>9891</v>
      </c>
      <c r="B106" s="3" t="s">
        <v>3730</v>
      </c>
      <c r="C106" s="2">
        <f ca="1">IF(ISNUMBER(SEARCH(Лист2!$B$4,D:D)),MAX($C$3:OFFSET(C106,-1,0))+1,0)</f>
        <v>0</v>
      </c>
      <c r="E106" s="9" t="str">
        <f t="shared" ca="1" si="6"/>
        <v/>
      </c>
      <c r="F106" s="4" t="s">
        <v>3</v>
      </c>
      <c r="G106" s="2">
        <f>IF(ISNUMBER(SEARCH(Лист2!$B$4,F:F)),1,0)</f>
        <v>0</v>
      </c>
      <c r="H106" s="3">
        <f ca="1">IF(AND(I106&lt;&gt;I105,ISNUMBER(SEARCH(Лист2!$B$5,I:I)),G106=1),MAX($H$3:OFFSET(H106,-1,0))+1,0)</f>
        <v>0</v>
      </c>
      <c r="I106" s="3" t="s">
        <v>51</v>
      </c>
      <c r="J106" s="4" t="str">
        <f t="shared" ca="1" si="5"/>
        <v/>
      </c>
      <c r="K106" s="2">
        <f>IF(ISNUMBER(SEARCH(Лист2!$B$4,F:F)),1,0)</f>
        <v>0</v>
      </c>
      <c r="L106" s="14">
        <f>IF(ISNUMBER(SEARCH(Лист2!$B$5,I:I)),1,0)+K106</f>
        <v>1</v>
      </c>
      <c r="M106" s="3">
        <f ca="1">IF(AND(N106&lt;&gt;N105,ISNUMBER(SEARCH(Лист2!$B$6,N:N)),L106=2),MAX($M$3:OFFSET(M106,-1,0))+1,0)</f>
        <v>0</v>
      </c>
      <c r="N106" s="3" t="s">
        <v>547</v>
      </c>
    </row>
    <row r="107" spans="1:14" x14ac:dyDescent="0.25">
      <c r="A107" s="1" t="s">
        <v>9892</v>
      </c>
      <c r="B107" s="3" t="s">
        <v>3731</v>
      </c>
      <c r="C107" s="2">
        <f ca="1">IF(ISNUMBER(SEARCH(Лист2!$B$4,D:D)),MAX($C$3:OFFSET(C107,-1,0))+1,0)</f>
        <v>0</v>
      </c>
      <c r="E107" s="9" t="str">
        <f t="shared" ca="1" si="6"/>
        <v/>
      </c>
      <c r="F107" s="4" t="s">
        <v>3</v>
      </c>
      <c r="G107" s="2">
        <f>IF(ISNUMBER(SEARCH(Лист2!$B$4,F:F)),1,0)</f>
        <v>0</v>
      </c>
      <c r="H107" s="3">
        <f ca="1">IF(AND(I107&lt;&gt;I106,ISNUMBER(SEARCH(Лист2!$B$5,I:I)),G107=1),MAX($H$3:OFFSET(H107,-1,0))+1,0)</f>
        <v>0</v>
      </c>
      <c r="I107" s="3" t="s">
        <v>51</v>
      </c>
      <c r="J107" s="4" t="str">
        <f t="shared" ca="1" si="5"/>
        <v/>
      </c>
      <c r="K107" s="2">
        <f>IF(ISNUMBER(SEARCH(Лист2!$B$4,F:F)),1,0)</f>
        <v>0</v>
      </c>
      <c r="L107" s="14">
        <f>IF(ISNUMBER(SEARCH(Лист2!$B$5,I:I)),1,0)+K107</f>
        <v>1</v>
      </c>
      <c r="M107" s="3">
        <f ca="1">IF(AND(N107&lt;&gt;N106,ISNUMBER(SEARCH(Лист2!$B$6,N:N)),L107=2),MAX($M$3:OFFSET(M107,-1,0))+1,0)</f>
        <v>0</v>
      </c>
      <c r="N107" s="3" t="s">
        <v>548</v>
      </c>
    </row>
    <row r="108" spans="1:14" x14ac:dyDescent="0.25">
      <c r="A108" s="1" t="s">
        <v>9893</v>
      </c>
      <c r="B108" s="3" t="s">
        <v>3732</v>
      </c>
      <c r="C108" s="2">
        <f ca="1">IF(ISNUMBER(SEARCH(Лист2!$B$4,D:D)),MAX($C$3:OFFSET(C108,-1,0))+1,0)</f>
        <v>0</v>
      </c>
      <c r="E108" s="9" t="str">
        <f t="shared" ca="1" si="6"/>
        <v/>
      </c>
      <c r="F108" s="4" t="s">
        <v>3</v>
      </c>
      <c r="G108" s="2">
        <f>IF(ISNUMBER(SEARCH(Лист2!$B$4,F:F)),1,0)</f>
        <v>0</v>
      </c>
      <c r="H108" s="3">
        <f ca="1">IF(AND(I108&lt;&gt;I107,ISNUMBER(SEARCH(Лист2!$B$5,I:I)),G108=1),MAX($H$3:OFFSET(H108,-1,0))+1,0)</f>
        <v>0</v>
      </c>
      <c r="I108" s="3" t="s">
        <v>51</v>
      </c>
      <c r="J108" s="4" t="str">
        <f t="shared" ca="1" si="5"/>
        <v/>
      </c>
      <c r="K108" s="2">
        <f>IF(ISNUMBER(SEARCH(Лист2!$B$4,F:F)),1,0)</f>
        <v>0</v>
      </c>
      <c r="L108" s="14">
        <f>IF(ISNUMBER(SEARCH(Лист2!$B$5,I:I)),1,0)+K108</f>
        <v>1</v>
      </c>
      <c r="M108" s="3">
        <f ca="1">IF(AND(N108&lt;&gt;N107,ISNUMBER(SEARCH(Лист2!$B$6,N:N)),L108=2),MAX($M$3:OFFSET(M108,-1,0))+1,0)</f>
        <v>0</v>
      </c>
      <c r="N108" s="3" t="s">
        <v>549</v>
      </c>
    </row>
    <row r="109" spans="1:14" x14ac:dyDescent="0.25">
      <c r="A109" s="1" t="s">
        <v>9894</v>
      </c>
      <c r="B109" s="3" t="s">
        <v>3733</v>
      </c>
      <c r="C109" s="2">
        <f ca="1">IF(ISNUMBER(SEARCH(Лист2!$B$4,D:D)),MAX($C$3:OFFSET(C109,-1,0))+1,0)</f>
        <v>0</v>
      </c>
      <c r="E109" s="9" t="str">
        <f t="shared" ca="1" si="6"/>
        <v/>
      </c>
      <c r="F109" s="4" t="s">
        <v>3</v>
      </c>
      <c r="G109" s="2">
        <f>IF(ISNUMBER(SEARCH(Лист2!$B$4,F:F)),1,0)</f>
        <v>0</v>
      </c>
      <c r="H109" s="3">
        <f ca="1">IF(AND(I109&lt;&gt;I108,ISNUMBER(SEARCH(Лист2!$B$5,I:I)),G109=1),MAX($H$3:OFFSET(H109,-1,0))+1,0)</f>
        <v>0</v>
      </c>
      <c r="I109" s="3" t="s">
        <v>51</v>
      </c>
      <c r="J109" s="4" t="str">
        <f t="shared" ca="1" si="5"/>
        <v/>
      </c>
      <c r="K109" s="2">
        <f>IF(ISNUMBER(SEARCH(Лист2!$B$4,F:F)),1,0)</f>
        <v>0</v>
      </c>
      <c r="L109" s="14">
        <f>IF(ISNUMBER(SEARCH(Лист2!$B$5,I:I)),1,0)+K109</f>
        <v>1</v>
      </c>
      <c r="M109" s="3">
        <f ca="1">IF(AND(N109&lt;&gt;N108,ISNUMBER(SEARCH(Лист2!$B$6,N:N)),L109=2),MAX($M$3:OFFSET(M109,-1,0))+1,0)</f>
        <v>0</v>
      </c>
      <c r="N109" s="3" t="s">
        <v>501</v>
      </c>
    </row>
    <row r="110" spans="1:14" x14ac:dyDescent="0.25">
      <c r="A110" s="1" t="s">
        <v>9895</v>
      </c>
      <c r="B110" s="3" t="s">
        <v>3734</v>
      </c>
      <c r="C110" s="2">
        <f ca="1">IF(ISNUMBER(SEARCH(Лист2!$B$4,D:D)),MAX($C$3:OFFSET(C110,-1,0))+1,0)</f>
        <v>0</v>
      </c>
      <c r="E110" s="9" t="str">
        <f t="shared" ca="1" si="6"/>
        <v/>
      </c>
      <c r="F110" s="4" t="s">
        <v>3</v>
      </c>
      <c r="G110" s="2">
        <f>IF(ISNUMBER(SEARCH(Лист2!$B$4,F:F)),1,0)</f>
        <v>0</v>
      </c>
      <c r="H110" s="3">
        <f ca="1">IF(AND(I110&lt;&gt;I109,ISNUMBER(SEARCH(Лист2!$B$5,I:I)),G110=1),MAX($H$3:OFFSET(H110,-1,0))+1,0)</f>
        <v>0</v>
      </c>
      <c r="I110" s="3" t="s">
        <v>52</v>
      </c>
      <c r="J110" s="4" t="str">
        <f t="shared" ca="1" si="5"/>
        <v/>
      </c>
      <c r="K110" s="2">
        <f>IF(ISNUMBER(SEARCH(Лист2!$B$4,F:F)),1,0)</f>
        <v>0</v>
      </c>
      <c r="L110" s="14">
        <f>IF(ISNUMBER(SEARCH(Лист2!$B$5,I:I)),1,0)+K110</f>
        <v>0</v>
      </c>
      <c r="M110" s="3">
        <f ca="1">IF(AND(N110&lt;&gt;N109,ISNUMBER(SEARCH(Лист2!$B$6,N:N)),L110=2),MAX($M$3:OFFSET(M110,-1,0))+1,0)</f>
        <v>0</v>
      </c>
      <c r="N110" s="3" t="s">
        <v>550</v>
      </c>
    </row>
    <row r="111" spans="1:14" x14ac:dyDescent="0.25">
      <c r="A111" s="1" t="s">
        <v>9896</v>
      </c>
      <c r="B111" s="3" t="s">
        <v>3735</v>
      </c>
      <c r="C111" s="2">
        <f ca="1">IF(ISNUMBER(SEARCH(Лист2!$B$4,D:D)),MAX($C$3:OFFSET(C111,-1,0))+1,0)</f>
        <v>0</v>
      </c>
      <c r="E111" s="9" t="str">
        <f t="shared" ca="1" si="6"/>
        <v/>
      </c>
      <c r="F111" s="4" t="s">
        <v>3</v>
      </c>
      <c r="G111" s="2">
        <f>IF(ISNUMBER(SEARCH(Лист2!$B$4,F:F)),1,0)</f>
        <v>0</v>
      </c>
      <c r="H111" s="3">
        <f ca="1">IF(AND(I111&lt;&gt;I110,ISNUMBER(SEARCH(Лист2!$B$5,I:I)),G111=1),MAX($H$3:OFFSET(H111,-1,0))+1,0)</f>
        <v>0</v>
      </c>
      <c r="I111" s="3" t="s">
        <v>52</v>
      </c>
      <c r="J111" s="4" t="str">
        <f t="shared" ca="1" si="5"/>
        <v/>
      </c>
      <c r="K111" s="2">
        <f>IF(ISNUMBER(SEARCH(Лист2!$B$4,F:F)),1,0)</f>
        <v>0</v>
      </c>
      <c r="L111" s="14">
        <f>IF(ISNUMBER(SEARCH(Лист2!$B$5,I:I)),1,0)+K111</f>
        <v>0</v>
      </c>
      <c r="M111" s="3">
        <f ca="1">IF(AND(N111&lt;&gt;N110,ISNUMBER(SEARCH(Лист2!$B$6,N:N)),L111=2),MAX($M$3:OFFSET(M111,-1,0))+1,0)</f>
        <v>0</v>
      </c>
      <c r="N111" s="3" t="s">
        <v>551</v>
      </c>
    </row>
    <row r="112" spans="1:14" x14ac:dyDescent="0.25">
      <c r="A112" s="1" t="s">
        <v>9896</v>
      </c>
      <c r="B112" s="3" t="s">
        <v>3736</v>
      </c>
      <c r="C112" s="2">
        <f ca="1">IF(ISNUMBER(SEARCH(Лист2!$B$4,D:D)),MAX($C$3:OFFSET(C112,-1,0))+1,0)</f>
        <v>0</v>
      </c>
      <c r="E112" s="9" t="str">
        <f t="shared" ca="1" si="6"/>
        <v/>
      </c>
      <c r="F112" s="4" t="s">
        <v>3</v>
      </c>
      <c r="G112" s="2">
        <f>IF(ISNUMBER(SEARCH(Лист2!$B$4,F:F)),1,0)</f>
        <v>0</v>
      </c>
      <c r="H112" s="3">
        <f ca="1">IF(AND(I112&lt;&gt;I111,ISNUMBER(SEARCH(Лист2!$B$5,I:I)),G112=1),MAX($H$3:OFFSET(H112,-1,0))+1,0)</f>
        <v>0</v>
      </c>
      <c r="I112" s="3" t="s">
        <v>52</v>
      </c>
      <c r="J112" s="4" t="str">
        <f t="shared" ca="1" si="5"/>
        <v/>
      </c>
      <c r="K112" s="2">
        <f>IF(ISNUMBER(SEARCH(Лист2!$B$4,F:F)),1,0)</f>
        <v>0</v>
      </c>
      <c r="L112" s="14">
        <f>IF(ISNUMBER(SEARCH(Лист2!$B$5,I:I)),1,0)+K112</f>
        <v>0</v>
      </c>
      <c r="M112" s="3">
        <f ca="1">IF(AND(N112&lt;&gt;N111,ISNUMBER(SEARCH(Лист2!$B$6,N:N)),L112=2),MAX($M$3:OFFSET(M112,-1,0))+1,0)</f>
        <v>0</v>
      </c>
      <c r="N112" s="3" t="s">
        <v>551</v>
      </c>
    </row>
    <row r="113" spans="1:14" x14ac:dyDescent="0.25">
      <c r="A113" s="1" t="s">
        <v>9897</v>
      </c>
      <c r="B113" s="3" t="s">
        <v>3737</v>
      </c>
      <c r="C113" s="2">
        <f ca="1">IF(ISNUMBER(SEARCH(Лист2!$B$4,D:D)),MAX($C$3:OFFSET(C113,-1,0))+1,0)</f>
        <v>0</v>
      </c>
      <c r="E113" s="9" t="str">
        <f t="shared" ca="1" si="6"/>
        <v/>
      </c>
      <c r="F113" s="4" t="s">
        <v>3</v>
      </c>
      <c r="G113" s="2">
        <f>IF(ISNUMBER(SEARCH(Лист2!$B$4,F:F)),1,0)</f>
        <v>0</v>
      </c>
      <c r="H113" s="3">
        <f ca="1">IF(AND(I113&lt;&gt;I112,ISNUMBER(SEARCH(Лист2!$B$5,I:I)),G113=1),MAX($H$3:OFFSET(H113,-1,0))+1,0)</f>
        <v>0</v>
      </c>
      <c r="I113" s="3" t="s">
        <v>52</v>
      </c>
      <c r="J113" s="4" t="str">
        <f t="shared" ca="1" si="5"/>
        <v/>
      </c>
      <c r="K113" s="2">
        <f>IF(ISNUMBER(SEARCH(Лист2!$B$4,F:F)),1,0)</f>
        <v>0</v>
      </c>
      <c r="L113" s="14">
        <f>IF(ISNUMBER(SEARCH(Лист2!$B$5,I:I)),1,0)+K113</f>
        <v>0</v>
      </c>
      <c r="M113" s="3">
        <f ca="1">IF(AND(N113&lt;&gt;N112,ISNUMBER(SEARCH(Лист2!$B$6,N:N)),L113=2),MAX($M$3:OFFSET(M113,-1,0))+1,0)</f>
        <v>0</v>
      </c>
      <c r="N113" s="3" t="s">
        <v>501</v>
      </c>
    </row>
    <row r="114" spans="1:14" x14ac:dyDescent="0.25">
      <c r="A114" s="1" t="s">
        <v>9898</v>
      </c>
      <c r="B114" s="3" t="s">
        <v>3738</v>
      </c>
      <c r="C114" s="2">
        <f ca="1">IF(ISNUMBER(SEARCH(Лист2!$B$4,D:D)),MAX($C$3:OFFSET(C114,-1,0))+1,0)</f>
        <v>0</v>
      </c>
      <c r="E114" s="9" t="str">
        <f t="shared" ca="1" si="6"/>
        <v/>
      </c>
      <c r="F114" s="4" t="s">
        <v>3</v>
      </c>
      <c r="G114" s="2">
        <f>IF(ISNUMBER(SEARCH(Лист2!$B$4,F:F)),1,0)</f>
        <v>0</v>
      </c>
      <c r="H114" s="3">
        <f ca="1">IF(AND(I114&lt;&gt;I113,ISNUMBER(SEARCH(Лист2!$B$5,I:I)),G114=1),MAX($H$3:OFFSET(H114,-1,0))+1,0)</f>
        <v>0</v>
      </c>
      <c r="I114" s="3" t="s">
        <v>52</v>
      </c>
      <c r="J114" s="4" t="str">
        <f t="shared" ca="1" si="5"/>
        <v/>
      </c>
      <c r="K114" s="2">
        <f>IF(ISNUMBER(SEARCH(Лист2!$B$4,F:F)),1,0)</f>
        <v>0</v>
      </c>
      <c r="L114" s="14">
        <f>IF(ISNUMBER(SEARCH(Лист2!$B$5,I:I)),1,0)+K114</f>
        <v>0</v>
      </c>
      <c r="M114" s="3">
        <f ca="1">IF(AND(N114&lt;&gt;N113,ISNUMBER(SEARCH(Лист2!$B$6,N:N)),L114=2),MAX($M$3:OFFSET(M114,-1,0))+1,0)</f>
        <v>0</v>
      </c>
      <c r="N114" s="3" t="s">
        <v>552</v>
      </c>
    </row>
    <row r="115" spans="1:14" x14ac:dyDescent="0.25">
      <c r="A115" s="1" t="s">
        <v>9899</v>
      </c>
      <c r="B115" s="3" t="s">
        <v>3739</v>
      </c>
      <c r="C115" s="2">
        <f ca="1">IF(ISNUMBER(SEARCH(Лист2!$B$4,D:D)),MAX($C$3:OFFSET(C115,-1,0))+1,0)</f>
        <v>0</v>
      </c>
      <c r="E115" s="9" t="str">
        <f t="shared" ca="1" si="6"/>
        <v/>
      </c>
      <c r="F115" s="4" t="s">
        <v>3</v>
      </c>
      <c r="G115" s="2">
        <f>IF(ISNUMBER(SEARCH(Лист2!$B$4,F:F)),1,0)</f>
        <v>0</v>
      </c>
      <c r="H115" s="3">
        <f ca="1">IF(AND(I115&lt;&gt;I114,ISNUMBER(SEARCH(Лист2!$B$5,I:I)),G115=1),MAX($H$3:OFFSET(H115,-1,0))+1,0)</f>
        <v>0</v>
      </c>
      <c r="I115" s="3" t="s">
        <v>52</v>
      </c>
      <c r="J115" s="4" t="str">
        <f t="shared" ca="1" si="5"/>
        <v/>
      </c>
      <c r="K115" s="2">
        <f>IF(ISNUMBER(SEARCH(Лист2!$B$4,F:F)),1,0)</f>
        <v>0</v>
      </c>
      <c r="L115" s="14">
        <f>IF(ISNUMBER(SEARCH(Лист2!$B$5,I:I)),1,0)+K115</f>
        <v>0</v>
      </c>
      <c r="M115" s="3">
        <f ca="1">IF(AND(N115&lt;&gt;N114,ISNUMBER(SEARCH(Лист2!$B$6,N:N)),L115=2),MAX($M$3:OFFSET(M115,-1,0))+1,0)</f>
        <v>0</v>
      </c>
      <c r="N115" s="3" t="s">
        <v>553</v>
      </c>
    </row>
    <row r="116" spans="1:14" x14ac:dyDescent="0.25">
      <c r="A116" s="1" t="s">
        <v>9900</v>
      </c>
      <c r="B116" s="3" t="s">
        <v>3740</v>
      </c>
      <c r="C116" s="2">
        <f ca="1">IF(ISNUMBER(SEARCH(Лист2!$B$4,D:D)),MAX($C$3:OFFSET(C116,-1,0))+1,0)</f>
        <v>0</v>
      </c>
      <c r="E116" s="9" t="str">
        <f t="shared" ca="1" si="6"/>
        <v/>
      </c>
      <c r="F116" s="4" t="s">
        <v>3</v>
      </c>
      <c r="G116" s="2">
        <f>IF(ISNUMBER(SEARCH(Лист2!$B$4,F:F)),1,0)</f>
        <v>0</v>
      </c>
      <c r="H116" s="3">
        <f ca="1">IF(AND(I116&lt;&gt;I115,ISNUMBER(SEARCH(Лист2!$B$5,I:I)),G116=1),MAX($H$3:OFFSET(H116,-1,0))+1,0)</f>
        <v>0</v>
      </c>
      <c r="I116" s="3" t="s">
        <v>52</v>
      </c>
      <c r="J116" s="4" t="str">
        <f t="shared" ca="1" si="5"/>
        <v/>
      </c>
      <c r="K116" s="2">
        <f>IF(ISNUMBER(SEARCH(Лист2!$B$4,F:F)),1,0)</f>
        <v>0</v>
      </c>
      <c r="L116" s="14">
        <f>IF(ISNUMBER(SEARCH(Лист2!$B$5,I:I)),1,0)+K116</f>
        <v>0</v>
      </c>
      <c r="M116" s="3">
        <f ca="1">IF(AND(N116&lt;&gt;N115,ISNUMBER(SEARCH(Лист2!$B$6,N:N)),L116=2),MAX($M$3:OFFSET(M116,-1,0))+1,0)</f>
        <v>0</v>
      </c>
      <c r="N116" s="3" t="s">
        <v>554</v>
      </c>
    </row>
    <row r="117" spans="1:14" x14ac:dyDescent="0.25">
      <c r="A117" s="1" t="s">
        <v>9901</v>
      </c>
      <c r="B117" s="3" t="s">
        <v>3741</v>
      </c>
      <c r="C117" s="2">
        <f ca="1">IF(ISNUMBER(SEARCH(Лист2!$B$4,D:D)),MAX($C$3:OFFSET(C117,-1,0))+1,0)</f>
        <v>0</v>
      </c>
      <c r="E117" s="9" t="str">
        <f t="shared" ca="1" si="6"/>
        <v/>
      </c>
      <c r="F117" s="4" t="s">
        <v>3</v>
      </c>
      <c r="G117" s="2">
        <f>IF(ISNUMBER(SEARCH(Лист2!$B$4,F:F)),1,0)</f>
        <v>0</v>
      </c>
      <c r="H117" s="3">
        <f ca="1">IF(AND(I117&lt;&gt;I116,ISNUMBER(SEARCH(Лист2!$B$5,I:I)),G117=1),MAX($H$3:OFFSET(H117,-1,0))+1,0)</f>
        <v>0</v>
      </c>
      <c r="I117" s="3" t="s">
        <v>52</v>
      </c>
      <c r="J117" s="4" t="str">
        <f t="shared" ca="1" si="5"/>
        <v/>
      </c>
      <c r="K117" s="2">
        <f>IF(ISNUMBER(SEARCH(Лист2!$B$4,F:F)),1,0)</f>
        <v>0</v>
      </c>
      <c r="L117" s="14">
        <f>IF(ISNUMBER(SEARCH(Лист2!$B$5,I:I)),1,0)+K117</f>
        <v>0</v>
      </c>
      <c r="M117" s="3">
        <f ca="1">IF(AND(N117&lt;&gt;N116,ISNUMBER(SEARCH(Лист2!$B$6,N:N)),L117=2),MAX($M$3:OFFSET(M117,-1,0))+1,0)</f>
        <v>0</v>
      </c>
      <c r="N117" s="3" t="s">
        <v>555</v>
      </c>
    </row>
    <row r="118" spans="1:14" x14ac:dyDescent="0.25">
      <c r="A118" s="1" t="s">
        <v>9902</v>
      </c>
      <c r="B118" s="3" t="s">
        <v>3742</v>
      </c>
      <c r="C118" s="2">
        <f ca="1">IF(ISNUMBER(SEARCH(Лист2!$B$4,D:D)),MAX($C$3:OFFSET(C118,-1,0))+1,0)</f>
        <v>0</v>
      </c>
      <c r="E118" s="9" t="str">
        <f t="shared" ca="1" si="6"/>
        <v/>
      </c>
      <c r="F118" s="4" t="s">
        <v>3</v>
      </c>
      <c r="G118" s="2">
        <f>IF(ISNUMBER(SEARCH(Лист2!$B$4,F:F)),1,0)</f>
        <v>0</v>
      </c>
      <c r="H118" s="3">
        <f ca="1">IF(AND(I118&lt;&gt;I117,ISNUMBER(SEARCH(Лист2!$B$5,I:I)),G118=1),MAX($H$3:OFFSET(H118,-1,0))+1,0)</f>
        <v>0</v>
      </c>
      <c r="I118" s="3" t="s">
        <v>53</v>
      </c>
      <c r="J118" s="4" t="str">
        <f t="shared" ca="1" si="5"/>
        <v/>
      </c>
      <c r="K118" s="2">
        <f>IF(ISNUMBER(SEARCH(Лист2!$B$4,F:F)),1,0)</f>
        <v>0</v>
      </c>
      <c r="L118" s="14">
        <f>IF(ISNUMBER(SEARCH(Лист2!$B$5,I:I)),1,0)+K118</f>
        <v>0</v>
      </c>
      <c r="M118" s="3">
        <f ca="1">IF(AND(N118&lt;&gt;N117,ISNUMBER(SEARCH(Лист2!$B$6,N:N)),L118=2),MAX($M$3:OFFSET(M118,-1,0))+1,0)</f>
        <v>0</v>
      </c>
      <c r="N118" s="3" t="s">
        <v>556</v>
      </c>
    </row>
    <row r="119" spans="1:14" x14ac:dyDescent="0.25">
      <c r="A119" s="1" t="s">
        <v>9903</v>
      </c>
      <c r="B119" s="3" t="s">
        <v>3743</v>
      </c>
      <c r="C119" s="2">
        <f ca="1">IF(ISNUMBER(SEARCH(Лист2!$B$4,D:D)),MAX($C$3:OFFSET(C119,-1,0))+1,0)</f>
        <v>0</v>
      </c>
      <c r="E119" s="9" t="str">
        <f t="shared" ca="1" si="6"/>
        <v/>
      </c>
      <c r="F119" s="4" t="s">
        <v>3</v>
      </c>
      <c r="G119" s="2">
        <f>IF(ISNUMBER(SEARCH(Лист2!$B$4,F:F)),1,0)</f>
        <v>0</v>
      </c>
      <c r="H119" s="3">
        <f ca="1">IF(AND(I119&lt;&gt;I118,ISNUMBER(SEARCH(Лист2!$B$5,I:I)),G119=1),MAX($H$3:OFFSET(H119,-1,0))+1,0)</f>
        <v>0</v>
      </c>
      <c r="I119" s="3" t="s">
        <v>53</v>
      </c>
      <c r="J119" s="4" t="str">
        <f t="shared" ca="1" si="5"/>
        <v/>
      </c>
      <c r="K119" s="2">
        <f>IF(ISNUMBER(SEARCH(Лист2!$B$4,F:F)),1,0)</f>
        <v>0</v>
      </c>
      <c r="L119" s="14">
        <f>IF(ISNUMBER(SEARCH(Лист2!$B$5,I:I)),1,0)+K119</f>
        <v>0</v>
      </c>
      <c r="M119" s="3">
        <f ca="1">IF(AND(N119&lt;&gt;N118,ISNUMBER(SEARCH(Лист2!$B$6,N:N)),L119=2),MAX($M$3:OFFSET(M119,-1,0))+1,0)</f>
        <v>0</v>
      </c>
      <c r="N119" s="3" t="s">
        <v>557</v>
      </c>
    </row>
    <row r="120" spans="1:14" x14ac:dyDescent="0.25">
      <c r="A120" s="1" t="s">
        <v>9904</v>
      </c>
      <c r="B120" s="3" t="s">
        <v>3744</v>
      </c>
      <c r="C120" s="2">
        <f ca="1">IF(ISNUMBER(SEARCH(Лист2!$B$4,D:D)),MAX($C$3:OFFSET(C120,-1,0))+1,0)</f>
        <v>0</v>
      </c>
      <c r="E120" s="9" t="str">
        <f t="shared" ca="1" si="6"/>
        <v/>
      </c>
      <c r="F120" s="4" t="s">
        <v>3</v>
      </c>
      <c r="G120" s="2">
        <f>IF(ISNUMBER(SEARCH(Лист2!$B$4,F:F)),1,0)</f>
        <v>0</v>
      </c>
      <c r="H120" s="3">
        <f ca="1">IF(AND(I120&lt;&gt;I119,ISNUMBER(SEARCH(Лист2!$B$5,I:I)),G120=1),MAX($H$3:OFFSET(H120,-1,0))+1,0)</f>
        <v>0</v>
      </c>
      <c r="I120" s="3" t="s">
        <v>53</v>
      </c>
      <c r="J120" s="4" t="str">
        <f t="shared" ca="1" si="5"/>
        <v/>
      </c>
      <c r="K120" s="2">
        <f>IF(ISNUMBER(SEARCH(Лист2!$B$4,F:F)),1,0)</f>
        <v>0</v>
      </c>
      <c r="L120" s="14">
        <f>IF(ISNUMBER(SEARCH(Лист2!$B$5,I:I)),1,0)+K120</f>
        <v>0</v>
      </c>
      <c r="M120" s="3">
        <f ca="1">IF(AND(N120&lt;&gt;N119,ISNUMBER(SEARCH(Лист2!$B$6,N:N)),L120=2),MAX($M$3:OFFSET(M120,-1,0))+1,0)</f>
        <v>0</v>
      </c>
      <c r="N120" s="3" t="s">
        <v>558</v>
      </c>
    </row>
    <row r="121" spans="1:14" x14ac:dyDescent="0.25">
      <c r="A121" s="1" t="s">
        <v>9905</v>
      </c>
      <c r="B121" s="3" t="s">
        <v>3745</v>
      </c>
      <c r="C121" s="2">
        <f ca="1">IF(ISNUMBER(SEARCH(Лист2!$B$4,D:D)),MAX($C$3:OFFSET(C121,-1,0))+1,0)</f>
        <v>0</v>
      </c>
      <c r="E121" s="9" t="str">
        <f t="shared" ca="1" si="6"/>
        <v/>
      </c>
      <c r="F121" s="4" t="s">
        <v>3</v>
      </c>
      <c r="G121" s="2">
        <f>IF(ISNUMBER(SEARCH(Лист2!$B$4,F:F)),1,0)</f>
        <v>0</v>
      </c>
      <c r="H121" s="3">
        <f ca="1">IF(AND(I121&lt;&gt;I120,ISNUMBER(SEARCH(Лист2!$B$5,I:I)),G121=1),MAX($H$3:OFFSET(H121,-1,0))+1,0)</f>
        <v>0</v>
      </c>
      <c r="I121" s="3" t="s">
        <v>53</v>
      </c>
      <c r="J121" s="4" t="str">
        <f t="shared" ca="1" si="5"/>
        <v/>
      </c>
      <c r="K121" s="2">
        <f>IF(ISNUMBER(SEARCH(Лист2!$B$4,F:F)),1,0)</f>
        <v>0</v>
      </c>
      <c r="L121" s="14">
        <f>IF(ISNUMBER(SEARCH(Лист2!$B$5,I:I)),1,0)+K121</f>
        <v>0</v>
      </c>
      <c r="M121" s="3">
        <f ca="1">IF(AND(N121&lt;&gt;N120,ISNUMBER(SEARCH(Лист2!$B$6,N:N)),L121=2),MAX($M$3:OFFSET(M121,-1,0))+1,0)</f>
        <v>0</v>
      </c>
      <c r="N121" s="3" t="s">
        <v>501</v>
      </c>
    </row>
    <row r="122" spans="1:14" x14ac:dyDescent="0.25">
      <c r="A122" s="1" t="s">
        <v>9906</v>
      </c>
      <c r="B122" s="3" t="s">
        <v>3746</v>
      </c>
      <c r="C122" s="2">
        <f ca="1">IF(ISNUMBER(SEARCH(Лист2!$B$4,D:D)),MAX($C$3:OFFSET(C122,-1,0))+1,0)</f>
        <v>0</v>
      </c>
      <c r="E122" s="9" t="str">
        <f t="shared" ca="1" si="6"/>
        <v/>
      </c>
      <c r="F122" s="4" t="s">
        <v>3</v>
      </c>
      <c r="G122" s="2">
        <f>IF(ISNUMBER(SEARCH(Лист2!$B$4,F:F)),1,0)</f>
        <v>0</v>
      </c>
      <c r="H122" s="3">
        <f ca="1">IF(AND(I122&lt;&gt;I121,ISNUMBER(SEARCH(Лист2!$B$5,I:I)),G122=1),MAX($H$3:OFFSET(H122,-1,0))+1,0)</f>
        <v>0</v>
      </c>
      <c r="I122" s="3" t="s">
        <v>53</v>
      </c>
      <c r="J122" s="4" t="str">
        <f t="shared" ca="1" si="5"/>
        <v/>
      </c>
      <c r="K122" s="2">
        <f>IF(ISNUMBER(SEARCH(Лист2!$B$4,F:F)),1,0)</f>
        <v>0</v>
      </c>
      <c r="L122" s="14">
        <f>IF(ISNUMBER(SEARCH(Лист2!$B$5,I:I)),1,0)+K122</f>
        <v>0</v>
      </c>
      <c r="M122" s="3">
        <f ca="1">IF(AND(N122&lt;&gt;N121,ISNUMBER(SEARCH(Лист2!$B$6,N:N)),L122=2),MAX($M$3:OFFSET(M122,-1,0))+1,0)</f>
        <v>0</v>
      </c>
      <c r="N122" s="3" t="s">
        <v>559</v>
      </c>
    </row>
    <row r="123" spans="1:14" x14ac:dyDescent="0.25">
      <c r="A123" s="1" t="s">
        <v>9907</v>
      </c>
      <c r="B123" s="3" t="s">
        <v>3747</v>
      </c>
      <c r="C123" s="2">
        <f ca="1">IF(ISNUMBER(SEARCH(Лист2!$B$4,D:D)),MAX($C$3:OFFSET(C123,-1,0))+1,0)</f>
        <v>0</v>
      </c>
      <c r="E123" s="9" t="str">
        <f t="shared" ca="1" si="6"/>
        <v/>
      </c>
      <c r="F123" s="4" t="s">
        <v>3</v>
      </c>
      <c r="G123" s="2">
        <f>IF(ISNUMBER(SEARCH(Лист2!$B$4,F:F)),1,0)</f>
        <v>0</v>
      </c>
      <c r="H123" s="3">
        <f ca="1">IF(AND(I123&lt;&gt;I122,ISNUMBER(SEARCH(Лист2!$B$5,I:I)),G123=1),MAX($H$3:OFFSET(H123,-1,0))+1,0)</f>
        <v>0</v>
      </c>
      <c r="I123" s="3" t="s">
        <v>53</v>
      </c>
      <c r="J123" s="4" t="str">
        <f t="shared" ca="1" si="5"/>
        <v/>
      </c>
      <c r="K123" s="2">
        <f>IF(ISNUMBER(SEARCH(Лист2!$B$4,F:F)),1,0)</f>
        <v>0</v>
      </c>
      <c r="L123" s="14">
        <f>IF(ISNUMBER(SEARCH(Лист2!$B$5,I:I)),1,0)+K123</f>
        <v>0</v>
      </c>
      <c r="M123" s="3">
        <f ca="1">IF(AND(N123&lt;&gt;N122,ISNUMBER(SEARCH(Лист2!$B$6,N:N)),L123=2),MAX($M$3:OFFSET(M123,-1,0))+1,0)</f>
        <v>0</v>
      </c>
      <c r="N123" s="3" t="s">
        <v>560</v>
      </c>
    </row>
    <row r="124" spans="1:14" x14ac:dyDescent="0.25">
      <c r="A124" s="1" t="s">
        <v>9908</v>
      </c>
      <c r="B124" s="3" t="s">
        <v>3748</v>
      </c>
      <c r="C124" s="2">
        <f ca="1">IF(ISNUMBER(SEARCH(Лист2!$B$4,D:D)),MAX($C$3:OFFSET(C124,-1,0))+1,0)</f>
        <v>0</v>
      </c>
      <c r="E124" s="9" t="str">
        <f t="shared" ca="1" si="6"/>
        <v/>
      </c>
      <c r="F124" s="4" t="s">
        <v>3</v>
      </c>
      <c r="G124" s="2">
        <f>IF(ISNUMBER(SEARCH(Лист2!$B$4,F:F)),1,0)</f>
        <v>0</v>
      </c>
      <c r="H124" s="3">
        <f ca="1">IF(AND(I124&lt;&gt;I123,ISNUMBER(SEARCH(Лист2!$B$5,I:I)),G124=1),MAX($H$3:OFFSET(H124,-1,0))+1,0)</f>
        <v>0</v>
      </c>
      <c r="I124" s="3" t="s">
        <v>53</v>
      </c>
      <c r="J124" s="4" t="str">
        <f t="shared" ca="1" si="5"/>
        <v/>
      </c>
      <c r="K124" s="2">
        <f>IF(ISNUMBER(SEARCH(Лист2!$B$4,F:F)),1,0)</f>
        <v>0</v>
      </c>
      <c r="L124" s="14">
        <f>IF(ISNUMBER(SEARCH(Лист2!$B$5,I:I)),1,0)+K124</f>
        <v>0</v>
      </c>
      <c r="M124" s="3">
        <f ca="1">IF(AND(N124&lt;&gt;N123,ISNUMBER(SEARCH(Лист2!$B$6,N:N)),L124=2),MAX($M$3:OFFSET(M124,-1,0))+1,0)</f>
        <v>0</v>
      </c>
      <c r="N124" s="3" t="s">
        <v>561</v>
      </c>
    </row>
    <row r="125" spans="1:14" x14ac:dyDescent="0.25">
      <c r="A125" s="1" t="s">
        <v>9909</v>
      </c>
      <c r="B125" s="3" t="s">
        <v>3749</v>
      </c>
      <c r="C125" s="2">
        <f ca="1">IF(ISNUMBER(SEARCH(Лист2!$B$4,D:D)),MAX($C$3:OFFSET(C125,-1,0))+1,0)</f>
        <v>0</v>
      </c>
      <c r="E125" s="9" t="str">
        <f t="shared" ca="1" si="6"/>
        <v/>
      </c>
      <c r="F125" s="4" t="s">
        <v>3</v>
      </c>
      <c r="G125" s="2">
        <f>IF(ISNUMBER(SEARCH(Лист2!$B$4,F:F)),1,0)</f>
        <v>0</v>
      </c>
      <c r="H125" s="3">
        <f ca="1">IF(AND(I125&lt;&gt;I124,ISNUMBER(SEARCH(Лист2!$B$5,I:I)),G125=1),MAX($H$3:OFFSET(H125,-1,0))+1,0)</f>
        <v>0</v>
      </c>
      <c r="I125" s="3" t="s">
        <v>53</v>
      </c>
      <c r="J125" s="4" t="str">
        <f t="shared" ca="1" si="5"/>
        <v/>
      </c>
      <c r="K125" s="2">
        <f>IF(ISNUMBER(SEARCH(Лист2!$B$4,F:F)),1,0)</f>
        <v>0</v>
      </c>
      <c r="L125" s="14">
        <f>IF(ISNUMBER(SEARCH(Лист2!$B$5,I:I)),1,0)+K125</f>
        <v>0</v>
      </c>
      <c r="M125" s="3">
        <f ca="1">IF(AND(N125&lt;&gt;N124,ISNUMBER(SEARCH(Лист2!$B$6,N:N)),L125=2),MAX($M$3:OFFSET(M125,-1,0))+1,0)</f>
        <v>0</v>
      </c>
      <c r="N125" s="3" t="s">
        <v>562</v>
      </c>
    </row>
    <row r="126" spans="1:14" x14ac:dyDescent="0.25">
      <c r="A126" s="1" t="s">
        <v>9910</v>
      </c>
      <c r="B126" s="3" t="s">
        <v>3750</v>
      </c>
      <c r="C126" s="2">
        <f ca="1">IF(ISNUMBER(SEARCH(Лист2!$B$4,D:D)),MAX($C$3:OFFSET(C126,-1,0))+1,0)</f>
        <v>0</v>
      </c>
      <c r="E126" s="9" t="str">
        <f t="shared" ca="1" si="6"/>
        <v/>
      </c>
      <c r="F126" s="4" t="s">
        <v>3</v>
      </c>
      <c r="G126" s="2">
        <f>IF(ISNUMBER(SEARCH(Лист2!$B$4,F:F)),1,0)</f>
        <v>0</v>
      </c>
      <c r="H126" s="3">
        <f ca="1">IF(AND(I126&lt;&gt;I125,ISNUMBER(SEARCH(Лист2!$B$5,I:I)),G126=1),MAX($H$3:OFFSET(H126,-1,0))+1,0)</f>
        <v>0</v>
      </c>
      <c r="I126" s="3" t="s">
        <v>54</v>
      </c>
      <c r="J126" s="4" t="str">
        <f t="shared" ca="1" si="5"/>
        <v/>
      </c>
      <c r="K126" s="2">
        <f>IF(ISNUMBER(SEARCH(Лист2!$B$4,F:F)),1,0)</f>
        <v>0</v>
      </c>
      <c r="L126" s="14">
        <f>IF(ISNUMBER(SEARCH(Лист2!$B$5,I:I)),1,0)+K126</f>
        <v>0</v>
      </c>
      <c r="M126" s="3">
        <f ca="1">IF(AND(N126&lt;&gt;N125,ISNUMBER(SEARCH(Лист2!$B$6,N:N)),L126=2),MAX($M$3:OFFSET(M126,-1,0))+1,0)</f>
        <v>0</v>
      </c>
      <c r="N126" s="3" t="s">
        <v>563</v>
      </c>
    </row>
    <row r="127" spans="1:14" x14ac:dyDescent="0.25">
      <c r="A127" s="1" t="s">
        <v>9911</v>
      </c>
      <c r="B127" s="3" t="s">
        <v>3751</v>
      </c>
      <c r="C127" s="2">
        <f ca="1">IF(ISNUMBER(SEARCH(Лист2!$B$4,D:D)),MAX($C$3:OFFSET(C127,-1,0))+1,0)</f>
        <v>0</v>
      </c>
      <c r="E127" s="9" t="str">
        <f t="shared" ca="1" si="6"/>
        <v/>
      </c>
      <c r="F127" s="4" t="s">
        <v>3</v>
      </c>
      <c r="G127" s="2">
        <f>IF(ISNUMBER(SEARCH(Лист2!$B$4,F:F)),1,0)</f>
        <v>0</v>
      </c>
      <c r="H127" s="3">
        <f ca="1">IF(AND(I127&lt;&gt;I126,ISNUMBER(SEARCH(Лист2!$B$5,I:I)),G127=1),MAX($H$3:OFFSET(H127,-1,0))+1,0)</f>
        <v>0</v>
      </c>
      <c r="I127" s="3" t="s">
        <v>54</v>
      </c>
      <c r="J127" s="4" t="str">
        <f t="shared" ca="1" si="5"/>
        <v/>
      </c>
      <c r="K127" s="2">
        <f>IF(ISNUMBER(SEARCH(Лист2!$B$4,F:F)),1,0)</f>
        <v>0</v>
      </c>
      <c r="L127" s="14">
        <f>IF(ISNUMBER(SEARCH(Лист2!$B$5,I:I)),1,0)+K127</f>
        <v>0</v>
      </c>
      <c r="M127" s="3">
        <f ca="1">IF(AND(N127&lt;&gt;N126,ISNUMBER(SEARCH(Лист2!$B$6,N:N)),L127=2),MAX($M$3:OFFSET(M127,-1,0))+1,0)</f>
        <v>0</v>
      </c>
      <c r="N127" s="3" t="s">
        <v>564</v>
      </c>
    </row>
    <row r="128" spans="1:14" x14ac:dyDescent="0.25">
      <c r="A128" s="1" t="s">
        <v>9912</v>
      </c>
      <c r="B128" s="3" t="s">
        <v>3752</v>
      </c>
      <c r="C128" s="2">
        <f ca="1">IF(ISNUMBER(SEARCH(Лист2!$B$4,D:D)),MAX($C$3:OFFSET(C128,-1,0))+1,0)</f>
        <v>0</v>
      </c>
      <c r="E128" s="9" t="str">
        <f t="shared" ca="1" si="6"/>
        <v/>
      </c>
      <c r="F128" s="4" t="s">
        <v>3</v>
      </c>
      <c r="G128" s="2">
        <f>IF(ISNUMBER(SEARCH(Лист2!$B$4,F:F)),1,0)</f>
        <v>0</v>
      </c>
      <c r="H128" s="3">
        <f ca="1">IF(AND(I128&lt;&gt;I127,ISNUMBER(SEARCH(Лист2!$B$5,I:I)),G128=1),MAX($H$3:OFFSET(H128,-1,0))+1,0)</f>
        <v>0</v>
      </c>
      <c r="I128" s="3" t="s">
        <v>54</v>
      </c>
      <c r="J128" s="4" t="str">
        <f t="shared" ca="1" si="5"/>
        <v/>
      </c>
      <c r="K128" s="2">
        <f>IF(ISNUMBER(SEARCH(Лист2!$B$4,F:F)),1,0)</f>
        <v>0</v>
      </c>
      <c r="L128" s="14">
        <f>IF(ISNUMBER(SEARCH(Лист2!$B$5,I:I)),1,0)+K128</f>
        <v>0</v>
      </c>
      <c r="M128" s="3">
        <f ca="1">IF(AND(N128&lt;&gt;N127,ISNUMBER(SEARCH(Лист2!$B$6,N:N)),L128=2),MAX($M$3:OFFSET(M128,-1,0))+1,0)</f>
        <v>0</v>
      </c>
      <c r="N128" s="3" t="s">
        <v>565</v>
      </c>
    </row>
    <row r="129" spans="1:14" x14ac:dyDescent="0.25">
      <c r="A129" s="1" t="s">
        <v>9913</v>
      </c>
      <c r="B129" s="3" t="s">
        <v>3753</v>
      </c>
      <c r="C129" s="2">
        <f ca="1">IF(ISNUMBER(SEARCH(Лист2!$B$4,D:D)),MAX($C$3:OFFSET(C129,-1,0))+1,0)</f>
        <v>0</v>
      </c>
      <c r="E129" s="9" t="str">
        <f t="shared" ca="1" si="6"/>
        <v/>
      </c>
      <c r="F129" s="4" t="s">
        <v>3</v>
      </c>
      <c r="G129" s="2">
        <f>IF(ISNUMBER(SEARCH(Лист2!$B$4,F:F)),1,0)</f>
        <v>0</v>
      </c>
      <c r="H129" s="3">
        <f ca="1">IF(AND(I129&lt;&gt;I128,ISNUMBER(SEARCH(Лист2!$B$5,I:I)),G129=1),MAX($H$3:OFFSET(H129,-1,0))+1,0)</f>
        <v>0</v>
      </c>
      <c r="I129" s="3" t="s">
        <v>54</v>
      </c>
      <c r="J129" s="4" t="str">
        <f t="shared" ca="1" si="5"/>
        <v/>
      </c>
      <c r="K129" s="2">
        <f>IF(ISNUMBER(SEARCH(Лист2!$B$4,F:F)),1,0)</f>
        <v>0</v>
      </c>
      <c r="L129" s="14">
        <f>IF(ISNUMBER(SEARCH(Лист2!$B$5,I:I)),1,0)+K129</f>
        <v>0</v>
      </c>
      <c r="M129" s="3">
        <f ca="1">IF(AND(N129&lt;&gt;N128,ISNUMBER(SEARCH(Лист2!$B$6,N:N)),L129=2),MAX($M$3:OFFSET(M129,-1,0))+1,0)</f>
        <v>0</v>
      </c>
      <c r="N129" s="3" t="s">
        <v>566</v>
      </c>
    </row>
    <row r="130" spans="1:14" x14ac:dyDescent="0.25">
      <c r="A130" s="1" t="s">
        <v>9914</v>
      </c>
      <c r="B130" s="3" t="s">
        <v>3754</v>
      </c>
      <c r="C130" s="2">
        <f ca="1">IF(ISNUMBER(SEARCH(Лист2!$B$4,D:D)),MAX($C$3:OFFSET(C130,-1,0))+1,0)</f>
        <v>0</v>
      </c>
      <c r="E130" s="9" t="str">
        <f t="shared" ca="1" si="6"/>
        <v/>
      </c>
      <c r="F130" s="4" t="s">
        <v>3</v>
      </c>
      <c r="G130" s="2">
        <f>IF(ISNUMBER(SEARCH(Лист2!$B$4,F:F)),1,0)</f>
        <v>0</v>
      </c>
      <c r="H130" s="3">
        <f ca="1">IF(AND(I130&lt;&gt;I129,ISNUMBER(SEARCH(Лист2!$B$5,I:I)),G130=1),MAX($H$3:OFFSET(H130,-1,0))+1,0)</f>
        <v>0</v>
      </c>
      <c r="I130" s="3" t="s">
        <v>54</v>
      </c>
      <c r="J130" s="4" t="str">
        <f t="shared" ca="1" si="5"/>
        <v/>
      </c>
      <c r="K130" s="2">
        <f>IF(ISNUMBER(SEARCH(Лист2!$B$4,F:F)),1,0)</f>
        <v>0</v>
      </c>
      <c r="L130" s="14">
        <f>IF(ISNUMBER(SEARCH(Лист2!$B$5,I:I)),1,0)+K130</f>
        <v>0</v>
      </c>
      <c r="M130" s="3">
        <f ca="1">IF(AND(N130&lt;&gt;N129,ISNUMBER(SEARCH(Лист2!$B$6,N:N)),L130=2),MAX($M$3:OFFSET(M130,-1,0))+1,0)</f>
        <v>0</v>
      </c>
      <c r="N130" s="3" t="s">
        <v>567</v>
      </c>
    </row>
    <row r="131" spans="1:14" x14ac:dyDescent="0.25">
      <c r="A131" s="1" t="s">
        <v>9915</v>
      </c>
      <c r="B131" s="3" t="s">
        <v>3755</v>
      </c>
      <c r="C131" s="2">
        <f ca="1">IF(ISNUMBER(SEARCH(Лист2!$B$4,D:D)),MAX($C$3:OFFSET(C131,-1,0))+1,0)</f>
        <v>0</v>
      </c>
      <c r="E131" s="9" t="str">
        <f t="shared" ca="1" si="6"/>
        <v/>
      </c>
      <c r="F131" s="4" t="s">
        <v>3</v>
      </c>
      <c r="G131" s="2">
        <f>IF(ISNUMBER(SEARCH(Лист2!$B$4,F:F)),1,0)</f>
        <v>0</v>
      </c>
      <c r="H131" s="3">
        <f ca="1">IF(AND(I131&lt;&gt;I130,ISNUMBER(SEARCH(Лист2!$B$5,I:I)),G131=1),MAX($H$3:OFFSET(H131,-1,0))+1,0)</f>
        <v>0</v>
      </c>
      <c r="I131" s="3" t="s">
        <v>54</v>
      </c>
      <c r="J131" s="4" t="str">
        <f t="shared" ca="1" si="5"/>
        <v/>
      </c>
      <c r="K131" s="2">
        <f>IF(ISNUMBER(SEARCH(Лист2!$B$4,F:F)),1,0)</f>
        <v>0</v>
      </c>
      <c r="L131" s="14">
        <f>IF(ISNUMBER(SEARCH(Лист2!$B$5,I:I)),1,0)+K131</f>
        <v>0</v>
      </c>
      <c r="M131" s="3">
        <f ca="1">IF(AND(N131&lt;&gt;N130,ISNUMBER(SEARCH(Лист2!$B$6,N:N)),L131=2),MAX($M$3:OFFSET(M131,-1,0))+1,0)</f>
        <v>0</v>
      </c>
      <c r="N131" s="3" t="s">
        <v>568</v>
      </c>
    </row>
    <row r="132" spans="1:14" x14ac:dyDescent="0.25">
      <c r="A132" s="1" t="s">
        <v>9916</v>
      </c>
      <c r="B132" s="3" t="s">
        <v>3756</v>
      </c>
      <c r="C132" s="2">
        <f ca="1">IF(ISNUMBER(SEARCH(Лист2!$B$4,D:D)),MAX($C$3:OFFSET(C132,-1,0))+1,0)</f>
        <v>0</v>
      </c>
      <c r="E132" s="9" t="str">
        <f t="shared" ca="1" si="6"/>
        <v/>
      </c>
      <c r="F132" s="4" t="s">
        <v>3</v>
      </c>
      <c r="G132" s="2">
        <f>IF(ISNUMBER(SEARCH(Лист2!$B$4,F:F)),1,0)</f>
        <v>0</v>
      </c>
      <c r="H132" s="3">
        <f ca="1">IF(AND(I132&lt;&gt;I131,ISNUMBER(SEARCH(Лист2!$B$5,I:I)),G132=1),MAX($H$3:OFFSET(H132,-1,0))+1,0)</f>
        <v>0</v>
      </c>
      <c r="I132" s="3" t="s">
        <v>54</v>
      </c>
      <c r="J132" s="4" t="str">
        <f t="shared" ref="J132:J195" ca="1" si="7">IFERROR(INDEX(I:I,MATCH(ROW(J132)-ROW($E$3),H:H,0)),"")</f>
        <v/>
      </c>
      <c r="K132" s="2">
        <f>IF(ISNUMBER(SEARCH(Лист2!$B$4,F:F)),1,0)</f>
        <v>0</v>
      </c>
      <c r="L132" s="14">
        <f>IF(ISNUMBER(SEARCH(Лист2!$B$5,I:I)),1,0)+K132</f>
        <v>0</v>
      </c>
      <c r="M132" s="3">
        <f ca="1">IF(AND(N132&lt;&gt;N131,ISNUMBER(SEARCH(Лист2!$B$6,N:N)),L132=2),MAX($M$3:OFFSET(M132,-1,0))+1,0)</f>
        <v>0</v>
      </c>
      <c r="N132" s="3" t="s">
        <v>569</v>
      </c>
    </row>
    <row r="133" spans="1:14" x14ac:dyDescent="0.25">
      <c r="A133" s="1" t="s">
        <v>9917</v>
      </c>
      <c r="B133" s="3" t="s">
        <v>3757</v>
      </c>
      <c r="C133" s="2">
        <f ca="1">IF(ISNUMBER(SEARCH(Лист2!$B$4,D:D)),MAX($C$3:OFFSET(C133,-1,0))+1,0)</f>
        <v>0</v>
      </c>
      <c r="E133" s="9" t="str">
        <f t="shared" ref="E133:E196" ca="1" si="8">IFERROR(INDEX(D:D,MATCH(ROW(E133)-ROW($E$3),C:C,0)),"")</f>
        <v/>
      </c>
      <c r="F133" s="4" t="s">
        <v>3</v>
      </c>
      <c r="G133" s="2">
        <f>IF(ISNUMBER(SEARCH(Лист2!$B$4,F:F)),1,0)</f>
        <v>0</v>
      </c>
      <c r="H133" s="3">
        <f ca="1">IF(AND(I133&lt;&gt;I132,ISNUMBER(SEARCH(Лист2!$B$5,I:I)),G133=1),MAX($H$3:OFFSET(H133,-1,0))+1,0)</f>
        <v>0</v>
      </c>
      <c r="I133" s="3" t="s">
        <v>54</v>
      </c>
      <c r="J133" s="4" t="str">
        <f t="shared" ca="1" si="7"/>
        <v/>
      </c>
      <c r="K133" s="2">
        <f>IF(ISNUMBER(SEARCH(Лист2!$B$4,F:F)),1,0)</f>
        <v>0</v>
      </c>
      <c r="L133" s="14">
        <f>IF(ISNUMBER(SEARCH(Лист2!$B$5,I:I)),1,0)+K133</f>
        <v>0</v>
      </c>
      <c r="M133" s="3">
        <f ca="1">IF(AND(N133&lt;&gt;N132,ISNUMBER(SEARCH(Лист2!$B$6,N:N)),L133=2),MAX($M$3:OFFSET(M133,-1,0))+1,0)</f>
        <v>0</v>
      </c>
      <c r="N133" s="3" t="s">
        <v>570</v>
      </c>
    </row>
    <row r="134" spans="1:14" x14ac:dyDescent="0.25">
      <c r="A134" s="1" t="s">
        <v>9918</v>
      </c>
      <c r="B134" s="3" t="s">
        <v>3758</v>
      </c>
      <c r="C134" s="2">
        <f ca="1">IF(ISNUMBER(SEARCH(Лист2!$B$4,D:D)),MAX($C$3:OFFSET(C134,-1,0))+1,0)</f>
        <v>0</v>
      </c>
      <c r="E134" s="9" t="str">
        <f t="shared" ca="1" si="8"/>
        <v/>
      </c>
      <c r="F134" s="4" t="s">
        <v>3</v>
      </c>
      <c r="G134" s="2">
        <f>IF(ISNUMBER(SEARCH(Лист2!$B$4,F:F)),1,0)</f>
        <v>0</v>
      </c>
      <c r="H134" s="3">
        <f ca="1">IF(AND(I134&lt;&gt;I133,ISNUMBER(SEARCH(Лист2!$B$5,I:I)),G134=1),MAX($H$3:OFFSET(H134,-1,0))+1,0)</f>
        <v>0</v>
      </c>
      <c r="I134" s="3" t="s">
        <v>54</v>
      </c>
      <c r="J134" s="4" t="str">
        <f t="shared" ca="1" si="7"/>
        <v/>
      </c>
      <c r="K134" s="2">
        <f>IF(ISNUMBER(SEARCH(Лист2!$B$4,F:F)),1,0)</f>
        <v>0</v>
      </c>
      <c r="L134" s="14">
        <f>IF(ISNUMBER(SEARCH(Лист2!$B$5,I:I)),1,0)+K134</f>
        <v>0</v>
      </c>
      <c r="M134" s="3">
        <f ca="1">IF(AND(N134&lt;&gt;N133,ISNUMBER(SEARCH(Лист2!$B$6,N:N)),L134=2),MAX($M$3:OFFSET(M134,-1,0))+1,0)</f>
        <v>0</v>
      </c>
      <c r="N134" s="3" t="s">
        <v>571</v>
      </c>
    </row>
    <row r="135" spans="1:14" x14ac:dyDescent="0.25">
      <c r="A135" s="1" t="s">
        <v>9919</v>
      </c>
      <c r="B135" s="3" t="s">
        <v>3759</v>
      </c>
      <c r="C135" s="2">
        <f ca="1">IF(ISNUMBER(SEARCH(Лист2!$B$4,D:D)),MAX($C$3:OFFSET(C135,-1,0))+1,0)</f>
        <v>0</v>
      </c>
      <c r="E135" s="9" t="str">
        <f t="shared" ca="1" si="8"/>
        <v/>
      </c>
      <c r="F135" s="4" t="s">
        <v>3</v>
      </c>
      <c r="G135" s="2">
        <f>IF(ISNUMBER(SEARCH(Лист2!$B$4,F:F)),1,0)</f>
        <v>0</v>
      </c>
      <c r="H135" s="3">
        <f ca="1">IF(AND(I135&lt;&gt;I134,ISNUMBER(SEARCH(Лист2!$B$5,I:I)),G135=1),MAX($H$3:OFFSET(H135,-1,0))+1,0)</f>
        <v>0</v>
      </c>
      <c r="I135" s="3" t="s">
        <v>54</v>
      </c>
      <c r="J135" s="4" t="str">
        <f t="shared" ca="1" si="7"/>
        <v/>
      </c>
      <c r="K135" s="2">
        <f>IF(ISNUMBER(SEARCH(Лист2!$B$4,F:F)),1,0)</f>
        <v>0</v>
      </c>
      <c r="L135" s="14">
        <f>IF(ISNUMBER(SEARCH(Лист2!$B$5,I:I)),1,0)+K135</f>
        <v>0</v>
      </c>
      <c r="M135" s="3">
        <f ca="1">IF(AND(N135&lt;&gt;N134,ISNUMBER(SEARCH(Лист2!$B$6,N:N)),L135=2),MAX($M$3:OFFSET(M135,-1,0))+1,0)</f>
        <v>0</v>
      </c>
      <c r="N135" s="3" t="s">
        <v>572</v>
      </c>
    </row>
    <row r="136" spans="1:14" x14ac:dyDescent="0.25">
      <c r="A136" s="1" t="s">
        <v>9920</v>
      </c>
      <c r="B136" s="3" t="s">
        <v>3760</v>
      </c>
      <c r="C136" s="2">
        <f ca="1">IF(ISNUMBER(SEARCH(Лист2!$B$4,D:D)),MAX($C$3:OFFSET(C136,-1,0))+1,0)</f>
        <v>0</v>
      </c>
      <c r="E136" s="9" t="str">
        <f t="shared" ca="1" si="8"/>
        <v/>
      </c>
      <c r="F136" s="4" t="s">
        <v>3</v>
      </c>
      <c r="G136" s="2">
        <f>IF(ISNUMBER(SEARCH(Лист2!$B$4,F:F)),1,0)</f>
        <v>0</v>
      </c>
      <c r="H136" s="3">
        <f ca="1">IF(AND(I136&lt;&gt;I135,ISNUMBER(SEARCH(Лист2!$B$5,I:I)),G136=1),MAX($H$3:OFFSET(H136,-1,0))+1,0)</f>
        <v>0</v>
      </c>
      <c r="I136" s="3" t="s">
        <v>54</v>
      </c>
      <c r="J136" s="4" t="str">
        <f t="shared" ca="1" si="7"/>
        <v/>
      </c>
      <c r="K136" s="2">
        <f>IF(ISNUMBER(SEARCH(Лист2!$B$4,F:F)),1,0)</f>
        <v>0</v>
      </c>
      <c r="L136" s="14">
        <f>IF(ISNUMBER(SEARCH(Лист2!$B$5,I:I)),1,0)+K136</f>
        <v>0</v>
      </c>
      <c r="M136" s="3">
        <f ca="1">IF(AND(N136&lt;&gt;N135,ISNUMBER(SEARCH(Лист2!$B$6,N:N)),L136=2),MAX($M$3:OFFSET(M136,-1,0))+1,0)</f>
        <v>0</v>
      </c>
      <c r="N136" s="3" t="s">
        <v>573</v>
      </c>
    </row>
    <row r="137" spans="1:14" x14ac:dyDescent="0.25">
      <c r="A137" s="1" t="s">
        <v>9921</v>
      </c>
      <c r="B137" s="3" t="s">
        <v>3761</v>
      </c>
      <c r="C137" s="2">
        <f ca="1">IF(ISNUMBER(SEARCH(Лист2!$B$4,D:D)),MAX($C$3:OFFSET(C137,-1,0))+1,0)</f>
        <v>0</v>
      </c>
      <c r="E137" s="9" t="str">
        <f t="shared" ca="1" si="8"/>
        <v/>
      </c>
      <c r="F137" s="4" t="s">
        <v>3</v>
      </c>
      <c r="G137" s="2">
        <f>IF(ISNUMBER(SEARCH(Лист2!$B$4,F:F)),1,0)</f>
        <v>0</v>
      </c>
      <c r="H137" s="3">
        <f ca="1">IF(AND(I137&lt;&gt;I136,ISNUMBER(SEARCH(Лист2!$B$5,I:I)),G137=1),MAX($H$3:OFFSET(H137,-1,0))+1,0)</f>
        <v>0</v>
      </c>
      <c r="I137" s="3" t="s">
        <v>54</v>
      </c>
      <c r="J137" s="4" t="str">
        <f t="shared" ca="1" si="7"/>
        <v/>
      </c>
      <c r="K137" s="2">
        <f>IF(ISNUMBER(SEARCH(Лист2!$B$4,F:F)),1,0)</f>
        <v>0</v>
      </c>
      <c r="L137" s="14">
        <f>IF(ISNUMBER(SEARCH(Лист2!$B$5,I:I)),1,0)+K137</f>
        <v>0</v>
      </c>
      <c r="M137" s="3">
        <f ca="1">IF(AND(N137&lt;&gt;N136,ISNUMBER(SEARCH(Лист2!$B$6,N:N)),L137=2),MAX($M$3:OFFSET(M137,-1,0))+1,0)</f>
        <v>0</v>
      </c>
      <c r="N137" s="3" t="s">
        <v>574</v>
      </c>
    </row>
    <row r="138" spans="1:14" x14ac:dyDescent="0.25">
      <c r="A138" s="1" t="s">
        <v>9922</v>
      </c>
      <c r="B138" s="3" t="s">
        <v>3762</v>
      </c>
      <c r="C138" s="2">
        <f ca="1">IF(ISNUMBER(SEARCH(Лист2!$B$4,D:D)),MAX($C$3:OFFSET(C138,-1,0))+1,0)</f>
        <v>0</v>
      </c>
      <c r="E138" s="9" t="str">
        <f t="shared" ca="1" si="8"/>
        <v/>
      </c>
      <c r="F138" s="4" t="s">
        <v>3</v>
      </c>
      <c r="G138" s="2">
        <f>IF(ISNUMBER(SEARCH(Лист2!$B$4,F:F)),1,0)</f>
        <v>0</v>
      </c>
      <c r="H138" s="3">
        <f ca="1">IF(AND(I138&lt;&gt;I137,ISNUMBER(SEARCH(Лист2!$B$5,I:I)),G138=1),MAX($H$3:OFFSET(H138,-1,0))+1,0)</f>
        <v>0</v>
      </c>
      <c r="I138" s="3" t="s">
        <v>54</v>
      </c>
      <c r="J138" s="4" t="str">
        <f t="shared" ca="1" si="7"/>
        <v/>
      </c>
      <c r="K138" s="2">
        <f>IF(ISNUMBER(SEARCH(Лист2!$B$4,F:F)),1,0)</f>
        <v>0</v>
      </c>
      <c r="L138" s="14">
        <f>IF(ISNUMBER(SEARCH(Лист2!$B$5,I:I)),1,0)+K138</f>
        <v>0</v>
      </c>
      <c r="M138" s="3">
        <f ca="1">IF(AND(N138&lt;&gt;N137,ISNUMBER(SEARCH(Лист2!$B$6,N:N)),L138=2),MAX($M$3:OFFSET(M138,-1,0))+1,0)</f>
        <v>0</v>
      </c>
      <c r="N138" s="3" t="s">
        <v>575</v>
      </c>
    </row>
    <row r="139" spans="1:14" x14ac:dyDescent="0.25">
      <c r="A139" s="1" t="s">
        <v>9923</v>
      </c>
      <c r="B139" s="3" t="s">
        <v>3763</v>
      </c>
      <c r="C139" s="2">
        <f ca="1">IF(ISNUMBER(SEARCH(Лист2!$B$4,D:D)),MAX($C$3:OFFSET(C139,-1,0))+1,0)</f>
        <v>0</v>
      </c>
      <c r="E139" s="9" t="str">
        <f t="shared" ca="1" si="8"/>
        <v/>
      </c>
      <c r="F139" s="4" t="s">
        <v>3</v>
      </c>
      <c r="G139" s="2">
        <f>IF(ISNUMBER(SEARCH(Лист2!$B$4,F:F)),1,0)</f>
        <v>0</v>
      </c>
      <c r="H139" s="3">
        <f ca="1">IF(AND(I139&lt;&gt;I138,ISNUMBER(SEARCH(Лист2!$B$5,I:I)),G139=1),MAX($H$3:OFFSET(H139,-1,0))+1,0)</f>
        <v>0</v>
      </c>
      <c r="I139" s="3" t="s">
        <v>54</v>
      </c>
      <c r="J139" s="4" t="str">
        <f t="shared" ca="1" si="7"/>
        <v/>
      </c>
      <c r="K139" s="2">
        <f>IF(ISNUMBER(SEARCH(Лист2!$B$4,F:F)),1,0)</f>
        <v>0</v>
      </c>
      <c r="L139" s="14">
        <f>IF(ISNUMBER(SEARCH(Лист2!$B$5,I:I)),1,0)+K139</f>
        <v>0</v>
      </c>
      <c r="M139" s="3">
        <f ca="1">IF(AND(N139&lt;&gt;N138,ISNUMBER(SEARCH(Лист2!$B$6,N:N)),L139=2),MAX($M$3:OFFSET(M139,-1,0))+1,0)</f>
        <v>0</v>
      </c>
      <c r="N139" s="3" t="s">
        <v>576</v>
      </c>
    </row>
    <row r="140" spans="1:14" x14ac:dyDescent="0.25">
      <c r="A140" s="1" t="s">
        <v>9924</v>
      </c>
      <c r="B140" s="3" t="s">
        <v>3764</v>
      </c>
      <c r="C140" s="2">
        <f ca="1">IF(ISNUMBER(SEARCH(Лист2!$B$4,D:D)),MAX($C$3:OFFSET(C140,-1,0))+1,0)</f>
        <v>0</v>
      </c>
      <c r="E140" s="9" t="str">
        <f t="shared" ca="1" si="8"/>
        <v/>
      </c>
      <c r="F140" s="4" t="s">
        <v>3</v>
      </c>
      <c r="G140" s="2">
        <f>IF(ISNUMBER(SEARCH(Лист2!$B$4,F:F)),1,0)</f>
        <v>0</v>
      </c>
      <c r="H140" s="3">
        <f ca="1">IF(AND(I140&lt;&gt;I139,ISNUMBER(SEARCH(Лист2!$B$5,I:I)),G140=1),MAX($H$3:OFFSET(H140,-1,0))+1,0)</f>
        <v>0</v>
      </c>
      <c r="I140" s="3" t="s">
        <v>54</v>
      </c>
      <c r="J140" s="4" t="str">
        <f t="shared" ca="1" si="7"/>
        <v/>
      </c>
      <c r="K140" s="2">
        <f>IF(ISNUMBER(SEARCH(Лист2!$B$4,F:F)),1,0)</f>
        <v>0</v>
      </c>
      <c r="L140" s="14">
        <f>IF(ISNUMBER(SEARCH(Лист2!$B$5,I:I)),1,0)+K140</f>
        <v>0</v>
      </c>
      <c r="M140" s="3">
        <f ca="1">IF(AND(N140&lt;&gt;N139,ISNUMBER(SEARCH(Лист2!$B$6,N:N)),L140=2),MAX($M$3:OFFSET(M140,-1,0))+1,0)</f>
        <v>0</v>
      </c>
      <c r="N140" s="3" t="s">
        <v>577</v>
      </c>
    </row>
    <row r="141" spans="1:14" x14ac:dyDescent="0.25">
      <c r="A141" s="1" t="s">
        <v>9925</v>
      </c>
      <c r="B141" s="3" t="s">
        <v>3765</v>
      </c>
      <c r="C141" s="2">
        <f ca="1">IF(ISNUMBER(SEARCH(Лист2!$B$4,D:D)),MAX($C$3:OFFSET(C141,-1,0))+1,0)</f>
        <v>0</v>
      </c>
      <c r="E141" s="9" t="str">
        <f t="shared" ca="1" si="8"/>
        <v/>
      </c>
      <c r="F141" s="4" t="s">
        <v>3</v>
      </c>
      <c r="G141" s="2">
        <f>IF(ISNUMBER(SEARCH(Лист2!$B$4,F:F)),1,0)</f>
        <v>0</v>
      </c>
      <c r="H141" s="3">
        <f ca="1">IF(AND(I141&lt;&gt;I140,ISNUMBER(SEARCH(Лист2!$B$5,I:I)),G141=1),MAX($H$3:OFFSET(H141,-1,0))+1,0)</f>
        <v>0</v>
      </c>
      <c r="I141" s="3" t="s">
        <v>54</v>
      </c>
      <c r="J141" s="4" t="str">
        <f t="shared" ca="1" si="7"/>
        <v/>
      </c>
      <c r="K141" s="2">
        <f>IF(ISNUMBER(SEARCH(Лист2!$B$4,F:F)),1,0)</f>
        <v>0</v>
      </c>
      <c r="L141" s="14">
        <f>IF(ISNUMBER(SEARCH(Лист2!$B$5,I:I)),1,0)+K141</f>
        <v>0</v>
      </c>
      <c r="M141" s="3">
        <f ca="1">IF(AND(N141&lt;&gt;N140,ISNUMBER(SEARCH(Лист2!$B$6,N:N)),L141=2),MAX($M$3:OFFSET(M141,-1,0))+1,0)</f>
        <v>0</v>
      </c>
      <c r="N141" s="3" t="s">
        <v>578</v>
      </c>
    </row>
    <row r="142" spans="1:14" x14ac:dyDescent="0.25">
      <c r="A142" s="1" t="s">
        <v>9926</v>
      </c>
      <c r="B142" s="3" t="s">
        <v>3766</v>
      </c>
      <c r="C142" s="2">
        <f ca="1">IF(ISNUMBER(SEARCH(Лист2!$B$4,D:D)),MAX($C$3:OFFSET(C142,-1,0))+1,0)</f>
        <v>0</v>
      </c>
      <c r="E142" s="9" t="str">
        <f t="shared" ca="1" si="8"/>
        <v/>
      </c>
      <c r="F142" s="4" t="s">
        <v>3</v>
      </c>
      <c r="G142" s="2">
        <f>IF(ISNUMBER(SEARCH(Лист2!$B$4,F:F)),1,0)</f>
        <v>0</v>
      </c>
      <c r="H142" s="3">
        <f ca="1">IF(AND(I142&lt;&gt;I141,ISNUMBER(SEARCH(Лист2!$B$5,I:I)),G142=1),MAX($H$3:OFFSET(H142,-1,0))+1,0)</f>
        <v>0</v>
      </c>
      <c r="I142" s="3" t="s">
        <v>54</v>
      </c>
      <c r="J142" s="4" t="str">
        <f t="shared" ca="1" si="7"/>
        <v/>
      </c>
      <c r="K142" s="2">
        <f>IF(ISNUMBER(SEARCH(Лист2!$B$4,F:F)),1,0)</f>
        <v>0</v>
      </c>
      <c r="L142" s="14">
        <f>IF(ISNUMBER(SEARCH(Лист2!$B$5,I:I)),1,0)+K142</f>
        <v>0</v>
      </c>
      <c r="M142" s="3">
        <f ca="1">IF(AND(N142&lt;&gt;N141,ISNUMBER(SEARCH(Лист2!$B$6,N:N)),L142=2),MAX($M$3:OFFSET(M142,-1,0))+1,0)</f>
        <v>0</v>
      </c>
      <c r="N142" s="3" t="s">
        <v>579</v>
      </c>
    </row>
    <row r="143" spans="1:14" x14ac:dyDescent="0.25">
      <c r="A143" s="1" t="s">
        <v>9927</v>
      </c>
      <c r="B143" s="3" t="s">
        <v>3767</v>
      </c>
      <c r="C143" s="2">
        <f ca="1">IF(ISNUMBER(SEARCH(Лист2!$B$4,D:D)),MAX($C$3:OFFSET(C143,-1,0))+1,0)</f>
        <v>0</v>
      </c>
      <c r="E143" s="9" t="str">
        <f t="shared" ca="1" si="8"/>
        <v/>
      </c>
      <c r="F143" s="4" t="s">
        <v>3</v>
      </c>
      <c r="G143" s="2">
        <f>IF(ISNUMBER(SEARCH(Лист2!$B$4,F:F)),1,0)</f>
        <v>0</v>
      </c>
      <c r="H143" s="3">
        <f ca="1">IF(AND(I143&lt;&gt;I142,ISNUMBER(SEARCH(Лист2!$B$5,I:I)),G143=1),MAX($H$3:OFFSET(H143,-1,0))+1,0)</f>
        <v>0</v>
      </c>
      <c r="I143" s="3" t="s">
        <v>54</v>
      </c>
      <c r="J143" s="4" t="str">
        <f t="shared" ca="1" si="7"/>
        <v/>
      </c>
      <c r="K143" s="2">
        <f>IF(ISNUMBER(SEARCH(Лист2!$B$4,F:F)),1,0)</f>
        <v>0</v>
      </c>
      <c r="L143" s="14">
        <f>IF(ISNUMBER(SEARCH(Лист2!$B$5,I:I)),1,0)+K143</f>
        <v>0</v>
      </c>
      <c r="M143" s="3">
        <f ca="1">IF(AND(N143&lt;&gt;N142,ISNUMBER(SEARCH(Лист2!$B$6,N:N)),L143=2),MAX($M$3:OFFSET(M143,-1,0))+1,0)</f>
        <v>0</v>
      </c>
      <c r="N143" s="3" t="s">
        <v>580</v>
      </c>
    </row>
    <row r="144" spans="1:14" x14ac:dyDescent="0.25">
      <c r="A144" s="1" t="s">
        <v>9928</v>
      </c>
      <c r="B144" s="3" t="s">
        <v>3768</v>
      </c>
      <c r="C144" s="2">
        <f ca="1">IF(ISNUMBER(SEARCH(Лист2!$B$4,D:D)),MAX($C$3:OFFSET(C144,-1,0))+1,0)</f>
        <v>0</v>
      </c>
      <c r="E144" s="9" t="str">
        <f t="shared" ca="1" si="8"/>
        <v/>
      </c>
      <c r="F144" s="4" t="s">
        <v>3</v>
      </c>
      <c r="G144" s="2">
        <f>IF(ISNUMBER(SEARCH(Лист2!$B$4,F:F)),1,0)</f>
        <v>0</v>
      </c>
      <c r="H144" s="3">
        <f ca="1">IF(AND(I144&lt;&gt;I143,ISNUMBER(SEARCH(Лист2!$B$5,I:I)),G144=1),MAX($H$3:OFFSET(H144,-1,0))+1,0)</f>
        <v>0</v>
      </c>
      <c r="I144" s="3" t="s">
        <v>54</v>
      </c>
      <c r="J144" s="4" t="str">
        <f t="shared" ca="1" si="7"/>
        <v/>
      </c>
      <c r="K144" s="2">
        <f>IF(ISNUMBER(SEARCH(Лист2!$B$4,F:F)),1,0)</f>
        <v>0</v>
      </c>
      <c r="L144" s="14">
        <f>IF(ISNUMBER(SEARCH(Лист2!$B$5,I:I)),1,0)+K144</f>
        <v>0</v>
      </c>
      <c r="M144" s="3">
        <f ca="1">IF(AND(N144&lt;&gt;N143,ISNUMBER(SEARCH(Лист2!$B$6,N:N)),L144=2),MAX($M$3:OFFSET(M144,-1,0))+1,0)</f>
        <v>0</v>
      </c>
      <c r="N144" s="3" t="s">
        <v>581</v>
      </c>
    </row>
    <row r="145" spans="1:14" x14ac:dyDescent="0.25">
      <c r="A145" s="1" t="s">
        <v>9929</v>
      </c>
      <c r="B145" s="3" t="s">
        <v>3769</v>
      </c>
      <c r="C145" s="2">
        <f ca="1">IF(ISNUMBER(SEARCH(Лист2!$B$4,D:D)),MAX($C$3:OFFSET(C145,-1,0))+1,0)</f>
        <v>0</v>
      </c>
      <c r="E145" s="9" t="str">
        <f t="shared" ca="1" si="8"/>
        <v/>
      </c>
      <c r="F145" s="4" t="s">
        <v>3</v>
      </c>
      <c r="G145" s="2">
        <f>IF(ISNUMBER(SEARCH(Лист2!$B$4,F:F)),1,0)</f>
        <v>0</v>
      </c>
      <c r="H145" s="3">
        <f ca="1">IF(AND(I145&lt;&gt;I144,ISNUMBER(SEARCH(Лист2!$B$5,I:I)),G145=1),MAX($H$3:OFFSET(H145,-1,0))+1,0)</f>
        <v>0</v>
      </c>
      <c r="I145" s="3" t="s">
        <v>55</v>
      </c>
      <c r="J145" s="4" t="str">
        <f t="shared" ca="1" si="7"/>
        <v/>
      </c>
      <c r="K145" s="2">
        <f>IF(ISNUMBER(SEARCH(Лист2!$B$4,F:F)),1,0)</f>
        <v>0</v>
      </c>
      <c r="L145" s="14">
        <f>IF(ISNUMBER(SEARCH(Лист2!$B$5,I:I)),1,0)+K145</f>
        <v>0</v>
      </c>
      <c r="M145" s="3">
        <f ca="1">IF(AND(N145&lt;&gt;N144,ISNUMBER(SEARCH(Лист2!$B$6,N:N)),L145=2),MAX($M$3:OFFSET(M145,-1,0))+1,0)</f>
        <v>0</v>
      </c>
      <c r="N145" s="3" t="s">
        <v>582</v>
      </c>
    </row>
    <row r="146" spans="1:14" x14ac:dyDescent="0.25">
      <c r="A146" s="1" t="s">
        <v>9930</v>
      </c>
      <c r="B146" s="3" t="s">
        <v>3770</v>
      </c>
      <c r="C146" s="2">
        <f ca="1">IF(ISNUMBER(SEARCH(Лист2!$B$4,D:D)),MAX($C$3:OFFSET(C146,-1,0))+1,0)</f>
        <v>0</v>
      </c>
      <c r="E146" s="9" t="str">
        <f t="shared" ca="1" si="8"/>
        <v/>
      </c>
      <c r="F146" s="4" t="s">
        <v>3</v>
      </c>
      <c r="G146" s="2">
        <f>IF(ISNUMBER(SEARCH(Лист2!$B$4,F:F)),1,0)</f>
        <v>0</v>
      </c>
      <c r="H146" s="3">
        <f ca="1">IF(AND(I146&lt;&gt;I145,ISNUMBER(SEARCH(Лист2!$B$5,I:I)),G146=1),MAX($H$3:OFFSET(H146,-1,0))+1,0)</f>
        <v>0</v>
      </c>
      <c r="I146" s="3" t="s">
        <v>55</v>
      </c>
      <c r="J146" s="4" t="str">
        <f t="shared" ca="1" si="7"/>
        <v/>
      </c>
      <c r="K146" s="2">
        <f>IF(ISNUMBER(SEARCH(Лист2!$B$4,F:F)),1,0)</f>
        <v>0</v>
      </c>
      <c r="L146" s="14">
        <f>IF(ISNUMBER(SEARCH(Лист2!$B$5,I:I)),1,0)+K146</f>
        <v>0</v>
      </c>
      <c r="M146" s="3">
        <f ca="1">IF(AND(N146&lt;&gt;N145,ISNUMBER(SEARCH(Лист2!$B$6,N:N)),L146=2),MAX($M$3:OFFSET(M146,-1,0))+1,0)</f>
        <v>0</v>
      </c>
      <c r="N146" s="3" t="s">
        <v>564</v>
      </c>
    </row>
    <row r="147" spans="1:14" x14ac:dyDescent="0.25">
      <c r="A147" s="1" t="s">
        <v>9931</v>
      </c>
      <c r="B147" s="3" t="s">
        <v>3771</v>
      </c>
      <c r="C147" s="2">
        <f ca="1">IF(ISNUMBER(SEARCH(Лист2!$B$4,D:D)),MAX($C$3:OFFSET(C147,-1,0))+1,0)</f>
        <v>0</v>
      </c>
      <c r="E147" s="9" t="str">
        <f t="shared" ca="1" si="8"/>
        <v/>
      </c>
      <c r="F147" s="4" t="s">
        <v>3</v>
      </c>
      <c r="G147" s="2">
        <f>IF(ISNUMBER(SEARCH(Лист2!$B$4,F:F)),1,0)</f>
        <v>0</v>
      </c>
      <c r="H147" s="3">
        <f ca="1">IF(AND(I147&lt;&gt;I146,ISNUMBER(SEARCH(Лист2!$B$5,I:I)),G147=1),MAX($H$3:OFFSET(H147,-1,0))+1,0)</f>
        <v>0</v>
      </c>
      <c r="I147" s="3" t="s">
        <v>55</v>
      </c>
      <c r="J147" s="4" t="str">
        <f t="shared" ca="1" si="7"/>
        <v/>
      </c>
      <c r="K147" s="2">
        <f>IF(ISNUMBER(SEARCH(Лист2!$B$4,F:F)),1,0)</f>
        <v>0</v>
      </c>
      <c r="L147" s="14">
        <f>IF(ISNUMBER(SEARCH(Лист2!$B$5,I:I)),1,0)+K147</f>
        <v>0</v>
      </c>
      <c r="M147" s="3">
        <f ca="1">IF(AND(N147&lt;&gt;N146,ISNUMBER(SEARCH(Лист2!$B$6,N:N)),L147=2),MAX($M$3:OFFSET(M147,-1,0))+1,0)</f>
        <v>0</v>
      </c>
      <c r="N147" s="3" t="s">
        <v>565</v>
      </c>
    </row>
    <row r="148" spans="1:14" x14ac:dyDescent="0.25">
      <c r="A148" s="1" t="s">
        <v>9932</v>
      </c>
      <c r="B148" s="3" t="s">
        <v>3772</v>
      </c>
      <c r="C148" s="2">
        <f ca="1">IF(ISNUMBER(SEARCH(Лист2!$B$4,D:D)),MAX($C$3:OFFSET(C148,-1,0))+1,0)</f>
        <v>0</v>
      </c>
      <c r="E148" s="9" t="str">
        <f t="shared" ca="1" si="8"/>
        <v/>
      </c>
      <c r="F148" s="4" t="s">
        <v>3</v>
      </c>
      <c r="G148" s="2">
        <f>IF(ISNUMBER(SEARCH(Лист2!$B$4,F:F)),1,0)</f>
        <v>0</v>
      </c>
      <c r="H148" s="3">
        <f ca="1">IF(AND(I148&lt;&gt;I147,ISNUMBER(SEARCH(Лист2!$B$5,I:I)),G148=1),MAX($H$3:OFFSET(H148,-1,0))+1,0)</f>
        <v>0</v>
      </c>
      <c r="I148" s="3" t="s">
        <v>55</v>
      </c>
      <c r="J148" s="4" t="str">
        <f t="shared" ca="1" si="7"/>
        <v/>
      </c>
      <c r="K148" s="2">
        <f>IF(ISNUMBER(SEARCH(Лист2!$B$4,F:F)),1,0)</f>
        <v>0</v>
      </c>
      <c r="L148" s="14">
        <f>IF(ISNUMBER(SEARCH(Лист2!$B$5,I:I)),1,0)+K148</f>
        <v>0</v>
      </c>
      <c r="M148" s="3">
        <f ca="1">IF(AND(N148&lt;&gt;N147,ISNUMBER(SEARCH(Лист2!$B$6,N:N)),L148=2),MAX($M$3:OFFSET(M148,-1,0))+1,0)</f>
        <v>0</v>
      </c>
      <c r="N148" s="3" t="s">
        <v>566</v>
      </c>
    </row>
    <row r="149" spans="1:14" x14ac:dyDescent="0.25">
      <c r="A149" s="1" t="s">
        <v>9933</v>
      </c>
      <c r="B149" s="3" t="s">
        <v>3773</v>
      </c>
      <c r="C149" s="2">
        <f ca="1">IF(ISNUMBER(SEARCH(Лист2!$B$4,D:D)),MAX($C$3:OFFSET(C149,-1,0))+1,0)</f>
        <v>0</v>
      </c>
      <c r="E149" s="9" t="str">
        <f t="shared" ca="1" si="8"/>
        <v/>
      </c>
      <c r="F149" s="4" t="s">
        <v>3</v>
      </c>
      <c r="G149" s="2">
        <f>IF(ISNUMBER(SEARCH(Лист2!$B$4,F:F)),1,0)</f>
        <v>0</v>
      </c>
      <c r="H149" s="3">
        <f ca="1">IF(AND(I149&lt;&gt;I148,ISNUMBER(SEARCH(Лист2!$B$5,I:I)),G149=1),MAX($H$3:OFFSET(H149,-1,0))+1,0)</f>
        <v>0</v>
      </c>
      <c r="I149" s="3" t="s">
        <v>55</v>
      </c>
      <c r="J149" s="4" t="str">
        <f t="shared" ca="1" si="7"/>
        <v/>
      </c>
      <c r="K149" s="2">
        <f>IF(ISNUMBER(SEARCH(Лист2!$B$4,F:F)),1,0)</f>
        <v>0</v>
      </c>
      <c r="L149" s="14">
        <f>IF(ISNUMBER(SEARCH(Лист2!$B$5,I:I)),1,0)+K149</f>
        <v>0</v>
      </c>
      <c r="M149" s="3">
        <f ca="1">IF(AND(N149&lt;&gt;N148,ISNUMBER(SEARCH(Лист2!$B$6,N:N)),L149=2),MAX($M$3:OFFSET(M149,-1,0))+1,0)</f>
        <v>0</v>
      </c>
      <c r="N149" s="3" t="s">
        <v>583</v>
      </c>
    </row>
    <row r="150" spans="1:14" x14ac:dyDescent="0.25">
      <c r="A150" s="1" t="s">
        <v>9934</v>
      </c>
      <c r="B150" s="3" t="s">
        <v>3774</v>
      </c>
      <c r="C150" s="2">
        <f ca="1">IF(ISNUMBER(SEARCH(Лист2!$B$4,D:D)),MAX($C$3:OFFSET(C150,-1,0))+1,0)</f>
        <v>0</v>
      </c>
      <c r="E150" s="9" t="str">
        <f t="shared" ca="1" si="8"/>
        <v/>
      </c>
      <c r="F150" s="4" t="s">
        <v>3</v>
      </c>
      <c r="G150" s="2">
        <f>IF(ISNUMBER(SEARCH(Лист2!$B$4,F:F)),1,0)</f>
        <v>0</v>
      </c>
      <c r="H150" s="3">
        <f ca="1">IF(AND(I150&lt;&gt;I149,ISNUMBER(SEARCH(Лист2!$B$5,I:I)),G150=1),MAX($H$3:OFFSET(H150,-1,0))+1,0)</f>
        <v>0</v>
      </c>
      <c r="I150" s="3" t="s">
        <v>55</v>
      </c>
      <c r="J150" s="4" t="str">
        <f t="shared" ca="1" si="7"/>
        <v/>
      </c>
      <c r="K150" s="2">
        <f>IF(ISNUMBER(SEARCH(Лист2!$B$4,F:F)),1,0)</f>
        <v>0</v>
      </c>
      <c r="L150" s="14">
        <f>IF(ISNUMBER(SEARCH(Лист2!$B$5,I:I)),1,0)+K150</f>
        <v>0</v>
      </c>
      <c r="M150" s="3">
        <f ca="1">IF(AND(N150&lt;&gt;N149,ISNUMBER(SEARCH(Лист2!$B$6,N:N)),L150=2),MAX($M$3:OFFSET(M150,-1,0))+1,0)</f>
        <v>0</v>
      </c>
      <c r="N150" s="3" t="s">
        <v>584</v>
      </c>
    </row>
    <row r="151" spans="1:14" x14ac:dyDescent="0.25">
      <c r="A151" s="1" t="s">
        <v>9935</v>
      </c>
      <c r="B151" s="3" t="s">
        <v>3775</v>
      </c>
      <c r="C151" s="2">
        <f ca="1">IF(ISNUMBER(SEARCH(Лист2!$B$4,D:D)),MAX($C$3:OFFSET(C151,-1,0))+1,0)</f>
        <v>0</v>
      </c>
      <c r="E151" s="9" t="str">
        <f t="shared" ca="1" si="8"/>
        <v/>
      </c>
      <c r="F151" s="4" t="s">
        <v>3</v>
      </c>
      <c r="G151" s="2">
        <f>IF(ISNUMBER(SEARCH(Лист2!$B$4,F:F)),1,0)</f>
        <v>0</v>
      </c>
      <c r="H151" s="3">
        <f ca="1">IF(AND(I151&lt;&gt;I150,ISNUMBER(SEARCH(Лист2!$B$5,I:I)),G151=1),MAX($H$3:OFFSET(H151,-1,0))+1,0)</f>
        <v>0</v>
      </c>
      <c r="I151" s="3" t="s">
        <v>55</v>
      </c>
      <c r="J151" s="4" t="str">
        <f t="shared" ca="1" si="7"/>
        <v/>
      </c>
      <c r="K151" s="2">
        <f>IF(ISNUMBER(SEARCH(Лист2!$B$4,F:F)),1,0)</f>
        <v>0</v>
      </c>
      <c r="L151" s="14">
        <f>IF(ISNUMBER(SEARCH(Лист2!$B$5,I:I)),1,0)+K151</f>
        <v>0</v>
      </c>
      <c r="M151" s="3">
        <f ca="1">IF(AND(N151&lt;&gt;N150,ISNUMBER(SEARCH(Лист2!$B$6,N:N)),L151=2),MAX($M$3:OFFSET(M151,-1,0))+1,0)</f>
        <v>0</v>
      </c>
      <c r="N151" s="3" t="s">
        <v>585</v>
      </c>
    </row>
    <row r="152" spans="1:14" x14ac:dyDescent="0.25">
      <c r="A152" s="1" t="s">
        <v>9936</v>
      </c>
      <c r="B152" s="3" t="s">
        <v>3776</v>
      </c>
      <c r="C152" s="2">
        <f ca="1">IF(ISNUMBER(SEARCH(Лист2!$B$4,D:D)),MAX($C$3:OFFSET(C152,-1,0))+1,0)</f>
        <v>0</v>
      </c>
      <c r="E152" s="9" t="str">
        <f t="shared" ca="1" si="8"/>
        <v/>
      </c>
      <c r="F152" s="4" t="s">
        <v>3</v>
      </c>
      <c r="G152" s="2">
        <f>IF(ISNUMBER(SEARCH(Лист2!$B$4,F:F)),1,0)</f>
        <v>0</v>
      </c>
      <c r="H152" s="3">
        <f ca="1">IF(AND(I152&lt;&gt;I151,ISNUMBER(SEARCH(Лист2!$B$5,I:I)),G152=1),MAX($H$3:OFFSET(H152,-1,0))+1,0)</f>
        <v>0</v>
      </c>
      <c r="I152" s="3" t="s">
        <v>55</v>
      </c>
      <c r="J152" s="4" t="str">
        <f t="shared" ca="1" si="7"/>
        <v/>
      </c>
      <c r="K152" s="2">
        <f>IF(ISNUMBER(SEARCH(Лист2!$B$4,F:F)),1,0)</f>
        <v>0</v>
      </c>
      <c r="L152" s="14">
        <f>IF(ISNUMBER(SEARCH(Лист2!$B$5,I:I)),1,0)+K152</f>
        <v>0</v>
      </c>
      <c r="M152" s="3">
        <f ca="1">IF(AND(N152&lt;&gt;N151,ISNUMBER(SEARCH(Лист2!$B$6,N:N)),L152=2),MAX($M$3:OFFSET(M152,-1,0))+1,0)</f>
        <v>0</v>
      </c>
      <c r="N152" s="3" t="s">
        <v>586</v>
      </c>
    </row>
    <row r="153" spans="1:14" x14ac:dyDescent="0.25">
      <c r="A153" s="1" t="s">
        <v>9937</v>
      </c>
      <c r="B153" s="3" t="s">
        <v>3777</v>
      </c>
      <c r="C153" s="2">
        <f ca="1">IF(ISNUMBER(SEARCH(Лист2!$B$4,D:D)),MAX($C$3:OFFSET(C153,-1,0))+1,0)</f>
        <v>0</v>
      </c>
      <c r="E153" s="9" t="str">
        <f t="shared" ca="1" si="8"/>
        <v/>
      </c>
      <c r="F153" s="4" t="s">
        <v>3</v>
      </c>
      <c r="G153" s="2">
        <f>IF(ISNUMBER(SEARCH(Лист2!$B$4,F:F)),1,0)</f>
        <v>0</v>
      </c>
      <c r="H153" s="3">
        <f ca="1">IF(AND(I153&lt;&gt;I152,ISNUMBER(SEARCH(Лист2!$B$5,I:I)),G153=1),MAX($H$3:OFFSET(H153,-1,0))+1,0)</f>
        <v>0</v>
      </c>
      <c r="I153" s="3" t="s">
        <v>55</v>
      </c>
      <c r="J153" s="4" t="str">
        <f t="shared" ca="1" si="7"/>
        <v/>
      </c>
      <c r="K153" s="2">
        <f>IF(ISNUMBER(SEARCH(Лист2!$B$4,F:F)),1,0)</f>
        <v>0</v>
      </c>
      <c r="L153" s="14">
        <f>IF(ISNUMBER(SEARCH(Лист2!$B$5,I:I)),1,0)+K153</f>
        <v>0</v>
      </c>
      <c r="M153" s="3">
        <f ca="1">IF(AND(N153&lt;&gt;N152,ISNUMBER(SEARCH(Лист2!$B$6,N:N)),L153=2),MAX($M$3:OFFSET(M153,-1,0))+1,0)</f>
        <v>0</v>
      </c>
      <c r="N153" s="3" t="s">
        <v>587</v>
      </c>
    </row>
    <row r="154" spans="1:14" x14ac:dyDescent="0.25">
      <c r="A154" s="1" t="s">
        <v>9938</v>
      </c>
      <c r="B154" s="3" t="s">
        <v>3778</v>
      </c>
      <c r="C154" s="2">
        <f ca="1">IF(ISNUMBER(SEARCH(Лист2!$B$4,D:D)),MAX($C$3:OFFSET(C154,-1,0))+1,0)</f>
        <v>0</v>
      </c>
      <c r="E154" s="9" t="str">
        <f t="shared" ca="1" si="8"/>
        <v/>
      </c>
      <c r="F154" s="4" t="s">
        <v>3</v>
      </c>
      <c r="G154" s="2">
        <f>IF(ISNUMBER(SEARCH(Лист2!$B$4,F:F)),1,0)</f>
        <v>0</v>
      </c>
      <c r="H154" s="3">
        <f ca="1">IF(AND(I154&lt;&gt;I153,ISNUMBER(SEARCH(Лист2!$B$5,I:I)),G154=1),MAX($H$3:OFFSET(H154,-1,0))+1,0)</f>
        <v>0</v>
      </c>
      <c r="I154" s="3" t="s">
        <v>55</v>
      </c>
      <c r="J154" s="4" t="str">
        <f t="shared" ca="1" si="7"/>
        <v/>
      </c>
      <c r="K154" s="2">
        <f>IF(ISNUMBER(SEARCH(Лист2!$B$4,F:F)),1,0)</f>
        <v>0</v>
      </c>
      <c r="L154" s="14">
        <f>IF(ISNUMBER(SEARCH(Лист2!$B$5,I:I)),1,0)+K154</f>
        <v>0</v>
      </c>
      <c r="M154" s="3">
        <f ca="1">IF(AND(N154&lt;&gt;N153,ISNUMBER(SEARCH(Лист2!$B$6,N:N)),L154=2),MAX($M$3:OFFSET(M154,-1,0))+1,0)</f>
        <v>0</v>
      </c>
      <c r="N154" s="3" t="s">
        <v>572</v>
      </c>
    </row>
    <row r="155" spans="1:14" x14ac:dyDescent="0.25">
      <c r="A155" s="1" t="s">
        <v>9939</v>
      </c>
      <c r="B155" s="3" t="s">
        <v>3779</v>
      </c>
      <c r="C155" s="2">
        <f ca="1">IF(ISNUMBER(SEARCH(Лист2!$B$4,D:D)),MAX($C$3:OFFSET(C155,-1,0))+1,0)</f>
        <v>0</v>
      </c>
      <c r="E155" s="9" t="str">
        <f t="shared" ca="1" si="8"/>
        <v/>
      </c>
      <c r="F155" s="4" t="s">
        <v>3</v>
      </c>
      <c r="G155" s="2">
        <f>IF(ISNUMBER(SEARCH(Лист2!$B$4,F:F)),1,0)</f>
        <v>0</v>
      </c>
      <c r="H155" s="3">
        <f ca="1">IF(AND(I155&lt;&gt;I154,ISNUMBER(SEARCH(Лист2!$B$5,I:I)),G155=1),MAX($H$3:OFFSET(H155,-1,0))+1,0)</f>
        <v>0</v>
      </c>
      <c r="I155" s="3" t="s">
        <v>55</v>
      </c>
      <c r="J155" s="4" t="str">
        <f t="shared" ca="1" si="7"/>
        <v/>
      </c>
      <c r="K155" s="2">
        <f>IF(ISNUMBER(SEARCH(Лист2!$B$4,F:F)),1,0)</f>
        <v>0</v>
      </c>
      <c r="L155" s="14">
        <f>IF(ISNUMBER(SEARCH(Лист2!$B$5,I:I)),1,0)+K155</f>
        <v>0</v>
      </c>
      <c r="M155" s="3">
        <f ca="1">IF(AND(N155&lt;&gt;N154,ISNUMBER(SEARCH(Лист2!$B$6,N:N)),L155=2),MAX($M$3:OFFSET(M155,-1,0))+1,0)</f>
        <v>0</v>
      </c>
      <c r="N155" s="3" t="s">
        <v>588</v>
      </c>
    </row>
    <row r="156" spans="1:14" x14ac:dyDescent="0.25">
      <c r="A156" s="1" t="s">
        <v>9940</v>
      </c>
      <c r="B156" s="3" t="s">
        <v>3780</v>
      </c>
      <c r="C156" s="2">
        <f ca="1">IF(ISNUMBER(SEARCH(Лист2!$B$4,D:D)),MAX($C$3:OFFSET(C156,-1,0))+1,0)</f>
        <v>0</v>
      </c>
      <c r="E156" s="9" t="str">
        <f t="shared" ca="1" si="8"/>
        <v/>
      </c>
      <c r="F156" s="4" t="s">
        <v>3</v>
      </c>
      <c r="G156" s="2">
        <f>IF(ISNUMBER(SEARCH(Лист2!$B$4,F:F)),1,0)</f>
        <v>0</v>
      </c>
      <c r="H156" s="3">
        <f ca="1">IF(AND(I156&lt;&gt;I155,ISNUMBER(SEARCH(Лист2!$B$5,I:I)),G156=1),MAX($H$3:OFFSET(H156,-1,0))+1,0)</f>
        <v>0</v>
      </c>
      <c r="I156" s="3" t="s">
        <v>55</v>
      </c>
      <c r="J156" s="4" t="str">
        <f t="shared" ca="1" si="7"/>
        <v/>
      </c>
      <c r="K156" s="2">
        <f>IF(ISNUMBER(SEARCH(Лист2!$B$4,F:F)),1,0)</f>
        <v>0</v>
      </c>
      <c r="L156" s="14">
        <f>IF(ISNUMBER(SEARCH(Лист2!$B$5,I:I)),1,0)+K156</f>
        <v>0</v>
      </c>
      <c r="M156" s="3">
        <f ca="1">IF(AND(N156&lt;&gt;N155,ISNUMBER(SEARCH(Лист2!$B$6,N:N)),L156=2),MAX($M$3:OFFSET(M156,-1,0))+1,0)</f>
        <v>0</v>
      </c>
      <c r="N156" s="3" t="s">
        <v>589</v>
      </c>
    </row>
    <row r="157" spans="1:14" x14ac:dyDescent="0.25">
      <c r="A157" s="1" t="s">
        <v>9941</v>
      </c>
      <c r="B157" s="3" t="s">
        <v>3781</v>
      </c>
      <c r="C157" s="2">
        <f ca="1">IF(ISNUMBER(SEARCH(Лист2!$B$4,D:D)),MAX($C$3:OFFSET(C157,-1,0))+1,0)</f>
        <v>0</v>
      </c>
      <c r="E157" s="9" t="str">
        <f t="shared" ca="1" si="8"/>
        <v/>
      </c>
      <c r="F157" s="4" t="s">
        <v>3</v>
      </c>
      <c r="G157" s="2">
        <f>IF(ISNUMBER(SEARCH(Лист2!$B$4,F:F)),1,0)</f>
        <v>0</v>
      </c>
      <c r="H157" s="3">
        <f ca="1">IF(AND(I157&lt;&gt;I156,ISNUMBER(SEARCH(Лист2!$B$5,I:I)),G157=1),MAX($H$3:OFFSET(H157,-1,0))+1,0)</f>
        <v>0</v>
      </c>
      <c r="I157" s="3" t="s">
        <v>55</v>
      </c>
      <c r="J157" s="4" t="str">
        <f t="shared" ca="1" si="7"/>
        <v/>
      </c>
      <c r="K157" s="2">
        <f>IF(ISNUMBER(SEARCH(Лист2!$B$4,F:F)),1,0)</f>
        <v>0</v>
      </c>
      <c r="L157" s="14">
        <f>IF(ISNUMBER(SEARCH(Лист2!$B$5,I:I)),1,0)+K157</f>
        <v>0</v>
      </c>
      <c r="M157" s="3">
        <f ca="1">IF(AND(N157&lt;&gt;N156,ISNUMBER(SEARCH(Лист2!$B$6,N:N)),L157=2),MAX($M$3:OFFSET(M157,-1,0))+1,0)</f>
        <v>0</v>
      </c>
      <c r="N157" s="3" t="s">
        <v>575</v>
      </c>
    </row>
    <row r="158" spans="1:14" x14ac:dyDescent="0.25">
      <c r="A158" s="1" t="s">
        <v>9942</v>
      </c>
      <c r="B158" s="3" t="s">
        <v>3782</v>
      </c>
      <c r="C158" s="2">
        <f ca="1">IF(ISNUMBER(SEARCH(Лист2!$B$4,D:D)),MAX($C$3:OFFSET(C158,-1,0))+1,0)</f>
        <v>0</v>
      </c>
      <c r="E158" s="9" t="str">
        <f t="shared" ca="1" si="8"/>
        <v/>
      </c>
      <c r="F158" s="4" t="s">
        <v>3</v>
      </c>
      <c r="G158" s="2">
        <f>IF(ISNUMBER(SEARCH(Лист2!$B$4,F:F)),1,0)</f>
        <v>0</v>
      </c>
      <c r="H158" s="3">
        <f ca="1">IF(AND(I158&lt;&gt;I157,ISNUMBER(SEARCH(Лист2!$B$5,I:I)),G158=1),MAX($H$3:OFFSET(H158,-1,0))+1,0)</f>
        <v>0</v>
      </c>
      <c r="I158" s="3" t="s">
        <v>55</v>
      </c>
      <c r="J158" s="4" t="str">
        <f t="shared" ca="1" si="7"/>
        <v/>
      </c>
      <c r="K158" s="2">
        <f>IF(ISNUMBER(SEARCH(Лист2!$B$4,F:F)),1,0)</f>
        <v>0</v>
      </c>
      <c r="L158" s="14">
        <f>IF(ISNUMBER(SEARCH(Лист2!$B$5,I:I)),1,0)+K158</f>
        <v>0</v>
      </c>
      <c r="M158" s="3">
        <f ca="1">IF(AND(N158&lt;&gt;N157,ISNUMBER(SEARCH(Лист2!$B$6,N:N)),L158=2),MAX($M$3:OFFSET(M158,-1,0))+1,0)</f>
        <v>0</v>
      </c>
      <c r="N158" s="3" t="s">
        <v>576</v>
      </c>
    </row>
    <row r="159" spans="1:14" x14ac:dyDescent="0.25">
      <c r="A159" s="1" t="s">
        <v>9943</v>
      </c>
      <c r="B159" s="3" t="s">
        <v>3783</v>
      </c>
      <c r="C159" s="2">
        <f ca="1">IF(ISNUMBER(SEARCH(Лист2!$B$4,D:D)),MAX($C$3:OFFSET(C159,-1,0))+1,0)</f>
        <v>0</v>
      </c>
      <c r="E159" s="9" t="str">
        <f t="shared" ca="1" si="8"/>
        <v/>
      </c>
      <c r="F159" s="4" t="s">
        <v>3</v>
      </c>
      <c r="G159" s="2">
        <f>IF(ISNUMBER(SEARCH(Лист2!$B$4,F:F)),1,0)</f>
        <v>0</v>
      </c>
      <c r="H159" s="3">
        <f ca="1">IF(AND(I159&lt;&gt;I158,ISNUMBER(SEARCH(Лист2!$B$5,I:I)),G159=1),MAX($H$3:OFFSET(H159,-1,0))+1,0)</f>
        <v>0</v>
      </c>
      <c r="I159" s="3" t="s">
        <v>55</v>
      </c>
      <c r="J159" s="4" t="str">
        <f t="shared" ca="1" si="7"/>
        <v/>
      </c>
      <c r="K159" s="2">
        <f>IF(ISNUMBER(SEARCH(Лист2!$B$4,F:F)),1,0)</f>
        <v>0</v>
      </c>
      <c r="L159" s="14">
        <f>IF(ISNUMBER(SEARCH(Лист2!$B$5,I:I)),1,0)+K159</f>
        <v>0</v>
      </c>
      <c r="M159" s="3">
        <f ca="1">IF(AND(N159&lt;&gt;N158,ISNUMBER(SEARCH(Лист2!$B$6,N:N)),L159=2),MAX($M$3:OFFSET(M159,-1,0))+1,0)</f>
        <v>0</v>
      </c>
      <c r="N159" s="3" t="s">
        <v>590</v>
      </c>
    </row>
    <row r="160" spans="1:14" x14ac:dyDescent="0.25">
      <c r="A160" s="1" t="s">
        <v>9944</v>
      </c>
      <c r="B160" s="3" t="s">
        <v>3784</v>
      </c>
      <c r="C160" s="2">
        <f ca="1">IF(ISNUMBER(SEARCH(Лист2!$B$4,D:D)),MAX($C$3:OFFSET(C160,-1,0))+1,0)</f>
        <v>0</v>
      </c>
      <c r="E160" s="9" t="str">
        <f t="shared" ca="1" si="8"/>
        <v/>
      </c>
      <c r="F160" s="4" t="s">
        <v>3</v>
      </c>
      <c r="G160" s="2">
        <f>IF(ISNUMBER(SEARCH(Лист2!$B$4,F:F)),1,0)</f>
        <v>0</v>
      </c>
      <c r="H160" s="3">
        <f ca="1">IF(AND(I160&lt;&gt;I159,ISNUMBER(SEARCH(Лист2!$B$5,I:I)),G160=1),MAX($H$3:OFFSET(H160,-1,0))+1,0)</f>
        <v>0</v>
      </c>
      <c r="I160" s="3" t="s">
        <v>55</v>
      </c>
      <c r="J160" s="4" t="str">
        <f t="shared" ca="1" si="7"/>
        <v/>
      </c>
      <c r="K160" s="2">
        <f>IF(ISNUMBER(SEARCH(Лист2!$B$4,F:F)),1,0)</f>
        <v>0</v>
      </c>
      <c r="L160" s="14">
        <f>IF(ISNUMBER(SEARCH(Лист2!$B$5,I:I)),1,0)+K160</f>
        <v>0</v>
      </c>
      <c r="M160" s="3">
        <f ca="1">IF(AND(N160&lt;&gt;N159,ISNUMBER(SEARCH(Лист2!$B$6,N:N)),L160=2),MAX($M$3:OFFSET(M160,-1,0))+1,0)</f>
        <v>0</v>
      </c>
      <c r="N160" s="3" t="s">
        <v>591</v>
      </c>
    </row>
    <row r="161" spans="1:14" x14ac:dyDescent="0.25">
      <c r="A161" s="1" t="s">
        <v>9945</v>
      </c>
      <c r="B161" s="3" t="s">
        <v>3785</v>
      </c>
      <c r="C161" s="2">
        <f ca="1">IF(ISNUMBER(SEARCH(Лист2!$B$4,D:D)),MAX($C$3:OFFSET(C161,-1,0))+1,0)</f>
        <v>0</v>
      </c>
      <c r="E161" s="9" t="str">
        <f t="shared" ca="1" si="8"/>
        <v/>
      </c>
      <c r="F161" s="4" t="s">
        <v>3</v>
      </c>
      <c r="G161" s="2">
        <f>IF(ISNUMBER(SEARCH(Лист2!$B$4,F:F)),1,0)</f>
        <v>0</v>
      </c>
      <c r="H161" s="3">
        <f ca="1">IF(AND(I161&lt;&gt;I160,ISNUMBER(SEARCH(Лист2!$B$5,I:I)),G161=1),MAX($H$3:OFFSET(H161,-1,0))+1,0)</f>
        <v>0</v>
      </c>
      <c r="I161" s="3" t="s">
        <v>55</v>
      </c>
      <c r="J161" s="4" t="str">
        <f t="shared" ca="1" si="7"/>
        <v/>
      </c>
      <c r="K161" s="2">
        <f>IF(ISNUMBER(SEARCH(Лист2!$B$4,F:F)),1,0)</f>
        <v>0</v>
      </c>
      <c r="L161" s="14">
        <f>IF(ISNUMBER(SEARCH(Лист2!$B$5,I:I)),1,0)+K161</f>
        <v>0</v>
      </c>
      <c r="M161" s="3">
        <f ca="1">IF(AND(N161&lt;&gt;N160,ISNUMBER(SEARCH(Лист2!$B$6,N:N)),L161=2),MAX($M$3:OFFSET(M161,-1,0))+1,0)</f>
        <v>0</v>
      </c>
      <c r="N161" s="3" t="s">
        <v>592</v>
      </c>
    </row>
    <row r="162" spans="1:14" x14ac:dyDescent="0.25">
      <c r="A162" s="1" t="s">
        <v>9946</v>
      </c>
      <c r="B162" s="3" t="s">
        <v>3786</v>
      </c>
      <c r="C162" s="2">
        <f ca="1">IF(ISNUMBER(SEARCH(Лист2!$B$4,D:D)),MAX($C$3:OFFSET(C162,-1,0))+1,0)</f>
        <v>0</v>
      </c>
      <c r="E162" s="9" t="str">
        <f t="shared" ca="1" si="8"/>
        <v/>
      </c>
      <c r="F162" s="4" t="s">
        <v>3</v>
      </c>
      <c r="G162" s="2">
        <f>IF(ISNUMBER(SEARCH(Лист2!$B$4,F:F)),1,0)</f>
        <v>0</v>
      </c>
      <c r="H162" s="3">
        <f ca="1">IF(AND(I162&lt;&gt;I161,ISNUMBER(SEARCH(Лист2!$B$5,I:I)),G162=1),MAX($H$3:OFFSET(H162,-1,0))+1,0)</f>
        <v>0</v>
      </c>
      <c r="I162" s="3" t="s">
        <v>55</v>
      </c>
      <c r="J162" s="4" t="str">
        <f t="shared" ca="1" si="7"/>
        <v/>
      </c>
      <c r="K162" s="2">
        <f>IF(ISNUMBER(SEARCH(Лист2!$B$4,F:F)),1,0)</f>
        <v>0</v>
      </c>
      <c r="L162" s="14">
        <f>IF(ISNUMBER(SEARCH(Лист2!$B$5,I:I)),1,0)+K162</f>
        <v>0</v>
      </c>
      <c r="M162" s="3">
        <f ca="1">IF(AND(N162&lt;&gt;N161,ISNUMBER(SEARCH(Лист2!$B$6,N:N)),L162=2),MAX($M$3:OFFSET(M162,-1,0))+1,0)</f>
        <v>0</v>
      </c>
      <c r="N162" s="3" t="s">
        <v>593</v>
      </c>
    </row>
    <row r="163" spans="1:14" x14ac:dyDescent="0.25">
      <c r="A163" s="1" t="s">
        <v>9947</v>
      </c>
      <c r="B163" s="3" t="s">
        <v>3787</v>
      </c>
      <c r="C163" s="2">
        <f ca="1">IF(ISNUMBER(SEARCH(Лист2!$B$4,D:D)),MAX($C$3:OFFSET(C163,-1,0))+1,0)</f>
        <v>0</v>
      </c>
      <c r="E163" s="9" t="str">
        <f t="shared" ca="1" si="8"/>
        <v/>
      </c>
      <c r="F163" s="4" t="s">
        <v>3</v>
      </c>
      <c r="G163" s="2">
        <f>IF(ISNUMBER(SEARCH(Лист2!$B$4,F:F)),1,0)</f>
        <v>0</v>
      </c>
      <c r="H163" s="3">
        <f ca="1">IF(AND(I163&lt;&gt;I162,ISNUMBER(SEARCH(Лист2!$B$5,I:I)),G163=1),MAX($H$3:OFFSET(H163,-1,0))+1,0)</f>
        <v>0</v>
      </c>
      <c r="I163" s="3" t="s">
        <v>55</v>
      </c>
      <c r="J163" s="4" t="str">
        <f t="shared" ca="1" si="7"/>
        <v/>
      </c>
      <c r="K163" s="2">
        <f>IF(ISNUMBER(SEARCH(Лист2!$B$4,F:F)),1,0)</f>
        <v>0</v>
      </c>
      <c r="L163" s="14">
        <f>IF(ISNUMBER(SEARCH(Лист2!$B$5,I:I)),1,0)+K163</f>
        <v>0</v>
      </c>
      <c r="M163" s="3">
        <f ca="1">IF(AND(N163&lt;&gt;N162,ISNUMBER(SEARCH(Лист2!$B$6,N:N)),L163=2),MAX($M$3:OFFSET(M163,-1,0))+1,0)</f>
        <v>0</v>
      </c>
      <c r="N163" s="3" t="s">
        <v>579</v>
      </c>
    </row>
    <row r="164" spans="1:14" x14ac:dyDescent="0.25">
      <c r="A164" s="1" t="s">
        <v>9948</v>
      </c>
      <c r="B164" s="3" t="s">
        <v>3788</v>
      </c>
      <c r="C164" s="2">
        <f ca="1">IF(ISNUMBER(SEARCH(Лист2!$B$4,D:D)),MAX($C$3:OFFSET(C164,-1,0))+1,0)</f>
        <v>0</v>
      </c>
      <c r="E164" s="9" t="str">
        <f t="shared" ca="1" si="8"/>
        <v/>
      </c>
      <c r="F164" s="4" t="s">
        <v>3</v>
      </c>
      <c r="G164" s="2">
        <f>IF(ISNUMBER(SEARCH(Лист2!$B$4,F:F)),1,0)</f>
        <v>0</v>
      </c>
      <c r="H164" s="3">
        <f ca="1">IF(AND(I164&lt;&gt;I163,ISNUMBER(SEARCH(Лист2!$B$5,I:I)),G164=1),MAX($H$3:OFFSET(H164,-1,0))+1,0)</f>
        <v>0</v>
      </c>
      <c r="I164" s="3" t="s">
        <v>55</v>
      </c>
      <c r="J164" s="4" t="str">
        <f t="shared" ca="1" si="7"/>
        <v/>
      </c>
      <c r="K164" s="2">
        <f>IF(ISNUMBER(SEARCH(Лист2!$B$4,F:F)),1,0)</f>
        <v>0</v>
      </c>
      <c r="L164" s="14">
        <f>IF(ISNUMBER(SEARCH(Лист2!$B$5,I:I)),1,0)+K164</f>
        <v>0</v>
      </c>
      <c r="M164" s="3">
        <f ca="1">IF(AND(N164&lt;&gt;N163,ISNUMBER(SEARCH(Лист2!$B$6,N:N)),L164=2),MAX($M$3:OFFSET(M164,-1,0))+1,0)</f>
        <v>0</v>
      </c>
      <c r="N164" s="3" t="s">
        <v>580</v>
      </c>
    </row>
    <row r="165" spans="1:14" x14ac:dyDescent="0.25">
      <c r="A165" s="1" t="s">
        <v>9949</v>
      </c>
      <c r="B165" s="3" t="s">
        <v>3789</v>
      </c>
      <c r="C165" s="2">
        <f ca="1">IF(ISNUMBER(SEARCH(Лист2!$B$4,D:D)),MAX($C$3:OFFSET(C165,-1,0))+1,0)</f>
        <v>0</v>
      </c>
      <c r="E165" s="9" t="str">
        <f t="shared" ca="1" si="8"/>
        <v/>
      </c>
      <c r="F165" s="4" t="s">
        <v>3</v>
      </c>
      <c r="G165" s="2">
        <f>IF(ISNUMBER(SEARCH(Лист2!$B$4,F:F)),1,0)</f>
        <v>0</v>
      </c>
      <c r="H165" s="3">
        <f ca="1">IF(AND(I165&lt;&gt;I164,ISNUMBER(SEARCH(Лист2!$B$5,I:I)),G165=1),MAX($H$3:OFFSET(H165,-1,0))+1,0)</f>
        <v>0</v>
      </c>
      <c r="I165" s="3" t="s">
        <v>55</v>
      </c>
      <c r="J165" s="4" t="str">
        <f t="shared" ca="1" si="7"/>
        <v/>
      </c>
      <c r="K165" s="2">
        <f>IF(ISNUMBER(SEARCH(Лист2!$B$4,F:F)),1,0)</f>
        <v>0</v>
      </c>
      <c r="L165" s="14">
        <f>IF(ISNUMBER(SEARCH(Лист2!$B$5,I:I)),1,0)+K165</f>
        <v>0</v>
      </c>
      <c r="M165" s="3">
        <f ca="1">IF(AND(N165&lt;&gt;N164,ISNUMBER(SEARCH(Лист2!$B$6,N:N)),L165=2),MAX($M$3:OFFSET(M165,-1,0))+1,0)</f>
        <v>0</v>
      </c>
      <c r="N165" s="3" t="s">
        <v>581</v>
      </c>
    </row>
    <row r="166" spans="1:14" x14ac:dyDescent="0.25">
      <c r="A166" s="1" t="s">
        <v>9950</v>
      </c>
      <c r="B166" s="3" t="s">
        <v>3790</v>
      </c>
      <c r="C166" s="2">
        <f ca="1">IF(ISNUMBER(SEARCH(Лист2!$B$4,D:D)),MAX($C$3:OFFSET(C166,-1,0))+1,0)</f>
        <v>0</v>
      </c>
      <c r="E166" s="9" t="str">
        <f t="shared" ca="1" si="8"/>
        <v/>
      </c>
      <c r="F166" s="4" t="s">
        <v>3</v>
      </c>
      <c r="G166" s="2">
        <f>IF(ISNUMBER(SEARCH(Лист2!$B$4,F:F)),1,0)</f>
        <v>0</v>
      </c>
      <c r="H166" s="3">
        <f ca="1">IF(AND(I166&lt;&gt;I165,ISNUMBER(SEARCH(Лист2!$B$5,I:I)),G166=1),MAX($H$3:OFFSET(H166,-1,0))+1,0)</f>
        <v>0</v>
      </c>
      <c r="I166" s="3" t="s">
        <v>56</v>
      </c>
      <c r="J166" s="4" t="str">
        <f t="shared" ca="1" si="7"/>
        <v/>
      </c>
      <c r="K166" s="2">
        <f>IF(ISNUMBER(SEARCH(Лист2!$B$4,F:F)),1,0)</f>
        <v>0</v>
      </c>
      <c r="L166" s="14">
        <f>IF(ISNUMBER(SEARCH(Лист2!$B$5,I:I)),1,0)+K166</f>
        <v>0</v>
      </c>
      <c r="M166" s="3">
        <f ca="1">IF(AND(N166&lt;&gt;N165,ISNUMBER(SEARCH(Лист2!$B$6,N:N)),L166=2),MAX($M$3:OFFSET(M166,-1,0))+1,0)</f>
        <v>0</v>
      </c>
      <c r="N166" s="3" t="s">
        <v>354</v>
      </c>
    </row>
    <row r="167" spans="1:14" x14ac:dyDescent="0.25">
      <c r="A167" s="1" t="s">
        <v>9951</v>
      </c>
      <c r="B167" s="3" t="s">
        <v>3791</v>
      </c>
      <c r="C167" s="2">
        <f ca="1">IF(ISNUMBER(SEARCH(Лист2!$B$4,D:D)),MAX($C$3:OFFSET(C167,-1,0))+1,0)</f>
        <v>0</v>
      </c>
      <c r="E167" s="9" t="str">
        <f t="shared" ca="1" si="8"/>
        <v/>
      </c>
      <c r="F167" s="4" t="s">
        <v>3</v>
      </c>
      <c r="G167" s="2">
        <f>IF(ISNUMBER(SEARCH(Лист2!$B$4,F:F)),1,0)</f>
        <v>0</v>
      </c>
      <c r="H167" s="3">
        <f ca="1">IF(AND(I167&lt;&gt;I166,ISNUMBER(SEARCH(Лист2!$B$5,I:I)),G167=1),MAX($H$3:OFFSET(H167,-1,0))+1,0)</f>
        <v>0</v>
      </c>
      <c r="I167" s="3" t="s">
        <v>56</v>
      </c>
      <c r="J167" s="4" t="str">
        <f t="shared" ca="1" si="7"/>
        <v/>
      </c>
      <c r="K167" s="2">
        <f>IF(ISNUMBER(SEARCH(Лист2!$B$4,F:F)),1,0)</f>
        <v>0</v>
      </c>
      <c r="L167" s="14">
        <f>IF(ISNUMBER(SEARCH(Лист2!$B$5,I:I)),1,0)+K167</f>
        <v>0</v>
      </c>
      <c r="M167" s="3">
        <f ca="1">IF(AND(N167&lt;&gt;N166,ISNUMBER(SEARCH(Лист2!$B$6,N:N)),L167=2),MAX($M$3:OFFSET(M167,-1,0))+1,0)</f>
        <v>0</v>
      </c>
      <c r="N167" s="3" t="s">
        <v>564</v>
      </c>
    </row>
    <row r="168" spans="1:14" x14ac:dyDescent="0.25">
      <c r="A168" s="1" t="s">
        <v>9952</v>
      </c>
      <c r="B168" s="3" t="s">
        <v>3792</v>
      </c>
      <c r="C168" s="2">
        <f ca="1">IF(ISNUMBER(SEARCH(Лист2!$B$4,D:D)),MAX($C$3:OFFSET(C168,-1,0))+1,0)</f>
        <v>0</v>
      </c>
      <c r="E168" s="9" t="str">
        <f t="shared" ca="1" si="8"/>
        <v/>
      </c>
      <c r="F168" s="4" t="s">
        <v>3</v>
      </c>
      <c r="G168" s="2">
        <f>IF(ISNUMBER(SEARCH(Лист2!$B$4,F:F)),1,0)</f>
        <v>0</v>
      </c>
      <c r="H168" s="3">
        <f ca="1">IF(AND(I168&lt;&gt;I167,ISNUMBER(SEARCH(Лист2!$B$5,I:I)),G168=1),MAX($H$3:OFFSET(H168,-1,0))+1,0)</f>
        <v>0</v>
      </c>
      <c r="I168" s="3" t="s">
        <v>56</v>
      </c>
      <c r="J168" s="4" t="str">
        <f t="shared" ca="1" si="7"/>
        <v/>
      </c>
      <c r="K168" s="2">
        <f>IF(ISNUMBER(SEARCH(Лист2!$B$4,F:F)),1,0)</f>
        <v>0</v>
      </c>
      <c r="L168" s="14">
        <f>IF(ISNUMBER(SEARCH(Лист2!$B$5,I:I)),1,0)+K168</f>
        <v>0</v>
      </c>
      <c r="M168" s="3">
        <f ca="1">IF(AND(N168&lt;&gt;N167,ISNUMBER(SEARCH(Лист2!$B$6,N:N)),L168=2),MAX($M$3:OFFSET(M168,-1,0))+1,0)</f>
        <v>0</v>
      </c>
      <c r="N168" s="3" t="s">
        <v>565</v>
      </c>
    </row>
    <row r="169" spans="1:14" x14ac:dyDescent="0.25">
      <c r="A169" s="1" t="s">
        <v>9953</v>
      </c>
      <c r="B169" s="3" t="s">
        <v>3793</v>
      </c>
      <c r="C169" s="2">
        <f ca="1">IF(ISNUMBER(SEARCH(Лист2!$B$4,D:D)),MAX($C$3:OFFSET(C169,-1,0))+1,0)</f>
        <v>0</v>
      </c>
      <c r="E169" s="9" t="str">
        <f t="shared" ca="1" si="8"/>
        <v/>
      </c>
      <c r="F169" s="4" t="s">
        <v>3</v>
      </c>
      <c r="G169" s="2">
        <f>IF(ISNUMBER(SEARCH(Лист2!$B$4,F:F)),1,0)</f>
        <v>0</v>
      </c>
      <c r="H169" s="3">
        <f ca="1">IF(AND(I169&lt;&gt;I168,ISNUMBER(SEARCH(Лист2!$B$5,I:I)),G169=1),MAX($H$3:OFFSET(H169,-1,0))+1,0)</f>
        <v>0</v>
      </c>
      <c r="I169" s="3" t="s">
        <v>56</v>
      </c>
      <c r="J169" s="4" t="str">
        <f t="shared" ca="1" si="7"/>
        <v/>
      </c>
      <c r="K169" s="2">
        <f>IF(ISNUMBER(SEARCH(Лист2!$B$4,F:F)),1,0)</f>
        <v>0</v>
      </c>
      <c r="L169" s="14">
        <f>IF(ISNUMBER(SEARCH(Лист2!$B$5,I:I)),1,0)+K169</f>
        <v>0</v>
      </c>
      <c r="M169" s="3">
        <f ca="1">IF(AND(N169&lt;&gt;N168,ISNUMBER(SEARCH(Лист2!$B$6,N:N)),L169=2),MAX($M$3:OFFSET(M169,-1,0))+1,0)</f>
        <v>0</v>
      </c>
      <c r="N169" s="3" t="s">
        <v>566</v>
      </c>
    </row>
    <row r="170" spans="1:14" x14ac:dyDescent="0.25">
      <c r="A170" s="1" t="s">
        <v>9954</v>
      </c>
      <c r="B170" s="3" t="s">
        <v>3794</v>
      </c>
      <c r="C170" s="2">
        <f ca="1">IF(ISNUMBER(SEARCH(Лист2!$B$4,D:D)),MAX($C$3:OFFSET(C170,-1,0))+1,0)</f>
        <v>0</v>
      </c>
      <c r="E170" s="9" t="str">
        <f t="shared" ca="1" si="8"/>
        <v/>
      </c>
      <c r="F170" s="4" t="s">
        <v>3</v>
      </c>
      <c r="G170" s="2">
        <f>IF(ISNUMBER(SEARCH(Лист2!$B$4,F:F)),1,0)</f>
        <v>0</v>
      </c>
      <c r="H170" s="3">
        <f ca="1">IF(AND(I170&lt;&gt;I169,ISNUMBER(SEARCH(Лист2!$B$5,I:I)),G170=1),MAX($H$3:OFFSET(H170,-1,0))+1,0)</f>
        <v>0</v>
      </c>
      <c r="I170" s="3" t="s">
        <v>56</v>
      </c>
      <c r="J170" s="4" t="str">
        <f t="shared" ca="1" si="7"/>
        <v/>
      </c>
      <c r="K170" s="2">
        <f>IF(ISNUMBER(SEARCH(Лист2!$B$4,F:F)),1,0)</f>
        <v>0</v>
      </c>
      <c r="L170" s="14">
        <f>IF(ISNUMBER(SEARCH(Лист2!$B$5,I:I)),1,0)+K170</f>
        <v>0</v>
      </c>
      <c r="M170" s="3">
        <f ca="1">IF(AND(N170&lt;&gt;N169,ISNUMBER(SEARCH(Лист2!$B$6,N:N)),L170=2),MAX($M$3:OFFSET(M170,-1,0))+1,0)</f>
        <v>0</v>
      </c>
      <c r="N170" s="3" t="s">
        <v>594</v>
      </c>
    </row>
    <row r="171" spans="1:14" x14ac:dyDescent="0.25">
      <c r="A171" s="1" t="s">
        <v>9955</v>
      </c>
      <c r="B171" s="3" t="s">
        <v>3795</v>
      </c>
      <c r="C171" s="2">
        <f ca="1">IF(ISNUMBER(SEARCH(Лист2!$B$4,D:D)),MAX($C$3:OFFSET(C171,-1,0))+1,0)</f>
        <v>0</v>
      </c>
      <c r="E171" s="9" t="str">
        <f t="shared" ca="1" si="8"/>
        <v/>
      </c>
      <c r="F171" s="4" t="s">
        <v>3</v>
      </c>
      <c r="G171" s="2">
        <f>IF(ISNUMBER(SEARCH(Лист2!$B$4,F:F)),1,0)</f>
        <v>0</v>
      </c>
      <c r="H171" s="3">
        <f ca="1">IF(AND(I171&lt;&gt;I170,ISNUMBER(SEARCH(Лист2!$B$5,I:I)),G171=1),MAX($H$3:OFFSET(H171,-1,0))+1,0)</f>
        <v>0</v>
      </c>
      <c r="I171" s="3" t="s">
        <v>56</v>
      </c>
      <c r="J171" s="4" t="str">
        <f t="shared" ca="1" si="7"/>
        <v/>
      </c>
      <c r="K171" s="2">
        <f>IF(ISNUMBER(SEARCH(Лист2!$B$4,F:F)),1,0)</f>
        <v>0</v>
      </c>
      <c r="L171" s="14">
        <f>IF(ISNUMBER(SEARCH(Лист2!$B$5,I:I)),1,0)+K171</f>
        <v>0</v>
      </c>
      <c r="M171" s="3">
        <f ca="1">IF(AND(N171&lt;&gt;N170,ISNUMBER(SEARCH(Лист2!$B$6,N:N)),L171=2),MAX($M$3:OFFSET(M171,-1,0))+1,0)</f>
        <v>0</v>
      </c>
      <c r="N171" s="3" t="s">
        <v>595</v>
      </c>
    </row>
    <row r="172" spans="1:14" x14ac:dyDescent="0.25">
      <c r="A172" s="1" t="s">
        <v>9956</v>
      </c>
      <c r="B172" s="3" t="s">
        <v>3796</v>
      </c>
      <c r="C172" s="2">
        <f ca="1">IF(ISNUMBER(SEARCH(Лист2!$B$4,D:D)),MAX($C$3:OFFSET(C172,-1,0))+1,0)</f>
        <v>0</v>
      </c>
      <c r="E172" s="9" t="str">
        <f t="shared" ca="1" si="8"/>
        <v/>
      </c>
      <c r="F172" s="4" t="s">
        <v>3</v>
      </c>
      <c r="G172" s="2">
        <f>IF(ISNUMBER(SEARCH(Лист2!$B$4,F:F)),1,0)</f>
        <v>0</v>
      </c>
      <c r="H172" s="3">
        <f ca="1">IF(AND(I172&lt;&gt;I171,ISNUMBER(SEARCH(Лист2!$B$5,I:I)),G172=1),MAX($H$3:OFFSET(H172,-1,0))+1,0)</f>
        <v>0</v>
      </c>
      <c r="I172" s="3" t="s">
        <v>56</v>
      </c>
      <c r="J172" s="4" t="str">
        <f t="shared" ca="1" si="7"/>
        <v/>
      </c>
      <c r="K172" s="2">
        <f>IF(ISNUMBER(SEARCH(Лист2!$B$4,F:F)),1,0)</f>
        <v>0</v>
      </c>
      <c r="L172" s="14">
        <f>IF(ISNUMBER(SEARCH(Лист2!$B$5,I:I)),1,0)+K172</f>
        <v>0</v>
      </c>
      <c r="M172" s="3">
        <f ca="1">IF(AND(N172&lt;&gt;N171,ISNUMBER(SEARCH(Лист2!$B$6,N:N)),L172=2),MAX($M$3:OFFSET(M172,-1,0))+1,0)</f>
        <v>0</v>
      </c>
      <c r="N172" s="3" t="s">
        <v>596</v>
      </c>
    </row>
    <row r="173" spans="1:14" x14ac:dyDescent="0.25">
      <c r="A173" s="1" t="s">
        <v>9956</v>
      </c>
      <c r="B173" s="3" t="s">
        <v>3797</v>
      </c>
      <c r="C173" s="2">
        <f ca="1">IF(ISNUMBER(SEARCH(Лист2!$B$4,D:D)),MAX($C$3:OFFSET(C173,-1,0))+1,0)</f>
        <v>0</v>
      </c>
      <c r="E173" s="9" t="str">
        <f t="shared" ca="1" si="8"/>
        <v/>
      </c>
      <c r="F173" s="4" t="s">
        <v>3</v>
      </c>
      <c r="G173" s="2">
        <f>IF(ISNUMBER(SEARCH(Лист2!$B$4,F:F)),1,0)</f>
        <v>0</v>
      </c>
      <c r="H173" s="3">
        <f ca="1">IF(AND(I173&lt;&gt;I172,ISNUMBER(SEARCH(Лист2!$B$5,I:I)),G173=1),MAX($H$3:OFFSET(H173,-1,0))+1,0)</f>
        <v>0</v>
      </c>
      <c r="I173" s="3" t="s">
        <v>56</v>
      </c>
      <c r="J173" s="4" t="str">
        <f t="shared" ca="1" si="7"/>
        <v/>
      </c>
      <c r="K173" s="2">
        <f>IF(ISNUMBER(SEARCH(Лист2!$B$4,F:F)),1,0)</f>
        <v>0</v>
      </c>
      <c r="L173" s="14">
        <f>IF(ISNUMBER(SEARCH(Лист2!$B$5,I:I)),1,0)+K173</f>
        <v>0</v>
      </c>
      <c r="M173" s="3">
        <f ca="1">IF(AND(N173&lt;&gt;N172,ISNUMBER(SEARCH(Лист2!$B$6,N:N)),L173=2),MAX($M$3:OFFSET(M173,-1,0))+1,0)</f>
        <v>0</v>
      </c>
      <c r="N173" s="3" t="s">
        <v>596</v>
      </c>
    </row>
    <row r="174" spans="1:14" x14ac:dyDescent="0.25">
      <c r="A174" s="1" t="s">
        <v>9956</v>
      </c>
      <c r="B174" s="3" t="s">
        <v>3798</v>
      </c>
      <c r="C174" s="2">
        <f ca="1">IF(ISNUMBER(SEARCH(Лист2!$B$4,D:D)),MAX($C$3:OFFSET(C174,-1,0))+1,0)</f>
        <v>0</v>
      </c>
      <c r="E174" s="9" t="str">
        <f t="shared" ca="1" si="8"/>
        <v/>
      </c>
      <c r="F174" s="4" t="s">
        <v>3</v>
      </c>
      <c r="G174" s="2">
        <f>IF(ISNUMBER(SEARCH(Лист2!$B$4,F:F)),1,0)</f>
        <v>0</v>
      </c>
      <c r="H174" s="3">
        <f ca="1">IF(AND(I174&lt;&gt;I173,ISNUMBER(SEARCH(Лист2!$B$5,I:I)),G174=1),MAX($H$3:OFFSET(H174,-1,0))+1,0)</f>
        <v>0</v>
      </c>
      <c r="I174" s="3" t="s">
        <v>56</v>
      </c>
      <c r="J174" s="4" t="str">
        <f t="shared" ca="1" si="7"/>
        <v/>
      </c>
      <c r="K174" s="2">
        <f>IF(ISNUMBER(SEARCH(Лист2!$B$4,F:F)),1,0)</f>
        <v>0</v>
      </c>
      <c r="L174" s="14">
        <f>IF(ISNUMBER(SEARCH(Лист2!$B$5,I:I)),1,0)+K174</f>
        <v>0</v>
      </c>
      <c r="M174" s="3">
        <f ca="1">IF(AND(N174&lt;&gt;N173,ISNUMBER(SEARCH(Лист2!$B$6,N:N)),L174=2),MAX($M$3:OFFSET(M174,-1,0))+1,0)</f>
        <v>0</v>
      </c>
      <c r="N174" s="3" t="s">
        <v>596</v>
      </c>
    </row>
    <row r="175" spans="1:14" x14ac:dyDescent="0.25">
      <c r="A175" s="1" t="s">
        <v>9956</v>
      </c>
      <c r="B175" s="3" t="s">
        <v>3799</v>
      </c>
      <c r="C175" s="2">
        <f ca="1">IF(ISNUMBER(SEARCH(Лист2!$B$4,D:D)),MAX($C$3:OFFSET(C175,-1,0))+1,0)</f>
        <v>0</v>
      </c>
      <c r="E175" s="9" t="str">
        <f t="shared" ca="1" si="8"/>
        <v/>
      </c>
      <c r="F175" s="4" t="s">
        <v>3</v>
      </c>
      <c r="G175" s="2">
        <f>IF(ISNUMBER(SEARCH(Лист2!$B$4,F:F)),1,0)</f>
        <v>0</v>
      </c>
      <c r="H175" s="3">
        <f ca="1">IF(AND(I175&lt;&gt;I174,ISNUMBER(SEARCH(Лист2!$B$5,I:I)),G175=1),MAX($H$3:OFFSET(H175,-1,0))+1,0)</f>
        <v>0</v>
      </c>
      <c r="I175" s="3" t="s">
        <v>56</v>
      </c>
      <c r="J175" s="4" t="str">
        <f t="shared" ca="1" si="7"/>
        <v/>
      </c>
      <c r="K175" s="2">
        <f>IF(ISNUMBER(SEARCH(Лист2!$B$4,F:F)),1,0)</f>
        <v>0</v>
      </c>
      <c r="L175" s="14">
        <f>IF(ISNUMBER(SEARCH(Лист2!$B$5,I:I)),1,0)+K175</f>
        <v>0</v>
      </c>
      <c r="M175" s="3">
        <f ca="1">IF(AND(N175&lt;&gt;N174,ISNUMBER(SEARCH(Лист2!$B$6,N:N)),L175=2),MAX($M$3:OFFSET(M175,-1,0))+1,0)</f>
        <v>0</v>
      </c>
      <c r="N175" s="3" t="s">
        <v>596</v>
      </c>
    </row>
    <row r="176" spans="1:14" x14ac:dyDescent="0.25">
      <c r="A176" s="1" t="s">
        <v>9957</v>
      </c>
      <c r="B176" s="3" t="s">
        <v>3800</v>
      </c>
      <c r="C176" s="2">
        <f ca="1">IF(ISNUMBER(SEARCH(Лист2!$B$4,D:D)),MAX($C$3:OFFSET(C176,-1,0))+1,0)</f>
        <v>0</v>
      </c>
      <c r="E176" s="9" t="str">
        <f t="shared" ca="1" si="8"/>
        <v/>
      </c>
      <c r="F176" s="4" t="s">
        <v>3</v>
      </c>
      <c r="G176" s="2">
        <f>IF(ISNUMBER(SEARCH(Лист2!$B$4,F:F)),1,0)</f>
        <v>0</v>
      </c>
      <c r="H176" s="3">
        <f ca="1">IF(AND(I176&lt;&gt;I175,ISNUMBER(SEARCH(Лист2!$B$5,I:I)),G176=1),MAX($H$3:OFFSET(H176,-1,0))+1,0)</f>
        <v>0</v>
      </c>
      <c r="I176" s="3" t="s">
        <v>56</v>
      </c>
      <c r="J176" s="4" t="str">
        <f t="shared" ca="1" si="7"/>
        <v/>
      </c>
      <c r="K176" s="2">
        <f>IF(ISNUMBER(SEARCH(Лист2!$B$4,F:F)),1,0)</f>
        <v>0</v>
      </c>
      <c r="L176" s="14">
        <f>IF(ISNUMBER(SEARCH(Лист2!$B$5,I:I)),1,0)+K176</f>
        <v>0</v>
      </c>
      <c r="M176" s="3">
        <f ca="1">IF(AND(N176&lt;&gt;N175,ISNUMBER(SEARCH(Лист2!$B$6,N:N)),L176=2),MAX($M$3:OFFSET(M176,-1,0))+1,0)</f>
        <v>0</v>
      </c>
      <c r="N176" s="3" t="s">
        <v>597</v>
      </c>
    </row>
    <row r="177" spans="1:14" x14ac:dyDescent="0.25">
      <c r="A177" s="1" t="s">
        <v>9958</v>
      </c>
      <c r="B177" s="3" t="s">
        <v>3801</v>
      </c>
      <c r="C177" s="2">
        <f ca="1">IF(ISNUMBER(SEARCH(Лист2!$B$4,D:D)),MAX($C$3:OFFSET(C177,-1,0))+1,0)</f>
        <v>0</v>
      </c>
      <c r="E177" s="9" t="str">
        <f t="shared" ca="1" si="8"/>
        <v/>
      </c>
      <c r="F177" s="4" t="s">
        <v>3</v>
      </c>
      <c r="G177" s="2">
        <f>IF(ISNUMBER(SEARCH(Лист2!$B$4,F:F)),1,0)</f>
        <v>0</v>
      </c>
      <c r="H177" s="3">
        <f ca="1">IF(AND(I177&lt;&gt;I176,ISNUMBER(SEARCH(Лист2!$B$5,I:I)),G177=1),MAX($H$3:OFFSET(H177,-1,0))+1,0)</f>
        <v>0</v>
      </c>
      <c r="I177" s="3" t="s">
        <v>56</v>
      </c>
      <c r="J177" s="4" t="str">
        <f t="shared" ca="1" si="7"/>
        <v/>
      </c>
      <c r="K177" s="2">
        <f>IF(ISNUMBER(SEARCH(Лист2!$B$4,F:F)),1,0)</f>
        <v>0</v>
      </c>
      <c r="L177" s="14">
        <f>IF(ISNUMBER(SEARCH(Лист2!$B$5,I:I)),1,0)+K177</f>
        <v>0</v>
      </c>
      <c r="M177" s="3">
        <f ca="1">IF(AND(N177&lt;&gt;N176,ISNUMBER(SEARCH(Лист2!$B$6,N:N)),L177=2),MAX($M$3:OFFSET(M177,-1,0))+1,0)</f>
        <v>0</v>
      </c>
      <c r="N177" s="3" t="s">
        <v>598</v>
      </c>
    </row>
    <row r="178" spans="1:14" x14ac:dyDescent="0.25">
      <c r="A178" s="1" t="s">
        <v>9959</v>
      </c>
      <c r="B178" s="3" t="s">
        <v>3802</v>
      </c>
      <c r="C178" s="2">
        <f ca="1">IF(ISNUMBER(SEARCH(Лист2!$B$4,D:D)),MAX($C$3:OFFSET(C178,-1,0))+1,0)</f>
        <v>0</v>
      </c>
      <c r="E178" s="9" t="str">
        <f t="shared" ca="1" si="8"/>
        <v/>
      </c>
      <c r="F178" s="4" t="s">
        <v>3</v>
      </c>
      <c r="G178" s="2">
        <f>IF(ISNUMBER(SEARCH(Лист2!$B$4,F:F)),1,0)</f>
        <v>0</v>
      </c>
      <c r="H178" s="3">
        <f ca="1">IF(AND(I178&lt;&gt;I177,ISNUMBER(SEARCH(Лист2!$B$5,I:I)),G178=1),MAX($H$3:OFFSET(H178,-1,0))+1,0)</f>
        <v>0</v>
      </c>
      <c r="I178" s="3" t="s">
        <v>56</v>
      </c>
      <c r="J178" s="4" t="str">
        <f t="shared" ca="1" si="7"/>
        <v/>
      </c>
      <c r="K178" s="2">
        <f>IF(ISNUMBER(SEARCH(Лист2!$B$4,F:F)),1,0)</f>
        <v>0</v>
      </c>
      <c r="L178" s="14">
        <f>IF(ISNUMBER(SEARCH(Лист2!$B$5,I:I)),1,0)+K178</f>
        <v>0</v>
      </c>
      <c r="M178" s="3">
        <f ca="1">IF(AND(N178&lt;&gt;N177,ISNUMBER(SEARCH(Лист2!$B$6,N:N)),L178=2),MAX($M$3:OFFSET(M178,-1,0))+1,0)</f>
        <v>0</v>
      </c>
      <c r="N178" s="3" t="s">
        <v>599</v>
      </c>
    </row>
    <row r="179" spans="1:14" x14ac:dyDescent="0.25">
      <c r="A179" s="1" t="s">
        <v>9960</v>
      </c>
      <c r="B179" s="3" t="s">
        <v>3803</v>
      </c>
      <c r="C179" s="2">
        <f ca="1">IF(ISNUMBER(SEARCH(Лист2!$B$4,D:D)),MAX($C$3:OFFSET(C179,-1,0))+1,0)</f>
        <v>0</v>
      </c>
      <c r="E179" s="9" t="str">
        <f t="shared" ca="1" si="8"/>
        <v/>
      </c>
      <c r="F179" s="4" t="s">
        <v>3</v>
      </c>
      <c r="G179" s="2">
        <f>IF(ISNUMBER(SEARCH(Лист2!$B$4,F:F)),1,0)</f>
        <v>0</v>
      </c>
      <c r="H179" s="3">
        <f ca="1">IF(AND(I179&lt;&gt;I178,ISNUMBER(SEARCH(Лист2!$B$5,I:I)),G179=1),MAX($H$3:OFFSET(H179,-1,0))+1,0)</f>
        <v>0</v>
      </c>
      <c r="I179" s="3" t="s">
        <v>56</v>
      </c>
      <c r="J179" s="4" t="str">
        <f t="shared" ca="1" si="7"/>
        <v/>
      </c>
      <c r="K179" s="2">
        <f>IF(ISNUMBER(SEARCH(Лист2!$B$4,F:F)),1,0)</f>
        <v>0</v>
      </c>
      <c r="L179" s="14">
        <f>IF(ISNUMBER(SEARCH(Лист2!$B$5,I:I)),1,0)+K179</f>
        <v>0</v>
      </c>
      <c r="M179" s="3">
        <f ca="1">IF(AND(N179&lt;&gt;N178,ISNUMBER(SEARCH(Лист2!$B$6,N:N)),L179=2),MAX($M$3:OFFSET(M179,-1,0))+1,0)</f>
        <v>0</v>
      </c>
      <c r="N179" s="3" t="s">
        <v>600</v>
      </c>
    </row>
    <row r="180" spans="1:14" x14ac:dyDescent="0.25">
      <c r="A180" s="1" t="s">
        <v>9961</v>
      </c>
      <c r="B180" s="3" t="s">
        <v>3804</v>
      </c>
      <c r="C180" s="2">
        <f ca="1">IF(ISNUMBER(SEARCH(Лист2!$B$4,D:D)),MAX($C$3:OFFSET(C180,-1,0))+1,0)</f>
        <v>0</v>
      </c>
      <c r="E180" s="9" t="str">
        <f t="shared" ca="1" si="8"/>
        <v/>
      </c>
      <c r="F180" s="4" t="s">
        <v>3</v>
      </c>
      <c r="G180" s="2">
        <f>IF(ISNUMBER(SEARCH(Лист2!$B$4,F:F)),1,0)</f>
        <v>0</v>
      </c>
      <c r="H180" s="3">
        <f ca="1">IF(AND(I180&lt;&gt;I179,ISNUMBER(SEARCH(Лист2!$B$5,I:I)),G180=1),MAX($H$3:OFFSET(H180,-1,0))+1,0)</f>
        <v>0</v>
      </c>
      <c r="I180" s="3" t="s">
        <v>56</v>
      </c>
      <c r="J180" s="4" t="str">
        <f t="shared" ca="1" si="7"/>
        <v/>
      </c>
      <c r="K180" s="2">
        <f>IF(ISNUMBER(SEARCH(Лист2!$B$4,F:F)),1,0)</f>
        <v>0</v>
      </c>
      <c r="L180" s="14">
        <f>IF(ISNUMBER(SEARCH(Лист2!$B$5,I:I)),1,0)+K180</f>
        <v>0</v>
      </c>
      <c r="M180" s="3">
        <f ca="1">IF(AND(N180&lt;&gt;N179,ISNUMBER(SEARCH(Лист2!$B$6,N:N)),L180=2),MAX($M$3:OFFSET(M180,-1,0))+1,0)</f>
        <v>0</v>
      </c>
      <c r="N180" s="3" t="s">
        <v>601</v>
      </c>
    </row>
    <row r="181" spans="1:14" x14ac:dyDescent="0.25">
      <c r="A181" s="1" t="s">
        <v>9962</v>
      </c>
      <c r="B181" s="3" t="s">
        <v>3805</v>
      </c>
      <c r="C181" s="2">
        <f ca="1">IF(ISNUMBER(SEARCH(Лист2!$B$4,D:D)),MAX($C$3:OFFSET(C181,-1,0))+1,0)</f>
        <v>0</v>
      </c>
      <c r="E181" s="9" t="str">
        <f t="shared" ca="1" si="8"/>
        <v/>
      </c>
      <c r="F181" s="4" t="s">
        <v>3</v>
      </c>
      <c r="G181" s="2">
        <f>IF(ISNUMBER(SEARCH(Лист2!$B$4,F:F)),1,0)</f>
        <v>0</v>
      </c>
      <c r="H181" s="3">
        <f ca="1">IF(AND(I181&lt;&gt;I180,ISNUMBER(SEARCH(Лист2!$B$5,I:I)),G181=1),MAX($H$3:OFFSET(H181,-1,0))+1,0)</f>
        <v>0</v>
      </c>
      <c r="I181" s="3" t="s">
        <v>56</v>
      </c>
      <c r="J181" s="4" t="str">
        <f t="shared" ca="1" si="7"/>
        <v/>
      </c>
      <c r="K181" s="2">
        <f>IF(ISNUMBER(SEARCH(Лист2!$B$4,F:F)),1,0)</f>
        <v>0</v>
      </c>
      <c r="L181" s="14">
        <f>IF(ISNUMBER(SEARCH(Лист2!$B$5,I:I)),1,0)+K181</f>
        <v>0</v>
      </c>
      <c r="M181" s="3">
        <f ca="1">IF(AND(N181&lt;&gt;N180,ISNUMBER(SEARCH(Лист2!$B$6,N:N)),L181=2),MAX($M$3:OFFSET(M181,-1,0))+1,0)</f>
        <v>0</v>
      </c>
      <c r="N181" s="3" t="s">
        <v>602</v>
      </c>
    </row>
    <row r="182" spans="1:14" x14ac:dyDescent="0.25">
      <c r="A182" s="1" t="s">
        <v>9963</v>
      </c>
      <c r="B182" s="3" t="s">
        <v>3806</v>
      </c>
      <c r="C182" s="2">
        <f ca="1">IF(ISNUMBER(SEARCH(Лист2!$B$4,D:D)),MAX($C$3:OFFSET(C182,-1,0))+1,0)</f>
        <v>0</v>
      </c>
      <c r="E182" s="9" t="str">
        <f t="shared" ca="1" si="8"/>
        <v/>
      </c>
      <c r="F182" s="4" t="s">
        <v>3</v>
      </c>
      <c r="G182" s="2">
        <f>IF(ISNUMBER(SEARCH(Лист2!$B$4,F:F)),1,0)</f>
        <v>0</v>
      </c>
      <c r="H182" s="3">
        <f ca="1">IF(AND(I182&lt;&gt;I181,ISNUMBER(SEARCH(Лист2!$B$5,I:I)),G182=1),MAX($H$3:OFFSET(H182,-1,0))+1,0)</f>
        <v>0</v>
      </c>
      <c r="I182" s="3" t="s">
        <v>56</v>
      </c>
      <c r="J182" s="4" t="str">
        <f t="shared" ca="1" si="7"/>
        <v/>
      </c>
      <c r="K182" s="2">
        <f>IF(ISNUMBER(SEARCH(Лист2!$B$4,F:F)),1,0)</f>
        <v>0</v>
      </c>
      <c r="L182" s="14">
        <f>IF(ISNUMBER(SEARCH(Лист2!$B$5,I:I)),1,0)+K182</f>
        <v>0</v>
      </c>
      <c r="M182" s="3">
        <f ca="1">IF(AND(N182&lt;&gt;N181,ISNUMBER(SEARCH(Лист2!$B$6,N:N)),L182=2),MAX($M$3:OFFSET(M182,-1,0))+1,0)</f>
        <v>0</v>
      </c>
      <c r="N182" s="3" t="s">
        <v>603</v>
      </c>
    </row>
    <row r="183" spans="1:14" x14ac:dyDescent="0.25">
      <c r="A183" s="1" t="s">
        <v>9964</v>
      </c>
      <c r="B183" s="3" t="s">
        <v>3807</v>
      </c>
      <c r="C183" s="2">
        <f ca="1">IF(ISNUMBER(SEARCH(Лист2!$B$4,D:D)),MAX($C$3:OFFSET(C183,-1,0))+1,0)</f>
        <v>0</v>
      </c>
      <c r="E183" s="9" t="str">
        <f t="shared" ca="1" si="8"/>
        <v/>
      </c>
      <c r="F183" s="4" t="s">
        <v>3</v>
      </c>
      <c r="G183" s="2">
        <f>IF(ISNUMBER(SEARCH(Лист2!$B$4,F:F)),1,0)</f>
        <v>0</v>
      </c>
      <c r="H183" s="3">
        <f ca="1">IF(AND(I183&lt;&gt;I182,ISNUMBER(SEARCH(Лист2!$B$5,I:I)),G183=1),MAX($H$3:OFFSET(H183,-1,0))+1,0)</f>
        <v>0</v>
      </c>
      <c r="I183" s="3" t="s">
        <v>56</v>
      </c>
      <c r="J183" s="4" t="str">
        <f t="shared" ca="1" si="7"/>
        <v/>
      </c>
      <c r="K183" s="2">
        <f>IF(ISNUMBER(SEARCH(Лист2!$B$4,F:F)),1,0)</f>
        <v>0</v>
      </c>
      <c r="L183" s="14">
        <f>IF(ISNUMBER(SEARCH(Лист2!$B$5,I:I)),1,0)+K183</f>
        <v>0</v>
      </c>
      <c r="M183" s="3">
        <f ca="1">IF(AND(N183&lt;&gt;N182,ISNUMBER(SEARCH(Лист2!$B$6,N:N)),L183=2),MAX($M$3:OFFSET(M183,-1,0))+1,0)</f>
        <v>0</v>
      </c>
      <c r="N183" s="3" t="s">
        <v>604</v>
      </c>
    </row>
    <row r="184" spans="1:14" x14ac:dyDescent="0.25">
      <c r="A184" s="1" t="s">
        <v>9965</v>
      </c>
      <c r="B184" s="3" t="s">
        <v>3808</v>
      </c>
      <c r="C184" s="2">
        <f ca="1">IF(ISNUMBER(SEARCH(Лист2!$B$4,D:D)),MAX($C$3:OFFSET(C184,-1,0))+1,0)</f>
        <v>0</v>
      </c>
      <c r="E184" s="9" t="str">
        <f t="shared" ca="1" si="8"/>
        <v/>
      </c>
      <c r="F184" s="4" t="s">
        <v>3</v>
      </c>
      <c r="G184" s="2">
        <f>IF(ISNUMBER(SEARCH(Лист2!$B$4,F:F)),1,0)</f>
        <v>0</v>
      </c>
      <c r="H184" s="3">
        <f ca="1">IF(AND(I184&lt;&gt;I183,ISNUMBER(SEARCH(Лист2!$B$5,I:I)),G184=1),MAX($H$3:OFFSET(H184,-1,0))+1,0)</f>
        <v>0</v>
      </c>
      <c r="I184" s="3" t="s">
        <v>56</v>
      </c>
      <c r="J184" s="4" t="str">
        <f t="shared" ca="1" si="7"/>
        <v/>
      </c>
      <c r="K184" s="2">
        <f>IF(ISNUMBER(SEARCH(Лист2!$B$4,F:F)),1,0)</f>
        <v>0</v>
      </c>
      <c r="L184" s="14">
        <f>IF(ISNUMBER(SEARCH(Лист2!$B$5,I:I)),1,0)+K184</f>
        <v>0</v>
      </c>
      <c r="M184" s="3">
        <f ca="1">IF(AND(N184&lt;&gt;N183,ISNUMBER(SEARCH(Лист2!$B$6,N:N)),L184=2),MAX($M$3:OFFSET(M184,-1,0))+1,0)</f>
        <v>0</v>
      </c>
      <c r="N184" s="3" t="s">
        <v>605</v>
      </c>
    </row>
    <row r="185" spans="1:14" x14ac:dyDescent="0.25">
      <c r="A185" s="1" t="s">
        <v>9966</v>
      </c>
      <c r="B185" s="3" t="s">
        <v>3809</v>
      </c>
      <c r="C185" s="2">
        <f ca="1">IF(ISNUMBER(SEARCH(Лист2!$B$4,D:D)),MAX($C$3:OFFSET(C185,-1,0))+1,0)</f>
        <v>0</v>
      </c>
      <c r="E185" s="9" t="str">
        <f t="shared" ca="1" si="8"/>
        <v/>
      </c>
      <c r="F185" s="4" t="s">
        <v>3</v>
      </c>
      <c r="G185" s="2">
        <f>IF(ISNUMBER(SEARCH(Лист2!$B$4,F:F)),1,0)</f>
        <v>0</v>
      </c>
      <c r="H185" s="3">
        <f ca="1">IF(AND(I185&lt;&gt;I184,ISNUMBER(SEARCH(Лист2!$B$5,I:I)),G185=1),MAX($H$3:OFFSET(H185,-1,0))+1,0)</f>
        <v>0</v>
      </c>
      <c r="I185" s="3" t="s">
        <v>56</v>
      </c>
      <c r="J185" s="4" t="str">
        <f t="shared" ca="1" si="7"/>
        <v/>
      </c>
      <c r="K185" s="2">
        <f>IF(ISNUMBER(SEARCH(Лист2!$B$4,F:F)),1,0)</f>
        <v>0</v>
      </c>
      <c r="L185" s="14">
        <f>IF(ISNUMBER(SEARCH(Лист2!$B$5,I:I)),1,0)+K185</f>
        <v>0</v>
      </c>
      <c r="M185" s="3">
        <f ca="1">IF(AND(N185&lt;&gt;N184,ISNUMBER(SEARCH(Лист2!$B$6,N:N)),L185=2),MAX($M$3:OFFSET(M185,-1,0))+1,0)</f>
        <v>0</v>
      </c>
      <c r="N185" s="3" t="s">
        <v>606</v>
      </c>
    </row>
    <row r="186" spans="1:14" x14ac:dyDescent="0.25">
      <c r="A186" s="1" t="s">
        <v>9967</v>
      </c>
      <c r="B186" s="3" t="s">
        <v>3810</v>
      </c>
      <c r="C186" s="2">
        <f ca="1">IF(ISNUMBER(SEARCH(Лист2!$B$4,D:D)),MAX($C$3:OFFSET(C186,-1,0))+1,0)</f>
        <v>0</v>
      </c>
      <c r="E186" s="9" t="str">
        <f t="shared" ca="1" si="8"/>
        <v/>
      </c>
      <c r="F186" s="4" t="s">
        <v>3</v>
      </c>
      <c r="G186" s="2">
        <f>IF(ISNUMBER(SEARCH(Лист2!$B$4,F:F)),1,0)</f>
        <v>0</v>
      </c>
      <c r="H186" s="3">
        <f ca="1">IF(AND(I186&lt;&gt;I185,ISNUMBER(SEARCH(Лист2!$B$5,I:I)),G186=1),MAX($H$3:OFFSET(H186,-1,0))+1,0)</f>
        <v>0</v>
      </c>
      <c r="I186" s="3" t="s">
        <v>56</v>
      </c>
      <c r="J186" s="4" t="str">
        <f t="shared" ca="1" si="7"/>
        <v/>
      </c>
      <c r="K186" s="2">
        <f>IF(ISNUMBER(SEARCH(Лист2!$B$4,F:F)),1,0)</f>
        <v>0</v>
      </c>
      <c r="L186" s="14">
        <f>IF(ISNUMBER(SEARCH(Лист2!$B$5,I:I)),1,0)+K186</f>
        <v>0</v>
      </c>
      <c r="M186" s="3">
        <f ca="1">IF(AND(N186&lt;&gt;N185,ISNUMBER(SEARCH(Лист2!$B$6,N:N)),L186=2),MAX($M$3:OFFSET(M186,-1,0))+1,0)</f>
        <v>0</v>
      </c>
      <c r="N186" s="3" t="s">
        <v>607</v>
      </c>
    </row>
    <row r="187" spans="1:14" x14ac:dyDescent="0.25">
      <c r="A187" s="1" t="s">
        <v>9968</v>
      </c>
      <c r="B187" s="3" t="s">
        <v>3811</v>
      </c>
      <c r="C187" s="2">
        <f ca="1">IF(ISNUMBER(SEARCH(Лист2!$B$4,D:D)),MAX($C$3:OFFSET(C187,-1,0))+1,0)</f>
        <v>0</v>
      </c>
      <c r="E187" s="9" t="str">
        <f t="shared" ca="1" si="8"/>
        <v/>
      </c>
      <c r="F187" s="4" t="s">
        <v>3</v>
      </c>
      <c r="G187" s="2">
        <f>IF(ISNUMBER(SEARCH(Лист2!$B$4,F:F)),1,0)</f>
        <v>0</v>
      </c>
      <c r="H187" s="3">
        <f ca="1">IF(AND(I187&lt;&gt;I186,ISNUMBER(SEARCH(Лист2!$B$5,I:I)),G187=1),MAX($H$3:OFFSET(H187,-1,0))+1,0)</f>
        <v>0</v>
      </c>
      <c r="I187" s="3" t="s">
        <v>56</v>
      </c>
      <c r="J187" s="4" t="str">
        <f t="shared" ca="1" si="7"/>
        <v/>
      </c>
      <c r="K187" s="2">
        <f>IF(ISNUMBER(SEARCH(Лист2!$B$4,F:F)),1,0)</f>
        <v>0</v>
      </c>
      <c r="L187" s="14">
        <f>IF(ISNUMBER(SEARCH(Лист2!$B$5,I:I)),1,0)+K187</f>
        <v>0</v>
      </c>
      <c r="M187" s="3">
        <f ca="1">IF(AND(N187&lt;&gt;N186,ISNUMBER(SEARCH(Лист2!$B$6,N:N)),L187=2),MAX($M$3:OFFSET(M187,-1,0))+1,0)</f>
        <v>0</v>
      </c>
      <c r="N187" s="3" t="s">
        <v>608</v>
      </c>
    </row>
    <row r="188" spans="1:14" x14ac:dyDescent="0.25">
      <c r="A188" s="1" t="s">
        <v>9969</v>
      </c>
      <c r="B188" s="3" t="s">
        <v>3812</v>
      </c>
      <c r="C188" s="2">
        <f ca="1">IF(ISNUMBER(SEARCH(Лист2!$B$4,D:D)),MAX($C$3:OFFSET(C188,-1,0))+1,0)</f>
        <v>0</v>
      </c>
      <c r="E188" s="9" t="str">
        <f t="shared" ca="1" si="8"/>
        <v/>
      </c>
      <c r="F188" s="4" t="s">
        <v>3</v>
      </c>
      <c r="G188" s="2">
        <f>IF(ISNUMBER(SEARCH(Лист2!$B$4,F:F)),1,0)</f>
        <v>0</v>
      </c>
      <c r="H188" s="3">
        <f ca="1">IF(AND(I188&lt;&gt;I187,ISNUMBER(SEARCH(Лист2!$B$5,I:I)),G188=1),MAX($H$3:OFFSET(H188,-1,0))+1,0)</f>
        <v>0</v>
      </c>
      <c r="I188" s="3" t="s">
        <v>56</v>
      </c>
      <c r="J188" s="4" t="str">
        <f t="shared" ca="1" si="7"/>
        <v/>
      </c>
      <c r="K188" s="2">
        <f>IF(ISNUMBER(SEARCH(Лист2!$B$4,F:F)),1,0)</f>
        <v>0</v>
      </c>
      <c r="L188" s="14">
        <f>IF(ISNUMBER(SEARCH(Лист2!$B$5,I:I)),1,0)+K188</f>
        <v>0</v>
      </c>
      <c r="M188" s="3">
        <f ca="1">IF(AND(N188&lt;&gt;N187,ISNUMBER(SEARCH(Лист2!$B$6,N:N)),L188=2),MAX($M$3:OFFSET(M188,-1,0))+1,0)</f>
        <v>0</v>
      </c>
      <c r="N188" s="3" t="s">
        <v>609</v>
      </c>
    </row>
    <row r="189" spans="1:14" x14ac:dyDescent="0.25">
      <c r="A189" s="1" t="s">
        <v>9970</v>
      </c>
      <c r="B189" s="3" t="s">
        <v>3813</v>
      </c>
      <c r="C189" s="2">
        <f ca="1">IF(ISNUMBER(SEARCH(Лист2!$B$4,D:D)),MAX($C$3:OFFSET(C189,-1,0))+1,0)</f>
        <v>0</v>
      </c>
      <c r="E189" s="9" t="str">
        <f t="shared" ca="1" si="8"/>
        <v/>
      </c>
      <c r="F189" s="4" t="s">
        <v>3</v>
      </c>
      <c r="G189" s="2">
        <f>IF(ISNUMBER(SEARCH(Лист2!$B$4,F:F)),1,0)</f>
        <v>0</v>
      </c>
      <c r="H189" s="3">
        <f ca="1">IF(AND(I189&lt;&gt;I188,ISNUMBER(SEARCH(Лист2!$B$5,I:I)),G189=1),MAX($H$3:OFFSET(H189,-1,0))+1,0)</f>
        <v>0</v>
      </c>
      <c r="I189" s="3" t="s">
        <v>56</v>
      </c>
      <c r="J189" s="4" t="str">
        <f t="shared" ca="1" si="7"/>
        <v/>
      </c>
      <c r="K189" s="2">
        <f>IF(ISNUMBER(SEARCH(Лист2!$B$4,F:F)),1,0)</f>
        <v>0</v>
      </c>
      <c r="L189" s="14">
        <f>IF(ISNUMBER(SEARCH(Лист2!$B$5,I:I)),1,0)+K189</f>
        <v>0</v>
      </c>
      <c r="M189" s="3">
        <f ca="1">IF(AND(N189&lt;&gt;N188,ISNUMBER(SEARCH(Лист2!$B$6,N:N)),L189=2),MAX($M$3:OFFSET(M189,-1,0))+1,0)</f>
        <v>0</v>
      </c>
      <c r="N189" s="3" t="s">
        <v>610</v>
      </c>
    </row>
    <row r="190" spans="1:14" x14ac:dyDescent="0.25">
      <c r="A190" s="1" t="s">
        <v>9971</v>
      </c>
      <c r="B190" s="3" t="s">
        <v>3814</v>
      </c>
      <c r="C190" s="2">
        <f ca="1">IF(ISNUMBER(SEARCH(Лист2!$B$4,D:D)),MAX($C$3:OFFSET(C190,-1,0))+1,0)</f>
        <v>0</v>
      </c>
      <c r="E190" s="9" t="str">
        <f t="shared" ca="1" si="8"/>
        <v/>
      </c>
      <c r="F190" s="4" t="s">
        <v>3</v>
      </c>
      <c r="G190" s="2">
        <f>IF(ISNUMBER(SEARCH(Лист2!$B$4,F:F)),1,0)</f>
        <v>0</v>
      </c>
      <c r="H190" s="3">
        <f ca="1">IF(AND(I190&lt;&gt;I189,ISNUMBER(SEARCH(Лист2!$B$5,I:I)),G190=1),MAX($H$3:OFFSET(H190,-1,0))+1,0)</f>
        <v>0</v>
      </c>
      <c r="I190" s="3" t="s">
        <v>56</v>
      </c>
      <c r="J190" s="4" t="str">
        <f t="shared" ca="1" si="7"/>
        <v/>
      </c>
      <c r="K190" s="2">
        <f>IF(ISNUMBER(SEARCH(Лист2!$B$4,F:F)),1,0)</f>
        <v>0</v>
      </c>
      <c r="L190" s="14">
        <f>IF(ISNUMBER(SEARCH(Лист2!$B$5,I:I)),1,0)+K190</f>
        <v>0</v>
      </c>
      <c r="M190" s="3">
        <f ca="1">IF(AND(N190&lt;&gt;N189,ISNUMBER(SEARCH(Лист2!$B$6,N:N)),L190=2),MAX($M$3:OFFSET(M190,-1,0))+1,0)</f>
        <v>0</v>
      </c>
      <c r="N190" s="3" t="s">
        <v>611</v>
      </c>
    </row>
    <row r="191" spans="1:14" x14ac:dyDescent="0.25">
      <c r="A191" s="1" t="s">
        <v>9972</v>
      </c>
      <c r="B191" s="3" t="s">
        <v>3815</v>
      </c>
      <c r="C191" s="2">
        <f ca="1">IF(ISNUMBER(SEARCH(Лист2!$B$4,D:D)),MAX($C$3:OFFSET(C191,-1,0))+1,0)</f>
        <v>0</v>
      </c>
      <c r="E191" s="9" t="str">
        <f t="shared" ca="1" si="8"/>
        <v/>
      </c>
      <c r="F191" s="4" t="s">
        <v>3</v>
      </c>
      <c r="G191" s="2">
        <f>IF(ISNUMBER(SEARCH(Лист2!$B$4,F:F)),1,0)</f>
        <v>0</v>
      </c>
      <c r="H191" s="3">
        <f ca="1">IF(AND(I191&lt;&gt;I190,ISNUMBER(SEARCH(Лист2!$B$5,I:I)),G191=1),MAX($H$3:OFFSET(H191,-1,0))+1,0)</f>
        <v>0</v>
      </c>
      <c r="I191" s="3" t="s">
        <v>57</v>
      </c>
      <c r="J191" s="4" t="str">
        <f t="shared" ca="1" si="7"/>
        <v/>
      </c>
      <c r="K191" s="2">
        <f>IF(ISNUMBER(SEARCH(Лист2!$B$4,F:F)),1,0)</f>
        <v>0</v>
      </c>
      <c r="L191" s="14">
        <f>IF(ISNUMBER(SEARCH(Лист2!$B$5,I:I)),1,0)+K191</f>
        <v>0</v>
      </c>
      <c r="M191" s="3">
        <f ca="1">IF(AND(N191&lt;&gt;N190,ISNUMBER(SEARCH(Лист2!$B$6,N:N)),L191=2),MAX($M$3:OFFSET(M191,-1,0))+1,0)</f>
        <v>0</v>
      </c>
      <c r="N191" s="3" t="s">
        <v>612</v>
      </c>
    </row>
    <row r="192" spans="1:14" x14ac:dyDescent="0.25">
      <c r="A192" s="1" t="s">
        <v>9973</v>
      </c>
      <c r="B192" s="3" t="s">
        <v>3816</v>
      </c>
      <c r="C192" s="2">
        <f ca="1">IF(ISNUMBER(SEARCH(Лист2!$B$4,D:D)),MAX($C$3:OFFSET(C192,-1,0))+1,0)</f>
        <v>0</v>
      </c>
      <c r="E192" s="9" t="str">
        <f t="shared" ca="1" si="8"/>
        <v/>
      </c>
      <c r="F192" s="4" t="s">
        <v>3</v>
      </c>
      <c r="G192" s="2">
        <f>IF(ISNUMBER(SEARCH(Лист2!$B$4,F:F)),1,0)</f>
        <v>0</v>
      </c>
      <c r="H192" s="3">
        <f ca="1">IF(AND(I192&lt;&gt;I191,ISNUMBER(SEARCH(Лист2!$B$5,I:I)),G192=1),MAX($H$3:OFFSET(H192,-1,0))+1,0)</f>
        <v>0</v>
      </c>
      <c r="I192" s="3" t="s">
        <v>57</v>
      </c>
      <c r="J192" s="4" t="str">
        <f t="shared" ca="1" si="7"/>
        <v/>
      </c>
      <c r="K192" s="2">
        <f>IF(ISNUMBER(SEARCH(Лист2!$B$4,F:F)),1,0)</f>
        <v>0</v>
      </c>
      <c r="L192" s="14">
        <f>IF(ISNUMBER(SEARCH(Лист2!$B$5,I:I)),1,0)+K192</f>
        <v>0</v>
      </c>
      <c r="M192" s="3">
        <f ca="1">IF(AND(N192&lt;&gt;N191,ISNUMBER(SEARCH(Лист2!$B$6,N:N)),L192=2),MAX($M$3:OFFSET(M192,-1,0))+1,0)</f>
        <v>0</v>
      </c>
      <c r="N192" s="3" t="s">
        <v>613</v>
      </c>
    </row>
    <row r="193" spans="1:14" x14ac:dyDescent="0.25">
      <c r="A193" s="1" t="s">
        <v>9974</v>
      </c>
      <c r="B193" s="3" t="s">
        <v>3817</v>
      </c>
      <c r="C193" s="2">
        <f ca="1">IF(ISNUMBER(SEARCH(Лист2!$B$4,D:D)),MAX($C$3:OFFSET(C193,-1,0))+1,0)</f>
        <v>0</v>
      </c>
      <c r="E193" s="9" t="str">
        <f t="shared" ca="1" si="8"/>
        <v/>
      </c>
      <c r="F193" s="4" t="s">
        <v>3</v>
      </c>
      <c r="G193" s="2">
        <f>IF(ISNUMBER(SEARCH(Лист2!$B$4,F:F)),1,0)</f>
        <v>0</v>
      </c>
      <c r="H193" s="3">
        <f ca="1">IF(AND(I193&lt;&gt;I192,ISNUMBER(SEARCH(Лист2!$B$5,I:I)),G193=1),MAX($H$3:OFFSET(H193,-1,0))+1,0)</f>
        <v>0</v>
      </c>
      <c r="I193" s="3" t="s">
        <v>57</v>
      </c>
      <c r="J193" s="4" t="str">
        <f t="shared" ca="1" si="7"/>
        <v/>
      </c>
      <c r="K193" s="2">
        <f>IF(ISNUMBER(SEARCH(Лист2!$B$4,F:F)),1,0)</f>
        <v>0</v>
      </c>
      <c r="L193" s="14">
        <f>IF(ISNUMBER(SEARCH(Лист2!$B$5,I:I)),1,0)+K193</f>
        <v>0</v>
      </c>
      <c r="M193" s="3">
        <f ca="1">IF(AND(N193&lt;&gt;N192,ISNUMBER(SEARCH(Лист2!$B$6,N:N)),L193=2),MAX($M$3:OFFSET(M193,-1,0))+1,0)</f>
        <v>0</v>
      </c>
      <c r="N193" s="3" t="s">
        <v>614</v>
      </c>
    </row>
    <row r="194" spans="1:14" x14ac:dyDescent="0.25">
      <c r="A194" s="1" t="s">
        <v>9975</v>
      </c>
      <c r="B194" s="3" t="s">
        <v>3818</v>
      </c>
      <c r="C194" s="2">
        <f ca="1">IF(ISNUMBER(SEARCH(Лист2!$B$4,D:D)),MAX($C$3:OFFSET(C194,-1,0))+1,0)</f>
        <v>0</v>
      </c>
      <c r="E194" s="9" t="str">
        <f t="shared" ca="1" si="8"/>
        <v/>
      </c>
      <c r="F194" s="4" t="s">
        <v>3</v>
      </c>
      <c r="G194" s="2">
        <f>IF(ISNUMBER(SEARCH(Лист2!$B$4,F:F)),1,0)</f>
        <v>0</v>
      </c>
      <c r="H194" s="3">
        <f ca="1">IF(AND(I194&lt;&gt;I193,ISNUMBER(SEARCH(Лист2!$B$5,I:I)),G194=1),MAX($H$3:OFFSET(H194,-1,0))+1,0)</f>
        <v>0</v>
      </c>
      <c r="I194" s="3" t="s">
        <v>57</v>
      </c>
      <c r="J194" s="4" t="str">
        <f t="shared" ca="1" si="7"/>
        <v/>
      </c>
      <c r="K194" s="2">
        <f>IF(ISNUMBER(SEARCH(Лист2!$B$4,F:F)),1,0)</f>
        <v>0</v>
      </c>
      <c r="L194" s="14">
        <f>IF(ISNUMBER(SEARCH(Лист2!$B$5,I:I)),1,0)+K194</f>
        <v>0</v>
      </c>
      <c r="M194" s="3">
        <f ca="1">IF(AND(N194&lt;&gt;N193,ISNUMBER(SEARCH(Лист2!$B$6,N:N)),L194=2),MAX($M$3:OFFSET(M194,-1,0))+1,0)</f>
        <v>0</v>
      </c>
      <c r="N194" s="3" t="s">
        <v>615</v>
      </c>
    </row>
    <row r="195" spans="1:14" x14ac:dyDescent="0.25">
      <c r="A195" s="1" t="s">
        <v>9976</v>
      </c>
      <c r="B195" s="3" t="s">
        <v>3819</v>
      </c>
      <c r="C195" s="2">
        <f ca="1">IF(ISNUMBER(SEARCH(Лист2!$B$4,D:D)),MAX($C$3:OFFSET(C195,-1,0))+1,0)</f>
        <v>0</v>
      </c>
      <c r="E195" s="9" t="str">
        <f t="shared" ca="1" si="8"/>
        <v/>
      </c>
      <c r="F195" s="4" t="s">
        <v>3</v>
      </c>
      <c r="G195" s="2">
        <f>IF(ISNUMBER(SEARCH(Лист2!$B$4,F:F)),1,0)</f>
        <v>0</v>
      </c>
      <c r="H195" s="3">
        <f ca="1">IF(AND(I195&lt;&gt;I194,ISNUMBER(SEARCH(Лист2!$B$5,I:I)),G195=1),MAX($H$3:OFFSET(H195,-1,0))+1,0)</f>
        <v>0</v>
      </c>
      <c r="I195" s="3" t="s">
        <v>57</v>
      </c>
      <c r="J195" s="4" t="str">
        <f t="shared" ca="1" si="7"/>
        <v/>
      </c>
      <c r="K195" s="2">
        <f>IF(ISNUMBER(SEARCH(Лист2!$B$4,F:F)),1,0)</f>
        <v>0</v>
      </c>
      <c r="L195" s="14">
        <f>IF(ISNUMBER(SEARCH(Лист2!$B$5,I:I)),1,0)+K195</f>
        <v>0</v>
      </c>
      <c r="M195" s="3">
        <f ca="1">IF(AND(N195&lt;&gt;N194,ISNUMBER(SEARCH(Лист2!$B$6,N:N)),L195=2),MAX($M$3:OFFSET(M195,-1,0))+1,0)</f>
        <v>0</v>
      </c>
      <c r="N195" s="3" t="s">
        <v>616</v>
      </c>
    </row>
    <row r="196" spans="1:14" x14ac:dyDescent="0.25">
      <c r="A196" s="1" t="s">
        <v>9977</v>
      </c>
      <c r="B196" s="3" t="s">
        <v>3820</v>
      </c>
      <c r="C196" s="2">
        <f ca="1">IF(ISNUMBER(SEARCH(Лист2!$B$4,D:D)),MAX($C$3:OFFSET(C196,-1,0))+1,0)</f>
        <v>0</v>
      </c>
      <c r="E196" s="9" t="str">
        <f t="shared" ca="1" si="8"/>
        <v/>
      </c>
      <c r="F196" s="4" t="s">
        <v>3</v>
      </c>
      <c r="G196" s="2">
        <f>IF(ISNUMBER(SEARCH(Лист2!$B$4,F:F)),1,0)</f>
        <v>0</v>
      </c>
      <c r="H196" s="3">
        <f ca="1">IF(AND(I196&lt;&gt;I195,ISNUMBER(SEARCH(Лист2!$B$5,I:I)),G196=1),MAX($H$3:OFFSET(H196,-1,0))+1,0)</f>
        <v>0</v>
      </c>
      <c r="I196" s="3" t="s">
        <v>57</v>
      </c>
      <c r="J196" s="4" t="str">
        <f t="shared" ref="J196:J259" ca="1" si="9">IFERROR(INDEX(I:I,MATCH(ROW(J196)-ROW($E$3),H:H,0)),"")</f>
        <v/>
      </c>
      <c r="K196" s="2">
        <f>IF(ISNUMBER(SEARCH(Лист2!$B$4,F:F)),1,0)</f>
        <v>0</v>
      </c>
      <c r="L196" s="14">
        <f>IF(ISNUMBER(SEARCH(Лист2!$B$5,I:I)),1,0)+K196</f>
        <v>0</v>
      </c>
      <c r="M196" s="3">
        <f ca="1">IF(AND(N196&lt;&gt;N195,ISNUMBER(SEARCH(Лист2!$B$6,N:N)),L196=2),MAX($M$3:OFFSET(M196,-1,0))+1,0)</f>
        <v>0</v>
      </c>
      <c r="N196" s="3" t="s">
        <v>617</v>
      </c>
    </row>
    <row r="197" spans="1:14" x14ac:dyDescent="0.25">
      <c r="A197" s="1" t="s">
        <v>9977</v>
      </c>
      <c r="B197" s="3" t="s">
        <v>3821</v>
      </c>
      <c r="C197" s="2">
        <f ca="1">IF(ISNUMBER(SEARCH(Лист2!$B$4,D:D)),MAX($C$3:OFFSET(C197,-1,0))+1,0)</f>
        <v>0</v>
      </c>
      <c r="E197" s="9" t="str">
        <f t="shared" ref="E197:E260" ca="1" si="10">IFERROR(INDEX(D:D,MATCH(ROW(E197)-ROW($E$3),C:C,0)),"")</f>
        <v/>
      </c>
      <c r="F197" s="4" t="s">
        <v>3</v>
      </c>
      <c r="G197" s="2">
        <f>IF(ISNUMBER(SEARCH(Лист2!$B$4,F:F)),1,0)</f>
        <v>0</v>
      </c>
      <c r="H197" s="3">
        <f ca="1">IF(AND(I197&lt;&gt;I196,ISNUMBER(SEARCH(Лист2!$B$5,I:I)),G197=1),MAX($H$3:OFFSET(H197,-1,0))+1,0)</f>
        <v>0</v>
      </c>
      <c r="I197" s="3" t="s">
        <v>57</v>
      </c>
      <c r="J197" s="4" t="str">
        <f t="shared" ca="1" si="9"/>
        <v/>
      </c>
      <c r="K197" s="2">
        <f>IF(ISNUMBER(SEARCH(Лист2!$B$4,F:F)),1,0)</f>
        <v>0</v>
      </c>
      <c r="L197" s="14">
        <f>IF(ISNUMBER(SEARCH(Лист2!$B$5,I:I)),1,0)+K197</f>
        <v>0</v>
      </c>
      <c r="M197" s="3">
        <f ca="1">IF(AND(N197&lt;&gt;N196,ISNUMBER(SEARCH(Лист2!$B$6,N:N)),L197=2),MAX($M$3:OFFSET(M197,-1,0))+1,0)</f>
        <v>0</v>
      </c>
      <c r="N197" s="3" t="s">
        <v>617</v>
      </c>
    </row>
    <row r="198" spans="1:14" x14ac:dyDescent="0.25">
      <c r="A198" s="1" t="s">
        <v>9978</v>
      </c>
      <c r="B198" s="3" t="s">
        <v>3822</v>
      </c>
      <c r="C198" s="2">
        <f ca="1">IF(ISNUMBER(SEARCH(Лист2!$B$4,D:D)),MAX($C$3:OFFSET(C198,-1,0))+1,0)</f>
        <v>0</v>
      </c>
      <c r="E198" s="9" t="str">
        <f t="shared" ca="1" si="10"/>
        <v/>
      </c>
      <c r="F198" s="4" t="s">
        <v>3</v>
      </c>
      <c r="G198" s="2">
        <f>IF(ISNUMBER(SEARCH(Лист2!$B$4,F:F)),1,0)</f>
        <v>0</v>
      </c>
      <c r="H198" s="3">
        <f ca="1">IF(AND(I198&lt;&gt;I197,ISNUMBER(SEARCH(Лист2!$B$5,I:I)),G198=1),MAX($H$3:OFFSET(H198,-1,0))+1,0)</f>
        <v>0</v>
      </c>
      <c r="I198" s="3" t="s">
        <v>57</v>
      </c>
      <c r="J198" s="4" t="str">
        <f t="shared" ca="1" si="9"/>
        <v/>
      </c>
      <c r="K198" s="2">
        <f>IF(ISNUMBER(SEARCH(Лист2!$B$4,F:F)),1,0)</f>
        <v>0</v>
      </c>
      <c r="L198" s="14">
        <f>IF(ISNUMBER(SEARCH(Лист2!$B$5,I:I)),1,0)+K198</f>
        <v>0</v>
      </c>
      <c r="M198" s="3">
        <f ca="1">IF(AND(N198&lt;&gt;N197,ISNUMBER(SEARCH(Лист2!$B$6,N:N)),L198=2),MAX($M$3:OFFSET(M198,-1,0))+1,0)</f>
        <v>0</v>
      </c>
      <c r="N198" s="3" t="s">
        <v>618</v>
      </c>
    </row>
    <row r="199" spans="1:14" x14ac:dyDescent="0.25">
      <c r="A199" s="1" t="s">
        <v>9979</v>
      </c>
      <c r="B199" s="3" t="s">
        <v>3823</v>
      </c>
      <c r="C199" s="2">
        <f ca="1">IF(ISNUMBER(SEARCH(Лист2!$B$4,D:D)),MAX($C$3:OFFSET(C199,-1,0))+1,0)</f>
        <v>0</v>
      </c>
      <c r="E199" s="9" t="str">
        <f t="shared" ca="1" si="10"/>
        <v/>
      </c>
      <c r="F199" s="4" t="s">
        <v>3</v>
      </c>
      <c r="G199" s="2">
        <f>IF(ISNUMBER(SEARCH(Лист2!$B$4,F:F)),1,0)</f>
        <v>0</v>
      </c>
      <c r="H199" s="3">
        <f ca="1">IF(AND(I199&lt;&gt;I198,ISNUMBER(SEARCH(Лист2!$B$5,I:I)),G199=1),MAX($H$3:OFFSET(H199,-1,0))+1,0)</f>
        <v>0</v>
      </c>
      <c r="I199" s="3" t="s">
        <v>57</v>
      </c>
      <c r="J199" s="4" t="str">
        <f t="shared" ca="1" si="9"/>
        <v/>
      </c>
      <c r="K199" s="2">
        <f>IF(ISNUMBER(SEARCH(Лист2!$B$4,F:F)),1,0)</f>
        <v>0</v>
      </c>
      <c r="L199" s="14">
        <f>IF(ISNUMBER(SEARCH(Лист2!$B$5,I:I)),1,0)+K199</f>
        <v>0</v>
      </c>
      <c r="M199" s="3">
        <f ca="1">IF(AND(N199&lt;&gt;N198,ISNUMBER(SEARCH(Лист2!$B$6,N:N)),L199=2),MAX($M$3:OFFSET(M199,-1,0))+1,0)</f>
        <v>0</v>
      </c>
      <c r="N199" s="3" t="s">
        <v>619</v>
      </c>
    </row>
    <row r="200" spans="1:14" x14ac:dyDescent="0.25">
      <c r="A200" s="1" t="s">
        <v>9980</v>
      </c>
      <c r="B200" s="3" t="s">
        <v>3824</v>
      </c>
      <c r="C200" s="2">
        <f ca="1">IF(ISNUMBER(SEARCH(Лист2!$B$4,D:D)),MAX($C$3:OFFSET(C200,-1,0))+1,0)</f>
        <v>0</v>
      </c>
      <c r="E200" s="9" t="str">
        <f t="shared" ca="1" si="10"/>
        <v/>
      </c>
      <c r="F200" s="4" t="s">
        <v>3</v>
      </c>
      <c r="G200" s="2">
        <f>IF(ISNUMBER(SEARCH(Лист2!$B$4,F:F)),1,0)</f>
        <v>0</v>
      </c>
      <c r="H200" s="3">
        <f ca="1">IF(AND(I200&lt;&gt;I199,ISNUMBER(SEARCH(Лист2!$B$5,I:I)),G200=1),MAX($H$3:OFFSET(H200,-1,0))+1,0)</f>
        <v>0</v>
      </c>
      <c r="I200" s="3" t="s">
        <v>57</v>
      </c>
      <c r="J200" s="4" t="str">
        <f t="shared" ca="1" si="9"/>
        <v/>
      </c>
      <c r="K200" s="2">
        <f>IF(ISNUMBER(SEARCH(Лист2!$B$4,F:F)),1,0)</f>
        <v>0</v>
      </c>
      <c r="L200" s="14">
        <f>IF(ISNUMBER(SEARCH(Лист2!$B$5,I:I)),1,0)+K200</f>
        <v>0</v>
      </c>
      <c r="M200" s="3">
        <f ca="1">IF(AND(N200&lt;&gt;N199,ISNUMBER(SEARCH(Лист2!$B$6,N:N)),L200=2),MAX($M$3:OFFSET(M200,-1,0))+1,0)</f>
        <v>0</v>
      </c>
      <c r="N200" s="3" t="s">
        <v>620</v>
      </c>
    </row>
    <row r="201" spans="1:14" x14ac:dyDescent="0.25">
      <c r="A201" s="1" t="s">
        <v>9981</v>
      </c>
      <c r="B201" s="3" t="s">
        <v>3825</v>
      </c>
      <c r="C201" s="2">
        <f ca="1">IF(ISNUMBER(SEARCH(Лист2!$B$4,D:D)),MAX($C$3:OFFSET(C201,-1,0))+1,0)</f>
        <v>0</v>
      </c>
      <c r="E201" s="9" t="str">
        <f t="shared" ca="1" si="10"/>
        <v/>
      </c>
      <c r="F201" s="4" t="s">
        <v>3</v>
      </c>
      <c r="G201" s="2">
        <f>IF(ISNUMBER(SEARCH(Лист2!$B$4,F:F)),1,0)</f>
        <v>0</v>
      </c>
      <c r="H201" s="3">
        <f ca="1">IF(AND(I201&lt;&gt;I200,ISNUMBER(SEARCH(Лист2!$B$5,I:I)),G201=1),MAX($H$3:OFFSET(H201,-1,0))+1,0)</f>
        <v>0</v>
      </c>
      <c r="I201" s="3" t="s">
        <v>57</v>
      </c>
      <c r="J201" s="4" t="str">
        <f t="shared" ca="1" si="9"/>
        <v/>
      </c>
      <c r="K201" s="2">
        <f>IF(ISNUMBER(SEARCH(Лист2!$B$4,F:F)),1,0)</f>
        <v>0</v>
      </c>
      <c r="L201" s="14">
        <f>IF(ISNUMBER(SEARCH(Лист2!$B$5,I:I)),1,0)+K201</f>
        <v>0</v>
      </c>
      <c r="M201" s="3">
        <f ca="1">IF(AND(N201&lt;&gt;N200,ISNUMBER(SEARCH(Лист2!$B$6,N:N)),L201=2),MAX($M$3:OFFSET(M201,-1,0))+1,0)</f>
        <v>0</v>
      </c>
      <c r="N201" s="3" t="s">
        <v>621</v>
      </c>
    </row>
    <row r="202" spans="1:14" x14ac:dyDescent="0.25">
      <c r="A202" s="1" t="s">
        <v>9982</v>
      </c>
      <c r="B202" s="3" t="s">
        <v>3826</v>
      </c>
      <c r="C202" s="2">
        <f ca="1">IF(ISNUMBER(SEARCH(Лист2!$B$4,D:D)),MAX($C$3:OFFSET(C202,-1,0))+1,0)</f>
        <v>0</v>
      </c>
      <c r="E202" s="9" t="str">
        <f t="shared" ca="1" si="10"/>
        <v/>
      </c>
      <c r="F202" s="4" t="s">
        <v>3</v>
      </c>
      <c r="G202" s="2">
        <f>IF(ISNUMBER(SEARCH(Лист2!$B$4,F:F)),1,0)</f>
        <v>0</v>
      </c>
      <c r="H202" s="3">
        <f ca="1">IF(AND(I202&lt;&gt;I201,ISNUMBER(SEARCH(Лист2!$B$5,I:I)),G202=1),MAX($H$3:OFFSET(H202,-1,0))+1,0)</f>
        <v>0</v>
      </c>
      <c r="I202" s="3" t="s">
        <v>58</v>
      </c>
      <c r="J202" s="4" t="str">
        <f t="shared" ca="1" si="9"/>
        <v/>
      </c>
      <c r="K202" s="2">
        <f>IF(ISNUMBER(SEARCH(Лист2!$B$4,F:F)),1,0)</f>
        <v>0</v>
      </c>
      <c r="L202" s="14">
        <f>IF(ISNUMBER(SEARCH(Лист2!$B$5,I:I)),1,0)+K202</f>
        <v>0</v>
      </c>
      <c r="M202" s="3">
        <f ca="1">IF(AND(N202&lt;&gt;N201,ISNUMBER(SEARCH(Лист2!$B$6,N:N)),L202=2),MAX($M$3:OFFSET(M202,-1,0))+1,0)</f>
        <v>0</v>
      </c>
      <c r="N202" s="3" t="s">
        <v>622</v>
      </c>
    </row>
    <row r="203" spans="1:14" x14ac:dyDescent="0.25">
      <c r="A203" s="1" t="s">
        <v>9983</v>
      </c>
      <c r="B203" s="3" t="s">
        <v>3827</v>
      </c>
      <c r="C203" s="2">
        <f ca="1">IF(ISNUMBER(SEARCH(Лист2!$B$4,D:D)),MAX($C$3:OFFSET(C203,-1,0))+1,0)</f>
        <v>0</v>
      </c>
      <c r="E203" s="9" t="str">
        <f t="shared" ca="1" si="10"/>
        <v/>
      </c>
      <c r="F203" s="4" t="s">
        <v>3</v>
      </c>
      <c r="G203" s="2">
        <f>IF(ISNUMBER(SEARCH(Лист2!$B$4,F:F)),1,0)</f>
        <v>0</v>
      </c>
      <c r="H203" s="3">
        <f ca="1">IF(AND(I203&lt;&gt;I202,ISNUMBER(SEARCH(Лист2!$B$5,I:I)),G203=1),MAX($H$3:OFFSET(H203,-1,0))+1,0)</f>
        <v>0</v>
      </c>
      <c r="I203" s="3" t="s">
        <v>58</v>
      </c>
      <c r="J203" s="4" t="str">
        <f t="shared" ca="1" si="9"/>
        <v/>
      </c>
      <c r="K203" s="2">
        <f>IF(ISNUMBER(SEARCH(Лист2!$B$4,F:F)),1,0)</f>
        <v>0</v>
      </c>
      <c r="L203" s="14">
        <f>IF(ISNUMBER(SEARCH(Лист2!$B$5,I:I)),1,0)+K203</f>
        <v>0</v>
      </c>
      <c r="M203" s="3">
        <f ca="1">IF(AND(N203&lt;&gt;N202,ISNUMBER(SEARCH(Лист2!$B$6,N:N)),L203=2),MAX($M$3:OFFSET(M203,-1,0))+1,0)</f>
        <v>0</v>
      </c>
      <c r="N203" s="3" t="s">
        <v>623</v>
      </c>
    </row>
    <row r="204" spans="1:14" x14ac:dyDescent="0.25">
      <c r="A204" s="1" t="s">
        <v>9984</v>
      </c>
      <c r="B204" s="3" t="s">
        <v>3828</v>
      </c>
      <c r="C204" s="2">
        <f ca="1">IF(ISNUMBER(SEARCH(Лист2!$B$4,D:D)),MAX($C$3:OFFSET(C204,-1,0))+1,0)</f>
        <v>0</v>
      </c>
      <c r="E204" s="9" t="str">
        <f t="shared" ca="1" si="10"/>
        <v/>
      </c>
      <c r="F204" s="4" t="s">
        <v>3</v>
      </c>
      <c r="G204" s="2">
        <f>IF(ISNUMBER(SEARCH(Лист2!$B$4,F:F)),1,0)</f>
        <v>0</v>
      </c>
      <c r="H204" s="3">
        <f ca="1">IF(AND(I204&lt;&gt;I203,ISNUMBER(SEARCH(Лист2!$B$5,I:I)),G204=1),MAX($H$3:OFFSET(H204,-1,0))+1,0)</f>
        <v>0</v>
      </c>
      <c r="I204" s="3" t="s">
        <v>58</v>
      </c>
      <c r="J204" s="4" t="str">
        <f t="shared" ca="1" si="9"/>
        <v/>
      </c>
      <c r="K204" s="2">
        <f>IF(ISNUMBER(SEARCH(Лист2!$B$4,F:F)),1,0)</f>
        <v>0</v>
      </c>
      <c r="L204" s="14">
        <f>IF(ISNUMBER(SEARCH(Лист2!$B$5,I:I)),1,0)+K204</f>
        <v>0</v>
      </c>
      <c r="M204" s="3">
        <f ca="1">IF(AND(N204&lt;&gt;N203,ISNUMBER(SEARCH(Лист2!$B$6,N:N)),L204=2),MAX($M$3:OFFSET(M204,-1,0))+1,0)</f>
        <v>0</v>
      </c>
      <c r="N204" s="3" t="s">
        <v>624</v>
      </c>
    </row>
    <row r="205" spans="1:14" x14ac:dyDescent="0.25">
      <c r="A205" s="1" t="s">
        <v>9985</v>
      </c>
      <c r="B205" s="3" t="s">
        <v>3829</v>
      </c>
      <c r="C205" s="2">
        <f ca="1">IF(ISNUMBER(SEARCH(Лист2!$B$4,D:D)),MAX($C$3:OFFSET(C205,-1,0))+1,0)</f>
        <v>0</v>
      </c>
      <c r="E205" s="9" t="str">
        <f t="shared" ca="1" si="10"/>
        <v/>
      </c>
      <c r="F205" s="4" t="s">
        <v>3</v>
      </c>
      <c r="G205" s="2">
        <f>IF(ISNUMBER(SEARCH(Лист2!$B$4,F:F)),1,0)</f>
        <v>0</v>
      </c>
      <c r="H205" s="3">
        <f ca="1">IF(AND(I205&lt;&gt;I204,ISNUMBER(SEARCH(Лист2!$B$5,I:I)),G205=1),MAX($H$3:OFFSET(H205,-1,0))+1,0)</f>
        <v>0</v>
      </c>
      <c r="I205" s="3" t="s">
        <v>58</v>
      </c>
      <c r="J205" s="4" t="str">
        <f t="shared" ca="1" si="9"/>
        <v/>
      </c>
      <c r="K205" s="2">
        <f>IF(ISNUMBER(SEARCH(Лист2!$B$4,F:F)),1,0)</f>
        <v>0</v>
      </c>
      <c r="L205" s="14">
        <f>IF(ISNUMBER(SEARCH(Лист2!$B$5,I:I)),1,0)+K205</f>
        <v>0</v>
      </c>
      <c r="M205" s="3">
        <f ca="1">IF(AND(N205&lt;&gt;N204,ISNUMBER(SEARCH(Лист2!$B$6,N:N)),L205=2),MAX($M$3:OFFSET(M205,-1,0))+1,0)</f>
        <v>0</v>
      </c>
      <c r="N205" s="3" t="s">
        <v>625</v>
      </c>
    </row>
    <row r="206" spans="1:14" x14ac:dyDescent="0.25">
      <c r="A206" s="1" t="s">
        <v>9986</v>
      </c>
      <c r="B206" s="3" t="s">
        <v>3830</v>
      </c>
      <c r="C206" s="2">
        <f ca="1">IF(ISNUMBER(SEARCH(Лист2!$B$4,D:D)),MAX($C$3:OFFSET(C206,-1,0))+1,0)</f>
        <v>0</v>
      </c>
      <c r="E206" s="9" t="str">
        <f t="shared" ca="1" si="10"/>
        <v/>
      </c>
      <c r="F206" s="4" t="s">
        <v>3</v>
      </c>
      <c r="G206" s="2">
        <f>IF(ISNUMBER(SEARCH(Лист2!$B$4,F:F)),1,0)</f>
        <v>0</v>
      </c>
      <c r="H206" s="3">
        <f ca="1">IF(AND(I206&lt;&gt;I205,ISNUMBER(SEARCH(Лист2!$B$5,I:I)),G206=1),MAX($H$3:OFFSET(H206,-1,0))+1,0)</f>
        <v>0</v>
      </c>
      <c r="I206" s="3" t="s">
        <v>58</v>
      </c>
      <c r="J206" s="4" t="str">
        <f t="shared" ca="1" si="9"/>
        <v/>
      </c>
      <c r="K206" s="2">
        <f>IF(ISNUMBER(SEARCH(Лист2!$B$4,F:F)),1,0)</f>
        <v>0</v>
      </c>
      <c r="L206" s="14">
        <f>IF(ISNUMBER(SEARCH(Лист2!$B$5,I:I)),1,0)+K206</f>
        <v>0</v>
      </c>
      <c r="M206" s="3">
        <f ca="1">IF(AND(N206&lt;&gt;N205,ISNUMBER(SEARCH(Лист2!$B$6,N:N)),L206=2),MAX($M$3:OFFSET(M206,-1,0))+1,0)</f>
        <v>0</v>
      </c>
      <c r="N206" s="3" t="s">
        <v>626</v>
      </c>
    </row>
    <row r="207" spans="1:14" x14ac:dyDescent="0.25">
      <c r="A207" s="1" t="s">
        <v>9987</v>
      </c>
      <c r="B207" s="3" t="s">
        <v>3831</v>
      </c>
      <c r="C207" s="2">
        <f ca="1">IF(ISNUMBER(SEARCH(Лист2!$B$4,D:D)),MAX($C$3:OFFSET(C207,-1,0))+1,0)</f>
        <v>0</v>
      </c>
      <c r="E207" s="9" t="str">
        <f t="shared" ca="1" si="10"/>
        <v/>
      </c>
      <c r="F207" s="4" t="s">
        <v>3</v>
      </c>
      <c r="G207" s="2">
        <f>IF(ISNUMBER(SEARCH(Лист2!$B$4,F:F)),1,0)</f>
        <v>0</v>
      </c>
      <c r="H207" s="3">
        <f ca="1">IF(AND(I207&lt;&gt;I206,ISNUMBER(SEARCH(Лист2!$B$5,I:I)),G207=1),MAX($H$3:OFFSET(H207,-1,0))+1,0)</f>
        <v>0</v>
      </c>
      <c r="I207" s="3" t="s">
        <v>58</v>
      </c>
      <c r="J207" s="4" t="str">
        <f t="shared" ca="1" si="9"/>
        <v/>
      </c>
      <c r="K207" s="2">
        <f>IF(ISNUMBER(SEARCH(Лист2!$B$4,F:F)),1,0)</f>
        <v>0</v>
      </c>
      <c r="L207" s="14">
        <f>IF(ISNUMBER(SEARCH(Лист2!$B$5,I:I)),1,0)+K207</f>
        <v>0</v>
      </c>
      <c r="M207" s="3">
        <f ca="1">IF(AND(N207&lt;&gt;N206,ISNUMBER(SEARCH(Лист2!$B$6,N:N)),L207=2),MAX($M$3:OFFSET(M207,-1,0))+1,0)</f>
        <v>0</v>
      </c>
      <c r="N207" s="3" t="s">
        <v>627</v>
      </c>
    </row>
    <row r="208" spans="1:14" x14ac:dyDescent="0.25">
      <c r="A208" s="1" t="s">
        <v>9988</v>
      </c>
      <c r="B208" s="3" t="s">
        <v>3832</v>
      </c>
      <c r="C208" s="2">
        <f ca="1">IF(ISNUMBER(SEARCH(Лист2!$B$4,D:D)),MAX($C$3:OFFSET(C208,-1,0))+1,0)</f>
        <v>0</v>
      </c>
      <c r="E208" s="9" t="str">
        <f t="shared" ca="1" si="10"/>
        <v/>
      </c>
      <c r="F208" s="4" t="s">
        <v>3</v>
      </c>
      <c r="G208" s="2">
        <f>IF(ISNUMBER(SEARCH(Лист2!$B$4,F:F)),1,0)</f>
        <v>0</v>
      </c>
      <c r="H208" s="3">
        <f ca="1">IF(AND(I208&lt;&gt;I207,ISNUMBER(SEARCH(Лист2!$B$5,I:I)),G208=1),MAX($H$3:OFFSET(H208,-1,0))+1,0)</f>
        <v>0</v>
      </c>
      <c r="I208" s="3" t="s">
        <v>58</v>
      </c>
      <c r="J208" s="4" t="str">
        <f t="shared" ca="1" si="9"/>
        <v/>
      </c>
      <c r="K208" s="2">
        <f>IF(ISNUMBER(SEARCH(Лист2!$B$4,F:F)),1,0)</f>
        <v>0</v>
      </c>
      <c r="L208" s="14">
        <f>IF(ISNUMBER(SEARCH(Лист2!$B$5,I:I)),1,0)+K208</f>
        <v>0</v>
      </c>
      <c r="M208" s="3">
        <f ca="1">IF(AND(N208&lt;&gt;N207,ISNUMBER(SEARCH(Лист2!$B$6,N:N)),L208=2),MAX($M$3:OFFSET(M208,-1,0))+1,0)</f>
        <v>0</v>
      </c>
      <c r="N208" s="3" t="s">
        <v>628</v>
      </c>
    </row>
    <row r="209" spans="1:14" x14ac:dyDescent="0.25">
      <c r="A209" s="1" t="s">
        <v>9989</v>
      </c>
      <c r="B209" s="3" t="s">
        <v>3833</v>
      </c>
      <c r="C209" s="2">
        <f ca="1">IF(ISNUMBER(SEARCH(Лист2!$B$4,D:D)),MAX($C$3:OFFSET(C209,-1,0))+1,0)</f>
        <v>0</v>
      </c>
      <c r="E209" s="9" t="str">
        <f t="shared" ca="1" si="10"/>
        <v/>
      </c>
      <c r="F209" s="4" t="s">
        <v>3</v>
      </c>
      <c r="G209" s="2">
        <f>IF(ISNUMBER(SEARCH(Лист2!$B$4,F:F)),1,0)</f>
        <v>0</v>
      </c>
      <c r="H209" s="3">
        <f ca="1">IF(AND(I209&lt;&gt;I208,ISNUMBER(SEARCH(Лист2!$B$5,I:I)),G209=1),MAX($H$3:OFFSET(H209,-1,0))+1,0)</f>
        <v>0</v>
      </c>
      <c r="I209" s="3" t="s">
        <v>58</v>
      </c>
      <c r="J209" s="4" t="str">
        <f t="shared" ca="1" si="9"/>
        <v/>
      </c>
      <c r="K209" s="2">
        <f>IF(ISNUMBER(SEARCH(Лист2!$B$4,F:F)),1,0)</f>
        <v>0</v>
      </c>
      <c r="L209" s="14">
        <f>IF(ISNUMBER(SEARCH(Лист2!$B$5,I:I)),1,0)+K209</f>
        <v>0</v>
      </c>
      <c r="M209" s="3">
        <f ca="1">IF(AND(N209&lt;&gt;N208,ISNUMBER(SEARCH(Лист2!$B$6,N:N)),L209=2),MAX($M$3:OFFSET(M209,-1,0))+1,0)</f>
        <v>0</v>
      </c>
      <c r="N209" s="3" t="s">
        <v>501</v>
      </c>
    </row>
    <row r="210" spans="1:14" x14ac:dyDescent="0.25">
      <c r="A210" s="1" t="s">
        <v>9990</v>
      </c>
      <c r="B210" s="3" t="s">
        <v>3834</v>
      </c>
      <c r="C210" s="2">
        <f ca="1">IF(ISNUMBER(SEARCH(Лист2!$B$4,D:D)),MAX($C$3:OFFSET(C210,-1,0))+1,0)</f>
        <v>0</v>
      </c>
      <c r="E210" s="9" t="str">
        <f t="shared" ca="1" si="10"/>
        <v/>
      </c>
      <c r="F210" s="4" t="s">
        <v>3</v>
      </c>
      <c r="G210" s="2">
        <f>IF(ISNUMBER(SEARCH(Лист2!$B$4,F:F)),1,0)</f>
        <v>0</v>
      </c>
      <c r="H210" s="3">
        <f ca="1">IF(AND(I210&lt;&gt;I209,ISNUMBER(SEARCH(Лист2!$B$5,I:I)),G210=1),MAX($H$3:OFFSET(H210,-1,0))+1,0)</f>
        <v>0</v>
      </c>
      <c r="I210" s="3" t="s">
        <v>58</v>
      </c>
      <c r="J210" s="4" t="str">
        <f t="shared" ca="1" si="9"/>
        <v/>
      </c>
      <c r="K210" s="2">
        <f>IF(ISNUMBER(SEARCH(Лист2!$B$4,F:F)),1,0)</f>
        <v>0</v>
      </c>
      <c r="L210" s="14">
        <f>IF(ISNUMBER(SEARCH(Лист2!$B$5,I:I)),1,0)+K210</f>
        <v>0</v>
      </c>
      <c r="M210" s="3">
        <f ca="1">IF(AND(N210&lt;&gt;N209,ISNUMBER(SEARCH(Лист2!$B$6,N:N)),L210=2),MAX($M$3:OFFSET(M210,-1,0))+1,0)</f>
        <v>0</v>
      </c>
      <c r="N210" s="3" t="s">
        <v>620</v>
      </c>
    </row>
    <row r="211" spans="1:14" x14ac:dyDescent="0.25">
      <c r="A211" s="1" t="s">
        <v>9991</v>
      </c>
      <c r="B211" s="3" t="s">
        <v>3835</v>
      </c>
      <c r="C211" s="2">
        <f ca="1">IF(ISNUMBER(SEARCH(Лист2!$B$4,D:D)),MAX($C$3:OFFSET(C211,-1,0))+1,0)</f>
        <v>0</v>
      </c>
      <c r="E211" s="9" t="str">
        <f t="shared" ca="1" si="10"/>
        <v/>
      </c>
      <c r="F211" s="4" t="s">
        <v>3</v>
      </c>
      <c r="G211" s="2">
        <f>IF(ISNUMBER(SEARCH(Лист2!$B$4,F:F)),1,0)</f>
        <v>0</v>
      </c>
      <c r="H211" s="3">
        <f ca="1">IF(AND(I211&lt;&gt;I210,ISNUMBER(SEARCH(Лист2!$B$5,I:I)),G211=1),MAX($H$3:OFFSET(H211,-1,0))+1,0)</f>
        <v>0</v>
      </c>
      <c r="I211" s="3" t="s">
        <v>58</v>
      </c>
      <c r="J211" s="4" t="str">
        <f t="shared" ca="1" si="9"/>
        <v/>
      </c>
      <c r="K211" s="2">
        <f>IF(ISNUMBER(SEARCH(Лист2!$B$4,F:F)),1,0)</f>
        <v>0</v>
      </c>
      <c r="L211" s="14">
        <f>IF(ISNUMBER(SEARCH(Лист2!$B$5,I:I)),1,0)+K211</f>
        <v>0</v>
      </c>
      <c r="M211" s="3">
        <f ca="1">IF(AND(N211&lt;&gt;N210,ISNUMBER(SEARCH(Лист2!$B$6,N:N)),L211=2),MAX($M$3:OFFSET(M211,-1,0))+1,0)</f>
        <v>0</v>
      </c>
      <c r="N211" s="3" t="s">
        <v>621</v>
      </c>
    </row>
    <row r="212" spans="1:14" x14ac:dyDescent="0.25">
      <c r="A212" s="1" t="s">
        <v>9992</v>
      </c>
      <c r="B212" s="3" t="s">
        <v>3836</v>
      </c>
      <c r="C212" s="2">
        <f ca="1">IF(ISNUMBER(SEARCH(Лист2!$B$4,D:D)),MAX($C$3:OFFSET(C212,-1,0))+1,0)</f>
        <v>0</v>
      </c>
      <c r="E212" s="9" t="str">
        <f t="shared" ca="1" si="10"/>
        <v/>
      </c>
      <c r="F212" s="4" t="s">
        <v>3</v>
      </c>
      <c r="G212" s="2">
        <f>IF(ISNUMBER(SEARCH(Лист2!$B$4,F:F)),1,0)</f>
        <v>0</v>
      </c>
      <c r="H212" s="3">
        <f ca="1">IF(AND(I212&lt;&gt;I211,ISNUMBER(SEARCH(Лист2!$B$5,I:I)),G212=1),MAX($H$3:OFFSET(H212,-1,0))+1,0)</f>
        <v>0</v>
      </c>
      <c r="I212" s="3" t="s">
        <v>59</v>
      </c>
      <c r="J212" s="4" t="str">
        <f t="shared" ca="1" si="9"/>
        <v/>
      </c>
      <c r="K212" s="2">
        <f>IF(ISNUMBER(SEARCH(Лист2!$B$4,F:F)),1,0)</f>
        <v>0</v>
      </c>
      <c r="L212" s="14">
        <f>IF(ISNUMBER(SEARCH(Лист2!$B$5,I:I)),1,0)+K212</f>
        <v>0</v>
      </c>
      <c r="M212" s="3">
        <f ca="1">IF(AND(N212&lt;&gt;N211,ISNUMBER(SEARCH(Лист2!$B$6,N:N)),L212=2),MAX($M$3:OFFSET(M212,-1,0))+1,0)</f>
        <v>0</v>
      </c>
      <c r="N212" s="3" t="s">
        <v>629</v>
      </c>
    </row>
    <row r="213" spans="1:14" x14ac:dyDescent="0.25">
      <c r="A213" s="1" t="s">
        <v>9993</v>
      </c>
      <c r="B213" s="3" t="s">
        <v>3837</v>
      </c>
      <c r="C213" s="2">
        <f ca="1">IF(ISNUMBER(SEARCH(Лист2!$B$4,D:D)),MAX($C$3:OFFSET(C213,-1,0))+1,0)</f>
        <v>0</v>
      </c>
      <c r="E213" s="9" t="str">
        <f t="shared" ca="1" si="10"/>
        <v/>
      </c>
      <c r="F213" s="4" t="s">
        <v>3</v>
      </c>
      <c r="G213" s="2">
        <f>IF(ISNUMBER(SEARCH(Лист2!$B$4,F:F)),1,0)</f>
        <v>0</v>
      </c>
      <c r="H213" s="3">
        <f ca="1">IF(AND(I213&lt;&gt;I212,ISNUMBER(SEARCH(Лист2!$B$5,I:I)),G213=1),MAX($H$3:OFFSET(H213,-1,0))+1,0)</f>
        <v>0</v>
      </c>
      <c r="I213" s="3" t="s">
        <v>59</v>
      </c>
      <c r="J213" s="4" t="str">
        <f t="shared" ca="1" si="9"/>
        <v/>
      </c>
      <c r="K213" s="2">
        <f>IF(ISNUMBER(SEARCH(Лист2!$B$4,F:F)),1,0)</f>
        <v>0</v>
      </c>
      <c r="L213" s="14">
        <f>IF(ISNUMBER(SEARCH(Лист2!$B$5,I:I)),1,0)+K213</f>
        <v>0</v>
      </c>
      <c r="M213" s="3">
        <f ca="1">IF(AND(N213&lt;&gt;N212,ISNUMBER(SEARCH(Лист2!$B$6,N:N)),L213=2),MAX($M$3:OFFSET(M213,-1,0))+1,0)</f>
        <v>0</v>
      </c>
      <c r="N213" s="3" t="s">
        <v>630</v>
      </c>
    </row>
    <row r="214" spans="1:14" x14ac:dyDescent="0.25">
      <c r="A214" s="1" t="s">
        <v>9994</v>
      </c>
      <c r="B214" s="3" t="s">
        <v>3838</v>
      </c>
      <c r="C214" s="2">
        <f ca="1">IF(ISNUMBER(SEARCH(Лист2!$B$4,D:D)),MAX($C$3:OFFSET(C214,-1,0))+1,0)</f>
        <v>0</v>
      </c>
      <c r="E214" s="9" t="str">
        <f t="shared" ca="1" si="10"/>
        <v/>
      </c>
      <c r="F214" s="4" t="s">
        <v>3</v>
      </c>
      <c r="G214" s="2">
        <f>IF(ISNUMBER(SEARCH(Лист2!$B$4,F:F)),1,0)</f>
        <v>0</v>
      </c>
      <c r="H214" s="3">
        <f ca="1">IF(AND(I214&lt;&gt;I213,ISNUMBER(SEARCH(Лист2!$B$5,I:I)),G214=1),MAX($H$3:OFFSET(H214,-1,0))+1,0)</f>
        <v>0</v>
      </c>
      <c r="I214" s="3" t="s">
        <v>59</v>
      </c>
      <c r="J214" s="4" t="str">
        <f t="shared" ca="1" si="9"/>
        <v/>
      </c>
      <c r="K214" s="2">
        <f>IF(ISNUMBER(SEARCH(Лист2!$B$4,F:F)),1,0)</f>
        <v>0</v>
      </c>
      <c r="L214" s="14">
        <f>IF(ISNUMBER(SEARCH(Лист2!$B$5,I:I)),1,0)+K214</f>
        <v>0</v>
      </c>
      <c r="M214" s="3">
        <f ca="1">IF(AND(N214&lt;&gt;N213,ISNUMBER(SEARCH(Лист2!$B$6,N:N)),L214=2),MAX($M$3:OFFSET(M214,-1,0))+1,0)</f>
        <v>0</v>
      </c>
      <c r="N214" s="3" t="s">
        <v>631</v>
      </c>
    </row>
    <row r="215" spans="1:14" x14ac:dyDescent="0.25">
      <c r="A215" s="1" t="s">
        <v>9995</v>
      </c>
      <c r="B215" s="3" t="s">
        <v>3839</v>
      </c>
      <c r="C215" s="2">
        <f ca="1">IF(ISNUMBER(SEARCH(Лист2!$B$4,D:D)),MAX($C$3:OFFSET(C215,-1,0))+1,0)</f>
        <v>0</v>
      </c>
      <c r="E215" s="9" t="str">
        <f t="shared" ca="1" si="10"/>
        <v/>
      </c>
      <c r="F215" s="4" t="s">
        <v>3</v>
      </c>
      <c r="G215" s="2">
        <f>IF(ISNUMBER(SEARCH(Лист2!$B$4,F:F)),1,0)</f>
        <v>0</v>
      </c>
      <c r="H215" s="3">
        <f ca="1">IF(AND(I215&lt;&gt;I214,ISNUMBER(SEARCH(Лист2!$B$5,I:I)),G215=1),MAX($H$3:OFFSET(H215,-1,0))+1,0)</f>
        <v>0</v>
      </c>
      <c r="I215" s="3" t="s">
        <v>59</v>
      </c>
      <c r="J215" s="4" t="str">
        <f t="shared" ca="1" si="9"/>
        <v/>
      </c>
      <c r="K215" s="2">
        <f>IF(ISNUMBER(SEARCH(Лист2!$B$4,F:F)),1,0)</f>
        <v>0</v>
      </c>
      <c r="L215" s="14">
        <f>IF(ISNUMBER(SEARCH(Лист2!$B$5,I:I)),1,0)+K215</f>
        <v>0</v>
      </c>
      <c r="M215" s="3">
        <f ca="1">IF(AND(N215&lt;&gt;N214,ISNUMBER(SEARCH(Лист2!$B$6,N:N)),L215=2),MAX($M$3:OFFSET(M215,-1,0))+1,0)</f>
        <v>0</v>
      </c>
      <c r="N215" s="3" t="s">
        <v>632</v>
      </c>
    </row>
    <row r="216" spans="1:14" x14ac:dyDescent="0.25">
      <c r="A216" s="1" t="s">
        <v>9996</v>
      </c>
      <c r="B216" s="3" t="s">
        <v>3840</v>
      </c>
      <c r="C216" s="2">
        <f ca="1">IF(ISNUMBER(SEARCH(Лист2!$B$4,D:D)),MAX($C$3:OFFSET(C216,-1,0))+1,0)</f>
        <v>0</v>
      </c>
      <c r="E216" s="9" t="str">
        <f t="shared" ca="1" si="10"/>
        <v/>
      </c>
      <c r="F216" s="4" t="s">
        <v>3</v>
      </c>
      <c r="G216" s="2">
        <f>IF(ISNUMBER(SEARCH(Лист2!$B$4,F:F)),1,0)</f>
        <v>0</v>
      </c>
      <c r="H216" s="3">
        <f ca="1">IF(AND(I216&lt;&gt;I215,ISNUMBER(SEARCH(Лист2!$B$5,I:I)),G216=1),MAX($H$3:OFFSET(H216,-1,0))+1,0)</f>
        <v>0</v>
      </c>
      <c r="I216" s="3" t="s">
        <v>59</v>
      </c>
      <c r="J216" s="4" t="str">
        <f t="shared" ca="1" si="9"/>
        <v/>
      </c>
      <c r="K216" s="2">
        <f>IF(ISNUMBER(SEARCH(Лист2!$B$4,F:F)),1,0)</f>
        <v>0</v>
      </c>
      <c r="L216" s="14">
        <f>IF(ISNUMBER(SEARCH(Лист2!$B$5,I:I)),1,0)+K216</f>
        <v>0</v>
      </c>
      <c r="M216" s="3">
        <f ca="1">IF(AND(N216&lt;&gt;N215,ISNUMBER(SEARCH(Лист2!$B$6,N:N)),L216=2),MAX($M$3:OFFSET(M216,-1,0))+1,0)</f>
        <v>0</v>
      </c>
      <c r="N216" s="3" t="s">
        <v>633</v>
      </c>
    </row>
    <row r="217" spans="1:14" x14ac:dyDescent="0.25">
      <c r="A217" s="1" t="s">
        <v>9997</v>
      </c>
      <c r="B217" s="3" t="s">
        <v>3841</v>
      </c>
      <c r="C217" s="2">
        <f ca="1">IF(ISNUMBER(SEARCH(Лист2!$B$4,D:D)),MAX($C$3:OFFSET(C217,-1,0))+1,0)</f>
        <v>0</v>
      </c>
      <c r="E217" s="9" t="str">
        <f t="shared" ca="1" si="10"/>
        <v/>
      </c>
      <c r="F217" s="4" t="s">
        <v>3</v>
      </c>
      <c r="G217" s="2">
        <f>IF(ISNUMBER(SEARCH(Лист2!$B$4,F:F)),1,0)</f>
        <v>0</v>
      </c>
      <c r="H217" s="3">
        <f ca="1">IF(AND(I217&lt;&gt;I216,ISNUMBER(SEARCH(Лист2!$B$5,I:I)),G217=1),MAX($H$3:OFFSET(H217,-1,0))+1,0)</f>
        <v>0</v>
      </c>
      <c r="I217" s="3" t="s">
        <v>59</v>
      </c>
      <c r="J217" s="4" t="str">
        <f t="shared" ca="1" si="9"/>
        <v/>
      </c>
      <c r="K217" s="2">
        <f>IF(ISNUMBER(SEARCH(Лист2!$B$4,F:F)),1,0)</f>
        <v>0</v>
      </c>
      <c r="L217" s="14">
        <f>IF(ISNUMBER(SEARCH(Лист2!$B$5,I:I)),1,0)+K217</f>
        <v>0</v>
      </c>
      <c r="M217" s="3">
        <f ca="1">IF(AND(N217&lt;&gt;N216,ISNUMBER(SEARCH(Лист2!$B$6,N:N)),L217=2),MAX($M$3:OFFSET(M217,-1,0))+1,0)</f>
        <v>0</v>
      </c>
      <c r="N217" s="3" t="s">
        <v>634</v>
      </c>
    </row>
    <row r="218" spans="1:14" x14ac:dyDescent="0.25">
      <c r="A218" s="1" t="s">
        <v>9998</v>
      </c>
      <c r="B218" s="3" t="s">
        <v>3842</v>
      </c>
      <c r="C218" s="2">
        <f ca="1">IF(ISNUMBER(SEARCH(Лист2!$B$4,D:D)),MAX($C$3:OFFSET(C218,-1,0))+1,0)</f>
        <v>0</v>
      </c>
      <c r="E218" s="9" t="str">
        <f t="shared" ca="1" si="10"/>
        <v/>
      </c>
      <c r="F218" s="4" t="s">
        <v>3</v>
      </c>
      <c r="G218" s="2">
        <f>IF(ISNUMBER(SEARCH(Лист2!$B$4,F:F)),1,0)</f>
        <v>0</v>
      </c>
      <c r="H218" s="3">
        <f ca="1">IF(AND(I218&lt;&gt;I217,ISNUMBER(SEARCH(Лист2!$B$5,I:I)),G218=1),MAX($H$3:OFFSET(H218,-1,0))+1,0)</f>
        <v>0</v>
      </c>
      <c r="I218" s="3" t="s">
        <v>59</v>
      </c>
      <c r="J218" s="4" t="str">
        <f t="shared" ca="1" si="9"/>
        <v/>
      </c>
      <c r="K218" s="2">
        <f>IF(ISNUMBER(SEARCH(Лист2!$B$4,F:F)),1,0)</f>
        <v>0</v>
      </c>
      <c r="L218" s="14">
        <f>IF(ISNUMBER(SEARCH(Лист2!$B$5,I:I)),1,0)+K218</f>
        <v>0</v>
      </c>
      <c r="M218" s="3">
        <f ca="1">IF(AND(N218&lt;&gt;N217,ISNUMBER(SEARCH(Лист2!$B$6,N:N)),L218=2),MAX($M$3:OFFSET(M218,-1,0))+1,0)</f>
        <v>0</v>
      </c>
      <c r="N218" s="3" t="s">
        <v>635</v>
      </c>
    </row>
    <row r="219" spans="1:14" x14ac:dyDescent="0.25">
      <c r="A219" s="1" t="s">
        <v>9999</v>
      </c>
      <c r="B219" s="3" t="s">
        <v>3843</v>
      </c>
      <c r="C219" s="2">
        <f ca="1">IF(ISNUMBER(SEARCH(Лист2!$B$4,D:D)),MAX($C$3:OFFSET(C219,-1,0))+1,0)</f>
        <v>0</v>
      </c>
      <c r="E219" s="9" t="str">
        <f t="shared" ca="1" si="10"/>
        <v/>
      </c>
      <c r="F219" s="4" t="s">
        <v>3</v>
      </c>
      <c r="G219" s="2">
        <f>IF(ISNUMBER(SEARCH(Лист2!$B$4,F:F)),1,0)</f>
        <v>0</v>
      </c>
      <c r="H219" s="3">
        <f ca="1">IF(AND(I219&lt;&gt;I218,ISNUMBER(SEARCH(Лист2!$B$5,I:I)),G219=1),MAX($H$3:OFFSET(H219,-1,0))+1,0)</f>
        <v>0</v>
      </c>
      <c r="I219" s="3" t="s">
        <v>59</v>
      </c>
      <c r="J219" s="4" t="str">
        <f t="shared" ca="1" si="9"/>
        <v/>
      </c>
      <c r="K219" s="2">
        <f>IF(ISNUMBER(SEARCH(Лист2!$B$4,F:F)),1,0)</f>
        <v>0</v>
      </c>
      <c r="L219" s="14">
        <f>IF(ISNUMBER(SEARCH(Лист2!$B$5,I:I)),1,0)+K219</f>
        <v>0</v>
      </c>
      <c r="M219" s="3">
        <f ca="1">IF(AND(N219&lt;&gt;N218,ISNUMBER(SEARCH(Лист2!$B$6,N:N)),L219=2),MAX($M$3:OFFSET(M219,-1,0))+1,0)</f>
        <v>0</v>
      </c>
      <c r="N219" s="3" t="s">
        <v>501</v>
      </c>
    </row>
    <row r="220" spans="1:14" x14ac:dyDescent="0.25">
      <c r="A220" s="1" t="s">
        <v>10000</v>
      </c>
      <c r="B220" s="3" t="s">
        <v>3844</v>
      </c>
      <c r="C220" s="2">
        <f ca="1">IF(ISNUMBER(SEARCH(Лист2!$B$4,D:D)),MAX($C$3:OFFSET(C220,-1,0))+1,0)</f>
        <v>0</v>
      </c>
      <c r="E220" s="9" t="str">
        <f t="shared" ca="1" si="10"/>
        <v/>
      </c>
      <c r="F220" s="4" t="s">
        <v>3</v>
      </c>
      <c r="G220" s="2">
        <f>IF(ISNUMBER(SEARCH(Лист2!$B$4,F:F)),1,0)</f>
        <v>0</v>
      </c>
      <c r="H220" s="3">
        <f ca="1">IF(AND(I220&lt;&gt;I219,ISNUMBER(SEARCH(Лист2!$B$5,I:I)),G220=1),MAX($H$3:OFFSET(H220,-1,0))+1,0)</f>
        <v>0</v>
      </c>
      <c r="I220" s="3" t="s">
        <v>59</v>
      </c>
      <c r="J220" s="4" t="str">
        <f t="shared" ca="1" si="9"/>
        <v/>
      </c>
      <c r="K220" s="2">
        <f>IF(ISNUMBER(SEARCH(Лист2!$B$4,F:F)),1,0)</f>
        <v>0</v>
      </c>
      <c r="L220" s="14">
        <f>IF(ISNUMBER(SEARCH(Лист2!$B$5,I:I)),1,0)+K220</f>
        <v>0</v>
      </c>
      <c r="M220" s="3">
        <f ca="1">IF(AND(N220&lt;&gt;N219,ISNUMBER(SEARCH(Лист2!$B$6,N:N)),L220=2),MAX($M$3:OFFSET(M220,-1,0))+1,0)</f>
        <v>0</v>
      </c>
      <c r="N220" s="3" t="s">
        <v>620</v>
      </c>
    </row>
    <row r="221" spans="1:14" x14ac:dyDescent="0.25">
      <c r="A221" s="1" t="s">
        <v>10001</v>
      </c>
      <c r="B221" s="3" t="s">
        <v>3845</v>
      </c>
      <c r="C221" s="2">
        <f ca="1">IF(ISNUMBER(SEARCH(Лист2!$B$4,D:D)),MAX($C$3:OFFSET(C221,-1,0))+1,0)</f>
        <v>0</v>
      </c>
      <c r="E221" s="9" t="str">
        <f t="shared" ca="1" si="10"/>
        <v/>
      </c>
      <c r="F221" s="4" t="s">
        <v>3</v>
      </c>
      <c r="G221" s="2">
        <f>IF(ISNUMBER(SEARCH(Лист2!$B$4,F:F)),1,0)</f>
        <v>0</v>
      </c>
      <c r="H221" s="3">
        <f ca="1">IF(AND(I221&lt;&gt;I220,ISNUMBER(SEARCH(Лист2!$B$5,I:I)),G221=1),MAX($H$3:OFFSET(H221,-1,0))+1,0)</f>
        <v>0</v>
      </c>
      <c r="I221" s="3" t="s">
        <v>59</v>
      </c>
      <c r="J221" s="4" t="str">
        <f t="shared" ca="1" si="9"/>
        <v/>
      </c>
      <c r="K221" s="2">
        <f>IF(ISNUMBER(SEARCH(Лист2!$B$4,F:F)),1,0)</f>
        <v>0</v>
      </c>
      <c r="L221" s="14">
        <f>IF(ISNUMBER(SEARCH(Лист2!$B$5,I:I)),1,0)+K221</f>
        <v>0</v>
      </c>
      <c r="M221" s="3">
        <f ca="1">IF(AND(N221&lt;&gt;N220,ISNUMBER(SEARCH(Лист2!$B$6,N:N)),L221=2),MAX($M$3:OFFSET(M221,-1,0))+1,0)</f>
        <v>0</v>
      </c>
      <c r="N221" s="3" t="s">
        <v>621</v>
      </c>
    </row>
    <row r="222" spans="1:14" x14ac:dyDescent="0.25">
      <c r="A222" s="1" t="s">
        <v>10002</v>
      </c>
      <c r="B222" s="3" t="s">
        <v>3846</v>
      </c>
      <c r="C222" s="2">
        <f ca="1">IF(ISNUMBER(SEARCH(Лист2!$B$4,D:D)),MAX($C$3:OFFSET(C222,-1,0))+1,0)</f>
        <v>0</v>
      </c>
      <c r="E222" s="9" t="str">
        <f t="shared" ca="1" si="10"/>
        <v/>
      </c>
      <c r="F222" s="4" t="s">
        <v>3</v>
      </c>
      <c r="G222" s="2">
        <f>IF(ISNUMBER(SEARCH(Лист2!$B$4,F:F)),1,0)</f>
        <v>0</v>
      </c>
      <c r="H222" s="3">
        <f ca="1">IF(AND(I222&lt;&gt;I221,ISNUMBER(SEARCH(Лист2!$B$5,I:I)),G222=1),MAX($H$3:OFFSET(H222,-1,0))+1,0)</f>
        <v>0</v>
      </c>
      <c r="I222" s="3" t="s">
        <v>60</v>
      </c>
      <c r="J222" s="4" t="str">
        <f t="shared" ca="1" si="9"/>
        <v/>
      </c>
      <c r="K222" s="2">
        <f>IF(ISNUMBER(SEARCH(Лист2!$B$4,F:F)),1,0)</f>
        <v>0</v>
      </c>
      <c r="L222" s="14">
        <f>IF(ISNUMBER(SEARCH(Лист2!$B$5,I:I)),1,0)+K222</f>
        <v>0</v>
      </c>
      <c r="M222" s="3">
        <f ca="1">IF(AND(N222&lt;&gt;N221,ISNUMBER(SEARCH(Лист2!$B$6,N:N)),L222=2),MAX($M$3:OFFSET(M222,-1,0))+1,0)</f>
        <v>0</v>
      </c>
      <c r="N222" s="3" t="s">
        <v>636</v>
      </c>
    </row>
    <row r="223" spans="1:14" x14ac:dyDescent="0.25">
      <c r="A223" s="1" t="s">
        <v>10003</v>
      </c>
      <c r="B223" s="3" t="s">
        <v>3847</v>
      </c>
      <c r="C223" s="2">
        <f ca="1">IF(ISNUMBER(SEARCH(Лист2!$B$4,D:D)),MAX($C$3:OFFSET(C223,-1,0))+1,0)</f>
        <v>0</v>
      </c>
      <c r="E223" s="9" t="str">
        <f t="shared" ca="1" si="10"/>
        <v/>
      </c>
      <c r="F223" s="4" t="s">
        <v>3</v>
      </c>
      <c r="G223" s="2">
        <f>IF(ISNUMBER(SEARCH(Лист2!$B$4,F:F)),1,0)</f>
        <v>0</v>
      </c>
      <c r="H223" s="3">
        <f ca="1">IF(AND(I223&lt;&gt;I222,ISNUMBER(SEARCH(Лист2!$B$5,I:I)),G223=1),MAX($H$3:OFFSET(H223,-1,0))+1,0)</f>
        <v>0</v>
      </c>
      <c r="I223" s="3" t="s">
        <v>60</v>
      </c>
      <c r="J223" s="4" t="str">
        <f t="shared" ca="1" si="9"/>
        <v/>
      </c>
      <c r="K223" s="2">
        <f>IF(ISNUMBER(SEARCH(Лист2!$B$4,F:F)),1,0)</f>
        <v>0</v>
      </c>
      <c r="L223" s="14">
        <f>IF(ISNUMBER(SEARCH(Лист2!$B$5,I:I)),1,0)+K223</f>
        <v>0</v>
      </c>
      <c r="M223" s="3">
        <f ca="1">IF(AND(N223&lt;&gt;N222,ISNUMBER(SEARCH(Лист2!$B$6,N:N)),L223=2),MAX($M$3:OFFSET(M223,-1,0))+1,0)</f>
        <v>0</v>
      </c>
      <c r="N223" s="3" t="s">
        <v>637</v>
      </c>
    </row>
    <row r="224" spans="1:14" x14ac:dyDescent="0.25">
      <c r="A224" s="1" t="s">
        <v>10004</v>
      </c>
      <c r="B224" s="3" t="s">
        <v>3848</v>
      </c>
      <c r="C224" s="2">
        <f ca="1">IF(ISNUMBER(SEARCH(Лист2!$B$4,D:D)),MAX($C$3:OFFSET(C224,-1,0))+1,0)</f>
        <v>0</v>
      </c>
      <c r="E224" s="9" t="str">
        <f t="shared" ca="1" si="10"/>
        <v/>
      </c>
      <c r="F224" s="4" t="s">
        <v>3</v>
      </c>
      <c r="G224" s="2">
        <f>IF(ISNUMBER(SEARCH(Лист2!$B$4,F:F)),1,0)</f>
        <v>0</v>
      </c>
      <c r="H224" s="3">
        <f ca="1">IF(AND(I224&lt;&gt;I223,ISNUMBER(SEARCH(Лист2!$B$5,I:I)),G224=1),MAX($H$3:OFFSET(H224,-1,0))+1,0)</f>
        <v>0</v>
      </c>
      <c r="I224" s="3" t="s">
        <v>60</v>
      </c>
      <c r="J224" s="4" t="str">
        <f t="shared" ca="1" si="9"/>
        <v/>
      </c>
      <c r="K224" s="2">
        <f>IF(ISNUMBER(SEARCH(Лист2!$B$4,F:F)),1,0)</f>
        <v>0</v>
      </c>
      <c r="L224" s="14">
        <f>IF(ISNUMBER(SEARCH(Лист2!$B$5,I:I)),1,0)+K224</f>
        <v>0</v>
      </c>
      <c r="M224" s="3">
        <f ca="1">IF(AND(N224&lt;&gt;N223,ISNUMBER(SEARCH(Лист2!$B$6,N:N)),L224=2),MAX($M$3:OFFSET(M224,-1,0))+1,0)</f>
        <v>0</v>
      </c>
      <c r="N224" s="3" t="s">
        <v>638</v>
      </c>
    </row>
    <row r="225" spans="1:14" x14ac:dyDescent="0.25">
      <c r="A225" s="1" t="s">
        <v>10005</v>
      </c>
      <c r="B225" s="3" t="s">
        <v>3849</v>
      </c>
      <c r="C225" s="2">
        <f ca="1">IF(ISNUMBER(SEARCH(Лист2!$B$4,D:D)),MAX($C$3:OFFSET(C225,-1,0))+1,0)</f>
        <v>0</v>
      </c>
      <c r="E225" s="9" t="str">
        <f t="shared" ca="1" si="10"/>
        <v/>
      </c>
      <c r="F225" s="4" t="s">
        <v>3</v>
      </c>
      <c r="G225" s="2">
        <f>IF(ISNUMBER(SEARCH(Лист2!$B$4,F:F)),1,0)</f>
        <v>0</v>
      </c>
      <c r="H225" s="3">
        <f ca="1">IF(AND(I225&lt;&gt;I224,ISNUMBER(SEARCH(Лист2!$B$5,I:I)),G225=1),MAX($H$3:OFFSET(H225,-1,0))+1,0)</f>
        <v>0</v>
      </c>
      <c r="I225" s="3" t="s">
        <v>60</v>
      </c>
      <c r="J225" s="4" t="str">
        <f t="shared" ca="1" si="9"/>
        <v/>
      </c>
      <c r="K225" s="2">
        <f>IF(ISNUMBER(SEARCH(Лист2!$B$4,F:F)),1,0)</f>
        <v>0</v>
      </c>
      <c r="L225" s="14">
        <f>IF(ISNUMBER(SEARCH(Лист2!$B$5,I:I)),1,0)+K225</f>
        <v>0</v>
      </c>
      <c r="M225" s="3">
        <f ca="1">IF(AND(N225&lt;&gt;N224,ISNUMBER(SEARCH(Лист2!$B$6,N:N)),L225=2),MAX($M$3:OFFSET(M225,-1,0))+1,0)</f>
        <v>0</v>
      </c>
      <c r="N225" s="3" t="s">
        <v>639</v>
      </c>
    </row>
    <row r="226" spans="1:14" x14ac:dyDescent="0.25">
      <c r="A226" s="1" t="s">
        <v>10006</v>
      </c>
      <c r="B226" s="3" t="s">
        <v>3850</v>
      </c>
      <c r="C226" s="2">
        <f ca="1">IF(ISNUMBER(SEARCH(Лист2!$B$4,D:D)),MAX($C$3:OFFSET(C226,-1,0))+1,0)</f>
        <v>0</v>
      </c>
      <c r="E226" s="9" t="str">
        <f t="shared" ca="1" si="10"/>
        <v/>
      </c>
      <c r="F226" s="4" t="s">
        <v>3</v>
      </c>
      <c r="G226" s="2">
        <f>IF(ISNUMBER(SEARCH(Лист2!$B$4,F:F)),1,0)</f>
        <v>0</v>
      </c>
      <c r="H226" s="3">
        <f ca="1">IF(AND(I226&lt;&gt;I225,ISNUMBER(SEARCH(Лист2!$B$5,I:I)),G226=1),MAX($H$3:OFFSET(H226,-1,0))+1,0)</f>
        <v>0</v>
      </c>
      <c r="I226" s="3" t="s">
        <v>60</v>
      </c>
      <c r="J226" s="4" t="str">
        <f t="shared" ca="1" si="9"/>
        <v/>
      </c>
      <c r="K226" s="2">
        <f>IF(ISNUMBER(SEARCH(Лист2!$B$4,F:F)),1,0)</f>
        <v>0</v>
      </c>
      <c r="L226" s="14">
        <f>IF(ISNUMBER(SEARCH(Лист2!$B$5,I:I)),1,0)+K226</f>
        <v>0</v>
      </c>
      <c r="M226" s="3">
        <f ca="1">IF(AND(N226&lt;&gt;N225,ISNUMBER(SEARCH(Лист2!$B$6,N:N)),L226=2),MAX($M$3:OFFSET(M226,-1,0))+1,0)</f>
        <v>0</v>
      </c>
      <c r="N226" s="3" t="s">
        <v>640</v>
      </c>
    </row>
    <row r="227" spans="1:14" x14ac:dyDescent="0.25">
      <c r="A227" s="1" t="s">
        <v>10007</v>
      </c>
      <c r="B227" s="3" t="s">
        <v>3851</v>
      </c>
      <c r="C227" s="2">
        <f ca="1">IF(ISNUMBER(SEARCH(Лист2!$B$4,D:D)),MAX($C$3:OFFSET(C227,-1,0))+1,0)</f>
        <v>0</v>
      </c>
      <c r="E227" s="9" t="str">
        <f t="shared" ca="1" si="10"/>
        <v/>
      </c>
      <c r="F227" s="4" t="s">
        <v>3</v>
      </c>
      <c r="G227" s="2">
        <f>IF(ISNUMBER(SEARCH(Лист2!$B$4,F:F)),1,0)</f>
        <v>0</v>
      </c>
      <c r="H227" s="3">
        <f ca="1">IF(AND(I227&lt;&gt;I226,ISNUMBER(SEARCH(Лист2!$B$5,I:I)),G227=1),MAX($H$3:OFFSET(H227,-1,0))+1,0)</f>
        <v>0</v>
      </c>
      <c r="I227" s="3" t="s">
        <v>60</v>
      </c>
      <c r="J227" s="4" t="str">
        <f t="shared" ca="1" si="9"/>
        <v/>
      </c>
      <c r="K227" s="2">
        <f>IF(ISNUMBER(SEARCH(Лист2!$B$4,F:F)),1,0)</f>
        <v>0</v>
      </c>
      <c r="L227" s="14">
        <f>IF(ISNUMBER(SEARCH(Лист2!$B$5,I:I)),1,0)+K227</f>
        <v>0</v>
      </c>
      <c r="M227" s="3">
        <f ca="1">IF(AND(N227&lt;&gt;N226,ISNUMBER(SEARCH(Лист2!$B$6,N:N)),L227=2),MAX($M$3:OFFSET(M227,-1,0))+1,0)</f>
        <v>0</v>
      </c>
      <c r="N227" s="3" t="s">
        <v>641</v>
      </c>
    </row>
    <row r="228" spans="1:14" x14ac:dyDescent="0.25">
      <c r="A228" s="1" t="s">
        <v>10008</v>
      </c>
      <c r="B228" s="3" t="s">
        <v>3852</v>
      </c>
      <c r="C228" s="2">
        <f ca="1">IF(ISNUMBER(SEARCH(Лист2!$B$4,D:D)),MAX($C$3:OFFSET(C228,-1,0))+1,0)</f>
        <v>0</v>
      </c>
      <c r="E228" s="9" t="str">
        <f t="shared" ca="1" si="10"/>
        <v/>
      </c>
      <c r="F228" s="4" t="s">
        <v>3</v>
      </c>
      <c r="G228" s="2">
        <f>IF(ISNUMBER(SEARCH(Лист2!$B$4,F:F)),1,0)</f>
        <v>0</v>
      </c>
      <c r="H228" s="3">
        <f ca="1">IF(AND(I228&lt;&gt;I227,ISNUMBER(SEARCH(Лист2!$B$5,I:I)),G228=1),MAX($H$3:OFFSET(H228,-1,0))+1,0)</f>
        <v>0</v>
      </c>
      <c r="I228" s="3" t="s">
        <v>60</v>
      </c>
      <c r="J228" s="4" t="str">
        <f t="shared" ca="1" si="9"/>
        <v/>
      </c>
      <c r="K228" s="2">
        <f>IF(ISNUMBER(SEARCH(Лист2!$B$4,F:F)),1,0)</f>
        <v>0</v>
      </c>
      <c r="L228" s="14">
        <f>IF(ISNUMBER(SEARCH(Лист2!$B$5,I:I)),1,0)+K228</f>
        <v>0</v>
      </c>
      <c r="M228" s="3">
        <f ca="1">IF(AND(N228&lt;&gt;N227,ISNUMBER(SEARCH(Лист2!$B$6,N:N)),L228=2),MAX($M$3:OFFSET(M228,-1,0))+1,0)</f>
        <v>0</v>
      </c>
      <c r="N228" s="3" t="s">
        <v>642</v>
      </c>
    </row>
    <row r="229" spans="1:14" x14ac:dyDescent="0.25">
      <c r="A229" s="1" t="s">
        <v>10009</v>
      </c>
      <c r="B229" s="3" t="s">
        <v>3853</v>
      </c>
      <c r="C229" s="2">
        <f ca="1">IF(ISNUMBER(SEARCH(Лист2!$B$4,D:D)),MAX($C$3:OFFSET(C229,-1,0))+1,0)</f>
        <v>0</v>
      </c>
      <c r="E229" s="9" t="str">
        <f t="shared" ca="1" si="10"/>
        <v/>
      </c>
      <c r="F229" s="4" t="s">
        <v>3</v>
      </c>
      <c r="G229" s="2">
        <f>IF(ISNUMBER(SEARCH(Лист2!$B$4,F:F)),1,0)</f>
        <v>0</v>
      </c>
      <c r="H229" s="3">
        <f ca="1">IF(AND(I229&lt;&gt;I228,ISNUMBER(SEARCH(Лист2!$B$5,I:I)),G229=1),MAX($H$3:OFFSET(H229,-1,0))+1,0)</f>
        <v>0</v>
      </c>
      <c r="I229" s="3" t="s">
        <v>60</v>
      </c>
      <c r="J229" s="4" t="str">
        <f t="shared" ca="1" si="9"/>
        <v/>
      </c>
      <c r="K229" s="2">
        <f>IF(ISNUMBER(SEARCH(Лист2!$B$4,F:F)),1,0)</f>
        <v>0</v>
      </c>
      <c r="L229" s="14">
        <f>IF(ISNUMBER(SEARCH(Лист2!$B$5,I:I)),1,0)+K229</f>
        <v>0</v>
      </c>
      <c r="M229" s="3">
        <f ca="1">IF(AND(N229&lt;&gt;N228,ISNUMBER(SEARCH(Лист2!$B$6,N:N)),L229=2),MAX($M$3:OFFSET(M229,-1,0))+1,0)</f>
        <v>0</v>
      </c>
      <c r="N229" s="3" t="s">
        <v>501</v>
      </c>
    </row>
    <row r="230" spans="1:14" x14ac:dyDescent="0.25">
      <c r="A230" s="1" t="s">
        <v>10010</v>
      </c>
      <c r="B230" s="3" t="s">
        <v>3854</v>
      </c>
      <c r="C230" s="2">
        <f ca="1">IF(ISNUMBER(SEARCH(Лист2!$B$4,D:D)),MAX($C$3:OFFSET(C230,-1,0))+1,0)</f>
        <v>0</v>
      </c>
      <c r="E230" s="9" t="str">
        <f t="shared" ca="1" si="10"/>
        <v/>
      </c>
      <c r="F230" s="4" t="s">
        <v>3</v>
      </c>
      <c r="G230" s="2">
        <f>IF(ISNUMBER(SEARCH(Лист2!$B$4,F:F)),1,0)</f>
        <v>0</v>
      </c>
      <c r="H230" s="3">
        <f ca="1">IF(AND(I230&lt;&gt;I229,ISNUMBER(SEARCH(Лист2!$B$5,I:I)),G230=1),MAX($H$3:OFFSET(H230,-1,0))+1,0)</f>
        <v>0</v>
      </c>
      <c r="I230" s="3" t="s">
        <v>60</v>
      </c>
      <c r="J230" s="4" t="str">
        <f t="shared" ca="1" si="9"/>
        <v/>
      </c>
      <c r="K230" s="2">
        <f>IF(ISNUMBER(SEARCH(Лист2!$B$4,F:F)),1,0)</f>
        <v>0</v>
      </c>
      <c r="L230" s="14">
        <f>IF(ISNUMBER(SEARCH(Лист2!$B$5,I:I)),1,0)+K230</f>
        <v>0</v>
      </c>
      <c r="M230" s="3">
        <f ca="1">IF(AND(N230&lt;&gt;N229,ISNUMBER(SEARCH(Лист2!$B$6,N:N)),L230=2),MAX($M$3:OFFSET(M230,-1,0))+1,0)</f>
        <v>0</v>
      </c>
      <c r="N230" s="3" t="s">
        <v>620</v>
      </c>
    </row>
    <row r="231" spans="1:14" x14ac:dyDescent="0.25">
      <c r="A231" s="1" t="s">
        <v>10011</v>
      </c>
      <c r="B231" s="3" t="s">
        <v>3855</v>
      </c>
      <c r="C231" s="2">
        <f ca="1">IF(ISNUMBER(SEARCH(Лист2!$B$4,D:D)),MAX($C$3:OFFSET(C231,-1,0))+1,0)</f>
        <v>0</v>
      </c>
      <c r="E231" s="9" t="str">
        <f t="shared" ca="1" si="10"/>
        <v/>
      </c>
      <c r="F231" s="4" t="s">
        <v>3</v>
      </c>
      <c r="G231" s="2">
        <f>IF(ISNUMBER(SEARCH(Лист2!$B$4,F:F)),1,0)</f>
        <v>0</v>
      </c>
      <c r="H231" s="3">
        <f ca="1">IF(AND(I231&lt;&gt;I230,ISNUMBER(SEARCH(Лист2!$B$5,I:I)),G231=1),MAX($H$3:OFFSET(H231,-1,0))+1,0)</f>
        <v>0</v>
      </c>
      <c r="I231" s="3" t="s">
        <v>60</v>
      </c>
      <c r="J231" s="4" t="str">
        <f t="shared" ca="1" si="9"/>
        <v/>
      </c>
      <c r="K231" s="2">
        <f>IF(ISNUMBER(SEARCH(Лист2!$B$4,F:F)),1,0)</f>
        <v>0</v>
      </c>
      <c r="L231" s="14">
        <f>IF(ISNUMBER(SEARCH(Лист2!$B$5,I:I)),1,0)+K231</f>
        <v>0</v>
      </c>
      <c r="M231" s="3">
        <f ca="1">IF(AND(N231&lt;&gt;N230,ISNUMBER(SEARCH(Лист2!$B$6,N:N)),L231=2),MAX($M$3:OFFSET(M231,-1,0))+1,0)</f>
        <v>0</v>
      </c>
      <c r="N231" s="3" t="s">
        <v>621</v>
      </c>
    </row>
    <row r="232" spans="1:14" x14ac:dyDescent="0.25">
      <c r="A232" s="1" t="s">
        <v>10012</v>
      </c>
      <c r="B232" s="3" t="s">
        <v>3856</v>
      </c>
      <c r="C232" s="2">
        <f ca="1">IF(ISNUMBER(SEARCH(Лист2!$B$4,D:D)),MAX($C$3:OFFSET(C232,-1,0))+1,0)</f>
        <v>0</v>
      </c>
      <c r="E232" s="9" t="str">
        <f t="shared" ca="1" si="10"/>
        <v/>
      </c>
      <c r="F232" s="4" t="s">
        <v>3</v>
      </c>
      <c r="G232" s="2">
        <f>IF(ISNUMBER(SEARCH(Лист2!$B$4,F:F)),1,0)</f>
        <v>0</v>
      </c>
      <c r="H232" s="3">
        <f ca="1">IF(AND(I232&lt;&gt;I231,ISNUMBER(SEARCH(Лист2!$B$5,I:I)),G232=1),MAX($H$3:OFFSET(H232,-1,0))+1,0)</f>
        <v>0</v>
      </c>
      <c r="I232" s="3" t="s">
        <v>61</v>
      </c>
      <c r="J232" s="4" t="str">
        <f t="shared" ca="1" si="9"/>
        <v/>
      </c>
      <c r="K232" s="2">
        <f>IF(ISNUMBER(SEARCH(Лист2!$B$4,F:F)),1,0)</f>
        <v>0</v>
      </c>
      <c r="L232" s="14">
        <f>IF(ISNUMBER(SEARCH(Лист2!$B$5,I:I)),1,0)+K232</f>
        <v>0</v>
      </c>
      <c r="M232" s="3">
        <f ca="1">IF(AND(N232&lt;&gt;N231,ISNUMBER(SEARCH(Лист2!$B$6,N:N)),L232=2),MAX($M$3:OFFSET(M232,-1,0))+1,0)</f>
        <v>0</v>
      </c>
      <c r="N232" s="3" t="s">
        <v>643</v>
      </c>
    </row>
    <row r="233" spans="1:14" x14ac:dyDescent="0.25">
      <c r="A233" s="1" t="s">
        <v>10013</v>
      </c>
      <c r="B233" s="3" t="s">
        <v>3857</v>
      </c>
      <c r="C233" s="2">
        <f ca="1">IF(ISNUMBER(SEARCH(Лист2!$B$4,D:D)),MAX($C$3:OFFSET(C233,-1,0))+1,0)</f>
        <v>0</v>
      </c>
      <c r="E233" s="9" t="str">
        <f t="shared" ca="1" si="10"/>
        <v/>
      </c>
      <c r="F233" s="4" t="s">
        <v>3</v>
      </c>
      <c r="G233" s="2">
        <f>IF(ISNUMBER(SEARCH(Лист2!$B$4,F:F)),1,0)</f>
        <v>0</v>
      </c>
      <c r="H233" s="3">
        <f ca="1">IF(AND(I233&lt;&gt;I232,ISNUMBER(SEARCH(Лист2!$B$5,I:I)),G233=1),MAX($H$3:OFFSET(H233,-1,0))+1,0)</f>
        <v>0</v>
      </c>
      <c r="I233" s="3" t="s">
        <v>61</v>
      </c>
      <c r="J233" s="4" t="str">
        <f t="shared" ca="1" si="9"/>
        <v/>
      </c>
      <c r="K233" s="2">
        <f>IF(ISNUMBER(SEARCH(Лист2!$B$4,F:F)),1,0)</f>
        <v>0</v>
      </c>
      <c r="L233" s="14">
        <f>IF(ISNUMBER(SEARCH(Лист2!$B$5,I:I)),1,0)+K233</f>
        <v>0</v>
      </c>
      <c r="M233" s="3">
        <f ca="1">IF(AND(N233&lt;&gt;N232,ISNUMBER(SEARCH(Лист2!$B$6,N:N)),L233=2),MAX($M$3:OFFSET(M233,-1,0))+1,0)</f>
        <v>0</v>
      </c>
      <c r="N233" s="3" t="s">
        <v>644</v>
      </c>
    </row>
    <row r="234" spans="1:14" x14ac:dyDescent="0.25">
      <c r="A234" s="1" t="s">
        <v>10014</v>
      </c>
      <c r="B234" s="3" t="s">
        <v>3858</v>
      </c>
      <c r="C234" s="2">
        <f ca="1">IF(ISNUMBER(SEARCH(Лист2!$B$4,D:D)),MAX($C$3:OFFSET(C234,-1,0))+1,0)</f>
        <v>0</v>
      </c>
      <c r="E234" s="9" t="str">
        <f t="shared" ca="1" si="10"/>
        <v/>
      </c>
      <c r="F234" s="4" t="s">
        <v>3</v>
      </c>
      <c r="G234" s="2">
        <f>IF(ISNUMBER(SEARCH(Лист2!$B$4,F:F)),1,0)</f>
        <v>0</v>
      </c>
      <c r="H234" s="3">
        <f ca="1">IF(AND(I234&lt;&gt;I233,ISNUMBER(SEARCH(Лист2!$B$5,I:I)),G234=1),MAX($H$3:OFFSET(H234,-1,0))+1,0)</f>
        <v>0</v>
      </c>
      <c r="I234" s="3" t="s">
        <v>61</v>
      </c>
      <c r="J234" s="4" t="str">
        <f t="shared" ca="1" si="9"/>
        <v/>
      </c>
      <c r="K234" s="2">
        <f>IF(ISNUMBER(SEARCH(Лист2!$B$4,F:F)),1,0)</f>
        <v>0</v>
      </c>
      <c r="L234" s="14">
        <f>IF(ISNUMBER(SEARCH(Лист2!$B$5,I:I)),1,0)+K234</f>
        <v>0</v>
      </c>
      <c r="M234" s="3">
        <f ca="1">IF(AND(N234&lt;&gt;N233,ISNUMBER(SEARCH(Лист2!$B$6,N:N)),L234=2),MAX($M$3:OFFSET(M234,-1,0))+1,0)</f>
        <v>0</v>
      </c>
      <c r="N234" s="3" t="s">
        <v>645</v>
      </c>
    </row>
    <row r="235" spans="1:14" x14ac:dyDescent="0.25">
      <c r="A235" s="1" t="s">
        <v>10015</v>
      </c>
      <c r="B235" s="3" t="s">
        <v>3859</v>
      </c>
      <c r="C235" s="2">
        <f ca="1">IF(ISNUMBER(SEARCH(Лист2!$B$4,D:D)),MAX($C$3:OFFSET(C235,-1,0))+1,0)</f>
        <v>0</v>
      </c>
      <c r="E235" s="9" t="str">
        <f t="shared" ca="1" si="10"/>
        <v/>
      </c>
      <c r="F235" s="4" t="s">
        <v>3</v>
      </c>
      <c r="G235" s="2">
        <f>IF(ISNUMBER(SEARCH(Лист2!$B$4,F:F)),1,0)</f>
        <v>0</v>
      </c>
      <c r="H235" s="3">
        <f ca="1">IF(AND(I235&lt;&gt;I234,ISNUMBER(SEARCH(Лист2!$B$5,I:I)),G235=1),MAX($H$3:OFFSET(H235,-1,0))+1,0)</f>
        <v>0</v>
      </c>
      <c r="I235" s="3" t="s">
        <v>61</v>
      </c>
      <c r="J235" s="4" t="str">
        <f t="shared" ca="1" si="9"/>
        <v/>
      </c>
      <c r="K235" s="2">
        <f>IF(ISNUMBER(SEARCH(Лист2!$B$4,F:F)),1,0)</f>
        <v>0</v>
      </c>
      <c r="L235" s="14">
        <f>IF(ISNUMBER(SEARCH(Лист2!$B$5,I:I)),1,0)+K235</f>
        <v>0</v>
      </c>
      <c r="M235" s="3">
        <f ca="1">IF(AND(N235&lt;&gt;N234,ISNUMBER(SEARCH(Лист2!$B$6,N:N)),L235=2),MAX($M$3:OFFSET(M235,-1,0))+1,0)</f>
        <v>0</v>
      </c>
      <c r="N235" s="3" t="s">
        <v>646</v>
      </c>
    </row>
    <row r="236" spans="1:14" x14ac:dyDescent="0.25">
      <c r="A236" s="1" t="s">
        <v>10016</v>
      </c>
      <c r="B236" s="3" t="s">
        <v>3860</v>
      </c>
      <c r="C236" s="2">
        <f ca="1">IF(ISNUMBER(SEARCH(Лист2!$B$4,D:D)),MAX($C$3:OFFSET(C236,-1,0))+1,0)</f>
        <v>0</v>
      </c>
      <c r="E236" s="9" t="str">
        <f t="shared" ca="1" si="10"/>
        <v/>
      </c>
      <c r="F236" s="4" t="s">
        <v>3</v>
      </c>
      <c r="G236" s="2">
        <f>IF(ISNUMBER(SEARCH(Лист2!$B$4,F:F)),1,0)</f>
        <v>0</v>
      </c>
      <c r="H236" s="3">
        <f ca="1">IF(AND(I236&lt;&gt;I235,ISNUMBER(SEARCH(Лист2!$B$5,I:I)),G236=1),MAX($H$3:OFFSET(H236,-1,0))+1,0)</f>
        <v>0</v>
      </c>
      <c r="I236" s="3" t="s">
        <v>61</v>
      </c>
      <c r="J236" s="4" t="str">
        <f t="shared" ca="1" si="9"/>
        <v/>
      </c>
      <c r="K236" s="2">
        <f>IF(ISNUMBER(SEARCH(Лист2!$B$4,F:F)),1,0)</f>
        <v>0</v>
      </c>
      <c r="L236" s="14">
        <f>IF(ISNUMBER(SEARCH(Лист2!$B$5,I:I)),1,0)+K236</f>
        <v>0</v>
      </c>
      <c r="M236" s="3">
        <f ca="1">IF(AND(N236&lt;&gt;N235,ISNUMBER(SEARCH(Лист2!$B$6,N:N)),L236=2),MAX($M$3:OFFSET(M236,-1,0))+1,0)</f>
        <v>0</v>
      </c>
      <c r="N236" s="3" t="s">
        <v>647</v>
      </c>
    </row>
    <row r="237" spans="1:14" x14ac:dyDescent="0.25">
      <c r="A237" s="1" t="s">
        <v>10017</v>
      </c>
      <c r="B237" s="3" t="s">
        <v>3861</v>
      </c>
      <c r="C237" s="2">
        <f ca="1">IF(ISNUMBER(SEARCH(Лист2!$B$4,D:D)),MAX($C$3:OFFSET(C237,-1,0))+1,0)</f>
        <v>0</v>
      </c>
      <c r="E237" s="9" t="str">
        <f t="shared" ca="1" si="10"/>
        <v/>
      </c>
      <c r="F237" s="4" t="s">
        <v>3</v>
      </c>
      <c r="G237" s="2">
        <f>IF(ISNUMBER(SEARCH(Лист2!$B$4,F:F)),1,0)</f>
        <v>0</v>
      </c>
      <c r="H237" s="3">
        <f ca="1">IF(AND(I237&lt;&gt;I236,ISNUMBER(SEARCH(Лист2!$B$5,I:I)),G237=1),MAX($H$3:OFFSET(H237,-1,0))+1,0)</f>
        <v>0</v>
      </c>
      <c r="I237" s="3" t="s">
        <v>61</v>
      </c>
      <c r="J237" s="4" t="str">
        <f t="shared" ca="1" si="9"/>
        <v/>
      </c>
      <c r="K237" s="2">
        <f>IF(ISNUMBER(SEARCH(Лист2!$B$4,F:F)),1,0)</f>
        <v>0</v>
      </c>
      <c r="L237" s="14">
        <f>IF(ISNUMBER(SEARCH(Лист2!$B$5,I:I)),1,0)+K237</f>
        <v>0</v>
      </c>
      <c r="M237" s="3">
        <f ca="1">IF(AND(N237&lt;&gt;N236,ISNUMBER(SEARCH(Лист2!$B$6,N:N)),L237=2),MAX($M$3:OFFSET(M237,-1,0))+1,0)</f>
        <v>0</v>
      </c>
      <c r="N237" s="3" t="s">
        <v>648</v>
      </c>
    </row>
    <row r="238" spans="1:14" x14ac:dyDescent="0.25">
      <c r="A238" s="1" t="s">
        <v>10018</v>
      </c>
      <c r="B238" s="3" t="s">
        <v>3862</v>
      </c>
      <c r="C238" s="2">
        <f ca="1">IF(ISNUMBER(SEARCH(Лист2!$B$4,D:D)),MAX($C$3:OFFSET(C238,-1,0))+1,0)</f>
        <v>0</v>
      </c>
      <c r="E238" s="9" t="str">
        <f t="shared" ca="1" si="10"/>
        <v/>
      </c>
      <c r="F238" s="4" t="s">
        <v>3</v>
      </c>
      <c r="G238" s="2">
        <f>IF(ISNUMBER(SEARCH(Лист2!$B$4,F:F)),1,0)</f>
        <v>0</v>
      </c>
      <c r="H238" s="3">
        <f ca="1">IF(AND(I238&lt;&gt;I237,ISNUMBER(SEARCH(Лист2!$B$5,I:I)),G238=1),MAX($H$3:OFFSET(H238,-1,0))+1,0)</f>
        <v>0</v>
      </c>
      <c r="I238" s="3" t="s">
        <v>61</v>
      </c>
      <c r="J238" s="4" t="str">
        <f t="shared" ca="1" si="9"/>
        <v/>
      </c>
      <c r="K238" s="2">
        <f>IF(ISNUMBER(SEARCH(Лист2!$B$4,F:F)),1,0)</f>
        <v>0</v>
      </c>
      <c r="L238" s="14">
        <f>IF(ISNUMBER(SEARCH(Лист2!$B$5,I:I)),1,0)+K238</f>
        <v>0</v>
      </c>
      <c r="M238" s="3">
        <f ca="1">IF(AND(N238&lt;&gt;N237,ISNUMBER(SEARCH(Лист2!$B$6,N:N)),L238=2),MAX($M$3:OFFSET(M238,-1,0))+1,0)</f>
        <v>0</v>
      </c>
      <c r="N238" s="3" t="s">
        <v>649</v>
      </c>
    </row>
    <row r="239" spans="1:14" x14ac:dyDescent="0.25">
      <c r="A239" s="1" t="s">
        <v>10019</v>
      </c>
      <c r="B239" s="3" t="s">
        <v>3863</v>
      </c>
      <c r="C239" s="2">
        <f ca="1">IF(ISNUMBER(SEARCH(Лист2!$B$4,D:D)),MAX($C$3:OFFSET(C239,-1,0))+1,0)</f>
        <v>0</v>
      </c>
      <c r="E239" s="9" t="str">
        <f t="shared" ca="1" si="10"/>
        <v/>
      </c>
      <c r="F239" s="4" t="s">
        <v>3</v>
      </c>
      <c r="G239" s="2">
        <f>IF(ISNUMBER(SEARCH(Лист2!$B$4,F:F)),1,0)</f>
        <v>0</v>
      </c>
      <c r="H239" s="3">
        <f ca="1">IF(AND(I239&lt;&gt;I238,ISNUMBER(SEARCH(Лист2!$B$5,I:I)),G239=1),MAX($H$3:OFFSET(H239,-1,0))+1,0)</f>
        <v>0</v>
      </c>
      <c r="I239" s="3" t="s">
        <v>61</v>
      </c>
      <c r="J239" s="4" t="str">
        <f t="shared" ca="1" si="9"/>
        <v/>
      </c>
      <c r="K239" s="2">
        <f>IF(ISNUMBER(SEARCH(Лист2!$B$4,F:F)),1,0)</f>
        <v>0</v>
      </c>
      <c r="L239" s="14">
        <f>IF(ISNUMBER(SEARCH(Лист2!$B$5,I:I)),1,0)+K239</f>
        <v>0</v>
      </c>
      <c r="M239" s="3">
        <f ca="1">IF(AND(N239&lt;&gt;N238,ISNUMBER(SEARCH(Лист2!$B$6,N:N)),L239=2),MAX($M$3:OFFSET(M239,-1,0))+1,0)</f>
        <v>0</v>
      </c>
      <c r="N239" s="3" t="s">
        <v>650</v>
      </c>
    </row>
    <row r="240" spans="1:14" x14ac:dyDescent="0.25">
      <c r="A240" s="1" t="s">
        <v>10020</v>
      </c>
      <c r="B240" s="3" t="s">
        <v>3864</v>
      </c>
      <c r="C240" s="2">
        <f ca="1">IF(ISNUMBER(SEARCH(Лист2!$B$4,D:D)),MAX($C$3:OFFSET(C240,-1,0))+1,0)</f>
        <v>0</v>
      </c>
      <c r="E240" s="9" t="str">
        <f t="shared" ca="1" si="10"/>
        <v/>
      </c>
      <c r="F240" s="4" t="s">
        <v>3</v>
      </c>
      <c r="G240" s="2">
        <f>IF(ISNUMBER(SEARCH(Лист2!$B$4,F:F)),1,0)</f>
        <v>0</v>
      </c>
      <c r="H240" s="3">
        <f ca="1">IF(AND(I240&lt;&gt;I239,ISNUMBER(SEARCH(Лист2!$B$5,I:I)),G240=1),MAX($H$3:OFFSET(H240,-1,0))+1,0)</f>
        <v>0</v>
      </c>
      <c r="I240" s="3" t="s">
        <v>61</v>
      </c>
      <c r="J240" s="4" t="str">
        <f t="shared" ca="1" si="9"/>
        <v/>
      </c>
      <c r="K240" s="2">
        <f>IF(ISNUMBER(SEARCH(Лист2!$B$4,F:F)),1,0)</f>
        <v>0</v>
      </c>
      <c r="L240" s="14">
        <f>IF(ISNUMBER(SEARCH(Лист2!$B$5,I:I)),1,0)+K240</f>
        <v>0</v>
      </c>
      <c r="M240" s="3">
        <f ca="1">IF(AND(N240&lt;&gt;N239,ISNUMBER(SEARCH(Лист2!$B$6,N:N)),L240=2),MAX($M$3:OFFSET(M240,-1,0))+1,0)</f>
        <v>0</v>
      </c>
      <c r="N240" s="3" t="s">
        <v>501</v>
      </c>
    </row>
    <row r="241" spans="1:14" x14ac:dyDescent="0.25">
      <c r="A241" s="1" t="s">
        <v>10021</v>
      </c>
      <c r="B241" s="3" t="s">
        <v>3865</v>
      </c>
      <c r="C241" s="2">
        <f ca="1">IF(ISNUMBER(SEARCH(Лист2!$B$4,D:D)),MAX($C$3:OFFSET(C241,-1,0))+1,0)</f>
        <v>0</v>
      </c>
      <c r="E241" s="9" t="str">
        <f t="shared" ca="1" si="10"/>
        <v/>
      </c>
      <c r="F241" s="4" t="s">
        <v>3</v>
      </c>
      <c r="G241" s="2">
        <f>IF(ISNUMBER(SEARCH(Лист2!$B$4,F:F)),1,0)</f>
        <v>0</v>
      </c>
      <c r="H241" s="3">
        <f ca="1">IF(AND(I241&lt;&gt;I240,ISNUMBER(SEARCH(Лист2!$B$5,I:I)),G241=1),MAX($H$3:OFFSET(H241,-1,0))+1,0)</f>
        <v>0</v>
      </c>
      <c r="I241" s="3" t="s">
        <v>62</v>
      </c>
      <c r="J241" s="4" t="str">
        <f t="shared" ca="1" si="9"/>
        <v/>
      </c>
      <c r="K241" s="2">
        <f>IF(ISNUMBER(SEARCH(Лист2!$B$4,F:F)),1,0)</f>
        <v>0</v>
      </c>
      <c r="L241" s="14">
        <f>IF(ISNUMBER(SEARCH(Лист2!$B$5,I:I)),1,0)+K241</f>
        <v>0</v>
      </c>
      <c r="M241" s="3">
        <f ca="1">IF(AND(N241&lt;&gt;N240,ISNUMBER(SEARCH(Лист2!$B$6,N:N)),L241=2),MAX($M$3:OFFSET(M241,-1,0))+1,0)</f>
        <v>0</v>
      </c>
      <c r="N241" s="3" t="s">
        <v>651</v>
      </c>
    </row>
    <row r="242" spans="1:14" x14ac:dyDescent="0.25">
      <c r="A242" s="1" t="s">
        <v>10022</v>
      </c>
      <c r="B242" s="3" t="s">
        <v>3866</v>
      </c>
      <c r="C242" s="2">
        <f ca="1">IF(ISNUMBER(SEARCH(Лист2!$B$4,D:D)),MAX($C$3:OFFSET(C242,-1,0))+1,0)</f>
        <v>0</v>
      </c>
      <c r="E242" s="9" t="str">
        <f t="shared" ca="1" si="10"/>
        <v/>
      </c>
      <c r="F242" s="4" t="s">
        <v>3</v>
      </c>
      <c r="G242" s="2">
        <f>IF(ISNUMBER(SEARCH(Лист2!$B$4,F:F)),1,0)</f>
        <v>0</v>
      </c>
      <c r="H242" s="3">
        <f ca="1">IF(AND(I242&lt;&gt;I241,ISNUMBER(SEARCH(Лист2!$B$5,I:I)),G242=1),MAX($H$3:OFFSET(H242,-1,0))+1,0)</f>
        <v>0</v>
      </c>
      <c r="I242" s="3" t="s">
        <v>62</v>
      </c>
      <c r="J242" s="4" t="str">
        <f t="shared" ca="1" si="9"/>
        <v/>
      </c>
      <c r="K242" s="2">
        <f>IF(ISNUMBER(SEARCH(Лист2!$B$4,F:F)),1,0)</f>
        <v>0</v>
      </c>
      <c r="L242" s="14">
        <f>IF(ISNUMBER(SEARCH(Лист2!$B$5,I:I)),1,0)+K242</f>
        <v>0</v>
      </c>
      <c r="M242" s="3">
        <f ca="1">IF(AND(N242&lt;&gt;N241,ISNUMBER(SEARCH(Лист2!$B$6,N:N)),L242=2),MAX($M$3:OFFSET(M242,-1,0))+1,0)</f>
        <v>0</v>
      </c>
      <c r="N242" s="3" t="s">
        <v>652</v>
      </c>
    </row>
    <row r="243" spans="1:14" x14ac:dyDescent="0.25">
      <c r="A243" s="1" t="s">
        <v>10023</v>
      </c>
      <c r="B243" s="3" t="s">
        <v>3867</v>
      </c>
      <c r="C243" s="2">
        <f ca="1">IF(ISNUMBER(SEARCH(Лист2!$B$4,D:D)),MAX($C$3:OFFSET(C243,-1,0))+1,0)</f>
        <v>0</v>
      </c>
      <c r="E243" s="9" t="str">
        <f t="shared" ca="1" si="10"/>
        <v/>
      </c>
      <c r="F243" s="4" t="s">
        <v>3</v>
      </c>
      <c r="G243" s="2">
        <f>IF(ISNUMBER(SEARCH(Лист2!$B$4,F:F)),1,0)</f>
        <v>0</v>
      </c>
      <c r="H243" s="3">
        <f ca="1">IF(AND(I243&lt;&gt;I242,ISNUMBER(SEARCH(Лист2!$B$5,I:I)),G243=1),MAX($H$3:OFFSET(H243,-1,0))+1,0)</f>
        <v>0</v>
      </c>
      <c r="I243" s="3" t="s">
        <v>62</v>
      </c>
      <c r="J243" s="4" t="str">
        <f t="shared" ca="1" si="9"/>
        <v/>
      </c>
      <c r="K243" s="2">
        <f>IF(ISNUMBER(SEARCH(Лист2!$B$4,F:F)),1,0)</f>
        <v>0</v>
      </c>
      <c r="L243" s="14">
        <f>IF(ISNUMBER(SEARCH(Лист2!$B$5,I:I)),1,0)+K243</f>
        <v>0</v>
      </c>
      <c r="M243" s="3">
        <f ca="1">IF(AND(N243&lt;&gt;N242,ISNUMBER(SEARCH(Лист2!$B$6,N:N)),L243=2),MAX($M$3:OFFSET(M243,-1,0))+1,0)</f>
        <v>0</v>
      </c>
      <c r="N243" s="3" t="s">
        <v>653</v>
      </c>
    </row>
    <row r="244" spans="1:14" x14ac:dyDescent="0.25">
      <c r="A244" s="1" t="s">
        <v>10024</v>
      </c>
      <c r="B244" s="3" t="s">
        <v>3868</v>
      </c>
      <c r="C244" s="2">
        <f ca="1">IF(ISNUMBER(SEARCH(Лист2!$B$4,D:D)),MAX($C$3:OFFSET(C244,-1,0))+1,0)</f>
        <v>0</v>
      </c>
      <c r="E244" s="9" t="str">
        <f t="shared" ca="1" si="10"/>
        <v/>
      </c>
      <c r="F244" s="4" t="s">
        <v>3</v>
      </c>
      <c r="G244" s="2">
        <f>IF(ISNUMBER(SEARCH(Лист2!$B$4,F:F)),1,0)</f>
        <v>0</v>
      </c>
      <c r="H244" s="3">
        <f ca="1">IF(AND(I244&lt;&gt;I243,ISNUMBER(SEARCH(Лист2!$B$5,I:I)),G244=1),MAX($H$3:OFFSET(H244,-1,0))+1,0)</f>
        <v>0</v>
      </c>
      <c r="I244" s="3" t="s">
        <v>62</v>
      </c>
      <c r="J244" s="4" t="str">
        <f t="shared" ca="1" si="9"/>
        <v/>
      </c>
      <c r="K244" s="2">
        <f>IF(ISNUMBER(SEARCH(Лист2!$B$4,F:F)),1,0)</f>
        <v>0</v>
      </c>
      <c r="L244" s="14">
        <f>IF(ISNUMBER(SEARCH(Лист2!$B$5,I:I)),1,0)+K244</f>
        <v>0</v>
      </c>
      <c r="M244" s="3">
        <f ca="1">IF(AND(N244&lt;&gt;N243,ISNUMBER(SEARCH(Лист2!$B$6,N:N)),L244=2),MAX($M$3:OFFSET(M244,-1,0))+1,0)</f>
        <v>0</v>
      </c>
      <c r="N244" s="3" t="s">
        <v>654</v>
      </c>
    </row>
    <row r="245" spans="1:14" x14ac:dyDescent="0.25">
      <c r="A245" s="1" t="s">
        <v>10025</v>
      </c>
      <c r="B245" s="3" t="s">
        <v>3869</v>
      </c>
      <c r="C245" s="2">
        <f ca="1">IF(ISNUMBER(SEARCH(Лист2!$B$4,D:D)),MAX($C$3:OFFSET(C245,-1,0))+1,0)</f>
        <v>0</v>
      </c>
      <c r="E245" s="9" t="str">
        <f t="shared" ca="1" si="10"/>
        <v/>
      </c>
      <c r="F245" s="4" t="s">
        <v>3</v>
      </c>
      <c r="G245" s="2">
        <f>IF(ISNUMBER(SEARCH(Лист2!$B$4,F:F)),1,0)</f>
        <v>0</v>
      </c>
      <c r="H245" s="3">
        <f ca="1">IF(AND(I245&lt;&gt;I244,ISNUMBER(SEARCH(Лист2!$B$5,I:I)),G245=1),MAX($H$3:OFFSET(H245,-1,0))+1,0)</f>
        <v>0</v>
      </c>
      <c r="I245" s="3" t="s">
        <v>62</v>
      </c>
      <c r="J245" s="4" t="str">
        <f t="shared" ca="1" si="9"/>
        <v/>
      </c>
      <c r="K245" s="2">
        <f>IF(ISNUMBER(SEARCH(Лист2!$B$4,F:F)),1,0)</f>
        <v>0</v>
      </c>
      <c r="L245" s="14">
        <f>IF(ISNUMBER(SEARCH(Лист2!$B$5,I:I)),1,0)+K245</f>
        <v>0</v>
      </c>
      <c r="M245" s="3">
        <f ca="1">IF(AND(N245&lt;&gt;N244,ISNUMBER(SEARCH(Лист2!$B$6,N:N)),L245=2),MAX($M$3:OFFSET(M245,-1,0))+1,0)</f>
        <v>0</v>
      </c>
      <c r="N245" s="3" t="s">
        <v>655</v>
      </c>
    </row>
    <row r="246" spans="1:14" x14ac:dyDescent="0.25">
      <c r="A246" s="1" t="s">
        <v>10026</v>
      </c>
      <c r="B246" s="3" t="s">
        <v>3870</v>
      </c>
      <c r="C246" s="2">
        <f ca="1">IF(ISNUMBER(SEARCH(Лист2!$B$4,D:D)),MAX($C$3:OFFSET(C246,-1,0))+1,0)</f>
        <v>0</v>
      </c>
      <c r="E246" s="9" t="str">
        <f t="shared" ca="1" si="10"/>
        <v/>
      </c>
      <c r="F246" s="4" t="s">
        <v>3</v>
      </c>
      <c r="G246" s="2">
        <f>IF(ISNUMBER(SEARCH(Лист2!$B$4,F:F)),1,0)</f>
        <v>0</v>
      </c>
      <c r="H246" s="3">
        <f ca="1">IF(AND(I246&lt;&gt;I245,ISNUMBER(SEARCH(Лист2!$B$5,I:I)),G246=1),MAX($H$3:OFFSET(H246,-1,0))+1,0)</f>
        <v>0</v>
      </c>
      <c r="I246" s="3" t="s">
        <v>62</v>
      </c>
      <c r="J246" s="4" t="str">
        <f t="shared" ca="1" si="9"/>
        <v/>
      </c>
      <c r="K246" s="2">
        <f>IF(ISNUMBER(SEARCH(Лист2!$B$4,F:F)),1,0)</f>
        <v>0</v>
      </c>
      <c r="L246" s="14">
        <f>IF(ISNUMBER(SEARCH(Лист2!$B$5,I:I)),1,0)+K246</f>
        <v>0</v>
      </c>
      <c r="M246" s="3">
        <f ca="1">IF(AND(N246&lt;&gt;N245,ISNUMBER(SEARCH(Лист2!$B$6,N:N)),L246=2),MAX($M$3:OFFSET(M246,-1,0))+1,0)</f>
        <v>0</v>
      </c>
      <c r="N246" s="3" t="s">
        <v>656</v>
      </c>
    </row>
    <row r="247" spans="1:14" x14ac:dyDescent="0.25">
      <c r="A247" s="1" t="s">
        <v>10027</v>
      </c>
      <c r="B247" s="3" t="s">
        <v>3871</v>
      </c>
      <c r="C247" s="2">
        <f ca="1">IF(ISNUMBER(SEARCH(Лист2!$B$4,D:D)),MAX($C$3:OFFSET(C247,-1,0))+1,0)</f>
        <v>0</v>
      </c>
      <c r="E247" s="9" t="str">
        <f t="shared" ca="1" si="10"/>
        <v/>
      </c>
      <c r="F247" s="4" t="s">
        <v>3</v>
      </c>
      <c r="G247" s="2">
        <f>IF(ISNUMBER(SEARCH(Лист2!$B$4,F:F)),1,0)</f>
        <v>0</v>
      </c>
      <c r="H247" s="3">
        <f ca="1">IF(AND(I247&lt;&gt;I246,ISNUMBER(SEARCH(Лист2!$B$5,I:I)),G247=1),MAX($H$3:OFFSET(H247,-1,0))+1,0)</f>
        <v>0</v>
      </c>
      <c r="I247" s="3" t="s">
        <v>62</v>
      </c>
      <c r="J247" s="4" t="str">
        <f t="shared" ca="1" si="9"/>
        <v/>
      </c>
      <c r="K247" s="2">
        <f>IF(ISNUMBER(SEARCH(Лист2!$B$4,F:F)),1,0)</f>
        <v>0</v>
      </c>
      <c r="L247" s="14">
        <f>IF(ISNUMBER(SEARCH(Лист2!$B$5,I:I)),1,0)+K247</f>
        <v>0</v>
      </c>
      <c r="M247" s="3">
        <f ca="1">IF(AND(N247&lt;&gt;N246,ISNUMBER(SEARCH(Лист2!$B$6,N:N)),L247=2),MAX($M$3:OFFSET(M247,-1,0))+1,0)</f>
        <v>0</v>
      </c>
      <c r="N247" s="3" t="s">
        <v>657</v>
      </c>
    </row>
    <row r="248" spans="1:14" x14ac:dyDescent="0.25">
      <c r="A248" s="1" t="s">
        <v>10028</v>
      </c>
      <c r="B248" s="3" t="s">
        <v>3872</v>
      </c>
      <c r="C248" s="2">
        <f ca="1">IF(ISNUMBER(SEARCH(Лист2!$B$4,D:D)),MAX($C$3:OFFSET(C248,-1,0))+1,0)</f>
        <v>0</v>
      </c>
      <c r="E248" s="9" t="str">
        <f t="shared" ca="1" si="10"/>
        <v/>
      </c>
      <c r="F248" s="4" t="s">
        <v>3</v>
      </c>
      <c r="G248" s="2">
        <f>IF(ISNUMBER(SEARCH(Лист2!$B$4,F:F)),1,0)</f>
        <v>0</v>
      </c>
      <c r="H248" s="3">
        <f ca="1">IF(AND(I248&lt;&gt;I247,ISNUMBER(SEARCH(Лист2!$B$5,I:I)),G248=1),MAX($H$3:OFFSET(H248,-1,0))+1,0)</f>
        <v>0</v>
      </c>
      <c r="I248" s="3" t="s">
        <v>62</v>
      </c>
      <c r="J248" s="4" t="str">
        <f t="shared" ca="1" si="9"/>
        <v/>
      </c>
      <c r="K248" s="2">
        <f>IF(ISNUMBER(SEARCH(Лист2!$B$4,F:F)),1,0)</f>
        <v>0</v>
      </c>
      <c r="L248" s="14">
        <f>IF(ISNUMBER(SEARCH(Лист2!$B$5,I:I)),1,0)+K248</f>
        <v>0</v>
      </c>
      <c r="M248" s="3">
        <f ca="1">IF(AND(N248&lt;&gt;N247,ISNUMBER(SEARCH(Лист2!$B$6,N:N)),L248=2),MAX($M$3:OFFSET(M248,-1,0))+1,0)</f>
        <v>0</v>
      </c>
      <c r="N248" s="3" t="s">
        <v>501</v>
      </c>
    </row>
    <row r="249" spans="1:14" x14ac:dyDescent="0.25">
      <c r="A249" s="1" t="s">
        <v>10029</v>
      </c>
      <c r="B249" s="3" t="s">
        <v>3873</v>
      </c>
      <c r="C249" s="2">
        <f ca="1">IF(ISNUMBER(SEARCH(Лист2!$B$4,D:D)),MAX($C$3:OFFSET(C249,-1,0))+1,0)</f>
        <v>0</v>
      </c>
      <c r="E249" s="9" t="str">
        <f t="shared" ca="1" si="10"/>
        <v/>
      </c>
      <c r="F249" s="4" t="s">
        <v>3</v>
      </c>
      <c r="G249" s="2">
        <f>IF(ISNUMBER(SEARCH(Лист2!$B$4,F:F)),1,0)</f>
        <v>0</v>
      </c>
      <c r="H249" s="3">
        <f ca="1">IF(AND(I249&lt;&gt;I248,ISNUMBER(SEARCH(Лист2!$B$5,I:I)),G249=1),MAX($H$3:OFFSET(H249,-1,0))+1,0)</f>
        <v>0</v>
      </c>
      <c r="I249" s="3" t="s">
        <v>63</v>
      </c>
      <c r="J249" s="4" t="str">
        <f t="shared" ca="1" si="9"/>
        <v/>
      </c>
      <c r="K249" s="2">
        <f>IF(ISNUMBER(SEARCH(Лист2!$B$4,F:F)),1,0)</f>
        <v>0</v>
      </c>
      <c r="L249" s="14">
        <f>IF(ISNUMBER(SEARCH(Лист2!$B$5,I:I)),1,0)+K249</f>
        <v>0</v>
      </c>
      <c r="M249" s="3">
        <f ca="1">IF(AND(N249&lt;&gt;N248,ISNUMBER(SEARCH(Лист2!$B$6,N:N)),L249=2),MAX($M$3:OFFSET(M249,-1,0))+1,0)</f>
        <v>0</v>
      </c>
      <c r="N249" s="3" t="s">
        <v>658</v>
      </c>
    </row>
    <row r="250" spans="1:14" x14ac:dyDescent="0.25">
      <c r="A250" s="1" t="s">
        <v>10030</v>
      </c>
      <c r="B250" s="3" t="s">
        <v>3874</v>
      </c>
      <c r="C250" s="2">
        <f ca="1">IF(ISNUMBER(SEARCH(Лист2!$B$4,D:D)),MAX($C$3:OFFSET(C250,-1,0))+1,0)</f>
        <v>0</v>
      </c>
      <c r="E250" s="9" t="str">
        <f t="shared" ca="1" si="10"/>
        <v/>
      </c>
      <c r="F250" s="4" t="s">
        <v>3</v>
      </c>
      <c r="G250" s="2">
        <f>IF(ISNUMBER(SEARCH(Лист2!$B$4,F:F)),1,0)</f>
        <v>0</v>
      </c>
      <c r="H250" s="3">
        <f ca="1">IF(AND(I250&lt;&gt;I249,ISNUMBER(SEARCH(Лист2!$B$5,I:I)),G250=1),MAX($H$3:OFFSET(H250,-1,0))+1,0)</f>
        <v>0</v>
      </c>
      <c r="I250" s="3" t="s">
        <v>63</v>
      </c>
      <c r="J250" s="4" t="str">
        <f t="shared" ca="1" si="9"/>
        <v/>
      </c>
      <c r="K250" s="2">
        <f>IF(ISNUMBER(SEARCH(Лист2!$B$4,F:F)),1,0)</f>
        <v>0</v>
      </c>
      <c r="L250" s="14">
        <f>IF(ISNUMBER(SEARCH(Лист2!$B$5,I:I)),1,0)+K250</f>
        <v>0</v>
      </c>
      <c r="M250" s="3">
        <f ca="1">IF(AND(N250&lt;&gt;N249,ISNUMBER(SEARCH(Лист2!$B$6,N:N)),L250=2),MAX($M$3:OFFSET(M250,-1,0))+1,0)</f>
        <v>0</v>
      </c>
      <c r="N250" s="3" t="s">
        <v>659</v>
      </c>
    </row>
    <row r="251" spans="1:14" x14ac:dyDescent="0.25">
      <c r="A251" s="1" t="s">
        <v>10031</v>
      </c>
      <c r="B251" s="3" t="s">
        <v>3875</v>
      </c>
      <c r="C251" s="2">
        <f ca="1">IF(ISNUMBER(SEARCH(Лист2!$B$4,D:D)),MAX($C$3:OFFSET(C251,-1,0))+1,0)</f>
        <v>0</v>
      </c>
      <c r="E251" s="9" t="str">
        <f t="shared" ca="1" si="10"/>
        <v/>
      </c>
      <c r="F251" s="4" t="s">
        <v>3</v>
      </c>
      <c r="G251" s="2">
        <f>IF(ISNUMBER(SEARCH(Лист2!$B$4,F:F)),1,0)</f>
        <v>0</v>
      </c>
      <c r="H251" s="3">
        <f ca="1">IF(AND(I251&lt;&gt;I250,ISNUMBER(SEARCH(Лист2!$B$5,I:I)),G251=1),MAX($H$3:OFFSET(H251,-1,0))+1,0)</f>
        <v>0</v>
      </c>
      <c r="I251" s="3" t="s">
        <v>63</v>
      </c>
      <c r="J251" s="4" t="str">
        <f t="shared" ca="1" si="9"/>
        <v/>
      </c>
      <c r="K251" s="2">
        <f>IF(ISNUMBER(SEARCH(Лист2!$B$4,F:F)),1,0)</f>
        <v>0</v>
      </c>
      <c r="L251" s="14">
        <f>IF(ISNUMBER(SEARCH(Лист2!$B$5,I:I)),1,0)+K251</f>
        <v>0</v>
      </c>
      <c r="M251" s="3">
        <f ca="1">IF(AND(N251&lt;&gt;N250,ISNUMBER(SEARCH(Лист2!$B$6,N:N)),L251=2),MAX($M$3:OFFSET(M251,-1,0))+1,0)</f>
        <v>0</v>
      </c>
      <c r="N251" s="3" t="s">
        <v>660</v>
      </c>
    </row>
    <row r="252" spans="1:14" x14ac:dyDescent="0.25">
      <c r="A252" s="1" t="s">
        <v>10032</v>
      </c>
      <c r="B252" s="3" t="s">
        <v>3876</v>
      </c>
      <c r="C252" s="2">
        <f ca="1">IF(ISNUMBER(SEARCH(Лист2!$B$4,D:D)),MAX($C$3:OFFSET(C252,-1,0))+1,0)</f>
        <v>0</v>
      </c>
      <c r="E252" s="9" t="str">
        <f t="shared" ca="1" si="10"/>
        <v/>
      </c>
      <c r="F252" s="4" t="s">
        <v>3</v>
      </c>
      <c r="G252" s="2">
        <f>IF(ISNUMBER(SEARCH(Лист2!$B$4,F:F)),1,0)</f>
        <v>0</v>
      </c>
      <c r="H252" s="3">
        <f ca="1">IF(AND(I252&lt;&gt;I251,ISNUMBER(SEARCH(Лист2!$B$5,I:I)),G252=1),MAX($H$3:OFFSET(H252,-1,0))+1,0)</f>
        <v>0</v>
      </c>
      <c r="I252" s="3" t="s">
        <v>63</v>
      </c>
      <c r="J252" s="4" t="str">
        <f t="shared" ca="1" si="9"/>
        <v/>
      </c>
      <c r="K252" s="2">
        <f>IF(ISNUMBER(SEARCH(Лист2!$B$4,F:F)),1,0)</f>
        <v>0</v>
      </c>
      <c r="L252" s="14">
        <f>IF(ISNUMBER(SEARCH(Лист2!$B$5,I:I)),1,0)+K252</f>
        <v>0</v>
      </c>
      <c r="M252" s="3">
        <f ca="1">IF(AND(N252&lt;&gt;N251,ISNUMBER(SEARCH(Лист2!$B$6,N:N)),L252=2),MAX($M$3:OFFSET(M252,-1,0))+1,0)</f>
        <v>0</v>
      </c>
      <c r="N252" s="3" t="s">
        <v>661</v>
      </c>
    </row>
    <row r="253" spans="1:14" x14ac:dyDescent="0.25">
      <c r="A253" s="1" t="s">
        <v>10033</v>
      </c>
      <c r="B253" s="3" t="s">
        <v>3877</v>
      </c>
      <c r="C253" s="2">
        <f ca="1">IF(ISNUMBER(SEARCH(Лист2!$B$4,D:D)),MAX($C$3:OFFSET(C253,-1,0))+1,0)</f>
        <v>0</v>
      </c>
      <c r="E253" s="9" t="str">
        <f t="shared" ca="1" si="10"/>
        <v/>
      </c>
      <c r="F253" s="4" t="s">
        <v>3</v>
      </c>
      <c r="G253" s="2">
        <f>IF(ISNUMBER(SEARCH(Лист2!$B$4,F:F)),1,0)</f>
        <v>0</v>
      </c>
      <c r="H253" s="3">
        <f ca="1">IF(AND(I253&lt;&gt;I252,ISNUMBER(SEARCH(Лист2!$B$5,I:I)),G253=1),MAX($H$3:OFFSET(H253,-1,0))+1,0)</f>
        <v>0</v>
      </c>
      <c r="I253" s="3" t="s">
        <v>63</v>
      </c>
      <c r="J253" s="4" t="str">
        <f t="shared" ca="1" si="9"/>
        <v/>
      </c>
      <c r="K253" s="2">
        <f>IF(ISNUMBER(SEARCH(Лист2!$B$4,F:F)),1,0)</f>
        <v>0</v>
      </c>
      <c r="L253" s="14">
        <f>IF(ISNUMBER(SEARCH(Лист2!$B$5,I:I)),1,0)+K253</f>
        <v>0</v>
      </c>
      <c r="M253" s="3">
        <f ca="1">IF(AND(N253&lt;&gt;N252,ISNUMBER(SEARCH(Лист2!$B$6,N:N)),L253=2),MAX($M$3:OFFSET(M253,-1,0))+1,0)</f>
        <v>0</v>
      </c>
      <c r="N253" s="3" t="s">
        <v>662</v>
      </c>
    </row>
    <row r="254" spans="1:14" x14ac:dyDescent="0.25">
      <c r="A254" s="1" t="s">
        <v>10034</v>
      </c>
      <c r="B254" s="3" t="s">
        <v>3878</v>
      </c>
      <c r="C254" s="2">
        <f ca="1">IF(ISNUMBER(SEARCH(Лист2!$B$4,D:D)),MAX($C$3:OFFSET(C254,-1,0))+1,0)</f>
        <v>0</v>
      </c>
      <c r="E254" s="9" t="str">
        <f t="shared" ca="1" si="10"/>
        <v/>
      </c>
      <c r="F254" s="4" t="s">
        <v>3</v>
      </c>
      <c r="G254" s="2">
        <f>IF(ISNUMBER(SEARCH(Лист2!$B$4,F:F)),1,0)</f>
        <v>0</v>
      </c>
      <c r="H254" s="3">
        <f ca="1">IF(AND(I254&lt;&gt;I253,ISNUMBER(SEARCH(Лист2!$B$5,I:I)),G254=1),MAX($H$3:OFFSET(H254,-1,0))+1,0)</f>
        <v>0</v>
      </c>
      <c r="I254" s="3" t="s">
        <v>63</v>
      </c>
      <c r="J254" s="4" t="str">
        <f t="shared" ca="1" si="9"/>
        <v/>
      </c>
      <c r="K254" s="2">
        <f>IF(ISNUMBER(SEARCH(Лист2!$B$4,F:F)),1,0)</f>
        <v>0</v>
      </c>
      <c r="L254" s="14">
        <f>IF(ISNUMBER(SEARCH(Лист2!$B$5,I:I)),1,0)+K254</f>
        <v>0</v>
      </c>
      <c r="M254" s="3">
        <f ca="1">IF(AND(N254&lt;&gt;N253,ISNUMBER(SEARCH(Лист2!$B$6,N:N)),L254=2),MAX($M$3:OFFSET(M254,-1,0))+1,0)</f>
        <v>0</v>
      </c>
      <c r="N254" s="3" t="s">
        <v>663</v>
      </c>
    </row>
    <row r="255" spans="1:14" x14ac:dyDescent="0.25">
      <c r="A255" s="1" t="s">
        <v>10035</v>
      </c>
      <c r="B255" s="3" t="s">
        <v>3879</v>
      </c>
      <c r="C255" s="2">
        <f ca="1">IF(ISNUMBER(SEARCH(Лист2!$B$4,D:D)),MAX($C$3:OFFSET(C255,-1,0))+1,0)</f>
        <v>0</v>
      </c>
      <c r="E255" s="9" t="str">
        <f t="shared" ca="1" si="10"/>
        <v/>
      </c>
      <c r="F255" s="4" t="s">
        <v>3</v>
      </c>
      <c r="G255" s="2">
        <f>IF(ISNUMBER(SEARCH(Лист2!$B$4,F:F)),1,0)</f>
        <v>0</v>
      </c>
      <c r="H255" s="3">
        <f ca="1">IF(AND(I255&lt;&gt;I254,ISNUMBER(SEARCH(Лист2!$B$5,I:I)),G255=1),MAX($H$3:OFFSET(H255,-1,0))+1,0)</f>
        <v>0</v>
      </c>
      <c r="I255" s="3" t="s">
        <v>63</v>
      </c>
      <c r="J255" s="4" t="str">
        <f t="shared" ca="1" si="9"/>
        <v/>
      </c>
      <c r="K255" s="2">
        <f>IF(ISNUMBER(SEARCH(Лист2!$B$4,F:F)),1,0)</f>
        <v>0</v>
      </c>
      <c r="L255" s="14">
        <f>IF(ISNUMBER(SEARCH(Лист2!$B$5,I:I)),1,0)+K255</f>
        <v>0</v>
      </c>
      <c r="M255" s="3">
        <f ca="1">IF(AND(N255&lt;&gt;N254,ISNUMBER(SEARCH(Лист2!$B$6,N:N)),L255=2),MAX($M$3:OFFSET(M255,-1,0))+1,0)</f>
        <v>0</v>
      </c>
      <c r="N255" s="3" t="s">
        <v>664</v>
      </c>
    </row>
    <row r="256" spans="1:14" x14ac:dyDescent="0.25">
      <c r="A256" s="1" t="s">
        <v>10036</v>
      </c>
      <c r="B256" s="3" t="s">
        <v>3880</v>
      </c>
      <c r="C256" s="2">
        <f ca="1">IF(ISNUMBER(SEARCH(Лист2!$B$4,D:D)),MAX($C$3:OFFSET(C256,-1,0))+1,0)</f>
        <v>0</v>
      </c>
      <c r="E256" s="9" t="str">
        <f t="shared" ca="1" si="10"/>
        <v/>
      </c>
      <c r="F256" s="4" t="s">
        <v>3</v>
      </c>
      <c r="G256" s="2">
        <f>IF(ISNUMBER(SEARCH(Лист2!$B$4,F:F)),1,0)</f>
        <v>0</v>
      </c>
      <c r="H256" s="3">
        <f ca="1">IF(AND(I256&lt;&gt;I255,ISNUMBER(SEARCH(Лист2!$B$5,I:I)),G256=1),MAX($H$3:OFFSET(H256,-1,0))+1,0)</f>
        <v>0</v>
      </c>
      <c r="I256" s="3" t="s">
        <v>63</v>
      </c>
      <c r="J256" s="4" t="str">
        <f t="shared" ca="1" si="9"/>
        <v/>
      </c>
      <c r="K256" s="2">
        <f>IF(ISNUMBER(SEARCH(Лист2!$B$4,F:F)),1,0)</f>
        <v>0</v>
      </c>
      <c r="L256" s="14">
        <f>IF(ISNUMBER(SEARCH(Лист2!$B$5,I:I)),1,0)+K256</f>
        <v>0</v>
      </c>
      <c r="M256" s="3">
        <f ca="1">IF(AND(N256&lt;&gt;N255,ISNUMBER(SEARCH(Лист2!$B$6,N:N)),L256=2),MAX($M$3:OFFSET(M256,-1,0))+1,0)</f>
        <v>0</v>
      </c>
      <c r="N256" s="3" t="s">
        <v>665</v>
      </c>
    </row>
    <row r="257" spans="1:14" x14ac:dyDescent="0.25">
      <c r="A257" s="1" t="s">
        <v>10037</v>
      </c>
      <c r="B257" s="3" t="s">
        <v>3881</v>
      </c>
      <c r="C257" s="2">
        <f ca="1">IF(ISNUMBER(SEARCH(Лист2!$B$4,D:D)),MAX($C$3:OFFSET(C257,-1,0))+1,0)</f>
        <v>0</v>
      </c>
      <c r="E257" s="9" t="str">
        <f t="shared" ca="1" si="10"/>
        <v/>
      </c>
      <c r="F257" s="4" t="s">
        <v>3</v>
      </c>
      <c r="G257" s="2">
        <f>IF(ISNUMBER(SEARCH(Лист2!$B$4,F:F)),1,0)</f>
        <v>0</v>
      </c>
      <c r="H257" s="3">
        <f ca="1">IF(AND(I257&lt;&gt;I256,ISNUMBER(SEARCH(Лист2!$B$5,I:I)),G257=1),MAX($H$3:OFFSET(H257,-1,0))+1,0)</f>
        <v>0</v>
      </c>
      <c r="I257" s="3" t="s">
        <v>64</v>
      </c>
      <c r="J257" s="4" t="str">
        <f t="shared" ca="1" si="9"/>
        <v/>
      </c>
      <c r="K257" s="2">
        <f>IF(ISNUMBER(SEARCH(Лист2!$B$4,F:F)),1,0)</f>
        <v>0</v>
      </c>
      <c r="L257" s="14">
        <f>IF(ISNUMBER(SEARCH(Лист2!$B$5,I:I)),1,0)+K257</f>
        <v>0</v>
      </c>
      <c r="M257" s="3">
        <f ca="1">IF(AND(N257&lt;&gt;N256,ISNUMBER(SEARCH(Лист2!$B$6,N:N)),L257=2),MAX($M$3:OFFSET(M257,-1,0))+1,0)</f>
        <v>0</v>
      </c>
      <c r="N257" s="3" t="s">
        <v>666</v>
      </c>
    </row>
    <row r="258" spans="1:14" x14ac:dyDescent="0.25">
      <c r="A258" s="1" t="s">
        <v>10038</v>
      </c>
      <c r="B258" s="3" t="s">
        <v>3882</v>
      </c>
      <c r="C258" s="2">
        <f ca="1">IF(ISNUMBER(SEARCH(Лист2!$B$4,D:D)),MAX($C$3:OFFSET(C258,-1,0))+1,0)</f>
        <v>0</v>
      </c>
      <c r="E258" s="9" t="str">
        <f t="shared" ca="1" si="10"/>
        <v/>
      </c>
      <c r="F258" s="4" t="s">
        <v>3</v>
      </c>
      <c r="G258" s="2">
        <f>IF(ISNUMBER(SEARCH(Лист2!$B$4,F:F)),1,0)</f>
        <v>0</v>
      </c>
      <c r="H258" s="3">
        <f ca="1">IF(AND(I258&lt;&gt;I257,ISNUMBER(SEARCH(Лист2!$B$5,I:I)),G258=1),MAX($H$3:OFFSET(H258,-1,0))+1,0)</f>
        <v>0</v>
      </c>
      <c r="I258" s="3" t="s">
        <v>64</v>
      </c>
      <c r="J258" s="4" t="str">
        <f t="shared" ca="1" si="9"/>
        <v/>
      </c>
      <c r="K258" s="2">
        <f>IF(ISNUMBER(SEARCH(Лист2!$B$4,F:F)),1,0)</f>
        <v>0</v>
      </c>
      <c r="L258" s="14">
        <f>IF(ISNUMBER(SEARCH(Лист2!$B$5,I:I)),1,0)+K258</f>
        <v>0</v>
      </c>
      <c r="M258" s="3">
        <f ca="1">IF(AND(N258&lt;&gt;N257,ISNUMBER(SEARCH(Лист2!$B$6,N:N)),L258=2),MAX($M$3:OFFSET(M258,-1,0))+1,0)</f>
        <v>0</v>
      </c>
      <c r="N258" s="3" t="s">
        <v>667</v>
      </c>
    </row>
    <row r="259" spans="1:14" x14ac:dyDescent="0.25">
      <c r="A259" s="1" t="s">
        <v>10039</v>
      </c>
      <c r="B259" s="3" t="s">
        <v>3883</v>
      </c>
      <c r="C259" s="2">
        <f ca="1">IF(ISNUMBER(SEARCH(Лист2!$B$4,D:D)),MAX($C$3:OFFSET(C259,-1,0))+1,0)</f>
        <v>0</v>
      </c>
      <c r="E259" s="9" t="str">
        <f t="shared" ca="1" si="10"/>
        <v/>
      </c>
      <c r="F259" s="4" t="s">
        <v>3</v>
      </c>
      <c r="G259" s="2">
        <f>IF(ISNUMBER(SEARCH(Лист2!$B$4,F:F)),1,0)</f>
        <v>0</v>
      </c>
      <c r="H259" s="3">
        <f ca="1">IF(AND(I259&lt;&gt;I258,ISNUMBER(SEARCH(Лист2!$B$5,I:I)),G259=1),MAX($H$3:OFFSET(H259,-1,0))+1,0)</f>
        <v>0</v>
      </c>
      <c r="I259" s="3" t="s">
        <v>64</v>
      </c>
      <c r="J259" s="4" t="str">
        <f t="shared" ca="1" si="9"/>
        <v/>
      </c>
      <c r="K259" s="2">
        <f>IF(ISNUMBER(SEARCH(Лист2!$B$4,F:F)),1,0)</f>
        <v>0</v>
      </c>
      <c r="L259" s="14">
        <f>IF(ISNUMBER(SEARCH(Лист2!$B$5,I:I)),1,0)+K259</f>
        <v>0</v>
      </c>
      <c r="M259" s="3">
        <f ca="1">IF(AND(N259&lt;&gt;N258,ISNUMBER(SEARCH(Лист2!$B$6,N:N)),L259=2),MAX($M$3:OFFSET(M259,-1,0))+1,0)</f>
        <v>0</v>
      </c>
      <c r="N259" s="3" t="s">
        <v>668</v>
      </c>
    </row>
    <row r="260" spans="1:14" x14ac:dyDescent="0.25">
      <c r="A260" s="1" t="s">
        <v>10039</v>
      </c>
      <c r="B260" s="3" t="s">
        <v>3884</v>
      </c>
      <c r="C260" s="2">
        <f ca="1">IF(ISNUMBER(SEARCH(Лист2!$B$4,D:D)),MAX($C$3:OFFSET(C260,-1,0))+1,0)</f>
        <v>0</v>
      </c>
      <c r="E260" s="9" t="str">
        <f t="shared" ca="1" si="10"/>
        <v/>
      </c>
      <c r="F260" s="4" t="s">
        <v>3</v>
      </c>
      <c r="G260" s="2">
        <f>IF(ISNUMBER(SEARCH(Лист2!$B$4,F:F)),1,0)</f>
        <v>0</v>
      </c>
      <c r="H260" s="3">
        <f ca="1">IF(AND(I260&lt;&gt;I259,ISNUMBER(SEARCH(Лист2!$B$5,I:I)),G260=1),MAX($H$3:OFFSET(H260,-1,0))+1,0)</f>
        <v>0</v>
      </c>
      <c r="I260" s="3" t="s">
        <v>64</v>
      </c>
      <c r="J260" s="4" t="str">
        <f t="shared" ref="J260:J323" ca="1" si="11">IFERROR(INDEX(I:I,MATCH(ROW(J260)-ROW($E$3),H:H,0)),"")</f>
        <v/>
      </c>
      <c r="K260" s="2">
        <f>IF(ISNUMBER(SEARCH(Лист2!$B$4,F:F)),1,0)</f>
        <v>0</v>
      </c>
      <c r="L260" s="14">
        <f>IF(ISNUMBER(SEARCH(Лист2!$B$5,I:I)),1,0)+K260</f>
        <v>0</v>
      </c>
      <c r="M260" s="3">
        <f ca="1">IF(AND(N260&lt;&gt;N259,ISNUMBER(SEARCH(Лист2!$B$6,N:N)),L260=2),MAX($M$3:OFFSET(M260,-1,0))+1,0)</f>
        <v>0</v>
      </c>
      <c r="N260" s="3" t="s">
        <v>668</v>
      </c>
    </row>
    <row r="261" spans="1:14" x14ac:dyDescent="0.25">
      <c r="A261" s="1" t="s">
        <v>10039</v>
      </c>
      <c r="B261" s="3" t="s">
        <v>3885</v>
      </c>
      <c r="C261" s="2">
        <f ca="1">IF(ISNUMBER(SEARCH(Лист2!$B$4,D:D)),MAX($C$3:OFFSET(C261,-1,0))+1,0)</f>
        <v>0</v>
      </c>
      <c r="E261" s="9" t="str">
        <f t="shared" ref="E261:E324" ca="1" si="12">IFERROR(INDEX(D:D,MATCH(ROW(E261)-ROW($E$3),C:C,0)),"")</f>
        <v/>
      </c>
      <c r="F261" s="4" t="s">
        <v>3</v>
      </c>
      <c r="G261" s="2">
        <f>IF(ISNUMBER(SEARCH(Лист2!$B$4,F:F)),1,0)</f>
        <v>0</v>
      </c>
      <c r="H261" s="3">
        <f ca="1">IF(AND(I261&lt;&gt;I260,ISNUMBER(SEARCH(Лист2!$B$5,I:I)),G261=1),MAX($H$3:OFFSET(H261,-1,0))+1,0)</f>
        <v>0</v>
      </c>
      <c r="I261" s="3" t="s">
        <v>64</v>
      </c>
      <c r="J261" s="4" t="str">
        <f t="shared" ca="1" si="11"/>
        <v/>
      </c>
      <c r="K261" s="2">
        <f>IF(ISNUMBER(SEARCH(Лист2!$B$4,F:F)),1,0)</f>
        <v>0</v>
      </c>
      <c r="L261" s="14">
        <f>IF(ISNUMBER(SEARCH(Лист2!$B$5,I:I)),1,0)+K261</f>
        <v>0</v>
      </c>
      <c r="M261" s="3">
        <f ca="1">IF(AND(N261&lt;&gt;N260,ISNUMBER(SEARCH(Лист2!$B$6,N:N)),L261=2),MAX($M$3:OFFSET(M261,-1,0))+1,0)</f>
        <v>0</v>
      </c>
      <c r="N261" s="3" t="s">
        <v>668</v>
      </c>
    </row>
    <row r="262" spans="1:14" x14ac:dyDescent="0.25">
      <c r="A262" s="1" t="s">
        <v>10040</v>
      </c>
      <c r="B262" s="3" t="s">
        <v>3886</v>
      </c>
      <c r="C262" s="2">
        <f ca="1">IF(ISNUMBER(SEARCH(Лист2!$B$4,D:D)),MAX($C$3:OFFSET(C262,-1,0))+1,0)</f>
        <v>0</v>
      </c>
      <c r="E262" s="9" t="str">
        <f t="shared" ca="1" si="12"/>
        <v/>
      </c>
      <c r="F262" s="4" t="s">
        <v>3</v>
      </c>
      <c r="G262" s="2">
        <f>IF(ISNUMBER(SEARCH(Лист2!$B$4,F:F)),1,0)</f>
        <v>0</v>
      </c>
      <c r="H262" s="3">
        <f ca="1">IF(AND(I262&lt;&gt;I261,ISNUMBER(SEARCH(Лист2!$B$5,I:I)),G262=1),MAX($H$3:OFFSET(H262,-1,0))+1,0)</f>
        <v>0</v>
      </c>
      <c r="I262" s="3" t="s">
        <v>64</v>
      </c>
      <c r="J262" s="4" t="str">
        <f t="shared" ca="1" si="11"/>
        <v/>
      </c>
      <c r="K262" s="2">
        <f>IF(ISNUMBER(SEARCH(Лист2!$B$4,F:F)),1,0)</f>
        <v>0</v>
      </c>
      <c r="L262" s="14">
        <f>IF(ISNUMBER(SEARCH(Лист2!$B$5,I:I)),1,0)+K262</f>
        <v>0</v>
      </c>
      <c r="M262" s="3">
        <f ca="1">IF(AND(N262&lt;&gt;N261,ISNUMBER(SEARCH(Лист2!$B$6,N:N)),L262=2),MAX($M$3:OFFSET(M262,-1,0))+1,0)</f>
        <v>0</v>
      </c>
      <c r="N262" s="3" t="s">
        <v>669</v>
      </c>
    </row>
    <row r="263" spans="1:14" x14ac:dyDescent="0.25">
      <c r="A263" s="1" t="s">
        <v>10041</v>
      </c>
      <c r="B263" s="3" t="s">
        <v>3887</v>
      </c>
      <c r="C263" s="2">
        <f ca="1">IF(ISNUMBER(SEARCH(Лист2!$B$4,D:D)),MAX($C$3:OFFSET(C263,-1,0))+1,0)</f>
        <v>0</v>
      </c>
      <c r="E263" s="9" t="str">
        <f t="shared" ca="1" si="12"/>
        <v/>
      </c>
      <c r="F263" s="4" t="s">
        <v>3</v>
      </c>
      <c r="G263" s="2">
        <f>IF(ISNUMBER(SEARCH(Лист2!$B$4,F:F)),1,0)</f>
        <v>0</v>
      </c>
      <c r="H263" s="3">
        <f ca="1">IF(AND(I263&lt;&gt;I262,ISNUMBER(SEARCH(Лист2!$B$5,I:I)),G263=1),MAX($H$3:OFFSET(H263,-1,0))+1,0)</f>
        <v>0</v>
      </c>
      <c r="I263" s="3" t="s">
        <v>64</v>
      </c>
      <c r="J263" s="4" t="str">
        <f t="shared" ca="1" si="11"/>
        <v/>
      </c>
      <c r="K263" s="2">
        <f>IF(ISNUMBER(SEARCH(Лист2!$B$4,F:F)),1,0)</f>
        <v>0</v>
      </c>
      <c r="L263" s="14">
        <f>IF(ISNUMBER(SEARCH(Лист2!$B$5,I:I)),1,0)+K263</f>
        <v>0</v>
      </c>
      <c r="M263" s="3">
        <f ca="1">IF(AND(N263&lt;&gt;N262,ISNUMBER(SEARCH(Лист2!$B$6,N:N)),L263=2),MAX($M$3:OFFSET(M263,-1,0))+1,0)</f>
        <v>0</v>
      </c>
      <c r="N263" s="3" t="s">
        <v>670</v>
      </c>
    </row>
    <row r="264" spans="1:14" x14ac:dyDescent="0.25">
      <c r="A264" s="1" t="s">
        <v>10042</v>
      </c>
      <c r="B264" s="3" t="s">
        <v>3888</v>
      </c>
      <c r="C264" s="2">
        <f ca="1">IF(ISNUMBER(SEARCH(Лист2!$B$4,D:D)),MAX($C$3:OFFSET(C264,-1,0))+1,0)</f>
        <v>0</v>
      </c>
      <c r="E264" s="9" t="str">
        <f t="shared" ca="1" si="12"/>
        <v/>
      </c>
      <c r="F264" s="4" t="s">
        <v>3</v>
      </c>
      <c r="G264" s="2">
        <f>IF(ISNUMBER(SEARCH(Лист2!$B$4,F:F)),1,0)</f>
        <v>0</v>
      </c>
      <c r="H264" s="3">
        <f ca="1">IF(AND(I264&lt;&gt;I263,ISNUMBER(SEARCH(Лист2!$B$5,I:I)),G264=1),MAX($H$3:OFFSET(H264,-1,0))+1,0)</f>
        <v>0</v>
      </c>
      <c r="I264" s="3" t="s">
        <v>64</v>
      </c>
      <c r="J264" s="4" t="str">
        <f t="shared" ca="1" si="11"/>
        <v/>
      </c>
      <c r="K264" s="2">
        <f>IF(ISNUMBER(SEARCH(Лист2!$B$4,F:F)),1,0)</f>
        <v>0</v>
      </c>
      <c r="L264" s="14">
        <f>IF(ISNUMBER(SEARCH(Лист2!$B$5,I:I)),1,0)+K264</f>
        <v>0</v>
      </c>
      <c r="M264" s="3">
        <f ca="1">IF(AND(N264&lt;&gt;N263,ISNUMBER(SEARCH(Лист2!$B$6,N:N)),L264=2),MAX($M$3:OFFSET(M264,-1,0))+1,0)</f>
        <v>0</v>
      </c>
      <c r="N264" s="3" t="s">
        <v>671</v>
      </c>
    </row>
    <row r="265" spans="1:14" x14ac:dyDescent="0.25">
      <c r="A265" s="1" t="s">
        <v>10043</v>
      </c>
      <c r="B265" s="3" t="s">
        <v>3889</v>
      </c>
      <c r="C265" s="2">
        <f ca="1">IF(ISNUMBER(SEARCH(Лист2!$B$4,D:D)),MAX($C$3:OFFSET(C265,-1,0))+1,0)</f>
        <v>0</v>
      </c>
      <c r="E265" s="9" t="str">
        <f t="shared" ca="1" si="12"/>
        <v/>
      </c>
      <c r="F265" s="4" t="s">
        <v>3</v>
      </c>
      <c r="G265" s="2">
        <f>IF(ISNUMBER(SEARCH(Лист2!$B$4,F:F)),1,0)</f>
        <v>0</v>
      </c>
      <c r="H265" s="3">
        <f ca="1">IF(AND(I265&lt;&gt;I264,ISNUMBER(SEARCH(Лист2!$B$5,I:I)),G265=1),MAX($H$3:OFFSET(H265,-1,0))+1,0)</f>
        <v>0</v>
      </c>
      <c r="I265" s="3" t="s">
        <v>64</v>
      </c>
      <c r="J265" s="4" t="str">
        <f t="shared" ca="1" si="11"/>
        <v/>
      </c>
      <c r="K265" s="2">
        <f>IF(ISNUMBER(SEARCH(Лист2!$B$4,F:F)),1,0)</f>
        <v>0</v>
      </c>
      <c r="L265" s="14">
        <f>IF(ISNUMBER(SEARCH(Лист2!$B$5,I:I)),1,0)+K265</f>
        <v>0</v>
      </c>
      <c r="M265" s="3">
        <f ca="1">IF(AND(N265&lt;&gt;N264,ISNUMBER(SEARCH(Лист2!$B$6,N:N)),L265=2),MAX($M$3:OFFSET(M265,-1,0))+1,0)</f>
        <v>0</v>
      </c>
      <c r="N265" s="3" t="s">
        <v>672</v>
      </c>
    </row>
    <row r="266" spans="1:14" x14ac:dyDescent="0.25">
      <c r="A266" s="1" t="s">
        <v>10044</v>
      </c>
      <c r="B266" s="3" t="s">
        <v>3890</v>
      </c>
      <c r="C266" s="2">
        <f ca="1">IF(ISNUMBER(SEARCH(Лист2!$B$4,D:D)),MAX($C$3:OFFSET(C266,-1,0))+1,0)</f>
        <v>0</v>
      </c>
      <c r="E266" s="9" t="str">
        <f t="shared" ca="1" si="12"/>
        <v/>
      </c>
      <c r="F266" s="4" t="s">
        <v>3</v>
      </c>
      <c r="G266" s="2">
        <f>IF(ISNUMBER(SEARCH(Лист2!$B$4,F:F)),1,0)</f>
        <v>0</v>
      </c>
      <c r="H266" s="3">
        <f ca="1">IF(AND(I266&lt;&gt;I265,ISNUMBER(SEARCH(Лист2!$B$5,I:I)),G266=1),MAX($H$3:OFFSET(H266,-1,0))+1,0)</f>
        <v>0</v>
      </c>
      <c r="I266" s="3" t="s">
        <v>64</v>
      </c>
      <c r="J266" s="4" t="str">
        <f t="shared" ca="1" si="11"/>
        <v/>
      </c>
      <c r="K266" s="2">
        <f>IF(ISNUMBER(SEARCH(Лист2!$B$4,F:F)),1,0)</f>
        <v>0</v>
      </c>
      <c r="L266" s="14">
        <f>IF(ISNUMBER(SEARCH(Лист2!$B$5,I:I)),1,0)+K266</f>
        <v>0</v>
      </c>
      <c r="M266" s="3">
        <f ca="1">IF(AND(N266&lt;&gt;N265,ISNUMBER(SEARCH(Лист2!$B$6,N:N)),L266=2),MAX($M$3:OFFSET(M266,-1,0))+1,0)</f>
        <v>0</v>
      </c>
      <c r="N266" s="3" t="s">
        <v>673</v>
      </c>
    </row>
    <row r="267" spans="1:14" x14ac:dyDescent="0.25">
      <c r="A267" s="1" t="s">
        <v>10045</v>
      </c>
      <c r="B267" s="3" t="s">
        <v>3891</v>
      </c>
      <c r="C267" s="2">
        <f ca="1">IF(ISNUMBER(SEARCH(Лист2!$B$4,D:D)),MAX($C$3:OFFSET(C267,-1,0))+1,0)</f>
        <v>0</v>
      </c>
      <c r="E267" s="9" t="str">
        <f t="shared" ca="1" si="12"/>
        <v/>
      </c>
      <c r="F267" s="4" t="s">
        <v>3</v>
      </c>
      <c r="G267" s="2">
        <f>IF(ISNUMBER(SEARCH(Лист2!$B$4,F:F)),1,0)</f>
        <v>0</v>
      </c>
      <c r="H267" s="3">
        <f ca="1">IF(AND(I267&lt;&gt;I266,ISNUMBER(SEARCH(Лист2!$B$5,I:I)),G267=1),MAX($H$3:OFFSET(H267,-1,0))+1,0)</f>
        <v>0</v>
      </c>
      <c r="I267" s="3" t="s">
        <v>64</v>
      </c>
      <c r="J267" s="4" t="str">
        <f t="shared" ca="1" si="11"/>
        <v/>
      </c>
      <c r="K267" s="2">
        <f>IF(ISNUMBER(SEARCH(Лист2!$B$4,F:F)),1,0)</f>
        <v>0</v>
      </c>
      <c r="L267" s="14">
        <f>IF(ISNUMBER(SEARCH(Лист2!$B$5,I:I)),1,0)+K267</f>
        <v>0</v>
      </c>
      <c r="M267" s="3">
        <f ca="1">IF(AND(N267&lt;&gt;N266,ISNUMBER(SEARCH(Лист2!$B$6,N:N)),L267=2),MAX($M$3:OFFSET(M267,-1,0))+1,0)</f>
        <v>0</v>
      </c>
      <c r="N267" s="3" t="s">
        <v>674</v>
      </c>
    </row>
    <row r="268" spans="1:14" x14ac:dyDescent="0.25">
      <c r="A268" s="1" t="s">
        <v>10046</v>
      </c>
      <c r="B268" s="3" t="s">
        <v>3892</v>
      </c>
      <c r="C268" s="2">
        <f ca="1">IF(ISNUMBER(SEARCH(Лист2!$B$4,D:D)),MAX($C$3:OFFSET(C268,-1,0))+1,0)</f>
        <v>0</v>
      </c>
      <c r="E268" s="9" t="str">
        <f t="shared" ca="1" si="12"/>
        <v/>
      </c>
      <c r="F268" s="4" t="s">
        <v>3</v>
      </c>
      <c r="G268" s="2">
        <f>IF(ISNUMBER(SEARCH(Лист2!$B$4,F:F)),1,0)</f>
        <v>0</v>
      </c>
      <c r="H268" s="3">
        <f ca="1">IF(AND(I268&lt;&gt;I267,ISNUMBER(SEARCH(Лист2!$B$5,I:I)),G268=1),MAX($H$3:OFFSET(H268,-1,0))+1,0)</f>
        <v>0</v>
      </c>
      <c r="I268" s="3" t="s">
        <v>64</v>
      </c>
      <c r="J268" s="4" t="str">
        <f t="shared" ca="1" si="11"/>
        <v/>
      </c>
      <c r="K268" s="2">
        <f>IF(ISNUMBER(SEARCH(Лист2!$B$4,F:F)),1,0)</f>
        <v>0</v>
      </c>
      <c r="L268" s="14">
        <f>IF(ISNUMBER(SEARCH(Лист2!$B$5,I:I)),1,0)+K268</f>
        <v>0</v>
      </c>
      <c r="M268" s="3">
        <f ca="1">IF(AND(N268&lt;&gt;N267,ISNUMBER(SEARCH(Лист2!$B$6,N:N)),L268=2),MAX($M$3:OFFSET(M268,-1,0))+1,0)</f>
        <v>0</v>
      </c>
      <c r="N268" s="3" t="s">
        <v>675</v>
      </c>
    </row>
    <row r="269" spans="1:14" x14ac:dyDescent="0.25">
      <c r="A269" s="1" t="s">
        <v>10047</v>
      </c>
      <c r="B269" s="3" t="s">
        <v>3893</v>
      </c>
      <c r="C269" s="2">
        <f ca="1">IF(ISNUMBER(SEARCH(Лист2!$B$4,D:D)),MAX($C$3:OFFSET(C269,-1,0))+1,0)</f>
        <v>0</v>
      </c>
      <c r="E269" s="9" t="str">
        <f t="shared" ca="1" si="12"/>
        <v/>
      </c>
      <c r="F269" s="4" t="s">
        <v>3</v>
      </c>
      <c r="G269" s="2">
        <f>IF(ISNUMBER(SEARCH(Лист2!$B$4,F:F)),1,0)</f>
        <v>0</v>
      </c>
      <c r="H269" s="3">
        <f ca="1">IF(AND(I269&lt;&gt;I268,ISNUMBER(SEARCH(Лист2!$B$5,I:I)),G269=1),MAX($H$3:OFFSET(H269,-1,0))+1,0)</f>
        <v>0</v>
      </c>
      <c r="I269" s="3" t="s">
        <v>64</v>
      </c>
      <c r="J269" s="4" t="str">
        <f t="shared" ca="1" si="11"/>
        <v/>
      </c>
      <c r="K269" s="2">
        <f>IF(ISNUMBER(SEARCH(Лист2!$B$4,F:F)),1,0)</f>
        <v>0</v>
      </c>
      <c r="L269" s="14">
        <f>IF(ISNUMBER(SEARCH(Лист2!$B$5,I:I)),1,0)+K269</f>
        <v>0</v>
      </c>
      <c r="M269" s="3">
        <f ca="1">IF(AND(N269&lt;&gt;N268,ISNUMBER(SEARCH(Лист2!$B$6,N:N)),L269=2),MAX($M$3:OFFSET(M269,-1,0))+1,0)</f>
        <v>0</v>
      </c>
      <c r="N269" s="3" t="s">
        <v>676</v>
      </c>
    </row>
    <row r="270" spans="1:14" x14ac:dyDescent="0.25">
      <c r="A270" s="1" t="s">
        <v>10048</v>
      </c>
      <c r="B270" s="3" t="s">
        <v>3894</v>
      </c>
      <c r="C270" s="2">
        <f ca="1">IF(ISNUMBER(SEARCH(Лист2!$B$4,D:D)),MAX($C$3:OFFSET(C270,-1,0))+1,0)</f>
        <v>0</v>
      </c>
      <c r="E270" s="9" t="str">
        <f t="shared" ca="1" si="12"/>
        <v/>
      </c>
      <c r="F270" s="4" t="s">
        <v>3</v>
      </c>
      <c r="G270" s="2">
        <f>IF(ISNUMBER(SEARCH(Лист2!$B$4,F:F)),1,0)</f>
        <v>0</v>
      </c>
      <c r="H270" s="3">
        <f ca="1">IF(AND(I270&lt;&gt;I269,ISNUMBER(SEARCH(Лист2!$B$5,I:I)),G270=1),MAX($H$3:OFFSET(H270,-1,0))+1,0)</f>
        <v>0</v>
      </c>
      <c r="I270" s="3" t="s">
        <v>64</v>
      </c>
      <c r="J270" s="4" t="str">
        <f t="shared" ca="1" si="11"/>
        <v/>
      </c>
      <c r="K270" s="2">
        <f>IF(ISNUMBER(SEARCH(Лист2!$B$4,F:F)),1,0)</f>
        <v>0</v>
      </c>
      <c r="L270" s="14">
        <f>IF(ISNUMBER(SEARCH(Лист2!$B$5,I:I)),1,0)+K270</f>
        <v>0</v>
      </c>
      <c r="M270" s="3">
        <f ca="1">IF(AND(N270&lt;&gt;N269,ISNUMBER(SEARCH(Лист2!$B$6,N:N)),L270=2),MAX($M$3:OFFSET(M270,-1,0))+1,0)</f>
        <v>0</v>
      </c>
      <c r="N270" s="3" t="s">
        <v>602</v>
      </c>
    </row>
    <row r="271" spans="1:14" x14ac:dyDescent="0.25">
      <c r="A271" s="1" t="s">
        <v>10049</v>
      </c>
      <c r="B271" s="3" t="s">
        <v>3895</v>
      </c>
      <c r="C271" s="2">
        <f ca="1">IF(ISNUMBER(SEARCH(Лист2!$B$4,D:D)),MAX($C$3:OFFSET(C271,-1,0))+1,0)</f>
        <v>0</v>
      </c>
      <c r="E271" s="9" t="str">
        <f t="shared" ca="1" si="12"/>
        <v/>
      </c>
      <c r="F271" s="4" t="s">
        <v>3</v>
      </c>
      <c r="G271" s="2">
        <f>IF(ISNUMBER(SEARCH(Лист2!$B$4,F:F)),1,0)</f>
        <v>0</v>
      </c>
      <c r="H271" s="3">
        <f ca="1">IF(AND(I271&lt;&gt;I270,ISNUMBER(SEARCH(Лист2!$B$5,I:I)),G271=1),MAX($H$3:OFFSET(H271,-1,0))+1,0)</f>
        <v>0</v>
      </c>
      <c r="I271" s="3" t="s">
        <v>64</v>
      </c>
      <c r="J271" s="4" t="str">
        <f t="shared" ca="1" si="11"/>
        <v/>
      </c>
      <c r="K271" s="2">
        <f>IF(ISNUMBER(SEARCH(Лист2!$B$4,F:F)),1,0)</f>
        <v>0</v>
      </c>
      <c r="L271" s="14">
        <f>IF(ISNUMBER(SEARCH(Лист2!$B$5,I:I)),1,0)+K271</f>
        <v>0</v>
      </c>
      <c r="M271" s="3">
        <f ca="1">IF(AND(N271&lt;&gt;N270,ISNUMBER(SEARCH(Лист2!$B$6,N:N)),L271=2),MAX($M$3:OFFSET(M271,-1,0))+1,0)</f>
        <v>0</v>
      </c>
      <c r="N271" s="3" t="s">
        <v>677</v>
      </c>
    </row>
    <row r="272" spans="1:14" x14ac:dyDescent="0.25">
      <c r="A272" s="1" t="s">
        <v>10050</v>
      </c>
      <c r="B272" s="3" t="s">
        <v>3896</v>
      </c>
      <c r="C272" s="2">
        <f ca="1">IF(ISNUMBER(SEARCH(Лист2!$B$4,D:D)),MAX($C$3:OFFSET(C272,-1,0))+1,0)</f>
        <v>0</v>
      </c>
      <c r="E272" s="9" t="str">
        <f t="shared" ca="1" si="12"/>
        <v/>
      </c>
      <c r="F272" s="4" t="s">
        <v>3</v>
      </c>
      <c r="G272" s="2">
        <f>IF(ISNUMBER(SEARCH(Лист2!$B$4,F:F)),1,0)</f>
        <v>0</v>
      </c>
      <c r="H272" s="3">
        <f ca="1">IF(AND(I272&lt;&gt;I271,ISNUMBER(SEARCH(Лист2!$B$5,I:I)),G272=1),MAX($H$3:OFFSET(H272,-1,0))+1,0)</f>
        <v>0</v>
      </c>
      <c r="I272" s="3" t="s">
        <v>64</v>
      </c>
      <c r="J272" s="4" t="str">
        <f t="shared" ca="1" si="11"/>
        <v/>
      </c>
      <c r="K272" s="2">
        <f>IF(ISNUMBER(SEARCH(Лист2!$B$4,F:F)),1,0)</f>
        <v>0</v>
      </c>
      <c r="L272" s="14">
        <f>IF(ISNUMBER(SEARCH(Лист2!$B$5,I:I)),1,0)+K272</f>
        <v>0</v>
      </c>
      <c r="M272" s="3">
        <f ca="1">IF(AND(N272&lt;&gt;N271,ISNUMBER(SEARCH(Лист2!$B$6,N:N)),L272=2),MAX($M$3:OFFSET(M272,-1,0))+1,0)</f>
        <v>0</v>
      </c>
      <c r="N272" s="3" t="s">
        <v>501</v>
      </c>
    </row>
    <row r="273" spans="1:14" x14ac:dyDescent="0.25">
      <c r="A273" s="1" t="s">
        <v>10051</v>
      </c>
      <c r="B273" s="3" t="s">
        <v>3897</v>
      </c>
      <c r="C273" s="2">
        <f ca="1">IF(ISNUMBER(SEARCH(Лист2!$B$4,D:D)),MAX($C$3:OFFSET(C273,-1,0))+1,0)</f>
        <v>0</v>
      </c>
      <c r="E273" s="9" t="str">
        <f t="shared" ca="1" si="12"/>
        <v/>
      </c>
      <c r="F273" s="4" t="s">
        <v>3</v>
      </c>
      <c r="G273" s="2">
        <f>IF(ISNUMBER(SEARCH(Лист2!$B$4,F:F)),1,0)</f>
        <v>0</v>
      </c>
      <c r="H273" s="3">
        <f ca="1">IF(AND(I273&lt;&gt;I272,ISNUMBER(SEARCH(Лист2!$B$5,I:I)),G273=1),MAX($H$3:OFFSET(H273,-1,0))+1,0)</f>
        <v>0</v>
      </c>
      <c r="I273" s="3" t="s">
        <v>64</v>
      </c>
      <c r="J273" s="4" t="str">
        <f t="shared" ca="1" si="11"/>
        <v/>
      </c>
      <c r="K273" s="2">
        <f>IF(ISNUMBER(SEARCH(Лист2!$B$4,F:F)),1,0)</f>
        <v>0</v>
      </c>
      <c r="L273" s="14">
        <f>IF(ISNUMBER(SEARCH(Лист2!$B$5,I:I)),1,0)+K273</f>
        <v>0</v>
      </c>
      <c r="M273" s="3">
        <f ca="1">IF(AND(N273&lt;&gt;N272,ISNUMBER(SEARCH(Лист2!$B$6,N:N)),L273=2),MAX($M$3:OFFSET(M273,-1,0))+1,0)</f>
        <v>0</v>
      </c>
      <c r="N273" s="3" t="s">
        <v>678</v>
      </c>
    </row>
    <row r="274" spans="1:14" x14ac:dyDescent="0.25">
      <c r="A274" s="1" t="s">
        <v>10052</v>
      </c>
      <c r="B274" s="3" t="s">
        <v>3898</v>
      </c>
      <c r="C274" s="2">
        <f ca="1">IF(ISNUMBER(SEARCH(Лист2!$B$4,D:D)),MAX($C$3:OFFSET(C274,-1,0))+1,0)</f>
        <v>0</v>
      </c>
      <c r="E274" s="9" t="str">
        <f t="shared" ca="1" si="12"/>
        <v/>
      </c>
      <c r="F274" s="4" t="s">
        <v>3</v>
      </c>
      <c r="G274" s="2">
        <f>IF(ISNUMBER(SEARCH(Лист2!$B$4,F:F)),1,0)</f>
        <v>0</v>
      </c>
      <c r="H274" s="3">
        <f ca="1">IF(AND(I274&lt;&gt;I273,ISNUMBER(SEARCH(Лист2!$B$5,I:I)),G274=1),MAX($H$3:OFFSET(H274,-1,0))+1,0)</f>
        <v>0</v>
      </c>
      <c r="I274" s="3" t="s">
        <v>64</v>
      </c>
      <c r="J274" s="4" t="str">
        <f t="shared" ca="1" si="11"/>
        <v/>
      </c>
      <c r="K274" s="2">
        <f>IF(ISNUMBER(SEARCH(Лист2!$B$4,F:F)),1,0)</f>
        <v>0</v>
      </c>
      <c r="L274" s="14">
        <f>IF(ISNUMBER(SEARCH(Лист2!$B$5,I:I)),1,0)+K274</f>
        <v>0</v>
      </c>
      <c r="M274" s="3">
        <f ca="1">IF(AND(N274&lt;&gt;N273,ISNUMBER(SEARCH(Лист2!$B$6,N:N)),L274=2),MAX($M$3:OFFSET(M274,-1,0))+1,0)</f>
        <v>0</v>
      </c>
      <c r="N274" s="3" t="s">
        <v>679</v>
      </c>
    </row>
    <row r="275" spans="1:14" x14ac:dyDescent="0.25">
      <c r="A275" s="1" t="s">
        <v>10053</v>
      </c>
      <c r="B275" s="3" t="s">
        <v>3899</v>
      </c>
      <c r="C275" s="2">
        <f ca="1">IF(ISNUMBER(SEARCH(Лист2!$B$4,D:D)),MAX($C$3:OFFSET(C275,-1,0))+1,0)</f>
        <v>0</v>
      </c>
      <c r="E275" s="9" t="str">
        <f t="shared" ca="1" si="12"/>
        <v/>
      </c>
      <c r="F275" s="4" t="s">
        <v>3</v>
      </c>
      <c r="G275" s="2">
        <f>IF(ISNUMBER(SEARCH(Лист2!$B$4,F:F)),1,0)</f>
        <v>0</v>
      </c>
      <c r="H275" s="3">
        <f ca="1">IF(AND(I275&lt;&gt;I274,ISNUMBER(SEARCH(Лист2!$B$5,I:I)),G275=1),MAX($H$3:OFFSET(H275,-1,0))+1,0)</f>
        <v>0</v>
      </c>
      <c r="I275" s="3" t="s">
        <v>64</v>
      </c>
      <c r="J275" s="4" t="str">
        <f t="shared" ca="1" si="11"/>
        <v/>
      </c>
      <c r="K275" s="2">
        <f>IF(ISNUMBER(SEARCH(Лист2!$B$4,F:F)),1,0)</f>
        <v>0</v>
      </c>
      <c r="L275" s="14">
        <f>IF(ISNUMBER(SEARCH(Лист2!$B$5,I:I)),1,0)+K275</f>
        <v>0</v>
      </c>
      <c r="M275" s="3">
        <f ca="1">IF(AND(N275&lt;&gt;N274,ISNUMBER(SEARCH(Лист2!$B$6,N:N)),L275=2),MAX($M$3:OFFSET(M275,-1,0))+1,0)</f>
        <v>0</v>
      </c>
      <c r="N275" s="3" t="s">
        <v>680</v>
      </c>
    </row>
    <row r="276" spans="1:14" x14ac:dyDescent="0.25">
      <c r="A276" s="1" t="s">
        <v>10054</v>
      </c>
      <c r="B276" s="3" t="s">
        <v>3900</v>
      </c>
      <c r="C276" s="2">
        <f ca="1">IF(ISNUMBER(SEARCH(Лист2!$B$4,D:D)),MAX($C$3:OFFSET(C276,-1,0))+1,0)</f>
        <v>0</v>
      </c>
      <c r="E276" s="9" t="str">
        <f t="shared" ca="1" si="12"/>
        <v/>
      </c>
      <c r="F276" s="4" t="s">
        <v>3</v>
      </c>
      <c r="G276" s="2">
        <f>IF(ISNUMBER(SEARCH(Лист2!$B$4,F:F)),1,0)</f>
        <v>0</v>
      </c>
      <c r="H276" s="3">
        <f ca="1">IF(AND(I276&lt;&gt;I275,ISNUMBER(SEARCH(Лист2!$B$5,I:I)),G276=1),MAX($H$3:OFFSET(H276,-1,0))+1,0)</f>
        <v>0</v>
      </c>
      <c r="I276" s="3" t="s">
        <v>64</v>
      </c>
      <c r="J276" s="4" t="str">
        <f t="shared" ca="1" si="11"/>
        <v/>
      </c>
      <c r="K276" s="2">
        <f>IF(ISNUMBER(SEARCH(Лист2!$B$4,F:F)),1,0)</f>
        <v>0</v>
      </c>
      <c r="L276" s="14">
        <f>IF(ISNUMBER(SEARCH(Лист2!$B$5,I:I)),1,0)+K276</f>
        <v>0</v>
      </c>
      <c r="M276" s="3">
        <f ca="1">IF(AND(N276&lt;&gt;N275,ISNUMBER(SEARCH(Лист2!$B$6,N:N)),L276=2),MAX($M$3:OFFSET(M276,-1,0))+1,0)</f>
        <v>0</v>
      </c>
      <c r="N276" s="3" t="s">
        <v>681</v>
      </c>
    </row>
    <row r="277" spans="1:14" x14ac:dyDescent="0.25">
      <c r="A277" s="1" t="s">
        <v>10055</v>
      </c>
      <c r="B277" s="3" t="s">
        <v>3901</v>
      </c>
      <c r="C277" s="2">
        <f ca="1">IF(ISNUMBER(SEARCH(Лист2!$B$4,D:D)),MAX($C$3:OFFSET(C277,-1,0))+1,0)</f>
        <v>0</v>
      </c>
      <c r="E277" s="9" t="str">
        <f t="shared" ca="1" si="12"/>
        <v/>
      </c>
      <c r="F277" s="4" t="s">
        <v>3</v>
      </c>
      <c r="G277" s="2">
        <f>IF(ISNUMBER(SEARCH(Лист2!$B$4,F:F)),1,0)</f>
        <v>0</v>
      </c>
      <c r="H277" s="3">
        <f ca="1">IF(AND(I277&lt;&gt;I276,ISNUMBER(SEARCH(Лист2!$B$5,I:I)),G277=1),MAX($H$3:OFFSET(H277,-1,0))+1,0)</f>
        <v>0</v>
      </c>
      <c r="I277" s="3" t="s">
        <v>65</v>
      </c>
      <c r="J277" s="4" t="str">
        <f t="shared" ca="1" si="11"/>
        <v/>
      </c>
      <c r="K277" s="2">
        <f>IF(ISNUMBER(SEARCH(Лист2!$B$4,F:F)),1,0)</f>
        <v>0</v>
      </c>
      <c r="L277" s="14">
        <f>IF(ISNUMBER(SEARCH(Лист2!$B$5,I:I)),1,0)+K277</f>
        <v>0</v>
      </c>
      <c r="M277" s="3">
        <f ca="1">IF(AND(N277&lt;&gt;N276,ISNUMBER(SEARCH(Лист2!$B$6,N:N)),L277=2),MAX($M$3:OFFSET(M277,-1,0))+1,0)</f>
        <v>0</v>
      </c>
      <c r="N277" s="3" t="s">
        <v>682</v>
      </c>
    </row>
    <row r="278" spans="1:14" x14ac:dyDescent="0.25">
      <c r="A278" s="1" t="s">
        <v>10056</v>
      </c>
      <c r="B278" s="3" t="s">
        <v>3902</v>
      </c>
      <c r="C278" s="2">
        <f ca="1">IF(ISNUMBER(SEARCH(Лист2!$B$4,D:D)),MAX($C$3:OFFSET(C278,-1,0))+1,0)</f>
        <v>0</v>
      </c>
      <c r="E278" s="9" t="str">
        <f t="shared" ca="1" si="12"/>
        <v/>
      </c>
      <c r="F278" s="4" t="s">
        <v>3</v>
      </c>
      <c r="G278" s="2">
        <f>IF(ISNUMBER(SEARCH(Лист2!$B$4,F:F)),1,0)</f>
        <v>0</v>
      </c>
      <c r="H278" s="3">
        <f ca="1">IF(AND(I278&lt;&gt;I277,ISNUMBER(SEARCH(Лист2!$B$5,I:I)),G278=1),MAX($H$3:OFFSET(H278,-1,0))+1,0)</f>
        <v>0</v>
      </c>
      <c r="I278" s="3" t="s">
        <v>65</v>
      </c>
      <c r="J278" s="4" t="str">
        <f t="shared" ca="1" si="11"/>
        <v/>
      </c>
      <c r="K278" s="2">
        <f>IF(ISNUMBER(SEARCH(Лист2!$B$4,F:F)),1,0)</f>
        <v>0</v>
      </c>
      <c r="L278" s="14">
        <f>IF(ISNUMBER(SEARCH(Лист2!$B$5,I:I)),1,0)+K278</f>
        <v>0</v>
      </c>
      <c r="M278" s="3">
        <f ca="1">IF(AND(N278&lt;&gt;N277,ISNUMBER(SEARCH(Лист2!$B$6,N:N)),L278=2),MAX($M$3:OFFSET(M278,-1,0))+1,0)</f>
        <v>0</v>
      </c>
      <c r="N278" s="3" t="s">
        <v>683</v>
      </c>
    </row>
    <row r="279" spans="1:14" x14ac:dyDescent="0.25">
      <c r="A279" s="1" t="s">
        <v>10057</v>
      </c>
      <c r="B279" s="3" t="s">
        <v>3903</v>
      </c>
      <c r="C279" s="2">
        <f ca="1">IF(ISNUMBER(SEARCH(Лист2!$B$4,D:D)),MAX($C$3:OFFSET(C279,-1,0))+1,0)</f>
        <v>0</v>
      </c>
      <c r="E279" s="9" t="str">
        <f t="shared" ca="1" si="12"/>
        <v/>
      </c>
      <c r="F279" s="4" t="s">
        <v>3</v>
      </c>
      <c r="G279" s="2">
        <f>IF(ISNUMBER(SEARCH(Лист2!$B$4,F:F)),1,0)</f>
        <v>0</v>
      </c>
      <c r="H279" s="3">
        <f ca="1">IF(AND(I279&lt;&gt;I278,ISNUMBER(SEARCH(Лист2!$B$5,I:I)),G279=1),MAX($H$3:OFFSET(H279,-1,0))+1,0)</f>
        <v>0</v>
      </c>
      <c r="I279" s="3" t="s">
        <v>65</v>
      </c>
      <c r="J279" s="4" t="str">
        <f t="shared" ca="1" si="11"/>
        <v/>
      </c>
      <c r="K279" s="2">
        <f>IF(ISNUMBER(SEARCH(Лист2!$B$4,F:F)),1,0)</f>
        <v>0</v>
      </c>
      <c r="L279" s="14">
        <f>IF(ISNUMBER(SEARCH(Лист2!$B$5,I:I)),1,0)+K279</f>
        <v>0</v>
      </c>
      <c r="M279" s="3">
        <f ca="1">IF(AND(N279&lt;&gt;N278,ISNUMBER(SEARCH(Лист2!$B$6,N:N)),L279=2),MAX($M$3:OFFSET(M279,-1,0))+1,0)</f>
        <v>0</v>
      </c>
      <c r="N279" s="3" t="s">
        <v>684</v>
      </c>
    </row>
    <row r="280" spans="1:14" x14ac:dyDescent="0.25">
      <c r="A280" s="1" t="s">
        <v>10057</v>
      </c>
      <c r="B280" s="3" t="s">
        <v>3904</v>
      </c>
      <c r="C280" s="2">
        <f ca="1">IF(ISNUMBER(SEARCH(Лист2!$B$4,D:D)),MAX($C$3:OFFSET(C280,-1,0))+1,0)</f>
        <v>0</v>
      </c>
      <c r="E280" s="9" t="str">
        <f t="shared" ca="1" si="12"/>
        <v/>
      </c>
      <c r="F280" s="4" t="s">
        <v>3</v>
      </c>
      <c r="G280" s="2">
        <f>IF(ISNUMBER(SEARCH(Лист2!$B$4,F:F)),1,0)</f>
        <v>0</v>
      </c>
      <c r="H280" s="3">
        <f ca="1">IF(AND(I280&lt;&gt;I279,ISNUMBER(SEARCH(Лист2!$B$5,I:I)),G280=1),MAX($H$3:OFFSET(H280,-1,0))+1,0)</f>
        <v>0</v>
      </c>
      <c r="I280" s="3" t="s">
        <v>65</v>
      </c>
      <c r="J280" s="4" t="str">
        <f t="shared" ca="1" si="11"/>
        <v/>
      </c>
      <c r="K280" s="2">
        <f>IF(ISNUMBER(SEARCH(Лист2!$B$4,F:F)),1,0)</f>
        <v>0</v>
      </c>
      <c r="L280" s="14">
        <f>IF(ISNUMBER(SEARCH(Лист2!$B$5,I:I)),1,0)+K280</f>
        <v>0</v>
      </c>
      <c r="M280" s="3">
        <f ca="1">IF(AND(N280&lt;&gt;N279,ISNUMBER(SEARCH(Лист2!$B$6,N:N)),L280=2),MAX($M$3:OFFSET(M280,-1,0))+1,0)</f>
        <v>0</v>
      </c>
      <c r="N280" s="3" t="s">
        <v>684</v>
      </c>
    </row>
    <row r="281" spans="1:14" x14ac:dyDescent="0.25">
      <c r="A281" s="1" t="s">
        <v>10057</v>
      </c>
      <c r="B281" s="3" t="s">
        <v>3905</v>
      </c>
      <c r="C281" s="2">
        <f ca="1">IF(ISNUMBER(SEARCH(Лист2!$B$4,D:D)),MAX($C$3:OFFSET(C281,-1,0))+1,0)</f>
        <v>0</v>
      </c>
      <c r="E281" s="9" t="str">
        <f t="shared" ca="1" si="12"/>
        <v/>
      </c>
      <c r="F281" s="4" t="s">
        <v>3</v>
      </c>
      <c r="G281" s="2">
        <f>IF(ISNUMBER(SEARCH(Лист2!$B$4,F:F)),1,0)</f>
        <v>0</v>
      </c>
      <c r="H281" s="3">
        <f ca="1">IF(AND(I281&lt;&gt;I280,ISNUMBER(SEARCH(Лист2!$B$5,I:I)),G281=1),MAX($H$3:OFFSET(H281,-1,0))+1,0)</f>
        <v>0</v>
      </c>
      <c r="I281" s="3" t="s">
        <v>65</v>
      </c>
      <c r="J281" s="4" t="str">
        <f t="shared" ca="1" si="11"/>
        <v/>
      </c>
      <c r="K281" s="2">
        <f>IF(ISNUMBER(SEARCH(Лист2!$B$4,F:F)),1,0)</f>
        <v>0</v>
      </c>
      <c r="L281" s="14">
        <f>IF(ISNUMBER(SEARCH(Лист2!$B$5,I:I)),1,0)+K281</f>
        <v>0</v>
      </c>
      <c r="M281" s="3">
        <f ca="1">IF(AND(N281&lt;&gt;N280,ISNUMBER(SEARCH(Лист2!$B$6,N:N)),L281=2),MAX($M$3:OFFSET(M281,-1,0))+1,0)</f>
        <v>0</v>
      </c>
      <c r="N281" s="3" t="s">
        <v>684</v>
      </c>
    </row>
    <row r="282" spans="1:14" x14ac:dyDescent="0.25">
      <c r="A282" s="1" t="s">
        <v>10058</v>
      </c>
      <c r="B282" s="3" t="s">
        <v>3906</v>
      </c>
      <c r="C282" s="2">
        <f ca="1">IF(ISNUMBER(SEARCH(Лист2!$B$4,D:D)),MAX($C$3:OFFSET(C282,-1,0))+1,0)</f>
        <v>0</v>
      </c>
      <c r="E282" s="9" t="str">
        <f t="shared" ca="1" si="12"/>
        <v/>
      </c>
      <c r="F282" s="4" t="s">
        <v>3</v>
      </c>
      <c r="G282" s="2">
        <f>IF(ISNUMBER(SEARCH(Лист2!$B$4,F:F)),1,0)</f>
        <v>0</v>
      </c>
      <c r="H282" s="3">
        <f ca="1">IF(AND(I282&lt;&gt;I281,ISNUMBER(SEARCH(Лист2!$B$5,I:I)),G282=1),MAX($H$3:OFFSET(H282,-1,0))+1,0)</f>
        <v>0</v>
      </c>
      <c r="I282" s="3" t="s">
        <v>65</v>
      </c>
      <c r="J282" s="4" t="str">
        <f t="shared" ca="1" si="11"/>
        <v/>
      </c>
      <c r="K282" s="2">
        <f>IF(ISNUMBER(SEARCH(Лист2!$B$4,F:F)),1,0)</f>
        <v>0</v>
      </c>
      <c r="L282" s="14">
        <f>IF(ISNUMBER(SEARCH(Лист2!$B$5,I:I)),1,0)+K282</f>
        <v>0</v>
      </c>
      <c r="M282" s="3">
        <f ca="1">IF(AND(N282&lt;&gt;N281,ISNUMBER(SEARCH(Лист2!$B$6,N:N)),L282=2),MAX($M$3:OFFSET(M282,-1,0))+1,0)</f>
        <v>0</v>
      </c>
      <c r="N282" s="3" t="s">
        <v>685</v>
      </c>
    </row>
    <row r="283" spans="1:14" x14ac:dyDescent="0.25">
      <c r="A283" s="1" t="s">
        <v>10059</v>
      </c>
      <c r="B283" s="3" t="s">
        <v>3907</v>
      </c>
      <c r="C283" s="2">
        <f ca="1">IF(ISNUMBER(SEARCH(Лист2!$B$4,D:D)),MAX($C$3:OFFSET(C283,-1,0))+1,0)</f>
        <v>0</v>
      </c>
      <c r="E283" s="9" t="str">
        <f t="shared" ca="1" si="12"/>
        <v/>
      </c>
      <c r="F283" s="4" t="s">
        <v>3</v>
      </c>
      <c r="G283" s="2">
        <f>IF(ISNUMBER(SEARCH(Лист2!$B$4,F:F)),1,0)</f>
        <v>0</v>
      </c>
      <c r="H283" s="3">
        <f ca="1">IF(AND(I283&lt;&gt;I282,ISNUMBER(SEARCH(Лист2!$B$5,I:I)),G283=1),MAX($H$3:OFFSET(H283,-1,0))+1,0)</f>
        <v>0</v>
      </c>
      <c r="I283" s="3" t="s">
        <v>65</v>
      </c>
      <c r="J283" s="4" t="str">
        <f t="shared" ca="1" si="11"/>
        <v/>
      </c>
      <c r="K283" s="2">
        <f>IF(ISNUMBER(SEARCH(Лист2!$B$4,F:F)),1,0)</f>
        <v>0</v>
      </c>
      <c r="L283" s="14">
        <f>IF(ISNUMBER(SEARCH(Лист2!$B$5,I:I)),1,0)+K283</f>
        <v>0</v>
      </c>
      <c r="M283" s="3">
        <f ca="1">IF(AND(N283&lt;&gt;N282,ISNUMBER(SEARCH(Лист2!$B$6,N:N)),L283=2),MAX($M$3:OFFSET(M283,-1,0))+1,0)</f>
        <v>0</v>
      </c>
      <c r="N283" s="3" t="s">
        <v>686</v>
      </c>
    </row>
    <row r="284" spans="1:14" x14ac:dyDescent="0.25">
      <c r="A284" s="1" t="s">
        <v>10060</v>
      </c>
      <c r="B284" s="3" t="s">
        <v>3908</v>
      </c>
      <c r="C284" s="2">
        <f ca="1">IF(ISNUMBER(SEARCH(Лист2!$B$4,D:D)),MAX($C$3:OFFSET(C284,-1,0))+1,0)</f>
        <v>0</v>
      </c>
      <c r="E284" s="9" t="str">
        <f t="shared" ca="1" si="12"/>
        <v/>
      </c>
      <c r="F284" s="4" t="s">
        <v>3</v>
      </c>
      <c r="G284" s="2">
        <f>IF(ISNUMBER(SEARCH(Лист2!$B$4,F:F)),1,0)</f>
        <v>0</v>
      </c>
      <c r="H284" s="3">
        <f ca="1">IF(AND(I284&lt;&gt;I283,ISNUMBER(SEARCH(Лист2!$B$5,I:I)),G284=1),MAX($H$3:OFFSET(H284,-1,0))+1,0)</f>
        <v>0</v>
      </c>
      <c r="I284" s="3" t="s">
        <v>65</v>
      </c>
      <c r="J284" s="4" t="str">
        <f t="shared" ca="1" si="11"/>
        <v/>
      </c>
      <c r="K284" s="2">
        <f>IF(ISNUMBER(SEARCH(Лист2!$B$4,F:F)),1,0)</f>
        <v>0</v>
      </c>
      <c r="L284" s="14">
        <f>IF(ISNUMBER(SEARCH(Лист2!$B$5,I:I)),1,0)+K284</f>
        <v>0</v>
      </c>
      <c r="M284" s="3">
        <f ca="1">IF(AND(N284&lt;&gt;N283,ISNUMBER(SEARCH(Лист2!$B$6,N:N)),L284=2),MAX($M$3:OFFSET(M284,-1,0))+1,0)</f>
        <v>0</v>
      </c>
      <c r="N284" s="3" t="s">
        <v>687</v>
      </c>
    </row>
    <row r="285" spans="1:14" x14ac:dyDescent="0.25">
      <c r="A285" s="1" t="s">
        <v>10061</v>
      </c>
      <c r="B285" s="3" t="s">
        <v>3909</v>
      </c>
      <c r="C285" s="2">
        <f ca="1">IF(ISNUMBER(SEARCH(Лист2!$B$4,D:D)),MAX($C$3:OFFSET(C285,-1,0))+1,0)</f>
        <v>0</v>
      </c>
      <c r="E285" s="9" t="str">
        <f t="shared" ca="1" si="12"/>
        <v/>
      </c>
      <c r="F285" s="4" t="s">
        <v>3</v>
      </c>
      <c r="G285" s="2">
        <f>IF(ISNUMBER(SEARCH(Лист2!$B$4,F:F)),1,0)</f>
        <v>0</v>
      </c>
      <c r="H285" s="3">
        <f ca="1">IF(AND(I285&lt;&gt;I284,ISNUMBER(SEARCH(Лист2!$B$5,I:I)),G285=1),MAX($H$3:OFFSET(H285,-1,0))+1,0)</f>
        <v>0</v>
      </c>
      <c r="I285" s="3" t="s">
        <v>65</v>
      </c>
      <c r="J285" s="4" t="str">
        <f t="shared" ca="1" si="11"/>
        <v/>
      </c>
      <c r="K285" s="2">
        <f>IF(ISNUMBER(SEARCH(Лист2!$B$4,F:F)),1,0)</f>
        <v>0</v>
      </c>
      <c r="L285" s="14">
        <f>IF(ISNUMBER(SEARCH(Лист2!$B$5,I:I)),1,0)+K285</f>
        <v>0</v>
      </c>
      <c r="M285" s="3">
        <f ca="1">IF(AND(N285&lt;&gt;N284,ISNUMBER(SEARCH(Лист2!$B$6,N:N)),L285=2),MAX($M$3:OFFSET(M285,-1,0))+1,0)</f>
        <v>0</v>
      </c>
      <c r="N285" s="3" t="s">
        <v>688</v>
      </c>
    </row>
    <row r="286" spans="1:14" x14ac:dyDescent="0.25">
      <c r="A286" s="1" t="s">
        <v>10062</v>
      </c>
      <c r="B286" s="3" t="s">
        <v>3910</v>
      </c>
      <c r="C286" s="2">
        <f ca="1">IF(ISNUMBER(SEARCH(Лист2!$B$4,D:D)),MAX($C$3:OFFSET(C286,-1,0))+1,0)</f>
        <v>0</v>
      </c>
      <c r="E286" s="9" t="str">
        <f t="shared" ca="1" si="12"/>
        <v/>
      </c>
      <c r="F286" s="4" t="s">
        <v>3</v>
      </c>
      <c r="G286" s="2">
        <f>IF(ISNUMBER(SEARCH(Лист2!$B$4,F:F)),1,0)</f>
        <v>0</v>
      </c>
      <c r="H286" s="3">
        <f ca="1">IF(AND(I286&lt;&gt;I285,ISNUMBER(SEARCH(Лист2!$B$5,I:I)),G286=1),MAX($H$3:OFFSET(H286,-1,0))+1,0)</f>
        <v>0</v>
      </c>
      <c r="I286" s="3" t="s">
        <v>65</v>
      </c>
      <c r="J286" s="4" t="str">
        <f t="shared" ca="1" si="11"/>
        <v/>
      </c>
      <c r="K286" s="2">
        <f>IF(ISNUMBER(SEARCH(Лист2!$B$4,F:F)),1,0)</f>
        <v>0</v>
      </c>
      <c r="L286" s="14">
        <f>IF(ISNUMBER(SEARCH(Лист2!$B$5,I:I)),1,0)+K286</f>
        <v>0</v>
      </c>
      <c r="M286" s="3">
        <f ca="1">IF(AND(N286&lt;&gt;N285,ISNUMBER(SEARCH(Лист2!$B$6,N:N)),L286=2),MAX($M$3:OFFSET(M286,-1,0))+1,0)</f>
        <v>0</v>
      </c>
      <c r="N286" s="3" t="s">
        <v>674</v>
      </c>
    </row>
    <row r="287" spans="1:14" x14ac:dyDescent="0.25">
      <c r="A287" s="1" t="s">
        <v>10063</v>
      </c>
      <c r="B287" s="3" t="s">
        <v>3911</v>
      </c>
      <c r="C287" s="2">
        <f ca="1">IF(ISNUMBER(SEARCH(Лист2!$B$4,D:D)),MAX($C$3:OFFSET(C287,-1,0))+1,0)</f>
        <v>0</v>
      </c>
      <c r="E287" s="9" t="str">
        <f t="shared" ca="1" si="12"/>
        <v/>
      </c>
      <c r="F287" s="4" t="s">
        <v>3</v>
      </c>
      <c r="G287" s="2">
        <f>IF(ISNUMBER(SEARCH(Лист2!$B$4,F:F)),1,0)</f>
        <v>0</v>
      </c>
      <c r="H287" s="3">
        <f ca="1">IF(AND(I287&lt;&gt;I286,ISNUMBER(SEARCH(Лист2!$B$5,I:I)),G287=1),MAX($H$3:OFFSET(H287,-1,0))+1,0)</f>
        <v>0</v>
      </c>
      <c r="I287" s="3" t="s">
        <v>65</v>
      </c>
      <c r="J287" s="4" t="str">
        <f t="shared" ca="1" si="11"/>
        <v/>
      </c>
      <c r="K287" s="2">
        <f>IF(ISNUMBER(SEARCH(Лист2!$B$4,F:F)),1,0)</f>
        <v>0</v>
      </c>
      <c r="L287" s="14">
        <f>IF(ISNUMBER(SEARCH(Лист2!$B$5,I:I)),1,0)+K287</f>
        <v>0</v>
      </c>
      <c r="M287" s="3">
        <f ca="1">IF(AND(N287&lt;&gt;N286,ISNUMBER(SEARCH(Лист2!$B$6,N:N)),L287=2),MAX($M$3:OFFSET(M287,-1,0))+1,0)</f>
        <v>0</v>
      </c>
      <c r="N287" s="3" t="s">
        <v>675</v>
      </c>
    </row>
    <row r="288" spans="1:14" x14ac:dyDescent="0.25">
      <c r="A288" s="1" t="s">
        <v>10064</v>
      </c>
      <c r="B288" s="3" t="s">
        <v>3912</v>
      </c>
      <c r="C288" s="2">
        <f ca="1">IF(ISNUMBER(SEARCH(Лист2!$B$4,D:D)),MAX($C$3:OFFSET(C288,-1,0))+1,0)</f>
        <v>0</v>
      </c>
      <c r="E288" s="9" t="str">
        <f t="shared" ca="1" si="12"/>
        <v/>
      </c>
      <c r="F288" s="4" t="s">
        <v>3</v>
      </c>
      <c r="G288" s="2">
        <f>IF(ISNUMBER(SEARCH(Лист2!$B$4,F:F)),1,0)</f>
        <v>0</v>
      </c>
      <c r="H288" s="3">
        <f ca="1">IF(AND(I288&lt;&gt;I287,ISNUMBER(SEARCH(Лист2!$B$5,I:I)),G288=1),MAX($H$3:OFFSET(H288,-1,0))+1,0)</f>
        <v>0</v>
      </c>
      <c r="I288" s="3" t="s">
        <v>65</v>
      </c>
      <c r="J288" s="4" t="str">
        <f t="shared" ca="1" si="11"/>
        <v/>
      </c>
      <c r="K288" s="2">
        <f>IF(ISNUMBER(SEARCH(Лист2!$B$4,F:F)),1,0)</f>
        <v>0</v>
      </c>
      <c r="L288" s="14">
        <f>IF(ISNUMBER(SEARCH(Лист2!$B$5,I:I)),1,0)+K288</f>
        <v>0</v>
      </c>
      <c r="M288" s="3">
        <f ca="1">IF(AND(N288&lt;&gt;N287,ISNUMBER(SEARCH(Лист2!$B$6,N:N)),L288=2),MAX($M$3:OFFSET(M288,-1,0))+1,0)</f>
        <v>0</v>
      </c>
      <c r="N288" s="3" t="s">
        <v>689</v>
      </c>
    </row>
    <row r="289" spans="1:14" x14ac:dyDescent="0.25">
      <c r="A289" s="1" t="s">
        <v>10065</v>
      </c>
      <c r="B289" s="3" t="s">
        <v>3913</v>
      </c>
      <c r="C289" s="2">
        <f ca="1">IF(ISNUMBER(SEARCH(Лист2!$B$4,D:D)),MAX($C$3:OFFSET(C289,-1,0))+1,0)</f>
        <v>0</v>
      </c>
      <c r="E289" s="9" t="str">
        <f t="shared" ca="1" si="12"/>
        <v/>
      </c>
      <c r="F289" s="4" t="s">
        <v>3</v>
      </c>
      <c r="G289" s="2">
        <f>IF(ISNUMBER(SEARCH(Лист2!$B$4,F:F)),1,0)</f>
        <v>0</v>
      </c>
      <c r="H289" s="3">
        <f ca="1">IF(AND(I289&lt;&gt;I288,ISNUMBER(SEARCH(Лист2!$B$5,I:I)),G289=1),MAX($H$3:OFFSET(H289,-1,0))+1,0)</f>
        <v>0</v>
      </c>
      <c r="I289" s="3" t="s">
        <v>65</v>
      </c>
      <c r="J289" s="4" t="str">
        <f t="shared" ca="1" si="11"/>
        <v/>
      </c>
      <c r="K289" s="2">
        <f>IF(ISNUMBER(SEARCH(Лист2!$B$4,F:F)),1,0)</f>
        <v>0</v>
      </c>
      <c r="L289" s="14">
        <f>IF(ISNUMBER(SEARCH(Лист2!$B$5,I:I)),1,0)+K289</f>
        <v>0</v>
      </c>
      <c r="M289" s="3">
        <f ca="1">IF(AND(N289&lt;&gt;N288,ISNUMBER(SEARCH(Лист2!$B$6,N:N)),L289=2),MAX($M$3:OFFSET(M289,-1,0))+1,0)</f>
        <v>0</v>
      </c>
      <c r="N289" s="3" t="s">
        <v>602</v>
      </c>
    </row>
    <row r="290" spans="1:14" x14ac:dyDescent="0.25">
      <c r="A290" s="1" t="s">
        <v>10066</v>
      </c>
      <c r="B290" s="3" t="s">
        <v>3914</v>
      </c>
      <c r="C290" s="2">
        <f ca="1">IF(ISNUMBER(SEARCH(Лист2!$B$4,D:D)),MAX($C$3:OFFSET(C290,-1,0))+1,0)</f>
        <v>0</v>
      </c>
      <c r="E290" s="9" t="str">
        <f t="shared" ca="1" si="12"/>
        <v/>
      </c>
      <c r="F290" s="4" t="s">
        <v>3</v>
      </c>
      <c r="G290" s="2">
        <f>IF(ISNUMBER(SEARCH(Лист2!$B$4,F:F)),1,0)</f>
        <v>0</v>
      </c>
      <c r="H290" s="3">
        <f ca="1">IF(AND(I290&lt;&gt;I289,ISNUMBER(SEARCH(Лист2!$B$5,I:I)),G290=1),MAX($H$3:OFFSET(H290,-1,0))+1,0)</f>
        <v>0</v>
      </c>
      <c r="I290" s="3" t="s">
        <v>65</v>
      </c>
      <c r="J290" s="4" t="str">
        <f t="shared" ca="1" si="11"/>
        <v/>
      </c>
      <c r="K290" s="2">
        <f>IF(ISNUMBER(SEARCH(Лист2!$B$4,F:F)),1,0)</f>
        <v>0</v>
      </c>
      <c r="L290" s="14">
        <f>IF(ISNUMBER(SEARCH(Лист2!$B$5,I:I)),1,0)+K290</f>
        <v>0</v>
      </c>
      <c r="M290" s="3">
        <f ca="1">IF(AND(N290&lt;&gt;N289,ISNUMBER(SEARCH(Лист2!$B$6,N:N)),L290=2),MAX($M$3:OFFSET(M290,-1,0))+1,0)</f>
        <v>0</v>
      </c>
      <c r="N290" s="3" t="s">
        <v>677</v>
      </c>
    </row>
    <row r="291" spans="1:14" x14ac:dyDescent="0.25">
      <c r="A291" s="1" t="s">
        <v>10067</v>
      </c>
      <c r="B291" s="3" t="s">
        <v>3915</v>
      </c>
      <c r="C291" s="2">
        <f ca="1">IF(ISNUMBER(SEARCH(Лист2!$B$4,D:D)),MAX($C$3:OFFSET(C291,-1,0))+1,0)</f>
        <v>0</v>
      </c>
      <c r="E291" s="9" t="str">
        <f t="shared" ca="1" si="12"/>
        <v/>
      </c>
      <c r="F291" s="4" t="s">
        <v>3</v>
      </c>
      <c r="G291" s="2">
        <f>IF(ISNUMBER(SEARCH(Лист2!$B$4,F:F)),1,0)</f>
        <v>0</v>
      </c>
      <c r="H291" s="3">
        <f ca="1">IF(AND(I291&lt;&gt;I290,ISNUMBER(SEARCH(Лист2!$B$5,I:I)),G291=1),MAX($H$3:OFFSET(H291,-1,0))+1,0)</f>
        <v>0</v>
      </c>
      <c r="I291" s="3" t="s">
        <v>65</v>
      </c>
      <c r="J291" s="4" t="str">
        <f t="shared" ca="1" si="11"/>
        <v/>
      </c>
      <c r="K291" s="2">
        <f>IF(ISNUMBER(SEARCH(Лист2!$B$4,F:F)),1,0)</f>
        <v>0</v>
      </c>
      <c r="L291" s="14">
        <f>IF(ISNUMBER(SEARCH(Лист2!$B$5,I:I)),1,0)+K291</f>
        <v>0</v>
      </c>
      <c r="M291" s="3">
        <f ca="1">IF(AND(N291&lt;&gt;N290,ISNUMBER(SEARCH(Лист2!$B$6,N:N)),L291=2),MAX($M$3:OFFSET(M291,-1,0))+1,0)</f>
        <v>0</v>
      </c>
      <c r="N291" s="3" t="s">
        <v>678</v>
      </c>
    </row>
    <row r="292" spans="1:14" x14ac:dyDescent="0.25">
      <c r="A292" s="1" t="s">
        <v>10068</v>
      </c>
      <c r="B292" s="3" t="s">
        <v>3916</v>
      </c>
      <c r="C292" s="2">
        <f ca="1">IF(ISNUMBER(SEARCH(Лист2!$B$4,D:D)),MAX($C$3:OFFSET(C292,-1,0))+1,0)</f>
        <v>0</v>
      </c>
      <c r="E292" s="9" t="str">
        <f t="shared" ca="1" si="12"/>
        <v/>
      </c>
      <c r="F292" s="4" t="s">
        <v>3</v>
      </c>
      <c r="G292" s="2">
        <f>IF(ISNUMBER(SEARCH(Лист2!$B$4,F:F)),1,0)</f>
        <v>0</v>
      </c>
      <c r="H292" s="3">
        <f ca="1">IF(AND(I292&lt;&gt;I291,ISNUMBER(SEARCH(Лист2!$B$5,I:I)),G292=1),MAX($H$3:OFFSET(H292,-1,0))+1,0)</f>
        <v>0</v>
      </c>
      <c r="I292" s="3" t="s">
        <v>65</v>
      </c>
      <c r="J292" s="4" t="str">
        <f t="shared" ca="1" si="11"/>
        <v/>
      </c>
      <c r="K292" s="2">
        <f>IF(ISNUMBER(SEARCH(Лист2!$B$4,F:F)),1,0)</f>
        <v>0</v>
      </c>
      <c r="L292" s="14">
        <f>IF(ISNUMBER(SEARCH(Лист2!$B$5,I:I)),1,0)+K292</f>
        <v>0</v>
      </c>
      <c r="M292" s="3">
        <f ca="1">IF(AND(N292&lt;&gt;N291,ISNUMBER(SEARCH(Лист2!$B$6,N:N)),L292=2),MAX($M$3:OFFSET(M292,-1,0))+1,0)</f>
        <v>0</v>
      </c>
      <c r="N292" s="3" t="s">
        <v>679</v>
      </c>
    </row>
    <row r="293" spans="1:14" x14ac:dyDescent="0.25">
      <c r="A293" s="1" t="s">
        <v>10069</v>
      </c>
      <c r="B293" s="3" t="s">
        <v>3917</v>
      </c>
      <c r="C293" s="2">
        <f ca="1">IF(ISNUMBER(SEARCH(Лист2!$B$4,D:D)),MAX($C$3:OFFSET(C293,-1,0))+1,0)</f>
        <v>0</v>
      </c>
      <c r="E293" s="9" t="str">
        <f t="shared" ca="1" si="12"/>
        <v/>
      </c>
      <c r="F293" s="4" t="s">
        <v>3</v>
      </c>
      <c r="G293" s="2">
        <f>IF(ISNUMBER(SEARCH(Лист2!$B$4,F:F)),1,0)</f>
        <v>0</v>
      </c>
      <c r="H293" s="3">
        <f ca="1">IF(AND(I293&lt;&gt;I292,ISNUMBER(SEARCH(Лист2!$B$5,I:I)),G293=1),MAX($H$3:OFFSET(H293,-1,0))+1,0)</f>
        <v>0</v>
      </c>
      <c r="I293" s="3" t="s">
        <v>65</v>
      </c>
      <c r="J293" s="4" t="str">
        <f t="shared" ca="1" si="11"/>
        <v/>
      </c>
      <c r="K293" s="2">
        <f>IF(ISNUMBER(SEARCH(Лист2!$B$4,F:F)),1,0)</f>
        <v>0</v>
      </c>
      <c r="L293" s="14">
        <f>IF(ISNUMBER(SEARCH(Лист2!$B$5,I:I)),1,0)+K293</f>
        <v>0</v>
      </c>
      <c r="M293" s="3">
        <f ca="1">IF(AND(N293&lt;&gt;N292,ISNUMBER(SEARCH(Лист2!$B$6,N:N)),L293=2),MAX($M$3:OFFSET(M293,-1,0))+1,0)</f>
        <v>0</v>
      </c>
      <c r="N293" s="3" t="s">
        <v>690</v>
      </c>
    </row>
    <row r="294" spans="1:14" x14ac:dyDescent="0.25">
      <c r="A294" s="1" t="s">
        <v>10070</v>
      </c>
      <c r="B294" s="3" t="s">
        <v>3918</v>
      </c>
      <c r="C294" s="2">
        <f ca="1">IF(ISNUMBER(SEARCH(Лист2!$B$4,D:D)),MAX($C$3:OFFSET(C294,-1,0))+1,0)</f>
        <v>0</v>
      </c>
      <c r="E294" s="9" t="str">
        <f t="shared" ca="1" si="12"/>
        <v/>
      </c>
      <c r="F294" s="4" t="s">
        <v>3</v>
      </c>
      <c r="G294" s="2">
        <f>IF(ISNUMBER(SEARCH(Лист2!$B$4,F:F)),1,0)</f>
        <v>0</v>
      </c>
      <c r="H294" s="3">
        <f ca="1">IF(AND(I294&lt;&gt;I293,ISNUMBER(SEARCH(Лист2!$B$5,I:I)),G294=1),MAX($H$3:OFFSET(H294,-1,0))+1,0)</f>
        <v>0</v>
      </c>
      <c r="I294" s="3" t="s">
        <v>66</v>
      </c>
      <c r="J294" s="4" t="str">
        <f t="shared" ca="1" si="11"/>
        <v/>
      </c>
      <c r="K294" s="2">
        <f>IF(ISNUMBER(SEARCH(Лист2!$B$4,F:F)),1,0)</f>
        <v>0</v>
      </c>
      <c r="L294" s="14">
        <f>IF(ISNUMBER(SEARCH(Лист2!$B$5,I:I)),1,0)+K294</f>
        <v>0</v>
      </c>
      <c r="M294" s="3">
        <f ca="1">IF(AND(N294&lt;&gt;N293,ISNUMBER(SEARCH(Лист2!$B$6,N:N)),L294=2),MAX($M$3:OFFSET(M294,-1,0))+1,0)</f>
        <v>0</v>
      </c>
      <c r="N294" s="3" t="s">
        <v>691</v>
      </c>
    </row>
    <row r="295" spans="1:14" x14ac:dyDescent="0.25">
      <c r="A295" s="1" t="s">
        <v>10071</v>
      </c>
      <c r="B295" s="3" t="s">
        <v>3919</v>
      </c>
      <c r="C295" s="2">
        <f ca="1">IF(ISNUMBER(SEARCH(Лист2!$B$4,D:D)),MAX($C$3:OFFSET(C295,-1,0))+1,0)</f>
        <v>0</v>
      </c>
      <c r="E295" s="9" t="str">
        <f t="shared" ca="1" si="12"/>
        <v/>
      </c>
      <c r="F295" s="4" t="s">
        <v>3</v>
      </c>
      <c r="G295" s="2">
        <f>IF(ISNUMBER(SEARCH(Лист2!$B$4,F:F)),1,0)</f>
        <v>0</v>
      </c>
      <c r="H295" s="3">
        <f ca="1">IF(AND(I295&lt;&gt;I294,ISNUMBER(SEARCH(Лист2!$B$5,I:I)),G295=1),MAX($H$3:OFFSET(H295,-1,0))+1,0)</f>
        <v>0</v>
      </c>
      <c r="I295" s="3" t="s">
        <v>66</v>
      </c>
      <c r="J295" s="4" t="str">
        <f t="shared" ca="1" si="11"/>
        <v/>
      </c>
      <c r="K295" s="2">
        <f>IF(ISNUMBER(SEARCH(Лист2!$B$4,F:F)),1,0)</f>
        <v>0</v>
      </c>
      <c r="L295" s="14">
        <f>IF(ISNUMBER(SEARCH(Лист2!$B$5,I:I)),1,0)+K295</f>
        <v>0</v>
      </c>
      <c r="M295" s="3">
        <f ca="1">IF(AND(N295&lt;&gt;N294,ISNUMBER(SEARCH(Лист2!$B$6,N:N)),L295=2),MAX($M$3:OFFSET(M295,-1,0))+1,0)</f>
        <v>0</v>
      </c>
      <c r="N295" s="3" t="s">
        <v>692</v>
      </c>
    </row>
    <row r="296" spans="1:14" x14ac:dyDescent="0.25">
      <c r="A296" s="1" t="s">
        <v>10072</v>
      </c>
      <c r="B296" s="3" t="s">
        <v>3920</v>
      </c>
      <c r="C296" s="2">
        <f ca="1">IF(ISNUMBER(SEARCH(Лист2!$B$4,D:D)),MAX($C$3:OFFSET(C296,-1,0))+1,0)</f>
        <v>0</v>
      </c>
      <c r="E296" s="9" t="str">
        <f t="shared" ca="1" si="12"/>
        <v/>
      </c>
      <c r="F296" s="4" t="s">
        <v>3</v>
      </c>
      <c r="G296" s="2">
        <f>IF(ISNUMBER(SEARCH(Лист2!$B$4,F:F)),1,0)</f>
        <v>0</v>
      </c>
      <c r="H296" s="3">
        <f ca="1">IF(AND(I296&lt;&gt;I295,ISNUMBER(SEARCH(Лист2!$B$5,I:I)),G296=1),MAX($H$3:OFFSET(H296,-1,0))+1,0)</f>
        <v>0</v>
      </c>
      <c r="I296" s="3" t="s">
        <v>66</v>
      </c>
      <c r="J296" s="4" t="str">
        <f t="shared" ca="1" si="11"/>
        <v/>
      </c>
      <c r="K296" s="2">
        <f>IF(ISNUMBER(SEARCH(Лист2!$B$4,F:F)),1,0)</f>
        <v>0</v>
      </c>
      <c r="L296" s="14">
        <f>IF(ISNUMBER(SEARCH(Лист2!$B$5,I:I)),1,0)+K296</f>
        <v>0</v>
      </c>
      <c r="M296" s="3">
        <f ca="1">IF(AND(N296&lt;&gt;N295,ISNUMBER(SEARCH(Лист2!$B$6,N:N)),L296=2),MAX($M$3:OFFSET(M296,-1,0))+1,0)</f>
        <v>0</v>
      </c>
      <c r="N296" s="3" t="s">
        <v>693</v>
      </c>
    </row>
    <row r="297" spans="1:14" x14ac:dyDescent="0.25">
      <c r="A297" s="1" t="s">
        <v>10072</v>
      </c>
      <c r="B297" s="3" t="s">
        <v>3921</v>
      </c>
      <c r="C297" s="2">
        <f ca="1">IF(ISNUMBER(SEARCH(Лист2!$B$4,D:D)),MAX($C$3:OFFSET(C297,-1,0))+1,0)</f>
        <v>0</v>
      </c>
      <c r="E297" s="9" t="str">
        <f t="shared" ca="1" si="12"/>
        <v/>
      </c>
      <c r="F297" s="4" t="s">
        <v>3</v>
      </c>
      <c r="G297" s="2">
        <f>IF(ISNUMBER(SEARCH(Лист2!$B$4,F:F)),1,0)</f>
        <v>0</v>
      </c>
      <c r="H297" s="3">
        <f ca="1">IF(AND(I297&lt;&gt;I296,ISNUMBER(SEARCH(Лист2!$B$5,I:I)),G297=1),MAX($H$3:OFFSET(H297,-1,0))+1,0)</f>
        <v>0</v>
      </c>
      <c r="I297" s="3" t="s">
        <v>66</v>
      </c>
      <c r="J297" s="4" t="str">
        <f t="shared" ca="1" si="11"/>
        <v/>
      </c>
      <c r="K297" s="2">
        <f>IF(ISNUMBER(SEARCH(Лист2!$B$4,F:F)),1,0)</f>
        <v>0</v>
      </c>
      <c r="L297" s="14">
        <f>IF(ISNUMBER(SEARCH(Лист2!$B$5,I:I)),1,0)+K297</f>
        <v>0</v>
      </c>
      <c r="M297" s="3">
        <f ca="1">IF(AND(N297&lt;&gt;N296,ISNUMBER(SEARCH(Лист2!$B$6,N:N)),L297=2),MAX($M$3:OFFSET(M297,-1,0))+1,0)</f>
        <v>0</v>
      </c>
      <c r="N297" s="3" t="s">
        <v>693</v>
      </c>
    </row>
    <row r="298" spans="1:14" x14ac:dyDescent="0.25">
      <c r="A298" s="1" t="s">
        <v>10072</v>
      </c>
      <c r="B298" s="3" t="s">
        <v>3922</v>
      </c>
      <c r="C298" s="2">
        <f ca="1">IF(ISNUMBER(SEARCH(Лист2!$B$4,D:D)),MAX($C$3:OFFSET(C298,-1,0))+1,0)</f>
        <v>0</v>
      </c>
      <c r="E298" s="9" t="str">
        <f t="shared" ca="1" si="12"/>
        <v/>
      </c>
      <c r="F298" s="4" t="s">
        <v>3</v>
      </c>
      <c r="G298" s="2">
        <f>IF(ISNUMBER(SEARCH(Лист2!$B$4,F:F)),1,0)</f>
        <v>0</v>
      </c>
      <c r="H298" s="3">
        <f ca="1">IF(AND(I298&lt;&gt;I297,ISNUMBER(SEARCH(Лист2!$B$5,I:I)),G298=1),MAX($H$3:OFFSET(H298,-1,0))+1,0)</f>
        <v>0</v>
      </c>
      <c r="I298" s="3" t="s">
        <v>66</v>
      </c>
      <c r="J298" s="4" t="str">
        <f t="shared" ca="1" si="11"/>
        <v/>
      </c>
      <c r="K298" s="2">
        <f>IF(ISNUMBER(SEARCH(Лист2!$B$4,F:F)),1,0)</f>
        <v>0</v>
      </c>
      <c r="L298" s="14">
        <f>IF(ISNUMBER(SEARCH(Лист2!$B$5,I:I)),1,0)+K298</f>
        <v>0</v>
      </c>
      <c r="M298" s="3">
        <f ca="1">IF(AND(N298&lt;&gt;N297,ISNUMBER(SEARCH(Лист2!$B$6,N:N)),L298=2),MAX($M$3:OFFSET(M298,-1,0))+1,0)</f>
        <v>0</v>
      </c>
      <c r="N298" s="3" t="s">
        <v>693</v>
      </c>
    </row>
    <row r="299" spans="1:14" x14ac:dyDescent="0.25">
      <c r="A299" s="1" t="s">
        <v>10073</v>
      </c>
      <c r="B299" s="3" t="s">
        <v>3923</v>
      </c>
      <c r="C299" s="2">
        <f ca="1">IF(ISNUMBER(SEARCH(Лист2!$B$4,D:D)),MAX($C$3:OFFSET(C299,-1,0))+1,0)</f>
        <v>0</v>
      </c>
      <c r="E299" s="9" t="str">
        <f t="shared" ca="1" si="12"/>
        <v/>
      </c>
      <c r="F299" s="4" t="s">
        <v>3</v>
      </c>
      <c r="G299" s="2">
        <f>IF(ISNUMBER(SEARCH(Лист2!$B$4,F:F)),1,0)</f>
        <v>0</v>
      </c>
      <c r="H299" s="3">
        <f ca="1">IF(AND(I299&lt;&gt;I298,ISNUMBER(SEARCH(Лист2!$B$5,I:I)),G299=1),MAX($H$3:OFFSET(H299,-1,0))+1,0)</f>
        <v>0</v>
      </c>
      <c r="I299" s="3" t="s">
        <v>66</v>
      </c>
      <c r="J299" s="4" t="str">
        <f t="shared" ca="1" si="11"/>
        <v/>
      </c>
      <c r="K299" s="2">
        <f>IF(ISNUMBER(SEARCH(Лист2!$B$4,F:F)),1,0)</f>
        <v>0</v>
      </c>
      <c r="L299" s="14">
        <f>IF(ISNUMBER(SEARCH(Лист2!$B$5,I:I)),1,0)+K299</f>
        <v>0</v>
      </c>
      <c r="M299" s="3">
        <f ca="1">IF(AND(N299&lt;&gt;N298,ISNUMBER(SEARCH(Лист2!$B$6,N:N)),L299=2),MAX($M$3:OFFSET(M299,-1,0))+1,0)</f>
        <v>0</v>
      </c>
      <c r="N299" s="3" t="s">
        <v>685</v>
      </c>
    </row>
    <row r="300" spans="1:14" x14ac:dyDescent="0.25">
      <c r="A300" s="1" t="s">
        <v>10074</v>
      </c>
      <c r="B300" s="3" t="s">
        <v>3924</v>
      </c>
      <c r="C300" s="2">
        <f ca="1">IF(ISNUMBER(SEARCH(Лист2!$B$4,D:D)),MAX($C$3:OFFSET(C300,-1,0))+1,0)</f>
        <v>0</v>
      </c>
      <c r="E300" s="9" t="str">
        <f t="shared" ca="1" si="12"/>
        <v/>
      </c>
      <c r="F300" s="4" t="s">
        <v>3</v>
      </c>
      <c r="G300" s="2">
        <f>IF(ISNUMBER(SEARCH(Лист2!$B$4,F:F)),1,0)</f>
        <v>0</v>
      </c>
      <c r="H300" s="3">
        <f ca="1">IF(AND(I300&lt;&gt;I299,ISNUMBER(SEARCH(Лист2!$B$5,I:I)),G300=1),MAX($H$3:OFFSET(H300,-1,0))+1,0)</f>
        <v>0</v>
      </c>
      <c r="I300" s="3" t="s">
        <v>66</v>
      </c>
      <c r="J300" s="4" t="str">
        <f t="shared" ca="1" si="11"/>
        <v/>
      </c>
      <c r="K300" s="2">
        <f>IF(ISNUMBER(SEARCH(Лист2!$B$4,F:F)),1,0)</f>
        <v>0</v>
      </c>
      <c r="L300" s="14">
        <f>IF(ISNUMBER(SEARCH(Лист2!$B$5,I:I)),1,0)+K300</f>
        <v>0</v>
      </c>
      <c r="M300" s="3">
        <f ca="1">IF(AND(N300&lt;&gt;N299,ISNUMBER(SEARCH(Лист2!$B$6,N:N)),L300=2),MAX($M$3:OFFSET(M300,-1,0))+1,0)</f>
        <v>0</v>
      </c>
      <c r="N300" s="3" t="s">
        <v>694</v>
      </c>
    </row>
    <row r="301" spans="1:14" x14ac:dyDescent="0.25">
      <c r="A301" s="1" t="s">
        <v>10075</v>
      </c>
      <c r="B301" s="3" t="s">
        <v>3925</v>
      </c>
      <c r="C301" s="2">
        <f ca="1">IF(ISNUMBER(SEARCH(Лист2!$B$4,D:D)),MAX($C$3:OFFSET(C301,-1,0))+1,0)</f>
        <v>0</v>
      </c>
      <c r="E301" s="9" t="str">
        <f t="shared" ca="1" si="12"/>
        <v/>
      </c>
      <c r="F301" s="4" t="s">
        <v>3</v>
      </c>
      <c r="G301" s="2">
        <f>IF(ISNUMBER(SEARCH(Лист2!$B$4,F:F)),1,0)</f>
        <v>0</v>
      </c>
      <c r="H301" s="3">
        <f ca="1">IF(AND(I301&lt;&gt;I300,ISNUMBER(SEARCH(Лист2!$B$5,I:I)),G301=1),MAX($H$3:OFFSET(H301,-1,0))+1,0)</f>
        <v>0</v>
      </c>
      <c r="I301" s="3" t="s">
        <v>66</v>
      </c>
      <c r="J301" s="4" t="str">
        <f t="shared" ca="1" si="11"/>
        <v/>
      </c>
      <c r="K301" s="2">
        <f>IF(ISNUMBER(SEARCH(Лист2!$B$4,F:F)),1,0)</f>
        <v>0</v>
      </c>
      <c r="L301" s="14">
        <f>IF(ISNUMBER(SEARCH(Лист2!$B$5,I:I)),1,0)+K301</f>
        <v>0</v>
      </c>
      <c r="M301" s="3">
        <f ca="1">IF(AND(N301&lt;&gt;N300,ISNUMBER(SEARCH(Лист2!$B$6,N:N)),L301=2),MAX($M$3:OFFSET(M301,-1,0))+1,0)</f>
        <v>0</v>
      </c>
      <c r="N301" s="3" t="s">
        <v>695</v>
      </c>
    </row>
    <row r="302" spans="1:14" x14ac:dyDescent="0.25">
      <c r="A302" s="1" t="s">
        <v>10076</v>
      </c>
      <c r="B302" s="3" t="s">
        <v>3926</v>
      </c>
      <c r="C302" s="2">
        <f ca="1">IF(ISNUMBER(SEARCH(Лист2!$B$4,D:D)),MAX($C$3:OFFSET(C302,-1,0))+1,0)</f>
        <v>0</v>
      </c>
      <c r="E302" s="9" t="str">
        <f t="shared" ca="1" si="12"/>
        <v/>
      </c>
      <c r="F302" s="4" t="s">
        <v>3</v>
      </c>
      <c r="G302" s="2">
        <f>IF(ISNUMBER(SEARCH(Лист2!$B$4,F:F)),1,0)</f>
        <v>0</v>
      </c>
      <c r="H302" s="3">
        <f ca="1">IF(AND(I302&lt;&gt;I301,ISNUMBER(SEARCH(Лист2!$B$5,I:I)),G302=1),MAX($H$3:OFFSET(H302,-1,0))+1,0)</f>
        <v>0</v>
      </c>
      <c r="I302" s="3" t="s">
        <v>66</v>
      </c>
      <c r="J302" s="4" t="str">
        <f t="shared" ca="1" si="11"/>
        <v/>
      </c>
      <c r="K302" s="2">
        <f>IF(ISNUMBER(SEARCH(Лист2!$B$4,F:F)),1,0)</f>
        <v>0</v>
      </c>
      <c r="L302" s="14">
        <f>IF(ISNUMBER(SEARCH(Лист2!$B$5,I:I)),1,0)+K302</f>
        <v>0</v>
      </c>
      <c r="M302" s="3">
        <f ca="1">IF(AND(N302&lt;&gt;N301,ISNUMBER(SEARCH(Лист2!$B$6,N:N)),L302=2),MAX($M$3:OFFSET(M302,-1,0))+1,0)</f>
        <v>0</v>
      </c>
      <c r="N302" s="3" t="s">
        <v>696</v>
      </c>
    </row>
    <row r="303" spans="1:14" x14ac:dyDescent="0.25">
      <c r="A303" s="1" t="s">
        <v>10077</v>
      </c>
      <c r="B303" s="3" t="s">
        <v>3927</v>
      </c>
      <c r="C303" s="2">
        <f ca="1">IF(ISNUMBER(SEARCH(Лист2!$B$4,D:D)),MAX($C$3:OFFSET(C303,-1,0))+1,0)</f>
        <v>0</v>
      </c>
      <c r="E303" s="9" t="str">
        <f t="shared" ca="1" si="12"/>
        <v/>
      </c>
      <c r="F303" s="4" t="s">
        <v>3</v>
      </c>
      <c r="G303" s="2">
        <f>IF(ISNUMBER(SEARCH(Лист2!$B$4,F:F)),1,0)</f>
        <v>0</v>
      </c>
      <c r="H303" s="3">
        <f ca="1">IF(AND(I303&lt;&gt;I302,ISNUMBER(SEARCH(Лист2!$B$5,I:I)),G303=1),MAX($H$3:OFFSET(H303,-1,0))+1,0)</f>
        <v>0</v>
      </c>
      <c r="I303" s="3" t="s">
        <v>66</v>
      </c>
      <c r="J303" s="4" t="str">
        <f t="shared" ca="1" si="11"/>
        <v/>
      </c>
      <c r="K303" s="2">
        <f>IF(ISNUMBER(SEARCH(Лист2!$B$4,F:F)),1,0)</f>
        <v>0</v>
      </c>
      <c r="L303" s="14">
        <f>IF(ISNUMBER(SEARCH(Лист2!$B$5,I:I)),1,0)+K303</f>
        <v>0</v>
      </c>
      <c r="M303" s="3">
        <f ca="1">IF(AND(N303&lt;&gt;N302,ISNUMBER(SEARCH(Лист2!$B$6,N:N)),L303=2),MAX($M$3:OFFSET(M303,-1,0))+1,0)</f>
        <v>0</v>
      </c>
      <c r="N303" s="3" t="s">
        <v>697</v>
      </c>
    </row>
    <row r="304" spans="1:14" x14ac:dyDescent="0.25">
      <c r="A304" s="1" t="s">
        <v>10078</v>
      </c>
      <c r="B304" s="3" t="s">
        <v>3928</v>
      </c>
      <c r="C304" s="2">
        <f ca="1">IF(ISNUMBER(SEARCH(Лист2!$B$4,D:D)),MAX($C$3:OFFSET(C304,-1,0))+1,0)</f>
        <v>0</v>
      </c>
      <c r="E304" s="9" t="str">
        <f t="shared" ca="1" si="12"/>
        <v/>
      </c>
      <c r="F304" s="4" t="s">
        <v>3</v>
      </c>
      <c r="G304" s="2">
        <f>IF(ISNUMBER(SEARCH(Лист2!$B$4,F:F)),1,0)</f>
        <v>0</v>
      </c>
      <c r="H304" s="3">
        <f ca="1">IF(AND(I304&lt;&gt;I303,ISNUMBER(SEARCH(Лист2!$B$5,I:I)),G304=1),MAX($H$3:OFFSET(H304,-1,0))+1,0)</f>
        <v>0</v>
      </c>
      <c r="I304" s="3" t="s">
        <v>66</v>
      </c>
      <c r="J304" s="4" t="str">
        <f t="shared" ca="1" si="11"/>
        <v/>
      </c>
      <c r="K304" s="2">
        <f>IF(ISNUMBER(SEARCH(Лист2!$B$4,F:F)),1,0)</f>
        <v>0</v>
      </c>
      <c r="L304" s="14">
        <f>IF(ISNUMBER(SEARCH(Лист2!$B$5,I:I)),1,0)+K304</f>
        <v>0</v>
      </c>
      <c r="M304" s="3">
        <f ca="1">IF(AND(N304&lt;&gt;N303,ISNUMBER(SEARCH(Лист2!$B$6,N:N)),L304=2),MAX($M$3:OFFSET(M304,-1,0))+1,0)</f>
        <v>0</v>
      </c>
      <c r="N304" s="3" t="s">
        <v>698</v>
      </c>
    </row>
    <row r="305" spans="1:14" x14ac:dyDescent="0.25">
      <c r="A305" s="1" t="s">
        <v>10079</v>
      </c>
      <c r="B305" s="3" t="s">
        <v>3929</v>
      </c>
      <c r="C305" s="2">
        <f ca="1">IF(ISNUMBER(SEARCH(Лист2!$B$4,D:D)),MAX($C$3:OFFSET(C305,-1,0))+1,0)</f>
        <v>0</v>
      </c>
      <c r="E305" s="9" t="str">
        <f t="shared" ca="1" si="12"/>
        <v/>
      </c>
      <c r="F305" s="4" t="s">
        <v>3</v>
      </c>
      <c r="G305" s="2">
        <f>IF(ISNUMBER(SEARCH(Лист2!$B$4,F:F)),1,0)</f>
        <v>0</v>
      </c>
      <c r="H305" s="3">
        <f ca="1">IF(AND(I305&lt;&gt;I304,ISNUMBER(SEARCH(Лист2!$B$5,I:I)),G305=1),MAX($H$3:OFFSET(H305,-1,0))+1,0)</f>
        <v>0</v>
      </c>
      <c r="I305" s="3" t="s">
        <v>66</v>
      </c>
      <c r="J305" s="4" t="str">
        <f t="shared" ca="1" si="11"/>
        <v/>
      </c>
      <c r="K305" s="2">
        <f>IF(ISNUMBER(SEARCH(Лист2!$B$4,F:F)),1,0)</f>
        <v>0</v>
      </c>
      <c r="L305" s="14">
        <f>IF(ISNUMBER(SEARCH(Лист2!$B$5,I:I)),1,0)+K305</f>
        <v>0</v>
      </c>
      <c r="M305" s="3">
        <f ca="1">IF(AND(N305&lt;&gt;N304,ISNUMBER(SEARCH(Лист2!$B$6,N:N)),L305=2),MAX($M$3:OFFSET(M305,-1,0))+1,0)</f>
        <v>0</v>
      </c>
      <c r="N305" s="3" t="s">
        <v>699</v>
      </c>
    </row>
    <row r="306" spans="1:14" x14ac:dyDescent="0.25">
      <c r="A306" s="1" t="s">
        <v>10080</v>
      </c>
      <c r="B306" s="3" t="s">
        <v>3930</v>
      </c>
      <c r="C306" s="2">
        <f ca="1">IF(ISNUMBER(SEARCH(Лист2!$B$4,D:D)),MAX($C$3:OFFSET(C306,-1,0))+1,0)</f>
        <v>0</v>
      </c>
      <c r="E306" s="9" t="str">
        <f t="shared" ca="1" si="12"/>
        <v/>
      </c>
      <c r="F306" s="4" t="s">
        <v>3</v>
      </c>
      <c r="G306" s="2">
        <f>IF(ISNUMBER(SEARCH(Лист2!$B$4,F:F)),1,0)</f>
        <v>0</v>
      </c>
      <c r="H306" s="3">
        <f ca="1">IF(AND(I306&lt;&gt;I305,ISNUMBER(SEARCH(Лист2!$B$5,I:I)),G306=1),MAX($H$3:OFFSET(H306,-1,0))+1,0)</f>
        <v>0</v>
      </c>
      <c r="I306" s="3" t="s">
        <v>66</v>
      </c>
      <c r="J306" s="4" t="str">
        <f t="shared" ca="1" si="11"/>
        <v/>
      </c>
      <c r="K306" s="2">
        <f>IF(ISNUMBER(SEARCH(Лист2!$B$4,F:F)),1,0)</f>
        <v>0</v>
      </c>
      <c r="L306" s="14">
        <f>IF(ISNUMBER(SEARCH(Лист2!$B$5,I:I)),1,0)+K306</f>
        <v>0</v>
      </c>
      <c r="M306" s="3">
        <f ca="1">IF(AND(N306&lt;&gt;N305,ISNUMBER(SEARCH(Лист2!$B$6,N:N)),L306=2),MAX($M$3:OFFSET(M306,-1,0))+1,0)</f>
        <v>0</v>
      </c>
      <c r="N306" s="3" t="s">
        <v>674</v>
      </c>
    </row>
    <row r="307" spans="1:14" x14ac:dyDescent="0.25">
      <c r="A307" s="1" t="s">
        <v>10081</v>
      </c>
      <c r="B307" s="3" t="s">
        <v>3931</v>
      </c>
      <c r="C307" s="2">
        <f ca="1">IF(ISNUMBER(SEARCH(Лист2!$B$4,D:D)),MAX($C$3:OFFSET(C307,-1,0))+1,0)</f>
        <v>0</v>
      </c>
      <c r="E307" s="9" t="str">
        <f t="shared" ca="1" si="12"/>
        <v/>
      </c>
      <c r="F307" s="4" t="s">
        <v>3</v>
      </c>
      <c r="G307" s="2">
        <f>IF(ISNUMBER(SEARCH(Лист2!$B$4,F:F)),1,0)</f>
        <v>0</v>
      </c>
      <c r="H307" s="3">
        <f ca="1">IF(AND(I307&lt;&gt;I306,ISNUMBER(SEARCH(Лист2!$B$5,I:I)),G307=1),MAX($H$3:OFFSET(H307,-1,0))+1,0)</f>
        <v>0</v>
      </c>
      <c r="I307" s="3" t="s">
        <v>66</v>
      </c>
      <c r="J307" s="4" t="str">
        <f t="shared" ca="1" si="11"/>
        <v/>
      </c>
      <c r="K307" s="2">
        <f>IF(ISNUMBER(SEARCH(Лист2!$B$4,F:F)),1,0)</f>
        <v>0</v>
      </c>
      <c r="L307" s="14">
        <f>IF(ISNUMBER(SEARCH(Лист2!$B$5,I:I)),1,0)+K307</f>
        <v>0</v>
      </c>
      <c r="M307" s="3">
        <f ca="1">IF(AND(N307&lt;&gt;N306,ISNUMBER(SEARCH(Лист2!$B$6,N:N)),L307=2),MAX($M$3:OFFSET(M307,-1,0))+1,0)</f>
        <v>0</v>
      </c>
      <c r="N307" s="3" t="s">
        <v>675</v>
      </c>
    </row>
    <row r="308" spans="1:14" x14ac:dyDescent="0.25">
      <c r="A308" s="1" t="s">
        <v>10082</v>
      </c>
      <c r="B308" s="3" t="s">
        <v>3932</v>
      </c>
      <c r="C308" s="2">
        <f ca="1">IF(ISNUMBER(SEARCH(Лист2!$B$4,D:D)),MAX($C$3:OFFSET(C308,-1,0))+1,0)</f>
        <v>0</v>
      </c>
      <c r="E308" s="9" t="str">
        <f t="shared" ca="1" si="12"/>
        <v/>
      </c>
      <c r="F308" s="4" t="s">
        <v>3</v>
      </c>
      <c r="G308" s="2">
        <f>IF(ISNUMBER(SEARCH(Лист2!$B$4,F:F)),1,0)</f>
        <v>0</v>
      </c>
      <c r="H308" s="3">
        <f ca="1">IF(AND(I308&lt;&gt;I307,ISNUMBER(SEARCH(Лист2!$B$5,I:I)),G308=1),MAX($H$3:OFFSET(H308,-1,0))+1,0)</f>
        <v>0</v>
      </c>
      <c r="I308" s="3" t="s">
        <v>66</v>
      </c>
      <c r="J308" s="4" t="str">
        <f t="shared" ca="1" si="11"/>
        <v/>
      </c>
      <c r="K308" s="2">
        <f>IF(ISNUMBER(SEARCH(Лист2!$B$4,F:F)),1,0)</f>
        <v>0</v>
      </c>
      <c r="L308" s="14">
        <f>IF(ISNUMBER(SEARCH(Лист2!$B$5,I:I)),1,0)+K308</f>
        <v>0</v>
      </c>
      <c r="M308" s="3">
        <f ca="1">IF(AND(N308&lt;&gt;N307,ISNUMBER(SEARCH(Лист2!$B$6,N:N)),L308=2),MAX($M$3:OFFSET(M308,-1,0))+1,0)</f>
        <v>0</v>
      </c>
      <c r="N308" s="3" t="s">
        <v>700</v>
      </c>
    </row>
    <row r="309" spans="1:14" x14ac:dyDescent="0.25">
      <c r="A309" s="1" t="s">
        <v>10083</v>
      </c>
      <c r="B309" s="3" t="s">
        <v>3933</v>
      </c>
      <c r="C309" s="2">
        <f ca="1">IF(ISNUMBER(SEARCH(Лист2!$B$4,D:D)),MAX($C$3:OFFSET(C309,-1,0))+1,0)</f>
        <v>0</v>
      </c>
      <c r="E309" s="9" t="str">
        <f t="shared" ca="1" si="12"/>
        <v/>
      </c>
      <c r="F309" s="4" t="s">
        <v>3</v>
      </c>
      <c r="G309" s="2">
        <f>IF(ISNUMBER(SEARCH(Лист2!$B$4,F:F)),1,0)</f>
        <v>0</v>
      </c>
      <c r="H309" s="3">
        <f ca="1">IF(AND(I309&lt;&gt;I308,ISNUMBER(SEARCH(Лист2!$B$5,I:I)),G309=1),MAX($H$3:OFFSET(H309,-1,0))+1,0)</f>
        <v>0</v>
      </c>
      <c r="I309" s="3" t="s">
        <v>66</v>
      </c>
      <c r="J309" s="4" t="str">
        <f t="shared" ca="1" si="11"/>
        <v/>
      </c>
      <c r="K309" s="2">
        <f>IF(ISNUMBER(SEARCH(Лист2!$B$4,F:F)),1,0)</f>
        <v>0</v>
      </c>
      <c r="L309" s="14">
        <f>IF(ISNUMBER(SEARCH(Лист2!$B$5,I:I)),1,0)+K309</f>
        <v>0</v>
      </c>
      <c r="M309" s="3">
        <f ca="1">IF(AND(N309&lt;&gt;N308,ISNUMBER(SEARCH(Лист2!$B$6,N:N)),L309=2),MAX($M$3:OFFSET(M309,-1,0))+1,0)</f>
        <v>0</v>
      </c>
      <c r="N309" s="3" t="s">
        <v>602</v>
      </c>
    </row>
    <row r="310" spans="1:14" x14ac:dyDescent="0.25">
      <c r="A310" s="1" t="s">
        <v>10084</v>
      </c>
      <c r="B310" s="3" t="s">
        <v>3934</v>
      </c>
      <c r="C310" s="2">
        <f ca="1">IF(ISNUMBER(SEARCH(Лист2!$B$4,D:D)),MAX($C$3:OFFSET(C310,-1,0))+1,0)</f>
        <v>0</v>
      </c>
      <c r="E310" s="9" t="str">
        <f t="shared" ca="1" si="12"/>
        <v/>
      </c>
      <c r="F310" s="4" t="s">
        <v>3</v>
      </c>
      <c r="G310" s="2">
        <f>IF(ISNUMBER(SEARCH(Лист2!$B$4,F:F)),1,0)</f>
        <v>0</v>
      </c>
      <c r="H310" s="3">
        <f ca="1">IF(AND(I310&lt;&gt;I309,ISNUMBER(SEARCH(Лист2!$B$5,I:I)),G310=1),MAX($H$3:OFFSET(H310,-1,0))+1,0)</f>
        <v>0</v>
      </c>
      <c r="I310" s="3" t="s">
        <v>66</v>
      </c>
      <c r="J310" s="4" t="str">
        <f t="shared" ca="1" si="11"/>
        <v/>
      </c>
      <c r="K310" s="2">
        <f>IF(ISNUMBER(SEARCH(Лист2!$B$4,F:F)),1,0)</f>
        <v>0</v>
      </c>
      <c r="L310" s="14">
        <f>IF(ISNUMBER(SEARCH(Лист2!$B$5,I:I)),1,0)+K310</f>
        <v>0</v>
      </c>
      <c r="M310" s="3">
        <f ca="1">IF(AND(N310&lt;&gt;N309,ISNUMBER(SEARCH(Лист2!$B$6,N:N)),L310=2),MAX($M$3:OFFSET(M310,-1,0))+1,0)</f>
        <v>0</v>
      </c>
      <c r="N310" s="3" t="s">
        <v>677</v>
      </c>
    </row>
    <row r="311" spans="1:14" x14ac:dyDescent="0.25">
      <c r="A311" s="1" t="s">
        <v>10085</v>
      </c>
      <c r="B311" s="3" t="s">
        <v>3935</v>
      </c>
      <c r="C311" s="2">
        <f ca="1">IF(ISNUMBER(SEARCH(Лист2!$B$4,D:D)),MAX($C$3:OFFSET(C311,-1,0))+1,0)</f>
        <v>0</v>
      </c>
      <c r="E311" s="9" t="str">
        <f t="shared" ca="1" si="12"/>
        <v/>
      </c>
      <c r="F311" s="4" t="s">
        <v>3</v>
      </c>
      <c r="G311" s="2">
        <f>IF(ISNUMBER(SEARCH(Лист2!$B$4,F:F)),1,0)</f>
        <v>0</v>
      </c>
      <c r="H311" s="3">
        <f ca="1">IF(AND(I311&lt;&gt;I310,ISNUMBER(SEARCH(Лист2!$B$5,I:I)),G311=1),MAX($H$3:OFFSET(H311,-1,0))+1,0)</f>
        <v>0</v>
      </c>
      <c r="I311" s="3" t="s">
        <v>66</v>
      </c>
      <c r="J311" s="4" t="str">
        <f t="shared" ca="1" si="11"/>
        <v/>
      </c>
      <c r="K311" s="2">
        <f>IF(ISNUMBER(SEARCH(Лист2!$B$4,F:F)),1,0)</f>
        <v>0</v>
      </c>
      <c r="L311" s="14">
        <f>IF(ISNUMBER(SEARCH(Лист2!$B$5,I:I)),1,0)+K311</f>
        <v>0</v>
      </c>
      <c r="M311" s="3">
        <f ca="1">IF(AND(N311&lt;&gt;N310,ISNUMBER(SEARCH(Лист2!$B$6,N:N)),L311=2),MAX($M$3:OFFSET(M311,-1,0))+1,0)</f>
        <v>0</v>
      </c>
      <c r="N311" s="3" t="s">
        <v>678</v>
      </c>
    </row>
    <row r="312" spans="1:14" x14ac:dyDescent="0.25">
      <c r="A312" s="1" t="s">
        <v>10086</v>
      </c>
      <c r="B312" s="3" t="s">
        <v>3936</v>
      </c>
      <c r="C312" s="2">
        <f ca="1">IF(ISNUMBER(SEARCH(Лист2!$B$4,D:D)),MAX($C$3:OFFSET(C312,-1,0))+1,0)</f>
        <v>0</v>
      </c>
      <c r="E312" s="9" t="str">
        <f t="shared" ca="1" si="12"/>
        <v/>
      </c>
      <c r="F312" s="4" t="s">
        <v>3</v>
      </c>
      <c r="G312" s="2">
        <f>IF(ISNUMBER(SEARCH(Лист2!$B$4,F:F)),1,0)</f>
        <v>0</v>
      </c>
      <c r="H312" s="3">
        <f ca="1">IF(AND(I312&lt;&gt;I311,ISNUMBER(SEARCH(Лист2!$B$5,I:I)),G312=1),MAX($H$3:OFFSET(H312,-1,0))+1,0)</f>
        <v>0</v>
      </c>
      <c r="I312" s="3" t="s">
        <v>66</v>
      </c>
      <c r="J312" s="4" t="str">
        <f t="shared" ca="1" si="11"/>
        <v/>
      </c>
      <c r="K312" s="2">
        <f>IF(ISNUMBER(SEARCH(Лист2!$B$4,F:F)),1,0)</f>
        <v>0</v>
      </c>
      <c r="L312" s="14">
        <f>IF(ISNUMBER(SEARCH(Лист2!$B$5,I:I)),1,0)+K312</f>
        <v>0</v>
      </c>
      <c r="M312" s="3">
        <f ca="1">IF(AND(N312&lt;&gt;N311,ISNUMBER(SEARCH(Лист2!$B$6,N:N)),L312=2),MAX($M$3:OFFSET(M312,-1,0))+1,0)</f>
        <v>0</v>
      </c>
      <c r="N312" s="3" t="s">
        <v>679</v>
      </c>
    </row>
    <row r="313" spans="1:14" x14ac:dyDescent="0.25">
      <c r="A313" s="1" t="s">
        <v>10087</v>
      </c>
      <c r="B313" s="3" t="s">
        <v>3937</v>
      </c>
      <c r="C313" s="2">
        <f ca="1">IF(ISNUMBER(SEARCH(Лист2!$B$4,D:D)),MAX($C$3:OFFSET(C313,-1,0))+1,0)</f>
        <v>0</v>
      </c>
      <c r="E313" s="9" t="str">
        <f t="shared" ca="1" si="12"/>
        <v/>
      </c>
      <c r="F313" s="4" t="s">
        <v>3</v>
      </c>
      <c r="G313" s="2">
        <f>IF(ISNUMBER(SEARCH(Лист2!$B$4,F:F)),1,0)</f>
        <v>0</v>
      </c>
      <c r="H313" s="3">
        <f ca="1">IF(AND(I313&lt;&gt;I312,ISNUMBER(SEARCH(Лист2!$B$5,I:I)),G313=1),MAX($H$3:OFFSET(H313,-1,0))+1,0)</f>
        <v>0</v>
      </c>
      <c r="I313" s="3" t="s">
        <v>66</v>
      </c>
      <c r="J313" s="4" t="str">
        <f t="shared" ca="1" si="11"/>
        <v/>
      </c>
      <c r="K313" s="2">
        <f>IF(ISNUMBER(SEARCH(Лист2!$B$4,F:F)),1,0)</f>
        <v>0</v>
      </c>
      <c r="L313" s="14">
        <f>IF(ISNUMBER(SEARCH(Лист2!$B$5,I:I)),1,0)+K313</f>
        <v>0</v>
      </c>
      <c r="M313" s="3">
        <f ca="1">IF(AND(N313&lt;&gt;N312,ISNUMBER(SEARCH(Лист2!$B$6,N:N)),L313=2),MAX($M$3:OFFSET(M313,-1,0))+1,0)</f>
        <v>0</v>
      </c>
      <c r="N313" s="3" t="s">
        <v>701</v>
      </c>
    </row>
    <row r="314" spans="1:14" x14ac:dyDescent="0.25">
      <c r="A314" s="1" t="s">
        <v>10088</v>
      </c>
      <c r="B314" s="3" t="s">
        <v>3938</v>
      </c>
      <c r="C314" s="2">
        <f ca="1">IF(ISNUMBER(SEARCH(Лист2!$B$4,D:D)),MAX($C$3:OFFSET(C314,-1,0))+1,0)</f>
        <v>0</v>
      </c>
      <c r="E314" s="9" t="str">
        <f t="shared" ca="1" si="12"/>
        <v/>
      </c>
      <c r="F314" s="4" t="s">
        <v>3</v>
      </c>
      <c r="G314" s="2">
        <f>IF(ISNUMBER(SEARCH(Лист2!$B$4,F:F)),1,0)</f>
        <v>0</v>
      </c>
      <c r="H314" s="3">
        <f ca="1">IF(AND(I314&lt;&gt;I313,ISNUMBER(SEARCH(Лист2!$B$5,I:I)),G314=1),MAX($H$3:OFFSET(H314,-1,0))+1,0)</f>
        <v>0</v>
      </c>
      <c r="I314" s="3" t="s">
        <v>67</v>
      </c>
      <c r="J314" s="4" t="str">
        <f t="shared" ca="1" si="11"/>
        <v/>
      </c>
      <c r="K314" s="2">
        <f>IF(ISNUMBER(SEARCH(Лист2!$B$4,F:F)),1,0)</f>
        <v>0</v>
      </c>
      <c r="L314" s="14">
        <f>IF(ISNUMBER(SEARCH(Лист2!$B$5,I:I)),1,0)+K314</f>
        <v>0</v>
      </c>
      <c r="M314" s="3">
        <f ca="1">IF(AND(N314&lt;&gt;N313,ISNUMBER(SEARCH(Лист2!$B$6,N:N)),L314=2),MAX($M$3:OFFSET(M314,-1,0))+1,0)</f>
        <v>0</v>
      </c>
      <c r="N314" s="3" t="s">
        <v>702</v>
      </c>
    </row>
    <row r="315" spans="1:14" x14ac:dyDescent="0.25">
      <c r="A315" s="1" t="s">
        <v>10089</v>
      </c>
      <c r="B315" s="3" t="s">
        <v>3939</v>
      </c>
      <c r="C315" s="2">
        <f ca="1">IF(ISNUMBER(SEARCH(Лист2!$B$4,D:D)),MAX($C$3:OFFSET(C315,-1,0))+1,0)</f>
        <v>0</v>
      </c>
      <c r="E315" s="9" t="str">
        <f t="shared" ca="1" si="12"/>
        <v/>
      </c>
      <c r="F315" s="4" t="s">
        <v>3</v>
      </c>
      <c r="G315" s="2">
        <f>IF(ISNUMBER(SEARCH(Лист2!$B$4,F:F)),1,0)</f>
        <v>0</v>
      </c>
      <c r="H315" s="3">
        <f ca="1">IF(AND(I315&lt;&gt;I314,ISNUMBER(SEARCH(Лист2!$B$5,I:I)),G315=1),MAX($H$3:OFFSET(H315,-1,0))+1,0)</f>
        <v>0</v>
      </c>
      <c r="I315" s="3" t="s">
        <v>67</v>
      </c>
      <c r="J315" s="4" t="str">
        <f t="shared" ca="1" si="11"/>
        <v/>
      </c>
      <c r="K315" s="2">
        <f>IF(ISNUMBER(SEARCH(Лист2!$B$4,F:F)),1,0)</f>
        <v>0</v>
      </c>
      <c r="L315" s="14">
        <f>IF(ISNUMBER(SEARCH(Лист2!$B$5,I:I)),1,0)+K315</f>
        <v>0</v>
      </c>
      <c r="M315" s="3">
        <f ca="1">IF(AND(N315&lt;&gt;N314,ISNUMBER(SEARCH(Лист2!$B$6,N:N)),L315=2),MAX($M$3:OFFSET(M315,-1,0))+1,0)</f>
        <v>0</v>
      </c>
      <c r="N315" s="3" t="s">
        <v>703</v>
      </c>
    </row>
    <row r="316" spans="1:14" x14ac:dyDescent="0.25">
      <c r="A316" s="1" t="s">
        <v>10090</v>
      </c>
      <c r="B316" s="3" t="s">
        <v>3940</v>
      </c>
      <c r="C316" s="2">
        <f ca="1">IF(ISNUMBER(SEARCH(Лист2!$B$4,D:D)),MAX($C$3:OFFSET(C316,-1,0))+1,0)</f>
        <v>0</v>
      </c>
      <c r="E316" s="9" t="str">
        <f t="shared" ca="1" si="12"/>
        <v/>
      </c>
      <c r="F316" s="4" t="s">
        <v>3</v>
      </c>
      <c r="G316" s="2">
        <f>IF(ISNUMBER(SEARCH(Лист2!$B$4,F:F)),1,0)</f>
        <v>0</v>
      </c>
      <c r="H316" s="3">
        <f ca="1">IF(AND(I316&lt;&gt;I315,ISNUMBER(SEARCH(Лист2!$B$5,I:I)),G316=1),MAX($H$3:OFFSET(H316,-1,0))+1,0)</f>
        <v>0</v>
      </c>
      <c r="I316" s="3" t="s">
        <v>67</v>
      </c>
      <c r="J316" s="4" t="str">
        <f t="shared" ca="1" si="11"/>
        <v/>
      </c>
      <c r="K316" s="2">
        <f>IF(ISNUMBER(SEARCH(Лист2!$B$4,F:F)),1,0)</f>
        <v>0</v>
      </c>
      <c r="L316" s="14">
        <f>IF(ISNUMBER(SEARCH(Лист2!$B$5,I:I)),1,0)+K316</f>
        <v>0</v>
      </c>
      <c r="M316" s="3">
        <f ca="1">IF(AND(N316&lt;&gt;N315,ISNUMBER(SEARCH(Лист2!$B$6,N:N)),L316=2),MAX($M$3:OFFSET(M316,-1,0))+1,0)</f>
        <v>0</v>
      </c>
      <c r="N316" s="3" t="s">
        <v>704</v>
      </c>
    </row>
    <row r="317" spans="1:14" x14ac:dyDescent="0.25">
      <c r="A317" s="1" t="s">
        <v>10091</v>
      </c>
      <c r="B317" s="3" t="s">
        <v>3941</v>
      </c>
      <c r="C317" s="2">
        <f ca="1">IF(ISNUMBER(SEARCH(Лист2!$B$4,D:D)),MAX($C$3:OFFSET(C317,-1,0))+1,0)</f>
        <v>0</v>
      </c>
      <c r="E317" s="9" t="str">
        <f t="shared" ca="1" si="12"/>
        <v/>
      </c>
      <c r="F317" s="4" t="s">
        <v>3</v>
      </c>
      <c r="G317" s="2">
        <f>IF(ISNUMBER(SEARCH(Лист2!$B$4,F:F)),1,0)</f>
        <v>0</v>
      </c>
      <c r="H317" s="3">
        <f ca="1">IF(AND(I317&lt;&gt;I316,ISNUMBER(SEARCH(Лист2!$B$5,I:I)),G317=1),MAX($H$3:OFFSET(H317,-1,0))+1,0)</f>
        <v>0</v>
      </c>
      <c r="I317" s="3" t="s">
        <v>67</v>
      </c>
      <c r="J317" s="4" t="str">
        <f t="shared" ca="1" si="11"/>
        <v/>
      </c>
      <c r="K317" s="2">
        <f>IF(ISNUMBER(SEARCH(Лист2!$B$4,F:F)),1,0)</f>
        <v>0</v>
      </c>
      <c r="L317" s="14">
        <f>IF(ISNUMBER(SEARCH(Лист2!$B$5,I:I)),1,0)+K317</f>
        <v>0</v>
      </c>
      <c r="M317" s="3">
        <f ca="1">IF(AND(N317&lt;&gt;N316,ISNUMBER(SEARCH(Лист2!$B$6,N:N)),L317=2),MAX($M$3:OFFSET(M317,-1,0))+1,0)</f>
        <v>0</v>
      </c>
      <c r="N317" s="3" t="s">
        <v>705</v>
      </c>
    </row>
    <row r="318" spans="1:14" x14ac:dyDescent="0.25">
      <c r="A318" s="1" t="s">
        <v>10092</v>
      </c>
      <c r="B318" s="3" t="s">
        <v>3942</v>
      </c>
      <c r="C318" s="2">
        <f ca="1">IF(ISNUMBER(SEARCH(Лист2!$B$4,D:D)),MAX($C$3:OFFSET(C318,-1,0))+1,0)</f>
        <v>0</v>
      </c>
      <c r="E318" s="9" t="str">
        <f t="shared" ca="1" si="12"/>
        <v/>
      </c>
      <c r="F318" s="4" t="s">
        <v>3</v>
      </c>
      <c r="G318" s="2">
        <f>IF(ISNUMBER(SEARCH(Лист2!$B$4,F:F)),1,0)</f>
        <v>0</v>
      </c>
      <c r="H318" s="3">
        <f ca="1">IF(AND(I318&lt;&gt;I317,ISNUMBER(SEARCH(Лист2!$B$5,I:I)),G318=1),MAX($H$3:OFFSET(H318,-1,0))+1,0)</f>
        <v>0</v>
      </c>
      <c r="I318" s="3" t="s">
        <v>67</v>
      </c>
      <c r="J318" s="4" t="str">
        <f t="shared" ca="1" si="11"/>
        <v/>
      </c>
      <c r="K318" s="2">
        <f>IF(ISNUMBER(SEARCH(Лист2!$B$4,F:F)),1,0)</f>
        <v>0</v>
      </c>
      <c r="L318" s="14">
        <f>IF(ISNUMBER(SEARCH(Лист2!$B$5,I:I)),1,0)+K318</f>
        <v>0</v>
      </c>
      <c r="M318" s="3">
        <f ca="1">IF(AND(N318&lt;&gt;N317,ISNUMBER(SEARCH(Лист2!$B$6,N:N)),L318=2),MAX($M$3:OFFSET(M318,-1,0))+1,0)</f>
        <v>0</v>
      </c>
      <c r="N318" s="3" t="s">
        <v>602</v>
      </c>
    </row>
    <row r="319" spans="1:14" x14ac:dyDescent="0.25">
      <c r="A319" s="1" t="s">
        <v>10093</v>
      </c>
      <c r="B319" s="3" t="s">
        <v>3943</v>
      </c>
      <c r="C319" s="2">
        <f ca="1">IF(ISNUMBER(SEARCH(Лист2!$B$4,D:D)),MAX($C$3:OFFSET(C319,-1,0))+1,0)</f>
        <v>0</v>
      </c>
      <c r="E319" s="9" t="str">
        <f t="shared" ca="1" si="12"/>
        <v/>
      </c>
      <c r="F319" s="4" t="s">
        <v>3</v>
      </c>
      <c r="G319" s="2">
        <f>IF(ISNUMBER(SEARCH(Лист2!$B$4,F:F)),1,0)</f>
        <v>0</v>
      </c>
      <c r="H319" s="3">
        <f ca="1">IF(AND(I319&lt;&gt;I318,ISNUMBER(SEARCH(Лист2!$B$5,I:I)),G319=1),MAX($H$3:OFFSET(H319,-1,0))+1,0)</f>
        <v>0</v>
      </c>
      <c r="I319" s="3" t="s">
        <v>67</v>
      </c>
      <c r="J319" s="4" t="str">
        <f t="shared" ca="1" si="11"/>
        <v/>
      </c>
      <c r="K319" s="2">
        <f>IF(ISNUMBER(SEARCH(Лист2!$B$4,F:F)),1,0)</f>
        <v>0</v>
      </c>
      <c r="L319" s="14">
        <f>IF(ISNUMBER(SEARCH(Лист2!$B$5,I:I)),1,0)+K319</f>
        <v>0</v>
      </c>
      <c r="M319" s="3">
        <f ca="1">IF(AND(N319&lt;&gt;N318,ISNUMBER(SEARCH(Лист2!$B$6,N:N)),L319=2),MAX($M$3:OFFSET(M319,-1,0))+1,0)</f>
        <v>0</v>
      </c>
      <c r="N319" s="3" t="s">
        <v>706</v>
      </c>
    </row>
    <row r="320" spans="1:14" x14ac:dyDescent="0.25">
      <c r="A320" s="1" t="s">
        <v>10094</v>
      </c>
      <c r="B320" s="3" t="s">
        <v>3944</v>
      </c>
      <c r="C320" s="2">
        <f ca="1">IF(ISNUMBER(SEARCH(Лист2!$B$4,D:D)),MAX($C$3:OFFSET(C320,-1,0))+1,0)</f>
        <v>0</v>
      </c>
      <c r="E320" s="9" t="str">
        <f t="shared" ca="1" si="12"/>
        <v/>
      </c>
      <c r="F320" s="4" t="s">
        <v>3</v>
      </c>
      <c r="G320" s="2">
        <f>IF(ISNUMBER(SEARCH(Лист2!$B$4,F:F)),1,0)</f>
        <v>0</v>
      </c>
      <c r="H320" s="3">
        <f ca="1">IF(AND(I320&lt;&gt;I319,ISNUMBER(SEARCH(Лист2!$B$5,I:I)),G320=1),MAX($H$3:OFFSET(H320,-1,0))+1,0)</f>
        <v>0</v>
      </c>
      <c r="I320" s="3" t="s">
        <v>67</v>
      </c>
      <c r="J320" s="4" t="str">
        <f t="shared" ca="1" si="11"/>
        <v/>
      </c>
      <c r="K320" s="2">
        <f>IF(ISNUMBER(SEARCH(Лист2!$B$4,F:F)),1,0)</f>
        <v>0</v>
      </c>
      <c r="L320" s="14">
        <f>IF(ISNUMBER(SEARCH(Лист2!$B$5,I:I)),1,0)+K320</f>
        <v>0</v>
      </c>
      <c r="M320" s="3">
        <f ca="1">IF(AND(N320&lt;&gt;N319,ISNUMBER(SEARCH(Лист2!$B$6,N:N)),L320=2),MAX($M$3:OFFSET(M320,-1,0))+1,0)</f>
        <v>0</v>
      </c>
      <c r="N320" s="3" t="s">
        <v>707</v>
      </c>
    </row>
    <row r="321" spans="1:14" x14ac:dyDescent="0.25">
      <c r="A321" s="1" t="s">
        <v>10095</v>
      </c>
      <c r="B321" s="3" t="s">
        <v>3945</v>
      </c>
      <c r="C321" s="2">
        <f ca="1">IF(ISNUMBER(SEARCH(Лист2!$B$4,D:D)),MAX($C$3:OFFSET(C321,-1,0))+1,0)</f>
        <v>0</v>
      </c>
      <c r="E321" s="9" t="str">
        <f t="shared" ca="1" si="12"/>
        <v/>
      </c>
      <c r="F321" s="4" t="s">
        <v>3</v>
      </c>
      <c r="G321" s="2">
        <f>IF(ISNUMBER(SEARCH(Лист2!$B$4,F:F)),1,0)</f>
        <v>0</v>
      </c>
      <c r="H321" s="3">
        <f ca="1">IF(AND(I321&lt;&gt;I320,ISNUMBER(SEARCH(Лист2!$B$5,I:I)),G321=1),MAX($H$3:OFFSET(H321,-1,0))+1,0)</f>
        <v>0</v>
      </c>
      <c r="I321" s="3" t="s">
        <v>67</v>
      </c>
      <c r="J321" s="4" t="str">
        <f t="shared" ca="1" si="11"/>
        <v/>
      </c>
      <c r="K321" s="2">
        <f>IF(ISNUMBER(SEARCH(Лист2!$B$4,F:F)),1,0)</f>
        <v>0</v>
      </c>
      <c r="L321" s="14">
        <f>IF(ISNUMBER(SEARCH(Лист2!$B$5,I:I)),1,0)+K321</f>
        <v>0</v>
      </c>
      <c r="M321" s="3">
        <f ca="1">IF(AND(N321&lt;&gt;N320,ISNUMBER(SEARCH(Лист2!$B$6,N:N)),L321=2),MAX($M$3:OFFSET(M321,-1,0))+1,0)</f>
        <v>0</v>
      </c>
      <c r="N321" s="3" t="s">
        <v>708</v>
      </c>
    </row>
    <row r="322" spans="1:14" x14ac:dyDescent="0.25">
      <c r="A322" s="1" t="s">
        <v>10096</v>
      </c>
      <c r="B322" s="3" t="s">
        <v>3946</v>
      </c>
      <c r="C322" s="2">
        <f ca="1">IF(ISNUMBER(SEARCH(Лист2!$B$4,D:D)),MAX($C$3:OFFSET(C322,-1,0))+1,0)</f>
        <v>0</v>
      </c>
      <c r="E322" s="9" t="str">
        <f t="shared" ca="1" si="12"/>
        <v/>
      </c>
      <c r="F322" s="4" t="s">
        <v>3</v>
      </c>
      <c r="G322" s="2">
        <f>IF(ISNUMBER(SEARCH(Лист2!$B$4,F:F)),1,0)</f>
        <v>0</v>
      </c>
      <c r="H322" s="3">
        <f ca="1">IF(AND(I322&lt;&gt;I321,ISNUMBER(SEARCH(Лист2!$B$5,I:I)),G322=1),MAX($H$3:OFFSET(H322,-1,0))+1,0)</f>
        <v>0</v>
      </c>
      <c r="I322" s="3" t="s">
        <v>67</v>
      </c>
      <c r="J322" s="4" t="str">
        <f t="shared" ca="1" si="11"/>
        <v/>
      </c>
      <c r="K322" s="2">
        <f>IF(ISNUMBER(SEARCH(Лист2!$B$4,F:F)),1,0)</f>
        <v>0</v>
      </c>
      <c r="L322" s="14">
        <f>IF(ISNUMBER(SEARCH(Лист2!$B$5,I:I)),1,0)+K322</f>
        <v>0</v>
      </c>
      <c r="M322" s="3">
        <f ca="1">IF(AND(N322&lt;&gt;N321,ISNUMBER(SEARCH(Лист2!$B$6,N:N)),L322=2),MAX($M$3:OFFSET(M322,-1,0))+1,0)</f>
        <v>0</v>
      </c>
      <c r="N322" s="3" t="s">
        <v>709</v>
      </c>
    </row>
    <row r="323" spans="1:14" x14ac:dyDescent="0.25">
      <c r="A323" s="1" t="s">
        <v>10097</v>
      </c>
      <c r="B323" s="3" t="s">
        <v>3947</v>
      </c>
      <c r="C323" s="2">
        <f ca="1">IF(ISNUMBER(SEARCH(Лист2!$B$4,D:D)),MAX($C$3:OFFSET(C323,-1,0))+1,0)</f>
        <v>0</v>
      </c>
      <c r="E323" s="9" t="str">
        <f t="shared" ca="1" si="12"/>
        <v/>
      </c>
      <c r="F323" s="4" t="s">
        <v>3</v>
      </c>
      <c r="G323" s="2">
        <f>IF(ISNUMBER(SEARCH(Лист2!$B$4,F:F)),1,0)</f>
        <v>0</v>
      </c>
      <c r="H323" s="3">
        <f ca="1">IF(AND(I323&lt;&gt;I322,ISNUMBER(SEARCH(Лист2!$B$5,I:I)),G323=1),MAX($H$3:OFFSET(H323,-1,0))+1,0)</f>
        <v>0</v>
      </c>
      <c r="I323" s="3" t="s">
        <v>67</v>
      </c>
      <c r="J323" s="4" t="str">
        <f t="shared" ca="1" si="11"/>
        <v/>
      </c>
      <c r="K323" s="2">
        <f>IF(ISNUMBER(SEARCH(Лист2!$B$4,F:F)),1,0)</f>
        <v>0</v>
      </c>
      <c r="L323" s="14">
        <f>IF(ISNUMBER(SEARCH(Лист2!$B$5,I:I)),1,0)+K323</f>
        <v>0</v>
      </c>
      <c r="M323" s="3">
        <f ca="1">IF(AND(N323&lt;&gt;N322,ISNUMBER(SEARCH(Лист2!$B$6,N:N)),L323=2),MAX($M$3:OFFSET(M323,-1,0))+1,0)</f>
        <v>0</v>
      </c>
      <c r="N323" s="3" t="s">
        <v>710</v>
      </c>
    </row>
    <row r="324" spans="1:14" x14ac:dyDescent="0.25">
      <c r="A324" s="1" t="s">
        <v>10098</v>
      </c>
      <c r="B324" s="3" t="s">
        <v>3948</v>
      </c>
      <c r="C324" s="2">
        <f ca="1">IF(ISNUMBER(SEARCH(Лист2!$B$4,D:D)),MAX($C$3:OFFSET(C324,-1,0))+1,0)</f>
        <v>0</v>
      </c>
      <c r="E324" s="9" t="str">
        <f t="shared" ca="1" si="12"/>
        <v/>
      </c>
      <c r="F324" s="4" t="s">
        <v>3</v>
      </c>
      <c r="G324" s="2">
        <f>IF(ISNUMBER(SEARCH(Лист2!$B$4,F:F)),1,0)</f>
        <v>0</v>
      </c>
      <c r="H324" s="3">
        <f ca="1">IF(AND(I324&lt;&gt;I323,ISNUMBER(SEARCH(Лист2!$B$5,I:I)),G324=1),MAX($H$3:OFFSET(H324,-1,0))+1,0)</f>
        <v>0</v>
      </c>
      <c r="I324" s="3" t="s">
        <v>68</v>
      </c>
      <c r="J324" s="4" t="str">
        <f t="shared" ref="J324:J387" ca="1" si="13">IFERROR(INDEX(I:I,MATCH(ROW(J324)-ROW($E$3),H:H,0)),"")</f>
        <v/>
      </c>
      <c r="K324" s="2">
        <f>IF(ISNUMBER(SEARCH(Лист2!$B$4,F:F)),1,0)</f>
        <v>0</v>
      </c>
      <c r="L324" s="14">
        <f>IF(ISNUMBER(SEARCH(Лист2!$B$5,I:I)),1,0)+K324</f>
        <v>0</v>
      </c>
      <c r="M324" s="3">
        <f ca="1">IF(AND(N324&lt;&gt;N323,ISNUMBER(SEARCH(Лист2!$B$6,N:N)),L324=2),MAX($M$3:OFFSET(M324,-1,0))+1,0)</f>
        <v>0</v>
      </c>
      <c r="N324" s="3" t="s">
        <v>711</v>
      </c>
    </row>
    <row r="325" spans="1:14" x14ac:dyDescent="0.25">
      <c r="A325" s="1" t="s">
        <v>10099</v>
      </c>
      <c r="B325" s="3" t="s">
        <v>3949</v>
      </c>
      <c r="C325" s="2">
        <f ca="1">IF(ISNUMBER(SEARCH(Лист2!$B$4,D:D)),MAX($C$3:OFFSET(C325,-1,0))+1,0)</f>
        <v>0</v>
      </c>
      <c r="E325" s="9" t="str">
        <f t="shared" ref="E325:E388" ca="1" si="14">IFERROR(INDEX(D:D,MATCH(ROW(E325)-ROW($E$3),C:C,0)),"")</f>
        <v/>
      </c>
      <c r="F325" s="4" t="s">
        <v>3</v>
      </c>
      <c r="G325" s="2">
        <f>IF(ISNUMBER(SEARCH(Лист2!$B$4,F:F)),1,0)</f>
        <v>0</v>
      </c>
      <c r="H325" s="3">
        <f ca="1">IF(AND(I325&lt;&gt;I324,ISNUMBER(SEARCH(Лист2!$B$5,I:I)),G325=1),MAX($H$3:OFFSET(H325,-1,0))+1,0)</f>
        <v>0</v>
      </c>
      <c r="I325" s="3" t="s">
        <v>68</v>
      </c>
      <c r="J325" s="4" t="str">
        <f t="shared" ca="1" si="13"/>
        <v/>
      </c>
      <c r="K325" s="2">
        <f>IF(ISNUMBER(SEARCH(Лист2!$B$4,F:F)),1,0)</f>
        <v>0</v>
      </c>
      <c r="L325" s="14">
        <f>IF(ISNUMBER(SEARCH(Лист2!$B$5,I:I)),1,0)+K325</f>
        <v>0</v>
      </c>
      <c r="M325" s="3">
        <f ca="1">IF(AND(N325&lt;&gt;N324,ISNUMBER(SEARCH(Лист2!$B$6,N:N)),L325=2),MAX($M$3:OFFSET(M325,-1,0))+1,0)</f>
        <v>0</v>
      </c>
      <c r="N325" s="3" t="s">
        <v>712</v>
      </c>
    </row>
    <row r="326" spans="1:14" x14ac:dyDescent="0.25">
      <c r="A326" s="1" t="s">
        <v>10100</v>
      </c>
      <c r="B326" s="3" t="s">
        <v>3950</v>
      </c>
      <c r="C326" s="2">
        <f ca="1">IF(ISNUMBER(SEARCH(Лист2!$B$4,D:D)),MAX($C$3:OFFSET(C326,-1,0))+1,0)</f>
        <v>0</v>
      </c>
      <c r="E326" s="9" t="str">
        <f t="shared" ca="1" si="14"/>
        <v/>
      </c>
      <c r="F326" s="4" t="s">
        <v>3</v>
      </c>
      <c r="G326" s="2">
        <f>IF(ISNUMBER(SEARCH(Лист2!$B$4,F:F)),1,0)</f>
        <v>0</v>
      </c>
      <c r="H326" s="3">
        <f ca="1">IF(AND(I326&lt;&gt;I325,ISNUMBER(SEARCH(Лист2!$B$5,I:I)),G326=1),MAX($H$3:OFFSET(H326,-1,0))+1,0)</f>
        <v>0</v>
      </c>
      <c r="I326" s="3" t="s">
        <v>68</v>
      </c>
      <c r="J326" s="4" t="str">
        <f t="shared" ca="1" si="13"/>
        <v/>
      </c>
      <c r="K326" s="2">
        <f>IF(ISNUMBER(SEARCH(Лист2!$B$4,F:F)),1,0)</f>
        <v>0</v>
      </c>
      <c r="L326" s="14">
        <f>IF(ISNUMBER(SEARCH(Лист2!$B$5,I:I)),1,0)+K326</f>
        <v>0</v>
      </c>
      <c r="M326" s="3">
        <f ca="1">IF(AND(N326&lt;&gt;N325,ISNUMBER(SEARCH(Лист2!$B$6,N:N)),L326=2),MAX($M$3:OFFSET(M326,-1,0))+1,0)</f>
        <v>0</v>
      </c>
      <c r="N326" s="3" t="s">
        <v>713</v>
      </c>
    </row>
    <row r="327" spans="1:14" x14ac:dyDescent="0.25">
      <c r="A327" s="1" t="s">
        <v>10101</v>
      </c>
      <c r="B327" s="3" t="s">
        <v>3951</v>
      </c>
      <c r="C327" s="2">
        <f ca="1">IF(ISNUMBER(SEARCH(Лист2!$B$4,D:D)),MAX($C$3:OFFSET(C327,-1,0))+1,0)</f>
        <v>0</v>
      </c>
      <c r="E327" s="9" t="str">
        <f t="shared" ca="1" si="14"/>
        <v/>
      </c>
      <c r="F327" s="4" t="s">
        <v>3</v>
      </c>
      <c r="G327" s="2">
        <f>IF(ISNUMBER(SEARCH(Лист2!$B$4,F:F)),1,0)</f>
        <v>0</v>
      </c>
      <c r="H327" s="3">
        <f ca="1">IF(AND(I327&lt;&gt;I326,ISNUMBER(SEARCH(Лист2!$B$5,I:I)),G327=1),MAX($H$3:OFFSET(H327,-1,0))+1,0)</f>
        <v>0</v>
      </c>
      <c r="I327" s="3" t="s">
        <v>68</v>
      </c>
      <c r="J327" s="4" t="str">
        <f t="shared" ca="1" si="13"/>
        <v/>
      </c>
      <c r="K327" s="2">
        <f>IF(ISNUMBER(SEARCH(Лист2!$B$4,F:F)),1,0)</f>
        <v>0</v>
      </c>
      <c r="L327" s="14">
        <f>IF(ISNUMBER(SEARCH(Лист2!$B$5,I:I)),1,0)+K327</f>
        <v>0</v>
      </c>
      <c r="M327" s="3">
        <f ca="1">IF(AND(N327&lt;&gt;N326,ISNUMBER(SEARCH(Лист2!$B$6,N:N)),L327=2),MAX($M$3:OFFSET(M327,-1,0))+1,0)</f>
        <v>0</v>
      </c>
      <c r="N327" s="3" t="s">
        <v>714</v>
      </c>
    </row>
    <row r="328" spans="1:14" x14ac:dyDescent="0.25">
      <c r="A328" s="1" t="s">
        <v>10102</v>
      </c>
      <c r="B328" s="3" t="s">
        <v>3952</v>
      </c>
      <c r="C328" s="2">
        <f ca="1">IF(ISNUMBER(SEARCH(Лист2!$B$4,D:D)),MAX($C$3:OFFSET(C328,-1,0))+1,0)</f>
        <v>0</v>
      </c>
      <c r="E328" s="9" t="str">
        <f t="shared" ca="1" si="14"/>
        <v/>
      </c>
      <c r="F328" s="4" t="s">
        <v>3</v>
      </c>
      <c r="G328" s="2">
        <f>IF(ISNUMBER(SEARCH(Лист2!$B$4,F:F)),1,0)</f>
        <v>0</v>
      </c>
      <c r="H328" s="3">
        <f ca="1">IF(AND(I328&lt;&gt;I327,ISNUMBER(SEARCH(Лист2!$B$5,I:I)),G328=1),MAX($H$3:OFFSET(H328,-1,0))+1,0)</f>
        <v>0</v>
      </c>
      <c r="I328" s="3" t="s">
        <v>68</v>
      </c>
      <c r="J328" s="4" t="str">
        <f t="shared" ca="1" si="13"/>
        <v/>
      </c>
      <c r="K328" s="2">
        <f>IF(ISNUMBER(SEARCH(Лист2!$B$4,F:F)),1,0)</f>
        <v>0</v>
      </c>
      <c r="L328" s="14">
        <f>IF(ISNUMBER(SEARCH(Лист2!$B$5,I:I)),1,0)+K328</f>
        <v>0</v>
      </c>
      <c r="M328" s="3">
        <f ca="1">IF(AND(N328&lt;&gt;N327,ISNUMBER(SEARCH(Лист2!$B$6,N:N)),L328=2),MAX($M$3:OFFSET(M328,-1,0))+1,0)</f>
        <v>0</v>
      </c>
      <c r="N328" s="3" t="s">
        <v>602</v>
      </c>
    </row>
    <row r="329" spans="1:14" x14ac:dyDescent="0.25">
      <c r="A329" s="1" t="s">
        <v>10103</v>
      </c>
      <c r="B329" s="3" t="s">
        <v>3953</v>
      </c>
      <c r="C329" s="2">
        <f ca="1">IF(ISNUMBER(SEARCH(Лист2!$B$4,D:D)),MAX($C$3:OFFSET(C329,-1,0))+1,0)</f>
        <v>0</v>
      </c>
      <c r="E329" s="9" t="str">
        <f t="shared" ca="1" si="14"/>
        <v/>
      </c>
      <c r="F329" s="4" t="s">
        <v>3</v>
      </c>
      <c r="G329" s="2">
        <f>IF(ISNUMBER(SEARCH(Лист2!$B$4,F:F)),1,0)</f>
        <v>0</v>
      </c>
      <c r="H329" s="3">
        <f ca="1">IF(AND(I329&lt;&gt;I328,ISNUMBER(SEARCH(Лист2!$B$5,I:I)),G329=1),MAX($H$3:OFFSET(H329,-1,0))+1,0)</f>
        <v>0</v>
      </c>
      <c r="I329" s="3" t="s">
        <v>68</v>
      </c>
      <c r="J329" s="4" t="str">
        <f t="shared" ca="1" si="13"/>
        <v/>
      </c>
      <c r="K329" s="2">
        <f>IF(ISNUMBER(SEARCH(Лист2!$B$4,F:F)),1,0)</f>
        <v>0</v>
      </c>
      <c r="L329" s="14">
        <f>IF(ISNUMBER(SEARCH(Лист2!$B$5,I:I)),1,0)+K329</f>
        <v>0</v>
      </c>
      <c r="M329" s="3">
        <f ca="1">IF(AND(N329&lt;&gt;N328,ISNUMBER(SEARCH(Лист2!$B$6,N:N)),L329=2),MAX($M$3:OFFSET(M329,-1,0))+1,0)</f>
        <v>0</v>
      </c>
      <c r="N329" s="3" t="s">
        <v>715</v>
      </c>
    </row>
    <row r="330" spans="1:14" x14ac:dyDescent="0.25">
      <c r="A330" s="1" t="s">
        <v>10104</v>
      </c>
      <c r="B330" s="3" t="s">
        <v>3954</v>
      </c>
      <c r="C330" s="2">
        <f ca="1">IF(ISNUMBER(SEARCH(Лист2!$B$4,D:D)),MAX($C$3:OFFSET(C330,-1,0))+1,0)</f>
        <v>0</v>
      </c>
      <c r="E330" s="9" t="str">
        <f t="shared" ca="1" si="14"/>
        <v/>
      </c>
      <c r="F330" s="4" t="s">
        <v>3</v>
      </c>
      <c r="G330" s="2">
        <f>IF(ISNUMBER(SEARCH(Лист2!$B$4,F:F)),1,0)</f>
        <v>0</v>
      </c>
      <c r="H330" s="3">
        <f ca="1">IF(AND(I330&lt;&gt;I329,ISNUMBER(SEARCH(Лист2!$B$5,I:I)),G330=1),MAX($H$3:OFFSET(H330,-1,0))+1,0)</f>
        <v>0</v>
      </c>
      <c r="I330" s="3" t="s">
        <v>68</v>
      </c>
      <c r="J330" s="4" t="str">
        <f t="shared" ca="1" si="13"/>
        <v/>
      </c>
      <c r="K330" s="2">
        <f>IF(ISNUMBER(SEARCH(Лист2!$B$4,F:F)),1,0)</f>
        <v>0</v>
      </c>
      <c r="L330" s="14">
        <f>IF(ISNUMBER(SEARCH(Лист2!$B$5,I:I)),1,0)+K330</f>
        <v>0</v>
      </c>
      <c r="M330" s="3">
        <f ca="1">IF(AND(N330&lt;&gt;N329,ISNUMBER(SEARCH(Лист2!$B$6,N:N)),L330=2),MAX($M$3:OFFSET(M330,-1,0))+1,0)</f>
        <v>0</v>
      </c>
      <c r="N330" s="3" t="s">
        <v>716</v>
      </c>
    </row>
    <row r="331" spans="1:14" x14ac:dyDescent="0.25">
      <c r="A331" s="1" t="s">
        <v>10105</v>
      </c>
      <c r="B331" s="3" t="s">
        <v>3955</v>
      </c>
      <c r="C331" s="2">
        <f ca="1">IF(ISNUMBER(SEARCH(Лист2!$B$4,D:D)),MAX($C$3:OFFSET(C331,-1,0))+1,0)</f>
        <v>0</v>
      </c>
      <c r="E331" s="9" t="str">
        <f t="shared" ca="1" si="14"/>
        <v/>
      </c>
      <c r="F331" s="4" t="s">
        <v>3</v>
      </c>
      <c r="G331" s="2">
        <f>IF(ISNUMBER(SEARCH(Лист2!$B$4,F:F)),1,0)</f>
        <v>0</v>
      </c>
      <c r="H331" s="3">
        <f ca="1">IF(AND(I331&lt;&gt;I330,ISNUMBER(SEARCH(Лист2!$B$5,I:I)),G331=1),MAX($H$3:OFFSET(H331,-1,0))+1,0)</f>
        <v>0</v>
      </c>
      <c r="I331" s="3" t="s">
        <v>68</v>
      </c>
      <c r="J331" s="4" t="str">
        <f t="shared" ca="1" si="13"/>
        <v/>
      </c>
      <c r="K331" s="2">
        <f>IF(ISNUMBER(SEARCH(Лист2!$B$4,F:F)),1,0)</f>
        <v>0</v>
      </c>
      <c r="L331" s="14">
        <f>IF(ISNUMBER(SEARCH(Лист2!$B$5,I:I)),1,0)+K331</f>
        <v>0</v>
      </c>
      <c r="M331" s="3">
        <f ca="1">IF(AND(N331&lt;&gt;N330,ISNUMBER(SEARCH(Лист2!$B$6,N:N)),L331=2),MAX($M$3:OFFSET(M331,-1,0))+1,0)</f>
        <v>0</v>
      </c>
      <c r="N331" s="3" t="s">
        <v>717</v>
      </c>
    </row>
    <row r="332" spans="1:14" x14ac:dyDescent="0.25">
      <c r="A332" s="1" t="s">
        <v>10106</v>
      </c>
      <c r="B332" s="3" t="s">
        <v>3956</v>
      </c>
      <c r="C332" s="2">
        <f ca="1">IF(ISNUMBER(SEARCH(Лист2!$B$4,D:D)),MAX($C$3:OFFSET(C332,-1,0))+1,0)</f>
        <v>0</v>
      </c>
      <c r="E332" s="9" t="str">
        <f t="shared" ca="1" si="14"/>
        <v/>
      </c>
      <c r="F332" s="4" t="s">
        <v>3</v>
      </c>
      <c r="G332" s="2">
        <f>IF(ISNUMBER(SEARCH(Лист2!$B$4,F:F)),1,0)</f>
        <v>0</v>
      </c>
      <c r="H332" s="3">
        <f ca="1">IF(AND(I332&lt;&gt;I331,ISNUMBER(SEARCH(Лист2!$B$5,I:I)),G332=1),MAX($H$3:OFFSET(H332,-1,0))+1,0)</f>
        <v>0</v>
      </c>
      <c r="I332" s="3" t="s">
        <v>68</v>
      </c>
      <c r="J332" s="4" t="str">
        <f t="shared" ca="1" si="13"/>
        <v/>
      </c>
      <c r="K332" s="2">
        <f>IF(ISNUMBER(SEARCH(Лист2!$B$4,F:F)),1,0)</f>
        <v>0</v>
      </c>
      <c r="L332" s="14">
        <f>IF(ISNUMBER(SEARCH(Лист2!$B$5,I:I)),1,0)+K332</f>
        <v>0</v>
      </c>
      <c r="M332" s="3">
        <f ca="1">IF(AND(N332&lt;&gt;N331,ISNUMBER(SEARCH(Лист2!$B$6,N:N)),L332=2),MAX($M$3:OFFSET(M332,-1,0))+1,0)</f>
        <v>0</v>
      </c>
      <c r="N332" s="3" t="s">
        <v>709</v>
      </c>
    </row>
    <row r="333" spans="1:14" x14ac:dyDescent="0.25">
      <c r="A333" s="1" t="s">
        <v>10107</v>
      </c>
      <c r="B333" s="3" t="s">
        <v>3957</v>
      </c>
      <c r="C333" s="2">
        <f ca="1">IF(ISNUMBER(SEARCH(Лист2!$B$4,D:D)),MAX($C$3:OFFSET(C333,-1,0))+1,0)</f>
        <v>0</v>
      </c>
      <c r="E333" s="9" t="str">
        <f t="shared" ca="1" si="14"/>
        <v/>
      </c>
      <c r="F333" s="4" t="s">
        <v>3</v>
      </c>
      <c r="G333" s="2">
        <f>IF(ISNUMBER(SEARCH(Лист2!$B$4,F:F)),1,0)</f>
        <v>0</v>
      </c>
      <c r="H333" s="3">
        <f ca="1">IF(AND(I333&lt;&gt;I332,ISNUMBER(SEARCH(Лист2!$B$5,I:I)),G333=1),MAX($H$3:OFFSET(H333,-1,0))+1,0)</f>
        <v>0</v>
      </c>
      <c r="I333" s="3" t="s">
        <v>68</v>
      </c>
      <c r="J333" s="4" t="str">
        <f t="shared" ca="1" si="13"/>
        <v/>
      </c>
      <c r="K333" s="2">
        <f>IF(ISNUMBER(SEARCH(Лист2!$B$4,F:F)),1,0)</f>
        <v>0</v>
      </c>
      <c r="L333" s="14">
        <f>IF(ISNUMBER(SEARCH(Лист2!$B$5,I:I)),1,0)+K333</f>
        <v>0</v>
      </c>
      <c r="M333" s="3">
        <f ca="1">IF(AND(N333&lt;&gt;N332,ISNUMBER(SEARCH(Лист2!$B$6,N:N)),L333=2),MAX($M$3:OFFSET(M333,-1,0))+1,0)</f>
        <v>0</v>
      </c>
      <c r="N333" s="3" t="s">
        <v>718</v>
      </c>
    </row>
    <row r="334" spans="1:14" x14ac:dyDescent="0.25">
      <c r="A334" s="1" t="s">
        <v>10108</v>
      </c>
      <c r="B334" s="3" t="s">
        <v>3958</v>
      </c>
      <c r="C334" s="2">
        <f ca="1">IF(ISNUMBER(SEARCH(Лист2!$B$4,D:D)),MAX($C$3:OFFSET(C334,-1,0))+1,0)</f>
        <v>0</v>
      </c>
      <c r="E334" s="9" t="str">
        <f t="shared" ca="1" si="14"/>
        <v/>
      </c>
      <c r="F334" s="4" t="s">
        <v>3</v>
      </c>
      <c r="G334" s="2">
        <f>IF(ISNUMBER(SEARCH(Лист2!$B$4,F:F)),1,0)</f>
        <v>0</v>
      </c>
      <c r="H334" s="3">
        <f ca="1">IF(AND(I334&lt;&gt;I333,ISNUMBER(SEARCH(Лист2!$B$5,I:I)),G334=1),MAX($H$3:OFFSET(H334,-1,0))+1,0)</f>
        <v>0</v>
      </c>
      <c r="I334" s="3" t="s">
        <v>68</v>
      </c>
      <c r="J334" s="4" t="str">
        <f t="shared" ca="1" si="13"/>
        <v/>
      </c>
      <c r="K334" s="2">
        <f>IF(ISNUMBER(SEARCH(Лист2!$B$4,F:F)),1,0)</f>
        <v>0</v>
      </c>
      <c r="L334" s="14">
        <f>IF(ISNUMBER(SEARCH(Лист2!$B$5,I:I)),1,0)+K334</f>
        <v>0</v>
      </c>
      <c r="M334" s="3">
        <f ca="1">IF(AND(N334&lt;&gt;N333,ISNUMBER(SEARCH(Лист2!$B$6,N:N)),L334=2),MAX($M$3:OFFSET(M334,-1,0))+1,0)</f>
        <v>0</v>
      </c>
      <c r="N334" s="3" t="s">
        <v>719</v>
      </c>
    </row>
    <row r="335" spans="1:14" x14ac:dyDescent="0.25">
      <c r="A335" s="1" t="s">
        <v>10109</v>
      </c>
      <c r="B335" s="3" t="s">
        <v>3959</v>
      </c>
      <c r="C335" s="2">
        <f ca="1">IF(ISNUMBER(SEARCH(Лист2!$B$4,D:D)),MAX($C$3:OFFSET(C335,-1,0))+1,0)</f>
        <v>0</v>
      </c>
      <c r="E335" s="9" t="str">
        <f t="shared" ca="1" si="14"/>
        <v/>
      </c>
      <c r="F335" s="4" t="s">
        <v>3</v>
      </c>
      <c r="G335" s="2">
        <f>IF(ISNUMBER(SEARCH(Лист2!$B$4,F:F)),1,0)</f>
        <v>0</v>
      </c>
      <c r="H335" s="3">
        <f ca="1">IF(AND(I335&lt;&gt;I334,ISNUMBER(SEARCH(Лист2!$B$5,I:I)),G335=1),MAX($H$3:OFFSET(H335,-1,0))+1,0)</f>
        <v>0</v>
      </c>
      <c r="I335" s="3" t="s">
        <v>69</v>
      </c>
      <c r="J335" s="4" t="str">
        <f t="shared" ca="1" si="13"/>
        <v/>
      </c>
      <c r="K335" s="2">
        <f>IF(ISNUMBER(SEARCH(Лист2!$B$4,F:F)),1,0)</f>
        <v>0</v>
      </c>
      <c r="L335" s="14">
        <f>IF(ISNUMBER(SEARCH(Лист2!$B$5,I:I)),1,0)+K335</f>
        <v>0</v>
      </c>
      <c r="M335" s="3">
        <f ca="1">IF(AND(N335&lt;&gt;N334,ISNUMBER(SEARCH(Лист2!$B$6,N:N)),L335=2),MAX($M$3:OFFSET(M335,-1,0))+1,0)</f>
        <v>0</v>
      </c>
      <c r="N335" s="3" t="s">
        <v>720</v>
      </c>
    </row>
    <row r="336" spans="1:14" x14ac:dyDescent="0.25">
      <c r="A336" s="1" t="s">
        <v>10110</v>
      </c>
      <c r="B336" s="3" t="s">
        <v>3960</v>
      </c>
      <c r="C336" s="2">
        <f ca="1">IF(ISNUMBER(SEARCH(Лист2!$B$4,D:D)),MAX($C$3:OFFSET(C336,-1,0))+1,0)</f>
        <v>0</v>
      </c>
      <c r="E336" s="9" t="str">
        <f t="shared" ca="1" si="14"/>
        <v/>
      </c>
      <c r="F336" s="4" t="s">
        <v>3</v>
      </c>
      <c r="G336" s="2">
        <f>IF(ISNUMBER(SEARCH(Лист2!$B$4,F:F)),1,0)</f>
        <v>0</v>
      </c>
      <c r="H336" s="3">
        <f ca="1">IF(AND(I336&lt;&gt;I335,ISNUMBER(SEARCH(Лист2!$B$5,I:I)),G336=1),MAX($H$3:OFFSET(H336,-1,0))+1,0)</f>
        <v>0</v>
      </c>
      <c r="I336" s="3" t="s">
        <v>69</v>
      </c>
      <c r="J336" s="4" t="str">
        <f t="shared" ca="1" si="13"/>
        <v/>
      </c>
      <c r="K336" s="2">
        <f>IF(ISNUMBER(SEARCH(Лист2!$B$4,F:F)),1,0)</f>
        <v>0</v>
      </c>
      <c r="L336" s="14">
        <f>IF(ISNUMBER(SEARCH(Лист2!$B$5,I:I)),1,0)+K336</f>
        <v>0</v>
      </c>
      <c r="M336" s="3">
        <f ca="1">IF(AND(N336&lt;&gt;N335,ISNUMBER(SEARCH(Лист2!$B$6,N:N)),L336=2),MAX($M$3:OFFSET(M336,-1,0))+1,0)</f>
        <v>0</v>
      </c>
      <c r="N336" s="3" t="s">
        <v>721</v>
      </c>
    </row>
    <row r="337" spans="1:14" x14ac:dyDescent="0.25">
      <c r="A337" s="1" t="s">
        <v>10111</v>
      </c>
      <c r="B337" s="3" t="s">
        <v>3961</v>
      </c>
      <c r="C337" s="2">
        <f ca="1">IF(ISNUMBER(SEARCH(Лист2!$B$4,D:D)),MAX($C$3:OFFSET(C337,-1,0))+1,0)</f>
        <v>0</v>
      </c>
      <c r="E337" s="9" t="str">
        <f t="shared" ca="1" si="14"/>
        <v/>
      </c>
      <c r="F337" s="4" t="s">
        <v>3</v>
      </c>
      <c r="G337" s="2">
        <f>IF(ISNUMBER(SEARCH(Лист2!$B$4,F:F)),1,0)</f>
        <v>0</v>
      </c>
      <c r="H337" s="3">
        <f ca="1">IF(AND(I337&lt;&gt;I336,ISNUMBER(SEARCH(Лист2!$B$5,I:I)),G337=1),MAX($H$3:OFFSET(H337,-1,0))+1,0)</f>
        <v>0</v>
      </c>
      <c r="I337" s="3" t="s">
        <v>69</v>
      </c>
      <c r="J337" s="4" t="str">
        <f t="shared" ca="1" si="13"/>
        <v/>
      </c>
      <c r="K337" s="2">
        <f>IF(ISNUMBER(SEARCH(Лист2!$B$4,F:F)),1,0)</f>
        <v>0</v>
      </c>
      <c r="L337" s="14">
        <f>IF(ISNUMBER(SEARCH(Лист2!$B$5,I:I)),1,0)+K337</f>
        <v>0</v>
      </c>
      <c r="M337" s="3">
        <f ca="1">IF(AND(N337&lt;&gt;N336,ISNUMBER(SEARCH(Лист2!$B$6,N:N)),L337=2),MAX($M$3:OFFSET(M337,-1,0))+1,0)</f>
        <v>0</v>
      </c>
      <c r="N337" s="3" t="s">
        <v>602</v>
      </c>
    </row>
    <row r="338" spans="1:14" x14ac:dyDescent="0.25">
      <c r="A338" s="1" t="s">
        <v>10112</v>
      </c>
      <c r="B338" s="3" t="s">
        <v>3962</v>
      </c>
      <c r="C338" s="2">
        <f ca="1">IF(ISNUMBER(SEARCH(Лист2!$B$4,D:D)),MAX($C$3:OFFSET(C338,-1,0))+1,0)</f>
        <v>0</v>
      </c>
      <c r="E338" s="9" t="str">
        <f t="shared" ca="1" si="14"/>
        <v/>
      </c>
      <c r="F338" s="4" t="s">
        <v>3</v>
      </c>
      <c r="G338" s="2">
        <f>IF(ISNUMBER(SEARCH(Лист2!$B$4,F:F)),1,0)</f>
        <v>0</v>
      </c>
      <c r="H338" s="3">
        <f ca="1">IF(AND(I338&lt;&gt;I337,ISNUMBER(SEARCH(Лист2!$B$5,I:I)),G338=1),MAX($H$3:OFFSET(H338,-1,0))+1,0)</f>
        <v>0</v>
      </c>
      <c r="I338" s="3" t="s">
        <v>69</v>
      </c>
      <c r="J338" s="4" t="str">
        <f t="shared" ca="1" si="13"/>
        <v/>
      </c>
      <c r="K338" s="2">
        <f>IF(ISNUMBER(SEARCH(Лист2!$B$4,F:F)),1,0)</f>
        <v>0</v>
      </c>
      <c r="L338" s="14">
        <f>IF(ISNUMBER(SEARCH(Лист2!$B$5,I:I)),1,0)+K338</f>
        <v>0</v>
      </c>
      <c r="M338" s="3">
        <f ca="1">IF(AND(N338&lt;&gt;N337,ISNUMBER(SEARCH(Лист2!$B$6,N:N)),L338=2),MAX($M$3:OFFSET(M338,-1,0))+1,0)</f>
        <v>0</v>
      </c>
      <c r="N338" s="3" t="s">
        <v>722</v>
      </c>
    </row>
    <row r="339" spans="1:14" x14ac:dyDescent="0.25">
      <c r="A339" s="1" t="s">
        <v>10113</v>
      </c>
      <c r="B339" s="3" t="s">
        <v>3963</v>
      </c>
      <c r="C339" s="2">
        <f ca="1">IF(ISNUMBER(SEARCH(Лист2!$B$4,D:D)),MAX($C$3:OFFSET(C339,-1,0))+1,0)</f>
        <v>0</v>
      </c>
      <c r="E339" s="9" t="str">
        <f t="shared" ca="1" si="14"/>
        <v/>
      </c>
      <c r="F339" s="4" t="s">
        <v>3</v>
      </c>
      <c r="G339" s="2">
        <f>IF(ISNUMBER(SEARCH(Лист2!$B$4,F:F)),1,0)</f>
        <v>0</v>
      </c>
      <c r="H339" s="3">
        <f ca="1">IF(AND(I339&lt;&gt;I338,ISNUMBER(SEARCH(Лист2!$B$5,I:I)),G339=1),MAX($H$3:OFFSET(H339,-1,0))+1,0)</f>
        <v>0</v>
      </c>
      <c r="I339" s="3" t="s">
        <v>69</v>
      </c>
      <c r="J339" s="4" t="str">
        <f t="shared" ca="1" si="13"/>
        <v/>
      </c>
      <c r="K339" s="2">
        <f>IF(ISNUMBER(SEARCH(Лист2!$B$4,F:F)),1,0)</f>
        <v>0</v>
      </c>
      <c r="L339" s="14">
        <f>IF(ISNUMBER(SEARCH(Лист2!$B$5,I:I)),1,0)+K339</f>
        <v>0</v>
      </c>
      <c r="M339" s="3">
        <f ca="1">IF(AND(N339&lt;&gt;N338,ISNUMBER(SEARCH(Лист2!$B$6,N:N)),L339=2),MAX($M$3:OFFSET(M339,-1,0))+1,0)</f>
        <v>0</v>
      </c>
      <c r="N339" s="3" t="s">
        <v>723</v>
      </c>
    </row>
    <row r="340" spans="1:14" x14ac:dyDescent="0.25">
      <c r="A340" s="1" t="s">
        <v>10114</v>
      </c>
      <c r="B340" s="3" t="s">
        <v>3964</v>
      </c>
      <c r="C340" s="2">
        <f ca="1">IF(ISNUMBER(SEARCH(Лист2!$B$4,D:D)),MAX($C$3:OFFSET(C340,-1,0))+1,0)</f>
        <v>0</v>
      </c>
      <c r="E340" s="9" t="str">
        <f t="shared" ca="1" si="14"/>
        <v/>
      </c>
      <c r="F340" s="4" t="s">
        <v>3</v>
      </c>
      <c r="G340" s="2">
        <f>IF(ISNUMBER(SEARCH(Лист2!$B$4,F:F)),1,0)</f>
        <v>0</v>
      </c>
      <c r="H340" s="3">
        <f ca="1">IF(AND(I340&lt;&gt;I339,ISNUMBER(SEARCH(Лист2!$B$5,I:I)),G340=1),MAX($H$3:OFFSET(H340,-1,0))+1,0)</f>
        <v>0</v>
      </c>
      <c r="I340" s="3" t="s">
        <v>69</v>
      </c>
      <c r="J340" s="4" t="str">
        <f t="shared" ca="1" si="13"/>
        <v/>
      </c>
      <c r="K340" s="2">
        <f>IF(ISNUMBER(SEARCH(Лист2!$B$4,F:F)),1,0)</f>
        <v>0</v>
      </c>
      <c r="L340" s="14">
        <f>IF(ISNUMBER(SEARCH(Лист2!$B$5,I:I)),1,0)+K340</f>
        <v>0</v>
      </c>
      <c r="M340" s="3">
        <f ca="1">IF(AND(N340&lt;&gt;N339,ISNUMBER(SEARCH(Лист2!$B$6,N:N)),L340=2),MAX($M$3:OFFSET(M340,-1,0))+1,0)</f>
        <v>0</v>
      </c>
      <c r="N340" s="3" t="s">
        <v>717</v>
      </c>
    </row>
    <row r="341" spans="1:14" x14ac:dyDescent="0.25">
      <c r="A341" s="1" t="s">
        <v>10115</v>
      </c>
      <c r="B341" s="3" t="s">
        <v>3965</v>
      </c>
      <c r="C341" s="2">
        <f ca="1">IF(ISNUMBER(SEARCH(Лист2!$B$4,D:D)),MAX($C$3:OFFSET(C341,-1,0))+1,0)</f>
        <v>0</v>
      </c>
      <c r="E341" s="9" t="str">
        <f t="shared" ca="1" si="14"/>
        <v/>
      </c>
      <c r="F341" s="4" t="s">
        <v>3</v>
      </c>
      <c r="G341" s="2">
        <f>IF(ISNUMBER(SEARCH(Лист2!$B$4,F:F)),1,0)</f>
        <v>0</v>
      </c>
      <c r="H341" s="3">
        <f ca="1">IF(AND(I341&lt;&gt;I340,ISNUMBER(SEARCH(Лист2!$B$5,I:I)),G341=1),MAX($H$3:OFFSET(H341,-1,0))+1,0)</f>
        <v>0</v>
      </c>
      <c r="I341" s="3" t="s">
        <v>69</v>
      </c>
      <c r="J341" s="4" t="str">
        <f t="shared" ca="1" si="13"/>
        <v/>
      </c>
      <c r="K341" s="2">
        <f>IF(ISNUMBER(SEARCH(Лист2!$B$4,F:F)),1,0)</f>
        <v>0</v>
      </c>
      <c r="L341" s="14">
        <f>IF(ISNUMBER(SEARCH(Лист2!$B$5,I:I)),1,0)+K341</f>
        <v>0</v>
      </c>
      <c r="M341" s="3">
        <f ca="1">IF(AND(N341&lt;&gt;N340,ISNUMBER(SEARCH(Лист2!$B$6,N:N)),L341=2),MAX($M$3:OFFSET(M341,-1,0))+1,0)</f>
        <v>0</v>
      </c>
      <c r="N341" s="3" t="s">
        <v>709</v>
      </c>
    </row>
    <row r="342" spans="1:14" x14ac:dyDescent="0.25">
      <c r="A342" s="1" t="s">
        <v>10116</v>
      </c>
      <c r="B342" s="3" t="s">
        <v>3966</v>
      </c>
      <c r="C342" s="2">
        <f ca="1">IF(ISNUMBER(SEARCH(Лист2!$B$4,D:D)),MAX($C$3:OFFSET(C342,-1,0))+1,0)</f>
        <v>0</v>
      </c>
      <c r="E342" s="9" t="str">
        <f t="shared" ca="1" si="14"/>
        <v/>
      </c>
      <c r="F342" s="4" t="s">
        <v>3</v>
      </c>
      <c r="G342" s="2">
        <f>IF(ISNUMBER(SEARCH(Лист2!$B$4,F:F)),1,0)</f>
        <v>0</v>
      </c>
      <c r="H342" s="3">
        <f ca="1">IF(AND(I342&lt;&gt;I341,ISNUMBER(SEARCH(Лист2!$B$5,I:I)),G342=1),MAX($H$3:OFFSET(H342,-1,0))+1,0)</f>
        <v>0</v>
      </c>
      <c r="I342" s="3" t="s">
        <v>69</v>
      </c>
      <c r="J342" s="4" t="str">
        <f t="shared" ca="1" si="13"/>
        <v/>
      </c>
      <c r="K342" s="2">
        <f>IF(ISNUMBER(SEARCH(Лист2!$B$4,F:F)),1,0)</f>
        <v>0</v>
      </c>
      <c r="L342" s="14">
        <f>IF(ISNUMBER(SEARCH(Лист2!$B$5,I:I)),1,0)+K342</f>
        <v>0</v>
      </c>
      <c r="M342" s="3">
        <f ca="1">IF(AND(N342&lt;&gt;N341,ISNUMBER(SEARCH(Лист2!$B$6,N:N)),L342=2),MAX($M$3:OFFSET(M342,-1,0))+1,0)</f>
        <v>0</v>
      </c>
      <c r="N342" s="3" t="s">
        <v>719</v>
      </c>
    </row>
    <row r="343" spans="1:14" x14ac:dyDescent="0.25">
      <c r="A343" s="1" t="s">
        <v>10117</v>
      </c>
      <c r="B343" s="3" t="s">
        <v>3967</v>
      </c>
      <c r="C343" s="2">
        <f ca="1">IF(ISNUMBER(SEARCH(Лист2!$B$4,D:D)),MAX($C$3:OFFSET(C343,-1,0))+1,0)</f>
        <v>0</v>
      </c>
      <c r="E343" s="9" t="str">
        <f t="shared" ca="1" si="14"/>
        <v/>
      </c>
      <c r="F343" s="4" t="s">
        <v>3</v>
      </c>
      <c r="G343" s="2">
        <f>IF(ISNUMBER(SEARCH(Лист2!$B$4,F:F)),1,0)</f>
        <v>0</v>
      </c>
      <c r="H343" s="3">
        <f ca="1">IF(AND(I343&lt;&gt;I342,ISNUMBER(SEARCH(Лист2!$B$5,I:I)),G343=1),MAX($H$3:OFFSET(H343,-1,0))+1,0)</f>
        <v>0</v>
      </c>
      <c r="I343" s="3" t="s">
        <v>70</v>
      </c>
      <c r="J343" s="4" t="str">
        <f t="shared" ca="1" si="13"/>
        <v/>
      </c>
      <c r="K343" s="2">
        <f>IF(ISNUMBER(SEARCH(Лист2!$B$4,F:F)),1,0)</f>
        <v>0</v>
      </c>
      <c r="L343" s="14">
        <f>IF(ISNUMBER(SEARCH(Лист2!$B$5,I:I)),1,0)+K343</f>
        <v>0</v>
      </c>
      <c r="M343" s="3">
        <f ca="1">IF(AND(N343&lt;&gt;N342,ISNUMBER(SEARCH(Лист2!$B$6,N:N)),L343=2),MAX($M$3:OFFSET(M343,-1,0))+1,0)</f>
        <v>0</v>
      </c>
      <c r="N343" s="3" t="s">
        <v>724</v>
      </c>
    </row>
    <row r="344" spans="1:14" x14ac:dyDescent="0.25">
      <c r="A344" s="1" t="s">
        <v>10118</v>
      </c>
      <c r="B344" s="3" t="s">
        <v>3968</v>
      </c>
      <c r="C344" s="2">
        <f ca="1">IF(ISNUMBER(SEARCH(Лист2!$B$4,D:D)),MAX($C$3:OFFSET(C344,-1,0))+1,0)</f>
        <v>0</v>
      </c>
      <c r="E344" s="9" t="str">
        <f t="shared" ca="1" si="14"/>
        <v/>
      </c>
      <c r="F344" s="4" t="s">
        <v>3</v>
      </c>
      <c r="G344" s="2">
        <f>IF(ISNUMBER(SEARCH(Лист2!$B$4,F:F)),1,0)</f>
        <v>0</v>
      </c>
      <c r="H344" s="3">
        <f ca="1">IF(AND(I344&lt;&gt;I343,ISNUMBER(SEARCH(Лист2!$B$5,I:I)),G344=1),MAX($H$3:OFFSET(H344,-1,0))+1,0)</f>
        <v>0</v>
      </c>
      <c r="I344" s="3" t="s">
        <v>70</v>
      </c>
      <c r="J344" s="4" t="str">
        <f t="shared" ca="1" si="13"/>
        <v/>
      </c>
      <c r="K344" s="2">
        <f>IF(ISNUMBER(SEARCH(Лист2!$B$4,F:F)),1,0)</f>
        <v>0</v>
      </c>
      <c r="L344" s="14">
        <f>IF(ISNUMBER(SEARCH(Лист2!$B$5,I:I)),1,0)+K344</f>
        <v>0</v>
      </c>
      <c r="M344" s="3">
        <f ca="1">IF(AND(N344&lt;&gt;N343,ISNUMBER(SEARCH(Лист2!$B$6,N:N)),L344=2),MAX($M$3:OFFSET(M344,-1,0))+1,0)</f>
        <v>0</v>
      </c>
      <c r="N344" s="3" t="s">
        <v>725</v>
      </c>
    </row>
    <row r="345" spans="1:14" x14ac:dyDescent="0.25">
      <c r="A345" s="1" t="s">
        <v>10119</v>
      </c>
      <c r="B345" s="3" t="s">
        <v>3969</v>
      </c>
      <c r="C345" s="2">
        <f ca="1">IF(ISNUMBER(SEARCH(Лист2!$B$4,D:D)),MAX($C$3:OFFSET(C345,-1,0))+1,0)</f>
        <v>0</v>
      </c>
      <c r="E345" s="9" t="str">
        <f t="shared" ca="1" si="14"/>
        <v/>
      </c>
      <c r="F345" s="4" t="s">
        <v>3</v>
      </c>
      <c r="G345" s="2">
        <f>IF(ISNUMBER(SEARCH(Лист2!$B$4,F:F)),1,0)</f>
        <v>0</v>
      </c>
      <c r="H345" s="3">
        <f ca="1">IF(AND(I345&lt;&gt;I344,ISNUMBER(SEARCH(Лист2!$B$5,I:I)),G345=1),MAX($H$3:OFFSET(H345,-1,0))+1,0)</f>
        <v>0</v>
      </c>
      <c r="I345" s="3" t="s">
        <v>70</v>
      </c>
      <c r="J345" s="4" t="str">
        <f t="shared" ca="1" si="13"/>
        <v/>
      </c>
      <c r="K345" s="2">
        <f>IF(ISNUMBER(SEARCH(Лист2!$B$4,F:F)),1,0)</f>
        <v>0</v>
      </c>
      <c r="L345" s="14">
        <f>IF(ISNUMBER(SEARCH(Лист2!$B$5,I:I)),1,0)+K345</f>
        <v>0</v>
      </c>
      <c r="M345" s="3">
        <f ca="1">IF(AND(N345&lt;&gt;N344,ISNUMBER(SEARCH(Лист2!$B$6,N:N)),L345=2),MAX($M$3:OFFSET(M345,-1,0))+1,0)</f>
        <v>0</v>
      </c>
      <c r="N345" s="3" t="s">
        <v>602</v>
      </c>
    </row>
    <row r="346" spans="1:14" x14ac:dyDescent="0.25">
      <c r="A346" s="1" t="s">
        <v>10120</v>
      </c>
      <c r="B346" s="3" t="s">
        <v>3970</v>
      </c>
      <c r="C346" s="2">
        <f ca="1">IF(ISNUMBER(SEARCH(Лист2!$B$4,D:D)),MAX($C$3:OFFSET(C346,-1,0))+1,0)</f>
        <v>0</v>
      </c>
      <c r="E346" s="9" t="str">
        <f t="shared" ca="1" si="14"/>
        <v/>
      </c>
      <c r="F346" s="4" t="s">
        <v>3</v>
      </c>
      <c r="G346" s="2">
        <f>IF(ISNUMBER(SEARCH(Лист2!$B$4,F:F)),1,0)</f>
        <v>0</v>
      </c>
      <c r="H346" s="3">
        <f ca="1">IF(AND(I346&lt;&gt;I345,ISNUMBER(SEARCH(Лист2!$B$5,I:I)),G346=1),MAX($H$3:OFFSET(H346,-1,0))+1,0)</f>
        <v>0</v>
      </c>
      <c r="I346" s="3" t="s">
        <v>70</v>
      </c>
      <c r="J346" s="4" t="str">
        <f t="shared" ca="1" si="13"/>
        <v/>
      </c>
      <c r="K346" s="2">
        <f>IF(ISNUMBER(SEARCH(Лист2!$B$4,F:F)),1,0)</f>
        <v>0</v>
      </c>
      <c r="L346" s="14">
        <f>IF(ISNUMBER(SEARCH(Лист2!$B$5,I:I)),1,0)+K346</f>
        <v>0</v>
      </c>
      <c r="M346" s="3">
        <f ca="1">IF(AND(N346&lt;&gt;N345,ISNUMBER(SEARCH(Лист2!$B$6,N:N)),L346=2),MAX($M$3:OFFSET(M346,-1,0))+1,0)</f>
        <v>0</v>
      </c>
      <c r="N346" s="3" t="s">
        <v>726</v>
      </c>
    </row>
    <row r="347" spans="1:14" x14ac:dyDescent="0.25">
      <c r="A347" s="1" t="s">
        <v>10121</v>
      </c>
      <c r="B347" s="3" t="s">
        <v>3971</v>
      </c>
      <c r="C347" s="2">
        <f ca="1">IF(ISNUMBER(SEARCH(Лист2!$B$4,D:D)),MAX($C$3:OFFSET(C347,-1,0))+1,0)</f>
        <v>0</v>
      </c>
      <c r="E347" s="9" t="str">
        <f t="shared" ca="1" si="14"/>
        <v/>
      </c>
      <c r="F347" s="4" t="s">
        <v>3</v>
      </c>
      <c r="G347" s="2">
        <f>IF(ISNUMBER(SEARCH(Лист2!$B$4,F:F)),1,0)</f>
        <v>0</v>
      </c>
      <c r="H347" s="3">
        <f ca="1">IF(AND(I347&lt;&gt;I346,ISNUMBER(SEARCH(Лист2!$B$5,I:I)),G347=1),MAX($H$3:OFFSET(H347,-1,0))+1,0)</f>
        <v>0</v>
      </c>
      <c r="I347" s="3" t="s">
        <v>70</v>
      </c>
      <c r="J347" s="4" t="str">
        <f t="shared" ca="1" si="13"/>
        <v/>
      </c>
      <c r="K347" s="2">
        <f>IF(ISNUMBER(SEARCH(Лист2!$B$4,F:F)),1,0)</f>
        <v>0</v>
      </c>
      <c r="L347" s="14">
        <f>IF(ISNUMBER(SEARCH(Лист2!$B$5,I:I)),1,0)+K347</f>
        <v>0</v>
      </c>
      <c r="M347" s="3">
        <f ca="1">IF(AND(N347&lt;&gt;N346,ISNUMBER(SEARCH(Лист2!$B$6,N:N)),L347=2),MAX($M$3:OFFSET(M347,-1,0))+1,0)</f>
        <v>0</v>
      </c>
      <c r="N347" s="3" t="s">
        <v>727</v>
      </c>
    </row>
    <row r="348" spans="1:14" x14ac:dyDescent="0.25">
      <c r="A348" s="1" t="s">
        <v>10122</v>
      </c>
      <c r="B348" s="3" t="s">
        <v>3972</v>
      </c>
      <c r="C348" s="2">
        <f ca="1">IF(ISNUMBER(SEARCH(Лист2!$B$4,D:D)),MAX($C$3:OFFSET(C348,-1,0))+1,0)</f>
        <v>0</v>
      </c>
      <c r="E348" s="9" t="str">
        <f t="shared" ca="1" si="14"/>
        <v/>
      </c>
      <c r="F348" s="4" t="s">
        <v>3</v>
      </c>
      <c r="G348" s="2">
        <f>IF(ISNUMBER(SEARCH(Лист2!$B$4,F:F)),1,0)</f>
        <v>0</v>
      </c>
      <c r="H348" s="3">
        <f ca="1">IF(AND(I348&lt;&gt;I347,ISNUMBER(SEARCH(Лист2!$B$5,I:I)),G348=1),MAX($H$3:OFFSET(H348,-1,0))+1,0)</f>
        <v>0</v>
      </c>
      <c r="I348" s="3" t="s">
        <v>70</v>
      </c>
      <c r="J348" s="4" t="str">
        <f t="shared" ca="1" si="13"/>
        <v/>
      </c>
      <c r="K348" s="2">
        <f>IF(ISNUMBER(SEARCH(Лист2!$B$4,F:F)),1,0)</f>
        <v>0</v>
      </c>
      <c r="L348" s="14">
        <f>IF(ISNUMBER(SEARCH(Лист2!$B$5,I:I)),1,0)+K348</f>
        <v>0</v>
      </c>
      <c r="M348" s="3">
        <f ca="1">IF(AND(N348&lt;&gt;N347,ISNUMBER(SEARCH(Лист2!$B$6,N:N)),L348=2),MAX($M$3:OFFSET(M348,-1,0))+1,0)</f>
        <v>0</v>
      </c>
      <c r="N348" s="3" t="s">
        <v>717</v>
      </c>
    </row>
    <row r="349" spans="1:14" x14ac:dyDescent="0.25">
      <c r="A349" s="1" t="s">
        <v>10123</v>
      </c>
      <c r="B349" s="3" t="s">
        <v>3973</v>
      </c>
      <c r="C349" s="2">
        <f ca="1">IF(ISNUMBER(SEARCH(Лист2!$B$4,D:D)),MAX($C$3:OFFSET(C349,-1,0))+1,0)</f>
        <v>0</v>
      </c>
      <c r="E349" s="9" t="str">
        <f t="shared" ca="1" si="14"/>
        <v/>
      </c>
      <c r="F349" s="4" t="s">
        <v>3</v>
      </c>
      <c r="G349" s="2">
        <f>IF(ISNUMBER(SEARCH(Лист2!$B$4,F:F)),1,0)</f>
        <v>0</v>
      </c>
      <c r="H349" s="3">
        <f ca="1">IF(AND(I349&lt;&gt;I348,ISNUMBER(SEARCH(Лист2!$B$5,I:I)),G349=1),MAX($H$3:OFFSET(H349,-1,0))+1,0)</f>
        <v>0</v>
      </c>
      <c r="I349" s="3" t="s">
        <v>70</v>
      </c>
      <c r="J349" s="4" t="str">
        <f t="shared" ca="1" si="13"/>
        <v/>
      </c>
      <c r="K349" s="2">
        <f>IF(ISNUMBER(SEARCH(Лист2!$B$4,F:F)),1,0)</f>
        <v>0</v>
      </c>
      <c r="L349" s="14">
        <f>IF(ISNUMBER(SEARCH(Лист2!$B$5,I:I)),1,0)+K349</f>
        <v>0</v>
      </c>
      <c r="M349" s="3">
        <f ca="1">IF(AND(N349&lt;&gt;N348,ISNUMBER(SEARCH(Лист2!$B$6,N:N)),L349=2),MAX($M$3:OFFSET(M349,-1,0))+1,0)</f>
        <v>0</v>
      </c>
      <c r="N349" s="3" t="s">
        <v>709</v>
      </c>
    </row>
    <row r="350" spans="1:14" x14ac:dyDescent="0.25">
      <c r="A350" s="1" t="s">
        <v>10124</v>
      </c>
      <c r="B350" s="3" t="s">
        <v>3974</v>
      </c>
      <c r="C350" s="2">
        <f ca="1">IF(ISNUMBER(SEARCH(Лист2!$B$4,D:D)),MAX($C$3:OFFSET(C350,-1,0))+1,0)</f>
        <v>0</v>
      </c>
      <c r="E350" s="9" t="str">
        <f t="shared" ca="1" si="14"/>
        <v/>
      </c>
      <c r="F350" s="4" t="s">
        <v>3</v>
      </c>
      <c r="G350" s="2">
        <f>IF(ISNUMBER(SEARCH(Лист2!$B$4,F:F)),1,0)</f>
        <v>0</v>
      </c>
      <c r="H350" s="3">
        <f ca="1">IF(AND(I350&lt;&gt;I349,ISNUMBER(SEARCH(Лист2!$B$5,I:I)),G350=1),MAX($H$3:OFFSET(H350,-1,0))+1,0)</f>
        <v>0</v>
      </c>
      <c r="I350" s="3" t="s">
        <v>70</v>
      </c>
      <c r="J350" s="4" t="str">
        <f t="shared" ca="1" si="13"/>
        <v/>
      </c>
      <c r="K350" s="2">
        <f>IF(ISNUMBER(SEARCH(Лист2!$B$4,F:F)),1,0)</f>
        <v>0</v>
      </c>
      <c r="L350" s="14">
        <f>IF(ISNUMBER(SEARCH(Лист2!$B$5,I:I)),1,0)+K350</f>
        <v>0</v>
      </c>
      <c r="M350" s="3">
        <f ca="1">IF(AND(N350&lt;&gt;N349,ISNUMBER(SEARCH(Лист2!$B$6,N:N)),L350=2),MAX($M$3:OFFSET(M350,-1,0))+1,0)</f>
        <v>0</v>
      </c>
      <c r="N350" s="3" t="s">
        <v>719</v>
      </c>
    </row>
    <row r="351" spans="1:14" x14ac:dyDescent="0.25">
      <c r="A351" s="1" t="s">
        <v>10125</v>
      </c>
      <c r="B351" s="3" t="s">
        <v>3975</v>
      </c>
      <c r="C351" s="2">
        <f ca="1">IF(ISNUMBER(SEARCH(Лист2!$B$4,D:D)),MAX($C$3:OFFSET(C351,-1,0))+1,0)</f>
        <v>0</v>
      </c>
      <c r="E351" s="9" t="str">
        <f t="shared" ca="1" si="14"/>
        <v/>
      </c>
      <c r="F351" s="4" t="s">
        <v>3</v>
      </c>
      <c r="G351" s="2">
        <f>IF(ISNUMBER(SEARCH(Лист2!$B$4,F:F)),1,0)</f>
        <v>0</v>
      </c>
      <c r="H351" s="3">
        <f ca="1">IF(AND(I351&lt;&gt;I350,ISNUMBER(SEARCH(Лист2!$B$5,I:I)),G351=1),MAX($H$3:OFFSET(H351,-1,0))+1,0)</f>
        <v>0</v>
      </c>
      <c r="I351" s="3" t="s">
        <v>71</v>
      </c>
      <c r="J351" s="4" t="str">
        <f t="shared" ca="1" si="13"/>
        <v/>
      </c>
      <c r="K351" s="2">
        <f>IF(ISNUMBER(SEARCH(Лист2!$B$4,F:F)),1,0)</f>
        <v>0</v>
      </c>
      <c r="L351" s="14">
        <f>IF(ISNUMBER(SEARCH(Лист2!$B$5,I:I)),1,0)+K351</f>
        <v>0</v>
      </c>
      <c r="M351" s="3">
        <f ca="1">IF(AND(N351&lt;&gt;N350,ISNUMBER(SEARCH(Лист2!$B$6,N:N)),L351=2),MAX($M$3:OFFSET(M351,-1,0))+1,0)</f>
        <v>0</v>
      </c>
      <c r="N351" s="3" t="s">
        <v>728</v>
      </c>
    </row>
    <row r="352" spans="1:14" x14ac:dyDescent="0.25">
      <c r="A352" s="1" t="s">
        <v>10126</v>
      </c>
      <c r="B352" s="3" t="s">
        <v>3976</v>
      </c>
      <c r="C352" s="2">
        <f ca="1">IF(ISNUMBER(SEARCH(Лист2!$B$4,D:D)),MAX($C$3:OFFSET(C352,-1,0))+1,0)</f>
        <v>0</v>
      </c>
      <c r="E352" s="9" t="str">
        <f t="shared" ca="1" si="14"/>
        <v/>
      </c>
      <c r="F352" s="4" t="s">
        <v>3</v>
      </c>
      <c r="G352" s="2">
        <f>IF(ISNUMBER(SEARCH(Лист2!$B$4,F:F)),1,0)</f>
        <v>0</v>
      </c>
      <c r="H352" s="3">
        <f ca="1">IF(AND(I352&lt;&gt;I351,ISNUMBER(SEARCH(Лист2!$B$5,I:I)),G352=1),MAX($H$3:OFFSET(H352,-1,0))+1,0)</f>
        <v>0</v>
      </c>
      <c r="I352" s="3" t="s">
        <v>71</v>
      </c>
      <c r="J352" s="4" t="str">
        <f t="shared" ca="1" si="13"/>
        <v/>
      </c>
      <c r="K352" s="2">
        <f>IF(ISNUMBER(SEARCH(Лист2!$B$4,F:F)),1,0)</f>
        <v>0</v>
      </c>
      <c r="L352" s="14">
        <f>IF(ISNUMBER(SEARCH(Лист2!$B$5,I:I)),1,0)+K352</f>
        <v>0</v>
      </c>
      <c r="M352" s="3">
        <f ca="1">IF(AND(N352&lt;&gt;N351,ISNUMBER(SEARCH(Лист2!$B$6,N:N)),L352=2),MAX($M$3:OFFSET(M352,-1,0))+1,0)</f>
        <v>0</v>
      </c>
      <c r="N352" s="3" t="s">
        <v>729</v>
      </c>
    </row>
    <row r="353" spans="1:14" x14ac:dyDescent="0.25">
      <c r="A353" s="1" t="s">
        <v>10127</v>
      </c>
      <c r="B353" s="3" t="s">
        <v>3977</v>
      </c>
      <c r="C353" s="2">
        <f ca="1">IF(ISNUMBER(SEARCH(Лист2!$B$4,D:D)),MAX($C$3:OFFSET(C353,-1,0))+1,0)</f>
        <v>0</v>
      </c>
      <c r="E353" s="9" t="str">
        <f t="shared" ca="1" si="14"/>
        <v/>
      </c>
      <c r="F353" s="4" t="s">
        <v>3</v>
      </c>
      <c r="G353" s="2">
        <f>IF(ISNUMBER(SEARCH(Лист2!$B$4,F:F)),1,0)</f>
        <v>0</v>
      </c>
      <c r="H353" s="3">
        <f ca="1">IF(AND(I353&lt;&gt;I352,ISNUMBER(SEARCH(Лист2!$B$5,I:I)),G353=1),MAX($H$3:OFFSET(H353,-1,0))+1,0)</f>
        <v>0</v>
      </c>
      <c r="I353" s="3" t="s">
        <v>71</v>
      </c>
      <c r="J353" s="4" t="str">
        <f t="shared" ca="1" si="13"/>
        <v/>
      </c>
      <c r="K353" s="2">
        <f>IF(ISNUMBER(SEARCH(Лист2!$B$4,F:F)),1,0)</f>
        <v>0</v>
      </c>
      <c r="L353" s="14">
        <f>IF(ISNUMBER(SEARCH(Лист2!$B$5,I:I)),1,0)+K353</f>
        <v>0</v>
      </c>
      <c r="M353" s="3">
        <f ca="1">IF(AND(N353&lt;&gt;N352,ISNUMBER(SEARCH(Лист2!$B$6,N:N)),L353=2),MAX($M$3:OFFSET(M353,-1,0))+1,0)</f>
        <v>0</v>
      </c>
      <c r="N353" s="3" t="s">
        <v>602</v>
      </c>
    </row>
    <row r="354" spans="1:14" x14ac:dyDescent="0.25">
      <c r="A354" s="1" t="s">
        <v>10128</v>
      </c>
      <c r="B354" s="3" t="s">
        <v>3978</v>
      </c>
      <c r="C354" s="2">
        <f ca="1">IF(ISNUMBER(SEARCH(Лист2!$B$4,D:D)),MAX($C$3:OFFSET(C354,-1,0))+1,0)</f>
        <v>0</v>
      </c>
      <c r="E354" s="9" t="str">
        <f t="shared" ca="1" si="14"/>
        <v/>
      </c>
      <c r="F354" s="4" t="s">
        <v>3</v>
      </c>
      <c r="G354" s="2">
        <f>IF(ISNUMBER(SEARCH(Лист2!$B$4,F:F)),1,0)</f>
        <v>0</v>
      </c>
      <c r="H354" s="3">
        <f ca="1">IF(AND(I354&lt;&gt;I353,ISNUMBER(SEARCH(Лист2!$B$5,I:I)),G354=1),MAX($H$3:OFFSET(H354,-1,0))+1,0)</f>
        <v>0</v>
      </c>
      <c r="I354" s="3" t="s">
        <v>71</v>
      </c>
      <c r="J354" s="4" t="str">
        <f t="shared" ca="1" si="13"/>
        <v/>
      </c>
      <c r="K354" s="2">
        <f>IF(ISNUMBER(SEARCH(Лист2!$B$4,F:F)),1,0)</f>
        <v>0</v>
      </c>
      <c r="L354" s="14">
        <f>IF(ISNUMBER(SEARCH(Лист2!$B$5,I:I)),1,0)+K354</f>
        <v>0</v>
      </c>
      <c r="M354" s="3">
        <f ca="1">IF(AND(N354&lt;&gt;N353,ISNUMBER(SEARCH(Лист2!$B$6,N:N)),L354=2),MAX($M$3:OFFSET(M354,-1,0))+1,0)</f>
        <v>0</v>
      </c>
      <c r="N354" s="3" t="s">
        <v>730</v>
      </c>
    </row>
    <row r="355" spans="1:14" x14ac:dyDescent="0.25">
      <c r="A355" s="1" t="s">
        <v>10129</v>
      </c>
      <c r="B355" s="3" t="s">
        <v>3979</v>
      </c>
      <c r="C355" s="2">
        <f ca="1">IF(ISNUMBER(SEARCH(Лист2!$B$4,D:D)),MAX($C$3:OFFSET(C355,-1,0))+1,0)</f>
        <v>0</v>
      </c>
      <c r="E355" s="9" t="str">
        <f t="shared" ca="1" si="14"/>
        <v/>
      </c>
      <c r="F355" s="4" t="s">
        <v>3</v>
      </c>
      <c r="G355" s="2">
        <f>IF(ISNUMBER(SEARCH(Лист2!$B$4,F:F)),1,0)</f>
        <v>0</v>
      </c>
      <c r="H355" s="3">
        <f ca="1">IF(AND(I355&lt;&gt;I354,ISNUMBER(SEARCH(Лист2!$B$5,I:I)),G355=1),MAX($H$3:OFFSET(H355,-1,0))+1,0)</f>
        <v>0</v>
      </c>
      <c r="I355" s="3" t="s">
        <v>71</v>
      </c>
      <c r="J355" s="4" t="str">
        <f t="shared" ca="1" si="13"/>
        <v/>
      </c>
      <c r="K355" s="2">
        <f>IF(ISNUMBER(SEARCH(Лист2!$B$4,F:F)),1,0)</f>
        <v>0</v>
      </c>
      <c r="L355" s="14">
        <f>IF(ISNUMBER(SEARCH(Лист2!$B$5,I:I)),1,0)+K355</f>
        <v>0</v>
      </c>
      <c r="M355" s="3">
        <f ca="1">IF(AND(N355&lt;&gt;N354,ISNUMBER(SEARCH(Лист2!$B$6,N:N)),L355=2),MAX($M$3:OFFSET(M355,-1,0))+1,0)</f>
        <v>0</v>
      </c>
      <c r="N355" s="3" t="s">
        <v>731</v>
      </c>
    </row>
    <row r="356" spans="1:14" x14ac:dyDescent="0.25">
      <c r="A356" s="1" t="s">
        <v>10130</v>
      </c>
      <c r="B356" s="3" t="s">
        <v>3980</v>
      </c>
      <c r="C356" s="2">
        <f ca="1">IF(ISNUMBER(SEARCH(Лист2!$B$4,D:D)),MAX($C$3:OFFSET(C356,-1,0))+1,0)</f>
        <v>0</v>
      </c>
      <c r="E356" s="9" t="str">
        <f t="shared" ca="1" si="14"/>
        <v/>
      </c>
      <c r="F356" s="4" t="s">
        <v>3</v>
      </c>
      <c r="G356" s="2">
        <f>IF(ISNUMBER(SEARCH(Лист2!$B$4,F:F)),1,0)</f>
        <v>0</v>
      </c>
      <c r="H356" s="3">
        <f ca="1">IF(AND(I356&lt;&gt;I355,ISNUMBER(SEARCH(Лист2!$B$5,I:I)),G356=1),MAX($H$3:OFFSET(H356,-1,0))+1,0)</f>
        <v>0</v>
      </c>
      <c r="I356" s="3" t="s">
        <v>71</v>
      </c>
      <c r="J356" s="4" t="str">
        <f t="shared" ca="1" si="13"/>
        <v/>
      </c>
      <c r="K356" s="2">
        <f>IF(ISNUMBER(SEARCH(Лист2!$B$4,F:F)),1,0)</f>
        <v>0</v>
      </c>
      <c r="L356" s="14">
        <f>IF(ISNUMBER(SEARCH(Лист2!$B$5,I:I)),1,0)+K356</f>
        <v>0</v>
      </c>
      <c r="M356" s="3">
        <f ca="1">IF(AND(N356&lt;&gt;N355,ISNUMBER(SEARCH(Лист2!$B$6,N:N)),L356=2),MAX($M$3:OFFSET(M356,-1,0))+1,0)</f>
        <v>0</v>
      </c>
      <c r="N356" s="3" t="s">
        <v>717</v>
      </c>
    </row>
    <row r="357" spans="1:14" x14ac:dyDescent="0.25">
      <c r="A357" s="1" t="s">
        <v>10131</v>
      </c>
      <c r="B357" s="3" t="s">
        <v>3981</v>
      </c>
      <c r="C357" s="2">
        <f ca="1">IF(ISNUMBER(SEARCH(Лист2!$B$4,D:D)),MAX($C$3:OFFSET(C357,-1,0))+1,0)</f>
        <v>0</v>
      </c>
      <c r="E357" s="9" t="str">
        <f t="shared" ca="1" si="14"/>
        <v/>
      </c>
      <c r="F357" s="4" t="s">
        <v>3</v>
      </c>
      <c r="G357" s="2">
        <f>IF(ISNUMBER(SEARCH(Лист2!$B$4,F:F)),1,0)</f>
        <v>0</v>
      </c>
      <c r="H357" s="3">
        <f ca="1">IF(AND(I357&lt;&gt;I356,ISNUMBER(SEARCH(Лист2!$B$5,I:I)),G357=1),MAX($H$3:OFFSET(H357,-1,0))+1,0)</f>
        <v>0</v>
      </c>
      <c r="I357" s="3" t="s">
        <v>71</v>
      </c>
      <c r="J357" s="4" t="str">
        <f t="shared" ca="1" si="13"/>
        <v/>
      </c>
      <c r="K357" s="2">
        <f>IF(ISNUMBER(SEARCH(Лист2!$B$4,F:F)),1,0)</f>
        <v>0</v>
      </c>
      <c r="L357" s="14">
        <f>IF(ISNUMBER(SEARCH(Лист2!$B$5,I:I)),1,0)+K357</f>
        <v>0</v>
      </c>
      <c r="M357" s="3">
        <f ca="1">IF(AND(N357&lt;&gt;N356,ISNUMBER(SEARCH(Лист2!$B$6,N:N)),L357=2),MAX($M$3:OFFSET(M357,-1,0))+1,0)</f>
        <v>0</v>
      </c>
      <c r="N357" s="3" t="s">
        <v>709</v>
      </c>
    </row>
    <row r="358" spans="1:14" x14ac:dyDescent="0.25">
      <c r="A358" s="1" t="s">
        <v>10132</v>
      </c>
      <c r="B358" s="3" t="s">
        <v>3982</v>
      </c>
      <c r="C358" s="2">
        <f ca="1">IF(ISNUMBER(SEARCH(Лист2!$B$4,D:D)),MAX($C$3:OFFSET(C358,-1,0))+1,0)</f>
        <v>0</v>
      </c>
      <c r="E358" s="9" t="str">
        <f t="shared" ca="1" si="14"/>
        <v/>
      </c>
      <c r="F358" s="4" t="s">
        <v>3</v>
      </c>
      <c r="G358" s="2">
        <f>IF(ISNUMBER(SEARCH(Лист2!$B$4,F:F)),1,0)</f>
        <v>0</v>
      </c>
      <c r="H358" s="3">
        <f ca="1">IF(AND(I358&lt;&gt;I357,ISNUMBER(SEARCH(Лист2!$B$5,I:I)),G358=1),MAX($H$3:OFFSET(H358,-1,0))+1,0)</f>
        <v>0</v>
      </c>
      <c r="I358" s="3" t="s">
        <v>71</v>
      </c>
      <c r="J358" s="4" t="str">
        <f t="shared" ca="1" si="13"/>
        <v/>
      </c>
      <c r="K358" s="2">
        <f>IF(ISNUMBER(SEARCH(Лист2!$B$4,F:F)),1,0)</f>
        <v>0</v>
      </c>
      <c r="L358" s="14">
        <f>IF(ISNUMBER(SEARCH(Лист2!$B$5,I:I)),1,0)+K358</f>
        <v>0</v>
      </c>
      <c r="M358" s="3">
        <f ca="1">IF(AND(N358&lt;&gt;N357,ISNUMBER(SEARCH(Лист2!$B$6,N:N)),L358=2),MAX($M$3:OFFSET(M358,-1,0))+1,0)</f>
        <v>0</v>
      </c>
      <c r="N358" s="3" t="s">
        <v>719</v>
      </c>
    </row>
    <row r="359" spans="1:14" x14ac:dyDescent="0.25">
      <c r="A359" s="1" t="s">
        <v>10133</v>
      </c>
      <c r="B359" s="3" t="s">
        <v>3983</v>
      </c>
      <c r="C359" s="2">
        <f ca="1">IF(ISNUMBER(SEARCH(Лист2!$B$4,D:D)),MAX($C$3:OFFSET(C359,-1,0))+1,0)</f>
        <v>0</v>
      </c>
      <c r="E359" s="9" t="str">
        <f t="shared" ca="1" si="14"/>
        <v/>
      </c>
      <c r="F359" s="4" t="s">
        <v>3</v>
      </c>
      <c r="G359" s="2">
        <f>IF(ISNUMBER(SEARCH(Лист2!$B$4,F:F)),1,0)</f>
        <v>0</v>
      </c>
      <c r="H359" s="3">
        <f ca="1">IF(AND(I359&lt;&gt;I358,ISNUMBER(SEARCH(Лист2!$B$5,I:I)),G359=1),MAX($H$3:OFFSET(H359,-1,0))+1,0)</f>
        <v>0</v>
      </c>
      <c r="I359" s="3" t="s">
        <v>72</v>
      </c>
      <c r="J359" s="4" t="str">
        <f t="shared" ca="1" si="13"/>
        <v/>
      </c>
      <c r="K359" s="2">
        <f>IF(ISNUMBER(SEARCH(Лист2!$B$4,F:F)),1,0)</f>
        <v>0</v>
      </c>
      <c r="L359" s="14">
        <f>IF(ISNUMBER(SEARCH(Лист2!$B$5,I:I)),1,0)+K359</f>
        <v>0</v>
      </c>
      <c r="M359" s="3">
        <f ca="1">IF(AND(N359&lt;&gt;N358,ISNUMBER(SEARCH(Лист2!$B$6,N:N)),L359=2),MAX($M$3:OFFSET(M359,-1,0))+1,0)</f>
        <v>0</v>
      </c>
      <c r="N359" s="3" t="s">
        <v>732</v>
      </c>
    </row>
    <row r="360" spans="1:14" x14ac:dyDescent="0.25">
      <c r="A360" s="1" t="s">
        <v>10134</v>
      </c>
      <c r="B360" s="3" t="s">
        <v>3984</v>
      </c>
      <c r="C360" s="2">
        <f ca="1">IF(ISNUMBER(SEARCH(Лист2!$B$4,D:D)),MAX($C$3:OFFSET(C360,-1,0))+1,0)</f>
        <v>0</v>
      </c>
      <c r="E360" s="9" t="str">
        <f t="shared" ca="1" si="14"/>
        <v/>
      </c>
      <c r="F360" s="4" t="s">
        <v>3</v>
      </c>
      <c r="G360" s="2">
        <f>IF(ISNUMBER(SEARCH(Лист2!$B$4,F:F)),1,0)</f>
        <v>0</v>
      </c>
      <c r="H360" s="3">
        <f ca="1">IF(AND(I360&lt;&gt;I359,ISNUMBER(SEARCH(Лист2!$B$5,I:I)),G360=1),MAX($H$3:OFFSET(H360,-1,0))+1,0)</f>
        <v>0</v>
      </c>
      <c r="I360" s="3" t="s">
        <v>72</v>
      </c>
      <c r="J360" s="4" t="str">
        <f t="shared" ca="1" si="13"/>
        <v/>
      </c>
      <c r="K360" s="2">
        <f>IF(ISNUMBER(SEARCH(Лист2!$B$4,F:F)),1,0)</f>
        <v>0</v>
      </c>
      <c r="L360" s="14">
        <f>IF(ISNUMBER(SEARCH(Лист2!$B$5,I:I)),1,0)+K360</f>
        <v>0</v>
      </c>
      <c r="M360" s="3">
        <f ca="1">IF(AND(N360&lt;&gt;N359,ISNUMBER(SEARCH(Лист2!$B$6,N:N)),L360=2),MAX($M$3:OFFSET(M360,-1,0))+1,0)</f>
        <v>0</v>
      </c>
      <c r="N360" s="3" t="s">
        <v>733</v>
      </c>
    </row>
    <row r="361" spans="1:14" x14ac:dyDescent="0.25">
      <c r="A361" s="1" t="s">
        <v>10135</v>
      </c>
      <c r="B361" s="3" t="s">
        <v>3985</v>
      </c>
      <c r="C361" s="2">
        <f ca="1">IF(ISNUMBER(SEARCH(Лист2!$B$4,D:D)),MAX($C$3:OFFSET(C361,-1,0))+1,0)</f>
        <v>0</v>
      </c>
      <c r="E361" s="9" t="str">
        <f t="shared" ca="1" si="14"/>
        <v/>
      </c>
      <c r="F361" s="4" t="s">
        <v>3</v>
      </c>
      <c r="G361" s="2">
        <f>IF(ISNUMBER(SEARCH(Лист2!$B$4,F:F)),1,0)</f>
        <v>0</v>
      </c>
      <c r="H361" s="3">
        <f ca="1">IF(AND(I361&lt;&gt;I360,ISNUMBER(SEARCH(Лист2!$B$5,I:I)),G361=1),MAX($H$3:OFFSET(H361,-1,0))+1,0)</f>
        <v>0</v>
      </c>
      <c r="I361" s="3" t="s">
        <v>72</v>
      </c>
      <c r="J361" s="4" t="str">
        <f t="shared" ca="1" si="13"/>
        <v/>
      </c>
      <c r="K361" s="2">
        <f>IF(ISNUMBER(SEARCH(Лист2!$B$4,F:F)),1,0)</f>
        <v>0</v>
      </c>
      <c r="L361" s="14">
        <f>IF(ISNUMBER(SEARCH(Лист2!$B$5,I:I)),1,0)+K361</f>
        <v>0</v>
      </c>
      <c r="M361" s="3">
        <f ca="1">IF(AND(N361&lt;&gt;N360,ISNUMBER(SEARCH(Лист2!$B$6,N:N)),L361=2),MAX($M$3:OFFSET(M361,-1,0))+1,0)</f>
        <v>0</v>
      </c>
      <c r="N361" s="3" t="s">
        <v>602</v>
      </c>
    </row>
    <row r="362" spans="1:14" x14ac:dyDescent="0.25">
      <c r="A362" s="1" t="s">
        <v>10136</v>
      </c>
      <c r="B362" s="3" t="s">
        <v>3986</v>
      </c>
      <c r="C362" s="2">
        <f ca="1">IF(ISNUMBER(SEARCH(Лист2!$B$4,D:D)),MAX($C$3:OFFSET(C362,-1,0))+1,0)</f>
        <v>0</v>
      </c>
      <c r="E362" s="9" t="str">
        <f t="shared" ca="1" si="14"/>
        <v/>
      </c>
      <c r="F362" s="4" t="s">
        <v>3</v>
      </c>
      <c r="G362" s="2">
        <f>IF(ISNUMBER(SEARCH(Лист2!$B$4,F:F)),1,0)</f>
        <v>0</v>
      </c>
      <c r="H362" s="3">
        <f ca="1">IF(AND(I362&lt;&gt;I361,ISNUMBER(SEARCH(Лист2!$B$5,I:I)),G362=1),MAX($H$3:OFFSET(H362,-1,0))+1,0)</f>
        <v>0</v>
      </c>
      <c r="I362" s="3" t="s">
        <v>72</v>
      </c>
      <c r="J362" s="4" t="str">
        <f t="shared" ca="1" si="13"/>
        <v/>
      </c>
      <c r="K362" s="2">
        <f>IF(ISNUMBER(SEARCH(Лист2!$B$4,F:F)),1,0)</f>
        <v>0</v>
      </c>
      <c r="L362" s="14">
        <f>IF(ISNUMBER(SEARCH(Лист2!$B$5,I:I)),1,0)+K362</f>
        <v>0</v>
      </c>
      <c r="M362" s="3">
        <f ca="1">IF(AND(N362&lt;&gt;N361,ISNUMBER(SEARCH(Лист2!$B$6,N:N)),L362=2),MAX($M$3:OFFSET(M362,-1,0))+1,0)</f>
        <v>0</v>
      </c>
      <c r="N362" s="3" t="s">
        <v>734</v>
      </c>
    </row>
    <row r="363" spans="1:14" x14ac:dyDescent="0.25">
      <c r="A363" s="1" t="s">
        <v>10137</v>
      </c>
      <c r="B363" s="3" t="s">
        <v>3987</v>
      </c>
      <c r="C363" s="2">
        <f ca="1">IF(ISNUMBER(SEARCH(Лист2!$B$4,D:D)),MAX($C$3:OFFSET(C363,-1,0))+1,0)</f>
        <v>0</v>
      </c>
      <c r="E363" s="9" t="str">
        <f t="shared" ca="1" si="14"/>
        <v/>
      </c>
      <c r="F363" s="4" t="s">
        <v>3</v>
      </c>
      <c r="G363" s="2">
        <f>IF(ISNUMBER(SEARCH(Лист2!$B$4,F:F)),1,0)</f>
        <v>0</v>
      </c>
      <c r="H363" s="3">
        <f ca="1">IF(AND(I363&lt;&gt;I362,ISNUMBER(SEARCH(Лист2!$B$5,I:I)),G363=1),MAX($H$3:OFFSET(H363,-1,0))+1,0)</f>
        <v>0</v>
      </c>
      <c r="I363" s="3" t="s">
        <v>72</v>
      </c>
      <c r="J363" s="4" t="str">
        <f t="shared" ca="1" si="13"/>
        <v/>
      </c>
      <c r="K363" s="2">
        <f>IF(ISNUMBER(SEARCH(Лист2!$B$4,F:F)),1,0)</f>
        <v>0</v>
      </c>
      <c r="L363" s="14">
        <f>IF(ISNUMBER(SEARCH(Лист2!$B$5,I:I)),1,0)+K363</f>
        <v>0</v>
      </c>
      <c r="M363" s="3">
        <f ca="1">IF(AND(N363&lt;&gt;N362,ISNUMBER(SEARCH(Лист2!$B$6,N:N)),L363=2),MAX($M$3:OFFSET(M363,-1,0))+1,0)</f>
        <v>0</v>
      </c>
      <c r="N363" s="3" t="s">
        <v>735</v>
      </c>
    </row>
    <row r="364" spans="1:14" x14ac:dyDescent="0.25">
      <c r="A364" s="1" t="s">
        <v>10138</v>
      </c>
      <c r="B364" s="3" t="s">
        <v>3988</v>
      </c>
      <c r="C364" s="2">
        <f ca="1">IF(ISNUMBER(SEARCH(Лист2!$B$4,D:D)),MAX($C$3:OFFSET(C364,-1,0))+1,0)</f>
        <v>0</v>
      </c>
      <c r="E364" s="9" t="str">
        <f t="shared" ca="1" si="14"/>
        <v/>
      </c>
      <c r="F364" s="4" t="s">
        <v>3</v>
      </c>
      <c r="G364" s="2">
        <f>IF(ISNUMBER(SEARCH(Лист2!$B$4,F:F)),1,0)</f>
        <v>0</v>
      </c>
      <c r="H364" s="3">
        <f ca="1">IF(AND(I364&lt;&gt;I363,ISNUMBER(SEARCH(Лист2!$B$5,I:I)),G364=1),MAX($H$3:OFFSET(H364,-1,0))+1,0)</f>
        <v>0</v>
      </c>
      <c r="I364" s="3" t="s">
        <v>72</v>
      </c>
      <c r="J364" s="4" t="str">
        <f t="shared" ca="1" si="13"/>
        <v/>
      </c>
      <c r="K364" s="2">
        <f>IF(ISNUMBER(SEARCH(Лист2!$B$4,F:F)),1,0)</f>
        <v>0</v>
      </c>
      <c r="L364" s="14">
        <f>IF(ISNUMBER(SEARCH(Лист2!$B$5,I:I)),1,0)+K364</f>
        <v>0</v>
      </c>
      <c r="M364" s="3">
        <f ca="1">IF(AND(N364&lt;&gt;N363,ISNUMBER(SEARCH(Лист2!$B$6,N:N)),L364=2),MAX($M$3:OFFSET(M364,-1,0))+1,0)</f>
        <v>0</v>
      </c>
      <c r="N364" s="3" t="s">
        <v>717</v>
      </c>
    </row>
    <row r="365" spans="1:14" x14ac:dyDescent="0.25">
      <c r="A365" s="1" t="s">
        <v>10139</v>
      </c>
      <c r="B365" s="3" t="s">
        <v>3989</v>
      </c>
      <c r="C365" s="2">
        <f ca="1">IF(ISNUMBER(SEARCH(Лист2!$B$4,D:D)),MAX($C$3:OFFSET(C365,-1,0))+1,0)</f>
        <v>0</v>
      </c>
      <c r="E365" s="9" t="str">
        <f t="shared" ca="1" si="14"/>
        <v/>
      </c>
      <c r="F365" s="4" t="s">
        <v>3</v>
      </c>
      <c r="G365" s="2">
        <f>IF(ISNUMBER(SEARCH(Лист2!$B$4,F:F)),1,0)</f>
        <v>0</v>
      </c>
      <c r="H365" s="3">
        <f ca="1">IF(AND(I365&lt;&gt;I364,ISNUMBER(SEARCH(Лист2!$B$5,I:I)),G365=1),MAX($H$3:OFFSET(H365,-1,0))+1,0)</f>
        <v>0</v>
      </c>
      <c r="I365" s="3" t="s">
        <v>72</v>
      </c>
      <c r="J365" s="4" t="str">
        <f t="shared" ca="1" si="13"/>
        <v/>
      </c>
      <c r="K365" s="2">
        <f>IF(ISNUMBER(SEARCH(Лист2!$B$4,F:F)),1,0)</f>
        <v>0</v>
      </c>
      <c r="L365" s="14">
        <f>IF(ISNUMBER(SEARCH(Лист2!$B$5,I:I)),1,0)+K365</f>
        <v>0</v>
      </c>
      <c r="M365" s="3">
        <f ca="1">IF(AND(N365&lt;&gt;N364,ISNUMBER(SEARCH(Лист2!$B$6,N:N)),L365=2),MAX($M$3:OFFSET(M365,-1,0))+1,0)</f>
        <v>0</v>
      </c>
      <c r="N365" s="3" t="s">
        <v>709</v>
      </c>
    </row>
    <row r="366" spans="1:14" x14ac:dyDescent="0.25">
      <c r="A366" s="1" t="s">
        <v>10140</v>
      </c>
      <c r="B366" s="3" t="s">
        <v>3990</v>
      </c>
      <c r="C366" s="2">
        <f ca="1">IF(ISNUMBER(SEARCH(Лист2!$B$4,D:D)),MAX($C$3:OFFSET(C366,-1,0))+1,0)</f>
        <v>0</v>
      </c>
      <c r="E366" s="9" t="str">
        <f t="shared" ca="1" si="14"/>
        <v/>
      </c>
      <c r="F366" s="4" t="s">
        <v>3</v>
      </c>
      <c r="G366" s="2">
        <f>IF(ISNUMBER(SEARCH(Лист2!$B$4,F:F)),1,0)</f>
        <v>0</v>
      </c>
      <c r="H366" s="3">
        <f ca="1">IF(AND(I366&lt;&gt;I365,ISNUMBER(SEARCH(Лист2!$B$5,I:I)),G366=1),MAX($H$3:OFFSET(H366,-1,0))+1,0)</f>
        <v>0</v>
      </c>
      <c r="I366" s="3" t="s">
        <v>72</v>
      </c>
      <c r="J366" s="4" t="str">
        <f t="shared" ca="1" si="13"/>
        <v/>
      </c>
      <c r="K366" s="2">
        <f>IF(ISNUMBER(SEARCH(Лист2!$B$4,F:F)),1,0)</f>
        <v>0</v>
      </c>
      <c r="L366" s="14">
        <f>IF(ISNUMBER(SEARCH(Лист2!$B$5,I:I)),1,0)+K366</f>
        <v>0</v>
      </c>
      <c r="M366" s="3">
        <f ca="1">IF(AND(N366&lt;&gt;N365,ISNUMBER(SEARCH(Лист2!$B$6,N:N)),L366=2),MAX($M$3:OFFSET(M366,-1,0))+1,0)</f>
        <v>0</v>
      </c>
      <c r="N366" s="3" t="s">
        <v>736</v>
      </c>
    </row>
    <row r="367" spans="1:14" x14ac:dyDescent="0.25">
      <c r="A367" s="1" t="s">
        <v>10141</v>
      </c>
      <c r="B367" s="3" t="s">
        <v>3991</v>
      </c>
      <c r="C367" s="2">
        <f ca="1">IF(ISNUMBER(SEARCH(Лист2!$B$4,D:D)),MAX($C$3:OFFSET(C367,-1,0))+1,0)</f>
        <v>0</v>
      </c>
      <c r="E367" s="9" t="str">
        <f t="shared" ca="1" si="14"/>
        <v/>
      </c>
      <c r="F367" s="4" t="s">
        <v>3</v>
      </c>
      <c r="G367" s="2">
        <f>IF(ISNUMBER(SEARCH(Лист2!$B$4,F:F)),1,0)</f>
        <v>0</v>
      </c>
      <c r="H367" s="3">
        <f ca="1">IF(AND(I367&lt;&gt;I366,ISNUMBER(SEARCH(Лист2!$B$5,I:I)),G367=1),MAX($H$3:OFFSET(H367,-1,0))+1,0)</f>
        <v>0</v>
      </c>
      <c r="I367" s="3" t="s">
        <v>73</v>
      </c>
      <c r="J367" s="4" t="str">
        <f t="shared" ca="1" si="13"/>
        <v/>
      </c>
      <c r="K367" s="2">
        <f>IF(ISNUMBER(SEARCH(Лист2!$B$4,F:F)),1,0)</f>
        <v>0</v>
      </c>
      <c r="L367" s="14">
        <f>IF(ISNUMBER(SEARCH(Лист2!$B$5,I:I)),1,0)+K367</f>
        <v>0</v>
      </c>
      <c r="M367" s="3">
        <f ca="1">IF(AND(N367&lt;&gt;N366,ISNUMBER(SEARCH(Лист2!$B$6,N:N)),L367=2),MAX($M$3:OFFSET(M367,-1,0))+1,0)</f>
        <v>0</v>
      </c>
      <c r="N367" s="3" t="s">
        <v>737</v>
      </c>
    </row>
    <row r="368" spans="1:14" x14ac:dyDescent="0.25">
      <c r="A368" s="1" t="s">
        <v>10142</v>
      </c>
      <c r="B368" s="3" t="s">
        <v>3992</v>
      </c>
      <c r="C368" s="2">
        <f ca="1">IF(ISNUMBER(SEARCH(Лист2!$B$4,D:D)),MAX($C$3:OFFSET(C368,-1,0))+1,0)</f>
        <v>0</v>
      </c>
      <c r="E368" s="9" t="str">
        <f t="shared" ca="1" si="14"/>
        <v/>
      </c>
      <c r="F368" s="4" t="s">
        <v>3</v>
      </c>
      <c r="G368" s="2">
        <f>IF(ISNUMBER(SEARCH(Лист2!$B$4,F:F)),1,0)</f>
        <v>0</v>
      </c>
      <c r="H368" s="3">
        <f ca="1">IF(AND(I368&lt;&gt;I367,ISNUMBER(SEARCH(Лист2!$B$5,I:I)),G368=1),MAX($H$3:OFFSET(H368,-1,0))+1,0)</f>
        <v>0</v>
      </c>
      <c r="I368" s="3" t="s">
        <v>73</v>
      </c>
      <c r="J368" s="4" t="str">
        <f t="shared" ca="1" si="13"/>
        <v/>
      </c>
      <c r="K368" s="2">
        <f>IF(ISNUMBER(SEARCH(Лист2!$B$4,F:F)),1,0)</f>
        <v>0</v>
      </c>
      <c r="L368" s="14">
        <f>IF(ISNUMBER(SEARCH(Лист2!$B$5,I:I)),1,0)+K368</f>
        <v>0</v>
      </c>
      <c r="M368" s="3">
        <f ca="1">IF(AND(N368&lt;&gt;N367,ISNUMBER(SEARCH(Лист2!$B$6,N:N)),L368=2),MAX($M$3:OFFSET(M368,-1,0))+1,0)</f>
        <v>0</v>
      </c>
      <c r="N368" s="3" t="s">
        <v>738</v>
      </c>
    </row>
    <row r="369" spans="1:14" x14ac:dyDescent="0.25">
      <c r="A369" s="1" t="s">
        <v>10143</v>
      </c>
      <c r="B369" s="3" t="s">
        <v>3993</v>
      </c>
      <c r="C369" s="2">
        <f ca="1">IF(ISNUMBER(SEARCH(Лист2!$B$4,D:D)),MAX($C$3:OFFSET(C369,-1,0))+1,0)</f>
        <v>0</v>
      </c>
      <c r="E369" s="9" t="str">
        <f t="shared" ca="1" si="14"/>
        <v/>
      </c>
      <c r="F369" s="4" t="s">
        <v>3</v>
      </c>
      <c r="G369" s="2">
        <f>IF(ISNUMBER(SEARCH(Лист2!$B$4,F:F)),1,0)</f>
        <v>0</v>
      </c>
      <c r="H369" s="3">
        <f ca="1">IF(AND(I369&lt;&gt;I368,ISNUMBER(SEARCH(Лист2!$B$5,I:I)),G369=1),MAX($H$3:OFFSET(H369,-1,0))+1,0)</f>
        <v>0</v>
      </c>
      <c r="I369" s="3" t="s">
        <v>73</v>
      </c>
      <c r="J369" s="4" t="str">
        <f t="shared" ca="1" si="13"/>
        <v/>
      </c>
      <c r="K369" s="2">
        <f>IF(ISNUMBER(SEARCH(Лист2!$B$4,F:F)),1,0)</f>
        <v>0</v>
      </c>
      <c r="L369" s="14">
        <f>IF(ISNUMBER(SEARCH(Лист2!$B$5,I:I)),1,0)+K369</f>
        <v>0</v>
      </c>
      <c r="M369" s="3">
        <f ca="1">IF(AND(N369&lt;&gt;N368,ISNUMBER(SEARCH(Лист2!$B$6,N:N)),L369=2),MAX($M$3:OFFSET(M369,-1,0))+1,0)</f>
        <v>0</v>
      </c>
      <c r="N369" s="3" t="s">
        <v>602</v>
      </c>
    </row>
    <row r="370" spans="1:14" x14ac:dyDescent="0.25">
      <c r="A370" s="1" t="s">
        <v>10144</v>
      </c>
      <c r="B370" s="3" t="s">
        <v>3994</v>
      </c>
      <c r="C370" s="2">
        <f ca="1">IF(ISNUMBER(SEARCH(Лист2!$B$4,D:D)),MAX($C$3:OFFSET(C370,-1,0))+1,0)</f>
        <v>0</v>
      </c>
      <c r="E370" s="9" t="str">
        <f t="shared" ca="1" si="14"/>
        <v/>
      </c>
      <c r="F370" s="4" t="s">
        <v>3</v>
      </c>
      <c r="G370" s="2">
        <f>IF(ISNUMBER(SEARCH(Лист2!$B$4,F:F)),1,0)</f>
        <v>0</v>
      </c>
      <c r="H370" s="3">
        <f ca="1">IF(AND(I370&lt;&gt;I369,ISNUMBER(SEARCH(Лист2!$B$5,I:I)),G370=1),MAX($H$3:OFFSET(H370,-1,0))+1,0)</f>
        <v>0</v>
      </c>
      <c r="I370" s="3" t="s">
        <v>73</v>
      </c>
      <c r="J370" s="4" t="str">
        <f t="shared" ca="1" si="13"/>
        <v/>
      </c>
      <c r="K370" s="2">
        <f>IF(ISNUMBER(SEARCH(Лист2!$B$4,F:F)),1,0)</f>
        <v>0</v>
      </c>
      <c r="L370" s="14">
        <f>IF(ISNUMBER(SEARCH(Лист2!$B$5,I:I)),1,0)+K370</f>
        <v>0</v>
      </c>
      <c r="M370" s="3">
        <f ca="1">IF(AND(N370&lt;&gt;N369,ISNUMBER(SEARCH(Лист2!$B$6,N:N)),L370=2),MAX($M$3:OFFSET(M370,-1,0))+1,0)</f>
        <v>0</v>
      </c>
      <c r="N370" s="3" t="s">
        <v>739</v>
      </c>
    </row>
    <row r="371" spans="1:14" x14ac:dyDescent="0.25">
      <c r="A371" s="1" t="s">
        <v>10145</v>
      </c>
      <c r="B371" s="3" t="s">
        <v>3995</v>
      </c>
      <c r="C371" s="2">
        <f ca="1">IF(ISNUMBER(SEARCH(Лист2!$B$4,D:D)),MAX($C$3:OFFSET(C371,-1,0))+1,0)</f>
        <v>0</v>
      </c>
      <c r="E371" s="9" t="str">
        <f t="shared" ca="1" si="14"/>
        <v/>
      </c>
      <c r="F371" s="4" t="s">
        <v>3</v>
      </c>
      <c r="G371" s="2">
        <f>IF(ISNUMBER(SEARCH(Лист2!$B$4,F:F)),1,0)</f>
        <v>0</v>
      </c>
      <c r="H371" s="3">
        <f ca="1">IF(AND(I371&lt;&gt;I370,ISNUMBER(SEARCH(Лист2!$B$5,I:I)),G371=1),MAX($H$3:OFFSET(H371,-1,0))+1,0)</f>
        <v>0</v>
      </c>
      <c r="I371" s="3" t="s">
        <v>73</v>
      </c>
      <c r="J371" s="4" t="str">
        <f t="shared" ca="1" si="13"/>
        <v/>
      </c>
      <c r="K371" s="2">
        <f>IF(ISNUMBER(SEARCH(Лист2!$B$4,F:F)),1,0)</f>
        <v>0</v>
      </c>
      <c r="L371" s="14">
        <f>IF(ISNUMBER(SEARCH(Лист2!$B$5,I:I)),1,0)+K371</f>
        <v>0</v>
      </c>
      <c r="M371" s="3">
        <f ca="1">IF(AND(N371&lt;&gt;N370,ISNUMBER(SEARCH(Лист2!$B$6,N:N)),L371=2),MAX($M$3:OFFSET(M371,-1,0))+1,0)</f>
        <v>0</v>
      </c>
      <c r="N371" s="3" t="s">
        <v>740</v>
      </c>
    </row>
    <row r="372" spans="1:14" x14ac:dyDescent="0.25">
      <c r="A372" s="1" t="s">
        <v>10146</v>
      </c>
      <c r="B372" s="3" t="s">
        <v>3996</v>
      </c>
      <c r="C372" s="2">
        <f ca="1">IF(ISNUMBER(SEARCH(Лист2!$B$4,D:D)),MAX($C$3:OFFSET(C372,-1,0))+1,0)</f>
        <v>0</v>
      </c>
      <c r="E372" s="9" t="str">
        <f t="shared" ca="1" si="14"/>
        <v/>
      </c>
      <c r="F372" s="4" t="s">
        <v>3</v>
      </c>
      <c r="G372" s="2">
        <f>IF(ISNUMBER(SEARCH(Лист2!$B$4,F:F)),1,0)</f>
        <v>0</v>
      </c>
      <c r="H372" s="3">
        <f ca="1">IF(AND(I372&lt;&gt;I371,ISNUMBER(SEARCH(Лист2!$B$5,I:I)),G372=1),MAX($H$3:OFFSET(H372,-1,0))+1,0)</f>
        <v>0</v>
      </c>
      <c r="I372" s="3" t="s">
        <v>73</v>
      </c>
      <c r="J372" s="4" t="str">
        <f t="shared" ca="1" si="13"/>
        <v/>
      </c>
      <c r="K372" s="2">
        <f>IF(ISNUMBER(SEARCH(Лист2!$B$4,F:F)),1,0)</f>
        <v>0</v>
      </c>
      <c r="L372" s="14">
        <f>IF(ISNUMBER(SEARCH(Лист2!$B$5,I:I)),1,0)+K372</f>
        <v>0</v>
      </c>
      <c r="M372" s="3">
        <f ca="1">IF(AND(N372&lt;&gt;N371,ISNUMBER(SEARCH(Лист2!$B$6,N:N)),L372=2),MAX($M$3:OFFSET(M372,-1,0))+1,0)</f>
        <v>0</v>
      </c>
      <c r="N372" s="3" t="s">
        <v>717</v>
      </c>
    </row>
    <row r="373" spans="1:14" x14ac:dyDescent="0.25">
      <c r="A373" s="1" t="s">
        <v>10147</v>
      </c>
      <c r="B373" s="3" t="s">
        <v>3997</v>
      </c>
      <c r="C373" s="2">
        <f ca="1">IF(ISNUMBER(SEARCH(Лист2!$B$4,D:D)),MAX($C$3:OFFSET(C373,-1,0))+1,0)</f>
        <v>0</v>
      </c>
      <c r="E373" s="9" t="str">
        <f t="shared" ca="1" si="14"/>
        <v/>
      </c>
      <c r="F373" s="4" t="s">
        <v>3</v>
      </c>
      <c r="G373" s="2">
        <f>IF(ISNUMBER(SEARCH(Лист2!$B$4,F:F)),1,0)</f>
        <v>0</v>
      </c>
      <c r="H373" s="3">
        <f ca="1">IF(AND(I373&lt;&gt;I372,ISNUMBER(SEARCH(Лист2!$B$5,I:I)),G373=1),MAX($H$3:OFFSET(H373,-1,0))+1,0)</f>
        <v>0</v>
      </c>
      <c r="I373" s="3" t="s">
        <v>73</v>
      </c>
      <c r="J373" s="4" t="str">
        <f t="shared" ca="1" si="13"/>
        <v/>
      </c>
      <c r="K373" s="2">
        <f>IF(ISNUMBER(SEARCH(Лист2!$B$4,F:F)),1,0)</f>
        <v>0</v>
      </c>
      <c r="L373" s="14">
        <f>IF(ISNUMBER(SEARCH(Лист2!$B$5,I:I)),1,0)+K373</f>
        <v>0</v>
      </c>
      <c r="M373" s="3">
        <f ca="1">IF(AND(N373&lt;&gt;N372,ISNUMBER(SEARCH(Лист2!$B$6,N:N)),L373=2),MAX($M$3:OFFSET(M373,-1,0))+1,0)</f>
        <v>0</v>
      </c>
      <c r="N373" s="3" t="s">
        <v>709</v>
      </c>
    </row>
    <row r="374" spans="1:14" x14ac:dyDescent="0.25">
      <c r="A374" s="1" t="s">
        <v>10148</v>
      </c>
      <c r="B374" s="3" t="s">
        <v>3998</v>
      </c>
      <c r="C374" s="2">
        <f ca="1">IF(ISNUMBER(SEARCH(Лист2!$B$4,D:D)),MAX($C$3:OFFSET(C374,-1,0))+1,0)</f>
        <v>0</v>
      </c>
      <c r="E374" s="9" t="str">
        <f t="shared" ca="1" si="14"/>
        <v/>
      </c>
      <c r="F374" s="4" t="s">
        <v>3</v>
      </c>
      <c r="G374" s="2">
        <f>IF(ISNUMBER(SEARCH(Лист2!$B$4,F:F)),1,0)</f>
        <v>0</v>
      </c>
      <c r="H374" s="3">
        <f ca="1">IF(AND(I374&lt;&gt;I373,ISNUMBER(SEARCH(Лист2!$B$5,I:I)),G374=1),MAX($H$3:OFFSET(H374,-1,0))+1,0)</f>
        <v>0</v>
      </c>
      <c r="I374" s="3" t="s">
        <v>73</v>
      </c>
      <c r="J374" s="4" t="str">
        <f t="shared" ca="1" si="13"/>
        <v/>
      </c>
      <c r="K374" s="2">
        <f>IF(ISNUMBER(SEARCH(Лист2!$B$4,F:F)),1,0)</f>
        <v>0</v>
      </c>
      <c r="L374" s="14">
        <f>IF(ISNUMBER(SEARCH(Лист2!$B$5,I:I)),1,0)+K374</f>
        <v>0</v>
      </c>
      <c r="M374" s="3">
        <f ca="1">IF(AND(N374&lt;&gt;N373,ISNUMBER(SEARCH(Лист2!$B$6,N:N)),L374=2),MAX($M$3:OFFSET(M374,-1,0))+1,0)</f>
        <v>0</v>
      </c>
      <c r="N374" s="3" t="s">
        <v>736</v>
      </c>
    </row>
    <row r="375" spans="1:14" x14ac:dyDescent="0.25">
      <c r="A375" s="1" t="s">
        <v>10149</v>
      </c>
      <c r="B375" s="3" t="s">
        <v>3999</v>
      </c>
      <c r="C375" s="2">
        <f ca="1">IF(ISNUMBER(SEARCH(Лист2!$B$4,D:D)),MAX($C$3:OFFSET(C375,-1,0))+1,0)</f>
        <v>0</v>
      </c>
      <c r="E375" s="9" t="str">
        <f t="shared" ca="1" si="14"/>
        <v/>
      </c>
      <c r="F375" s="4" t="s">
        <v>3</v>
      </c>
      <c r="G375" s="2">
        <f>IF(ISNUMBER(SEARCH(Лист2!$B$4,F:F)),1,0)</f>
        <v>0</v>
      </c>
      <c r="H375" s="3">
        <f ca="1">IF(AND(I375&lt;&gt;I374,ISNUMBER(SEARCH(Лист2!$B$5,I:I)),G375=1),MAX($H$3:OFFSET(H375,-1,0))+1,0)</f>
        <v>0</v>
      </c>
      <c r="I375" s="3" t="s">
        <v>74</v>
      </c>
      <c r="J375" s="4" t="str">
        <f t="shared" ca="1" si="13"/>
        <v/>
      </c>
      <c r="K375" s="2">
        <f>IF(ISNUMBER(SEARCH(Лист2!$B$4,F:F)),1,0)</f>
        <v>0</v>
      </c>
      <c r="L375" s="14">
        <f>IF(ISNUMBER(SEARCH(Лист2!$B$5,I:I)),1,0)+K375</f>
        <v>0</v>
      </c>
      <c r="M375" s="3">
        <f ca="1">IF(AND(N375&lt;&gt;N374,ISNUMBER(SEARCH(Лист2!$B$6,N:N)),L375=2),MAX($M$3:OFFSET(M375,-1,0))+1,0)</f>
        <v>0</v>
      </c>
      <c r="N375" s="3" t="s">
        <v>741</v>
      </c>
    </row>
    <row r="376" spans="1:14" x14ac:dyDescent="0.25">
      <c r="A376" s="1" t="s">
        <v>10150</v>
      </c>
      <c r="B376" s="3" t="s">
        <v>4000</v>
      </c>
      <c r="C376" s="2">
        <f ca="1">IF(ISNUMBER(SEARCH(Лист2!$B$4,D:D)),MAX($C$3:OFFSET(C376,-1,0))+1,0)</f>
        <v>0</v>
      </c>
      <c r="E376" s="9" t="str">
        <f t="shared" ca="1" si="14"/>
        <v/>
      </c>
      <c r="F376" s="4" t="s">
        <v>3</v>
      </c>
      <c r="G376" s="2">
        <f>IF(ISNUMBER(SEARCH(Лист2!$B$4,F:F)),1,0)</f>
        <v>0</v>
      </c>
      <c r="H376" s="3">
        <f ca="1">IF(AND(I376&lt;&gt;I375,ISNUMBER(SEARCH(Лист2!$B$5,I:I)),G376=1),MAX($H$3:OFFSET(H376,-1,0))+1,0)</f>
        <v>0</v>
      </c>
      <c r="I376" s="3" t="s">
        <v>74</v>
      </c>
      <c r="J376" s="4" t="str">
        <f t="shared" ca="1" si="13"/>
        <v/>
      </c>
      <c r="K376" s="2">
        <f>IF(ISNUMBER(SEARCH(Лист2!$B$4,F:F)),1,0)</f>
        <v>0</v>
      </c>
      <c r="L376" s="14">
        <f>IF(ISNUMBER(SEARCH(Лист2!$B$5,I:I)),1,0)+K376</f>
        <v>0</v>
      </c>
      <c r="M376" s="3">
        <f ca="1">IF(AND(N376&lt;&gt;N375,ISNUMBER(SEARCH(Лист2!$B$6,N:N)),L376=2),MAX($M$3:OFFSET(M376,-1,0))+1,0)</f>
        <v>0</v>
      </c>
      <c r="N376" s="3" t="s">
        <v>742</v>
      </c>
    </row>
    <row r="377" spans="1:14" x14ac:dyDescent="0.25">
      <c r="A377" s="1" t="s">
        <v>10151</v>
      </c>
      <c r="B377" s="3" t="s">
        <v>4001</v>
      </c>
      <c r="C377" s="2">
        <f ca="1">IF(ISNUMBER(SEARCH(Лист2!$B$4,D:D)),MAX($C$3:OFFSET(C377,-1,0))+1,0)</f>
        <v>0</v>
      </c>
      <c r="E377" s="9" t="str">
        <f t="shared" ca="1" si="14"/>
        <v/>
      </c>
      <c r="F377" s="4" t="s">
        <v>3</v>
      </c>
      <c r="G377" s="2">
        <f>IF(ISNUMBER(SEARCH(Лист2!$B$4,F:F)),1,0)</f>
        <v>0</v>
      </c>
      <c r="H377" s="3">
        <f ca="1">IF(AND(I377&lt;&gt;I376,ISNUMBER(SEARCH(Лист2!$B$5,I:I)),G377=1),MAX($H$3:OFFSET(H377,-1,0))+1,0)</f>
        <v>0</v>
      </c>
      <c r="I377" s="3" t="s">
        <v>74</v>
      </c>
      <c r="J377" s="4" t="str">
        <f t="shared" ca="1" si="13"/>
        <v/>
      </c>
      <c r="K377" s="2">
        <f>IF(ISNUMBER(SEARCH(Лист2!$B$4,F:F)),1,0)</f>
        <v>0</v>
      </c>
      <c r="L377" s="14">
        <f>IF(ISNUMBER(SEARCH(Лист2!$B$5,I:I)),1,0)+K377</f>
        <v>0</v>
      </c>
      <c r="M377" s="3">
        <f ca="1">IF(AND(N377&lt;&gt;N376,ISNUMBER(SEARCH(Лист2!$B$6,N:N)),L377=2),MAX($M$3:OFFSET(M377,-1,0))+1,0)</f>
        <v>0</v>
      </c>
      <c r="N377" s="3" t="s">
        <v>602</v>
      </c>
    </row>
    <row r="378" spans="1:14" x14ac:dyDescent="0.25">
      <c r="A378" s="1" t="s">
        <v>10152</v>
      </c>
      <c r="B378" s="3" t="s">
        <v>4002</v>
      </c>
      <c r="C378" s="2">
        <f ca="1">IF(ISNUMBER(SEARCH(Лист2!$B$4,D:D)),MAX($C$3:OFFSET(C378,-1,0))+1,0)</f>
        <v>0</v>
      </c>
      <c r="E378" s="9" t="str">
        <f t="shared" ca="1" si="14"/>
        <v/>
      </c>
      <c r="F378" s="4" t="s">
        <v>3</v>
      </c>
      <c r="G378" s="2">
        <f>IF(ISNUMBER(SEARCH(Лист2!$B$4,F:F)),1,0)</f>
        <v>0</v>
      </c>
      <c r="H378" s="3">
        <f ca="1">IF(AND(I378&lt;&gt;I377,ISNUMBER(SEARCH(Лист2!$B$5,I:I)),G378=1),MAX($H$3:OFFSET(H378,-1,0))+1,0)</f>
        <v>0</v>
      </c>
      <c r="I378" s="3" t="s">
        <v>74</v>
      </c>
      <c r="J378" s="4" t="str">
        <f t="shared" ca="1" si="13"/>
        <v/>
      </c>
      <c r="K378" s="2">
        <f>IF(ISNUMBER(SEARCH(Лист2!$B$4,F:F)),1,0)</f>
        <v>0</v>
      </c>
      <c r="L378" s="14">
        <f>IF(ISNUMBER(SEARCH(Лист2!$B$5,I:I)),1,0)+K378</f>
        <v>0</v>
      </c>
      <c r="M378" s="3">
        <f ca="1">IF(AND(N378&lt;&gt;N377,ISNUMBER(SEARCH(Лист2!$B$6,N:N)),L378=2),MAX($M$3:OFFSET(M378,-1,0))+1,0)</f>
        <v>0</v>
      </c>
      <c r="N378" s="3" t="s">
        <v>743</v>
      </c>
    </row>
    <row r="379" spans="1:14" x14ac:dyDescent="0.25">
      <c r="A379" s="1" t="s">
        <v>10153</v>
      </c>
      <c r="B379" s="3" t="s">
        <v>4003</v>
      </c>
      <c r="C379" s="2">
        <f ca="1">IF(ISNUMBER(SEARCH(Лист2!$B$4,D:D)),MAX($C$3:OFFSET(C379,-1,0))+1,0)</f>
        <v>0</v>
      </c>
      <c r="E379" s="9" t="str">
        <f t="shared" ca="1" si="14"/>
        <v/>
      </c>
      <c r="F379" s="4" t="s">
        <v>3</v>
      </c>
      <c r="G379" s="2">
        <f>IF(ISNUMBER(SEARCH(Лист2!$B$4,F:F)),1,0)</f>
        <v>0</v>
      </c>
      <c r="H379" s="3">
        <f ca="1">IF(AND(I379&lt;&gt;I378,ISNUMBER(SEARCH(Лист2!$B$5,I:I)),G379=1),MAX($H$3:OFFSET(H379,-1,0))+1,0)</f>
        <v>0</v>
      </c>
      <c r="I379" s="3" t="s">
        <v>74</v>
      </c>
      <c r="J379" s="4" t="str">
        <f t="shared" ca="1" si="13"/>
        <v/>
      </c>
      <c r="K379" s="2">
        <f>IF(ISNUMBER(SEARCH(Лист2!$B$4,F:F)),1,0)</f>
        <v>0</v>
      </c>
      <c r="L379" s="14">
        <f>IF(ISNUMBER(SEARCH(Лист2!$B$5,I:I)),1,0)+K379</f>
        <v>0</v>
      </c>
      <c r="M379" s="3">
        <f ca="1">IF(AND(N379&lt;&gt;N378,ISNUMBER(SEARCH(Лист2!$B$6,N:N)),L379=2),MAX($M$3:OFFSET(M379,-1,0))+1,0)</f>
        <v>0</v>
      </c>
      <c r="N379" s="3" t="s">
        <v>744</v>
      </c>
    </row>
    <row r="380" spans="1:14" x14ac:dyDescent="0.25">
      <c r="A380" s="1" t="s">
        <v>10154</v>
      </c>
      <c r="B380" s="3" t="s">
        <v>4004</v>
      </c>
      <c r="C380" s="2">
        <f ca="1">IF(ISNUMBER(SEARCH(Лист2!$B$4,D:D)),MAX($C$3:OFFSET(C380,-1,0))+1,0)</f>
        <v>0</v>
      </c>
      <c r="E380" s="9" t="str">
        <f t="shared" ca="1" si="14"/>
        <v/>
      </c>
      <c r="F380" s="4" t="s">
        <v>3</v>
      </c>
      <c r="G380" s="2">
        <f>IF(ISNUMBER(SEARCH(Лист2!$B$4,F:F)),1,0)</f>
        <v>0</v>
      </c>
      <c r="H380" s="3">
        <f ca="1">IF(AND(I380&lt;&gt;I379,ISNUMBER(SEARCH(Лист2!$B$5,I:I)),G380=1),MAX($H$3:OFFSET(H380,-1,0))+1,0)</f>
        <v>0</v>
      </c>
      <c r="I380" s="3" t="s">
        <v>74</v>
      </c>
      <c r="J380" s="4" t="str">
        <f t="shared" ca="1" si="13"/>
        <v/>
      </c>
      <c r="K380" s="2">
        <f>IF(ISNUMBER(SEARCH(Лист2!$B$4,F:F)),1,0)</f>
        <v>0</v>
      </c>
      <c r="L380" s="14">
        <f>IF(ISNUMBER(SEARCH(Лист2!$B$5,I:I)),1,0)+K380</f>
        <v>0</v>
      </c>
      <c r="M380" s="3">
        <f ca="1">IF(AND(N380&lt;&gt;N379,ISNUMBER(SEARCH(Лист2!$B$6,N:N)),L380=2),MAX($M$3:OFFSET(M380,-1,0))+1,0)</f>
        <v>0</v>
      </c>
      <c r="N380" s="3" t="s">
        <v>717</v>
      </c>
    </row>
    <row r="381" spans="1:14" x14ac:dyDescent="0.25">
      <c r="A381" s="1" t="s">
        <v>10155</v>
      </c>
      <c r="B381" s="3" t="s">
        <v>4005</v>
      </c>
      <c r="C381" s="2">
        <f ca="1">IF(ISNUMBER(SEARCH(Лист2!$B$4,D:D)),MAX($C$3:OFFSET(C381,-1,0))+1,0)</f>
        <v>0</v>
      </c>
      <c r="E381" s="9" t="str">
        <f t="shared" ca="1" si="14"/>
        <v/>
      </c>
      <c r="F381" s="4" t="s">
        <v>3</v>
      </c>
      <c r="G381" s="2">
        <f>IF(ISNUMBER(SEARCH(Лист2!$B$4,F:F)),1,0)</f>
        <v>0</v>
      </c>
      <c r="H381" s="3">
        <f ca="1">IF(AND(I381&lt;&gt;I380,ISNUMBER(SEARCH(Лист2!$B$5,I:I)),G381=1),MAX($H$3:OFFSET(H381,-1,0))+1,0)</f>
        <v>0</v>
      </c>
      <c r="I381" s="3" t="s">
        <v>74</v>
      </c>
      <c r="J381" s="4" t="str">
        <f t="shared" ca="1" si="13"/>
        <v/>
      </c>
      <c r="K381" s="2">
        <f>IF(ISNUMBER(SEARCH(Лист2!$B$4,F:F)),1,0)</f>
        <v>0</v>
      </c>
      <c r="L381" s="14">
        <f>IF(ISNUMBER(SEARCH(Лист2!$B$5,I:I)),1,0)+K381</f>
        <v>0</v>
      </c>
      <c r="M381" s="3">
        <f ca="1">IF(AND(N381&lt;&gt;N380,ISNUMBER(SEARCH(Лист2!$B$6,N:N)),L381=2),MAX($M$3:OFFSET(M381,-1,0))+1,0)</f>
        <v>0</v>
      </c>
      <c r="N381" s="3" t="s">
        <v>709</v>
      </c>
    </row>
    <row r="382" spans="1:14" x14ac:dyDescent="0.25">
      <c r="A382" s="1" t="s">
        <v>10156</v>
      </c>
      <c r="B382" s="3" t="s">
        <v>4006</v>
      </c>
      <c r="C382" s="2">
        <f ca="1">IF(ISNUMBER(SEARCH(Лист2!$B$4,D:D)),MAX($C$3:OFFSET(C382,-1,0))+1,0)</f>
        <v>0</v>
      </c>
      <c r="E382" s="9" t="str">
        <f t="shared" ca="1" si="14"/>
        <v/>
      </c>
      <c r="F382" s="4" t="s">
        <v>3</v>
      </c>
      <c r="G382" s="2">
        <f>IF(ISNUMBER(SEARCH(Лист2!$B$4,F:F)),1,0)</f>
        <v>0</v>
      </c>
      <c r="H382" s="3">
        <f ca="1">IF(AND(I382&lt;&gt;I381,ISNUMBER(SEARCH(Лист2!$B$5,I:I)),G382=1),MAX($H$3:OFFSET(H382,-1,0))+1,0)</f>
        <v>0</v>
      </c>
      <c r="I382" s="3" t="s">
        <v>74</v>
      </c>
      <c r="J382" s="4" t="str">
        <f t="shared" ca="1" si="13"/>
        <v/>
      </c>
      <c r="K382" s="2">
        <f>IF(ISNUMBER(SEARCH(Лист2!$B$4,F:F)),1,0)</f>
        <v>0</v>
      </c>
      <c r="L382" s="14">
        <f>IF(ISNUMBER(SEARCH(Лист2!$B$5,I:I)),1,0)+K382</f>
        <v>0</v>
      </c>
      <c r="M382" s="3">
        <f ca="1">IF(AND(N382&lt;&gt;N381,ISNUMBER(SEARCH(Лист2!$B$6,N:N)),L382=2),MAX($M$3:OFFSET(M382,-1,0))+1,0)</f>
        <v>0</v>
      </c>
      <c r="N382" s="3" t="s">
        <v>719</v>
      </c>
    </row>
    <row r="383" spans="1:14" x14ac:dyDescent="0.25">
      <c r="A383" s="1" t="s">
        <v>10157</v>
      </c>
      <c r="B383" s="3" t="s">
        <v>4007</v>
      </c>
      <c r="C383" s="2">
        <f ca="1">IF(ISNUMBER(SEARCH(Лист2!$B$4,D:D)),MAX($C$3:OFFSET(C383,-1,0))+1,0)</f>
        <v>0</v>
      </c>
      <c r="E383" s="9" t="str">
        <f t="shared" ca="1" si="14"/>
        <v/>
      </c>
      <c r="F383" s="4" t="s">
        <v>3</v>
      </c>
      <c r="G383" s="2">
        <f>IF(ISNUMBER(SEARCH(Лист2!$B$4,F:F)),1,0)</f>
        <v>0</v>
      </c>
      <c r="H383" s="3">
        <f ca="1">IF(AND(I383&lt;&gt;I382,ISNUMBER(SEARCH(Лист2!$B$5,I:I)),G383=1),MAX($H$3:OFFSET(H383,-1,0))+1,0)</f>
        <v>0</v>
      </c>
      <c r="I383" s="3" t="s">
        <v>75</v>
      </c>
      <c r="J383" s="4" t="str">
        <f t="shared" ca="1" si="13"/>
        <v/>
      </c>
      <c r="K383" s="2">
        <f>IF(ISNUMBER(SEARCH(Лист2!$B$4,F:F)),1,0)</f>
        <v>0</v>
      </c>
      <c r="L383" s="14">
        <f>IF(ISNUMBER(SEARCH(Лист2!$B$5,I:I)),1,0)+K383</f>
        <v>0</v>
      </c>
      <c r="M383" s="3">
        <f ca="1">IF(AND(N383&lt;&gt;N382,ISNUMBER(SEARCH(Лист2!$B$6,N:N)),L383=2),MAX($M$3:OFFSET(M383,-1,0))+1,0)</f>
        <v>0</v>
      </c>
      <c r="N383" s="3" t="s">
        <v>745</v>
      </c>
    </row>
    <row r="384" spans="1:14" x14ac:dyDescent="0.25">
      <c r="A384" s="1" t="s">
        <v>10158</v>
      </c>
      <c r="B384" s="3" t="s">
        <v>4008</v>
      </c>
      <c r="C384" s="2">
        <f ca="1">IF(ISNUMBER(SEARCH(Лист2!$B$4,D:D)),MAX($C$3:OFFSET(C384,-1,0))+1,0)</f>
        <v>0</v>
      </c>
      <c r="E384" s="9" t="str">
        <f t="shared" ca="1" si="14"/>
        <v/>
      </c>
      <c r="F384" s="4" t="s">
        <v>3</v>
      </c>
      <c r="G384" s="2">
        <f>IF(ISNUMBER(SEARCH(Лист2!$B$4,F:F)),1,0)</f>
        <v>0</v>
      </c>
      <c r="H384" s="3">
        <f ca="1">IF(AND(I384&lt;&gt;I383,ISNUMBER(SEARCH(Лист2!$B$5,I:I)),G384=1),MAX($H$3:OFFSET(H384,-1,0))+1,0)</f>
        <v>0</v>
      </c>
      <c r="I384" s="3" t="s">
        <v>75</v>
      </c>
      <c r="J384" s="4" t="str">
        <f t="shared" ca="1" si="13"/>
        <v/>
      </c>
      <c r="K384" s="2">
        <f>IF(ISNUMBER(SEARCH(Лист2!$B$4,F:F)),1,0)</f>
        <v>0</v>
      </c>
      <c r="L384" s="14">
        <f>IF(ISNUMBER(SEARCH(Лист2!$B$5,I:I)),1,0)+K384</f>
        <v>0</v>
      </c>
      <c r="M384" s="3">
        <f ca="1">IF(AND(N384&lt;&gt;N383,ISNUMBER(SEARCH(Лист2!$B$6,N:N)),L384=2),MAX($M$3:OFFSET(M384,-1,0))+1,0)</f>
        <v>0</v>
      </c>
      <c r="N384" s="3" t="s">
        <v>746</v>
      </c>
    </row>
    <row r="385" spans="1:14" x14ac:dyDescent="0.25">
      <c r="A385" s="1" t="s">
        <v>10159</v>
      </c>
      <c r="B385" s="3" t="s">
        <v>4009</v>
      </c>
      <c r="C385" s="2">
        <f ca="1">IF(ISNUMBER(SEARCH(Лист2!$B$4,D:D)),MAX($C$3:OFFSET(C385,-1,0))+1,0)</f>
        <v>0</v>
      </c>
      <c r="E385" s="9" t="str">
        <f t="shared" ca="1" si="14"/>
        <v/>
      </c>
      <c r="F385" s="4" t="s">
        <v>3</v>
      </c>
      <c r="G385" s="2">
        <f>IF(ISNUMBER(SEARCH(Лист2!$B$4,F:F)),1,0)</f>
        <v>0</v>
      </c>
      <c r="H385" s="3">
        <f ca="1">IF(AND(I385&lt;&gt;I384,ISNUMBER(SEARCH(Лист2!$B$5,I:I)),G385=1),MAX($H$3:OFFSET(H385,-1,0))+1,0)</f>
        <v>0</v>
      </c>
      <c r="I385" s="3" t="s">
        <v>75</v>
      </c>
      <c r="J385" s="4" t="str">
        <f t="shared" ca="1" si="13"/>
        <v/>
      </c>
      <c r="K385" s="2">
        <f>IF(ISNUMBER(SEARCH(Лист2!$B$4,F:F)),1,0)</f>
        <v>0</v>
      </c>
      <c r="L385" s="14">
        <f>IF(ISNUMBER(SEARCH(Лист2!$B$5,I:I)),1,0)+K385</f>
        <v>0</v>
      </c>
      <c r="M385" s="3">
        <f ca="1">IF(AND(N385&lt;&gt;N384,ISNUMBER(SEARCH(Лист2!$B$6,N:N)),L385=2),MAX($M$3:OFFSET(M385,-1,0))+1,0)</f>
        <v>0</v>
      </c>
      <c r="N385" s="3" t="s">
        <v>602</v>
      </c>
    </row>
    <row r="386" spans="1:14" x14ac:dyDescent="0.25">
      <c r="A386" s="1" t="s">
        <v>10160</v>
      </c>
      <c r="B386" s="3" t="s">
        <v>4010</v>
      </c>
      <c r="C386" s="2">
        <f ca="1">IF(ISNUMBER(SEARCH(Лист2!$B$4,D:D)),MAX($C$3:OFFSET(C386,-1,0))+1,0)</f>
        <v>0</v>
      </c>
      <c r="E386" s="9" t="str">
        <f t="shared" ca="1" si="14"/>
        <v/>
      </c>
      <c r="F386" s="4" t="s">
        <v>3</v>
      </c>
      <c r="G386" s="2">
        <f>IF(ISNUMBER(SEARCH(Лист2!$B$4,F:F)),1,0)</f>
        <v>0</v>
      </c>
      <c r="H386" s="3">
        <f ca="1">IF(AND(I386&lt;&gt;I385,ISNUMBER(SEARCH(Лист2!$B$5,I:I)),G386=1),MAX($H$3:OFFSET(H386,-1,0))+1,0)</f>
        <v>0</v>
      </c>
      <c r="I386" s="3" t="s">
        <v>75</v>
      </c>
      <c r="J386" s="4" t="str">
        <f t="shared" ca="1" si="13"/>
        <v/>
      </c>
      <c r="K386" s="2">
        <f>IF(ISNUMBER(SEARCH(Лист2!$B$4,F:F)),1,0)</f>
        <v>0</v>
      </c>
      <c r="L386" s="14">
        <f>IF(ISNUMBER(SEARCH(Лист2!$B$5,I:I)),1,0)+K386</f>
        <v>0</v>
      </c>
      <c r="M386" s="3">
        <f ca="1">IF(AND(N386&lt;&gt;N385,ISNUMBER(SEARCH(Лист2!$B$6,N:N)),L386=2),MAX($M$3:OFFSET(M386,-1,0))+1,0)</f>
        <v>0</v>
      </c>
      <c r="N386" s="3" t="s">
        <v>747</v>
      </c>
    </row>
    <row r="387" spans="1:14" x14ac:dyDescent="0.25">
      <c r="A387" s="1" t="s">
        <v>10161</v>
      </c>
      <c r="B387" s="3" t="s">
        <v>4011</v>
      </c>
      <c r="C387" s="2">
        <f ca="1">IF(ISNUMBER(SEARCH(Лист2!$B$4,D:D)),MAX($C$3:OFFSET(C387,-1,0))+1,0)</f>
        <v>0</v>
      </c>
      <c r="E387" s="9" t="str">
        <f t="shared" ca="1" si="14"/>
        <v/>
      </c>
      <c r="F387" s="4" t="s">
        <v>3</v>
      </c>
      <c r="G387" s="2">
        <f>IF(ISNUMBER(SEARCH(Лист2!$B$4,F:F)),1,0)</f>
        <v>0</v>
      </c>
      <c r="H387" s="3">
        <f ca="1">IF(AND(I387&lt;&gt;I386,ISNUMBER(SEARCH(Лист2!$B$5,I:I)),G387=1),MAX($H$3:OFFSET(H387,-1,0))+1,0)</f>
        <v>0</v>
      </c>
      <c r="I387" s="3" t="s">
        <v>75</v>
      </c>
      <c r="J387" s="4" t="str">
        <f t="shared" ca="1" si="13"/>
        <v/>
      </c>
      <c r="K387" s="2">
        <f>IF(ISNUMBER(SEARCH(Лист2!$B$4,F:F)),1,0)</f>
        <v>0</v>
      </c>
      <c r="L387" s="14">
        <f>IF(ISNUMBER(SEARCH(Лист2!$B$5,I:I)),1,0)+K387</f>
        <v>0</v>
      </c>
      <c r="M387" s="3">
        <f ca="1">IF(AND(N387&lt;&gt;N386,ISNUMBER(SEARCH(Лист2!$B$6,N:N)),L387=2),MAX($M$3:OFFSET(M387,-1,0))+1,0)</f>
        <v>0</v>
      </c>
      <c r="N387" s="3" t="s">
        <v>748</v>
      </c>
    </row>
    <row r="388" spans="1:14" x14ac:dyDescent="0.25">
      <c r="A388" s="1" t="s">
        <v>10162</v>
      </c>
      <c r="B388" s="3" t="s">
        <v>4012</v>
      </c>
      <c r="C388" s="2">
        <f ca="1">IF(ISNUMBER(SEARCH(Лист2!$B$4,D:D)),MAX($C$3:OFFSET(C388,-1,0))+1,0)</f>
        <v>0</v>
      </c>
      <c r="E388" s="9" t="str">
        <f t="shared" ca="1" si="14"/>
        <v/>
      </c>
      <c r="F388" s="4" t="s">
        <v>3</v>
      </c>
      <c r="G388" s="2">
        <f>IF(ISNUMBER(SEARCH(Лист2!$B$4,F:F)),1,0)</f>
        <v>0</v>
      </c>
      <c r="H388" s="3">
        <f ca="1">IF(AND(I388&lt;&gt;I387,ISNUMBER(SEARCH(Лист2!$B$5,I:I)),G388=1),MAX($H$3:OFFSET(H388,-1,0))+1,0)</f>
        <v>0</v>
      </c>
      <c r="I388" s="3" t="s">
        <v>75</v>
      </c>
      <c r="J388" s="4" t="str">
        <f t="shared" ref="J388:J451" ca="1" si="15">IFERROR(INDEX(I:I,MATCH(ROW(J388)-ROW($E$3),H:H,0)),"")</f>
        <v/>
      </c>
      <c r="K388" s="2">
        <f>IF(ISNUMBER(SEARCH(Лист2!$B$4,F:F)),1,0)</f>
        <v>0</v>
      </c>
      <c r="L388" s="14">
        <f>IF(ISNUMBER(SEARCH(Лист2!$B$5,I:I)),1,0)+K388</f>
        <v>0</v>
      </c>
      <c r="M388" s="3">
        <f ca="1">IF(AND(N388&lt;&gt;N387,ISNUMBER(SEARCH(Лист2!$B$6,N:N)),L388=2),MAX($M$3:OFFSET(M388,-1,0))+1,0)</f>
        <v>0</v>
      </c>
      <c r="N388" s="3" t="s">
        <v>717</v>
      </c>
    </row>
    <row r="389" spans="1:14" x14ac:dyDescent="0.25">
      <c r="A389" s="1" t="s">
        <v>10163</v>
      </c>
      <c r="B389" s="3" t="s">
        <v>4013</v>
      </c>
      <c r="C389" s="2">
        <f ca="1">IF(ISNUMBER(SEARCH(Лист2!$B$4,D:D)),MAX($C$3:OFFSET(C389,-1,0))+1,0)</f>
        <v>0</v>
      </c>
      <c r="E389" s="9" t="str">
        <f t="shared" ref="E389:E452" ca="1" si="16">IFERROR(INDEX(D:D,MATCH(ROW(E389)-ROW($E$3),C:C,0)),"")</f>
        <v/>
      </c>
      <c r="F389" s="4" t="s">
        <v>3</v>
      </c>
      <c r="G389" s="2">
        <f>IF(ISNUMBER(SEARCH(Лист2!$B$4,F:F)),1,0)</f>
        <v>0</v>
      </c>
      <c r="H389" s="3">
        <f ca="1">IF(AND(I389&lt;&gt;I388,ISNUMBER(SEARCH(Лист2!$B$5,I:I)),G389=1),MAX($H$3:OFFSET(H389,-1,0))+1,0)</f>
        <v>0</v>
      </c>
      <c r="I389" s="3" t="s">
        <v>75</v>
      </c>
      <c r="J389" s="4" t="str">
        <f t="shared" ca="1" si="15"/>
        <v/>
      </c>
      <c r="K389" s="2">
        <f>IF(ISNUMBER(SEARCH(Лист2!$B$4,F:F)),1,0)</f>
        <v>0</v>
      </c>
      <c r="L389" s="14">
        <f>IF(ISNUMBER(SEARCH(Лист2!$B$5,I:I)),1,0)+K389</f>
        <v>0</v>
      </c>
      <c r="M389" s="3">
        <f ca="1">IF(AND(N389&lt;&gt;N388,ISNUMBER(SEARCH(Лист2!$B$6,N:N)),L389=2),MAX($M$3:OFFSET(M389,-1,0))+1,0)</f>
        <v>0</v>
      </c>
      <c r="N389" s="3" t="s">
        <v>709</v>
      </c>
    </row>
    <row r="390" spans="1:14" x14ac:dyDescent="0.25">
      <c r="A390" s="1" t="s">
        <v>10164</v>
      </c>
      <c r="B390" s="3" t="s">
        <v>4014</v>
      </c>
      <c r="C390" s="2">
        <f ca="1">IF(ISNUMBER(SEARCH(Лист2!$B$4,D:D)),MAX($C$3:OFFSET(C390,-1,0))+1,0)</f>
        <v>0</v>
      </c>
      <c r="E390" s="9" t="str">
        <f t="shared" ca="1" si="16"/>
        <v/>
      </c>
      <c r="F390" s="4" t="s">
        <v>3</v>
      </c>
      <c r="G390" s="2">
        <f>IF(ISNUMBER(SEARCH(Лист2!$B$4,F:F)),1,0)</f>
        <v>0</v>
      </c>
      <c r="H390" s="3">
        <f ca="1">IF(AND(I390&lt;&gt;I389,ISNUMBER(SEARCH(Лист2!$B$5,I:I)),G390=1),MAX($H$3:OFFSET(H390,-1,0))+1,0)</f>
        <v>0</v>
      </c>
      <c r="I390" s="3" t="s">
        <v>75</v>
      </c>
      <c r="J390" s="4" t="str">
        <f t="shared" ca="1" si="15"/>
        <v/>
      </c>
      <c r="K390" s="2">
        <f>IF(ISNUMBER(SEARCH(Лист2!$B$4,F:F)),1,0)</f>
        <v>0</v>
      </c>
      <c r="L390" s="14">
        <f>IF(ISNUMBER(SEARCH(Лист2!$B$5,I:I)),1,0)+K390</f>
        <v>0</v>
      </c>
      <c r="M390" s="3">
        <f ca="1">IF(AND(N390&lt;&gt;N389,ISNUMBER(SEARCH(Лист2!$B$6,N:N)),L390=2),MAX($M$3:OFFSET(M390,-1,0))+1,0)</f>
        <v>0</v>
      </c>
      <c r="N390" s="3" t="s">
        <v>719</v>
      </c>
    </row>
    <row r="391" spans="1:14" x14ac:dyDescent="0.25">
      <c r="A391" s="1" t="s">
        <v>10165</v>
      </c>
      <c r="B391" s="3" t="s">
        <v>4015</v>
      </c>
      <c r="C391" s="2">
        <f ca="1">IF(ISNUMBER(SEARCH(Лист2!$B$4,D:D)),MAX($C$3:OFFSET(C391,-1,0))+1,0)</f>
        <v>0</v>
      </c>
      <c r="E391" s="9" t="str">
        <f t="shared" ca="1" si="16"/>
        <v/>
      </c>
      <c r="F391" s="4" t="s">
        <v>3</v>
      </c>
      <c r="G391" s="2">
        <f>IF(ISNUMBER(SEARCH(Лист2!$B$4,F:F)),1,0)</f>
        <v>0</v>
      </c>
      <c r="H391" s="3">
        <f ca="1">IF(AND(I391&lt;&gt;I390,ISNUMBER(SEARCH(Лист2!$B$5,I:I)),G391=1),MAX($H$3:OFFSET(H391,-1,0))+1,0)</f>
        <v>0</v>
      </c>
      <c r="I391" s="3" t="s">
        <v>76</v>
      </c>
      <c r="J391" s="4" t="str">
        <f t="shared" ca="1" si="15"/>
        <v/>
      </c>
      <c r="K391" s="2">
        <f>IF(ISNUMBER(SEARCH(Лист2!$B$4,F:F)),1,0)</f>
        <v>0</v>
      </c>
      <c r="L391" s="14">
        <f>IF(ISNUMBER(SEARCH(Лист2!$B$5,I:I)),1,0)+K391</f>
        <v>0</v>
      </c>
      <c r="M391" s="3">
        <f ca="1">IF(AND(N391&lt;&gt;N390,ISNUMBER(SEARCH(Лист2!$B$6,N:N)),L391=2),MAX($M$3:OFFSET(M391,-1,0))+1,0)</f>
        <v>0</v>
      </c>
      <c r="N391" s="3" t="s">
        <v>749</v>
      </c>
    </row>
    <row r="392" spans="1:14" x14ac:dyDescent="0.25">
      <c r="A392" s="1" t="s">
        <v>10166</v>
      </c>
      <c r="B392" s="3" t="s">
        <v>4016</v>
      </c>
      <c r="C392" s="2">
        <f ca="1">IF(ISNUMBER(SEARCH(Лист2!$B$4,D:D)),MAX($C$3:OFFSET(C392,-1,0))+1,0)</f>
        <v>0</v>
      </c>
      <c r="E392" s="9" t="str">
        <f t="shared" ca="1" si="16"/>
        <v/>
      </c>
      <c r="F392" s="4" t="s">
        <v>3</v>
      </c>
      <c r="G392" s="2">
        <f>IF(ISNUMBER(SEARCH(Лист2!$B$4,F:F)),1,0)</f>
        <v>0</v>
      </c>
      <c r="H392" s="3">
        <f ca="1">IF(AND(I392&lt;&gt;I391,ISNUMBER(SEARCH(Лист2!$B$5,I:I)),G392=1),MAX($H$3:OFFSET(H392,-1,0))+1,0)</f>
        <v>0</v>
      </c>
      <c r="I392" s="3" t="s">
        <v>76</v>
      </c>
      <c r="J392" s="4" t="str">
        <f t="shared" ca="1" si="15"/>
        <v/>
      </c>
      <c r="K392" s="2">
        <f>IF(ISNUMBER(SEARCH(Лист2!$B$4,F:F)),1,0)</f>
        <v>0</v>
      </c>
      <c r="L392" s="14">
        <f>IF(ISNUMBER(SEARCH(Лист2!$B$5,I:I)),1,0)+K392</f>
        <v>0</v>
      </c>
      <c r="M392" s="3">
        <f ca="1">IF(AND(N392&lt;&gt;N391,ISNUMBER(SEARCH(Лист2!$B$6,N:N)),L392=2),MAX($M$3:OFFSET(M392,-1,0))+1,0)</f>
        <v>0</v>
      </c>
      <c r="N392" s="3" t="s">
        <v>750</v>
      </c>
    </row>
    <row r="393" spans="1:14" x14ac:dyDescent="0.25">
      <c r="A393" s="1" t="s">
        <v>10167</v>
      </c>
      <c r="B393" s="3" t="s">
        <v>4017</v>
      </c>
      <c r="C393" s="2">
        <f ca="1">IF(ISNUMBER(SEARCH(Лист2!$B$4,D:D)),MAX($C$3:OFFSET(C393,-1,0))+1,0)</f>
        <v>0</v>
      </c>
      <c r="E393" s="9" t="str">
        <f t="shared" ca="1" si="16"/>
        <v/>
      </c>
      <c r="F393" s="4" t="s">
        <v>3</v>
      </c>
      <c r="G393" s="2">
        <f>IF(ISNUMBER(SEARCH(Лист2!$B$4,F:F)),1,0)</f>
        <v>0</v>
      </c>
      <c r="H393" s="3">
        <f ca="1">IF(AND(I393&lt;&gt;I392,ISNUMBER(SEARCH(Лист2!$B$5,I:I)),G393=1),MAX($H$3:OFFSET(H393,-1,0))+1,0)</f>
        <v>0</v>
      </c>
      <c r="I393" s="3" t="s">
        <v>76</v>
      </c>
      <c r="J393" s="4" t="str">
        <f t="shared" ca="1" si="15"/>
        <v/>
      </c>
      <c r="K393" s="2">
        <f>IF(ISNUMBER(SEARCH(Лист2!$B$4,F:F)),1,0)</f>
        <v>0</v>
      </c>
      <c r="L393" s="14">
        <f>IF(ISNUMBER(SEARCH(Лист2!$B$5,I:I)),1,0)+K393</f>
        <v>0</v>
      </c>
      <c r="M393" s="3">
        <f ca="1">IF(AND(N393&lt;&gt;N392,ISNUMBER(SEARCH(Лист2!$B$6,N:N)),L393=2),MAX($M$3:OFFSET(M393,-1,0))+1,0)</f>
        <v>0</v>
      </c>
      <c r="N393" s="3" t="s">
        <v>602</v>
      </c>
    </row>
    <row r="394" spans="1:14" x14ac:dyDescent="0.25">
      <c r="A394" s="1" t="s">
        <v>10168</v>
      </c>
      <c r="B394" s="3" t="s">
        <v>4018</v>
      </c>
      <c r="C394" s="2">
        <f ca="1">IF(ISNUMBER(SEARCH(Лист2!$B$4,D:D)),MAX($C$3:OFFSET(C394,-1,0))+1,0)</f>
        <v>0</v>
      </c>
      <c r="E394" s="9" t="str">
        <f t="shared" ca="1" si="16"/>
        <v/>
      </c>
      <c r="F394" s="4" t="s">
        <v>3</v>
      </c>
      <c r="G394" s="2">
        <f>IF(ISNUMBER(SEARCH(Лист2!$B$4,F:F)),1,0)</f>
        <v>0</v>
      </c>
      <c r="H394" s="3">
        <f ca="1">IF(AND(I394&lt;&gt;I393,ISNUMBER(SEARCH(Лист2!$B$5,I:I)),G394=1),MAX($H$3:OFFSET(H394,-1,0))+1,0)</f>
        <v>0</v>
      </c>
      <c r="I394" s="3" t="s">
        <v>76</v>
      </c>
      <c r="J394" s="4" t="str">
        <f t="shared" ca="1" si="15"/>
        <v/>
      </c>
      <c r="K394" s="2">
        <f>IF(ISNUMBER(SEARCH(Лист2!$B$4,F:F)),1,0)</f>
        <v>0</v>
      </c>
      <c r="L394" s="14">
        <f>IF(ISNUMBER(SEARCH(Лист2!$B$5,I:I)),1,0)+K394</f>
        <v>0</v>
      </c>
      <c r="M394" s="3">
        <f ca="1">IF(AND(N394&lt;&gt;N393,ISNUMBER(SEARCH(Лист2!$B$6,N:N)),L394=2),MAX($M$3:OFFSET(M394,-1,0))+1,0)</f>
        <v>0</v>
      </c>
      <c r="N394" s="3" t="s">
        <v>751</v>
      </c>
    </row>
    <row r="395" spans="1:14" x14ac:dyDescent="0.25">
      <c r="A395" s="1" t="s">
        <v>10169</v>
      </c>
      <c r="B395" s="3" t="s">
        <v>4019</v>
      </c>
      <c r="C395" s="2">
        <f ca="1">IF(ISNUMBER(SEARCH(Лист2!$B$4,D:D)),MAX($C$3:OFFSET(C395,-1,0))+1,0)</f>
        <v>0</v>
      </c>
      <c r="E395" s="9" t="str">
        <f t="shared" ca="1" si="16"/>
        <v/>
      </c>
      <c r="F395" s="4" t="s">
        <v>3</v>
      </c>
      <c r="G395" s="2">
        <f>IF(ISNUMBER(SEARCH(Лист2!$B$4,F:F)),1,0)</f>
        <v>0</v>
      </c>
      <c r="H395" s="3">
        <f ca="1">IF(AND(I395&lt;&gt;I394,ISNUMBER(SEARCH(Лист2!$B$5,I:I)),G395=1),MAX($H$3:OFFSET(H395,-1,0))+1,0)</f>
        <v>0</v>
      </c>
      <c r="I395" s="3" t="s">
        <v>76</v>
      </c>
      <c r="J395" s="4" t="str">
        <f t="shared" ca="1" si="15"/>
        <v/>
      </c>
      <c r="K395" s="2">
        <f>IF(ISNUMBER(SEARCH(Лист2!$B$4,F:F)),1,0)</f>
        <v>0</v>
      </c>
      <c r="L395" s="14">
        <f>IF(ISNUMBER(SEARCH(Лист2!$B$5,I:I)),1,0)+K395</f>
        <v>0</v>
      </c>
      <c r="M395" s="3">
        <f ca="1">IF(AND(N395&lt;&gt;N394,ISNUMBER(SEARCH(Лист2!$B$6,N:N)),L395=2),MAX($M$3:OFFSET(M395,-1,0))+1,0)</f>
        <v>0</v>
      </c>
      <c r="N395" s="3" t="s">
        <v>752</v>
      </c>
    </row>
    <row r="396" spans="1:14" x14ac:dyDescent="0.25">
      <c r="A396" s="1" t="s">
        <v>10170</v>
      </c>
      <c r="B396" s="3" t="s">
        <v>4020</v>
      </c>
      <c r="C396" s="2">
        <f ca="1">IF(ISNUMBER(SEARCH(Лист2!$B$4,D:D)),MAX($C$3:OFFSET(C396,-1,0))+1,0)</f>
        <v>0</v>
      </c>
      <c r="E396" s="9" t="str">
        <f t="shared" ca="1" si="16"/>
        <v/>
      </c>
      <c r="F396" s="4" t="s">
        <v>3</v>
      </c>
      <c r="G396" s="2">
        <f>IF(ISNUMBER(SEARCH(Лист2!$B$4,F:F)),1,0)</f>
        <v>0</v>
      </c>
      <c r="H396" s="3">
        <f ca="1">IF(AND(I396&lt;&gt;I395,ISNUMBER(SEARCH(Лист2!$B$5,I:I)),G396=1),MAX($H$3:OFFSET(H396,-1,0))+1,0)</f>
        <v>0</v>
      </c>
      <c r="I396" s="3" t="s">
        <v>76</v>
      </c>
      <c r="J396" s="4" t="str">
        <f t="shared" ca="1" si="15"/>
        <v/>
      </c>
      <c r="K396" s="2">
        <f>IF(ISNUMBER(SEARCH(Лист2!$B$4,F:F)),1,0)</f>
        <v>0</v>
      </c>
      <c r="L396" s="14">
        <f>IF(ISNUMBER(SEARCH(Лист2!$B$5,I:I)),1,0)+K396</f>
        <v>0</v>
      </c>
      <c r="M396" s="3">
        <f ca="1">IF(AND(N396&lt;&gt;N395,ISNUMBER(SEARCH(Лист2!$B$6,N:N)),L396=2),MAX($M$3:OFFSET(M396,-1,0))+1,0)</f>
        <v>0</v>
      </c>
      <c r="N396" s="3" t="s">
        <v>717</v>
      </c>
    </row>
    <row r="397" spans="1:14" x14ac:dyDescent="0.25">
      <c r="A397" s="1" t="s">
        <v>10171</v>
      </c>
      <c r="B397" s="3" t="s">
        <v>4021</v>
      </c>
      <c r="C397" s="2">
        <f ca="1">IF(ISNUMBER(SEARCH(Лист2!$B$4,D:D)),MAX($C$3:OFFSET(C397,-1,0))+1,0)</f>
        <v>0</v>
      </c>
      <c r="E397" s="9" t="str">
        <f t="shared" ca="1" si="16"/>
        <v/>
      </c>
      <c r="F397" s="4" t="s">
        <v>3</v>
      </c>
      <c r="G397" s="2">
        <f>IF(ISNUMBER(SEARCH(Лист2!$B$4,F:F)),1,0)</f>
        <v>0</v>
      </c>
      <c r="H397" s="3">
        <f ca="1">IF(AND(I397&lt;&gt;I396,ISNUMBER(SEARCH(Лист2!$B$5,I:I)),G397=1),MAX($H$3:OFFSET(H397,-1,0))+1,0)</f>
        <v>0</v>
      </c>
      <c r="I397" s="3" t="s">
        <v>76</v>
      </c>
      <c r="J397" s="4" t="str">
        <f t="shared" ca="1" si="15"/>
        <v/>
      </c>
      <c r="K397" s="2">
        <f>IF(ISNUMBER(SEARCH(Лист2!$B$4,F:F)),1,0)</f>
        <v>0</v>
      </c>
      <c r="L397" s="14">
        <f>IF(ISNUMBER(SEARCH(Лист2!$B$5,I:I)),1,0)+K397</f>
        <v>0</v>
      </c>
      <c r="M397" s="3">
        <f ca="1">IF(AND(N397&lt;&gt;N396,ISNUMBER(SEARCH(Лист2!$B$6,N:N)),L397=2),MAX($M$3:OFFSET(M397,-1,0))+1,0)</f>
        <v>0</v>
      </c>
      <c r="N397" s="3" t="s">
        <v>709</v>
      </c>
    </row>
    <row r="398" spans="1:14" x14ac:dyDescent="0.25">
      <c r="A398" s="1" t="s">
        <v>10172</v>
      </c>
      <c r="B398" s="3" t="s">
        <v>4022</v>
      </c>
      <c r="C398" s="2">
        <f ca="1">IF(ISNUMBER(SEARCH(Лист2!$B$4,D:D)),MAX($C$3:OFFSET(C398,-1,0))+1,0)</f>
        <v>0</v>
      </c>
      <c r="E398" s="9" t="str">
        <f t="shared" ca="1" si="16"/>
        <v/>
      </c>
      <c r="F398" s="4" t="s">
        <v>3</v>
      </c>
      <c r="G398" s="2">
        <f>IF(ISNUMBER(SEARCH(Лист2!$B$4,F:F)),1,0)</f>
        <v>0</v>
      </c>
      <c r="H398" s="3">
        <f ca="1">IF(AND(I398&lt;&gt;I397,ISNUMBER(SEARCH(Лист2!$B$5,I:I)),G398=1),MAX($H$3:OFFSET(H398,-1,0))+1,0)</f>
        <v>0</v>
      </c>
      <c r="I398" s="3" t="s">
        <v>76</v>
      </c>
      <c r="J398" s="4" t="str">
        <f t="shared" ca="1" si="15"/>
        <v/>
      </c>
      <c r="K398" s="2">
        <f>IF(ISNUMBER(SEARCH(Лист2!$B$4,F:F)),1,0)</f>
        <v>0</v>
      </c>
      <c r="L398" s="14">
        <f>IF(ISNUMBER(SEARCH(Лист2!$B$5,I:I)),1,0)+K398</f>
        <v>0</v>
      </c>
      <c r="M398" s="3">
        <f ca="1">IF(AND(N398&lt;&gt;N397,ISNUMBER(SEARCH(Лист2!$B$6,N:N)),L398=2),MAX($M$3:OFFSET(M398,-1,0))+1,0)</f>
        <v>0</v>
      </c>
      <c r="N398" s="3" t="s">
        <v>719</v>
      </c>
    </row>
    <row r="399" spans="1:14" x14ac:dyDescent="0.25">
      <c r="A399" s="1" t="s">
        <v>10173</v>
      </c>
      <c r="B399" s="3" t="s">
        <v>4023</v>
      </c>
      <c r="C399" s="2">
        <f ca="1">IF(ISNUMBER(SEARCH(Лист2!$B$4,D:D)),MAX($C$3:OFFSET(C399,-1,0))+1,0)</f>
        <v>0</v>
      </c>
      <c r="E399" s="9" t="str">
        <f t="shared" ca="1" si="16"/>
        <v/>
      </c>
      <c r="F399" s="4" t="s">
        <v>3</v>
      </c>
      <c r="G399" s="2">
        <f>IF(ISNUMBER(SEARCH(Лист2!$B$4,F:F)),1,0)</f>
        <v>0</v>
      </c>
      <c r="H399" s="3">
        <f ca="1">IF(AND(I399&lt;&gt;I398,ISNUMBER(SEARCH(Лист2!$B$5,I:I)),G399=1),MAX($H$3:OFFSET(H399,-1,0))+1,0)</f>
        <v>0</v>
      </c>
      <c r="I399" s="3" t="s">
        <v>77</v>
      </c>
      <c r="J399" s="4" t="str">
        <f t="shared" ca="1" si="15"/>
        <v/>
      </c>
      <c r="K399" s="2">
        <f>IF(ISNUMBER(SEARCH(Лист2!$B$4,F:F)),1,0)</f>
        <v>0</v>
      </c>
      <c r="L399" s="14">
        <f>IF(ISNUMBER(SEARCH(Лист2!$B$5,I:I)),1,0)+K399</f>
        <v>0</v>
      </c>
      <c r="M399" s="3">
        <f ca="1">IF(AND(N399&lt;&gt;N398,ISNUMBER(SEARCH(Лист2!$B$6,N:N)),L399=2),MAX($M$3:OFFSET(M399,-1,0))+1,0)</f>
        <v>0</v>
      </c>
      <c r="N399" s="3" t="s">
        <v>753</v>
      </c>
    </row>
    <row r="400" spans="1:14" x14ac:dyDescent="0.25">
      <c r="A400" s="1" t="s">
        <v>10174</v>
      </c>
      <c r="B400" s="3" t="s">
        <v>4024</v>
      </c>
      <c r="C400" s="2">
        <f ca="1">IF(ISNUMBER(SEARCH(Лист2!$B$4,D:D)),MAX($C$3:OFFSET(C400,-1,0))+1,0)</f>
        <v>0</v>
      </c>
      <c r="E400" s="9" t="str">
        <f t="shared" ca="1" si="16"/>
        <v/>
      </c>
      <c r="F400" s="4" t="s">
        <v>3</v>
      </c>
      <c r="G400" s="2">
        <f>IF(ISNUMBER(SEARCH(Лист2!$B$4,F:F)),1,0)</f>
        <v>0</v>
      </c>
      <c r="H400" s="3">
        <f ca="1">IF(AND(I400&lt;&gt;I399,ISNUMBER(SEARCH(Лист2!$B$5,I:I)),G400=1),MAX($H$3:OFFSET(H400,-1,0))+1,0)</f>
        <v>0</v>
      </c>
      <c r="I400" s="3" t="s">
        <v>77</v>
      </c>
      <c r="J400" s="4" t="str">
        <f t="shared" ca="1" si="15"/>
        <v/>
      </c>
      <c r="K400" s="2">
        <f>IF(ISNUMBER(SEARCH(Лист2!$B$4,F:F)),1,0)</f>
        <v>0</v>
      </c>
      <c r="L400" s="14">
        <f>IF(ISNUMBER(SEARCH(Лист2!$B$5,I:I)),1,0)+K400</f>
        <v>0</v>
      </c>
      <c r="M400" s="3">
        <f ca="1">IF(AND(N400&lt;&gt;N399,ISNUMBER(SEARCH(Лист2!$B$6,N:N)),L400=2),MAX($M$3:OFFSET(M400,-1,0))+1,0)</f>
        <v>0</v>
      </c>
      <c r="N400" s="3" t="s">
        <v>754</v>
      </c>
    </row>
    <row r="401" spans="1:14" x14ac:dyDescent="0.25">
      <c r="A401" s="1" t="s">
        <v>10175</v>
      </c>
      <c r="B401" s="3" t="s">
        <v>4025</v>
      </c>
      <c r="C401" s="2">
        <f ca="1">IF(ISNUMBER(SEARCH(Лист2!$B$4,D:D)),MAX($C$3:OFFSET(C401,-1,0))+1,0)</f>
        <v>0</v>
      </c>
      <c r="E401" s="9" t="str">
        <f t="shared" ca="1" si="16"/>
        <v/>
      </c>
      <c r="F401" s="4" t="s">
        <v>3</v>
      </c>
      <c r="G401" s="2">
        <f>IF(ISNUMBER(SEARCH(Лист2!$B$4,F:F)),1,0)</f>
        <v>0</v>
      </c>
      <c r="H401" s="3">
        <f ca="1">IF(AND(I401&lt;&gt;I400,ISNUMBER(SEARCH(Лист2!$B$5,I:I)),G401=1),MAX($H$3:OFFSET(H401,-1,0))+1,0)</f>
        <v>0</v>
      </c>
      <c r="I401" s="3" t="s">
        <v>77</v>
      </c>
      <c r="J401" s="4" t="str">
        <f t="shared" ca="1" si="15"/>
        <v/>
      </c>
      <c r="K401" s="2">
        <f>IF(ISNUMBER(SEARCH(Лист2!$B$4,F:F)),1,0)</f>
        <v>0</v>
      </c>
      <c r="L401" s="14">
        <f>IF(ISNUMBER(SEARCH(Лист2!$B$5,I:I)),1,0)+K401</f>
        <v>0</v>
      </c>
      <c r="M401" s="3">
        <f ca="1">IF(AND(N401&lt;&gt;N400,ISNUMBER(SEARCH(Лист2!$B$6,N:N)),L401=2),MAX($M$3:OFFSET(M401,-1,0))+1,0)</f>
        <v>0</v>
      </c>
      <c r="N401" s="3" t="s">
        <v>602</v>
      </c>
    </row>
    <row r="402" spans="1:14" x14ac:dyDescent="0.25">
      <c r="A402" s="1" t="s">
        <v>10176</v>
      </c>
      <c r="B402" s="3" t="s">
        <v>4026</v>
      </c>
      <c r="C402" s="2">
        <f ca="1">IF(ISNUMBER(SEARCH(Лист2!$B$4,D:D)),MAX($C$3:OFFSET(C402,-1,0))+1,0)</f>
        <v>0</v>
      </c>
      <c r="E402" s="9" t="str">
        <f t="shared" ca="1" si="16"/>
        <v/>
      </c>
      <c r="F402" s="4" t="s">
        <v>3</v>
      </c>
      <c r="G402" s="2">
        <f>IF(ISNUMBER(SEARCH(Лист2!$B$4,F:F)),1,0)</f>
        <v>0</v>
      </c>
      <c r="H402" s="3">
        <f ca="1">IF(AND(I402&lt;&gt;I401,ISNUMBER(SEARCH(Лист2!$B$5,I:I)),G402=1),MAX($H$3:OFFSET(H402,-1,0))+1,0)</f>
        <v>0</v>
      </c>
      <c r="I402" s="3" t="s">
        <v>77</v>
      </c>
      <c r="J402" s="4" t="str">
        <f t="shared" ca="1" si="15"/>
        <v/>
      </c>
      <c r="K402" s="2">
        <f>IF(ISNUMBER(SEARCH(Лист2!$B$4,F:F)),1,0)</f>
        <v>0</v>
      </c>
      <c r="L402" s="14">
        <f>IF(ISNUMBER(SEARCH(Лист2!$B$5,I:I)),1,0)+K402</f>
        <v>0</v>
      </c>
      <c r="M402" s="3">
        <f ca="1">IF(AND(N402&lt;&gt;N401,ISNUMBER(SEARCH(Лист2!$B$6,N:N)),L402=2),MAX($M$3:OFFSET(M402,-1,0))+1,0)</f>
        <v>0</v>
      </c>
      <c r="N402" s="3" t="s">
        <v>755</v>
      </c>
    </row>
    <row r="403" spans="1:14" x14ac:dyDescent="0.25">
      <c r="A403" s="1" t="s">
        <v>10177</v>
      </c>
      <c r="B403" s="3" t="s">
        <v>4027</v>
      </c>
      <c r="C403" s="2">
        <f ca="1">IF(ISNUMBER(SEARCH(Лист2!$B$4,D:D)),MAX($C$3:OFFSET(C403,-1,0))+1,0)</f>
        <v>0</v>
      </c>
      <c r="E403" s="9" t="str">
        <f t="shared" ca="1" si="16"/>
        <v/>
      </c>
      <c r="F403" s="4" t="s">
        <v>3</v>
      </c>
      <c r="G403" s="2">
        <f>IF(ISNUMBER(SEARCH(Лист2!$B$4,F:F)),1,0)</f>
        <v>0</v>
      </c>
      <c r="H403" s="3">
        <f ca="1">IF(AND(I403&lt;&gt;I402,ISNUMBER(SEARCH(Лист2!$B$5,I:I)),G403=1),MAX($H$3:OFFSET(H403,-1,0))+1,0)</f>
        <v>0</v>
      </c>
      <c r="I403" s="3" t="s">
        <v>77</v>
      </c>
      <c r="J403" s="4" t="str">
        <f t="shared" ca="1" si="15"/>
        <v/>
      </c>
      <c r="K403" s="2">
        <f>IF(ISNUMBER(SEARCH(Лист2!$B$4,F:F)),1,0)</f>
        <v>0</v>
      </c>
      <c r="L403" s="14">
        <f>IF(ISNUMBER(SEARCH(Лист2!$B$5,I:I)),1,0)+K403</f>
        <v>0</v>
      </c>
      <c r="M403" s="3">
        <f ca="1">IF(AND(N403&lt;&gt;N402,ISNUMBER(SEARCH(Лист2!$B$6,N:N)),L403=2),MAX($M$3:OFFSET(M403,-1,0))+1,0)</f>
        <v>0</v>
      </c>
      <c r="N403" s="3" t="s">
        <v>756</v>
      </c>
    </row>
    <row r="404" spans="1:14" x14ac:dyDescent="0.25">
      <c r="A404" s="1" t="s">
        <v>10178</v>
      </c>
      <c r="B404" s="3" t="s">
        <v>4028</v>
      </c>
      <c r="C404" s="2">
        <f ca="1">IF(ISNUMBER(SEARCH(Лист2!$B$4,D:D)),MAX($C$3:OFFSET(C404,-1,0))+1,0)</f>
        <v>0</v>
      </c>
      <c r="E404" s="9" t="str">
        <f t="shared" ca="1" si="16"/>
        <v/>
      </c>
      <c r="F404" s="4" t="s">
        <v>3</v>
      </c>
      <c r="G404" s="2">
        <f>IF(ISNUMBER(SEARCH(Лист2!$B$4,F:F)),1,0)</f>
        <v>0</v>
      </c>
      <c r="H404" s="3">
        <f ca="1">IF(AND(I404&lt;&gt;I403,ISNUMBER(SEARCH(Лист2!$B$5,I:I)),G404=1),MAX($H$3:OFFSET(H404,-1,0))+1,0)</f>
        <v>0</v>
      </c>
      <c r="I404" s="3" t="s">
        <v>77</v>
      </c>
      <c r="J404" s="4" t="str">
        <f t="shared" ca="1" si="15"/>
        <v/>
      </c>
      <c r="K404" s="2">
        <f>IF(ISNUMBER(SEARCH(Лист2!$B$4,F:F)),1,0)</f>
        <v>0</v>
      </c>
      <c r="L404" s="14">
        <f>IF(ISNUMBER(SEARCH(Лист2!$B$5,I:I)),1,0)+K404</f>
        <v>0</v>
      </c>
      <c r="M404" s="3">
        <f ca="1">IF(AND(N404&lt;&gt;N403,ISNUMBER(SEARCH(Лист2!$B$6,N:N)),L404=2),MAX($M$3:OFFSET(M404,-1,0))+1,0)</f>
        <v>0</v>
      </c>
      <c r="N404" s="3" t="s">
        <v>717</v>
      </c>
    </row>
    <row r="405" spans="1:14" x14ac:dyDescent="0.25">
      <c r="A405" s="1" t="s">
        <v>10179</v>
      </c>
      <c r="B405" s="3" t="s">
        <v>4029</v>
      </c>
      <c r="C405" s="2">
        <f ca="1">IF(ISNUMBER(SEARCH(Лист2!$B$4,D:D)),MAX($C$3:OFFSET(C405,-1,0))+1,0)</f>
        <v>0</v>
      </c>
      <c r="E405" s="9" t="str">
        <f t="shared" ca="1" si="16"/>
        <v/>
      </c>
      <c r="F405" s="4" t="s">
        <v>3</v>
      </c>
      <c r="G405" s="2">
        <f>IF(ISNUMBER(SEARCH(Лист2!$B$4,F:F)),1,0)</f>
        <v>0</v>
      </c>
      <c r="H405" s="3">
        <f ca="1">IF(AND(I405&lt;&gt;I404,ISNUMBER(SEARCH(Лист2!$B$5,I:I)),G405=1),MAX($H$3:OFFSET(H405,-1,0))+1,0)</f>
        <v>0</v>
      </c>
      <c r="I405" s="3" t="s">
        <v>77</v>
      </c>
      <c r="J405" s="4" t="str">
        <f t="shared" ca="1" si="15"/>
        <v/>
      </c>
      <c r="K405" s="2">
        <f>IF(ISNUMBER(SEARCH(Лист2!$B$4,F:F)),1,0)</f>
        <v>0</v>
      </c>
      <c r="L405" s="14">
        <f>IF(ISNUMBER(SEARCH(Лист2!$B$5,I:I)),1,0)+K405</f>
        <v>0</v>
      </c>
      <c r="M405" s="3">
        <f ca="1">IF(AND(N405&lt;&gt;N404,ISNUMBER(SEARCH(Лист2!$B$6,N:N)),L405=2),MAX($M$3:OFFSET(M405,-1,0))+1,0)</f>
        <v>0</v>
      </c>
      <c r="N405" s="3" t="s">
        <v>709</v>
      </c>
    </row>
    <row r="406" spans="1:14" x14ac:dyDescent="0.25">
      <c r="A406" s="1" t="s">
        <v>10180</v>
      </c>
      <c r="B406" s="3" t="s">
        <v>4030</v>
      </c>
      <c r="C406" s="2">
        <f ca="1">IF(ISNUMBER(SEARCH(Лист2!$B$4,D:D)),MAX($C$3:OFFSET(C406,-1,0))+1,0)</f>
        <v>0</v>
      </c>
      <c r="E406" s="9" t="str">
        <f t="shared" ca="1" si="16"/>
        <v/>
      </c>
      <c r="F406" s="4" t="s">
        <v>3</v>
      </c>
      <c r="G406" s="2">
        <f>IF(ISNUMBER(SEARCH(Лист2!$B$4,F:F)),1,0)</f>
        <v>0</v>
      </c>
      <c r="H406" s="3">
        <f ca="1">IF(AND(I406&lt;&gt;I405,ISNUMBER(SEARCH(Лист2!$B$5,I:I)),G406=1),MAX($H$3:OFFSET(H406,-1,0))+1,0)</f>
        <v>0</v>
      </c>
      <c r="I406" s="3" t="s">
        <v>77</v>
      </c>
      <c r="J406" s="4" t="str">
        <f t="shared" ca="1" si="15"/>
        <v/>
      </c>
      <c r="K406" s="2">
        <f>IF(ISNUMBER(SEARCH(Лист2!$B$4,F:F)),1,0)</f>
        <v>0</v>
      </c>
      <c r="L406" s="14">
        <f>IF(ISNUMBER(SEARCH(Лист2!$B$5,I:I)),1,0)+K406</f>
        <v>0</v>
      </c>
      <c r="M406" s="3">
        <f ca="1">IF(AND(N406&lt;&gt;N405,ISNUMBER(SEARCH(Лист2!$B$6,N:N)),L406=2),MAX($M$3:OFFSET(M406,-1,0))+1,0)</f>
        <v>0</v>
      </c>
      <c r="N406" s="3" t="s">
        <v>757</v>
      </c>
    </row>
    <row r="407" spans="1:14" x14ac:dyDescent="0.25">
      <c r="A407" s="1" t="s">
        <v>10181</v>
      </c>
      <c r="B407" s="3" t="s">
        <v>4031</v>
      </c>
      <c r="C407" s="2">
        <f ca="1">IF(ISNUMBER(SEARCH(Лист2!$B$4,D:D)),MAX($C$3:OFFSET(C407,-1,0))+1,0)</f>
        <v>0</v>
      </c>
      <c r="E407" s="9" t="str">
        <f t="shared" ca="1" si="16"/>
        <v/>
      </c>
      <c r="F407" s="4" t="s">
        <v>3</v>
      </c>
      <c r="G407" s="2">
        <f>IF(ISNUMBER(SEARCH(Лист2!$B$4,F:F)),1,0)</f>
        <v>0</v>
      </c>
      <c r="H407" s="3">
        <f ca="1">IF(AND(I407&lt;&gt;I406,ISNUMBER(SEARCH(Лист2!$B$5,I:I)),G407=1),MAX($H$3:OFFSET(H407,-1,0))+1,0)</f>
        <v>0</v>
      </c>
      <c r="I407" s="3" t="s">
        <v>77</v>
      </c>
      <c r="J407" s="4" t="str">
        <f t="shared" ca="1" si="15"/>
        <v/>
      </c>
      <c r="K407" s="2">
        <f>IF(ISNUMBER(SEARCH(Лист2!$B$4,F:F)),1,0)</f>
        <v>0</v>
      </c>
      <c r="L407" s="14">
        <f>IF(ISNUMBER(SEARCH(Лист2!$B$5,I:I)),1,0)+K407</f>
        <v>0</v>
      </c>
      <c r="M407" s="3">
        <f ca="1">IF(AND(N407&lt;&gt;N406,ISNUMBER(SEARCH(Лист2!$B$6,N:N)),L407=2),MAX($M$3:OFFSET(M407,-1,0))+1,0)</f>
        <v>0</v>
      </c>
      <c r="N407" s="3" t="s">
        <v>719</v>
      </c>
    </row>
    <row r="408" spans="1:14" x14ac:dyDescent="0.25">
      <c r="A408" s="1" t="s">
        <v>10182</v>
      </c>
      <c r="B408" s="3" t="s">
        <v>4032</v>
      </c>
      <c r="C408" s="2">
        <f ca="1">IF(ISNUMBER(SEARCH(Лист2!$B$4,D:D)),MAX($C$3:OFFSET(C408,-1,0))+1,0)</f>
        <v>0</v>
      </c>
      <c r="E408" s="9" t="str">
        <f t="shared" ca="1" si="16"/>
        <v/>
      </c>
      <c r="F408" s="4" t="s">
        <v>3</v>
      </c>
      <c r="G408" s="2">
        <f>IF(ISNUMBER(SEARCH(Лист2!$B$4,F:F)),1,0)</f>
        <v>0</v>
      </c>
      <c r="H408" s="3">
        <f ca="1">IF(AND(I408&lt;&gt;I407,ISNUMBER(SEARCH(Лист2!$B$5,I:I)),G408=1),MAX($H$3:OFFSET(H408,-1,0))+1,0)</f>
        <v>0</v>
      </c>
      <c r="I408" s="3" t="s">
        <v>78</v>
      </c>
      <c r="J408" s="4" t="str">
        <f t="shared" ca="1" si="15"/>
        <v/>
      </c>
      <c r="K408" s="2">
        <f>IF(ISNUMBER(SEARCH(Лист2!$B$4,F:F)),1,0)</f>
        <v>0</v>
      </c>
      <c r="L408" s="14">
        <f>IF(ISNUMBER(SEARCH(Лист2!$B$5,I:I)),1,0)+K408</f>
        <v>0</v>
      </c>
      <c r="M408" s="3">
        <f ca="1">IF(AND(N408&lt;&gt;N407,ISNUMBER(SEARCH(Лист2!$B$6,N:N)),L408=2),MAX($M$3:OFFSET(M408,-1,0))+1,0)</f>
        <v>0</v>
      </c>
      <c r="N408" s="3" t="s">
        <v>758</v>
      </c>
    </row>
    <row r="409" spans="1:14" x14ac:dyDescent="0.25">
      <c r="A409" s="1" t="s">
        <v>10183</v>
      </c>
      <c r="B409" s="3" t="s">
        <v>4033</v>
      </c>
      <c r="C409" s="2">
        <f ca="1">IF(ISNUMBER(SEARCH(Лист2!$B$4,D:D)),MAX($C$3:OFFSET(C409,-1,0))+1,0)</f>
        <v>0</v>
      </c>
      <c r="E409" s="9" t="str">
        <f t="shared" ca="1" si="16"/>
        <v/>
      </c>
      <c r="F409" s="4" t="s">
        <v>3</v>
      </c>
      <c r="G409" s="2">
        <f>IF(ISNUMBER(SEARCH(Лист2!$B$4,F:F)),1,0)</f>
        <v>0</v>
      </c>
      <c r="H409" s="3">
        <f ca="1">IF(AND(I409&lt;&gt;I408,ISNUMBER(SEARCH(Лист2!$B$5,I:I)),G409=1),MAX($H$3:OFFSET(H409,-1,0))+1,0)</f>
        <v>0</v>
      </c>
      <c r="I409" s="3" t="s">
        <v>78</v>
      </c>
      <c r="J409" s="4" t="str">
        <f t="shared" ca="1" si="15"/>
        <v/>
      </c>
      <c r="K409" s="2">
        <f>IF(ISNUMBER(SEARCH(Лист2!$B$4,F:F)),1,0)</f>
        <v>0</v>
      </c>
      <c r="L409" s="14">
        <f>IF(ISNUMBER(SEARCH(Лист2!$B$5,I:I)),1,0)+K409</f>
        <v>0</v>
      </c>
      <c r="M409" s="3">
        <f ca="1">IF(AND(N409&lt;&gt;N408,ISNUMBER(SEARCH(Лист2!$B$6,N:N)),L409=2),MAX($M$3:OFFSET(M409,-1,0))+1,0)</f>
        <v>0</v>
      </c>
      <c r="N409" s="3" t="s">
        <v>759</v>
      </c>
    </row>
    <row r="410" spans="1:14" x14ac:dyDescent="0.25">
      <c r="A410" s="1" t="s">
        <v>10184</v>
      </c>
      <c r="B410" s="3" t="s">
        <v>4034</v>
      </c>
      <c r="C410" s="2">
        <f ca="1">IF(ISNUMBER(SEARCH(Лист2!$B$4,D:D)),MAX($C$3:OFFSET(C410,-1,0))+1,0)</f>
        <v>0</v>
      </c>
      <c r="E410" s="9" t="str">
        <f t="shared" ca="1" si="16"/>
        <v/>
      </c>
      <c r="F410" s="4" t="s">
        <v>3</v>
      </c>
      <c r="G410" s="2">
        <f>IF(ISNUMBER(SEARCH(Лист2!$B$4,F:F)),1,0)</f>
        <v>0</v>
      </c>
      <c r="H410" s="3">
        <f ca="1">IF(AND(I410&lt;&gt;I409,ISNUMBER(SEARCH(Лист2!$B$5,I:I)),G410=1),MAX($H$3:OFFSET(H410,-1,0))+1,0)</f>
        <v>0</v>
      </c>
      <c r="I410" s="3" t="s">
        <v>78</v>
      </c>
      <c r="J410" s="4" t="str">
        <f t="shared" ca="1" si="15"/>
        <v/>
      </c>
      <c r="K410" s="2">
        <f>IF(ISNUMBER(SEARCH(Лист2!$B$4,F:F)),1,0)</f>
        <v>0</v>
      </c>
      <c r="L410" s="14">
        <f>IF(ISNUMBER(SEARCH(Лист2!$B$5,I:I)),1,0)+K410</f>
        <v>0</v>
      </c>
      <c r="M410" s="3">
        <f ca="1">IF(AND(N410&lt;&gt;N409,ISNUMBER(SEARCH(Лист2!$B$6,N:N)),L410=2),MAX($M$3:OFFSET(M410,-1,0))+1,0)</f>
        <v>0</v>
      </c>
      <c r="N410" s="3" t="s">
        <v>602</v>
      </c>
    </row>
    <row r="411" spans="1:14" x14ac:dyDescent="0.25">
      <c r="A411" s="1" t="s">
        <v>10185</v>
      </c>
      <c r="B411" s="3" t="s">
        <v>4035</v>
      </c>
      <c r="C411" s="2">
        <f ca="1">IF(ISNUMBER(SEARCH(Лист2!$B$4,D:D)),MAX($C$3:OFFSET(C411,-1,0))+1,0)</f>
        <v>0</v>
      </c>
      <c r="E411" s="9" t="str">
        <f t="shared" ca="1" si="16"/>
        <v/>
      </c>
      <c r="F411" s="4" t="s">
        <v>3</v>
      </c>
      <c r="G411" s="2">
        <f>IF(ISNUMBER(SEARCH(Лист2!$B$4,F:F)),1,0)</f>
        <v>0</v>
      </c>
      <c r="H411" s="3">
        <f ca="1">IF(AND(I411&lt;&gt;I410,ISNUMBER(SEARCH(Лист2!$B$5,I:I)),G411=1),MAX($H$3:OFFSET(H411,-1,0))+1,0)</f>
        <v>0</v>
      </c>
      <c r="I411" s="3" t="s">
        <v>78</v>
      </c>
      <c r="J411" s="4" t="str">
        <f t="shared" ca="1" si="15"/>
        <v/>
      </c>
      <c r="K411" s="2">
        <f>IF(ISNUMBER(SEARCH(Лист2!$B$4,F:F)),1,0)</f>
        <v>0</v>
      </c>
      <c r="L411" s="14">
        <f>IF(ISNUMBER(SEARCH(Лист2!$B$5,I:I)),1,0)+K411</f>
        <v>0</v>
      </c>
      <c r="M411" s="3">
        <f ca="1">IF(AND(N411&lt;&gt;N410,ISNUMBER(SEARCH(Лист2!$B$6,N:N)),L411=2),MAX($M$3:OFFSET(M411,-1,0))+1,0)</f>
        <v>0</v>
      </c>
      <c r="N411" s="3" t="s">
        <v>760</v>
      </c>
    </row>
    <row r="412" spans="1:14" x14ac:dyDescent="0.25">
      <c r="A412" s="1" t="s">
        <v>10186</v>
      </c>
      <c r="B412" s="3" t="s">
        <v>4036</v>
      </c>
      <c r="C412" s="2">
        <f ca="1">IF(ISNUMBER(SEARCH(Лист2!$B$4,D:D)),MAX($C$3:OFFSET(C412,-1,0))+1,0)</f>
        <v>0</v>
      </c>
      <c r="E412" s="9" t="str">
        <f t="shared" ca="1" si="16"/>
        <v/>
      </c>
      <c r="F412" s="4" t="s">
        <v>3</v>
      </c>
      <c r="G412" s="2">
        <f>IF(ISNUMBER(SEARCH(Лист2!$B$4,F:F)),1,0)</f>
        <v>0</v>
      </c>
      <c r="H412" s="3">
        <f ca="1">IF(AND(I412&lt;&gt;I411,ISNUMBER(SEARCH(Лист2!$B$5,I:I)),G412=1),MAX($H$3:OFFSET(H412,-1,0))+1,0)</f>
        <v>0</v>
      </c>
      <c r="I412" s="3" t="s">
        <v>78</v>
      </c>
      <c r="J412" s="4" t="str">
        <f t="shared" ca="1" si="15"/>
        <v/>
      </c>
      <c r="K412" s="2">
        <f>IF(ISNUMBER(SEARCH(Лист2!$B$4,F:F)),1,0)</f>
        <v>0</v>
      </c>
      <c r="L412" s="14">
        <f>IF(ISNUMBER(SEARCH(Лист2!$B$5,I:I)),1,0)+K412</f>
        <v>0</v>
      </c>
      <c r="M412" s="3">
        <f ca="1">IF(AND(N412&lt;&gt;N411,ISNUMBER(SEARCH(Лист2!$B$6,N:N)),L412=2),MAX($M$3:OFFSET(M412,-1,0))+1,0)</f>
        <v>0</v>
      </c>
      <c r="N412" s="3" t="s">
        <v>761</v>
      </c>
    </row>
    <row r="413" spans="1:14" x14ac:dyDescent="0.25">
      <c r="A413" s="1" t="s">
        <v>10187</v>
      </c>
      <c r="B413" s="3" t="s">
        <v>4037</v>
      </c>
      <c r="C413" s="2">
        <f ca="1">IF(ISNUMBER(SEARCH(Лист2!$B$4,D:D)),MAX($C$3:OFFSET(C413,-1,0))+1,0)</f>
        <v>0</v>
      </c>
      <c r="E413" s="9" t="str">
        <f t="shared" ca="1" si="16"/>
        <v/>
      </c>
      <c r="F413" s="4" t="s">
        <v>3</v>
      </c>
      <c r="G413" s="2">
        <f>IF(ISNUMBER(SEARCH(Лист2!$B$4,F:F)),1,0)</f>
        <v>0</v>
      </c>
      <c r="H413" s="3">
        <f ca="1">IF(AND(I413&lt;&gt;I412,ISNUMBER(SEARCH(Лист2!$B$5,I:I)),G413=1),MAX($H$3:OFFSET(H413,-1,0))+1,0)</f>
        <v>0</v>
      </c>
      <c r="I413" s="3" t="s">
        <v>78</v>
      </c>
      <c r="J413" s="4" t="str">
        <f t="shared" ca="1" si="15"/>
        <v/>
      </c>
      <c r="K413" s="2">
        <f>IF(ISNUMBER(SEARCH(Лист2!$B$4,F:F)),1,0)</f>
        <v>0</v>
      </c>
      <c r="L413" s="14">
        <f>IF(ISNUMBER(SEARCH(Лист2!$B$5,I:I)),1,0)+K413</f>
        <v>0</v>
      </c>
      <c r="M413" s="3">
        <f ca="1">IF(AND(N413&lt;&gt;N412,ISNUMBER(SEARCH(Лист2!$B$6,N:N)),L413=2),MAX($M$3:OFFSET(M413,-1,0))+1,0)</f>
        <v>0</v>
      </c>
      <c r="N413" s="3" t="s">
        <v>717</v>
      </c>
    </row>
    <row r="414" spans="1:14" x14ac:dyDescent="0.25">
      <c r="A414" s="1" t="s">
        <v>10188</v>
      </c>
      <c r="B414" s="3" t="s">
        <v>4038</v>
      </c>
      <c r="C414" s="2">
        <f ca="1">IF(ISNUMBER(SEARCH(Лист2!$B$4,D:D)),MAX($C$3:OFFSET(C414,-1,0))+1,0)</f>
        <v>0</v>
      </c>
      <c r="E414" s="9" t="str">
        <f t="shared" ca="1" si="16"/>
        <v/>
      </c>
      <c r="F414" s="4" t="s">
        <v>3</v>
      </c>
      <c r="G414" s="2">
        <f>IF(ISNUMBER(SEARCH(Лист2!$B$4,F:F)),1,0)</f>
        <v>0</v>
      </c>
      <c r="H414" s="3">
        <f ca="1">IF(AND(I414&lt;&gt;I413,ISNUMBER(SEARCH(Лист2!$B$5,I:I)),G414=1),MAX($H$3:OFFSET(H414,-1,0))+1,0)</f>
        <v>0</v>
      </c>
      <c r="I414" s="3" t="s">
        <v>78</v>
      </c>
      <c r="J414" s="4" t="str">
        <f t="shared" ca="1" si="15"/>
        <v/>
      </c>
      <c r="K414" s="2">
        <f>IF(ISNUMBER(SEARCH(Лист2!$B$4,F:F)),1,0)</f>
        <v>0</v>
      </c>
      <c r="L414" s="14">
        <f>IF(ISNUMBER(SEARCH(Лист2!$B$5,I:I)),1,0)+K414</f>
        <v>0</v>
      </c>
      <c r="M414" s="3">
        <f ca="1">IF(AND(N414&lt;&gt;N413,ISNUMBER(SEARCH(Лист2!$B$6,N:N)),L414=2),MAX($M$3:OFFSET(M414,-1,0))+1,0)</f>
        <v>0</v>
      </c>
      <c r="N414" s="3" t="s">
        <v>709</v>
      </c>
    </row>
    <row r="415" spans="1:14" x14ac:dyDescent="0.25">
      <c r="A415" s="1" t="s">
        <v>10189</v>
      </c>
      <c r="B415" s="3" t="s">
        <v>4039</v>
      </c>
      <c r="C415" s="2">
        <f ca="1">IF(ISNUMBER(SEARCH(Лист2!$B$4,D:D)),MAX($C$3:OFFSET(C415,-1,0))+1,0)</f>
        <v>0</v>
      </c>
      <c r="E415" s="9" t="str">
        <f t="shared" ca="1" si="16"/>
        <v/>
      </c>
      <c r="F415" s="4" t="s">
        <v>3</v>
      </c>
      <c r="G415" s="2">
        <f>IF(ISNUMBER(SEARCH(Лист2!$B$4,F:F)),1,0)</f>
        <v>0</v>
      </c>
      <c r="H415" s="3">
        <f ca="1">IF(AND(I415&lt;&gt;I414,ISNUMBER(SEARCH(Лист2!$B$5,I:I)),G415=1),MAX($H$3:OFFSET(H415,-1,0))+1,0)</f>
        <v>0</v>
      </c>
      <c r="I415" s="3" t="s">
        <v>78</v>
      </c>
      <c r="J415" s="4" t="str">
        <f t="shared" ca="1" si="15"/>
        <v/>
      </c>
      <c r="K415" s="2">
        <f>IF(ISNUMBER(SEARCH(Лист2!$B$4,F:F)),1,0)</f>
        <v>0</v>
      </c>
      <c r="L415" s="14">
        <f>IF(ISNUMBER(SEARCH(Лист2!$B$5,I:I)),1,0)+K415</f>
        <v>0</v>
      </c>
      <c r="M415" s="3">
        <f ca="1">IF(AND(N415&lt;&gt;N414,ISNUMBER(SEARCH(Лист2!$B$6,N:N)),L415=2),MAX($M$3:OFFSET(M415,-1,0))+1,0)</f>
        <v>0</v>
      </c>
      <c r="N415" s="3" t="s">
        <v>757</v>
      </c>
    </row>
    <row r="416" spans="1:14" x14ac:dyDescent="0.25">
      <c r="A416" s="1" t="s">
        <v>10190</v>
      </c>
      <c r="B416" s="3" t="s">
        <v>4040</v>
      </c>
      <c r="C416" s="2">
        <f ca="1">IF(ISNUMBER(SEARCH(Лист2!$B$4,D:D)),MAX($C$3:OFFSET(C416,-1,0))+1,0)</f>
        <v>0</v>
      </c>
      <c r="E416" s="9" t="str">
        <f t="shared" ca="1" si="16"/>
        <v/>
      </c>
      <c r="F416" s="4" t="s">
        <v>3</v>
      </c>
      <c r="G416" s="2">
        <f>IF(ISNUMBER(SEARCH(Лист2!$B$4,F:F)),1,0)</f>
        <v>0</v>
      </c>
      <c r="H416" s="3">
        <f ca="1">IF(AND(I416&lt;&gt;I415,ISNUMBER(SEARCH(Лист2!$B$5,I:I)),G416=1),MAX($H$3:OFFSET(H416,-1,0))+1,0)</f>
        <v>0</v>
      </c>
      <c r="I416" s="3" t="s">
        <v>78</v>
      </c>
      <c r="J416" s="4" t="str">
        <f t="shared" ca="1" si="15"/>
        <v/>
      </c>
      <c r="K416" s="2">
        <f>IF(ISNUMBER(SEARCH(Лист2!$B$4,F:F)),1,0)</f>
        <v>0</v>
      </c>
      <c r="L416" s="14">
        <f>IF(ISNUMBER(SEARCH(Лист2!$B$5,I:I)),1,0)+K416</f>
        <v>0</v>
      </c>
      <c r="M416" s="3">
        <f ca="1">IF(AND(N416&lt;&gt;N415,ISNUMBER(SEARCH(Лист2!$B$6,N:N)),L416=2),MAX($M$3:OFFSET(M416,-1,0))+1,0)</f>
        <v>0</v>
      </c>
      <c r="N416" s="3" t="s">
        <v>719</v>
      </c>
    </row>
    <row r="417" spans="1:14" x14ac:dyDescent="0.25">
      <c r="A417" s="1" t="s">
        <v>10191</v>
      </c>
      <c r="B417" s="3" t="s">
        <v>4041</v>
      </c>
      <c r="C417" s="2">
        <f ca="1">IF(ISNUMBER(SEARCH(Лист2!$B$4,D:D)),MAX($C$3:OFFSET(C417,-1,0))+1,0)</f>
        <v>0</v>
      </c>
      <c r="E417" s="9" t="str">
        <f t="shared" ca="1" si="16"/>
        <v/>
      </c>
      <c r="F417" s="4" t="s">
        <v>3</v>
      </c>
      <c r="G417" s="2">
        <f>IF(ISNUMBER(SEARCH(Лист2!$B$4,F:F)),1,0)</f>
        <v>0</v>
      </c>
      <c r="H417" s="3">
        <f ca="1">IF(AND(I417&lt;&gt;I416,ISNUMBER(SEARCH(Лист2!$B$5,I:I)),G417=1),MAX($H$3:OFFSET(H417,-1,0))+1,0)</f>
        <v>0</v>
      </c>
      <c r="I417" s="3" t="s">
        <v>79</v>
      </c>
      <c r="J417" s="4" t="str">
        <f t="shared" ca="1" si="15"/>
        <v/>
      </c>
      <c r="K417" s="2">
        <f>IF(ISNUMBER(SEARCH(Лист2!$B$4,F:F)),1,0)</f>
        <v>0</v>
      </c>
      <c r="L417" s="14">
        <f>IF(ISNUMBER(SEARCH(Лист2!$B$5,I:I)),1,0)+K417</f>
        <v>0</v>
      </c>
      <c r="M417" s="3">
        <f ca="1">IF(AND(N417&lt;&gt;N416,ISNUMBER(SEARCH(Лист2!$B$6,N:N)),L417=2),MAX($M$3:OFFSET(M417,-1,0))+1,0)</f>
        <v>0</v>
      </c>
      <c r="N417" s="3" t="s">
        <v>762</v>
      </c>
    </row>
    <row r="418" spans="1:14" x14ac:dyDescent="0.25">
      <c r="A418" s="1" t="s">
        <v>10192</v>
      </c>
      <c r="B418" s="3" t="s">
        <v>4042</v>
      </c>
      <c r="C418" s="2">
        <f ca="1">IF(ISNUMBER(SEARCH(Лист2!$B$4,D:D)),MAX($C$3:OFFSET(C418,-1,0))+1,0)</f>
        <v>0</v>
      </c>
      <c r="E418" s="9" t="str">
        <f t="shared" ca="1" si="16"/>
        <v/>
      </c>
      <c r="F418" s="4" t="s">
        <v>3</v>
      </c>
      <c r="G418" s="2">
        <f>IF(ISNUMBER(SEARCH(Лист2!$B$4,F:F)),1,0)</f>
        <v>0</v>
      </c>
      <c r="H418" s="3">
        <f ca="1">IF(AND(I418&lt;&gt;I417,ISNUMBER(SEARCH(Лист2!$B$5,I:I)),G418=1),MAX($H$3:OFFSET(H418,-1,0))+1,0)</f>
        <v>0</v>
      </c>
      <c r="I418" s="3" t="s">
        <v>79</v>
      </c>
      <c r="J418" s="4" t="str">
        <f t="shared" ca="1" si="15"/>
        <v/>
      </c>
      <c r="K418" s="2">
        <f>IF(ISNUMBER(SEARCH(Лист2!$B$4,F:F)),1,0)</f>
        <v>0</v>
      </c>
      <c r="L418" s="14">
        <f>IF(ISNUMBER(SEARCH(Лист2!$B$5,I:I)),1,0)+K418</f>
        <v>0</v>
      </c>
      <c r="M418" s="3">
        <f ca="1">IF(AND(N418&lt;&gt;N417,ISNUMBER(SEARCH(Лист2!$B$6,N:N)),L418=2),MAX($M$3:OFFSET(M418,-1,0))+1,0)</f>
        <v>0</v>
      </c>
      <c r="N418" s="3" t="s">
        <v>763</v>
      </c>
    </row>
    <row r="419" spans="1:14" x14ac:dyDescent="0.25">
      <c r="A419" s="1" t="s">
        <v>10193</v>
      </c>
      <c r="B419" s="3" t="s">
        <v>4043</v>
      </c>
      <c r="C419" s="2">
        <f ca="1">IF(ISNUMBER(SEARCH(Лист2!$B$4,D:D)),MAX($C$3:OFFSET(C419,-1,0))+1,0)</f>
        <v>0</v>
      </c>
      <c r="E419" s="9" t="str">
        <f t="shared" ca="1" si="16"/>
        <v/>
      </c>
      <c r="F419" s="4" t="s">
        <v>3</v>
      </c>
      <c r="G419" s="2">
        <f>IF(ISNUMBER(SEARCH(Лист2!$B$4,F:F)),1,0)</f>
        <v>0</v>
      </c>
      <c r="H419" s="3">
        <f ca="1">IF(AND(I419&lt;&gt;I418,ISNUMBER(SEARCH(Лист2!$B$5,I:I)),G419=1),MAX($H$3:OFFSET(H419,-1,0))+1,0)</f>
        <v>0</v>
      </c>
      <c r="I419" s="3" t="s">
        <v>79</v>
      </c>
      <c r="J419" s="4" t="str">
        <f t="shared" ca="1" si="15"/>
        <v/>
      </c>
      <c r="K419" s="2">
        <f>IF(ISNUMBER(SEARCH(Лист2!$B$4,F:F)),1,0)</f>
        <v>0</v>
      </c>
      <c r="L419" s="14">
        <f>IF(ISNUMBER(SEARCH(Лист2!$B$5,I:I)),1,0)+K419</f>
        <v>0</v>
      </c>
      <c r="M419" s="3">
        <f ca="1">IF(AND(N419&lt;&gt;N418,ISNUMBER(SEARCH(Лист2!$B$6,N:N)),L419=2),MAX($M$3:OFFSET(M419,-1,0))+1,0)</f>
        <v>0</v>
      </c>
      <c r="N419" s="3" t="s">
        <v>602</v>
      </c>
    </row>
    <row r="420" spans="1:14" x14ac:dyDescent="0.25">
      <c r="A420" s="1" t="s">
        <v>10194</v>
      </c>
      <c r="B420" s="3" t="s">
        <v>4044</v>
      </c>
      <c r="C420" s="2">
        <f ca="1">IF(ISNUMBER(SEARCH(Лист2!$B$4,D:D)),MAX($C$3:OFFSET(C420,-1,0))+1,0)</f>
        <v>0</v>
      </c>
      <c r="E420" s="9" t="str">
        <f t="shared" ca="1" si="16"/>
        <v/>
      </c>
      <c r="F420" s="4" t="s">
        <v>3</v>
      </c>
      <c r="G420" s="2">
        <f>IF(ISNUMBER(SEARCH(Лист2!$B$4,F:F)),1,0)</f>
        <v>0</v>
      </c>
      <c r="H420" s="3">
        <f ca="1">IF(AND(I420&lt;&gt;I419,ISNUMBER(SEARCH(Лист2!$B$5,I:I)),G420=1),MAX($H$3:OFFSET(H420,-1,0))+1,0)</f>
        <v>0</v>
      </c>
      <c r="I420" s="3" t="s">
        <v>79</v>
      </c>
      <c r="J420" s="4" t="str">
        <f t="shared" ca="1" si="15"/>
        <v/>
      </c>
      <c r="K420" s="2">
        <f>IF(ISNUMBER(SEARCH(Лист2!$B$4,F:F)),1,0)</f>
        <v>0</v>
      </c>
      <c r="L420" s="14">
        <f>IF(ISNUMBER(SEARCH(Лист2!$B$5,I:I)),1,0)+K420</f>
        <v>0</v>
      </c>
      <c r="M420" s="3">
        <f ca="1">IF(AND(N420&lt;&gt;N419,ISNUMBER(SEARCH(Лист2!$B$6,N:N)),L420=2),MAX($M$3:OFFSET(M420,-1,0))+1,0)</f>
        <v>0</v>
      </c>
      <c r="N420" s="3" t="s">
        <v>764</v>
      </c>
    </row>
    <row r="421" spans="1:14" x14ac:dyDescent="0.25">
      <c r="A421" s="1" t="s">
        <v>10195</v>
      </c>
      <c r="B421" s="3" t="s">
        <v>4045</v>
      </c>
      <c r="C421" s="2">
        <f ca="1">IF(ISNUMBER(SEARCH(Лист2!$B$4,D:D)),MAX($C$3:OFFSET(C421,-1,0))+1,0)</f>
        <v>0</v>
      </c>
      <c r="E421" s="9" t="str">
        <f t="shared" ca="1" si="16"/>
        <v/>
      </c>
      <c r="F421" s="4" t="s">
        <v>3</v>
      </c>
      <c r="G421" s="2">
        <f>IF(ISNUMBER(SEARCH(Лист2!$B$4,F:F)),1,0)</f>
        <v>0</v>
      </c>
      <c r="H421" s="3">
        <f ca="1">IF(AND(I421&lt;&gt;I420,ISNUMBER(SEARCH(Лист2!$B$5,I:I)),G421=1),MAX($H$3:OFFSET(H421,-1,0))+1,0)</f>
        <v>0</v>
      </c>
      <c r="I421" s="3" t="s">
        <v>79</v>
      </c>
      <c r="J421" s="4" t="str">
        <f t="shared" ca="1" si="15"/>
        <v/>
      </c>
      <c r="K421" s="2">
        <f>IF(ISNUMBER(SEARCH(Лист2!$B$4,F:F)),1,0)</f>
        <v>0</v>
      </c>
      <c r="L421" s="14">
        <f>IF(ISNUMBER(SEARCH(Лист2!$B$5,I:I)),1,0)+K421</f>
        <v>0</v>
      </c>
      <c r="M421" s="3">
        <f ca="1">IF(AND(N421&lt;&gt;N420,ISNUMBER(SEARCH(Лист2!$B$6,N:N)),L421=2),MAX($M$3:OFFSET(M421,-1,0))+1,0)</f>
        <v>0</v>
      </c>
      <c r="N421" s="3" t="s">
        <v>765</v>
      </c>
    </row>
    <row r="422" spans="1:14" x14ac:dyDescent="0.25">
      <c r="A422" s="1" t="s">
        <v>10196</v>
      </c>
      <c r="B422" s="3" t="s">
        <v>4046</v>
      </c>
      <c r="C422" s="2">
        <f ca="1">IF(ISNUMBER(SEARCH(Лист2!$B$4,D:D)),MAX($C$3:OFFSET(C422,-1,0))+1,0)</f>
        <v>0</v>
      </c>
      <c r="E422" s="9" t="str">
        <f t="shared" ca="1" si="16"/>
        <v/>
      </c>
      <c r="F422" s="4" t="s">
        <v>3</v>
      </c>
      <c r="G422" s="2">
        <f>IF(ISNUMBER(SEARCH(Лист2!$B$4,F:F)),1,0)</f>
        <v>0</v>
      </c>
      <c r="H422" s="3">
        <f ca="1">IF(AND(I422&lt;&gt;I421,ISNUMBER(SEARCH(Лист2!$B$5,I:I)),G422=1),MAX($H$3:OFFSET(H422,-1,0))+1,0)</f>
        <v>0</v>
      </c>
      <c r="I422" s="3" t="s">
        <v>79</v>
      </c>
      <c r="J422" s="4" t="str">
        <f t="shared" ca="1" si="15"/>
        <v/>
      </c>
      <c r="K422" s="2">
        <f>IF(ISNUMBER(SEARCH(Лист2!$B$4,F:F)),1,0)</f>
        <v>0</v>
      </c>
      <c r="L422" s="14">
        <f>IF(ISNUMBER(SEARCH(Лист2!$B$5,I:I)),1,0)+K422</f>
        <v>0</v>
      </c>
      <c r="M422" s="3">
        <f ca="1">IF(AND(N422&lt;&gt;N421,ISNUMBER(SEARCH(Лист2!$B$6,N:N)),L422=2),MAX($M$3:OFFSET(M422,-1,0))+1,0)</f>
        <v>0</v>
      </c>
      <c r="N422" s="3" t="s">
        <v>717</v>
      </c>
    </row>
    <row r="423" spans="1:14" x14ac:dyDescent="0.25">
      <c r="A423" s="1" t="s">
        <v>10197</v>
      </c>
      <c r="B423" s="3" t="s">
        <v>4047</v>
      </c>
      <c r="C423" s="2">
        <f ca="1">IF(ISNUMBER(SEARCH(Лист2!$B$4,D:D)),MAX($C$3:OFFSET(C423,-1,0))+1,0)</f>
        <v>0</v>
      </c>
      <c r="E423" s="9" t="str">
        <f t="shared" ca="1" si="16"/>
        <v/>
      </c>
      <c r="F423" s="4" t="s">
        <v>3</v>
      </c>
      <c r="G423" s="2">
        <f>IF(ISNUMBER(SEARCH(Лист2!$B$4,F:F)),1,0)</f>
        <v>0</v>
      </c>
      <c r="H423" s="3">
        <f ca="1">IF(AND(I423&lt;&gt;I422,ISNUMBER(SEARCH(Лист2!$B$5,I:I)),G423=1),MAX($H$3:OFFSET(H423,-1,0))+1,0)</f>
        <v>0</v>
      </c>
      <c r="I423" s="3" t="s">
        <v>79</v>
      </c>
      <c r="J423" s="4" t="str">
        <f t="shared" ca="1" si="15"/>
        <v/>
      </c>
      <c r="K423" s="2">
        <f>IF(ISNUMBER(SEARCH(Лист2!$B$4,F:F)),1,0)</f>
        <v>0</v>
      </c>
      <c r="L423" s="14">
        <f>IF(ISNUMBER(SEARCH(Лист2!$B$5,I:I)),1,0)+K423</f>
        <v>0</v>
      </c>
      <c r="M423" s="3">
        <f ca="1">IF(AND(N423&lt;&gt;N422,ISNUMBER(SEARCH(Лист2!$B$6,N:N)),L423=2),MAX($M$3:OFFSET(M423,-1,0))+1,0)</f>
        <v>0</v>
      </c>
      <c r="N423" s="3" t="s">
        <v>709</v>
      </c>
    </row>
    <row r="424" spans="1:14" x14ac:dyDescent="0.25">
      <c r="A424" s="1" t="s">
        <v>10198</v>
      </c>
      <c r="B424" s="3" t="s">
        <v>4048</v>
      </c>
      <c r="C424" s="2">
        <f ca="1">IF(ISNUMBER(SEARCH(Лист2!$B$4,D:D)),MAX($C$3:OFFSET(C424,-1,0))+1,0)</f>
        <v>0</v>
      </c>
      <c r="E424" s="9" t="str">
        <f t="shared" ca="1" si="16"/>
        <v/>
      </c>
      <c r="F424" s="4" t="s">
        <v>3</v>
      </c>
      <c r="G424" s="2">
        <f>IF(ISNUMBER(SEARCH(Лист2!$B$4,F:F)),1,0)</f>
        <v>0</v>
      </c>
      <c r="H424" s="3">
        <f ca="1">IF(AND(I424&lt;&gt;I423,ISNUMBER(SEARCH(Лист2!$B$5,I:I)),G424=1),MAX($H$3:OFFSET(H424,-1,0))+1,0)</f>
        <v>0</v>
      </c>
      <c r="I424" s="3" t="s">
        <v>79</v>
      </c>
      <c r="J424" s="4" t="str">
        <f t="shared" ca="1" si="15"/>
        <v/>
      </c>
      <c r="K424" s="2">
        <f>IF(ISNUMBER(SEARCH(Лист2!$B$4,F:F)),1,0)</f>
        <v>0</v>
      </c>
      <c r="L424" s="14">
        <f>IF(ISNUMBER(SEARCH(Лист2!$B$5,I:I)),1,0)+K424</f>
        <v>0</v>
      </c>
      <c r="M424" s="3">
        <f ca="1">IF(AND(N424&lt;&gt;N423,ISNUMBER(SEARCH(Лист2!$B$6,N:N)),L424=2),MAX($M$3:OFFSET(M424,-1,0))+1,0)</f>
        <v>0</v>
      </c>
      <c r="N424" s="3" t="s">
        <v>757</v>
      </c>
    </row>
    <row r="425" spans="1:14" x14ac:dyDescent="0.25">
      <c r="A425" s="1" t="s">
        <v>10199</v>
      </c>
      <c r="B425" s="3" t="s">
        <v>4049</v>
      </c>
      <c r="C425" s="2">
        <f ca="1">IF(ISNUMBER(SEARCH(Лист2!$B$4,D:D)),MAX($C$3:OFFSET(C425,-1,0))+1,0)</f>
        <v>0</v>
      </c>
      <c r="E425" s="9" t="str">
        <f t="shared" ca="1" si="16"/>
        <v/>
      </c>
      <c r="F425" s="4" t="s">
        <v>3</v>
      </c>
      <c r="G425" s="2">
        <f>IF(ISNUMBER(SEARCH(Лист2!$B$4,F:F)),1,0)</f>
        <v>0</v>
      </c>
      <c r="H425" s="3">
        <f ca="1">IF(AND(I425&lt;&gt;I424,ISNUMBER(SEARCH(Лист2!$B$5,I:I)),G425=1),MAX($H$3:OFFSET(H425,-1,0))+1,0)</f>
        <v>0</v>
      </c>
      <c r="I425" s="3" t="s">
        <v>79</v>
      </c>
      <c r="J425" s="4" t="str">
        <f t="shared" ca="1" si="15"/>
        <v/>
      </c>
      <c r="K425" s="2">
        <f>IF(ISNUMBER(SEARCH(Лист2!$B$4,F:F)),1,0)</f>
        <v>0</v>
      </c>
      <c r="L425" s="14">
        <f>IF(ISNUMBER(SEARCH(Лист2!$B$5,I:I)),1,0)+K425</f>
        <v>0</v>
      </c>
      <c r="M425" s="3">
        <f ca="1">IF(AND(N425&lt;&gt;N424,ISNUMBER(SEARCH(Лист2!$B$6,N:N)),L425=2),MAX($M$3:OFFSET(M425,-1,0))+1,0)</f>
        <v>0</v>
      </c>
      <c r="N425" s="3" t="s">
        <v>719</v>
      </c>
    </row>
    <row r="426" spans="1:14" x14ac:dyDescent="0.25">
      <c r="A426" s="1" t="s">
        <v>10200</v>
      </c>
      <c r="B426" s="3" t="s">
        <v>4050</v>
      </c>
      <c r="C426" s="2">
        <f ca="1">IF(ISNUMBER(SEARCH(Лист2!$B$4,D:D)),MAX($C$3:OFFSET(C426,-1,0))+1,0)</f>
        <v>0</v>
      </c>
      <c r="E426" s="9" t="str">
        <f t="shared" ca="1" si="16"/>
        <v/>
      </c>
      <c r="F426" s="4" t="s">
        <v>3</v>
      </c>
      <c r="G426" s="2">
        <f>IF(ISNUMBER(SEARCH(Лист2!$B$4,F:F)),1,0)</f>
        <v>0</v>
      </c>
      <c r="H426" s="3">
        <f ca="1">IF(AND(I426&lt;&gt;I425,ISNUMBER(SEARCH(Лист2!$B$5,I:I)),G426=1),MAX($H$3:OFFSET(H426,-1,0))+1,0)</f>
        <v>0</v>
      </c>
      <c r="I426" s="3" t="s">
        <v>80</v>
      </c>
      <c r="J426" s="4" t="str">
        <f t="shared" ca="1" si="15"/>
        <v/>
      </c>
      <c r="K426" s="2">
        <f>IF(ISNUMBER(SEARCH(Лист2!$B$4,F:F)),1,0)</f>
        <v>0</v>
      </c>
      <c r="L426" s="14">
        <f>IF(ISNUMBER(SEARCH(Лист2!$B$5,I:I)),1,0)+K426</f>
        <v>0</v>
      </c>
      <c r="M426" s="3">
        <f ca="1">IF(AND(N426&lt;&gt;N425,ISNUMBER(SEARCH(Лист2!$B$6,N:N)),L426=2),MAX($M$3:OFFSET(M426,-1,0))+1,0)</f>
        <v>0</v>
      </c>
      <c r="N426" s="3" t="s">
        <v>766</v>
      </c>
    </row>
    <row r="427" spans="1:14" x14ac:dyDescent="0.25">
      <c r="A427" s="1" t="s">
        <v>10201</v>
      </c>
      <c r="B427" s="3" t="s">
        <v>4051</v>
      </c>
      <c r="C427" s="2">
        <f ca="1">IF(ISNUMBER(SEARCH(Лист2!$B$4,D:D)),MAX($C$3:OFFSET(C427,-1,0))+1,0)</f>
        <v>0</v>
      </c>
      <c r="E427" s="9" t="str">
        <f t="shared" ca="1" si="16"/>
        <v/>
      </c>
      <c r="F427" s="4" t="s">
        <v>3</v>
      </c>
      <c r="G427" s="2">
        <f>IF(ISNUMBER(SEARCH(Лист2!$B$4,F:F)),1,0)</f>
        <v>0</v>
      </c>
      <c r="H427" s="3">
        <f ca="1">IF(AND(I427&lt;&gt;I426,ISNUMBER(SEARCH(Лист2!$B$5,I:I)),G427=1),MAX($H$3:OFFSET(H427,-1,0))+1,0)</f>
        <v>0</v>
      </c>
      <c r="I427" s="3" t="s">
        <v>80</v>
      </c>
      <c r="J427" s="4" t="str">
        <f t="shared" ca="1" si="15"/>
        <v/>
      </c>
      <c r="K427" s="2">
        <f>IF(ISNUMBER(SEARCH(Лист2!$B$4,F:F)),1,0)</f>
        <v>0</v>
      </c>
      <c r="L427" s="14">
        <f>IF(ISNUMBER(SEARCH(Лист2!$B$5,I:I)),1,0)+K427</f>
        <v>0</v>
      </c>
      <c r="M427" s="3">
        <f ca="1">IF(AND(N427&lt;&gt;N426,ISNUMBER(SEARCH(Лист2!$B$6,N:N)),L427=2),MAX($M$3:OFFSET(M427,-1,0))+1,0)</f>
        <v>0</v>
      </c>
      <c r="N427" s="3" t="s">
        <v>767</v>
      </c>
    </row>
    <row r="428" spans="1:14" x14ac:dyDescent="0.25">
      <c r="A428" s="1" t="s">
        <v>10202</v>
      </c>
      <c r="B428" s="3" t="s">
        <v>4052</v>
      </c>
      <c r="C428" s="2">
        <f ca="1">IF(ISNUMBER(SEARCH(Лист2!$B$4,D:D)),MAX($C$3:OFFSET(C428,-1,0))+1,0)</f>
        <v>0</v>
      </c>
      <c r="E428" s="9" t="str">
        <f t="shared" ca="1" si="16"/>
        <v/>
      </c>
      <c r="F428" s="4" t="s">
        <v>3</v>
      </c>
      <c r="G428" s="2">
        <f>IF(ISNUMBER(SEARCH(Лист2!$B$4,F:F)),1,0)</f>
        <v>0</v>
      </c>
      <c r="H428" s="3">
        <f ca="1">IF(AND(I428&lt;&gt;I427,ISNUMBER(SEARCH(Лист2!$B$5,I:I)),G428=1),MAX($H$3:OFFSET(H428,-1,0))+1,0)</f>
        <v>0</v>
      </c>
      <c r="I428" s="3" t="s">
        <v>80</v>
      </c>
      <c r="J428" s="4" t="str">
        <f t="shared" ca="1" si="15"/>
        <v/>
      </c>
      <c r="K428" s="2">
        <f>IF(ISNUMBER(SEARCH(Лист2!$B$4,F:F)),1,0)</f>
        <v>0</v>
      </c>
      <c r="L428" s="14">
        <f>IF(ISNUMBER(SEARCH(Лист2!$B$5,I:I)),1,0)+K428</f>
        <v>0</v>
      </c>
      <c r="M428" s="3">
        <f ca="1">IF(AND(N428&lt;&gt;N427,ISNUMBER(SEARCH(Лист2!$B$6,N:N)),L428=2),MAX($M$3:OFFSET(M428,-1,0))+1,0)</f>
        <v>0</v>
      </c>
      <c r="N428" s="3" t="s">
        <v>602</v>
      </c>
    </row>
    <row r="429" spans="1:14" x14ac:dyDescent="0.25">
      <c r="A429" s="1" t="s">
        <v>10203</v>
      </c>
      <c r="B429" s="3" t="s">
        <v>4053</v>
      </c>
      <c r="C429" s="2">
        <f ca="1">IF(ISNUMBER(SEARCH(Лист2!$B$4,D:D)),MAX($C$3:OFFSET(C429,-1,0))+1,0)</f>
        <v>0</v>
      </c>
      <c r="E429" s="9" t="str">
        <f t="shared" ca="1" si="16"/>
        <v/>
      </c>
      <c r="F429" s="4" t="s">
        <v>3</v>
      </c>
      <c r="G429" s="2">
        <f>IF(ISNUMBER(SEARCH(Лист2!$B$4,F:F)),1,0)</f>
        <v>0</v>
      </c>
      <c r="H429" s="3">
        <f ca="1">IF(AND(I429&lt;&gt;I428,ISNUMBER(SEARCH(Лист2!$B$5,I:I)),G429=1),MAX($H$3:OFFSET(H429,-1,0))+1,0)</f>
        <v>0</v>
      </c>
      <c r="I429" s="3" t="s">
        <v>80</v>
      </c>
      <c r="J429" s="4" t="str">
        <f t="shared" ca="1" si="15"/>
        <v/>
      </c>
      <c r="K429" s="2">
        <f>IF(ISNUMBER(SEARCH(Лист2!$B$4,F:F)),1,0)</f>
        <v>0</v>
      </c>
      <c r="L429" s="14">
        <f>IF(ISNUMBER(SEARCH(Лист2!$B$5,I:I)),1,0)+K429</f>
        <v>0</v>
      </c>
      <c r="M429" s="3">
        <f ca="1">IF(AND(N429&lt;&gt;N428,ISNUMBER(SEARCH(Лист2!$B$6,N:N)),L429=2),MAX($M$3:OFFSET(M429,-1,0))+1,0)</f>
        <v>0</v>
      </c>
      <c r="N429" s="3" t="s">
        <v>768</v>
      </c>
    </row>
    <row r="430" spans="1:14" x14ac:dyDescent="0.25">
      <c r="A430" s="1" t="s">
        <v>10204</v>
      </c>
      <c r="B430" s="3" t="s">
        <v>4054</v>
      </c>
      <c r="C430" s="2">
        <f ca="1">IF(ISNUMBER(SEARCH(Лист2!$B$4,D:D)),MAX($C$3:OFFSET(C430,-1,0))+1,0)</f>
        <v>0</v>
      </c>
      <c r="E430" s="9" t="str">
        <f t="shared" ca="1" si="16"/>
        <v/>
      </c>
      <c r="F430" s="4" t="s">
        <v>3</v>
      </c>
      <c r="G430" s="2">
        <f>IF(ISNUMBER(SEARCH(Лист2!$B$4,F:F)),1,0)</f>
        <v>0</v>
      </c>
      <c r="H430" s="3">
        <f ca="1">IF(AND(I430&lt;&gt;I429,ISNUMBER(SEARCH(Лист2!$B$5,I:I)),G430=1),MAX($H$3:OFFSET(H430,-1,0))+1,0)</f>
        <v>0</v>
      </c>
      <c r="I430" s="3" t="s">
        <v>80</v>
      </c>
      <c r="J430" s="4" t="str">
        <f t="shared" ca="1" si="15"/>
        <v/>
      </c>
      <c r="K430" s="2">
        <f>IF(ISNUMBER(SEARCH(Лист2!$B$4,F:F)),1,0)</f>
        <v>0</v>
      </c>
      <c r="L430" s="14">
        <f>IF(ISNUMBER(SEARCH(Лист2!$B$5,I:I)),1,0)+K430</f>
        <v>0</v>
      </c>
      <c r="M430" s="3">
        <f ca="1">IF(AND(N430&lt;&gt;N429,ISNUMBER(SEARCH(Лист2!$B$6,N:N)),L430=2),MAX($M$3:OFFSET(M430,-1,0))+1,0)</f>
        <v>0</v>
      </c>
      <c r="N430" s="3" t="s">
        <v>769</v>
      </c>
    </row>
    <row r="431" spans="1:14" x14ac:dyDescent="0.25">
      <c r="A431" s="1" t="s">
        <v>10205</v>
      </c>
      <c r="B431" s="3" t="s">
        <v>4055</v>
      </c>
      <c r="C431" s="2">
        <f ca="1">IF(ISNUMBER(SEARCH(Лист2!$B$4,D:D)),MAX($C$3:OFFSET(C431,-1,0))+1,0)</f>
        <v>0</v>
      </c>
      <c r="E431" s="9" t="str">
        <f t="shared" ca="1" si="16"/>
        <v/>
      </c>
      <c r="F431" s="4" t="s">
        <v>3</v>
      </c>
      <c r="G431" s="2">
        <f>IF(ISNUMBER(SEARCH(Лист2!$B$4,F:F)),1,0)</f>
        <v>0</v>
      </c>
      <c r="H431" s="3">
        <f ca="1">IF(AND(I431&lt;&gt;I430,ISNUMBER(SEARCH(Лист2!$B$5,I:I)),G431=1),MAX($H$3:OFFSET(H431,-1,0))+1,0)</f>
        <v>0</v>
      </c>
      <c r="I431" s="3" t="s">
        <v>80</v>
      </c>
      <c r="J431" s="4" t="str">
        <f t="shared" ca="1" si="15"/>
        <v/>
      </c>
      <c r="K431" s="2">
        <f>IF(ISNUMBER(SEARCH(Лист2!$B$4,F:F)),1,0)</f>
        <v>0</v>
      </c>
      <c r="L431" s="14">
        <f>IF(ISNUMBER(SEARCH(Лист2!$B$5,I:I)),1,0)+K431</f>
        <v>0</v>
      </c>
      <c r="M431" s="3">
        <f ca="1">IF(AND(N431&lt;&gt;N430,ISNUMBER(SEARCH(Лист2!$B$6,N:N)),L431=2),MAX($M$3:OFFSET(M431,-1,0))+1,0)</f>
        <v>0</v>
      </c>
      <c r="N431" s="3" t="s">
        <v>717</v>
      </c>
    </row>
    <row r="432" spans="1:14" x14ac:dyDescent="0.25">
      <c r="A432" s="1" t="s">
        <v>10206</v>
      </c>
      <c r="B432" s="3" t="s">
        <v>4056</v>
      </c>
      <c r="C432" s="2">
        <f ca="1">IF(ISNUMBER(SEARCH(Лист2!$B$4,D:D)),MAX($C$3:OFFSET(C432,-1,0))+1,0)</f>
        <v>0</v>
      </c>
      <c r="E432" s="9" t="str">
        <f t="shared" ca="1" si="16"/>
        <v/>
      </c>
      <c r="F432" s="4" t="s">
        <v>3</v>
      </c>
      <c r="G432" s="2">
        <f>IF(ISNUMBER(SEARCH(Лист2!$B$4,F:F)),1,0)</f>
        <v>0</v>
      </c>
      <c r="H432" s="3">
        <f ca="1">IF(AND(I432&lt;&gt;I431,ISNUMBER(SEARCH(Лист2!$B$5,I:I)),G432=1),MAX($H$3:OFFSET(H432,-1,0))+1,0)</f>
        <v>0</v>
      </c>
      <c r="I432" s="3" t="s">
        <v>80</v>
      </c>
      <c r="J432" s="4" t="str">
        <f t="shared" ca="1" si="15"/>
        <v/>
      </c>
      <c r="K432" s="2">
        <f>IF(ISNUMBER(SEARCH(Лист2!$B$4,F:F)),1,0)</f>
        <v>0</v>
      </c>
      <c r="L432" s="14">
        <f>IF(ISNUMBER(SEARCH(Лист2!$B$5,I:I)),1,0)+K432</f>
        <v>0</v>
      </c>
      <c r="M432" s="3">
        <f ca="1">IF(AND(N432&lt;&gt;N431,ISNUMBER(SEARCH(Лист2!$B$6,N:N)),L432=2),MAX($M$3:OFFSET(M432,-1,0))+1,0)</f>
        <v>0</v>
      </c>
      <c r="N432" s="3" t="s">
        <v>709</v>
      </c>
    </row>
    <row r="433" spans="1:14" x14ac:dyDescent="0.25">
      <c r="A433" s="1" t="s">
        <v>10207</v>
      </c>
      <c r="B433" s="3" t="s">
        <v>4057</v>
      </c>
      <c r="C433" s="2">
        <f ca="1">IF(ISNUMBER(SEARCH(Лист2!$B$4,D:D)),MAX($C$3:OFFSET(C433,-1,0))+1,0)</f>
        <v>0</v>
      </c>
      <c r="E433" s="9" t="str">
        <f t="shared" ca="1" si="16"/>
        <v/>
      </c>
      <c r="F433" s="4" t="s">
        <v>3</v>
      </c>
      <c r="G433" s="2">
        <f>IF(ISNUMBER(SEARCH(Лист2!$B$4,F:F)),1,0)</f>
        <v>0</v>
      </c>
      <c r="H433" s="3">
        <f ca="1">IF(AND(I433&lt;&gt;I432,ISNUMBER(SEARCH(Лист2!$B$5,I:I)),G433=1),MAX($H$3:OFFSET(H433,-1,0))+1,0)</f>
        <v>0</v>
      </c>
      <c r="I433" s="3" t="s">
        <v>80</v>
      </c>
      <c r="J433" s="4" t="str">
        <f t="shared" ca="1" si="15"/>
        <v/>
      </c>
      <c r="K433" s="2">
        <f>IF(ISNUMBER(SEARCH(Лист2!$B$4,F:F)),1,0)</f>
        <v>0</v>
      </c>
      <c r="L433" s="14">
        <f>IF(ISNUMBER(SEARCH(Лист2!$B$5,I:I)),1,0)+K433</f>
        <v>0</v>
      </c>
      <c r="M433" s="3">
        <f ca="1">IF(AND(N433&lt;&gt;N432,ISNUMBER(SEARCH(Лист2!$B$6,N:N)),L433=2),MAX($M$3:OFFSET(M433,-1,0))+1,0)</f>
        <v>0</v>
      </c>
      <c r="N433" s="3" t="s">
        <v>757</v>
      </c>
    </row>
    <row r="434" spans="1:14" x14ac:dyDescent="0.25">
      <c r="A434" s="1" t="s">
        <v>10208</v>
      </c>
      <c r="B434" s="3" t="s">
        <v>4058</v>
      </c>
      <c r="C434" s="2">
        <f ca="1">IF(ISNUMBER(SEARCH(Лист2!$B$4,D:D)),MAX($C$3:OFFSET(C434,-1,0))+1,0)</f>
        <v>0</v>
      </c>
      <c r="E434" s="9" t="str">
        <f t="shared" ca="1" si="16"/>
        <v/>
      </c>
      <c r="F434" s="4" t="s">
        <v>3</v>
      </c>
      <c r="G434" s="2">
        <f>IF(ISNUMBER(SEARCH(Лист2!$B$4,F:F)),1,0)</f>
        <v>0</v>
      </c>
      <c r="H434" s="3">
        <f ca="1">IF(AND(I434&lt;&gt;I433,ISNUMBER(SEARCH(Лист2!$B$5,I:I)),G434=1),MAX($H$3:OFFSET(H434,-1,0))+1,0)</f>
        <v>0</v>
      </c>
      <c r="I434" s="3" t="s">
        <v>80</v>
      </c>
      <c r="J434" s="4" t="str">
        <f t="shared" ca="1" si="15"/>
        <v/>
      </c>
      <c r="K434" s="2">
        <f>IF(ISNUMBER(SEARCH(Лист2!$B$4,F:F)),1,0)</f>
        <v>0</v>
      </c>
      <c r="L434" s="14">
        <f>IF(ISNUMBER(SEARCH(Лист2!$B$5,I:I)),1,0)+K434</f>
        <v>0</v>
      </c>
      <c r="M434" s="3">
        <f ca="1">IF(AND(N434&lt;&gt;N433,ISNUMBER(SEARCH(Лист2!$B$6,N:N)),L434=2),MAX($M$3:OFFSET(M434,-1,0))+1,0)</f>
        <v>0</v>
      </c>
      <c r="N434" s="3" t="s">
        <v>719</v>
      </c>
    </row>
    <row r="435" spans="1:14" x14ac:dyDescent="0.25">
      <c r="A435" s="1" t="s">
        <v>10209</v>
      </c>
      <c r="B435" s="3" t="s">
        <v>4059</v>
      </c>
      <c r="C435" s="2">
        <f ca="1">IF(ISNUMBER(SEARCH(Лист2!$B$4,D:D)),MAX($C$3:OFFSET(C435,-1,0))+1,0)</f>
        <v>0</v>
      </c>
      <c r="E435" s="9" t="str">
        <f t="shared" ca="1" si="16"/>
        <v/>
      </c>
      <c r="F435" s="4" t="s">
        <v>3</v>
      </c>
      <c r="G435" s="2">
        <f>IF(ISNUMBER(SEARCH(Лист2!$B$4,F:F)),1,0)</f>
        <v>0</v>
      </c>
      <c r="H435" s="3">
        <f ca="1">IF(AND(I435&lt;&gt;I434,ISNUMBER(SEARCH(Лист2!$B$5,I:I)),G435=1),MAX($H$3:OFFSET(H435,-1,0))+1,0)</f>
        <v>0</v>
      </c>
      <c r="I435" s="3" t="s">
        <v>81</v>
      </c>
      <c r="J435" s="4" t="str">
        <f t="shared" ca="1" si="15"/>
        <v/>
      </c>
      <c r="K435" s="2">
        <f>IF(ISNUMBER(SEARCH(Лист2!$B$4,F:F)),1,0)</f>
        <v>0</v>
      </c>
      <c r="L435" s="14">
        <f>IF(ISNUMBER(SEARCH(Лист2!$B$5,I:I)),1,0)+K435</f>
        <v>0</v>
      </c>
      <c r="M435" s="3">
        <f ca="1">IF(AND(N435&lt;&gt;N434,ISNUMBER(SEARCH(Лист2!$B$6,N:N)),L435=2),MAX($M$3:OFFSET(M435,-1,0))+1,0)</f>
        <v>0</v>
      </c>
      <c r="N435" s="3" t="s">
        <v>770</v>
      </c>
    </row>
    <row r="436" spans="1:14" x14ac:dyDescent="0.25">
      <c r="A436" s="1" t="s">
        <v>10210</v>
      </c>
      <c r="B436" s="3" t="s">
        <v>4060</v>
      </c>
      <c r="C436" s="2">
        <f ca="1">IF(ISNUMBER(SEARCH(Лист2!$B$4,D:D)),MAX($C$3:OFFSET(C436,-1,0))+1,0)</f>
        <v>0</v>
      </c>
      <c r="E436" s="9" t="str">
        <f t="shared" ca="1" si="16"/>
        <v/>
      </c>
      <c r="F436" s="4" t="s">
        <v>3</v>
      </c>
      <c r="G436" s="2">
        <f>IF(ISNUMBER(SEARCH(Лист2!$B$4,F:F)),1,0)</f>
        <v>0</v>
      </c>
      <c r="H436" s="3">
        <f ca="1">IF(AND(I436&lt;&gt;I435,ISNUMBER(SEARCH(Лист2!$B$5,I:I)),G436=1),MAX($H$3:OFFSET(H436,-1,0))+1,0)</f>
        <v>0</v>
      </c>
      <c r="I436" s="3" t="s">
        <v>81</v>
      </c>
      <c r="J436" s="4" t="str">
        <f t="shared" ca="1" si="15"/>
        <v/>
      </c>
      <c r="K436" s="2">
        <f>IF(ISNUMBER(SEARCH(Лист2!$B$4,F:F)),1,0)</f>
        <v>0</v>
      </c>
      <c r="L436" s="14">
        <f>IF(ISNUMBER(SEARCH(Лист2!$B$5,I:I)),1,0)+K436</f>
        <v>0</v>
      </c>
      <c r="M436" s="3">
        <f ca="1">IF(AND(N436&lt;&gt;N435,ISNUMBER(SEARCH(Лист2!$B$6,N:N)),L436=2),MAX($M$3:OFFSET(M436,-1,0))+1,0)</f>
        <v>0</v>
      </c>
      <c r="N436" s="3" t="s">
        <v>771</v>
      </c>
    </row>
    <row r="437" spans="1:14" x14ac:dyDescent="0.25">
      <c r="A437" s="1" t="s">
        <v>10211</v>
      </c>
      <c r="B437" s="3" t="s">
        <v>4061</v>
      </c>
      <c r="C437" s="2">
        <f ca="1">IF(ISNUMBER(SEARCH(Лист2!$B$4,D:D)),MAX($C$3:OFFSET(C437,-1,0))+1,0)</f>
        <v>0</v>
      </c>
      <c r="E437" s="9" t="str">
        <f t="shared" ca="1" si="16"/>
        <v/>
      </c>
      <c r="F437" s="4" t="s">
        <v>3</v>
      </c>
      <c r="G437" s="2">
        <f>IF(ISNUMBER(SEARCH(Лист2!$B$4,F:F)),1,0)</f>
        <v>0</v>
      </c>
      <c r="H437" s="3">
        <f ca="1">IF(AND(I437&lt;&gt;I436,ISNUMBER(SEARCH(Лист2!$B$5,I:I)),G437=1),MAX($H$3:OFFSET(H437,-1,0))+1,0)</f>
        <v>0</v>
      </c>
      <c r="I437" s="3" t="s">
        <v>81</v>
      </c>
      <c r="J437" s="4" t="str">
        <f t="shared" ca="1" si="15"/>
        <v/>
      </c>
      <c r="K437" s="2">
        <f>IF(ISNUMBER(SEARCH(Лист2!$B$4,F:F)),1,0)</f>
        <v>0</v>
      </c>
      <c r="L437" s="14">
        <f>IF(ISNUMBER(SEARCH(Лист2!$B$5,I:I)),1,0)+K437</f>
        <v>0</v>
      </c>
      <c r="M437" s="3">
        <f ca="1">IF(AND(N437&lt;&gt;N436,ISNUMBER(SEARCH(Лист2!$B$6,N:N)),L437=2),MAX($M$3:OFFSET(M437,-1,0))+1,0)</f>
        <v>0</v>
      </c>
      <c r="N437" s="3" t="s">
        <v>602</v>
      </c>
    </row>
    <row r="438" spans="1:14" x14ac:dyDescent="0.25">
      <c r="A438" s="1" t="s">
        <v>10212</v>
      </c>
      <c r="B438" s="3" t="s">
        <v>4062</v>
      </c>
      <c r="C438" s="2">
        <f ca="1">IF(ISNUMBER(SEARCH(Лист2!$B$4,D:D)),MAX($C$3:OFFSET(C438,-1,0))+1,0)</f>
        <v>0</v>
      </c>
      <c r="E438" s="9" t="str">
        <f t="shared" ca="1" si="16"/>
        <v/>
      </c>
      <c r="F438" s="4" t="s">
        <v>3</v>
      </c>
      <c r="G438" s="2">
        <f>IF(ISNUMBER(SEARCH(Лист2!$B$4,F:F)),1,0)</f>
        <v>0</v>
      </c>
      <c r="H438" s="3">
        <f ca="1">IF(AND(I438&lt;&gt;I437,ISNUMBER(SEARCH(Лист2!$B$5,I:I)),G438=1),MAX($H$3:OFFSET(H438,-1,0))+1,0)</f>
        <v>0</v>
      </c>
      <c r="I438" s="3" t="s">
        <v>81</v>
      </c>
      <c r="J438" s="4" t="str">
        <f t="shared" ca="1" si="15"/>
        <v/>
      </c>
      <c r="K438" s="2">
        <f>IF(ISNUMBER(SEARCH(Лист2!$B$4,F:F)),1,0)</f>
        <v>0</v>
      </c>
      <c r="L438" s="14">
        <f>IF(ISNUMBER(SEARCH(Лист2!$B$5,I:I)),1,0)+K438</f>
        <v>0</v>
      </c>
      <c r="M438" s="3">
        <f ca="1">IF(AND(N438&lt;&gt;N437,ISNUMBER(SEARCH(Лист2!$B$6,N:N)),L438=2),MAX($M$3:OFFSET(M438,-1,0))+1,0)</f>
        <v>0</v>
      </c>
      <c r="N438" s="3" t="s">
        <v>772</v>
      </c>
    </row>
    <row r="439" spans="1:14" x14ac:dyDescent="0.25">
      <c r="A439" s="1" t="s">
        <v>10213</v>
      </c>
      <c r="B439" s="3" t="s">
        <v>4063</v>
      </c>
      <c r="C439" s="2">
        <f ca="1">IF(ISNUMBER(SEARCH(Лист2!$B$4,D:D)),MAX($C$3:OFFSET(C439,-1,0))+1,0)</f>
        <v>0</v>
      </c>
      <c r="E439" s="9" t="str">
        <f t="shared" ca="1" si="16"/>
        <v/>
      </c>
      <c r="F439" s="4" t="s">
        <v>3</v>
      </c>
      <c r="G439" s="2">
        <f>IF(ISNUMBER(SEARCH(Лист2!$B$4,F:F)),1,0)</f>
        <v>0</v>
      </c>
      <c r="H439" s="3">
        <f ca="1">IF(AND(I439&lt;&gt;I438,ISNUMBER(SEARCH(Лист2!$B$5,I:I)),G439=1),MAX($H$3:OFFSET(H439,-1,0))+1,0)</f>
        <v>0</v>
      </c>
      <c r="I439" s="3" t="s">
        <v>81</v>
      </c>
      <c r="J439" s="4" t="str">
        <f t="shared" ca="1" si="15"/>
        <v/>
      </c>
      <c r="K439" s="2">
        <f>IF(ISNUMBER(SEARCH(Лист2!$B$4,F:F)),1,0)</f>
        <v>0</v>
      </c>
      <c r="L439" s="14">
        <f>IF(ISNUMBER(SEARCH(Лист2!$B$5,I:I)),1,0)+K439</f>
        <v>0</v>
      </c>
      <c r="M439" s="3">
        <f ca="1">IF(AND(N439&lt;&gt;N438,ISNUMBER(SEARCH(Лист2!$B$6,N:N)),L439=2),MAX($M$3:OFFSET(M439,-1,0))+1,0)</f>
        <v>0</v>
      </c>
      <c r="N439" s="3" t="s">
        <v>773</v>
      </c>
    </row>
    <row r="440" spans="1:14" x14ac:dyDescent="0.25">
      <c r="A440" s="1" t="s">
        <v>10214</v>
      </c>
      <c r="B440" s="3" t="s">
        <v>4064</v>
      </c>
      <c r="C440" s="2">
        <f ca="1">IF(ISNUMBER(SEARCH(Лист2!$B$4,D:D)),MAX($C$3:OFFSET(C440,-1,0))+1,0)</f>
        <v>0</v>
      </c>
      <c r="E440" s="9" t="str">
        <f t="shared" ca="1" si="16"/>
        <v/>
      </c>
      <c r="F440" s="4" t="s">
        <v>3</v>
      </c>
      <c r="G440" s="2">
        <f>IF(ISNUMBER(SEARCH(Лист2!$B$4,F:F)),1,0)</f>
        <v>0</v>
      </c>
      <c r="H440" s="3">
        <f ca="1">IF(AND(I440&lt;&gt;I439,ISNUMBER(SEARCH(Лист2!$B$5,I:I)),G440=1),MAX($H$3:OFFSET(H440,-1,0))+1,0)</f>
        <v>0</v>
      </c>
      <c r="I440" s="3" t="s">
        <v>81</v>
      </c>
      <c r="J440" s="4" t="str">
        <f t="shared" ca="1" si="15"/>
        <v/>
      </c>
      <c r="K440" s="2">
        <f>IF(ISNUMBER(SEARCH(Лист2!$B$4,F:F)),1,0)</f>
        <v>0</v>
      </c>
      <c r="L440" s="14">
        <f>IF(ISNUMBER(SEARCH(Лист2!$B$5,I:I)),1,0)+K440</f>
        <v>0</v>
      </c>
      <c r="M440" s="3">
        <f ca="1">IF(AND(N440&lt;&gt;N439,ISNUMBER(SEARCH(Лист2!$B$6,N:N)),L440=2),MAX($M$3:OFFSET(M440,-1,0))+1,0)</f>
        <v>0</v>
      </c>
      <c r="N440" s="3" t="s">
        <v>717</v>
      </c>
    </row>
    <row r="441" spans="1:14" x14ac:dyDescent="0.25">
      <c r="A441" s="1" t="s">
        <v>10215</v>
      </c>
      <c r="B441" s="3" t="s">
        <v>4065</v>
      </c>
      <c r="C441" s="2">
        <f ca="1">IF(ISNUMBER(SEARCH(Лист2!$B$4,D:D)),MAX($C$3:OFFSET(C441,-1,0))+1,0)</f>
        <v>0</v>
      </c>
      <c r="E441" s="9" t="str">
        <f t="shared" ca="1" si="16"/>
        <v/>
      </c>
      <c r="F441" s="4" t="s">
        <v>3</v>
      </c>
      <c r="G441" s="2">
        <f>IF(ISNUMBER(SEARCH(Лист2!$B$4,F:F)),1,0)</f>
        <v>0</v>
      </c>
      <c r="H441" s="3">
        <f ca="1">IF(AND(I441&lt;&gt;I440,ISNUMBER(SEARCH(Лист2!$B$5,I:I)),G441=1),MAX($H$3:OFFSET(H441,-1,0))+1,0)</f>
        <v>0</v>
      </c>
      <c r="I441" s="3" t="s">
        <v>81</v>
      </c>
      <c r="J441" s="4" t="str">
        <f t="shared" ca="1" si="15"/>
        <v/>
      </c>
      <c r="K441" s="2">
        <f>IF(ISNUMBER(SEARCH(Лист2!$B$4,F:F)),1,0)</f>
        <v>0</v>
      </c>
      <c r="L441" s="14">
        <f>IF(ISNUMBER(SEARCH(Лист2!$B$5,I:I)),1,0)+K441</f>
        <v>0</v>
      </c>
      <c r="M441" s="3">
        <f ca="1">IF(AND(N441&lt;&gt;N440,ISNUMBER(SEARCH(Лист2!$B$6,N:N)),L441=2),MAX($M$3:OFFSET(M441,-1,0))+1,0)</f>
        <v>0</v>
      </c>
      <c r="N441" s="3" t="s">
        <v>709</v>
      </c>
    </row>
    <row r="442" spans="1:14" x14ac:dyDescent="0.25">
      <c r="A442" s="1" t="s">
        <v>10216</v>
      </c>
      <c r="B442" s="3" t="s">
        <v>4066</v>
      </c>
      <c r="C442" s="2">
        <f ca="1">IF(ISNUMBER(SEARCH(Лист2!$B$4,D:D)),MAX($C$3:OFFSET(C442,-1,0))+1,0)</f>
        <v>0</v>
      </c>
      <c r="E442" s="9" t="str">
        <f t="shared" ca="1" si="16"/>
        <v/>
      </c>
      <c r="F442" s="4" t="s">
        <v>3</v>
      </c>
      <c r="G442" s="2">
        <f>IF(ISNUMBER(SEARCH(Лист2!$B$4,F:F)),1,0)</f>
        <v>0</v>
      </c>
      <c r="H442" s="3">
        <f ca="1">IF(AND(I442&lt;&gt;I441,ISNUMBER(SEARCH(Лист2!$B$5,I:I)),G442=1),MAX($H$3:OFFSET(H442,-1,0))+1,0)</f>
        <v>0</v>
      </c>
      <c r="I442" s="3" t="s">
        <v>81</v>
      </c>
      <c r="J442" s="4" t="str">
        <f t="shared" ca="1" si="15"/>
        <v/>
      </c>
      <c r="K442" s="2">
        <f>IF(ISNUMBER(SEARCH(Лист2!$B$4,F:F)),1,0)</f>
        <v>0</v>
      </c>
      <c r="L442" s="14">
        <f>IF(ISNUMBER(SEARCH(Лист2!$B$5,I:I)),1,0)+K442</f>
        <v>0</v>
      </c>
      <c r="M442" s="3">
        <f ca="1">IF(AND(N442&lt;&gt;N441,ISNUMBER(SEARCH(Лист2!$B$6,N:N)),L442=2),MAX($M$3:OFFSET(M442,-1,0))+1,0)</f>
        <v>0</v>
      </c>
      <c r="N442" s="3" t="s">
        <v>757</v>
      </c>
    </row>
    <row r="443" spans="1:14" x14ac:dyDescent="0.25">
      <c r="A443" s="1" t="s">
        <v>10217</v>
      </c>
      <c r="B443" s="3" t="s">
        <v>4067</v>
      </c>
      <c r="C443" s="2">
        <f ca="1">IF(ISNUMBER(SEARCH(Лист2!$B$4,D:D)),MAX($C$3:OFFSET(C443,-1,0))+1,0)</f>
        <v>0</v>
      </c>
      <c r="E443" s="9" t="str">
        <f t="shared" ca="1" si="16"/>
        <v/>
      </c>
      <c r="F443" s="4" t="s">
        <v>3</v>
      </c>
      <c r="G443" s="2">
        <f>IF(ISNUMBER(SEARCH(Лист2!$B$4,F:F)),1,0)</f>
        <v>0</v>
      </c>
      <c r="H443" s="3">
        <f ca="1">IF(AND(I443&lt;&gt;I442,ISNUMBER(SEARCH(Лист2!$B$5,I:I)),G443=1),MAX($H$3:OFFSET(H443,-1,0))+1,0)</f>
        <v>0</v>
      </c>
      <c r="I443" s="3" t="s">
        <v>81</v>
      </c>
      <c r="J443" s="4" t="str">
        <f t="shared" ca="1" si="15"/>
        <v/>
      </c>
      <c r="K443" s="2">
        <f>IF(ISNUMBER(SEARCH(Лист2!$B$4,F:F)),1,0)</f>
        <v>0</v>
      </c>
      <c r="L443" s="14">
        <f>IF(ISNUMBER(SEARCH(Лист2!$B$5,I:I)),1,0)+K443</f>
        <v>0</v>
      </c>
      <c r="M443" s="3">
        <f ca="1">IF(AND(N443&lt;&gt;N442,ISNUMBER(SEARCH(Лист2!$B$6,N:N)),L443=2),MAX($M$3:OFFSET(M443,-1,0))+1,0)</f>
        <v>0</v>
      </c>
      <c r="N443" s="3" t="s">
        <v>710</v>
      </c>
    </row>
    <row r="444" spans="1:14" x14ac:dyDescent="0.25">
      <c r="A444" s="1" t="s">
        <v>10218</v>
      </c>
      <c r="B444" s="3" t="s">
        <v>4068</v>
      </c>
      <c r="C444" s="2">
        <f ca="1">IF(ISNUMBER(SEARCH(Лист2!$B$4,D:D)),MAX($C$3:OFFSET(C444,-1,0))+1,0)</f>
        <v>0</v>
      </c>
      <c r="E444" s="9" t="str">
        <f t="shared" ca="1" si="16"/>
        <v/>
      </c>
      <c r="F444" s="4" t="s">
        <v>3</v>
      </c>
      <c r="G444" s="2">
        <f>IF(ISNUMBER(SEARCH(Лист2!$B$4,F:F)),1,0)</f>
        <v>0</v>
      </c>
      <c r="H444" s="3">
        <f ca="1">IF(AND(I444&lt;&gt;I443,ISNUMBER(SEARCH(Лист2!$B$5,I:I)),G444=1),MAX($H$3:OFFSET(H444,-1,0))+1,0)</f>
        <v>0</v>
      </c>
      <c r="I444" s="3" t="s">
        <v>82</v>
      </c>
      <c r="J444" s="4" t="str">
        <f t="shared" ca="1" si="15"/>
        <v/>
      </c>
      <c r="K444" s="2">
        <f>IF(ISNUMBER(SEARCH(Лист2!$B$4,F:F)),1,0)</f>
        <v>0</v>
      </c>
      <c r="L444" s="14">
        <f>IF(ISNUMBER(SEARCH(Лист2!$B$5,I:I)),1,0)+K444</f>
        <v>0</v>
      </c>
      <c r="M444" s="3">
        <f ca="1">IF(AND(N444&lt;&gt;N443,ISNUMBER(SEARCH(Лист2!$B$6,N:N)),L444=2),MAX($M$3:OFFSET(M444,-1,0))+1,0)</f>
        <v>0</v>
      </c>
      <c r="N444" s="3" t="s">
        <v>774</v>
      </c>
    </row>
    <row r="445" spans="1:14" x14ac:dyDescent="0.25">
      <c r="A445" s="1" t="s">
        <v>10219</v>
      </c>
      <c r="B445" s="3" t="s">
        <v>4069</v>
      </c>
      <c r="C445" s="2">
        <f ca="1">IF(ISNUMBER(SEARCH(Лист2!$B$4,D:D)),MAX($C$3:OFFSET(C445,-1,0))+1,0)</f>
        <v>0</v>
      </c>
      <c r="E445" s="9" t="str">
        <f t="shared" ca="1" si="16"/>
        <v/>
      </c>
      <c r="F445" s="4" t="s">
        <v>3</v>
      </c>
      <c r="G445" s="2">
        <f>IF(ISNUMBER(SEARCH(Лист2!$B$4,F:F)),1,0)</f>
        <v>0</v>
      </c>
      <c r="H445" s="3">
        <f ca="1">IF(AND(I445&lt;&gt;I444,ISNUMBER(SEARCH(Лист2!$B$5,I:I)),G445=1),MAX($H$3:OFFSET(H445,-1,0))+1,0)</f>
        <v>0</v>
      </c>
      <c r="I445" s="3" t="s">
        <v>82</v>
      </c>
      <c r="J445" s="4" t="str">
        <f t="shared" ca="1" si="15"/>
        <v/>
      </c>
      <c r="K445" s="2">
        <f>IF(ISNUMBER(SEARCH(Лист2!$B$4,F:F)),1,0)</f>
        <v>0</v>
      </c>
      <c r="L445" s="14">
        <f>IF(ISNUMBER(SEARCH(Лист2!$B$5,I:I)),1,0)+K445</f>
        <v>0</v>
      </c>
      <c r="M445" s="3">
        <f ca="1">IF(AND(N445&lt;&gt;N444,ISNUMBER(SEARCH(Лист2!$B$6,N:N)),L445=2),MAX($M$3:OFFSET(M445,-1,0))+1,0)</f>
        <v>0</v>
      </c>
      <c r="N445" s="3" t="s">
        <v>775</v>
      </c>
    </row>
    <row r="446" spans="1:14" x14ac:dyDescent="0.25">
      <c r="A446" s="1" t="s">
        <v>10220</v>
      </c>
      <c r="B446" s="3" t="s">
        <v>4070</v>
      </c>
      <c r="C446" s="2">
        <f ca="1">IF(ISNUMBER(SEARCH(Лист2!$B$4,D:D)),MAX($C$3:OFFSET(C446,-1,0))+1,0)</f>
        <v>0</v>
      </c>
      <c r="E446" s="9" t="str">
        <f t="shared" ca="1" si="16"/>
        <v/>
      </c>
      <c r="F446" s="4" t="s">
        <v>3</v>
      </c>
      <c r="G446" s="2">
        <f>IF(ISNUMBER(SEARCH(Лист2!$B$4,F:F)),1,0)</f>
        <v>0</v>
      </c>
      <c r="H446" s="3">
        <f ca="1">IF(AND(I446&lt;&gt;I445,ISNUMBER(SEARCH(Лист2!$B$5,I:I)),G446=1),MAX($H$3:OFFSET(H446,-1,0))+1,0)</f>
        <v>0</v>
      </c>
      <c r="I446" s="3" t="s">
        <v>82</v>
      </c>
      <c r="J446" s="4" t="str">
        <f t="shared" ca="1" si="15"/>
        <v/>
      </c>
      <c r="K446" s="2">
        <f>IF(ISNUMBER(SEARCH(Лист2!$B$4,F:F)),1,0)</f>
        <v>0</v>
      </c>
      <c r="L446" s="14">
        <f>IF(ISNUMBER(SEARCH(Лист2!$B$5,I:I)),1,0)+K446</f>
        <v>0</v>
      </c>
      <c r="M446" s="3">
        <f ca="1">IF(AND(N446&lt;&gt;N445,ISNUMBER(SEARCH(Лист2!$B$6,N:N)),L446=2),MAX($M$3:OFFSET(M446,-1,0))+1,0)</f>
        <v>0</v>
      </c>
      <c r="N446" s="3" t="s">
        <v>776</v>
      </c>
    </row>
    <row r="447" spans="1:14" x14ac:dyDescent="0.25">
      <c r="A447" s="1" t="s">
        <v>10221</v>
      </c>
      <c r="B447" s="3" t="s">
        <v>4071</v>
      </c>
      <c r="C447" s="2">
        <f ca="1">IF(ISNUMBER(SEARCH(Лист2!$B$4,D:D)),MAX($C$3:OFFSET(C447,-1,0))+1,0)</f>
        <v>0</v>
      </c>
      <c r="E447" s="9" t="str">
        <f t="shared" ca="1" si="16"/>
        <v/>
      </c>
      <c r="F447" s="4" t="s">
        <v>3</v>
      </c>
      <c r="G447" s="2">
        <f>IF(ISNUMBER(SEARCH(Лист2!$B$4,F:F)),1,0)</f>
        <v>0</v>
      </c>
      <c r="H447" s="3">
        <f ca="1">IF(AND(I447&lt;&gt;I446,ISNUMBER(SEARCH(Лист2!$B$5,I:I)),G447=1),MAX($H$3:OFFSET(H447,-1,0))+1,0)</f>
        <v>0</v>
      </c>
      <c r="I447" s="3" t="s">
        <v>82</v>
      </c>
      <c r="J447" s="4" t="str">
        <f t="shared" ca="1" si="15"/>
        <v/>
      </c>
      <c r="K447" s="2">
        <f>IF(ISNUMBER(SEARCH(Лист2!$B$4,F:F)),1,0)</f>
        <v>0</v>
      </c>
      <c r="L447" s="14">
        <f>IF(ISNUMBER(SEARCH(Лист2!$B$5,I:I)),1,0)+K447</f>
        <v>0</v>
      </c>
      <c r="M447" s="3">
        <f ca="1">IF(AND(N447&lt;&gt;N446,ISNUMBER(SEARCH(Лист2!$B$6,N:N)),L447=2),MAX($M$3:OFFSET(M447,-1,0))+1,0)</f>
        <v>0</v>
      </c>
      <c r="N447" s="3" t="s">
        <v>777</v>
      </c>
    </row>
    <row r="448" spans="1:14" x14ac:dyDescent="0.25">
      <c r="A448" s="1" t="s">
        <v>10222</v>
      </c>
      <c r="B448" s="3" t="s">
        <v>4072</v>
      </c>
      <c r="C448" s="2">
        <f ca="1">IF(ISNUMBER(SEARCH(Лист2!$B$4,D:D)),MAX($C$3:OFFSET(C448,-1,0))+1,0)</f>
        <v>0</v>
      </c>
      <c r="E448" s="9" t="str">
        <f t="shared" ca="1" si="16"/>
        <v/>
      </c>
      <c r="F448" s="4" t="s">
        <v>3</v>
      </c>
      <c r="G448" s="2">
        <f>IF(ISNUMBER(SEARCH(Лист2!$B$4,F:F)),1,0)</f>
        <v>0</v>
      </c>
      <c r="H448" s="3">
        <f ca="1">IF(AND(I448&lt;&gt;I447,ISNUMBER(SEARCH(Лист2!$B$5,I:I)),G448=1),MAX($H$3:OFFSET(H448,-1,0))+1,0)</f>
        <v>0</v>
      </c>
      <c r="I448" s="3" t="s">
        <v>82</v>
      </c>
      <c r="J448" s="4" t="str">
        <f t="shared" ca="1" si="15"/>
        <v/>
      </c>
      <c r="K448" s="2">
        <f>IF(ISNUMBER(SEARCH(Лист2!$B$4,F:F)),1,0)</f>
        <v>0</v>
      </c>
      <c r="L448" s="14">
        <f>IF(ISNUMBER(SEARCH(Лист2!$B$5,I:I)),1,0)+K448</f>
        <v>0</v>
      </c>
      <c r="M448" s="3">
        <f ca="1">IF(AND(N448&lt;&gt;N447,ISNUMBER(SEARCH(Лист2!$B$6,N:N)),L448=2),MAX($M$3:OFFSET(M448,-1,0))+1,0)</f>
        <v>0</v>
      </c>
      <c r="N448" s="3" t="s">
        <v>778</v>
      </c>
    </row>
    <row r="449" spans="1:14" x14ac:dyDescent="0.25">
      <c r="A449" s="1" t="s">
        <v>10223</v>
      </c>
      <c r="B449" s="3" t="s">
        <v>4073</v>
      </c>
      <c r="C449" s="2">
        <f ca="1">IF(ISNUMBER(SEARCH(Лист2!$B$4,D:D)),MAX($C$3:OFFSET(C449,-1,0))+1,0)</f>
        <v>0</v>
      </c>
      <c r="E449" s="9" t="str">
        <f t="shared" ca="1" si="16"/>
        <v/>
      </c>
      <c r="F449" s="4" t="s">
        <v>3</v>
      </c>
      <c r="G449" s="2">
        <f>IF(ISNUMBER(SEARCH(Лист2!$B$4,F:F)),1,0)</f>
        <v>0</v>
      </c>
      <c r="H449" s="3">
        <f ca="1">IF(AND(I449&lt;&gt;I448,ISNUMBER(SEARCH(Лист2!$B$5,I:I)),G449=1),MAX($H$3:OFFSET(H449,-1,0))+1,0)</f>
        <v>0</v>
      </c>
      <c r="I449" s="3" t="s">
        <v>82</v>
      </c>
      <c r="J449" s="4" t="str">
        <f t="shared" ca="1" si="15"/>
        <v/>
      </c>
      <c r="K449" s="2">
        <f>IF(ISNUMBER(SEARCH(Лист2!$B$4,F:F)),1,0)</f>
        <v>0</v>
      </c>
      <c r="L449" s="14">
        <f>IF(ISNUMBER(SEARCH(Лист2!$B$5,I:I)),1,0)+K449</f>
        <v>0</v>
      </c>
      <c r="M449" s="3">
        <f ca="1">IF(AND(N449&lt;&gt;N448,ISNUMBER(SEARCH(Лист2!$B$6,N:N)),L449=2),MAX($M$3:OFFSET(M449,-1,0))+1,0)</f>
        <v>0</v>
      </c>
      <c r="N449" s="3" t="s">
        <v>779</v>
      </c>
    </row>
    <row r="450" spans="1:14" x14ac:dyDescent="0.25">
      <c r="A450" s="1" t="s">
        <v>10224</v>
      </c>
      <c r="B450" s="3" t="s">
        <v>4074</v>
      </c>
      <c r="C450" s="2">
        <f ca="1">IF(ISNUMBER(SEARCH(Лист2!$B$4,D:D)),MAX($C$3:OFFSET(C450,-1,0))+1,0)</f>
        <v>0</v>
      </c>
      <c r="E450" s="9" t="str">
        <f t="shared" ca="1" si="16"/>
        <v/>
      </c>
      <c r="F450" s="4" t="s">
        <v>3</v>
      </c>
      <c r="G450" s="2">
        <f>IF(ISNUMBER(SEARCH(Лист2!$B$4,F:F)),1,0)</f>
        <v>0</v>
      </c>
      <c r="H450" s="3">
        <f ca="1">IF(AND(I450&lt;&gt;I449,ISNUMBER(SEARCH(Лист2!$B$5,I:I)),G450=1),MAX($H$3:OFFSET(H450,-1,0))+1,0)</f>
        <v>0</v>
      </c>
      <c r="I450" s="3" t="s">
        <v>82</v>
      </c>
      <c r="J450" s="4" t="str">
        <f t="shared" ca="1" si="15"/>
        <v/>
      </c>
      <c r="K450" s="2">
        <f>IF(ISNUMBER(SEARCH(Лист2!$B$4,F:F)),1,0)</f>
        <v>0</v>
      </c>
      <c r="L450" s="14">
        <f>IF(ISNUMBER(SEARCH(Лист2!$B$5,I:I)),1,0)+K450</f>
        <v>0</v>
      </c>
      <c r="M450" s="3">
        <f ca="1">IF(AND(N450&lt;&gt;N449,ISNUMBER(SEARCH(Лист2!$B$6,N:N)),L450=2),MAX($M$3:OFFSET(M450,-1,0))+1,0)</f>
        <v>0</v>
      </c>
      <c r="N450" s="3" t="s">
        <v>780</v>
      </c>
    </row>
    <row r="451" spans="1:14" x14ac:dyDescent="0.25">
      <c r="A451" s="1" t="s">
        <v>10225</v>
      </c>
      <c r="B451" s="3" t="s">
        <v>4075</v>
      </c>
      <c r="C451" s="2">
        <f ca="1">IF(ISNUMBER(SEARCH(Лист2!$B$4,D:D)),MAX($C$3:OFFSET(C451,-1,0))+1,0)</f>
        <v>0</v>
      </c>
      <c r="E451" s="9" t="str">
        <f t="shared" ca="1" si="16"/>
        <v/>
      </c>
      <c r="F451" s="4" t="s">
        <v>3</v>
      </c>
      <c r="G451" s="2">
        <f>IF(ISNUMBER(SEARCH(Лист2!$B$4,F:F)),1,0)</f>
        <v>0</v>
      </c>
      <c r="H451" s="3">
        <f ca="1">IF(AND(I451&lt;&gt;I450,ISNUMBER(SEARCH(Лист2!$B$5,I:I)),G451=1),MAX($H$3:OFFSET(H451,-1,0))+1,0)</f>
        <v>0</v>
      </c>
      <c r="I451" s="3" t="s">
        <v>82</v>
      </c>
      <c r="J451" s="4" t="str">
        <f t="shared" ca="1" si="15"/>
        <v/>
      </c>
      <c r="K451" s="2">
        <f>IF(ISNUMBER(SEARCH(Лист2!$B$4,F:F)),1,0)</f>
        <v>0</v>
      </c>
      <c r="L451" s="14">
        <f>IF(ISNUMBER(SEARCH(Лист2!$B$5,I:I)),1,0)+K451</f>
        <v>0</v>
      </c>
      <c r="M451" s="3">
        <f ca="1">IF(AND(N451&lt;&gt;N450,ISNUMBER(SEARCH(Лист2!$B$6,N:N)),L451=2),MAX($M$3:OFFSET(M451,-1,0))+1,0)</f>
        <v>0</v>
      </c>
      <c r="N451" s="3" t="s">
        <v>781</v>
      </c>
    </row>
    <row r="452" spans="1:14" x14ac:dyDescent="0.25">
      <c r="A452" s="1" t="s">
        <v>10226</v>
      </c>
      <c r="B452" s="3" t="s">
        <v>4076</v>
      </c>
      <c r="C452" s="2">
        <f ca="1">IF(ISNUMBER(SEARCH(Лист2!$B$4,D:D)),MAX($C$3:OFFSET(C452,-1,0))+1,0)</f>
        <v>0</v>
      </c>
      <c r="E452" s="9" t="str">
        <f t="shared" ca="1" si="16"/>
        <v/>
      </c>
      <c r="F452" s="4" t="s">
        <v>3</v>
      </c>
      <c r="G452" s="2">
        <f>IF(ISNUMBER(SEARCH(Лист2!$B$4,F:F)),1,0)</f>
        <v>0</v>
      </c>
      <c r="H452" s="3">
        <f ca="1">IF(AND(I452&lt;&gt;I451,ISNUMBER(SEARCH(Лист2!$B$5,I:I)),G452=1),MAX($H$3:OFFSET(H452,-1,0))+1,0)</f>
        <v>0</v>
      </c>
      <c r="I452" s="3" t="s">
        <v>82</v>
      </c>
      <c r="J452" s="4" t="str">
        <f t="shared" ref="J452:J515" ca="1" si="17">IFERROR(INDEX(I:I,MATCH(ROW(J452)-ROW($E$3),H:H,0)),"")</f>
        <v/>
      </c>
      <c r="K452" s="2">
        <f>IF(ISNUMBER(SEARCH(Лист2!$B$4,F:F)),1,0)</f>
        <v>0</v>
      </c>
      <c r="L452" s="14">
        <f>IF(ISNUMBER(SEARCH(Лист2!$B$5,I:I)),1,0)+K452</f>
        <v>0</v>
      </c>
      <c r="M452" s="3">
        <f ca="1">IF(AND(N452&lt;&gt;N451,ISNUMBER(SEARCH(Лист2!$B$6,N:N)),L452=2),MAX($M$3:OFFSET(M452,-1,0))+1,0)</f>
        <v>0</v>
      </c>
      <c r="N452" s="3" t="s">
        <v>602</v>
      </c>
    </row>
    <row r="453" spans="1:14" x14ac:dyDescent="0.25">
      <c r="A453" s="1" t="s">
        <v>10227</v>
      </c>
      <c r="B453" s="3" t="s">
        <v>4077</v>
      </c>
      <c r="C453" s="2">
        <f ca="1">IF(ISNUMBER(SEARCH(Лист2!$B$4,D:D)),MAX($C$3:OFFSET(C453,-1,0))+1,0)</f>
        <v>0</v>
      </c>
      <c r="E453" s="9" t="str">
        <f t="shared" ref="E453:E516" ca="1" si="18">IFERROR(INDEX(D:D,MATCH(ROW(E453)-ROW($E$3),C:C,0)),"")</f>
        <v/>
      </c>
      <c r="F453" s="4" t="s">
        <v>3</v>
      </c>
      <c r="G453" s="2">
        <f>IF(ISNUMBER(SEARCH(Лист2!$B$4,F:F)),1,0)</f>
        <v>0</v>
      </c>
      <c r="H453" s="3">
        <f ca="1">IF(AND(I453&lt;&gt;I452,ISNUMBER(SEARCH(Лист2!$B$5,I:I)),G453=1),MAX($H$3:OFFSET(H453,-1,0))+1,0)</f>
        <v>0</v>
      </c>
      <c r="I453" s="3" t="s">
        <v>82</v>
      </c>
      <c r="J453" s="4" t="str">
        <f t="shared" ca="1" si="17"/>
        <v/>
      </c>
      <c r="K453" s="2">
        <f>IF(ISNUMBER(SEARCH(Лист2!$B$4,F:F)),1,0)</f>
        <v>0</v>
      </c>
      <c r="L453" s="14">
        <f>IF(ISNUMBER(SEARCH(Лист2!$B$5,I:I)),1,0)+K453</f>
        <v>0</v>
      </c>
      <c r="M453" s="3">
        <f ca="1">IF(AND(N453&lt;&gt;N452,ISNUMBER(SEARCH(Лист2!$B$6,N:N)),L453=2),MAX($M$3:OFFSET(M453,-1,0))+1,0)</f>
        <v>0</v>
      </c>
      <c r="N453" s="3" t="s">
        <v>782</v>
      </c>
    </row>
    <row r="454" spans="1:14" x14ac:dyDescent="0.25">
      <c r="A454" s="1" t="s">
        <v>10228</v>
      </c>
      <c r="B454" s="3" t="s">
        <v>4078</v>
      </c>
      <c r="C454" s="2">
        <f ca="1">IF(ISNUMBER(SEARCH(Лист2!$B$4,D:D)),MAX($C$3:OFFSET(C454,-1,0))+1,0)</f>
        <v>0</v>
      </c>
      <c r="E454" s="9" t="str">
        <f t="shared" ca="1" si="18"/>
        <v/>
      </c>
      <c r="F454" s="4" t="s">
        <v>3</v>
      </c>
      <c r="G454" s="2">
        <f>IF(ISNUMBER(SEARCH(Лист2!$B$4,F:F)),1,0)</f>
        <v>0</v>
      </c>
      <c r="H454" s="3">
        <f ca="1">IF(AND(I454&lt;&gt;I453,ISNUMBER(SEARCH(Лист2!$B$5,I:I)),G454=1),MAX($H$3:OFFSET(H454,-1,0))+1,0)</f>
        <v>0</v>
      </c>
      <c r="I454" s="3" t="s">
        <v>82</v>
      </c>
      <c r="J454" s="4" t="str">
        <f t="shared" ca="1" si="17"/>
        <v/>
      </c>
      <c r="K454" s="2">
        <f>IF(ISNUMBER(SEARCH(Лист2!$B$4,F:F)),1,0)</f>
        <v>0</v>
      </c>
      <c r="L454" s="14">
        <f>IF(ISNUMBER(SEARCH(Лист2!$B$5,I:I)),1,0)+K454</f>
        <v>0</v>
      </c>
      <c r="M454" s="3">
        <f ca="1">IF(AND(N454&lt;&gt;N453,ISNUMBER(SEARCH(Лист2!$B$6,N:N)),L454=2),MAX($M$3:OFFSET(M454,-1,0))+1,0)</f>
        <v>0</v>
      </c>
      <c r="N454" s="3" t="s">
        <v>783</v>
      </c>
    </row>
    <row r="455" spans="1:14" x14ac:dyDescent="0.25">
      <c r="A455" s="1" t="s">
        <v>10229</v>
      </c>
      <c r="B455" s="3" t="s">
        <v>4079</v>
      </c>
      <c r="C455" s="2">
        <f ca="1">IF(ISNUMBER(SEARCH(Лист2!$B$4,D:D)),MAX($C$3:OFFSET(C455,-1,0))+1,0)</f>
        <v>0</v>
      </c>
      <c r="E455" s="9" t="str">
        <f t="shared" ca="1" si="18"/>
        <v/>
      </c>
      <c r="F455" s="4" t="s">
        <v>3</v>
      </c>
      <c r="G455" s="2">
        <f>IF(ISNUMBER(SEARCH(Лист2!$B$4,F:F)),1,0)</f>
        <v>0</v>
      </c>
      <c r="H455" s="3">
        <f ca="1">IF(AND(I455&lt;&gt;I454,ISNUMBER(SEARCH(Лист2!$B$5,I:I)),G455=1),MAX($H$3:OFFSET(H455,-1,0))+1,0)</f>
        <v>0</v>
      </c>
      <c r="I455" s="3" t="s">
        <v>82</v>
      </c>
      <c r="J455" s="4" t="str">
        <f t="shared" ca="1" si="17"/>
        <v/>
      </c>
      <c r="K455" s="2">
        <f>IF(ISNUMBER(SEARCH(Лист2!$B$4,F:F)),1,0)</f>
        <v>0</v>
      </c>
      <c r="L455" s="14">
        <f>IF(ISNUMBER(SEARCH(Лист2!$B$5,I:I)),1,0)+K455</f>
        <v>0</v>
      </c>
      <c r="M455" s="3">
        <f ca="1">IF(AND(N455&lt;&gt;N454,ISNUMBER(SEARCH(Лист2!$B$6,N:N)),L455=2),MAX($M$3:OFFSET(M455,-1,0))+1,0)</f>
        <v>0</v>
      </c>
      <c r="N455" s="3" t="s">
        <v>784</v>
      </c>
    </row>
    <row r="456" spans="1:14" x14ac:dyDescent="0.25">
      <c r="A456" s="1" t="s">
        <v>10230</v>
      </c>
      <c r="B456" s="3" t="s">
        <v>4080</v>
      </c>
      <c r="C456" s="2">
        <f ca="1">IF(ISNUMBER(SEARCH(Лист2!$B$4,D:D)),MAX($C$3:OFFSET(C456,-1,0))+1,0)</f>
        <v>0</v>
      </c>
      <c r="E456" s="9" t="str">
        <f t="shared" ca="1" si="18"/>
        <v/>
      </c>
      <c r="F456" s="4" t="s">
        <v>3</v>
      </c>
      <c r="G456" s="2">
        <f>IF(ISNUMBER(SEARCH(Лист2!$B$4,F:F)),1,0)</f>
        <v>0</v>
      </c>
      <c r="H456" s="3">
        <f ca="1">IF(AND(I456&lt;&gt;I455,ISNUMBER(SEARCH(Лист2!$B$5,I:I)),G456=1),MAX($H$3:OFFSET(H456,-1,0))+1,0)</f>
        <v>0</v>
      </c>
      <c r="I456" s="3" t="s">
        <v>82</v>
      </c>
      <c r="J456" s="4" t="str">
        <f t="shared" ca="1" si="17"/>
        <v/>
      </c>
      <c r="K456" s="2">
        <f>IF(ISNUMBER(SEARCH(Лист2!$B$4,F:F)),1,0)</f>
        <v>0</v>
      </c>
      <c r="L456" s="14">
        <f>IF(ISNUMBER(SEARCH(Лист2!$B$5,I:I)),1,0)+K456</f>
        <v>0</v>
      </c>
      <c r="M456" s="3">
        <f ca="1">IF(AND(N456&lt;&gt;N455,ISNUMBER(SEARCH(Лист2!$B$6,N:N)),L456=2),MAX($M$3:OFFSET(M456,-1,0))+1,0)</f>
        <v>0</v>
      </c>
      <c r="N456" s="3" t="s">
        <v>785</v>
      </c>
    </row>
    <row r="457" spans="1:14" x14ac:dyDescent="0.25">
      <c r="A457" s="1" t="s">
        <v>10231</v>
      </c>
      <c r="B457" s="3" t="s">
        <v>4081</v>
      </c>
      <c r="C457" s="2">
        <f ca="1">IF(ISNUMBER(SEARCH(Лист2!$B$4,D:D)),MAX($C$3:OFFSET(C457,-1,0))+1,0)</f>
        <v>0</v>
      </c>
      <c r="E457" s="9" t="str">
        <f t="shared" ca="1" si="18"/>
        <v/>
      </c>
      <c r="F457" s="4" t="s">
        <v>3</v>
      </c>
      <c r="G457" s="2">
        <f>IF(ISNUMBER(SEARCH(Лист2!$B$4,F:F)),1,0)</f>
        <v>0</v>
      </c>
      <c r="H457" s="3">
        <f ca="1">IF(AND(I457&lt;&gt;I456,ISNUMBER(SEARCH(Лист2!$B$5,I:I)),G457=1),MAX($H$3:OFFSET(H457,-1,0))+1,0)</f>
        <v>0</v>
      </c>
      <c r="I457" s="3" t="s">
        <v>83</v>
      </c>
      <c r="J457" s="4" t="str">
        <f t="shared" ca="1" si="17"/>
        <v/>
      </c>
      <c r="K457" s="2">
        <f>IF(ISNUMBER(SEARCH(Лист2!$B$4,F:F)),1,0)</f>
        <v>0</v>
      </c>
      <c r="L457" s="14">
        <f>IF(ISNUMBER(SEARCH(Лист2!$B$5,I:I)),1,0)+K457</f>
        <v>0</v>
      </c>
      <c r="M457" s="3">
        <f ca="1">IF(AND(N457&lt;&gt;N456,ISNUMBER(SEARCH(Лист2!$B$6,N:N)),L457=2),MAX($M$3:OFFSET(M457,-1,0))+1,0)</f>
        <v>0</v>
      </c>
      <c r="N457" s="3" t="s">
        <v>786</v>
      </c>
    </row>
    <row r="458" spans="1:14" x14ac:dyDescent="0.25">
      <c r="A458" s="1" t="s">
        <v>10232</v>
      </c>
      <c r="B458" s="3" t="s">
        <v>4082</v>
      </c>
      <c r="C458" s="2">
        <f ca="1">IF(ISNUMBER(SEARCH(Лист2!$B$4,D:D)),MAX($C$3:OFFSET(C458,-1,0))+1,0)</f>
        <v>0</v>
      </c>
      <c r="E458" s="9" t="str">
        <f t="shared" ca="1" si="18"/>
        <v/>
      </c>
      <c r="F458" s="4" t="s">
        <v>3</v>
      </c>
      <c r="G458" s="2">
        <f>IF(ISNUMBER(SEARCH(Лист2!$B$4,F:F)),1,0)</f>
        <v>0</v>
      </c>
      <c r="H458" s="3">
        <f ca="1">IF(AND(I458&lt;&gt;I457,ISNUMBER(SEARCH(Лист2!$B$5,I:I)),G458=1),MAX($H$3:OFFSET(H458,-1,0))+1,0)</f>
        <v>0</v>
      </c>
      <c r="I458" s="3" t="s">
        <v>83</v>
      </c>
      <c r="J458" s="4" t="str">
        <f t="shared" ca="1" si="17"/>
        <v/>
      </c>
      <c r="K458" s="2">
        <f>IF(ISNUMBER(SEARCH(Лист2!$B$4,F:F)),1,0)</f>
        <v>0</v>
      </c>
      <c r="L458" s="14">
        <f>IF(ISNUMBER(SEARCH(Лист2!$B$5,I:I)),1,0)+K458</f>
        <v>0</v>
      </c>
      <c r="M458" s="3">
        <f ca="1">IF(AND(N458&lt;&gt;N457,ISNUMBER(SEARCH(Лист2!$B$6,N:N)),L458=2),MAX($M$3:OFFSET(M458,-1,0))+1,0)</f>
        <v>0</v>
      </c>
      <c r="N458" s="3" t="s">
        <v>787</v>
      </c>
    </row>
    <row r="459" spans="1:14" x14ac:dyDescent="0.25">
      <c r="A459" s="1" t="s">
        <v>10233</v>
      </c>
      <c r="B459" s="3" t="s">
        <v>4083</v>
      </c>
      <c r="C459" s="2">
        <f ca="1">IF(ISNUMBER(SEARCH(Лист2!$B$4,D:D)),MAX($C$3:OFFSET(C459,-1,0))+1,0)</f>
        <v>0</v>
      </c>
      <c r="E459" s="9" t="str">
        <f t="shared" ca="1" si="18"/>
        <v/>
      </c>
      <c r="F459" s="4" t="s">
        <v>3</v>
      </c>
      <c r="G459" s="2">
        <f>IF(ISNUMBER(SEARCH(Лист2!$B$4,F:F)),1,0)</f>
        <v>0</v>
      </c>
      <c r="H459" s="3">
        <f ca="1">IF(AND(I459&lt;&gt;I458,ISNUMBER(SEARCH(Лист2!$B$5,I:I)),G459=1),MAX($H$3:OFFSET(H459,-1,0))+1,0)</f>
        <v>0</v>
      </c>
      <c r="I459" s="3" t="s">
        <v>83</v>
      </c>
      <c r="J459" s="4" t="str">
        <f t="shared" ca="1" si="17"/>
        <v/>
      </c>
      <c r="K459" s="2">
        <f>IF(ISNUMBER(SEARCH(Лист2!$B$4,F:F)),1,0)</f>
        <v>0</v>
      </c>
      <c r="L459" s="14">
        <f>IF(ISNUMBER(SEARCH(Лист2!$B$5,I:I)),1,0)+K459</f>
        <v>0</v>
      </c>
      <c r="M459" s="3">
        <f ca="1">IF(AND(N459&lt;&gt;N458,ISNUMBER(SEARCH(Лист2!$B$6,N:N)),L459=2),MAX($M$3:OFFSET(M459,-1,0))+1,0)</f>
        <v>0</v>
      </c>
      <c r="N459" s="3" t="s">
        <v>788</v>
      </c>
    </row>
    <row r="460" spans="1:14" x14ac:dyDescent="0.25">
      <c r="A460" s="1" t="s">
        <v>10234</v>
      </c>
      <c r="B460" s="3" t="s">
        <v>4084</v>
      </c>
      <c r="C460" s="2">
        <f ca="1">IF(ISNUMBER(SEARCH(Лист2!$B$4,D:D)),MAX($C$3:OFFSET(C460,-1,0))+1,0)</f>
        <v>0</v>
      </c>
      <c r="E460" s="9" t="str">
        <f t="shared" ca="1" si="18"/>
        <v/>
      </c>
      <c r="F460" s="4" t="s">
        <v>3</v>
      </c>
      <c r="G460" s="2">
        <f>IF(ISNUMBER(SEARCH(Лист2!$B$4,F:F)),1,0)</f>
        <v>0</v>
      </c>
      <c r="H460" s="3">
        <f ca="1">IF(AND(I460&lt;&gt;I459,ISNUMBER(SEARCH(Лист2!$B$5,I:I)),G460=1),MAX($H$3:OFFSET(H460,-1,0))+1,0)</f>
        <v>0</v>
      </c>
      <c r="I460" s="3" t="s">
        <v>83</v>
      </c>
      <c r="J460" s="4" t="str">
        <f t="shared" ca="1" si="17"/>
        <v/>
      </c>
      <c r="K460" s="2">
        <f>IF(ISNUMBER(SEARCH(Лист2!$B$4,F:F)),1,0)</f>
        <v>0</v>
      </c>
      <c r="L460" s="14">
        <f>IF(ISNUMBER(SEARCH(Лист2!$B$5,I:I)),1,0)+K460</f>
        <v>0</v>
      </c>
      <c r="M460" s="3">
        <f ca="1">IF(AND(N460&lt;&gt;N459,ISNUMBER(SEARCH(Лист2!$B$6,N:N)),L460=2),MAX($M$3:OFFSET(M460,-1,0))+1,0)</f>
        <v>0</v>
      </c>
      <c r="N460" s="3" t="s">
        <v>789</v>
      </c>
    </row>
    <row r="461" spans="1:14" x14ac:dyDescent="0.25">
      <c r="A461" s="1" t="s">
        <v>10235</v>
      </c>
      <c r="B461" s="3" t="s">
        <v>4085</v>
      </c>
      <c r="C461" s="2">
        <f ca="1">IF(ISNUMBER(SEARCH(Лист2!$B$4,D:D)),MAX($C$3:OFFSET(C461,-1,0))+1,0)</f>
        <v>0</v>
      </c>
      <c r="E461" s="9" t="str">
        <f t="shared" ca="1" si="18"/>
        <v/>
      </c>
      <c r="F461" s="4" t="s">
        <v>3</v>
      </c>
      <c r="G461" s="2">
        <f>IF(ISNUMBER(SEARCH(Лист2!$B$4,F:F)),1,0)</f>
        <v>0</v>
      </c>
      <c r="H461" s="3">
        <f ca="1">IF(AND(I461&lt;&gt;I460,ISNUMBER(SEARCH(Лист2!$B$5,I:I)),G461=1),MAX($H$3:OFFSET(H461,-1,0))+1,0)</f>
        <v>0</v>
      </c>
      <c r="I461" s="3" t="s">
        <v>83</v>
      </c>
      <c r="J461" s="4" t="str">
        <f t="shared" ca="1" si="17"/>
        <v/>
      </c>
      <c r="K461" s="2">
        <f>IF(ISNUMBER(SEARCH(Лист2!$B$4,F:F)),1,0)</f>
        <v>0</v>
      </c>
      <c r="L461" s="14">
        <f>IF(ISNUMBER(SEARCH(Лист2!$B$5,I:I)),1,0)+K461</f>
        <v>0</v>
      </c>
      <c r="M461" s="3">
        <f ca="1">IF(AND(N461&lt;&gt;N460,ISNUMBER(SEARCH(Лист2!$B$6,N:N)),L461=2),MAX($M$3:OFFSET(M461,-1,0))+1,0)</f>
        <v>0</v>
      </c>
      <c r="N461" s="3" t="s">
        <v>778</v>
      </c>
    </row>
    <row r="462" spans="1:14" x14ac:dyDescent="0.25">
      <c r="A462" s="1" t="s">
        <v>10236</v>
      </c>
      <c r="B462" s="3" t="s">
        <v>4086</v>
      </c>
      <c r="C462" s="2">
        <f ca="1">IF(ISNUMBER(SEARCH(Лист2!$B$4,D:D)),MAX($C$3:OFFSET(C462,-1,0))+1,0)</f>
        <v>0</v>
      </c>
      <c r="E462" s="9" t="str">
        <f t="shared" ca="1" si="18"/>
        <v/>
      </c>
      <c r="F462" s="4" t="s">
        <v>3</v>
      </c>
      <c r="G462" s="2">
        <f>IF(ISNUMBER(SEARCH(Лист2!$B$4,F:F)),1,0)</f>
        <v>0</v>
      </c>
      <c r="H462" s="3">
        <f ca="1">IF(AND(I462&lt;&gt;I461,ISNUMBER(SEARCH(Лист2!$B$5,I:I)),G462=1),MAX($H$3:OFFSET(H462,-1,0))+1,0)</f>
        <v>0</v>
      </c>
      <c r="I462" s="3" t="s">
        <v>83</v>
      </c>
      <c r="J462" s="4" t="str">
        <f t="shared" ca="1" si="17"/>
        <v/>
      </c>
      <c r="K462" s="2">
        <f>IF(ISNUMBER(SEARCH(Лист2!$B$4,F:F)),1,0)</f>
        <v>0</v>
      </c>
      <c r="L462" s="14">
        <f>IF(ISNUMBER(SEARCH(Лист2!$B$5,I:I)),1,0)+K462</f>
        <v>0</v>
      </c>
      <c r="M462" s="3">
        <f ca="1">IF(AND(N462&lt;&gt;N461,ISNUMBER(SEARCH(Лист2!$B$6,N:N)),L462=2),MAX($M$3:OFFSET(M462,-1,0))+1,0)</f>
        <v>0</v>
      </c>
      <c r="N462" s="3" t="s">
        <v>779</v>
      </c>
    </row>
    <row r="463" spans="1:14" x14ac:dyDescent="0.25">
      <c r="A463" s="1" t="s">
        <v>10237</v>
      </c>
      <c r="B463" s="3" t="s">
        <v>4087</v>
      </c>
      <c r="C463" s="2">
        <f ca="1">IF(ISNUMBER(SEARCH(Лист2!$B$4,D:D)),MAX($C$3:OFFSET(C463,-1,0))+1,0)</f>
        <v>0</v>
      </c>
      <c r="E463" s="9" t="str">
        <f t="shared" ca="1" si="18"/>
        <v/>
      </c>
      <c r="F463" s="4" t="s">
        <v>3</v>
      </c>
      <c r="G463" s="2">
        <f>IF(ISNUMBER(SEARCH(Лист2!$B$4,F:F)),1,0)</f>
        <v>0</v>
      </c>
      <c r="H463" s="3">
        <f ca="1">IF(AND(I463&lt;&gt;I462,ISNUMBER(SEARCH(Лист2!$B$5,I:I)),G463=1),MAX($H$3:OFFSET(H463,-1,0))+1,0)</f>
        <v>0</v>
      </c>
      <c r="I463" s="3" t="s">
        <v>83</v>
      </c>
      <c r="J463" s="4" t="str">
        <f t="shared" ca="1" si="17"/>
        <v/>
      </c>
      <c r="K463" s="2">
        <f>IF(ISNUMBER(SEARCH(Лист2!$B$4,F:F)),1,0)</f>
        <v>0</v>
      </c>
      <c r="L463" s="14">
        <f>IF(ISNUMBER(SEARCH(Лист2!$B$5,I:I)),1,0)+K463</f>
        <v>0</v>
      </c>
      <c r="M463" s="3">
        <f ca="1">IF(AND(N463&lt;&gt;N462,ISNUMBER(SEARCH(Лист2!$B$6,N:N)),L463=2),MAX($M$3:OFFSET(M463,-1,0))+1,0)</f>
        <v>0</v>
      </c>
      <c r="N463" s="3" t="s">
        <v>780</v>
      </c>
    </row>
    <row r="464" spans="1:14" x14ac:dyDescent="0.25">
      <c r="A464" s="1" t="s">
        <v>10238</v>
      </c>
      <c r="B464" s="3" t="s">
        <v>4088</v>
      </c>
      <c r="C464" s="2">
        <f ca="1">IF(ISNUMBER(SEARCH(Лист2!$B$4,D:D)),MAX($C$3:OFFSET(C464,-1,0))+1,0)</f>
        <v>0</v>
      </c>
      <c r="E464" s="9" t="str">
        <f t="shared" ca="1" si="18"/>
        <v/>
      </c>
      <c r="F464" s="4" t="s">
        <v>3</v>
      </c>
      <c r="G464" s="2">
        <f>IF(ISNUMBER(SEARCH(Лист2!$B$4,F:F)),1,0)</f>
        <v>0</v>
      </c>
      <c r="H464" s="3">
        <f ca="1">IF(AND(I464&lt;&gt;I463,ISNUMBER(SEARCH(Лист2!$B$5,I:I)),G464=1),MAX($H$3:OFFSET(H464,-1,0))+1,0)</f>
        <v>0</v>
      </c>
      <c r="I464" s="3" t="s">
        <v>83</v>
      </c>
      <c r="J464" s="4" t="str">
        <f t="shared" ca="1" si="17"/>
        <v/>
      </c>
      <c r="K464" s="2">
        <f>IF(ISNUMBER(SEARCH(Лист2!$B$4,F:F)),1,0)</f>
        <v>0</v>
      </c>
      <c r="L464" s="14">
        <f>IF(ISNUMBER(SEARCH(Лист2!$B$5,I:I)),1,0)+K464</f>
        <v>0</v>
      </c>
      <c r="M464" s="3">
        <f ca="1">IF(AND(N464&lt;&gt;N463,ISNUMBER(SEARCH(Лист2!$B$6,N:N)),L464=2),MAX($M$3:OFFSET(M464,-1,0))+1,0)</f>
        <v>0</v>
      </c>
      <c r="N464" s="3" t="s">
        <v>781</v>
      </c>
    </row>
    <row r="465" spans="1:14" x14ac:dyDescent="0.25">
      <c r="A465" s="1" t="s">
        <v>10239</v>
      </c>
      <c r="B465" s="3" t="s">
        <v>4089</v>
      </c>
      <c r="C465" s="2">
        <f ca="1">IF(ISNUMBER(SEARCH(Лист2!$B$4,D:D)),MAX($C$3:OFFSET(C465,-1,0))+1,0)</f>
        <v>0</v>
      </c>
      <c r="E465" s="9" t="str">
        <f t="shared" ca="1" si="18"/>
        <v/>
      </c>
      <c r="F465" s="4" t="s">
        <v>3</v>
      </c>
      <c r="G465" s="2">
        <f>IF(ISNUMBER(SEARCH(Лист2!$B$4,F:F)),1,0)</f>
        <v>0</v>
      </c>
      <c r="H465" s="3">
        <f ca="1">IF(AND(I465&lt;&gt;I464,ISNUMBER(SEARCH(Лист2!$B$5,I:I)),G465=1),MAX($H$3:OFFSET(H465,-1,0))+1,0)</f>
        <v>0</v>
      </c>
      <c r="I465" s="3" t="s">
        <v>83</v>
      </c>
      <c r="J465" s="4" t="str">
        <f t="shared" ca="1" si="17"/>
        <v/>
      </c>
      <c r="K465" s="2">
        <f>IF(ISNUMBER(SEARCH(Лист2!$B$4,F:F)),1,0)</f>
        <v>0</v>
      </c>
      <c r="L465" s="14">
        <f>IF(ISNUMBER(SEARCH(Лист2!$B$5,I:I)),1,0)+K465</f>
        <v>0</v>
      </c>
      <c r="M465" s="3">
        <f ca="1">IF(AND(N465&lt;&gt;N464,ISNUMBER(SEARCH(Лист2!$B$6,N:N)),L465=2),MAX($M$3:OFFSET(M465,-1,0))+1,0)</f>
        <v>0</v>
      </c>
      <c r="N465" s="3" t="s">
        <v>790</v>
      </c>
    </row>
    <row r="466" spans="1:14" x14ac:dyDescent="0.25">
      <c r="A466" s="1" t="s">
        <v>10240</v>
      </c>
      <c r="B466" s="3" t="s">
        <v>4090</v>
      </c>
      <c r="C466" s="2">
        <f ca="1">IF(ISNUMBER(SEARCH(Лист2!$B$4,D:D)),MAX($C$3:OFFSET(C466,-1,0))+1,0)</f>
        <v>0</v>
      </c>
      <c r="E466" s="9" t="str">
        <f t="shared" ca="1" si="18"/>
        <v/>
      </c>
      <c r="F466" s="4" t="s">
        <v>3</v>
      </c>
      <c r="G466" s="2">
        <f>IF(ISNUMBER(SEARCH(Лист2!$B$4,F:F)),1,0)</f>
        <v>0</v>
      </c>
      <c r="H466" s="3">
        <f ca="1">IF(AND(I466&lt;&gt;I465,ISNUMBER(SEARCH(Лист2!$B$5,I:I)),G466=1),MAX($H$3:OFFSET(H466,-1,0))+1,0)</f>
        <v>0</v>
      </c>
      <c r="I466" s="3" t="s">
        <v>83</v>
      </c>
      <c r="J466" s="4" t="str">
        <f t="shared" ca="1" si="17"/>
        <v/>
      </c>
      <c r="K466" s="2">
        <f>IF(ISNUMBER(SEARCH(Лист2!$B$4,F:F)),1,0)</f>
        <v>0</v>
      </c>
      <c r="L466" s="14">
        <f>IF(ISNUMBER(SEARCH(Лист2!$B$5,I:I)),1,0)+K466</f>
        <v>0</v>
      </c>
      <c r="M466" s="3">
        <f ca="1">IF(AND(N466&lt;&gt;N465,ISNUMBER(SEARCH(Лист2!$B$6,N:N)),L466=2),MAX($M$3:OFFSET(M466,-1,0))+1,0)</f>
        <v>0</v>
      </c>
      <c r="N466" s="3" t="s">
        <v>602</v>
      </c>
    </row>
    <row r="467" spans="1:14" x14ac:dyDescent="0.25">
      <c r="A467" s="1" t="s">
        <v>10241</v>
      </c>
      <c r="B467" s="3" t="s">
        <v>4091</v>
      </c>
      <c r="C467" s="2">
        <f ca="1">IF(ISNUMBER(SEARCH(Лист2!$B$4,D:D)),MAX($C$3:OFFSET(C467,-1,0))+1,0)</f>
        <v>0</v>
      </c>
      <c r="E467" s="9" t="str">
        <f t="shared" ca="1" si="18"/>
        <v/>
      </c>
      <c r="F467" s="4" t="s">
        <v>3</v>
      </c>
      <c r="G467" s="2">
        <f>IF(ISNUMBER(SEARCH(Лист2!$B$4,F:F)),1,0)</f>
        <v>0</v>
      </c>
      <c r="H467" s="3">
        <f ca="1">IF(AND(I467&lt;&gt;I466,ISNUMBER(SEARCH(Лист2!$B$5,I:I)),G467=1),MAX($H$3:OFFSET(H467,-1,0))+1,0)</f>
        <v>0</v>
      </c>
      <c r="I467" s="3" t="s">
        <v>83</v>
      </c>
      <c r="J467" s="4" t="str">
        <f t="shared" ca="1" si="17"/>
        <v/>
      </c>
      <c r="K467" s="2">
        <f>IF(ISNUMBER(SEARCH(Лист2!$B$4,F:F)),1,0)</f>
        <v>0</v>
      </c>
      <c r="L467" s="14">
        <f>IF(ISNUMBER(SEARCH(Лист2!$B$5,I:I)),1,0)+K467</f>
        <v>0</v>
      </c>
      <c r="M467" s="3">
        <f ca="1">IF(AND(N467&lt;&gt;N466,ISNUMBER(SEARCH(Лист2!$B$6,N:N)),L467=2),MAX($M$3:OFFSET(M467,-1,0))+1,0)</f>
        <v>0</v>
      </c>
      <c r="N467" s="3" t="s">
        <v>782</v>
      </c>
    </row>
    <row r="468" spans="1:14" x14ac:dyDescent="0.25">
      <c r="A468" s="1" t="s">
        <v>10242</v>
      </c>
      <c r="B468" s="3" t="s">
        <v>4092</v>
      </c>
      <c r="C468" s="2">
        <f ca="1">IF(ISNUMBER(SEARCH(Лист2!$B$4,D:D)),MAX($C$3:OFFSET(C468,-1,0))+1,0)</f>
        <v>0</v>
      </c>
      <c r="E468" s="9" t="str">
        <f t="shared" ca="1" si="18"/>
        <v/>
      </c>
      <c r="F468" s="4" t="s">
        <v>3</v>
      </c>
      <c r="G468" s="2">
        <f>IF(ISNUMBER(SEARCH(Лист2!$B$4,F:F)),1,0)</f>
        <v>0</v>
      </c>
      <c r="H468" s="3">
        <f ca="1">IF(AND(I468&lt;&gt;I467,ISNUMBER(SEARCH(Лист2!$B$5,I:I)),G468=1),MAX($H$3:OFFSET(H468,-1,0))+1,0)</f>
        <v>0</v>
      </c>
      <c r="I468" s="3" t="s">
        <v>83</v>
      </c>
      <c r="J468" s="4" t="str">
        <f t="shared" ca="1" si="17"/>
        <v/>
      </c>
      <c r="K468" s="2">
        <f>IF(ISNUMBER(SEARCH(Лист2!$B$4,F:F)),1,0)</f>
        <v>0</v>
      </c>
      <c r="L468" s="14">
        <f>IF(ISNUMBER(SEARCH(Лист2!$B$5,I:I)),1,0)+K468</f>
        <v>0</v>
      </c>
      <c r="M468" s="3">
        <f ca="1">IF(AND(N468&lt;&gt;N467,ISNUMBER(SEARCH(Лист2!$B$6,N:N)),L468=2),MAX($M$3:OFFSET(M468,-1,0))+1,0)</f>
        <v>0</v>
      </c>
      <c r="N468" s="3" t="s">
        <v>791</v>
      </c>
    </row>
    <row r="469" spans="1:14" x14ac:dyDescent="0.25">
      <c r="A469" s="1" t="s">
        <v>10243</v>
      </c>
      <c r="B469" s="3" t="s">
        <v>4093</v>
      </c>
      <c r="C469" s="2">
        <f ca="1">IF(ISNUMBER(SEARCH(Лист2!$B$4,D:D)),MAX($C$3:OFFSET(C469,-1,0))+1,0)</f>
        <v>0</v>
      </c>
      <c r="E469" s="9" t="str">
        <f t="shared" ca="1" si="18"/>
        <v/>
      </c>
      <c r="F469" s="4" t="s">
        <v>3</v>
      </c>
      <c r="G469" s="2">
        <f>IF(ISNUMBER(SEARCH(Лист2!$B$4,F:F)),1,0)</f>
        <v>0</v>
      </c>
      <c r="H469" s="3">
        <f ca="1">IF(AND(I469&lt;&gt;I468,ISNUMBER(SEARCH(Лист2!$B$5,I:I)),G469=1),MAX($H$3:OFFSET(H469,-1,0))+1,0)</f>
        <v>0</v>
      </c>
      <c r="I469" s="3" t="s">
        <v>83</v>
      </c>
      <c r="J469" s="4" t="str">
        <f t="shared" ca="1" si="17"/>
        <v/>
      </c>
      <c r="K469" s="2">
        <f>IF(ISNUMBER(SEARCH(Лист2!$B$4,F:F)),1,0)</f>
        <v>0</v>
      </c>
      <c r="L469" s="14">
        <f>IF(ISNUMBER(SEARCH(Лист2!$B$5,I:I)),1,0)+K469</f>
        <v>0</v>
      </c>
      <c r="M469" s="3">
        <f ca="1">IF(AND(N469&lt;&gt;N468,ISNUMBER(SEARCH(Лист2!$B$6,N:N)),L469=2),MAX($M$3:OFFSET(M469,-1,0))+1,0)</f>
        <v>0</v>
      </c>
      <c r="N469" s="3" t="s">
        <v>784</v>
      </c>
    </row>
    <row r="470" spans="1:14" x14ac:dyDescent="0.25">
      <c r="A470" s="1" t="s">
        <v>10244</v>
      </c>
      <c r="B470" s="3" t="s">
        <v>4094</v>
      </c>
      <c r="C470" s="2">
        <f ca="1">IF(ISNUMBER(SEARCH(Лист2!$B$4,D:D)),MAX($C$3:OFFSET(C470,-1,0))+1,0)</f>
        <v>0</v>
      </c>
      <c r="E470" s="9" t="str">
        <f t="shared" ca="1" si="18"/>
        <v/>
      </c>
      <c r="F470" s="4" t="s">
        <v>3</v>
      </c>
      <c r="G470" s="2">
        <f>IF(ISNUMBER(SEARCH(Лист2!$B$4,F:F)),1,0)</f>
        <v>0</v>
      </c>
      <c r="H470" s="3">
        <f ca="1">IF(AND(I470&lt;&gt;I469,ISNUMBER(SEARCH(Лист2!$B$5,I:I)),G470=1),MAX($H$3:OFFSET(H470,-1,0))+1,0)</f>
        <v>0</v>
      </c>
      <c r="I470" s="3" t="s">
        <v>83</v>
      </c>
      <c r="J470" s="4" t="str">
        <f t="shared" ca="1" si="17"/>
        <v/>
      </c>
      <c r="K470" s="2">
        <f>IF(ISNUMBER(SEARCH(Лист2!$B$4,F:F)),1,0)</f>
        <v>0</v>
      </c>
      <c r="L470" s="14">
        <f>IF(ISNUMBER(SEARCH(Лист2!$B$5,I:I)),1,0)+K470</f>
        <v>0</v>
      </c>
      <c r="M470" s="3">
        <f ca="1">IF(AND(N470&lt;&gt;N469,ISNUMBER(SEARCH(Лист2!$B$6,N:N)),L470=2),MAX($M$3:OFFSET(M470,-1,0))+1,0)</f>
        <v>0</v>
      </c>
      <c r="N470" s="3" t="s">
        <v>785</v>
      </c>
    </row>
    <row r="471" spans="1:14" x14ac:dyDescent="0.25">
      <c r="A471" s="1" t="s">
        <v>10245</v>
      </c>
      <c r="B471" s="3" t="s">
        <v>4095</v>
      </c>
      <c r="C471" s="2">
        <f ca="1">IF(ISNUMBER(SEARCH(Лист2!$B$4,D:D)),MAX($C$3:OFFSET(C471,-1,0))+1,0)</f>
        <v>0</v>
      </c>
      <c r="E471" s="9" t="str">
        <f t="shared" ca="1" si="18"/>
        <v/>
      </c>
      <c r="F471" s="4" t="s">
        <v>3</v>
      </c>
      <c r="G471" s="2">
        <f>IF(ISNUMBER(SEARCH(Лист2!$B$4,F:F)),1,0)</f>
        <v>0</v>
      </c>
      <c r="H471" s="3">
        <f ca="1">IF(AND(I471&lt;&gt;I470,ISNUMBER(SEARCH(Лист2!$B$5,I:I)),G471=1),MAX($H$3:OFFSET(H471,-1,0))+1,0)</f>
        <v>0</v>
      </c>
      <c r="I471" s="3" t="s">
        <v>84</v>
      </c>
      <c r="J471" s="4" t="str">
        <f t="shared" ca="1" si="17"/>
        <v/>
      </c>
      <c r="K471" s="2">
        <f>IF(ISNUMBER(SEARCH(Лист2!$B$4,F:F)),1,0)</f>
        <v>0</v>
      </c>
      <c r="L471" s="14">
        <f>IF(ISNUMBER(SEARCH(Лист2!$B$5,I:I)),1,0)+K471</f>
        <v>0</v>
      </c>
      <c r="M471" s="3">
        <f ca="1">IF(AND(N471&lt;&gt;N470,ISNUMBER(SEARCH(Лист2!$B$6,N:N)),L471=2),MAX($M$3:OFFSET(M471,-1,0))+1,0)</f>
        <v>0</v>
      </c>
      <c r="N471" s="3" t="s">
        <v>792</v>
      </c>
    </row>
    <row r="472" spans="1:14" x14ac:dyDescent="0.25">
      <c r="A472" s="1" t="s">
        <v>10245</v>
      </c>
      <c r="B472" s="3" t="s">
        <v>4096</v>
      </c>
      <c r="C472" s="2">
        <f ca="1">IF(ISNUMBER(SEARCH(Лист2!$B$4,D:D)),MAX($C$3:OFFSET(C472,-1,0))+1,0)</f>
        <v>0</v>
      </c>
      <c r="E472" s="9" t="str">
        <f t="shared" ca="1" si="18"/>
        <v/>
      </c>
      <c r="F472" s="4" t="s">
        <v>3</v>
      </c>
      <c r="G472" s="2">
        <f>IF(ISNUMBER(SEARCH(Лист2!$B$4,F:F)),1,0)</f>
        <v>0</v>
      </c>
      <c r="H472" s="3">
        <f ca="1">IF(AND(I472&lt;&gt;I471,ISNUMBER(SEARCH(Лист2!$B$5,I:I)),G472=1),MAX($H$3:OFFSET(H472,-1,0))+1,0)</f>
        <v>0</v>
      </c>
      <c r="I472" s="3" t="s">
        <v>84</v>
      </c>
      <c r="J472" s="4" t="str">
        <f t="shared" ca="1" si="17"/>
        <v/>
      </c>
      <c r="K472" s="2">
        <f>IF(ISNUMBER(SEARCH(Лист2!$B$4,F:F)),1,0)</f>
        <v>0</v>
      </c>
      <c r="L472" s="14">
        <f>IF(ISNUMBER(SEARCH(Лист2!$B$5,I:I)),1,0)+K472</f>
        <v>0</v>
      </c>
      <c r="M472" s="3">
        <f ca="1">IF(AND(N472&lt;&gt;N471,ISNUMBER(SEARCH(Лист2!$B$6,N:N)),L472=2),MAX($M$3:OFFSET(M472,-1,0))+1,0)</f>
        <v>0</v>
      </c>
      <c r="N472" s="3" t="s">
        <v>792</v>
      </c>
    </row>
    <row r="473" spans="1:14" x14ac:dyDescent="0.25">
      <c r="A473" s="1" t="s">
        <v>10245</v>
      </c>
      <c r="B473" s="3" t="s">
        <v>4097</v>
      </c>
      <c r="C473" s="2">
        <f ca="1">IF(ISNUMBER(SEARCH(Лист2!$B$4,D:D)),MAX($C$3:OFFSET(C473,-1,0))+1,0)</f>
        <v>0</v>
      </c>
      <c r="E473" s="9" t="str">
        <f t="shared" ca="1" si="18"/>
        <v/>
      </c>
      <c r="F473" s="4" t="s">
        <v>3</v>
      </c>
      <c r="G473" s="2">
        <f>IF(ISNUMBER(SEARCH(Лист2!$B$4,F:F)),1,0)</f>
        <v>0</v>
      </c>
      <c r="H473" s="3">
        <f ca="1">IF(AND(I473&lt;&gt;I472,ISNUMBER(SEARCH(Лист2!$B$5,I:I)),G473=1),MAX($H$3:OFFSET(H473,-1,0))+1,0)</f>
        <v>0</v>
      </c>
      <c r="I473" s="3" t="s">
        <v>84</v>
      </c>
      <c r="J473" s="4" t="str">
        <f t="shared" ca="1" si="17"/>
        <v/>
      </c>
      <c r="K473" s="2">
        <f>IF(ISNUMBER(SEARCH(Лист2!$B$4,F:F)),1,0)</f>
        <v>0</v>
      </c>
      <c r="L473" s="14">
        <f>IF(ISNUMBER(SEARCH(Лист2!$B$5,I:I)),1,0)+K473</f>
        <v>0</v>
      </c>
      <c r="M473" s="3">
        <f ca="1">IF(AND(N473&lt;&gt;N472,ISNUMBER(SEARCH(Лист2!$B$6,N:N)),L473=2),MAX($M$3:OFFSET(M473,-1,0))+1,0)</f>
        <v>0</v>
      </c>
      <c r="N473" s="3" t="s">
        <v>792</v>
      </c>
    </row>
    <row r="474" spans="1:14" x14ac:dyDescent="0.25">
      <c r="A474" s="1" t="s">
        <v>10246</v>
      </c>
      <c r="B474" s="3" t="s">
        <v>4098</v>
      </c>
      <c r="C474" s="2">
        <f ca="1">IF(ISNUMBER(SEARCH(Лист2!$B$4,D:D)),MAX($C$3:OFFSET(C474,-1,0))+1,0)</f>
        <v>0</v>
      </c>
      <c r="E474" s="9" t="str">
        <f t="shared" ca="1" si="18"/>
        <v/>
      </c>
      <c r="F474" s="4" t="s">
        <v>3</v>
      </c>
      <c r="G474" s="2">
        <f>IF(ISNUMBER(SEARCH(Лист2!$B$4,F:F)),1,0)</f>
        <v>0</v>
      </c>
      <c r="H474" s="3">
        <f ca="1">IF(AND(I474&lt;&gt;I473,ISNUMBER(SEARCH(Лист2!$B$5,I:I)),G474=1),MAX($H$3:OFFSET(H474,-1,0))+1,0)</f>
        <v>0</v>
      </c>
      <c r="I474" s="3" t="s">
        <v>84</v>
      </c>
      <c r="J474" s="4" t="str">
        <f t="shared" ca="1" si="17"/>
        <v/>
      </c>
      <c r="K474" s="2">
        <f>IF(ISNUMBER(SEARCH(Лист2!$B$4,F:F)),1,0)</f>
        <v>0</v>
      </c>
      <c r="L474" s="14">
        <f>IF(ISNUMBER(SEARCH(Лист2!$B$5,I:I)),1,0)+K474</f>
        <v>0</v>
      </c>
      <c r="M474" s="3">
        <f ca="1">IF(AND(N474&lt;&gt;N473,ISNUMBER(SEARCH(Лист2!$B$6,N:N)),L474=2),MAX($M$3:OFFSET(M474,-1,0))+1,0)</f>
        <v>0</v>
      </c>
      <c r="N474" s="3" t="s">
        <v>793</v>
      </c>
    </row>
    <row r="475" spans="1:14" x14ac:dyDescent="0.25">
      <c r="A475" s="1" t="s">
        <v>10246</v>
      </c>
      <c r="B475" s="3" t="s">
        <v>4099</v>
      </c>
      <c r="C475" s="2">
        <f ca="1">IF(ISNUMBER(SEARCH(Лист2!$B$4,D:D)),MAX($C$3:OFFSET(C475,-1,0))+1,0)</f>
        <v>0</v>
      </c>
      <c r="E475" s="9" t="str">
        <f t="shared" ca="1" si="18"/>
        <v/>
      </c>
      <c r="F475" s="4" t="s">
        <v>3</v>
      </c>
      <c r="G475" s="2">
        <f>IF(ISNUMBER(SEARCH(Лист2!$B$4,F:F)),1,0)</f>
        <v>0</v>
      </c>
      <c r="H475" s="3">
        <f ca="1">IF(AND(I475&lt;&gt;I474,ISNUMBER(SEARCH(Лист2!$B$5,I:I)),G475=1),MAX($H$3:OFFSET(H475,-1,0))+1,0)</f>
        <v>0</v>
      </c>
      <c r="I475" s="3" t="s">
        <v>84</v>
      </c>
      <c r="J475" s="4" t="str">
        <f t="shared" ca="1" si="17"/>
        <v/>
      </c>
      <c r="K475" s="2">
        <f>IF(ISNUMBER(SEARCH(Лист2!$B$4,F:F)),1,0)</f>
        <v>0</v>
      </c>
      <c r="L475" s="14">
        <f>IF(ISNUMBER(SEARCH(Лист2!$B$5,I:I)),1,0)+K475</f>
        <v>0</v>
      </c>
      <c r="M475" s="3">
        <f ca="1">IF(AND(N475&lt;&gt;N474,ISNUMBER(SEARCH(Лист2!$B$6,N:N)),L475=2),MAX($M$3:OFFSET(M475,-1,0))+1,0)</f>
        <v>0</v>
      </c>
      <c r="N475" s="3" t="s">
        <v>793</v>
      </c>
    </row>
    <row r="476" spans="1:14" x14ac:dyDescent="0.25">
      <c r="A476" s="1" t="s">
        <v>10246</v>
      </c>
      <c r="B476" s="3" t="s">
        <v>4100</v>
      </c>
      <c r="C476" s="2">
        <f ca="1">IF(ISNUMBER(SEARCH(Лист2!$B$4,D:D)),MAX($C$3:OFFSET(C476,-1,0))+1,0)</f>
        <v>0</v>
      </c>
      <c r="E476" s="9" t="str">
        <f t="shared" ca="1" si="18"/>
        <v/>
      </c>
      <c r="F476" s="4" t="s">
        <v>3</v>
      </c>
      <c r="G476" s="2">
        <f>IF(ISNUMBER(SEARCH(Лист2!$B$4,F:F)),1,0)</f>
        <v>0</v>
      </c>
      <c r="H476" s="3">
        <f ca="1">IF(AND(I476&lt;&gt;I475,ISNUMBER(SEARCH(Лист2!$B$5,I:I)),G476=1),MAX($H$3:OFFSET(H476,-1,0))+1,0)</f>
        <v>0</v>
      </c>
      <c r="I476" s="3" t="s">
        <v>84</v>
      </c>
      <c r="J476" s="4" t="str">
        <f t="shared" ca="1" si="17"/>
        <v/>
      </c>
      <c r="K476" s="2">
        <f>IF(ISNUMBER(SEARCH(Лист2!$B$4,F:F)),1,0)</f>
        <v>0</v>
      </c>
      <c r="L476" s="14">
        <f>IF(ISNUMBER(SEARCH(Лист2!$B$5,I:I)),1,0)+K476</f>
        <v>0</v>
      </c>
      <c r="M476" s="3">
        <f ca="1">IF(AND(N476&lt;&gt;N475,ISNUMBER(SEARCH(Лист2!$B$6,N:N)),L476=2),MAX($M$3:OFFSET(M476,-1,0))+1,0)</f>
        <v>0</v>
      </c>
      <c r="N476" s="3" t="s">
        <v>793</v>
      </c>
    </row>
    <row r="477" spans="1:14" x14ac:dyDescent="0.25">
      <c r="A477" s="1" t="s">
        <v>10247</v>
      </c>
      <c r="B477" s="3" t="s">
        <v>4101</v>
      </c>
      <c r="C477" s="2">
        <f ca="1">IF(ISNUMBER(SEARCH(Лист2!$B$4,D:D)),MAX($C$3:OFFSET(C477,-1,0))+1,0)</f>
        <v>0</v>
      </c>
      <c r="E477" s="9" t="str">
        <f t="shared" ca="1" si="18"/>
        <v/>
      </c>
      <c r="F477" s="4" t="s">
        <v>3</v>
      </c>
      <c r="G477" s="2">
        <f>IF(ISNUMBER(SEARCH(Лист2!$B$4,F:F)),1,0)</f>
        <v>0</v>
      </c>
      <c r="H477" s="3">
        <f ca="1">IF(AND(I477&lt;&gt;I476,ISNUMBER(SEARCH(Лист2!$B$5,I:I)),G477=1),MAX($H$3:OFFSET(H477,-1,0))+1,0)</f>
        <v>0</v>
      </c>
      <c r="I477" s="3" t="s">
        <v>84</v>
      </c>
      <c r="J477" s="4" t="str">
        <f t="shared" ca="1" si="17"/>
        <v/>
      </c>
      <c r="K477" s="2">
        <f>IF(ISNUMBER(SEARCH(Лист2!$B$4,F:F)),1,0)</f>
        <v>0</v>
      </c>
      <c r="L477" s="14">
        <f>IF(ISNUMBER(SEARCH(Лист2!$B$5,I:I)),1,0)+K477</f>
        <v>0</v>
      </c>
      <c r="M477" s="3">
        <f ca="1">IF(AND(N477&lt;&gt;N476,ISNUMBER(SEARCH(Лист2!$B$6,N:N)),L477=2),MAX($M$3:OFFSET(M477,-1,0))+1,0)</f>
        <v>0</v>
      </c>
      <c r="N477" s="3" t="s">
        <v>794</v>
      </c>
    </row>
    <row r="478" spans="1:14" x14ac:dyDescent="0.25">
      <c r="A478" s="1" t="s">
        <v>10248</v>
      </c>
      <c r="B478" s="3" t="s">
        <v>4102</v>
      </c>
      <c r="C478" s="2">
        <f ca="1">IF(ISNUMBER(SEARCH(Лист2!$B$4,D:D)),MAX($C$3:OFFSET(C478,-1,0))+1,0)</f>
        <v>0</v>
      </c>
      <c r="E478" s="9" t="str">
        <f t="shared" ca="1" si="18"/>
        <v/>
      </c>
      <c r="F478" s="4" t="s">
        <v>3</v>
      </c>
      <c r="G478" s="2">
        <f>IF(ISNUMBER(SEARCH(Лист2!$B$4,F:F)),1,0)</f>
        <v>0</v>
      </c>
      <c r="H478" s="3">
        <f ca="1">IF(AND(I478&lt;&gt;I477,ISNUMBER(SEARCH(Лист2!$B$5,I:I)),G478=1),MAX($H$3:OFFSET(H478,-1,0))+1,0)</f>
        <v>0</v>
      </c>
      <c r="I478" s="3" t="s">
        <v>84</v>
      </c>
      <c r="J478" s="4" t="str">
        <f t="shared" ca="1" si="17"/>
        <v/>
      </c>
      <c r="K478" s="2">
        <f>IF(ISNUMBER(SEARCH(Лист2!$B$4,F:F)),1,0)</f>
        <v>0</v>
      </c>
      <c r="L478" s="14">
        <f>IF(ISNUMBER(SEARCH(Лист2!$B$5,I:I)),1,0)+K478</f>
        <v>0</v>
      </c>
      <c r="M478" s="3">
        <f ca="1">IF(AND(N478&lt;&gt;N477,ISNUMBER(SEARCH(Лист2!$B$6,N:N)),L478=2),MAX($M$3:OFFSET(M478,-1,0))+1,0)</f>
        <v>0</v>
      </c>
      <c r="N478" s="3" t="s">
        <v>795</v>
      </c>
    </row>
    <row r="479" spans="1:14" x14ac:dyDescent="0.25">
      <c r="A479" s="1" t="s">
        <v>10249</v>
      </c>
      <c r="B479" s="3" t="s">
        <v>4103</v>
      </c>
      <c r="C479" s="2">
        <f ca="1">IF(ISNUMBER(SEARCH(Лист2!$B$4,D:D)),MAX($C$3:OFFSET(C479,-1,0))+1,0)</f>
        <v>0</v>
      </c>
      <c r="E479" s="9" t="str">
        <f t="shared" ca="1" si="18"/>
        <v/>
      </c>
      <c r="F479" s="4" t="s">
        <v>3</v>
      </c>
      <c r="G479" s="2">
        <f>IF(ISNUMBER(SEARCH(Лист2!$B$4,F:F)),1,0)</f>
        <v>0</v>
      </c>
      <c r="H479" s="3">
        <f ca="1">IF(AND(I479&lt;&gt;I478,ISNUMBER(SEARCH(Лист2!$B$5,I:I)),G479=1),MAX($H$3:OFFSET(H479,-1,0))+1,0)</f>
        <v>0</v>
      </c>
      <c r="I479" s="3" t="s">
        <v>84</v>
      </c>
      <c r="J479" s="4" t="str">
        <f t="shared" ca="1" si="17"/>
        <v/>
      </c>
      <c r="K479" s="2">
        <f>IF(ISNUMBER(SEARCH(Лист2!$B$4,F:F)),1,0)</f>
        <v>0</v>
      </c>
      <c r="L479" s="14">
        <f>IF(ISNUMBER(SEARCH(Лист2!$B$5,I:I)),1,0)+K479</f>
        <v>0</v>
      </c>
      <c r="M479" s="3">
        <f ca="1">IF(AND(N479&lt;&gt;N478,ISNUMBER(SEARCH(Лист2!$B$6,N:N)),L479=2),MAX($M$3:OFFSET(M479,-1,0))+1,0)</f>
        <v>0</v>
      </c>
      <c r="N479" s="3" t="s">
        <v>796</v>
      </c>
    </row>
    <row r="480" spans="1:14" x14ac:dyDescent="0.25">
      <c r="A480" s="1" t="s">
        <v>10250</v>
      </c>
      <c r="B480" s="3" t="s">
        <v>4104</v>
      </c>
      <c r="C480" s="2">
        <f ca="1">IF(ISNUMBER(SEARCH(Лист2!$B$4,D:D)),MAX($C$3:OFFSET(C480,-1,0))+1,0)</f>
        <v>0</v>
      </c>
      <c r="E480" s="9" t="str">
        <f t="shared" ca="1" si="18"/>
        <v/>
      </c>
      <c r="F480" s="4" t="s">
        <v>3</v>
      </c>
      <c r="G480" s="2">
        <f>IF(ISNUMBER(SEARCH(Лист2!$B$4,F:F)),1,0)</f>
        <v>0</v>
      </c>
      <c r="H480" s="3">
        <f ca="1">IF(AND(I480&lt;&gt;I479,ISNUMBER(SEARCH(Лист2!$B$5,I:I)),G480=1),MAX($H$3:OFFSET(H480,-1,0))+1,0)</f>
        <v>0</v>
      </c>
      <c r="I480" s="3" t="s">
        <v>84</v>
      </c>
      <c r="J480" s="4" t="str">
        <f t="shared" ca="1" si="17"/>
        <v/>
      </c>
      <c r="K480" s="2">
        <f>IF(ISNUMBER(SEARCH(Лист2!$B$4,F:F)),1,0)</f>
        <v>0</v>
      </c>
      <c r="L480" s="14">
        <f>IF(ISNUMBER(SEARCH(Лист2!$B$5,I:I)),1,0)+K480</f>
        <v>0</v>
      </c>
      <c r="M480" s="3">
        <f ca="1">IF(AND(N480&lt;&gt;N479,ISNUMBER(SEARCH(Лист2!$B$6,N:N)),L480=2),MAX($M$3:OFFSET(M480,-1,0))+1,0)</f>
        <v>0</v>
      </c>
      <c r="N480" s="3" t="s">
        <v>602</v>
      </c>
    </row>
    <row r="481" spans="1:14" x14ac:dyDescent="0.25">
      <c r="A481" s="1" t="s">
        <v>10251</v>
      </c>
      <c r="B481" s="3" t="s">
        <v>4105</v>
      </c>
      <c r="C481" s="2">
        <f ca="1">IF(ISNUMBER(SEARCH(Лист2!$B$4,D:D)),MAX($C$3:OFFSET(C481,-1,0))+1,0)</f>
        <v>0</v>
      </c>
      <c r="E481" s="9" t="str">
        <f t="shared" ca="1" si="18"/>
        <v/>
      </c>
      <c r="F481" s="4" t="s">
        <v>3</v>
      </c>
      <c r="G481" s="2">
        <f>IF(ISNUMBER(SEARCH(Лист2!$B$4,F:F)),1,0)</f>
        <v>0</v>
      </c>
      <c r="H481" s="3">
        <f ca="1">IF(AND(I481&lt;&gt;I480,ISNUMBER(SEARCH(Лист2!$B$5,I:I)),G481=1),MAX($H$3:OFFSET(H481,-1,0))+1,0)</f>
        <v>0</v>
      </c>
      <c r="I481" s="3" t="s">
        <v>84</v>
      </c>
      <c r="J481" s="4" t="str">
        <f t="shared" ca="1" si="17"/>
        <v/>
      </c>
      <c r="K481" s="2">
        <f>IF(ISNUMBER(SEARCH(Лист2!$B$4,F:F)),1,0)</f>
        <v>0</v>
      </c>
      <c r="L481" s="14">
        <f>IF(ISNUMBER(SEARCH(Лист2!$B$5,I:I)),1,0)+K481</f>
        <v>0</v>
      </c>
      <c r="M481" s="3">
        <f ca="1">IF(AND(N481&lt;&gt;N480,ISNUMBER(SEARCH(Лист2!$B$6,N:N)),L481=2),MAX($M$3:OFFSET(M481,-1,0))+1,0)</f>
        <v>0</v>
      </c>
      <c r="N481" s="3" t="s">
        <v>782</v>
      </c>
    </row>
    <row r="482" spans="1:14" x14ac:dyDescent="0.25">
      <c r="A482" s="1" t="s">
        <v>10252</v>
      </c>
      <c r="B482" s="3" t="s">
        <v>4106</v>
      </c>
      <c r="C482" s="2">
        <f ca="1">IF(ISNUMBER(SEARCH(Лист2!$B$4,D:D)),MAX($C$3:OFFSET(C482,-1,0))+1,0)</f>
        <v>0</v>
      </c>
      <c r="E482" s="9" t="str">
        <f t="shared" ca="1" si="18"/>
        <v/>
      </c>
      <c r="F482" s="4" t="s">
        <v>3</v>
      </c>
      <c r="G482" s="2">
        <f>IF(ISNUMBER(SEARCH(Лист2!$B$4,F:F)),1,0)</f>
        <v>0</v>
      </c>
      <c r="H482" s="3">
        <f ca="1">IF(AND(I482&lt;&gt;I481,ISNUMBER(SEARCH(Лист2!$B$5,I:I)),G482=1),MAX($H$3:OFFSET(H482,-1,0))+1,0)</f>
        <v>0</v>
      </c>
      <c r="I482" s="3" t="s">
        <v>84</v>
      </c>
      <c r="J482" s="4" t="str">
        <f t="shared" ca="1" si="17"/>
        <v/>
      </c>
      <c r="K482" s="2">
        <f>IF(ISNUMBER(SEARCH(Лист2!$B$4,F:F)),1,0)</f>
        <v>0</v>
      </c>
      <c r="L482" s="14">
        <f>IF(ISNUMBER(SEARCH(Лист2!$B$5,I:I)),1,0)+K482</f>
        <v>0</v>
      </c>
      <c r="M482" s="3">
        <f ca="1">IF(AND(N482&lt;&gt;N481,ISNUMBER(SEARCH(Лист2!$B$6,N:N)),L482=2),MAX($M$3:OFFSET(M482,-1,0))+1,0)</f>
        <v>0</v>
      </c>
      <c r="N482" s="3" t="s">
        <v>797</v>
      </c>
    </row>
    <row r="483" spans="1:14" x14ac:dyDescent="0.25">
      <c r="A483" s="1" t="s">
        <v>10253</v>
      </c>
      <c r="B483" s="3" t="s">
        <v>4107</v>
      </c>
      <c r="C483" s="2">
        <f ca="1">IF(ISNUMBER(SEARCH(Лист2!$B$4,D:D)),MAX($C$3:OFFSET(C483,-1,0))+1,0)</f>
        <v>0</v>
      </c>
      <c r="E483" s="9" t="str">
        <f t="shared" ca="1" si="18"/>
        <v/>
      </c>
      <c r="F483" s="4" t="s">
        <v>3</v>
      </c>
      <c r="G483" s="2">
        <f>IF(ISNUMBER(SEARCH(Лист2!$B$4,F:F)),1,0)</f>
        <v>0</v>
      </c>
      <c r="H483" s="3">
        <f ca="1">IF(AND(I483&lt;&gt;I482,ISNUMBER(SEARCH(Лист2!$B$5,I:I)),G483=1),MAX($H$3:OFFSET(H483,-1,0))+1,0)</f>
        <v>0</v>
      </c>
      <c r="I483" s="3" t="s">
        <v>85</v>
      </c>
      <c r="J483" s="4" t="str">
        <f t="shared" ca="1" si="17"/>
        <v/>
      </c>
      <c r="K483" s="2">
        <f>IF(ISNUMBER(SEARCH(Лист2!$B$4,F:F)),1,0)</f>
        <v>0</v>
      </c>
      <c r="L483" s="14">
        <f>IF(ISNUMBER(SEARCH(Лист2!$B$5,I:I)),1,0)+K483</f>
        <v>0</v>
      </c>
      <c r="M483" s="3">
        <f ca="1">IF(AND(N483&lt;&gt;N482,ISNUMBER(SEARCH(Лист2!$B$6,N:N)),L483=2),MAX($M$3:OFFSET(M483,-1,0))+1,0)</f>
        <v>0</v>
      </c>
      <c r="N483" s="3" t="s">
        <v>798</v>
      </c>
    </row>
    <row r="484" spans="1:14" x14ac:dyDescent="0.25">
      <c r="A484" s="1" t="s">
        <v>10254</v>
      </c>
      <c r="B484" s="3" t="s">
        <v>4108</v>
      </c>
      <c r="C484" s="2">
        <f ca="1">IF(ISNUMBER(SEARCH(Лист2!$B$4,D:D)),MAX($C$3:OFFSET(C484,-1,0))+1,0)</f>
        <v>0</v>
      </c>
      <c r="E484" s="9" t="str">
        <f t="shared" ca="1" si="18"/>
        <v/>
      </c>
      <c r="F484" s="4" t="s">
        <v>3</v>
      </c>
      <c r="G484" s="2">
        <f>IF(ISNUMBER(SEARCH(Лист2!$B$4,F:F)),1,0)</f>
        <v>0</v>
      </c>
      <c r="H484" s="3">
        <f ca="1">IF(AND(I484&lt;&gt;I483,ISNUMBER(SEARCH(Лист2!$B$5,I:I)),G484=1),MAX($H$3:OFFSET(H484,-1,0))+1,0)</f>
        <v>0</v>
      </c>
      <c r="I484" s="3" t="s">
        <v>85</v>
      </c>
      <c r="J484" s="4" t="str">
        <f t="shared" ca="1" si="17"/>
        <v/>
      </c>
      <c r="K484" s="2">
        <f>IF(ISNUMBER(SEARCH(Лист2!$B$4,F:F)),1,0)</f>
        <v>0</v>
      </c>
      <c r="L484" s="14">
        <f>IF(ISNUMBER(SEARCH(Лист2!$B$5,I:I)),1,0)+K484</f>
        <v>0</v>
      </c>
      <c r="M484" s="3">
        <f ca="1">IF(AND(N484&lt;&gt;N483,ISNUMBER(SEARCH(Лист2!$B$6,N:N)),L484=2),MAX($M$3:OFFSET(M484,-1,0))+1,0)</f>
        <v>0</v>
      </c>
      <c r="N484" s="3" t="s">
        <v>799</v>
      </c>
    </row>
    <row r="485" spans="1:14" x14ac:dyDescent="0.25">
      <c r="A485" s="1" t="s">
        <v>10255</v>
      </c>
      <c r="B485" s="3" t="s">
        <v>4109</v>
      </c>
      <c r="C485" s="2">
        <f ca="1">IF(ISNUMBER(SEARCH(Лист2!$B$4,D:D)),MAX($C$3:OFFSET(C485,-1,0))+1,0)</f>
        <v>0</v>
      </c>
      <c r="E485" s="9" t="str">
        <f t="shared" ca="1" si="18"/>
        <v/>
      </c>
      <c r="F485" s="4" t="s">
        <v>3</v>
      </c>
      <c r="G485" s="2">
        <f>IF(ISNUMBER(SEARCH(Лист2!$B$4,F:F)),1,0)</f>
        <v>0</v>
      </c>
      <c r="H485" s="3">
        <f ca="1">IF(AND(I485&lt;&gt;I484,ISNUMBER(SEARCH(Лист2!$B$5,I:I)),G485=1),MAX($H$3:OFFSET(H485,-1,0))+1,0)</f>
        <v>0</v>
      </c>
      <c r="I485" s="3" t="s">
        <v>85</v>
      </c>
      <c r="J485" s="4" t="str">
        <f t="shared" ca="1" si="17"/>
        <v/>
      </c>
      <c r="K485" s="2">
        <f>IF(ISNUMBER(SEARCH(Лист2!$B$4,F:F)),1,0)</f>
        <v>0</v>
      </c>
      <c r="L485" s="14">
        <f>IF(ISNUMBER(SEARCH(Лист2!$B$5,I:I)),1,0)+K485</f>
        <v>0</v>
      </c>
      <c r="M485" s="3">
        <f ca="1">IF(AND(N485&lt;&gt;N484,ISNUMBER(SEARCH(Лист2!$B$6,N:N)),L485=2),MAX($M$3:OFFSET(M485,-1,0))+1,0)</f>
        <v>0</v>
      </c>
      <c r="N485" s="3" t="s">
        <v>800</v>
      </c>
    </row>
    <row r="486" spans="1:14" x14ac:dyDescent="0.25">
      <c r="A486" s="1" t="s">
        <v>10256</v>
      </c>
      <c r="B486" s="3" t="s">
        <v>4110</v>
      </c>
      <c r="C486" s="2">
        <f ca="1">IF(ISNUMBER(SEARCH(Лист2!$B$4,D:D)),MAX($C$3:OFFSET(C486,-1,0))+1,0)</f>
        <v>0</v>
      </c>
      <c r="E486" s="9" t="str">
        <f t="shared" ca="1" si="18"/>
        <v/>
      </c>
      <c r="F486" s="4" t="s">
        <v>3</v>
      </c>
      <c r="G486" s="2">
        <f>IF(ISNUMBER(SEARCH(Лист2!$B$4,F:F)),1,0)</f>
        <v>0</v>
      </c>
      <c r="H486" s="3">
        <f ca="1">IF(AND(I486&lt;&gt;I485,ISNUMBER(SEARCH(Лист2!$B$5,I:I)),G486=1),MAX($H$3:OFFSET(H486,-1,0))+1,0)</f>
        <v>0</v>
      </c>
      <c r="I486" s="3" t="s">
        <v>85</v>
      </c>
      <c r="J486" s="4" t="str">
        <f t="shared" ca="1" si="17"/>
        <v/>
      </c>
      <c r="K486" s="2">
        <f>IF(ISNUMBER(SEARCH(Лист2!$B$4,F:F)),1,0)</f>
        <v>0</v>
      </c>
      <c r="L486" s="14">
        <f>IF(ISNUMBER(SEARCH(Лист2!$B$5,I:I)),1,0)+K486</f>
        <v>0</v>
      </c>
      <c r="M486" s="3">
        <f ca="1">IF(AND(N486&lt;&gt;N485,ISNUMBER(SEARCH(Лист2!$B$6,N:N)),L486=2),MAX($M$3:OFFSET(M486,-1,0))+1,0)</f>
        <v>0</v>
      </c>
      <c r="N486" s="3" t="s">
        <v>801</v>
      </c>
    </row>
    <row r="487" spans="1:14" x14ac:dyDescent="0.25">
      <c r="A487" s="1" t="s">
        <v>10257</v>
      </c>
      <c r="B487" s="3" t="s">
        <v>4111</v>
      </c>
      <c r="C487" s="2">
        <f ca="1">IF(ISNUMBER(SEARCH(Лист2!$B$4,D:D)),MAX($C$3:OFFSET(C487,-1,0))+1,0)</f>
        <v>0</v>
      </c>
      <c r="E487" s="9" t="str">
        <f t="shared" ca="1" si="18"/>
        <v/>
      </c>
      <c r="F487" s="4" t="s">
        <v>3</v>
      </c>
      <c r="G487" s="2">
        <f>IF(ISNUMBER(SEARCH(Лист2!$B$4,F:F)),1,0)</f>
        <v>0</v>
      </c>
      <c r="H487" s="3">
        <f ca="1">IF(AND(I487&lt;&gt;I486,ISNUMBER(SEARCH(Лист2!$B$5,I:I)),G487=1),MAX($H$3:OFFSET(H487,-1,0))+1,0)</f>
        <v>0</v>
      </c>
      <c r="I487" s="3" t="s">
        <v>85</v>
      </c>
      <c r="J487" s="4" t="str">
        <f t="shared" ca="1" si="17"/>
        <v/>
      </c>
      <c r="K487" s="2">
        <f>IF(ISNUMBER(SEARCH(Лист2!$B$4,F:F)),1,0)</f>
        <v>0</v>
      </c>
      <c r="L487" s="14">
        <f>IF(ISNUMBER(SEARCH(Лист2!$B$5,I:I)),1,0)+K487</f>
        <v>0</v>
      </c>
      <c r="M487" s="3">
        <f ca="1">IF(AND(N487&lt;&gt;N486,ISNUMBER(SEARCH(Лист2!$B$6,N:N)),L487=2),MAX($M$3:OFFSET(M487,-1,0))+1,0)</f>
        <v>0</v>
      </c>
      <c r="N487" s="3" t="s">
        <v>802</v>
      </c>
    </row>
    <row r="488" spans="1:14" x14ac:dyDescent="0.25">
      <c r="A488" s="1" t="s">
        <v>10258</v>
      </c>
      <c r="B488" s="3" t="s">
        <v>4112</v>
      </c>
      <c r="C488" s="2">
        <f ca="1">IF(ISNUMBER(SEARCH(Лист2!$B$4,D:D)),MAX($C$3:OFFSET(C488,-1,0))+1,0)</f>
        <v>0</v>
      </c>
      <c r="E488" s="9" t="str">
        <f t="shared" ca="1" si="18"/>
        <v/>
      </c>
      <c r="F488" s="4" t="s">
        <v>3</v>
      </c>
      <c r="G488" s="2">
        <f>IF(ISNUMBER(SEARCH(Лист2!$B$4,F:F)),1,0)</f>
        <v>0</v>
      </c>
      <c r="H488" s="3">
        <f ca="1">IF(AND(I488&lt;&gt;I487,ISNUMBER(SEARCH(Лист2!$B$5,I:I)),G488=1),MAX($H$3:OFFSET(H488,-1,0))+1,0)</f>
        <v>0</v>
      </c>
      <c r="I488" s="3" t="s">
        <v>85</v>
      </c>
      <c r="J488" s="4" t="str">
        <f t="shared" ca="1" si="17"/>
        <v/>
      </c>
      <c r="K488" s="2">
        <f>IF(ISNUMBER(SEARCH(Лист2!$B$4,F:F)),1,0)</f>
        <v>0</v>
      </c>
      <c r="L488" s="14">
        <f>IF(ISNUMBER(SEARCH(Лист2!$B$5,I:I)),1,0)+K488</f>
        <v>0</v>
      </c>
      <c r="M488" s="3">
        <f ca="1">IF(AND(N488&lt;&gt;N487,ISNUMBER(SEARCH(Лист2!$B$6,N:N)),L488=2),MAX($M$3:OFFSET(M488,-1,0))+1,0)</f>
        <v>0</v>
      </c>
      <c r="N488" s="3" t="s">
        <v>795</v>
      </c>
    </row>
    <row r="489" spans="1:14" x14ac:dyDescent="0.25">
      <c r="A489" s="1" t="s">
        <v>10259</v>
      </c>
      <c r="B489" s="3" t="s">
        <v>4113</v>
      </c>
      <c r="C489" s="2">
        <f ca="1">IF(ISNUMBER(SEARCH(Лист2!$B$4,D:D)),MAX($C$3:OFFSET(C489,-1,0))+1,0)</f>
        <v>0</v>
      </c>
      <c r="E489" s="9" t="str">
        <f t="shared" ca="1" si="18"/>
        <v/>
      </c>
      <c r="F489" s="4" t="s">
        <v>3</v>
      </c>
      <c r="G489" s="2">
        <f>IF(ISNUMBER(SEARCH(Лист2!$B$4,F:F)),1,0)</f>
        <v>0</v>
      </c>
      <c r="H489" s="3">
        <f ca="1">IF(AND(I489&lt;&gt;I488,ISNUMBER(SEARCH(Лист2!$B$5,I:I)),G489=1),MAX($H$3:OFFSET(H489,-1,0))+1,0)</f>
        <v>0</v>
      </c>
      <c r="I489" s="3" t="s">
        <v>85</v>
      </c>
      <c r="J489" s="4" t="str">
        <f t="shared" ca="1" si="17"/>
        <v/>
      </c>
      <c r="K489" s="2">
        <f>IF(ISNUMBER(SEARCH(Лист2!$B$4,F:F)),1,0)</f>
        <v>0</v>
      </c>
      <c r="L489" s="14">
        <f>IF(ISNUMBER(SEARCH(Лист2!$B$5,I:I)),1,0)+K489</f>
        <v>0</v>
      </c>
      <c r="M489" s="3">
        <f ca="1">IF(AND(N489&lt;&gt;N488,ISNUMBER(SEARCH(Лист2!$B$6,N:N)),L489=2),MAX($M$3:OFFSET(M489,-1,0))+1,0)</f>
        <v>0</v>
      </c>
      <c r="N489" s="3" t="s">
        <v>803</v>
      </c>
    </row>
    <row r="490" spans="1:14" x14ac:dyDescent="0.25">
      <c r="A490" s="1" t="s">
        <v>10260</v>
      </c>
      <c r="B490" s="3" t="s">
        <v>4114</v>
      </c>
      <c r="C490" s="2">
        <f ca="1">IF(ISNUMBER(SEARCH(Лист2!$B$4,D:D)),MAX($C$3:OFFSET(C490,-1,0))+1,0)</f>
        <v>0</v>
      </c>
      <c r="E490" s="9" t="str">
        <f t="shared" ca="1" si="18"/>
        <v/>
      </c>
      <c r="F490" s="4" t="s">
        <v>3</v>
      </c>
      <c r="G490" s="2">
        <f>IF(ISNUMBER(SEARCH(Лист2!$B$4,F:F)),1,0)</f>
        <v>0</v>
      </c>
      <c r="H490" s="3">
        <f ca="1">IF(AND(I490&lt;&gt;I489,ISNUMBER(SEARCH(Лист2!$B$5,I:I)),G490=1),MAX($H$3:OFFSET(H490,-1,0))+1,0)</f>
        <v>0</v>
      </c>
      <c r="I490" s="3" t="s">
        <v>85</v>
      </c>
      <c r="J490" s="4" t="str">
        <f t="shared" ca="1" si="17"/>
        <v/>
      </c>
      <c r="K490" s="2">
        <f>IF(ISNUMBER(SEARCH(Лист2!$B$4,F:F)),1,0)</f>
        <v>0</v>
      </c>
      <c r="L490" s="14">
        <f>IF(ISNUMBER(SEARCH(Лист2!$B$5,I:I)),1,0)+K490</f>
        <v>0</v>
      </c>
      <c r="M490" s="3">
        <f ca="1">IF(AND(N490&lt;&gt;N489,ISNUMBER(SEARCH(Лист2!$B$6,N:N)),L490=2),MAX($M$3:OFFSET(M490,-1,0))+1,0)</f>
        <v>0</v>
      </c>
      <c r="N490" s="3" t="s">
        <v>602</v>
      </c>
    </row>
    <row r="491" spans="1:14" x14ac:dyDescent="0.25">
      <c r="A491" s="1" t="s">
        <v>10261</v>
      </c>
      <c r="B491" s="3" t="s">
        <v>4115</v>
      </c>
      <c r="C491" s="2">
        <f ca="1">IF(ISNUMBER(SEARCH(Лист2!$B$4,D:D)),MAX($C$3:OFFSET(C491,-1,0))+1,0)</f>
        <v>0</v>
      </c>
      <c r="E491" s="9" t="str">
        <f t="shared" ca="1" si="18"/>
        <v/>
      </c>
      <c r="F491" s="4" t="s">
        <v>3</v>
      </c>
      <c r="G491" s="2">
        <f>IF(ISNUMBER(SEARCH(Лист2!$B$4,F:F)),1,0)</f>
        <v>0</v>
      </c>
      <c r="H491" s="3">
        <f ca="1">IF(AND(I491&lt;&gt;I490,ISNUMBER(SEARCH(Лист2!$B$5,I:I)),G491=1),MAX($H$3:OFFSET(H491,-1,0))+1,0)</f>
        <v>0</v>
      </c>
      <c r="I491" s="3" t="s">
        <v>85</v>
      </c>
      <c r="J491" s="4" t="str">
        <f t="shared" ca="1" si="17"/>
        <v/>
      </c>
      <c r="K491" s="2">
        <f>IF(ISNUMBER(SEARCH(Лист2!$B$4,F:F)),1,0)</f>
        <v>0</v>
      </c>
      <c r="L491" s="14">
        <f>IF(ISNUMBER(SEARCH(Лист2!$B$5,I:I)),1,0)+K491</f>
        <v>0</v>
      </c>
      <c r="M491" s="3">
        <f ca="1">IF(AND(N491&lt;&gt;N490,ISNUMBER(SEARCH(Лист2!$B$6,N:N)),L491=2),MAX($M$3:OFFSET(M491,-1,0))+1,0)</f>
        <v>0</v>
      </c>
      <c r="N491" s="3" t="s">
        <v>804</v>
      </c>
    </row>
    <row r="492" spans="1:14" x14ac:dyDescent="0.25">
      <c r="A492" s="1" t="s">
        <v>10262</v>
      </c>
      <c r="B492" s="3" t="s">
        <v>4116</v>
      </c>
      <c r="C492" s="2">
        <f ca="1">IF(ISNUMBER(SEARCH(Лист2!$B$4,D:D)),MAX($C$3:OFFSET(C492,-1,0))+1,0)</f>
        <v>0</v>
      </c>
      <c r="E492" s="9" t="str">
        <f t="shared" ca="1" si="18"/>
        <v/>
      </c>
      <c r="F492" s="4" t="s">
        <v>3</v>
      </c>
      <c r="G492" s="2">
        <f>IF(ISNUMBER(SEARCH(Лист2!$B$4,F:F)),1,0)</f>
        <v>0</v>
      </c>
      <c r="H492" s="3">
        <f ca="1">IF(AND(I492&lt;&gt;I491,ISNUMBER(SEARCH(Лист2!$B$5,I:I)),G492=1),MAX($H$3:OFFSET(H492,-1,0))+1,0)</f>
        <v>0</v>
      </c>
      <c r="I492" s="3" t="s">
        <v>85</v>
      </c>
      <c r="J492" s="4" t="str">
        <f t="shared" ca="1" si="17"/>
        <v/>
      </c>
      <c r="K492" s="2">
        <f>IF(ISNUMBER(SEARCH(Лист2!$B$4,F:F)),1,0)</f>
        <v>0</v>
      </c>
      <c r="L492" s="14">
        <f>IF(ISNUMBER(SEARCH(Лист2!$B$5,I:I)),1,0)+K492</f>
        <v>0</v>
      </c>
      <c r="M492" s="3">
        <f ca="1">IF(AND(N492&lt;&gt;N491,ISNUMBER(SEARCH(Лист2!$B$6,N:N)),L492=2),MAX($M$3:OFFSET(M492,-1,0))+1,0)</f>
        <v>0</v>
      </c>
      <c r="N492" s="3" t="s">
        <v>805</v>
      </c>
    </row>
    <row r="493" spans="1:14" x14ac:dyDescent="0.25">
      <c r="A493" s="1" t="s">
        <v>10263</v>
      </c>
      <c r="B493" s="3" t="s">
        <v>4117</v>
      </c>
      <c r="C493" s="2">
        <f ca="1">IF(ISNUMBER(SEARCH(Лист2!$B$4,D:D)),MAX($C$3:OFFSET(C493,-1,0))+1,0)</f>
        <v>0</v>
      </c>
      <c r="E493" s="9" t="str">
        <f t="shared" ca="1" si="18"/>
        <v/>
      </c>
      <c r="F493" s="4" t="s">
        <v>3</v>
      </c>
      <c r="G493" s="2">
        <f>IF(ISNUMBER(SEARCH(Лист2!$B$4,F:F)),1,0)</f>
        <v>0</v>
      </c>
      <c r="H493" s="3">
        <f ca="1">IF(AND(I493&lt;&gt;I492,ISNUMBER(SEARCH(Лист2!$B$5,I:I)),G493=1),MAX($H$3:OFFSET(H493,-1,0))+1,0)</f>
        <v>0</v>
      </c>
      <c r="I493" s="3" t="s">
        <v>86</v>
      </c>
      <c r="J493" s="4" t="str">
        <f t="shared" ca="1" si="17"/>
        <v/>
      </c>
      <c r="K493" s="2">
        <f>IF(ISNUMBER(SEARCH(Лист2!$B$4,F:F)),1,0)</f>
        <v>0</v>
      </c>
      <c r="L493" s="14">
        <f>IF(ISNUMBER(SEARCH(Лист2!$B$5,I:I)),1,0)+K493</f>
        <v>0</v>
      </c>
      <c r="M493" s="3">
        <f ca="1">IF(AND(N493&lt;&gt;N492,ISNUMBER(SEARCH(Лист2!$B$6,N:N)),L493=2),MAX($M$3:OFFSET(M493,-1,0))+1,0)</f>
        <v>0</v>
      </c>
      <c r="N493" s="3" t="s">
        <v>806</v>
      </c>
    </row>
    <row r="494" spans="1:14" x14ac:dyDescent="0.25">
      <c r="A494" s="1" t="s">
        <v>10264</v>
      </c>
      <c r="B494" s="3" t="s">
        <v>4118</v>
      </c>
      <c r="C494" s="2">
        <f ca="1">IF(ISNUMBER(SEARCH(Лист2!$B$4,D:D)),MAX($C$3:OFFSET(C494,-1,0))+1,0)</f>
        <v>0</v>
      </c>
      <c r="E494" s="9" t="str">
        <f t="shared" ca="1" si="18"/>
        <v/>
      </c>
      <c r="F494" s="4" t="s">
        <v>3</v>
      </c>
      <c r="G494" s="2">
        <f>IF(ISNUMBER(SEARCH(Лист2!$B$4,F:F)),1,0)</f>
        <v>0</v>
      </c>
      <c r="H494" s="3">
        <f ca="1">IF(AND(I494&lt;&gt;I493,ISNUMBER(SEARCH(Лист2!$B$5,I:I)),G494=1),MAX($H$3:OFFSET(H494,-1,0))+1,0)</f>
        <v>0</v>
      </c>
      <c r="I494" s="3" t="s">
        <v>86</v>
      </c>
      <c r="J494" s="4" t="str">
        <f t="shared" ca="1" si="17"/>
        <v/>
      </c>
      <c r="K494" s="2">
        <f>IF(ISNUMBER(SEARCH(Лист2!$B$4,F:F)),1,0)</f>
        <v>0</v>
      </c>
      <c r="L494" s="14">
        <f>IF(ISNUMBER(SEARCH(Лист2!$B$5,I:I)),1,0)+K494</f>
        <v>0</v>
      </c>
      <c r="M494" s="3">
        <f ca="1">IF(AND(N494&lt;&gt;N493,ISNUMBER(SEARCH(Лист2!$B$6,N:N)),L494=2),MAX($M$3:OFFSET(M494,-1,0))+1,0)</f>
        <v>0</v>
      </c>
      <c r="N494" s="3" t="s">
        <v>807</v>
      </c>
    </row>
    <row r="495" spans="1:14" x14ac:dyDescent="0.25">
      <c r="A495" s="1" t="s">
        <v>10265</v>
      </c>
      <c r="B495" s="3" t="s">
        <v>4119</v>
      </c>
      <c r="C495" s="2">
        <f ca="1">IF(ISNUMBER(SEARCH(Лист2!$B$4,D:D)),MAX($C$3:OFFSET(C495,-1,0))+1,0)</f>
        <v>0</v>
      </c>
      <c r="E495" s="9" t="str">
        <f t="shared" ca="1" si="18"/>
        <v/>
      </c>
      <c r="F495" s="4" t="s">
        <v>3</v>
      </c>
      <c r="G495" s="2">
        <f>IF(ISNUMBER(SEARCH(Лист2!$B$4,F:F)),1,0)</f>
        <v>0</v>
      </c>
      <c r="H495" s="3">
        <f ca="1">IF(AND(I495&lt;&gt;I494,ISNUMBER(SEARCH(Лист2!$B$5,I:I)),G495=1),MAX($H$3:OFFSET(H495,-1,0))+1,0)</f>
        <v>0</v>
      </c>
      <c r="I495" s="3" t="s">
        <v>86</v>
      </c>
      <c r="J495" s="4" t="str">
        <f t="shared" ca="1" si="17"/>
        <v/>
      </c>
      <c r="K495" s="2">
        <f>IF(ISNUMBER(SEARCH(Лист2!$B$4,F:F)),1,0)</f>
        <v>0</v>
      </c>
      <c r="L495" s="14">
        <f>IF(ISNUMBER(SEARCH(Лист2!$B$5,I:I)),1,0)+K495</f>
        <v>0</v>
      </c>
      <c r="M495" s="3">
        <f ca="1">IF(AND(N495&lt;&gt;N494,ISNUMBER(SEARCH(Лист2!$B$6,N:N)),L495=2),MAX($M$3:OFFSET(M495,-1,0))+1,0)</f>
        <v>0</v>
      </c>
      <c r="N495" s="3" t="s">
        <v>808</v>
      </c>
    </row>
    <row r="496" spans="1:14" x14ac:dyDescent="0.25">
      <c r="A496" s="1" t="s">
        <v>10266</v>
      </c>
      <c r="B496" s="3" t="s">
        <v>4120</v>
      </c>
      <c r="C496" s="2">
        <f ca="1">IF(ISNUMBER(SEARCH(Лист2!$B$4,D:D)),MAX($C$3:OFFSET(C496,-1,0))+1,0)</f>
        <v>0</v>
      </c>
      <c r="E496" s="9" t="str">
        <f t="shared" ca="1" si="18"/>
        <v/>
      </c>
      <c r="F496" s="4" t="s">
        <v>3</v>
      </c>
      <c r="G496" s="2">
        <f>IF(ISNUMBER(SEARCH(Лист2!$B$4,F:F)),1,0)</f>
        <v>0</v>
      </c>
      <c r="H496" s="3">
        <f ca="1">IF(AND(I496&lt;&gt;I495,ISNUMBER(SEARCH(Лист2!$B$5,I:I)),G496=1),MAX($H$3:OFFSET(H496,-1,0))+1,0)</f>
        <v>0</v>
      </c>
      <c r="I496" s="3" t="s">
        <v>86</v>
      </c>
      <c r="J496" s="4" t="str">
        <f t="shared" ca="1" si="17"/>
        <v/>
      </c>
      <c r="K496" s="2">
        <f>IF(ISNUMBER(SEARCH(Лист2!$B$4,F:F)),1,0)</f>
        <v>0</v>
      </c>
      <c r="L496" s="14">
        <f>IF(ISNUMBER(SEARCH(Лист2!$B$5,I:I)),1,0)+K496</f>
        <v>0</v>
      </c>
      <c r="M496" s="3">
        <f ca="1">IF(AND(N496&lt;&gt;N495,ISNUMBER(SEARCH(Лист2!$B$6,N:N)),L496=2),MAX($M$3:OFFSET(M496,-1,0))+1,0)</f>
        <v>0</v>
      </c>
      <c r="N496" s="3" t="s">
        <v>809</v>
      </c>
    </row>
    <row r="497" spans="1:14" x14ac:dyDescent="0.25">
      <c r="A497" s="1" t="s">
        <v>10267</v>
      </c>
      <c r="B497" s="3" t="s">
        <v>4121</v>
      </c>
      <c r="C497" s="2">
        <f ca="1">IF(ISNUMBER(SEARCH(Лист2!$B$4,D:D)),MAX($C$3:OFFSET(C497,-1,0))+1,0)</f>
        <v>0</v>
      </c>
      <c r="E497" s="9" t="str">
        <f t="shared" ca="1" si="18"/>
        <v/>
      </c>
      <c r="F497" s="4" t="s">
        <v>3</v>
      </c>
      <c r="G497" s="2">
        <f>IF(ISNUMBER(SEARCH(Лист2!$B$4,F:F)),1,0)</f>
        <v>0</v>
      </c>
      <c r="H497" s="3">
        <f ca="1">IF(AND(I497&lt;&gt;I496,ISNUMBER(SEARCH(Лист2!$B$5,I:I)),G497=1),MAX($H$3:OFFSET(H497,-1,0))+1,0)</f>
        <v>0</v>
      </c>
      <c r="I497" s="3" t="s">
        <v>86</v>
      </c>
      <c r="J497" s="4" t="str">
        <f t="shared" ca="1" si="17"/>
        <v/>
      </c>
      <c r="K497" s="2">
        <f>IF(ISNUMBER(SEARCH(Лист2!$B$4,F:F)),1,0)</f>
        <v>0</v>
      </c>
      <c r="L497" s="14">
        <f>IF(ISNUMBER(SEARCH(Лист2!$B$5,I:I)),1,0)+K497</f>
        <v>0</v>
      </c>
      <c r="M497" s="3">
        <f ca="1">IF(AND(N497&lt;&gt;N496,ISNUMBER(SEARCH(Лист2!$B$6,N:N)),L497=2),MAX($M$3:OFFSET(M497,-1,0))+1,0)</f>
        <v>0</v>
      </c>
      <c r="N497" s="3" t="s">
        <v>602</v>
      </c>
    </row>
    <row r="498" spans="1:14" x14ac:dyDescent="0.25">
      <c r="A498" s="1" t="s">
        <v>10268</v>
      </c>
      <c r="B498" s="3" t="s">
        <v>4122</v>
      </c>
      <c r="C498" s="2">
        <f ca="1">IF(ISNUMBER(SEARCH(Лист2!$B$4,D:D)),MAX($C$3:OFFSET(C498,-1,0))+1,0)</f>
        <v>0</v>
      </c>
      <c r="E498" s="9" t="str">
        <f t="shared" ca="1" si="18"/>
        <v/>
      </c>
      <c r="F498" s="4" t="s">
        <v>3</v>
      </c>
      <c r="G498" s="2">
        <f>IF(ISNUMBER(SEARCH(Лист2!$B$4,F:F)),1,0)</f>
        <v>0</v>
      </c>
      <c r="H498" s="3">
        <f ca="1">IF(AND(I498&lt;&gt;I497,ISNUMBER(SEARCH(Лист2!$B$5,I:I)),G498=1),MAX($H$3:OFFSET(H498,-1,0))+1,0)</f>
        <v>0</v>
      </c>
      <c r="I498" s="3" t="s">
        <v>86</v>
      </c>
      <c r="J498" s="4" t="str">
        <f t="shared" ca="1" si="17"/>
        <v/>
      </c>
      <c r="K498" s="2">
        <f>IF(ISNUMBER(SEARCH(Лист2!$B$4,F:F)),1,0)</f>
        <v>0</v>
      </c>
      <c r="L498" s="14">
        <f>IF(ISNUMBER(SEARCH(Лист2!$B$5,I:I)),1,0)+K498</f>
        <v>0</v>
      </c>
      <c r="M498" s="3">
        <f ca="1">IF(AND(N498&lt;&gt;N497,ISNUMBER(SEARCH(Лист2!$B$6,N:N)),L498=2),MAX($M$3:OFFSET(M498,-1,0))+1,0)</f>
        <v>0</v>
      </c>
      <c r="N498" s="3" t="s">
        <v>810</v>
      </c>
    </row>
    <row r="499" spans="1:14" x14ac:dyDescent="0.25">
      <c r="A499" s="1" t="s">
        <v>10269</v>
      </c>
      <c r="B499" s="3" t="s">
        <v>4123</v>
      </c>
      <c r="C499" s="2">
        <f ca="1">IF(ISNUMBER(SEARCH(Лист2!$B$4,D:D)),MAX($C$3:OFFSET(C499,-1,0))+1,0)</f>
        <v>0</v>
      </c>
      <c r="E499" s="9" t="str">
        <f t="shared" ca="1" si="18"/>
        <v/>
      </c>
      <c r="F499" s="4" t="s">
        <v>3</v>
      </c>
      <c r="G499" s="2">
        <f>IF(ISNUMBER(SEARCH(Лист2!$B$4,F:F)),1,0)</f>
        <v>0</v>
      </c>
      <c r="H499" s="3">
        <f ca="1">IF(AND(I499&lt;&gt;I498,ISNUMBER(SEARCH(Лист2!$B$5,I:I)),G499=1),MAX($H$3:OFFSET(H499,-1,0))+1,0)</f>
        <v>0</v>
      </c>
      <c r="I499" s="3" t="s">
        <v>86</v>
      </c>
      <c r="J499" s="4" t="str">
        <f t="shared" ca="1" si="17"/>
        <v/>
      </c>
      <c r="K499" s="2">
        <f>IF(ISNUMBER(SEARCH(Лист2!$B$4,F:F)),1,0)</f>
        <v>0</v>
      </c>
      <c r="L499" s="14">
        <f>IF(ISNUMBER(SEARCH(Лист2!$B$5,I:I)),1,0)+K499</f>
        <v>0</v>
      </c>
      <c r="M499" s="3">
        <f ca="1">IF(AND(N499&lt;&gt;N498,ISNUMBER(SEARCH(Лист2!$B$6,N:N)),L499=2),MAX($M$3:OFFSET(M499,-1,0))+1,0)</f>
        <v>0</v>
      </c>
      <c r="N499" s="3" t="s">
        <v>811</v>
      </c>
    </row>
    <row r="500" spans="1:14" x14ac:dyDescent="0.25">
      <c r="A500" s="1" t="s">
        <v>10270</v>
      </c>
      <c r="B500" s="3" t="s">
        <v>4124</v>
      </c>
      <c r="C500" s="2">
        <f ca="1">IF(ISNUMBER(SEARCH(Лист2!$B$4,D:D)),MAX($C$3:OFFSET(C500,-1,0))+1,0)</f>
        <v>0</v>
      </c>
      <c r="E500" s="9" t="str">
        <f t="shared" ca="1" si="18"/>
        <v/>
      </c>
      <c r="F500" s="4" t="s">
        <v>3</v>
      </c>
      <c r="G500" s="2">
        <f>IF(ISNUMBER(SEARCH(Лист2!$B$4,F:F)),1,0)</f>
        <v>0</v>
      </c>
      <c r="H500" s="3">
        <f ca="1">IF(AND(I500&lt;&gt;I499,ISNUMBER(SEARCH(Лист2!$B$5,I:I)),G500=1),MAX($H$3:OFFSET(H500,-1,0))+1,0)</f>
        <v>0</v>
      </c>
      <c r="I500" s="3" t="s">
        <v>86</v>
      </c>
      <c r="J500" s="4" t="str">
        <f t="shared" ca="1" si="17"/>
        <v/>
      </c>
      <c r="K500" s="2">
        <f>IF(ISNUMBER(SEARCH(Лист2!$B$4,F:F)),1,0)</f>
        <v>0</v>
      </c>
      <c r="L500" s="14">
        <f>IF(ISNUMBER(SEARCH(Лист2!$B$5,I:I)),1,0)+K500</f>
        <v>0</v>
      </c>
      <c r="M500" s="3">
        <f ca="1">IF(AND(N500&lt;&gt;N499,ISNUMBER(SEARCH(Лист2!$B$6,N:N)),L500=2),MAX($M$3:OFFSET(M500,-1,0))+1,0)</f>
        <v>0</v>
      </c>
      <c r="N500" s="3" t="s">
        <v>812</v>
      </c>
    </row>
    <row r="501" spans="1:14" x14ac:dyDescent="0.25">
      <c r="A501" s="1" t="s">
        <v>10271</v>
      </c>
      <c r="B501" s="3" t="s">
        <v>4125</v>
      </c>
      <c r="C501" s="2">
        <f ca="1">IF(ISNUMBER(SEARCH(Лист2!$B$4,D:D)),MAX($C$3:OFFSET(C501,-1,0))+1,0)</f>
        <v>0</v>
      </c>
      <c r="E501" s="9" t="str">
        <f t="shared" ca="1" si="18"/>
        <v/>
      </c>
      <c r="F501" s="4" t="s">
        <v>3</v>
      </c>
      <c r="G501" s="2">
        <f>IF(ISNUMBER(SEARCH(Лист2!$B$4,F:F)),1,0)</f>
        <v>0</v>
      </c>
      <c r="H501" s="3">
        <f ca="1">IF(AND(I501&lt;&gt;I500,ISNUMBER(SEARCH(Лист2!$B$5,I:I)),G501=1),MAX($H$3:OFFSET(H501,-1,0))+1,0)</f>
        <v>0</v>
      </c>
      <c r="I501" s="3" t="s">
        <v>87</v>
      </c>
      <c r="J501" s="4" t="str">
        <f t="shared" ca="1" si="17"/>
        <v/>
      </c>
      <c r="K501" s="2">
        <f>IF(ISNUMBER(SEARCH(Лист2!$B$4,F:F)),1,0)</f>
        <v>0</v>
      </c>
      <c r="L501" s="14">
        <f>IF(ISNUMBER(SEARCH(Лист2!$B$5,I:I)),1,0)+K501</f>
        <v>0</v>
      </c>
      <c r="M501" s="3">
        <f ca="1">IF(AND(N501&lt;&gt;N500,ISNUMBER(SEARCH(Лист2!$B$6,N:N)),L501=2),MAX($M$3:OFFSET(M501,-1,0))+1,0)</f>
        <v>0</v>
      </c>
      <c r="N501" s="3" t="s">
        <v>813</v>
      </c>
    </row>
    <row r="502" spans="1:14" x14ac:dyDescent="0.25">
      <c r="A502" s="1" t="s">
        <v>10272</v>
      </c>
      <c r="B502" s="3" t="s">
        <v>4126</v>
      </c>
      <c r="C502" s="2">
        <f ca="1">IF(ISNUMBER(SEARCH(Лист2!$B$4,D:D)),MAX($C$3:OFFSET(C502,-1,0))+1,0)</f>
        <v>0</v>
      </c>
      <c r="E502" s="9" t="str">
        <f t="shared" ca="1" si="18"/>
        <v/>
      </c>
      <c r="F502" s="4" t="s">
        <v>3</v>
      </c>
      <c r="G502" s="2">
        <f>IF(ISNUMBER(SEARCH(Лист2!$B$4,F:F)),1,0)</f>
        <v>0</v>
      </c>
      <c r="H502" s="3">
        <f ca="1">IF(AND(I502&lt;&gt;I501,ISNUMBER(SEARCH(Лист2!$B$5,I:I)),G502=1),MAX($H$3:OFFSET(H502,-1,0))+1,0)</f>
        <v>0</v>
      </c>
      <c r="I502" s="3" t="s">
        <v>87</v>
      </c>
      <c r="J502" s="4" t="str">
        <f t="shared" ca="1" si="17"/>
        <v/>
      </c>
      <c r="K502" s="2">
        <f>IF(ISNUMBER(SEARCH(Лист2!$B$4,F:F)),1,0)</f>
        <v>0</v>
      </c>
      <c r="L502" s="14">
        <f>IF(ISNUMBER(SEARCH(Лист2!$B$5,I:I)),1,0)+K502</f>
        <v>0</v>
      </c>
      <c r="M502" s="3">
        <f ca="1">IF(AND(N502&lt;&gt;N501,ISNUMBER(SEARCH(Лист2!$B$6,N:N)),L502=2),MAX($M$3:OFFSET(M502,-1,0))+1,0)</f>
        <v>0</v>
      </c>
      <c r="N502" s="3" t="s">
        <v>814</v>
      </c>
    </row>
    <row r="503" spans="1:14" x14ac:dyDescent="0.25">
      <c r="A503" s="1" t="s">
        <v>10273</v>
      </c>
      <c r="B503" s="3" t="s">
        <v>4127</v>
      </c>
      <c r="C503" s="2">
        <f ca="1">IF(ISNUMBER(SEARCH(Лист2!$B$4,D:D)),MAX($C$3:OFFSET(C503,-1,0))+1,0)</f>
        <v>0</v>
      </c>
      <c r="E503" s="9" t="str">
        <f t="shared" ca="1" si="18"/>
        <v/>
      </c>
      <c r="F503" s="4" t="s">
        <v>3</v>
      </c>
      <c r="G503" s="2">
        <f>IF(ISNUMBER(SEARCH(Лист2!$B$4,F:F)),1,0)</f>
        <v>0</v>
      </c>
      <c r="H503" s="3">
        <f ca="1">IF(AND(I503&lt;&gt;I502,ISNUMBER(SEARCH(Лист2!$B$5,I:I)),G503=1),MAX($H$3:OFFSET(H503,-1,0))+1,0)</f>
        <v>0</v>
      </c>
      <c r="I503" s="3" t="s">
        <v>87</v>
      </c>
      <c r="J503" s="4" t="str">
        <f t="shared" ca="1" si="17"/>
        <v/>
      </c>
      <c r="K503" s="2">
        <f>IF(ISNUMBER(SEARCH(Лист2!$B$4,F:F)),1,0)</f>
        <v>0</v>
      </c>
      <c r="L503" s="14">
        <f>IF(ISNUMBER(SEARCH(Лист2!$B$5,I:I)),1,0)+K503</f>
        <v>0</v>
      </c>
      <c r="M503" s="3">
        <f ca="1">IF(AND(N503&lt;&gt;N502,ISNUMBER(SEARCH(Лист2!$B$6,N:N)),L503=2),MAX($M$3:OFFSET(M503,-1,0))+1,0)</f>
        <v>0</v>
      </c>
      <c r="N503" s="3" t="s">
        <v>808</v>
      </c>
    </row>
    <row r="504" spans="1:14" x14ac:dyDescent="0.25">
      <c r="A504" s="1" t="s">
        <v>10274</v>
      </c>
      <c r="B504" s="3" t="s">
        <v>4128</v>
      </c>
      <c r="C504" s="2">
        <f ca="1">IF(ISNUMBER(SEARCH(Лист2!$B$4,D:D)),MAX($C$3:OFFSET(C504,-1,0))+1,0)</f>
        <v>0</v>
      </c>
      <c r="E504" s="9" t="str">
        <f t="shared" ca="1" si="18"/>
        <v/>
      </c>
      <c r="F504" s="4" t="s">
        <v>3</v>
      </c>
      <c r="G504" s="2">
        <f>IF(ISNUMBER(SEARCH(Лист2!$B$4,F:F)),1,0)</f>
        <v>0</v>
      </c>
      <c r="H504" s="3">
        <f ca="1">IF(AND(I504&lt;&gt;I503,ISNUMBER(SEARCH(Лист2!$B$5,I:I)),G504=1),MAX($H$3:OFFSET(H504,-1,0))+1,0)</f>
        <v>0</v>
      </c>
      <c r="I504" s="3" t="s">
        <v>87</v>
      </c>
      <c r="J504" s="4" t="str">
        <f t="shared" ca="1" si="17"/>
        <v/>
      </c>
      <c r="K504" s="2">
        <f>IF(ISNUMBER(SEARCH(Лист2!$B$4,F:F)),1,0)</f>
        <v>0</v>
      </c>
      <c r="L504" s="14">
        <f>IF(ISNUMBER(SEARCH(Лист2!$B$5,I:I)),1,0)+K504</f>
        <v>0</v>
      </c>
      <c r="M504" s="3">
        <f ca="1">IF(AND(N504&lt;&gt;N503,ISNUMBER(SEARCH(Лист2!$B$6,N:N)),L504=2),MAX($M$3:OFFSET(M504,-1,0))+1,0)</f>
        <v>0</v>
      </c>
      <c r="N504" s="3" t="s">
        <v>809</v>
      </c>
    </row>
    <row r="505" spans="1:14" x14ac:dyDescent="0.25">
      <c r="A505" s="1" t="s">
        <v>10275</v>
      </c>
      <c r="B505" s="3" t="s">
        <v>4129</v>
      </c>
      <c r="C505" s="2">
        <f ca="1">IF(ISNUMBER(SEARCH(Лист2!$B$4,D:D)),MAX($C$3:OFFSET(C505,-1,0))+1,0)</f>
        <v>0</v>
      </c>
      <c r="E505" s="9" t="str">
        <f t="shared" ca="1" si="18"/>
        <v/>
      </c>
      <c r="F505" s="4" t="s">
        <v>3</v>
      </c>
      <c r="G505" s="2">
        <f>IF(ISNUMBER(SEARCH(Лист2!$B$4,F:F)),1,0)</f>
        <v>0</v>
      </c>
      <c r="H505" s="3">
        <f ca="1">IF(AND(I505&lt;&gt;I504,ISNUMBER(SEARCH(Лист2!$B$5,I:I)),G505=1),MAX($H$3:OFFSET(H505,-1,0))+1,0)</f>
        <v>0</v>
      </c>
      <c r="I505" s="3" t="s">
        <v>87</v>
      </c>
      <c r="J505" s="4" t="str">
        <f t="shared" ca="1" si="17"/>
        <v/>
      </c>
      <c r="K505" s="2">
        <f>IF(ISNUMBER(SEARCH(Лист2!$B$4,F:F)),1,0)</f>
        <v>0</v>
      </c>
      <c r="L505" s="14">
        <f>IF(ISNUMBER(SEARCH(Лист2!$B$5,I:I)),1,0)+K505</f>
        <v>0</v>
      </c>
      <c r="M505" s="3">
        <f ca="1">IF(AND(N505&lt;&gt;N504,ISNUMBER(SEARCH(Лист2!$B$6,N:N)),L505=2),MAX($M$3:OFFSET(M505,-1,0))+1,0)</f>
        <v>0</v>
      </c>
      <c r="N505" s="3" t="s">
        <v>602</v>
      </c>
    </row>
    <row r="506" spans="1:14" x14ac:dyDescent="0.25">
      <c r="A506" s="1" t="s">
        <v>10276</v>
      </c>
      <c r="B506" s="3" t="s">
        <v>4130</v>
      </c>
      <c r="C506" s="2">
        <f ca="1">IF(ISNUMBER(SEARCH(Лист2!$B$4,D:D)),MAX($C$3:OFFSET(C506,-1,0))+1,0)</f>
        <v>0</v>
      </c>
      <c r="E506" s="9" t="str">
        <f t="shared" ca="1" si="18"/>
        <v/>
      </c>
      <c r="F506" s="4" t="s">
        <v>3</v>
      </c>
      <c r="G506" s="2">
        <f>IF(ISNUMBER(SEARCH(Лист2!$B$4,F:F)),1,0)</f>
        <v>0</v>
      </c>
      <c r="H506" s="3">
        <f ca="1">IF(AND(I506&lt;&gt;I505,ISNUMBER(SEARCH(Лист2!$B$5,I:I)),G506=1),MAX($H$3:OFFSET(H506,-1,0))+1,0)</f>
        <v>0</v>
      </c>
      <c r="I506" s="3" t="s">
        <v>87</v>
      </c>
      <c r="J506" s="4" t="str">
        <f t="shared" ca="1" si="17"/>
        <v/>
      </c>
      <c r="K506" s="2">
        <f>IF(ISNUMBER(SEARCH(Лист2!$B$4,F:F)),1,0)</f>
        <v>0</v>
      </c>
      <c r="L506" s="14">
        <f>IF(ISNUMBER(SEARCH(Лист2!$B$5,I:I)),1,0)+K506</f>
        <v>0</v>
      </c>
      <c r="M506" s="3">
        <f ca="1">IF(AND(N506&lt;&gt;N505,ISNUMBER(SEARCH(Лист2!$B$6,N:N)),L506=2),MAX($M$3:OFFSET(M506,-1,0))+1,0)</f>
        <v>0</v>
      </c>
      <c r="N506" s="3" t="s">
        <v>815</v>
      </c>
    </row>
    <row r="507" spans="1:14" x14ac:dyDescent="0.25">
      <c r="A507" s="1" t="s">
        <v>10277</v>
      </c>
      <c r="B507" s="3" t="s">
        <v>4131</v>
      </c>
      <c r="C507" s="2">
        <f ca="1">IF(ISNUMBER(SEARCH(Лист2!$B$4,D:D)),MAX($C$3:OFFSET(C507,-1,0))+1,0)</f>
        <v>0</v>
      </c>
      <c r="E507" s="9" t="str">
        <f t="shared" ca="1" si="18"/>
        <v/>
      </c>
      <c r="F507" s="4" t="s">
        <v>3</v>
      </c>
      <c r="G507" s="2">
        <f>IF(ISNUMBER(SEARCH(Лист2!$B$4,F:F)),1,0)</f>
        <v>0</v>
      </c>
      <c r="H507" s="3">
        <f ca="1">IF(AND(I507&lt;&gt;I506,ISNUMBER(SEARCH(Лист2!$B$5,I:I)),G507=1),MAX($H$3:OFFSET(H507,-1,0))+1,0)</f>
        <v>0</v>
      </c>
      <c r="I507" s="3" t="s">
        <v>87</v>
      </c>
      <c r="J507" s="4" t="str">
        <f t="shared" ca="1" si="17"/>
        <v/>
      </c>
      <c r="K507" s="2">
        <f>IF(ISNUMBER(SEARCH(Лист2!$B$4,F:F)),1,0)</f>
        <v>0</v>
      </c>
      <c r="L507" s="14">
        <f>IF(ISNUMBER(SEARCH(Лист2!$B$5,I:I)),1,0)+K507</f>
        <v>0</v>
      </c>
      <c r="M507" s="3">
        <f ca="1">IF(AND(N507&lt;&gt;N506,ISNUMBER(SEARCH(Лист2!$B$6,N:N)),L507=2),MAX($M$3:OFFSET(M507,-1,0))+1,0)</f>
        <v>0</v>
      </c>
      <c r="N507" s="3" t="s">
        <v>816</v>
      </c>
    </row>
    <row r="508" spans="1:14" x14ac:dyDescent="0.25">
      <c r="A508" s="1" t="s">
        <v>10278</v>
      </c>
      <c r="B508" s="3" t="s">
        <v>4132</v>
      </c>
      <c r="C508" s="2">
        <f ca="1">IF(ISNUMBER(SEARCH(Лист2!$B$4,D:D)),MAX($C$3:OFFSET(C508,-1,0))+1,0)</f>
        <v>0</v>
      </c>
      <c r="E508" s="9" t="str">
        <f t="shared" ca="1" si="18"/>
        <v/>
      </c>
      <c r="F508" s="4" t="s">
        <v>3</v>
      </c>
      <c r="G508" s="2">
        <f>IF(ISNUMBER(SEARCH(Лист2!$B$4,F:F)),1,0)</f>
        <v>0</v>
      </c>
      <c r="H508" s="3">
        <f ca="1">IF(AND(I508&lt;&gt;I507,ISNUMBER(SEARCH(Лист2!$B$5,I:I)),G508=1),MAX($H$3:OFFSET(H508,-1,0))+1,0)</f>
        <v>0</v>
      </c>
      <c r="I508" s="3" t="s">
        <v>87</v>
      </c>
      <c r="J508" s="4" t="str">
        <f t="shared" ca="1" si="17"/>
        <v/>
      </c>
      <c r="K508" s="2">
        <f>IF(ISNUMBER(SEARCH(Лист2!$B$4,F:F)),1,0)</f>
        <v>0</v>
      </c>
      <c r="L508" s="14">
        <f>IF(ISNUMBER(SEARCH(Лист2!$B$5,I:I)),1,0)+K508</f>
        <v>0</v>
      </c>
      <c r="M508" s="3">
        <f ca="1">IF(AND(N508&lt;&gt;N507,ISNUMBER(SEARCH(Лист2!$B$6,N:N)),L508=2),MAX($M$3:OFFSET(M508,-1,0))+1,0)</f>
        <v>0</v>
      </c>
      <c r="N508" s="3" t="s">
        <v>817</v>
      </c>
    </row>
    <row r="509" spans="1:14" x14ac:dyDescent="0.25">
      <c r="A509" s="1" t="s">
        <v>10279</v>
      </c>
      <c r="B509" s="3" t="s">
        <v>4133</v>
      </c>
      <c r="C509" s="2">
        <f ca="1">IF(ISNUMBER(SEARCH(Лист2!$B$4,D:D)),MAX($C$3:OFFSET(C509,-1,0))+1,0)</f>
        <v>0</v>
      </c>
      <c r="E509" s="9" t="str">
        <f t="shared" ca="1" si="18"/>
        <v/>
      </c>
      <c r="F509" s="4" t="s">
        <v>3</v>
      </c>
      <c r="G509" s="2">
        <f>IF(ISNUMBER(SEARCH(Лист2!$B$4,F:F)),1,0)</f>
        <v>0</v>
      </c>
      <c r="H509" s="3">
        <f ca="1">IF(AND(I509&lt;&gt;I508,ISNUMBER(SEARCH(Лист2!$B$5,I:I)),G509=1),MAX($H$3:OFFSET(H509,-1,0))+1,0)</f>
        <v>0</v>
      </c>
      <c r="I509" s="3" t="s">
        <v>88</v>
      </c>
      <c r="J509" s="4" t="str">
        <f t="shared" ca="1" si="17"/>
        <v/>
      </c>
      <c r="K509" s="2">
        <f>IF(ISNUMBER(SEARCH(Лист2!$B$4,F:F)),1,0)</f>
        <v>0</v>
      </c>
      <c r="L509" s="14">
        <f>IF(ISNUMBER(SEARCH(Лист2!$B$5,I:I)),1,0)+K509</f>
        <v>0</v>
      </c>
      <c r="M509" s="3">
        <f ca="1">IF(AND(N509&lt;&gt;N508,ISNUMBER(SEARCH(Лист2!$B$6,N:N)),L509=2),MAX($M$3:OFFSET(M509,-1,0))+1,0)</f>
        <v>0</v>
      </c>
      <c r="N509" s="3" t="s">
        <v>806</v>
      </c>
    </row>
    <row r="510" spans="1:14" x14ac:dyDescent="0.25">
      <c r="A510" s="1" t="s">
        <v>10280</v>
      </c>
      <c r="B510" s="3" t="s">
        <v>4134</v>
      </c>
      <c r="C510" s="2">
        <f ca="1">IF(ISNUMBER(SEARCH(Лист2!$B$4,D:D)),MAX($C$3:OFFSET(C510,-1,0))+1,0)</f>
        <v>0</v>
      </c>
      <c r="E510" s="9" t="str">
        <f t="shared" ca="1" si="18"/>
        <v/>
      </c>
      <c r="F510" s="4" t="s">
        <v>3</v>
      </c>
      <c r="G510" s="2">
        <f>IF(ISNUMBER(SEARCH(Лист2!$B$4,F:F)),1,0)</f>
        <v>0</v>
      </c>
      <c r="H510" s="3">
        <f ca="1">IF(AND(I510&lt;&gt;I509,ISNUMBER(SEARCH(Лист2!$B$5,I:I)),G510=1),MAX($H$3:OFFSET(H510,-1,0))+1,0)</f>
        <v>0</v>
      </c>
      <c r="I510" s="3" t="s">
        <v>88</v>
      </c>
      <c r="J510" s="4" t="str">
        <f t="shared" ca="1" si="17"/>
        <v/>
      </c>
      <c r="K510" s="2">
        <f>IF(ISNUMBER(SEARCH(Лист2!$B$4,F:F)),1,0)</f>
        <v>0</v>
      </c>
      <c r="L510" s="14">
        <f>IF(ISNUMBER(SEARCH(Лист2!$B$5,I:I)),1,0)+K510</f>
        <v>0</v>
      </c>
      <c r="M510" s="3">
        <f ca="1">IF(AND(N510&lt;&gt;N509,ISNUMBER(SEARCH(Лист2!$B$6,N:N)),L510=2),MAX($M$3:OFFSET(M510,-1,0))+1,0)</f>
        <v>0</v>
      </c>
      <c r="N510" s="3" t="s">
        <v>807</v>
      </c>
    </row>
    <row r="511" spans="1:14" x14ac:dyDescent="0.25">
      <c r="A511" s="1" t="s">
        <v>10281</v>
      </c>
      <c r="B511" s="3" t="s">
        <v>4135</v>
      </c>
      <c r="C511" s="2">
        <f ca="1">IF(ISNUMBER(SEARCH(Лист2!$B$4,D:D)),MAX($C$3:OFFSET(C511,-1,0))+1,0)</f>
        <v>0</v>
      </c>
      <c r="E511" s="9" t="str">
        <f t="shared" ca="1" si="18"/>
        <v/>
      </c>
      <c r="F511" s="4" t="s">
        <v>3</v>
      </c>
      <c r="G511" s="2">
        <f>IF(ISNUMBER(SEARCH(Лист2!$B$4,F:F)),1,0)</f>
        <v>0</v>
      </c>
      <c r="H511" s="3">
        <f ca="1">IF(AND(I511&lt;&gt;I510,ISNUMBER(SEARCH(Лист2!$B$5,I:I)),G511=1),MAX($H$3:OFFSET(H511,-1,0))+1,0)</f>
        <v>0</v>
      </c>
      <c r="I511" s="3" t="s">
        <v>88</v>
      </c>
      <c r="J511" s="4" t="str">
        <f t="shared" ca="1" si="17"/>
        <v/>
      </c>
      <c r="K511" s="2">
        <f>IF(ISNUMBER(SEARCH(Лист2!$B$4,F:F)),1,0)</f>
        <v>0</v>
      </c>
      <c r="L511" s="14">
        <f>IF(ISNUMBER(SEARCH(Лист2!$B$5,I:I)),1,0)+K511</f>
        <v>0</v>
      </c>
      <c r="M511" s="3">
        <f ca="1">IF(AND(N511&lt;&gt;N510,ISNUMBER(SEARCH(Лист2!$B$6,N:N)),L511=2),MAX($M$3:OFFSET(M511,-1,0))+1,0)</f>
        <v>0</v>
      </c>
      <c r="N511" s="3" t="s">
        <v>808</v>
      </c>
    </row>
    <row r="512" spans="1:14" x14ac:dyDescent="0.25">
      <c r="A512" s="1" t="s">
        <v>10282</v>
      </c>
      <c r="B512" s="3" t="s">
        <v>4136</v>
      </c>
      <c r="C512" s="2">
        <f ca="1">IF(ISNUMBER(SEARCH(Лист2!$B$4,D:D)),MAX($C$3:OFFSET(C512,-1,0))+1,0)</f>
        <v>0</v>
      </c>
      <c r="E512" s="9" t="str">
        <f t="shared" ca="1" si="18"/>
        <v/>
      </c>
      <c r="F512" s="4" t="s">
        <v>3</v>
      </c>
      <c r="G512" s="2">
        <f>IF(ISNUMBER(SEARCH(Лист2!$B$4,F:F)),1,0)</f>
        <v>0</v>
      </c>
      <c r="H512" s="3">
        <f ca="1">IF(AND(I512&lt;&gt;I511,ISNUMBER(SEARCH(Лист2!$B$5,I:I)),G512=1),MAX($H$3:OFFSET(H512,-1,0))+1,0)</f>
        <v>0</v>
      </c>
      <c r="I512" s="3" t="s">
        <v>88</v>
      </c>
      <c r="J512" s="4" t="str">
        <f t="shared" ca="1" si="17"/>
        <v/>
      </c>
      <c r="K512" s="2">
        <f>IF(ISNUMBER(SEARCH(Лист2!$B$4,F:F)),1,0)</f>
        <v>0</v>
      </c>
      <c r="L512" s="14">
        <f>IF(ISNUMBER(SEARCH(Лист2!$B$5,I:I)),1,0)+K512</f>
        <v>0</v>
      </c>
      <c r="M512" s="3">
        <f ca="1">IF(AND(N512&lt;&gt;N511,ISNUMBER(SEARCH(Лист2!$B$6,N:N)),L512=2),MAX($M$3:OFFSET(M512,-1,0))+1,0)</f>
        <v>0</v>
      </c>
      <c r="N512" s="3" t="s">
        <v>809</v>
      </c>
    </row>
    <row r="513" spans="1:14" x14ac:dyDescent="0.25">
      <c r="A513" s="1" t="s">
        <v>10283</v>
      </c>
      <c r="B513" s="3" t="s">
        <v>4137</v>
      </c>
      <c r="C513" s="2">
        <f ca="1">IF(ISNUMBER(SEARCH(Лист2!$B$4,D:D)),MAX($C$3:OFFSET(C513,-1,0))+1,0)</f>
        <v>0</v>
      </c>
      <c r="E513" s="9" t="str">
        <f t="shared" ca="1" si="18"/>
        <v/>
      </c>
      <c r="F513" s="4" t="s">
        <v>3</v>
      </c>
      <c r="G513" s="2">
        <f>IF(ISNUMBER(SEARCH(Лист2!$B$4,F:F)),1,0)</f>
        <v>0</v>
      </c>
      <c r="H513" s="3">
        <f ca="1">IF(AND(I513&lt;&gt;I512,ISNUMBER(SEARCH(Лист2!$B$5,I:I)),G513=1),MAX($H$3:OFFSET(H513,-1,0))+1,0)</f>
        <v>0</v>
      </c>
      <c r="I513" s="3" t="s">
        <v>88</v>
      </c>
      <c r="J513" s="4" t="str">
        <f t="shared" ca="1" si="17"/>
        <v/>
      </c>
      <c r="K513" s="2">
        <f>IF(ISNUMBER(SEARCH(Лист2!$B$4,F:F)),1,0)</f>
        <v>0</v>
      </c>
      <c r="L513" s="14">
        <f>IF(ISNUMBER(SEARCH(Лист2!$B$5,I:I)),1,0)+K513</f>
        <v>0</v>
      </c>
      <c r="M513" s="3">
        <f ca="1">IF(AND(N513&lt;&gt;N512,ISNUMBER(SEARCH(Лист2!$B$6,N:N)),L513=2),MAX($M$3:OFFSET(M513,-1,0))+1,0)</f>
        <v>0</v>
      </c>
      <c r="N513" s="3" t="s">
        <v>602</v>
      </c>
    </row>
    <row r="514" spans="1:14" x14ac:dyDescent="0.25">
      <c r="A514" s="1" t="s">
        <v>10284</v>
      </c>
      <c r="B514" s="3" t="s">
        <v>4138</v>
      </c>
      <c r="C514" s="2">
        <f ca="1">IF(ISNUMBER(SEARCH(Лист2!$B$4,D:D)),MAX($C$3:OFFSET(C514,-1,0))+1,0)</f>
        <v>0</v>
      </c>
      <c r="E514" s="9" t="str">
        <f t="shared" ca="1" si="18"/>
        <v/>
      </c>
      <c r="F514" s="4" t="s">
        <v>3</v>
      </c>
      <c r="G514" s="2">
        <f>IF(ISNUMBER(SEARCH(Лист2!$B$4,F:F)),1,0)</f>
        <v>0</v>
      </c>
      <c r="H514" s="3">
        <f ca="1">IF(AND(I514&lt;&gt;I513,ISNUMBER(SEARCH(Лист2!$B$5,I:I)),G514=1),MAX($H$3:OFFSET(H514,-1,0))+1,0)</f>
        <v>0</v>
      </c>
      <c r="I514" s="3" t="s">
        <v>88</v>
      </c>
      <c r="J514" s="4" t="str">
        <f t="shared" ca="1" si="17"/>
        <v/>
      </c>
      <c r="K514" s="2">
        <f>IF(ISNUMBER(SEARCH(Лист2!$B$4,F:F)),1,0)</f>
        <v>0</v>
      </c>
      <c r="L514" s="14">
        <f>IF(ISNUMBER(SEARCH(Лист2!$B$5,I:I)),1,0)+K514</f>
        <v>0</v>
      </c>
      <c r="M514" s="3">
        <f ca="1">IF(AND(N514&lt;&gt;N513,ISNUMBER(SEARCH(Лист2!$B$6,N:N)),L514=2),MAX($M$3:OFFSET(M514,-1,0))+1,0)</f>
        <v>0</v>
      </c>
      <c r="N514" s="3" t="s">
        <v>810</v>
      </c>
    </row>
    <row r="515" spans="1:14" x14ac:dyDescent="0.25">
      <c r="A515" s="1" t="s">
        <v>10285</v>
      </c>
      <c r="B515" s="3" t="s">
        <v>4139</v>
      </c>
      <c r="C515" s="2">
        <f ca="1">IF(ISNUMBER(SEARCH(Лист2!$B$4,D:D)),MAX($C$3:OFFSET(C515,-1,0))+1,0)</f>
        <v>0</v>
      </c>
      <c r="E515" s="9" t="str">
        <f t="shared" ca="1" si="18"/>
        <v/>
      </c>
      <c r="F515" s="4" t="s">
        <v>3</v>
      </c>
      <c r="G515" s="2">
        <f>IF(ISNUMBER(SEARCH(Лист2!$B$4,F:F)),1,0)</f>
        <v>0</v>
      </c>
      <c r="H515" s="3">
        <f ca="1">IF(AND(I515&lt;&gt;I514,ISNUMBER(SEARCH(Лист2!$B$5,I:I)),G515=1),MAX($H$3:OFFSET(H515,-1,0))+1,0)</f>
        <v>0</v>
      </c>
      <c r="I515" s="3" t="s">
        <v>88</v>
      </c>
      <c r="J515" s="4" t="str">
        <f t="shared" ca="1" si="17"/>
        <v/>
      </c>
      <c r="K515" s="2">
        <f>IF(ISNUMBER(SEARCH(Лист2!$B$4,F:F)),1,0)</f>
        <v>0</v>
      </c>
      <c r="L515" s="14">
        <f>IF(ISNUMBER(SEARCH(Лист2!$B$5,I:I)),1,0)+K515</f>
        <v>0</v>
      </c>
      <c r="M515" s="3">
        <f ca="1">IF(AND(N515&lt;&gt;N514,ISNUMBER(SEARCH(Лист2!$B$6,N:N)),L515=2),MAX($M$3:OFFSET(M515,-1,0))+1,0)</f>
        <v>0</v>
      </c>
      <c r="N515" s="3" t="s">
        <v>811</v>
      </c>
    </row>
    <row r="516" spans="1:14" x14ac:dyDescent="0.25">
      <c r="A516" s="1" t="s">
        <v>10286</v>
      </c>
      <c r="B516" s="3" t="s">
        <v>4140</v>
      </c>
      <c r="C516" s="2">
        <f ca="1">IF(ISNUMBER(SEARCH(Лист2!$B$4,D:D)),MAX($C$3:OFFSET(C516,-1,0))+1,0)</f>
        <v>0</v>
      </c>
      <c r="E516" s="9" t="str">
        <f t="shared" ca="1" si="18"/>
        <v/>
      </c>
      <c r="F516" s="4" t="s">
        <v>3</v>
      </c>
      <c r="G516" s="2">
        <f>IF(ISNUMBER(SEARCH(Лист2!$B$4,F:F)),1,0)</f>
        <v>0</v>
      </c>
      <c r="H516" s="3">
        <f ca="1">IF(AND(I516&lt;&gt;I515,ISNUMBER(SEARCH(Лист2!$B$5,I:I)),G516=1),MAX($H$3:OFFSET(H516,-1,0))+1,0)</f>
        <v>0</v>
      </c>
      <c r="I516" s="3" t="s">
        <v>88</v>
      </c>
      <c r="J516" s="4" t="str">
        <f t="shared" ref="J516:J551" ca="1" si="19">IFERROR(INDEX(I:I,MATCH(ROW(J516)-ROW($E$3),H:H,0)),"")</f>
        <v/>
      </c>
      <c r="K516" s="2">
        <f>IF(ISNUMBER(SEARCH(Лист2!$B$4,F:F)),1,0)</f>
        <v>0</v>
      </c>
      <c r="L516" s="14">
        <f>IF(ISNUMBER(SEARCH(Лист2!$B$5,I:I)),1,0)+K516</f>
        <v>0</v>
      </c>
      <c r="M516" s="3">
        <f ca="1">IF(AND(N516&lt;&gt;N515,ISNUMBER(SEARCH(Лист2!$B$6,N:N)),L516=2),MAX($M$3:OFFSET(M516,-1,0))+1,0)</f>
        <v>0</v>
      </c>
      <c r="N516" s="3" t="s">
        <v>812</v>
      </c>
    </row>
    <row r="517" spans="1:14" x14ac:dyDescent="0.25">
      <c r="A517" s="1" t="s">
        <v>10287</v>
      </c>
      <c r="B517" s="3" t="s">
        <v>4141</v>
      </c>
      <c r="C517" s="2">
        <f ca="1">IF(ISNUMBER(SEARCH(Лист2!$B$4,D:D)),MAX($C$3:OFFSET(C517,-1,0))+1,0)</f>
        <v>0</v>
      </c>
      <c r="E517" s="9" t="str">
        <f t="shared" ref="E517:E580" ca="1" si="20">IFERROR(INDEX(D:D,MATCH(ROW(E517)-ROW($E$3),C:C,0)),"")</f>
        <v/>
      </c>
      <c r="F517" s="4" t="s">
        <v>3</v>
      </c>
      <c r="G517" s="2">
        <f>IF(ISNUMBER(SEARCH(Лист2!$B$4,F:F)),1,0)</f>
        <v>0</v>
      </c>
      <c r="H517" s="3">
        <f ca="1">IF(AND(I517&lt;&gt;I516,ISNUMBER(SEARCH(Лист2!$B$5,I:I)),G517=1),MAX($H$3:OFFSET(H517,-1,0))+1,0)</f>
        <v>0</v>
      </c>
      <c r="I517" s="3" t="s">
        <v>89</v>
      </c>
      <c r="J517" s="4" t="str">
        <f t="shared" ca="1" si="19"/>
        <v/>
      </c>
      <c r="K517" s="2">
        <f>IF(ISNUMBER(SEARCH(Лист2!$B$4,F:F)),1,0)</f>
        <v>0</v>
      </c>
      <c r="L517" s="14">
        <f>IF(ISNUMBER(SEARCH(Лист2!$B$5,I:I)),1,0)+K517</f>
        <v>0</v>
      </c>
      <c r="M517" s="3">
        <f ca="1">IF(AND(N517&lt;&gt;N516,ISNUMBER(SEARCH(Лист2!$B$6,N:N)),L517=2),MAX($M$3:OFFSET(M517,-1,0))+1,0)</f>
        <v>0</v>
      </c>
      <c r="N517" s="3" t="s">
        <v>813</v>
      </c>
    </row>
    <row r="518" spans="1:14" x14ac:dyDescent="0.25">
      <c r="A518" s="1" t="s">
        <v>10288</v>
      </c>
      <c r="B518" s="3" t="s">
        <v>4142</v>
      </c>
      <c r="C518" s="2">
        <f ca="1">IF(ISNUMBER(SEARCH(Лист2!$B$4,D:D)),MAX($C$3:OFFSET(C518,-1,0))+1,0)</f>
        <v>0</v>
      </c>
      <c r="E518" s="9" t="str">
        <f t="shared" ca="1" si="20"/>
        <v/>
      </c>
      <c r="F518" s="4" t="s">
        <v>3</v>
      </c>
      <c r="G518" s="2">
        <f>IF(ISNUMBER(SEARCH(Лист2!$B$4,F:F)),1,0)</f>
        <v>0</v>
      </c>
      <c r="H518" s="3">
        <f ca="1">IF(AND(I518&lt;&gt;I517,ISNUMBER(SEARCH(Лист2!$B$5,I:I)),G518=1),MAX($H$3:OFFSET(H518,-1,0))+1,0)</f>
        <v>0</v>
      </c>
      <c r="I518" s="3" t="s">
        <v>89</v>
      </c>
      <c r="J518" s="4" t="str">
        <f t="shared" ca="1" si="19"/>
        <v/>
      </c>
      <c r="K518" s="2">
        <f>IF(ISNUMBER(SEARCH(Лист2!$B$4,F:F)),1,0)</f>
        <v>0</v>
      </c>
      <c r="L518" s="14">
        <f>IF(ISNUMBER(SEARCH(Лист2!$B$5,I:I)),1,0)+K518</f>
        <v>0</v>
      </c>
      <c r="M518" s="3">
        <f ca="1">IF(AND(N518&lt;&gt;N517,ISNUMBER(SEARCH(Лист2!$B$6,N:N)),L518=2),MAX($M$3:OFFSET(M518,-1,0))+1,0)</f>
        <v>0</v>
      </c>
      <c r="N518" s="3" t="s">
        <v>814</v>
      </c>
    </row>
    <row r="519" spans="1:14" x14ac:dyDescent="0.25">
      <c r="A519" s="1" t="s">
        <v>10289</v>
      </c>
      <c r="B519" s="3" t="s">
        <v>4143</v>
      </c>
      <c r="C519" s="2">
        <f ca="1">IF(ISNUMBER(SEARCH(Лист2!$B$4,D:D)),MAX($C$3:OFFSET(C519,-1,0))+1,0)</f>
        <v>0</v>
      </c>
      <c r="E519" s="9" t="str">
        <f t="shared" ca="1" si="20"/>
        <v/>
      </c>
      <c r="F519" s="4" t="s">
        <v>3</v>
      </c>
      <c r="G519" s="2">
        <f>IF(ISNUMBER(SEARCH(Лист2!$B$4,F:F)),1,0)</f>
        <v>0</v>
      </c>
      <c r="H519" s="3">
        <f ca="1">IF(AND(I519&lt;&gt;I518,ISNUMBER(SEARCH(Лист2!$B$5,I:I)),G519=1),MAX($H$3:OFFSET(H519,-1,0))+1,0)</f>
        <v>0</v>
      </c>
      <c r="I519" s="3" t="s">
        <v>89</v>
      </c>
      <c r="J519" s="4" t="str">
        <f t="shared" ca="1" si="19"/>
        <v/>
      </c>
      <c r="K519" s="2">
        <f>IF(ISNUMBER(SEARCH(Лист2!$B$4,F:F)),1,0)</f>
        <v>0</v>
      </c>
      <c r="L519" s="14">
        <f>IF(ISNUMBER(SEARCH(Лист2!$B$5,I:I)),1,0)+K519</f>
        <v>0</v>
      </c>
      <c r="M519" s="3">
        <f ca="1">IF(AND(N519&lt;&gt;N518,ISNUMBER(SEARCH(Лист2!$B$6,N:N)),L519=2),MAX($M$3:OFFSET(M519,-1,0))+1,0)</f>
        <v>0</v>
      </c>
      <c r="N519" s="3" t="s">
        <v>808</v>
      </c>
    </row>
    <row r="520" spans="1:14" x14ac:dyDescent="0.25">
      <c r="A520" s="1" t="s">
        <v>10290</v>
      </c>
      <c r="B520" s="3" t="s">
        <v>4144</v>
      </c>
      <c r="C520" s="2">
        <f ca="1">IF(ISNUMBER(SEARCH(Лист2!$B$4,D:D)),MAX($C$3:OFFSET(C520,-1,0))+1,0)</f>
        <v>0</v>
      </c>
      <c r="E520" s="9" t="str">
        <f t="shared" ca="1" si="20"/>
        <v/>
      </c>
      <c r="F520" s="4" t="s">
        <v>3</v>
      </c>
      <c r="G520" s="2">
        <f>IF(ISNUMBER(SEARCH(Лист2!$B$4,F:F)),1,0)</f>
        <v>0</v>
      </c>
      <c r="H520" s="3">
        <f ca="1">IF(AND(I520&lt;&gt;I519,ISNUMBER(SEARCH(Лист2!$B$5,I:I)),G520=1),MAX($H$3:OFFSET(H520,-1,0))+1,0)</f>
        <v>0</v>
      </c>
      <c r="I520" s="3" t="s">
        <v>89</v>
      </c>
      <c r="J520" s="4" t="str">
        <f t="shared" ca="1" si="19"/>
        <v/>
      </c>
      <c r="K520" s="2">
        <f>IF(ISNUMBER(SEARCH(Лист2!$B$4,F:F)),1,0)</f>
        <v>0</v>
      </c>
      <c r="L520" s="14">
        <f>IF(ISNUMBER(SEARCH(Лист2!$B$5,I:I)),1,0)+K520</f>
        <v>0</v>
      </c>
      <c r="M520" s="3">
        <f ca="1">IF(AND(N520&lt;&gt;N519,ISNUMBER(SEARCH(Лист2!$B$6,N:N)),L520=2),MAX($M$3:OFFSET(M520,-1,0))+1,0)</f>
        <v>0</v>
      </c>
      <c r="N520" s="3" t="s">
        <v>809</v>
      </c>
    </row>
    <row r="521" spans="1:14" x14ac:dyDescent="0.25">
      <c r="A521" s="1" t="s">
        <v>10291</v>
      </c>
      <c r="B521" s="3" t="s">
        <v>4145</v>
      </c>
      <c r="C521" s="2">
        <f ca="1">IF(ISNUMBER(SEARCH(Лист2!$B$4,D:D)),MAX($C$3:OFFSET(C521,-1,0))+1,0)</f>
        <v>0</v>
      </c>
      <c r="E521" s="9" t="str">
        <f t="shared" ca="1" si="20"/>
        <v/>
      </c>
      <c r="F521" s="4" t="s">
        <v>3</v>
      </c>
      <c r="G521" s="2">
        <f>IF(ISNUMBER(SEARCH(Лист2!$B$4,F:F)),1,0)</f>
        <v>0</v>
      </c>
      <c r="H521" s="3">
        <f ca="1">IF(AND(I521&lt;&gt;I520,ISNUMBER(SEARCH(Лист2!$B$5,I:I)),G521=1),MAX($H$3:OFFSET(H521,-1,0))+1,0)</f>
        <v>0</v>
      </c>
      <c r="I521" s="3" t="s">
        <v>89</v>
      </c>
      <c r="J521" s="4" t="str">
        <f t="shared" ca="1" si="19"/>
        <v/>
      </c>
      <c r="K521" s="2">
        <f>IF(ISNUMBER(SEARCH(Лист2!$B$4,F:F)),1,0)</f>
        <v>0</v>
      </c>
      <c r="L521" s="14">
        <f>IF(ISNUMBER(SEARCH(Лист2!$B$5,I:I)),1,0)+K521</f>
        <v>0</v>
      </c>
      <c r="M521" s="3">
        <f ca="1">IF(AND(N521&lt;&gt;N520,ISNUMBER(SEARCH(Лист2!$B$6,N:N)),L521=2),MAX($M$3:OFFSET(M521,-1,0))+1,0)</f>
        <v>0</v>
      </c>
      <c r="N521" s="3" t="s">
        <v>602</v>
      </c>
    </row>
    <row r="522" spans="1:14" x14ac:dyDescent="0.25">
      <c r="A522" s="1" t="s">
        <v>10292</v>
      </c>
      <c r="B522" s="3" t="s">
        <v>4146</v>
      </c>
      <c r="C522" s="2">
        <f ca="1">IF(ISNUMBER(SEARCH(Лист2!$B$4,D:D)),MAX($C$3:OFFSET(C522,-1,0))+1,0)</f>
        <v>0</v>
      </c>
      <c r="E522" s="9" t="str">
        <f t="shared" ca="1" si="20"/>
        <v/>
      </c>
      <c r="F522" s="4" t="s">
        <v>3</v>
      </c>
      <c r="G522" s="2">
        <f>IF(ISNUMBER(SEARCH(Лист2!$B$4,F:F)),1,0)</f>
        <v>0</v>
      </c>
      <c r="H522" s="3">
        <f ca="1">IF(AND(I522&lt;&gt;I521,ISNUMBER(SEARCH(Лист2!$B$5,I:I)),G522=1),MAX($H$3:OFFSET(H522,-1,0))+1,0)</f>
        <v>0</v>
      </c>
      <c r="I522" s="3" t="s">
        <v>89</v>
      </c>
      <c r="J522" s="4" t="str">
        <f t="shared" ca="1" si="19"/>
        <v/>
      </c>
      <c r="K522" s="2">
        <f>IF(ISNUMBER(SEARCH(Лист2!$B$4,F:F)),1,0)</f>
        <v>0</v>
      </c>
      <c r="L522" s="14">
        <f>IF(ISNUMBER(SEARCH(Лист2!$B$5,I:I)),1,0)+K522</f>
        <v>0</v>
      </c>
      <c r="M522" s="3">
        <f ca="1">IF(AND(N522&lt;&gt;N521,ISNUMBER(SEARCH(Лист2!$B$6,N:N)),L522=2),MAX($M$3:OFFSET(M522,-1,0))+1,0)</f>
        <v>0</v>
      </c>
      <c r="N522" s="3" t="s">
        <v>815</v>
      </c>
    </row>
    <row r="523" spans="1:14" x14ac:dyDescent="0.25">
      <c r="A523" s="1" t="s">
        <v>10293</v>
      </c>
      <c r="B523" s="3" t="s">
        <v>4147</v>
      </c>
      <c r="C523" s="2">
        <f ca="1">IF(ISNUMBER(SEARCH(Лист2!$B$4,D:D)),MAX($C$3:OFFSET(C523,-1,0))+1,0)</f>
        <v>0</v>
      </c>
      <c r="E523" s="9" t="str">
        <f t="shared" ca="1" si="20"/>
        <v/>
      </c>
      <c r="F523" s="4" t="s">
        <v>3</v>
      </c>
      <c r="G523" s="2">
        <f>IF(ISNUMBER(SEARCH(Лист2!$B$4,F:F)),1,0)</f>
        <v>0</v>
      </c>
      <c r="H523" s="3">
        <f ca="1">IF(AND(I523&lt;&gt;I522,ISNUMBER(SEARCH(Лист2!$B$5,I:I)),G523=1),MAX($H$3:OFFSET(H523,-1,0))+1,0)</f>
        <v>0</v>
      </c>
      <c r="I523" s="3" t="s">
        <v>89</v>
      </c>
      <c r="J523" s="4" t="str">
        <f t="shared" ca="1" si="19"/>
        <v/>
      </c>
      <c r="K523" s="2">
        <f>IF(ISNUMBER(SEARCH(Лист2!$B$4,F:F)),1,0)</f>
        <v>0</v>
      </c>
      <c r="L523" s="14">
        <f>IF(ISNUMBER(SEARCH(Лист2!$B$5,I:I)),1,0)+K523</f>
        <v>0</v>
      </c>
      <c r="M523" s="3">
        <f ca="1">IF(AND(N523&lt;&gt;N522,ISNUMBER(SEARCH(Лист2!$B$6,N:N)),L523=2),MAX($M$3:OFFSET(M523,-1,0))+1,0)</f>
        <v>0</v>
      </c>
      <c r="N523" s="3" t="s">
        <v>816</v>
      </c>
    </row>
    <row r="524" spans="1:14" x14ac:dyDescent="0.25">
      <c r="A524" s="1" t="s">
        <v>10294</v>
      </c>
      <c r="B524" s="3" t="s">
        <v>4148</v>
      </c>
      <c r="C524" s="2">
        <f ca="1">IF(ISNUMBER(SEARCH(Лист2!$B$4,D:D)),MAX($C$3:OFFSET(C524,-1,0))+1,0)</f>
        <v>0</v>
      </c>
      <c r="E524" s="9" t="str">
        <f t="shared" ca="1" si="20"/>
        <v/>
      </c>
      <c r="F524" s="4" t="s">
        <v>3</v>
      </c>
      <c r="G524" s="2">
        <f>IF(ISNUMBER(SEARCH(Лист2!$B$4,F:F)),1,0)</f>
        <v>0</v>
      </c>
      <c r="H524" s="3">
        <f ca="1">IF(AND(I524&lt;&gt;I523,ISNUMBER(SEARCH(Лист2!$B$5,I:I)),G524=1),MAX($H$3:OFFSET(H524,-1,0))+1,0)</f>
        <v>0</v>
      </c>
      <c r="I524" s="3" t="s">
        <v>89</v>
      </c>
      <c r="J524" s="4" t="str">
        <f t="shared" ca="1" si="19"/>
        <v/>
      </c>
      <c r="K524" s="2">
        <f>IF(ISNUMBER(SEARCH(Лист2!$B$4,F:F)),1,0)</f>
        <v>0</v>
      </c>
      <c r="L524" s="14">
        <f>IF(ISNUMBER(SEARCH(Лист2!$B$5,I:I)),1,0)+K524</f>
        <v>0</v>
      </c>
      <c r="M524" s="3">
        <f ca="1">IF(AND(N524&lt;&gt;N523,ISNUMBER(SEARCH(Лист2!$B$6,N:N)),L524=2),MAX($M$3:OFFSET(M524,-1,0))+1,0)</f>
        <v>0</v>
      </c>
      <c r="N524" s="3" t="s">
        <v>817</v>
      </c>
    </row>
    <row r="525" spans="1:14" x14ac:dyDescent="0.25">
      <c r="A525" s="1" t="s">
        <v>10295</v>
      </c>
      <c r="B525" s="3" t="s">
        <v>4149</v>
      </c>
      <c r="C525" s="2">
        <f ca="1">IF(ISNUMBER(SEARCH(Лист2!$B$4,D:D)),MAX($C$3:OFFSET(C525,-1,0))+1,0)</f>
        <v>0</v>
      </c>
      <c r="E525" s="9" t="str">
        <f t="shared" ca="1" si="20"/>
        <v/>
      </c>
      <c r="F525" s="4" t="s">
        <v>3</v>
      </c>
      <c r="G525" s="2">
        <f>IF(ISNUMBER(SEARCH(Лист2!$B$4,F:F)),1,0)</f>
        <v>0</v>
      </c>
      <c r="H525" s="3">
        <f ca="1">IF(AND(I525&lt;&gt;I524,ISNUMBER(SEARCH(Лист2!$B$5,I:I)),G525=1),MAX($H$3:OFFSET(H525,-1,0))+1,0)</f>
        <v>0</v>
      </c>
      <c r="I525" s="3" t="s">
        <v>90</v>
      </c>
      <c r="J525" s="4" t="str">
        <f t="shared" ca="1" si="19"/>
        <v/>
      </c>
      <c r="K525" s="2">
        <f>IF(ISNUMBER(SEARCH(Лист2!$B$4,F:F)),1,0)</f>
        <v>0</v>
      </c>
      <c r="L525" s="14">
        <f>IF(ISNUMBER(SEARCH(Лист2!$B$5,I:I)),1,0)+K525</f>
        <v>0</v>
      </c>
      <c r="M525" s="3">
        <f ca="1">IF(AND(N525&lt;&gt;N524,ISNUMBER(SEARCH(Лист2!$B$6,N:N)),L525=2),MAX($M$3:OFFSET(M525,-1,0))+1,0)</f>
        <v>0</v>
      </c>
      <c r="N525" s="3" t="s">
        <v>818</v>
      </c>
    </row>
    <row r="526" spans="1:14" x14ac:dyDescent="0.25">
      <c r="A526" s="1" t="s">
        <v>10296</v>
      </c>
      <c r="B526" s="3" t="s">
        <v>4150</v>
      </c>
      <c r="C526" s="2">
        <f ca="1">IF(ISNUMBER(SEARCH(Лист2!$B$4,D:D)),MAX($C$3:OFFSET(C526,-1,0))+1,0)</f>
        <v>0</v>
      </c>
      <c r="E526" s="9" t="str">
        <f t="shared" ca="1" si="20"/>
        <v/>
      </c>
      <c r="F526" s="4" t="s">
        <v>3</v>
      </c>
      <c r="G526" s="2">
        <f>IF(ISNUMBER(SEARCH(Лист2!$B$4,F:F)),1,0)</f>
        <v>0</v>
      </c>
      <c r="H526" s="3">
        <f ca="1">IF(AND(I526&lt;&gt;I525,ISNUMBER(SEARCH(Лист2!$B$5,I:I)),G526=1),MAX($H$3:OFFSET(H526,-1,0))+1,0)</f>
        <v>0</v>
      </c>
      <c r="I526" s="3" t="s">
        <v>90</v>
      </c>
      <c r="J526" s="4" t="str">
        <f t="shared" ca="1" si="19"/>
        <v/>
      </c>
      <c r="K526" s="2">
        <f>IF(ISNUMBER(SEARCH(Лист2!$B$4,F:F)),1,0)</f>
        <v>0</v>
      </c>
      <c r="L526" s="14">
        <f>IF(ISNUMBER(SEARCH(Лист2!$B$5,I:I)),1,0)+K526</f>
        <v>0</v>
      </c>
      <c r="M526" s="3">
        <f ca="1">IF(AND(N526&lt;&gt;N525,ISNUMBER(SEARCH(Лист2!$B$6,N:N)),L526=2),MAX($M$3:OFFSET(M526,-1,0))+1,0)</f>
        <v>0</v>
      </c>
      <c r="N526" s="3" t="s">
        <v>819</v>
      </c>
    </row>
    <row r="527" spans="1:14" x14ac:dyDescent="0.25">
      <c r="A527" s="1" t="s">
        <v>10296</v>
      </c>
      <c r="B527" s="3" t="s">
        <v>4151</v>
      </c>
      <c r="C527" s="2">
        <f ca="1">IF(ISNUMBER(SEARCH(Лист2!$B$4,D:D)),MAX($C$3:OFFSET(C527,-1,0))+1,0)</f>
        <v>0</v>
      </c>
      <c r="E527" s="9" t="str">
        <f t="shared" ca="1" si="20"/>
        <v/>
      </c>
      <c r="F527" s="4" t="s">
        <v>3</v>
      </c>
      <c r="G527" s="2">
        <f>IF(ISNUMBER(SEARCH(Лист2!$B$4,F:F)),1,0)</f>
        <v>0</v>
      </c>
      <c r="H527" s="3">
        <f ca="1">IF(AND(I527&lt;&gt;I526,ISNUMBER(SEARCH(Лист2!$B$5,I:I)),G527=1),MAX($H$3:OFFSET(H527,-1,0))+1,0)</f>
        <v>0</v>
      </c>
      <c r="I527" s="3" t="s">
        <v>90</v>
      </c>
      <c r="J527" s="4" t="str">
        <f t="shared" ca="1" si="19"/>
        <v/>
      </c>
      <c r="K527" s="2">
        <f>IF(ISNUMBER(SEARCH(Лист2!$B$4,F:F)),1,0)</f>
        <v>0</v>
      </c>
      <c r="L527" s="14">
        <f>IF(ISNUMBER(SEARCH(Лист2!$B$5,I:I)),1,0)+K527</f>
        <v>0</v>
      </c>
      <c r="M527" s="3">
        <f ca="1">IF(AND(N527&lt;&gt;N526,ISNUMBER(SEARCH(Лист2!$B$6,N:N)),L527=2),MAX($M$3:OFFSET(M527,-1,0))+1,0)</f>
        <v>0</v>
      </c>
      <c r="N527" s="3" t="s">
        <v>819</v>
      </c>
    </row>
    <row r="528" spans="1:14" x14ac:dyDescent="0.25">
      <c r="A528" s="1" t="s">
        <v>10297</v>
      </c>
      <c r="B528" s="3" t="s">
        <v>4152</v>
      </c>
      <c r="C528" s="2">
        <f ca="1">IF(ISNUMBER(SEARCH(Лист2!$B$4,D:D)),MAX($C$3:OFFSET(C528,-1,0))+1,0)</f>
        <v>0</v>
      </c>
      <c r="E528" s="9" t="str">
        <f t="shared" ca="1" si="20"/>
        <v/>
      </c>
      <c r="F528" s="4" t="s">
        <v>3</v>
      </c>
      <c r="G528" s="2">
        <f>IF(ISNUMBER(SEARCH(Лист2!$B$4,F:F)),1,0)</f>
        <v>0</v>
      </c>
      <c r="H528" s="3">
        <f ca="1">IF(AND(I528&lt;&gt;I527,ISNUMBER(SEARCH(Лист2!$B$5,I:I)),G528=1),MAX($H$3:OFFSET(H528,-1,0))+1,0)</f>
        <v>0</v>
      </c>
      <c r="I528" s="3" t="s">
        <v>90</v>
      </c>
      <c r="J528" s="4" t="str">
        <f t="shared" ca="1" si="19"/>
        <v/>
      </c>
      <c r="K528" s="2">
        <f>IF(ISNUMBER(SEARCH(Лист2!$B$4,F:F)),1,0)</f>
        <v>0</v>
      </c>
      <c r="L528" s="14">
        <f>IF(ISNUMBER(SEARCH(Лист2!$B$5,I:I)),1,0)+K528</f>
        <v>0</v>
      </c>
      <c r="M528" s="3">
        <f ca="1">IF(AND(N528&lt;&gt;N527,ISNUMBER(SEARCH(Лист2!$B$6,N:N)),L528=2),MAX($M$3:OFFSET(M528,-1,0))+1,0)</f>
        <v>0</v>
      </c>
      <c r="N528" s="3" t="s">
        <v>820</v>
      </c>
    </row>
    <row r="529" spans="1:14" x14ac:dyDescent="0.25">
      <c r="A529" s="1" t="s">
        <v>10298</v>
      </c>
      <c r="B529" s="3" t="s">
        <v>4153</v>
      </c>
      <c r="C529" s="2">
        <f ca="1">IF(ISNUMBER(SEARCH(Лист2!$B$4,D:D)),MAX($C$3:OFFSET(C529,-1,0))+1,0)</f>
        <v>0</v>
      </c>
      <c r="E529" s="9" t="str">
        <f t="shared" ca="1" si="20"/>
        <v/>
      </c>
      <c r="F529" s="4" t="s">
        <v>3</v>
      </c>
      <c r="G529" s="2">
        <f>IF(ISNUMBER(SEARCH(Лист2!$B$4,F:F)),1,0)</f>
        <v>0</v>
      </c>
      <c r="H529" s="3">
        <f ca="1">IF(AND(I529&lt;&gt;I528,ISNUMBER(SEARCH(Лист2!$B$5,I:I)),G529=1),MAX($H$3:OFFSET(H529,-1,0))+1,0)</f>
        <v>0</v>
      </c>
      <c r="I529" s="3" t="s">
        <v>90</v>
      </c>
      <c r="J529" s="4" t="str">
        <f t="shared" ca="1" si="19"/>
        <v/>
      </c>
      <c r="K529" s="2">
        <f>IF(ISNUMBER(SEARCH(Лист2!$B$4,F:F)),1,0)</f>
        <v>0</v>
      </c>
      <c r="L529" s="14">
        <f>IF(ISNUMBER(SEARCH(Лист2!$B$5,I:I)),1,0)+K529</f>
        <v>0</v>
      </c>
      <c r="M529" s="3">
        <f ca="1">IF(AND(N529&lt;&gt;N528,ISNUMBER(SEARCH(Лист2!$B$6,N:N)),L529=2),MAX($M$3:OFFSET(M529,-1,0))+1,0)</f>
        <v>0</v>
      </c>
      <c r="N529" s="3" t="s">
        <v>821</v>
      </c>
    </row>
    <row r="530" spans="1:14" x14ac:dyDescent="0.25">
      <c r="A530" s="1" t="s">
        <v>10299</v>
      </c>
      <c r="B530" s="3" t="s">
        <v>4154</v>
      </c>
      <c r="C530" s="2">
        <f ca="1">IF(ISNUMBER(SEARCH(Лист2!$B$4,D:D)),MAX($C$3:OFFSET(C530,-1,0))+1,0)</f>
        <v>0</v>
      </c>
      <c r="E530" s="9" t="str">
        <f t="shared" ca="1" si="20"/>
        <v/>
      </c>
      <c r="F530" s="4" t="s">
        <v>3</v>
      </c>
      <c r="G530" s="2">
        <f>IF(ISNUMBER(SEARCH(Лист2!$B$4,F:F)),1,0)</f>
        <v>0</v>
      </c>
      <c r="H530" s="3">
        <f ca="1">IF(AND(I530&lt;&gt;I529,ISNUMBER(SEARCH(Лист2!$B$5,I:I)),G530=1),MAX($H$3:OFFSET(H530,-1,0))+1,0)</f>
        <v>0</v>
      </c>
      <c r="I530" s="3" t="s">
        <v>90</v>
      </c>
      <c r="J530" s="4" t="str">
        <f t="shared" ca="1" si="19"/>
        <v/>
      </c>
      <c r="K530" s="2">
        <f>IF(ISNUMBER(SEARCH(Лист2!$B$4,F:F)),1,0)</f>
        <v>0</v>
      </c>
      <c r="L530" s="14">
        <f>IF(ISNUMBER(SEARCH(Лист2!$B$5,I:I)),1,0)+K530</f>
        <v>0</v>
      </c>
      <c r="M530" s="3">
        <f ca="1">IF(AND(N530&lt;&gt;N529,ISNUMBER(SEARCH(Лист2!$B$6,N:N)),L530=2),MAX($M$3:OFFSET(M530,-1,0))+1,0)</f>
        <v>0</v>
      </c>
      <c r="N530" s="3" t="s">
        <v>822</v>
      </c>
    </row>
    <row r="531" spans="1:14" x14ac:dyDescent="0.25">
      <c r="A531" s="1" t="s">
        <v>10300</v>
      </c>
      <c r="B531" s="3" t="s">
        <v>4155</v>
      </c>
      <c r="C531" s="2">
        <f ca="1">IF(ISNUMBER(SEARCH(Лист2!$B$4,D:D)),MAX($C$3:OFFSET(C531,-1,0))+1,0)</f>
        <v>0</v>
      </c>
      <c r="E531" s="9" t="str">
        <f t="shared" ca="1" si="20"/>
        <v/>
      </c>
      <c r="F531" s="4" t="s">
        <v>3</v>
      </c>
      <c r="G531" s="2">
        <f>IF(ISNUMBER(SEARCH(Лист2!$B$4,F:F)),1,0)</f>
        <v>0</v>
      </c>
      <c r="H531" s="3">
        <f ca="1">IF(AND(I531&lt;&gt;I530,ISNUMBER(SEARCH(Лист2!$B$5,I:I)),G531=1),MAX($H$3:OFFSET(H531,-1,0))+1,0)</f>
        <v>0</v>
      </c>
      <c r="I531" s="3" t="s">
        <v>90</v>
      </c>
      <c r="J531" s="4" t="str">
        <f t="shared" ca="1" si="19"/>
        <v/>
      </c>
      <c r="K531" s="2">
        <f>IF(ISNUMBER(SEARCH(Лист2!$B$4,F:F)),1,0)</f>
        <v>0</v>
      </c>
      <c r="L531" s="14">
        <f>IF(ISNUMBER(SEARCH(Лист2!$B$5,I:I)),1,0)+K531</f>
        <v>0</v>
      </c>
      <c r="M531" s="3">
        <f ca="1">IF(AND(N531&lt;&gt;N530,ISNUMBER(SEARCH(Лист2!$B$6,N:N)),L531=2),MAX($M$3:OFFSET(M531,-1,0))+1,0)</f>
        <v>0</v>
      </c>
      <c r="N531" s="3" t="s">
        <v>823</v>
      </c>
    </row>
    <row r="532" spans="1:14" x14ac:dyDescent="0.25">
      <c r="A532" s="1" t="s">
        <v>10301</v>
      </c>
      <c r="B532" s="3" t="s">
        <v>4156</v>
      </c>
      <c r="C532" s="2">
        <f ca="1">IF(ISNUMBER(SEARCH(Лист2!$B$4,D:D)),MAX($C$3:OFFSET(C532,-1,0))+1,0)</f>
        <v>0</v>
      </c>
      <c r="E532" s="9" t="str">
        <f t="shared" ca="1" si="20"/>
        <v/>
      </c>
      <c r="F532" s="4" t="s">
        <v>3</v>
      </c>
      <c r="G532" s="2">
        <f>IF(ISNUMBER(SEARCH(Лист2!$B$4,F:F)),1,0)</f>
        <v>0</v>
      </c>
      <c r="H532" s="3">
        <f ca="1">IF(AND(I532&lt;&gt;I531,ISNUMBER(SEARCH(Лист2!$B$5,I:I)),G532=1),MAX($H$3:OFFSET(H532,-1,0))+1,0)</f>
        <v>0</v>
      </c>
      <c r="I532" s="3" t="s">
        <v>90</v>
      </c>
      <c r="J532" s="4" t="str">
        <f t="shared" ca="1" si="19"/>
        <v/>
      </c>
      <c r="K532" s="2">
        <f>IF(ISNUMBER(SEARCH(Лист2!$B$4,F:F)),1,0)</f>
        <v>0</v>
      </c>
      <c r="L532" s="14">
        <f>IF(ISNUMBER(SEARCH(Лист2!$B$5,I:I)),1,0)+K532</f>
        <v>0</v>
      </c>
      <c r="M532" s="3">
        <f ca="1">IF(AND(N532&lt;&gt;N531,ISNUMBER(SEARCH(Лист2!$B$6,N:N)),L532=2),MAX($M$3:OFFSET(M532,-1,0))+1,0)</f>
        <v>0</v>
      </c>
      <c r="N532" s="3" t="s">
        <v>824</v>
      </c>
    </row>
    <row r="533" spans="1:14" x14ac:dyDescent="0.25">
      <c r="A533" s="1" t="s">
        <v>10302</v>
      </c>
      <c r="B533" s="3" t="s">
        <v>4157</v>
      </c>
      <c r="C533" s="2">
        <f ca="1">IF(ISNUMBER(SEARCH(Лист2!$B$4,D:D)),MAX($C$3:OFFSET(C533,-1,0))+1,0)</f>
        <v>0</v>
      </c>
      <c r="E533" s="9" t="str">
        <f t="shared" ca="1" si="20"/>
        <v/>
      </c>
      <c r="F533" s="4" t="s">
        <v>3</v>
      </c>
      <c r="G533" s="2">
        <f>IF(ISNUMBER(SEARCH(Лист2!$B$4,F:F)),1,0)</f>
        <v>0</v>
      </c>
      <c r="H533" s="3">
        <f ca="1">IF(AND(I533&lt;&gt;I532,ISNUMBER(SEARCH(Лист2!$B$5,I:I)),G533=1),MAX($H$3:OFFSET(H533,-1,0))+1,0)</f>
        <v>0</v>
      </c>
      <c r="I533" s="3" t="s">
        <v>90</v>
      </c>
      <c r="J533" s="4" t="str">
        <f t="shared" ca="1" si="19"/>
        <v/>
      </c>
      <c r="K533" s="2">
        <f>IF(ISNUMBER(SEARCH(Лист2!$B$4,F:F)),1,0)</f>
        <v>0</v>
      </c>
      <c r="L533" s="14">
        <f>IF(ISNUMBER(SEARCH(Лист2!$B$5,I:I)),1,0)+K533</f>
        <v>0</v>
      </c>
      <c r="M533" s="3">
        <f ca="1">IF(AND(N533&lt;&gt;N532,ISNUMBER(SEARCH(Лист2!$B$6,N:N)),L533=2),MAX($M$3:OFFSET(M533,-1,0))+1,0)</f>
        <v>0</v>
      </c>
      <c r="N533" s="3" t="s">
        <v>825</v>
      </c>
    </row>
    <row r="534" spans="1:14" x14ac:dyDescent="0.25">
      <c r="A534" s="1" t="s">
        <v>10303</v>
      </c>
      <c r="B534" s="3" t="s">
        <v>4158</v>
      </c>
      <c r="C534" s="2">
        <f ca="1">IF(ISNUMBER(SEARCH(Лист2!$B$4,D:D)),MAX($C$3:OFFSET(C534,-1,0))+1,0)</f>
        <v>0</v>
      </c>
      <c r="E534" s="9" t="str">
        <f t="shared" ca="1" si="20"/>
        <v/>
      </c>
      <c r="F534" s="4" t="s">
        <v>3</v>
      </c>
      <c r="G534" s="2">
        <f>IF(ISNUMBER(SEARCH(Лист2!$B$4,F:F)),1,0)</f>
        <v>0</v>
      </c>
      <c r="H534" s="3">
        <f ca="1">IF(AND(I534&lt;&gt;I533,ISNUMBER(SEARCH(Лист2!$B$5,I:I)),G534=1),MAX($H$3:OFFSET(H534,-1,0))+1,0)</f>
        <v>0</v>
      </c>
      <c r="I534" s="3" t="s">
        <v>90</v>
      </c>
      <c r="J534" s="4" t="str">
        <f t="shared" ca="1" si="19"/>
        <v/>
      </c>
      <c r="K534" s="2">
        <f>IF(ISNUMBER(SEARCH(Лист2!$B$4,F:F)),1,0)</f>
        <v>0</v>
      </c>
      <c r="L534" s="14">
        <f>IF(ISNUMBER(SEARCH(Лист2!$B$5,I:I)),1,0)+K534</f>
        <v>0</v>
      </c>
      <c r="M534" s="3">
        <f ca="1">IF(AND(N534&lt;&gt;N533,ISNUMBER(SEARCH(Лист2!$B$6,N:N)),L534=2),MAX($M$3:OFFSET(M534,-1,0))+1,0)</f>
        <v>0</v>
      </c>
      <c r="N534" s="3" t="s">
        <v>826</v>
      </c>
    </row>
    <row r="535" spans="1:14" x14ac:dyDescent="0.25">
      <c r="A535" s="1" t="s">
        <v>10304</v>
      </c>
      <c r="B535" s="3" t="s">
        <v>4159</v>
      </c>
      <c r="C535" s="2">
        <f ca="1">IF(ISNUMBER(SEARCH(Лист2!$B$4,D:D)),MAX($C$3:OFFSET(C535,-1,0))+1,0)</f>
        <v>0</v>
      </c>
      <c r="E535" s="9" t="str">
        <f t="shared" ca="1" si="20"/>
        <v/>
      </c>
      <c r="F535" s="4" t="s">
        <v>3</v>
      </c>
      <c r="G535" s="2">
        <f>IF(ISNUMBER(SEARCH(Лист2!$B$4,F:F)),1,0)</f>
        <v>0</v>
      </c>
      <c r="H535" s="3">
        <f ca="1">IF(AND(I535&lt;&gt;I534,ISNUMBER(SEARCH(Лист2!$B$5,I:I)),G535=1),MAX($H$3:OFFSET(H535,-1,0))+1,0)</f>
        <v>0</v>
      </c>
      <c r="I535" s="3" t="s">
        <v>90</v>
      </c>
      <c r="J535" s="4" t="str">
        <f t="shared" ca="1" si="19"/>
        <v/>
      </c>
      <c r="K535" s="2">
        <f>IF(ISNUMBER(SEARCH(Лист2!$B$4,F:F)),1,0)</f>
        <v>0</v>
      </c>
      <c r="L535" s="14">
        <f>IF(ISNUMBER(SEARCH(Лист2!$B$5,I:I)),1,0)+K535</f>
        <v>0</v>
      </c>
      <c r="M535" s="3">
        <f ca="1">IF(AND(N535&lt;&gt;N534,ISNUMBER(SEARCH(Лист2!$B$6,N:N)),L535=2),MAX($M$3:OFFSET(M535,-1,0))+1,0)</f>
        <v>0</v>
      </c>
      <c r="N535" s="3" t="s">
        <v>827</v>
      </c>
    </row>
    <row r="536" spans="1:14" x14ac:dyDescent="0.25">
      <c r="A536" s="1" t="s">
        <v>10305</v>
      </c>
      <c r="B536" s="3" t="s">
        <v>4160</v>
      </c>
      <c r="C536" s="2">
        <f ca="1">IF(ISNUMBER(SEARCH(Лист2!$B$4,D:D)),MAX($C$3:OFFSET(C536,-1,0))+1,0)</f>
        <v>0</v>
      </c>
      <c r="E536" s="9" t="str">
        <f t="shared" ca="1" si="20"/>
        <v/>
      </c>
      <c r="F536" s="4" t="s">
        <v>3</v>
      </c>
      <c r="G536" s="2">
        <f>IF(ISNUMBER(SEARCH(Лист2!$B$4,F:F)),1,0)</f>
        <v>0</v>
      </c>
      <c r="H536" s="3">
        <f ca="1">IF(AND(I536&lt;&gt;I535,ISNUMBER(SEARCH(Лист2!$B$5,I:I)),G536=1),MAX($H$3:OFFSET(H536,-1,0))+1,0)</f>
        <v>0</v>
      </c>
      <c r="I536" s="3" t="s">
        <v>90</v>
      </c>
      <c r="J536" s="4" t="str">
        <f t="shared" ca="1" si="19"/>
        <v/>
      </c>
      <c r="K536" s="2">
        <f>IF(ISNUMBER(SEARCH(Лист2!$B$4,F:F)),1,0)</f>
        <v>0</v>
      </c>
      <c r="L536" s="14">
        <f>IF(ISNUMBER(SEARCH(Лист2!$B$5,I:I)),1,0)+K536</f>
        <v>0</v>
      </c>
      <c r="M536" s="3">
        <f ca="1">IF(AND(N536&lt;&gt;N535,ISNUMBER(SEARCH(Лист2!$B$6,N:N)),L536=2),MAX($M$3:OFFSET(M536,-1,0))+1,0)</f>
        <v>0</v>
      </c>
      <c r="N536" s="3" t="s">
        <v>828</v>
      </c>
    </row>
    <row r="537" spans="1:14" x14ac:dyDescent="0.25">
      <c r="A537" s="1" t="s">
        <v>10306</v>
      </c>
      <c r="B537" s="3" t="s">
        <v>4161</v>
      </c>
      <c r="C537" s="2">
        <f ca="1">IF(ISNUMBER(SEARCH(Лист2!$B$4,D:D)),MAX($C$3:OFFSET(C537,-1,0))+1,0)</f>
        <v>0</v>
      </c>
      <c r="E537" s="9" t="str">
        <f t="shared" ca="1" si="20"/>
        <v/>
      </c>
      <c r="F537" s="4" t="s">
        <v>3</v>
      </c>
      <c r="G537" s="2">
        <f>IF(ISNUMBER(SEARCH(Лист2!$B$4,F:F)),1,0)</f>
        <v>0</v>
      </c>
      <c r="H537" s="3">
        <f ca="1">IF(AND(I537&lt;&gt;I536,ISNUMBER(SEARCH(Лист2!$B$5,I:I)),G537=1),MAX($H$3:OFFSET(H537,-1,0))+1,0)</f>
        <v>0</v>
      </c>
      <c r="I537" s="3" t="s">
        <v>90</v>
      </c>
      <c r="J537" s="4" t="str">
        <f t="shared" ca="1" si="19"/>
        <v/>
      </c>
      <c r="K537" s="2">
        <f>IF(ISNUMBER(SEARCH(Лист2!$B$4,F:F)),1,0)</f>
        <v>0</v>
      </c>
      <c r="L537" s="14">
        <f>IF(ISNUMBER(SEARCH(Лист2!$B$5,I:I)),1,0)+K537</f>
        <v>0</v>
      </c>
      <c r="M537" s="3">
        <f ca="1">IF(AND(N537&lt;&gt;N536,ISNUMBER(SEARCH(Лист2!$B$6,N:N)),L537=2),MAX($M$3:OFFSET(M537,-1,0))+1,0)</f>
        <v>0</v>
      </c>
      <c r="N537" s="3" t="s">
        <v>829</v>
      </c>
    </row>
    <row r="538" spans="1:14" x14ac:dyDescent="0.25">
      <c r="A538" s="1" t="s">
        <v>10307</v>
      </c>
      <c r="B538" s="3" t="s">
        <v>4162</v>
      </c>
      <c r="C538" s="2">
        <f ca="1">IF(ISNUMBER(SEARCH(Лист2!$B$4,D:D)),MAX($C$3:OFFSET(C538,-1,0))+1,0)</f>
        <v>0</v>
      </c>
      <c r="E538" s="9" t="str">
        <f t="shared" ca="1" si="20"/>
        <v/>
      </c>
      <c r="F538" s="4" t="s">
        <v>3</v>
      </c>
      <c r="G538" s="2">
        <f>IF(ISNUMBER(SEARCH(Лист2!$B$4,F:F)),1,0)</f>
        <v>0</v>
      </c>
      <c r="H538" s="3">
        <f ca="1">IF(AND(I538&lt;&gt;I537,ISNUMBER(SEARCH(Лист2!$B$5,I:I)),G538=1),MAX($H$3:OFFSET(H538,-1,0))+1,0)</f>
        <v>0</v>
      </c>
      <c r="I538" s="3" t="s">
        <v>90</v>
      </c>
      <c r="J538" s="4" t="str">
        <f t="shared" ca="1" si="19"/>
        <v/>
      </c>
      <c r="K538" s="2">
        <f>IF(ISNUMBER(SEARCH(Лист2!$B$4,F:F)),1,0)</f>
        <v>0</v>
      </c>
      <c r="L538" s="14">
        <f>IF(ISNUMBER(SEARCH(Лист2!$B$5,I:I)),1,0)+K538</f>
        <v>0</v>
      </c>
      <c r="M538" s="3">
        <f ca="1">IF(AND(N538&lt;&gt;N537,ISNUMBER(SEARCH(Лист2!$B$6,N:N)),L538=2),MAX($M$3:OFFSET(M538,-1,0))+1,0)</f>
        <v>0</v>
      </c>
      <c r="N538" s="3" t="s">
        <v>830</v>
      </c>
    </row>
    <row r="539" spans="1:14" x14ac:dyDescent="0.25">
      <c r="A539" s="1" t="s">
        <v>10308</v>
      </c>
      <c r="B539" s="3" t="s">
        <v>4163</v>
      </c>
      <c r="C539" s="2">
        <f ca="1">IF(ISNUMBER(SEARCH(Лист2!$B$4,D:D)),MAX($C$3:OFFSET(C539,-1,0))+1,0)</f>
        <v>0</v>
      </c>
      <c r="E539" s="9" t="str">
        <f t="shared" ca="1" si="20"/>
        <v/>
      </c>
      <c r="F539" s="4" t="s">
        <v>3</v>
      </c>
      <c r="G539" s="2">
        <f>IF(ISNUMBER(SEARCH(Лист2!$B$4,F:F)),1,0)</f>
        <v>0</v>
      </c>
      <c r="H539" s="3">
        <f ca="1">IF(AND(I539&lt;&gt;I538,ISNUMBER(SEARCH(Лист2!$B$5,I:I)),G539=1),MAX($H$3:OFFSET(H539,-1,0))+1,0)</f>
        <v>0</v>
      </c>
      <c r="I539" s="3" t="s">
        <v>90</v>
      </c>
      <c r="J539" s="4" t="str">
        <f t="shared" ca="1" si="19"/>
        <v/>
      </c>
      <c r="K539" s="2">
        <f>IF(ISNUMBER(SEARCH(Лист2!$B$4,F:F)),1,0)</f>
        <v>0</v>
      </c>
      <c r="L539" s="14">
        <f>IF(ISNUMBER(SEARCH(Лист2!$B$5,I:I)),1,0)+K539</f>
        <v>0</v>
      </c>
      <c r="M539" s="3">
        <f ca="1">IF(AND(N539&lt;&gt;N538,ISNUMBER(SEARCH(Лист2!$B$6,N:N)),L539=2),MAX($M$3:OFFSET(M539,-1,0))+1,0)</f>
        <v>0</v>
      </c>
      <c r="N539" s="3" t="s">
        <v>831</v>
      </c>
    </row>
    <row r="540" spans="1:14" x14ac:dyDescent="0.25">
      <c r="A540" s="1" t="s">
        <v>10309</v>
      </c>
      <c r="B540" s="3" t="s">
        <v>4164</v>
      </c>
      <c r="C540" s="2">
        <f ca="1">IF(ISNUMBER(SEARCH(Лист2!$B$4,D:D)),MAX($C$3:OFFSET(C540,-1,0))+1,0)</f>
        <v>0</v>
      </c>
      <c r="E540" s="9" t="str">
        <f t="shared" ca="1" si="20"/>
        <v/>
      </c>
      <c r="F540" s="4" t="s">
        <v>3</v>
      </c>
      <c r="G540" s="2">
        <f>IF(ISNUMBER(SEARCH(Лист2!$B$4,F:F)),1,0)</f>
        <v>0</v>
      </c>
      <c r="H540" s="3">
        <f ca="1">IF(AND(I540&lt;&gt;I539,ISNUMBER(SEARCH(Лист2!$B$5,I:I)),G540=1),MAX($H$3:OFFSET(H540,-1,0))+1,0)</f>
        <v>0</v>
      </c>
      <c r="I540" s="3" t="s">
        <v>90</v>
      </c>
      <c r="J540" s="4" t="str">
        <f t="shared" ca="1" si="19"/>
        <v/>
      </c>
      <c r="K540" s="2">
        <f>IF(ISNUMBER(SEARCH(Лист2!$B$4,F:F)),1,0)</f>
        <v>0</v>
      </c>
      <c r="L540" s="14">
        <f>IF(ISNUMBER(SEARCH(Лист2!$B$5,I:I)),1,0)+K540</f>
        <v>0</v>
      </c>
      <c r="M540" s="3">
        <f ca="1">IF(AND(N540&lt;&gt;N539,ISNUMBER(SEARCH(Лист2!$B$6,N:N)),L540=2),MAX($M$3:OFFSET(M540,-1,0))+1,0)</f>
        <v>0</v>
      </c>
      <c r="N540" s="3" t="s">
        <v>832</v>
      </c>
    </row>
    <row r="541" spans="1:14" x14ac:dyDescent="0.25">
      <c r="A541" s="1" t="s">
        <v>10310</v>
      </c>
      <c r="B541" s="3" t="s">
        <v>4165</v>
      </c>
      <c r="C541" s="2">
        <f ca="1">IF(ISNUMBER(SEARCH(Лист2!$B$4,D:D)),MAX($C$3:OFFSET(C541,-1,0))+1,0)</f>
        <v>0</v>
      </c>
      <c r="E541" s="9" t="str">
        <f t="shared" ca="1" si="20"/>
        <v/>
      </c>
      <c r="F541" s="4" t="s">
        <v>3</v>
      </c>
      <c r="G541" s="2">
        <f>IF(ISNUMBER(SEARCH(Лист2!$B$4,F:F)),1,0)</f>
        <v>0</v>
      </c>
      <c r="H541" s="3">
        <f ca="1">IF(AND(I541&lt;&gt;I540,ISNUMBER(SEARCH(Лист2!$B$5,I:I)),G541=1),MAX($H$3:OFFSET(H541,-1,0))+1,0)</f>
        <v>0</v>
      </c>
      <c r="I541" s="3" t="s">
        <v>90</v>
      </c>
      <c r="J541" s="4" t="str">
        <f t="shared" ca="1" si="19"/>
        <v/>
      </c>
      <c r="K541" s="2">
        <f>IF(ISNUMBER(SEARCH(Лист2!$B$4,F:F)),1,0)</f>
        <v>0</v>
      </c>
      <c r="L541" s="14">
        <f>IF(ISNUMBER(SEARCH(Лист2!$B$5,I:I)),1,0)+K541</f>
        <v>0</v>
      </c>
      <c r="M541" s="3">
        <f ca="1">IF(AND(N541&lt;&gt;N540,ISNUMBER(SEARCH(Лист2!$B$6,N:N)),L541=2),MAX($M$3:OFFSET(M541,-1,0))+1,0)</f>
        <v>0</v>
      </c>
      <c r="N541" s="3" t="s">
        <v>833</v>
      </c>
    </row>
    <row r="542" spans="1:14" x14ac:dyDescent="0.25">
      <c r="A542" s="1" t="s">
        <v>10311</v>
      </c>
      <c r="B542" s="3" t="s">
        <v>4166</v>
      </c>
      <c r="C542" s="2">
        <f ca="1">IF(ISNUMBER(SEARCH(Лист2!$B$4,D:D)),MAX($C$3:OFFSET(C542,-1,0))+1,0)</f>
        <v>0</v>
      </c>
      <c r="E542" s="9" t="str">
        <f t="shared" ca="1" si="20"/>
        <v/>
      </c>
      <c r="F542" s="4" t="s">
        <v>3</v>
      </c>
      <c r="G542" s="2">
        <f>IF(ISNUMBER(SEARCH(Лист2!$B$4,F:F)),1,0)</f>
        <v>0</v>
      </c>
      <c r="H542" s="3">
        <f ca="1">IF(AND(I542&lt;&gt;I541,ISNUMBER(SEARCH(Лист2!$B$5,I:I)),G542=1),MAX($H$3:OFFSET(H542,-1,0))+1,0)</f>
        <v>0</v>
      </c>
      <c r="I542" s="3" t="s">
        <v>90</v>
      </c>
      <c r="J542" s="4" t="str">
        <f t="shared" ca="1" si="19"/>
        <v/>
      </c>
      <c r="K542" s="2">
        <f>IF(ISNUMBER(SEARCH(Лист2!$B$4,F:F)),1,0)</f>
        <v>0</v>
      </c>
      <c r="L542" s="14">
        <f>IF(ISNUMBER(SEARCH(Лист2!$B$5,I:I)),1,0)+K542</f>
        <v>0</v>
      </c>
      <c r="M542" s="3">
        <f ca="1">IF(AND(N542&lt;&gt;N541,ISNUMBER(SEARCH(Лист2!$B$6,N:N)),L542=2),MAX($M$3:OFFSET(M542,-1,0))+1,0)</f>
        <v>0</v>
      </c>
      <c r="N542" s="3" t="s">
        <v>834</v>
      </c>
    </row>
    <row r="543" spans="1:14" x14ac:dyDescent="0.25">
      <c r="A543" s="1" t="s">
        <v>10312</v>
      </c>
      <c r="B543" s="3" t="s">
        <v>4167</v>
      </c>
      <c r="C543" s="2">
        <f ca="1">IF(ISNUMBER(SEARCH(Лист2!$B$4,D:D)),MAX($C$3:OFFSET(C543,-1,0))+1,0)</f>
        <v>0</v>
      </c>
      <c r="E543" s="9" t="str">
        <f t="shared" ca="1" si="20"/>
        <v/>
      </c>
      <c r="F543" s="4" t="s">
        <v>3</v>
      </c>
      <c r="G543" s="2">
        <f>IF(ISNUMBER(SEARCH(Лист2!$B$4,F:F)),1,0)</f>
        <v>0</v>
      </c>
      <c r="H543" s="3">
        <f ca="1">IF(AND(I543&lt;&gt;I542,ISNUMBER(SEARCH(Лист2!$B$5,I:I)),G543=1),MAX($H$3:OFFSET(H543,-1,0))+1,0)</f>
        <v>0</v>
      </c>
      <c r="I543" s="3" t="s">
        <v>90</v>
      </c>
      <c r="J543" s="4" t="str">
        <f t="shared" ca="1" si="19"/>
        <v/>
      </c>
      <c r="K543" s="2">
        <f>IF(ISNUMBER(SEARCH(Лист2!$B$4,F:F)),1,0)</f>
        <v>0</v>
      </c>
      <c r="L543" s="14">
        <f>IF(ISNUMBER(SEARCH(Лист2!$B$5,I:I)),1,0)+K543</f>
        <v>0</v>
      </c>
      <c r="M543" s="3">
        <f ca="1">IF(AND(N543&lt;&gt;N542,ISNUMBER(SEARCH(Лист2!$B$6,N:N)),L543=2),MAX($M$3:OFFSET(M543,-1,0))+1,0)</f>
        <v>0</v>
      </c>
      <c r="N543" s="3" t="s">
        <v>835</v>
      </c>
    </row>
    <row r="544" spans="1:14" x14ac:dyDescent="0.25">
      <c r="A544" s="1" t="s">
        <v>10313</v>
      </c>
      <c r="B544" s="3" t="s">
        <v>4168</v>
      </c>
      <c r="C544" s="2">
        <f ca="1">IF(ISNUMBER(SEARCH(Лист2!$B$4,D:D)),MAX($C$3:OFFSET(C544,-1,0))+1,0)</f>
        <v>0</v>
      </c>
      <c r="E544" s="9" t="str">
        <f t="shared" ca="1" si="20"/>
        <v/>
      </c>
      <c r="F544" s="4" t="s">
        <v>3</v>
      </c>
      <c r="G544" s="2">
        <f>IF(ISNUMBER(SEARCH(Лист2!$B$4,F:F)),1,0)</f>
        <v>0</v>
      </c>
      <c r="H544" s="3">
        <f ca="1">IF(AND(I544&lt;&gt;I543,ISNUMBER(SEARCH(Лист2!$B$5,I:I)),G544=1),MAX($H$3:OFFSET(H544,-1,0))+1,0)</f>
        <v>0</v>
      </c>
      <c r="I544" s="3" t="s">
        <v>90</v>
      </c>
      <c r="J544" s="4" t="str">
        <f t="shared" ca="1" si="19"/>
        <v/>
      </c>
      <c r="K544" s="2">
        <f>IF(ISNUMBER(SEARCH(Лист2!$B$4,F:F)),1,0)</f>
        <v>0</v>
      </c>
      <c r="L544" s="14">
        <f>IF(ISNUMBER(SEARCH(Лист2!$B$5,I:I)),1,0)+K544</f>
        <v>0</v>
      </c>
      <c r="M544" s="3">
        <f ca="1">IF(AND(N544&lt;&gt;N543,ISNUMBER(SEARCH(Лист2!$B$6,N:N)),L544=2),MAX($M$3:OFFSET(M544,-1,0))+1,0)</f>
        <v>0</v>
      </c>
      <c r="N544" s="3" t="s">
        <v>836</v>
      </c>
    </row>
    <row r="545" spans="1:14" x14ac:dyDescent="0.25">
      <c r="A545" s="1" t="s">
        <v>10314</v>
      </c>
      <c r="B545" s="3" t="s">
        <v>4169</v>
      </c>
      <c r="C545" s="2">
        <f ca="1">IF(ISNUMBER(SEARCH(Лист2!$B$4,D:D)),MAX($C$3:OFFSET(C545,-1,0))+1,0)</f>
        <v>0</v>
      </c>
      <c r="E545" s="9" t="str">
        <f t="shared" ca="1" si="20"/>
        <v/>
      </c>
      <c r="F545" s="4" t="s">
        <v>3</v>
      </c>
      <c r="G545" s="2">
        <f>IF(ISNUMBER(SEARCH(Лист2!$B$4,F:F)),1,0)</f>
        <v>0</v>
      </c>
      <c r="H545" s="3">
        <f ca="1">IF(AND(I545&lt;&gt;I544,ISNUMBER(SEARCH(Лист2!$B$5,I:I)),G545=1),MAX($H$3:OFFSET(H545,-1,0))+1,0)</f>
        <v>0</v>
      </c>
      <c r="I545" s="3" t="s">
        <v>90</v>
      </c>
      <c r="J545" s="4" t="str">
        <f t="shared" ca="1" si="19"/>
        <v/>
      </c>
      <c r="K545" s="2">
        <f>IF(ISNUMBER(SEARCH(Лист2!$B$4,F:F)),1,0)</f>
        <v>0</v>
      </c>
      <c r="L545" s="14">
        <f>IF(ISNUMBER(SEARCH(Лист2!$B$5,I:I)),1,0)+K545</f>
        <v>0</v>
      </c>
      <c r="M545" s="3">
        <f ca="1">IF(AND(N545&lt;&gt;N544,ISNUMBER(SEARCH(Лист2!$B$6,N:N)),L545=2),MAX($M$3:OFFSET(M545,-1,0))+1,0)</f>
        <v>0</v>
      </c>
      <c r="N545" s="3" t="s">
        <v>837</v>
      </c>
    </row>
    <row r="546" spans="1:14" x14ac:dyDescent="0.25">
      <c r="A546" s="1" t="s">
        <v>10315</v>
      </c>
      <c r="B546" s="3" t="s">
        <v>4170</v>
      </c>
      <c r="C546" s="2">
        <f ca="1">IF(ISNUMBER(SEARCH(Лист2!$B$4,D:D)),MAX($C$3:OFFSET(C546,-1,0))+1,0)</f>
        <v>0</v>
      </c>
      <c r="E546" s="9" t="str">
        <f t="shared" ca="1" si="20"/>
        <v/>
      </c>
      <c r="F546" s="4" t="s">
        <v>3</v>
      </c>
      <c r="G546" s="2">
        <f>IF(ISNUMBER(SEARCH(Лист2!$B$4,F:F)),1,0)</f>
        <v>0</v>
      </c>
      <c r="H546" s="3">
        <f ca="1">IF(AND(I546&lt;&gt;I545,ISNUMBER(SEARCH(Лист2!$B$5,I:I)),G546=1),MAX($H$3:OFFSET(H546,-1,0))+1,0)</f>
        <v>0</v>
      </c>
      <c r="I546" s="3" t="s">
        <v>90</v>
      </c>
      <c r="J546" s="4" t="str">
        <f t="shared" ca="1" si="19"/>
        <v/>
      </c>
      <c r="K546" s="2">
        <f>IF(ISNUMBER(SEARCH(Лист2!$B$4,F:F)),1,0)</f>
        <v>0</v>
      </c>
      <c r="L546" s="14">
        <f>IF(ISNUMBER(SEARCH(Лист2!$B$5,I:I)),1,0)+K546</f>
        <v>0</v>
      </c>
      <c r="M546" s="3">
        <f ca="1">IF(AND(N546&lt;&gt;N545,ISNUMBER(SEARCH(Лист2!$B$6,N:N)),L546=2),MAX($M$3:OFFSET(M546,-1,0))+1,0)</f>
        <v>0</v>
      </c>
      <c r="N546" s="3" t="s">
        <v>838</v>
      </c>
    </row>
    <row r="547" spans="1:14" x14ac:dyDescent="0.25">
      <c r="A547" s="1" t="s">
        <v>10316</v>
      </c>
      <c r="B547" s="3" t="s">
        <v>4171</v>
      </c>
      <c r="C547" s="2">
        <f ca="1">IF(ISNUMBER(SEARCH(Лист2!$B$4,D:D)),MAX($C$3:OFFSET(C547,-1,0))+1,0)</f>
        <v>0</v>
      </c>
      <c r="E547" s="9" t="str">
        <f t="shared" ca="1" si="20"/>
        <v/>
      </c>
      <c r="F547" s="4" t="s">
        <v>3</v>
      </c>
      <c r="G547" s="2">
        <f>IF(ISNUMBER(SEARCH(Лист2!$B$4,F:F)),1,0)</f>
        <v>0</v>
      </c>
      <c r="H547" s="3">
        <f ca="1">IF(AND(I547&lt;&gt;I546,ISNUMBER(SEARCH(Лист2!$B$5,I:I)),G547=1),MAX($H$3:OFFSET(H547,-1,0))+1,0)</f>
        <v>0</v>
      </c>
      <c r="I547" s="3" t="s">
        <v>90</v>
      </c>
      <c r="J547" s="4" t="str">
        <f t="shared" ca="1" si="19"/>
        <v/>
      </c>
      <c r="K547" s="2">
        <f>IF(ISNUMBER(SEARCH(Лист2!$B$4,F:F)),1,0)</f>
        <v>0</v>
      </c>
      <c r="L547" s="14">
        <f>IF(ISNUMBER(SEARCH(Лист2!$B$5,I:I)),1,0)+K547</f>
        <v>0</v>
      </c>
      <c r="M547" s="3">
        <f ca="1">IF(AND(N547&lt;&gt;N546,ISNUMBER(SEARCH(Лист2!$B$6,N:N)),L547=2),MAX($M$3:OFFSET(M547,-1,0))+1,0)</f>
        <v>0</v>
      </c>
      <c r="N547" s="3" t="s">
        <v>839</v>
      </c>
    </row>
    <row r="548" spans="1:14" x14ac:dyDescent="0.25">
      <c r="A548" s="1" t="s">
        <v>10317</v>
      </c>
      <c r="B548" s="3" t="s">
        <v>4172</v>
      </c>
      <c r="C548" s="2">
        <f ca="1">IF(ISNUMBER(SEARCH(Лист2!$B$4,D:D)),MAX($C$3:OFFSET(C548,-1,0))+1,0)</f>
        <v>0</v>
      </c>
      <c r="E548" s="9" t="str">
        <f t="shared" ca="1" si="20"/>
        <v/>
      </c>
      <c r="F548" s="4" t="s">
        <v>3</v>
      </c>
      <c r="G548" s="2">
        <f>IF(ISNUMBER(SEARCH(Лист2!$B$4,F:F)),1,0)</f>
        <v>0</v>
      </c>
      <c r="H548" s="3">
        <f ca="1">IF(AND(I548&lt;&gt;I547,ISNUMBER(SEARCH(Лист2!$B$5,I:I)),G548=1),MAX($H$3:OFFSET(H548,-1,0))+1,0)</f>
        <v>0</v>
      </c>
      <c r="I548" s="3" t="s">
        <v>90</v>
      </c>
      <c r="J548" s="4" t="str">
        <f t="shared" ca="1" si="19"/>
        <v/>
      </c>
      <c r="K548" s="2">
        <f>IF(ISNUMBER(SEARCH(Лист2!$B$4,F:F)),1,0)</f>
        <v>0</v>
      </c>
      <c r="L548" s="14">
        <f>IF(ISNUMBER(SEARCH(Лист2!$B$5,I:I)),1,0)+K548</f>
        <v>0</v>
      </c>
      <c r="M548" s="3">
        <f ca="1">IF(AND(N548&lt;&gt;N547,ISNUMBER(SEARCH(Лист2!$B$6,N:N)),L548=2),MAX($M$3:OFFSET(M548,-1,0))+1,0)</f>
        <v>0</v>
      </c>
      <c r="N548" s="3" t="s">
        <v>840</v>
      </c>
    </row>
    <row r="549" spans="1:14" x14ac:dyDescent="0.25">
      <c r="A549" s="1" t="s">
        <v>10318</v>
      </c>
      <c r="B549" s="3" t="s">
        <v>4173</v>
      </c>
      <c r="C549" s="2">
        <f ca="1">IF(ISNUMBER(SEARCH(Лист2!$B$4,D:D)),MAX($C$3:OFFSET(C549,-1,0))+1,0)</f>
        <v>0</v>
      </c>
      <c r="E549" s="9" t="str">
        <f t="shared" ca="1" si="20"/>
        <v/>
      </c>
      <c r="F549" s="4" t="s">
        <v>3</v>
      </c>
      <c r="G549" s="2">
        <f>IF(ISNUMBER(SEARCH(Лист2!$B$4,F:F)),1,0)</f>
        <v>0</v>
      </c>
      <c r="H549" s="3">
        <f ca="1">IF(AND(I549&lt;&gt;I548,ISNUMBER(SEARCH(Лист2!$B$5,I:I)),G549=1),MAX($H$3:OFFSET(H549,-1,0))+1,0)</f>
        <v>0</v>
      </c>
      <c r="I549" s="3" t="s">
        <v>90</v>
      </c>
      <c r="J549" s="4" t="str">
        <f t="shared" ca="1" si="19"/>
        <v/>
      </c>
      <c r="K549" s="2">
        <f>IF(ISNUMBER(SEARCH(Лист2!$B$4,F:F)),1,0)</f>
        <v>0</v>
      </c>
      <c r="L549" s="14">
        <f>IF(ISNUMBER(SEARCH(Лист2!$B$5,I:I)),1,0)+K549</f>
        <v>0</v>
      </c>
      <c r="M549" s="3">
        <f ca="1">IF(AND(N549&lt;&gt;N548,ISNUMBER(SEARCH(Лист2!$B$6,N:N)),L549=2),MAX($M$3:OFFSET(M549,-1,0))+1,0)</f>
        <v>0</v>
      </c>
      <c r="N549" s="3" t="s">
        <v>841</v>
      </c>
    </row>
    <row r="550" spans="1:14" x14ac:dyDescent="0.25">
      <c r="A550" s="1" t="s">
        <v>10319</v>
      </c>
      <c r="B550" s="3" t="s">
        <v>4174</v>
      </c>
      <c r="C550" s="2">
        <f ca="1">IF(ISNUMBER(SEARCH(Лист2!$B$4,D:D)),MAX($C$3:OFFSET(C550,-1,0))+1,0)</f>
        <v>0</v>
      </c>
      <c r="E550" s="9" t="str">
        <f t="shared" ca="1" si="20"/>
        <v/>
      </c>
      <c r="F550" s="4" t="s">
        <v>3</v>
      </c>
      <c r="G550" s="2">
        <f>IF(ISNUMBER(SEARCH(Лист2!$B$4,F:F)),1,0)</f>
        <v>0</v>
      </c>
      <c r="H550" s="3">
        <f ca="1">IF(AND(I550&lt;&gt;I549,ISNUMBER(SEARCH(Лист2!$B$5,I:I)),G550=1),MAX($H$3:OFFSET(H550,-1,0))+1,0)</f>
        <v>0</v>
      </c>
      <c r="I550" s="3" t="s">
        <v>90</v>
      </c>
      <c r="J550" s="4" t="str">
        <f t="shared" ca="1" si="19"/>
        <v/>
      </c>
      <c r="K550" s="2">
        <f>IF(ISNUMBER(SEARCH(Лист2!$B$4,F:F)),1,0)</f>
        <v>0</v>
      </c>
      <c r="L550" s="14">
        <f>IF(ISNUMBER(SEARCH(Лист2!$B$5,I:I)),1,0)+K550</f>
        <v>0</v>
      </c>
      <c r="M550" s="3">
        <f ca="1">IF(AND(N550&lt;&gt;N549,ISNUMBER(SEARCH(Лист2!$B$6,N:N)),L550=2),MAX($M$3:OFFSET(M550,-1,0))+1,0)</f>
        <v>0</v>
      </c>
      <c r="N550" s="3" t="s">
        <v>842</v>
      </c>
    </row>
    <row r="551" spans="1:14" x14ac:dyDescent="0.25">
      <c r="A551" s="1" t="s">
        <v>10320</v>
      </c>
      <c r="B551" s="3" t="s">
        <v>4175</v>
      </c>
      <c r="C551" s="2">
        <f ca="1">IF(ISNUMBER(SEARCH(Лист2!$B$4,D:D)),MAX($C$3:OFFSET(C551,-1,0))+1,0)</f>
        <v>0</v>
      </c>
      <c r="E551" s="9" t="str">
        <f t="shared" ca="1" si="20"/>
        <v/>
      </c>
      <c r="F551" s="4" t="s">
        <v>3</v>
      </c>
      <c r="G551" s="2">
        <f>IF(ISNUMBER(SEARCH(Лист2!$B$4,F:F)),1,0)</f>
        <v>0</v>
      </c>
      <c r="H551" s="3">
        <f ca="1">IF(AND(I551&lt;&gt;I550,ISNUMBER(SEARCH(Лист2!$B$5,I:I)),G551=1),MAX($H$3:OFFSET(H551,-1,0))+1,0)</f>
        <v>0</v>
      </c>
      <c r="I551" s="3" t="s">
        <v>90</v>
      </c>
      <c r="J551" s="4" t="str">
        <f t="shared" ca="1" si="19"/>
        <v/>
      </c>
      <c r="K551" s="2">
        <f>IF(ISNUMBER(SEARCH(Лист2!$B$4,F:F)),1,0)</f>
        <v>0</v>
      </c>
      <c r="L551" s="14">
        <f>IF(ISNUMBER(SEARCH(Лист2!$B$5,I:I)),1,0)+K551</f>
        <v>0</v>
      </c>
      <c r="M551" s="3">
        <f ca="1">IF(AND(N551&lt;&gt;N550,ISNUMBER(SEARCH(Лист2!$B$6,N:N)),L551=2),MAX($M$3:OFFSET(M551,-1,0))+1,0)</f>
        <v>0</v>
      </c>
      <c r="N551" s="3" t="s">
        <v>843</v>
      </c>
    </row>
    <row r="552" spans="1:14" x14ac:dyDescent="0.25">
      <c r="A552" s="1" t="s">
        <v>10317</v>
      </c>
      <c r="B552" s="3" t="s">
        <v>4176</v>
      </c>
      <c r="C552" s="2">
        <f ca="1">IF(ISNUMBER(SEARCH(Лист2!$B$4,D:D)),MAX($C$3:OFFSET(C552,-1,0))+1,0)</f>
        <v>0</v>
      </c>
      <c r="E552" s="9" t="str">
        <f t="shared" ca="1" si="20"/>
        <v/>
      </c>
      <c r="F552" s="4" t="s">
        <v>3</v>
      </c>
      <c r="G552" s="2">
        <f>IF(ISNUMBER(SEARCH(Лист2!$B$4,F:F)),1,0)</f>
        <v>0</v>
      </c>
      <c r="H552" s="3">
        <f ca="1">IF(AND(I552&lt;&gt;I551,ISNUMBER(SEARCH(Лист2!$B$5,I:I)),G552=1),MAX($H$3:OFFSET(H552,-1,0))+1,0)</f>
        <v>0</v>
      </c>
      <c r="I552" s="3" t="s">
        <v>90</v>
      </c>
      <c r="K552" s="2">
        <f>IF(ISNUMBER(SEARCH(Лист2!$B$4,F:F)),1,0)</f>
        <v>0</v>
      </c>
      <c r="L552" s="14">
        <f>IF(ISNUMBER(SEARCH(Лист2!$B$5,I:I)),1,0)+K552</f>
        <v>0</v>
      </c>
      <c r="M552" s="3">
        <f ca="1">IF(AND(N552&lt;&gt;N551,ISNUMBER(SEARCH(Лист2!$B$6,N:N)),L552=2),MAX($M$3:OFFSET(M552,-1,0))+1,0)</f>
        <v>0</v>
      </c>
      <c r="N552" s="3" t="s">
        <v>840</v>
      </c>
    </row>
    <row r="553" spans="1:14" x14ac:dyDescent="0.25">
      <c r="A553" s="1" t="s">
        <v>10318</v>
      </c>
      <c r="B553" s="3" t="s">
        <v>4177</v>
      </c>
      <c r="C553" s="2">
        <f ca="1">IF(ISNUMBER(SEARCH(Лист2!$B$4,D:D)),MAX($C$3:OFFSET(C553,-1,0))+1,0)</f>
        <v>0</v>
      </c>
      <c r="E553" s="9" t="str">
        <f t="shared" ca="1" si="20"/>
        <v/>
      </c>
      <c r="F553" s="4" t="s">
        <v>3</v>
      </c>
      <c r="G553" s="2">
        <f>IF(ISNUMBER(SEARCH(Лист2!$B$4,F:F)),1,0)</f>
        <v>0</v>
      </c>
      <c r="H553" s="3">
        <f ca="1">IF(AND(I553&lt;&gt;I552,ISNUMBER(SEARCH(Лист2!$B$5,I:I)),G553=1),MAX($H$3:OFFSET(H553,-1,0))+1,0)</f>
        <v>0</v>
      </c>
      <c r="I553" s="3" t="s">
        <v>90</v>
      </c>
      <c r="K553" s="2">
        <f>IF(ISNUMBER(SEARCH(Лист2!$B$4,F:F)),1,0)</f>
        <v>0</v>
      </c>
      <c r="L553" s="14">
        <f>IF(ISNUMBER(SEARCH(Лист2!$B$5,I:I)),1,0)+K553</f>
        <v>0</v>
      </c>
      <c r="M553" s="3">
        <f ca="1">IF(AND(N553&lt;&gt;N552,ISNUMBER(SEARCH(Лист2!$B$6,N:N)),L553=2),MAX($M$3:OFFSET(M553,-1,0))+1,0)</f>
        <v>0</v>
      </c>
      <c r="N553" s="3" t="s">
        <v>841</v>
      </c>
    </row>
    <row r="554" spans="1:14" x14ac:dyDescent="0.25">
      <c r="A554" s="1" t="s">
        <v>10319</v>
      </c>
      <c r="B554" s="3" t="s">
        <v>4178</v>
      </c>
      <c r="C554" s="2">
        <f ca="1">IF(ISNUMBER(SEARCH(Лист2!$B$4,D:D)),MAX($C$3:OFFSET(C554,-1,0))+1,0)</f>
        <v>0</v>
      </c>
      <c r="E554" s="9" t="str">
        <f t="shared" ca="1" si="20"/>
        <v/>
      </c>
      <c r="F554" s="4" t="s">
        <v>3</v>
      </c>
      <c r="G554" s="2">
        <f>IF(ISNUMBER(SEARCH(Лист2!$B$4,F:F)),1,0)</f>
        <v>0</v>
      </c>
      <c r="H554" s="3">
        <f ca="1">IF(AND(I554&lt;&gt;I553,ISNUMBER(SEARCH(Лист2!$B$5,I:I)),G554=1),MAX($H$3:OFFSET(H554,-1,0))+1,0)</f>
        <v>0</v>
      </c>
      <c r="I554" s="3" t="s">
        <v>90</v>
      </c>
      <c r="K554" s="2">
        <f>IF(ISNUMBER(SEARCH(Лист2!$B$4,F:F)),1,0)</f>
        <v>0</v>
      </c>
      <c r="L554" s="14">
        <f>IF(ISNUMBER(SEARCH(Лист2!$B$5,I:I)),1,0)+K554</f>
        <v>0</v>
      </c>
      <c r="M554" s="3">
        <f ca="1">IF(AND(N554&lt;&gt;N553,ISNUMBER(SEARCH(Лист2!$B$6,N:N)),L554=2),MAX($M$3:OFFSET(M554,-1,0))+1,0)</f>
        <v>0</v>
      </c>
      <c r="N554" s="3" t="s">
        <v>842</v>
      </c>
    </row>
    <row r="555" spans="1:14" x14ac:dyDescent="0.25">
      <c r="A555" s="1" t="s">
        <v>10321</v>
      </c>
      <c r="B555" s="3" t="s">
        <v>4179</v>
      </c>
      <c r="C555" s="2">
        <f ca="1">IF(ISNUMBER(SEARCH(Лист2!$B$4,D:D)),MAX($C$3:OFFSET(C555,-1,0))+1,0)</f>
        <v>0</v>
      </c>
      <c r="E555" s="9" t="str">
        <f t="shared" ca="1" si="20"/>
        <v/>
      </c>
      <c r="F555" s="4" t="s">
        <v>3</v>
      </c>
      <c r="G555" s="2">
        <f>IF(ISNUMBER(SEARCH(Лист2!$B$4,F:F)),1,0)</f>
        <v>0</v>
      </c>
      <c r="H555" s="3">
        <f ca="1">IF(AND(I555&lt;&gt;I554,ISNUMBER(SEARCH(Лист2!$B$5,I:I)),G555=1),MAX($H$3:OFFSET(H555,-1,0))+1,0)</f>
        <v>0</v>
      </c>
      <c r="I555" s="3" t="s">
        <v>90</v>
      </c>
      <c r="K555" s="2">
        <f>IF(ISNUMBER(SEARCH(Лист2!$B$4,F:F)),1,0)</f>
        <v>0</v>
      </c>
      <c r="L555" s="14">
        <f>IF(ISNUMBER(SEARCH(Лист2!$B$5,I:I)),1,0)+K555</f>
        <v>0</v>
      </c>
      <c r="M555" s="3">
        <f ca="1">IF(AND(N555&lt;&gt;N554,ISNUMBER(SEARCH(Лист2!$B$6,N:N)),L555=2),MAX($M$3:OFFSET(M555,-1,0))+1,0)</f>
        <v>0</v>
      </c>
      <c r="N555" s="3" t="s">
        <v>844</v>
      </c>
    </row>
    <row r="556" spans="1:14" x14ac:dyDescent="0.25">
      <c r="A556" s="1" t="s">
        <v>10317</v>
      </c>
      <c r="B556" s="3" t="s">
        <v>4180</v>
      </c>
      <c r="C556" s="2">
        <f ca="1">IF(ISNUMBER(SEARCH(Лист2!$B$4,D:D)),MAX($C$3:OFFSET(C556,-1,0))+1,0)</f>
        <v>0</v>
      </c>
      <c r="E556" s="9" t="str">
        <f t="shared" ca="1" si="20"/>
        <v/>
      </c>
      <c r="F556" s="4" t="s">
        <v>3</v>
      </c>
      <c r="G556" s="2">
        <f>IF(ISNUMBER(SEARCH(Лист2!$B$4,F:F)),1,0)</f>
        <v>0</v>
      </c>
      <c r="H556" s="3">
        <f ca="1">IF(AND(I556&lt;&gt;I555,ISNUMBER(SEARCH(Лист2!$B$5,I:I)),G556=1),MAX($H$3:OFFSET(H556,-1,0))+1,0)</f>
        <v>0</v>
      </c>
      <c r="I556" s="3" t="s">
        <v>90</v>
      </c>
      <c r="K556" s="2">
        <f>IF(ISNUMBER(SEARCH(Лист2!$B$4,F:F)),1,0)</f>
        <v>0</v>
      </c>
      <c r="L556" s="14">
        <f>IF(ISNUMBER(SEARCH(Лист2!$B$5,I:I)),1,0)+K556</f>
        <v>0</v>
      </c>
      <c r="M556" s="3">
        <f ca="1">IF(AND(N556&lt;&gt;N555,ISNUMBER(SEARCH(Лист2!$B$6,N:N)),L556=2),MAX($M$3:OFFSET(M556,-1,0))+1,0)</f>
        <v>0</v>
      </c>
      <c r="N556" s="3" t="s">
        <v>840</v>
      </c>
    </row>
    <row r="557" spans="1:14" x14ac:dyDescent="0.25">
      <c r="A557" s="1" t="s">
        <v>10318</v>
      </c>
      <c r="B557" s="3" t="s">
        <v>4181</v>
      </c>
      <c r="C557" s="2">
        <f ca="1">IF(ISNUMBER(SEARCH(Лист2!$B$4,D:D)),MAX($C$3:OFFSET(C557,-1,0))+1,0)</f>
        <v>0</v>
      </c>
      <c r="E557" s="9" t="str">
        <f t="shared" ca="1" si="20"/>
        <v/>
      </c>
      <c r="F557" s="4" t="s">
        <v>3</v>
      </c>
      <c r="G557" s="2">
        <f>IF(ISNUMBER(SEARCH(Лист2!$B$4,F:F)),1,0)</f>
        <v>0</v>
      </c>
      <c r="H557" s="3">
        <f ca="1">IF(AND(I557&lt;&gt;I556,ISNUMBER(SEARCH(Лист2!$B$5,I:I)),G557=1),MAX($H$3:OFFSET(H557,-1,0))+1,0)</f>
        <v>0</v>
      </c>
      <c r="I557" s="3" t="s">
        <v>90</v>
      </c>
      <c r="K557" s="2">
        <f>IF(ISNUMBER(SEARCH(Лист2!$B$4,F:F)),1,0)</f>
        <v>0</v>
      </c>
      <c r="L557" s="14">
        <f>IF(ISNUMBER(SEARCH(Лист2!$B$5,I:I)),1,0)+K557</f>
        <v>0</v>
      </c>
      <c r="M557" s="3">
        <f ca="1">IF(AND(N557&lt;&gt;N556,ISNUMBER(SEARCH(Лист2!$B$6,N:N)),L557=2),MAX($M$3:OFFSET(M557,-1,0))+1,0)</f>
        <v>0</v>
      </c>
      <c r="N557" s="3" t="s">
        <v>841</v>
      </c>
    </row>
    <row r="558" spans="1:14" x14ac:dyDescent="0.25">
      <c r="A558" s="1" t="s">
        <v>10319</v>
      </c>
      <c r="B558" s="3" t="s">
        <v>4182</v>
      </c>
      <c r="C558" s="2">
        <f ca="1">IF(ISNUMBER(SEARCH(Лист2!$B$4,D:D)),MAX($C$3:OFFSET(C558,-1,0))+1,0)</f>
        <v>0</v>
      </c>
      <c r="E558" s="9" t="str">
        <f t="shared" ca="1" si="20"/>
        <v/>
      </c>
      <c r="F558" s="4" t="s">
        <v>3</v>
      </c>
      <c r="G558" s="2">
        <f>IF(ISNUMBER(SEARCH(Лист2!$B$4,F:F)),1,0)</f>
        <v>0</v>
      </c>
      <c r="H558" s="3">
        <f ca="1">IF(AND(I558&lt;&gt;I557,ISNUMBER(SEARCH(Лист2!$B$5,I:I)),G558=1),MAX($H$3:OFFSET(H558,-1,0))+1,0)</f>
        <v>0</v>
      </c>
      <c r="I558" s="3" t="s">
        <v>90</v>
      </c>
      <c r="K558" s="2">
        <f>IF(ISNUMBER(SEARCH(Лист2!$B$4,F:F)),1,0)</f>
        <v>0</v>
      </c>
      <c r="L558" s="14">
        <f>IF(ISNUMBER(SEARCH(Лист2!$B$5,I:I)),1,0)+K558</f>
        <v>0</v>
      </c>
      <c r="M558" s="3">
        <f ca="1">IF(AND(N558&lt;&gt;N557,ISNUMBER(SEARCH(Лист2!$B$6,N:N)),L558=2),MAX($M$3:OFFSET(M558,-1,0))+1,0)</f>
        <v>0</v>
      </c>
      <c r="N558" s="3" t="s">
        <v>842</v>
      </c>
    </row>
    <row r="559" spans="1:14" x14ac:dyDescent="0.25">
      <c r="A559" s="1" t="s">
        <v>10322</v>
      </c>
      <c r="B559" s="3" t="s">
        <v>4183</v>
      </c>
      <c r="C559" s="2">
        <f ca="1">IF(ISNUMBER(SEARCH(Лист2!$B$4,D:D)),MAX($C$3:OFFSET(C559,-1,0))+1,0)</f>
        <v>0</v>
      </c>
      <c r="E559" s="9" t="str">
        <f t="shared" ca="1" si="20"/>
        <v/>
      </c>
      <c r="F559" s="4" t="s">
        <v>3</v>
      </c>
      <c r="G559" s="2">
        <f>IF(ISNUMBER(SEARCH(Лист2!$B$4,F:F)),1,0)</f>
        <v>0</v>
      </c>
      <c r="H559" s="3">
        <f ca="1">IF(AND(I559&lt;&gt;I558,ISNUMBER(SEARCH(Лист2!$B$5,I:I)),G559=1),MAX($H$3:OFFSET(H559,-1,0))+1,0)</f>
        <v>0</v>
      </c>
      <c r="I559" s="3" t="s">
        <v>90</v>
      </c>
      <c r="K559" s="2">
        <f>IF(ISNUMBER(SEARCH(Лист2!$B$4,F:F)),1,0)</f>
        <v>0</v>
      </c>
      <c r="L559" s="14">
        <f>IF(ISNUMBER(SEARCH(Лист2!$B$5,I:I)),1,0)+K559</f>
        <v>0</v>
      </c>
      <c r="M559" s="3">
        <f ca="1">IF(AND(N559&lt;&gt;N558,ISNUMBER(SEARCH(Лист2!$B$6,N:N)),L559=2),MAX($M$3:OFFSET(M559,-1,0))+1,0)</f>
        <v>0</v>
      </c>
      <c r="N559" s="3" t="s">
        <v>845</v>
      </c>
    </row>
    <row r="560" spans="1:14" x14ac:dyDescent="0.25">
      <c r="A560" s="1" t="s">
        <v>10323</v>
      </c>
      <c r="B560" s="3" t="s">
        <v>4184</v>
      </c>
      <c r="C560" s="2">
        <f ca="1">IF(ISNUMBER(SEARCH(Лист2!$B$4,D:D)),MAX($C$3:OFFSET(C560,-1,0))+1,0)</f>
        <v>0</v>
      </c>
      <c r="E560" s="9" t="str">
        <f t="shared" ca="1" si="20"/>
        <v/>
      </c>
      <c r="F560" s="4" t="s">
        <v>3</v>
      </c>
      <c r="G560" s="2">
        <f>IF(ISNUMBER(SEARCH(Лист2!$B$4,F:F)),1,0)</f>
        <v>0</v>
      </c>
      <c r="H560" s="3">
        <f ca="1">IF(AND(I560&lt;&gt;I559,ISNUMBER(SEARCH(Лист2!$B$5,I:I)),G560=1),MAX($H$3:OFFSET(H560,-1,0))+1,0)</f>
        <v>0</v>
      </c>
      <c r="I560" s="3" t="s">
        <v>90</v>
      </c>
      <c r="K560" s="2">
        <f>IF(ISNUMBER(SEARCH(Лист2!$B$4,F:F)),1,0)</f>
        <v>0</v>
      </c>
      <c r="L560" s="14">
        <f>IF(ISNUMBER(SEARCH(Лист2!$B$5,I:I)),1,0)+K560</f>
        <v>0</v>
      </c>
      <c r="M560" s="3">
        <f ca="1">IF(AND(N560&lt;&gt;N559,ISNUMBER(SEARCH(Лист2!$B$6,N:N)),L560=2),MAX($M$3:OFFSET(M560,-1,0))+1,0)</f>
        <v>0</v>
      </c>
      <c r="N560" s="3" t="s">
        <v>846</v>
      </c>
    </row>
    <row r="561" spans="1:14" x14ac:dyDescent="0.25">
      <c r="A561" s="1" t="s">
        <v>10324</v>
      </c>
      <c r="B561" s="3" t="s">
        <v>4185</v>
      </c>
      <c r="C561" s="2">
        <f ca="1">IF(ISNUMBER(SEARCH(Лист2!$B$4,D:D)),MAX($C$3:OFFSET(C561,-1,0))+1,0)</f>
        <v>0</v>
      </c>
      <c r="E561" s="9" t="str">
        <f t="shared" ca="1" si="20"/>
        <v/>
      </c>
      <c r="F561" s="4" t="s">
        <v>3</v>
      </c>
      <c r="G561" s="2">
        <f>IF(ISNUMBER(SEARCH(Лист2!$B$4,F:F)),1,0)</f>
        <v>0</v>
      </c>
      <c r="H561" s="3">
        <f ca="1">IF(AND(I561&lt;&gt;I560,ISNUMBER(SEARCH(Лист2!$B$5,I:I)),G561=1),MAX($H$3:OFFSET(H561,-1,0))+1,0)</f>
        <v>0</v>
      </c>
      <c r="I561" s="3" t="s">
        <v>90</v>
      </c>
      <c r="K561" s="2">
        <f>IF(ISNUMBER(SEARCH(Лист2!$B$4,F:F)),1,0)</f>
        <v>0</v>
      </c>
      <c r="L561" s="14">
        <f>IF(ISNUMBER(SEARCH(Лист2!$B$5,I:I)),1,0)+K561</f>
        <v>0</v>
      </c>
      <c r="M561" s="3">
        <f ca="1">IF(AND(N561&lt;&gt;N560,ISNUMBER(SEARCH(Лист2!$B$6,N:N)),L561=2),MAX($M$3:OFFSET(M561,-1,0))+1,0)</f>
        <v>0</v>
      </c>
      <c r="N561" s="3" t="s">
        <v>847</v>
      </c>
    </row>
    <row r="562" spans="1:14" x14ac:dyDescent="0.25">
      <c r="A562" s="1" t="s">
        <v>10325</v>
      </c>
      <c r="B562" s="3" t="s">
        <v>4186</v>
      </c>
      <c r="C562" s="2">
        <f ca="1">IF(ISNUMBER(SEARCH(Лист2!$B$4,D:D)),MAX($C$3:OFFSET(C562,-1,0))+1,0)</f>
        <v>0</v>
      </c>
      <c r="E562" s="9" t="str">
        <f t="shared" ca="1" si="20"/>
        <v/>
      </c>
      <c r="F562" s="4" t="s">
        <v>3</v>
      </c>
      <c r="G562" s="2">
        <f>IF(ISNUMBER(SEARCH(Лист2!$B$4,F:F)),1,0)</f>
        <v>0</v>
      </c>
      <c r="H562" s="3">
        <f ca="1">IF(AND(I562&lt;&gt;I561,ISNUMBER(SEARCH(Лист2!$B$5,I:I)),G562=1),MAX($H$3:OFFSET(H562,-1,0))+1,0)</f>
        <v>0</v>
      </c>
      <c r="I562" s="3" t="s">
        <v>90</v>
      </c>
      <c r="K562" s="2">
        <f>IF(ISNUMBER(SEARCH(Лист2!$B$4,F:F)),1,0)</f>
        <v>0</v>
      </c>
      <c r="L562" s="14">
        <f>IF(ISNUMBER(SEARCH(Лист2!$B$5,I:I)),1,0)+K562</f>
        <v>0</v>
      </c>
      <c r="M562" s="3">
        <f ca="1">IF(AND(N562&lt;&gt;N561,ISNUMBER(SEARCH(Лист2!$B$6,N:N)),L562=2),MAX($M$3:OFFSET(M562,-1,0))+1,0)</f>
        <v>0</v>
      </c>
      <c r="N562" s="3" t="s">
        <v>848</v>
      </c>
    </row>
    <row r="563" spans="1:14" x14ac:dyDescent="0.25">
      <c r="A563" s="1" t="s">
        <v>10317</v>
      </c>
      <c r="B563" s="3" t="s">
        <v>4187</v>
      </c>
      <c r="C563" s="2">
        <f ca="1">IF(ISNUMBER(SEARCH(Лист2!$B$4,D:D)),MAX($C$3:OFFSET(C563,-1,0))+1,0)</f>
        <v>0</v>
      </c>
      <c r="E563" s="9" t="str">
        <f t="shared" ca="1" si="20"/>
        <v/>
      </c>
      <c r="F563" s="4" t="s">
        <v>3</v>
      </c>
      <c r="G563" s="2">
        <f>IF(ISNUMBER(SEARCH(Лист2!$B$4,F:F)),1,0)</f>
        <v>0</v>
      </c>
      <c r="H563" s="3">
        <f ca="1">IF(AND(I563&lt;&gt;I562,ISNUMBER(SEARCH(Лист2!$B$5,I:I)),G563=1),MAX($H$3:OFFSET(H563,-1,0))+1,0)</f>
        <v>0</v>
      </c>
      <c r="I563" s="3" t="s">
        <v>90</v>
      </c>
      <c r="K563" s="2">
        <f>IF(ISNUMBER(SEARCH(Лист2!$B$4,F:F)),1,0)</f>
        <v>0</v>
      </c>
      <c r="L563" s="14">
        <f>IF(ISNUMBER(SEARCH(Лист2!$B$5,I:I)),1,0)+K563</f>
        <v>0</v>
      </c>
      <c r="M563" s="3">
        <f ca="1">IF(AND(N563&lt;&gt;N562,ISNUMBER(SEARCH(Лист2!$B$6,N:N)),L563=2),MAX($M$3:OFFSET(M563,-1,0))+1,0)</f>
        <v>0</v>
      </c>
      <c r="N563" s="3" t="s">
        <v>840</v>
      </c>
    </row>
    <row r="564" spans="1:14" x14ac:dyDescent="0.25">
      <c r="A564" s="1" t="s">
        <v>10318</v>
      </c>
      <c r="B564" s="3" t="s">
        <v>4188</v>
      </c>
      <c r="C564" s="2">
        <f ca="1">IF(ISNUMBER(SEARCH(Лист2!$B$4,D:D)),MAX($C$3:OFFSET(C564,-1,0))+1,0)</f>
        <v>0</v>
      </c>
      <c r="E564" s="9" t="str">
        <f t="shared" ca="1" si="20"/>
        <v/>
      </c>
      <c r="F564" s="4" t="s">
        <v>3</v>
      </c>
      <c r="G564" s="2">
        <f>IF(ISNUMBER(SEARCH(Лист2!$B$4,F:F)),1,0)</f>
        <v>0</v>
      </c>
      <c r="H564" s="3">
        <f ca="1">IF(AND(I564&lt;&gt;I563,ISNUMBER(SEARCH(Лист2!$B$5,I:I)),G564=1),MAX($H$3:OFFSET(H564,-1,0))+1,0)</f>
        <v>0</v>
      </c>
      <c r="I564" s="3" t="s">
        <v>90</v>
      </c>
      <c r="K564" s="2">
        <f>IF(ISNUMBER(SEARCH(Лист2!$B$4,F:F)),1,0)</f>
        <v>0</v>
      </c>
      <c r="L564" s="14">
        <f>IF(ISNUMBER(SEARCH(Лист2!$B$5,I:I)),1,0)+K564</f>
        <v>0</v>
      </c>
      <c r="M564" s="3">
        <f ca="1">IF(AND(N564&lt;&gt;N563,ISNUMBER(SEARCH(Лист2!$B$6,N:N)),L564=2),MAX($M$3:OFFSET(M564,-1,0))+1,0)</f>
        <v>0</v>
      </c>
      <c r="N564" s="3" t="s">
        <v>841</v>
      </c>
    </row>
    <row r="565" spans="1:14" x14ac:dyDescent="0.25">
      <c r="A565" s="1" t="s">
        <v>10319</v>
      </c>
      <c r="B565" s="3" t="s">
        <v>4189</v>
      </c>
      <c r="C565" s="2">
        <f ca="1">IF(ISNUMBER(SEARCH(Лист2!$B$4,D:D)),MAX($C$3:OFFSET(C565,-1,0))+1,0)</f>
        <v>0</v>
      </c>
      <c r="E565" s="9" t="str">
        <f t="shared" ca="1" si="20"/>
        <v/>
      </c>
      <c r="F565" s="4" t="s">
        <v>3</v>
      </c>
      <c r="G565" s="2">
        <f>IF(ISNUMBER(SEARCH(Лист2!$B$4,F:F)),1,0)</f>
        <v>0</v>
      </c>
      <c r="H565" s="3">
        <f ca="1">IF(AND(I565&lt;&gt;I564,ISNUMBER(SEARCH(Лист2!$B$5,I:I)),G565=1),MAX($H$3:OFFSET(H565,-1,0))+1,0)</f>
        <v>0</v>
      </c>
      <c r="I565" s="3" t="s">
        <v>90</v>
      </c>
      <c r="K565" s="2">
        <f>IF(ISNUMBER(SEARCH(Лист2!$B$4,F:F)),1,0)</f>
        <v>0</v>
      </c>
      <c r="L565" s="14">
        <f>IF(ISNUMBER(SEARCH(Лист2!$B$5,I:I)),1,0)+K565</f>
        <v>0</v>
      </c>
      <c r="M565" s="3">
        <f ca="1">IF(AND(N565&lt;&gt;N564,ISNUMBER(SEARCH(Лист2!$B$6,N:N)),L565=2),MAX($M$3:OFFSET(M565,-1,0))+1,0)</f>
        <v>0</v>
      </c>
      <c r="N565" s="3" t="s">
        <v>842</v>
      </c>
    </row>
    <row r="566" spans="1:14" x14ac:dyDescent="0.25">
      <c r="A566" s="1" t="s">
        <v>10326</v>
      </c>
      <c r="B566" s="3" t="s">
        <v>4190</v>
      </c>
      <c r="C566" s="2">
        <f ca="1">IF(ISNUMBER(SEARCH(Лист2!$B$4,D:D)),MAX($C$3:OFFSET(C566,-1,0))+1,0)</f>
        <v>0</v>
      </c>
      <c r="E566" s="9" t="str">
        <f t="shared" ca="1" si="20"/>
        <v/>
      </c>
      <c r="F566" s="4" t="s">
        <v>3</v>
      </c>
      <c r="G566" s="2">
        <f>IF(ISNUMBER(SEARCH(Лист2!$B$4,F:F)),1,0)</f>
        <v>0</v>
      </c>
      <c r="H566" s="3">
        <f ca="1">IF(AND(I566&lt;&gt;I565,ISNUMBER(SEARCH(Лист2!$B$5,I:I)),G566=1),MAX($H$3:OFFSET(H566,-1,0))+1,0)</f>
        <v>0</v>
      </c>
      <c r="I566" s="3" t="s">
        <v>90</v>
      </c>
      <c r="K566" s="2">
        <f>IF(ISNUMBER(SEARCH(Лист2!$B$4,F:F)),1,0)</f>
        <v>0</v>
      </c>
      <c r="L566" s="14">
        <f>IF(ISNUMBER(SEARCH(Лист2!$B$5,I:I)),1,0)+K566</f>
        <v>0</v>
      </c>
      <c r="M566" s="3">
        <f ca="1">IF(AND(N566&lt;&gt;N565,ISNUMBER(SEARCH(Лист2!$B$6,N:N)),L566=2),MAX($M$3:OFFSET(M566,-1,0))+1,0)</f>
        <v>0</v>
      </c>
      <c r="N566" s="3" t="s">
        <v>849</v>
      </c>
    </row>
    <row r="567" spans="1:14" x14ac:dyDescent="0.25">
      <c r="A567" s="1" t="s">
        <v>10317</v>
      </c>
      <c r="B567" s="3" t="s">
        <v>4191</v>
      </c>
      <c r="C567" s="2">
        <f ca="1">IF(ISNUMBER(SEARCH(Лист2!$B$4,D:D)),MAX($C$3:OFFSET(C567,-1,0))+1,0)</f>
        <v>0</v>
      </c>
      <c r="E567" s="9" t="str">
        <f t="shared" ca="1" si="20"/>
        <v/>
      </c>
      <c r="F567" s="4" t="s">
        <v>3</v>
      </c>
      <c r="G567" s="2">
        <f>IF(ISNUMBER(SEARCH(Лист2!$B$4,F:F)),1,0)</f>
        <v>0</v>
      </c>
      <c r="H567" s="3">
        <f ca="1">IF(AND(I567&lt;&gt;I566,ISNUMBER(SEARCH(Лист2!$B$5,I:I)),G567=1),MAX($H$3:OFFSET(H567,-1,0))+1,0)</f>
        <v>0</v>
      </c>
      <c r="I567" s="3" t="s">
        <v>90</v>
      </c>
      <c r="K567" s="2">
        <f>IF(ISNUMBER(SEARCH(Лист2!$B$4,F:F)),1,0)</f>
        <v>0</v>
      </c>
      <c r="L567" s="14">
        <f>IF(ISNUMBER(SEARCH(Лист2!$B$5,I:I)),1,0)+K567</f>
        <v>0</v>
      </c>
      <c r="M567" s="3">
        <f ca="1">IF(AND(N567&lt;&gt;N566,ISNUMBER(SEARCH(Лист2!$B$6,N:N)),L567=2),MAX($M$3:OFFSET(M567,-1,0))+1,0)</f>
        <v>0</v>
      </c>
      <c r="N567" s="3" t="s">
        <v>840</v>
      </c>
    </row>
    <row r="568" spans="1:14" x14ac:dyDescent="0.25">
      <c r="A568" s="1" t="s">
        <v>10318</v>
      </c>
      <c r="B568" s="3" t="s">
        <v>4192</v>
      </c>
      <c r="C568" s="2">
        <f ca="1">IF(ISNUMBER(SEARCH(Лист2!$B$4,D:D)),MAX($C$3:OFFSET(C568,-1,0))+1,0)</f>
        <v>0</v>
      </c>
      <c r="E568" s="9" t="str">
        <f t="shared" ca="1" si="20"/>
        <v/>
      </c>
      <c r="F568" s="4" t="s">
        <v>3</v>
      </c>
      <c r="G568" s="2">
        <f>IF(ISNUMBER(SEARCH(Лист2!$B$4,F:F)),1,0)</f>
        <v>0</v>
      </c>
      <c r="H568" s="3">
        <f ca="1">IF(AND(I568&lt;&gt;I567,ISNUMBER(SEARCH(Лист2!$B$5,I:I)),G568=1),MAX($H$3:OFFSET(H568,-1,0))+1,0)</f>
        <v>0</v>
      </c>
      <c r="I568" s="3" t="s">
        <v>90</v>
      </c>
      <c r="K568" s="2">
        <f>IF(ISNUMBER(SEARCH(Лист2!$B$4,F:F)),1,0)</f>
        <v>0</v>
      </c>
      <c r="L568" s="14">
        <f>IF(ISNUMBER(SEARCH(Лист2!$B$5,I:I)),1,0)+K568</f>
        <v>0</v>
      </c>
      <c r="M568" s="3">
        <f ca="1">IF(AND(N568&lt;&gt;N567,ISNUMBER(SEARCH(Лист2!$B$6,N:N)),L568=2),MAX($M$3:OFFSET(M568,-1,0))+1,0)</f>
        <v>0</v>
      </c>
      <c r="N568" s="3" t="s">
        <v>841</v>
      </c>
    </row>
    <row r="569" spans="1:14" x14ac:dyDescent="0.25">
      <c r="A569" s="1" t="s">
        <v>10319</v>
      </c>
      <c r="B569" s="3" t="s">
        <v>4193</v>
      </c>
      <c r="C569" s="2">
        <f ca="1">IF(ISNUMBER(SEARCH(Лист2!$B$4,D:D)),MAX($C$3:OFFSET(C569,-1,0))+1,0)</f>
        <v>0</v>
      </c>
      <c r="E569" s="9" t="str">
        <f t="shared" ca="1" si="20"/>
        <v/>
      </c>
      <c r="F569" s="4" t="s">
        <v>3</v>
      </c>
      <c r="G569" s="2">
        <f>IF(ISNUMBER(SEARCH(Лист2!$B$4,F:F)),1,0)</f>
        <v>0</v>
      </c>
      <c r="H569" s="3">
        <f ca="1">IF(AND(I569&lt;&gt;I568,ISNUMBER(SEARCH(Лист2!$B$5,I:I)),G569=1),MAX($H$3:OFFSET(H569,-1,0))+1,0)</f>
        <v>0</v>
      </c>
      <c r="I569" s="3" t="s">
        <v>90</v>
      </c>
      <c r="K569" s="2">
        <f>IF(ISNUMBER(SEARCH(Лист2!$B$4,F:F)),1,0)</f>
        <v>0</v>
      </c>
      <c r="L569" s="14">
        <f>IF(ISNUMBER(SEARCH(Лист2!$B$5,I:I)),1,0)+K569</f>
        <v>0</v>
      </c>
      <c r="M569" s="3">
        <f ca="1">IF(AND(N569&lt;&gt;N568,ISNUMBER(SEARCH(Лист2!$B$6,N:N)),L569=2),MAX($M$3:OFFSET(M569,-1,0))+1,0)</f>
        <v>0</v>
      </c>
      <c r="N569" s="3" t="s">
        <v>842</v>
      </c>
    </row>
    <row r="570" spans="1:14" x14ac:dyDescent="0.25">
      <c r="A570" s="1" t="s">
        <v>10327</v>
      </c>
      <c r="B570" s="3" t="s">
        <v>4194</v>
      </c>
      <c r="C570" s="2">
        <f ca="1">IF(ISNUMBER(SEARCH(Лист2!$B$4,D:D)),MAX($C$3:OFFSET(C570,-1,0))+1,0)</f>
        <v>0</v>
      </c>
      <c r="E570" s="9" t="str">
        <f t="shared" ca="1" si="20"/>
        <v/>
      </c>
      <c r="F570" s="4" t="s">
        <v>3</v>
      </c>
      <c r="G570" s="2">
        <f>IF(ISNUMBER(SEARCH(Лист2!$B$4,F:F)),1,0)</f>
        <v>0</v>
      </c>
      <c r="H570" s="3">
        <f ca="1">IF(AND(I570&lt;&gt;I569,ISNUMBER(SEARCH(Лист2!$B$5,I:I)),G570=1),MAX($H$3:OFFSET(H570,-1,0))+1,0)</f>
        <v>0</v>
      </c>
      <c r="I570" s="3" t="s">
        <v>90</v>
      </c>
      <c r="K570" s="2">
        <f>IF(ISNUMBER(SEARCH(Лист2!$B$4,F:F)),1,0)</f>
        <v>0</v>
      </c>
      <c r="L570" s="14">
        <f>IF(ISNUMBER(SEARCH(Лист2!$B$5,I:I)),1,0)+K570</f>
        <v>0</v>
      </c>
      <c r="M570" s="3">
        <f ca="1">IF(AND(N570&lt;&gt;N569,ISNUMBER(SEARCH(Лист2!$B$6,N:N)),L570=2),MAX($M$3:OFFSET(M570,-1,0))+1,0)</f>
        <v>0</v>
      </c>
      <c r="N570" s="3" t="s">
        <v>850</v>
      </c>
    </row>
    <row r="571" spans="1:14" x14ac:dyDescent="0.25">
      <c r="A571" s="1" t="s">
        <v>10317</v>
      </c>
      <c r="B571" s="3" t="s">
        <v>4195</v>
      </c>
      <c r="C571" s="2">
        <f ca="1">IF(ISNUMBER(SEARCH(Лист2!$B$4,D:D)),MAX($C$3:OFFSET(C571,-1,0))+1,0)</f>
        <v>0</v>
      </c>
      <c r="E571" s="9" t="str">
        <f t="shared" ca="1" si="20"/>
        <v/>
      </c>
      <c r="F571" s="4" t="s">
        <v>3</v>
      </c>
      <c r="G571" s="2">
        <f>IF(ISNUMBER(SEARCH(Лист2!$B$4,F:F)),1,0)</f>
        <v>0</v>
      </c>
      <c r="H571" s="3">
        <f ca="1">IF(AND(I571&lt;&gt;I570,ISNUMBER(SEARCH(Лист2!$B$5,I:I)),G571=1),MAX($H$3:OFFSET(H571,-1,0))+1,0)</f>
        <v>0</v>
      </c>
      <c r="I571" s="3" t="s">
        <v>90</v>
      </c>
      <c r="K571" s="2">
        <f>IF(ISNUMBER(SEARCH(Лист2!$B$4,F:F)),1,0)</f>
        <v>0</v>
      </c>
      <c r="L571" s="14">
        <f>IF(ISNUMBER(SEARCH(Лист2!$B$5,I:I)),1,0)+K571</f>
        <v>0</v>
      </c>
      <c r="M571" s="3">
        <f ca="1">IF(AND(N571&lt;&gt;N570,ISNUMBER(SEARCH(Лист2!$B$6,N:N)),L571=2),MAX($M$3:OFFSET(M571,-1,0))+1,0)</f>
        <v>0</v>
      </c>
      <c r="N571" s="3" t="s">
        <v>840</v>
      </c>
    </row>
    <row r="572" spans="1:14" x14ac:dyDescent="0.25">
      <c r="A572" s="1" t="s">
        <v>10318</v>
      </c>
      <c r="B572" s="3" t="s">
        <v>4196</v>
      </c>
      <c r="C572" s="2">
        <f ca="1">IF(ISNUMBER(SEARCH(Лист2!$B$4,D:D)),MAX($C$3:OFFSET(C572,-1,0))+1,0)</f>
        <v>0</v>
      </c>
      <c r="E572" s="9" t="str">
        <f t="shared" ca="1" si="20"/>
        <v/>
      </c>
      <c r="F572" s="4" t="s">
        <v>3</v>
      </c>
      <c r="G572" s="2">
        <f>IF(ISNUMBER(SEARCH(Лист2!$B$4,F:F)),1,0)</f>
        <v>0</v>
      </c>
      <c r="H572" s="3">
        <f ca="1">IF(AND(I572&lt;&gt;I571,ISNUMBER(SEARCH(Лист2!$B$5,I:I)),G572=1),MAX($H$3:OFFSET(H572,-1,0))+1,0)</f>
        <v>0</v>
      </c>
      <c r="I572" s="3" t="s">
        <v>90</v>
      </c>
      <c r="K572" s="2">
        <f>IF(ISNUMBER(SEARCH(Лист2!$B$4,F:F)),1,0)</f>
        <v>0</v>
      </c>
      <c r="L572" s="14">
        <f>IF(ISNUMBER(SEARCH(Лист2!$B$5,I:I)),1,0)+K572</f>
        <v>0</v>
      </c>
      <c r="M572" s="3">
        <f ca="1">IF(AND(N572&lt;&gt;N571,ISNUMBER(SEARCH(Лист2!$B$6,N:N)),L572=2),MAX($M$3:OFFSET(M572,-1,0))+1,0)</f>
        <v>0</v>
      </c>
      <c r="N572" s="3" t="s">
        <v>841</v>
      </c>
    </row>
    <row r="573" spans="1:14" x14ac:dyDescent="0.25">
      <c r="A573" s="1" t="s">
        <v>10319</v>
      </c>
      <c r="B573" s="3" t="s">
        <v>4197</v>
      </c>
      <c r="C573" s="2">
        <f ca="1">IF(ISNUMBER(SEARCH(Лист2!$B$4,D:D)),MAX($C$3:OFFSET(C573,-1,0))+1,0)</f>
        <v>0</v>
      </c>
      <c r="E573" s="9" t="str">
        <f t="shared" ca="1" si="20"/>
        <v/>
      </c>
      <c r="F573" s="4" t="s">
        <v>3</v>
      </c>
      <c r="G573" s="2">
        <f>IF(ISNUMBER(SEARCH(Лист2!$B$4,F:F)),1,0)</f>
        <v>0</v>
      </c>
      <c r="H573" s="3">
        <f ca="1">IF(AND(I573&lt;&gt;I572,ISNUMBER(SEARCH(Лист2!$B$5,I:I)),G573=1),MAX($H$3:OFFSET(H573,-1,0))+1,0)</f>
        <v>0</v>
      </c>
      <c r="I573" s="3" t="s">
        <v>90</v>
      </c>
      <c r="K573" s="2">
        <f>IF(ISNUMBER(SEARCH(Лист2!$B$4,F:F)),1,0)</f>
        <v>0</v>
      </c>
      <c r="L573" s="14">
        <f>IF(ISNUMBER(SEARCH(Лист2!$B$5,I:I)),1,0)+K573</f>
        <v>0</v>
      </c>
      <c r="M573" s="3">
        <f ca="1">IF(AND(N573&lt;&gt;N572,ISNUMBER(SEARCH(Лист2!$B$6,N:N)),L573=2),MAX($M$3:OFFSET(M573,-1,0))+1,0)</f>
        <v>0</v>
      </c>
      <c r="N573" s="3" t="s">
        <v>842</v>
      </c>
    </row>
    <row r="574" spans="1:14" x14ac:dyDescent="0.25">
      <c r="A574" s="1" t="s">
        <v>10328</v>
      </c>
      <c r="B574" s="3" t="s">
        <v>4198</v>
      </c>
      <c r="C574" s="2">
        <f ca="1">IF(ISNUMBER(SEARCH(Лист2!$B$4,D:D)),MAX($C$3:OFFSET(C574,-1,0))+1,0)</f>
        <v>0</v>
      </c>
      <c r="E574" s="9" t="str">
        <f t="shared" ca="1" si="20"/>
        <v/>
      </c>
      <c r="F574" s="4" t="s">
        <v>3</v>
      </c>
      <c r="G574" s="2">
        <f>IF(ISNUMBER(SEARCH(Лист2!$B$4,F:F)),1,0)</f>
        <v>0</v>
      </c>
      <c r="H574" s="3">
        <f ca="1">IF(AND(I574&lt;&gt;I573,ISNUMBER(SEARCH(Лист2!$B$5,I:I)),G574=1),MAX($H$3:OFFSET(H574,-1,0))+1,0)</f>
        <v>0</v>
      </c>
      <c r="I574" s="3" t="s">
        <v>90</v>
      </c>
      <c r="K574" s="2">
        <f>IF(ISNUMBER(SEARCH(Лист2!$B$4,F:F)),1,0)</f>
        <v>0</v>
      </c>
      <c r="L574" s="14">
        <f>IF(ISNUMBER(SEARCH(Лист2!$B$5,I:I)),1,0)+K574</f>
        <v>0</v>
      </c>
      <c r="M574" s="3">
        <f ca="1">IF(AND(N574&lt;&gt;N573,ISNUMBER(SEARCH(Лист2!$B$6,N:N)),L574=2),MAX($M$3:OFFSET(M574,-1,0))+1,0)</f>
        <v>0</v>
      </c>
      <c r="N574" s="3" t="s">
        <v>851</v>
      </c>
    </row>
    <row r="575" spans="1:14" x14ac:dyDescent="0.25">
      <c r="A575" s="1" t="s">
        <v>10317</v>
      </c>
      <c r="B575" s="3" t="s">
        <v>4199</v>
      </c>
      <c r="C575" s="2">
        <f ca="1">IF(ISNUMBER(SEARCH(Лист2!$B$4,D:D)),MAX($C$3:OFFSET(C575,-1,0))+1,0)</f>
        <v>0</v>
      </c>
      <c r="E575" s="9" t="str">
        <f t="shared" ca="1" si="20"/>
        <v/>
      </c>
      <c r="F575" s="4" t="s">
        <v>3</v>
      </c>
      <c r="G575" s="2">
        <f>IF(ISNUMBER(SEARCH(Лист2!$B$4,F:F)),1,0)</f>
        <v>0</v>
      </c>
      <c r="H575" s="3">
        <f ca="1">IF(AND(I575&lt;&gt;I574,ISNUMBER(SEARCH(Лист2!$B$5,I:I)),G575=1),MAX($H$3:OFFSET(H575,-1,0))+1,0)</f>
        <v>0</v>
      </c>
      <c r="I575" s="3" t="s">
        <v>90</v>
      </c>
      <c r="K575" s="2">
        <f>IF(ISNUMBER(SEARCH(Лист2!$B$4,F:F)),1,0)</f>
        <v>0</v>
      </c>
      <c r="L575" s="14">
        <f>IF(ISNUMBER(SEARCH(Лист2!$B$5,I:I)),1,0)+K575</f>
        <v>0</v>
      </c>
      <c r="M575" s="3">
        <f ca="1">IF(AND(N575&lt;&gt;N574,ISNUMBER(SEARCH(Лист2!$B$6,N:N)),L575=2),MAX($M$3:OFFSET(M575,-1,0))+1,0)</f>
        <v>0</v>
      </c>
      <c r="N575" s="3" t="s">
        <v>840</v>
      </c>
    </row>
    <row r="576" spans="1:14" x14ac:dyDescent="0.25">
      <c r="A576" s="1" t="s">
        <v>10318</v>
      </c>
      <c r="B576" s="3" t="s">
        <v>4200</v>
      </c>
      <c r="C576" s="2">
        <f ca="1">IF(ISNUMBER(SEARCH(Лист2!$B$4,D:D)),MAX($C$3:OFFSET(C576,-1,0))+1,0)</f>
        <v>0</v>
      </c>
      <c r="E576" s="9" t="str">
        <f t="shared" ca="1" si="20"/>
        <v/>
      </c>
      <c r="F576" s="4" t="s">
        <v>3</v>
      </c>
      <c r="G576" s="2">
        <f>IF(ISNUMBER(SEARCH(Лист2!$B$4,F:F)),1,0)</f>
        <v>0</v>
      </c>
      <c r="H576" s="3">
        <f ca="1">IF(AND(I576&lt;&gt;I575,ISNUMBER(SEARCH(Лист2!$B$5,I:I)),G576=1),MAX($H$3:OFFSET(H576,-1,0))+1,0)</f>
        <v>0</v>
      </c>
      <c r="I576" s="3" t="s">
        <v>90</v>
      </c>
      <c r="K576" s="2">
        <f>IF(ISNUMBER(SEARCH(Лист2!$B$4,F:F)),1,0)</f>
        <v>0</v>
      </c>
      <c r="L576" s="14">
        <f>IF(ISNUMBER(SEARCH(Лист2!$B$5,I:I)),1,0)+K576</f>
        <v>0</v>
      </c>
      <c r="M576" s="3">
        <f ca="1">IF(AND(N576&lt;&gt;N575,ISNUMBER(SEARCH(Лист2!$B$6,N:N)),L576=2),MAX($M$3:OFFSET(M576,-1,0))+1,0)</f>
        <v>0</v>
      </c>
      <c r="N576" s="3" t="s">
        <v>841</v>
      </c>
    </row>
    <row r="577" spans="1:14" x14ac:dyDescent="0.25">
      <c r="A577" s="1" t="s">
        <v>10319</v>
      </c>
      <c r="B577" s="3" t="s">
        <v>4201</v>
      </c>
      <c r="C577" s="2">
        <f ca="1">IF(ISNUMBER(SEARCH(Лист2!$B$4,D:D)),MAX($C$3:OFFSET(C577,-1,0))+1,0)</f>
        <v>0</v>
      </c>
      <c r="E577" s="9" t="str">
        <f t="shared" ca="1" si="20"/>
        <v/>
      </c>
      <c r="F577" s="4" t="s">
        <v>3</v>
      </c>
      <c r="G577" s="2">
        <f>IF(ISNUMBER(SEARCH(Лист2!$B$4,F:F)),1,0)</f>
        <v>0</v>
      </c>
      <c r="H577" s="3">
        <f ca="1">IF(AND(I577&lt;&gt;I576,ISNUMBER(SEARCH(Лист2!$B$5,I:I)),G577=1),MAX($H$3:OFFSET(H577,-1,0))+1,0)</f>
        <v>0</v>
      </c>
      <c r="I577" s="3" t="s">
        <v>90</v>
      </c>
      <c r="K577" s="2">
        <f>IF(ISNUMBER(SEARCH(Лист2!$B$4,F:F)),1,0)</f>
        <v>0</v>
      </c>
      <c r="L577" s="14">
        <f>IF(ISNUMBER(SEARCH(Лист2!$B$5,I:I)),1,0)+K577</f>
        <v>0</v>
      </c>
      <c r="M577" s="3">
        <f ca="1">IF(AND(N577&lt;&gt;N576,ISNUMBER(SEARCH(Лист2!$B$6,N:N)),L577=2),MAX($M$3:OFFSET(M577,-1,0))+1,0)</f>
        <v>0</v>
      </c>
      <c r="N577" s="3" t="s">
        <v>842</v>
      </c>
    </row>
    <row r="578" spans="1:14" x14ac:dyDescent="0.25">
      <c r="A578" s="1" t="s">
        <v>10329</v>
      </c>
      <c r="B578" s="3" t="s">
        <v>4202</v>
      </c>
      <c r="C578" s="2">
        <f ca="1">IF(ISNUMBER(SEARCH(Лист2!$B$4,D:D)),MAX($C$3:OFFSET(C578,-1,0))+1,0)</f>
        <v>0</v>
      </c>
      <c r="E578" s="9" t="str">
        <f t="shared" ca="1" si="20"/>
        <v/>
      </c>
      <c r="F578" s="4" t="s">
        <v>3</v>
      </c>
      <c r="G578" s="2">
        <f>IF(ISNUMBER(SEARCH(Лист2!$B$4,F:F)),1,0)</f>
        <v>0</v>
      </c>
      <c r="H578" s="3">
        <f ca="1">IF(AND(I578&lt;&gt;I577,ISNUMBER(SEARCH(Лист2!$B$5,I:I)),G578=1),MAX($H$3:OFFSET(H578,-1,0))+1,0)</f>
        <v>0</v>
      </c>
      <c r="I578" s="3" t="s">
        <v>90</v>
      </c>
      <c r="K578" s="2">
        <f>IF(ISNUMBER(SEARCH(Лист2!$B$4,F:F)),1,0)</f>
        <v>0</v>
      </c>
      <c r="L578" s="14">
        <f>IF(ISNUMBER(SEARCH(Лист2!$B$5,I:I)),1,0)+K578</f>
        <v>0</v>
      </c>
      <c r="M578" s="3">
        <f ca="1">IF(AND(N578&lt;&gt;N577,ISNUMBER(SEARCH(Лист2!$B$6,N:N)),L578=2),MAX($M$3:OFFSET(M578,-1,0))+1,0)</f>
        <v>0</v>
      </c>
      <c r="N578" s="3" t="s">
        <v>852</v>
      </c>
    </row>
    <row r="579" spans="1:14" x14ac:dyDescent="0.25">
      <c r="A579" s="1" t="s">
        <v>10317</v>
      </c>
      <c r="B579" s="3" t="s">
        <v>4203</v>
      </c>
      <c r="C579" s="2">
        <f ca="1">IF(ISNUMBER(SEARCH(Лист2!$B$4,D:D)),MAX($C$3:OFFSET(C579,-1,0))+1,0)</f>
        <v>0</v>
      </c>
      <c r="E579" s="9" t="str">
        <f t="shared" ca="1" si="20"/>
        <v/>
      </c>
      <c r="F579" s="4" t="s">
        <v>3</v>
      </c>
      <c r="G579" s="2">
        <f>IF(ISNUMBER(SEARCH(Лист2!$B$4,F:F)),1,0)</f>
        <v>0</v>
      </c>
      <c r="H579" s="3">
        <f ca="1">IF(AND(I579&lt;&gt;I578,ISNUMBER(SEARCH(Лист2!$B$5,I:I)),G579=1),MAX($H$3:OFFSET(H579,-1,0))+1,0)</f>
        <v>0</v>
      </c>
      <c r="I579" s="3" t="s">
        <v>90</v>
      </c>
      <c r="K579" s="2">
        <f>IF(ISNUMBER(SEARCH(Лист2!$B$4,F:F)),1,0)</f>
        <v>0</v>
      </c>
      <c r="L579" s="14">
        <f>IF(ISNUMBER(SEARCH(Лист2!$B$5,I:I)),1,0)+K579</f>
        <v>0</v>
      </c>
      <c r="M579" s="3">
        <f ca="1">IF(AND(N579&lt;&gt;N578,ISNUMBER(SEARCH(Лист2!$B$6,N:N)),L579=2),MAX($M$3:OFFSET(M579,-1,0))+1,0)</f>
        <v>0</v>
      </c>
      <c r="N579" s="3" t="s">
        <v>840</v>
      </c>
    </row>
    <row r="580" spans="1:14" x14ac:dyDescent="0.25">
      <c r="A580" s="1" t="s">
        <v>10318</v>
      </c>
      <c r="B580" s="3" t="s">
        <v>4204</v>
      </c>
      <c r="C580" s="2">
        <f ca="1">IF(ISNUMBER(SEARCH(Лист2!$B$4,D:D)),MAX($C$3:OFFSET(C580,-1,0))+1,0)</f>
        <v>0</v>
      </c>
      <c r="E580" s="9" t="str">
        <f t="shared" ca="1" si="20"/>
        <v/>
      </c>
      <c r="F580" s="4" t="s">
        <v>3</v>
      </c>
      <c r="G580" s="2">
        <f>IF(ISNUMBER(SEARCH(Лист2!$B$4,F:F)),1,0)</f>
        <v>0</v>
      </c>
      <c r="H580" s="3">
        <f ca="1">IF(AND(I580&lt;&gt;I579,ISNUMBER(SEARCH(Лист2!$B$5,I:I)),G580=1),MAX($H$3:OFFSET(H580,-1,0))+1,0)</f>
        <v>0</v>
      </c>
      <c r="I580" s="3" t="s">
        <v>90</v>
      </c>
      <c r="K580" s="2">
        <f>IF(ISNUMBER(SEARCH(Лист2!$B$4,F:F)),1,0)</f>
        <v>0</v>
      </c>
      <c r="L580" s="14">
        <f>IF(ISNUMBER(SEARCH(Лист2!$B$5,I:I)),1,0)+K580</f>
        <v>0</v>
      </c>
      <c r="M580" s="3">
        <f ca="1">IF(AND(N580&lt;&gt;N579,ISNUMBER(SEARCH(Лист2!$B$6,N:N)),L580=2),MAX($M$3:OFFSET(M580,-1,0))+1,0)</f>
        <v>0</v>
      </c>
      <c r="N580" s="3" t="s">
        <v>841</v>
      </c>
    </row>
    <row r="581" spans="1:14" x14ac:dyDescent="0.25">
      <c r="A581" s="1" t="s">
        <v>10319</v>
      </c>
      <c r="B581" s="3" t="s">
        <v>4205</v>
      </c>
      <c r="C581" s="2">
        <f ca="1">IF(ISNUMBER(SEARCH(Лист2!$B$4,D:D)),MAX($C$3:OFFSET(C581,-1,0))+1,0)</f>
        <v>0</v>
      </c>
      <c r="E581" s="9" t="str">
        <f t="shared" ref="E581:E644" ca="1" si="21">IFERROR(INDEX(D:D,MATCH(ROW(E581)-ROW($E$3),C:C,0)),"")</f>
        <v/>
      </c>
      <c r="F581" s="4" t="s">
        <v>3</v>
      </c>
      <c r="G581" s="2">
        <f>IF(ISNUMBER(SEARCH(Лист2!$B$4,F:F)),1,0)</f>
        <v>0</v>
      </c>
      <c r="H581" s="3">
        <f ca="1">IF(AND(I581&lt;&gt;I580,ISNUMBER(SEARCH(Лист2!$B$5,I:I)),G581=1),MAX($H$3:OFFSET(H581,-1,0))+1,0)</f>
        <v>0</v>
      </c>
      <c r="I581" s="3" t="s">
        <v>90</v>
      </c>
      <c r="K581" s="2">
        <f>IF(ISNUMBER(SEARCH(Лист2!$B$4,F:F)),1,0)</f>
        <v>0</v>
      </c>
      <c r="L581" s="14">
        <f>IF(ISNUMBER(SEARCH(Лист2!$B$5,I:I)),1,0)+K581</f>
        <v>0</v>
      </c>
      <c r="M581" s="3">
        <f ca="1">IF(AND(N581&lt;&gt;N580,ISNUMBER(SEARCH(Лист2!$B$6,N:N)),L581=2),MAX($M$3:OFFSET(M581,-1,0))+1,0)</f>
        <v>0</v>
      </c>
      <c r="N581" s="3" t="s">
        <v>842</v>
      </c>
    </row>
    <row r="582" spans="1:14" x14ac:dyDescent="0.25">
      <c r="A582" s="1" t="s">
        <v>10330</v>
      </c>
      <c r="B582" s="3" t="s">
        <v>4206</v>
      </c>
      <c r="C582" s="2">
        <f ca="1">IF(ISNUMBER(SEARCH(Лист2!$B$4,D:D)),MAX($C$3:OFFSET(C582,-1,0))+1,0)</f>
        <v>0</v>
      </c>
      <c r="E582" s="9" t="str">
        <f t="shared" ca="1" si="21"/>
        <v/>
      </c>
      <c r="F582" s="4" t="s">
        <v>3</v>
      </c>
      <c r="G582" s="2">
        <f>IF(ISNUMBER(SEARCH(Лист2!$B$4,F:F)),1,0)</f>
        <v>0</v>
      </c>
      <c r="H582" s="3">
        <f ca="1">IF(AND(I582&lt;&gt;I581,ISNUMBER(SEARCH(Лист2!$B$5,I:I)),G582=1),MAX($H$3:OFFSET(H582,-1,0))+1,0)</f>
        <v>0</v>
      </c>
      <c r="I582" s="3" t="s">
        <v>90</v>
      </c>
      <c r="K582" s="2">
        <f>IF(ISNUMBER(SEARCH(Лист2!$B$4,F:F)),1,0)</f>
        <v>0</v>
      </c>
      <c r="L582" s="14">
        <f>IF(ISNUMBER(SEARCH(Лист2!$B$5,I:I)),1,0)+K582</f>
        <v>0</v>
      </c>
      <c r="M582" s="3">
        <f ca="1">IF(AND(N582&lt;&gt;N581,ISNUMBER(SEARCH(Лист2!$B$6,N:N)),L582=2),MAX($M$3:OFFSET(M582,-1,0))+1,0)</f>
        <v>0</v>
      </c>
      <c r="N582" s="3" t="s">
        <v>853</v>
      </c>
    </row>
    <row r="583" spans="1:14" x14ac:dyDescent="0.25">
      <c r="A583" s="1" t="s">
        <v>10331</v>
      </c>
      <c r="B583" s="3" t="s">
        <v>4207</v>
      </c>
      <c r="C583" s="2">
        <f ca="1">IF(ISNUMBER(SEARCH(Лист2!$B$4,D:D)),MAX($C$3:OFFSET(C583,-1,0))+1,0)</f>
        <v>0</v>
      </c>
      <c r="E583" s="9" t="str">
        <f t="shared" ca="1" si="21"/>
        <v/>
      </c>
      <c r="F583" s="4" t="s">
        <v>3</v>
      </c>
      <c r="G583" s="2">
        <f>IF(ISNUMBER(SEARCH(Лист2!$B$4,F:F)),1,0)</f>
        <v>0</v>
      </c>
      <c r="H583" s="3">
        <f ca="1">IF(AND(I583&lt;&gt;I582,ISNUMBER(SEARCH(Лист2!$B$5,I:I)),G583=1),MAX($H$3:OFFSET(H583,-1,0))+1,0)</f>
        <v>0</v>
      </c>
      <c r="I583" s="3" t="s">
        <v>90</v>
      </c>
      <c r="K583" s="2">
        <f>IF(ISNUMBER(SEARCH(Лист2!$B$4,F:F)),1,0)</f>
        <v>0</v>
      </c>
      <c r="L583" s="14">
        <f>IF(ISNUMBER(SEARCH(Лист2!$B$5,I:I)),1,0)+K583</f>
        <v>0</v>
      </c>
      <c r="M583" s="3">
        <f ca="1">IF(AND(N583&lt;&gt;N582,ISNUMBER(SEARCH(Лист2!$B$6,N:N)),L583=2),MAX($M$3:OFFSET(M583,-1,0))+1,0)</f>
        <v>0</v>
      </c>
      <c r="N583" s="3" t="s">
        <v>854</v>
      </c>
    </row>
    <row r="584" spans="1:14" x14ac:dyDescent="0.25">
      <c r="A584" s="1" t="s">
        <v>10332</v>
      </c>
      <c r="B584" s="3" t="s">
        <v>4208</v>
      </c>
      <c r="C584" s="2">
        <f ca="1">IF(ISNUMBER(SEARCH(Лист2!$B$4,D:D)),MAX($C$3:OFFSET(C584,-1,0))+1,0)</f>
        <v>0</v>
      </c>
      <c r="E584" s="9" t="str">
        <f t="shared" ca="1" si="21"/>
        <v/>
      </c>
      <c r="F584" s="4" t="s">
        <v>3</v>
      </c>
      <c r="G584" s="2">
        <f>IF(ISNUMBER(SEARCH(Лист2!$B$4,F:F)),1,0)</f>
        <v>0</v>
      </c>
      <c r="H584" s="3">
        <f ca="1">IF(AND(I584&lt;&gt;I583,ISNUMBER(SEARCH(Лист2!$B$5,I:I)),G584=1),MAX($H$3:OFFSET(H584,-1,0))+1,0)</f>
        <v>0</v>
      </c>
      <c r="I584" s="3" t="s">
        <v>90</v>
      </c>
      <c r="K584" s="2">
        <f>IF(ISNUMBER(SEARCH(Лист2!$B$4,F:F)),1,0)</f>
        <v>0</v>
      </c>
      <c r="L584" s="14">
        <f>IF(ISNUMBER(SEARCH(Лист2!$B$5,I:I)),1,0)+K584</f>
        <v>0</v>
      </c>
      <c r="M584" s="3">
        <f ca="1">IF(AND(N584&lt;&gt;N583,ISNUMBER(SEARCH(Лист2!$B$6,N:N)),L584=2),MAX($M$3:OFFSET(M584,-1,0))+1,0)</f>
        <v>0</v>
      </c>
      <c r="N584" s="3" t="s">
        <v>855</v>
      </c>
    </row>
    <row r="585" spans="1:14" x14ac:dyDescent="0.25">
      <c r="A585" s="1" t="s">
        <v>10333</v>
      </c>
      <c r="B585" s="3" t="s">
        <v>4209</v>
      </c>
      <c r="C585" s="2">
        <f ca="1">IF(ISNUMBER(SEARCH(Лист2!$B$4,D:D)),MAX($C$3:OFFSET(C585,-1,0))+1,0)</f>
        <v>0</v>
      </c>
      <c r="E585" s="9" t="str">
        <f t="shared" ca="1" si="21"/>
        <v/>
      </c>
      <c r="F585" s="4" t="s">
        <v>3</v>
      </c>
      <c r="G585" s="2">
        <f>IF(ISNUMBER(SEARCH(Лист2!$B$4,F:F)),1,0)</f>
        <v>0</v>
      </c>
      <c r="H585" s="3">
        <f ca="1">IF(AND(I585&lt;&gt;I584,ISNUMBER(SEARCH(Лист2!$B$5,I:I)),G585=1),MAX($H$3:OFFSET(H585,-1,0))+1,0)</f>
        <v>0</v>
      </c>
      <c r="I585" s="3" t="s">
        <v>90</v>
      </c>
      <c r="K585" s="2">
        <f>IF(ISNUMBER(SEARCH(Лист2!$B$4,F:F)),1,0)</f>
        <v>0</v>
      </c>
      <c r="L585" s="14">
        <f>IF(ISNUMBER(SEARCH(Лист2!$B$5,I:I)),1,0)+K585</f>
        <v>0</v>
      </c>
      <c r="M585" s="3">
        <f ca="1">IF(AND(N585&lt;&gt;N584,ISNUMBER(SEARCH(Лист2!$B$6,N:N)),L585=2),MAX($M$3:OFFSET(M585,-1,0))+1,0)</f>
        <v>0</v>
      </c>
      <c r="N585" s="3" t="s">
        <v>856</v>
      </c>
    </row>
    <row r="586" spans="1:14" x14ac:dyDescent="0.25">
      <c r="A586" s="1" t="s">
        <v>10334</v>
      </c>
      <c r="B586" s="3" t="s">
        <v>4210</v>
      </c>
      <c r="C586" s="2">
        <f ca="1">IF(ISNUMBER(SEARCH(Лист2!$B$4,D:D)),MAX($C$3:OFFSET(C586,-1,0))+1,0)</f>
        <v>0</v>
      </c>
      <c r="E586" s="9" t="str">
        <f t="shared" ca="1" si="21"/>
        <v/>
      </c>
      <c r="F586" s="4" t="s">
        <v>4</v>
      </c>
      <c r="G586" s="2">
        <f>IF(ISNUMBER(SEARCH(Лист2!$B$4,F:F)),1,0)</f>
        <v>0</v>
      </c>
      <c r="H586" s="3">
        <f ca="1">IF(AND(I586&lt;&gt;I585,ISNUMBER(SEARCH(Лист2!$B$5,I:I)),G586=1),MAX($H$3:OFFSET(H586,-1,0))+1,0)</f>
        <v>0</v>
      </c>
      <c r="I586" s="3" t="s">
        <v>91</v>
      </c>
      <c r="K586" s="2">
        <f>IF(ISNUMBER(SEARCH(Лист2!$B$4,F:F)),1,0)</f>
        <v>0</v>
      </c>
      <c r="L586" s="14">
        <f>IF(ISNUMBER(SEARCH(Лист2!$B$5,I:I)),1,0)+K586</f>
        <v>0</v>
      </c>
      <c r="M586" s="3">
        <f ca="1">IF(AND(N586&lt;&gt;N585,ISNUMBER(SEARCH(Лист2!$B$6,N:N)),L586=2),MAX($M$3:OFFSET(M586,-1,0))+1,0)</f>
        <v>0</v>
      </c>
      <c r="N586" s="3" t="s">
        <v>857</v>
      </c>
    </row>
    <row r="587" spans="1:14" x14ac:dyDescent="0.25">
      <c r="A587" s="1" t="s">
        <v>10335</v>
      </c>
      <c r="B587" s="3" t="s">
        <v>4211</v>
      </c>
      <c r="C587" s="2">
        <f ca="1">IF(ISNUMBER(SEARCH(Лист2!$B$4,D:D)),MAX($C$3:OFFSET(C587,-1,0))+1,0)</f>
        <v>0</v>
      </c>
      <c r="E587" s="9" t="str">
        <f t="shared" ca="1" si="21"/>
        <v/>
      </c>
      <c r="F587" s="4" t="s">
        <v>4</v>
      </c>
      <c r="G587" s="2">
        <f>IF(ISNUMBER(SEARCH(Лист2!$B$4,F:F)),1,0)</f>
        <v>0</v>
      </c>
      <c r="H587" s="3">
        <f ca="1">IF(AND(I587&lt;&gt;I586,ISNUMBER(SEARCH(Лист2!$B$5,I:I)),G587=1),MAX($H$3:OFFSET(H587,-1,0))+1,0)</f>
        <v>0</v>
      </c>
      <c r="I587" s="3" t="s">
        <v>91</v>
      </c>
      <c r="K587" s="2">
        <f>IF(ISNUMBER(SEARCH(Лист2!$B$4,F:F)),1,0)</f>
        <v>0</v>
      </c>
      <c r="L587" s="14">
        <f>IF(ISNUMBER(SEARCH(Лист2!$B$5,I:I)),1,0)+K587</f>
        <v>0</v>
      </c>
      <c r="M587" s="3">
        <f ca="1">IF(AND(N587&lt;&gt;N586,ISNUMBER(SEARCH(Лист2!$B$6,N:N)),L587=2),MAX($M$3:OFFSET(M587,-1,0))+1,0)</f>
        <v>0</v>
      </c>
      <c r="N587" s="3" t="s">
        <v>858</v>
      </c>
    </row>
    <row r="588" spans="1:14" x14ac:dyDescent="0.25">
      <c r="A588" s="1" t="s">
        <v>10336</v>
      </c>
      <c r="B588" s="3" t="s">
        <v>4212</v>
      </c>
      <c r="C588" s="2">
        <f ca="1">IF(ISNUMBER(SEARCH(Лист2!$B$4,D:D)),MAX($C$3:OFFSET(C588,-1,0))+1,0)</f>
        <v>0</v>
      </c>
      <c r="E588" s="9" t="str">
        <f t="shared" ca="1" si="21"/>
        <v/>
      </c>
      <c r="F588" s="4" t="s">
        <v>4</v>
      </c>
      <c r="G588" s="2">
        <f>IF(ISNUMBER(SEARCH(Лист2!$B$4,F:F)),1,0)</f>
        <v>0</v>
      </c>
      <c r="H588" s="3">
        <f ca="1">IF(AND(I588&lt;&gt;I587,ISNUMBER(SEARCH(Лист2!$B$5,I:I)),G588=1),MAX($H$3:OFFSET(H588,-1,0))+1,0)</f>
        <v>0</v>
      </c>
      <c r="I588" s="3" t="s">
        <v>91</v>
      </c>
      <c r="K588" s="2">
        <f>IF(ISNUMBER(SEARCH(Лист2!$B$4,F:F)),1,0)</f>
        <v>0</v>
      </c>
      <c r="L588" s="14">
        <f>IF(ISNUMBER(SEARCH(Лист2!$B$5,I:I)),1,0)+K588</f>
        <v>0</v>
      </c>
      <c r="M588" s="3">
        <f ca="1">IF(AND(N588&lt;&gt;N587,ISNUMBER(SEARCH(Лист2!$B$6,N:N)),L588=2),MAX($M$3:OFFSET(M588,-1,0))+1,0)</f>
        <v>0</v>
      </c>
      <c r="N588" s="3" t="s">
        <v>859</v>
      </c>
    </row>
    <row r="589" spans="1:14" x14ac:dyDescent="0.25">
      <c r="A589" s="1" t="s">
        <v>10337</v>
      </c>
      <c r="B589" s="3" t="s">
        <v>4213</v>
      </c>
      <c r="C589" s="2">
        <f ca="1">IF(ISNUMBER(SEARCH(Лист2!$B$4,D:D)),MAX($C$3:OFFSET(C589,-1,0))+1,0)</f>
        <v>0</v>
      </c>
      <c r="E589" s="9" t="str">
        <f t="shared" ca="1" si="21"/>
        <v/>
      </c>
      <c r="F589" s="4" t="s">
        <v>4</v>
      </c>
      <c r="G589" s="2">
        <f>IF(ISNUMBER(SEARCH(Лист2!$B$4,F:F)),1,0)</f>
        <v>0</v>
      </c>
      <c r="H589" s="3">
        <f ca="1">IF(AND(I589&lt;&gt;I588,ISNUMBER(SEARCH(Лист2!$B$5,I:I)),G589=1),MAX($H$3:OFFSET(H589,-1,0))+1,0)</f>
        <v>0</v>
      </c>
      <c r="I589" s="3" t="s">
        <v>91</v>
      </c>
      <c r="K589" s="2">
        <f>IF(ISNUMBER(SEARCH(Лист2!$B$4,F:F)),1,0)</f>
        <v>0</v>
      </c>
      <c r="L589" s="14">
        <f>IF(ISNUMBER(SEARCH(Лист2!$B$5,I:I)),1,0)+K589</f>
        <v>0</v>
      </c>
      <c r="M589" s="3">
        <f ca="1">IF(AND(N589&lt;&gt;N588,ISNUMBER(SEARCH(Лист2!$B$6,N:N)),L589=2),MAX($M$3:OFFSET(M589,-1,0))+1,0)</f>
        <v>0</v>
      </c>
      <c r="N589" s="3" t="s">
        <v>860</v>
      </c>
    </row>
    <row r="590" spans="1:14" x14ac:dyDescent="0.25">
      <c r="A590" s="1" t="s">
        <v>10338</v>
      </c>
      <c r="B590" s="3" t="s">
        <v>4214</v>
      </c>
      <c r="C590" s="2">
        <f ca="1">IF(ISNUMBER(SEARCH(Лист2!$B$4,D:D)),MAX($C$3:OFFSET(C590,-1,0))+1,0)</f>
        <v>0</v>
      </c>
      <c r="E590" s="9" t="str">
        <f t="shared" ca="1" si="21"/>
        <v/>
      </c>
      <c r="F590" s="4" t="s">
        <v>4</v>
      </c>
      <c r="G590" s="2">
        <f>IF(ISNUMBER(SEARCH(Лист2!$B$4,F:F)),1,0)</f>
        <v>0</v>
      </c>
      <c r="H590" s="3">
        <f ca="1">IF(AND(I590&lt;&gt;I589,ISNUMBER(SEARCH(Лист2!$B$5,I:I)),G590=1),MAX($H$3:OFFSET(H590,-1,0))+1,0)</f>
        <v>0</v>
      </c>
      <c r="I590" s="3" t="s">
        <v>91</v>
      </c>
      <c r="K590" s="2">
        <f>IF(ISNUMBER(SEARCH(Лист2!$B$4,F:F)),1,0)</f>
        <v>0</v>
      </c>
      <c r="L590" s="14">
        <f>IF(ISNUMBER(SEARCH(Лист2!$B$5,I:I)),1,0)+K590</f>
        <v>0</v>
      </c>
      <c r="M590" s="3">
        <f ca="1">IF(AND(N590&lt;&gt;N589,ISNUMBER(SEARCH(Лист2!$B$6,N:N)),L590=2),MAX($M$3:OFFSET(M590,-1,0))+1,0)</f>
        <v>0</v>
      </c>
      <c r="N590" s="3" t="s">
        <v>861</v>
      </c>
    </row>
    <row r="591" spans="1:14" x14ac:dyDescent="0.25">
      <c r="A591" s="1" t="s">
        <v>10339</v>
      </c>
      <c r="B591" s="3" t="s">
        <v>4215</v>
      </c>
      <c r="C591" s="2">
        <f ca="1">IF(ISNUMBER(SEARCH(Лист2!$B$4,D:D)),MAX($C$3:OFFSET(C591,-1,0))+1,0)</f>
        <v>0</v>
      </c>
      <c r="E591" s="9" t="str">
        <f t="shared" ca="1" si="21"/>
        <v/>
      </c>
      <c r="F591" s="4" t="s">
        <v>4</v>
      </c>
      <c r="G591" s="2">
        <f>IF(ISNUMBER(SEARCH(Лист2!$B$4,F:F)),1,0)</f>
        <v>0</v>
      </c>
      <c r="H591" s="3">
        <f ca="1">IF(AND(I591&lt;&gt;I590,ISNUMBER(SEARCH(Лист2!$B$5,I:I)),G591=1),MAX($H$3:OFFSET(H591,-1,0))+1,0)</f>
        <v>0</v>
      </c>
      <c r="I591" s="3" t="s">
        <v>91</v>
      </c>
      <c r="K591" s="2">
        <f>IF(ISNUMBER(SEARCH(Лист2!$B$4,F:F)),1,0)</f>
        <v>0</v>
      </c>
      <c r="L591" s="14">
        <f>IF(ISNUMBER(SEARCH(Лист2!$B$5,I:I)),1,0)+K591</f>
        <v>0</v>
      </c>
      <c r="M591" s="3">
        <f ca="1">IF(AND(N591&lt;&gt;N590,ISNUMBER(SEARCH(Лист2!$B$6,N:N)),L591=2),MAX($M$3:OFFSET(M591,-1,0))+1,0)</f>
        <v>0</v>
      </c>
      <c r="N591" s="3" t="s">
        <v>862</v>
      </c>
    </row>
    <row r="592" spans="1:14" x14ac:dyDescent="0.25">
      <c r="A592" s="1" t="s">
        <v>10340</v>
      </c>
      <c r="B592" s="3" t="s">
        <v>4216</v>
      </c>
      <c r="C592" s="2">
        <f ca="1">IF(ISNUMBER(SEARCH(Лист2!$B$4,D:D)),MAX($C$3:OFFSET(C592,-1,0))+1,0)</f>
        <v>0</v>
      </c>
      <c r="E592" s="9" t="str">
        <f t="shared" ca="1" si="21"/>
        <v/>
      </c>
      <c r="F592" s="4" t="s">
        <v>4</v>
      </c>
      <c r="G592" s="2">
        <f>IF(ISNUMBER(SEARCH(Лист2!$B$4,F:F)),1,0)</f>
        <v>0</v>
      </c>
      <c r="H592" s="3">
        <f ca="1">IF(AND(I592&lt;&gt;I591,ISNUMBER(SEARCH(Лист2!$B$5,I:I)),G592=1),MAX($H$3:OFFSET(H592,-1,0))+1,0)</f>
        <v>0</v>
      </c>
      <c r="I592" s="3" t="s">
        <v>91</v>
      </c>
      <c r="K592" s="2">
        <f>IF(ISNUMBER(SEARCH(Лист2!$B$4,F:F)),1,0)</f>
        <v>0</v>
      </c>
      <c r="L592" s="14">
        <f>IF(ISNUMBER(SEARCH(Лист2!$B$5,I:I)),1,0)+K592</f>
        <v>0</v>
      </c>
      <c r="M592" s="3">
        <f ca="1">IF(AND(N592&lt;&gt;N591,ISNUMBER(SEARCH(Лист2!$B$6,N:N)),L592=2),MAX($M$3:OFFSET(M592,-1,0))+1,0)</f>
        <v>0</v>
      </c>
      <c r="N592" s="3" t="s">
        <v>863</v>
      </c>
    </row>
    <row r="593" spans="1:14" x14ac:dyDescent="0.25">
      <c r="A593" s="1" t="s">
        <v>10341</v>
      </c>
      <c r="B593" s="3" t="s">
        <v>4217</v>
      </c>
      <c r="C593" s="2">
        <f ca="1">IF(ISNUMBER(SEARCH(Лист2!$B$4,D:D)),MAX($C$3:OFFSET(C593,-1,0))+1,0)</f>
        <v>0</v>
      </c>
      <c r="E593" s="9" t="str">
        <f t="shared" ca="1" si="21"/>
        <v/>
      </c>
      <c r="F593" s="4" t="s">
        <v>4</v>
      </c>
      <c r="G593" s="2">
        <f>IF(ISNUMBER(SEARCH(Лист2!$B$4,F:F)),1,0)</f>
        <v>0</v>
      </c>
      <c r="H593" s="3">
        <f ca="1">IF(AND(I593&lt;&gt;I592,ISNUMBER(SEARCH(Лист2!$B$5,I:I)),G593=1),MAX($H$3:OFFSET(H593,-1,0))+1,0)</f>
        <v>0</v>
      </c>
      <c r="I593" s="3" t="s">
        <v>92</v>
      </c>
      <c r="K593" s="2">
        <f>IF(ISNUMBER(SEARCH(Лист2!$B$4,F:F)),1,0)</f>
        <v>0</v>
      </c>
      <c r="L593" s="14">
        <f>IF(ISNUMBER(SEARCH(Лист2!$B$5,I:I)),1,0)+K593</f>
        <v>0</v>
      </c>
      <c r="M593" s="3">
        <f ca="1">IF(AND(N593&lt;&gt;N592,ISNUMBER(SEARCH(Лист2!$B$6,N:N)),L593=2),MAX($M$3:OFFSET(M593,-1,0))+1,0)</f>
        <v>0</v>
      </c>
      <c r="N593" s="3" t="s">
        <v>864</v>
      </c>
    </row>
    <row r="594" spans="1:14" x14ac:dyDescent="0.25">
      <c r="A594" s="1" t="s">
        <v>10342</v>
      </c>
      <c r="B594" s="3" t="s">
        <v>4218</v>
      </c>
      <c r="C594" s="2">
        <f ca="1">IF(ISNUMBER(SEARCH(Лист2!$B$4,D:D)),MAX($C$3:OFFSET(C594,-1,0))+1,0)</f>
        <v>0</v>
      </c>
      <c r="E594" s="9" t="str">
        <f t="shared" ca="1" si="21"/>
        <v/>
      </c>
      <c r="F594" s="4" t="s">
        <v>4</v>
      </c>
      <c r="G594" s="2">
        <f>IF(ISNUMBER(SEARCH(Лист2!$B$4,F:F)),1,0)</f>
        <v>0</v>
      </c>
      <c r="H594" s="3">
        <f ca="1">IF(AND(I594&lt;&gt;I593,ISNUMBER(SEARCH(Лист2!$B$5,I:I)),G594=1),MAX($H$3:OFFSET(H594,-1,0))+1,0)</f>
        <v>0</v>
      </c>
      <c r="I594" s="3" t="s">
        <v>92</v>
      </c>
      <c r="K594" s="2">
        <f>IF(ISNUMBER(SEARCH(Лист2!$B$4,F:F)),1,0)</f>
        <v>0</v>
      </c>
      <c r="L594" s="14">
        <f>IF(ISNUMBER(SEARCH(Лист2!$B$5,I:I)),1,0)+K594</f>
        <v>0</v>
      </c>
      <c r="M594" s="3">
        <f ca="1">IF(AND(N594&lt;&gt;N593,ISNUMBER(SEARCH(Лист2!$B$6,N:N)),L594=2),MAX($M$3:OFFSET(M594,-1,0))+1,0)</f>
        <v>0</v>
      </c>
      <c r="N594" s="3" t="s">
        <v>865</v>
      </c>
    </row>
    <row r="595" spans="1:14" x14ac:dyDescent="0.25">
      <c r="A595" s="1" t="s">
        <v>10343</v>
      </c>
      <c r="B595" s="3" t="s">
        <v>4219</v>
      </c>
      <c r="C595" s="2">
        <f ca="1">IF(ISNUMBER(SEARCH(Лист2!$B$4,D:D)),MAX($C$3:OFFSET(C595,-1,0))+1,0)</f>
        <v>0</v>
      </c>
      <c r="E595" s="9" t="str">
        <f t="shared" ca="1" si="21"/>
        <v/>
      </c>
      <c r="F595" s="4" t="s">
        <v>4</v>
      </c>
      <c r="G595" s="2">
        <f>IF(ISNUMBER(SEARCH(Лист2!$B$4,F:F)),1,0)</f>
        <v>0</v>
      </c>
      <c r="H595" s="3">
        <f ca="1">IF(AND(I595&lt;&gt;I594,ISNUMBER(SEARCH(Лист2!$B$5,I:I)),G595=1),MAX($H$3:OFFSET(H595,-1,0))+1,0)</f>
        <v>0</v>
      </c>
      <c r="I595" s="3" t="s">
        <v>93</v>
      </c>
      <c r="K595" s="2">
        <f>IF(ISNUMBER(SEARCH(Лист2!$B$4,F:F)),1,0)</f>
        <v>0</v>
      </c>
      <c r="L595" s="14">
        <f>IF(ISNUMBER(SEARCH(Лист2!$B$5,I:I)),1,0)+K595</f>
        <v>0</v>
      </c>
      <c r="M595" s="3">
        <f ca="1">IF(AND(N595&lt;&gt;N594,ISNUMBER(SEARCH(Лист2!$B$6,N:N)),L595=2),MAX($M$3:OFFSET(M595,-1,0))+1,0)</f>
        <v>0</v>
      </c>
      <c r="N595" s="3" t="s">
        <v>866</v>
      </c>
    </row>
    <row r="596" spans="1:14" x14ac:dyDescent="0.25">
      <c r="A596" s="1" t="s">
        <v>10344</v>
      </c>
      <c r="B596" s="3" t="s">
        <v>4220</v>
      </c>
      <c r="C596" s="2">
        <f ca="1">IF(ISNUMBER(SEARCH(Лист2!$B$4,D:D)),MAX($C$3:OFFSET(C596,-1,0))+1,0)</f>
        <v>0</v>
      </c>
      <c r="E596" s="9" t="str">
        <f t="shared" ca="1" si="21"/>
        <v/>
      </c>
      <c r="F596" s="4" t="s">
        <v>4</v>
      </c>
      <c r="G596" s="2">
        <f>IF(ISNUMBER(SEARCH(Лист2!$B$4,F:F)),1,0)</f>
        <v>0</v>
      </c>
      <c r="H596" s="3">
        <f ca="1">IF(AND(I596&lt;&gt;I595,ISNUMBER(SEARCH(Лист2!$B$5,I:I)),G596=1),MAX($H$3:OFFSET(H596,-1,0))+1,0)</f>
        <v>0</v>
      </c>
      <c r="I596" s="3" t="s">
        <v>93</v>
      </c>
      <c r="K596" s="2">
        <f>IF(ISNUMBER(SEARCH(Лист2!$B$4,F:F)),1,0)</f>
        <v>0</v>
      </c>
      <c r="L596" s="14">
        <f>IF(ISNUMBER(SEARCH(Лист2!$B$5,I:I)),1,0)+K596</f>
        <v>0</v>
      </c>
      <c r="M596" s="3">
        <f ca="1">IF(AND(N596&lt;&gt;N595,ISNUMBER(SEARCH(Лист2!$B$6,N:N)),L596=2),MAX($M$3:OFFSET(M596,-1,0))+1,0)</f>
        <v>0</v>
      </c>
      <c r="N596" s="3" t="s">
        <v>867</v>
      </c>
    </row>
    <row r="597" spans="1:14" x14ac:dyDescent="0.25">
      <c r="A597" s="1" t="s">
        <v>10345</v>
      </c>
      <c r="B597" s="3" t="s">
        <v>4221</v>
      </c>
      <c r="C597" s="2">
        <f ca="1">IF(ISNUMBER(SEARCH(Лист2!$B$4,D:D)),MAX($C$3:OFFSET(C597,-1,0))+1,0)</f>
        <v>0</v>
      </c>
      <c r="E597" s="9" t="str">
        <f t="shared" ca="1" si="21"/>
        <v/>
      </c>
      <c r="F597" s="4" t="s">
        <v>4</v>
      </c>
      <c r="G597" s="2">
        <f>IF(ISNUMBER(SEARCH(Лист2!$B$4,F:F)),1,0)</f>
        <v>0</v>
      </c>
      <c r="H597" s="3">
        <f ca="1">IF(AND(I597&lt;&gt;I596,ISNUMBER(SEARCH(Лист2!$B$5,I:I)),G597=1),MAX($H$3:OFFSET(H597,-1,0))+1,0)</f>
        <v>0</v>
      </c>
      <c r="I597" s="3" t="s">
        <v>94</v>
      </c>
      <c r="K597" s="2">
        <f>IF(ISNUMBER(SEARCH(Лист2!$B$4,F:F)),1,0)</f>
        <v>0</v>
      </c>
      <c r="L597" s="14">
        <f>IF(ISNUMBER(SEARCH(Лист2!$B$5,I:I)),1,0)+K597</f>
        <v>0</v>
      </c>
      <c r="M597" s="3">
        <f ca="1">IF(AND(N597&lt;&gt;N596,ISNUMBER(SEARCH(Лист2!$B$6,N:N)),L597=2),MAX($M$3:OFFSET(M597,-1,0))+1,0)</f>
        <v>0</v>
      </c>
      <c r="N597" s="3" t="s">
        <v>868</v>
      </c>
    </row>
    <row r="598" spans="1:14" x14ac:dyDescent="0.25">
      <c r="A598" s="1" t="s">
        <v>10345</v>
      </c>
      <c r="B598" s="3" t="s">
        <v>4222</v>
      </c>
      <c r="C598" s="2">
        <f ca="1">IF(ISNUMBER(SEARCH(Лист2!$B$4,D:D)),MAX($C$3:OFFSET(C598,-1,0))+1,0)</f>
        <v>0</v>
      </c>
      <c r="E598" s="9" t="str">
        <f t="shared" ca="1" si="21"/>
        <v/>
      </c>
      <c r="F598" s="4" t="s">
        <v>4</v>
      </c>
      <c r="G598" s="2">
        <f>IF(ISNUMBER(SEARCH(Лист2!$B$4,F:F)),1,0)</f>
        <v>0</v>
      </c>
      <c r="H598" s="3">
        <f ca="1">IF(AND(I598&lt;&gt;I597,ISNUMBER(SEARCH(Лист2!$B$5,I:I)),G598=1),MAX($H$3:OFFSET(H598,-1,0))+1,0)</f>
        <v>0</v>
      </c>
      <c r="I598" s="3" t="s">
        <v>94</v>
      </c>
      <c r="K598" s="2">
        <f>IF(ISNUMBER(SEARCH(Лист2!$B$4,F:F)),1,0)</f>
        <v>0</v>
      </c>
      <c r="L598" s="14">
        <f>IF(ISNUMBER(SEARCH(Лист2!$B$5,I:I)),1,0)+K598</f>
        <v>0</v>
      </c>
      <c r="M598" s="3">
        <f ca="1">IF(AND(N598&lt;&gt;N597,ISNUMBER(SEARCH(Лист2!$B$6,N:N)),L598=2),MAX($M$3:OFFSET(M598,-1,0))+1,0)</f>
        <v>0</v>
      </c>
      <c r="N598" s="3" t="s">
        <v>868</v>
      </c>
    </row>
    <row r="599" spans="1:14" x14ac:dyDescent="0.25">
      <c r="A599" s="1" t="s">
        <v>10345</v>
      </c>
      <c r="B599" s="3" t="s">
        <v>4223</v>
      </c>
      <c r="C599" s="2">
        <f ca="1">IF(ISNUMBER(SEARCH(Лист2!$B$4,D:D)),MAX($C$3:OFFSET(C599,-1,0))+1,0)</f>
        <v>0</v>
      </c>
      <c r="E599" s="9" t="str">
        <f t="shared" ca="1" si="21"/>
        <v/>
      </c>
      <c r="F599" s="4" t="s">
        <v>4</v>
      </c>
      <c r="G599" s="2">
        <f>IF(ISNUMBER(SEARCH(Лист2!$B$4,F:F)),1,0)</f>
        <v>0</v>
      </c>
      <c r="H599" s="3">
        <f ca="1">IF(AND(I599&lt;&gt;I598,ISNUMBER(SEARCH(Лист2!$B$5,I:I)),G599=1),MAX($H$3:OFFSET(H599,-1,0))+1,0)</f>
        <v>0</v>
      </c>
      <c r="I599" s="3" t="s">
        <v>94</v>
      </c>
      <c r="K599" s="2">
        <f>IF(ISNUMBER(SEARCH(Лист2!$B$4,F:F)),1,0)</f>
        <v>0</v>
      </c>
      <c r="L599" s="14">
        <f>IF(ISNUMBER(SEARCH(Лист2!$B$5,I:I)),1,0)+K599</f>
        <v>0</v>
      </c>
      <c r="M599" s="3">
        <f ca="1">IF(AND(N599&lt;&gt;N598,ISNUMBER(SEARCH(Лист2!$B$6,N:N)),L599=2),MAX($M$3:OFFSET(M599,-1,0))+1,0)</f>
        <v>0</v>
      </c>
      <c r="N599" s="3" t="s">
        <v>868</v>
      </c>
    </row>
    <row r="600" spans="1:14" x14ac:dyDescent="0.25">
      <c r="A600" s="1" t="s">
        <v>10346</v>
      </c>
      <c r="B600" s="3" t="s">
        <v>4224</v>
      </c>
      <c r="C600" s="2">
        <f ca="1">IF(ISNUMBER(SEARCH(Лист2!$B$4,D:D)),MAX($C$3:OFFSET(C600,-1,0))+1,0)</f>
        <v>0</v>
      </c>
      <c r="E600" s="9" t="str">
        <f t="shared" ca="1" si="21"/>
        <v/>
      </c>
      <c r="F600" s="4" t="s">
        <v>4</v>
      </c>
      <c r="G600" s="2">
        <f>IF(ISNUMBER(SEARCH(Лист2!$B$4,F:F)),1,0)</f>
        <v>0</v>
      </c>
      <c r="H600" s="3">
        <f ca="1">IF(AND(I600&lt;&gt;I599,ISNUMBER(SEARCH(Лист2!$B$5,I:I)),G600=1),MAX($H$3:OFFSET(H600,-1,0))+1,0)</f>
        <v>0</v>
      </c>
      <c r="I600" s="3" t="s">
        <v>94</v>
      </c>
      <c r="K600" s="2">
        <f>IF(ISNUMBER(SEARCH(Лист2!$B$4,F:F)),1,0)</f>
        <v>0</v>
      </c>
      <c r="L600" s="14">
        <f>IF(ISNUMBER(SEARCH(Лист2!$B$5,I:I)),1,0)+K600</f>
        <v>0</v>
      </c>
      <c r="M600" s="3">
        <f ca="1">IF(AND(N600&lt;&gt;N599,ISNUMBER(SEARCH(Лист2!$B$6,N:N)),L600=2),MAX($M$3:OFFSET(M600,-1,0))+1,0)</f>
        <v>0</v>
      </c>
      <c r="N600" s="3" t="s">
        <v>869</v>
      </c>
    </row>
    <row r="601" spans="1:14" x14ac:dyDescent="0.25">
      <c r="A601" s="1" t="s">
        <v>10346</v>
      </c>
      <c r="B601" s="3" t="s">
        <v>4225</v>
      </c>
      <c r="C601" s="2">
        <f ca="1">IF(ISNUMBER(SEARCH(Лист2!$B$4,D:D)),MAX($C$3:OFFSET(C601,-1,0))+1,0)</f>
        <v>0</v>
      </c>
      <c r="E601" s="9" t="str">
        <f t="shared" ca="1" si="21"/>
        <v/>
      </c>
      <c r="F601" s="4" t="s">
        <v>4</v>
      </c>
      <c r="G601" s="2">
        <f>IF(ISNUMBER(SEARCH(Лист2!$B$4,F:F)),1,0)</f>
        <v>0</v>
      </c>
      <c r="H601" s="3">
        <f ca="1">IF(AND(I601&lt;&gt;I600,ISNUMBER(SEARCH(Лист2!$B$5,I:I)),G601=1),MAX($H$3:OFFSET(H601,-1,0))+1,0)</f>
        <v>0</v>
      </c>
      <c r="I601" s="3" t="s">
        <v>94</v>
      </c>
      <c r="K601" s="2">
        <f>IF(ISNUMBER(SEARCH(Лист2!$B$4,F:F)),1,0)</f>
        <v>0</v>
      </c>
      <c r="L601" s="14">
        <f>IF(ISNUMBER(SEARCH(Лист2!$B$5,I:I)),1,0)+K601</f>
        <v>0</v>
      </c>
      <c r="M601" s="3">
        <f ca="1">IF(AND(N601&lt;&gt;N600,ISNUMBER(SEARCH(Лист2!$B$6,N:N)),L601=2),MAX($M$3:OFFSET(M601,-1,0))+1,0)</f>
        <v>0</v>
      </c>
      <c r="N601" s="3" t="s">
        <v>869</v>
      </c>
    </row>
    <row r="602" spans="1:14" x14ac:dyDescent="0.25">
      <c r="A602" s="1" t="s">
        <v>10346</v>
      </c>
      <c r="B602" s="3" t="s">
        <v>4226</v>
      </c>
      <c r="C602" s="2">
        <f ca="1">IF(ISNUMBER(SEARCH(Лист2!$B$4,D:D)),MAX($C$3:OFFSET(C602,-1,0))+1,0)</f>
        <v>0</v>
      </c>
      <c r="E602" s="9" t="str">
        <f t="shared" ca="1" si="21"/>
        <v/>
      </c>
      <c r="F602" s="4" t="s">
        <v>4</v>
      </c>
      <c r="G602" s="2">
        <f>IF(ISNUMBER(SEARCH(Лист2!$B$4,F:F)),1,0)</f>
        <v>0</v>
      </c>
      <c r="H602" s="3">
        <f ca="1">IF(AND(I602&lt;&gt;I601,ISNUMBER(SEARCH(Лист2!$B$5,I:I)),G602=1),MAX($H$3:OFFSET(H602,-1,0))+1,0)</f>
        <v>0</v>
      </c>
      <c r="I602" s="3" t="s">
        <v>94</v>
      </c>
      <c r="K602" s="2">
        <f>IF(ISNUMBER(SEARCH(Лист2!$B$4,F:F)),1,0)</f>
        <v>0</v>
      </c>
      <c r="L602" s="14">
        <f>IF(ISNUMBER(SEARCH(Лист2!$B$5,I:I)),1,0)+K602</f>
        <v>0</v>
      </c>
      <c r="M602" s="3">
        <f ca="1">IF(AND(N602&lt;&gt;N601,ISNUMBER(SEARCH(Лист2!$B$6,N:N)),L602=2),MAX($M$3:OFFSET(M602,-1,0))+1,0)</f>
        <v>0</v>
      </c>
      <c r="N602" s="3" t="s">
        <v>869</v>
      </c>
    </row>
    <row r="603" spans="1:14" x14ac:dyDescent="0.25">
      <c r="A603" s="1" t="s">
        <v>10347</v>
      </c>
      <c r="B603" s="3" t="s">
        <v>4227</v>
      </c>
      <c r="C603" s="2">
        <f ca="1">IF(ISNUMBER(SEARCH(Лист2!$B$4,D:D)),MAX($C$3:OFFSET(C603,-1,0))+1,0)</f>
        <v>0</v>
      </c>
      <c r="E603" s="9" t="str">
        <f t="shared" ca="1" si="21"/>
        <v/>
      </c>
      <c r="F603" s="4" t="s">
        <v>4</v>
      </c>
      <c r="G603" s="2">
        <f>IF(ISNUMBER(SEARCH(Лист2!$B$4,F:F)),1,0)</f>
        <v>0</v>
      </c>
      <c r="H603" s="3">
        <f ca="1">IF(AND(I603&lt;&gt;I602,ISNUMBER(SEARCH(Лист2!$B$5,I:I)),G603=1),MAX($H$3:OFFSET(H603,-1,0))+1,0)</f>
        <v>0</v>
      </c>
      <c r="I603" s="3" t="s">
        <v>95</v>
      </c>
      <c r="K603" s="2">
        <f>IF(ISNUMBER(SEARCH(Лист2!$B$4,F:F)),1,0)</f>
        <v>0</v>
      </c>
      <c r="L603" s="14">
        <f>IF(ISNUMBER(SEARCH(Лист2!$B$5,I:I)),1,0)+K603</f>
        <v>0</v>
      </c>
      <c r="M603" s="3">
        <f ca="1">IF(AND(N603&lt;&gt;N602,ISNUMBER(SEARCH(Лист2!$B$6,N:N)),L603=2),MAX($M$3:OFFSET(M603,-1,0))+1,0)</f>
        <v>0</v>
      </c>
      <c r="N603" s="3" t="s">
        <v>870</v>
      </c>
    </row>
    <row r="604" spans="1:14" x14ac:dyDescent="0.25">
      <c r="A604" s="1" t="s">
        <v>10347</v>
      </c>
      <c r="B604" s="3" t="s">
        <v>4228</v>
      </c>
      <c r="C604" s="2">
        <f ca="1">IF(ISNUMBER(SEARCH(Лист2!$B$4,D:D)),MAX($C$3:OFFSET(C604,-1,0))+1,0)</f>
        <v>0</v>
      </c>
      <c r="E604" s="9" t="str">
        <f t="shared" ca="1" si="21"/>
        <v/>
      </c>
      <c r="F604" s="4" t="s">
        <v>4</v>
      </c>
      <c r="G604" s="2">
        <f>IF(ISNUMBER(SEARCH(Лист2!$B$4,F:F)),1,0)</f>
        <v>0</v>
      </c>
      <c r="H604" s="3">
        <f ca="1">IF(AND(I604&lt;&gt;I603,ISNUMBER(SEARCH(Лист2!$B$5,I:I)),G604=1),MAX($H$3:OFFSET(H604,-1,0))+1,0)</f>
        <v>0</v>
      </c>
      <c r="I604" s="3" t="s">
        <v>95</v>
      </c>
      <c r="K604" s="2">
        <f>IF(ISNUMBER(SEARCH(Лист2!$B$4,F:F)),1,0)</f>
        <v>0</v>
      </c>
      <c r="L604" s="14">
        <f>IF(ISNUMBER(SEARCH(Лист2!$B$5,I:I)),1,0)+K604</f>
        <v>0</v>
      </c>
      <c r="M604" s="3">
        <f ca="1">IF(AND(N604&lt;&gt;N603,ISNUMBER(SEARCH(Лист2!$B$6,N:N)),L604=2),MAX($M$3:OFFSET(M604,-1,0))+1,0)</f>
        <v>0</v>
      </c>
      <c r="N604" s="3" t="s">
        <v>870</v>
      </c>
    </row>
    <row r="605" spans="1:14" x14ac:dyDescent="0.25">
      <c r="A605" s="1" t="s">
        <v>10347</v>
      </c>
      <c r="B605" s="3" t="s">
        <v>4229</v>
      </c>
      <c r="C605" s="2">
        <f ca="1">IF(ISNUMBER(SEARCH(Лист2!$B$4,D:D)),MAX($C$3:OFFSET(C605,-1,0))+1,0)</f>
        <v>0</v>
      </c>
      <c r="E605" s="9" t="str">
        <f t="shared" ca="1" si="21"/>
        <v/>
      </c>
      <c r="F605" s="4" t="s">
        <v>4</v>
      </c>
      <c r="G605" s="2">
        <f>IF(ISNUMBER(SEARCH(Лист2!$B$4,F:F)),1,0)</f>
        <v>0</v>
      </c>
      <c r="H605" s="3">
        <f ca="1">IF(AND(I605&lt;&gt;I604,ISNUMBER(SEARCH(Лист2!$B$5,I:I)),G605=1),MAX($H$3:OFFSET(H605,-1,0))+1,0)</f>
        <v>0</v>
      </c>
      <c r="I605" s="3" t="s">
        <v>95</v>
      </c>
      <c r="K605" s="2">
        <f>IF(ISNUMBER(SEARCH(Лист2!$B$4,F:F)),1,0)</f>
        <v>0</v>
      </c>
      <c r="L605" s="14">
        <f>IF(ISNUMBER(SEARCH(Лист2!$B$5,I:I)),1,0)+K605</f>
        <v>0</v>
      </c>
      <c r="M605" s="3">
        <f ca="1">IF(AND(N605&lt;&gt;N604,ISNUMBER(SEARCH(Лист2!$B$6,N:N)),L605=2),MAX($M$3:OFFSET(M605,-1,0))+1,0)</f>
        <v>0</v>
      </c>
      <c r="N605" s="3" t="s">
        <v>870</v>
      </c>
    </row>
    <row r="606" spans="1:14" x14ac:dyDescent="0.25">
      <c r="A606" s="1" t="s">
        <v>10348</v>
      </c>
      <c r="B606" s="3" t="s">
        <v>4230</v>
      </c>
      <c r="C606" s="2">
        <f ca="1">IF(ISNUMBER(SEARCH(Лист2!$B$4,D:D)),MAX($C$3:OFFSET(C606,-1,0))+1,0)</f>
        <v>0</v>
      </c>
      <c r="E606" s="9" t="str">
        <f t="shared" ca="1" si="21"/>
        <v/>
      </c>
      <c r="F606" s="4" t="s">
        <v>4</v>
      </c>
      <c r="G606" s="2">
        <f>IF(ISNUMBER(SEARCH(Лист2!$B$4,F:F)),1,0)</f>
        <v>0</v>
      </c>
      <c r="H606" s="3">
        <f ca="1">IF(AND(I606&lt;&gt;I605,ISNUMBER(SEARCH(Лист2!$B$5,I:I)),G606=1),MAX($H$3:OFFSET(H606,-1,0))+1,0)</f>
        <v>0</v>
      </c>
      <c r="I606" s="3" t="s">
        <v>95</v>
      </c>
      <c r="K606" s="2">
        <f>IF(ISNUMBER(SEARCH(Лист2!$B$4,F:F)),1,0)</f>
        <v>0</v>
      </c>
      <c r="L606" s="14">
        <f>IF(ISNUMBER(SEARCH(Лист2!$B$5,I:I)),1,0)+K606</f>
        <v>0</v>
      </c>
      <c r="M606" s="3">
        <f ca="1">IF(AND(N606&lt;&gt;N605,ISNUMBER(SEARCH(Лист2!$B$6,N:N)),L606=2),MAX($M$3:OFFSET(M606,-1,0))+1,0)</f>
        <v>0</v>
      </c>
      <c r="N606" s="3" t="s">
        <v>871</v>
      </c>
    </row>
    <row r="607" spans="1:14" x14ac:dyDescent="0.25">
      <c r="A607" s="1" t="s">
        <v>10348</v>
      </c>
      <c r="B607" s="3" t="s">
        <v>4231</v>
      </c>
      <c r="C607" s="2">
        <f ca="1">IF(ISNUMBER(SEARCH(Лист2!$B$4,D:D)),MAX($C$3:OFFSET(C607,-1,0))+1,0)</f>
        <v>0</v>
      </c>
      <c r="E607" s="9" t="str">
        <f t="shared" ca="1" si="21"/>
        <v/>
      </c>
      <c r="F607" s="4" t="s">
        <v>4</v>
      </c>
      <c r="G607" s="2">
        <f>IF(ISNUMBER(SEARCH(Лист2!$B$4,F:F)),1,0)</f>
        <v>0</v>
      </c>
      <c r="H607" s="3">
        <f ca="1">IF(AND(I607&lt;&gt;I606,ISNUMBER(SEARCH(Лист2!$B$5,I:I)),G607=1),MAX($H$3:OFFSET(H607,-1,0))+1,0)</f>
        <v>0</v>
      </c>
      <c r="I607" s="3" t="s">
        <v>95</v>
      </c>
      <c r="K607" s="2">
        <f>IF(ISNUMBER(SEARCH(Лист2!$B$4,F:F)),1,0)</f>
        <v>0</v>
      </c>
      <c r="L607" s="14">
        <f>IF(ISNUMBER(SEARCH(Лист2!$B$5,I:I)),1,0)+K607</f>
        <v>0</v>
      </c>
      <c r="M607" s="3">
        <f ca="1">IF(AND(N607&lt;&gt;N606,ISNUMBER(SEARCH(Лист2!$B$6,N:N)),L607=2),MAX($M$3:OFFSET(M607,-1,0))+1,0)</f>
        <v>0</v>
      </c>
      <c r="N607" s="3" t="s">
        <v>871</v>
      </c>
    </row>
    <row r="608" spans="1:14" x14ac:dyDescent="0.25">
      <c r="A608" s="1" t="s">
        <v>10348</v>
      </c>
      <c r="B608" s="3" t="s">
        <v>4232</v>
      </c>
      <c r="C608" s="2">
        <f ca="1">IF(ISNUMBER(SEARCH(Лист2!$B$4,D:D)),MAX($C$3:OFFSET(C608,-1,0))+1,0)</f>
        <v>0</v>
      </c>
      <c r="E608" s="9" t="str">
        <f t="shared" ca="1" si="21"/>
        <v/>
      </c>
      <c r="F608" s="4" t="s">
        <v>4</v>
      </c>
      <c r="G608" s="2">
        <f>IF(ISNUMBER(SEARCH(Лист2!$B$4,F:F)),1,0)</f>
        <v>0</v>
      </c>
      <c r="H608" s="3">
        <f ca="1">IF(AND(I608&lt;&gt;I607,ISNUMBER(SEARCH(Лист2!$B$5,I:I)),G608=1),MAX($H$3:OFFSET(H608,-1,0))+1,0)</f>
        <v>0</v>
      </c>
      <c r="I608" s="3" t="s">
        <v>95</v>
      </c>
      <c r="K608" s="2">
        <f>IF(ISNUMBER(SEARCH(Лист2!$B$4,F:F)),1,0)</f>
        <v>0</v>
      </c>
      <c r="L608" s="14">
        <f>IF(ISNUMBER(SEARCH(Лист2!$B$5,I:I)),1,0)+K608</f>
        <v>0</v>
      </c>
      <c r="M608" s="3">
        <f ca="1">IF(AND(N608&lt;&gt;N607,ISNUMBER(SEARCH(Лист2!$B$6,N:N)),L608=2),MAX($M$3:OFFSET(M608,-1,0))+1,0)</f>
        <v>0</v>
      </c>
      <c r="N608" s="3" t="s">
        <v>871</v>
      </c>
    </row>
    <row r="609" spans="1:14" x14ac:dyDescent="0.25">
      <c r="A609" s="1" t="s">
        <v>10349</v>
      </c>
      <c r="B609" s="3" t="s">
        <v>4233</v>
      </c>
      <c r="C609" s="2">
        <f ca="1">IF(ISNUMBER(SEARCH(Лист2!$B$4,D:D)),MAX($C$3:OFFSET(C609,-1,0))+1,0)</f>
        <v>0</v>
      </c>
      <c r="E609" s="9" t="str">
        <f t="shared" ca="1" si="21"/>
        <v/>
      </c>
      <c r="F609" s="4" t="s">
        <v>4</v>
      </c>
      <c r="G609" s="2">
        <f>IF(ISNUMBER(SEARCH(Лист2!$B$4,F:F)),1,0)</f>
        <v>0</v>
      </c>
      <c r="H609" s="3">
        <f ca="1">IF(AND(I609&lt;&gt;I608,ISNUMBER(SEARCH(Лист2!$B$5,I:I)),G609=1),MAX($H$3:OFFSET(H609,-1,0))+1,0)</f>
        <v>0</v>
      </c>
      <c r="I609" s="3" t="s">
        <v>96</v>
      </c>
      <c r="K609" s="2">
        <f>IF(ISNUMBER(SEARCH(Лист2!$B$4,F:F)),1,0)</f>
        <v>0</v>
      </c>
      <c r="L609" s="14">
        <f>IF(ISNUMBER(SEARCH(Лист2!$B$5,I:I)),1,0)+K609</f>
        <v>0</v>
      </c>
      <c r="M609" s="3">
        <f ca="1">IF(AND(N609&lt;&gt;N608,ISNUMBER(SEARCH(Лист2!$B$6,N:N)),L609=2),MAX($M$3:OFFSET(M609,-1,0))+1,0)</f>
        <v>0</v>
      </c>
      <c r="N609" s="3" t="s">
        <v>872</v>
      </c>
    </row>
    <row r="610" spans="1:14" x14ac:dyDescent="0.25">
      <c r="A610" s="1" t="s">
        <v>10350</v>
      </c>
      <c r="B610" s="3" t="s">
        <v>4234</v>
      </c>
      <c r="C610" s="2">
        <f ca="1">IF(ISNUMBER(SEARCH(Лист2!$B$4,D:D)),MAX($C$3:OFFSET(C610,-1,0))+1,0)</f>
        <v>0</v>
      </c>
      <c r="E610" s="9" t="str">
        <f t="shared" ca="1" si="21"/>
        <v/>
      </c>
      <c r="F610" s="4" t="s">
        <v>4</v>
      </c>
      <c r="G610" s="2">
        <f>IF(ISNUMBER(SEARCH(Лист2!$B$4,F:F)),1,0)</f>
        <v>0</v>
      </c>
      <c r="H610" s="3">
        <f ca="1">IF(AND(I610&lt;&gt;I609,ISNUMBER(SEARCH(Лист2!$B$5,I:I)),G610=1),MAX($H$3:OFFSET(H610,-1,0))+1,0)</f>
        <v>0</v>
      </c>
      <c r="I610" s="3" t="s">
        <v>96</v>
      </c>
      <c r="K610" s="2">
        <f>IF(ISNUMBER(SEARCH(Лист2!$B$4,F:F)),1,0)</f>
        <v>0</v>
      </c>
      <c r="L610" s="14">
        <f>IF(ISNUMBER(SEARCH(Лист2!$B$5,I:I)),1,0)+K610</f>
        <v>0</v>
      </c>
      <c r="M610" s="3">
        <f ca="1">IF(AND(N610&lt;&gt;N609,ISNUMBER(SEARCH(Лист2!$B$6,N:N)),L610=2),MAX($M$3:OFFSET(M610,-1,0))+1,0)</f>
        <v>0</v>
      </c>
      <c r="N610" s="3" t="s">
        <v>873</v>
      </c>
    </row>
    <row r="611" spans="1:14" x14ac:dyDescent="0.25">
      <c r="A611" s="1" t="s">
        <v>10351</v>
      </c>
      <c r="B611" s="3" t="s">
        <v>4235</v>
      </c>
      <c r="C611" s="2">
        <f ca="1">IF(ISNUMBER(SEARCH(Лист2!$B$4,D:D)),MAX($C$3:OFFSET(C611,-1,0))+1,0)</f>
        <v>0</v>
      </c>
      <c r="E611" s="9" t="str">
        <f t="shared" ca="1" si="21"/>
        <v/>
      </c>
      <c r="F611" s="4" t="s">
        <v>4</v>
      </c>
      <c r="G611" s="2">
        <f>IF(ISNUMBER(SEARCH(Лист2!$B$4,F:F)),1,0)</f>
        <v>0</v>
      </c>
      <c r="H611" s="3">
        <f ca="1">IF(AND(I611&lt;&gt;I610,ISNUMBER(SEARCH(Лист2!$B$5,I:I)),G611=1),MAX($H$3:OFFSET(H611,-1,0))+1,0)</f>
        <v>0</v>
      </c>
      <c r="I611" s="3" t="s">
        <v>96</v>
      </c>
      <c r="K611" s="2">
        <f>IF(ISNUMBER(SEARCH(Лист2!$B$4,F:F)),1,0)</f>
        <v>0</v>
      </c>
      <c r="L611" s="14">
        <f>IF(ISNUMBER(SEARCH(Лист2!$B$5,I:I)),1,0)+K611</f>
        <v>0</v>
      </c>
      <c r="M611" s="3">
        <f ca="1">IF(AND(N611&lt;&gt;N610,ISNUMBER(SEARCH(Лист2!$B$6,N:N)),L611=2),MAX($M$3:OFFSET(M611,-1,0))+1,0)</f>
        <v>0</v>
      </c>
      <c r="N611" s="3" t="s">
        <v>874</v>
      </c>
    </row>
    <row r="612" spans="1:14" x14ac:dyDescent="0.25">
      <c r="A612" s="1" t="s">
        <v>10352</v>
      </c>
      <c r="B612" s="3" t="s">
        <v>4236</v>
      </c>
      <c r="C612" s="2">
        <f ca="1">IF(ISNUMBER(SEARCH(Лист2!$B$4,D:D)),MAX($C$3:OFFSET(C612,-1,0))+1,0)</f>
        <v>0</v>
      </c>
      <c r="E612" s="9" t="str">
        <f t="shared" ca="1" si="21"/>
        <v/>
      </c>
      <c r="F612" s="4" t="s">
        <v>4</v>
      </c>
      <c r="G612" s="2">
        <f>IF(ISNUMBER(SEARCH(Лист2!$B$4,F:F)),1,0)</f>
        <v>0</v>
      </c>
      <c r="H612" s="3">
        <f ca="1">IF(AND(I612&lt;&gt;I611,ISNUMBER(SEARCH(Лист2!$B$5,I:I)),G612=1),MAX($H$3:OFFSET(H612,-1,0))+1,0)</f>
        <v>0</v>
      </c>
      <c r="I612" s="3" t="s">
        <v>96</v>
      </c>
      <c r="K612" s="2">
        <f>IF(ISNUMBER(SEARCH(Лист2!$B$4,F:F)),1,0)</f>
        <v>0</v>
      </c>
      <c r="L612" s="14">
        <f>IF(ISNUMBER(SEARCH(Лист2!$B$5,I:I)),1,0)+K612</f>
        <v>0</v>
      </c>
      <c r="M612" s="3">
        <f ca="1">IF(AND(N612&lt;&gt;N611,ISNUMBER(SEARCH(Лист2!$B$6,N:N)),L612=2),MAX($M$3:OFFSET(M612,-1,0))+1,0)</f>
        <v>0</v>
      </c>
      <c r="N612" s="3" t="s">
        <v>875</v>
      </c>
    </row>
    <row r="613" spans="1:14" x14ac:dyDescent="0.25">
      <c r="A613" s="1" t="s">
        <v>10353</v>
      </c>
      <c r="B613" s="3" t="s">
        <v>4237</v>
      </c>
      <c r="C613" s="2">
        <f ca="1">IF(ISNUMBER(SEARCH(Лист2!$B$4,D:D)),MAX($C$3:OFFSET(C613,-1,0))+1,0)</f>
        <v>0</v>
      </c>
      <c r="E613" s="9" t="str">
        <f t="shared" ca="1" si="21"/>
        <v/>
      </c>
      <c r="F613" s="4" t="s">
        <v>4</v>
      </c>
      <c r="G613" s="2">
        <f>IF(ISNUMBER(SEARCH(Лист2!$B$4,F:F)),1,0)</f>
        <v>0</v>
      </c>
      <c r="H613" s="3">
        <f ca="1">IF(AND(I613&lt;&gt;I612,ISNUMBER(SEARCH(Лист2!$B$5,I:I)),G613=1),MAX($H$3:OFFSET(H613,-1,0))+1,0)</f>
        <v>0</v>
      </c>
      <c r="I613" s="3" t="s">
        <v>96</v>
      </c>
      <c r="K613" s="2">
        <f>IF(ISNUMBER(SEARCH(Лист2!$B$4,F:F)),1,0)</f>
        <v>0</v>
      </c>
      <c r="L613" s="14">
        <f>IF(ISNUMBER(SEARCH(Лист2!$B$5,I:I)),1,0)+K613</f>
        <v>0</v>
      </c>
      <c r="M613" s="3">
        <f ca="1">IF(AND(N613&lt;&gt;N612,ISNUMBER(SEARCH(Лист2!$B$6,N:N)),L613=2),MAX($M$3:OFFSET(M613,-1,0))+1,0)</f>
        <v>0</v>
      </c>
      <c r="N613" s="3" t="s">
        <v>876</v>
      </c>
    </row>
    <row r="614" spans="1:14" x14ac:dyDescent="0.25">
      <c r="A614" s="1" t="s">
        <v>10353</v>
      </c>
      <c r="B614" s="3" t="s">
        <v>4238</v>
      </c>
      <c r="C614" s="2">
        <f ca="1">IF(ISNUMBER(SEARCH(Лист2!$B$4,D:D)),MAX($C$3:OFFSET(C614,-1,0))+1,0)</f>
        <v>0</v>
      </c>
      <c r="E614" s="9" t="str">
        <f t="shared" ca="1" si="21"/>
        <v/>
      </c>
      <c r="F614" s="4" t="s">
        <v>4</v>
      </c>
      <c r="G614" s="2">
        <f>IF(ISNUMBER(SEARCH(Лист2!$B$4,F:F)),1,0)</f>
        <v>0</v>
      </c>
      <c r="H614" s="3">
        <f ca="1">IF(AND(I614&lt;&gt;I613,ISNUMBER(SEARCH(Лист2!$B$5,I:I)),G614=1),MAX($H$3:OFFSET(H614,-1,0))+1,0)</f>
        <v>0</v>
      </c>
      <c r="I614" s="3" t="s">
        <v>96</v>
      </c>
      <c r="K614" s="2">
        <f>IF(ISNUMBER(SEARCH(Лист2!$B$4,F:F)),1,0)</f>
        <v>0</v>
      </c>
      <c r="L614" s="14">
        <f>IF(ISNUMBER(SEARCH(Лист2!$B$5,I:I)),1,0)+K614</f>
        <v>0</v>
      </c>
      <c r="M614" s="3">
        <f ca="1">IF(AND(N614&lt;&gt;N613,ISNUMBER(SEARCH(Лист2!$B$6,N:N)),L614=2),MAX($M$3:OFFSET(M614,-1,0))+1,0)</f>
        <v>0</v>
      </c>
      <c r="N614" s="3" t="s">
        <v>876</v>
      </c>
    </row>
    <row r="615" spans="1:14" x14ac:dyDescent="0.25">
      <c r="A615" s="1" t="s">
        <v>10354</v>
      </c>
      <c r="B615" s="3" t="s">
        <v>4239</v>
      </c>
      <c r="C615" s="2">
        <f ca="1">IF(ISNUMBER(SEARCH(Лист2!$B$4,D:D)),MAX($C$3:OFFSET(C615,-1,0))+1,0)</f>
        <v>0</v>
      </c>
      <c r="E615" s="9" t="str">
        <f t="shared" ca="1" si="21"/>
        <v/>
      </c>
      <c r="F615" s="4" t="s">
        <v>4</v>
      </c>
      <c r="G615" s="2">
        <f>IF(ISNUMBER(SEARCH(Лист2!$B$4,F:F)),1,0)</f>
        <v>0</v>
      </c>
      <c r="H615" s="3">
        <f ca="1">IF(AND(I615&lt;&gt;I614,ISNUMBER(SEARCH(Лист2!$B$5,I:I)),G615=1),MAX($H$3:OFFSET(H615,-1,0))+1,0)</f>
        <v>0</v>
      </c>
      <c r="I615" s="3" t="s">
        <v>96</v>
      </c>
      <c r="K615" s="2">
        <f>IF(ISNUMBER(SEARCH(Лист2!$B$4,F:F)),1,0)</f>
        <v>0</v>
      </c>
      <c r="L615" s="14">
        <f>IF(ISNUMBER(SEARCH(Лист2!$B$5,I:I)),1,0)+K615</f>
        <v>0</v>
      </c>
      <c r="M615" s="3">
        <f ca="1">IF(AND(N615&lt;&gt;N614,ISNUMBER(SEARCH(Лист2!$B$6,N:N)),L615=2),MAX($M$3:OFFSET(M615,-1,0))+1,0)</f>
        <v>0</v>
      </c>
      <c r="N615" s="3" t="s">
        <v>877</v>
      </c>
    </row>
    <row r="616" spans="1:14" x14ac:dyDescent="0.25">
      <c r="A616" s="1" t="s">
        <v>10355</v>
      </c>
      <c r="B616" s="3" t="s">
        <v>4240</v>
      </c>
      <c r="C616" s="2">
        <f ca="1">IF(ISNUMBER(SEARCH(Лист2!$B$4,D:D)),MAX($C$3:OFFSET(C616,-1,0))+1,0)</f>
        <v>0</v>
      </c>
      <c r="E616" s="9" t="str">
        <f t="shared" ca="1" si="21"/>
        <v/>
      </c>
      <c r="F616" s="4" t="s">
        <v>4</v>
      </c>
      <c r="G616" s="2">
        <f>IF(ISNUMBER(SEARCH(Лист2!$B$4,F:F)),1,0)</f>
        <v>0</v>
      </c>
      <c r="H616" s="3">
        <f ca="1">IF(AND(I616&lt;&gt;I615,ISNUMBER(SEARCH(Лист2!$B$5,I:I)),G616=1),MAX($H$3:OFFSET(H616,-1,0))+1,0)</f>
        <v>0</v>
      </c>
      <c r="I616" s="3" t="s">
        <v>96</v>
      </c>
      <c r="K616" s="2">
        <f>IF(ISNUMBER(SEARCH(Лист2!$B$4,F:F)),1,0)</f>
        <v>0</v>
      </c>
      <c r="L616" s="14">
        <f>IF(ISNUMBER(SEARCH(Лист2!$B$5,I:I)),1,0)+K616</f>
        <v>0</v>
      </c>
      <c r="M616" s="3">
        <f ca="1">IF(AND(N616&lt;&gt;N615,ISNUMBER(SEARCH(Лист2!$B$6,N:N)),L616=2),MAX($M$3:OFFSET(M616,-1,0))+1,0)</f>
        <v>0</v>
      </c>
      <c r="N616" s="3" t="s">
        <v>878</v>
      </c>
    </row>
    <row r="617" spans="1:14" x14ac:dyDescent="0.25">
      <c r="A617" s="1" t="s">
        <v>10356</v>
      </c>
      <c r="B617" s="3" t="s">
        <v>4241</v>
      </c>
      <c r="C617" s="2">
        <f ca="1">IF(ISNUMBER(SEARCH(Лист2!$B$4,D:D)),MAX($C$3:OFFSET(C617,-1,0))+1,0)</f>
        <v>0</v>
      </c>
      <c r="E617" s="9" t="str">
        <f t="shared" ca="1" si="21"/>
        <v/>
      </c>
      <c r="F617" s="4" t="s">
        <v>4</v>
      </c>
      <c r="G617" s="2">
        <f>IF(ISNUMBER(SEARCH(Лист2!$B$4,F:F)),1,0)</f>
        <v>0</v>
      </c>
      <c r="H617" s="3">
        <f ca="1">IF(AND(I617&lt;&gt;I616,ISNUMBER(SEARCH(Лист2!$B$5,I:I)),G617=1),MAX($H$3:OFFSET(H617,-1,0))+1,0)</f>
        <v>0</v>
      </c>
      <c r="I617" s="3" t="s">
        <v>96</v>
      </c>
      <c r="K617" s="2">
        <f>IF(ISNUMBER(SEARCH(Лист2!$B$4,F:F)),1,0)</f>
        <v>0</v>
      </c>
      <c r="L617" s="14">
        <f>IF(ISNUMBER(SEARCH(Лист2!$B$5,I:I)),1,0)+K617</f>
        <v>0</v>
      </c>
      <c r="M617" s="3">
        <f ca="1">IF(AND(N617&lt;&gt;N616,ISNUMBER(SEARCH(Лист2!$B$6,N:N)),L617=2),MAX($M$3:OFFSET(M617,-1,0))+1,0)</f>
        <v>0</v>
      </c>
      <c r="N617" s="3" t="s">
        <v>879</v>
      </c>
    </row>
    <row r="618" spans="1:14" x14ac:dyDescent="0.25">
      <c r="A618" s="1" t="s">
        <v>10357</v>
      </c>
      <c r="B618" s="3" t="s">
        <v>4242</v>
      </c>
      <c r="C618" s="2">
        <f ca="1">IF(ISNUMBER(SEARCH(Лист2!$B$4,D:D)),MAX($C$3:OFFSET(C618,-1,0))+1,0)</f>
        <v>0</v>
      </c>
      <c r="E618" s="9" t="str">
        <f t="shared" ca="1" si="21"/>
        <v/>
      </c>
      <c r="F618" s="4" t="s">
        <v>4</v>
      </c>
      <c r="G618" s="2">
        <f>IF(ISNUMBER(SEARCH(Лист2!$B$4,F:F)),1,0)</f>
        <v>0</v>
      </c>
      <c r="H618" s="3">
        <f ca="1">IF(AND(I618&lt;&gt;I617,ISNUMBER(SEARCH(Лист2!$B$5,I:I)),G618=1),MAX($H$3:OFFSET(H618,-1,0))+1,0)</f>
        <v>0</v>
      </c>
      <c r="I618" s="3" t="s">
        <v>97</v>
      </c>
      <c r="K618" s="2">
        <f>IF(ISNUMBER(SEARCH(Лист2!$B$4,F:F)),1,0)</f>
        <v>0</v>
      </c>
      <c r="L618" s="14">
        <f>IF(ISNUMBER(SEARCH(Лист2!$B$5,I:I)),1,0)+K618</f>
        <v>0</v>
      </c>
      <c r="M618" s="3">
        <f ca="1">IF(AND(N618&lt;&gt;N617,ISNUMBER(SEARCH(Лист2!$B$6,N:N)),L618=2),MAX($M$3:OFFSET(M618,-1,0))+1,0)</f>
        <v>0</v>
      </c>
      <c r="N618" s="3" t="s">
        <v>880</v>
      </c>
    </row>
    <row r="619" spans="1:14" x14ac:dyDescent="0.25">
      <c r="A619" s="1" t="s">
        <v>10358</v>
      </c>
      <c r="B619" s="3" t="s">
        <v>4243</v>
      </c>
      <c r="C619" s="2">
        <f ca="1">IF(ISNUMBER(SEARCH(Лист2!$B$4,D:D)),MAX($C$3:OFFSET(C619,-1,0))+1,0)</f>
        <v>0</v>
      </c>
      <c r="E619" s="9" t="str">
        <f t="shared" ca="1" si="21"/>
        <v/>
      </c>
      <c r="F619" s="4" t="s">
        <v>4</v>
      </c>
      <c r="G619" s="2">
        <f>IF(ISNUMBER(SEARCH(Лист2!$B$4,F:F)),1,0)</f>
        <v>0</v>
      </c>
      <c r="H619" s="3">
        <f ca="1">IF(AND(I619&lt;&gt;I618,ISNUMBER(SEARCH(Лист2!$B$5,I:I)),G619=1),MAX($H$3:OFFSET(H619,-1,0))+1,0)</f>
        <v>0</v>
      </c>
      <c r="I619" s="3" t="s">
        <v>97</v>
      </c>
      <c r="K619" s="2">
        <f>IF(ISNUMBER(SEARCH(Лист2!$B$4,F:F)),1,0)</f>
        <v>0</v>
      </c>
      <c r="L619" s="14">
        <f>IF(ISNUMBER(SEARCH(Лист2!$B$5,I:I)),1,0)+K619</f>
        <v>0</v>
      </c>
      <c r="M619" s="3">
        <f ca="1">IF(AND(N619&lt;&gt;N618,ISNUMBER(SEARCH(Лист2!$B$6,N:N)),L619=2),MAX($M$3:OFFSET(M619,-1,0))+1,0)</f>
        <v>0</v>
      </c>
      <c r="N619" s="3" t="s">
        <v>881</v>
      </c>
    </row>
    <row r="620" spans="1:14" x14ac:dyDescent="0.25">
      <c r="A620" s="1" t="s">
        <v>10359</v>
      </c>
      <c r="B620" s="3" t="s">
        <v>4244</v>
      </c>
      <c r="C620" s="2">
        <f ca="1">IF(ISNUMBER(SEARCH(Лист2!$B$4,D:D)),MAX($C$3:OFFSET(C620,-1,0))+1,0)</f>
        <v>0</v>
      </c>
      <c r="E620" s="9" t="str">
        <f t="shared" ca="1" si="21"/>
        <v/>
      </c>
      <c r="F620" s="4" t="s">
        <v>4</v>
      </c>
      <c r="G620" s="2">
        <f>IF(ISNUMBER(SEARCH(Лист2!$B$4,F:F)),1,0)</f>
        <v>0</v>
      </c>
      <c r="H620" s="3">
        <f ca="1">IF(AND(I620&lt;&gt;I619,ISNUMBER(SEARCH(Лист2!$B$5,I:I)),G620=1),MAX($H$3:OFFSET(H620,-1,0))+1,0)</f>
        <v>0</v>
      </c>
      <c r="I620" s="3" t="s">
        <v>97</v>
      </c>
      <c r="K620" s="2">
        <f>IF(ISNUMBER(SEARCH(Лист2!$B$4,F:F)),1,0)</f>
        <v>0</v>
      </c>
      <c r="L620" s="14">
        <f>IF(ISNUMBER(SEARCH(Лист2!$B$5,I:I)),1,0)+K620</f>
        <v>0</v>
      </c>
      <c r="M620" s="3">
        <f ca="1">IF(AND(N620&lt;&gt;N619,ISNUMBER(SEARCH(Лист2!$B$6,N:N)),L620=2),MAX($M$3:OFFSET(M620,-1,0))+1,0)</f>
        <v>0</v>
      </c>
      <c r="N620" s="3" t="s">
        <v>882</v>
      </c>
    </row>
    <row r="621" spans="1:14" x14ac:dyDescent="0.25">
      <c r="A621" s="1" t="s">
        <v>10360</v>
      </c>
      <c r="B621" s="3" t="s">
        <v>4245</v>
      </c>
      <c r="C621" s="2">
        <f ca="1">IF(ISNUMBER(SEARCH(Лист2!$B$4,D:D)),MAX($C$3:OFFSET(C621,-1,0))+1,0)</f>
        <v>0</v>
      </c>
      <c r="E621" s="9" t="str">
        <f t="shared" ca="1" si="21"/>
        <v/>
      </c>
      <c r="F621" s="4" t="s">
        <v>4</v>
      </c>
      <c r="G621" s="2">
        <f>IF(ISNUMBER(SEARCH(Лист2!$B$4,F:F)),1,0)</f>
        <v>0</v>
      </c>
      <c r="H621" s="3">
        <f ca="1">IF(AND(I621&lt;&gt;I620,ISNUMBER(SEARCH(Лист2!$B$5,I:I)),G621=1),MAX($H$3:OFFSET(H621,-1,0))+1,0)</f>
        <v>0</v>
      </c>
      <c r="I621" s="3" t="s">
        <v>97</v>
      </c>
      <c r="K621" s="2">
        <f>IF(ISNUMBER(SEARCH(Лист2!$B$4,F:F)),1,0)</f>
        <v>0</v>
      </c>
      <c r="L621" s="14">
        <f>IF(ISNUMBER(SEARCH(Лист2!$B$5,I:I)),1,0)+K621</f>
        <v>0</v>
      </c>
      <c r="M621" s="3">
        <f ca="1">IF(AND(N621&lt;&gt;N620,ISNUMBER(SEARCH(Лист2!$B$6,N:N)),L621=2),MAX($M$3:OFFSET(M621,-1,0))+1,0)</f>
        <v>0</v>
      </c>
      <c r="N621" s="3" t="s">
        <v>883</v>
      </c>
    </row>
    <row r="622" spans="1:14" x14ac:dyDescent="0.25">
      <c r="A622" s="1" t="s">
        <v>10360</v>
      </c>
      <c r="B622" s="3" t="s">
        <v>4246</v>
      </c>
      <c r="C622" s="2">
        <f ca="1">IF(ISNUMBER(SEARCH(Лист2!$B$4,D:D)),MAX($C$3:OFFSET(C622,-1,0))+1,0)</f>
        <v>0</v>
      </c>
      <c r="E622" s="9" t="str">
        <f t="shared" ca="1" si="21"/>
        <v/>
      </c>
      <c r="F622" s="4" t="s">
        <v>4</v>
      </c>
      <c r="G622" s="2">
        <f>IF(ISNUMBER(SEARCH(Лист2!$B$4,F:F)),1,0)</f>
        <v>0</v>
      </c>
      <c r="H622" s="3">
        <f ca="1">IF(AND(I622&lt;&gt;I621,ISNUMBER(SEARCH(Лист2!$B$5,I:I)),G622=1),MAX($H$3:OFFSET(H622,-1,0))+1,0)</f>
        <v>0</v>
      </c>
      <c r="I622" s="3" t="s">
        <v>97</v>
      </c>
      <c r="K622" s="2">
        <f>IF(ISNUMBER(SEARCH(Лист2!$B$4,F:F)),1,0)</f>
        <v>0</v>
      </c>
      <c r="L622" s="14">
        <f>IF(ISNUMBER(SEARCH(Лист2!$B$5,I:I)),1,0)+K622</f>
        <v>0</v>
      </c>
      <c r="M622" s="3">
        <f ca="1">IF(AND(N622&lt;&gt;N621,ISNUMBER(SEARCH(Лист2!$B$6,N:N)),L622=2),MAX($M$3:OFFSET(M622,-1,0))+1,0)</f>
        <v>0</v>
      </c>
      <c r="N622" s="3" t="s">
        <v>883</v>
      </c>
    </row>
    <row r="623" spans="1:14" x14ac:dyDescent="0.25">
      <c r="A623" s="1" t="s">
        <v>10360</v>
      </c>
      <c r="B623" s="3" t="s">
        <v>4247</v>
      </c>
      <c r="C623" s="2">
        <f ca="1">IF(ISNUMBER(SEARCH(Лист2!$B$4,D:D)),MAX($C$3:OFFSET(C623,-1,0))+1,0)</f>
        <v>0</v>
      </c>
      <c r="E623" s="9" t="str">
        <f t="shared" ca="1" si="21"/>
        <v/>
      </c>
      <c r="F623" s="4" t="s">
        <v>4</v>
      </c>
      <c r="G623" s="2">
        <f>IF(ISNUMBER(SEARCH(Лист2!$B$4,F:F)),1,0)</f>
        <v>0</v>
      </c>
      <c r="H623" s="3">
        <f ca="1">IF(AND(I623&lt;&gt;I622,ISNUMBER(SEARCH(Лист2!$B$5,I:I)),G623=1),MAX($H$3:OFFSET(H623,-1,0))+1,0)</f>
        <v>0</v>
      </c>
      <c r="I623" s="3" t="s">
        <v>97</v>
      </c>
      <c r="K623" s="2">
        <f>IF(ISNUMBER(SEARCH(Лист2!$B$4,F:F)),1,0)</f>
        <v>0</v>
      </c>
      <c r="L623" s="14">
        <f>IF(ISNUMBER(SEARCH(Лист2!$B$5,I:I)),1,0)+K623</f>
        <v>0</v>
      </c>
      <c r="M623" s="3">
        <f ca="1">IF(AND(N623&lt;&gt;N622,ISNUMBER(SEARCH(Лист2!$B$6,N:N)),L623=2),MAX($M$3:OFFSET(M623,-1,0))+1,0)</f>
        <v>0</v>
      </c>
      <c r="N623" s="3" t="s">
        <v>883</v>
      </c>
    </row>
    <row r="624" spans="1:14" x14ac:dyDescent="0.25">
      <c r="A624" s="1" t="s">
        <v>10361</v>
      </c>
      <c r="B624" s="3" t="s">
        <v>4248</v>
      </c>
      <c r="C624" s="2">
        <f ca="1">IF(ISNUMBER(SEARCH(Лист2!$B$4,D:D)),MAX($C$3:OFFSET(C624,-1,0))+1,0)</f>
        <v>0</v>
      </c>
      <c r="E624" s="9" t="str">
        <f t="shared" ca="1" si="21"/>
        <v/>
      </c>
      <c r="F624" s="4" t="s">
        <v>4</v>
      </c>
      <c r="G624" s="2">
        <f>IF(ISNUMBER(SEARCH(Лист2!$B$4,F:F)),1,0)</f>
        <v>0</v>
      </c>
      <c r="H624" s="3">
        <f ca="1">IF(AND(I624&lt;&gt;I623,ISNUMBER(SEARCH(Лист2!$B$5,I:I)),G624=1),MAX($H$3:OFFSET(H624,-1,0))+1,0)</f>
        <v>0</v>
      </c>
      <c r="I624" s="3" t="s">
        <v>98</v>
      </c>
      <c r="K624" s="2">
        <f>IF(ISNUMBER(SEARCH(Лист2!$B$4,F:F)),1,0)</f>
        <v>0</v>
      </c>
      <c r="L624" s="14">
        <f>IF(ISNUMBER(SEARCH(Лист2!$B$5,I:I)),1,0)+K624</f>
        <v>0</v>
      </c>
      <c r="M624" s="3">
        <f ca="1">IF(AND(N624&lt;&gt;N623,ISNUMBER(SEARCH(Лист2!$B$6,N:N)),L624=2),MAX($M$3:OFFSET(M624,-1,0))+1,0)</f>
        <v>0</v>
      </c>
      <c r="N624" s="3" t="s">
        <v>617</v>
      </c>
    </row>
    <row r="625" spans="1:14" x14ac:dyDescent="0.25">
      <c r="A625" s="1" t="s">
        <v>10362</v>
      </c>
      <c r="B625" s="3" t="s">
        <v>4249</v>
      </c>
      <c r="C625" s="2">
        <f ca="1">IF(ISNUMBER(SEARCH(Лист2!$B$4,D:D)),MAX($C$3:OFFSET(C625,-1,0))+1,0)</f>
        <v>0</v>
      </c>
      <c r="E625" s="9" t="str">
        <f t="shared" ca="1" si="21"/>
        <v/>
      </c>
      <c r="F625" s="4" t="s">
        <v>4</v>
      </c>
      <c r="G625" s="2">
        <f>IF(ISNUMBER(SEARCH(Лист2!$B$4,F:F)),1,0)</f>
        <v>0</v>
      </c>
      <c r="H625" s="3">
        <f ca="1">IF(AND(I625&lt;&gt;I624,ISNUMBER(SEARCH(Лист2!$B$5,I:I)),G625=1),MAX($H$3:OFFSET(H625,-1,0))+1,0)</f>
        <v>0</v>
      </c>
      <c r="I625" s="3" t="s">
        <v>98</v>
      </c>
      <c r="K625" s="2">
        <f>IF(ISNUMBER(SEARCH(Лист2!$B$4,F:F)),1,0)</f>
        <v>0</v>
      </c>
      <c r="L625" s="14">
        <f>IF(ISNUMBER(SEARCH(Лист2!$B$5,I:I)),1,0)+K625</f>
        <v>0</v>
      </c>
      <c r="M625" s="3">
        <f ca="1">IF(AND(N625&lt;&gt;N624,ISNUMBER(SEARCH(Лист2!$B$6,N:N)),L625=2),MAX($M$3:OFFSET(M625,-1,0))+1,0)</f>
        <v>0</v>
      </c>
      <c r="N625" s="3" t="s">
        <v>616</v>
      </c>
    </row>
    <row r="626" spans="1:14" x14ac:dyDescent="0.25">
      <c r="A626" s="1" t="s">
        <v>10363</v>
      </c>
      <c r="B626" s="3" t="s">
        <v>4250</v>
      </c>
      <c r="C626" s="2">
        <f ca="1">IF(ISNUMBER(SEARCH(Лист2!$B$4,D:D)),MAX($C$3:OFFSET(C626,-1,0))+1,0)</f>
        <v>0</v>
      </c>
      <c r="E626" s="9" t="str">
        <f t="shared" ca="1" si="21"/>
        <v/>
      </c>
      <c r="F626" s="4" t="s">
        <v>4</v>
      </c>
      <c r="G626" s="2">
        <f>IF(ISNUMBER(SEARCH(Лист2!$B$4,F:F)),1,0)</f>
        <v>0</v>
      </c>
      <c r="H626" s="3">
        <f ca="1">IF(AND(I626&lt;&gt;I625,ISNUMBER(SEARCH(Лист2!$B$5,I:I)),G626=1),MAX($H$3:OFFSET(H626,-1,0))+1,0)</f>
        <v>0</v>
      </c>
      <c r="I626" s="3" t="s">
        <v>99</v>
      </c>
      <c r="K626" s="2">
        <f>IF(ISNUMBER(SEARCH(Лист2!$B$4,F:F)),1,0)</f>
        <v>0</v>
      </c>
      <c r="L626" s="14">
        <f>IF(ISNUMBER(SEARCH(Лист2!$B$5,I:I)),1,0)+K626</f>
        <v>0</v>
      </c>
      <c r="M626" s="3">
        <f ca="1">IF(AND(N626&lt;&gt;N625,ISNUMBER(SEARCH(Лист2!$B$6,N:N)),L626=2),MAX($M$3:OFFSET(M626,-1,0))+1,0)</f>
        <v>0</v>
      </c>
      <c r="N626" s="3" t="s">
        <v>884</v>
      </c>
    </row>
    <row r="627" spans="1:14" x14ac:dyDescent="0.25">
      <c r="A627" s="1" t="s">
        <v>10363</v>
      </c>
      <c r="B627" s="3" t="s">
        <v>4251</v>
      </c>
      <c r="C627" s="2">
        <f ca="1">IF(ISNUMBER(SEARCH(Лист2!$B$4,D:D)),MAX($C$3:OFFSET(C627,-1,0))+1,0)</f>
        <v>0</v>
      </c>
      <c r="E627" s="9" t="str">
        <f t="shared" ca="1" si="21"/>
        <v/>
      </c>
      <c r="F627" s="4" t="s">
        <v>4</v>
      </c>
      <c r="G627" s="2">
        <f>IF(ISNUMBER(SEARCH(Лист2!$B$4,F:F)),1,0)</f>
        <v>0</v>
      </c>
      <c r="H627" s="3">
        <f ca="1">IF(AND(I627&lt;&gt;I626,ISNUMBER(SEARCH(Лист2!$B$5,I:I)),G627=1),MAX($H$3:OFFSET(H627,-1,0))+1,0)</f>
        <v>0</v>
      </c>
      <c r="I627" s="3" t="s">
        <v>99</v>
      </c>
      <c r="K627" s="2">
        <f>IF(ISNUMBER(SEARCH(Лист2!$B$4,F:F)),1,0)</f>
        <v>0</v>
      </c>
      <c r="L627" s="14">
        <f>IF(ISNUMBER(SEARCH(Лист2!$B$5,I:I)),1,0)+K627</f>
        <v>0</v>
      </c>
      <c r="M627" s="3">
        <f ca="1">IF(AND(N627&lt;&gt;N626,ISNUMBER(SEARCH(Лист2!$B$6,N:N)),L627=2),MAX($M$3:OFFSET(M627,-1,0))+1,0)</f>
        <v>0</v>
      </c>
      <c r="N627" s="3" t="s">
        <v>884</v>
      </c>
    </row>
    <row r="628" spans="1:14" x14ac:dyDescent="0.25">
      <c r="A628" s="1" t="s">
        <v>10363</v>
      </c>
      <c r="B628" s="3" t="s">
        <v>4252</v>
      </c>
      <c r="C628" s="2">
        <f ca="1">IF(ISNUMBER(SEARCH(Лист2!$B$4,D:D)),MAX($C$3:OFFSET(C628,-1,0))+1,0)</f>
        <v>0</v>
      </c>
      <c r="E628" s="9" t="str">
        <f t="shared" ca="1" si="21"/>
        <v/>
      </c>
      <c r="F628" s="4" t="s">
        <v>4</v>
      </c>
      <c r="G628" s="2">
        <f>IF(ISNUMBER(SEARCH(Лист2!$B$4,F:F)),1,0)</f>
        <v>0</v>
      </c>
      <c r="H628" s="3">
        <f ca="1">IF(AND(I628&lt;&gt;I627,ISNUMBER(SEARCH(Лист2!$B$5,I:I)),G628=1),MAX($H$3:OFFSET(H628,-1,0))+1,0)</f>
        <v>0</v>
      </c>
      <c r="I628" s="3" t="s">
        <v>99</v>
      </c>
      <c r="K628" s="2">
        <f>IF(ISNUMBER(SEARCH(Лист2!$B$4,F:F)),1,0)</f>
        <v>0</v>
      </c>
      <c r="L628" s="14">
        <f>IF(ISNUMBER(SEARCH(Лист2!$B$5,I:I)),1,0)+K628</f>
        <v>0</v>
      </c>
      <c r="M628" s="3">
        <f ca="1">IF(AND(N628&lt;&gt;N627,ISNUMBER(SEARCH(Лист2!$B$6,N:N)),L628=2),MAX($M$3:OFFSET(M628,-1,0))+1,0)</f>
        <v>0</v>
      </c>
      <c r="N628" s="3" t="s">
        <v>884</v>
      </c>
    </row>
    <row r="629" spans="1:14" x14ac:dyDescent="0.25">
      <c r="A629" s="1" t="s">
        <v>10364</v>
      </c>
      <c r="B629" s="3" t="s">
        <v>4253</v>
      </c>
      <c r="C629" s="2">
        <f ca="1">IF(ISNUMBER(SEARCH(Лист2!$B$4,D:D)),MAX($C$3:OFFSET(C629,-1,0))+1,0)</f>
        <v>0</v>
      </c>
      <c r="E629" s="9" t="str">
        <f t="shared" ca="1" si="21"/>
        <v/>
      </c>
      <c r="F629" s="4" t="s">
        <v>4</v>
      </c>
      <c r="G629" s="2">
        <f>IF(ISNUMBER(SEARCH(Лист2!$B$4,F:F)),1,0)</f>
        <v>0</v>
      </c>
      <c r="H629" s="3">
        <f ca="1">IF(AND(I629&lt;&gt;I628,ISNUMBER(SEARCH(Лист2!$B$5,I:I)),G629=1),MAX($H$3:OFFSET(H629,-1,0))+1,0)</f>
        <v>0</v>
      </c>
      <c r="I629" s="3" t="s">
        <v>99</v>
      </c>
      <c r="K629" s="2">
        <f>IF(ISNUMBER(SEARCH(Лист2!$B$4,F:F)),1,0)</f>
        <v>0</v>
      </c>
      <c r="L629" s="14">
        <f>IF(ISNUMBER(SEARCH(Лист2!$B$5,I:I)),1,0)+K629</f>
        <v>0</v>
      </c>
      <c r="M629" s="3">
        <f ca="1">IF(AND(N629&lt;&gt;N628,ISNUMBER(SEARCH(Лист2!$B$6,N:N)),L629=2),MAX($M$3:OFFSET(M629,-1,0))+1,0)</f>
        <v>0</v>
      </c>
      <c r="N629" s="3" t="s">
        <v>885</v>
      </c>
    </row>
    <row r="630" spans="1:14" x14ac:dyDescent="0.25">
      <c r="A630" s="1" t="s">
        <v>10364</v>
      </c>
      <c r="B630" s="3" t="s">
        <v>4254</v>
      </c>
      <c r="C630" s="2">
        <f ca="1">IF(ISNUMBER(SEARCH(Лист2!$B$4,D:D)),MAX($C$3:OFFSET(C630,-1,0))+1,0)</f>
        <v>0</v>
      </c>
      <c r="E630" s="9" t="str">
        <f t="shared" ca="1" si="21"/>
        <v/>
      </c>
      <c r="F630" s="4" t="s">
        <v>4</v>
      </c>
      <c r="G630" s="2">
        <f>IF(ISNUMBER(SEARCH(Лист2!$B$4,F:F)),1,0)</f>
        <v>0</v>
      </c>
      <c r="H630" s="3">
        <f ca="1">IF(AND(I630&lt;&gt;I629,ISNUMBER(SEARCH(Лист2!$B$5,I:I)),G630=1),MAX($H$3:OFFSET(H630,-1,0))+1,0)</f>
        <v>0</v>
      </c>
      <c r="I630" s="3" t="s">
        <v>99</v>
      </c>
      <c r="K630" s="2">
        <f>IF(ISNUMBER(SEARCH(Лист2!$B$4,F:F)),1,0)</f>
        <v>0</v>
      </c>
      <c r="L630" s="14">
        <f>IF(ISNUMBER(SEARCH(Лист2!$B$5,I:I)),1,0)+K630</f>
        <v>0</v>
      </c>
      <c r="M630" s="3">
        <f ca="1">IF(AND(N630&lt;&gt;N629,ISNUMBER(SEARCH(Лист2!$B$6,N:N)),L630=2),MAX($M$3:OFFSET(M630,-1,0))+1,0)</f>
        <v>0</v>
      </c>
      <c r="N630" s="3" t="s">
        <v>885</v>
      </c>
    </row>
    <row r="631" spans="1:14" x14ac:dyDescent="0.25">
      <c r="A631" s="1" t="s">
        <v>10364</v>
      </c>
      <c r="B631" s="3" t="s">
        <v>4255</v>
      </c>
      <c r="C631" s="2">
        <f ca="1">IF(ISNUMBER(SEARCH(Лист2!$B$4,D:D)),MAX($C$3:OFFSET(C631,-1,0))+1,0)</f>
        <v>0</v>
      </c>
      <c r="E631" s="9" t="str">
        <f t="shared" ca="1" si="21"/>
        <v/>
      </c>
      <c r="F631" s="4" t="s">
        <v>4</v>
      </c>
      <c r="G631" s="2">
        <f>IF(ISNUMBER(SEARCH(Лист2!$B$4,F:F)),1,0)</f>
        <v>0</v>
      </c>
      <c r="H631" s="3">
        <f ca="1">IF(AND(I631&lt;&gt;I630,ISNUMBER(SEARCH(Лист2!$B$5,I:I)),G631=1),MAX($H$3:OFFSET(H631,-1,0))+1,0)</f>
        <v>0</v>
      </c>
      <c r="I631" s="3" t="s">
        <v>99</v>
      </c>
      <c r="K631" s="2">
        <f>IF(ISNUMBER(SEARCH(Лист2!$B$4,F:F)),1,0)</f>
        <v>0</v>
      </c>
      <c r="L631" s="14">
        <f>IF(ISNUMBER(SEARCH(Лист2!$B$5,I:I)),1,0)+K631</f>
        <v>0</v>
      </c>
      <c r="M631" s="3">
        <f ca="1">IF(AND(N631&lt;&gt;N630,ISNUMBER(SEARCH(Лист2!$B$6,N:N)),L631=2),MAX($M$3:OFFSET(M631,-1,0))+1,0)</f>
        <v>0</v>
      </c>
      <c r="N631" s="3" t="s">
        <v>885</v>
      </c>
    </row>
    <row r="632" spans="1:14" x14ac:dyDescent="0.25">
      <c r="A632" s="1" t="s">
        <v>10364</v>
      </c>
      <c r="B632" s="3" t="s">
        <v>4256</v>
      </c>
      <c r="C632" s="2">
        <f ca="1">IF(ISNUMBER(SEARCH(Лист2!$B$4,D:D)),MAX($C$3:OFFSET(C632,-1,0))+1,0)</f>
        <v>0</v>
      </c>
      <c r="E632" s="9" t="str">
        <f t="shared" ca="1" si="21"/>
        <v/>
      </c>
      <c r="F632" s="4" t="s">
        <v>4</v>
      </c>
      <c r="G632" s="2">
        <f>IF(ISNUMBER(SEARCH(Лист2!$B$4,F:F)),1,0)</f>
        <v>0</v>
      </c>
      <c r="H632" s="3">
        <f ca="1">IF(AND(I632&lt;&gt;I631,ISNUMBER(SEARCH(Лист2!$B$5,I:I)),G632=1),MAX($H$3:OFFSET(H632,-1,0))+1,0)</f>
        <v>0</v>
      </c>
      <c r="I632" s="3" t="s">
        <v>99</v>
      </c>
      <c r="K632" s="2">
        <f>IF(ISNUMBER(SEARCH(Лист2!$B$4,F:F)),1,0)</f>
        <v>0</v>
      </c>
      <c r="L632" s="14">
        <f>IF(ISNUMBER(SEARCH(Лист2!$B$5,I:I)),1,0)+K632</f>
        <v>0</v>
      </c>
      <c r="M632" s="3">
        <f ca="1">IF(AND(N632&lt;&gt;N631,ISNUMBER(SEARCH(Лист2!$B$6,N:N)),L632=2),MAX($M$3:OFFSET(M632,-1,0))+1,0)</f>
        <v>0</v>
      </c>
      <c r="N632" s="3" t="s">
        <v>885</v>
      </c>
    </row>
    <row r="633" spans="1:14" x14ac:dyDescent="0.25">
      <c r="A633" s="1" t="s">
        <v>10365</v>
      </c>
      <c r="B633" s="3" t="s">
        <v>4257</v>
      </c>
      <c r="C633" s="2">
        <f ca="1">IF(ISNUMBER(SEARCH(Лист2!$B$4,D:D)),MAX($C$3:OFFSET(C633,-1,0))+1,0)</f>
        <v>0</v>
      </c>
      <c r="E633" s="9" t="str">
        <f t="shared" ca="1" si="21"/>
        <v/>
      </c>
      <c r="F633" s="4" t="s">
        <v>4</v>
      </c>
      <c r="G633" s="2">
        <f>IF(ISNUMBER(SEARCH(Лист2!$B$4,F:F)),1,0)</f>
        <v>0</v>
      </c>
      <c r="H633" s="3">
        <f ca="1">IF(AND(I633&lt;&gt;I632,ISNUMBER(SEARCH(Лист2!$B$5,I:I)),G633=1),MAX($H$3:OFFSET(H633,-1,0))+1,0)</f>
        <v>0</v>
      </c>
      <c r="I633" s="3" t="s">
        <v>99</v>
      </c>
      <c r="K633" s="2">
        <f>IF(ISNUMBER(SEARCH(Лист2!$B$4,F:F)),1,0)</f>
        <v>0</v>
      </c>
      <c r="L633" s="14">
        <f>IF(ISNUMBER(SEARCH(Лист2!$B$5,I:I)),1,0)+K633</f>
        <v>0</v>
      </c>
      <c r="M633" s="3">
        <f ca="1">IF(AND(N633&lt;&gt;N632,ISNUMBER(SEARCH(Лист2!$B$6,N:N)),L633=2),MAX($M$3:OFFSET(M633,-1,0))+1,0)</f>
        <v>0</v>
      </c>
      <c r="N633" s="3" t="s">
        <v>886</v>
      </c>
    </row>
    <row r="634" spans="1:14" x14ac:dyDescent="0.25">
      <c r="A634" s="1" t="s">
        <v>10366</v>
      </c>
      <c r="B634" s="3" t="s">
        <v>4258</v>
      </c>
      <c r="C634" s="2">
        <f ca="1">IF(ISNUMBER(SEARCH(Лист2!$B$4,D:D)),MAX($C$3:OFFSET(C634,-1,0))+1,0)</f>
        <v>0</v>
      </c>
      <c r="E634" s="9" t="str">
        <f t="shared" ca="1" si="21"/>
        <v/>
      </c>
      <c r="F634" s="4" t="s">
        <v>4</v>
      </c>
      <c r="G634" s="2">
        <f>IF(ISNUMBER(SEARCH(Лист2!$B$4,F:F)),1,0)</f>
        <v>0</v>
      </c>
      <c r="H634" s="3">
        <f ca="1">IF(AND(I634&lt;&gt;I633,ISNUMBER(SEARCH(Лист2!$B$5,I:I)),G634=1),MAX($H$3:OFFSET(H634,-1,0))+1,0)</f>
        <v>0</v>
      </c>
      <c r="I634" s="3" t="s">
        <v>99</v>
      </c>
      <c r="K634" s="2">
        <f>IF(ISNUMBER(SEARCH(Лист2!$B$4,F:F)),1,0)</f>
        <v>0</v>
      </c>
      <c r="L634" s="14">
        <f>IF(ISNUMBER(SEARCH(Лист2!$B$5,I:I)),1,0)+K634</f>
        <v>0</v>
      </c>
      <c r="M634" s="3">
        <f ca="1">IF(AND(N634&lt;&gt;N633,ISNUMBER(SEARCH(Лист2!$B$6,N:N)),L634=2),MAX($M$3:OFFSET(M634,-1,0))+1,0)</f>
        <v>0</v>
      </c>
      <c r="N634" s="3" t="s">
        <v>887</v>
      </c>
    </row>
    <row r="635" spans="1:14" x14ac:dyDescent="0.25">
      <c r="A635" s="1" t="s">
        <v>10367</v>
      </c>
      <c r="B635" s="3" t="s">
        <v>4259</v>
      </c>
      <c r="C635" s="2">
        <f ca="1">IF(ISNUMBER(SEARCH(Лист2!$B$4,D:D)),MAX($C$3:OFFSET(C635,-1,0))+1,0)</f>
        <v>0</v>
      </c>
      <c r="E635" s="9" t="str">
        <f t="shared" ca="1" si="21"/>
        <v/>
      </c>
      <c r="F635" s="4" t="s">
        <v>4</v>
      </c>
      <c r="G635" s="2">
        <f>IF(ISNUMBER(SEARCH(Лист2!$B$4,F:F)),1,0)</f>
        <v>0</v>
      </c>
      <c r="H635" s="3">
        <f ca="1">IF(AND(I635&lt;&gt;I634,ISNUMBER(SEARCH(Лист2!$B$5,I:I)),G635=1),MAX($H$3:OFFSET(H635,-1,0))+1,0)</f>
        <v>0</v>
      </c>
      <c r="I635" s="3" t="s">
        <v>99</v>
      </c>
      <c r="K635" s="2">
        <f>IF(ISNUMBER(SEARCH(Лист2!$B$4,F:F)),1,0)</f>
        <v>0</v>
      </c>
      <c r="L635" s="14">
        <f>IF(ISNUMBER(SEARCH(Лист2!$B$5,I:I)),1,0)+K635</f>
        <v>0</v>
      </c>
      <c r="M635" s="3">
        <f ca="1">IF(AND(N635&lt;&gt;N634,ISNUMBER(SEARCH(Лист2!$B$6,N:N)),L635=2),MAX($M$3:OFFSET(M635,-1,0))+1,0)</f>
        <v>0</v>
      </c>
      <c r="N635" s="3" t="s">
        <v>888</v>
      </c>
    </row>
    <row r="636" spans="1:14" x14ac:dyDescent="0.25">
      <c r="A636" s="1" t="s">
        <v>10368</v>
      </c>
      <c r="B636" s="3" t="s">
        <v>4260</v>
      </c>
      <c r="C636" s="2">
        <f ca="1">IF(ISNUMBER(SEARCH(Лист2!$B$4,D:D)),MAX($C$3:OFFSET(C636,-1,0))+1,0)</f>
        <v>0</v>
      </c>
      <c r="E636" s="9" t="str">
        <f t="shared" ca="1" si="21"/>
        <v/>
      </c>
      <c r="F636" s="4" t="s">
        <v>4</v>
      </c>
      <c r="G636" s="2">
        <f>IF(ISNUMBER(SEARCH(Лист2!$B$4,F:F)),1,0)</f>
        <v>0</v>
      </c>
      <c r="H636" s="3">
        <f ca="1">IF(AND(I636&lt;&gt;I635,ISNUMBER(SEARCH(Лист2!$B$5,I:I)),G636=1),MAX($H$3:OFFSET(H636,-1,0))+1,0)</f>
        <v>0</v>
      </c>
      <c r="I636" s="3" t="s">
        <v>99</v>
      </c>
      <c r="K636" s="2">
        <f>IF(ISNUMBER(SEARCH(Лист2!$B$4,F:F)),1,0)</f>
        <v>0</v>
      </c>
      <c r="L636" s="14">
        <f>IF(ISNUMBER(SEARCH(Лист2!$B$5,I:I)),1,0)+K636</f>
        <v>0</v>
      </c>
      <c r="M636" s="3">
        <f ca="1">IF(AND(N636&lt;&gt;N635,ISNUMBER(SEARCH(Лист2!$B$6,N:N)),L636=2),MAX($M$3:OFFSET(M636,-1,0))+1,0)</f>
        <v>0</v>
      </c>
      <c r="N636" s="3" t="s">
        <v>889</v>
      </c>
    </row>
    <row r="637" spans="1:14" x14ac:dyDescent="0.25">
      <c r="A637" s="1" t="s">
        <v>10368</v>
      </c>
      <c r="B637" s="3" t="s">
        <v>4261</v>
      </c>
      <c r="C637" s="2">
        <f ca="1">IF(ISNUMBER(SEARCH(Лист2!$B$4,D:D)),MAX($C$3:OFFSET(C637,-1,0))+1,0)</f>
        <v>0</v>
      </c>
      <c r="E637" s="9" t="str">
        <f t="shared" ca="1" si="21"/>
        <v/>
      </c>
      <c r="F637" s="4" t="s">
        <v>4</v>
      </c>
      <c r="G637" s="2">
        <f>IF(ISNUMBER(SEARCH(Лист2!$B$4,F:F)),1,0)</f>
        <v>0</v>
      </c>
      <c r="H637" s="3">
        <f ca="1">IF(AND(I637&lt;&gt;I636,ISNUMBER(SEARCH(Лист2!$B$5,I:I)),G637=1),MAX($H$3:OFFSET(H637,-1,0))+1,0)</f>
        <v>0</v>
      </c>
      <c r="I637" s="3" t="s">
        <v>99</v>
      </c>
      <c r="K637" s="2">
        <f>IF(ISNUMBER(SEARCH(Лист2!$B$4,F:F)),1,0)</f>
        <v>0</v>
      </c>
      <c r="L637" s="14">
        <f>IF(ISNUMBER(SEARCH(Лист2!$B$5,I:I)),1,0)+K637</f>
        <v>0</v>
      </c>
      <c r="M637" s="3">
        <f ca="1">IF(AND(N637&lt;&gt;N636,ISNUMBER(SEARCH(Лист2!$B$6,N:N)),L637=2),MAX($M$3:OFFSET(M637,-1,0))+1,0)</f>
        <v>0</v>
      </c>
      <c r="N637" s="3" t="s">
        <v>889</v>
      </c>
    </row>
    <row r="638" spans="1:14" x14ac:dyDescent="0.25">
      <c r="A638" s="1" t="s">
        <v>10369</v>
      </c>
      <c r="B638" s="3" t="s">
        <v>4262</v>
      </c>
      <c r="C638" s="2">
        <f ca="1">IF(ISNUMBER(SEARCH(Лист2!$B$4,D:D)),MAX($C$3:OFFSET(C638,-1,0))+1,0)</f>
        <v>0</v>
      </c>
      <c r="E638" s="9" t="str">
        <f t="shared" ca="1" si="21"/>
        <v/>
      </c>
      <c r="F638" s="4" t="s">
        <v>4</v>
      </c>
      <c r="G638" s="2">
        <f>IF(ISNUMBER(SEARCH(Лист2!$B$4,F:F)),1,0)</f>
        <v>0</v>
      </c>
      <c r="H638" s="3">
        <f ca="1">IF(AND(I638&lt;&gt;I637,ISNUMBER(SEARCH(Лист2!$B$5,I:I)),G638=1),MAX($H$3:OFFSET(H638,-1,0))+1,0)</f>
        <v>0</v>
      </c>
      <c r="I638" s="3" t="s">
        <v>100</v>
      </c>
      <c r="K638" s="2">
        <f>IF(ISNUMBER(SEARCH(Лист2!$B$4,F:F)),1,0)</f>
        <v>0</v>
      </c>
      <c r="L638" s="14">
        <f>IF(ISNUMBER(SEARCH(Лист2!$B$5,I:I)),1,0)+K638</f>
        <v>0</v>
      </c>
      <c r="M638" s="3">
        <f ca="1">IF(AND(N638&lt;&gt;N637,ISNUMBER(SEARCH(Лист2!$B$6,N:N)),L638=2),MAX($M$3:OFFSET(M638,-1,0))+1,0)</f>
        <v>0</v>
      </c>
      <c r="N638" s="3" t="s">
        <v>890</v>
      </c>
    </row>
    <row r="639" spans="1:14" x14ac:dyDescent="0.25">
      <c r="A639" s="1" t="s">
        <v>10369</v>
      </c>
      <c r="B639" s="3" t="s">
        <v>4263</v>
      </c>
      <c r="C639" s="2">
        <f ca="1">IF(ISNUMBER(SEARCH(Лист2!$B$4,D:D)),MAX($C$3:OFFSET(C639,-1,0))+1,0)</f>
        <v>0</v>
      </c>
      <c r="E639" s="9" t="str">
        <f t="shared" ca="1" si="21"/>
        <v/>
      </c>
      <c r="F639" s="4" t="s">
        <v>4</v>
      </c>
      <c r="G639" s="2">
        <f>IF(ISNUMBER(SEARCH(Лист2!$B$4,F:F)),1,0)</f>
        <v>0</v>
      </c>
      <c r="H639" s="3">
        <f ca="1">IF(AND(I639&lt;&gt;I638,ISNUMBER(SEARCH(Лист2!$B$5,I:I)),G639=1),MAX($H$3:OFFSET(H639,-1,0))+1,0)</f>
        <v>0</v>
      </c>
      <c r="I639" s="3" t="s">
        <v>100</v>
      </c>
      <c r="K639" s="2">
        <f>IF(ISNUMBER(SEARCH(Лист2!$B$4,F:F)),1,0)</f>
        <v>0</v>
      </c>
      <c r="L639" s="14">
        <f>IF(ISNUMBER(SEARCH(Лист2!$B$5,I:I)),1,0)+K639</f>
        <v>0</v>
      </c>
      <c r="M639" s="3">
        <f ca="1">IF(AND(N639&lt;&gt;N638,ISNUMBER(SEARCH(Лист2!$B$6,N:N)),L639=2),MAX($M$3:OFFSET(M639,-1,0))+1,0)</f>
        <v>0</v>
      </c>
      <c r="N639" s="3" t="s">
        <v>890</v>
      </c>
    </row>
    <row r="640" spans="1:14" x14ac:dyDescent="0.25">
      <c r="A640" s="1" t="s">
        <v>10369</v>
      </c>
      <c r="B640" s="3" t="s">
        <v>4264</v>
      </c>
      <c r="C640" s="2">
        <f ca="1">IF(ISNUMBER(SEARCH(Лист2!$B$4,D:D)),MAX($C$3:OFFSET(C640,-1,0))+1,0)</f>
        <v>0</v>
      </c>
      <c r="E640" s="9" t="str">
        <f t="shared" ca="1" si="21"/>
        <v/>
      </c>
      <c r="F640" s="4" t="s">
        <v>4</v>
      </c>
      <c r="G640" s="2">
        <f>IF(ISNUMBER(SEARCH(Лист2!$B$4,F:F)),1,0)</f>
        <v>0</v>
      </c>
      <c r="H640" s="3">
        <f ca="1">IF(AND(I640&lt;&gt;I639,ISNUMBER(SEARCH(Лист2!$B$5,I:I)),G640=1),MAX($H$3:OFFSET(H640,-1,0))+1,0)</f>
        <v>0</v>
      </c>
      <c r="I640" s="3" t="s">
        <v>100</v>
      </c>
      <c r="K640" s="2">
        <f>IF(ISNUMBER(SEARCH(Лист2!$B$4,F:F)),1,0)</f>
        <v>0</v>
      </c>
      <c r="L640" s="14">
        <f>IF(ISNUMBER(SEARCH(Лист2!$B$5,I:I)),1,0)+K640</f>
        <v>0</v>
      </c>
      <c r="M640" s="3">
        <f ca="1">IF(AND(N640&lt;&gt;N639,ISNUMBER(SEARCH(Лист2!$B$6,N:N)),L640=2),MAX($M$3:OFFSET(M640,-1,0))+1,0)</f>
        <v>0</v>
      </c>
      <c r="N640" s="3" t="s">
        <v>890</v>
      </c>
    </row>
    <row r="641" spans="1:14" x14ac:dyDescent="0.25">
      <c r="A641" s="1" t="s">
        <v>10370</v>
      </c>
      <c r="B641" s="3" t="s">
        <v>4265</v>
      </c>
      <c r="C641" s="2">
        <f ca="1">IF(ISNUMBER(SEARCH(Лист2!$B$4,D:D)),MAX($C$3:OFFSET(C641,-1,0))+1,0)</f>
        <v>0</v>
      </c>
      <c r="E641" s="9" t="str">
        <f t="shared" ca="1" si="21"/>
        <v/>
      </c>
      <c r="F641" s="4" t="s">
        <v>4</v>
      </c>
      <c r="G641" s="2">
        <f>IF(ISNUMBER(SEARCH(Лист2!$B$4,F:F)),1,0)</f>
        <v>0</v>
      </c>
      <c r="H641" s="3">
        <f ca="1">IF(AND(I641&lt;&gt;I640,ISNUMBER(SEARCH(Лист2!$B$5,I:I)),G641=1),MAX($H$3:OFFSET(H641,-1,0))+1,0)</f>
        <v>0</v>
      </c>
      <c r="I641" s="3" t="s">
        <v>100</v>
      </c>
      <c r="K641" s="2">
        <f>IF(ISNUMBER(SEARCH(Лист2!$B$4,F:F)),1,0)</f>
        <v>0</v>
      </c>
      <c r="L641" s="14">
        <f>IF(ISNUMBER(SEARCH(Лист2!$B$5,I:I)),1,0)+K641</f>
        <v>0</v>
      </c>
      <c r="M641" s="3">
        <f ca="1">IF(AND(N641&lt;&gt;N640,ISNUMBER(SEARCH(Лист2!$B$6,N:N)),L641=2),MAX($M$3:OFFSET(M641,-1,0))+1,0)</f>
        <v>0</v>
      </c>
      <c r="N641" s="3" t="s">
        <v>891</v>
      </c>
    </row>
    <row r="642" spans="1:14" x14ac:dyDescent="0.25">
      <c r="A642" s="1" t="s">
        <v>10370</v>
      </c>
      <c r="B642" s="3" t="s">
        <v>4266</v>
      </c>
      <c r="C642" s="2">
        <f ca="1">IF(ISNUMBER(SEARCH(Лист2!$B$4,D:D)),MAX($C$3:OFFSET(C642,-1,0))+1,0)</f>
        <v>0</v>
      </c>
      <c r="E642" s="9" t="str">
        <f t="shared" ca="1" si="21"/>
        <v/>
      </c>
      <c r="F642" s="4" t="s">
        <v>4</v>
      </c>
      <c r="G642" s="2">
        <f>IF(ISNUMBER(SEARCH(Лист2!$B$4,F:F)),1,0)</f>
        <v>0</v>
      </c>
      <c r="H642" s="3">
        <f ca="1">IF(AND(I642&lt;&gt;I641,ISNUMBER(SEARCH(Лист2!$B$5,I:I)),G642=1),MAX($H$3:OFFSET(H642,-1,0))+1,0)</f>
        <v>0</v>
      </c>
      <c r="I642" s="3" t="s">
        <v>100</v>
      </c>
      <c r="K642" s="2">
        <f>IF(ISNUMBER(SEARCH(Лист2!$B$4,F:F)),1,0)</f>
        <v>0</v>
      </c>
      <c r="L642" s="14">
        <f>IF(ISNUMBER(SEARCH(Лист2!$B$5,I:I)),1,0)+K642</f>
        <v>0</v>
      </c>
      <c r="M642" s="3">
        <f ca="1">IF(AND(N642&lt;&gt;N641,ISNUMBER(SEARCH(Лист2!$B$6,N:N)),L642=2),MAX($M$3:OFFSET(M642,-1,0))+1,0)</f>
        <v>0</v>
      </c>
      <c r="N642" s="3" t="s">
        <v>891</v>
      </c>
    </row>
    <row r="643" spans="1:14" x14ac:dyDescent="0.25">
      <c r="A643" s="1" t="s">
        <v>10370</v>
      </c>
      <c r="B643" s="3" t="s">
        <v>4267</v>
      </c>
      <c r="C643" s="2">
        <f ca="1">IF(ISNUMBER(SEARCH(Лист2!$B$4,D:D)),MAX($C$3:OFFSET(C643,-1,0))+1,0)</f>
        <v>0</v>
      </c>
      <c r="E643" s="9" t="str">
        <f t="shared" ca="1" si="21"/>
        <v/>
      </c>
      <c r="F643" s="4" t="s">
        <v>4</v>
      </c>
      <c r="G643" s="2">
        <f>IF(ISNUMBER(SEARCH(Лист2!$B$4,F:F)),1,0)</f>
        <v>0</v>
      </c>
      <c r="H643" s="3">
        <f ca="1">IF(AND(I643&lt;&gt;I642,ISNUMBER(SEARCH(Лист2!$B$5,I:I)),G643=1),MAX($H$3:OFFSET(H643,-1,0))+1,0)</f>
        <v>0</v>
      </c>
      <c r="I643" s="3" t="s">
        <v>100</v>
      </c>
      <c r="K643" s="2">
        <f>IF(ISNUMBER(SEARCH(Лист2!$B$4,F:F)),1,0)</f>
        <v>0</v>
      </c>
      <c r="L643" s="14">
        <f>IF(ISNUMBER(SEARCH(Лист2!$B$5,I:I)),1,0)+K643</f>
        <v>0</v>
      </c>
      <c r="M643" s="3">
        <f ca="1">IF(AND(N643&lt;&gt;N642,ISNUMBER(SEARCH(Лист2!$B$6,N:N)),L643=2),MAX($M$3:OFFSET(M643,-1,0))+1,0)</f>
        <v>0</v>
      </c>
      <c r="N643" s="3" t="s">
        <v>891</v>
      </c>
    </row>
    <row r="644" spans="1:14" x14ac:dyDescent="0.25">
      <c r="A644" s="1" t="s">
        <v>10370</v>
      </c>
      <c r="B644" s="3" t="s">
        <v>4268</v>
      </c>
      <c r="C644" s="2">
        <f ca="1">IF(ISNUMBER(SEARCH(Лист2!$B$4,D:D)),MAX($C$3:OFFSET(C644,-1,0))+1,0)</f>
        <v>0</v>
      </c>
      <c r="E644" s="9" t="str">
        <f t="shared" ca="1" si="21"/>
        <v/>
      </c>
      <c r="F644" s="4" t="s">
        <v>4</v>
      </c>
      <c r="G644" s="2">
        <f>IF(ISNUMBER(SEARCH(Лист2!$B$4,F:F)),1,0)</f>
        <v>0</v>
      </c>
      <c r="H644" s="3">
        <f ca="1">IF(AND(I644&lt;&gt;I643,ISNUMBER(SEARCH(Лист2!$B$5,I:I)),G644=1),MAX($H$3:OFFSET(H644,-1,0))+1,0)</f>
        <v>0</v>
      </c>
      <c r="I644" s="3" t="s">
        <v>100</v>
      </c>
      <c r="K644" s="2">
        <f>IF(ISNUMBER(SEARCH(Лист2!$B$4,F:F)),1,0)</f>
        <v>0</v>
      </c>
      <c r="L644" s="14">
        <f>IF(ISNUMBER(SEARCH(Лист2!$B$5,I:I)),1,0)+K644</f>
        <v>0</v>
      </c>
      <c r="M644" s="3">
        <f ca="1">IF(AND(N644&lt;&gt;N643,ISNUMBER(SEARCH(Лист2!$B$6,N:N)),L644=2),MAX($M$3:OFFSET(M644,-1,0))+1,0)</f>
        <v>0</v>
      </c>
      <c r="N644" s="3" t="s">
        <v>891</v>
      </c>
    </row>
    <row r="645" spans="1:14" x14ac:dyDescent="0.25">
      <c r="A645" s="1" t="s">
        <v>10370</v>
      </c>
      <c r="B645" s="3" t="s">
        <v>4269</v>
      </c>
      <c r="C645" s="2">
        <f ca="1">IF(ISNUMBER(SEARCH(Лист2!$B$4,D:D)),MAX($C$3:OFFSET(C645,-1,0))+1,0)</f>
        <v>0</v>
      </c>
      <c r="E645" s="9" t="str">
        <f t="shared" ref="E645:E708" ca="1" si="22">IFERROR(INDEX(D:D,MATCH(ROW(E645)-ROW($E$3),C:C,0)),"")</f>
        <v/>
      </c>
      <c r="F645" s="4" t="s">
        <v>4</v>
      </c>
      <c r="G645" s="2">
        <f>IF(ISNUMBER(SEARCH(Лист2!$B$4,F:F)),1,0)</f>
        <v>0</v>
      </c>
      <c r="H645" s="3">
        <f ca="1">IF(AND(I645&lt;&gt;I644,ISNUMBER(SEARCH(Лист2!$B$5,I:I)),G645=1),MAX($H$3:OFFSET(H645,-1,0))+1,0)</f>
        <v>0</v>
      </c>
      <c r="I645" s="3" t="s">
        <v>100</v>
      </c>
      <c r="K645" s="2">
        <f>IF(ISNUMBER(SEARCH(Лист2!$B$4,F:F)),1,0)</f>
        <v>0</v>
      </c>
      <c r="L645" s="14">
        <f>IF(ISNUMBER(SEARCH(Лист2!$B$5,I:I)),1,0)+K645</f>
        <v>0</v>
      </c>
      <c r="M645" s="3">
        <f ca="1">IF(AND(N645&lt;&gt;N644,ISNUMBER(SEARCH(Лист2!$B$6,N:N)),L645=2),MAX($M$3:OFFSET(M645,-1,0))+1,0)</f>
        <v>0</v>
      </c>
      <c r="N645" s="3" t="s">
        <v>891</v>
      </c>
    </row>
    <row r="646" spans="1:14" x14ac:dyDescent="0.25">
      <c r="A646" s="1" t="s">
        <v>10370</v>
      </c>
      <c r="B646" s="3" t="s">
        <v>4270</v>
      </c>
      <c r="C646" s="2">
        <f ca="1">IF(ISNUMBER(SEARCH(Лист2!$B$4,D:D)),MAX($C$3:OFFSET(C646,-1,0))+1,0)</f>
        <v>0</v>
      </c>
      <c r="E646" s="9" t="str">
        <f t="shared" ca="1" si="22"/>
        <v/>
      </c>
      <c r="F646" s="4" t="s">
        <v>4</v>
      </c>
      <c r="G646" s="2">
        <f>IF(ISNUMBER(SEARCH(Лист2!$B$4,F:F)),1,0)</f>
        <v>0</v>
      </c>
      <c r="H646" s="3">
        <f ca="1">IF(AND(I646&lt;&gt;I645,ISNUMBER(SEARCH(Лист2!$B$5,I:I)),G646=1),MAX($H$3:OFFSET(H646,-1,0))+1,0)</f>
        <v>0</v>
      </c>
      <c r="I646" s="3" t="s">
        <v>100</v>
      </c>
      <c r="K646" s="2">
        <f>IF(ISNUMBER(SEARCH(Лист2!$B$4,F:F)),1,0)</f>
        <v>0</v>
      </c>
      <c r="L646" s="14">
        <f>IF(ISNUMBER(SEARCH(Лист2!$B$5,I:I)),1,0)+K646</f>
        <v>0</v>
      </c>
      <c r="M646" s="3">
        <f ca="1">IF(AND(N646&lt;&gt;N645,ISNUMBER(SEARCH(Лист2!$B$6,N:N)),L646=2),MAX($M$3:OFFSET(M646,-1,0))+1,0)</f>
        <v>0</v>
      </c>
      <c r="N646" s="3" t="s">
        <v>891</v>
      </c>
    </row>
    <row r="647" spans="1:14" x14ac:dyDescent="0.25">
      <c r="A647" s="1" t="s">
        <v>10371</v>
      </c>
      <c r="B647" s="3" t="s">
        <v>4271</v>
      </c>
      <c r="C647" s="2">
        <f ca="1">IF(ISNUMBER(SEARCH(Лист2!$B$4,D:D)),MAX($C$3:OFFSET(C647,-1,0))+1,0)</f>
        <v>0</v>
      </c>
      <c r="E647" s="9" t="str">
        <f t="shared" ca="1" si="22"/>
        <v/>
      </c>
      <c r="F647" s="4" t="s">
        <v>4</v>
      </c>
      <c r="G647" s="2">
        <f>IF(ISNUMBER(SEARCH(Лист2!$B$4,F:F)),1,0)</f>
        <v>0</v>
      </c>
      <c r="H647" s="3">
        <f ca="1">IF(AND(I647&lt;&gt;I646,ISNUMBER(SEARCH(Лист2!$B$5,I:I)),G647=1),MAX($H$3:OFFSET(H647,-1,0))+1,0)</f>
        <v>0</v>
      </c>
      <c r="I647" s="3" t="s">
        <v>100</v>
      </c>
      <c r="K647" s="2">
        <f>IF(ISNUMBER(SEARCH(Лист2!$B$4,F:F)),1,0)</f>
        <v>0</v>
      </c>
      <c r="L647" s="14">
        <f>IF(ISNUMBER(SEARCH(Лист2!$B$5,I:I)),1,0)+K647</f>
        <v>0</v>
      </c>
      <c r="M647" s="3">
        <f ca="1">IF(AND(N647&lt;&gt;N646,ISNUMBER(SEARCH(Лист2!$B$6,N:N)),L647=2),MAX($M$3:OFFSET(M647,-1,0))+1,0)</f>
        <v>0</v>
      </c>
      <c r="N647" s="3" t="s">
        <v>892</v>
      </c>
    </row>
    <row r="648" spans="1:14" x14ac:dyDescent="0.25">
      <c r="A648" s="1" t="s">
        <v>10371</v>
      </c>
      <c r="B648" s="3" t="s">
        <v>4272</v>
      </c>
      <c r="C648" s="2">
        <f ca="1">IF(ISNUMBER(SEARCH(Лист2!$B$4,D:D)),MAX($C$3:OFFSET(C648,-1,0))+1,0)</f>
        <v>0</v>
      </c>
      <c r="E648" s="9" t="str">
        <f t="shared" ca="1" si="22"/>
        <v/>
      </c>
      <c r="F648" s="4" t="s">
        <v>4</v>
      </c>
      <c r="G648" s="2">
        <f>IF(ISNUMBER(SEARCH(Лист2!$B$4,F:F)),1,0)</f>
        <v>0</v>
      </c>
      <c r="H648" s="3">
        <f ca="1">IF(AND(I648&lt;&gt;I647,ISNUMBER(SEARCH(Лист2!$B$5,I:I)),G648=1),MAX($H$3:OFFSET(H648,-1,0))+1,0)</f>
        <v>0</v>
      </c>
      <c r="I648" s="3" t="s">
        <v>100</v>
      </c>
      <c r="K648" s="2">
        <f>IF(ISNUMBER(SEARCH(Лист2!$B$4,F:F)),1,0)</f>
        <v>0</v>
      </c>
      <c r="L648" s="14">
        <f>IF(ISNUMBER(SEARCH(Лист2!$B$5,I:I)),1,0)+K648</f>
        <v>0</v>
      </c>
      <c r="M648" s="3">
        <f ca="1">IF(AND(N648&lt;&gt;N647,ISNUMBER(SEARCH(Лист2!$B$6,N:N)),L648=2),MAX($M$3:OFFSET(M648,-1,0))+1,0)</f>
        <v>0</v>
      </c>
      <c r="N648" s="3" t="s">
        <v>892</v>
      </c>
    </row>
    <row r="649" spans="1:14" x14ac:dyDescent="0.25">
      <c r="A649" s="1" t="s">
        <v>10371</v>
      </c>
      <c r="B649" s="3" t="s">
        <v>4273</v>
      </c>
      <c r="C649" s="2">
        <f ca="1">IF(ISNUMBER(SEARCH(Лист2!$B$4,D:D)),MAX($C$3:OFFSET(C649,-1,0))+1,0)</f>
        <v>0</v>
      </c>
      <c r="E649" s="9" t="str">
        <f t="shared" ca="1" si="22"/>
        <v/>
      </c>
      <c r="F649" s="4" t="s">
        <v>4</v>
      </c>
      <c r="G649" s="2">
        <f>IF(ISNUMBER(SEARCH(Лист2!$B$4,F:F)),1,0)</f>
        <v>0</v>
      </c>
      <c r="H649" s="3">
        <f ca="1">IF(AND(I649&lt;&gt;I648,ISNUMBER(SEARCH(Лист2!$B$5,I:I)),G649=1),MAX($H$3:OFFSET(H649,-1,0))+1,0)</f>
        <v>0</v>
      </c>
      <c r="I649" s="3" t="s">
        <v>100</v>
      </c>
      <c r="K649" s="2">
        <f>IF(ISNUMBER(SEARCH(Лист2!$B$4,F:F)),1,0)</f>
        <v>0</v>
      </c>
      <c r="L649" s="14">
        <f>IF(ISNUMBER(SEARCH(Лист2!$B$5,I:I)),1,0)+K649</f>
        <v>0</v>
      </c>
      <c r="M649" s="3">
        <f ca="1">IF(AND(N649&lt;&gt;N648,ISNUMBER(SEARCH(Лист2!$B$6,N:N)),L649=2),MAX($M$3:OFFSET(M649,-1,0))+1,0)</f>
        <v>0</v>
      </c>
      <c r="N649" s="3" t="s">
        <v>892</v>
      </c>
    </row>
    <row r="650" spans="1:14" x14ac:dyDescent="0.25">
      <c r="A650" s="1" t="s">
        <v>10372</v>
      </c>
      <c r="B650" s="3" t="s">
        <v>4274</v>
      </c>
      <c r="C650" s="2">
        <f ca="1">IF(ISNUMBER(SEARCH(Лист2!$B$4,D:D)),MAX($C$3:OFFSET(C650,-1,0))+1,0)</f>
        <v>0</v>
      </c>
      <c r="E650" s="9" t="str">
        <f t="shared" ca="1" si="22"/>
        <v/>
      </c>
      <c r="F650" s="4" t="s">
        <v>4</v>
      </c>
      <c r="G650" s="2">
        <f>IF(ISNUMBER(SEARCH(Лист2!$B$4,F:F)),1,0)</f>
        <v>0</v>
      </c>
      <c r="H650" s="3">
        <f ca="1">IF(AND(I650&lt;&gt;I649,ISNUMBER(SEARCH(Лист2!$B$5,I:I)),G650=1),MAX($H$3:OFFSET(H650,-1,0))+1,0)</f>
        <v>0</v>
      </c>
      <c r="I650" s="3" t="s">
        <v>101</v>
      </c>
      <c r="K650" s="2">
        <f>IF(ISNUMBER(SEARCH(Лист2!$B$4,F:F)),1,0)</f>
        <v>0</v>
      </c>
      <c r="L650" s="14">
        <f>IF(ISNUMBER(SEARCH(Лист2!$B$5,I:I)),1,0)+K650</f>
        <v>0</v>
      </c>
      <c r="M650" s="3">
        <f ca="1">IF(AND(N650&lt;&gt;N649,ISNUMBER(SEARCH(Лист2!$B$6,N:N)),L650=2),MAX($M$3:OFFSET(M650,-1,0))+1,0)</f>
        <v>0</v>
      </c>
      <c r="N650" s="3" t="s">
        <v>893</v>
      </c>
    </row>
    <row r="651" spans="1:14" x14ac:dyDescent="0.25">
      <c r="A651" s="1" t="s">
        <v>10373</v>
      </c>
      <c r="B651" s="3" t="s">
        <v>4275</v>
      </c>
      <c r="C651" s="2">
        <f ca="1">IF(ISNUMBER(SEARCH(Лист2!$B$4,D:D)),MAX($C$3:OFFSET(C651,-1,0))+1,0)</f>
        <v>0</v>
      </c>
      <c r="E651" s="9" t="str">
        <f t="shared" ca="1" si="22"/>
        <v/>
      </c>
      <c r="F651" s="4" t="s">
        <v>4</v>
      </c>
      <c r="G651" s="2">
        <f>IF(ISNUMBER(SEARCH(Лист2!$B$4,F:F)),1,0)</f>
        <v>0</v>
      </c>
      <c r="H651" s="3">
        <f ca="1">IF(AND(I651&lt;&gt;I650,ISNUMBER(SEARCH(Лист2!$B$5,I:I)),G651=1),MAX($H$3:OFFSET(H651,-1,0))+1,0)</f>
        <v>0</v>
      </c>
      <c r="I651" s="3" t="s">
        <v>101</v>
      </c>
      <c r="K651" s="2">
        <f>IF(ISNUMBER(SEARCH(Лист2!$B$4,F:F)),1,0)</f>
        <v>0</v>
      </c>
      <c r="L651" s="14">
        <f>IF(ISNUMBER(SEARCH(Лист2!$B$5,I:I)),1,0)+K651</f>
        <v>0</v>
      </c>
      <c r="M651" s="3">
        <f ca="1">IF(AND(N651&lt;&gt;N650,ISNUMBER(SEARCH(Лист2!$B$6,N:N)),L651=2),MAX($M$3:OFFSET(M651,-1,0))+1,0)</f>
        <v>0</v>
      </c>
      <c r="N651" s="3" t="s">
        <v>894</v>
      </c>
    </row>
    <row r="652" spans="1:14" x14ac:dyDescent="0.25">
      <c r="A652" s="1" t="s">
        <v>10373</v>
      </c>
      <c r="B652" s="3" t="s">
        <v>4276</v>
      </c>
      <c r="C652" s="2">
        <f ca="1">IF(ISNUMBER(SEARCH(Лист2!$B$4,D:D)),MAX($C$3:OFFSET(C652,-1,0))+1,0)</f>
        <v>0</v>
      </c>
      <c r="E652" s="9" t="str">
        <f t="shared" ca="1" si="22"/>
        <v/>
      </c>
      <c r="F652" s="4" t="s">
        <v>4</v>
      </c>
      <c r="G652" s="2">
        <f>IF(ISNUMBER(SEARCH(Лист2!$B$4,F:F)),1,0)</f>
        <v>0</v>
      </c>
      <c r="H652" s="3">
        <f ca="1">IF(AND(I652&lt;&gt;I651,ISNUMBER(SEARCH(Лист2!$B$5,I:I)),G652=1),MAX($H$3:OFFSET(H652,-1,0))+1,0)</f>
        <v>0</v>
      </c>
      <c r="I652" s="3" t="s">
        <v>101</v>
      </c>
      <c r="K652" s="2">
        <f>IF(ISNUMBER(SEARCH(Лист2!$B$4,F:F)),1,0)</f>
        <v>0</v>
      </c>
      <c r="L652" s="14">
        <f>IF(ISNUMBER(SEARCH(Лист2!$B$5,I:I)),1,0)+K652</f>
        <v>0</v>
      </c>
      <c r="M652" s="3">
        <f ca="1">IF(AND(N652&lt;&gt;N651,ISNUMBER(SEARCH(Лист2!$B$6,N:N)),L652=2),MAX($M$3:OFFSET(M652,-1,0))+1,0)</f>
        <v>0</v>
      </c>
      <c r="N652" s="3" t="s">
        <v>894</v>
      </c>
    </row>
    <row r="653" spans="1:14" x14ac:dyDescent="0.25">
      <c r="A653" s="1" t="s">
        <v>10374</v>
      </c>
      <c r="B653" s="3" t="s">
        <v>4277</v>
      </c>
      <c r="C653" s="2">
        <f ca="1">IF(ISNUMBER(SEARCH(Лист2!$B$4,D:D)),MAX($C$3:OFFSET(C653,-1,0))+1,0)</f>
        <v>0</v>
      </c>
      <c r="E653" s="9" t="str">
        <f t="shared" ca="1" si="22"/>
        <v/>
      </c>
      <c r="F653" s="4" t="s">
        <v>4</v>
      </c>
      <c r="G653" s="2">
        <f>IF(ISNUMBER(SEARCH(Лист2!$B$4,F:F)),1,0)</f>
        <v>0</v>
      </c>
      <c r="H653" s="3">
        <f ca="1">IF(AND(I653&lt;&gt;I652,ISNUMBER(SEARCH(Лист2!$B$5,I:I)),G653=1),MAX($H$3:OFFSET(H653,-1,0))+1,0)</f>
        <v>0</v>
      </c>
      <c r="I653" s="3" t="s">
        <v>101</v>
      </c>
      <c r="K653" s="2">
        <f>IF(ISNUMBER(SEARCH(Лист2!$B$4,F:F)),1,0)</f>
        <v>0</v>
      </c>
      <c r="L653" s="14">
        <f>IF(ISNUMBER(SEARCH(Лист2!$B$5,I:I)),1,0)+K653</f>
        <v>0</v>
      </c>
      <c r="M653" s="3">
        <f ca="1">IF(AND(N653&lt;&gt;N652,ISNUMBER(SEARCH(Лист2!$B$6,N:N)),L653=2),MAX($M$3:OFFSET(M653,-1,0))+1,0)</f>
        <v>0</v>
      </c>
      <c r="N653" s="3" t="s">
        <v>895</v>
      </c>
    </row>
    <row r="654" spans="1:14" x14ac:dyDescent="0.25">
      <c r="A654" s="1" t="s">
        <v>10375</v>
      </c>
      <c r="B654" s="3" t="s">
        <v>4278</v>
      </c>
      <c r="C654" s="2">
        <f ca="1">IF(ISNUMBER(SEARCH(Лист2!$B$4,D:D)),MAX($C$3:OFFSET(C654,-1,0))+1,0)</f>
        <v>0</v>
      </c>
      <c r="E654" s="9" t="str">
        <f t="shared" ca="1" si="22"/>
        <v/>
      </c>
      <c r="F654" s="4" t="s">
        <v>4</v>
      </c>
      <c r="G654" s="2">
        <f>IF(ISNUMBER(SEARCH(Лист2!$B$4,F:F)),1,0)</f>
        <v>0</v>
      </c>
      <c r="H654" s="3">
        <f ca="1">IF(AND(I654&lt;&gt;I653,ISNUMBER(SEARCH(Лист2!$B$5,I:I)),G654=1),MAX($H$3:OFFSET(H654,-1,0))+1,0)</f>
        <v>0</v>
      </c>
      <c r="I654" s="3" t="s">
        <v>102</v>
      </c>
      <c r="K654" s="2">
        <f>IF(ISNUMBER(SEARCH(Лист2!$B$4,F:F)),1,0)</f>
        <v>0</v>
      </c>
      <c r="L654" s="14">
        <f>IF(ISNUMBER(SEARCH(Лист2!$B$5,I:I)),1,0)+K654</f>
        <v>0</v>
      </c>
      <c r="M654" s="3">
        <f ca="1">IF(AND(N654&lt;&gt;N653,ISNUMBER(SEARCH(Лист2!$B$6,N:N)),L654=2),MAX($M$3:OFFSET(M654,-1,0))+1,0)</f>
        <v>0</v>
      </c>
      <c r="N654" s="3" t="s">
        <v>896</v>
      </c>
    </row>
    <row r="655" spans="1:14" x14ac:dyDescent="0.25">
      <c r="A655" s="1" t="s">
        <v>10376</v>
      </c>
      <c r="B655" s="3" t="s">
        <v>4279</v>
      </c>
      <c r="C655" s="2">
        <f ca="1">IF(ISNUMBER(SEARCH(Лист2!$B$4,D:D)),MAX($C$3:OFFSET(C655,-1,0))+1,0)</f>
        <v>0</v>
      </c>
      <c r="E655" s="9" t="str">
        <f t="shared" ca="1" si="22"/>
        <v/>
      </c>
      <c r="F655" s="4" t="s">
        <v>4</v>
      </c>
      <c r="G655" s="2">
        <f>IF(ISNUMBER(SEARCH(Лист2!$B$4,F:F)),1,0)</f>
        <v>0</v>
      </c>
      <c r="H655" s="3">
        <f ca="1">IF(AND(I655&lt;&gt;I654,ISNUMBER(SEARCH(Лист2!$B$5,I:I)),G655=1),MAX($H$3:OFFSET(H655,-1,0))+1,0)</f>
        <v>0</v>
      </c>
      <c r="I655" s="3" t="s">
        <v>102</v>
      </c>
      <c r="K655" s="2">
        <f>IF(ISNUMBER(SEARCH(Лист2!$B$4,F:F)),1,0)</f>
        <v>0</v>
      </c>
      <c r="L655" s="14">
        <f>IF(ISNUMBER(SEARCH(Лист2!$B$5,I:I)),1,0)+K655</f>
        <v>0</v>
      </c>
      <c r="M655" s="3">
        <f ca="1">IF(AND(N655&lt;&gt;N654,ISNUMBER(SEARCH(Лист2!$B$6,N:N)),L655=2),MAX($M$3:OFFSET(M655,-1,0))+1,0)</f>
        <v>0</v>
      </c>
      <c r="N655" s="3" t="s">
        <v>897</v>
      </c>
    </row>
    <row r="656" spans="1:14" x14ac:dyDescent="0.25">
      <c r="A656" s="1" t="s">
        <v>10376</v>
      </c>
      <c r="B656" s="3" t="s">
        <v>4280</v>
      </c>
      <c r="C656" s="2">
        <f ca="1">IF(ISNUMBER(SEARCH(Лист2!$B$4,D:D)),MAX($C$3:OFFSET(C656,-1,0))+1,0)</f>
        <v>0</v>
      </c>
      <c r="E656" s="9" t="str">
        <f t="shared" ca="1" si="22"/>
        <v/>
      </c>
      <c r="F656" s="4" t="s">
        <v>4</v>
      </c>
      <c r="G656" s="2">
        <f>IF(ISNUMBER(SEARCH(Лист2!$B$4,F:F)),1,0)</f>
        <v>0</v>
      </c>
      <c r="H656" s="3">
        <f ca="1">IF(AND(I656&lt;&gt;I655,ISNUMBER(SEARCH(Лист2!$B$5,I:I)),G656=1),MAX($H$3:OFFSET(H656,-1,0))+1,0)</f>
        <v>0</v>
      </c>
      <c r="I656" s="3" t="s">
        <v>102</v>
      </c>
      <c r="K656" s="2">
        <f>IF(ISNUMBER(SEARCH(Лист2!$B$4,F:F)),1,0)</f>
        <v>0</v>
      </c>
      <c r="L656" s="14">
        <f>IF(ISNUMBER(SEARCH(Лист2!$B$5,I:I)),1,0)+K656</f>
        <v>0</v>
      </c>
      <c r="M656" s="3">
        <f ca="1">IF(AND(N656&lt;&gt;N655,ISNUMBER(SEARCH(Лист2!$B$6,N:N)),L656=2),MAX($M$3:OFFSET(M656,-1,0))+1,0)</f>
        <v>0</v>
      </c>
      <c r="N656" s="3" t="s">
        <v>897</v>
      </c>
    </row>
    <row r="657" spans="1:14" x14ac:dyDescent="0.25">
      <c r="A657" s="1" t="s">
        <v>10376</v>
      </c>
      <c r="B657" s="3" t="s">
        <v>4281</v>
      </c>
      <c r="C657" s="2">
        <f ca="1">IF(ISNUMBER(SEARCH(Лист2!$B$4,D:D)),MAX($C$3:OFFSET(C657,-1,0))+1,0)</f>
        <v>0</v>
      </c>
      <c r="E657" s="9" t="str">
        <f t="shared" ca="1" si="22"/>
        <v/>
      </c>
      <c r="F657" s="4" t="s">
        <v>4</v>
      </c>
      <c r="G657" s="2">
        <f>IF(ISNUMBER(SEARCH(Лист2!$B$4,F:F)),1,0)</f>
        <v>0</v>
      </c>
      <c r="H657" s="3">
        <f ca="1">IF(AND(I657&lt;&gt;I656,ISNUMBER(SEARCH(Лист2!$B$5,I:I)),G657=1),MAX($H$3:OFFSET(H657,-1,0))+1,0)</f>
        <v>0</v>
      </c>
      <c r="I657" s="3" t="s">
        <v>102</v>
      </c>
      <c r="K657" s="2">
        <f>IF(ISNUMBER(SEARCH(Лист2!$B$4,F:F)),1,0)</f>
        <v>0</v>
      </c>
      <c r="L657" s="14">
        <f>IF(ISNUMBER(SEARCH(Лист2!$B$5,I:I)),1,0)+K657</f>
        <v>0</v>
      </c>
      <c r="M657" s="3">
        <f ca="1">IF(AND(N657&lt;&gt;N656,ISNUMBER(SEARCH(Лист2!$B$6,N:N)),L657=2),MAX($M$3:OFFSET(M657,-1,0))+1,0)</f>
        <v>0</v>
      </c>
      <c r="N657" s="3" t="s">
        <v>897</v>
      </c>
    </row>
    <row r="658" spans="1:14" x14ac:dyDescent="0.25">
      <c r="A658" s="1" t="s">
        <v>10377</v>
      </c>
      <c r="B658" s="3" t="s">
        <v>4282</v>
      </c>
      <c r="C658" s="2">
        <f ca="1">IF(ISNUMBER(SEARCH(Лист2!$B$4,D:D)),MAX($C$3:OFFSET(C658,-1,0))+1,0)</f>
        <v>0</v>
      </c>
      <c r="E658" s="9" t="str">
        <f t="shared" ca="1" si="22"/>
        <v/>
      </c>
      <c r="F658" s="4" t="s">
        <v>4</v>
      </c>
      <c r="G658" s="2">
        <f>IF(ISNUMBER(SEARCH(Лист2!$B$4,F:F)),1,0)</f>
        <v>0</v>
      </c>
      <c r="H658" s="3">
        <f ca="1">IF(AND(I658&lt;&gt;I657,ISNUMBER(SEARCH(Лист2!$B$5,I:I)),G658=1),MAX($H$3:OFFSET(H658,-1,0))+1,0)</f>
        <v>0</v>
      </c>
      <c r="I658" s="3" t="s">
        <v>102</v>
      </c>
      <c r="K658" s="2">
        <f>IF(ISNUMBER(SEARCH(Лист2!$B$4,F:F)),1,0)</f>
        <v>0</v>
      </c>
      <c r="L658" s="14">
        <f>IF(ISNUMBER(SEARCH(Лист2!$B$5,I:I)),1,0)+K658</f>
        <v>0</v>
      </c>
      <c r="M658" s="3">
        <f ca="1">IF(AND(N658&lt;&gt;N657,ISNUMBER(SEARCH(Лист2!$B$6,N:N)),L658=2),MAX($M$3:OFFSET(M658,-1,0))+1,0)</f>
        <v>0</v>
      </c>
      <c r="N658" s="3" t="s">
        <v>898</v>
      </c>
    </row>
    <row r="659" spans="1:14" x14ac:dyDescent="0.25">
      <c r="A659" s="1" t="s">
        <v>10377</v>
      </c>
      <c r="B659" s="3" t="s">
        <v>4283</v>
      </c>
      <c r="C659" s="2">
        <f ca="1">IF(ISNUMBER(SEARCH(Лист2!$B$4,D:D)),MAX($C$3:OFFSET(C659,-1,0))+1,0)</f>
        <v>0</v>
      </c>
      <c r="E659" s="9" t="str">
        <f t="shared" ca="1" si="22"/>
        <v/>
      </c>
      <c r="F659" s="4" t="s">
        <v>4</v>
      </c>
      <c r="G659" s="2">
        <f>IF(ISNUMBER(SEARCH(Лист2!$B$4,F:F)),1,0)</f>
        <v>0</v>
      </c>
      <c r="H659" s="3">
        <f ca="1">IF(AND(I659&lt;&gt;I658,ISNUMBER(SEARCH(Лист2!$B$5,I:I)),G659=1),MAX($H$3:OFFSET(H659,-1,0))+1,0)</f>
        <v>0</v>
      </c>
      <c r="I659" s="3" t="s">
        <v>102</v>
      </c>
      <c r="K659" s="2">
        <f>IF(ISNUMBER(SEARCH(Лист2!$B$4,F:F)),1,0)</f>
        <v>0</v>
      </c>
      <c r="L659" s="14">
        <f>IF(ISNUMBER(SEARCH(Лист2!$B$5,I:I)),1,0)+K659</f>
        <v>0</v>
      </c>
      <c r="M659" s="3">
        <f ca="1">IF(AND(N659&lt;&gt;N658,ISNUMBER(SEARCH(Лист2!$B$6,N:N)),L659=2),MAX($M$3:OFFSET(M659,-1,0))+1,0)</f>
        <v>0</v>
      </c>
      <c r="N659" s="3" t="s">
        <v>898</v>
      </c>
    </row>
    <row r="660" spans="1:14" x14ac:dyDescent="0.25">
      <c r="A660" s="1" t="s">
        <v>10378</v>
      </c>
      <c r="B660" s="3" t="s">
        <v>4284</v>
      </c>
      <c r="C660" s="2">
        <f ca="1">IF(ISNUMBER(SEARCH(Лист2!$B$4,D:D)),MAX($C$3:OFFSET(C660,-1,0))+1,0)</f>
        <v>0</v>
      </c>
      <c r="E660" s="9" t="str">
        <f t="shared" ca="1" si="22"/>
        <v/>
      </c>
      <c r="F660" s="4" t="s">
        <v>4</v>
      </c>
      <c r="G660" s="2">
        <f>IF(ISNUMBER(SEARCH(Лист2!$B$4,F:F)),1,0)</f>
        <v>0</v>
      </c>
      <c r="H660" s="3">
        <f ca="1">IF(AND(I660&lt;&gt;I659,ISNUMBER(SEARCH(Лист2!$B$5,I:I)),G660=1),MAX($H$3:OFFSET(H660,-1,0))+1,0)</f>
        <v>0</v>
      </c>
      <c r="I660" s="3" t="s">
        <v>103</v>
      </c>
      <c r="K660" s="2">
        <f>IF(ISNUMBER(SEARCH(Лист2!$B$4,F:F)),1,0)</f>
        <v>0</v>
      </c>
      <c r="L660" s="14">
        <f>IF(ISNUMBER(SEARCH(Лист2!$B$5,I:I)),1,0)+K660</f>
        <v>0</v>
      </c>
      <c r="M660" s="3">
        <f ca="1">IF(AND(N660&lt;&gt;N659,ISNUMBER(SEARCH(Лист2!$B$6,N:N)),L660=2),MAX($M$3:OFFSET(M660,-1,0))+1,0)</f>
        <v>0</v>
      </c>
      <c r="N660" s="3" t="s">
        <v>899</v>
      </c>
    </row>
    <row r="661" spans="1:14" x14ac:dyDescent="0.25">
      <c r="A661" s="1" t="s">
        <v>10379</v>
      </c>
      <c r="B661" s="3" t="s">
        <v>4285</v>
      </c>
      <c r="C661" s="2">
        <f ca="1">IF(ISNUMBER(SEARCH(Лист2!$B$4,D:D)),MAX($C$3:OFFSET(C661,-1,0))+1,0)</f>
        <v>0</v>
      </c>
      <c r="E661" s="9" t="str">
        <f t="shared" ca="1" si="22"/>
        <v/>
      </c>
      <c r="F661" s="4" t="s">
        <v>4</v>
      </c>
      <c r="G661" s="2">
        <f>IF(ISNUMBER(SEARCH(Лист2!$B$4,F:F)),1,0)</f>
        <v>0</v>
      </c>
      <c r="H661" s="3">
        <f ca="1">IF(AND(I661&lt;&gt;I660,ISNUMBER(SEARCH(Лист2!$B$5,I:I)),G661=1),MAX($H$3:OFFSET(H661,-1,0))+1,0)</f>
        <v>0</v>
      </c>
      <c r="I661" s="3" t="s">
        <v>103</v>
      </c>
      <c r="K661" s="2">
        <f>IF(ISNUMBER(SEARCH(Лист2!$B$4,F:F)),1,0)</f>
        <v>0</v>
      </c>
      <c r="L661" s="14">
        <f>IF(ISNUMBER(SEARCH(Лист2!$B$5,I:I)),1,0)+K661</f>
        <v>0</v>
      </c>
      <c r="M661" s="3">
        <f ca="1">IF(AND(N661&lt;&gt;N660,ISNUMBER(SEARCH(Лист2!$B$6,N:N)),L661=2),MAX($M$3:OFFSET(M661,-1,0))+1,0)</f>
        <v>0</v>
      </c>
      <c r="N661" s="3" t="s">
        <v>900</v>
      </c>
    </row>
    <row r="662" spans="1:14" x14ac:dyDescent="0.25">
      <c r="A662" s="1" t="s">
        <v>10379</v>
      </c>
      <c r="B662" s="3" t="s">
        <v>4286</v>
      </c>
      <c r="C662" s="2">
        <f ca="1">IF(ISNUMBER(SEARCH(Лист2!$B$4,D:D)),MAX($C$3:OFFSET(C662,-1,0))+1,0)</f>
        <v>0</v>
      </c>
      <c r="E662" s="9" t="str">
        <f t="shared" ca="1" si="22"/>
        <v/>
      </c>
      <c r="F662" s="4" t="s">
        <v>4</v>
      </c>
      <c r="G662" s="2">
        <f>IF(ISNUMBER(SEARCH(Лист2!$B$4,F:F)),1,0)</f>
        <v>0</v>
      </c>
      <c r="H662" s="3">
        <f ca="1">IF(AND(I662&lt;&gt;I661,ISNUMBER(SEARCH(Лист2!$B$5,I:I)),G662=1),MAX($H$3:OFFSET(H662,-1,0))+1,0)</f>
        <v>0</v>
      </c>
      <c r="I662" s="3" t="s">
        <v>103</v>
      </c>
      <c r="K662" s="2">
        <f>IF(ISNUMBER(SEARCH(Лист2!$B$4,F:F)),1,0)</f>
        <v>0</v>
      </c>
      <c r="L662" s="14">
        <f>IF(ISNUMBER(SEARCH(Лист2!$B$5,I:I)),1,0)+K662</f>
        <v>0</v>
      </c>
      <c r="M662" s="3">
        <f ca="1">IF(AND(N662&lt;&gt;N661,ISNUMBER(SEARCH(Лист2!$B$6,N:N)),L662=2),MAX($M$3:OFFSET(M662,-1,0))+1,0)</f>
        <v>0</v>
      </c>
      <c r="N662" s="3" t="s">
        <v>900</v>
      </c>
    </row>
    <row r="663" spans="1:14" x14ac:dyDescent="0.25">
      <c r="A663" s="1" t="s">
        <v>10380</v>
      </c>
      <c r="B663" s="3" t="s">
        <v>4287</v>
      </c>
      <c r="C663" s="2">
        <f ca="1">IF(ISNUMBER(SEARCH(Лист2!$B$4,D:D)),MAX($C$3:OFFSET(C663,-1,0))+1,0)</f>
        <v>0</v>
      </c>
      <c r="E663" s="9" t="str">
        <f t="shared" ca="1" si="22"/>
        <v/>
      </c>
      <c r="F663" s="4" t="s">
        <v>4</v>
      </c>
      <c r="G663" s="2">
        <f>IF(ISNUMBER(SEARCH(Лист2!$B$4,F:F)),1,0)</f>
        <v>0</v>
      </c>
      <c r="H663" s="3">
        <f ca="1">IF(AND(I663&lt;&gt;I662,ISNUMBER(SEARCH(Лист2!$B$5,I:I)),G663=1),MAX($H$3:OFFSET(H663,-1,0))+1,0)</f>
        <v>0</v>
      </c>
      <c r="I663" s="3" t="s">
        <v>103</v>
      </c>
      <c r="K663" s="2">
        <f>IF(ISNUMBER(SEARCH(Лист2!$B$4,F:F)),1,0)</f>
        <v>0</v>
      </c>
      <c r="L663" s="14">
        <f>IF(ISNUMBER(SEARCH(Лист2!$B$5,I:I)),1,0)+K663</f>
        <v>0</v>
      </c>
      <c r="M663" s="3">
        <f ca="1">IF(AND(N663&lt;&gt;N662,ISNUMBER(SEARCH(Лист2!$B$6,N:N)),L663=2),MAX($M$3:OFFSET(M663,-1,0))+1,0)</f>
        <v>0</v>
      </c>
      <c r="N663" s="3" t="s">
        <v>901</v>
      </c>
    </row>
    <row r="664" spans="1:14" x14ac:dyDescent="0.25">
      <c r="A664" s="1" t="s">
        <v>10381</v>
      </c>
      <c r="B664" s="3" t="s">
        <v>4288</v>
      </c>
      <c r="C664" s="2">
        <f ca="1">IF(ISNUMBER(SEARCH(Лист2!$B$4,D:D)),MAX($C$3:OFFSET(C664,-1,0))+1,0)</f>
        <v>0</v>
      </c>
      <c r="E664" s="9" t="str">
        <f t="shared" ca="1" si="22"/>
        <v/>
      </c>
      <c r="F664" s="4" t="s">
        <v>4</v>
      </c>
      <c r="G664" s="2">
        <f>IF(ISNUMBER(SEARCH(Лист2!$B$4,F:F)),1,0)</f>
        <v>0</v>
      </c>
      <c r="H664" s="3">
        <f ca="1">IF(AND(I664&lt;&gt;I663,ISNUMBER(SEARCH(Лист2!$B$5,I:I)),G664=1),MAX($H$3:OFFSET(H664,-1,0))+1,0)</f>
        <v>0</v>
      </c>
      <c r="I664" s="3" t="s">
        <v>104</v>
      </c>
      <c r="K664" s="2">
        <f>IF(ISNUMBER(SEARCH(Лист2!$B$4,F:F)),1,0)</f>
        <v>0</v>
      </c>
      <c r="L664" s="14">
        <f>IF(ISNUMBER(SEARCH(Лист2!$B$5,I:I)),1,0)+K664</f>
        <v>0</v>
      </c>
      <c r="M664" s="3">
        <f ca="1">IF(AND(N664&lt;&gt;N663,ISNUMBER(SEARCH(Лист2!$B$6,N:N)),L664=2),MAX($M$3:OFFSET(M664,-1,0))+1,0)</f>
        <v>0</v>
      </c>
      <c r="N664" s="3" t="s">
        <v>902</v>
      </c>
    </row>
    <row r="665" spans="1:14" x14ac:dyDescent="0.25">
      <c r="A665" s="1" t="s">
        <v>10381</v>
      </c>
      <c r="B665" s="3" t="s">
        <v>4289</v>
      </c>
      <c r="C665" s="2">
        <f ca="1">IF(ISNUMBER(SEARCH(Лист2!$B$4,D:D)),MAX($C$3:OFFSET(C665,-1,0))+1,0)</f>
        <v>0</v>
      </c>
      <c r="E665" s="9" t="str">
        <f t="shared" ca="1" si="22"/>
        <v/>
      </c>
      <c r="F665" s="4" t="s">
        <v>4</v>
      </c>
      <c r="G665" s="2">
        <f>IF(ISNUMBER(SEARCH(Лист2!$B$4,F:F)),1,0)</f>
        <v>0</v>
      </c>
      <c r="H665" s="3">
        <f ca="1">IF(AND(I665&lt;&gt;I664,ISNUMBER(SEARCH(Лист2!$B$5,I:I)),G665=1),MAX($H$3:OFFSET(H665,-1,0))+1,0)</f>
        <v>0</v>
      </c>
      <c r="I665" s="3" t="s">
        <v>104</v>
      </c>
      <c r="K665" s="2">
        <f>IF(ISNUMBER(SEARCH(Лист2!$B$4,F:F)),1,0)</f>
        <v>0</v>
      </c>
      <c r="L665" s="14">
        <f>IF(ISNUMBER(SEARCH(Лист2!$B$5,I:I)),1,0)+K665</f>
        <v>0</v>
      </c>
      <c r="M665" s="3">
        <f ca="1">IF(AND(N665&lt;&gt;N664,ISNUMBER(SEARCH(Лист2!$B$6,N:N)),L665=2),MAX($M$3:OFFSET(M665,-1,0))+1,0)</f>
        <v>0</v>
      </c>
      <c r="N665" s="3" t="s">
        <v>902</v>
      </c>
    </row>
    <row r="666" spans="1:14" x14ac:dyDescent="0.25">
      <c r="A666" s="1" t="s">
        <v>10382</v>
      </c>
      <c r="B666" s="3" t="s">
        <v>4290</v>
      </c>
      <c r="C666" s="2">
        <f ca="1">IF(ISNUMBER(SEARCH(Лист2!$B$4,D:D)),MAX($C$3:OFFSET(C666,-1,0))+1,0)</f>
        <v>0</v>
      </c>
      <c r="E666" s="9" t="str">
        <f t="shared" ca="1" si="22"/>
        <v/>
      </c>
      <c r="F666" s="4" t="s">
        <v>4</v>
      </c>
      <c r="G666" s="2">
        <f>IF(ISNUMBER(SEARCH(Лист2!$B$4,F:F)),1,0)</f>
        <v>0</v>
      </c>
      <c r="H666" s="3">
        <f ca="1">IF(AND(I666&lt;&gt;I665,ISNUMBER(SEARCH(Лист2!$B$5,I:I)),G666=1),MAX($H$3:OFFSET(H666,-1,0))+1,0)</f>
        <v>0</v>
      </c>
      <c r="I666" s="3" t="s">
        <v>104</v>
      </c>
      <c r="K666" s="2">
        <f>IF(ISNUMBER(SEARCH(Лист2!$B$4,F:F)),1,0)</f>
        <v>0</v>
      </c>
      <c r="L666" s="14">
        <f>IF(ISNUMBER(SEARCH(Лист2!$B$5,I:I)),1,0)+K666</f>
        <v>0</v>
      </c>
      <c r="M666" s="3">
        <f ca="1">IF(AND(N666&lt;&gt;N665,ISNUMBER(SEARCH(Лист2!$B$6,N:N)),L666=2),MAX($M$3:OFFSET(M666,-1,0))+1,0)</f>
        <v>0</v>
      </c>
      <c r="N666" s="3" t="s">
        <v>903</v>
      </c>
    </row>
    <row r="667" spans="1:14" x14ac:dyDescent="0.25">
      <c r="A667" s="1" t="s">
        <v>10382</v>
      </c>
      <c r="B667" s="3" t="s">
        <v>4291</v>
      </c>
      <c r="C667" s="2">
        <f ca="1">IF(ISNUMBER(SEARCH(Лист2!$B$4,D:D)),MAX($C$3:OFFSET(C667,-1,0))+1,0)</f>
        <v>0</v>
      </c>
      <c r="E667" s="9" t="str">
        <f t="shared" ca="1" si="22"/>
        <v/>
      </c>
      <c r="F667" s="4" t="s">
        <v>4</v>
      </c>
      <c r="G667" s="2">
        <f>IF(ISNUMBER(SEARCH(Лист2!$B$4,F:F)),1,0)</f>
        <v>0</v>
      </c>
      <c r="H667" s="3">
        <f ca="1">IF(AND(I667&lt;&gt;I666,ISNUMBER(SEARCH(Лист2!$B$5,I:I)),G667=1),MAX($H$3:OFFSET(H667,-1,0))+1,0)</f>
        <v>0</v>
      </c>
      <c r="I667" s="3" t="s">
        <v>104</v>
      </c>
      <c r="K667" s="2">
        <f>IF(ISNUMBER(SEARCH(Лист2!$B$4,F:F)),1,0)</f>
        <v>0</v>
      </c>
      <c r="L667" s="14">
        <f>IF(ISNUMBER(SEARCH(Лист2!$B$5,I:I)),1,0)+K667</f>
        <v>0</v>
      </c>
      <c r="M667" s="3">
        <f ca="1">IF(AND(N667&lt;&gt;N666,ISNUMBER(SEARCH(Лист2!$B$6,N:N)),L667=2),MAX($M$3:OFFSET(M667,-1,0))+1,0)</f>
        <v>0</v>
      </c>
      <c r="N667" s="3" t="s">
        <v>903</v>
      </c>
    </row>
    <row r="668" spans="1:14" x14ac:dyDescent="0.25">
      <c r="A668" s="1" t="s">
        <v>10383</v>
      </c>
      <c r="B668" s="3" t="s">
        <v>4292</v>
      </c>
      <c r="C668" s="2">
        <f ca="1">IF(ISNUMBER(SEARCH(Лист2!$B$4,D:D)),MAX($C$3:OFFSET(C668,-1,0))+1,0)</f>
        <v>0</v>
      </c>
      <c r="E668" s="9" t="str">
        <f t="shared" ca="1" si="22"/>
        <v/>
      </c>
      <c r="F668" s="4" t="s">
        <v>4</v>
      </c>
      <c r="G668" s="2">
        <f>IF(ISNUMBER(SEARCH(Лист2!$B$4,F:F)),1,0)</f>
        <v>0</v>
      </c>
      <c r="H668" s="3">
        <f ca="1">IF(AND(I668&lt;&gt;I667,ISNUMBER(SEARCH(Лист2!$B$5,I:I)),G668=1),MAX($H$3:OFFSET(H668,-1,0))+1,0)</f>
        <v>0</v>
      </c>
      <c r="I668" s="3" t="s">
        <v>104</v>
      </c>
      <c r="K668" s="2">
        <f>IF(ISNUMBER(SEARCH(Лист2!$B$4,F:F)),1,0)</f>
        <v>0</v>
      </c>
      <c r="L668" s="14">
        <f>IF(ISNUMBER(SEARCH(Лист2!$B$5,I:I)),1,0)+K668</f>
        <v>0</v>
      </c>
      <c r="M668" s="3">
        <f ca="1">IF(AND(N668&lt;&gt;N667,ISNUMBER(SEARCH(Лист2!$B$6,N:N)),L668=2),MAX($M$3:OFFSET(M668,-1,0))+1,0)</f>
        <v>0</v>
      </c>
      <c r="N668" s="3" t="s">
        <v>904</v>
      </c>
    </row>
    <row r="669" spans="1:14" x14ac:dyDescent="0.25">
      <c r="A669" s="1" t="s">
        <v>10384</v>
      </c>
      <c r="B669" s="3" t="s">
        <v>4293</v>
      </c>
      <c r="C669" s="2">
        <f ca="1">IF(ISNUMBER(SEARCH(Лист2!$B$4,D:D)),MAX($C$3:OFFSET(C669,-1,0))+1,0)</f>
        <v>0</v>
      </c>
      <c r="E669" s="9" t="str">
        <f t="shared" ca="1" si="22"/>
        <v/>
      </c>
      <c r="F669" s="4" t="s">
        <v>4</v>
      </c>
      <c r="G669" s="2">
        <f>IF(ISNUMBER(SEARCH(Лист2!$B$4,F:F)),1,0)</f>
        <v>0</v>
      </c>
      <c r="H669" s="3">
        <f ca="1">IF(AND(I669&lt;&gt;I668,ISNUMBER(SEARCH(Лист2!$B$5,I:I)),G669=1),MAX($H$3:OFFSET(H669,-1,0))+1,0)</f>
        <v>0</v>
      </c>
      <c r="I669" s="3" t="s">
        <v>105</v>
      </c>
      <c r="K669" s="2">
        <f>IF(ISNUMBER(SEARCH(Лист2!$B$4,F:F)),1,0)</f>
        <v>0</v>
      </c>
      <c r="L669" s="14">
        <f>IF(ISNUMBER(SEARCH(Лист2!$B$5,I:I)),1,0)+K669</f>
        <v>0</v>
      </c>
      <c r="M669" s="3">
        <f ca="1">IF(AND(N669&lt;&gt;N668,ISNUMBER(SEARCH(Лист2!$B$6,N:N)),L669=2),MAX($M$3:OFFSET(M669,-1,0))+1,0)</f>
        <v>0</v>
      </c>
      <c r="N669" s="3" t="s">
        <v>905</v>
      </c>
    </row>
    <row r="670" spans="1:14" x14ac:dyDescent="0.25">
      <c r="A670" s="1" t="s">
        <v>10384</v>
      </c>
      <c r="B670" s="3" t="s">
        <v>4294</v>
      </c>
      <c r="C670" s="2">
        <f ca="1">IF(ISNUMBER(SEARCH(Лист2!$B$4,D:D)),MAX($C$3:OFFSET(C670,-1,0))+1,0)</f>
        <v>0</v>
      </c>
      <c r="E670" s="9" t="str">
        <f t="shared" ca="1" si="22"/>
        <v/>
      </c>
      <c r="F670" s="4" t="s">
        <v>4</v>
      </c>
      <c r="G670" s="2">
        <f>IF(ISNUMBER(SEARCH(Лист2!$B$4,F:F)),1,0)</f>
        <v>0</v>
      </c>
      <c r="H670" s="3">
        <f ca="1">IF(AND(I670&lt;&gt;I669,ISNUMBER(SEARCH(Лист2!$B$5,I:I)),G670=1),MAX($H$3:OFFSET(H670,-1,0))+1,0)</f>
        <v>0</v>
      </c>
      <c r="I670" s="3" t="s">
        <v>105</v>
      </c>
      <c r="K670" s="2">
        <f>IF(ISNUMBER(SEARCH(Лист2!$B$4,F:F)),1,0)</f>
        <v>0</v>
      </c>
      <c r="L670" s="14">
        <f>IF(ISNUMBER(SEARCH(Лист2!$B$5,I:I)),1,0)+K670</f>
        <v>0</v>
      </c>
      <c r="M670" s="3">
        <f ca="1">IF(AND(N670&lt;&gt;N669,ISNUMBER(SEARCH(Лист2!$B$6,N:N)),L670=2),MAX($M$3:OFFSET(M670,-1,0))+1,0)</f>
        <v>0</v>
      </c>
      <c r="N670" s="3" t="s">
        <v>905</v>
      </c>
    </row>
    <row r="671" spans="1:14" x14ac:dyDescent="0.25">
      <c r="A671" s="1" t="s">
        <v>10385</v>
      </c>
      <c r="B671" s="3" t="s">
        <v>4295</v>
      </c>
      <c r="C671" s="2">
        <f ca="1">IF(ISNUMBER(SEARCH(Лист2!$B$4,D:D)),MAX($C$3:OFFSET(C671,-1,0))+1,0)</f>
        <v>0</v>
      </c>
      <c r="E671" s="9" t="str">
        <f t="shared" ca="1" si="22"/>
        <v/>
      </c>
      <c r="F671" s="4" t="s">
        <v>4</v>
      </c>
      <c r="G671" s="2">
        <f>IF(ISNUMBER(SEARCH(Лист2!$B$4,F:F)),1,0)</f>
        <v>0</v>
      </c>
      <c r="H671" s="3">
        <f ca="1">IF(AND(I671&lt;&gt;I670,ISNUMBER(SEARCH(Лист2!$B$5,I:I)),G671=1),MAX($H$3:OFFSET(H671,-1,0))+1,0)</f>
        <v>0</v>
      </c>
      <c r="I671" s="3" t="s">
        <v>105</v>
      </c>
      <c r="K671" s="2">
        <f>IF(ISNUMBER(SEARCH(Лист2!$B$4,F:F)),1,0)</f>
        <v>0</v>
      </c>
      <c r="L671" s="14">
        <f>IF(ISNUMBER(SEARCH(Лист2!$B$5,I:I)),1,0)+K671</f>
        <v>0</v>
      </c>
      <c r="M671" s="3">
        <f ca="1">IF(AND(N671&lt;&gt;N670,ISNUMBER(SEARCH(Лист2!$B$6,N:N)),L671=2),MAX($M$3:OFFSET(M671,-1,0))+1,0)</f>
        <v>0</v>
      </c>
      <c r="N671" s="3" t="s">
        <v>906</v>
      </c>
    </row>
    <row r="672" spans="1:14" x14ac:dyDescent="0.25">
      <c r="A672" s="1" t="s">
        <v>10386</v>
      </c>
      <c r="B672" s="3" t="s">
        <v>4296</v>
      </c>
      <c r="C672" s="2">
        <f ca="1">IF(ISNUMBER(SEARCH(Лист2!$B$4,D:D)),MAX($C$3:OFFSET(C672,-1,0))+1,0)</f>
        <v>0</v>
      </c>
      <c r="E672" s="9" t="str">
        <f t="shared" ca="1" si="22"/>
        <v/>
      </c>
      <c r="F672" s="4" t="s">
        <v>4</v>
      </c>
      <c r="G672" s="2">
        <f>IF(ISNUMBER(SEARCH(Лист2!$B$4,F:F)),1,0)</f>
        <v>0</v>
      </c>
      <c r="H672" s="3">
        <f ca="1">IF(AND(I672&lt;&gt;I671,ISNUMBER(SEARCH(Лист2!$B$5,I:I)),G672=1),MAX($H$3:OFFSET(H672,-1,0))+1,0)</f>
        <v>0</v>
      </c>
      <c r="I672" s="3" t="s">
        <v>106</v>
      </c>
      <c r="K672" s="2">
        <f>IF(ISNUMBER(SEARCH(Лист2!$B$4,F:F)),1,0)</f>
        <v>0</v>
      </c>
      <c r="L672" s="14">
        <f>IF(ISNUMBER(SEARCH(Лист2!$B$5,I:I)),1,0)+K672</f>
        <v>0</v>
      </c>
      <c r="M672" s="3">
        <f ca="1">IF(AND(N672&lt;&gt;N671,ISNUMBER(SEARCH(Лист2!$B$6,N:N)),L672=2),MAX($M$3:OFFSET(M672,-1,0))+1,0)</f>
        <v>0</v>
      </c>
      <c r="N672" s="3" t="s">
        <v>907</v>
      </c>
    </row>
    <row r="673" spans="1:14" x14ac:dyDescent="0.25">
      <c r="A673" s="1" t="s">
        <v>10387</v>
      </c>
      <c r="B673" s="3" t="s">
        <v>4297</v>
      </c>
      <c r="C673" s="2">
        <f ca="1">IF(ISNUMBER(SEARCH(Лист2!$B$4,D:D)),MAX($C$3:OFFSET(C673,-1,0))+1,0)</f>
        <v>0</v>
      </c>
      <c r="E673" s="9" t="str">
        <f t="shared" ca="1" si="22"/>
        <v/>
      </c>
      <c r="F673" s="4" t="s">
        <v>4</v>
      </c>
      <c r="G673" s="2">
        <f>IF(ISNUMBER(SEARCH(Лист2!$B$4,F:F)),1,0)</f>
        <v>0</v>
      </c>
      <c r="H673" s="3">
        <f ca="1">IF(AND(I673&lt;&gt;I672,ISNUMBER(SEARCH(Лист2!$B$5,I:I)),G673=1),MAX($H$3:OFFSET(H673,-1,0))+1,0)</f>
        <v>0</v>
      </c>
      <c r="I673" s="3" t="s">
        <v>106</v>
      </c>
      <c r="K673" s="2">
        <f>IF(ISNUMBER(SEARCH(Лист2!$B$4,F:F)),1,0)</f>
        <v>0</v>
      </c>
      <c r="L673" s="14">
        <f>IF(ISNUMBER(SEARCH(Лист2!$B$5,I:I)),1,0)+K673</f>
        <v>0</v>
      </c>
      <c r="M673" s="3">
        <f ca="1">IF(AND(N673&lt;&gt;N672,ISNUMBER(SEARCH(Лист2!$B$6,N:N)),L673=2),MAX($M$3:OFFSET(M673,-1,0))+1,0)</f>
        <v>0</v>
      </c>
      <c r="N673" s="3" t="s">
        <v>908</v>
      </c>
    </row>
    <row r="674" spans="1:14" x14ac:dyDescent="0.25">
      <c r="A674" s="1" t="s">
        <v>10388</v>
      </c>
      <c r="B674" s="3" t="s">
        <v>4298</v>
      </c>
      <c r="C674" s="2">
        <f ca="1">IF(ISNUMBER(SEARCH(Лист2!$B$4,D:D)),MAX($C$3:OFFSET(C674,-1,0))+1,0)</f>
        <v>0</v>
      </c>
      <c r="E674" s="9" t="str">
        <f t="shared" ca="1" si="22"/>
        <v/>
      </c>
      <c r="F674" s="4" t="s">
        <v>4</v>
      </c>
      <c r="G674" s="2">
        <f>IF(ISNUMBER(SEARCH(Лист2!$B$4,F:F)),1,0)</f>
        <v>0</v>
      </c>
      <c r="H674" s="3">
        <f ca="1">IF(AND(I674&lt;&gt;I673,ISNUMBER(SEARCH(Лист2!$B$5,I:I)),G674=1),MAX($H$3:OFFSET(H674,-1,0))+1,0)</f>
        <v>0</v>
      </c>
      <c r="I674" s="3" t="s">
        <v>92</v>
      </c>
      <c r="K674" s="2">
        <f>IF(ISNUMBER(SEARCH(Лист2!$B$4,F:F)),1,0)</f>
        <v>0</v>
      </c>
      <c r="L674" s="14">
        <f>IF(ISNUMBER(SEARCH(Лист2!$B$5,I:I)),1,0)+K674</f>
        <v>0</v>
      </c>
      <c r="M674" s="3">
        <f ca="1">IF(AND(N674&lt;&gt;N673,ISNUMBER(SEARCH(Лист2!$B$6,N:N)),L674=2),MAX($M$3:OFFSET(M674,-1,0))+1,0)</f>
        <v>0</v>
      </c>
      <c r="N674" s="3" t="s">
        <v>909</v>
      </c>
    </row>
    <row r="675" spans="1:14" x14ac:dyDescent="0.25">
      <c r="A675" s="1" t="s">
        <v>10388</v>
      </c>
      <c r="B675" s="3" t="s">
        <v>4299</v>
      </c>
      <c r="C675" s="2">
        <f ca="1">IF(ISNUMBER(SEARCH(Лист2!$B$4,D:D)),MAX($C$3:OFFSET(C675,-1,0))+1,0)</f>
        <v>0</v>
      </c>
      <c r="E675" s="9" t="str">
        <f t="shared" ca="1" si="22"/>
        <v/>
      </c>
      <c r="F675" s="4" t="s">
        <v>4</v>
      </c>
      <c r="G675" s="2">
        <f>IF(ISNUMBER(SEARCH(Лист2!$B$4,F:F)),1,0)</f>
        <v>0</v>
      </c>
      <c r="H675" s="3">
        <f ca="1">IF(AND(I675&lt;&gt;I674,ISNUMBER(SEARCH(Лист2!$B$5,I:I)),G675=1),MAX($H$3:OFFSET(H675,-1,0))+1,0)</f>
        <v>0</v>
      </c>
      <c r="I675" s="3" t="s">
        <v>92</v>
      </c>
      <c r="K675" s="2">
        <f>IF(ISNUMBER(SEARCH(Лист2!$B$4,F:F)),1,0)</f>
        <v>0</v>
      </c>
      <c r="L675" s="14">
        <f>IF(ISNUMBER(SEARCH(Лист2!$B$5,I:I)),1,0)+K675</f>
        <v>0</v>
      </c>
      <c r="M675" s="3">
        <f ca="1">IF(AND(N675&lt;&gt;N674,ISNUMBER(SEARCH(Лист2!$B$6,N:N)),L675=2),MAX($M$3:OFFSET(M675,-1,0))+1,0)</f>
        <v>0</v>
      </c>
      <c r="N675" s="3" t="s">
        <v>909</v>
      </c>
    </row>
    <row r="676" spans="1:14" x14ac:dyDescent="0.25">
      <c r="A676" s="1" t="s">
        <v>10388</v>
      </c>
      <c r="B676" s="3" t="s">
        <v>4300</v>
      </c>
      <c r="C676" s="2">
        <f ca="1">IF(ISNUMBER(SEARCH(Лист2!$B$4,D:D)),MAX($C$3:OFFSET(C676,-1,0))+1,0)</f>
        <v>0</v>
      </c>
      <c r="E676" s="9" t="str">
        <f t="shared" ca="1" si="22"/>
        <v/>
      </c>
      <c r="F676" s="4" t="s">
        <v>4</v>
      </c>
      <c r="G676" s="2">
        <f>IF(ISNUMBER(SEARCH(Лист2!$B$4,F:F)),1,0)</f>
        <v>0</v>
      </c>
      <c r="H676" s="3">
        <f ca="1">IF(AND(I676&lt;&gt;I675,ISNUMBER(SEARCH(Лист2!$B$5,I:I)),G676=1),MAX($H$3:OFFSET(H676,-1,0))+1,0)</f>
        <v>0</v>
      </c>
      <c r="I676" s="3" t="s">
        <v>92</v>
      </c>
      <c r="K676" s="2">
        <f>IF(ISNUMBER(SEARCH(Лист2!$B$4,F:F)),1,0)</f>
        <v>0</v>
      </c>
      <c r="L676" s="14">
        <f>IF(ISNUMBER(SEARCH(Лист2!$B$5,I:I)),1,0)+K676</f>
        <v>0</v>
      </c>
      <c r="M676" s="3">
        <f ca="1">IF(AND(N676&lt;&gt;N675,ISNUMBER(SEARCH(Лист2!$B$6,N:N)),L676=2),MAX($M$3:OFFSET(M676,-1,0))+1,0)</f>
        <v>0</v>
      </c>
      <c r="N676" s="3" t="s">
        <v>909</v>
      </c>
    </row>
    <row r="677" spans="1:14" x14ac:dyDescent="0.25">
      <c r="A677" s="1" t="s">
        <v>10389</v>
      </c>
      <c r="B677" s="3" t="s">
        <v>4301</v>
      </c>
      <c r="C677" s="2">
        <f ca="1">IF(ISNUMBER(SEARCH(Лист2!$B$4,D:D)),MAX($C$3:OFFSET(C677,-1,0))+1,0)</f>
        <v>0</v>
      </c>
      <c r="E677" s="9" t="str">
        <f t="shared" ca="1" si="22"/>
        <v/>
      </c>
      <c r="F677" s="4" t="s">
        <v>4</v>
      </c>
      <c r="G677" s="2">
        <f>IF(ISNUMBER(SEARCH(Лист2!$B$4,F:F)),1,0)</f>
        <v>0</v>
      </c>
      <c r="H677" s="3">
        <f ca="1">IF(AND(I677&lt;&gt;I676,ISNUMBER(SEARCH(Лист2!$B$5,I:I)),G677=1),MAX($H$3:OFFSET(H677,-1,0))+1,0)</f>
        <v>0</v>
      </c>
      <c r="I677" s="3" t="s">
        <v>92</v>
      </c>
      <c r="K677" s="2">
        <f>IF(ISNUMBER(SEARCH(Лист2!$B$4,F:F)),1,0)</f>
        <v>0</v>
      </c>
      <c r="L677" s="14">
        <f>IF(ISNUMBER(SEARCH(Лист2!$B$5,I:I)),1,0)+K677</f>
        <v>0</v>
      </c>
      <c r="M677" s="3">
        <f ca="1">IF(AND(N677&lt;&gt;N676,ISNUMBER(SEARCH(Лист2!$B$6,N:N)),L677=2),MAX($M$3:OFFSET(M677,-1,0))+1,0)</f>
        <v>0</v>
      </c>
      <c r="N677" s="3" t="s">
        <v>910</v>
      </c>
    </row>
    <row r="678" spans="1:14" x14ac:dyDescent="0.25">
      <c r="A678" s="1" t="s">
        <v>10389</v>
      </c>
      <c r="B678" s="3" t="s">
        <v>4302</v>
      </c>
      <c r="C678" s="2">
        <f ca="1">IF(ISNUMBER(SEARCH(Лист2!$B$4,D:D)),MAX($C$3:OFFSET(C678,-1,0))+1,0)</f>
        <v>0</v>
      </c>
      <c r="E678" s="9" t="str">
        <f t="shared" ca="1" si="22"/>
        <v/>
      </c>
      <c r="F678" s="4" t="s">
        <v>4</v>
      </c>
      <c r="G678" s="2">
        <f>IF(ISNUMBER(SEARCH(Лист2!$B$4,F:F)),1,0)</f>
        <v>0</v>
      </c>
      <c r="H678" s="3">
        <f ca="1">IF(AND(I678&lt;&gt;I677,ISNUMBER(SEARCH(Лист2!$B$5,I:I)),G678=1),MAX($H$3:OFFSET(H678,-1,0))+1,0)</f>
        <v>0</v>
      </c>
      <c r="I678" s="3" t="s">
        <v>92</v>
      </c>
      <c r="K678" s="2">
        <f>IF(ISNUMBER(SEARCH(Лист2!$B$4,F:F)),1,0)</f>
        <v>0</v>
      </c>
      <c r="L678" s="14">
        <f>IF(ISNUMBER(SEARCH(Лист2!$B$5,I:I)),1,0)+K678</f>
        <v>0</v>
      </c>
      <c r="M678" s="3">
        <f ca="1">IF(AND(N678&lt;&gt;N677,ISNUMBER(SEARCH(Лист2!$B$6,N:N)),L678=2),MAX($M$3:OFFSET(M678,-1,0))+1,0)</f>
        <v>0</v>
      </c>
      <c r="N678" s="3" t="s">
        <v>910</v>
      </c>
    </row>
    <row r="679" spans="1:14" x14ac:dyDescent="0.25">
      <c r="A679" s="1" t="s">
        <v>10389</v>
      </c>
      <c r="B679" s="3" t="s">
        <v>4303</v>
      </c>
      <c r="C679" s="2">
        <f ca="1">IF(ISNUMBER(SEARCH(Лист2!$B$4,D:D)),MAX($C$3:OFFSET(C679,-1,0))+1,0)</f>
        <v>0</v>
      </c>
      <c r="E679" s="9" t="str">
        <f t="shared" ca="1" si="22"/>
        <v/>
      </c>
      <c r="F679" s="4" t="s">
        <v>4</v>
      </c>
      <c r="G679" s="2">
        <f>IF(ISNUMBER(SEARCH(Лист2!$B$4,F:F)),1,0)</f>
        <v>0</v>
      </c>
      <c r="H679" s="3">
        <f ca="1">IF(AND(I679&lt;&gt;I678,ISNUMBER(SEARCH(Лист2!$B$5,I:I)),G679=1),MAX($H$3:OFFSET(H679,-1,0))+1,0)</f>
        <v>0</v>
      </c>
      <c r="I679" s="3" t="s">
        <v>92</v>
      </c>
      <c r="K679" s="2">
        <f>IF(ISNUMBER(SEARCH(Лист2!$B$4,F:F)),1,0)</f>
        <v>0</v>
      </c>
      <c r="L679" s="14">
        <f>IF(ISNUMBER(SEARCH(Лист2!$B$5,I:I)),1,0)+K679</f>
        <v>0</v>
      </c>
      <c r="M679" s="3">
        <f ca="1">IF(AND(N679&lt;&gt;N678,ISNUMBER(SEARCH(Лист2!$B$6,N:N)),L679=2),MAX($M$3:OFFSET(M679,-1,0))+1,0)</f>
        <v>0</v>
      </c>
      <c r="N679" s="3" t="s">
        <v>910</v>
      </c>
    </row>
    <row r="680" spans="1:14" x14ac:dyDescent="0.25">
      <c r="A680" s="1" t="s">
        <v>10390</v>
      </c>
      <c r="B680" s="3" t="s">
        <v>4304</v>
      </c>
      <c r="C680" s="2">
        <f ca="1">IF(ISNUMBER(SEARCH(Лист2!$B$4,D:D)),MAX($C$3:OFFSET(C680,-1,0))+1,0)</f>
        <v>0</v>
      </c>
      <c r="E680" s="9" t="str">
        <f t="shared" ca="1" si="22"/>
        <v/>
      </c>
      <c r="F680" s="4" t="s">
        <v>4</v>
      </c>
      <c r="G680" s="2">
        <f>IF(ISNUMBER(SEARCH(Лист2!$B$4,F:F)),1,0)</f>
        <v>0</v>
      </c>
      <c r="H680" s="3">
        <f ca="1">IF(AND(I680&lt;&gt;I679,ISNUMBER(SEARCH(Лист2!$B$5,I:I)),G680=1),MAX($H$3:OFFSET(H680,-1,0))+1,0)</f>
        <v>0</v>
      </c>
      <c r="I680" s="3" t="s">
        <v>93</v>
      </c>
      <c r="K680" s="2">
        <f>IF(ISNUMBER(SEARCH(Лист2!$B$4,F:F)),1,0)</f>
        <v>0</v>
      </c>
      <c r="L680" s="14">
        <f>IF(ISNUMBER(SEARCH(Лист2!$B$5,I:I)),1,0)+K680</f>
        <v>0</v>
      </c>
      <c r="M680" s="3">
        <f ca="1">IF(AND(N680&lt;&gt;N679,ISNUMBER(SEARCH(Лист2!$B$6,N:N)),L680=2),MAX($M$3:OFFSET(M680,-1,0))+1,0)</f>
        <v>0</v>
      </c>
      <c r="N680" s="3" t="s">
        <v>911</v>
      </c>
    </row>
    <row r="681" spans="1:14" x14ac:dyDescent="0.25">
      <c r="A681" s="1" t="s">
        <v>10391</v>
      </c>
      <c r="B681" s="3" t="s">
        <v>4305</v>
      </c>
      <c r="C681" s="2">
        <f ca="1">IF(ISNUMBER(SEARCH(Лист2!$B$4,D:D)),MAX($C$3:OFFSET(C681,-1,0))+1,0)</f>
        <v>0</v>
      </c>
      <c r="E681" s="9" t="str">
        <f t="shared" ca="1" si="22"/>
        <v/>
      </c>
      <c r="F681" s="4" t="s">
        <v>4</v>
      </c>
      <c r="G681" s="2">
        <f>IF(ISNUMBER(SEARCH(Лист2!$B$4,F:F)),1,0)</f>
        <v>0</v>
      </c>
      <c r="H681" s="3">
        <f ca="1">IF(AND(I681&lt;&gt;I680,ISNUMBER(SEARCH(Лист2!$B$5,I:I)),G681=1),MAX($H$3:OFFSET(H681,-1,0))+1,0)</f>
        <v>0</v>
      </c>
      <c r="I681" s="3" t="s">
        <v>93</v>
      </c>
      <c r="K681" s="2">
        <f>IF(ISNUMBER(SEARCH(Лист2!$B$4,F:F)),1,0)</f>
        <v>0</v>
      </c>
      <c r="L681" s="14">
        <f>IF(ISNUMBER(SEARCH(Лист2!$B$5,I:I)),1,0)+K681</f>
        <v>0</v>
      </c>
      <c r="M681" s="3">
        <f ca="1">IF(AND(N681&lt;&gt;N680,ISNUMBER(SEARCH(Лист2!$B$6,N:N)),L681=2),MAX($M$3:OFFSET(M681,-1,0))+1,0)</f>
        <v>0</v>
      </c>
      <c r="N681" s="3" t="s">
        <v>912</v>
      </c>
    </row>
    <row r="682" spans="1:14" x14ac:dyDescent="0.25">
      <c r="A682" s="1" t="s">
        <v>10392</v>
      </c>
      <c r="B682" s="3" t="s">
        <v>4306</v>
      </c>
      <c r="C682" s="2">
        <f ca="1">IF(ISNUMBER(SEARCH(Лист2!$B$4,D:D)),MAX($C$3:OFFSET(C682,-1,0))+1,0)</f>
        <v>0</v>
      </c>
      <c r="E682" s="9" t="str">
        <f t="shared" ca="1" si="22"/>
        <v/>
      </c>
      <c r="F682" s="4" t="s">
        <v>4</v>
      </c>
      <c r="G682" s="2">
        <f>IF(ISNUMBER(SEARCH(Лист2!$B$4,F:F)),1,0)</f>
        <v>0</v>
      </c>
      <c r="H682" s="3">
        <f ca="1">IF(AND(I682&lt;&gt;I681,ISNUMBER(SEARCH(Лист2!$B$5,I:I)),G682=1),MAX($H$3:OFFSET(H682,-1,0))+1,0)</f>
        <v>0</v>
      </c>
      <c r="I682" s="3" t="s">
        <v>107</v>
      </c>
      <c r="K682" s="2">
        <f>IF(ISNUMBER(SEARCH(Лист2!$B$4,F:F)),1,0)</f>
        <v>0</v>
      </c>
      <c r="L682" s="14">
        <f>IF(ISNUMBER(SEARCH(Лист2!$B$5,I:I)),1,0)+K682</f>
        <v>0</v>
      </c>
      <c r="M682" s="3">
        <f ca="1">IF(AND(N682&lt;&gt;N681,ISNUMBER(SEARCH(Лист2!$B$6,N:N)),L682=2),MAX($M$3:OFFSET(M682,-1,0))+1,0)</f>
        <v>0</v>
      </c>
      <c r="N682" s="3" t="s">
        <v>913</v>
      </c>
    </row>
    <row r="683" spans="1:14" x14ac:dyDescent="0.25">
      <c r="A683" s="1" t="s">
        <v>10393</v>
      </c>
      <c r="B683" s="3" t="s">
        <v>4307</v>
      </c>
      <c r="C683" s="2">
        <f ca="1">IF(ISNUMBER(SEARCH(Лист2!$B$4,D:D)),MAX($C$3:OFFSET(C683,-1,0))+1,0)</f>
        <v>0</v>
      </c>
      <c r="E683" s="9" t="str">
        <f t="shared" ca="1" si="22"/>
        <v/>
      </c>
      <c r="F683" s="4" t="s">
        <v>4</v>
      </c>
      <c r="G683" s="2">
        <f>IF(ISNUMBER(SEARCH(Лист2!$B$4,F:F)),1,0)</f>
        <v>0</v>
      </c>
      <c r="H683" s="3">
        <f ca="1">IF(AND(I683&lt;&gt;I682,ISNUMBER(SEARCH(Лист2!$B$5,I:I)),G683=1),MAX($H$3:OFFSET(H683,-1,0))+1,0)</f>
        <v>0</v>
      </c>
      <c r="I683" s="3" t="s">
        <v>107</v>
      </c>
      <c r="K683" s="2">
        <f>IF(ISNUMBER(SEARCH(Лист2!$B$4,F:F)),1,0)</f>
        <v>0</v>
      </c>
      <c r="L683" s="14">
        <f>IF(ISNUMBER(SEARCH(Лист2!$B$5,I:I)),1,0)+K683</f>
        <v>0</v>
      </c>
      <c r="M683" s="3">
        <f ca="1">IF(AND(N683&lt;&gt;N682,ISNUMBER(SEARCH(Лист2!$B$6,N:N)),L683=2),MAX($M$3:OFFSET(M683,-1,0))+1,0)</f>
        <v>0</v>
      </c>
      <c r="N683" s="3" t="s">
        <v>914</v>
      </c>
    </row>
    <row r="684" spans="1:14" x14ac:dyDescent="0.25">
      <c r="A684" s="1" t="s">
        <v>10394</v>
      </c>
      <c r="B684" s="3" t="s">
        <v>4308</v>
      </c>
      <c r="C684" s="2">
        <f ca="1">IF(ISNUMBER(SEARCH(Лист2!$B$4,D:D)),MAX($C$3:OFFSET(C684,-1,0))+1,0)</f>
        <v>0</v>
      </c>
      <c r="E684" s="9" t="str">
        <f t="shared" ca="1" si="22"/>
        <v/>
      </c>
      <c r="F684" s="4" t="s">
        <v>4</v>
      </c>
      <c r="G684" s="2">
        <f>IF(ISNUMBER(SEARCH(Лист2!$B$4,F:F)),1,0)</f>
        <v>0</v>
      </c>
      <c r="H684" s="3">
        <f ca="1">IF(AND(I684&lt;&gt;I683,ISNUMBER(SEARCH(Лист2!$B$5,I:I)),G684=1),MAX($H$3:OFFSET(H684,-1,0))+1,0)</f>
        <v>0</v>
      </c>
      <c r="I684" s="3" t="s">
        <v>107</v>
      </c>
      <c r="K684" s="2">
        <f>IF(ISNUMBER(SEARCH(Лист2!$B$4,F:F)),1,0)</f>
        <v>0</v>
      </c>
      <c r="L684" s="14">
        <f>IF(ISNUMBER(SEARCH(Лист2!$B$5,I:I)),1,0)+K684</f>
        <v>0</v>
      </c>
      <c r="M684" s="3">
        <f ca="1">IF(AND(N684&lt;&gt;N683,ISNUMBER(SEARCH(Лист2!$B$6,N:N)),L684=2),MAX($M$3:OFFSET(M684,-1,0))+1,0)</f>
        <v>0</v>
      </c>
      <c r="N684" s="3" t="s">
        <v>915</v>
      </c>
    </row>
    <row r="685" spans="1:14" x14ac:dyDescent="0.25">
      <c r="A685" s="1" t="s">
        <v>10394</v>
      </c>
      <c r="B685" s="3" t="s">
        <v>4309</v>
      </c>
      <c r="C685" s="2">
        <f ca="1">IF(ISNUMBER(SEARCH(Лист2!$B$4,D:D)),MAX($C$3:OFFSET(C685,-1,0))+1,0)</f>
        <v>0</v>
      </c>
      <c r="E685" s="9" t="str">
        <f t="shared" ca="1" si="22"/>
        <v/>
      </c>
      <c r="F685" s="4" t="s">
        <v>4</v>
      </c>
      <c r="G685" s="2">
        <f>IF(ISNUMBER(SEARCH(Лист2!$B$4,F:F)),1,0)</f>
        <v>0</v>
      </c>
      <c r="H685" s="3">
        <f ca="1">IF(AND(I685&lt;&gt;I684,ISNUMBER(SEARCH(Лист2!$B$5,I:I)),G685=1),MAX($H$3:OFFSET(H685,-1,0))+1,0)</f>
        <v>0</v>
      </c>
      <c r="I685" s="3" t="s">
        <v>107</v>
      </c>
      <c r="K685" s="2">
        <f>IF(ISNUMBER(SEARCH(Лист2!$B$4,F:F)),1,0)</f>
        <v>0</v>
      </c>
      <c r="L685" s="14">
        <f>IF(ISNUMBER(SEARCH(Лист2!$B$5,I:I)),1,0)+K685</f>
        <v>0</v>
      </c>
      <c r="M685" s="3">
        <f ca="1">IF(AND(N685&lt;&gt;N684,ISNUMBER(SEARCH(Лист2!$B$6,N:N)),L685=2),MAX($M$3:OFFSET(M685,-1,0))+1,0)</f>
        <v>0</v>
      </c>
      <c r="N685" s="3" t="s">
        <v>915</v>
      </c>
    </row>
    <row r="686" spans="1:14" x14ac:dyDescent="0.25">
      <c r="A686" s="1" t="s">
        <v>10395</v>
      </c>
      <c r="B686" s="3" t="s">
        <v>4310</v>
      </c>
      <c r="C686" s="2">
        <f ca="1">IF(ISNUMBER(SEARCH(Лист2!$B$4,D:D)),MAX($C$3:OFFSET(C686,-1,0))+1,0)</f>
        <v>0</v>
      </c>
      <c r="E686" s="9" t="str">
        <f t="shared" ca="1" si="22"/>
        <v/>
      </c>
      <c r="F686" s="4" t="s">
        <v>4</v>
      </c>
      <c r="G686" s="2">
        <f>IF(ISNUMBER(SEARCH(Лист2!$B$4,F:F)),1,0)</f>
        <v>0</v>
      </c>
      <c r="H686" s="3">
        <f ca="1">IF(AND(I686&lt;&gt;I685,ISNUMBER(SEARCH(Лист2!$B$5,I:I)),G686=1),MAX($H$3:OFFSET(H686,-1,0))+1,0)</f>
        <v>0</v>
      </c>
      <c r="I686" s="3" t="s">
        <v>107</v>
      </c>
      <c r="K686" s="2">
        <f>IF(ISNUMBER(SEARCH(Лист2!$B$4,F:F)),1,0)</f>
        <v>0</v>
      </c>
      <c r="L686" s="14">
        <f>IF(ISNUMBER(SEARCH(Лист2!$B$5,I:I)),1,0)+K686</f>
        <v>0</v>
      </c>
      <c r="M686" s="3">
        <f ca="1">IF(AND(N686&lt;&gt;N685,ISNUMBER(SEARCH(Лист2!$B$6,N:N)),L686=2),MAX($M$3:OFFSET(M686,-1,0))+1,0)</f>
        <v>0</v>
      </c>
      <c r="N686" s="3" t="s">
        <v>916</v>
      </c>
    </row>
    <row r="687" spans="1:14" x14ac:dyDescent="0.25">
      <c r="A687" s="1" t="s">
        <v>10396</v>
      </c>
      <c r="B687" s="3" t="s">
        <v>4311</v>
      </c>
      <c r="C687" s="2">
        <f ca="1">IF(ISNUMBER(SEARCH(Лист2!$B$4,D:D)),MAX($C$3:OFFSET(C687,-1,0))+1,0)</f>
        <v>0</v>
      </c>
      <c r="E687" s="9" t="str">
        <f t="shared" ca="1" si="22"/>
        <v/>
      </c>
      <c r="F687" s="4" t="s">
        <v>4</v>
      </c>
      <c r="G687" s="2">
        <f>IF(ISNUMBER(SEARCH(Лист2!$B$4,F:F)),1,0)</f>
        <v>0</v>
      </c>
      <c r="H687" s="3">
        <f ca="1">IF(AND(I687&lt;&gt;I686,ISNUMBER(SEARCH(Лист2!$B$5,I:I)),G687=1),MAX($H$3:OFFSET(H687,-1,0))+1,0)</f>
        <v>0</v>
      </c>
      <c r="I687" s="3" t="s">
        <v>108</v>
      </c>
      <c r="K687" s="2">
        <f>IF(ISNUMBER(SEARCH(Лист2!$B$4,F:F)),1,0)</f>
        <v>0</v>
      </c>
      <c r="L687" s="14">
        <f>IF(ISNUMBER(SEARCH(Лист2!$B$5,I:I)),1,0)+K687</f>
        <v>0</v>
      </c>
      <c r="M687" s="3">
        <f ca="1">IF(AND(N687&lt;&gt;N686,ISNUMBER(SEARCH(Лист2!$B$6,N:N)),L687=2),MAX($M$3:OFFSET(M687,-1,0))+1,0)</f>
        <v>0</v>
      </c>
      <c r="N687" s="3" t="s">
        <v>917</v>
      </c>
    </row>
    <row r="688" spans="1:14" x14ac:dyDescent="0.25">
      <c r="A688" s="1" t="s">
        <v>10397</v>
      </c>
      <c r="B688" s="3" t="s">
        <v>4312</v>
      </c>
      <c r="C688" s="2">
        <f ca="1">IF(ISNUMBER(SEARCH(Лист2!$B$4,D:D)),MAX($C$3:OFFSET(C688,-1,0))+1,0)</f>
        <v>0</v>
      </c>
      <c r="E688" s="9" t="str">
        <f t="shared" ca="1" si="22"/>
        <v/>
      </c>
      <c r="F688" s="4" t="s">
        <v>4</v>
      </c>
      <c r="G688" s="2">
        <f>IF(ISNUMBER(SEARCH(Лист2!$B$4,F:F)),1,0)</f>
        <v>0</v>
      </c>
      <c r="H688" s="3">
        <f ca="1">IF(AND(I688&lt;&gt;I687,ISNUMBER(SEARCH(Лист2!$B$5,I:I)),G688=1),MAX($H$3:OFFSET(H688,-1,0))+1,0)</f>
        <v>0</v>
      </c>
      <c r="I688" s="3" t="s">
        <v>108</v>
      </c>
      <c r="K688" s="2">
        <f>IF(ISNUMBER(SEARCH(Лист2!$B$4,F:F)),1,0)</f>
        <v>0</v>
      </c>
      <c r="L688" s="14">
        <f>IF(ISNUMBER(SEARCH(Лист2!$B$5,I:I)),1,0)+K688</f>
        <v>0</v>
      </c>
      <c r="M688" s="3">
        <f ca="1">IF(AND(N688&lt;&gt;N687,ISNUMBER(SEARCH(Лист2!$B$6,N:N)),L688=2),MAX($M$3:OFFSET(M688,-1,0))+1,0)</f>
        <v>0</v>
      </c>
      <c r="N688" s="3" t="s">
        <v>918</v>
      </c>
    </row>
    <row r="689" spans="1:14" x14ac:dyDescent="0.25">
      <c r="A689" s="1" t="s">
        <v>10398</v>
      </c>
      <c r="B689" s="3" t="s">
        <v>4313</v>
      </c>
      <c r="C689" s="2">
        <f ca="1">IF(ISNUMBER(SEARCH(Лист2!$B$4,D:D)),MAX($C$3:OFFSET(C689,-1,0))+1,0)</f>
        <v>0</v>
      </c>
      <c r="E689" s="9" t="str">
        <f t="shared" ca="1" si="22"/>
        <v/>
      </c>
      <c r="F689" s="4" t="s">
        <v>4</v>
      </c>
      <c r="G689" s="2">
        <f>IF(ISNUMBER(SEARCH(Лист2!$B$4,F:F)),1,0)</f>
        <v>0</v>
      </c>
      <c r="H689" s="3">
        <f ca="1">IF(AND(I689&lt;&gt;I688,ISNUMBER(SEARCH(Лист2!$B$5,I:I)),G689=1),MAX($H$3:OFFSET(H689,-1,0))+1,0)</f>
        <v>0</v>
      </c>
      <c r="I689" s="3" t="s">
        <v>108</v>
      </c>
      <c r="K689" s="2">
        <f>IF(ISNUMBER(SEARCH(Лист2!$B$4,F:F)),1,0)</f>
        <v>0</v>
      </c>
      <c r="L689" s="14">
        <f>IF(ISNUMBER(SEARCH(Лист2!$B$5,I:I)),1,0)+K689</f>
        <v>0</v>
      </c>
      <c r="M689" s="3">
        <f ca="1">IF(AND(N689&lt;&gt;N688,ISNUMBER(SEARCH(Лист2!$B$6,N:N)),L689=2),MAX($M$3:OFFSET(M689,-1,0))+1,0)</f>
        <v>0</v>
      </c>
      <c r="N689" s="3" t="s">
        <v>919</v>
      </c>
    </row>
    <row r="690" spans="1:14" x14ac:dyDescent="0.25">
      <c r="A690" s="1" t="s">
        <v>10398</v>
      </c>
      <c r="B690" s="3" t="s">
        <v>4314</v>
      </c>
      <c r="C690" s="2">
        <f ca="1">IF(ISNUMBER(SEARCH(Лист2!$B$4,D:D)),MAX($C$3:OFFSET(C690,-1,0))+1,0)</f>
        <v>0</v>
      </c>
      <c r="E690" s="9" t="str">
        <f t="shared" ca="1" si="22"/>
        <v/>
      </c>
      <c r="F690" s="4" t="s">
        <v>4</v>
      </c>
      <c r="G690" s="2">
        <f>IF(ISNUMBER(SEARCH(Лист2!$B$4,F:F)),1,0)</f>
        <v>0</v>
      </c>
      <c r="H690" s="3">
        <f ca="1">IF(AND(I690&lt;&gt;I689,ISNUMBER(SEARCH(Лист2!$B$5,I:I)),G690=1),MAX($H$3:OFFSET(H690,-1,0))+1,0)</f>
        <v>0</v>
      </c>
      <c r="I690" s="3" t="s">
        <v>108</v>
      </c>
      <c r="K690" s="2">
        <f>IF(ISNUMBER(SEARCH(Лист2!$B$4,F:F)),1,0)</f>
        <v>0</v>
      </c>
      <c r="L690" s="14">
        <f>IF(ISNUMBER(SEARCH(Лист2!$B$5,I:I)),1,0)+K690</f>
        <v>0</v>
      </c>
      <c r="M690" s="3">
        <f ca="1">IF(AND(N690&lt;&gt;N689,ISNUMBER(SEARCH(Лист2!$B$6,N:N)),L690=2),MAX($M$3:OFFSET(M690,-1,0))+1,0)</f>
        <v>0</v>
      </c>
      <c r="N690" s="3" t="s">
        <v>919</v>
      </c>
    </row>
    <row r="691" spans="1:14" x14ac:dyDescent="0.25">
      <c r="A691" s="1" t="s">
        <v>10399</v>
      </c>
      <c r="B691" s="3" t="s">
        <v>4315</v>
      </c>
      <c r="C691" s="2">
        <f ca="1">IF(ISNUMBER(SEARCH(Лист2!$B$4,D:D)),MAX($C$3:OFFSET(C691,-1,0))+1,0)</f>
        <v>0</v>
      </c>
      <c r="E691" s="9" t="str">
        <f t="shared" ca="1" si="22"/>
        <v/>
      </c>
      <c r="F691" s="4" t="s">
        <v>4</v>
      </c>
      <c r="G691" s="2">
        <f>IF(ISNUMBER(SEARCH(Лист2!$B$4,F:F)),1,0)</f>
        <v>0</v>
      </c>
      <c r="H691" s="3">
        <f ca="1">IF(AND(I691&lt;&gt;I690,ISNUMBER(SEARCH(Лист2!$B$5,I:I)),G691=1),MAX($H$3:OFFSET(H691,-1,0))+1,0)</f>
        <v>0</v>
      </c>
      <c r="I691" s="3" t="s">
        <v>108</v>
      </c>
      <c r="K691" s="2">
        <f>IF(ISNUMBER(SEARCH(Лист2!$B$4,F:F)),1,0)</f>
        <v>0</v>
      </c>
      <c r="L691" s="14">
        <f>IF(ISNUMBER(SEARCH(Лист2!$B$5,I:I)),1,0)+K691</f>
        <v>0</v>
      </c>
      <c r="M691" s="3">
        <f ca="1">IF(AND(N691&lt;&gt;N690,ISNUMBER(SEARCH(Лист2!$B$6,N:N)),L691=2),MAX($M$3:OFFSET(M691,-1,0))+1,0)</f>
        <v>0</v>
      </c>
      <c r="N691" s="3" t="s">
        <v>920</v>
      </c>
    </row>
    <row r="692" spans="1:14" x14ac:dyDescent="0.25">
      <c r="A692" s="1" t="s">
        <v>10400</v>
      </c>
      <c r="B692" s="3" t="s">
        <v>4316</v>
      </c>
      <c r="C692" s="2">
        <f ca="1">IF(ISNUMBER(SEARCH(Лист2!$B$4,D:D)),MAX($C$3:OFFSET(C692,-1,0))+1,0)</f>
        <v>0</v>
      </c>
      <c r="E692" s="9" t="str">
        <f t="shared" ca="1" si="22"/>
        <v/>
      </c>
      <c r="F692" s="4" t="s">
        <v>4</v>
      </c>
      <c r="G692" s="2">
        <f>IF(ISNUMBER(SEARCH(Лист2!$B$4,F:F)),1,0)</f>
        <v>0</v>
      </c>
      <c r="H692" s="3">
        <f ca="1">IF(AND(I692&lt;&gt;I691,ISNUMBER(SEARCH(Лист2!$B$5,I:I)),G692=1),MAX($H$3:OFFSET(H692,-1,0))+1,0)</f>
        <v>0</v>
      </c>
      <c r="I692" s="3" t="s">
        <v>109</v>
      </c>
      <c r="K692" s="2">
        <f>IF(ISNUMBER(SEARCH(Лист2!$B$4,F:F)),1,0)</f>
        <v>0</v>
      </c>
      <c r="L692" s="14">
        <f>IF(ISNUMBER(SEARCH(Лист2!$B$5,I:I)),1,0)+K692</f>
        <v>0</v>
      </c>
      <c r="M692" s="3">
        <f ca="1">IF(AND(N692&lt;&gt;N691,ISNUMBER(SEARCH(Лист2!$B$6,N:N)),L692=2),MAX($M$3:OFFSET(M692,-1,0))+1,0)</f>
        <v>0</v>
      </c>
      <c r="N692" s="3" t="s">
        <v>921</v>
      </c>
    </row>
    <row r="693" spans="1:14" x14ac:dyDescent="0.25">
      <c r="A693" s="1" t="s">
        <v>10401</v>
      </c>
      <c r="B693" s="3" t="s">
        <v>4317</v>
      </c>
      <c r="C693" s="2">
        <f ca="1">IF(ISNUMBER(SEARCH(Лист2!$B$4,D:D)),MAX($C$3:OFFSET(C693,-1,0))+1,0)</f>
        <v>0</v>
      </c>
      <c r="E693" s="9" t="str">
        <f t="shared" ca="1" si="22"/>
        <v/>
      </c>
      <c r="F693" s="4" t="s">
        <v>4</v>
      </c>
      <c r="G693" s="2">
        <f>IF(ISNUMBER(SEARCH(Лист2!$B$4,F:F)),1,0)</f>
        <v>0</v>
      </c>
      <c r="H693" s="3">
        <f ca="1">IF(AND(I693&lt;&gt;I692,ISNUMBER(SEARCH(Лист2!$B$5,I:I)),G693=1),MAX($H$3:OFFSET(H693,-1,0))+1,0)</f>
        <v>0</v>
      </c>
      <c r="I693" s="3" t="s">
        <v>109</v>
      </c>
      <c r="K693" s="2">
        <f>IF(ISNUMBER(SEARCH(Лист2!$B$4,F:F)),1,0)</f>
        <v>0</v>
      </c>
      <c r="L693" s="14">
        <f>IF(ISNUMBER(SEARCH(Лист2!$B$5,I:I)),1,0)+K693</f>
        <v>0</v>
      </c>
      <c r="M693" s="3">
        <f ca="1">IF(AND(N693&lt;&gt;N692,ISNUMBER(SEARCH(Лист2!$B$6,N:N)),L693=2),MAX($M$3:OFFSET(M693,-1,0))+1,0)</f>
        <v>0</v>
      </c>
      <c r="N693" s="3" t="s">
        <v>922</v>
      </c>
    </row>
    <row r="694" spans="1:14" x14ac:dyDescent="0.25">
      <c r="A694" s="1" t="s">
        <v>10402</v>
      </c>
      <c r="B694" s="3" t="s">
        <v>4318</v>
      </c>
      <c r="C694" s="2">
        <f ca="1">IF(ISNUMBER(SEARCH(Лист2!$B$4,D:D)),MAX($C$3:OFFSET(C694,-1,0))+1,0)</f>
        <v>0</v>
      </c>
      <c r="E694" s="9" t="str">
        <f t="shared" ca="1" si="22"/>
        <v/>
      </c>
      <c r="F694" s="4" t="s">
        <v>4</v>
      </c>
      <c r="G694" s="2">
        <f>IF(ISNUMBER(SEARCH(Лист2!$B$4,F:F)),1,0)</f>
        <v>0</v>
      </c>
      <c r="H694" s="3">
        <f ca="1">IF(AND(I694&lt;&gt;I693,ISNUMBER(SEARCH(Лист2!$B$5,I:I)),G694=1),MAX($H$3:OFFSET(H694,-1,0))+1,0)</f>
        <v>0</v>
      </c>
      <c r="I694" s="3" t="s">
        <v>109</v>
      </c>
      <c r="K694" s="2">
        <f>IF(ISNUMBER(SEARCH(Лист2!$B$4,F:F)),1,0)</f>
        <v>0</v>
      </c>
      <c r="L694" s="14">
        <f>IF(ISNUMBER(SEARCH(Лист2!$B$5,I:I)),1,0)+K694</f>
        <v>0</v>
      </c>
      <c r="M694" s="3">
        <f ca="1">IF(AND(N694&lt;&gt;N693,ISNUMBER(SEARCH(Лист2!$B$6,N:N)),L694=2),MAX($M$3:OFFSET(M694,-1,0))+1,0)</f>
        <v>0</v>
      </c>
      <c r="N694" s="3" t="s">
        <v>923</v>
      </c>
    </row>
    <row r="695" spans="1:14" x14ac:dyDescent="0.25">
      <c r="A695" s="1" t="s">
        <v>10402</v>
      </c>
      <c r="B695" s="3" t="s">
        <v>4319</v>
      </c>
      <c r="C695" s="2">
        <f ca="1">IF(ISNUMBER(SEARCH(Лист2!$B$4,D:D)),MAX($C$3:OFFSET(C695,-1,0))+1,0)</f>
        <v>0</v>
      </c>
      <c r="E695" s="9" t="str">
        <f t="shared" ca="1" si="22"/>
        <v/>
      </c>
      <c r="F695" s="4" t="s">
        <v>4</v>
      </c>
      <c r="G695" s="2">
        <f>IF(ISNUMBER(SEARCH(Лист2!$B$4,F:F)),1,0)</f>
        <v>0</v>
      </c>
      <c r="H695" s="3">
        <f ca="1">IF(AND(I695&lt;&gt;I694,ISNUMBER(SEARCH(Лист2!$B$5,I:I)),G695=1),MAX($H$3:OFFSET(H695,-1,0))+1,0)</f>
        <v>0</v>
      </c>
      <c r="I695" s="3" t="s">
        <v>109</v>
      </c>
      <c r="K695" s="2">
        <f>IF(ISNUMBER(SEARCH(Лист2!$B$4,F:F)),1,0)</f>
        <v>0</v>
      </c>
      <c r="L695" s="14">
        <f>IF(ISNUMBER(SEARCH(Лист2!$B$5,I:I)),1,0)+K695</f>
        <v>0</v>
      </c>
      <c r="M695" s="3">
        <f ca="1">IF(AND(N695&lt;&gt;N694,ISNUMBER(SEARCH(Лист2!$B$6,N:N)),L695=2),MAX($M$3:OFFSET(M695,-1,0))+1,0)</f>
        <v>0</v>
      </c>
      <c r="N695" s="3" t="s">
        <v>923</v>
      </c>
    </row>
    <row r="696" spans="1:14" x14ac:dyDescent="0.25">
      <c r="A696" s="1" t="s">
        <v>10403</v>
      </c>
      <c r="B696" s="3" t="s">
        <v>4320</v>
      </c>
      <c r="C696" s="2">
        <f ca="1">IF(ISNUMBER(SEARCH(Лист2!$B$4,D:D)),MAX($C$3:OFFSET(C696,-1,0))+1,0)</f>
        <v>0</v>
      </c>
      <c r="E696" s="9" t="str">
        <f t="shared" ca="1" si="22"/>
        <v/>
      </c>
      <c r="F696" s="4" t="s">
        <v>4</v>
      </c>
      <c r="G696" s="2">
        <f>IF(ISNUMBER(SEARCH(Лист2!$B$4,F:F)),1,0)</f>
        <v>0</v>
      </c>
      <c r="H696" s="3">
        <f ca="1">IF(AND(I696&lt;&gt;I695,ISNUMBER(SEARCH(Лист2!$B$5,I:I)),G696=1),MAX($H$3:OFFSET(H696,-1,0))+1,0)</f>
        <v>0</v>
      </c>
      <c r="I696" s="3" t="s">
        <v>109</v>
      </c>
      <c r="K696" s="2">
        <f>IF(ISNUMBER(SEARCH(Лист2!$B$4,F:F)),1,0)</f>
        <v>0</v>
      </c>
      <c r="L696" s="14">
        <f>IF(ISNUMBER(SEARCH(Лист2!$B$5,I:I)),1,0)+K696</f>
        <v>0</v>
      </c>
      <c r="M696" s="3">
        <f ca="1">IF(AND(N696&lt;&gt;N695,ISNUMBER(SEARCH(Лист2!$B$6,N:N)),L696=2),MAX($M$3:OFFSET(M696,-1,0))+1,0)</f>
        <v>0</v>
      </c>
      <c r="N696" s="3" t="s">
        <v>924</v>
      </c>
    </row>
    <row r="697" spans="1:14" x14ac:dyDescent="0.25">
      <c r="A697" s="1" t="s">
        <v>10404</v>
      </c>
      <c r="B697" s="3" t="s">
        <v>4321</v>
      </c>
      <c r="C697" s="2">
        <f ca="1">IF(ISNUMBER(SEARCH(Лист2!$B$4,D:D)),MAX($C$3:OFFSET(C697,-1,0))+1,0)</f>
        <v>0</v>
      </c>
      <c r="E697" s="9" t="str">
        <f t="shared" ca="1" si="22"/>
        <v/>
      </c>
      <c r="F697" s="4" t="s">
        <v>4</v>
      </c>
      <c r="G697" s="2">
        <f>IF(ISNUMBER(SEARCH(Лист2!$B$4,F:F)),1,0)</f>
        <v>0</v>
      </c>
      <c r="H697" s="3">
        <f ca="1">IF(AND(I697&lt;&gt;I696,ISNUMBER(SEARCH(Лист2!$B$5,I:I)),G697=1),MAX($H$3:OFFSET(H697,-1,0))+1,0)</f>
        <v>0</v>
      </c>
      <c r="I697" s="3" t="s">
        <v>110</v>
      </c>
      <c r="K697" s="2">
        <f>IF(ISNUMBER(SEARCH(Лист2!$B$4,F:F)),1,0)</f>
        <v>0</v>
      </c>
      <c r="L697" s="14">
        <f>IF(ISNUMBER(SEARCH(Лист2!$B$5,I:I)),1,0)+K697</f>
        <v>0</v>
      </c>
      <c r="M697" s="3">
        <f ca="1">IF(AND(N697&lt;&gt;N696,ISNUMBER(SEARCH(Лист2!$B$6,N:N)),L697=2),MAX($M$3:OFFSET(M697,-1,0))+1,0)</f>
        <v>0</v>
      </c>
      <c r="N697" s="3" t="s">
        <v>925</v>
      </c>
    </row>
    <row r="698" spans="1:14" x14ac:dyDescent="0.25">
      <c r="A698" s="1" t="s">
        <v>10404</v>
      </c>
      <c r="B698" s="3" t="s">
        <v>4322</v>
      </c>
      <c r="C698" s="2">
        <f ca="1">IF(ISNUMBER(SEARCH(Лист2!$B$4,D:D)),MAX($C$3:OFFSET(C698,-1,0))+1,0)</f>
        <v>0</v>
      </c>
      <c r="E698" s="9" t="str">
        <f t="shared" ca="1" si="22"/>
        <v/>
      </c>
      <c r="F698" s="4" t="s">
        <v>4</v>
      </c>
      <c r="G698" s="2">
        <f>IF(ISNUMBER(SEARCH(Лист2!$B$4,F:F)),1,0)</f>
        <v>0</v>
      </c>
      <c r="H698" s="3">
        <f ca="1">IF(AND(I698&lt;&gt;I697,ISNUMBER(SEARCH(Лист2!$B$5,I:I)),G698=1),MAX($H$3:OFFSET(H698,-1,0))+1,0)</f>
        <v>0</v>
      </c>
      <c r="I698" s="3" t="s">
        <v>110</v>
      </c>
      <c r="K698" s="2">
        <f>IF(ISNUMBER(SEARCH(Лист2!$B$4,F:F)),1,0)</f>
        <v>0</v>
      </c>
      <c r="L698" s="14">
        <f>IF(ISNUMBER(SEARCH(Лист2!$B$5,I:I)),1,0)+K698</f>
        <v>0</v>
      </c>
      <c r="M698" s="3">
        <f ca="1">IF(AND(N698&lt;&gt;N697,ISNUMBER(SEARCH(Лист2!$B$6,N:N)),L698=2),MAX($M$3:OFFSET(M698,-1,0))+1,0)</f>
        <v>0</v>
      </c>
      <c r="N698" s="3" t="s">
        <v>925</v>
      </c>
    </row>
    <row r="699" spans="1:14" x14ac:dyDescent="0.25">
      <c r="A699" s="1" t="s">
        <v>10404</v>
      </c>
      <c r="B699" s="3" t="s">
        <v>4323</v>
      </c>
      <c r="C699" s="2">
        <f ca="1">IF(ISNUMBER(SEARCH(Лист2!$B$4,D:D)),MAX($C$3:OFFSET(C699,-1,0))+1,0)</f>
        <v>0</v>
      </c>
      <c r="E699" s="9" t="str">
        <f t="shared" ca="1" si="22"/>
        <v/>
      </c>
      <c r="F699" s="4" t="s">
        <v>4</v>
      </c>
      <c r="G699" s="2">
        <f>IF(ISNUMBER(SEARCH(Лист2!$B$4,F:F)),1,0)</f>
        <v>0</v>
      </c>
      <c r="H699" s="3">
        <f ca="1">IF(AND(I699&lt;&gt;I698,ISNUMBER(SEARCH(Лист2!$B$5,I:I)),G699=1),MAX($H$3:OFFSET(H699,-1,0))+1,0)</f>
        <v>0</v>
      </c>
      <c r="I699" s="3" t="s">
        <v>110</v>
      </c>
      <c r="K699" s="2">
        <f>IF(ISNUMBER(SEARCH(Лист2!$B$4,F:F)),1,0)</f>
        <v>0</v>
      </c>
      <c r="L699" s="14">
        <f>IF(ISNUMBER(SEARCH(Лист2!$B$5,I:I)),1,0)+K699</f>
        <v>0</v>
      </c>
      <c r="M699" s="3">
        <f ca="1">IF(AND(N699&lt;&gt;N698,ISNUMBER(SEARCH(Лист2!$B$6,N:N)),L699=2),MAX($M$3:OFFSET(M699,-1,0))+1,0)</f>
        <v>0</v>
      </c>
      <c r="N699" s="3" t="s">
        <v>925</v>
      </c>
    </row>
    <row r="700" spans="1:14" x14ac:dyDescent="0.25">
      <c r="A700" s="1" t="s">
        <v>10405</v>
      </c>
      <c r="B700" s="3" t="s">
        <v>4324</v>
      </c>
      <c r="C700" s="2">
        <f ca="1">IF(ISNUMBER(SEARCH(Лист2!$B$4,D:D)),MAX($C$3:OFFSET(C700,-1,0))+1,0)</f>
        <v>0</v>
      </c>
      <c r="E700" s="9" t="str">
        <f t="shared" ca="1" si="22"/>
        <v/>
      </c>
      <c r="F700" s="4" t="s">
        <v>4</v>
      </c>
      <c r="G700" s="2">
        <f>IF(ISNUMBER(SEARCH(Лист2!$B$4,F:F)),1,0)</f>
        <v>0</v>
      </c>
      <c r="H700" s="3">
        <f ca="1">IF(AND(I700&lt;&gt;I699,ISNUMBER(SEARCH(Лист2!$B$5,I:I)),G700=1),MAX($H$3:OFFSET(H700,-1,0))+1,0)</f>
        <v>0</v>
      </c>
      <c r="I700" s="3" t="s">
        <v>110</v>
      </c>
      <c r="K700" s="2">
        <f>IF(ISNUMBER(SEARCH(Лист2!$B$4,F:F)),1,0)</f>
        <v>0</v>
      </c>
      <c r="L700" s="14">
        <f>IF(ISNUMBER(SEARCH(Лист2!$B$5,I:I)),1,0)+K700</f>
        <v>0</v>
      </c>
      <c r="M700" s="3">
        <f ca="1">IF(AND(N700&lt;&gt;N699,ISNUMBER(SEARCH(Лист2!$B$6,N:N)),L700=2),MAX($M$3:OFFSET(M700,-1,0))+1,0)</f>
        <v>0</v>
      </c>
      <c r="N700" s="3" t="s">
        <v>926</v>
      </c>
    </row>
    <row r="701" spans="1:14" x14ac:dyDescent="0.25">
      <c r="A701" s="1" t="s">
        <v>10405</v>
      </c>
      <c r="B701" s="3" t="s">
        <v>4325</v>
      </c>
      <c r="C701" s="2">
        <f ca="1">IF(ISNUMBER(SEARCH(Лист2!$B$4,D:D)),MAX($C$3:OFFSET(C701,-1,0))+1,0)</f>
        <v>0</v>
      </c>
      <c r="E701" s="9" t="str">
        <f t="shared" ca="1" si="22"/>
        <v/>
      </c>
      <c r="F701" s="4" t="s">
        <v>4</v>
      </c>
      <c r="G701" s="2">
        <f>IF(ISNUMBER(SEARCH(Лист2!$B$4,F:F)),1,0)</f>
        <v>0</v>
      </c>
      <c r="H701" s="3">
        <f ca="1">IF(AND(I701&lt;&gt;I700,ISNUMBER(SEARCH(Лист2!$B$5,I:I)),G701=1),MAX($H$3:OFFSET(H701,-1,0))+1,0)</f>
        <v>0</v>
      </c>
      <c r="I701" s="3" t="s">
        <v>110</v>
      </c>
      <c r="K701" s="2">
        <f>IF(ISNUMBER(SEARCH(Лист2!$B$4,F:F)),1,0)</f>
        <v>0</v>
      </c>
      <c r="L701" s="14">
        <f>IF(ISNUMBER(SEARCH(Лист2!$B$5,I:I)),1,0)+K701</f>
        <v>0</v>
      </c>
      <c r="M701" s="3">
        <f ca="1">IF(AND(N701&lt;&gt;N700,ISNUMBER(SEARCH(Лист2!$B$6,N:N)),L701=2),MAX($M$3:OFFSET(M701,-1,0))+1,0)</f>
        <v>0</v>
      </c>
      <c r="N701" s="3" t="s">
        <v>926</v>
      </c>
    </row>
    <row r="702" spans="1:14" x14ac:dyDescent="0.25">
      <c r="A702" s="1" t="s">
        <v>10405</v>
      </c>
      <c r="B702" s="3" t="s">
        <v>4326</v>
      </c>
      <c r="C702" s="2">
        <f ca="1">IF(ISNUMBER(SEARCH(Лист2!$B$4,D:D)),MAX($C$3:OFFSET(C702,-1,0))+1,0)</f>
        <v>0</v>
      </c>
      <c r="E702" s="9" t="str">
        <f t="shared" ca="1" si="22"/>
        <v/>
      </c>
      <c r="F702" s="4" t="s">
        <v>4</v>
      </c>
      <c r="G702" s="2">
        <f>IF(ISNUMBER(SEARCH(Лист2!$B$4,F:F)),1,0)</f>
        <v>0</v>
      </c>
      <c r="H702" s="3">
        <f ca="1">IF(AND(I702&lt;&gt;I701,ISNUMBER(SEARCH(Лист2!$B$5,I:I)),G702=1),MAX($H$3:OFFSET(H702,-1,0))+1,0)</f>
        <v>0</v>
      </c>
      <c r="I702" s="3" t="s">
        <v>110</v>
      </c>
      <c r="K702" s="2">
        <f>IF(ISNUMBER(SEARCH(Лист2!$B$4,F:F)),1,0)</f>
        <v>0</v>
      </c>
      <c r="L702" s="14">
        <f>IF(ISNUMBER(SEARCH(Лист2!$B$5,I:I)),1,0)+K702</f>
        <v>0</v>
      </c>
      <c r="M702" s="3">
        <f ca="1">IF(AND(N702&lt;&gt;N701,ISNUMBER(SEARCH(Лист2!$B$6,N:N)),L702=2),MAX($M$3:OFFSET(M702,-1,0))+1,0)</f>
        <v>0</v>
      </c>
      <c r="N702" s="3" t="s">
        <v>926</v>
      </c>
    </row>
    <row r="703" spans="1:14" x14ac:dyDescent="0.25">
      <c r="A703" s="1" t="s">
        <v>10406</v>
      </c>
      <c r="B703" s="3" t="s">
        <v>4327</v>
      </c>
      <c r="C703" s="2">
        <f ca="1">IF(ISNUMBER(SEARCH(Лист2!$B$4,D:D)),MAX($C$3:OFFSET(C703,-1,0))+1,0)</f>
        <v>0</v>
      </c>
      <c r="E703" s="9" t="str">
        <f t="shared" ca="1" si="22"/>
        <v/>
      </c>
      <c r="F703" s="4" t="s">
        <v>4</v>
      </c>
      <c r="G703" s="2">
        <f>IF(ISNUMBER(SEARCH(Лист2!$B$4,F:F)),1,0)</f>
        <v>0</v>
      </c>
      <c r="H703" s="3">
        <f ca="1">IF(AND(I703&lt;&gt;I702,ISNUMBER(SEARCH(Лист2!$B$5,I:I)),G703=1),MAX($H$3:OFFSET(H703,-1,0))+1,0)</f>
        <v>0</v>
      </c>
      <c r="I703" s="3" t="s">
        <v>110</v>
      </c>
      <c r="K703" s="2">
        <f>IF(ISNUMBER(SEARCH(Лист2!$B$4,F:F)),1,0)</f>
        <v>0</v>
      </c>
      <c r="L703" s="14">
        <f>IF(ISNUMBER(SEARCH(Лист2!$B$5,I:I)),1,0)+K703</f>
        <v>0</v>
      </c>
      <c r="M703" s="3">
        <f ca="1">IF(AND(N703&lt;&gt;N702,ISNUMBER(SEARCH(Лист2!$B$6,N:N)),L703=2),MAX($M$3:OFFSET(M703,-1,0))+1,0)</f>
        <v>0</v>
      </c>
      <c r="N703" s="3" t="s">
        <v>927</v>
      </c>
    </row>
    <row r="704" spans="1:14" x14ac:dyDescent="0.25">
      <c r="A704" s="1" t="s">
        <v>10406</v>
      </c>
      <c r="B704" s="3" t="s">
        <v>4328</v>
      </c>
      <c r="C704" s="2">
        <f ca="1">IF(ISNUMBER(SEARCH(Лист2!$B$4,D:D)),MAX($C$3:OFFSET(C704,-1,0))+1,0)</f>
        <v>0</v>
      </c>
      <c r="E704" s="9" t="str">
        <f t="shared" ca="1" si="22"/>
        <v/>
      </c>
      <c r="F704" s="4" t="s">
        <v>4</v>
      </c>
      <c r="G704" s="2">
        <f>IF(ISNUMBER(SEARCH(Лист2!$B$4,F:F)),1,0)</f>
        <v>0</v>
      </c>
      <c r="H704" s="3">
        <f ca="1">IF(AND(I704&lt;&gt;I703,ISNUMBER(SEARCH(Лист2!$B$5,I:I)),G704=1),MAX($H$3:OFFSET(H704,-1,0))+1,0)</f>
        <v>0</v>
      </c>
      <c r="I704" s="3" t="s">
        <v>110</v>
      </c>
      <c r="K704" s="2">
        <f>IF(ISNUMBER(SEARCH(Лист2!$B$4,F:F)),1,0)</f>
        <v>0</v>
      </c>
      <c r="L704" s="14">
        <f>IF(ISNUMBER(SEARCH(Лист2!$B$5,I:I)),1,0)+K704</f>
        <v>0</v>
      </c>
      <c r="M704" s="3">
        <f ca="1">IF(AND(N704&lt;&gt;N703,ISNUMBER(SEARCH(Лист2!$B$6,N:N)),L704=2),MAX($M$3:OFFSET(M704,-1,0))+1,0)</f>
        <v>0</v>
      </c>
      <c r="N704" s="3" t="s">
        <v>927</v>
      </c>
    </row>
    <row r="705" spans="1:14" x14ac:dyDescent="0.25">
      <c r="A705" s="1" t="s">
        <v>10406</v>
      </c>
      <c r="B705" s="3" t="s">
        <v>4329</v>
      </c>
      <c r="C705" s="2">
        <f ca="1">IF(ISNUMBER(SEARCH(Лист2!$B$4,D:D)),MAX($C$3:OFFSET(C705,-1,0))+1,0)</f>
        <v>0</v>
      </c>
      <c r="E705" s="9" t="str">
        <f t="shared" ca="1" si="22"/>
        <v/>
      </c>
      <c r="F705" s="4" t="s">
        <v>4</v>
      </c>
      <c r="G705" s="2">
        <f>IF(ISNUMBER(SEARCH(Лист2!$B$4,F:F)),1,0)</f>
        <v>0</v>
      </c>
      <c r="H705" s="3">
        <f ca="1">IF(AND(I705&lt;&gt;I704,ISNUMBER(SEARCH(Лист2!$B$5,I:I)),G705=1),MAX($H$3:OFFSET(H705,-1,0))+1,0)</f>
        <v>0</v>
      </c>
      <c r="I705" s="3" t="s">
        <v>110</v>
      </c>
      <c r="K705" s="2">
        <f>IF(ISNUMBER(SEARCH(Лист2!$B$4,F:F)),1,0)</f>
        <v>0</v>
      </c>
      <c r="L705" s="14">
        <f>IF(ISNUMBER(SEARCH(Лист2!$B$5,I:I)),1,0)+K705</f>
        <v>0</v>
      </c>
      <c r="M705" s="3">
        <f ca="1">IF(AND(N705&lt;&gt;N704,ISNUMBER(SEARCH(Лист2!$B$6,N:N)),L705=2),MAX($M$3:OFFSET(M705,-1,0))+1,0)</f>
        <v>0</v>
      </c>
      <c r="N705" s="3" t="s">
        <v>927</v>
      </c>
    </row>
    <row r="706" spans="1:14" x14ac:dyDescent="0.25">
      <c r="A706" s="1" t="s">
        <v>10406</v>
      </c>
      <c r="B706" s="3" t="s">
        <v>4330</v>
      </c>
      <c r="C706" s="2">
        <f ca="1">IF(ISNUMBER(SEARCH(Лист2!$B$4,D:D)),MAX($C$3:OFFSET(C706,-1,0))+1,0)</f>
        <v>0</v>
      </c>
      <c r="E706" s="9" t="str">
        <f t="shared" ca="1" si="22"/>
        <v/>
      </c>
      <c r="F706" s="4" t="s">
        <v>4</v>
      </c>
      <c r="G706" s="2">
        <f>IF(ISNUMBER(SEARCH(Лист2!$B$4,F:F)),1,0)</f>
        <v>0</v>
      </c>
      <c r="H706" s="3">
        <f ca="1">IF(AND(I706&lt;&gt;I705,ISNUMBER(SEARCH(Лист2!$B$5,I:I)),G706=1),MAX($H$3:OFFSET(H706,-1,0))+1,0)</f>
        <v>0</v>
      </c>
      <c r="I706" s="3" t="s">
        <v>110</v>
      </c>
      <c r="K706" s="2">
        <f>IF(ISNUMBER(SEARCH(Лист2!$B$4,F:F)),1,0)</f>
        <v>0</v>
      </c>
      <c r="L706" s="14">
        <f>IF(ISNUMBER(SEARCH(Лист2!$B$5,I:I)),1,0)+K706</f>
        <v>0</v>
      </c>
      <c r="M706" s="3">
        <f ca="1">IF(AND(N706&lt;&gt;N705,ISNUMBER(SEARCH(Лист2!$B$6,N:N)),L706=2),MAX($M$3:OFFSET(M706,-1,0))+1,0)</f>
        <v>0</v>
      </c>
      <c r="N706" s="3" t="s">
        <v>927</v>
      </c>
    </row>
    <row r="707" spans="1:14" x14ac:dyDescent="0.25">
      <c r="A707" s="1" t="s">
        <v>10406</v>
      </c>
      <c r="B707" s="3" t="s">
        <v>4331</v>
      </c>
      <c r="C707" s="2">
        <f ca="1">IF(ISNUMBER(SEARCH(Лист2!$B$4,D:D)),MAX($C$3:OFFSET(C707,-1,0))+1,0)</f>
        <v>0</v>
      </c>
      <c r="E707" s="9" t="str">
        <f t="shared" ca="1" si="22"/>
        <v/>
      </c>
      <c r="F707" s="4" t="s">
        <v>4</v>
      </c>
      <c r="G707" s="2">
        <f>IF(ISNUMBER(SEARCH(Лист2!$B$4,F:F)),1,0)</f>
        <v>0</v>
      </c>
      <c r="H707" s="3">
        <f ca="1">IF(AND(I707&lt;&gt;I706,ISNUMBER(SEARCH(Лист2!$B$5,I:I)),G707=1),MAX($H$3:OFFSET(H707,-1,0))+1,0)</f>
        <v>0</v>
      </c>
      <c r="I707" s="3" t="s">
        <v>110</v>
      </c>
      <c r="K707" s="2">
        <f>IF(ISNUMBER(SEARCH(Лист2!$B$4,F:F)),1,0)</f>
        <v>0</v>
      </c>
      <c r="L707" s="14">
        <f>IF(ISNUMBER(SEARCH(Лист2!$B$5,I:I)),1,0)+K707</f>
        <v>0</v>
      </c>
      <c r="M707" s="3">
        <f ca="1">IF(AND(N707&lt;&gt;N706,ISNUMBER(SEARCH(Лист2!$B$6,N:N)),L707=2),MAX($M$3:OFFSET(M707,-1,0))+1,0)</f>
        <v>0</v>
      </c>
      <c r="N707" s="3" t="s">
        <v>927</v>
      </c>
    </row>
    <row r="708" spans="1:14" x14ac:dyDescent="0.25">
      <c r="A708" s="1" t="s">
        <v>10406</v>
      </c>
      <c r="B708" s="3" t="s">
        <v>4332</v>
      </c>
      <c r="C708" s="2">
        <f ca="1">IF(ISNUMBER(SEARCH(Лист2!$B$4,D:D)),MAX($C$3:OFFSET(C708,-1,0))+1,0)</f>
        <v>0</v>
      </c>
      <c r="E708" s="9" t="str">
        <f t="shared" ca="1" si="22"/>
        <v/>
      </c>
      <c r="F708" s="4" t="s">
        <v>4</v>
      </c>
      <c r="G708" s="2">
        <f>IF(ISNUMBER(SEARCH(Лист2!$B$4,F:F)),1,0)</f>
        <v>0</v>
      </c>
      <c r="H708" s="3">
        <f ca="1">IF(AND(I708&lt;&gt;I707,ISNUMBER(SEARCH(Лист2!$B$5,I:I)),G708=1),MAX($H$3:OFFSET(H708,-1,0))+1,0)</f>
        <v>0</v>
      </c>
      <c r="I708" s="3" t="s">
        <v>110</v>
      </c>
      <c r="K708" s="2">
        <f>IF(ISNUMBER(SEARCH(Лист2!$B$4,F:F)),1,0)</f>
        <v>0</v>
      </c>
      <c r="L708" s="14">
        <f>IF(ISNUMBER(SEARCH(Лист2!$B$5,I:I)),1,0)+K708</f>
        <v>0</v>
      </c>
      <c r="M708" s="3">
        <f ca="1">IF(AND(N708&lt;&gt;N707,ISNUMBER(SEARCH(Лист2!$B$6,N:N)),L708=2),MAX($M$3:OFFSET(M708,-1,0))+1,0)</f>
        <v>0</v>
      </c>
      <c r="N708" s="3" t="s">
        <v>927</v>
      </c>
    </row>
    <row r="709" spans="1:14" x14ac:dyDescent="0.25">
      <c r="A709" s="1" t="s">
        <v>10407</v>
      </c>
      <c r="B709" s="3" t="s">
        <v>4333</v>
      </c>
      <c r="C709" s="2">
        <f ca="1">IF(ISNUMBER(SEARCH(Лист2!$B$4,D:D)),MAX($C$3:OFFSET(C709,-1,0))+1,0)</f>
        <v>0</v>
      </c>
      <c r="E709" s="9" t="str">
        <f t="shared" ref="E709:E772" ca="1" si="23">IFERROR(INDEX(D:D,MATCH(ROW(E709)-ROW($E$3),C:C,0)),"")</f>
        <v/>
      </c>
      <c r="F709" s="4" t="s">
        <v>4</v>
      </c>
      <c r="G709" s="2">
        <f>IF(ISNUMBER(SEARCH(Лист2!$B$4,F:F)),1,0)</f>
        <v>0</v>
      </c>
      <c r="H709" s="3">
        <f ca="1">IF(AND(I709&lt;&gt;I708,ISNUMBER(SEARCH(Лист2!$B$5,I:I)),G709=1),MAX($H$3:OFFSET(H709,-1,0))+1,0)</f>
        <v>0</v>
      </c>
      <c r="I709" s="3" t="s">
        <v>110</v>
      </c>
      <c r="K709" s="2">
        <f>IF(ISNUMBER(SEARCH(Лист2!$B$4,F:F)),1,0)</f>
        <v>0</v>
      </c>
      <c r="L709" s="14">
        <f>IF(ISNUMBER(SEARCH(Лист2!$B$5,I:I)),1,0)+K709</f>
        <v>0</v>
      </c>
      <c r="M709" s="3">
        <f ca="1">IF(AND(N709&lt;&gt;N708,ISNUMBER(SEARCH(Лист2!$B$6,N:N)),L709=2),MAX($M$3:OFFSET(M709,-1,0))+1,0)</f>
        <v>0</v>
      </c>
      <c r="N709" s="3" t="s">
        <v>928</v>
      </c>
    </row>
    <row r="710" spans="1:14" x14ac:dyDescent="0.25">
      <c r="A710" s="1" t="s">
        <v>10407</v>
      </c>
      <c r="B710" s="3" t="s">
        <v>4334</v>
      </c>
      <c r="C710" s="2">
        <f ca="1">IF(ISNUMBER(SEARCH(Лист2!$B$4,D:D)),MAX($C$3:OFFSET(C710,-1,0))+1,0)</f>
        <v>0</v>
      </c>
      <c r="E710" s="9" t="str">
        <f t="shared" ca="1" si="23"/>
        <v/>
      </c>
      <c r="F710" s="4" t="s">
        <v>4</v>
      </c>
      <c r="G710" s="2">
        <f>IF(ISNUMBER(SEARCH(Лист2!$B$4,F:F)),1,0)</f>
        <v>0</v>
      </c>
      <c r="H710" s="3">
        <f ca="1">IF(AND(I710&lt;&gt;I709,ISNUMBER(SEARCH(Лист2!$B$5,I:I)),G710=1),MAX($H$3:OFFSET(H710,-1,0))+1,0)</f>
        <v>0</v>
      </c>
      <c r="I710" s="3" t="s">
        <v>110</v>
      </c>
      <c r="K710" s="2">
        <f>IF(ISNUMBER(SEARCH(Лист2!$B$4,F:F)),1,0)</f>
        <v>0</v>
      </c>
      <c r="L710" s="14">
        <f>IF(ISNUMBER(SEARCH(Лист2!$B$5,I:I)),1,0)+K710</f>
        <v>0</v>
      </c>
      <c r="M710" s="3">
        <f ca="1">IF(AND(N710&lt;&gt;N709,ISNUMBER(SEARCH(Лист2!$B$6,N:N)),L710=2),MAX($M$3:OFFSET(M710,-1,0))+1,0)</f>
        <v>0</v>
      </c>
      <c r="N710" s="3" t="s">
        <v>928</v>
      </c>
    </row>
    <row r="711" spans="1:14" x14ac:dyDescent="0.25">
      <c r="A711" s="1" t="s">
        <v>10407</v>
      </c>
      <c r="B711" s="3" t="s">
        <v>4335</v>
      </c>
      <c r="C711" s="2">
        <f ca="1">IF(ISNUMBER(SEARCH(Лист2!$B$4,D:D)),MAX($C$3:OFFSET(C711,-1,0))+1,0)</f>
        <v>0</v>
      </c>
      <c r="E711" s="9" t="str">
        <f t="shared" ca="1" si="23"/>
        <v/>
      </c>
      <c r="F711" s="4" t="s">
        <v>4</v>
      </c>
      <c r="G711" s="2">
        <f>IF(ISNUMBER(SEARCH(Лист2!$B$4,F:F)),1,0)</f>
        <v>0</v>
      </c>
      <c r="H711" s="3">
        <f ca="1">IF(AND(I711&lt;&gt;I710,ISNUMBER(SEARCH(Лист2!$B$5,I:I)),G711=1),MAX($H$3:OFFSET(H711,-1,0))+1,0)</f>
        <v>0</v>
      </c>
      <c r="I711" s="3" t="s">
        <v>110</v>
      </c>
      <c r="K711" s="2">
        <f>IF(ISNUMBER(SEARCH(Лист2!$B$4,F:F)),1,0)</f>
        <v>0</v>
      </c>
      <c r="L711" s="14">
        <f>IF(ISNUMBER(SEARCH(Лист2!$B$5,I:I)),1,0)+K711</f>
        <v>0</v>
      </c>
      <c r="M711" s="3">
        <f ca="1">IF(AND(N711&lt;&gt;N710,ISNUMBER(SEARCH(Лист2!$B$6,N:N)),L711=2),MAX($M$3:OFFSET(M711,-1,0))+1,0)</f>
        <v>0</v>
      </c>
      <c r="N711" s="3" t="s">
        <v>928</v>
      </c>
    </row>
    <row r="712" spans="1:14" x14ac:dyDescent="0.25">
      <c r="A712" s="1" t="s">
        <v>10408</v>
      </c>
      <c r="B712" s="3" t="s">
        <v>4336</v>
      </c>
      <c r="C712" s="2">
        <f ca="1">IF(ISNUMBER(SEARCH(Лист2!$B$4,D:D)),MAX($C$3:OFFSET(C712,-1,0))+1,0)</f>
        <v>0</v>
      </c>
      <c r="E712" s="9" t="str">
        <f t="shared" ca="1" si="23"/>
        <v/>
      </c>
      <c r="F712" s="4" t="s">
        <v>4</v>
      </c>
      <c r="G712" s="2">
        <f>IF(ISNUMBER(SEARCH(Лист2!$B$4,F:F)),1,0)</f>
        <v>0</v>
      </c>
      <c r="H712" s="3">
        <f ca="1">IF(AND(I712&lt;&gt;I711,ISNUMBER(SEARCH(Лист2!$B$5,I:I)),G712=1),MAX($H$3:OFFSET(H712,-1,0))+1,0)</f>
        <v>0</v>
      </c>
      <c r="I712" s="3" t="s">
        <v>111</v>
      </c>
      <c r="K712" s="2">
        <f>IF(ISNUMBER(SEARCH(Лист2!$B$4,F:F)),1,0)</f>
        <v>0</v>
      </c>
      <c r="L712" s="14">
        <f>IF(ISNUMBER(SEARCH(Лист2!$B$5,I:I)),1,0)+K712</f>
        <v>0</v>
      </c>
      <c r="M712" s="3">
        <f ca="1">IF(AND(N712&lt;&gt;N711,ISNUMBER(SEARCH(Лист2!$B$6,N:N)),L712=2),MAX($M$3:OFFSET(M712,-1,0))+1,0)</f>
        <v>0</v>
      </c>
      <c r="N712" s="3" t="s">
        <v>929</v>
      </c>
    </row>
    <row r="713" spans="1:14" x14ac:dyDescent="0.25">
      <c r="A713" s="1" t="s">
        <v>10408</v>
      </c>
      <c r="B713" s="3" t="s">
        <v>4337</v>
      </c>
      <c r="C713" s="2">
        <f ca="1">IF(ISNUMBER(SEARCH(Лист2!$B$4,D:D)),MAX($C$3:OFFSET(C713,-1,0))+1,0)</f>
        <v>0</v>
      </c>
      <c r="E713" s="9" t="str">
        <f t="shared" ca="1" si="23"/>
        <v/>
      </c>
      <c r="F713" s="4" t="s">
        <v>4</v>
      </c>
      <c r="G713" s="2">
        <f>IF(ISNUMBER(SEARCH(Лист2!$B$4,F:F)),1,0)</f>
        <v>0</v>
      </c>
      <c r="H713" s="3">
        <f ca="1">IF(AND(I713&lt;&gt;I712,ISNUMBER(SEARCH(Лист2!$B$5,I:I)),G713=1),MAX($H$3:OFFSET(H713,-1,0))+1,0)</f>
        <v>0</v>
      </c>
      <c r="I713" s="3" t="s">
        <v>111</v>
      </c>
      <c r="K713" s="2">
        <f>IF(ISNUMBER(SEARCH(Лист2!$B$4,F:F)),1,0)</f>
        <v>0</v>
      </c>
      <c r="L713" s="14">
        <f>IF(ISNUMBER(SEARCH(Лист2!$B$5,I:I)),1,0)+K713</f>
        <v>0</v>
      </c>
      <c r="M713" s="3">
        <f ca="1">IF(AND(N713&lt;&gt;N712,ISNUMBER(SEARCH(Лист2!$B$6,N:N)),L713=2),MAX($M$3:OFFSET(M713,-1,0))+1,0)</f>
        <v>0</v>
      </c>
      <c r="N713" s="3" t="s">
        <v>929</v>
      </c>
    </row>
    <row r="714" spans="1:14" x14ac:dyDescent="0.25">
      <c r="A714" s="1" t="s">
        <v>10408</v>
      </c>
      <c r="B714" s="3" t="s">
        <v>4338</v>
      </c>
      <c r="C714" s="2">
        <f ca="1">IF(ISNUMBER(SEARCH(Лист2!$B$4,D:D)),MAX($C$3:OFFSET(C714,-1,0))+1,0)</f>
        <v>0</v>
      </c>
      <c r="E714" s="9" t="str">
        <f t="shared" ca="1" si="23"/>
        <v/>
      </c>
      <c r="F714" s="4" t="s">
        <v>4</v>
      </c>
      <c r="G714" s="2">
        <f>IF(ISNUMBER(SEARCH(Лист2!$B$4,F:F)),1,0)</f>
        <v>0</v>
      </c>
      <c r="H714" s="3">
        <f ca="1">IF(AND(I714&lt;&gt;I713,ISNUMBER(SEARCH(Лист2!$B$5,I:I)),G714=1),MAX($H$3:OFFSET(H714,-1,0))+1,0)</f>
        <v>0</v>
      </c>
      <c r="I714" s="3" t="s">
        <v>111</v>
      </c>
      <c r="K714" s="2">
        <f>IF(ISNUMBER(SEARCH(Лист2!$B$4,F:F)),1,0)</f>
        <v>0</v>
      </c>
      <c r="L714" s="14">
        <f>IF(ISNUMBER(SEARCH(Лист2!$B$5,I:I)),1,0)+K714</f>
        <v>0</v>
      </c>
      <c r="M714" s="3">
        <f ca="1">IF(AND(N714&lt;&gt;N713,ISNUMBER(SEARCH(Лист2!$B$6,N:N)),L714=2),MAX($M$3:OFFSET(M714,-1,0))+1,0)</f>
        <v>0</v>
      </c>
      <c r="N714" s="3" t="s">
        <v>929</v>
      </c>
    </row>
    <row r="715" spans="1:14" x14ac:dyDescent="0.25">
      <c r="A715" s="1" t="s">
        <v>10409</v>
      </c>
      <c r="B715" s="3" t="s">
        <v>4339</v>
      </c>
      <c r="C715" s="2">
        <f ca="1">IF(ISNUMBER(SEARCH(Лист2!$B$4,D:D)),MAX($C$3:OFFSET(C715,-1,0))+1,0)</f>
        <v>0</v>
      </c>
      <c r="E715" s="9" t="str">
        <f t="shared" ca="1" si="23"/>
        <v/>
      </c>
      <c r="F715" s="4" t="s">
        <v>4</v>
      </c>
      <c r="G715" s="2">
        <f>IF(ISNUMBER(SEARCH(Лист2!$B$4,F:F)),1,0)</f>
        <v>0</v>
      </c>
      <c r="H715" s="3">
        <f ca="1">IF(AND(I715&lt;&gt;I714,ISNUMBER(SEARCH(Лист2!$B$5,I:I)),G715=1),MAX($H$3:OFFSET(H715,-1,0))+1,0)</f>
        <v>0</v>
      </c>
      <c r="I715" s="3" t="s">
        <v>111</v>
      </c>
      <c r="K715" s="2">
        <f>IF(ISNUMBER(SEARCH(Лист2!$B$4,F:F)),1,0)</f>
        <v>0</v>
      </c>
      <c r="L715" s="14">
        <f>IF(ISNUMBER(SEARCH(Лист2!$B$5,I:I)),1,0)+K715</f>
        <v>0</v>
      </c>
      <c r="M715" s="3">
        <f ca="1">IF(AND(N715&lt;&gt;N714,ISNUMBER(SEARCH(Лист2!$B$6,N:N)),L715=2),MAX($M$3:OFFSET(M715,-1,0))+1,0)</f>
        <v>0</v>
      </c>
      <c r="N715" s="3" t="s">
        <v>930</v>
      </c>
    </row>
    <row r="716" spans="1:14" x14ac:dyDescent="0.25">
      <c r="A716" s="1" t="s">
        <v>10409</v>
      </c>
      <c r="B716" s="3" t="s">
        <v>4340</v>
      </c>
      <c r="C716" s="2">
        <f ca="1">IF(ISNUMBER(SEARCH(Лист2!$B$4,D:D)),MAX($C$3:OFFSET(C716,-1,0))+1,0)</f>
        <v>0</v>
      </c>
      <c r="E716" s="9" t="str">
        <f t="shared" ca="1" si="23"/>
        <v/>
      </c>
      <c r="F716" s="4" t="s">
        <v>4</v>
      </c>
      <c r="G716" s="2">
        <f>IF(ISNUMBER(SEARCH(Лист2!$B$4,F:F)),1,0)</f>
        <v>0</v>
      </c>
      <c r="H716" s="3">
        <f ca="1">IF(AND(I716&lt;&gt;I715,ISNUMBER(SEARCH(Лист2!$B$5,I:I)),G716=1),MAX($H$3:OFFSET(H716,-1,0))+1,0)</f>
        <v>0</v>
      </c>
      <c r="I716" s="3" t="s">
        <v>111</v>
      </c>
      <c r="K716" s="2">
        <f>IF(ISNUMBER(SEARCH(Лист2!$B$4,F:F)),1,0)</f>
        <v>0</v>
      </c>
      <c r="L716" s="14">
        <f>IF(ISNUMBER(SEARCH(Лист2!$B$5,I:I)),1,0)+K716</f>
        <v>0</v>
      </c>
      <c r="M716" s="3">
        <f ca="1">IF(AND(N716&lt;&gt;N715,ISNUMBER(SEARCH(Лист2!$B$6,N:N)),L716=2),MAX($M$3:OFFSET(M716,-1,0))+1,0)</f>
        <v>0</v>
      </c>
      <c r="N716" s="3" t="s">
        <v>930</v>
      </c>
    </row>
    <row r="717" spans="1:14" x14ac:dyDescent="0.25">
      <c r="A717" s="1" t="s">
        <v>10409</v>
      </c>
      <c r="B717" s="3" t="s">
        <v>4341</v>
      </c>
      <c r="C717" s="2">
        <f ca="1">IF(ISNUMBER(SEARCH(Лист2!$B$4,D:D)),MAX($C$3:OFFSET(C717,-1,0))+1,0)</f>
        <v>0</v>
      </c>
      <c r="E717" s="9" t="str">
        <f t="shared" ca="1" si="23"/>
        <v/>
      </c>
      <c r="F717" s="4" t="s">
        <v>4</v>
      </c>
      <c r="G717" s="2">
        <f>IF(ISNUMBER(SEARCH(Лист2!$B$4,F:F)),1,0)</f>
        <v>0</v>
      </c>
      <c r="H717" s="3">
        <f ca="1">IF(AND(I717&lt;&gt;I716,ISNUMBER(SEARCH(Лист2!$B$5,I:I)),G717=1),MAX($H$3:OFFSET(H717,-1,0))+1,0)</f>
        <v>0</v>
      </c>
      <c r="I717" s="3" t="s">
        <v>111</v>
      </c>
      <c r="K717" s="2">
        <f>IF(ISNUMBER(SEARCH(Лист2!$B$4,F:F)),1,0)</f>
        <v>0</v>
      </c>
      <c r="L717" s="14">
        <f>IF(ISNUMBER(SEARCH(Лист2!$B$5,I:I)),1,0)+K717</f>
        <v>0</v>
      </c>
      <c r="M717" s="3">
        <f ca="1">IF(AND(N717&lt;&gt;N716,ISNUMBER(SEARCH(Лист2!$B$6,N:N)),L717=2),MAX($M$3:OFFSET(M717,-1,0))+1,0)</f>
        <v>0</v>
      </c>
      <c r="N717" s="3" t="s">
        <v>930</v>
      </c>
    </row>
    <row r="718" spans="1:14" x14ac:dyDescent="0.25">
      <c r="A718" s="1" t="s">
        <v>10410</v>
      </c>
      <c r="B718" s="3" t="s">
        <v>4342</v>
      </c>
      <c r="C718" s="2">
        <f ca="1">IF(ISNUMBER(SEARCH(Лист2!$B$4,D:D)),MAX($C$3:OFFSET(C718,-1,0))+1,0)</f>
        <v>0</v>
      </c>
      <c r="E718" s="9" t="str">
        <f t="shared" ca="1" si="23"/>
        <v/>
      </c>
      <c r="F718" s="4" t="s">
        <v>4</v>
      </c>
      <c r="G718" s="2">
        <f>IF(ISNUMBER(SEARCH(Лист2!$B$4,F:F)),1,0)</f>
        <v>0</v>
      </c>
      <c r="H718" s="3">
        <f ca="1">IF(AND(I718&lt;&gt;I717,ISNUMBER(SEARCH(Лист2!$B$5,I:I)),G718=1),MAX($H$3:OFFSET(H718,-1,0))+1,0)</f>
        <v>0</v>
      </c>
      <c r="I718" s="3" t="s">
        <v>111</v>
      </c>
      <c r="K718" s="2">
        <f>IF(ISNUMBER(SEARCH(Лист2!$B$4,F:F)),1,0)</f>
        <v>0</v>
      </c>
      <c r="L718" s="14">
        <f>IF(ISNUMBER(SEARCH(Лист2!$B$5,I:I)),1,0)+K718</f>
        <v>0</v>
      </c>
      <c r="M718" s="3">
        <f ca="1">IF(AND(N718&lt;&gt;N717,ISNUMBER(SEARCH(Лист2!$B$6,N:N)),L718=2),MAX($M$3:OFFSET(M718,-1,0))+1,0)</f>
        <v>0</v>
      </c>
      <c r="N718" s="3" t="s">
        <v>931</v>
      </c>
    </row>
    <row r="719" spans="1:14" x14ac:dyDescent="0.25">
      <c r="A719" s="1" t="s">
        <v>10410</v>
      </c>
      <c r="B719" s="3" t="s">
        <v>4343</v>
      </c>
      <c r="C719" s="2">
        <f ca="1">IF(ISNUMBER(SEARCH(Лист2!$B$4,D:D)),MAX($C$3:OFFSET(C719,-1,0))+1,0)</f>
        <v>0</v>
      </c>
      <c r="E719" s="9" t="str">
        <f t="shared" ca="1" si="23"/>
        <v/>
      </c>
      <c r="F719" s="4" t="s">
        <v>4</v>
      </c>
      <c r="G719" s="2">
        <f>IF(ISNUMBER(SEARCH(Лист2!$B$4,F:F)),1,0)</f>
        <v>0</v>
      </c>
      <c r="H719" s="3">
        <f ca="1">IF(AND(I719&lt;&gt;I718,ISNUMBER(SEARCH(Лист2!$B$5,I:I)),G719=1),MAX($H$3:OFFSET(H719,-1,0))+1,0)</f>
        <v>0</v>
      </c>
      <c r="I719" s="3" t="s">
        <v>111</v>
      </c>
      <c r="K719" s="2">
        <f>IF(ISNUMBER(SEARCH(Лист2!$B$4,F:F)),1,0)</f>
        <v>0</v>
      </c>
      <c r="L719" s="14">
        <f>IF(ISNUMBER(SEARCH(Лист2!$B$5,I:I)),1,0)+K719</f>
        <v>0</v>
      </c>
      <c r="M719" s="3">
        <f ca="1">IF(AND(N719&lt;&gt;N718,ISNUMBER(SEARCH(Лист2!$B$6,N:N)),L719=2),MAX($M$3:OFFSET(M719,-1,0))+1,0)</f>
        <v>0</v>
      </c>
      <c r="N719" s="3" t="s">
        <v>931</v>
      </c>
    </row>
    <row r="720" spans="1:14" x14ac:dyDescent="0.25">
      <c r="A720" s="1" t="s">
        <v>10410</v>
      </c>
      <c r="B720" s="3" t="s">
        <v>4344</v>
      </c>
      <c r="C720" s="2">
        <f ca="1">IF(ISNUMBER(SEARCH(Лист2!$B$4,D:D)),MAX($C$3:OFFSET(C720,-1,0))+1,0)</f>
        <v>0</v>
      </c>
      <c r="E720" s="9" t="str">
        <f t="shared" ca="1" si="23"/>
        <v/>
      </c>
      <c r="F720" s="4" t="s">
        <v>4</v>
      </c>
      <c r="G720" s="2">
        <f>IF(ISNUMBER(SEARCH(Лист2!$B$4,F:F)),1,0)</f>
        <v>0</v>
      </c>
      <c r="H720" s="3">
        <f ca="1">IF(AND(I720&lt;&gt;I719,ISNUMBER(SEARCH(Лист2!$B$5,I:I)),G720=1),MAX($H$3:OFFSET(H720,-1,0))+1,0)</f>
        <v>0</v>
      </c>
      <c r="I720" s="3" t="s">
        <v>111</v>
      </c>
      <c r="K720" s="2">
        <f>IF(ISNUMBER(SEARCH(Лист2!$B$4,F:F)),1,0)</f>
        <v>0</v>
      </c>
      <c r="L720" s="14">
        <f>IF(ISNUMBER(SEARCH(Лист2!$B$5,I:I)),1,0)+K720</f>
        <v>0</v>
      </c>
      <c r="M720" s="3">
        <f ca="1">IF(AND(N720&lt;&gt;N719,ISNUMBER(SEARCH(Лист2!$B$6,N:N)),L720=2),MAX($M$3:OFFSET(M720,-1,0))+1,0)</f>
        <v>0</v>
      </c>
      <c r="N720" s="3" t="s">
        <v>931</v>
      </c>
    </row>
    <row r="721" spans="1:14" x14ac:dyDescent="0.25">
      <c r="A721" s="1" t="s">
        <v>10410</v>
      </c>
      <c r="B721" s="3" t="s">
        <v>4345</v>
      </c>
      <c r="C721" s="2">
        <f ca="1">IF(ISNUMBER(SEARCH(Лист2!$B$4,D:D)),MAX($C$3:OFFSET(C721,-1,0))+1,0)</f>
        <v>0</v>
      </c>
      <c r="E721" s="9" t="str">
        <f t="shared" ca="1" si="23"/>
        <v/>
      </c>
      <c r="F721" s="4" t="s">
        <v>4</v>
      </c>
      <c r="G721" s="2">
        <f>IF(ISNUMBER(SEARCH(Лист2!$B$4,F:F)),1,0)</f>
        <v>0</v>
      </c>
      <c r="H721" s="3">
        <f ca="1">IF(AND(I721&lt;&gt;I720,ISNUMBER(SEARCH(Лист2!$B$5,I:I)),G721=1),MAX($H$3:OFFSET(H721,-1,0))+1,0)</f>
        <v>0</v>
      </c>
      <c r="I721" s="3" t="s">
        <v>111</v>
      </c>
      <c r="K721" s="2">
        <f>IF(ISNUMBER(SEARCH(Лист2!$B$4,F:F)),1,0)</f>
        <v>0</v>
      </c>
      <c r="L721" s="14">
        <f>IF(ISNUMBER(SEARCH(Лист2!$B$5,I:I)),1,0)+K721</f>
        <v>0</v>
      </c>
      <c r="M721" s="3">
        <f ca="1">IF(AND(N721&lt;&gt;N720,ISNUMBER(SEARCH(Лист2!$B$6,N:N)),L721=2),MAX($M$3:OFFSET(M721,-1,0))+1,0)</f>
        <v>0</v>
      </c>
      <c r="N721" s="3" t="s">
        <v>931</v>
      </c>
    </row>
    <row r="722" spans="1:14" x14ac:dyDescent="0.25">
      <c r="A722" s="1" t="s">
        <v>10410</v>
      </c>
      <c r="B722" s="3" t="s">
        <v>4346</v>
      </c>
      <c r="C722" s="2">
        <f ca="1">IF(ISNUMBER(SEARCH(Лист2!$B$4,D:D)),MAX($C$3:OFFSET(C722,-1,0))+1,0)</f>
        <v>0</v>
      </c>
      <c r="E722" s="9" t="str">
        <f t="shared" ca="1" si="23"/>
        <v/>
      </c>
      <c r="F722" s="4" t="s">
        <v>4</v>
      </c>
      <c r="G722" s="2">
        <f>IF(ISNUMBER(SEARCH(Лист2!$B$4,F:F)),1,0)</f>
        <v>0</v>
      </c>
      <c r="H722" s="3">
        <f ca="1">IF(AND(I722&lt;&gt;I721,ISNUMBER(SEARCH(Лист2!$B$5,I:I)),G722=1),MAX($H$3:OFFSET(H722,-1,0))+1,0)</f>
        <v>0</v>
      </c>
      <c r="I722" s="3" t="s">
        <v>111</v>
      </c>
      <c r="K722" s="2">
        <f>IF(ISNUMBER(SEARCH(Лист2!$B$4,F:F)),1,0)</f>
        <v>0</v>
      </c>
      <c r="L722" s="14">
        <f>IF(ISNUMBER(SEARCH(Лист2!$B$5,I:I)),1,0)+K722</f>
        <v>0</v>
      </c>
      <c r="M722" s="3">
        <f ca="1">IF(AND(N722&lt;&gt;N721,ISNUMBER(SEARCH(Лист2!$B$6,N:N)),L722=2),MAX($M$3:OFFSET(M722,-1,0))+1,0)</f>
        <v>0</v>
      </c>
      <c r="N722" s="3" t="s">
        <v>931</v>
      </c>
    </row>
    <row r="723" spans="1:14" x14ac:dyDescent="0.25">
      <c r="A723" s="1" t="s">
        <v>10410</v>
      </c>
      <c r="B723" s="3" t="s">
        <v>4347</v>
      </c>
      <c r="C723" s="2">
        <f ca="1">IF(ISNUMBER(SEARCH(Лист2!$B$4,D:D)),MAX($C$3:OFFSET(C723,-1,0))+1,0)</f>
        <v>0</v>
      </c>
      <c r="E723" s="9" t="str">
        <f t="shared" ca="1" si="23"/>
        <v/>
      </c>
      <c r="F723" s="4" t="s">
        <v>4</v>
      </c>
      <c r="G723" s="2">
        <f>IF(ISNUMBER(SEARCH(Лист2!$B$4,F:F)),1,0)</f>
        <v>0</v>
      </c>
      <c r="H723" s="3">
        <f ca="1">IF(AND(I723&lt;&gt;I722,ISNUMBER(SEARCH(Лист2!$B$5,I:I)),G723=1),MAX($H$3:OFFSET(H723,-1,0))+1,0)</f>
        <v>0</v>
      </c>
      <c r="I723" s="3" t="s">
        <v>111</v>
      </c>
      <c r="K723" s="2">
        <f>IF(ISNUMBER(SEARCH(Лист2!$B$4,F:F)),1,0)</f>
        <v>0</v>
      </c>
      <c r="L723" s="14">
        <f>IF(ISNUMBER(SEARCH(Лист2!$B$5,I:I)),1,0)+K723</f>
        <v>0</v>
      </c>
      <c r="M723" s="3">
        <f ca="1">IF(AND(N723&lt;&gt;N722,ISNUMBER(SEARCH(Лист2!$B$6,N:N)),L723=2),MAX($M$3:OFFSET(M723,-1,0))+1,0)</f>
        <v>0</v>
      </c>
      <c r="N723" s="3" t="s">
        <v>931</v>
      </c>
    </row>
    <row r="724" spans="1:14" x14ac:dyDescent="0.25">
      <c r="A724" s="1" t="s">
        <v>10411</v>
      </c>
      <c r="B724" s="3" t="s">
        <v>4348</v>
      </c>
      <c r="C724" s="2">
        <f ca="1">IF(ISNUMBER(SEARCH(Лист2!$B$4,D:D)),MAX($C$3:OFFSET(C724,-1,0))+1,0)</f>
        <v>0</v>
      </c>
      <c r="E724" s="9" t="str">
        <f t="shared" ca="1" si="23"/>
        <v/>
      </c>
      <c r="F724" s="4" t="s">
        <v>4</v>
      </c>
      <c r="G724" s="2">
        <f>IF(ISNUMBER(SEARCH(Лист2!$B$4,F:F)),1,0)</f>
        <v>0</v>
      </c>
      <c r="H724" s="3">
        <f ca="1">IF(AND(I724&lt;&gt;I723,ISNUMBER(SEARCH(Лист2!$B$5,I:I)),G724=1),MAX($H$3:OFFSET(H724,-1,0))+1,0)</f>
        <v>0</v>
      </c>
      <c r="I724" s="3" t="s">
        <v>111</v>
      </c>
      <c r="K724" s="2">
        <f>IF(ISNUMBER(SEARCH(Лист2!$B$4,F:F)),1,0)</f>
        <v>0</v>
      </c>
      <c r="L724" s="14">
        <f>IF(ISNUMBER(SEARCH(Лист2!$B$5,I:I)),1,0)+K724</f>
        <v>0</v>
      </c>
      <c r="M724" s="3">
        <f ca="1">IF(AND(N724&lt;&gt;N723,ISNUMBER(SEARCH(Лист2!$B$6,N:N)),L724=2),MAX($M$3:OFFSET(M724,-1,0))+1,0)</f>
        <v>0</v>
      </c>
      <c r="N724" s="3" t="s">
        <v>932</v>
      </c>
    </row>
    <row r="725" spans="1:14" x14ac:dyDescent="0.25">
      <c r="A725" s="1" t="s">
        <v>10411</v>
      </c>
      <c r="B725" s="3" t="s">
        <v>4349</v>
      </c>
      <c r="C725" s="2">
        <f ca="1">IF(ISNUMBER(SEARCH(Лист2!$B$4,D:D)),MAX($C$3:OFFSET(C725,-1,0))+1,0)</f>
        <v>0</v>
      </c>
      <c r="E725" s="9" t="str">
        <f t="shared" ca="1" si="23"/>
        <v/>
      </c>
      <c r="F725" s="4" t="s">
        <v>4</v>
      </c>
      <c r="G725" s="2">
        <f>IF(ISNUMBER(SEARCH(Лист2!$B$4,F:F)),1,0)</f>
        <v>0</v>
      </c>
      <c r="H725" s="3">
        <f ca="1">IF(AND(I725&lt;&gt;I724,ISNUMBER(SEARCH(Лист2!$B$5,I:I)),G725=1),MAX($H$3:OFFSET(H725,-1,0))+1,0)</f>
        <v>0</v>
      </c>
      <c r="I725" s="3" t="s">
        <v>111</v>
      </c>
      <c r="K725" s="2">
        <f>IF(ISNUMBER(SEARCH(Лист2!$B$4,F:F)),1,0)</f>
        <v>0</v>
      </c>
      <c r="L725" s="14">
        <f>IF(ISNUMBER(SEARCH(Лист2!$B$5,I:I)),1,0)+K725</f>
        <v>0</v>
      </c>
      <c r="M725" s="3">
        <f ca="1">IF(AND(N725&lt;&gt;N724,ISNUMBER(SEARCH(Лист2!$B$6,N:N)),L725=2),MAX($M$3:OFFSET(M725,-1,0))+1,0)</f>
        <v>0</v>
      </c>
      <c r="N725" s="3" t="s">
        <v>932</v>
      </c>
    </row>
    <row r="726" spans="1:14" x14ac:dyDescent="0.25">
      <c r="A726" s="1" t="s">
        <v>10411</v>
      </c>
      <c r="B726" s="3" t="s">
        <v>4350</v>
      </c>
      <c r="C726" s="2">
        <f ca="1">IF(ISNUMBER(SEARCH(Лист2!$B$4,D:D)),MAX($C$3:OFFSET(C726,-1,0))+1,0)</f>
        <v>0</v>
      </c>
      <c r="E726" s="9" t="str">
        <f t="shared" ca="1" si="23"/>
        <v/>
      </c>
      <c r="F726" s="4" t="s">
        <v>4</v>
      </c>
      <c r="G726" s="2">
        <f>IF(ISNUMBER(SEARCH(Лист2!$B$4,F:F)),1,0)</f>
        <v>0</v>
      </c>
      <c r="H726" s="3">
        <f ca="1">IF(AND(I726&lt;&gt;I725,ISNUMBER(SEARCH(Лист2!$B$5,I:I)),G726=1),MAX($H$3:OFFSET(H726,-1,0))+1,0)</f>
        <v>0</v>
      </c>
      <c r="I726" s="3" t="s">
        <v>111</v>
      </c>
      <c r="K726" s="2">
        <f>IF(ISNUMBER(SEARCH(Лист2!$B$4,F:F)),1,0)</f>
        <v>0</v>
      </c>
      <c r="L726" s="14">
        <f>IF(ISNUMBER(SEARCH(Лист2!$B$5,I:I)),1,0)+K726</f>
        <v>0</v>
      </c>
      <c r="M726" s="3">
        <f ca="1">IF(AND(N726&lt;&gt;N725,ISNUMBER(SEARCH(Лист2!$B$6,N:N)),L726=2),MAX($M$3:OFFSET(M726,-1,0))+1,0)</f>
        <v>0</v>
      </c>
      <c r="N726" s="3" t="s">
        <v>932</v>
      </c>
    </row>
    <row r="727" spans="1:14" x14ac:dyDescent="0.25">
      <c r="A727" s="1" t="s">
        <v>10412</v>
      </c>
      <c r="B727" s="3" t="s">
        <v>4351</v>
      </c>
      <c r="C727" s="2">
        <f ca="1">IF(ISNUMBER(SEARCH(Лист2!$B$4,D:D)),MAX($C$3:OFFSET(C727,-1,0))+1,0)</f>
        <v>0</v>
      </c>
      <c r="E727" s="9" t="str">
        <f t="shared" ca="1" si="23"/>
        <v/>
      </c>
      <c r="F727" s="4" t="s">
        <v>4</v>
      </c>
      <c r="G727" s="2">
        <f>IF(ISNUMBER(SEARCH(Лист2!$B$4,F:F)),1,0)</f>
        <v>0</v>
      </c>
      <c r="H727" s="3">
        <f ca="1">IF(AND(I727&lt;&gt;I726,ISNUMBER(SEARCH(Лист2!$B$5,I:I)),G727=1),MAX($H$3:OFFSET(H727,-1,0))+1,0)</f>
        <v>0</v>
      </c>
      <c r="I727" s="3" t="s">
        <v>112</v>
      </c>
      <c r="K727" s="2">
        <f>IF(ISNUMBER(SEARCH(Лист2!$B$4,F:F)),1,0)</f>
        <v>0</v>
      </c>
      <c r="L727" s="14">
        <f>IF(ISNUMBER(SEARCH(Лист2!$B$5,I:I)),1,0)+K727</f>
        <v>0</v>
      </c>
      <c r="M727" s="3">
        <f ca="1">IF(AND(N727&lt;&gt;N726,ISNUMBER(SEARCH(Лист2!$B$6,N:N)),L727=2),MAX($M$3:OFFSET(M727,-1,0))+1,0)</f>
        <v>0</v>
      </c>
      <c r="N727" s="3" t="s">
        <v>933</v>
      </c>
    </row>
    <row r="728" spans="1:14" x14ac:dyDescent="0.25">
      <c r="A728" s="1" t="s">
        <v>10412</v>
      </c>
      <c r="B728" s="3" t="s">
        <v>4352</v>
      </c>
      <c r="C728" s="2">
        <f ca="1">IF(ISNUMBER(SEARCH(Лист2!$B$4,D:D)),MAX($C$3:OFFSET(C728,-1,0))+1,0)</f>
        <v>0</v>
      </c>
      <c r="E728" s="9" t="str">
        <f t="shared" ca="1" si="23"/>
        <v/>
      </c>
      <c r="F728" s="4" t="s">
        <v>4</v>
      </c>
      <c r="G728" s="2">
        <f>IF(ISNUMBER(SEARCH(Лист2!$B$4,F:F)),1,0)</f>
        <v>0</v>
      </c>
      <c r="H728" s="3">
        <f ca="1">IF(AND(I728&lt;&gt;I727,ISNUMBER(SEARCH(Лист2!$B$5,I:I)),G728=1),MAX($H$3:OFFSET(H728,-1,0))+1,0)</f>
        <v>0</v>
      </c>
      <c r="I728" s="3" t="s">
        <v>112</v>
      </c>
      <c r="K728" s="2">
        <f>IF(ISNUMBER(SEARCH(Лист2!$B$4,F:F)),1,0)</f>
        <v>0</v>
      </c>
      <c r="L728" s="14">
        <f>IF(ISNUMBER(SEARCH(Лист2!$B$5,I:I)),1,0)+K728</f>
        <v>0</v>
      </c>
      <c r="M728" s="3">
        <f ca="1">IF(AND(N728&lt;&gt;N727,ISNUMBER(SEARCH(Лист2!$B$6,N:N)),L728=2),MAX($M$3:OFFSET(M728,-1,0))+1,0)</f>
        <v>0</v>
      </c>
      <c r="N728" s="3" t="s">
        <v>933</v>
      </c>
    </row>
    <row r="729" spans="1:14" x14ac:dyDescent="0.25">
      <c r="A729" s="1" t="s">
        <v>10412</v>
      </c>
      <c r="B729" s="3" t="s">
        <v>4353</v>
      </c>
      <c r="C729" s="2">
        <f ca="1">IF(ISNUMBER(SEARCH(Лист2!$B$4,D:D)),MAX($C$3:OFFSET(C729,-1,0))+1,0)</f>
        <v>0</v>
      </c>
      <c r="E729" s="9" t="str">
        <f t="shared" ca="1" si="23"/>
        <v/>
      </c>
      <c r="F729" s="4" t="s">
        <v>4</v>
      </c>
      <c r="G729" s="2">
        <f>IF(ISNUMBER(SEARCH(Лист2!$B$4,F:F)),1,0)</f>
        <v>0</v>
      </c>
      <c r="H729" s="3">
        <f ca="1">IF(AND(I729&lt;&gt;I728,ISNUMBER(SEARCH(Лист2!$B$5,I:I)),G729=1),MAX($H$3:OFFSET(H729,-1,0))+1,0)</f>
        <v>0</v>
      </c>
      <c r="I729" s="3" t="s">
        <v>112</v>
      </c>
      <c r="K729" s="2">
        <f>IF(ISNUMBER(SEARCH(Лист2!$B$4,F:F)),1,0)</f>
        <v>0</v>
      </c>
      <c r="L729" s="14">
        <f>IF(ISNUMBER(SEARCH(Лист2!$B$5,I:I)),1,0)+K729</f>
        <v>0</v>
      </c>
      <c r="M729" s="3">
        <f ca="1">IF(AND(N729&lt;&gt;N728,ISNUMBER(SEARCH(Лист2!$B$6,N:N)),L729=2),MAX($M$3:OFFSET(M729,-1,0))+1,0)</f>
        <v>0</v>
      </c>
      <c r="N729" s="3" t="s">
        <v>933</v>
      </c>
    </row>
    <row r="730" spans="1:14" x14ac:dyDescent="0.25">
      <c r="A730" s="1" t="s">
        <v>10413</v>
      </c>
      <c r="B730" s="3" t="s">
        <v>4354</v>
      </c>
      <c r="C730" s="2">
        <f ca="1">IF(ISNUMBER(SEARCH(Лист2!$B$4,D:D)),MAX($C$3:OFFSET(C730,-1,0))+1,0)</f>
        <v>0</v>
      </c>
      <c r="E730" s="9" t="str">
        <f t="shared" ca="1" si="23"/>
        <v/>
      </c>
      <c r="F730" s="4" t="s">
        <v>4</v>
      </c>
      <c r="G730" s="2">
        <f>IF(ISNUMBER(SEARCH(Лист2!$B$4,F:F)),1,0)</f>
        <v>0</v>
      </c>
      <c r="H730" s="3">
        <f ca="1">IF(AND(I730&lt;&gt;I729,ISNUMBER(SEARCH(Лист2!$B$5,I:I)),G730=1),MAX($H$3:OFFSET(H730,-1,0))+1,0)</f>
        <v>0</v>
      </c>
      <c r="I730" s="3" t="s">
        <v>112</v>
      </c>
      <c r="K730" s="2">
        <f>IF(ISNUMBER(SEARCH(Лист2!$B$4,F:F)),1,0)</f>
        <v>0</v>
      </c>
      <c r="L730" s="14">
        <f>IF(ISNUMBER(SEARCH(Лист2!$B$5,I:I)),1,0)+K730</f>
        <v>0</v>
      </c>
      <c r="M730" s="3">
        <f ca="1">IF(AND(N730&lt;&gt;N729,ISNUMBER(SEARCH(Лист2!$B$6,N:N)),L730=2),MAX($M$3:OFFSET(M730,-1,0))+1,0)</f>
        <v>0</v>
      </c>
      <c r="N730" s="3" t="s">
        <v>934</v>
      </c>
    </row>
    <row r="731" spans="1:14" x14ac:dyDescent="0.25">
      <c r="A731" s="1" t="s">
        <v>10413</v>
      </c>
      <c r="B731" s="3" t="s">
        <v>4355</v>
      </c>
      <c r="C731" s="2">
        <f ca="1">IF(ISNUMBER(SEARCH(Лист2!$B$4,D:D)),MAX($C$3:OFFSET(C731,-1,0))+1,0)</f>
        <v>0</v>
      </c>
      <c r="E731" s="9" t="str">
        <f t="shared" ca="1" si="23"/>
        <v/>
      </c>
      <c r="F731" s="4" t="s">
        <v>4</v>
      </c>
      <c r="G731" s="2">
        <f>IF(ISNUMBER(SEARCH(Лист2!$B$4,F:F)),1,0)</f>
        <v>0</v>
      </c>
      <c r="H731" s="3">
        <f ca="1">IF(AND(I731&lt;&gt;I730,ISNUMBER(SEARCH(Лист2!$B$5,I:I)),G731=1),MAX($H$3:OFFSET(H731,-1,0))+1,0)</f>
        <v>0</v>
      </c>
      <c r="I731" s="3" t="s">
        <v>112</v>
      </c>
      <c r="K731" s="2">
        <f>IF(ISNUMBER(SEARCH(Лист2!$B$4,F:F)),1,0)</f>
        <v>0</v>
      </c>
      <c r="L731" s="14">
        <f>IF(ISNUMBER(SEARCH(Лист2!$B$5,I:I)),1,0)+K731</f>
        <v>0</v>
      </c>
      <c r="M731" s="3">
        <f ca="1">IF(AND(N731&lt;&gt;N730,ISNUMBER(SEARCH(Лист2!$B$6,N:N)),L731=2),MAX($M$3:OFFSET(M731,-1,0))+1,0)</f>
        <v>0</v>
      </c>
      <c r="N731" s="3" t="s">
        <v>934</v>
      </c>
    </row>
    <row r="732" spans="1:14" x14ac:dyDescent="0.25">
      <c r="A732" s="1" t="s">
        <v>10413</v>
      </c>
      <c r="B732" s="3" t="s">
        <v>4356</v>
      </c>
      <c r="C732" s="2">
        <f ca="1">IF(ISNUMBER(SEARCH(Лист2!$B$4,D:D)),MAX($C$3:OFFSET(C732,-1,0))+1,0)</f>
        <v>0</v>
      </c>
      <c r="E732" s="9" t="str">
        <f t="shared" ca="1" si="23"/>
        <v/>
      </c>
      <c r="F732" s="4" t="s">
        <v>4</v>
      </c>
      <c r="G732" s="2">
        <f>IF(ISNUMBER(SEARCH(Лист2!$B$4,F:F)),1,0)</f>
        <v>0</v>
      </c>
      <c r="H732" s="3">
        <f ca="1">IF(AND(I732&lt;&gt;I731,ISNUMBER(SEARCH(Лист2!$B$5,I:I)),G732=1),MAX($H$3:OFFSET(H732,-1,0))+1,0)</f>
        <v>0</v>
      </c>
      <c r="I732" s="3" t="s">
        <v>112</v>
      </c>
      <c r="K732" s="2">
        <f>IF(ISNUMBER(SEARCH(Лист2!$B$4,F:F)),1,0)</f>
        <v>0</v>
      </c>
      <c r="L732" s="14">
        <f>IF(ISNUMBER(SEARCH(Лист2!$B$5,I:I)),1,0)+K732</f>
        <v>0</v>
      </c>
      <c r="M732" s="3">
        <f ca="1">IF(AND(N732&lt;&gt;N731,ISNUMBER(SEARCH(Лист2!$B$6,N:N)),L732=2),MAX($M$3:OFFSET(M732,-1,0))+1,0)</f>
        <v>0</v>
      </c>
      <c r="N732" s="3" t="s">
        <v>934</v>
      </c>
    </row>
    <row r="733" spans="1:14" x14ac:dyDescent="0.25">
      <c r="A733" s="1" t="s">
        <v>10414</v>
      </c>
      <c r="B733" s="3" t="s">
        <v>4357</v>
      </c>
      <c r="C733" s="2">
        <f ca="1">IF(ISNUMBER(SEARCH(Лист2!$B$4,D:D)),MAX($C$3:OFFSET(C733,-1,0))+1,0)</f>
        <v>0</v>
      </c>
      <c r="E733" s="9" t="str">
        <f t="shared" ca="1" si="23"/>
        <v/>
      </c>
      <c r="F733" s="4" t="s">
        <v>4</v>
      </c>
      <c r="G733" s="2">
        <f>IF(ISNUMBER(SEARCH(Лист2!$B$4,F:F)),1,0)</f>
        <v>0</v>
      </c>
      <c r="H733" s="3">
        <f ca="1">IF(AND(I733&lt;&gt;I732,ISNUMBER(SEARCH(Лист2!$B$5,I:I)),G733=1),MAX($H$3:OFFSET(H733,-1,0))+1,0)</f>
        <v>0</v>
      </c>
      <c r="I733" s="3" t="s">
        <v>112</v>
      </c>
      <c r="K733" s="2">
        <f>IF(ISNUMBER(SEARCH(Лист2!$B$4,F:F)),1,0)</f>
        <v>0</v>
      </c>
      <c r="L733" s="14">
        <f>IF(ISNUMBER(SEARCH(Лист2!$B$5,I:I)),1,0)+K733</f>
        <v>0</v>
      </c>
      <c r="M733" s="3">
        <f ca="1">IF(AND(N733&lt;&gt;N732,ISNUMBER(SEARCH(Лист2!$B$6,N:N)),L733=2),MAX($M$3:OFFSET(M733,-1,0))+1,0)</f>
        <v>0</v>
      </c>
      <c r="N733" s="3" t="s">
        <v>935</v>
      </c>
    </row>
    <row r="734" spans="1:14" x14ac:dyDescent="0.25">
      <c r="A734" s="1" t="s">
        <v>10414</v>
      </c>
      <c r="B734" s="3" t="s">
        <v>4358</v>
      </c>
      <c r="C734" s="2">
        <f ca="1">IF(ISNUMBER(SEARCH(Лист2!$B$4,D:D)),MAX($C$3:OFFSET(C734,-1,0))+1,0)</f>
        <v>0</v>
      </c>
      <c r="E734" s="9" t="str">
        <f t="shared" ca="1" si="23"/>
        <v/>
      </c>
      <c r="F734" s="4" t="s">
        <v>4</v>
      </c>
      <c r="G734" s="2">
        <f>IF(ISNUMBER(SEARCH(Лист2!$B$4,F:F)),1,0)</f>
        <v>0</v>
      </c>
      <c r="H734" s="3">
        <f ca="1">IF(AND(I734&lt;&gt;I733,ISNUMBER(SEARCH(Лист2!$B$5,I:I)),G734=1),MAX($H$3:OFFSET(H734,-1,0))+1,0)</f>
        <v>0</v>
      </c>
      <c r="I734" s="3" t="s">
        <v>112</v>
      </c>
      <c r="K734" s="2">
        <f>IF(ISNUMBER(SEARCH(Лист2!$B$4,F:F)),1,0)</f>
        <v>0</v>
      </c>
      <c r="L734" s="14">
        <f>IF(ISNUMBER(SEARCH(Лист2!$B$5,I:I)),1,0)+K734</f>
        <v>0</v>
      </c>
      <c r="M734" s="3">
        <f ca="1">IF(AND(N734&lt;&gt;N733,ISNUMBER(SEARCH(Лист2!$B$6,N:N)),L734=2),MAX($M$3:OFFSET(M734,-1,0))+1,0)</f>
        <v>0</v>
      </c>
      <c r="N734" s="3" t="s">
        <v>935</v>
      </c>
    </row>
    <row r="735" spans="1:14" x14ac:dyDescent="0.25">
      <c r="A735" s="1" t="s">
        <v>10414</v>
      </c>
      <c r="B735" s="3" t="s">
        <v>4359</v>
      </c>
      <c r="C735" s="2">
        <f ca="1">IF(ISNUMBER(SEARCH(Лист2!$B$4,D:D)),MAX($C$3:OFFSET(C735,-1,0))+1,0)</f>
        <v>0</v>
      </c>
      <c r="E735" s="9" t="str">
        <f t="shared" ca="1" si="23"/>
        <v/>
      </c>
      <c r="F735" s="4" t="s">
        <v>4</v>
      </c>
      <c r="G735" s="2">
        <f>IF(ISNUMBER(SEARCH(Лист2!$B$4,F:F)),1,0)</f>
        <v>0</v>
      </c>
      <c r="H735" s="3">
        <f ca="1">IF(AND(I735&lt;&gt;I734,ISNUMBER(SEARCH(Лист2!$B$5,I:I)),G735=1),MAX($H$3:OFFSET(H735,-1,0))+1,0)</f>
        <v>0</v>
      </c>
      <c r="I735" s="3" t="s">
        <v>112</v>
      </c>
      <c r="K735" s="2">
        <f>IF(ISNUMBER(SEARCH(Лист2!$B$4,F:F)),1,0)</f>
        <v>0</v>
      </c>
      <c r="L735" s="14">
        <f>IF(ISNUMBER(SEARCH(Лист2!$B$5,I:I)),1,0)+K735</f>
        <v>0</v>
      </c>
      <c r="M735" s="3">
        <f ca="1">IF(AND(N735&lt;&gt;N734,ISNUMBER(SEARCH(Лист2!$B$6,N:N)),L735=2),MAX($M$3:OFFSET(M735,-1,0))+1,0)</f>
        <v>0</v>
      </c>
      <c r="N735" s="3" t="s">
        <v>935</v>
      </c>
    </row>
    <row r="736" spans="1:14" x14ac:dyDescent="0.25">
      <c r="A736" s="1" t="s">
        <v>10414</v>
      </c>
      <c r="B736" s="3" t="s">
        <v>4360</v>
      </c>
      <c r="C736" s="2">
        <f ca="1">IF(ISNUMBER(SEARCH(Лист2!$B$4,D:D)),MAX($C$3:OFFSET(C736,-1,0))+1,0)</f>
        <v>0</v>
      </c>
      <c r="E736" s="9" t="str">
        <f t="shared" ca="1" si="23"/>
        <v/>
      </c>
      <c r="F736" s="4" t="s">
        <v>4</v>
      </c>
      <c r="G736" s="2">
        <f>IF(ISNUMBER(SEARCH(Лист2!$B$4,F:F)),1,0)</f>
        <v>0</v>
      </c>
      <c r="H736" s="3">
        <f ca="1">IF(AND(I736&lt;&gt;I735,ISNUMBER(SEARCH(Лист2!$B$5,I:I)),G736=1),MAX($H$3:OFFSET(H736,-1,0))+1,0)</f>
        <v>0</v>
      </c>
      <c r="I736" s="3" t="s">
        <v>112</v>
      </c>
      <c r="K736" s="2">
        <f>IF(ISNUMBER(SEARCH(Лист2!$B$4,F:F)),1,0)</f>
        <v>0</v>
      </c>
      <c r="L736" s="14">
        <f>IF(ISNUMBER(SEARCH(Лист2!$B$5,I:I)),1,0)+K736</f>
        <v>0</v>
      </c>
      <c r="M736" s="3">
        <f ca="1">IF(AND(N736&lt;&gt;N735,ISNUMBER(SEARCH(Лист2!$B$6,N:N)),L736=2),MAX($M$3:OFFSET(M736,-1,0))+1,0)</f>
        <v>0</v>
      </c>
      <c r="N736" s="3" t="s">
        <v>935</v>
      </c>
    </row>
    <row r="737" spans="1:14" x14ac:dyDescent="0.25">
      <c r="A737" s="1" t="s">
        <v>10414</v>
      </c>
      <c r="B737" s="3" t="s">
        <v>4361</v>
      </c>
      <c r="C737" s="2">
        <f ca="1">IF(ISNUMBER(SEARCH(Лист2!$B$4,D:D)),MAX($C$3:OFFSET(C737,-1,0))+1,0)</f>
        <v>0</v>
      </c>
      <c r="E737" s="9" t="str">
        <f t="shared" ca="1" si="23"/>
        <v/>
      </c>
      <c r="F737" s="4" t="s">
        <v>4</v>
      </c>
      <c r="G737" s="2">
        <f>IF(ISNUMBER(SEARCH(Лист2!$B$4,F:F)),1,0)</f>
        <v>0</v>
      </c>
      <c r="H737" s="3">
        <f ca="1">IF(AND(I737&lt;&gt;I736,ISNUMBER(SEARCH(Лист2!$B$5,I:I)),G737=1),MAX($H$3:OFFSET(H737,-1,0))+1,0)</f>
        <v>0</v>
      </c>
      <c r="I737" s="3" t="s">
        <v>112</v>
      </c>
      <c r="K737" s="2">
        <f>IF(ISNUMBER(SEARCH(Лист2!$B$4,F:F)),1,0)</f>
        <v>0</v>
      </c>
      <c r="L737" s="14">
        <f>IF(ISNUMBER(SEARCH(Лист2!$B$5,I:I)),1,0)+K737</f>
        <v>0</v>
      </c>
      <c r="M737" s="3">
        <f ca="1">IF(AND(N737&lt;&gt;N736,ISNUMBER(SEARCH(Лист2!$B$6,N:N)),L737=2),MAX($M$3:OFFSET(M737,-1,0))+1,0)</f>
        <v>0</v>
      </c>
      <c r="N737" s="3" t="s">
        <v>935</v>
      </c>
    </row>
    <row r="738" spans="1:14" x14ac:dyDescent="0.25">
      <c r="A738" s="1" t="s">
        <v>10414</v>
      </c>
      <c r="B738" s="3" t="s">
        <v>4362</v>
      </c>
      <c r="C738" s="2">
        <f ca="1">IF(ISNUMBER(SEARCH(Лист2!$B$4,D:D)),MAX($C$3:OFFSET(C738,-1,0))+1,0)</f>
        <v>0</v>
      </c>
      <c r="E738" s="9" t="str">
        <f t="shared" ca="1" si="23"/>
        <v/>
      </c>
      <c r="F738" s="4" t="s">
        <v>4</v>
      </c>
      <c r="G738" s="2">
        <f>IF(ISNUMBER(SEARCH(Лист2!$B$4,F:F)),1,0)</f>
        <v>0</v>
      </c>
      <c r="H738" s="3">
        <f ca="1">IF(AND(I738&lt;&gt;I737,ISNUMBER(SEARCH(Лист2!$B$5,I:I)),G738=1),MAX($H$3:OFFSET(H738,-1,0))+1,0)</f>
        <v>0</v>
      </c>
      <c r="I738" s="3" t="s">
        <v>112</v>
      </c>
      <c r="K738" s="2">
        <f>IF(ISNUMBER(SEARCH(Лист2!$B$4,F:F)),1,0)</f>
        <v>0</v>
      </c>
      <c r="L738" s="14">
        <f>IF(ISNUMBER(SEARCH(Лист2!$B$5,I:I)),1,0)+K738</f>
        <v>0</v>
      </c>
      <c r="M738" s="3">
        <f ca="1">IF(AND(N738&lt;&gt;N737,ISNUMBER(SEARCH(Лист2!$B$6,N:N)),L738=2),MAX($M$3:OFFSET(M738,-1,0))+1,0)</f>
        <v>0</v>
      </c>
      <c r="N738" s="3" t="s">
        <v>935</v>
      </c>
    </row>
    <row r="739" spans="1:14" x14ac:dyDescent="0.25">
      <c r="A739" s="1" t="s">
        <v>10415</v>
      </c>
      <c r="B739" s="3" t="s">
        <v>4363</v>
      </c>
      <c r="C739" s="2">
        <f ca="1">IF(ISNUMBER(SEARCH(Лист2!$B$4,D:D)),MAX($C$3:OFFSET(C739,-1,0))+1,0)</f>
        <v>0</v>
      </c>
      <c r="E739" s="9" t="str">
        <f t="shared" ca="1" si="23"/>
        <v/>
      </c>
      <c r="F739" s="4" t="s">
        <v>4</v>
      </c>
      <c r="G739" s="2">
        <f>IF(ISNUMBER(SEARCH(Лист2!$B$4,F:F)),1,0)</f>
        <v>0</v>
      </c>
      <c r="H739" s="3">
        <f ca="1">IF(AND(I739&lt;&gt;I738,ISNUMBER(SEARCH(Лист2!$B$5,I:I)),G739=1),MAX($H$3:OFFSET(H739,-1,0))+1,0)</f>
        <v>0</v>
      </c>
      <c r="I739" s="3" t="s">
        <v>112</v>
      </c>
      <c r="K739" s="2">
        <f>IF(ISNUMBER(SEARCH(Лист2!$B$4,F:F)),1,0)</f>
        <v>0</v>
      </c>
      <c r="L739" s="14">
        <f>IF(ISNUMBER(SEARCH(Лист2!$B$5,I:I)),1,0)+K739</f>
        <v>0</v>
      </c>
      <c r="M739" s="3">
        <f ca="1">IF(AND(N739&lt;&gt;N738,ISNUMBER(SEARCH(Лист2!$B$6,N:N)),L739=2),MAX($M$3:OFFSET(M739,-1,0))+1,0)</f>
        <v>0</v>
      </c>
      <c r="N739" s="3" t="s">
        <v>936</v>
      </c>
    </row>
    <row r="740" spans="1:14" x14ac:dyDescent="0.25">
      <c r="A740" s="1" t="s">
        <v>10415</v>
      </c>
      <c r="B740" s="3" t="s">
        <v>4364</v>
      </c>
      <c r="C740" s="2">
        <f ca="1">IF(ISNUMBER(SEARCH(Лист2!$B$4,D:D)),MAX($C$3:OFFSET(C740,-1,0))+1,0)</f>
        <v>0</v>
      </c>
      <c r="E740" s="9" t="str">
        <f t="shared" ca="1" si="23"/>
        <v/>
      </c>
      <c r="F740" s="4" t="s">
        <v>4</v>
      </c>
      <c r="G740" s="2">
        <f>IF(ISNUMBER(SEARCH(Лист2!$B$4,F:F)),1,0)</f>
        <v>0</v>
      </c>
      <c r="H740" s="3">
        <f ca="1">IF(AND(I740&lt;&gt;I739,ISNUMBER(SEARCH(Лист2!$B$5,I:I)),G740=1),MAX($H$3:OFFSET(H740,-1,0))+1,0)</f>
        <v>0</v>
      </c>
      <c r="I740" s="3" t="s">
        <v>112</v>
      </c>
      <c r="K740" s="2">
        <f>IF(ISNUMBER(SEARCH(Лист2!$B$4,F:F)),1,0)</f>
        <v>0</v>
      </c>
      <c r="L740" s="14">
        <f>IF(ISNUMBER(SEARCH(Лист2!$B$5,I:I)),1,0)+K740</f>
        <v>0</v>
      </c>
      <c r="M740" s="3">
        <f ca="1">IF(AND(N740&lt;&gt;N739,ISNUMBER(SEARCH(Лист2!$B$6,N:N)),L740=2),MAX($M$3:OFFSET(M740,-1,0))+1,0)</f>
        <v>0</v>
      </c>
      <c r="N740" s="3" t="s">
        <v>936</v>
      </c>
    </row>
    <row r="741" spans="1:14" x14ac:dyDescent="0.25">
      <c r="A741" s="1" t="s">
        <v>10415</v>
      </c>
      <c r="B741" s="3" t="s">
        <v>4365</v>
      </c>
      <c r="C741" s="2">
        <f ca="1">IF(ISNUMBER(SEARCH(Лист2!$B$4,D:D)),MAX($C$3:OFFSET(C741,-1,0))+1,0)</f>
        <v>0</v>
      </c>
      <c r="E741" s="9" t="str">
        <f t="shared" ca="1" si="23"/>
        <v/>
      </c>
      <c r="F741" s="4" t="s">
        <v>4</v>
      </c>
      <c r="G741" s="2">
        <f>IF(ISNUMBER(SEARCH(Лист2!$B$4,F:F)),1,0)</f>
        <v>0</v>
      </c>
      <c r="H741" s="3">
        <f ca="1">IF(AND(I741&lt;&gt;I740,ISNUMBER(SEARCH(Лист2!$B$5,I:I)),G741=1),MAX($H$3:OFFSET(H741,-1,0))+1,0)</f>
        <v>0</v>
      </c>
      <c r="I741" s="3" t="s">
        <v>112</v>
      </c>
      <c r="K741" s="2">
        <f>IF(ISNUMBER(SEARCH(Лист2!$B$4,F:F)),1,0)</f>
        <v>0</v>
      </c>
      <c r="L741" s="14">
        <f>IF(ISNUMBER(SEARCH(Лист2!$B$5,I:I)),1,0)+K741</f>
        <v>0</v>
      </c>
      <c r="M741" s="3">
        <f ca="1">IF(AND(N741&lt;&gt;N740,ISNUMBER(SEARCH(Лист2!$B$6,N:N)),L741=2),MAX($M$3:OFFSET(M741,-1,0))+1,0)</f>
        <v>0</v>
      </c>
      <c r="N741" s="3" t="s">
        <v>936</v>
      </c>
    </row>
    <row r="742" spans="1:14" x14ac:dyDescent="0.25">
      <c r="A742" s="1" t="s">
        <v>10416</v>
      </c>
      <c r="B742" s="3" t="s">
        <v>4366</v>
      </c>
      <c r="C742" s="2">
        <f ca="1">IF(ISNUMBER(SEARCH(Лист2!$B$4,D:D)),MAX($C$3:OFFSET(C742,-1,0))+1,0)</f>
        <v>0</v>
      </c>
      <c r="E742" s="9" t="str">
        <f t="shared" ca="1" si="23"/>
        <v/>
      </c>
      <c r="F742" s="4" t="s">
        <v>4</v>
      </c>
      <c r="G742" s="2">
        <f>IF(ISNUMBER(SEARCH(Лист2!$B$4,F:F)),1,0)</f>
        <v>0</v>
      </c>
      <c r="H742" s="3">
        <f ca="1">IF(AND(I742&lt;&gt;I741,ISNUMBER(SEARCH(Лист2!$B$5,I:I)),G742=1),MAX($H$3:OFFSET(H742,-1,0))+1,0)</f>
        <v>0</v>
      </c>
      <c r="I742" s="3" t="s">
        <v>113</v>
      </c>
      <c r="K742" s="2">
        <f>IF(ISNUMBER(SEARCH(Лист2!$B$4,F:F)),1,0)</f>
        <v>0</v>
      </c>
      <c r="L742" s="14">
        <f>IF(ISNUMBER(SEARCH(Лист2!$B$5,I:I)),1,0)+K742</f>
        <v>0</v>
      </c>
      <c r="M742" s="3">
        <f ca="1">IF(AND(N742&lt;&gt;N741,ISNUMBER(SEARCH(Лист2!$B$6,N:N)),L742=2),MAX($M$3:OFFSET(M742,-1,0))+1,0)</f>
        <v>0</v>
      </c>
      <c r="N742" s="3" t="s">
        <v>937</v>
      </c>
    </row>
    <row r="743" spans="1:14" x14ac:dyDescent="0.25">
      <c r="A743" s="1" t="s">
        <v>10416</v>
      </c>
      <c r="B743" s="3" t="s">
        <v>4367</v>
      </c>
      <c r="C743" s="2">
        <f ca="1">IF(ISNUMBER(SEARCH(Лист2!$B$4,D:D)),MAX($C$3:OFFSET(C743,-1,0))+1,0)</f>
        <v>0</v>
      </c>
      <c r="E743" s="9" t="str">
        <f t="shared" ca="1" si="23"/>
        <v/>
      </c>
      <c r="F743" s="4" t="s">
        <v>4</v>
      </c>
      <c r="G743" s="2">
        <f>IF(ISNUMBER(SEARCH(Лист2!$B$4,F:F)),1,0)</f>
        <v>0</v>
      </c>
      <c r="H743" s="3">
        <f ca="1">IF(AND(I743&lt;&gt;I742,ISNUMBER(SEARCH(Лист2!$B$5,I:I)),G743=1),MAX($H$3:OFFSET(H743,-1,0))+1,0)</f>
        <v>0</v>
      </c>
      <c r="I743" s="3" t="s">
        <v>113</v>
      </c>
      <c r="K743" s="2">
        <f>IF(ISNUMBER(SEARCH(Лист2!$B$4,F:F)),1,0)</f>
        <v>0</v>
      </c>
      <c r="L743" s="14">
        <f>IF(ISNUMBER(SEARCH(Лист2!$B$5,I:I)),1,0)+K743</f>
        <v>0</v>
      </c>
      <c r="M743" s="3">
        <f ca="1">IF(AND(N743&lt;&gt;N742,ISNUMBER(SEARCH(Лист2!$B$6,N:N)),L743=2),MAX($M$3:OFFSET(M743,-1,0))+1,0)</f>
        <v>0</v>
      </c>
      <c r="N743" s="3" t="s">
        <v>937</v>
      </c>
    </row>
    <row r="744" spans="1:14" x14ac:dyDescent="0.25">
      <c r="A744" s="1" t="s">
        <v>10416</v>
      </c>
      <c r="B744" s="3" t="s">
        <v>4368</v>
      </c>
      <c r="C744" s="2">
        <f ca="1">IF(ISNUMBER(SEARCH(Лист2!$B$4,D:D)),MAX($C$3:OFFSET(C744,-1,0))+1,0)</f>
        <v>0</v>
      </c>
      <c r="E744" s="9" t="str">
        <f t="shared" ca="1" si="23"/>
        <v/>
      </c>
      <c r="F744" s="4" t="s">
        <v>4</v>
      </c>
      <c r="G744" s="2">
        <f>IF(ISNUMBER(SEARCH(Лист2!$B$4,F:F)),1,0)</f>
        <v>0</v>
      </c>
      <c r="H744" s="3">
        <f ca="1">IF(AND(I744&lt;&gt;I743,ISNUMBER(SEARCH(Лист2!$B$5,I:I)),G744=1),MAX($H$3:OFFSET(H744,-1,0))+1,0)</f>
        <v>0</v>
      </c>
      <c r="I744" s="3" t="s">
        <v>113</v>
      </c>
      <c r="K744" s="2">
        <f>IF(ISNUMBER(SEARCH(Лист2!$B$4,F:F)),1,0)</f>
        <v>0</v>
      </c>
      <c r="L744" s="14">
        <f>IF(ISNUMBER(SEARCH(Лист2!$B$5,I:I)),1,0)+K744</f>
        <v>0</v>
      </c>
      <c r="M744" s="3">
        <f ca="1">IF(AND(N744&lt;&gt;N743,ISNUMBER(SEARCH(Лист2!$B$6,N:N)),L744=2),MAX($M$3:OFFSET(M744,-1,0))+1,0)</f>
        <v>0</v>
      </c>
      <c r="N744" s="3" t="s">
        <v>937</v>
      </c>
    </row>
    <row r="745" spans="1:14" x14ac:dyDescent="0.25">
      <c r="A745" s="1" t="s">
        <v>10417</v>
      </c>
      <c r="B745" s="3" t="s">
        <v>4369</v>
      </c>
      <c r="C745" s="2">
        <f ca="1">IF(ISNUMBER(SEARCH(Лист2!$B$4,D:D)),MAX($C$3:OFFSET(C745,-1,0))+1,0)</f>
        <v>0</v>
      </c>
      <c r="E745" s="9" t="str">
        <f t="shared" ca="1" si="23"/>
        <v/>
      </c>
      <c r="F745" s="4" t="s">
        <v>4</v>
      </c>
      <c r="G745" s="2">
        <f>IF(ISNUMBER(SEARCH(Лист2!$B$4,F:F)),1,0)</f>
        <v>0</v>
      </c>
      <c r="H745" s="3">
        <f ca="1">IF(AND(I745&lt;&gt;I744,ISNUMBER(SEARCH(Лист2!$B$5,I:I)),G745=1),MAX($H$3:OFFSET(H745,-1,0))+1,0)</f>
        <v>0</v>
      </c>
      <c r="I745" s="3" t="s">
        <v>113</v>
      </c>
      <c r="K745" s="2">
        <f>IF(ISNUMBER(SEARCH(Лист2!$B$4,F:F)),1,0)</f>
        <v>0</v>
      </c>
      <c r="L745" s="14">
        <f>IF(ISNUMBER(SEARCH(Лист2!$B$5,I:I)),1,0)+K745</f>
        <v>0</v>
      </c>
      <c r="M745" s="3">
        <f ca="1">IF(AND(N745&lt;&gt;N744,ISNUMBER(SEARCH(Лист2!$B$6,N:N)),L745=2),MAX($M$3:OFFSET(M745,-1,0))+1,0)</f>
        <v>0</v>
      </c>
      <c r="N745" s="3" t="s">
        <v>938</v>
      </c>
    </row>
    <row r="746" spans="1:14" x14ac:dyDescent="0.25">
      <c r="A746" s="1" t="s">
        <v>10417</v>
      </c>
      <c r="B746" s="3" t="s">
        <v>4370</v>
      </c>
      <c r="C746" s="2">
        <f ca="1">IF(ISNUMBER(SEARCH(Лист2!$B$4,D:D)),MAX($C$3:OFFSET(C746,-1,0))+1,0)</f>
        <v>0</v>
      </c>
      <c r="E746" s="9" t="str">
        <f t="shared" ca="1" si="23"/>
        <v/>
      </c>
      <c r="F746" s="4" t="s">
        <v>4</v>
      </c>
      <c r="G746" s="2">
        <f>IF(ISNUMBER(SEARCH(Лист2!$B$4,F:F)),1,0)</f>
        <v>0</v>
      </c>
      <c r="H746" s="3">
        <f ca="1">IF(AND(I746&lt;&gt;I745,ISNUMBER(SEARCH(Лист2!$B$5,I:I)),G746=1),MAX($H$3:OFFSET(H746,-1,0))+1,0)</f>
        <v>0</v>
      </c>
      <c r="I746" s="3" t="s">
        <v>113</v>
      </c>
      <c r="K746" s="2">
        <f>IF(ISNUMBER(SEARCH(Лист2!$B$4,F:F)),1,0)</f>
        <v>0</v>
      </c>
      <c r="L746" s="14">
        <f>IF(ISNUMBER(SEARCH(Лист2!$B$5,I:I)),1,0)+K746</f>
        <v>0</v>
      </c>
      <c r="M746" s="3">
        <f ca="1">IF(AND(N746&lt;&gt;N745,ISNUMBER(SEARCH(Лист2!$B$6,N:N)),L746=2),MAX($M$3:OFFSET(M746,-1,0))+1,0)</f>
        <v>0</v>
      </c>
      <c r="N746" s="3" t="s">
        <v>938</v>
      </c>
    </row>
    <row r="747" spans="1:14" x14ac:dyDescent="0.25">
      <c r="A747" s="1" t="s">
        <v>10417</v>
      </c>
      <c r="B747" s="3" t="s">
        <v>4371</v>
      </c>
      <c r="C747" s="2">
        <f ca="1">IF(ISNUMBER(SEARCH(Лист2!$B$4,D:D)),MAX($C$3:OFFSET(C747,-1,0))+1,0)</f>
        <v>0</v>
      </c>
      <c r="E747" s="9" t="str">
        <f t="shared" ca="1" si="23"/>
        <v/>
      </c>
      <c r="F747" s="4" t="s">
        <v>4</v>
      </c>
      <c r="G747" s="2">
        <f>IF(ISNUMBER(SEARCH(Лист2!$B$4,F:F)),1,0)</f>
        <v>0</v>
      </c>
      <c r="H747" s="3">
        <f ca="1">IF(AND(I747&lt;&gt;I746,ISNUMBER(SEARCH(Лист2!$B$5,I:I)),G747=1),MAX($H$3:OFFSET(H747,-1,0))+1,0)</f>
        <v>0</v>
      </c>
      <c r="I747" s="3" t="s">
        <v>113</v>
      </c>
      <c r="K747" s="2">
        <f>IF(ISNUMBER(SEARCH(Лист2!$B$4,F:F)),1,0)</f>
        <v>0</v>
      </c>
      <c r="L747" s="14">
        <f>IF(ISNUMBER(SEARCH(Лист2!$B$5,I:I)),1,0)+K747</f>
        <v>0</v>
      </c>
      <c r="M747" s="3">
        <f ca="1">IF(AND(N747&lt;&gt;N746,ISNUMBER(SEARCH(Лист2!$B$6,N:N)),L747=2),MAX($M$3:OFFSET(M747,-1,0))+1,0)</f>
        <v>0</v>
      </c>
      <c r="N747" s="3" t="s">
        <v>938</v>
      </c>
    </row>
    <row r="748" spans="1:14" x14ac:dyDescent="0.25">
      <c r="A748" s="1" t="s">
        <v>10418</v>
      </c>
      <c r="B748" s="3" t="s">
        <v>4372</v>
      </c>
      <c r="C748" s="2">
        <f ca="1">IF(ISNUMBER(SEARCH(Лист2!$B$4,D:D)),MAX($C$3:OFFSET(C748,-1,0))+1,0)</f>
        <v>0</v>
      </c>
      <c r="E748" s="9" t="str">
        <f t="shared" ca="1" si="23"/>
        <v/>
      </c>
      <c r="F748" s="4" t="s">
        <v>4</v>
      </c>
      <c r="G748" s="2">
        <f>IF(ISNUMBER(SEARCH(Лист2!$B$4,F:F)),1,0)</f>
        <v>0</v>
      </c>
      <c r="H748" s="3">
        <f ca="1">IF(AND(I748&lt;&gt;I747,ISNUMBER(SEARCH(Лист2!$B$5,I:I)),G748=1),MAX($H$3:OFFSET(H748,-1,0))+1,0)</f>
        <v>0</v>
      </c>
      <c r="I748" s="3" t="s">
        <v>113</v>
      </c>
      <c r="K748" s="2">
        <f>IF(ISNUMBER(SEARCH(Лист2!$B$4,F:F)),1,0)</f>
        <v>0</v>
      </c>
      <c r="L748" s="14">
        <f>IF(ISNUMBER(SEARCH(Лист2!$B$5,I:I)),1,0)+K748</f>
        <v>0</v>
      </c>
      <c r="M748" s="3">
        <f ca="1">IF(AND(N748&lt;&gt;N747,ISNUMBER(SEARCH(Лист2!$B$6,N:N)),L748=2),MAX($M$3:OFFSET(M748,-1,0))+1,0)</f>
        <v>0</v>
      </c>
      <c r="N748" s="3" t="s">
        <v>939</v>
      </c>
    </row>
    <row r="749" spans="1:14" x14ac:dyDescent="0.25">
      <c r="A749" s="1" t="s">
        <v>10418</v>
      </c>
      <c r="B749" s="3" t="s">
        <v>4373</v>
      </c>
      <c r="C749" s="2">
        <f ca="1">IF(ISNUMBER(SEARCH(Лист2!$B$4,D:D)),MAX($C$3:OFFSET(C749,-1,0))+1,0)</f>
        <v>0</v>
      </c>
      <c r="E749" s="9" t="str">
        <f t="shared" ca="1" si="23"/>
        <v/>
      </c>
      <c r="F749" s="4" t="s">
        <v>4</v>
      </c>
      <c r="G749" s="2">
        <f>IF(ISNUMBER(SEARCH(Лист2!$B$4,F:F)),1,0)</f>
        <v>0</v>
      </c>
      <c r="H749" s="3">
        <f ca="1">IF(AND(I749&lt;&gt;I748,ISNUMBER(SEARCH(Лист2!$B$5,I:I)),G749=1),MAX($H$3:OFFSET(H749,-1,0))+1,0)</f>
        <v>0</v>
      </c>
      <c r="I749" s="3" t="s">
        <v>113</v>
      </c>
      <c r="K749" s="2">
        <f>IF(ISNUMBER(SEARCH(Лист2!$B$4,F:F)),1,0)</f>
        <v>0</v>
      </c>
      <c r="L749" s="14">
        <f>IF(ISNUMBER(SEARCH(Лист2!$B$5,I:I)),1,0)+K749</f>
        <v>0</v>
      </c>
      <c r="M749" s="3">
        <f ca="1">IF(AND(N749&lt;&gt;N748,ISNUMBER(SEARCH(Лист2!$B$6,N:N)),L749=2),MAX($M$3:OFFSET(M749,-1,0))+1,0)</f>
        <v>0</v>
      </c>
      <c r="N749" s="3" t="s">
        <v>939</v>
      </c>
    </row>
    <row r="750" spans="1:14" x14ac:dyDescent="0.25">
      <c r="A750" s="1" t="s">
        <v>10418</v>
      </c>
      <c r="B750" s="3" t="s">
        <v>4374</v>
      </c>
      <c r="C750" s="2">
        <f ca="1">IF(ISNUMBER(SEARCH(Лист2!$B$4,D:D)),MAX($C$3:OFFSET(C750,-1,0))+1,0)</f>
        <v>0</v>
      </c>
      <c r="E750" s="9" t="str">
        <f t="shared" ca="1" si="23"/>
        <v/>
      </c>
      <c r="F750" s="4" t="s">
        <v>4</v>
      </c>
      <c r="G750" s="2">
        <f>IF(ISNUMBER(SEARCH(Лист2!$B$4,F:F)),1,0)</f>
        <v>0</v>
      </c>
      <c r="H750" s="3">
        <f ca="1">IF(AND(I750&lt;&gt;I749,ISNUMBER(SEARCH(Лист2!$B$5,I:I)),G750=1),MAX($H$3:OFFSET(H750,-1,0))+1,0)</f>
        <v>0</v>
      </c>
      <c r="I750" s="3" t="s">
        <v>113</v>
      </c>
      <c r="K750" s="2">
        <f>IF(ISNUMBER(SEARCH(Лист2!$B$4,F:F)),1,0)</f>
        <v>0</v>
      </c>
      <c r="L750" s="14">
        <f>IF(ISNUMBER(SEARCH(Лист2!$B$5,I:I)),1,0)+K750</f>
        <v>0</v>
      </c>
      <c r="M750" s="3">
        <f ca="1">IF(AND(N750&lt;&gt;N749,ISNUMBER(SEARCH(Лист2!$B$6,N:N)),L750=2),MAX($M$3:OFFSET(M750,-1,0))+1,0)</f>
        <v>0</v>
      </c>
      <c r="N750" s="3" t="s">
        <v>939</v>
      </c>
    </row>
    <row r="751" spans="1:14" x14ac:dyDescent="0.25">
      <c r="A751" s="1" t="s">
        <v>10418</v>
      </c>
      <c r="B751" s="3" t="s">
        <v>4375</v>
      </c>
      <c r="C751" s="2">
        <f ca="1">IF(ISNUMBER(SEARCH(Лист2!$B$4,D:D)),MAX($C$3:OFFSET(C751,-1,0))+1,0)</f>
        <v>0</v>
      </c>
      <c r="E751" s="9" t="str">
        <f t="shared" ca="1" si="23"/>
        <v/>
      </c>
      <c r="F751" s="4" t="s">
        <v>4</v>
      </c>
      <c r="G751" s="2">
        <f>IF(ISNUMBER(SEARCH(Лист2!$B$4,F:F)),1,0)</f>
        <v>0</v>
      </c>
      <c r="H751" s="3">
        <f ca="1">IF(AND(I751&lt;&gt;I750,ISNUMBER(SEARCH(Лист2!$B$5,I:I)),G751=1),MAX($H$3:OFFSET(H751,-1,0))+1,0)</f>
        <v>0</v>
      </c>
      <c r="I751" s="3" t="s">
        <v>113</v>
      </c>
      <c r="K751" s="2">
        <f>IF(ISNUMBER(SEARCH(Лист2!$B$4,F:F)),1,0)</f>
        <v>0</v>
      </c>
      <c r="L751" s="14">
        <f>IF(ISNUMBER(SEARCH(Лист2!$B$5,I:I)),1,0)+K751</f>
        <v>0</v>
      </c>
      <c r="M751" s="3">
        <f ca="1">IF(AND(N751&lt;&gt;N750,ISNUMBER(SEARCH(Лист2!$B$6,N:N)),L751=2),MAX($M$3:OFFSET(M751,-1,0))+1,0)</f>
        <v>0</v>
      </c>
      <c r="N751" s="3" t="s">
        <v>939</v>
      </c>
    </row>
    <row r="752" spans="1:14" x14ac:dyDescent="0.25">
      <c r="A752" s="1" t="s">
        <v>10418</v>
      </c>
      <c r="B752" s="3" t="s">
        <v>4376</v>
      </c>
      <c r="C752" s="2">
        <f ca="1">IF(ISNUMBER(SEARCH(Лист2!$B$4,D:D)),MAX($C$3:OFFSET(C752,-1,0))+1,0)</f>
        <v>0</v>
      </c>
      <c r="E752" s="9" t="str">
        <f t="shared" ca="1" si="23"/>
        <v/>
      </c>
      <c r="F752" s="4" t="s">
        <v>4</v>
      </c>
      <c r="G752" s="2">
        <f>IF(ISNUMBER(SEARCH(Лист2!$B$4,F:F)),1,0)</f>
        <v>0</v>
      </c>
      <c r="H752" s="3">
        <f ca="1">IF(AND(I752&lt;&gt;I751,ISNUMBER(SEARCH(Лист2!$B$5,I:I)),G752=1),MAX($H$3:OFFSET(H752,-1,0))+1,0)</f>
        <v>0</v>
      </c>
      <c r="I752" s="3" t="s">
        <v>113</v>
      </c>
      <c r="K752" s="2">
        <f>IF(ISNUMBER(SEARCH(Лист2!$B$4,F:F)),1,0)</f>
        <v>0</v>
      </c>
      <c r="L752" s="14">
        <f>IF(ISNUMBER(SEARCH(Лист2!$B$5,I:I)),1,0)+K752</f>
        <v>0</v>
      </c>
      <c r="M752" s="3">
        <f ca="1">IF(AND(N752&lt;&gt;N751,ISNUMBER(SEARCH(Лист2!$B$6,N:N)),L752=2),MAX($M$3:OFFSET(M752,-1,0))+1,0)</f>
        <v>0</v>
      </c>
      <c r="N752" s="3" t="s">
        <v>939</v>
      </c>
    </row>
    <row r="753" spans="1:14" x14ac:dyDescent="0.25">
      <c r="A753" s="1" t="s">
        <v>10418</v>
      </c>
      <c r="B753" s="3" t="s">
        <v>4377</v>
      </c>
      <c r="C753" s="2">
        <f ca="1">IF(ISNUMBER(SEARCH(Лист2!$B$4,D:D)),MAX($C$3:OFFSET(C753,-1,0))+1,0)</f>
        <v>0</v>
      </c>
      <c r="E753" s="9" t="str">
        <f t="shared" ca="1" si="23"/>
        <v/>
      </c>
      <c r="F753" s="4" t="s">
        <v>4</v>
      </c>
      <c r="G753" s="2">
        <f>IF(ISNUMBER(SEARCH(Лист2!$B$4,F:F)),1,0)</f>
        <v>0</v>
      </c>
      <c r="H753" s="3">
        <f ca="1">IF(AND(I753&lt;&gt;I752,ISNUMBER(SEARCH(Лист2!$B$5,I:I)),G753=1),MAX($H$3:OFFSET(H753,-1,0))+1,0)</f>
        <v>0</v>
      </c>
      <c r="I753" s="3" t="s">
        <v>113</v>
      </c>
      <c r="K753" s="2">
        <f>IF(ISNUMBER(SEARCH(Лист2!$B$4,F:F)),1,0)</f>
        <v>0</v>
      </c>
      <c r="L753" s="14">
        <f>IF(ISNUMBER(SEARCH(Лист2!$B$5,I:I)),1,0)+K753</f>
        <v>0</v>
      </c>
      <c r="M753" s="3">
        <f ca="1">IF(AND(N753&lt;&gt;N752,ISNUMBER(SEARCH(Лист2!$B$6,N:N)),L753=2),MAX($M$3:OFFSET(M753,-1,0))+1,0)</f>
        <v>0</v>
      </c>
      <c r="N753" s="3" t="s">
        <v>939</v>
      </c>
    </row>
    <row r="754" spans="1:14" x14ac:dyDescent="0.25">
      <c r="A754" s="1" t="s">
        <v>10419</v>
      </c>
      <c r="B754" s="3" t="s">
        <v>4378</v>
      </c>
      <c r="C754" s="2">
        <f ca="1">IF(ISNUMBER(SEARCH(Лист2!$B$4,D:D)),MAX($C$3:OFFSET(C754,-1,0))+1,0)</f>
        <v>0</v>
      </c>
      <c r="E754" s="9" t="str">
        <f t="shared" ca="1" si="23"/>
        <v/>
      </c>
      <c r="F754" s="4" t="s">
        <v>4</v>
      </c>
      <c r="G754" s="2">
        <f>IF(ISNUMBER(SEARCH(Лист2!$B$4,F:F)),1,0)</f>
        <v>0</v>
      </c>
      <c r="H754" s="3">
        <f ca="1">IF(AND(I754&lt;&gt;I753,ISNUMBER(SEARCH(Лист2!$B$5,I:I)),G754=1),MAX($H$3:OFFSET(H754,-1,0))+1,0)</f>
        <v>0</v>
      </c>
      <c r="I754" s="3" t="s">
        <v>113</v>
      </c>
      <c r="K754" s="2">
        <f>IF(ISNUMBER(SEARCH(Лист2!$B$4,F:F)),1,0)</f>
        <v>0</v>
      </c>
      <c r="L754" s="14">
        <f>IF(ISNUMBER(SEARCH(Лист2!$B$5,I:I)),1,0)+K754</f>
        <v>0</v>
      </c>
      <c r="M754" s="3">
        <f ca="1">IF(AND(N754&lt;&gt;N753,ISNUMBER(SEARCH(Лист2!$B$6,N:N)),L754=2),MAX($M$3:OFFSET(M754,-1,0))+1,0)</f>
        <v>0</v>
      </c>
      <c r="N754" s="3" t="s">
        <v>940</v>
      </c>
    </row>
    <row r="755" spans="1:14" x14ac:dyDescent="0.25">
      <c r="A755" s="1" t="s">
        <v>10419</v>
      </c>
      <c r="B755" s="3" t="s">
        <v>4379</v>
      </c>
      <c r="C755" s="2">
        <f ca="1">IF(ISNUMBER(SEARCH(Лист2!$B$4,D:D)),MAX($C$3:OFFSET(C755,-1,0))+1,0)</f>
        <v>0</v>
      </c>
      <c r="E755" s="9" t="str">
        <f t="shared" ca="1" si="23"/>
        <v/>
      </c>
      <c r="F755" s="4" t="s">
        <v>4</v>
      </c>
      <c r="G755" s="2">
        <f>IF(ISNUMBER(SEARCH(Лист2!$B$4,F:F)),1,0)</f>
        <v>0</v>
      </c>
      <c r="H755" s="3">
        <f ca="1">IF(AND(I755&lt;&gt;I754,ISNUMBER(SEARCH(Лист2!$B$5,I:I)),G755=1),MAX($H$3:OFFSET(H755,-1,0))+1,0)</f>
        <v>0</v>
      </c>
      <c r="I755" s="3" t="s">
        <v>113</v>
      </c>
      <c r="K755" s="2">
        <f>IF(ISNUMBER(SEARCH(Лист2!$B$4,F:F)),1,0)</f>
        <v>0</v>
      </c>
      <c r="L755" s="14">
        <f>IF(ISNUMBER(SEARCH(Лист2!$B$5,I:I)),1,0)+K755</f>
        <v>0</v>
      </c>
      <c r="M755" s="3">
        <f ca="1">IF(AND(N755&lt;&gt;N754,ISNUMBER(SEARCH(Лист2!$B$6,N:N)),L755=2),MAX($M$3:OFFSET(M755,-1,0))+1,0)</f>
        <v>0</v>
      </c>
      <c r="N755" s="3" t="s">
        <v>940</v>
      </c>
    </row>
    <row r="756" spans="1:14" x14ac:dyDescent="0.25">
      <c r="A756" s="1" t="s">
        <v>10419</v>
      </c>
      <c r="B756" s="3" t="s">
        <v>4380</v>
      </c>
      <c r="C756" s="2">
        <f ca="1">IF(ISNUMBER(SEARCH(Лист2!$B$4,D:D)),MAX($C$3:OFFSET(C756,-1,0))+1,0)</f>
        <v>0</v>
      </c>
      <c r="E756" s="9" t="str">
        <f t="shared" ca="1" si="23"/>
        <v/>
      </c>
      <c r="F756" s="4" t="s">
        <v>4</v>
      </c>
      <c r="G756" s="2">
        <f>IF(ISNUMBER(SEARCH(Лист2!$B$4,F:F)),1,0)</f>
        <v>0</v>
      </c>
      <c r="H756" s="3">
        <f ca="1">IF(AND(I756&lt;&gt;I755,ISNUMBER(SEARCH(Лист2!$B$5,I:I)),G756=1),MAX($H$3:OFFSET(H756,-1,0))+1,0)</f>
        <v>0</v>
      </c>
      <c r="I756" s="3" t="s">
        <v>113</v>
      </c>
      <c r="K756" s="2">
        <f>IF(ISNUMBER(SEARCH(Лист2!$B$4,F:F)),1,0)</f>
        <v>0</v>
      </c>
      <c r="L756" s="14">
        <f>IF(ISNUMBER(SEARCH(Лист2!$B$5,I:I)),1,0)+K756</f>
        <v>0</v>
      </c>
      <c r="M756" s="3">
        <f ca="1">IF(AND(N756&lt;&gt;N755,ISNUMBER(SEARCH(Лист2!$B$6,N:N)),L756=2),MAX($M$3:OFFSET(M756,-1,0))+1,0)</f>
        <v>0</v>
      </c>
      <c r="N756" s="3" t="s">
        <v>940</v>
      </c>
    </row>
    <row r="757" spans="1:14" x14ac:dyDescent="0.25">
      <c r="A757" s="1" t="s">
        <v>10420</v>
      </c>
      <c r="B757" s="3" t="s">
        <v>4381</v>
      </c>
      <c r="C757" s="2">
        <f ca="1">IF(ISNUMBER(SEARCH(Лист2!$B$4,D:D)),MAX($C$3:OFFSET(C757,-1,0))+1,0)</f>
        <v>0</v>
      </c>
      <c r="E757" s="9" t="str">
        <f t="shared" ca="1" si="23"/>
        <v/>
      </c>
      <c r="F757" s="4" t="s">
        <v>4</v>
      </c>
      <c r="G757" s="2">
        <f>IF(ISNUMBER(SEARCH(Лист2!$B$4,F:F)),1,0)</f>
        <v>0</v>
      </c>
      <c r="H757" s="3">
        <f ca="1">IF(AND(I757&lt;&gt;I756,ISNUMBER(SEARCH(Лист2!$B$5,I:I)),G757=1),MAX($H$3:OFFSET(H757,-1,0))+1,0)</f>
        <v>0</v>
      </c>
      <c r="I757" s="3" t="s">
        <v>114</v>
      </c>
      <c r="K757" s="2">
        <f>IF(ISNUMBER(SEARCH(Лист2!$B$4,F:F)),1,0)</f>
        <v>0</v>
      </c>
      <c r="L757" s="14">
        <f>IF(ISNUMBER(SEARCH(Лист2!$B$5,I:I)),1,0)+K757</f>
        <v>0</v>
      </c>
      <c r="M757" s="3">
        <f ca="1">IF(AND(N757&lt;&gt;N756,ISNUMBER(SEARCH(Лист2!$B$6,N:N)),L757=2),MAX($M$3:OFFSET(M757,-1,0))+1,0)</f>
        <v>0</v>
      </c>
      <c r="N757" s="3" t="s">
        <v>941</v>
      </c>
    </row>
    <row r="758" spans="1:14" x14ac:dyDescent="0.25">
      <c r="A758" s="1" t="s">
        <v>10420</v>
      </c>
      <c r="B758" s="3" t="s">
        <v>4382</v>
      </c>
      <c r="C758" s="2">
        <f ca="1">IF(ISNUMBER(SEARCH(Лист2!$B$4,D:D)),MAX($C$3:OFFSET(C758,-1,0))+1,0)</f>
        <v>0</v>
      </c>
      <c r="E758" s="9" t="str">
        <f t="shared" ca="1" si="23"/>
        <v/>
      </c>
      <c r="F758" s="4" t="s">
        <v>4</v>
      </c>
      <c r="G758" s="2">
        <f>IF(ISNUMBER(SEARCH(Лист2!$B$4,F:F)),1,0)</f>
        <v>0</v>
      </c>
      <c r="H758" s="3">
        <f ca="1">IF(AND(I758&lt;&gt;I757,ISNUMBER(SEARCH(Лист2!$B$5,I:I)),G758=1),MAX($H$3:OFFSET(H758,-1,0))+1,0)</f>
        <v>0</v>
      </c>
      <c r="I758" s="3" t="s">
        <v>114</v>
      </c>
      <c r="K758" s="2">
        <f>IF(ISNUMBER(SEARCH(Лист2!$B$4,F:F)),1,0)</f>
        <v>0</v>
      </c>
      <c r="L758" s="14">
        <f>IF(ISNUMBER(SEARCH(Лист2!$B$5,I:I)),1,0)+K758</f>
        <v>0</v>
      </c>
      <c r="M758" s="3">
        <f ca="1">IF(AND(N758&lt;&gt;N757,ISNUMBER(SEARCH(Лист2!$B$6,N:N)),L758=2),MAX($M$3:OFFSET(M758,-1,0))+1,0)</f>
        <v>0</v>
      </c>
      <c r="N758" s="3" t="s">
        <v>941</v>
      </c>
    </row>
    <row r="759" spans="1:14" x14ac:dyDescent="0.25">
      <c r="A759" s="1" t="s">
        <v>10420</v>
      </c>
      <c r="B759" s="3" t="s">
        <v>4383</v>
      </c>
      <c r="C759" s="2">
        <f ca="1">IF(ISNUMBER(SEARCH(Лист2!$B$4,D:D)),MAX($C$3:OFFSET(C759,-1,0))+1,0)</f>
        <v>0</v>
      </c>
      <c r="E759" s="9" t="str">
        <f t="shared" ca="1" si="23"/>
        <v/>
      </c>
      <c r="F759" s="4" t="s">
        <v>4</v>
      </c>
      <c r="G759" s="2">
        <f>IF(ISNUMBER(SEARCH(Лист2!$B$4,F:F)),1,0)</f>
        <v>0</v>
      </c>
      <c r="H759" s="3">
        <f ca="1">IF(AND(I759&lt;&gt;I758,ISNUMBER(SEARCH(Лист2!$B$5,I:I)),G759=1),MAX($H$3:OFFSET(H759,-1,0))+1,0)</f>
        <v>0</v>
      </c>
      <c r="I759" s="3" t="s">
        <v>114</v>
      </c>
      <c r="K759" s="2">
        <f>IF(ISNUMBER(SEARCH(Лист2!$B$4,F:F)),1,0)</f>
        <v>0</v>
      </c>
      <c r="L759" s="14">
        <f>IF(ISNUMBER(SEARCH(Лист2!$B$5,I:I)),1,0)+K759</f>
        <v>0</v>
      </c>
      <c r="M759" s="3">
        <f ca="1">IF(AND(N759&lt;&gt;N758,ISNUMBER(SEARCH(Лист2!$B$6,N:N)),L759=2),MAX($M$3:OFFSET(M759,-1,0))+1,0)</f>
        <v>0</v>
      </c>
      <c r="N759" s="3" t="s">
        <v>941</v>
      </c>
    </row>
    <row r="760" spans="1:14" x14ac:dyDescent="0.25">
      <c r="A760" s="1" t="s">
        <v>10421</v>
      </c>
      <c r="B760" s="3" t="s">
        <v>4384</v>
      </c>
      <c r="C760" s="2">
        <f ca="1">IF(ISNUMBER(SEARCH(Лист2!$B$4,D:D)),MAX($C$3:OFFSET(C760,-1,0))+1,0)</f>
        <v>0</v>
      </c>
      <c r="E760" s="9" t="str">
        <f t="shared" ca="1" si="23"/>
        <v/>
      </c>
      <c r="F760" s="4" t="s">
        <v>4</v>
      </c>
      <c r="G760" s="2">
        <f>IF(ISNUMBER(SEARCH(Лист2!$B$4,F:F)),1,0)</f>
        <v>0</v>
      </c>
      <c r="H760" s="3">
        <f ca="1">IF(AND(I760&lt;&gt;I759,ISNUMBER(SEARCH(Лист2!$B$5,I:I)),G760=1),MAX($H$3:OFFSET(H760,-1,0))+1,0)</f>
        <v>0</v>
      </c>
      <c r="I760" s="3" t="s">
        <v>114</v>
      </c>
      <c r="K760" s="2">
        <f>IF(ISNUMBER(SEARCH(Лист2!$B$4,F:F)),1,0)</f>
        <v>0</v>
      </c>
      <c r="L760" s="14">
        <f>IF(ISNUMBER(SEARCH(Лист2!$B$5,I:I)),1,0)+K760</f>
        <v>0</v>
      </c>
      <c r="M760" s="3">
        <f ca="1">IF(AND(N760&lt;&gt;N759,ISNUMBER(SEARCH(Лист2!$B$6,N:N)),L760=2),MAX($M$3:OFFSET(M760,-1,0))+1,0)</f>
        <v>0</v>
      </c>
      <c r="N760" s="3" t="s">
        <v>942</v>
      </c>
    </row>
    <row r="761" spans="1:14" x14ac:dyDescent="0.25">
      <c r="A761" s="1" t="s">
        <v>10421</v>
      </c>
      <c r="B761" s="3" t="s">
        <v>4385</v>
      </c>
      <c r="C761" s="2">
        <f ca="1">IF(ISNUMBER(SEARCH(Лист2!$B$4,D:D)),MAX($C$3:OFFSET(C761,-1,0))+1,0)</f>
        <v>0</v>
      </c>
      <c r="E761" s="9" t="str">
        <f t="shared" ca="1" si="23"/>
        <v/>
      </c>
      <c r="F761" s="4" t="s">
        <v>4</v>
      </c>
      <c r="G761" s="2">
        <f>IF(ISNUMBER(SEARCH(Лист2!$B$4,F:F)),1,0)</f>
        <v>0</v>
      </c>
      <c r="H761" s="3">
        <f ca="1">IF(AND(I761&lt;&gt;I760,ISNUMBER(SEARCH(Лист2!$B$5,I:I)),G761=1),MAX($H$3:OFFSET(H761,-1,0))+1,0)</f>
        <v>0</v>
      </c>
      <c r="I761" s="3" t="s">
        <v>114</v>
      </c>
      <c r="K761" s="2">
        <f>IF(ISNUMBER(SEARCH(Лист2!$B$4,F:F)),1,0)</f>
        <v>0</v>
      </c>
      <c r="L761" s="14">
        <f>IF(ISNUMBER(SEARCH(Лист2!$B$5,I:I)),1,0)+K761</f>
        <v>0</v>
      </c>
      <c r="M761" s="3">
        <f ca="1">IF(AND(N761&lt;&gt;N760,ISNUMBER(SEARCH(Лист2!$B$6,N:N)),L761=2),MAX($M$3:OFFSET(M761,-1,0))+1,0)</f>
        <v>0</v>
      </c>
      <c r="N761" s="3" t="s">
        <v>942</v>
      </c>
    </row>
    <row r="762" spans="1:14" x14ac:dyDescent="0.25">
      <c r="A762" s="1" t="s">
        <v>10421</v>
      </c>
      <c r="B762" s="3" t="s">
        <v>4386</v>
      </c>
      <c r="C762" s="2">
        <f ca="1">IF(ISNUMBER(SEARCH(Лист2!$B$4,D:D)),MAX($C$3:OFFSET(C762,-1,0))+1,0)</f>
        <v>0</v>
      </c>
      <c r="E762" s="9" t="str">
        <f t="shared" ca="1" si="23"/>
        <v/>
      </c>
      <c r="F762" s="4" t="s">
        <v>4</v>
      </c>
      <c r="G762" s="2">
        <f>IF(ISNUMBER(SEARCH(Лист2!$B$4,F:F)),1,0)</f>
        <v>0</v>
      </c>
      <c r="H762" s="3">
        <f ca="1">IF(AND(I762&lt;&gt;I761,ISNUMBER(SEARCH(Лист2!$B$5,I:I)),G762=1),MAX($H$3:OFFSET(H762,-1,0))+1,0)</f>
        <v>0</v>
      </c>
      <c r="I762" s="3" t="s">
        <v>114</v>
      </c>
      <c r="K762" s="2">
        <f>IF(ISNUMBER(SEARCH(Лист2!$B$4,F:F)),1,0)</f>
        <v>0</v>
      </c>
      <c r="L762" s="14">
        <f>IF(ISNUMBER(SEARCH(Лист2!$B$5,I:I)),1,0)+K762</f>
        <v>0</v>
      </c>
      <c r="M762" s="3">
        <f ca="1">IF(AND(N762&lt;&gt;N761,ISNUMBER(SEARCH(Лист2!$B$6,N:N)),L762=2),MAX($M$3:OFFSET(M762,-1,0))+1,0)</f>
        <v>0</v>
      </c>
      <c r="N762" s="3" t="s">
        <v>942</v>
      </c>
    </row>
    <row r="763" spans="1:14" x14ac:dyDescent="0.25">
      <c r="A763" s="1" t="s">
        <v>10422</v>
      </c>
      <c r="B763" s="3" t="s">
        <v>4387</v>
      </c>
      <c r="C763" s="2">
        <f ca="1">IF(ISNUMBER(SEARCH(Лист2!$B$4,D:D)),MAX($C$3:OFFSET(C763,-1,0))+1,0)</f>
        <v>0</v>
      </c>
      <c r="E763" s="9" t="str">
        <f t="shared" ca="1" si="23"/>
        <v/>
      </c>
      <c r="F763" s="4" t="s">
        <v>4</v>
      </c>
      <c r="G763" s="2">
        <f>IF(ISNUMBER(SEARCH(Лист2!$B$4,F:F)),1,0)</f>
        <v>0</v>
      </c>
      <c r="H763" s="3">
        <f ca="1">IF(AND(I763&lt;&gt;I762,ISNUMBER(SEARCH(Лист2!$B$5,I:I)),G763=1),MAX($H$3:OFFSET(H763,-1,0))+1,0)</f>
        <v>0</v>
      </c>
      <c r="I763" s="3" t="s">
        <v>114</v>
      </c>
      <c r="K763" s="2">
        <f>IF(ISNUMBER(SEARCH(Лист2!$B$4,F:F)),1,0)</f>
        <v>0</v>
      </c>
      <c r="L763" s="14">
        <f>IF(ISNUMBER(SEARCH(Лист2!$B$5,I:I)),1,0)+K763</f>
        <v>0</v>
      </c>
      <c r="M763" s="3">
        <f ca="1">IF(AND(N763&lt;&gt;N762,ISNUMBER(SEARCH(Лист2!$B$6,N:N)),L763=2),MAX($M$3:OFFSET(M763,-1,0))+1,0)</f>
        <v>0</v>
      </c>
      <c r="N763" s="3" t="s">
        <v>943</v>
      </c>
    </row>
    <row r="764" spans="1:14" x14ac:dyDescent="0.25">
      <c r="A764" s="1" t="s">
        <v>10422</v>
      </c>
      <c r="B764" s="3" t="s">
        <v>4388</v>
      </c>
      <c r="C764" s="2">
        <f ca="1">IF(ISNUMBER(SEARCH(Лист2!$B$4,D:D)),MAX($C$3:OFFSET(C764,-1,0))+1,0)</f>
        <v>0</v>
      </c>
      <c r="E764" s="9" t="str">
        <f t="shared" ca="1" si="23"/>
        <v/>
      </c>
      <c r="F764" s="4" t="s">
        <v>4</v>
      </c>
      <c r="G764" s="2">
        <f>IF(ISNUMBER(SEARCH(Лист2!$B$4,F:F)),1,0)</f>
        <v>0</v>
      </c>
      <c r="H764" s="3">
        <f ca="1">IF(AND(I764&lt;&gt;I763,ISNUMBER(SEARCH(Лист2!$B$5,I:I)),G764=1),MAX($H$3:OFFSET(H764,-1,0))+1,0)</f>
        <v>0</v>
      </c>
      <c r="I764" s="3" t="s">
        <v>114</v>
      </c>
      <c r="K764" s="2">
        <f>IF(ISNUMBER(SEARCH(Лист2!$B$4,F:F)),1,0)</f>
        <v>0</v>
      </c>
      <c r="L764" s="14">
        <f>IF(ISNUMBER(SEARCH(Лист2!$B$5,I:I)),1,0)+K764</f>
        <v>0</v>
      </c>
      <c r="M764" s="3">
        <f ca="1">IF(AND(N764&lt;&gt;N763,ISNUMBER(SEARCH(Лист2!$B$6,N:N)),L764=2),MAX($M$3:OFFSET(M764,-1,0))+1,0)</f>
        <v>0</v>
      </c>
      <c r="N764" s="3" t="s">
        <v>943</v>
      </c>
    </row>
    <row r="765" spans="1:14" x14ac:dyDescent="0.25">
      <c r="A765" s="1" t="s">
        <v>10422</v>
      </c>
      <c r="B765" s="3" t="s">
        <v>4389</v>
      </c>
      <c r="C765" s="2">
        <f ca="1">IF(ISNUMBER(SEARCH(Лист2!$B$4,D:D)),MAX($C$3:OFFSET(C765,-1,0))+1,0)</f>
        <v>0</v>
      </c>
      <c r="E765" s="9" t="str">
        <f t="shared" ca="1" si="23"/>
        <v/>
      </c>
      <c r="F765" s="4" t="s">
        <v>4</v>
      </c>
      <c r="G765" s="2">
        <f>IF(ISNUMBER(SEARCH(Лист2!$B$4,F:F)),1,0)</f>
        <v>0</v>
      </c>
      <c r="H765" s="3">
        <f ca="1">IF(AND(I765&lt;&gt;I764,ISNUMBER(SEARCH(Лист2!$B$5,I:I)),G765=1),MAX($H$3:OFFSET(H765,-1,0))+1,0)</f>
        <v>0</v>
      </c>
      <c r="I765" s="3" t="s">
        <v>114</v>
      </c>
      <c r="K765" s="2">
        <f>IF(ISNUMBER(SEARCH(Лист2!$B$4,F:F)),1,0)</f>
        <v>0</v>
      </c>
      <c r="L765" s="14">
        <f>IF(ISNUMBER(SEARCH(Лист2!$B$5,I:I)),1,0)+K765</f>
        <v>0</v>
      </c>
      <c r="M765" s="3">
        <f ca="1">IF(AND(N765&lt;&gt;N764,ISNUMBER(SEARCH(Лист2!$B$6,N:N)),L765=2),MAX($M$3:OFFSET(M765,-1,0))+1,0)</f>
        <v>0</v>
      </c>
      <c r="N765" s="3" t="s">
        <v>943</v>
      </c>
    </row>
    <row r="766" spans="1:14" x14ac:dyDescent="0.25">
      <c r="A766" s="1" t="s">
        <v>10422</v>
      </c>
      <c r="B766" s="3" t="s">
        <v>4390</v>
      </c>
      <c r="C766" s="2">
        <f ca="1">IF(ISNUMBER(SEARCH(Лист2!$B$4,D:D)),MAX($C$3:OFFSET(C766,-1,0))+1,0)</f>
        <v>0</v>
      </c>
      <c r="E766" s="9" t="str">
        <f t="shared" ca="1" si="23"/>
        <v/>
      </c>
      <c r="F766" s="4" t="s">
        <v>4</v>
      </c>
      <c r="G766" s="2">
        <f>IF(ISNUMBER(SEARCH(Лист2!$B$4,F:F)),1,0)</f>
        <v>0</v>
      </c>
      <c r="H766" s="3">
        <f ca="1">IF(AND(I766&lt;&gt;I765,ISNUMBER(SEARCH(Лист2!$B$5,I:I)),G766=1),MAX($H$3:OFFSET(H766,-1,0))+1,0)</f>
        <v>0</v>
      </c>
      <c r="I766" s="3" t="s">
        <v>114</v>
      </c>
      <c r="K766" s="2">
        <f>IF(ISNUMBER(SEARCH(Лист2!$B$4,F:F)),1,0)</f>
        <v>0</v>
      </c>
      <c r="L766" s="14">
        <f>IF(ISNUMBER(SEARCH(Лист2!$B$5,I:I)),1,0)+K766</f>
        <v>0</v>
      </c>
      <c r="M766" s="3">
        <f ca="1">IF(AND(N766&lt;&gt;N765,ISNUMBER(SEARCH(Лист2!$B$6,N:N)),L766=2),MAX($M$3:OFFSET(M766,-1,0))+1,0)</f>
        <v>0</v>
      </c>
      <c r="N766" s="3" t="s">
        <v>943</v>
      </c>
    </row>
    <row r="767" spans="1:14" x14ac:dyDescent="0.25">
      <c r="A767" s="1" t="s">
        <v>10422</v>
      </c>
      <c r="B767" s="3" t="s">
        <v>4391</v>
      </c>
      <c r="C767" s="2">
        <f ca="1">IF(ISNUMBER(SEARCH(Лист2!$B$4,D:D)),MAX($C$3:OFFSET(C767,-1,0))+1,0)</f>
        <v>0</v>
      </c>
      <c r="E767" s="9" t="str">
        <f t="shared" ca="1" si="23"/>
        <v/>
      </c>
      <c r="F767" s="4" t="s">
        <v>4</v>
      </c>
      <c r="G767" s="2">
        <f>IF(ISNUMBER(SEARCH(Лист2!$B$4,F:F)),1,0)</f>
        <v>0</v>
      </c>
      <c r="H767" s="3">
        <f ca="1">IF(AND(I767&lt;&gt;I766,ISNUMBER(SEARCH(Лист2!$B$5,I:I)),G767=1),MAX($H$3:OFFSET(H767,-1,0))+1,0)</f>
        <v>0</v>
      </c>
      <c r="I767" s="3" t="s">
        <v>114</v>
      </c>
      <c r="K767" s="2">
        <f>IF(ISNUMBER(SEARCH(Лист2!$B$4,F:F)),1,0)</f>
        <v>0</v>
      </c>
      <c r="L767" s="14">
        <f>IF(ISNUMBER(SEARCH(Лист2!$B$5,I:I)),1,0)+K767</f>
        <v>0</v>
      </c>
      <c r="M767" s="3">
        <f ca="1">IF(AND(N767&lt;&gt;N766,ISNUMBER(SEARCH(Лист2!$B$6,N:N)),L767=2),MAX($M$3:OFFSET(M767,-1,0))+1,0)</f>
        <v>0</v>
      </c>
      <c r="N767" s="3" t="s">
        <v>943</v>
      </c>
    </row>
    <row r="768" spans="1:14" x14ac:dyDescent="0.25">
      <c r="A768" s="1" t="s">
        <v>10422</v>
      </c>
      <c r="B768" s="3" t="s">
        <v>4392</v>
      </c>
      <c r="C768" s="2">
        <f ca="1">IF(ISNUMBER(SEARCH(Лист2!$B$4,D:D)),MAX($C$3:OFFSET(C768,-1,0))+1,0)</f>
        <v>0</v>
      </c>
      <c r="E768" s="9" t="str">
        <f t="shared" ca="1" si="23"/>
        <v/>
      </c>
      <c r="F768" s="4" t="s">
        <v>4</v>
      </c>
      <c r="G768" s="2">
        <f>IF(ISNUMBER(SEARCH(Лист2!$B$4,F:F)),1,0)</f>
        <v>0</v>
      </c>
      <c r="H768" s="3">
        <f ca="1">IF(AND(I768&lt;&gt;I767,ISNUMBER(SEARCH(Лист2!$B$5,I:I)),G768=1),MAX($H$3:OFFSET(H768,-1,0))+1,0)</f>
        <v>0</v>
      </c>
      <c r="I768" s="3" t="s">
        <v>114</v>
      </c>
      <c r="K768" s="2">
        <f>IF(ISNUMBER(SEARCH(Лист2!$B$4,F:F)),1,0)</f>
        <v>0</v>
      </c>
      <c r="L768" s="14">
        <f>IF(ISNUMBER(SEARCH(Лист2!$B$5,I:I)),1,0)+K768</f>
        <v>0</v>
      </c>
      <c r="M768" s="3">
        <f ca="1">IF(AND(N768&lt;&gt;N767,ISNUMBER(SEARCH(Лист2!$B$6,N:N)),L768=2),MAX($M$3:OFFSET(M768,-1,0))+1,0)</f>
        <v>0</v>
      </c>
      <c r="N768" s="3" t="s">
        <v>943</v>
      </c>
    </row>
    <row r="769" spans="1:14" x14ac:dyDescent="0.25">
      <c r="A769" s="1" t="s">
        <v>10423</v>
      </c>
      <c r="B769" s="3" t="s">
        <v>4393</v>
      </c>
      <c r="C769" s="2">
        <f ca="1">IF(ISNUMBER(SEARCH(Лист2!$B$4,D:D)),MAX($C$3:OFFSET(C769,-1,0))+1,0)</f>
        <v>0</v>
      </c>
      <c r="E769" s="9" t="str">
        <f t="shared" ca="1" si="23"/>
        <v/>
      </c>
      <c r="F769" s="4" t="s">
        <v>4</v>
      </c>
      <c r="G769" s="2">
        <f>IF(ISNUMBER(SEARCH(Лист2!$B$4,F:F)),1,0)</f>
        <v>0</v>
      </c>
      <c r="H769" s="3">
        <f ca="1">IF(AND(I769&lt;&gt;I768,ISNUMBER(SEARCH(Лист2!$B$5,I:I)),G769=1),MAX($H$3:OFFSET(H769,-1,0))+1,0)</f>
        <v>0</v>
      </c>
      <c r="I769" s="3" t="s">
        <v>114</v>
      </c>
      <c r="K769" s="2">
        <f>IF(ISNUMBER(SEARCH(Лист2!$B$4,F:F)),1,0)</f>
        <v>0</v>
      </c>
      <c r="L769" s="14">
        <f>IF(ISNUMBER(SEARCH(Лист2!$B$5,I:I)),1,0)+K769</f>
        <v>0</v>
      </c>
      <c r="M769" s="3">
        <f ca="1">IF(AND(N769&lt;&gt;N768,ISNUMBER(SEARCH(Лист2!$B$6,N:N)),L769=2),MAX($M$3:OFFSET(M769,-1,0))+1,0)</f>
        <v>0</v>
      </c>
      <c r="N769" s="3" t="s">
        <v>944</v>
      </c>
    </row>
    <row r="770" spans="1:14" x14ac:dyDescent="0.25">
      <c r="A770" s="1" t="s">
        <v>10423</v>
      </c>
      <c r="B770" s="3" t="s">
        <v>4394</v>
      </c>
      <c r="C770" s="2">
        <f ca="1">IF(ISNUMBER(SEARCH(Лист2!$B$4,D:D)),MAX($C$3:OFFSET(C770,-1,0))+1,0)</f>
        <v>0</v>
      </c>
      <c r="E770" s="9" t="str">
        <f t="shared" ca="1" si="23"/>
        <v/>
      </c>
      <c r="F770" s="4" t="s">
        <v>4</v>
      </c>
      <c r="G770" s="2">
        <f>IF(ISNUMBER(SEARCH(Лист2!$B$4,F:F)),1,0)</f>
        <v>0</v>
      </c>
      <c r="H770" s="3">
        <f ca="1">IF(AND(I770&lt;&gt;I769,ISNUMBER(SEARCH(Лист2!$B$5,I:I)),G770=1),MAX($H$3:OFFSET(H770,-1,0))+1,0)</f>
        <v>0</v>
      </c>
      <c r="I770" s="3" t="s">
        <v>114</v>
      </c>
      <c r="K770" s="2">
        <f>IF(ISNUMBER(SEARCH(Лист2!$B$4,F:F)),1,0)</f>
        <v>0</v>
      </c>
      <c r="L770" s="14">
        <f>IF(ISNUMBER(SEARCH(Лист2!$B$5,I:I)),1,0)+K770</f>
        <v>0</v>
      </c>
      <c r="M770" s="3">
        <f ca="1">IF(AND(N770&lt;&gt;N769,ISNUMBER(SEARCH(Лист2!$B$6,N:N)),L770=2),MAX($M$3:OFFSET(M770,-1,0))+1,0)</f>
        <v>0</v>
      </c>
      <c r="N770" s="3" t="s">
        <v>944</v>
      </c>
    </row>
    <row r="771" spans="1:14" x14ac:dyDescent="0.25">
      <c r="A771" s="1" t="s">
        <v>10423</v>
      </c>
      <c r="B771" s="3" t="s">
        <v>4395</v>
      </c>
      <c r="C771" s="2">
        <f ca="1">IF(ISNUMBER(SEARCH(Лист2!$B$4,D:D)),MAX($C$3:OFFSET(C771,-1,0))+1,0)</f>
        <v>0</v>
      </c>
      <c r="E771" s="9" t="str">
        <f t="shared" ca="1" si="23"/>
        <v/>
      </c>
      <c r="F771" s="4" t="s">
        <v>4</v>
      </c>
      <c r="G771" s="2">
        <f>IF(ISNUMBER(SEARCH(Лист2!$B$4,F:F)),1,0)</f>
        <v>0</v>
      </c>
      <c r="H771" s="3">
        <f ca="1">IF(AND(I771&lt;&gt;I770,ISNUMBER(SEARCH(Лист2!$B$5,I:I)),G771=1),MAX($H$3:OFFSET(H771,-1,0))+1,0)</f>
        <v>0</v>
      </c>
      <c r="I771" s="3" t="s">
        <v>114</v>
      </c>
      <c r="K771" s="2">
        <f>IF(ISNUMBER(SEARCH(Лист2!$B$4,F:F)),1,0)</f>
        <v>0</v>
      </c>
      <c r="L771" s="14">
        <f>IF(ISNUMBER(SEARCH(Лист2!$B$5,I:I)),1,0)+K771</f>
        <v>0</v>
      </c>
      <c r="M771" s="3">
        <f ca="1">IF(AND(N771&lt;&gt;N770,ISNUMBER(SEARCH(Лист2!$B$6,N:N)),L771=2),MAX($M$3:OFFSET(M771,-1,0))+1,0)</f>
        <v>0</v>
      </c>
      <c r="N771" s="3" t="s">
        <v>944</v>
      </c>
    </row>
    <row r="772" spans="1:14" x14ac:dyDescent="0.25">
      <c r="A772" s="1" t="s">
        <v>10424</v>
      </c>
      <c r="B772" s="3" t="s">
        <v>4396</v>
      </c>
      <c r="C772" s="2">
        <f ca="1">IF(ISNUMBER(SEARCH(Лист2!$B$4,D:D)),MAX($C$3:OFFSET(C772,-1,0))+1,0)</f>
        <v>0</v>
      </c>
      <c r="E772" s="9" t="str">
        <f t="shared" ca="1" si="23"/>
        <v/>
      </c>
      <c r="F772" s="4" t="s">
        <v>4</v>
      </c>
      <c r="G772" s="2">
        <f>IF(ISNUMBER(SEARCH(Лист2!$B$4,F:F)),1,0)</f>
        <v>0</v>
      </c>
      <c r="H772" s="3">
        <f ca="1">IF(AND(I772&lt;&gt;I771,ISNUMBER(SEARCH(Лист2!$B$5,I:I)),G772=1),MAX($H$3:OFFSET(H772,-1,0))+1,0)</f>
        <v>0</v>
      </c>
      <c r="I772" s="3" t="s">
        <v>115</v>
      </c>
      <c r="K772" s="2">
        <f>IF(ISNUMBER(SEARCH(Лист2!$B$4,F:F)),1,0)</f>
        <v>0</v>
      </c>
      <c r="L772" s="14">
        <f>IF(ISNUMBER(SEARCH(Лист2!$B$5,I:I)),1,0)+K772</f>
        <v>0</v>
      </c>
      <c r="M772" s="3">
        <f ca="1">IF(AND(N772&lt;&gt;N771,ISNUMBER(SEARCH(Лист2!$B$6,N:N)),L772=2),MAX($M$3:OFFSET(M772,-1,0))+1,0)</f>
        <v>0</v>
      </c>
      <c r="N772" s="3" t="s">
        <v>945</v>
      </c>
    </row>
    <row r="773" spans="1:14" x14ac:dyDescent="0.25">
      <c r="A773" s="1" t="s">
        <v>10425</v>
      </c>
      <c r="B773" s="3" t="s">
        <v>4397</v>
      </c>
      <c r="C773" s="2">
        <f ca="1">IF(ISNUMBER(SEARCH(Лист2!$B$4,D:D)),MAX($C$3:OFFSET(C773,-1,0))+1,0)</f>
        <v>0</v>
      </c>
      <c r="E773" s="9" t="str">
        <f t="shared" ref="E773:E836" ca="1" si="24">IFERROR(INDEX(D:D,MATCH(ROW(E773)-ROW($E$3),C:C,0)),"")</f>
        <v/>
      </c>
      <c r="F773" s="4" t="s">
        <v>4</v>
      </c>
      <c r="G773" s="2">
        <f>IF(ISNUMBER(SEARCH(Лист2!$B$4,F:F)),1,0)</f>
        <v>0</v>
      </c>
      <c r="H773" s="3">
        <f ca="1">IF(AND(I773&lt;&gt;I772,ISNUMBER(SEARCH(Лист2!$B$5,I:I)),G773=1),MAX($H$3:OFFSET(H773,-1,0))+1,0)</f>
        <v>0</v>
      </c>
      <c r="I773" s="3" t="s">
        <v>115</v>
      </c>
      <c r="K773" s="2">
        <f>IF(ISNUMBER(SEARCH(Лист2!$B$4,F:F)),1,0)</f>
        <v>0</v>
      </c>
      <c r="L773" s="14">
        <f>IF(ISNUMBER(SEARCH(Лист2!$B$5,I:I)),1,0)+K773</f>
        <v>0</v>
      </c>
      <c r="M773" s="3">
        <f ca="1">IF(AND(N773&lt;&gt;N772,ISNUMBER(SEARCH(Лист2!$B$6,N:N)),L773=2),MAX($M$3:OFFSET(M773,-1,0))+1,0)</f>
        <v>0</v>
      </c>
      <c r="N773" s="3" t="s">
        <v>946</v>
      </c>
    </row>
    <row r="774" spans="1:14" x14ac:dyDescent="0.25">
      <c r="A774" s="1" t="s">
        <v>10426</v>
      </c>
      <c r="B774" s="3" t="s">
        <v>4398</v>
      </c>
      <c r="C774" s="2">
        <f ca="1">IF(ISNUMBER(SEARCH(Лист2!$B$4,D:D)),MAX($C$3:OFFSET(C774,-1,0))+1,0)</f>
        <v>0</v>
      </c>
      <c r="E774" s="9" t="str">
        <f t="shared" ca="1" si="24"/>
        <v/>
      </c>
      <c r="F774" s="4" t="s">
        <v>4</v>
      </c>
      <c r="G774" s="2">
        <f>IF(ISNUMBER(SEARCH(Лист2!$B$4,F:F)),1,0)</f>
        <v>0</v>
      </c>
      <c r="H774" s="3">
        <f ca="1">IF(AND(I774&lt;&gt;I773,ISNUMBER(SEARCH(Лист2!$B$5,I:I)),G774=1),MAX($H$3:OFFSET(H774,-1,0))+1,0)</f>
        <v>0</v>
      </c>
      <c r="I774" s="3" t="s">
        <v>115</v>
      </c>
      <c r="K774" s="2">
        <f>IF(ISNUMBER(SEARCH(Лист2!$B$4,F:F)),1,0)</f>
        <v>0</v>
      </c>
      <c r="L774" s="14">
        <f>IF(ISNUMBER(SEARCH(Лист2!$B$5,I:I)),1,0)+K774</f>
        <v>0</v>
      </c>
      <c r="M774" s="3">
        <f ca="1">IF(AND(N774&lt;&gt;N773,ISNUMBER(SEARCH(Лист2!$B$6,N:N)),L774=2),MAX($M$3:OFFSET(M774,-1,0))+1,0)</f>
        <v>0</v>
      </c>
      <c r="N774" s="3" t="s">
        <v>947</v>
      </c>
    </row>
    <row r="775" spans="1:14" x14ac:dyDescent="0.25">
      <c r="A775" s="1" t="s">
        <v>10426</v>
      </c>
      <c r="B775" s="3" t="s">
        <v>4399</v>
      </c>
      <c r="C775" s="2">
        <f ca="1">IF(ISNUMBER(SEARCH(Лист2!$B$4,D:D)),MAX($C$3:OFFSET(C775,-1,0))+1,0)</f>
        <v>0</v>
      </c>
      <c r="E775" s="9" t="str">
        <f t="shared" ca="1" si="24"/>
        <v/>
      </c>
      <c r="F775" s="4" t="s">
        <v>4</v>
      </c>
      <c r="G775" s="2">
        <f>IF(ISNUMBER(SEARCH(Лист2!$B$4,F:F)),1,0)</f>
        <v>0</v>
      </c>
      <c r="H775" s="3">
        <f ca="1">IF(AND(I775&lt;&gt;I774,ISNUMBER(SEARCH(Лист2!$B$5,I:I)),G775=1),MAX($H$3:OFFSET(H775,-1,0))+1,0)</f>
        <v>0</v>
      </c>
      <c r="I775" s="3" t="s">
        <v>115</v>
      </c>
      <c r="K775" s="2">
        <f>IF(ISNUMBER(SEARCH(Лист2!$B$4,F:F)),1,0)</f>
        <v>0</v>
      </c>
      <c r="L775" s="14">
        <f>IF(ISNUMBER(SEARCH(Лист2!$B$5,I:I)),1,0)+K775</f>
        <v>0</v>
      </c>
      <c r="M775" s="3">
        <f ca="1">IF(AND(N775&lt;&gt;N774,ISNUMBER(SEARCH(Лист2!$B$6,N:N)),L775=2),MAX($M$3:OFFSET(M775,-1,0))+1,0)</f>
        <v>0</v>
      </c>
      <c r="N775" s="3" t="s">
        <v>947</v>
      </c>
    </row>
    <row r="776" spans="1:14" x14ac:dyDescent="0.25">
      <c r="A776" s="1" t="s">
        <v>10427</v>
      </c>
      <c r="B776" s="3" t="s">
        <v>4400</v>
      </c>
      <c r="C776" s="2">
        <f ca="1">IF(ISNUMBER(SEARCH(Лист2!$B$4,D:D)),MAX($C$3:OFFSET(C776,-1,0))+1,0)</f>
        <v>0</v>
      </c>
      <c r="E776" s="9" t="str">
        <f t="shared" ca="1" si="24"/>
        <v/>
      </c>
      <c r="F776" s="4" t="s">
        <v>4</v>
      </c>
      <c r="G776" s="2">
        <f>IF(ISNUMBER(SEARCH(Лист2!$B$4,F:F)),1,0)</f>
        <v>0</v>
      </c>
      <c r="H776" s="3">
        <f ca="1">IF(AND(I776&lt;&gt;I775,ISNUMBER(SEARCH(Лист2!$B$5,I:I)),G776=1),MAX($H$3:OFFSET(H776,-1,0))+1,0)</f>
        <v>0</v>
      </c>
      <c r="I776" s="3" t="s">
        <v>115</v>
      </c>
      <c r="K776" s="2">
        <f>IF(ISNUMBER(SEARCH(Лист2!$B$4,F:F)),1,0)</f>
        <v>0</v>
      </c>
      <c r="L776" s="14">
        <f>IF(ISNUMBER(SEARCH(Лист2!$B$5,I:I)),1,0)+K776</f>
        <v>0</v>
      </c>
      <c r="M776" s="3">
        <f ca="1">IF(AND(N776&lt;&gt;N775,ISNUMBER(SEARCH(Лист2!$B$6,N:N)),L776=2),MAX($M$3:OFFSET(M776,-1,0))+1,0)</f>
        <v>0</v>
      </c>
      <c r="N776" s="3" t="s">
        <v>948</v>
      </c>
    </row>
    <row r="777" spans="1:14" x14ac:dyDescent="0.25">
      <c r="A777" s="1" t="s">
        <v>10428</v>
      </c>
      <c r="B777" s="3" t="s">
        <v>4401</v>
      </c>
      <c r="C777" s="2">
        <f ca="1">IF(ISNUMBER(SEARCH(Лист2!$B$4,D:D)),MAX($C$3:OFFSET(C777,-1,0))+1,0)</f>
        <v>0</v>
      </c>
      <c r="E777" s="9" t="str">
        <f t="shared" ca="1" si="24"/>
        <v/>
      </c>
      <c r="F777" s="4" t="s">
        <v>4</v>
      </c>
      <c r="G777" s="2">
        <f>IF(ISNUMBER(SEARCH(Лист2!$B$4,F:F)),1,0)</f>
        <v>0</v>
      </c>
      <c r="H777" s="3">
        <f ca="1">IF(AND(I777&lt;&gt;I776,ISNUMBER(SEARCH(Лист2!$B$5,I:I)),G777=1),MAX($H$3:OFFSET(H777,-1,0))+1,0)</f>
        <v>0</v>
      </c>
      <c r="I777" s="3" t="s">
        <v>116</v>
      </c>
      <c r="K777" s="2">
        <f>IF(ISNUMBER(SEARCH(Лист2!$B$4,F:F)),1,0)</f>
        <v>0</v>
      </c>
      <c r="L777" s="14">
        <f>IF(ISNUMBER(SEARCH(Лист2!$B$5,I:I)),1,0)+K777</f>
        <v>0</v>
      </c>
      <c r="M777" s="3">
        <f ca="1">IF(AND(N777&lt;&gt;N776,ISNUMBER(SEARCH(Лист2!$B$6,N:N)),L777=2),MAX($M$3:OFFSET(M777,-1,0))+1,0)</f>
        <v>0</v>
      </c>
      <c r="N777" s="3" t="s">
        <v>949</v>
      </c>
    </row>
    <row r="778" spans="1:14" x14ac:dyDescent="0.25">
      <c r="A778" s="1" t="s">
        <v>10428</v>
      </c>
      <c r="B778" s="3" t="s">
        <v>4402</v>
      </c>
      <c r="C778" s="2">
        <f ca="1">IF(ISNUMBER(SEARCH(Лист2!$B$4,D:D)),MAX($C$3:OFFSET(C778,-1,0))+1,0)</f>
        <v>0</v>
      </c>
      <c r="E778" s="9" t="str">
        <f t="shared" ca="1" si="24"/>
        <v/>
      </c>
      <c r="F778" s="4" t="s">
        <v>4</v>
      </c>
      <c r="G778" s="2">
        <f>IF(ISNUMBER(SEARCH(Лист2!$B$4,F:F)),1,0)</f>
        <v>0</v>
      </c>
      <c r="H778" s="3">
        <f ca="1">IF(AND(I778&lt;&gt;I777,ISNUMBER(SEARCH(Лист2!$B$5,I:I)),G778=1),MAX($H$3:OFFSET(H778,-1,0))+1,0)</f>
        <v>0</v>
      </c>
      <c r="I778" s="3" t="s">
        <v>116</v>
      </c>
      <c r="K778" s="2">
        <f>IF(ISNUMBER(SEARCH(Лист2!$B$4,F:F)),1,0)</f>
        <v>0</v>
      </c>
      <c r="L778" s="14">
        <f>IF(ISNUMBER(SEARCH(Лист2!$B$5,I:I)),1,0)+K778</f>
        <v>0</v>
      </c>
      <c r="M778" s="3">
        <f ca="1">IF(AND(N778&lt;&gt;N777,ISNUMBER(SEARCH(Лист2!$B$6,N:N)),L778=2),MAX($M$3:OFFSET(M778,-1,0))+1,0)</f>
        <v>0</v>
      </c>
      <c r="N778" s="3" t="s">
        <v>949</v>
      </c>
    </row>
    <row r="779" spans="1:14" x14ac:dyDescent="0.25">
      <c r="A779" s="1" t="s">
        <v>10428</v>
      </c>
      <c r="B779" s="3" t="s">
        <v>4403</v>
      </c>
      <c r="C779" s="2">
        <f ca="1">IF(ISNUMBER(SEARCH(Лист2!$B$4,D:D)),MAX($C$3:OFFSET(C779,-1,0))+1,0)</f>
        <v>0</v>
      </c>
      <c r="E779" s="9" t="str">
        <f t="shared" ca="1" si="24"/>
        <v/>
      </c>
      <c r="F779" s="4" t="s">
        <v>4</v>
      </c>
      <c r="G779" s="2">
        <f>IF(ISNUMBER(SEARCH(Лист2!$B$4,F:F)),1,0)</f>
        <v>0</v>
      </c>
      <c r="H779" s="3">
        <f ca="1">IF(AND(I779&lt;&gt;I778,ISNUMBER(SEARCH(Лист2!$B$5,I:I)),G779=1),MAX($H$3:OFFSET(H779,-1,0))+1,0)</f>
        <v>0</v>
      </c>
      <c r="I779" s="3" t="s">
        <v>116</v>
      </c>
      <c r="K779" s="2">
        <f>IF(ISNUMBER(SEARCH(Лист2!$B$4,F:F)),1,0)</f>
        <v>0</v>
      </c>
      <c r="L779" s="14">
        <f>IF(ISNUMBER(SEARCH(Лист2!$B$5,I:I)),1,0)+K779</f>
        <v>0</v>
      </c>
      <c r="M779" s="3">
        <f ca="1">IF(AND(N779&lt;&gt;N778,ISNUMBER(SEARCH(Лист2!$B$6,N:N)),L779=2),MAX($M$3:OFFSET(M779,-1,0))+1,0)</f>
        <v>0</v>
      </c>
      <c r="N779" s="3" t="s">
        <v>949</v>
      </c>
    </row>
    <row r="780" spans="1:14" x14ac:dyDescent="0.25">
      <c r="A780" s="1" t="s">
        <v>10429</v>
      </c>
      <c r="B780" s="3" t="s">
        <v>4404</v>
      </c>
      <c r="C780" s="2">
        <f ca="1">IF(ISNUMBER(SEARCH(Лист2!$B$4,D:D)),MAX($C$3:OFFSET(C780,-1,0))+1,0)</f>
        <v>0</v>
      </c>
      <c r="E780" s="9" t="str">
        <f t="shared" ca="1" si="24"/>
        <v/>
      </c>
      <c r="F780" s="4" t="s">
        <v>4</v>
      </c>
      <c r="G780" s="2">
        <f>IF(ISNUMBER(SEARCH(Лист2!$B$4,F:F)),1,0)</f>
        <v>0</v>
      </c>
      <c r="H780" s="3">
        <f ca="1">IF(AND(I780&lt;&gt;I779,ISNUMBER(SEARCH(Лист2!$B$5,I:I)),G780=1),MAX($H$3:OFFSET(H780,-1,0))+1,0)</f>
        <v>0</v>
      </c>
      <c r="I780" s="3" t="s">
        <v>116</v>
      </c>
      <c r="K780" s="2">
        <f>IF(ISNUMBER(SEARCH(Лист2!$B$4,F:F)),1,0)</f>
        <v>0</v>
      </c>
      <c r="L780" s="14">
        <f>IF(ISNUMBER(SEARCH(Лист2!$B$5,I:I)),1,0)+K780</f>
        <v>0</v>
      </c>
      <c r="M780" s="3">
        <f ca="1">IF(AND(N780&lt;&gt;N779,ISNUMBER(SEARCH(Лист2!$B$6,N:N)),L780=2),MAX($M$3:OFFSET(M780,-1,0))+1,0)</f>
        <v>0</v>
      </c>
      <c r="N780" s="3" t="s">
        <v>950</v>
      </c>
    </row>
    <row r="781" spans="1:14" x14ac:dyDescent="0.25">
      <c r="A781" s="1" t="s">
        <v>10429</v>
      </c>
      <c r="B781" s="3" t="s">
        <v>4405</v>
      </c>
      <c r="C781" s="2">
        <f ca="1">IF(ISNUMBER(SEARCH(Лист2!$B$4,D:D)),MAX($C$3:OFFSET(C781,-1,0))+1,0)</f>
        <v>0</v>
      </c>
      <c r="E781" s="9" t="str">
        <f t="shared" ca="1" si="24"/>
        <v/>
      </c>
      <c r="F781" s="4" t="s">
        <v>4</v>
      </c>
      <c r="G781" s="2">
        <f>IF(ISNUMBER(SEARCH(Лист2!$B$4,F:F)),1,0)</f>
        <v>0</v>
      </c>
      <c r="H781" s="3">
        <f ca="1">IF(AND(I781&lt;&gt;I780,ISNUMBER(SEARCH(Лист2!$B$5,I:I)),G781=1),MAX($H$3:OFFSET(H781,-1,0))+1,0)</f>
        <v>0</v>
      </c>
      <c r="I781" s="3" t="s">
        <v>116</v>
      </c>
      <c r="K781" s="2">
        <f>IF(ISNUMBER(SEARCH(Лист2!$B$4,F:F)),1,0)</f>
        <v>0</v>
      </c>
      <c r="L781" s="14">
        <f>IF(ISNUMBER(SEARCH(Лист2!$B$5,I:I)),1,0)+K781</f>
        <v>0</v>
      </c>
      <c r="M781" s="3">
        <f ca="1">IF(AND(N781&lt;&gt;N780,ISNUMBER(SEARCH(Лист2!$B$6,N:N)),L781=2),MAX($M$3:OFFSET(M781,-1,0))+1,0)</f>
        <v>0</v>
      </c>
      <c r="N781" s="3" t="s">
        <v>950</v>
      </c>
    </row>
    <row r="782" spans="1:14" x14ac:dyDescent="0.25">
      <c r="A782" s="1" t="s">
        <v>10429</v>
      </c>
      <c r="B782" s="3" t="s">
        <v>4406</v>
      </c>
      <c r="C782" s="2">
        <f ca="1">IF(ISNUMBER(SEARCH(Лист2!$B$4,D:D)),MAX($C$3:OFFSET(C782,-1,0))+1,0)</f>
        <v>0</v>
      </c>
      <c r="E782" s="9" t="str">
        <f t="shared" ca="1" si="24"/>
        <v/>
      </c>
      <c r="F782" s="4" t="s">
        <v>4</v>
      </c>
      <c r="G782" s="2">
        <f>IF(ISNUMBER(SEARCH(Лист2!$B$4,F:F)),1,0)</f>
        <v>0</v>
      </c>
      <c r="H782" s="3">
        <f ca="1">IF(AND(I782&lt;&gt;I781,ISNUMBER(SEARCH(Лист2!$B$5,I:I)),G782=1),MAX($H$3:OFFSET(H782,-1,0))+1,0)</f>
        <v>0</v>
      </c>
      <c r="I782" s="3" t="s">
        <v>116</v>
      </c>
      <c r="K782" s="2">
        <f>IF(ISNUMBER(SEARCH(Лист2!$B$4,F:F)),1,0)</f>
        <v>0</v>
      </c>
      <c r="L782" s="14">
        <f>IF(ISNUMBER(SEARCH(Лист2!$B$5,I:I)),1,0)+K782</f>
        <v>0</v>
      </c>
      <c r="M782" s="3">
        <f ca="1">IF(AND(N782&lt;&gt;N781,ISNUMBER(SEARCH(Лист2!$B$6,N:N)),L782=2),MAX($M$3:OFFSET(M782,-1,0))+1,0)</f>
        <v>0</v>
      </c>
      <c r="N782" s="3" t="s">
        <v>950</v>
      </c>
    </row>
    <row r="783" spans="1:14" x14ac:dyDescent="0.25">
      <c r="A783" s="1" t="s">
        <v>10430</v>
      </c>
      <c r="B783" s="3" t="s">
        <v>4407</v>
      </c>
      <c r="C783" s="2">
        <f ca="1">IF(ISNUMBER(SEARCH(Лист2!$B$4,D:D)),MAX($C$3:OFFSET(C783,-1,0))+1,0)</f>
        <v>0</v>
      </c>
      <c r="E783" s="9" t="str">
        <f t="shared" ca="1" si="24"/>
        <v/>
      </c>
      <c r="F783" s="4" t="s">
        <v>4</v>
      </c>
      <c r="G783" s="2">
        <f>IF(ISNUMBER(SEARCH(Лист2!$B$4,F:F)),1,0)</f>
        <v>0</v>
      </c>
      <c r="H783" s="3">
        <f ca="1">IF(AND(I783&lt;&gt;I782,ISNUMBER(SEARCH(Лист2!$B$5,I:I)),G783=1),MAX($H$3:OFFSET(H783,-1,0))+1,0)</f>
        <v>0</v>
      </c>
      <c r="I783" s="3" t="s">
        <v>116</v>
      </c>
      <c r="K783" s="2">
        <f>IF(ISNUMBER(SEARCH(Лист2!$B$4,F:F)),1,0)</f>
        <v>0</v>
      </c>
      <c r="L783" s="14">
        <f>IF(ISNUMBER(SEARCH(Лист2!$B$5,I:I)),1,0)+K783</f>
        <v>0</v>
      </c>
      <c r="M783" s="3">
        <f ca="1">IF(AND(N783&lt;&gt;N782,ISNUMBER(SEARCH(Лист2!$B$6,N:N)),L783=2),MAX($M$3:OFFSET(M783,-1,0))+1,0)</f>
        <v>0</v>
      </c>
      <c r="N783" s="3" t="s">
        <v>951</v>
      </c>
    </row>
    <row r="784" spans="1:14" x14ac:dyDescent="0.25">
      <c r="A784" s="1" t="s">
        <v>10430</v>
      </c>
      <c r="B784" s="3" t="s">
        <v>4408</v>
      </c>
      <c r="C784" s="2">
        <f ca="1">IF(ISNUMBER(SEARCH(Лист2!$B$4,D:D)),MAX($C$3:OFFSET(C784,-1,0))+1,0)</f>
        <v>0</v>
      </c>
      <c r="E784" s="9" t="str">
        <f t="shared" ca="1" si="24"/>
        <v/>
      </c>
      <c r="F784" s="4" t="s">
        <v>4</v>
      </c>
      <c r="G784" s="2">
        <f>IF(ISNUMBER(SEARCH(Лист2!$B$4,F:F)),1,0)</f>
        <v>0</v>
      </c>
      <c r="H784" s="3">
        <f ca="1">IF(AND(I784&lt;&gt;I783,ISNUMBER(SEARCH(Лист2!$B$5,I:I)),G784=1),MAX($H$3:OFFSET(H784,-1,0))+1,0)</f>
        <v>0</v>
      </c>
      <c r="I784" s="3" t="s">
        <v>116</v>
      </c>
      <c r="K784" s="2">
        <f>IF(ISNUMBER(SEARCH(Лист2!$B$4,F:F)),1,0)</f>
        <v>0</v>
      </c>
      <c r="L784" s="14">
        <f>IF(ISNUMBER(SEARCH(Лист2!$B$5,I:I)),1,0)+K784</f>
        <v>0</v>
      </c>
      <c r="M784" s="3">
        <f ca="1">IF(AND(N784&lt;&gt;N783,ISNUMBER(SEARCH(Лист2!$B$6,N:N)),L784=2),MAX($M$3:OFFSET(M784,-1,0))+1,0)</f>
        <v>0</v>
      </c>
      <c r="N784" s="3" t="s">
        <v>951</v>
      </c>
    </row>
    <row r="785" spans="1:14" x14ac:dyDescent="0.25">
      <c r="A785" s="1" t="s">
        <v>10431</v>
      </c>
      <c r="B785" s="3" t="s">
        <v>4409</v>
      </c>
      <c r="C785" s="2">
        <f ca="1">IF(ISNUMBER(SEARCH(Лист2!$B$4,D:D)),MAX($C$3:OFFSET(C785,-1,0))+1,0)</f>
        <v>0</v>
      </c>
      <c r="E785" s="9" t="str">
        <f t="shared" ca="1" si="24"/>
        <v/>
      </c>
      <c r="F785" s="4" t="s">
        <v>4</v>
      </c>
      <c r="G785" s="2">
        <f>IF(ISNUMBER(SEARCH(Лист2!$B$4,F:F)),1,0)</f>
        <v>0</v>
      </c>
      <c r="H785" s="3">
        <f ca="1">IF(AND(I785&lt;&gt;I784,ISNUMBER(SEARCH(Лист2!$B$5,I:I)),G785=1),MAX($H$3:OFFSET(H785,-1,0))+1,0)</f>
        <v>0</v>
      </c>
      <c r="I785" s="3" t="s">
        <v>116</v>
      </c>
      <c r="K785" s="2">
        <f>IF(ISNUMBER(SEARCH(Лист2!$B$4,F:F)),1,0)</f>
        <v>0</v>
      </c>
      <c r="L785" s="14">
        <f>IF(ISNUMBER(SEARCH(Лист2!$B$5,I:I)),1,0)+K785</f>
        <v>0</v>
      </c>
      <c r="M785" s="3">
        <f ca="1">IF(AND(N785&lt;&gt;N784,ISNUMBER(SEARCH(Лист2!$B$6,N:N)),L785=2),MAX($M$3:OFFSET(M785,-1,0))+1,0)</f>
        <v>0</v>
      </c>
      <c r="N785" s="3" t="s">
        <v>952</v>
      </c>
    </row>
    <row r="786" spans="1:14" x14ac:dyDescent="0.25">
      <c r="A786" s="1" t="s">
        <v>10432</v>
      </c>
      <c r="B786" s="3" t="s">
        <v>4410</v>
      </c>
      <c r="C786" s="2">
        <f ca="1">IF(ISNUMBER(SEARCH(Лист2!$B$4,D:D)),MAX($C$3:OFFSET(C786,-1,0))+1,0)</f>
        <v>0</v>
      </c>
      <c r="E786" s="9" t="str">
        <f t="shared" ca="1" si="24"/>
        <v/>
      </c>
      <c r="F786" s="4" t="s">
        <v>4</v>
      </c>
      <c r="G786" s="2">
        <f>IF(ISNUMBER(SEARCH(Лист2!$B$4,F:F)),1,0)</f>
        <v>0</v>
      </c>
      <c r="H786" s="3">
        <f ca="1">IF(AND(I786&lt;&gt;I785,ISNUMBER(SEARCH(Лист2!$B$5,I:I)),G786=1),MAX($H$3:OFFSET(H786,-1,0))+1,0)</f>
        <v>0</v>
      </c>
      <c r="I786" s="3" t="s">
        <v>117</v>
      </c>
      <c r="K786" s="2">
        <f>IF(ISNUMBER(SEARCH(Лист2!$B$4,F:F)),1,0)</f>
        <v>0</v>
      </c>
      <c r="L786" s="14">
        <f>IF(ISNUMBER(SEARCH(Лист2!$B$5,I:I)),1,0)+K786</f>
        <v>0</v>
      </c>
      <c r="M786" s="3">
        <f ca="1">IF(AND(N786&lt;&gt;N785,ISNUMBER(SEARCH(Лист2!$B$6,N:N)),L786=2),MAX($M$3:OFFSET(M786,-1,0))+1,0)</f>
        <v>0</v>
      </c>
      <c r="N786" s="3" t="s">
        <v>953</v>
      </c>
    </row>
    <row r="787" spans="1:14" x14ac:dyDescent="0.25">
      <c r="A787" s="1" t="s">
        <v>10432</v>
      </c>
      <c r="B787" s="3" t="s">
        <v>4411</v>
      </c>
      <c r="C787" s="2">
        <f ca="1">IF(ISNUMBER(SEARCH(Лист2!$B$4,D:D)),MAX($C$3:OFFSET(C787,-1,0))+1,0)</f>
        <v>0</v>
      </c>
      <c r="E787" s="9" t="str">
        <f t="shared" ca="1" si="24"/>
        <v/>
      </c>
      <c r="F787" s="4" t="s">
        <v>4</v>
      </c>
      <c r="G787" s="2">
        <f>IF(ISNUMBER(SEARCH(Лист2!$B$4,F:F)),1,0)</f>
        <v>0</v>
      </c>
      <c r="H787" s="3">
        <f ca="1">IF(AND(I787&lt;&gt;I786,ISNUMBER(SEARCH(Лист2!$B$5,I:I)),G787=1),MAX($H$3:OFFSET(H787,-1,0))+1,0)</f>
        <v>0</v>
      </c>
      <c r="I787" s="3" t="s">
        <v>117</v>
      </c>
      <c r="K787" s="2">
        <f>IF(ISNUMBER(SEARCH(Лист2!$B$4,F:F)),1,0)</f>
        <v>0</v>
      </c>
      <c r="L787" s="14">
        <f>IF(ISNUMBER(SEARCH(Лист2!$B$5,I:I)),1,0)+K787</f>
        <v>0</v>
      </c>
      <c r="M787" s="3">
        <f ca="1">IF(AND(N787&lt;&gt;N786,ISNUMBER(SEARCH(Лист2!$B$6,N:N)),L787=2),MAX($M$3:OFFSET(M787,-1,0))+1,0)</f>
        <v>0</v>
      </c>
      <c r="N787" s="3" t="s">
        <v>953</v>
      </c>
    </row>
    <row r="788" spans="1:14" x14ac:dyDescent="0.25">
      <c r="A788" s="1" t="s">
        <v>10432</v>
      </c>
      <c r="B788" s="3" t="s">
        <v>4412</v>
      </c>
      <c r="C788" s="2">
        <f ca="1">IF(ISNUMBER(SEARCH(Лист2!$B$4,D:D)),MAX($C$3:OFFSET(C788,-1,0))+1,0)</f>
        <v>0</v>
      </c>
      <c r="E788" s="9" t="str">
        <f t="shared" ca="1" si="24"/>
        <v/>
      </c>
      <c r="F788" s="4" t="s">
        <v>4</v>
      </c>
      <c r="G788" s="2">
        <f>IF(ISNUMBER(SEARCH(Лист2!$B$4,F:F)),1,0)</f>
        <v>0</v>
      </c>
      <c r="H788" s="3">
        <f ca="1">IF(AND(I788&lt;&gt;I787,ISNUMBER(SEARCH(Лист2!$B$5,I:I)),G788=1),MAX($H$3:OFFSET(H788,-1,0))+1,0)</f>
        <v>0</v>
      </c>
      <c r="I788" s="3" t="s">
        <v>117</v>
      </c>
      <c r="K788" s="2">
        <f>IF(ISNUMBER(SEARCH(Лист2!$B$4,F:F)),1,0)</f>
        <v>0</v>
      </c>
      <c r="L788" s="14">
        <f>IF(ISNUMBER(SEARCH(Лист2!$B$5,I:I)),1,0)+K788</f>
        <v>0</v>
      </c>
      <c r="M788" s="3">
        <f ca="1">IF(AND(N788&lt;&gt;N787,ISNUMBER(SEARCH(Лист2!$B$6,N:N)),L788=2),MAX($M$3:OFFSET(M788,-1,0))+1,0)</f>
        <v>0</v>
      </c>
      <c r="N788" s="3" t="s">
        <v>953</v>
      </c>
    </row>
    <row r="789" spans="1:14" x14ac:dyDescent="0.25">
      <c r="A789" s="1" t="s">
        <v>10433</v>
      </c>
      <c r="B789" s="3" t="s">
        <v>4413</v>
      </c>
      <c r="C789" s="2">
        <f ca="1">IF(ISNUMBER(SEARCH(Лист2!$B$4,D:D)),MAX($C$3:OFFSET(C789,-1,0))+1,0)</f>
        <v>0</v>
      </c>
      <c r="E789" s="9" t="str">
        <f t="shared" ca="1" si="24"/>
        <v/>
      </c>
      <c r="F789" s="4" t="s">
        <v>4</v>
      </c>
      <c r="G789" s="2">
        <f>IF(ISNUMBER(SEARCH(Лист2!$B$4,F:F)),1,0)</f>
        <v>0</v>
      </c>
      <c r="H789" s="3">
        <f ca="1">IF(AND(I789&lt;&gt;I788,ISNUMBER(SEARCH(Лист2!$B$5,I:I)),G789=1),MAX($H$3:OFFSET(H789,-1,0))+1,0)</f>
        <v>0</v>
      </c>
      <c r="I789" s="3" t="s">
        <v>117</v>
      </c>
      <c r="K789" s="2">
        <f>IF(ISNUMBER(SEARCH(Лист2!$B$4,F:F)),1,0)</f>
        <v>0</v>
      </c>
      <c r="L789" s="14">
        <f>IF(ISNUMBER(SEARCH(Лист2!$B$5,I:I)),1,0)+K789</f>
        <v>0</v>
      </c>
      <c r="M789" s="3">
        <f ca="1">IF(AND(N789&lt;&gt;N788,ISNUMBER(SEARCH(Лист2!$B$6,N:N)),L789=2),MAX($M$3:OFFSET(M789,-1,0))+1,0)</f>
        <v>0</v>
      </c>
      <c r="N789" s="3" t="s">
        <v>954</v>
      </c>
    </row>
    <row r="790" spans="1:14" x14ac:dyDescent="0.25">
      <c r="A790" s="1" t="s">
        <v>10433</v>
      </c>
      <c r="B790" s="3" t="s">
        <v>4414</v>
      </c>
      <c r="C790" s="2">
        <f ca="1">IF(ISNUMBER(SEARCH(Лист2!$B$4,D:D)),MAX($C$3:OFFSET(C790,-1,0))+1,0)</f>
        <v>0</v>
      </c>
      <c r="E790" s="9" t="str">
        <f t="shared" ca="1" si="24"/>
        <v/>
      </c>
      <c r="F790" s="4" t="s">
        <v>4</v>
      </c>
      <c r="G790" s="2">
        <f>IF(ISNUMBER(SEARCH(Лист2!$B$4,F:F)),1,0)</f>
        <v>0</v>
      </c>
      <c r="H790" s="3">
        <f ca="1">IF(AND(I790&lt;&gt;I789,ISNUMBER(SEARCH(Лист2!$B$5,I:I)),G790=1),MAX($H$3:OFFSET(H790,-1,0))+1,0)</f>
        <v>0</v>
      </c>
      <c r="I790" s="3" t="s">
        <v>117</v>
      </c>
      <c r="K790" s="2">
        <f>IF(ISNUMBER(SEARCH(Лист2!$B$4,F:F)),1,0)</f>
        <v>0</v>
      </c>
      <c r="L790" s="14">
        <f>IF(ISNUMBER(SEARCH(Лист2!$B$5,I:I)),1,0)+K790</f>
        <v>0</v>
      </c>
      <c r="M790" s="3">
        <f ca="1">IF(AND(N790&lt;&gt;N789,ISNUMBER(SEARCH(Лист2!$B$6,N:N)),L790=2),MAX($M$3:OFFSET(M790,-1,0))+1,0)</f>
        <v>0</v>
      </c>
      <c r="N790" s="3" t="s">
        <v>954</v>
      </c>
    </row>
    <row r="791" spans="1:14" x14ac:dyDescent="0.25">
      <c r="A791" s="1" t="s">
        <v>10433</v>
      </c>
      <c r="B791" s="3" t="s">
        <v>4415</v>
      </c>
      <c r="C791" s="2">
        <f ca="1">IF(ISNUMBER(SEARCH(Лист2!$B$4,D:D)),MAX($C$3:OFFSET(C791,-1,0))+1,0)</f>
        <v>0</v>
      </c>
      <c r="E791" s="9" t="str">
        <f t="shared" ca="1" si="24"/>
        <v/>
      </c>
      <c r="F791" s="4" t="s">
        <v>4</v>
      </c>
      <c r="G791" s="2">
        <f>IF(ISNUMBER(SEARCH(Лист2!$B$4,F:F)),1,0)</f>
        <v>0</v>
      </c>
      <c r="H791" s="3">
        <f ca="1">IF(AND(I791&lt;&gt;I790,ISNUMBER(SEARCH(Лист2!$B$5,I:I)),G791=1),MAX($H$3:OFFSET(H791,-1,0))+1,0)</f>
        <v>0</v>
      </c>
      <c r="I791" s="3" t="s">
        <v>117</v>
      </c>
      <c r="K791" s="2">
        <f>IF(ISNUMBER(SEARCH(Лист2!$B$4,F:F)),1,0)</f>
        <v>0</v>
      </c>
      <c r="L791" s="14">
        <f>IF(ISNUMBER(SEARCH(Лист2!$B$5,I:I)),1,0)+K791</f>
        <v>0</v>
      </c>
      <c r="M791" s="3">
        <f ca="1">IF(AND(N791&lt;&gt;N790,ISNUMBER(SEARCH(Лист2!$B$6,N:N)),L791=2),MAX($M$3:OFFSET(M791,-1,0))+1,0)</f>
        <v>0</v>
      </c>
      <c r="N791" s="3" t="s">
        <v>954</v>
      </c>
    </row>
    <row r="792" spans="1:14" x14ac:dyDescent="0.25">
      <c r="A792" s="1" t="s">
        <v>10434</v>
      </c>
      <c r="B792" s="3" t="s">
        <v>4416</v>
      </c>
      <c r="C792" s="2">
        <f ca="1">IF(ISNUMBER(SEARCH(Лист2!$B$4,D:D)),MAX($C$3:OFFSET(C792,-1,0))+1,0)</f>
        <v>0</v>
      </c>
      <c r="E792" s="9" t="str">
        <f t="shared" ca="1" si="24"/>
        <v/>
      </c>
      <c r="F792" s="4" t="s">
        <v>4</v>
      </c>
      <c r="G792" s="2">
        <f>IF(ISNUMBER(SEARCH(Лист2!$B$4,F:F)),1,0)</f>
        <v>0</v>
      </c>
      <c r="H792" s="3">
        <f ca="1">IF(AND(I792&lt;&gt;I791,ISNUMBER(SEARCH(Лист2!$B$5,I:I)),G792=1),MAX($H$3:OFFSET(H792,-1,0))+1,0)</f>
        <v>0</v>
      </c>
      <c r="I792" s="3" t="s">
        <v>117</v>
      </c>
      <c r="K792" s="2">
        <f>IF(ISNUMBER(SEARCH(Лист2!$B$4,F:F)),1,0)</f>
        <v>0</v>
      </c>
      <c r="L792" s="14">
        <f>IF(ISNUMBER(SEARCH(Лист2!$B$5,I:I)),1,0)+K792</f>
        <v>0</v>
      </c>
      <c r="M792" s="3">
        <f ca="1">IF(AND(N792&lt;&gt;N791,ISNUMBER(SEARCH(Лист2!$B$6,N:N)),L792=2),MAX($M$3:OFFSET(M792,-1,0))+1,0)</f>
        <v>0</v>
      </c>
      <c r="N792" s="3" t="s">
        <v>955</v>
      </c>
    </row>
    <row r="793" spans="1:14" x14ac:dyDescent="0.25">
      <c r="A793" s="1" t="s">
        <v>10434</v>
      </c>
      <c r="B793" s="3" t="s">
        <v>4417</v>
      </c>
      <c r="C793" s="2">
        <f ca="1">IF(ISNUMBER(SEARCH(Лист2!$B$4,D:D)),MAX($C$3:OFFSET(C793,-1,0))+1,0)</f>
        <v>0</v>
      </c>
      <c r="E793" s="9" t="str">
        <f t="shared" ca="1" si="24"/>
        <v/>
      </c>
      <c r="F793" s="4" t="s">
        <v>4</v>
      </c>
      <c r="G793" s="2">
        <f>IF(ISNUMBER(SEARCH(Лист2!$B$4,F:F)),1,0)</f>
        <v>0</v>
      </c>
      <c r="H793" s="3">
        <f ca="1">IF(AND(I793&lt;&gt;I792,ISNUMBER(SEARCH(Лист2!$B$5,I:I)),G793=1),MAX($H$3:OFFSET(H793,-1,0))+1,0)</f>
        <v>0</v>
      </c>
      <c r="I793" s="3" t="s">
        <v>117</v>
      </c>
      <c r="K793" s="2">
        <f>IF(ISNUMBER(SEARCH(Лист2!$B$4,F:F)),1,0)</f>
        <v>0</v>
      </c>
      <c r="L793" s="14">
        <f>IF(ISNUMBER(SEARCH(Лист2!$B$5,I:I)),1,0)+K793</f>
        <v>0</v>
      </c>
      <c r="M793" s="3">
        <f ca="1">IF(AND(N793&lt;&gt;N792,ISNUMBER(SEARCH(Лист2!$B$6,N:N)),L793=2),MAX($M$3:OFFSET(M793,-1,0))+1,0)</f>
        <v>0</v>
      </c>
      <c r="N793" s="3" t="s">
        <v>955</v>
      </c>
    </row>
    <row r="794" spans="1:14" x14ac:dyDescent="0.25">
      <c r="A794" s="1" t="s">
        <v>10434</v>
      </c>
      <c r="B794" s="3" t="s">
        <v>4418</v>
      </c>
      <c r="C794" s="2">
        <f ca="1">IF(ISNUMBER(SEARCH(Лист2!$B$4,D:D)),MAX($C$3:OFFSET(C794,-1,0))+1,0)</f>
        <v>0</v>
      </c>
      <c r="E794" s="9" t="str">
        <f t="shared" ca="1" si="24"/>
        <v/>
      </c>
      <c r="F794" s="4" t="s">
        <v>4</v>
      </c>
      <c r="G794" s="2">
        <f>IF(ISNUMBER(SEARCH(Лист2!$B$4,F:F)),1,0)</f>
        <v>0</v>
      </c>
      <c r="H794" s="3">
        <f ca="1">IF(AND(I794&lt;&gt;I793,ISNUMBER(SEARCH(Лист2!$B$5,I:I)),G794=1),MAX($H$3:OFFSET(H794,-1,0))+1,0)</f>
        <v>0</v>
      </c>
      <c r="I794" s="3" t="s">
        <v>117</v>
      </c>
      <c r="K794" s="2">
        <f>IF(ISNUMBER(SEARCH(Лист2!$B$4,F:F)),1,0)</f>
        <v>0</v>
      </c>
      <c r="L794" s="14">
        <f>IF(ISNUMBER(SEARCH(Лист2!$B$5,I:I)),1,0)+K794</f>
        <v>0</v>
      </c>
      <c r="M794" s="3">
        <f ca="1">IF(AND(N794&lt;&gt;N793,ISNUMBER(SEARCH(Лист2!$B$6,N:N)),L794=2),MAX($M$3:OFFSET(M794,-1,0))+1,0)</f>
        <v>0</v>
      </c>
      <c r="N794" s="3" t="s">
        <v>955</v>
      </c>
    </row>
    <row r="795" spans="1:14" x14ac:dyDescent="0.25">
      <c r="A795" s="1" t="s">
        <v>10434</v>
      </c>
      <c r="B795" s="3" t="s">
        <v>4419</v>
      </c>
      <c r="C795" s="2">
        <f ca="1">IF(ISNUMBER(SEARCH(Лист2!$B$4,D:D)),MAX($C$3:OFFSET(C795,-1,0))+1,0)</f>
        <v>0</v>
      </c>
      <c r="E795" s="9" t="str">
        <f t="shared" ca="1" si="24"/>
        <v/>
      </c>
      <c r="F795" s="4" t="s">
        <v>4</v>
      </c>
      <c r="G795" s="2">
        <f>IF(ISNUMBER(SEARCH(Лист2!$B$4,F:F)),1,0)</f>
        <v>0</v>
      </c>
      <c r="H795" s="3">
        <f ca="1">IF(AND(I795&lt;&gt;I794,ISNUMBER(SEARCH(Лист2!$B$5,I:I)),G795=1),MAX($H$3:OFFSET(H795,-1,0))+1,0)</f>
        <v>0</v>
      </c>
      <c r="I795" s="3" t="s">
        <v>117</v>
      </c>
      <c r="K795" s="2">
        <f>IF(ISNUMBER(SEARCH(Лист2!$B$4,F:F)),1,0)</f>
        <v>0</v>
      </c>
      <c r="L795" s="14">
        <f>IF(ISNUMBER(SEARCH(Лист2!$B$5,I:I)),1,0)+K795</f>
        <v>0</v>
      </c>
      <c r="M795" s="3">
        <f ca="1">IF(AND(N795&lt;&gt;N794,ISNUMBER(SEARCH(Лист2!$B$6,N:N)),L795=2),MAX($M$3:OFFSET(M795,-1,0))+1,0)</f>
        <v>0</v>
      </c>
      <c r="N795" s="3" t="s">
        <v>955</v>
      </c>
    </row>
    <row r="796" spans="1:14" x14ac:dyDescent="0.25">
      <c r="A796" s="1" t="s">
        <v>10434</v>
      </c>
      <c r="B796" s="3" t="s">
        <v>4420</v>
      </c>
      <c r="C796" s="2">
        <f ca="1">IF(ISNUMBER(SEARCH(Лист2!$B$4,D:D)),MAX($C$3:OFFSET(C796,-1,0))+1,0)</f>
        <v>0</v>
      </c>
      <c r="E796" s="9" t="str">
        <f t="shared" ca="1" si="24"/>
        <v/>
      </c>
      <c r="F796" s="4" t="s">
        <v>4</v>
      </c>
      <c r="G796" s="2">
        <f>IF(ISNUMBER(SEARCH(Лист2!$B$4,F:F)),1,0)</f>
        <v>0</v>
      </c>
      <c r="H796" s="3">
        <f ca="1">IF(AND(I796&lt;&gt;I795,ISNUMBER(SEARCH(Лист2!$B$5,I:I)),G796=1),MAX($H$3:OFFSET(H796,-1,0))+1,0)</f>
        <v>0</v>
      </c>
      <c r="I796" s="3" t="s">
        <v>117</v>
      </c>
      <c r="K796" s="2">
        <f>IF(ISNUMBER(SEARCH(Лист2!$B$4,F:F)),1,0)</f>
        <v>0</v>
      </c>
      <c r="L796" s="14">
        <f>IF(ISNUMBER(SEARCH(Лист2!$B$5,I:I)),1,0)+K796</f>
        <v>0</v>
      </c>
      <c r="M796" s="3">
        <f ca="1">IF(AND(N796&lt;&gt;N795,ISNUMBER(SEARCH(Лист2!$B$6,N:N)),L796=2),MAX($M$3:OFFSET(M796,-1,0))+1,0)</f>
        <v>0</v>
      </c>
      <c r="N796" s="3" t="s">
        <v>955</v>
      </c>
    </row>
    <row r="797" spans="1:14" x14ac:dyDescent="0.25">
      <c r="A797" s="1" t="s">
        <v>10434</v>
      </c>
      <c r="B797" s="3" t="s">
        <v>4421</v>
      </c>
      <c r="C797" s="2">
        <f ca="1">IF(ISNUMBER(SEARCH(Лист2!$B$4,D:D)),MAX($C$3:OFFSET(C797,-1,0))+1,0)</f>
        <v>0</v>
      </c>
      <c r="E797" s="9" t="str">
        <f t="shared" ca="1" si="24"/>
        <v/>
      </c>
      <c r="F797" s="4" t="s">
        <v>4</v>
      </c>
      <c r="G797" s="2">
        <f>IF(ISNUMBER(SEARCH(Лист2!$B$4,F:F)),1,0)</f>
        <v>0</v>
      </c>
      <c r="H797" s="3">
        <f ca="1">IF(AND(I797&lt;&gt;I796,ISNUMBER(SEARCH(Лист2!$B$5,I:I)),G797=1),MAX($H$3:OFFSET(H797,-1,0))+1,0)</f>
        <v>0</v>
      </c>
      <c r="I797" s="3" t="s">
        <v>117</v>
      </c>
      <c r="K797" s="2">
        <f>IF(ISNUMBER(SEARCH(Лист2!$B$4,F:F)),1,0)</f>
        <v>0</v>
      </c>
      <c r="L797" s="14">
        <f>IF(ISNUMBER(SEARCH(Лист2!$B$5,I:I)),1,0)+K797</f>
        <v>0</v>
      </c>
      <c r="M797" s="3">
        <f ca="1">IF(AND(N797&lt;&gt;N796,ISNUMBER(SEARCH(Лист2!$B$6,N:N)),L797=2),MAX($M$3:OFFSET(M797,-1,0))+1,0)</f>
        <v>0</v>
      </c>
      <c r="N797" s="3" t="s">
        <v>955</v>
      </c>
    </row>
    <row r="798" spans="1:14" x14ac:dyDescent="0.25">
      <c r="A798" s="1" t="s">
        <v>10435</v>
      </c>
      <c r="B798" s="3" t="s">
        <v>4422</v>
      </c>
      <c r="C798" s="2">
        <f ca="1">IF(ISNUMBER(SEARCH(Лист2!$B$4,D:D)),MAX($C$3:OFFSET(C798,-1,0))+1,0)</f>
        <v>0</v>
      </c>
      <c r="E798" s="9" t="str">
        <f t="shared" ca="1" si="24"/>
        <v/>
      </c>
      <c r="F798" s="4" t="s">
        <v>4</v>
      </c>
      <c r="G798" s="2">
        <f>IF(ISNUMBER(SEARCH(Лист2!$B$4,F:F)),1,0)</f>
        <v>0</v>
      </c>
      <c r="H798" s="3">
        <f ca="1">IF(AND(I798&lt;&gt;I797,ISNUMBER(SEARCH(Лист2!$B$5,I:I)),G798=1),MAX($H$3:OFFSET(H798,-1,0))+1,0)</f>
        <v>0</v>
      </c>
      <c r="I798" s="3" t="s">
        <v>117</v>
      </c>
      <c r="K798" s="2">
        <f>IF(ISNUMBER(SEARCH(Лист2!$B$4,F:F)),1,0)</f>
        <v>0</v>
      </c>
      <c r="L798" s="14">
        <f>IF(ISNUMBER(SEARCH(Лист2!$B$5,I:I)),1,0)+K798</f>
        <v>0</v>
      </c>
      <c r="M798" s="3">
        <f ca="1">IF(AND(N798&lt;&gt;N797,ISNUMBER(SEARCH(Лист2!$B$6,N:N)),L798=2),MAX($M$3:OFFSET(M798,-1,0))+1,0)</f>
        <v>0</v>
      </c>
      <c r="N798" s="3" t="s">
        <v>956</v>
      </c>
    </row>
    <row r="799" spans="1:14" x14ac:dyDescent="0.25">
      <c r="A799" s="1" t="s">
        <v>10435</v>
      </c>
      <c r="B799" s="3" t="s">
        <v>4423</v>
      </c>
      <c r="C799" s="2">
        <f ca="1">IF(ISNUMBER(SEARCH(Лист2!$B$4,D:D)),MAX($C$3:OFFSET(C799,-1,0))+1,0)</f>
        <v>0</v>
      </c>
      <c r="E799" s="9" t="str">
        <f t="shared" ca="1" si="24"/>
        <v/>
      </c>
      <c r="F799" s="4" t="s">
        <v>4</v>
      </c>
      <c r="G799" s="2">
        <f>IF(ISNUMBER(SEARCH(Лист2!$B$4,F:F)),1,0)</f>
        <v>0</v>
      </c>
      <c r="H799" s="3">
        <f ca="1">IF(AND(I799&lt;&gt;I798,ISNUMBER(SEARCH(Лист2!$B$5,I:I)),G799=1),MAX($H$3:OFFSET(H799,-1,0))+1,0)</f>
        <v>0</v>
      </c>
      <c r="I799" s="3" t="s">
        <v>117</v>
      </c>
      <c r="K799" s="2">
        <f>IF(ISNUMBER(SEARCH(Лист2!$B$4,F:F)),1,0)</f>
        <v>0</v>
      </c>
      <c r="L799" s="14">
        <f>IF(ISNUMBER(SEARCH(Лист2!$B$5,I:I)),1,0)+K799</f>
        <v>0</v>
      </c>
      <c r="M799" s="3">
        <f ca="1">IF(AND(N799&lt;&gt;N798,ISNUMBER(SEARCH(Лист2!$B$6,N:N)),L799=2),MAX($M$3:OFFSET(M799,-1,0))+1,0)</f>
        <v>0</v>
      </c>
      <c r="N799" s="3" t="s">
        <v>956</v>
      </c>
    </row>
    <row r="800" spans="1:14" x14ac:dyDescent="0.25">
      <c r="A800" s="1" t="s">
        <v>10435</v>
      </c>
      <c r="B800" s="3" t="s">
        <v>4424</v>
      </c>
      <c r="C800" s="2">
        <f ca="1">IF(ISNUMBER(SEARCH(Лист2!$B$4,D:D)),MAX($C$3:OFFSET(C800,-1,0))+1,0)</f>
        <v>0</v>
      </c>
      <c r="E800" s="9" t="str">
        <f t="shared" ca="1" si="24"/>
        <v/>
      </c>
      <c r="F800" s="4" t="s">
        <v>4</v>
      </c>
      <c r="G800" s="2">
        <f>IF(ISNUMBER(SEARCH(Лист2!$B$4,F:F)),1,0)</f>
        <v>0</v>
      </c>
      <c r="H800" s="3">
        <f ca="1">IF(AND(I800&lt;&gt;I799,ISNUMBER(SEARCH(Лист2!$B$5,I:I)),G800=1),MAX($H$3:OFFSET(H800,-1,0))+1,0)</f>
        <v>0</v>
      </c>
      <c r="I800" s="3" t="s">
        <v>117</v>
      </c>
      <c r="K800" s="2">
        <f>IF(ISNUMBER(SEARCH(Лист2!$B$4,F:F)),1,0)</f>
        <v>0</v>
      </c>
      <c r="L800" s="14">
        <f>IF(ISNUMBER(SEARCH(Лист2!$B$5,I:I)),1,0)+K800</f>
        <v>0</v>
      </c>
      <c r="M800" s="3">
        <f ca="1">IF(AND(N800&lt;&gt;N799,ISNUMBER(SEARCH(Лист2!$B$6,N:N)),L800=2),MAX($M$3:OFFSET(M800,-1,0))+1,0)</f>
        <v>0</v>
      </c>
      <c r="N800" s="3" t="s">
        <v>956</v>
      </c>
    </row>
    <row r="801" spans="1:14" x14ac:dyDescent="0.25">
      <c r="A801" s="1" t="s">
        <v>10436</v>
      </c>
      <c r="B801" s="3" t="s">
        <v>4425</v>
      </c>
      <c r="C801" s="2">
        <f ca="1">IF(ISNUMBER(SEARCH(Лист2!$B$4,D:D)),MAX($C$3:OFFSET(C801,-1,0))+1,0)</f>
        <v>0</v>
      </c>
      <c r="E801" s="9" t="str">
        <f t="shared" ca="1" si="24"/>
        <v/>
      </c>
      <c r="F801" s="4" t="s">
        <v>4</v>
      </c>
      <c r="G801" s="2">
        <f>IF(ISNUMBER(SEARCH(Лист2!$B$4,F:F)),1,0)</f>
        <v>0</v>
      </c>
      <c r="H801" s="3">
        <f ca="1">IF(AND(I801&lt;&gt;I800,ISNUMBER(SEARCH(Лист2!$B$5,I:I)),G801=1),MAX($H$3:OFFSET(H801,-1,0))+1,0)</f>
        <v>0</v>
      </c>
      <c r="I801" s="3" t="s">
        <v>118</v>
      </c>
      <c r="K801" s="2">
        <f>IF(ISNUMBER(SEARCH(Лист2!$B$4,F:F)),1,0)</f>
        <v>0</v>
      </c>
      <c r="L801" s="14">
        <f>IF(ISNUMBER(SEARCH(Лист2!$B$5,I:I)),1,0)+K801</f>
        <v>0</v>
      </c>
      <c r="M801" s="3">
        <f ca="1">IF(AND(N801&lt;&gt;N800,ISNUMBER(SEARCH(Лист2!$B$6,N:N)),L801=2),MAX($M$3:OFFSET(M801,-1,0))+1,0)</f>
        <v>0</v>
      </c>
      <c r="N801" s="3" t="s">
        <v>957</v>
      </c>
    </row>
    <row r="802" spans="1:14" x14ac:dyDescent="0.25">
      <c r="A802" s="1" t="s">
        <v>10436</v>
      </c>
      <c r="B802" s="3" t="s">
        <v>4426</v>
      </c>
      <c r="C802" s="2">
        <f ca="1">IF(ISNUMBER(SEARCH(Лист2!$B$4,D:D)),MAX($C$3:OFFSET(C802,-1,0))+1,0)</f>
        <v>0</v>
      </c>
      <c r="E802" s="9" t="str">
        <f t="shared" ca="1" si="24"/>
        <v/>
      </c>
      <c r="F802" s="4" t="s">
        <v>4</v>
      </c>
      <c r="G802" s="2">
        <f>IF(ISNUMBER(SEARCH(Лист2!$B$4,F:F)),1,0)</f>
        <v>0</v>
      </c>
      <c r="H802" s="3">
        <f ca="1">IF(AND(I802&lt;&gt;I801,ISNUMBER(SEARCH(Лист2!$B$5,I:I)),G802=1),MAX($H$3:OFFSET(H802,-1,0))+1,0)</f>
        <v>0</v>
      </c>
      <c r="I802" s="3" t="s">
        <v>118</v>
      </c>
      <c r="K802" s="2">
        <f>IF(ISNUMBER(SEARCH(Лист2!$B$4,F:F)),1,0)</f>
        <v>0</v>
      </c>
      <c r="L802" s="14">
        <f>IF(ISNUMBER(SEARCH(Лист2!$B$5,I:I)),1,0)+K802</f>
        <v>0</v>
      </c>
      <c r="M802" s="3">
        <f ca="1">IF(AND(N802&lt;&gt;N801,ISNUMBER(SEARCH(Лист2!$B$6,N:N)),L802=2),MAX($M$3:OFFSET(M802,-1,0))+1,0)</f>
        <v>0</v>
      </c>
      <c r="N802" s="3" t="s">
        <v>957</v>
      </c>
    </row>
    <row r="803" spans="1:14" x14ac:dyDescent="0.25">
      <c r="A803" s="1" t="s">
        <v>10436</v>
      </c>
      <c r="B803" s="3" t="s">
        <v>4427</v>
      </c>
      <c r="C803" s="2">
        <f ca="1">IF(ISNUMBER(SEARCH(Лист2!$B$4,D:D)),MAX($C$3:OFFSET(C803,-1,0))+1,0)</f>
        <v>0</v>
      </c>
      <c r="E803" s="9" t="str">
        <f t="shared" ca="1" si="24"/>
        <v/>
      </c>
      <c r="F803" s="4" t="s">
        <v>4</v>
      </c>
      <c r="G803" s="2">
        <f>IF(ISNUMBER(SEARCH(Лист2!$B$4,F:F)),1,0)</f>
        <v>0</v>
      </c>
      <c r="H803" s="3">
        <f ca="1">IF(AND(I803&lt;&gt;I802,ISNUMBER(SEARCH(Лист2!$B$5,I:I)),G803=1),MAX($H$3:OFFSET(H803,-1,0))+1,0)</f>
        <v>0</v>
      </c>
      <c r="I803" s="3" t="s">
        <v>118</v>
      </c>
      <c r="K803" s="2">
        <f>IF(ISNUMBER(SEARCH(Лист2!$B$4,F:F)),1,0)</f>
        <v>0</v>
      </c>
      <c r="L803" s="14">
        <f>IF(ISNUMBER(SEARCH(Лист2!$B$5,I:I)),1,0)+K803</f>
        <v>0</v>
      </c>
      <c r="M803" s="3">
        <f ca="1">IF(AND(N803&lt;&gt;N802,ISNUMBER(SEARCH(Лист2!$B$6,N:N)),L803=2),MAX($M$3:OFFSET(M803,-1,0))+1,0)</f>
        <v>0</v>
      </c>
      <c r="N803" s="3" t="s">
        <v>957</v>
      </c>
    </row>
    <row r="804" spans="1:14" x14ac:dyDescent="0.25">
      <c r="A804" s="1" t="s">
        <v>10437</v>
      </c>
      <c r="B804" s="3" t="s">
        <v>4428</v>
      </c>
      <c r="C804" s="2">
        <f ca="1">IF(ISNUMBER(SEARCH(Лист2!$B$4,D:D)),MAX($C$3:OFFSET(C804,-1,0))+1,0)</f>
        <v>0</v>
      </c>
      <c r="E804" s="9" t="str">
        <f t="shared" ca="1" si="24"/>
        <v/>
      </c>
      <c r="F804" s="4" t="s">
        <v>4</v>
      </c>
      <c r="G804" s="2">
        <f>IF(ISNUMBER(SEARCH(Лист2!$B$4,F:F)),1,0)</f>
        <v>0</v>
      </c>
      <c r="H804" s="3">
        <f ca="1">IF(AND(I804&lt;&gt;I803,ISNUMBER(SEARCH(Лист2!$B$5,I:I)),G804=1),MAX($H$3:OFFSET(H804,-1,0))+1,0)</f>
        <v>0</v>
      </c>
      <c r="I804" s="3" t="s">
        <v>118</v>
      </c>
      <c r="K804" s="2">
        <f>IF(ISNUMBER(SEARCH(Лист2!$B$4,F:F)),1,0)</f>
        <v>0</v>
      </c>
      <c r="L804" s="14">
        <f>IF(ISNUMBER(SEARCH(Лист2!$B$5,I:I)),1,0)+K804</f>
        <v>0</v>
      </c>
      <c r="M804" s="3">
        <f ca="1">IF(AND(N804&lt;&gt;N803,ISNUMBER(SEARCH(Лист2!$B$6,N:N)),L804=2),MAX($M$3:OFFSET(M804,-1,0))+1,0)</f>
        <v>0</v>
      </c>
      <c r="N804" s="3" t="s">
        <v>958</v>
      </c>
    </row>
    <row r="805" spans="1:14" x14ac:dyDescent="0.25">
      <c r="A805" s="1" t="s">
        <v>10437</v>
      </c>
      <c r="B805" s="3" t="s">
        <v>4429</v>
      </c>
      <c r="C805" s="2">
        <f ca="1">IF(ISNUMBER(SEARCH(Лист2!$B$4,D:D)),MAX($C$3:OFFSET(C805,-1,0))+1,0)</f>
        <v>0</v>
      </c>
      <c r="E805" s="9" t="str">
        <f t="shared" ca="1" si="24"/>
        <v/>
      </c>
      <c r="F805" s="4" t="s">
        <v>4</v>
      </c>
      <c r="G805" s="2">
        <f>IF(ISNUMBER(SEARCH(Лист2!$B$4,F:F)),1,0)</f>
        <v>0</v>
      </c>
      <c r="H805" s="3">
        <f ca="1">IF(AND(I805&lt;&gt;I804,ISNUMBER(SEARCH(Лист2!$B$5,I:I)),G805=1),MAX($H$3:OFFSET(H805,-1,0))+1,0)</f>
        <v>0</v>
      </c>
      <c r="I805" s="3" t="s">
        <v>118</v>
      </c>
      <c r="K805" s="2">
        <f>IF(ISNUMBER(SEARCH(Лист2!$B$4,F:F)),1,0)</f>
        <v>0</v>
      </c>
      <c r="L805" s="14">
        <f>IF(ISNUMBER(SEARCH(Лист2!$B$5,I:I)),1,0)+K805</f>
        <v>0</v>
      </c>
      <c r="M805" s="3">
        <f ca="1">IF(AND(N805&lt;&gt;N804,ISNUMBER(SEARCH(Лист2!$B$6,N:N)),L805=2),MAX($M$3:OFFSET(M805,-1,0))+1,0)</f>
        <v>0</v>
      </c>
      <c r="N805" s="3" t="s">
        <v>958</v>
      </c>
    </row>
    <row r="806" spans="1:14" x14ac:dyDescent="0.25">
      <c r="A806" s="1" t="s">
        <v>10437</v>
      </c>
      <c r="B806" s="3" t="s">
        <v>4430</v>
      </c>
      <c r="C806" s="2">
        <f ca="1">IF(ISNUMBER(SEARCH(Лист2!$B$4,D:D)),MAX($C$3:OFFSET(C806,-1,0))+1,0)</f>
        <v>0</v>
      </c>
      <c r="E806" s="9" t="str">
        <f t="shared" ca="1" si="24"/>
        <v/>
      </c>
      <c r="F806" s="4" t="s">
        <v>4</v>
      </c>
      <c r="G806" s="2">
        <f>IF(ISNUMBER(SEARCH(Лист2!$B$4,F:F)),1,0)</f>
        <v>0</v>
      </c>
      <c r="H806" s="3">
        <f ca="1">IF(AND(I806&lt;&gt;I805,ISNUMBER(SEARCH(Лист2!$B$5,I:I)),G806=1),MAX($H$3:OFFSET(H806,-1,0))+1,0)</f>
        <v>0</v>
      </c>
      <c r="I806" s="3" t="s">
        <v>118</v>
      </c>
      <c r="K806" s="2">
        <f>IF(ISNUMBER(SEARCH(Лист2!$B$4,F:F)),1,0)</f>
        <v>0</v>
      </c>
      <c r="L806" s="14">
        <f>IF(ISNUMBER(SEARCH(Лист2!$B$5,I:I)),1,0)+K806</f>
        <v>0</v>
      </c>
      <c r="M806" s="3">
        <f ca="1">IF(AND(N806&lt;&gt;N805,ISNUMBER(SEARCH(Лист2!$B$6,N:N)),L806=2),MAX($M$3:OFFSET(M806,-1,0))+1,0)</f>
        <v>0</v>
      </c>
      <c r="N806" s="3" t="s">
        <v>958</v>
      </c>
    </row>
    <row r="807" spans="1:14" x14ac:dyDescent="0.25">
      <c r="A807" s="1" t="s">
        <v>10438</v>
      </c>
      <c r="B807" s="3" t="s">
        <v>4431</v>
      </c>
      <c r="C807" s="2">
        <f ca="1">IF(ISNUMBER(SEARCH(Лист2!$B$4,D:D)),MAX($C$3:OFFSET(C807,-1,0))+1,0)</f>
        <v>0</v>
      </c>
      <c r="E807" s="9" t="str">
        <f t="shared" ca="1" si="24"/>
        <v/>
      </c>
      <c r="F807" s="4" t="s">
        <v>4</v>
      </c>
      <c r="G807" s="2">
        <f>IF(ISNUMBER(SEARCH(Лист2!$B$4,F:F)),1,0)</f>
        <v>0</v>
      </c>
      <c r="H807" s="3">
        <f ca="1">IF(AND(I807&lt;&gt;I806,ISNUMBER(SEARCH(Лист2!$B$5,I:I)),G807=1),MAX($H$3:OFFSET(H807,-1,0))+1,0)</f>
        <v>0</v>
      </c>
      <c r="I807" s="3" t="s">
        <v>118</v>
      </c>
      <c r="K807" s="2">
        <f>IF(ISNUMBER(SEARCH(Лист2!$B$4,F:F)),1,0)</f>
        <v>0</v>
      </c>
      <c r="L807" s="14">
        <f>IF(ISNUMBER(SEARCH(Лист2!$B$5,I:I)),1,0)+K807</f>
        <v>0</v>
      </c>
      <c r="M807" s="3">
        <f ca="1">IF(AND(N807&lt;&gt;N806,ISNUMBER(SEARCH(Лист2!$B$6,N:N)),L807=2),MAX($M$3:OFFSET(M807,-1,0))+1,0)</f>
        <v>0</v>
      </c>
      <c r="N807" s="3" t="s">
        <v>959</v>
      </c>
    </row>
    <row r="808" spans="1:14" x14ac:dyDescent="0.25">
      <c r="A808" s="1" t="s">
        <v>10438</v>
      </c>
      <c r="B808" s="3" t="s">
        <v>4432</v>
      </c>
      <c r="C808" s="2">
        <f ca="1">IF(ISNUMBER(SEARCH(Лист2!$B$4,D:D)),MAX($C$3:OFFSET(C808,-1,0))+1,0)</f>
        <v>0</v>
      </c>
      <c r="E808" s="9" t="str">
        <f t="shared" ca="1" si="24"/>
        <v/>
      </c>
      <c r="F808" s="4" t="s">
        <v>4</v>
      </c>
      <c r="G808" s="2">
        <f>IF(ISNUMBER(SEARCH(Лист2!$B$4,F:F)),1,0)</f>
        <v>0</v>
      </c>
      <c r="H808" s="3">
        <f ca="1">IF(AND(I808&lt;&gt;I807,ISNUMBER(SEARCH(Лист2!$B$5,I:I)),G808=1),MAX($H$3:OFFSET(H808,-1,0))+1,0)</f>
        <v>0</v>
      </c>
      <c r="I808" s="3" t="s">
        <v>118</v>
      </c>
      <c r="K808" s="2">
        <f>IF(ISNUMBER(SEARCH(Лист2!$B$4,F:F)),1,0)</f>
        <v>0</v>
      </c>
      <c r="L808" s="14">
        <f>IF(ISNUMBER(SEARCH(Лист2!$B$5,I:I)),1,0)+K808</f>
        <v>0</v>
      </c>
      <c r="M808" s="3">
        <f ca="1">IF(AND(N808&lt;&gt;N807,ISNUMBER(SEARCH(Лист2!$B$6,N:N)),L808=2),MAX($M$3:OFFSET(M808,-1,0))+1,0)</f>
        <v>0</v>
      </c>
      <c r="N808" s="3" t="s">
        <v>959</v>
      </c>
    </row>
    <row r="809" spans="1:14" x14ac:dyDescent="0.25">
      <c r="A809" s="1" t="s">
        <v>10438</v>
      </c>
      <c r="B809" s="3" t="s">
        <v>4433</v>
      </c>
      <c r="C809" s="2">
        <f ca="1">IF(ISNUMBER(SEARCH(Лист2!$B$4,D:D)),MAX($C$3:OFFSET(C809,-1,0))+1,0)</f>
        <v>0</v>
      </c>
      <c r="E809" s="9" t="str">
        <f t="shared" ca="1" si="24"/>
        <v/>
      </c>
      <c r="F809" s="4" t="s">
        <v>4</v>
      </c>
      <c r="G809" s="2">
        <f>IF(ISNUMBER(SEARCH(Лист2!$B$4,F:F)),1,0)</f>
        <v>0</v>
      </c>
      <c r="H809" s="3">
        <f ca="1">IF(AND(I809&lt;&gt;I808,ISNUMBER(SEARCH(Лист2!$B$5,I:I)),G809=1),MAX($H$3:OFFSET(H809,-1,0))+1,0)</f>
        <v>0</v>
      </c>
      <c r="I809" s="3" t="s">
        <v>118</v>
      </c>
      <c r="K809" s="2">
        <f>IF(ISNUMBER(SEARCH(Лист2!$B$4,F:F)),1,0)</f>
        <v>0</v>
      </c>
      <c r="L809" s="14">
        <f>IF(ISNUMBER(SEARCH(Лист2!$B$5,I:I)),1,0)+K809</f>
        <v>0</v>
      </c>
      <c r="M809" s="3">
        <f ca="1">IF(AND(N809&lt;&gt;N808,ISNUMBER(SEARCH(Лист2!$B$6,N:N)),L809=2),MAX($M$3:OFFSET(M809,-1,0))+1,0)</f>
        <v>0</v>
      </c>
      <c r="N809" s="3" t="s">
        <v>959</v>
      </c>
    </row>
    <row r="810" spans="1:14" x14ac:dyDescent="0.25">
      <c r="A810" s="1" t="s">
        <v>10438</v>
      </c>
      <c r="B810" s="3" t="s">
        <v>4434</v>
      </c>
      <c r="C810" s="2">
        <f ca="1">IF(ISNUMBER(SEARCH(Лист2!$B$4,D:D)),MAX($C$3:OFFSET(C810,-1,0))+1,0)</f>
        <v>0</v>
      </c>
      <c r="E810" s="9" t="str">
        <f t="shared" ca="1" si="24"/>
        <v/>
      </c>
      <c r="F810" s="4" t="s">
        <v>4</v>
      </c>
      <c r="G810" s="2">
        <f>IF(ISNUMBER(SEARCH(Лист2!$B$4,F:F)),1,0)</f>
        <v>0</v>
      </c>
      <c r="H810" s="3">
        <f ca="1">IF(AND(I810&lt;&gt;I809,ISNUMBER(SEARCH(Лист2!$B$5,I:I)),G810=1),MAX($H$3:OFFSET(H810,-1,0))+1,0)</f>
        <v>0</v>
      </c>
      <c r="I810" s="3" t="s">
        <v>118</v>
      </c>
      <c r="K810" s="2">
        <f>IF(ISNUMBER(SEARCH(Лист2!$B$4,F:F)),1,0)</f>
        <v>0</v>
      </c>
      <c r="L810" s="14">
        <f>IF(ISNUMBER(SEARCH(Лист2!$B$5,I:I)),1,0)+K810</f>
        <v>0</v>
      </c>
      <c r="M810" s="3">
        <f ca="1">IF(AND(N810&lt;&gt;N809,ISNUMBER(SEARCH(Лист2!$B$6,N:N)),L810=2),MAX($M$3:OFFSET(M810,-1,0))+1,0)</f>
        <v>0</v>
      </c>
      <c r="N810" s="3" t="s">
        <v>959</v>
      </c>
    </row>
    <row r="811" spans="1:14" x14ac:dyDescent="0.25">
      <c r="A811" s="1" t="s">
        <v>10438</v>
      </c>
      <c r="B811" s="3" t="s">
        <v>4435</v>
      </c>
      <c r="C811" s="2">
        <f ca="1">IF(ISNUMBER(SEARCH(Лист2!$B$4,D:D)),MAX($C$3:OFFSET(C811,-1,0))+1,0)</f>
        <v>0</v>
      </c>
      <c r="E811" s="9" t="str">
        <f t="shared" ca="1" si="24"/>
        <v/>
      </c>
      <c r="F811" s="4" t="s">
        <v>4</v>
      </c>
      <c r="G811" s="2">
        <f>IF(ISNUMBER(SEARCH(Лист2!$B$4,F:F)),1,0)</f>
        <v>0</v>
      </c>
      <c r="H811" s="3">
        <f ca="1">IF(AND(I811&lt;&gt;I810,ISNUMBER(SEARCH(Лист2!$B$5,I:I)),G811=1),MAX($H$3:OFFSET(H811,-1,0))+1,0)</f>
        <v>0</v>
      </c>
      <c r="I811" s="3" t="s">
        <v>118</v>
      </c>
      <c r="K811" s="2">
        <f>IF(ISNUMBER(SEARCH(Лист2!$B$4,F:F)),1,0)</f>
        <v>0</v>
      </c>
      <c r="L811" s="14">
        <f>IF(ISNUMBER(SEARCH(Лист2!$B$5,I:I)),1,0)+K811</f>
        <v>0</v>
      </c>
      <c r="M811" s="3">
        <f ca="1">IF(AND(N811&lt;&gt;N810,ISNUMBER(SEARCH(Лист2!$B$6,N:N)),L811=2),MAX($M$3:OFFSET(M811,-1,0))+1,0)</f>
        <v>0</v>
      </c>
      <c r="N811" s="3" t="s">
        <v>959</v>
      </c>
    </row>
    <row r="812" spans="1:14" x14ac:dyDescent="0.25">
      <c r="A812" s="1" t="s">
        <v>10438</v>
      </c>
      <c r="B812" s="3" t="s">
        <v>4436</v>
      </c>
      <c r="C812" s="2">
        <f ca="1">IF(ISNUMBER(SEARCH(Лист2!$B$4,D:D)),MAX($C$3:OFFSET(C812,-1,0))+1,0)</f>
        <v>0</v>
      </c>
      <c r="E812" s="9" t="str">
        <f t="shared" ca="1" si="24"/>
        <v/>
      </c>
      <c r="F812" s="4" t="s">
        <v>4</v>
      </c>
      <c r="G812" s="2">
        <f>IF(ISNUMBER(SEARCH(Лист2!$B$4,F:F)),1,0)</f>
        <v>0</v>
      </c>
      <c r="H812" s="3">
        <f ca="1">IF(AND(I812&lt;&gt;I811,ISNUMBER(SEARCH(Лист2!$B$5,I:I)),G812=1),MAX($H$3:OFFSET(H812,-1,0))+1,0)</f>
        <v>0</v>
      </c>
      <c r="I812" s="3" t="s">
        <v>118</v>
      </c>
      <c r="K812" s="2">
        <f>IF(ISNUMBER(SEARCH(Лист2!$B$4,F:F)),1,0)</f>
        <v>0</v>
      </c>
      <c r="L812" s="14">
        <f>IF(ISNUMBER(SEARCH(Лист2!$B$5,I:I)),1,0)+K812</f>
        <v>0</v>
      </c>
      <c r="M812" s="3">
        <f ca="1">IF(AND(N812&lt;&gt;N811,ISNUMBER(SEARCH(Лист2!$B$6,N:N)),L812=2),MAX($M$3:OFFSET(M812,-1,0))+1,0)</f>
        <v>0</v>
      </c>
      <c r="N812" s="3" t="s">
        <v>959</v>
      </c>
    </row>
    <row r="813" spans="1:14" x14ac:dyDescent="0.25">
      <c r="A813" s="1" t="s">
        <v>10439</v>
      </c>
      <c r="B813" s="3" t="s">
        <v>4437</v>
      </c>
      <c r="C813" s="2">
        <f ca="1">IF(ISNUMBER(SEARCH(Лист2!$B$4,D:D)),MAX($C$3:OFFSET(C813,-1,0))+1,0)</f>
        <v>0</v>
      </c>
      <c r="E813" s="9" t="str">
        <f t="shared" ca="1" si="24"/>
        <v/>
      </c>
      <c r="F813" s="4" t="s">
        <v>4</v>
      </c>
      <c r="G813" s="2">
        <f>IF(ISNUMBER(SEARCH(Лист2!$B$4,F:F)),1,0)</f>
        <v>0</v>
      </c>
      <c r="H813" s="3">
        <f ca="1">IF(AND(I813&lt;&gt;I812,ISNUMBER(SEARCH(Лист2!$B$5,I:I)),G813=1),MAX($H$3:OFFSET(H813,-1,0))+1,0)</f>
        <v>0</v>
      </c>
      <c r="I813" s="3" t="s">
        <v>118</v>
      </c>
      <c r="K813" s="2">
        <f>IF(ISNUMBER(SEARCH(Лист2!$B$4,F:F)),1,0)</f>
        <v>0</v>
      </c>
      <c r="L813" s="14">
        <f>IF(ISNUMBER(SEARCH(Лист2!$B$5,I:I)),1,0)+K813</f>
        <v>0</v>
      </c>
      <c r="M813" s="3">
        <f ca="1">IF(AND(N813&lt;&gt;N812,ISNUMBER(SEARCH(Лист2!$B$6,N:N)),L813=2),MAX($M$3:OFFSET(M813,-1,0))+1,0)</f>
        <v>0</v>
      </c>
      <c r="N813" s="3" t="s">
        <v>960</v>
      </c>
    </row>
    <row r="814" spans="1:14" x14ac:dyDescent="0.25">
      <c r="A814" s="1" t="s">
        <v>10439</v>
      </c>
      <c r="B814" s="3" t="s">
        <v>4438</v>
      </c>
      <c r="C814" s="2">
        <f ca="1">IF(ISNUMBER(SEARCH(Лист2!$B$4,D:D)),MAX($C$3:OFFSET(C814,-1,0))+1,0)</f>
        <v>0</v>
      </c>
      <c r="E814" s="9" t="str">
        <f t="shared" ca="1" si="24"/>
        <v/>
      </c>
      <c r="F814" s="4" t="s">
        <v>4</v>
      </c>
      <c r="G814" s="2">
        <f>IF(ISNUMBER(SEARCH(Лист2!$B$4,F:F)),1,0)</f>
        <v>0</v>
      </c>
      <c r="H814" s="3">
        <f ca="1">IF(AND(I814&lt;&gt;I813,ISNUMBER(SEARCH(Лист2!$B$5,I:I)),G814=1),MAX($H$3:OFFSET(H814,-1,0))+1,0)</f>
        <v>0</v>
      </c>
      <c r="I814" s="3" t="s">
        <v>118</v>
      </c>
      <c r="K814" s="2">
        <f>IF(ISNUMBER(SEARCH(Лист2!$B$4,F:F)),1,0)</f>
        <v>0</v>
      </c>
      <c r="L814" s="14">
        <f>IF(ISNUMBER(SEARCH(Лист2!$B$5,I:I)),1,0)+K814</f>
        <v>0</v>
      </c>
      <c r="M814" s="3">
        <f ca="1">IF(AND(N814&lt;&gt;N813,ISNUMBER(SEARCH(Лист2!$B$6,N:N)),L814=2),MAX($M$3:OFFSET(M814,-1,0))+1,0)</f>
        <v>0</v>
      </c>
      <c r="N814" s="3" t="s">
        <v>960</v>
      </c>
    </row>
    <row r="815" spans="1:14" x14ac:dyDescent="0.25">
      <c r="A815" s="1" t="s">
        <v>10439</v>
      </c>
      <c r="B815" s="3" t="s">
        <v>4439</v>
      </c>
      <c r="C815" s="2">
        <f ca="1">IF(ISNUMBER(SEARCH(Лист2!$B$4,D:D)),MAX($C$3:OFFSET(C815,-1,0))+1,0)</f>
        <v>0</v>
      </c>
      <c r="E815" s="9" t="str">
        <f t="shared" ca="1" si="24"/>
        <v/>
      </c>
      <c r="F815" s="4" t="s">
        <v>4</v>
      </c>
      <c r="G815" s="2">
        <f>IF(ISNUMBER(SEARCH(Лист2!$B$4,F:F)),1,0)</f>
        <v>0</v>
      </c>
      <c r="H815" s="3">
        <f ca="1">IF(AND(I815&lt;&gt;I814,ISNUMBER(SEARCH(Лист2!$B$5,I:I)),G815=1),MAX($H$3:OFFSET(H815,-1,0))+1,0)</f>
        <v>0</v>
      </c>
      <c r="I815" s="3" t="s">
        <v>118</v>
      </c>
      <c r="K815" s="2">
        <f>IF(ISNUMBER(SEARCH(Лист2!$B$4,F:F)),1,0)</f>
        <v>0</v>
      </c>
      <c r="L815" s="14">
        <f>IF(ISNUMBER(SEARCH(Лист2!$B$5,I:I)),1,0)+K815</f>
        <v>0</v>
      </c>
      <c r="M815" s="3">
        <f ca="1">IF(AND(N815&lt;&gt;N814,ISNUMBER(SEARCH(Лист2!$B$6,N:N)),L815=2),MAX($M$3:OFFSET(M815,-1,0))+1,0)</f>
        <v>0</v>
      </c>
      <c r="N815" s="3" t="s">
        <v>960</v>
      </c>
    </row>
    <row r="816" spans="1:14" x14ac:dyDescent="0.25">
      <c r="A816" s="1" t="s">
        <v>10440</v>
      </c>
      <c r="B816" s="3" t="s">
        <v>4440</v>
      </c>
      <c r="C816" s="2">
        <f ca="1">IF(ISNUMBER(SEARCH(Лист2!$B$4,D:D)),MAX($C$3:OFFSET(C816,-1,0))+1,0)</f>
        <v>0</v>
      </c>
      <c r="E816" s="9" t="str">
        <f t="shared" ca="1" si="24"/>
        <v/>
      </c>
      <c r="F816" s="4" t="s">
        <v>4</v>
      </c>
      <c r="G816" s="2">
        <f>IF(ISNUMBER(SEARCH(Лист2!$B$4,F:F)),1,0)</f>
        <v>0</v>
      </c>
      <c r="H816" s="3">
        <f ca="1">IF(AND(I816&lt;&gt;I815,ISNUMBER(SEARCH(Лист2!$B$5,I:I)),G816=1),MAX($H$3:OFFSET(H816,-1,0))+1,0)</f>
        <v>0</v>
      </c>
      <c r="I816" s="3" t="s">
        <v>119</v>
      </c>
      <c r="K816" s="2">
        <f>IF(ISNUMBER(SEARCH(Лист2!$B$4,F:F)),1,0)</f>
        <v>0</v>
      </c>
      <c r="L816" s="14">
        <f>IF(ISNUMBER(SEARCH(Лист2!$B$5,I:I)),1,0)+K816</f>
        <v>0</v>
      </c>
      <c r="M816" s="3">
        <f ca="1">IF(AND(N816&lt;&gt;N815,ISNUMBER(SEARCH(Лист2!$B$6,N:N)),L816=2),MAX($M$3:OFFSET(M816,-1,0))+1,0)</f>
        <v>0</v>
      </c>
      <c r="N816" s="3" t="s">
        <v>961</v>
      </c>
    </row>
    <row r="817" spans="1:14" x14ac:dyDescent="0.25">
      <c r="A817" s="1" t="s">
        <v>10440</v>
      </c>
      <c r="B817" s="3" t="s">
        <v>4441</v>
      </c>
      <c r="C817" s="2">
        <f ca="1">IF(ISNUMBER(SEARCH(Лист2!$B$4,D:D)),MAX($C$3:OFFSET(C817,-1,0))+1,0)</f>
        <v>0</v>
      </c>
      <c r="E817" s="9" t="str">
        <f t="shared" ca="1" si="24"/>
        <v/>
      </c>
      <c r="F817" s="4" t="s">
        <v>4</v>
      </c>
      <c r="G817" s="2">
        <f>IF(ISNUMBER(SEARCH(Лист2!$B$4,F:F)),1,0)</f>
        <v>0</v>
      </c>
      <c r="H817" s="3">
        <f ca="1">IF(AND(I817&lt;&gt;I816,ISNUMBER(SEARCH(Лист2!$B$5,I:I)),G817=1),MAX($H$3:OFFSET(H817,-1,0))+1,0)</f>
        <v>0</v>
      </c>
      <c r="I817" s="3" t="s">
        <v>119</v>
      </c>
      <c r="K817" s="2">
        <f>IF(ISNUMBER(SEARCH(Лист2!$B$4,F:F)),1,0)</f>
        <v>0</v>
      </c>
      <c r="L817" s="14">
        <f>IF(ISNUMBER(SEARCH(Лист2!$B$5,I:I)),1,0)+K817</f>
        <v>0</v>
      </c>
      <c r="M817" s="3">
        <f ca="1">IF(AND(N817&lt;&gt;N816,ISNUMBER(SEARCH(Лист2!$B$6,N:N)),L817=2),MAX($M$3:OFFSET(M817,-1,0))+1,0)</f>
        <v>0</v>
      </c>
      <c r="N817" s="3" t="s">
        <v>961</v>
      </c>
    </row>
    <row r="818" spans="1:14" x14ac:dyDescent="0.25">
      <c r="A818" s="1" t="s">
        <v>10441</v>
      </c>
      <c r="B818" s="3" t="s">
        <v>4442</v>
      </c>
      <c r="C818" s="2">
        <f ca="1">IF(ISNUMBER(SEARCH(Лист2!$B$4,D:D)),MAX($C$3:OFFSET(C818,-1,0))+1,0)</f>
        <v>0</v>
      </c>
      <c r="E818" s="9" t="str">
        <f t="shared" ca="1" si="24"/>
        <v/>
      </c>
      <c r="F818" s="4" t="s">
        <v>4</v>
      </c>
      <c r="G818" s="2">
        <f>IF(ISNUMBER(SEARCH(Лист2!$B$4,F:F)),1,0)</f>
        <v>0</v>
      </c>
      <c r="H818" s="3">
        <f ca="1">IF(AND(I818&lt;&gt;I817,ISNUMBER(SEARCH(Лист2!$B$5,I:I)),G818=1),MAX($H$3:OFFSET(H818,-1,0))+1,0)</f>
        <v>0</v>
      </c>
      <c r="I818" s="3" t="s">
        <v>119</v>
      </c>
      <c r="K818" s="2">
        <f>IF(ISNUMBER(SEARCH(Лист2!$B$4,F:F)),1,0)</f>
        <v>0</v>
      </c>
      <c r="L818" s="14">
        <f>IF(ISNUMBER(SEARCH(Лист2!$B$5,I:I)),1,0)+K818</f>
        <v>0</v>
      </c>
      <c r="M818" s="3">
        <f ca="1">IF(AND(N818&lt;&gt;N817,ISNUMBER(SEARCH(Лист2!$B$6,N:N)),L818=2),MAX($M$3:OFFSET(M818,-1,0))+1,0)</f>
        <v>0</v>
      </c>
      <c r="N818" s="3" t="s">
        <v>962</v>
      </c>
    </row>
    <row r="819" spans="1:14" x14ac:dyDescent="0.25">
      <c r="A819" s="1" t="s">
        <v>10442</v>
      </c>
      <c r="B819" s="3" t="s">
        <v>4443</v>
      </c>
      <c r="C819" s="2">
        <f ca="1">IF(ISNUMBER(SEARCH(Лист2!$B$4,D:D)),MAX($C$3:OFFSET(C819,-1,0))+1,0)</f>
        <v>0</v>
      </c>
      <c r="E819" s="9" t="str">
        <f t="shared" ca="1" si="24"/>
        <v/>
      </c>
      <c r="F819" s="4" t="s">
        <v>4</v>
      </c>
      <c r="G819" s="2">
        <f>IF(ISNUMBER(SEARCH(Лист2!$B$4,F:F)),1,0)</f>
        <v>0</v>
      </c>
      <c r="H819" s="3">
        <f ca="1">IF(AND(I819&lt;&gt;I818,ISNUMBER(SEARCH(Лист2!$B$5,I:I)),G819=1),MAX($H$3:OFFSET(H819,-1,0))+1,0)</f>
        <v>0</v>
      </c>
      <c r="I819" s="3" t="s">
        <v>119</v>
      </c>
      <c r="K819" s="2">
        <f>IF(ISNUMBER(SEARCH(Лист2!$B$4,F:F)),1,0)</f>
        <v>0</v>
      </c>
      <c r="L819" s="14">
        <f>IF(ISNUMBER(SEARCH(Лист2!$B$5,I:I)),1,0)+K819</f>
        <v>0</v>
      </c>
      <c r="M819" s="3">
        <f ca="1">IF(AND(N819&lt;&gt;N818,ISNUMBER(SEARCH(Лист2!$B$6,N:N)),L819=2),MAX($M$3:OFFSET(M819,-1,0))+1,0)</f>
        <v>0</v>
      </c>
      <c r="N819" s="3" t="s">
        <v>963</v>
      </c>
    </row>
    <row r="820" spans="1:14" x14ac:dyDescent="0.25">
      <c r="A820" s="1" t="s">
        <v>10442</v>
      </c>
      <c r="B820" s="3" t="s">
        <v>4444</v>
      </c>
      <c r="C820" s="2">
        <f ca="1">IF(ISNUMBER(SEARCH(Лист2!$B$4,D:D)),MAX($C$3:OFFSET(C820,-1,0))+1,0)</f>
        <v>0</v>
      </c>
      <c r="E820" s="9" t="str">
        <f t="shared" ca="1" si="24"/>
        <v/>
      </c>
      <c r="F820" s="4" t="s">
        <v>4</v>
      </c>
      <c r="G820" s="2">
        <f>IF(ISNUMBER(SEARCH(Лист2!$B$4,F:F)),1,0)</f>
        <v>0</v>
      </c>
      <c r="H820" s="3">
        <f ca="1">IF(AND(I820&lt;&gt;I819,ISNUMBER(SEARCH(Лист2!$B$5,I:I)),G820=1),MAX($H$3:OFFSET(H820,-1,0))+1,0)</f>
        <v>0</v>
      </c>
      <c r="I820" s="3" t="s">
        <v>119</v>
      </c>
      <c r="K820" s="2">
        <f>IF(ISNUMBER(SEARCH(Лист2!$B$4,F:F)),1,0)</f>
        <v>0</v>
      </c>
      <c r="L820" s="14">
        <f>IF(ISNUMBER(SEARCH(Лист2!$B$5,I:I)),1,0)+K820</f>
        <v>0</v>
      </c>
      <c r="M820" s="3">
        <f ca="1">IF(AND(N820&lt;&gt;N819,ISNUMBER(SEARCH(Лист2!$B$6,N:N)),L820=2),MAX($M$3:OFFSET(M820,-1,0))+1,0)</f>
        <v>0</v>
      </c>
      <c r="N820" s="3" t="s">
        <v>963</v>
      </c>
    </row>
    <row r="821" spans="1:14" x14ac:dyDescent="0.25">
      <c r="A821" s="1" t="s">
        <v>10443</v>
      </c>
      <c r="B821" s="3" t="s">
        <v>4445</v>
      </c>
      <c r="C821" s="2">
        <f ca="1">IF(ISNUMBER(SEARCH(Лист2!$B$4,D:D)),MAX($C$3:OFFSET(C821,-1,0))+1,0)</f>
        <v>0</v>
      </c>
      <c r="E821" s="9" t="str">
        <f t="shared" ca="1" si="24"/>
        <v/>
      </c>
      <c r="F821" s="4" t="s">
        <v>4</v>
      </c>
      <c r="G821" s="2">
        <f>IF(ISNUMBER(SEARCH(Лист2!$B$4,F:F)),1,0)</f>
        <v>0</v>
      </c>
      <c r="H821" s="3">
        <f ca="1">IF(AND(I821&lt;&gt;I820,ISNUMBER(SEARCH(Лист2!$B$5,I:I)),G821=1),MAX($H$3:OFFSET(H821,-1,0))+1,0)</f>
        <v>0</v>
      </c>
      <c r="I821" s="3" t="s">
        <v>119</v>
      </c>
      <c r="K821" s="2">
        <f>IF(ISNUMBER(SEARCH(Лист2!$B$4,F:F)),1,0)</f>
        <v>0</v>
      </c>
      <c r="L821" s="14">
        <f>IF(ISNUMBER(SEARCH(Лист2!$B$5,I:I)),1,0)+K821</f>
        <v>0</v>
      </c>
      <c r="M821" s="3">
        <f ca="1">IF(AND(N821&lt;&gt;N820,ISNUMBER(SEARCH(Лист2!$B$6,N:N)),L821=2),MAX($M$3:OFFSET(M821,-1,0))+1,0)</f>
        <v>0</v>
      </c>
      <c r="N821" s="3" t="s">
        <v>964</v>
      </c>
    </row>
    <row r="822" spans="1:14" x14ac:dyDescent="0.25">
      <c r="A822" s="1" t="s">
        <v>10444</v>
      </c>
      <c r="B822" s="3" t="s">
        <v>4446</v>
      </c>
      <c r="C822" s="2">
        <f ca="1">IF(ISNUMBER(SEARCH(Лист2!$B$4,D:D)),MAX($C$3:OFFSET(C822,-1,0))+1,0)</f>
        <v>0</v>
      </c>
      <c r="E822" s="9" t="str">
        <f t="shared" ca="1" si="24"/>
        <v/>
      </c>
      <c r="F822" s="4" t="s">
        <v>4</v>
      </c>
      <c r="G822" s="2">
        <f>IF(ISNUMBER(SEARCH(Лист2!$B$4,F:F)),1,0)</f>
        <v>0</v>
      </c>
      <c r="H822" s="3">
        <f ca="1">IF(AND(I822&lt;&gt;I821,ISNUMBER(SEARCH(Лист2!$B$5,I:I)),G822=1),MAX($H$3:OFFSET(H822,-1,0))+1,0)</f>
        <v>0</v>
      </c>
      <c r="I822" s="3" t="s">
        <v>120</v>
      </c>
      <c r="K822" s="2">
        <f>IF(ISNUMBER(SEARCH(Лист2!$B$4,F:F)),1,0)</f>
        <v>0</v>
      </c>
      <c r="L822" s="14">
        <f>IF(ISNUMBER(SEARCH(Лист2!$B$5,I:I)),1,0)+K822</f>
        <v>0</v>
      </c>
      <c r="M822" s="3">
        <f ca="1">IF(AND(N822&lt;&gt;N821,ISNUMBER(SEARCH(Лист2!$B$6,N:N)),L822=2),MAX($M$3:OFFSET(M822,-1,0))+1,0)</f>
        <v>0</v>
      </c>
      <c r="N822" s="3" t="s">
        <v>965</v>
      </c>
    </row>
    <row r="823" spans="1:14" x14ac:dyDescent="0.25">
      <c r="A823" s="1" t="s">
        <v>10445</v>
      </c>
      <c r="B823" s="3" t="s">
        <v>4447</v>
      </c>
      <c r="C823" s="2">
        <f ca="1">IF(ISNUMBER(SEARCH(Лист2!$B$4,D:D)),MAX($C$3:OFFSET(C823,-1,0))+1,0)</f>
        <v>0</v>
      </c>
      <c r="E823" s="9" t="str">
        <f t="shared" ca="1" si="24"/>
        <v/>
      </c>
      <c r="F823" s="4" t="s">
        <v>4</v>
      </c>
      <c r="G823" s="2">
        <f>IF(ISNUMBER(SEARCH(Лист2!$B$4,F:F)),1,0)</f>
        <v>0</v>
      </c>
      <c r="H823" s="3">
        <f ca="1">IF(AND(I823&lt;&gt;I822,ISNUMBER(SEARCH(Лист2!$B$5,I:I)),G823=1),MAX($H$3:OFFSET(H823,-1,0))+1,0)</f>
        <v>0</v>
      </c>
      <c r="I823" s="3" t="s">
        <v>120</v>
      </c>
      <c r="K823" s="2">
        <f>IF(ISNUMBER(SEARCH(Лист2!$B$4,F:F)),1,0)</f>
        <v>0</v>
      </c>
      <c r="L823" s="14">
        <f>IF(ISNUMBER(SEARCH(Лист2!$B$5,I:I)),1,0)+K823</f>
        <v>0</v>
      </c>
      <c r="M823" s="3">
        <f ca="1">IF(AND(N823&lt;&gt;N822,ISNUMBER(SEARCH(Лист2!$B$6,N:N)),L823=2),MAX($M$3:OFFSET(M823,-1,0))+1,0)</f>
        <v>0</v>
      </c>
      <c r="N823" s="3" t="s">
        <v>966</v>
      </c>
    </row>
    <row r="824" spans="1:14" x14ac:dyDescent="0.25">
      <c r="A824" s="1" t="s">
        <v>10446</v>
      </c>
      <c r="B824" s="3" t="s">
        <v>4448</v>
      </c>
      <c r="C824" s="2">
        <f ca="1">IF(ISNUMBER(SEARCH(Лист2!$B$4,D:D)),MAX($C$3:OFFSET(C824,-1,0))+1,0)</f>
        <v>0</v>
      </c>
      <c r="E824" s="9" t="str">
        <f t="shared" ca="1" si="24"/>
        <v/>
      </c>
      <c r="F824" s="4" t="s">
        <v>4</v>
      </c>
      <c r="G824" s="2">
        <f>IF(ISNUMBER(SEARCH(Лист2!$B$4,F:F)),1,0)</f>
        <v>0</v>
      </c>
      <c r="H824" s="3">
        <f ca="1">IF(AND(I824&lt;&gt;I823,ISNUMBER(SEARCH(Лист2!$B$5,I:I)),G824=1),MAX($H$3:OFFSET(H824,-1,0))+1,0)</f>
        <v>0</v>
      </c>
      <c r="I824" s="3" t="s">
        <v>120</v>
      </c>
      <c r="K824" s="2">
        <f>IF(ISNUMBER(SEARCH(Лист2!$B$4,F:F)),1,0)</f>
        <v>0</v>
      </c>
      <c r="L824" s="14">
        <f>IF(ISNUMBER(SEARCH(Лист2!$B$5,I:I)),1,0)+K824</f>
        <v>0</v>
      </c>
      <c r="M824" s="3">
        <f ca="1">IF(AND(N824&lt;&gt;N823,ISNUMBER(SEARCH(Лист2!$B$6,N:N)),L824=2),MAX($M$3:OFFSET(M824,-1,0))+1,0)</f>
        <v>0</v>
      </c>
      <c r="N824" s="3" t="s">
        <v>967</v>
      </c>
    </row>
    <row r="825" spans="1:14" x14ac:dyDescent="0.25">
      <c r="A825" s="1" t="s">
        <v>10446</v>
      </c>
      <c r="B825" s="3" t="s">
        <v>4449</v>
      </c>
      <c r="C825" s="2">
        <f ca="1">IF(ISNUMBER(SEARCH(Лист2!$B$4,D:D)),MAX($C$3:OFFSET(C825,-1,0))+1,0)</f>
        <v>0</v>
      </c>
      <c r="E825" s="9" t="str">
        <f t="shared" ca="1" si="24"/>
        <v/>
      </c>
      <c r="F825" s="4" t="s">
        <v>4</v>
      </c>
      <c r="G825" s="2">
        <f>IF(ISNUMBER(SEARCH(Лист2!$B$4,F:F)),1,0)</f>
        <v>0</v>
      </c>
      <c r="H825" s="3">
        <f ca="1">IF(AND(I825&lt;&gt;I824,ISNUMBER(SEARCH(Лист2!$B$5,I:I)),G825=1),MAX($H$3:OFFSET(H825,-1,0))+1,0)</f>
        <v>0</v>
      </c>
      <c r="I825" s="3" t="s">
        <v>120</v>
      </c>
      <c r="K825" s="2">
        <f>IF(ISNUMBER(SEARCH(Лист2!$B$4,F:F)),1,0)</f>
        <v>0</v>
      </c>
      <c r="L825" s="14">
        <f>IF(ISNUMBER(SEARCH(Лист2!$B$5,I:I)),1,0)+K825</f>
        <v>0</v>
      </c>
      <c r="M825" s="3">
        <f ca="1">IF(AND(N825&lt;&gt;N824,ISNUMBER(SEARCH(Лист2!$B$6,N:N)),L825=2),MAX($M$3:OFFSET(M825,-1,0))+1,0)</f>
        <v>0</v>
      </c>
      <c r="N825" s="3" t="s">
        <v>967</v>
      </c>
    </row>
    <row r="826" spans="1:14" x14ac:dyDescent="0.25">
      <c r="A826" s="1" t="s">
        <v>10447</v>
      </c>
      <c r="B826" s="3" t="s">
        <v>4450</v>
      </c>
      <c r="C826" s="2">
        <f ca="1">IF(ISNUMBER(SEARCH(Лист2!$B$4,D:D)),MAX($C$3:OFFSET(C826,-1,0))+1,0)</f>
        <v>0</v>
      </c>
      <c r="E826" s="9" t="str">
        <f t="shared" ca="1" si="24"/>
        <v/>
      </c>
      <c r="F826" s="4" t="s">
        <v>4</v>
      </c>
      <c r="G826" s="2">
        <f>IF(ISNUMBER(SEARCH(Лист2!$B$4,F:F)),1,0)</f>
        <v>0</v>
      </c>
      <c r="H826" s="3">
        <f ca="1">IF(AND(I826&lt;&gt;I825,ISNUMBER(SEARCH(Лист2!$B$5,I:I)),G826=1),MAX($H$3:OFFSET(H826,-1,0))+1,0)</f>
        <v>0</v>
      </c>
      <c r="I826" s="3" t="s">
        <v>120</v>
      </c>
      <c r="K826" s="2">
        <f>IF(ISNUMBER(SEARCH(Лист2!$B$4,F:F)),1,0)</f>
        <v>0</v>
      </c>
      <c r="L826" s="14">
        <f>IF(ISNUMBER(SEARCH(Лист2!$B$5,I:I)),1,0)+K826</f>
        <v>0</v>
      </c>
      <c r="M826" s="3">
        <f ca="1">IF(AND(N826&lt;&gt;N825,ISNUMBER(SEARCH(Лист2!$B$6,N:N)),L826=2),MAX($M$3:OFFSET(M826,-1,0))+1,0)</f>
        <v>0</v>
      </c>
      <c r="N826" s="3" t="s">
        <v>968</v>
      </c>
    </row>
    <row r="827" spans="1:14" x14ac:dyDescent="0.25">
      <c r="A827" s="1" t="s">
        <v>10448</v>
      </c>
      <c r="B827" s="3" t="s">
        <v>4451</v>
      </c>
      <c r="C827" s="2">
        <f ca="1">IF(ISNUMBER(SEARCH(Лист2!$B$4,D:D)),MAX($C$3:OFFSET(C827,-1,0))+1,0)</f>
        <v>0</v>
      </c>
      <c r="E827" s="9" t="str">
        <f t="shared" ca="1" si="24"/>
        <v/>
      </c>
      <c r="F827" s="4" t="s">
        <v>4</v>
      </c>
      <c r="G827" s="2">
        <f>IF(ISNUMBER(SEARCH(Лист2!$B$4,F:F)),1,0)</f>
        <v>0</v>
      </c>
      <c r="H827" s="3">
        <f ca="1">IF(AND(I827&lt;&gt;I826,ISNUMBER(SEARCH(Лист2!$B$5,I:I)),G827=1),MAX($H$3:OFFSET(H827,-1,0))+1,0)</f>
        <v>0</v>
      </c>
      <c r="I827" s="3" t="s">
        <v>121</v>
      </c>
      <c r="K827" s="2">
        <f>IF(ISNUMBER(SEARCH(Лист2!$B$4,F:F)),1,0)</f>
        <v>0</v>
      </c>
      <c r="L827" s="14">
        <f>IF(ISNUMBER(SEARCH(Лист2!$B$5,I:I)),1,0)+K827</f>
        <v>0</v>
      </c>
      <c r="M827" s="3">
        <f ca="1">IF(AND(N827&lt;&gt;N826,ISNUMBER(SEARCH(Лист2!$B$6,N:N)),L827=2),MAX($M$3:OFFSET(M827,-1,0))+1,0)</f>
        <v>0</v>
      </c>
      <c r="N827" s="3" t="s">
        <v>969</v>
      </c>
    </row>
    <row r="828" spans="1:14" x14ac:dyDescent="0.25">
      <c r="A828" s="1" t="s">
        <v>10449</v>
      </c>
      <c r="B828" s="3" t="s">
        <v>4452</v>
      </c>
      <c r="C828" s="2">
        <f ca="1">IF(ISNUMBER(SEARCH(Лист2!$B$4,D:D)),MAX($C$3:OFFSET(C828,-1,0))+1,0)</f>
        <v>0</v>
      </c>
      <c r="E828" s="9" t="str">
        <f t="shared" ca="1" si="24"/>
        <v/>
      </c>
      <c r="F828" s="4" t="s">
        <v>4</v>
      </c>
      <c r="G828" s="2">
        <f>IF(ISNUMBER(SEARCH(Лист2!$B$4,F:F)),1,0)</f>
        <v>0</v>
      </c>
      <c r="H828" s="3">
        <f ca="1">IF(AND(I828&lt;&gt;I827,ISNUMBER(SEARCH(Лист2!$B$5,I:I)),G828=1),MAX($H$3:OFFSET(H828,-1,0))+1,0)</f>
        <v>0</v>
      </c>
      <c r="I828" s="3" t="s">
        <v>121</v>
      </c>
      <c r="K828" s="2">
        <f>IF(ISNUMBER(SEARCH(Лист2!$B$4,F:F)),1,0)</f>
        <v>0</v>
      </c>
      <c r="L828" s="14">
        <f>IF(ISNUMBER(SEARCH(Лист2!$B$5,I:I)),1,0)+K828</f>
        <v>0</v>
      </c>
      <c r="M828" s="3">
        <f ca="1">IF(AND(N828&lt;&gt;N827,ISNUMBER(SEARCH(Лист2!$B$6,N:N)),L828=2),MAX($M$3:OFFSET(M828,-1,0))+1,0)</f>
        <v>0</v>
      </c>
      <c r="N828" s="3" t="s">
        <v>970</v>
      </c>
    </row>
    <row r="829" spans="1:14" x14ac:dyDescent="0.25">
      <c r="A829" s="1" t="s">
        <v>10450</v>
      </c>
      <c r="B829" s="3" t="s">
        <v>4453</v>
      </c>
      <c r="C829" s="2">
        <f ca="1">IF(ISNUMBER(SEARCH(Лист2!$B$4,D:D)),MAX($C$3:OFFSET(C829,-1,0))+1,0)</f>
        <v>0</v>
      </c>
      <c r="E829" s="9" t="str">
        <f t="shared" ca="1" si="24"/>
        <v/>
      </c>
      <c r="F829" s="4" t="s">
        <v>4</v>
      </c>
      <c r="G829" s="2">
        <f>IF(ISNUMBER(SEARCH(Лист2!$B$4,F:F)),1,0)</f>
        <v>0</v>
      </c>
      <c r="H829" s="3">
        <f ca="1">IF(AND(I829&lt;&gt;I828,ISNUMBER(SEARCH(Лист2!$B$5,I:I)),G829=1),MAX($H$3:OFFSET(H829,-1,0))+1,0)</f>
        <v>0</v>
      </c>
      <c r="I829" s="3" t="s">
        <v>121</v>
      </c>
      <c r="K829" s="2">
        <f>IF(ISNUMBER(SEARCH(Лист2!$B$4,F:F)),1,0)</f>
        <v>0</v>
      </c>
      <c r="L829" s="14">
        <f>IF(ISNUMBER(SEARCH(Лист2!$B$5,I:I)),1,0)+K829</f>
        <v>0</v>
      </c>
      <c r="M829" s="3">
        <f ca="1">IF(AND(N829&lt;&gt;N828,ISNUMBER(SEARCH(Лист2!$B$6,N:N)),L829=2),MAX($M$3:OFFSET(M829,-1,0))+1,0)</f>
        <v>0</v>
      </c>
      <c r="N829" s="3" t="s">
        <v>971</v>
      </c>
    </row>
    <row r="830" spans="1:14" x14ac:dyDescent="0.25">
      <c r="A830" s="1" t="s">
        <v>10450</v>
      </c>
      <c r="B830" s="3" t="s">
        <v>4454</v>
      </c>
      <c r="C830" s="2">
        <f ca="1">IF(ISNUMBER(SEARCH(Лист2!$B$4,D:D)),MAX($C$3:OFFSET(C830,-1,0))+1,0)</f>
        <v>0</v>
      </c>
      <c r="E830" s="9" t="str">
        <f t="shared" ca="1" si="24"/>
        <v/>
      </c>
      <c r="F830" s="4" t="s">
        <v>4</v>
      </c>
      <c r="G830" s="2">
        <f>IF(ISNUMBER(SEARCH(Лист2!$B$4,F:F)),1,0)</f>
        <v>0</v>
      </c>
      <c r="H830" s="3">
        <f ca="1">IF(AND(I830&lt;&gt;I829,ISNUMBER(SEARCH(Лист2!$B$5,I:I)),G830=1),MAX($H$3:OFFSET(H830,-1,0))+1,0)</f>
        <v>0</v>
      </c>
      <c r="I830" s="3" t="s">
        <v>121</v>
      </c>
      <c r="K830" s="2">
        <f>IF(ISNUMBER(SEARCH(Лист2!$B$4,F:F)),1,0)</f>
        <v>0</v>
      </c>
      <c r="L830" s="14">
        <f>IF(ISNUMBER(SEARCH(Лист2!$B$5,I:I)),1,0)+K830</f>
        <v>0</v>
      </c>
      <c r="M830" s="3">
        <f ca="1">IF(AND(N830&lt;&gt;N829,ISNUMBER(SEARCH(Лист2!$B$6,N:N)),L830=2),MAX($M$3:OFFSET(M830,-1,0))+1,0)</f>
        <v>0</v>
      </c>
      <c r="N830" s="3" t="s">
        <v>971</v>
      </c>
    </row>
    <row r="831" spans="1:14" x14ac:dyDescent="0.25">
      <c r="A831" s="1" t="s">
        <v>10451</v>
      </c>
      <c r="B831" s="3" t="s">
        <v>4455</v>
      </c>
      <c r="C831" s="2">
        <f ca="1">IF(ISNUMBER(SEARCH(Лист2!$B$4,D:D)),MAX($C$3:OFFSET(C831,-1,0))+1,0)</f>
        <v>0</v>
      </c>
      <c r="E831" s="9" t="str">
        <f t="shared" ca="1" si="24"/>
        <v/>
      </c>
      <c r="F831" s="4" t="s">
        <v>4</v>
      </c>
      <c r="G831" s="2">
        <f>IF(ISNUMBER(SEARCH(Лист2!$B$4,F:F)),1,0)</f>
        <v>0</v>
      </c>
      <c r="H831" s="3">
        <f ca="1">IF(AND(I831&lt;&gt;I830,ISNUMBER(SEARCH(Лист2!$B$5,I:I)),G831=1),MAX($H$3:OFFSET(H831,-1,0))+1,0)</f>
        <v>0</v>
      </c>
      <c r="I831" s="3" t="s">
        <v>121</v>
      </c>
      <c r="K831" s="2">
        <f>IF(ISNUMBER(SEARCH(Лист2!$B$4,F:F)),1,0)</f>
        <v>0</v>
      </c>
      <c r="L831" s="14">
        <f>IF(ISNUMBER(SEARCH(Лист2!$B$5,I:I)),1,0)+K831</f>
        <v>0</v>
      </c>
      <c r="M831" s="3">
        <f ca="1">IF(AND(N831&lt;&gt;N830,ISNUMBER(SEARCH(Лист2!$B$6,N:N)),L831=2),MAX($M$3:OFFSET(M831,-1,0))+1,0)</f>
        <v>0</v>
      </c>
      <c r="N831" s="3" t="s">
        <v>972</v>
      </c>
    </row>
    <row r="832" spans="1:14" x14ac:dyDescent="0.25">
      <c r="A832" s="1" t="s">
        <v>10452</v>
      </c>
      <c r="B832" s="3" t="s">
        <v>4456</v>
      </c>
      <c r="C832" s="2">
        <f ca="1">IF(ISNUMBER(SEARCH(Лист2!$B$4,D:D)),MAX($C$3:OFFSET(C832,-1,0))+1,0)</f>
        <v>0</v>
      </c>
      <c r="E832" s="9" t="str">
        <f t="shared" ca="1" si="24"/>
        <v/>
      </c>
      <c r="F832" s="4" t="s">
        <v>4</v>
      </c>
      <c r="G832" s="2">
        <f>IF(ISNUMBER(SEARCH(Лист2!$B$4,F:F)),1,0)</f>
        <v>0</v>
      </c>
      <c r="H832" s="3">
        <f ca="1">IF(AND(I832&lt;&gt;I831,ISNUMBER(SEARCH(Лист2!$B$5,I:I)),G832=1),MAX($H$3:OFFSET(H832,-1,0))+1,0)</f>
        <v>0</v>
      </c>
      <c r="I832" s="3" t="s">
        <v>122</v>
      </c>
      <c r="K832" s="2">
        <f>IF(ISNUMBER(SEARCH(Лист2!$B$4,F:F)),1,0)</f>
        <v>0</v>
      </c>
      <c r="L832" s="14">
        <f>IF(ISNUMBER(SEARCH(Лист2!$B$5,I:I)),1,0)+K832</f>
        <v>0</v>
      </c>
      <c r="M832" s="3">
        <f ca="1">IF(AND(N832&lt;&gt;N831,ISNUMBER(SEARCH(Лист2!$B$6,N:N)),L832=2),MAX($M$3:OFFSET(M832,-1,0))+1,0)</f>
        <v>0</v>
      </c>
      <c r="N832" s="3" t="s">
        <v>973</v>
      </c>
    </row>
    <row r="833" spans="1:14" x14ac:dyDescent="0.25">
      <c r="A833" s="1" t="s">
        <v>10453</v>
      </c>
      <c r="B833" s="3" t="s">
        <v>4457</v>
      </c>
      <c r="C833" s="2">
        <f ca="1">IF(ISNUMBER(SEARCH(Лист2!$B$4,D:D)),MAX($C$3:OFFSET(C833,-1,0))+1,0)</f>
        <v>0</v>
      </c>
      <c r="E833" s="9" t="str">
        <f t="shared" ca="1" si="24"/>
        <v/>
      </c>
      <c r="F833" s="4" t="s">
        <v>4</v>
      </c>
      <c r="G833" s="2">
        <f>IF(ISNUMBER(SEARCH(Лист2!$B$4,F:F)),1,0)</f>
        <v>0</v>
      </c>
      <c r="H833" s="3">
        <f ca="1">IF(AND(I833&lt;&gt;I832,ISNUMBER(SEARCH(Лист2!$B$5,I:I)),G833=1),MAX($H$3:OFFSET(H833,-1,0))+1,0)</f>
        <v>0</v>
      </c>
      <c r="I833" s="3" t="s">
        <v>122</v>
      </c>
      <c r="K833" s="2">
        <f>IF(ISNUMBER(SEARCH(Лист2!$B$4,F:F)),1,0)</f>
        <v>0</v>
      </c>
      <c r="L833" s="14">
        <f>IF(ISNUMBER(SEARCH(Лист2!$B$5,I:I)),1,0)+K833</f>
        <v>0</v>
      </c>
      <c r="M833" s="3">
        <f ca="1">IF(AND(N833&lt;&gt;N832,ISNUMBER(SEARCH(Лист2!$B$6,N:N)),L833=2),MAX($M$3:OFFSET(M833,-1,0))+1,0)</f>
        <v>0</v>
      </c>
      <c r="N833" s="3" t="s">
        <v>974</v>
      </c>
    </row>
    <row r="834" spans="1:14" x14ac:dyDescent="0.25">
      <c r="A834" s="1" t="s">
        <v>10454</v>
      </c>
      <c r="B834" s="3" t="s">
        <v>4458</v>
      </c>
      <c r="C834" s="2">
        <f ca="1">IF(ISNUMBER(SEARCH(Лист2!$B$4,D:D)),MAX($C$3:OFFSET(C834,-1,0))+1,0)</f>
        <v>0</v>
      </c>
      <c r="E834" s="9" t="str">
        <f t="shared" ca="1" si="24"/>
        <v/>
      </c>
      <c r="F834" s="4" t="s">
        <v>4</v>
      </c>
      <c r="G834" s="2">
        <f>IF(ISNUMBER(SEARCH(Лист2!$B$4,F:F)),1,0)</f>
        <v>0</v>
      </c>
      <c r="H834" s="3">
        <f ca="1">IF(AND(I834&lt;&gt;I833,ISNUMBER(SEARCH(Лист2!$B$5,I:I)),G834=1),MAX($H$3:OFFSET(H834,-1,0))+1,0)</f>
        <v>0</v>
      </c>
      <c r="I834" s="3" t="s">
        <v>122</v>
      </c>
      <c r="K834" s="2">
        <f>IF(ISNUMBER(SEARCH(Лист2!$B$4,F:F)),1,0)</f>
        <v>0</v>
      </c>
      <c r="L834" s="14">
        <f>IF(ISNUMBER(SEARCH(Лист2!$B$5,I:I)),1,0)+K834</f>
        <v>0</v>
      </c>
      <c r="M834" s="3">
        <f ca="1">IF(AND(N834&lt;&gt;N833,ISNUMBER(SEARCH(Лист2!$B$6,N:N)),L834=2),MAX($M$3:OFFSET(M834,-1,0))+1,0)</f>
        <v>0</v>
      </c>
      <c r="N834" s="3" t="s">
        <v>975</v>
      </c>
    </row>
    <row r="835" spans="1:14" x14ac:dyDescent="0.25">
      <c r="A835" s="1" t="s">
        <v>10454</v>
      </c>
      <c r="B835" s="3" t="s">
        <v>4459</v>
      </c>
      <c r="C835" s="2">
        <f ca="1">IF(ISNUMBER(SEARCH(Лист2!$B$4,D:D)),MAX($C$3:OFFSET(C835,-1,0))+1,0)</f>
        <v>0</v>
      </c>
      <c r="E835" s="9" t="str">
        <f t="shared" ca="1" si="24"/>
        <v/>
      </c>
      <c r="F835" s="4" t="s">
        <v>4</v>
      </c>
      <c r="G835" s="2">
        <f>IF(ISNUMBER(SEARCH(Лист2!$B$4,F:F)),1,0)</f>
        <v>0</v>
      </c>
      <c r="H835" s="3">
        <f ca="1">IF(AND(I835&lt;&gt;I834,ISNUMBER(SEARCH(Лист2!$B$5,I:I)),G835=1),MAX($H$3:OFFSET(H835,-1,0))+1,0)</f>
        <v>0</v>
      </c>
      <c r="I835" s="3" t="s">
        <v>122</v>
      </c>
      <c r="K835" s="2">
        <f>IF(ISNUMBER(SEARCH(Лист2!$B$4,F:F)),1,0)</f>
        <v>0</v>
      </c>
      <c r="L835" s="14">
        <f>IF(ISNUMBER(SEARCH(Лист2!$B$5,I:I)),1,0)+K835</f>
        <v>0</v>
      </c>
      <c r="M835" s="3">
        <f ca="1">IF(AND(N835&lt;&gt;N834,ISNUMBER(SEARCH(Лист2!$B$6,N:N)),L835=2),MAX($M$3:OFFSET(M835,-1,0))+1,0)</f>
        <v>0</v>
      </c>
      <c r="N835" s="3" t="s">
        <v>975</v>
      </c>
    </row>
    <row r="836" spans="1:14" x14ac:dyDescent="0.25">
      <c r="A836" s="1" t="s">
        <v>10455</v>
      </c>
      <c r="B836" s="3" t="s">
        <v>4460</v>
      </c>
      <c r="C836" s="2">
        <f ca="1">IF(ISNUMBER(SEARCH(Лист2!$B$4,D:D)),MAX($C$3:OFFSET(C836,-1,0))+1,0)</f>
        <v>0</v>
      </c>
      <c r="E836" s="9" t="str">
        <f t="shared" ca="1" si="24"/>
        <v/>
      </c>
      <c r="F836" s="4" t="s">
        <v>4</v>
      </c>
      <c r="G836" s="2">
        <f>IF(ISNUMBER(SEARCH(Лист2!$B$4,F:F)),1,0)</f>
        <v>0</v>
      </c>
      <c r="H836" s="3">
        <f ca="1">IF(AND(I836&lt;&gt;I835,ISNUMBER(SEARCH(Лист2!$B$5,I:I)),G836=1),MAX($H$3:OFFSET(H836,-1,0))+1,0)</f>
        <v>0</v>
      </c>
      <c r="I836" s="3" t="s">
        <v>122</v>
      </c>
      <c r="K836" s="2">
        <f>IF(ISNUMBER(SEARCH(Лист2!$B$4,F:F)),1,0)</f>
        <v>0</v>
      </c>
      <c r="L836" s="14">
        <f>IF(ISNUMBER(SEARCH(Лист2!$B$5,I:I)),1,0)+K836</f>
        <v>0</v>
      </c>
      <c r="M836" s="3">
        <f ca="1">IF(AND(N836&lt;&gt;N835,ISNUMBER(SEARCH(Лист2!$B$6,N:N)),L836=2),MAX($M$3:OFFSET(M836,-1,0))+1,0)</f>
        <v>0</v>
      </c>
      <c r="N836" s="3" t="s">
        <v>976</v>
      </c>
    </row>
    <row r="837" spans="1:14" x14ac:dyDescent="0.25">
      <c r="A837" s="1" t="s">
        <v>10456</v>
      </c>
      <c r="B837" s="3" t="s">
        <v>4461</v>
      </c>
      <c r="C837" s="2">
        <f ca="1">IF(ISNUMBER(SEARCH(Лист2!$B$4,D:D)),MAX($C$3:OFFSET(C837,-1,0))+1,0)</f>
        <v>0</v>
      </c>
      <c r="E837" s="9" t="str">
        <f t="shared" ref="E837:E900" ca="1" si="25">IFERROR(INDEX(D:D,MATCH(ROW(E837)-ROW($E$3),C:C,0)),"")</f>
        <v/>
      </c>
      <c r="F837" s="4" t="s">
        <v>4</v>
      </c>
      <c r="G837" s="2">
        <f>IF(ISNUMBER(SEARCH(Лист2!$B$4,F:F)),1,0)</f>
        <v>0</v>
      </c>
      <c r="H837" s="3">
        <f ca="1">IF(AND(I837&lt;&gt;I836,ISNUMBER(SEARCH(Лист2!$B$5,I:I)),G837=1),MAX($H$3:OFFSET(H837,-1,0))+1,0)</f>
        <v>0</v>
      </c>
      <c r="I837" s="3" t="s">
        <v>123</v>
      </c>
      <c r="K837" s="2">
        <f>IF(ISNUMBER(SEARCH(Лист2!$B$4,F:F)),1,0)</f>
        <v>0</v>
      </c>
      <c r="L837" s="14">
        <f>IF(ISNUMBER(SEARCH(Лист2!$B$5,I:I)),1,0)+K837</f>
        <v>0</v>
      </c>
      <c r="M837" s="3">
        <f ca="1">IF(AND(N837&lt;&gt;N836,ISNUMBER(SEARCH(Лист2!$B$6,N:N)),L837=2),MAX($M$3:OFFSET(M837,-1,0))+1,0)</f>
        <v>0</v>
      </c>
      <c r="N837" s="3" t="s">
        <v>977</v>
      </c>
    </row>
    <row r="838" spans="1:14" x14ac:dyDescent="0.25">
      <c r="A838" s="1" t="s">
        <v>10457</v>
      </c>
      <c r="B838" s="3" t="s">
        <v>4462</v>
      </c>
      <c r="C838" s="2">
        <f ca="1">IF(ISNUMBER(SEARCH(Лист2!$B$4,D:D)),MAX($C$3:OFFSET(C838,-1,0))+1,0)</f>
        <v>0</v>
      </c>
      <c r="E838" s="9" t="str">
        <f t="shared" ca="1" si="25"/>
        <v/>
      </c>
      <c r="F838" s="4" t="s">
        <v>4</v>
      </c>
      <c r="G838" s="2">
        <f>IF(ISNUMBER(SEARCH(Лист2!$B$4,F:F)),1,0)</f>
        <v>0</v>
      </c>
      <c r="H838" s="3">
        <f ca="1">IF(AND(I838&lt;&gt;I837,ISNUMBER(SEARCH(Лист2!$B$5,I:I)),G838=1),MAX($H$3:OFFSET(H838,-1,0))+1,0)</f>
        <v>0</v>
      </c>
      <c r="I838" s="3" t="s">
        <v>123</v>
      </c>
      <c r="K838" s="2">
        <f>IF(ISNUMBER(SEARCH(Лист2!$B$4,F:F)),1,0)</f>
        <v>0</v>
      </c>
      <c r="L838" s="14">
        <f>IF(ISNUMBER(SEARCH(Лист2!$B$5,I:I)),1,0)+K838</f>
        <v>0</v>
      </c>
      <c r="M838" s="3">
        <f ca="1">IF(AND(N838&lt;&gt;N837,ISNUMBER(SEARCH(Лист2!$B$6,N:N)),L838=2),MAX($M$3:OFFSET(M838,-1,0))+1,0)</f>
        <v>0</v>
      </c>
      <c r="N838" s="3" t="s">
        <v>978</v>
      </c>
    </row>
    <row r="839" spans="1:14" x14ac:dyDescent="0.25">
      <c r="A839" s="1" t="s">
        <v>10458</v>
      </c>
      <c r="B839" s="3" t="s">
        <v>4463</v>
      </c>
      <c r="C839" s="2">
        <f ca="1">IF(ISNUMBER(SEARCH(Лист2!$B$4,D:D)),MAX($C$3:OFFSET(C839,-1,0))+1,0)</f>
        <v>0</v>
      </c>
      <c r="E839" s="9" t="str">
        <f t="shared" ca="1" si="25"/>
        <v/>
      </c>
      <c r="F839" s="4" t="s">
        <v>4</v>
      </c>
      <c r="G839" s="2">
        <f>IF(ISNUMBER(SEARCH(Лист2!$B$4,F:F)),1,0)</f>
        <v>0</v>
      </c>
      <c r="H839" s="3">
        <f ca="1">IF(AND(I839&lt;&gt;I838,ISNUMBER(SEARCH(Лист2!$B$5,I:I)),G839=1),MAX($H$3:OFFSET(H839,-1,0))+1,0)</f>
        <v>0</v>
      </c>
      <c r="I839" s="3" t="s">
        <v>123</v>
      </c>
      <c r="K839" s="2">
        <f>IF(ISNUMBER(SEARCH(Лист2!$B$4,F:F)),1,0)</f>
        <v>0</v>
      </c>
      <c r="L839" s="14">
        <f>IF(ISNUMBER(SEARCH(Лист2!$B$5,I:I)),1,0)+K839</f>
        <v>0</v>
      </c>
      <c r="M839" s="3">
        <f ca="1">IF(AND(N839&lt;&gt;N838,ISNUMBER(SEARCH(Лист2!$B$6,N:N)),L839=2),MAX($M$3:OFFSET(M839,-1,0))+1,0)</f>
        <v>0</v>
      </c>
      <c r="N839" s="3" t="s">
        <v>979</v>
      </c>
    </row>
    <row r="840" spans="1:14" x14ac:dyDescent="0.25">
      <c r="A840" s="1" t="s">
        <v>10458</v>
      </c>
      <c r="B840" s="3" t="s">
        <v>4464</v>
      </c>
      <c r="C840" s="2">
        <f ca="1">IF(ISNUMBER(SEARCH(Лист2!$B$4,D:D)),MAX($C$3:OFFSET(C840,-1,0))+1,0)</f>
        <v>0</v>
      </c>
      <c r="E840" s="9" t="str">
        <f t="shared" ca="1" si="25"/>
        <v/>
      </c>
      <c r="F840" s="4" t="s">
        <v>4</v>
      </c>
      <c r="G840" s="2">
        <f>IF(ISNUMBER(SEARCH(Лист2!$B$4,F:F)),1,0)</f>
        <v>0</v>
      </c>
      <c r="H840" s="3">
        <f ca="1">IF(AND(I840&lt;&gt;I839,ISNUMBER(SEARCH(Лист2!$B$5,I:I)),G840=1),MAX($H$3:OFFSET(H840,-1,0))+1,0)</f>
        <v>0</v>
      </c>
      <c r="I840" s="3" t="s">
        <v>123</v>
      </c>
      <c r="K840" s="2">
        <f>IF(ISNUMBER(SEARCH(Лист2!$B$4,F:F)),1,0)</f>
        <v>0</v>
      </c>
      <c r="L840" s="14">
        <f>IF(ISNUMBER(SEARCH(Лист2!$B$5,I:I)),1,0)+K840</f>
        <v>0</v>
      </c>
      <c r="M840" s="3">
        <f ca="1">IF(AND(N840&lt;&gt;N839,ISNUMBER(SEARCH(Лист2!$B$6,N:N)),L840=2),MAX($M$3:OFFSET(M840,-1,0))+1,0)</f>
        <v>0</v>
      </c>
      <c r="N840" s="3" t="s">
        <v>979</v>
      </c>
    </row>
    <row r="841" spans="1:14" x14ac:dyDescent="0.25">
      <c r="A841" s="1" t="s">
        <v>10459</v>
      </c>
      <c r="B841" s="3" t="s">
        <v>4465</v>
      </c>
      <c r="C841" s="2">
        <f ca="1">IF(ISNUMBER(SEARCH(Лист2!$B$4,D:D)),MAX($C$3:OFFSET(C841,-1,0))+1,0)</f>
        <v>0</v>
      </c>
      <c r="E841" s="9" t="str">
        <f t="shared" ca="1" si="25"/>
        <v/>
      </c>
      <c r="F841" s="4" t="s">
        <v>4</v>
      </c>
      <c r="G841" s="2">
        <f>IF(ISNUMBER(SEARCH(Лист2!$B$4,F:F)),1,0)</f>
        <v>0</v>
      </c>
      <c r="H841" s="3">
        <f ca="1">IF(AND(I841&lt;&gt;I840,ISNUMBER(SEARCH(Лист2!$B$5,I:I)),G841=1),MAX($H$3:OFFSET(H841,-1,0))+1,0)</f>
        <v>0</v>
      </c>
      <c r="I841" s="3" t="s">
        <v>123</v>
      </c>
      <c r="K841" s="2">
        <f>IF(ISNUMBER(SEARCH(Лист2!$B$4,F:F)),1,0)</f>
        <v>0</v>
      </c>
      <c r="L841" s="14">
        <f>IF(ISNUMBER(SEARCH(Лист2!$B$5,I:I)),1,0)+K841</f>
        <v>0</v>
      </c>
      <c r="M841" s="3">
        <f ca="1">IF(AND(N841&lt;&gt;N840,ISNUMBER(SEARCH(Лист2!$B$6,N:N)),L841=2),MAX($M$3:OFFSET(M841,-1,0))+1,0)</f>
        <v>0</v>
      </c>
      <c r="N841" s="3" t="s">
        <v>980</v>
      </c>
    </row>
    <row r="842" spans="1:14" x14ac:dyDescent="0.25">
      <c r="A842" s="1" t="s">
        <v>10460</v>
      </c>
      <c r="B842" s="3" t="s">
        <v>4466</v>
      </c>
      <c r="C842" s="2">
        <f ca="1">IF(ISNUMBER(SEARCH(Лист2!$B$4,D:D)),MAX($C$3:OFFSET(C842,-1,0))+1,0)</f>
        <v>0</v>
      </c>
      <c r="E842" s="9" t="str">
        <f t="shared" ca="1" si="25"/>
        <v/>
      </c>
      <c r="F842" s="4" t="s">
        <v>4</v>
      </c>
      <c r="G842" s="2">
        <f>IF(ISNUMBER(SEARCH(Лист2!$B$4,F:F)),1,0)</f>
        <v>0</v>
      </c>
      <c r="H842" s="3">
        <f ca="1">IF(AND(I842&lt;&gt;I841,ISNUMBER(SEARCH(Лист2!$B$5,I:I)),G842=1),MAX($H$3:OFFSET(H842,-1,0))+1,0)</f>
        <v>0</v>
      </c>
      <c r="I842" s="3" t="s">
        <v>124</v>
      </c>
      <c r="K842" s="2">
        <f>IF(ISNUMBER(SEARCH(Лист2!$B$4,F:F)),1,0)</f>
        <v>0</v>
      </c>
      <c r="L842" s="14">
        <f>IF(ISNUMBER(SEARCH(Лист2!$B$5,I:I)),1,0)+K842</f>
        <v>0</v>
      </c>
      <c r="M842" s="3">
        <f ca="1">IF(AND(N842&lt;&gt;N841,ISNUMBER(SEARCH(Лист2!$B$6,N:N)),L842=2),MAX($M$3:OFFSET(M842,-1,0))+1,0)</f>
        <v>0</v>
      </c>
      <c r="N842" s="3" t="s">
        <v>981</v>
      </c>
    </row>
    <row r="843" spans="1:14" x14ac:dyDescent="0.25">
      <c r="A843" s="1" t="s">
        <v>10461</v>
      </c>
      <c r="B843" s="3" t="s">
        <v>4467</v>
      </c>
      <c r="C843" s="2">
        <f ca="1">IF(ISNUMBER(SEARCH(Лист2!$B$4,D:D)),MAX($C$3:OFFSET(C843,-1,0))+1,0)</f>
        <v>0</v>
      </c>
      <c r="E843" s="9" t="str">
        <f t="shared" ca="1" si="25"/>
        <v/>
      </c>
      <c r="F843" s="4" t="s">
        <v>4</v>
      </c>
      <c r="G843" s="2">
        <f>IF(ISNUMBER(SEARCH(Лист2!$B$4,F:F)),1,0)</f>
        <v>0</v>
      </c>
      <c r="H843" s="3">
        <f ca="1">IF(AND(I843&lt;&gt;I842,ISNUMBER(SEARCH(Лист2!$B$5,I:I)),G843=1),MAX($H$3:OFFSET(H843,-1,0))+1,0)</f>
        <v>0</v>
      </c>
      <c r="I843" s="3" t="s">
        <v>124</v>
      </c>
      <c r="K843" s="2">
        <f>IF(ISNUMBER(SEARCH(Лист2!$B$4,F:F)),1,0)</f>
        <v>0</v>
      </c>
      <c r="L843" s="14">
        <f>IF(ISNUMBER(SEARCH(Лист2!$B$5,I:I)),1,0)+K843</f>
        <v>0</v>
      </c>
      <c r="M843" s="3">
        <f ca="1">IF(AND(N843&lt;&gt;N842,ISNUMBER(SEARCH(Лист2!$B$6,N:N)),L843=2),MAX($M$3:OFFSET(M843,-1,0))+1,0)</f>
        <v>0</v>
      </c>
      <c r="N843" s="3" t="s">
        <v>982</v>
      </c>
    </row>
    <row r="844" spans="1:14" x14ac:dyDescent="0.25">
      <c r="A844" s="1" t="s">
        <v>10462</v>
      </c>
      <c r="B844" s="3" t="s">
        <v>4468</v>
      </c>
      <c r="C844" s="2">
        <f ca="1">IF(ISNUMBER(SEARCH(Лист2!$B$4,D:D)),MAX($C$3:OFFSET(C844,-1,0))+1,0)</f>
        <v>0</v>
      </c>
      <c r="E844" s="9" t="str">
        <f t="shared" ca="1" si="25"/>
        <v/>
      </c>
      <c r="F844" s="4" t="s">
        <v>4</v>
      </c>
      <c r="G844" s="2">
        <f>IF(ISNUMBER(SEARCH(Лист2!$B$4,F:F)),1,0)</f>
        <v>0</v>
      </c>
      <c r="H844" s="3">
        <f ca="1">IF(AND(I844&lt;&gt;I843,ISNUMBER(SEARCH(Лист2!$B$5,I:I)),G844=1),MAX($H$3:OFFSET(H844,-1,0))+1,0)</f>
        <v>0</v>
      </c>
      <c r="I844" s="3" t="s">
        <v>124</v>
      </c>
      <c r="K844" s="2">
        <f>IF(ISNUMBER(SEARCH(Лист2!$B$4,F:F)),1,0)</f>
        <v>0</v>
      </c>
      <c r="L844" s="14">
        <f>IF(ISNUMBER(SEARCH(Лист2!$B$5,I:I)),1,0)+K844</f>
        <v>0</v>
      </c>
      <c r="M844" s="3">
        <f ca="1">IF(AND(N844&lt;&gt;N843,ISNUMBER(SEARCH(Лист2!$B$6,N:N)),L844=2),MAX($M$3:OFFSET(M844,-1,0))+1,0)</f>
        <v>0</v>
      </c>
      <c r="N844" s="3" t="s">
        <v>983</v>
      </c>
    </row>
    <row r="845" spans="1:14" x14ac:dyDescent="0.25">
      <c r="A845" s="1" t="s">
        <v>10462</v>
      </c>
      <c r="B845" s="3" t="s">
        <v>4469</v>
      </c>
      <c r="C845" s="2">
        <f ca="1">IF(ISNUMBER(SEARCH(Лист2!$B$4,D:D)),MAX($C$3:OFFSET(C845,-1,0))+1,0)</f>
        <v>0</v>
      </c>
      <c r="E845" s="9" t="str">
        <f t="shared" ca="1" si="25"/>
        <v/>
      </c>
      <c r="F845" s="4" t="s">
        <v>4</v>
      </c>
      <c r="G845" s="2">
        <f>IF(ISNUMBER(SEARCH(Лист2!$B$4,F:F)),1,0)</f>
        <v>0</v>
      </c>
      <c r="H845" s="3">
        <f ca="1">IF(AND(I845&lt;&gt;I844,ISNUMBER(SEARCH(Лист2!$B$5,I:I)),G845=1),MAX($H$3:OFFSET(H845,-1,0))+1,0)</f>
        <v>0</v>
      </c>
      <c r="I845" s="3" t="s">
        <v>124</v>
      </c>
      <c r="K845" s="2">
        <f>IF(ISNUMBER(SEARCH(Лист2!$B$4,F:F)),1,0)</f>
        <v>0</v>
      </c>
      <c r="L845" s="14">
        <f>IF(ISNUMBER(SEARCH(Лист2!$B$5,I:I)),1,0)+K845</f>
        <v>0</v>
      </c>
      <c r="M845" s="3">
        <f ca="1">IF(AND(N845&lt;&gt;N844,ISNUMBER(SEARCH(Лист2!$B$6,N:N)),L845=2),MAX($M$3:OFFSET(M845,-1,0))+1,0)</f>
        <v>0</v>
      </c>
      <c r="N845" s="3" t="s">
        <v>983</v>
      </c>
    </row>
    <row r="846" spans="1:14" x14ac:dyDescent="0.25">
      <c r="A846" s="1" t="s">
        <v>10463</v>
      </c>
      <c r="B846" s="3" t="s">
        <v>4470</v>
      </c>
      <c r="C846" s="2">
        <f ca="1">IF(ISNUMBER(SEARCH(Лист2!$B$4,D:D)),MAX($C$3:OFFSET(C846,-1,0))+1,0)</f>
        <v>0</v>
      </c>
      <c r="E846" s="9" t="str">
        <f t="shared" ca="1" si="25"/>
        <v/>
      </c>
      <c r="F846" s="4" t="s">
        <v>4</v>
      </c>
      <c r="G846" s="2">
        <f>IF(ISNUMBER(SEARCH(Лист2!$B$4,F:F)),1,0)</f>
        <v>0</v>
      </c>
      <c r="H846" s="3">
        <f ca="1">IF(AND(I846&lt;&gt;I845,ISNUMBER(SEARCH(Лист2!$B$5,I:I)),G846=1),MAX($H$3:OFFSET(H846,-1,0))+1,0)</f>
        <v>0</v>
      </c>
      <c r="I846" s="3" t="s">
        <v>124</v>
      </c>
      <c r="K846" s="2">
        <f>IF(ISNUMBER(SEARCH(Лист2!$B$4,F:F)),1,0)</f>
        <v>0</v>
      </c>
      <c r="L846" s="14">
        <f>IF(ISNUMBER(SEARCH(Лист2!$B$5,I:I)),1,0)+K846</f>
        <v>0</v>
      </c>
      <c r="M846" s="3">
        <f ca="1">IF(AND(N846&lt;&gt;N845,ISNUMBER(SEARCH(Лист2!$B$6,N:N)),L846=2),MAX($M$3:OFFSET(M846,-1,0))+1,0)</f>
        <v>0</v>
      </c>
      <c r="N846" s="3" t="s">
        <v>984</v>
      </c>
    </row>
    <row r="847" spans="1:14" x14ac:dyDescent="0.25">
      <c r="A847" s="1" t="s">
        <v>10464</v>
      </c>
      <c r="B847" s="3" t="s">
        <v>4471</v>
      </c>
      <c r="C847" s="2">
        <f ca="1">IF(ISNUMBER(SEARCH(Лист2!$B$4,D:D)),MAX($C$3:OFFSET(C847,-1,0))+1,0)</f>
        <v>0</v>
      </c>
      <c r="E847" s="9" t="str">
        <f t="shared" ca="1" si="25"/>
        <v/>
      </c>
      <c r="F847" s="4" t="s">
        <v>4</v>
      </c>
      <c r="G847" s="2">
        <f>IF(ISNUMBER(SEARCH(Лист2!$B$4,F:F)),1,0)</f>
        <v>0</v>
      </c>
      <c r="H847" s="3">
        <f ca="1">IF(AND(I847&lt;&gt;I846,ISNUMBER(SEARCH(Лист2!$B$5,I:I)),G847=1),MAX($H$3:OFFSET(H847,-1,0))+1,0)</f>
        <v>0</v>
      </c>
      <c r="I847" s="3" t="s">
        <v>125</v>
      </c>
      <c r="K847" s="2">
        <f>IF(ISNUMBER(SEARCH(Лист2!$B$4,F:F)),1,0)</f>
        <v>0</v>
      </c>
      <c r="L847" s="14">
        <f>IF(ISNUMBER(SEARCH(Лист2!$B$5,I:I)),1,0)+K847</f>
        <v>0</v>
      </c>
      <c r="M847" s="3">
        <f ca="1">IF(AND(N847&lt;&gt;N846,ISNUMBER(SEARCH(Лист2!$B$6,N:N)),L847=2),MAX($M$3:OFFSET(M847,-1,0))+1,0)</f>
        <v>0</v>
      </c>
      <c r="N847" s="3" t="s">
        <v>985</v>
      </c>
    </row>
    <row r="848" spans="1:14" x14ac:dyDescent="0.25">
      <c r="A848" s="1" t="s">
        <v>10465</v>
      </c>
      <c r="B848" s="3" t="s">
        <v>4472</v>
      </c>
      <c r="C848" s="2">
        <f ca="1">IF(ISNUMBER(SEARCH(Лист2!$B$4,D:D)),MAX($C$3:OFFSET(C848,-1,0))+1,0)</f>
        <v>0</v>
      </c>
      <c r="E848" s="9" t="str">
        <f t="shared" ca="1" si="25"/>
        <v/>
      </c>
      <c r="F848" s="4" t="s">
        <v>4</v>
      </c>
      <c r="G848" s="2">
        <f>IF(ISNUMBER(SEARCH(Лист2!$B$4,F:F)),1,0)</f>
        <v>0</v>
      </c>
      <c r="H848" s="3">
        <f ca="1">IF(AND(I848&lt;&gt;I847,ISNUMBER(SEARCH(Лист2!$B$5,I:I)),G848=1),MAX($H$3:OFFSET(H848,-1,0))+1,0)</f>
        <v>0</v>
      </c>
      <c r="I848" s="3" t="s">
        <v>125</v>
      </c>
      <c r="K848" s="2">
        <f>IF(ISNUMBER(SEARCH(Лист2!$B$4,F:F)),1,0)</f>
        <v>0</v>
      </c>
      <c r="L848" s="14">
        <f>IF(ISNUMBER(SEARCH(Лист2!$B$5,I:I)),1,0)+K848</f>
        <v>0</v>
      </c>
      <c r="M848" s="3">
        <f ca="1">IF(AND(N848&lt;&gt;N847,ISNUMBER(SEARCH(Лист2!$B$6,N:N)),L848=2),MAX($M$3:OFFSET(M848,-1,0))+1,0)</f>
        <v>0</v>
      </c>
      <c r="N848" s="3" t="s">
        <v>986</v>
      </c>
    </row>
    <row r="849" spans="1:14" x14ac:dyDescent="0.25">
      <c r="A849" s="1" t="s">
        <v>10466</v>
      </c>
      <c r="B849" s="3" t="s">
        <v>4473</v>
      </c>
      <c r="C849" s="2">
        <f ca="1">IF(ISNUMBER(SEARCH(Лист2!$B$4,D:D)),MAX($C$3:OFFSET(C849,-1,0))+1,0)</f>
        <v>0</v>
      </c>
      <c r="E849" s="9" t="str">
        <f t="shared" ca="1" si="25"/>
        <v/>
      </c>
      <c r="F849" s="4" t="s">
        <v>4</v>
      </c>
      <c r="G849" s="2">
        <f>IF(ISNUMBER(SEARCH(Лист2!$B$4,F:F)),1,0)</f>
        <v>0</v>
      </c>
      <c r="H849" s="3">
        <f ca="1">IF(AND(I849&lt;&gt;I848,ISNUMBER(SEARCH(Лист2!$B$5,I:I)),G849=1),MAX($H$3:OFFSET(H849,-1,0))+1,0)</f>
        <v>0</v>
      </c>
      <c r="I849" s="3" t="s">
        <v>125</v>
      </c>
      <c r="K849" s="2">
        <f>IF(ISNUMBER(SEARCH(Лист2!$B$4,F:F)),1,0)</f>
        <v>0</v>
      </c>
      <c r="L849" s="14">
        <f>IF(ISNUMBER(SEARCH(Лист2!$B$5,I:I)),1,0)+K849</f>
        <v>0</v>
      </c>
      <c r="M849" s="3">
        <f ca="1">IF(AND(N849&lt;&gt;N848,ISNUMBER(SEARCH(Лист2!$B$6,N:N)),L849=2),MAX($M$3:OFFSET(M849,-1,0))+1,0)</f>
        <v>0</v>
      </c>
      <c r="N849" s="3" t="s">
        <v>987</v>
      </c>
    </row>
    <row r="850" spans="1:14" x14ac:dyDescent="0.25">
      <c r="A850" s="1" t="s">
        <v>10466</v>
      </c>
      <c r="B850" s="3" t="s">
        <v>4474</v>
      </c>
      <c r="C850" s="2">
        <f ca="1">IF(ISNUMBER(SEARCH(Лист2!$B$4,D:D)),MAX($C$3:OFFSET(C850,-1,0))+1,0)</f>
        <v>0</v>
      </c>
      <c r="E850" s="9" t="str">
        <f t="shared" ca="1" si="25"/>
        <v/>
      </c>
      <c r="F850" s="4" t="s">
        <v>4</v>
      </c>
      <c r="G850" s="2">
        <f>IF(ISNUMBER(SEARCH(Лист2!$B$4,F:F)),1,0)</f>
        <v>0</v>
      </c>
      <c r="H850" s="3">
        <f ca="1">IF(AND(I850&lt;&gt;I849,ISNUMBER(SEARCH(Лист2!$B$5,I:I)),G850=1),MAX($H$3:OFFSET(H850,-1,0))+1,0)</f>
        <v>0</v>
      </c>
      <c r="I850" s="3" t="s">
        <v>125</v>
      </c>
      <c r="K850" s="2">
        <f>IF(ISNUMBER(SEARCH(Лист2!$B$4,F:F)),1,0)</f>
        <v>0</v>
      </c>
      <c r="L850" s="14">
        <f>IF(ISNUMBER(SEARCH(Лист2!$B$5,I:I)),1,0)+K850</f>
        <v>0</v>
      </c>
      <c r="M850" s="3">
        <f ca="1">IF(AND(N850&lt;&gt;N849,ISNUMBER(SEARCH(Лист2!$B$6,N:N)),L850=2),MAX($M$3:OFFSET(M850,-1,0))+1,0)</f>
        <v>0</v>
      </c>
      <c r="N850" s="3" t="s">
        <v>987</v>
      </c>
    </row>
    <row r="851" spans="1:14" x14ac:dyDescent="0.25">
      <c r="A851" s="1" t="s">
        <v>10467</v>
      </c>
      <c r="B851" s="3" t="s">
        <v>4475</v>
      </c>
      <c r="C851" s="2">
        <f ca="1">IF(ISNUMBER(SEARCH(Лист2!$B$4,D:D)),MAX($C$3:OFFSET(C851,-1,0))+1,0)</f>
        <v>0</v>
      </c>
      <c r="E851" s="9" t="str">
        <f t="shared" ca="1" si="25"/>
        <v/>
      </c>
      <c r="F851" s="4" t="s">
        <v>4</v>
      </c>
      <c r="G851" s="2">
        <f>IF(ISNUMBER(SEARCH(Лист2!$B$4,F:F)),1,0)</f>
        <v>0</v>
      </c>
      <c r="H851" s="3">
        <f ca="1">IF(AND(I851&lt;&gt;I850,ISNUMBER(SEARCH(Лист2!$B$5,I:I)),G851=1),MAX($H$3:OFFSET(H851,-1,0))+1,0)</f>
        <v>0</v>
      </c>
      <c r="I851" s="3" t="s">
        <v>125</v>
      </c>
      <c r="K851" s="2">
        <f>IF(ISNUMBER(SEARCH(Лист2!$B$4,F:F)),1,0)</f>
        <v>0</v>
      </c>
      <c r="L851" s="14">
        <f>IF(ISNUMBER(SEARCH(Лист2!$B$5,I:I)),1,0)+K851</f>
        <v>0</v>
      </c>
      <c r="M851" s="3">
        <f ca="1">IF(AND(N851&lt;&gt;N850,ISNUMBER(SEARCH(Лист2!$B$6,N:N)),L851=2),MAX($M$3:OFFSET(M851,-1,0))+1,0)</f>
        <v>0</v>
      </c>
      <c r="N851" s="3" t="s">
        <v>988</v>
      </c>
    </row>
    <row r="852" spans="1:14" x14ac:dyDescent="0.25">
      <c r="A852" s="1" t="s">
        <v>10468</v>
      </c>
      <c r="B852" s="3" t="s">
        <v>4476</v>
      </c>
      <c r="C852" s="2">
        <f ca="1">IF(ISNUMBER(SEARCH(Лист2!$B$4,D:D)),MAX($C$3:OFFSET(C852,-1,0))+1,0)</f>
        <v>0</v>
      </c>
      <c r="E852" s="9" t="str">
        <f t="shared" ca="1" si="25"/>
        <v/>
      </c>
      <c r="F852" s="4" t="s">
        <v>4</v>
      </c>
      <c r="G852" s="2">
        <f>IF(ISNUMBER(SEARCH(Лист2!$B$4,F:F)),1,0)</f>
        <v>0</v>
      </c>
      <c r="H852" s="3">
        <f ca="1">IF(AND(I852&lt;&gt;I851,ISNUMBER(SEARCH(Лист2!$B$5,I:I)),G852=1),MAX($H$3:OFFSET(H852,-1,0))+1,0)</f>
        <v>0</v>
      </c>
      <c r="I852" s="3" t="s">
        <v>126</v>
      </c>
      <c r="K852" s="2">
        <f>IF(ISNUMBER(SEARCH(Лист2!$B$4,F:F)),1,0)</f>
        <v>0</v>
      </c>
      <c r="L852" s="14">
        <f>IF(ISNUMBER(SEARCH(Лист2!$B$5,I:I)),1,0)+K852</f>
        <v>0</v>
      </c>
      <c r="M852" s="3">
        <f ca="1">IF(AND(N852&lt;&gt;N851,ISNUMBER(SEARCH(Лист2!$B$6,N:N)),L852=2),MAX($M$3:OFFSET(M852,-1,0))+1,0)</f>
        <v>0</v>
      </c>
      <c r="N852" s="3" t="s">
        <v>989</v>
      </c>
    </row>
    <row r="853" spans="1:14" x14ac:dyDescent="0.25">
      <c r="A853" s="1" t="s">
        <v>10469</v>
      </c>
      <c r="B853" s="3" t="s">
        <v>4477</v>
      </c>
      <c r="C853" s="2">
        <f ca="1">IF(ISNUMBER(SEARCH(Лист2!$B$4,D:D)),MAX($C$3:OFFSET(C853,-1,0))+1,0)</f>
        <v>0</v>
      </c>
      <c r="E853" s="9" t="str">
        <f t="shared" ca="1" si="25"/>
        <v/>
      </c>
      <c r="F853" s="4" t="s">
        <v>4</v>
      </c>
      <c r="G853" s="2">
        <f>IF(ISNUMBER(SEARCH(Лист2!$B$4,F:F)),1,0)</f>
        <v>0</v>
      </c>
      <c r="H853" s="3">
        <f ca="1">IF(AND(I853&lt;&gt;I852,ISNUMBER(SEARCH(Лист2!$B$5,I:I)),G853=1),MAX($H$3:OFFSET(H853,-1,0))+1,0)</f>
        <v>0</v>
      </c>
      <c r="I853" s="3" t="s">
        <v>126</v>
      </c>
      <c r="K853" s="2">
        <f>IF(ISNUMBER(SEARCH(Лист2!$B$4,F:F)),1,0)</f>
        <v>0</v>
      </c>
      <c r="L853" s="14">
        <f>IF(ISNUMBER(SEARCH(Лист2!$B$5,I:I)),1,0)+K853</f>
        <v>0</v>
      </c>
      <c r="M853" s="3">
        <f ca="1">IF(AND(N853&lt;&gt;N852,ISNUMBER(SEARCH(Лист2!$B$6,N:N)),L853=2),MAX($M$3:OFFSET(M853,-1,0))+1,0)</f>
        <v>0</v>
      </c>
      <c r="N853" s="3" t="s">
        <v>990</v>
      </c>
    </row>
    <row r="854" spans="1:14" x14ac:dyDescent="0.25">
      <c r="A854" s="1" t="s">
        <v>10470</v>
      </c>
      <c r="B854" s="3" t="s">
        <v>4478</v>
      </c>
      <c r="C854" s="2">
        <f ca="1">IF(ISNUMBER(SEARCH(Лист2!$B$4,D:D)),MAX($C$3:OFFSET(C854,-1,0))+1,0)</f>
        <v>0</v>
      </c>
      <c r="E854" s="9" t="str">
        <f t="shared" ca="1" si="25"/>
        <v/>
      </c>
      <c r="F854" s="4" t="s">
        <v>4</v>
      </c>
      <c r="G854" s="2">
        <f>IF(ISNUMBER(SEARCH(Лист2!$B$4,F:F)),1,0)</f>
        <v>0</v>
      </c>
      <c r="H854" s="3">
        <f ca="1">IF(AND(I854&lt;&gt;I853,ISNUMBER(SEARCH(Лист2!$B$5,I:I)),G854=1),MAX($H$3:OFFSET(H854,-1,0))+1,0)</f>
        <v>0</v>
      </c>
      <c r="I854" s="3" t="s">
        <v>126</v>
      </c>
      <c r="K854" s="2">
        <f>IF(ISNUMBER(SEARCH(Лист2!$B$4,F:F)),1,0)</f>
        <v>0</v>
      </c>
      <c r="L854" s="14">
        <f>IF(ISNUMBER(SEARCH(Лист2!$B$5,I:I)),1,0)+K854</f>
        <v>0</v>
      </c>
      <c r="M854" s="3">
        <f ca="1">IF(AND(N854&lt;&gt;N853,ISNUMBER(SEARCH(Лист2!$B$6,N:N)),L854=2),MAX($M$3:OFFSET(M854,-1,0))+1,0)</f>
        <v>0</v>
      </c>
      <c r="N854" s="3" t="s">
        <v>991</v>
      </c>
    </row>
    <row r="855" spans="1:14" x14ac:dyDescent="0.25">
      <c r="A855" s="1" t="s">
        <v>10470</v>
      </c>
      <c r="B855" s="3" t="s">
        <v>4479</v>
      </c>
      <c r="C855" s="2">
        <f ca="1">IF(ISNUMBER(SEARCH(Лист2!$B$4,D:D)),MAX($C$3:OFFSET(C855,-1,0))+1,0)</f>
        <v>0</v>
      </c>
      <c r="E855" s="9" t="str">
        <f t="shared" ca="1" si="25"/>
        <v/>
      </c>
      <c r="F855" s="4" t="s">
        <v>4</v>
      </c>
      <c r="G855" s="2">
        <f>IF(ISNUMBER(SEARCH(Лист2!$B$4,F:F)),1,0)</f>
        <v>0</v>
      </c>
      <c r="H855" s="3">
        <f ca="1">IF(AND(I855&lt;&gt;I854,ISNUMBER(SEARCH(Лист2!$B$5,I:I)),G855=1),MAX($H$3:OFFSET(H855,-1,0))+1,0)</f>
        <v>0</v>
      </c>
      <c r="I855" s="3" t="s">
        <v>126</v>
      </c>
      <c r="K855" s="2">
        <f>IF(ISNUMBER(SEARCH(Лист2!$B$4,F:F)),1,0)</f>
        <v>0</v>
      </c>
      <c r="L855" s="14">
        <f>IF(ISNUMBER(SEARCH(Лист2!$B$5,I:I)),1,0)+K855</f>
        <v>0</v>
      </c>
      <c r="M855" s="3">
        <f ca="1">IF(AND(N855&lt;&gt;N854,ISNUMBER(SEARCH(Лист2!$B$6,N:N)),L855=2),MAX($M$3:OFFSET(M855,-1,0))+1,0)</f>
        <v>0</v>
      </c>
      <c r="N855" s="3" t="s">
        <v>991</v>
      </c>
    </row>
    <row r="856" spans="1:14" x14ac:dyDescent="0.25">
      <c r="A856" s="1" t="s">
        <v>10471</v>
      </c>
      <c r="B856" s="3" t="s">
        <v>4480</v>
      </c>
      <c r="C856" s="2">
        <f ca="1">IF(ISNUMBER(SEARCH(Лист2!$B$4,D:D)),MAX($C$3:OFFSET(C856,-1,0))+1,0)</f>
        <v>0</v>
      </c>
      <c r="E856" s="9" t="str">
        <f t="shared" ca="1" si="25"/>
        <v/>
      </c>
      <c r="F856" s="4" t="s">
        <v>4</v>
      </c>
      <c r="G856" s="2">
        <f>IF(ISNUMBER(SEARCH(Лист2!$B$4,F:F)),1,0)</f>
        <v>0</v>
      </c>
      <c r="H856" s="3">
        <f ca="1">IF(AND(I856&lt;&gt;I855,ISNUMBER(SEARCH(Лист2!$B$5,I:I)),G856=1),MAX($H$3:OFFSET(H856,-1,0))+1,0)</f>
        <v>0</v>
      </c>
      <c r="I856" s="3" t="s">
        <v>126</v>
      </c>
      <c r="K856" s="2">
        <f>IF(ISNUMBER(SEARCH(Лист2!$B$4,F:F)),1,0)</f>
        <v>0</v>
      </c>
      <c r="L856" s="14">
        <f>IF(ISNUMBER(SEARCH(Лист2!$B$5,I:I)),1,0)+K856</f>
        <v>0</v>
      </c>
      <c r="M856" s="3">
        <f ca="1">IF(AND(N856&lt;&gt;N855,ISNUMBER(SEARCH(Лист2!$B$6,N:N)),L856=2),MAX($M$3:OFFSET(M856,-1,0))+1,0)</f>
        <v>0</v>
      </c>
      <c r="N856" s="3" t="s">
        <v>992</v>
      </c>
    </row>
    <row r="857" spans="1:14" x14ac:dyDescent="0.25">
      <c r="A857" s="1" t="s">
        <v>10472</v>
      </c>
      <c r="B857" s="3" t="s">
        <v>4481</v>
      </c>
      <c r="C857" s="2">
        <f ca="1">IF(ISNUMBER(SEARCH(Лист2!$B$4,D:D)),MAX($C$3:OFFSET(C857,-1,0))+1,0)</f>
        <v>0</v>
      </c>
      <c r="E857" s="9" t="str">
        <f t="shared" ca="1" si="25"/>
        <v/>
      </c>
      <c r="F857" s="4" t="s">
        <v>4</v>
      </c>
      <c r="G857" s="2">
        <f>IF(ISNUMBER(SEARCH(Лист2!$B$4,F:F)),1,0)</f>
        <v>0</v>
      </c>
      <c r="H857" s="3">
        <f ca="1">IF(AND(I857&lt;&gt;I856,ISNUMBER(SEARCH(Лист2!$B$5,I:I)),G857=1),MAX($H$3:OFFSET(H857,-1,0))+1,0)</f>
        <v>0</v>
      </c>
      <c r="I857" s="3" t="s">
        <v>127</v>
      </c>
      <c r="K857" s="2">
        <f>IF(ISNUMBER(SEARCH(Лист2!$B$4,F:F)),1,0)</f>
        <v>0</v>
      </c>
      <c r="L857" s="14">
        <f>IF(ISNUMBER(SEARCH(Лист2!$B$5,I:I)),1,0)+K857</f>
        <v>0</v>
      </c>
      <c r="M857" s="3">
        <f ca="1">IF(AND(N857&lt;&gt;N856,ISNUMBER(SEARCH(Лист2!$B$6,N:N)),L857=2),MAX($M$3:OFFSET(M857,-1,0))+1,0)</f>
        <v>0</v>
      </c>
      <c r="N857" s="3" t="s">
        <v>993</v>
      </c>
    </row>
    <row r="858" spans="1:14" x14ac:dyDescent="0.25">
      <c r="A858" s="1" t="s">
        <v>10472</v>
      </c>
      <c r="B858" s="3" t="s">
        <v>4482</v>
      </c>
      <c r="C858" s="2">
        <f ca="1">IF(ISNUMBER(SEARCH(Лист2!$B$4,D:D)),MAX($C$3:OFFSET(C858,-1,0))+1,0)</f>
        <v>0</v>
      </c>
      <c r="E858" s="9" t="str">
        <f t="shared" ca="1" si="25"/>
        <v/>
      </c>
      <c r="F858" s="4" t="s">
        <v>4</v>
      </c>
      <c r="G858" s="2">
        <f>IF(ISNUMBER(SEARCH(Лист2!$B$4,F:F)),1,0)</f>
        <v>0</v>
      </c>
      <c r="H858" s="3">
        <f ca="1">IF(AND(I858&lt;&gt;I857,ISNUMBER(SEARCH(Лист2!$B$5,I:I)),G858=1),MAX($H$3:OFFSET(H858,-1,0))+1,0)</f>
        <v>0</v>
      </c>
      <c r="I858" s="3" t="s">
        <v>127</v>
      </c>
      <c r="K858" s="2">
        <f>IF(ISNUMBER(SEARCH(Лист2!$B$4,F:F)),1,0)</f>
        <v>0</v>
      </c>
      <c r="L858" s="14">
        <f>IF(ISNUMBER(SEARCH(Лист2!$B$5,I:I)),1,0)+K858</f>
        <v>0</v>
      </c>
      <c r="M858" s="3">
        <f ca="1">IF(AND(N858&lt;&gt;N857,ISNUMBER(SEARCH(Лист2!$B$6,N:N)),L858=2),MAX($M$3:OFFSET(M858,-1,0))+1,0)</f>
        <v>0</v>
      </c>
      <c r="N858" s="3" t="s">
        <v>993</v>
      </c>
    </row>
    <row r="859" spans="1:14" x14ac:dyDescent="0.25">
      <c r="A859" s="1" t="s">
        <v>10472</v>
      </c>
      <c r="B859" s="3" t="s">
        <v>4483</v>
      </c>
      <c r="C859" s="2">
        <f ca="1">IF(ISNUMBER(SEARCH(Лист2!$B$4,D:D)),MAX($C$3:OFFSET(C859,-1,0))+1,0)</f>
        <v>0</v>
      </c>
      <c r="E859" s="9" t="str">
        <f t="shared" ca="1" si="25"/>
        <v/>
      </c>
      <c r="F859" s="4" t="s">
        <v>4</v>
      </c>
      <c r="G859" s="2">
        <f>IF(ISNUMBER(SEARCH(Лист2!$B$4,F:F)),1,0)</f>
        <v>0</v>
      </c>
      <c r="H859" s="3">
        <f ca="1">IF(AND(I859&lt;&gt;I858,ISNUMBER(SEARCH(Лист2!$B$5,I:I)),G859=1),MAX($H$3:OFFSET(H859,-1,0))+1,0)</f>
        <v>0</v>
      </c>
      <c r="I859" s="3" t="s">
        <v>127</v>
      </c>
      <c r="K859" s="2">
        <f>IF(ISNUMBER(SEARCH(Лист2!$B$4,F:F)),1,0)</f>
        <v>0</v>
      </c>
      <c r="L859" s="14">
        <f>IF(ISNUMBER(SEARCH(Лист2!$B$5,I:I)),1,0)+K859</f>
        <v>0</v>
      </c>
      <c r="M859" s="3">
        <f ca="1">IF(AND(N859&lt;&gt;N858,ISNUMBER(SEARCH(Лист2!$B$6,N:N)),L859=2),MAX($M$3:OFFSET(M859,-1,0))+1,0)</f>
        <v>0</v>
      </c>
      <c r="N859" s="3" t="s">
        <v>993</v>
      </c>
    </row>
    <row r="860" spans="1:14" x14ac:dyDescent="0.25">
      <c r="A860" s="1" t="s">
        <v>10473</v>
      </c>
      <c r="B860" s="3" t="s">
        <v>4484</v>
      </c>
      <c r="C860" s="2">
        <f ca="1">IF(ISNUMBER(SEARCH(Лист2!$B$4,D:D)),MAX($C$3:OFFSET(C860,-1,0))+1,0)</f>
        <v>0</v>
      </c>
      <c r="E860" s="9" t="str">
        <f t="shared" ca="1" si="25"/>
        <v/>
      </c>
      <c r="F860" s="4" t="s">
        <v>4</v>
      </c>
      <c r="G860" s="2">
        <f>IF(ISNUMBER(SEARCH(Лист2!$B$4,F:F)),1,0)</f>
        <v>0</v>
      </c>
      <c r="H860" s="3">
        <f ca="1">IF(AND(I860&lt;&gt;I859,ISNUMBER(SEARCH(Лист2!$B$5,I:I)),G860=1),MAX($H$3:OFFSET(H860,-1,0))+1,0)</f>
        <v>0</v>
      </c>
      <c r="I860" s="3" t="s">
        <v>127</v>
      </c>
      <c r="K860" s="2">
        <f>IF(ISNUMBER(SEARCH(Лист2!$B$4,F:F)),1,0)</f>
        <v>0</v>
      </c>
      <c r="L860" s="14">
        <f>IF(ISNUMBER(SEARCH(Лист2!$B$5,I:I)),1,0)+K860</f>
        <v>0</v>
      </c>
      <c r="M860" s="3">
        <f ca="1">IF(AND(N860&lt;&gt;N859,ISNUMBER(SEARCH(Лист2!$B$6,N:N)),L860=2),MAX($M$3:OFFSET(M860,-1,0))+1,0)</f>
        <v>0</v>
      </c>
      <c r="N860" s="3" t="s">
        <v>994</v>
      </c>
    </row>
    <row r="861" spans="1:14" x14ac:dyDescent="0.25">
      <c r="A861" s="1" t="s">
        <v>10473</v>
      </c>
      <c r="B861" s="3" t="s">
        <v>4485</v>
      </c>
      <c r="C861" s="2">
        <f ca="1">IF(ISNUMBER(SEARCH(Лист2!$B$4,D:D)),MAX($C$3:OFFSET(C861,-1,0))+1,0)</f>
        <v>0</v>
      </c>
      <c r="E861" s="9" t="str">
        <f t="shared" ca="1" si="25"/>
        <v/>
      </c>
      <c r="F861" s="4" t="s">
        <v>4</v>
      </c>
      <c r="G861" s="2">
        <f>IF(ISNUMBER(SEARCH(Лист2!$B$4,F:F)),1,0)</f>
        <v>0</v>
      </c>
      <c r="H861" s="3">
        <f ca="1">IF(AND(I861&lt;&gt;I860,ISNUMBER(SEARCH(Лист2!$B$5,I:I)),G861=1),MAX($H$3:OFFSET(H861,-1,0))+1,0)</f>
        <v>0</v>
      </c>
      <c r="I861" s="3" t="s">
        <v>127</v>
      </c>
      <c r="K861" s="2">
        <f>IF(ISNUMBER(SEARCH(Лист2!$B$4,F:F)),1,0)</f>
        <v>0</v>
      </c>
      <c r="L861" s="14">
        <f>IF(ISNUMBER(SEARCH(Лист2!$B$5,I:I)),1,0)+K861</f>
        <v>0</v>
      </c>
      <c r="M861" s="3">
        <f ca="1">IF(AND(N861&lt;&gt;N860,ISNUMBER(SEARCH(Лист2!$B$6,N:N)),L861=2),MAX($M$3:OFFSET(M861,-1,0))+1,0)</f>
        <v>0</v>
      </c>
      <c r="N861" s="3" t="s">
        <v>994</v>
      </c>
    </row>
    <row r="862" spans="1:14" x14ac:dyDescent="0.25">
      <c r="A862" s="1" t="s">
        <v>10473</v>
      </c>
      <c r="B862" s="3" t="s">
        <v>4486</v>
      </c>
      <c r="C862" s="2">
        <f ca="1">IF(ISNUMBER(SEARCH(Лист2!$B$4,D:D)),MAX($C$3:OFFSET(C862,-1,0))+1,0)</f>
        <v>0</v>
      </c>
      <c r="E862" s="9" t="str">
        <f t="shared" ca="1" si="25"/>
        <v/>
      </c>
      <c r="F862" s="4" t="s">
        <v>4</v>
      </c>
      <c r="G862" s="2">
        <f>IF(ISNUMBER(SEARCH(Лист2!$B$4,F:F)),1,0)</f>
        <v>0</v>
      </c>
      <c r="H862" s="3">
        <f ca="1">IF(AND(I862&lt;&gt;I861,ISNUMBER(SEARCH(Лист2!$B$5,I:I)),G862=1),MAX($H$3:OFFSET(H862,-1,0))+1,0)</f>
        <v>0</v>
      </c>
      <c r="I862" s="3" t="s">
        <v>127</v>
      </c>
      <c r="K862" s="2">
        <f>IF(ISNUMBER(SEARCH(Лист2!$B$4,F:F)),1,0)</f>
        <v>0</v>
      </c>
      <c r="L862" s="14">
        <f>IF(ISNUMBER(SEARCH(Лист2!$B$5,I:I)),1,0)+K862</f>
        <v>0</v>
      </c>
      <c r="M862" s="3">
        <f ca="1">IF(AND(N862&lt;&gt;N861,ISNUMBER(SEARCH(Лист2!$B$6,N:N)),L862=2),MAX($M$3:OFFSET(M862,-1,0))+1,0)</f>
        <v>0</v>
      </c>
      <c r="N862" s="3" t="s">
        <v>994</v>
      </c>
    </row>
    <row r="863" spans="1:14" x14ac:dyDescent="0.25">
      <c r="A863" s="1" t="s">
        <v>10474</v>
      </c>
      <c r="B863" s="3" t="s">
        <v>4487</v>
      </c>
      <c r="C863" s="2">
        <f ca="1">IF(ISNUMBER(SEARCH(Лист2!$B$4,D:D)),MAX($C$3:OFFSET(C863,-1,0))+1,0)</f>
        <v>0</v>
      </c>
      <c r="E863" s="9" t="str">
        <f t="shared" ca="1" si="25"/>
        <v/>
      </c>
      <c r="F863" s="4" t="s">
        <v>4</v>
      </c>
      <c r="G863" s="2">
        <f>IF(ISNUMBER(SEARCH(Лист2!$B$4,F:F)),1,0)</f>
        <v>0</v>
      </c>
      <c r="H863" s="3">
        <f ca="1">IF(AND(I863&lt;&gt;I862,ISNUMBER(SEARCH(Лист2!$B$5,I:I)),G863=1),MAX($H$3:OFFSET(H863,-1,0))+1,0)</f>
        <v>0</v>
      </c>
      <c r="I863" s="3" t="s">
        <v>127</v>
      </c>
      <c r="K863" s="2">
        <f>IF(ISNUMBER(SEARCH(Лист2!$B$4,F:F)),1,0)</f>
        <v>0</v>
      </c>
      <c r="L863" s="14">
        <f>IF(ISNUMBER(SEARCH(Лист2!$B$5,I:I)),1,0)+K863</f>
        <v>0</v>
      </c>
      <c r="M863" s="3">
        <f ca="1">IF(AND(N863&lt;&gt;N862,ISNUMBER(SEARCH(Лист2!$B$6,N:N)),L863=2),MAX($M$3:OFFSET(M863,-1,0))+1,0)</f>
        <v>0</v>
      </c>
      <c r="N863" s="3" t="s">
        <v>995</v>
      </c>
    </row>
    <row r="864" spans="1:14" x14ac:dyDescent="0.25">
      <c r="A864" s="1" t="s">
        <v>10474</v>
      </c>
      <c r="B864" s="3" t="s">
        <v>4488</v>
      </c>
      <c r="C864" s="2">
        <f ca="1">IF(ISNUMBER(SEARCH(Лист2!$B$4,D:D)),MAX($C$3:OFFSET(C864,-1,0))+1,0)</f>
        <v>0</v>
      </c>
      <c r="E864" s="9" t="str">
        <f t="shared" ca="1" si="25"/>
        <v/>
      </c>
      <c r="F864" s="4" t="s">
        <v>4</v>
      </c>
      <c r="G864" s="2">
        <f>IF(ISNUMBER(SEARCH(Лист2!$B$4,F:F)),1,0)</f>
        <v>0</v>
      </c>
      <c r="H864" s="3">
        <f ca="1">IF(AND(I864&lt;&gt;I863,ISNUMBER(SEARCH(Лист2!$B$5,I:I)),G864=1),MAX($H$3:OFFSET(H864,-1,0))+1,0)</f>
        <v>0</v>
      </c>
      <c r="I864" s="3" t="s">
        <v>127</v>
      </c>
      <c r="K864" s="2">
        <f>IF(ISNUMBER(SEARCH(Лист2!$B$4,F:F)),1,0)</f>
        <v>0</v>
      </c>
      <c r="L864" s="14">
        <f>IF(ISNUMBER(SEARCH(Лист2!$B$5,I:I)),1,0)+K864</f>
        <v>0</v>
      </c>
      <c r="M864" s="3">
        <f ca="1">IF(AND(N864&lt;&gt;N863,ISNUMBER(SEARCH(Лист2!$B$6,N:N)),L864=2),MAX($M$3:OFFSET(M864,-1,0))+1,0)</f>
        <v>0</v>
      </c>
      <c r="N864" s="3" t="s">
        <v>995</v>
      </c>
    </row>
    <row r="865" spans="1:14" x14ac:dyDescent="0.25">
      <c r="A865" s="1" t="s">
        <v>10474</v>
      </c>
      <c r="B865" s="3" t="s">
        <v>4489</v>
      </c>
      <c r="C865" s="2">
        <f ca="1">IF(ISNUMBER(SEARCH(Лист2!$B$4,D:D)),MAX($C$3:OFFSET(C865,-1,0))+1,0)</f>
        <v>0</v>
      </c>
      <c r="E865" s="9" t="str">
        <f t="shared" ca="1" si="25"/>
        <v/>
      </c>
      <c r="F865" s="4" t="s">
        <v>4</v>
      </c>
      <c r="G865" s="2">
        <f>IF(ISNUMBER(SEARCH(Лист2!$B$4,F:F)),1,0)</f>
        <v>0</v>
      </c>
      <c r="H865" s="3">
        <f ca="1">IF(AND(I865&lt;&gt;I864,ISNUMBER(SEARCH(Лист2!$B$5,I:I)),G865=1),MAX($H$3:OFFSET(H865,-1,0))+1,0)</f>
        <v>0</v>
      </c>
      <c r="I865" s="3" t="s">
        <v>127</v>
      </c>
      <c r="K865" s="2">
        <f>IF(ISNUMBER(SEARCH(Лист2!$B$4,F:F)),1,0)</f>
        <v>0</v>
      </c>
      <c r="L865" s="14">
        <f>IF(ISNUMBER(SEARCH(Лист2!$B$5,I:I)),1,0)+K865</f>
        <v>0</v>
      </c>
      <c r="M865" s="3">
        <f ca="1">IF(AND(N865&lt;&gt;N864,ISNUMBER(SEARCH(Лист2!$B$6,N:N)),L865=2),MAX($M$3:OFFSET(M865,-1,0))+1,0)</f>
        <v>0</v>
      </c>
      <c r="N865" s="3" t="s">
        <v>995</v>
      </c>
    </row>
    <row r="866" spans="1:14" x14ac:dyDescent="0.25">
      <c r="A866" s="1" t="s">
        <v>10474</v>
      </c>
      <c r="B866" s="3" t="s">
        <v>4490</v>
      </c>
      <c r="C866" s="2">
        <f ca="1">IF(ISNUMBER(SEARCH(Лист2!$B$4,D:D)),MAX($C$3:OFFSET(C866,-1,0))+1,0)</f>
        <v>0</v>
      </c>
      <c r="E866" s="9" t="str">
        <f t="shared" ca="1" si="25"/>
        <v/>
      </c>
      <c r="F866" s="4" t="s">
        <v>4</v>
      </c>
      <c r="G866" s="2">
        <f>IF(ISNUMBER(SEARCH(Лист2!$B$4,F:F)),1,0)</f>
        <v>0</v>
      </c>
      <c r="H866" s="3">
        <f ca="1">IF(AND(I866&lt;&gt;I865,ISNUMBER(SEARCH(Лист2!$B$5,I:I)),G866=1),MAX($H$3:OFFSET(H866,-1,0))+1,0)</f>
        <v>0</v>
      </c>
      <c r="I866" s="3" t="s">
        <v>127</v>
      </c>
      <c r="K866" s="2">
        <f>IF(ISNUMBER(SEARCH(Лист2!$B$4,F:F)),1,0)</f>
        <v>0</v>
      </c>
      <c r="L866" s="14">
        <f>IF(ISNUMBER(SEARCH(Лист2!$B$5,I:I)),1,0)+K866</f>
        <v>0</v>
      </c>
      <c r="M866" s="3">
        <f ca="1">IF(AND(N866&lt;&gt;N865,ISNUMBER(SEARCH(Лист2!$B$6,N:N)),L866=2),MAX($M$3:OFFSET(M866,-1,0))+1,0)</f>
        <v>0</v>
      </c>
      <c r="N866" s="3" t="s">
        <v>995</v>
      </c>
    </row>
    <row r="867" spans="1:14" x14ac:dyDescent="0.25">
      <c r="A867" s="1" t="s">
        <v>10474</v>
      </c>
      <c r="B867" s="3" t="s">
        <v>4491</v>
      </c>
      <c r="C867" s="2">
        <f ca="1">IF(ISNUMBER(SEARCH(Лист2!$B$4,D:D)),MAX($C$3:OFFSET(C867,-1,0))+1,0)</f>
        <v>0</v>
      </c>
      <c r="E867" s="9" t="str">
        <f t="shared" ca="1" si="25"/>
        <v/>
      </c>
      <c r="F867" s="4" t="s">
        <v>4</v>
      </c>
      <c r="G867" s="2">
        <f>IF(ISNUMBER(SEARCH(Лист2!$B$4,F:F)),1,0)</f>
        <v>0</v>
      </c>
      <c r="H867" s="3">
        <f ca="1">IF(AND(I867&lt;&gt;I866,ISNUMBER(SEARCH(Лист2!$B$5,I:I)),G867=1),MAX($H$3:OFFSET(H867,-1,0))+1,0)</f>
        <v>0</v>
      </c>
      <c r="I867" s="3" t="s">
        <v>127</v>
      </c>
      <c r="K867" s="2">
        <f>IF(ISNUMBER(SEARCH(Лист2!$B$4,F:F)),1,0)</f>
        <v>0</v>
      </c>
      <c r="L867" s="14">
        <f>IF(ISNUMBER(SEARCH(Лист2!$B$5,I:I)),1,0)+K867</f>
        <v>0</v>
      </c>
      <c r="M867" s="3">
        <f ca="1">IF(AND(N867&lt;&gt;N866,ISNUMBER(SEARCH(Лист2!$B$6,N:N)),L867=2),MAX($M$3:OFFSET(M867,-1,0))+1,0)</f>
        <v>0</v>
      </c>
      <c r="N867" s="3" t="s">
        <v>995</v>
      </c>
    </row>
    <row r="868" spans="1:14" x14ac:dyDescent="0.25">
      <c r="A868" s="1" t="s">
        <v>10474</v>
      </c>
      <c r="B868" s="3" t="s">
        <v>4492</v>
      </c>
      <c r="C868" s="2">
        <f ca="1">IF(ISNUMBER(SEARCH(Лист2!$B$4,D:D)),MAX($C$3:OFFSET(C868,-1,0))+1,0)</f>
        <v>0</v>
      </c>
      <c r="E868" s="9" t="str">
        <f t="shared" ca="1" si="25"/>
        <v/>
      </c>
      <c r="F868" s="4" t="s">
        <v>4</v>
      </c>
      <c r="G868" s="2">
        <f>IF(ISNUMBER(SEARCH(Лист2!$B$4,F:F)),1,0)</f>
        <v>0</v>
      </c>
      <c r="H868" s="3">
        <f ca="1">IF(AND(I868&lt;&gt;I867,ISNUMBER(SEARCH(Лист2!$B$5,I:I)),G868=1),MAX($H$3:OFFSET(H868,-1,0))+1,0)</f>
        <v>0</v>
      </c>
      <c r="I868" s="3" t="s">
        <v>127</v>
      </c>
      <c r="K868" s="2">
        <f>IF(ISNUMBER(SEARCH(Лист2!$B$4,F:F)),1,0)</f>
        <v>0</v>
      </c>
      <c r="L868" s="14">
        <f>IF(ISNUMBER(SEARCH(Лист2!$B$5,I:I)),1,0)+K868</f>
        <v>0</v>
      </c>
      <c r="M868" s="3">
        <f ca="1">IF(AND(N868&lt;&gt;N867,ISNUMBER(SEARCH(Лист2!$B$6,N:N)),L868=2),MAX($M$3:OFFSET(M868,-1,0))+1,0)</f>
        <v>0</v>
      </c>
      <c r="N868" s="3" t="s">
        <v>995</v>
      </c>
    </row>
    <row r="869" spans="1:14" x14ac:dyDescent="0.25">
      <c r="A869" s="1" t="s">
        <v>10475</v>
      </c>
      <c r="B869" s="3" t="s">
        <v>4493</v>
      </c>
      <c r="C869" s="2">
        <f ca="1">IF(ISNUMBER(SEARCH(Лист2!$B$4,D:D)),MAX($C$3:OFFSET(C869,-1,0))+1,0)</f>
        <v>0</v>
      </c>
      <c r="E869" s="9" t="str">
        <f t="shared" ca="1" si="25"/>
        <v/>
      </c>
      <c r="F869" s="4" t="s">
        <v>4</v>
      </c>
      <c r="G869" s="2">
        <f>IF(ISNUMBER(SEARCH(Лист2!$B$4,F:F)),1,0)</f>
        <v>0</v>
      </c>
      <c r="H869" s="3">
        <f ca="1">IF(AND(I869&lt;&gt;I868,ISNUMBER(SEARCH(Лист2!$B$5,I:I)),G869=1),MAX($H$3:OFFSET(H869,-1,0))+1,0)</f>
        <v>0</v>
      </c>
      <c r="I869" s="3" t="s">
        <v>127</v>
      </c>
      <c r="K869" s="2">
        <f>IF(ISNUMBER(SEARCH(Лист2!$B$4,F:F)),1,0)</f>
        <v>0</v>
      </c>
      <c r="L869" s="14">
        <f>IF(ISNUMBER(SEARCH(Лист2!$B$5,I:I)),1,0)+K869</f>
        <v>0</v>
      </c>
      <c r="M869" s="3">
        <f ca="1">IF(AND(N869&lt;&gt;N868,ISNUMBER(SEARCH(Лист2!$B$6,N:N)),L869=2),MAX($M$3:OFFSET(M869,-1,0))+1,0)</f>
        <v>0</v>
      </c>
      <c r="N869" s="3" t="s">
        <v>996</v>
      </c>
    </row>
    <row r="870" spans="1:14" x14ac:dyDescent="0.25">
      <c r="A870" s="1" t="s">
        <v>10475</v>
      </c>
      <c r="B870" s="3" t="s">
        <v>4494</v>
      </c>
      <c r="C870" s="2">
        <f ca="1">IF(ISNUMBER(SEARCH(Лист2!$B$4,D:D)),MAX($C$3:OFFSET(C870,-1,0))+1,0)</f>
        <v>0</v>
      </c>
      <c r="E870" s="9" t="str">
        <f t="shared" ca="1" si="25"/>
        <v/>
      </c>
      <c r="F870" s="4" t="s">
        <v>4</v>
      </c>
      <c r="G870" s="2">
        <f>IF(ISNUMBER(SEARCH(Лист2!$B$4,F:F)),1,0)</f>
        <v>0</v>
      </c>
      <c r="H870" s="3">
        <f ca="1">IF(AND(I870&lt;&gt;I869,ISNUMBER(SEARCH(Лист2!$B$5,I:I)),G870=1),MAX($H$3:OFFSET(H870,-1,0))+1,0)</f>
        <v>0</v>
      </c>
      <c r="I870" s="3" t="s">
        <v>127</v>
      </c>
      <c r="K870" s="2">
        <f>IF(ISNUMBER(SEARCH(Лист2!$B$4,F:F)),1,0)</f>
        <v>0</v>
      </c>
      <c r="L870" s="14">
        <f>IF(ISNUMBER(SEARCH(Лист2!$B$5,I:I)),1,0)+K870</f>
        <v>0</v>
      </c>
      <c r="M870" s="3">
        <f ca="1">IF(AND(N870&lt;&gt;N869,ISNUMBER(SEARCH(Лист2!$B$6,N:N)),L870=2),MAX($M$3:OFFSET(M870,-1,0))+1,0)</f>
        <v>0</v>
      </c>
      <c r="N870" s="3" t="s">
        <v>996</v>
      </c>
    </row>
    <row r="871" spans="1:14" x14ac:dyDescent="0.25">
      <c r="A871" s="1" t="s">
        <v>10475</v>
      </c>
      <c r="B871" s="3" t="s">
        <v>4495</v>
      </c>
      <c r="C871" s="2">
        <f ca="1">IF(ISNUMBER(SEARCH(Лист2!$B$4,D:D)),MAX($C$3:OFFSET(C871,-1,0))+1,0)</f>
        <v>0</v>
      </c>
      <c r="E871" s="9" t="str">
        <f t="shared" ca="1" si="25"/>
        <v/>
      </c>
      <c r="F871" s="4" t="s">
        <v>4</v>
      </c>
      <c r="G871" s="2">
        <f>IF(ISNUMBER(SEARCH(Лист2!$B$4,F:F)),1,0)</f>
        <v>0</v>
      </c>
      <c r="H871" s="3">
        <f ca="1">IF(AND(I871&lt;&gt;I870,ISNUMBER(SEARCH(Лист2!$B$5,I:I)),G871=1),MAX($H$3:OFFSET(H871,-1,0))+1,0)</f>
        <v>0</v>
      </c>
      <c r="I871" s="3" t="s">
        <v>127</v>
      </c>
      <c r="K871" s="2">
        <f>IF(ISNUMBER(SEARCH(Лист2!$B$4,F:F)),1,0)</f>
        <v>0</v>
      </c>
      <c r="L871" s="14">
        <f>IF(ISNUMBER(SEARCH(Лист2!$B$5,I:I)),1,0)+K871</f>
        <v>0</v>
      </c>
      <c r="M871" s="3">
        <f ca="1">IF(AND(N871&lt;&gt;N870,ISNUMBER(SEARCH(Лист2!$B$6,N:N)),L871=2),MAX($M$3:OFFSET(M871,-1,0))+1,0)</f>
        <v>0</v>
      </c>
      <c r="N871" s="3" t="s">
        <v>996</v>
      </c>
    </row>
    <row r="872" spans="1:14" x14ac:dyDescent="0.25">
      <c r="A872" s="1" t="s">
        <v>10476</v>
      </c>
      <c r="B872" s="3" t="s">
        <v>4496</v>
      </c>
      <c r="C872" s="2">
        <f ca="1">IF(ISNUMBER(SEARCH(Лист2!$B$4,D:D)),MAX($C$3:OFFSET(C872,-1,0))+1,0)</f>
        <v>0</v>
      </c>
      <c r="E872" s="9" t="str">
        <f t="shared" ca="1" si="25"/>
        <v/>
      </c>
      <c r="F872" s="4" t="s">
        <v>4</v>
      </c>
      <c r="G872" s="2">
        <f>IF(ISNUMBER(SEARCH(Лист2!$B$4,F:F)),1,0)</f>
        <v>0</v>
      </c>
      <c r="H872" s="3">
        <f ca="1">IF(AND(I872&lt;&gt;I871,ISNUMBER(SEARCH(Лист2!$B$5,I:I)),G872=1),MAX($H$3:OFFSET(H872,-1,0))+1,0)</f>
        <v>0</v>
      </c>
      <c r="I872" s="3" t="s">
        <v>128</v>
      </c>
      <c r="K872" s="2">
        <f>IF(ISNUMBER(SEARCH(Лист2!$B$4,F:F)),1,0)</f>
        <v>0</v>
      </c>
      <c r="L872" s="14">
        <f>IF(ISNUMBER(SEARCH(Лист2!$B$5,I:I)),1,0)+K872</f>
        <v>0</v>
      </c>
      <c r="M872" s="3">
        <f ca="1">IF(AND(N872&lt;&gt;N871,ISNUMBER(SEARCH(Лист2!$B$6,N:N)),L872=2),MAX($M$3:OFFSET(M872,-1,0))+1,0)</f>
        <v>0</v>
      </c>
      <c r="N872" s="3" t="s">
        <v>997</v>
      </c>
    </row>
    <row r="873" spans="1:14" x14ac:dyDescent="0.25">
      <c r="A873" s="1" t="s">
        <v>10477</v>
      </c>
      <c r="B873" s="3" t="s">
        <v>4497</v>
      </c>
      <c r="C873" s="2">
        <f ca="1">IF(ISNUMBER(SEARCH(Лист2!$B$4,D:D)),MAX($C$3:OFFSET(C873,-1,0))+1,0)</f>
        <v>0</v>
      </c>
      <c r="E873" s="9" t="str">
        <f t="shared" ca="1" si="25"/>
        <v/>
      </c>
      <c r="F873" s="4" t="s">
        <v>4</v>
      </c>
      <c r="G873" s="2">
        <f>IF(ISNUMBER(SEARCH(Лист2!$B$4,F:F)),1,0)</f>
        <v>0</v>
      </c>
      <c r="H873" s="3">
        <f ca="1">IF(AND(I873&lt;&gt;I872,ISNUMBER(SEARCH(Лист2!$B$5,I:I)),G873=1),MAX($H$3:OFFSET(H873,-1,0))+1,0)</f>
        <v>0</v>
      </c>
      <c r="I873" s="3" t="s">
        <v>128</v>
      </c>
      <c r="K873" s="2">
        <f>IF(ISNUMBER(SEARCH(Лист2!$B$4,F:F)),1,0)</f>
        <v>0</v>
      </c>
      <c r="L873" s="14">
        <f>IF(ISNUMBER(SEARCH(Лист2!$B$5,I:I)),1,0)+K873</f>
        <v>0</v>
      </c>
      <c r="M873" s="3">
        <f ca="1">IF(AND(N873&lt;&gt;N872,ISNUMBER(SEARCH(Лист2!$B$6,N:N)),L873=2),MAX($M$3:OFFSET(M873,-1,0))+1,0)</f>
        <v>0</v>
      </c>
      <c r="N873" s="3" t="s">
        <v>998</v>
      </c>
    </row>
    <row r="874" spans="1:14" x14ac:dyDescent="0.25">
      <c r="A874" s="1" t="s">
        <v>10478</v>
      </c>
      <c r="B874" s="3" t="s">
        <v>4498</v>
      </c>
      <c r="C874" s="2">
        <f ca="1">IF(ISNUMBER(SEARCH(Лист2!$B$4,D:D)),MAX($C$3:OFFSET(C874,-1,0))+1,0)</f>
        <v>0</v>
      </c>
      <c r="E874" s="9" t="str">
        <f t="shared" ca="1" si="25"/>
        <v/>
      </c>
      <c r="F874" s="4" t="s">
        <v>4</v>
      </c>
      <c r="G874" s="2">
        <f>IF(ISNUMBER(SEARCH(Лист2!$B$4,F:F)),1,0)</f>
        <v>0</v>
      </c>
      <c r="H874" s="3">
        <f ca="1">IF(AND(I874&lt;&gt;I873,ISNUMBER(SEARCH(Лист2!$B$5,I:I)),G874=1),MAX($H$3:OFFSET(H874,-1,0))+1,0)</f>
        <v>0</v>
      </c>
      <c r="I874" s="3" t="s">
        <v>128</v>
      </c>
      <c r="K874" s="2">
        <f>IF(ISNUMBER(SEARCH(Лист2!$B$4,F:F)),1,0)</f>
        <v>0</v>
      </c>
      <c r="L874" s="14">
        <f>IF(ISNUMBER(SEARCH(Лист2!$B$5,I:I)),1,0)+K874</f>
        <v>0</v>
      </c>
      <c r="M874" s="3">
        <f ca="1">IF(AND(N874&lt;&gt;N873,ISNUMBER(SEARCH(Лист2!$B$6,N:N)),L874=2),MAX($M$3:OFFSET(M874,-1,0))+1,0)</f>
        <v>0</v>
      </c>
      <c r="N874" s="3" t="s">
        <v>999</v>
      </c>
    </row>
    <row r="875" spans="1:14" x14ac:dyDescent="0.25">
      <c r="A875" s="1" t="s">
        <v>10478</v>
      </c>
      <c r="B875" s="3" t="s">
        <v>4499</v>
      </c>
      <c r="C875" s="2">
        <f ca="1">IF(ISNUMBER(SEARCH(Лист2!$B$4,D:D)),MAX($C$3:OFFSET(C875,-1,0))+1,0)</f>
        <v>0</v>
      </c>
      <c r="E875" s="9" t="str">
        <f t="shared" ca="1" si="25"/>
        <v/>
      </c>
      <c r="F875" s="4" t="s">
        <v>4</v>
      </c>
      <c r="G875" s="2">
        <f>IF(ISNUMBER(SEARCH(Лист2!$B$4,F:F)),1,0)</f>
        <v>0</v>
      </c>
      <c r="H875" s="3">
        <f ca="1">IF(AND(I875&lt;&gt;I874,ISNUMBER(SEARCH(Лист2!$B$5,I:I)),G875=1),MAX($H$3:OFFSET(H875,-1,0))+1,0)</f>
        <v>0</v>
      </c>
      <c r="I875" s="3" t="s">
        <v>128</v>
      </c>
      <c r="K875" s="2">
        <f>IF(ISNUMBER(SEARCH(Лист2!$B$4,F:F)),1,0)</f>
        <v>0</v>
      </c>
      <c r="L875" s="14">
        <f>IF(ISNUMBER(SEARCH(Лист2!$B$5,I:I)),1,0)+K875</f>
        <v>0</v>
      </c>
      <c r="M875" s="3">
        <f ca="1">IF(AND(N875&lt;&gt;N874,ISNUMBER(SEARCH(Лист2!$B$6,N:N)),L875=2),MAX($M$3:OFFSET(M875,-1,0))+1,0)</f>
        <v>0</v>
      </c>
      <c r="N875" s="3" t="s">
        <v>999</v>
      </c>
    </row>
    <row r="876" spans="1:14" x14ac:dyDescent="0.25">
      <c r="A876" s="1" t="s">
        <v>10479</v>
      </c>
      <c r="B876" s="3" t="s">
        <v>4500</v>
      </c>
      <c r="C876" s="2">
        <f ca="1">IF(ISNUMBER(SEARCH(Лист2!$B$4,D:D)),MAX($C$3:OFFSET(C876,-1,0))+1,0)</f>
        <v>0</v>
      </c>
      <c r="E876" s="9" t="str">
        <f t="shared" ca="1" si="25"/>
        <v/>
      </c>
      <c r="F876" s="4" t="s">
        <v>4</v>
      </c>
      <c r="G876" s="2">
        <f>IF(ISNUMBER(SEARCH(Лист2!$B$4,F:F)),1,0)</f>
        <v>0</v>
      </c>
      <c r="H876" s="3">
        <f ca="1">IF(AND(I876&lt;&gt;I875,ISNUMBER(SEARCH(Лист2!$B$5,I:I)),G876=1),MAX($H$3:OFFSET(H876,-1,0))+1,0)</f>
        <v>0</v>
      </c>
      <c r="I876" s="3" t="s">
        <v>128</v>
      </c>
      <c r="K876" s="2">
        <f>IF(ISNUMBER(SEARCH(Лист2!$B$4,F:F)),1,0)</f>
        <v>0</v>
      </c>
      <c r="L876" s="14">
        <f>IF(ISNUMBER(SEARCH(Лист2!$B$5,I:I)),1,0)+K876</f>
        <v>0</v>
      </c>
      <c r="M876" s="3">
        <f ca="1">IF(AND(N876&lt;&gt;N875,ISNUMBER(SEARCH(Лист2!$B$6,N:N)),L876=2),MAX($M$3:OFFSET(M876,-1,0))+1,0)</f>
        <v>0</v>
      </c>
      <c r="N876" s="3" t="s">
        <v>1000</v>
      </c>
    </row>
    <row r="877" spans="1:14" x14ac:dyDescent="0.25">
      <c r="A877" s="1" t="s">
        <v>10480</v>
      </c>
      <c r="B877" s="3" t="s">
        <v>4501</v>
      </c>
      <c r="C877" s="2">
        <f ca="1">IF(ISNUMBER(SEARCH(Лист2!$B$4,D:D)),MAX($C$3:OFFSET(C877,-1,0))+1,0)</f>
        <v>0</v>
      </c>
      <c r="E877" s="9" t="str">
        <f t="shared" ca="1" si="25"/>
        <v/>
      </c>
      <c r="F877" s="4" t="s">
        <v>4</v>
      </c>
      <c r="G877" s="2">
        <f>IF(ISNUMBER(SEARCH(Лист2!$B$4,F:F)),1,0)</f>
        <v>0</v>
      </c>
      <c r="H877" s="3">
        <f ca="1">IF(AND(I877&lt;&gt;I876,ISNUMBER(SEARCH(Лист2!$B$5,I:I)),G877=1),MAX($H$3:OFFSET(H877,-1,0))+1,0)</f>
        <v>0</v>
      </c>
      <c r="I877" s="3" t="s">
        <v>129</v>
      </c>
      <c r="K877" s="2">
        <f>IF(ISNUMBER(SEARCH(Лист2!$B$4,F:F)),1,0)</f>
        <v>0</v>
      </c>
      <c r="L877" s="14">
        <f>IF(ISNUMBER(SEARCH(Лист2!$B$5,I:I)),1,0)+K877</f>
        <v>0</v>
      </c>
      <c r="M877" s="3">
        <f ca="1">IF(AND(N877&lt;&gt;N876,ISNUMBER(SEARCH(Лист2!$B$6,N:N)),L877=2),MAX($M$3:OFFSET(M877,-1,0))+1,0)</f>
        <v>0</v>
      </c>
      <c r="N877" s="3" t="s">
        <v>1001</v>
      </c>
    </row>
    <row r="878" spans="1:14" x14ac:dyDescent="0.25">
      <c r="A878" s="1" t="s">
        <v>10481</v>
      </c>
      <c r="B878" s="3" t="s">
        <v>4502</v>
      </c>
      <c r="C878" s="2">
        <f ca="1">IF(ISNUMBER(SEARCH(Лист2!$B$4,D:D)),MAX($C$3:OFFSET(C878,-1,0))+1,0)</f>
        <v>0</v>
      </c>
      <c r="E878" s="9" t="str">
        <f t="shared" ca="1" si="25"/>
        <v/>
      </c>
      <c r="F878" s="4" t="s">
        <v>4</v>
      </c>
      <c r="G878" s="2">
        <f>IF(ISNUMBER(SEARCH(Лист2!$B$4,F:F)),1,0)</f>
        <v>0</v>
      </c>
      <c r="H878" s="3">
        <f ca="1">IF(AND(I878&lt;&gt;I877,ISNUMBER(SEARCH(Лист2!$B$5,I:I)),G878=1),MAX($H$3:OFFSET(H878,-1,0))+1,0)</f>
        <v>0</v>
      </c>
      <c r="I878" s="3" t="s">
        <v>129</v>
      </c>
      <c r="K878" s="2">
        <f>IF(ISNUMBER(SEARCH(Лист2!$B$4,F:F)),1,0)</f>
        <v>0</v>
      </c>
      <c r="L878" s="14">
        <f>IF(ISNUMBER(SEARCH(Лист2!$B$5,I:I)),1,0)+K878</f>
        <v>0</v>
      </c>
      <c r="M878" s="3">
        <f ca="1">IF(AND(N878&lt;&gt;N877,ISNUMBER(SEARCH(Лист2!$B$6,N:N)),L878=2),MAX($M$3:OFFSET(M878,-1,0))+1,0)</f>
        <v>0</v>
      </c>
      <c r="N878" s="3" t="s">
        <v>1002</v>
      </c>
    </row>
    <row r="879" spans="1:14" x14ac:dyDescent="0.25">
      <c r="A879" s="1" t="s">
        <v>10482</v>
      </c>
      <c r="B879" s="3" t="s">
        <v>4503</v>
      </c>
      <c r="C879" s="2">
        <f ca="1">IF(ISNUMBER(SEARCH(Лист2!$B$4,D:D)),MAX($C$3:OFFSET(C879,-1,0))+1,0)</f>
        <v>0</v>
      </c>
      <c r="E879" s="9" t="str">
        <f t="shared" ca="1" si="25"/>
        <v/>
      </c>
      <c r="F879" s="4" t="s">
        <v>4</v>
      </c>
      <c r="G879" s="2">
        <f>IF(ISNUMBER(SEARCH(Лист2!$B$4,F:F)),1,0)</f>
        <v>0</v>
      </c>
      <c r="H879" s="3">
        <f ca="1">IF(AND(I879&lt;&gt;I878,ISNUMBER(SEARCH(Лист2!$B$5,I:I)),G879=1),MAX($H$3:OFFSET(H879,-1,0))+1,0)</f>
        <v>0</v>
      </c>
      <c r="I879" s="3" t="s">
        <v>129</v>
      </c>
      <c r="K879" s="2">
        <f>IF(ISNUMBER(SEARCH(Лист2!$B$4,F:F)),1,0)</f>
        <v>0</v>
      </c>
      <c r="L879" s="14">
        <f>IF(ISNUMBER(SEARCH(Лист2!$B$5,I:I)),1,0)+K879</f>
        <v>0</v>
      </c>
      <c r="M879" s="3">
        <f ca="1">IF(AND(N879&lt;&gt;N878,ISNUMBER(SEARCH(Лист2!$B$6,N:N)),L879=2),MAX($M$3:OFFSET(M879,-1,0))+1,0)</f>
        <v>0</v>
      </c>
      <c r="N879" s="3" t="s">
        <v>1003</v>
      </c>
    </row>
    <row r="880" spans="1:14" x14ac:dyDescent="0.25">
      <c r="A880" s="1" t="s">
        <v>10482</v>
      </c>
      <c r="B880" s="3" t="s">
        <v>4504</v>
      </c>
      <c r="C880" s="2">
        <f ca="1">IF(ISNUMBER(SEARCH(Лист2!$B$4,D:D)),MAX($C$3:OFFSET(C880,-1,0))+1,0)</f>
        <v>0</v>
      </c>
      <c r="E880" s="9" t="str">
        <f t="shared" ca="1" si="25"/>
        <v/>
      </c>
      <c r="F880" s="4" t="s">
        <v>4</v>
      </c>
      <c r="G880" s="2">
        <f>IF(ISNUMBER(SEARCH(Лист2!$B$4,F:F)),1,0)</f>
        <v>0</v>
      </c>
      <c r="H880" s="3">
        <f ca="1">IF(AND(I880&lt;&gt;I879,ISNUMBER(SEARCH(Лист2!$B$5,I:I)),G880=1),MAX($H$3:OFFSET(H880,-1,0))+1,0)</f>
        <v>0</v>
      </c>
      <c r="I880" s="3" t="s">
        <v>129</v>
      </c>
      <c r="K880" s="2">
        <f>IF(ISNUMBER(SEARCH(Лист2!$B$4,F:F)),1,0)</f>
        <v>0</v>
      </c>
      <c r="L880" s="14">
        <f>IF(ISNUMBER(SEARCH(Лист2!$B$5,I:I)),1,0)+K880</f>
        <v>0</v>
      </c>
      <c r="M880" s="3">
        <f ca="1">IF(AND(N880&lt;&gt;N879,ISNUMBER(SEARCH(Лист2!$B$6,N:N)),L880=2),MAX($M$3:OFFSET(M880,-1,0))+1,0)</f>
        <v>0</v>
      </c>
      <c r="N880" s="3" t="s">
        <v>1003</v>
      </c>
    </row>
    <row r="881" spans="1:14" x14ac:dyDescent="0.25">
      <c r="A881" s="1" t="s">
        <v>10483</v>
      </c>
      <c r="B881" s="3" t="s">
        <v>4505</v>
      </c>
      <c r="C881" s="2">
        <f ca="1">IF(ISNUMBER(SEARCH(Лист2!$B$4,D:D)),MAX($C$3:OFFSET(C881,-1,0))+1,0)</f>
        <v>0</v>
      </c>
      <c r="E881" s="9" t="str">
        <f t="shared" ca="1" si="25"/>
        <v/>
      </c>
      <c r="F881" s="4" t="s">
        <v>4</v>
      </c>
      <c r="G881" s="2">
        <f>IF(ISNUMBER(SEARCH(Лист2!$B$4,F:F)),1,0)</f>
        <v>0</v>
      </c>
      <c r="H881" s="3">
        <f ca="1">IF(AND(I881&lt;&gt;I880,ISNUMBER(SEARCH(Лист2!$B$5,I:I)),G881=1),MAX($H$3:OFFSET(H881,-1,0))+1,0)</f>
        <v>0</v>
      </c>
      <c r="I881" s="3" t="s">
        <v>129</v>
      </c>
      <c r="K881" s="2">
        <f>IF(ISNUMBER(SEARCH(Лист2!$B$4,F:F)),1,0)</f>
        <v>0</v>
      </c>
      <c r="L881" s="14">
        <f>IF(ISNUMBER(SEARCH(Лист2!$B$5,I:I)),1,0)+K881</f>
        <v>0</v>
      </c>
      <c r="M881" s="3">
        <f ca="1">IF(AND(N881&lt;&gt;N880,ISNUMBER(SEARCH(Лист2!$B$6,N:N)),L881=2),MAX($M$3:OFFSET(M881,-1,0))+1,0)</f>
        <v>0</v>
      </c>
      <c r="N881" s="3" t="s">
        <v>1004</v>
      </c>
    </row>
    <row r="882" spans="1:14" x14ac:dyDescent="0.25">
      <c r="A882" s="1" t="s">
        <v>10484</v>
      </c>
      <c r="B882" s="3" t="s">
        <v>4506</v>
      </c>
      <c r="C882" s="2">
        <f ca="1">IF(ISNUMBER(SEARCH(Лист2!$B$4,D:D)),MAX($C$3:OFFSET(C882,-1,0))+1,0)</f>
        <v>0</v>
      </c>
      <c r="E882" s="9" t="str">
        <f t="shared" ca="1" si="25"/>
        <v/>
      </c>
      <c r="F882" s="4" t="s">
        <v>4</v>
      </c>
      <c r="G882" s="2">
        <f>IF(ISNUMBER(SEARCH(Лист2!$B$4,F:F)),1,0)</f>
        <v>0</v>
      </c>
      <c r="H882" s="3">
        <f ca="1">IF(AND(I882&lt;&gt;I881,ISNUMBER(SEARCH(Лист2!$B$5,I:I)),G882=1),MAX($H$3:OFFSET(H882,-1,0))+1,0)</f>
        <v>0</v>
      </c>
      <c r="I882" s="3" t="s">
        <v>130</v>
      </c>
      <c r="K882" s="2">
        <f>IF(ISNUMBER(SEARCH(Лист2!$B$4,F:F)),1,0)</f>
        <v>0</v>
      </c>
      <c r="L882" s="14">
        <f>IF(ISNUMBER(SEARCH(Лист2!$B$5,I:I)),1,0)+K882</f>
        <v>0</v>
      </c>
      <c r="M882" s="3">
        <f ca="1">IF(AND(N882&lt;&gt;N881,ISNUMBER(SEARCH(Лист2!$B$6,N:N)),L882=2),MAX($M$3:OFFSET(M882,-1,0))+1,0)</f>
        <v>0</v>
      </c>
      <c r="N882" s="3" t="s">
        <v>1005</v>
      </c>
    </row>
    <row r="883" spans="1:14" x14ac:dyDescent="0.25">
      <c r="A883" s="1" t="s">
        <v>10485</v>
      </c>
      <c r="B883" s="3" t="s">
        <v>4507</v>
      </c>
      <c r="C883" s="2">
        <f ca="1">IF(ISNUMBER(SEARCH(Лист2!$B$4,D:D)),MAX($C$3:OFFSET(C883,-1,0))+1,0)</f>
        <v>0</v>
      </c>
      <c r="E883" s="9" t="str">
        <f t="shared" ca="1" si="25"/>
        <v/>
      </c>
      <c r="F883" s="4" t="s">
        <v>4</v>
      </c>
      <c r="G883" s="2">
        <f>IF(ISNUMBER(SEARCH(Лист2!$B$4,F:F)),1,0)</f>
        <v>0</v>
      </c>
      <c r="H883" s="3">
        <f ca="1">IF(AND(I883&lt;&gt;I882,ISNUMBER(SEARCH(Лист2!$B$5,I:I)),G883=1),MAX($H$3:OFFSET(H883,-1,0))+1,0)</f>
        <v>0</v>
      </c>
      <c r="I883" s="3" t="s">
        <v>130</v>
      </c>
      <c r="K883" s="2">
        <f>IF(ISNUMBER(SEARCH(Лист2!$B$4,F:F)),1,0)</f>
        <v>0</v>
      </c>
      <c r="L883" s="14">
        <f>IF(ISNUMBER(SEARCH(Лист2!$B$5,I:I)),1,0)+K883</f>
        <v>0</v>
      </c>
      <c r="M883" s="3">
        <f ca="1">IF(AND(N883&lt;&gt;N882,ISNUMBER(SEARCH(Лист2!$B$6,N:N)),L883=2),MAX($M$3:OFFSET(M883,-1,0))+1,0)</f>
        <v>0</v>
      </c>
      <c r="N883" s="3" t="s">
        <v>1006</v>
      </c>
    </row>
    <row r="884" spans="1:14" x14ac:dyDescent="0.25">
      <c r="A884" s="1" t="s">
        <v>10486</v>
      </c>
      <c r="B884" s="3" t="s">
        <v>4508</v>
      </c>
      <c r="C884" s="2">
        <f ca="1">IF(ISNUMBER(SEARCH(Лист2!$B$4,D:D)),MAX($C$3:OFFSET(C884,-1,0))+1,0)</f>
        <v>0</v>
      </c>
      <c r="E884" s="9" t="str">
        <f t="shared" ca="1" si="25"/>
        <v/>
      </c>
      <c r="F884" s="4" t="s">
        <v>4</v>
      </c>
      <c r="G884" s="2">
        <f>IF(ISNUMBER(SEARCH(Лист2!$B$4,F:F)),1,0)</f>
        <v>0</v>
      </c>
      <c r="H884" s="3">
        <f ca="1">IF(AND(I884&lt;&gt;I883,ISNUMBER(SEARCH(Лист2!$B$5,I:I)),G884=1),MAX($H$3:OFFSET(H884,-1,0))+1,0)</f>
        <v>0</v>
      </c>
      <c r="I884" s="3" t="s">
        <v>130</v>
      </c>
      <c r="K884" s="2">
        <f>IF(ISNUMBER(SEARCH(Лист2!$B$4,F:F)),1,0)</f>
        <v>0</v>
      </c>
      <c r="L884" s="14">
        <f>IF(ISNUMBER(SEARCH(Лист2!$B$5,I:I)),1,0)+K884</f>
        <v>0</v>
      </c>
      <c r="M884" s="3">
        <f ca="1">IF(AND(N884&lt;&gt;N883,ISNUMBER(SEARCH(Лист2!$B$6,N:N)),L884=2),MAX($M$3:OFFSET(M884,-1,0))+1,0)</f>
        <v>0</v>
      </c>
      <c r="N884" s="3" t="s">
        <v>1007</v>
      </c>
    </row>
    <row r="885" spans="1:14" x14ac:dyDescent="0.25">
      <c r="A885" s="1" t="s">
        <v>10486</v>
      </c>
      <c r="B885" s="3" t="s">
        <v>4509</v>
      </c>
      <c r="C885" s="2">
        <f ca="1">IF(ISNUMBER(SEARCH(Лист2!$B$4,D:D)),MAX($C$3:OFFSET(C885,-1,0))+1,0)</f>
        <v>0</v>
      </c>
      <c r="E885" s="9" t="str">
        <f t="shared" ca="1" si="25"/>
        <v/>
      </c>
      <c r="F885" s="4" t="s">
        <v>4</v>
      </c>
      <c r="G885" s="2">
        <f>IF(ISNUMBER(SEARCH(Лист2!$B$4,F:F)),1,0)</f>
        <v>0</v>
      </c>
      <c r="H885" s="3">
        <f ca="1">IF(AND(I885&lt;&gt;I884,ISNUMBER(SEARCH(Лист2!$B$5,I:I)),G885=1),MAX($H$3:OFFSET(H885,-1,0))+1,0)</f>
        <v>0</v>
      </c>
      <c r="I885" s="3" t="s">
        <v>130</v>
      </c>
      <c r="K885" s="2">
        <f>IF(ISNUMBER(SEARCH(Лист2!$B$4,F:F)),1,0)</f>
        <v>0</v>
      </c>
      <c r="L885" s="14">
        <f>IF(ISNUMBER(SEARCH(Лист2!$B$5,I:I)),1,0)+K885</f>
        <v>0</v>
      </c>
      <c r="M885" s="3">
        <f ca="1">IF(AND(N885&lt;&gt;N884,ISNUMBER(SEARCH(Лист2!$B$6,N:N)),L885=2),MAX($M$3:OFFSET(M885,-1,0))+1,0)</f>
        <v>0</v>
      </c>
      <c r="N885" s="3" t="s">
        <v>1007</v>
      </c>
    </row>
    <row r="886" spans="1:14" x14ac:dyDescent="0.25">
      <c r="A886" s="1" t="s">
        <v>10487</v>
      </c>
      <c r="B886" s="3" t="s">
        <v>4510</v>
      </c>
      <c r="C886" s="2">
        <f ca="1">IF(ISNUMBER(SEARCH(Лист2!$B$4,D:D)),MAX($C$3:OFFSET(C886,-1,0))+1,0)</f>
        <v>0</v>
      </c>
      <c r="E886" s="9" t="str">
        <f t="shared" ca="1" si="25"/>
        <v/>
      </c>
      <c r="F886" s="4" t="s">
        <v>4</v>
      </c>
      <c r="G886" s="2">
        <f>IF(ISNUMBER(SEARCH(Лист2!$B$4,F:F)),1,0)</f>
        <v>0</v>
      </c>
      <c r="H886" s="3">
        <f ca="1">IF(AND(I886&lt;&gt;I885,ISNUMBER(SEARCH(Лист2!$B$5,I:I)),G886=1),MAX($H$3:OFFSET(H886,-1,0))+1,0)</f>
        <v>0</v>
      </c>
      <c r="I886" s="3" t="s">
        <v>130</v>
      </c>
      <c r="K886" s="2">
        <f>IF(ISNUMBER(SEARCH(Лист2!$B$4,F:F)),1,0)</f>
        <v>0</v>
      </c>
      <c r="L886" s="14">
        <f>IF(ISNUMBER(SEARCH(Лист2!$B$5,I:I)),1,0)+K886</f>
        <v>0</v>
      </c>
      <c r="M886" s="3">
        <f ca="1">IF(AND(N886&lt;&gt;N885,ISNUMBER(SEARCH(Лист2!$B$6,N:N)),L886=2),MAX($M$3:OFFSET(M886,-1,0))+1,0)</f>
        <v>0</v>
      </c>
      <c r="N886" s="3" t="s">
        <v>1008</v>
      </c>
    </row>
    <row r="887" spans="1:14" x14ac:dyDescent="0.25">
      <c r="A887" s="1" t="s">
        <v>10488</v>
      </c>
      <c r="B887" s="3" t="s">
        <v>4511</v>
      </c>
      <c r="C887" s="2">
        <f ca="1">IF(ISNUMBER(SEARCH(Лист2!$B$4,D:D)),MAX($C$3:OFFSET(C887,-1,0))+1,0)</f>
        <v>0</v>
      </c>
      <c r="E887" s="9" t="str">
        <f t="shared" ca="1" si="25"/>
        <v/>
      </c>
      <c r="F887" s="4" t="s">
        <v>4</v>
      </c>
      <c r="G887" s="2">
        <f>IF(ISNUMBER(SEARCH(Лист2!$B$4,F:F)),1,0)</f>
        <v>0</v>
      </c>
      <c r="H887" s="3">
        <f ca="1">IF(AND(I887&lt;&gt;I886,ISNUMBER(SEARCH(Лист2!$B$5,I:I)),G887=1),MAX($H$3:OFFSET(H887,-1,0))+1,0)</f>
        <v>0</v>
      </c>
      <c r="I887" s="3" t="s">
        <v>131</v>
      </c>
      <c r="K887" s="2">
        <f>IF(ISNUMBER(SEARCH(Лист2!$B$4,F:F)),1,0)</f>
        <v>0</v>
      </c>
      <c r="L887" s="14">
        <f>IF(ISNUMBER(SEARCH(Лист2!$B$5,I:I)),1,0)+K887</f>
        <v>0</v>
      </c>
      <c r="M887" s="3">
        <f ca="1">IF(AND(N887&lt;&gt;N886,ISNUMBER(SEARCH(Лист2!$B$6,N:N)),L887=2),MAX($M$3:OFFSET(M887,-1,0))+1,0)</f>
        <v>0</v>
      </c>
      <c r="N887" s="3" t="s">
        <v>1009</v>
      </c>
    </row>
    <row r="888" spans="1:14" x14ac:dyDescent="0.25">
      <c r="A888" s="1" t="s">
        <v>10489</v>
      </c>
      <c r="B888" s="3" t="s">
        <v>4512</v>
      </c>
      <c r="C888" s="2">
        <f ca="1">IF(ISNUMBER(SEARCH(Лист2!$B$4,D:D)),MAX($C$3:OFFSET(C888,-1,0))+1,0)</f>
        <v>0</v>
      </c>
      <c r="E888" s="9" t="str">
        <f t="shared" ca="1" si="25"/>
        <v/>
      </c>
      <c r="F888" s="4" t="s">
        <v>4</v>
      </c>
      <c r="G888" s="2">
        <f>IF(ISNUMBER(SEARCH(Лист2!$B$4,F:F)),1,0)</f>
        <v>0</v>
      </c>
      <c r="H888" s="3">
        <f ca="1">IF(AND(I888&lt;&gt;I887,ISNUMBER(SEARCH(Лист2!$B$5,I:I)),G888=1),MAX($H$3:OFFSET(H888,-1,0))+1,0)</f>
        <v>0</v>
      </c>
      <c r="I888" s="3" t="s">
        <v>131</v>
      </c>
      <c r="K888" s="2">
        <f>IF(ISNUMBER(SEARCH(Лист2!$B$4,F:F)),1,0)</f>
        <v>0</v>
      </c>
      <c r="L888" s="14">
        <f>IF(ISNUMBER(SEARCH(Лист2!$B$5,I:I)),1,0)+K888</f>
        <v>0</v>
      </c>
      <c r="M888" s="3">
        <f ca="1">IF(AND(N888&lt;&gt;N887,ISNUMBER(SEARCH(Лист2!$B$6,N:N)),L888=2),MAX($M$3:OFFSET(M888,-1,0))+1,0)</f>
        <v>0</v>
      </c>
      <c r="N888" s="3" t="s">
        <v>1010</v>
      </c>
    </row>
    <row r="889" spans="1:14" x14ac:dyDescent="0.25">
      <c r="A889" s="1" t="s">
        <v>10490</v>
      </c>
      <c r="B889" s="3" t="s">
        <v>4513</v>
      </c>
      <c r="C889" s="2">
        <f ca="1">IF(ISNUMBER(SEARCH(Лист2!$B$4,D:D)),MAX($C$3:OFFSET(C889,-1,0))+1,0)</f>
        <v>0</v>
      </c>
      <c r="E889" s="9" t="str">
        <f t="shared" ca="1" si="25"/>
        <v/>
      </c>
      <c r="F889" s="4" t="s">
        <v>4</v>
      </c>
      <c r="G889" s="2">
        <f>IF(ISNUMBER(SEARCH(Лист2!$B$4,F:F)),1,0)</f>
        <v>0</v>
      </c>
      <c r="H889" s="3">
        <f ca="1">IF(AND(I889&lt;&gt;I888,ISNUMBER(SEARCH(Лист2!$B$5,I:I)),G889=1),MAX($H$3:OFFSET(H889,-1,0))+1,0)</f>
        <v>0</v>
      </c>
      <c r="I889" s="3" t="s">
        <v>131</v>
      </c>
      <c r="K889" s="2">
        <f>IF(ISNUMBER(SEARCH(Лист2!$B$4,F:F)),1,0)</f>
        <v>0</v>
      </c>
      <c r="L889" s="14">
        <f>IF(ISNUMBER(SEARCH(Лист2!$B$5,I:I)),1,0)+K889</f>
        <v>0</v>
      </c>
      <c r="M889" s="3">
        <f ca="1">IF(AND(N889&lt;&gt;N888,ISNUMBER(SEARCH(Лист2!$B$6,N:N)),L889=2),MAX($M$3:OFFSET(M889,-1,0))+1,0)</f>
        <v>0</v>
      </c>
      <c r="N889" s="3" t="s">
        <v>1011</v>
      </c>
    </row>
    <row r="890" spans="1:14" x14ac:dyDescent="0.25">
      <c r="A890" s="1" t="s">
        <v>10490</v>
      </c>
      <c r="B890" s="3" t="s">
        <v>4514</v>
      </c>
      <c r="C890" s="2">
        <f ca="1">IF(ISNUMBER(SEARCH(Лист2!$B$4,D:D)),MAX($C$3:OFFSET(C890,-1,0))+1,0)</f>
        <v>0</v>
      </c>
      <c r="E890" s="9" t="str">
        <f t="shared" ca="1" si="25"/>
        <v/>
      </c>
      <c r="F890" s="4" t="s">
        <v>4</v>
      </c>
      <c r="G890" s="2">
        <f>IF(ISNUMBER(SEARCH(Лист2!$B$4,F:F)),1,0)</f>
        <v>0</v>
      </c>
      <c r="H890" s="3">
        <f ca="1">IF(AND(I890&lt;&gt;I889,ISNUMBER(SEARCH(Лист2!$B$5,I:I)),G890=1),MAX($H$3:OFFSET(H890,-1,0))+1,0)</f>
        <v>0</v>
      </c>
      <c r="I890" s="3" t="s">
        <v>131</v>
      </c>
      <c r="K890" s="2">
        <f>IF(ISNUMBER(SEARCH(Лист2!$B$4,F:F)),1,0)</f>
        <v>0</v>
      </c>
      <c r="L890" s="14">
        <f>IF(ISNUMBER(SEARCH(Лист2!$B$5,I:I)),1,0)+K890</f>
        <v>0</v>
      </c>
      <c r="M890" s="3">
        <f ca="1">IF(AND(N890&lt;&gt;N889,ISNUMBER(SEARCH(Лист2!$B$6,N:N)),L890=2),MAX($M$3:OFFSET(M890,-1,0))+1,0)</f>
        <v>0</v>
      </c>
      <c r="N890" s="3" t="s">
        <v>1011</v>
      </c>
    </row>
    <row r="891" spans="1:14" x14ac:dyDescent="0.25">
      <c r="A891" s="1" t="s">
        <v>10491</v>
      </c>
      <c r="B891" s="3" t="s">
        <v>4515</v>
      </c>
      <c r="C891" s="2">
        <f ca="1">IF(ISNUMBER(SEARCH(Лист2!$B$4,D:D)),MAX($C$3:OFFSET(C891,-1,0))+1,0)</f>
        <v>0</v>
      </c>
      <c r="E891" s="9" t="str">
        <f t="shared" ca="1" si="25"/>
        <v/>
      </c>
      <c r="F891" s="4" t="s">
        <v>4</v>
      </c>
      <c r="G891" s="2">
        <f>IF(ISNUMBER(SEARCH(Лист2!$B$4,F:F)),1,0)</f>
        <v>0</v>
      </c>
      <c r="H891" s="3">
        <f ca="1">IF(AND(I891&lt;&gt;I890,ISNUMBER(SEARCH(Лист2!$B$5,I:I)),G891=1),MAX($H$3:OFFSET(H891,-1,0))+1,0)</f>
        <v>0</v>
      </c>
      <c r="I891" s="3" t="s">
        <v>131</v>
      </c>
      <c r="K891" s="2">
        <f>IF(ISNUMBER(SEARCH(Лист2!$B$4,F:F)),1,0)</f>
        <v>0</v>
      </c>
      <c r="L891" s="14">
        <f>IF(ISNUMBER(SEARCH(Лист2!$B$5,I:I)),1,0)+K891</f>
        <v>0</v>
      </c>
      <c r="M891" s="3">
        <f ca="1">IF(AND(N891&lt;&gt;N890,ISNUMBER(SEARCH(Лист2!$B$6,N:N)),L891=2),MAX($M$3:OFFSET(M891,-1,0))+1,0)</f>
        <v>0</v>
      </c>
      <c r="N891" s="3" t="s">
        <v>1012</v>
      </c>
    </row>
    <row r="892" spans="1:14" x14ac:dyDescent="0.25">
      <c r="A892" s="1" t="s">
        <v>10492</v>
      </c>
      <c r="B892" s="3" t="s">
        <v>4516</v>
      </c>
      <c r="C892" s="2">
        <f ca="1">IF(ISNUMBER(SEARCH(Лист2!$B$4,D:D)),MAX($C$3:OFFSET(C892,-1,0))+1,0)</f>
        <v>0</v>
      </c>
      <c r="E892" s="9" t="str">
        <f t="shared" ca="1" si="25"/>
        <v/>
      </c>
      <c r="F892" s="4" t="s">
        <v>4</v>
      </c>
      <c r="G892" s="2">
        <f>IF(ISNUMBER(SEARCH(Лист2!$B$4,F:F)),1,0)</f>
        <v>0</v>
      </c>
      <c r="H892" s="3">
        <f ca="1">IF(AND(I892&lt;&gt;I891,ISNUMBER(SEARCH(Лист2!$B$5,I:I)),G892=1),MAX($H$3:OFFSET(H892,-1,0))+1,0)</f>
        <v>0</v>
      </c>
      <c r="I892" s="3" t="s">
        <v>132</v>
      </c>
      <c r="K892" s="2">
        <f>IF(ISNUMBER(SEARCH(Лист2!$B$4,F:F)),1,0)</f>
        <v>0</v>
      </c>
      <c r="L892" s="14">
        <f>IF(ISNUMBER(SEARCH(Лист2!$B$5,I:I)),1,0)+K892</f>
        <v>0</v>
      </c>
      <c r="M892" s="3">
        <f ca="1">IF(AND(N892&lt;&gt;N891,ISNUMBER(SEARCH(Лист2!$B$6,N:N)),L892=2),MAX($M$3:OFFSET(M892,-1,0))+1,0)</f>
        <v>0</v>
      </c>
      <c r="N892" s="3" t="s">
        <v>1013</v>
      </c>
    </row>
    <row r="893" spans="1:14" x14ac:dyDescent="0.25">
      <c r="A893" s="1" t="s">
        <v>10493</v>
      </c>
      <c r="B893" s="3" t="s">
        <v>4517</v>
      </c>
      <c r="C893" s="2">
        <f ca="1">IF(ISNUMBER(SEARCH(Лист2!$B$4,D:D)),MAX($C$3:OFFSET(C893,-1,0))+1,0)</f>
        <v>0</v>
      </c>
      <c r="E893" s="9" t="str">
        <f t="shared" ca="1" si="25"/>
        <v/>
      </c>
      <c r="F893" s="4" t="s">
        <v>4</v>
      </c>
      <c r="G893" s="2">
        <f>IF(ISNUMBER(SEARCH(Лист2!$B$4,F:F)),1,0)</f>
        <v>0</v>
      </c>
      <c r="H893" s="3">
        <f ca="1">IF(AND(I893&lt;&gt;I892,ISNUMBER(SEARCH(Лист2!$B$5,I:I)),G893=1),MAX($H$3:OFFSET(H893,-1,0))+1,0)</f>
        <v>0</v>
      </c>
      <c r="I893" s="3" t="s">
        <v>132</v>
      </c>
      <c r="K893" s="2">
        <f>IF(ISNUMBER(SEARCH(Лист2!$B$4,F:F)),1,0)</f>
        <v>0</v>
      </c>
      <c r="L893" s="14">
        <f>IF(ISNUMBER(SEARCH(Лист2!$B$5,I:I)),1,0)+K893</f>
        <v>0</v>
      </c>
      <c r="M893" s="3">
        <f ca="1">IF(AND(N893&lt;&gt;N892,ISNUMBER(SEARCH(Лист2!$B$6,N:N)),L893=2),MAX($M$3:OFFSET(M893,-1,0))+1,0)</f>
        <v>0</v>
      </c>
      <c r="N893" s="3" t="s">
        <v>1014</v>
      </c>
    </row>
    <row r="894" spans="1:14" x14ac:dyDescent="0.25">
      <c r="A894" s="1" t="s">
        <v>10494</v>
      </c>
      <c r="B894" s="3" t="s">
        <v>4518</v>
      </c>
      <c r="C894" s="2">
        <f ca="1">IF(ISNUMBER(SEARCH(Лист2!$B$4,D:D)),MAX($C$3:OFFSET(C894,-1,0))+1,0)</f>
        <v>0</v>
      </c>
      <c r="E894" s="9" t="str">
        <f t="shared" ca="1" si="25"/>
        <v/>
      </c>
      <c r="F894" s="4" t="s">
        <v>4</v>
      </c>
      <c r="G894" s="2">
        <f>IF(ISNUMBER(SEARCH(Лист2!$B$4,F:F)),1,0)</f>
        <v>0</v>
      </c>
      <c r="H894" s="3">
        <f ca="1">IF(AND(I894&lt;&gt;I893,ISNUMBER(SEARCH(Лист2!$B$5,I:I)),G894=1),MAX($H$3:OFFSET(H894,-1,0))+1,0)</f>
        <v>0</v>
      </c>
      <c r="I894" s="3" t="s">
        <v>132</v>
      </c>
      <c r="K894" s="2">
        <f>IF(ISNUMBER(SEARCH(Лист2!$B$4,F:F)),1,0)</f>
        <v>0</v>
      </c>
      <c r="L894" s="14">
        <f>IF(ISNUMBER(SEARCH(Лист2!$B$5,I:I)),1,0)+K894</f>
        <v>0</v>
      </c>
      <c r="M894" s="3">
        <f ca="1">IF(AND(N894&lt;&gt;N893,ISNUMBER(SEARCH(Лист2!$B$6,N:N)),L894=2),MAX($M$3:OFFSET(M894,-1,0))+1,0)</f>
        <v>0</v>
      </c>
      <c r="N894" s="3" t="s">
        <v>1015</v>
      </c>
    </row>
    <row r="895" spans="1:14" x14ac:dyDescent="0.25">
      <c r="A895" s="1" t="s">
        <v>10494</v>
      </c>
      <c r="B895" s="3" t="s">
        <v>4519</v>
      </c>
      <c r="C895" s="2">
        <f ca="1">IF(ISNUMBER(SEARCH(Лист2!$B$4,D:D)),MAX($C$3:OFFSET(C895,-1,0))+1,0)</f>
        <v>0</v>
      </c>
      <c r="E895" s="9" t="str">
        <f t="shared" ca="1" si="25"/>
        <v/>
      </c>
      <c r="F895" s="4" t="s">
        <v>4</v>
      </c>
      <c r="G895" s="2">
        <f>IF(ISNUMBER(SEARCH(Лист2!$B$4,F:F)),1,0)</f>
        <v>0</v>
      </c>
      <c r="H895" s="3">
        <f ca="1">IF(AND(I895&lt;&gt;I894,ISNUMBER(SEARCH(Лист2!$B$5,I:I)),G895=1),MAX($H$3:OFFSET(H895,-1,0))+1,0)</f>
        <v>0</v>
      </c>
      <c r="I895" s="3" t="s">
        <v>132</v>
      </c>
      <c r="K895" s="2">
        <f>IF(ISNUMBER(SEARCH(Лист2!$B$4,F:F)),1,0)</f>
        <v>0</v>
      </c>
      <c r="L895" s="14">
        <f>IF(ISNUMBER(SEARCH(Лист2!$B$5,I:I)),1,0)+K895</f>
        <v>0</v>
      </c>
      <c r="M895" s="3">
        <f ca="1">IF(AND(N895&lt;&gt;N894,ISNUMBER(SEARCH(Лист2!$B$6,N:N)),L895=2),MAX($M$3:OFFSET(M895,-1,0))+1,0)</f>
        <v>0</v>
      </c>
      <c r="N895" s="3" t="s">
        <v>1015</v>
      </c>
    </row>
    <row r="896" spans="1:14" x14ac:dyDescent="0.25">
      <c r="A896" s="1" t="s">
        <v>10495</v>
      </c>
      <c r="B896" s="3" t="s">
        <v>4520</v>
      </c>
      <c r="C896" s="2">
        <f ca="1">IF(ISNUMBER(SEARCH(Лист2!$B$4,D:D)),MAX($C$3:OFFSET(C896,-1,0))+1,0)</f>
        <v>0</v>
      </c>
      <c r="E896" s="9" t="str">
        <f t="shared" ca="1" si="25"/>
        <v/>
      </c>
      <c r="F896" s="4" t="s">
        <v>4</v>
      </c>
      <c r="G896" s="2">
        <f>IF(ISNUMBER(SEARCH(Лист2!$B$4,F:F)),1,0)</f>
        <v>0</v>
      </c>
      <c r="H896" s="3">
        <f ca="1">IF(AND(I896&lt;&gt;I895,ISNUMBER(SEARCH(Лист2!$B$5,I:I)),G896=1),MAX($H$3:OFFSET(H896,-1,0))+1,0)</f>
        <v>0</v>
      </c>
      <c r="I896" s="3" t="s">
        <v>132</v>
      </c>
      <c r="K896" s="2">
        <f>IF(ISNUMBER(SEARCH(Лист2!$B$4,F:F)),1,0)</f>
        <v>0</v>
      </c>
      <c r="L896" s="14">
        <f>IF(ISNUMBER(SEARCH(Лист2!$B$5,I:I)),1,0)+K896</f>
        <v>0</v>
      </c>
      <c r="M896" s="3">
        <f ca="1">IF(AND(N896&lt;&gt;N895,ISNUMBER(SEARCH(Лист2!$B$6,N:N)),L896=2),MAX($M$3:OFFSET(M896,-1,0))+1,0)</f>
        <v>0</v>
      </c>
      <c r="N896" s="3" t="s">
        <v>1016</v>
      </c>
    </row>
    <row r="897" spans="1:14" x14ac:dyDescent="0.25">
      <c r="A897" s="1" t="s">
        <v>10496</v>
      </c>
      <c r="B897" s="3" t="s">
        <v>4521</v>
      </c>
      <c r="C897" s="2">
        <f ca="1">IF(ISNUMBER(SEARCH(Лист2!$B$4,D:D)),MAX($C$3:OFFSET(C897,-1,0))+1,0)</f>
        <v>0</v>
      </c>
      <c r="E897" s="9" t="str">
        <f t="shared" ca="1" si="25"/>
        <v/>
      </c>
      <c r="F897" s="4" t="s">
        <v>4</v>
      </c>
      <c r="G897" s="2">
        <f>IF(ISNUMBER(SEARCH(Лист2!$B$4,F:F)),1,0)</f>
        <v>0</v>
      </c>
      <c r="H897" s="3">
        <f ca="1">IF(AND(I897&lt;&gt;I896,ISNUMBER(SEARCH(Лист2!$B$5,I:I)),G897=1),MAX($H$3:OFFSET(H897,-1,0))+1,0)</f>
        <v>0</v>
      </c>
      <c r="I897" s="3" t="s">
        <v>133</v>
      </c>
      <c r="K897" s="2">
        <f>IF(ISNUMBER(SEARCH(Лист2!$B$4,F:F)),1,0)</f>
        <v>0</v>
      </c>
      <c r="L897" s="14">
        <f>IF(ISNUMBER(SEARCH(Лист2!$B$5,I:I)),1,0)+K897</f>
        <v>0</v>
      </c>
      <c r="M897" s="3">
        <f ca="1">IF(AND(N897&lt;&gt;N896,ISNUMBER(SEARCH(Лист2!$B$6,N:N)),L897=2),MAX($M$3:OFFSET(M897,-1,0))+1,0)</f>
        <v>0</v>
      </c>
      <c r="N897" s="3" t="s">
        <v>1017</v>
      </c>
    </row>
    <row r="898" spans="1:14" x14ac:dyDescent="0.25">
      <c r="A898" s="1" t="s">
        <v>10496</v>
      </c>
      <c r="B898" s="3" t="s">
        <v>4522</v>
      </c>
      <c r="C898" s="2">
        <f ca="1">IF(ISNUMBER(SEARCH(Лист2!$B$4,D:D)),MAX($C$3:OFFSET(C898,-1,0))+1,0)</f>
        <v>0</v>
      </c>
      <c r="E898" s="9" t="str">
        <f t="shared" ca="1" si="25"/>
        <v/>
      </c>
      <c r="F898" s="4" t="s">
        <v>4</v>
      </c>
      <c r="G898" s="2">
        <f>IF(ISNUMBER(SEARCH(Лист2!$B$4,F:F)),1,0)</f>
        <v>0</v>
      </c>
      <c r="H898" s="3">
        <f ca="1">IF(AND(I898&lt;&gt;I897,ISNUMBER(SEARCH(Лист2!$B$5,I:I)),G898=1),MAX($H$3:OFFSET(H898,-1,0))+1,0)</f>
        <v>0</v>
      </c>
      <c r="I898" s="3" t="s">
        <v>133</v>
      </c>
      <c r="K898" s="2">
        <f>IF(ISNUMBER(SEARCH(Лист2!$B$4,F:F)),1,0)</f>
        <v>0</v>
      </c>
      <c r="L898" s="14">
        <f>IF(ISNUMBER(SEARCH(Лист2!$B$5,I:I)),1,0)+K898</f>
        <v>0</v>
      </c>
      <c r="M898" s="3">
        <f ca="1">IF(AND(N898&lt;&gt;N897,ISNUMBER(SEARCH(Лист2!$B$6,N:N)),L898=2),MAX($M$3:OFFSET(M898,-1,0))+1,0)</f>
        <v>0</v>
      </c>
      <c r="N898" s="3" t="s">
        <v>1017</v>
      </c>
    </row>
    <row r="899" spans="1:14" x14ac:dyDescent="0.25">
      <c r="A899" s="1" t="s">
        <v>10496</v>
      </c>
      <c r="B899" s="3" t="s">
        <v>4523</v>
      </c>
      <c r="C899" s="2">
        <f ca="1">IF(ISNUMBER(SEARCH(Лист2!$B$4,D:D)),MAX($C$3:OFFSET(C899,-1,0))+1,0)</f>
        <v>0</v>
      </c>
      <c r="E899" s="9" t="str">
        <f t="shared" ca="1" si="25"/>
        <v/>
      </c>
      <c r="F899" s="4" t="s">
        <v>4</v>
      </c>
      <c r="G899" s="2">
        <f>IF(ISNUMBER(SEARCH(Лист2!$B$4,F:F)),1,0)</f>
        <v>0</v>
      </c>
      <c r="H899" s="3">
        <f ca="1">IF(AND(I899&lt;&gt;I898,ISNUMBER(SEARCH(Лист2!$B$5,I:I)),G899=1),MAX($H$3:OFFSET(H899,-1,0))+1,0)</f>
        <v>0</v>
      </c>
      <c r="I899" s="3" t="s">
        <v>133</v>
      </c>
      <c r="K899" s="2">
        <f>IF(ISNUMBER(SEARCH(Лист2!$B$4,F:F)),1,0)</f>
        <v>0</v>
      </c>
      <c r="L899" s="14">
        <f>IF(ISNUMBER(SEARCH(Лист2!$B$5,I:I)),1,0)+K899</f>
        <v>0</v>
      </c>
      <c r="M899" s="3">
        <f ca="1">IF(AND(N899&lt;&gt;N898,ISNUMBER(SEARCH(Лист2!$B$6,N:N)),L899=2),MAX($M$3:OFFSET(M899,-1,0))+1,0)</f>
        <v>0</v>
      </c>
      <c r="N899" s="3" t="s">
        <v>1017</v>
      </c>
    </row>
    <row r="900" spans="1:14" x14ac:dyDescent="0.25">
      <c r="A900" s="1" t="s">
        <v>10497</v>
      </c>
      <c r="B900" s="3" t="s">
        <v>4524</v>
      </c>
      <c r="C900" s="2">
        <f ca="1">IF(ISNUMBER(SEARCH(Лист2!$B$4,D:D)),MAX($C$3:OFFSET(C900,-1,0))+1,0)</f>
        <v>0</v>
      </c>
      <c r="E900" s="9" t="str">
        <f t="shared" ca="1" si="25"/>
        <v/>
      </c>
      <c r="F900" s="4" t="s">
        <v>4</v>
      </c>
      <c r="G900" s="2">
        <f>IF(ISNUMBER(SEARCH(Лист2!$B$4,F:F)),1,0)</f>
        <v>0</v>
      </c>
      <c r="H900" s="3">
        <f ca="1">IF(AND(I900&lt;&gt;I899,ISNUMBER(SEARCH(Лист2!$B$5,I:I)),G900=1),MAX($H$3:OFFSET(H900,-1,0))+1,0)</f>
        <v>0</v>
      </c>
      <c r="I900" s="3" t="s">
        <v>133</v>
      </c>
      <c r="K900" s="2">
        <f>IF(ISNUMBER(SEARCH(Лист2!$B$4,F:F)),1,0)</f>
        <v>0</v>
      </c>
      <c r="L900" s="14">
        <f>IF(ISNUMBER(SEARCH(Лист2!$B$5,I:I)),1,0)+K900</f>
        <v>0</v>
      </c>
      <c r="M900" s="3">
        <f ca="1">IF(AND(N900&lt;&gt;N899,ISNUMBER(SEARCH(Лист2!$B$6,N:N)),L900=2),MAX($M$3:OFFSET(M900,-1,0))+1,0)</f>
        <v>0</v>
      </c>
      <c r="N900" s="3" t="s">
        <v>1018</v>
      </c>
    </row>
    <row r="901" spans="1:14" x14ac:dyDescent="0.25">
      <c r="A901" s="1" t="s">
        <v>10497</v>
      </c>
      <c r="B901" s="3" t="s">
        <v>4525</v>
      </c>
      <c r="C901" s="2">
        <f ca="1">IF(ISNUMBER(SEARCH(Лист2!$B$4,D:D)),MAX($C$3:OFFSET(C901,-1,0))+1,0)</f>
        <v>0</v>
      </c>
      <c r="E901" s="9" t="str">
        <f t="shared" ref="E901:E964" ca="1" si="26">IFERROR(INDEX(D:D,MATCH(ROW(E901)-ROW($E$3),C:C,0)),"")</f>
        <v/>
      </c>
      <c r="F901" s="4" t="s">
        <v>4</v>
      </c>
      <c r="G901" s="2">
        <f>IF(ISNUMBER(SEARCH(Лист2!$B$4,F:F)),1,0)</f>
        <v>0</v>
      </c>
      <c r="H901" s="3">
        <f ca="1">IF(AND(I901&lt;&gt;I900,ISNUMBER(SEARCH(Лист2!$B$5,I:I)),G901=1),MAX($H$3:OFFSET(H901,-1,0))+1,0)</f>
        <v>0</v>
      </c>
      <c r="I901" s="3" t="s">
        <v>133</v>
      </c>
      <c r="K901" s="2">
        <f>IF(ISNUMBER(SEARCH(Лист2!$B$4,F:F)),1,0)</f>
        <v>0</v>
      </c>
      <c r="L901" s="14">
        <f>IF(ISNUMBER(SEARCH(Лист2!$B$5,I:I)),1,0)+K901</f>
        <v>0</v>
      </c>
      <c r="M901" s="3">
        <f ca="1">IF(AND(N901&lt;&gt;N900,ISNUMBER(SEARCH(Лист2!$B$6,N:N)),L901=2),MAX($M$3:OFFSET(M901,-1,0))+1,0)</f>
        <v>0</v>
      </c>
      <c r="N901" s="3" t="s">
        <v>1018</v>
      </c>
    </row>
    <row r="902" spans="1:14" x14ac:dyDescent="0.25">
      <c r="A902" s="1" t="s">
        <v>10497</v>
      </c>
      <c r="B902" s="3" t="s">
        <v>4526</v>
      </c>
      <c r="C902" s="2">
        <f ca="1">IF(ISNUMBER(SEARCH(Лист2!$B$4,D:D)),MAX($C$3:OFFSET(C902,-1,0))+1,0)</f>
        <v>0</v>
      </c>
      <c r="E902" s="9" t="str">
        <f t="shared" ca="1" si="26"/>
        <v/>
      </c>
      <c r="F902" s="4" t="s">
        <v>4</v>
      </c>
      <c r="G902" s="2">
        <f>IF(ISNUMBER(SEARCH(Лист2!$B$4,F:F)),1,0)</f>
        <v>0</v>
      </c>
      <c r="H902" s="3">
        <f ca="1">IF(AND(I902&lt;&gt;I901,ISNUMBER(SEARCH(Лист2!$B$5,I:I)),G902=1),MAX($H$3:OFFSET(H902,-1,0))+1,0)</f>
        <v>0</v>
      </c>
      <c r="I902" s="3" t="s">
        <v>133</v>
      </c>
      <c r="K902" s="2">
        <f>IF(ISNUMBER(SEARCH(Лист2!$B$4,F:F)),1,0)</f>
        <v>0</v>
      </c>
      <c r="L902" s="14">
        <f>IF(ISNUMBER(SEARCH(Лист2!$B$5,I:I)),1,0)+K902</f>
        <v>0</v>
      </c>
      <c r="M902" s="3">
        <f ca="1">IF(AND(N902&lt;&gt;N901,ISNUMBER(SEARCH(Лист2!$B$6,N:N)),L902=2),MAX($M$3:OFFSET(M902,-1,0))+1,0)</f>
        <v>0</v>
      </c>
      <c r="N902" s="3" t="s">
        <v>1018</v>
      </c>
    </row>
    <row r="903" spans="1:14" x14ac:dyDescent="0.25">
      <c r="A903" s="1" t="s">
        <v>10498</v>
      </c>
      <c r="B903" s="3" t="s">
        <v>4527</v>
      </c>
      <c r="C903" s="2">
        <f ca="1">IF(ISNUMBER(SEARCH(Лист2!$B$4,D:D)),MAX($C$3:OFFSET(C903,-1,0))+1,0)</f>
        <v>0</v>
      </c>
      <c r="E903" s="9" t="str">
        <f t="shared" ca="1" si="26"/>
        <v/>
      </c>
      <c r="F903" s="4" t="s">
        <v>4</v>
      </c>
      <c r="G903" s="2">
        <f>IF(ISNUMBER(SEARCH(Лист2!$B$4,F:F)),1,0)</f>
        <v>0</v>
      </c>
      <c r="H903" s="3">
        <f ca="1">IF(AND(I903&lt;&gt;I902,ISNUMBER(SEARCH(Лист2!$B$5,I:I)),G903=1),MAX($H$3:OFFSET(H903,-1,0))+1,0)</f>
        <v>0</v>
      </c>
      <c r="I903" s="3" t="s">
        <v>133</v>
      </c>
      <c r="K903" s="2">
        <f>IF(ISNUMBER(SEARCH(Лист2!$B$4,F:F)),1,0)</f>
        <v>0</v>
      </c>
      <c r="L903" s="14">
        <f>IF(ISNUMBER(SEARCH(Лист2!$B$5,I:I)),1,0)+K903</f>
        <v>0</v>
      </c>
      <c r="M903" s="3">
        <f ca="1">IF(AND(N903&lt;&gt;N902,ISNUMBER(SEARCH(Лист2!$B$6,N:N)),L903=2),MAX($M$3:OFFSET(M903,-1,0))+1,0)</f>
        <v>0</v>
      </c>
      <c r="N903" s="3" t="s">
        <v>1019</v>
      </c>
    </row>
    <row r="904" spans="1:14" x14ac:dyDescent="0.25">
      <c r="A904" s="1" t="s">
        <v>10498</v>
      </c>
      <c r="B904" s="3" t="s">
        <v>4528</v>
      </c>
      <c r="C904" s="2">
        <f ca="1">IF(ISNUMBER(SEARCH(Лист2!$B$4,D:D)),MAX($C$3:OFFSET(C904,-1,0))+1,0)</f>
        <v>0</v>
      </c>
      <c r="E904" s="9" t="str">
        <f t="shared" ca="1" si="26"/>
        <v/>
      </c>
      <c r="F904" s="4" t="s">
        <v>4</v>
      </c>
      <c r="G904" s="2">
        <f>IF(ISNUMBER(SEARCH(Лист2!$B$4,F:F)),1,0)</f>
        <v>0</v>
      </c>
      <c r="H904" s="3">
        <f ca="1">IF(AND(I904&lt;&gt;I903,ISNUMBER(SEARCH(Лист2!$B$5,I:I)),G904=1),MAX($H$3:OFFSET(H904,-1,0))+1,0)</f>
        <v>0</v>
      </c>
      <c r="I904" s="3" t="s">
        <v>133</v>
      </c>
      <c r="K904" s="2">
        <f>IF(ISNUMBER(SEARCH(Лист2!$B$4,F:F)),1,0)</f>
        <v>0</v>
      </c>
      <c r="L904" s="14">
        <f>IF(ISNUMBER(SEARCH(Лист2!$B$5,I:I)),1,0)+K904</f>
        <v>0</v>
      </c>
      <c r="M904" s="3">
        <f ca="1">IF(AND(N904&lt;&gt;N903,ISNUMBER(SEARCH(Лист2!$B$6,N:N)),L904=2),MAX($M$3:OFFSET(M904,-1,0))+1,0)</f>
        <v>0</v>
      </c>
      <c r="N904" s="3" t="s">
        <v>1019</v>
      </c>
    </row>
    <row r="905" spans="1:14" x14ac:dyDescent="0.25">
      <c r="A905" s="1" t="s">
        <v>10498</v>
      </c>
      <c r="B905" s="3" t="s">
        <v>4529</v>
      </c>
      <c r="C905" s="2">
        <f ca="1">IF(ISNUMBER(SEARCH(Лист2!$B$4,D:D)),MAX($C$3:OFFSET(C905,-1,0))+1,0)</f>
        <v>0</v>
      </c>
      <c r="E905" s="9" t="str">
        <f t="shared" ca="1" si="26"/>
        <v/>
      </c>
      <c r="F905" s="4" t="s">
        <v>4</v>
      </c>
      <c r="G905" s="2">
        <f>IF(ISNUMBER(SEARCH(Лист2!$B$4,F:F)),1,0)</f>
        <v>0</v>
      </c>
      <c r="H905" s="3">
        <f ca="1">IF(AND(I905&lt;&gt;I904,ISNUMBER(SEARCH(Лист2!$B$5,I:I)),G905=1),MAX($H$3:OFFSET(H905,-1,0))+1,0)</f>
        <v>0</v>
      </c>
      <c r="I905" s="3" t="s">
        <v>133</v>
      </c>
      <c r="K905" s="2">
        <f>IF(ISNUMBER(SEARCH(Лист2!$B$4,F:F)),1,0)</f>
        <v>0</v>
      </c>
      <c r="L905" s="14">
        <f>IF(ISNUMBER(SEARCH(Лист2!$B$5,I:I)),1,0)+K905</f>
        <v>0</v>
      </c>
      <c r="M905" s="3">
        <f ca="1">IF(AND(N905&lt;&gt;N904,ISNUMBER(SEARCH(Лист2!$B$6,N:N)),L905=2),MAX($M$3:OFFSET(M905,-1,0))+1,0)</f>
        <v>0</v>
      </c>
      <c r="N905" s="3" t="s">
        <v>1019</v>
      </c>
    </row>
    <row r="906" spans="1:14" x14ac:dyDescent="0.25">
      <c r="A906" s="1" t="s">
        <v>10498</v>
      </c>
      <c r="B906" s="3" t="s">
        <v>4530</v>
      </c>
      <c r="C906" s="2">
        <f ca="1">IF(ISNUMBER(SEARCH(Лист2!$B$4,D:D)),MAX($C$3:OFFSET(C906,-1,0))+1,0)</f>
        <v>0</v>
      </c>
      <c r="E906" s="9" t="str">
        <f t="shared" ca="1" si="26"/>
        <v/>
      </c>
      <c r="F906" s="4" t="s">
        <v>4</v>
      </c>
      <c r="G906" s="2">
        <f>IF(ISNUMBER(SEARCH(Лист2!$B$4,F:F)),1,0)</f>
        <v>0</v>
      </c>
      <c r="H906" s="3">
        <f ca="1">IF(AND(I906&lt;&gt;I905,ISNUMBER(SEARCH(Лист2!$B$5,I:I)),G906=1),MAX($H$3:OFFSET(H906,-1,0))+1,0)</f>
        <v>0</v>
      </c>
      <c r="I906" s="3" t="s">
        <v>133</v>
      </c>
      <c r="K906" s="2">
        <f>IF(ISNUMBER(SEARCH(Лист2!$B$4,F:F)),1,0)</f>
        <v>0</v>
      </c>
      <c r="L906" s="14">
        <f>IF(ISNUMBER(SEARCH(Лист2!$B$5,I:I)),1,0)+K906</f>
        <v>0</v>
      </c>
      <c r="M906" s="3">
        <f ca="1">IF(AND(N906&lt;&gt;N905,ISNUMBER(SEARCH(Лист2!$B$6,N:N)),L906=2),MAX($M$3:OFFSET(M906,-1,0))+1,0)</f>
        <v>0</v>
      </c>
      <c r="N906" s="3" t="s">
        <v>1019</v>
      </c>
    </row>
    <row r="907" spans="1:14" x14ac:dyDescent="0.25">
      <c r="A907" s="1" t="s">
        <v>10498</v>
      </c>
      <c r="B907" s="3" t="s">
        <v>4531</v>
      </c>
      <c r="C907" s="2">
        <f ca="1">IF(ISNUMBER(SEARCH(Лист2!$B$4,D:D)),MAX($C$3:OFFSET(C907,-1,0))+1,0)</f>
        <v>0</v>
      </c>
      <c r="E907" s="9" t="str">
        <f t="shared" ca="1" si="26"/>
        <v/>
      </c>
      <c r="F907" s="4" t="s">
        <v>4</v>
      </c>
      <c r="G907" s="2">
        <f>IF(ISNUMBER(SEARCH(Лист2!$B$4,F:F)),1,0)</f>
        <v>0</v>
      </c>
      <c r="H907" s="3">
        <f ca="1">IF(AND(I907&lt;&gt;I906,ISNUMBER(SEARCH(Лист2!$B$5,I:I)),G907=1),MAX($H$3:OFFSET(H907,-1,0))+1,0)</f>
        <v>0</v>
      </c>
      <c r="I907" s="3" t="s">
        <v>133</v>
      </c>
      <c r="K907" s="2">
        <f>IF(ISNUMBER(SEARCH(Лист2!$B$4,F:F)),1,0)</f>
        <v>0</v>
      </c>
      <c r="L907" s="14">
        <f>IF(ISNUMBER(SEARCH(Лист2!$B$5,I:I)),1,0)+K907</f>
        <v>0</v>
      </c>
      <c r="M907" s="3">
        <f ca="1">IF(AND(N907&lt;&gt;N906,ISNUMBER(SEARCH(Лист2!$B$6,N:N)),L907=2),MAX($M$3:OFFSET(M907,-1,0))+1,0)</f>
        <v>0</v>
      </c>
      <c r="N907" s="3" t="s">
        <v>1019</v>
      </c>
    </row>
    <row r="908" spans="1:14" x14ac:dyDescent="0.25">
      <c r="A908" s="1" t="s">
        <v>10498</v>
      </c>
      <c r="B908" s="3" t="s">
        <v>4532</v>
      </c>
      <c r="C908" s="2">
        <f ca="1">IF(ISNUMBER(SEARCH(Лист2!$B$4,D:D)),MAX($C$3:OFFSET(C908,-1,0))+1,0)</f>
        <v>0</v>
      </c>
      <c r="E908" s="9" t="str">
        <f t="shared" ca="1" si="26"/>
        <v/>
      </c>
      <c r="F908" s="4" t="s">
        <v>4</v>
      </c>
      <c r="G908" s="2">
        <f>IF(ISNUMBER(SEARCH(Лист2!$B$4,F:F)),1,0)</f>
        <v>0</v>
      </c>
      <c r="H908" s="3">
        <f ca="1">IF(AND(I908&lt;&gt;I907,ISNUMBER(SEARCH(Лист2!$B$5,I:I)),G908=1),MAX($H$3:OFFSET(H908,-1,0))+1,0)</f>
        <v>0</v>
      </c>
      <c r="I908" s="3" t="s">
        <v>133</v>
      </c>
      <c r="K908" s="2">
        <f>IF(ISNUMBER(SEARCH(Лист2!$B$4,F:F)),1,0)</f>
        <v>0</v>
      </c>
      <c r="L908" s="14">
        <f>IF(ISNUMBER(SEARCH(Лист2!$B$5,I:I)),1,0)+K908</f>
        <v>0</v>
      </c>
      <c r="M908" s="3">
        <f ca="1">IF(AND(N908&lt;&gt;N907,ISNUMBER(SEARCH(Лист2!$B$6,N:N)),L908=2),MAX($M$3:OFFSET(M908,-1,0))+1,0)</f>
        <v>0</v>
      </c>
      <c r="N908" s="3" t="s">
        <v>1019</v>
      </c>
    </row>
    <row r="909" spans="1:14" x14ac:dyDescent="0.25">
      <c r="A909" s="1" t="s">
        <v>10499</v>
      </c>
      <c r="B909" s="3" t="s">
        <v>4533</v>
      </c>
      <c r="C909" s="2">
        <f ca="1">IF(ISNUMBER(SEARCH(Лист2!$B$4,D:D)),MAX($C$3:OFFSET(C909,-1,0))+1,0)</f>
        <v>0</v>
      </c>
      <c r="E909" s="9" t="str">
        <f t="shared" ca="1" si="26"/>
        <v/>
      </c>
      <c r="F909" s="4" t="s">
        <v>4</v>
      </c>
      <c r="G909" s="2">
        <f>IF(ISNUMBER(SEARCH(Лист2!$B$4,F:F)),1,0)</f>
        <v>0</v>
      </c>
      <c r="H909" s="3">
        <f ca="1">IF(AND(I909&lt;&gt;I908,ISNUMBER(SEARCH(Лист2!$B$5,I:I)),G909=1),MAX($H$3:OFFSET(H909,-1,0))+1,0)</f>
        <v>0</v>
      </c>
      <c r="I909" s="3" t="s">
        <v>133</v>
      </c>
      <c r="K909" s="2">
        <f>IF(ISNUMBER(SEARCH(Лист2!$B$4,F:F)),1,0)</f>
        <v>0</v>
      </c>
      <c r="L909" s="14">
        <f>IF(ISNUMBER(SEARCH(Лист2!$B$5,I:I)),1,0)+K909</f>
        <v>0</v>
      </c>
      <c r="M909" s="3">
        <f ca="1">IF(AND(N909&lt;&gt;N908,ISNUMBER(SEARCH(Лист2!$B$6,N:N)),L909=2),MAX($M$3:OFFSET(M909,-1,0))+1,0)</f>
        <v>0</v>
      </c>
      <c r="N909" s="3" t="s">
        <v>1020</v>
      </c>
    </row>
    <row r="910" spans="1:14" x14ac:dyDescent="0.25">
      <c r="A910" s="1" t="s">
        <v>10499</v>
      </c>
      <c r="B910" s="3" t="s">
        <v>4534</v>
      </c>
      <c r="C910" s="2">
        <f ca="1">IF(ISNUMBER(SEARCH(Лист2!$B$4,D:D)),MAX($C$3:OFFSET(C910,-1,0))+1,0)</f>
        <v>0</v>
      </c>
      <c r="E910" s="9" t="str">
        <f t="shared" ca="1" si="26"/>
        <v/>
      </c>
      <c r="F910" s="4" t="s">
        <v>4</v>
      </c>
      <c r="G910" s="2">
        <f>IF(ISNUMBER(SEARCH(Лист2!$B$4,F:F)),1,0)</f>
        <v>0</v>
      </c>
      <c r="H910" s="3">
        <f ca="1">IF(AND(I910&lt;&gt;I909,ISNUMBER(SEARCH(Лист2!$B$5,I:I)),G910=1),MAX($H$3:OFFSET(H910,-1,0))+1,0)</f>
        <v>0</v>
      </c>
      <c r="I910" s="3" t="s">
        <v>133</v>
      </c>
      <c r="K910" s="2">
        <f>IF(ISNUMBER(SEARCH(Лист2!$B$4,F:F)),1,0)</f>
        <v>0</v>
      </c>
      <c r="L910" s="14">
        <f>IF(ISNUMBER(SEARCH(Лист2!$B$5,I:I)),1,0)+K910</f>
        <v>0</v>
      </c>
      <c r="M910" s="3">
        <f ca="1">IF(AND(N910&lt;&gt;N909,ISNUMBER(SEARCH(Лист2!$B$6,N:N)),L910=2),MAX($M$3:OFFSET(M910,-1,0))+1,0)</f>
        <v>0</v>
      </c>
      <c r="N910" s="3" t="s">
        <v>1020</v>
      </c>
    </row>
    <row r="911" spans="1:14" x14ac:dyDescent="0.25">
      <c r="A911" s="1" t="s">
        <v>10499</v>
      </c>
      <c r="B911" s="3" t="s">
        <v>4535</v>
      </c>
      <c r="C911" s="2">
        <f ca="1">IF(ISNUMBER(SEARCH(Лист2!$B$4,D:D)),MAX($C$3:OFFSET(C911,-1,0))+1,0)</f>
        <v>0</v>
      </c>
      <c r="E911" s="9" t="str">
        <f t="shared" ca="1" si="26"/>
        <v/>
      </c>
      <c r="F911" s="4" t="s">
        <v>4</v>
      </c>
      <c r="G911" s="2">
        <f>IF(ISNUMBER(SEARCH(Лист2!$B$4,F:F)),1,0)</f>
        <v>0</v>
      </c>
      <c r="H911" s="3">
        <f ca="1">IF(AND(I911&lt;&gt;I910,ISNUMBER(SEARCH(Лист2!$B$5,I:I)),G911=1),MAX($H$3:OFFSET(H911,-1,0))+1,0)</f>
        <v>0</v>
      </c>
      <c r="I911" s="3" t="s">
        <v>133</v>
      </c>
      <c r="K911" s="2">
        <f>IF(ISNUMBER(SEARCH(Лист2!$B$4,F:F)),1,0)</f>
        <v>0</v>
      </c>
      <c r="L911" s="14">
        <f>IF(ISNUMBER(SEARCH(Лист2!$B$5,I:I)),1,0)+K911</f>
        <v>0</v>
      </c>
      <c r="M911" s="3">
        <f ca="1">IF(AND(N911&lt;&gt;N910,ISNUMBER(SEARCH(Лист2!$B$6,N:N)),L911=2),MAX($M$3:OFFSET(M911,-1,0))+1,0)</f>
        <v>0</v>
      </c>
      <c r="N911" s="3" t="s">
        <v>1020</v>
      </c>
    </row>
    <row r="912" spans="1:14" x14ac:dyDescent="0.25">
      <c r="A912" s="1" t="s">
        <v>10500</v>
      </c>
      <c r="B912" s="3" t="s">
        <v>4536</v>
      </c>
      <c r="C912" s="2">
        <f ca="1">IF(ISNUMBER(SEARCH(Лист2!$B$4,D:D)),MAX($C$3:OFFSET(C912,-1,0))+1,0)</f>
        <v>0</v>
      </c>
      <c r="E912" s="9" t="str">
        <f t="shared" ca="1" si="26"/>
        <v/>
      </c>
      <c r="F912" s="4" t="s">
        <v>4</v>
      </c>
      <c r="G912" s="2">
        <f>IF(ISNUMBER(SEARCH(Лист2!$B$4,F:F)),1,0)</f>
        <v>0</v>
      </c>
      <c r="H912" s="3">
        <f ca="1">IF(AND(I912&lt;&gt;I911,ISNUMBER(SEARCH(Лист2!$B$5,I:I)),G912=1),MAX($H$3:OFFSET(H912,-1,0))+1,0)</f>
        <v>0</v>
      </c>
      <c r="I912" s="3" t="s">
        <v>134</v>
      </c>
      <c r="K912" s="2">
        <f>IF(ISNUMBER(SEARCH(Лист2!$B$4,F:F)),1,0)</f>
        <v>0</v>
      </c>
      <c r="L912" s="14">
        <f>IF(ISNUMBER(SEARCH(Лист2!$B$5,I:I)),1,0)+K912</f>
        <v>0</v>
      </c>
      <c r="M912" s="3">
        <f ca="1">IF(AND(N912&lt;&gt;N911,ISNUMBER(SEARCH(Лист2!$B$6,N:N)),L912=2),MAX($M$3:OFFSET(M912,-1,0))+1,0)</f>
        <v>0</v>
      </c>
      <c r="N912" s="3" t="s">
        <v>1021</v>
      </c>
    </row>
    <row r="913" spans="1:14" x14ac:dyDescent="0.25">
      <c r="A913" s="1" t="s">
        <v>10500</v>
      </c>
      <c r="B913" s="3" t="s">
        <v>4537</v>
      </c>
      <c r="C913" s="2">
        <f ca="1">IF(ISNUMBER(SEARCH(Лист2!$B$4,D:D)),MAX($C$3:OFFSET(C913,-1,0))+1,0)</f>
        <v>0</v>
      </c>
      <c r="E913" s="9" t="str">
        <f t="shared" ca="1" si="26"/>
        <v/>
      </c>
      <c r="F913" s="4" t="s">
        <v>4</v>
      </c>
      <c r="G913" s="2">
        <f>IF(ISNUMBER(SEARCH(Лист2!$B$4,F:F)),1,0)</f>
        <v>0</v>
      </c>
      <c r="H913" s="3">
        <f ca="1">IF(AND(I913&lt;&gt;I912,ISNUMBER(SEARCH(Лист2!$B$5,I:I)),G913=1),MAX($H$3:OFFSET(H913,-1,0))+1,0)</f>
        <v>0</v>
      </c>
      <c r="I913" s="3" t="s">
        <v>134</v>
      </c>
      <c r="K913" s="2">
        <f>IF(ISNUMBER(SEARCH(Лист2!$B$4,F:F)),1,0)</f>
        <v>0</v>
      </c>
      <c r="L913" s="14">
        <f>IF(ISNUMBER(SEARCH(Лист2!$B$5,I:I)),1,0)+K913</f>
        <v>0</v>
      </c>
      <c r="M913" s="3">
        <f ca="1">IF(AND(N913&lt;&gt;N912,ISNUMBER(SEARCH(Лист2!$B$6,N:N)),L913=2),MAX($M$3:OFFSET(M913,-1,0))+1,0)</f>
        <v>0</v>
      </c>
      <c r="N913" s="3" t="s">
        <v>1021</v>
      </c>
    </row>
    <row r="914" spans="1:14" x14ac:dyDescent="0.25">
      <c r="A914" s="1" t="s">
        <v>10500</v>
      </c>
      <c r="B914" s="3" t="s">
        <v>4538</v>
      </c>
      <c r="C914" s="2">
        <f ca="1">IF(ISNUMBER(SEARCH(Лист2!$B$4,D:D)),MAX($C$3:OFFSET(C914,-1,0))+1,0)</f>
        <v>0</v>
      </c>
      <c r="E914" s="9" t="str">
        <f t="shared" ca="1" si="26"/>
        <v/>
      </c>
      <c r="F914" s="4" t="s">
        <v>4</v>
      </c>
      <c r="G914" s="2">
        <f>IF(ISNUMBER(SEARCH(Лист2!$B$4,F:F)),1,0)</f>
        <v>0</v>
      </c>
      <c r="H914" s="3">
        <f ca="1">IF(AND(I914&lt;&gt;I913,ISNUMBER(SEARCH(Лист2!$B$5,I:I)),G914=1),MAX($H$3:OFFSET(H914,-1,0))+1,0)</f>
        <v>0</v>
      </c>
      <c r="I914" s="3" t="s">
        <v>134</v>
      </c>
      <c r="K914" s="2">
        <f>IF(ISNUMBER(SEARCH(Лист2!$B$4,F:F)),1,0)</f>
        <v>0</v>
      </c>
      <c r="L914" s="14">
        <f>IF(ISNUMBER(SEARCH(Лист2!$B$5,I:I)),1,0)+K914</f>
        <v>0</v>
      </c>
      <c r="M914" s="3">
        <f ca="1">IF(AND(N914&lt;&gt;N913,ISNUMBER(SEARCH(Лист2!$B$6,N:N)),L914=2),MAX($M$3:OFFSET(M914,-1,0))+1,0)</f>
        <v>0</v>
      </c>
      <c r="N914" s="3" t="s">
        <v>1021</v>
      </c>
    </row>
    <row r="915" spans="1:14" x14ac:dyDescent="0.25">
      <c r="A915" s="1" t="s">
        <v>10501</v>
      </c>
      <c r="B915" s="3" t="s">
        <v>4539</v>
      </c>
      <c r="C915" s="2">
        <f ca="1">IF(ISNUMBER(SEARCH(Лист2!$B$4,D:D)),MAX($C$3:OFFSET(C915,-1,0))+1,0)</f>
        <v>0</v>
      </c>
      <c r="E915" s="9" t="str">
        <f t="shared" ca="1" si="26"/>
        <v/>
      </c>
      <c r="F915" s="4" t="s">
        <v>4</v>
      </c>
      <c r="G915" s="2">
        <f>IF(ISNUMBER(SEARCH(Лист2!$B$4,F:F)),1,0)</f>
        <v>0</v>
      </c>
      <c r="H915" s="3">
        <f ca="1">IF(AND(I915&lt;&gt;I914,ISNUMBER(SEARCH(Лист2!$B$5,I:I)),G915=1),MAX($H$3:OFFSET(H915,-1,0))+1,0)</f>
        <v>0</v>
      </c>
      <c r="I915" s="3" t="s">
        <v>134</v>
      </c>
      <c r="K915" s="2">
        <f>IF(ISNUMBER(SEARCH(Лист2!$B$4,F:F)),1,0)</f>
        <v>0</v>
      </c>
      <c r="L915" s="14">
        <f>IF(ISNUMBER(SEARCH(Лист2!$B$5,I:I)),1,0)+K915</f>
        <v>0</v>
      </c>
      <c r="M915" s="3">
        <f ca="1">IF(AND(N915&lt;&gt;N914,ISNUMBER(SEARCH(Лист2!$B$6,N:N)),L915=2),MAX($M$3:OFFSET(M915,-1,0))+1,0)</f>
        <v>0</v>
      </c>
      <c r="N915" s="3" t="s">
        <v>1022</v>
      </c>
    </row>
    <row r="916" spans="1:14" x14ac:dyDescent="0.25">
      <c r="A916" s="1" t="s">
        <v>10501</v>
      </c>
      <c r="B916" s="3" t="s">
        <v>4540</v>
      </c>
      <c r="C916" s="2">
        <f ca="1">IF(ISNUMBER(SEARCH(Лист2!$B$4,D:D)),MAX($C$3:OFFSET(C916,-1,0))+1,0)</f>
        <v>0</v>
      </c>
      <c r="E916" s="9" t="str">
        <f t="shared" ca="1" si="26"/>
        <v/>
      </c>
      <c r="F916" s="4" t="s">
        <v>4</v>
      </c>
      <c r="G916" s="2">
        <f>IF(ISNUMBER(SEARCH(Лист2!$B$4,F:F)),1,0)</f>
        <v>0</v>
      </c>
      <c r="H916" s="3">
        <f ca="1">IF(AND(I916&lt;&gt;I915,ISNUMBER(SEARCH(Лист2!$B$5,I:I)),G916=1),MAX($H$3:OFFSET(H916,-1,0))+1,0)</f>
        <v>0</v>
      </c>
      <c r="I916" s="3" t="s">
        <v>134</v>
      </c>
      <c r="K916" s="2">
        <f>IF(ISNUMBER(SEARCH(Лист2!$B$4,F:F)),1,0)</f>
        <v>0</v>
      </c>
      <c r="L916" s="14">
        <f>IF(ISNUMBER(SEARCH(Лист2!$B$5,I:I)),1,0)+K916</f>
        <v>0</v>
      </c>
      <c r="M916" s="3">
        <f ca="1">IF(AND(N916&lt;&gt;N915,ISNUMBER(SEARCH(Лист2!$B$6,N:N)),L916=2),MAX($M$3:OFFSET(M916,-1,0))+1,0)</f>
        <v>0</v>
      </c>
      <c r="N916" s="3" t="s">
        <v>1022</v>
      </c>
    </row>
    <row r="917" spans="1:14" x14ac:dyDescent="0.25">
      <c r="A917" s="1" t="s">
        <v>10501</v>
      </c>
      <c r="B917" s="3" t="s">
        <v>4541</v>
      </c>
      <c r="C917" s="2">
        <f ca="1">IF(ISNUMBER(SEARCH(Лист2!$B$4,D:D)),MAX($C$3:OFFSET(C917,-1,0))+1,0)</f>
        <v>0</v>
      </c>
      <c r="E917" s="9" t="str">
        <f t="shared" ca="1" si="26"/>
        <v/>
      </c>
      <c r="F917" s="4" t="s">
        <v>4</v>
      </c>
      <c r="G917" s="2">
        <f>IF(ISNUMBER(SEARCH(Лист2!$B$4,F:F)),1,0)</f>
        <v>0</v>
      </c>
      <c r="H917" s="3">
        <f ca="1">IF(AND(I917&lt;&gt;I916,ISNUMBER(SEARCH(Лист2!$B$5,I:I)),G917=1),MAX($H$3:OFFSET(H917,-1,0))+1,0)</f>
        <v>0</v>
      </c>
      <c r="I917" s="3" t="s">
        <v>134</v>
      </c>
      <c r="K917" s="2">
        <f>IF(ISNUMBER(SEARCH(Лист2!$B$4,F:F)),1,0)</f>
        <v>0</v>
      </c>
      <c r="L917" s="14">
        <f>IF(ISNUMBER(SEARCH(Лист2!$B$5,I:I)),1,0)+K917</f>
        <v>0</v>
      </c>
      <c r="M917" s="3">
        <f ca="1">IF(AND(N917&lt;&gt;N916,ISNUMBER(SEARCH(Лист2!$B$6,N:N)),L917=2),MAX($M$3:OFFSET(M917,-1,0))+1,0)</f>
        <v>0</v>
      </c>
      <c r="N917" s="3" t="s">
        <v>1022</v>
      </c>
    </row>
    <row r="918" spans="1:14" x14ac:dyDescent="0.25">
      <c r="A918" s="1" t="s">
        <v>10502</v>
      </c>
      <c r="B918" s="3" t="s">
        <v>4542</v>
      </c>
      <c r="C918" s="2">
        <f ca="1">IF(ISNUMBER(SEARCH(Лист2!$B$4,D:D)),MAX($C$3:OFFSET(C918,-1,0))+1,0)</f>
        <v>0</v>
      </c>
      <c r="E918" s="9" t="str">
        <f t="shared" ca="1" si="26"/>
        <v/>
      </c>
      <c r="F918" s="4" t="s">
        <v>4</v>
      </c>
      <c r="G918" s="2">
        <f>IF(ISNUMBER(SEARCH(Лист2!$B$4,F:F)),1,0)</f>
        <v>0</v>
      </c>
      <c r="H918" s="3">
        <f ca="1">IF(AND(I918&lt;&gt;I917,ISNUMBER(SEARCH(Лист2!$B$5,I:I)),G918=1),MAX($H$3:OFFSET(H918,-1,0))+1,0)</f>
        <v>0</v>
      </c>
      <c r="I918" s="3" t="s">
        <v>134</v>
      </c>
      <c r="K918" s="2">
        <f>IF(ISNUMBER(SEARCH(Лист2!$B$4,F:F)),1,0)</f>
        <v>0</v>
      </c>
      <c r="L918" s="14">
        <f>IF(ISNUMBER(SEARCH(Лист2!$B$5,I:I)),1,0)+K918</f>
        <v>0</v>
      </c>
      <c r="M918" s="3">
        <f ca="1">IF(AND(N918&lt;&gt;N917,ISNUMBER(SEARCH(Лист2!$B$6,N:N)),L918=2),MAX($M$3:OFFSET(M918,-1,0))+1,0)</f>
        <v>0</v>
      </c>
      <c r="N918" s="3" t="s">
        <v>1023</v>
      </c>
    </row>
    <row r="919" spans="1:14" x14ac:dyDescent="0.25">
      <c r="A919" s="1" t="s">
        <v>10502</v>
      </c>
      <c r="B919" s="3" t="s">
        <v>4543</v>
      </c>
      <c r="C919" s="2">
        <f ca="1">IF(ISNUMBER(SEARCH(Лист2!$B$4,D:D)),MAX($C$3:OFFSET(C919,-1,0))+1,0)</f>
        <v>0</v>
      </c>
      <c r="E919" s="9" t="str">
        <f t="shared" ca="1" si="26"/>
        <v/>
      </c>
      <c r="F919" s="4" t="s">
        <v>4</v>
      </c>
      <c r="G919" s="2">
        <f>IF(ISNUMBER(SEARCH(Лист2!$B$4,F:F)),1,0)</f>
        <v>0</v>
      </c>
      <c r="H919" s="3">
        <f ca="1">IF(AND(I919&lt;&gt;I918,ISNUMBER(SEARCH(Лист2!$B$5,I:I)),G919=1),MAX($H$3:OFFSET(H919,-1,0))+1,0)</f>
        <v>0</v>
      </c>
      <c r="I919" s="3" t="s">
        <v>134</v>
      </c>
      <c r="K919" s="2">
        <f>IF(ISNUMBER(SEARCH(Лист2!$B$4,F:F)),1,0)</f>
        <v>0</v>
      </c>
      <c r="L919" s="14">
        <f>IF(ISNUMBER(SEARCH(Лист2!$B$5,I:I)),1,0)+K919</f>
        <v>0</v>
      </c>
      <c r="M919" s="3">
        <f ca="1">IF(AND(N919&lt;&gt;N918,ISNUMBER(SEARCH(Лист2!$B$6,N:N)),L919=2),MAX($M$3:OFFSET(M919,-1,0))+1,0)</f>
        <v>0</v>
      </c>
      <c r="N919" s="3" t="s">
        <v>1023</v>
      </c>
    </row>
    <row r="920" spans="1:14" x14ac:dyDescent="0.25">
      <c r="A920" s="1" t="s">
        <v>10502</v>
      </c>
      <c r="B920" s="3" t="s">
        <v>4544</v>
      </c>
      <c r="C920" s="2">
        <f ca="1">IF(ISNUMBER(SEARCH(Лист2!$B$4,D:D)),MAX($C$3:OFFSET(C920,-1,0))+1,0)</f>
        <v>0</v>
      </c>
      <c r="E920" s="9" t="str">
        <f t="shared" ca="1" si="26"/>
        <v/>
      </c>
      <c r="F920" s="4" t="s">
        <v>4</v>
      </c>
      <c r="G920" s="2">
        <f>IF(ISNUMBER(SEARCH(Лист2!$B$4,F:F)),1,0)</f>
        <v>0</v>
      </c>
      <c r="H920" s="3">
        <f ca="1">IF(AND(I920&lt;&gt;I919,ISNUMBER(SEARCH(Лист2!$B$5,I:I)),G920=1),MAX($H$3:OFFSET(H920,-1,0))+1,0)</f>
        <v>0</v>
      </c>
      <c r="I920" s="3" t="s">
        <v>134</v>
      </c>
      <c r="K920" s="2">
        <f>IF(ISNUMBER(SEARCH(Лист2!$B$4,F:F)),1,0)</f>
        <v>0</v>
      </c>
      <c r="L920" s="14">
        <f>IF(ISNUMBER(SEARCH(Лист2!$B$5,I:I)),1,0)+K920</f>
        <v>0</v>
      </c>
      <c r="M920" s="3">
        <f ca="1">IF(AND(N920&lt;&gt;N919,ISNUMBER(SEARCH(Лист2!$B$6,N:N)),L920=2),MAX($M$3:OFFSET(M920,-1,0))+1,0)</f>
        <v>0</v>
      </c>
      <c r="N920" s="3" t="s">
        <v>1023</v>
      </c>
    </row>
    <row r="921" spans="1:14" x14ac:dyDescent="0.25">
      <c r="A921" s="1" t="s">
        <v>10502</v>
      </c>
      <c r="B921" s="3" t="s">
        <v>4545</v>
      </c>
      <c r="C921" s="2">
        <f ca="1">IF(ISNUMBER(SEARCH(Лист2!$B$4,D:D)),MAX($C$3:OFFSET(C921,-1,0))+1,0)</f>
        <v>0</v>
      </c>
      <c r="E921" s="9" t="str">
        <f t="shared" ca="1" si="26"/>
        <v/>
      </c>
      <c r="F921" s="4" t="s">
        <v>4</v>
      </c>
      <c r="G921" s="2">
        <f>IF(ISNUMBER(SEARCH(Лист2!$B$4,F:F)),1,0)</f>
        <v>0</v>
      </c>
      <c r="H921" s="3">
        <f ca="1">IF(AND(I921&lt;&gt;I920,ISNUMBER(SEARCH(Лист2!$B$5,I:I)),G921=1),MAX($H$3:OFFSET(H921,-1,0))+1,0)</f>
        <v>0</v>
      </c>
      <c r="I921" s="3" t="s">
        <v>134</v>
      </c>
      <c r="K921" s="2">
        <f>IF(ISNUMBER(SEARCH(Лист2!$B$4,F:F)),1,0)</f>
        <v>0</v>
      </c>
      <c r="L921" s="14">
        <f>IF(ISNUMBER(SEARCH(Лист2!$B$5,I:I)),1,0)+K921</f>
        <v>0</v>
      </c>
      <c r="M921" s="3">
        <f ca="1">IF(AND(N921&lt;&gt;N920,ISNUMBER(SEARCH(Лист2!$B$6,N:N)),L921=2),MAX($M$3:OFFSET(M921,-1,0))+1,0)</f>
        <v>0</v>
      </c>
      <c r="N921" s="3" t="s">
        <v>1023</v>
      </c>
    </row>
    <row r="922" spans="1:14" x14ac:dyDescent="0.25">
      <c r="A922" s="1" t="s">
        <v>10502</v>
      </c>
      <c r="B922" s="3" t="s">
        <v>4546</v>
      </c>
      <c r="C922" s="2">
        <f ca="1">IF(ISNUMBER(SEARCH(Лист2!$B$4,D:D)),MAX($C$3:OFFSET(C922,-1,0))+1,0)</f>
        <v>0</v>
      </c>
      <c r="E922" s="9" t="str">
        <f t="shared" ca="1" si="26"/>
        <v/>
      </c>
      <c r="F922" s="4" t="s">
        <v>4</v>
      </c>
      <c r="G922" s="2">
        <f>IF(ISNUMBER(SEARCH(Лист2!$B$4,F:F)),1,0)</f>
        <v>0</v>
      </c>
      <c r="H922" s="3">
        <f ca="1">IF(AND(I922&lt;&gt;I921,ISNUMBER(SEARCH(Лист2!$B$5,I:I)),G922=1),MAX($H$3:OFFSET(H922,-1,0))+1,0)</f>
        <v>0</v>
      </c>
      <c r="I922" s="3" t="s">
        <v>134</v>
      </c>
      <c r="K922" s="2">
        <f>IF(ISNUMBER(SEARCH(Лист2!$B$4,F:F)),1,0)</f>
        <v>0</v>
      </c>
      <c r="L922" s="14">
        <f>IF(ISNUMBER(SEARCH(Лист2!$B$5,I:I)),1,0)+K922</f>
        <v>0</v>
      </c>
      <c r="M922" s="3">
        <f ca="1">IF(AND(N922&lt;&gt;N921,ISNUMBER(SEARCH(Лист2!$B$6,N:N)),L922=2),MAX($M$3:OFFSET(M922,-1,0))+1,0)</f>
        <v>0</v>
      </c>
      <c r="N922" s="3" t="s">
        <v>1023</v>
      </c>
    </row>
    <row r="923" spans="1:14" x14ac:dyDescent="0.25">
      <c r="A923" s="1" t="s">
        <v>10502</v>
      </c>
      <c r="B923" s="3" t="s">
        <v>4547</v>
      </c>
      <c r="C923" s="2">
        <f ca="1">IF(ISNUMBER(SEARCH(Лист2!$B$4,D:D)),MAX($C$3:OFFSET(C923,-1,0))+1,0)</f>
        <v>0</v>
      </c>
      <c r="E923" s="9" t="str">
        <f t="shared" ca="1" si="26"/>
        <v/>
      </c>
      <c r="F923" s="4" t="s">
        <v>4</v>
      </c>
      <c r="G923" s="2">
        <f>IF(ISNUMBER(SEARCH(Лист2!$B$4,F:F)),1,0)</f>
        <v>0</v>
      </c>
      <c r="H923" s="3">
        <f ca="1">IF(AND(I923&lt;&gt;I922,ISNUMBER(SEARCH(Лист2!$B$5,I:I)),G923=1),MAX($H$3:OFFSET(H923,-1,0))+1,0)</f>
        <v>0</v>
      </c>
      <c r="I923" s="3" t="s">
        <v>134</v>
      </c>
      <c r="K923" s="2">
        <f>IF(ISNUMBER(SEARCH(Лист2!$B$4,F:F)),1,0)</f>
        <v>0</v>
      </c>
      <c r="L923" s="14">
        <f>IF(ISNUMBER(SEARCH(Лист2!$B$5,I:I)),1,0)+K923</f>
        <v>0</v>
      </c>
      <c r="M923" s="3">
        <f ca="1">IF(AND(N923&lt;&gt;N922,ISNUMBER(SEARCH(Лист2!$B$6,N:N)),L923=2),MAX($M$3:OFFSET(M923,-1,0))+1,0)</f>
        <v>0</v>
      </c>
      <c r="N923" s="3" t="s">
        <v>1023</v>
      </c>
    </row>
    <row r="924" spans="1:14" x14ac:dyDescent="0.25">
      <c r="A924" s="1" t="s">
        <v>10503</v>
      </c>
      <c r="B924" s="3" t="s">
        <v>4548</v>
      </c>
      <c r="C924" s="2">
        <f ca="1">IF(ISNUMBER(SEARCH(Лист2!$B$4,D:D)),MAX($C$3:OFFSET(C924,-1,0))+1,0)</f>
        <v>0</v>
      </c>
      <c r="E924" s="9" t="str">
        <f t="shared" ca="1" si="26"/>
        <v/>
      </c>
      <c r="F924" s="4" t="s">
        <v>4</v>
      </c>
      <c r="G924" s="2">
        <f>IF(ISNUMBER(SEARCH(Лист2!$B$4,F:F)),1,0)</f>
        <v>0</v>
      </c>
      <c r="H924" s="3">
        <f ca="1">IF(AND(I924&lt;&gt;I923,ISNUMBER(SEARCH(Лист2!$B$5,I:I)),G924=1),MAX($H$3:OFFSET(H924,-1,0))+1,0)</f>
        <v>0</v>
      </c>
      <c r="I924" s="3" t="s">
        <v>134</v>
      </c>
      <c r="K924" s="2">
        <f>IF(ISNUMBER(SEARCH(Лист2!$B$4,F:F)),1,0)</f>
        <v>0</v>
      </c>
      <c r="L924" s="14">
        <f>IF(ISNUMBER(SEARCH(Лист2!$B$5,I:I)),1,0)+K924</f>
        <v>0</v>
      </c>
      <c r="M924" s="3">
        <f ca="1">IF(AND(N924&lt;&gt;N923,ISNUMBER(SEARCH(Лист2!$B$6,N:N)),L924=2),MAX($M$3:OFFSET(M924,-1,0))+1,0)</f>
        <v>0</v>
      </c>
      <c r="N924" s="3" t="s">
        <v>1024</v>
      </c>
    </row>
    <row r="925" spans="1:14" x14ac:dyDescent="0.25">
      <c r="A925" s="1" t="s">
        <v>10503</v>
      </c>
      <c r="B925" s="3" t="s">
        <v>4549</v>
      </c>
      <c r="C925" s="2">
        <f ca="1">IF(ISNUMBER(SEARCH(Лист2!$B$4,D:D)),MAX($C$3:OFFSET(C925,-1,0))+1,0)</f>
        <v>0</v>
      </c>
      <c r="E925" s="9" t="str">
        <f t="shared" ca="1" si="26"/>
        <v/>
      </c>
      <c r="F925" s="4" t="s">
        <v>4</v>
      </c>
      <c r="G925" s="2">
        <f>IF(ISNUMBER(SEARCH(Лист2!$B$4,F:F)),1,0)</f>
        <v>0</v>
      </c>
      <c r="H925" s="3">
        <f ca="1">IF(AND(I925&lt;&gt;I924,ISNUMBER(SEARCH(Лист2!$B$5,I:I)),G925=1),MAX($H$3:OFFSET(H925,-1,0))+1,0)</f>
        <v>0</v>
      </c>
      <c r="I925" s="3" t="s">
        <v>134</v>
      </c>
      <c r="K925" s="2">
        <f>IF(ISNUMBER(SEARCH(Лист2!$B$4,F:F)),1,0)</f>
        <v>0</v>
      </c>
      <c r="L925" s="14">
        <f>IF(ISNUMBER(SEARCH(Лист2!$B$5,I:I)),1,0)+K925</f>
        <v>0</v>
      </c>
      <c r="M925" s="3">
        <f ca="1">IF(AND(N925&lt;&gt;N924,ISNUMBER(SEARCH(Лист2!$B$6,N:N)),L925=2),MAX($M$3:OFFSET(M925,-1,0))+1,0)</f>
        <v>0</v>
      </c>
      <c r="N925" s="3" t="s">
        <v>1024</v>
      </c>
    </row>
    <row r="926" spans="1:14" x14ac:dyDescent="0.25">
      <c r="A926" s="1" t="s">
        <v>10503</v>
      </c>
      <c r="B926" s="3" t="s">
        <v>4550</v>
      </c>
      <c r="C926" s="2">
        <f ca="1">IF(ISNUMBER(SEARCH(Лист2!$B$4,D:D)),MAX($C$3:OFFSET(C926,-1,0))+1,0)</f>
        <v>0</v>
      </c>
      <c r="E926" s="9" t="str">
        <f t="shared" ca="1" si="26"/>
        <v/>
      </c>
      <c r="F926" s="4" t="s">
        <v>4</v>
      </c>
      <c r="G926" s="2">
        <f>IF(ISNUMBER(SEARCH(Лист2!$B$4,F:F)),1,0)</f>
        <v>0</v>
      </c>
      <c r="H926" s="3">
        <f ca="1">IF(AND(I926&lt;&gt;I925,ISNUMBER(SEARCH(Лист2!$B$5,I:I)),G926=1),MAX($H$3:OFFSET(H926,-1,0))+1,0)</f>
        <v>0</v>
      </c>
      <c r="I926" s="3" t="s">
        <v>134</v>
      </c>
      <c r="K926" s="2">
        <f>IF(ISNUMBER(SEARCH(Лист2!$B$4,F:F)),1,0)</f>
        <v>0</v>
      </c>
      <c r="L926" s="14">
        <f>IF(ISNUMBER(SEARCH(Лист2!$B$5,I:I)),1,0)+K926</f>
        <v>0</v>
      </c>
      <c r="M926" s="3">
        <f ca="1">IF(AND(N926&lt;&gt;N925,ISNUMBER(SEARCH(Лист2!$B$6,N:N)),L926=2),MAX($M$3:OFFSET(M926,-1,0))+1,0)</f>
        <v>0</v>
      </c>
      <c r="N926" s="3" t="s">
        <v>1024</v>
      </c>
    </row>
    <row r="927" spans="1:14" x14ac:dyDescent="0.25">
      <c r="A927" s="1" t="s">
        <v>10504</v>
      </c>
      <c r="B927" s="3" t="s">
        <v>4551</v>
      </c>
      <c r="C927" s="2">
        <f ca="1">IF(ISNUMBER(SEARCH(Лист2!$B$4,D:D)),MAX($C$3:OFFSET(C927,-1,0))+1,0)</f>
        <v>0</v>
      </c>
      <c r="E927" s="9" t="str">
        <f t="shared" ca="1" si="26"/>
        <v/>
      </c>
      <c r="F927" s="4" t="s">
        <v>4</v>
      </c>
      <c r="G927" s="2">
        <f>IF(ISNUMBER(SEARCH(Лист2!$B$4,F:F)),1,0)</f>
        <v>0</v>
      </c>
      <c r="H927" s="3">
        <f ca="1">IF(AND(I927&lt;&gt;I926,ISNUMBER(SEARCH(Лист2!$B$5,I:I)),G927=1),MAX($H$3:OFFSET(H927,-1,0))+1,0)</f>
        <v>0</v>
      </c>
      <c r="I927" s="3" t="s">
        <v>135</v>
      </c>
      <c r="K927" s="2">
        <f>IF(ISNUMBER(SEARCH(Лист2!$B$4,F:F)),1,0)</f>
        <v>0</v>
      </c>
      <c r="L927" s="14">
        <f>IF(ISNUMBER(SEARCH(Лист2!$B$5,I:I)),1,0)+K927</f>
        <v>0</v>
      </c>
      <c r="M927" s="3">
        <f ca="1">IF(AND(N927&lt;&gt;N926,ISNUMBER(SEARCH(Лист2!$B$6,N:N)),L927=2),MAX($M$3:OFFSET(M927,-1,0))+1,0)</f>
        <v>0</v>
      </c>
      <c r="N927" s="3" t="s">
        <v>1025</v>
      </c>
    </row>
    <row r="928" spans="1:14" x14ac:dyDescent="0.25">
      <c r="A928" s="1" t="s">
        <v>10504</v>
      </c>
      <c r="B928" s="3" t="s">
        <v>4552</v>
      </c>
      <c r="C928" s="2">
        <f ca="1">IF(ISNUMBER(SEARCH(Лист2!$B$4,D:D)),MAX($C$3:OFFSET(C928,-1,0))+1,0)</f>
        <v>0</v>
      </c>
      <c r="E928" s="9" t="str">
        <f t="shared" ca="1" si="26"/>
        <v/>
      </c>
      <c r="F928" s="4" t="s">
        <v>4</v>
      </c>
      <c r="G928" s="2">
        <f>IF(ISNUMBER(SEARCH(Лист2!$B$4,F:F)),1,0)</f>
        <v>0</v>
      </c>
      <c r="H928" s="3">
        <f ca="1">IF(AND(I928&lt;&gt;I927,ISNUMBER(SEARCH(Лист2!$B$5,I:I)),G928=1),MAX($H$3:OFFSET(H928,-1,0))+1,0)</f>
        <v>0</v>
      </c>
      <c r="I928" s="3" t="s">
        <v>135</v>
      </c>
      <c r="K928" s="2">
        <f>IF(ISNUMBER(SEARCH(Лист2!$B$4,F:F)),1,0)</f>
        <v>0</v>
      </c>
      <c r="L928" s="14">
        <f>IF(ISNUMBER(SEARCH(Лист2!$B$5,I:I)),1,0)+K928</f>
        <v>0</v>
      </c>
      <c r="M928" s="3">
        <f ca="1">IF(AND(N928&lt;&gt;N927,ISNUMBER(SEARCH(Лист2!$B$6,N:N)),L928=2),MAX($M$3:OFFSET(M928,-1,0))+1,0)</f>
        <v>0</v>
      </c>
      <c r="N928" s="3" t="s">
        <v>1025</v>
      </c>
    </row>
    <row r="929" spans="1:14" x14ac:dyDescent="0.25">
      <c r="A929" s="1" t="s">
        <v>10504</v>
      </c>
      <c r="B929" s="3" t="s">
        <v>4553</v>
      </c>
      <c r="C929" s="2">
        <f ca="1">IF(ISNUMBER(SEARCH(Лист2!$B$4,D:D)),MAX($C$3:OFFSET(C929,-1,0))+1,0)</f>
        <v>0</v>
      </c>
      <c r="E929" s="9" t="str">
        <f t="shared" ca="1" si="26"/>
        <v/>
      </c>
      <c r="F929" s="4" t="s">
        <v>4</v>
      </c>
      <c r="G929" s="2">
        <f>IF(ISNUMBER(SEARCH(Лист2!$B$4,F:F)),1,0)</f>
        <v>0</v>
      </c>
      <c r="H929" s="3">
        <f ca="1">IF(AND(I929&lt;&gt;I928,ISNUMBER(SEARCH(Лист2!$B$5,I:I)),G929=1),MAX($H$3:OFFSET(H929,-1,0))+1,0)</f>
        <v>0</v>
      </c>
      <c r="I929" s="3" t="s">
        <v>135</v>
      </c>
      <c r="K929" s="2">
        <f>IF(ISNUMBER(SEARCH(Лист2!$B$4,F:F)),1,0)</f>
        <v>0</v>
      </c>
      <c r="L929" s="14">
        <f>IF(ISNUMBER(SEARCH(Лист2!$B$5,I:I)),1,0)+K929</f>
        <v>0</v>
      </c>
      <c r="M929" s="3">
        <f ca="1">IF(AND(N929&lt;&gt;N928,ISNUMBER(SEARCH(Лист2!$B$6,N:N)),L929=2),MAX($M$3:OFFSET(M929,-1,0))+1,0)</f>
        <v>0</v>
      </c>
      <c r="N929" s="3" t="s">
        <v>1025</v>
      </c>
    </row>
    <row r="930" spans="1:14" x14ac:dyDescent="0.25">
      <c r="A930" s="1" t="s">
        <v>10505</v>
      </c>
      <c r="B930" s="3" t="s">
        <v>4554</v>
      </c>
      <c r="C930" s="2">
        <f ca="1">IF(ISNUMBER(SEARCH(Лист2!$B$4,D:D)),MAX($C$3:OFFSET(C930,-1,0))+1,0)</f>
        <v>0</v>
      </c>
      <c r="E930" s="9" t="str">
        <f t="shared" ca="1" si="26"/>
        <v/>
      </c>
      <c r="F930" s="4" t="s">
        <v>4</v>
      </c>
      <c r="G930" s="2">
        <f>IF(ISNUMBER(SEARCH(Лист2!$B$4,F:F)),1,0)</f>
        <v>0</v>
      </c>
      <c r="H930" s="3">
        <f ca="1">IF(AND(I930&lt;&gt;I929,ISNUMBER(SEARCH(Лист2!$B$5,I:I)),G930=1),MAX($H$3:OFFSET(H930,-1,0))+1,0)</f>
        <v>0</v>
      </c>
      <c r="I930" s="3" t="s">
        <v>135</v>
      </c>
      <c r="K930" s="2">
        <f>IF(ISNUMBER(SEARCH(Лист2!$B$4,F:F)),1,0)</f>
        <v>0</v>
      </c>
      <c r="L930" s="14">
        <f>IF(ISNUMBER(SEARCH(Лист2!$B$5,I:I)),1,0)+K930</f>
        <v>0</v>
      </c>
      <c r="M930" s="3">
        <f ca="1">IF(AND(N930&lt;&gt;N929,ISNUMBER(SEARCH(Лист2!$B$6,N:N)),L930=2),MAX($M$3:OFFSET(M930,-1,0))+1,0)</f>
        <v>0</v>
      </c>
      <c r="N930" s="3" t="s">
        <v>1026</v>
      </c>
    </row>
    <row r="931" spans="1:14" x14ac:dyDescent="0.25">
      <c r="A931" s="1" t="s">
        <v>10505</v>
      </c>
      <c r="B931" s="3" t="s">
        <v>4555</v>
      </c>
      <c r="C931" s="2">
        <f ca="1">IF(ISNUMBER(SEARCH(Лист2!$B$4,D:D)),MAX($C$3:OFFSET(C931,-1,0))+1,0)</f>
        <v>0</v>
      </c>
      <c r="E931" s="9" t="str">
        <f t="shared" ca="1" si="26"/>
        <v/>
      </c>
      <c r="F931" s="4" t="s">
        <v>4</v>
      </c>
      <c r="G931" s="2">
        <f>IF(ISNUMBER(SEARCH(Лист2!$B$4,F:F)),1,0)</f>
        <v>0</v>
      </c>
      <c r="H931" s="3">
        <f ca="1">IF(AND(I931&lt;&gt;I930,ISNUMBER(SEARCH(Лист2!$B$5,I:I)),G931=1),MAX($H$3:OFFSET(H931,-1,0))+1,0)</f>
        <v>0</v>
      </c>
      <c r="I931" s="3" t="s">
        <v>135</v>
      </c>
      <c r="K931" s="2">
        <f>IF(ISNUMBER(SEARCH(Лист2!$B$4,F:F)),1,0)</f>
        <v>0</v>
      </c>
      <c r="L931" s="14">
        <f>IF(ISNUMBER(SEARCH(Лист2!$B$5,I:I)),1,0)+K931</f>
        <v>0</v>
      </c>
      <c r="M931" s="3">
        <f ca="1">IF(AND(N931&lt;&gt;N930,ISNUMBER(SEARCH(Лист2!$B$6,N:N)),L931=2),MAX($M$3:OFFSET(M931,-1,0))+1,0)</f>
        <v>0</v>
      </c>
      <c r="N931" s="3" t="s">
        <v>1026</v>
      </c>
    </row>
    <row r="932" spans="1:14" x14ac:dyDescent="0.25">
      <c r="A932" s="1" t="s">
        <v>10505</v>
      </c>
      <c r="B932" s="3" t="s">
        <v>4556</v>
      </c>
      <c r="C932" s="2">
        <f ca="1">IF(ISNUMBER(SEARCH(Лист2!$B$4,D:D)),MAX($C$3:OFFSET(C932,-1,0))+1,0)</f>
        <v>0</v>
      </c>
      <c r="E932" s="9" t="str">
        <f t="shared" ca="1" si="26"/>
        <v/>
      </c>
      <c r="F932" s="4" t="s">
        <v>4</v>
      </c>
      <c r="G932" s="2">
        <f>IF(ISNUMBER(SEARCH(Лист2!$B$4,F:F)),1,0)</f>
        <v>0</v>
      </c>
      <c r="H932" s="3">
        <f ca="1">IF(AND(I932&lt;&gt;I931,ISNUMBER(SEARCH(Лист2!$B$5,I:I)),G932=1),MAX($H$3:OFFSET(H932,-1,0))+1,0)</f>
        <v>0</v>
      </c>
      <c r="I932" s="3" t="s">
        <v>135</v>
      </c>
      <c r="K932" s="2">
        <f>IF(ISNUMBER(SEARCH(Лист2!$B$4,F:F)),1,0)</f>
        <v>0</v>
      </c>
      <c r="L932" s="14">
        <f>IF(ISNUMBER(SEARCH(Лист2!$B$5,I:I)),1,0)+K932</f>
        <v>0</v>
      </c>
      <c r="M932" s="3">
        <f ca="1">IF(AND(N932&lt;&gt;N931,ISNUMBER(SEARCH(Лист2!$B$6,N:N)),L932=2),MAX($M$3:OFFSET(M932,-1,0))+1,0)</f>
        <v>0</v>
      </c>
      <c r="N932" s="3" t="s">
        <v>1026</v>
      </c>
    </row>
    <row r="933" spans="1:14" x14ac:dyDescent="0.25">
      <c r="A933" s="1" t="s">
        <v>10506</v>
      </c>
      <c r="B933" s="3" t="s">
        <v>4557</v>
      </c>
      <c r="C933" s="2">
        <f ca="1">IF(ISNUMBER(SEARCH(Лист2!$B$4,D:D)),MAX($C$3:OFFSET(C933,-1,0))+1,0)</f>
        <v>0</v>
      </c>
      <c r="E933" s="9" t="str">
        <f t="shared" ca="1" si="26"/>
        <v/>
      </c>
      <c r="F933" s="4" t="s">
        <v>4</v>
      </c>
      <c r="G933" s="2">
        <f>IF(ISNUMBER(SEARCH(Лист2!$B$4,F:F)),1,0)</f>
        <v>0</v>
      </c>
      <c r="H933" s="3">
        <f ca="1">IF(AND(I933&lt;&gt;I932,ISNUMBER(SEARCH(Лист2!$B$5,I:I)),G933=1),MAX($H$3:OFFSET(H933,-1,0))+1,0)</f>
        <v>0</v>
      </c>
      <c r="I933" s="3" t="s">
        <v>135</v>
      </c>
      <c r="K933" s="2">
        <f>IF(ISNUMBER(SEARCH(Лист2!$B$4,F:F)),1,0)</f>
        <v>0</v>
      </c>
      <c r="L933" s="14">
        <f>IF(ISNUMBER(SEARCH(Лист2!$B$5,I:I)),1,0)+K933</f>
        <v>0</v>
      </c>
      <c r="M933" s="3">
        <f ca="1">IF(AND(N933&lt;&gt;N932,ISNUMBER(SEARCH(Лист2!$B$6,N:N)),L933=2),MAX($M$3:OFFSET(M933,-1,0))+1,0)</f>
        <v>0</v>
      </c>
      <c r="N933" s="3" t="s">
        <v>1027</v>
      </c>
    </row>
    <row r="934" spans="1:14" x14ac:dyDescent="0.25">
      <c r="A934" s="1" t="s">
        <v>10506</v>
      </c>
      <c r="B934" s="3" t="s">
        <v>4558</v>
      </c>
      <c r="C934" s="2">
        <f ca="1">IF(ISNUMBER(SEARCH(Лист2!$B$4,D:D)),MAX($C$3:OFFSET(C934,-1,0))+1,0)</f>
        <v>0</v>
      </c>
      <c r="E934" s="9" t="str">
        <f t="shared" ca="1" si="26"/>
        <v/>
      </c>
      <c r="F934" s="4" t="s">
        <v>4</v>
      </c>
      <c r="G934" s="2">
        <f>IF(ISNUMBER(SEARCH(Лист2!$B$4,F:F)),1,0)</f>
        <v>0</v>
      </c>
      <c r="H934" s="3">
        <f ca="1">IF(AND(I934&lt;&gt;I933,ISNUMBER(SEARCH(Лист2!$B$5,I:I)),G934=1),MAX($H$3:OFFSET(H934,-1,0))+1,0)</f>
        <v>0</v>
      </c>
      <c r="I934" s="3" t="s">
        <v>135</v>
      </c>
      <c r="K934" s="2">
        <f>IF(ISNUMBER(SEARCH(Лист2!$B$4,F:F)),1,0)</f>
        <v>0</v>
      </c>
      <c r="L934" s="14">
        <f>IF(ISNUMBER(SEARCH(Лист2!$B$5,I:I)),1,0)+K934</f>
        <v>0</v>
      </c>
      <c r="M934" s="3">
        <f ca="1">IF(AND(N934&lt;&gt;N933,ISNUMBER(SEARCH(Лист2!$B$6,N:N)),L934=2),MAX($M$3:OFFSET(M934,-1,0))+1,0)</f>
        <v>0</v>
      </c>
      <c r="N934" s="3" t="s">
        <v>1027</v>
      </c>
    </row>
    <row r="935" spans="1:14" x14ac:dyDescent="0.25">
      <c r="A935" s="1" t="s">
        <v>10506</v>
      </c>
      <c r="B935" s="3" t="s">
        <v>4559</v>
      </c>
      <c r="C935" s="2">
        <f ca="1">IF(ISNUMBER(SEARCH(Лист2!$B$4,D:D)),MAX($C$3:OFFSET(C935,-1,0))+1,0)</f>
        <v>0</v>
      </c>
      <c r="E935" s="9" t="str">
        <f t="shared" ca="1" si="26"/>
        <v/>
      </c>
      <c r="F935" s="4" t="s">
        <v>4</v>
      </c>
      <c r="G935" s="2">
        <f>IF(ISNUMBER(SEARCH(Лист2!$B$4,F:F)),1,0)</f>
        <v>0</v>
      </c>
      <c r="H935" s="3">
        <f ca="1">IF(AND(I935&lt;&gt;I934,ISNUMBER(SEARCH(Лист2!$B$5,I:I)),G935=1),MAX($H$3:OFFSET(H935,-1,0))+1,0)</f>
        <v>0</v>
      </c>
      <c r="I935" s="3" t="s">
        <v>135</v>
      </c>
      <c r="K935" s="2">
        <f>IF(ISNUMBER(SEARCH(Лист2!$B$4,F:F)),1,0)</f>
        <v>0</v>
      </c>
      <c r="L935" s="14">
        <f>IF(ISNUMBER(SEARCH(Лист2!$B$5,I:I)),1,0)+K935</f>
        <v>0</v>
      </c>
      <c r="M935" s="3">
        <f ca="1">IF(AND(N935&lt;&gt;N934,ISNUMBER(SEARCH(Лист2!$B$6,N:N)),L935=2),MAX($M$3:OFFSET(M935,-1,0))+1,0)</f>
        <v>0</v>
      </c>
      <c r="N935" s="3" t="s">
        <v>1027</v>
      </c>
    </row>
    <row r="936" spans="1:14" x14ac:dyDescent="0.25">
      <c r="A936" s="1" t="s">
        <v>10506</v>
      </c>
      <c r="B936" s="3" t="s">
        <v>4560</v>
      </c>
      <c r="C936" s="2">
        <f ca="1">IF(ISNUMBER(SEARCH(Лист2!$B$4,D:D)),MAX($C$3:OFFSET(C936,-1,0))+1,0)</f>
        <v>0</v>
      </c>
      <c r="E936" s="9" t="str">
        <f t="shared" ca="1" si="26"/>
        <v/>
      </c>
      <c r="F936" s="4" t="s">
        <v>4</v>
      </c>
      <c r="G936" s="2">
        <f>IF(ISNUMBER(SEARCH(Лист2!$B$4,F:F)),1,0)</f>
        <v>0</v>
      </c>
      <c r="H936" s="3">
        <f ca="1">IF(AND(I936&lt;&gt;I935,ISNUMBER(SEARCH(Лист2!$B$5,I:I)),G936=1),MAX($H$3:OFFSET(H936,-1,0))+1,0)</f>
        <v>0</v>
      </c>
      <c r="I936" s="3" t="s">
        <v>135</v>
      </c>
      <c r="K936" s="2">
        <f>IF(ISNUMBER(SEARCH(Лист2!$B$4,F:F)),1,0)</f>
        <v>0</v>
      </c>
      <c r="L936" s="14">
        <f>IF(ISNUMBER(SEARCH(Лист2!$B$5,I:I)),1,0)+K936</f>
        <v>0</v>
      </c>
      <c r="M936" s="3">
        <f ca="1">IF(AND(N936&lt;&gt;N935,ISNUMBER(SEARCH(Лист2!$B$6,N:N)),L936=2),MAX($M$3:OFFSET(M936,-1,0))+1,0)</f>
        <v>0</v>
      </c>
      <c r="N936" s="3" t="s">
        <v>1027</v>
      </c>
    </row>
    <row r="937" spans="1:14" x14ac:dyDescent="0.25">
      <c r="A937" s="1" t="s">
        <v>10506</v>
      </c>
      <c r="B937" s="3" t="s">
        <v>4561</v>
      </c>
      <c r="C937" s="2">
        <f ca="1">IF(ISNUMBER(SEARCH(Лист2!$B$4,D:D)),MAX($C$3:OFFSET(C937,-1,0))+1,0)</f>
        <v>0</v>
      </c>
      <c r="E937" s="9" t="str">
        <f t="shared" ca="1" si="26"/>
        <v/>
      </c>
      <c r="F937" s="4" t="s">
        <v>4</v>
      </c>
      <c r="G937" s="2">
        <f>IF(ISNUMBER(SEARCH(Лист2!$B$4,F:F)),1,0)</f>
        <v>0</v>
      </c>
      <c r="H937" s="3">
        <f ca="1">IF(AND(I937&lt;&gt;I936,ISNUMBER(SEARCH(Лист2!$B$5,I:I)),G937=1),MAX($H$3:OFFSET(H937,-1,0))+1,0)</f>
        <v>0</v>
      </c>
      <c r="I937" s="3" t="s">
        <v>135</v>
      </c>
      <c r="K937" s="2">
        <f>IF(ISNUMBER(SEARCH(Лист2!$B$4,F:F)),1,0)</f>
        <v>0</v>
      </c>
      <c r="L937" s="14">
        <f>IF(ISNUMBER(SEARCH(Лист2!$B$5,I:I)),1,0)+K937</f>
        <v>0</v>
      </c>
      <c r="M937" s="3">
        <f ca="1">IF(AND(N937&lt;&gt;N936,ISNUMBER(SEARCH(Лист2!$B$6,N:N)),L937=2),MAX($M$3:OFFSET(M937,-1,0))+1,0)</f>
        <v>0</v>
      </c>
      <c r="N937" s="3" t="s">
        <v>1027</v>
      </c>
    </row>
    <row r="938" spans="1:14" x14ac:dyDescent="0.25">
      <c r="A938" s="1" t="s">
        <v>10506</v>
      </c>
      <c r="B938" s="3" t="s">
        <v>4562</v>
      </c>
      <c r="C938" s="2">
        <f ca="1">IF(ISNUMBER(SEARCH(Лист2!$B$4,D:D)),MAX($C$3:OFFSET(C938,-1,0))+1,0)</f>
        <v>0</v>
      </c>
      <c r="E938" s="9" t="str">
        <f t="shared" ca="1" si="26"/>
        <v/>
      </c>
      <c r="F938" s="4" t="s">
        <v>4</v>
      </c>
      <c r="G938" s="2">
        <f>IF(ISNUMBER(SEARCH(Лист2!$B$4,F:F)),1,0)</f>
        <v>0</v>
      </c>
      <c r="H938" s="3">
        <f ca="1">IF(AND(I938&lt;&gt;I937,ISNUMBER(SEARCH(Лист2!$B$5,I:I)),G938=1),MAX($H$3:OFFSET(H938,-1,0))+1,0)</f>
        <v>0</v>
      </c>
      <c r="I938" s="3" t="s">
        <v>135</v>
      </c>
      <c r="K938" s="2">
        <f>IF(ISNUMBER(SEARCH(Лист2!$B$4,F:F)),1,0)</f>
        <v>0</v>
      </c>
      <c r="L938" s="14">
        <f>IF(ISNUMBER(SEARCH(Лист2!$B$5,I:I)),1,0)+K938</f>
        <v>0</v>
      </c>
      <c r="M938" s="3">
        <f ca="1">IF(AND(N938&lt;&gt;N937,ISNUMBER(SEARCH(Лист2!$B$6,N:N)),L938=2),MAX($M$3:OFFSET(M938,-1,0))+1,0)</f>
        <v>0</v>
      </c>
      <c r="N938" s="3" t="s">
        <v>1027</v>
      </c>
    </row>
    <row r="939" spans="1:14" x14ac:dyDescent="0.25">
      <c r="A939" s="1" t="s">
        <v>10507</v>
      </c>
      <c r="B939" s="3" t="s">
        <v>4563</v>
      </c>
      <c r="C939" s="2">
        <f ca="1">IF(ISNUMBER(SEARCH(Лист2!$B$4,D:D)),MAX($C$3:OFFSET(C939,-1,0))+1,0)</f>
        <v>0</v>
      </c>
      <c r="E939" s="9" t="str">
        <f t="shared" ca="1" si="26"/>
        <v/>
      </c>
      <c r="F939" s="4" t="s">
        <v>4</v>
      </c>
      <c r="G939" s="2">
        <f>IF(ISNUMBER(SEARCH(Лист2!$B$4,F:F)),1,0)</f>
        <v>0</v>
      </c>
      <c r="H939" s="3">
        <f ca="1">IF(AND(I939&lt;&gt;I938,ISNUMBER(SEARCH(Лист2!$B$5,I:I)),G939=1),MAX($H$3:OFFSET(H939,-1,0))+1,0)</f>
        <v>0</v>
      </c>
      <c r="I939" s="3" t="s">
        <v>135</v>
      </c>
      <c r="K939" s="2">
        <f>IF(ISNUMBER(SEARCH(Лист2!$B$4,F:F)),1,0)</f>
        <v>0</v>
      </c>
      <c r="L939" s="14">
        <f>IF(ISNUMBER(SEARCH(Лист2!$B$5,I:I)),1,0)+K939</f>
        <v>0</v>
      </c>
      <c r="M939" s="3">
        <f ca="1">IF(AND(N939&lt;&gt;N938,ISNUMBER(SEARCH(Лист2!$B$6,N:N)),L939=2),MAX($M$3:OFFSET(M939,-1,0))+1,0)</f>
        <v>0</v>
      </c>
      <c r="N939" s="3" t="s">
        <v>1028</v>
      </c>
    </row>
    <row r="940" spans="1:14" x14ac:dyDescent="0.25">
      <c r="A940" s="1" t="s">
        <v>10507</v>
      </c>
      <c r="B940" s="3" t="s">
        <v>4564</v>
      </c>
      <c r="C940" s="2">
        <f ca="1">IF(ISNUMBER(SEARCH(Лист2!$B$4,D:D)),MAX($C$3:OFFSET(C940,-1,0))+1,0)</f>
        <v>0</v>
      </c>
      <c r="E940" s="9" t="str">
        <f t="shared" ca="1" si="26"/>
        <v/>
      </c>
      <c r="F940" s="4" t="s">
        <v>4</v>
      </c>
      <c r="G940" s="2">
        <f>IF(ISNUMBER(SEARCH(Лист2!$B$4,F:F)),1,0)</f>
        <v>0</v>
      </c>
      <c r="H940" s="3">
        <f ca="1">IF(AND(I940&lt;&gt;I939,ISNUMBER(SEARCH(Лист2!$B$5,I:I)),G940=1),MAX($H$3:OFFSET(H940,-1,0))+1,0)</f>
        <v>0</v>
      </c>
      <c r="I940" s="3" t="s">
        <v>135</v>
      </c>
      <c r="K940" s="2">
        <f>IF(ISNUMBER(SEARCH(Лист2!$B$4,F:F)),1,0)</f>
        <v>0</v>
      </c>
      <c r="L940" s="14">
        <f>IF(ISNUMBER(SEARCH(Лист2!$B$5,I:I)),1,0)+K940</f>
        <v>0</v>
      </c>
      <c r="M940" s="3">
        <f ca="1">IF(AND(N940&lt;&gt;N939,ISNUMBER(SEARCH(Лист2!$B$6,N:N)),L940=2),MAX($M$3:OFFSET(M940,-1,0))+1,0)</f>
        <v>0</v>
      </c>
      <c r="N940" s="3" t="s">
        <v>1028</v>
      </c>
    </row>
    <row r="941" spans="1:14" x14ac:dyDescent="0.25">
      <c r="A941" s="1" t="s">
        <v>10507</v>
      </c>
      <c r="B941" s="3" t="s">
        <v>4565</v>
      </c>
      <c r="C941" s="2">
        <f ca="1">IF(ISNUMBER(SEARCH(Лист2!$B$4,D:D)),MAX($C$3:OFFSET(C941,-1,0))+1,0)</f>
        <v>0</v>
      </c>
      <c r="E941" s="9" t="str">
        <f t="shared" ca="1" si="26"/>
        <v/>
      </c>
      <c r="F941" s="4" t="s">
        <v>4</v>
      </c>
      <c r="G941" s="2">
        <f>IF(ISNUMBER(SEARCH(Лист2!$B$4,F:F)),1,0)</f>
        <v>0</v>
      </c>
      <c r="H941" s="3">
        <f ca="1">IF(AND(I941&lt;&gt;I940,ISNUMBER(SEARCH(Лист2!$B$5,I:I)),G941=1),MAX($H$3:OFFSET(H941,-1,0))+1,0)</f>
        <v>0</v>
      </c>
      <c r="I941" s="3" t="s">
        <v>135</v>
      </c>
      <c r="K941" s="2">
        <f>IF(ISNUMBER(SEARCH(Лист2!$B$4,F:F)),1,0)</f>
        <v>0</v>
      </c>
      <c r="L941" s="14">
        <f>IF(ISNUMBER(SEARCH(Лист2!$B$5,I:I)),1,0)+K941</f>
        <v>0</v>
      </c>
      <c r="M941" s="3">
        <f ca="1">IF(AND(N941&lt;&gt;N940,ISNUMBER(SEARCH(Лист2!$B$6,N:N)),L941=2),MAX($M$3:OFFSET(M941,-1,0))+1,0)</f>
        <v>0</v>
      </c>
      <c r="N941" s="3" t="s">
        <v>1028</v>
      </c>
    </row>
    <row r="942" spans="1:14" x14ac:dyDescent="0.25">
      <c r="A942" s="1" t="s">
        <v>10508</v>
      </c>
      <c r="B942" s="3" t="s">
        <v>4566</v>
      </c>
      <c r="C942" s="2">
        <f ca="1">IF(ISNUMBER(SEARCH(Лист2!$B$4,D:D)),MAX($C$3:OFFSET(C942,-1,0))+1,0)</f>
        <v>0</v>
      </c>
      <c r="E942" s="9" t="str">
        <f t="shared" ca="1" si="26"/>
        <v/>
      </c>
      <c r="F942" s="4" t="s">
        <v>4</v>
      </c>
      <c r="G942" s="2">
        <f>IF(ISNUMBER(SEARCH(Лист2!$B$4,F:F)),1,0)</f>
        <v>0</v>
      </c>
      <c r="H942" s="3">
        <f ca="1">IF(AND(I942&lt;&gt;I941,ISNUMBER(SEARCH(Лист2!$B$5,I:I)),G942=1),MAX($H$3:OFFSET(H942,-1,0))+1,0)</f>
        <v>0</v>
      </c>
      <c r="I942" s="3" t="s">
        <v>136</v>
      </c>
      <c r="K942" s="2">
        <f>IF(ISNUMBER(SEARCH(Лист2!$B$4,F:F)),1,0)</f>
        <v>0</v>
      </c>
      <c r="L942" s="14">
        <f>IF(ISNUMBER(SEARCH(Лист2!$B$5,I:I)),1,0)+K942</f>
        <v>0</v>
      </c>
      <c r="M942" s="3">
        <f ca="1">IF(AND(N942&lt;&gt;N941,ISNUMBER(SEARCH(Лист2!$B$6,N:N)),L942=2),MAX($M$3:OFFSET(M942,-1,0))+1,0)</f>
        <v>0</v>
      </c>
      <c r="N942" s="3" t="s">
        <v>1029</v>
      </c>
    </row>
    <row r="943" spans="1:14" x14ac:dyDescent="0.25">
      <c r="A943" s="1" t="s">
        <v>10508</v>
      </c>
      <c r="B943" s="3" t="s">
        <v>4567</v>
      </c>
      <c r="C943" s="2">
        <f ca="1">IF(ISNUMBER(SEARCH(Лист2!$B$4,D:D)),MAX($C$3:OFFSET(C943,-1,0))+1,0)</f>
        <v>0</v>
      </c>
      <c r="E943" s="9" t="str">
        <f t="shared" ca="1" si="26"/>
        <v/>
      </c>
      <c r="F943" s="4" t="s">
        <v>4</v>
      </c>
      <c r="G943" s="2">
        <f>IF(ISNUMBER(SEARCH(Лист2!$B$4,F:F)),1,0)</f>
        <v>0</v>
      </c>
      <c r="H943" s="3">
        <f ca="1">IF(AND(I943&lt;&gt;I942,ISNUMBER(SEARCH(Лист2!$B$5,I:I)),G943=1),MAX($H$3:OFFSET(H943,-1,0))+1,0)</f>
        <v>0</v>
      </c>
      <c r="I943" s="3" t="s">
        <v>136</v>
      </c>
      <c r="K943" s="2">
        <f>IF(ISNUMBER(SEARCH(Лист2!$B$4,F:F)),1,0)</f>
        <v>0</v>
      </c>
      <c r="L943" s="14">
        <f>IF(ISNUMBER(SEARCH(Лист2!$B$5,I:I)),1,0)+K943</f>
        <v>0</v>
      </c>
      <c r="M943" s="3">
        <f ca="1">IF(AND(N943&lt;&gt;N942,ISNUMBER(SEARCH(Лист2!$B$6,N:N)),L943=2),MAX($M$3:OFFSET(M943,-1,0))+1,0)</f>
        <v>0</v>
      </c>
      <c r="N943" s="3" t="s">
        <v>1029</v>
      </c>
    </row>
    <row r="944" spans="1:14" x14ac:dyDescent="0.25">
      <c r="A944" s="1" t="s">
        <v>10508</v>
      </c>
      <c r="B944" s="3" t="s">
        <v>4568</v>
      </c>
      <c r="C944" s="2">
        <f ca="1">IF(ISNUMBER(SEARCH(Лист2!$B$4,D:D)),MAX($C$3:OFFSET(C944,-1,0))+1,0)</f>
        <v>0</v>
      </c>
      <c r="E944" s="9" t="str">
        <f t="shared" ca="1" si="26"/>
        <v/>
      </c>
      <c r="F944" s="4" t="s">
        <v>4</v>
      </c>
      <c r="G944" s="2">
        <f>IF(ISNUMBER(SEARCH(Лист2!$B$4,F:F)),1,0)</f>
        <v>0</v>
      </c>
      <c r="H944" s="3">
        <f ca="1">IF(AND(I944&lt;&gt;I943,ISNUMBER(SEARCH(Лист2!$B$5,I:I)),G944=1),MAX($H$3:OFFSET(H944,-1,0))+1,0)</f>
        <v>0</v>
      </c>
      <c r="I944" s="3" t="s">
        <v>136</v>
      </c>
      <c r="K944" s="2">
        <f>IF(ISNUMBER(SEARCH(Лист2!$B$4,F:F)),1,0)</f>
        <v>0</v>
      </c>
      <c r="L944" s="14">
        <f>IF(ISNUMBER(SEARCH(Лист2!$B$5,I:I)),1,0)+K944</f>
        <v>0</v>
      </c>
      <c r="M944" s="3">
        <f ca="1">IF(AND(N944&lt;&gt;N943,ISNUMBER(SEARCH(Лист2!$B$6,N:N)),L944=2),MAX($M$3:OFFSET(M944,-1,0))+1,0)</f>
        <v>0</v>
      </c>
      <c r="N944" s="3" t="s">
        <v>1029</v>
      </c>
    </row>
    <row r="945" spans="1:14" x14ac:dyDescent="0.25">
      <c r="A945" s="1" t="s">
        <v>10509</v>
      </c>
      <c r="B945" s="3" t="s">
        <v>4569</v>
      </c>
      <c r="C945" s="2">
        <f ca="1">IF(ISNUMBER(SEARCH(Лист2!$B$4,D:D)),MAX($C$3:OFFSET(C945,-1,0))+1,0)</f>
        <v>0</v>
      </c>
      <c r="E945" s="9" t="str">
        <f t="shared" ca="1" si="26"/>
        <v/>
      </c>
      <c r="F945" s="4" t="s">
        <v>4</v>
      </c>
      <c r="G945" s="2">
        <f>IF(ISNUMBER(SEARCH(Лист2!$B$4,F:F)),1,0)</f>
        <v>0</v>
      </c>
      <c r="H945" s="3">
        <f ca="1">IF(AND(I945&lt;&gt;I944,ISNUMBER(SEARCH(Лист2!$B$5,I:I)),G945=1),MAX($H$3:OFFSET(H945,-1,0))+1,0)</f>
        <v>0</v>
      </c>
      <c r="I945" s="3" t="s">
        <v>136</v>
      </c>
      <c r="K945" s="2">
        <f>IF(ISNUMBER(SEARCH(Лист2!$B$4,F:F)),1,0)</f>
        <v>0</v>
      </c>
      <c r="L945" s="14">
        <f>IF(ISNUMBER(SEARCH(Лист2!$B$5,I:I)),1,0)+K945</f>
        <v>0</v>
      </c>
      <c r="M945" s="3">
        <f ca="1">IF(AND(N945&lt;&gt;N944,ISNUMBER(SEARCH(Лист2!$B$6,N:N)),L945=2),MAX($M$3:OFFSET(M945,-1,0))+1,0)</f>
        <v>0</v>
      </c>
      <c r="N945" s="3" t="s">
        <v>1030</v>
      </c>
    </row>
    <row r="946" spans="1:14" x14ac:dyDescent="0.25">
      <c r="A946" s="1" t="s">
        <v>10509</v>
      </c>
      <c r="B946" s="3" t="s">
        <v>4570</v>
      </c>
      <c r="C946" s="2">
        <f ca="1">IF(ISNUMBER(SEARCH(Лист2!$B$4,D:D)),MAX($C$3:OFFSET(C946,-1,0))+1,0)</f>
        <v>0</v>
      </c>
      <c r="E946" s="9" t="str">
        <f t="shared" ca="1" si="26"/>
        <v/>
      </c>
      <c r="F946" s="4" t="s">
        <v>4</v>
      </c>
      <c r="G946" s="2">
        <f>IF(ISNUMBER(SEARCH(Лист2!$B$4,F:F)),1,0)</f>
        <v>0</v>
      </c>
      <c r="H946" s="3">
        <f ca="1">IF(AND(I946&lt;&gt;I945,ISNUMBER(SEARCH(Лист2!$B$5,I:I)),G946=1),MAX($H$3:OFFSET(H946,-1,0))+1,0)</f>
        <v>0</v>
      </c>
      <c r="I946" s="3" t="s">
        <v>136</v>
      </c>
      <c r="K946" s="2">
        <f>IF(ISNUMBER(SEARCH(Лист2!$B$4,F:F)),1,0)</f>
        <v>0</v>
      </c>
      <c r="L946" s="14">
        <f>IF(ISNUMBER(SEARCH(Лист2!$B$5,I:I)),1,0)+K946</f>
        <v>0</v>
      </c>
      <c r="M946" s="3">
        <f ca="1">IF(AND(N946&lt;&gt;N945,ISNUMBER(SEARCH(Лист2!$B$6,N:N)),L946=2),MAX($M$3:OFFSET(M946,-1,0))+1,0)</f>
        <v>0</v>
      </c>
      <c r="N946" s="3" t="s">
        <v>1030</v>
      </c>
    </row>
    <row r="947" spans="1:14" x14ac:dyDescent="0.25">
      <c r="A947" s="1" t="s">
        <v>10509</v>
      </c>
      <c r="B947" s="3" t="s">
        <v>4571</v>
      </c>
      <c r="C947" s="2">
        <f ca="1">IF(ISNUMBER(SEARCH(Лист2!$B$4,D:D)),MAX($C$3:OFFSET(C947,-1,0))+1,0)</f>
        <v>0</v>
      </c>
      <c r="E947" s="9" t="str">
        <f t="shared" ca="1" si="26"/>
        <v/>
      </c>
      <c r="F947" s="4" t="s">
        <v>4</v>
      </c>
      <c r="G947" s="2">
        <f>IF(ISNUMBER(SEARCH(Лист2!$B$4,F:F)),1,0)</f>
        <v>0</v>
      </c>
      <c r="H947" s="3">
        <f ca="1">IF(AND(I947&lt;&gt;I946,ISNUMBER(SEARCH(Лист2!$B$5,I:I)),G947=1),MAX($H$3:OFFSET(H947,-1,0))+1,0)</f>
        <v>0</v>
      </c>
      <c r="I947" s="3" t="s">
        <v>136</v>
      </c>
      <c r="K947" s="2">
        <f>IF(ISNUMBER(SEARCH(Лист2!$B$4,F:F)),1,0)</f>
        <v>0</v>
      </c>
      <c r="L947" s="14">
        <f>IF(ISNUMBER(SEARCH(Лист2!$B$5,I:I)),1,0)+K947</f>
        <v>0</v>
      </c>
      <c r="M947" s="3">
        <f ca="1">IF(AND(N947&lt;&gt;N946,ISNUMBER(SEARCH(Лист2!$B$6,N:N)),L947=2),MAX($M$3:OFFSET(M947,-1,0))+1,0)</f>
        <v>0</v>
      </c>
      <c r="N947" s="3" t="s">
        <v>1030</v>
      </c>
    </row>
    <row r="948" spans="1:14" x14ac:dyDescent="0.25">
      <c r="A948" s="1" t="s">
        <v>10510</v>
      </c>
      <c r="B948" s="3" t="s">
        <v>4572</v>
      </c>
      <c r="C948" s="2">
        <f ca="1">IF(ISNUMBER(SEARCH(Лист2!$B$4,D:D)),MAX($C$3:OFFSET(C948,-1,0))+1,0)</f>
        <v>0</v>
      </c>
      <c r="E948" s="9" t="str">
        <f t="shared" ca="1" si="26"/>
        <v/>
      </c>
      <c r="F948" s="4" t="s">
        <v>4</v>
      </c>
      <c r="G948" s="2">
        <f>IF(ISNUMBER(SEARCH(Лист2!$B$4,F:F)),1,0)</f>
        <v>0</v>
      </c>
      <c r="H948" s="3">
        <f ca="1">IF(AND(I948&lt;&gt;I947,ISNUMBER(SEARCH(Лист2!$B$5,I:I)),G948=1),MAX($H$3:OFFSET(H948,-1,0))+1,0)</f>
        <v>0</v>
      </c>
      <c r="I948" s="3" t="s">
        <v>136</v>
      </c>
      <c r="K948" s="2">
        <f>IF(ISNUMBER(SEARCH(Лист2!$B$4,F:F)),1,0)</f>
        <v>0</v>
      </c>
      <c r="L948" s="14">
        <f>IF(ISNUMBER(SEARCH(Лист2!$B$5,I:I)),1,0)+K948</f>
        <v>0</v>
      </c>
      <c r="M948" s="3">
        <f ca="1">IF(AND(N948&lt;&gt;N947,ISNUMBER(SEARCH(Лист2!$B$6,N:N)),L948=2),MAX($M$3:OFFSET(M948,-1,0))+1,0)</f>
        <v>0</v>
      </c>
      <c r="N948" s="3" t="s">
        <v>1031</v>
      </c>
    </row>
    <row r="949" spans="1:14" x14ac:dyDescent="0.25">
      <c r="A949" s="1" t="s">
        <v>10510</v>
      </c>
      <c r="B949" s="3" t="s">
        <v>4573</v>
      </c>
      <c r="C949" s="2">
        <f ca="1">IF(ISNUMBER(SEARCH(Лист2!$B$4,D:D)),MAX($C$3:OFFSET(C949,-1,0))+1,0)</f>
        <v>0</v>
      </c>
      <c r="E949" s="9" t="str">
        <f t="shared" ca="1" si="26"/>
        <v/>
      </c>
      <c r="F949" s="4" t="s">
        <v>4</v>
      </c>
      <c r="G949" s="2">
        <f>IF(ISNUMBER(SEARCH(Лист2!$B$4,F:F)),1,0)</f>
        <v>0</v>
      </c>
      <c r="H949" s="3">
        <f ca="1">IF(AND(I949&lt;&gt;I948,ISNUMBER(SEARCH(Лист2!$B$5,I:I)),G949=1),MAX($H$3:OFFSET(H949,-1,0))+1,0)</f>
        <v>0</v>
      </c>
      <c r="I949" s="3" t="s">
        <v>136</v>
      </c>
      <c r="K949" s="2">
        <f>IF(ISNUMBER(SEARCH(Лист2!$B$4,F:F)),1,0)</f>
        <v>0</v>
      </c>
      <c r="L949" s="14">
        <f>IF(ISNUMBER(SEARCH(Лист2!$B$5,I:I)),1,0)+K949</f>
        <v>0</v>
      </c>
      <c r="M949" s="3">
        <f ca="1">IF(AND(N949&lt;&gt;N948,ISNUMBER(SEARCH(Лист2!$B$6,N:N)),L949=2),MAX($M$3:OFFSET(M949,-1,0))+1,0)</f>
        <v>0</v>
      </c>
      <c r="N949" s="3" t="s">
        <v>1031</v>
      </c>
    </row>
    <row r="950" spans="1:14" x14ac:dyDescent="0.25">
      <c r="A950" s="1" t="s">
        <v>10510</v>
      </c>
      <c r="B950" s="3" t="s">
        <v>4574</v>
      </c>
      <c r="C950" s="2">
        <f ca="1">IF(ISNUMBER(SEARCH(Лист2!$B$4,D:D)),MAX($C$3:OFFSET(C950,-1,0))+1,0)</f>
        <v>0</v>
      </c>
      <c r="E950" s="9" t="str">
        <f t="shared" ca="1" si="26"/>
        <v/>
      </c>
      <c r="F950" s="4" t="s">
        <v>4</v>
      </c>
      <c r="G950" s="2">
        <f>IF(ISNUMBER(SEARCH(Лист2!$B$4,F:F)),1,0)</f>
        <v>0</v>
      </c>
      <c r="H950" s="3">
        <f ca="1">IF(AND(I950&lt;&gt;I949,ISNUMBER(SEARCH(Лист2!$B$5,I:I)),G950=1),MAX($H$3:OFFSET(H950,-1,0))+1,0)</f>
        <v>0</v>
      </c>
      <c r="I950" s="3" t="s">
        <v>136</v>
      </c>
      <c r="K950" s="2">
        <f>IF(ISNUMBER(SEARCH(Лист2!$B$4,F:F)),1,0)</f>
        <v>0</v>
      </c>
      <c r="L950" s="14">
        <f>IF(ISNUMBER(SEARCH(Лист2!$B$5,I:I)),1,0)+K950</f>
        <v>0</v>
      </c>
      <c r="M950" s="3">
        <f ca="1">IF(AND(N950&lt;&gt;N949,ISNUMBER(SEARCH(Лист2!$B$6,N:N)),L950=2),MAX($M$3:OFFSET(M950,-1,0))+1,0)</f>
        <v>0</v>
      </c>
      <c r="N950" s="3" t="s">
        <v>1031</v>
      </c>
    </row>
    <row r="951" spans="1:14" x14ac:dyDescent="0.25">
      <c r="A951" s="1" t="s">
        <v>10510</v>
      </c>
      <c r="B951" s="3" t="s">
        <v>4575</v>
      </c>
      <c r="C951" s="2">
        <f ca="1">IF(ISNUMBER(SEARCH(Лист2!$B$4,D:D)),MAX($C$3:OFFSET(C951,-1,0))+1,0)</f>
        <v>0</v>
      </c>
      <c r="E951" s="9" t="str">
        <f t="shared" ca="1" si="26"/>
        <v/>
      </c>
      <c r="F951" s="4" t="s">
        <v>4</v>
      </c>
      <c r="G951" s="2">
        <f>IF(ISNUMBER(SEARCH(Лист2!$B$4,F:F)),1,0)</f>
        <v>0</v>
      </c>
      <c r="H951" s="3">
        <f ca="1">IF(AND(I951&lt;&gt;I950,ISNUMBER(SEARCH(Лист2!$B$5,I:I)),G951=1),MAX($H$3:OFFSET(H951,-1,0))+1,0)</f>
        <v>0</v>
      </c>
      <c r="I951" s="3" t="s">
        <v>136</v>
      </c>
      <c r="K951" s="2">
        <f>IF(ISNUMBER(SEARCH(Лист2!$B$4,F:F)),1,0)</f>
        <v>0</v>
      </c>
      <c r="L951" s="14">
        <f>IF(ISNUMBER(SEARCH(Лист2!$B$5,I:I)),1,0)+K951</f>
        <v>0</v>
      </c>
      <c r="M951" s="3">
        <f ca="1">IF(AND(N951&lt;&gt;N950,ISNUMBER(SEARCH(Лист2!$B$6,N:N)),L951=2),MAX($M$3:OFFSET(M951,-1,0))+1,0)</f>
        <v>0</v>
      </c>
      <c r="N951" s="3" t="s">
        <v>1031</v>
      </c>
    </row>
    <row r="952" spans="1:14" x14ac:dyDescent="0.25">
      <c r="A952" s="1" t="s">
        <v>10510</v>
      </c>
      <c r="B952" s="3" t="s">
        <v>4576</v>
      </c>
      <c r="C952" s="2">
        <f ca="1">IF(ISNUMBER(SEARCH(Лист2!$B$4,D:D)),MAX($C$3:OFFSET(C952,-1,0))+1,0)</f>
        <v>0</v>
      </c>
      <c r="E952" s="9" t="str">
        <f t="shared" ca="1" si="26"/>
        <v/>
      </c>
      <c r="F952" s="4" t="s">
        <v>4</v>
      </c>
      <c r="G952" s="2">
        <f>IF(ISNUMBER(SEARCH(Лист2!$B$4,F:F)),1,0)</f>
        <v>0</v>
      </c>
      <c r="H952" s="3">
        <f ca="1">IF(AND(I952&lt;&gt;I951,ISNUMBER(SEARCH(Лист2!$B$5,I:I)),G952=1),MAX($H$3:OFFSET(H952,-1,0))+1,0)</f>
        <v>0</v>
      </c>
      <c r="I952" s="3" t="s">
        <v>136</v>
      </c>
      <c r="K952" s="2">
        <f>IF(ISNUMBER(SEARCH(Лист2!$B$4,F:F)),1,0)</f>
        <v>0</v>
      </c>
      <c r="L952" s="14">
        <f>IF(ISNUMBER(SEARCH(Лист2!$B$5,I:I)),1,0)+K952</f>
        <v>0</v>
      </c>
      <c r="M952" s="3">
        <f ca="1">IF(AND(N952&lt;&gt;N951,ISNUMBER(SEARCH(Лист2!$B$6,N:N)),L952=2),MAX($M$3:OFFSET(M952,-1,0))+1,0)</f>
        <v>0</v>
      </c>
      <c r="N952" s="3" t="s">
        <v>1031</v>
      </c>
    </row>
    <row r="953" spans="1:14" x14ac:dyDescent="0.25">
      <c r="A953" s="1" t="s">
        <v>10510</v>
      </c>
      <c r="B953" s="3" t="s">
        <v>4577</v>
      </c>
      <c r="C953" s="2">
        <f ca="1">IF(ISNUMBER(SEARCH(Лист2!$B$4,D:D)),MAX($C$3:OFFSET(C953,-1,0))+1,0)</f>
        <v>0</v>
      </c>
      <c r="E953" s="9" t="str">
        <f t="shared" ca="1" si="26"/>
        <v/>
      </c>
      <c r="F953" s="4" t="s">
        <v>4</v>
      </c>
      <c r="G953" s="2">
        <f>IF(ISNUMBER(SEARCH(Лист2!$B$4,F:F)),1,0)</f>
        <v>0</v>
      </c>
      <c r="H953" s="3">
        <f ca="1">IF(AND(I953&lt;&gt;I952,ISNUMBER(SEARCH(Лист2!$B$5,I:I)),G953=1),MAX($H$3:OFFSET(H953,-1,0))+1,0)</f>
        <v>0</v>
      </c>
      <c r="I953" s="3" t="s">
        <v>136</v>
      </c>
      <c r="K953" s="2">
        <f>IF(ISNUMBER(SEARCH(Лист2!$B$4,F:F)),1,0)</f>
        <v>0</v>
      </c>
      <c r="L953" s="14">
        <f>IF(ISNUMBER(SEARCH(Лист2!$B$5,I:I)),1,0)+K953</f>
        <v>0</v>
      </c>
      <c r="M953" s="3">
        <f ca="1">IF(AND(N953&lt;&gt;N952,ISNUMBER(SEARCH(Лист2!$B$6,N:N)),L953=2),MAX($M$3:OFFSET(M953,-1,0))+1,0)</f>
        <v>0</v>
      </c>
      <c r="N953" s="3" t="s">
        <v>1031</v>
      </c>
    </row>
    <row r="954" spans="1:14" x14ac:dyDescent="0.25">
      <c r="A954" s="1" t="s">
        <v>10511</v>
      </c>
      <c r="B954" s="3" t="s">
        <v>4578</v>
      </c>
      <c r="C954" s="2">
        <f ca="1">IF(ISNUMBER(SEARCH(Лист2!$B$4,D:D)),MAX($C$3:OFFSET(C954,-1,0))+1,0)</f>
        <v>0</v>
      </c>
      <c r="E954" s="9" t="str">
        <f t="shared" ca="1" si="26"/>
        <v/>
      </c>
      <c r="F954" s="4" t="s">
        <v>4</v>
      </c>
      <c r="G954" s="2">
        <f>IF(ISNUMBER(SEARCH(Лист2!$B$4,F:F)),1,0)</f>
        <v>0</v>
      </c>
      <c r="H954" s="3">
        <f ca="1">IF(AND(I954&lt;&gt;I953,ISNUMBER(SEARCH(Лист2!$B$5,I:I)),G954=1),MAX($H$3:OFFSET(H954,-1,0))+1,0)</f>
        <v>0</v>
      </c>
      <c r="I954" s="3" t="s">
        <v>136</v>
      </c>
      <c r="K954" s="2">
        <f>IF(ISNUMBER(SEARCH(Лист2!$B$4,F:F)),1,0)</f>
        <v>0</v>
      </c>
      <c r="L954" s="14">
        <f>IF(ISNUMBER(SEARCH(Лист2!$B$5,I:I)),1,0)+K954</f>
        <v>0</v>
      </c>
      <c r="M954" s="3">
        <f ca="1">IF(AND(N954&lt;&gt;N953,ISNUMBER(SEARCH(Лист2!$B$6,N:N)),L954=2),MAX($M$3:OFFSET(M954,-1,0))+1,0)</f>
        <v>0</v>
      </c>
      <c r="N954" s="3" t="s">
        <v>1032</v>
      </c>
    </row>
    <row r="955" spans="1:14" x14ac:dyDescent="0.25">
      <c r="A955" s="1" t="s">
        <v>10511</v>
      </c>
      <c r="B955" s="3" t="s">
        <v>4579</v>
      </c>
      <c r="C955" s="2">
        <f ca="1">IF(ISNUMBER(SEARCH(Лист2!$B$4,D:D)),MAX($C$3:OFFSET(C955,-1,0))+1,0)</f>
        <v>0</v>
      </c>
      <c r="E955" s="9" t="str">
        <f t="shared" ca="1" si="26"/>
        <v/>
      </c>
      <c r="F955" s="4" t="s">
        <v>4</v>
      </c>
      <c r="G955" s="2">
        <f>IF(ISNUMBER(SEARCH(Лист2!$B$4,F:F)),1,0)</f>
        <v>0</v>
      </c>
      <c r="H955" s="3">
        <f ca="1">IF(AND(I955&lt;&gt;I954,ISNUMBER(SEARCH(Лист2!$B$5,I:I)),G955=1),MAX($H$3:OFFSET(H955,-1,0))+1,0)</f>
        <v>0</v>
      </c>
      <c r="I955" s="3" t="s">
        <v>136</v>
      </c>
      <c r="K955" s="2">
        <f>IF(ISNUMBER(SEARCH(Лист2!$B$4,F:F)),1,0)</f>
        <v>0</v>
      </c>
      <c r="L955" s="14">
        <f>IF(ISNUMBER(SEARCH(Лист2!$B$5,I:I)),1,0)+K955</f>
        <v>0</v>
      </c>
      <c r="M955" s="3">
        <f ca="1">IF(AND(N955&lt;&gt;N954,ISNUMBER(SEARCH(Лист2!$B$6,N:N)),L955=2),MAX($M$3:OFFSET(M955,-1,0))+1,0)</f>
        <v>0</v>
      </c>
      <c r="N955" s="3" t="s">
        <v>1032</v>
      </c>
    </row>
    <row r="956" spans="1:14" x14ac:dyDescent="0.25">
      <c r="A956" s="1" t="s">
        <v>10511</v>
      </c>
      <c r="B956" s="3" t="s">
        <v>4580</v>
      </c>
      <c r="C956" s="2">
        <f ca="1">IF(ISNUMBER(SEARCH(Лист2!$B$4,D:D)),MAX($C$3:OFFSET(C956,-1,0))+1,0)</f>
        <v>0</v>
      </c>
      <c r="E956" s="9" t="str">
        <f t="shared" ca="1" si="26"/>
        <v/>
      </c>
      <c r="F956" s="4" t="s">
        <v>4</v>
      </c>
      <c r="G956" s="2">
        <f>IF(ISNUMBER(SEARCH(Лист2!$B$4,F:F)),1,0)</f>
        <v>0</v>
      </c>
      <c r="H956" s="3">
        <f ca="1">IF(AND(I956&lt;&gt;I955,ISNUMBER(SEARCH(Лист2!$B$5,I:I)),G956=1),MAX($H$3:OFFSET(H956,-1,0))+1,0)</f>
        <v>0</v>
      </c>
      <c r="I956" s="3" t="s">
        <v>136</v>
      </c>
      <c r="K956" s="2">
        <f>IF(ISNUMBER(SEARCH(Лист2!$B$4,F:F)),1,0)</f>
        <v>0</v>
      </c>
      <c r="L956" s="14">
        <f>IF(ISNUMBER(SEARCH(Лист2!$B$5,I:I)),1,0)+K956</f>
        <v>0</v>
      </c>
      <c r="M956" s="3">
        <f ca="1">IF(AND(N956&lt;&gt;N955,ISNUMBER(SEARCH(Лист2!$B$6,N:N)),L956=2),MAX($M$3:OFFSET(M956,-1,0))+1,0)</f>
        <v>0</v>
      </c>
      <c r="N956" s="3" t="s">
        <v>1032</v>
      </c>
    </row>
    <row r="957" spans="1:14" x14ac:dyDescent="0.25">
      <c r="A957" s="1" t="s">
        <v>10512</v>
      </c>
      <c r="B957" s="3" t="s">
        <v>4581</v>
      </c>
      <c r="C957" s="2">
        <f ca="1">IF(ISNUMBER(SEARCH(Лист2!$B$4,D:D)),MAX($C$3:OFFSET(C957,-1,0))+1,0)</f>
        <v>0</v>
      </c>
      <c r="E957" s="9" t="str">
        <f t="shared" ca="1" si="26"/>
        <v/>
      </c>
      <c r="F957" s="4" t="s">
        <v>4</v>
      </c>
      <c r="G957" s="2">
        <f>IF(ISNUMBER(SEARCH(Лист2!$B$4,F:F)),1,0)</f>
        <v>0</v>
      </c>
      <c r="H957" s="3">
        <f ca="1">IF(AND(I957&lt;&gt;I956,ISNUMBER(SEARCH(Лист2!$B$5,I:I)),G957=1),MAX($H$3:OFFSET(H957,-1,0))+1,0)</f>
        <v>0</v>
      </c>
      <c r="I957" s="3" t="s">
        <v>137</v>
      </c>
      <c r="K957" s="2">
        <f>IF(ISNUMBER(SEARCH(Лист2!$B$4,F:F)),1,0)</f>
        <v>0</v>
      </c>
      <c r="L957" s="14">
        <f>IF(ISNUMBER(SEARCH(Лист2!$B$5,I:I)),1,0)+K957</f>
        <v>0</v>
      </c>
      <c r="M957" s="3">
        <f ca="1">IF(AND(N957&lt;&gt;N956,ISNUMBER(SEARCH(Лист2!$B$6,N:N)),L957=2),MAX($M$3:OFFSET(M957,-1,0))+1,0)</f>
        <v>0</v>
      </c>
      <c r="N957" s="3" t="s">
        <v>1033</v>
      </c>
    </row>
    <row r="958" spans="1:14" x14ac:dyDescent="0.25">
      <c r="A958" s="1" t="s">
        <v>10513</v>
      </c>
      <c r="B958" s="3" t="s">
        <v>4582</v>
      </c>
      <c r="C958" s="2">
        <f ca="1">IF(ISNUMBER(SEARCH(Лист2!$B$4,D:D)),MAX($C$3:OFFSET(C958,-1,0))+1,0)</f>
        <v>0</v>
      </c>
      <c r="E958" s="9" t="str">
        <f t="shared" ca="1" si="26"/>
        <v/>
      </c>
      <c r="F958" s="4" t="s">
        <v>4</v>
      </c>
      <c r="G958" s="2">
        <f>IF(ISNUMBER(SEARCH(Лист2!$B$4,F:F)),1,0)</f>
        <v>0</v>
      </c>
      <c r="H958" s="3">
        <f ca="1">IF(AND(I958&lt;&gt;I957,ISNUMBER(SEARCH(Лист2!$B$5,I:I)),G958=1),MAX($H$3:OFFSET(H958,-1,0))+1,0)</f>
        <v>0</v>
      </c>
      <c r="I958" s="3" t="s">
        <v>137</v>
      </c>
      <c r="K958" s="2">
        <f>IF(ISNUMBER(SEARCH(Лист2!$B$4,F:F)),1,0)</f>
        <v>0</v>
      </c>
      <c r="L958" s="14">
        <f>IF(ISNUMBER(SEARCH(Лист2!$B$5,I:I)),1,0)+K958</f>
        <v>0</v>
      </c>
      <c r="M958" s="3">
        <f ca="1">IF(AND(N958&lt;&gt;N957,ISNUMBER(SEARCH(Лист2!$B$6,N:N)),L958=2),MAX($M$3:OFFSET(M958,-1,0))+1,0)</f>
        <v>0</v>
      </c>
      <c r="N958" s="3" t="s">
        <v>1034</v>
      </c>
    </row>
    <row r="959" spans="1:14" x14ac:dyDescent="0.25">
      <c r="A959" s="1" t="s">
        <v>10514</v>
      </c>
      <c r="B959" s="3" t="s">
        <v>4583</v>
      </c>
      <c r="C959" s="2">
        <f ca="1">IF(ISNUMBER(SEARCH(Лист2!$B$4,D:D)),MAX($C$3:OFFSET(C959,-1,0))+1,0)</f>
        <v>0</v>
      </c>
      <c r="E959" s="9" t="str">
        <f t="shared" ca="1" si="26"/>
        <v/>
      </c>
      <c r="F959" s="4" t="s">
        <v>4</v>
      </c>
      <c r="G959" s="2">
        <f>IF(ISNUMBER(SEARCH(Лист2!$B$4,F:F)),1,0)</f>
        <v>0</v>
      </c>
      <c r="H959" s="3">
        <f ca="1">IF(AND(I959&lt;&gt;I958,ISNUMBER(SEARCH(Лист2!$B$5,I:I)),G959=1),MAX($H$3:OFFSET(H959,-1,0))+1,0)</f>
        <v>0</v>
      </c>
      <c r="I959" s="3" t="s">
        <v>137</v>
      </c>
      <c r="K959" s="2">
        <f>IF(ISNUMBER(SEARCH(Лист2!$B$4,F:F)),1,0)</f>
        <v>0</v>
      </c>
      <c r="L959" s="14">
        <f>IF(ISNUMBER(SEARCH(Лист2!$B$5,I:I)),1,0)+K959</f>
        <v>0</v>
      </c>
      <c r="M959" s="3">
        <f ca="1">IF(AND(N959&lt;&gt;N958,ISNUMBER(SEARCH(Лист2!$B$6,N:N)),L959=2),MAX($M$3:OFFSET(M959,-1,0))+1,0)</f>
        <v>0</v>
      </c>
      <c r="N959" s="3" t="s">
        <v>1035</v>
      </c>
    </row>
    <row r="960" spans="1:14" x14ac:dyDescent="0.25">
      <c r="A960" s="1" t="s">
        <v>10514</v>
      </c>
      <c r="B960" s="3" t="s">
        <v>4584</v>
      </c>
      <c r="C960" s="2">
        <f ca="1">IF(ISNUMBER(SEARCH(Лист2!$B$4,D:D)),MAX($C$3:OFFSET(C960,-1,0))+1,0)</f>
        <v>0</v>
      </c>
      <c r="E960" s="9" t="str">
        <f t="shared" ca="1" si="26"/>
        <v/>
      </c>
      <c r="F960" s="4" t="s">
        <v>4</v>
      </c>
      <c r="G960" s="2">
        <f>IF(ISNUMBER(SEARCH(Лист2!$B$4,F:F)),1,0)</f>
        <v>0</v>
      </c>
      <c r="H960" s="3">
        <f ca="1">IF(AND(I960&lt;&gt;I959,ISNUMBER(SEARCH(Лист2!$B$5,I:I)),G960=1),MAX($H$3:OFFSET(H960,-1,0))+1,0)</f>
        <v>0</v>
      </c>
      <c r="I960" s="3" t="s">
        <v>137</v>
      </c>
      <c r="K960" s="2">
        <f>IF(ISNUMBER(SEARCH(Лист2!$B$4,F:F)),1,0)</f>
        <v>0</v>
      </c>
      <c r="L960" s="14">
        <f>IF(ISNUMBER(SEARCH(Лист2!$B$5,I:I)),1,0)+K960</f>
        <v>0</v>
      </c>
      <c r="M960" s="3">
        <f ca="1">IF(AND(N960&lt;&gt;N959,ISNUMBER(SEARCH(Лист2!$B$6,N:N)),L960=2),MAX($M$3:OFFSET(M960,-1,0))+1,0)</f>
        <v>0</v>
      </c>
      <c r="N960" s="3" t="s">
        <v>1035</v>
      </c>
    </row>
    <row r="961" spans="1:14" x14ac:dyDescent="0.25">
      <c r="A961" s="1" t="s">
        <v>10515</v>
      </c>
      <c r="B961" s="3" t="s">
        <v>4585</v>
      </c>
      <c r="C961" s="2">
        <f ca="1">IF(ISNUMBER(SEARCH(Лист2!$B$4,D:D)),MAX($C$3:OFFSET(C961,-1,0))+1,0)</f>
        <v>0</v>
      </c>
      <c r="E961" s="9" t="str">
        <f t="shared" ca="1" si="26"/>
        <v/>
      </c>
      <c r="F961" s="4" t="s">
        <v>4</v>
      </c>
      <c r="G961" s="2">
        <f>IF(ISNUMBER(SEARCH(Лист2!$B$4,F:F)),1,0)</f>
        <v>0</v>
      </c>
      <c r="H961" s="3">
        <f ca="1">IF(AND(I961&lt;&gt;I960,ISNUMBER(SEARCH(Лист2!$B$5,I:I)),G961=1),MAX($H$3:OFFSET(H961,-1,0))+1,0)</f>
        <v>0</v>
      </c>
      <c r="I961" s="3" t="s">
        <v>137</v>
      </c>
      <c r="K961" s="2">
        <f>IF(ISNUMBER(SEARCH(Лист2!$B$4,F:F)),1,0)</f>
        <v>0</v>
      </c>
      <c r="L961" s="14">
        <f>IF(ISNUMBER(SEARCH(Лист2!$B$5,I:I)),1,0)+K961</f>
        <v>0</v>
      </c>
      <c r="M961" s="3">
        <f ca="1">IF(AND(N961&lt;&gt;N960,ISNUMBER(SEARCH(Лист2!$B$6,N:N)),L961=2),MAX($M$3:OFFSET(M961,-1,0))+1,0)</f>
        <v>0</v>
      </c>
      <c r="N961" s="3" t="s">
        <v>1036</v>
      </c>
    </row>
    <row r="962" spans="1:14" x14ac:dyDescent="0.25">
      <c r="A962" s="1" t="s">
        <v>10516</v>
      </c>
      <c r="B962" s="3" t="s">
        <v>4586</v>
      </c>
      <c r="C962" s="2">
        <f ca="1">IF(ISNUMBER(SEARCH(Лист2!$B$4,D:D)),MAX($C$3:OFFSET(C962,-1,0))+1,0)</f>
        <v>0</v>
      </c>
      <c r="E962" s="9" t="str">
        <f t="shared" ca="1" si="26"/>
        <v/>
      </c>
      <c r="F962" s="4" t="s">
        <v>4</v>
      </c>
      <c r="G962" s="2">
        <f>IF(ISNUMBER(SEARCH(Лист2!$B$4,F:F)),1,0)</f>
        <v>0</v>
      </c>
      <c r="H962" s="3">
        <f ca="1">IF(AND(I962&lt;&gt;I961,ISNUMBER(SEARCH(Лист2!$B$5,I:I)),G962=1),MAX($H$3:OFFSET(H962,-1,0))+1,0)</f>
        <v>0</v>
      </c>
      <c r="I962" s="3" t="s">
        <v>138</v>
      </c>
      <c r="K962" s="2">
        <f>IF(ISNUMBER(SEARCH(Лист2!$B$4,F:F)),1,0)</f>
        <v>0</v>
      </c>
      <c r="L962" s="14">
        <f>IF(ISNUMBER(SEARCH(Лист2!$B$5,I:I)),1,0)+K962</f>
        <v>0</v>
      </c>
      <c r="M962" s="3">
        <f ca="1">IF(AND(N962&lt;&gt;N961,ISNUMBER(SEARCH(Лист2!$B$6,N:N)),L962=2),MAX($M$3:OFFSET(M962,-1,0))+1,0)</f>
        <v>0</v>
      </c>
      <c r="N962" s="3" t="s">
        <v>1037</v>
      </c>
    </row>
    <row r="963" spans="1:14" x14ac:dyDescent="0.25">
      <c r="A963" s="1" t="s">
        <v>10517</v>
      </c>
      <c r="B963" s="3" t="s">
        <v>4587</v>
      </c>
      <c r="C963" s="2">
        <f ca="1">IF(ISNUMBER(SEARCH(Лист2!$B$4,D:D)),MAX($C$3:OFFSET(C963,-1,0))+1,0)</f>
        <v>0</v>
      </c>
      <c r="E963" s="9" t="str">
        <f t="shared" ca="1" si="26"/>
        <v/>
      </c>
      <c r="F963" s="4" t="s">
        <v>4</v>
      </c>
      <c r="G963" s="2">
        <f>IF(ISNUMBER(SEARCH(Лист2!$B$4,F:F)),1,0)</f>
        <v>0</v>
      </c>
      <c r="H963" s="3">
        <f ca="1">IF(AND(I963&lt;&gt;I962,ISNUMBER(SEARCH(Лист2!$B$5,I:I)),G963=1),MAX($H$3:OFFSET(H963,-1,0))+1,0)</f>
        <v>0</v>
      </c>
      <c r="I963" s="3" t="s">
        <v>138</v>
      </c>
      <c r="K963" s="2">
        <f>IF(ISNUMBER(SEARCH(Лист2!$B$4,F:F)),1,0)</f>
        <v>0</v>
      </c>
      <c r="L963" s="14">
        <f>IF(ISNUMBER(SEARCH(Лист2!$B$5,I:I)),1,0)+K963</f>
        <v>0</v>
      </c>
      <c r="M963" s="3">
        <f ca="1">IF(AND(N963&lt;&gt;N962,ISNUMBER(SEARCH(Лист2!$B$6,N:N)),L963=2),MAX($M$3:OFFSET(M963,-1,0))+1,0)</f>
        <v>0</v>
      </c>
      <c r="N963" s="3" t="s">
        <v>1038</v>
      </c>
    </row>
    <row r="964" spans="1:14" x14ac:dyDescent="0.25">
      <c r="A964" s="1" t="s">
        <v>10518</v>
      </c>
      <c r="B964" s="3" t="s">
        <v>4588</v>
      </c>
      <c r="C964" s="2">
        <f ca="1">IF(ISNUMBER(SEARCH(Лист2!$B$4,D:D)),MAX($C$3:OFFSET(C964,-1,0))+1,0)</f>
        <v>0</v>
      </c>
      <c r="E964" s="9" t="str">
        <f t="shared" ca="1" si="26"/>
        <v/>
      </c>
      <c r="F964" s="4" t="s">
        <v>4</v>
      </c>
      <c r="G964" s="2">
        <f>IF(ISNUMBER(SEARCH(Лист2!$B$4,F:F)),1,0)</f>
        <v>0</v>
      </c>
      <c r="H964" s="3">
        <f ca="1">IF(AND(I964&lt;&gt;I963,ISNUMBER(SEARCH(Лист2!$B$5,I:I)),G964=1),MAX($H$3:OFFSET(H964,-1,0))+1,0)</f>
        <v>0</v>
      </c>
      <c r="I964" s="3" t="s">
        <v>138</v>
      </c>
      <c r="K964" s="2">
        <f>IF(ISNUMBER(SEARCH(Лист2!$B$4,F:F)),1,0)</f>
        <v>0</v>
      </c>
      <c r="L964" s="14">
        <f>IF(ISNUMBER(SEARCH(Лист2!$B$5,I:I)),1,0)+K964</f>
        <v>0</v>
      </c>
      <c r="M964" s="3">
        <f ca="1">IF(AND(N964&lt;&gt;N963,ISNUMBER(SEARCH(Лист2!$B$6,N:N)),L964=2),MAX($M$3:OFFSET(M964,-1,0))+1,0)</f>
        <v>0</v>
      </c>
      <c r="N964" s="3" t="s">
        <v>1039</v>
      </c>
    </row>
    <row r="965" spans="1:14" x14ac:dyDescent="0.25">
      <c r="A965" s="1" t="s">
        <v>10518</v>
      </c>
      <c r="B965" s="3" t="s">
        <v>4589</v>
      </c>
      <c r="C965" s="2">
        <f ca="1">IF(ISNUMBER(SEARCH(Лист2!$B$4,D:D)),MAX($C$3:OFFSET(C965,-1,0))+1,0)</f>
        <v>0</v>
      </c>
      <c r="E965" s="9" t="str">
        <f t="shared" ref="E965:E1028" ca="1" si="27">IFERROR(INDEX(D:D,MATCH(ROW(E965)-ROW($E$3),C:C,0)),"")</f>
        <v/>
      </c>
      <c r="F965" s="4" t="s">
        <v>4</v>
      </c>
      <c r="G965" s="2">
        <f>IF(ISNUMBER(SEARCH(Лист2!$B$4,F:F)),1,0)</f>
        <v>0</v>
      </c>
      <c r="H965" s="3">
        <f ca="1">IF(AND(I965&lt;&gt;I964,ISNUMBER(SEARCH(Лист2!$B$5,I:I)),G965=1),MAX($H$3:OFFSET(H965,-1,0))+1,0)</f>
        <v>0</v>
      </c>
      <c r="I965" s="3" t="s">
        <v>138</v>
      </c>
      <c r="K965" s="2">
        <f>IF(ISNUMBER(SEARCH(Лист2!$B$4,F:F)),1,0)</f>
        <v>0</v>
      </c>
      <c r="L965" s="14">
        <f>IF(ISNUMBER(SEARCH(Лист2!$B$5,I:I)),1,0)+K965</f>
        <v>0</v>
      </c>
      <c r="M965" s="3">
        <f ca="1">IF(AND(N965&lt;&gt;N964,ISNUMBER(SEARCH(Лист2!$B$6,N:N)),L965=2),MAX($M$3:OFFSET(M965,-1,0))+1,0)</f>
        <v>0</v>
      </c>
      <c r="N965" s="3" t="s">
        <v>1039</v>
      </c>
    </row>
    <row r="966" spans="1:14" x14ac:dyDescent="0.25">
      <c r="A966" s="1" t="s">
        <v>10519</v>
      </c>
      <c r="B966" s="3" t="s">
        <v>4590</v>
      </c>
      <c r="C966" s="2">
        <f ca="1">IF(ISNUMBER(SEARCH(Лист2!$B$4,D:D)),MAX($C$3:OFFSET(C966,-1,0))+1,0)</f>
        <v>0</v>
      </c>
      <c r="E966" s="9" t="str">
        <f t="shared" ca="1" si="27"/>
        <v/>
      </c>
      <c r="F966" s="4" t="s">
        <v>4</v>
      </c>
      <c r="G966" s="2">
        <f>IF(ISNUMBER(SEARCH(Лист2!$B$4,F:F)),1,0)</f>
        <v>0</v>
      </c>
      <c r="H966" s="3">
        <f ca="1">IF(AND(I966&lt;&gt;I965,ISNUMBER(SEARCH(Лист2!$B$5,I:I)),G966=1),MAX($H$3:OFFSET(H966,-1,0))+1,0)</f>
        <v>0</v>
      </c>
      <c r="I966" s="3" t="s">
        <v>138</v>
      </c>
      <c r="K966" s="2">
        <f>IF(ISNUMBER(SEARCH(Лист2!$B$4,F:F)),1,0)</f>
        <v>0</v>
      </c>
      <c r="L966" s="14">
        <f>IF(ISNUMBER(SEARCH(Лист2!$B$5,I:I)),1,0)+K966</f>
        <v>0</v>
      </c>
      <c r="M966" s="3">
        <f ca="1">IF(AND(N966&lt;&gt;N965,ISNUMBER(SEARCH(Лист2!$B$6,N:N)),L966=2),MAX($M$3:OFFSET(M966,-1,0))+1,0)</f>
        <v>0</v>
      </c>
      <c r="N966" s="3" t="s">
        <v>1040</v>
      </c>
    </row>
    <row r="967" spans="1:14" x14ac:dyDescent="0.25">
      <c r="A967" s="1" t="s">
        <v>10520</v>
      </c>
      <c r="B967" s="3" t="s">
        <v>4591</v>
      </c>
      <c r="C967" s="2">
        <f ca="1">IF(ISNUMBER(SEARCH(Лист2!$B$4,D:D)),MAX($C$3:OFFSET(C967,-1,0))+1,0)</f>
        <v>0</v>
      </c>
      <c r="E967" s="9" t="str">
        <f t="shared" ca="1" si="27"/>
        <v/>
      </c>
      <c r="F967" s="4" t="s">
        <v>4</v>
      </c>
      <c r="G967" s="2">
        <f>IF(ISNUMBER(SEARCH(Лист2!$B$4,F:F)),1,0)</f>
        <v>0</v>
      </c>
      <c r="H967" s="3">
        <f ca="1">IF(AND(I967&lt;&gt;I966,ISNUMBER(SEARCH(Лист2!$B$5,I:I)),G967=1),MAX($H$3:OFFSET(H967,-1,0))+1,0)</f>
        <v>0</v>
      </c>
      <c r="I967" s="3" t="s">
        <v>139</v>
      </c>
      <c r="K967" s="2">
        <f>IF(ISNUMBER(SEARCH(Лист2!$B$4,F:F)),1,0)</f>
        <v>0</v>
      </c>
      <c r="L967" s="14">
        <f>IF(ISNUMBER(SEARCH(Лист2!$B$5,I:I)),1,0)+K967</f>
        <v>0</v>
      </c>
      <c r="M967" s="3">
        <f ca="1">IF(AND(N967&lt;&gt;N966,ISNUMBER(SEARCH(Лист2!$B$6,N:N)),L967=2),MAX($M$3:OFFSET(M967,-1,0))+1,0)</f>
        <v>0</v>
      </c>
      <c r="N967" s="3" t="s">
        <v>1041</v>
      </c>
    </row>
    <row r="968" spans="1:14" x14ac:dyDescent="0.25">
      <c r="A968" s="1" t="s">
        <v>10521</v>
      </c>
      <c r="B968" s="3" t="s">
        <v>4592</v>
      </c>
      <c r="C968" s="2">
        <f ca="1">IF(ISNUMBER(SEARCH(Лист2!$B$4,D:D)),MAX($C$3:OFFSET(C968,-1,0))+1,0)</f>
        <v>0</v>
      </c>
      <c r="E968" s="9" t="str">
        <f t="shared" ca="1" si="27"/>
        <v/>
      </c>
      <c r="F968" s="4" t="s">
        <v>4</v>
      </c>
      <c r="G968" s="2">
        <f>IF(ISNUMBER(SEARCH(Лист2!$B$4,F:F)),1,0)</f>
        <v>0</v>
      </c>
      <c r="H968" s="3">
        <f ca="1">IF(AND(I968&lt;&gt;I967,ISNUMBER(SEARCH(Лист2!$B$5,I:I)),G968=1),MAX($H$3:OFFSET(H968,-1,0))+1,0)</f>
        <v>0</v>
      </c>
      <c r="I968" s="3" t="s">
        <v>139</v>
      </c>
      <c r="K968" s="2">
        <f>IF(ISNUMBER(SEARCH(Лист2!$B$4,F:F)),1,0)</f>
        <v>0</v>
      </c>
      <c r="L968" s="14">
        <f>IF(ISNUMBER(SEARCH(Лист2!$B$5,I:I)),1,0)+K968</f>
        <v>0</v>
      </c>
      <c r="M968" s="3">
        <f ca="1">IF(AND(N968&lt;&gt;N967,ISNUMBER(SEARCH(Лист2!$B$6,N:N)),L968=2),MAX($M$3:OFFSET(M968,-1,0))+1,0)</f>
        <v>0</v>
      </c>
      <c r="N968" s="3" t="s">
        <v>1042</v>
      </c>
    </row>
    <row r="969" spans="1:14" x14ac:dyDescent="0.25">
      <c r="A969" s="1" t="s">
        <v>10521</v>
      </c>
      <c r="B969" s="3" t="s">
        <v>4593</v>
      </c>
      <c r="C969" s="2">
        <f ca="1">IF(ISNUMBER(SEARCH(Лист2!$B$4,D:D)),MAX($C$3:OFFSET(C969,-1,0))+1,0)</f>
        <v>0</v>
      </c>
      <c r="E969" s="9" t="str">
        <f t="shared" ca="1" si="27"/>
        <v/>
      </c>
      <c r="F969" s="4" t="s">
        <v>4</v>
      </c>
      <c r="G969" s="2">
        <f>IF(ISNUMBER(SEARCH(Лист2!$B$4,F:F)),1,0)</f>
        <v>0</v>
      </c>
      <c r="H969" s="3">
        <f ca="1">IF(AND(I969&lt;&gt;I968,ISNUMBER(SEARCH(Лист2!$B$5,I:I)),G969=1),MAX($H$3:OFFSET(H969,-1,0))+1,0)</f>
        <v>0</v>
      </c>
      <c r="I969" s="3" t="s">
        <v>139</v>
      </c>
      <c r="K969" s="2">
        <f>IF(ISNUMBER(SEARCH(Лист2!$B$4,F:F)),1,0)</f>
        <v>0</v>
      </c>
      <c r="L969" s="14">
        <f>IF(ISNUMBER(SEARCH(Лист2!$B$5,I:I)),1,0)+K969</f>
        <v>0</v>
      </c>
      <c r="M969" s="3">
        <f ca="1">IF(AND(N969&lt;&gt;N968,ISNUMBER(SEARCH(Лист2!$B$6,N:N)),L969=2),MAX($M$3:OFFSET(M969,-1,0))+1,0)</f>
        <v>0</v>
      </c>
      <c r="N969" s="3" t="s">
        <v>1042</v>
      </c>
    </row>
    <row r="970" spans="1:14" x14ac:dyDescent="0.25">
      <c r="A970" s="1" t="s">
        <v>10521</v>
      </c>
      <c r="B970" s="3" t="s">
        <v>4594</v>
      </c>
      <c r="C970" s="2">
        <f ca="1">IF(ISNUMBER(SEARCH(Лист2!$B$4,D:D)),MAX($C$3:OFFSET(C970,-1,0))+1,0)</f>
        <v>0</v>
      </c>
      <c r="E970" s="9" t="str">
        <f t="shared" ca="1" si="27"/>
        <v/>
      </c>
      <c r="F970" s="4" t="s">
        <v>4</v>
      </c>
      <c r="G970" s="2">
        <f>IF(ISNUMBER(SEARCH(Лист2!$B$4,F:F)),1,0)</f>
        <v>0</v>
      </c>
      <c r="H970" s="3">
        <f ca="1">IF(AND(I970&lt;&gt;I969,ISNUMBER(SEARCH(Лист2!$B$5,I:I)),G970=1),MAX($H$3:OFFSET(H970,-1,0))+1,0)</f>
        <v>0</v>
      </c>
      <c r="I970" s="3" t="s">
        <v>139</v>
      </c>
      <c r="K970" s="2">
        <f>IF(ISNUMBER(SEARCH(Лист2!$B$4,F:F)),1,0)</f>
        <v>0</v>
      </c>
      <c r="L970" s="14">
        <f>IF(ISNUMBER(SEARCH(Лист2!$B$5,I:I)),1,0)+K970</f>
        <v>0</v>
      </c>
      <c r="M970" s="3">
        <f ca="1">IF(AND(N970&lt;&gt;N969,ISNUMBER(SEARCH(Лист2!$B$6,N:N)),L970=2),MAX($M$3:OFFSET(M970,-1,0))+1,0)</f>
        <v>0</v>
      </c>
      <c r="N970" s="3" t="s">
        <v>1042</v>
      </c>
    </row>
    <row r="971" spans="1:14" x14ac:dyDescent="0.25">
      <c r="A971" s="1" t="s">
        <v>10522</v>
      </c>
      <c r="B971" s="3" t="s">
        <v>4595</v>
      </c>
      <c r="C971" s="2">
        <f ca="1">IF(ISNUMBER(SEARCH(Лист2!$B$4,D:D)),MAX($C$3:OFFSET(C971,-1,0))+1,0)</f>
        <v>0</v>
      </c>
      <c r="E971" s="9" t="str">
        <f t="shared" ca="1" si="27"/>
        <v/>
      </c>
      <c r="F971" s="4" t="s">
        <v>4</v>
      </c>
      <c r="G971" s="2">
        <f>IF(ISNUMBER(SEARCH(Лист2!$B$4,F:F)),1,0)</f>
        <v>0</v>
      </c>
      <c r="H971" s="3">
        <f ca="1">IF(AND(I971&lt;&gt;I970,ISNUMBER(SEARCH(Лист2!$B$5,I:I)),G971=1),MAX($H$3:OFFSET(H971,-1,0))+1,0)</f>
        <v>0</v>
      </c>
      <c r="I971" s="3" t="s">
        <v>139</v>
      </c>
      <c r="K971" s="2">
        <f>IF(ISNUMBER(SEARCH(Лист2!$B$4,F:F)),1,0)</f>
        <v>0</v>
      </c>
      <c r="L971" s="14">
        <f>IF(ISNUMBER(SEARCH(Лист2!$B$5,I:I)),1,0)+K971</f>
        <v>0</v>
      </c>
      <c r="M971" s="3">
        <f ca="1">IF(AND(N971&lt;&gt;N970,ISNUMBER(SEARCH(Лист2!$B$6,N:N)),L971=2),MAX($M$3:OFFSET(M971,-1,0))+1,0)</f>
        <v>0</v>
      </c>
      <c r="N971" s="3" t="s">
        <v>1043</v>
      </c>
    </row>
    <row r="972" spans="1:14" x14ac:dyDescent="0.25">
      <c r="A972" s="1" t="s">
        <v>10522</v>
      </c>
      <c r="B972" s="3" t="s">
        <v>4596</v>
      </c>
      <c r="C972" s="2">
        <f ca="1">IF(ISNUMBER(SEARCH(Лист2!$B$4,D:D)),MAX($C$3:OFFSET(C972,-1,0))+1,0)</f>
        <v>0</v>
      </c>
      <c r="E972" s="9" t="str">
        <f t="shared" ca="1" si="27"/>
        <v/>
      </c>
      <c r="F972" s="4" t="s">
        <v>4</v>
      </c>
      <c r="G972" s="2">
        <f>IF(ISNUMBER(SEARCH(Лист2!$B$4,F:F)),1,0)</f>
        <v>0</v>
      </c>
      <c r="H972" s="3">
        <f ca="1">IF(AND(I972&lt;&gt;I971,ISNUMBER(SEARCH(Лист2!$B$5,I:I)),G972=1),MAX($H$3:OFFSET(H972,-1,0))+1,0)</f>
        <v>0</v>
      </c>
      <c r="I972" s="3" t="s">
        <v>139</v>
      </c>
      <c r="K972" s="2">
        <f>IF(ISNUMBER(SEARCH(Лист2!$B$4,F:F)),1,0)</f>
        <v>0</v>
      </c>
      <c r="L972" s="14">
        <f>IF(ISNUMBER(SEARCH(Лист2!$B$5,I:I)),1,0)+K972</f>
        <v>0</v>
      </c>
      <c r="M972" s="3">
        <f ca="1">IF(AND(N972&lt;&gt;N971,ISNUMBER(SEARCH(Лист2!$B$6,N:N)),L972=2),MAX($M$3:OFFSET(M972,-1,0))+1,0)</f>
        <v>0</v>
      </c>
      <c r="N972" s="3" t="s">
        <v>1043</v>
      </c>
    </row>
    <row r="973" spans="1:14" x14ac:dyDescent="0.25">
      <c r="A973" s="1" t="s">
        <v>10522</v>
      </c>
      <c r="B973" s="3" t="s">
        <v>4597</v>
      </c>
      <c r="C973" s="2">
        <f ca="1">IF(ISNUMBER(SEARCH(Лист2!$B$4,D:D)),MAX($C$3:OFFSET(C973,-1,0))+1,0)</f>
        <v>0</v>
      </c>
      <c r="E973" s="9" t="str">
        <f t="shared" ca="1" si="27"/>
        <v/>
      </c>
      <c r="F973" s="4" t="s">
        <v>4</v>
      </c>
      <c r="G973" s="2">
        <f>IF(ISNUMBER(SEARCH(Лист2!$B$4,F:F)),1,0)</f>
        <v>0</v>
      </c>
      <c r="H973" s="3">
        <f ca="1">IF(AND(I973&lt;&gt;I972,ISNUMBER(SEARCH(Лист2!$B$5,I:I)),G973=1),MAX($H$3:OFFSET(H973,-1,0))+1,0)</f>
        <v>0</v>
      </c>
      <c r="I973" s="3" t="s">
        <v>139</v>
      </c>
      <c r="K973" s="2">
        <f>IF(ISNUMBER(SEARCH(Лист2!$B$4,F:F)),1,0)</f>
        <v>0</v>
      </c>
      <c r="L973" s="14">
        <f>IF(ISNUMBER(SEARCH(Лист2!$B$5,I:I)),1,0)+K973</f>
        <v>0</v>
      </c>
      <c r="M973" s="3">
        <f ca="1">IF(AND(N973&lt;&gt;N972,ISNUMBER(SEARCH(Лист2!$B$6,N:N)),L973=2),MAX($M$3:OFFSET(M973,-1,0))+1,0)</f>
        <v>0</v>
      </c>
      <c r="N973" s="3" t="s">
        <v>1043</v>
      </c>
    </row>
    <row r="974" spans="1:14" x14ac:dyDescent="0.25">
      <c r="A974" s="1" t="s">
        <v>10523</v>
      </c>
      <c r="B974" s="3" t="s">
        <v>4598</v>
      </c>
      <c r="C974" s="2">
        <f ca="1">IF(ISNUMBER(SEARCH(Лист2!$B$4,D:D)),MAX($C$3:OFFSET(C974,-1,0))+1,0)</f>
        <v>0</v>
      </c>
      <c r="E974" s="9" t="str">
        <f t="shared" ca="1" si="27"/>
        <v/>
      </c>
      <c r="F974" s="4" t="s">
        <v>4</v>
      </c>
      <c r="G974" s="2">
        <f>IF(ISNUMBER(SEARCH(Лист2!$B$4,F:F)),1,0)</f>
        <v>0</v>
      </c>
      <c r="H974" s="3">
        <f ca="1">IF(AND(I974&lt;&gt;I973,ISNUMBER(SEARCH(Лист2!$B$5,I:I)),G974=1),MAX($H$3:OFFSET(H974,-1,0))+1,0)</f>
        <v>0</v>
      </c>
      <c r="I974" s="3" t="s">
        <v>140</v>
      </c>
      <c r="K974" s="2">
        <f>IF(ISNUMBER(SEARCH(Лист2!$B$4,F:F)),1,0)</f>
        <v>0</v>
      </c>
      <c r="L974" s="14">
        <f>IF(ISNUMBER(SEARCH(Лист2!$B$5,I:I)),1,0)+K974</f>
        <v>0</v>
      </c>
      <c r="M974" s="3">
        <f ca="1">IF(AND(N974&lt;&gt;N973,ISNUMBER(SEARCH(Лист2!$B$6,N:N)),L974=2),MAX($M$3:OFFSET(M974,-1,0))+1,0)</f>
        <v>0</v>
      </c>
      <c r="N974" s="3" t="s">
        <v>1044</v>
      </c>
    </row>
    <row r="975" spans="1:14" x14ac:dyDescent="0.25">
      <c r="A975" s="1" t="s">
        <v>10523</v>
      </c>
      <c r="B975" s="3" t="s">
        <v>4599</v>
      </c>
      <c r="C975" s="2">
        <f ca="1">IF(ISNUMBER(SEARCH(Лист2!$B$4,D:D)),MAX($C$3:OFFSET(C975,-1,0))+1,0)</f>
        <v>0</v>
      </c>
      <c r="E975" s="9" t="str">
        <f t="shared" ca="1" si="27"/>
        <v/>
      </c>
      <c r="F975" s="4" t="s">
        <v>4</v>
      </c>
      <c r="G975" s="2">
        <f>IF(ISNUMBER(SEARCH(Лист2!$B$4,F:F)),1,0)</f>
        <v>0</v>
      </c>
      <c r="H975" s="3">
        <f ca="1">IF(AND(I975&lt;&gt;I974,ISNUMBER(SEARCH(Лист2!$B$5,I:I)),G975=1),MAX($H$3:OFFSET(H975,-1,0))+1,0)</f>
        <v>0</v>
      </c>
      <c r="I975" s="3" t="s">
        <v>140</v>
      </c>
      <c r="K975" s="2">
        <f>IF(ISNUMBER(SEARCH(Лист2!$B$4,F:F)),1,0)</f>
        <v>0</v>
      </c>
      <c r="L975" s="14">
        <f>IF(ISNUMBER(SEARCH(Лист2!$B$5,I:I)),1,0)+K975</f>
        <v>0</v>
      </c>
      <c r="M975" s="3">
        <f ca="1">IF(AND(N975&lt;&gt;N974,ISNUMBER(SEARCH(Лист2!$B$6,N:N)),L975=2),MAX($M$3:OFFSET(M975,-1,0))+1,0)</f>
        <v>0</v>
      </c>
      <c r="N975" s="3" t="s">
        <v>1044</v>
      </c>
    </row>
    <row r="976" spans="1:14" x14ac:dyDescent="0.25">
      <c r="A976" s="1" t="s">
        <v>10523</v>
      </c>
      <c r="B976" s="3" t="s">
        <v>4600</v>
      </c>
      <c r="C976" s="2">
        <f ca="1">IF(ISNUMBER(SEARCH(Лист2!$B$4,D:D)),MAX($C$3:OFFSET(C976,-1,0))+1,0)</f>
        <v>0</v>
      </c>
      <c r="E976" s="9" t="str">
        <f t="shared" ca="1" si="27"/>
        <v/>
      </c>
      <c r="F976" s="4" t="s">
        <v>4</v>
      </c>
      <c r="G976" s="2">
        <f>IF(ISNUMBER(SEARCH(Лист2!$B$4,F:F)),1,0)</f>
        <v>0</v>
      </c>
      <c r="H976" s="3">
        <f ca="1">IF(AND(I976&lt;&gt;I975,ISNUMBER(SEARCH(Лист2!$B$5,I:I)),G976=1),MAX($H$3:OFFSET(H976,-1,0))+1,0)</f>
        <v>0</v>
      </c>
      <c r="I976" s="3" t="s">
        <v>140</v>
      </c>
      <c r="K976" s="2">
        <f>IF(ISNUMBER(SEARCH(Лист2!$B$4,F:F)),1,0)</f>
        <v>0</v>
      </c>
      <c r="L976" s="14">
        <f>IF(ISNUMBER(SEARCH(Лист2!$B$5,I:I)),1,0)+K976</f>
        <v>0</v>
      </c>
      <c r="M976" s="3">
        <f ca="1">IF(AND(N976&lt;&gt;N975,ISNUMBER(SEARCH(Лист2!$B$6,N:N)),L976=2),MAX($M$3:OFFSET(M976,-1,0))+1,0)</f>
        <v>0</v>
      </c>
      <c r="N976" s="3" t="s">
        <v>1044</v>
      </c>
    </row>
    <row r="977" spans="1:14" x14ac:dyDescent="0.25">
      <c r="A977" s="1" t="s">
        <v>10524</v>
      </c>
      <c r="B977" s="3" t="s">
        <v>4601</v>
      </c>
      <c r="C977" s="2">
        <f ca="1">IF(ISNUMBER(SEARCH(Лист2!$B$4,D:D)),MAX($C$3:OFFSET(C977,-1,0))+1,0)</f>
        <v>0</v>
      </c>
      <c r="E977" s="9" t="str">
        <f t="shared" ca="1" si="27"/>
        <v/>
      </c>
      <c r="F977" s="4" t="s">
        <v>4</v>
      </c>
      <c r="G977" s="2">
        <f>IF(ISNUMBER(SEARCH(Лист2!$B$4,F:F)),1,0)</f>
        <v>0</v>
      </c>
      <c r="H977" s="3">
        <f ca="1">IF(AND(I977&lt;&gt;I976,ISNUMBER(SEARCH(Лист2!$B$5,I:I)),G977=1),MAX($H$3:OFFSET(H977,-1,0))+1,0)</f>
        <v>0</v>
      </c>
      <c r="I977" s="3" t="s">
        <v>139</v>
      </c>
      <c r="K977" s="2">
        <f>IF(ISNUMBER(SEARCH(Лист2!$B$4,F:F)),1,0)</f>
        <v>0</v>
      </c>
      <c r="L977" s="14">
        <f>IF(ISNUMBER(SEARCH(Лист2!$B$5,I:I)),1,0)+K977</f>
        <v>0</v>
      </c>
      <c r="M977" s="3">
        <f ca="1">IF(AND(N977&lt;&gt;N976,ISNUMBER(SEARCH(Лист2!$B$6,N:N)),L977=2),MAX($M$3:OFFSET(M977,-1,0))+1,0)</f>
        <v>0</v>
      </c>
      <c r="N977" s="3" t="s">
        <v>1044</v>
      </c>
    </row>
    <row r="978" spans="1:14" x14ac:dyDescent="0.25">
      <c r="A978" s="1" t="s">
        <v>10525</v>
      </c>
      <c r="B978" s="3" t="s">
        <v>4602</v>
      </c>
      <c r="C978" s="2">
        <f ca="1">IF(ISNUMBER(SEARCH(Лист2!$B$4,D:D)),MAX($C$3:OFFSET(C978,-1,0))+1,0)</f>
        <v>0</v>
      </c>
      <c r="E978" s="9" t="str">
        <f t="shared" ca="1" si="27"/>
        <v/>
      </c>
      <c r="F978" s="4" t="s">
        <v>4</v>
      </c>
      <c r="G978" s="2">
        <f>IF(ISNUMBER(SEARCH(Лист2!$B$4,F:F)),1,0)</f>
        <v>0</v>
      </c>
      <c r="H978" s="3">
        <f ca="1">IF(AND(I978&lt;&gt;I977,ISNUMBER(SEARCH(Лист2!$B$5,I:I)),G978=1),MAX($H$3:OFFSET(H978,-1,0))+1,0)</f>
        <v>0</v>
      </c>
      <c r="I978" s="3" t="s">
        <v>140</v>
      </c>
      <c r="K978" s="2">
        <f>IF(ISNUMBER(SEARCH(Лист2!$B$4,F:F)),1,0)</f>
        <v>0</v>
      </c>
      <c r="L978" s="14">
        <f>IF(ISNUMBER(SEARCH(Лист2!$B$5,I:I)),1,0)+K978</f>
        <v>0</v>
      </c>
      <c r="M978" s="3">
        <f ca="1">IF(AND(N978&lt;&gt;N977,ISNUMBER(SEARCH(Лист2!$B$6,N:N)),L978=2),MAX($M$3:OFFSET(M978,-1,0))+1,0)</f>
        <v>0</v>
      </c>
      <c r="N978" s="3" t="s">
        <v>1045</v>
      </c>
    </row>
    <row r="979" spans="1:14" x14ac:dyDescent="0.25">
      <c r="A979" s="1" t="s">
        <v>10525</v>
      </c>
      <c r="B979" s="3" t="s">
        <v>4603</v>
      </c>
      <c r="C979" s="2">
        <f ca="1">IF(ISNUMBER(SEARCH(Лист2!$B$4,D:D)),MAX($C$3:OFFSET(C979,-1,0))+1,0)</f>
        <v>0</v>
      </c>
      <c r="E979" s="9" t="str">
        <f t="shared" ca="1" si="27"/>
        <v/>
      </c>
      <c r="F979" s="4" t="s">
        <v>4</v>
      </c>
      <c r="G979" s="2">
        <f>IF(ISNUMBER(SEARCH(Лист2!$B$4,F:F)),1,0)</f>
        <v>0</v>
      </c>
      <c r="H979" s="3">
        <f ca="1">IF(AND(I979&lt;&gt;I978,ISNUMBER(SEARCH(Лист2!$B$5,I:I)),G979=1),MAX($H$3:OFFSET(H979,-1,0))+1,0)</f>
        <v>0</v>
      </c>
      <c r="I979" s="3" t="s">
        <v>140</v>
      </c>
      <c r="K979" s="2">
        <f>IF(ISNUMBER(SEARCH(Лист2!$B$4,F:F)),1,0)</f>
        <v>0</v>
      </c>
      <c r="L979" s="14">
        <f>IF(ISNUMBER(SEARCH(Лист2!$B$5,I:I)),1,0)+K979</f>
        <v>0</v>
      </c>
      <c r="M979" s="3">
        <f ca="1">IF(AND(N979&lt;&gt;N978,ISNUMBER(SEARCH(Лист2!$B$6,N:N)),L979=2),MAX($M$3:OFFSET(M979,-1,0))+1,0)</f>
        <v>0</v>
      </c>
      <c r="N979" s="3" t="s">
        <v>1045</v>
      </c>
    </row>
    <row r="980" spans="1:14" x14ac:dyDescent="0.25">
      <c r="A980" s="1" t="s">
        <v>10525</v>
      </c>
      <c r="B980" s="3" t="s">
        <v>4604</v>
      </c>
      <c r="C980" s="2">
        <f ca="1">IF(ISNUMBER(SEARCH(Лист2!$B$4,D:D)),MAX($C$3:OFFSET(C980,-1,0))+1,0)</f>
        <v>0</v>
      </c>
      <c r="E980" s="9" t="str">
        <f t="shared" ca="1" si="27"/>
        <v/>
      </c>
      <c r="F980" s="4" t="s">
        <v>4</v>
      </c>
      <c r="G980" s="2">
        <f>IF(ISNUMBER(SEARCH(Лист2!$B$4,F:F)),1,0)</f>
        <v>0</v>
      </c>
      <c r="H980" s="3">
        <f ca="1">IF(AND(I980&lt;&gt;I979,ISNUMBER(SEARCH(Лист2!$B$5,I:I)),G980=1),MAX($H$3:OFFSET(H980,-1,0))+1,0)</f>
        <v>0</v>
      </c>
      <c r="I980" s="3" t="s">
        <v>140</v>
      </c>
      <c r="K980" s="2">
        <f>IF(ISNUMBER(SEARCH(Лист2!$B$4,F:F)),1,0)</f>
        <v>0</v>
      </c>
      <c r="L980" s="14">
        <f>IF(ISNUMBER(SEARCH(Лист2!$B$5,I:I)),1,0)+K980</f>
        <v>0</v>
      </c>
      <c r="M980" s="3">
        <f ca="1">IF(AND(N980&lt;&gt;N979,ISNUMBER(SEARCH(Лист2!$B$6,N:N)),L980=2),MAX($M$3:OFFSET(M980,-1,0))+1,0)</f>
        <v>0</v>
      </c>
      <c r="N980" s="3" t="s">
        <v>1045</v>
      </c>
    </row>
    <row r="981" spans="1:14" x14ac:dyDescent="0.25">
      <c r="A981" s="1" t="s">
        <v>10526</v>
      </c>
      <c r="B981" s="3" t="s">
        <v>4605</v>
      </c>
      <c r="C981" s="2">
        <f ca="1">IF(ISNUMBER(SEARCH(Лист2!$B$4,D:D)),MAX($C$3:OFFSET(C981,-1,0))+1,0)</f>
        <v>0</v>
      </c>
      <c r="E981" s="9" t="str">
        <f t="shared" ca="1" si="27"/>
        <v/>
      </c>
      <c r="F981" s="4" t="s">
        <v>4</v>
      </c>
      <c r="G981" s="2">
        <f>IF(ISNUMBER(SEARCH(Лист2!$B$4,F:F)),1,0)</f>
        <v>0</v>
      </c>
      <c r="H981" s="3">
        <f ca="1">IF(AND(I981&lt;&gt;I980,ISNUMBER(SEARCH(Лист2!$B$5,I:I)),G981=1),MAX($H$3:OFFSET(H981,-1,0))+1,0)</f>
        <v>0</v>
      </c>
      <c r="I981" s="3" t="s">
        <v>140</v>
      </c>
      <c r="K981" s="2">
        <f>IF(ISNUMBER(SEARCH(Лист2!$B$4,F:F)),1,0)</f>
        <v>0</v>
      </c>
      <c r="L981" s="14">
        <f>IF(ISNUMBER(SEARCH(Лист2!$B$5,I:I)),1,0)+K981</f>
        <v>0</v>
      </c>
      <c r="M981" s="3">
        <f ca="1">IF(AND(N981&lt;&gt;N980,ISNUMBER(SEARCH(Лист2!$B$6,N:N)),L981=2),MAX($M$3:OFFSET(M981,-1,0))+1,0)</f>
        <v>0</v>
      </c>
      <c r="N981" s="3" t="s">
        <v>1046</v>
      </c>
    </row>
    <row r="982" spans="1:14" x14ac:dyDescent="0.25">
      <c r="A982" s="1" t="s">
        <v>10526</v>
      </c>
      <c r="B982" s="3" t="s">
        <v>4606</v>
      </c>
      <c r="C982" s="2">
        <f ca="1">IF(ISNUMBER(SEARCH(Лист2!$B$4,D:D)),MAX($C$3:OFFSET(C982,-1,0))+1,0)</f>
        <v>0</v>
      </c>
      <c r="E982" s="9" t="str">
        <f t="shared" ca="1" si="27"/>
        <v/>
      </c>
      <c r="F982" s="4" t="s">
        <v>4</v>
      </c>
      <c r="G982" s="2">
        <f>IF(ISNUMBER(SEARCH(Лист2!$B$4,F:F)),1,0)</f>
        <v>0</v>
      </c>
      <c r="H982" s="3">
        <f ca="1">IF(AND(I982&lt;&gt;I981,ISNUMBER(SEARCH(Лист2!$B$5,I:I)),G982=1),MAX($H$3:OFFSET(H982,-1,0))+1,0)</f>
        <v>0</v>
      </c>
      <c r="I982" s="3" t="s">
        <v>140</v>
      </c>
      <c r="K982" s="2">
        <f>IF(ISNUMBER(SEARCH(Лист2!$B$4,F:F)),1,0)</f>
        <v>0</v>
      </c>
      <c r="L982" s="14">
        <f>IF(ISNUMBER(SEARCH(Лист2!$B$5,I:I)),1,0)+K982</f>
        <v>0</v>
      </c>
      <c r="M982" s="3">
        <f ca="1">IF(AND(N982&lt;&gt;N981,ISNUMBER(SEARCH(Лист2!$B$6,N:N)),L982=2),MAX($M$3:OFFSET(M982,-1,0))+1,0)</f>
        <v>0</v>
      </c>
      <c r="N982" s="3" t="s">
        <v>1046</v>
      </c>
    </row>
    <row r="983" spans="1:14" x14ac:dyDescent="0.25">
      <c r="A983" s="1" t="s">
        <v>10526</v>
      </c>
      <c r="B983" s="3" t="s">
        <v>4607</v>
      </c>
      <c r="C983" s="2">
        <f ca="1">IF(ISNUMBER(SEARCH(Лист2!$B$4,D:D)),MAX($C$3:OFFSET(C983,-1,0))+1,0)</f>
        <v>0</v>
      </c>
      <c r="E983" s="9" t="str">
        <f t="shared" ca="1" si="27"/>
        <v/>
      </c>
      <c r="F983" s="4" t="s">
        <v>4</v>
      </c>
      <c r="G983" s="2">
        <f>IF(ISNUMBER(SEARCH(Лист2!$B$4,F:F)),1,0)</f>
        <v>0</v>
      </c>
      <c r="H983" s="3">
        <f ca="1">IF(AND(I983&lt;&gt;I982,ISNUMBER(SEARCH(Лист2!$B$5,I:I)),G983=1),MAX($H$3:OFFSET(H983,-1,0))+1,0)</f>
        <v>0</v>
      </c>
      <c r="I983" s="3" t="s">
        <v>140</v>
      </c>
      <c r="K983" s="2">
        <f>IF(ISNUMBER(SEARCH(Лист2!$B$4,F:F)),1,0)</f>
        <v>0</v>
      </c>
      <c r="L983" s="14">
        <f>IF(ISNUMBER(SEARCH(Лист2!$B$5,I:I)),1,0)+K983</f>
        <v>0</v>
      </c>
      <c r="M983" s="3">
        <f ca="1">IF(AND(N983&lt;&gt;N982,ISNUMBER(SEARCH(Лист2!$B$6,N:N)),L983=2),MAX($M$3:OFFSET(M983,-1,0))+1,0)</f>
        <v>0</v>
      </c>
      <c r="N983" s="3" t="s">
        <v>1046</v>
      </c>
    </row>
    <row r="984" spans="1:14" x14ac:dyDescent="0.25">
      <c r="A984" s="1" t="s">
        <v>10527</v>
      </c>
      <c r="B984" s="3" t="s">
        <v>4608</v>
      </c>
      <c r="C984" s="2">
        <f ca="1">IF(ISNUMBER(SEARCH(Лист2!$B$4,D:D)),MAX($C$3:OFFSET(C984,-1,0))+1,0)</f>
        <v>0</v>
      </c>
      <c r="E984" s="9" t="str">
        <f t="shared" ca="1" si="27"/>
        <v/>
      </c>
      <c r="F984" s="4" t="s">
        <v>4</v>
      </c>
      <c r="G984" s="2">
        <f>IF(ISNUMBER(SEARCH(Лист2!$B$4,F:F)),1,0)</f>
        <v>0</v>
      </c>
      <c r="H984" s="3">
        <f ca="1">IF(AND(I984&lt;&gt;I983,ISNUMBER(SEARCH(Лист2!$B$5,I:I)),G984=1),MAX($H$3:OFFSET(H984,-1,0))+1,0)</f>
        <v>0</v>
      </c>
      <c r="I984" s="3" t="s">
        <v>140</v>
      </c>
      <c r="K984" s="2">
        <f>IF(ISNUMBER(SEARCH(Лист2!$B$4,F:F)),1,0)</f>
        <v>0</v>
      </c>
      <c r="L984" s="14">
        <f>IF(ISNUMBER(SEARCH(Лист2!$B$5,I:I)),1,0)+K984</f>
        <v>0</v>
      </c>
      <c r="M984" s="3">
        <f ca="1">IF(AND(N984&lt;&gt;N983,ISNUMBER(SEARCH(Лист2!$B$6,N:N)),L984=2),MAX($M$3:OFFSET(M984,-1,0))+1,0)</f>
        <v>0</v>
      </c>
      <c r="N984" s="3" t="s">
        <v>1047</v>
      </c>
    </row>
    <row r="985" spans="1:14" x14ac:dyDescent="0.25">
      <c r="A985" s="1" t="s">
        <v>10527</v>
      </c>
      <c r="B985" s="3" t="s">
        <v>4609</v>
      </c>
      <c r="C985" s="2">
        <f ca="1">IF(ISNUMBER(SEARCH(Лист2!$B$4,D:D)),MAX($C$3:OFFSET(C985,-1,0))+1,0)</f>
        <v>0</v>
      </c>
      <c r="E985" s="9" t="str">
        <f t="shared" ca="1" si="27"/>
        <v/>
      </c>
      <c r="F985" s="4" t="s">
        <v>4</v>
      </c>
      <c r="G985" s="2">
        <f>IF(ISNUMBER(SEARCH(Лист2!$B$4,F:F)),1,0)</f>
        <v>0</v>
      </c>
      <c r="H985" s="3">
        <f ca="1">IF(AND(I985&lt;&gt;I984,ISNUMBER(SEARCH(Лист2!$B$5,I:I)),G985=1),MAX($H$3:OFFSET(H985,-1,0))+1,0)</f>
        <v>0</v>
      </c>
      <c r="I985" s="3" t="s">
        <v>140</v>
      </c>
      <c r="K985" s="2">
        <f>IF(ISNUMBER(SEARCH(Лист2!$B$4,F:F)),1,0)</f>
        <v>0</v>
      </c>
      <c r="L985" s="14">
        <f>IF(ISNUMBER(SEARCH(Лист2!$B$5,I:I)),1,0)+K985</f>
        <v>0</v>
      </c>
      <c r="M985" s="3">
        <f ca="1">IF(AND(N985&lt;&gt;N984,ISNUMBER(SEARCH(Лист2!$B$6,N:N)),L985=2),MAX($M$3:OFFSET(M985,-1,0))+1,0)</f>
        <v>0</v>
      </c>
      <c r="N985" s="3" t="s">
        <v>1047</v>
      </c>
    </row>
    <row r="986" spans="1:14" x14ac:dyDescent="0.25">
      <c r="A986" s="1" t="s">
        <v>10527</v>
      </c>
      <c r="B986" s="3" t="s">
        <v>4610</v>
      </c>
      <c r="C986" s="2">
        <f ca="1">IF(ISNUMBER(SEARCH(Лист2!$B$4,D:D)),MAX($C$3:OFFSET(C986,-1,0))+1,0)</f>
        <v>0</v>
      </c>
      <c r="E986" s="9" t="str">
        <f t="shared" ca="1" si="27"/>
        <v/>
      </c>
      <c r="F986" s="4" t="s">
        <v>4</v>
      </c>
      <c r="G986" s="2">
        <f>IF(ISNUMBER(SEARCH(Лист2!$B$4,F:F)),1,0)</f>
        <v>0</v>
      </c>
      <c r="H986" s="3">
        <f ca="1">IF(AND(I986&lt;&gt;I985,ISNUMBER(SEARCH(Лист2!$B$5,I:I)),G986=1),MAX($H$3:OFFSET(H986,-1,0))+1,0)</f>
        <v>0</v>
      </c>
      <c r="I986" s="3" t="s">
        <v>140</v>
      </c>
      <c r="K986" s="2">
        <f>IF(ISNUMBER(SEARCH(Лист2!$B$4,F:F)),1,0)</f>
        <v>0</v>
      </c>
      <c r="L986" s="14">
        <f>IF(ISNUMBER(SEARCH(Лист2!$B$5,I:I)),1,0)+K986</f>
        <v>0</v>
      </c>
      <c r="M986" s="3">
        <f ca="1">IF(AND(N986&lt;&gt;N985,ISNUMBER(SEARCH(Лист2!$B$6,N:N)),L986=2),MAX($M$3:OFFSET(M986,-1,0))+1,0)</f>
        <v>0</v>
      </c>
      <c r="N986" s="3" t="s">
        <v>1047</v>
      </c>
    </row>
    <row r="987" spans="1:14" x14ac:dyDescent="0.25">
      <c r="A987" s="1" t="s">
        <v>10528</v>
      </c>
      <c r="B987" s="3" t="s">
        <v>4611</v>
      </c>
      <c r="C987" s="2">
        <f ca="1">IF(ISNUMBER(SEARCH(Лист2!$B$4,D:D)),MAX($C$3:OFFSET(C987,-1,0))+1,0)</f>
        <v>0</v>
      </c>
      <c r="E987" s="9" t="str">
        <f t="shared" ca="1" si="27"/>
        <v/>
      </c>
      <c r="F987" s="4" t="s">
        <v>4</v>
      </c>
      <c r="G987" s="2">
        <f>IF(ISNUMBER(SEARCH(Лист2!$B$4,F:F)),1,0)</f>
        <v>0</v>
      </c>
      <c r="H987" s="3">
        <f ca="1">IF(AND(I987&lt;&gt;I986,ISNUMBER(SEARCH(Лист2!$B$5,I:I)),G987=1),MAX($H$3:OFFSET(H987,-1,0))+1,0)</f>
        <v>0</v>
      </c>
      <c r="I987" s="3" t="s">
        <v>141</v>
      </c>
      <c r="K987" s="2">
        <f>IF(ISNUMBER(SEARCH(Лист2!$B$4,F:F)),1,0)</f>
        <v>0</v>
      </c>
      <c r="L987" s="14">
        <f>IF(ISNUMBER(SEARCH(Лист2!$B$5,I:I)),1,0)+K987</f>
        <v>0</v>
      </c>
      <c r="M987" s="3">
        <f ca="1">IF(AND(N987&lt;&gt;N986,ISNUMBER(SEARCH(Лист2!$B$6,N:N)),L987=2),MAX($M$3:OFFSET(M987,-1,0))+1,0)</f>
        <v>0</v>
      </c>
      <c r="N987" s="3" t="s">
        <v>1048</v>
      </c>
    </row>
    <row r="988" spans="1:14" x14ac:dyDescent="0.25">
      <c r="A988" s="1" t="s">
        <v>10528</v>
      </c>
      <c r="B988" s="3" t="s">
        <v>4612</v>
      </c>
      <c r="C988" s="2">
        <f ca="1">IF(ISNUMBER(SEARCH(Лист2!$B$4,D:D)),MAX($C$3:OFFSET(C988,-1,0))+1,0)</f>
        <v>0</v>
      </c>
      <c r="E988" s="9" t="str">
        <f t="shared" ca="1" si="27"/>
        <v/>
      </c>
      <c r="F988" s="4" t="s">
        <v>4</v>
      </c>
      <c r="G988" s="2">
        <f>IF(ISNUMBER(SEARCH(Лист2!$B$4,F:F)),1,0)</f>
        <v>0</v>
      </c>
      <c r="H988" s="3">
        <f ca="1">IF(AND(I988&lt;&gt;I987,ISNUMBER(SEARCH(Лист2!$B$5,I:I)),G988=1),MAX($H$3:OFFSET(H988,-1,0))+1,0)</f>
        <v>0</v>
      </c>
      <c r="I988" s="3" t="s">
        <v>141</v>
      </c>
      <c r="K988" s="2">
        <f>IF(ISNUMBER(SEARCH(Лист2!$B$4,F:F)),1,0)</f>
        <v>0</v>
      </c>
      <c r="L988" s="14">
        <f>IF(ISNUMBER(SEARCH(Лист2!$B$5,I:I)),1,0)+K988</f>
        <v>0</v>
      </c>
      <c r="M988" s="3">
        <f ca="1">IF(AND(N988&lt;&gt;N987,ISNUMBER(SEARCH(Лист2!$B$6,N:N)),L988=2),MAX($M$3:OFFSET(M988,-1,0))+1,0)</f>
        <v>0</v>
      </c>
      <c r="N988" s="3" t="s">
        <v>1048</v>
      </c>
    </row>
    <row r="989" spans="1:14" x14ac:dyDescent="0.25">
      <c r="A989" s="1" t="s">
        <v>10529</v>
      </c>
      <c r="B989" s="3" t="s">
        <v>4613</v>
      </c>
      <c r="C989" s="2">
        <f ca="1">IF(ISNUMBER(SEARCH(Лист2!$B$4,D:D)),MAX($C$3:OFFSET(C989,-1,0))+1,0)</f>
        <v>0</v>
      </c>
      <c r="E989" s="9" t="str">
        <f t="shared" ca="1" si="27"/>
        <v/>
      </c>
      <c r="F989" s="4" t="s">
        <v>4</v>
      </c>
      <c r="G989" s="2">
        <f>IF(ISNUMBER(SEARCH(Лист2!$B$4,F:F)),1,0)</f>
        <v>0</v>
      </c>
      <c r="H989" s="3">
        <f ca="1">IF(AND(I989&lt;&gt;I988,ISNUMBER(SEARCH(Лист2!$B$5,I:I)),G989=1),MAX($H$3:OFFSET(H989,-1,0))+1,0)</f>
        <v>0</v>
      </c>
      <c r="I989" s="3" t="s">
        <v>141</v>
      </c>
      <c r="K989" s="2">
        <f>IF(ISNUMBER(SEARCH(Лист2!$B$4,F:F)),1,0)</f>
        <v>0</v>
      </c>
      <c r="L989" s="14">
        <f>IF(ISNUMBER(SEARCH(Лист2!$B$5,I:I)),1,0)+K989</f>
        <v>0</v>
      </c>
      <c r="M989" s="3">
        <f ca="1">IF(AND(N989&lt;&gt;N988,ISNUMBER(SEARCH(Лист2!$B$6,N:N)),L989=2),MAX($M$3:OFFSET(M989,-1,0))+1,0)</f>
        <v>0</v>
      </c>
      <c r="N989" s="3" t="s">
        <v>1049</v>
      </c>
    </row>
    <row r="990" spans="1:14" x14ac:dyDescent="0.25">
      <c r="A990" s="1" t="s">
        <v>10530</v>
      </c>
      <c r="B990" s="3" t="s">
        <v>4614</v>
      </c>
      <c r="C990" s="2">
        <f ca="1">IF(ISNUMBER(SEARCH(Лист2!$B$4,D:D)),MAX($C$3:OFFSET(C990,-1,0))+1,0)</f>
        <v>0</v>
      </c>
      <c r="E990" s="9" t="str">
        <f t="shared" ca="1" si="27"/>
        <v/>
      </c>
      <c r="F990" s="4" t="s">
        <v>4</v>
      </c>
      <c r="G990" s="2">
        <f>IF(ISNUMBER(SEARCH(Лист2!$B$4,F:F)),1,0)</f>
        <v>0</v>
      </c>
      <c r="H990" s="3">
        <f ca="1">IF(AND(I990&lt;&gt;I989,ISNUMBER(SEARCH(Лист2!$B$5,I:I)),G990=1),MAX($H$3:OFFSET(H990,-1,0))+1,0)</f>
        <v>0</v>
      </c>
      <c r="I990" s="3" t="s">
        <v>141</v>
      </c>
      <c r="K990" s="2">
        <f>IF(ISNUMBER(SEARCH(Лист2!$B$4,F:F)),1,0)</f>
        <v>0</v>
      </c>
      <c r="L990" s="14">
        <f>IF(ISNUMBER(SEARCH(Лист2!$B$5,I:I)),1,0)+K990</f>
        <v>0</v>
      </c>
      <c r="M990" s="3">
        <f ca="1">IF(AND(N990&lt;&gt;N989,ISNUMBER(SEARCH(Лист2!$B$6,N:N)),L990=2),MAX($M$3:OFFSET(M990,-1,0))+1,0)</f>
        <v>0</v>
      </c>
      <c r="N990" s="3" t="s">
        <v>1050</v>
      </c>
    </row>
    <row r="991" spans="1:14" x14ac:dyDescent="0.25">
      <c r="A991" s="1" t="s">
        <v>10531</v>
      </c>
      <c r="B991" s="3" t="s">
        <v>4615</v>
      </c>
      <c r="C991" s="2">
        <f ca="1">IF(ISNUMBER(SEARCH(Лист2!$B$4,D:D)),MAX($C$3:OFFSET(C991,-1,0))+1,0)</f>
        <v>0</v>
      </c>
      <c r="E991" s="9" t="str">
        <f t="shared" ca="1" si="27"/>
        <v/>
      </c>
      <c r="F991" s="4" t="s">
        <v>4</v>
      </c>
      <c r="G991" s="2">
        <f>IF(ISNUMBER(SEARCH(Лист2!$B$4,F:F)),1,0)</f>
        <v>0</v>
      </c>
      <c r="H991" s="3">
        <f ca="1">IF(AND(I991&lt;&gt;I990,ISNUMBER(SEARCH(Лист2!$B$5,I:I)),G991=1),MAX($H$3:OFFSET(H991,-1,0))+1,0)</f>
        <v>0</v>
      </c>
      <c r="I991" s="3" t="s">
        <v>141</v>
      </c>
      <c r="K991" s="2">
        <f>IF(ISNUMBER(SEARCH(Лист2!$B$4,F:F)),1,0)</f>
        <v>0</v>
      </c>
      <c r="L991" s="14">
        <f>IF(ISNUMBER(SEARCH(Лист2!$B$5,I:I)),1,0)+K991</f>
        <v>0</v>
      </c>
      <c r="M991" s="3">
        <f ca="1">IF(AND(N991&lt;&gt;N990,ISNUMBER(SEARCH(Лист2!$B$6,N:N)),L991=2),MAX($M$3:OFFSET(M991,-1,0))+1,0)</f>
        <v>0</v>
      </c>
      <c r="N991" s="3" t="s">
        <v>1051</v>
      </c>
    </row>
    <row r="992" spans="1:14" x14ac:dyDescent="0.25">
      <c r="A992" s="1" t="s">
        <v>10532</v>
      </c>
      <c r="B992" s="3" t="s">
        <v>4616</v>
      </c>
      <c r="C992" s="2">
        <f ca="1">IF(ISNUMBER(SEARCH(Лист2!$B$4,D:D)),MAX($C$3:OFFSET(C992,-1,0))+1,0)</f>
        <v>0</v>
      </c>
      <c r="E992" s="9" t="str">
        <f t="shared" ca="1" si="27"/>
        <v/>
      </c>
      <c r="F992" s="4" t="s">
        <v>4</v>
      </c>
      <c r="G992" s="2">
        <f>IF(ISNUMBER(SEARCH(Лист2!$B$4,F:F)),1,0)</f>
        <v>0</v>
      </c>
      <c r="H992" s="3">
        <f ca="1">IF(AND(I992&lt;&gt;I991,ISNUMBER(SEARCH(Лист2!$B$5,I:I)),G992=1),MAX($H$3:OFFSET(H992,-1,0))+1,0)</f>
        <v>0</v>
      </c>
      <c r="I992" s="3" t="s">
        <v>141</v>
      </c>
      <c r="K992" s="2">
        <f>IF(ISNUMBER(SEARCH(Лист2!$B$4,F:F)),1,0)</f>
        <v>0</v>
      </c>
      <c r="L992" s="14">
        <f>IF(ISNUMBER(SEARCH(Лист2!$B$5,I:I)),1,0)+K992</f>
        <v>0</v>
      </c>
      <c r="M992" s="3">
        <f ca="1">IF(AND(N992&lt;&gt;N991,ISNUMBER(SEARCH(Лист2!$B$6,N:N)),L992=2),MAX($M$3:OFFSET(M992,-1,0))+1,0)</f>
        <v>0</v>
      </c>
      <c r="N992" s="3" t="s">
        <v>1052</v>
      </c>
    </row>
    <row r="993" spans="1:14" x14ac:dyDescent="0.25">
      <c r="A993" s="1" t="s">
        <v>10533</v>
      </c>
      <c r="B993" s="3" t="s">
        <v>4617</v>
      </c>
      <c r="C993" s="2">
        <f ca="1">IF(ISNUMBER(SEARCH(Лист2!$B$4,D:D)),MAX($C$3:OFFSET(C993,-1,0))+1,0)</f>
        <v>0</v>
      </c>
      <c r="E993" s="9" t="str">
        <f t="shared" ca="1" si="27"/>
        <v/>
      </c>
      <c r="F993" s="4" t="s">
        <v>4</v>
      </c>
      <c r="G993" s="2">
        <f>IF(ISNUMBER(SEARCH(Лист2!$B$4,F:F)),1,0)</f>
        <v>0</v>
      </c>
      <c r="H993" s="3">
        <f ca="1">IF(AND(I993&lt;&gt;I992,ISNUMBER(SEARCH(Лист2!$B$5,I:I)),G993=1),MAX($H$3:OFFSET(H993,-1,0))+1,0)</f>
        <v>0</v>
      </c>
      <c r="I993" s="3" t="s">
        <v>141</v>
      </c>
      <c r="K993" s="2">
        <f>IF(ISNUMBER(SEARCH(Лист2!$B$4,F:F)),1,0)</f>
        <v>0</v>
      </c>
      <c r="L993" s="14">
        <f>IF(ISNUMBER(SEARCH(Лист2!$B$5,I:I)),1,0)+K993</f>
        <v>0</v>
      </c>
      <c r="M993" s="3">
        <f ca="1">IF(AND(N993&lt;&gt;N992,ISNUMBER(SEARCH(Лист2!$B$6,N:N)),L993=2),MAX($M$3:OFFSET(M993,-1,0))+1,0)</f>
        <v>0</v>
      </c>
      <c r="N993" s="3" t="s">
        <v>1053</v>
      </c>
    </row>
    <row r="994" spans="1:14" x14ac:dyDescent="0.25">
      <c r="A994" s="1" t="s">
        <v>10534</v>
      </c>
      <c r="B994" s="3" t="s">
        <v>4618</v>
      </c>
      <c r="C994" s="2">
        <f ca="1">IF(ISNUMBER(SEARCH(Лист2!$B$4,D:D)),MAX($C$3:OFFSET(C994,-1,0))+1,0)</f>
        <v>0</v>
      </c>
      <c r="E994" s="9" t="str">
        <f t="shared" ca="1" si="27"/>
        <v/>
      </c>
      <c r="F994" s="4" t="s">
        <v>4</v>
      </c>
      <c r="G994" s="2">
        <f>IF(ISNUMBER(SEARCH(Лист2!$B$4,F:F)),1,0)</f>
        <v>0</v>
      </c>
      <c r="H994" s="3">
        <f ca="1">IF(AND(I994&lt;&gt;I993,ISNUMBER(SEARCH(Лист2!$B$5,I:I)),G994=1),MAX($H$3:OFFSET(H994,-1,0))+1,0)</f>
        <v>0</v>
      </c>
      <c r="I994" s="3" t="s">
        <v>141</v>
      </c>
      <c r="K994" s="2">
        <f>IF(ISNUMBER(SEARCH(Лист2!$B$4,F:F)),1,0)</f>
        <v>0</v>
      </c>
      <c r="L994" s="14">
        <f>IF(ISNUMBER(SEARCH(Лист2!$B$5,I:I)),1,0)+K994</f>
        <v>0</v>
      </c>
      <c r="M994" s="3">
        <f ca="1">IF(AND(N994&lt;&gt;N993,ISNUMBER(SEARCH(Лист2!$B$6,N:N)),L994=2),MAX($M$3:OFFSET(M994,-1,0))+1,0)</f>
        <v>0</v>
      </c>
      <c r="N994" s="3" t="s">
        <v>1054</v>
      </c>
    </row>
    <row r="995" spans="1:14" x14ac:dyDescent="0.25">
      <c r="A995" s="1" t="s">
        <v>10535</v>
      </c>
      <c r="B995" s="3" t="s">
        <v>4619</v>
      </c>
      <c r="C995" s="2">
        <f ca="1">IF(ISNUMBER(SEARCH(Лист2!$B$4,D:D)),MAX($C$3:OFFSET(C995,-1,0))+1,0)</f>
        <v>0</v>
      </c>
      <c r="E995" s="9" t="str">
        <f t="shared" ca="1" si="27"/>
        <v/>
      </c>
      <c r="F995" s="4" t="s">
        <v>4</v>
      </c>
      <c r="G995" s="2">
        <f>IF(ISNUMBER(SEARCH(Лист2!$B$4,F:F)),1,0)</f>
        <v>0</v>
      </c>
      <c r="H995" s="3">
        <f ca="1">IF(AND(I995&lt;&gt;I994,ISNUMBER(SEARCH(Лист2!$B$5,I:I)),G995=1),MAX($H$3:OFFSET(H995,-1,0))+1,0)</f>
        <v>0</v>
      </c>
      <c r="I995" s="3" t="s">
        <v>102</v>
      </c>
      <c r="K995" s="2">
        <f>IF(ISNUMBER(SEARCH(Лист2!$B$4,F:F)),1,0)</f>
        <v>0</v>
      </c>
      <c r="L995" s="14">
        <f>IF(ISNUMBER(SEARCH(Лист2!$B$5,I:I)),1,0)+K995</f>
        <v>0</v>
      </c>
      <c r="M995" s="3">
        <f ca="1">IF(AND(N995&lt;&gt;N994,ISNUMBER(SEARCH(Лист2!$B$6,N:N)),L995=2),MAX($M$3:OFFSET(M995,-1,0))+1,0)</f>
        <v>0</v>
      </c>
      <c r="N995" s="3" t="s">
        <v>1055</v>
      </c>
    </row>
    <row r="996" spans="1:14" x14ac:dyDescent="0.25">
      <c r="A996" s="1" t="s">
        <v>10536</v>
      </c>
      <c r="B996" s="3" t="s">
        <v>4620</v>
      </c>
      <c r="C996" s="2">
        <f ca="1">IF(ISNUMBER(SEARCH(Лист2!$B$4,D:D)),MAX($C$3:OFFSET(C996,-1,0))+1,0)</f>
        <v>0</v>
      </c>
      <c r="E996" s="9" t="str">
        <f t="shared" ca="1" si="27"/>
        <v/>
      </c>
      <c r="F996" s="4" t="s">
        <v>4</v>
      </c>
      <c r="G996" s="2">
        <f>IF(ISNUMBER(SEARCH(Лист2!$B$4,F:F)),1,0)</f>
        <v>0</v>
      </c>
      <c r="H996" s="3">
        <f ca="1">IF(AND(I996&lt;&gt;I995,ISNUMBER(SEARCH(Лист2!$B$5,I:I)),G996=1),MAX($H$3:OFFSET(H996,-1,0))+1,0)</f>
        <v>0</v>
      </c>
      <c r="I996" s="3" t="s">
        <v>103</v>
      </c>
      <c r="K996" s="2">
        <f>IF(ISNUMBER(SEARCH(Лист2!$B$4,F:F)),1,0)</f>
        <v>0</v>
      </c>
      <c r="L996" s="14">
        <f>IF(ISNUMBER(SEARCH(Лист2!$B$5,I:I)),1,0)+K996</f>
        <v>0</v>
      </c>
      <c r="M996" s="3">
        <f ca="1">IF(AND(N996&lt;&gt;N995,ISNUMBER(SEARCH(Лист2!$B$6,N:N)),L996=2),MAX($M$3:OFFSET(M996,-1,0))+1,0)</f>
        <v>0</v>
      </c>
      <c r="N996" s="3" t="s">
        <v>1056</v>
      </c>
    </row>
    <row r="997" spans="1:14" x14ac:dyDescent="0.25">
      <c r="A997" s="1" t="s">
        <v>10537</v>
      </c>
      <c r="B997" s="3" t="s">
        <v>4621</v>
      </c>
      <c r="C997" s="2">
        <f ca="1">IF(ISNUMBER(SEARCH(Лист2!$B$4,D:D)),MAX($C$3:OFFSET(C997,-1,0))+1,0)</f>
        <v>0</v>
      </c>
      <c r="E997" s="9" t="str">
        <f t="shared" ca="1" si="27"/>
        <v/>
      </c>
      <c r="F997" s="4" t="s">
        <v>4</v>
      </c>
      <c r="G997" s="2">
        <f>IF(ISNUMBER(SEARCH(Лист2!$B$4,F:F)),1,0)</f>
        <v>0</v>
      </c>
      <c r="H997" s="3">
        <f ca="1">IF(AND(I997&lt;&gt;I996,ISNUMBER(SEARCH(Лист2!$B$5,I:I)),G997=1),MAX($H$3:OFFSET(H997,-1,0))+1,0)</f>
        <v>0</v>
      </c>
      <c r="I997" s="3" t="s">
        <v>104</v>
      </c>
      <c r="K997" s="2">
        <f>IF(ISNUMBER(SEARCH(Лист2!$B$4,F:F)),1,0)</f>
        <v>0</v>
      </c>
      <c r="L997" s="14">
        <f>IF(ISNUMBER(SEARCH(Лист2!$B$5,I:I)),1,0)+K997</f>
        <v>0</v>
      </c>
      <c r="M997" s="3">
        <f ca="1">IF(AND(N997&lt;&gt;N996,ISNUMBER(SEARCH(Лист2!$B$6,N:N)),L997=2),MAX($M$3:OFFSET(M997,-1,0))+1,0)</f>
        <v>0</v>
      </c>
      <c r="N997" s="3" t="s">
        <v>1057</v>
      </c>
    </row>
    <row r="998" spans="1:14" x14ac:dyDescent="0.25">
      <c r="A998" s="1" t="s">
        <v>10538</v>
      </c>
      <c r="B998" s="3" t="s">
        <v>4622</v>
      </c>
      <c r="C998" s="2">
        <f ca="1">IF(ISNUMBER(SEARCH(Лист2!$B$4,D:D)),MAX($C$3:OFFSET(C998,-1,0))+1,0)</f>
        <v>0</v>
      </c>
      <c r="E998" s="9" t="str">
        <f t="shared" ca="1" si="27"/>
        <v/>
      </c>
      <c r="F998" s="4" t="s">
        <v>4</v>
      </c>
      <c r="G998" s="2">
        <f>IF(ISNUMBER(SEARCH(Лист2!$B$4,F:F)),1,0)</f>
        <v>0</v>
      </c>
      <c r="H998" s="3">
        <f ca="1">IF(AND(I998&lt;&gt;I997,ISNUMBER(SEARCH(Лист2!$B$5,I:I)),G998=1),MAX($H$3:OFFSET(H998,-1,0))+1,0)</f>
        <v>0</v>
      </c>
      <c r="I998" s="3" t="s">
        <v>142</v>
      </c>
      <c r="K998" s="2">
        <f>IF(ISNUMBER(SEARCH(Лист2!$B$4,F:F)),1,0)</f>
        <v>0</v>
      </c>
      <c r="L998" s="14">
        <f>IF(ISNUMBER(SEARCH(Лист2!$B$5,I:I)),1,0)+K998</f>
        <v>0</v>
      </c>
      <c r="M998" s="3">
        <f ca="1">IF(AND(N998&lt;&gt;N997,ISNUMBER(SEARCH(Лист2!$B$6,N:N)),L998=2),MAX($M$3:OFFSET(M998,-1,0))+1,0)</f>
        <v>0</v>
      </c>
      <c r="N998" s="3" t="s">
        <v>1058</v>
      </c>
    </row>
    <row r="999" spans="1:14" x14ac:dyDescent="0.25">
      <c r="A999" s="1" t="s">
        <v>10539</v>
      </c>
      <c r="B999" s="3" t="s">
        <v>4623</v>
      </c>
      <c r="C999" s="2">
        <f ca="1">IF(ISNUMBER(SEARCH(Лист2!$B$4,D:D)),MAX($C$3:OFFSET(C999,-1,0))+1,0)</f>
        <v>0</v>
      </c>
      <c r="E999" s="9" t="str">
        <f t="shared" ca="1" si="27"/>
        <v/>
      </c>
      <c r="F999" s="4" t="s">
        <v>4</v>
      </c>
      <c r="G999" s="2">
        <f>IF(ISNUMBER(SEARCH(Лист2!$B$4,F:F)),1,0)</f>
        <v>0</v>
      </c>
      <c r="H999" s="3">
        <f ca="1">IF(AND(I999&lt;&gt;I998,ISNUMBER(SEARCH(Лист2!$B$5,I:I)),G999=1),MAX($H$3:OFFSET(H999,-1,0))+1,0)</f>
        <v>0</v>
      </c>
      <c r="I999" s="3" t="s">
        <v>142</v>
      </c>
      <c r="K999" s="2">
        <f>IF(ISNUMBER(SEARCH(Лист2!$B$4,F:F)),1,0)</f>
        <v>0</v>
      </c>
      <c r="L999" s="14">
        <f>IF(ISNUMBER(SEARCH(Лист2!$B$5,I:I)),1,0)+K999</f>
        <v>0</v>
      </c>
      <c r="M999" s="3">
        <f ca="1">IF(AND(N999&lt;&gt;N998,ISNUMBER(SEARCH(Лист2!$B$6,N:N)),L999=2),MAX($M$3:OFFSET(M999,-1,0))+1,0)</f>
        <v>0</v>
      </c>
      <c r="N999" s="3" t="s">
        <v>1059</v>
      </c>
    </row>
    <row r="1000" spans="1:14" x14ac:dyDescent="0.25">
      <c r="A1000" s="1" t="s">
        <v>10540</v>
      </c>
      <c r="B1000" s="3" t="s">
        <v>4624</v>
      </c>
      <c r="C1000" s="2">
        <f ca="1">IF(ISNUMBER(SEARCH(Лист2!$B$4,D:D)),MAX($C$3:OFFSET(C1000,-1,0))+1,0)</f>
        <v>0</v>
      </c>
      <c r="E1000" s="9" t="str">
        <f t="shared" ca="1" si="27"/>
        <v/>
      </c>
      <c r="F1000" s="4" t="s">
        <v>4</v>
      </c>
      <c r="G1000" s="2">
        <f>IF(ISNUMBER(SEARCH(Лист2!$B$4,F:F)),1,0)</f>
        <v>0</v>
      </c>
      <c r="H1000" s="3">
        <f ca="1">IF(AND(I1000&lt;&gt;I999,ISNUMBER(SEARCH(Лист2!$B$5,I:I)),G1000=1),MAX($H$3:OFFSET(H1000,-1,0))+1,0)</f>
        <v>0</v>
      </c>
      <c r="I1000" s="3" t="s">
        <v>142</v>
      </c>
      <c r="K1000" s="2">
        <f>IF(ISNUMBER(SEARCH(Лист2!$B$4,F:F)),1,0)</f>
        <v>0</v>
      </c>
      <c r="L1000" s="14">
        <f>IF(ISNUMBER(SEARCH(Лист2!$B$5,I:I)),1,0)+K1000</f>
        <v>0</v>
      </c>
      <c r="M1000" s="3">
        <f ca="1">IF(AND(N1000&lt;&gt;N999,ISNUMBER(SEARCH(Лист2!$B$6,N:N)),L1000=2),MAX($M$3:OFFSET(M1000,-1,0))+1,0)</f>
        <v>0</v>
      </c>
      <c r="N1000" s="3" t="s">
        <v>1060</v>
      </c>
    </row>
    <row r="1001" spans="1:14" x14ac:dyDescent="0.25">
      <c r="A1001" s="1" t="s">
        <v>10541</v>
      </c>
      <c r="B1001" s="3" t="s">
        <v>4625</v>
      </c>
      <c r="C1001" s="2">
        <f ca="1">IF(ISNUMBER(SEARCH(Лист2!$B$4,D:D)),MAX($C$3:OFFSET(C1001,-1,0))+1,0)</f>
        <v>0</v>
      </c>
      <c r="E1001" s="9" t="str">
        <f t="shared" ca="1" si="27"/>
        <v/>
      </c>
      <c r="F1001" s="4" t="s">
        <v>4</v>
      </c>
      <c r="G1001" s="2">
        <f>IF(ISNUMBER(SEARCH(Лист2!$B$4,F:F)),1,0)</f>
        <v>0</v>
      </c>
      <c r="H1001" s="3">
        <f ca="1">IF(AND(I1001&lt;&gt;I1000,ISNUMBER(SEARCH(Лист2!$B$5,I:I)),G1001=1),MAX($H$3:OFFSET(H1001,-1,0))+1,0)</f>
        <v>0</v>
      </c>
      <c r="I1001" s="3" t="s">
        <v>142</v>
      </c>
      <c r="K1001" s="2">
        <f>IF(ISNUMBER(SEARCH(Лист2!$B$4,F:F)),1,0)</f>
        <v>0</v>
      </c>
      <c r="L1001" s="14">
        <f>IF(ISNUMBER(SEARCH(Лист2!$B$5,I:I)),1,0)+K1001</f>
        <v>0</v>
      </c>
      <c r="M1001" s="3">
        <f ca="1">IF(AND(N1001&lt;&gt;N1000,ISNUMBER(SEARCH(Лист2!$B$6,N:N)),L1001=2),MAX($M$3:OFFSET(M1001,-1,0))+1,0)</f>
        <v>0</v>
      </c>
      <c r="N1001" s="3" t="s">
        <v>1061</v>
      </c>
    </row>
    <row r="1002" spans="1:14" x14ac:dyDescent="0.25">
      <c r="A1002" s="1" t="s">
        <v>10542</v>
      </c>
      <c r="B1002" s="3" t="s">
        <v>4626</v>
      </c>
      <c r="C1002" s="2">
        <f ca="1">IF(ISNUMBER(SEARCH(Лист2!$B$4,D:D)),MAX($C$3:OFFSET(C1002,-1,0))+1,0)</f>
        <v>0</v>
      </c>
      <c r="E1002" s="9" t="str">
        <f t="shared" ca="1" si="27"/>
        <v/>
      </c>
      <c r="F1002" s="4" t="s">
        <v>4</v>
      </c>
      <c r="G1002" s="2">
        <f>IF(ISNUMBER(SEARCH(Лист2!$B$4,F:F)),1,0)</f>
        <v>0</v>
      </c>
      <c r="H1002" s="3">
        <f ca="1">IF(AND(I1002&lt;&gt;I1001,ISNUMBER(SEARCH(Лист2!$B$5,I:I)),G1002=1),MAX($H$3:OFFSET(H1002,-1,0))+1,0)</f>
        <v>0</v>
      </c>
      <c r="I1002" s="3" t="s">
        <v>142</v>
      </c>
      <c r="K1002" s="2">
        <f>IF(ISNUMBER(SEARCH(Лист2!$B$4,F:F)),1,0)</f>
        <v>0</v>
      </c>
      <c r="L1002" s="14">
        <f>IF(ISNUMBER(SEARCH(Лист2!$B$5,I:I)),1,0)+K1002</f>
        <v>0</v>
      </c>
      <c r="M1002" s="3">
        <f ca="1">IF(AND(N1002&lt;&gt;N1001,ISNUMBER(SEARCH(Лист2!$B$6,N:N)),L1002=2),MAX($M$3:OFFSET(M1002,-1,0))+1,0)</f>
        <v>0</v>
      </c>
      <c r="N1002" s="3" t="s">
        <v>1062</v>
      </c>
    </row>
    <row r="1003" spans="1:14" x14ac:dyDescent="0.25">
      <c r="A1003" s="1" t="s">
        <v>10543</v>
      </c>
      <c r="B1003" s="3" t="s">
        <v>4627</v>
      </c>
      <c r="C1003" s="2">
        <f ca="1">IF(ISNUMBER(SEARCH(Лист2!$B$4,D:D)),MAX($C$3:OFFSET(C1003,-1,0))+1,0)</f>
        <v>0</v>
      </c>
      <c r="E1003" s="9" t="str">
        <f t="shared" ca="1" si="27"/>
        <v/>
      </c>
      <c r="F1003" s="4" t="s">
        <v>4</v>
      </c>
      <c r="G1003" s="2">
        <f>IF(ISNUMBER(SEARCH(Лист2!$B$4,F:F)),1,0)</f>
        <v>0</v>
      </c>
      <c r="H1003" s="3">
        <f ca="1">IF(AND(I1003&lt;&gt;I1002,ISNUMBER(SEARCH(Лист2!$B$5,I:I)),G1003=1),MAX($H$3:OFFSET(H1003,-1,0))+1,0)</f>
        <v>0</v>
      </c>
      <c r="I1003" s="3" t="s">
        <v>142</v>
      </c>
      <c r="K1003" s="2">
        <f>IF(ISNUMBER(SEARCH(Лист2!$B$4,F:F)),1,0)</f>
        <v>0</v>
      </c>
      <c r="L1003" s="14">
        <f>IF(ISNUMBER(SEARCH(Лист2!$B$5,I:I)),1,0)+K1003</f>
        <v>0</v>
      </c>
      <c r="M1003" s="3">
        <f ca="1">IF(AND(N1003&lt;&gt;N1002,ISNUMBER(SEARCH(Лист2!$B$6,N:N)),L1003=2),MAX($M$3:OFFSET(M1003,-1,0))+1,0)</f>
        <v>0</v>
      </c>
      <c r="N1003" s="3" t="s">
        <v>1063</v>
      </c>
    </row>
    <row r="1004" spans="1:14" x14ac:dyDescent="0.25">
      <c r="A1004" s="1" t="s">
        <v>10544</v>
      </c>
      <c r="B1004" s="3" t="s">
        <v>4628</v>
      </c>
      <c r="C1004" s="2">
        <f ca="1">IF(ISNUMBER(SEARCH(Лист2!$B$4,D:D)),MAX($C$3:OFFSET(C1004,-1,0))+1,0)</f>
        <v>0</v>
      </c>
      <c r="E1004" s="9" t="str">
        <f t="shared" ca="1" si="27"/>
        <v/>
      </c>
      <c r="F1004" s="4" t="s">
        <v>4</v>
      </c>
      <c r="G1004" s="2">
        <f>IF(ISNUMBER(SEARCH(Лист2!$B$4,F:F)),1,0)</f>
        <v>0</v>
      </c>
      <c r="H1004" s="3">
        <f ca="1">IF(AND(I1004&lt;&gt;I1003,ISNUMBER(SEARCH(Лист2!$B$5,I:I)),G1004=1),MAX($H$3:OFFSET(H1004,-1,0))+1,0)</f>
        <v>0</v>
      </c>
      <c r="I1004" s="3" t="s">
        <v>143</v>
      </c>
      <c r="K1004" s="2">
        <f>IF(ISNUMBER(SEARCH(Лист2!$B$4,F:F)),1,0)</f>
        <v>0</v>
      </c>
      <c r="L1004" s="14">
        <f>IF(ISNUMBER(SEARCH(Лист2!$B$5,I:I)),1,0)+K1004</f>
        <v>0</v>
      </c>
      <c r="M1004" s="3">
        <f ca="1">IF(AND(N1004&lt;&gt;N1003,ISNUMBER(SEARCH(Лист2!$B$6,N:N)),L1004=2),MAX($M$3:OFFSET(M1004,-1,0))+1,0)</f>
        <v>0</v>
      </c>
      <c r="N1004" s="3" t="s">
        <v>1064</v>
      </c>
    </row>
    <row r="1005" spans="1:14" x14ac:dyDescent="0.25">
      <c r="A1005" s="1" t="s">
        <v>10545</v>
      </c>
      <c r="B1005" s="3" t="s">
        <v>4629</v>
      </c>
      <c r="C1005" s="2">
        <f ca="1">IF(ISNUMBER(SEARCH(Лист2!$B$4,D:D)),MAX($C$3:OFFSET(C1005,-1,0))+1,0)</f>
        <v>0</v>
      </c>
      <c r="E1005" s="9" t="str">
        <f t="shared" ca="1" si="27"/>
        <v/>
      </c>
      <c r="F1005" s="4" t="s">
        <v>4</v>
      </c>
      <c r="G1005" s="2">
        <f>IF(ISNUMBER(SEARCH(Лист2!$B$4,F:F)),1,0)</f>
        <v>0</v>
      </c>
      <c r="H1005" s="3">
        <f ca="1">IF(AND(I1005&lt;&gt;I1004,ISNUMBER(SEARCH(Лист2!$B$5,I:I)),G1005=1),MAX($H$3:OFFSET(H1005,-1,0))+1,0)</f>
        <v>0</v>
      </c>
      <c r="I1005" s="3" t="s">
        <v>143</v>
      </c>
      <c r="K1005" s="2">
        <f>IF(ISNUMBER(SEARCH(Лист2!$B$4,F:F)),1,0)</f>
        <v>0</v>
      </c>
      <c r="L1005" s="14">
        <f>IF(ISNUMBER(SEARCH(Лист2!$B$5,I:I)),1,0)+K1005</f>
        <v>0</v>
      </c>
      <c r="M1005" s="3">
        <f ca="1">IF(AND(N1005&lt;&gt;N1004,ISNUMBER(SEARCH(Лист2!$B$6,N:N)),L1005=2),MAX($M$3:OFFSET(M1005,-1,0))+1,0)</f>
        <v>0</v>
      </c>
      <c r="N1005" s="3" t="s">
        <v>1065</v>
      </c>
    </row>
    <row r="1006" spans="1:14" x14ac:dyDescent="0.25">
      <c r="A1006" s="1" t="s">
        <v>10546</v>
      </c>
      <c r="B1006" s="3" t="s">
        <v>4630</v>
      </c>
      <c r="C1006" s="2">
        <f ca="1">IF(ISNUMBER(SEARCH(Лист2!$B$4,D:D)),MAX($C$3:OFFSET(C1006,-1,0))+1,0)</f>
        <v>0</v>
      </c>
      <c r="E1006" s="9" t="str">
        <f t="shared" ca="1" si="27"/>
        <v/>
      </c>
      <c r="F1006" s="4" t="s">
        <v>4</v>
      </c>
      <c r="G1006" s="2">
        <f>IF(ISNUMBER(SEARCH(Лист2!$B$4,F:F)),1,0)</f>
        <v>0</v>
      </c>
      <c r="H1006" s="3">
        <f ca="1">IF(AND(I1006&lt;&gt;I1005,ISNUMBER(SEARCH(Лист2!$B$5,I:I)),G1006=1),MAX($H$3:OFFSET(H1006,-1,0))+1,0)</f>
        <v>0</v>
      </c>
      <c r="I1006" s="3" t="s">
        <v>143</v>
      </c>
      <c r="K1006" s="2">
        <f>IF(ISNUMBER(SEARCH(Лист2!$B$4,F:F)),1,0)</f>
        <v>0</v>
      </c>
      <c r="L1006" s="14">
        <f>IF(ISNUMBER(SEARCH(Лист2!$B$5,I:I)),1,0)+K1006</f>
        <v>0</v>
      </c>
      <c r="M1006" s="3">
        <f ca="1">IF(AND(N1006&lt;&gt;N1005,ISNUMBER(SEARCH(Лист2!$B$6,N:N)),L1006=2),MAX($M$3:OFFSET(M1006,-1,0))+1,0)</f>
        <v>0</v>
      </c>
      <c r="N1006" s="3" t="s">
        <v>1066</v>
      </c>
    </row>
    <row r="1007" spans="1:14" x14ac:dyDescent="0.25">
      <c r="A1007" s="1" t="s">
        <v>10546</v>
      </c>
      <c r="B1007" s="3" t="s">
        <v>4631</v>
      </c>
      <c r="C1007" s="2">
        <f ca="1">IF(ISNUMBER(SEARCH(Лист2!$B$4,D:D)),MAX($C$3:OFFSET(C1007,-1,0))+1,0)</f>
        <v>0</v>
      </c>
      <c r="E1007" s="9" t="str">
        <f t="shared" ca="1" si="27"/>
        <v/>
      </c>
      <c r="F1007" s="4" t="s">
        <v>4</v>
      </c>
      <c r="G1007" s="2">
        <f>IF(ISNUMBER(SEARCH(Лист2!$B$4,F:F)),1,0)</f>
        <v>0</v>
      </c>
      <c r="H1007" s="3">
        <f ca="1">IF(AND(I1007&lt;&gt;I1006,ISNUMBER(SEARCH(Лист2!$B$5,I:I)),G1007=1),MAX($H$3:OFFSET(H1007,-1,0))+1,0)</f>
        <v>0</v>
      </c>
      <c r="I1007" s="3" t="s">
        <v>143</v>
      </c>
      <c r="K1007" s="2">
        <f>IF(ISNUMBER(SEARCH(Лист2!$B$4,F:F)),1,0)</f>
        <v>0</v>
      </c>
      <c r="L1007" s="14">
        <f>IF(ISNUMBER(SEARCH(Лист2!$B$5,I:I)),1,0)+K1007</f>
        <v>0</v>
      </c>
      <c r="M1007" s="3">
        <f ca="1">IF(AND(N1007&lt;&gt;N1006,ISNUMBER(SEARCH(Лист2!$B$6,N:N)),L1007=2),MAX($M$3:OFFSET(M1007,-1,0))+1,0)</f>
        <v>0</v>
      </c>
      <c r="N1007" s="3" t="s">
        <v>1066</v>
      </c>
    </row>
    <row r="1008" spans="1:14" x14ac:dyDescent="0.25">
      <c r="A1008" s="1" t="s">
        <v>10547</v>
      </c>
      <c r="B1008" s="3" t="s">
        <v>4632</v>
      </c>
      <c r="C1008" s="2">
        <f ca="1">IF(ISNUMBER(SEARCH(Лист2!$B$4,D:D)),MAX($C$3:OFFSET(C1008,-1,0))+1,0)</f>
        <v>0</v>
      </c>
      <c r="E1008" s="9" t="str">
        <f t="shared" ca="1" si="27"/>
        <v/>
      </c>
      <c r="F1008" s="4" t="s">
        <v>4</v>
      </c>
      <c r="G1008" s="2">
        <f>IF(ISNUMBER(SEARCH(Лист2!$B$4,F:F)),1,0)</f>
        <v>0</v>
      </c>
      <c r="H1008" s="3">
        <f ca="1">IF(AND(I1008&lt;&gt;I1007,ISNUMBER(SEARCH(Лист2!$B$5,I:I)),G1008=1),MAX($H$3:OFFSET(H1008,-1,0))+1,0)</f>
        <v>0</v>
      </c>
      <c r="I1008" s="3" t="s">
        <v>143</v>
      </c>
      <c r="K1008" s="2">
        <f>IF(ISNUMBER(SEARCH(Лист2!$B$4,F:F)),1,0)</f>
        <v>0</v>
      </c>
      <c r="L1008" s="14">
        <f>IF(ISNUMBER(SEARCH(Лист2!$B$5,I:I)),1,0)+K1008</f>
        <v>0</v>
      </c>
      <c r="M1008" s="3">
        <f ca="1">IF(AND(N1008&lt;&gt;N1007,ISNUMBER(SEARCH(Лист2!$B$6,N:N)),L1008=2),MAX($M$3:OFFSET(M1008,-1,0))+1,0)</f>
        <v>0</v>
      </c>
      <c r="N1008" s="3" t="s">
        <v>1067</v>
      </c>
    </row>
    <row r="1009" spans="1:14" x14ac:dyDescent="0.25">
      <c r="A1009" s="1" t="s">
        <v>10547</v>
      </c>
      <c r="B1009" s="3" t="s">
        <v>4633</v>
      </c>
      <c r="C1009" s="2">
        <f ca="1">IF(ISNUMBER(SEARCH(Лист2!$B$4,D:D)),MAX($C$3:OFFSET(C1009,-1,0))+1,0)</f>
        <v>0</v>
      </c>
      <c r="E1009" s="9" t="str">
        <f t="shared" ca="1" si="27"/>
        <v/>
      </c>
      <c r="F1009" s="4" t="s">
        <v>4</v>
      </c>
      <c r="G1009" s="2">
        <f>IF(ISNUMBER(SEARCH(Лист2!$B$4,F:F)),1,0)</f>
        <v>0</v>
      </c>
      <c r="H1009" s="3">
        <f ca="1">IF(AND(I1009&lt;&gt;I1008,ISNUMBER(SEARCH(Лист2!$B$5,I:I)),G1009=1),MAX($H$3:OFFSET(H1009,-1,0))+1,0)</f>
        <v>0</v>
      </c>
      <c r="I1009" s="3" t="s">
        <v>143</v>
      </c>
      <c r="K1009" s="2">
        <f>IF(ISNUMBER(SEARCH(Лист2!$B$4,F:F)),1,0)</f>
        <v>0</v>
      </c>
      <c r="L1009" s="14">
        <f>IF(ISNUMBER(SEARCH(Лист2!$B$5,I:I)),1,0)+K1009</f>
        <v>0</v>
      </c>
      <c r="M1009" s="3">
        <f ca="1">IF(AND(N1009&lt;&gt;N1008,ISNUMBER(SEARCH(Лист2!$B$6,N:N)),L1009=2),MAX($M$3:OFFSET(M1009,-1,0))+1,0)</f>
        <v>0</v>
      </c>
      <c r="N1009" s="3" t="s">
        <v>1067</v>
      </c>
    </row>
    <row r="1010" spans="1:14" x14ac:dyDescent="0.25">
      <c r="A1010" s="1" t="s">
        <v>10548</v>
      </c>
      <c r="B1010" s="3" t="s">
        <v>4634</v>
      </c>
      <c r="C1010" s="2">
        <f ca="1">IF(ISNUMBER(SEARCH(Лист2!$B$4,D:D)),MAX($C$3:OFFSET(C1010,-1,0))+1,0)</f>
        <v>0</v>
      </c>
      <c r="E1010" s="9" t="str">
        <f t="shared" ca="1" si="27"/>
        <v/>
      </c>
      <c r="F1010" s="4" t="s">
        <v>4</v>
      </c>
      <c r="G1010" s="2">
        <f>IF(ISNUMBER(SEARCH(Лист2!$B$4,F:F)),1,0)</f>
        <v>0</v>
      </c>
      <c r="H1010" s="3">
        <f ca="1">IF(AND(I1010&lt;&gt;I1009,ISNUMBER(SEARCH(Лист2!$B$5,I:I)),G1010=1),MAX($H$3:OFFSET(H1010,-1,0))+1,0)</f>
        <v>0</v>
      </c>
      <c r="I1010" s="3" t="s">
        <v>144</v>
      </c>
      <c r="K1010" s="2">
        <f>IF(ISNUMBER(SEARCH(Лист2!$B$4,F:F)),1,0)</f>
        <v>0</v>
      </c>
      <c r="L1010" s="14">
        <f>IF(ISNUMBER(SEARCH(Лист2!$B$5,I:I)),1,0)+K1010</f>
        <v>1</v>
      </c>
      <c r="M1010" s="3">
        <f ca="1">IF(AND(N1010&lt;&gt;N1009,ISNUMBER(SEARCH(Лист2!$B$6,N:N)),L1010=2),MAX($M$3:OFFSET(M1010,-1,0))+1,0)</f>
        <v>0</v>
      </c>
      <c r="N1010" s="3" t="s">
        <v>1068</v>
      </c>
    </row>
    <row r="1011" spans="1:14" x14ac:dyDescent="0.25">
      <c r="A1011" s="1" t="s">
        <v>10549</v>
      </c>
      <c r="B1011" s="3" t="s">
        <v>4635</v>
      </c>
      <c r="C1011" s="2">
        <f ca="1">IF(ISNUMBER(SEARCH(Лист2!$B$4,D:D)),MAX($C$3:OFFSET(C1011,-1,0))+1,0)</f>
        <v>0</v>
      </c>
      <c r="E1011" s="9" t="str">
        <f t="shared" ca="1" si="27"/>
        <v/>
      </c>
      <c r="F1011" s="4" t="s">
        <v>4</v>
      </c>
      <c r="G1011" s="2">
        <f>IF(ISNUMBER(SEARCH(Лист2!$B$4,F:F)),1,0)</f>
        <v>0</v>
      </c>
      <c r="H1011" s="3">
        <f ca="1">IF(AND(I1011&lt;&gt;I1010,ISNUMBER(SEARCH(Лист2!$B$5,I:I)),G1011=1),MAX($H$3:OFFSET(H1011,-1,0))+1,0)</f>
        <v>0</v>
      </c>
      <c r="I1011" s="3" t="s">
        <v>144</v>
      </c>
      <c r="K1011" s="2">
        <f>IF(ISNUMBER(SEARCH(Лист2!$B$4,F:F)),1,0)</f>
        <v>0</v>
      </c>
      <c r="L1011" s="14">
        <f>IF(ISNUMBER(SEARCH(Лист2!$B$5,I:I)),1,0)+K1011</f>
        <v>1</v>
      </c>
      <c r="M1011" s="3">
        <f ca="1">IF(AND(N1011&lt;&gt;N1010,ISNUMBER(SEARCH(Лист2!$B$6,N:N)),L1011=2),MAX($M$3:OFFSET(M1011,-1,0))+1,0)</f>
        <v>0</v>
      </c>
      <c r="N1011" s="3" t="s">
        <v>1069</v>
      </c>
    </row>
    <row r="1012" spans="1:14" x14ac:dyDescent="0.25">
      <c r="A1012" s="1" t="s">
        <v>10550</v>
      </c>
      <c r="B1012" s="3" t="s">
        <v>4636</v>
      </c>
      <c r="C1012" s="2">
        <f ca="1">IF(ISNUMBER(SEARCH(Лист2!$B$4,D:D)),MAX($C$3:OFFSET(C1012,-1,0))+1,0)</f>
        <v>0</v>
      </c>
      <c r="E1012" s="9" t="str">
        <f t="shared" ca="1" si="27"/>
        <v/>
      </c>
      <c r="F1012" s="4" t="s">
        <v>4</v>
      </c>
      <c r="G1012" s="2">
        <f>IF(ISNUMBER(SEARCH(Лист2!$B$4,F:F)),1,0)</f>
        <v>0</v>
      </c>
      <c r="H1012" s="3">
        <f ca="1">IF(AND(I1012&lt;&gt;I1011,ISNUMBER(SEARCH(Лист2!$B$5,I:I)),G1012=1),MAX($H$3:OFFSET(H1012,-1,0))+1,0)</f>
        <v>0</v>
      </c>
      <c r="I1012" s="3" t="s">
        <v>144</v>
      </c>
      <c r="K1012" s="2">
        <f>IF(ISNUMBER(SEARCH(Лист2!$B$4,F:F)),1,0)</f>
        <v>0</v>
      </c>
      <c r="L1012" s="14">
        <f>IF(ISNUMBER(SEARCH(Лист2!$B$5,I:I)),1,0)+K1012</f>
        <v>1</v>
      </c>
      <c r="M1012" s="3">
        <f ca="1">IF(AND(N1012&lt;&gt;N1011,ISNUMBER(SEARCH(Лист2!$B$6,N:N)),L1012=2),MAX($M$3:OFFSET(M1012,-1,0))+1,0)</f>
        <v>0</v>
      </c>
      <c r="N1012" s="3" t="s">
        <v>1070</v>
      </c>
    </row>
    <row r="1013" spans="1:14" x14ac:dyDescent="0.25">
      <c r="A1013" s="1" t="s">
        <v>10550</v>
      </c>
      <c r="B1013" s="3" t="s">
        <v>4637</v>
      </c>
      <c r="C1013" s="2">
        <f ca="1">IF(ISNUMBER(SEARCH(Лист2!$B$4,D:D)),MAX($C$3:OFFSET(C1013,-1,0))+1,0)</f>
        <v>0</v>
      </c>
      <c r="E1013" s="9" t="str">
        <f t="shared" ca="1" si="27"/>
        <v/>
      </c>
      <c r="F1013" s="4" t="s">
        <v>4</v>
      </c>
      <c r="G1013" s="2">
        <f>IF(ISNUMBER(SEARCH(Лист2!$B$4,F:F)),1,0)</f>
        <v>0</v>
      </c>
      <c r="H1013" s="3">
        <f ca="1">IF(AND(I1013&lt;&gt;I1012,ISNUMBER(SEARCH(Лист2!$B$5,I:I)),G1013=1),MAX($H$3:OFFSET(H1013,-1,0))+1,0)</f>
        <v>0</v>
      </c>
      <c r="I1013" s="3" t="s">
        <v>144</v>
      </c>
      <c r="K1013" s="2">
        <f>IF(ISNUMBER(SEARCH(Лист2!$B$4,F:F)),1,0)</f>
        <v>0</v>
      </c>
      <c r="L1013" s="14">
        <f>IF(ISNUMBER(SEARCH(Лист2!$B$5,I:I)),1,0)+K1013</f>
        <v>1</v>
      </c>
      <c r="M1013" s="3">
        <f ca="1">IF(AND(N1013&lt;&gt;N1012,ISNUMBER(SEARCH(Лист2!$B$6,N:N)),L1013=2),MAX($M$3:OFFSET(M1013,-1,0))+1,0)</f>
        <v>0</v>
      </c>
      <c r="N1013" s="3" t="s">
        <v>1070</v>
      </c>
    </row>
    <row r="1014" spans="1:14" x14ac:dyDescent="0.25">
      <c r="A1014" s="1" t="s">
        <v>10551</v>
      </c>
      <c r="B1014" s="3" t="s">
        <v>4638</v>
      </c>
      <c r="C1014" s="2">
        <f ca="1">IF(ISNUMBER(SEARCH(Лист2!$B$4,D:D)),MAX($C$3:OFFSET(C1014,-1,0))+1,0)</f>
        <v>0</v>
      </c>
      <c r="E1014" s="9" t="str">
        <f t="shared" ca="1" si="27"/>
        <v/>
      </c>
      <c r="F1014" s="4" t="s">
        <v>4</v>
      </c>
      <c r="G1014" s="2">
        <f>IF(ISNUMBER(SEARCH(Лист2!$B$4,F:F)),1,0)</f>
        <v>0</v>
      </c>
      <c r="H1014" s="3">
        <f ca="1">IF(AND(I1014&lt;&gt;I1013,ISNUMBER(SEARCH(Лист2!$B$5,I:I)),G1014=1),MAX($H$3:OFFSET(H1014,-1,0))+1,0)</f>
        <v>0</v>
      </c>
      <c r="I1014" s="3" t="s">
        <v>144</v>
      </c>
      <c r="K1014" s="2">
        <f>IF(ISNUMBER(SEARCH(Лист2!$B$4,F:F)),1,0)</f>
        <v>0</v>
      </c>
      <c r="L1014" s="14">
        <f>IF(ISNUMBER(SEARCH(Лист2!$B$5,I:I)),1,0)+K1014</f>
        <v>1</v>
      </c>
      <c r="M1014" s="3">
        <f ca="1">IF(AND(N1014&lt;&gt;N1013,ISNUMBER(SEARCH(Лист2!$B$6,N:N)),L1014=2),MAX($M$3:OFFSET(M1014,-1,0))+1,0)</f>
        <v>0</v>
      </c>
      <c r="N1014" s="3" t="s">
        <v>1071</v>
      </c>
    </row>
    <row r="1015" spans="1:14" x14ac:dyDescent="0.25">
      <c r="A1015" s="1" t="s">
        <v>10551</v>
      </c>
      <c r="B1015" s="3" t="s">
        <v>4639</v>
      </c>
      <c r="C1015" s="2">
        <f ca="1">IF(ISNUMBER(SEARCH(Лист2!$B$4,D:D)),MAX($C$3:OFFSET(C1015,-1,0))+1,0)</f>
        <v>0</v>
      </c>
      <c r="E1015" s="9" t="str">
        <f t="shared" ca="1" si="27"/>
        <v/>
      </c>
      <c r="F1015" s="4" t="s">
        <v>4</v>
      </c>
      <c r="G1015" s="2">
        <f>IF(ISNUMBER(SEARCH(Лист2!$B$4,F:F)),1,0)</f>
        <v>0</v>
      </c>
      <c r="H1015" s="3">
        <f ca="1">IF(AND(I1015&lt;&gt;I1014,ISNUMBER(SEARCH(Лист2!$B$5,I:I)),G1015=1),MAX($H$3:OFFSET(H1015,-1,0))+1,0)</f>
        <v>0</v>
      </c>
      <c r="I1015" s="3" t="s">
        <v>144</v>
      </c>
      <c r="K1015" s="2">
        <f>IF(ISNUMBER(SEARCH(Лист2!$B$4,F:F)),1,0)</f>
        <v>0</v>
      </c>
      <c r="L1015" s="14">
        <f>IF(ISNUMBER(SEARCH(Лист2!$B$5,I:I)),1,0)+K1015</f>
        <v>1</v>
      </c>
      <c r="M1015" s="3">
        <f ca="1">IF(AND(N1015&lt;&gt;N1014,ISNUMBER(SEARCH(Лист2!$B$6,N:N)),L1015=2),MAX($M$3:OFFSET(M1015,-1,0))+1,0)</f>
        <v>0</v>
      </c>
      <c r="N1015" s="3" t="s">
        <v>1071</v>
      </c>
    </row>
    <row r="1016" spans="1:14" x14ac:dyDescent="0.25">
      <c r="A1016" s="1" t="s">
        <v>10552</v>
      </c>
      <c r="B1016" s="3" t="s">
        <v>4640</v>
      </c>
      <c r="C1016" s="2">
        <f ca="1">IF(ISNUMBER(SEARCH(Лист2!$B$4,D:D)),MAX($C$3:OFFSET(C1016,-1,0))+1,0)</f>
        <v>0</v>
      </c>
      <c r="E1016" s="9" t="str">
        <f t="shared" ca="1" si="27"/>
        <v/>
      </c>
      <c r="F1016" s="4" t="s">
        <v>4</v>
      </c>
      <c r="G1016" s="2">
        <f>IF(ISNUMBER(SEARCH(Лист2!$B$4,F:F)),1,0)</f>
        <v>0</v>
      </c>
      <c r="H1016" s="3">
        <f ca="1">IF(AND(I1016&lt;&gt;I1015,ISNUMBER(SEARCH(Лист2!$B$5,I:I)),G1016=1),MAX($H$3:OFFSET(H1016,-1,0))+1,0)</f>
        <v>0</v>
      </c>
      <c r="I1016" s="3" t="s">
        <v>94</v>
      </c>
      <c r="K1016" s="2">
        <f>IF(ISNUMBER(SEARCH(Лист2!$B$4,F:F)),1,0)</f>
        <v>0</v>
      </c>
      <c r="L1016" s="14">
        <f>IF(ISNUMBER(SEARCH(Лист2!$B$5,I:I)),1,0)+K1016</f>
        <v>0</v>
      </c>
      <c r="M1016" s="3">
        <f ca="1">IF(AND(N1016&lt;&gt;N1015,ISNUMBER(SEARCH(Лист2!$B$6,N:N)),L1016=2),MAX($M$3:OFFSET(M1016,-1,0))+1,0)</f>
        <v>0</v>
      </c>
      <c r="N1016" s="3" t="s">
        <v>1072</v>
      </c>
    </row>
    <row r="1017" spans="1:14" x14ac:dyDescent="0.25">
      <c r="A1017" s="1" t="s">
        <v>10553</v>
      </c>
      <c r="B1017" s="3" t="s">
        <v>4641</v>
      </c>
      <c r="C1017" s="2">
        <f ca="1">IF(ISNUMBER(SEARCH(Лист2!$B$4,D:D)),MAX($C$3:OFFSET(C1017,-1,0))+1,0)</f>
        <v>0</v>
      </c>
      <c r="E1017" s="9" t="str">
        <f t="shared" ca="1" si="27"/>
        <v/>
      </c>
      <c r="F1017" s="4" t="s">
        <v>4</v>
      </c>
      <c r="G1017" s="2">
        <f>IF(ISNUMBER(SEARCH(Лист2!$B$4,F:F)),1,0)</f>
        <v>0</v>
      </c>
      <c r="H1017" s="3">
        <f ca="1">IF(AND(I1017&lt;&gt;I1016,ISNUMBER(SEARCH(Лист2!$B$5,I:I)),G1017=1),MAX($H$3:OFFSET(H1017,-1,0))+1,0)</f>
        <v>0</v>
      </c>
      <c r="I1017" s="3" t="s">
        <v>95</v>
      </c>
      <c r="K1017" s="2">
        <f>IF(ISNUMBER(SEARCH(Лист2!$B$4,F:F)),1,0)</f>
        <v>0</v>
      </c>
      <c r="L1017" s="14">
        <f>IF(ISNUMBER(SEARCH(Лист2!$B$5,I:I)),1,0)+K1017</f>
        <v>0</v>
      </c>
      <c r="M1017" s="3">
        <f ca="1">IF(AND(N1017&lt;&gt;N1016,ISNUMBER(SEARCH(Лист2!$B$6,N:N)),L1017=2),MAX($M$3:OFFSET(M1017,-1,0))+1,0)</f>
        <v>0</v>
      </c>
      <c r="N1017" s="3" t="s">
        <v>1073</v>
      </c>
    </row>
    <row r="1018" spans="1:14" x14ac:dyDescent="0.25">
      <c r="A1018" s="1" t="s">
        <v>10554</v>
      </c>
      <c r="B1018" s="3" t="s">
        <v>4642</v>
      </c>
      <c r="C1018" s="2">
        <f ca="1">IF(ISNUMBER(SEARCH(Лист2!$B$4,D:D)),MAX($C$3:OFFSET(C1018,-1,0))+1,0)</f>
        <v>0</v>
      </c>
      <c r="E1018" s="9" t="str">
        <f t="shared" ca="1" si="27"/>
        <v/>
      </c>
      <c r="F1018" s="4" t="s">
        <v>4</v>
      </c>
      <c r="G1018" s="2">
        <f>IF(ISNUMBER(SEARCH(Лист2!$B$4,F:F)),1,0)</f>
        <v>0</v>
      </c>
      <c r="H1018" s="3">
        <f ca="1">IF(AND(I1018&lt;&gt;I1017,ISNUMBER(SEARCH(Лист2!$B$5,I:I)),G1018=1),MAX($H$3:OFFSET(H1018,-1,0))+1,0)</f>
        <v>0</v>
      </c>
      <c r="I1018" s="3" t="s">
        <v>96</v>
      </c>
      <c r="K1018" s="2">
        <f>IF(ISNUMBER(SEARCH(Лист2!$B$4,F:F)),1,0)</f>
        <v>0</v>
      </c>
      <c r="L1018" s="14">
        <f>IF(ISNUMBER(SEARCH(Лист2!$B$5,I:I)),1,0)+K1018</f>
        <v>0</v>
      </c>
      <c r="M1018" s="3">
        <f ca="1">IF(AND(N1018&lt;&gt;N1017,ISNUMBER(SEARCH(Лист2!$B$6,N:N)),L1018=2),MAX($M$3:OFFSET(M1018,-1,0))+1,0)</f>
        <v>0</v>
      </c>
      <c r="N1018" s="3" t="s">
        <v>1074</v>
      </c>
    </row>
    <row r="1019" spans="1:14" x14ac:dyDescent="0.25">
      <c r="A1019" s="1" t="s">
        <v>10555</v>
      </c>
      <c r="B1019" s="3" t="s">
        <v>4643</v>
      </c>
      <c r="C1019" s="2">
        <f ca="1">IF(ISNUMBER(SEARCH(Лист2!$B$4,D:D)),MAX($C$3:OFFSET(C1019,-1,0))+1,0)</f>
        <v>0</v>
      </c>
      <c r="E1019" s="9" t="str">
        <f t="shared" ca="1" si="27"/>
        <v/>
      </c>
      <c r="F1019" s="4" t="s">
        <v>4</v>
      </c>
      <c r="G1019" s="2">
        <f>IF(ISNUMBER(SEARCH(Лист2!$B$4,F:F)),1,0)</f>
        <v>0</v>
      </c>
      <c r="H1019" s="3">
        <f ca="1">IF(AND(I1019&lt;&gt;I1018,ISNUMBER(SEARCH(Лист2!$B$5,I:I)),G1019=1),MAX($H$3:OFFSET(H1019,-1,0))+1,0)</f>
        <v>0</v>
      </c>
      <c r="I1019" s="3" t="s">
        <v>91</v>
      </c>
      <c r="K1019" s="2">
        <f>IF(ISNUMBER(SEARCH(Лист2!$B$4,F:F)),1,0)</f>
        <v>0</v>
      </c>
      <c r="L1019" s="14">
        <f>IF(ISNUMBER(SEARCH(Лист2!$B$5,I:I)),1,0)+K1019</f>
        <v>0</v>
      </c>
      <c r="M1019" s="3">
        <f ca="1">IF(AND(N1019&lt;&gt;N1018,ISNUMBER(SEARCH(Лист2!$B$6,N:N)),L1019=2),MAX($M$3:OFFSET(M1019,-1,0))+1,0)</f>
        <v>0</v>
      </c>
      <c r="N1019" s="3" t="s">
        <v>1075</v>
      </c>
    </row>
    <row r="1020" spans="1:14" x14ac:dyDescent="0.25">
      <c r="A1020" s="1" t="s">
        <v>10556</v>
      </c>
      <c r="B1020" s="3" t="s">
        <v>4644</v>
      </c>
      <c r="C1020" s="2">
        <f ca="1">IF(ISNUMBER(SEARCH(Лист2!$B$4,D:D)),MAX($C$3:OFFSET(C1020,-1,0))+1,0)</f>
        <v>0</v>
      </c>
      <c r="E1020" s="9" t="str">
        <f t="shared" ca="1" si="27"/>
        <v/>
      </c>
      <c r="F1020" s="4" t="s">
        <v>4</v>
      </c>
      <c r="G1020" s="2">
        <f>IF(ISNUMBER(SEARCH(Лист2!$B$4,F:F)),1,0)</f>
        <v>0</v>
      </c>
      <c r="H1020" s="3">
        <f ca="1">IF(AND(I1020&lt;&gt;I1019,ISNUMBER(SEARCH(Лист2!$B$5,I:I)),G1020=1),MAX($H$3:OFFSET(H1020,-1,0))+1,0)</f>
        <v>0</v>
      </c>
      <c r="I1020" s="3" t="s">
        <v>97</v>
      </c>
      <c r="K1020" s="2">
        <f>IF(ISNUMBER(SEARCH(Лист2!$B$4,F:F)),1,0)</f>
        <v>0</v>
      </c>
      <c r="L1020" s="14">
        <f>IF(ISNUMBER(SEARCH(Лист2!$B$5,I:I)),1,0)+K1020</f>
        <v>0</v>
      </c>
      <c r="M1020" s="3">
        <f ca="1">IF(AND(N1020&lt;&gt;N1019,ISNUMBER(SEARCH(Лист2!$B$6,N:N)),L1020=2),MAX($M$3:OFFSET(M1020,-1,0))+1,0)</f>
        <v>0</v>
      </c>
      <c r="N1020" s="3" t="s">
        <v>1076</v>
      </c>
    </row>
    <row r="1021" spans="1:14" x14ac:dyDescent="0.25">
      <c r="A1021" s="1" t="s">
        <v>10557</v>
      </c>
      <c r="B1021" s="3" t="s">
        <v>4645</v>
      </c>
      <c r="C1021" s="2">
        <f ca="1">IF(ISNUMBER(SEARCH(Лист2!$B$4,D:D)),MAX($C$3:OFFSET(C1021,-1,0))+1,0)</f>
        <v>0</v>
      </c>
      <c r="E1021" s="9" t="str">
        <f t="shared" ca="1" si="27"/>
        <v/>
      </c>
      <c r="F1021" s="4" t="s">
        <v>4</v>
      </c>
      <c r="G1021" s="2">
        <f>IF(ISNUMBER(SEARCH(Лист2!$B$4,F:F)),1,0)</f>
        <v>0</v>
      </c>
      <c r="H1021" s="3">
        <f ca="1">IF(AND(I1021&lt;&gt;I1020,ISNUMBER(SEARCH(Лист2!$B$5,I:I)),G1021=1),MAX($H$3:OFFSET(H1021,-1,0))+1,0)</f>
        <v>0</v>
      </c>
      <c r="I1021" s="3" t="s">
        <v>99</v>
      </c>
      <c r="K1021" s="2">
        <f>IF(ISNUMBER(SEARCH(Лист2!$B$4,F:F)),1,0)</f>
        <v>0</v>
      </c>
      <c r="L1021" s="14">
        <f>IF(ISNUMBER(SEARCH(Лист2!$B$5,I:I)),1,0)+K1021</f>
        <v>0</v>
      </c>
      <c r="M1021" s="3">
        <f ca="1">IF(AND(N1021&lt;&gt;N1020,ISNUMBER(SEARCH(Лист2!$B$6,N:N)),L1021=2),MAX($M$3:OFFSET(M1021,-1,0))+1,0)</f>
        <v>0</v>
      </c>
      <c r="N1021" s="3" t="s">
        <v>1077</v>
      </c>
    </row>
    <row r="1022" spans="1:14" x14ac:dyDescent="0.25">
      <c r="A1022" s="1" t="s">
        <v>10558</v>
      </c>
      <c r="B1022" s="3" t="s">
        <v>4646</v>
      </c>
      <c r="C1022" s="2">
        <f ca="1">IF(ISNUMBER(SEARCH(Лист2!$B$4,D:D)),MAX($C$3:OFFSET(C1022,-1,0))+1,0)</f>
        <v>0</v>
      </c>
      <c r="E1022" s="9" t="str">
        <f t="shared" ca="1" si="27"/>
        <v/>
      </c>
      <c r="F1022" s="4" t="s">
        <v>4</v>
      </c>
      <c r="G1022" s="2">
        <f>IF(ISNUMBER(SEARCH(Лист2!$B$4,F:F)),1,0)</f>
        <v>0</v>
      </c>
      <c r="H1022" s="3">
        <f ca="1">IF(AND(I1022&lt;&gt;I1021,ISNUMBER(SEARCH(Лист2!$B$5,I:I)),G1022=1),MAX($H$3:OFFSET(H1022,-1,0))+1,0)</f>
        <v>0</v>
      </c>
      <c r="I1022" s="3" t="s">
        <v>100</v>
      </c>
      <c r="K1022" s="2">
        <f>IF(ISNUMBER(SEARCH(Лист2!$B$4,F:F)),1,0)</f>
        <v>0</v>
      </c>
      <c r="L1022" s="14">
        <f>IF(ISNUMBER(SEARCH(Лист2!$B$5,I:I)),1,0)+K1022</f>
        <v>0</v>
      </c>
      <c r="M1022" s="3">
        <f ca="1">IF(AND(N1022&lt;&gt;N1021,ISNUMBER(SEARCH(Лист2!$B$6,N:N)),L1022=2),MAX($M$3:OFFSET(M1022,-1,0))+1,0)</f>
        <v>0</v>
      </c>
      <c r="N1022" s="3" t="s">
        <v>1078</v>
      </c>
    </row>
    <row r="1023" spans="1:14" x14ac:dyDescent="0.25">
      <c r="A1023" s="1" t="s">
        <v>10559</v>
      </c>
      <c r="B1023" s="3" t="s">
        <v>4647</v>
      </c>
      <c r="C1023" s="2">
        <f ca="1">IF(ISNUMBER(SEARCH(Лист2!$B$4,D:D)),MAX($C$3:OFFSET(C1023,-1,0))+1,0)</f>
        <v>0</v>
      </c>
      <c r="E1023" s="9" t="str">
        <f t="shared" ca="1" si="27"/>
        <v/>
      </c>
      <c r="F1023" s="4" t="s">
        <v>4</v>
      </c>
      <c r="G1023" s="2">
        <f>IF(ISNUMBER(SEARCH(Лист2!$B$4,F:F)),1,0)</f>
        <v>0</v>
      </c>
      <c r="H1023" s="3">
        <f ca="1">IF(AND(I1023&lt;&gt;I1022,ISNUMBER(SEARCH(Лист2!$B$5,I:I)),G1023=1),MAX($H$3:OFFSET(H1023,-1,0))+1,0)</f>
        <v>0</v>
      </c>
      <c r="I1023" s="3" t="s">
        <v>101</v>
      </c>
      <c r="K1023" s="2">
        <f>IF(ISNUMBER(SEARCH(Лист2!$B$4,F:F)),1,0)</f>
        <v>0</v>
      </c>
      <c r="L1023" s="14">
        <f>IF(ISNUMBER(SEARCH(Лист2!$B$5,I:I)),1,0)+K1023</f>
        <v>0</v>
      </c>
      <c r="M1023" s="3">
        <f ca="1">IF(AND(N1023&lt;&gt;N1022,ISNUMBER(SEARCH(Лист2!$B$6,N:N)),L1023=2),MAX($M$3:OFFSET(M1023,-1,0))+1,0)</f>
        <v>0</v>
      </c>
      <c r="N1023" s="3" t="s">
        <v>1079</v>
      </c>
    </row>
    <row r="1024" spans="1:14" x14ac:dyDescent="0.25">
      <c r="A1024" s="1" t="s">
        <v>10560</v>
      </c>
      <c r="B1024" s="3" t="s">
        <v>4648</v>
      </c>
      <c r="C1024" s="2">
        <f ca="1">IF(ISNUMBER(SEARCH(Лист2!$B$4,D:D)),MAX($C$3:OFFSET(C1024,-1,0))+1,0)</f>
        <v>0</v>
      </c>
      <c r="E1024" s="9" t="str">
        <f t="shared" ca="1" si="27"/>
        <v/>
      </c>
      <c r="F1024" s="4" t="s">
        <v>4</v>
      </c>
      <c r="G1024" s="2">
        <f>IF(ISNUMBER(SEARCH(Лист2!$B$4,F:F)),1,0)</f>
        <v>0</v>
      </c>
      <c r="H1024" s="3">
        <f ca="1">IF(AND(I1024&lt;&gt;I1023,ISNUMBER(SEARCH(Лист2!$B$5,I:I)),G1024=1),MAX($H$3:OFFSET(H1024,-1,0))+1,0)</f>
        <v>0</v>
      </c>
      <c r="I1024" s="3" t="s">
        <v>102</v>
      </c>
      <c r="K1024" s="2">
        <f>IF(ISNUMBER(SEARCH(Лист2!$B$4,F:F)),1,0)</f>
        <v>0</v>
      </c>
      <c r="L1024" s="14">
        <f>IF(ISNUMBER(SEARCH(Лист2!$B$5,I:I)),1,0)+K1024</f>
        <v>0</v>
      </c>
      <c r="M1024" s="3">
        <f ca="1">IF(AND(N1024&lt;&gt;N1023,ISNUMBER(SEARCH(Лист2!$B$6,N:N)),L1024=2),MAX($M$3:OFFSET(M1024,-1,0))+1,0)</f>
        <v>0</v>
      </c>
      <c r="N1024" s="3" t="s">
        <v>1080</v>
      </c>
    </row>
    <row r="1025" spans="1:14" x14ac:dyDescent="0.25">
      <c r="A1025" s="1" t="s">
        <v>10561</v>
      </c>
      <c r="B1025" s="3" t="s">
        <v>4649</v>
      </c>
      <c r="C1025" s="2">
        <f ca="1">IF(ISNUMBER(SEARCH(Лист2!$B$4,D:D)),MAX($C$3:OFFSET(C1025,-1,0))+1,0)</f>
        <v>0</v>
      </c>
      <c r="E1025" s="9" t="str">
        <f t="shared" ca="1" si="27"/>
        <v/>
      </c>
      <c r="F1025" s="4" t="s">
        <v>4</v>
      </c>
      <c r="G1025" s="2">
        <f>IF(ISNUMBER(SEARCH(Лист2!$B$4,F:F)),1,0)</f>
        <v>0</v>
      </c>
      <c r="H1025" s="3">
        <f ca="1">IF(AND(I1025&lt;&gt;I1024,ISNUMBER(SEARCH(Лист2!$B$5,I:I)),G1025=1),MAX($H$3:OFFSET(H1025,-1,0))+1,0)</f>
        <v>0</v>
      </c>
      <c r="I1025" s="3" t="s">
        <v>103</v>
      </c>
      <c r="K1025" s="2">
        <f>IF(ISNUMBER(SEARCH(Лист2!$B$4,F:F)),1,0)</f>
        <v>0</v>
      </c>
      <c r="L1025" s="14">
        <f>IF(ISNUMBER(SEARCH(Лист2!$B$5,I:I)),1,0)+K1025</f>
        <v>0</v>
      </c>
      <c r="M1025" s="3">
        <f ca="1">IF(AND(N1025&lt;&gt;N1024,ISNUMBER(SEARCH(Лист2!$B$6,N:N)),L1025=2),MAX($M$3:OFFSET(M1025,-1,0))+1,0)</f>
        <v>0</v>
      </c>
      <c r="N1025" s="3" t="s">
        <v>1081</v>
      </c>
    </row>
    <row r="1026" spans="1:14" x14ac:dyDescent="0.25">
      <c r="A1026" s="1" t="s">
        <v>10562</v>
      </c>
      <c r="B1026" s="3" t="s">
        <v>4650</v>
      </c>
      <c r="C1026" s="2">
        <f ca="1">IF(ISNUMBER(SEARCH(Лист2!$B$4,D:D)),MAX($C$3:OFFSET(C1026,-1,0))+1,0)</f>
        <v>0</v>
      </c>
      <c r="E1026" s="9" t="str">
        <f t="shared" ca="1" si="27"/>
        <v/>
      </c>
      <c r="F1026" s="4" t="s">
        <v>4</v>
      </c>
      <c r="G1026" s="2">
        <f>IF(ISNUMBER(SEARCH(Лист2!$B$4,F:F)),1,0)</f>
        <v>0</v>
      </c>
      <c r="H1026" s="3">
        <f ca="1">IF(AND(I1026&lt;&gt;I1025,ISNUMBER(SEARCH(Лист2!$B$5,I:I)),G1026=1),MAX($H$3:OFFSET(H1026,-1,0))+1,0)</f>
        <v>0</v>
      </c>
      <c r="I1026" s="3" t="s">
        <v>104</v>
      </c>
      <c r="K1026" s="2">
        <f>IF(ISNUMBER(SEARCH(Лист2!$B$4,F:F)),1,0)</f>
        <v>0</v>
      </c>
      <c r="L1026" s="14">
        <f>IF(ISNUMBER(SEARCH(Лист2!$B$5,I:I)),1,0)+K1026</f>
        <v>0</v>
      </c>
      <c r="M1026" s="3">
        <f ca="1">IF(AND(N1026&lt;&gt;N1025,ISNUMBER(SEARCH(Лист2!$B$6,N:N)),L1026=2),MAX($M$3:OFFSET(M1026,-1,0))+1,0)</f>
        <v>0</v>
      </c>
      <c r="N1026" s="3" t="s">
        <v>1082</v>
      </c>
    </row>
    <row r="1027" spans="1:14" x14ac:dyDescent="0.25">
      <c r="A1027" s="1" t="s">
        <v>10563</v>
      </c>
      <c r="B1027" s="3" t="s">
        <v>4651</v>
      </c>
      <c r="C1027" s="2">
        <f ca="1">IF(ISNUMBER(SEARCH(Лист2!$B$4,D:D)),MAX($C$3:OFFSET(C1027,-1,0))+1,0)</f>
        <v>0</v>
      </c>
      <c r="E1027" s="9" t="str">
        <f t="shared" ca="1" si="27"/>
        <v/>
      </c>
      <c r="F1027" s="4" t="s">
        <v>4</v>
      </c>
      <c r="G1027" s="2">
        <f>IF(ISNUMBER(SEARCH(Лист2!$B$4,F:F)),1,0)</f>
        <v>0</v>
      </c>
      <c r="H1027" s="3">
        <f ca="1">IF(AND(I1027&lt;&gt;I1026,ISNUMBER(SEARCH(Лист2!$B$5,I:I)),G1027=1),MAX($H$3:OFFSET(H1027,-1,0))+1,0)</f>
        <v>0</v>
      </c>
      <c r="I1027" s="3" t="s">
        <v>145</v>
      </c>
      <c r="K1027" s="2">
        <f>IF(ISNUMBER(SEARCH(Лист2!$B$4,F:F)),1,0)</f>
        <v>0</v>
      </c>
      <c r="L1027" s="14">
        <f>IF(ISNUMBER(SEARCH(Лист2!$B$5,I:I)),1,0)+K1027</f>
        <v>0</v>
      </c>
      <c r="M1027" s="3">
        <f ca="1">IF(AND(N1027&lt;&gt;N1026,ISNUMBER(SEARCH(Лист2!$B$6,N:N)),L1027=2),MAX($M$3:OFFSET(M1027,-1,0))+1,0)</f>
        <v>0</v>
      </c>
      <c r="N1027" s="3" t="s">
        <v>1083</v>
      </c>
    </row>
    <row r="1028" spans="1:14" x14ac:dyDescent="0.25">
      <c r="A1028" s="1" t="s">
        <v>10564</v>
      </c>
      <c r="B1028" s="3" t="s">
        <v>4652</v>
      </c>
      <c r="C1028" s="2">
        <f ca="1">IF(ISNUMBER(SEARCH(Лист2!$B$4,D:D)),MAX($C$3:OFFSET(C1028,-1,0))+1,0)</f>
        <v>0</v>
      </c>
      <c r="E1028" s="9" t="str">
        <f t="shared" ca="1" si="27"/>
        <v/>
      </c>
      <c r="F1028" s="4" t="s">
        <v>4</v>
      </c>
      <c r="G1028" s="2">
        <f>IF(ISNUMBER(SEARCH(Лист2!$B$4,F:F)),1,0)</f>
        <v>0</v>
      </c>
      <c r="H1028" s="3">
        <f ca="1">IF(AND(I1028&lt;&gt;I1027,ISNUMBER(SEARCH(Лист2!$B$5,I:I)),G1028=1),MAX($H$3:OFFSET(H1028,-1,0))+1,0)</f>
        <v>0</v>
      </c>
      <c r="I1028" s="3" t="s">
        <v>98</v>
      </c>
      <c r="K1028" s="2">
        <f>IF(ISNUMBER(SEARCH(Лист2!$B$4,F:F)),1,0)</f>
        <v>0</v>
      </c>
      <c r="L1028" s="14">
        <f>IF(ISNUMBER(SEARCH(Лист2!$B$5,I:I)),1,0)+K1028</f>
        <v>0</v>
      </c>
      <c r="M1028" s="3">
        <f ca="1">IF(AND(N1028&lt;&gt;N1027,ISNUMBER(SEARCH(Лист2!$B$6,N:N)),L1028=2),MAX($M$3:OFFSET(M1028,-1,0))+1,0)</f>
        <v>0</v>
      </c>
      <c r="N1028" s="3" t="s">
        <v>1084</v>
      </c>
    </row>
    <row r="1029" spans="1:14" x14ac:dyDescent="0.25">
      <c r="A1029" s="1" t="s">
        <v>10565</v>
      </c>
      <c r="B1029" s="3" t="s">
        <v>4653</v>
      </c>
      <c r="C1029" s="2">
        <f ca="1">IF(ISNUMBER(SEARCH(Лист2!$B$4,D:D)),MAX($C$3:OFFSET(C1029,-1,0))+1,0)</f>
        <v>0</v>
      </c>
      <c r="E1029" s="9" t="str">
        <f t="shared" ref="E1029:E1092" ca="1" si="28">IFERROR(INDEX(D:D,MATCH(ROW(E1029)-ROW($E$3),C:C,0)),"")</f>
        <v/>
      </c>
      <c r="F1029" s="4" t="s">
        <v>4</v>
      </c>
      <c r="G1029" s="2">
        <f>IF(ISNUMBER(SEARCH(Лист2!$B$4,F:F)),1,0)</f>
        <v>0</v>
      </c>
      <c r="H1029" s="3">
        <f ca="1">IF(AND(I1029&lt;&gt;I1028,ISNUMBER(SEARCH(Лист2!$B$5,I:I)),G1029=1),MAX($H$3:OFFSET(H1029,-1,0))+1,0)</f>
        <v>0</v>
      </c>
      <c r="I1029" s="3" t="s">
        <v>146</v>
      </c>
      <c r="K1029" s="2">
        <f>IF(ISNUMBER(SEARCH(Лист2!$B$4,F:F)),1,0)</f>
        <v>0</v>
      </c>
      <c r="L1029" s="14">
        <f>IF(ISNUMBER(SEARCH(Лист2!$B$5,I:I)),1,0)+K1029</f>
        <v>0</v>
      </c>
      <c r="M1029" s="3">
        <f ca="1">IF(AND(N1029&lt;&gt;N1028,ISNUMBER(SEARCH(Лист2!$B$6,N:N)),L1029=2),MAX($M$3:OFFSET(M1029,-1,0))+1,0)</f>
        <v>0</v>
      </c>
      <c r="N1029" s="3" t="s">
        <v>1085</v>
      </c>
    </row>
    <row r="1030" spans="1:14" x14ac:dyDescent="0.25">
      <c r="A1030" s="1" t="s">
        <v>10566</v>
      </c>
      <c r="B1030" s="3" t="s">
        <v>4654</v>
      </c>
      <c r="C1030" s="2">
        <f ca="1">IF(ISNUMBER(SEARCH(Лист2!$B$4,D:D)),MAX($C$3:OFFSET(C1030,-1,0))+1,0)</f>
        <v>0</v>
      </c>
      <c r="E1030" s="9" t="str">
        <f t="shared" ca="1" si="28"/>
        <v/>
      </c>
      <c r="F1030" s="4" t="s">
        <v>4</v>
      </c>
      <c r="G1030" s="2">
        <f>IF(ISNUMBER(SEARCH(Лист2!$B$4,F:F)),1,0)</f>
        <v>0</v>
      </c>
      <c r="H1030" s="3">
        <f ca="1">IF(AND(I1030&lt;&gt;I1029,ISNUMBER(SEARCH(Лист2!$B$5,I:I)),G1030=1),MAX($H$3:OFFSET(H1030,-1,0))+1,0)</f>
        <v>0</v>
      </c>
      <c r="I1030" s="3" t="s">
        <v>147</v>
      </c>
      <c r="K1030" s="2">
        <f>IF(ISNUMBER(SEARCH(Лист2!$B$4,F:F)),1,0)</f>
        <v>0</v>
      </c>
      <c r="L1030" s="14">
        <f>IF(ISNUMBER(SEARCH(Лист2!$B$5,I:I)),1,0)+K1030</f>
        <v>0</v>
      </c>
      <c r="M1030" s="3">
        <f ca="1">IF(AND(N1030&lt;&gt;N1029,ISNUMBER(SEARCH(Лист2!$B$6,N:N)),L1030=2),MAX($M$3:OFFSET(M1030,-1,0))+1,0)</f>
        <v>0</v>
      </c>
      <c r="N1030" s="3" t="s">
        <v>1086</v>
      </c>
    </row>
    <row r="1031" spans="1:14" x14ac:dyDescent="0.25">
      <c r="A1031" s="1" t="s">
        <v>10567</v>
      </c>
      <c r="B1031" s="3" t="s">
        <v>4655</v>
      </c>
      <c r="C1031" s="2">
        <f ca="1">IF(ISNUMBER(SEARCH(Лист2!$B$4,D:D)),MAX($C$3:OFFSET(C1031,-1,0))+1,0)</f>
        <v>0</v>
      </c>
      <c r="E1031" s="9" t="str">
        <f t="shared" ca="1" si="28"/>
        <v/>
      </c>
      <c r="F1031" s="4" t="s">
        <v>4</v>
      </c>
      <c r="G1031" s="2">
        <f>IF(ISNUMBER(SEARCH(Лист2!$B$4,F:F)),1,0)</f>
        <v>0</v>
      </c>
      <c r="H1031" s="3">
        <f ca="1">IF(AND(I1031&lt;&gt;I1030,ISNUMBER(SEARCH(Лист2!$B$5,I:I)),G1031=1),MAX($H$3:OFFSET(H1031,-1,0))+1,0)</f>
        <v>0</v>
      </c>
      <c r="I1031" s="3" t="s">
        <v>105</v>
      </c>
      <c r="K1031" s="2">
        <f>IF(ISNUMBER(SEARCH(Лист2!$B$4,F:F)),1,0)</f>
        <v>0</v>
      </c>
      <c r="L1031" s="14">
        <f>IF(ISNUMBER(SEARCH(Лист2!$B$5,I:I)),1,0)+K1031</f>
        <v>0</v>
      </c>
      <c r="M1031" s="3">
        <f ca="1">IF(AND(N1031&lt;&gt;N1030,ISNUMBER(SEARCH(Лист2!$B$6,N:N)),L1031=2),MAX($M$3:OFFSET(M1031,-1,0))+1,0)</f>
        <v>0</v>
      </c>
      <c r="N1031" s="3" t="s">
        <v>1087</v>
      </c>
    </row>
    <row r="1032" spans="1:14" x14ac:dyDescent="0.25">
      <c r="A1032" s="1" t="s">
        <v>10568</v>
      </c>
      <c r="B1032" s="3" t="s">
        <v>4656</v>
      </c>
      <c r="C1032" s="2">
        <f ca="1">IF(ISNUMBER(SEARCH(Лист2!$B$4,D:D)),MAX($C$3:OFFSET(C1032,-1,0))+1,0)</f>
        <v>0</v>
      </c>
      <c r="E1032" s="9" t="str">
        <f t="shared" ca="1" si="28"/>
        <v/>
      </c>
      <c r="F1032" s="4" t="s">
        <v>4</v>
      </c>
      <c r="G1032" s="2">
        <f>IF(ISNUMBER(SEARCH(Лист2!$B$4,F:F)),1,0)</f>
        <v>0</v>
      </c>
      <c r="H1032" s="3">
        <f ca="1">IF(AND(I1032&lt;&gt;I1031,ISNUMBER(SEARCH(Лист2!$B$5,I:I)),G1032=1),MAX($H$3:OFFSET(H1032,-1,0))+1,0)</f>
        <v>0</v>
      </c>
      <c r="I1032" s="3" t="s">
        <v>106</v>
      </c>
      <c r="K1032" s="2">
        <f>IF(ISNUMBER(SEARCH(Лист2!$B$4,F:F)),1,0)</f>
        <v>0</v>
      </c>
      <c r="L1032" s="14">
        <f>IF(ISNUMBER(SEARCH(Лист2!$B$5,I:I)),1,0)+K1032</f>
        <v>0</v>
      </c>
      <c r="M1032" s="3">
        <f ca="1">IF(AND(N1032&lt;&gt;N1031,ISNUMBER(SEARCH(Лист2!$B$6,N:N)),L1032=2),MAX($M$3:OFFSET(M1032,-1,0))+1,0)</f>
        <v>0</v>
      </c>
      <c r="N1032" s="3" t="s">
        <v>1088</v>
      </c>
    </row>
    <row r="1033" spans="1:14" x14ac:dyDescent="0.25">
      <c r="A1033" s="1" t="s">
        <v>10569</v>
      </c>
      <c r="B1033" s="3" t="s">
        <v>4657</v>
      </c>
      <c r="C1033" s="2">
        <f ca="1">IF(ISNUMBER(SEARCH(Лист2!$B$4,D:D)),MAX($C$3:OFFSET(C1033,-1,0))+1,0)</f>
        <v>0</v>
      </c>
      <c r="E1033" s="9" t="str">
        <f t="shared" ca="1" si="28"/>
        <v/>
      </c>
      <c r="F1033" s="4" t="s">
        <v>4</v>
      </c>
      <c r="G1033" s="2">
        <f>IF(ISNUMBER(SEARCH(Лист2!$B$4,F:F)),1,0)</f>
        <v>0</v>
      </c>
      <c r="H1033" s="3">
        <f ca="1">IF(AND(I1033&lt;&gt;I1032,ISNUMBER(SEARCH(Лист2!$B$5,I:I)),G1033=1),MAX($H$3:OFFSET(H1033,-1,0))+1,0)</f>
        <v>0</v>
      </c>
      <c r="I1033" s="3" t="s">
        <v>127</v>
      </c>
      <c r="K1033" s="2">
        <f>IF(ISNUMBER(SEARCH(Лист2!$B$4,F:F)),1,0)</f>
        <v>0</v>
      </c>
      <c r="L1033" s="14">
        <f>IF(ISNUMBER(SEARCH(Лист2!$B$5,I:I)),1,0)+K1033</f>
        <v>0</v>
      </c>
      <c r="M1033" s="3">
        <f ca="1">IF(AND(N1033&lt;&gt;N1032,ISNUMBER(SEARCH(Лист2!$B$6,N:N)),L1033=2),MAX($M$3:OFFSET(M1033,-1,0))+1,0)</f>
        <v>0</v>
      </c>
      <c r="N1033" s="3" t="s">
        <v>1089</v>
      </c>
    </row>
    <row r="1034" spans="1:14" x14ac:dyDescent="0.25">
      <c r="A1034" s="1" t="s">
        <v>10570</v>
      </c>
      <c r="B1034" s="3" t="s">
        <v>4658</v>
      </c>
      <c r="C1034" s="2">
        <f ca="1">IF(ISNUMBER(SEARCH(Лист2!$B$4,D:D)),MAX($C$3:OFFSET(C1034,-1,0))+1,0)</f>
        <v>0</v>
      </c>
      <c r="E1034" s="9" t="str">
        <f t="shared" ca="1" si="28"/>
        <v/>
      </c>
      <c r="F1034" s="4" t="s">
        <v>4</v>
      </c>
      <c r="G1034" s="2">
        <f>IF(ISNUMBER(SEARCH(Лист2!$B$4,F:F)),1,0)</f>
        <v>0</v>
      </c>
      <c r="H1034" s="3">
        <f ca="1">IF(AND(I1034&lt;&gt;I1033,ISNUMBER(SEARCH(Лист2!$B$5,I:I)),G1034=1),MAX($H$3:OFFSET(H1034,-1,0))+1,0)</f>
        <v>0</v>
      </c>
      <c r="I1034" s="3" t="s">
        <v>92</v>
      </c>
      <c r="K1034" s="2">
        <f>IF(ISNUMBER(SEARCH(Лист2!$B$4,F:F)),1,0)</f>
        <v>0</v>
      </c>
      <c r="L1034" s="14">
        <f>IF(ISNUMBER(SEARCH(Лист2!$B$5,I:I)),1,0)+K1034</f>
        <v>0</v>
      </c>
      <c r="M1034" s="3">
        <f ca="1">IF(AND(N1034&lt;&gt;N1033,ISNUMBER(SEARCH(Лист2!$B$6,N:N)),L1034=2),MAX($M$3:OFFSET(M1034,-1,0))+1,0)</f>
        <v>0</v>
      </c>
      <c r="N1034" s="3" t="s">
        <v>1090</v>
      </c>
    </row>
    <row r="1035" spans="1:14" x14ac:dyDescent="0.25">
      <c r="A1035" s="1" t="s">
        <v>10571</v>
      </c>
      <c r="B1035" s="3" t="s">
        <v>4659</v>
      </c>
      <c r="C1035" s="2">
        <f ca="1">IF(ISNUMBER(SEARCH(Лист2!$B$4,D:D)),MAX($C$3:OFFSET(C1035,-1,0))+1,0)</f>
        <v>0</v>
      </c>
      <c r="E1035" s="9" t="str">
        <f t="shared" ca="1" si="28"/>
        <v/>
      </c>
      <c r="F1035" s="4" t="s">
        <v>4</v>
      </c>
      <c r="G1035" s="2">
        <f>IF(ISNUMBER(SEARCH(Лист2!$B$4,F:F)),1,0)</f>
        <v>0</v>
      </c>
      <c r="H1035" s="3">
        <f ca="1">IF(AND(I1035&lt;&gt;I1034,ISNUMBER(SEARCH(Лист2!$B$5,I:I)),G1035=1),MAX($H$3:OFFSET(H1035,-1,0))+1,0)</f>
        <v>0</v>
      </c>
      <c r="I1035" s="3" t="s">
        <v>116</v>
      </c>
      <c r="K1035" s="2">
        <f>IF(ISNUMBER(SEARCH(Лист2!$B$4,F:F)),1,0)</f>
        <v>0</v>
      </c>
      <c r="L1035" s="14">
        <f>IF(ISNUMBER(SEARCH(Лист2!$B$5,I:I)),1,0)+K1035</f>
        <v>0</v>
      </c>
      <c r="M1035" s="3">
        <f ca="1">IF(AND(N1035&lt;&gt;N1034,ISNUMBER(SEARCH(Лист2!$B$6,N:N)),L1035=2),MAX($M$3:OFFSET(M1035,-1,0))+1,0)</f>
        <v>0</v>
      </c>
      <c r="N1035" s="3" t="s">
        <v>1091</v>
      </c>
    </row>
    <row r="1036" spans="1:14" x14ac:dyDescent="0.25">
      <c r="A1036" s="1" t="s">
        <v>10572</v>
      </c>
      <c r="B1036" s="3" t="s">
        <v>4660</v>
      </c>
      <c r="C1036" s="2">
        <f ca="1">IF(ISNUMBER(SEARCH(Лист2!$B$4,D:D)),MAX($C$3:OFFSET(C1036,-1,0))+1,0)</f>
        <v>0</v>
      </c>
      <c r="E1036" s="9" t="str">
        <f t="shared" ca="1" si="28"/>
        <v/>
      </c>
      <c r="F1036" s="4" t="s">
        <v>4</v>
      </c>
      <c r="G1036" s="2">
        <f>IF(ISNUMBER(SEARCH(Лист2!$B$4,F:F)),1,0)</f>
        <v>0</v>
      </c>
      <c r="H1036" s="3">
        <f ca="1">IF(AND(I1036&lt;&gt;I1035,ISNUMBER(SEARCH(Лист2!$B$5,I:I)),G1036=1),MAX($H$3:OFFSET(H1036,-1,0))+1,0)</f>
        <v>0</v>
      </c>
      <c r="I1036" s="3" t="s">
        <v>117</v>
      </c>
      <c r="K1036" s="2">
        <f>IF(ISNUMBER(SEARCH(Лист2!$B$4,F:F)),1,0)</f>
        <v>0</v>
      </c>
      <c r="L1036" s="14">
        <f>IF(ISNUMBER(SEARCH(Лист2!$B$5,I:I)),1,0)+K1036</f>
        <v>0</v>
      </c>
      <c r="M1036" s="3">
        <f ca="1">IF(AND(N1036&lt;&gt;N1035,ISNUMBER(SEARCH(Лист2!$B$6,N:N)),L1036=2),MAX($M$3:OFFSET(M1036,-1,0))+1,0)</f>
        <v>0</v>
      </c>
      <c r="N1036" s="3" t="s">
        <v>1092</v>
      </c>
    </row>
    <row r="1037" spans="1:14" x14ac:dyDescent="0.25">
      <c r="A1037" s="1" t="s">
        <v>10573</v>
      </c>
      <c r="B1037" s="3" t="s">
        <v>4661</v>
      </c>
      <c r="C1037" s="2">
        <f ca="1">IF(ISNUMBER(SEARCH(Лист2!$B$4,D:D)),MAX($C$3:OFFSET(C1037,-1,0))+1,0)</f>
        <v>0</v>
      </c>
      <c r="E1037" s="9" t="str">
        <f t="shared" ca="1" si="28"/>
        <v/>
      </c>
      <c r="F1037" s="4" t="s">
        <v>4</v>
      </c>
      <c r="G1037" s="2">
        <f>IF(ISNUMBER(SEARCH(Лист2!$B$4,F:F)),1,0)</f>
        <v>0</v>
      </c>
      <c r="H1037" s="3">
        <f ca="1">IF(AND(I1037&lt;&gt;I1036,ISNUMBER(SEARCH(Лист2!$B$5,I:I)),G1037=1),MAX($H$3:OFFSET(H1037,-1,0))+1,0)</f>
        <v>0</v>
      </c>
      <c r="I1037" s="3" t="s">
        <v>118</v>
      </c>
      <c r="K1037" s="2">
        <f>IF(ISNUMBER(SEARCH(Лист2!$B$4,F:F)),1,0)</f>
        <v>0</v>
      </c>
      <c r="L1037" s="14">
        <f>IF(ISNUMBER(SEARCH(Лист2!$B$5,I:I)),1,0)+K1037</f>
        <v>0</v>
      </c>
      <c r="M1037" s="3">
        <f ca="1">IF(AND(N1037&lt;&gt;N1036,ISNUMBER(SEARCH(Лист2!$B$6,N:N)),L1037=2),MAX($M$3:OFFSET(M1037,-1,0))+1,0)</f>
        <v>0</v>
      </c>
      <c r="N1037" s="3" t="s">
        <v>1093</v>
      </c>
    </row>
    <row r="1038" spans="1:14" x14ac:dyDescent="0.25">
      <c r="A1038" s="1" t="s">
        <v>10574</v>
      </c>
      <c r="B1038" s="3" t="s">
        <v>4662</v>
      </c>
      <c r="C1038" s="2">
        <f ca="1">IF(ISNUMBER(SEARCH(Лист2!$B$4,D:D)),MAX($C$3:OFFSET(C1038,-1,0))+1,0)</f>
        <v>0</v>
      </c>
      <c r="E1038" s="9" t="str">
        <f t="shared" ca="1" si="28"/>
        <v/>
      </c>
      <c r="F1038" s="4" t="s">
        <v>4</v>
      </c>
      <c r="G1038" s="2">
        <f>IF(ISNUMBER(SEARCH(Лист2!$B$4,F:F)),1,0)</f>
        <v>0</v>
      </c>
      <c r="H1038" s="3">
        <f ca="1">IF(AND(I1038&lt;&gt;I1037,ISNUMBER(SEARCH(Лист2!$B$5,I:I)),G1038=1),MAX($H$3:OFFSET(H1038,-1,0))+1,0)</f>
        <v>0</v>
      </c>
      <c r="I1038" s="3" t="s">
        <v>119</v>
      </c>
      <c r="K1038" s="2">
        <f>IF(ISNUMBER(SEARCH(Лист2!$B$4,F:F)),1,0)</f>
        <v>0</v>
      </c>
      <c r="L1038" s="14">
        <f>IF(ISNUMBER(SEARCH(Лист2!$B$5,I:I)),1,0)+K1038</f>
        <v>0</v>
      </c>
      <c r="M1038" s="3">
        <f ca="1">IF(AND(N1038&lt;&gt;N1037,ISNUMBER(SEARCH(Лист2!$B$6,N:N)),L1038=2),MAX($M$3:OFFSET(M1038,-1,0))+1,0)</f>
        <v>0</v>
      </c>
      <c r="N1038" s="3" t="s">
        <v>1094</v>
      </c>
    </row>
    <row r="1039" spans="1:14" x14ac:dyDescent="0.25">
      <c r="A1039" s="1" t="s">
        <v>10575</v>
      </c>
      <c r="B1039" s="3" t="s">
        <v>4663</v>
      </c>
      <c r="C1039" s="2">
        <f ca="1">IF(ISNUMBER(SEARCH(Лист2!$B$4,D:D)),MAX($C$3:OFFSET(C1039,-1,0))+1,0)</f>
        <v>0</v>
      </c>
      <c r="E1039" s="9" t="str">
        <f t="shared" ca="1" si="28"/>
        <v/>
      </c>
      <c r="F1039" s="4" t="s">
        <v>4</v>
      </c>
      <c r="G1039" s="2">
        <f>IF(ISNUMBER(SEARCH(Лист2!$B$4,F:F)),1,0)</f>
        <v>0</v>
      </c>
      <c r="H1039" s="3">
        <f ca="1">IF(AND(I1039&lt;&gt;I1038,ISNUMBER(SEARCH(Лист2!$B$5,I:I)),G1039=1),MAX($H$3:OFFSET(H1039,-1,0))+1,0)</f>
        <v>0</v>
      </c>
      <c r="I1039" s="3" t="s">
        <v>120</v>
      </c>
      <c r="K1039" s="2">
        <f>IF(ISNUMBER(SEARCH(Лист2!$B$4,F:F)),1,0)</f>
        <v>0</v>
      </c>
      <c r="L1039" s="14">
        <f>IF(ISNUMBER(SEARCH(Лист2!$B$5,I:I)),1,0)+K1039</f>
        <v>0</v>
      </c>
      <c r="M1039" s="3">
        <f ca="1">IF(AND(N1039&lt;&gt;N1038,ISNUMBER(SEARCH(Лист2!$B$6,N:N)),L1039=2),MAX($M$3:OFFSET(M1039,-1,0))+1,0)</f>
        <v>0</v>
      </c>
      <c r="N1039" s="3" t="s">
        <v>1095</v>
      </c>
    </row>
    <row r="1040" spans="1:14" x14ac:dyDescent="0.25">
      <c r="A1040" s="1" t="s">
        <v>10576</v>
      </c>
      <c r="B1040" s="3" t="s">
        <v>4664</v>
      </c>
      <c r="C1040" s="2">
        <f ca="1">IF(ISNUMBER(SEARCH(Лист2!$B$4,D:D)),MAX($C$3:OFFSET(C1040,-1,0))+1,0)</f>
        <v>0</v>
      </c>
      <c r="E1040" s="9" t="str">
        <f t="shared" ca="1" si="28"/>
        <v/>
      </c>
      <c r="F1040" s="4" t="s">
        <v>4</v>
      </c>
      <c r="G1040" s="2">
        <f>IF(ISNUMBER(SEARCH(Лист2!$B$4,F:F)),1,0)</f>
        <v>0</v>
      </c>
      <c r="H1040" s="3">
        <f ca="1">IF(AND(I1040&lt;&gt;I1039,ISNUMBER(SEARCH(Лист2!$B$5,I:I)),G1040=1),MAX($H$3:OFFSET(H1040,-1,0))+1,0)</f>
        <v>0</v>
      </c>
      <c r="I1040" s="3" t="s">
        <v>121</v>
      </c>
      <c r="K1040" s="2">
        <f>IF(ISNUMBER(SEARCH(Лист2!$B$4,F:F)),1,0)</f>
        <v>0</v>
      </c>
      <c r="L1040" s="14">
        <f>IF(ISNUMBER(SEARCH(Лист2!$B$5,I:I)),1,0)+K1040</f>
        <v>0</v>
      </c>
      <c r="M1040" s="3">
        <f ca="1">IF(AND(N1040&lt;&gt;N1039,ISNUMBER(SEARCH(Лист2!$B$6,N:N)),L1040=2),MAX($M$3:OFFSET(M1040,-1,0))+1,0)</f>
        <v>0</v>
      </c>
      <c r="N1040" s="3" t="s">
        <v>1096</v>
      </c>
    </row>
    <row r="1041" spans="1:14" x14ac:dyDescent="0.25">
      <c r="A1041" s="1" t="s">
        <v>10577</v>
      </c>
      <c r="B1041" s="3" t="s">
        <v>4665</v>
      </c>
      <c r="C1041" s="2">
        <f ca="1">IF(ISNUMBER(SEARCH(Лист2!$B$4,D:D)),MAX($C$3:OFFSET(C1041,-1,0))+1,0)</f>
        <v>0</v>
      </c>
      <c r="E1041" s="9" t="str">
        <f t="shared" ca="1" si="28"/>
        <v/>
      </c>
      <c r="F1041" s="4" t="s">
        <v>4</v>
      </c>
      <c r="G1041" s="2">
        <f>IF(ISNUMBER(SEARCH(Лист2!$B$4,F:F)),1,0)</f>
        <v>0</v>
      </c>
      <c r="H1041" s="3">
        <f ca="1">IF(AND(I1041&lt;&gt;I1040,ISNUMBER(SEARCH(Лист2!$B$5,I:I)),G1041=1),MAX($H$3:OFFSET(H1041,-1,0))+1,0)</f>
        <v>0</v>
      </c>
      <c r="I1041" s="3" t="s">
        <v>122</v>
      </c>
      <c r="K1041" s="2">
        <f>IF(ISNUMBER(SEARCH(Лист2!$B$4,F:F)),1,0)</f>
        <v>0</v>
      </c>
      <c r="L1041" s="14">
        <f>IF(ISNUMBER(SEARCH(Лист2!$B$5,I:I)),1,0)+K1041</f>
        <v>0</v>
      </c>
      <c r="M1041" s="3">
        <f ca="1">IF(AND(N1041&lt;&gt;N1040,ISNUMBER(SEARCH(Лист2!$B$6,N:N)),L1041=2),MAX($M$3:OFFSET(M1041,-1,0))+1,0)</f>
        <v>0</v>
      </c>
      <c r="N1041" s="3" t="s">
        <v>1097</v>
      </c>
    </row>
    <row r="1042" spans="1:14" x14ac:dyDescent="0.25">
      <c r="A1042" s="1" t="s">
        <v>10578</v>
      </c>
      <c r="B1042" s="3" t="s">
        <v>4666</v>
      </c>
      <c r="C1042" s="2">
        <f ca="1">IF(ISNUMBER(SEARCH(Лист2!$B$4,D:D)),MAX($C$3:OFFSET(C1042,-1,0))+1,0)</f>
        <v>0</v>
      </c>
      <c r="E1042" s="9" t="str">
        <f t="shared" ca="1" si="28"/>
        <v/>
      </c>
      <c r="F1042" s="4" t="s">
        <v>4</v>
      </c>
      <c r="G1042" s="2">
        <f>IF(ISNUMBER(SEARCH(Лист2!$B$4,F:F)),1,0)</f>
        <v>0</v>
      </c>
      <c r="H1042" s="3">
        <f ca="1">IF(AND(I1042&lt;&gt;I1041,ISNUMBER(SEARCH(Лист2!$B$5,I:I)),G1042=1),MAX($H$3:OFFSET(H1042,-1,0))+1,0)</f>
        <v>0</v>
      </c>
      <c r="I1042" s="3" t="s">
        <v>123</v>
      </c>
      <c r="K1042" s="2">
        <f>IF(ISNUMBER(SEARCH(Лист2!$B$4,F:F)),1,0)</f>
        <v>0</v>
      </c>
      <c r="L1042" s="14">
        <f>IF(ISNUMBER(SEARCH(Лист2!$B$5,I:I)),1,0)+K1042</f>
        <v>0</v>
      </c>
      <c r="M1042" s="3">
        <f ca="1">IF(AND(N1042&lt;&gt;N1041,ISNUMBER(SEARCH(Лист2!$B$6,N:N)),L1042=2),MAX($M$3:OFFSET(M1042,-1,0))+1,0)</f>
        <v>0</v>
      </c>
      <c r="N1042" s="3" t="s">
        <v>1098</v>
      </c>
    </row>
    <row r="1043" spans="1:14" x14ac:dyDescent="0.25">
      <c r="A1043" s="1" t="s">
        <v>10579</v>
      </c>
      <c r="B1043" s="3" t="s">
        <v>4667</v>
      </c>
      <c r="C1043" s="2">
        <f ca="1">IF(ISNUMBER(SEARCH(Лист2!$B$4,D:D)),MAX($C$3:OFFSET(C1043,-1,0))+1,0)</f>
        <v>0</v>
      </c>
      <c r="E1043" s="9" t="str">
        <f t="shared" ca="1" si="28"/>
        <v/>
      </c>
      <c r="F1043" s="4" t="s">
        <v>4</v>
      </c>
      <c r="G1043" s="2">
        <f>IF(ISNUMBER(SEARCH(Лист2!$B$4,F:F)),1,0)</f>
        <v>0</v>
      </c>
      <c r="H1043" s="3">
        <f ca="1">IF(AND(I1043&lt;&gt;I1042,ISNUMBER(SEARCH(Лист2!$B$5,I:I)),G1043=1),MAX($H$3:OFFSET(H1043,-1,0))+1,0)</f>
        <v>0</v>
      </c>
      <c r="I1043" s="3" t="s">
        <v>133</v>
      </c>
      <c r="K1043" s="2">
        <f>IF(ISNUMBER(SEARCH(Лист2!$B$4,F:F)),1,0)</f>
        <v>0</v>
      </c>
      <c r="L1043" s="14">
        <f>IF(ISNUMBER(SEARCH(Лист2!$B$5,I:I)),1,0)+K1043</f>
        <v>0</v>
      </c>
      <c r="M1043" s="3">
        <f ca="1">IF(AND(N1043&lt;&gt;N1042,ISNUMBER(SEARCH(Лист2!$B$6,N:N)),L1043=2),MAX($M$3:OFFSET(M1043,-1,0))+1,0)</f>
        <v>0</v>
      </c>
      <c r="N1043" s="3" t="s">
        <v>1099</v>
      </c>
    </row>
    <row r="1044" spans="1:14" x14ac:dyDescent="0.25">
      <c r="A1044" s="1" t="s">
        <v>10580</v>
      </c>
      <c r="B1044" s="3" t="s">
        <v>4668</v>
      </c>
      <c r="C1044" s="2">
        <f ca="1">IF(ISNUMBER(SEARCH(Лист2!$B$4,D:D)),MAX($C$3:OFFSET(C1044,-1,0))+1,0)</f>
        <v>0</v>
      </c>
      <c r="E1044" s="9" t="str">
        <f t="shared" ca="1" si="28"/>
        <v/>
      </c>
      <c r="F1044" s="4" t="s">
        <v>4</v>
      </c>
      <c r="G1044" s="2">
        <f>IF(ISNUMBER(SEARCH(Лист2!$B$4,F:F)),1,0)</f>
        <v>0</v>
      </c>
      <c r="H1044" s="3">
        <f ca="1">IF(AND(I1044&lt;&gt;I1043,ISNUMBER(SEARCH(Лист2!$B$5,I:I)),G1044=1),MAX($H$3:OFFSET(H1044,-1,0))+1,0)</f>
        <v>0</v>
      </c>
      <c r="I1044" s="3" t="s">
        <v>134</v>
      </c>
      <c r="K1044" s="2">
        <f>IF(ISNUMBER(SEARCH(Лист2!$B$4,F:F)),1,0)</f>
        <v>0</v>
      </c>
      <c r="L1044" s="14">
        <f>IF(ISNUMBER(SEARCH(Лист2!$B$5,I:I)),1,0)+K1044</f>
        <v>0</v>
      </c>
      <c r="M1044" s="3">
        <f ca="1">IF(AND(N1044&lt;&gt;N1043,ISNUMBER(SEARCH(Лист2!$B$6,N:N)),L1044=2),MAX($M$3:OFFSET(M1044,-1,0))+1,0)</f>
        <v>0</v>
      </c>
      <c r="N1044" s="3" t="s">
        <v>1100</v>
      </c>
    </row>
    <row r="1045" spans="1:14" x14ac:dyDescent="0.25">
      <c r="A1045" s="1" t="s">
        <v>10581</v>
      </c>
      <c r="B1045" s="3" t="s">
        <v>4669</v>
      </c>
      <c r="C1045" s="2">
        <f ca="1">IF(ISNUMBER(SEARCH(Лист2!$B$4,D:D)),MAX($C$3:OFFSET(C1045,-1,0))+1,0)</f>
        <v>0</v>
      </c>
      <c r="E1045" s="9" t="str">
        <f t="shared" ca="1" si="28"/>
        <v/>
      </c>
      <c r="F1045" s="4" t="s">
        <v>4</v>
      </c>
      <c r="G1045" s="2">
        <f>IF(ISNUMBER(SEARCH(Лист2!$B$4,F:F)),1,0)</f>
        <v>0</v>
      </c>
      <c r="H1045" s="3">
        <f ca="1">IF(AND(I1045&lt;&gt;I1044,ISNUMBER(SEARCH(Лист2!$B$5,I:I)),G1045=1),MAX($H$3:OFFSET(H1045,-1,0))+1,0)</f>
        <v>0</v>
      </c>
      <c r="I1045" s="3" t="s">
        <v>135</v>
      </c>
      <c r="K1045" s="2">
        <f>IF(ISNUMBER(SEARCH(Лист2!$B$4,F:F)),1,0)</f>
        <v>0</v>
      </c>
      <c r="L1045" s="14">
        <f>IF(ISNUMBER(SEARCH(Лист2!$B$5,I:I)),1,0)+K1045</f>
        <v>0</v>
      </c>
      <c r="M1045" s="3">
        <f ca="1">IF(AND(N1045&lt;&gt;N1044,ISNUMBER(SEARCH(Лист2!$B$6,N:N)),L1045=2),MAX($M$3:OFFSET(M1045,-1,0))+1,0)</f>
        <v>0</v>
      </c>
      <c r="N1045" s="3" t="s">
        <v>1101</v>
      </c>
    </row>
    <row r="1046" spans="1:14" x14ac:dyDescent="0.25">
      <c r="A1046" s="1" t="s">
        <v>10582</v>
      </c>
      <c r="B1046" s="3" t="s">
        <v>4670</v>
      </c>
      <c r="C1046" s="2">
        <f ca="1">IF(ISNUMBER(SEARCH(Лист2!$B$4,D:D)),MAX($C$3:OFFSET(C1046,-1,0))+1,0)</f>
        <v>0</v>
      </c>
      <c r="E1046" s="9" t="str">
        <f t="shared" ca="1" si="28"/>
        <v/>
      </c>
      <c r="F1046" s="4" t="s">
        <v>4</v>
      </c>
      <c r="G1046" s="2">
        <f>IF(ISNUMBER(SEARCH(Лист2!$B$4,F:F)),1,0)</f>
        <v>0</v>
      </c>
      <c r="H1046" s="3">
        <f ca="1">IF(AND(I1046&lt;&gt;I1045,ISNUMBER(SEARCH(Лист2!$B$5,I:I)),G1046=1),MAX($H$3:OFFSET(H1046,-1,0))+1,0)</f>
        <v>0</v>
      </c>
      <c r="I1046" s="3" t="s">
        <v>136</v>
      </c>
      <c r="K1046" s="2">
        <f>IF(ISNUMBER(SEARCH(Лист2!$B$4,F:F)),1,0)</f>
        <v>0</v>
      </c>
      <c r="L1046" s="14">
        <f>IF(ISNUMBER(SEARCH(Лист2!$B$5,I:I)),1,0)+K1046</f>
        <v>0</v>
      </c>
      <c r="M1046" s="3">
        <f ca="1">IF(AND(N1046&lt;&gt;N1045,ISNUMBER(SEARCH(Лист2!$B$6,N:N)),L1046=2),MAX($M$3:OFFSET(M1046,-1,0))+1,0)</f>
        <v>0</v>
      </c>
      <c r="N1046" s="3" t="s">
        <v>1102</v>
      </c>
    </row>
    <row r="1047" spans="1:14" x14ac:dyDescent="0.25">
      <c r="A1047" s="1" t="s">
        <v>10583</v>
      </c>
      <c r="B1047" s="3" t="s">
        <v>4671</v>
      </c>
      <c r="C1047" s="2">
        <f ca="1">IF(ISNUMBER(SEARCH(Лист2!$B$4,D:D)),MAX($C$3:OFFSET(C1047,-1,0))+1,0)</f>
        <v>0</v>
      </c>
      <c r="E1047" s="9" t="str">
        <f t="shared" ca="1" si="28"/>
        <v/>
      </c>
      <c r="F1047" s="4" t="s">
        <v>4</v>
      </c>
      <c r="G1047" s="2">
        <f>IF(ISNUMBER(SEARCH(Лист2!$B$4,F:F)),1,0)</f>
        <v>0</v>
      </c>
      <c r="H1047" s="3">
        <f ca="1">IF(AND(I1047&lt;&gt;I1046,ISNUMBER(SEARCH(Лист2!$B$5,I:I)),G1047=1),MAX($H$3:OFFSET(H1047,-1,0))+1,0)</f>
        <v>0</v>
      </c>
      <c r="I1047" s="3" t="s">
        <v>137</v>
      </c>
      <c r="K1047" s="2">
        <f>IF(ISNUMBER(SEARCH(Лист2!$B$4,F:F)),1,0)</f>
        <v>0</v>
      </c>
      <c r="L1047" s="14">
        <f>IF(ISNUMBER(SEARCH(Лист2!$B$5,I:I)),1,0)+K1047</f>
        <v>0</v>
      </c>
      <c r="M1047" s="3">
        <f ca="1">IF(AND(N1047&lt;&gt;N1046,ISNUMBER(SEARCH(Лист2!$B$6,N:N)),L1047=2),MAX($M$3:OFFSET(M1047,-1,0))+1,0)</f>
        <v>0</v>
      </c>
      <c r="N1047" s="3" t="s">
        <v>1103</v>
      </c>
    </row>
    <row r="1048" spans="1:14" x14ac:dyDescent="0.25">
      <c r="A1048" s="1" t="s">
        <v>10584</v>
      </c>
      <c r="B1048" s="3" t="s">
        <v>4672</v>
      </c>
      <c r="C1048" s="2">
        <f ca="1">IF(ISNUMBER(SEARCH(Лист2!$B$4,D:D)),MAX($C$3:OFFSET(C1048,-1,0))+1,0)</f>
        <v>0</v>
      </c>
      <c r="E1048" s="9" t="str">
        <f t="shared" ca="1" si="28"/>
        <v/>
      </c>
      <c r="F1048" s="4" t="s">
        <v>4</v>
      </c>
      <c r="G1048" s="2">
        <f>IF(ISNUMBER(SEARCH(Лист2!$B$4,F:F)),1,0)</f>
        <v>0</v>
      </c>
      <c r="H1048" s="3">
        <f ca="1">IF(AND(I1048&lt;&gt;I1047,ISNUMBER(SEARCH(Лист2!$B$5,I:I)),G1048=1),MAX($H$3:OFFSET(H1048,-1,0))+1,0)</f>
        <v>0</v>
      </c>
      <c r="I1048" s="3" t="s">
        <v>138</v>
      </c>
      <c r="K1048" s="2">
        <f>IF(ISNUMBER(SEARCH(Лист2!$B$4,F:F)),1,0)</f>
        <v>0</v>
      </c>
      <c r="L1048" s="14">
        <f>IF(ISNUMBER(SEARCH(Лист2!$B$5,I:I)),1,0)+K1048</f>
        <v>0</v>
      </c>
      <c r="M1048" s="3">
        <f ca="1">IF(AND(N1048&lt;&gt;N1047,ISNUMBER(SEARCH(Лист2!$B$6,N:N)),L1048=2),MAX($M$3:OFFSET(M1048,-1,0))+1,0)</f>
        <v>0</v>
      </c>
      <c r="N1048" s="3" t="s">
        <v>1104</v>
      </c>
    </row>
    <row r="1049" spans="1:14" x14ac:dyDescent="0.25">
      <c r="A1049" s="1" t="s">
        <v>10585</v>
      </c>
      <c r="B1049" s="3" t="s">
        <v>4673</v>
      </c>
      <c r="C1049" s="2">
        <f ca="1">IF(ISNUMBER(SEARCH(Лист2!$B$4,D:D)),MAX($C$3:OFFSET(C1049,-1,0))+1,0)</f>
        <v>0</v>
      </c>
      <c r="E1049" s="9" t="str">
        <f t="shared" ca="1" si="28"/>
        <v/>
      </c>
      <c r="F1049" s="4" t="s">
        <v>4</v>
      </c>
      <c r="G1049" s="2">
        <f>IF(ISNUMBER(SEARCH(Лист2!$B$4,F:F)),1,0)</f>
        <v>0</v>
      </c>
      <c r="H1049" s="3">
        <f ca="1">IF(AND(I1049&lt;&gt;I1048,ISNUMBER(SEARCH(Лист2!$B$5,I:I)),G1049=1),MAX($H$3:OFFSET(H1049,-1,0))+1,0)</f>
        <v>0</v>
      </c>
      <c r="I1049" s="3" t="s">
        <v>131</v>
      </c>
      <c r="K1049" s="2">
        <f>IF(ISNUMBER(SEARCH(Лист2!$B$4,F:F)),1,0)</f>
        <v>0</v>
      </c>
      <c r="L1049" s="14">
        <f>IF(ISNUMBER(SEARCH(Лист2!$B$5,I:I)),1,0)+K1049</f>
        <v>0</v>
      </c>
      <c r="M1049" s="3">
        <f ca="1">IF(AND(N1049&lt;&gt;N1048,ISNUMBER(SEARCH(Лист2!$B$6,N:N)),L1049=2),MAX($M$3:OFFSET(M1049,-1,0))+1,0)</f>
        <v>0</v>
      </c>
      <c r="N1049" s="3" t="s">
        <v>1105</v>
      </c>
    </row>
    <row r="1050" spans="1:14" x14ac:dyDescent="0.25">
      <c r="A1050" s="1" t="s">
        <v>10586</v>
      </c>
      <c r="B1050" s="3" t="s">
        <v>4674</v>
      </c>
      <c r="C1050" s="2">
        <f ca="1">IF(ISNUMBER(SEARCH(Лист2!$B$4,D:D)),MAX($C$3:OFFSET(C1050,-1,0))+1,0)</f>
        <v>0</v>
      </c>
      <c r="E1050" s="9" t="str">
        <f t="shared" ca="1" si="28"/>
        <v/>
      </c>
      <c r="F1050" s="4" t="s">
        <v>4</v>
      </c>
      <c r="G1050" s="2">
        <f>IF(ISNUMBER(SEARCH(Лист2!$B$4,F:F)),1,0)</f>
        <v>0</v>
      </c>
      <c r="H1050" s="3">
        <f ca="1">IF(AND(I1050&lt;&gt;I1049,ISNUMBER(SEARCH(Лист2!$B$5,I:I)),G1050=1),MAX($H$3:OFFSET(H1050,-1,0))+1,0)</f>
        <v>0</v>
      </c>
      <c r="I1050" s="3" t="s">
        <v>93</v>
      </c>
      <c r="K1050" s="2">
        <f>IF(ISNUMBER(SEARCH(Лист2!$B$4,F:F)),1,0)</f>
        <v>0</v>
      </c>
      <c r="L1050" s="14">
        <f>IF(ISNUMBER(SEARCH(Лист2!$B$5,I:I)),1,0)+K1050</f>
        <v>0</v>
      </c>
      <c r="M1050" s="3">
        <f ca="1">IF(AND(N1050&lt;&gt;N1049,ISNUMBER(SEARCH(Лист2!$B$6,N:N)),L1050=2),MAX($M$3:OFFSET(M1050,-1,0))+1,0)</f>
        <v>0</v>
      </c>
      <c r="N1050" s="3" t="s">
        <v>1106</v>
      </c>
    </row>
    <row r="1051" spans="1:14" x14ac:dyDescent="0.25">
      <c r="A1051" s="1" t="s">
        <v>10587</v>
      </c>
      <c r="B1051" s="3" t="s">
        <v>4675</v>
      </c>
      <c r="C1051" s="2">
        <f ca="1">IF(ISNUMBER(SEARCH(Лист2!$B$4,D:D)),MAX($C$3:OFFSET(C1051,-1,0))+1,0)</f>
        <v>0</v>
      </c>
      <c r="E1051" s="9" t="str">
        <f t="shared" ca="1" si="28"/>
        <v/>
      </c>
      <c r="F1051" s="4" t="s">
        <v>4</v>
      </c>
      <c r="G1051" s="2">
        <f>IF(ISNUMBER(SEARCH(Лист2!$B$4,F:F)),1,0)</f>
        <v>0</v>
      </c>
      <c r="H1051" s="3">
        <f ca="1">IF(AND(I1051&lt;&gt;I1050,ISNUMBER(SEARCH(Лист2!$B$5,I:I)),G1051=1),MAX($H$3:OFFSET(H1051,-1,0))+1,0)</f>
        <v>0</v>
      </c>
      <c r="I1051" s="3" t="s">
        <v>107</v>
      </c>
      <c r="K1051" s="2">
        <f>IF(ISNUMBER(SEARCH(Лист2!$B$4,F:F)),1,0)</f>
        <v>0</v>
      </c>
      <c r="L1051" s="14">
        <f>IF(ISNUMBER(SEARCH(Лист2!$B$5,I:I)),1,0)+K1051</f>
        <v>0</v>
      </c>
      <c r="M1051" s="3">
        <f ca="1">IF(AND(N1051&lt;&gt;N1050,ISNUMBER(SEARCH(Лист2!$B$6,N:N)),L1051=2),MAX($M$3:OFFSET(M1051,-1,0))+1,0)</f>
        <v>0</v>
      </c>
      <c r="N1051" s="3" t="s">
        <v>1107</v>
      </c>
    </row>
    <row r="1052" spans="1:14" x14ac:dyDescent="0.25">
      <c r="A1052" s="1" t="s">
        <v>10588</v>
      </c>
      <c r="B1052" s="3" t="s">
        <v>4676</v>
      </c>
      <c r="C1052" s="2">
        <f ca="1">IF(ISNUMBER(SEARCH(Лист2!$B$4,D:D)),MAX($C$3:OFFSET(C1052,-1,0))+1,0)</f>
        <v>0</v>
      </c>
      <c r="E1052" s="9" t="str">
        <f t="shared" ca="1" si="28"/>
        <v/>
      </c>
      <c r="F1052" s="4" t="s">
        <v>4</v>
      </c>
      <c r="G1052" s="2">
        <f>IF(ISNUMBER(SEARCH(Лист2!$B$4,F:F)),1,0)</f>
        <v>0</v>
      </c>
      <c r="H1052" s="3">
        <f ca="1">IF(AND(I1052&lt;&gt;I1051,ISNUMBER(SEARCH(Лист2!$B$5,I:I)),G1052=1),MAX($H$3:OFFSET(H1052,-1,0))+1,0)</f>
        <v>0</v>
      </c>
      <c r="I1052" s="3" t="s">
        <v>108</v>
      </c>
      <c r="K1052" s="2">
        <f>IF(ISNUMBER(SEARCH(Лист2!$B$4,F:F)),1,0)</f>
        <v>0</v>
      </c>
      <c r="L1052" s="14">
        <f>IF(ISNUMBER(SEARCH(Лист2!$B$5,I:I)),1,0)+K1052</f>
        <v>0</v>
      </c>
      <c r="M1052" s="3">
        <f ca="1">IF(AND(N1052&lt;&gt;N1051,ISNUMBER(SEARCH(Лист2!$B$6,N:N)),L1052=2),MAX($M$3:OFFSET(M1052,-1,0))+1,0)</f>
        <v>0</v>
      </c>
      <c r="N1052" s="3" t="s">
        <v>1108</v>
      </c>
    </row>
    <row r="1053" spans="1:14" x14ac:dyDescent="0.25">
      <c r="A1053" s="1" t="s">
        <v>10589</v>
      </c>
      <c r="B1053" s="3" t="s">
        <v>4677</v>
      </c>
      <c r="C1053" s="2">
        <f ca="1">IF(ISNUMBER(SEARCH(Лист2!$B$4,D:D)),MAX($C$3:OFFSET(C1053,-1,0))+1,0)</f>
        <v>0</v>
      </c>
      <c r="E1053" s="9" t="str">
        <f t="shared" ca="1" si="28"/>
        <v/>
      </c>
      <c r="F1053" s="4" t="s">
        <v>4</v>
      </c>
      <c r="G1053" s="2">
        <f>IF(ISNUMBER(SEARCH(Лист2!$B$4,F:F)),1,0)</f>
        <v>0</v>
      </c>
      <c r="H1053" s="3">
        <f ca="1">IF(AND(I1053&lt;&gt;I1052,ISNUMBER(SEARCH(Лист2!$B$5,I:I)),G1053=1),MAX($H$3:OFFSET(H1053,-1,0))+1,0)</f>
        <v>0</v>
      </c>
      <c r="I1053" s="3" t="s">
        <v>109</v>
      </c>
      <c r="K1053" s="2">
        <f>IF(ISNUMBER(SEARCH(Лист2!$B$4,F:F)),1,0)</f>
        <v>0</v>
      </c>
      <c r="L1053" s="14">
        <f>IF(ISNUMBER(SEARCH(Лист2!$B$5,I:I)),1,0)+K1053</f>
        <v>0</v>
      </c>
      <c r="M1053" s="3">
        <f ca="1">IF(AND(N1053&lt;&gt;N1052,ISNUMBER(SEARCH(Лист2!$B$6,N:N)),L1053=2),MAX($M$3:OFFSET(M1053,-1,0))+1,0)</f>
        <v>0</v>
      </c>
      <c r="N1053" s="3" t="s">
        <v>1109</v>
      </c>
    </row>
    <row r="1054" spans="1:14" x14ac:dyDescent="0.25">
      <c r="A1054" s="1" t="s">
        <v>10590</v>
      </c>
      <c r="B1054" s="3" t="s">
        <v>4678</v>
      </c>
      <c r="C1054" s="2">
        <f ca="1">IF(ISNUMBER(SEARCH(Лист2!$B$4,D:D)),MAX($C$3:OFFSET(C1054,-1,0))+1,0)</f>
        <v>0</v>
      </c>
      <c r="E1054" s="9" t="str">
        <f t="shared" ca="1" si="28"/>
        <v/>
      </c>
      <c r="F1054" s="4" t="s">
        <v>4</v>
      </c>
      <c r="G1054" s="2">
        <f>IF(ISNUMBER(SEARCH(Лист2!$B$4,F:F)),1,0)</f>
        <v>0</v>
      </c>
      <c r="H1054" s="3">
        <f ca="1">IF(AND(I1054&lt;&gt;I1053,ISNUMBER(SEARCH(Лист2!$B$5,I:I)),G1054=1),MAX($H$3:OFFSET(H1054,-1,0))+1,0)</f>
        <v>0</v>
      </c>
      <c r="I1054" s="3" t="s">
        <v>110</v>
      </c>
      <c r="K1054" s="2">
        <f>IF(ISNUMBER(SEARCH(Лист2!$B$4,F:F)),1,0)</f>
        <v>0</v>
      </c>
      <c r="L1054" s="14">
        <f>IF(ISNUMBER(SEARCH(Лист2!$B$5,I:I)),1,0)+K1054</f>
        <v>0</v>
      </c>
      <c r="M1054" s="3">
        <f ca="1">IF(AND(N1054&lt;&gt;N1053,ISNUMBER(SEARCH(Лист2!$B$6,N:N)),L1054=2),MAX($M$3:OFFSET(M1054,-1,0))+1,0)</f>
        <v>0</v>
      </c>
      <c r="N1054" s="3" t="s">
        <v>1110</v>
      </c>
    </row>
    <row r="1055" spans="1:14" x14ac:dyDescent="0.25">
      <c r="A1055" s="1" t="s">
        <v>10591</v>
      </c>
      <c r="B1055" s="3" t="s">
        <v>4679</v>
      </c>
      <c r="C1055" s="2">
        <f ca="1">IF(ISNUMBER(SEARCH(Лист2!$B$4,D:D)),MAX($C$3:OFFSET(C1055,-1,0))+1,0)</f>
        <v>0</v>
      </c>
      <c r="E1055" s="9" t="str">
        <f t="shared" ca="1" si="28"/>
        <v/>
      </c>
      <c r="F1055" s="4" t="s">
        <v>4</v>
      </c>
      <c r="G1055" s="2">
        <f>IF(ISNUMBER(SEARCH(Лист2!$B$4,F:F)),1,0)</f>
        <v>0</v>
      </c>
      <c r="H1055" s="3">
        <f ca="1">IF(AND(I1055&lt;&gt;I1054,ISNUMBER(SEARCH(Лист2!$B$5,I:I)),G1055=1),MAX($H$3:OFFSET(H1055,-1,0))+1,0)</f>
        <v>0</v>
      </c>
      <c r="I1055" s="3" t="s">
        <v>111</v>
      </c>
      <c r="K1055" s="2">
        <f>IF(ISNUMBER(SEARCH(Лист2!$B$4,F:F)),1,0)</f>
        <v>0</v>
      </c>
      <c r="L1055" s="14">
        <f>IF(ISNUMBER(SEARCH(Лист2!$B$5,I:I)),1,0)+K1055</f>
        <v>0</v>
      </c>
      <c r="M1055" s="3">
        <f ca="1">IF(AND(N1055&lt;&gt;N1054,ISNUMBER(SEARCH(Лист2!$B$6,N:N)),L1055=2),MAX($M$3:OFFSET(M1055,-1,0))+1,0)</f>
        <v>0</v>
      </c>
      <c r="N1055" s="3" t="s">
        <v>1111</v>
      </c>
    </row>
    <row r="1056" spans="1:14" x14ac:dyDescent="0.25">
      <c r="A1056" s="1" t="s">
        <v>10592</v>
      </c>
      <c r="B1056" s="3" t="s">
        <v>4680</v>
      </c>
      <c r="C1056" s="2">
        <f ca="1">IF(ISNUMBER(SEARCH(Лист2!$B$4,D:D)),MAX($C$3:OFFSET(C1056,-1,0))+1,0)</f>
        <v>0</v>
      </c>
      <c r="E1056" s="9" t="str">
        <f t="shared" ca="1" si="28"/>
        <v/>
      </c>
      <c r="F1056" s="4" t="s">
        <v>4</v>
      </c>
      <c r="G1056" s="2">
        <f>IF(ISNUMBER(SEARCH(Лист2!$B$4,F:F)),1,0)</f>
        <v>0</v>
      </c>
      <c r="H1056" s="3">
        <f ca="1">IF(AND(I1056&lt;&gt;I1055,ISNUMBER(SEARCH(Лист2!$B$5,I:I)),G1056=1),MAX($H$3:OFFSET(H1056,-1,0))+1,0)</f>
        <v>0</v>
      </c>
      <c r="I1056" s="3" t="s">
        <v>112</v>
      </c>
      <c r="K1056" s="2">
        <f>IF(ISNUMBER(SEARCH(Лист2!$B$4,F:F)),1,0)</f>
        <v>0</v>
      </c>
      <c r="L1056" s="14">
        <f>IF(ISNUMBER(SEARCH(Лист2!$B$5,I:I)),1,0)+K1056</f>
        <v>0</v>
      </c>
      <c r="M1056" s="3">
        <f ca="1">IF(AND(N1056&lt;&gt;N1055,ISNUMBER(SEARCH(Лист2!$B$6,N:N)),L1056=2),MAX($M$3:OFFSET(M1056,-1,0))+1,0)</f>
        <v>0</v>
      </c>
      <c r="N1056" s="3" t="s">
        <v>1112</v>
      </c>
    </row>
    <row r="1057" spans="1:14" x14ac:dyDescent="0.25">
      <c r="A1057" s="1" t="s">
        <v>10593</v>
      </c>
      <c r="B1057" s="3" t="s">
        <v>4681</v>
      </c>
      <c r="C1057" s="2">
        <f ca="1">IF(ISNUMBER(SEARCH(Лист2!$B$4,D:D)),MAX($C$3:OFFSET(C1057,-1,0))+1,0)</f>
        <v>0</v>
      </c>
      <c r="E1057" s="9" t="str">
        <f t="shared" ca="1" si="28"/>
        <v/>
      </c>
      <c r="F1057" s="4" t="s">
        <v>4</v>
      </c>
      <c r="G1057" s="2">
        <f>IF(ISNUMBER(SEARCH(Лист2!$B$4,F:F)),1,0)</f>
        <v>0</v>
      </c>
      <c r="H1057" s="3">
        <f ca="1">IF(AND(I1057&lt;&gt;I1056,ISNUMBER(SEARCH(Лист2!$B$5,I:I)),G1057=1),MAX($H$3:OFFSET(H1057,-1,0))+1,0)</f>
        <v>0</v>
      </c>
      <c r="I1057" s="3" t="s">
        <v>113</v>
      </c>
      <c r="K1057" s="2">
        <f>IF(ISNUMBER(SEARCH(Лист2!$B$4,F:F)),1,0)</f>
        <v>0</v>
      </c>
      <c r="L1057" s="14">
        <f>IF(ISNUMBER(SEARCH(Лист2!$B$5,I:I)),1,0)+K1057</f>
        <v>0</v>
      </c>
      <c r="M1057" s="3">
        <f ca="1">IF(AND(N1057&lt;&gt;N1056,ISNUMBER(SEARCH(Лист2!$B$6,N:N)),L1057=2),MAX($M$3:OFFSET(M1057,-1,0))+1,0)</f>
        <v>0</v>
      </c>
      <c r="N1057" s="3" t="s">
        <v>1113</v>
      </c>
    </row>
    <row r="1058" spans="1:14" x14ac:dyDescent="0.25">
      <c r="A1058" s="1" t="s">
        <v>10594</v>
      </c>
      <c r="B1058" s="3" t="s">
        <v>4682</v>
      </c>
      <c r="C1058" s="2">
        <f ca="1">IF(ISNUMBER(SEARCH(Лист2!$B$4,D:D)),MAX($C$3:OFFSET(C1058,-1,0))+1,0)</f>
        <v>0</v>
      </c>
      <c r="E1058" s="9" t="str">
        <f t="shared" ca="1" si="28"/>
        <v/>
      </c>
      <c r="F1058" s="4" t="s">
        <v>4</v>
      </c>
      <c r="G1058" s="2">
        <f>IF(ISNUMBER(SEARCH(Лист2!$B$4,F:F)),1,0)</f>
        <v>0</v>
      </c>
      <c r="H1058" s="3">
        <f ca="1">IF(AND(I1058&lt;&gt;I1057,ISNUMBER(SEARCH(Лист2!$B$5,I:I)),G1058=1),MAX($H$3:OFFSET(H1058,-1,0))+1,0)</f>
        <v>0</v>
      </c>
      <c r="I1058" s="3" t="s">
        <v>114</v>
      </c>
      <c r="K1058" s="2">
        <f>IF(ISNUMBER(SEARCH(Лист2!$B$4,F:F)),1,0)</f>
        <v>0</v>
      </c>
      <c r="L1058" s="14">
        <f>IF(ISNUMBER(SEARCH(Лист2!$B$5,I:I)),1,0)+K1058</f>
        <v>0</v>
      </c>
      <c r="M1058" s="3">
        <f ca="1">IF(AND(N1058&lt;&gt;N1057,ISNUMBER(SEARCH(Лист2!$B$6,N:N)),L1058=2),MAX($M$3:OFFSET(M1058,-1,0))+1,0)</f>
        <v>0</v>
      </c>
      <c r="N1058" s="3" t="s">
        <v>1114</v>
      </c>
    </row>
    <row r="1059" spans="1:14" x14ac:dyDescent="0.25">
      <c r="A1059" s="1" t="s">
        <v>10595</v>
      </c>
      <c r="B1059" s="3" t="s">
        <v>4683</v>
      </c>
      <c r="C1059" s="2">
        <f ca="1">IF(ISNUMBER(SEARCH(Лист2!$B$4,D:D)),MAX($C$3:OFFSET(C1059,-1,0))+1,0)</f>
        <v>0</v>
      </c>
      <c r="E1059" s="9" t="str">
        <f t="shared" ca="1" si="28"/>
        <v/>
      </c>
      <c r="F1059" s="4" t="s">
        <v>4</v>
      </c>
      <c r="G1059" s="2">
        <f>IF(ISNUMBER(SEARCH(Лист2!$B$4,F:F)),1,0)</f>
        <v>0</v>
      </c>
      <c r="H1059" s="3">
        <f ca="1">IF(AND(I1059&lt;&gt;I1058,ISNUMBER(SEARCH(Лист2!$B$5,I:I)),G1059=1),MAX($H$3:OFFSET(H1059,-1,0))+1,0)</f>
        <v>0</v>
      </c>
      <c r="I1059" s="3" t="s">
        <v>115</v>
      </c>
      <c r="K1059" s="2">
        <f>IF(ISNUMBER(SEARCH(Лист2!$B$4,F:F)),1,0)</f>
        <v>0</v>
      </c>
      <c r="L1059" s="14">
        <f>IF(ISNUMBER(SEARCH(Лист2!$B$5,I:I)),1,0)+K1059</f>
        <v>0</v>
      </c>
      <c r="M1059" s="3">
        <f ca="1">IF(AND(N1059&lt;&gt;N1058,ISNUMBER(SEARCH(Лист2!$B$6,N:N)),L1059=2),MAX($M$3:OFFSET(M1059,-1,0))+1,0)</f>
        <v>0</v>
      </c>
      <c r="N1059" s="3" t="s">
        <v>1115</v>
      </c>
    </row>
    <row r="1060" spans="1:14" x14ac:dyDescent="0.25">
      <c r="A1060" s="1" t="s">
        <v>10596</v>
      </c>
      <c r="B1060" s="3" t="s">
        <v>4684</v>
      </c>
      <c r="C1060" s="2">
        <f ca="1">IF(ISNUMBER(SEARCH(Лист2!$B$4,D:D)),MAX($C$3:OFFSET(C1060,-1,0))+1,0)</f>
        <v>0</v>
      </c>
      <c r="E1060" s="9" t="str">
        <f t="shared" ca="1" si="28"/>
        <v/>
      </c>
      <c r="F1060" s="4" t="s">
        <v>4</v>
      </c>
      <c r="G1060" s="2">
        <f>IF(ISNUMBER(SEARCH(Лист2!$B$4,F:F)),1,0)</f>
        <v>0</v>
      </c>
      <c r="H1060" s="3">
        <f ca="1">IF(AND(I1060&lt;&gt;I1059,ISNUMBER(SEARCH(Лист2!$B$5,I:I)),G1060=1),MAX($H$3:OFFSET(H1060,-1,0))+1,0)</f>
        <v>0</v>
      </c>
      <c r="I1060" s="3" t="s">
        <v>124</v>
      </c>
      <c r="K1060" s="2">
        <f>IF(ISNUMBER(SEARCH(Лист2!$B$4,F:F)),1,0)</f>
        <v>0</v>
      </c>
      <c r="L1060" s="14">
        <f>IF(ISNUMBER(SEARCH(Лист2!$B$5,I:I)),1,0)+K1060</f>
        <v>0</v>
      </c>
      <c r="M1060" s="3">
        <f ca="1">IF(AND(N1060&lt;&gt;N1059,ISNUMBER(SEARCH(Лист2!$B$6,N:N)),L1060=2),MAX($M$3:OFFSET(M1060,-1,0))+1,0)</f>
        <v>0</v>
      </c>
      <c r="N1060" s="3" t="s">
        <v>1116</v>
      </c>
    </row>
    <row r="1061" spans="1:14" x14ac:dyDescent="0.25">
      <c r="A1061" s="1" t="s">
        <v>10597</v>
      </c>
      <c r="B1061" s="3" t="s">
        <v>4685</v>
      </c>
      <c r="C1061" s="2">
        <f ca="1">IF(ISNUMBER(SEARCH(Лист2!$B$4,D:D)),MAX($C$3:OFFSET(C1061,-1,0))+1,0)</f>
        <v>0</v>
      </c>
      <c r="E1061" s="9" t="str">
        <f t="shared" ca="1" si="28"/>
        <v/>
      </c>
      <c r="F1061" s="4" t="s">
        <v>4</v>
      </c>
      <c r="G1061" s="2">
        <f>IF(ISNUMBER(SEARCH(Лист2!$B$4,F:F)),1,0)</f>
        <v>0</v>
      </c>
      <c r="H1061" s="3">
        <f ca="1">IF(AND(I1061&lt;&gt;I1060,ISNUMBER(SEARCH(Лист2!$B$5,I:I)),G1061=1),MAX($H$3:OFFSET(H1061,-1,0))+1,0)</f>
        <v>0</v>
      </c>
      <c r="I1061" s="3" t="s">
        <v>125</v>
      </c>
      <c r="K1061" s="2">
        <f>IF(ISNUMBER(SEARCH(Лист2!$B$4,F:F)),1,0)</f>
        <v>0</v>
      </c>
      <c r="L1061" s="14">
        <f>IF(ISNUMBER(SEARCH(Лист2!$B$5,I:I)),1,0)+K1061</f>
        <v>0</v>
      </c>
      <c r="M1061" s="3">
        <f ca="1">IF(AND(N1061&lt;&gt;N1060,ISNUMBER(SEARCH(Лист2!$B$6,N:N)),L1061=2),MAX($M$3:OFFSET(M1061,-1,0))+1,0)</f>
        <v>0</v>
      </c>
      <c r="N1061" s="3" t="s">
        <v>1117</v>
      </c>
    </row>
    <row r="1062" spans="1:14" x14ac:dyDescent="0.25">
      <c r="A1062" s="1" t="s">
        <v>10598</v>
      </c>
      <c r="B1062" s="3" t="s">
        <v>4686</v>
      </c>
      <c r="C1062" s="2">
        <f ca="1">IF(ISNUMBER(SEARCH(Лист2!$B$4,D:D)),MAX($C$3:OFFSET(C1062,-1,0))+1,0)</f>
        <v>0</v>
      </c>
      <c r="E1062" s="9" t="str">
        <f t="shared" ca="1" si="28"/>
        <v/>
      </c>
      <c r="F1062" s="4" t="s">
        <v>4</v>
      </c>
      <c r="G1062" s="2">
        <f>IF(ISNUMBER(SEARCH(Лист2!$B$4,F:F)),1,0)</f>
        <v>0</v>
      </c>
      <c r="H1062" s="3">
        <f ca="1">IF(AND(I1062&lt;&gt;I1061,ISNUMBER(SEARCH(Лист2!$B$5,I:I)),G1062=1),MAX($H$3:OFFSET(H1062,-1,0))+1,0)</f>
        <v>0</v>
      </c>
      <c r="I1062" s="3" t="s">
        <v>126</v>
      </c>
      <c r="K1062" s="2">
        <f>IF(ISNUMBER(SEARCH(Лист2!$B$4,F:F)),1,0)</f>
        <v>0</v>
      </c>
      <c r="L1062" s="14">
        <f>IF(ISNUMBER(SEARCH(Лист2!$B$5,I:I)),1,0)+K1062</f>
        <v>0</v>
      </c>
      <c r="M1062" s="3">
        <f ca="1">IF(AND(N1062&lt;&gt;N1061,ISNUMBER(SEARCH(Лист2!$B$6,N:N)),L1062=2),MAX($M$3:OFFSET(M1062,-1,0))+1,0)</f>
        <v>0</v>
      </c>
      <c r="N1062" s="3" t="s">
        <v>1118</v>
      </c>
    </row>
    <row r="1063" spans="1:14" x14ac:dyDescent="0.25">
      <c r="A1063" s="1" t="s">
        <v>10599</v>
      </c>
      <c r="B1063" s="3" t="s">
        <v>4687</v>
      </c>
      <c r="C1063" s="2">
        <f ca="1">IF(ISNUMBER(SEARCH(Лист2!$B$4,D:D)),MAX($C$3:OFFSET(C1063,-1,0))+1,0)</f>
        <v>0</v>
      </c>
      <c r="E1063" s="9" t="str">
        <f t="shared" ca="1" si="28"/>
        <v/>
      </c>
      <c r="F1063" s="4" t="s">
        <v>4</v>
      </c>
      <c r="G1063" s="2">
        <f>IF(ISNUMBER(SEARCH(Лист2!$B$4,F:F)),1,0)</f>
        <v>0</v>
      </c>
      <c r="H1063" s="3">
        <f ca="1">IF(AND(I1063&lt;&gt;I1062,ISNUMBER(SEARCH(Лист2!$B$5,I:I)),G1063=1),MAX($H$3:OFFSET(H1063,-1,0))+1,0)</f>
        <v>0</v>
      </c>
      <c r="I1063" s="3" t="s">
        <v>128</v>
      </c>
      <c r="K1063" s="2">
        <f>IF(ISNUMBER(SEARCH(Лист2!$B$4,F:F)),1,0)</f>
        <v>0</v>
      </c>
      <c r="L1063" s="14">
        <f>IF(ISNUMBER(SEARCH(Лист2!$B$5,I:I)),1,0)+K1063</f>
        <v>0</v>
      </c>
      <c r="M1063" s="3">
        <f ca="1">IF(AND(N1063&lt;&gt;N1062,ISNUMBER(SEARCH(Лист2!$B$6,N:N)),L1063=2),MAX($M$3:OFFSET(M1063,-1,0))+1,0)</f>
        <v>0</v>
      </c>
      <c r="N1063" s="3" t="s">
        <v>1119</v>
      </c>
    </row>
    <row r="1064" spans="1:14" x14ac:dyDescent="0.25">
      <c r="A1064" s="1" t="s">
        <v>10600</v>
      </c>
      <c r="B1064" s="3" t="s">
        <v>4688</v>
      </c>
      <c r="C1064" s="2">
        <f ca="1">IF(ISNUMBER(SEARCH(Лист2!$B$4,D:D)),MAX($C$3:OFFSET(C1064,-1,0))+1,0)</f>
        <v>0</v>
      </c>
      <c r="E1064" s="9" t="str">
        <f t="shared" ca="1" si="28"/>
        <v/>
      </c>
      <c r="F1064" s="4" t="s">
        <v>4</v>
      </c>
      <c r="G1064" s="2">
        <f>IF(ISNUMBER(SEARCH(Лист2!$B$4,F:F)),1,0)</f>
        <v>0</v>
      </c>
      <c r="H1064" s="3">
        <f ca="1">IF(AND(I1064&lt;&gt;I1063,ISNUMBER(SEARCH(Лист2!$B$5,I:I)),G1064=1),MAX($H$3:OFFSET(H1064,-1,0))+1,0)</f>
        <v>0</v>
      </c>
      <c r="I1064" s="3" t="s">
        <v>129</v>
      </c>
      <c r="K1064" s="2">
        <f>IF(ISNUMBER(SEARCH(Лист2!$B$4,F:F)),1,0)</f>
        <v>0</v>
      </c>
      <c r="L1064" s="14">
        <f>IF(ISNUMBER(SEARCH(Лист2!$B$5,I:I)),1,0)+K1064</f>
        <v>0</v>
      </c>
      <c r="M1064" s="3">
        <f ca="1">IF(AND(N1064&lt;&gt;N1063,ISNUMBER(SEARCH(Лист2!$B$6,N:N)),L1064=2),MAX($M$3:OFFSET(M1064,-1,0))+1,0)</f>
        <v>0</v>
      </c>
      <c r="N1064" s="3" t="s">
        <v>1120</v>
      </c>
    </row>
    <row r="1065" spans="1:14" x14ac:dyDescent="0.25">
      <c r="A1065" s="1" t="s">
        <v>10601</v>
      </c>
      <c r="B1065" s="3" t="s">
        <v>4689</v>
      </c>
      <c r="C1065" s="2">
        <f ca="1">IF(ISNUMBER(SEARCH(Лист2!$B$4,D:D)),MAX($C$3:OFFSET(C1065,-1,0))+1,0)</f>
        <v>0</v>
      </c>
      <c r="E1065" s="9" t="str">
        <f t="shared" ca="1" si="28"/>
        <v/>
      </c>
      <c r="F1065" s="4" t="s">
        <v>4</v>
      </c>
      <c r="G1065" s="2">
        <f>IF(ISNUMBER(SEARCH(Лист2!$B$4,F:F)),1,0)</f>
        <v>0</v>
      </c>
      <c r="H1065" s="3">
        <f ca="1">IF(AND(I1065&lt;&gt;I1064,ISNUMBER(SEARCH(Лист2!$B$5,I:I)),G1065=1),MAX($H$3:OFFSET(H1065,-1,0))+1,0)</f>
        <v>0</v>
      </c>
      <c r="I1065" s="3" t="s">
        <v>130</v>
      </c>
      <c r="K1065" s="2">
        <f>IF(ISNUMBER(SEARCH(Лист2!$B$4,F:F)),1,0)</f>
        <v>0</v>
      </c>
      <c r="L1065" s="14">
        <f>IF(ISNUMBER(SEARCH(Лист2!$B$5,I:I)),1,0)+K1065</f>
        <v>0</v>
      </c>
      <c r="M1065" s="3">
        <f ca="1">IF(AND(N1065&lt;&gt;N1064,ISNUMBER(SEARCH(Лист2!$B$6,N:N)),L1065=2),MAX($M$3:OFFSET(M1065,-1,0))+1,0)</f>
        <v>0</v>
      </c>
      <c r="N1065" s="3" t="s">
        <v>1121</v>
      </c>
    </row>
    <row r="1066" spans="1:14" x14ac:dyDescent="0.25">
      <c r="A1066" s="1" t="s">
        <v>10602</v>
      </c>
      <c r="B1066" s="3" t="s">
        <v>4690</v>
      </c>
      <c r="C1066" s="2">
        <f ca="1">IF(ISNUMBER(SEARCH(Лист2!$B$4,D:D)),MAX($C$3:OFFSET(C1066,-1,0))+1,0)</f>
        <v>0</v>
      </c>
      <c r="E1066" s="9" t="str">
        <f t="shared" ca="1" si="28"/>
        <v/>
      </c>
      <c r="F1066" s="4" t="s">
        <v>4</v>
      </c>
      <c r="G1066" s="2">
        <f>IF(ISNUMBER(SEARCH(Лист2!$B$4,F:F)),1,0)</f>
        <v>0</v>
      </c>
      <c r="H1066" s="3">
        <f ca="1">IF(AND(I1066&lt;&gt;I1065,ISNUMBER(SEARCH(Лист2!$B$5,I:I)),G1066=1),MAX($H$3:OFFSET(H1066,-1,0))+1,0)</f>
        <v>0</v>
      </c>
      <c r="I1066" s="3" t="s">
        <v>132</v>
      </c>
      <c r="K1066" s="2">
        <f>IF(ISNUMBER(SEARCH(Лист2!$B$4,F:F)),1,0)</f>
        <v>0</v>
      </c>
      <c r="L1066" s="14">
        <f>IF(ISNUMBER(SEARCH(Лист2!$B$5,I:I)),1,0)+K1066</f>
        <v>0</v>
      </c>
      <c r="M1066" s="3">
        <f ca="1">IF(AND(N1066&lt;&gt;N1065,ISNUMBER(SEARCH(Лист2!$B$6,N:N)),L1066=2),MAX($M$3:OFFSET(M1066,-1,0))+1,0)</f>
        <v>0</v>
      </c>
      <c r="N1066" s="3" t="s">
        <v>1122</v>
      </c>
    </row>
    <row r="1067" spans="1:14" x14ac:dyDescent="0.25">
      <c r="A1067" s="1" t="s">
        <v>10603</v>
      </c>
      <c r="B1067" s="3" t="s">
        <v>4691</v>
      </c>
      <c r="C1067" s="2">
        <f ca="1">IF(ISNUMBER(SEARCH(Лист2!$B$4,D:D)),MAX($C$3:OFFSET(C1067,-1,0))+1,0)</f>
        <v>0</v>
      </c>
      <c r="E1067" s="9" t="str">
        <f t="shared" ca="1" si="28"/>
        <v/>
      </c>
      <c r="F1067" s="4" t="s">
        <v>4</v>
      </c>
      <c r="G1067" s="2">
        <f>IF(ISNUMBER(SEARCH(Лист2!$B$4,F:F)),1,0)</f>
        <v>0</v>
      </c>
      <c r="H1067" s="3">
        <f ca="1">IF(AND(I1067&lt;&gt;I1066,ISNUMBER(SEARCH(Лист2!$B$5,I:I)),G1067=1),MAX($H$3:OFFSET(H1067,-1,0))+1,0)</f>
        <v>0</v>
      </c>
      <c r="I1067" s="3" t="s">
        <v>148</v>
      </c>
      <c r="K1067" s="2">
        <f>IF(ISNUMBER(SEARCH(Лист2!$B$4,F:F)),1,0)</f>
        <v>0</v>
      </c>
      <c r="L1067" s="14">
        <f>IF(ISNUMBER(SEARCH(Лист2!$B$5,I:I)),1,0)+K1067</f>
        <v>0</v>
      </c>
      <c r="M1067" s="3">
        <f ca="1">IF(AND(N1067&lt;&gt;N1066,ISNUMBER(SEARCH(Лист2!$B$6,N:N)),L1067=2),MAX($M$3:OFFSET(M1067,-1,0))+1,0)</f>
        <v>0</v>
      </c>
      <c r="N1067" s="3" t="s">
        <v>1123</v>
      </c>
    </row>
    <row r="1068" spans="1:14" x14ac:dyDescent="0.25">
      <c r="A1068" s="1" t="s">
        <v>10604</v>
      </c>
      <c r="B1068" s="3" t="s">
        <v>4692</v>
      </c>
      <c r="C1068" s="2">
        <f ca="1">IF(ISNUMBER(SEARCH(Лист2!$B$4,D:D)),MAX($C$3:OFFSET(C1068,-1,0))+1,0)</f>
        <v>0</v>
      </c>
      <c r="E1068" s="9" t="str">
        <f t="shared" ca="1" si="28"/>
        <v/>
      </c>
      <c r="F1068" s="4" t="s">
        <v>4</v>
      </c>
      <c r="G1068" s="2">
        <f>IF(ISNUMBER(SEARCH(Лист2!$B$4,F:F)),1,0)</f>
        <v>0</v>
      </c>
      <c r="H1068" s="3">
        <f ca="1">IF(AND(I1068&lt;&gt;I1067,ISNUMBER(SEARCH(Лист2!$B$5,I:I)),G1068=1),MAX($H$3:OFFSET(H1068,-1,0))+1,0)</f>
        <v>0</v>
      </c>
      <c r="I1068" s="3" t="s">
        <v>149</v>
      </c>
      <c r="K1068" s="2">
        <f>IF(ISNUMBER(SEARCH(Лист2!$B$4,F:F)),1,0)</f>
        <v>0</v>
      </c>
      <c r="L1068" s="14">
        <f>IF(ISNUMBER(SEARCH(Лист2!$B$5,I:I)),1,0)+K1068</f>
        <v>0</v>
      </c>
      <c r="M1068" s="3">
        <f ca="1">IF(AND(N1068&lt;&gt;N1067,ISNUMBER(SEARCH(Лист2!$B$6,N:N)),L1068=2),MAX($M$3:OFFSET(M1068,-1,0))+1,0)</f>
        <v>0</v>
      </c>
      <c r="N1068" s="3" t="s">
        <v>1124</v>
      </c>
    </row>
    <row r="1069" spans="1:14" x14ac:dyDescent="0.25">
      <c r="A1069" s="1" t="s">
        <v>10605</v>
      </c>
      <c r="B1069" s="3" t="s">
        <v>4693</v>
      </c>
      <c r="C1069" s="2">
        <f ca="1">IF(ISNUMBER(SEARCH(Лист2!$B$4,D:D)),MAX($C$3:OFFSET(C1069,-1,0))+1,0)</f>
        <v>0</v>
      </c>
      <c r="E1069" s="9" t="str">
        <f t="shared" ca="1" si="28"/>
        <v/>
      </c>
      <c r="F1069" s="4" t="s">
        <v>4</v>
      </c>
      <c r="G1069" s="2">
        <f>IF(ISNUMBER(SEARCH(Лист2!$B$4,F:F)),1,0)</f>
        <v>0</v>
      </c>
      <c r="H1069" s="3">
        <f ca="1">IF(AND(I1069&lt;&gt;I1068,ISNUMBER(SEARCH(Лист2!$B$5,I:I)),G1069=1),MAX($H$3:OFFSET(H1069,-1,0))+1,0)</f>
        <v>0</v>
      </c>
      <c r="I1069" s="3" t="s">
        <v>150</v>
      </c>
      <c r="K1069" s="2">
        <f>IF(ISNUMBER(SEARCH(Лист2!$B$4,F:F)),1,0)</f>
        <v>0</v>
      </c>
      <c r="L1069" s="14">
        <f>IF(ISNUMBER(SEARCH(Лист2!$B$5,I:I)),1,0)+K1069</f>
        <v>0</v>
      </c>
      <c r="M1069" s="3">
        <f ca="1">IF(AND(N1069&lt;&gt;N1068,ISNUMBER(SEARCH(Лист2!$B$6,N:N)),L1069=2),MAX($M$3:OFFSET(M1069,-1,0))+1,0)</f>
        <v>0</v>
      </c>
      <c r="N1069" s="3" t="s">
        <v>1125</v>
      </c>
    </row>
    <row r="1070" spans="1:14" x14ac:dyDescent="0.25">
      <c r="A1070" s="1" t="s">
        <v>10606</v>
      </c>
      <c r="B1070" s="3" t="s">
        <v>4694</v>
      </c>
      <c r="C1070" s="2">
        <f ca="1">IF(ISNUMBER(SEARCH(Лист2!$B$4,D:D)),MAX($C$3:OFFSET(C1070,-1,0))+1,0)</f>
        <v>0</v>
      </c>
      <c r="E1070" s="9" t="str">
        <f t="shared" ca="1" si="28"/>
        <v/>
      </c>
      <c r="F1070" s="4" t="s">
        <v>4</v>
      </c>
      <c r="G1070" s="2">
        <f>IF(ISNUMBER(SEARCH(Лист2!$B$4,F:F)),1,0)</f>
        <v>0</v>
      </c>
      <c r="H1070" s="3">
        <f ca="1">IF(AND(I1070&lt;&gt;I1069,ISNUMBER(SEARCH(Лист2!$B$5,I:I)),G1070=1),MAX($H$3:OFFSET(H1070,-1,0))+1,0)</f>
        <v>0</v>
      </c>
      <c r="I1070" s="3" t="s">
        <v>151</v>
      </c>
      <c r="K1070" s="2">
        <f>IF(ISNUMBER(SEARCH(Лист2!$B$4,F:F)),1,0)</f>
        <v>0</v>
      </c>
      <c r="L1070" s="14">
        <f>IF(ISNUMBER(SEARCH(Лист2!$B$5,I:I)),1,0)+K1070</f>
        <v>0</v>
      </c>
      <c r="M1070" s="3">
        <f ca="1">IF(AND(N1070&lt;&gt;N1069,ISNUMBER(SEARCH(Лист2!$B$6,N:N)),L1070=2),MAX($M$3:OFFSET(M1070,-1,0))+1,0)</f>
        <v>0</v>
      </c>
      <c r="N1070" s="3" t="s">
        <v>1126</v>
      </c>
    </row>
    <row r="1071" spans="1:14" x14ac:dyDescent="0.25">
      <c r="A1071" s="1" t="s">
        <v>10607</v>
      </c>
      <c r="B1071" s="3" t="s">
        <v>4695</v>
      </c>
      <c r="C1071" s="2">
        <f ca="1">IF(ISNUMBER(SEARCH(Лист2!$B$4,D:D)),MAX($C$3:OFFSET(C1071,-1,0))+1,0)</f>
        <v>0</v>
      </c>
      <c r="E1071" s="9" t="str">
        <f t="shared" ca="1" si="28"/>
        <v/>
      </c>
      <c r="F1071" s="4" t="s">
        <v>4</v>
      </c>
      <c r="G1071" s="2">
        <f>IF(ISNUMBER(SEARCH(Лист2!$B$4,F:F)),1,0)</f>
        <v>0</v>
      </c>
      <c r="H1071" s="3">
        <f ca="1">IF(AND(I1071&lt;&gt;I1070,ISNUMBER(SEARCH(Лист2!$B$5,I:I)),G1071=1),MAX($H$3:OFFSET(H1071,-1,0))+1,0)</f>
        <v>0</v>
      </c>
      <c r="I1071" s="3" t="s">
        <v>152</v>
      </c>
      <c r="K1071" s="2">
        <f>IF(ISNUMBER(SEARCH(Лист2!$B$4,F:F)),1,0)</f>
        <v>0</v>
      </c>
      <c r="L1071" s="14">
        <f>IF(ISNUMBER(SEARCH(Лист2!$B$5,I:I)),1,0)+K1071</f>
        <v>0</v>
      </c>
      <c r="M1071" s="3">
        <f ca="1">IF(AND(N1071&lt;&gt;N1070,ISNUMBER(SEARCH(Лист2!$B$6,N:N)),L1071=2),MAX($M$3:OFFSET(M1071,-1,0))+1,0)</f>
        <v>0</v>
      </c>
      <c r="N1071" s="3" t="s">
        <v>1127</v>
      </c>
    </row>
    <row r="1072" spans="1:14" x14ac:dyDescent="0.25">
      <c r="A1072" s="1" t="s">
        <v>10608</v>
      </c>
      <c r="B1072" s="3" t="s">
        <v>4696</v>
      </c>
      <c r="C1072" s="2">
        <f ca="1">IF(ISNUMBER(SEARCH(Лист2!$B$4,D:D)),MAX($C$3:OFFSET(C1072,-1,0))+1,0)</f>
        <v>0</v>
      </c>
      <c r="E1072" s="9" t="str">
        <f t="shared" ca="1" si="28"/>
        <v/>
      </c>
      <c r="F1072" s="4" t="s">
        <v>4</v>
      </c>
      <c r="G1072" s="2">
        <f>IF(ISNUMBER(SEARCH(Лист2!$B$4,F:F)),1,0)</f>
        <v>0</v>
      </c>
      <c r="H1072" s="3">
        <f ca="1">IF(AND(I1072&lt;&gt;I1071,ISNUMBER(SEARCH(Лист2!$B$5,I:I)),G1072=1),MAX($H$3:OFFSET(H1072,-1,0))+1,0)</f>
        <v>0</v>
      </c>
      <c r="I1072" s="3" t="s">
        <v>152</v>
      </c>
      <c r="K1072" s="2">
        <f>IF(ISNUMBER(SEARCH(Лист2!$B$4,F:F)),1,0)</f>
        <v>0</v>
      </c>
      <c r="L1072" s="14">
        <f>IF(ISNUMBER(SEARCH(Лист2!$B$5,I:I)),1,0)+K1072</f>
        <v>0</v>
      </c>
      <c r="M1072" s="3">
        <f ca="1">IF(AND(N1072&lt;&gt;N1071,ISNUMBER(SEARCH(Лист2!$B$6,N:N)),L1072=2),MAX($M$3:OFFSET(M1072,-1,0))+1,0)</f>
        <v>0</v>
      </c>
      <c r="N1072" s="3" t="s">
        <v>1128</v>
      </c>
    </row>
    <row r="1073" spans="1:14" x14ac:dyDescent="0.25">
      <c r="A1073" s="1" t="s">
        <v>10609</v>
      </c>
      <c r="B1073" s="3" t="s">
        <v>4697</v>
      </c>
      <c r="C1073" s="2">
        <f ca="1">IF(ISNUMBER(SEARCH(Лист2!$B$4,D:D)),MAX($C$3:OFFSET(C1073,-1,0))+1,0)</f>
        <v>0</v>
      </c>
      <c r="E1073" s="9" t="str">
        <f t="shared" ca="1" si="28"/>
        <v/>
      </c>
      <c r="F1073" s="4" t="s">
        <v>4</v>
      </c>
      <c r="G1073" s="2">
        <f>IF(ISNUMBER(SEARCH(Лист2!$B$4,F:F)),1,0)</f>
        <v>0</v>
      </c>
      <c r="H1073" s="3">
        <f ca="1">IF(AND(I1073&lt;&gt;I1072,ISNUMBER(SEARCH(Лист2!$B$5,I:I)),G1073=1),MAX($H$3:OFFSET(H1073,-1,0))+1,0)</f>
        <v>0</v>
      </c>
      <c r="I1073" s="3" t="s">
        <v>152</v>
      </c>
      <c r="K1073" s="2">
        <f>IF(ISNUMBER(SEARCH(Лист2!$B$4,F:F)),1,0)</f>
        <v>0</v>
      </c>
      <c r="L1073" s="14">
        <f>IF(ISNUMBER(SEARCH(Лист2!$B$5,I:I)),1,0)+K1073</f>
        <v>0</v>
      </c>
      <c r="M1073" s="3">
        <f ca="1">IF(AND(N1073&lt;&gt;N1072,ISNUMBER(SEARCH(Лист2!$B$6,N:N)),L1073=2),MAX($M$3:OFFSET(M1073,-1,0))+1,0)</f>
        <v>0</v>
      </c>
      <c r="N1073" s="3" t="s">
        <v>1129</v>
      </c>
    </row>
    <row r="1074" spans="1:14" x14ac:dyDescent="0.25">
      <c r="A1074" s="1" t="s">
        <v>10610</v>
      </c>
      <c r="B1074" s="3" t="s">
        <v>4698</v>
      </c>
      <c r="C1074" s="2">
        <f ca="1">IF(ISNUMBER(SEARCH(Лист2!$B$4,D:D)),MAX($C$3:OFFSET(C1074,-1,0))+1,0)</f>
        <v>0</v>
      </c>
      <c r="E1074" s="9" t="str">
        <f t="shared" ca="1" si="28"/>
        <v/>
      </c>
      <c r="F1074" s="4" t="s">
        <v>4</v>
      </c>
      <c r="G1074" s="2">
        <f>IF(ISNUMBER(SEARCH(Лист2!$B$4,F:F)),1,0)</f>
        <v>0</v>
      </c>
      <c r="H1074" s="3">
        <f ca="1">IF(AND(I1074&lt;&gt;I1073,ISNUMBER(SEARCH(Лист2!$B$5,I:I)),G1074=1),MAX($H$3:OFFSET(H1074,-1,0))+1,0)</f>
        <v>0</v>
      </c>
      <c r="I1074" s="3" t="s">
        <v>153</v>
      </c>
      <c r="K1074" s="2">
        <f>IF(ISNUMBER(SEARCH(Лист2!$B$4,F:F)),1,0)</f>
        <v>0</v>
      </c>
      <c r="L1074" s="14">
        <f>IF(ISNUMBER(SEARCH(Лист2!$B$5,I:I)),1,0)+K1074</f>
        <v>0</v>
      </c>
      <c r="M1074" s="3">
        <f ca="1">IF(AND(N1074&lt;&gt;N1073,ISNUMBER(SEARCH(Лист2!$B$6,N:N)),L1074=2),MAX($M$3:OFFSET(M1074,-1,0))+1,0)</f>
        <v>0</v>
      </c>
      <c r="N1074" s="3" t="s">
        <v>1130</v>
      </c>
    </row>
    <row r="1075" spans="1:14" x14ac:dyDescent="0.25">
      <c r="A1075" s="1" t="s">
        <v>10611</v>
      </c>
      <c r="B1075" s="3" t="s">
        <v>4699</v>
      </c>
      <c r="C1075" s="2">
        <f ca="1">IF(ISNUMBER(SEARCH(Лист2!$B$4,D:D)),MAX($C$3:OFFSET(C1075,-1,0))+1,0)</f>
        <v>0</v>
      </c>
      <c r="E1075" s="9" t="str">
        <f t="shared" ca="1" si="28"/>
        <v/>
      </c>
      <c r="F1075" s="4" t="s">
        <v>4</v>
      </c>
      <c r="G1075" s="2">
        <f>IF(ISNUMBER(SEARCH(Лист2!$B$4,F:F)),1,0)</f>
        <v>0</v>
      </c>
      <c r="H1075" s="3">
        <f ca="1">IF(AND(I1075&lt;&gt;I1074,ISNUMBER(SEARCH(Лист2!$B$5,I:I)),G1075=1),MAX($H$3:OFFSET(H1075,-1,0))+1,0)</f>
        <v>0</v>
      </c>
      <c r="I1075" s="3" t="s">
        <v>153</v>
      </c>
      <c r="K1075" s="2">
        <f>IF(ISNUMBER(SEARCH(Лист2!$B$4,F:F)),1,0)</f>
        <v>0</v>
      </c>
      <c r="L1075" s="14">
        <f>IF(ISNUMBER(SEARCH(Лист2!$B$5,I:I)),1,0)+K1075</f>
        <v>0</v>
      </c>
      <c r="M1075" s="3">
        <f ca="1">IF(AND(N1075&lt;&gt;N1074,ISNUMBER(SEARCH(Лист2!$B$6,N:N)),L1075=2),MAX($M$3:OFFSET(M1075,-1,0))+1,0)</f>
        <v>0</v>
      </c>
      <c r="N1075" s="3" t="s">
        <v>1131</v>
      </c>
    </row>
    <row r="1076" spans="1:14" x14ac:dyDescent="0.25">
      <c r="A1076" s="1" t="s">
        <v>10612</v>
      </c>
      <c r="B1076" s="3" t="s">
        <v>4700</v>
      </c>
      <c r="C1076" s="2">
        <f ca="1">IF(ISNUMBER(SEARCH(Лист2!$B$4,D:D)),MAX($C$3:OFFSET(C1076,-1,0))+1,0)</f>
        <v>0</v>
      </c>
      <c r="E1076" s="9" t="str">
        <f t="shared" ca="1" si="28"/>
        <v/>
      </c>
      <c r="F1076" s="4" t="s">
        <v>4</v>
      </c>
      <c r="G1076" s="2">
        <f>IF(ISNUMBER(SEARCH(Лист2!$B$4,F:F)),1,0)</f>
        <v>0</v>
      </c>
      <c r="H1076" s="3">
        <f ca="1">IF(AND(I1076&lt;&gt;I1075,ISNUMBER(SEARCH(Лист2!$B$5,I:I)),G1076=1),MAX($H$3:OFFSET(H1076,-1,0))+1,0)</f>
        <v>0</v>
      </c>
      <c r="I1076" s="3" t="s">
        <v>154</v>
      </c>
      <c r="K1076" s="2">
        <f>IF(ISNUMBER(SEARCH(Лист2!$B$4,F:F)),1,0)</f>
        <v>0</v>
      </c>
      <c r="L1076" s="14">
        <f>IF(ISNUMBER(SEARCH(Лист2!$B$5,I:I)),1,0)+K1076</f>
        <v>0</v>
      </c>
      <c r="M1076" s="3">
        <f ca="1">IF(AND(N1076&lt;&gt;N1075,ISNUMBER(SEARCH(Лист2!$B$6,N:N)),L1076=2),MAX($M$3:OFFSET(M1076,-1,0))+1,0)</f>
        <v>0</v>
      </c>
      <c r="N1076" s="3" t="s">
        <v>1132</v>
      </c>
    </row>
    <row r="1077" spans="1:14" x14ac:dyDescent="0.25">
      <c r="A1077" s="1" t="s">
        <v>10613</v>
      </c>
      <c r="B1077" s="3" t="s">
        <v>4701</v>
      </c>
      <c r="C1077" s="2">
        <f ca="1">IF(ISNUMBER(SEARCH(Лист2!$B$4,D:D)),MAX($C$3:OFFSET(C1077,-1,0))+1,0)</f>
        <v>0</v>
      </c>
      <c r="E1077" s="9" t="str">
        <f t="shared" ca="1" si="28"/>
        <v/>
      </c>
      <c r="F1077" s="4" t="s">
        <v>4</v>
      </c>
      <c r="G1077" s="2">
        <f>IF(ISNUMBER(SEARCH(Лист2!$B$4,F:F)),1,0)</f>
        <v>0</v>
      </c>
      <c r="H1077" s="3">
        <f ca="1">IF(AND(I1077&lt;&gt;I1076,ISNUMBER(SEARCH(Лист2!$B$5,I:I)),G1077=1),MAX($H$3:OFFSET(H1077,-1,0))+1,0)</f>
        <v>0</v>
      </c>
      <c r="I1077" s="3" t="s">
        <v>155</v>
      </c>
      <c r="K1077" s="2">
        <f>IF(ISNUMBER(SEARCH(Лист2!$B$4,F:F)),1,0)</f>
        <v>0</v>
      </c>
      <c r="L1077" s="14">
        <f>IF(ISNUMBER(SEARCH(Лист2!$B$5,I:I)),1,0)+K1077</f>
        <v>0</v>
      </c>
      <c r="M1077" s="3">
        <f ca="1">IF(AND(N1077&lt;&gt;N1076,ISNUMBER(SEARCH(Лист2!$B$6,N:N)),L1077=2),MAX($M$3:OFFSET(M1077,-1,0))+1,0)</f>
        <v>0</v>
      </c>
      <c r="N1077" s="3" t="s">
        <v>1133</v>
      </c>
    </row>
    <row r="1078" spans="1:14" x14ac:dyDescent="0.25">
      <c r="A1078" s="1" t="s">
        <v>10614</v>
      </c>
      <c r="B1078" s="3" t="s">
        <v>4702</v>
      </c>
      <c r="C1078" s="2">
        <f ca="1">IF(ISNUMBER(SEARCH(Лист2!$B$4,D:D)),MAX($C$3:OFFSET(C1078,-1,0))+1,0)</f>
        <v>0</v>
      </c>
      <c r="E1078" s="9" t="str">
        <f t="shared" ca="1" si="28"/>
        <v/>
      </c>
      <c r="F1078" s="4" t="s">
        <v>4</v>
      </c>
      <c r="G1078" s="2">
        <f>IF(ISNUMBER(SEARCH(Лист2!$B$4,F:F)),1,0)</f>
        <v>0</v>
      </c>
      <c r="H1078" s="3">
        <f ca="1">IF(AND(I1078&lt;&gt;I1077,ISNUMBER(SEARCH(Лист2!$B$5,I:I)),G1078=1),MAX($H$3:OFFSET(H1078,-1,0))+1,0)</f>
        <v>0</v>
      </c>
      <c r="I1078" s="3" t="s">
        <v>148</v>
      </c>
      <c r="K1078" s="2">
        <f>IF(ISNUMBER(SEARCH(Лист2!$B$4,F:F)),1,0)</f>
        <v>0</v>
      </c>
      <c r="L1078" s="14">
        <f>IF(ISNUMBER(SEARCH(Лист2!$B$5,I:I)),1,0)+K1078</f>
        <v>0</v>
      </c>
      <c r="M1078" s="3">
        <f ca="1">IF(AND(N1078&lt;&gt;N1077,ISNUMBER(SEARCH(Лист2!$B$6,N:N)),L1078=2),MAX($M$3:OFFSET(M1078,-1,0))+1,0)</f>
        <v>0</v>
      </c>
      <c r="N1078" s="3" t="s">
        <v>1134</v>
      </c>
    </row>
    <row r="1079" spans="1:14" x14ac:dyDescent="0.25">
      <c r="A1079" s="1" t="s">
        <v>10615</v>
      </c>
      <c r="B1079" s="3" t="s">
        <v>4703</v>
      </c>
      <c r="C1079" s="2">
        <f ca="1">IF(ISNUMBER(SEARCH(Лист2!$B$4,D:D)),MAX($C$3:OFFSET(C1079,-1,0))+1,0)</f>
        <v>0</v>
      </c>
      <c r="E1079" s="9" t="str">
        <f t="shared" ca="1" si="28"/>
        <v/>
      </c>
      <c r="F1079" s="4" t="s">
        <v>4</v>
      </c>
      <c r="G1079" s="2">
        <f>IF(ISNUMBER(SEARCH(Лист2!$B$4,F:F)),1,0)</f>
        <v>0</v>
      </c>
      <c r="H1079" s="3">
        <f ca="1">IF(AND(I1079&lt;&gt;I1078,ISNUMBER(SEARCH(Лист2!$B$5,I:I)),G1079=1),MAX($H$3:OFFSET(H1079,-1,0))+1,0)</f>
        <v>0</v>
      </c>
      <c r="I1079" s="3" t="s">
        <v>156</v>
      </c>
      <c r="K1079" s="2">
        <f>IF(ISNUMBER(SEARCH(Лист2!$B$4,F:F)),1,0)</f>
        <v>0</v>
      </c>
      <c r="L1079" s="14">
        <f>IF(ISNUMBER(SEARCH(Лист2!$B$5,I:I)),1,0)+K1079</f>
        <v>0</v>
      </c>
      <c r="M1079" s="3">
        <f ca="1">IF(AND(N1079&lt;&gt;N1078,ISNUMBER(SEARCH(Лист2!$B$6,N:N)),L1079=2),MAX($M$3:OFFSET(M1079,-1,0))+1,0)</f>
        <v>0</v>
      </c>
      <c r="N1079" s="3" t="s">
        <v>1135</v>
      </c>
    </row>
    <row r="1080" spans="1:14" x14ac:dyDescent="0.25">
      <c r="A1080" s="1" t="s">
        <v>10616</v>
      </c>
      <c r="B1080" s="3" t="s">
        <v>4704</v>
      </c>
      <c r="C1080" s="2">
        <f ca="1">IF(ISNUMBER(SEARCH(Лист2!$B$4,D:D)),MAX($C$3:OFFSET(C1080,-1,0))+1,0)</f>
        <v>0</v>
      </c>
      <c r="E1080" s="9" t="str">
        <f t="shared" ca="1" si="28"/>
        <v/>
      </c>
      <c r="F1080" s="4" t="s">
        <v>4</v>
      </c>
      <c r="G1080" s="2">
        <f>IF(ISNUMBER(SEARCH(Лист2!$B$4,F:F)),1,0)</f>
        <v>0</v>
      </c>
      <c r="H1080" s="3">
        <f ca="1">IF(AND(I1080&lt;&gt;I1079,ISNUMBER(SEARCH(Лист2!$B$5,I:I)),G1080=1),MAX($H$3:OFFSET(H1080,-1,0))+1,0)</f>
        <v>0</v>
      </c>
      <c r="I1080" s="3" t="s">
        <v>157</v>
      </c>
      <c r="K1080" s="2">
        <f>IF(ISNUMBER(SEARCH(Лист2!$B$4,F:F)),1,0)</f>
        <v>0</v>
      </c>
      <c r="L1080" s="14">
        <f>IF(ISNUMBER(SEARCH(Лист2!$B$5,I:I)),1,0)+K1080</f>
        <v>0</v>
      </c>
      <c r="M1080" s="3">
        <f ca="1">IF(AND(N1080&lt;&gt;N1079,ISNUMBER(SEARCH(Лист2!$B$6,N:N)),L1080=2),MAX($M$3:OFFSET(M1080,-1,0))+1,0)</f>
        <v>0</v>
      </c>
      <c r="N1080" s="3" t="s">
        <v>1136</v>
      </c>
    </row>
    <row r="1081" spans="1:14" x14ac:dyDescent="0.25">
      <c r="A1081" s="1" t="s">
        <v>10617</v>
      </c>
      <c r="B1081" s="3" t="s">
        <v>4705</v>
      </c>
      <c r="C1081" s="2">
        <f ca="1">IF(ISNUMBER(SEARCH(Лист2!$B$4,D:D)),MAX($C$3:OFFSET(C1081,-1,0))+1,0)</f>
        <v>0</v>
      </c>
      <c r="E1081" s="9" t="str">
        <f t="shared" ca="1" si="28"/>
        <v/>
      </c>
      <c r="F1081" s="4" t="s">
        <v>4</v>
      </c>
      <c r="G1081" s="2">
        <f>IF(ISNUMBER(SEARCH(Лист2!$B$4,F:F)),1,0)</f>
        <v>0</v>
      </c>
      <c r="H1081" s="3">
        <f ca="1">IF(AND(I1081&lt;&gt;I1080,ISNUMBER(SEARCH(Лист2!$B$5,I:I)),G1081=1),MAX($H$3:OFFSET(H1081,-1,0))+1,0)</f>
        <v>0</v>
      </c>
      <c r="I1081" s="3" t="s">
        <v>158</v>
      </c>
      <c r="K1081" s="2">
        <f>IF(ISNUMBER(SEARCH(Лист2!$B$4,F:F)),1,0)</f>
        <v>0</v>
      </c>
      <c r="L1081" s="14">
        <f>IF(ISNUMBER(SEARCH(Лист2!$B$5,I:I)),1,0)+K1081</f>
        <v>0</v>
      </c>
      <c r="M1081" s="3">
        <f ca="1">IF(AND(N1081&lt;&gt;N1080,ISNUMBER(SEARCH(Лист2!$B$6,N:N)),L1081=2),MAX($M$3:OFFSET(M1081,-1,0))+1,0)</f>
        <v>0</v>
      </c>
      <c r="N1081" s="3" t="s">
        <v>1137</v>
      </c>
    </row>
    <row r="1082" spans="1:14" x14ac:dyDescent="0.25">
      <c r="A1082" s="1" t="s">
        <v>10618</v>
      </c>
      <c r="B1082" s="3" t="s">
        <v>4706</v>
      </c>
      <c r="C1082" s="2">
        <f ca="1">IF(ISNUMBER(SEARCH(Лист2!$B$4,D:D)),MAX($C$3:OFFSET(C1082,-1,0))+1,0)</f>
        <v>0</v>
      </c>
      <c r="E1082" s="9" t="str">
        <f t="shared" ca="1" si="28"/>
        <v/>
      </c>
      <c r="F1082" s="4" t="s">
        <v>4</v>
      </c>
      <c r="G1082" s="2">
        <f>IF(ISNUMBER(SEARCH(Лист2!$B$4,F:F)),1,0)</f>
        <v>0</v>
      </c>
      <c r="H1082" s="3">
        <f ca="1">IF(AND(I1082&lt;&gt;I1081,ISNUMBER(SEARCH(Лист2!$B$5,I:I)),G1082=1),MAX($H$3:OFFSET(H1082,-1,0))+1,0)</f>
        <v>0</v>
      </c>
      <c r="I1082" s="3" t="s">
        <v>159</v>
      </c>
      <c r="K1082" s="2">
        <f>IF(ISNUMBER(SEARCH(Лист2!$B$4,F:F)),1,0)</f>
        <v>0</v>
      </c>
      <c r="L1082" s="14">
        <f>IF(ISNUMBER(SEARCH(Лист2!$B$5,I:I)),1,0)+K1082</f>
        <v>0</v>
      </c>
      <c r="M1082" s="3">
        <f ca="1">IF(AND(N1082&lt;&gt;N1081,ISNUMBER(SEARCH(Лист2!$B$6,N:N)),L1082=2),MAX($M$3:OFFSET(M1082,-1,0))+1,0)</f>
        <v>0</v>
      </c>
      <c r="N1082" s="3" t="s">
        <v>1138</v>
      </c>
    </row>
    <row r="1083" spans="1:14" x14ac:dyDescent="0.25">
      <c r="A1083" s="1" t="s">
        <v>10619</v>
      </c>
      <c r="B1083" s="3" t="s">
        <v>4707</v>
      </c>
      <c r="C1083" s="2">
        <f ca="1">IF(ISNUMBER(SEARCH(Лист2!$B$4,D:D)),MAX($C$3:OFFSET(C1083,-1,0))+1,0)</f>
        <v>0</v>
      </c>
      <c r="E1083" s="9" t="str">
        <f t="shared" ca="1" si="28"/>
        <v/>
      </c>
      <c r="F1083" s="4" t="s">
        <v>4</v>
      </c>
      <c r="G1083" s="2">
        <f>IF(ISNUMBER(SEARCH(Лист2!$B$4,F:F)),1,0)</f>
        <v>0</v>
      </c>
      <c r="H1083" s="3">
        <f ca="1">IF(AND(I1083&lt;&gt;I1082,ISNUMBER(SEARCH(Лист2!$B$5,I:I)),G1083=1),MAX($H$3:OFFSET(H1083,-1,0))+1,0)</f>
        <v>0</v>
      </c>
      <c r="I1083" s="3" t="s">
        <v>160</v>
      </c>
      <c r="K1083" s="2">
        <f>IF(ISNUMBER(SEARCH(Лист2!$B$4,F:F)),1,0)</f>
        <v>0</v>
      </c>
      <c r="L1083" s="14">
        <f>IF(ISNUMBER(SEARCH(Лист2!$B$5,I:I)),1,0)+K1083</f>
        <v>0</v>
      </c>
      <c r="M1083" s="3">
        <f ca="1">IF(AND(N1083&lt;&gt;N1082,ISNUMBER(SEARCH(Лист2!$B$6,N:N)),L1083=2),MAX($M$3:OFFSET(M1083,-1,0))+1,0)</f>
        <v>0</v>
      </c>
      <c r="N1083" s="3" t="s">
        <v>1139</v>
      </c>
    </row>
    <row r="1084" spans="1:14" x14ac:dyDescent="0.25">
      <c r="A1084" s="1" t="s">
        <v>10620</v>
      </c>
      <c r="B1084" s="3" t="s">
        <v>4708</v>
      </c>
      <c r="C1084" s="2">
        <f ca="1">IF(ISNUMBER(SEARCH(Лист2!$B$4,D:D)),MAX($C$3:OFFSET(C1084,-1,0))+1,0)</f>
        <v>0</v>
      </c>
      <c r="E1084" s="9" t="str">
        <f t="shared" ca="1" si="28"/>
        <v/>
      </c>
      <c r="F1084" s="4" t="s">
        <v>4</v>
      </c>
      <c r="G1084" s="2">
        <f>IF(ISNUMBER(SEARCH(Лист2!$B$4,F:F)),1,0)</f>
        <v>0</v>
      </c>
      <c r="H1084" s="3">
        <f ca="1">IF(AND(I1084&lt;&gt;I1083,ISNUMBER(SEARCH(Лист2!$B$5,I:I)),G1084=1),MAX($H$3:OFFSET(H1084,-1,0))+1,0)</f>
        <v>0</v>
      </c>
      <c r="I1084" s="3" t="s">
        <v>161</v>
      </c>
      <c r="K1084" s="2">
        <f>IF(ISNUMBER(SEARCH(Лист2!$B$4,F:F)),1,0)</f>
        <v>0</v>
      </c>
      <c r="L1084" s="14">
        <f>IF(ISNUMBER(SEARCH(Лист2!$B$5,I:I)),1,0)+K1084</f>
        <v>0</v>
      </c>
      <c r="M1084" s="3">
        <f ca="1">IF(AND(N1084&lt;&gt;N1083,ISNUMBER(SEARCH(Лист2!$B$6,N:N)),L1084=2),MAX($M$3:OFFSET(M1084,-1,0))+1,0)</f>
        <v>0</v>
      </c>
      <c r="N1084" s="3" t="s">
        <v>1140</v>
      </c>
    </row>
    <row r="1085" spans="1:14" x14ac:dyDescent="0.25">
      <c r="A1085" s="1" t="s">
        <v>10621</v>
      </c>
      <c r="B1085" s="3" t="s">
        <v>4709</v>
      </c>
      <c r="C1085" s="2">
        <f ca="1">IF(ISNUMBER(SEARCH(Лист2!$B$4,D:D)),MAX($C$3:OFFSET(C1085,-1,0))+1,0)</f>
        <v>0</v>
      </c>
      <c r="E1085" s="9" t="str">
        <f t="shared" ca="1" si="28"/>
        <v/>
      </c>
      <c r="F1085" s="4" t="s">
        <v>4</v>
      </c>
      <c r="G1085" s="2">
        <f>IF(ISNUMBER(SEARCH(Лист2!$B$4,F:F)),1,0)</f>
        <v>0</v>
      </c>
      <c r="H1085" s="3">
        <f ca="1">IF(AND(I1085&lt;&gt;I1084,ISNUMBER(SEARCH(Лист2!$B$5,I:I)),G1085=1),MAX($H$3:OFFSET(H1085,-1,0))+1,0)</f>
        <v>0</v>
      </c>
      <c r="I1085" s="3" t="s">
        <v>162</v>
      </c>
      <c r="K1085" s="2">
        <f>IF(ISNUMBER(SEARCH(Лист2!$B$4,F:F)),1,0)</f>
        <v>0</v>
      </c>
      <c r="L1085" s="14">
        <f>IF(ISNUMBER(SEARCH(Лист2!$B$5,I:I)),1,0)+K1085</f>
        <v>0</v>
      </c>
      <c r="M1085" s="3">
        <f ca="1">IF(AND(N1085&lt;&gt;N1084,ISNUMBER(SEARCH(Лист2!$B$6,N:N)),L1085=2),MAX($M$3:OFFSET(M1085,-1,0))+1,0)</f>
        <v>0</v>
      </c>
      <c r="N1085" s="3" t="s">
        <v>1141</v>
      </c>
    </row>
    <row r="1086" spans="1:14" x14ac:dyDescent="0.25">
      <c r="A1086" s="1" t="s">
        <v>10622</v>
      </c>
      <c r="B1086" s="3" t="s">
        <v>4710</v>
      </c>
      <c r="C1086" s="2">
        <f ca="1">IF(ISNUMBER(SEARCH(Лист2!$B$4,D:D)),MAX($C$3:OFFSET(C1086,-1,0))+1,0)</f>
        <v>0</v>
      </c>
      <c r="E1086" s="9" t="str">
        <f t="shared" ca="1" si="28"/>
        <v/>
      </c>
      <c r="F1086" s="4" t="s">
        <v>4</v>
      </c>
      <c r="G1086" s="2">
        <f>IF(ISNUMBER(SEARCH(Лист2!$B$4,F:F)),1,0)</f>
        <v>0</v>
      </c>
      <c r="H1086" s="3">
        <f ca="1">IF(AND(I1086&lt;&gt;I1085,ISNUMBER(SEARCH(Лист2!$B$5,I:I)),G1086=1),MAX($H$3:OFFSET(H1086,-1,0))+1,0)</f>
        <v>0</v>
      </c>
      <c r="I1086" s="3" t="s">
        <v>163</v>
      </c>
      <c r="K1086" s="2">
        <f>IF(ISNUMBER(SEARCH(Лист2!$B$4,F:F)),1,0)</f>
        <v>0</v>
      </c>
      <c r="L1086" s="14">
        <f>IF(ISNUMBER(SEARCH(Лист2!$B$5,I:I)),1,0)+K1086</f>
        <v>0</v>
      </c>
      <c r="M1086" s="3">
        <f ca="1">IF(AND(N1086&lt;&gt;N1085,ISNUMBER(SEARCH(Лист2!$B$6,N:N)),L1086=2),MAX($M$3:OFFSET(M1086,-1,0))+1,0)</f>
        <v>0</v>
      </c>
      <c r="N1086" s="3" t="s">
        <v>1142</v>
      </c>
    </row>
    <row r="1087" spans="1:14" x14ac:dyDescent="0.25">
      <c r="A1087" s="1" t="s">
        <v>10623</v>
      </c>
      <c r="B1087" s="3" t="s">
        <v>4711</v>
      </c>
      <c r="C1087" s="2">
        <f ca="1">IF(ISNUMBER(SEARCH(Лист2!$B$4,D:D)),MAX($C$3:OFFSET(C1087,-1,0))+1,0)</f>
        <v>0</v>
      </c>
      <c r="E1087" s="9" t="str">
        <f t="shared" ca="1" si="28"/>
        <v/>
      </c>
      <c r="F1087" s="4" t="s">
        <v>4</v>
      </c>
      <c r="G1087" s="2">
        <f>IF(ISNUMBER(SEARCH(Лист2!$B$4,F:F)),1,0)</f>
        <v>0</v>
      </c>
      <c r="H1087" s="3">
        <f ca="1">IF(AND(I1087&lt;&gt;I1086,ISNUMBER(SEARCH(Лист2!$B$5,I:I)),G1087=1),MAX($H$3:OFFSET(H1087,-1,0))+1,0)</f>
        <v>0</v>
      </c>
      <c r="I1087" s="3" t="s">
        <v>164</v>
      </c>
      <c r="K1087" s="2">
        <f>IF(ISNUMBER(SEARCH(Лист2!$B$4,F:F)),1,0)</f>
        <v>0</v>
      </c>
      <c r="L1087" s="14">
        <f>IF(ISNUMBER(SEARCH(Лист2!$B$5,I:I)),1,0)+K1087</f>
        <v>0</v>
      </c>
      <c r="M1087" s="3">
        <f ca="1">IF(AND(N1087&lt;&gt;N1086,ISNUMBER(SEARCH(Лист2!$B$6,N:N)),L1087=2),MAX($M$3:OFFSET(M1087,-1,0))+1,0)</f>
        <v>0</v>
      </c>
      <c r="N1087" s="3" t="s">
        <v>1143</v>
      </c>
    </row>
    <row r="1088" spans="1:14" x14ac:dyDescent="0.25">
      <c r="A1088" s="1" t="s">
        <v>10624</v>
      </c>
      <c r="B1088" s="3" t="s">
        <v>4712</v>
      </c>
      <c r="C1088" s="2">
        <f ca="1">IF(ISNUMBER(SEARCH(Лист2!$B$4,D:D)),MAX($C$3:OFFSET(C1088,-1,0))+1,0)</f>
        <v>0</v>
      </c>
      <c r="E1088" s="9" t="str">
        <f t="shared" ca="1" si="28"/>
        <v/>
      </c>
      <c r="F1088" s="4" t="s">
        <v>4</v>
      </c>
      <c r="G1088" s="2">
        <f>IF(ISNUMBER(SEARCH(Лист2!$B$4,F:F)),1,0)</f>
        <v>0</v>
      </c>
      <c r="H1088" s="3">
        <f ca="1">IF(AND(I1088&lt;&gt;I1087,ISNUMBER(SEARCH(Лист2!$B$5,I:I)),G1088=1),MAX($H$3:OFFSET(H1088,-1,0))+1,0)</f>
        <v>0</v>
      </c>
      <c r="I1088" s="3" t="s">
        <v>165</v>
      </c>
      <c r="K1088" s="2">
        <f>IF(ISNUMBER(SEARCH(Лист2!$B$4,F:F)),1,0)</f>
        <v>0</v>
      </c>
      <c r="L1088" s="14">
        <f>IF(ISNUMBER(SEARCH(Лист2!$B$5,I:I)),1,0)+K1088</f>
        <v>0</v>
      </c>
      <c r="M1088" s="3">
        <f ca="1">IF(AND(N1088&lt;&gt;N1087,ISNUMBER(SEARCH(Лист2!$B$6,N:N)),L1088=2),MAX($M$3:OFFSET(M1088,-1,0))+1,0)</f>
        <v>0</v>
      </c>
      <c r="N1088" s="3" t="s">
        <v>1144</v>
      </c>
    </row>
    <row r="1089" spans="1:14" x14ac:dyDescent="0.25">
      <c r="A1089" s="1" t="s">
        <v>10625</v>
      </c>
      <c r="B1089" s="3" t="s">
        <v>4713</v>
      </c>
      <c r="C1089" s="2">
        <f ca="1">IF(ISNUMBER(SEARCH(Лист2!$B$4,D:D)),MAX($C$3:OFFSET(C1089,-1,0))+1,0)</f>
        <v>0</v>
      </c>
      <c r="E1089" s="9" t="str">
        <f t="shared" ca="1" si="28"/>
        <v/>
      </c>
      <c r="F1089" s="4" t="s">
        <v>4</v>
      </c>
      <c r="G1089" s="2">
        <f>IF(ISNUMBER(SEARCH(Лист2!$B$4,F:F)),1,0)</f>
        <v>0</v>
      </c>
      <c r="H1089" s="3">
        <f ca="1">IF(AND(I1089&lt;&gt;I1088,ISNUMBER(SEARCH(Лист2!$B$5,I:I)),G1089=1),MAX($H$3:OFFSET(H1089,-1,0))+1,0)</f>
        <v>0</v>
      </c>
      <c r="I1089" s="3" t="s">
        <v>166</v>
      </c>
      <c r="K1089" s="2">
        <f>IF(ISNUMBER(SEARCH(Лист2!$B$4,F:F)),1,0)</f>
        <v>0</v>
      </c>
      <c r="L1089" s="14">
        <f>IF(ISNUMBER(SEARCH(Лист2!$B$5,I:I)),1,0)+K1089</f>
        <v>0</v>
      </c>
      <c r="M1089" s="3">
        <f ca="1">IF(AND(N1089&lt;&gt;N1088,ISNUMBER(SEARCH(Лист2!$B$6,N:N)),L1089=2),MAX($M$3:OFFSET(M1089,-1,0))+1,0)</f>
        <v>0</v>
      </c>
      <c r="N1089" s="3" t="s">
        <v>1145</v>
      </c>
    </row>
    <row r="1090" spans="1:14" x14ac:dyDescent="0.25">
      <c r="A1090" s="1" t="s">
        <v>10626</v>
      </c>
      <c r="B1090" s="3" t="s">
        <v>4714</v>
      </c>
      <c r="C1090" s="2">
        <f ca="1">IF(ISNUMBER(SEARCH(Лист2!$B$4,D:D)),MAX($C$3:OFFSET(C1090,-1,0))+1,0)</f>
        <v>0</v>
      </c>
      <c r="E1090" s="9" t="str">
        <f t="shared" ca="1" si="28"/>
        <v/>
      </c>
      <c r="F1090" s="4" t="s">
        <v>4</v>
      </c>
      <c r="G1090" s="2">
        <f>IF(ISNUMBER(SEARCH(Лист2!$B$4,F:F)),1,0)</f>
        <v>0</v>
      </c>
      <c r="H1090" s="3">
        <f ca="1">IF(AND(I1090&lt;&gt;I1089,ISNUMBER(SEARCH(Лист2!$B$5,I:I)),G1090=1),MAX($H$3:OFFSET(H1090,-1,0))+1,0)</f>
        <v>0</v>
      </c>
      <c r="I1090" s="3" t="s">
        <v>167</v>
      </c>
      <c r="K1090" s="2">
        <f>IF(ISNUMBER(SEARCH(Лист2!$B$4,F:F)),1,0)</f>
        <v>0</v>
      </c>
      <c r="L1090" s="14">
        <f>IF(ISNUMBER(SEARCH(Лист2!$B$5,I:I)),1,0)+K1090</f>
        <v>0</v>
      </c>
      <c r="M1090" s="3">
        <f ca="1">IF(AND(N1090&lt;&gt;N1089,ISNUMBER(SEARCH(Лист2!$B$6,N:N)),L1090=2),MAX($M$3:OFFSET(M1090,-1,0))+1,0)</f>
        <v>0</v>
      </c>
      <c r="N1090" s="3" t="s">
        <v>1146</v>
      </c>
    </row>
    <row r="1091" spans="1:14" x14ac:dyDescent="0.25">
      <c r="A1091" s="1" t="s">
        <v>10627</v>
      </c>
      <c r="B1091" s="3" t="s">
        <v>4715</v>
      </c>
      <c r="C1091" s="2">
        <f ca="1">IF(ISNUMBER(SEARCH(Лист2!$B$4,D:D)),MAX($C$3:OFFSET(C1091,-1,0))+1,0)</f>
        <v>0</v>
      </c>
      <c r="E1091" s="9" t="str">
        <f t="shared" ca="1" si="28"/>
        <v/>
      </c>
      <c r="F1091" s="4" t="s">
        <v>4</v>
      </c>
      <c r="G1091" s="2">
        <f>IF(ISNUMBER(SEARCH(Лист2!$B$4,F:F)),1,0)</f>
        <v>0</v>
      </c>
      <c r="H1091" s="3">
        <f ca="1">IF(AND(I1091&lt;&gt;I1090,ISNUMBER(SEARCH(Лист2!$B$5,I:I)),G1091=1),MAX($H$3:OFFSET(H1091,-1,0))+1,0)</f>
        <v>0</v>
      </c>
      <c r="I1091" s="3" t="s">
        <v>168</v>
      </c>
      <c r="K1091" s="2">
        <f>IF(ISNUMBER(SEARCH(Лист2!$B$4,F:F)),1,0)</f>
        <v>0</v>
      </c>
      <c r="L1091" s="14">
        <f>IF(ISNUMBER(SEARCH(Лист2!$B$5,I:I)),1,0)+K1091</f>
        <v>0</v>
      </c>
      <c r="M1091" s="3">
        <f ca="1">IF(AND(N1091&lt;&gt;N1090,ISNUMBER(SEARCH(Лист2!$B$6,N:N)),L1091=2),MAX($M$3:OFFSET(M1091,-1,0))+1,0)</f>
        <v>0</v>
      </c>
      <c r="N1091" s="3" t="s">
        <v>1147</v>
      </c>
    </row>
    <row r="1092" spans="1:14" x14ac:dyDescent="0.25">
      <c r="A1092" s="1" t="s">
        <v>10628</v>
      </c>
      <c r="B1092" s="3" t="s">
        <v>4716</v>
      </c>
      <c r="C1092" s="2">
        <f ca="1">IF(ISNUMBER(SEARCH(Лист2!$B$4,D:D)),MAX($C$3:OFFSET(C1092,-1,0))+1,0)</f>
        <v>0</v>
      </c>
      <c r="E1092" s="9" t="str">
        <f t="shared" ca="1" si="28"/>
        <v/>
      </c>
      <c r="F1092" s="4" t="s">
        <v>4</v>
      </c>
      <c r="G1092" s="2">
        <f>IF(ISNUMBER(SEARCH(Лист2!$B$4,F:F)),1,0)</f>
        <v>0</v>
      </c>
      <c r="H1092" s="3">
        <f ca="1">IF(AND(I1092&lt;&gt;I1091,ISNUMBER(SEARCH(Лист2!$B$5,I:I)),G1092=1),MAX($H$3:OFFSET(H1092,-1,0))+1,0)</f>
        <v>0</v>
      </c>
      <c r="I1092" s="3" t="s">
        <v>169</v>
      </c>
      <c r="K1092" s="2">
        <f>IF(ISNUMBER(SEARCH(Лист2!$B$4,F:F)),1,0)</f>
        <v>0</v>
      </c>
      <c r="L1092" s="14">
        <f>IF(ISNUMBER(SEARCH(Лист2!$B$5,I:I)),1,0)+K1092</f>
        <v>0</v>
      </c>
      <c r="M1092" s="3">
        <f ca="1">IF(AND(N1092&lt;&gt;N1091,ISNUMBER(SEARCH(Лист2!$B$6,N:N)),L1092=2),MAX($M$3:OFFSET(M1092,-1,0))+1,0)</f>
        <v>0</v>
      </c>
      <c r="N1092" s="3" t="s">
        <v>1148</v>
      </c>
    </row>
    <row r="1093" spans="1:14" x14ac:dyDescent="0.25">
      <c r="A1093" s="1" t="s">
        <v>10629</v>
      </c>
      <c r="B1093" s="3" t="s">
        <v>4717</v>
      </c>
      <c r="C1093" s="2">
        <f ca="1">IF(ISNUMBER(SEARCH(Лист2!$B$4,D:D)),MAX($C$3:OFFSET(C1093,-1,0))+1,0)</f>
        <v>0</v>
      </c>
      <c r="E1093" s="9" t="str">
        <f t="shared" ref="E1093:E1156" ca="1" si="29">IFERROR(INDEX(D:D,MATCH(ROW(E1093)-ROW($E$3),C:C,0)),"")</f>
        <v/>
      </c>
      <c r="F1093" s="4" t="s">
        <v>4</v>
      </c>
      <c r="G1093" s="2">
        <f>IF(ISNUMBER(SEARCH(Лист2!$B$4,F:F)),1,0)</f>
        <v>0</v>
      </c>
      <c r="H1093" s="3">
        <f ca="1">IF(AND(I1093&lt;&gt;I1092,ISNUMBER(SEARCH(Лист2!$B$5,I:I)),G1093=1),MAX($H$3:OFFSET(H1093,-1,0))+1,0)</f>
        <v>0</v>
      </c>
      <c r="I1093" s="3" t="s">
        <v>170</v>
      </c>
      <c r="K1093" s="2">
        <f>IF(ISNUMBER(SEARCH(Лист2!$B$4,F:F)),1,0)</f>
        <v>0</v>
      </c>
      <c r="L1093" s="14">
        <f>IF(ISNUMBER(SEARCH(Лист2!$B$5,I:I)),1,0)+K1093</f>
        <v>0</v>
      </c>
      <c r="M1093" s="3">
        <f ca="1">IF(AND(N1093&lt;&gt;N1092,ISNUMBER(SEARCH(Лист2!$B$6,N:N)),L1093=2),MAX($M$3:OFFSET(M1093,-1,0))+1,0)</f>
        <v>0</v>
      </c>
      <c r="N1093" s="3" t="s">
        <v>1149</v>
      </c>
    </row>
    <row r="1094" spans="1:14" x14ac:dyDescent="0.25">
      <c r="A1094" s="1" t="s">
        <v>10630</v>
      </c>
      <c r="B1094" s="3" t="s">
        <v>4718</v>
      </c>
      <c r="C1094" s="2">
        <f ca="1">IF(ISNUMBER(SEARCH(Лист2!$B$4,D:D)),MAX($C$3:OFFSET(C1094,-1,0))+1,0)</f>
        <v>0</v>
      </c>
      <c r="E1094" s="9" t="str">
        <f t="shared" ca="1" si="29"/>
        <v/>
      </c>
      <c r="F1094" s="4" t="s">
        <v>4</v>
      </c>
      <c r="G1094" s="2">
        <f>IF(ISNUMBER(SEARCH(Лист2!$B$4,F:F)),1,0)</f>
        <v>0</v>
      </c>
      <c r="H1094" s="3">
        <f ca="1">IF(AND(I1094&lt;&gt;I1093,ISNUMBER(SEARCH(Лист2!$B$5,I:I)),G1094=1),MAX($H$3:OFFSET(H1094,-1,0))+1,0)</f>
        <v>0</v>
      </c>
      <c r="I1094" s="3" t="s">
        <v>171</v>
      </c>
      <c r="K1094" s="2">
        <f>IF(ISNUMBER(SEARCH(Лист2!$B$4,F:F)),1,0)</f>
        <v>0</v>
      </c>
      <c r="L1094" s="14">
        <f>IF(ISNUMBER(SEARCH(Лист2!$B$5,I:I)),1,0)+K1094</f>
        <v>0</v>
      </c>
      <c r="M1094" s="3">
        <f ca="1">IF(AND(N1094&lt;&gt;N1093,ISNUMBER(SEARCH(Лист2!$B$6,N:N)),L1094=2),MAX($M$3:OFFSET(M1094,-1,0))+1,0)</f>
        <v>0</v>
      </c>
      <c r="N1094" s="3" t="s">
        <v>1150</v>
      </c>
    </row>
    <row r="1095" spans="1:14" x14ac:dyDescent="0.25">
      <c r="A1095" s="1" t="s">
        <v>10631</v>
      </c>
      <c r="B1095" s="3" t="s">
        <v>4719</v>
      </c>
      <c r="C1095" s="2">
        <f ca="1">IF(ISNUMBER(SEARCH(Лист2!$B$4,D:D)),MAX($C$3:OFFSET(C1095,-1,0))+1,0)</f>
        <v>0</v>
      </c>
      <c r="E1095" s="9" t="str">
        <f t="shared" ca="1" si="29"/>
        <v/>
      </c>
      <c r="F1095" s="4" t="s">
        <v>4</v>
      </c>
      <c r="G1095" s="2">
        <f>IF(ISNUMBER(SEARCH(Лист2!$B$4,F:F)),1,0)</f>
        <v>0</v>
      </c>
      <c r="H1095" s="3">
        <f ca="1">IF(AND(I1095&lt;&gt;I1094,ISNUMBER(SEARCH(Лист2!$B$5,I:I)),G1095=1),MAX($H$3:OFFSET(H1095,-1,0))+1,0)</f>
        <v>0</v>
      </c>
      <c r="I1095" s="3" t="s">
        <v>172</v>
      </c>
      <c r="K1095" s="2">
        <f>IF(ISNUMBER(SEARCH(Лист2!$B$4,F:F)),1,0)</f>
        <v>0</v>
      </c>
      <c r="L1095" s="14">
        <f>IF(ISNUMBER(SEARCH(Лист2!$B$5,I:I)),1,0)+K1095</f>
        <v>0</v>
      </c>
      <c r="M1095" s="3">
        <f ca="1">IF(AND(N1095&lt;&gt;N1094,ISNUMBER(SEARCH(Лист2!$B$6,N:N)),L1095=2),MAX($M$3:OFFSET(M1095,-1,0))+1,0)</f>
        <v>0</v>
      </c>
      <c r="N1095" s="3" t="s">
        <v>1151</v>
      </c>
    </row>
    <row r="1096" spans="1:14" x14ac:dyDescent="0.25">
      <c r="A1096" s="1" t="s">
        <v>10632</v>
      </c>
      <c r="B1096" s="3" t="s">
        <v>4720</v>
      </c>
      <c r="C1096" s="2">
        <f ca="1">IF(ISNUMBER(SEARCH(Лист2!$B$4,D:D)),MAX($C$3:OFFSET(C1096,-1,0))+1,0)</f>
        <v>0</v>
      </c>
      <c r="E1096" s="9" t="str">
        <f t="shared" ca="1" si="29"/>
        <v/>
      </c>
      <c r="F1096" s="4" t="s">
        <v>4</v>
      </c>
      <c r="G1096" s="2">
        <f>IF(ISNUMBER(SEARCH(Лист2!$B$4,F:F)),1,0)</f>
        <v>0</v>
      </c>
      <c r="H1096" s="3">
        <f ca="1">IF(AND(I1096&lt;&gt;I1095,ISNUMBER(SEARCH(Лист2!$B$5,I:I)),G1096=1),MAX($H$3:OFFSET(H1096,-1,0))+1,0)</f>
        <v>0</v>
      </c>
      <c r="I1096" s="3" t="s">
        <v>173</v>
      </c>
      <c r="K1096" s="2">
        <f>IF(ISNUMBER(SEARCH(Лист2!$B$4,F:F)),1,0)</f>
        <v>0</v>
      </c>
      <c r="L1096" s="14">
        <f>IF(ISNUMBER(SEARCH(Лист2!$B$5,I:I)),1,0)+K1096</f>
        <v>0</v>
      </c>
      <c r="M1096" s="3">
        <f ca="1">IF(AND(N1096&lt;&gt;N1095,ISNUMBER(SEARCH(Лист2!$B$6,N:N)),L1096=2),MAX($M$3:OFFSET(M1096,-1,0))+1,0)</f>
        <v>0</v>
      </c>
      <c r="N1096" s="3" t="s">
        <v>1152</v>
      </c>
    </row>
    <row r="1097" spans="1:14" x14ac:dyDescent="0.25">
      <c r="A1097" s="1" t="s">
        <v>10633</v>
      </c>
      <c r="B1097" s="3" t="s">
        <v>4721</v>
      </c>
      <c r="C1097" s="2">
        <f ca="1">IF(ISNUMBER(SEARCH(Лист2!$B$4,D:D)),MAX($C$3:OFFSET(C1097,-1,0))+1,0)</f>
        <v>0</v>
      </c>
      <c r="E1097" s="9" t="str">
        <f t="shared" ca="1" si="29"/>
        <v/>
      </c>
      <c r="F1097" s="4" t="s">
        <v>4</v>
      </c>
      <c r="G1097" s="2">
        <f>IF(ISNUMBER(SEARCH(Лист2!$B$4,F:F)),1,0)</f>
        <v>0</v>
      </c>
      <c r="H1097" s="3">
        <f ca="1">IF(AND(I1097&lt;&gt;I1096,ISNUMBER(SEARCH(Лист2!$B$5,I:I)),G1097=1),MAX($H$3:OFFSET(H1097,-1,0))+1,0)</f>
        <v>0</v>
      </c>
      <c r="I1097" s="3" t="s">
        <v>174</v>
      </c>
      <c r="K1097" s="2">
        <f>IF(ISNUMBER(SEARCH(Лист2!$B$4,F:F)),1,0)</f>
        <v>0</v>
      </c>
      <c r="L1097" s="14">
        <f>IF(ISNUMBER(SEARCH(Лист2!$B$5,I:I)),1,0)+K1097</f>
        <v>0</v>
      </c>
      <c r="M1097" s="3">
        <f ca="1">IF(AND(N1097&lt;&gt;N1096,ISNUMBER(SEARCH(Лист2!$B$6,N:N)),L1097=2),MAX($M$3:OFFSET(M1097,-1,0))+1,0)</f>
        <v>0</v>
      </c>
      <c r="N1097" s="3" t="s">
        <v>1153</v>
      </c>
    </row>
    <row r="1098" spans="1:14" x14ac:dyDescent="0.25">
      <c r="A1098" s="1" t="s">
        <v>10634</v>
      </c>
      <c r="B1098" s="3" t="s">
        <v>4722</v>
      </c>
      <c r="C1098" s="2">
        <f ca="1">IF(ISNUMBER(SEARCH(Лист2!$B$4,D:D)),MAX($C$3:OFFSET(C1098,-1,0))+1,0)</f>
        <v>0</v>
      </c>
      <c r="E1098" s="9" t="str">
        <f t="shared" ca="1" si="29"/>
        <v/>
      </c>
      <c r="F1098" s="4" t="s">
        <v>4</v>
      </c>
      <c r="G1098" s="2">
        <f>IF(ISNUMBER(SEARCH(Лист2!$B$4,F:F)),1,0)</f>
        <v>0</v>
      </c>
      <c r="H1098" s="3">
        <f ca="1">IF(AND(I1098&lt;&gt;I1097,ISNUMBER(SEARCH(Лист2!$B$5,I:I)),G1098=1),MAX($H$3:OFFSET(H1098,-1,0))+1,0)</f>
        <v>0</v>
      </c>
      <c r="I1098" s="3" t="s">
        <v>175</v>
      </c>
      <c r="K1098" s="2">
        <f>IF(ISNUMBER(SEARCH(Лист2!$B$4,F:F)),1,0)</f>
        <v>0</v>
      </c>
      <c r="L1098" s="14">
        <f>IF(ISNUMBER(SEARCH(Лист2!$B$5,I:I)),1,0)+K1098</f>
        <v>0</v>
      </c>
      <c r="M1098" s="3">
        <f ca="1">IF(AND(N1098&lt;&gt;N1097,ISNUMBER(SEARCH(Лист2!$B$6,N:N)),L1098=2),MAX($M$3:OFFSET(M1098,-1,0))+1,0)</f>
        <v>0</v>
      </c>
      <c r="N1098" s="3" t="s">
        <v>1154</v>
      </c>
    </row>
    <row r="1099" spans="1:14" x14ac:dyDescent="0.25">
      <c r="A1099" s="1" t="s">
        <v>10635</v>
      </c>
      <c r="B1099" s="3" t="s">
        <v>4723</v>
      </c>
      <c r="C1099" s="2">
        <f ca="1">IF(ISNUMBER(SEARCH(Лист2!$B$4,D:D)),MAX($C$3:OFFSET(C1099,-1,0))+1,0)</f>
        <v>0</v>
      </c>
      <c r="E1099" s="9" t="str">
        <f t="shared" ca="1" si="29"/>
        <v/>
      </c>
      <c r="F1099" s="4" t="s">
        <v>4</v>
      </c>
      <c r="G1099" s="2">
        <f>IF(ISNUMBER(SEARCH(Лист2!$B$4,F:F)),1,0)</f>
        <v>0</v>
      </c>
      <c r="H1099" s="3">
        <f ca="1">IF(AND(I1099&lt;&gt;I1098,ISNUMBER(SEARCH(Лист2!$B$5,I:I)),G1099=1),MAX($H$3:OFFSET(H1099,-1,0))+1,0)</f>
        <v>0</v>
      </c>
      <c r="I1099" s="3" t="s">
        <v>176</v>
      </c>
      <c r="K1099" s="2">
        <f>IF(ISNUMBER(SEARCH(Лист2!$B$4,F:F)),1,0)</f>
        <v>0</v>
      </c>
      <c r="L1099" s="14">
        <f>IF(ISNUMBER(SEARCH(Лист2!$B$5,I:I)),1,0)+K1099</f>
        <v>0</v>
      </c>
      <c r="M1099" s="3">
        <f ca="1">IF(AND(N1099&lt;&gt;N1098,ISNUMBER(SEARCH(Лист2!$B$6,N:N)),L1099=2),MAX($M$3:OFFSET(M1099,-1,0))+1,0)</f>
        <v>0</v>
      </c>
      <c r="N1099" s="3" t="s">
        <v>1155</v>
      </c>
    </row>
    <row r="1100" spans="1:14" x14ac:dyDescent="0.25">
      <c r="A1100" s="1" t="s">
        <v>10636</v>
      </c>
      <c r="B1100" s="3" t="s">
        <v>4724</v>
      </c>
      <c r="C1100" s="2">
        <f ca="1">IF(ISNUMBER(SEARCH(Лист2!$B$4,D:D)),MAX($C$3:OFFSET(C1100,-1,0))+1,0)</f>
        <v>0</v>
      </c>
      <c r="E1100" s="9" t="str">
        <f t="shared" ca="1" si="29"/>
        <v/>
      </c>
      <c r="F1100" s="4" t="s">
        <v>4</v>
      </c>
      <c r="G1100" s="2">
        <f>IF(ISNUMBER(SEARCH(Лист2!$B$4,F:F)),1,0)</f>
        <v>0</v>
      </c>
      <c r="H1100" s="3">
        <f ca="1">IF(AND(I1100&lt;&gt;I1099,ISNUMBER(SEARCH(Лист2!$B$5,I:I)),G1100=1),MAX($H$3:OFFSET(H1100,-1,0))+1,0)</f>
        <v>0</v>
      </c>
      <c r="I1100" s="3" t="s">
        <v>177</v>
      </c>
      <c r="K1100" s="2">
        <f>IF(ISNUMBER(SEARCH(Лист2!$B$4,F:F)),1,0)</f>
        <v>0</v>
      </c>
      <c r="L1100" s="14">
        <f>IF(ISNUMBER(SEARCH(Лист2!$B$5,I:I)),1,0)+K1100</f>
        <v>0</v>
      </c>
      <c r="M1100" s="3">
        <f ca="1">IF(AND(N1100&lt;&gt;N1099,ISNUMBER(SEARCH(Лист2!$B$6,N:N)),L1100=2),MAX($M$3:OFFSET(M1100,-1,0))+1,0)</f>
        <v>0</v>
      </c>
      <c r="N1100" s="3" t="s">
        <v>1156</v>
      </c>
    </row>
    <row r="1101" spans="1:14" x14ac:dyDescent="0.25">
      <c r="A1101" s="1" t="s">
        <v>10637</v>
      </c>
      <c r="B1101" s="3" t="s">
        <v>4725</v>
      </c>
      <c r="C1101" s="2">
        <f ca="1">IF(ISNUMBER(SEARCH(Лист2!$B$4,D:D)),MAX($C$3:OFFSET(C1101,-1,0))+1,0)</f>
        <v>0</v>
      </c>
      <c r="E1101" s="9" t="str">
        <f t="shared" ca="1" si="29"/>
        <v/>
      </c>
      <c r="F1101" s="4" t="s">
        <v>4</v>
      </c>
      <c r="G1101" s="2">
        <f>IF(ISNUMBER(SEARCH(Лист2!$B$4,F:F)),1,0)</f>
        <v>0</v>
      </c>
      <c r="H1101" s="3">
        <f ca="1">IF(AND(I1101&lt;&gt;I1100,ISNUMBER(SEARCH(Лист2!$B$5,I:I)),G1101=1),MAX($H$3:OFFSET(H1101,-1,0))+1,0)</f>
        <v>0</v>
      </c>
      <c r="I1101" s="3" t="s">
        <v>178</v>
      </c>
      <c r="K1101" s="2">
        <f>IF(ISNUMBER(SEARCH(Лист2!$B$4,F:F)),1,0)</f>
        <v>0</v>
      </c>
      <c r="L1101" s="14">
        <f>IF(ISNUMBER(SEARCH(Лист2!$B$5,I:I)),1,0)+K1101</f>
        <v>0</v>
      </c>
      <c r="M1101" s="3">
        <f ca="1">IF(AND(N1101&lt;&gt;N1100,ISNUMBER(SEARCH(Лист2!$B$6,N:N)),L1101=2),MAX($M$3:OFFSET(M1101,-1,0))+1,0)</f>
        <v>0</v>
      </c>
      <c r="N1101" s="3" t="s">
        <v>1157</v>
      </c>
    </row>
    <row r="1102" spans="1:14" x14ac:dyDescent="0.25">
      <c r="A1102" s="1" t="s">
        <v>10638</v>
      </c>
      <c r="B1102" s="3" t="s">
        <v>4726</v>
      </c>
      <c r="C1102" s="2">
        <f ca="1">IF(ISNUMBER(SEARCH(Лист2!$B$4,D:D)),MAX($C$3:OFFSET(C1102,-1,0))+1,0)</f>
        <v>0</v>
      </c>
      <c r="E1102" s="9" t="str">
        <f t="shared" ca="1" si="29"/>
        <v/>
      </c>
      <c r="F1102" s="4" t="s">
        <v>4</v>
      </c>
      <c r="G1102" s="2">
        <f>IF(ISNUMBER(SEARCH(Лист2!$B$4,F:F)),1,0)</f>
        <v>0</v>
      </c>
      <c r="H1102" s="3">
        <f ca="1">IF(AND(I1102&lt;&gt;I1101,ISNUMBER(SEARCH(Лист2!$B$5,I:I)),G1102=1),MAX($H$3:OFFSET(H1102,-1,0))+1,0)</f>
        <v>0</v>
      </c>
      <c r="I1102" s="3" t="s">
        <v>179</v>
      </c>
      <c r="K1102" s="2">
        <f>IF(ISNUMBER(SEARCH(Лист2!$B$4,F:F)),1,0)</f>
        <v>0</v>
      </c>
      <c r="L1102" s="14">
        <f>IF(ISNUMBER(SEARCH(Лист2!$B$5,I:I)),1,0)+K1102</f>
        <v>0</v>
      </c>
      <c r="M1102" s="3">
        <f ca="1">IF(AND(N1102&lt;&gt;N1101,ISNUMBER(SEARCH(Лист2!$B$6,N:N)),L1102=2),MAX($M$3:OFFSET(M1102,-1,0))+1,0)</f>
        <v>0</v>
      </c>
      <c r="N1102" s="3" t="s">
        <v>1158</v>
      </c>
    </row>
    <row r="1103" spans="1:14" x14ac:dyDescent="0.25">
      <c r="A1103" s="1" t="s">
        <v>10639</v>
      </c>
      <c r="B1103" s="3" t="s">
        <v>4727</v>
      </c>
      <c r="C1103" s="2">
        <f ca="1">IF(ISNUMBER(SEARCH(Лист2!$B$4,D:D)),MAX($C$3:OFFSET(C1103,-1,0))+1,0)</f>
        <v>0</v>
      </c>
      <c r="E1103" s="9" t="str">
        <f t="shared" ca="1" si="29"/>
        <v/>
      </c>
      <c r="F1103" s="4" t="s">
        <v>4</v>
      </c>
      <c r="G1103" s="2">
        <f>IF(ISNUMBER(SEARCH(Лист2!$B$4,F:F)),1,0)</f>
        <v>0</v>
      </c>
      <c r="H1103" s="3">
        <f ca="1">IF(AND(I1103&lt;&gt;I1102,ISNUMBER(SEARCH(Лист2!$B$5,I:I)),G1103=1),MAX($H$3:OFFSET(H1103,-1,0))+1,0)</f>
        <v>0</v>
      </c>
      <c r="I1103" s="3" t="s">
        <v>180</v>
      </c>
      <c r="K1103" s="2">
        <f>IF(ISNUMBER(SEARCH(Лист2!$B$4,F:F)),1,0)</f>
        <v>0</v>
      </c>
      <c r="L1103" s="14">
        <f>IF(ISNUMBER(SEARCH(Лист2!$B$5,I:I)),1,0)+K1103</f>
        <v>0</v>
      </c>
      <c r="M1103" s="3">
        <f ca="1">IF(AND(N1103&lt;&gt;N1102,ISNUMBER(SEARCH(Лист2!$B$6,N:N)),L1103=2),MAX($M$3:OFFSET(M1103,-1,0))+1,0)</f>
        <v>0</v>
      </c>
      <c r="N1103" s="3" t="s">
        <v>1159</v>
      </c>
    </row>
    <row r="1104" spans="1:14" x14ac:dyDescent="0.25">
      <c r="A1104" s="1" t="s">
        <v>10640</v>
      </c>
      <c r="B1104" s="3" t="s">
        <v>4728</v>
      </c>
      <c r="C1104" s="2">
        <f ca="1">IF(ISNUMBER(SEARCH(Лист2!$B$4,D:D)),MAX($C$3:OFFSET(C1104,-1,0))+1,0)</f>
        <v>0</v>
      </c>
      <c r="E1104" s="9" t="str">
        <f t="shared" ca="1" si="29"/>
        <v/>
      </c>
      <c r="F1104" s="4" t="s">
        <v>4</v>
      </c>
      <c r="G1104" s="2">
        <f>IF(ISNUMBER(SEARCH(Лист2!$B$4,F:F)),1,0)</f>
        <v>0</v>
      </c>
      <c r="H1104" s="3">
        <f ca="1">IF(AND(I1104&lt;&gt;I1103,ISNUMBER(SEARCH(Лист2!$B$5,I:I)),G1104=1),MAX($H$3:OFFSET(H1104,-1,0))+1,0)</f>
        <v>0</v>
      </c>
      <c r="I1104" s="3" t="s">
        <v>181</v>
      </c>
      <c r="K1104" s="2">
        <f>IF(ISNUMBER(SEARCH(Лист2!$B$4,F:F)),1,0)</f>
        <v>0</v>
      </c>
      <c r="L1104" s="14">
        <f>IF(ISNUMBER(SEARCH(Лист2!$B$5,I:I)),1,0)+K1104</f>
        <v>0</v>
      </c>
      <c r="M1104" s="3">
        <f ca="1">IF(AND(N1104&lt;&gt;N1103,ISNUMBER(SEARCH(Лист2!$B$6,N:N)),L1104=2),MAX($M$3:OFFSET(M1104,-1,0))+1,0)</f>
        <v>0</v>
      </c>
      <c r="N1104" s="3" t="s">
        <v>1160</v>
      </c>
    </row>
    <row r="1105" spans="1:14" x14ac:dyDescent="0.25">
      <c r="A1105" s="1" t="s">
        <v>10641</v>
      </c>
      <c r="B1105" s="3" t="s">
        <v>4729</v>
      </c>
      <c r="C1105" s="2">
        <f ca="1">IF(ISNUMBER(SEARCH(Лист2!$B$4,D:D)),MAX($C$3:OFFSET(C1105,-1,0))+1,0)</f>
        <v>0</v>
      </c>
      <c r="E1105" s="9" t="str">
        <f t="shared" ca="1" si="29"/>
        <v/>
      </c>
      <c r="F1105" s="4" t="s">
        <v>4</v>
      </c>
      <c r="G1105" s="2">
        <f>IF(ISNUMBER(SEARCH(Лист2!$B$4,F:F)),1,0)</f>
        <v>0</v>
      </c>
      <c r="H1105" s="3">
        <f ca="1">IF(AND(I1105&lt;&gt;I1104,ISNUMBER(SEARCH(Лист2!$B$5,I:I)),G1105=1),MAX($H$3:OFFSET(H1105,-1,0))+1,0)</f>
        <v>0</v>
      </c>
      <c r="I1105" s="3" t="s">
        <v>148</v>
      </c>
      <c r="K1105" s="2">
        <f>IF(ISNUMBER(SEARCH(Лист2!$B$4,F:F)),1,0)</f>
        <v>0</v>
      </c>
      <c r="L1105" s="14">
        <f>IF(ISNUMBER(SEARCH(Лист2!$B$5,I:I)),1,0)+K1105</f>
        <v>0</v>
      </c>
      <c r="M1105" s="3">
        <f ca="1">IF(AND(N1105&lt;&gt;N1104,ISNUMBER(SEARCH(Лист2!$B$6,N:N)),L1105=2),MAX($M$3:OFFSET(M1105,-1,0))+1,0)</f>
        <v>0</v>
      </c>
      <c r="N1105" s="3" t="s">
        <v>1161</v>
      </c>
    </row>
    <row r="1106" spans="1:14" x14ac:dyDescent="0.25">
      <c r="A1106" s="1" t="s">
        <v>10642</v>
      </c>
      <c r="B1106" s="3" t="s">
        <v>4730</v>
      </c>
      <c r="C1106" s="2">
        <f ca="1">IF(ISNUMBER(SEARCH(Лист2!$B$4,D:D)),MAX($C$3:OFFSET(C1106,-1,0))+1,0)</f>
        <v>0</v>
      </c>
      <c r="E1106" s="9" t="str">
        <f t="shared" ca="1" si="29"/>
        <v/>
      </c>
      <c r="F1106" s="4" t="s">
        <v>4</v>
      </c>
      <c r="G1106" s="2">
        <f>IF(ISNUMBER(SEARCH(Лист2!$B$4,F:F)),1,0)</f>
        <v>0</v>
      </c>
      <c r="H1106" s="3">
        <f ca="1">IF(AND(I1106&lt;&gt;I1105,ISNUMBER(SEARCH(Лист2!$B$5,I:I)),G1106=1),MAX($H$3:OFFSET(H1106,-1,0))+1,0)</f>
        <v>0</v>
      </c>
      <c r="I1106" s="3" t="s">
        <v>182</v>
      </c>
      <c r="K1106" s="2">
        <f>IF(ISNUMBER(SEARCH(Лист2!$B$4,F:F)),1,0)</f>
        <v>0</v>
      </c>
      <c r="L1106" s="14">
        <f>IF(ISNUMBER(SEARCH(Лист2!$B$5,I:I)),1,0)+K1106</f>
        <v>0</v>
      </c>
      <c r="M1106" s="3">
        <f ca="1">IF(AND(N1106&lt;&gt;N1105,ISNUMBER(SEARCH(Лист2!$B$6,N:N)),L1106=2),MAX($M$3:OFFSET(M1106,-1,0))+1,0)</f>
        <v>0</v>
      </c>
      <c r="N1106" s="3" t="s">
        <v>1162</v>
      </c>
    </row>
    <row r="1107" spans="1:14" x14ac:dyDescent="0.25">
      <c r="A1107" s="1" t="s">
        <v>10643</v>
      </c>
      <c r="B1107" s="3" t="s">
        <v>4731</v>
      </c>
      <c r="C1107" s="2">
        <f ca="1">IF(ISNUMBER(SEARCH(Лист2!$B$4,D:D)),MAX($C$3:OFFSET(C1107,-1,0))+1,0)</f>
        <v>0</v>
      </c>
      <c r="E1107" s="9" t="str">
        <f t="shared" ca="1" si="29"/>
        <v/>
      </c>
      <c r="F1107" s="4" t="s">
        <v>4</v>
      </c>
      <c r="G1107" s="2">
        <f>IF(ISNUMBER(SEARCH(Лист2!$B$4,F:F)),1,0)</f>
        <v>0</v>
      </c>
      <c r="H1107" s="3">
        <f ca="1">IF(AND(I1107&lt;&gt;I1106,ISNUMBER(SEARCH(Лист2!$B$5,I:I)),G1107=1),MAX($H$3:OFFSET(H1107,-1,0))+1,0)</f>
        <v>0</v>
      </c>
      <c r="I1107" s="3" t="s">
        <v>183</v>
      </c>
      <c r="K1107" s="2">
        <f>IF(ISNUMBER(SEARCH(Лист2!$B$4,F:F)),1,0)</f>
        <v>0</v>
      </c>
      <c r="L1107" s="14">
        <f>IF(ISNUMBER(SEARCH(Лист2!$B$5,I:I)),1,0)+K1107</f>
        <v>0</v>
      </c>
      <c r="M1107" s="3">
        <f ca="1">IF(AND(N1107&lt;&gt;N1106,ISNUMBER(SEARCH(Лист2!$B$6,N:N)),L1107=2),MAX($M$3:OFFSET(M1107,-1,0))+1,0)</f>
        <v>0</v>
      </c>
      <c r="N1107" s="3" t="s">
        <v>1163</v>
      </c>
    </row>
    <row r="1108" spans="1:14" x14ac:dyDescent="0.25">
      <c r="A1108" s="1" t="s">
        <v>10644</v>
      </c>
      <c r="B1108" s="3" t="s">
        <v>4732</v>
      </c>
      <c r="C1108" s="2">
        <f ca="1">IF(ISNUMBER(SEARCH(Лист2!$B$4,D:D)),MAX($C$3:OFFSET(C1108,-1,0))+1,0)</f>
        <v>0</v>
      </c>
      <c r="E1108" s="9" t="str">
        <f t="shared" ca="1" si="29"/>
        <v/>
      </c>
      <c r="F1108" s="4" t="s">
        <v>4</v>
      </c>
      <c r="G1108" s="2">
        <f>IF(ISNUMBER(SEARCH(Лист2!$B$4,F:F)),1,0)</f>
        <v>0</v>
      </c>
      <c r="H1108" s="3">
        <f ca="1">IF(AND(I1108&lt;&gt;I1107,ISNUMBER(SEARCH(Лист2!$B$5,I:I)),G1108=1),MAX($H$3:OFFSET(H1108,-1,0))+1,0)</f>
        <v>0</v>
      </c>
      <c r="I1108" s="3" t="s">
        <v>184</v>
      </c>
      <c r="K1108" s="2">
        <f>IF(ISNUMBER(SEARCH(Лист2!$B$4,F:F)),1,0)</f>
        <v>0</v>
      </c>
      <c r="L1108" s="14">
        <f>IF(ISNUMBER(SEARCH(Лист2!$B$5,I:I)),1,0)+K1108</f>
        <v>0</v>
      </c>
      <c r="M1108" s="3">
        <f ca="1">IF(AND(N1108&lt;&gt;N1107,ISNUMBER(SEARCH(Лист2!$B$6,N:N)),L1108=2),MAX($M$3:OFFSET(M1108,-1,0))+1,0)</f>
        <v>0</v>
      </c>
      <c r="N1108" s="3" t="s">
        <v>1164</v>
      </c>
    </row>
    <row r="1109" spans="1:14" x14ac:dyDescent="0.25">
      <c r="A1109" s="1" t="s">
        <v>10645</v>
      </c>
      <c r="B1109" s="3" t="s">
        <v>4733</v>
      </c>
      <c r="C1109" s="2">
        <f ca="1">IF(ISNUMBER(SEARCH(Лист2!$B$4,D:D)),MAX($C$3:OFFSET(C1109,-1,0))+1,0)</f>
        <v>0</v>
      </c>
      <c r="E1109" s="9" t="str">
        <f t="shared" ca="1" si="29"/>
        <v/>
      </c>
      <c r="F1109" s="4" t="s">
        <v>4</v>
      </c>
      <c r="G1109" s="2">
        <f>IF(ISNUMBER(SEARCH(Лист2!$B$4,F:F)),1,0)</f>
        <v>0</v>
      </c>
      <c r="H1109" s="3">
        <f ca="1">IF(AND(I1109&lt;&gt;I1108,ISNUMBER(SEARCH(Лист2!$B$5,I:I)),G1109=1),MAX($H$3:OFFSET(H1109,-1,0))+1,0)</f>
        <v>0</v>
      </c>
      <c r="I1109" s="3" t="s">
        <v>148</v>
      </c>
      <c r="K1109" s="2">
        <f>IF(ISNUMBER(SEARCH(Лист2!$B$4,F:F)),1,0)</f>
        <v>0</v>
      </c>
      <c r="L1109" s="14">
        <f>IF(ISNUMBER(SEARCH(Лист2!$B$5,I:I)),1,0)+K1109</f>
        <v>0</v>
      </c>
      <c r="M1109" s="3">
        <f ca="1">IF(AND(N1109&lt;&gt;N1108,ISNUMBER(SEARCH(Лист2!$B$6,N:N)),L1109=2),MAX($M$3:OFFSET(M1109,-1,0))+1,0)</f>
        <v>0</v>
      </c>
      <c r="N1109" s="3" t="s">
        <v>1165</v>
      </c>
    </row>
    <row r="1110" spans="1:14" x14ac:dyDescent="0.25">
      <c r="A1110" s="1" t="s">
        <v>10646</v>
      </c>
      <c r="B1110" s="3" t="s">
        <v>4734</v>
      </c>
      <c r="C1110" s="2">
        <f ca="1">IF(ISNUMBER(SEARCH(Лист2!$B$4,D:D)),MAX($C$3:OFFSET(C1110,-1,0))+1,0)</f>
        <v>0</v>
      </c>
      <c r="E1110" s="9" t="str">
        <f t="shared" ca="1" si="29"/>
        <v/>
      </c>
      <c r="F1110" s="4" t="s">
        <v>4</v>
      </c>
      <c r="G1110" s="2">
        <f>IF(ISNUMBER(SEARCH(Лист2!$B$4,F:F)),1,0)</f>
        <v>0</v>
      </c>
      <c r="H1110" s="3">
        <f ca="1">IF(AND(I1110&lt;&gt;I1109,ISNUMBER(SEARCH(Лист2!$B$5,I:I)),G1110=1),MAX($H$3:OFFSET(H1110,-1,0))+1,0)</f>
        <v>0</v>
      </c>
      <c r="I1110" s="3" t="s">
        <v>102</v>
      </c>
      <c r="K1110" s="2">
        <f>IF(ISNUMBER(SEARCH(Лист2!$B$4,F:F)),1,0)</f>
        <v>0</v>
      </c>
      <c r="L1110" s="14">
        <f>IF(ISNUMBER(SEARCH(Лист2!$B$5,I:I)),1,0)+K1110</f>
        <v>0</v>
      </c>
      <c r="M1110" s="3">
        <f ca="1">IF(AND(N1110&lt;&gt;N1109,ISNUMBER(SEARCH(Лист2!$B$6,N:N)),L1110=2),MAX($M$3:OFFSET(M1110,-1,0))+1,0)</f>
        <v>0</v>
      </c>
      <c r="N1110" s="3" t="s">
        <v>1166</v>
      </c>
    </row>
    <row r="1111" spans="1:14" x14ac:dyDescent="0.25">
      <c r="A1111" s="1" t="s">
        <v>10647</v>
      </c>
      <c r="B1111" s="3" t="s">
        <v>4735</v>
      </c>
      <c r="C1111" s="2">
        <f ca="1">IF(ISNUMBER(SEARCH(Лист2!$B$4,D:D)),MAX($C$3:OFFSET(C1111,-1,0))+1,0)</f>
        <v>0</v>
      </c>
      <c r="E1111" s="9" t="str">
        <f t="shared" ca="1" si="29"/>
        <v/>
      </c>
      <c r="F1111" s="4" t="s">
        <v>4</v>
      </c>
      <c r="G1111" s="2">
        <f>IF(ISNUMBER(SEARCH(Лист2!$B$4,F:F)),1,0)</f>
        <v>0</v>
      </c>
      <c r="H1111" s="3">
        <f ca="1">IF(AND(I1111&lt;&gt;I1110,ISNUMBER(SEARCH(Лист2!$B$5,I:I)),G1111=1),MAX($H$3:OFFSET(H1111,-1,0))+1,0)</f>
        <v>0</v>
      </c>
      <c r="I1111" s="3" t="s">
        <v>103</v>
      </c>
      <c r="K1111" s="2">
        <f>IF(ISNUMBER(SEARCH(Лист2!$B$4,F:F)),1,0)</f>
        <v>0</v>
      </c>
      <c r="L1111" s="14">
        <f>IF(ISNUMBER(SEARCH(Лист2!$B$5,I:I)),1,0)+K1111</f>
        <v>0</v>
      </c>
      <c r="M1111" s="3">
        <f ca="1">IF(AND(N1111&lt;&gt;N1110,ISNUMBER(SEARCH(Лист2!$B$6,N:N)),L1111=2),MAX($M$3:OFFSET(M1111,-1,0))+1,0)</f>
        <v>0</v>
      </c>
      <c r="N1111" s="3" t="s">
        <v>1167</v>
      </c>
    </row>
    <row r="1112" spans="1:14" x14ac:dyDescent="0.25">
      <c r="A1112" s="1" t="s">
        <v>10648</v>
      </c>
      <c r="B1112" s="3" t="s">
        <v>4736</v>
      </c>
      <c r="C1112" s="2">
        <f ca="1">IF(ISNUMBER(SEARCH(Лист2!$B$4,D:D)),MAX($C$3:OFFSET(C1112,-1,0))+1,0)</f>
        <v>0</v>
      </c>
      <c r="E1112" s="9" t="str">
        <f t="shared" ca="1" si="29"/>
        <v/>
      </c>
      <c r="F1112" s="4" t="s">
        <v>4</v>
      </c>
      <c r="G1112" s="2">
        <f>IF(ISNUMBER(SEARCH(Лист2!$B$4,F:F)),1,0)</f>
        <v>0</v>
      </c>
      <c r="H1112" s="3">
        <f ca="1">IF(AND(I1112&lt;&gt;I1111,ISNUMBER(SEARCH(Лист2!$B$5,I:I)),G1112=1),MAX($H$3:OFFSET(H1112,-1,0))+1,0)</f>
        <v>0</v>
      </c>
      <c r="I1112" s="3" t="s">
        <v>104</v>
      </c>
      <c r="K1112" s="2">
        <f>IF(ISNUMBER(SEARCH(Лист2!$B$4,F:F)),1,0)</f>
        <v>0</v>
      </c>
      <c r="L1112" s="14">
        <f>IF(ISNUMBER(SEARCH(Лист2!$B$5,I:I)),1,0)+K1112</f>
        <v>0</v>
      </c>
      <c r="M1112" s="3">
        <f ca="1">IF(AND(N1112&lt;&gt;N1111,ISNUMBER(SEARCH(Лист2!$B$6,N:N)),L1112=2),MAX($M$3:OFFSET(M1112,-1,0))+1,0)</f>
        <v>0</v>
      </c>
      <c r="N1112" s="3" t="s">
        <v>1168</v>
      </c>
    </row>
    <row r="1113" spans="1:14" x14ac:dyDescent="0.25">
      <c r="A1113" s="1" t="s">
        <v>10649</v>
      </c>
      <c r="B1113" s="3" t="s">
        <v>4737</v>
      </c>
      <c r="C1113" s="2">
        <f ca="1">IF(ISNUMBER(SEARCH(Лист2!$B$4,D:D)),MAX($C$3:OFFSET(C1113,-1,0))+1,0)</f>
        <v>0</v>
      </c>
      <c r="E1113" s="9" t="str">
        <f t="shared" ca="1" si="29"/>
        <v/>
      </c>
      <c r="F1113" s="4" t="s">
        <v>4</v>
      </c>
      <c r="G1113" s="2">
        <f>IF(ISNUMBER(SEARCH(Лист2!$B$4,F:F)),1,0)</f>
        <v>0</v>
      </c>
      <c r="H1113" s="3">
        <f ca="1">IF(AND(I1113&lt;&gt;I1112,ISNUMBER(SEARCH(Лист2!$B$5,I:I)),G1113=1),MAX($H$3:OFFSET(H1113,-1,0))+1,0)</f>
        <v>0</v>
      </c>
      <c r="I1113" s="3" t="s">
        <v>142</v>
      </c>
      <c r="K1113" s="2">
        <f>IF(ISNUMBER(SEARCH(Лист2!$B$4,F:F)),1,0)</f>
        <v>0</v>
      </c>
      <c r="L1113" s="14">
        <f>IF(ISNUMBER(SEARCH(Лист2!$B$5,I:I)),1,0)+K1113</f>
        <v>0</v>
      </c>
      <c r="M1113" s="3">
        <f ca="1">IF(AND(N1113&lt;&gt;N1112,ISNUMBER(SEARCH(Лист2!$B$6,N:N)),L1113=2),MAX($M$3:OFFSET(M1113,-1,0))+1,0)</f>
        <v>0</v>
      </c>
      <c r="N1113" s="3" t="s">
        <v>1169</v>
      </c>
    </row>
    <row r="1114" spans="1:14" x14ac:dyDescent="0.25">
      <c r="A1114" s="1" t="s">
        <v>10650</v>
      </c>
      <c r="B1114" s="3" t="s">
        <v>4738</v>
      </c>
      <c r="C1114" s="2">
        <f ca="1">IF(ISNUMBER(SEARCH(Лист2!$B$4,D:D)),MAX($C$3:OFFSET(C1114,-1,0))+1,0)</f>
        <v>0</v>
      </c>
      <c r="E1114" s="9" t="str">
        <f t="shared" ca="1" si="29"/>
        <v/>
      </c>
      <c r="F1114" s="4" t="s">
        <v>4</v>
      </c>
      <c r="G1114" s="2">
        <f>IF(ISNUMBER(SEARCH(Лист2!$B$4,F:F)),1,0)</f>
        <v>0</v>
      </c>
      <c r="H1114" s="3">
        <f ca="1">IF(AND(I1114&lt;&gt;I1113,ISNUMBER(SEARCH(Лист2!$B$5,I:I)),G1114=1),MAX($H$3:OFFSET(H1114,-1,0))+1,0)</f>
        <v>0</v>
      </c>
      <c r="I1114" s="3" t="s">
        <v>143</v>
      </c>
      <c r="K1114" s="2">
        <f>IF(ISNUMBER(SEARCH(Лист2!$B$4,F:F)),1,0)</f>
        <v>0</v>
      </c>
      <c r="L1114" s="14">
        <f>IF(ISNUMBER(SEARCH(Лист2!$B$5,I:I)),1,0)+K1114</f>
        <v>0</v>
      </c>
      <c r="M1114" s="3">
        <f ca="1">IF(AND(N1114&lt;&gt;N1113,ISNUMBER(SEARCH(Лист2!$B$6,N:N)),L1114=2),MAX($M$3:OFFSET(M1114,-1,0))+1,0)</f>
        <v>0</v>
      </c>
      <c r="N1114" s="3" t="s">
        <v>1170</v>
      </c>
    </row>
    <row r="1115" spans="1:14" x14ac:dyDescent="0.25">
      <c r="A1115" s="1" t="s">
        <v>10651</v>
      </c>
      <c r="B1115" s="3" t="s">
        <v>4739</v>
      </c>
      <c r="C1115" s="2">
        <f ca="1">IF(ISNUMBER(SEARCH(Лист2!$B$4,D:D)),MAX($C$3:OFFSET(C1115,-1,0))+1,0)</f>
        <v>0</v>
      </c>
      <c r="E1115" s="9" t="str">
        <f t="shared" ca="1" si="29"/>
        <v/>
      </c>
      <c r="F1115" s="4" t="s">
        <v>4</v>
      </c>
      <c r="G1115" s="2">
        <f>IF(ISNUMBER(SEARCH(Лист2!$B$4,F:F)),1,0)</f>
        <v>0</v>
      </c>
      <c r="H1115" s="3">
        <f ca="1">IF(AND(I1115&lt;&gt;I1114,ISNUMBER(SEARCH(Лист2!$B$5,I:I)),G1115=1),MAX($H$3:OFFSET(H1115,-1,0))+1,0)</f>
        <v>0</v>
      </c>
      <c r="I1115" s="3" t="s">
        <v>144</v>
      </c>
      <c r="K1115" s="2">
        <f>IF(ISNUMBER(SEARCH(Лист2!$B$4,F:F)),1,0)</f>
        <v>0</v>
      </c>
      <c r="L1115" s="14">
        <f>IF(ISNUMBER(SEARCH(Лист2!$B$5,I:I)),1,0)+K1115</f>
        <v>1</v>
      </c>
      <c r="M1115" s="3">
        <f ca="1">IF(AND(N1115&lt;&gt;N1114,ISNUMBER(SEARCH(Лист2!$B$6,N:N)),L1115=2),MAX($M$3:OFFSET(M1115,-1,0))+1,0)</f>
        <v>0</v>
      </c>
      <c r="N1115" s="3" t="s">
        <v>1171</v>
      </c>
    </row>
    <row r="1116" spans="1:14" x14ac:dyDescent="0.25">
      <c r="A1116" s="1" t="s">
        <v>10652</v>
      </c>
      <c r="B1116" s="3" t="s">
        <v>4740</v>
      </c>
      <c r="C1116" s="2">
        <f ca="1">IF(ISNUMBER(SEARCH(Лист2!$B$4,D:D)),MAX($C$3:OFFSET(C1116,-1,0))+1,0)</f>
        <v>0</v>
      </c>
      <c r="E1116" s="9" t="str">
        <f t="shared" ca="1" si="29"/>
        <v/>
      </c>
      <c r="F1116" s="4" t="s">
        <v>4</v>
      </c>
      <c r="G1116" s="2">
        <f>IF(ISNUMBER(SEARCH(Лист2!$B$4,F:F)),1,0)</f>
        <v>0</v>
      </c>
      <c r="H1116" s="3">
        <f ca="1">IF(AND(I1116&lt;&gt;I1115,ISNUMBER(SEARCH(Лист2!$B$5,I:I)),G1116=1),MAX($H$3:OFFSET(H1116,-1,0))+1,0)</f>
        <v>0</v>
      </c>
      <c r="I1116" s="3" t="s">
        <v>99</v>
      </c>
      <c r="K1116" s="2">
        <f>IF(ISNUMBER(SEARCH(Лист2!$B$4,F:F)),1,0)</f>
        <v>0</v>
      </c>
      <c r="L1116" s="14">
        <f>IF(ISNUMBER(SEARCH(Лист2!$B$5,I:I)),1,0)+K1116</f>
        <v>0</v>
      </c>
      <c r="M1116" s="3">
        <f ca="1">IF(AND(N1116&lt;&gt;N1115,ISNUMBER(SEARCH(Лист2!$B$6,N:N)),L1116=2),MAX($M$3:OFFSET(M1116,-1,0))+1,0)</f>
        <v>0</v>
      </c>
      <c r="N1116" s="3" t="s">
        <v>1172</v>
      </c>
    </row>
    <row r="1117" spans="1:14" x14ac:dyDescent="0.25">
      <c r="A1117" s="1" t="s">
        <v>10653</v>
      </c>
      <c r="B1117" s="3" t="s">
        <v>4741</v>
      </c>
      <c r="C1117" s="2">
        <f ca="1">IF(ISNUMBER(SEARCH(Лист2!$B$4,D:D)),MAX($C$3:OFFSET(C1117,-1,0))+1,0)</f>
        <v>0</v>
      </c>
      <c r="E1117" s="9" t="str">
        <f t="shared" ca="1" si="29"/>
        <v/>
      </c>
      <c r="F1117" s="4" t="s">
        <v>4</v>
      </c>
      <c r="G1117" s="2">
        <f>IF(ISNUMBER(SEARCH(Лист2!$B$4,F:F)),1,0)</f>
        <v>0</v>
      </c>
      <c r="H1117" s="3">
        <f ca="1">IF(AND(I1117&lt;&gt;I1116,ISNUMBER(SEARCH(Лист2!$B$5,I:I)),G1117=1),MAX($H$3:OFFSET(H1117,-1,0))+1,0)</f>
        <v>0</v>
      </c>
      <c r="I1117" s="3" t="s">
        <v>100</v>
      </c>
      <c r="K1117" s="2">
        <f>IF(ISNUMBER(SEARCH(Лист2!$B$4,F:F)),1,0)</f>
        <v>0</v>
      </c>
      <c r="L1117" s="14">
        <f>IF(ISNUMBER(SEARCH(Лист2!$B$5,I:I)),1,0)+K1117</f>
        <v>0</v>
      </c>
      <c r="M1117" s="3">
        <f ca="1">IF(AND(N1117&lt;&gt;N1116,ISNUMBER(SEARCH(Лист2!$B$6,N:N)),L1117=2),MAX($M$3:OFFSET(M1117,-1,0))+1,0)</f>
        <v>0</v>
      </c>
      <c r="N1117" s="3" t="s">
        <v>1172</v>
      </c>
    </row>
    <row r="1118" spans="1:14" x14ac:dyDescent="0.25">
      <c r="A1118" s="1" t="s">
        <v>10654</v>
      </c>
      <c r="B1118" s="3" t="s">
        <v>4742</v>
      </c>
      <c r="C1118" s="2">
        <f ca="1">IF(ISNUMBER(SEARCH(Лист2!$B$4,D:D)),MAX($C$3:OFFSET(C1118,-1,0))+1,0)</f>
        <v>0</v>
      </c>
      <c r="E1118" s="9" t="str">
        <f t="shared" ca="1" si="29"/>
        <v/>
      </c>
      <c r="F1118" s="4" t="s">
        <v>4</v>
      </c>
      <c r="G1118" s="2">
        <f>IF(ISNUMBER(SEARCH(Лист2!$B$4,F:F)),1,0)</f>
        <v>0</v>
      </c>
      <c r="H1118" s="3">
        <f ca="1">IF(AND(I1118&lt;&gt;I1117,ISNUMBER(SEARCH(Лист2!$B$5,I:I)),G1118=1),MAX($H$3:OFFSET(H1118,-1,0))+1,0)</f>
        <v>0</v>
      </c>
      <c r="I1118" s="3" t="s">
        <v>101</v>
      </c>
      <c r="K1118" s="2">
        <f>IF(ISNUMBER(SEARCH(Лист2!$B$4,F:F)),1,0)</f>
        <v>0</v>
      </c>
      <c r="L1118" s="14">
        <f>IF(ISNUMBER(SEARCH(Лист2!$B$5,I:I)),1,0)+K1118</f>
        <v>0</v>
      </c>
      <c r="M1118" s="3">
        <f ca="1">IF(AND(N1118&lt;&gt;N1117,ISNUMBER(SEARCH(Лист2!$B$6,N:N)),L1118=2),MAX($M$3:OFFSET(M1118,-1,0))+1,0)</f>
        <v>0</v>
      </c>
      <c r="N1118" s="3" t="s">
        <v>1172</v>
      </c>
    </row>
    <row r="1119" spans="1:14" x14ac:dyDescent="0.25">
      <c r="A1119" s="1" t="s">
        <v>10655</v>
      </c>
      <c r="B1119" s="3" t="s">
        <v>4743</v>
      </c>
      <c r="C1119" s="2">
        <f ca="1">IF(ISNUMBER(SEARCH(Лист2!$B$4,D:D)),MAX($C$3:OFFSET(C1119,-1,0))+1,0)</f>
        <v>0</v>
      </c>
      <c r="E1119" s="9" t="str">
        <f t="shared" ca="1" si="29"/>
        <v/>
      </c>
      <c r="F1119" s="4" t="s">
        <v>4</v>
      </c>
      <c r="G1119" s="2">
        <f>IF(ISNUMBER(SEARCH(Лист2!$B$4,F:F)),1,0)</f>
        <v>0</v>
      </c>
      <c r="H1119" s="3">
        <f ca="1">IF(AND(I1119&lt;&gt;I1118,ISNUMBER(SEARCH(Лист2!$B$5,I:I)),G1119=1),MAX($H$3:OFFSET(H1119,-1,0))+1,0)</f>
        <v>0</v>
      </c>
      <c r="I1119" s="3" t="s">
        <v>140</v>
      </c>
      <c r="K1119" s="2">
        <f>IF(ISNUMBER(SEARCH(Лист2!$B$4,F:F)),1,0)</f>
        <v>0</v>
      </c>
      <c r="L1119" s="14">
        <f>IF(ISNUMBER(SEARCH(Лист2!$B$5,I:I)),1,0)+K1119</f>
        <v>0</v>
      </c>
      <c r="M1119" s="3">
        <f ca="1">IF(AND(N1119&lt;&gt;N1118,ISNUMBER(SEARCH(Лист2!$B$6,N:N)),L1119=2),MAX($M$3:OFFSET(M1119,-1,0))+1,0)</f>
        <v>0</v>
      </c>
      <c r="N1119" s="3" t="s">
        <v>1173</v>
      </c>
    </row>
    <row r="1120" spans="1:14" x14ac:dyDescent="0.25">
      <c r="A1120" s="1" t="s">
        <v>10656</v>
      </c>
      <c r="B1120" s="3" t="s">
        <v>4744</v>
      </c>
      <c r="C1120" s="2">
        <f ca="1">IF(ISNUMBER(SEARCH(Лист2!$B$4,D:D)),MAX($C$3:OFFSET(C1120,-1,0))+1,0)</f>
        <v>0</v>
      </c>
      <c r="E1120" s="9" t="str">
        <f t="shared" ca="1" si="29"/>
        <v/>
      </c>
      <c r="F1120" s="4" t="s">
        <v>4</v>
      </c>
      <c r="G1120" s="2">
        <f>IF(ISNUMBER(SEARCH(Лист2!$B$4,F:F)),1,0)</f>
        <v>0</v>
      </c>
      <c r="H1120" s="3">
        <f ca="1">IF(AND(I1120&lt;&gt;I1119,ISNUMBER(SEARCH(Лист2!$B$5,I:I)),G1120=1),MAX($H$3:OFFSET(H1120,-1,0))+1,0)</f>
        <v>0</v>
      </c>
      <c r="I1120" s="3" t="s">
        <v>141</v>
      </c>
      <c r="K1120" s="2">
        <f>IF(ISNUMBER(SEARCH(Лист2!$B$4,F:F)),1,0)</f>
        <v>0</v>
      </c>
      <c r="L1120" s="14">
        <f>IF(ISNUMBER(SEARCH(Лист2!$B$5,I:I)),1,0)+K1120</f>
        <v>0</v>
      </c>
      <c r="M1120" s="3">
        <f ca="1">IF(AND(N1120&lt;&gt;N1119,ISNUMBER(SEARCH(Лист2!$B$6,N:N)),L1120=2),MAX($M$3:OFFSET(M1120,-1,0))+1,0)</f>
        <v>0</v>
      </c>
      <c r="N1120" s="3" t="s">
        <v>1173</v>
      </c>
    </row>
    <row r="1121" spans="1:14" x14ac:dyDescent="0.25">
      <c r="A1121" s="1" t="s">
        <v>10657</v>
      </c>
      <c r="B1121" s="3" t="s">
        <v>4745</v>
      </c>
      <c r="C1121" s="2">
        <f ca="1">IF(ISNUMBER(SEARCH(Лист2!$B$4,D:D)),MAX($C$3:OFFSET(C1121,-1,0))+1,0)</f>
        <v>0</v>
      </c>
      <c r="E1121" s="9" t="str">
        <f t="shared" ca="1" si="29"/>
        <v/>
      </c>
      <c r="F1121" s="4" t="s">
        <v>4</v>
      </c>
      <c r="G1121" s="2">
        <f>IF(ISNUMBER(SEARCH(Лист2!$B$4,F:F)),1,0)</f>
        <v>0</v>
      </c>
      <c r="H1121" s="3">
        <f ca="1">IF(AND(I1121&lt;&gt;I1120,ISNUMBER(SEARCH(Лист2!$B$5,I:I)),G1121=1),MAX($H$3:OFFSET(H1121,-1,0))+1,0)</f>
        <v>0</v>
      </c>
      <c r="I1121" s="3" t="s">
        <v>139</v>
      </c>
      <c r="K1121" s="2">
        <f>IF(ISNUMBER(SEARCH(Лист2!$B$4,F:F)),1,0)</f>
        <v>0</v>
      </c>
      <c r="L1121" s="14">
        <f>IF(ISNUMBER(SEARCH(Лист2!$B$5,I:I)),1,0)+K1121</f>
        <v>0</v>
      </c>
      <c r="M1121" s="3">
        <f ca="1">IF(AND(N1121&lt;&gt;N1120,ISNUMBER(SEARCH(Лист2!$B$6,N:N)),L1121=2),MAX($M$3:OFFSET(M1121,-1,0))+1,0)</f>
        <v>0</v>
      </c>
      <c r="N1121" s="3" t="s">
        <v>1173</v>
      </c>
    </row>
    <row r="1122" spans="1:14" x14ac:dyDescent="0.25">
      <c r="A1122" s="1" t="s">
        <v>10658</v>
      </c>
      <c r="B1122" s="3" t="s">
        <v>4746</v>
      </c>
      <c r="C1122" s="2">
        <f ca="1">IF(ISNUMBER(SEARCH(Лист2!$B$4,D:D)),MAX($C$3:OFFSET(C1122,-1,0))+1,0)</f>
        <v>0</v>
      </c>
      <c r="E1122" s="9" t="str">
        <f t="shared" ca="1" si="29"/>
        <v/>
      </c>
      <c r="F1122" s="4" t="s">
        <v>4</v>
      </c>
      <c r="G1122" s="2">
        <f>IF(ISNUMBER(SEARCH(Лист2!$B$4,F:F)),1,0)</f>
        <v>0</v>
      </c>
      <c r="H1122" s="3">
        <f ca="1">IF(AND(I1122&lt;&gt;I1121,ISNUMBER(SEARCH(Лист2!$B$5,I:I)),G1122=1),MAX($H$3:OFFSET(H1122,-1,0))+1,0)</f>
        <v>0</v>
      </c>
      <c r="I1122" s="3" t="s">
        <v>142</v>
      </c>
      <c r="K1122" s="2">
        <f>IF(ISNUMBER(SEARCH(Лист2!$B$4,F:F)),1,0)</f>
        <v>0</v>
      </c>
      <c r="L1122" s="14">
        <f>IF(ISNUMBER(SEARCH(Лист2!$B$5,I:I)),1,0)+K1122</f>
        <v>0</v>
      </c>
      <c r="M1122" s="3">
        <f ca="1">IF(AND(N1122&lt;&gt;N1121,ISNUMBER(SEARCH(Лист2!$B$6,N:N)),L1122=2),MAX($M$3:OFFSET(M1122,-1,0))+1,0)</f>
        <v>0</v>
      </c>
      <c r="N1122" s="3" t="s">
        <v>1174</v>
      </c>
    </row>
    <row r="1123" spans="1:14" x14ac:dyDescent="0.25">
      <c r="A1123" s="1" t="s">
        <v>10659</v>
      </c>
      <c r="B1123" s="3" t="s">
        <v>4747</v>
      </c>
      <c r="C1123" s="2">
        <f ca="1">IF(ISNUMBER(SEARCH(Лист2!$B$4,D:D)),MAX($C$3:OFFSET(C1123,-1,0))+1,0)</f>
        <v>0</v>
      </c>
      <c r="E1123" s="9" t="str">
        <f t="shared" ca="1" si="29"/>
        <v/>
      </c>
      <c r="F1123" s="4" t="s">
        <v>4</v>
      </c>
      <c r="G1123" s="2">
        <f>IF(ISNUMBER(SEARCH(Лист2!$B$4,F:F)),1,0)</f>
        <v>0</v>
      </c>
      <c r="H1123" s="3">
        <f ca="1">IF(AND(I1123&lt;&gt;I1122,ISNUMBER(SEARCH(Лист2!$B$5,I:I)),G1123=1),MAX($H$3:OFFSET(H1123,-1,0))+1,0)</f>
        <v>0</v>
      </c>
      <c r="I1123" s="3" t="s">
        <v>142</v>
      </c>
      <c r="K1123" s="2">
        <f>IF(ISNUMBER(SEARCH(Лист2!$B$4,F:F)),1,0)</f>
        <v>0</v>
      </c>
      <c r="L1123" s="14">
        <f>IF(ISNUMBER(SEARCH(Лист2!$B$5,I:I)),1,0)+K1123</f>
        <v>0</v>
      </c>
      <c r="M1123" s="3">
        <f ca="1">IF(AND(N1123&lt;&gt;N1122,ISNUMBER(SEARCH(Лист2!$B$6,N:N)),L1123=2),MAX($M$3:OFFSET(M1123,-1,0))+1,0)</f>
        <v>0</v>
      </c>
      <c r="N1123" s="3" t="s">
        <v>1175</v>
      </c>
    </row>
    <row r="1124" spans="1:14" x14ac:dyDescent="0.25">
      <c r="A1124" s="1" t="s">
        <v>10660</v>
      </c>
      <c r="B1124" s="3" t="s">
        <v>4748</v>
      </c>
      <c r="C1124" s="2">
        <f ca="1">IF(ISNUMBER(SEARCH(Лист2!$B$4,D:D)),MAX($C$3:OFFSET(C1124,-1,0))+1,0)</f>
        <v>0</v>
      </c>
      <c r="E1124" s="9" t="str">
        <f t="shared" ca="1" si="29"/>
        <v/>
      </c>
      <c r="F1124" s="4" t="s">
        <v>4</v>
      </c>
      <c r="G1124" s="2">
        <f>IF(ISNUMBER(SEARCH(Лист2!$B$4,F:F)),1,0)</f>
        <v>0</v>
      </c>
      <c r="H1124" s="3">
        <f ca="1">IF(AND(I1124&lt;&gt;I1123,ISNUMBER(SEARCH(Лист2!$B$5,I:I)),G1124=1),MAX($H$3:OFFSET(H1124,-1,0))+1,0)</f>
        <v>0</v>
      </c>
      <c r="I1124" s="3" t="s">
        <v>143</v>
      </c>
      <c r="K1124" s="2">
        <f>IF(ISNUMBER(SEARCH(Лист2!$B$4,F:F)),1,0)</f>
        <v>0</v>
      </c>
      <c r="L1124" s="14">
        <f>IF(ISNUMBER(SEARCH(Лист2!$B$5,I:I)),1,0)+K1124</f>
        <v>0</v>
      </c>
      <c r="M1124" s="3">
        <f ca="1">IF(AND(N1124&lt;&gt;N1123,ISNUMBER(SEARCH(Лист2!$B$6,N:N)),L1124=2),MAX($M$3:OFFSET(M1124,-1,0))+1,0)</f>
        <v>0</v>
      </c>
      <c r="N1124" s="3" t="s">
        <v>1176</v>
      </c>
    </row>
    <row r="1125" spans="1:14" x14ac:dyDescent="0.25">
      <c r="A1125" s="1" t="s">
        <v>10661</v>
      </c>
      <c r="B1125" s="3" t="s">
        <v>4749</v>
      </c>
      <c r="C1125" s="2">
        <f ca="1">IF(ISNUMBER(SEARCH(Лист2!$B$4,D:D)),MAX($C$3:OFFSET(C1125,-1,0))+1,0)</f>
        <v>0</v>
      </c>
      <c r="E1125" s="9" t="str">
        <f t="shared" ca="1" si="29"/>
        <v/>
      </c>
      <c r="F1125" s="4" t="s">
        <v>4</v>
      </c>
      <c r="G1125" s="2">
        <f>IF(ISNUMBER(SEARCH(Лист2!$B$4,F:F)),1,0)</f>
        <v>0</v>
      </c>
      <c r="H1125" s="3">
        <f ca="1">IF(AND(I1125&lt;&gt;I1124,ISNUMBER(SEARCH(Лист2!$B$5,I:I)),G1125=1),MAX($H$3:OFFSET(H1125,-1,0))+1,0)</f>
        <v>0</v>
      </c>
      <c r="I1125" s="3" t="s">
        <v>143</v>
      </c>
      <c r="K1125" s="2">
        <f>IF(ISNUMBER(SEARCH(Лист2!$B$4,F:F)),1,0)</f>
        <v>0</v>
      </c>
      <c r="L1125" s="14">
        <f>IF(ISNUMBER(SEARCH(Лист2!$B$5,I:I)),1,0)+K1125</f>
        <v>0</v>
      </c>
      <c r="M1125" s="3">
        <f ca="1">IF(AND(N1125&lt;&gt;N1124,ISNUMBER(SEARCH(Лист2!$B$6,N:N)),L1125=2),MAX($M$3:OFFSET(M1125,-1,0))+1,0)</f>
        <v>0</v>
      </c>
      <c r="N1125" s="3" t="s">
        <v>1177</v>
      </c>
    </row>
    <row r="1126" spans="1:14" x14ac:dyDescent="0.25">
      <c r="A1126" s="1" t="s">
        <v>10662</v>
      </c>
      <c r="B1126" s="3" t="s">
        <v>4750</v>
      </c>
      <c r="C1126" s="2">
        <f ca="1">IF(ISNUMBER(SEARCH(Лист2!$B$4,D:D)),MAX($C$3:OFFSET(C1126,-1,0))+1,0)</f>
        <v>0</v>
      </c>
      <c r="E1126" s="9" t="str">
        <f t="shared" ca="1" si="29"/>
        <v/>
      </c>
      <c r="F1126" s="4" t="s">
        <v>4</v>
      </c>
      <c r="G1126" s="2">
        <f>IF(ISNUMBER(SEARCH(Лист2!$B$4,F:F)),1,0)</f>
        <v>0</v>
      </c>
      <c r="H1126" s="3">
        <f ca="1">IF(AND(I1126&lt;&gt;I1125,ISNUMBER(SEARCH(Лист2!$B$5,I:I)),G1126=1),MAX($H$3:OFFSET(H1126,-1,0))+1,0)</f>
        <v>0</v>
      </c>
      <c r="I1126" s="3" t="s">
        <v>144</v>
      </c>
      <c r="K1126" s="2">
        <f>IF(ISNUMBER(SEARCH(Лист2!$B$4,F:F)),1,0)</f>
        <v>0</v>
      </c>
      <c r="L1126" s="14">
        <f>IF(ISNUMBER(SEARCH(Лист2!$B$5,I:I)),1,0)+K1126</f>
        <v>1</v>
      </c>
      <c r="M1126" s="3">
        <f ca="1">IF(AND(N1126&lt;&gt;N1125,ISNUMBER(SEARCH(Лист2!$B$6,N:N)),L1126=2),MAX($M$3:OFFSET(M1126,-1,0))+1,0)</f>
        <v>0</v>
      </c>
      <c r="N1126" s="3" t="s">
        <v>1178</v>
      </c>
    </row>
    <row r="1127" spans="1:14" x14ac:dyDescent="0.25">
      <c r="A1127" s="1" t="s">
        <v>10663</v>
      </c>
      <c r="B1127" s="3" t="s">
        <v>4751</v>
      </c>
      <c r="C1127" s="2">
        <f ca="1">IF(ISNUMBER(SEARCH(Лист2!$B$4,D:D)),MAX($C$3:OFFSET(C1127,-1,0))+1,0)</f>
        <v>0</v>
      </c>
      <c r="E1127" s="9" t="str">
        <f t="shared" ca="1" si="29"/>
        <v/>
      </c>
      <c r="F1127" s="4" t="s">
        <v>4</v>
      </c>
      <c r="G1127" s="2">
        <f>IF(ISNUMBER(SEARCH(Лист2!$B$4,F:F)),1,0)</f>
        <v>0</v>
      </c>
      <c r="H1127" s="3">
        <f ca="1">IF(AND(I1127&lt;&gt;I1126,ISNUMBER(SEARCH(Лист2!$B$5,I:I)),G1127=1),MAX($H$3:OFFSET(H1127,-1,0))+1,0)</f>
        <v>0</v>
      </c>
      <c r="I1127" s="3" t="s">
        <v>144</v>
      </c>
      <c r="K1127" s="2">
        <f>IF(ISNUMBER(SEARCH(Лист2!$B$4,F:F)),1,0)</f>
        <v>0</v>
      </c>
      <c r="L1127" s="14">
        <f>IF(ISNUMBER(SEARCH(Лист2!$B$5,I:I)),1,0)+K1127</f>
        <v>1</v>
      </c>
      <c r="M1127" s="3">
        <f ca="1">IF(AND(N1127&lt;&gt;N1126,ISNUMBER(SEARCH(Лист2!$B$6,N:N)),L1127=2),MAX($M$3:OFFSET(M1127,-1,0))+1,0)</f>
        <v>0</v>
      </c>
      <c r="N1127" s="3" t="s">
        <v>1179</v>
      </c>
    </row>
    <row r="1128" spans="1:14" x14ac:dyDescent="0.25">
      <c r="A1128" s="1" t="s">
        <v>10664</v>
      </c>
      <c r="B1128" s="3" t="s">
        <v>4752</v>
      </c>
      <c r="C1128" s="2">
        <f ca="1">IF(ISNUMBER(SEARCH(Лист2!$B$4,D:D)),MAX($C$3:OFFSET(C1128,-1,0))+1,0)</f>
        <v>0</v>
      </c>
      <c r="E1128" s="9" t="str">
        <f t="shared" ca="1" si="29"/>
        <v/>
      </c>
      <c r="F1128" s="4" t="s">
        <v>4</v>
      </c>
      <c r="G1128" s="2">
        <f>IF(ISNUMBER(SEARCH(Лист2!$B$4,F:F)),1,0)</f>
        <v>0</v>
      </c>
      <c r="H1128" s="3">
        <f ca="1">IF(AND(I1128&lt;&gt;I1127,ISNUMBER(SEARCH(Лист2!$B$5,I:I)),G1128=1),MAX($H$3:OFFSET(H1128,-1,0))+1,0)</f>
        <v>0</v>
      </c>
      <c r="I1128" s="3" t="s">
        <v>105</v>
      </c>
      <c r="K1128" s="2">
        <f>IF(ISNUMBER(SEARCH(Лист2!$B$4,F:F)),1,0)</f>
        <v>0</v>
      </c>
      <c r="L1128" s="14">
        <f>IF(ISNUMBER(SEARCH(Лист2!$B$5,I:I)),1,0)+K1128</f>
        <v>0</v>
      </c>
      <c r="M1128" s="3">
        <f ca="1">IF(AND(N1128&lt;&gt;N1127,ISNUMBER(SEARCH(Лист2!$B$6,N:N)),L1128=2),MAX($M$3:OFFSET(M1128,-1,0))+1,0)</f>
        <v>0</v>
      </c>
      <c r="N1128" s="3" t="s">
        <v>1180</v>
      </c>
    </row>
    <row r="1129" spans="1:14" x14ac:dyDescent="0.25">
      <c r="A1129" s="1" t="s">
        <v>10665</v>
      </c>
      <c r="B1129" s="3" t="s">
        <v>4753</v>
      </c>
      <c r="C1129" s="2">
        <f ca="1">IF(ISNUMBER(SEARCH(Лист2!$B$4,D:D)),MAX($C$3:OFFSET(C1129,-1,0))+1,0)</f>
        <v>0</v>
      </c>
      <c r="E1129" s="9" t="str">
        <f t="shared" ca="1" si="29"/>
        <v/>
      </c>
      <c r="F1129" s="4" t="s">
        <v>4</v>
      </c>
      <c r="G1129" s="2">
        <f>IF(ISNUMBER(SEARCH(Лист2!$B$4,F:F)),1,0)</f>
        <v>0</v>
      </c>
      <c r="H1129" s="3">
        <f ca="1">IF(AND(I1129&lt;&gt;I1128,ISNUMBER(SEARCH(Лист2!$B$5,I:I)),G1129=1),MAX($H$3:OFFSET(H1129,-1,0))+1,0)</f>
        <v>0</v>
      </c>
      <c r="I1129" s="3" t="s">
        <v>106</v>
      </c>
      <c r="K1129" s="2">
        <f>IF(ISNUMBER(SEARCH(Лист2!$B$4,F:F)),1,0)</f>
        <v>0</v>
      </c>
      <c r="L1129" s="14">
        <f>IF(ISNUMBER(SEARCH(Лист2!$B$5,I:I)),1,0)+K1129</f>
        <v>0</v>
      </c>
      <c r="M1129" s="3">
        <f ca="1">IF(AND(N1129&lt;&gt;N1128,ISNUMBER(SEARCH(Лист2!$B$6,N:N)),L1129=2),MAX($M$3:OFFSET(M1129,-1,0))+1,0)</f>
        <v>0</v>
      </c>
      <c r="N1129" s="3" t="s">
        <v>1181</v>
      </c>
    </row>
    <row r="1130" spans="1:14" x14ac:dyDescent="0.25">
      <c r="A1130" s="1" t="s">
        <v>10666</v>
      </c>
      <c r="B1130" s="3" t="s">
        <v>4754</v>
      </c>
      <c r="C1130" s="2">
        <f ca="1">IF(ISNUMBER(SEARCH(Лист2!$B$4,D:D)),MAX($C$3:OFFSET(C1130,-1,0))+1,0)</f>
        <v>0</v>
      </c>
      <c r="E1130" s="9" t="str">
        <f t="shared" ca="1" si="29"/>
        <v/>
      </c>
      <c r="F1130" s="4" t="s">
        <v>4</v>
      </c>
      <c r="G1130" s="2">
        <f>IF(ISNUMBER(SEARCH(Лист2!$B$4,F:F)),1,0)</f>
        <v>0</v>
      </c>
      <c r="H1130" s="3">
        <f ca="1">IF(AND(I1130&lt;&gt;I1129,ISNUMBER(SEARCH(Лист2!$B$5,I:I)),G1130=1),MAX($H$3:OFFSET(H1130,-1,0))+1,0)</f>
        <v>0</v>
      </c>
      <c r="I1130" s="3" t="s">
        <v>105</v>
      </c>
      <c r="K1130" s="2">
        <f>IF(ISNUMBER(SEARCH(Лист2!$B$4,F:F)),1,0)</f>
        <v>0</v>
      </c>
      <c r="L1130" s="14">
        <f>IF(ISNUMBER(SEARCH(Лист2!$B$5,I:I)),1,0)+K1130</f>
        <v>0</v>
      </c>
      <c r="M1130" s="3">
        <f ca="1">IF(AND(N1130&lt;&gt;N1129,ISNUMBER(SEARCH(Лист2!$B$6,N:N)),L1130=2),MAX($M$3:OFFSET(M1130,-1,0))+1,0)</f>
        <v>0</v>
      </c>
      <c r="N1130" s="3" t="s">
        <v>1182</v>
      </c>
    </row>
    <row r="1131" spans="1:14" x14ac:dyDescent="0.25">
      <c r="A1131" s="1" t="s">
        <v>10667</v>
      </c>
      <c r="B1131" s="3" t="s">
        <v>4755</v>
      </c>
      <c r="C1131" s="2">
        <f ca="1">IF(ISNUMBER(SEARCH(Лист2!$B$4,D:D)),MAX($C$3:OFFSET(C1131,-1,0))+1,0)</f>
        <v>0</v>
      </c>
      <c r="E1131" s="9" t="str">
        <f t="shared" ca="1" si="29"/>
        <v/>
      </c>
      <c r="F1131" s="4" t="s">
        <v>4</v>
      </c>
      <c r="G1131" s="2">
        <f>IF(ISNUMBER(SEARCH(Лист2!$B$4,F:F)),1,0)</f>
        <v>0</v>
      </c>
      <c r="H1131" s="3">
        <f ca="1">IF(AND(I1131&lt;&gt;I1130,ISNUMBER(SEARCH(Лист2!$B$5,I:I)),G1131=1),MAX($H$3:OFFSET(H1131,-1,0))+1,0)</f>
        <v>0</v>
      </c>
      <c r="I1131" s="3" t="s">
        <v>106</v>
      </c>
      <c r="K1131" s="2">
        <f>IF(ISNUMBER(SEARCH(Лист2!$B$4,F:F)),1,0)</f>
        <v>0</v>
      </c>
      <c r="L1131" s="14">
        <f>IF(ISNUMBER(SEARCH(Лист2!$B$5,I:I)),1,0)+K1131</f>
        <v>0</v>
      </c>
      <c r="M1131" s="3">
        <f ca="1">IF(AND(N1131&lt;&gt;N1130,ISNUMBER(SEARCH(Лист2!$B$6,N:N)),L1131=2),MAX($M$3:OFFSET(M1131,-1,0))+1,0)</f>
        <v>0</v>
      </c>
      <c r="N1131" s="3" t="s">
        <v>1183</v>
      </c>
    </row>
    <row r="1132" spans="1:14" x14ac:dyDescent="0.25">
      <c r="A1132" s="1" t="s">
        <v>10668</v>
      </c>
      <c r="B1132" s="3" t="s">
        <v>4756</v>
      </c>
      <c r="C1132" s="2">
        <f ca="1">IF(ISNUMBER(SEARCH(Лист2!$B$4,D:D)),MAX($C$3:OFFSET(C1132,-1,0))+1,0)</f>
        <v>0</v>
      </c>
      <c r="E1132" s="9" t="str">
        <f t="shared" ca="1" si="29"/>
        <v/>
      </c>
      <c r="F1132" s="4" t="s">
        <v>4</v>
      </c>
      <c r="G1132" s="2">
        <f>IF(ISNUMBER(SEARCH(Лист2!$B$4,F:F)),1,0)</f>
        <v>0</v>
      </c>
      <c r="H1132" s="3">
        <f ca="1">IF(AND(I1132&lt;&gt;I1131,ISNUMBER(SEARCH(Лист2!$B$5,I:I)),G1132=1),MAX($H$3:OFFSET(H1132,-1,0))+1,0)</f>
        <v>0</v>
      </c>
      <c r="I1132" s="3" t="s">
        <v>99</v>
      </c>
      <c r="K1132" s="2">
        <f>IF(ISNUMBER(SEARCH(Лист2!$B$4,F:F)),1,0)</f>
        <v>0</v>
      </c>
      <c r="L1132" s="14">
        <f>IF(ISNUMBER(SEARCH(Лист2!$B$5,I:I)),1,0)+K1132</f>
        <v>0</v>
      </c>
      <c r="M1132" s="3">
        <f ca="1">IF(AND(N1132&lt;&gt;N1131,ISNUMBER(SEARCH(Лист2!$B$6,N:N)),L1132=2),MAX($M$3:OFFSET(M1132,-1,0))+1,0)</f>
        <v>0</v>
      </c>
      <c r="N1132" s="3" t="s">
        <v>1184</v>
      </c>
    </row>
    <row r="1133" spans="1:14" x14ac:dyDescent="0.25">
      <c r="A1133" s="1" t="s">
        <v>10669</v>
      </c>
      <c r="B1133" s="3" t="s">
        <v>4757</v>
      </c>
      <c r="C1133" s="2">
        <f ca="1">IF(ISNUMBER(SEARCH(Лист2!$B$4,D:D)),MAX($C$3:OFFSET(C1133,-1,0))+1,0)</f>
        <v>0</v>
      </c>
      <c r="E1133" s="9" t="str">
        <f t="shared" ca="1" si="29"/>
        <v/>
      </c>
      <c r="F1133" s="4" t="s">
        <v>4</v>
      </c>
      <c r="G1133" s="2">
        <f>IF(ISNUMBER(SEARCH(Лист2!$B$4,F:F)),1,0)</f>
        <v>0</v>
      </c>
      <c r="H1133" s="3">
        <f ca="1">IF(AND(I1133&lt;&gt;I1132,ISNUMBER(SEARCH(Лист2!$B$5,I:I)),G1133=1),MAX($H$3:OFFSET(H1133,-1,0))+1,0)</f>
        <v>0</v>
      </c>
      <c r="I1133" s="3" t="s">
        <v>100</v>
      </c>
      <c r="K1133" s="2">
        <f>IF(ISNUMBER(SEARCH(Лист2!$B$4,F:F)),1,0)</f>
        <v>0</v>
      </c>
      <c r="L1133" s="14">
        <f>IF(ISNUMBER(SEARCH(Лист2!$B$5,I:I)),1,0)+K1133</f>
        <v>0</v>
      </c>
      <c r="M1133" s="3">
        <f ca="1">IF(AND(N1133&lt;&gt;N1132,ISNUMBER(SEARCH(Лист2!$B$6,N:N)),L1133=2),MAX($M$3:OFFSET(M1133,-1,0))+1,0)</f>
        <v>0</v>
      </c>
      <c r="N1133" s="3" t="s">
        <v>1185</v>
      </c>
    </row>
    <row r="1134" spans="1:14" x14ac:dyDescent="0.25">
      <c r="A1134" s="1" t="s">
        <v>10670</v>
      </c>
      <c r="B1134" s="3" t="s">
        <v>4758</v>
      </c>
      <c r="C1134" s="2">
        <f ca="1">IF(ISNUMBER(SEARCH(Лист2!$B$4,D:D)),MAX($C$3:OFFSET(C1134,-1,0))+1,0)</f>
        <v>0</v>
      </c>
      <c r="E1134" s="9" t="str">
        <f t="shared" ca="1" si="29"/>
        <v/>
      </c>
      <c r="F1134" s="4" t="s">
        <v>4</v>
      </c>
      <c r="G1134" s="2">
        <f>IF(ISNUMBER(SEARCH(Лист2!$B$4,F:F)),1,0)</f>
        <v>0</v>
      </c>
      <c r="H1134" s="3">
        <f ca="1">IF(AND(I1134&lt;&gt;I1133,ISNUMBER(SEARCH(Лист2!$B$5,I:I)),G1134=1),MAX($H$3:OFFSET(H1134,-1,0))+1,0)</f>
        <v>0</v>
      </c>
      <c r="I1134" s="3" t="s">
        <v>101</v>
      </c>
      <c r="K1134" s="2">
        <f>IF(ISNUMBER(SEARCH(Лист2!$B$4,F:F)),1,0)</f>
        <v>0</v>
      </c>
      <c r="L1134" s="14">
        <f>IF(ISNUMBER(SEARCH(Лист2!$B$5,I:I)),1,0)+K1134</f>
        <v>0</v>
      </c>
      <c r="M1134" s="3">
        <f ca="1">IF(AND(N1134&lt;&gt;N1133,ISNUMBER(SEARCH(Лист2!$B$6,N:N)),L1134=2),MAX($M$3:OFFSET(M1134,-1,0))+1,0)</f>
        <v>0</v>
      </c>
      <c r="N1134" s="3" t="s">
        <v>1186</v>
      </c>
    </row>
    <row r="1135" spans="1:14" x14ac:dyDescent="0.25">
      <c r="A1135" s="1" t="s">
        <v>10671</v>
      </c>
      <c r="B1135" s="3" t="s">
        <v>4759</v>
      </c>
      <c r="C1135" s="2">
        <f ca="1">IF(ISNUMBER(SEARCH(Лист2!$B$4,D:D)),MAX($C$3:OFFSET(C1135,-1,0))+1,0)</f>
        <v>0</v>
      </c>
      <c r="E1135" s="9" t="str">
        <f t="shared" ca="1" si="29"/>
        <v/>
      </c>
      <c r="F1135" s="4" t="s">
        <v>4</v>
      </c>
      <c r="G1135" s="2">
        <f>IF(ISNUMBER(SEARCH(Лист2!$B$4,F:F)),1,0)</f>
        <v>0</v>
      </c>
      <c r="H1135" s="3">
        <f ca="1">IF(AND(I1135&lt;&gt;I1134,ISNUMBER(SEARCH(Лист2!$B$5,I:I)),G1135=1),MAX($H$3:OFFSET(H1135,-1,0))+1,0)</f>
        <v>0</v>
      </c>
      <c r="I1135" s="3" t="s">
        <v>102</v>
      </c>
      <c r="K1135" s="2">
        <f>IF(ISNUMBER(SEARCH(Лист2!$B$4,F:F)),1,0)</f>
        <v>0</v>
      </c>
      <c r="L1135" s="14">
        <f>IF(ISNUMBER(SEARCH(Лист2!$B$5,I:I)),1,0)+K1135</f>
        <v>0</v>
      </c>
      <c r="M1135" s="3">
        <f ca="1">IF(AND(N1135&lt;&gt;N1134,ISNUMBER(SEARCH(Лист2!$B$6,N:N)),L1135=2),MAX($M$3:OFFSET(M1135,-1,0))+1,0)</f>
        <v>0</v>
      </c>
      <c r="N1135" s="3" t="s">
        <v>1187</v>
      </c>
    </row>
    <row r="1136" spans="1:14" x14ac:dyDescent="0.25">
      <c r="A1136" s="1" t="s">
        <v>10672</v>
      </c>
      <c r="B1136" s="3" t="s">
        <v>4760</v>
      </c>
      <c r="C1136" s="2">
        <f ca="1">IF(ISNUMBER(SEARCH(Лист2!$B$4,D:D)),MAX($C$3:OFFSET(C1136,-1,0))+1,0)</f>
        <v>0</v>
      </c>
      <c r="E1136" s="9" t="str">
        <f t="shared" ca="1" si="29"/>
        <v/>
      </c>
      <c r="F1136" s="4" t="s">
        <v>4</v>
      </c>
      <c r="G1136" s="2">
        <f>IF(ISNUMBER(SEARCH(Лист2!$B$4,F:F)),1,0)</f>
        <v>0</v>
      </c>
      <c r="H1136" s="3">
        <f ca="1">IF(AND(I1136&lt;&gt;I1135,ISNUMBER(SEARCH(Лист2!$B$5,I:I)),G1136=1),MAX($H$3:OFFSET(H1136,-1,0))+1,0)</f>
        <v>0</v>
      </c>
      <c r="I1136" s="3" t="s">
        <v>104</v>
      </c>
      <c r="K1136" s="2">
        <f>IF(ISNUMBER(SEARCH(Лист2!$B$4,F:F)),1,0)</f>
        <v>0</v>
      </c>
      <c r="L1136" s="14">
        <f>IF(ISNUMBER(SEARCH(Лист2!$B$5,I:I)),1,0)+K1136</f>
        <v>0</v>
      </c>
      <c r="M1136" s="3">
        <f ca="1">IF(AND(N1136&lt;&gt;N1135,ISNUMBER(SEARCH(Лист2!$B$6,N:N)),L1136=2),MAX($M$3:OFFSET(M1136,-1,0))+1,0)</f>
        <v>0</v>
      </c>
      <c r="N1136" s="3" t="s">
        <v>1188</v>
      </c>
    </row>
    <row r="1137" spans="1:14" x14ac:dyDescent="0.25">
      <c r="A1137" s="1" t="s">
        <v>10673</v>
      </c>
      <c r="B1137" s="3" t="s">
        <v>4761</v>
      </c>
      <c r="C1137" s="2">
        <f ca="1">IF(ISNUMBER(SEARCH(Лист2!$B$4,D:D)),MAX($C$3:OFFSET(C1137,-1,0))+1,0)</f>
        <v>0</v>
      </c>
      <c r="E1137" s="9" t="str">
        <f t="shared" ca="1" si="29"/>
        <v/>
      </c>
      <c r="F1137" s="4" t="s">
        <v>4</v>
      </c>
      <c r="G1137" s="2">
        <f>IF(ISNUMBER(SEARCH(Лист2!$B$4,F:F)),1,0)</f>
        <v>0</v>
      </c>
      <c r="H1137" s="3">
        <f ca="1">IF(AND(I1137&lt;&gt;I1136,ISNUMBER(SEARCH(Лист2!$B$5,I:I)),G1137=1),MAX($H$3:OFFSET(H1137,-1,0))+1,0)</f>
        <v>0</v>
      </c>
      <c r="I1137" s="3" t="s">
        <v>145</v>
      </c>
      <c r="K1137" s="2">
        <f>IF(ISNUMBER(SEARCH(Лист2!$B$4,F:F)),1,0)</f>
        <v>0</v>
      </c>
      <c r="L1137" s="14">
        <f>IF(ISNUMBER(SEARCH(Лист2!$B$5,I:I)),1,0)+K1137</f>
        <v>0</v>
      </c>
      <c r="M1137" s="3">
        <f ca="1">IF(AND(N1137&lt;&gt;N1136,ISNUMBER(SEARCH(Лист2!$B$6,N:N)),L1137=2),MAX($M$3:OFFSET(M1137,-1,0))+1,0)</f>
        <v>0</v>
      </c>
      <c r="N1137" s="3" t="s">
        <v>1189</v>
      </c>
    </row>
    <row r="1138" spans="1:14" x14ac:dyDescent="0.25">
      <c r="A1138" s="1" t="s">
        <v>10674</v>
      </c>
      <c r="B1138" s="3" t="s">
        <v>4762</v>
      </c>
      <c r="C1138" s="2">
        <f ca="1">IF(ISNUMBER(SEARCH(Лист2!$B$4,D:D)),MAX($C$3:OFFSET(C1138,-1,0))+1,0)</f>
        <v>0</v>
      </c>
      <c r="E1138" s="9" t="str">
        <f t="shared" ca="1" si="29"/>
        <v/>
      </c>
      <c r="F1138" s="4" t="s">
        <v>4</v>
      </c>
      <c r="G1138" s="2">
        <f>IF(ISNUMBER(SEARCH(Лист2!$B$4,F:F)),1,0)</f>
        <v>0</v>
      </c>
      <c r="H1138" s="3">
        <f ca="1">IF(AND(I1138&lt;&gt;I1137,ISNUMBER(SEARCH(Лист2!$B$5,I:I)),G1138=1),MAX($H$3:OFFSET(H1138,-1,0))+1,0)</f>
        <v>0</v>
      </c>
      <c r="I1138" s="3" t="s">
        <v>146</v>
      </c>
      <c r="K1138" s="2">
        <f>IF(ISNUMBER(SEARCH(Лист2!$B$4,F:F)),1,0)</f>
        <v>0</v>
      </c>
      <c r="L1138" s="14">
        <f>IF(ISNUMBER(SEARCH(Лист2!$B$5,I:I)),1,0)+K1138</f>
        <v>0</v>
      </c>
      <c r="M1138" s="3">
        <f ca="1">IF(AND(N1138&lt;&gt;N1137,ISNUMBER(SEARCH(Лист2!$B$6,N:N)),L1138=2),MAX($M$3:OFFSET(M1138,-1,0))+1,0)</f>
        <v>0</v>
      </c>
      <c r="N1138" s="3" t="s">
        <v>1190</v>
      </c>
    </row>
    <row r="1139" spans="1:14" x14ac:dyDescent="0.25">
      <c r="A1139" s="1" t="s">
        <v>10675</v>
      </c>
      <c r="B1139" s="3" t="s">
        <v>4763</v>
      </c>
      <c r="C1139" s="2">
        <f ca="1">IF(ISNUMBER(SEARCH(Лист2!$B$4,D:D)),MAX($C$3:OFFSET(C1139,-1,0))+1,0)</f>
        <v>0</v>
      </c>
      <c r="E1139" s="9" t="str">
        <f t="shared" ca="1" si="29"/>
        <v/>
      </c>
      <c r="F1139" s="4" t="s">
        <v>4</v>
      </c>
      <c r="G1139" s="2">
        <f>IF(ISNUMBER(SEARCH(Лист2!$B$4,F:F)),1,0)</f>
        <v>0</v>
      </c>
      <c r="H1139" s="3">
        <f ca="1">IF(AND(I1139&lt;&gt;I1138,ISNUMBER(SEARCH(Лист2!$B$5,I:I)),G1139=1),MAX($H$3:OFFSET(H1139,-1,0))+1,0)</f>
        <v>0</v>
      </c>
      <c r="I1139" s="3" t="s">
        <v>147</v>
      </c>
      <c r="K1139" s="2">
        <f>IF(ISNUMBER(SEARCH(Лист2!$B$4,F:F)),1,0)</f>
        <v>0</v>
      </c>
      <c r="L1139" s="14">
        <f>IF(ISNUMBER(SEARCH(Лист2!$B$5,I:I)),1,0)+K1139</f>
        <v>0</v>
      </c>
      <c r="M1139" s="3">
        <f ca="1">IF(AND(N1139&lt;&gt;N1138,ISNUMBER(SEARCH(Лист2!$B$6,N:N)),L1139=2),MAX($M$3:OFFSET(M1139,-1,0))+1,0)</f>
        <v>0</v>
      </c>
      <c r="N1139" s="3" t="s">
        <v>1191</v>
      </c>
    </row>
    <row r="1140" spans="1:14" x14ac:dyDescent="0.25">
      <c r="A1140" s="1" t="s">
        <v>10676</v>
      </c>
      <c r="B1140" s="3" t="s">
        <v>4764</v>
      </c>
      <c r="C1140" s="2">
        <f ca="1">IF(ISNUMBER(SEARCH(Лист2!$B$4,D:D)),MAX($C$3:OFFSET(C1140,-1,0))+1,0)</f>
        <v>0</v>
      </c>
      <c r="E1140" s="9" t="str">
        <f t="shared" ca="1" si="29"/>
        <v/>
      </c>
      <c r="F1140" s="4" t="s">
        <v>4</v>
      </c>
      <c r="G1140" s="2">
        <f>IF(ISNUMBER(SEARCH(Лист2!$B$4,F:F)),1,0)</f>
        <v>0</v>
      </c>
      <c r="H1140" s="3">
        <f ca="1">IF(AND(I1140&lt;&gt;I1139,ISNUMBER(SEARCH(Лист2!$B$5,I:I)),G1140=1),MAX($H$3:OFFSET(H1140,-1,0))+1,0)</f>
        <v>0</v>
      </c>
      <c r="I1140" s="3" t="s">
        <v>151</v>
      </c>
      <c r="K1140" s="2">
        <f>IF(ISNUMBER(SEARCH(Лист2!$B$4,F:F)),1,0)</f>
        <v>0</v>
      </c>
      <c r="L1140" s="14">
        <f>IF(ISNUMBER(SEARCH(Лист2!$B$5,I:I)),1,0)+K1140</f>
        <v>0</v>
      </c>
      <c r="M1140" s="3">
        <f ca="1">IF(AND(N1140&lt;&gt;N1139,ISNUMBER(SEARCH(Лист2!$B$6,N:N)),L1140=2),MAX($M$3:OFFSET(M1140,-1,0))+1,0)</f>
        <v>0</v>
      </c>
      <c r="N1140" s="3" t="s">
        <v>1192</v>
      </c>
    </row>
    <row r="1141" spans="1:14" x14ac:dyDescent="0.25">
      <c r="A1141" s="1" t="s">
        <v>10677</v>
      </c>
      <c r="B1141" s="3" t="s">
        <v>4765</v>
      </c>
      <c r="C1141" s="2">
        <f ca="1">IF(ISNUMBER(SEARCH(Лист2!$B$4,D:D)),MAX($C$3:OFFSET(C1141,-1,0))+1,0)</f>
        <v>0</v>
      </c>
      <c r="E1141" s="9" t="str">
        <f t="shared" ca="1" si="29"/>
        <v/>
      </c>
      <c r="F1141" s="4" t="s">
        <v>4</v>
      </c>
      <c r="G1141" s="2">
        <f>IF(ISNUMBER(SEARCH(Лист2!$B$4,F:F)),1,0)</f>
        <v>0</v>
      </c>
      <c r="H1141" s="3">
        <f ca="1">IF(AND(I1141&lt;&gt;I1140,ISNUMBER(SEARCH(Лист2!$B$5,I:I)),G1141=1),MAX($H$3:OFFSET(H1141,-1,0))+1,0)</f>
        <v>0</v>
      </c>
      <c r="I1141" s="3" t="s">
        <v>164</v>
      </c>
      <c r="K1141" s="2">
        <f>IF(ISNUMBER(SEARCH(Лист2!$B$4,F:F)),1,0)</f>
        <v>0</v>
      </c>
      <c r="L1141" s="14">
        <f>IF(ISNUMBER(SEARCH(Лист2!$B$5,I:I)),1,0)+K1141</f>
        <v>0</v>
      </c>
      <c r="M1141" s="3">
        <f ca="1">IF(AND(N1141&lt;&gt;N1140,ISNUMBER(SEARCH(Лист2!$B$6,N:N)),L1141=2),MAX($M$3:OFFSET(M1141,-1,0))+1,0)</f>
        <v>0</v>
      </c>
      <c r="N1141" s="3" t="s">
        <v>1193</v>
      </c>
    </row>
    <row r="1142" spans="1:14" x14ac:dyDescent="0.25">
      <c r="A1142" s="1" t="s">
        <v>10678</v>
      </c>
      <c r="B1142" s="3" t="s">
        <v>4766</v>
      </c>
      <c r="C1142" s="2">
        <f ca="1">IF(ISNUMBER(SEARCH(Лист2!$B$4,D:D)),MAX($C$3:OFFSET(C1142,-1,0))+1,0)</f>
        <v>0</v>
      </c>
      <c r="E1142" s="9" t="str">
        <f t="shared" ca="1" si="29"/>
        <v/>
      </c>
      <c r="F1142" s="4" t="s">
        <v>4</v>
      </c>
      <c r="G1142" s="2">
        <f>IF(ISNUMBER(SEARCH(Лист2!$B$4,F:F)),1,0)</f>
        <v>0</v>
      </c>
      <c r="H1142" s="3">
        <f ca="1">IF(AND(I1142&lt;&gt;I1141,ISNUMBER(SEARCH(Лист2!$B$5,I:I)),G1142=1),MAX($H$3:OFFSET(H1142,-1,0))+1,0)</f>
        <v>0</v>
      </c>
      <c r="I1142" s="3" t="s">
        <v>172</v>
      </c>
      <c r="K1142" s="2">
        <f>IF(ISNUMBER(SEARCH(Лист2!$B$4,F:F)),1,0)</f>
        <v>0</v>
      </c>
      <c r="L1142" s="14">
        <f>IF(ISNUMBER(SEARCH(Лист2!$B$5,I:I)),1,0)+K1142</f>
        <v>0</v>
      </c>
      <c r="M1142" s="3">
        <f ca="1">IF(AND(N1142&lt;&gt;N1141,ISNUMBER(SEARCH(Лист2!$B$6,N:N)),L1142=2),MAX($M$3:OFFSET(M1142,-1,0))+1,0)</f>
        <v>0</v>
      </c>
      <c r="N1142" s="3" t="s">
        <v>1194</v>
      </c>
    </row>
    <row r="1143" spans="1:14" x14ac:dyDescent="0.25">
      <c r="A1143" s="1" t="s">
        <v>10679</v>
      </c>
      <c r="B1143" s="3" t="s">
        <v>4767</v>
      </c>
      <c r="C1143" s="2">
        <f ca="1">IF(ISNUMBER(SEARCH(Лист2!$B$4,D:D)),MAX($C$3:OFFSET(C1143,-1,0))+1,0)</f>
        <v>0</v>
      </c>
      <c r="E1143" s="9" t="str">
        <f t="shared" ca="1" si="29"/>
        <v/>
      </c>
      <c r="F1143" s="4" t="s">
        <v>4</v>
      </c>
      <c r="G1143" s="2">
        <f>IF(ISNUMBER(SEARCH(Лист2!$B$4,F:F)),1,0)</f>
        <v>0</v>
      </c>
      <c r="H1143" s="3">
        <f ca="1">IF(AND(I1143&lt;&gt;I1142,ISNUMBER(SEARCH(Лист2!$B$5,I:I)),G1143=1),MAX($H$3:OFFSET(H1143,-1,0))+1,0)</f>
        <v>0</v>
      </c>
      <c r="I1143" s="3" t="s">
        <v>174</v>
      </c>
      <c r="K1143" s="2">
        <f>IF(ISNUMBER(SEARCH(Лист2!$B$4,F:F)),1,0)</f>
        <v>0</v>
      </c>
      <c r="L1143" s="14">
        <f>IF(ISNUMBER(SEARCH(Лист2!$B$5,I:I)),1,0)+K1143</f>
        <v>0</v>
      </c>
      <c r="M1143" s="3">
        <f ca="1">IF(AND(N1143&lt;&gt;N1142,ISNUMBER(SEARCH(Лист2!$B$6,N:N)),L1143=2),MAX($M$3:OFFSET(M1143,-1,0))+1,0)</f>
        <v>0</v>
      </c>
      <c r="N1143" s="3" t="s">
        <v>1195</v>
      </c>
    </row>
    <row r="1144" spans="1:14" x14ac:dyDescent="0.25">
      <c r="A1144" s="1" t="s">
        <v>10680</v>
      </c>
      <c r="B1144" s="3" t="s">
        <v>4768</v>
      </c>
      <c r="C1144" s="2">
        <f ca="1">IF(ISNUMBER(SEARCH(Лист2!$B$4,D:D)),MAX($C$3:OFFSET(C1144,-1,0))+1,0)</f>
        <v>0</v>
      </c>
      <c r="E1144" s="9" t="str">
        <f t="shared" ca="1" si="29"/>
        <v/>
      </c>
      <c r="F1144" s="4" t="s">
        <v>4</v>
      </c>
      <c r="G1144" s="2">
        <f>IF(ISNUMBER(SEARCH(Лист2!$B$4,F:F)),1,0)</f>
        <v>0</v>
      </c>
      <c r="H1144" s="3">
        <f ca="1">IF(AND(I1144&lt;&gt;I1143,ISNUMBER(SEARCH(Лист2!$B$5,I:I)),G1144=1),MAX($H$3:OFFSET(H1144,-1,0))+1,0)</f>
        <v>0</v>
      </c>
      <c r="I1144" s="3" t="s">
        <v>175</v>
      </c>
      <c r="K1144" s="2">
        <f>IF(ISNUMBER(SEARCH(Лист2!$B$4,F:F)),1,0)</f>
        <v>0</v>
      </c>
      <c r="L1144" s="14">
        <f>IF(ISNUMBER(SEARCH(Лист2!$B$5,I:I)),1,0)+K1144</f>
        <v>0</v>
      </c>
      <c r="M1144" s="3">
        <f ca="1">IF(AND(N1144&lt;&gt;N1143,ISNUMBER(SEARCH(Лист2!$B$6,N:N)),L1144=2),MAX($M$3:OFFSET(M1144,-1,0))+1,0)</f>
        <v>0</v>
      </c>
      <c r="N1144" s="3" t="s">
        <v>1196</v>
      </c>
    </row>
    <row r="1145" spans="1:14" x14ac:dyDescent="0.25">
      <c r="A1145" s="1" t="s">
        <v>10681</v>
      </c>
      <c r="B1145" s="3" t="s">
        <v>4769</v>
      </c>
      <c r="C1145" s="2">
        <f ca="1">IF(ISNUMBER(SEARCH(Лист2!$B$4,D:D)),MAX($C$3:OFFSET(C1145,-1,0))+1,0)</f>
        <v>0</v>
      </c>
      <c r="E1145" s="9" t="str">
        <f t="shared" ca="1" si="29"/>
        <v/>
      </c>
      <c r="F1145" s="4" t="s">
        <v>4</v>
      </c>
      <c r="G1145" s="2">
        <f>IF(ISNUMBER(SEARCH(Лист2!$B$4,F:F)),1,0)</f>
        <v>0</v>
      </c>
      <c r="H1145" s="3">
        <f ca="1">IF(AND(I1145&lt;&gt;I1144,ISNUMBER(SEARCH(Лист2!$B$5,I:I)),G1145=1),MAX($H$3:OFFSET(H1145,-1,0))+1,0)</f>
        <v>0</v>
      </c>
      <c r="I1145" s="3" t="s">
        <v>183</v>
      </c>
      <c r="K1145" s="2">
        <f>IF(ISNUMBER(SEARCH(Лист2!$B$4,F:F)),1,0)</f>
        <v>0</v>
      </c>
      <c r="L1145" s="14">
        <f>IF(ISNUMBER(SEARCH(Лист2!$B$5,I:I)),1,0)+K1145</f>
        <v>0</v>
      </c>
      <c r="M1145" s="3">
        <f ca="1">IF(AND(N1145&lt;&gt;N1144,ISNUMBER(SEARCH(Лист2!$B$6,N:N)),L1145=2),MAX($M$3:OFFSET(M1145,-1,0))+1,0)</f>
        <v>0</v>
      </c>
      <c r="N1145" s="3" t="s">
        <v>1197</v>
      </c>
    </row>
    <row r="1146" spans="1:14" x14ac:dyDescent="0.25">
      <c r="A1146" s="1" t="s">
        <v>10682</v>
      </c>
      <c r="B1146" s="3" t="s">
        <v>4770</v>
      </c>
      <c r="C1146" s="2">
        <f ca="1">IF(ISNUMBER(SEARCH(Лист2!$B$4,D:D)),MAX($C$3:OFFSET(C1146,-1,0))+1,0)</f>
        <v>0</v>
      </c>
      <c r="E1146" s="9" t="str">
        <f t="shared" ca="1" si="29"/>
        <v/>
      </c>
      <c r="F1146" s="4" t="s">
        <v>4</v>
      </c>
      <c r="G1146" s="2">
        <f>IF(ISNUMBER(SEARCH(Лист2!$B$4,F:F)),1,0)</f>
        <v>0</v>
      </c>
      <c r="H1146" s="3">
        <f ca="1">IF(AND(I1146&lt;&gt;I1145,ISNUMBER(SEARCH(Лист2!$B$5,I:I)),G1146=1),MAX($H$3:OFFSET(H1146,-1,0))+1,0)</f>
        <v>0</v>
      </c>
      <c r="I1146" s="3" t="s">
        <v>184</v>
      </c>
      <c r="K1146" s="2">
        <f>IF(ISNUMBER(SEARCH(Лист2!$B$4,F:F)),1,0)</f>
        <v>0</v>
      </c>
      <c r="L1146" s="14">
        <f>IF(ISNUMBER(SEARCH(Лист2!$B$5,I:I)),1,0)+K1146</f>
        <v>0</v>
      </c>
      <c r="M1146" s="3">
        <f ca="1">IF(AND(N1146&lt;&gt;N1145,ISNUMBER(SEARCH(Лист2!$B$6,N:N)),L1146=2),MAX($M$3:OFFSET(M1146,-1,0))+1,0)</f>
        <v>0</v>
      </c>
      <c r="N1146" s="3" t="s">
        <v>1198</v>
      </c>
    </row>
    <row r="1147" spans="1:14" x14ac:dyDescent="0.25">
      <c r="A1147" s="1" t="s">
        <v>10683</v>
      </c>
      <c r="B1147" s="3" t="s">
        <v>4771</v>
      </c>
      <c r="C1147" s="2">
        <f ca="1">IF(ISNUMBER(SEARCH(Лист2!$B$4,D:D)),MAX($C$3:OFFSET(C1147,-1,0))+1,0)</f>
        <v>0</v>
      </c>
      <c r="E1147" s="9" t="str">
        <f t="shared" ca="1" si="29"/>
        <v/>
      </c>
      <c r="F1147" s="4" t="s">
        <v>4</v>
      </c>
      <c r="G1147" s="2">
        <f>IF(ISNUMBER(SEARCH(Лист2!$B$4,F:F)),1,0)</f>
        <v>0</v>
      </c>
      <c r="H1147" s="3">
        <f ca="1">IF(AND(I1147&lt;&gt;I1146,ISNUMBER(SEARCH(Лист2!$B$5,I:I)),G1147=1),MAX($H$3:OFFSET(H1147,-1,0))+1,0)</f>
        <v>0</v>
      </c>
      <c r="I1147" s="3" t="s">
        <v>177</v>
      </c>
      <c r="K1147" s="2">
        <f>IF(ISNUMBER(SEARCH(Лист2!$B$4,F:F)),1,0)</f>
        <v>0</v>
      </c>
      <c r="L1147" s="14">
        <f>IF(ISNUMBER(SEARCH(Лист2!$B$5,I:I)),1,0)+K1147</f>
        <v>0</v>
      </c>
      <c r="M1147" s="3">
        <f ca="1">IF(AND(N1147&lt;&gt;N1146,ISNUMBER(SEARCH(Лист2!$B$6,N:N)),L1147=2),MAX($M$3:OFFSET(M1147,-1,0))+1,0)</f>
        <v>0</v>
      </c>
      <c r="N1147" s="3" t="s">
        <v>1199</v>
      </c>
    </row>
    <row r="1148" spans="1:14" x14ac:dyDescent="0.25">
      <c r="A1148" s="1" t="s">
        <v>10684</v>
      </c>
      <c r="B1148" s="3" t="s">
        <v>4772</v>
      </c>
      <c r="C1148" s="2">
        <f ca="1">IF(ISNUMBER(SEARCH(Лист2!$B$4,D:D)),MAX($C$3:OFFSET(C1148,-1,0))+1,0)</f>
        <v>0</v>
      </c>
      <c r="E1148" s="9" t="str">
        <f t="shared" ca="1" si="29"/>
        <v/>
      </c>
      <c r="F1148" s="4" t="s">
        <v>4</v>
      </c>
      <c r="G1148" s="2">
        <f>IF(ISNUMBER(SEARCH(Лист2!$B$4,F:F)),1,0)</f>
        <v>0</v>
      </c>
      <c r="H1148" s="3">
        <f ca="1">IF(AND(I1148&lt;&gt;I1147,ISNUMBER(SEARCH(Лист2!$B$5,I:I)),G1148=1),MAX($H$3:OFFSET(H1148,-1,0))+1,0)</f>
        <v>0</v>
      </c>
      <c r="I1148" s="3" t="s">
        <v>148</v>
      </c>
      <c r="K1148" s="2">
        <f>IF(ISNUMBER(SEARCH(Лист2!$B$4,F:F)),1,0)</f>
        <v>0</v>
      </c>
      <c r="L1148" s="14">
        <f>IF(ISNUMBER(SEARCH(Лист2!$B$5,I:I)),1,0)+K1148</f>
        <v>0</v>
      </c>
      <c r="M1148" s="3">
        <f ca="1">IF(AND(N1148&lt;&gt;N1147,ISNUMBER(SEARCH(Лист2!$B$6,N:N)),L1148=2),MAX($M$3:OFFSET(M1148,-1,0))+1,0)</f>
        <v>0</v>
      </c>
      <c r="N1148" s="3" t="s">
        <v>1200</v>
      </c>
    </row>
    <row r="1149" spans="1:14" x14ac:dyDescent="0.25">
      <c r="A1149" s="1" t="s">
        <v>10685</v>
      </c>
      <c r="B1149" s="3" t="s">
        <v>4773</v>
      </c>
      <c r="C1149" s="2">
        <f ca="1">IF(ISNUMBER(SEARCH(Лист2!$B$4,D:D)),MAX($C$3:OFFSET(C1149,-1,0))+1,0)</f>
        <v>0</v>
      </c>
      <c r="E1149" s="9" t="str">
        <f t="shared" ca="1" si="29"/>
        <v/>
      </c>
      <c r="F1149" s="4" t="s">
        <v>4</v>
      </c>
      <c r="G1149" s="2">
        <f>IF(ISNUMBER(SEARCH(Лист2!$B$4,F:F)),1,0)</f>
        <v>0</v>
      </c>
      <c r="H1149" s="3">
        <f ca="1">IF(AND(I1149&lt;&gt;I1148,ISNUMBER(SEARCH(Лист2!$B$5,I:I)),G1149=1),MAX($H$3:OFFSET(H1149,-1,0))+1,0)</f>
        <v>0</v>
      </c>
      <c r="I1149" s="3" t="s">
        <v>149</v>
      </c>
      <c r="K1149" s="2">
        <f>IF(ISNUMBER(SEARCH(Лист2!$B$4,F:F)),1,0)</f>
        <v>0</v>
      </c>
      <c r="L1149" s="14">
        <f>IF(ISNUMBER(SEARCH(Лист2!$B$5,I:I)),1,0)+K1149</f>
        <v>0</v>
      </c>
      <c r="M1149" s="3">
        <f ca="1">IF(AND(N1149&lt;&gt;N1148,ISNUMBER(SEARCH(Лист2!$B$6,N:N)),L1149=2),MAX($M$3:OFFSET(M1149,-1,0))+1,0)</f>
        <v>0</v>
      </c>
      <c r="N1149" s="3" t="s">
        <v>1201</v>
      </c>
    </row>
    <row r="1150" spans="1:14" x14ac:dyDescent="0.25">
      <c r="A1150" s="1" t="s">
        <v>10686</v>
      </c>
      <c r="B1150" s="3" t="s">
        <v>4774</v>
      </c>
      <c r="C1150" s="2">
        <f ca="1">IF(ISNUMBER(SEARCH(Лист2!$B$4,D:D)),MAX($C$3:OFFSET(C1150,-1,0))+1,0)</f>
        <v>0</v>
      </c>
      <c r="E1150" s="9" t="str">
        <f t="shared" ca="1" si="29"/>
        <v/>
      </c>
      <c r="F1150" s="4" t="s">
        <v>4</v>
      </c>
      <c r="G1150" s="2">
        <f>IF(ISNUMBER(SEARCH(Лист2!$B$4,F:F)),1,0)</f>
        <v>0</v>
      </c>
      <c r="H1150" s="3">
        <f ca="1">IF(AND(I1150&lt;&gt;I1149,ISNUMBER(SEARCH(Лист2!$B$5,I:I)),G1150=1),MAX($H$3:OFFSET(H1150,-1,0))+1,0)</f>
        <v>0</v>
      </c>
      <c r="I1150" s="3" t="s">
        <v>150</v>
      </c>
      <c r="K1150" s="2">
        <f>IF(ISNUMBER(SEARCH(Лист2!$B$4,F:F)),1,0)</f>
        <v>0</v>
      </c>
      <c r="L1150" s="14">
        <f>IF(ISNUMBER(SEARCH(Лист2!$B$5,I:I)),1,0)+K1150</f>
        <v>0</v>
      </c>
      <c r="M1150" s="3">
        <f ca="1">IF(AND(N1150&lt;&gt;N1149,ISNUMBER(SEARCH(Лист2!$B$6,N:N)),L1150=2),MAX($M$3:OFFSET(M1150,-1,0))+1,0)</f>
        <v>0</v>
      </c>
      <c r="N1150" s="3" t="s">
        <v>1202</v>
      </c>
    </row>
    <row r="1151" spans="1:14" x14ac:dyDescent="0.25">
      <c r="A1151" s="1" t="s">
        <v>10687</v>
      </c>
      <c r="B1151" s="3" t="s">
        <v>4775</v>
      </c>
      <c r="C1151" s="2">
        <f ca="1">IF(ISNUMBER(SEARCH(Лист2!$B$4,D:D)),MAX($C$3:OFFSET(C1151,-1,0))+1,0)</f>
        <v>0</v>
      </c>
      <c r="E1151" s="9" t="str">
        <f t="shared" ca="1" si="29"/>
        <v/>
      </c>
      <c r="F1151" s="4" t="s">
        <v>4</v>
      </c>
      <c r="G1151" s="2">
        <f>IF(ISNUMBER(SEARCH(Лист2!$B$4,F:F)),1,0)</f>
        <v>0</v>
      </c>
      <c r="H1151" s="3">
        <f ca="1">IF(AND(I1151&lt;&gt;I1150,ISNUMBER(SEARCH(Лист2!$B$5,I:I)),G1151=1),MAX($H$3:OFFSET(H1151,-1,0))+1,0)</f>
        <v>0</v>
      </c>
      <c r="I1151" s="3" t="s">
        <v>152</v>
      </c>
      <c r="K1151" s="2">
        <f>IF(ISNUMBER(SEARCH(Лист2!$B$4,F:F)),1,0)</f>
        <v>0</v>
      </c>
      <c r="L1151" s="14">
        <f>IF(ISNUMBER(SEARCH(Лист2!$B$5,I:I)),1,0)+K1151</f>
        <v>0</v>
      </c>
      <c r="M1151" s="3">
        <f ca="1">IF(AND(N1151&lt;&gt;N1150,ISNUMBER(SEARCH(Лист2!$B$6,N:N)),L1151=2),MAX($M$3:OFFSET(M1151,-1,0))+1,0)</f>
        <v>0</v>
      </c>
      <c r="N1151" s="3" t="s">
        <v>1203</v>
      </c>
    </row>
    <row r="1152" spans="1:14" x14ac:dyDescent="0.25">
      <c r="A1152" s="1" t="s">
        <v>10688</v>
      </c>
      <c r="B1152" s="3" t="s">
        <v>4776</v>
      </c>
      <c r="C1152" s="2">
        <f ca="1">IF(ISNUMBER(SEARCH(Лист2!$B$4,D:D)),MAX($C$3:OFFSET(C1152,-1,0))+1,0)</f>
        <v>0</v>
      </c>
      <c r="E1152" s="9" t="str">
        <f t="shared" ca="1" si="29"/>
        <v/>
      </c>
      <c r="F1152" s="4" t="s">
        <v>4</v>
      </c>
      <c r="G1152" s="2">
        <f>IF(ISNUMBER(SEARCH(Лист2!$B$4,F:F)),1,0)</f>
        <v>0</v>
      </c>
      <c r="H1152" s="3">
        <f ca="1">IF(AND(I1152&lt;&gt;I1151,ISNUMBER(SEARCH(Лист2!$B$5,I:I)),G1152=1),MAX($H$3:OFFSET(H1152,-1,0))+1,0)</f>
        <v>0</v>
      </c>
      <c r="I1152" s="3" t="s">
        <v>153</v>
      </c>
      <c r="K1152" s="2">
        <f>IF(ISNUMBER(SEARCH(Лист2!$B$4,F:F)),1,0)</f>
        <v>0</v>
      </c>
      <c r="L1152" s="14">
        <f>IF(ISNUMBER(SEARCH(Лист2!$B$5,I:I)),1,0)+K1152</f>
        <v>0</v>
      </c>
      <c r="M1152" s="3">
        <f ca="1">IF(AND(N1152&lt;&gt;N1151,ISNUMBER(SEARCH(Лист2!$B$6,N:N)),L1152=2),MAX($M$3:OFFSET(M1152,-1,0))+1,0)</f>
        <v>0</v>
      </c>
      <c r="N1152" s="3" t="s">
        <v>1204</v>
      </c>
    </row>
    <row r="1153" spans="1:14" x14ac:dyDescent="0.25">
      <c r="A1153" s="1" t="s">
        <v>10689</v>
      </c>
      <c r="B1153" s="3" t="s">
        <v>4777</v>
      </c>
      <c r="C1153" s="2">
        <f ca="1">IF(ISNUMBER(SEARCH(Лист2!$B$4,D:D)),MAX($C$3:OFFSET(C1153,-1,0))+1,0)</f>
        <v>0</v>
      </c>
      <c r="E1153" s="9" t="str">
        <f t="shared" ca="1" si="29"/>
        <v/>
      </c>
      <c r="F1153" s="4" t="s">
        <v>4</v>
      </c>
      <c r="G1153" s="2">
        <f>IF(ISNUMBER(SEARCH(Лист2!$B$4,F:F)),1,0)</f>
        <v>0</v>
      </c>
      <c r="H1153" s="3">
        <f ca="1">IF(AND(I1153&lt;&gt;I1152,ISNUMBER(SEARCH(Лист2!$B$5,I:I)),G1153=1),MAX($H$3:OFFSET(H1153,-1,0))+1,0)</f>
        <v>0</v>
      </c>
      <c r="I1153" s="3" t="s">
        <v>148</v>
      </c>
      <c r="K1153" s="2">
        <f>IF(ISNUMBER(SEARCH(Лист2!$B$4,F:F)),1,0)</f>
        <v>0</v>
      </c>
      <c r="L1153" s="14">
        <f>IF(ISNUMBER(SEARCH(Лист2!$B$5,I:I)),1,0)+K1153</f>
        <v>0</v>
      </c>
      <c r="M1153" s="3">
        <f ca="1">IF(AND(N1153&lt;&gt;N1152,ISNUMBER(SEARCH(Лист2!$B$6,N:N)),L1153=2),MAX($M$3:OFFSET(M1153,-1,0))+1,0)</f>
        <v>0</v>
      </c>
      <c r="N1153" s="3" t="s">
        <v>1205</v>
      </c>
    </row>
    <row r="1154" spans="1:14" x14ac:dyDescent="0.25">
      <c r="A1154" s="1" t="s">
        <v>10690</v>
      </c>
      <c r="B1154" s="3" t="s">
        <v>4778</v>
      </c>
      <c r="C1154" s="2">
        <f ca="1">IF(ISNUMBER(SEARCH(Лист2!$B$4,D:D)),MAX($C$3:OFFSET(C1154,-1,0))+1,0)</f>
        <v>0</v>
      </c>
      <c r="E1154" s="9" t="str">
        <f t="shared" ca="1" si="29"/>
        <v/>
      </c>
      <c r="F1154" s="4" t="s">
        <v>4</v>
      </c>
      <c r="G1154" s="2">
        <f>IF(ISNUMBER(SEARCH(Лист2!$B$4,F:F)),1,0)</f>
        <v>0</v>
      </c>
      <c r="H1154" s="3">
        <f ca="1">IF(AND(I1154&lt;&gt;I1153,ISNUMBER(SEARCH(Лист2!$B$5,I:I)),G1154=1),MAX($H$3:OFFSET(H1154,-1,0))+1,0)</f>
        <v>0</v>
      </c>
      <c r="I1154" s="3" t="s">
        <v>157</v>
      </c>
      <c r="K1154" s="2">
        <f>IF(ISNUMBER(SEARCH(Лист2!$B$4,F:F)),1,0)</f>
        <v>0</v>
      </c>
      <c r="L1154" s="14">
        <f>IF(ISNUMBER(SEARCH(Лист2!$B$5,I:I)),1,0)+K1154</f>
        <v>0</v>
      </c>
      <c r="M1154" s="3">
        <f ca="1">IF(AND(N1154&lt;&gt;N1153,ISNUMBER(SEARCH(Лист2!$B$6,N:N)),L1154=2),MAX($M$3:OFFSET(M1154,-1,0))+1,0)</f>
        <v>0</v>
      </c>
      <c r="N1154" s="3" t="s">
        <v>1206</v>
      </c>
    </row>
    <row r="1155" spans="1:14" x14ac:dyDescent="0.25">
      <c r="A1155" s="1" t="s">
        <v>10691</v>
      </c>
      <c r="B1155" s="3" t="s">
        <v>4779</v>
      </c>
      <c r="C1155" s="2">
        <f ca="1">IF(ISNUMBER(SEARCH(Лист2!$B$4,D:D)),MAX($C$3:OFFSET(C1155,-1,0))+1,0)</f>
        <v>0</v>
      </c>
      <c r="E1155" s="9" t="str">
        <f t="shared" ca="1" si="29"/>
        <v/>
      </c>
      <c r="F1155" s="4" t="s">
        <v>4</v>
      </c>
      <c r="G1155" s="2">
        <f>IF(ISNUMBER(SEARCH(Лист2!$B$4,F:F)),1,0)</f>
        <v>0</v>
      </c>
      <c r="H1155" s="3">
        <f ca="1">IF(AND(I1155&lt;&gt;I1154,ISNUMBER(SEARCH(Лист2!$B$5,I:I)),G1155=1),MAX($H$3:OFFSET(H1155,-1,0))+1,0)</f>
        <v>0</v>
      </c>
      <c r="I1155" s="3" t="s">
        <v>158</v>
      </c>
      <c r="K1155" s="2">
        <f>IF(ISNUMBER(SEARCH(Лист2!$B$4,F:F)),1,0)</f>
        <v>0</v>
      </c>
      <c r="L1155" s="14">
        <f>IF(ISNUMBER(SEARCH(Лист2!$B$5,I:I)),1,0)+K1155</f>
        <v>0</v>
      </c>
      <c r="M1155" s="3">
        <f ca="1">IF(AND(N1155&lt;&gt;N1154,ISNUMBER(SEARCH(Лист2!$B$6,N:N)),L1155=2),MAX($M$3:OFFSET(M1155,-1,0))+1,0)</f>
        <v>0</v>
      </c>
      <c r="N1155" s="3" t="s">
        <v>1207</v>
      </c>
    </row>
    <row r="1156" spans="1:14" x14ac:dyDescent="0.25">
      <c r="A1156" s="1" t="s">
        <v>10692</v>
      </c>
      <c r="B1156" s="3" t="s">
        <v>4780</v>
      </c>
      <c r="C1156" s="2">
        <f ca="1">IF(ISNUMBER(SEARCH(Лист2!$B$4,D:D)),MAX($C$3:OFFSET(C1156,-1,0))+1,0)</f>
        <v>0</v>
      </c>
      <c r="E1156" s="9" t="str">
        <f t="shared" ca="1" si="29"/>
        <v/>
      </c>
      <c r="F1156" s="4" t="s">
        <v>4</v>
      </c>
      <c r="G1156" s="2">
        <f>IF(ISNUMBER(SEARCH(Лист2!$B$4,F:F)),1,0)</f>
        <v>0</v>
      </c>
      <c r="H1156" s="3">
        <f ca="1">IF(AND(I1156&lt;&gt;I1155,ISNUMBER(SEARCH(Лист2!$B$5,I:I)),G1156=1),MAX($H$3:OFFSET(H1156,-1,0))+1,0)</f>
        <v>0</v>
      </c>
      <c r="I1156" s="3" t="s">
        <v>159</v>
      </c>
      <c r="K1156" s="2">
        <f>IF(ISNUMBER(SEARCH(Лист2!$B$4,F:F)),1,0)</f>
        <v>0</v>
      </c>
      <c r="L1156" s="14">
        <f>IF(ISNUMBER(SEARCH(Лист2!$B$5,I:I)),1,0)+K1156</f>
        <v>0</v>
      </c>
      <c r="M1156" s="3">
        <f ca="1">IF(AND(N1156&lt;&gt;N1155,ISNUMBER(SEARCH(Лист2!$B$6,N:N)),L1156=2),MAX($M$3:OFFSET(M1156,-1,0))+1,0)</f>
        <v>0</v>
      </c>
      <c r="N1156" s="3" t="s">
        <v>1208</v>
      </c>
    </row>
    <row r="1157" spans="1:14" x14ac:dyDescent="0.25">
      <c r="A1157" s="1" t="s">
        <v>10693</v>
      </c>
      <c r="B1157" s="3" t="s">
        <v>4781</v>
      </c>
      <c r="C1157" s="2">
        <f ca="1">IF(ISNUMBER(SEARCH(Лист2!$B$4,D:D)),MAX($C$3:OFFSET(C1157,-1,0))+1,0)</f>
        <v>0</v>
      </c>
      <c r="E1157" s="9" t="str">
        <f t="shared" ref="E1157:E1220" ca="1" si="30">IFERROR(INDEX(D:D,MATCH(ROW(E1157)-ROW($E$3),C:C,0)),"")</f>
        <v/>
      </c>
      <c r="F1157" s="4" t="s">
        <v>4</v>
      </c>
      <c r="G1157" s="2">
        <f>IF(ISNUMBER(SEARCH(Лист2!$B$4,F:F)),1,0)</f>
        <v>0</v>
      </c>
      <c r="H1157" s="3">
        <f ca="1">IF(AND(I1157&lt;&gt;I1156,ISNUMBER(SEARCH(Лист2!$B$5,I:I)),G1157=1),MAX($H$3:OFFSET(H1157,-1,0))+1,0)</f>
        <v>0</v>
      </c>
      <c r="I1157" s="3" t="s">
        <v>160</v>
      </c>
      <c r="K1157" s="2">
        <f>IF(ISNUMBER(SEARCH(Лист2!$B$4,F:F)),1,0)</f>
        <v>0</v>
      </c>
      <c r="L1157" s="14">
        <f>IF(ISNUMBER(SEARCH(Лист2!$B$5,I:I)),1,0)+K1157</f>
        <v>0</v>
      </c>
      <c r="M1157" s="3">
        <f ca="1">IF(AND(N1157&lt;&gt;N1156,ISNUMBER(SEARCH(Лист2!$B$6,N:N)),L1157=2),MAX($M$3:OFFSET(M1157,-1,0))+1,0)</f>
        <v>0</v>
      </c>
      <c r="N1157" s="3" t="s">
        <v>1209</v>
      </c>
    </row>
    <row r="1158" spans="1:14" x14ac:dyDescent="0.25">
      <c r="A1158" s="1" t="s">
        <v>10694</v>
      </c>
      <c r="B1158" s="3" t="s">
        <v>4782</v>
      </c>
      <c r="C1158" s="2">
        <f ca="1">IF(ISNUMBER(SEARCH(Лист2!$B$4,D:D)),MAX($C$3:OFFSET(C1158,-1,0))+1,0)</f>
        <v>0</v>
      </c>
      <c r="E1158" s="9" t="str">
        <f t="shared" ca="1" si="30"/>
        <v/>
      </c>
      <c r="F1158" s="4" t="s">
        <v>4</v>
      </c>
      <c r="G1158" s="2">
        <f>IF(ISNUMBER(SEARCH(Лист2!$B$4,F:F)),1,0)</f>
        <v>0</v>
      </c>
      <c r="H1158" s="3">
        <f ca="1">IF(AND(I1158&lt;&gt;I1157,ISNUMBER(SEARCH(Лист2!$B$5,I:I)),G1158=1),MAX($H$3:OFFSET(H1158,-1,0))+1,0)</f>
        <v>0</v>
      </c>
      <c r="I1158" s="3" t="s">
        <v>161</v>
      </c>
      <c r="K1158" s="2">
        <f>IF(ISNUMBER(SEARCH(Лист2!$B$4,F:F)),1,0)</f>
        <v>0</v>
      </c>
      <c r="L1158" s="14">
        <f>IF(ISNUMBER(SEARCH(Лист2!$B$5,I:I)),1,0)+K1158</f>
        <v>0</v>
      </c>
      <c r="M1158" s="3">
        <f ca="1">IF(AND(N1158&lt;&gt;N1157,ISNUMBER(SEARCH(Лист2!$B$6,N:N)),L1158=2),MAX($M$3:OFFSET(M1158,-1,0))+1,0)</f>
        <v>0</v>
      </c>
      <c r="N1158" s="3" t="s">
        <v>1210</v>
      </c>
    </row>
    <row r="1159" spans="1:14" x14ac:dyDescent="0.25">
      <c r="A1159" s="1" t="s">
        <v>10695</v>
      </c>
      <c r="B1159" s="3" t="s">
        <v>4783</v>
      </c>
      <c r="C1159" s="2">
        <f ca="1">IF(ISNUMBER(SEARCH(Лист2!$B$4,D:D)),MAX($C$3:OFFSET(C1159,-1,0))+1,0)</f>
        <v>0</v>
      </c>
      <c r="E1159" s="9" t="str">
        <f t="shared" ca="1" si="30"/>
        <v/>
      </c>
      <c r="F1159" s="4" t="s">
        <v>4</v>
      </c>
      <c r="G1159" s="2">
        <f>IF(ISNUMBER(SEARCH(Лист2!$B$4,F:F)),1,0)</f>
        <v>0</v>
      </c>
      <c r="H1159" s="3">
        <f ca="1">IF(AND(I1159&lt;&gt;I1158,ISNUMBER(SEARCH(Лист2!$B$5,I:I)),G1159=1),MAX($H$3:OFFSET(H1159,-1,0))+1,0)</f>
        <v>0</v>
      </c>
      <c r="I1159" s="3" t="s">
        <v>162</v>
      </c>
      <c r="K1159" s="2">
        <f>IF(ISNUMBER(SEARCH(Лист2!$B$4,F:F)),1,0)</f>
        <v>0</v>
      </c>
      <c r="L1159" s="14">
        <f>IF(ISNUMBER(SEARCH(Лист2!$B$5,I:I)),1,0)+K1159</f>
        <v>0</v>
      </c>
      <c r="M1159" s="3">
        <f ca="1">IF(AND(N1159&lt;&gt;N1158,ISNUMBER(SEARCH(Лист2!$B$6,N:N)),L1159=2),MAX($M$3:OFFSET(M1159,-1,0))+1,0)</f>
        <v>0</v>
      </c>
      <c r="N1159" s="3" t="s">
        <v>1211</v>
      </c>
    </row>
    <row r="1160" spans="1:14" x14ac:dyDescent="0.25">
      <c r="A1160" s="1" t="s">
        <v>10696</v>
      </c>
      <c r="B1160" s="3" t="s">
        <v>4784</v>
      </c>
      <c r="C1160" s="2">
        <f ca="1">IF(ISNUMBER(SEARCH(Лист2!$B$4,D:D)),MAX($C$3:OFFSET(C1160,-1,0))+1,0)</f>
        <v>0</v>
      </c>
      <c r="E1160" s="9" t="str">
        <f t="shared" ca="1" si="30"/>
        <v/>
      </c>
      <c r="F1160" s="4" t="s">
        <v>4</v>
      </c>
      <c r="G1160" s="2">
        <f>IF(ISNUMBER(SEARCH(Лист2!$B$4,F:F)),1,0)</f>
        <v>0</v>
      </c>
      <c r="H1160" s="3">
        <f ca="1">IF(AND(I1160&lt;&gt;I1159,ISNUMBER(SEARCH(Лист2!$B$5,I:I)),G1160=1),MAX($H$3:OFFSET(H1160,-1,0))+1,0)</f>
        <v>0</v>
      </c>
      <c r="I1160" s="3" t="s">
        <v>163</v>
      </c>
      <c r="K1160" s="2">
        <f>IF(ISNUMBER(SEARCH(Лист2!$B$4,F:F)),1,0)</f>
        <v>0</v>
      </c>
      <c r="L1160" s="14">
        <f>IF(ISNUMBER(SEARCH(Лист2!$B$5,I:I)),1,0)+K1160</f>
        <v>0</v>
      </c>
      <c r="M1160" s="3">
        <f ca="1">IF(AND(N1160&lt;&gt;N1159,ISNUMBER(SEARCH(Лист2!$B$6,N:N)),L1160=2),MAX($M$3:OFFSET(M1160,-1,0))+1,0)</f>
        <v>0</v>
      </c>
      <c r="N1160" s="3" t="s">
        <v>1212</v>
      </c>
    </row>
    <row r="1161" spans="1:14" x14ac:dyDescent="0.25">
      <c r="A1161" s="1" t="s">
        <v>10697</v>
      </c>
      <c r="B1161" s="3" t="s">
        <v>4785</v>
      </c>
      <c r="C1161" s="2">
        <f ca="1">IF(ISNUMBER(SEARCH(Лист2!$B$4,D:D)),MAX($C$3:OFFSET(C1161,-1,0))+1,0)</f>
        <v>0</v>
      </c>
      <c r="E1161" s="9" t="str">
        <f t="shared" ca="1" si="30"/>
        <v/>
      </c>
      <c r="F1161" s="4" t="s">
        <v>4</v>
      </c>
      <c r="G1161" s="2">
        <f>IF(ISNUMBER(SEARCH(Лист2!$B$4,F:F)),1,0)</f>
        <v>0</v>
      </c>
      <c r="H1161" s="3">
        <f ca="1">IF(AND(I1161&lt;&gt;I1160,ISNUMBER(SEARCH(Лист2!$B$5,I:I)),G1161=1),MAX($H$3:OFFSET(H1161,-1,0))+1,0)</f>
        <v>0</v>
      </c>
      <c r="I1161" s="3" t="s">
        <v>166</v>
      </c>
      <c r="K1161" s="2">
        <f>IF(ISNUMBER(SEARCH(Лист2!$B$4,F:F)),1,0)</f>
        <v>0</v>
      </c>
      <c r="L1161" s="14">
        <f>IF(ISNUMBER(SEARCH(Лист2!$B$5,I:I)),1,0)+K1161</f>
        <v>0</v>
      </c>
      <c r="M1161" s="3">
        <f ca="1">IF(AND(N1161&lt;&gt;N1160,ISNUMBER(SEARCH(Лист2!$B$6,N:N)),L1161=2),MAX($M$3:OFFSET(M1161,-1,0))+1,0)</f>
        <v>0</v>
      </c>
      <c r="N1161" s="3" t="s">
        <v>1213</v>
      </c>
    </row>
    <row r="1162" spans="1:14" x14ac:dyDescent="0.25">
      <c r="A1162" s="1" t="s">
        <v>10698</v>
      </c>
      <c r="B1162" s="3" t="s">
        <v>4786</v>
      </c>
      <c r="C1162" s="2">
        <f ca="1">IF(ISNUMBER(SEARCH(Лист2!$B$4,D:D)),MAX($C$3:OFFSET(C1162,-1,0))+1,0)</f>
        <v>0</v>
      </c>
      <c r="E1162" s="9" t="str">
        <f t="shared" ca="1" si="30"/>
        <v/>
      </c>
      <c r="F1162" s="4" t="s">
        <v>4</v>
      </c>
      <c r="G1162" s="2">
        <f>IF(ISNUMBER(SEARCH(Лист2!$B$4,F:F)),1,0)</f>
        <v>0</v>
      </c>
      <c r="H1162" s="3">
        <f ca="1">IF(AND(I1162&lt;&gt;I1161,ISNUMBER(SEARCH(Лист2!$B$5,I:I)),G1162=1),MAX($H$3:OFFSET(H1162,-1,0))+1,0)</f>
        <v>0</v>
      </c>
      <c r="I1162" s="3" t="s">
        <v>168</v>
      </c>
      <c r="K1162" s="2">
        <f>IF(ISNUMBER(SEARCH(Лист2!$B$4,F:F)),1,0)</f>
        <v>0</v>
      </c>
      <c r="L1162" s="14">
        <f>IF(ISNUMBER(SEARCH(Лист2!$B$5,I:I)),1,0)+K1162</f>
        <v>0</v>
      </c>
      <c r="M1162" s="3">
        <f ca="1">IF(AND(N1162&lt;&gt;N1161,ISNUMBER(SEARCH(Лист2!$B$6,N:N)),L1162=2),MAX($M$3:OFFSET(M1162,-1,0))+1,0)</f>
        <v>0</v>
      </c>
      <c r="N1162" s="3" t="s">
        <v>1214</v>
      </c>
    </row>
    <row r="1163" spans="1:14" x14ac:dyDescent="0.25">
      <c r="A1163" s="1" t="s">
        <v>10699</v>
      </c>
      <c r="B1163" s="3" t="s">
        <v>4787</v>
      </c>
      <c r="C1163" s="2">
        <f ca="1">IF(ISNUMBER(SEARCH(Лист2!$B$4,D:D)),MAX($C$3:OFFSET(C1163,-1,0))+1,0)</f>
        <v>0</v>
      </c>
      <c r="E1163" s="9" t="str">
        <f t="shared" ca="1" si="30"/>
        <v/>
      </c>
      <c r="F1163" s="4" t="s">
        <v>4</v>
      </c>
      <c r="G1163" s="2">
        <f>IF(ISNUMBER(SEARCH(Лист2!$B$4,F:F)),1,0)</f>
        <v>0</v>
      </c>
      <c r="H1163" s="3">
        <f ca="1">IF(AND(I1163&lt;&gt;I1162,ISNUMBER(SEARCH(Лист2!$B$5,I:I)),G1163=1),MAX($H$3:OFFSET(H1163,-1,0))+1,0)</f>
        <v>0</v>
      </c>
      <c r="I1163" s="3" t="s">
        <v>170</v>
      </c>
      <c r="K1163" s="2">
        <f>IF(ISNUMBER(SEARCH(Лист2!$B$4,F:F)),1,0)</f>
        <v>0</v>
      </c>
      <c r="L1163" s="14">
        <f>IF(ISNUMBER(SEARCH(Лист2!$B$5,I:I)),1,0)+K1163</f>
        <v>0</v>
      </c>
      <c r="M1163" s="3">
        <f ca="1">IF(AND(N1163&lt;&gt;N1162,ISNUMBER(SEARCH(Лист2!$B$6,N:N)),L1163=2),MAX($M$3:OFFSET(M1163,-1,0))+1,0)</f>
        <v>0</v>
      </c>
      <c r="N1163" s="3" t="s">
        <v>1215</v>
      </c>
    </row>
    <row r="1164" spans="1:14" x14ac:dyDescent="0.25">
      <c r="A1164" s="1" t="s">
        <v>10700</v>
      </c>
      <c r="B1164" s="3" t="s">
        <v>4788</v>
      </c>
      <c r="C1164" s="2">
        <f ca="1">IF(ISNUMBER(SEARCH(Лист2!$B$4,D:D)),MAX($C$3:OFFSET(C1164,-1,0))+1,0)</f>
        <v>0</v>
      </c>
      <c r="E1164" s="9" t="str">
        <f t="shared" ca="1" si="30"/>
        <v/>
      </c>
      <c r="F1164" s="4" t="s">
        <v>4</v>
      </c>
      <c r="G1164" s="2">
        <f>IF(ISNUMBER(SEARCH(Лист2!$B$4,F:F)),1,0)</f>
        <v>0</v>
      </c>
      <c r="H1164" s="3">
        <f ca="1">IF(AND(I1164&lt;&gt;I1163,ISNUMBER(SEARCH(Лист2!$B$5,I:I)),G1164=1),MAX($H$3:OFFSET(H1164,-1,0))+1,0)</f>
        <v>0</v>
      </c>
      <c r="I1164" s="3" t="s">
        <v>171</v>
      </c>
      <c r="K1164" s="2">
        <f>IF(ISNUMBER(SEARCH(Лист2!$B$4,F:F)),1,0)</f>
        <v>0</v>
      </c>
      <c r="L1164" s="14">
        <f>IF(ISNUMBER(SEARCH(Лист2!$B$5,I:I)),1,0)+K1164</f>
        <v>0</v>
      </c>
      <c r="M1164" s="3">
        <f ca="1">IF(AND(N1164&lt;&gt;N1163,ISNUMBER(SEARCH(Лист2!$B$6,N:N)),L1164=2),MAX($M$3:OFFSET(M1164,-1,0))+1,0)</f>
        <v>0</v>
      </c>
      <c r="N1164" s="3" t="s">
        <v>1216</v>
      </c>
    </row>
    <row r="1165" spans="1:14" x14ac:dyDescent="0.25">
      <c r="A1165" s="1" t="s">
        <v>10701</v>
      </c>
      <c r="B1165" s="3" t="s">
        <v>4789</v>
      </c>
      <c r="C1165" s="2">
        <f ca="1">IF(ISNUMBER(SEARCH(Лист2!$B$4,D:D)),MAX($C$3:OFFSET(C1165,-1,0))+1,0)</f>
        <v>0</v>
      </c>
      <c r="E1165" s="9" t="str">
        <f t="shared" ca="1" si="30"/>
        <v/>
      </c>
      <c r="F1165" s="4" t="s">
        <v>4</v>
      </c>
      <c r="G1165" s="2">
        <f>IF(ISNUMBER(SEARCH(Лист2!$B$4,F:F)),1,0)</f>
        <v>0</v>
      </c>
      <c r="H1165" s="3">
        <f ca="1">IF(AND(I1165&lt;&gt;I1164,ISNUMBER(SEARCH(Лист2!$B$5,I:I)),G1165=1),MAX($H$3:OFFSET(H1165,-1,0))+1,0)</f>
        <v>0</v>
      </c>
      <c r="I1165" s="3" t="s">
        <v>176</v>
      </c>
      <c r="K1165" s="2">
        <f>IF(ISNUMBER(SEARCH(Лист2!$B$4,F:F)),1,0)</f>
        <v>0</v>
      </c>
      <c r="L1165" s="14">
        <f>IF(ISNUMBER(SEARCH(Лист2!$B$5,I:I)),1,0)+K1165</f>
        <v>0</v>
      </c>
      <c r="M1165" s="3">
        <f ca="1">IF(AND(N1165&lt;&gt;N1164,ISNUMBER(SEARCH(Лист2!$B$6,N:N)),L1165=2),MAX($M$3:OFFSET(M1165,-1,0))+1,0)</f>
        <v>0</v>
      </c>
      <c r="N1165" s="3" t="s">
        <v>1217</v>
      </c>
    </row>
    <row r="1166" spans="1:14" x14ac:dyDescent="0.25">
      <c r="A1166" s="1" t="s">
        <v>10702</v>
      </c>
      <c r="B1166" s="3" t="s">
        <v>4790</v>
      </c>
      <c r="C1166" s="2">
        <f ca="1">IF(ISNUMBER(SEARCH(Лист2!$B$4,D:D)),MAX($C$3:OFFSET(C1166,-1,0))+1,0)</f>
        <v>0</v>
      </c>
      <c r="E1166" s="9" t="str">
        <f t="shared" ca="1" si="30"/>
        <v/>
      </c>
      <c r="F1166" s="4" t="s">
        <v>4</v>
      </c>
      <c r="G1166" s="2">
        <f>IF(ISNUMBER(SEARCH(Лист2!$B$4,F:F)),1,0)</f>
        <v>0</v>
      </c>
      <c r="H1166" s="3">
        <f ca="1">IF(AND(I1166&lt;&gt;I1165,ISNUMBER(SEARCH(Лист2!$B$5,I:I)),G1166=1),MAX($H$3:OFFSET(H1166,-1,0))+1,0)</f>
        <v>0</v>
      </c>
      <c r="I1166" s="3" t="s">
        <v>180</v>
      </c>
      <c r="K1166" s="2">
        <f>IF(ISNUMBER(SEARCH(Лист2!$B$4,F:F)),1,0)</f>
        <v>0</v>
      </c>
      <c r="L1166" s="14">
        <f>IF(ISNUMBER(SEARCH(Лист2!$B$5,I:I)),1,0)+K1166</f>
        <v>0</v>
      </c>
      <c r="M1166" s="3">
        <f ca="1">IF(AND(N1166&lt;&gt;N1165,ISNUMBER(SEARCH(Лист2!$B$6,N:N)),L1166=2),MAX($M$3:OFFSET(M1166,-1,0))+1,0)</f>
        <v>0</v>
      </c>
      <c r="N1166" s="3" t="s">
        <v>1218</v>
      </c>
    </row>
    <row r="1167" spans="1:14" x14ac:dyDescent="0.25">
      <c r="A1167" s="1" t="s">
        <v>10703</v>
      </c>
      <c r="B1167" s="3" t="s">
        <v>4791</v>
      </c>
      <c r="C1167" s="2">
        <f ca="1">IF(ISNUMBER(SEARCH(Лист2!$B$4,D:D)),MAX($C$3:OFFSET(C1167,-1,0))+1,0)</f>
        <v>0</v>
      </c>
      <c r="E1167" s="9" t="str">
        <f t="shared" ca="1" si="30"/>
        <v/>
      </c>
      <c r="F1167" s="4" t="s">
        <v>4</v>
      </c>
      <c r="G1167" s="2">
        <f>IF(ISNUMBER(SEARCH(Лист2!$B$4,F:F)),1,0)</f>
        <v>0</v>
      </c>
      <c r="H1167" s="3">
        <f ca="1">IF(AND(I1167&lt;&gt;I1166,ISNUMBER(SEARCH(Лист2!$B$5,I:I)),G1167=1),MAX($H$3:OFFSET(H1167,-1,0))+1,0)</f>
        <v>0</v>
      </c>
      <c r="I1167" s="3" t="s">
        <v>148</v>
      </c>
      <c r="K1167" s="2">
        <f>IF(ISNUMBER(SEARCH(Лист2!$B$4,F:F)),1,0)</f>
        <v>0</v>
      </c>
      <c r="L1167" s="14">
        <f>IF(ISNUMBER(SEARCH(Лист2!$B$5,I:I)),1,0)+K1167</f>
        <v>0</v>
      </c>
      <c r="M1167" s="3">
        <f ca="1">IF(AND(N1167&lt;&gt;N1166,ISNUMBER(SEARCH(Лист2!$B$6,N:N)),L1167=2),MAX($M$3:OFFSET(M1167,-1,0))+1,0)</f>
        <v>0</v>
      </c>
      <c r="N1167" s="3" t="s">
        <v>1219</v>
      </c>
    </row>
    <row r="1168" spans="1:14" x14ac:dyDescent="0.25">
      <c r="A1168" s="1" t="s">
        <v>10704</v>
      </c>
      <c r="B1168" s="3" t="s">
        <v>4792</v>
      </c>
      <c r="C1168" s="2">
        <f ca="1">IF(ISNUMBER(SEARCH(Лист2!$B$4,D:D)),MAX($C$3:OFFSET(C1168,-1,0))+1,0)</f>
        <v>0</v>
      </c>
      <c r="E1168" s="9" t="str">
        <f t="shared" ca="1" si="30"/>
        <v/>
      </c>
      <c r="F1168" s="4" t="s">
        <v>4</v>
      </c>
      <c r="G1168" s="2">
        <f>IF(ISNUMBER(SEARCH(Лист2!$B$4,F:F)),1,0)</f>
        <v>0</v>
      </c>
      <c r="H1168" s="3">
        <f ca="1">IF(AND(I1168&lt;&gt;I1167,ISNUMBER(SEARCH(Лист2!$B$5,I:I)),G1168=1),MAX($H$3:OFFSET(H1168,-1,0))+1,0)</f>
        <v>0</v>
      </c>
      <c r="I1168" s="3" t="s">
        <v>148</v>
      </c>
      <c r="K1168" s="2">
        <f>IF(ISNUMBER(SEARCH(Лист2!$B$4,F:F)),1,0)</f>
        <v>0</v>
      </c>
      <c r="L1168" s="14">
        <f>IF(ISNUMBER(SEARCH(Лист2!$B$5,I:I)),1,0)+K1168</f>
        <v>0</v>
      </c>
      <c r="M1168" s="3">
        <f ca="1">IF(AND(N1168&lt;&gt;N1167,ISNUMBER(SEARCH(Лист2!$B$6,N:N)),L1168=2),MAX($M$3:OFFSET(M1168,-1,0))+1,0)</f>
        <v>0</v>
      </c>
      <c r="N1168" s="3" t="s">
        <v>1220</v>
      </c>
    </row>
    <row r="1169" spans="1:14" x14ac:dyDescent="0.25">
      <c r="A1169" s="1" t="s">
        <v>10705</v>
      </c>
      <c r="B1169" s="3" t="s">
        <v>4793</v>
      </c>
      <c r="C1169" s="2">
        <f ca="1">IF(ISNUMBER(SEARCH(Лист2!$B$4,D:D)),MAX($C$3:OFFSET(C1169,-1,0))+1,0)</f>
        <v>0</v>
      </c>
      <c r="E1169" s="9" t="str">
        <f t="shared" ca="1" si="30"/>
        <v/>
      </c>
      <c r="F1169" s="4" t="s">
        <v>4</v>
      </c>
      <c r="G1169" s="2">
        <f>IF(ISNUMBER(SEARCH(Лист2!$B$4,F:F)),1,0)</f>
        <v>0</v>
      </c>
      <c r="H1169" s="3">
        <f ca="1">IF(AND(I1169&lt;&gt;I1168,ISNUMBER(SEARCH(Лист2!$B$5,I:I)),G1169=1),MAX($H$3:OFFSET(H1169,-1,0))+1,0)</f>
        <v>0</v>
      </c>
      <c r="I1169" s="3" t="s">
        <v>154</v>
      </c>
      <c r="K1169" s="2">
        <f>IF(ISNUMBER(SEARCH(Лист2!$B$4,F:F)),1,0)</f>
        <v>0</v>
      </c>
      <c r="L1169" s="14">
        <f>IF(ISNUMBER(SEARCH(Лист2!$B$5,I:I)),1,0)+K1169</f>
        <v>0</v>
      </c>
      <c r="M1169" s="3">
        <f ca="1">IF(AND(N1169&lt;&gt;N1168,ISNUMBER(SEARCH(Лист2!$B$6,N:N)),L1169=2),MAX($M$3:OFFSET(M1169,-1,0))+1,0)</f>
        <v>0</v>
      </c>
      <c r="N1169" s="3" t="s">
        <v>1221</v>
      </c>
    </row>
    <row r="1170" spans="1:14" x14ac:dyDescent="0.25">
      <c r="A1170" s="1" t="s">
        <v>10706</v>
      </c>
      <c r="B1170" s="3" t="s">
        <v>4794</v>
      </c>
      <c r="C1170" s="2">
        <f ca="1">IF(ISNUMBER(SEARCH(Лист2!$B$4,D:D)),MAX($C$3:OFFSET(C1170,-1,0))+1,0)</f>
        <v>0</v>
      </c>
      <c r="E1170" s="9" t="str">
        <f t="shared" ca="1" si="30"/>
        <v/>
      </c>
      <c r="F1170" s="4" t="s">
        <v>4</v>
      </c>
      <c r="G1170" s="2">
        <f>IF(ISNUMBER(SEARCH(Лист2!$B$4,F:F)),1,0)</f>
        <v>0</v>
      </c>
      <c r="H1170" s="3">
        <f ca="1">IF(AND(I1170&lt;&gt;I1169,ISNUMBER(SEARCH(Лист2!$B$5,I:I)),G1170=1),MAX($H$3:OFFSET(H1170,-1,0))+1,0)</f>
        <v>0</v>
      </c>
      <c r="I1170" s="3" t="s">
        <v>182</v>
      </c>
      <c r="K1170" s="2">
        <f>IF(ISNUMBER(SEARCH(Лист2!$B$4,F:F)),1,0)</f>
        <v>0</v>
      </c>
      <c r="L1170" s="14">
        <f>IF(ISNUMBER(SEARCH(Лист2!$B$5,I:I)),1,0)+K1170</f>
        <v>0</v>
      </c>
      <c r="M1170" s="3">
        <f ca="1">IF(AND(N1170&lt;&gt;N1169,ISNUMBER(SEARCH(Лист2!$B$6,N:N)),L1170=2),MAX($M$3:OFFSET(M1170,-1,0))+1,0)</f>
        <v>0</v>
      </c>
      <c r="N1170" s="3" t="s">
        <v>1222</v>
      </c>
    </row>
    <row r="1171" spans="1:14" x14ac:dyDescent="0.25">
      <c r="A1171" s="1" t="s">
        <v>10707</v>
      </c>
      <c r="B1171" s="3" t="s">
        <v>4795</v>
      </c>
      <c r="C1171" s="2">
        <f ca="1">IF(ISNUMBER(SEARCH(Лист2!$B$4,D:D)),MAX($C$3:OFFSET(C1171,-1,0))+1,0)</f>
        <v>0</v>
      </c>
      <c r="E1171" s="9" t="str">
        <f t="shared" ca="1" si="30"/>
        <v/>
      </c>
      <c r="F1171" s="4" t="s">
        <v>4</v>
      </c>
      <c r="G1171" s="2">
        <f>IF(ISNUMBER(SEARCH(Лист2!$B$4,F:F)),1,0)</f>
        <v>0</v>
      </c>
      <c r="H1171" s="3">
        <f ca="1">IF(AND(I1171&lt;&gt;I1170,ISNUMBER(SEARCH(Лист2!$B$5,I:I)),G1171=1),MAX($H$3:OFFSET(H1171,-1,0))+1,0)</f>
        <v>0</v>
      </c>
      <c r="I1171" s="3" t="s">
        <v>99</v>
      </c>
      <c r="K1171" s="2">
        <f>IF(ISNUMBER(SEARCH(Лист2!$B$4,F:F)),1,0)</f>
        <v>0</v>
      </c>
      <c r="L1171" s="14">
        <f>IF(ISNUMBER(SEARCH(Лист2!$B$5,I:I)),1,0)+K1171</f>
        <v>0</v>
      </c>
      <c r="M1171" s="3">
        <f ca="1">IF(AND(N1171&lt;&gt;N1170,ISNUMBER(SEARCH(Лист2!$B$6,N:N)),L1171=2),MAX($M$3:OFFSET(M1171,-1,0))+1,0)</f>
        <v>0</v>
      </c>
      <c r="N1171" s="3" t="s">
        <v>1223</v>
      </c>
    </row>
    <row r="1172" spans="1:14" x14ac:dyDescent="0.25">
      <c r="A1172" s="1" t="s">
        <v>10708</v>
      </c>
      <c r="B1172" s="3" t="s">
        <v>4796</v>
      </c>
      <c r="C1172" s="2">
        <f ca="1">IF(ISNUMBER(SEARCH(Лист2!$B$4,D:D)),MAX($C$3:OFFSET(C1172,-1,0))+1,0)</f>
        <v>0</v>
      </c>
      <c r="E1172" s="9" t="str">
        <f t="shared" ca="1" si="30"/>
        <v/>
      </c>
      <c r="F1172" s="4" t="s">
        <v>4</v>
      </c>
      <c r="G1172" s="2">
        <f>IF(ISNUMBER(SEARCH(Лист2!$B$4,F:F)),1,0)</f>
        <v>0</v>
      </c>
      <c r="H1172" s="3">
        <f ca="1">IF(AND(I1172&lt;&gt;I1171,ISNUMBER(SEARCH(Лист2!$B$5,I:I)),G1172=1),MAX($H$3:OFFSET(H1172,-1,0))+1,0)</f>
        <v>0</v>
      </c>
      <c r="I1172" s="3" t="s">
        <v>100</v>
      </c>
      <c r="K1172" s="2">
        <f>IF(ISNUMBER(SEARCH(Лист2!$B$4,F:F)),1,0)</f>
        <v>0</v>
      </c>
      <c r="L1172" s="14">
        <f>IF(ISNUMBER(SEARCH(Лист2!$B$5,I:I)),1,0)+K1172</f>
        <v>0</v>
      </c>
      <c r="M1172" s="3">
        <f ca="1">IF(AND(N1172&lt;&gt;N1171,ISNUMBER(SEARCH(Лист2!$B$6,N:N)),L1172=2),MAX($M$3:OFFSET(M1172,-1,0))+1,0)</f>
        <v>0</v>
      </c>
      <c r="N1172" s="3" t="s">
        <v>1224</v>
      </c>
    </row>
    <row r="1173" spans="1:14" x14ac:dyDescent="0.25">
      <c r="A1173" s="1" t="s">
        <v>10709</v>
      </c>
      <c r="B1173" s="3" t="s">
        <v>4797</v>
      </c>
      <c r="C1173" s="2">
        <f ca="1">IF(ISNUMBER(SEARCH(Лист2!$B$4,D:D)),MAX($C$3:OFFSET(C1173,-1,0))+1,0)</f>
        <v>0</v>
      </c>
      <c r="E1173" s="9" t="str">
        <f t="shared" ca="1" si="30"/>
        <v/>
      </c>
      <c r="F1173" s="4" t="s">
        <v>4</v>
      </c>
      <c r="G1173" s="2">
        <f>IF(ISNUMBER(SEARCH(Лист2!$B$4,F:F)),1,0)</f>
        <v>0</v>
      </c>
      <c r="H1173" s="3">
        <f ca="1">IF(AND(I1173&lt;&gt;I1172,ISNUMBER(SEARCH(Лист2!$B$5,I:I)),G1173=1),MAX($H$3:OFFSET(H1173,-1,0))+1,0)</f>
        <v>0</v>
      </c>
      <c r="I1173" s="3" t="s">
        <v>101</v>
      </c>
      <c r="K1173" s="2">
        <f>IF(ISNUMBER(SEARCH(Лист2!$B$4,F:F)),1,0)</f>
        <v>0</v>
      </c>
      <c r="L1173" s="14">
        <f>IF(ISNUMBER(SEARCH(Лист2!$B$5,I:I)),1,0)+K1173</f>
        <v>0</v>
      </c>
      <c r="M1173" s="3">
        <f ca="1">IF(AND(N1173&lt;&gt;N1172,ISNUMBER(SEARCH(Лист2!$B$6,N:N)),L1173=2),MAX($M$3:OFFSET(M1173,-1,0))+1,0)</f>
        <v>0</v>
      </c>
      <c r="N1173" s="3" t="s">
        <v>1225</v>
      </c>
    </row>
    <row r="1174" spans="1:14" x14ac:dyDescent="0.25">
      <c r="A1174" s="1" t="s">
        <v>10710</v>
      </c>
      <c r="B1174" s="3" t="s">
        <v>4798</v>
      </c>
      <c r="C1174" s="2">
        <f ca="1">IF(ISNUMBER(SEARCH(Лист2!$B$4,D:D)),MAX($C$3:OFFSET(C1174,-1,0))+1,0)</f>
        <v>0</v>
      </c>
      <c r="E1174" s="9" t="str">
        <f t="shared" ca="1" si="30"/>
        <v/>
      </c>
      <c r="F1174" s="4" t="s">
        <v>4</v>
      </c>
      <c r="G1174" s="2">
        <f>IF(ISNUMBER(SEARCH(Лист2!$B$4,F:F)),1,0)</f>
        <v>0</v>
      </c>
      <c r="H1174" s="3">
        <f ca="1">IF(AND(I1174&lt;&gt;I1173,ISNUMBER(SEARCH(Лист2!$B$5,I:I)),G1174=1),MAX($H$3:OFFSET(H1174,-1,0))+1,0)</f>
        <v>0</v>
      </c>
      <c r="I1174" s="3" t="s">
        <v>105</v>
      </c>
      <c r="K1174" s="2">
        <f>IF(ISNUMBER(SEARCH(Лист2!$B$4,F:F)),1,0)</f>
        <v>0</v>
      </c>
      <c r="L1174" s="14">
        <f>IF(ISNUMBER(SEARCH(Лист2!$B$5,I:I)),1,0)+K1174</f>
        <v>0</v>
      </c>
      <c r="M1174" s="3">
        <f ca="1">IF(AND(N1174&lt;&gt;N1173,ISNUMBER(SEARCH(Лист2!$B$6,N:N)),L1174=2),MAX($M$3:OFFSET(M1174,-1,0))+1,0)</f>
        <v>0</v>
      </c>
      <c r="N1174" s="3" t="s">
        <v>1226</v>
      </c>
    </row>
    <row r="1175" spans="1:14" x14ac:dyDescent="0.25">
      <c r="A1175" s="1" t="s">
        <v>10711</v>
      </c>
      <c r="B1175" s="3" t="s">
        <v>4799</v>
      </c>
      <c r="C1175" s="2">
        <f ca="1">IF(ISNUMBER(SEARCH(Лист2!$B$4,D:D)),MAX($C$3:OFFSET(C1175,-1,0))+1,0)</f>
        <v>0</v>
      </c>
      <c r="E1175" s="9" t="str">
        <f t="shared" ca="1" si="30"/>
        <v/>
      </c>
      <c r="F1175" s="4" t="s">
        <v>4</v>
      </c>
      <c r="G1175" s="2">
        <f>IF(ISNUMBER(SEARCH(Лист2!$B$4,F:F)),1,0)</f>
        <v>0</v>
      </c>
      <c r="H1175" s="3">
        <f ca="1">IF(AND(I1175&lt;&gt;I1174,ISNUMBER(SEARCH(Лист2!$B$5,I:I)),G1175=1),MAX($H$3:OFFSET(H1175,-1,0))+1,0)</f>
        <v>0</v>
      </c>
      <c r="I1175" s="3" t="s">
        <v>106</v>
      </c>
      <c r="K1175" s="2">
        <f>IF(ISNUMBER(SEARCH(Лист2!$B$4,F:F)),1,0)</f>
        <v>0</v>
      </c>
      <c r="L1175" s="14">
        <f>IF(ISNUMBER(SEARCH(Лист2!$B$5,I:I)),1,0)+K1175</f>
        <v>0</v>
      </c>
      <c r="M1175" s="3">
        <f ca="1">IF(AND(N1175&lt;&gt;N1174,ISNUMBER(SEARCH(Лист2!$B$6,N:N)),L1175=2),MAX($M$3:OFFSET(M1175,-1,0))+1,0)</f>
        <v>0</v>
      </c>
      <c r="N1175" s="3" t="s">
        <v>1227</v>
      </c>
    </row>
    <row r="1176" spans="1:14" x14ac:dyDescent="0.25">
      <c r="A1176" s="1" t="s">
        <v>10712</v>
      </c>
      <c r="B1176" s="3" t="s">
        <v>4800</v>
      </c>
      <c r="C1176" s="2">
        <f ca="1">IF(ISNUMBER(SEARCH(Лист2!$B$4,D:D)),MAX($C$3:OFFSET(C1176,-1,0))+1,0)</f>
        <v>0</v>
      </c>
      <c r="E1176" s="9" t="str">
        <f t="shared" ca="1" si="30"/>
        <v/>
      </c>
      <c r="F1176" s="4" t="s">
        <v>4</v>
      </c>
      <c r="G1176" s="2">
        <f>IF(ISNUMBER(SEARCH(Лист2!$B$4,F:F)),1,0)</f>
        <v>0</v>
      </c>
      <c r="H1176" s="3">
        <f ca="1">IF(AND(I1176&lt;&gt;I1175,ISNUMBER(SEARCH(Лист2!$B$5,I:I)),G1176=1),MAX($H$3:OFFSET(H1176,-1,0))+1,0)</f>
        <v>0</v>
      </c>
      <c r="I1176" s="3" t="s">
        <v>143</v>
      </c>
      <c r="K1176" s="2">
        <f>IF(ISNUMBER(SEARCH(Лист2!$B$4,F:F)),1,0)</f>
        <v>0</v>
      </c>
      <c r="L1176" s="14">
        <f>IF(ISNUMBER(SEARCH(Лист2!$B$5,I:I)),1,0)+K1176</f>
        <v>0</v>
      </c>
      <c r="M1176" s="3">
        <f ca="1">IF(AND(N1176&lt;&gt;N1175,ISNUMBER(SEARCH(Лист2!$B$6,N:N)),L1176=2),MAX($M$3:OFFSET(M1176,-1,0))+1,0)</f>
        <v>0</v>
      </c>
      <c r="N1176" s="3" t="s">
        <v>1228</v>
      </c>
    </row>
    <row r="1177" spans="1:14" x14ac:dyDescent="0.25">
      <c r="A1177" s="1" t="s">
        <v>10713</v>
      </c>
      <c r="B1177" s="3" t="s">
        <v>4801</v>
      </c>
      <c r="C1177" s="2">
        <f ca="1">IF(ISNUMBER(SEARCH(Лист2!$B$4,D:D)),MAX($C$3:OFFSET(C1177,-1,0))+1,0)</f>
        <v>0</v>
      </c>
      <c r="E1177" s="9" t="str">
        <f t="shared" ca="1" si="30"/>
        <v/>
      </c>
      <c r="F1177" s="4" t="s">
        <v>4</v>
      </c>
      <c r="G1177" s="2">
        <f>IF(ISNUMBER(SEARCH(Лист2!$B$4,F:F)),1,0)</f>
        <v>0</v>
      </c>
      <c r="H1177" s="3">
        <f ca="1">IF(AND(I1177&lt;&gt;I1176,ISNUMBER(SEARCH(Лист2!$B$5,I:I)),G1177=1),MAX($H$3:OFFSET(H1177,-1,0))+1,0)</f>
        <v>0</v>
      </c>
      <c r="I1177" s="3" t="s">
        <v>143</v>
      </c>
      <c r="K1177" s="2">
        <f>IF(ISNUMBER(SEARCH(Лист2!$B$4,F:F)),1,0)</f>
        <v>0</v>
      </c>
      <c r="L1177" s="14">
        <f>IF(ISNUMBER(SEARCH(Лист2!$B$5,I:I)),1,0)+K1177</f>
        <v>0</v>
      </c>
      <c r="M1177" s="3">
        <f ca="1">IF(AND(N1177&lt;&gt;N1176,ISNUMBER(SEARCH(Лист2!$B$6,N:N)),L1177=2),MAX($M$3:OFFSET(M1177,-1,0))+1,0)</f>
        <v>0</v>
      </c>
      <c r="N1177" s="3" t="s">
        <v>1229</v>
      </c>
    </row>
    <row r="1178" spans="1:14" x14ac:dyDescent="0.25">
      <c r="A1178" s="1" t="s">
        <v>10714</v>
      </c>
      <c r="B1178" s="3" t="s">
        <v>4802</v>
      </c>
      <c r="C1178" s="2">
        <f ca="1">IF(ISNUMBER(SEARCH(Лист2!$B$4,D:D)),MAX($C$3:OFFSET(C1178,-1,0))+1,0)</f>
        <v>0</v>
      </c>
      <c r="E1178" s="9" t="str">
        <f t="shared" ca="1" si="30"/>
        <v/>
      </c>
      <c r="F1178" s="4" t="s">
        <v>4</v>
      </c>
      <c r="G1178" s="2">
        <f>IF(ISNUMBER(SEARCH(Лист2!$B$4,F:F)),1,0)</f>
        <v>0</v>
      </c>
      <c r="H1178" s="3">
        <f ca="1">IF(AND(I1178&lt;&gt;I1177,ISNUMBER(SEARCH(Лист2!$B$5,I:I)),G1178=1),MAX($H$3:OFFSET(H1178,-1,0))+1,0)</f>
        <v>0</v>
      </c>
      <c r="I1178" s="3" t="s">
        <v>145</v>
      </c>
      <c r="K1178" s="2">
        <f>IF(ISNUMBER(SEARCH(Лист2!$B$4,F:F)),1,0)</f>
        <v>0</v>
      </c>
      <c r="L1178" s="14">
        <f>IF(ISNUMBER(SEARCH(Лист2!$B$5,I:I)),1,0)+K1178</f>
        <v>0</v>
      </c>
      <c r="M1178" s="3">
        <f ca="1">IF(AND(N1178&lt;&gt;N1177,ISNUMBER(SEARCH(Лист2!$B$6,N:N)),L1178=2),MAX($M$3:OFFSET(M1178,-1,0))+1,0)</f>
        <v>0</v>
      </c>
      <c r="N1178" s="3" t="s">
        <v>1230</v>
      </c>
    </row>
    <row r="1179" spans="1:14" x14ac:dyDescent="0.25">
      <c r="A1179" s="1" t="s">
        <v>10715</v>
      </c>
      <c r="B1179" s="3" t="s">
        <v>4803</v>
      </c>
      <c r="C1179" s="2">
        <f ca="1">IF(ISNUMBER(SEARCH(Лист2!$B$4,D:D)),MAX($C$3:OFFSET(C1179,-1,0))+1,0)</f>
        <v>0</v>
      </c>
      <c r="E1179" s="9" t="str">
        <f t="shared" ca="1" si="30"/>
        <v/>
      </c>
      <c r="F1179" s="4" t="s">
        <v>4</v>
      </c>
      <c r="G1179" s="2">
        <f>IF(ISNUMBER(SEARCH(Лист2!$B$4,F:F)),1,0)</f>
        <v>0</v>
      </c>
      <c r="H1179" s="3">
        <f ca="1">IF(AND(I1179&lt;&gt;I1178,ISNUMBER(SEARCH(Лист2!$B$5,I:I)),G1179=1),MAX($H$3:OFFSET(H1179,-1,0))+1,0)</f>
        <v>0</v>
      </c>
      <c r="I1179" s="3" t="s">
        <v>146</v>
      </c>
      <c r="K1179" s="2">
        <f>IF(ISNUMBER(SEARCH(Лист2!$B$4,F:F)),1,0)</f>
        <v>0</v>
      </c>
      <c r="L1179" s="14">
        <f>IF(ISNUMBER(SEARCH(Лист2!$B$5,I:I)),1,0)+K1179</f>
        <v>0</v>
      </c>
      <c r="M1179" s="3">
        <f ca="1">IF(AND(N1179&lt;&gt;N1178,ISNUMBER(SEARCH(Лист2!$B$6,N:N)),L1179=2),MAX($M$3:OFFSET(M1179,-1,0))+1,0)</f>
        <v>0</v>
      </c>
      <c r="N1179" s="3" t="s">
        <v>1231</v>
      </c>
    </row>
    <row r="1180" spans="1:14" x14ac:dyDescent="0.25">
      <c r="A1180" s="1" t="s">
        <v>10716</v>
      </c>
      <c r="B1180" s="3" t="s">
        <v>4804</v>
      </c>
      <c r="C1180" s="2">
        <f ca="1">IF(ISNUMBER(SEARCH(Лист2!$B$4,D:D)),MAX($C$3:OFFSET(C1180,-1,0))+1,0)</f>
        <v>0</v>
      </c>
      <c r="E1180" s="9" t="str">
        <f t="shared" ca="1" si="30"/>
        <v/>
      </c>
      <c r="F1180" s="4" t="s">
        <v>4</v>
      </c>
      <c r="G1180" s="2">
        <f>IF(ISNUMBER(SEARCH(Лист2!$B$4,F:F)),1,0)</f>
        <v>0</v>
      </c>
      <c r="H1180" s="3">
        <f ca="1">IF(AND(I1180&lt;&gt;I1179,ISNUMBER(SEARCH(Лист2!$B$5,I:I)),G1180=1),MAX($H$3:OFFSET(H1180,-1,0))+1,0)</f>
        <v>0</v>
      </c>
      <c r="I1180" s="3" t="s">
        <v>147</v>
      </c>
      <c r="K1180" s="2">
        <f>IF(ISNUMBER(SEARCH(Лист2!$B$4,F:F)),1,0)</f>
        <v>0</v>
      </c>
      <c r="L1180" s="14">
        <f>IF(ISNUMBER(SEARCH(Лист2!$B$5,I:I)),1,0)+K1180</f>
        <v>0</v>
      </c>
      <c r="M1180" s="3">
        <f ca="1">IF(AND(N1180&lt;&gt;N1179,ISNUMBER(SEARCH(Лист2!$B$6,N:N)),L1180=2),MAX($M$3:OFFSET(M1180,-1,0))+1,0)</f>
        <v>0</v>
      </c>
      <c r="N1180" s="3" t="s">
        <v>1232</v>
      </c>
    </row>
    <row r="1181" spans="1:14" x14ac:dyDescent="0.25">
      <c r="A1181" s="1" t="s">
        <v>10717</v>
      </c>
      <c r="B1181" s="3" t="s">
        <v>4805</v>
      </c>
      <c r="C1181" s="2">
        <f ca="1">IF(ISNUMBER(SEARCH(Лист2!$B$4,D:D)),MAX($C$3:OFFSET(C1181,-1,0))+1,0)</f>
        <v>0</v>
      </c>
      <c r="E1181" s="9" t="str">
        <f t="shared" ca="1" si="30"/>
        <v/>
      </c>
      <c r="F1181" s="4" t="s">
        <v>4</v>
      </c>
      <c r="G1181" s="2">
        <f>IF(ISNUMBER(SEARCH(Лист2!$B$4,F:F)),1,0)</f>
        <v>0</v>
      </c>
      <c r="H1181" s="3">
        <f ca="1">IF(AND(I1181&lt;&gt;I1180,ISNUMBER(SEARCH(Лист2!$B$5,I:I)),G1181=1),MAX($H$3:OFFSET(H1181,-1,0))+1,0)</f>
        <v>0</v>
      </c>
      <c r="I1181" s="3" t="s">
        <v>99</v>
      </c>
      <c r="K1181" s="2">
        <f>IF(ISNUMBER(SEARCH(Лист2!$B$4,F:F)),1,0)</f>
        <v>0</v>
      </c>
      <c r="L1181" s="14">
        <f>IF(ISNUMBER(SEARCH(Лист2!$B$5,I:I)),1,0)+K1181</f>
        <v>0</v>
      </c>
      <c r="M1181" s="3">
        <f ca="1">IF(AND(N1181&lt;&gt;N1180,ISNUMBER(SEARCH(Лист2!$B$6,N:N)),L1181=2),MAX($M$3:OFFSET(M1181,-1,0))+1,0)</f>
        <v>0</v>
      </c>
      <c r="N1181" s="3" t="s">
        <v>1233</v>
      </c>
    </row>
    <row r="1182" spans="1:14" x14ac:dyDescent="0.25">
      <c r="A1182" s="1" t="s">
        <v>10718</v>
      </c>
      <c r="B1182" s="3" t="s">
        <v>4806</v>
      </c>
      <c r="C1182" s="2">
        <f ca="1">IF(ISNUMBER(SEARCH(Лист2!$B$4,D:D)),MAX($C$3:OFFSET(C1182,-1,0))+1,0)</f>
        <v>0</v>
      </c>
      <c r="E1182" s="9" t="str">
        <f t="shared" ca="1" si="30"/>
        <v/>
      </c>
      <c r="F1182" s="4" t="s">
        <v>4</v>
      </c>
      <c r="G1182" s="2">
        <f>IF(ISNUMBER(SEARCH(Лист2!$B$4,F:F)),1,0)</f>
        <v>0</v>
      </c>
      <c r="H1182" s="3">
        <f ca="1">IF(AND(I1182&lt;&gt;I1181,ISNUMBER(SEARCH(Лист2!$B$5,I:I)),G1182=1),MAX($H$3:OFFSET(H1182,-1,0))+1,0)</f>
        <v>0</v>
      </c>
      <c r="I1182" s="3" t="s">
        <v>100</v>
      </c>
      <c r="K1182" s="2">
        <f>IF(ISNUMBER(SEARCH(Лист2!$B$4,F:F)),1,0)</f>
        <v>0</v>
      </c>
      <c r="L1182" s="14">
        <f>IF(ISNUMBER(SEARCH(Лист2!$B$5,I:I)),1,0)+K1182</f>
        <v>0</v>
      </c>
      <c r="M1182" s="3">
        <f ca="1">IF(AND(N1182&lt;&gt;N1181,ISNUMBER(SEARCH(Лист2!$B$6,N:N)),L1182=2),MAX($M$3:OFFSET(M1182,-1,0))+1,0)</f>
        <v>0</v>
      </c>
      <c r="N1182" s="3" t="s">
        <v>1233</v>
      </c>
    </row>
    <row r="1183" spans="1:14" x14ac:dyDescent="0.25">
      <c r="A1183" s="1" t="s">
        <v>10719</v>
      </c>
      <c r="B1183" s="3" t="s">
        <v>4807</v>
      </c>
      <c r="C1183" s="2">
        <f ca="1">IF(ISNUMBER(SEARCH(Лист2!$B$4,D:D)),MAX($C$3:OFFSET(C1183,-1,0))+1,0)</f>
        <v>0</v>
      </c>
      <c r="E1183" s="9" t="str">
        <f t="shared" ca="1" si="30"/>
        <v/>
      </c>
      <c r="F1183" s="4" t="s">
        <v>4</v>
      </c>
      <c r="G1183" s="2">
        <f>IF(ISNUMBER(SEARCH(Лист2!$B$4,F:F)),1,0)</f>
        <v>0</v>
      </c>
      <c r="H1183" s="3">
        <f ca="1">IF(AND(I1183&lt;&gt;I1182,ISNUMBER(SEARCH(Лист2!$B$5,I:I)),G1183=1),MAX($H$3:OFFSET(H1183,-1,0))+1,0)</f>
        <v>0</v>
      </c>
      <c r="I1183" s="3" t="s">
        <v>101</v>
      </c>
      <c r="K1183" s="2">
        <f>IF(ISNUMBER(SEARCH(Лист2!$B$4,F:F)),1,0)</f>
        <v>0</v>
      </c>
      <c r="L1183" s="14">
        <f>IF(ISNUMBER(SEARCH(Лист2!$B$5,I:I)),1,0)+K1183</f>
        <v>0</v>
      </c>
      <c r="M1183" s="3">
        <f ca="1">IF(AND(N1183&lt;&gt;N1182,ISNUMBER(SEARCH(Лист2!$B$6,N:N)),L1183=2),MAX($M$3:OFFSET(M1183,-1,0))+1,0)</f>
        <v>0</v>
      </c>
      <c r="N1183" s="3" t="s">
        <v>1233</v>
      </c>
    </row>
    <row r="1184" spans="1:14" x14ac:dyDescent="0.25">
      <c r="A1184" s="1" t="s">
        <v>10720</v>
      </c>
      <c r="B1184" s="3" t="s">
        <v>4808</v>
      </c>
      <c r="C1184" s="2">
        <f ca="1">IF(ISNUMBER(SEARCH(Лист2!$B$4,D:D)),MAX($C$3:OFFSET(C1184,-1,0))+1,0)</f>
        <v>0</v>
      </c>
      <c r="E1184" s="9" t="str">
        <f t="shared" ca="1" si="30"/>
        <v/>
      </c>
      <c r="F1184" s="4" t="s">
        <v>4</v>
      </c>
      <c r="G1184" s="2">
        <f>IF(ISNUMBER(SEARCH(Лист2!$B$4,F:F)),1,0)</f>
        <v>0</v>
      </c>
      <c r="H1184" s="3">
        <f ca="1">IF(AND(I1184&lt;&gt;I1183,ISNUMBER(SEARCH(Лист2!$B$5,I:I)),G1184=1),MAX($H$3:OFFSET(H1184,-1,0))+1,0)</f>
        <v>0</v>
      </c>
      <c r="I1184" s="3" t="s">
        <v>140</v>
      </c>
      <c r="K1184" s="2">
        <f>IF(ISNUMBER(SEARCH(Лист2!$B$4,F:F)),1,0)</f>
        <v>0</v>
      </c>
      <c r="L1184" s="14">
        <f>IF(ISNUMBER(SEARCH(Лист2!$B$5,I:I)),1,0)+K1184</f>
        <v>0</v>
      </c>
      <c r="M1184" s="3">
        <f ca="1">IF(AND(N1184&lt;&gt;N1183,ISNUMBER(SEARCH(Лист2!$B$6,N:N)),L1184=2),MAX($M$3:OFFSET(M1184,-1,0))+1,0)</f>
        <v>0</v>
      </c>
      <c r="N1184" s="3" t="s">
        <v>1234</v>
      </c>
    </row>
    <row r="1185" spans="1:14" x14ac:dyDescent="0.25">
      <c r="A1185" s="1" t="s">
        <v>10721</v>
      </c>
      <c r="B1185" s="3" t="s">
        <v>4809</v>
      </c>
      <c r="C1185" s="2">
        <f ca="1">IF(ISNUMBER(SEARCH(Лист2!$B$4,D:D)),MAX($C$3:OFFSET(C1185,-1,0))+1,0)</f>
        <v>0</v>
      </c>
      <c r="E1185" s="9" t="str">
        <f t="shared" ca="1" si="30"/>
        <v/>
      </c>
      <c r="F1185" s="4" t="s">
        <v>4</v>
      </c>
      <c r="G1185" s="2">
        <f>IF(ISNUMBER(SEARCH(Лист2!$B$4,F:F)),1,0)</f>
        <v>0</v>
      </c>
      <c r="H1185" s="3">
        <f ca="1">IF(AND(I1185&lt;&gt;I1184,ISNUMBER(SEARCH(Лист2!$B$5,I:I)),G1185=1),MAX($H$3:OFFSET(H1185,-1,0))+1,0)</f>
        <v>0</v>
      </c>
      <c r="I1185" s="3" t="s">
        <v>141</v>
      </c>
      <c r="K1185" s="2">
        <f>IF(ISNUMBER(SEARCH(Лист2!$B$4,F:F)),1,0)</f>
        <v>0</v>
      </c>
      <c r="L1185" s="14">
        <f>IF(ISNUMBER(SEARCH(Лист2!$B$5,I:I)),1,0)+K1185</f>
        <v>0</v>
      </c>
      <c r="M1185" s="3">
        <f ca="1">IF(AND(N1185&lt;&gt;N1184,ISNUMBER(SEARCH(Лист2!$B$6,N:N)),L1185=2),MAX($M$3:OFFSET(M1185,-1,0))+1,0)</f>
        <v>0</v>
      </c>
      <c r="N1185" s="3" t="s">
        <v>1234</v>
      </c>
    </row>
    <row r="1186" spans="1:14" x14ac:dyDescent="0.25">
      <c r="A1186" s="1" t="s">
        <v>10722</v>
      </c>
      <c r="B1186" s="3" t="s">
        <v>4810</v>
      </c>
      <c r="C1186" s="2">
        <f ca="1">IF(ISNUMBER(SEARCH(Лист2!$B$4,D:D)),MAX($C$3:OFFSET(C1186,-1,0))+1,0)</f>
        <v>0</v>
      </c>
      <c r="E1186" s="9" t="str">
        <f t="shared" ca="1" si="30"/>
        <v/>
      </c>
      <c r="F1186" s="4" t="s">
        <v>4</v>
      </c>
      <c r="G1186" s="2">
        <f>IF(ISNUMBER(SEARCH(Лист2!$B$4,F:F)),1,0)</f>
        <v>0</v>
      </c>
      <c r="H1186" s="3">
        <f ca="1">IF(AND(I1186&lt;&gt;I1185,ISNUMBER(SEARCH(Лист2!$B$5,I:I)),G1186=1),MAX($H$3:OFFSET(H1186,-1,0))+1,0)</f>
        <v>0</v>
      </c>
      <c r="I1186" s="3" t="s">
        <v>139</v>
      </c>
      <c r="K1186" s="2">
        <f>IF(ISNUMBER(SEARCH(Лист2!$B$4,F:F)),1,0)</f>
        <v>0</v>
      </c>
      <c r="L1186" s="14">
        <f>IF(ISNUMBER(SEARCH(Лист2!$B$5,I:I)),1,0)+K1186</f>
        <v>0</v>
      </c>
      <c r="M1186" s="3">
        <f ca="1">IF(AND(N1186&lt;&gt;N1185,ISNUMBER(SEARCH(Лист2!$B$6,N:N)),L1186=2),MAX($M$3:OFFSET(M1186,-1,0))+1,0)</f>
        <v>0</v>
      </c>
      <c r="N1186" s="3" t="s">
        <v>1234</v>
      </c>
    </row>
    <row r="1187" spans="1:14" x14ac:dyDescent="0.25">
      <c r="A1187" s="1" t="s">
        <v>10723</v>
      </c>
      <c r="B1187" s="3" t="s">
        <v>4811</v>
      </c>
      <c r="C1187" s="2">
        <f ca="1">IF(ISNUMBER(SEARCH(Лист2!$B$4,D:D)),MAX($C$3:OFFSET(C1187,-1,0))+1,0)</f>
        <v>0</v>
      </c>
      <c r="E1187" s="9" t="str">
        <f t="shared" ca="1" si="30"/>
        <v/>
      </c>
      <c r="F1187" s="4" t="s">
        <v>4</v>
      </c>
      <c r="G1187" s="2">
        <f>IF(ISNUMBER(SEARCH(Лист2!$B$4,F:F)),1,0)</f>
        <v>0</v>
      </c>
      <c r="H1187" s="3">
        <f ca="1">IF(AND(I1187&lt;&gt;I1186,ISNUMBER(SEARCH(Лист2!$B$5,I:I)),G1187=1),MAX($H$3:OFFSET(H1187,-1,0))+1,0)</f>
        <v>0</v>
      </c>
      <c r="I1187" s="3" t="s">
        <v>104</v>
      </c>
      <c r="K1187" s="2">
        <f>IF(ISNUMBER(SEARCH(Лист2!$B$4,F:F)),1,0)</f>
        <v>0</v>
      </c>
      <c r="L1187" s="14">
        <f>IF(ISNUMBER(SEARCH(Лист2!$B$5,I:I)),1,0)+K1187</f>
        <v>0</v>
      </c>
      <c r="M1187" s="3">
        <f ca="1">IF(AND(N1187&lt;&gt;N1186,ISNUMBER(SEARCH(Лист2!$B$6,N:N)),L1187=2),MAX($M$3:OFFSET(M1187,-1,0))+1,0)</f>
        <v>0</v>
      </c>
      <c r="N1187" s="3" t="s">
        <v>803</v>
      </c>
    </row>
    <row r="1188" spans="1:14" x14ac:dyDescent="0.25">
      <c r="A1188" s="1" t="s">
        <v>10724</v>
      </c>
      <c r="B1188" s="3" t="s">
        <v>4812</v>
      </c>
      <c r="C1188" s="2">
        <f ca="1">IF(ISNUMBER(SEARCH(Лист2!$B$4,D:D)),MAX($C$3:OFFSET(C1188,-1,0))+1,0)</f>
        <v>0</v>
      </c>
      <c r="E1188" s="9" t="str">
        <f t="shared" ca="1" si="30"/>
        <v/>
      </c>
      <c r="F1188" s="4" t="s">
        <v>4</v>
      </c>
      <c r="G1188" s="2">
        <f>IF(ISNUMBER(SEARCH(Лист2!$B$4,F:F)),1,0)</f>
        <v>0</v>
      </c>
      <c r="H1188" s="3">
        <f ca="1">IF(AND(I1188&lt;&gt;I1187,ISNUMBER(SEARCH(Лист2!$B$5,I:I)),G1188=1),MAX($H$3:OFFSET(H1188,-1,0))+1,0)</f>
        <v>0</v>
      </c>
      <c r="I1188" s="3" t="s">
        <v>102</v>
      </c>
      <c r="K1188" s="2">
        <f>IF(ISNUMBER(SEARCH(Лист2!$B$4,F:F)),1,0)</f>
        <v>0</v>
      </c>
      <c r="L1188" s="14">
        <f>IF(ISNUMBER(SEARCH(Лист2!$B$5,I:I)),1,0)+K1188</f>
        <v>0</v>
      </c>
      <c r="M1188" s="3">
        <f ca="1">IF(AND(N1188&lt;&gt;N1187,ISNUMBER(SEARCH(Лист2!$B$6,N:N)),L1188=2),MAX($M$3:OFFSET(M1188,-1,0))+1,0)</f>
        <v>0</v>
      </c>
      <c r="N1188" s="3" t="s">
        <v>1235</v>
      </c>
    </row>
    <row r="1189" spans="1:14" x14ac:dyDescent="0.25">
      <c r="A1189" s="1" t="s">
        <v>10725</v>
      </c>
      <c r="B1189" s="3" t="s">
        <v>4813</v>
      </c>
      <c r="C1189" s="2">
        <f ca="1">IF(ISNUMBER(SEARCH(Лист2!$B$4,D:D)),MAX($C$3:OFFSET(C1189,-1,0))+1,0)</f>
        <v>0</v>
      </c>
      <c r="E1189" s="9" t="str">
        <f t="shared" ca="1" si="30"/>
        <v/>
      </c>
      <c r="F1189" s="4" t="s">
        <v>4</v>
      </c>
      <c r="G1189" s="2">
        <f>IF(ISNUMBER(SEARCH(Лист2!$B$4,F:F)),1,0)</f>
        <v>0</v>
      </c>
      <c r="H1189" s="3">
        <f ca="1">IF(AND(I1189&lt;&gt;I1188,ISNUMBER(SEARCH(Лист2!$B$5,I:I)),G1189=1),MAX($H$3:OFFSET(H1189,-1,0))+1,0)</f>
        <v>0</v>
      </c>
      <c r="I1189" s="3" t="s">
        <v>104</v>
      </c>
      <c r="K1189" s="2">
        <f>IF(ISNUMBER(SEARCH(Лист2!$B$4,F:F)),1,0)</f>
        <v>0</v>
      </c>
      <c r="L1189" s="14">
        <f>IF(ISNUMBER(SEARCH(Лист2!$B$5,I:I)),1,0)+K1189</f>
        <v>0</v>
      </c>
      <c r="M1189" s="3">
        <f ca="1">IF(AND(N1189&lt;&gt;N1188,ISNUMBER(SEARCH(Лист2!$B$6,N:N)),L1189=2),MAX($M$3:OFFSET(M1189,-1,0))+1,0)</f>
        <v>0</v>
      </c>
      <c r="N1189" s="3" t="s">
        <v>1235</v>
      </c>
    </row>
    <row r="1190" spans="1:14" x14ac:dyDescent="0.25">
      <c r="A1190" s="1" t="s">
        <v>10726</v>
      </c>
      <c r="B1190" s="3" t="s">
        <v>4814</v>
      </c>
      <c r="C1190" s="2">
        <f ca="1">IF(ISNUMBER(SEARCH(Лист2!$B$4,D:D)),MAX($C$3:OFFSET(C1190,-1,0))+1,0)</f>
        <v>0</v>
      </c>
      <c r="E1190" s="9" t="str">
        <f t="shared" ca="1" si="30"/>
        <v/>
      </c>
      <c r="F1190" s="4" t="s">
        <v>4</v>
      </c>
      <c r="G1190" s="2">
        <f>IF(ISNUMBER(SEARCH(Лист2!$B$4,F:F)),1,0)</f>
        <v>0</v>
      </c>
      <c r="H1190" s="3">
        <f ca="1">IF(AND(I1190&lt;&gt;I1189,ISNUMBER(SEARCH(Лист2!$B$5,I:I)),G1190=1),MAX($H$3:OFFSET(H1190,-1,0))+1,0)</f>
        <v>0</v>
      </c>
      <c r="I1190" s="3" t="s">
        <v>103</v>
      </c>
      <c r="K1190" s="2">
        <f>IF(ISNUMBER(SEARCH(Лист2!$B$4,F:F)),1,0)</f>
        <v>0</v>
      </c>
      <c r="L1190" s="14">
        <f>IF(ISNUMBER(SEARCH(Лист2!$B$5,I:I)),1,0)+K1190</f>
        <v>0</v>
      </c>
      <c r="M1190" s="3">
        <f ca="1">IF(AND(N1190&lt;&gt;N1189,ISNUMBER(SEARCH(Лист2!$B$6,N:N)),L1190=2),MAX($M$3:OFFSET(M1190,-1,0))+1,0)</f>
        <v>0</v>
      </c>
      <c r="N1190" s="3" t="s">
        <v>1236</v>
      </c>
    </row>
    <row r="1191" spans="1:14" x14ac:dyDescent="0.25">
      <c r="A1191" s="1" t="s">
        <v>10727</v>
      </c>
      <c r="B1191" s="3" t="s">
        <v>4815</v>
      </c>
      <c r="C1191" s="2">
        <f ca="1">IF(ISNUMBER(SEARCH(Лист2!$B$4,D:D)),MAX($C$3:OFFSET(C1191,-1,0))+1,0)</f>
        <v>0</v>
      </c>
      <c r="E1191" s="9" t="str">
        <f t="shared" ca="1" si="30"/>
        <v/>
      </c>
      <c r="F1191" s="4" t="s">
        <v>4</v>
      </c>
      <c r="G1191" s="2">
        <f>IF(ISNUMBER(SEARCH(Лист2!$B$4,F:F)),1,0)</f>
        <v>0</v>
      </c>
      <c r="H1191" s="3">
        <f ca="1">IF(AND(I1191&lt;&gt;I1190,ISNUMBER(SEARCH(Лист2!$B$5,I:I)),G1191=1),MAX($H$3:OFFSET(H1191,-1,0))+1,0)</f>
        <v>0</v>
      </c>
      <c r="I1191" s="3" t="s">
        <v>104</v>
      </c>
      <c r="K1191" s="2">
        <f>IF(ISNUMBER(SEARCH(Лист2!$B$4,F:F)),1,0)</f>
        <v>0</v>
      </c>
      <c r="L1191" s="14">
        <f>IF(ISNUMBER(SEARCH(Лист2!$B$5,I:I)),1,0)+K1191</f>
        <v>0</v>
      </c>
      <c r="M1191" s="3">
        <f ca="1">IF(AND(N1191&lt;&gt;N1190,ISNUMBER(SEARCH(Лист2!$B$6,N:N)),L1191=2),MAX($M$3:OFFSET(M1191,-1,0))+1,0)</f>
        <v>0</v>
      </c>
      <c r="N1191" s="3" t="s">
        <v>1236</v>
      </c>
    </row>
    <row r="1192" spans="1:14" x14ac:dyDescent="0.25">
      <c r="A1192" s="1" t="s">
        <v>10728</v>
      </c>
      <c r="B1192" s="3" t="s">
        <v>4816</v>
      </c>
      <c r="C1192" s="2">
        <f ca="1">IF(ISNUMBER(SEARCH(Лист2!$B$4,D:D)),MAX($C$3:OFFSET(C1192,-1,0))+1,0)</f>
        <v>0</v>
      </c>
      <c r="E1192" s="9" t="str">
        <f t="shared" ca="1" si="30"/>
        <v/>
      </c>
      <c r="F1192" s="4" t="s">
        <v>4</v>
      </c>
      <c r="G1192" s="2">
        <f>IF(ISNUMBER(SEARCH(Лист2!$B$4,F:F)),1,0)</f>
        <v>0</v>
      </c>
      <c r="H1192" s="3">
        <f ca="1">IF(AND(I1192&lt;&gt;I1191,ISNUMBER(SEARCH(Лист2!$B$5,I:I)),G1192=1),MAX($H$3:OFFSET(H1192,-1,0))+1,0)</f>
        <v>0</v>
      </c>
      <c r="I1192" s="3" t="s">
        <v>142</v>
      </c>
      <c r="K1192" s="2">
        <f>IF(ISNUMBER(SEARCH(Лист2!$B$4,F:F)),1,0)</f>
        <v>0</v>
      </c>
      <c r="L1192" s="14">
        <f>IF(ISNUMBER(SEARCH(Лист2!$B$5,I:I)),1,0)+K1192</f>
        <v>0</v>
      </c>
      <c r="M1192" s="3">
        <f ca="1">IF(AND(N1192&lt;&gt;N1191,ISNUMBER(SEARCH(Лист2!$B$6,N:N)),L1192=2),MAX($M$3:OFFSET(M1192,-1,0))+1,0)</f>
        <v>0</v>
      </c>
      <c r="N1192" s="3" t="s">
        <v>1237</v>
      </c>
    </row>
    <row r="1193" spans="1:14" x14ac:dyDescent="0.25">
      <c r="A1193" s="1" t="s">
        <v>10729</v>
      </c>
      <c r="B1193" s="3" t="s">
        <v>4817</v>
      </c>
      <c r="C1193" s="2">
        <f ca="1">IF(ISNUMBER(SEARCH(Лист2!$B$4,D:D)),MAX($C$3:OFFSET(C1193,-1,0))+1,0)</f>
        <v>0</v>
      </c>
      <c r="E1193" s="9" t="str">
        <f t="shared" ca="1" si="30"/>
        <v/>
      </c>
      <c r="F1193" s="4" t="s">
        <v>4</v>
      </c>
      <c r="G1193" s="2">
        <f>IF(ISNUMBER(SEARCH(Лист2!$B$4,F:F)),1,0)</f>
        <v>0</v>
      </c>
      <c r="H1193" s="3">
        <f ca="1">IF(AND(I1193&lt;&gt;I1192,ISNUMBER(SEARCH(Лист2!$B$5,I:I)),G1193=1),MAX($H$3:OFFSET(H1193,-1,0))+1,0)</f>
        <v>0</v>
      </c>
      <c r="I1193" s="3" t="s">
        <v>142</v>
      </c>
      <c r="K1193" s="2">
        <f>IF(ISNUMBER(SEARCH(Лист2!$B$4,F:F)),1,0)</f>
        <v>0</v>
      </c>
      <c r="L1193" s="14">
        <f>IF(ISNUMBER(SEARCH(Лист2!$B$5,I:I)),1,0)+K1193</f>
        <v>0</v>
      </c>
      <c r="M1193" s="3">
        <f ca="1">IF(AND(N1193&lt;&gt;N1192,ISNUMBER(SEARCH(Лист2!$B$6,N:N)),L1193=2),MAX($M$3:OFFSET(M1193,-1,0))+1,0)</f>
        <v>0</v>
      </c>
      <c r="N1193" s="3" t="s">
        <v>1238</v>
      </c>
    </row>
    <row r="1194" spans="1:14" x14ac:dyDescent="0.25">
      <c r="A1194" s="1" t="s">
        <v>10730</v>
      </c>
      <c r="B1194" s="3" t="s">
        <v>4818</v>
      </c>
      <c r="C1194" s="2">
        <f ca="1">IF(ISNUMBER(SEARCH(Лист2!$B$4,D:D)),MAX($C$3:OFFSET(C1194,-1,0))+1,0)</f>
        <v>0</v>
      </c>
      <c r="E1194" s="9" t="str">
        <f t="shared" ca="1" si="30"/>
        <v/>
      </c>
      <c r="F1194" s="4" t="s">
        <v>4</v>
      </c>
      <c r="G1194" s="2">
        <f>IF(ISNUMBER(SEARCH(Лист2!$B$4,F:F)),1,0)</f>
        <v>0</v>
      </c>
      <c r="H1194" s="3">
        <f ca="1">IF(AND(I1194&lt;&gt;I1193,ISNUMBER(SEARCH(Лист2!$B$5,I:I)),G1194=1),MAX($H$3:OFFSET(H1194,-1,0))+1,0)</f>
        <v>0</v>
      </c>
      <c r="I1194" s="3" t="s">
        <v>143</v>
      </c>
      <c r="K1194" s="2">
        <f>IF(ISNUMBER(SEARCH(Лист2!$B$4,F:F)),1,0)</f>
        <v>0</v>
      </c>
      <c r="L1194" s="14">
        <f>IF(ISNUMBER(SEARCH(Лист2!$B$5,I:I)),1,0)+K1194</f>
        <v>0</v>
      </c>
      <c r="M1194" s="3">
        <f ca="1">IF(AND(N1194&lt;&gt;N1193,ISNUMBER(SEARCH(Лист2!$B$6,N:N)),L1194=2),MAX($M$3:OFFSET(M1194,-1,0))+1,0)</f>
        <v>0</v>
      </c>
      <c r="N1194" s="3" t="s">
        <v>1239</v>
      </c>
    </row>
    <row r="1195" spans="1:14" x14ac:dyDescent="0.25">
      <c r="A1195" s="1" t="s">
        <v>10731</v>
      </c>
      <c r="B1195" s="3" t="s">
        <v>4819</v>
      </c>
      <c r="C1195" s="2">
        <f ca="1">IF(ISNUMBER(SEARCH(Лист2!$B$4,D:D)),MAX($C$3:OFFSET(C1195,-1,0))+1,0)</f>
        <v>0</v>
      </c>
      <c r="E1195" s="9" t="str">
        <f t="shared" ca="1" si="30"/>
        <v/>
      </c>
      <c r="F1195" s="4" t="s">
        <v>4</v>
      </c>
      <c r="G1195" s="2">
        <f>IF(ISNUMBER(SEARCH(Лист2!$B$4,F:F)),1,0)</f>
        <v>0</v>
      </c>
      <c r="H1195" s="3">
        <f ca="1">IF(AND(I1195&lt;&gt;I1194,ISNUMBER(SEARCH(Лист2!$B$5,I:I)),G1195=1),MAX($H$3:OFFSET(H1195,-1,0))+1,0)</f>
        <v>0</v>
      </c>
      <c r="I1195" s="3" t="s">
        <v>143</v>
      </c>
      <c r="K1195" s="2">
        <f>IF(ISNUMBER(SEARCH(Лист2!$B$4,F:F)),1,0)</f>
        <v>0</v>
      </c>
      <c r="L1195" s="14">
        <f>IF(ISNUMBER(SEARCH(Лист2!$B$5,I:I)),1,0)+K1195</f>
        <v>0</v>
      </c>
      <c r="M1195" s="3">
        <f ca="1">IF(AND(N1195&lt;&gt;N1194,ISNUMBER(SEARCH(Лист2!$B$6,N:N)),L1195=2),MAX($M$3:OFFSET(M1195,-1,0))+1,0)</f>
        <v>0</v>
      </c>
      <c r="N1195" s="3" t="s">
        <v>1240</v>
      </c>
    </row>
    <row r="1196" spans="1:14" x14ac:dyDescent="0.25">
      <c r="A1196" s="1" t="s">
        <v>10732</v>
      </c>
      <c r="B1196" s="3" t="s">
        <v>4820</v>
      </c>
      <c r="C1196" s="2">
        <f ca="1">IF(ISNUMBER(SEARCH(Лист2!$B$4,D:D)),MAX($C$3:OFFSET(C1196,-1,0))+1,0)</f>
        <v>0</v>
      </c>
      <c r="E1196" s="9" t="str">
        <f t="shared" ca="1" si="30"/>
        <v/>
      </c>
      <c r="F1196" s="4" t="s">
        <v>4</v>
      </c>
      <c r="G1196" s="2">
        <f>IF(ISNUMBER(SEARCH(Лист2!$B$4,F:F)),1,0)</f>
        <v>0</v>
      </c>
      <c r="H1196" s="3">
        <f ca="1">IF(AND(I1196&lt;&gt;I1195,ISNUMBER(SEARCH(Лист2!$B$5,I:I)),G1196=1),MAX($H$3:OFFSET(H1196,-1,0))+1,0)</f>
        <v>0</v>
      </c>
      <c r="I1196" s="3" t="s">
        <v>144</v>
      </c>
      <c r="K1196" s="2">
        <f>IF(ISNUMBER(SEARCH(Лист2!$B$4,F:F)),1,0)</f>
        <v>0</v>
      </c>
      <c r="L1196" s="14">
        <f>IF(ISNUMBER(SEARCH(Лист2!$B$5,I:I)),1,0)+K1196</f>
        <v>1</v>
      </c>
      <c r="M1196" s="3">
        <f ca="1">IF(AND(N1196&lt;&gt;N1195,ISNUMBER(SEARCH(Лист2!$B$6,N:N)),L1196=2),MAX($M$3:OFFSET(M1196,-1,0))+1,0)</f>
        <v>0</v>
      </c>
      <c r="N1196" s="3" t="s">
        <v>1241</v>
      </c>
    </row>
    <row r="1197" spans="1:14" x14ac:dyDescent="0.25">
      <c r="A1197" s="1" t="s">
        <v>10733</v>
      </c>
      <c r="B1197" s="3" t="s">
        <v>4821</v>
      </c>
      <c r="C1197" s="2">
        <f ca="1">IF(ISNUMBER(SEARCH(Лист2!$B$4,D:D)),MAX($C$3:OFFSET(C1197,-1,0))+1,0)</f>
        <v>0</v>
      </c>
      <c r="E1197" s="9" t="str">
        <f t="shared" ca="1" si="30"/>
        <v/>
      </c>
      <c r="F1197" s="4" t="s">
        <v>4</v>
      </c>
      <c r="G1197" s="2">
        <f>IF(ISNUMBER(SEARCH(Лист2!$B$4,F:F)),1,0)</f>
        <v>0</v>
      </c>
      <c r="H1197" s="3">
        <f ca="1">IF(AND(I1197&lt;&gt;I1196,ISNUMBER(SEARCH(Лист2!$B$5,I:I)),G1197=1),MAX($H$3:OFFSET(H1197,-1,0))+1,0)</f>
        <v>0</v>
      </c>
      <c r="I1197" s="3" t="s">
        <v>144</v>
      </c>
      <c r="K1197" s="2">
        <f>IF(ISNUMBER(SEARCH(Лист2!$B$4,F:F)),1,0)</f>
        <v>0</v>
      </c>
      <c r="L1197" s="14">
        <f>IF(ISNUMBER(SEARCH(Лист2!$B$5,I:I)),1,0)+K1197</f>
        <v>1</v>
      </c>
      <c r="M1197" s="3">
        <f ca="1">IF(AND(N1197&lt;&gt;N1196,ISNUMBER(SEARCH(Лист2!$B$6,N:N)),L1197=2),MAX($M$3:OFFSET(M1197,-1,0))+1,0)</f>
        <v>0</v>
      </c>
      <c r="N1197" s="3" t="s">
        <v>1242</v>
      </c>
    </row>
    <row r="1198" spans="1:14" x14ac:dyDescent="0.25">
      <c r="A1198" s="1" t="s">
        <v>10734</v>
      </c>
      <c r="B1198" s="3" t="s">
        <v>4822</v>
      </c>
      <c r="C1198" s="2">
        <f ca="1">IF(ISNUMBER(SEARCH(Лист2!$B$4,D:D)),MAX($C$3:OFFSET(C1198,-1,0))+1,0)</f>
        <v>0</v>
      </c>
      <c r="E1198" s="9" t="str">
        <f t="shared" ca="1" si="30"/>
        <v/>
      </c>
      <c r="F1198" s="4" t="s">
        <v>4</v>
      </c>
      <c r="G1198" s="2">
        <f>IF(ISNUMBER(SEARCH(Лист2!$B$4,F:F)),1,0)</f>
        <v>0</v>
      </c>
      <c r="H1198" s="3">
        <f ca="1">IF(AND(I1198&lt;&gt;I1197,ISNUMBER(SEARCH(Лист2!$B$5,I:I)),G1198=1),MAX($H$3:OFFSET(H1198,-1,0))+1,0)</f>
        <v>0</v>
      </c>
      <c r="I1198" s="3" t="s">
        <v>141</v>
      </c>
      <c r="K1198" s="2">
        <f>IF(ISNUMBER(SEARCH(Лист2!$B$4,F:F)),1,0)</f>
        <v>0</v>
      </c>
      <c r="L1198" s="14">
        <f>IF(ISNUMBER(SEARCH(Лист2!$B$5,I:I)),1,0)+K1198</f>
        <v>0</v>
      </c>
      <c r="M1198" s="3">
        <f ca="1">IF(AND(N1198&lt;&gt;N1197,ISNUMBER(SEARCH(Лист2!$B$6,N:N)),L1198=2),MAX($M$3:OFFSET(M1198,-1,0))+1,0)</f>
        <v>0</v>
      </c>
      <c r="N1198" s="3" t="s">
        <v>1243</v>
      </c>
    </row>
    <row r="1199" spans="1:14" x14ac:dyDescent="0.25">
      <c r="A1199" s="1" t="s">
        <v>10735</v>
      </c>
      <c r="B1199" s="3" t="s">
        <v>4823</v>
      </c>
      <c r="C1199" s="2">
        <f ca="1">IF(ISNUMBER(SEARCH(Лист2!$B$4,D:D)),MAX($C$3:OFFSET(C1199,-1,0))+1,0)</f>
        <v>0</v>
      </c>
      <c r="E1199" s="9" t="str">
        <f t="shared" ca="1" si="30"/>
        <v/>
      </c>
      <c r="F1199" s="4" t="s">
        <v>4</v>
      </c>
      <c r="G1199" s="2">
        <f>IF(ISNUMBER(SEARCH(Лист2!$B$4,F:F)),1,0)</f>
        <v>0</v>
      </c>
      <c r="H1199" s="3">
        <f ca="1">IF(AND(I1199&lt;&gt;I1198,ISNUMBER(SEARCH(Лист2!$B$5,I:I)),G1199=1),MAX($H$3:OFFSET(H1199,-1,0))+1,0)</f>
        <v>0</v>
      </c>
      <c r="I1199" s="3" t="s">
        <v>140</v>
      </c>
      <c r="K1199" s="2">
        <f>IF(ISNUMBER(SEARCH(Лист2!$B$4,F:F)),1,0)</f>
        <v>0</v>
      </c>
      <c r="L1199" s="14">
        <f>IF(ISNUMBER(SEARCH(Лист2!$B$5,I:I)),1,0)+K1199</f>
        <v>0</v>
      </c>
      <c r="M1199" s="3">
        <f ca="1">IF(AND(N1199&lt;&gt;N1198,ISNUMBER(SEARCH(Лист2!$B$6,N:N)),L1199=2),MAX($M$3:OFFSET(M1199,-1,0))+1,0)</f>
        <v>0</v>
      </c>
      <c r="N1199" s="3" t="s">
        <v>1244</v>
      </c>
    </row>
    <row r="1200" spans="1:14" x14ac:dyDescent="0.25">
      <c r="A1200" s="1" t="s">
        <v>10736</v>
      </c>
      <c r="B1200" s="3" t="s">
        <v>4824</v>
      </c>
      <c r="C1200" s="2">
        <f ca="1">IF(ISNUMBER(SEARCH(Лист2!$B$4,D:D)),MAX($C$3:OFFSET(C1200,-1,0))+1,0)</f>
        <v>0</v>
      </c>
      <c r="E1200" s="9" t="str">
        <f t="shared" ca="1" si="30"/>
        <v/>
      </c>
      <c r="F1200" s="4" t="s">
        <v>4</v>
      </c>
      <c r="G1200" s="2">
        <f>IF(ISNUMBER(SEARCH(Лист2!$B$4,F:F)),1,0)</f>
        <v>0</v>
      </c>
      <c r="H1200" s="3">
        <f ca="1">IF(AND(I1200&lt;&gt;I1199,ISNUMBER(SEARCH(Лист2!$B$5,I:I)),G1200=1),MAX($H$3:OFFSET(H1200,-1,0))+1,0)</f>
        <v>0</v>
      </c>
      <c r="I1200" s="3" t="s">
        <v>141</v>
      </c>
      <c r="K1200" s="2">
        <f>IF(ISNUMBER(SEARCH(Лист2!$B$4,F:F)),1,0)</f>
        <v>0</v>
      </c>
      <c r="L1200" s="14">
        <f>IF(ISNUMBER(SEARCH(Лист2!$B$5,I:I)),1,0)+K1200</f>
        <v>0</v>
      </c>
      <c r="M1200" s="3">
        <f ca="1">IF(AND(N1200&lt;&gt;N1199,ISNUMBER(SEARCH(Лист2!$B$6,N:N)),L1200=2),MAX($M$3:OFFSET(M1200,-1,0))+1,0)</f>
        <v>0</v>
      </c>
      <c r="N1200" s="3" t="s">
        <v>1244</v>
      </c>
    </row>
    <row r="1201" spans="1:14" x14ac:dyDescent="0.25">
      <c r="A1201" s="1" t="s">
        <v>10737</v>
      </c>
      <c r="B1201" s="3" t="s">
        <v>4825</v>
      </c>
      <c r="C1201" s="2">
        <f ca="1">IF(ISNUMBER(SEARCH(Лист2!$B$4,D:D)),MAX($C$3:OFFSET(C1201,-1,0))+1,0)</f>
        <v>0</v>
      </c>
      <c r="E1201" s="9" t="str">
        <f t="shared" ca="1" si="30"/>
        <v/>
      </c>
      <c r="F1201" s="4" t="s">
        <v>4</v>
      </c>
      <c r="G1201" s="2">
        <f>IF(ISNUMBER(SEARCH(Лист2!$B$4,F:F)),1,0)</f>
        <v>0</v>
      </c>
      <c r="H1201" s="3">
        <f ca="1">IF(AND(I1201&lt;&gt;I1200,ISNUMBER(SEARCH(Лист2!$B$5,I:I)),G1201=1),MAX($H$3:OFFSET(H1201,-1,0))+1,0)</f>
        <v>0</v>
      </c>
      <c r="I1201" s="3" t="s">
        <v>139</v>
      </c>
      <c r="K1201" s="2">
        <f>IF(ISNUMBER(SEARCH(Лист2!$B$4,F:F)),1,0)</f>
        <v>0</v>
      </c>
      <c r="L1201" s="14">
        <f>IF(ISNUMBER(SEARCH(Лист2!$B$5,I:I)),1,0)+K1201</f>
        <v>0</v>
      </c>
      <c r="M1201" s="3">
        <f ca="1">IF(AND(N1201&lt;&gt;N1200,ISNUMBER(SEARCH(Лист2!$B$6,N:N)),L1201=2),MAX($M$3:OFFSET(M1201,-1,0))+1,0)</f>
        <v>0</v>
      </c>
      <c r="N1201" s="3" t="s">
        <v>1244</v>
      </c>
    </row>
    <row r="1202" spans="1:14" x14ac:dyDescent="0.25">
      <c r="A1202" s="1" t="s">
        <v>10738</v>
      </c>
      <c r="B1202" s="3" t="s">
        <v>4826</v>
      </c>
      <c r="C1202" s="2">
        <f ca="1">IF(ISNUMBER(SEARCH(Лист2!$B$4,D:D)),MAX($C$3:OFFSET(C1202,-1,0))+1,0)</f>
        <v>0</v>
      </c>
      <c r="E1202" s="9" t="str">
        <f t="shared" ca="1" si="30"/>
        <v/>
      </c>
      <c r="F1202" s="4" t="s">
        <v>4</v>
      </c>
      <c r="G1202" s="2">
        <f>IF(ISNUMBER(SEARCH(Лист2!$B$4,F:F)),1,0)</f>
        <v>0</v>
      </c>
      <c r="H1202" s="3">
        <f ca="1">IF(AND(I1202&lt;&gt;I1201,ISNUMBER(SEARCH(Лист2!$B$5,I:I)),G1202=1),MAX($H$3:OFFSET(H1202,-1,0))+1,0)</f>
        <v>0</v>
      </c>
      <c r="I1202" s="3" t="s">
        <v>141</v>
      </c>
      <c r="K1202" s="2">
        <f>IF(ISNUMBER(SEARCH(Лист2!$B$4,F:F)),1,0)</f>
        <v>0</v>
      </c>
      <c r="L1202" s="14">
        <f>IF(ISNUMBER(SEARCH(Лист2!$B$5,I:I)),1,0)+K1202</f>
        <v>0</v>
      </c>
      <c r="M1202" s="3">
        <f ca="1">IF(AND(N1202&lt;&gt;N1201,ISNUMBER(SEARCH(Лист2!$B$6,N:N)),L1202=2),MAX($M$3:OFFSET(M1202,-1,0))+1,0)</f>
        <v>0</v>
      </c>
      <c r="N1202" s="3" t="s">
        <v>1245</v>
      </c>
    </row>
    <row r="1203" spans="1:14" x14ac:dyDescent="0.25">
      <c r="A1203" s="1" t="s">
        <v>10739</v>
      </c>
      <c r="B1203" s="3" t="s">
        <v>4827</v>
      </c>
      <c r="C1203" s="2">
        <f ca="1">IF(ISNUMBER(SEARCH(Лист2!$B$4,D:D)),MAX($C$3:OFFSET(C1203,-1,0))+1,0)</f>
        <v>0</v>
      </c>
      <c r="E1203" s="9" t="str">
        <f t="shared" ca="1" si="30"/>
        <v/>
      </c>
      <c r="F1203" s="4" t="s">
        <v>4</v>
      </c>
      <c r="G1203" s="2">
        <f>IF(ISNUMBER(SEARCH(Лист2!$B$4,F:F)),1,0)</f>
        <v>0</v>
      </c>
      <c r="H1203" s="3">
        <f ca="1">IF(AND(I1203&lt;&gt;I1202,ISNUMBER(SEARCH(Лист2!$B$5,I:I)),G1203=1),MAX($H$3:OFFSET(H1203,-1,0))+1,0)</f>
        <v>0</v>
      </c>
      <c r="I1203" s="3" t="s">
        <v>141</v>
      </c>
      <c r="K1203" s="2">
        <f>IF(ISNUMBER(SEARCH(Лист2!$B$4,F:F)),1,0)</f>
        <v>0</v>
      </c>
      <c r="L1203" s="14">
        <f>IF(ISNUMBER(SEARCH(Лист2!$B$5,I:I)),1,0)+K1203</f>
        <v>0</v>
      </c>
      <c r="M1203" s="3">
        <f ca="1">IF(AND(N1203&lt;&gt;N1202,ISNUMBER(SEARCH(Лист2!$B$6,N:N)),L1203=2),MAX($M$3:OFFSET(M1203,-1,0))+1,0)</f>
        <v>0</v>
      </c>
      <c r="N1203" s="3" t="s">
        <v>1246</v>
      </c>
    </row>
    <row r="1204" spans="1:14" x14ac:dyDescent="0.25">
      <c r="A1204" s="1" t="s">
        <v>10740</v>
      </c>
      <c r="B1204" s="3" t="s">
        <v>4828</v>
      </c>
      <c r="C1204" s="2">
        <f ca="1">IF(ISNUMBER(SEARCH(Лист2!$B$4,D:D)),MAX($C$3:OFFSET(C1204,-1,0))+1,0)</f>
        <v>0</v>
      </c>
      <c r="E1204" s="9" t="str">
        <f t="shared" ca="1" si="30"/>
        <v/>
      </c>
      <c r="F1204" s="4" t="s">
        <v>4</v>
      </c>
      <c r="G1204" s="2">
        <f>IF(ISNUMBER(SEARCH(Лист2!$B$4,F:F)),1,0)</f>
        <v>0</v>
      </c>
      <c r="H1204" s="3">
        <f ca="1">IF(AND(I1204&lt;&gt;I1203,ISNUMBER(SEARCH(Лист2!$B$5,I:I)),G1204=1),MAX($H$3:OFFSET(H1204,-1,0))+1,0)</f>
        <v>0</v>
      </c>
      <c r="I1204" s="3" t="s">
        <v>140</v>
      </c>
      <c r="K1204" s="2">
        <f>IF(ISNUMBER(SEARCH(Лист2!$B$4,F:F)),1,0)</f>
        <v>0</v>
      </c>
      <c r="L1204" s="14">
        <f>IF(ISNUMBER(SEARCH(Лист2!$B$5,I:I)),1,0)+K1204</f>
        <v>0</v>
      </c>
      <c r="M1204" s="3">
        <f ca="1">IF(AND(N1204&lt;&gt;N1203,ISNUMBER(SEARCH(Лист2!$B$6,N:N)),L1204=2),MAX($M$3:OFFSET(M1204,-1,0))+1,0)</f>
        <v>0</v>
      </c>
      <c r="N1204" s="3" t="s">
        <v>1247</v>
      </c>
    </row>
    <row r="1205" spans="1:14" x14ac:dyDescent="0.25">
      <c r="A1205" s="1" t="s">
        <v>10741</v>
      </c>
      <c r="B1205" s="3" t="s">
        <v>4829</v>
      </c>
      <c r="C1205" s="2">
        <f ca="1">IF(ISNUMBER(SEARCH(Лист2!$B$4,D:D)),MAX($C$3:OFFSET(C1205,-1,0))+1,0)</f>
        <v>0</v>
      </c>
      <c r="E1205" s="9" t="str">
        <f t="shared" ca="1" si="30"/>
        <v/>
      </c>
      <c r="F1205" s="4" t="s">
        <v>4</v>
      </c>
      <c r="G1205" s="2">
        <f>IF(ISNUMBER(SEARCH(Лист2!$B$4,F:F)),1,0)</f>
        <v>0</v>
      </c>
      <c r="H1205" s="3">
        <f ca="1">IF(AND(I1205&lt;&gt;I1204,ISNUMBER(SEARCH(Лист2!$B$5,I:I)),G1205=1),MAX($H$3:OFFSET(H1205,-1,0))+1,0)</f>
        <v>0</v>
      </c>
      <c r="I1205" s="3" t="s">
        <v>141</v>
      </c>
      <c r="K1205" s="2">
        <f>IF(ISNUMBER(SEARCH(Лист2!$B$4,F:F)),1,0)</f>
        <v>0</v>
      </c>
      <c r="L1205" s="14">
        <f>IF(ISNUMBER(SEARCH(Лист2!$B$5,I:I)),1,0)+K1205</f>
        <v>0</v>
      </c>
      <c r="M1205" s="3">
        <f ca="1">IF(AND(N1205&lt;&gt;N1204,ISNUMBER(SEARCH(Лист2!$B$6,N:N)),L1205=2),MAX($M$3:OFFSET(M1205,-1,0))+1,0)</f>
        <v>0</v>
      </c>
      <c r="N1205" s="3" t="s">
        <v>1247</v>
      </c>
    </row>
    <row r="1206" spans="1:14" x14ac:dyDescent="0.25">
      <c r="A1206" s="1" t="s">
        <v>10742</v>
      </c>
      <c r="B1206" s="3" t="s">
        <v>4830</v>
      </c>
      <c r="C1206" s="2">
        <f ca="1">IF(ISNUMBER(SEARCH(Лист2!$B$4,D:D)),MAX($C$3:OFFSET(C1206,-1,0))+1,0)</f>
        <v>0</v>
      </c>
      <c r="E1206" s="9" t="str">
        <f t="shared" ca="1" si="30"/>
        <v/>
      </c>
      <c r="F1206" s="4" t="s">
        <v>4</v>
      </c>
      <c r="G1206" s="2">
        <f>IF(ISNUMBER(SEARCH(Лист2!$B$4,F:F)),1,0)</f>
        <v>0</v>
      </c>
      <c r="H1206" s="3">
        <f ca="1">IF(AND(I1206&lt;&gt;I1205,ISNUMBER(SEARCH(Лист2!$B$5,I:I)),G1206=1),MAX($H$3:OFFSET(H1206,-1,0))+1,0)</f>
        <v>0</v>
      </c>
      <c r="I1206" s="3" t="s">
        <v>140</v>
      </c>
      <c r="K1206" s="2">
        <f>IF(ISNUMBER(SEARCH(Лист2!$B$4,F:F)),1,0)</f>
        <v>0</v>
      </c>
      <c r="L1206" s="14">
        <f>IF(ISNUMBER(SEARCH(Лист2!$B$5,I:I)),1,0)+K1206</f>
        <v>0</v>
      </c>
      <c r="M1206" s="3">
        <f ca="1">IF(AND(N1206&lt;&gt;N1205,ISNUMBER(SEARCH(Лист2!$B$6,N:N)),L1206=2),MAX($M$3:OFFSET(M1206,-1,0))+1,0)</f>
        <v>0</v>
      </c>
      <c r="N1206" s="3" t="s">
        <v>1248</v>
      </c>
    </row>
    <row r="1207" spans="1:14" x14ac:dyDescent="0.25">
      <c r="A1207" s="1" t="s">
        <v>10743</v>
      </c>
      <c r="B1207" s="3" t="s">
        <v>4831</v>
      </c>
      <c r="C1207" s="2">
        <f ca="1">IF(ISNUMBER(SEARCH(Лист2!$B$4,D:D)),MAX($C$3:OFFSET(C1207,-1,0))+1,0)</f>
        <v>0</v>
      </c>
      <c r="E1207" s="9" t="str">
        <f t="shared" ca="1" si="30"/>
        <v/>
      </c>
      <c r="F1207" s="4" t="s">
        <v>4</v>
      </c>
      <c r="G1207" s="2">
        <f>IF(ISNUMBER(SEARCH(Лист2!$B$4,F:F)),1,0)</f>
        <v>0</v>
      </c>
      <c r="H1207" s="3">
        <f ca="1">IF(AND(I1207&lt;&gt;I1206,ISNUMBER(SEARCH(Лист2!$B$5,I:I)),G1207=1),MAX($H$3:OFFSET(H1207,-1,0))+1,0)</f>
        <v>0</v>
      </c>
      <c r="I1207" s="3" t="s">
        <v>141</v>
      </c>
      <c r="K1207" s="2">
        <f>IF(ISNUMBER(SEARCH(Лист2!$B$4,F:F)),1,0)</f>
        <v>0</v>
      </c>
      <c r="L1207" s="14">
        <f>IF(ISNUMBER(SEARCH(Лист2!$B$5,I:I)),1,0)+K1207</f>
        <v>0</v>
      </c>
      <c r="M1207" s="3">
        <f ca="1">IF(AND(N1207&lt;&gt;N1206,ISNUMBER(SEARCH(Лист2!$B$6,N:N)),L1207=2),MAX($M$3:OFFSET(M1207,-1,0))+1,0)</f>
        <v>0</v>
      </c>
      <c r="N1207" s="3" t="s">
        <v>1249</v>
      </c>
    </row>
    <row r="1208" spans="1:14" x14ac:dyDescent="0.25">
      <c r="A1208" s="1" t="s">
        <v>10744</v>
      </c>
      <c r="B1208" s="3" t="s">
        <v>4832</v>
      </c>
      <c r="C1208" s="2">
        <f ca="1">IF(ISNUMBER(SEARCH(Лист2!$B$4,D:D)),MAX($C$3:OFFSET(C1208,-1,0))+1,0)</f>
        <v>0</v>
      </c>
      <c r="E1208" s="9" t="str">
        <f t="shared" ca="1" si="30"/>
        <v/>
      </c>
      <c r="F1208" s="4" t="s">
        <v>4</v>
      </c>
      <c r="G1208" s="2">
        <f>IF(ISNUMBER(SEARCH(Лист2!$B$4,F:F)),1,0)</f>
        <v>0</v>
      </c>
      <c r="H1208" s="3">
        <f ca="1">IF(AND(I1208&lt;&gt;I1207,ISNUMBER(SEARCH(Лист2!$B$5,I:I)),G1208=1),MAX($H$3:OFFSET(H1208,-1,0))+1,0)</f>
        <v>0</v>
      </c>
      <c r="I1208" s="3" t="s">
        <v>141</v>
      </c>
      <c r="K1208" s="2">
        <f>IF(ISNUMBER(SEARCH(Лист2!$B$4,F:F)),1,0)</f>
        <v>0</v>
      </c>
      <c r="L1208" s="14">
        <f>IF(ISNUMBER(SEARCH(Лист2!$B$5,I:I)),1,0)+K1208</f>
        <v>0</v>
      </c>
      <c r="M1208" s="3">
        <f ca="1">IF(AND(N1208&lt;&gt;N1207,ISNUMBER(SEARCH(Лист2!$B$6,N:N)),L1208=2),MAX($M$3:OFFSET(M1208,-1,0))+1,0)</f>
        <v>0</v>
      </c>
      <c r="N1208" s="3" t="s">
        <v>1250</v>
      </c>
    </row>
    <row r="1209" spans="1:14" x14ac:dyDescent="0.25">
      <c r="A1209" s="1" t="s">
        <v>10745</v>
      </c>
      <c r="B1209" s="3" t="s">
        <v>4833</v>
      </c>
      <c r="C1209" s="2">
        <f ca="1">IF(ISNUMBER(SEARCH(Лист2!$B$4,D:D)),MAX($C$3:OFFSET(C1209,-1,0))+1,0)</f>
        <v>0</v>
      </c>
      <c r="E1209" s="9" t="str">
        <f t="shared" ca="1" si="30"/>
        <v/>
      </c>
      <c r="F1209" s="4" t="s">
        <v>4</v>
      </c>
      <c r="G1209" s="2">
        <f>IF(ISNUMBER(SEARCH(Лист2!$B$4,F:F)),1,0)</f>
        <v>0</v>
      </c>
      <c r="H1209" s="3">
        <f ca="1">IF(AND(I1209&lt;&gt;I1208,ISNUMBER(SEARCH(Лист2!$B$5,I:I)),G1209=1),MAX($H$3:OFFSET(H1209,-1,0))+1,0)</f>
        <v>0</v>
      </c>
      <c r="I1209" s="3" t="s">
        <v>141</v>
      </c>
      <c r="K1209" s="2">
        <f>IF(ISNUMBER(SEARCH(Лист2!$B$4,F:F)),1,0)</f>
        <v>0</v>
      </c>
      <c r="L1209" s="14">
        <f>IF(ISNUMBER(SEARCH(Лист2!$B$5,I:I)),1,0)+K1209</f>
        <v>0</v>
      </c>
      <c r="M1209" s="3">
        <f ca="1">IF(AND(N1209&lt;&gt;N1208,ISNUMBER(SEARCH(Лист2!$B$6,N:N)),L1209=2),MAX($M$3:OFFSET(M1209,-1,0))+1,0)</f>
        <v>0</v>
      </c>
      <c r="N1209" s="3" t="s">
        <v>1251</v>
      </c>
    </row>
    <row r="1210" spans="1:14" x14ac:dyDescent="0.25">
      <c r="A1210" s="1" t="s">
        <v>10746</v>
      </c>
      <c r="B1210" s="3" t="s">
        <v>4834</v>
      </c>
      <c r="C1210" s="2">
        <f ca="1">IF(ISNUMBER(SEARCH(Лист2!$B$4,D:D)),MAX($C$3:OFFSET(C1210,-1,0))+1,0)</f>
        <v>0</v>
      </c>
      <c r="E1210" s="9" t="str">
        <f t="shared" ca="1" si="30"/>
        <v/>
      </c>
      <c r="F1210" s="4" t="s">
        <v>4</v>
      </c>
      <c r="G1210" s="2">
        <f>IF(ISNUMBER(SEARCH(Лист2!$B$4,F:F)),1,0)</f>
        <v>0</v>
      </c>
      <c r="H1210" s="3">
        <f ca="1">IF(AND(I1210&lt;&gt;I1209,ISNUMBER(SEARCH(Лист2!$B$5,I:I)),G1210=1),MAX($H$3:OFFSET(H1210,-1,0))+1,0)</f>
        <v>0</v>
      </c>
      <c r="I1210" s="3" t="s">
        <v>116</v>
      </c>
      <c r="K1210" s="2">
        <f>IF(ISNUMBER(SEARCH(Лист2!$B$4,F:F)),1,0)</f>
        <v>0</v>
      </c>
      <c r="L1210" s="14">
        <f>IF(ISNUMBER(SEARCH(Лист2!$B$5,I:I)),1,0)+K1210</f>
        <v>0</v>
      </c>
      <c r="M1210" s="3">
        <f ca="1">IF(AND(N1210&lt;&gt;N1209,ISNUMBER(SEARCH(Лист2!$B$6,N:N)),L1210=2),MAX($M$3:OFFSET(M1210,-1,0))+1,0)</f>
        <v>0</v>
      </c>
      <c r="N1210" s="3" t="s">
        <v>1252</v>
      </c>
    </row>
    <row r="1211" spans="1:14" x14ac:dyDescent="0.25">
      <c r="A1211" s="1" t="s">
        <v>10747</v>
      </c>
      <c r="B1211" s="3" t="s">
        <v>4835</v>
      </c>
      <c r="C1211" s="2">
        <f ca="1">IF(ISNUMBER(SEARCH(Лист2!$B$4,D:D)),MAX($C$3:OFFSET(C1211,-1,0))+1,0)</f>
        <v>0</v>
      </c>
      <c r="E1211" s="9" t="str">
        <f t="shared" ca="1" si="30"/>
        <v/>
      </c>
      <c r="F1211" s="4" t="s">
        <v>4</v>
      </c>
      <c r="G1211" s="2">
        <f>IF(ISNUMBER(SEARCH(Лист2!$B$4,F:F)),1,0)</f>
        <v>0</v>
      </c>
      <c r="H1211" s="3">
        <f ca="1">IF(AND(I1211&lt;&gt;I1210,ISNUMBER(SEARCH(Лист2!$B$5,I:I)),G1211=1),MAX($H$3:OFFSET(H1211,-1,0))+1,0)</f>
        <v>0</v>
      </c>
      <c r="I1211" s="3" t="s">
        <v>117</v>
      </c>
      <c r="K1211" s="2">
        <f>IF(ISNUMBER(SEARCH(Лист2!$B$4,F:F)),1,0)</f>
        <v>0</v>
      </c>
      <c r="L1211" s="14">
        <f>IF(ISNUMBER(SEARCH(Лист2!$B$5,I:I)),1,0)+K1211</f>
        <v>0</v>
      </c>
      <c r="M1211" s="3">
        <f ca="1">IF(AND(N1211&lt;&gt;N1210,ISNUMBER(SEARCH(Лист2!$B$6,N:N)),L1211=2),MAX($M$3:OFFSET(M1211,-1,0))+1,0)</f>
        <v>0</v>
      </c>
      <c r="N1211" s="3" t="s">
        <v>1253</v>
      </c>
    </row>
    <row r="1212" spans="1:14" x14ac:dyDescent="0.25">
      <c r="A1212" s="1" t="s">
        <v>10748</v>
      </c>
      <c r="B1212" s="3" t="s">
        <v>4836</v>
      </c>
      <c r="C1212" s="2">
        <f ca="1">IF(ISNUMBER(SEARCH(Лист2!$B$4,D:D)),MAX($C$3:OFFSET(C1212,-1,0))+1,0)</f>
        <v>0</v>
      </c>
      <c r="E1212" s="9" t="str">
        <f t="shared" ca="1" si="30"/>
        <v/>
      </c>
      <c r="F1212" s="4" t="s">
        <v>4</v>
      </c>
      <c r="G1212" s="2">
        <f>IF(ISNUMBER(SEARCH(Лист2!$B$4,F:F)),1,0)</f>
        <v>0</v>
      </c>
      <c r="H1212" s="3">
        <f ca="1">IF(AND(I1212&lt;&gt;I1211,ISNUMBER(SEARCH(Лист2!$B$5,I:I)),G1212=1),MAX($H$3:OFFSET(H1212,-1,0))+1,0)</f>
        <v>0</v>
      </c>
      <c r="I1212" s="3" t="s">
        <v>118</v>
      </c>
      <c r="K1212" s="2">
        <f>IF(ISNUMBER(SEARCH(Лист2!$B$4,F:F)),1,0)</f>
        <v>0</v>
      </c>
      <c r="L1212" s="14">
        <f>IF(ISNUMBER(SEARCH(Лист2!$B$5,I:I)),1,0)+K1212</f>
        <v>0</v>
      </c>
      <c r="M1212" s="3">
        <f ca="1">IF(AND(N1212&lt;&gt;N1211,ISNUMBER(SEARCH(Лист2!$B$6,N:N)),L1212=2),MAX($M$3:OFFSET(M1212,-1,0))+1,0)</f>
        <v>0</v>
      </c>
      <c r="N1212" s="3" t="s">
        <v>1254</v>
      </c>
    </row>
    <row r="1213" spans="1:14" x14ac:dyDescent="0.25">
      <c r="A1213" s="1" t="s">
        <v>10749</v>
      </c>
      <c r="B1213" s="3" t="s">
        <v>4837</v>
      </c>
      <c r="C1213" s="2">
        <f ca="1">IF(ISNUMBER(SEARCH(Лист2!$B$4,D:D)),MAX($C$3:OFFSET(C1213,-1,0))+1,0)</f>
        <v>0</v>
      </c>
      <c r="E1213" s="9" t="str">
        <f t="shared" ca="1" si="30"/>
        <v/>
      </c>
      <c r="F1213" s="4" t="s">
        <v>4</v>
      </c>
      <c r="G1213" s="2">
        <f>IF(ISNUMBER(SEARCH(Лист2!$B$4,F:F)),1,0)</f>
        <v>0</v>
      </c>
      <c r="H1213" s="3">
        <f ca="1">IF(AND(I1213&lt;&gt;I1212,ISNUMBER(SEARCH(Лист2!$B$5,I:I)),G1213=1),MAX($H$3:OFFSET(H1213,-1,0))+1,0)</f>
        <v>0</v>
      </c>
      <c r="I1213" s="3" t="s">
        <v>119</v>
      </c>
      <c r="K1213" s="2">
        <f>IF(ISNUMBER(SEARCH(Лист2!$B$4,F:F)),1,0)</f>
        <v>0</v>
      </c>
      <c r="L1213" s="14">
        <f>IF(ISNUMBER(SEARCH(Лист2!$B$5,I:I)),1,0)+K1213</f>
        <v>0</v>
      </c>
      <c r="M1213" s="3">
        <f ca="1">IF(AND(N1213&lt;&gt;N1212,ISNUMBER(SEARCH(Лист2!$B$6,N:N)),L1213=2),MAX($M$3:OFFSET(M1213,-1,0))+1,0)</f>
        <v>0</v>
      </c>
      <c r="N1213" s="3" t="s">
        <v>1255</v>
      </c>
    </row>
    <row r="1214" spans="1:14" x14ac:dyDescent="0.25">
      <c r="A1214" s="1" t="s">
        <v>10750</v>
      </c>
      <c r="B1214" s="3" t="s">
        <v>4838</v>
      </c>
      <c r="C1214" s="2">
        <f ca="1">IF(ISNUMBER(SEARCH(Лист2!$B$4,D:D)),MAX($C$3:OFFSET(C1214,-1,0))+1,0)</f>
        <v>0</v>
      </c>
      <c r="E1214" s="9" t="str">
        <f t="shared" ca="1" si="30"/>
        <v/>
      </c>
      <c r="F1214" s="4" t="s">
        <v>4</v>
      </c>
      <c r="G1214" s="2">
        <f>IF(ISNUMBER(SEARCH(Лист2!$B$4,F:F)),1,0)</f>
        <v>0</v>
      </c>
      <c r="H1214" s="3">
        <f ca="1">IF(AND(I1214&lt;&gt;I1213,ISNUMBER(SEARCH(Лист2!$B$5,I:I)),G1214=1),MAX($H$3:OFFSET(H1214,-1,0))+1,0)</f>
        <v>0</v>
      </c>
      <c r="I1214" s="3" t="s">
        <v>120</v>
      </c>
      <c r="K1214" s="2">
        <f>IF(ISNUMBER(SEARCH(Лист2!$B$4,F:F)),1,0)</f>
        <v>0</v>
      </c>
      <c r="L1214" s="14">
        <f>IF(ISNUMBER(SEARCH(Лист2!$B$5,I:I)),1,0)+K1214</f>
        <v>0</v>
      </c>
      <c r="M1214" s="3">
        <f ca="1">IF(AND(N1214&lt;&gt;N1213,ISNUMBER(SEARCH(Лист2!$B$6,N:N)),L1214=2),MAX($M$3:OFFSET(M1214,-1,0))+1,0)</f>
        <v>0</v>
      </c>
      <c r="N1214" s="3" t="s">
        <v>1256</v>
      </c>
    </row>
    <row r="1215" spans="1:14" x14ac:dyDescent="0.25">
      <c r="A1215" s="1" t="s">
        <v>10751</v>
      </c>
      <c r="B1215" s="3" t="s">
        <v>4839</v>
      </c>
      <c r="C1215" s="2">
        <f ca="1">IF(ISNUMBER(SEARCH(Лист2!$B$4,D:D)),MAX($C$3:OFFSET(C1215,-1,0))+1,0)</f>
        <v>0</v>
      </c>
      <c r="E1215" s="9" t="str">
        <f t="shared" ca="1" si="30"/>
        <v/>
      </c>
      <c r="F1215" s="4" t="s">
        <v>4</v>
      </c>
      <c r="G1215" s="2">
        <f>IF(ISNUMBER(SEARCH(Лист2!$B$4,F:F)),1,0)</f>
        <v>0</v>
      </c>
      <c r="H1215" s="3">
        <f ca="1">IF(AND(I1215&lt;&gt;I1214,ISNUMBER(SEARCH(Лист2!$B$5,I:I)),G1215=1),MAX($H$3:OFFSET(H1215,-1,0))+1,0)</f>
        <v>0</v>
      </c>
      <c r="I1215" s="3" t="s">
        <v>121</v>
      </c>
      <c r="K1215" s="2">
        <f>IF(ISNUMBER(SEARCH(Лист2!$B$4,F:F)),1,0)</f>
        <v>0</v>
      </c>
      <c r="L1215" s="14">
        <f>IF(ISNUMBER(SEARCH(Лист2!$B$5,I:I)),1,0)+K1215</f>
        <v>0</v>
      </c>
      <c r="M1215" s="3">
        <f ca="1">IF(AND(N1215&lt;&gt;N1214,ISNUMBER(SEARCH(Лист2!$B$6,N:N)),L1215=2),MAX($M$3:OFFSET(M1215,-1,0))+1,0)</f>
        <v>0</v>
      </c>
      <c r="N1215" s="3" t="s">
        <v>1257</v>
      </c>
    </row>
    <row r="1216" spans="1:14" x14ac:dyDescent="0.25">
      <c r="A1216" s="1" t="s">
        <v>10752</v>
      </c>
      <c r="B1216" s="3" t="s">
        <v>4840</v>
      </c>
      <c r="C1216" s="2">
        <f ca="1">IF(ISNUMBER(SEARCH(Лист2!$B$4,D:D)),MAX($C$3:OFFSET(C1216,-1,0))+1,0)</f>
        <v>0</v>
      </c>
      <c r="E1216" s="9" t="str">
        <f t="shared" ca="1" si="30"/>
        <v/>
      </c>
      <c r="F1216" s="4" t="s">
        <v>4</v>
      </c>
      <c r="G1216" s="2">
        <f>IF(ISNUMBER(SEARCH(Лист2!$B$4,F:F)),1,0)</f>
        <v>0</v>
      </c>
      <c r="H1216" s="3">
        <f ca="1">IF(AND(I1216&lt;&gt;I1215,ISNUMBER(SEARCH(Лист2!$B$5,I:I)),G1216=1),MAX($H$3:OFFSET(H1216,-1,0))+1,0)</f>
        <v>0</v>
      </c>
      <c r="I1216" s="3" t="s">
        <v>122</v>
      </c>
      <c r="K1216" s="2">
        <f>IF(ISNUMBER(SEARCH(Лист2!$B$4,F:F)),1,0)</f>
        <v>0</v>
      </c>
      <c r="L1216" s="14">
        <f>IF(ISNUMBER(SEARCH(Лист2!$B$5,I:I)),1,0)+K1216</f>
        <v>0</v>
      </c>
      <c r="M1216" s="3">
        <f ca="1">IF(AND(N1216&lt;&gt;N1215,ISNUMBER(SEARCH(Лист2!$B$6,N:N)),L1216=2),MAX($M$3:OFFSET(M1216,-1,0))+1,0)</f>
        <v>0</v>
      </c>
      <c r="N1216" s="3" t="s">
        <v>1258</v>
      </c>
    </row>
    <row r="1217" spans="1:14" x14ac:dyDescent="0.25">
      <c r="A1217" s="1" t="s">
        <v>10753</v>
      </c>
      <c r="B1217" s="3" t="s">
        <v>4841</v>
      </c>
      <c r="C1217" s="2">
        <f ca="1">IF(ISNUMBER(SEARCH(Лист2!$B$4,D:D)),MAX($C$3:OFFSET(C1217,-1,0))+1,0)</f>
        <v>0</v>
      </c>
      <c r="E1217" s="9" t="str">
        <f t="shared" ca="1" si="30"/>
        <v/>
      </c>
      <c r="F1217" s="4" t="s">
        <v>4</v>
      </c>
      <c r="G1217" s="2">
        <f>IF(ISNUMBER(SEARCH(Лист2!$B$4,F:F)),1,0)</f>
        <v>0</v>
      </c>
      <c r="H1217" s="3">
        <f ca="1">IF(AND(I1217&lt;&gt;I1216,ISNUMBER(SEARCH(Лист2!$B$5,I:I)),G1217=1),MAX($H$3:OFFSET(H1217,-1,0))+1,0)</f>
        <v>0</v>
      </c>
      <c r="I1217" s="3" t="s">
        <v>123</v>
      </c>
      <c r="K1217" s="2">
        <f>IF(ISNUMBER(SEARCH(Лист2!$B$4,F:F)),1,0)</f>
        <v>0</v>
      </c>
      <c r="L1217" s="14">
        <f>IF(ISNUMBER(SEARCH(Лист2!$B$5,I:I)),1,0)+K1217</f>
        <v>0</v>
      </c>
      <c r="M1217" s="3">
        <f ca="1">IF(AND(N1217&lt;&gt;N1216,ISNUMBER(SEARCH(Лист2!$B$6,N:N)),L1217=2),MAX($M$3:OFFSET(M1217,-1,0))+1,0)</f>
        <v>0</v>
      </c>
      <c r="N1217" s="3" t="s">
        <v>1259</v>
      </c>
    </row>
    <row r="1218" spans="1:14" x14ac:dyDescent="0.25">
      <c r="A1218" s="1" t="s">
        <v>10754</v>
      </c>
      <c r="B1218" s="3" t="s">
        <v>4842</v>
      </c>
      <c r="C1218" s="2">
        <f ca="1">IF(ISNUMBER(SEARCH(Лист2!$B$4,D:D)),MAX($C$3:OFFSET(C1218,-1,0))+1,0)</f>
        <v>0</v>
      </c>
      <c r="E1218" s="9" t="str">
        <f t="shared" ca="1" si="30"/>
        <v/>
      </c>
      <c r="F1218" s="4" t="s">
        <v>4</v>
      </c>
      <c r="G1218" s="2">
        <f>IF(ISNUMBER(SEARCH(Лист2!$B$4,F:F)),1,0)</f>
        <v>0</v>
      </c>
      <c r="H1218" s="3">
        <f ca="1">IF(AND(I1218&lt;&gt;I1217,ISNUMBER(SEARCH(Лист2!$B$5,I:I)),G1218=1),MAX($H$3:OFFSET(H1218,-1,0))+1,0)</f>
        <v>0</v>
      </c>
      <c r="I1218" s="3" t="s">
        <v>127</v>
      </c>
      <c r="K1218" s="2">
        <f>IF(ISNUMBER(SEARCH(Лист2!$B$4,F:F)),1,0)</f>
        <v>0</v>
      </c>
      <c r="L1218" s="14">
        <f>IF(ISNUMBER(SEARCH(Лист2!$B$5,I:I)),1,0)+K1218</f>
        <v>0</v>
      </c>
      <c r="M1218" s="3">
        <f ca="1">IF(AND(N1218&lt;&gt;N1217,ISNUMBER(SEARCH(Лист2!$B$6,N:N)),L1218=2),MAX($M$3:OFFSET(M1218,-1,0))+1,0)</f>
        <v>0</v>
      </c>
      <c r="N1218" s="3" t="s">
        <v>1260</v>
      </c>
    </row>
    <row r="1219" spans="1:14" x14ac:dyDescent="0.25">
      <c r="A1219" s="1" t="s">
        <v>10755</v>
      </c>
      <c r="B1219" s="3" t="s">
        <v>4843</v>
      </c>
      <c r="C1219" s="2">
        <f ca="1">IF(ISNUMBER(SEARCH(Лист2!$B$4,D:D)),MAX($C$3:OFFSET(C1219,-1,0))+1,0)</f>
        <v>0</v>
      </c>
      <c r="E1219" s="9" t="str">
        <f t="shared" ca="1" si="30"/>
        <v/>
      </c>
      <c r="F1219" s="4" t="s">
        <v>4</v>
      </c>
      <c r="G1219" s="2">
        <f>IF(ISNUMBER(SEARCH(Лист2!$B$4,F:F)),1,0)</f>
        <v>0</v>
      </c>
      <c r="H1219" s="3">
        <f ca="1">IF(AND(I1219&lt;&gt;I1218,ISNUMBER(SEARCH(Лист2!$B$5,I:I)),G1219=1),MAX($H$3:OFFSET(H1219,-1,0))+1,0)</f>
        <v>0</v>
      </c>
      <c r="I1219" s="3" t="s">
        <v>133</v>
      </c>
      <c r="K1219" s="2">
        <f>IF(ISNUMBER(SEARCH(Лист2!$B$4,F:F)),1,0)</f>
        <v>0</v>
      </c>
      <c r="L1219" s="14">
        <f>IF(ISNUMBER(SEARCH(Лист2!$B$5,I:I)),1,0)+K1219</f>
        <v>0</v>
      </c>
      <c r="M1219" s="3">
        <f ca="1">IF(AND(N1219&lt;&gt;N1218,ISNUMBER(SEARCH(Лист2!$B$6,N:N)),L1219=2),MAX($M$3:OFFSET(M1219,-1,0))+1,0)</f>
        <v>0</v>
      </c>
      <c r="N1219" s="3" t="s">
        <v>1261</v>
      </c>
    </row>
    <row r="1220" spans="1:14" x14ac:dyDescent="0.25">
      <c r="A1220" s="1" t="s">
        <v>10756</v>
      </c>
      <c r="B1220" s="3" t="s">
        <v>4844</v>
      </c>
      <c r="C1220" s="2">
        <f ca="1">IF(ISNUMBER(SEARCH(Лист2!$B$4,D:D)),MAX($C$3:OFFSET(C1220,-1,0))+1,0)</f>
        <v>0</v>
      </c>
      <c r="E1220" s="9" t="str">
        <f t="shared" ca="1" si="30"/>
        <v/>
      </c>
      <c r="F1220" s="4" t="s">
        <v>4</v>
      </c>
      <c r="G1220" s="2">
        <f>IF(ISNUMBER(SEARCH(Лист2!$B$4,F:F)),1,0)</f>
        <v>0</v>
      </c>
      <c r="H1220" s="3">
        <f ca="1">IF(AND(I1220&lt;&gt;I1219,ISNUMBER(SEARCH(Лист2!$B$5,I:I)),G1220=1),MAX($H$3:OFFSET(H1220,-1,0))+1,0)</f>
        <v>0</v>
      </c>
      <c r="I1220" s="3" t="s">
        <v>134</v>
      </c>
      <c r="K1220" s="2">
        <f>IF(ISNUMBER(SEARCH(Лист2!$B$4,F:F)),1,0)</f>
        <v>0</v>
      </c>
      <c r="L1220" s="14">
        <f>IF(ISNUMBER(SEARCH(Лист2!$B$5,I:I)),1,0)+K1220</f>
        <v>0</v>
      </c>
      <c r="M1220" s="3">
        <f ca="1">IF(AND(N1220&lt;&gt;N1219,ISNUMBER(SEARCH(Лист2!$B$6,N:N)),L1220=2),MAX($M$3:OFFSET(M1220,-1,0))+1,0)</f>
        <v>0</v>
      </c>
      <c r="N1220" s="3" t="s">
        <v>1262</v>
      </c>
    </row>
    <row r="1221" spans="1:14" x14ac:dyDescent="0.25">
      <c r="A1221" s="1" t="s">
        <v>10757</v>
      </c>
      <c r="B1221" s="3" t="s">
        <v>4845</v>
      </c>
      <c r="C1221" s="2">
        <f ca="1">IF(ISNUMBER(SEARCH(Лист2!$B$4,D:D)),MAX($C$3:OFFSET(C1221,-1,0))+1,0)</f>
        <v>0</v>
      </c>
      <c r="E1221" s="9" t="str">
        <f t="shared" ref="E1221:E1284" ca="1" si="31">IFERROR(INDEX(D:D,MATCH(ROW(E1221)-ROW($E$3),C:C,0)),"")</f>
        <v/>
      </c>
      <c r="F1221" s="4" t="s">
        <v>4</v>
      </c>
      <c r="G1221" s="2">
        <f>IF(ISNUMBER(SEARCH(Лист2!$B$4,F:F)),1,0)</f>
        <v>0</v>
      </c>
      <c r="H1221" s="3">
        <f ca="1">IF(AND(I1221&lt;&gt;I1220,ISNUMBER(SEARCH(Лист2!$B$5,I:I)),G1221=1),MAX($H$3:OFFSET(H1221,-1,0))+1,0)</f>
        <v>0</v>
      </c>
      <c r="I1221" s="3" t="s">
        <v>135</v>
      </c>
      <c r="K1221" s="2">
        <f>IF(ISNUMBER(SEARCH(Лист2!$B$4,F:F)),1,0)</f>
        <v>0</v>
      </c>
      <c r="L1221" s="14">
        <f>IF(ISNUMBER(SEARCH(Лист2!$B$5,I:I)),1,0)+K1221</f>
        <v>0</v>
      </c>
      <c r="M1221" s="3">
        <f ca="1">IF(AND(N1221&lt;&gt;N1220,ISNUMBER(SEARCH(Лист2!$B$6,N:N)),L1221=2),MAX($M$3:OFFSET(M1221,-1,0))+1,0)</f>
        <v>0</v>
      </c>
      <c r="N1221" s="3" t="s">
        <v>1263</v>
      </c>
    </row>
    <row r="1222" spans="1:14" x14ac:dyDescent="0.25">
      <c r="A1222" s="1" t="s">
        <v>10758</v>
      </c>
      <c r="B1222" s="3" t="s">
        <v>4846</v>
      </c>
      <c r="C1222" s="2">
        <f ca="1">IF(ISNUMBER(SEARCH(Лист2!$B$4,D:D)),MAX($C$3:OFFSET(C1222,-1,0))+1,0)</f>
        <v>0</v>
      </c>
      <c r="E1222" s="9" t="str">
        <f t="shared" ca="1" si="31"/>
        <v/>
      </c>
      <c r="F1222" s="4" t="s">
        <v>4</v>
      </c>
      <c r="G1222" s="2">
        <f>IF(ISNUMBER(SEARCH(Лист2!$B$4,F:F)),1,0)</f>
        <v>0</v>
      </c>
      <c r="H1222" s="3">
        <f ca="1">IF(AND(I1222&lt;&gt;I1221,ISNUMBER(SEARCH(Лист2!$B$5,I:I)),G1222=1),MAX($H$3:OFFSET(H1222,-1,0))+1,0)</f>
        <v>0</v>
      </c>
      <c r="I1222" s="3" t="s">
        <v>136</v>
      </c>
      <c r="K1222" s="2">
        <f>IF(ISNUMBER(SEARCH(Лист2!$B$4,F:F)),1,0)</f>
        <v>0</v>
      </c>
      <c r="L1222" s="14">
        <f>IF(ISNUMBER(SEARCH(Лист2!$B$5,I:I)),1,0)+K1222</f>
        <v>0</v>
      </c>
      <c r="M1222" s="3">
        <f ca="1">IF(AND(N1222&lt;&gt;N1221,ISNUMBER(SEARCH(Лист2!$B$6,N:N)),L1222=2),MAX($M$3:OFFSET(M1222,-1,0))+1,0)</f>
        <v>0</v>
      </c>
      <c r="N1222" s="3" t="s">
        <v>1264</v>
      </c>
    </row>
    <row r="1223" spans="1:14" x14ac:dyDescent="0.25">
      <c r="A1223" s="1" t="s">
        <v>10759</v>
      </c>
      <c r="B1223" s="3" t="s">
        <v>4847</v>
      </c>
      <c r="C1223" s="2">
        <f ca="1">IF(ISNUMBER(SEARCH(Лист2!$B$4,D:D)),MAX($C$3:OFFSET(C1223,-1,0))+1,0)</f>
        <v>0</v>
      </c>
      <c r="E1223" s="9" t="str">
        <f t="shared" ca="1" si="31"/>
        <v/>
      </c>
      <c r="F1223" s="4" t="s">
        <v>4</v>
      </c>
      <c r="G1223" s="2">
        <f>IF(ISNUMBER(SEARCH(Лист2!$B$4,F:F)),1,0)</f>
        <v>0</v>
      </c>
      <c r="H1223" s="3">
        <f ca="1">IF(AND(I1223&lt;&gt;I1222,ISNUMBER(SEARCH(Лист2!$B$5,I:I)),G1223=1),MAX($H$3:OFFSET(H1223,-1,0))+1,0)</f>
        <v>0</v>
      </c>
      <c r="I1223" s="3" t="s">
        <v>137</v>
      </c>
      <c r="K1223" s="2">
        <f>IF(ISNUMBER(SEARCH(Лист2!$B$4,F:F)),1,0)</f>
        <v>0</v>
      </c>
      <c r="L1223" s="14">
        <f>IF(ISNUMBER(SEARCH(Лист2!$B$5,I:I)),1,0)+K1223</f>
        <v>0</v>
      </c>
      <c r="M1223" s="3">
        <f ca="1">IF(AND(N1223&lt;&gt;N1222,ISNUMBER(SEARCH(Лист2!$B$6,N:N)),L1223=2),MAX($M$3:OFFSET(M1223,-1,0))+1,0)</f>
        <v>0</v>
      </c>
      <c r="N1223" s="3" t="s">
        <v>1265</v>
      </c>
    </row>
    <row r="1224" spans="1:14" x14ac:dyDescent="0.25">
      <c r="A1224" s="1" t="s">
        <v>10760</v>
      </c>
      <c r="B1224" s="3" t="s">
        <v>4848</v>
      </c>
      <c r="C1224" s="2">
        <f ca="1">IF(ISNUMBER(SEARCH(Лист2!$B$4,D:D)),MAX($C$3:OFFSET(C1224,-1,0))+1,0)</f>
        <v>0</v>
      </c>
      <c r="E1224" s="9" t="str">
        <f t="shared" ca="1" si="31"/>
        <v/>
      </c>
      <c r="F1224" s="4" t="s">
        <v>4</v>
      </c>
      <c r="G1224" s="2">
        <f>IF(ISNUMBER(SEARCH(Лист2!$B$4,F:F)),1,0)</f>
        <v>0</v>
      </c>
      <c r="H1224" s="3">
        <f ca="1">IF(AND(I1224&lt;&gt;I1223,ISNUMBER(SEARCH(Лист2!$B$5,I:I)),G1224=1),MAX($H$3:OFFSET(H1224,-1,0))+1,0)</f>
        <v>0</v>
      </c>
      <c r="I1224" s="3" t="s">
        <v>138</v>
      </c>
      <c r="K1224" s="2">
        <f>IF(ISNUMBER(SEARCH(Лист2!$B$4,F:F)),1,0)</f>
        <v>0</v>
      </c>
      <c r="L1224" s="14">
        <f>IF(ISNUMBER(SEARCH(Лист2!$B$5,I:I)),1,0)+K1224</f>
        <v>0</v>
      </c>
      <c r="M1224" s="3">
        <f ca="1">IF(AND(N1224&lt;&gt;N1223,ISNUMBER(SEARCH(Лист2!$B$6,N:N)),L1224=2),MAX($M$3:OFFSET(M1224,-1,0))+1,0)</f>
        <v>0</v>
      </c>
      <c r="N1224" s="3" t="s">
        <v>1266</v>
      </c>
    </row>
    <row r="1225" spans="1:14" x14ac:dyDescent="0.25">
      <c r="A1225" s="1" t="s">
        <v>10761</v>
      </c>
      <c r="B1225" s="3" t="s">
        <v>4849</v>
      </c>
      <c r="C1225" s="2">
        <f ca="1">IF(ISNUMBER(SEARCH(Лист2!$B$4,D:D)),MAX($C$3:OFFSET(C1225,-1,0))+1,0)</f>
        <v>0</v>
      </c>
      <c r="E1225" s="9" t="str">
        <f t="shared" ca="1" si="31"/>
        <v/>
      </c>
      <c r="F1225" s="4" t="s">
        <v>4</v>
      </c>
      <c r="G1225" s="2">
        <f>IF(ISNUMBER(SEARCH(Лист2!$B$4,F:F)),1,0)</f>
        <v>0</v>
      </c>
      <c r="H1225" s="3">
        <f ca="1">IF(AND(I1225&lt;&gt;I1224,ISNUMBER(SEARCH(Лист2!$B$5,I:I)),G1225=1),MAX($H$3:OFFSET(H1225,-1,0))+1,0)</f>
        <v>0</v>
      </c>
      <c r="I1225" s="3" t="s">
        <v>107</v>
      </c>
      <c r="K1225" s="2">
        <f>IF(ISNUMBER(SEARCH(Лист2!$B$4,F:F)),1,0)</f>
        <v>0</v>
      </c>
      <c r="L1225" s="14">
        <f>IF(ISNUMBER(SEARCH(Лист2!$B$5,I:I)),1,0)+K1225</f>
        <v>0</v>
      </c>
      <c r="M1225" s="3">
        <f ca="1">IF(AND(N1225&lt;&gt;N1224,ISNUMBER(SEARCH(Лист2!$B$6,N:N)),L1225=2),MAX($M$3:OFFSET(M1225,-1,0))+1,0)</f>
        <v>0</v>
      </c>
      <c r="N1225" s="3" t="s">
        <v>1267</v>
      </c>
    </row>
    <row r="1226" spans="1:14" x14ac:dyDescent="0.25">
      <c r="A1226" s="1" t="s">
        <v>10762</v>
      </c>
      <c r="B1226" s="3" t="s">
        <v>4850</v>
      </c>
      <c r="C1226" s="2">
        <f ca="1">IF(ISNUMBER(SEARCH(Лист2!$B$4,D:D)),MAX($C$3:OFFSET(C1226,-1,0))+1,0)</f>
        <v>0</v>
      </c>
      <c r="E1226" s="9" t="str">
        <f t="shared" ca="1" si="31"/>
        <v/>
      </c>
      <c r="F1226" s="4" t="s">
        <v>4</v>
      </c>
      <c r="G1226" s="2">
        <f>IF(ISNUMBER(SEARCH(Лист2!$B$4,F:F)),1,0)</f>
        <v>0</v>
      </c>
      <c r="H1226" s="3">
        <f ca="1">IF(AND(I1226&lt;&gt;I1225,ISNUMBER(SEARCH(Лист2!$B$5,I:I)),G1226=1),MAX($H$3:OFFSET(H1226,-1,0))+1,0)</f>
        <v>0</v>
      </c>
      <c r="I1226" s="3" t="s">
        <v>108</v>
      </c>
      <c r="K1226" s="2">
        <f>IF(ISNUMBER(SEARCH(Лист2!$B$4,F:F)),1,0)</f>
        <v>0</v>
      </c>
      <c r="L1226" s="14">
        <f>IF(ISNUMBER(SEARCH(Лист2!$B$5,I:I)),1,0)+K1226</f>
        <v>0</v>
      </c>
      <c r="M1226" s="3">
        <f ca="1">IF(AND(N1226&lt;&gt;N1225,ISNUMBER(SEARCH(Лист2!$B$6,N:N)),L1226=2),MAX($M$3:OFFSET(M1226,-1,0))+1,0)</f>
        <v>0</v>
      </c>
      <c r="N1226" s="3" t="s">
        <v>1268</v>
      </c>
    </row>
    <row r="1227" spans="1:14" x14ac:dyDescent="0.25">
      <c r="A1227" s="1" t="s">
        <v>10763</v>
      </c>
      <c r="B1227" s="3" t="s">
        <v>4851</v>
      </c>
      <c r="C1227" s="2">
        <f ca="1">IF(ISNUMBER(SEARCH(Лист2!$B$4,D:D)),MAX($C$3:OFFSET(C1227,-1,0))+1,0)</f>
        <v>0</v>
      </c>
      <c r="E1227" s="9" t="str">
        <f t="shared" ca="1" si="31"/>
        <v/>
      </c>
      <c r="F1227" s="4" t="s">
        <v>4</v>
      </c>
      <c r="G1227" s="2">
        <f>IF(ISNUMBER(SEARCH(Лист2!$B$4,F:F)),1,0)</f>
        <v>0</v>
      </c>
      <c r="H1227" s="3">
        <f ca="1">IF(AND(I1227&lt;&gt;I1226,ISNUMBER(SEARCH(Лист2!$B$5,I:I)),G1227=1),MAX($H$3:OFFSET(H1227,-1,0))+1,0)</f>
        <v>0</v>
      </c>
      <c r="I1227" s="3" t="s">
        <v>109</v>
      </c>
      <c r="K1227" s="2">
        <f>IF(ISNUMBER(SEARCH(Лист2!$B$4,F:F)),1,0)</f>
        <v>0</v>
      </c>
      <c r="L1227" s="14">
        <f>IF(ISNUMBER(SEARCH(Лист2!$B$5,I:I)),1,0)+K1227</f>
        <v>0</v>
      </c>
      <c r="M1227" s="3">
        <f ca="1">IF(AND(N1227&lt;&gt;N1226,ISNUMBER(SEARCH(Лист2!$B$6,N:N)),L1227=2),MAX($M$3:OFFSET(M1227,-1,0))+1,0)</f>
        <v>0</v>
      </c>
      <c r="N1227" s="3" t="s">
        <v>1269</v>
      </c>
    </row>
    <row r="1228" spans="1:14" x14ac:dyDescent="0.25">
      <c r="A1228" s="1" t="s">
        <v>10764</v>
      </c>
      <c r="B1228" s="3" t="s">
        <v>4852</v>
      </c>
      <c r="C1228" s="2">
        <f ca="1">IF(ISNUMBER(SEARCH(Лист2!$B$4,D:D)),MAX($C$3:OFFSET(C1228,-1,0))+1,0)</f>
        <v>0</v>
      </c>
      <c r="E1228" s="9" t="str">
        <f t="shared" ca="1" si="31"/>
        <v/>
      </c>
      <c r="F1228" s="4" t="s">
        <v>4</v>
      </c>
      <c r="G1228" s="2">
        <f>IF(ISNUMBER(SEARCH(Лист2!$B$4,F:F)),1,0)</f>
        <v>0</v>
      </c>
      <c r="H1228" s="3">
        <f ca="1">IF(AND(I1228&lt;&gt;I1227,ISNUMBER(SEARCH(Лист2!$B$5,I:I)),G1228=1),MAX($H$3:OFFSET(H1228,-1,0))+1,0)</f>
        <v>0</v>
      </c>
      <c r="I1228" s="3" t="s">
        <v>110</v>
      </c>
      <c r="K1228" s="2">
        <f>IF(ISNUMBER(SEARCH(Лист2!$B$4,F:F)),1,0)</f>
        <v>0</v>
      </c>
      <c r="L1228" s="14">
        <f>IF(ISNUMBER(SEARCH(Лист2!$B$5,I:I)),1,0)+K1228</f>
        <v>0</v>
      </c>
      <c r="M1228" s="3">
        <f ca="1">IF(AND(N1228&lt;&gt;N1227,ISNUMBER(SEARCH(Лист2!$B$6,N:N)),L1228=2),MAX($M$3:OFFSET(M1228,-1,0))+1,0)</f>
        <v>0</v>
      </c>
      <c r="N1228" s="3" t="s">
        <v>1270</v>
      </c>
    </row>
    <row r="1229" spans="1:14" x14ac:dyDescent="0.25">
      <c r="A1229" s="1" t="s">
        <v>10765</v>
      </c>
      <c r="B1229" s="3" t="s">
        <v>4853</v>
      </c>
      <c r="C1229" s="2">
        <f ca="1">IF(ISNUMBER(SEARCH(Лист2!$B$4,D:D)),MAX($C$3:OFFSET(C1229,-1,0))+1,0)</f>
        <v>0</v>
      </c>
      <c r="E1229" s="9" t="str">
        <f t="shared" ca="1" si="31"/>
        <v/>
      </c>
      <c r="F1229" s="4" t="s">
        <v>4</v>
      </c>
      <c r="G1229" s="2">
        <f>IF(ISNUMBER(SEARCH(Лист2!$B$4,F:F)),1,0)</f>
        <v>0</v>
      </c>
      <c r="H1229" s="3">
        <f ca="1">IF(AND(I1229&lt;&gt;I1228,ISNUMBER(SEARCH(Лист2!$B$5,I:I)),G1229=1),MAX($H$3:OFFSET(H1229,-1,0))+1,0)</f>
        <v>0</v>
      </c>
      <c r="I1229" s="3" t="s">
        <v>111</v>
      </c>
      <c r="K1229" s="2">
        <f>IF(ISNUMBER(SEARCH(Лист2!$B$4,F:F)),1,0)</f>
        <v>0</v>
      </c>
      <c r="L1229" s="14">
        <f>IF(ISNUMBER(SEARCH(Лист2!$B$5,I:I)),1,0)+K1229</f>
        <v>0</v>
      </c>
      <c r="M1229" s="3">
        <f ca="1">IF(AND(N1229&lt;&gt;N1228,ISNUMBER(SEARCH(Лист2!$B$6,N:N)),L1229=2),MAX($M$3:OFFSET(M1229,-1,0))+1,0)</f>
        <v>0</v>
      </c>
      <c r="N1229" s="3" t="s">
        <v>1271</v>
      </c>
    </row>
    <row r="1230" spans="1:14" x14ac:dyDescent="0.25">
      <c r="A1230" s="1" t="s">
        <v>10766</v>
      </c>
      <c r="B1230" s="3" t="s">
        <v>4854</v>
      </c>
      <c r="C1230" s="2">
        <f ca="1">IF(ISNUMBER(SEARCH(Лист2!$B$4,D:D)),MAX($C$3:OFFSET(C1230,-1,0))+1,0)</f>
        <v>0</v>
      </c>
      <c r="E1230" s="9" t="str">
        <f t="shared" ca="1" si="31"/>
        <v/>
      </c>
      <c r="F1230" s="4" t="s">
        <v>4</v>
      </c>
      <c r="G1230" s="2">
        <f>IF(ISNUMBER(SEARCH(Лист2!$B$4,F:F)),1,0)</f>
        <v>0</v>
      </c>
      <c r="H1230" s="3">
        <f ca="1">IF(AND(I1230&lt;&gt;I1229,ISNUMBER(SEARCH(Лист2!$B$5,I:I)),G1230=1),MAX($H$3:OFFSET(H1230,-1,0))+1,0)</f>
        <v>0</v>
      </c>
      <c r="I1230" s="3" t="s">
        <v>112</v>
      </c>
      <c r="K1230" s="2">
        <f>IF(ISNUMBER(SEARCH(Лист2!$B$4,F:F)),1,0)</f>
        <v>0</v>
      </c>
      <c r="L1230" s="14">
        <f>IF(ISNUMBER(SEARCH(Лист2!$B$5,I:I)),1,0)+K1230</f>
        <v>0</v>
      </c>
      <c r="M1230" s="3">
        <f ca="1">IF(AND(N1230&lt;&gt;N1229,ISNUMBER(SEARCH(Лист2!$B$6,N:N)),L1230=2),MAX($M$3:OFFSET(M1230,-1,0))+1,0)</f>
        <v>0</v>
      </c>
      <c r="N1230" s="3" t="s">
        <v>1272</v>
      </c>
    </row>
    <row r="1231" spans="1:14" x14ac:dyDescent="0.25">
      <c r="A1231" s="1" t="s">
        <v>10767</v>
      </c>
      <c r="B1231" s="3" t="s">
        <v>4855</v>
      </c>
      <c r="C1231" s="2">
        <f ca="1">IF(ISNUMBER(SEARCH(Лист2!$B$4,D:D)),MAX($C$3:OFFSET(C1231,-1,0))+1,0)</f>
        <v>0</v>
      </c>
      <c r="E1231" s="9" t="str">
        <f t="shared" ca="1" si="31"/>
        <v/>
      </c>
      <c r="F1231" s="4" t="s">
        <v>4</v>
      </c>
      <c r="G1231" s="2">
        <f>IF(ISNUMBER(SEARCH(Лист2!$B$4,F:F)),1,0)</f>
        <v>0</v>
      </c>
      <c r="H1231" s="3">
        <f ca="1">IF(AND(I1231&lt;&gt;I1230,ISNUMBER(SEARCH(Лист2!$B$5,I:I)),G1231=1),MAX($H$3:OFFSET(H1231,-1,0))+1,0)</f>
        <v>0</v>
      </c>
      <c r="I1231" s="3" t="s">
        <v>113</v>
      </c>
      <c r="K1231" s="2">
        <f>IF(ISNUMBER(SEARCH(Лист2!$B$4,F:F)),1,0)</f>
        <v>0</v>
      </c>
      <c r="L1231" s="14">
        <f>IF(ISNUMBER(SEARCH(Лист2!$B$5,I:I)),1,0)+K1231</f>
        <v>0</v>
      </c>
      <c r="M1231" s="3">
        <f ca="1">IF(AND(N1231&lt;&gt;N1230,ISNUMBER(SEARCH(Лист2!$B$6,N:N)),L1231=2),MAX($M$3:OFFSET(M1231,-1,0))+1,0)</f>
        <v>0</v>
      </c>
      <c r="N1231" s="3" t="s">
        <v>1273</v>
      </c>
    </row>
    <row r="1232" spans="1:14" x14ac:dyDescent="0.25">
      <c r="A1232" s="1" t="s">
        <v>10768</v>
      </c>
      <c r="B1232" s="3" t="s">
        <v>4856</v>
      </c>
      <c r="C1232" s="2">
        <f ca="1">IF(ISNUMBER(SEARCH(Лист2!$B$4,D:D)),MAX($C$3:OFFSET(C1232,-1,0))+1,0)</f>
        <v>0</v>
      </c>
      <c r="E1232" s="9" t="str">
        <f t="shared" ca="1" si="31"/>
        <v/>
      </c>
      <c r="F1232" s="4" t="s">
        <v>4</v>
      </c>
      <c r="G1232" s="2">
        <f>IF(ISNUMBER(SEARCH(Лист2!$B$4,F:F)),1,0)</f>
        <v>0</v>
      </c>
      <c r="H1232" s="3">
        <f ca="1">IF(AND(I1232&lt;&gt;I1231,ISNUMBER(SEARCH(Лист2!$B$5,I:I)),G1232=1),MAX($H$3:OFFSET(H1232,-1,0))+1,0)</f>
        <v>0</v>
      </c>
      <c r="I1232" s="3" t="s">
        <v>114</v>
      </c>
      <c r="K1232" s="2">
        <f>IF(ISNUMBER(SEARCH(Лист2!$B$4,F:F)),1,0)</f>
        <v>0</v>
      </c>
      <c r="L1232" s="14">
        <f>IF(ISNUMBER(SEARCH(Лист2!$B$5,I:I)),1,0)+K1232</f>
        <v>0</v>
      </c>
      <c r="M1232" s="3">
        <f ca="1">IF(AND(N1232&lt;&gt;N1231,ISNUMBER(SEARCH(Лист2!$B$6,N:N)),L1232=2),MAX($M$3:OFFSET(M1232,-1,0))+1,0)</f>
        <v>0</v>
      </c>
      <c r="N1232" s="3" t="s">
        <v>1274</v>
      </c>
    </row>
    <row r="1233" spans="1:14" x14ac:dyDescent="0.25">
      <c r="A1233" s="1" t="s">
        <v>10769</v>
      </c>
      <c r="B1233" s="3" t="s">
        <v>4857</v>
      </c>
      <c r="C1233" s="2">
        <f ca="1">IF(ISNUMBER(SEARCH(Лист2!$B$4,D:D)),MAX($C$3:OFFSET(C1233,-1,0))+1,0)</f>
        <v>0</v>
      </c>
      <c r="E1233" s="9" t="str">
        <f t="shared" ca="1" si="31"/>
        <v/>
      </c>
      <c r="F1233" s="4" t="s">
        <v>4</v>
      </c>
      <c r="G1233" s="2">
        <f>IF(ISNUMBER(SEARCH(Лист2!$B$4,F:F)),1,0)</f>
        <v>0</v>
      </c>
      <c r="H1233" s="3">
        <f ca="1">IF(AND(I1233&lt;&gt;I1232,ISNUMBER(SEARCH(Лист2!$B$5,I:I)),G1233=1),MAX($H$3:OFFSET(H1233,-1,0))+1,0)</f>
        <v>0</v>
      </c>
      <c r="I1233" s="3" t="s">
        <v>115</v>
      </c>
      <c r="K1233" s="2">
        <f>IF(ISNUMBER(SEARCH(Лист2!$B$4,F:F)),1,0)</f>
        <v>0</v>
      </c>
      <c r="L1233" s="14">
        <f>IF(ISNUMBER(SEARCH(Лист2!$B$5,I:I)),1,0)+K1233</f>
        <v>0</v>
      </c>
      <c r="M1233" s="3">
        <f ca="1">IF(AND(N1233&lt;&gt;N1232,ISNUMBER(SEARCH(Лист2!$B$6,N:N)),L1233=2),MAX($M$3:OFFSET(M1233,-1,0))+1,0)</f>
        <v>0</v>
      </c>
      <c r="N1233" s="3" t="s">
        <v>1275</v>
      </c>
    </row>
    <row r="1234" spans="1:14" x14ac:dyDescent="0.25">
      <c r="A1234" s="1" t="s">
        <v>10770</v>
      </c>
      <c r="B1234" s="3" t="s">
        <v>4858</v>
      </c>
      <c r="C1234" s="2">
        <f ca="1">IF(ISNUMBER(SEARCH(Лист2!$B$4,D:D)),MAX($C$3:OFFSET(C1234,-1,0))+1,0)</f>
        <v>0</v>
      </c>
      <c r="E1234" s="9" t="str">
        <f t="shared" ca="1" si="31"/>
        <v/>
      </c>
      <c r="F1234" s="4" t="s">
        <v>4</v>
      </c>
      <c r="G1234" s="2">
        <f>IF(ISNUMBER(SEARCH(Лист2!$B$4,F:F)),1,0)</f>
        <v>0</v>
      </c>
      <c r="H1234" s="3">
        <f ca="1">IF(AND(I1234&lt;&gt;I1233,ISNUMBER(SEARCH(Лист2!$B$5,I:I)),G1234=1),MAX($H$3:OFFSET(H1234,-1,0))+1,0)</f>
        <v>0</v>
      </c>
      <c r="I1234" s="3" t="s">
        <v>124</v>
      </c>
      <c r="K1234" s="2">
        <f>IF(ISNUMBER(SEARCH(Лист2!$B$4,F:F)),1,0)</f>
        <v>0</v>
      </c>
      <c r="L1234" s="14">
        <f>IF(ISNUMBER(SEARCH(Лист2!$B$5,I:I)),1,0)+K1234</f>
        <v>0</v>
      </c>
      <c r="M1234" s="3">
        <f ca="1">IF(AND(N1234&lt;&gt;N1233,ISNUMBER(SEARCH(Лист2!$B$6,N:N)),L1234=2),MAX($M$3:OFFSET(M1234,-1,0))+1,0)</f>
        <v>0</v>
      </c>
      <c r="N1234" s="3" t="s">
        <v>1276</v>
      </c>
    </row>
    <row r="1235" spans="1:14" x14ac:dyDescent="0.25">
      <c r="A1235" s="1" t="s">
        <v>10771</v>
      </c>
      <c r="B1235" s="3" t="s">
        <v>4859</v>
      </c>
      <c r="C1235" s="2">
        <f ca="1">IF(ISNUMBER(SEARCH(Лист2!$B$4,D:D)),MAX($C$3:OFFSET(C1235,-1,0))+1,0)</f>
        <v>0</v>
      </c>
      <c r="E1235" s="9" t="str">
        <f t="shared" ca="1" si="31"/>
        <v/>
      </c>
      <c r="F1235" s="4" t="s">
        <v>4</v>
      </c>
      <c r="G1235" s="2">
        <f>IF(ISNUMBER(SEARCH(Лист2!$B$4,F:F)),1,0)</f>
        <v>0</v>
      </c>
      <c r="H1235" s="3">
        <f ca="1">IF(AND(I1235&lt;&gt;I1234,ISNUMBER(SEARCH(Лист2!$B$5,I:I)),G1235=1),MAX($H$3:OFFSET(H1235,-1,0))+1,0)</f>
        <v>0</v>
      </c>
      <c r="I1235" s="3" t="s">
        <v>125</v>
      </c>
      <c r="K1235" s="2">
        <f>IF(ISNUMBER(SEARCH(Лист2!$B$4,F:F)),1,0)</f>
        <v>0</v>
      </c>
      <c r="L1235" s="14">
        <f>IF(ISNUMBER(SEARCH(Лист2!$B$5,I:I)),1,0)+K1235</f>
        <v>0</v>
      </c>
      <c r="M1235" s="3">
        <f ca="1">IF(AND(N1235&lt;&gt;N1234,ISNUMBER(SEARCH(Лист2!$B$6,N:N)),L1235=2),MAX($M$3:OFFSET(M1235,-1,0))+1,0)</f>
        <v>0</v>
      </c>
      <c r="N1235" s="3" t="s">
        <v>1277</v>
      </c>
    </row>
    <row r="1236" spans="1:14" x14ac:dyDescent="0.25">
      <c r="A1236" s="1" t="s">
        <v>10772</v>
      </c>
      <c r="B1236" s="3" t="s">
        <v>4860</v>
      </c>
      <c r="C1236" s="2">
        <f ca="1">IF(ISNUMBER(SEARCH(Лист2!$B$4,D:D)),MAX($C$3:OFFSET(C1236,-1,0))+1,0)</f>
        <v>0</v>
      </c>
      <c r="E1236" s="9" t="str">
        <f t="shared" ca="1" si="31"/>
        <v/>
      </c>
      <c r="F1236" s="4" t="s">
        <v>4</v>
      </c>
      <c r="G1236" s="2">
        <f>IF(ISNUMBER(SEARCH(Лист2!$B$4,F:F)),1,0)</f>
        <v>0</v>
      </c>
      <c r="H1236" s="3">
        <f ca="1">IF(AND(I1236&lt;&gt;I1235,ISNUMBER(SEARCH(Лист2!$B$5,I:I)),G1236=1),MAX($H$3:OFFSET(H1236,-1,0))+1,0)</f>
        <v>0</v>
      </c>
      <c r="I1236" s="3" t="s">
        <v>126</v>
      </c>
      <c r="K1236" s="2">
        <f>IF(ISNUMBER(SEARCH(Лист2!$B$4,F:F)),1,0)</f>
        <v>0</v>
      </c>
      <c r="L1236" s="14">
        <f>IF(ISNUMBER(SEARCH(Лист2!$B$5,I:I)),1,0)+K1236</f>
        <v>0</v>
      </c>
      <c r="M1236" s="3">
        <f ca="1">IF(AND(N1236&lt;&gt;N1235,ISNUMBER(SEARCH(Лист2!$B$6,N:N)),L1236=2),MAX($M$3:OFFSET(M1236,-1,0))+1,0)</f>
        <v>0</v>
      </c>
      <c r="N1236" s="3" t="s">
        <v>1278</v>
      </c>
    </row>
    <row r="1237" spans="1:14" x14ac:dyDescent="0.25">
      <c r="A1237" s="1" t="s">
        <v>10773</v>
      </c>
      <c r="B1237" s="3" t="s">
        <v>4861</v>
      </c>
      <c r="C1237" s="2">
        <f ca="1">IF(ISNUMBER(SEARCH(Лист2!$B$4,D:D)),MAX($C$3:OFFSET(C1237,-1,0))+1,0)</f>
        <v>0</v>
      </c>
      <c r="E1237" s="9" t="str">
        <f t="shared" ca="1" si="31"/>
        <v/>
      </c>
      <c r="F1237" s="4" t="s">
        <v>4</v>
      </c>
      <c r="G1237" s="2">
        <f>IF(ISNUMBER(SEARCH(Лист2!$B$4,F:F)),1,0)</f>
        <v>0</v>
      </c>
      <c r="H1237" s="3">
        <f ca="1">IF(AND(I1237&lt;&gt;I1236,ISNUMBER(SEARCH(Лист2!$B$5,I:I)),G1237=1),MAX($H$3:OFFSET(H1237,-1,0))+1,0)</f>
        <v>0</v>
      </c>
      <c r="I1237" s="3" t="s">
        <v>128</v>
      </c>
      <c r="K1237" s="2">
        <f>IF(ISNUMBER(SEARCH(Лист2!$B$4,F:F)),1,0)</f>
        <v>0</v>
      </c>
      <c r="L1237" s="14">
        <f>IF(ISNUMBER(SEARCH(Лист2!$B$5,I:I)),1,0)+K1237</f>
        <v>0</v>
      </c>
      <c r="M1237" s="3">
        <f ca="1">IF(AND(N1237&lt;&gt;N1236,ISNUMBER(SEARCH(Лист2!$B$6,N:N)),L1237=2),MAX($M$3:OFFSET(M1237,-1,0))+1,0)</f>
        <v>0</v>
      </c>
      <c r="N1237" s="3" t="s">
        <v>1279</v>
      </c>
    </row>
    <row r="1238" spans="1:14" x14ac:dyDescent="0.25">
      <c r="A1238" s="1" t="s">
        <v>10774</v>
      </c>
      <c r="B1238" s="3" t="s">
        <v>4862</v>
      </c>
      <c r="C1238" s="2">
        <f ca="1">IF(ISNUMBER(SEARCH(Лист2!$B$4,D:D)),MAX($C$3:OFFSET(C1238,-1,0))+1,0)</f>
        <v>0</v>
      </c>
      <c r="E1238" s="9" t="str">
        <f t="shared" ca="1" si="31"/>
        <v/>
      </c>
      <c r="F1238" s="4" t="s">
        <v>4</v>
      </c>
      <c r="G1238" s="2">
        <f>IF(ISNUMBER(SEARCH(Лист2!$B$4,F:F)),1,0)</f>
        <v>0</v>
      </c>
      <c r="H1238" s="3">
        <f ca="1">IF(AND(I1238&lt;&gt;I1237,ISNUMBER(SEARCH(Лист2!$B$5,I:I)),G1238=1),MAX($H$3:OFFSET(H1238,-1,0))+1,0)</f>
        <v>0</v>
      </c>
      <c r="I1238" s="3" t="s">
        <v>129</v>
      </c>
      <c r="K1238" s="2">
        <f>IF(ISNUMBER(SEARCH(Лист2!$B$4,F:F)),1,0)</f>
        <v>0</v>
      </c>
      <c r="L1238" s="14">
        <f>IF(ISNUMBER(SEARCH(Лист2!$B$5,I:I)),1,0)+K1238</f>
        <v>0</v>
      </c>
      <c r="M1238" s="3">
        <f ca="1">IF(AND(N1238&lt;&gt;N1237,ISNUMBER(SEARCH(Лист2!$B$6,N:N)),L1238=2),MAX($M$3:OFFSET(M1238,-1,0))+1,0)</f>
        <v>0</v>
      </c>
      <c r="N1238" s="3" t="s">
        <v>1280</v>
      </c>
    </row>
    <row r="1239" spans="1:14" x14ac:dyDescent="0.25">
      <c r="A1239" s="1" t="s">
        <v>10775</v>
      </c>
      <c r="B1239" s="3" t="s">
        <v>4863</v>
      </c>
      <c r="C1239" s="2">
        <f ca="1">IF(ISNUMBER(SEARCH(Лист2!$B$4,D:D)),MAX($C$3:OFFSET(C1239,-1,0))+1,0)</f>
        <v>0</v>
      </c>
      <c r="E1239" s="9" t="str">
        <f t="shared" ca="1" si="31"/>
        <v/>
      </c>
      <c r="F1239" s="4" t="s">
        <v>4</v>
      </c>
      <c r="G1239" s="2">
        <f>IF(ISNUMBER(SEARCH(Лист2!$B$4,F:F)),1,0)</f>
        <v>0</v>
      </c>
      <c r="H1239" s="3">
        <f ca="1">IF(AND(I1239&lt;&gt;I1238,ISNUMBER(SEARCH(Лист2!$B$5,I:I)),G1239=1),MAX($H$3:OFFSET(H1239,-1,0))+1,0)</f>
        <v>0</v>
      </c>
      <c r="I1239" s="3" t="s">
        <v>130</v>
      </c>
      <c r="K1239" s="2">
        <f>IF(ISNUMBER(SEARCH(Лист2!$B$4,F:F)),1,0)</f>
        <v>0</v>
      </c>
      <c r="L1239" s="14">
        <f>IF(ISNUMBER(SEARCH(Лист2!$B$5,I:I)),1,0)+K1239</f>
        <v>0</v>
      </c>
      <c r="M1239" s="3">
        <f ca="1">IF(AND(N1239&lt;&gt;N1238,ISNUMBER(SEARCH(Лист2!$B$6,N:N)),L1239=2),MAX($M$3:OFFSET(M1239,-1,0))+1,0)</f>
        <v>0</v>
      </c>
      <c r="N1239" s="3" t="s">
        <v>1281</v>
      </c>
    </row>
    <row r="1240" spans="1:14" x14ac:dyDescent="0.25">
      <c r="A1240" s="1" t="s">
        <v>10776</v>
      </c>
      <c r="B1240" s="3" t="s">
        <v>4864</v>
      </c>
      <c r="C1240" s="2">
        <f ca="1">IF(ISNUMBER(SEARCH(Лист2!$B$4,D:D)),MAX($C$3:OFFSET(C1240,-1,0))+1,0)</f>
        <v>0</v>
      </c>
      <c r="E1240" s="9" t="str">
        <f t="shared" ca="1" si="31"/>
        <v/>
      </c>
      <c r="F1240" s="4" t="s">
        <v>4</v>
      </c>
      <c r="G1240" s="2">
        <f>IF(ISNUMBER(SEARCH(Лист2!$B$4,F:F)),1,0)</f>
        <v>0</v>
      </c>
      <c r="H1240" s="3">
        <f ca="1">IF(AND(I1240&lt;&gt;I1239,ISNUMBER(SEARCH(Лист2!$B$5,I:I)),G1240=1),MAX($H$3:OFFSET(H1240,-1,0))+1,0)</f>
        <v>0</v>
      </c>
      <c r="I1240" s="3" t="s">
        <v>131</v>
      </c>
      <c r="K1240" s="2">
        <f>IF(ISNUMBER(SEARCH(Лист2!$B$4,F:F)),1,0)</f>
        <v>0</v>
      </c>
      <c r="L1240" s="14">
        <f>IF(ISNUMBER(SEARCH(Лист2!$B$5,I:I)),1,0)+K1240</f>
        <v>0</v>
      </c>
      <c r="M1240" s="3">
        <f ca="1">IF(AND(N1240&lt;&gt;N1239,ISNUMBER(SEARCH(Лист2!$B$6,N:N)),L1240=2),MAX($M$3:OFFSET(M1240,-1,0))+1,0)</f>
        <v>0</v>
      </c>
      <c r="N1240" s="3" t="s">
        <v>1282</v>
      </c>
    </row>
    <row r="1241" spans="1:14" x14ac:dyDescent="0.25">
      <c r="A1241" s="1" t="s">
        <v>10777</v>
      </c>
      <c r="B1241" s="3" t="s">
        <v>4865</v>
      </c>
      <c r="C1241" s="2">
        <f ca="1">IF(ISNUMBER(SEARCH(Лист2!$B$4,D:D)),MAX($C$3:OFFSET(C1241,-1,0))+1,0)</f>
        <v>0</v>
      </c>
      <c r="E1241" s="9" t="str">
        <f t="shared" ca="1" si="31"/>
        <v/>
      </c>
      <c r="F1241" s="4" t="s">
        <v>4</v>
      </c>
      <c r="G1241" s="2">
        <f>IF(ISNUMBER(SEARCH(Лист2!$B$4,F:F)),1,0)</f>
        <v>0</v>
      </c>
      <c r="H1241" s="3">
        <f ca="1">IF(AND(I1241&lt;&gt;I1240,ISNUMBER(SEARCH(Лист2!$B$5,I:I)),G1241=1),MAX($H$3:OFFSET(H1241,-1,0))+1,0)</f>
        <v>0</v>
      </c>
      <c r="I1241" s="3" t="s">
        <v>132</v>
      </c>
      <c r="K1241" s="2">
        <f>IF(ISNUMBER(SEARCH(Лист2!$B$4,F:F)),1,0)</f>
        <v>0</v>
      </c>
      <c r="L1241" s="14">
        <f>IF(ISNUMBER(SEARCH(Лист2!$B$5,I:I)),1,0)+K1241</f>
        <v>0</v>
      </c>
      <c r="M1241" s="3">
        <f ca="1">IF(AND(N1241&lt;&gt;N1240,ISNUMBER(SEARCH(Лист2!$B$6,N:N)),L1241=2),MAX($M$3:OFFSET(M1241,-1,0))+1,0)</f>
        <v>0</v>
      </c>
      <c r="N1241" s="3" t="s">
        <v>1283</v>
      </c>
    </row>
    <row r="1242" spans="1:14" x14ac:dyDescent="0.25">
      <c r="A1242" s="1" t="s">
        <v>10778</v>
      </c>
      <c r="B1242" s="3" t="s">
        <v>4866</v>
      </c>
      <c r="C1242" s="2">
        <f ca="1">IF(ISNUMBER(SEARCH(Лист2!$B$4,D:D)),MAX($C$3:OFFSET(C1242,-1,0))+1,0)</f>
        <v>0</v>
      </c>
      <c r="E1242" s="9" t="str">
        <f t="shared" ca="1" si="31"/>
        <v/>
      </c>
      <c r="F1242" s="4" t="s">
        <v>4</v>
      </c>
      <c r="G1242" s="2">
        <f>IF(ISNUMBER(SEARCH(Лист2!$B$4,F:F)),1,0)</f>
        <v>0</v>
      </c>
      <c r="H1242" s="3">
        <f ca="1">IF(AND(I1242&lt;&gt;I1241,ISNUMBER(SEARCH(Лист2!$B$5,I:I)),G1242=1),MAX($H$3:OFFSET(H1242,-1,0))+1,0)</f>
        <v>0</v>
      </c>
      <c r="I1242" s="3" t="s">
        <v>94</v>
      </c>
      <c r="K1242" s="2">
        <f>IF(ISNUMBER(SEARCH(Лист2!$B$4,F:F)),1,0)</f>
        <v>0</v>
      </c>
      <c r="L1242" s="14">
        <f>IF(ISNUMBER(SEARCH(Лист2!$B$5,I:I)),1,0)+K1242</f>
        <v>0</v>
      </c>
      <c r="M1242" s="3">
        <f ca="1">IF(AND(N1242&lt;&gt;N1241,ISNUMBER(SEARCH(Лист2!$B$6,N:N)),L1242=2),MAX($M$3:OFFSET(M1242,-1,0))+1,0)</f>
        <v>0</v>
      </c>
      <c r="N1242" s="3" t="s">
        <v>1284</v>
      </c>
    </row>
    <row r="1243" spans="1:14" x14ac:dyDescent="0.25">
      <c r="A1243" s="1" t="s">
        <v>10779</v>
      </c>
      <c r="B1243" s="3" t="s">
        <v>4867</v>
      </c>
      <c r="C1243" s="2">
        <f ca="1">IF(ISNUMBER(SEARCH(Лист2!$B$4,D:D)),MAX($C$3:OFFSET(C1243,-1,0))+1,0)</f>
        <v>0</v>
      </c>
      <c r="E1243" s="9" t="str">
        <f t="shared" ca="1" si="31"/>
        <v/>
      </c>
      <c r="F1243" s="4" t="s">
        <v>4</v>
      </c>
      <c r="G1243" s="2">
        <f>IF(ISNUMBER(SEARCH(Лист2!$B$4,F:F)),1,0)</f>
        <v>0</v>
      </c>
      <c r="H1243" s="3">
        <f ca="1">IF(AND(I1243&lt;&gt;I1242,ISNUMBER(SEARCH(Лист2!$B$5,I:I)),G1243=1),MAX($H$3:OFFSET(H1243,-1,0))+1,0)</f>
        <v>0</v>
      </c>
      <c r="I1243" s="3" t="s">
        <v>96</v>
      </c>
      <c r="K1243" s="2">
        <f>IF(ISNUMBER(SEARCH(Лист2!$B$4,F:F)),1,0)</f>
        <v>0</v>
      </c>
      <c r="L1243" s="14">
        <f>IF(ISNUMBER(SEARCH(Лист2!$B$5,I:I)),1,0)+K1243</f>
        <v>0</v>
      </c>
      <c r="M1243" s="3">
        <f ca="1">IF(AND(N1243&lt;&gt;N1242,ISNUMBER(SEARCH(Лист2!$B$6,N:N)),L1243=2),MAX($M$3:OFFSET(M1243,-1,0))+1,0)</f>
        <v>0</v>
      </c>
      <c r="N1243" s="3" t="s">
        <v>1285</v>
      </c>
    </row>
    <row r="1244" spans="1:14" x14ac:dyDescent="0.25">
      <c r="A1244" s="1" t="s">
        <v>10780</v>
      </c>
      <c r="B1244" s="3" t="s">
        <v>4868</v>
      </c>
      <c r="C1244" s="2">
        <f ca="1">IF(ISNUMBER(SEARCH(Лист2!$B$4,D:D)),MAX($C$3:OFFSET(C1244,-1,0))+1,0)</f>
        <v>0</v>
      </c>
      <c r="E1244" s="9" t="str">
        <f t="shared" ca="1" si="31"/>
        <v/>
      </c>
      <c r="F1244" s="4" t="s">
        <v>4</v>
      </c>
      <c r="G1244" s="2">
        <f>IF(ISNUMBER(SEARCH(Лист2!$B$4,F:F)),1,0)</f>
        <v>0</v>
      </c>
      <c r="H1244" s="3">
        <f ca="1">IF(AND(I1244&lt;&gt;I1243,ISNUMBER(SEARCH(Лист2!$B$5,I:I)),G1244=1),MAX($H$3:OFFSET(H1244,-1,0))+1,0)</f>
        <v>0</v>
      </c>
      <c r="I1244" s="3" t="s">
        <v>91</v>
      </c>
      <c r="K1244" s="2">
        <f>IF(ISNUMBER(SEARCH(Лист2!$B$4,F:F)),1,0)</f>
        <v>0</v>
      </c>
      <c r="L1244" s="14">
        <f>IF(ISNUMBER(SEARCH(Лист2!$B$5,I:I)),1,0)+K1244</f>
        <v>0</v>
      </c>
      <c r="M1244" s="3">
        <f ca="1">IF(AND(N1244&lt;&gt;N1243,ISNUMBER(SEARCH(Лист2!$B$6,N:N)),L1244=2),MAX($M$3:OFFSET(M1244,-1,0))+1,0)</f>
        <v>0</v>
      </c>
      <c r="N1244" s="3" t="s">
        <v>1286</v>
      </c>
    </row>
    <row r="1245" spans="1:14" x14ac:dyDescent="0.25">
      <c r="A1245" s="1" t="s">
        <v>10781</v>
      </c>
      <c r="B1245" s="3" t="s">
        <v>4869</v>
      </c>
      <c r="C1245" s="2">
        <f ca="1">IF(ISNUMBER(SEARCH(Лист2!$B$4,D:D)),MAX($C$3:OFFSET(C1245,-1,0))+1,0)</f>
        <v>0</v>
      </c>
      <c r="E1245" s="9" t="str">
        <f t="shared" ca="1" si="31"/>
        <v/>
      </c>
      <c r="F1245" s="4" t="s">
        <v>4</v>
      </c>
      <c r="G1245" s="2">
        <f>IF(ISNUMBER(SEARCH(Лист2!$B$4,F:F)),1,0)</f>
        <v>0</v>
      </c>
      <c r="H1245" s="3">
        <f ca="1">IF(AND(I1245&lt;&gt;I1244,ISNUMBER(SEARCH(Лист2!$B$5,I:I)),G1245=1),MAX($H$3:OFFSET(H1245,-1,0))+1,0)</f>
        <v>0</v>
      </c>
      <c r="I1245" s="3" t="s">
        <v>97</v>
      </c>
      <c r="K1245" s="2">
        <f>IF(ISNUMBER(SEARCH(Лист2!$B$4,F:F)),1,0)</f>
        <v>0</v>
      </c>
      <c r="L1245" s="14">
        <f>IF(ISNUMBER(SEARCH(Лист2!$B$5,I:I)),1,0)+K1245</f>
        <v>0</v>
      </c>
      <c r="M1245" s="3">
        <f ca="1">IF(AND(N1245&lt;&gt;N1244,ISNUMBER(SEARCH(Лист2!$B$6,N:N)),L1245=2),MAX($M$3:OFFSET(M1245,-1,0))+1,0)</f>
        <v>0</v>
      </c>
      <c r="N1245" s="3" t="s">
        <v>1287</v>
      </c>
    </row>
    <row r="1246" spans="1:14" x14ac:dyDescent="0.25">
      <c r="A1246" s="1" t="s">
        <v>10782</v>
      </c>
      <c r="B1246" s="3" t="s">
        <v>4870</v>
      </c>
      <c r="C1246" s="2">
        <f ca="1">IF(ISNUMBER(SEARCH(Лист2!$B$4,D:D)),MAX($C$3:OFFSET(C1246,-1,0))+1,0)</f>
        <v>0</v>
      </c>
      <c r="E1246" s="9" t="str">
        <f t="shared" ca="1" si="31"/>
        <v/>
      </c>
      <c r="F1246" s="4" t="s">
        <v>4</v>
      </c>
      <c r="G1246" s="2">
        <f>IF(ISNUMBER(SEARCH(Лист2!$B$4,F:F)),1,0)</f>
        <v>0</v>
      </c>
      <c r="H1246" s="3">
        <f ca="1">IF(AND(I1246&lt;&gt;I1245,ISNUMBER(SEARCH(Лист2!$B$5,I:I)),G1246=1),MAX($H$3:OFFSET(H1246,-1,0))+1,0)</f>
        <v>0</v>
      </c>
      <c r="I1246" s="3" t="s">
        <v>95</v>
      </c>
      <c r="K1246" s="2">
        <f>IF(ISNUMBER(SEARCH(Лист2!$B$4,F:F)),1,0)</f>
        <v>0</v>
      </c>
      <c r="L1246" s="14">
        <f>IF(ISNUMBER(SEARCH(Лист2!$B$5,I:I)),1,0)+K1246</f>
        <v>0</v>
      </c>
      <c r="M1246" s="3">
        <f ca="1">IF(AND(N1246&lt;&gt;N1245,ISNUMBER(SEARCH(Лист2!$B$6,N:N)),L1246=2),MAX($M$3:OFFSET(M1246,-1,0))+1,0)</f>
        <v>0</v>
      </c>
      <c r="N1246" s="3" t="s">
        <v>1288</v>
      </c>
    </row>
    <row r="1247" spans="1:14" x14ac:dyDescent="0.25">
      <c r="A1247" s="1" t="s">
        <v>10783</v>
      </c>
      <c r="B1247" s="3" t="s">
        <v>4871</v>
      </c>
      <c r="C1247" s="2">
        <f ca="1">IF(ISNUMBER(SEARCH(Лист2!$B$4,D:D)),MAX($C$3:OFFSET(C1247,-1,0))+1,0)</f>
        <v>0</v>
      </c>
      <c r="E1247" s="9" t="str">
        <f t="shared" ca="1" si="31"/>
        <v/>
      </c>
      <c r="F1247" s="4" t="s">
        <v>4</v>
      </c>
      <c r="G1247" s="2">
        <f>IF(ISNUMBER(SEARCH(Лист2!$B$4,F:F)),1,0)</f>
        <v>0</v>
      </c>
      <c r="H1247" s="3">
        <f ca="1">IF(AND(I1247&lt;&gt;I1246,ISNUMBER(SEARCH(Лист2!$B$5,I:I)),G1247=1),MAX($H$3:OFFSET(H1247,-1,0))+1,0)</f>
        <v>0</v>
      </c>
      <c r="I1247" s="3" t="s">
        <v>99</v>
      </c>
      <c r="K1247" s="2">
        <f>IF(ISNUMBER(SEARCH(Лист2!$B$4,F:F)),1,0)</f>
        <v>0</v>
      </c>
      <c r="L1247" s="14">
        <f>IF(ISNUMBER(SEARCH(Лист2!$B$5,I:I)),1,0)+K1247</f>
        <v>0</v>
      </c>
      <c r="M1247" s="3">
        <f ca="1">IF(AND(N1247&lt;&gt;N1246,ISNUMBER(SEARCH(Лист2!$B$6,N:N)),L1247=2),MAX($M$3:OFFSET(M1247,-1,0))+1,0)</f>
        <v>0</v>
      </c>
      <c r="N1247" s="3" t="s">
        <v>1289</v>
      </c>
    </row>
    <row r="1248" spans="1:14" x14ac:dyDescent="0.25">
      <c r="A1248" s="1" t="s">
        <v>10784</v>
      </c>
      <c r="B1248" s="3" t="s">
        <v>4872</v>
      </c>
      <c r="C1248" s="2">
        <f ca="1">IF(ISNUMBER(SEARCH(Лист2!$B$4,D:D)),MAX($C$3:OFFSET(C1248,-1,0))+1,0)</f>
        <v>0</v>
      </c>
      <c r="E1248" s="9" t="str">
        <f t="shared" ca="1" si="31"/>
        <v/>
      </c>
      <c r="F1248" s="4" t="s">
        <v>4</v>
      </c>
      <c r="G1248" s="2">
        <f>IF(ISNUMBER(SEARCH(Лист2!$B$4,F:F)),1,0)</f>
        <v>0</v>
      </c>
      <c r="H1248" s="3">
        <f ca="1">IF(AND(I1248&lt;&gt;I1247,ISNUMBER(SEARCH(Лист2!$B$5,I:I)),G1248=1),MAX($H$3:OFFSET(H1248,-1,0))+1,0)</f>
        <v>0</v>
      </c>
      <c r="I1248" s="3" t="s">
        <v>100</v>
      </c>
      <c r="K1248" s="2">
        <f>IF(ISNUMBER(SEARCH(Лист2!$B$4,F:F)),1,0)</f>
        <v>0</v>
      </c>
      <c r="L1248" s="14">
        <f>IF(ISNUMBER(SEARCH(Лист2!$B$5,I:I)),1,0)+K1248</f>
        <v>0</v>
      </c>
      <c r="M1248" s="3">
        <f ca="1">IF(AND(N1248&lt;&gt;N1247,ISNUMBER(SEARCH(Лист2!$B$6,N:N)),L1248=2),MAX($M$3:OFFSET(M1248,-1,0))+1,0)</f>
        <v>0</v>
      </c>
      <c r="N1248" s="3" t="s">
        <v>1290</v>
      </c>
    </row>
    <row r="1249" spans="1:14" x14ac:dyDescent="0.25">
      <c r="A1249" s="1" t="s">
        <v>10785</v>
      </c>
      <c r="B1249" s="3" t="s">
        <v>4873</v>
      </c>
      <c r="C1249" s="2">
        <f ca="1">IF(ISNUMBER(SEARCH(Лист2!$B$4,D:D)),MAX($C$3:OFFSET(C1249,-1,0))+1,0)</f>
        <v>0</v>
      </c>
      <c r="E1249" s="9" t="str">
        <f t="shared" ca="1" si="31"/>
        <v/>
      </c>
      <c r="F1249" s="4" t="s">
        <v>4</v>
      </c>
      <c r="G1249" s="2">
        <f>IF(ISNUMBER(SEARCH(Лист2!$B$4,F:F)),1,0)</f>
        <v>0</v>
      </c>
      <c r="H1249" s="3">
        <f ca="1">IF(AND(I1249&lt;&gt;I1248,ISNUMBER(SEARCH(Лист2!$B$5,I:I)),G1249=1),MAX($H$3:OFFSET(H1249,-1,0))+1,0)</f>
        <v>0</v>
      </c>
      <c r="I1249" s="3" t="s">
        <v>101</v>
      </c>
      <c r="K1249" s="2">
        <f>IF(ISNUMBER(SEARCH(Лист2!$B$4,F:F)),1,0)</f>
        <v>0</v>
      </c>
      <c r="L1249" s="14">
        <f>IF(ISNUMBER(SEARCH(Лист2!$B$5,I:I)),1,0)+K1249</f>
        <v>0</v>
      </c>
      <c r="M1249" s="3">
        <f ca="1">IF(AND(N1249&lt;&gt;N1248,ISNUMBER(SEARCH(Лист2!$B$6,N:N)),L1249=2),MAX($M$3:OFFSET(M1249,-1,0))+1,0)</f>
        <v>0</v>
      </c>
      <c r="N1249" s="3" t="s">
        <v>1291</v>
      </c>
    </row>
    <row r="1250" spans="1:14" x14ac:dyDescent="0.25">
      <c r="A1250" s="1" t="s">
        <v>10786</v>
      </c>
      <c r="B1250" s="3" t="s">
        <v>4874</v>
      </c>
      <c r="C1250" s="2">
        <f ca="1">IF(ISNUMBER(SEARCH(Лист2!$B$4,D:D)),MAX($C$3:OFFSET(C1250,-1,0))+1,0)</f>
        <v>0</v>
      </c>
      <c r="E1250" s="9" t="str">
        <f t="shared" ca="1" si="31"/>
        <v/>
      </c>
      <c r="F1250" s="4" t="s">
        <v>4</v>
      </c>
      <c r="G1250" s="2">
        <f>IF(ISNUMBER(SEARCH(Лист2!$B$4,F:F)),1,0)</f>
        <v>0</v>
      </c>
      <c r="H1250" s="3">
        <f ca="1">IF(AND(I1250&lt;&gt;I1249,ISNUMBER(SEARCH(Лист2!$B$5,I:I)),G1250=1),MAX($H$3:OFFSET(H1250,-1,0))+1,0)</f>
        <v>0</v>
      </c>
      <c r="I1250" s="3" t="s">
        <v>102</v>
      </c>
      <c r="K1250" s="2">
        <f>IF(ISNUMBER(SEARCH(Лист2!$B$4,F:F)),1,0)</f>
        <v>0</v>
      </c>
      <c r="L1250" s="14">
        <f>IF(ISNUMBER(SEARCH(Лист2!$B$5,I:I)),1,0)+K1250</f>
        <v>0</v>
      </c>
      <c r="M1250" s="3">
        <f ca="1">IF(AND(N1250&lt;&gt;N1249,ISNUMBER(SEARCH(Лист2!$B$6,N:N)),L1250=2),MAX($M$3:OFFSET(M1250,-1,0))+1,0)</f>
        <v>0</v>
      </c>
      <c r="N1250" s="3" t="s">
        <v>1292</v>
      </c>
    </row>
    <row r="1251" spans="1:14" x14ac:dyDescent="0.25">
      <c r="A1251" s="1" t="s">
        <v>10787</v>
      </c>
      <c r="B1251" s="3" t="s">
        <v>4875</v>
      </c>
      <c r="C1251" s="2">
        <f ca="1">IF(ISNUMBER(SEARCH(Лист2!$B$4,D:D)),MAX($C$3:OFFSET(C1251,-1,0))+1,0)</f>
        <v>0</v>
      </c>
      <c r="E1251" s="9" t="str">
        <f t="shared" ca="1" si="31"/>
        <v/>
      </c>
      <c r="F1251" s="4" t="s">
        <v>4</v>
      </c>
      <c r="G1251" s="2">
        <f>IF(ISNUMBER(SEARCH(Лист2!$B$4,F:F)),1,0)</f>
        <v>0</v>
      </c>
      <c r="H1251" s="3">
        <f ca="1">IF(AND(I1251&lt;&gt;I1250,ISNUMBER(SEARCH(Лист2!$B$5,I:I)),G1251=1),MAX($H$3:OFFSET(H1251,-1,0))+1,0)</f>
        <v>0</v>
      </c>
      <c r="I1251" s="3" t="s">
        <v>103</v>
      </c>
      <c r="K1251" s="2">
        <f>IF(ISNUMBER(SEARCH(Лист2!$B$4,F:F)),1,0)</f>
        <v>0</v>
      </c>
      <c r="L1251" s="14">
        <f>IF(ISNUMBER(SEARCH(Лист2!$B$5,I:I)),1,0)+K1251</f>
        <v>0</v>
      </c>
      <c r="M1251" s="3">
        <f ca="1">IF(AND(N1251&lt;&gt;N1250,ISNUMBER(SEARCH(Лист2!$B$6,N:N)),L1251=2),MAX($M$3:OFFSET(M1251,-1,0))+1,0)</f>
        <v>0</v>
      </c>
      <c r="N1251" s="3" t="s">
        <v>1293</v>
      </c>
    </row>
    <row r="1252" spans="1:14" x14ac:dyDescent="0.25">
      <c r="A1252" s="1" t="s">
        <v>10788</v>
      </c>
      <c r="B1252" s="3" t="s">
        <v>4876</v>
      </c>
      <c r="C1252" s="2">
        <f ca="1">IF(ISNUMBER(SEARCH(Лист2!$B$4,D:D)),MAX($C$3:OFFSET(C1252,-1,0))+1,0)</f>
        <v>0</v>
      </c>
      <c r="E1252" s="9" t="str">
        <f t="shared" ca="1" si="31"/>
        <v/>
      </c>
      <c r="F1252" s="4" t="s">
        <v>4</v>
      </c>
      <c r="G1252" s="2">
        <f>IF(ISNUMBER(SEARCH(Лист2!$B$4,F:F)),1,0)</f>
        <v>0</v>
      </c>
      <c r="H1252" s="3">
        <f ca="1">IF(AND(I1252&lt;&gt;I1251,ISNUMBER(SEARCH(Лист2!$B$5,I:I)),G1252=1),MAX($H$3:OFFSET(H1252,-1,0))+1,0)</f>
        <v>0</v>
      </c>
      <c r="I1252" s="3" t="s">
        <v>104</v>
      </c>
      <c r="K1252" s="2">
        <f>IF(ISNUMBER(SEARCH(Лист2!$B$4,F:F)),1,0)</f>
        <v>0</v>
      </c>
      <c r="L1252" s="14">
        <f>IF(ISNUMBER(SEARCH(Лист2!$B$5,I:I)),1,0)+K1252</f>
        <v>0</v>
      </c>
      <c r="M1252" s="3">
        <f ca="1">IF(AND(N1252&lt;&gt;N1251,ISNUMBER(SEARCH(Лист2!$B$6,N:N)),L1252=2),MAX($M$3:OFFSET(M1252,-1,0))+1,0)</f>
        <v>0</v>
      </c>
      <c r="N1252" s="3" t="s">
        <v>1294</v>
      </c>
    </row>
    <row r="1253" spans="1:14" x14ac:dyDescent="0.25">
      <c r="A1253" s="1" t="s">
        <v>10789</v>
      </c>
      <c r="B1253" s="3" t="s">
        <v>4877</v>
      </c>
      <c r="C1253" s="2">
        <f ca="1">IF(ISNUMBER(SEARCH(Лист2!$B$4,D:D)),MAX($C$3:OFFSET(C1253,-1,0))+1,0)</f>
        <v>0</v>
      </c>
      <c r="E1253" s="9" t="str">
        <f t="shared" ca="1" si="31"/>
        <v/>
      </c>
      <c r="F1253" s="4" t="s">
        <v>4</v>
      </c>
      <c r="G1253" s="2">
        <f>IF(ISNUMBER(SEARCH(Лист2!$B$4,F:F)),1,0)</f>
        <v>0</v>
      </c>
      <c r="H1253" s="3">
        <f ca="1">IF(AND(I1253&lt;&gt;I1252,ISNUMBER(SEARCH(Лист2!$B$5,I:I)),G1253=1),MAX($H$3:OFFSET(H1253,-1,0))+1,0)</f>
        <v>0</v>
      </c>
      <c r="I1253" s="3" t="s">
        <v>145</v>
      </c>
      <c r="K1253" s="2">
        <f>IF(ISNUMBER(SEARCH(Лист2!$B$4,F:F)),1,0)</f>
        <v>0</v>
      </c>
      <c r="L1253" s="14">
        <f>IF(ISNUMBER(SEARCH(Лист2!$B$5,I:I)),1,0)+K1253</f>
        <v>0</v>
      </c>
      <c r="M1253" s="3">
        <f ca="1">IF(AND(N1253&lt;&gt;N1252,ISNUMBER(SEARCH(Лист2!$B$6,N:N)),L1253=2),MAX($M$3:OFFSET(M1253,-1,0))+1,0)</f>
        <v>0</v>
      </c>
      <c r="N1253" s="3" t="s">
        <v>1295</v>
      </c>
    </row>
    <row r="1254" spans="1:14" x14ac:dyDescent="0.25">
      <c r="A1254" s="1" t="s">
        <v>10790</v>
      </c>
      <c r="B1254" s="3" t="s">
        <v>4878</v>
      </c>
      <c r="C1254" s="2">
        <f ca="1">IF(ISNUMBER(SEARCH(Лист2!$B$4,D:D)),MAX($C$3:OFFSET(C1254,-1,0))+1,0)</f>
        <v>0</v>
      </c>
      <c r="E1254" s="9" t="str">
        <f t="shared" ca="1" si="31"/>
        <v/>
      </c>
      <c r="F1254" s="4" t="s">
        <v>4</v>
      </c>
      <c r="G1254" s="2">
        <f>IF(ISNUMBER(SEARCH(Лист2!$B$4,F:F)),1,0)</f>
        <v>0</v>
      </c>
      <c r="H1254" s="3">
        <f ca="1">IF(AND(I1254&lt;&gt;I1253,ISNUMBER(SEARCH(Лист2!$B$5,I:I)),G1254=1),MAX($H$3:OFFSET(H1254,-1,0))+1,0)</f>
        <v>0</v>
      </c>
      <c r="I1254" s="3" t="s">
        <v>98</v>
      </c>
      <c r="K1254" s="2">
        <f>IF(ISNUMBER(SEARCH(Лист2!$B$4,F:F)),1,0)</f>
        <v>0</v>
      </c>
      <c r="L1254" s="14">
        <f>IF(ISNUMBER(SEARCH(Лист2!$B$5,I:I)),1,0)+K1254</f>
        <v>0</v>
      </c>
      <c r="M1254" s="3">
        <f ca="1">IF(AND(N1254&lt;&gt;N1253,ISNUMBER(SEARCH(Лист2!$B$6,N:N)),L1254=2),MAX($M$3:OFFSET(M1254,-1,0))+1,0)</f>
        <v>0</v>
      </c>
      <c r="N1254" s="3" t="s">
        <v>618</v>
      </c>
    </row>
    <row r="1255" spans="1:14" x14ac:dyDescent="0.25">
      <c r="A1255" s="1" t="s">
        <v>10791</v>
      </c>
      <c r="B1255" s="3" t="s">
        <v>4879</v>
      </c>
      <c r="C1255" s="2">
        <f ca="1">IF(ISNUMBER(SEARCH(Лист2!$B$4,D:D)),MAX($C$3:OFFSET(C1255,-1,0))+1,0)</f>
        <v>0</v>
      </c>
      <c r="E1255" s="9" t="str">
        <f t="shared" ca="1" si="31"/>
        <v/>
      </c>
      <c r="F1255" s="4" t="s">
        <v>4</v>
      </c>
      <c r="G1255" s="2">
        <f>IF(ISNUMBER(SEARCH(Лист2!$B$4,F:F)),1,0)</f>
        <v>0</v>
      </c>
      <c r="H1255" s="3">
        <f ca="1">IF(AND(I1255&lt;&gt;I1254,ISNUMBER(SEARCH(Лист2!$B$5,I:I)),G1255=1),MAX($H$3:OFFSET(H1255,-1,0))+1,0)</f>
        <v>0</v>
      </c>
      <c r="I1255" s="3" t="s">
        <v>146</v>
      </c>
      <c r="K1255" s="2">
        <f>IF(ISNUMBER(SEARCH(Лист2!$B$4,F:F)),1,0)</f>
        <v>0</v>
      </c>
      <c r="L1255" s="14">
        <f>IF(ISNUMBER(SEARCH(Лист2!$B$5,I:I)),1,0)+K1255</f>
        <v>0</v>
      </c>
      <c r="M1255" s="3">
        <f ca="1">IF(AND(N1255&lt;&gt;N1254,ISNUMBER(SEARCH(Лист2!$B$6,N:N)),L1255=2),MAX($M$3:OFFSET(M1255,-1,0))+1,0)</f>
        <v>0</v>
      </c>
      <c r="N1255" s="3" t="s">
        <v>1296</v>
      </c>
    </row>
    <row r="1256" spans="1:14" x14ac:dyDescent="0.25">
      <c r="A1256" s="1" t="s">
        <v>10792</v>
      </c>
      <c r="B1256" s="3" t="s">
        <v>4880</v>
      </c>
      <c r="C1256" s="2">
        <f ca="1">IF(ISNUMBER(SEARCH(Лист2!$B$4,D:D)),MAX($C$3:OFFSET(C1256,-1,0))+1,0)</f>
        <v>0</v>
      </c>
      <c r="E1256" s="9" t="str">
        <f t="shared" ca="1" si="31"/>
        <v/>
      </c>
      <c r="F1256" s="4" t="s">
        <v>4</v>
      </c>
      <c r="G1256" s="2">
        <f>IF(ISNUMBER(SEARCH(Лист2!$B$4,F:F)),1,0)</f>
        <v>0</v>
      </c>
      <c r="H1256" s="3">
        <f ca="1">IF(AND(I1256&lt;&gt;I1255,ISNUMBER(SEARCH(Лист2!$B$5,I:I)),G1256=1),MAX($H$3:OFFSET(H1256,-1,0))+1,0)</f>
        <v>0</v>
      </c>
      <c r="I1256" s="3" t="s">
        <v>147</v>
      </c>
      <c r="K1256" s="2">
        <f>IF(ISNUMBER(SEARCH(Лист2!$B$4,F:F)),1,0)</f>
        <v>0</v>
      </c>
      <c r="L1256" s="14">
        <f>IF(ISNUMBER(SEARCH(Лист2!$B$5,I:I)),1,0)+K1256</f>
        <v>0</v>
      </c>
      <c r="M1256" s="3">
        <f ca="1">IF(AND(N1256&lt;&gt;N1255,ISNUMBER(SEARCH(Лист2!$B$6,N:N)),L1256=2),MAX($M$3:OFFSET(M1256,-1,0))+1,0)</f>
        <v>0</v>
      </c>
      <c r="N1256" s="3" t="s">
        <v>1297</v>
      </c>
    </row>
    <row r="1257" spans="1:14" x14ac:dyDescent="0.25">
      <c r="A1257" s="1" t="s">
        <v>10793</v>
      </c>
      <c r="B1257" s="3" t="s">
        <v>4881</v>
      </c>
      <c r="C1257" s="2">
        <f ca="1">IF(ISNUMBER(SEARCH(Лист2!$B$4,D:D)),MAX($C$3:OFFSET(C1257,-1,0))+1,0)</f>
        <v>0</v>
      </c>
      <c r="E1257" s="9" t="str">
        <f t="shared" ca="1" si="31"/>
        <v/>
      </c>
      <c r="F1257" s="4" t="s">
        <v>4</v>
      </c>
      <c r="G1257" s="2">
        <f>IF(ISNUMBER(SEARCH(Лист2!$B$4,F:F)),1,0)</f>
        <v>0</v>
      </c>
      <c r="H1257" s="3">
        <f ca="1">IF(AND(I1257&lt;&gt;I1256,ISNUMBER(SEARCH(Лист2!$B$5,I:I)),G1257=1),MAX($H$3:OFFSET(H1257,-1,0))+1,0)</f>
        <v>0</v>
      </c>
      <c r="I1257" s="3" t="s">
        <v>105</v>
      </c>
      <c r="K1257" s="2">
        <f>IF(ISNUMBER(SEARCH(Лист2!$B$4,F:F)),1,0)</f>
        <v>0</v>
      </c>
      <c r="L1257" s="14">
        <f>IF(ISNUMBER(SEARCH(Лист2!$B$5,I:I)),1,0)+K1257</f>
        <v>0</v>
      </c>
      <c r="M1257" s="3">
        <f ca="1">IF(AND(N1257&lt;&gt;N1256,ISNUMBER(SEARCH(Лист2!$B$6,N:N)),L1257=2),MAX($M$3:OFFSET(M1257,-1,0))+1,0)</f>
        <v>0</v>
      </c>
      <c r="N1257" s="3" t="s">
        <v>1298</v>
      </c>
    </row>
    <row r="1258" spans="1:14" x14ac:dyDescent="0.25">
      <c r="A1258" s="1" t="s">
        <v>10794</v>
      </c>
      <c r="B1258" s="3" t="s">
        <v>4882</v>
      </c>
      <c r="C1258" s="2">
        <f ca="1">IF(ISNUMBER(SEARCH(Лист2!$B$4,D:D)),MAX($C$3:OFFSET(C1258,-1,0))+1,0)</f>
        <v>0</v>
      </c>
      <c r="E1258" s="9" t="str">
        <f t="shared" ca="1" si="31"/>
        <v/>
      </c>
      <c r="F1258" s="4" t="s">
        <v>4</v>
      </c>
      <c r="G1258" s="2">
        <f>IF(ISNUMBER(SEARCH(Лист2!$B$4,F:F)),1,0)</f>
        <v>0</v>
      </c>
      <c r="H1258" s="3">
        <f ca="1">IF(AND(I1258&lt;&gt;I1257,ISNUMBER(SEARCH(Лист2!$B$5,I:I)),G1258=1),MAX($H$3:OFFSET(H1258,-1,0))+1,0)</f>
        <v>0</v>
      </c>
      <c r="I1258" s="3" t="s">
        <v>106</v>
      </c>
      <c r="K1258" s="2">
        <f>IF(ISNUMBER(SEARCH(Лист2!$B$4,F:F)),1,0)</f>
        <v>0</v>
      </c>
      <c r="L1258" s="14">
        <f>IF(ISNUMBER(SEARCH(Лист2!$B$5,I:I)),1,0)+K1258</f>
        <v>0</v>
      </c>
      <c r="M1258" s="3">
        <f ca="1">IF(AND(N1258&lt;&gt;N1257,ISNUMBER(SEARCH(Лист2!$B$6,N:N)),L1258=2),MAX($M$3:OFFSET(M1258,-1,0))+1,0)</f>
        <v>0</v>
      </c>
      <c r="N1258" s="3" t="s">
        <v>1299</v>
      </c>
    </row>
    <row r="1259" spans="1:14" x14ac:dyDescent="0.25">
      <c r="A1259" s="1" t="s">
        <v>10795</v>
      </c>
      <c r="B1259" s="3" t="s">
        <v>4883</v>
      </c>
      <c r="C1259" s="2">
        <f ca="1">IF(ISNUMBER(SEARCH(Лист2!$B$4,D:D)),MAX($C$3:OFFSET(C1259,-1,0))+1,0)</f>
        <v>0</v>
      </c>
      <c r="E1259" s="9" t="str">
        <f t="shared" ca="1" si="31"/>
        <v/>
      </c>
      <c r="F1259" s="4" t="s">
        <v>4</v>
      </c>
      <c r="G1259" s="2">
        <f>IF(ISNUMBER(SEARCH(Лист2!$B$4,F:F)),1,0)</f>
        <v>0</v>
      </c>
      <c r="H1259" s="3">
        <f ca="1">IF(AND(I1259&lt;&gt;I1258,ISNUMBER(SEARCH(Лист2!$B$5,I:I)),G1259=1),MAX($H$3:OFFSET(H1259,-1,0))+1,0)</f>
        <v>0</v>
      </c>
      <c r="I1259" s="3" t="s">
        <v>92</v>
      </c>
      <c r="K1259" s="2">
        <f>IF(ISNUMBER(SEARCH(Лист2!$B$4,F:F)),1,0)</f>
        <v>0</v>
      </c>
      <c r="L1259" s="14">
        <f>IF(ISNUMBER(SEARCH(Лист2!$B$5,I:I)),1,0)+K1259</f>
        <v>0</v>
      </c>
      <c r="M1259" s="3">
        <f ca="1">IF(AND(N1259&lt;&gt;N1258,ISNUMBER(SEARCH(Лист2!$B$6,N:N)),L1259=2),MAX($M$3:OFFSET(M1259,-1,0))+1,0)</f>
        <v>0</v>
      </c>
      <c r="N1259" s="3" t="s">
        <v>1300</v>
      </c>
    </row>
    <row r="1260" spans="1:14" x14ac:dyDescent="0.25">
      <c r="A1260" s="1" t="s">
        <v>10796</v>
      </c>
      <c r="B1260" s="3" t="s">
        <v>4884</v>
      </c>
      <c r="C1260" s="2">
        <f ca="1">IF(ISNUMBER(SEARCH(Лист2!$B$4,D:D)),MAX($C$3:OFFSET(C1260,-1,0))+1,0)</f>
        <v>0</v>
      </c>
      <c r="E1260" s="9" t="str">
        <f t="shared" ca="1" si="31"/>
        <v/>
      </c>
      <c r="F1260" s="4" t="s">
        <v>4</v>
      </c>
      <c r="G1260" s="2">
        <f>IF(ISNUMBER(SEARCH(Лист2!$B$4,F:F)),1,0)</f>
        <v>0</v>
      </c>
      <c r="H1260" s="3">
        <f ca="1">IF(AND(I1260&lt;&gt;I1259,ISNUMBER(SEARCH(Лист2!$B$5,I:I)),G1260=1),MAX($H$3:OFFSET(H1260,-1,0))+1,0)</f>
        <v>0</v>
      </c>
      <c r="I1260" s="3" t="s">
        <v>93</v>
      </c>
      <c r="K1260" s="2">
        <f>IF(ISNUMBER(SEARCH(Лист2!$B$4,F:F)),1,0)</f>
        <v>0</v>
      </c>
      <c r="L1260" s="14">
        <f>IF(ISNUMBER(SEARCH(Лист2!$B$5,I:I)),1,0)+K1260</f>
        <v>0</v>
      </c>
      <c r="M1260" s="3">
        <f ca="1">IF(AND(N1260&lt;&gt;N1259,ISNUMBER(SEARCH(Лист2!$B$6,N:N)),L1260=2),MAX($M$3:OFFSET(M1260,-1,0))+1,0)</f>
        <v>0</v>
      </c>
      <c r="N1260" s="3" t="s">
        <v>1301</v>
      </c>
    </row>
    <row r="1261" spans="1:14" x14ac:dyDescent="0.25">
      <c r="A1261" s="1" t="s">
        <v>10797</v>
      </c>
      <c r="B1261" s="3" t="s">
        <v>4885</v>
      </c>
      <c r="C1261" s="2">
        <f ca="1">IF(ISNUMBER(SEARCH(Лист2!$B$4,D:D)),MAX($C$3:OFFSET(C1261,-1,0))+1,0)</f>
        <v>0</v>
      </c>
      <c r="E1261" s="9" t="str">
        <f t="shared" ca="1" si="31"/>
        <v/>
      </c>
      <c r="F1261" s="4" t="s">
        <v>4</v>
      </c>
      <c r="G1261" s="2">
        <f>IF(ISNUMBER(SEARCH(Лист2!$B$4,F:F)),1,0)</f>
        <v>0</v>
      </c>
      <c r="H1261" s="3">
        <f ca="1">IF(AND(I1261&lt;&gt;I1260,ISNUMBER(SEARCH(Лист2!$B$5,I:I)),G1261=1),MAX($H$3:OFFSET(H1261,-1,0))+1,0)</f>
        <v>0</v>
      </c>
      <c r="I1261" s="3" t="s">
        <v>148</v>
      </c>
      <c r="K1261" s="2">
        <f>IF(ISNUMBER(SEARCH(Лист2!$B$4,F:F)),1,0)</f>
        <v>0</v>
      </c>
      <c r="L1261" s="14">
        <f>IF(ISNUMBER(SEARCH(Лист2!$B$5,I:I)),1,0)+K1261</f>
        <v>0</v>
      </c>
      <c r="M1261" s="3">
        <f ca="1">IF(AND(N1261&lt;&gt;N1260,ISNUMBER(SEARCH(Лист2!$B$6,N:N)),L1261=2),MAX($M$3:OFFSET(M1261,-1,0))+1,0)</f>
        <v>0</v>
      </c>
      <c r="N1261" s="3" t="s">
        <v>1302</v>
      </c>
    </row>
    <row r="1262" spans="1:14" x14ac:dyDescent="0.25">
      <c r="A1262" s="1" t="s">
        <v>10798</v>
      </c>
      <c r="B1262" s="3" t="s">
        <v>4886</v>
      </c>
      <c r="C1262" s="2">
        <f ca="1">IF(ISNUMBER(SEARCH(Лист2!$B$4,D:D)),MAX($C$3:OFFSET(C1262,-1,0))+1,0)</f>
        <v>0</v>
      </c>
      <c r="E1262" s="9" t="str">
        <f t="shared" ca="1" si="31"/>
        <v/>
      </c>
      <c r="F1262" s="4" t="s">
        <v>4</v>
      </c>
      <c r="G1262" s="2">
        <f>IF(ISNUMBER(SEARCH(Лист2!$B$4,F:F)),1,0)</f>
        <v>0</v>
      </c>
      <c r="H1262" s="3">
        <f ca="1">IF(AND(I1262&lt;&gt;I1261,ISNUMBER(SEARCH(Лист2!$B$5,I:I)),G1262=1),MAX($H$3:OFFSET(H1262,-1,0))+1,0)</f>
        <v>0</v>
      </c>
      <c r="I1262" s="3" t="s">
        <v>149</v>
      </c>
      <c r="K1262" s="2">
        <f>IF(ISNUMBER(SEARCH(Лист2!$B$4,F:F)),1,0)</f>
        <v>0</v>
      </c>
      <c r="L1262" s="14">
        <f>IF(ISNUMBER(SEARCH(Лист2!$B$5,I:I)),1,0)+K1262</f>
        <v>0</v>
      </c>
      <c r="M1262" s="3">
        <f ca="1">IF(AND(N1262&lt;&gt;N1261,ISNUMBER(SEARCH(Лист2!$B$6,N:N)),L1262=2),MAX($M$3:OFFSET(M1262,-1,0))+1,0)</f>
        <v>0</v>
      </c>
      <c r="N1262" s="3" t="s">
        <v>1303</v>
      </c>
    </row>
    <row r="1263" spans="1:14" x14ac:dyDescent="0.25">
      <c r="A1263" s="1" t="s">
        <v>10799</v>
      </c>
      <c r="B1263" s="3" t="s">
        <v>4887</v>
      </c>
      <c r="C1263" s="2">
        <f ca="1">IF(ISNUMBER(SEARCH(Лист2!$B$4,D:D)),MAX($C$3:OFFSET(C1263,-1,0))+1,0)</f>
        <v>0</v>
      </c>
      <c r="E1263" s="9" t="str">
        <f t="shared" ca="1" si="31"/>
        <v/>
      </c>
      <c r="F1263" s="4" t="s">
        <v>4</v>
      </c>
      <c r="G1263" s="2">
        <f>IF(ISNUMBER(SEARCH(Лист2!$B$4,F:F)),1,0)</f>
        <v>0</v>
      </c>
      <c r="H1263" s="3">
        <f ca="1">IF(AND(I1263&lt;&gt;I1262,ISNUMBER(SEARCH(Лист2!$B$5,I:I)),G1263=1),MAX($H$3:OFFSET(H1263,-1,0))+1,0)</f>
        <v>0</v>
      </c>
      <c r="I1263" s="3" t="s">
        <v>150</v>
      </c>
      <c r="K1263" s="2">
        <f>IF(ISNUMBER(SEARCH(Лист2!$B$4,F:F)),1,0)</f>
        <v>0</v>
      </c>
      <c r="L1263" s="14">
        <f>IF(ISNUMBER(SEARCH(Лист2!$B$5,I:I)),1,0)+K1263</f>
        <v>0</v>
      </c>
      <c r="M1263" s="3">
        <f ca="1">IF(AND(N1263&lt;&gt;N1262,ISNUMBER(SEARCH(Лист2!$B$6,N:N)),L1263=2),MAX($M$3:OFFSET(M1263,-1,0))+1,0)</f>
        <v>0</v>
      </c>
      <c r="N1263" s="3" t="s">
        <v>1304</v>
      </c>
    </row>
    <row r="1264" spans="1:14" x14ac:dyDescent="0.25">
      <c r="A1264" s="1" t="s">
        <v>10800</v>
      </c>
      <c r="B1264" s="3" t="s">
        <v>4888</v>
      </c>
      <c r="C1264" s="2">
        <f ca="1">IF(ISNUMBER(SEARCH(Лист2!$B$4,D:D)),MAX($C$3:OFFSET(C1264,-1,0))+1,0)</f>
        <v>0</v>
      </c>
      <c r="E1264" s="9" t="str">
        <f t="shared" ca="1" si="31"/>
        <v/>
      </c>
      <c r="F1264" s="4" t="s">
        <v>4</v>
      </c>
      <c r="G1264" s="2">
        <f>IF(ISNUMBER(SEARCH(Лист2!$B$4,F:F)),1,0)</f>
        <v>0</v>
      </c>
      <c r="H1264" s="3">
        <f ca="1">IF(AND(I1264&lt;&gt;I1263,ISNUMBER(SEARCH(Лист2!$B$5,I:I)),G1264=1),MAX($H$3:OFFSET(H1264,-1,0))+1,0)</f>
        <v>0</v>
      </c>
      <c r="I1264" s="3" t="s">
        <v>151</v>
      </c>
      <c r="K1264" s="2">
        <f>IF(ISNUMBER(SEARCH(Лист2!$B$4,F:F)),1,0)</f>
        <v>0</v>
      </c>
      <c r="L1264" s="14">
        <f>IF(ISNUMBER(SEARCH(Лист2!$B$5,I:I)),1,0)+K1264</f>
        <v>0</v>
      </c>
      <c r="M1264" s="3">
        <f ca="1">IF(AND(N1264&lt;&gt;N1263,ISNUMBER(SEARCH(Лист2!$B$6,N:N)),L1264=2),MAX($M$3:OFFSET(M1264,-1,0))+1,0)</f>
        <v>0</v>
      </c>
      <c r="N1264" s="3" t="s">
        <v>1305</v>
      </c>
    </row>
    <row r="1265" spans="1:14" x14ac:dyDescent="0.25">
      <c r="A1265" s="1" t="s">
        <v>10801</v>
      </c>
      <c r="B1265" s="3" t="s">
        <v>4889</v>
      </c>
      <c r="C1265" s="2">
        <f ca="1">IF(ISNUMBER(SEARCH(Лист2!$B$4,D:D)),MAX($C$3:OFFSET(C1265,-1,0))+1,0)</f>
        <v>0</v>
      </c>
      <c r="E1265" s="9" t="str">
        <f t="shared" ca="1" si="31"/>
        <v/>
      </c>
      <c r="F1265" s="4" t="s">
        <v>4</v>
      </c>
      <c r="G1265" s="2">
        <f>IF(ISNUMBER(SEARCH(Лист2!$B$4,F:F)),1,0)</f>
        <v>0</v>
      </c>
      <c r="H1265" s="3">
        <f ca="1">IF(AND(I1265&lt;&gt;I1264,ISNUMBER(SEARCH(Лист2!$B$5,I:I)),G1265=1),MAX($H$3:OFFSET(H1265,-1,0))+1,0)</f>
        <v>0</v>
      </c>
      <c r="I1265" s="3" t="s">
        <v>152</v>
      </c>
      <c r="K1265" s="2">
        <f>IF(ISNUMBER(SEARCH(Лист2!$B$4,F:F)),1,0)</f>
        <v>0</v>
      </c>
      <c r="L1265" s="14">
        <f>IF(ISNUMBER(SEARCH(Лист2!$B$5,I:I)),1,0)+K1265</f>
        <v>0</v>
      </c>
      <c r="M1265" s="3">
        <f ca="1">IF(AND(N1265&lt;&gt;N1264,ISNUMBER(SEARCH(Лист2!$B$6,N:N)),L1265=2),MAX($M$3:OFFSET(M1265,-1,0))+1,0)</f>
        <v>0</v>
      </c>
      <c r="N1265" s="3" t="s">
        <v>1306</v>
      </c>
    </row>
    <row r="1266" spans="1:14" x14ac:dyDescent="0.25">
      <c r="A1266" s="1" t="s">
        <v>10802</v>
      </c>
      <c r="B1266" s="3" t="s">
        <v>4890</v>
      </c>
      <c r="C1266" s="2">
        <f ca="1">IF(ISNUMBER(SEARCH(Лист2!$B$4,D:D)),MAX($C$3:OFFSET(C1266,-1,0))+1,0)</f>
        <v>0</v>
      </c>
      <c r="E1266" s="9" t="str">
        <f t="shared" ca="1" si="31"/>
        <v/>
      </c>
      <c r="F1266" s="4" t="s">
        <v>4</v>
      </c>
      <c r="G1266" s="2">
        <f>IF(ISNUMBER(SEARCH(Лист2!$B$4,F:F)),1,0)</f>
        <v>0</v>
      </c>
      <c r="H1266" s="3">
        <f ca="1">IF(AND(I1266&lt;&gt;I1265,ISNUMBER(SEARCH(Лист2!$B$5,I:I)),G1266=1),MAX($H$3:OFFSET(H1266,-1,0))+1,0)</f>
        <v>0</v>
      </c>
      <c r="I1266" s="3" t="s">
        <v>152</v>
      </c>
      <c r="K1266" s="2">
        <f>IF(ISNUMBER(SEARCH(Лист2!$B$4,F:F)),1,0)</f>
        <v>0</v>
      </c>
      <c r="L1266" s="14">
        <f>IF(ISNUMBER(SEARCH(Лист2!$B$5,I:I)),1,0)+K1266</f>
        <v>0</v>
      </c>
      <c r="M1266" s="3">
        <f ca="1">IF(AND(N1266&lt;&gt;N1265,ISNUMBER(SEARCH(Лист2!$B$6,N:N)),L1266=2),MAX($M$3:OFFSET(M1266,-1,0))+1,0)</f>
        <v>0</v>
      </c>
      <c r="N1266" s="3" t="s">
        <v>1307</v>
      </c>
    </row>
    <row r="1267" spans="1:14" x14ac:dyDescent="0.25">
      <c r="A1267" s="1" t="s">
        <v>10803</v>
      </c>
      <c r="B1267" s="3" t="s">
        <v>4891</v>
      </c>
      <c r="C1267" s="2">
        <f ca="1">IF(ISNUMBER(SEARCH(Лист2!$B$4,D:D)),MAX($C$3:OFFSET(C1267,-1,0))+1,0)</f>
        <v>0</v>
      </c>
      <c r="E1267" s="9" t="str">
        <f t="shared" ca="1" si="31"/>
        <v/>
      </c>
      <c r="F1267" s="4" t="s">
        <v>4</v>
      </c>
      <c r="G1267" s="2">
        <f>IF(ISNUMBER(SEARCH(Лист2!$B$4,F:F)),1,0)</f>
        <v>0</v>
      </c>
      <c r="H1267" s="3">
        <f ca="1">IF(AND(I1267&lt;&gt;I1266,ISNUMBER(SEARCH(Лист2!$B$5,I:I)),G1267=1),MAX($H$3:OFFSET(H1267,-1,0))+1,0)</f>
        <v>0</v>
      </c>
      <c r="I1267" s="3" t="s">
        <v>152</v>
      </c>
      <c r="K1267" s="2">
        <f>IF(ISNUMBER(SEARCH(Лист2!$B$4,F:F)),1,0)</f>
        <v>0</v>
      </c>
      <c r="L1267" s="14">
        <f>IF(ISNUMBER(SEARCH(Лист2!$B$5,I:I)),1,0)+K1267</f>
        <v>0</v>
      </c>
      <c r="M1267" s="3">
        <f ca="1">IF(AND(N1267&lt;&gt;N1266,ISNUMBER(SEARCH(Лист2!$B$6,N:N)),L1267=2),MAX($M$3:OFFSET(M1267,-1,0))+1,0)</f>
        <v>0</v>
      </c>
      <c r="N1267" s="3" t="s">
        <v>1308</v>
      </c>
    </row>
    <row r="1268" spans="1:14" x14ac:dyDescent="0.25">
      <c r="A1268" s="1" t="s">
        <v>10804</v>
      </c>
      <c r="B1268" s="3" t="s">
        <v>4892</v>
      </c>
      <c r="C1268" s="2">
        <f ca="1">IF(ISNUMBER(SEARCH(Лист2!$B$4,D:D)),MAX($C$3:OFFSET(C1268,-1,0))+1,0)</f>
        <v>0</v>
      </c>
      <c r="E1268" s="9" t="str">
        <f t="shared" ca="1" si="31"/>
        <v/>
      </c>
      <c r="F1268" s="4" t="s">
        <v>4</v>
      </c>
      <c r="G1268" s="2">
        <f>IF(ISNUMBER(SEARCH(Лист2!$B$4,F:F)),1,0)</f>
        <v>0</v>
      </c>
      <c r="H1268" s="3">
        <f ca="1">IF(AND(I1268&lt;&gt;I1267,ISNUMBER(SEARCH(Лист2!$B$5,I:I)),G1268=1),MAX($H$3:OFFSET(H1268,-1,0))+1,0)</f>
        <v>0</v>
      </c>
      <c r="I1268" s="3" t="s">
        <v>153</v>
      </c>
      <c r="K1268" s="2">
        <f>IF(ISNUMBER(SEARCH(Лист2!$B$4,F:F)),1,0)</f>
        <v>0</v>
      </c>
      <c r="L1268" s="14">
        <f>IF(ISNUMBER(SEARCH(Лист2!$B$5,I:I)),1,0)+K1268</f>
        <v>0</v>
      </c>
      <c r="M1268" s="3">
        <f ca="1">IF(AND(N1268&lt;&gt;N1267,ISNUMBER(SEARCH(Лист2!$B$6,N:N)),L1268=2),MAX($M$3:OFFSET(M1268,-1,0))+1,0)</f>
        <v>0</v>
      </c>
      <c r="N1268" s="3" t="s">
        <v>1309</v>
      </c>
    </row>
    <row r="1269" spans="1:14" x14ac:dyDescent="0.25">
      <c r="A1269" s="1" t="s">
        <v>10805</v>
      </c>
      <c r="B1269" s="3" t="s">
        <v>4893</v>
      </c>
      <c r="C1269" s="2">
        <f ca="1">IF(ISNUMBER(SEARCH(Лист2!$B$4,D:D)),MAX($C$3:OFFSET(C1269,-1,0))+1,0)</f>
        <v>0</v>
      </c>
      <c r="E1269" s="9" t="str">
        <f t="shared" ca="1" si="31"/>
        <v/>
      </c>
      <c r="F1269" s="4" t="s">
        <v>4</v>
      </c>
      <c r="G1269" s="2">
        <f>IF(ISNUMBER(SEARCH(Лист2!$B$4,F:F)),1,0)</f>
        <v>0</v>
      </c>
      <c r="H1269" s="3">
        <f ca="1">IF(AND(I1269&lt;&gt;I1268,ISNUMBER(SEARCH(Лист2!$B$5,I:I)),G1269=1),MAX($H$3:OFFSET(H1269,-1,0))+1,0)</f>
        <v>0</v>
      </c>
      <c r="I1269" s="3" t="s">
        <v>153</v>
      </c>
      <c r="K1269" s="2">
        <f>IF(ISNUMBER(SEARCH(Лист2!$B$4,F:F)),1,0)</f>
        <v>0</v>
      </c>
      <c r="L1269" s="14">
        <f>IF(ISNUMBER(SEARCH(Лист2!$B$5,I:I)),1,0)+K1269</f>
        <v>0</v>
      </c>
      <c r="M1269" s="3">
        <f ca="1">IF(AND(N1269&lt;&gt;N1268,ISNUMBER(SEARCH(Лист2!$B$6,N:N)),L1269=2),MAX($M$3:OFFSET(M1269,-1,0))+1,0)</f>
        <v>0</v>
      </c>
      <c r="N1269" s="3" t="s">
        <v>1310</v>
      </c>
    </row>
    <row r="1270" spans="1:14" x14ac:dyDescent="0.25">
      <c r="A1270" s="1" t="s">
        <v>10806</v>
      </c>
      <c r="B1270" s="3" t="s">
        <v>4894</v>
      </c>
      <c r="C1270" s="2">
        <f ca="1">IF(ISNUMBER(SEARCH(Лист2!$B$4,D:D)),MAX($C$3:OFFSET(C1270,-1,0))+1,0)</f>
        <v>0</v>
      </c>
      <c r="E1270" s="9" t="str">
        <f t="shared" ca="1" si="31"/>
        <v/>
      </c>
      <c r="F1270" s="4" t="s">
        <v>4</v>
      </c>
      <c r="G1270" s="2">
        <f>IF(ISNUMBER(SEARCH(Лист2!$B$4,F:F)),1,0)</f>
        <v>0</v>
      </c>
      <c r="H1270" s="3">
        <f ca="1">IF(AND(I1270&lt;&gt;I1269,ISNUMBER(SEARCH(Лист2!$B$5,I:I)),G1270=1),MAX($H$3:OFFSET(H1270,-1,0))+1,0)</f>
        <v>0</v>
      </c>
      <c r="I1270" s="3" t="s">
        <v>154</v>
      </c>
      <c r="K1270" s="2">
        <f>IF(ISNUMBER(SEARCH(Лист2!$B$4,F:F)),1,0)</f>
        <v>0</v>
      </c>
      <c r="L1270" s="14">
        <f>IF(ISNUMBER(SEARCH(Лист2!$B$5,I:I)),1,0)+K1270</f>
        <v>0</v>
      </c>
      <c r="M1270" s="3">
        <f ca="1">IF(AND(N1270&lt;&gt;N1269,ISNUMBER(SEARCH(Лист2!$B$6,N:N)),L1270=2),MAX($M$3:OFFSET(M1270,-1,0))+1,0)</f>
        <v>0</v>
      </c>
      <c r="N1270" s="3" t="s">
        <v>1311</v>
      </c>
    </row>
    <row r="1271" spans="1:14" x14ac:dyDescent="0.25">
      <c r="A1271" s="1" t="s">
        <v>10807</v>
      </c>
      <c r="B1271" s="3" t="s">
        <v>4895</v>
      </c>
      <c r="C1271" s="2">
        <f ca="1">IF(ISNUMBER(SEARCH(Лист2!$B$4,D:D)),MAX($C$3:OFFSET(C1271,-1,0))+1,0)</f>
        <v>0</v>
      </c>
      <c r="E1271" s="9" t="str">
        <f t="shared" ca="1" si="31"/>
        <v/>
      </c>
      <c r="F1271" s="4" t="s">
        <v>4</v>
      </c>
      <c r="G1271" s="2">
        <f>IF(ISNUMBER(SEARCH(Лист2!$B$4,F:F)),1,0)</f>
        <v>0</v>
      </c>
      <c r="H1271" s="3">
        <f ca="1">IF(AND(I1271&lt;&gt;I1270,ISNUMBER(SEARCH(Лист2!$B$5,I:I)),G1271=1),MAX($H$3:OFFSET(H1271,-1,0))+1,0)</f>
        <v>0</v>
      </c>
      <c r="I1271" s="3" t="s">
        <v>155</v>
      </c>
      <c r="K1271" s="2">
        <f>IF(ISNUMBER(SEARCH(Лист2!$B$4,F:F)),1,0)</f>
        <v>0</v>
      </c>
      <c r="L1271" s="14">
        <f>IF(ISNUMBER(SEARCH(Лист2!$B$5,I:I)),1,0)+K1271</f>
        <v>0</v>
      </c>
      <c r="M1271" s="3">
        <f ca="1">IF(AND(N1271&lt;&gt;N1270,ISNUMBER(SEARCH(Лист2!$B$6,N:N)),L1271=2),MAX($M$3:OFFSET(M1271,-1,0))+1,0)</f>
        <v>0</v>
      </c>
      <c r="N1271" s="3" t="s">
        <v>1312</v>
      </c>
    </row>
    <row r="1272" spans="1:14" x14ac:dyDescent="0.25">
      <c r="A1272" s="1" t="s">
        <v>10808</v>
      </c>
      <c r="B1272" s="3" t="s">
        <v>4896</v>
      </c>
      <c r="C1272" s="2">
        <f ca="1">IF(ISNUMBER(SEARCH(Лист2!$B$4,D:D)),MAX($C$3:OFFSET(C1272,-1,0))+1,0)</f>
        <v>0</v>
      </c>
      <c r="E1272" s="9" t="str">
        <f t="shared" ca="1" si="31"/>
        <v/>
      </c>
      <c r="F1272" s="4" t="s">
        <v>4</v>
      </c>
      <c r="G1272" s="2">
        <f>IF(ISNUMBER(SEARCH(Лист2!$B$4,F:F)),1,0)</f>
        <v>0</v>
      </c>
      <c r="H1272" s="3">
        <f ca="1">IF(AND(I1272&lt;&gt;I1271,ISNUMBER(SEARCH(Лист2!$B$5,I:I)),G1272=1),MAX($H$3:OFFSET(H1272,-1,0))+1,0)</f>
        <v>0</v>
      </c>
      <c r="I1272" s="3" t="s">
        <v>148</v>
      </c>
      <c r="K1272" s="2">
        <f>IF(ISNUMBER(SEARCH(Лист2!$B$4,F:F)),1,0)</f>
        <v>0</v>
      </c>
      <c r="L1272" s="14">
        <f>IF(ISNUMBER(SEARCH(Лист2!$B$5,I:I)),1,0)+K1272</f>
        <v>0</v>
      </c>
      <c r="M1272" s="3">
        <f ca="1">IF(AND(N1272&lt;&gt;N1271,ISNUMBER(SEARCH(Лист2!$B$6,N:N)),L1272=2),MAX($M$3:OFFSET(M1272,-1,0))+1,0)</f>
        <v>0</v>
      </c>
      <c r="N1272" s="3" t="s">
        <v>1313</v>
      </c>
    </row>
    <row r="1273" spans="1:14" x14ac:dyDescent="0.25">
      <c r="A1273" s="1" t="s">
        <v>10809</v>
      </c>
      <c r="B1273" s="3" t="s">
        <v>4897</v>
      </c>
      <c r="C1273" s="2">
        <f ca="1">IF(ISNUMBER(SEARCH(Лист2!$B$4,D:D)),MAX($C$3:OFFSET(C1273,-1,0))+1,0)</f>
        <v>0</v>
      </c>
      <c r="E1273" s="9" t="str">
        <f t="shared" ca="1" si="31"/>
        <v/>
      </c>
      <c r="F1273" s="4" t="s">
        <v>4</v>
      </c>
      <c r="G1273" s="2">
        <f>IF(ISNUMBER(SEARCH(Лист2!$B$4,F:F)),1,0)</f>
        <v>0</v>
      </c>
      <c r="H1273" s="3">
        <f ca="1">IF(AND(I1273&lt;&gt;I1272,ISNUMBER(SEARCH(Лист2!$B$5,I:I)),G1273=1),MAX($H$3:OFFSET(H1273,-1,0))+1,0)</f>
        <v>0</v>
      </c>
      <c r="I1273" s="3" t="s">
        <v>156</v>
      </c>
      <c r="K1273" s="2">
        <f>IF(ISNUMBER(SEARCH(Лист2!$B$4,F:F)),1,0)</f>
        <v>0</v>
      </c>
      <c r="L1273" s="14">
        <f>IF(ISNUMBER(SEARCH(Лист2!$B$5,I:I)),1,0)+K1273</f>
        <v>0</v>
      </c>
      <c r="M1273" s="3">
        <f ca="1">IF(AND(N1273&lt;&gt;N1272,ISNUMBER(SEARCH(Лист2!$B$6,N:N)),L1273=2),MAX($M$3:OFFSET(M1273,-1,0))+1,0)</f>
        <v>0</v>
      </c>
      <c r="N1273" s="3" t="s">
        <v>1314</v>
      </c>
    </row>
    <row r="1274" spans="1:14" x14ac:dyDescent="0.25">
      <c r="A1274" s="1" t="s">
        <v>10810</v>
      </c>
      <c r="B1274" s="3" t="s">
        <v>4898</v>
      </c>
      <c r="C1274" s="2">
        <f ca="1">IF(ISNUMBER(SEARCH(Лист2!$B$4,D:D)),MAX($C$3:OFFSET(C1274,-1,0))+1,0)</f>
        <v>0</v>
      </c>
      <c r="E1274" s="9" t="str">
        <f t="shared" ca="1" si="31"/>
        <v/>
      </c>
      <c r="F1274" s="4" t="s">
        <v>4</v>
      </c>
      <c r="G1274" s="2">
        <f>IF(ISNUMBER(SEARCH(Лист2!$B$4,F:F)),1,0)</f>
        <v>0</v>
      </c>
      <c r="H1274" s="3">
        <f ca="1">IF(AND(I1274&lt;&gt;I1273,ISNUMBER(SEARCH(Лист2!$B$5,I:I)),G1274=1),MAX($H$3:OFFSET(H1274,-1,0))+1,0)</f>
        <v>0</v>
      </c>
      <c r="I1274" s="3" t="s">
        <v>157</v>
      </c>
      <c r="K1274" s="2">
        <f>IF(ISNUMBER(SEARCH(Лист2!$B$4,F:F)),1,0)</f>
        <v>0</v>
      </c>
      <c r="L1274" s="14">
        <f>IF(ISNUMBER(SEARCH(Лист2!$B$5,I:I)),1,0)+K1274</f>
        <v>0</v>
      </c>
      <c r="M1274" s="3">
        <f ca="1">IF(AND(N1274&lt;&gt;N1273,ISNUMBER(SEARCH(Лист2!$B$6,N:N)),L1274=2),MAX($M$3:OFFSET(M1274,-1,0))+1,0)</f>
        <v>0</v>
      </c>
      <c r="N1274" s="3" t="s">
        <v>1315</v>
      </c>
    </row>
    <row r="1275" spans="1:14" x14ac:dyDescent="0.25">
      <c r="A1275" s="1" t="s">
        <v>10811</v>
      </c>
      <c r="B1275" s="3" t="s">
        <v>4899</v>
      </c>
      <c r="C1275" s="2">
        <f ca="1">IF(ISNUMBER(SEARCH(Лист2!$B$4,D:D)),MAX($C$3:OFFSET(C1275,-1,0))+1,0)</f>
        <v>0</v>
      </c>
      <c r="E1275" s="9" t="str">
        <f t="shared" ca="1" si="31"/>
        <v/>
      </c>
      <c r="F1275" s="4" t="s">
        <v>4</v>
      </c>
      <c r="G1275" s="2">
        <f>IF(ISNUMBER(SEARCH(Лист2!$B$4,F:F)),1,0)</f>
        <v>0</v>
      </c>
      <c r="H1275" s="3">
        <f ca="1">IF(AND(I1275&lt;&gt;I1274,ISNUMBER(SEARCH(Лист2!$B$5,I:I)),G1275=1),MAX($H$3:OFFSET(H1275,-1,0))+1,0)</f>
        <v>0</v>
      </c>
      <c r="I1275" s="3" t="s">
        <v>158</v>
      </c>
      <c r="K1275" s="2">
        <f>IF(ISNUMBER(SEARCH(Лист2!$B$4,F:F)),1,0)</f>
        <v>0</v>
      </c>
      <c r="L1275" s="14">
        <f>IF(ISNUMBER(SEARCH(Лист2!$B$5,I:I)),1,0)+K1275</f>
        <v>0</v>
      </c>
      <c r="M1275" s="3">
        <f ca="1">IF(AND(N1275&lt;&gt;N1274,ISNUMBER(SEARCH(Лист2!$B$6,N:N)),L1275=2),MAX($M$3:OFFSET(M1275,-1,0))+1,0)</f>
        <v>0</v>
      </c>
      <c r="N1275" s="3" t="s">
        <v>1316</v>
      </c>
    </row>
    <row r="1276" spans="1:14" x14ac:dyDescent="0.25">
      <c r="A1276" s="1" t="s">
        <v>10812</v>
      </c>
      <c r="B1276" s="3" t="s">
        <v>4900</v>
      </c>
      <c r="C1276" s="2">
        <f ca="1">IF(ISNUMBER(SEARCH(Лист2!$B$4,D:D)),MAX($C$3:OFFSET(C1276,-1,0))+1,0)</f>
        <v>0</v>
      </c>
      <c r="E1276" s="9" t="str">
        <f t="shared" ca="1" si="31"/>
        <v/>
      </c>
      <c r="F1276" s="4" t="s">
        <v>4</v>
      </c>
      <c r="G1276" s="2">
        <f>IF(ISNUMBER(SEARCH(Лист2!$B$4,F:F)),1,0)</f>
        <v>0</v>
      </c>
      <c r="H1276" s="3">
        <f ca="1">IF(AND(I1276&lt;&gt;I1275,ISNUMBER(SEARCH(Лист2!$B$5,I:I)),G1276=1),MAX($H$3:OFFSET(H1276,-1,0))+1,0)</f>
        <v>0</v>
      </c>
      <c r="I1276" s="3" t="s">
        <v>159</v>
      </c>
      <c r="K1276" s="2">
        <f>IF(ISNUMBER(SEARCH(Лист2!$B$4,F:F)),1,0)</f>
        <v>0</v>
      </c>
      <c r="L1276" s="14">
        <f>IF(ISNUMBER(SEARCH(Лист2!$B$5,I:I)),1,0)+K1276</f>
        <v>0</v>
      </c>
      <c r="M1276" s="3">
        <f ca="1">IF(AND(N1276&lt;&gt;N1275,ISNUMBER(SEARCH(Лист2!$B$6,N:N)),L1276=2),MAX($M$3:OFFSET(M1276,-1,0))+1,0)</f>
        <v>0</v>
      </c>
      <c r="N1276" s="3" t="s">
        <v>1317</v>
      </c>
    </row>
    <row r="1277" spans="1:14" x14ac:dyDescent="0.25">
      <c r="A1277" s="1" t="s">
        <v>10813</v>
      </c>
      <c r="B1277" s="3" t="s">
        <v>4901</v>
      </c>
      <c r="C1277" s="2">
        <f ca="1">IF(ISNUMBER(SEARCH(Лист2!$B$4,D:D)),MAX($C$3:OFFSET(C1277,-1,0))+1,0)</f>
        <v>0</v>
      </c>
      <c r="E1277" s="9" t="str">
        <f t="shared" ca="1" si="31"/>
        <v/>
      </c>
      <c r="F1277" s="4" t="s">
        <v>4</v>
      </c>
      <c r="G1277" s="2">
        <f>IF(ISNUMBER(SEARCH(Лист2!$B$4,F:F)),1,0)</f>
        <v>0</v>
      </c>
      <c r="H1277" s="3">
        <f ca="1">IF(AND(I1277&lt;&gt;I1276,ISNUMBER(SEARCH(Лист2!$B$5,I:I)),G1277=1),MAX($H$3:OFFSET(H1277,-1,0))+1,0)</f>
        <v>0</v>
      </c>
      <c r="I1277" s="3" t="s">
        <v>160</v>
      </c>
      <c r="K1277" s="2">
        <f>IF(ISNUMBER(SEARCH(Лист2!$B$4,F:F)),1,0)</f>
        <v>0</v>
      </c>
      <c r="L1277" s="14">
        <f>IF(ISNUMBER(SEARCH(Лист2!$B$5,I:I)),1,0)+K1277</f>
        <v>0</v>
      </c>
      <c r="M1277" s="3">
        <f ca="1">IF(AND(N1277&lt;&gt;N1276,ISNUMBER(SEARCH(Лист2!$B$6,N:N)),L1277=2),MAX($M$3:OFFSET(M1277,-1,0))+1,0)</f>
        <v>0</v>
      </c>
      <c r="N1277" s="3" t="s">
        <v>1318</v>
      </c>
    </row>
    <row r="1278" spans="1:14" x14ac:dyDescent="0.25">
      <c r="A1278" s="1" t="s">
        <v>10814</v>
      </c>
      <c r="B1278" s="3" t="s">
        <v>4902</v>
      </c>
      <c r="C1278" s="2">
        <f ca="1">IF(ISNUMBER(SEARCH(Лист2!$B$4,D:D)),MAX($C$3:OFFSET(C1278,-1,0))+1,0)</f>
        <v>0</v>
      </c>
      <c r="E1278" s="9" t="str">
        <f t="shared" ca="1" si="31"/>
        <v/>
      </c>
      <c r="F1278" s="4" t="s">
        <v>4</v>
      </c>
      <c r="G1278" s="2">
        <f>IF(ISNUMBER(SEARCH(Лист2!$B$4,F:F)),1,0)</f>
        <v>0</v>
      </c>
      <c r="H1278" s="3">
        <f ca="1">IF(AND(I1278&lt;&gt;I1277,ISNUMBER(SEARCH(Лист2!$B$5,I:I)),G1278=1),MAX($H$3:OFFSET(H1278,-1,0))+1,0)</f>
        <v>0</v>
      </c>
      <c r="I1278" s="3" t="s">
        <v>161</v>
      </c>
      <c r="K1278" s="2">
        <f>IF(ISNUMBER(SEARCH(Лист2!$B$4,F:F)),1,0)</f>
        <v>0</v>
      </c>
      <c r="L1278" s="14">
        <f>IF(ISNUMBER(SEARCH(Лист2!$B$5,I:I)),1,0)+K1278</f>
        <v>0</v>
      </c>
      <c r="M1278" s="3">
        <f ca="1">IF(AND(N1278&lt;&gt;N1277,ISNUMBER(SEARCH(Лист2!$B$6,N:N)),L1278=2),MAX($M$3:OFFSET(M1278,-1,0))+1,0)</f>
        <v>0</v>
      </c>
      <c r="N1278" s="3" t="s">
        <v>1319</v>
      </c>
    </row>
    <row r="1279" spans="1:14" x14ac:dyDescent="0.25">
      <c r="A1279" s="1" t="s">
        <v>10815</v>
      </c>
      <c r="B1279" s="3" t="s">
        <v>4903</v>
      </c>
      <c r="C1279" s="2">
        <f ca="1">IF(ISNUMBER(SEARCH(Лист2!$B$4,D:D)),MAX($C$3:OFFSET(C1279,-1,0))+1,0)</f>
        <v>0</v>
      </c>
      <c r="E1279" s="9" t="str">
        <f t="shared" ca="1" si="31"/>
        <v/>
      </c>
      <c r="F1279" s="4" t="s">
        <v>4</v>
      </c>
      <c r="G1279" s="2">
        <f>IF(ISNUMBER(SEARCH(Лист2!$B$4,F:F)),1,0)</f>
        <v>0</v>
      </c>
      <c r="H1279" s="3">
        <f ca="1">IF(AND(I1279&lt;&gt;I1278,ISNUMBER(SEARCH(Лист2!$B$5,I:I)),G1279=1),MAX($H$3:OFFSET(H1279,-1,0))+1,0)</f>
        <v>0</v>
      </c>
      <c r="I1279" s="3" t="s">
        <v>162</v>
      </c>
      <c r="K1279" s="2">
        <f>IF(ISNUMBER(SEARCH(Лист2!$B$4,F:F)),1,0)</f>
        <v>0</v>
      </c>
      <c r="L1279" s="14">
        <f>IF(ISNUMBER(SEARCH(Лист2!$B$5,I:I)),1,0)+K1279</f>
        <v>0</v>
      </c>
      <c r="M1279" s="3">
        <f ca="1">IF(AND(N1279&lt;&gt;N1278,ISNUMBER(SEARCH(Лист2!$B$6,N:N)),L1279=2),MAX($M$3:OFFSET(M1279,-1,0))+1,0)</f>
        <v>0</v>
      </c>
      <c r="N1279" s="3" t="s">
        <v>1320</v>
      </c>
    </row>
    <row r="1280" spans="1:14" x14ac:dyDescent="0.25">
      <c r="A1280" s="1" t="s">
        <v>10816</v>
      </c>
      <c r="B1280" s="3" t="s">
        <v>4904</v>
      </c>
      <c r="C1280" s="2">
        <f ca="1">IF(ISNUMBER(SEARCH(Лист2!$B$4,D:D)),MAX($C$3:OFFSET(C1280,-1,0))+1,0)</f>
        <v>0</v>
      </c>
      <c r="E1280" s="9" t="str">
        <f t="shared" ca="1" si="31"/>
        <v/>
      </c>
      <c r="F1280" s="4" t="s">
        <v>4</v>
      </c>
      <c r="G1280" s="2">
        <f>IF(ISNUMBER(SEARCH(Лист2!$B$4,F:F)),1,0)</f>
        <v>0</v>
      </c>
      <c r="H1280" s="3">
        <f ca="1">IF(AND(I1280&lt;&gt;I1279,ISNUMBER(SEARCH(Лист2!$B$5,I:I)),G1280=1),MAX($H$3:OFFSET(H1280,-1,0))+1,0)</f>
        <v>0</v>
      </c>
      <c r="I1280" s="3" t="s">
        <v>163</v>
      </c>
      <c r="K1280" s="2">
        <f>IF(ISNUMBER(SEARCH(Лист2!$B$4,F:F)),1,0)</f>
        <v>0</v>
      </c>
      <c r="L1280" s="14">
        <f>IF(ISNUMBER(SEARCH(Лист2!$B$5,I:I)),1,0)+K1280</f>
        <v>0</v>
      </c>
      <c r="M1280" s="3">
        <f ca="1">IF(AND(N1280&lt;&gt;N1279,ISNUMBER(SEARCH(Лист2!$B$6,N:N)),L1280=2),MAX($M$3:OFFSET(M1280,-1,0))+1,0)</f>
        <v>0</v>
      </c>
      <c r="N1280" s="3" t="s">
        <v>1321</v>
      </c>
    </row>
    <row r="1281" spans="1:14" x14ac:dyDescent="0.25">
      <c r="A1281" s="1" t="s">
        <v>10817</v>
      </c>
      <c r="B1281" s="3" t="s">
        <v>4905</v>
      </c>
      <c r="C1281" s="2">
        <f ca="1">IF(ISNUMBER(SEARCH(Лист2!$B$4,D:D)),MAX($C$3:OFFSET(C1281,-1,0))+1,0)</f>
        <v>0</v>
      </c>
      <c r="E1281" s="9" t="str">
        <f t="shared" ca="1" si="31"/>
        <v/>
      </c>
      <c r="F1281" s="4" t="s">
        <v>4</v>
      </c>
      <c r="G1281" s="2">
        <f>IF(ISNUMBER(SEARCH(Лист2!$B$4,F:F)),1,0)</f>
        <v>0</v>
      </c>
      <c r="H1281" s="3">
        <f ca="1">IF(AND(I1281&lt;&gt;I1280,ISNUMBER(SEARCH(Лист2!$B$5,I:I)),G1281=1),MAX($H$3:OFFSET(H1281,-1,0))+1,0)</f>
        <v>0</v>
      </c>
      <c r="I1281" s="3" t="s">
        <v>164</v>
      </c>
      <c r="K1281" s="2">
        <f>IF(ISNUMBER(SEARCH(Лист2!$B$4,F:F)),1,0)</f>
        <v>0</v>
      </c>
      <c r="L1281" s="14">
        <f>IF(ISNUMBER(SEARCH(Лист2!$B$5,I:I)),1,0)+K1281</f>
        <v>0</v>
      </c>
      <c r="M1281" s="3">
        <f ca="1">IF(AND(N1281&lt;&gt;N1280,ISNUMBER(SEARCH(Лист2!$B$6,N:N)),L1281=2),MAX($M$3:OFFSET(M1281,-1,0))+1,0)</f>
        <v>0</v>
      </c>
      <c r="N1281" s="3" t="s">
        <v>1322</v>
      </c>
    </row>
    <row r="1282" spans="1:14" x14ac:dyDescent="0.25">
      <c r="A1282" s="1" t="s">
        <v>10818</v>
      </c>
      <c r="B1282" s="3" t="s">
        <v>4906</v>
      </c>
      <c r="C1282" s="2">
        <f ca="1">IF(ISNUMBER(SEARCH(Лист2!$B$4,D:D)),MAX($C$3:OFFSET(C1282,-1,0))+1,0)</f>
        <v>0</v>
      </c>
      <c r="E1282" s="9" t="str">
        <f t="shared" ca="1" si="31"/>
        <v/>
      </c>
      <c r="F1282" s="4" t="s">
        <v>4</v>
      </c>
      <c r="G1282" s="2">
        <f>IF(ISNUMBER(SEARCH(Лист2!$B$4,F:F)),1,0)</f>
        <v>0</v>
      </c>
      <c r="H1282" s="3">
        <f ca="1">IF(AND(I1282&lt;&gt;I1281,ISNUMBER(SEARCH(Лист2!$B$5,I:I)),G1282=1),MAX($H$3:OFFSET(H1282,-1,0))+1,0)</f>
        <v>0</v>
      </c>
      <c r="I1282" s="3" t="s">
        <v>165</v>
      </c>
      <c r="K1282" s="2">
        <f>IF(ISNUMBER(SEARCH(Лист2!$B$4,F:F)),1,0)</f>
        <v>0</v>
      </c>
      <c r="L1282" s="14">
        <f>IF(ISNUMBER(SEARCH(Лист2!$B$5,I:I)),1,0)+K1282</f>
        <v>0</v>
      </c>
      <c r="M1282" s="3">
        <f ca="1">IF(AND(N1282&lt;&gt;N1281,ISNUMBER(SEARCH(Лист2!$B$6,N:N)),L1282=2),MAX($M$3:OFFSET(M1282,-1,0))+1,0)</f>
        <v>0</v>
      </c>
      <c r="N1282" s="3" t="s">
        <v>1323</v>
      </c>
    </row>
    <row r="1283" spans="1:14" x14ac:dyDescent="0.25">
      <c r="A1283" s="1" t="s">
        <v>10819</v>
      </c>
      <c r="B1283" s="3" t="s">
        <v>4907</v>
      </c>
      <c r="C1283" s="2">
        <f ca="1">IF(ISNUMBER(SEARCH(Лист2!$B$4,D:D)),MAX($C$3:OFFSET(C1283,-1,0))+1,0)</f>
        <v>0</v>
      </c>
      <c r="E1283" s="9" t="str">
        <f t="shared" ca="1" si="31"/>
        <v/>
      </c>
      <c r="F1283" s="4" t="s">
        <v>4</v>
      </c>
      <c r="G1283" s="2">
        <f>IF(ISNUMBER(SEARCH(Лист2!$B$4,F:F)),1,0)</f>
        <v>0</v>
      </c>
      <c r="H1283" s="3">
        <f ca="1">IF(AND(I1283&lt;&gt;I1282,ISNUMBER(SEARCH(Лист2!$B$5,I:I)),G1283=1),MAX($H$3:OFFSET(H1283,-1,0))+1,0)</f>
        <v>0</v>
      </c>
      <c r="I1283" s="3" t="s">
        <v>166</v>
      </c>
      <c r="K1283" s="2">
        <f>IF(ISNUMBER(SEARCH(Лист2!$B$4,F:F)),1,0)</f>
        <v>0</v>
      </c>
      <c r="L1283" s="14">
        <f>IF(ISNUMBER(SEARCH(Лист2!$B$5,I:I)),1,0)+K1283</f>
        <v>0</v>
      </c>
      <c r="M1283" s="3">
        <f ca="1">IF(AND(N1283&lt;&gt;N1282,ISNUMBER(SEARCH(Лист2!$B$6,N:N)),L1283=2),MAX($M$3:OFFSET(M1283,-1,0))+1,0)</f>
        <v>0</v>
      </c>
      <c r="N1283" s="3" t="s">
        <v>1324</v>
      </c>
    </row>
    <row r="1284" spans="1:14" x14ac:dyDescent="0.25">
      <c r="A1284" s="1" t="s">
        <v>10820</v>
      </c>
      <c r="B1284" s="3" t="s">
        <v>4908</v>
      </c>
      <c r="C1284" s="2">
        <f ca="1">IF(ISNUMBER(SEARCH(Лист2!$B$4,D:D)),MAX($C$3:OFFSET(C1284,-1,0))+1,0)</f>
        <v>0</v>
      </c>
      <c r="E1284" s="9" t="str">
        <f t="shared" ca="1" si="31"/>
        <v/>
      </c>
      <c r="F1284" s="4" t="s">
        <v>4</v>
      </c>
      <c r="G1284" s="2">
        <f>IF(ISNUMBER(SEARCH(Лист2!$B$4,F:F)),1,0)</f>
        <v>0</v>
      </c>
      <c r="H1284" s="3">
        <f ca="1">IF(AND(I1284&lt;&gt;I1283,ISNUMBER(SEARCH(Лист2!$B$5,I:I)),G1284=1),MAX($H$3:OFFSET(H1284,-1,0))+1,0)</f>
        <v>0</v>
      </c>
      <c r="I1284" s="3" t="s">
        <v>167</v>
      </c>
      <c r="K1284" s="2">
        <f>IF(ISNUMBER(SEARCH(Лист2!$B$4,F:F)),1,0)</f>
        <v>0</v>
      </c>
      <c r="L1284" s="14">
        <f>IF(ISNUMBER(SEARCH(Лист2!$B$5,I:I)),1,0)+K1284</f>
        <v>0</v>
      </c>
      <c r="M1284" s="3">
        <f ca="1">IF(AND(N1284&lt;&gt;N1283,ISNUMBER(SEARCH(Лист2!$B$6,N:N)),L1284=2),MAX($M$3:OFFSET(M1284,-1,0))+1,0)</f>
        <v>0</v>
      </c>
      <c r="N1284" s="3" t="s">
        <v>1325</v>
      </c>
    </row>
    <row r="1285" spans="1:14" x14ac:dyDescent="0.25">
      <c r="A1285" s="1" t="s">
        <v>10821</v>
      </c>
      <c r="B1285" s="3" t="s">
        <v>4909</v>
      </c>
      <c r="C1285" s="2">
        <f ca="1">IF(ISNUMBER(SEARCH(Лист2!$B$4,D:D)),MAX($C$3:OFFSET(C1285,-1,0))+1,0)</f>
        <v>0</v>
      </c>
      <c r="E1285" s="9" t="str">
        <f t="shared" ref="E1285:E1348" ca="1" si="32">IFERROR(INDEX(D:D,MATCH(ROW(E1285)-ROW($E$3),C:C,0)),"")</f>
        <v/>
      </c>
      <c r="F1285" s="4" t="s">
        <v>4</v>
      </c>
      <c r="G1285" s="2">
        <f>IF(ISNUMBER(SEARCH(Лист2!$B$4,F:F)),1,0)</f>
        <v>0</v>
      </c>
      <c r="H1285" s="3">
        <f ca="1">IF(AND(I1285&lt;&gt;I1284,ISNUMBER(SEARCH(Лист2!$B$5,I:I)),G1285=1),MAX($H$3:OFFSET(H1285,-1,0))+1,0)</f>
        <v>0</v>
      </c>
      <c r="I1285" s="3" t="s">
        <v>168</v>
      </c>
      <c r="K1285" s="2">
        <f>IF(ISNUMBER(SEARCH(Лист2!$B$4,F:F)),1,0)</f>
        <v>0</v>
      </c>
      <c r="L1285" s="14">
        <f>IF(ISNUMBER(SEARCH(Лист2!$B$5,I:I)),1,0)+K1285</f>
        <v>0</v>
      </c>
      <c r="M1285" s="3">
        <f ca="1">IF(AND(N1285&lt;&gt;N1284,ISNUMBER(SEARCH(Лист2!$B$6,N:N)),L1285=2),MAX($M$3:OFFSET(M1285,-1,0))+1,0)</f>
        <v>0</v>
      </c>
      <c r="N1285" s="3" t="s">
        <v>1326</v>
      </c>
    </row>
    <row r="1286" spans="1:14" x14ac:dyDescent="0.25">
      <c r="A1286" s="1" t="s">
        <v>10822</v>
      </c>
      <c r="B1286" s="3" t="s">
        <v>4910</v>
      </c>
      <c r="C1286" s="2">
        <f ca="1">IF(ISNUMBER(SEARCH(Лист2!$B$4,D:D)),MAX($C$3:OFFSET(C1286,-1,0))+1,0)</f>
        <v>0</v>
      </c>
      <c r="E1286" s="9" t="str">
        <f t="shared" ca="1" si="32"/>
        <v/>
      </c>
      <c r="F1286" s="4" t="s">
        <v>4</v>
      </c>
      <c r="G1286" s="2">
        <f>IF(ISNUMBER(SEARCH(Лист2!$B$4,F:F)),1,0)</f>
        <v>0</v>
      </c>
      <c r="H1286" s="3">
        <f ca="1">IF(AND(I1286&lt;&gt;I1285,ISNUMBER(SEARCH(Лист2!$B$5,I:I)),G1286=1),MAX($H$3:OFFSET(H1286,-1,0))+1,0)</f>
        <v>0</v>
      </c>
      <c r="I1286" s="3" t="s">
        <v>169</v>
      </c>
      <c r="K1286" s="2">
        <f>IF(ISNUMBER(SEARCH(Лист2!$B$4,F:F)),1,0)</f>
        <v>0</v>
      </c>
      <c r="L1286" s="14">
        <f>IF(ISNUMBER(SEARCH(Лист2!$B$5,I:I)),1,0)+K1286</f>
        <v>0</v>
      </c>
      <c r="M1286" s="3">
        <f ca="1">IF(AND(N1286&lt;&gt;N1285,ISNUMBER(SEARCH(Лист2!$B$6,N:N)),L1286=2),MAX($M$3:OFFSET(M1286,-1,0))+1,0)</f>
        <v>0</v>
      </c>
      <c r="N1286" s="3" t="s">
        <v>1327</v>
      </c>
    </row>
    <row r="1287" spans="1:14" x14ac:dyDescent="0.25">
      <c r="A1287" s="1" t="s">
        <v>10823</v>
      </c>
      <c r="B1287" s="3" t="s">
        <v>4911</v>
      </c>
      <c r="C1287" s="2">
        <f ca="1">IF(ISNUMBER(SEARCH(Лист2!$B$4,D:D)),MAX($C$3:OFFSET(C1287,-1,0))+1,0)</f>
        <v>0</v>
      </c>
      <c r="E1287" s="9" t="str">
        <f t="shared" ca="1" si="32"/>
        <v/>
      </c>
      <c r="F1287" s="4" t="s">
        <v>4</v>
      </c>
      <c r="G1287" s="2">
        <f>IF(ISNUMBER(SEARCH(Лист2!$B$4,F:F)),1,0)</f>
        <v>0</v>
      </c>
      <c r="H1287" s="3">
        <f ca="1">IF(AND(I1287&lt;&gt;I1286,ISNUMBER(SEARCH(Лист2!$B$5,I:I)),G1287=1),MAX($H$3:OFFSET(H1287,-1,0))+1,0)</f>
        <v>0</v>
      </c>
      <c r="I1287" s="3" t="s">
        <v>170</v>
      </c>
      <c r="K1287" s="2">
        <f>IF(ISNUMBER(SEARCH(Лист2!$B$4,F:F)),1,0)</f>
        <v>0</v>
      </c>
      <c r="L1287" s="14">
        <f>IF(ISNUMBER(SEARCH(Лист2!$B$5,I:I)),1,0)+K1287</f>
        <v>0</v>
      </c>
      <c r="M1287" s="3">
        <f ca="1">IF(AND(N1287&lt;&gt;N1286,ISNUMBER(SEARCH(Лист2!$B$6,N:N)),L1287=2),MAX($M$3:OFFSET(M1287,-1,0))+1,0)</f>
        <v>0</v>
      </c>
      <c r="N1287" s="3" t="s">
        <v>1328</v>
      </c>
    </row>
    <row r="1288" spans="1:14" x14ac:dyDescent="0.25">
      <c r="A1288" s="1" t="s">
        <v>10824</v>
      </c>
      <c r="B1288" s="3" t="s">
        <v>4912</v>
      </c>
      <c r="C1288" s="2">
        <f ca="1">IF(ISNUMBER(SEARCH(Лист2!$B$4,D:D)),MAX($C$3:OFFSET(C1288,-1,0))+1,0)</f>
        <v>0</v>
      </c>
      <c r="E1288" s="9" t="str">
        <f t="shared" ca="1" si="32"/>
        <v/>
      </c>
      <c r="F1288" s="4" t="s">
        <v>4</v>
      </c>
      <c r="G1288" s="2">
        <f>IF(ISNUMBER(SEARCH(Лист2!$B$4,F:F)),1,0)</f>
        <v>0</v>
      </c>
      <c r="H1288" s="3">
        <f ca="1">IF(AND(I1288&lt;&gt;I1287,ISNUMBER(SEARCH(Лист2!$B$5,I:I)),G1288=1),MAX($H$3:OFFSET(H1288,-1,0))+1,0)</f>
        <v>0</v>
      </c>
      <c r="I1288" s="3" t="s">
        <v>171</v>
      </c>
      <c r="K1288" s="2">
        <f>IF(ISNUMBER(SEARCH(Лист2!$B$4,F:F)),1,0)</f>
        <v>0</v>
      </c>
      <c r="L1288" s="14">
        <f>IF(ISNUMBER(SEARCH(Лист2!$B$5,I:I)),1,0)+K1288</f>
        <v>0</v>
      </c>
      <c r="M1288" s="3">
        <f ca="1">IF(AND(N1288&lt;&gt;N1287,ISNUMBER(SEARCH(Лист2!$B$6,N:N)),L1288=2),MAX($M$3:OFFSET(M1288,-1,0))+1,0)</f>
        <v>0</v>
      </c>
      <c r="N1288" s="3" t="s">
        <v>1329</v>
      </c>
    </row>
    <row r="1289" spans="1:14" x14ac:dyDescent="0.25">
      <c r="A1289" s="1" t="s">
        <v>10825</v>
      </c>
      <c r="B1289" s="3" t="s">
        <v>4913</v>
      </c>
      <c r="C1289" s="2">
        <f ca="1">IF(ISNUMBER(SEARCH(Лист2!$B$4,D:D)),MAX($C$3:OFFSET(C1289,-1,0))+1,0)</f>
        <v>0</v>
      </c>
      <c r="E1289" s="9" t="str">
        <f t="shared" ca="1" si="32"/>
        <v/>
      </c>
      <c r="F1289" s="4" t="s">
        <v>4</v>
      </c>
      <c r="G1289" s="2">
        <f>IF(ISNUMBER(SEARCH(Лист2!$B$4,F:F)),1,0)</f>
        <v>0</v>
      </c>
      <c r="H1289" s="3">
        <f ca="1">IF(AND(I1289&lt;&gt;I1288,ISNUMBER(SEARCH(Лист2!$B$5,I:I)),G1289=1),MAX($H$3:OFFSET(H1289,-1,0))+1,0)</f>
        <v>0</v>
      </c>
      <c r="I1289" s="3" t="s">
        <v>172</v>
      </c>
      <c r="K1289" s="2">
        <f>IF(ISNUMBER(SEARCH(Лист2!$B$4,F:F)),1,0)</f>
        <v>0</v>
      </c>
      <c r="L1289" s="14">
        <f>IF(ISNUMBER(SEARCH(Лист2!$B$5,I:I)),1,0)+K1289</f>
        <v>0</v>
      </c>
      <c r="M1289" s="3">
        <f ca="1">IF(AND(N1289&lt;&gt;N1288,ISNUMBER(SEARCH(Лист2!$B$6,N:N)),L1289=2),MAX($M$3:OFFSET(M1289,-1,0))+1,0)</f>
        <v>0</v>
      </c>
      <c r="N1289" s="3" t="s">
        <v>1330</v>
      </c>
    </row>
    <row r="1290" spans="1:14" x14ac:dyDescent="0.25">
      <c r="A1290" s="1" t="s">
        <v>10826</v>
      </c>
      <c r="B1290" s="3" t="s">
        <v>4914</v>
      </c>
      <c r="C1290" s="2">
        <f ca="1">IF(ISNUMBER(SEARCH(Лист2!$B$4,D:D)),MAX($C$3:OFFSET(C1290,-1,0))+1,0)</f>
        <v>0</v>
      </c>
      <c r="E1290" s="9" t="str">
        <f t="shared" ca="1" si="32"/>
        <v/>
      </c>
      <c r="F1290" s="4" t="s">
        <v>4</v>
      </c>
      <c r="G1290" s="2">
        <f>IF(ISNUMBER(SEARCH(Лист2!$B$4,F:F)),1,0)</f>
        <v>0</v>
      </c>
      <c r="H1290" s="3">
        <f ca="1">IF(AND(I1290&lt;&gt;I1289,ISNUMBER(SEARCH(Лист2!$B$5,I:I)),G1290=1),MAX($H$3:OFFSET(H1290,-1,0))+1,0)</f>
        <v>0</v>
      </c>
      <c r="I1290" s="3" t="s">
        <v>173</v>
      </c>
      <c r="K1290" s="2">
        <f>IF(ISNUMBER(SEARCH(Лист2!$B$4,F:F)),1,0)</f>
        <v>0</v>
      </c>
      <c r="L1290" s="14">
        <f>IF(ISNUMBER(SEARCH(Лист2!$B$5,I:I)),1,0)+K1290</f>
        <v>0</v>
      </c>
      <c r="M1290" s="3">
        <f ca="1">IF(AND(N1290&lt;&gt;N1289,ISNUMBER(SEARCH(Лист2!$B$6,N:N)),L1290=2),MAX($M$3:OFFSET(M1290,-1,0))+1,0)</f>
        <v>0</v>
      </c>
      <c r="N1290" s="3" t="s">
        <v>1331</v>
      </c>
    </row>
    <row r="1291" spans="1:14" x14ac:dyDescent="0.25">
      <c r="A1291" s="1" t="s">
        <v>10827</v>
      </c>
      <c r="B1291" s="3" t="s">
        <v>4915</v>
      </c>
      <c r="C1291" s="2">
        <f ca="1">IF(ISNUMBER(SEARCH(Лист2!$B$4,D:D)),MAX($C$3:OFFSET(C1291,-1,0))+1,0)</f>
        <v>0</v>
      </c>
      <c r="E1291" s="9" t="str">
        <f t="shared" ca="1" si="32"/>
        <v/>
      </c>
      <c r="F1291" s="4" t="s">
        <v>4</v>
      </c>
      <c r="G1291" s="2">
        <f>IF(ISNUMBER(SEARCH(Лист2!$B$4,F:F)),1,0)</f>
        <v>0</v>
      </c>
      <c r="H1291" s="3">
        <f ca="1">IF(AND(I1291&lt;&gt;I1290,ISNUMBER(SEARCH(Лист2!$B$5,I:I)),G1291=1),MAX($H$3:OFFSET(H1291,-1,0))+1,0)</f>
        <v>0</v>
      </c>
      <c r="I1291" s="3" t="s">
        <v>174</v>
      </c>
      <c r="K1291" s="2">
        <f>IF(ISNUMBER(SEARCH(Лист2!$B$4,F:F)),1,0)</f>
        <v>0</v>
      </c>
      <c r="L1291" s="14">
        <f>IF(ISNUMBER(SEARCH(Лист2!$B$5,I:I)),1,0)+K1291</f>
        <v>0</v>
      </c>
      <c r="M1291" s="3">
        <f ca="1">IF(AND(N1291&lt;&gt;N1290,ISNUMBER(SEARCH(Лист2!$B$6,N:N)),L1291=2),MAX($M$3:OFFSET(M1291,-1,0))+1,0)</f>
        <v>0</v>
      </c>
      <c r="N1291" s="3" t="s">
        <v>1332</v>
      </c>
    </row>
    <row r="1292" spans="1:14" x14ac:dyDescent="0.25">
      <c r="A1292" s="1" t="s">
        <v>10828</v>
      </c>
      <c r="B1292" s="3" t="s">
        <v>4916</v>
      </c>
      <c r="C1292" s="2">
        <f ca="1">IF(ISNUMBER(SEARCH(Лист2!$B$4,D:D)),MAX($C$3:OFFSET(C1292,-1,0))+1,0)</f>
        <v>0</v>
      </c>
      <c r="E1292" s="9" t="str">
        <f t="shared" ca="1" si="32"/>
        <v/>
      </c>
      <c r="F1292" s="4" t="s">
        <v>4</v>
      </c>
      <c r="G1292" s="2">
        <f>IF(ISNUMBER(SEARCH(Лист2!$B$4,F:F)),1,0)</f>
        <v>0</v>
      </c>
      <c r="H1292" s="3">
        <f ca="1">IF(AND(I1292&lt;&gt;I1291,ISNUMBER(SEARCH(Лист2!$B$5,I:I)),G1292=1),MAX($H$3:OFFSET(H1292,-1,0))+1,0)</f>
        <v>0</v>
      </c>
      <c r="I1292" s="3" t="s">
        <v>175</v>
      </c>
      <c r="K1292" s="2">
        <f>IF(ISNUMBER(SEARCH(Лист2!$B$4,F:F)),1,0)</f>
        <v>0</v>
      </c>
      <c r="L1292" s="14">
        <f>IF(ISNUMBER(SEARCH(Лист2!$B$5,I:I)),1,0)+K1292</f>
        <v>0</v>
      </c>
      <c r="M1292" s="3">
        <f ca="1">IF(AND(N1292&lt;&gt;N1291,ISNUMBER(SEARCH(Лист2!$B$6,N:N)),L1292=2),MAX($M$3:OFFSET(M1292,-1,0))+1,0)</f>
        <v>0</v>
      </c>
      <c r="N1292" s="3" t="s">
        <v>1333</v>
      </c>
    </row>
    <row r="1293" spans="1:14" x14ac:dyDescent="0.25">
      <c r="A1293" s="1" t="s">
        <v>10829</v>
      </c>
      <c r="B1293" s="3" t="s">
        <v>4917</v>
      </c>
      <c r="C1293" s="2">
        <f ca="1">IF(ISNUMBER(SEARCH(Лист2!$B$4,D:D)),MAX($C$3:OFFSET(C1293,-1,0))+1,0)</f>
        <v>0</v>
      </c>
      <c r="E1293" s="9" t="str">
        <f t="shared" ca="1" si="32"/>
        <v/>
      </c>
      <c r="F1293" s="4" t="s">
        <v>4</v>
      </c>
      <c r="G1293" s="2">
        <f>IF(ISNUMBER(SEARCH(Лист2!$B$4,F:F)),1,0)</f>
        <v>0</v>
      </c>
      <c r="H1293" s="3">
        <f ca="1">IF(AND(I1293&lt;&gt;I1292,ISNUMBER(SEARCH(Лист2!$B$5,I:I)),G1293=1),MAX($H$3:OFFSET(H1293,-1,0))+1,0)</f>
        <v>0</v>
      </c>
      <c r="I1293" s="3" t="s">
        <v>176</v>
      </c>
      <c r="K1293" s="2">
        <f>IF(ISNUMBER(SEARCH(Лист2!$B$4,F:F)),1,0)</f>
        <v>0</v>
      </c>
      <c r="L1293" s="14">
        <f>IF(ISNUMBER(SEARCH(Лист2!$B$5,I:I)),1,0)+K1293</f>
        <v>0</v>
      </c>
      <c r="M1293" s="3">
        <f ca="1">IF(AND(N1293&lt;&gt;N1292,ISNUMBER(SEARCH(Лист2!$B$6,N:N)),L1293=2),MAX($M$3:OFFSET(M1293,-1,0))+1,0)</f>
        <v>0</v>
      </c>
      <c r="N1293" s="3" t="s">
        <v>1334</v>
      </c>
    </row>
    <row r="1294" spans="1:14" x14ac:dyDescent="0.25">
      <c r="A1294" s="1" t="s">
        <v>10830</v>
      </c>
      <c r="B1294" s="3" t="s">
        <v>4918</v>
      </c>
      <c r="C1294" s="2">
        <f ca="1">IF(ISNUMBER(SEARCH(Лист2!$B$4,D:D)),MAX($C$3:OFFSET(C1294,-1,0))+1,0)</f>
        <v>0</v>
      </c>
      <c r="E1294" s="9" t="str">
        <f t="shared" ca="1" si="32"/>
        <v/>
      </c>
      <c r="F1294" s="4" t="s">
        <v>4</v>
      </c>
      <c r="G1294" s="2">
        <f>IF(ISNUMBER(SEARCH(Лист2!$B$4,F:F)),1,0)</f>
        <v>0</v>
      </c>
      <c r="H1294" s="3">
        <f ca="1">IF(AND(I1294&lt;&gt;I1293,ISNUMBER(SEARCH(Лист2!$B$5,I:I)),G1294=1),MAX($H$3:OFFSET(H1294,-1,0))+1,0)</f>
        <v>0</v>
      </c>
      <c r="I1294" s="3" t="s">
        <v>177</v>
      </c>
      <c r="K1294" s="2">
        <f>IF(ISNUMBER(SEARCH(Лист2!$B$4,F:F)),1,0)</f>
        <v>0</v>
      </c>
      <c r="L1294" s="14">
        <f>IF(ISNUMBER(SEARCH(Лист2!$B$5,I:I)),1,0)+K1294</f>
        <v>0</v>
      </c>
      <c r="M1294" s="3">
        <f ca="1">IF(AND(N1294&lt;&gt;N1293,ISNUMBER(SEARCH(Лист2!$B$6,N:N)),L1294=2),MAX($M$3:OFFSET(M1294,-1,0))+1,0)</f>
        <v>0</v>
      </c>
      <c r="N1294" s="3" t="s">
        <v>1335</v>
      </c>
    </row>
    <row r="1295" spans="1:14" x14ac:dyDescent="0.25">
      <c r="A1295" s="1" t="s">
        <v>10831</v>
      </c>
      <c r="B1295" s="3" t="s">
        <v>4919</v>
      </c>
      <c r="C1295" s="2">
        <f ca="1">IF(ISNUMBER(SEARCH(Лист2!$B$4,D:D)),MAX($C$3:OFFSET(C1295,-1,0))+1,0)</f>
        <v>0</v>
      </c>
      <c r="E1295" s="9" t="str">
        <f t="shared" ca="1" si="32"/>
        <v/>
      </c>
      <c r="F1295" s="4" t="s">
        <v>4</v>
      </c>
      <c r="G1295" s="2">
        <f>IF(ISNUMBER(SEARCH(Лист2!$B$4,F:F)),1,0)</f>
        <v>0</v>
      </c>
      <c r="H1295" s="3">
        <f ca="1">IF(AND(I1295&lt;&gt;I1294,ISNUMBER(SEARCH(Лист2!$B$5,I:I)),G1295=1),MAX($H$3:OFFSET(H1295,-1,0))+1,0)</f>
        <v>0</v>
      </c>
      <c r="I1295" s="3" t="s">
        <v>178</v>
      </c>
      <c r="K1295" s="2">
        <f>IF(ISNUMBER(SEARCH(Лист2!$B$4,F:F)),1,0)</f>
        <v>0</v>
      </c>
      <c r="L1295" s="14">
        <f>IF(ISNUMBER(SEARCH(Лист2!$B$5,I:I)),1,0)+K1295</f>
        <v>0</v>
      </c>
      <c r="M1295" s="3">
        <f ca="1">IF(AND(N1295&lt;&gt;N1294,ISNUMBER(SEARCH(Лист2!$B$6,N:N)),L1295=2),MAX($M$3:OFFSET(M1295,-1,0))+1,0)</f>
        <v>0</v>
      </c>
      <c r="N1295" s="3" t="s">
        <v>1336</v>
      </c>
    </row>
    <row r="1296" spans="1:14" x14ac:dyDescent="0.25">
      <c r="A1296" s="1" t="s">
        <v>10832</v>
      </c>
      <c r="B1296" s="3" t="s">
        <v>4920</v>
      </c>
      <c r="C1296" s="2">
        <f ca="1">IF(ISNUMBER(SEARCH(Лист2!$B$4,D:D)),MAX($C$3:OFFSET(C1296,-1,0))+1,0)</f>
        <v>0</v>
      </c>
      <c r="E1296" s="9" t="str">
        <f t="shared" ca="1" si="32"/>
        <v/>
      </c>
      <c r="F1296" s="4" t="s">
        <v>4</v>
      </c>
      <c r="G1296" s="2">
        <f>IF(ISNUMBER(SEARCH(Лист2!$B$4,F:F)),1,0)</f>
        <v>0</v>
      </c>
      <c r="H1296" s="3">
        <f ca="1">IF(AND(I1296&lt;&gt;I1295,ISNUMBER(SEARCH(Лист2!$B$5,I:I)),G1296=1),MAX($H$3:OFFSET(H1296,-1,0))+1,0)</f>
        <v>0</v>
      </c>
      <c r="I1296" s="3" t="s">
        <v>179</v>
      </c>
      <c r="K1296" s="2">
        <f>IF(ISNUMBER(SEARCH(Лист2!$B$4,F:F)),1,0)</f>
        <v>0</v>
      </c>
      <c r="L1296" s="14">
        <f>IF(ISNUMBER(SEARCH(Лист2!$B$5,I:I)),1,0)+K1296</f>
        <v>0</v>
      </c>
      <c r="M1296" s="3">
        <f ca="1">IF(AND(N1296&lt;&gt;N1295,ISNUMBER(SEARCH(Лист2!$B$6,N:N)),L1296=2),MAX($M$3:OFFSET(M1296,-1,0))+1,0)</f>
        <v>0</v>
      </c>
      <c r="N1296" s="3" t="s">
        <v>1337</v>
      </c>
    </row>
    <row r="1297" spans="1:14" x14ac:dyDescent="0.25">
      <c r="A1297" s="1" t="s">
        <v>10833</v>
      </c>
      <c r="B1297" s="3" t="s">
        <v>4921</v>
      </c>
      <c r="C1297" s="2">
        <f ca="1">IF(ISNUMBER(SEARCH(Лист2!$B$4,D:D)),MAX($C$3:OFFSET(C1297,-1,0))+1,0)</f>
        <v>0</v>
      </c>
      <c r="E1297" s="9" t="str">
        <f t="shared" ca="1" si="32"/>
        <v/>
      </c>
      <c r="F1297" s="4" t="s">
        <v>4</v>
      </c>
      <c r="G1297" s="2">
        <f>IF(ISNUMBER(SEARCH(Лист2!$B$4,F:F)),1,0)</f>
        <v>0</v>
      </c>
      <c r="H1297" s="3">
        <f ca="1">IF(AND(I1297&lt;&gt;I1296,ISNUMBER(SEARCH(Лист2!$B$5,I:I)),G1297=1),MAX($H$3:OFFSET(H1297,-1,0))+1,0)</f>
        <v>0</v>
      </c>
      <c r="I1297" s="3" t="s">
        <v>180</v>
      </c>
      <c r="K1297" s="2">
        <f>IF(ISNUMBER(SEARCH(Лист2!$B$4,F:F)),1,0)</f>
        <v>0</v>
      </c>
      <c r="L1297" s="14">
        <f>IF(ISNUMBER(SEARCH(Лист2!$B$5,I:I)),1,0)+K1297</f>
        <v>0</v>
      </c>
      <c r="M1297" s="3">
        <f ca="1">IF(AND(N1297&lt;&gt;N1296,ISNUMBER(SEARCH(Лист2!$B$6,N:N)),L1297=2),MAX($M$3:OFFSET(M1297,-1,0))+1,0)</f>
        <v>0</v>
      </c>
      <c r="N1297" s="3" t="s">
        <v>1338</v>
      </c>
    </row>
    <row r="1298" spans="1:14" x14ac:dyDescent="0.25">
      <c r="A1298" s="1" t="s">
        <v>10834</v>
      </c>
      <c r="B1298" s="3" t="s">
        <v>4922</v>
      </c>
      <c r="C1298" s="2">
        <f ca="1">IF(ISNUMBER(SEARCH(Лист2!$B$4,D:D)),MAX($C$3:OFFSET(C1298,-1,0))+1,0)</f>
        <v>0</v>
      </c>
      <c r="E1298" s="9" t="str">
        <f t="shared" ca="1" si="32"/>
        <v/>
      </c>
      <c r="F1298" s="4" t="s">
        <v>4</v>
      </c>
      <c r="G1298" s="2">
        <f>IF(ISNUMBER(SEARCH(Лист2!$B$4,F:F)),1,0)</f>
        <v>0</v>
      </c>
      <c r="H1298" s="3">
        <f ca="1">IF(AND(I1298&lt;&gt;I1297,ISNUMBER(SEARCH(Лист2!$B$5,I:I)),G1298=1),MAX($H$3:OFFSET(H1298,-1,0))+1,0)</f>
        <v>0</v>
      </c>
      <c r="I1298" s="3" t="s">
        <v>181</v>
      </c>
      <c r="K1298" s="2">
        <f>IF(ISNUMBER(SEARCH(Лист2!$B$4,F:F)),1,0)</f>
        <v>0</v>
      </c>
      <c r="L1298" s="14">
        <f>IF(ISNUMBER(SEARCH(Лист2!$B$5,I:I)),1,0)+K1298</f>
        <v>0</v>
      </c>
      <c r="M1298" s="3">
        <f ca="1">IF(AND(N1298&lt;&gt;N1297,ISNUMBER(SEARCH(Лист2!$B$6,N:N)),L1298=2),MAX($M$3:OFFSET(M1298,-1,0))+1,0)</f>
        <v>0</v>
      </c>
      <c r="N1298" s="3" t="s">
        <v>1339</v>
      </c>
    </row>
    <row r="1299" spans="1:14" x14ac:dyDescent="0.25">
      <c r="A1299" s="1" t="s">
        <v>10835</v>
      </c>
      <c r="B1299" s="3" t="s">
        <v>4923</v>
      </c>
      <c r="C1299" s="2">
        <f ca="1">IF(ISNUMBER(SEARCH(Лист2!$B$4,D:D)),MAX($C$3:OFFSET(C1299,-1,0))+1,0)</f>
        <v>0</v>
      </c>
      <c r="E1299" s="9" t="str">
        <f t="shared" ca="1" si="32"/>
        <v/>
      </c>
      <c r="F1299" s="4" t="s">
        <v>4</v>
      </c>
      <c r="G1299" s="2">
        <f>IF(ISNUMBER(SEARCH(Лист2!$B$4,F:F)),1,0)</f>
        <v>0</v>
      </c>
      <c r="H1299" s="3">
        <f ca="1">IF(AND(I1299&lt;&gt;I1298,ISNUMBER(SEARCH(Лист2!$B$5,I:I)),G1299=1),MAX($H$3:OFFSET(H1299,-1,0))+1,0)</f>
        <v>0</v>
      </c>
      <c r="I1299" s="3" t="s">
        <v>148</v>
      </c>
      <c r="K1299" s="2">
        <f>IF(ISNUMBER(SEARCH(Лист2!$B$4,F:F)),1,0)</f>
        <v>0</v>
      </c>
      <c r="L1299" s="14">
        <f>IF(ISNUMBER(SEARCH(Лист2!$B$5,I:I)),1,0)+K1299</f>
        <v>0</v>
      </c>
      <c r="M1299" s="3">
        <f ca="1">IF(AND(N1299&lt;&gt;N1298,ISNUMBER(SEARCH(Лист2!$B$6,N:N)),L1299=2),MAX($M$3:OFFSET(M1299,-1,0))+1,0)</f>
        <v>0</v>
      </c>
      <c r="N1299" s="3" t="s">
        <v>1340</v>
      </c>
    </row>
    <row r="1300" spans="1:14" x14ac:dyDescent="0.25">
      <c r="A1300" s="1" t="s">
        <v>10836</v>
      </c>
      <c r="B1300" s="3" t="s">
        <v>4924</v>
      </c>
      <c r="C1300" s="2">
        <f ca="1">IF(ISNUMBER(SEARCH(Лист2!$B$4,D:D)),MAX($C$3:OFFSET(C1300,-1,0))+1,0)</f>
        <v>0</v>
      </c>
      <c r="E1300" s="9" t="str">
        <f t="shared" ca="1" si="32"/>
        <v/>
      </c>
      <c r="F1300" s="4" t="s">
        <v>4</v>
      </c>
      <c r="G1300" s="2">
        <f>IF(ISNUMBER(SEARCH(Лист2!$B$4,F:F)),1,0)</f>
        <v>0</v>
      </c>
      <c r="H1300" s="3">
        <f ca="1">IF(AND(I1300&lt;&gt;I1299,ISNUMBER(SEARCH(Лист2!$B$5,I:I)),G1300=1),MAX($H$3:OFFSET(H1300,-1,0))+1,0)</f>
        <v>0</v>
      </c>
      <c r="I1300" s="3" t="s">
        <v>182</v>
      </c>
      <c r="K1300" s="2">
        <f>IF(ISNUMBER(SEARCH(Лист2!$B$4,F:F)),1,0)</f>
        <v>0</v>
      </c>
      <c r="L1300" s="14">
        <f>IF(ISNUMBER(SEARCH(Лист2!$B$5,I:I)),1,0)+K1300</f>
        <v>0</v>
      </c>
      <c r="M1300" s="3">
        <f ca="1">IF(AND(N1300&lt;&gt;N1299,ISNUMBER(SEARCH(Лист2!$B$6,N:N)),L1300=2),MAX($M$3:OFFSET(M1300,-1,0))+1,0)</f>
        <v>0</v>
      </c>
      <c r="N1300" s="3" t="s">
        <v>1341</v>
      </c>
    </row>
    <row r="1301" spans="1:14" x14ac:dyDescent="0.25">
      <c r="A1301" s="1" t="s">
        <v>10837</v>
      </c>
      <c r="B1301" s="3" t="s">
        <v>4925</v>
      </c>
      <c r="C1301" s="2">
        <f ca="1">IF(ISNUMBER(SEARCH(Лист2!$B$4,D:D)),MAX($C$3:OFFSET(C1301,-1,0))+1,0)</f>
        <v>0</v>
      </c>
      <c r="E1301" s="9" t="str">
        <f t="shared" ca="1" si="32"/>
        <v/>
      </c>
      <c r="F1301" s="4" t="s">
        <v>4</v>
      </c>
      <c r="G1301" s="2">
        <f>IF(ISNUMBER(SEARCH(Лист2!$B$4,F:F)),1,0)</f>
        <v>0</v>
      </c>
      <c r="H1301" s="3">
        <f ca="1">IF(AND(I1301&lt;&gt;I1300,ISNUMBER(SEARCH(Лист2!$B$5,I:I)),G1301=1),MAX($H$3:OFFSET(H1301,-1,0))+1,0)</f>
        <v>0</v>
      </c>
      <c r="I1301" s="3" t="s">
        <v>183</v>
      </c>
      <c r="K1301" s="2">
        <f>IF(ISNUMBER(SEARCH(Лист2!$B$4,F:F)),1,0)</f>
        <v>0</v>
      </c>
      <c r="L1301" s="14">
        <f>IF(ISNUMBER(SEARCH(Лист2!$B$5,I:I)),1,0)+K1301</f>
        <v>0</v>
      </c>
      <c r="M1301" s="3">
        <f ca="1">IF(AND(N1301&lt;&gt;N1300,ISNUMBER(SEARCH(Лист2!$B$6,N:N)),L1301=2),MAX($M$3:OFFSET(M1301,-1,0))+1,0)</f>
        <v>0</v>
      </c>
      <c r="N1301" s="3" t="s">
        <v>1342</v>
      </c>
    </row>
    <row r="1302" spans="1:14" x14ac:dyDescent="0.25">
      <c r="A1302" s="1" t="s">
        <v>10838</v>
      </c>
      <c r="B1302" s="3" t="s">
        <v>4926</v>
      </c>
      <c r="C1302" s="2">
        <f ca="1">IF(ISNUMBER(SEARCH(Лист2!$B$4,D:D)),MAX($C$3:OFFSET(C1302,-1,0))+1,0)</f>
        <v>0</v>
      </c>
      <c r="E1302" s="9" t="str">
        <f t="shared" ca="1" si="32"/>
        <v/>
      </c>
      <c r="F1302" s="4" t="s">
        <v>4</v>
      </c>
      <c r="G1302" s="2">
        <f>IF(ISNUMBER(SEARCH(Лист2!$B$4,F:F)),1,0)</f>
        <v>0</v>
      </c>
      <c r="H1302" s="3">
        <f ca="1">IF(AND(I1302&lt;&gt;I1301,ISNUMBER(SEARCH(Лист2!$B$5,I:I)),G1302=1),MAX($H$3:OFFSET(H1302,-1,0))+1,0)</f>
        <v>0</v>
      </c>
      <c r="I1302" s="3" t="s">
        <v>184</v>
      </c>
      <c r="K1302" s="2">
        <f>IF(ISNUMBER(SEARCH(Лист2!$B$4,F:F)),1,0)</f>
        <v>0</v>
      </c>
      <c r="L1302" s="14">
        <f>IF(ISNUMBER(SEARCH(Лист2!$B$5,I:I)),1,0)+K1302</f>
        <v>0</v>
      </c>
      <c r="M1302" s="3">
        <f ca="1">IF(AND(N1302&lt;&gt;N1301,ISNUMBER(SEARCH(Лист2!$B$6,N:N)),L1302=2),MAX($M$3:OFFSET(M1302,-1,0))+1,0)</f>
        <v>0</v>
      </c>
      <c r="N1302" s="3" t="s">
        <v>1343</v>
      </c>
    </row>
    <row r="1303" spans="1:14" x14ac:dyDescent="0.25">
      <c r="A1303" s="1" t="s">
        <v>10839</v>
      </c>
      <c r="B1303" s="3" t="s">
        <v>4927</v>
      </c>
      <c r="C1303" s="2">
        <f ca="1">IF(ISNUMBER(SEARCH(Лист2!$B$4,D:D)),MAX($C$3:OFFSET(C1303,-1,0))+1,0)</f>
        <v>0</v>
      </c>
      <c r="E1303" s="9" t="str">
        <f t="shared" ca="1" si="32"/>
        <v/>
      </c>
      <c r="F1303" s="4" t="s">
        <v>4</v>
      </c>
      <c r="G1303" s="2">
        <f>IF(ISNUMBER(SEARCH(Лист2!$B$4,F:F)),1,0)</f>
        <v>0</v>
      </c>
      <c r="H1303" s="3">
        <f ca="1">IF(AND(I1303&lt;&gt;I1302,ISNUMBER(SEARCH(Лист2!$B$5,I:I)),G1303=1),MAX($H$3:OFFSET(H1303,-1,0))+1,0)</f>
        <v>0</v>
      </c>
      <c r="I1303" s="3" t="s">
        <v>185</v>
      </c>
      <c r="K1303" s="2">
        <f>IF(ISNUMBER(SEARCH(Лист2!$B$4,F:F)),1,0)</f>
        <v>0</v>
      </c>
      <c r="L1303" s="14">
        <f>IF(ISNUMBER(SEARCH(Лист2!$B$5,I:I)),1,0)+K1303</f>
        <v>0</v>
      </c>
      <c r="M1303" s="3">
        <f ca="1">IF(AND(N1303&lt;&gt;N1302,ISNUMBER(SEARCH(Лист2!$B$6,N:N)),L1303=2),MAX($M$3:OFFSET(M1303,-1,0))+1,0)</f>
        <v>0</v>
      </c>
      <c r="N1303" s="3" t="s">
        <v>1344</v>
      </c>
    </row>
    <row r="1304" spans="1:14" x14ac:dyDescent="0.25">
      <c r="A1304" s="1" t="s">
        <v>10840</v>
      </c>
      <c r="B1304" s="3" t="s">
        <v>4928</v>
      </c>
      <c r="C1304" s="2">
        <f ca="1">IF(ISNUMBER(SEARCH(Лист2!$B$4,D:D)),MAX($C$3:OFFSET(C1304,-1,0))+1,0)</f>
        <v>0</v>
      </c>
      <c r="E1304" s="9" t="str">
        <f t="shared" ca="1" si="32"/>
        <v/>
      </c>
      <c r="F1304" s="4" t="s">
        <v>4</v>
      </c>
      <c r="G1304" s="2">
        <f>IF(ISNUMBER(SEARCH(Лист2!$B$4,F:F)),1,0)</f>
        <v>0</v>
      </c>
      <c r="H1304" s="3">
        <f ca="1">IF(AND(I1304&lt;&gt;I1303,ISNUMBER(SEARCH(Лист2!$B$5,I:I)),G1304=1),MAX($H$3:OFFSET(H1304,-1,0))+1,0)</f>
        <v>0</v>
      </c>
      <c r="I1304" s="3" t="s">
        <v>102</v>
      </c>
      <c r="K1304" s="2">
        <f>IF(ISNUMBER(SEARCH(Лист2!$B$4,F:F)),1,0)</f>
        <v>0</v>
      </c>
      <c r="L1304" s="14">
        <f>IF(ISNUMBER(SEARCH(Лист2!$B$5,I:I)),1,0)+K1304</f>
        <v>0</v>
      </c>
      <c r="M1304" s="3">
        <f ca="1">IF(AND(N1304&lt;&gt;N1303,ISNUMBER(SEARCH(Лист2!$B$6,N:N)),L1304=2),MAX($M$3:OFFSET(M1304,-1,0))+1,0)</f>
        <v>0</v>
      </c>
      <c r="N1304" s="3" t="s">
        <v>1345</v>
      </c>
    </row>
    <row r="1305" spans="1:14" x14ac:dyDescent="0.25">
      <c r="A1305" s="1" t="s">
        <v>10841</v>
      </c>
      <c r="B1305" s="3" t="s">
        <v>4929</v>
      </c>
      <c r="C1305" s="2">
        <f ca="1">IF(ISNUMBER(SEARCH(Лист2!$B$4,D:D)),MAX($C$3:OFFSET(C1305,-1,0))+1,0)</f>
        <v>0</v>
      </c>
      <c r="E1305" s="9" t="str">
        <f t="shared" ca="1" si="32"/>
        <v/>
      </c>
      <c r="F1305" s="4" t="s">
        <v>4</v>
      </c>
      <c r="G1305" s="2">
        <f>IF(ISNUMBER(SEARCH(Лист2!$B$4,F:F)),1,0)</f>
        <v>0</v>
      </c>
      <c r="H1305" s="3">
        <f ca="1">IF(AND(I1305&lt;&gt;I1304,ISNUMBER(SEARCH(Лист2!$B$5,I:I)),G1305=1),MAX($H$3:OFFSET(H1305,-1,0))+1,0)</f>
        <v>0</v>
      </c>
      <c r="I1305" s="3" t="s">
        <v>103</v>
      </c>
      <c r="K1305" s="2">
        <f>IF(ISNUMBER(SEARCH(Лист2!$B$4,F:F)),1,0)</f>
        <v>0</v>
      </c>
      <c r="L1305" s="14">
        <f>IF(ISNUMBER(SEARCH(Лист2!$B$5,I:I)),1,0)+K1305</f>
        <v>0</v>
      </c>
      <c r="M1305" s="3">
        <f ca="1">IF(AND(N1305&lt;&gt;N1304,ISNUMBER(SEARCH(Лист2!$B$6,N:N)),L1305=2),MAX($M$3:OFFSET(M1305,-1,0))+1,0)</f>
        <v>0</v>
      </c>
      <c r="N1305" s="3" t="s">
        <v>1346</v>
      </c>
    </row>
    <row r="1306" spans="1:14" x14ac:dyDescent="0.25">
      <c r="A1306" s="1" t="s">
        <v>10842</v>
      </c>
      <c r="B1306" s="3" t="s">
        <v>4930</v>
      </c>
      <c r="C1306" s="2">
        <f ca="1">IF(ISNUMBER(SEARCH(Лист2!$B$4,D:D)),MAX($C$3:OFFSET(C1306,-1,0))+1,0)</f>
        <v>0</v>
      </c>
      <c r="E1306" s="9" t="str">
        <f t="shared" ca="1" si="32"/>
        <v/>
      </c>
      <c r="F1306" s="4" t="s">
        <v>4</v>
      </c>
      <c r="G1306" s="2">
        <f>IF(ISNUMBER(SEARCH(Лист2!$B$4,F:F)),1,0)</f>
        <v>0</v>
      </c>
      <c r="H1306" s="3">
        <f ca="1">IF(AND(I1306&lt;&gt;I1305,ISNUMBER(SEARCH(Лист2!$B$5,I:I)),G1306=1),MAX($H$3:OFFSET(H1306,-1,0))+1,0)</f>
        <v>0</v>
      </c>
      <c r="I1306" s="3" t="s">
        <v>104</v>
      </c>
      <c r="K1306" s="2">
        <f>IF(ISNUMBER(SEARCH(Лист2!$B$4,F:F)),1,0)</f>
        <v>0</v>
      </c>
      <c r="L1306" s="14">
        <f>IF(ISNUMBER(SEARCH(Лист2!$B$5,I:I)),1,0)+K1306</f>
        <v>0</v>
      </c>
      <c r="M1306" s="3">
        <f ca="1">IF(AND(N1306&lt;&gt;N1305,ISNUMBER(SEARCH(Лист2!$B$6,N:N)),L1306=2),MAX($M$3:OFFSET(M1306,-1,0))+1,0)</f>
        <v>0</v>
      </c>
      <c r="N1306" s="3" t="s">
        <v>1347</v>
      </c>
    </row>
    <row r="1307" spans="1:14" x14ac:dyDescent="0.25">
      <c r="A1307" s="1" t="s">
        <v>10843</v>
      </c>
      <c r="B1307" s="3" t="s">
        <v>4931</v>
      </c>
      <c r="C1307" s="2">
        <f ca="1">IF(ISNUMBER(SEARCH(Лист2!$B$4,D:D)),MAX($C$3:OFFSET(C1307,-1,0))+1,0)</f>
        <v>0</v>
      </c>
      <c r="E1307" s="9" t="str">
        <f t="shared" ca="1" si="32"/>
        <v/>
      </c>
      <c r="F1307" s="4" t="s">
        <v>4</v>
      </c>
      <c r="G1307" s="2">
        <f>IF(ISNUMBER(SEARCH(Лист2!$B$4,F:F)),1,0)</f>
        <v>0</v>
      </c>
      <c r="H1307" s="3">
        <f ca="1">IF(AND(I1307&lt;&gt;I1306,ISNUMBER(SEARCH(Лист2!$B$5,I:I)),G1307=1),MAX($H$3:OFFSET(H1307,-1,0))+1,0)</f>
        <v>0</v>
      </c>
      <c r="I1307" s="3" t="s">
        <v>142</v>
      </c>
      <c r="K1307" s="2">
        <f>IF(ISNUMBER(SEARCH(Лист2!$B$4,F:F)),1,0)</f>
        <v>0</v>
      </c>
      <c r="L1307" s="14">
        <f>IF(ISNUMBER(SEARCH(Лист2!$B$5,I:I)),1,0)+K1307</f>
        <v>0</v>
      </c>
      <c r="M1307" s="3">
        <f ca="1">IF(AND(N1307&lt;&gt;N1306,ISNUMBER(SEARCH(Лист2!$B$6,N:N)),L1307=2),MAX($M$3:OFFSET(M1307,-1,0))+1,0)</f>
        <v>0</v>
      </c>
      <c r="N1307" s="3" t="s">
        <v>1348</v>
      </c>
    </row>
    <row r="1308" spans="1:14" x14ac:dyDescent="0.25">
      <c r="A1308" s="1" t="s">
        <v>10844</v>
      </c>
      <c r="B1308" s="3" t="s">
        <v>4932</v>
      </c>
      <c r="C1308" s="2">
        <f ca="1">IF(ISNUMBER(SEARCH(Лист2!$B$4,D:D)),MAX($C$3:OFFSET(C1308,-1,0))+1,0)</f>
        <v>0</v>
      </c>
      <c r="E1308" s="9" t="str">
        <f t="shared" ca="1" si="32"/>
        <v/>
      </c>
      <c r="F1308" s="4" t="s">
        <v>4</v>
      </c>
      <c r="G1308" s="2">
        <f>IF(ISNUMBER(SEARCH(Лист2!$B$4,F:F)),1,0)</f>
        <v>0</v>
      </c>
      <c r="H1308" s="3">
        <f ca="1">IF(AND(I1308&lt;&gt;I1307,ISNUMBER(SEARCH(Лист2!$B$5,I:I)),G1308=1),MAX($H$3:OFFSET(H1308,-1,0))+1,0)</f>
        <v>0</v>
      </c>
      <c r="I1308" s="3" t="s">
        <v>143</v>
      </c>
      <c r="K1308" s="2">
        <f>IF(ISNUMBER(SEARCH(Лист2!$B$4,F:F)),1,0)</f>
        <v>0</v>
      </c>
      <c r="L1308" s="14">
        <f>IF(ISNUMBER(SEARCH(Лист2!$B$5,I:I)),1,0)+K1308</f>
        <v>0</v>
      </c>
      <c r="M1308" s="3">
        <f ca="1">IF(AND(N1308&lt;&gt;N1307,ISNUMBER(SEARCH(Лист2!$B$6,N:N)),L1308=2),MAX($M$3:OFFSET(M1308,-1,0))+1,0)</f>
        <v>0</v>
      </c>
      <c r="N1308" s="3" t="s">
        <v>1349</v>
      </c>
    </row>
    <row r="1309" spans="1:14" x14ac:dyDescent="0.25">
      <c r="A1309" s="1" t="s">
        <v>10845</v>
      </c>
      <c r="B1309" s="3" t="s">
        <v>4933</v>
      </c>
      <c r="C1309" s="2">
        <f ca="1">IF(ISNUMBER(SEARCH(Лист2!$B$4,D:D)),MAX($C$3:OFFSET(C1309,-1,0))+1,0)</f>
        <v>0</v>
      </c>
      <c r="E1309" s="9" t="str">
        <f t="shared" ca="1" si="32"/>
        <v/>
      </c>
      <c r="F1309" s="4" t="s">
        <v>4</v>
      </c>
      <c r="G1309" s="2">
        <f>IF(ISNUMBER(SEARCH(Лист2!$B$4,F:F)),1,0)</f>
        <v>0</v>
      </c>
      <c r="H1309" s="3">
        <f ca="1">IF(AND(I1309&lt;&gt;I1308,ISNUMBER(SEARCH(Лист2!$B$5,I:I)),G1309=1),MAX($H$3:OFFSET(H1309,-1,0))+1,0)</f>
        <v>0</v>
      </c>
      <c r="I1309" s="3" t="s">
        <v>144</v>
      </c>
      <c r="K1309" s="2">
        <f>IF(ISNUMBER(SEARCH(Лист2!$B$4,F:F)),1,0)</f>
        <v>0</v>
      </c>
      <c r="L1309" s="14">
        <f>IF(ISNUMBER(SEARCH(Лист2!$B$5,I:I)),1,0)+K1309</f>
        <v>1</v>
      </c>
      <c r="M1309" s="3">
        <f ca="1">IF(AND(N1309&lt;&gt;N1308,ISNUMBER(SEARCH(Лист2!$B$6,N:N)),L1309=2),MAX($M$3:OFFSET(M1309,-1,0))+1,0)</f>
        <v>0</v>
      </c>
      <c r="N1309" s="3" t="s">
        <v>1350</v>
      </c>
    </row>
    <row r="1310" spans="1:14" x14ac:dyDescent="0.25">
      <c r="A1310" s="1" t="s">
        <v>10846</v>
      </c>
      <c r="B1310" s="3" t="s">
        <v>4934</v>
      </c>
      <c r="C1310" s="2">
        <f ca="1">IF(ISNUMBER(SEARCH(Лист2!$B$4,D:D)),MAX($C$3:OFFSET(C1310,-1,0))+1,0)</f>
        <v>0</v>
      </c>
      <c r="E1310" s="9" t="str">
        <f t="shared" ca="1" si="32"/>
        <v/>
      </c>
      <c r="F1310" s="4" t="s">
        <v>4</v>
      </c>
      <c r="G1310" s="2">
        <f>IF(ISNUMBER(SEARCH(Лист2!$B$4,F:F)),1,0)</f>
        <v>0</v>
      </c>
      <c r="H1310" s="3">
        <f ca="1">IF(AND(I1310&lt;&gt;I1309,ISNUMBER(SEARCH(Лист2!$B$5,I:I)),G1310=1),MAX($H$3:OFFSET(H1310,-1,0))+1,0)</f>
        <v>0</v>
      </c>
      <c r="I1310" s="3" t="s">
        <v>142</v>
      </c>
      <c r="K1310" s="2">
        <f>IF(ISNUMBER(SEARCH(Лист2!$B$4,F:F)),1,0)</f>
        <v>0</v>
      </c>
      <c r="L1310" s="14">
        <f>IF(ISNUMBER(SEARCH(Лист2!$B$5,I:I)),1,0)+K1310</f>
        <v>0</v>
      </c>
      <c r="M1310" s="3">
        <f ca="1">IF(AND(N1310&lt;&gt;N1309,ISNUMBER(SEARCH(Лист2!$B$6,N:N)),L1310=2),MAX($M$3:OFFSET(M1310,-1,0))+1,0)</f>
        <v>0</v>
      </c>
      <c r="N1310" s="3" t="s">
        <v>1351</v>
      </c>
    </row>
    <row r="1311" spans="1:14" x14ac:dyDescent="0.25">
      <c r="A1311" s="1" t="s">
        <v>10847</v>
      </c>
      <c r="B1311" s="3" t="s">
        <v>4935</v>
      </c>
      <c r="C1311" s="2">
        <f ca="1">IF(ISNUMBER(SEARCH(Лист2!$B$4,D:D)),MAX($C$3:OFFSET(C1311,-1,0))+1,0)</f>
        <v>0</v>
      </c>
      <c r="E1311" s="9" t="str">
        <f t="shared" ca="1" si="32"/>
        <v/>
      </c>
      <c r="F1311" s="4" t="s">
        <v>4</v>
      </c>
      <c r="G1311" s="2">
        <f>IF(ISNUMBER(SEARCH(Лист2!$B$4,F:F)),1,0)</f>
        <v>0</v>
      </c>
      <c r="H1311" s="3">
        <f ca="1">IF(AND(I1311&lt;&gt;I1310,ISNUMBER(SEARCH(Лист2!$B$5,I:I)),G1311=1),MAX($H$3:OFFSET(H1311,-1,0))+1,0)</f>
        <v>0</v>
      </c>
      <c r="I1311" s="3" t="s">
        <v>143</v>
      </c>
      <c r="K1311" s="2">
        <f>IF(ISNUMBER(SEARCH(Лист2!$B$4,F:F)),1,0)</f>
        <v>0</v>
      </c>
      <c r="L1311" s="14">
        <f>IF(ISNUMBER(SEARCH(Лист2!$B$5,I:I)),1,0)+K1311</f>
        <v>0</v>
      </c>
      <c r="M1311" s="3">
        <f ca="1">IF(AND(N1311&lt;&gt;N1310,ISNUMBER(SEARCH(Лист2!$B$6,N:N)),L1311=2),MAX($M$3:OFFSET(M1311,-1,0))+1,0)</f>
        <v>0</v>
      </c>
      <c r="N1311" s="3" t="s">
        <v>1351</v>
      </c>
    </row>
    <row r="1312" spans="1:14" x14ac:dyDescent="0.25">
      <c r="A1312" s="1" t="s">
        <v>10848</v>
      </c>
      <c r="B1312" s="3" t="s">
        <v>4936</v>
      </c>
      <c r="C1312" s="2">
        <f ca="1">IF(ISNUMBER(SEARCH(Лист2!$B$4,D:D)),MAX($C$3:OFFSET(C1312,-1,0))+1,0)</f>
        <v>0</v>
      </c>
      <c r="E1312" s="9" t="str">
        <f t="shared" ca="1" si="32"/>
        <v/>
      </c>
      <c r="F1312" s="4" t="s">
        <v>4</v>
      </c>
      <c r="G1312" s="2">
        <f>IF(ISNUMBER(SEARCH(Лист2!$B$4,F:F)),1,0)</f>
        <v>0</v>
      </c>
      <c r="H1312" s="3">
        <f ca="1">IF(AND(I1312&lt;&gt;I1311,ISNUMBER(SEARCH(Лист2!$B$5,I:I)),G1312=1),MAX($H$3:OFFSET(H1312,-1,0))+1,0)</f>
        <v>0</v>
      </c>
      <c r="I1312" s="3" t="s">
        <v>144</v>
      </c>
      <c r="K1312" s="2">
        <f>IF(ISNUMBER(SEARCH(Лист2!$B$4,F:F)),1,0)</f>
        <v>0</v>
      </c>
      <c r="L1312" s="14">
        <f>IF(ISNUMBER(SEARCH(Лист2!$B$5,I:I)),1,0)+K1312</f>
        <v>1</v>
      </c>
      <c r="M1312" s="3">
        <f ca="1">IF(AND(N1312&lt;&gt;N1311,ISNUMBER(SEARCH(Лист2!$B$6,N:N)),L1312=2),MAX($M$3:OFFSET(M1312,-1,0))+1,0)</f>
        <v>0</v>
      </c>
      <c r="N1312" s="3" t="s">
        <v>1351</v>
      </c>
    </row>
    <row r="1313" spans="1:14" x14ac:dyDescent="0.25">
      <c r="A1313" s="1" t="s">
        <v>10849</v>
      </c>
      <c r="B1313" s="3" t="s">
        <v>4937</v>
      </c>
      <c r="C1313" s="2">
        <f ca="1">IF(ISNUMBER(SEARCH(Лист2!$B$4,D:D)),MAX($C$3:OFFSET(C1313,-1,0))+1,0)</f>
        <v>0</v>
      </c>
      <c r="E1313" s="9" t="str">
        <f t="shared" ca="1" si="32"/>
        <v/>
      </c>
      <c r="F1313" s="4" t="s">
        <v>4</v>
      </c>
      <c r="G1313" s="2">
        <f>IF(ISNUMBER(SEARCH(Лист2!$B$4,F:F)),1,0)</f>
        <v>0</v>
      </c>
      <c r="H1313" s="3">
        <f ca="1">IF(AND(I1313&lt;&gt;I1312,ISNUMBER(SEARCH(Лист2!$B$5,I:I)),G1313=1),MAX($H$3:OFFSET(H1313,-1,0))+1,0)</f>
        <v>0</v>
      </c>
      <c r="I1313" s="3" t="s">
        <v>140</v>
      </c>
      <c r="K1313" s="2">
        <f>IF(ISNUMBER(SEARCH(Лист2!$B$4,F:F)),1,0)</f>
        <v>0</v>
      </c>
      <c r="L1313" s="14">
        <f>IF(ISNUMBER(SEARCH(Лист2!$B$5,I:I)),1,0)+K1313</f>
        <v>0</v>
      </c>
      <c r="M1313" s="3">
        <f ca="1">IF(AND(N1313&lt;&gt;N1312,ISNUMBER(SEARCH(Лист2!$B$6,N:N)),L1313=2),MAX($M$3:OFFSET(M1313,-1,0))+1,0)</f>
        <v>0</v>
      </c>
      <c r="N1313" s="3" t="s">
        <v>602</v>
      </c>
    </row>
    <row r="1314" spans="1:14" x14ac:dyDescent="0.25">
      <c r="A1314" s="1" t="s">
        <v>10849</v>
      </c>
      <c r="B1314" s="3" t="s">
        <v>4938</v>
      </c>
      <c r="C1314" s="2">
        <f ca="1">IF(ISNUMBER(SEARCH(Лист2!$B$4,D:D)),MAX($C$3:OFFSET(C1314,-1,0))+1,0)</f>
        <v>0</v>
      </c>
      <c r="E1314" s="9" t="str">
        <f t="shared" ca="1" si="32"/>
        <v/>
      </c>
      <c r="F1314" s="4" t="s">
        <v>4</v>
      </c>
      <c r="G1314" s="2">
        <f>IF(ISNUMBER(SEARCH(Лист2!$B$4,F:F)),1,0)</f>
        <v>0</v>
      </c>
      <c r="H1314" s="3">
        <f ca="1">IF(AND(I1314&lt;&gt;I1313,ISNUMBER(SEARCH(Лист2!$B$5,I:I)),G1314=1),MAX($H$3:OFFSET(H1314,-1,0))+1,0)</f>
        <v>0</v>
      </c>
      <c r="I1314" s="3" t="s">
        <v>140</v>
      </c>
      <c r="K1314" s="2">
        <f>IF(ISNUMBER(SEARCH(Лист2!$B$4,F:F)),1,0)</f>
        <v>0</v>
      </c>
      <c r="L1314" s="14">
        <f>IF(ISNUMBER(SEARCH(Лист2!$B$5,I:I)),1,0)+K1314</f>
        <v>0</v>
      </c>
      <c r="M1314" s="3">
        <f ca="1">IF(AND(N1314&lt;&gt;N1313,ISNUMBER(SEARCH(Лист2!$B$6,N:N)),L1314=2),MAX($M$3:OFFSET(M1314,-1,0))+1,0)</f>
        <v>0</v>
      </c>
      <c r="N1314" s="3" t="s">
        <v>602</v>
      </c>
    </row>
    <row r="1315" spans="1:14" x14ac:dyDescent="0.25">
      <c r="A1315" s="1" t="s">
        <v>10849</v>
      </c>
      <c r="B1315" s="3" t="s">
        <v>4939</v>
      </c>
      <c r="C1315" s="2">
        <f ca="1">IF(ISNUMBER(SEARCH(Лист2!$B$4,D:D)),MAX($C$3:OFFSET(C1315,-1,0))+1,0)</f>
        <v>0</v>
      </c>
      <c r="E1315" s="9" t="str">
        <f t="shared" ca="1" si="32"/>
        <v/>
      </c>
      <c r="F1315" s="4" t="s">
        <v>4</v>
      </c>
      <c r="G1315" s="2">
        <f>IF(ISNUMBER(SEARCH(Лист2!$B$4,F:F)),1,0)</f>
        <v>0</v>
      </c>
      <c r="H1315" s="3">
        <f ca="1">IF(AND(I1315&lt;&gt;I1314,ISNUMBER(SEARCH(Лист2!$B$5,I:I)),G1315=1),MAX($H$3:OFFSET(H1315,-1,0))+1,0)</f>
        <v>0</v>
      </c>
      <c r="I1315" s="3" t="s">
        <v>140</v>
      </c>
      <c r="K1315" s="2">
        <f>IF(ISNUMBER(SEARCH(Лист2!$B$4,F:F)),1,0)</f>
        <v>0</v>
      </c>
      <c r="L1315" s="14">
        <f>IF(ISNUMBER(SEARCH(Лист2!$B$5,I:I)),1,0)+K1315</f>
        <v>0</v>
      </c>
      <c r="M1315" s="3">
        <f ca="1">IF(AND(N1315&lt;&gt;N1314,ISNUMBER(SEARCH(Лист2!$B$6,N:N)),L1315=2),MAX($M$3:OFFSET(M1315,-1,0))+1,0)</f>
        <v>0</v>
      </c>
      <c r="N1315" s="3" t="s">
        <v>602</v>
      </c>
    </row>
    <row r="1316" spans="1:14" x14ac:dyDescent="0.25">
      <c r="A1316" s="1" t="s">
        <v>10850</v>
      </c>
      <c r="B1316" s="3" t="s">
        <v>4940</v>
      </c>
      <c r="C1316" s="2">
        <f ca="1">IF(ISNUMBER(SEARCH(Лист2!$B$4,D:D)),MAX($C$3:OFFSET(C1316,-1,0))+1,0)</f>
        <v>0</v>
      </c>
      <c r="E1316" s="9" t="str">
        <f t="shared" ca="1" si="32"/>
        <v/>
      </c>
      <c r="F1316" s="4" t="s">
        <v>4</v>
      </c>
      <c r="G1316" s="2">
        <f>IF(ISNUMBER(SEARCH(Лист2!$B$4,F:F)),1,0)</f>
        <v>0</v>
      </c>
      <c r="H1316" s="3">
        <f ca="1">IF(AND(I1316&lt;&gt;I1315,ISNUMBER(SEARCH(Лист2!$B$5,I:I)),G1316=1),MAX($H$3:OFFSET(H1316,-1,0))+1,0)</f>
        <v>0</v>
      </c>
      <c r="I1316" s="3" t="s">
        <v>141</v>
      </c>
      <c r="K1316" s="2">
        <f>IF(ISNUMBER(SEARCH(Лист2!$B$4,F:F)),1,0)</f>
        <v>0</v>
      </c>
      <c r="L1316" s="14">
        <f>IF(ISNUMBER(SEARCH(Лист2!$B$5,I:I)),1,0)+K1316</f>
        <v>0</v>
      </c>
      <c r="M1316" s="3">
        <f ca="1">IF(AND(N1316&lt;&gt;N1315,ISNUMBER(SEARCH(Лист2!$B$6,N:N)),L1316=2),MAX($M$3:OFFSET(M1316,-1,0))+1,0)</f>
        <v>0</v>
      </c>
      <c r="N1316" s="3" t="s">
        <v>602</v>
      </c>
    </row>
    <row r="1317" spans="1:14" x14ac:dyDescent="0.25">
      <c r="A1317" s="1" t="s">
        <v>10850</v>
      </c>
      <c r="B1317" s="3" t="s">
        <v>4941</v>
      </c>
      <c r="C1317" s="2">
        <f ca="1">IF(ISNUMBER(SEARCH(Лист2!$B$4,D:D)),MAX($C$3:OFFSET(C1317,-1,0))+1,0)</f>
        <v>0</v>
      </c>
      <c r="E1317" s="9" t="str">
        <f t="shared" ca="1" si="32"/>
        <v/>
      </c>
      <c r="F1317" s="4" t="s">
        <v>4</v>
      </c>
      <c r="G1317" s="2">
        <f>IF(ISNUMBER(SEARCH(Лист2!$B$4,F:F)),1,0)</f>
        <v>0</v>
      </c>
      <c r="H1317" s="3">
        <f ca="1">IF(AND(I1317&lt;&gt;I1316,ISNUMBER(SEARCH(Лист2!$B$5,I:I)),G1317=1),MAX($H$3:OFFSET(H1317,-1,0))+1,0)</f>
        <v>0</v>
      </c>
      <c r="I1317" s="3" t="s">
        <v>141</v>
      </c>
      <c r="K1317" s="2">
        <f>IF(ISNUMBER(SEARCH(Лист2!$B$4,F:F)),1,0)</f>
        <v>0</v>
      </c>
      <c r="L1317" s="14">
        <f>IF(ISNUMBER(SEARCH(Лист2!$B$5,I:I)),1,0)+K1317</f>
        <v>0</v>
      </c>
      <c r="M1317" s="3">
        <f ca="1">IF(AND(N1317&lt;&gt;N1316,ISNUMBER(SEARCH(Лист2!$B$6,N:N)),L1317=2),MAX($M$3:OFFSET(M1317,-1,0))+1,0)</f>
        <v>0</v>
      </c>
      <c r="N1317" s="3" t="s">
        <v>602</v>
      </c>
    </row>
    <row r="1318" spans="1:14" x14ac:dyDescent="0.25">
      <c r="A1318" s="1" t="s">
        <v>10850</v>
      </c>
      <c r="B1318" s="3" t="s">
        <v>4942</v>
      </c>
      <c r="C1318" s="2">
        <f ca="1">IF(ISNUMBER(SEARCH(Лист2!$B$4,D:D)),MAX($C$3:OFFSET(C1318,-1,0))+1,0)</f>
        <v>0</v>
      </c>
      <c r="E1318" s="9" t="str">
        <f t="shared" ca="1" si="32"/>
        <v/>
      </c>
      <c r="F1318" s="4" t="s">
        <v>4</v>
      </c>
      <c r="G1318" s="2">
        <f>IF(ISNUMBER(SEARCH(Лист2!$B$4,F:F)),1,0)</f>
        <v>0</v>
      </c>
      <c r="H1318" s="3">
        <f ca="1">IF(AND(I1318&lt;&gt;I1317,ISNUMBER(SEARCH(Лист2!$B$5,I:I)),G1318=1),MAX($H$3:OFFSET(H1318,-1,0))+1,0)</f>
        <v>0</v>
      </c>
      <c r="I1318" s="3" t="s">
        <v>141</v>
      </c>
      <c r="K1318" s="2">
        <f>IF(ISNUMBER(SEARCH(Лист2!$B$4,F:F)),1,0)</f>
        <v>0</v>
      </c>
      <c r="L1318" s="14">
        <f>IF(ISNUMBER(SEARCH(Лист2!$B$5,I:I)),1,0)+K1318</f>
        <v>0</v>
      </c>
      <c r="M1318" s="3">
        <f ca="1">IF(AND(N1318&lt;&gt;N1317,ISNUMBER(SEARCH(Лист2!$B$6,N:N)),L1318=2),MAX($M$3:OFFSET(M1318,-1,0))+1,0)</f>
        <v>0</v>
      </c>
      <c r="N1318" s="3" t="s">
        <v>602</v>
      </c>
    </row>
    <row r="1319" spans="1:14" x14ac:dyDescent="0.25">
      <c r="A1319" s="1" t="s">
        <v>10851</v>
      </c>
      <c r="B1319" s="3" t="s">
        <v>4943</v>
      </c>
      <c r="C1319" s="2">
        <f ca="1">IF(ISNUMBER(SEARCH(Лист2!$B$4,D:D)),MAX($C$3:OFFSET(C1319,-1,0))+1,0)</f>
        <v>0</v>
      </c>
      <c r="E1319" s="9" t="str">
        <f t="shared" ca="1" si="32"/>
        <v/>
      </c>
      <c r="F1319" s="4" t="s">
        <v>4</v>
      </c>
      <c r="G1319" s="2">
        <f>IF(ISNUMBER(SEARCH(Лист2!$B$4,F:F)),1,0)</f>
        <v>0</v>
      </c>
      <c r="H1319" s="3">
        <f ca="1">IF(AND(I1319&lt;&gt;I1318,ISNUMBER(SEARCH(Лист2!$B$5,I:I)),G1319=1),MAX($H$3:OFFSET(H1319,-1,0))+1,0)</f>
        <v>0</v>
      </c>
      <c r="I1319" s="3" t="s">
        <v>139</v>
      </c>
      <c r="K1319" s="2">
        <f>IF(ISNUMBER(SEARCH(Лист2!$B$4,F:F)),1,0)</f>
        <v>0</v>
      </c>
      <c r="L1319" s="14">
        <f>IF(ISNUMBER(SEARCH(Лист2!$B$5,I:I)),1,0)+K1319</f>
        <v>0</v>
      </c>
      <c r="M1319" s="3">
        <f ca="1">IF(AND(N1319&lt;&gt;N1318,ISNUMBER(SEARCH(Лист2!$B$6,N:N)),L1319=2),MAX($M$3:OFFSET(M1319,-1,0))+1,0)</f>
        <v>0</v>
      </c>
      <c r="N1319" s="3" t="s">
        <v>602</v>
      </c>
    </row>
    <row r="1320" spans="1:14" x14ac:dyDescent="0.25">
      <c r="A1320" s="1" t="s">
        <v>10851</v>
      </c>
      <c r="B1320" s="3" t="s">
        <v>4944</v>
      </c>
      <c r="C1320" s="2">
        <f ca="1">IF(ISNUMBER(SEARCH(Лист2!$B$4,D:D)),MAX($C$3:OFFSET(C1320,-1,0))+1,0)</f>
        <v>0</v>
      </c>
      <c r="E1320" s="9" t="str">
        <f t="shared" ca="1" si="32"/>
        <v/>
      </c>
      <c r="F1320" s="4" t="s">
        <v>4</v>
      </c>
      <c r="G1320" s="2">
        <f>IF(ISNUMBER(SEARCH(Лист2!$B$4,F:F)),1,0)</f>
        <v>0</v>
      </c>
      <c r="H1320" s="3">
        <f ca="1">IF(AND(I1320&lt;&gt;I1319,ISNUMBER(SEARCH(Лист2!$B$5,I:I)),G1320=1),MAX($H$3:OFFSET(H1320,-1,0))+1,0)</f>
        <v>0</v>
      </c>
      <c r="I1320" s="3" t="s">
        <v>139</v>
      </c>
      <c r="K1320" s="2">
        <f>IF(ISNUMBER(SEARCH(Лист2!$B$4,F:F)),1,0)</f>
        <v>0</v>
      </c>
      <c r="L1320" s="14">
        <f>IF(ISNUMBER(SEARCH(Лист2!$B$5,I:I)),1,0)+K1320</f>
        <v>0</v>
      </c>
      <c r="M1320" s="3">
        <f ca="1">IF(AND(N1320&lt;&gt;N1319,ISNUMBER(SEARCH(Лист2!$B$6,N:N)),L1320=2),MAX($M$3:OFFSET(M1320,-1,0))+1,0)</f>
        <v>0</v>
      </c>
      <c r="N1320" s="3" t="s">
        <v>602</v>
      </c>
    </row>
    <row r="1321" spans="1:14" x14ac:dyDescent="0.25">
      <c r="A1321" s="1" t="s">
        <v>10851</v>
      </c>
      <c r="B1321" s="3" t="s">
        <v>4945</v>
      </c>
      <c r="C1321" s="2">
        <f ca="1">IF(ISNUMBER(SEARCH(Лист2!$B$4,D:D)),MAX($C$3:OFFSET(C1321,-1,0))+1,0)</f>
        <v>0</v>
      </c>
      <c r="E1321" s="9" t="str">
        <f t="shared" ca="1" si="32"/>
        <v/>
      </c>
      <c r="F1321" s="4" t="s">
        <v>4</v>
      </c>
      <c r="G1321" s="2">
        <f>IF(ISNUMBER(SEARCH(Лист2!$B$4,F:F)),1,0)</f>
        <v>0</v>
      </c>
      <c r="H1321" s="3">
        <f ca="1">IF(AND(I1321&lt;&gt;I1320,ISNUMBER(SEARCH(Лист2!$B$5,I:I)),G1321=1),MAX($H$3:OFFSET(H1321,-1,0))+1,0)</f>
        <v>0</v>
      </c>
      <c r="I1321" s="3" t="s">
        <v>139</v>
      </c>
      <c r="K1321" s="2">
        <f>IF(ISNUMBER(SEARCH(Лист2!$B$4,F:F)),1,0)</f>
        <v>0</v>
      </c>
      <c r="L1321" s="14">
        <f>IF(ISNUMBER(SEARCH(Лист2!$B$5,I:I)),1,0)+K1321</f>
        <v>0</v>
      </c>
      <c r="M1321" s="3">
        <f ca="1">IF(AND(N1321&lt;&gt;N1320,ISNUMBER(SEARCH(Лист2!$B$6,N:N)),L1321=2),MAX($M$3:OFFSET(M1321,-1,0))+1,0)</f>
        <v>0</v>
      </c>
      <c r="N1321" s="3" t="s">
        <v>602</v>
      </c>
    </row>
    <row r="1322" spans="1:14" x14ac:dyDescent="0.25">
      <c r="A1322" s="1" t="s">
        <v>10852</v>
      </c>
      <c r="B1322" s="3" t="s">
        <v>4946</v>
      </c>
      <c r="C1322" s="2">
        <f ca="1">IF(ISNUMBER(SEARCH(Лист2!$B$4,D:D)),MAX($C$3:OFFSET(C1322,-1,0))+1,0)</f>
        <v>0</v>
      </c>
      <c r="E1322" s="9" t="str">
        <f t="shared" ca="1" si="32"/>
        <v/>
      </c>
      <c r="F1322" s="4" t="s">
        <v>4</v>
      </c>
      <c r="G1322" s="2">
        <f>IF(ISNUMBER(SEARCH(Лист2!$B$4,F:F)),1,0)</f>
        <v>0</v>
      </c>
      <c r="H1322" s="3">
        <f ca="1">IF(AND(I1322&lt;&gt;I1321,ISNUMBER(SEARCH(Лист2!$B$5,I:I)),G1322=1),MAX($H$3:OFFSET(H1322,-1,0))+1,0)</f>
        <v>0</v>
      </c>
      <c r="I1322" s="3" t="s">
        <v>94</v>
      </c>
      <c r="K1322" s="2">
        <f>IF(ISNUMBER(SEARCH(Лист2!$B$4,F:F)),1,0)</f>
        <v>0</v>
      </c>
      <c r="L1322" s="14">
        <f>IF(ISNUMBER(SEARCH(Лист2!$B$5,I:I)),1,0)+K1322</f>
        <v>0</v>
      </c>
      <c r="M1322" s="3">
        <f ca="1">IF(AND(N1322&lt;&gt;N1321,ISNUMBER(SEARCH(Лист2!$B$6,N:N)),L1322=2),MAX($M$3:OFFSET(M1322,-1,0))+1,0)</f>
        <v>0</v>
      </c>
      <c r="N1322" s="3" t="s">
        <v>602</v>
      </c>
    </row>
    <row r="1323" spans="1:14" x14ac:dyDescent="0.25">
      <c r="A1323" s="1" t="s">
        <v>10853</v>
      </c>
      <c r="B1323" s="3" t="s">
        <v>4947</v>
      </c>
      <c r="C1323" s="2">
        <f ca="1">IF(ISNUMBER(SEARCH(Лист2!$B$4,D:D)),MAX($C$3:OFFSET(C1323,-1,0))+1,0)</f>
        <v>0</v>
      </c>
      <c r="E1323" s="9" t="str">
        <f t="shared" ca="1" si="32"/>
        <v/>
      </c>
      <c r="F1323" s="4" t="s">
        <v>4</v>
      </c>
      <c r="G1323" s="2">
        <f>IF(ISNUMBER(SEARCH(Лист2!$B$4,F:F)),1,0)</f>
        <v>0</v>
      </c>
      <c r="H1323" s="3">
        <f ca="1">IF(AND(I1323&lt;&gt;I1322,ISNUMBER(SEARCH(Лист2!$B$5,I:I)),G1323=1),MAX($H$3:OFFSET(H1323,-1,0))+1,0)</f>
        <v>0</v>
      </c>
      <c r="I1323" s="3" t="s">
        <v>95</v>
      </c>
      <c r="K1323" s="2">
        <f>IF(ISNUMBER(SEARCH(Лист2!$B$4,F:F)),1,0)</f>
        <v>0</v>
      </c>
      <c r="L1323" s="14">
        <f>IF(ISNUMBER(SEARCH(Лист2!$B$5,I:I)),1,0)+K1323</f>
        <v>0</v>
      </c>
      <c r="M1323" s="3">
        <f ca="1">IF(AND(N1323&lt;&gt;N1322,ISNUMBER(SEARCH(Лист2!$B$6,N:N)),L1323=2),MAX($M$3:OFFSET(M1323,-1,0))+1,0)</f>
        <v>0</v>
      </c>
      <c r="N1323" s="3" t="s">
        <v>602</v>
      </c>
    </row>
    <row r="1324" spans="1:14" x14ac:dyDescent="0.25">
      <c r="A1324" s="1" t="s">
        <v>10854</v>
      </c>
      <c r="B1324" s="3" t="s">
        <v>4948</v>
      </c>
      <c r="C1324" s="2">
        <f ca="1">IF(ISNUMBER(SEARCH(Лист2!$B$4,D:D)),MAX($C$3:OFFSET(C1324,-1,0))+1,0)</f>
        <v>0</v>
      </c>
      <c r="E1324" s="9" t="str">
        <f t="shared" ca="1" si="32"/>
        <v/>
      </c>
      <c r="F1324" s="4" t="s">
        <v>4</v>
      </c>
      <c r="G1324" s="2">
        <f>IF(ISNUMBER(SEARCH(Лист2!$B$4,F:F)),1,0)</f>
        <v>0</v>
      </c>
      <c r="H1324" s="3">
        <f ca="1">IF(AND(I1324&lt;&gt;I1323,ISNUMBER(SEARCH(Лист2!$B$5,I:I)),G1324=1),MAX($H$3:OFFSET(H1324,-1,0))+1,0)</f>
        <v>0</v>
      </c>
      <c r="I1324" s="3" t="s">
        <v>96</v>
      </c>
      <c r="K1324" s="2">
        <f>IF(ISNUMBER(SEARCH(Лист2!$B$4,F:F)),1,0)</f>
        <v>0</v>
      </c>
      <c r="L1324" s="14">
        <f>IF(ISNUMBER(SEARCH(Лист2!$B$5,I:I)),1,0)+K1324</f>
        <v>0</v>
      </c>
      <c r="M1324" s="3">
        <f ca="1">IF(AND(N1324&lt;&gt;N1323,ISNUMBER(SEARCH(Лист2!$B$6,N:N)),L1324=2),MAX($M$3:OFFSET(M1324,-1,0))+1,0)</f>
        <v>0</v>
      </c>
      <c r="N1324" s="3" t="s">
        <v>602</v>
      </c>
    </row>
    <row r="1325" spans="1:14" x14ac:dyDescent="0.25">
      <c r="A1325" s="1" t="s">
        <v>10855</v>
      </c>
      <c r="B1325" s="3" t="s">
        <v>4949</v>
      </c>
      <c r="C1325" s="2">
        <f ca="1">IF(ISNUMBER(SEARCH(Лист2!$B$4,D:D)),MAX($C$3:OFFSET(C1325,-1,0))+1,0)</f>
        <v>0</v>
      </c>
      <c r="E1325" s="9" t="str">
        <f t="shared" ca="1" si="32"/>
        <v/>
      </c>
      <c r="F1325" s="4" t="s">
        <v>4</v>
      </c>
      <c r="G1325" s="2">
        <f>IF(ISNUMBER(SEARCH(Лист2!$B$4,F:F)),1,0)</f>
        <v>0</v>
      </c>
      <c r="H1325" s="3">
        <f ca="1">IF(AND(I1325&lt;&gt;I1324,ISNUMBER(SEARCH(Лист2!$B$5,I:I)),G1325=1),MAX($H$3:OFFSET(H1325,-1,0))+1,0)</f>
        <v>0</v>
      </c>
      <c r="I1325" s="3" t="s">
        <v>91</v>
      </c>
      <c r="K1325" s="2">
        <f>IF(ISNUMBER(SEARCH(Лист2!$B$4,F:F)),1,0)</f>
        <v>0</v>
      </c>
      <c r="L1325" s="14">
        <f>IF(ISNUMBER(SEARCH(Лист2!$B$5,I:I)),1,0)+K1325</f>
        <v>0</v>
      </c>
      <c r="M1325" s="3">
        <f ca="1">IF(AND(N1325&lt;&gt;N1324,ISNUMBER(SEARCH(Лист2!$B$6,N:N)),L1325=2),MAX($M$3:OFFSET(M1325,-1,0))+1,0)</f>
        <v>0</v>
      </c>
      <c r="N1325" s="3" t="s">
        <v>602</v>
      </c>
    </row>
    <row r="1326" spans="1:14" x14ac:dyDescent="0.25">
      <c r="A1326" s="1" t="s">
        <v>10856</v>
      </c>
      <c r="B1326" s="3" t="s">
        <v>4950</v>
      </c>
      <c r="C1326" s="2">
        <f ca="1">IF(ISNUMBER(SEARCH(Лист2!$B$4,D:D)),MAX($C$3:OFFSET(C1326,-1,0))+1,0)</f>
        <v>0</v>
      </c>
      <c r="E1326" s="9" t="str">
        <f t="shared" ca="1" si="32"/>
        <v/>
      </c>
      <c r="F1326" s="4" t="s">
        <v>4</v>
      </c>
      <c r="G1326" s="2">
        <f>IF(ISNUMBER(SEARCH(Лист2!$B$4,F:F)),1,0)</f>
        <v>0</v>
      </c>
      <c r="H1326" s="3">
        <f ca="1">IF(AND(I1326&lt;&gt;I1325,ISNUMBER(SEARCH(Лист2!$B$5,I:I)),G1326=1),MAX($H$3:OFFSET(H1326,-1,0))+1,0)</f>
        <v>0</v>
      </c>
      <c r="I1326" s="3" t="s">
        <v>97</v>
      </c>
      <c r="K1326" s="2">
        <f>IF(ISNUMBER(SEARCH(Лист2!$B$4,F:F)),1,0)</f>
        <v>0</v>
      </c>
      <c r="L1326" s="14">
        <f>IF(ISNUMBER(SEARCH(Лист2!$B$5,I:I)),1,0)+K1326</f>
        <v>0</v>
      </c>
      <c r="M1326" s="3">
        <f ca="1">IF(AND(N1326&lt;&gt;N1325,ISNUMBER(SEARCH(Лист2!$B$6,N:N)),L1326=2),MAX($M$3:OFFSET(M1326,-1,0))+1,0)</f>
        <v>0</v>
      </c>
      <c r="N1326" s="3" t="s">
        <v>602</v>
      </c>
    </row>
    <row r="1327" spans="1:14" x14ac:dyDescent="0.25">
      <c r="A1327" s="1" t="s">
        <v>10857</v>
      </c>
      <c r="B1327" s="3" t="s">
        <v>4951</v>
      </c>
      <c r="C1327" s="2">
        <f ca="1">IF(ISNUMBER(SEARCH(Лист2!$B$4,D:D)),MAX($C$3:OFFSET(C1327,-1,0))+1,0)</f>
        <v>0</v>
      </c>
      <c r="E1327" s="9" t="str">
        <f t="shared" ca="1" si="32"/>
        <v/>
      </c>
      <c r="F1327" s="4" t="s">
        <v>4</v>
      </c>
      <c r="G1327" s="2">
        <f>IF(ISNUMBER(SEARCH(Лист2!$B$4,F:F)),1,0)</f>
        <v>0</v>
      </c>
      <c r="H1327" s="3">
        <f ca="1">IF(AND(I1327&lt;&gt;I1326,ISNUMBER(SEARCH(Лист2!$B$5,I:I)),G1327=1),MAX($H$3:OFFSET(H1327,-1,0))+1,0)</f>
        <v>0</v>
      </c>
      <c r="I1327" s="3" t="s">
        <v>105</v>
      </c>
      <c r="K1327" s="2">
        <f>IF(ISNUMBER(SEARCH(Лист2!$B$4,F:F)),1,0)</f>
        <v>0</v>
      </c>
      <c r="L1327" s="14">
        <f>IF(ISNUMBER(SEARCH(Лист2!$B$5,I:I)),1,0)+K1327</f>
        <v>0</v>
      </c>
      <c r="M1327" s="3">
        <f ca="1">IF(AND(N1327&lt;&gt;N1326,ISNUMBER(SEARCH(Лист2!$B$6,N:N)),L1327=2),MAX($M$3:OFFSET(M1327,-1,0))+1,0)</f>
        <v>0</v>
      </c>
      <c r="N1327" s="3" t="s">
        <v>602</v>
      </c>
    </row>
    <row r="1328" spans="1:14" x14ac:dyDescent="0.25">
      <c r="A1328" s="1" t="s">
        <v>10858</v>
      </c>
      <c r="B1328" s="3" t="s">
        <v>4952</v>
      </c>
      <c r="C1328" s="2">
        <f ca="1">IF(ISNUMBER(SEARCH(Лист2!$B$4,D:D)),MAX($C$3:OFFSET(C1328,-1,0))+1,0)</f>
        <v>0</v>
      </c>
      <c r="E1328" s="9" t="str">
        <f t="shared" ca="1" si="32"/>
        <v/>
      </c>
      <c r="F1328" s="4" t="s">
        <v>4</v>
      </c>
      <c r="G1328" s="2">
        <f>IF(ISNUMBER(SEARCH(Лист2!$B$4,F:F)),1,0)</f>
        <v>0</v>
      </c>
      <c r="H1328" s="3">
        <f ca="1">IF(AND(I1328&lt;&gt;I1327,ISNUMBER(SEARCH(Лист2!$B$5,I:I)),G1328=1),MAX($H$3:OFFSET(H1328,-1,0))+1,0)</f>
        <v>0</v>
      </c>
      <c r="I1328" s="3" t="s">
        <v>106</v>
      </c>
      <c r="K1328" s="2">
        <f>IF(ISNUMBER(SEARCH(Лист2!$B$4,F:F)),1,0)</f>
        <v>0</v>
      </c>
      <c r="L1328" s="14">
        <f>IF(ISNUMBER(SEARCH(Лист2!$B$5,I:I)),1,0)+K1328</f>
        <v>0</v>
      </c>
      <c r="M1328" s="3">
        <f ca="1">IF(AND(N1328&lt;&gt;N1327,ISNUMBER(SEARCH(Лист2!$B$6,N:N)),L1328=2),MAX($M$3:OFFSET(M1328,-1,0))+1,0)</f>
        <v>0</v>
      </c>
      <c r="N1328" s="3" t="s">
        <v>602</v>
      </c>
    </row>
    <row r="1329" spans="1:14" x14ac:dyDescent="0.25">
      <c r="A1329" s="1" t="s">
        <v>10859</v>
      </c>
      <c r="B1329" s="3" t="s">
        <v>4953</v>
      </c>
      <c r="C1329" s="2">
        <f ca="1">IF(ISNUMBER(SEARCH(Лист2!$B$4,D:D)),MAX($C$3:OFFSET(C1329,-1,0))+1,0)</f>
        <v>0</v>
      </c>
      <c r="E1329" s="9" t="str">
        <f t="shared" ca="1" si="32"/>
        <v/>
      </c>
      <c r="F1329" s="4" t="s">
        <v>4</v>
      </c>
      <c r="G1329" s="2">
        <f>IF(ISNUMBER(SEARCH(Лист2!$B$4,F:F)),1,0)</f>
        <v>0</v>
      </c>
      <c r="H1329" s="3">
        <f ca="1">IF(AND(I1329&lt;&gt;I1328,ISNUMBER(SEARCH(Лист2!$B$5,I:I)),G1329=1),MAX($H$3:OFFSET(H1329,-1,0))+1,0)</f>
        <v>0</v>
      </c>
      <c r="I1329" s="3" t="s">
        <v>102</v>
      </c>
      <c r="K1329" s="2">
        <f>IF(ISNUMBER(SEARCH(Лист2!$B$4,F:F)),1,0)</f>
        <v>0</v>
      </c>
      <c r="L1329" s="14">
        <f>IF(ISNUMBER(SEARCH(Лист2!$B$5,I:I)),1,0)+K1329</f>
        <v>0</v>
      </c>
      <c r="M1329" s="3">
        <f ca="1">IF(AND(N1329&lt;&gt;N1328,ISNUMBER(SEARCH(Лист2!$B$6,N:N)),L1329=2),MAX($M$3:OFFSET(M1329,-1,0))+1,0)</f>
        <v>0</v>
      </c>
      <c r="N1329" s="3" t="s">
        <v>602</v>
      </c>
    </row>
    <row r="1330" spans="1:14" x14ac:dyDescent="0.25">
      <c r="A1330" s="1" t="s">
        <v>10860</v>
      </c>
      <c r="B1330" s="3" t="s">
        <v>4954</v>
      </c>
      <c r="C1330" s="2">
        <f ca="1">IF(ISNUMBER(SEARCH(Лист2!$B$4,D:D)),MAX($C$3:OFFSET(C1330,-1,0))+1,0)</f>
        <v>0</v>
      </c>
      <c r="E1330" s="9" t="str">
        <f t="shared" ca="1" si="32"/>
        <v/>
      </c>
      <c r="F1330" s="4" t="s">
        <v>4</v>
      </c>
      <c r="G1330" s="2">
        <f>IF(ISNUMBER(SEARCH(Лист2!$B$4,F:F)),1,0)</f>
        <v>0</v>
      </c>
      <c r="H1330" s="3">
        <f ca="1">IF(AND(I1330&lt;&gt;I1329,ISNUMBER(SEARCH(Лист2!$B$5,I:I)),G1330=1),MAX($H$3:OFFSET(H1330,-1,0))+1,0)</f>
        <v>0</v>
      </c>
      <c r="I1330" s="3" t="s">
        <v>103</v>
      </c>
      <c r="K1330" s="2">
        <f>IF(ISNUMBER(SEARCH(Лист2!$B$4,F:F)),1,0)</f>
        <v>0</v>
      </c>
      <c r="L1330" s="14">
        <f>IF(ISNUMBER(SEARCH(Лист2!$B$5,I:I)),1,0)+K1330</f>
        <v>0</v>
      </c>
      <c r="M1330" s="3">
        <f ca="1">IF(AND(N1330&lt;&gt;N1329,ISNUMBER(SEARCH(Лист2!$B$6,N:N)),L1330=2),MAX($M$3:OFFSET(M1330,-1,0))+1,0)</f>
        <v>0</v>
      </c>
      <c r="N1330" s="3" t="s">
        <v>602</v>
      </c>
    </row>
    <row r="1331" spans="1:14" x14ac:dyDescent="0.25">
      <c r="A1331" s="1" t="s">
        <v>10861</v>
      </c>
      <c r="B1331" s="3" t="s">
        <v>4955</v>
      </c>
      <c r="C1331" s="2">
        <f ca="1">IF(ISNUMBER(SEARCH(Лист2!$B$4,D:D)),MAX($C$3:OFFSET(C1331,-1,0))+1,0)</f>
        <v>0</v>
      </c>
      <c r="E1331" s="9" t="str">
        <f t="shared" ca="1" si="32"/>
        <v/>
      </c>
      <c r="F1331" s="4" t="s">
        <v>4</v>
      </c>
      <c r="G1331" s="2">
        <f>IF(ISNUMBER(SEARCH(Лист2!$B$4,F:F)),1,0)</f>
        <v>0</v>
      </c>
      <c r="H1331" s="3">
        <f ca="1">IF(AND(I1331&lt;&gt;I1330,ISNUMBER(SEARCH(Лист2!$B$5,I:I)),G1331=1),MAX($H$3:OFFSET(H1331,-1,0))+1,0)</f>
        <v>0</v>
      </c>
      <c r="I1331" s="3" t="s">
        <v>104</v>
      </c>
      <c r="K1331" s="2">
        <f>IF(ISNUMBER(SEARCH(Лист2!$B$4,F:F)),1,0)</f>
        <v>0</v>
      </c>
      <c r="L1331" s="14">
        <f>IF(ISNUMBER(SEARCH(Лист2!$B$5,I:I)),1,0)+K1331</f>
        <v>0</v>
      </c>
      <c r="M1331" s="3">
        <f ca="1">IF(AND(N1331&lt;&gt;N1330,ISNUMBER(SEARCH(Лист2!$B$6,N:N)),L1331=2),MAX($M$3:OFFSET(M1331,-1,0))+1,0)</f>
        <v>0</v>
      </c>
      <c r="N1331" s="3" t="s">
        <v>602</v>
      </c>
    </row>
    <row r="1332" spans="1:14" x14ac:dyDescent="0.25">
      <c r="A1332" s="1" t="s">
        <v>10862</v>
      </c>
      <c r="B1332" s="3" t="s">
        <v>4956</v>
      </c>
      <c r="C1332" s="2">
        <f ca="1">IF(ISNUMBER(SEARCH(Лист2!$B$4,D:D)),MAX($C$3:OFFSET(C1332,-1,0))+1,0)</f>
        <v>0</v>
      </c>
      <c r="E1332" s="9" t="str">
        <f t="shared" ca="1" si="32"/>
        <v/>
      </c>
      <c r="F1332" s="4" t="s">
        <v>4</v>
      </c>
      <c r="G1332" s="2">
        <f>IF(ISNUMBER(SEARCH(Лист2!$B$4,F:F)),1,0)</f>
        <v>0</v>
      </c>
      <c r="H1332" s="3">
        <f ca="1">IF(AND(I1332&lt;&gt;I1331,ISNUMBER(SEARCH(Лист2!$B$5,I:I)),G1332=1),MAX($H$3:OFFSET(H1332,-1,0))+1,0)</f>
        <v>0</v>
      </c>
      <c r="I1332" s="3" t="s">
        <v>99</v>
      </c>
      <c r="K1332" s="2">
        <f>IF(ISNUMBER(SEARCH(Лист2!$B$4,F:F)),1,0)</f>
        <v>0</v>
      </c>
      <c r="L1332" s="14">
        <f>IF(ISNUMBER(SEARCH(Лист2!$B$5,I:I)),1,0)+K1332</f>
        <v>0</v>
      </c>
      <c r="M1332" s="3">
        <f ca="1">IF(AND(N1332&lt;&gt;N1331,ISNUMBER(SEARCH(Лист2!$B$6,N:N)),L1332=2),MAX($M$3:OFFSET(M1332,-1,0))+1,0)</f>
        <v>0</v>
      </c>
      <c r="N1332" s="3" t="s">
        <v>1352</v>
      </c>
    </row>
    <row r="1333" spans="1:14" x14ac:dyDescent="0.25">
      <c r="A1333" s="1" t="s">
        <v>10863</v>
      </c>
      <c r="B1333" s="3" t="s">
        <v>4957</v>
      </c>
      <c r="C1333" s="2">
        <f ca="1">IF(ISNUMBER(SEARCH(Лист2!$B$4,D:D)),MAX($C$3:OFFSET(C1333,-1,0))+1,0)</f>
        <v>0</v>
      </c>
      <c r="E1333" s="9" t="str">
        <f t="shared" ca="1" si="32"/>
        <v/>
      </c>
      <c r="F1333" s="4" t="s">
        <v>4</v>
      </c>
      <c r="G1333" s="2">
        <f>IF(ISNUMBER(SEARCH(Лист2!$B$4,F:F)),1,0)</f>
        <v>0</v>
      </c>
      <c r="H1333" s="3">
        <f ca="1">IF(AND(I1333&lt;&gt;I1332,ISNUMBER(SEARCH(Лист2!$B$5,I:I)),G1333=1),MAX($H$3:OFFSET(H1333,-1,0))+1,0)</f>
        <v>0</v>
      </c>
      <c r="I1333" s="3" t="s">
        <v>100</v>
      </c>
      <c r="K1333" s="2">
        <f>IF(ISNUMBER(SEARCH(Лист2!$B$4,F:F)),1,0)</f>
        <v>0</v>
      </c>
      <c r="L1333" s="14">
        <f>IF(ISNUMBER(SEARCH(Лист2!$B$5,I:I)),1,0)+K1333</f>
        <v>0</v>
      </c>
      <c r="M1333" s="3">
        <f ca="1">IF(AND(N1333&lt;&gt;N1332,ISNUMBER(SEARCH(Лист2!$B$6,N:N)),L1333=2),MAX($M$3:OFFSET(M1333,-1,0))+1,0)</f>
        <v>0</v>
      </c>
      <c r="N1333" s="3" t="s">
        <v>1352</v>
      </c>
    </row>
    <row r="1334" spans="1:14" x14ac:dyDescent="0.25">
      <c r="A1334" s="1" t="s">
        <v>10864</v>
      </c>
      <c r="B1334" s="3" t="s">
        <v>4958</v>
      </c>
      <c r="C1334" s="2">
        <f ca="1">IF(ISNUMBER(SEARCH(Лист2!$B$4,D:D)),MAX($C$3:OFFSET(C1334,-1,0))+1,0)</f>
        <v>0</v>
      </c>
      <c r="E1334" s="9" t="str">
        <f t="shared" ca="1" si="32"/>
        <v/>
      </c>
      <c r="F1334" s="4" t="s">
        <v>4</v>
      </c>
      <c r="G1334" s="2">
        <f>IF(ISNUMBER(SEARCH(Лист2!$B$4,F:F)),1,0)</f>
        <v>0</v>
      </c>
      <c r="H1334" s="3">
        <f ca="1">IF(AND(I1334&lt;&gt;I1333,ISNUMBER(SEARCH(Лист2!$B$5,I:I)),G1334=1),MAX($H$3:OFFSET(H1334,-1,0))+1,0)</f>
        <v>0</v>
      </c>
      <c r="I1334" s="3" t="s">
        <v>101</v>
      </c>
      <c r="K1334" s="2">
        <f>IF(ISNUMBER(SEARCH(Лист2!$B$4,F:F)),1,0)</f>
        <v>0</v>
      </c>
      <c r="L1334" s="14">
        <f>IF(ISNUMBER(SEARCH(Лист2!$B$5,I:I)),1,0)+K1334</f>
        <v>0</v>
      </c>
      <c r="M1334" s="3">
        <f ca="1">IF(AND(N1334&lt;&gt;N1333,ISNUMBER(SEARCH(Лист2!$B$6,N:N)),L1334=2),MAX($M$3:OFFSET(M1334,-1,0))+1,0)</f>
        <v>0</v>
      </c>
      <c r="N1334" s="3" t="s">
        <v>1352</v>
      </c>
    </row>
    <row r="1335" spans="1:14" x14ac:dyDescent="0.25">
      <c r="A1335" s="1" t="s">
        <v>10865</v>
      </c>
      <c r="B1335" s="3" t="s">
        <v>4959</v>
      </c>
      <c r="C1335" s="2">
        <f ca="1">IF(ISNUMBER(SEARCH(Лист2!$B$4,D:D)),MAX($C$3:OFFSET(C1335,-1,0))+1,0)</f>
        <v>0</v>
      </c>
      <c r="E1335" s="9" t="str">
        <f t="shared" ca="1" si="32"/>
        <v/>
      </c>
      <c r="F1335" s="4" t="s">
        <v>4</v>
      </c>
      <c r="G1335" s="2">
        <f>IF(ISNUMBER(SEARCH(Лист2!$B$4,F:F)),1,0)</f>
        <v>0</v>
      </c>
      <c r="H1335" s="3">
        <f ca="1">IF(AND(I1335&lt;&gt;I1334,ISNUMBER(SEARCH(Лист2!$B$5,I:I)),G1335=1),MAX($H$3:OFFSET(H1335,-1,0))+1,0)</f>
        <v>0</v>
      </c>
      <c r="I1335" s="3" t="s">
        <v>140</v>
      </c>
      <c r="K1335" s="2">
        <f>IF(ISNUMBER(SEARCH(Лист2!$B$4,F:F)),1,0)</f>
        <v>0</v>
      </c>
      <c r="L1335" s="14">
        <f>IF(ISNUMBER(SEARCH(Лист2!$B$5,I:I)),1,0)+K1335</f>
        <v>0</v>
      </c>
      <c r="M1335" s="3">
        <f ca="1">IF(AND(N1335&lt;&gt;N1334,ISNUMBER(SEARCH(Лист2!$B$6,N:N)),L1335=2),MAX($M$3:OFFSET(M1335,-1,0))+1,0)</f>
        <v>0</v>
      </c>
      <c r="N1335" s="3" t="s">
        <v>1353</v>
      </c>
    </row>
    <row r="1336" spans="1:14" x14ac:dyDescent="0.25">
      <c r="A1336" s="1" t="s">
        <v>10866</v>
      </c>
      <c r="B1336" s="3" t="s">
        <v>4960</v>
      </c>
      <c r="C1336" s="2">
        <f ca="1">IF(ISNUMBER(SEARCH(Лист2!$B$4,D:D)),MAX($C$3:OFFSET(C1336,-1,0))+1,0)</f>
        <v>0</v>
      </c>
      <c r="E1336" s="9" t="str">
        <f t="shared" ca="1" si="32"/>
        <v/>
      </c>
      <c r="F1336" s="4" t="s">
        <v>4</v>
      </c>
      <c r="G1336" s="2">
        <f>IF(ISNUMBER(SEARCH(Лист2!$B$4,F:F)),1,0)</f>
        <v>0</v>
      </c>
      <c r="H1336" s="3">
        <f ca="1">IF(AND(I1336&lt;&gt;I1335,ISNUMBER(SEARCH(Лист2!$B$5,I:I)),G1336=1),MAX($H$3:OFFSET(H1336,-1,0))+1,0)</f>
        <v>0</v>
      </c>
      <c r="I1336" s="3" t="s">
        <v>141</v>
      </c>
      <c r="K1336" s="2">
        <f>IF(ISNUMBER(SEARCH(Лист2!$B$4,F:F)),1,0)</f>
        <v>0</v>
      </c>
      <c r="L1336" s="14">
        <f>IF(ISNUMBER(SEARCH(Лист2!$B$5,I:I)),1,0)+K1336</f>
        <v>0</v>
      </c>
      <c r="M1336" s="3">
        <f ca="1">IF(AND(N1336&lt;&gt;N1335,ISNUMBER(SEARCH(Лист2!$B$6,N:N)),L1336=2),MAX($M$3:OFFSET(M1336,-1,0))+1,0)</f>
        <v>0</v>
      </c>
      <c r="N1336" s="3" t="s">
        <v>1353</v>
      </c>
    </row>
    <row r="1337" spans="1:14" x14ac:dyDescent="0.25">
      <c r="A1337" s="1" t="s">
        <v>10867</v>
      </c>
      <c r="B1337" s="3" t="s">
        <v>4961</v>
      </c>
      <c r="C1337" s="2">
        <f ca="1">IF(ISNUMBER(SEARCH(Лист2!$B$4,D:D)),MAX($C$3:OFFSET(C1337,-1,0))+1,0)</f>
        <v>0</v>
      </c>
      <c r="E1337" s="9" t="str">
        <f t="shared" ca="1" si="32"/>
        <v/>
      </c>
      <c r="F1337" s="4" t="s">
        <v>4</v>
      </c>
      <c r="G1337" s="2">
        <f>IF(ISNUMBER(SEARCH(Лист2!$B$4,F:F)),1,0)</f>
        <v>0</v>
      </c>
      <c r="H1337" s="3">
        <f ca="1">IF(AND(I1337&lt;&gt;I1336,ISNUMBER(SEARCH(Лист2!$B$5,I:I)),G1337=1),MAX($H$3:OFFSET(H1337,-1,0))+1,0)</f>
        <v>0</v>
      </c>
      <c r="I1337" s="3" t="s">
        <v>139</v>
      </c>
      <c r="K1337" s="2">
        <f>IF(ISNUMBER(SEARCH(Лист2!$B$4,F:F)),1,0)</f>
        <v>0</v>
      </c>
      <c r="L1337" s="14">
        <f>IF(ISNUMBER(SEARCH(Лист2!$B$5,I:I)),1,0)+K1337</f>
        <v>0</v>
      </c>
      <c r="M1337" s="3">
        <f ca="1">IF(AND(N1337&lt;&gt;N1336,ISNUMBER(SEARCH(Лист2!$B$6,N:N)),L1337=2),MAX($M$3:OFFSET(M1337,-1,0))+1,0)</f>
        <v>0</v>
      </c>
      <c r="N1337" s="3" t="s">
        <v>1353</v>
      </c>
    </row>
    <row r="1338" spans="1:14" x14ac:dyDescent="0.25">
      <c r="A1338" s="1" t="s">
        <v>10868</v>
      </c>
      <c r="B1338" s="3" t="s">
        <v>4962</v>
      </c>
      <c r="C1338" s="2">
        <f ca="1">IF(ISNUMBER(SEARCH(Лист2!$B$4,D:D)),MAX($C$3:OFFSET(C1338,-1,0))+1,0)</f>
        <v>0</v>
      </c>
      <c r="E1338" s="9" t="str">
        <f t="shared" ca="1" si="32"/>
        <v/>
      </c>
      <c r="F1338" s="4" t="s">
        <v>4</v>
      </c>
      <c r="G1338" s="2">
        <f>IF(ISNUMBER(SEARCH(Лист2!$B$4,F:F)),1,0)</f>
        <v>0</v>
      </c>
      <c r="H1338" s="3">
        <f ca="1">IF(AND(I1338&lt;&gt;I1337,ISNUMBER(SEARCH(Лист2!$B$5,I:I)),G1338=1),MAX($H$3:OFFSET(H1338,-1,0))+1,0)</f>
        <v>0</v>
      </c>
      <c r="I1338" s="3" t="s">
        <v>152</v>
      </c>
      <c r="K1338" s="2">
        <f>IF(ISNUMBER(SEARCH(Лист2!$B$4,F:F)),1,0)</f>
        <v>0</v>
      </c>
      <c r="L1338" s="14">
        <f>IF(ISNUMBER(SEARCH(Лист2!$B$5,I:I)),1,0)+K1338</f>
        <v>0</v>
      </c>
      <c r="M1338" s="3">
        <f ca="1">IF(AND(N1338&lt;&gt;N1337,ISNUMBER(SEARCH(Лист2!$B$6,N:N)),L1338=2),MAX($M$3:OFFSET(M1338,-1,0))+1,0)</f>
        <v>0</v>
      </c>
      <c r="N1338" s="3" t="s">
        <v>1354</v>
      </c>
    </row>
    <row r="1339" spans="1:14" x14ac:dyDescent="0.25">
      <c r="A1339" s="1" t="s">
        <v>10869</v>
      </c>
      <c r="B1339" s="3" t="s">
        <v>4963</v>
      </c>
      <c r="C1339" s="2">
        <f ca="1">IF(ISNUMBER(SEARCH(Лист2!$B$4,D:D)),MAX($C$3:OFFSET(C1339,-1,0))+1,0)</f>
        <v>0</v>
      </c>
      <c r="E1339" s="9" t="str">
        <f t="shared" ca="1" si="32"/>
        <v/>
      </c>
      <c r="F1339" s="4" t="s">
        <v>4</v>
      </c>
      <c r="G1339" s="2">
        <f>IF(ISNUMBER(SEARCH(Лист2!$B$4,F:F)),1,0)</f>
        <v>0</v>
      </c>
      <c r="H1339" s="3">
        <f ca="1">IF(AND(I1339&lt;&gt;I1338,ISNUMBER(SEARCH(Лист2!$B$5,I:I)),G1339=1),MAX($H$3:OFFSET(H1339,-1,0))+1,0)</f>
        <v>0</v>
      </c>
      <c r="I1339" s="3" t="s">
        <v>152</v>
      </c>
      <c r="K1339" s="2">
        <f>IF(ISNUMBER(SEARCH(Лист2!$B$4,F:F)),1,0)</f>
        <v>0</v>
      </c>
      <c r="L1339" s="14">
        <f>IF(ISNUMBER(SEARCH(Лист2!$B$5,I:I)),1,0)+K1339</f>
        <v>0</v>
      </c>
      <c r="M1339" s="3">
        <f ca="1">IF(AND(N1339&lt;&gt;N1338,ISNUMBER(SEARCH(Лист2!$B$6,N:N)),L1339=2),MAX($M$3:OFFSET(M1339,-1,0))+1,0)</f>
        <v>0</v>
      </c>
      <c r="N1339" s="3" t="s">
        <v>1355</v>
      </c>
    </row>
    <row r="1340" spans="1:14" x14ac:dyDescent="0.25">
      <c r="A1340" s="1" t="s">
        <v>10870</v>
      </c>
      <c r="B1340" s="3" t="s">
        <v>4964</v>
      </c>
      <c r="C1340" s="2">
        <f ca="1">IF(ISNUMBER(SEARCH(Лист2!$B$4,D:D)),MAX($C$3:OFFSET(C1340,-1,0))+1,0)</f>
        <v>0</v>
      </c>
      <c r="E1340" s="9" t="str">
        <f t="shared" ca="1" si="32"/>
        <v/>
      </c>
      <c r="F1340" s="4" t="s">
        <v>4</v>
      </c>
      <c r="G1340" s="2">
        <f>IF(ISNUMBER(SEARCH(Лист2!$B$4,F:F)),1,0)</f>
        <v>0</v>
      </c>
      <c r="H1340" s="3">
        <f ca="1">IF(AND(I1340&lt;&gt;I1339,ISNUMBER(SEARCH(Лист2!$B$5,I:I)),G1340=1),MAX($H$3:OFFSET(H1340,-1,0))+1,0)</f>
        <v>0</v>
      </c>
      <c r="I1340" s="3" t="s">
        <v>153</v>
      </c>
      <c r="K1340" s="2">
        <f>IF(ISNUMBER(SEARCH(Лист2!$B$4,F:F)),1,0)</f>
        <v>0</v>
      </c>
      <c r="L1340" s="14">
        <f>IF(ISNUMBER(SEARCH(Лист2!$B$5,I:I)),1,0)+K1340</f>
        <v>0</v>
      </c>
      <c r="M1340" s="3">
        <f ca="1">IF(AND(N1340&lt;&gt;N1339,ISNUMBER(SEARCH(Лист2!$B$6,N:N)),L1340=2),MAX($M$3:OFFSET(M1340,-1,0))+1,0)</f>
        <v>0</v>
      </c>
      <c r="N1340" s="3" t="s">
        <v>1356</v>
      </c>
    </row>
    <row r="1341" spans="1:14" x14ac:dyDescent="0.25">
      <c r="A1341" s="1" t="s">
        <v>10871</v>
      </c>
      <c r="B1341" s="3" t="s">
        <v>4965</v>
      </c>
      <c r="C1341" s="2">
        <f ca="1">IF(ISNUMBER(SEARCH(Лист2!$B$4,D:D)),MAX($C$3:OFFSET(C1341,-1,0))+1,0)</f>
        <v>0</v>
      </c>
      <c r="E1341" s="9" t="str">
        <f t="shared" ca="1" si="32"/>
        <v/>
      </c>
      <c r="F1341" s="4" t="s">
        <v>4</v>
      </c>
      <c r="G1341" s="2">
        <f>IF(ISNUMBER(SEARCH(Лист2!$B$4,F:F)),1,0)</f>
        <v>0</v>
      </c>
      <c r="H1341" s="3">
        <f ca="1">IF(AND(I1341&lt;&gt;I1340,ISNUMBER(SEARCH(Лист2!$B$5,I:I)),G1341=1),MAX($H$3:OFFSET(H1341,-1,0))+1,0)</f>
        <v>0</v>
      </c>
      <c r="I1341" s="3" t="s">
        <v>148</v>
      </c>
      <c r="K1341" s="2">
        <f>IF(ISNUMBER(SEARCH(Лист2!$B$4,F:F)),1,0)</f>
        <v>0</v>
      </c>
      <c r="L1341" s="14">
        <f>IF(ISNUMBER(SEARCH(Лист2!$B$5,I:I)),1,0)+K1341</f>
        <v>0</v>
      </c>
      <c r="M1341" s="3">
        <f ca="1">IF(AND(N1341&lt;&gt;N1340,ISNUMBER(SEARCH(Лист2!$B$6,N:N)),L1341=2),MAX($M$3:OFFSET(M1341,-1,0))+1,0)</f>
        <v>0</v>
      </c>
      <c r="N1341" s="3" t="s">
        <v>1357</v>
      </c>
    </row>
    <row r="1342" spans="1:14" x14ac:dyDescent="0.25">
      <c r="A1342" s="1" t="s">
        <v>10872</v>
      </c>
      <c r="B1342" s="3" t="s">
        <v>4966</v>
      </c>
      <c r="C1342" s="2">
        <f ca="1">IF(ISNUMBER(SEARCH(Лист2!$B$4,D:D)),MAX($C$3:OFFSET(C1342,-1,0))+1,0)</f>
        <v>0</v>
      </c>
      <c r="E1342" s="9" t="str">
        <f t="shared" ca="1" si="32"/>
        <v/>
      </c>
      <c r="F1342" s="4" t="s">
        <v>4</v>
      </c>
      <c r="G1342" s="2">
        <f>IF(ISNUMBER(SEARCH(Лист2!$B$4,F:F)),1,0)</f>
        <v>0</v>
      </c>
      <c r="H1342" s="3">
        <f ca="1">IF(AND(I1342&lt;&gt;I1341,ISNUMBER(SEARCH(Лист2!$B$5,I:I)),G1342=1),MAX($H$3:OFFSET(H1342,-1,0))+1,0)</f>
        <v>0</v>
      </c>
      <c r="I1342" s="3" t="s">
        <v>148</v>
      </c>
      <c r="K1342" s="2">
        <f>IF(ISNUMBER(SEARCH(Лист2!$B$4,F:F)),1,0)</f>
        <v>0</v>
      </c>
      <c r="L1342" s="14">
        <f>IF(ISNUMBER(SEARCH(Лист2!$B$5,I:I)),1,0)+K1342</f>
        <v>0</v>
      </c>
      <c r="M1342" s="3">
        <f ca="1">IF(AND(N1342&lt;&gt;N1341,ISNUMBER(SEARCH(Лист2!$B$6,N:N)),L1342=2),MAX($M$3:OFFSET(M1342,-1,0))+1,0)</f>
        <v>0</v>
      </c>
      <c r="N1342" s="3" t="s">
        <v>1358</v>
      </c>
    </row>
    <row r="1343" spans="1:14" x14ac:dyDescent="0.25">
      <c r="A1343" s="1" t="s">
        <v>10873</v>
      </c>
      <c r="B1343" s="3" t="s">
        <v>4967</v>
      </c>
      <c r="C1343" s="2">
        <f ca="1">IF(ISNUMBER(SEARCH(Лист2!$B$4,D:D)),MAX($C$3:OFFSET(C1343,-1,0))+1,0)</f>
        <v>0</v>
      </c>
      <c r="E1343" s="9" t="str">
        <f t="shared" ca="1" si="32"/>
        <v/>
      </c>
      <c r="F1343" s="4" t="s">
        <v>4</v>
      </c>
      <c r="G1343" s="2">
        <f>IF(ISNUMBER(SEARCH(Лист2!$B$4,F:F)),1,0)</f>
        <v>0</v>
      </c>
      <c r="H1343" s="3">
        <f ca="1">IF(AND(I1343&lt;&gt;I1342,ISNUMBER(SEARCH(Лист2!$B$5,I:I)),G1343=1),MAX($H$3:OFFSET(H1343,-1,0))+1,0)</f>
        <v>0</v>
      </c>
      <c r="I1343" s="3" t="s">
        <v>148</v>
      </c>
      <c r="K1343" s="2">
        <f>IF(ISNUMBER(SEARCH(Лист2!$B$4,F:F)),1,0)</f>
        <v>0</v>
      </c>
      <c r="L1343" s="14">
        <f>IF(ISNUMBER(SEARCH(Лист2!$B$5,I:I)),1,0)+K1343</f>
        <v>0</v>
      </c>
      <c r="M1343" s="3">
        <f ca="1">IF(AND(N1343&lt;&gt;N1342,ISNUMBER(SEARCH(Лист2!$B$6,N:N)),L1343=2),MAX($M$3:OFFSET(M1343,-1,0))+1,0)</f>
        <v>0</v>
      </c>
      <c r="N1343" s="3" t="s">
        <v>185</v>
      </c>
    </row>
    <row r="1344" spans="1:14" x14ac:dyDescent="0.25">
      <c r="A1344" s="1" t="s">
        <v>10874</v>
      </c>
      <c r="B1344" s="3" t="s">
        <v>4968</v>
      </c>
      <c r="C1344" s="2">
        <f ca="1">IF(ISNUMBER(SEARCH(Лист2!$B$4,D:D)),MAX($C$3:OFFSET(C1344,-1,0))+1,0)</f>
        <v>0</v>
      </c>
      <c r="E1344" s="9" t="str">
        <f t="shared" ca="1" si="32"/>
        <v/>
      </c>
      <c r="F1344" s="4" t="s">
        <v>4</v>
      </c>
      <c r="G1344" s="2">
        <f>IF(ISNUMBER(SEARCH(Лист2!$B$4,F:F)),1,0)</f>
        <v>0</v>
      </c>
      <c r="H1344" s="3">
        <f ca="1">IF(AND(I1344&lt;&gt;I1343,ISNUMBER(SEARCH(Лист2!$B$5,I:I)),G1344=1),MAX($H$3:OFFSET(H1344,-1,0))+1,0)</f>
        <v>0</v>
      </c>
      <c r="I1344" s="3" t="s">
        <v>142</v>
      </c>
      <c r="K1344" s="2">
        <f>IF(ISNUMBER(SEARCH(Лист2!$B$4,F:F)),1,0)</f>
        <v>0</v>
      </c>
      <c r="L1344" s="14">
        <f>IF(ISNUMBER(SEARCH(Лист2!$B$5,I:I)),1,0)+K1344</f>
        <v>0</v>
      </c>
      <c r="M1344" s="3">
        <f ca="1">IF(AND(N1344&lt;&gt;N1343,ISNUMBER(SEARCH(Лист2!$B$6,N:N)),L1344=2),MAX($M$3:OFFSET(M1344,-1,0))+1,0)</f>
        <v>0</v>
      </c>
      <c r="N1344" s="3" t="s">
        <v>501</v>
      </c>
    </row>
    <row r="1345" spans="1:14" x14ac:dyDescent="0.25">
      <c r="A1345" s="1" t="s">
        <v>10875</v>
      </c>
      <c r="B1345" s="3" t="s">
        <v>4969</v>
      </c>
      <c r="C1345" s="2">
        <f ca="1">IF(ISNUMBER(SEARCH(Лист2!$B$4,D:D)),MAX($C$3:OFFSET(C1345,-1,0))+1,0)</f>
        <v>0</v>
      </c>
      <c r="E1345" s="9" t="str">
        <f t="shared" ca="1" si="32"/>
        <v/>
      </c>
      <c r="F1345" s="4" t="s">
        <v>4</v>
      </c>
      <c r="G1345" s="2">
        <f>IF(ISNUMBER(SEARCH(Лист2!$B$4,F:F)),1,0)</f>
        <v>0</v>
      </c>
      <c r="H1345" s="3">
        <f ca="1">IF(AND(I1345&lt;&gt;I1344,ISNUMBER(SEARCH(Лист2!$B$5,I:I)),G1345=1),MAX($H$3:OFFSET(H1345,-1,0))+1,0)</f>
        <v>0</v>
      </c>
      <c r="I1345" s="3" t="s">
        <v>143</v>
      </c>
      <c r="K1345" s="2">
        <f>IF(ISNUMBER(SEARCH(Лист2!$B$4,F:F)),1,0)</f>
        <v>0</v>
      </c>
      <c r="L1345" s="14">
        <f>IF(ISNUMBER(SEARCH(Лист2!$B$5,I:I)),1,0)+K1345</f>
        <v>0</v>
      </c>
      <c r="M1345" s="3">
        <f ca="1">IF(AND(N1345&lt;&gt;N1344,ISNUMBER(SEARCH(Лист2!$B$6,N:N)),L1345=2),MAX($M$3:OFFSET(M1345,-1,0))+1,0)</f>
        <v>0</v>
      </c>
      <c r="N1345" s="3" t="s">
        <v>501</v>
      </c>
    </row>
    <row r="1346" spans="1:14" x14ac:dyDescent="0.25">
      <c r="A1346" s="1" t="s">
        <v>10876</v>
      </c>
      <c r="B1346" s="3" t="s">
        <v>4970</v>
      </c>
      <c r="C1346" s="2">
        <f ca="1">IF(ISNUMBER(SEARCH(Лист2!$B$4,D:D)),MAX($C$3:OFFSET(C1346,-1,0))+1,0)</f>
        <v>0</v>
      </c>
      <c r="E1346" s="9" t="str">
        <f t="shared" ca="1" si="32"/>
        <v/>
      </c>
      <c r="F1346" s="4" t="s">
        <v>4</v>
      </c>
      <c r="G1346" s="2">
        <f>IF(ISNUMBER(SEARCH(Лист2!$B$4,F:F)),1,0)</f>
        <v>0</v>
      </c>
      <c r="H1346" s="3">
        <f ca="1">IF(AND(I1346&lt;&gt;I1345,ISNUMBER(SEARCH(Лист2!$B$5,I:I)),G1346=1),MAX($H$3:OFFSET(H1346,-1,0))+1,0)</f>
        <v>0</v>
      </c>
      <c r="I1346" s="3" t="s">
        <v>144</v>
      </c>
      <c r="K1346" s="2">
        <f>IF(ISNUMBER(SEARCH(Лист2!$B$4,F:F)),1,0)</f>
        <v>0</v>
      </c>
      <c r="L1346" s="14">
        <f>IF(ISNUMBER(SEARCH(Лист2!$B$5,I:I)),1,0)+K1346</f>
        <v>1</v>
      </c>
      <c r="M1346" s="3">
        <f ca="1">IF(AND(N1346&lt;&gt;N1345,ISNUMBER(SEARCH(Лист2!$B$6,N:N)),L1346=2),MAX($M$3:OFFSET(M1346,-1,0))+1,0)</f>
        <v>0</v>
      </c>
      <c r="N1346" s="3" t="s">
        <v>501</v>
      </c>
    </row>
    <row r="1347" spans="1:14" x14ac:dyDescent="0.25">
      <c r="A1347" s="1" t="s">
        <v>10877</v>
      </c>
      <c r="B1347" s="3" t="s">
        <v>4971</v>
      </c>
      <c r="C1347" s="2">
        <f ca="1">IF(ISNUMBER(SEARCH(Лист2!$B$4,D:D)),MAX($C$3:OFFSET(C1347,-1,0))+1,0)</f>
        <v>0</v>
      </c>
      <c r="E1347" s="9" t="str">
        <f t="shared" ca="1" si="32"/>
        <v/>
      </c>
      <c r="F1347" s="4" t="s">
        <v>4</v>
      </c>
      <c r="G1347" s="2">
        <f>IF(ISNUMBER(SEARCH(Лист2!$B$4,F:F)),1,0)</f>
        <v>0</v>
      </c>
      <c r="H1347" s="3">
        <f ca="1">IF(AND(I1347&lt;&gt;I1346,ISNUMBER(SEARCH(Лист2!$B$5,I:I)),G1347=1),MAX($H$3:OFFSET(H1347,-1,0))+1,0)</f>
        <v>0</v>
      </c>
      <c r="I1347" s="3" t="s">
        <v>145</v>
      </c>
      <c r="K1347" s="2">
        <f>IF(ISNUMBER(SEARCH(Лист2!$B$4,F:F)),1,0)</f>
        <v>0</v>
      </c>
      <c r="L1347" s="14">
        <f>IF(ISNUMBER(SEARCH(Лист2!$B$5,I:I)),1,0)+K1347</f>
        <v>0</v>
      </c>
      <c r="M1347" s="3">
        <f ca="1">IF(AND(N1347&lt;&gt;N1346,ISNUMBER(SEARCH(Лист2!$B$6,N:N)),L1347=2),MAX($M$3:OFFSET(M1347,-1,0))+1,0)</f>
        <v>0</v>
      </c>
      <c r="N1347" s="3" t="s">
        <v>501</v>
      </c>
    </row>
    <row r="1348" spans="1:14" x14ac:dyDescent="0.25">
      <c r="A1348" s="1" t="s">
        <v>10878</v>
      </c>
      <c r="B1348" s="3" t="s">
        <v>4972</v>
      </c>
      <c r="C1348" s="2">
        <f ca="1">IF(ISNUMBER(SEARCH(Лист2!$B$4,D:D)),MAX($C$3:OFFSET(C1348,-1,0))+1,0)</f>
        <v>0</v>
      </c>
      <c r="E1348" s="9" t="str">
        <f t="shared" ca="1" si="32"/>
        <v/>
      </c>
      <c r="F1348" s="4" t="s">
        <v>4</v>
      </c>
      <c r="G1348" s="2">
        <f>IF(ISNUMBER(SEARCH(Лист2!$B$4,F:F)),1,0)</f>
        <v>0</v>
      </c>
      <c r="H1348" s="3">
        <f ca="1">IF(AND(I1348&lt;&gt;I1347,ISNUMBER(SEARCH(Лист2!$B$5,I:I)),G1348=1),MAX($H$3:OFFSET(H1348,-1,0))+1,0)</f>
        <v>0</v>
      </c>
      <c r="I1348" s="3" t="s">
        <v>98</v>
      </c>
      <c r="K1348" s="2">
        <f>IF(ISNUMBER(SEARCH(Лист2!$B$4,F:F)),1,0)</f>
        <v>0</v>
      </c>
      <c r="L1348" s="14">
        <f>IF(ISNUMBER(SEARCH(Лист2!$B$5,I:I)),1,0)+K1348</f>
        <v>0</v>
      </c>
      <c r="M1348" s="3">
        <f ca="1">IF(AND(N1348&lt;&gt;N1347,ISNUMBER(SEARCH(Лист2!$B$6,N:N)),L1348=2),MAX($M$3:OFFSET(M1348,-1,0))+1,0)</f>
        <v>0</v>
      </c>
      <c r="N1348" s="3" t="s">
        <v>501</v>
      </c>
    </row>
    <row r="1349" spans="1:14" x14ac:dyDescent="0.25">
      <c r="A1349" s="1" t="s">
        <v>10879</v>
      </c>
      <c r="B1349" s="3" t="s">
        <v>4973</v>
      </c>
      <c r="C1349" s="2">
        <f ca="1">IF(ISNUMBER(SEARCH(Лист2!$B$4,D:D)),MAX($C$3:OFFSET(C1349,-1,0))+1,0)</f>
        <v>0</v>
      </c>
      <c r="E1349" s="9" t="str">
        <f t="shared" ref="E1349:E1412" ca="1" si="33">IFERROR(INDEX(D:D,MATCH(ROW(E1349)-ROW($E$3),C:C,0)),"")</f>
        <v/>
      </c>
      <c r="F1349" s="4" t="s">
        <v>4</v>
      </c>
      <c r="G1349" s="2">
        <f>IF(ISNUMBER(SEARCH(Лист2!$B$4,F:F)),1,0)</f>
        <v>0</v>
      </c>
      <c r="H1349" s="3">
        <f ca="1">IF(AND(I1349&lt;&gt;I1348,ISNUMBER(SEARCH(Лист2!$B$5,I:I)),G1349=1),MAX($H$3:OFFSET(H1349,-1,0))+1,0)</f>
        <v>0</v>
      </c>
      <c r="I1349" s="3" t="s">
        <v>146</v>
      </c>
      <c r="K1349" s="2">
        <f>IF(ISNUMBER(SEARCH(Лист2!$B$4,F:F)),1,0)</f>
        <v>0</v>
      </c>
      <c r="L1349" s="14">
        <f>IF(ISNUMBER(SEARCH(Лист2!$B$5,I:I)),1,0)+K1349</f>
        <v>0</v>
      </c>
      <c r="M1349" s="3">
        <f ca="1">IF(AND(N1349&lt;&gt;N1348,ISNUMBER(SEARCH(Лист2!$B$6,N:N)),L1349=2),MAX($M$3:OFFSET(M1349,-1,0))+1,0)</f>
        <v>0</v>
      </c>
      <c r="N1349" s="3" t="s">
        <v>501</v>
      </c>
    </row>
    <row r="1350" spans="1:14" x14ac:dyDescent="0.25">
      <c r="A1350" s="1" t="s">
        <v>10880</v>
      </c>
      <c r="B1350" s="3" t="s">
        <v>4974</v>
      </c>
      <c r="C1350" s="2">
        <f ca="1">IF(ISNUMBER(SEARCH(Лист2!$B$4,D:D)),MAX($C$3:OFFSET(C1350,-1,0))+1,0)</f>
        <v>0</v>
      </c>
      <c r="E1350" s="9" t="str">
        <f t="shared" ca="1" si="33"/>
        <v/>
      </c>
      <c r="F1350" s="4" t="s">
        <v>4</v>
      </c>
      <c r="G1350" s="2">
        <f>IF(ISNUMBER(SEARCH(Лист2!$B$4,F:F)),1,0)</f>
        <v>0</v>
      </c>
      <c r="H1350" s="3">
        <f ca="1">IF(AND(I1350&lt;&gt;I1349,ISNUMBER(SEARCH(Лист2!$B$5,I:I)),G1350=1),MAX($H$3:OFFSET(H1350,-1,0))+1,0)</f>
        <v>0</v>
      </c>
      <c r="I1350" s="3" t="s">
        <v>147</v>
      </c>
      <c r="K1350" s="2">
        <f>IF(ISNUMBER(SEARCH(Лист2!$B$4,F:F)),1,0)</f>
        <v>0</v>
      </c>
      <c r="L1350" s="14">
        <f>IF(ISNUMBER(SEARCH(Лист2!$B$5,I:I)),1,0)+K1350</f>
        <v>0</v>
      </c>
      <c r="M1350" s="3">
        <f ca="1">IF(AND(N1350&lt;&gt;N1349,ISNUMBER(SEARCH(Лист2!$B$6,N:N)),L1350=2),MAX($M$3:OFFSET(M1350,-1,0))+1,0)</f>
        <v>0</v>
      </c>
      <c r="N1350" s="3" t="s">
        <v>501</v>
      </c>
    </row>
    <row r="1351" spans="1:14" x14ac:dyDescent="0.25">
      <c r="A1351" s="1" t="s">
        <v>10881</v>
      </c>
      <c r="B1351" s="3" t="s">
        <v>4975</v>
      </c>
      <c r="C1351" s="2">
        <f ca="1">IF(ISNUMBER(SEARCH(Лист2!$B$4,D:D)),MAX($C$3:OFFSET(C1351,-1,0))+1,0)</f>
        <v>0</v>
      </c>
      <c r="E1351" s="9" t="str">
        <f t="shared" ca="1" si="33"/>
        <v/>
      </c>
      <c r="F1351" s="4" t="s">
        <v>4</v>
      </c>
      <c r="G1351" s="2">
        <f>IF(ISNUMBER(SEARCH(Лист2!$B$4,F:F)),1,0)</f>
        <v>0</v>
      </c>
      <c r="H1351" s="3">
        <f ca="1">IF(AND(I1351&lt;&gt;I1350,ISNUMBER(SEARCH(Лист2!$B$5,I:I)),G1351=1),MAX($H$3:OFFSET(H1351,-1,0))+1,0)</f>
        <v>0</v>
      </c>
      <c r="I1351" s="3" t="s">
        <v>145</v>
      </c>
      <c r="K1351" s="2">
        <f>IF(ISNUMBER(SEARCH(Лист2!$B$4,F:F)),1,0)</f>
        <v>0</v>
      </c>
      <c r="L1351" s="14">
        <f>IF(ISNUMBER(SEARCH(Лист2!$B$5,I:I)),1,0)+K1351</f>
        <v>0</v>
      </c>
      <c r="M1351" s="3">
        <f ca="1">IF(AND(N1351&lt;&gt;N1350,ISNUMBER(SEARCH(Лист2!$B$6,N:N)),L1351=2),MAX($M$3:OFFSET(M1351,-1,0))+1,0)</f>
        <v>0</v>
      </c>
      <c r="N1351" s="3" t="s">
        <v>620</v>
      </c>
    </row>
    <row r="1352" spans="1:14" x14ac:dyDescent="0.25">
      <c r="A1352" s="1" t="s">
        <v>10882</v>
      </c>
      <c r="B1352" s="3" t="s">
        <v>4976</v>
      </c>
      <c r="C1352" s="2">
        <f ca="1">IF(ISNUMBER(SEARCH(Лист2!$B$4,D:D)),MAX($C$3:OFFSET(C1352,-1,0))+1,0)</f>
        <v>0</v>
      </c>
      <c r="E1352" s="9" t="str">
        <f t="shared" ca="1" si="33"/>
        <v/>
      </c>
      <c r="F1352" s="4" t="s">
        <v>4</v>
      </c>
      <c r="G1352" s="2">
        <f>IF(ISNUMBER(SEARCH(Лист2!$B$4,F:F)),1,0)</f>
        <v>0</v>
      </c>
      <c r="H1352" s="3">
        <f ca="1">IF(AND(I1352&lt;&gt;I1351,ISNUMBER(SEARCH(Лист2!$B$5,I:I)),G1352=1),MAX($H$3:OFFSET(H1352,-1,0))+1,0)</f>
        <v>0</v>
      </c>
      <c r="I1352" s="3" t="s">
        <v>98</v>
      </c>
      <c r="K1352" s="2">
        <f>IF(ISNUMBER(SEARCH(Лист2!$B$4,F:F)),1,0)</f>
        <v>0</v>
      </c>
      <c r="L1352" s="14">
        <f>IF(ISNUMBER(SEARCH(Лист2!$B$5,I:I)),1,0)+K1352</f>
        <v>0</v>
      </c>
      <c r="M1352" s="3">
        <f ca="1">IF(AND(N1352&lt;&gt;N1351,ISNUMBER(SEARCH(Лист2!$B$6,N:N)),L1352=2),MAX($M$3:OFFSET(M1352,-1,0))+1,0)</f>
        <v>0</v>
      </c>
      <c r="N1352" s="3" t="s">
        <v>620</v>
      </c>
    </row>
    <row r="1353" spans="1:14" x14ac:dyDescent="0.25">
      <c r="A1353" s="1" t="s">
        <v>10883</v>
      </c>
      <c r="B1353" s="3" t="s">
        <v>4977</v>
      </c>
      <c r="C1353" s="2">
        <f ca="1">IF(ISNUMBER(SEARCH(Лист2!$B$4,D:D)),MAX($C$3:OFFSET(C1353,-1,0))+1,0)</f>
        <v>0</v>
      </c>
      <c r="E1353" s="9" t="str">
        <f t="shared" ca="1" si="33"/>
        <v/>
      </c>
      <c r="F1353" s="4" t="s">
        <v>4</v>
      </c>
      <c r="G1353" s="2">
        <f>IF(ISNUMBER(SEARCH(Лист2!$B$4,F:F)),1,0)</f>
        <v>0</v>
      </c>
      <c r="H1353" s="3">
        <f ca="1">IF(AND(I1353&lt;&gt;I1352,ISNUMBER(SEARCH(Лист2!$B$5,I:I)),G1353=1),MAX($H$3:OFFSET(H1353,-1,0))+1,0)</f>
        <v>0</v>
      </c>
      <c r="I1353" s="3" t="s">
        <v>146</v>
      </c>
      <c r="K1353" s="2">
        <f>IF(ISNUMBER(SEARCH(Лист2!$B$4,F:F)),1,0)</f>
        <v>0</v>
      </c>
      <c r="L1353" s="14">
        <f>IF(ISNUMBER(SEARCH(Лист2!$B$5,I:I)),1,0)+K1353</f>
        <v>0</v>
      </c>
      <c r="M1353" s="3">
        <f ca="1">IF(AND(N1353&lt;&gt;N1352,ISNUMBER(SEARCH(Лист2!$B$6,N:N)),L1353=2),MAX($M$3:OFFSET(M1353,-1,0))+1,0)</f>
        <v>0</v>
      </c>
      <c r="N1353" s="3" t="s">
        <v>620</v>
      </c>
    </row>
    <row r="1354" spans="1:14" x14ac:dyDescent="0.25">
      <c r="A1354" s="1" t="s">
        <v>10884</v>
      </c>
      <c r="B1354" s="3" t="s">
        <v>4978</v>
      </c>
      <c r="C1354" s="2">
        <f ca="1">IF(ISNUMBER(SEARCH(Лист2!$B$4,D:D)),MAX($C$3:OFFSET(C1354,-1,0))+1,0)</f>
        <v>0</v>
      </c>
      <c r="E1354" s="9" t="str">
        <f t="shared" ca="1" si="33"/>
        <v/>
      </c>
      <c r="F1354" s="4" t="s">
        <v>4</v>
      </c>
      <c r="G1354" s="2">
        <f>IF(ISNUMBER(SEARCH(Лист2!$B$4,F:F)),1,0)</f>
        <v>0</v>
      </c>
      <c r="H1354" s="3">
        <f ca="1">IF(AND(I1354&lt;&gt;I1353,ISNUMBER(SEARCH(Лист2!$B$5,I:I)),G1354=1),MAX($H$3:OFFSET(H1354,-1,0))+1,0)</f>
        <v>0</v>
      </c>
      <c r="I1354" s="3" t="s">
        <v>147</v>
      </c>
      <c r="K1354" s="2">
        <f>IF(ISNUMBER(SEARCH(Лист2!$B$4,F:F)),1,0)</f>
        <v>0</v>
      </c>
      <c r="L1354" s="14">
        <f>IF(ISNUMBER(SEARCH(Лист2!$B$5,I:I)),1,0)+K1354</f>
        <v>0</v>
      </c>
      <c r="M1354" s="3">
        <f ca="1">IF(AND(N1354&lt;&gt;N1353,ISNUMBER(SEARCH(Лист2!$B$6,N:N)),L1354=2),MAX($M$3:OFFSET(M1354,-1,0))+1,0)</f>
        <v>0</v>
      </c>
      <c r="N1354" s="3" t="s">
        <v>620</v>
      </c>
    </row>
    <row r="1355" spans="1:14" x14ac:dyDescent="0.25">
      <c r="A1355" s="1" t="s">
        <v>10885</v>
      </c>
      <c r="B1355" s="3" t="s">
        <v>4979</v>
      </c>
      <c r="C1355" s="2">
        <f ca="1">IF(ISNUMBER(SEARCH(Лист2!$B$4,D:D)),MAX($C$3:OFFSET(C1355,-1,0))+1,0)</f>
        <v>0</v>
      </c>
      <c r="E1355" s="9" t="str">
        <f t="shared" ca="1" si="33"/>
        <v/>
      </c>
      <c r="F1355" s="4" t="s">
        <v>4</v>
      </c>
      <c r="G1355" s="2">
        <f>IF(ISNUMBER(SEARCH(Лист2!$B$4,F:F)),1,0)</f>
        <v>0</v>
      </c>
      <c r="H1355" s="3">
        <f ca="1">IF(AND(I1355&lt;&gt;I1354,ISNUMBER(SEARCH(Лист2!$B$5,I:I)),G1355=1),MAX($H$3:OFFSET(H1355,-1,0))+1,0)</f>
        <v>0</v>
      </c>
      <c r="I1355" s="3" t="s">
        <v>98</v>
      </c>
      <c r="K1355" s="2">
        <f>IF(ISNUMBER(SEARCH(Лист2!$B$4,F:F)),1,0)</f>
        <v>0</v>
      </c>
      <c r="L1355" s="14">
        <f>IF(ISNUMBER(SEARCH(Лист2!$B$5,I:I)),1,0)+K1355</f>
        <v>0</v>
      </c>
      <c r="M1355" s="3">
        <f ca="1">IF(AND(N1355&lt;&gt;N1354,ISNUMBER(SEARCH(Лист2!$B$6,N:N)),L1355=2),MAX($M$3:OFFSET(M1355,-1,0))+1,0)</f>
        <v>0</v>
      </c>
      <c r="N1355" s="3" t="s">
        <v>1359</v>
      </c>
    </row>
    <row r="1356" spans="1:14" x14ac:dyDescent="0.25">
      <c r="A1356" s="1" t="s">
        <v>10886</v>
      </c>
      <c r="B1356" s="3" t="s">
        <v>4980</v>
      </c>
      <c r="C1356" s="2">
        <f ca="1">IF(ISNUMBER(SEARCH(Лист2!$B$4,D:D)),MAX($C$3:OFFSET(C1356,-1,0))+1,0)</f>
        <v>0</v>
      </c>
      <c r="E1356" s="9" t="str">
        <f t="shared" ca="1" si="33"/>
        <v/>
      </c>
      <c r="F1356" s="4" t="s">
        <v>4</v>
      </c>
      <c r="G1356" s="2">
        <f>IF(ISNUMBER(SEARCH(Лист2!$B$4,F:F)),1,0)</f>
        <v>0</v>
      </c>
      <c r="H1356" s="3">
        <f ca="1">IF(AND(I1356&lt;&gt;I1355,ISNUMBER(SEARCH(Лист2!$B$5,I:I)),G1356=1),MAX($H$3:OFFSET(H1356,-1,0))+1,0)</f>
        <v>0</v>
      </c>
      <c r="I1356" s="3" t="s">
        <v>145</v>
      </c>
      <c r="K1356" s="2">
        <f>IF(ISNUMBER(SEARCH(Лист2!$B$4,F:F)),1,0)</f>
        <v>0</v>
      </c>
      <c r="L1356" s="14">
        <f>IF(ISNUMBER(SEARCH(Лист2!$B$5,I:I)),1,0)+K1356</f>
        <v>0</v>
      </c>
      <c r="M1356" s="3">
        <f ca="1">IF(AND(N1356&lt;&gt;N1355,ISNUMBER(SEARCH(Лист2!$B$6,N:N)),L1356=2),MAX($M$3:OFFSET(M1356,-1,0))+1,0)</f>
        <v>0</v>
      </c>
      <c r="N1356" s="3" t="s">
        <v>1360</v>
      </c>
    </row>
    <row r="1357" spans="1:14" x14ac:dyDescent="0.25">
      <c r="A1357" s="1" t="s">
        <v>10887</v>
      </c>
      <c r="B1357" s="3" t="s">
        <v>4981</v>
      </c>
      <c r="C1357" s="2">
        <f ca="1">IF(ISNUMBER(SEARCH(Лист2!$B$4,D:D)),MAX($C$3:OFFSET(C1357,-1,0))+1,0)</f>
        <v>0</v>
      </c>
      <c r="E1357" s="9" t="str">
        <f t="shared" ca="1" si="33"/>
        <v/>
      </c>
      <c r="F1357" s="4" t="s">
        <v>4</v>
      </c>
      <c r="G1357" s="2">
        <f>IF(ISNUMBER(SEARCH(Лист2!$B$4,F:F)),1,0)</f>
        <v>0</v>
      </c>
      <c r="H1357" s="3">
        <f ca="1">IF(AND(I1357&lt;&gt;I1356,ISNUMBER(SEARCH(Лист2!$B$5,I:I)),G1357=1),MAX($H$3:OFFSET(H1357,-1,0))+1,0)</f>
        <v>0</v>
      </c>
      <c r="I1357" s="3" t="s">
        <v>145</v>
      </c>
      <c r="K1357" s="2">
        <f>IF(ISNUMBER(SEARCH(Лист2!$B$4,F:F)),1,0)</f>
        <v>0</v>
      </c>
      <c r="L1357" s="14">
        <f>IF(ISNUMBER(SEARCH(Лист2!$B$5,I:I)),1,0)+K1357</f>
        <v>0</v>
      </c>
      <c r="M1357" s="3">
        <f ca="1">IF(AND(N1357&lt;&gt;N1356,ISNUMBER(SEARCH(Лист2!$B$6,N:N)),L1357=2),MAX($M$3:OFFSET(M1357,-1,0))+1,0)</f>
        <v>0</v>
      </c>
      <c r="N1357" s="3" t="s">
        <v>1361</v>
      </c>
    </row>
    <row r="1358" spans="1:14" x14ac:dyDescent="0.25">
      <c r="A1358" s="1" t="s">
        <v>10888</v>
      </c>
      <c r="B1358" s="3" t="s">
        <v>4982</v>
      </c>
      <c r="C1358" s="2">
        <f ca="1">IF(ISNUMBER(SEARCH(Лист2!$B$4,D:D)),MAX($C$3:OFFSET(C1358,-1,0))+1,0)</f>
        <v>0</v>
      </c>
      <c r="E1358" s="9" t="str">
        <f t="shared" ca="1" si="33"/>
        <v/>
      </c>
      <c r="F1358" s="4" t="s">
        <v>4</v>
      </c>
      <c r="G1358" s="2">
        <f>IF(ISNUMBER(SEARCH(Лист2!$B$4,F:F)),1,0)</f>
        <v>0</v>
      </c>
      <c r="H1358" s="3">
        <f ca="1">IF(AND(I1358&lt;&gt;I1357,ISNUMBER(SEARCH(Лист2!$B$5,I:I)),G1358=1),MAX($H$3:OFFSET(H1358,-1,0))+1,0)</f>
        <v>0</v>
      </c>
      <c r="I1358" s="3" t="s">
        <v>146</v>
      </c>
      <c r="K1358" s="2">
        <f>IF(ISNUMBER(SEARCH(Лист2!$B$4,F:F)),1,0)</f>
        <v>0</v>
      </c>
      <c r="L1358" s="14">
        <f>IF(ISNUMBER(SEARCH(Лист2!$B$5,I:I)),1,0)+K1358</f>
        <v>0</v>
      </c>
      <c r="M1358" s="3">
        <f ca="1">IF(AND(N1358&lt;&gt;N1357,ISNUMBER(SEARCH(Лист2!$B$6,N:N)),L1358=2),MAX($M$3:OFFSET(M1358,-1,0))+1,0)</f>
        <v>0</v>
      </c>
      <c r="N1358" s="3" t="s">
        <v>1362</v>
      </c>
    </row>
    <row r="1359" spans="1:14" x14ac:dyDescent="0.25">
      <c r="A1359" s="1" t="s">
        <v>10889</v>
      </c>
      <c r="B1359" s="3" t="s">
        <v>4983</v>
      </c>
      <c r="C1359" s="2">
        <f ca="1">IF(ISNUMBER(SEARCH(Лист2!$B$4,D:D)),MAX($C$3:OFFSET(C1359,-1,0))+1,0)</f>
        <v>0</v>
      </c>
      <c r="E1359" s="9" t="str">
        <f t="shared" ca="1" si="33"/>
        <v/>
      </c>
      <c r="F1359" s="4" t="s">
        <v>4</v>
      </c>
      <c r="G1359" s="2">
        <f>IF(ISNUMBER(SEARCH(Лист2!$B$4,F:F)),1,0)</f>
        <v>0</v>
      </c>
      <c r="H1359" s="3">
        <f ca="1">IF(AND(I1359&lt;&gt;I1358,ISNUMBER(SEARCH(Лист2!$B$5,I:I)),G1359=1),MAX($H$3:OFFSET(H1359,-1,0))+1,0)</f>
        <v>0</v>
      </c>
      <c r="I1359" s="3" t="s">
        <v>146</v>
      </c>
      <c r="K1359" s="2">
        <f>IF(ISNUMBER(SEARCH(Лист2!$B$4,F:F)),1,0)</f>
        <v>0</v>
      </c>
      <c r="L1359" s="14">
        <f>IF(ISNUMBER(SEARCH(Лист2!$B$5,I:I)),1,0)+K1359</f>
        <v>0</v>
      </c>
      <c r="M1359" s="3">
        <f ca="1">IF(AND(N1359&lt;&gt;N1358,ISNUMBER(SEARCH(Лист2!$B$6,N:N)),L1359=2),MAX($M$3:OFFSET(M1359,-1,0))+1,0)</f>
        <v>0</v>
      </c>
      <c r="N1359" s="3" t="s">
        <v>1363</v>
      </c>
    </row>
    <row r="1360" spans="1:14" x14ac:dyDescent="0.25">
      <c r="A1360" s="1" t="s">
        <v>10890</v>
      </c>
      <c r="B1360" s="3" t="s">
        <v>4984</v>
      </c>
      <c r="C1360" s="2">
        <f ca="1">IF(ISNUMBER(SEARCH(Лист2!$B$4,D:D)),MAX($C$3:OFFSET(C1360,-1,0))+1,0)</f>
        <v>0</v>
      </c>
      <c r="E1360" s="9" t="str">
        <f t="shared" ca="1" si="33"/>
        <v/>
      </c>
      <c r="F1360" s="4" t="s">
        <v>4</v>
      </c>
      <c r="G1360" s="2">
        <f>IF(ISNUMBER(SEARCH(Лист2!$B$4,F:F)),1,0)</f>
        <v>0</v>
      </c>
      <c r="H1360" s="3">
        <f ca="1">IF(AND(I1360&lt;&gt;I1359,ISNUMBER(SEARCH(Лист2!$B$5,I:I)),G1360=1),MAX($H$3:OFFSET(H1360,-1,0))+1,0)</f>
        <v>0</v>
      </c>
      <c r="I1360" s="3" t="s">
        <v>147</v>
      </c>
      <c r="K1360" s="2">
        <f>IF(ISNUMBER(SEARCH(Лист2!$B$4,F:F)),1,0)</f>
        <v>0</v>
      </c>
      <c r="L1360" s="14">
        <f>IF(ISNUMBER(SEARCH(Лист2!$B$5,I:I)),1,0)+K1360</f>
        <v>0</v>
      </c>
      <c r="M1360" s="3">
        <f ca="1">IF(AND(N1360&lt;&gt;N1359,ISNUMBER(SEARCH(Лист2!$B$6,N:N)),L1360=2),MAX($M$3:OFFSET(M1360,-1,0))+1,0)</f>
        <v>0</v>
      </c>
      <c r="N1360" s="3" t="s">
        <v>1364</v>
      </c>
    </row>
    <row r="1361" spans="1:14" x14ac:dyDescent="0.25">
      <c r="A1361" s="1" t="s">
        <v>10891</v>
      </c>
      <c r="B1361" s="3" t="s">
        <v>4985</v>
      </c>
      <c r="C1361" s="2">
        <f ca="1">IF(ISNUMBER(SEARCH(Лист2!$B$4,D:D)),MAX($C$3:OFFSET(C1361,-1,0))+1,0)</f>
        <v>0</v>
      </c>
      <c r="E1361" s="9" t="str">
        <f t="shared" ca="1" si="33"/>
        <v/>
      </c>
      <c r="F1361" s="4" t="s">
        <v>4</v>
      </c>
      <c r="G1361" s="2">
        <f>IF(ISNUMBER(SEARCH(Лист2!$B$4,F:F)),1,0)</f>
        <v>0</v>
      </c>
      <c r="H1361" s="3">
        <f ca="1">IF(AND(I1361&lt;&gt;I1360,ISNUMBER(SEARCH(Лист2!$B$5,I:I)),G1361=1),MAX($H$3:OFFSET(H1361,-1,0))+1,0)</f>
        <v>0</v>
      </c>
      <c r="I1361" s="3" t="s">
        <v>147</v>
      </c>
      <c r="K1361" s="2">
        <f>IF(ISNUMBER(SEARCH(Лист2!$B$4,F:F)),1,0)</f>
        <v>0</v>
      </c>
      <c r="L1361" s="14">
        <f>IF(ISNUMBER(SEARCH(Лист2!$B$5,I:I)),1,0)+K1361</f>
        <v>0</v>
      </c>
      <c r="M1361" s="3">
        <f ca="1">IF(AND(N1361&lt;&gt;N1360,ISNUMBER(SEARCH(Лист2!$B$6,N:N)),L1361=2),MAX($M$3:OFFSET(M1361,-1,0))+1,0)</f>
        <v>0</v>
      </c>
      <c r="N1361" s="3" t="s">
        <v>1365</v>
      </c>
    </row>
    <row r="1362" spans="1:14" x14ac:dyDescent="0.25">
      <c r="A1362" s="1" t="s">
        <v>10892</v>
      </c>
      <c r="B1362" s="3" t="s">
        <v>4986</v>
      </c>
      <c r="C1362" s="2">
        <f ca="1">IF(ISNUMBER(SEARCH(Лист2!$B$4,D:D)),MAX($C$3:OFFSET(C1362,-1,0))+1,0)</f>
        <v>0</v>
      </c>
      <c r="E1362" s="9" t="str">
        <f t="shared" ca="1" si="33"/>
        <v/>
      </c>
      <c r="F1362" s="4" t="s">
        <v>4</v>
      </c>
      <c r="G1362" s="2">
        <f>IF(ISNUMBER(SEARCH(Лист2!$B$4,F:F)),1,0)</f>
        <v>0</v>
      </c>
      <c r="H1362" s="3">
        <f ca="1">IF(AND(I1362&lt;&gt;I1361,ISNUMBER(SEARCH(Лист2!$B$5,I:I)),G1362=1),MAX($H$3:OFFSET(H1362,-1,0))+1,0)</f>
        <v>0</v>
      </c>
      <c r="I1362" s="3" t="s">
        <v>106</v>
      </c>
      <c r="K1362" s="2">
        <f>IF(ISNUMBER(SEARCH(Лист2!$B$4,F:F)),1,0)</f>
        <v>0</v>
      </c>
      <c r="L1362" s="14">
        <f>IF(ISNUMBER(SEARCH(Лист2!$B$5,I:I)),1,0)+K1362</f>
        <v>0</v>
      </c>
      <c r="M1362" s="3">
        <f ca="1">IF(AND(N1362&lt;&gt;N1361,ISNUMBER(SEARCH(Лист2!$B$6,N:N)),L1362=2),MAX($M$3:OFFSET(M1362,-1,0))+1,0)</f>
        <v>0</v>
      </c>
      <c r="N1362" s="3" t="s">
        <v>1366</v>
      </c>
    </row>
    <row r="1363" spans="1:14" x14ac:dyDescent="0.25">
      <c r="A1363" s="1" t="s">
        <v>10893</v>
      </c>
      <c r="B1363" s="3" t="s">
        <v>4987</v>
      </c>
      <c r="C1363" s="2">
        <f ca="1">IF(ISNUMBER(SEARCH(Лист2!$B$4,D:D)),MAX($C$3:OFFSET(C1363,-1,0))+1,0)</f>
        <v>0</v>
      </c>
      <c r="E1363" s="9" t="str">
        <f t="shared" ca="1" si="33"/>
        <v/>
      </c>
      <c r="F1363" s="4" t="s">
        <v>4</v>
      </c>
      <c r="G1363" s="2">
        <f>IF(ISNUMBER(SEARCH(Лист2!$B$4,F:F)),1,0)</f>
        <v>0</v>
      </c>
      <c r="H1363" s="3">
        <f ca="1">IF(AND(I1363&lt;&gt;I1362,ISNUMBER(SEARCH(Лист2!$B$5,I:I)),G1363=1),MAX($H$3:OFFSET(H1363,-1,0))+1,0)</f>
        <v>0</v>
      </c>
      <c r="I1363" s="3" t="s">
        <v>105</v>
      </c>
      <c r="K1363" s="2">
        <f>IF(ISNUMBER(SEARCH(Лист2!$B$4,F:F)),1,0)</f>
        <v>0</v>
      </c>
      <c r="L1363" s="14">
        <f>IF(ISNUMBER(SEARCH(Лист2!$B$5,I:I)),1,0)+K1363</f>
        <v>0</v>
      </c>
      <c r="M1363" s="3">
        <f ca="1">IF(AND(N1363&lt;&gt;N1362,ISNUMBER(SEARCH(Лист2!$B$6,N:N)),L1363=2),MAX($M$3:OFFSET(M1363,-1,0))+1,0)</f>
        <v>0</v>
      </c>
      <c r="N1363" s="3" t="s">
        <v>1367</v>
      </c>
    </row>
    <row r="1364" spans="1:14" x14ac:dyDescent="0.25">
      <c r="A1364" s="1" t="s">
        <v>10894</v>
      </c>
      <c r="B1364" s="3" t="s">
        <v>4988</v>
      </c>
      <c r="C1364" s="2">
        <f ca="1">IF(ISNUMBER(SEARCH(Лист2!$B$4,D:D)),MAX($C$3:OFFSET(C1364,-1,0))+1,0)</f>
        <v>0</v>
      </c>
      <c r="E1364" s="9" t="str">
        <f t="shared" ca="1" si="33"/>
        <v/>
      </c>
      <c r="F1364" s="4" t="s">
        <v>4</v>
      </c>
      <c r="G1364" s="2">
        <f>IF(ISNUMBER(SEARCH(Лист2!$B$4,F:F)),1,0)</f>
        <v>0</v>
      </c>
      <c r="H1364" s="3">
        <f ca="1">IF(AND(I1364&lt;&gt;I1363,ISNUMBER(SEARCH(Лист2!$B$5,I:I)),G1364=1),MAX($H$3:OFFSET(H1364,-1,0))+1,0)</f>
        <v>0</v>
      </c>
      <c r="I1364" s="3" t="s">
        <v>142</v>
      </c>
      <c r="K1364" s="2">
        <f>IF(ISNUMBER(SEARCH(Лист2!$B$4,F:F)),1,0)</f>
        <v>0</v>
      </c>
      <c r="L1364" s="14">
        <f>IF(ISNUMBER(SEARCH(Лист2!$B$5,I:I)),1,0)+K1364</f>
        <v>0</v>
      </c>
      <c r="M1364" s="3">
        <f ca="1">IF(AND(N1364&lt;&gt;N1363,ISNUMBER(SEARCH(Лист2!$B$6,N:N)),L1364=2),MAX($M$3:OFFSET(M1364,-1,0))+1,0)</f>
        <v>0</v>
      </c>
      <c r="N1364" s="3" t="s">
        <v>1368</v>
      </c>
    </row>
    <row r="1365" spans="1:14" x14ac:dyDescent="0.25">
      <c r="A1365" s="1" t="s">
        <v>10895</v>
      </c>
      <c r="B1365" s="3" t="s">
        <v>4989</v>
      </c>
      <c r="C1365" s="2">
        <f ca="1">IF(ISNUMBER(SEARCH(Лист2!$B$4,D:D)),MAX($C$3:OFFSET(C1365,-1,0))+1,0)</f>
        <v>0</v>
      </c>
      <c r="E1365" s="9" t="str">
        <f t="shared" ca="1" si="33"/>
        <v/>
      </c>
      <c r="F1365" s="4" t="s">
        <v>4</v>
      </c>
      <c r="G1365" s="2">
        <f>IF(ISNUMBER(SEARCH(Лист2!$B$4,F:F)),1,0)</f>
        <v>0</v>
      </c>
      <c r="H1365" s="3">
        <f ca="1">IF(AND(I1365&lt;&gt;I1364,ISNUMBER(SEARCH(Лист2!$B$5,I:I)),G1365=1),MAX($H$3:OFFSET(H1365,-1,0))+1,0)</f>
        <v>0</v>
      </c>
      <c r="I1365" s="3" t="s">
        <v>143</v>
      </c>
      <c r="K1365" s="2">
        <f>IF(ISNUMBER(SEARCH(Лист2!$B$4,F:F)),1,0)</f>
        <v>0</v>
      </c>
      <c r="L1365" s="14">
        <f>IF(ISNUMBER(SEARCH(Лист2!$B$5,I:I)),1,0)+K1365</f>
        <v>0</v>
      </c>
      <c r="M1365" s="3">
        <f ca="1">IF(AND(N1365&lt;&gt;N1364,ISNUMBER(SEARCH(Лист2!$B$6,N:N)),L1365=2),MAX($M$3:OFFSET(M1365,-1,0))+1,0)</f>
        <v>0</v>
      </c>
      <c r="N1365" s="3" t="s">
        <v>1369</v>
      </c>
    </row>
    <row r="1366" spans="1:14" x14ac:dyDescent="0.25">
      <c r="A1366" s="1" t="s">
        <v>10896</v>
      </c>
      <c r="B1366" s="3" t="s">
        <v>4990</v>
      </c>
      <c r="C1366" s="2">
        <f ca="1">IF(ISNUMBER(SEARCH(Лист2!$B$4,D:D)),MAX($C$3:OFFSET(C1366,-1,0))+1,0)</f>
        <v>0</v>
      </c>
      <c r="E1366" s="9" t="str">
        <f t="shared" ca="1" si="33"/>
        <v/>
      </c>
      <c r="F1366" s="4" t="s">
        <v>4</v>
      </c>
      <c r="G1366" s="2">
        <f>IF(ISNUMBER(SEARCH(Лист2!$B$4,F:F)),1,0)</f>
        <v>0</v>
      </c>
      <c r="H1366" s="3">
        <f ca="1">IF(AND(I1366&lt;&gt;I1365,ISNUMBER(SEARCH(Лист2!$B$5,I:I)),G1366=1),MAX($H$3:OFFSET(H1366,-1,0))+1,0)</f>
        <v>0</v>
      </c>
      <c r="I1366" s="3" t="s">
        <v>144</v>
      </c>
      <c r="K1366" s="2">
        <f>IF(ISNUMBER(SEARCH(Лист2!$B$4,F:F)),1,0)</f>
        <v>0</v>
      </c>
      <c r="L1366" s="14">
        <f>IF(ISNUMBER(SEARCH(Лист2!$B$5,I:I)),1,0)+K1366</f>
        <v>1</v>
      </c>
      <c r="M1366" s="3">
        <f ca="1">IF(AND(N1366&lt;&gt;N1365,ISNUMBER(SEARCH(Лист2!$B$6,N:N)),L1366=2),MAX($M$3:OFFSET(M1366,-1,0))+1,0)</f>
        <v>0</v>
      </c>
      <c r="N1366" s="3" t="s">
        <v>1370</v>
      </c>
    </row>
    <row r="1367" spans="1:14" x14ac:dyDescent="0.25">
      <c r="A1367" s="1" t="s">
        <v>10897</v>
      </c>
      <c r="B1367" s="3" t="s">
        <v>4991</v>
      </c>
      <c r="C1367" s="2">
        <f ca="1">IF(ISNUMBER(SEARCH(Лист2!$B$4,D:D)),MAX($C$3:OFFSET(C1367,-1,0))+1,0)</f>
        <v>0</v>
      </c>
      <c r="E1367" s="9" t="str">
        <f t="shared" ca="1" si="33"/>
        <v/>
      </c>
      <c r="F1367" s="4" t="s">
        <v>4</v>
      </c>
      <c r="G1367" s="2">
        <f>IF(ISNUMBER(SEARCH(Лист2!$B$4,F:F)),1,0)</f>
        <v>0</v>
      </c>
      <c r="H1367" s="3">
        <f ca="1">IF(AND(I1367&lt;&gt;I1366,ISNUMBER(SEARCH(Лист2!$B$5,I:I)),G1367=1),MAX($H$3:OFFSET(H1367,-1,0))+1,0)</f>
        <v>0</v>
      </c>
      <c r="I1367" s="3" t="s">
        <v>142</v>
      </c>
      <c r="K1367" s="2">
        <f>IF(ISNUMBER(SEARCH(Лист2!$B$4,F:F)),1,0)</f>
        <v>0</v>
      </c>
      <c r="L1367" s="14">
        <f>IF(ISNUMBER(SEARCH(Лист2!$B$5,I:I)),1,0)+K1367</f>
        <v>0</v>
      </c>
      <c r="M1367" s="3">
        <f ca="1">IF(AND(N1367&lt;&gt;N1366,ISNUMBER(SEARCH(Лист2!$B$6,N:N)),L1367=2),MAX($M$3:OFFSET(M1367,-1,0))+1,0)</f>
        <v>0</v>
      </c>
      <c r="N1367" s="3" t="s">
        <v>581</v>
      </c>
    </row>
    <row r="1368" spans="1:14" x14ac:dyDescent="0.25">
      <c r="A1368" s="1" t="s">
        <v>10898</v>
      </c>
      <c r="B1368" s="3" t="s">
        <v>4992</v>
      </c>
      <c r="C1368" s="2">
        <f ca="1">IF(ISNUMBER(SEARCH(Лист2!$B$4,D:D)),MAX($C$3:OFFSET(C1368,-1,0))+1,0)</f>
        <v>0</v>
      </c>
      <c r="E1368" s="9" t="str">
        <f t="shared" ca="1" si="33"/>
        <v/>
      </c>
      <c r="F1368" s="4" t="s">
        <v>4</v>
      </c>
      <c r="G1368" s="2">
        <f>IF(ISNUMBER(SEARCH(Лист2!$B$4,F:F)),1,0)</f>
        <v>0</v>
      </c>
      <c r="H1368" s="3">
        <f ca="1">IF(AND(I1368&lt;&gt;I1367,ISNUMBER(SEARCH(Лист2!$B$5,I:I)),G1368=1),MAX($H$3:OFFSET(H1368,-1,0))+1,0)</f>
        <v>0</v>
      </c>
      <c r="I1368" s="3" t="s">
        <v>143</v>
      </c>
      <c r="K1368" s="2">
        <f>IF(ISNUMBER(SEARCH(Лист2!$B$4,F:F)),1,0)</f>
        <v>0</v>
      </c>
      <c r="L1368" s="14">
        <f>IF(ISNUMBER(SEARCH(Лист2!$B$5,I:I)),1,0)+K1368</f>
        <v>0</v>
      </c>
      <c r="M1368" s="3">
        <f ca="1">IF(AND(N1368&lt;&gt;N1367,ISNUMBER(SEARCH(Лист2!$B$6,N:N)),L1368=2),MAX($M$3:OFFSET(M1368,-1,0))+1,0)</f>
        <v>0</v>
      </c>
      <c r="N1368" s="3" t="s">
        <v>581</v>
      </c>
    </row>
    <row r="1369" spans="1:14" x14ac:dyDescent="0.25">
      <c r="A1369" s="1" t="s">
        <v>10899</v>
      </c>
      <c r="B1369" s="3" t="s">
        <v>4993</v>
      </c>
      <c r="C1369" s="2">
        <f ca="1">IF(ISNUMBER(SEARCH(Лист2!$B$4,D:D)),MAX($C$3:OFFSET(C1369,-1,0))+1,0)</f>
        <v>0</v>
      </c>
      <c r="E1369" s="9" t="str">
        <f t="shared" ca="1" si="33"/>
        <v/>
      </c>
      <c r="F1369" s="4" t="s">
        <v>4</v>
      </c>
      <c r="G1369" s="2">
        <f>IF(ISNUMBER(SEARCH(Лист2!$B$4,F:F)),1,0)</f>
        <v>0</v>
      </c>
      <c r="H1369" s="3">
        <f ca="1">IF(AND(I1369&lt;&gt;I1368,ISNUMBER(SEARCH(Лист2!$B$5,I:I)),G1369=1),MAX($H$3:OFFSET(H1369,-1,0))+1,0)</f>
        <v>0</v>
      </c>
      <c r="I1369" s="3" t="s">
        <v>144</v>
      </c>
      <c r="K1369" s="2">
        <f>IF(ISNUMBER(SEARCH(Лист2!$B$4,F:F)),1,0)</f>
        <v>0</v>
      </c>
      <c r="L1369" s="14">
        <f>IF(ISNUMBER(SEARCH(Лист2!$B$5,I:I)),1,0)+K1369</f>
        <v>1</v>
      </c>
      <c r="M1369" s="3">
        <f ca="1">IF(AND(N1369&lt;&gt;N1368,ISNUMBER(SEARCH(Лист2!$B$6,N:N)),L1369=2),MAX($M$3:OFFSET(M1369,-1,0))+1,0)</f>
        <v>0</v>
      </c>
      <c r="N1369" s="3" t="s">
        <v>581</v>
      </c>
    </row>
    <row r="1370" spans="1:14" x14ac:dyDescent="0.25">
      <c r="A1370" s="1" t="s">
        <v>10900</v>
      </c>
      <c r="B1370" s="3" t="s">
        <v>4994</v>
      </c>
      <c r="C1370" s="2">
        <f ca="1">IF(ISNUMBER(SEARCH(Лист2!$B$4,D:D)),MAX($C$3:OFFSET(C1370,-1,0))+1,0)</f>
        <v>0</v>
      </c>
      <c r="E1370" s="9" t="str">
        <f t="shared" ca="1" si="33"/>
        <v/>
      </c>
      <c r="F1370" s="4" t="s">
        <v>4</v>
      </c>
      <c r="G1370" s="2">
        <f>IF(ISNUMBER(SEARCH(Лист2!$B$4,F:F)),1,0)</f>
        <v>0</v>
      </c>
      <c r="H1370" s="3">
        <f ca="1">IF(AND(I1370&lt;&gt;I1369,ISNUMBER(SEARCH(Лист2!$B$5,I:I)),G1370=1),MAX($H$3:OFFSET(H1370,-1,0))+1,0)</f>
        <v>0</v>
      </c>
      <c r="I1370" s="3" t="s">
        <v>142</v>
      </c>
      <c r="K1370" s="2">
        <f>IF(ISNUMBER(SEARCH(Лист2!$B$4,F:F)),1,0)</f>
        <v>0</v>
      </c>
      <c r="L1370" s="14">
        <f>IF(ISNUMBER(SEARCH(Лист2!$B$5,I:I)),1,0)+K1370</f>
        <v>0</v>
      </c>
      <c r="M1370" s="3">
        <f ca="1">IF(AND(N1370&lt;&gt;N1369,ISNUMBER(SEARCH(Лист2!$B$6,N:N)),L1370=2),MAX($M$3:OFFSET(M1370,-1,0))+1,0)</f>
        <v>0</v>
      </c>
      <c r="N1370" s="3" t="s">
        <v>566</v>
      </c>
    </row>
    <row r="1371" spans="1:14" x14ac:dyDescent="0.25">
      <c r="A1371" s="1" t="s">
        <v>10901</v>
      </c>
      <c r="B1371" s="3" t="s">
        <v>4995</v>
      </c>
      <c r="C1371" s="2">
        <f ca="1">IF(ISNUMBER(SEARCH(Лист2!$B$4,D:D)),MAX($C$3:OFFSET(C1371,-1,0))+1,0)</f>
        <v>0</v>
      </c>
      <c r="E1371" s="9" t="str">
        <f t="shared" ca="1" si="33"/>
        <v/>
      </c>
      <c r="F1371" s="4" t="s">
        <v>4</v>
      </c>
      <c r="G1371" s="2">
        <f>IF(ISNUMBER(SEARCH(Лист2!$B$4,F:F)),1,0)</f>
        <v>0</v>
      </c>
      <c r="H1371" s="3">
        <f ca="1">IF(AND(I1371&lt;&gt;I1370,ISNUMBER(SEARCH(Лист2!$B$5,I:I)),G1371=1),MAX($H$3:OFFSET(H1371,-1,0))+1,0)</f>
        <v>0</v>
      </c>
      <c r="I1371" s="3" t="s">
        <v>143</v>
      </c>
      <c r="K1371" s="2">
        <f>IF(ISNUMBER(SEARCH(Лист2!$B$4,F:F)),1,0)</f>
        <v>0</v>
      </c>
      <c r="L1371" s="14">
        <f>IF(ISNUMBER(SEARCH(Лист2!$B$5,I:I)),1,0)+K1371</f>
        <v>0</v>
      </c>
      <c r="M1371" s="3">
        <f ca="1">IF(AND(N1371&lt;&gt;N1370,ISNUMBER(SEARCH(Лист2!$B$6,N:N)),L1371=2),MAX($M$3:OFFSET(M1371,-1,0))+1,0)</f>
        <v>0</v>
      </c>
      <c r="N1371" s="3" t="s">
        <v>566</v>
      </c>
    </row>
    <row r="1372" spans="1:14" x14ac:dyDescent="0.25">
      <c r="A1372" s="1" t="s">
        <v>10902</v>
      </c>
      <c r="B1372" s="3" t="s">
        <v>4996</v>
      </c>
      <c r="C1372" s="2">
        <f ca="1">IF(ISNUMBER(SEARCH(Лист2!$B$4,D:D)),MAX($C$3:OFFSET(C1372,-1,0))+1,0)</f>
        <v>0</v>
      </c>
      <c r="E1372" s="9" t="str">
        <f t="shared" ca="1" si="33"/>
        <v/>
      </c>
      <c r="F1372" s="4" t="s">
        <v>4</v>
      </c>
      <c r="G1372" s="2">
        <f>IF(ISNUMBER(SEARCH(Лист2!$B$4,F:F)),1,0)</f>
        <v>0</v>
      </c>
      <c r="H1372" s="3">
        <f ca="1">IF(AND(I1372&lt;&gt;I1371,ISNUMBER(SEARCH(Лист2!$B$5,I:I)),G1372=1),MAX($H$3:OFFSET(H1372,-1,0))+1,0)</f>
        <v>0</v>
      </c>
      <c r="I1372" s="3" t="s">
        <v>144</v>
      </c>
      <c r="K1372" s="2">
        <f>IF(ISNUMBER(SEARCH(Лист2!$B$4,F:F)),1,0)</f>
        <v>0</v>
      </c>
      <c r="L1372" s="14">
        <f>IF(ISNUMBER(SEARCH(Лист2!$B$5,I:I)),1,0)+K1372</f>
        <v>1</v>
      </c>
      <c r="M1372" s="3">
        <f ca="1">IF(AND(N1372&lt;&gt;N1371,ISNUMBER(SEARCH(Лист2!$B$6,N:N)),L1372=2),MAX($M$3:OFFSET(M1372,-1,0))+1,0)</f>
        <v>0</v>
      </c>
      <c r="N1372" s="3" t="s">
        <v>566</v>
      </c>
    </row>
    <row r="1373" spans="1:14" x14ac:dyDescent="0.25">
      <c r="A1373" s="1" t="s">
        <v>10903</v>
      </c>
      <c r="B1373" s="3" t="s">
        <v>4997</v>
      </c>
      <c r="C1373" s="2">
        <f ca="1">IF(ISNUMBER(SEARCH(Лист2!$B$4,D:D)),MAX($C$3:OFFSET(C1373,-1,0))+1,0)</f>
        <v>0</v>
      </c>
      <c r="E1373" s="9" t="str">
        <f t="shared" ca="1" si="33"/>
        <v/>
      </c>
      <c r="F1373" s="4" t="s">
        <v>4</v>
      </c>
      <c r="G1373" s="2">
        <f>IF(ISNUMBER(SEARCH(Лист2!$B$4,F:F)),1,0)</f>
        <v>0</v>
      </c>
      <c r="H1373" s="3">
        <f ca="1">IF(AND(I1373&lt;&gt;I1372,ISNUMBER(SEARCH(Лист2!$B$5,I:I)),G1373=1),MAX($H$3:OFFSET(H1373,-1,0))+1,0)</f>
        <v>0</v>
      </c>
      <c r="I1373" s="3" t="s">
        <v>142</v>
      </c>
      <c r="K1373" s="2">
        <f>IF(ISNUMBER(SEARCH(Лист2!$B$4,F:F)),1,0)</f>
        <v>0</v>
      </c>
      <c r="L1373" s="14">
        <f>IF(ISNUMBER(SEARCH(Лист2!$B$5,I:I)),1,0)+K1373</f>
        <v>0</v>
      </c>
      <c r="M1373" s="3">
        <f ca="1">IF(AND(N1373&lt;&gt;N1372,ISNUMBER(SEARCH(Лист2!$B$6,N:N)),L1373=2),MAX($M$3:OFFSET(M1373,-1,0))+1,0)</f>
        <v>0</v>
      </c>
      <c r="N1373" s="3" t="s">
        <v>579</v>
      </c>
    </row>
    <row r="1374" spans="1:14" x14ac:dyDescent="0.25">
      <c r="A1374" s="1" t="s">
        <v>10904</v>
      </c>
      <c r="B1374" s="3" t="s">
        <v>4998</v>
      </c>
      <c r="C1374" s="2">
        <f ca="1">IF(ISNUMBER(SEARCH(Лист2!$B$4,D:D)),MAX($C$3:OFFSET(C1374,-1,0))+1,0)</f>
        <v>0</v>
      </c>
      <c r="E1374" s="9" t="str">
        <f t="shared" ca="1" si="33"/>
        <v/>
      </c>
      <c r="F1374" s="4" t="s">
        <v>4</v>
      </c>
      <c r="G1374" s="2">
        <f>IF(ISNUMBER(SEARCH(Лист2!$B$4,F:F)),1,0)</f>
        <v>0</v>
      </c>
      <c r="H1374" s="3">
        <f ca="1">IF(AND(I1374&lt;&gt;I1373,ISNUMBER(SEARCH(Лист2!$B$5,I:I)),G1374=1),MAX($H$3:OFFSET(H1374,-1,0))+1,0)</f>
        <v>0</v>
      </c>
      <c r="I1374" s="3" t="s">
        <v>143</v>
      </c>
      <c r="K1374" s="2">
        <f>IF(ISNUMBER(SEARCH(Лист2!$B$4,F:F)),1,0)</f>
        <v>0</v>
      </c>
      <c r="L1374" s="14">
        <f>IF(ISNUMBER(SEARCH(Лист2!$B$5,I:I)),1,0)+K1374</f>
        <v>0</v>
      </c>
      <c r="M1374" s="3">
        <f ca="1">IF(AND(N1374&lt;&gt;N1373,ISNUMBER(SEARCH(Лист2!$B$6,N:N)),L1374=2),MAX($M$3:OFFSET(M1374,-1,0))+1,0)</f>
        <v>0</v>
      </c>
      <c r="N1374" s="3" t="s">
        <v>579</v>
      </c>
    </row>
    <row r="1375" spans="1:14" x14ac:dyDescent="0.25">
      <c r="A1375" s="1" t="s">
        <v>10905</v>
      </c>
      <c r="B1375" s="3" t="s">
        <v>4999</v>
      </c>
      <c r="C1375" s="2">
        <f ca="1">IF(ISNUMBER(SEARCH(Лист2!$B$4,D:D)),MAX($C$3:OFFSET(C1375,-1,0))+1,0)</f>
        <v>0</v>
      </c>
      <c r="E1375" s="9" t="str">
        <f t="shared" ca="1" si="33"/>
        <v/>
      </c>
      <c r="F1375" s="4" t="s">
        <v>4</v>
      </c>
      <c r="G1375" s="2">
        <f>IF(ISNUMBER(SEARCH(Лист2!$B$4,F:F)),1,0)</f>
        <v>0</v>
      </c>
      <c r="H1375" s="3">
        <f ca="1">IF(AND(I1375&lt;&gt;I1374,ISNUMBER(SEARCH(Лист2!$B$5,I:I)),G1375=1),MAX($H$3:OFFSET(H1375,-1,0))+1,0)</f>
        <v>0</v>
      </c>
      <c r="I1375" s="3" t="s">
        <v>144</v>
      </c>
      <c r="K1375" s="2">
        <f>IF(ISNUMBER(SEARCH(Лист2!$B$4,F:F)),1,0)</f>
        <v>0</v>
      </c>
      <c r="L1375" s="14">
        <f>IF(ISNUMBER(SEARCH(Лист2!$B$5,I:I)),1,0)+K1375</f>
        <v>1</v>
      </c>
      <c r="M1375" s="3">
        <f ca="1">IF(AND(N1375&lt;&gt;N1374,ISNUMBER(SEARCH(Лист2!$B$6,N:N)),L1375=2),MAX($M$3:OFFSET(M1375,-1,0))+1,0)</f>
        <v>0</v>
      </c>
      <c r="N1375" s="3" t="s">
        <v>579</v>
      </c>
    </row>
    <row r="1376" spans="1:14" x14ac:dyDescent="0.25">
      <c r="A1376" s="1" t="s">
        <v>10906</v>
      </c>
      <c r="B1376" s="3" t="s">
        <v>5000</v>
      </c>
      <c r="C1376" s="2">
        <f ca="1">IF(ISNUMBER(SEARCH(Лист2!$B$4,D:D)),MAX($C$3:OFFSET(C1376,-1,0))+1,0)</f>
        <v>0</v>
      </c>
      <c r="E1376" s="9" t="str">
        <f t="shared" ca="1" si="33"/>
        <v/>
      </c>
      <c r="F1376" s="4" t="s">
        <v>4</v>
      </c>
      <c r="G1376" s="2">
        <f>IF(ISNUMBER(SEARCH(Лист2!$B$4,F:F)),1,0)</f>
        <v>0</v>
      </c>
      <c r="H1376" s="3">
        <f ca="1">IF(AND(I1376&lt;&gt;I1375,ISNUMBER(SEARCH(Лист2!$B$5,I:I)),G1376=1),MAX($H$3:OFFSET(H1376,-1,0))+1,0)</f>
        <v>0</v>
      </c>
      <c r="I1376" s="3" t="s">
        <v>142</v>
      </c>
      <c r="K1376" s="2">
        <f>IF(ISNUMBER(SEARCH(Лист2!$B$4,F:F)),1,0)</f>
        <v>0</v>
      </c>
      <c r="L1376" s="14">
        <f>IF(ISNUMBER(SEARCH(Лист2!$B$5,I:I)),1,0)+K1376</f>
        <v>0</v>
      </c>
      <c r="M1376" s="3">
        <f ca="1">IF(AND(N1376&lt;&gt;N1375,ISNUMBER(SEARCH(Лист2!$B$6,N:N)),L1376=2),MAX($M$3:OFFSET(M1376,-1,0))+1,0)</f>
        <v>0</v>
      </c>
      <c r="N1376" s="3" t="s">
        <v>565</v>
      </c>
    </row>
    <row r="1377" spans="1:14" x14ac:dyDescent="0.25">
      <c r="A1377" s="1" t="s">
        <v>10907</v>
      </c>
      <c r="B1377" s="3" t="s">
        <v>5001</v>
      </c>
      <c r="C1377" s="2">
        <f ca="1">IF(ISNUMBER(SEARCH(Лист2!$B$4,D:D)),MAX($C$3:OFFSET(C1377,-1,0))+1,0)</f>
        <v>0</v>
      </c>
      <c r="E1377" s="9" t="str">
        <f t="shared" ca="1" si="33"/>
        <v/>
      </c>
      <c r="F1377" s="4" t="s">
        <v>4</v>
      </c>
      <c r="G1377" s="2">
        <f>IF(ISNUMBER(SEARCH(Лист2!$B$4,F:F)),1,0)</f>
        <v>0</v>
      </c>
      <c r="H1377" s="3">
        <f ca="1">IF(AND(I1377&lt;&gt;I1376,ISNUMBER(SEARCH(Лист2!$B$5,I:I)),G1377=1),MAX($H$3:OFFSET(H1377,-1,0))+1,0)</f>
        <v>0</v>
      </c>
      <c r="I1377" s="3" t="s">
        <v>143</v>
      </c>
      <c r="K1377" s="2">
        <f>IF(ISNUMBER(SEARCH(Лист2!$B$4,F:F)),1,0)</f>
        <v>0</v>
      </c>
      <c r="L1377" s="14">
        <f>IF(ISNUMBER(SEARCH(Лист2!$B$5,I:I)),1,0)+K1377</f>
        <v>0</v>
      </c>
      <c r="M1377" s="3">
        <f ca="1">IF(AND(N1377&lt;&gt;N1376,ISNUMBER(SEARCH(Лист2!$B$6,N:N)),L1377=2),MAX($M$3:OFFSET(M1377,-1,0))+1,0)</f>
        <v>0</v>
      </c>
      <c r="N1377" s="3" t="s">
        <v>565</v>
      </c>
    </row>
    <row r="1378" spans="1:14" x14ac:dyDescent="0.25">
      <c r="A1378" s="1" t="s">
        <v>10908</v>
      </c>
      <c r="B1378" s="3" t="s">
        <v>5002</v>
      </c>
      <c r="C1378" s="2">
        <f ca="1">IF(ISNUMBER(SEARCH(Лист2!$B$4,D:D)),MAX($C$3:OFFSET(C1378,-1,0))+1,0)</f>
        <v>0</v>
      </c>
      <c r="E1378" s="9" t="str">
        <f t="shared" ca="1" si="33"/>
        <v/>
      </c>
      <c r="F1378" s="4" t="s">
        <v>4</v>
      </c>
      <c r="G1378" s="2">
        <f>IF(ISNUMBER(SEARCH(Лист2!$B$4,F:F)),1,0)</f>
        <v>0</v>
      </c>
      <c r="H1378" s="3">
        <f ca="1">IF(AND(I1378&lt;&gt;I1377,ISNUMBER(SEARCH(Лист2!$B$5,I:I)),G1378=1),MAX($H$3:OFFSET(H1378,-1,0))+1,0)</f>
        <v>0</v>
      </c>
      <c r="I1378" s="3" t="s">
        <v>144</v>
      </c>
      <c r="K1378" s="2">
        <f>IF(ISNUMBER(SEARCH(Лист2!$B$4,F:F)),1,0)</f>
        <v>0</v>
      </c>
      <c r="L1378" s="14">
        <f>IF(ISNUMBER(SEARCH(Лист2!$B$5,I:I)),1,0)+K1378</f>
        <v>1</v>
      </c>
      <c r="M1378" s="3">
        <f ca="1">IF(AND(N1378&lt;&gt;N1377,ISNUMBER(SEARCH(Лист2!$B$6,N:N)),L1378=2),MAX($M$3:OFFSET(M1378,-1,0))+1,0)</f>
        <v>0</v>
      </c>
      <c r="N1378" s="3" t="s">
        <v>565</v>
      </c>
    </row>
    <row r="1379" spans="1:14" x14ac:dyDescent="0.25">
      <c r="A1379" s="1" t="s">
        <v>10909</v>
      </c>
      <c r="B1379" s="3" t="s">
        <v>5003</v>
      </c>
      <c r="C1379" s="2">
        <f ca="1">IF(ISNUMBER(SEARCH(Лист2!$B$4,D:D)),MAX($C$3:OFFSET(C1379,-1,0))+1,0)</f>
        <v>0</v>
      </c>
      <c r="E1379" s="9" t="str">
        <f t="shared" ca="1" si="33"/>
        <v/>
      </c>
      <c r="F1379" s="4" t="s">
        <v>4</v>
      </c>
      <c r="G1379" s="2">
        <f>IF(ISNUMBER(SEARCH(Лист2!$B$4,F:F)),1,0)</f>
        <v>0</v>
      </c>
      <c r="H1379" s="3">
        <f ca="1">IF(AND(I1379&lt;&gt;I1378,ISNUMBER(SEARCH(Лист2!$B$5,I:I)),G1379=1),MAX($H$3:OFFSET(H1379,-1,0))+1,0)</f>
        <v>0</v>
      </c>
      <c r="I1379" s="3" t="s">
        <v>142</v>
      </c>
      <c r="K1379" s="2">
        <f>IF(ISNUMBER(SEARCH(Лист2!$B$4,F:F)),1,0)</f>
        <v>0</v>
      </c>
      <c r="L1379" s="14">
        <f>IF(ISNUMBER(SEARCH(Лист2!$B$5,I:I)),1,0)+K1379</f>
        <v>0</v>
      </c>
      <c r="M1379" s="3">
        <f ca="1">IF(AND(N1379&lt;&gt;N1378,ISNUMBER(SEARCH(Лист2!$B$6,N:N)),L1379=2),MAX($M$3:OFFSET(M1379,-1,0))+1,0)</f>
        <v>0</v>
      </c>
      <c r="N1379" s="3" t="s">
        <v>1371</v>
      </c>
    </row>
    <row r="1380" spans="1:14" x14ac:dyDescent="0.25">
      <c r="A1380" s="1" t="s">
        <v>10910</v>
      </c>
      <c r="B1380" s="3" t="s">
        <v>5004</v>
      </c>
      <c r="C1380" s="2">
        <f ca="1">IF(ISNUMBER(SEARCH(Лист2!$B$4,D:D)),MAX($C$3:OFFSET(C1380,-1,0))+1,0)</f>
        <v>0</v>
      </c>
      <c r="E1380" s="9" t="str">
        <f t="shared" ca="1" si="33"/>
        <v/>
      </c>
      <c r="F1380" s="4" t="s">
        <v>4</v>
      </c>
      <c r="G1380" s="2">
        <f>IF(ISNUMBER(SEARCH(Лист2!$B$4,F:F)),1,0)</f>
        <v>0</v>
      </c>
      <c r="H1380" s="3">
        <f ca="1">IF(AND(I1380&lt;&gt;I1379,ISNUMBER(SEARCH(Лист2!$B$5,I:I)),G1380=1),MAX($H$3:OFFSET(H1380,-1,0))+1,0)</f>
        <v>0</v>
      </c>
      <c r="I1380" s="3" t="s">
        <v>143</v>
      </c>
      <c r="K1380" s="2">
        <f>IF(ISNUMBER(SEARCH(Лист2!$B$4,F:F)),1,0)</f>
        <v>0</v>
      </c>
      <c r="L1380" s="14">
        <f>IF(ISNUMBER(SEARCH(Лист2!$B$5,I:I)),1,0)+K1380</f>
        <v>0</v>
      </c>
      <c r="M1380" s="3">
        <f ca="1">IF(AND(N1380&lt;&gt;N1379,ISNUMBER(SEARCH(Лист2!$B$6,N:N)),L1380=2),MAX($M$3:OFFSET(M1380,-1,0))+1,0)</f>
        <v>0</v>
      </c>
      <c r="N1380" s="3" t="s">
        <v>1372</v>
      </c>
    </row>
    <row r="1381" spans="1:14" x14ac:dyDescent="0.25">
      <c r="A1381" s="1" t="s">
        <v>10911</v>
      </c>
      <c r="B1381" s="3" t="s">
        <v>5005</v>
      </c>
      <c r="C1381" s="2">
        <f ca="1">IF(ISNUMBER(SEARCH(Лист2!$B$4,D:D)),MAX($C$3:OFFSET(C1381,-1,0))+1,0)</f>
        <v>0</v>
      </c>
      <c r="E1381" s="9" t="str">
        <f t="shared" ca="1" si="33"/>
        <v/>
      </c>
      <c r="F1381" s="4" t="s">
        <v>4</v>
      </c>
      <c r="G1381" s="2">
        <f>IF(ISNUMBER(SEARCH(Лист2!$B$4,F:F)),1,0)</f>
        <v>0</v>
      </c>
      <c r="H1381" s="3">
        <f ca="1">IF(AND(I1381&lt;&gt;I1380,ISNUMBER(SEARCH(Лист2!$B$5,I:I)),G1381=1),MAX($H$3:OFFSET(H1381,-1,0))+1,0)</f>
        <v>0</v>
      </c>
      <c r="I1381" s="3" t="s">
        <v>145</v>
      </c>
      <c r="K1381" s="2">
        <f>IF(ISNUMBER(SEARCH(Лист2!$B$4,F:F)),1,0)</f>
        <v>0</v>
      </c>
      <c r="L1381" s="14">
        <f>IF(ISNUMBER(SEARCH(Лист2!$B$5,I:I)),1,0)+K1381</f>
        <v>0</v>
      </c>
      <c r="M1381" s="3">
        <f ca="1">IF(AND(N1381&lt;&gt;N1380,ISNUMBER(SEARCH(Лист2!$B$6,N:N)),L1381=2),MAX($M$3:OFFSET(M1381,-1,0))+1,0)</f>
        <v>0</v>
      </c>
      <c r="N1381" s="3" t="s">
        <v>621</v>
      </c>
    </row>
    <row r="1382" spans="1:14" x14ac:dyDescent="0.25">
      <c r="A1382" s="1" t="s">
        <v>10912</v>
      </c>
      <c r="B1382" s="3" t="s">
        <v>5006</v>
      </c>
      <c r="C1382" s="2">
        <f ca="1">IF(ISNUMBER(SEARCH(Лист2!$B$4,D:D)),MAX($C$3:OFFSET(C1382,-1,0))+1,0)</f>
        <v>0</v>
      </c>
      <c r="E1382" s="9" t="str">
        <f t="shared" ca="1" si="33"/>
        <v/>
      </c>
      <c r="F1382" s="4" t="s">
        <v>4</v>
      </c>
      <c r="G1382" s="2">
        <f>IF(ISNUMBER(SEARCH(Лист2!$B$4,F:F)),1,0)</f>
        <v>0</v>
      </c>
      <c r="H1382" s="3">
        <f ca="1">IF(AND(I1382&lt;&gt;I1381,ISNUMBER(SEARCH(Лист2!$B$5,I:I)),G1382=1),MAX($H$3:OFFSET(H1382,-1,0))+1,0)</f>
        <v>0</v>
      </c>
      <c r="I1382" s="3" t="s">
        <v>98</v>
      </c>
      <c r="K1382" s="2">
        <f>IF(ISNUMBER(SEARCH(Лист2!$B$4,F:F)),1,0)</f>
        <v>0</v>
      </c>
      <c r="L1382" s="14">
        <f>IF(ISNUMBER(SEARCH(Лист2!$B$5,I:I)),1,0)+K1382</f>
        <v>0</v>
      </c>
      <c r="M1382" s="3">
        <f ca="1">IF(AND(N1382&lt;&gt;N1381,ISNUMBER(SEARCH(Лист2!$B$6,N:N)),L1382=2),MAX($M$3:OFFSET(M1382,-1,0))+1,0)</f>
        <v>0</v>
      </c>
      <c r="N1382" s="3" t="s">
        <v>621</v>
      </c>
    </row>
    <row r="1383" spans="1:14" x14ac:dyDescent="0.25">
      <c r="A1383" s="1" t="s">
        <v>10913</v>
      </c>
      <c r="B1383" s="3" t="s">
        <v>5007</v>
      </c>
      <c r="C1383" s="2">
        <f ca="1">IF(ISNUMBER(SEARCH(Лист2!$B$4,D:D)),MAX($C$3:OFFSET(C1383,-1,0))+1,0)</f>
        <v>0</v>
      </c>
      <c r="E1383" s="9" t="str">
        <f t="shared" ca="1" si="33"/>
        <v/>
      </c>
      <c r="F1383" s="4" t="s">
        <v>4</v>
      </c>
      <c r="G1383" s="2">
        <f>IF(ISNUMBER(SEARCH(Лист2!$B$4,F:F)),1,0)</f>
        <v>0</v>
      </c>
      <c r="H1383" s="3">
        <f ca="1">IF(AND(I1383&lt;&gt;I1382,ISNUMBER(SEARCH(Лист2!$B$5,I:I)),G1383=1),MAX($H$3:OFFSET(H1383,-1,0))+1,0)</f>
        <v>0</v>
      </c>
      <c r="I1383" s="3" t="s">
        <v>146</v>
      </c>
      <c r="K1383" s="2">
        <f>IF(ISNUMBER(SEARCH(Лист2!$B$4,F:F)),1,0)</f>
        <v>0</v>
      </c>
      <c r="L1383" s="14">
        <f>IF(ISNUMBER(SEARCH(Лист2!$B$5,I:I)),1,0)+K1383</f>
        <v>0</v>
      </c>
      <c r="M1383" s="3">
        <f ca="1">IF(AND(N1383&lt;&gt;N1382,ISNUMBER(SEARCH(Лист2!$B$6,N:N)),L1383=2),MAX($M$3:OFFSET(M1383,-1,0))+1,0)</f>
        <v>0</v>
      </c>
      <c r="N1383" s="3" t="s">
        <v>621</v>
      </c>
    </row>
    <row r="1384" spans="1:14" x14ac:dyDescent="0.25">
      <c r="A1384" s="1" t="s">
        <v>10914</v>
      </c>
      <c r="B1384" s="3" t="s">
        <v>5008</v>
      </c>
      <c r="C1384" s="2">
        <f ca="1">IF(ISNUMBER(SEARCH(Лист2!$B$4,D:D)),MAX($C$3:OFFSET(C1384,-1,0))+1,0)</f>
        <v>0</v>
      </c>
      <c r="E1384" s="9" t="str">
        <f t="shared" ca="1" si="33"/>
        <v/>
      </c>
      <c r="F1384" s="4" t="s">
        <v>4</v>
      </c>
      <c r="G1384" s="2">
        <f>IF(ISNUMBER(SEARCH(Лист2!$B$4,F:F)),1,0)</f>
        <v>0</v>
      </c>
      <c r="H1384" s="3">
        <f ca="1">IF(AND(I1384&lt;&gt;I1383,ISNUMBER(SEARCH(Лист2!$B$5,I:I)),G1384=1),MAX($H$3:OFFSET(H1384,-1,0))+1,0)</f>
        <v>0</v>
      </c>
      <c r="I1384" s="3" t="s">
        <v>147</v>
      </c>
      <c r="K1384" s="2">
        <f>IF(ISNUMBER(SEARCH(Лист2!$B$4,F:F)),1,0)</f>
        <v>0</v>
      </c>
      <c r="L1384" s="14">
        <f>IF(ISNUMBER(SEARCH(Лист2!$B$5,I:I)),1,0)+K1384</f>
        <v>0</v>
      </c>
      <c r="M1384" s="3">
        <f ca="1">IF(AND(N1384&lt;&gt;N1383,ISNUMBER(SEARCH(Лист2!$B$6,N:N)),L1384=2),MAX($M$3:OFFSET(M1384,-1,0))+1,0)</f>
        <v>0</v>
      </c>
      <c r="N1384" s="3" t="s">
        <v>621</v>
      </c>
    </row>
    <row r="1385" spans="1:14" x14ac:dyDescent="0.25">
      <c r="A1385" s="1" t="s">
        <v>10915</v>
      </c>
      <c r="B1385" s="3" t="s">
        <v>5009</v>
      </c>
      <c r="C1385" s="2">
        <f ca="1">IF(ISNUMBER(SEARCH(Лист2!$B$4,D:D)),MAX($C$3:OFFSET(C1385,-1,0))+1,0)</f>
        <v>0</v>
      </c>
      <c r="E1385" s="9" t="str">
        <f t="shared" ca="1" si="33"/>
        <v/>
      </c>
      <c r="F1385" s="4" t="s">
        <v>4</v>
      </c>
      <c r="G1385" s="2">
        <f>IF(ISNUMBER(SEARCH(Лист2!$B$4,F:F)),1,0)</f>
        <v>0</v>
      </c>
      <c r="H1385" s="3">
        <f ca="1">IF(AND(I1385&lt;&gt;I1384,ISNUMBER(SEARCH(Лист2!$B$5,I:I)),G1385=1),MAX($H$3:OFFSET(H1385,-1,0))+1,0)</f>
        <v>0</v>
      </c>
      <c r="I1385" s="3" t="s">
        <v>142</v>
      </c>
      <c r="K1385" s="2">
        <f>IF(ISNUMBER(SEARCH(Лист2!$B$4,F:F)),1,0)</f>
        <v>0</v>
      </c>
      <c r="L1385" s="14">
        <f>IF(ISNUMBER(SEARCH(Лист2!$B$5,I:I)),1,0)+K1385</f>
        <v>0</v>
      </c>
      <c r="M1385" s="3">
        <f ca="1">IF(AND(N1385&lt;&gt;N1384,ISNUMBER(SEARCH(Лист2!$B$6,N:N)),L1385=2),MAX($M$3:OFFSET(M1385,-1,0))+1,0)</f>
        <v>0</v>
      </c>
      <c r="N1385" s="3" t="s">
        <v>1373</v>
      </c>
    </row>
    <row r="1386" spans="1:14" x14ac:dyDescent="0.25">
      <c r="A1386" s="1" t="s">
        <v>10916</v>
      </c>
      <c r="B1386" s="3" t="s">
        <v>5010</v>
      </c>
      <c r="C1386" s="2">
        <f ca="1">IF(ISNUMBER(SEARCH(Лист2!$B$4,D:D)),MAX($C$3:OFFSET(C1386,-1,0))+1,0)</f>
        <v>0</v>
      </c>
      <c r="E1386" s="9" t="str">
        <f t="shared" ca="1" si="33"/>
        <v/>
      </c>
      <c r="F1386" s="4" t="s">
        <v>4</v>
      </c>
      <c r="G1386" s="2">
        <f>IF(ISNUMBER(SEARCH(Лист2!$B$4,F:F)),1,0)</f>
        <v>0</v>
      </c>
      <c r="H1386" s="3">
        <f ca="1">IF(AND(I1386&lt;&gt;I1385,ISNUMBER(SEARCH(Лист2!$B$5,I:I)),G1386=1),MAX($H$3:OFFSET(H1386,-1,0))+1,0)</f>
        <v>0</v>
      </c>
      <c r="I1386" s="3" t="s">
        <v>143</v>
      </c>
      <c r="K1386" s="2">
        <f>IF(ISNUMBER(SEARCH(Лист2!$B$4,F:F)),1,0)</f>
        <v>0</v>
      </c>
      <c r="L1386" s="14">
        <f>IF(ISNUMBER(SEARCH(Лист2!$B$5,I:I)),1,0)+K1386</f>
        <v>0</v>
      </c>
      <c r="M1386" s="3">
        <f ca="1">IF(AND(N1386&lt;&gt;N1385,ISNUMBER(SEARCH(Лист2!$B$6,N:N)),L1386=2),MAX($M$3:OFFSET(M1386,-1,0))+1,0)</f>
        <v>0</v>
      </c>
      <c r="N1386" s="3" t="s">
        <v>1374</v>
      </c>
    </row>
    <row r="1387" spans="1:14" x14ac:dyDescent="0.25">
      <c r="A1387" s="1" t="s">
        <v>10917</v>
      </c>
      <c r="B1387" s="3" t="s">
        <v>5011</v>
      </c>
      <c r="C1387" s="2">
        <f ca="1">IF(ISNUMBER(SEARCH(Лист2!$B$4,D:D)),MAX($C$3:OFFSET(C1387,-1,0))+1,0)</f>
        <v>0</v>
      </c>
      <c r="E1387" s="9" t="str">
        <f t="shared" ca="1" si="33"/>
        <v/>
      </c>
      <c r="F1387" s="4" t="s">
        <v>4</v>
      </c>
      <c r="G1387" s="2">
        <f>IF(ISNUMBER(SEARCH(Лист2!$B$4,F:F)),1,0)</f>
        <v>0</v>
      </c>
      <c r="H1387" s="3">
        <f ca="1">IF(AND(I1387&lt;&gt;I1386,ISNUMBER(SEARCH(Лист2!$B$5,I:I)),G1387=1),MAX($H$3:OFFSET(H1387,-1,0))+1,0)</f>
        <v>0</v>
      </c>
      <c r="I1387" s="3" t="s">
        <v>142</v>
      </c>
      <c r="K1387" s="2">
        <f>IF(ISNUMBER(SEARCH(Лист2!$B$4,F:F)),1,0)</f>
        <v>0</v>
      </c>
      <c r="L1387" s="14">
        <f>IF(ISNUMBER(SEARCH(Лист2!$B$5,I:I)),1,0)+K1387</f>
        <v>0</v>
      </c>
      <c r="M1387" s="3">
        <f ca="1">IF(AND(N1387&lt;&gt;N1386,ISNUMBER(SEARCH(Лист2!$B$6,N:N)),L1387=2),MAX($M$3:OFFSET(M1387,-1,0))+1,0)</f>
        <v>0</v>
      </c>
      <c r="N1387" s="3" t="s">
        <v>580</v>
      </c>
    </row>
    <row r="1388" spans="1:14" x14ac:dyDescent="0.25">
      <c r="A1388" s="1" t="s">
        <v>10918</v>
      </c>
      <c r="B1388" s="3" t="s">
        <v>5012</v>
      </c>
      <c r="C1388" s="2">
        <f ca="1">IF(ISNUMBER(SEARCH(Лист2!$B$4,D:D)),MAX($C$3:OFFSET(C1388,-1,0))+1,0)</f>
        <v>0</v>
      </c>
      <c r="E1388" s="9" t="str">
        <f t="shared" ca="1" si="33"/>
        <v/>
      </c>
      <c r="F1388" s="4" t="s">
        <v>4</v>
      </c>
      <c r="G1388" s="2">
        <f>IF(ISNUMBER(SEARCH(Лист2!$B$4,F:F)),1,0)</f>
        <v>0</v>
      </c>
      <c r="H1388" s="3">
        <f ca="1">IF(AND(I1388&lt;&gt;I1387,ISNUMBER(SEARCH(Лист2!$B$5,I:I)),G1388=1),MAX($H$3:OFFSET(H1388,-1,0))+1,0)</f>
        <v>0</v>
      </c>
      <c r="I1388" s="3" t="s">
        <v>143</v>
      </c>
      <c r="K1388" s="2">
        <f>IF(ISNUMBER(SEARCH(Лист2!$B$4,F:F)),1,0)</f>
        <v>0</v>
      </c>
      <c r="L1388" s="14">
        <f>IF(ISNUMBER(SEARCH(Лист2!$B$5,I:I)),1,0)+K1388</f>
        <v>0</v>
      </c>
      <c r="M1388" s="3">
        <f ca="1">IF(AND(N1388&lt;&gt;N1387,ISNUMBER(SEARCH(Лист2!$B$6,N:N)),L1388=2),MAX($M$3:OFFSET(M1388,-1,0))+1,0)</f>
        <v>0</v>
      </c>
      <c r="N1388" s="3" t="s">
        <v>580</v>
      </c>
    </row>
    <row r="1389" spans="1:14" x14ac:dyDescent="0.25">
      <c r="A1389" s="1" t="s">
        <v>10919</v>
      </c>
      <c r="B1389" s="3" t="s">
        <v>5013</v>
      </c>
      <c r="C1389" s="2">
        <f ca="1">IF(ISNUMBER(SEARCH(Лист2!$B$4,D:D)),MAX($C$3:OFFSET(C1389,-1,0))+1,0)</f>
        <v>0</v>
      </c>
      <c r="E1389" s="9" t="str">
        <f t="shared" ca="1" si="33"/>
        <v/>
      </c>
      <c r="F1389" s="4" t="s">
        <v>4</v>
      </c>
      <c r="G1389" s="2">
        <f>IF(ISNUMBER(SEARCH(Лист2!$B$4,F:F)),1,0)</f>
        <v>0</v>
      </c>
      <c r="H1389" s="3">
        <f ca="1">IF(AND(I1389&lt;&gt;I1388,ISNUMBER(SEARCH(Лист2!$B$5,I:I)),G1389=1),MAX($H$3:OFFSET(H1389,-1,0))+1,0)</f>
        <v>0</v>
      </c>
      <c r="I1389" s="3" t="s">
        <v>144</v>
      </c>
      <c r="K1389" s="2">
        <f>IF(ISNUMBER(SEARCH(Лист2!$B$4,F:F)),1,0)</f>
        <v>0</v>
      </c>
      <c r="L1389" s="14">
        <f>IF(ISNUMBER(SEARCH(Лист2!$B$5,I:I)),1,0)+K1389</f>
        <v>1</v>
      </c>
      <c r="M1389" s="3">
        <f ca="1">IF(AND(N1389&lt;&gt;N1388,ISNUMBER(SEARCH(Лист2!$B$6,N:N)),L1389=2),MAX($M$3:OFFSET(M1389,-1,0))+1,0)</f>
        <v>0</v>
      </c>
      <c r="N1389" s="3" t="s">
        <v>580</v>
      </c>
    </row>
    <row r="1390" spans="1:14" x14ac:dyDescent="0.25">
      <c r="A1390" s="1" t="s">
        <v>10920</v>
      </c>
      <c r="B1390" s="3" t="s">
        <v>5014</v>
      </c>
      <c r="C1390" s="2">
        <f ca="1">IF(ISNUMBER(SEARCH(Лист2!$B$4,D:D)),MAX($C$3:OFFSET(C1390,-1,0))+1,0)</f>
        <v>0</v>
      </c>
      <c r="E1390" s="9" t="str">
        <f t="shared" ca="1" si="33"/>
        <v/>
      </c>
      <c r="F1390" s="4" t="s">
        <v>4</v>
      </c>
      <c r="G1390" s="2">
        <f>IF(ISNUMBER(SEARCH(Лист2!$B$4,F:F)),1,0)</f>
        <v>0</v>
      </c>
      <c r="H1390" s="3">
        <f ca="1">IF(AND(I1390&lt;&gt;I1389,ISNUMBER(SEARCH(Лист2!$B$5,I:I)),G1390=1),MAX($H$3:OFFSET(H1390,-1,0))+1,0)</f>
        <v>0</v>
      </c>
      <c r="I1390" s="3" t="s">
        <v>98</v>
      </c>
      <c r="K1390" s="2">
        <f>IF(ISNUMBER(SEARCH(Лист2!$B$4,F:F)),1,0)</f>
        <v>0</v>
      </c>
      <c r="L1390" s="14">
        <f>IF(ISNUMBER(SEARCH(Лист2!$B$5,I:I)),1,0)+K1390</f>
        <v>0</v>
      </c>
      <c r="M1390" s="3">
        <f ca="1">IF(AND(N1390&lt;&gt;N1389,ISNUMBER(SEARCH(Лист2!$B$6,N:N)),L1390=2),MAX($M$3:OFFSET(M1390,-1,0))+1,0)</f>
        <v>0</v>
      </c>
      <c r="N1390" s="3" t="s">
        <v>1375</v>
      </c>
    </row>
    <row r="1391" spans="1:14" x14ac:dyDescent="0.25">
      <c r="A1391" s="1" t="s">
        <v>10921</v>
      </c>
      <c r="B1391" s="3" t="s">
        <v>5015</v>
      </c>
      <c r="C1391" s="2">
        <f ca="1">IF(ISNUMBER(SEARCH(Лист2!$B$4,D:D)),MAX($C$3:OFFSET(C1391,-1,0))+1,0)</f>
        <v>0</v>
      </c>
      <c r="E1391" s="9" t="str">
        <f t="shared" ca="1" si="33"/>
        <v/>
      </c>
      <c r="F1391" s="4" t="s">
        <v>4</v>
      </c>
      <c r="G1391" s="2">
        <f>IF(ISNUMBER(SEARCH(Лист2!$B$4,F:F)),1,0)</f>
        <v>0</v>
      </c>
      <c r="H1391" s="3">
        <f ca="1">IF(AND(I1391&lt;&gt;I1390,ISNUMBER(SEARCH(Лист2!$B$5,I:I)),G1391=1),MAX($H$3:OFFSET(H1391,-1,0))+1,0)</f>
        <v>0</v>
      </c>
      <c r="I1391" s="3" t="s">
        <v>145</v>
      </c>
      <c r="K1391" s="2">
        <f>IF(ISNUMBER(SEARCH(Лист2!$B$4,F:F)),1,0)</f>
        <v>0</v>
      </c>
      <c r="L1391" s="14">
        <f>IF(ISNUMBER(SEARCH(Лист2!$B$5,I:I)),1,0)+K1391</f>
        <v>0</v>
      </c>
      <c r="M1391" s="3">
        <f ca="1">IF(AND(N1391&lt;&gt;N1390,ISNUMBER(SEARCH(Лист2!$B$6,N:N)),L1391=2),MAX($M$3:OFFSET(M1391,-1,0))+1,0)</f>
        <v>0</v>
      </c>
      <c r="N1391" s="3" t="s">
        <v>1376</v>
      </c>
    </row>
    <row r="1392" spans="1:14" x14ac:dyDescent="0.25">
      <c r="A1392" s="1" t="s">
        <v>10922</v>
      </c>
      <c r="B1392" s="3" t="s">
        <v>5016</v>
      </c>
      <c r="C1392" s="2">
        <f ca="1">IF(ISNUMBER(SEARCH(Лист2!$B$4,D:D)),MAX($C$3:OFFSET(C1392,-1,0))+1,0)</f>
        <v>0</v>
      </c>
      <c r="E1392" s="9" t="str">
        <f t="shared" ca="1" si="33"/>
        <v/>
      </c>
      <c r="F1392" s="4" t="s">
        <v>4</v>
      </c>
      <c r="G1392" s="2">
        <f>IF(ISNUMBER(SEARCH(Лист2!$B$4,F:F)),1,0)</f>
        <v>0</v>
      </c>
      <c r="H1392" s="3">
        <f ca="1">IF(AND(I1392&lt;&gt;I1391,ISNUMBER(SEARCH(Лист2!$B$5,I:I)),G1392=1),MAX($H$3:OFFSET(H1392,-1,0))+1,0)</f>
        <v>0</v>
      </c>
      <c r="I1392" s="3" t="s">
        <v>145</v>
      </c>
      <c r="K1392" s="2">
        <f>IF(ISNUMBER(SEARCH(Лист2!$B$4,F:F)),1,0)</f>
        <v>0</v>
      </c>
      <c r="L1392" s="14">
        <f>IF(ISNUMBER(SEARCH(Лист2!$B$5,I:I)),1,0)+K1392</f>
        <v>0</v>
      </c>
      <c r="M1392" s="3">
        <f ca="1">IF(AND(N1392&lt;&gt;N1391,ISNUMBER(SEARCH(Лист2!$B$6,N:N)),L1392=2),MAX($M$3:OFFSET(M1392,-1,0))+1,0)</f>
        <v>0</v>
      </c>
      <c r="N1392" s="3" t="s">
        <v>1377</v>
      </c>
    </row>
    <row r="1393" spans="1:14" x14ac:dyDescent="0.25">
      <c r="A1393" s="1" t="s">
        <v>10923</v>
      </c>
      <c r="B1393" s="3" t="s">
        <v>5017</v>
      </c>
      <c r="C1393" s="2">
        <f ca="1">IF(ISNUMBER(SEARCH(Лист2!$B$4,D:D)),MAX($C$3:OFFSET(C1393,-1,0))+1,0)</f>
        <v>0</v>
      </c>
      <c r="E1393" s="9" t="str">
        <f t="shared" ca="1" si="33"/>
        <v/>
      </c>
      <c r="F1393" s="4" t="s">
        <v>5</v>
      </c>
      <c r="G1393" s="2">
        <f>IF(ISNUMBER(SEARCH(Лист2!$B$4,F:F)),1,0)</f>
        <v>0</v>
      </c>
      <c r="H1393" s="3">
        <f ca="1">IF(AND(I1393&lt;&gt;I1392,ISNUMBER(SEARCH(Лист2!$B$5,I:I)),G1393=1),MAX($H$3:OFFSET(H1393,-1,0))+1,0)</f>
        <v>0</v>
      </c>
      <c r="I1393" s="3" t="s">
        <v>186</v>
      </c>
      <c r="K1393" s="2">
        <f>IF(ISNUMBER(SEARCH(Лист2!$B$4,F:F)),1,0)</f>
        <v>0</v>
      </c>
      <c r="L1393" s="14">
        <f>IF(ISNUMBER(SEARCH(Лист2!$B$5,I:I)),1,0)+K1393</f>
        <v>0</v>
      </c>
      <c r="M1393" s="3">
        <f ca="1">IF(AND(N1393&lt;&gt;N1392,ISNUMBER(SEARCH(Лист2!$B$6,N:N)),L1393=2),MAX($M$3:OFFSET(M1393,-1,0))+1,0)</f>
        <v>0</v>
      </c>
      <c r="N1393" s="3" t="s">
        <v>1378</v>
      </c>
    </row>
    <row r="1394" spans="1:14" x14ac:dyDescent="0.25">
      <c r="A1394" s="1" t="s">
        <v>10924</v>
      </c>
      <c r="B1394" s="3" t="s">
        <v>5018</v>
      </c>
      <c r="C1394" s="2">
        <f ca="1">IF(ISNUMBER(SEARCH(Лист2!$B$4,D:D)),MAX($C$3:OFFSET(C1394,-1,0))+1,0)</f>
        <v>0</v>
      </c>
      <c r="E1394" s="9" t="str">
        <f t="shared" ca="1" si="33"/>
        <v/>
      </c>
      <c r="F1394" s="4" t="s">
        <v>5</v>
      </c>
      <c r="G1394" s="2">
        <f>IF(ISNUMBER(SEARCH(Лист2!$B$4,F:F)),1,0)</f>
        <v>0</v>
      </c>
      <c r="H1394" s="3">
        <f ca="1">IF(AND(I1394&lt;&gt;I1393,ISNUMBER(SEARCH(Лист2!$B$5,I:I)),G1394=1),MAX($H$3:OFFSET(H1394,-1,0))+1,0)</f>
        <v>0</v>
      </c>
      <c r="I1394" s="3" t="s">
        <v>186</v>
      </c>
      <c r="K1394" s="2">
        <f>IF(ISNUMBER(SEARCH(Лист2!$B$4,F:F)),1,0)</f>
        <v>0</v>
      </c>
      <c r="L1394" s="14">
        <f>IF(ISNUMBER(SEARCH(Лист2!$B$5,I:I)),1,0)+K1394</f>
        <v>0</v>
      </c>
      <c r="M1394" s="3">
        <f ca="1">IF(AND(N1394&lt;&gt;N1393,ISNUMBER(SEARCH(Лист2!$B$6,N:N)),L1394=2),MAX($M$3:OFFSET(M1394,-1,0))+1,0)</f>
        <v>0</v>
      </c>
      <c r="N1394" s="3" t="s">
        <v>1379</v>
      </c>
    </row>
    <row r="1395" spans="1:14" x14ac:dyDescent="0.25">
      <c r="A1395" s="1" t="s">
        <v>10924</v>
      </c>
      <c r="B1395" s="3" t="s">
        <v>5019</v>
      </c>
      <c r="C1395" s="2">
        <f ca="1">IF(ISNUMBER(SEARCH(Лист2!$B$4,D:D)),MAX($C$3:OFFSET(C1395,-1,0))+1,0)</f>
        <v>0</v>
      </c>
      <c r="E1395" s="9" t="str">
        <f t="shared" ca="1" si="33"/>
        <v/>
      </c>
      <c r="F1395" s="4" t="s">
        <v>5</v>
      </c>
      <c r="G1395" s="2">
        <f>IF(ISNUMBER(SEARCH(Лист2!$B$4,F:F)),1,0)</f>
        <v>0</v>
      </c>
      <c r="H1395" s="3">
        <f ca="1">IF(AND(I1395&lt;&gt;I1394,ISNUMBER(SEARCH(Лист2!$B$5,I:I)),G1395=1),MAX($H$3:OFFSET(H1395,-1,0))+1,0)</f>
        <v>0</v>
      </c>
      <c r="I1395" s="3" t="s">
        <v>186</v>
      </c>
      <c r="K1395" s="2">
        <f>IF(ISNUMBER(SEARCH(Лист2!$B$4,F:F)),1,0)</f>
        <v>0</v>
      </c>
      <c r="L1395" s="14">
        <f>IF(ISNUMBER(SEARCH(Лист2!$B$5,I:I)),1,0)+K1395</f>
        <v>0</v>
      </c>
      <c r="M1395" s="3">
        <f ca="1">IF(AND(N1395&lt;&gt;N1394,ISNUMBER(SEARCH(Лист2!$B$6,N:N)),L1395=2),MAX($M$3:OFFSET(M1395,-1,0))+1,0)</f>
        <v>0</v>
      </c>
      <c r="N1395" s="3" t="s">
        <v>1379</v>
      </c>
    </row>
    <row r="1396" spans="1:14" x14ac:dyDescent="0.25">
      <c r="A1396" s="1" t="s">
        <v>10924</v>
      </c>
      <c r="B1396" s="3" t="s">
        <v>5020</v>
      </c>
      <c r="C1396" s="2">
        <f ca="1">IF(ISNUMBER(SEARCH(Лист2!$B$4,D:D)),MAX($C$3:OFFSET(C1396,-1,0))+1,0)</f>
        <v>0</v>
      </c>
      <c r="E1396" s="9" t="str">
        <f t="shared" ca="1" si="33"/>
        <v/>
      </c>
      <c r="F1396" s="4" t="s">
        <v>5</v>
      </c>
      <c r="G1396" s="2">
        <f>IF(ISNUMBER(SEARCH(Лист2!$B$4,F:F)),1,0)</f>
        <v>0</v>
      </c>
      <c r="H1396" s="3">
        <f ca="1">IF(AND(I1396&lt;&gt;I1395,ISNUMBER(SEARCH(Лист2!$B$5,I:I)),G1396=1),MAX($H$3:OFFSET(H1396,-1,0))+1,0)</f>
        <v>0</v>
      </c>
      <c r="I1396" s="3" t="s">
        <v>186</v>
      </c>
      <c r="K1396" s="2">
        <f>IF(ISNUMBER(SEARCH(Лист2!$B$4,F:F)),1,0)</f>
        <v>0</v>
      </c>
      <c r="L1396" s="14">
        <f>IF(ISNUMBER(SEARCH(Лист2!$B$5,I:I)),1,0)+K1396</f>
        <v>0</v>
      </c>
      <c r="M1396" s="3">
        <f ca="1">IF(AND(N1396&lt;&gt;N1395,ISNUMBER(SEARCH(Лист2!$B$6,N:N)),L1396=2),MAX($M$3:OFFSET(M1396,-1,0))+1,0)</f>
        <v>0</v>
      </c>
      <c r="N1396" s="3" t="s">
        <v>1379</v>
      </c>
    </row>
    <row r="1397" spans="1:14" x14ac:dyDescent="0.25">
      <c r="A1397" s="1" t="s">
        <v>10925</v>
      </c>
      <c r="B1397" s="3" t="s">
        <v>5021</v>
      </c>
      <c r="C1397" s="2">
        <f ca="1">IF(ISNUMBER(SEARCH(Лист2!$B$4,D:D)),MAX($C$3:OFFSET(C1397,-1,0))+1,0)</f>
        <v>0</v>
      </c>
      <c r="E1397" s="9" t="str">
        <f t="shared" ca="1" si="33"/>
        <v/>
      </c>
      <c r="F1397" s="4" t="s">
        <v>5</v>
      </c>
      <c r="G1397" s="2">
        <f>IF(ISNUMBER(SEARCH(Лист2!$B$4,F:F)),1,0)</f>
        <v>0</v>
      </c>
      <c r="H1397" s="3">
        <f ca="1">IF(AND(I1397&lt;&gt;I1396,ISNUMBER(SEARCH(Лист2!$B$5,I:I)),G1397=1),MAX($H$3:OFFSET(H1397,-1,0))+1,0)</f>
        <v>0</v>
      </c>
      <c r="I1397" s="3" t="s">
        <v>186</v>
      </c>
      <c r="K1397" s="2">
        <f>IF(ISNUMBER(SEARCH(Лист2!$B$4,F:F)),1,0)</f>
        <v>0</v>
      </c>
      <c r="L1397" s="14">
        <f>IF(ISNUMBER(SEARCH(Лист2!$B$5,I:I)),1,0)+K1397</f>
        <v>0</v>
      </c>
      <c r="M1397" s="3">
        <f ca="1">IF(AND(N1397&lt;&gt;N1396,ISNUMBER(SEARCH(Лист2!$B$6,N:N)),L1397=2),MAX($M$3:OFFSET(M1397,-1,0))+1,0)</f>
        <v>0</v>
      </c>
      <c r="N1397" s="3" t="s">
        <v>1380</v>
      </c>
    </row>
    <row r="1398" spans="1:14" x14ac:dyDescent="0.25">
      <c r="A1398" s="1" t="s">
        <v>10925</v>
      </c>
      <c r="B1398" s="3" t="s">
        <v>5022</v>
      </c>
      <c r="C1398" s="2">
        <f ca="1">IF(ISNUMBER(SEARCH(Лист2!$B$4,D:D)),MAX($C$3:OFFSET(C1398,-1,0))+1,0)</f>
        <v>0</v>
      </c>
      <c r="E1398" s="9" t="str">
        <f t="shared" ca="1" si="33"/>
        <v/>
      </c>
      <c r="F1398" s="4" t="s">
        <v>5</v>
      </c>
      <c r="G1398" s="2">
        <f>IF(ISNUMBER(SEARCH(Лист2!$B$4,F:F)),1,0)</f>
        <v>0</v>
      </c>
      <c r="H1398" s="3">
        <f ca="1">IF(AND(I1398&lt;&gt;I1397,ISNUMBER(SEARCH(Лист2!$B$5,I:I)),G1398=1),MAX($H$3:OFFSET(H1398,-1,0))+1,0)</f>
        <v>0</v>
      </c>
      <c r="I1398" s="3" t="s">
        <v>186</v>
      </c>
      <c r="K1398" s="2">
        <f>IF(ISNUMBER(SEARCH(Лист2!$B$4,F:F)),1,0)</f>
        <v>0</v>
      </c>
      <c r="L1398" s="14">
        <f>IF(ISNUMBER(SEARCH(Лист2!$B$5,I:I)),1,0)+K1398</f>
        <v>0</v>
      </c>
      <c r="M1398" s="3">
        <f ca="1">IF(AND(N1398&lt;&gt;N1397,ISNUMBER(SEARCH(Лист2!$B$6,N:N)),L1398=2),MAX($M$3:OFFSET(M1398,-1,0))+1,0)</f>
        <v>0</v>
      </c>
      <c r="N1398" s="3" t="s">
        <v>1380</v>
      </c>
    </row>
    <row r="1399" spans="1:14" x14ac:dyDescent="0.25">
      <c r="A1399" s="1" t="s">
        <v>10925</v>
      </c>
      <c r="B1399" s="3" t="s">
        <v>5023</v>
      </c>
      <c r="C1399" s="2">
        <f ca="1">IF(ISNUMBER(SEARCH(Лист2!$B$4,D:D)),MAX($C$3:OFFSET(C1399,-1,0))+1,0)</f>
        <v>0</v>
      </c>
      <c r="E1399" s="9" t="str">
        <f t="shared" ca="1" si="33"/>
        <v/>
      </c>
      <c r="F1399" s="4" t="s">
        <v>5</v>
      </c>
      <c r="G1399" s="2">
        <f>IF(ISNUMBER(SEARCH(Лист2!$B$4,F:F)),1,0)</f>
        <v>0</v>
      </c>
      <c r="H1399" s="3">
        <f ca="1">IF(AND(I1399&lt;&gt;I1398,ISNUMBER(SEARCH(Лист2!$B$5,I:I)),G1399=1),MAX($H$3:OFFSET(H1399,-1,0))+1,0)</f>
        <v>0</v>
      </c>
      <c r="I1399" s="3" t="s">
        <v>186</v>
      </c>
      <c r="K1399" s="2">
        <f>IF(ISNUMBER(SEARCH(Лист2!$B$4,F:F)),1,0)</f>
        <v>0</v>
      </c>
      <c r="L1399" s="14">
        <f>IF(ISNUMBER(SEARCH(Лист2!$B$5,I:I)),1,0)+K1399</f>
        <v>0</v>
      </c>
      <c r="M1399" s="3">
        <f ca="1">IF(AND(N1399&lt;&gt;N1398,ISNUMBER(SEARCH(Лист2!$B$6,N:N)),L1399=2),MAX($M$3:OFFSET(M1399,-1,0))+1,0)</f>
        <v>0</v>
      </c>
      <c r="N1399" s="3" t="s">
        <v>1380</v>
      </c>
    </row>
    <row r="1400" spans="1:14" x14ac:dyDescent="0.25">
      <c r="A1400" s="1" t="s">
        <v>10925</v>
      </c>
      <c r="B1400" s="3" t="s">
        <v>5024</v>
      </c>
      <c r="C1400" s="2">
        <f ca="1">IF(ISNUMBER(SEARCH(Лист2!$B$4,D:D)),MAX($C$3:OFFSET(C1400,-1,0))+1,0)</f>
        <v>0</v>
      </c>
      <c r="E1400" s="9" t="str">
        <f t="shared" ca="1" si="33"/>
        <v/>
      </c>
      <c r="F1400" s="4" t="s">
        <v>5</v>
      </c>
      <c r="G1400" s="2">
        <f>IF(ISNUMBER(SEARCH(Лист2!$B$4,F:F)),1,0)</f>
        <v>0</v>
      </c>
      <c r="H1400" s="3">
        <f ca="1">IF(AND(I1400&lt;&gt;I1399,ISNUMBER(SEARCH(Лист2!$B$5,I:I)),G1400=1),MAX($H$3:OFFSET(H1400,-1,0))+1,0)</f>
        <v>0</v>
      </c>
      <c r="I1400" s="3" t="s">
        <v>186</v>
      </c>
      <c r="K1400" s="2">
        <f>IF(ISNUMBER(SEARCH(Лист2!$B$4,F:F)),1,0)</f>
        <v>0</v>
      </c>
      <c r="L1400" s="14">
        <f>IF(ISNUMBER(SEARCH(Лист2!$B$5,I:I)),1,0)+K1400</f>
        <v>0</v>
      </c>
      <c r="M1400" s="3">
        <f ca="1">IF(AND(N1400&lt;&gt;N1399,ISNUMBER(SEARCH(Лист2!$B$6,N:N)),L1400=2),MAX($M$3:OFFSET(M1400,-1,0))+1,0)</f>
        <v>0</v>
      </c>
      <c r="N1400" s="3" t="s">
        <v>1380</v>
      </c>
    </row>
    <row r="1401" spans="1:14" x14ac:dyDescent="0.25">
      <c r="A1401" s="1" t="s">
        <v>10926</v>
      </c>
      <c r="B1401" s="3" t="s">
        <v>5025</v>
      </c>
      <c r="C1401" s="2">
        <f ca="1">IF(ISNUMBER(SEARCH(Лист2!$B$4,D:D)),MAX($C$3:OFFSET(C1401,-1,0))+1,0)</f>
        <v>0</v>
      </c>
      <c r="E1401" s="9" t="str">
        <f t="shared" ca="1" si="33"/>
        <v/>
      </c>
      <c r="F1401" s="4" t="s">
        <v>5</v>
      </c>
      <c r="G1401" s="2">
        <f>IF(ISNUMBER(SEARCH(Лист2!$B$4,F:F)),1,0)</f>
        <v>0</v>
      </c>
      <c r="H1401" s="3">
        <f ca="1">IF(AND(I1401&lt;&gt;I1400,ISNUMBER(SEARCH(Лист2!$B$5,I:I)),G1401=1),MAX($H$3:OFFSET(H1401,-1,0))+1,0)</f>
        <v>0</v>
      </c>
      <c r="I1401" s="3" t="s">
        <v>186</v>
      </c>
      <c r="K1401" s="2">
        <f>IF(ISNUMBER(SEARCH(Лист2!$B$4,F:F)),1,0)</f>
        <v>0</v>
      </c>
      <c r="L1401" s="14">
        <f>IF(ISNUMBER(SEARCH(Лист2!$B$5,I:I)),1,0)+K1401</f>
        <v>0</v>
      </c>
      <c r="M1401" s="3">
        <f ca="1">IF(AND(N1401&lt;&gt;N1400,ISNUMBER(SEARCH(Лист2!$B$6,N:N)),L1401=2),MAX($M$3:OFFSET(M1401,-1,0))+1,0)</f>
        <v>0</v>
      </c>
      <c r="N1401" s="3" t="s">
        <v>1381</v>
      </c>
    </row>
    <row r="1402" spans="1:14" x14ac:dyDescent="0.25">
      <c r="A1402" s="1" t="s">
        <v>10927</v>
      </c>
      <c r="B1402" s="3" t="s">
        <v>5026</v>
      </c>
      <c r="C1402" s="2">
        <f ca="1">IF(ISNUMBER(SEARCH(Лист2!$B$4,D:D)),MAX($C$3:OFFSET(C1402,-1,0))+1,0)</f>
        <v>0</v>
      </c>
      <c r="E1402" s="9" t="str">
        <f t="shared" ca="1" si="33"/>
        <v/>
      </c>
      <c r="F1402" s="4" t="s">
        <v>5</v>
      </c>
      <c r="G1402" s="2">
        <f>IF(ISNUMBER(SEARCH(Лист2!$B$4,F:F)),1,0)</f>
        <v>0</v>
      </c>
      <c r="H1402" s="3">
        <f ca="1">IF(AND(I1402&lt;&gt;I1401,ISNUMBER(SEARCH(Лист2!$B$5,I:I)),G1402=1),MAX($H$3:OFFSET(H1402,-1,0))+1,0)</f>
        <v>0</v>
      </c>
      <c r="I1402" s="3" t="s">
        <v>186</v>
      </c>
      <c r="K1402" s="2">
        <f>IF(ISNUMBER(SEARCH(Лист2!$B$4,F:F)),1,0)</f>
        <v>0</v>
      </c>
      <c r="L1402" s="14">
        <f>IF(ISNUMBER(SEARCH(Лист2!$B$5,I:I)),1,0)+K1402</f>
        <v>0</v>
      </c>
      <c r="M1402" s="3">
        <f ca="1">IF(AND(N1402&lt;&gt;N1401,ISNUMBER(SEARCH(Лист2!$B$6,N:N)),L1402=2),MAX($M$3:OFFSET(M1402,-1,0))+1,0)</f>
        <v>0</v>
      </c>
      <c r="N1402" s="3" t="s">
        <v>1382</v>
      </c>
    </row>
    <row r="1403" spans="1:14" x14ac:dyDescent="0.25">
      <c r="A1403" s="1" t="s">
        <v>10928</v>
      </c>
      <c r="B1403" s="3" t="s">
        <v>5027</v>
      </c>
      <c r="C1403" s="2">
        <f ca="1">IF(ISNUMBER(SEARCH(Лист2!$B$4,D:D)),MAX($C$3:OFFSET(C1403,-1,0))+1,0)</f>
        <v>0</v>
      </c>
      <c r="E1403" s="9" t="str">
        <f t="shared" ca="1" si="33"/>
        <v/>
      </c>
      <c r="F1403" s="4" t="s">
        <v>5</v>
      </c>
      <c r="G1403" s="2">
        <f>IF(ISNUMBER(SEARCH(Лист2!$B$4,F:F)),1,0)</f>
        <v>0</v>
      </c>
      <c r="H1403" s="3">
        <f ca="1">IF(AND(I1403&lt;&gt;I1402,ISNUMBER(SEARCH(Лист2!$B$5,I:I)),G1403=1),MAX($H$3:OFFSET(H1403,-1,0))+1,0)</f>
        <v>0</v>
      </c>
      <c r="I1403" s="3" t="s">
        <v>186</v>
      </c>
      <c r="K1403" s="2">
        <f>IF(ISNUMBER(SEARCH(Лист2!$B$4,F:F)),1,0)</f>
        <v>0</v>
      </c>
      <c r="L1403" s="14">
        <f>IF(ISNUMBER(SEARCH(Лист2!$B$5,I:I)),1,0)+K1403</f>
        <v>0</v>
      </c>
      <c r="M1403" s="3">
        <f ca="1">IF(AND(N1403&lt;&gt;N1402,ISNUMBER(SEARCH(Лист2!$B$6,N:N)),L1403=2),MAX($M$3:OFFSET(M1403,-1,0))+1,0)</f>
        <v>0</v>
      </c>
      <c r="N1403" s="3" t="s">
        <v>1383</v>
      </c>
    </row>
    <row r="1404" spans="1:14" x14ac:dyDescent="0.25">
      <c r="A1404" s="1" t="s">
        <v>10928</v>
      </c>
      <c r="B1404" s="3" t="s">
        <v>5028</v>
      </c>
      <c r="C1404" s="2">
        <f ca="1">IF(ISNUMBER(SEARCH(Лист2!$B$4,D:D)),MAX($C$3:OFFSET(C1404,-1,0))+1,0)</f>
        <v>0</v>
      </c>
      <c r="E1404" s="9" t="str">
        <f t="shared" ca="1" si="33"/>
        <v/>
      </c>
      <c r="F1404" s="4" t="s">
        <v>5</v>
      </c>
      <c r="G1404" s="2">
        <f>IF(ISNUMBER(SEARCH(Лист2!$B$4,F:F)),1,0)</f>
        <v>0</v>
      </c>
      <c r="H1404" s="3">
        <f ca="1">IF(AND(I1404&lt;&gt;I1403,ISNUMBER(SEARCH(Лист2!$B$5,I:I)),G1404=1),MAX($H$3:OFFSET(H1404,-1,0))+1,0)</f>
        <v>0</v>
      </c>
      <c r="I1404" s="3" t="s">
        <v>186</v>
      </c>
      <c r="K1404" s="2">
        <f>IF(ISNUMBER(SEARCH(Лист2!$B$4,F:F)),1,0)</f>
        <v>0</v>
      </c>
      <c r="L1404" s="14">
        <f>IF(ISNUMBER(SEARCH(Лист2!$B$5,I:I)),1,0)+K1404</f>
        <v>0</v>
      </c>
      <c r="M1404" s="3">
        <f ca="1">IF(AND(N1404&lt;&gt;N1403,ISNUMBER(SEARCH(Лист2!$B$6,N:N)),L1404=2),MAX($M$3:OFFSET(M1404,-1,0))+1,0)</f>
        <v>0</v>
      </c>
      <c r="N1404" s="3" t="s">
        <v>1383</v>
      </c>
    </row>
    <row r="1405" spans="1:14" x14ac:dyDescent="0.25">
      <c r="A1405" s="1" t="s">
        <v>10928</v>
      </c>
      <c r="B1405" s="3" t="s">
        <v>5029</v>
      </c>
      <c r="C1405" s="2">
        <f ca="1">IF(ISNUMBER(SEARCH(Лист2!$B$4,D:D)),MAX($C$3:OFFSET(C1405,-1,0))+1,0)</f>
        <v>0</v>
      </c>
      <c r="E1405" s="9" t="str">
        <f t="shared" ca="1" si="33"/>
        <v/>
      </c>
      <c r="F1405" s="4" t="s">
        <v>5</v>
      </c>
      <c r="G1405" s="2">
        <f>IF(ISNUMBER(SEARCH(Лист2!$B$4,F:F)),1,0)</f>
        <v>0</v>
      </c>
      <c r="H1405" s="3">
        <f ca="1">IF(AND(I1405&lt;&gt;I1404,ISNUMBER(SEARCH(Лист2!$B$5,I:I)),G1405=1),MAX($H$3:OFFSET(H1405,-1,0))+1,0)</f>
        <v>0</v>
      </c>
      <c r="I1405" s="3" t="s">
        <v>186</v>
      </c>
      <c r="K1405" s="2">
        <f>IF(ISNUMBER(SEARCH(Лист2!$B$4,F:F)),1,0)</f>
        <v>0</v>
      </c>
      <c r="L1405" s="14">
        <f>IF(ISNUMBER(SEARCH(Лист2!$B$5,I:I)),1,0)+K1405</f>
        <v>0</v>
      </c>
      <c r="M1405" s="3">
        <f ca="1">IF(AND(N1405&lt;&gt;N1404,ISNUMBER(SEARCH(Лист2!$B$6,N:N)),L1405=2),MAX($M$3:OFFSET(M1405,-1,0))+1,0)</f>
        <v>0</v>
      </c>
      <c r="N1405" s="3" t="s">
        <v>1383</v>
      </c>
    </row>
    <row r="1406" spans="1:14" x14ac:dyDescent="0.25">
      <c r="A1406" s="1" t="s">
        <v>10929</v>
      </c>
      <c r="B1406" s="3" t="s">
        <v>5030</v>
      </c>
      <c r="C1406" s="2">
        <f ca="1">IF(ISNUMBER(SEARCH(Лист2!$B$4,D:D)),MAX($C$3:OFFSET(C1406,-1,0))+1,0)</f>
        <v>0</v>
      </c>
      <c r="E1406" s="9" t="str">
        <f t="shared" ca="1" si="33"/>
        <v/>
      </c>
      <c r="F1406" s="4" t="s">
        <v>5</v>
      </c>
      <c r="G1406" s="2">
        <f>IF(ISNUMBER(SEARCH(Лист2!$B$4,F:F)),1,0)</f>
        <v>0</v>
      </c>
      <c r="H1406" s="3">
        <f ca="1">IF(AND(I1406&lt;&gt;I1405,ISNUMBER(SEARCH(Лист2!$B$5,I:I)),G1406=1),MAX($H$3:OFFSET(H1406,-1,0))+1,0)</f>
        <v>0</v>
      </c>
      <c r="I1406" s="3" t="s">
        <v>186</v>
      </c>
      <c r="K1406" s="2">
        <f>IF(ISNUMBER(SEARCH(Лист2!$B$4,F:F)),1,0)</f>
        <v>0</v>
      </c>
      <c r="L1406" s="14">
        <f>IF(ISNUMBER(SEARCH(Лист2!$B$5,I:I)),1,0)+K1406</f>
        <v>0</v>
      </c>
      <c r="M1406" s="3">
        <f ca="1">IF(AND(N1406&lt;&gt;N1405,ISNUMBER(SEARCH(Лист2!$B$6,N:N)),L1406=2),MAX($M$3:OFFSET(M1406,-1,0))+1,0)</f>
        <v>0</v>
      </c>
      <c r="N1406" s="3" t="s">
        <v>1384</v>
      </c>
    </row>
    <row r="1407" spans="1:14" x14ac:dyDescent="0.25">
      <c r="A1407" s="1" t="s">
        <v>10930</v>
      </c>
      <c r="B1407" s="3" t="s">
        <v>5031</v>
      </c>
      <c r="C1407" s="2">
        <f ca="1">IF(ISNUMBER(SEARCH(Лист2!$B$4,D:D)),MAX($C$3:OFFSET(C1407,-1,0))+1,0)</f>
        <v>0</v>
      </c>
      <c r="E1407" s="9" t="str">
        <f t="shared" ca="1" si="33"/>
        <v/>
      </c>
      <c r="F1407" s="4" t="s">
        <v>5</v>
      </c>
      <c r="G1407" s="2">
        <f>IF(ISNUMBER(SEARCH(Лист2!$B$4,F:F)),1,0)</f>
        <v>0</v>
      </c>
      <c r="H1407" s="3">
        <f ca="1">IF(AND(I1407&lt;&gt;I1406,ISNUMBER(SEARCH(Лист2!$B$5,I:I)),G1407=1),MAX($H$3:OFFSET(H1407,-1,0))+1,0)</f>
        <v>0</v>
      </c>
      <c r="I1407" s="3" t="s">
        <v>186</v>
      </c>
      <c r="K1407" s="2">
        <f>IF(ISNUMBER(SEARCH(Лист2!$B$4,F:F)),1,0)</f>
        <v>0</v>
      </c>
      <c r="L1407" s="14">
        <f>IF(ISNUMBER(SEARCH(Лист2!$B$5,I:I)),1,0)+K1407</f>
        <v>0</v>
      </c>
      <c r="M1407" s="3">
        <f ca="1">IF(AND(N1407&lt;&gt;N1406,ISNUMBER(SEARCH(Лист2!$B$6,N:N)),L1407=2),MAX($M$3:OFFSET(M1407,-1,0))+1,0)</f>
        <v>0</v>
      </c>
      <c r="N1407" s="3" t="s">
        <v>1385</v>
      </c>
    </row>
    <row r="1408" spans="1:14" x14ac:dyDescent="0.25">
      <c r="A1408" s="1" t="s">
        <v>10931</v>
      </c>
      <c r="B1408" s="3" t="s">
        <v>5032</v>
      </c>
      <c r="C1408" s="2">
        <f ca="1">IF(ISNUMBER(SEARCH(Лист2!$B$4,D:D)),MAX($C$3:OFFSET(C1408,-1,0))+1,0)</f>
        <v>0</v>
      </c>
      <c r="E1408" s="9" t="str">
        <f t="shared" ca="1" si="33"/>
        <v/>
      </c>
      <c r="F1408" s="4" t="s">
        <v>5</v>
      </c>
      <c r="G1408" s="2">
        <f>IF(ISNUMBER(SEARCH(Лист2!$B$4,F:F)),1,0)</f>
        <v>0</v>
      </c>
      <c r="H1408" s="3">
        <f ca="1">IF(AND(I1408&lt;&gt;I1407,ISNUMBER(SEARCH(Лист2!$B$5,I:I)),G1408=1),MAX($H$3:OFFSET(H1408,-1,0))+1,0)</f>
        <v>0</v>
      </c>
      <c r="I1408" s="3" t="s">
        <v>186</v>
      </c>
      <c r="K1408" s="2">
        <f>IF(ISNUMBER(SEARCH(Лист2!$B$4,F:F)),1,0)</f>
        <v>0</v>
      </c>
      <c r="L1408" s="14">
        <f>IF(ISNUMBER(SEARCH(Лист2!$B$5,I:I)),1,0)+K1408</f>
        <v>0</v>
      </c>
      <c r="M1408" s="3">
        <f ca="1">IF(AND(N1408&lt;&gt;N1407,ISNUMBER(SEARCH(Лист2!$B$6,N:N)),L1408=2),MAX($M$3:OFFSET(M1408,-1,0))+1,0)</f>
        <v>0</v>
      </c>
      <c r="N1408" s="3" t="s">
        <v>602</v>
      </c>
    </row>
    <row r="1409" spans="1:14" x14ac:dyDescent="0.25">
      <c r="A1409" s="1" t="s">
        <v>10932</v>
      </c>
      <c r="B1409" s="3" t="s">
        <v>5033</v>
      </c>
      <c r="C1409" s="2">
        <f ca="1">IF(ISNUMBER(SEARCH(Лист2!$B$4,D:D)),MAX($C$3:OFFSET(C1409,-1,0))+1,0)</f>
        <v>0</v>
      </c>
      <c r="E1409" s="9" t="str">
        <f t="shared" ca="1" si="33"/>
        <v/>
      </c>
      <c r="F1409" s="4" t="s">
        <v>5</v>
      </c>
      <c r="G1409" s="2">
        <f>IF(ISNUMBER(SEARCH(Лист2!$B$4,F:F)),1,0)</f>
        <v>0</v>
      </c>
      <c r="H1409" s="3">
        <f ca="1">IF(AND(I1409&lt;&gt;I1408,ISNUMBER(SEARCH(Лист2!$B$5,I:I)),G1409=1),MAX($H$3:OFFSET(H1409,-1,0))+1,0)</f>
        <v>0</v>
      </c>
      <c r="I1409" s="3" t="s">
        <v>186</v>
      </c>
      <c r="K1409" s="2">
        <f>IF(ISNUMBER(SEARCH(Лист2!$B$4,F:F)),1,0)</f>
        <v>0</v>
      </c>
      <c r="L1409" s="14">
        <f>IF(ISNUMBER(SEARCH(Лист2!$B$5,I:I)),1,0)+K1409</f>
        <v>0</v>
      </c>
      <c r="M1409" s="3">
        <f ca="1">IF(AND(N1409&lt;&gt;N1408,ISNUMBER(SEARCH(Лист2!$B$6,N:N)),L1409=2),MAX($M$3:OFFSET(M1409,-1,0))+1,0)</f>
        <v>0</v>
      </c>
      <c r="N1409" s="3" t="s">
        <v>1386</v>
      </c>
    </row>
    <row r="1410" spans="1:14" x14ac:dyDescent="0.25">
      <c r="A1410" s="1" t="s">
        <v>10933</v>
      </c>
      <c r="B1410" s="3" t="s">
        <v>5034</v>
      </c>
      <c r="C1410" s="2">
        <f ca="1">IF(ISNUMBER(SEARCH(Лист2!$B$4,D:D)),MAX($C$3:OFFSET(C1410,-1,0))+1,0)</f>
        <v>0</v>
      </c>
      <c r="E1410" s="9" t="str">
        <f t="shared" ca="1" si="33"/>
        <v/>
      </c>
      <c r="F1410" s="4" t="s">
        <v>5</v>
      </c>
      <c r="G1410" s="2">
        <f>IF(ISNUMBER(SEARCH(Лист2!$B$4,F:F)),1,0)</f>
        <v>0</v>
      </c>
      <c r="H1410" s="3">
        <f ca="1">IF(AND(I1410&lt;&gt;I1409,ISNUMBER(SEARCH(Лист2!$B$5,I:I)),G1410=1),MAX($H$3:OFFSET(H1410,-1,0))+1,0)</f>
        <v>0</v>
      </c>
      <c r="I1410" s="3" t="s">
        <v>186</v>
      </c>
      <c r="K1410" s="2">
        <f>IF(ISNUMBER(SEARCH(Лист2!$B$4,F:F)),1,0)</f>
        <v>0</v>
      </c>
      <c r="L1410" s="14">
        <f>IF(ISNUMBER(SEARCH(Лист2!$B$5,I:I)),1,0)+K1410</f>
        <v>0</v>
      </c>
      <c r="M1410" s="3">
        <f ca="1">IF(AND(N1410&lt;&gt;N1409,ISNUMBER(SEARCH(Лист2!$B$6,N:N)),L1410=2),MAX($M$3:OFFSET(M1410,-1,0))+1,0)</f>
        <v>0</v>
      </c>
      <c r="N1410" s="3" t="s">
        <v>1387</v>
      </c>
    </row>
    <row r="1411" spans="1:14" x14ac:dyDescent="0.25">
      <c r="A1411" s="1" t="s">
        <v>10934</v>
      </c>
      <c r="B1411" s="3" t="s">
        <v>5035</v>
      </c>
      <c r="C1411" s="2">
        <f ca="1">IF(ISNUMBER(SEARCH(Лист2!$B$4,D:D)),MAX($C$3:OFFSET(C1411,-1,0))+1,0)</f>
        <v>0</v>
      </c>
      <c r="E1411" s="9" t="str">
        <f t="shared" ca="1" si="33"/>
        <v/>
      </c>
      <c r="F1411" s="4" t="s">
        <v>5</v>
      </c>
      <c r="G1411" s="2">
        <f>IF(ISNUMBER(SEARCH(Лист2!$B$4,F:F)),1,0)</f>
        <v>0</v>
      </c>
      <c r="H1411" s="3">
        <f ca="1">IF(AND(I1411&lt;&gt;I1410,ISNUMBER(SEARCH(Лист2!$B$5,I:I)),G1411=1),MAX($H$3:OFFSET(H1411,-1,0))+1,0)</f>
        <v>0</v>
      </c>
      <c r="I1411" s="3" t="s">
        <v>186</v>
      </c>
      <c r="K1411" s="2">
        <f>IF(ISNUMBER(SEARCH(Лист2!$B$4,F:F)),1,0)</f>
        <v>0</v>
      </c>
      <c r="L1411" s="14">
        <f>IF(ISNUMBER(SEARCH(Лист2!$B$5,I:I)),1,0)+K1411</f>
        <v>0</v>
      </c>
      <c r="M1411" s="3">
        <f ca="1">IF(AND(N1411&lt;&gt;N1410,ISNUMBER(SEARCH(Лист2!$B$6,N:N)),L1411=2),MAX($M$3:OFFSET(M1411,-1,0))+1,0)</f>
        <v>0</v>
      </c>
      <c r="N1411" s="3" t="s">
        <v>1388</v>
      </c>
    </row>
    <row r="1412" spans="1:14" x14ac:dyDescent="0.25">
      <c r="A1412" s="1" t="s">
        <v>10935</v>
      </c>
      <c r="B1412" s="3" t="s">
        <v>5036</v>
      </c>
      <c r="C1412" s="2">
        <f ca="1">IF(ISNUMBER(SEARCH(Лист2!$B$4,D:D)),MAX($C$3:OFFSET(C1412,-1,0))+1,0)</f>
        <v>0</v>
      </c>
      <c r="E1412" s="9" t="str">
        <f t="shared" ca="1" si="33"/>
        <v/>
      </c>
      <c r="F1412" s="4" t="s">
        <v>5</v>
      </c>
      <c r="G1412" s="2">
        <f>IF(ISNUMBER(SEARCH(Лист2!$B$4,F:F)),1,0)</f>
        <v>0</v>
      </c>
      <c r="H1412" s="3">
        <f ca="1">IF(AND(I1412&lt;&gt;I1411,ISNUMBER(SEARCH(Лист2!$B$5,I:I)),G1412=1),MAX($H$3:OFFSET(H1412,-1,0))+1,0)</f>
        <v>0</v>
      </c>
      <c r="I1412" s="3" t="s">
        <v>186</v>
      </c>
      <c r="K1412" s="2">
        <f>IF(ISNUMBER(SEARCH(Лист2!$B$4,F:F)),1,0)</f>
        <v>0</v>
      </c>
      <c r="L1412" s="14">
        <f>IF(ISNUMBER(SEARCH(Лист2!$B$5,I:I)),1,0)+K1412</f>
        <v>0</v>
      </c>
      <c r="M1412" s="3">
        <f ca="1">IF(AND(N1412&lt;&gt;N1411,ISNUMBER(SEARCH(Лист2!$B$6,N:N)),L1412=2),MAX($M$3:OFFSET(M1412,-1,0))+1,0)</f>
        <v>0</v>
      </c>
      <c r="N1412" s="3" t="s">
        <v>1389</v>
      </c>
    </row>
    <row r="1413" spans="1:14" x14ac:dyDescent="0.25">
      <c r="A1413" s="1" t="s">
        <v>10936</v>
      </c>
      <c r="B1413" s="3" t="s">
        <v>5037</v>
      </c>
      <c r="C1413" s="2">
        <f ca="1">IF(ISNUMBER(SEARCH(Лист2!$B$4,D:D)),MAX($C$3:OFFSET(C1413,-1,0))+1,0)</f>
        <v>0</v>
      </c>
      <c r="E1413" s="9" t="str">
        <f t="shared" ref="E1413:E1476" ca="1" si="34">IFERROR(INDEX(D:D,MATCH(ROW(E1413)-ROW($E$3),C:C,0)),"")</f>
        <v/>
      </c>
      <c r="F1413" s="4" t="s">
        <v>5</v>
      </c>
      <c r="G1413" s="2">
        <f>IF(ISNUMBER(SEARCH(Лист2!$B$4,F:F)),1,0)</f>
        <v>0</v>
      </c>
      <c r="H1413" s="3">
        <f ca="1">IF(AND(I1413&lt;&gt;I1412,ISNUMBER(SEARCH(Лист2!$B$5,I:I)),G1413=1),MAX($H$3:OFFSET(H1413,-1,0))+1,0)</f>
        <v>0</v>
      </c>
      <c r="I1413" s="3" t="s">
        <v>187</v>
      </c>
      <c r="K1413" s="2">
        <f>IF(ISNUMBER(SEARCH(Лист2!$B$4,F:F)),1,0)</f>
        <v>0</v>
      </c>
      <c r="L1413" s="14">
        <f>IF(ISNUMBER(SEARCH(Лист2!$B$5,I:I)),1,0)+K1413</f>
        <v>0</v>
      </c>
      <c r="M1413" s="3">
        <f ca="1">IF(AND(N1413&lt;&gt;N1412,ISNUMBER(SEARCH(Лист2!$B$6,N:N)),L1413=2),MAX($M$3:OFFSET(M1413,-1,0))+1,0)</f>
        <v>0</v>
      </c>
      <c r="N1413" s="3" t="s">
        <v>1390</v>
      </c>
    </row>
    <row r="1414" spans="1:14" x14ac:dyDescent="0.25">
      <c r="A1414" s="1" t="s">
        <v>10937</v>
      </c>
      <c r="B1414" s="3" t="s">
        <v>5038</v>
      </c>
      <c r="C1414" s="2">
        <f ca="1">IF(ISNUMBER(SEARCH(Лист2!$B$4,D:D)),MAX($C$3:OFFSET(C1414,-1,0))+1,0)</f>
        <v>0</v>
      </c>
      <c r="E1414" s="9" t="str">
        <f t="shared" ca="1" si="34"/>
        <v/>
      </c>
      <c r="F1414" s="4" t="s">
        <v>5</v>
      </c>
      <c r="G1414" s="2">
        <f>IF(ISNUMBER(SEARCH(Лист2!$B$4,F:F)),1,0)</f>
        <v>0</v>
      </c>
      <c r="H1414" s="3">
        <f ca="1">IF(AND(I1414&lt;&gt;I1413,ISNUMBER(SEARCH(Лист2!$B$5,I:I)),G1414=1),MAX($H$3:OFFSET(H1414,-1,0))+1,0)</f>
        <v>0</v>
      </c>
      <c r="I1414" s="3" t="s">
        <v>187</v>
      </c>
      <c r="K1414" s="2">
        <f>IF(ISNUMBER(SEARCH(Лист2!$B$4,F:F)),1,0)</f>
        <v>0</v>
      </c>
      <c r="L1414" s="14">
        <f>IF(ISNUMBER(SEARCH(Лист2!$B$5,I:I)),1,0)+K1414</f>
        <v>0</v>
      </c>
      <c r="M1414" s="3">
        <f ca="1">IF(AND(N1414&lt;&gt;N1413,ISNUMBER(SEARCH(Лист2!$B$6,N:N)),L1414=2),MAX($M$3:OFFSET(M1414,-1,0))+1,0)</f>
        <v>0</v>
      </c>
      <c r="N1414" s="3" t="s">
        <v>1391</v>
      </c>
    </row>
    <row r="1415" spans="1:14" x14ac:dyDescent="0.25">
      <c r="A1415" s="1" t="s">
        <v>10938</v>
      </c>
      <c r="B1415" s="3" t="s">
        <v>5039</v>
      </c>
      <c r="C1415" s="2">
        <f ca="1">IF(ISNUMBER(SEARCH(Лист2!$B$4,D:D)),MAX($C$3:OFFSET(C1415,-1,0))+1,0)</f>
        <v>0</v>
      </c>
      <c r="E1415" s="9" t="str">
        <f t="shared" ca="1" si="34"/>
        <v/>
      </c>
      <c r="F1415" s="4" t="s">
        <v>5</v>
      </c>
      <c r="G1415" s="2">
        <f>IF(ISNUMBER(SEARCH(Лист2!$B$4,F:F)),1,0)</f>
        <v>0</v>
      </c>
      <c r="H1415" s="3">
        <f ca="1">IF(AND(I1415&lt;&gt;I1414,ISNUMBER(SEARCH(Лист2!$B$5,I:I)),G1415=1),MAX($H$3:OFFSET(H1415,-1,0))+1,0)</f>
        <v>0</v>
      </c>
      <c r="I1415" s="3" t="s">
        <v>187</v>
      </c>
      <c r="K1415" s="2">
        <f>IF(ISNUMBER(SEARCH(Лист2!$B$4,F:F)),1,0)</f>
        <v>0</v>
      </c>
      <c r="L1415" s="14">
        <f>IF(ISNUMBER(SEARCH(Лист2!$B$5,I:I)),1,0)+K1415</f>
        <v>0</v>
      </c>
      <c r="M1415" s="3">
        <f ca="1">IF(AND(N1415&lt;&gt;N1414,ISNUMBER(SEARCH(Лист2!$B$6,N:N)),L1415=2),MAX($M$3:OFFSET(M1415,-1,0))+1,0)</f>
        <v>0</v>
      </c>
      <c r="N1415" s="3" t="s">
        <v>1392</v>
      </c>
    </row>
    <row r="1416" spans="1:14" x14ac:dyDescent="0.25">
      <c r="A1416" s="1" t="s">
        <v>10939</v>
      </c>
      <c r="B1416" s="3" t="s">
        <v>5040</v>
      </c>
      <c r="C1416" s="2">
        <f ca="1">IF(ISNUMBER(SEARCH(Лист2!$B$4,D:D)),MAX($C$3:OFFSET(C1416,-1,0))+1,0)</f>
        <v>0</v>
      </c>
      <c r="E1416" s="9" t="str">
        <f t="shared" ca="1" si="34"/>
        <v/>
      </c>
      <c r="F1416" s="4" t="s">
        <v>5</v>
      </c>
      <c r="G1416" s="2">
        <f>IF(ISNUMBER(SEARCH(Лист2!$B$4,F:F)),1,0)</f>
        <v>0</v>
      </c>
      <c r="H1416" s="3">
        <f ca="1">IF(AND(I1416&lt;&gt;I1415,ISNUMBER(SEARCH(Лист2!$B$5,I:I)),G1416=1),MAX($H$3:OFFSET(H1416,-1,0))+1,0)</f>
        <v>0</v>
      </c>
      <c r="I1416" s="3" t="s">
        <v>187</v>
      </c>
      <c r="K1416" s="2">
        <f>IF(ISNUMBER(SEARCH(Лист2!$B$4,F:F)),1,0)</f>
        <v>0</v>
      </c>
      <c r="L1416" s="14">
        <f>IF(ISNUMBER(SEARCH(Лист2!$B$5,I:I)),1,0)+K1416</f>
        <v>0</v>
      </c>
      <c r="M1416" s="3">
        <f ca="1">IF(AND(N1416&lt;&gt;N1415,ISNUMBER(SEARCH(Лист2!$B$6,N:N)),L1416=2),MAX($M$3:OFFSET(M1416,-1,0))+1,0)</f>
        <v>0</v>
      </c>
      <c r="N1416" s="3" t="s">
        <v>1393</v>
      </c>
    </row>
    <row r="1417" spans="1:14" x14ac:dyDescent="0.25">
      <c r="A1417" s="1" t="s">
        <v>10940</v>
      </c>
      <c r="B1417" s="3" t="s">
        <v>5041</v>
      </c>
      <c r="C1417" s="2">
        <f ca="1">IF(ISNUMBER(SEARCH(Лист2!$B$4,D:D)),MAX($C$3:OFFSET(C1417,-1,0))+1,0)</f>
        <v>0</v>
      </c>
      <c r="E1417" s="9" t="str">
        <f t="shared" ca="1" si="34"/>
        <v/>
      </c>
      <c r="F1417" s="4" t="s">
        <v>5</v>
      </c>
      <c r="G1417" s="2">
        <f>IF(ISNUMBER(SEARCH(Лист2!$B$4,F:F)),1,0)</f>
        <v>0</v>
      </c>
      <c r="H1417" s="3">
        <f ca="1">IF(AND(I1417&lt;&gt;I1416,ISNUMBER(SEARCH(Лист2!$B$5,I:I)),G1417=1),MAX($H$3:OFFSET(H1417,-1,0))+1,0)</f>
        <v>0</v>
      </c>
      <c r="I1417" s="3" t="s">
        <v>187</v>
      </c>
      <c r="K1417" s="2">
        <f>IF(ISNUMBER(SEARCH(Лист2!$B$4,F:F)),1,0)</f>
        <v>0</v>
      </c>
      <c r="L1417" s="14">
        <f>IF(ISNUMBER(SEARCH(Лист2!$B$5,I:I)),1,0)+K1417</f>
        <v>0</v>
      </c>
      <c r="M1417" s="3">
        <f ca="1">IF(AND(N1417&lt;&gt;N1416,ISNUMBER(SEARCH(Лист2!$B$6,N:N)),L1417=2),MAX($M$3:OFFSET(M1417,-1,0))+1,0)</f>
        <v>0</v>
      </c>
      <c r="N1417" s="3" t="s">
        <v>1385</v>
      </c>
    </row>
    <row r="1418" spans="1:14" x14ac:dyDescent="0.25">
      <c r="A1418" s="1" t="s">
        <v>10941</v>
      </c>
      <c r="B1418" s="3" t="s">
        <v>5042</v>
      </c>
      <c r="C1418" s="2">
        <f ca="1">IF(ISNUMBER(SEARCH(Лист2!$B$4,D:D)),MAX($C$3:OFFSET(C1418,-1,0))+1,0)</f>
        <v>0</v>
      </c>
      <c r="E1418" s="9" t="str">
        <f t="shared" ca="1" si="34"/>
        <v/>
      </c>
      <c r="F1418" s="4" t="s">
        <v>5</v>
      </c>
      <c r="G1418" s="2">
        <f>IF(ISNUMBER(SEARCH(Лист2!$B$4,F:F)),1,0)</f>
        <v>0</v>
      </c>
      <c r="H1418" s="3">
        <f ca="1">IF(AND(I1418&lt;&gt;I1417,ISNUMBER(SEARCH(Лист2!$B$5,I:I)),G1418=1),MAX($H$3:OFFSET(H1418,-1,0))+1,0)</f>
        <v>0</v>
      </c>
      <c r="I1418" s="3" t="s">
        <v>187</v>
      </c>
      <c r="K1418" s="2">
        <f>IF(ISNUMBER(SEARCH(Лист2!$B$4,F:F)),1,0)</f>
        <v>0</v>
      </c>
      <c r="L1418" s="14">
        <f>IF(ISNUMBER(SEARCH(Лист2!$B$5,I:I)),1,0)+K1418</f>
        <v>0</v>
      </c>
      <c r="M1418" s="3">
        <f ca="1">IF(AND(N1418&lt;&gt;N1417,ISNUMBER(SEARCH(Лист2!$B$6,N:N)),L1418=2),MAX($M$3:OFFSET(M1418,-1,0))+1,0)</f>
        <v>0</v>
      </c>
      <c r="N1418" s="3" t="s">
        <v>602</v>
      </c>
    </row>
    <row r="1419" spans="1:14" x14ac:dyDescent="0.25">
      <c r="A1419" s="1" t="s">
        <v>10942</v>
      </c>
      <c r="B1419" s="3" t="s">
        <v>5043</v>
      </c>
      <c r="C1419" s="2">
        <f ca="1">IF(ISNUMBER(SEARCH(Лист2!$B$4,D:D)),MAX($C$3:OFFSET(C1419,-1,0))+1,0)</f>
        <v>0</v>
      </c>
      <c r="E1419" s="9" t="str">
        <f t="shared" ca="1" si="34"/>
        <v/>
      </c>
      <c r="F1419" s="4" t="s">
        <v>5</v>
      </c>
      <c r="G1419" s="2">
        <f>IF(ISNUMBER(SEARCH(Лист2!$B$4,F:F)),1,0)</f>
        <v>0</v>
      </c>
      <c r="H1419" s="3">
        <f ca="1">IF(AND(I1419&lt;&gt;I1418,ISNUMBER(SEARCH(Лист2!$B$5,I:I)),G1419=1),MAX($H$3:OFFSET(H1419,-1,0))+1,0)</f>
        <v>0</v>
      </c>
      <c r="I1419" s="3" t="s">
        <v>187</v>
      </c>
      <c r="K1419" s="2">
        <f>IF(ISNUMBER(SEARCH(Лист2!$B$4,F:F)),1,0)</f>
        <v>0</v>
      </c>
      <c r="L1419" s="14">
        <f>IF(ISNUMBER(SEARCH(Лист2!$B$5,I:I)),1,0)+K1419</f>
        <v>0</v>
      </c>
      <c r="M1419" s="3">
        <f ca="1">IF(AND(N1419&lt;&gt;N1418,ISNUMBER(SEARCH(Лист2!$B$6,N:N)),L1419=2),MAX($M$3:OFFSET(M1419,-1,0))+1,0)</f>
        <v>0</v>
      </c>
      <c r="N1419" s="3" t="s">
        <v>1386</v>
      </c>
    </row>
    <row r="1420" spans="1:14" x14ac:dyDescent="0.25">
      <c r="A1420" s="1" t="s">
        <v>10943</v>
      </c>
      <c r="B1420" s="3" t="s">
        <v>5044</v>
      </c>
      <c r="C1420" s="2">
        <f ca="1">IF(ISNUMBER(SEARCH(Лист2!$B$4,D:D)),MAX($C$3:OFFSET(C1420,-1,0))+1,0)</f>
        <v>0</v>
      </c>
      <c r="E1420" s="9" t="str">
        <f t="shared" ca="1" si="34"/>
        <v/>
      </c>
      <c r="F1420" s="4" t="s">
        <v>5</v>
      </c>
      <c r="G1420" s="2">
        <f>IF(ISNUMBER(SEARCH(Лист2!$B$4,F:F)),1,0)</f>
        <v>0</v>
      </c>
      <c r="H1420" s="3">
        <f ca="1">IF(AND(I1420&lt;&gt;I1419,ISNUMBER(SEARCH(Лист2!$B$5,I:I)),G1420=1),MAX($H$3:OFFSET(H1420,-1,0))+1,0)</f>
        <v>0</v>
      </c>
      <c r="I1420" s="3" t="s">
        <v>187</v>
      </c>
      <c r="K1420" s="2">
        <f>IF(ISNUMBER(SEARCH(Лист2!$B$4,F:F)),1,0)</f>
        <v>0</v>
      </c>
      <c r="L1420" s="14">
        <f>IF(ISNUMBER(SEARCH(Лист2!$B$5,I:I)),1,0)+K1420</f>
        <v>0</v>
      </c>
      <c r="M1420" s="3">
        <f ca="1">IF(AND(N1420&lt;&gt;N1419,ISNUMBER(SEARCH(Лист2!$B$6,N:N)),L1420=2),MAX($M$3:OFFSET(M1420,-1,0))+1,0)</f>
        <v>0</v>
      </c>
      <c r="N1420" s="3" t="s">
        <v>1387</v>
      </c>
    </row>
    <row r="1421" spans="1:14" x14ac:dyDescent="0.25">
      <c r="A1421" s="1" t="s">
        <v>10944</v>
      </c>
      <c r="B1421" s="3" t="s">
        <v>5045</v>
      </c>
      <c r="C1421" s="2">
        <f ca="1">IF(ISNUMBER(SEARCH(Лист2!$B$4,D:D)),MAX($C$3:OFFSET(C1421,-1,0))+1,0)</f>
        <v>0</v>
      </c>
      <c r="E1421" s="9" t="str">
        <f t="shared" ca="1" si="34"/>
        <v/>
      </c>
      <c r="F1421" s="4" t="s">
        <v>5</v>
      </c>
      <c r="G1421" s="2">
        <f>IF(ISNUMBER(SEARCH(Лист2!$B$4,F:F)),1,0)</f>
        <v>0</v>
      </c>
      <c r="H1421" s="3">
        <f ca="1">IF(AND(I1421&lt;&gt;I1420,ISNUMBER(SEARCH(Лист2!$B$5,I:I)),G1421=1),MAX($H$3:OFFSET(H1421,-1,0))+1,0)</f>
        <v>0</v>
      </c>
      <c r="I1421" s="3" t="s">
        <v>187</v>
      </c>
      <c r="K1421" s="2">
        <f>IF(ISNUMBER(SEARCH(Лист2!$B$4,F:F)),1,0)</f>
        <v>0</v>
      </c>
      <c r="L1421" s="14">
        <f>IF(ISNUMBER(SEARCH(Лист2!$B$5,I:I)),1,0)+K1421</f>
        <v>0</v>
      </c>
      <c r="M1421" s="3">
        <f ca="1">IF(AND(N1421&lt;&gt;N1420,ISNUMBER(SEARCH(Лист2!$B$6,N:N)),L1421=2),MAX($M$3:OFFSET(M1421,-1,0))+1,0)</f>
        <v>0</v>
      </c>
      <c r="N1421" s="3" t="s">
        <v>1394</v>
      </c>
    </row>
    <row r="1422" spans="1:14" x14ac:dyDescent="0.25">
      <c r="A1422" s="1" t="s">
        <v>10945</v>
      </c>
      <c r="B1422" s="3" t="s">
        <v>5046</v>
      </c>
      <c r="C1422" s="2">
        <f ca="1">IF(ISNUMBER(SEARCH(Лист2!$B$4,D:D)),MAX($C$3:OFFSET(C1422,-1,0))+1,0)</f>
        <v>0</v>
      </c>
      <c r="E1422" s="9" t="str">
        <f t="shared" ca="1" si="34"/>
        <v/>
      </c>
      <c r="F1422" s="4" t="s">
        <v>5</v>
      </c>
      <c r="G1422" s="2">
        <f>IF(ISNUMBER(SEARCH(Лист2!$B$4,F:F)),1,0)</f>
        <v>0</v>
      </c>
      <c r="H1422" s="3">
        <f ca="1">IF(AND(I1422&lt;&gt;I1421,ISNUMBER(SEARCH(Лист2!$B$5,I:I)),G1422=1),MAX($H$3:OFFSET(H1422,-1,0))+1,0)</f>
        <v>0</v>
      </c>
      <c r="I1422" s="3" t="s">
        <v>187</v>
      </c>
      <c r="K1422" s="2">
        <f>IF(ISNUMBER(SEARCH(Лист2!$B$4,F:F)),1,0)</f>
        <v>0</v>
      </c>
      <c r="L1422" s="14">
        <f>IF(ISNUMBER(SEARCH(Лист2!$B$5,I:I)),1,0)+K1422</f>
        <v>0</v>
      </c>
      <c r="M1422" s="3">
        <f ca="1">IF(AND(N1422&lt;&gt;N1421,ISNUMBER(SEARCH(Лист2!$B$6,N:N)),L1422=2),MAX($M$3:OFFSET(M1422,-1,0))+1,0)</f>
        <v>0</v>
      </c>
      <c r="N1422" s="3" t="s">
        <v>1395</v>
      </c>
    </row>
    <row r="1423" spans="1:14" x14ac:dyDescent="0.25">
      <c r="A1423" s="1" t="s">
        <v>10946</v>
      </c>
      <c r="B1423" s="3" t="s">
        <v>5047</v>
      </c>
      <c r="C1423" s="2">
        <f ca="1">IF(ISNUMBER(SEARCH(Лист2!$B$4,D:D)),MAX($C$3:OFFSET(C1423,-1,0))+1,0)</f>
        <v>0</v>
      </c>
      <c r="E1423" s="9" t="str">
        <f t="shared" ca="1" si="34"/>
        <v/>
      </c>
      <c r="F1423" s="4" t="s">
        <v>6</v>
      </c>
      <c r="G1423" s="2">
        <f>IF(ISNUMBER(SEARCH(Лист2!$B$4,F:F)),1,0)</f>
        <v>0</v>
      </c>
      <c r="H1423" s="3">
        <f ca="1">IF(AND(I1423&lt;&gt;I1422,ISNUMBER(SEARCH(Лист2!$B$5,I:I)),G1423=1),MAX($H$3:OFFSET(H1423,-1,0))+1,0)</f>
        <v>0</v>
      </c>
      <c r="I1423" s="3" t="s">
        <v>46</v>
      </c>
      <c r="K1423" s="2">
        <f>IF(ISNUMBER(SEARCH(Лист2!$B$4,F:F)),1,0)</f>
        <v>0</v>
      </c>
      <c r="L1423" s="14">
        <f>IF(ISNUMBER(SEARCH(Лист2!$B$5,I:I)),1,0)+K1423</f>
        <v>0</v>
      </c>
      <c r="M1423" s="3">
        <f ca="1">IF(AND(N1423&lt;&gt;N1422,ISNUMBER(SEARCH(Лист2!$B$6,N:N)),L1423=2),MAX($M$3:OFFSET(M1423,-1,0))+1,0)</f>
        <v>0</v>
      </c>
      <c r="N1423" s="3" t="s">
        <v>499</v>
      </c>
    </row>
    <row r="1424" spans="1:14" x14ac:dyDescent="0.25">
      <c r="A1424" s="1" t="s">
        <v>10947</v>
      </c>
      <c r="B1424" s="3" t="s">
        <v>5048</v>
      </c>
      <c r="C1424" s="2">
        <f ca="1">IF(ISNUMBER(SEARCH(Лист2!$B$4,D:D)),MAX($C$3:OFFSET(C1424,-1,0))+1,0)</f>
        <v>0</v>
      </c>
      <c r="E1424" s="9" t="str">
        <f t="shared" ca="1" si="34"/>
        <v/>
      </c>
      <c r="F1424" s="4" t="s">
        <v>6</v>
      </c>
      <c r="G1424" s="2">
        <f>IF(ISNUMBER(SEARCH(Лист2!$B$4,F:F)),1,0)</f>
        <v>0</v>
      </c>
      <c r="H1424" s="3">
        <f ca="1">IF(AND(I1424&lt;&gt;I1423,ISNUMBER(SEARCH(Лист2!$B$5,I:I)),G1424=1),MAX($H$3:OFFSET(H1424,-1,0))+1,0)</f>
        <v>0</v>
      </c>
      <c r="I1424" s="3" t="s">
        <v>46</v>
      </c>
      <c r="K1424" s="2">
        <f>IF(ISNUMBER(SEARCH(Лист2!$B$4,F:F)),1,0)</f>
        <v>0</v>
      </c>
      <c r="L1424" s="14">
        <f>IF(ISNUMBER(SEARCH(Лист2!$B$5,I:I)),1,0)+K1424</f>
        <v>0</v>
      </c>
      <c r="M1424" s="3">
        <f ca="1">IF(AND(N1424&lt;&gt;N1423,ISNUMBER(SEARCH(Лист2!$B$6,N:N)),L1424=2),MAX($M$3:OFFSET(M1424,-1,0))+1,0)</f>
        <v>0</v>
      </c>
      <c r="N1424" s="3" t="s">
        <v>1396</v>
      </c>
    </row>
    <row r="1425" spans="1:14" x14ac:dyDescent="0.25">
      <c r="A1425" s="1" t="s">
        <v>10948</v>
      </c>
      <c r="B1425" s="3" t="s">
        <v>5049</v>
      </c>
      <c r="C1425" s="2">
        <f ca="1">IF(ISNUMBER(SEARCH(Лист2!$B$4,D:D)),MAX($C$3:OFFSET(C1425,-1,0))+1,0)</f>
        <v>0</v>
      </c>
      <c r="E1425" s="9" t="str">
        <f t="shared" ca="1" si="34"/>
        <v/>
      </c>
      <c r="F1425" s="4" t="s">
        <v>6</v>
      </c>
      <c r="G1425" s="2">
        <f>IF(ISNUMBER(SEARCH(Лист2!$B$4,F:F)),1,0)</f>
        <v>0</v>
      </c>
      <c r="H1425" s="3">
        <f ca="1">IF(AND(I1425&lt;&gt;I1424,ISNUMBER(SEARCH(Лист2!$B$5,I:I)),G1425=1),MAX($H$3:OFFSET(H1425,-1,0))+1,0)</f>
        <v>0</v>
      </c>
      <c r="I1425" s="3" t="s">
        <v>46</v>
      </c>
      <c r="K1425" s="2">
        <f>IF(ISNUMBER(SEARCH(Лист2!$B$4,F:F)),1,0)</f>
        <v>0</v>
      </c>
      <c r="L1425" s="14">
        <f>IF(ISNUMBER(SEARCH(Лист2!$B$5,I:I)),1,0)+K1425</f>
        <v>0</v>
      </c>
      <c r="M1425" s="3">
        <f ca="1">IF(AND(N1425&lt;&gt;N1424,ISNUMBER(SEARCH(Лист2!$B$6,N:N)),L1425=2),MAX($M$3:OFFSET(M1425,-1,0))+1,0)</f>
        <v>0</v>
      </c>
      <c r="N1425" s="3" t="s">
        <v>1397</v>
      </c>
    </row>
    <row r="1426" spans="1:14" x14ac:dyDescent="0.25">
      <c r="A1426" s="1" t="s">
        <v>10949</v>
      </c>
      <c r="B1426" s="3" t="s">
        <v>5050</v>
      </c>
      <c r="C1426" s="2">
        <f ca="1">IF(ISNUMBER(SEARCH(Лист2!$B$4,D:D)),MAX($C$3:OFFSET(C1426,-1,0))+1,0)</f>
        <v>0</v>
      </c>
      <c r="E1426" s="9" t="str">
        <f t="shared" ca="1" si="34"/>
        <v/>
      </c>
      <c r="F1426" s="4" t="s">
        <v>6</v>
      </c>
      <c r="G1426" s="2">
        <f>IF(ISNUMBER(SEARCH(Лист2!$B$4,F:F)),1,0)</f>
        <v>0</v>
      </c>
      <c r="H1426" s="3">
        <f ca="1">IF(AND(I1426&lt;&gt;I1425,ISNUMBER(SEARCH(Лист2!$B$5,I:I)),G1426=1),MAX($H$3:OFFSET(H1426,-1,0))+1,0)</f>
        <v>0</v>
      </c>
      <c r="I1426" s="3" t="s">
        <v>46</v>
      </c>
      <c r="K1426" s="2">
        <f>IF(ISNUMBER(SEARCH(Лист2!$B$4,F:F)),1,0)</f>
        <v>0</v>
      </c>
      <c r="L1426" s="14">
        <f>IF(ISNUMBER(SEARCH(Лист2!$B$5,I:I)),1,0)+K1426</f>
        <v>0</v>
      </c>
      <c r="M1426" s="3">
        <f ca="1">IF(AND(N1426&lt;&gt;N1425,ISNUMBER(SEARCH(Лист2!$B$6,N:N)),L1426=2),MAX($M$3:OFFSET(M1426,-1,0))+1,0)</f>
        <v>0</v>
      </c>
      <c r="N1426" s="3" t="s">
        <v>502</v>
      </c>
    </row>
    <row r="1427" spans="1:14" x14ac:dyDescent="0.25">
      <c r="A1427" s="1" t="s">
        <v>10950</v>
      </c>
      <c r="B1427" s="3" t="s">
        <v>5051</v>
      </c>
      <c r="C1427" s="2">
        <f ca="1">IF(ISNUMBER(SEARCH(Лист2!$B$4,D:D)),MAX($C$3:OFFSET(C1427,-1,0))+1,0)</f>
        <v>0</v>
      </c>
      <c r="E1427" s="9" t="str">
        <f t="shared" ca="1" si="34"/>
        <v/>
      </c>
      <c r="F1427" s="4" t="s">
        <v>6</v>
      </c>
      <c r="G1427" s="2">
        <f>IF(ISNUMBER(SEARCH(Лист2!$B$4,F:F)),1,0)</f>
        <v>0</v>
      </c>
      <c r="H1427" s="3">
        <f ca="1">IF(AND(I1427&lt;&gt;I1426,ISNUMBER(SEARCH(Лист2!$B$5,I:I)),G1427=1),MAX($H$3:OFFSET(H1427,-1,0))+1,0)</f>
        <v>0</v>
      </c>
      <c r="I1427" s="3" t="s">
        <v>46</v>
      </c>
      <c r="K1427" s="2">
        <f>IF(ISNUMBER(SEARCH(Лист2!$B$4,F:F)),1,0)</f>
        <v>0</v>
      </c>
      <c r="L1427" s="14">
        <f>IF(ISNUMBER(SEARCH(Лист2!$B$5,I:I)),1,0)+K1427</f>
        <v>0</v>
      </c>
      <c r="M1427" s="3">
        <f ca="1">IF(AND(N1427&lt;&gt;N1426,ISNUMBER(SEARCH(Лист2!$B$6,N:N)),L1427=2),MAX($M$3:OFFSET(M1427,-1,0))+1,0)</f>
        <v>0</v>
      </c>
      <c r="N1427" s="3" t="s">
        <v>1398</v>
      </c>
    </row>
    <row r="1428" spans="1:14" x14ac:dyDescent="0.25">
      <c r="A1428" s="1" t="s">
        <v>10951</v>
      </c>
      <c r="B1428" s="3" t="s">
        <v>5052</v>
      </c>
      <c r="C1428" s="2">
        <f ca="1">IF(ISNUMBER(SEARCH(Лист2!$B$4,D:D)),MAX($C$3:OFFSET(C1428,-1,0))+1,0)</f>
        <v>0</v>
      </c>
      <c r="E1428" s="9" t="str">
        <f t="shared" ca="1" si="34"/>
        <v/>
      </c>
      <c r="F1428" s="4" t="s">
        <v>6</v>
      </c>
      <c r="G1428" s="2">
        <f>IF(ISNUMBER(SEARCH(Лист2!$B$4,F:F)),1,0)</f>
        <v>0</v>
      </c>
      <c r="H1428" s="3">
        <f ca="1">IF(AND(I1428&lt;&gt;I1427,ISNUMBER(SEARCH(Лист2!$B$5,I:I)),G1428=1),MAX($H$3:OFFSET(H1428,-1,0))+1,0)</f>
        <v>0</v>
      </c>
      <c r="I1428" s="3" t="s">
        <v>46</v>
      </c>
      <c r="K1428" s="2">
        <f>IF(ISNUMBER(SEARCH(Лист2!$B$4,F:F)),1,0)</f>
        <v>0</v>
      </c>
      <c r="L1428" s="14">
        <f>IF(ISNUMBER(SEARCH(Лист2!$B$5,I:I)),1,0)+K1428</f>
        <v>0</v>
      </c>
      <c r="M1428" s="3">
        <f ca="1">IF(AND(N1428&lt;&gt;N1427,ISNUMBER(SEARCH(Лист2!$B$6,N:N)),L1428=2),MAX($M$3:OFFSET(M1428,-1,0))+1,0)</f>
        <v>0</v>
      </c>
      <c r="N1428" s="3" t="s">
        <v>1399</v>
      </c>
    </row>
    <row r="1429" spans="1:14" x14ac:dyDescent="0.25">
      <c r="A1429" s="1" t="s">
        <v>10952</v>
      </c>
      <c r="B1429" s="3" t="s">
        <v>5053</v>
      </c>
      <c r="C1429" s="2">
        <f ca="1">IF(ISNUMBER(SEARCH(Лист2!$B$4,D:D)),MAX($C$3:OFFSET(C1429,-1,0))+1,0)</f>
        <v>0</v>
      </c>
      <c r="E1429" s="9" t="str">
        <f t="shared" ca="1" si="34"/>
        <v/>
      </c>
      <c r="F1429" s="4" t="s">
        <v>6</v>
      </c>
      <c r="G1429" s="2">
        <f>IF(ISNUMBER(SEARCH(Лист2!$B$4,F:F)),1,0)</f>
        <v>0</v>
      </c>
      <c r="H1429" s="3">
        <f ca="1">IF(AND(I1429&lt;&gt;I1428,ISNUMBER(SEARCH(Лист2!$B$5,I:I)),G1429=1),MAX($H$3:OFFSET(H1429,-1,0))+1,0)</f>
        <v>0</v>
      </c>
      <c r="I1429" s="3" t="s">
        <v>46</v>
      </c>
      <c r="K1429" s="2">
        <f>IF(ISNUMBER(SEARCH(Лист2!$B$4,F:F)),1,0)</f>
        <v>0</v>
      </c>
      <c r="L1429" s="14">
        <f>IF(ISNUMBER(SEARCH(Лист2!$B$5,I:I)),1,0)+K1429</f>
        <v>0</v>
      </c>
      <c r="M1429" s="3">
        <f ca="1">IF(AND(N1429&lt;&gt;N1428,ISNUMBER(SEARCH(Лист2!$B$6,N:N)),L1429=2),MAX($M$3:OFFSET(M1429,-1,0))+1,0)</f>
        <v>0</v>
      </c>
      <c r="N1429" s="3" t="s">
        <v>1400</v>
      </c>
    </row>
    <row r="1430" spans="1:14" x14ac:dyDescent="0.25">
      <c r="A1430" s="1" t="s">
        <v>10953</v>
      </c>
      <c r="B1430" s="3" t="s">
        <v>5054</v>
      </c>
      <c r="C1430" s="2">
        <f ca="1">IF(ISNUMBER(SEARCH(Лист2!$B$4,D:D)),MAX($C$3:OFFSET(C1430,-1,0))+1,0)</f>
        <v>0</v>
      </c>
      <c r="E1430" s="9" t="str">
        <f t="shared" ca="1" si="34"/>
        <v/>
      </c>
      <c r="F1430" s="4" t="s">
        <v>6</v>
      </c>
      <c r="G1430" s="2">
        <f>IF(ISNUMBER(SEARCH(Лист2!$B$4,F:F)),1,0)</f>
        <v>0</v>
      </c>
      <c r="H1430" s="3">
        <f ca="1">IF(AND(I1430&lt;&gt;I1429,ISNUMBER(SEARCH(Лист2!$B$5,I:I)),G1430=1),MAX($H$3:OFFSET(H1430,-1,0))+1,0)</f>
        <v>0</v>
      </c>
      <c r="I1430" s="3" t="s">
        <v>46</v>
      </c>
      <c r="K1430" s="2">
        <f>IF(ISNUMBER(SEARCH(Лист2!$B$4,F:F)),1,0)</f>
        <v>0</v>
      </c>
      <c r="L1430" s="14">
        <f>IF(ISNUMBER(SEARCH(Лист2!$B$5,I:I)),1,0)+K1430</f>
        <v>0</v>
      </c>
      <c r="M1430" s="3">
        <f ca="1">IF(AND(N1430&lt;&gt;N1429,ISNUMBER(SEARCH(Лист2!$B$6,N:N)),L1430=2),MAX($M$3:OFFSET(M1430,-1,0))+1,0)</f>
        <v>0</v>
      </c>
      <c r="N1430" s="3" t="s">
        <v>510</v>
      </c>
    </row>
    <row r="1431" spans="1:14" x14ac:dyDescent="0.25">
      <c r="A1431" s="1" t="s">
        <v>10954</v>
      </c>
      <c r="B1431" s="3" t="s">
        <v>5055</v>
      </c>
      <c r="C1431" s="2">
        <f ca="1">IF(ISNUMBER(SEARCH(Лист2!$B$4,D:D)),MAX($C$3:OFFSET(C1431,-1,0))+1,0)</f>
        <v>0</v>
      </c>
      <c r="E1431" s="9" t="str">
        <f t="shared" ca="1" si="34"/>
        <v/>
      </c>
      <c r="F1431" s="4" t="s">
        <v>6</v>
      </c>
      <c r="G1431" s="2">
        <f>IF(ISNUMBER(SEARCH(Лист2!$B$4,F:F)),1,0)</f>
        <v>0</v>
      </c>
      <c r="H1431" s="3">
        <f ca="1">IF(AND(I1431&lt;&gt;I1430,ISNUMBER(SEARCH(Лист2!$B$5,I:I)),G1431=1),MAX($H$3:OFFSET(H1431,-1,0))+1,0)</f>
        <v>0</v>
      </c>
      <c r="I1431" s="3" t="s">
        <v>188</v>
      </c>
      <c r="K1431" s="2">
        <f>IF(ISNUMBER(SEARCH(Лист2!$B$4,F:F)),1,0)</f>
        <v>0</v>
      </c>
      <c r="L1431" s="14">
        <f>IF(ISNUMBER(SEARCH(Лист2!$B$5,I:I)),1,0)+K1431</f>
        <v>0</v>
      </c>
      <c r="M1431" s="3">
        <f ca="1">IF(AND(N1431&lt;&gt;N1430,ISNUMBER(SEARCH(Лист2!$B$6,N:N)),L1431=2),MAX($M$3:OFFSET(M1431,-1,0))+1,0)</f>
        <v>0</v>
      </c>
      <c r="N1431" s="3" t="s">
        <v>499</v>
      </c>
    </row>
    <row r="1432" spans="1:14" x14ac:dyDescent="0.25">
      <c r="A1432" s="1" t="s">
        <v>10955</v>
      </c>
      <c r="B1432" s="3" t="s">
        <v>5056</v>
      </c>
      <c r="C1432" s="2">
        <f ca="1">IF(ISNUMBER(SEARCH(Лист2!$B$4,D:D)),MAX($C$3:OFFSET(C1432,-1,0))+1,0)</f>
        <v>0</v>
      </c>
      <c r="E1432" s="9" t="str">
        <f t="shared" ca="1" si="34"/>
        <v/>
      </c>
      <c r="F1432" s="4" t="s">
        <v>6</v>
      </c>
      <c r="G1432" s="2">
        <f>IF(ISNUMBER(SEARCH(Лист2!$B$4,F:F)),1,0)</f>
        <v>0</v>
      </c>
      <c r="H1432" s="3">
        <f ca="1">IF(AND(I1432&lt;&gt;I1431,ISNUMBER(SEARCH(Лист2!$B$5,I:I)),G1432=1),MAX($H$3:OFFSET(H1432,-1,0))+1,0)</f>
        <v>0</v>
      </c>
      <c r="I1432" s="3" t="s">
        <v>188</v>
      </c>
      <c r="K1432" s="2">
        <f>IF(ISNUMBER(SEARCH(Лист2!$B$4,F:F)),1,0)</f>
        <v>0</v>
      </c>
      <c r="L1432" s="14">
        <f>IF(ISNUMBER(SEARCH(Лист2!$B$5,I:I)),1,0)+K1432</f>
        <v>0</v>
      </c>
      <c r="M1432" s="3">
        <f ca="1">IF(AND(N1432&lt;&gt;N1431,ISNUMBER(SEARCH(Лист2!$B$6,N:N)),L1432=2),MAX($M$3:OFFSET(M1432,-1,0))+1,0)</f>
        <v>0</v>
      </c>
      <c r="N1432" s="3" t="s">
        <v>1396</v>
      </c>
    </row>
    <row r="1433" spans="1:14" x14ac:dyDescent="0.25">
      <c r="A1433" s="1" t="s">
        <v>10956</v>
      </c>
      <c r="B1433" s="3" t="s">
        <v>5057</v>
      </c>
      <c r="C1433" s="2">
        <f ca="1">IF(ISNUMBER(SEARCH(Лист2!$B$4,D:D)),MAX($C$3:OFFSET(C1433,-1,0))+1,0)</f>
        <v>0</v>
      </c>
      <c r="E1433" s="9" t="str">
        <f t="shared" ca="1" si="34"/>
        <v/>
      </c>
      <c r="F1433" s="4" t="s">
        <v>6</v>
      </c>
      <c r="G1433" s="2">
        <f>IF(ISNUMBER(SEARCH(Лист2!$B$4,F:F)),1,0)</f>
        <v>0</v>
      </c>
      <c r="H1433" s="3">
        <f ca="1">IF(AND(I1433&lt;&gt;I1432,ISNUMBER(SEARCH(Лист2!$B$5,I:I)),G1433=1),MAX($H$3:OFFSET(H1433,-1,0))+1,0)</f>
        <v>0</v>
      </c>
      <c r="I1433" s="3" t="s">
        <v>188</v>
      </c>
      <c r="K1433" s="2">
        <f>IF(ISNUMBER(SEARCH(Лист2!$B$4,F:F)),1,0)</f>
        <v>0</v>
      </c>
      <c r="L1433" s="14">
        <f>IF(ISNUMBER(SEARCH(Лист2!$B$5,I:I)),1,0)+K1433</f>
        <v>0</v>
      </c>
      <c r="M1433" s="3">
        <f ca="1">IF(AND(N1433&lt;&gt;N1432,ISNUMBER(SEARCH(Лист2!$B$6,N:N)),L1433=2),MAX($M$3:OFFSET(M1433,-1,0))+1,0)</f>
        <v>0</v>
      </c>
      <c r="N1433" s="3" t="s">
        <v>1401</v>
      </c>
    </row>
    <row r="1434" spans="1:14" x14ac:dyDescent="0.25">
      <c r="A1434" s="1" t="s">
        <v>10957</v>
      </c>
      <c r="B1434" s="3" t="s">
        <v>5058</v>
      </c>
      <c r="C1434" s="2">
        <f ca="1">IF(ISNUMBER(SEARCH(Лист2!$B$4,D:D)),MAX($C$3:OFFSET(C1434,-1,0))+1,0)</f>
        <v>0</v>
      </c>
      <c r="E1434" s="9" t="str">
        <f t="shared" ca="1" si="34"/>
        <v/>
      </c>
      <c r="F1434" s="4" t="s">
        <v>6</v>
      </c>
      <c r="G1434" s="2">
        <f>IF(ISNUMBER(SEARCH(Лист2!$B$4,F:F)),1,0)</f>
        <v>0</v>
      </c>
      <c r="H1434" s="3">
        <f ca="1">IF(AND(I1434&lt;&gt;I1433,ISNUMBER(SEARCH(Лист2!$B$5,I:I)),G1434=1),MAX($H$3:OFFSET(H1434,-1,0))+1,0)</f>
        <v>0</v>
      </c>
      <c r="I1434" s="3" t="s">
        <v>188</v>
      </c>
      <c r="K1434" s="2">
        <f>IF(ISNUMBER(SEARCH(Лист2!$B$4,F:F)),1,0)</f>
        <v>0</v>
      </c>
      <c r="L1434" s="14">
        <f>IF(ISNUMBER(SEARCH(Лист2!$B$5,I:I)),1,0)+K1434</f>
        <v>0</v>
      </c>
      <c r="M1434" s="3">
        <f ca="1">IF(AND(N1434&lt;&gt;N1433,ISNUMBER(SEARCH(Лист2!$B$6,N:N)),L1434=2),MAX($M$3:OFFSET(M1434,-1,0))+1,0)</f>
        <v>0</v>
      </c>
      <c r="N1434" s="3" t="s">
        <v>1402</v>
      </c>
    </row>
    <row r="1435" spans="1:14" x14ac:dyDescent="0.25">
      <c r="A1435" s="1" t="s">
        <v>10958</v>
      </c>
      <c r="B1435" s="3" t="s">
        <v>5059</v>
      </c>
      <c r="C1435" s="2">
        <f ca="1">IF(ISNUMBER(SEARCH(Лист2!$B$4,D:D)),MAX($C$3:OFFSET(C1435,-1,0))+1,0)</f>
        <v>0</v>
      </c>
      <c r="E1435" s="9" t="str">
        <f t="shared" ca="1" si="34"/>
        <v/>
      </c>
      <c r="F1435" s="4" t="s">
        <v>6</v>
      </c>
      <c r="G1435" s="2">
        <f>IF(ISNUMBER(SEARCH(Лист2!$B$4,F:F)),1,0)</f>
        <v>0</v>
      </c>
      <c r="H1435" s="3">
        <f ca="1">IF(AND(I1435&lt;&gt;I1434,ISNUMBER(SEARCH(Лист2!$B$5,I:I)),G1435=1),MAX($H$3:OFFSET(H1435,-1,0))+1,0)</f>
        <v>0</v>
      </c>
      <c r="I1435" s="3" t="s">
        <v>188</v>
      </c>
      <c r="K1435" s="2">
        <f>IF(ISNUMBER(SEARCH(Лист2!$B$4,F:F)),1,0)</f>
        <v>0</v>
      </c>
      <c r="L1435" s="14">
        <f>IF(ISNUMBER(SEARCH(Лист2!$B$5,I:I)),1,0)+K1435</f>
        <v>0</v>
      </c>
      <c r="M1435" s="3">
        <f ca="1">IF(AND(N1435&lt;&gt;N1434,ISNUMBER(SEARCH(Лист2!$B$6,N:N)),L1435=2),MAX($M$3:OFFSET(M1435,-1,0))+1,0)</f>
        <v>0</v>
      </c>
      <c r="N1435" s="3" t="s">
        <v>1403</v>
      </c>
    </row>
    <row r="1436" spans="1:14" x14ac:dyDescent="0.25">
      <c r="A1436" s="1" t="s">
        <v>10959</v>
      </c>
      <c r="B1436" s="3" t="s">
        <v>5060</v>
      </c>
      <c r="C1436" s="2">
        <f ca="1">IF(ISNUMBER(SEARCH(Лист2!$B$4,D:D)),MAX($C$3:OFFSET(C1436,-1,0))+1,0)</f>
        <v>0</v>
      </c>
      <c r="E1436" s="9" t="str">
        <f t="shared" ca="1" si="34"/>
        <v/>
      </c>
      <c r="F1436" s="4" t="s">
        <v>7</v>
      </c>
      <c r="G1436" s="2">
        <f>IF(ISNUMBER(SEARCH(Лист2!$B$4,F:F)),1,0)</f>
        <v>0</v>
      </c>
      <c r="H1436" s="3">
        <f ca="1">IF(AND(I1436&lt;&gt;I1435,ISNUMBER(SEARCH(Лист2!$B$5,I:I)),G1436=1),MAX($H$3:OFFSET(H1436,-1,0))+1,0)</f>
        <v>0</v>
      </c>
      <c r="I1436" s="3" t="s">
        <v>189</v>
      </c>
      <c r="K1436" s="2">
        <f>IF(ISNUMBER(SEARCH(Лист2!$B$4,F:F)),1,0)</f>
        <v>0</v>
      </c>
      <c r="L1436" s="14">
        <f>IF(ISNUMBER(SEARCH(Лист2!$B$5,I:I)),1,0)+K1436</f>
        <v>0</v>
      </c>
      <c r="M1436" s="3">
        <f ca="1">IF(AND(N1436&lt;&gt;N1435,ISNUMBER(SEARCH(Лист2!$B$6,N:N)),L1436=2),MAX($M$3:OFFSET(M1436,-1,0))+1,0)</f>
        <v>0</v>
      </c>
      <c r="N1436" s="3" t="s">
        <v>1404</v>
      </c>
    </row>
    <row r="1437" spans="1:14" x14ac:dyDescent="0.25">
      <c r="A1437" s="1" t="s">
        <v>10960</v>
      </c>
      <c r="B1437" s="3" t="s">
        <v>5061</v>
      </c>
      <c r="C1437" s="2">
        <f ca="1">IF(ISNUMBER(SEARCH(Лист2!$B$4,D:D)),MAX($C$3:OFFSET(C1437,-1,0))+1,0)</f>
        <v>0</v>
      </c>
      <c r="E1437" s="9" t="str">
        <f t="shared" ca="1" si="34"/>
        <v/>
      </c>
      <c r="F1437" s="4" t="s">
        <v>7</v>
      </c>
      <c r="G1437" s="2">
        <f>IF(ISNUMBER(SEARCH(Лист2!$B$4,F:F)),1,0)</f>
        <v>0</v>
      </c>
      <c r="H1437" s="3">
        <f ca="1">IF(AND(I1437&lt;&gt;I1436,ISNUMBER(SEARCH(Лист2!$B$5,I:I)),G1437=1),MAX($H$3:OFFSET(H1437,-1,0))+1,0)</f>
        <v>0</v>
      </c>
      <c r="I1437" s="3" t="s">
        <v>189</v>
      </c>
      <c r="K1437" s="2">
        <f>IF(ISNUMBER(SEARCH(Лист2!$B$4,F:F)),1,0)</f>
        <v>0</v>
      </c>
      <c r="L1437" s="14">
        <f>IF(ISNUMBER(SEARCH(Лист2!$B$5,I:I)),1,0)+K1437</f>
        <v>0</v>
      </c>
      <c r="M1437" s="3">
        <f ca="1">IF(AND(N1437&lt;&gt;N1436,ISNUMBER(SEARCH(Лист2!$B$6,N:N)),L1437=2),MAX($M$3:OFFSET(M1437,-1,0))+1,0)</f>
        <v>0</v>
      </c>
      <c r="N1437" s="3" t="s">
        <v>1405</v>
      </c>
    </row>
    <row r="1438" spans="1:14" x14ac:dyDescent="0.25">
      <c r="A1438" s="1" t="s">
        <v>10961</v>
      </c>
      <c r="B1438" s="3" t="s">
        <v>5062</v>
      </c>
      <c r="C1438" s="2">
        <f ca="1">IF(ISNUMBER(SEARCH(Лист2!$B$4,D:D)),MAX($C$3:OFFSET(C1438,-1,0))+1,0)</f>
        <v>0</v>
      </c>
      <c r="E1438" s="9" t="str">
        <f t="shared" ca="1" si="34"/>
        <v/>
      </c>
      <c r="F1438" s="4" t="s">
        <v>7</v>
      </c>
      <c r="G1438" s="2">
        <f>IF(ISNUMBER(SEARCH(Лист2!$B$4,F:F)),1,0)</f>
        <v>0</v>
      </c>
      <c r="H1438" s="3">
        <f ca="1">IF(AND(I1438&lt;&gt;I1437,ISNUMBER(SEARCH(Лист2!$B$5,I:I)),G1438=1),MAX($H$3:OFFSET(H1438,-1,0))+1,0)</f>
        <v>0</v>
      </c>
      <c r="I1438" s="3" t="s">
        <v>189</v>
      </c>
      <c r="K1438" s="2">
        <f>IF(ISNUMBER(SEARCH(Лист2!$B$4,F:F)),1,0)</f>
        <v>0</v>
      </c>
      <c r="L1438" s="14">
        <f>IF(ISNUMBER(SEARCH(Лист2!$B$5,I:I)),1,0)+K1438</f>
        <v>0</v>
      </c>
      <c r="M1438" s="3">
        <f ca="1">IF(AND(N1438&lt;&gt;N1437,ISNUMBER(SEARCH(Лист2!$B$6,N:N)),L1438=2),MAX($M$3:OFFSET(M1438,-1,0))+1,0)</f>
        <v>0</v>
      </c>
      <c r="N1438" s="3" t="s">
        <v>1406</v>
      </c>
    </row>
    <row r="1439" spans="1:14" x14ac:dyDescent="0.25">
      <c r="A1439" s="1" t="s">
        <v>10962</v>
      </c>
      <c r="B1439" s="3" t="s">
        <v>5063</v>
      </c>
      <c r="C1439" s="2">
        <f ca="1">IF(ISNUMBER(SEARCH(Лист2!$B$4,D:D)),MAX($C$3:OFFSET(C1439,-1,0))+1,0)</f>
        <v>0</v>
      </c>
      <c r="E1439" s="9" t="str">
        <f t="shared" ca="1" si="34"/>
        <v/>
      </c>
      <c r="F1439" s="4" t="s">
        <v>7</v>
      </c>
      <c r="G1439" s="2">
        <f>IF(ISNUMBER(SEARCH(Лист2!$B$4,F:F)),1,0)</f>
        <v>0</v>
      </c>
      <c r="H1439" s="3">
        <f ca="1">IF(AND(I1439&lt;&gt;I1438,ISNUMBER(SEARCH(Лист2!$B$5,I:I)),G1439=1),MAX($H$3:OFFSET(H1439,-1,0))+1,0)</f>
        <v>0</v>
      </c>
      <c r="I1439" s="3" t="s">
        <v>189</v>
      </c>
      <c r="K1439" s="2">
        <f>IF(ISNUMBER(SEARCH(Лист2!$B$4,F:F)),1,0)</f>
        <v>0</v>
      </c>
      <c r="L1439" s="14">
        <f>IF(ISNUMBER(SEARCH(Лист2!$B$5,I:I)),1,0)+K1439</f>
        <v>0</v>
      </c>
      <c r="M1439" s="3">
        <f ca="1">IF(AND(N1439&lt;&gt;N1438,ISNUMBER(SEARCH(Лист2!$B$6,N:N)),L1439=2),MAX($M$3:OFFSET(M1439,-1,0))+1,0)</f>
        <v>0</v>
      </c>
      <c r="N1439" s="3" t="s">
        <v>1407</v>
      </c>
    </row>
    <row r="1440" spans="1:14" x14ac:dyDescent="0.25">
      <c r="A1440" s="1" t="s">
        <v>10963</v>
      </c>
      <c r="B1440" s="3" t="s">
        <v>5064</v>
      </c>
      <c r="C1440" s="2">
        <f ca="1">IF(ISNUMBER(SEARCH(Лист2!$B$4,D:D)),MAX($C$3:OFFSET(C1440,-1,0))+1,0)</f>
        <v>0</v>
      </c>
      <c r="E1440" s="9" t="str">
        <f t="shared" ca="1" si="34"/>
        <v/>
      </c>
      <c r="F1440" s="4" t="s">
        <v>7</v>
      </c>
      <c r="G1440" s="2">
        <f>IF(ISNUMBER(SEARCH(Лист2!$B$4,F:F)),1,0)</f>
        <v>0</v>
      </c>
      <c r="H1440" s="3">
        <f ca="1">IF(AND(I1440&lt;&gt;I1439,ISNUMBER(SEARCH(Лист2!$B$5,I:I)),G1440=1),MAX($H$3:OFFSET(H1440,-1,0))+1,0)</f>
        <v>0</v>
      </c>
      <c r="I1440" s="3" t="s">
        <v>189</v>
      </c>
      <c r="K1440" s="2">
        <f>IF(ISNUMBER(SEARCH(Лист2!$B$4,F:F)),1,0)</f>
        <v>0</v>
      </c>
      <c r="L1440" s="14">
        <f>IF(ISNUMBER(SEARCH(Лист2!$B$5,I:I)),1,0)+K1440</f>
        <v>0</v>
      </c>
      <c r="M1440" s="3">
        <f ca="1">IF(AND(N1440&lt;&gt;N1439,ISNUMBER(SEARCH(Лист2!$B$6,N:N)),L1440=2),MAX($M$3:OFFSET(M1440,-1,0))+1,0)</f>
        <v>0</v>
      </c>
      <c r="N1440" s="3" t="s">
        <v>1408</v>
      </c>
    </row>
    <row r="1441" spans="1:14" x14ac:dyDescent="0.25">
      <c r="A1441" s="1" t="s">
        <v>10964</v>
      </c>
      <c r="B1441" s="3" t="s">
        <v>5065</v>
      </c>
      <c r="C1441" s="2">
        <f ca="1">IF(ISNUMBER(SEARCH(Лист2!$B$4,D:D)),MAX($C$3:OFFSET(C1441,-1,0))+1,0)</f>
        <v>0</v>
      </c>
      <c r="E1441" s="9" t="str">
        <f t="shared" ca="1" si="34"/>
        <v/>
      </c>
      <c r="F1441" s="4" t="s">
        <v>7</v>
      </c>
      <c r="G1441" s="2">
        <f>IF(ISNUMBER(SEARCH(Лист2!$B$4,F:F)),1,0)</f>
        <v>0</v>
      </c>
      <c r="H1441" s="3">
        <f ca="1">IF(AND(I1441&lt;&gt;I1440,ISNUMBER(SEARCH(Лист2!$B$5,I:I)),G1441=1),MAX($H$3:OFFSET(H1441,-1,0))+1,0)</f>
        <v>0</v>
      </c>
      <c r="I1441" s="3" t="s">
        <v>189</v>
      </c>
      <c r="K1441" s="2">
        <f>IF(ISNUMBER(SEARCH(Лист2!$B$4,F:F)),1,0)</f>
        <v>0</v>
      </c>
      <c r="L1441" s="14">
        <f>IF(ISNUMBER(SEARCH(Лист2!$B$5,I:I)),1,0)+K1441</f>
        <v>0</v>
      </c>
      <c r="M1441" s="3">
        <f ca="1">IF(AND(N1441&lt;&gt;N1440,ISNUMBER(SEARCH(Лист2!$B$6,N:N)),L1441=2),MAX($M$3:OFFSET(M1441,-1,0))+1,0)</f>
        <v>0</v>
      </c>
      <c r="N1441" s="3" t="s">
        <v>1409</v>
      </c>
    </row>
    <row r="1442" spans="1:14" x14ac:dyDescent="0.25">
      <c r="A1442" s="1" t="s">
        <v>10965</v>
      </c>
      <c r="B1442" s="3" t="s">
        <v>5066</v>
      </c>
      <c r="C1442" s="2">
        <f ca="1">IF(ISNUMBER(SEARCH(Лист2!$B$4,D:D)),MAX($C$3:OFFSET(C1442,-1,0))+1,0)</f>
        <v>0</v>
      </c>
      <c r="E1442" s="9" t="str">
        <f t="shared" ca="1" si="34"/>
        <v/>
      </c>
      <c r="F1442" s="4" t="s">
        <v>7</v>
      </c>
      <c r="G1442" s="2">
        <f>IF(ISNUMBER(SEARCH(Лист2!$B$4,F:F)),1,0)</f>
        <v>0</v>
      </c>
      <c r="H1442" s="3">
        <f ca="1">IF(AND(I1442&lt;&gt;I1441,ISNUMBER(SEARCH(Лист2!$B$5,I:I)),G1442=1),MAX($H$3:OFFSET(H1442,-1,0))+1,0)</f>
        <v>0</v>
      </c>
      <c r="I1442" s="3" t="s">
        <v>189</v>
      </c>
      <c r="K1442" s="2">
        <f>IF(ISNUMBER(SEARCH(Лист2!$B$4,F:F)),1,0)</f>
        <v>0</v>
      </c>
      <c r="L1442" s="14">
        <f>IF(ISNUMBER(SEARCH(Лист2!$B$5,I:I)),1,0)+K1442</f>
        <v>0</v>
      </c>
      <c r="M1442" s="3">
        <f ca="1">IF(AND(N1442&lt;&gt;N1441,ISNUMBER(SEARCH(Лист2!$B$6,N:N)),L1442=2),MAX($M$3:OFFSET(M1442,-1,0))+1,0)</f>
        <v>0</v>
      </c>
      <c r="N1442" s="3" t="s">
        <v>1410</v>
      </c>
    </row>
    <row r="1443" spans="1:14" x14ac:dyDescent="0.25">
      <c r="A1443" s="1" t="s">
        <v>10963</v>
      </c>
      <c r="B1443" s="3" t="s">
        <v>5067</v>
      </c>
      <c r="C1443" s="2">
        <f ca="1">IF(ISNUMBER(SEARCH(Лист2!$B$4,D:D)),MAX($C$3:OFFSET(C1443,-1,0))+1,0)</f>
        <v>0</v>
      </c>
      <c r="E1443" s="9" t="str">
        <f t="shared" ca="1" si="34"/>
        <v/>
      </c>
      <c r="F1443" s="4" t="s">
        <v>7</v>
      </c>
      <c r="G1443" s="2">
        <f>IF(ISNUMBER(SEARCH(Лист2!$B$4,F:F)),1,0)</f>
        <v>0</v>
      </c>
      <c r="H1443" s="3">
        <f ca="1">IF(AND(I1443&lt;&gt;I1442,ISNUMBER(SEARCH(Лист2!$B$5,I:I)),G1443=1),MAX($H$3:OFFSET(H1443,-1,0))+1,0)</f>
        <v>0</v>
      </c>
      <c r="I1443" s="3" t="s">
        <v>189</v>
      </c>
      <c r="K1443" s="2">
        <f>IF(ISNUMBER(SEARCH(Лист2!$B$4,F:F)),1,0)</f>
        <v>0</v>
      </c>
      <c r="L1443" s="14">
        <f>IF(ISNUMBER(SEARCH(Лист2!$B$5,I:I)),1,0)+K1443</f>
        <v>0</v>
      </c>
      <c r="M1443" s="3">
        <f ca="1">IF(AND(N1443&lt;&gt;N1442,ISNUMBER(SEARCH(Лист2!$B$6,N:N)),L1443=2),MAX($M$3:OFFSET(M1443,-1,0))+1,0)</f>
        <v>0</v>
      </c>
      <c r="N1443" s="3" t="s">
        <v>1408</v>
      </c>
    </row>
    <row r="1444" spans="1:14" x14ac:dyDescent="0.25">
      <c r="A1444" s="1" t="s">
        <v>10966</v>
      </c>
      <c r="B1444" s="3" t="s">
        <v>5068</v>
      </c>
      <c r="C1444" s="2">
        <f ca="1">IF(ISNUMBER(SEARCH(Лист2!$B$4,D:D)),MAX($C$3:OFFSET(C1444,-1,0))+1,0)</f>
        <v>0</v>
      </c>
      <c r="E1444" s="9" t="str">
        <f t="shared" ca="1" si="34"/>
        <v/>
      </c>
      <c r="F1444" s="4" t="s">
        <v>7</v>
      </c>
      <c r="G1444" s="2">
        <f>IF(ISNUMBER(SEARCH(Лист2!$B$4,F:F)),1,0)</f>
        <v>0</v>
      </c>
      <c r="H1444" s="3">
        <f ca="1">IF(AND(I1444&lt;&gt;I1443,ISNUMBER(SEARCH(Лист2!$B$5,I:I)),G1444=1),MAX($H$3:OFFSET(H1444,-1,0))+1,0)</f>
        <v>0</v>
      </c>
      <c r="I1444" s="3" t="s">
        <v>189</v>
      </c>
      <c r="K1444" s="2">
        <f>IF(ISNUMBER(SEARCH(Лист2!$B$4,F:F)),1,0)</f>
        <v>0</v>
      </c>
      <c r="L1444" s="14">
        <f>IF(ISNUMBER(SEARCH(Лист2!$B$5,I:I)),1,0)+K1444</f>
        <v>0</v>
      </c>
      <c r="M1444" s="3">
        <f ca="1">IF(AND(N1444&lt;&gt;N1443,ISNUMBER(SEARCH(Лист2!$B$6,N:N)),L1444=2),MAX($M$3:OFFSET(M1444,-1,0))+1,0)</f>
        <v>0</v>
      </c>
      <c r="N1444" s="3" t="s">
        <v>1411</v>
      </c>
    </row>
    <row r="1445" spans="1:14" x14ac:dyDescent="0.25">
      <c r="A1445" s="1" t="s">
        <v>10967</v>
      </c>
      <c r="B1445" s="3" t="s">
        <v>5069</v>
      </c>
      <c r="C1445" s="2">
        <f ca="1">IF(ISNUMBER(SEARCH(Лист2!$B$4,D:D)),MAX($C$3:OFFSET(C1445,-1,0))+1,0)</f>
        <v>0</v>
      </c>
      <c r="E1445" s="9" t="str">
        <f t="shared" ca="1" si="34"/>
        <v/>
      </c>
      <c r="F1445" s="4" t="s">
        <v>7</v>
      </c>
      <c r="G1445" s="2">
        <f>IF(ISNUMBER(SEARCH(Лист2!$B$4,F:F)),1,0)</f>
        <v>0</v>
      </c>
      <c r="H1445" s="3">
        <f ca="1">IF(AND(I1445&lt;&gt;I1444,ISNUMBER(SEARCH(Лист2!$B$5,I:I)),G1445=1),MAX($H$3:OFFSET(H1445,-1,0))+1,0)</f>
        <v>0</v>
      </c>
      <c r="I1445" s="3" t="s">
        <v>189</v>
      </c>
      <c r="K1445" s="2">
        <f>IF(ISNUMBER(SEARCH(Лист2!$B$4,F:F)),1,0)</f>
        <v>0</v>
      </c>
      <c r="L1445" s="14">
        <f>IF(ISNUMBER(SEARCH(Лист2!$B$5,I:I)),1,0)+K1445</f>
        <v>0</v>
      </c>
      <c r="M1445" s="3">
        <f ca="1">IF(AND(N1445&lt;&gt;N1444,ISNUMBER(SEARCH(Лист2!$B$6,N:N)),L1445=2),MAX($M$3:OFFSET(M1445,-1,0))+1,0)</f>
        <v>0</v>
      </c>
      <c r="N1445" s="3" t="s">
        <v>1412</v>
      </c>
    </row>
    <row r="1446" spans="1:14" x14ac:dyDescent="0.25">
      <c r="A1446" s="1" t="s">
        <v>10968</v>
      </c>
      <c r="B1446" s="3" t="s">
        <v>5070</v>
      </c>
      <c r="C1446" s="2">
        <f ca="1">IF(ISNUMBER(SEARCH(Лист2!$B$4,D:D)),MAX($C$3:OFFSET(C1446,-1,0))+1,0)</f>
        <v>0</v>
      </c>
      <c r="E1446" s="9" t="str">
        <f t="shared" ca="1" si="34"/>
        <v/>
      </c>
      <c r="F1446" s="4" t="s">
        <v>7</v>
      </c>
      <c r="G1446" s="2">
        <f>IF(ISNUMBER(SEARCH(Лист2!$B$4,F:F)),1,0)</f>
        <v>0</v>
      </c>
      <c r="H1446" s="3">
        <f ca="1">IF(AND(I1446&lt;&gt;I1445,ISNUMBER(SEARCH(Лист2!$B$5,I:I)),G1446=1),MAX($H$3:OFFSET(H1446,-1,0))+1,0)</f>
        <v>0</v>
      </c>
      <c r="I1446" s="3" t="s">
        <v>189</v>
      </c>
      <c r="K1446" s="2">
        <f>IF(ISNUMBER(SEARCH(Лист2!$B$4,F:F)),1,0)</f>
        <v>0</v>
      </c>
      <c r="L1446" s="14">
        <f>IF(ISNUMBER(SEARCH(Лист2!$B$5,I:I)),1,0)+K1446</f>
        <v>0</v>
      </c>
      <c r="M1446" s="3">
        <f ca="1">IF(AND(N1446&lt;&gt;N1445,ISNUMBER(SEARCH(Лист2!$B$6,N:N)),L1446=2),MAX($M$3:OFFSET(M1446,-1,0))+1,0)</f>
        <v>0</v>
      </c>
      <c r="N1446" s="3" t="s">
        <v>1413</v>
      </c>
    </row>
    <row r="1447" spans="1:14" x14ac:dyDescent="0.25">
      <c r="A1447" s="1" t="s">
        <v>10969</v>
      </c>
      <c r="B1447" s="3" t="s">
        <v>5071</v>
      </c>
      <c r="C1447" s="2">
        <f ca="1">IF(ISNUMBER(SEARCH(Лист2!$B$4,D:D)),MAX($C$3:OFFSET(C1447,-1,0))+1,0)</f>
        <v>0</v>
      </c>
      <c r="E1447" s="9" t="str">
        <f t="shared" ca="1" si="34"/>
        <v/>
      </c>
      <c r="F1447" s="4" t="s">
        <v>7</v>
      </c>
      <c r="G1447" s="2">
        <f>IF(ISNUMBER(SEARCH(Лист2!$B$4,F:F)),1,0)</f>
        <v>0</v>
      </c>
      <c r="H1447" s="3">
        <f ca="1">IF(AND(I1447&lt;&gt;I1446,ISNUMBER(SEARCH(Лист2!$B$5,I:I)),G1447=1),MAX($H$3:OFFSET(H1447,-1,0))+1,0)</f>
        <v>0</v>
      </c>
      <c r="I1447" s="3" t="s">
        <v>189</v>
      </c>
      <c r="K1447" s="2">
        <f>IF(ISNUMBER(SEARCH(Лист2!$B$4,F:F)),1,0)</f>
        <v>0</v>
      </c>
      <c r="L1447" s="14">
        <f>IF(ISNUMBER(SEARCH(Лист2!$B$5,I:I)),1,0)+K1447</f>
        <v>0</v>
      </c>
      <c r="M1447" s="3">
        <f ca="1">IF(AND(N1447&lt;&gt;N1446,ISNUMBER(SEARCH(Лист2!$B$6,N:N)),L1447=2),MAX($M$3:OFFSET(M1447,-1,0))+1,0)</f>
        <v>0</v>
      </c>
      <c r="N1447" s="3" t="s">
        <v>602</v>
      </c>
    </row>
    <row r="1448" spans="1:14" x14ac:dyDescent="0.25">
      <c r="A1448" s="1" t="s">
        <v>10970</v>
      </c>
      <c r="B1448" s="3" t="s">
        <v>5072</v>
      </c>
      <c r="C1448" s="2">
        <f ca="1">IF(ISNUMBER(SEARCH(Лист2!$B$4,D:D)),MAX($C$3:OFFSET(C1448,-1,0))+1,0)</f>
        <v>0</v>
      </c>
      <c r="E1448" s="9" t="str">
        <f t="shared" ca="1" si="34"/>
        <v/>
      </c>
      <c r="F1448" s="4" t="s">
        <v>7</v>
      </c>
      <c r="G1448" s="2">
        <f>IF(ISNUMBER(SEARCH(Лист2!$B$4,F:F)),1,0)</f>
        <v>0</v>
      </c>
      <c r="H1448" s="3">
        <f ca="1">IF(AND(I1448&lt;&gt;I1447,ISNUMBER(SEARCH(Лист2!$B$5,I:I)),G1448=1),MAX($H$3:OFFSET(H1448,-1,0))+1,0)</f>
        <v>0</v>
      </c>
      <c r="I1448" s="3" t="s">
        <v>189</v>
      </c>
      <c r="K1448" s="2">
        <f>IF(ISNUMBER(SEARCH(Лист2!$B$4,F:F)),1,0)</f>
        <v>0</v>
      </c>
      <c r="L1448" s="14">
        <f>IF(ISNUMBER(SEARCH(Лист2!$B$5,I:I)),1,0)+K1448</f>
        <v>0</v>
      </c>
      <c r="M1448" s="3">
        <f ca="1">IF(AND(N1448&lt;&gt;N1447,ISNUMBER(SEARCH(Лист2!$B$6,N:N)),L1448=2),MAX($M$3:OFFSET(M1448,-1,0))+1,0)</f>
        <v>0</v>
      </c>
      <c r="N1448" s="3" t="s">
        <v>1414</v>
      </c>
    </row>
    <row r="1449" spans="1:14" x14ac:dyDescent="0.25">
      <c r="A1449" s="1" t="s">
        <v>10971</v>
      </c>
      <c r="B1449" s="3" t="s">
        <v>5073</v>
      </c>
      <c r="C1449" s="2">
        <f ca="1">IF(ISNUMBER(SEARCH(Лист2!$B$4,D:D)),MAX($C$3:OFFSET(C1449,-1,0))+1,0)</f>
        <v>0</v>
      </c>
      <c r="E1449" s="9" t="str">
        <f t="shared" ca="1" si="34"/>
        <v/>
      </c>
      <c r="F1449" s="4" t="s">
        <v>7</v>
      </c>
      <c r="G1449" s="2">
        <f>IF(ISNUMBER(SEARCH(Лист2!$B$4,F:F)),1,0)</f>
        <v>0</v>
      </c>
      <c r="H1449" s="3">
        <f ca="1">IF(AND(I1449&lt;&gt;I1448,ISNUMBER(SEARCH(Лист2!$B$5,I:I)),G1449=1),MAX($H$3:OFFSET(H1449,-1,0))+1,0)</f>
        <v>0</v>
      </c>
      <c r="I1449" s="3" t="s">
        <v>190</v>
      </c>
      <c r="K1449" s="2">
        <f>IF(ISNUMBER(SEARCH(Лист2!$B$4,F:F)),1,0)</f>
        <v>0</v>
      </c>
      <c r="L1449" s="14">
        <f>IF(ISNUMBER(SEARCH(Лист2!$B$5,I:I)),1,0)+K1449</f>
        <v>0</v>
      </c>
      <c r="M1449" s="3">
        <f ca="1">IF(AND(N1449&lt;&gt;N1448,ISNUMBER(SEARCH(Лист2!$B$6,N:N)),L1449=2),MAX($M$3:OFFSET(M1449,-1,0))+1,0)</f>
        <v>0</v>
      </c>
      <c r="N1449" s="3" t="s">
        <v>1415</v>
      </c>
    </row>
    <row r="1450" spans="1:14" x14ac:dyDescent="0.25">
      <c r="A1450" s="1" t="s">
        <v>10972</v>
      </c>
      <c r="B1450" s="3" t="s">
        <v>5074</v>
      </c>
      <c r="C1450" s="2">
        <f ca="1">IF(ISNUMBER(SEARCH(Лист2!$B$4,D:D)),MAX($C$3:OFFSET(C1450,-1,0))+1,0)</f>
        <v>0</v>
      </c>
      <c r="E1450" s="9" t="str">
        <f t="shared" ca="1" si="34"/>
        <v/>
      </c>
      <c r="F1450" s="4" t="s">
        <v>7</v>
      </c>
      <c r="G1450" s="2">
        <f>IF(ISNUMBER(SEARCH(Лист2!$B$4,F:F)),1,0)</f>
        <v>0</v>
      </c>
      <c r="H1450" s="3">
        <f ca="1">IF(AND(I1450&lt;&gt;I1449,ISNUMBER(SEARCH(Лист2!$B$5,I:I)),G1450=1),MAX($H$3:OFFSET(H1450,-1,0))+1,0)</f>
        <v>0</v>
      </c>
      <c r="I1450" s="3" t="s">
        <v>190</v>
      </c>
      <c r="K1450" s="2">
        <f>IF(ISNUMBER(SEARCH(Лист2!$B$4,F:F)),1,0)</f>
        <v>0</v>
      </c>
      <c r="L1450" s="14">
        <f>IF(ISNUMBER(SEARCH(Лист2!$B$5,I:I)),1,0)+K1450</f>
        <v>0</v>
      </c>
      <c r="M1450" s="3">
        <f ca="1">IF(AND(N1450&lt;&gt;N1449,ISNUMBER(SEARCH(Лист2!$B$6,N:N)),L1450=2),MAX($M$3:OFFSET(M1450,-1,0))+1,0)</f>
        <v>0</v>
      </c>
      <c r="N1450" s="3" t="s">
        <v>1416</v>
      </c>
    </row>
    <row r="1451" spans="1:14" x14ac:dyDescent="0.25">
      <c r="A1451" s="1" t="s">
        <v>10973</v>
      </c>
      <c r="B1451" s="3" t="s">
        <v>5075</v>
      </c>
      <c r="C1451" s="2">
        <f ca="1">IF(ISNUMBER(SEARCH(Лист2!$B$4,D:D)),MAX($C$3:OFFSET(C1451,-1,0))+1,0)</f>
        <v>0</v>
      </c>
      <c r="E1451" s="9" t="str">
        <f t="shared" ca="1" si="34"/>
        <v/>
      </c>
      <c r="F1451" s="4" t="s">
        <v>7</v>
      </c>
      <c r="G1451" s="2">
        <f>IF(ISNUMBER(SEARCH(Лист2!$B$4,F:F)),1,0)</f>
        <v>0</v>
      </c>
      <c r="H1451" s="3">
        <f ca="1">IF(AND(I1451&lt;&gt;I1450,ISNUMBER(SEARCH(Лист2!$B$5,I:I)),G1451=1),MAX($H$3:OFFSET(H1451,-1,0))+1,0)</f>
        <v>0</v>
      </c>
      <c r="I1451" s="3" t="s">
        <v>190</v>
      </c>
      <c r="K1451" s="2">
        <f>IF(ISNUMBER(SEARCH(Лист2!$B$4,F:F)),1,0)</f>
        <v>0</v>
      </c>
      <c r="L1451" s="14">
        <f>IF(ISNUMBER(SEARCH(Лист2!$B$5,I:I)),1,0)+K1451</f>
        <v>0</v>
      </c>
      <c r="M1451" s="3">
        <f ca="1">IF(AND(N1451&lt;&gt;N1450,ISNUMBER(SEARCH(Лист2!$B$6,N:N)),L1451=2),MAX($M$3:OFFSET(M1451,-1,0))+1,0)</f>
        <v>0</v>
      </c>
      <c r="N1451" s="3" t="s">
        <v>1417</v>
      </c>
    </row>
    <row r="1452" spans="1:14" x14ac:dyDescent="0.25">
      <c r="A1452" s="1" t="s">
        <v>10974</v>
      </c>
      <c r="B1452" s="3" t="s">
        <v>5076</v>
      </c>
      <c r="C1452" s="2">
        <f ca="1">IF(ISNUMBER(SEARCH(Лист2!$B$4,D:D)),MAX($C$3:OFFSET(C1452,-1,0))+1,0)</f>
        <v>0</v>
      </c>
      <c r="E1452" s="9" t="str">
        <f t="shared" ca="1" si="34"/>
        <v/>
      </c>
      <c r="F1452" s="4" t="s">
        <v>7</v>
      </c>
      <c r="G1452" s="2">
        <f>IF(ISNUMBER(SEARCH(Лист2!$B$4,F:F)),1,0)</f>
        <v>0</v>
      </c>
      <c r="H1452" s="3">
        <f ca="1">IF(AND(I1452&lt;&gt;I1451,ISNUMBER(SEARCH(Лист2!$B$5,I:I)),G1452=1),MAX($H$3:OFFSET(H1452,-1,0))+1,0)</f>
        <v>0</v>
      </c>
      <c r="I1452" s="3" t="s">
        <v>190</v>
      </c>
      <c r="K1452" s="2">
        <f>IF(ISNUMBER(SEARCH(Лист2!$B$4,F:F)),1,0)</f>
        <v>0</v>
      </c>
      <c r="L1452" s="14">
        <f>IF(ISNUMBER(SEARCH(Лист2!$B$5,I:I)),1,0)+K1452</f>
        <v>0</v>
      </c>
      <c r="M1452" s="3">
        <f ca="1">IF(AND(N1452&lt;&gt;N1451,ISNUMBER(SEARCH(Лист2!$B$6,N:N)),L1452=2),MAX($M$3:OFFSET(M1452,-1,0))+1,0)</f>
        <v>0</v>
      </c>
      <c r="N1452" s="3" t="s">
        <v>1418</v>
      </c>
    </row>
    <row r="1453" spans="1:14" x14ac:dyDescent="0.25">
      <c r="A1453" s="1" t="s">
        <v>10975</v>
      </c>
      <c r="B1453" s="3" t="s">
        <v>5077</v>
      </c>
      <c r="C1453" s="2">
        <f ca="1">IF(ISNUMBER(SEARCH(Лист2!$B$4,D:D)),MAX($C$3:OFFSET(C1453,-1,0))+1,0)</f>
        <v>0</v>
      </c>
      <c r="E1453" s="9" t="str">
        <f t="shared" ca="1" si="34"/>
        <v/>
      </c>
      <c r="F1453" s="4" t="s">
        <v>7</v>
      </c>
      <c r="G1453" s="2">
        <f>IF(ISNUMBER(SEARCH(Лист2!$B$4,F:F)),1,0)</f>
        <v>0</v>
      </c>
      <c r="H1453" s="3">
        <f ca="1">IF(AND(I1453&lt;&gt;I1452,ISNUMBER(SEARCH(Лист2!$B$5,I:I)),G1453=1),MAX($H$3:OFFSET(H1453,-1,0))+1,0)</f>
        <v>0</v>
      </c>
      <c r="I1453" s="3" t="s">
        <v>190</v>
      </c>
      <c r="K1453" s="2">
        <f>IF(ISNUMBER(SEARCH(Лист2!$B$4,F:F)),1,0)</f>
        <v>0</v>
      </c>
      <c r="L1453" s="14">
        <f>IF(ISNUMBER(SEARCH(Лист2!$B$5,I:I)),1,0)+K1453</f>
        <v>0</v>
      </c>
      <c r="M1453" s="3">
        <f ca="1">IF(AND(N1453&lt;&gt;N1452,ISNUMBER(SEARCH(Лист2!$B$6,N:N)),L1453=2),MAX($M$3:OFFSET(M1453,-1,0))+1,0)</f>
        <v>0</v>
      </c>
      <c r="N1453" s="3" t="s">
        <v>1419</v>
      </c>
    </row>
    <row r="1454" spans="1:14" x14ac:dyDescent="0.25">
      <c r="A1454" s="1" t="s">
        <v>10976</v>
      </c>
      <c r="B1454" s="3" t="s">
        <v>5078</v>
      </c>
      <c r="C1454" s="2">
        <f ca="1">IF(ISNUMBER(SEARCH(Лист2!$B$4,D:D)),MAX($C$3:OFFSET(C1454,-1,0))+1,0)</f>
        <v>0</v>
      </c>
      <c r="E1454" s="9" t="str">
        <f t="shared" ca="1" si="34"/>
        <v/>
      </c>
      <c r="F1454" s="4" t="s">
        <v>7</v>
      </c>
      <c r="G1454" s="2">
        <f>IF(ISNUMBER(SEARCH(Лист2!$B$4,F:F)),1,0)</f>
        <v>0</v>
      </c>
      <c r="H1454" s="3">
        <f ca="1">IF(AND(I1454&lt;&gt;I1453,ISNUMBER(SEARCH(Лист2!$B$5,I:I)),G1454=1),MAX($H$3:OFFSET(H1454,-1,0))+1,0)</f>
        <v>0</v>
      </c>
      <c r="I1454" s="3" t="s">
        <v>190</v>
      </c>
      <c r="K1454" s="2">
        <f>IF(ISNUMBER(SEARCH(Лист2!$B$4,F:F)),1,0)</f>
        <v>0</v>
      </c>
      <c r="L1454" s="14">
        <f>IF(ISNUMBER(SEARCH(Лист2!$B$5,I:I)),1,0)+K1454</f>
        <v>0</v>
      </c>
      <c r="M1454" s="3">
        <f ca="1">IF(AND(N1454&lt;&gt;N1453,ISNUMBER(SEARCH(Лист2!$B$6,N:N)),L1454=2),MAX($M$3:OFFSET(M1454,-1,0))+1,0)</f>
        <v>0</v>
      </c>
      <c r="N1454" s="3" t="s">
        <v>1420</v>
      </c>
    </row>
    <row r="1455" spans="1:14" x14ac:dyDescent="0.25">
      <c r="A1455" s="1" t="s">
        <v>10977</v>
      </c>
      <c r="B1455" s="3" t="s">
        <v>5079</v>
      </c>
      <c r="C1455" s="2">
        <f ca="1">IF(ISNUMBER(SEARCH(Лист2!$B$4,D:D)),MAX($C$3:OFFSET(C1455,-1,0))+1,0)</f>
        <v>0</v>
      </c>
      <c r="E1455" s="9" t="str">
        <f t="shared" ca="1" si="34"/>
        <v/>
      </c>
      <c r="F1455" s="4" t="s">
        <v>7</v>
      </c>
      <c r="G1455" s="2">
        <f>IF(ISNUMBER(SEARCH(Лист2!$B$4,F:F)),1,0)</f>
        <v>0</v>
      </c>
      <c r="H1455" s="3">
        <f ca="1">IF(AND(I1455&lt;&gt;I1454,ISNUMBER(SEARCH(Лист2!$B$5,I:I)),G1455=1),MAX($H$3:OFFSET(H1455,-1,0))+1,0)</f>
        <v>0</v>
      </c>
      <c r="I1455" s="3" t="s">
        <v>190</v>
      </c>
      <c r="K1455" s="2">
        <f>IF(ISNUMBER(SEARCH(Лист2!$B$4,F:F)),1,0)</f>
        <v>0</v>
      </c>
      <c r="L1455" s="14">
        <f>IF(ISNUMBER(SEARCH(Лист2!$B$5,I:I)),1,0)+K1455</f>
        <v>0</v>
      </c>
      <c r="M1455" s="3">
        <f ca="1">IF(AND(N1455&lt;&gt;N1454,ISNUMBER(SEARCH(Лист2!$B$6,N:N)),L1455=2),MAX($M$3:OFFSET(M1455,-1,0))+1,0)</f>
        <v>0</v>
      </c>
      <c r="N1455" s="3" t="s">
        <v>1421</v>
      </c>
    </row>
    <row r="1456" spans="1:14" x14ac:dyDescent="0.25">
      <c r="A1456" s="1" t="s">
        <v>10978</v>
      </c>
      <c r="B1456" s="3" t="s">
        <v>5080</v>
      </c>
      <c r="C1456" s="2">
        <f ca="1">IF(ISNUMBER(SEARCH(Лист2!$B$4,D:D)),MAX($C$3:OFFSET(C1456,-1,0))+1,0)</f>
        <v>0</v>
      </c>
      <c r="E1456" s="9" t="str">
        <f t="shared" ca="1" si="34"/>
        <v/>
      </c>
      <c r="F1456" s="4" t="s">
        <v>7</v>
      </c>
      <c r="G1456" s="2">
        <f>IF(ISNUMBER(SEARCH(Лист2!$B$4,F:F)),1,0)</f>
        <v>0</v>
      </c>
      <c r="H1456" s="3">
        <f ca="1">IF(AND(I1456&lt;&gt;I1455,ISNUMBER(SEARCH(Лист2!$B$5,I:I)),G1456=1),MAX($H$3:OFFSET(H1456,-1,0))+1,0)</f>
        <v>0</v>
      </c>
      <c r="I1456" s="3" t="s">
        <v>190</v>
      </c>
      <c r="K1456" s="2">
        <f>IF(ISNUMBER(SEARCH(Лист2!$B$4,F:F)),1,0)</f>
        <v>0</v>
      </c>
      <c r="L1456" s="14">
        <f>IF(ISNUMBER(SEARCH(Лист2!$B$5,I:I)),1,0)+K1456</f>
        <v>0</v>
      </c>
      <c r="M1456" s="3">
        <f ca="1">IF(AND(N1456&lt;&gt;N1455,ISNUMBER(SEARCH(Лист2!$B$6,N:N)),L1456=2),MAX($M$3:OFFSET(M1456,-1,0))+1,0)</f>
        <v>0</v>
      </c>
      <c r="N1456" s="3" t="s">
        <v>1422</v>
      </c>
    </row>
    <row r="1457" spans="1:14" x14ac:dyDescent="0.25">
      <c r="A1457" s="1" t="s">
        <v>10979</v>
      </c>
      <c r="B1457" s="3" t="s">
        <v>5081</v>
      </c>
      <c r="C1457" s="2">
        <f ca="1">IF(ISNUMBER(SEARCH(Лист2!$B$4,D:D)),MAX($C$3:OFFSET(C1457,-1,0))+1,0)</f>
        <v>0</v>
      </c>
      <c r="E1457" s="9" t="str">
        <f t="shared" ca="1" si="34"/>
        <v/>
      </c>
      <c r="F1457" s="4" t="s">
        <v>7</v>
      </c>
      <c r="G1457" s="2">
        <f>IF(ISNUMBER(SEARCH(Лист2!$B$4,F:F)),1,0)</f>
        <v>0</v>
      </c>
      <c r="H1457" s="3">
        <f ca="1">IF(AND(I1457&lt;&gt;I1456,ISNUMBER(SEARCH(Лист2!$B$5,I:I)),G1457=1),MAX($H$3:OFFSET(H1457,-1,0))+1,0)</f>
        <v>0</v>
      </c>
      <c r="I1457" s="3" t="s">
        <v>190</v>
      </c>
      <c r="K1457" s="2">
        <f>IF(ISNUMBER(SEARCH(Лист2!$B$4,F:F)),1,0)</f>
        <v>0</v>
      </c>
      <c r="L1457" s="14">
        <f>IF(ISNUMBER(SEARCH(Лист2!$B$5,I:I)),1,0)+K1457</f>
        <v>0</v>
      </c>
      <c r="M1457" s="3">
        <f ca="1">IF(AND(N1457&lt;&gt;N1456,ISNUMBER(SEARCH(Лист2!$B$6,N:N)),L1457=2),MAX($M$3:OFFSET(M1457,-1,0))+1,0)</f>
        <v>0</v>
      </c>
      <c r="N1457" s="3" t="s">
        <v>1412</v>
      </c>
    </row>
    <row r="1458" spans="1:14" x14ac:dyDescent="0.25">
      <c r="A1458" s="1" t="s">
        <v>10980</v>
      </c>
      <c r="B1458" s="3" t="s">
        <v>5082</v>
      </c>
      <c r="C1458" s="2">
        <f ca="1">IF(ISNUMBER(SEARCH(Лист2!$B$4,D:D)),MAX($C$3:OFFSET(C1458,-1,0))+1,0)</f>
        <v>0</v>
      </c>
      <c r="E1458" s="9" t="str">
        <f t="shared" ca="1" si="34"/>
        <v/>
      </c>
      <c r="F1458" s="4" t="s">
        <v>7</v>
      </c>
      <c r="G1458" s="2">
        <f>IF(ISNUMBER(SEARCH(Лист2!$B$4,F:F)),1,0)</f>
        <v>0</v>
      </c>
      <c r="H1458" s="3">
        <f ca="1">IF(AND(I1458&lt;&gt;I1457,ISNUMBER(SEARCH(Лист2!$B$5,I:I)),G1458=1),MAX($H$3:OFFSET(H1458,-1,0))+1,0)</f>
        <v>0</v>
      </c>
      <c r="I1458" s="3" t="s">
        <v>190</v>
      </c>
      <c r="K1458" s="2">
        <f>IF(ISNUMBER(SEARCH(Лист2!$B$4,F:F)),1,0)</f>
        <v>0</v>
      </c>
      <c r="L1458" s="14">
        <f>IF(ISNUMBER(SEARCH(Лист2!$B$5,I:I)),1,0)+K1458</f>
        <v>0</v>
      </c>
      <c r="M1458" s="3">
        <f ca="1">IF(AND(N1458&lt;&gt;N1457,ISNUMBER(SEARCH(Лист2!$B$6,N:N)),L1458=2),MAX($M$3:OFFSET(M1458,-1,0))+1,0)</f>
        <v>0</v>
      </c>
      <c r="N1458" s="3" t="s">
        <v>1413</v>
      </c>
    </row>
    <row r="1459" spans="1:14" x14ac:dyDescent="0.25">
      <c r="A1459" s="1" t="s">
        <v>10981</v>
      </c>
      <c r="B1459" s="3" t="s">
        <v>5083</v>
      </c>
      <c r="C1459" s="2">
        <f ca="1">IF(ISNUMBER(SEARCH(Лист2!$B$4,D:D)),MAX($C$3:OFFSET(C1459,-1,0))+1,0)</f>
        <v>0</v>
      </c>
      <c r="E1459" s="9" t="str">
        <f t="shared" ca="1" si="34"/>
        <v/>
      </c>
      <c r="F1459" s="4" t="s">
        <v>7</v>
      </c>
      <c r="G1459" s="2">
        <f>IF(ISNUMBER(SEARCH(Лист2!$B$4,F:F)),1,0)</f>
        <v>0</v>
      </c>
      <c r="H1459" s="3">
        <f ca="1">IF(AND(I1459&lt;&gt;I1458,ISNUMBER(SEARCH(Лист2!$B$5,I:I)),G1459=1),MAX($H$3:OFFSET(H1459,-1,0))+1,0)</f>
        <v>0</v>
      </c>
      <c r="I1459" s="3" t="s">
        <v>190</v>
      </c>
      <c r="K1459" s="2">
        <f>IF(ISNUMBER(SEARCH(Лист2!$B$4,F:F)),1,0)</f>
        <v>0</v>
      </c>
      <c r="L1459" s="14">
        <f>IF(ISNUMBER(SEARCH(Лист2!$B$5,I:I)),1,0)+K1459</f>
        <v>0</v>
      </c>
      <c r="M1459" s="3">
        <f ca="1">IF(AND(N1459&lt;&gt;N1458,ISNUMBER(SEARCH(Лист2!$B$6,N:N)),L1459=2),MAX($M$3:OFFSET(M1459,-1,0))+1,0)</f>
        <v>0</v>
      </c>
      <c r="N1459" s="3" t="s">
        <v>602</v>
      </c>
    </row>
    <row r="1460" spans="1:14" x14ac:dyDescent="0.25">
      <c r="A1460" s="1" t="s">
        <v>10982</v>
      </c>
      <c r="B1460" s="3" t="s">
        <v>5084</v>
      </c>
      <c r="C1460" s="2">
        <f ca="1">IF(ISNUMBER(SEARCH(Лист2!$B$4,D:D)),MAX($C$3:OFFSET(C1460,-1,0))+1,0)</f>
        <v>0</v>
      </c>
      <c r="E1460" s="9" t="str">
        <f t="shared" ca="1" si="34"/>
        <v/>
      </c>
      <c r="F1460" s="4" t="s">
        <v>7</v>
      </c>
      <c r="G1460" s="2">
        <f>IF(ISNUMBER(SEARCH(Лист2!$B$4,F:F)),1,0)</f>
        <v>0</v>
      </c>
      <c r="H1460" s="3">
        <f ca="1">IF(AND(I1460&lt;&gt;I1459,ISNUMBER(SEARCH(Лист2!$B$5,I:I)),G1460=1),MAX($H$3:OFFSET(H1460,-1,0))+1,0)</f>
        <v>0</v>
      </c>
      <c r="I1460" s="3" t="s">
        <v>190</v>
      </c>
      <c r="K1460" s="2">
        <f>IF(ISNUMBER(SEARCH(Лист2!$B$4,F:F)),1,0)</f>
        <v>0</v>
      </c>
      <c r="L1460" s="14">
        <f>IF(ISNUMBER(SEARCH(Лист2!$B$5,I:I)),1,0)+K1460</f>
        <v>0</v>
      </c>
      <c r="M1460" s="3">
        <f ca="1">IF(AND(N1460&lt;&gt;N1459,ISNUMBER(SEARCH(Лист2!$B$6,N:N)),L1460=2),MAX($M$3:OFFSET(M1460,-1,0))+1,0)</f>
        <v>0</v>
      </c>
      <c r="N1460" s="3" t="s">
        <v>1423</v>
      </c>
    </row>
    <row r="1461" spans="1:14" x14ac:dyDescent="0.25">
      <c r="A1461" s="1" t="s">
        <v>10983</v>
      </c>
      <c r="B1461" s="3" t="s">
        <v>5085</v>
      </c>
      <c r="C1461" s="2">
        <f ca="1">IF(ISNUMBER(SEARCH(Лист2!$B$4,D:D)),MAX($C$3:OFFSET(C1461,-1,0))+1,0)</f>
        <v>0</v>
      </c>
      <c r="E1461" s="9" t="str">
        <f t="shared" ca="1" si="34"/>
        <v/>
      </c>
      <c r="F1461" s="4" t="s">
        <v>7</v>
      </c>
      <c r="G1461" s="2">
        <f>IF(ISNUMBER(SEARCH(Лист2!$B$4,F:F)),1,0)</f>
        <v>0</v>
      </c>
      <c r="H1461" s="3">
        <f ca="1">IF(AND(I1461&lt;&gt;I1460,ISNUMBER(SEARCH(Лист2!$B$5,I:I)),G1461=1),MAX($H$3:OFFSET(H1461,-1,0))+1,0)</f>
        <v>0</v>
      </c>
      <c r="I1461" s="3" t="s">
        <v>191</v>
      </c>
      <c r="K1461" s="2">
        <f>IF(ISNUMBER(SEARCH(Лист2!$B$4,F:F)),1,0)</f>
        <v>0</v>
      </c>
      <c r="L1461" s="14">
        <f>IF(ISNUMBER(SEARCH(Лист2!$B$5,I:I)),1,0)+K1461</f>
        <v>0</v>
      </c>
      <c r="M1461" s="3">
        <f ca="1">IF(AND(N1461&lt;&gt;N1460,ISNUMBER(SEARCH(Лист2!$B$6,N:N)),L1461=2),MAX($M$3:OFFSET(M1461,-1,0))+1,0)</f>
        <v>0</v>
      </c>
      <c r="N1461" s="3" t="s">
        <v>1424</v>
      </c>
    </row>
    <row r="1462" spans="1:14" x14ac:dyDescent="0.25">
      <c r="A1462" s="1" t="s">
        <v>10984</v>
      </c>
      <c r="B1462" s="3" t="s">
        <v>5086</v>
      </c>
      <c r="C1462" s="2">
        <f ca="1">IF(ISNUMBER(SEARCH(Лист2!$B$4,D:D)),MAX($C$3:OFFSET(C1462,-1,0))+1,0)</f>
        <v>0</v>
      </c>
      <c r="E1462" s="9" t="str">
        <f t="shared" ca="1" si="34"/>
        <v/>
      </c>
      <c r="F1462" s="4" t="s">
        <v>7</v>
      </c>
      <c r="G1462" s="2">
        <f>IF(ISNUMBER(SEARCH(Лист2!$B$4,F:F)),1,0)</f>
        <v>0</v>
      </c>
      <c r="H1462" s="3">
        <f ca="1">IF(AND(I1462&lt;&gt;I1461,ISNUMBER(SEARCH(Лист2!$B$5,I:I)),G1462=1),MAX($H$3:OFFSET(H1462,-1,0))+1,0)</f>
        <v>0</v>
      </c>
      <c r="I1462" s="3" t="s">
        <v>191</v>
      </c>
      <c r="K1462" s="2">
        <f>IF(ISNUMBER(SEARCH(Лист2!$B$4,F:F)),1,0)</f>
        <v>0</v>
      </c>
      <c r="L1462" s="14">
        <f>IF(ISNUMBER(SEARCH(Лист2!$B$5,I:I)),1,0)+K1462</f>
        <v>0</v>
      </c>
      <c r="M1462" s="3">
        <f ca="1">IF(AND(N1462&lt;&gt;N1461,ISNUMBER(SEARCH(Лист2!$B$6,N:N)),L1462=2),MAX($M$3:OFFSET(M1462,-1,0))+1,0)</f>
        <v>0</v>
      </c>
      <c r="N1462" s="3" t="s">
        <v>1425</v>
      </c>
    </row>
    <row r="1463" spans="1:14" x14ac:dyDescent="0.25">
      <c r="A1463" s="1" t="s">
        <v>10985</v>
      </c>
      <c r="B1463" s="3" t="s">
        <v>5087</v>
      </c>
      <c r="C1463" s="2">
        <f ca="1">IF(ISNUMBER(SEARCH(Лист2!$B$4,D:D)),MAX($C$3:OFFSET(C1463,-1,0))+1,0)</f>
        <v>0</v>
      </c>
      <c r="E1463" s="9" t="str">
        <f t="shared" ca="1" si="34"/>
        <v/>
      </c>
      <c r="F1463" s="4" t="s">
        <v>7</v>
      </c>
      <c r="G1463" s="2">
        <f>IF(ISNUMBER(SEARCH(Лист2!$B$4,F:F)),1,0)</f>
        <v>0</v>
      </c>
      <c r="H1463" s="3">
        <f ca="1">IF(AND(I1463&lt;&gt;I1462,ISNUMBER(SEARCH(Лист2!$B$5,I:I)),G1463=1),MAX($H$3:OFFSET(H1463,-1,0))+1,0)</f>
        <v>0</v>
      </c>
      <c r="I1463" s="3" t="s">
        <v>191</v>
      </c>
      <c r="K1463" s="2">
        <f>IF(ISNUMBER(SEARCH(Лист2!$B$4,F:F)),1,0)</f>
        <v>0</v>
      </c>
      <c r="L1463" s="14">
        <f>IF(ISNUMBER(SEARCH(Лист2!$B$5,I:I)),1,0)+K1463</f>
        <v>0</v>
      </c>
      <c r="M1463" s="3">
        <f ca="1">IF(AND(N1463&lt;&gt;N1462,ISNUMBER(SEARCH(Лист2!$B$6,N:N)),L1463=2),MAX($M$3:OFFSET(M1463,-1,0))+1,0)</f>
        <v>0</v>
      </c>
      <c r="N1463" s="3" t="s">
        <v>1426</v>
      </c>
    </row>
    <row r="1464" spans="1:14" x14ac:dyDescent="0.25">
      <c r="A1464" s="1" t="s">
        <v>10986</v>
      </c>
      <c r="B1464" s="3" t="s">
        <v>5088</v>
      </c>
      <c r="C1464" s="2">
        <f ca="1">IF(ISNUMBER(SEARCH(Лист2!$B$4,D:D)),MAX($C$3:OFFSET(C1464,-1,0))+1,0)</f>
        <v>0</v>
      </c>
      <c r="E1464" s="9" t="str">
        <f t="shared" ca="1" si="34"/>
        <v/>
      </c>
      <c r="F1464" s="4" t="s">
        <v>7</v>
      </c>
      <c r="G1464" s="2">
        <f>IF(ISNUMBER(SEARCH(Лист2!$B$4,F:F)),1,0)</f>
        <v>0</v>
      </c>
      <c r="H1464" s="3">
        <f ca="1">IF(AND(I1464&lt;&gt;I1463,ISNUMBER(SEARCH(Лист2!$B$5,I:I)),G1464=1),MAX($H$3:OFFSET(H1464,-1,0))+1,0)</f>
        <v>0</v>
      </c>
      <c r="I1464" s="3" t="s">
        <v>191</v>
      </c>
      <c r="K1464" s="2">
        <f>IF(ISNUMBER(SEARCH(Лист2!$B$4,F:F)),1,0)</f>
        <v>0</v>
      </c>
      <c r="L1464" s="14">
        <f>IF(ISNUMBER(SEARCH(Лист2!$B$5,I:I)),1,0)+K1464</f>
        <v>0</v>
      </c>
      <c r="M1464" s="3">
        <f ca="1">IF(AND(N1464&lt;&gt;N1463,ISNUMBER(SEARCH(Лист2!$B$6,N:N)),L1464=2),MAX($M$3:OFFSET(M1464,-1,0))+1,0)</f>
        <v>0</v>
      </c>
      <c r="N1464" s="3" t="s">
        <v>1427</v>
      </c>
    </row>
    <row r="1465" spans="1:14" x14ac:dyDescent="0.25">
      <c r="A1465" s="1" t="s">
        <v>10987</v>
      </c>
      <c r="B1465" s="3" t="s">
        <v>5089</v>
      </c>
      <c r="C1465" s="2">
        <f ca="1">IF(ISNUMBER(SEARCH(Лист2!$B$4,D:D)),MAX($C$3:OFFSET(C1465,-1,0))+1,0)</f>
        <v>0</v>
      </c>
      <c r="E1465" s="9" t="str">
        <f t="shared" ca="1" si="34"/>
        <v/>
      </c>
      <c r="F1465" s="4" t="s">
        <v>7</v>
      </c>
      <c r="G1465" s="2">
        <f>IF(ISNUMBER(SEARCH(Лист2!$B$4,F:F)),1,0)</f>
        <v>0</v>
      </c>
      <c r="H1465" s="3">
        <f ca="1">IF(AND(I1465&lt;&gt;I1464,ISNUMBER(SEARCH(Лист2!$B$5,I:I)),G1465=1),MAX($H$3:OFFSET(H1465,-1,0))+1,0)</f>
        <v>0</v>
      </c>
      <c r="I1465" s="3" t="s">
        <v>191</v>
      </c>
      <c r="K1465" s="2">
        <f>IF(ISNUMBER(SEARCH(Лист2!$B$4,F:F)),1,0)</f>
        <v>0</v>
      </c>
      <c r="L1465" s="14">
        <f>IF(ISNUMBER(SEARCH(Лист2!$B$5,I:I)),1,0)+K1465</f>
        <v>0</v>
      </c>
      <c r="M1465" s="3">
        <f ca="1">IF(AND(N1465&lt;&gt;N1464,ISNUMBER(SEARCH(Лист2!$B$6,N:N)),L1465=2),MAX($M$3:OFFSET(M1465,-1,0))+1,0)</f>
        <v>0</v>
      </c>
      <c r="N1465" s="3" t="s">
        <v>1428</v>
      </c>
    </row>
    <row r="1466" spans="1:14" x14ac:dyDescent="0.25">
      <c r="A1466" s="1" t="s">
        <v>10988</v>
      </c>
      <c r="B1466" s="3" t="s">
        <v>5090</v>
      </c>
      <c r="C1466" s="2">
        <f ca="1">IF(ISNUMBER(SEARCH(Лист2!$B$4,D:D)),MAX($C$3:OFFSET(C1466,-1,0))+1,0)</f>
        <v>0</v>
      </c>
      <c r="E1466" s="9" t="str">
        <f t="shared" ca="1" si="34"/>
        <v/>
      </c>
      <c r="F1466" s="4" t="s">
        <v>7</v>
      </c>
      <c r="G1466" s="2">
        <f>IF(ISNUMBER(SEARCH(Лист2!$B$4,F:F)),1,0)</f>
        <v>0</v>
      </c>
      <c r="H1466" s="3">
        <f ca="1">IF(AND(I1466&lt;&gt;I1465,ISNUMBER(SEARCH(Лист2!$B$5,I:I)),G1466=1),MAX($H$3:OFFSET(H1466,-1,0))+1,0)</f>
        <v>0</v>
      </c>
      <c r="I1466" s="3" t="s">
        <v>191</v>
      </c>
      <c r="K1466" s="2">
        <f>IF(ISNUMBER(SEARCH(Лист2!$B$4,F:F)),1,0)</f>
        <v>0</v>
      </c>
      <c r="L1466" s="14">
        <f>IF(ISNUMBER(SEARCH(Лист2!$B$5,I:I)),1,0)+K1466</f>
        <v>0</v>
      </c>
      <c r="M1466" s="3">
        <f ca="1">IF(AND(N1466&lt;&gt;N1465,ISNUMBER(SEARCH(Лист2!$B$6,N:N)),L1466=2),MAX($M$3:OFFSET(M1466,-1,0))+1,0)</f>
        <v>0</v>
      </c>
      <c r="N1466" s="3" t="s">
        <v>1429</v>
      </c>
    </row>
    <row r="1467" spans="1:14" x14ac:dyDescent="0.25">
      <c r="A1467" s="1" t="s">
        <v>10989</v>
      </c>
      <c r="B1467" s="3" t="s">
        <v>5091</v>
      </c>
      <c r="C1467" s="2">
        <f ca="1">IF(ISNUMBER(SEARCH(Лист2!$B$4,D:D)),MAX($C$3:OFFSET(C1467,-1,0))+1,0)</f>
        <v>0</v>
      </c>
      <c r="E1467" s="9" t="str">
        <f t="shared" ca="1" si="34"/>
        <v/>
      </c>
      <c r="F1467" s="4" t="s">
        <v>7</v>
      </c>
      <c r="G1467" s="2">
        <f>IF(ISNUMBER(SEARCH(Лист2!$B$4,F:F)),1,0)</f>
        <v>0</v>
      </c>
      <c r="H1467" s="3">
        <f ca="1">IF(AND(I1467&lt;&gt;I1466,ISNUMBER(SEARCH(Лист2!$B$5,I:I)),G1467=1),MAX($H$3:OFFSET(H1467,-1,0))+1,0)</f>
        <v>0</v>
      </c>
      <c r="I1467" s="3" t="s">
        <v>191</v>
      </c>
      <c r="K1467" s="2">
        <f>IF(ISNUMBER(SEARCH(Лист2!$B$4,F:F)),1,0)</f>
        <v>0</v>
      </c>
      <c r="L1467" s="14">
        <f>IF(ISNUMBER(SEARCH(Лист2!$B$5,I:I)),1,0)+K1467</f>
        <v>0</v>
      </c>
      <c r="M1467" s="3">
        <f ca="1">IF(AND(N1467&lt;&gt;N1466,ISNUMBER(SEARCH(Лист2!$B$6,N:N)),L1467=2),MAX($M$3:OFFSET(M1467,-1,0))+1,0)</f>
        <v>0</v>
      </c>
      <c r="N1467" s="3" t="s">
        <v>1430</v>
      </c>
    </row>
    <row r="1468" spans="1:14" x14ac:dyDescent="0.25">
      <c r="A1468" s="1" t="s">
        <v>10990</v>
      </c>
      <c r="B1468" s="3" t="s">
        <v>5092</v>
      </c>
      <c r="C1468" s="2">
        <f ca="1">IF(ISNUMBER(SEARCH(Лист2!$B$4,D:D)),MAX($C$3:OFFSET(C1468,-1,0))+1,0)</f>
        <v>0</v>
      </c>
      <c r="E1468" s="9" t="str">
        <f t="shared" ca="1" si="34"/>
        <v/>
      </c>
      <c r="F1468" s="4" t="s">
        <v>7</v>
      </c>
      <c r="G1468" s="2">
        <f>IF(ISNUMBER(SEARCH(Лист2!$B$4,F:F)),1,0)</f>
        <v>0</v>
      </c>
      <c r="H1468" s="3">
        <f ca="1">IF(AND(I1468&lt;&gt;I1467,ISNUMBER(SEARCH(Лист2!$B$5,I:I)),G1468=1),MAX($H$3:OFFSET(H1468,-1,0))+1,0)</f>
        <v>0</v>
      </c>
      <c r="I1468" s="3" t="s">
        <v>191</v>
      </c>
      <c r="K1468" s="2">
        <f>IF(ISNUMBER(SEARCH(Лист2!$B$4,F:F)),1,0)</f>
        <v>0</v>
      </c>
      <c r="L1468" s="14">
        <f>IF(ISNUMBER(SEARCH(Лист2!$B$5,I:I)),1,0)+K1468</f>
        <v>0</v>
      </c>
      <c r="M1468" s="3">
        <f ca="1">IF(AND(N1468&lt;&gt;N1467,ISNUMBER(SEARCH(Лист2!$B$6,N:N)),L1468=2),MAX($M$3:OFFSET(M1468,-1,0))+1,0)</f>
        <v>0</v>
      </c>
      <c r="N1468" s="3" t="s">
        <v>1431</v>
      </c>
    </row>
    <row r="1469" spans="1:14" x14ac:dyDescent="0.25">
      <c r="A1469" s="1" t="s">
        <v>10991</v>
      </c>
      <c r="B1469" s="3" t="s">
        <v>5093</v>
      </c>
      <c r="C1469" s="2">
        <f ca="1">IF(ISNUMBER(SEARCH(Лист2!$B$4,D:D)),MAX($C$3:OFFSET(C1469,-1,0))+1,0)</f>
        <v>0</v>
      </c>
      <c r="E1469" s="9" t="str">
        <f t="shared" ca="1" si="34"/>
        <v/>
      </c>
      <c r="F1469" s="4" t="s">
        <v>7</v>
      </c>
      <c r="G1469" s="2">
        <f>IF(ISNUMBER(SEARCH(Лист2!$B$4,F:F)),1,0)</f>
        <v>0</v>
      </c>
      <c r="H1469" s="3">
        <f ca="1">IF(AND(I1469&lt;&gt;I1468,ISNUMBER(SEARCH(Лист2!$B$5,I:I)),G1469=1),MAX($H$3:OFFSET(H1469,-1,0))+1,0)</f>
        <v>0</v>
      </c>
      <c r="I1469" s="3" t="s">
        <v>191</v>
      </c>
      <c r="K1469" s="2">
        <f>IF(ISNUMBER(SEARCH(Лист2!$B$4,F:F)),1,0)</f>
        <v>0</v>
      </c>
      <c r="L1469" s="14">
        <f>IF(ISNUMBER(SEARCH(Лист2!$B$5,I:I)),1,0)+K1469</f>
        <v>0</v>
      </c>
      <c r="M1469" s="3">
        <f ca="1">IF(AND(N1469&lt;&gt;N1468,ISNUMBER(SEARCH(Лист2!$B$6,N:N)),L1469=2),MAX($M$3:OFFSET(M1469,-1,0))+1,0)</f>
        <v>0</v>
      </c>
      <c r="N1469" s="3" t="s">
        <v>1432</v>
      </c>
    </row>
    <row r="1470" spans="1:14" x14ac:dyDescent="0.25">
      <c r="A1470" s="1" t="s">
        <v>10992</v>
      </c>
      <c r="B1470" s="3" t="s">
        <v>5094</v>
      </c>
      <c r="C1470" s="2">
        <f ca="1">IF(ISNUMBER(SEARCH(Лист2!$B$4,D:D)),MAX($C$3:OFFSET(C1470,-1,0))+1,0)</f>
        <v>0</v>
      </c>
      <c r="E1470" s="9" t="str">
        <f t="shared" ca="1" si="34"/>
        <v/>
      </c>
      <c r="F1470" s="4" t="s">
        <v>7</v>
      </c>
      <c r="G1470" s="2">
        <f>IF(ISNUMBER(SEARCH(Лист2!$B$4,F:F)),1,0)</f>
        <v>0</v>
      </c>
      <c r="H1470" s="3">
        <f ca="1">IF(AND(I1470&lt;&gt;I1469,ISNUMBER(SEARCH(Лист2!$B$5,I:I)),G1470=1),MAX($H$3:OFFSET(H1470,-1,0))+1,0)</f>
        <v>0</v>
      </c>
      <c r="I1470" s="3" t="s">
        <v>191</v>
      </c>
      <c r="K1470" s="2">
        <f>IF(ISNUMBER(SEARCH(Лист2!$B$4,F:F)),1,0)</f>
        <v>0</v>
      </c>
      <c r="L1470" s="14">
        <f>IF(ISNUMBER(SEARCH(Лист2!$B$5,I:I)),1,0)+K1470</f>
        <v>0</v>
      </c>
      <c r="M1470" s="3">
        <f ca="1">IF(AND(N1470&lt;&gt;N1469,ISNUMBER(SEARCH(Лист2!$B$6,N:N)),L1470=2),MAX($M$3:OFFSET(M1470,-1,0))+1,0)</f>
        <v>0</v>
      </c>
      <c r="N1470" s="3" t="s">
        <v>1433</v>
      </c>
    </row>
    <row r="1471" spans="1:14" x14ac:dyDescent="0.25">
      <c r="A1471" s="1" t="s">
        <v>10993</v>
      </c>
      <c r="B1471" s="3" t="s">
        <v>5095</v>
      </c>
      <c r="C1471" s="2">
        <f ca="1">IF(ISNUMBER(SEARCH(Лист2!$B$4,D:D)),MAX($C$3:OFFSET(C1471,-1,0))+1,0)</f>
        <v>0</v>
      </c>
      <c r="E1471" s="9" t="str">
        <f t="shared" ca="1" si="34"/>
        <v/>
      </c>
      <c r="F1471" s="4" t="s">
        <v>7</v>
      </c>
      <c r="G1471" s="2">
        <f>IF(ISNUMBER(SEARCH(Лист2!$B$4,F:F)),1,0)</f>
        <v>0</v>
      </c>
      <c r="H1471" s="3">
        <f ca="1">IF(AND(I1471&lt;&gt;I1470,ISNUMBER(SEARCH(Лист2!$B$5,I:I)),G1471=1),MAX($H$3:OFFSET(H1471,-1,0))+1,0)</f>
        <v>0</v>
      </c>
      <c r="I1471" s="3" t="s">
        <v>191</v>
      </c>
      <c r="K1471" s="2">
        <f>IF(ISNUMBER(SEARCH(Лист2!$B$4,F:F)),1,0)</f>
        <v>0</v>
      </c>
      <c r="L1471" s="14">
        <f>IF(ISNUMBER(SEARCH(Лист2!$B$5,I:I)),1,0)+K1471</f>
        <v>0</v>
      </c>
      <c r="M1471" s="3">
        <f ca="1">IF(AND(N1471&lt;&gt;N1470,ISNUMBER(SEARCH(Лист2!$B$6,N:N)),L1471=2),MAX($M$3:OFFSET(M1471,-1,0))+1,0)</f>
        <v>0</v>
      </c>
      <c r="N1471" s="3" t="s">
        <v>602</v>
      </c>
    </row>
    <row r="1472" spans="1:14" x14ac:dyDescent="0.25">
      <c r="A1472" s="1" t="s">
        <v>10994</v>
      </c>
      <c r="B1472" s="3" t="s">
        <v>5096</v>
      </c>
      <c r="C1472" s="2">
        <f ca="1">IF(ISNUMBER(SEARCH(Лист2!$B$4,D:D)),MAX($C$3:OFFSET(C1472,-1,0))+1,0)</f>
        <v>0</v>
      </c>
      <c r="E1472" s="9" t="str">
        <f t="shared" ca="1" si="34"/>
        <v/>
      </c>
      <c r="F1472" s="4" t="s">
        <v>7</v>
      </c>
      <c r="G1472" s="2">
        <f>IF(ISNUMBER(SEARCH(Лист2!$B$4,F:F)),1,0)</f>
        <v>0</v>
      </c>
      <c r="H1472" s="3">
        <f ca="1">IF(AND(I1472&lt;&gt;I1471,ISNUMBER(SEARCH(Лист2!$B$5,I:I)),G1472=1),MAX($H$3:OFFSET(H1472,-1,0))+1,0)</f>
        <v>0</v>
      </c>
      <c r="I1472" s="3" t="s">
        <v>191</v>
      </c>
      <c r="K1472" s="2">
        <f>IF(ISNUMBER(SEARCH(Лист2!$B$4,F:F)),1,0)</f>
        <v>0</v>
      </c>
      <c r="L1472" s="14">
        <f>IF(ISNUMBER(SEARCH(Лист2!$B$5,I:I)),1,0)+K1472</f>
        <v>0</v>
      </c>
      <c r="M1472" s="3">
        <f ca="1">IF(AND(N1472&lt;&gt;N1471,ISNUMBER(SEARCH(Лист2!$B$6,N:N)),L1472=2),MAX($M$3:OFFSET(M1472,-1,0))+1,0)</f>
        <v>0</v>
      </c>
      <c r="N1472" s="3" t="s">
        <v>1434</v>
      </c>
    </row>
    <row r="1473" spans="1:14" x14ac:dyDescent="0.25">
      <c r="A1473" s="1" t="s">
        <v>10995</v>
      </c>
      <c r="B1473" s="3" t="s">
        <v>5097</v>
      </c>
      <c r="C1473" s="2">
        <f ca="1">IF(ISNUMBER(SEARCH(Лист2!$B$4,D:D)),MAX($C$3:OFFSET(C1473,-1,0))+1,0)</f>
        <v>0</v>
      </c>
      <c r="E1473" s="9" t="str">
        <f t="shared" ca="1" si="34"/>
        <v/>
      </c>
      <c r="F1473" s="4" t="s">
        <v>7</v>
      </c>
      <c r="G1473" s="2">
        <f>IF(ISNUMBER(SEARCH(Лист2!$B$4,F:F)),1,0)</f>
        <v>0</v>
      </c>
      <c r="H1473" s="3">
        <f ca="1">IF(AND(I1473&lt;&gt;I1472,ISNUMBER(SEARCH(Лист2!$B$5,I:I)),G1473=1),MAX($H$3:OFFSET(H1473,-1,0))+1,0)</f>
        <v>0</v>
      </c>
      <c r="I1473" s="3" t="s">
        <v>192</v>
      </c>
      <c r="K1473" s="2">
        <f>IF(ISNUMBER(SEARCH(Лист2!$B$4,F:F)),1,0)</f>
        <v>0</v>
      </c>
      <c r="L1473" s="14">
        <f>IF(ISNUMBER(SEARCH(Лист2!$B$5,I:I)),1,0)+K1473</f>
        <v>0</v>
      </c>
      <c r="M1473" s="3">
        <f ca="1">IF(AND(N1473&lt;&gt;N1472,ISNUMBER(SEARCH(Лист2!$B$6,N:N)),L1473=2),MAX($M$3:OFFSET(M1473,-1,0))+1,0)</f>
        <v>0</v>
      </c>
      <c r="N1473" s="3" t="s">
        <v>1435</v>
      </c>
    </row>
    <row r="1474" spans="1:14" x14ac:dyDescent="0.25">
      <c r="A1474" s="1" t="s">
        <v>10996</v>
      </c>
      <c r="B1474" s="3" t="s">
        <v>5098</v>
      </c>
      <c r="C1474" s="2">
        <f ca="1">IF(ISNUMBER(SEARCH(Лист2!$B$4,D:D)),MAX($C$3:OFFSET(C1474,-1,0))+1,0)</f>
        <v>0</v>
      </c>
      <c r="E1474" s="9" t="str">
        <f t="shared" ca="1" si="34"/>
        <v/>
      </c>
      <c r="F1474" s="4" t="s">
        <v>7</v>
      </c>
      <c r="G1474" s="2">
        <f>IF(ISNUMBER(SEARCH(Лист2!$B$4,F:F)),1,0)</f>
        <v>0</v>
      </c>
      <c r="H1474" s="3">
        <f ca="1">IF(AND(I1474&lt;&gt;I1473,ISNUMBER(SEARCH(Лист2!$B$5,I:I)),G1474=1),MAX($H$3:OFFSET(H1474,-1,0))+1,0)</f>
        <v>0</v>
      </c>
      <c r="I1474" s="3" t="s">
        <v>192</v>
      </c>
      <c r="K1474" s="2">
        <f>IF(ISNUMBER(SEARCH(Лист2!$B$4,F:F)),1,0)</f>
        <v>0</v>
      </c>
      <c r="L1474" s="14">
        <f>IF(ISNUMBER(SEARCH(Лист2!$B$5,I:I)),1,0)+K1474</f>
        <v>0</v>
      </c>
      <c r="M1474" s="3">
        <f ca="1">IF(AND(N1474&lt;&gt;N1473,ISNUMBER(SEARCH(Лист2!$B$6,N:N)),L1474=2),MAX($M$3:OFFSET(M1474,-1,0))+1,0)</f>
        <v>0</v>
      </c>
      <c r="N1474" s="3" t="s">
        <v>1436</v>
      </c>
    </row>
    <row r="1475" spans="1:14" x14ac:dyDescent="0.25">
      <c r="A1475" s="1" t="s">
        <v>10997</v>
      </c>
      <c r="B1475" s="3" t="s">
        <v>5099</v>
      </c>
      <c r="C1475" s="2">
        <f ca="1">IF(ISNUMBER(SEARCH(Лист2!$B$4,D:D)),MAX($C$3:OFFSET(C1475,-1,0))+1,0)</f>
        <v>0</v>
      </c>
      <c r="E1475" s="9" t="str">
        <f t="shared" ca="1" si="34"/>
        <v/>
      </c>
      <c r="F1475" s="4" t="s">
        <v>7</v>
      </c>
      <c r="G1475" s="2">
        <f>IF(ISNUMBER(SEARCH(Лист2!$B$4,F:F)),1,0)</f>
        <v>0</v>
      </c>
      <c r="H1475" s="3">
        <f ca="1">IF(AND(I1475&lt;&gt;I1474,ISNUMBER(SEARCH(Лист2!$B$5,I:I)),G1475=1),MAX($H$3:OFFSET(H1475,-1,0))+1,0)</f>
        <v>0</v>
      </c>
      <c r="I1475" s="3" t="s">
        <v>192</v>
      </c>
      <c r="K1475" s="2">
        <f>IF(ISNUMBER(SEARCH(Лист2!$B$4,F:F)),1,0)</f>
        <v>0</v>
      </c>
      <c r="L1475" s="14">
        <f>IF(ISNUMBER(SEARCH(Лист2!$B$5,I:I)),1,0)+K1475</f>
        <v>0</v>
      </c>
      <c r="M1475" s="3">
        <f ca="1">IF(AND(N1475&lt;&gt;N1474,ISNUMBER(SEARCH(Лист2!$B$6,N:N)),L1475=2),MAX($M$3:OFFSET(M1475,-1,0))+1,0)</f>
        <v>0</v>
      </c>
      <c r="N1475" s="3" t="s">
        <v>1437</v>
      </c>
    </row>
    <row r="1476" spans="1:14" x14ac:dyDescent="0.25">
      <c r="A1476" s="1" t="s">
        <v>10998</v>
      </c>
      <c r="B1476" s="3" t="s">
        <v>5100</v>
      </c>
      <c r="C1476" s="2">
        <f ca="1">IF(ISNUMBER(SEARCH(Лист2!$B$4,D:D)),MAX($C$3:OFFSET(C1476,-1,0))+1,0)</f>
        <v>0</v>
      </c>
      <c r="E1476" s="9" t="str">
        <f t="shared" ca="1" si="34"/>
        <v/>
      </c>
      <c r="F1476" s="4" t="s">
        <v>7</v>
      </c>
      <c r="G1476" s="2">
        <f>IF(ISNUMBER(SEARCH(Лист2!$B$4,F:F)),1,0)</f>
        <v>0</v>
      </c>
      <c r="H1476" s="3">
        <f ca="1">IF(AND(I1476&lt;&gt;I1475,ISNUMBER(SEARCH(Лист2!$B$5,I:I)),G1476=1),MAX($H$3:OFFSET(H1476,-1,0))+1,0)</f>
        <v>0</v>
      </c>
      <c r="I1476" s="3" t="s">
        <v>192</v>
      </c>
      <c r="K1476" s="2">
        <f>IF(ISNUMBER(SEARCH(Лист2!$B$4,F:F)),1,0)</f>
        <v>0</v>
      </c>
      <c r="L1476" s="14">
        <f>IF(ISNUMBER(SEARCH(Лист2!$B$5,I:I)),1,0)+K1476</f>
        <v>0</v>
      </c>
      <c r="M1476" s="3">
        <f ca="1">IF(AND(N1476&lt;&gt;N1475,ISNUMBER(SEARCH(Лист2!$B$6,N:N)),L1476=2),MAX($M$3:OFFSET(M1476,-1,0))+1,0)</f>
        <v>0</v>
      </c>
      <c r="N1476" s="3" t="s">
        <v>1438</v>
      </c>
    </row>
    <row r="1477" spans="1:14" x14ac:dyDescent="0.25">
      <c r="A1477" s="1" t="s">
        <v>10999</v>
      </c>
      <c r="B1477" s="3" t="s">
        <v>5101</v>
      </c>
      <c r="C1477" s="2">
        <f ca="1">IF(ISNUMBER(SEARCH(Лист2!$B$4,D:D)),MAX($C$3:OFFSET(C1477,-1,0))+1,0)</f>
        <v>0</v>
      </c>
      <c r="E1477" s="9" t="str">
        <f t="shared" ref="E1477:E1540" ca="1" si="35">IFERROR(INDEX(D:D,MATCH(ROW(E1477)-ROW($E$3),C:C,0)),"")</f>
        <v/>
      </c>
      <c r="F1477" s="4" t="s">
        <v>7</v>
      </c>
      <c r="G1477" s="2">
        <f>IF(ISNUMBER(SEARCH(Лист2!$B$4,F:F)),1,0)</f>
        <v>0</v>
      </c>
      <c r="H1477" s="3">
        <f ca="1">IF(AND(I1477&lt;&gt;I1476,ISNUMBER(SEARCH(Лист2!$B$5,I:I)),G1477=1),MAX($H$3:OFFSET(H1477,-1,0))+1,0)</f>
        <v>0</v>
      </c>
      <c r="I1477" s="3" t="s">
        <v>192</v>
      </c>
      <c r="K1477" s="2">
        <f>IF(ISNUMBER(SEARCH(Лист2!$B$4,F:F)),1,0)</f>
        <v>0</v>
      </c>
      <c r="L1477" s="14">
        <f>IF(ISNUMBER(SEARCH(Лист2!$B$5,I:I)),1,0)+K1477</f>
        <v>0</v>
      </c>
      <c r="M1477" s="3">
        <f ca="1">IF(AND(N1477&lt;&gt;N1476,ISNUMBER(SEARCH(Лист2!$B$6,N:N)),L1477=2),MAX($M$3:OFFSET(M1477,-1,0))+1,0)</f>
        <v>0</v>
      </c>
      <c r="N1477" s="3" t="s">
        <v>1439</v>
      </c>
    </row>
    <row r="1478" spans="1:14" x14ac:dyDescent="0.25">
      <c r="A1478" s="1" t="s">
        <v>11000</v>
      </c>
      <c r="B1478" s="3" t="s">
        <v>5102</v>
      </c>
      <c r="C1478" s="2">
        <f ca="1">IF(ISNUMBER(SEARCH(Лист2!$B$4,D:D)),MAX($C$3:OFFSET(C1478,-1,0))+1,0)</f>
        <v>0</v>
      </c>
      <c r="E1478" s="9" t="str">
        <f t="shared" ca="1" si="35"/>
        <v/>
      </c>
      <c r="F1478" s="4" t="s">
        <v>7</v>
      </c>
      <c r="G1478" s="2">
        <f>IF(ISNUMBER(SEARCH(Лист2!$B$4,F:F)),1,0)</f>
        <v>0</v>
      </c>
      <c r="H1478" s="3">
        <f ca="1">IF(AND(I1478&lt;&gt;I1477,ISNUMBER(SEARCH(Лист2!$B$5,I:I)),G1478=1),MAX($H$3:OFFSET(H1478,-1,0))+1,0)</f>
        <v>0</v>
      </c>
      <c r="I1478" s="3" t="s">
        <v>192</v>
      </c>
      <c r="K1478" s="2">
        <f>IF(ISNUMBER(SEARCH(Лист2!$B$4,F:F)),1,0)</f>
        <v>0</v>
      </c>
      <c r="L1478" s="14">
        <f>IF(ISNUMBER(SEARCH(Лист2!$B$5,I:I)),1,0)+K1478</f>
        <v>0</v>
      </c>
      <c r="M1478" s="3">
        <f ca="1">IF(AND(N1478&lt;&gt;N1477,ISNUMBER(SEARCH(Лист2!$B$6,N:N)),L1478=2),MAX($M$3:OFFSET(M1478,-1,0))+1,0)</f>
        <v>0</v>
      </c>
      <c r="N1478" s="3" t="s">
        <v>1440</v>
      </c>
    </row>
    <row r="1479" spans="1:14" x14ac:dyDescent="0.25">
      <c r="A1479" s="1" t="s">
        <v>11001</v>
      </c>
      <c r="B1479" s="3" t="s">
        <v>5103</v>
      </c>
      <c r="C1479" s="2">
        <f ca="1">IF(ISNUMBER(SEARCH(Лист2!$B$4,D:D)),MAX($C$3:OFFSET(C1479,-1,0))+1,0)</f>
        <v>0</v>
      </c>
      <c r="E1479" s="9" t="str">
        <f t="shared" ca="1" si="35"/>
        <v/>
      </c>
      <c r="F1479" s="4" t="s">
        <v>7</v>
      </c>
      <c r="G1479" s="2">
        <f>IF(ISNUMBER(SEARCH(Лист2!$B$4,F:F)),1,0)</f>
        <v>0</v>
      </c>
      <c r="H1479" s="3">
        <f ca="1">IF(AND(I1479&lt;&gt;I1478,ISNUMBER(SEARCH(Лист2!$B$5,I:I)),G1479=1),MAX($H$3:OFFSET(H1479,-1,0))+1,0)</f>
        <v>0</v>
      </c>
      <c r="I1479" s="3" t="s">
        <v>192</v>
      </c>
      <c r="K1479" s="2">
        <f>IF(ISNUMBER(SEARCH(Лист2!$B$4,F:F)),1,0)</f>
        <v>0</v>
      </c>
      <c r="L1479" s="14">
        <f>IF(ISNUMBER(SEARCH(Лист2!$B$5,I:I)),1,0)+K1479</f>
        <v>0</v>
      </c>
      <c r="M1479" s="3">
        <f ca="1">IF(AND(N1479&lt;&gt;N1478,ISNUMBER(SEARCH(Лист2!$B$6,N:N)),L1479=2),MAX($M$3:OFFSET(M1479,-1,0))+1,0)</f>
        <v>0</v>
      </c>
      <c r="N1479" s="3" t="s">
        <v>1441</v>
      </c>
    </row>
    <row r="1480" spans="1:14" x14ac:dyDescent="0.25">
      <c r="A1480" s="1" t="s">
        <v>11002</v>
      </c>
      <c r="B1480" s="3" t="s">
        <v>5104</v>
      </c>
      <c r="C1480" s="2">
        <f ca="1">IF(ISNUMBER(SEARCH(Лист2!$B$4,D:D)),MAX($C$3:OFFSET(C1480,-1,0))+1,0)</f>
        <v>0</v>
      </c>
      <c r="E1480" s="9" t="str">
        <f t="shared" ca="1" si="35"/>
        <v/>
      </c>
      <c r="F1480" s="4" t="s">
        <v>7</v>
      </c>
      <c r="G1480" s="2">
        <f>IF(ISNUMBER(SEARCH(Лист2!$B$4,F:F)),1,0)</f>
        <v>0</v>
      </c>
      <c r="H1480" s="3">
        <f ca="1">IF(AND(I1480&lt;&gt;I1479,ISNUMBER(SEARCH(Лист2!$B$5,I:I)),G1480=1),MAX($H$3:OFFSET(H1480,-1,0))+1,0)</f>
        <v>0</v>
      </c>
      <c r="I1480" s="3" t="s">
        <v>192</v>
      </c>
      <c r="K1480" s="2">
        <f>IF(ISNUMBER(SEARCH(Лист2!$B$4,F:F)),1,0)</f>
        <v>0</v>
      </c>
      <c r="L1480" s="14">
        <f>IF(ISNUMBER(SEARCH(Лист2!$B$5,I:I)),1,0)+K1480</f>
        <v>0</v>
      </c>
      <c r="M1480" s="3">
        <f ca="1">IF(AND(N1480&lt;&gt;N1479,ISNUMBER(SEARCH(Лист2!$B$6,N:N)),L1480=2),MAX($M$3:OFFSET(M1480,-1,0))+1,0)</f>
        <v>0</v>
      </c>
      <c r="N1480" s="3" t="s">
        <v>1442</v>
      </c>
    </row>
    <row r="1481" spans="1:14" x14ac:dyDescent="0.25">
      <c r="A1481" s="1" t="s">
        <v>11003</v>
      </c>
      <c r="B1481" s="3" t="s">
        <v>5105</v>
      </c>
      <c r="C1481" s="2">
        <f ca="1">IF(ISNUMBER(SEARCH(Лист2!$B$4,D:D)),MAX($C$3:OFFSET(C1481,-1,0))+1,0)</f>
        <v>0</v>
      </c>
      <c r="E1481" s="9" t="str">
        <f t="shared" ca="1" si="35"/>
        <v/>
      </c>
      <c r="F1481" s="4" t="s">
        <v>7</v>
      </c>
      <c r="G1481" s="2">
        <f>IF(ISNUMBER(SEARCH(Лист2!$B$4,F:F)),1,0)</f>
        <v>0</v>
      </c>
      <c r="H1481" s="3">
        <f ca="1">IF(AND(I1481&lt;&gt;I1480,ISNUMBER(SEARCH(Лист2!$B$5,I:I)),G1481=1),MAX($H$3:OFFSET(H1481,-1,0))+1,0)</f>
        <v>0</v>
      </c>
      <c r="I1481" s="3" t="s">
        <v>192</v>
      </c>
      <c r="K1481" s="2">
        <f>IF(ISNUMBER(SEARCH(Лист2!$B$4,F:F)),1,0)</f>
        <v>0</v>
      </c>
      <c r="L1481" s="14">
        <f>IF(ISNUMBER(SEARCH(Лист2!$B$5,I:I)),1,0)+K1481</f>
        <v>0</v>
      </c>
      <c r="M1481" s="3">
        <f ca="1">IF(AND(N1481&lt;&gt;N1480,ISNUMBER(SEARCH(Лист2!$B$6,N:N)),L1481=2),MAX($M$3:OFFSET(M1481,-1,0))+1,0)</f>
        <v>0</v>
      </c>
      <c r="N1481" s="3" t="s">
        <v>1432</v>
      </c>
    </row>
    <row r="1482" spans="1:14" x14ac:dyDescent="0.25">
      <c r="A1482" s="1" t="s">
        <v>11004</v>
      </c>
      <c r="B1482" s="3" t="s">
        <v>5106</v>
      </c>
      <c r="C1482" s="2">
        <f ca="1">IF(ISNUMBER(SEARCH(Лист2!$B$4,D:D)),MAX($C$3:OFFSET(C1482,-1,0))+1,0)</f>
        <v>0</v>
      </c>
      <c r="E1482" s="9" t="str">
        <f t="shared" ca="1" si="35"/>
        <v/>
      </c>
      <c r="F1482" s="4" t="s">
        <v>7</v>
      </c>
      <c r="G1482" s="2">
        <f>IF(ISNUMBER(SEARCH(Лист2!$B$4,F:F)),1,0)</f>
        <v>0</v>
      </c>
      <c r="H1482" s="3">
        <f ca="1">IF(AND(I1482&lt;&gt;I1481,ISNUMBER(SEARCH(Лист2!$B$5,I:I)),G1482=1),MAX($H$3:OFFSET(H1482,-1,0))+1,0)</f>
        <v>0</v>
      </c>
      <c r="I1482" s="3" t="s">
        <v>192</v>
      </c>
      <c r="K1482" s="2">
        <f>IF(ISNUMBER(SEARCH(Лист2!$B$4,F:F)),1,0)</f>
        <v>0</v>
      </c>
      <c r="L1482" s="14">
        <f>IF(ISNUMBER(SEARCH(Лист2!$B$5,I:I)),1,0)+K1482</f>
        <v>0</v>
      </c>
      <c r="M1482" s="3">
        <f ca="1">IF(AND(N1482&lt;&gt;N1481,ISNUMBER(SEARCH(Лист2!$B$6,N:N)),L1482=2),MAX($M$3:OFFSET(M1482,-1,0))+1,0)</f>
        <v>0</v>
      </c>
      <c r="N1482" s="3" t="s">
        <v>1433</v>
      </c>
    </row>
    <row r="1483" spans="1:14" x14ac:dyDescent="0.25">
      <c r="A1483" s="1" t="s">
        <v>11005</v>
      </c>
      <c r="B1483" s="3" t="s">
        <v>5107</v>
      </c>
      <c r="C1483" s="2">
        <f ca="1">IF(ISNUMBER(SEARCH(Лист2!$B$4,D:D)),MAX($C$3:OFFSET(C1483,-1,0))+1,0)</f>
        <v>0</v>
      </c>
      <c r="E1483" s="9" t="str">
        <f t="shared" ca="1" si="35"/>
        <v/>
      </c>
      <c r="F1483" s="4" t="s">
        <v>7</v>
      </c>
      <c r="G1483" s="2">
        <f>IF(ISNUMBER(SEARCH(Лист2!$B$4,F:F)),1,0)</f>
        <v>0</v>
      </c>
      <c r="H1483" s="3">
        <f ca="1">IF(AND(I1483&lt;&gt;I1482,ISNUMBER(SEARCH(Лист2!$B$5,I:I)),G1483=1),MAX($H$3:OFFSET(H1483,-1,0))+1,0)</f>
        <v>0</v>
      </c>
      <c r="I1483" s="3" t="s">
        <v>192</v>
      </c>
      <c r="K1483" s="2">
        <f>IF(ISNUMBER(SEARCH(Лист2!$B$4,F:F)),1,0)</f>
        <v>0</v>
      </c>
      <c r="L1483" s="14">
        <f>IF(ISNUMBER(SEARCH(Лист2!$B$5,I:I)),1,0)+K1483</f>
        <v>0</v>
      </c>
      <c r="M1483" s="3">
        <f ca="1">IF(AND(N1483&lt;&gt;N1482,ISNUMBER(SEARCH(Лист2!$B$6,N:N)),L1483=2),MAX($M$3:OFFSET(M1483,-1,0))+1,0)</f>
        <v>0</v>
      </c>
      <c r="N1483" s="3" t="s">
        <v>602</v>
      </c>
    </row>
    <row r="1484" spans="1:14" x14ac:dyDescent="0.25">
      <c r="A1484" s="1" t="s">
        <v>11006</v>
      </c>
      <c r="B1484" s="3" t="s">
        <v>5108</v>
      </c>
      <c r="C1484" s="2">
        <f ca="1">IF(ISNUMBER(SEARCH(Лист2!$B$4,D:D)),MAX($C$3:OFFSET(C1484,-1,0))+1,0)</f>
        <v>0</v>
      </c>
      <c r="E1484" s="9" t="str">
        <f t="shared" ca="1" si="35"/>
        <v/>
      </c>
      <c r="F1484" s="4" t="s">
        <v>7</v>
      </c>
      <c r="G1484" s="2">
        <f>IF(ISNUMBER(SEARCH(Лист2!$B$4,F:F)),1,0)</f>
        <v>0</v>
      </c>
      <c r="H1484" s="3">
        <f ca="1">IF(AND(I1484&lt;&gt;I1483,ISNUMBER(SEARCH(Лист2!$B$5,I:I)),G1484=1),MAX($H$3:OFFSET(H1484,-1,0))+1,0)</f>
        <v>0</v>
      </c>
      <c r="I1484" s="3" t="s">
        <v>192</v>
      </c>
      <c r="K1484" s="2">
        <f>IF(ISNUMBER(SEARCH(Лист2!$B$4,F:F)),1,0)</f>
        <v>0</v>
      </c>
      <c r="L1484" s="14">
        <f>IF(ISNUMBER(SEARCH(Лист2!$B$5,I:I)),1,0)+K1484</f>
        <v>0</v>
      </c>
      <c r="M1484" s="3">
        <f ca="1">IF(AND(N1484&lt;&gt;N1483,ISNUMBER(SEARCH(Лист2!$B$6,N:N)),L1484=2),MAX($M$3:OFFSET(M1484,-1,0))+1,0)</f>
        <v>0</v>
      </c>
      <c r="N1484" s="3" t="s">
        <v>1443</v>
      </c>
    </row>
    <row r="1485" spans="1:14" x14ac:dyDescent="0.25">
      <c r="A1485" s="1" t="s">
        <v>11007</v>
      </c>
      <c r="B1485" s="3" t="s">
        <v>5109</v>
      </c>
      <c r="C1485" s="2">
        <f ca="1">IF(ISNUMBER(SEARCH(Лист2!$B$4,D:D)),MAX($C$3:OFFSET(C1485,-1,0))+1,0)</f>
        <v>0</v>
      </c>
      <c r="E1485" s="9" t="str">
        <f t="shared" ca="1" si="35"/>
        <v/>
      </c>
      <c r="F1485" s="4" t="s">
        <v>7</v>
      </c>
      <c r="G1485" s="2">
        <f>IF(ISNUMBER(SEARCH(Лист2!$B$4,F:F)),1,0)</f>
        <v>0</v>
      </c>
      <c r="H1485" s="3">
        <f ca="1">IF(AND(I1485&lt;&gt;I1484,ISNUMBER(SEARCH(Лист2!$B$5,I:I)),G1485=1),MAX($H$3:OFFSET(H1485,-1,0))+1,0)</f>
        <v>0</v>
      </c>
      <c r="I1485" s="3" t="s">
        <v>193</v>
      </c>
      <c r="K1485" s="2">
        <f>IF(ISNUMBER(SEARCH(Лист2!$B$4,F:F)),1,0)</f>
        <v>0</v>
      </c>
      <c r="L1485" s="14">
        <f>IF(ISNUMBER(SEARCH(Лист2!$B$5,I:I)),1,0)+K1485</f>
        <v>0</v>
      </c>
      <c r="M1485" s="3">
        <f ca="1">IF(AND(N1485&lt;&gt;N1484,ISNUMBER(SEARCH(Лист2!$B$6,N:N)),L1485=2),MAX($M$3:OFFSET(M1485,-1,0))+1,0)</f>
        <v>0</v>
      </c>
      <c r="N1485" s="3" t="s">
        <v>1444</v>
      </c>
    </row>
    <row r="1486" spans="1:14" x14ac:dyDescent="0.25">
      <c r="A1486" s="1" t="s">
        <v>11008</v>
      </c>
      <c r="B1486" s="3" t="s">
        <v>5110</v>
      </c>
      <c r="C1486" s="2">
        <f ca="1">IF(ISNUMBER(SEARCH(Лист2!$B$4,D:D)),MAX($C$3:OFFSET(C1486,-1,0))+1,0)</f>
        <v>0</v>
      </c>
      <c r="E1486" s="9" t="str">
        <f t="shared" ca="1" si="35"/>
        <v/>
      </c>
      <c r="F1486" s="4" t="s">
        <v>7</v>
      </c>
      <c r="G1486" s="2">
        <f>IF(ISNUMBER(SEARCH(Лист2!$B$4,F:F)),1,0)</f>
        <v>0</v>
      </c>
      <c r="H1486" s="3">
        <f ca="1">IF(AND(I1486&lt;&gt;I1485,ISNUMBER(SEARCH(Лист2!$B$5,I:I)),G1486=1),MAX($H$3:OFFSET(H1486,-1,0))+1,0)</f>
        <v>0</v>
      </c>
      <c r="I1486" s="3" t="s">
        <v>193</v>
      </c>
      <c r="K1486" s="2">
        <f>IF(ISNUMBER(SEARCH(Лист2!$B$4,F:F)),1,0)</f>
        <v>0</v>
      </c>
      <c r="L1486" s="14">
        <f>IF(ISNUMBER(SEARCH(Лист2!$B$5,I:I)),1,0)+K1486</f>
        <v>0</v>
      </c>
      <c r="M1486" s="3">
        <f ca="1">IF(AND(N1486&lt;&gt;N1485,ISNUMBER(SEARCH(Лист2!$B$6,N:N)),L1486=2),MAX($M$3:OFFSET(M1486,-1,0))+1,0)</f>
        <v>0</v>
      </c>
      <c r="N1486" s="3" t="s">
        <v>1445</v>
      </c>
    </row>
    <row r="1487" spans="1:14" x14ac:dyDescent="0.25">
      <c r="A1487" s="1" t="s">
        <v>11009</v>
      </c>
      <c r="B1487" s="3" t="s">
        <v>5111</v>
      </c>
      <c r="C1487" s="2">
        <f ca="1">IF(ISNUMBER(SEARCH(Лист2!$B$4,D:D)),MAX($C$3:OFFSET(C1487,-1,0))+1,0)</f>
        <v>0</v>
      </c>
      <c r="E1487" s="9" t="str">
        <f t="shared" ca="1" si="35"/>
        <v/>
      </c>
      <c r="F1487" s="4" t="s">
        <v>7</v>
      </c>
      <c r="G1487" s="2">
        <f>IF(ISNUMBER(SEARCH(Лист2!$B$4,F:F)),1,0)</f>
        <v>0</v>
      </c>
      <c r="H1487" s="3">
        <f ca="1">IF(AND(I1487&lt;&gt;I1486,ISNUMBER(SEARCH(Лист2!$B$5,I:I)),G1487=1),MAX($H$3:OFFSET(H1487,-1,0))+1,0)</f>
        <v>0</v>
      </c>
      <c r="I1487" s="3" t="s">
        <v>193</v>
      </c>
      <c r="K1487" s="2">
        <f>IF(ISNUMBER(SEARCH(Лист2!$B$4,F:F)),1,0)</f>
        <v>0</v>
      </c>
      <c r="L1487" s="14">
        <f>IF(ISNUMBER(SEARCH(Лист2!$B$5,I:I)),1,0)+K1487</f>
        <v>0</v>
      </c>
      <c r="M1487" s="3">
        <f ca="1">IF(AND(N1487&lt;&gt;N1486,ISNUMBER(SEARCH(Лист2!$B$6,N:N)),L1487=2),MAX($M$3:OFFSET(M1487,-1,0))+1,0)</f>
        <v>0</v>
      </c>
      <c r="N1487" s="3" t="s">
        <v>1446</v>
      </c>
    </row>
    <row r="1488" spans="1:14" x14ac:dyDescent="0.25">
      <c r="A1488" s="1" t="s">
        <v>11010</v>
      </c>
      <c r="B1488" s="3" t="s">
        <v>5112</v>
      </c>
      <c r="C1488" s="2">
        <f ca="1">IF(ISNUMBER(SEARCH(Лист2!$B$4,D:D)),MAX($C$3:OFFSET(C1488,-1,0))+1,0)</f>
        <v>0</v>
      </c>
      <c r="E1488" s="9" t="str">
        <f t="shared" ca="1" si="35"/>
        <v/>
      </c>
      <c r="F1488" s="4" t="s">
        <v>7</v>
      </c>
      <c r="G1488" s="2">
        <f>IF(ISNUMBER(SEARCH(Лист2!$B$4,F:F)),1,0)</f>
        <v>0</v>
      </c>
      <c r="H1488" s="3">
        <f ca="1">IF(AND(I1488&lt;&gt;I1487,ISNUMBER(SEARCH(Лист2!$B$5,I:I)),G1488=1),MAX($H$3:OFFSET(H1488,-1,0))+1,0)</f>
        <v>0</v>
      </c>
      <c r="I1488" s="3" t="s">
        <v>193</v>
      </c>
      <c r="K1488" s="2">
        <f>IF(ISNUMBER(SEARCH(Лист2!$B$4,F:F)),1,0)</f>
        <v>0</v>
      </c>
      <c r="L1488" s="14">
        <f>IF(ISNUMBER(SEARCH(Лист2!$B$5,I:I)),1,0)+K1488</f>
        <v>0</v>
      </c>
      <c r="M1488" s="3">
        <f ca="1">IF(AND(N1488&lt;&gt;N1487,ISNUMBER(SEARCH(Лист2!$B$6,N:N)),L1488=2),MAX($M$3:OFFSET(M1488,-1,0))+1,0)</f>
        <v>0</v>
      </c>
      <c r="N1488" s="3" t="s">
        <v>1447</v>
      </c>
    </row>
    <row r="1489" spans="1:14" x14ac:dyDescent="0.25">
      <c r="A1489" s="1" t="s">
        <v>11011</v>
      </c>
      <c r="B1489" s="3" t="s">
        <v>5113</v>
      </c>
      <c r="C1489" s="2">
        <f ca="1">IF(ISNUMBER(SEARCH(Лист2!$B$4,D:D)),MAX($C$3:OFFSET(C1489,-1,0))+1,0)</f>
        <v>0</v>
      </c>
      <c r="E1489" s="9" t="str">
        <f t="shared" ca="1" si="35"/>
        <v/>
      </c>
      <c r="F1489" s="4" t="s">
        <v>7</v>
      </c>
      <c r="G1489" s="2">
        <f>IF(ISNUMBER(SEARCH(Лист2!$B$4,F:F)),1,0)</f>
        <v>0</v>
      </c>
      <c r="H1489" s="3">
        <f ca="1">IF(AND(I1489&lt;&gt;I1488,ISNUMBER(SEARCH(Лист2!$B$5,I:I)),G1489=1),MAX($H$3:OFFSET(H1489,-1,0))+1,0)</f>
        <v>0</v>
      </c>
      <c r="I1489" s="3" t="s">
        <v>193</v>
      </c>
      <c r="K1489" s="2">
        <f>IF(ISNUMBER(SEARCH(Лист2!$B$4,F:F)),1,0)</f>
        <v>0</v>
      </c>
      <c r="L1489" s="14">
        <f>IF(ISNUMBER(SEARCH(Лист2!$B$5,I:I)),1,0)+K1489</f>
        <v>0</v>
      </c>
      <c r="M1489" s="3">
        <f ca="1">IF(AND(N1489&lt;&gt;N1488,ISNUMBER(SEARCH(Лист2!$B$6,N:N)),L1489=2),MAX($M$3:OFFSET(M1489,-1,0))+1,0)</f>
        <v>0</v>
      </c>
      <c r="N1489" s="3" t="s">
        <v>1448</v>
      </c>
    </row>
    <row r="1490" spans="1:14" x14ac:dyDescent="0.25">
      <c r="A1490" s="1" t="s">
        <v>11011</v>
      </c>
      <c r="B1490" s="3" t="s">
        <v>5114</v>
      </c>
      <c r="C1490" s="2">
        <f ca="1">IF(ISNUMBER(SEARCH(Лист2!$B$4,D:D)),MAX($C$3:OFFSET(C1490,-1,0))+1,0)</f>
        <v>0</v>
      </c>
      <c r="E1490" s="9" t="str">
        <f t="shared" ca="1" si="35"/>
        <v/>
      </c>
      <c r="F1490" s="4" t="s">
        <v>7</v>
      </c>
      <c r="G1490" s="2">
        <f>IF(ISNUMBER(SEARCH(Лист2!$B$4,F:F)),1,0)</f>
        <v>0</v>
      </c>
      <c r="H1490" s="3">
        <f ca="1">IF(AND(I1490&lt;&gt;I1489,ISNUMBER(SEARCH(Лист2!$B$5,I:I)),G1490=1),MAX($H$3:OFFSET(H1490,-1,0))+1,0)</f>
        <v>0</v>
      </c>
      <c r="I1490" s="3" t="s">
        <v>193</v>
      </c>
      <c r="K1490" s="2">
        <f>IF(ISNUMBER(SEARCH(Лист2!$B$4,F:F)),1,0)</f>
        <v>0</v>
      </c>
      <c r="L1490" s="14">
        <f>IF(ISNUMBER(SEARCH(Лист2!$B$5,I:I)),1,0)+K1490</f>
        <v>0</v>
      </c>
      <c r="M1490" s="3">
        <f ca="1">IF(AND(N1490&lt;&gt;N1489,ISNUMBER(SEARCH(Лист2!$B$6,N:N)),L1490=2),MAX($M$3:OFFSET(M1490,-1,0))+1,0)</f>
        <v>0</v>
      </c>
      <c r="N1490" s="3" t="s">
        <v>1448</v>
      </c>
    </row>
    <row r="1491" spans="1:14" x14ac:dyDescent="0.25">
      <c r="A1491" s="1" t="s">
        <v>11011</v>
      </c>
      <c r="B1491" s="3" t="s">
        <v>5115</v>
      </c>
      <c r="C1491" s="2">
        <f ca="1">IF(ISNUMBER(SEARCH(Лист2!$B$4,D:D)),MAX($C$3:OFFSET(C1491,-1,0))+1,0)</f>
        <v>0</v>
      </c>
      <c r="E1491" s="9" t="str">
        <f t="shared" ca="1" si="35"/>
        <v/>
      </c>
      <c r="F1491" s="4" t="s">
        <v>7</v>
      </c>
      <c r="G1491" s="2">
        <f>IF(ISNUMBER(SEARCH(Лист2!$B$4,F:F)),1,0)</f>
        <v>0</v>
      </c>
      <c r="H1491" s="3">
        <f ca="1">IF(AND(I1491&lt;&gt;I1490,ISNUMBER(SEARCH(Лист2!$B$5,I:I)),G1491=1),MAX($H$3:OFFSET(H1491,-1,0))+1,0)</f>
        <v>0</v>
      </c>
      <c r="I1491" s="3" t="s">
        <v>193</v>
      </c>
      <c r="K1491" s="2">
        <f>IF(ISNUMBER(SEARCH(Лист2!$B$4,F:F)),1,0)</f>
        <v>0</v>
      </c>
      <c r="L1491" s="14">
        <f>IF(ISNUMBER(SEARCH(Лист2!$B$5,I:I)),1,0)+K1491</f>
        <v>0</v>
      </c>
      <c r="M1491" s="3">
        <f ca="1">IF(AND(N1491&lt;&gt;N1490,ISNUMBER(SEARCH(Лист2!$B$6,N:N)),L1491=2),MAX($M$3:OFFSET(M1491,-1,0))+1,0)</f>
        <v>0</v>
      </c>
      <c r="N1491" s="3" t="s">
        <v>1448</v>
      </c>
    </row>
    <row r="1492" spans="1:14" x14ac:dyDescent="0.25">
      <c r="A1492" s="1" t="s">
        <v>11012</v>
      </c>
      <c r="B1492" s="3" t="s">
        <v>5116</v>
      </c>
      <c r="C1492" s="2">
        <f ca="1">IF(ISNUMBER(SEARCH(Лист2!$B$4,D:D)),MAX($C$3:OFFSET(C1492,-1,0))+1,0)</f>
        <v>0</v>
      </c>
      <c r="E1492" s="9" t="str">
        <f t="shared" ca="1" si="35"/>
        <v/>
      </c>
      <c r="F1492" s="4" t="s">
        <v>7</v>
      </c>
      <c r="G1492" s="2">
        <f>IF(ISNUMBER(SEARCH(Лист2!$B$4,F:F)),1,0)</f>
        <v>0</v>
      </c>
      <c r="H1492" s="3">
        <f ca="1">IF(AND(I1492&lt;&gt;I1491,ISNUMBER(SEARCH(Лист2!$B$5,I:I)),G1492=1),MAX($H$3:OFFSET(H1492,-1,0))+1,0)</f>
        <v>0</v>
      </c>
      <c r="I1492" s="3" t="s">
        <v>193</v>
      </c>
      <c r="K1492" s="2">
        <f>IF(ISNUMBER(SEARCH(Лист2!$B$4,F:F)),1,0)</f>
        <v>0</v>
      </c>
      <c r="L1492" s="14">
        <f>IF(ISNUMBER(SEARCH(Лист2!$B$5,I:I)),1,0)+K1492</f>
        <v>0</v>
      </c>
      <c r="M1492" s="3">
        <f ca="1">IF(AND(N1492&lt;&gt;N1491,ISNUMBER(SEARCH(Лист2!$B$6,N:N)),L1492=2),MAX($M$3:OFFSET(M1492,-1,0))+1,0)</f>
        <v>0</v>
      </c>
      <c r="N1492" s="3" t="s">
        <v>1449</v>
      </c>
    </row>
    <row r="1493" spans="1:14" x14ac:dyDescent="0.25">
      <c r="A1493" s="1" t="s">
        <v>11012</v>
      </c>
      <c r="B1493" s="3" t="s">
        <v>5117</v>
      </c>
      <c r="C1493" s="2">
        <f ca="1">IF(ISNUMBER(SEARCH(Лист2!$B$4,D:D)),MAX($C$3:OFFSET(C1493,-1,0))+1,0)</f>
        <v>0</v>
      </c>
      <c r="E1493" s="9" t="str">
        <f t="shared" ca="1" si="35"/>
        <v/>
      </c>
      <c r="F1493" s="4" t="s">
        <v>7</v>
      </c>
      <c r="G1493" s="2">
        <f>IF(ISNUMBER(SEARCH(Лист2!$B$4,F:F)),1,0)</f>
        <v>0</v>
      </c>
      <c r="H1493" s="3">
        <f ca="1">IF(AND(I1493&lt;&gt;I1492,ISNUMBER(SEARCH(Лист2!$B$5,I:I)),G1493=1),MAX($H$3:OFFSET(H1493,-1,0))+1,0)</f>
        <v>0</v>
      </c>
      <c r="I1493" s="3" t="s">
        <v>193</v>
      </c>
      <c r="K1493" s="2">
        <f>IF(ISNUMBER(SEARCH(Лист2!$B$4,F:F)),1,0)</f>
        <v>0</v>
      </c>
      <c r="L1493" s="14">
        <f>IF(ISNUMBER(SEARCH(Лист2!$B$5,I:I)),1,0)+K1493</f>
        <v>0</v>
      </c>
      <c r="M1493" s="3">
        <f ca="1">IF(AND(N1493&lt;&gt;N1492,ISNUMBER(SEARCH(Лист2!$B$6,N:N)),L1493=2),MAX($M$3:OFFSET(M1493,-1,0))+1,0)</f>
        <v>0</v>
      </c>
      <c r="N1493" s="3" t="s">
        <v>1449</v>
      </c>
    </row>
    <row r="1494" spans="1:14" x14ac:dyDescent="0.25">
      <c r="A1494" s="1" t="s">
        <v>11012</v>
      </c>
      <c r="B1494" s="3" t="s">
        <v>5118</v>
      </c>
      <c r="C1494" s="2">
        <f ca="1">IF(ISNUMBER(SEARCH(Лист2!$B$4,D:D)),MAX($C$3:OFFSET(C1494,-1,0))+1,0)</f>
        <v>0</v>
      </c>
      <c r="E1494" s="9" t="str">
        <f t="shared" ca="1" si="35"/>
        <v/>
      </c>
      <c r="F1494" s="4" t="s">
        <v>7</v>
      </c>
      <c r="G1494" s="2">
        <f>IF(ISNUMBER(SEARCH(Лист2!$B$4,F:F)),1,0)</f>
        <v>0</v>
      </c>
      <c r="H1494" s="3">
        <f ca="1">IF(AND(I1494&lt;&gt;I1493,ISNUMBER(SEARCH(Лист2!$B$5,I:I)),G1494=1),MAX($H$3:OFFSET(H1494,-1,0))+1,0)</f>
        <v>0</v>
      </c>
      <c r="I1494" s="3" t="s">
        <v>193</v>
      </c>
      <c r="K1494" s="2">
        <f>IF(ISNUMBER(SEARCH(Лист2!$B$4,F:F)),1,0)</f>
        <v>0</v>
      </c>
      <c r="L1494" s="14">
        <f>IF(ISNUMBER(SEARCH(Лист2!$B$5,I:I)),1,0)+K1494</f>
        <v>0</v>
      </c>
      <c r="M1494" s="3">
        <f ca="1">IF(AND(N1494&lt;&gt;N1493,ISNUMBER(SEARCH(Лист2!$B$6,N:N)),L1494=2),MAX($M$3:OFFSET(M1494,-1,0))+1,0)</f>
        <v>0</v>
      </c>
      <c r="N1494" s="3" t="s">
        <v>1449</v>
      </c>
    </row>
    <row r="1495" spans="1:14" x14ac:dyDescent="0.25">
      <c r="A1495" s="1" t="s">
        <v>11013</v>
      </c>
      <c r="B1495" s="3" t="s">
        <v>5119</v>
      </c>
      <c r="C1495" s="2">
        <f ca="1">IF(ISNUMBER(SEARCH(Лист2!$B$4,D:D)),MAX($C$3:OFFSET(C1495,-1,0))+1,0)</f>
        <v>0</v>
      </c>
      <c r="E1495" s="9" t="str">
        <f t="shared" ca="1" si="35"/>
        <v/>
      </c>
      <c r="F1495" s="4" t="s">
        <v>7</v>
      </c>
      <c r="G1495" s="2">
        <f>IF(ISNUMBER(SEARCH(Лист2!$B$4,F:F)),1,0)</f>
        <v>0</v>
      </c>
      <c r="H1495" s="3">
        <f ca="1">IF(AND(I1495&lt;&gt;I1494,ISNUMBER(SEARCH(Лист2!$B$5,I:I)),G1495=1),MAX($H$3:OFFSET(H1495,-1,0))+1,0)</f>
        <v>0</v>
      </c>
      <c r="I1495" s="3" t="s">
        <v>193</v>
      </c>
      <c r="K1495" s="2">
        <f>IF(ISNUMBER(SEARCH(Лист2!$B$4,F:F)),1,0)</f>
        <v>0</v>
      </c>
      <c r="L1495" s="14">
        <f>IF(ISNUMBER(SEARCH(Лист2!$B$5,I:I)),1,0)+K1495</f>
        <v>0</v>
      </c>
      <c r="M1495" s="3">
        <f ca="1">IF(AND(N1495&lt;&gt;N1494,ISNUMBER(SEARCH(Лист2!$B$6,N:N)),L1495=2),MAX($M$3:OFFSET(M1495,-1,0))+1,0)</f>
        <v>0</v>
      </c>
      <c r="N1495" s="3" t="s">
        <v>1450</v>
      </c>
    </row>
    <row r="1496" spans="1:14" x14ac:dyDescent="0.25">
      <c r="A1496" s="1" t="s">
        <v>11013</v>
      </c>
      <c r="B1496" s="3" t="s">
        <v>5120</v>
      </c>
      <c r="C1496" s="2">
        <f ca="1">IF(ISNUMBER(SEARCH(Лист2!$B$4,D:D)),MAX($C$3:OFFSET(C1496,-1,0))+1,0)</f>
        <v>0</v>
      </c>
      <c r="E1496" s="9" t="str">
        <f t="shared" ca="1" si="35"/>
        <v/>
      </c>
      <c r="F1496" s="4" t="s">
        <v>7</v>
      </c>
      <c r="G1496" s="2">
        <f>IF(ISNUMBER(SEARCH(Лист2!$B$4,F:F)),1,0)</f>
        <v>0</v>
      </c>
      <c r="H1496" s="3">
        <f ca="1">IF(AND(I1496&lt;&gt;I1495,ISNUMBER(SEARCH(Лист2!$B$5,I:I)),G1496=1),MAX($H$3:OFFSET(H1496,-1,0))+1,0)</f>
        <v>0</v>
      </c>
      <c r="I1496" s="3" t="s">
        <v>193</v>
      </c>
      <c r="K1496" s="2">
        <f>IF(ISNUMBER(SEARCH(Лист2!$B$4,F:F)),1,0)</f>
        <v>0</v>
      </c>
      <c r="L1496" s="14">
        <f>IF(ISNUMBER(SEARCH(Лист2!$B$5,I:I)),1,0)+K1496</f>
        <v>0</v>
      </c>
      <c r="M1496" s="3">
        <f ca="1">IF(AND(N1496&lt;&gt;N1495,ISNUMBER(SEARCH(Лист2!$B$6,N:N)),L1496=2),MAX($M$3:OFFSET(M1496,-1,0))+1,0)</f>
        <v>0</v>
      </c>
      <c r="N1496" s="3" t="s">
        <v>1450</v>
      </c>
    </row>
    <row r="1497" spans="1:14" x14ac:dyDescent="0.25">
      <c r="A1497" s="1" t="s">
        <v>11013</v>
      </c>
      <c r="B1497" s="3" t="s">
        <v>5121</v>
      </c>
      <c r="C1497" s="2">
        <f ca="1">IF(ISNUMBER(SEARCH(Лист2!$B$4,D:D)),MAX($C$3:OFFSET(C1497,-1,0))+1,0)</f>
        <v>0</v>
      </c>
      <c r="E1497" s="9" t="str">
        <f t="shared" ca="1" si="35"/>
        <v/>
      </c>
      <c r="F1497" s="4" t="s">
        <v>7</v>
      </c>
      <c r="G1497" s="2">
        <f>IF(ISNUMBER(SEARCH(Лист2!$B$4,F:F)),1,0)</f>
        <v>0</v>
      </c>
      <c r="H1497" s="3">
        <f ca="1">IF(AND(I1497&lt;&gt;I1496,ISNUMBER(SEARCH(Лист2!$B$5,I:I)),G1497=1),MAX($H$3:OFFSET(H1497,-1,0))+1,0)</f>
        <v>0</v>
      </c>
      <c r="I1497" s="3" t="s">
        <v>193</v>
      </c>
      <c r="K1497" s="2">
        <f>IF(ISNUMBER(SEARCH(Лист2!$B$4,F:F)),1,0)</f>
        <v>0</v>
      </c>
      <c r="L1497" s="14">
        <f>IF(ISNUMBER(SEARCH(Лист2!$B$5,I:I)),1,0)+K1497</f>
        <v>0</v>
      </c>
      <c r="M1497" s="3">
        <f ca="1">IF(AND(N1497&lt;&gt;N1496,ISNUMBER(SEARCH(Лист2!$B$6,N:N)),L1497=2),MAX($M$3:OFFSET(M1497,-1,0))+1,0)</f>
        <v>0</v>
      </c>
      <c r="N1497" s="3" t="s">
        <v>1450</v>
      </c>
    </row>
    <row r="1498" spans="1:14" x14ac:dyDescent="0.25">
      <c r="A1498" s="1" t="s">
        <v>11014</v>
      </c>
      <c r="B1498" s="3" t="s">
        <v>5122</v>
      </c>
      <c r="C1498" s="2">
        <f ca="1">IF(ISNUMBER(SEARCH(Лист2!$B$4,D:D)),MAX($C$3:OFFSET(C1498,-1,0))+1,0)</f>
        <v>0</v>
      </c>
      <c r="E1498" s="9" t="str">
        <f t="shared" ca="1" si="35"/>
        <v/>
      </c>
      <c r="F1498" s="4" t="s">
        <v>7</v>
      </c>
      <c r="G1498" s="2">
        <f>IF(ISNUMBER(SEARCH(Лист2!$B$4,F:F)),1,0)</f>
        <v>0</v>
      </c>
      <c r="H1498" s="3">
        <f ca="1">IF(AND(I1498&lt;&gt;I1497,ISNUMBER(SEARCH(Лист2!$B$5,I:I)),G1498=1),MAX($H$3:OFFSET(H1498,-1,0))+1,0)</f>
        <v>0</v>
      </c>
      <c r="I1498" s="3" t="s">
        <v>193</v>
      </c>
      <c r="K1498" s="2">
        <f>IF(ISNUMBER(SEARCH(Лист2!$B$4,F:F)),1,0)</f>
        <v>0</v>
      </c>
      <c r="L1498" s="14">
        <f>IF(ISNUMBER(SEARCH(Лист2!$B$5,I:I)),1,0)+K1498</f>
        <v>0</v>
      </c>
      <c r="M1498" s="3">
        <f ca="1">IF(AND(N1498&lt;&gt;N1497,ISNUMBER(SEARCH(Лист2!$B$6,N:N)),L1498=2),MAX($M$3:OFFSET(M1498,-1,0))+1,0)</f>
        <v>0</v>
      </c>
      <c r="N1498" s="3" t="s">
        <v>1451</v>
      </c>
    </row>
    <row r="1499" spans="1:14" x14ac:dyDescent="0.25">
      <c r="A1499" s="1" t="s">
        <v>11014</v>
      </c>
      <c r="B1499" s="3" t="s">
        <v>5123</v>
      </c>
      <c r="C1499" s="2">
        <f ca="1">IF(ISNUMBER(SEARCH(Лист2!$B$4,D:D)),MAX($C$3:OFFSET(C1499,-1,0))+1,0)</f>
        <v>0</v>
      </c>
      <c r="E1499" s="9" t="str">
        <f t="shared" ca="1" si="35"/>
        <v/>
      </c>
      <c r="F1499" s="4" t="s">
        <v>7</v>
      </c>
      <c r="G1499" s="2">
        <f>IF(ISNUMBER(SEARCH(Лист2!$B$4,F:F)),1,0)</f>
        <v>0</v>
      </c>
      <c r="H1499" s="3">
        <f ca="1">IF(AND(I1499&lt;&gt;I1498,ISNUMBER(SEARCH(Лист2!$B$5,I:I)),G1499=1),MAX($H$3:OFFSET(H1499,-1,0))+1,0)</f>
        <v>0</v>
      </c>
      <c r="I1499" s="3" t="s">
        <v>193</v>
      </c>
      <c r="K1499" s="2">
        <f>IF(ISNUMBER(SEARCH(Лист2!$B$4,F:F)),1,0)</f>
        <v>0</v>
      </c>
      <c r="L1499" s="14">
        <f>IF(ISNUMBER(SEARCH(Лист2!$B$5,I:I)),1,0)+K1499</f>
        <v>0</v>
      </c>
      <c r="M1499" s="3">
        <f ca="1">IF(AND(N1499&lt;&gt;N1498,ISNUMBER(SEARCH(Лист2!$B$6,N:N)),L1499=2),MAX($M$3:OFFSET(M1499,-1,0))+1,0)</f>
        <v>0</v>
      </c>
      <c r="N1499" s="3" t="s">
        <v>1451</v>
      </c>
    </row>
    <row r="1500" spans="1:14" x14ac:dyDescent="0.25">
      <c r="A1500" s="1" t="s">
        <v>11014</v>
      </c>
      <c r="B1500" s="3" t="s">
        <v>5124</v>
      </c>
      <c r="C1500" s="2">
        <f ca="1">IF(ISNUMBER(SEARCH(Лист2!$B$4,D:D)),MAX($C$3:OFFSET(C1500,-1,0))+1,0)</f>
        <v>0</v>
      </c>
      <c r="E1500" s="9" t="str">
        <f t="shared" ca="1" si="35"/>
        <v/>
      </c>
      <c r="F1500" s="4" t="s">
        <v>7</v>
      </c>
      <c r="G1500" s="2">
        <f>IF(ISNUMBER(SEARCH(Лист2!$B$4,F:F)),1,0)</f>
        <v>0</v>
      </c>
      <c r="H1500" s="3">
        <f ca="1">IF(AND(I1500&lt;&gt;I1499,ISNUMBER(SEARCH(Лист2!$B$5,I:I)),G1500=1),MAX($H$3:OFFSET(H1500,-1,0))+1,0)</f>
        <v>0</v>
      </c>
      <c r="I1500" s="3" t="s">
        <v>193</v>
      </c>
      <c r="K1500" s="2">
        <f>IF(ISNUMBER(SEARCH(Лист2!$B$4,F:F)),1,0)</f>
        <v>0</v>
      </c>
      <c r="L1500" s="14">
        <f>IF(ISNUMBER(SEARCH(Лист2!$B$5,I:I)),1,0)+K1500</f>
        <v>0</v>
      </c>
      <c r="M1500" s="3">
        <f ca="1">IF(AND(N1500&lt;&gt;N1499,ISNUMBER(SEARCH(Лист2!$B$6,N:N)),L1500=2),MAX($M$3:OFFSET(M1500,-1,0))+1,0)</f>
        <v>0</v>
      </c>
      <c r="N1500" s="3" t="s">
        <v>1451</v>
      </c>
    </row>
    <row r="1501" spans="1:14" x14ac:dyDescent="0.25">
      <c r="A1501" s="1" t="s">
        <v>11015</v>
      </c>
      <c r="B1501" s="3" t="s">
        <v>5125</v>
      </c>
      <c r="C1501" s="2">
        <f ca="1">IF(ISNUMBER(SEARCH(Лист2!$B$4,D:D)),MAX($C$3:OFFSET(C1501,-1,0))+1,0)</f>
        <v>0</v>
      </c>
      <c r="E1501" s="9" t="str">
        <f t="shared" ca="1" si="35"/>
        <v/>
      </c>
      <c r="F1501" s="4" t="s">
        <v>7</v>
      </c>
      <c r="G1501" s="2">
        <f>IF(ISNUMBER(SEARCH(Лист2!$B$4,F:F)),1,0)</f>
        <v>0</v>
      </c>
      <c r="H1501" s="3">
        <f ca="1">IF(AND(I1501&lt;&gt;I1500,ISNUMBER(SEARCH(Лист2!$B$5,I:I)),G1501=1),MAX($H$3:OFFSET(H1501,-1,0))+1,0)</f>
        <v>0</v>
      </c>
      <c r="I1501" s="3" t="s">
        <v>193</v>
      </c>
      <c r="K1501" s="2">
        <f>IF(ISNUMBER(SEARCH(Лист2!$B$4,F:F)),1,0)</f>
        <v>0</v>
      </c>
      <c r="L1501" s="14">
        <f>IF(ISNUMBER(SEARCH(Лист2!$B$5,I:I)),1,0)+K1501</f>
        <v>0</v>
      </c>
      <c r="M1501" s="3">
        <f ca="1">IF(AND(N1501&lt;&gt;N1500,ISNUMBER(SEARCH(Лист2!$B$6,N:N)),L1501=2),MAX($M$3:OFFSET(M1501,-1,0))+1,0)</f>
        <v>0</v>
      </c>
      <c r="N1501" s="3" t="s">
        <v>1432</v>
      </c>
    </row>
    <row r="1502" spans="1:14" x14ac:dyDescent="0.25">
      <c r="A1502" s="1" t="s">
        <v>11016</v>
      </c>
      <c r="B1502" s="3" t="s">
        <v>5126</v>
      </c>
      <c r="C1502" s="2">
        <f ca="1">IF(ISNUMBER(SEARCH(Лист2!$B$4,D:D)),MAX($C$3:OFFSET(C1502,-1,0))+1,0)</f>
        <v>0</v>
      </c>
      <c r="E1502" s="9" t="str">
        <f t="shared" ca="1" si="35"/>
        <v/>
      </c>
      <c r="F1502" s="4" t="s">
        <v>7</v>
      </c>
      <c r="G1502" s="2">
        <f>IF(ISNUMBER(SEARCH(Лист2!$B$4,F:F)),1,0)</f>
        <v>0</v>
      </c>
      <c r="H1502" s="3">
        <f ca="1">IF(AND(I1502&lt;&gt;I1501,ISNUMBER(SEARCH(Лист2!$B$5,I:I)),G1502=1),MAX($H$3:OFFSET(H1502,-1,0))+1,0)</f>
        <v>0</v>
      </c>
      <c r="I1502" s="3" t="s">
        <v>193</v>
      </c>
      <c r="K1502" s="2">
        <f>IF(ISNUMBER(SEARCH(Лист2!$B$4,F:F)),1,0)</f>
        <v>0</v>
      </c>
      <c r="L1502" s="14">
        <f>IF(ISNUMBER(SEARCH(Лист2!$B$5,I:I)),1,0)+K1502</f>
        <v>0</v>
      </c>
      <c r="M1502" s="3">
        <f ca="1">IF(AND(N1502&lt;&gt;N1501,ISNUMBER(SEARCH(Лист2!$B$6,N:N)),L1502=2),MAX($M$3:OFFSET(M1502,-1,0))+1,0)</f>
        <v>0</v>
      </c>
      <c r="N1502" s="3" t="s">
        <v>1433</v>
      </c>
    </row>
    <row r="1503" spans="1:14" x14ac:dyDescent="0.25">
      <c r="A1503" s="1" t="s">
        <v>11017</v>
      </c>
      <c r="B1503" s="3" t="s">
        <v>5127</v>
      </c>
      <c r="C1503" s="2">
        <f ca="1">IF(ISNUMBER(SEARCH(Лист2!$B$4,D:D)),MAX($C$3:OFFSET(C1503,-1,0))+1,0)</f>
        <v>0</v>
      </c>
      <c r="E1503" s="9" t="str">
        <f t="shared" ca="1" si="35"/>
        <v/>
      </c>
      <c r="F1503" s="4" t="s">
        <v>7</v>
      </c>
      <c r="G1503" s="2">
        <f>IF(ISNUMBER(SEARCH(Лист2!$B$4,F:F)),1,0)</f>
        <v>0</v>
      </c>
      <c r="H1503" s="3">
        <f ca="1">IF(AND(I1503&lt;&gt;I1502,ISNUMBER(SEARCH(Лист2!$B$5,I:I)),G1503=1),MAX($H$3:OFFSET(H1503,-1,0))+1,0)</f>
        <v>0</v>
      </c>
      <c r="I1503" s="3" t="s">
        <v>193</v>
      </c>
      <c r="K1503" s="2">
        <f>IF(ISNUMBER(SEARCH(Лист2!$B$4,F:F)),1,0)</f>
        <v>0</v>
      </c>
      <c r="L1503" s="14">
        <f>IF(ISNUMBER(SEARCH(Лист2!$B$5,I:I)),1,0)+K1503</f>
        <v>0</v>
      </c>
      <c r="M1503" s="3">
        <f ca="1">IF(AND(N1503&lt;&gt;N1502,ISNUMBER(SEARCH(Лист2!$B$6,N:N)),L1503=2),MAX($M$3:OFFSET(M1503,-1,0))+1,0)</f>
        <v>0</v>
      </c>
      <c r="N1503" s="3" t="s">
        <v>602</v>
      </c>
    </row>
    <row r="1504" spans="1:14" x14ac:dyDescent="0.25">
      <c r="A1504" s="1" t="s">
        <v>11018</v>
      </c>
      <c r="B1504" s="3" t="s">
        <v>5128</v>
      </c>
      <c r="C1504" s="2">
        <f ca="1">IF(ISNUMBER(SEARCH(Лист2!$B$4,D:D)),MAX($C$3:OFFSET(C1504,-1,0))+1,0)</f>
        <v>0</v>
      </c>
      <c r="E1504" s="9" t="str">
        <f t="shared" ca="1" si="35"/>
        <v/>
      </c>
      <c r="F1504" s="4" t="s">
        <v>7</v>
      </c>
      <c r="G1504" s="2">
        <f>IF(ISNUMBER(SEARCH(Лист2!$B$4,F:F)),1,0)</f>
        <v>0</v>
      </c>
      <c r="H1504" s="3">
        <f ca="1">IF(AND(I1504&lt;&gt;I1503,ISNUMBER(SEARCH(Лист2!$B$5,I:I)),G1504=1),MAX($H$3:OFFSET(H1504,-1,0))+1,0)</f>
        <v>0</v>
      </c>
      <c r="I1504" s="3" t="s">
        <v>193</v>
      </c>
      <c r="K1504" s="2">
        <f>IF(ISNUMBER(SEARCH(Лист2!$B$4,F:F)),1,0)</f>
        <v>0</v>
      </c>
      <c r="L1504" s="14">
        <f>IF(ISNUMBER(SEARCH(Лист2!$B$5,I:I)),1,0)+K1504</f>
        <v>0</v>
      </c>
      <c r="M1504" s="3">
        <f ca="1">IF(AND(N1504&lt;&gt;N1503,ISNUMBER(SEARCH(Лист2!$B$6,N:N)),L1504=2),MAX($M$3:OFFSET(M1504,-1,0))+1,0)</f>
        <v>0</v>
      </c>
      <c r="N1504" s="3" t="s">
        <v>1452</v>
      </c>
    </row>
    <row r="1505" spans="1:14" x14ac:dyDescent="0.25">
      <c r="A1505" s="1" t="s">
        <v>11019</v>
      </c>
      <c r="B1505" s="3" t="s">
        <v>5129</v>
      </c>
      <c r="C1505" s="2">
        <f ca="1">IF(ISNUMBER(SEARCH(Лист2!$B$4,D:D)),MAX($C$3:OFFSET(C1505,-1,0))+1,0)</f>
        <v>0</v>
      </c>
      <c r="E1505" s="9" t="str">
        <f t="shared" ca="1" si="35"/>
        <v/>
      </c>
      <c r="F1505" s="4" t="s">
        <v>7</v>
      </c>
      <c r="G1505" s="2">
        <f>IF(ISNUMBER(SEARCH(Лист2!$B$4,F:F)),1,0)</f>
        <v>0</v>
      </c>
      <c r="H1505" s="3">
        <f ca="1">IF(AND(I1505&lt;&gt;I1504,ISNUMBER(SEARCH(Лист2!$B$5,I:I)),G1505=1),MAX($H$3:OFFSET(H1505,-1,0))+1,0)</f>
        <v>0</v>
      </c>
      <c r="I1505" s="3" t="s">
        <v>194</v>
      </c>
      <c r="K1505" s="2">
        <f>IF(ISNUMBER(SEARCH(Лист2!$B$4,F:F)),1,0)</f>
        <v>0</v>
      </c>
      <c r="L1505" s="14">
        <f>IF(ISNUMBER(SEARCH(Лист2!$B$5,I:I)),1,0)+K1505</f>
        <v>0</v>
      </c>
      <c r="M1505" s="3">
        <f ca="1">IF(AND(N1505&lt;&gt;N1504,ISNUMBER(SEARCH(Лист2!$B$6,N:N)),L1505=2),MAX($M$3:OFFSET(M1505,-1,0))+1,0)</f>
        <v>0</v>
      </c>
      <c r="N1505" s="3" t="s">
        <v>1453</v>
      </c>
    </row>
    <row r="1506" spans="1:14" x14ac:dyDescent="0.25">
      <c r="A1506" s="1" t="s">
        <v>11020</v>
      </c>
      <c r="B1506" s="3" t="s">
        <v>5130</v>
      </c>
      <c r="C1506" s="2">
        <f ca="1">IF(ISNUMBER(SEARCH(Лист2!$B$4,D:D)),MAX($C$3:OFFSET(C1506,-1,0))+1,0)</f>
        <v>0</v>
      </c>
      <c r="E1506" s="9" t="str">
        <f t="shared" ca="1" si="35"/>
        <v/>
      </c>
      <c r="F1506" s="4" t="s">
        <v>7</v>
      </c>
      <c r="G1506" s="2">
        <f>IF(ISNUMBER(SEARCH(Лист2!$B$4,F:F)),1,0)</f>
        <v>0</v>
      </c>
      <c r="H1506" s="3">
        <f ca="1">IF(AND(I1506&lt;&gt;I1505,ISNUMBER(SEARCH(Лист2!$B$5,I:I)),G1506=1),MAX($H$3:OFFSET(H1506,-1,0))+1,0)</f>
        <v>0</v>
      </c>
      <c r="I1506" s="3" t="s">
        <v>194</v>
      </c>
      <c r="K1506" s="2">
        <f>IF(ISNUMBER(SEARCH(Лист2!$B$4,F:F)),1,0)</f>
        <v>0</v>
      </c>
      <c r="L1506" s="14">
        <f>IF(ISNUMBER(SEARCH(Лист2!$B$5,I:I)),1,0)+K1506</f>
        <v>0</v>
      </c>
      <c r="M1506" s="3">
        <f ca="1">IF(AND(N1506&lt;&gt;N1505,ISNUMBER(SEARCH(Лист2!$B$6,N:N)),L1506=2),MAX($M$3:OFFSET(M1506,-1,0))+1,0)</f>
        <v>0</v>
      </c>
      <c r="N1506" s="3" t="s">
        <v>1454</v>
      </c>
    </row>
    <row r="1507" spans="1:14" x14ac:dyDescent="0.25">
      <c r="A1507" s="1" t="s">
        <v>11021</v>
      </c>
      <c r="B1507" s="3" t="s">
        <v>5131</v>
      </c>
      <c r="C1507" s="2">
        <f ca="1">IF(ISNUMBER(SEARCH(Лист2!$B$4,D:D)),MAX($C$3:OFFSET(C1507,-1,0))+1,0)</f>
        <v>0</v>
      </c>
      <c r="E1507" s="9" t="str">
        <f t="shared" ca="1" si="35"/>
        <v/>
      </c>
      <c r="F1507" s="4" t="s">
        <v>7</v>
      </c>
      <c r="G1507" s="2">
        <f>IF(ISNUMBER(SEARCH(Лист2!$B$4,F:F)),1,0)</f>
        <v>0</v>
      </c>
      <c r="H1507" s="3">
        <f ca="1">IF(AND(I1507&lt;&gt;I1506,ISNUMBER(SEARCH(Лист2!$B$5,I:I)),G1507=1),MAX($H$3:OFFSET(H1507,-1,0))+1,0)</f>
        <v>0</v>
      </c>
      <c r="I1507" s="3" t="s">
        <v>194</v>
      </c>
      <c r="K1507" s="2">
        <f>IF(ISNUMBER(SEARCH(Лист2!$B$4,F:F)),1,0)</f>
        <v>0</v>
      </c>
      <c r="L1507" s="14">
        <f>IF(ISNUMBER(SEARCH(Лист2!$B$5,I:I)),1,0)+K1507</f>
        <v>0</v>
      </c>
      <c r="M1507" s="3">
        <f ca="1">IF(AND(N1507&lt;&gt;N1506,ISNUMBER(SEARCH(Лист2!$B$6,N:N)),L1507=2),MAX($M$3:OFFSET(M1507,-1,0))+1,0)</f>
        <v>0</v>
      </c>
      <c r="N1507" s="3" t="s">
        <v>1455</v>
      </c>
    </row>
    <row r="1508" spans="1:14" x14ac:dyDescent="0.25">
      <c r="A1508" s="1" t="s">
        <v>11022</v>
      </c>
      <c r="B1508" s="3" t="s">
        <v>5132</v>
      </c>
      <c r="C1508" s="2">
        <f ca="1">IF(ISNUMBER(SEARCH(Лист2!$B$4,D:D)),MAX($C$3:OFFSET(C1508,-1,0))+1,0)</f>
        <v>0</v>
      </c>
      <c r="E1508" s="9" t="str">
        <f t="shared" ca="1" si="35"/>
        <v/>
      </c>
      <c r="F1508" s="4" t="s">
        <v>7</v>
      </c>
      <c r="G1508" s="2">
        <f>IF(ISNUMBER(SEARCH(Лист2!$B$4,F:F)),1,0)</f>
        <v>0</v>
      </c>
      <c r="H1508" s="3">
        <f ca="1">IF(AND(I1508&lt;&gt;I1507,ISNUMBER(SEARCH(Лист2!$B$5,I:I)),G1508=1),MAX($H$3:OFFSET(H1508,-1,0))+1,0)</f>
        <v>0</v>
      </c>
      <c r="I1508" s="3" t="s">
        <v>194</v>
      </c>
      <c r="K1508" s="2">
        <f>IF(ISNUMBER(SEARCH(Лист2!$B$4,F:F)),1,0)</f>
        <v>0</v>
      </c>
      <c r="L1508" s="14">
        <f>IF(ISNUMBER(SEARCH(Лист2!$B$5,I:I)),1,0)+K1508</f>
        <v>0</v>
      </c>
      <c r="M1508" s="3">
        <f ca="1">IF(AND(N1508&lt;&gt;N1507,ISNUMBER(SEARCH(Лист2!$B$6,N:N)),L1508=2),MAX($M$3:OFFSET(M1508,-1,0))+1,0)</f>
        <v>0</v>
      </c>
      <c r="N1508" s="3" t="s">
        <v>1456</v>
      </c>
    </row>
    <row r="1509" spans="1:14" x14ac:dyDescent="0.25">
      <c r="A1509" s="1" t="s">
        <v>11023</v>
      </c>
      <c r="B1509" s="3" t="s">
        <v>5133</v>
      </c>
      <c r="C1509" s="2">
        <f ca="1">IF(ISNUMBER(SEARCH(Лист2!$B$4,D:D)),MAX($C$3:OFFSET(C1509,-1,0))+1,0)</f>
        <v>0</v>
      </c>
      <c r="E1509" s="9" t="str">
        <f t="shared" ca="1" si="35"/>
        <v/>
      </c>
      <c r="F1509" s="4" t="s">
        <v>7</v>
      </c>
      <c r="G1509" s="2">
        <f>IF(ISNUMBER(SEARCH(Лист2!$B$4,F:F)),1,0)</f>
        <v>0</v>
      </c>
      <c r="H1509" s="3">
        <f ca="1">IF(AND(I1509&lt;&gt;I1508,ISNUMBER(SEARCH(Лист2!$B$5,I:I)),G1509=1),MAX($H$3:OFFSET(H1509,-1,0))+1,0)</f>
        <v>0</v>
      </c>
      <c r="I1509" s="3" t="s">
        <v>194</v>
      </c>
      <c r="K1509" s="2">
        <f>IF(ISNUMBER(SEARCH(Лист2!$B$4,F:F)),1,0)</f>
        <v>0</v>
      </c>
      <c r="L1509" s="14">
        <f>IF(ISNUMBER(SEARCH(Лист2!$B$5,I:I)),1,0)+K1509</f>
        <v>0</v>
      </c>
      <c r="M1509" s="3">
        <f ca="1">IF(AND(N1509&lt;&gt;N1508,ISNUMBER(SEARCH(Лист2!$B$6,N:N)),L1509=2),MAX($M$3:OFFSET(M1509,-1,0))+1,0)</f>
        <v>0</v>
      </c>
      <c r="N1509" s="3" t="s">
        <v>1457</v>
      </c>
    </row>
    <row r="1510" spans="1:14" x14ac:dyDescent="0.25">
      <c r="A1510" s="1" t="s">
        <v>11023</v>
      </c>
      <c r="B1510" s="3" t="s">
        <v>5134</v>
      </c>
      <c r="C1510" s="2">
        <f ca="1">IF(ISNUMBER(SEARCH(Лист2!$B$4,D:D)),MAX($C$3:OFFSET(C1510,-1,0))+1,0)</f>
        <v>0</v>
      </c>
      <c r="E1510" s="9" t="str">
        <f t="shared" ca="1" si="35"/>
        <v/>
      </c>
      <c r="F1510" s="4" t="s">
        <v>7</v>
      </c>
      <c r="G1510" s="2">
        <f>IF(ISNUMBER(SEARCH(Лист2!$B$4,F:F)),1,0)</f>
        <v>0</v>
      </c>
      <c r="H1510" s="3">
        <f ca="1">IF(AND(I1510&lt;&gt;I1509,ISNUMBER(SEARCH(Лист2!$B$5,I:I)),G1510=1),MAX($H$3:OFFSET(H1510,-1,0))+1,0)</f>
        <v>0</v>
      </c>
      <c r="I1510" s="3" t="s">
        <v>194</v>
      </c>
      <c r="K1510" s="2">
        <f>IF(ISNUMBER(SEARCH(Лист2!$B$4,F:F)),1,0)</f>
        <v>0</v>
      </c>
      <c r="L1510" s="14">
        <f>IF(ISNUMBER(SEARCH(Лист2!$B$5,I:I)),1,0)+K1510</f>
        <v>0</v>
      </c>
      <c r="M1510" s="3">
        <f ca="1">IF(AND(N1510&lt;&gt;N1509,ISNUMBER(SEARCH(Лист2!$B$6,N:N)),L1510=2),MAX($M$3:OFFSET(M1510,-1,0))+1,0)</f>
        <v>0</v>
      </c>
      <c r="N1510" s="3" t="s">
        <v>1457</v>
      </c>
    </row>
    <row r="1511" spans="1:14" x14ac:dyDescent="0.25">
      <c r="A1511" s="1" t="s">
        <v>11023</v>
      </c>
      <c r="B1511" s="3" t="s">
        <v>5135</v>
      </c>
      <c r="C1511" s="2">
        <f ca="1">IF(ISNUMBER(SEARCH(Лист2!$B$4,D:D)),MAX($C$3:OFFSET(C1511,-1,0))+1,0)</f>
        <v>0</v>
      </c>
      <c r="E1511" s="9" t="str">
        <f t="shared" ca="1" si="35"/>
        <v/>
      </c>
      <c r="F1511" s="4" t="s">
        <v>7</v>
      </c>
      <c r="G1511" s="2">
        <f>IF(ISNUMBER(SEARCH(Лист2!$B$4,F:F)),1,0)</f>
        <v>0</v>
      </c>
      <c r="H1511" s="3">
        <f ca="1">IF(AND(I1511&lt;&gt;I1510,ISNUMBER(SEARCH(Лист2!$B$5,I:I)),G1511=1),MAX($H$3:OFFSET(H1511,-1,0))+1,0)</f>
        <v>0</v>
      </c>
      <c r="I1511" s="3" t="s">
        <v>194</v>
      </c>
      <c r="K1511" s="2">
        <f>IF(ISNUMBER(SEARCH(Лист2!$B$4,F:F)),1,0)</f>
        <v>0</v>
      </c>
      <c r="L1511" s="14">
        <f>IF(ISNUMBER(SEARCH(Лист2!$B$5,I:I)),1,0)+K1511</f>
        <v>0</v>
      </c>
      <c r="M1511" s="3">
        <f ca="1">IF(AND(N1511&lt;&gt;N1510,ISNUMBER(SEARCH(Лист2!$B$6,N:N)),L1511=2),MAX($M$3:OFFSET(M1511,-1,0))+1,0)</f>
        <v>0</v>
      </c>
      <c r="N1511" s="3" t="s">
        <v>1457</v>
      </c>
    </row>
    <row r="1512" spans="1:14" x14ac:dyDescent="0.25">
      <c r="A1512" s="1" t="s">
        <v>11024</v>
      </c>
      <c r="B1512" s="3" t="s">
        <v>5136</v>
      </c>
      <c r="C1512" s="2">
        <f ca="1">IF(ISNUMBER(SEARCH(Лист2!$B$4,D:D)),MAX($C$3:OFFSET(C1512,-1,0))+1,0)</f>
        <v>0</v>
      </c>
      <c r="E1512" s="9" t="str">
        <f t="shared" ca="1" si="35"/>
        <v/>
      </c>
      <c r="F1512" s="4" t="s">
        <v>7</v>
      </c>
      <c r="G1512" s="2">
        <f>IF(ISNUMBER(SEARCH(Лист2!$B$4,F:F)),1,0)</f>
        <v>0</v>
      </c>
      <c r="H1512" s="3">
        <f ca="1">IF(AND(I1512&lt;&gt;I1511,ISNUMBER(SEARCH(Лист2!$B$5,I:I)),G1512=1),MAX($H$3:OFFSET(H1512,-1,0))+1,0)</f>
        <v>0</v>
      </c>
      <c r="I1512" s="3" t="s">
        <v>194</v>
      </c>
      <c r="K1512" s="2">
        <f>IF(ISNUMBER(SEARCH(Лист2!$B$4,F:F)),1,0)</f>
        <v>0</v>
      </c>
      <c r="L1512" s="14">
        <f>IF(ISNUMBER(SEARCH(Лист2!$B$5,I:I)),1,0)+K1512</f>
        <v>0</v>
      </c>
      <c r="M1512" s="3">
        <f ca="1">IF(AND(N1512&lt;&gt;N1511,ISNUMBER(SEARCH(Лист2!$B$6,N:N)),L1512=2),MAX($M$3:OFFSET(M1512,-1,0))+1,0)</f>
        <v>0</v>
      </c>
      <c r="N1512" s="3" t="s">
        <v>1458</v>
      </c>
    </row>
    <row r="1513" spans="1:14" x14ac:dyDescent="0.25">
      <c r="A1513" s="1" t="s">
        <v>11025</v>
      </c>
      <c r="B1513" s="3" t="s">
        <v>5137</v>
      </c>
      <c r="C1513" s="2">
        <f ca="1">IF(ISNUMBER(SEARCH(Лист2!$B$4,D:D)),MAX($C$3:OFFSET(C1513,-1,0))+1,0)</f>
        <v>0</v>
      </c>
      <c r="E1513" s="9" t="str">
        <f t="shared" ca="1" si="35"/>
        <v/>
      </c>
      <c r="F1513" s="4" t="s">
        <v>7</v>
      </c>
      <c r="G1513" s="2">
        <f>IF(ISNUMBER(SEARCH(Лист2!$B$4,F:F)),1,0)</f>
        <v>0</v>
      </c>
      <c r="H1513" s="3">
        <f ca="1">IF(AND(I1513&lt;&gt;I1512,ISNUMBER(SEARCH(Лист2!$B$5,I:I)),G1513=1),MAX($H$3:OFFSET(H1513,-1,0))+1,0)</f>
        <v>0</v>
      </c>
      <c r="I1513" s="3" t="s">
        <v>194</v>
      </c>
      <c r="K1513" s="2">
        <f>IF(ISNUMBER(SEARCH(Лист2!$B$4,F:F)),1,0)</f>
        <v>0</v>
      </c>
      <c r="L1513" s="14">
        <f>IF(ISNUMBER(SEARCH(Лист2!$B$5,I:I)),1,0)+K1513</f>
        <v>0</v>
      </c>
      <c r="M1513" s="3">
        <f ca="1">IF(AND(N1513&lt;&gt;N1512,ISNUMBER(SEARCH(Лист2!$B$6,N:N)),L1513=2),MAX($M$3:OFFSET(M1513,-1,0))+1,0)</f>
        <v>0</v>
      </c>
      <c r="N1513" s="3" t="s">
        <v>1459</v>
      </c>
    </row>
    <row r="1514" spans="1:14" x14ac:dyDescent="0.25">
      <c r="A1514" s="1" t="s">
        <v>11025</v>
      </c>
      <c r="B1514" s="3" t="s">
        <v>5138</v>
      </c>
      <c r="C1514" s="2">
        <f ca="1">IF(ISNUMBER(SEARCH(Лист2!$B$4,D:D)),MAX($C$3:OFFSET(C1514,-1,0))+1,0)</f>
        <v>0</v>
      </c>
      <c r="E1514" s="9" t="str">
        <f t="shared" ca="1" si="35"/>
        <v/>
      </c>
      <c r="F1514" s="4" t="s">
        <v>7</v>
      </c>
      <c r="G1514" s="2">
        <f>IF(ISNUMBER(SEARCH(Лист2!$B$4,F:F)),1,0)</f>
        <v>0</v>
      </c>
      <c r="H1514" s="3">
        <f ca="1">IF(AND(I1514&lt;&gt;I1513,ISNUMBER(SEARCH(Лист2!$B$5,I:I)),G1514=1),MAX($H$3:OFFSET(H1514,-1,0))+1,0)</f>
        <v>0</v>
      </c>
      <c r="I1514" s="3" t="s">
        <v>194</v>
      </c>
      <c r="K1514" s="2">
        <f>IF(ISNUMBER(SEARCH(Лист2!$B$4,F:F)),1,0)</f>
        <v>0</v>
      </c>
      <c r="L1514" s="14">
        <f>IF(ISNUMBER(SEARCH(Лист2!$B$5,I:I)),1,0)+K1514</f>
        <v>0</v>
      </c>
      <c r="M1514" s="3">
        <f ca="1">IF(AND(N1514&lt;&gt;N1513,ISNUMBER(SEARCH(Лист2!$B$6,N:N)),L1514=2),MAX($M$3:OFFSET(M1514,-1,0))+1,0)</f>
        <v>0</v>
      </c>
      <c r="N1514" s="3" t="s">
        <v>1459</v>
      </c>
    </row>
    <row r="1515" spans="1:14" x14ac:dyDescent="0.25">
      <c r="A1515" s="1" t="s">
        <v>11025</v>
      </c>
      <c r="B1515" s="3" t="s">
        <v>5139</v>
      </c>
      <c r="C1515" s="2">
        <f ca="1">IF(ISNUMBER(SEARCH(Лист2!$B$4,D:D)),MAX($C$3:OFFSET(C1515,-1,0))+1,0)</f>
        <v>0</v>
      </c>
      <c r="E1515" s="9" t="str">
        <f t="shared" ca="1" si="35"/>
        <v/>
      </c>
      <c r="F1515" s="4" t="s">
        <v>7</v>
      </c>
      <c r="G1515" s="2">
        <f>IF(ISNUMBER(SEARCH(Лист2!$B$4,F:F)),1,0)</f>
        <v>0</v>
      </c>
      <c r="H1515" s="3">
        <f ca="1">IF(AND(I1515&lt;&gt;I1514,ISNUMBER(SEARCH(Лист2!$B$5,I:I)),G1515=1),MAX($H$3:OFFSET(H1515,-1,0))+1,0)</f>
        <v>0</v>
      </c>
      <c r="I1515" s="3" t="s">
        <v>194</v>
      </c>
      <c r="K1515" s="2">
        <f>IF(ISNUMBER(SEARCH(Лист2!$B$4,F:F)),1,0)</f>
        <v>0</v>
      </c>
      <c r="L1515" s="14">
        <f>IF(ISNUMBER(SEARCH(Лист2!$B$5,I:I)),1,0)+K1515</f>
        <v>0</v>
      </c>
      <c r="M1515" s="3">
        <f ca="1">IF(AND(N1515&lt;&gt;N1514,ISNUMBER(SEARCH(Лист2!$B$6,N:N)),L1515=2),MAX($M$3:OFFSET(M1515,-1,0))+1,0)</f>
        <v>0</v>
      </c>
      <c r="N1515" s="3" t="s">
        <v>1459</v>
      </c>
    </row>
    <row r="1516" spans="1:14" x14ac:dyDescent="0.25">
      <c r="A1516" s="1" t="s">
        <v>11026</v>
      </c>
      <c r="B1516" s="3" t="s">
        <v>5140</v>
      </c>
      <c r="C1516" s="2">
        <f ca="1">IF(ISNUMBER(SEARCH(Лист2!$B$4,D:D)),MAX($C$3:OFFSET(C1516,-1,0))+1,0)</f>
        <v>0</v>
      </c>
      <c r="E1516" s="9" t="str">
        <f t="shared" ca="1" si="35"/>
        <v/>
      </c>
      <c r="F1516" s="4" t="s">
        <v>7</v>
      </c>
      <c r="G1516" s="2">
        <f>IF(ISNUMBER(SEARCH(Лист2!$B$4,F:F)),1,0)</f>
        <v>0</v>
      </c>
      <c r="H1516" s="3">
        <f ca="1">IF(AND(I1516&lt;&gt;I1515,ISNUMBER(SEARCH(Лист2!$B$5,I:I)),G1516=1),MAX($H$3:OFFSET(H1516,-1,0))+1,0)</f>
        <v>0</v>
      </c>
      <c r="I1516" s="3" t="s">
        <v>194</v>
      </c>
      <c r="K1516" s="2">
        <f>IF(ISNUMBER(SEARCH(Лист2!$B$4,F:F)),1,0)</f>
        <v>0</v>
      </c>
      <c r="L1516" s="14">
        <f>IF(ISNUMBER(SEARCH(Лист2!$B$5,I:I)),1,0)+K1516</f>
        <v>0</v>
      </c>
      <c r="M1516" s="3">
        <f ca="1">IF(AND(N1516&lt;&gt;N1515,ISNUMBER(SEARCH(Лист2!$B$6,N:N)),L1516=2),MAX($M$3:OFFSET(M1516,-1,0))+1,0)</f>
        <v>0</v>
      </c>
      <c r="N1516" s="3" t="s">
        <v>1460</v>
      </c>
    </row>
    <row r="1517" spans="1:14" x14ac:dyDescent="0.25">
      <c r="A1517" s="1" t="s">
        <v>11027</v>
      </c>
      <c r="B1517" s="3" t="s">
        <v>5141</v>
      </c>
      <c r="C1517" s="2">
        <f ca="1">IF(ISNUMBER(SEARCH(Лист2!$B$4,D:D)),MAX($C$3:OFFSET(C1517,-1,0))+1,0)</f>
        <v>0</v>
      </c>
      <c r="E1517" s="9" t="str">
        <f t="shared" ca="1" si="35"/>
        <v/>
      </c>
      <c r="F1517" s="4" t="s">
        <v>7</v>
      </c>
      <c r="G1517" s="2">
        <f>IF(ISNUMBER(SEARCH(Лист2!$B$4,F:F)),1,0)</f>
        <v>0</v>
      </c>
      <c r="H1517" s="3">
        <f ca="1">IF(AND(I1517&lt;&gt;I1516,ISNUMBER(SEARCH(Лист2!$B$5,I:I)),G1517=1),MAX($H$3:OFFSET(H1517,-1,0))+1,0)</f>
        <v>0</v>
      </c>
      <c r="I1517" s="3" t="s">
        <v>194</v>
      </c>
      <c r="K1517" s="2">
        <f>IF(ISNUMBER(SEARCH(Лист2!$B$4,F:F)),1,0)</f>
        <v>0</v>
      </c>
      <c r="L1517" s="14">
        <f>IF(ISNUMBER(SEARCH(Лист2!$B$5,I:I)),1,0)+K1517</f>
        <v>0</v>
      </c>
      <c r="M1517" s="3">
        <f ca="1">IF(AND(N1517&lt;&gt;N1516,ISNUMBER(SEARCH(Лист2!$B$6,N:N)),L1517=2),MAX($M$3:OFFSET(M1517,-1,0))+1,0)</f>
        <v>0</v>
      </c>
      <c r="N1517" s="3" t="s">
        <v>1432</v>
      </c>
    </row>
    <row r="1518" spans="1:14" x14ac:dyDescent="0.25">
      <c r="A1518" s="1" t="s">
        <v>11028</v>
      </c>
      <c r="B1518" s="3" t="s">
        <v>5142</v>
      </c>
      <c r="C1518" s="2">
        <f ca="1">IF(ISNUMBER(SEARCH(Лист2!$B$4,D:D)),MAX($C$3:OFFSET(C1518,-1,0))+1,0)</f>
        <v>0</v>
      </c>
      <c r="E1518" s="9" t="str">
        <f t="shared" ca="1" si="35"/>
        <v/>
      </c>
      <c r="F1518" s="4" t="s">
        <v>7</v>
      </c>
      <c r="G1518" s="2">
        <f>IF(ISNUMBER(SEARCH(Лист2!$B$4,F:F)),1,0)</f>
        <v>0</v>
      </c>
      <c r="H1518" s="3">
        <f ca="1">IF(AND(I1518&lt;&gt;I1517,ISNUMBER(SEARCH(Лист2!$B$5,I:I)),G1518=1),MAX($H$3:OFFSET(H1518,-1,0))+1,0)</f>
        <v>0</v>
      </c>
      <c r="I1518" s="3" t="s">
        <v>194</v>
      </c>
      <c r="K1518" s="2">
        <f>IF(ISNUMBER(SEARCH(Лист2!$B$4,F:F)),1,0)</f>
        <v>0</v>
      </c>
      <c r="L1518" s="14">
        <f>IF(ISNUMBER(SEARCH(Лист2!$B$5,I:I)),1,0)+K1518</f>
        <v>0</v>
      </c>
      <c r="M1518" s="3">
        <f ca="1">IF(AND(N1518&lt;&gt;N1517,ISNUMBER(SEARCH(Лист2!$B$6,N:N)),L1518=2),MAX($M$3:OFFSET(M1518,-1,0))+1,0)</f>
        <v>0</v>
      </c>
      <c r="N1518" s="3" t="s">
        <v>1433</v>
      </c>
    </row>
    <row r="1519" spans="1:14" x14ac:dyDescent="0.25">
      <c r="A1519" s="1" t="s">
        <v>11029</v>
      </c>
      <c r="B1519" s="3" t="s">
        <v>5143</v>
      </c>
      <c r="C1519" s="2">
        <f ca="1">IF(ISNUMBER(SEARCH(Лист2!$B$4,D:D)),MAX($C$3:OFFSET(C1519,-1,0))+1,0)</f>
        <v>0</v>
      </c>
      <c r="E1519" s="9" t="str">
        <f t="shared" ca="1" si="35"/>
        <v/>
      </c>
      <c r="F1519" s="4" t="s">
        <v>7</v>
      </c>
      <c r="G1519" s="2">
        <f>IF(ISNUMBER(SEARCH(Лист2!$B$4,F:F)),1,0)</f>
        <v>0</v>
      </c>
      <c r="H1519" s="3">
        <f ca="1">IF(AND(I1519&lt;&gt;I1518,ISNUMBER(SEARCH(Лист2!$B$5,I:I)),G1519=1),MAX($H$3:OFFSET(H1519,-1,0))+1,0)</f>
        <v>0</v>
      </c>
      <c r="I1519" s="3" t="s">
        <v>194</v>
      </c>
      <c r="K1519" s="2">
        <f>IF(ISNUMBER(SEARCH(Лист2!$B$4,F:F)),1,0)</f>
        <v>0</v>
      </c>
      <c r="L1519" s="14">
        <f>IF(ISNUMBER(SEARCH(Лист2!$B$5,I:I)),1,0)+K1519</f>
        <v>0</v>
      </c>
      <c r="M1519" s="3">
        <f ca="1">IF(AND(N1519&lt;&gt;N1518,ISNUMBER(SEARCH(Лист2!$B$6,N:N)),L1519=2),MAX($M$3:OFFSET(M1519,-1,0))+1,0)</f>
        <v>0</v>
      </c>
      <c r="N1519" s="3" t="s">
        <v>602</v>
      </c>
    </row>
    <row r="1520" spans="1:14" x14ac:dyDescent="0.25">
      <c r="A1520" s="1" t="s">
        <v>11030</v>
      </c>
      <c r="B1520" s="3" t="s">
        <v>5144</v>
      </c>
      <c r="C1520" s="2">
        <f ca="1">IF(ISNUMBER(SEARCH(Лист2!$B$4,D:D)),MAX($C$3:OFFSET(C1520,-1,0))+1,0)</f>
        <v>0</v>
      </c>
      <c r="E1520" s="9" t="str">
        <f t="shared" ca="1" si="35"/>
        <v/>
      </c>
      <c r="F1520" s="4" t="s">
        <v>7</v>
      </c>
      <c r="G1520" s="2">
        <f>IF(ISNUMBER(SEARCH(Лист2!$B$4,F:F)),1,0)</f>
        <v>0</v>
      </c>
      <c r="H1520" s="3">
        <f ca="1">IF(AND(I1520&lt;&gt;I1519,ISNUMBER(SEARCH(Лист2!$B$5,I:I)),G1520=1),MAX($H$3:OFFSET(H1520,-1,0))+1,0)</f>
        <v>0</v>
      </c>
      <c r="I1520" s="3" t="s">
        <v>194</v>
      </c>
      <c r="K1520" s="2">
        <f>IF(ISNUMBER(SEARCH(Лист2!$B$4,F:F)),1,0)</f>
        <v>0</v>
      </c>
      <c r="L1520" s="14">
        <f>IF(ISNUMBER(SEARCH(Лист2!$B$5,I:I)),1,0)+K1520</f>
        <v>0</v>
      </c>
      <c r="M1520" s="3">
        <f ca="1">IF(AND(N1520&lt;&gt;N1519,ISNUMBER(SEARCH(Лист2!$B$6,N:N)),L1520=2),MAX($M$3:OFFSET(M1520,-1,0))+1,0)</f>
        <v>0</v>
      </c>
      <c r="N1520" s="3" t="s">
        <v>1461</v>
      </c>
    </row>
    <row r="1521" spans="1:14" x14ac:dyDescent="0.25">
      <c r="A1521" s="1" t="s">
        <v>11031</v>
      </c>
      <c r="B1521" s="3" t="s">
        <v>5145</v>
      </c>
      <c r="C1521" s="2">
        <f ca="1">IF(ISNUMBER(SEARCH(Лист2!$B$4,D:D)),MAX($C$3:OFFSET(C1521,-1,0))+1,0)</f>
        <v>0</v>
      </c>
      <c r="E1521" s="9" t="str">
        <f t="shared" ca="1" si="35"/>
        <v/>
      </c>
      <c r="F1521" s="4" t="s">
        <v>7</v>
      </c>
      <c r="G1521" s="2">
        <f>IF(ISNUMBER(SEARCH(Лист2!$B$4,F:F)),1,0)</f>
        <v>0</v>
      </c>
      <c r="H1521" s="3">
        <f ca="1">IF(AND(I1521&lt;&gt;I1520,ISNUMBER(SEARCH(Лист2!$B$5,I:I)),G1521=1),MAX($H$3:OFFSET(H1521,-1,0))+1,0)</f>
        <v>0</v>
      </c>
      <c r="I1521" s="3" t="s">
        <v>195</v>
      </c>
      <c r="K1521" s="2">
        <f>IF(ISNUMBER(SEARCH(Лист2!$B$4,F:F)),1,0)</f>
        <v>0</v>
      </c>
      <c r="L1521" s="14">
        <f>IF(ISNUMBER(SEARCH(Лист2!$B$5,I:I)),1,0)+K1521</f>
        <v>0</v>
      </c>
      <c r="M1521" s="3">
        <f ca="1">IF(AND(N1521&lt;&gt;N1520,ISNUMBER(SEARCH(Лист2!$B$6,N:N)),L1521=2),MAX($M$3:OFFSET(M1521,-1,0))+1,0)</f>
        <v>0</v>
      </c>
      <c r="N1521" s="3" t="s">
        <v>1462</v>
      </c>
    </row>
    <row r="1522" spans="1:14" x14ac:dyDescent="0.25">
      <c r="A1522" s="1" t="s">
        <v>11032</v>
      </c>
      <c r="B1522" s="3" t="s">
        <v>5146</v>
      </c>
      <c r="C1522" s="2">
        <f ca="1">IF(ISNUMBER(SEARCH(Лист2!$B$4,D:D)),MAX($C$3:OFFSET(C1522,-1,0))+1,0)</f>
        <v>0</v>
      </c>
      <c r="E1522" s="9" t="str">
        <f t="shared" ca="1" si="35"/>
        <v/>
      </c>
      <c r="F1522" s="4" t="s">
        <v>7</v>
      </c>
      <c r="G1522" s="2">
        <f>IF(ISNUMBER(SEARCH(Лист2!$B$4,F:F)),1,0)</f>
        <v>0</v>
      </c>
      <c r="H1522" s="3">
        <f ca="1">IF(AND(I1522&lt;&gt;I1521,ISNUMBER(SEARCH(Лист2!$B$5,I:I)),G1522=1),MAX($H$3:OFFSET(H1522,-1,0))+1,0)</f>
        <v>0</v>
      </c>
      <c r="I1522" s="3" t="s">
        <v>195</v>
      </c>
      <c r="K1522" s="2">
        <f>IF(ISNUMBER(SEARCH(Лист2!$B$4,F:F)),1,0)</f>
        <v>0</v>
      </c>
      <c r="L1522" s="14">
        <f>IF(ISNUMBER(SEARCH(Лист2!$B$5,I:I)),1,0)+K1522</f>
        <v>0</v>
      </c>
      <c r="M1522" s="3">
        <f ca="1">IF(AND(N1522&lt;&gt;N1521,ISNUMBER(SEARCH(Лист2!$B$6,N:N)),L1522=2),MAX($M$3:OFFSET(M1522,-1,0))+1,0)</f>
        <v>0</v>
      </c>
      <c r="N1522" s="3" t="s">
        <v>1463</v>
      </c>
    </row>
    <row r="1523" spans="1:14" x14ac:dyDescent="0.25">
      <c r="A1523" s="1" t="s">
        <v>11033</v>
      </c>
      <c r="B1523" s="3" t="s">
        <v>5147</v>
      </c>
      <c r="C1523" s="2">
        <f ca="1">IF(ISNUMBER(SEARCH(Лист2!$B$4,D:D)),MAX($C$3:OFFSET(C1523,-1,0))+1,0)</f>
        <v>0</v>
      </c>
      <c r="E1523" s="9" t="str">
        <f t="shared" ca="1" si="35"/>
        <v/>
      </c>
      <c r="F1523" s="4" t="s">
        <v>7</v>
      </c>
      <c r="G1523" s="2">
        <f>IF(ISNUMBER(SEARCH(Лист2!$B$4,F:F)),1,0)</f>
        <v>0</v>
      </c>
      <c r="H1523" s="3">
        <f ca="1">IF(AND(I1523&lt;&gt;I1522,ISNUMBER(SEARCH(Лист2!$B$5,I:I)),G1523=1),MAX($H$3:OFFSET(H1523,-1,0))+1,0)</f>
        <v>0</v>
      </c>
      <c r="I1523" s="3" t="s">
        <v>195</v>
      </c>
      <c r="K1523" s="2">
        <f>IF(ISNUMBER(SEARCH(Лист2!$B$4,F:F)),1,0)</f>
        <v>0</v>
      </c>
      <c r="L1523" s="14">
        <f>IF(ISNUMBER(SEARCH(Лист2!$B$5,I:I)),1,0)+K1523</f>
        <v>0</v>
      </c>
      <c r="M1523" s="3">
        <f ca="1">IF(AND(N1523&lt;&gt;N1522,ISNUMBER(SEARCH(Лист2!$B$6,N:N)),L1523=2),MAX($M$3:OFFSET(M1523,-1,0))+1,0)</f>
        <v>0</v>
      </c>
      <c r="N1523" s="3" t="s">
        <v>1464</v>
      </c>
    </row>
    <row r="1524" spans="1:14" x14ac:dyDescent="0.25">
      <c r="A1524" s="1" t="s">
        <v>11034</v>
      </c>
      <c r="B1524" s="3" t="s">
        <v>5148</v>
      </c>
      <c r="C1524" s="2">
        <f ca="1">IF(ISNUMBER(SEARCH(Лист2!$B$4,D:D)),MAX($C$3:OFFSET(C1524,-1,0))+1,0)</f>
        <v>0</v>
      </c>
      <c r="E1524" s="9" t="str">
        <f t="shared" ca="1" si="35"/>
        <v/>
      </c>
      <c r="F1524" s="4" t="s">
        <v>7</v>
      </c>
      <c r="G1524" s="2">
        <f>IF(ISNUMBER(SEARCH(Лист2!$B$4,F:F)),1,0)</f>
        <v>0</v>
      </c>
      <c r="H1524" s="3">
        <f ca="1">IF(AND(I1524&lt;&gt;I1523,ISNUMBER(SEARCH(Лист2!$B$5,I:I)),G1524=1),MAX($H$3:OFFSET(H1524,-1,0))+1,0)</f>
        <v>0</v>
      </c>
      <c r="I1524" s="3" t="s">
        <v>195</v>
      </c>
      <c r="K1524" s="2">
        <f>IF(ISNUMBER(SEARCH(Лист2!$B$4,F:F)),1,0)</f>
        <v>0</v>
      </c>
      <c r="L1524" s="14">
        <f>IF(ISNUMBER(SEARCH(Лист2!$B$5,I:I)),1,0)+K1524</f>
        <v>0</v>
      </c>
      <c r="M1524" s="3">
        <f ca="1">IF(AND(N1524&lt;&gt;N1523,ISNUMBER(SEARCH(Лист2!$B$6,N:N)),L1524=2),MAX($M$3:OFFSET(M1524,-1,0))+1,0)</f>
        <v>0</v>
      </c>
      <c r="N1524" s="3" t="s">
        <v>1465</v>
      </c>
    </row>
    <row r="1525" spans="1:14" x14ac:dyDescent="0.25">
      <c r="A1525" s="1" t="s">
        <v>11035</v>
      </c>
      <c r="B1525" s="3" t="s">
        <v>5149</v>
      </c>
      <c r="C1525" s="2">
        <f ca="1">IF(ISNUMBER(SEARCH(Лист2!$B$4,D:D)),MAX($C$3:OFFSET(C1525,-1,0))+1,0)</f>
        <v>0</v>
      </c>
      <c r="E1525" s="9" t="str">
        <f t="shared" ca="1" si="35"/>
        <v/>
      </c>
      <c r="F1525" s="4" t="s">
        <v>7</v>
      </c>
      <c r="G1525" s="2">
        <f>IF(ISNUMBER(SEARCH(Лист2!$B$4,F:F)),1,0)</f>
        <v>0</v>
      </c>
      <c r="H1525" s="3">
        <f ca="1">IF(AND(I1525&lt;&gt;I1524,ISNUMBER(SEARCH(Лист2!$B$5,I:I)),G1525=1),MAX($H$3:OFFSET(H1525,-1,0))+1,0)</f>
        <v>0</v>
      </c>
      <c r="I1525" s="3" t="s">
        <v>195</v>
      </c>
      <c r="K1525" s="2">
        <f>IF(ISNUMBER(SEARCH(Лист2!$B$4,F:F)),1,0)</f>
        <v>0</v>
      </c>
      <c r="L1525" s="14">
        <f>IF(ISNUMBER(SEARCH(Лист2!$B$5,I:I)),1,0)+K1525</f>
        <v>0</v>
      </c>
      <c r="M1525" s="3">
        <f ca="1">IF(AND(N1525&lt;&gt;N1524,ISNUMBER(SEARCH(Лист2!$B$6,N:N)),L1525=2),MAX($M$3:OFFSET(M1525,-1,0))+1,0)</f>
        <v>0</v>
      </c>
      <c r="N1525" s="3" t="s">
        <v>1466</v>
      </c>
    </row>
    <row r="1526" spans="1:14" x14ac:dyDescent="0.25">
      <c r="A1526" s="1" t="s">
        <v>11035</v>
      </c>
      <c r="B1526" s="3" t="s">
        <v>5150</v>
      </c>
      <c r="C1526" s="2">
        <f ca="1">IF(ISNUMBER(SEARCH(Лист2!$B$4,D:D)),MAX($C$3:OFFSET(C1526,-1,0))+1,0)</f>
        <v>0</v>
      </c>
      <c r="E1526" s="9" t="str">
        <f t="shared" ca="1" si="35"/>
        <v/>
      </c>
      <c r="F1526" s="4" t="s">
        <v>7</v>
      </c>
      <c r="G1526" s="2">
        <f>IF(ISNUMBER(SEARCH(Лист2!$B$4,F:F)),1,0)</f>
        <v>0</v>
      </c>
      <c r="H1526" s="3">
        <f ca="1">IF(AND(I1526&lt;&gt;I1525,ISNUMBER(SEARCH(Лист2!$B$5,I:I)),G1526=1),MAX($H$3:OFFSET(H1526,-1,0))+1,0)</f>
        <v>0</v>
      </c>
      <c r="I1526" s="3" t="s">
        <v>195</v>
      </c>
      <c r="K1526" s="2">
        <f>IF(ISNUMBER(SEARCH(Лист2!$B$4,F:F)),1,0)</f>
        <v>0</v>
      </c>
      <c r="L1526" s="14">
        <f>IF(ISNUMBER(SEARCH(Лист2!$B$5,I:I)),1,0)+K1526</f>
        <v>0</v>
      </c>
      <c r="M1526" s="3">
        <f ca="1">IF(AND(N1526&lt;&gt;N1525,ISNUMBER(SEARCH(Лист2!$B$6,N:N)),L1526=2),MAX($M$3:OFFSET(M1526,-1,0))+1,0)</f>
        <v>0</v>
      </c>
      <c r="N1526" s="3" t="s">
        <v>1466</v>
      </c>
    </row>
    <row r="1527" spans="1:14" x14ac:dyDescent="0.25">
      <c r="A1527" s="1" t="s">
        <v>11035</v>
      </c>
      <c r="B1527" s="3" t="s">
        <v>5151</v>
      </c>
      <c r="C1527" s="2">
        <f ca="1">IF(ISNUMBER(SEARCH(Лист2!$B$4,D:D)),MAX($C$3:OFFSET(C1527,-1,0))+1,0)</f>
        <v>0</v>
      </c>
      <c r="E1527" s="9" t="str">
        <f t="shared" ca="1" si="35"/>
        <v/>
      </c>
      <c r="F1527" s="4" t="s">
        <v>7</v>
      </c>
      <c r="G1527" s="2">
        <f>IF(ISNUMBER(SEARCH(Лист2!$B$4,F:F)),1,0)</f>
        <v>0</v>
      </c>
      <c r="H1527" s="3">
        <f ca="1">IF(AND(I1527&lt;&gt;I1526,ISNUMBER(SEARCH(Лист2!$B$5,I:I)),G1527=1),MAX($H$3:OFFSET(H1527,-1,0))+1,0)</f>
        <v>0</v>
      </c>
      <c r="I1527" s="3" t="s">
        <v>195</v>
      </c>
      <c r="K1527" s="2">
        <f>IF(ISNUMBER(SEARCH(Лист2!$B$4,F:F)),1,0)</f>
        <v>0</v>
      </c>
      <c r="L1527" s="14">
        <f>IF(ISNUMBER(SEARCH(Лист2!$B$5,I:I)),1,0)+K1527</f>
        <v>0</v>
      </c>
      <c r="M1527" s="3">
        <f ca="1">IF(AND(N1527&lt;&gt;N1526,ISNUMBER(SEARCH(Лист2!$B$6,N:N)),L1527=2),MAX($M$3:OFFSET(M1527,-1,0))+1,0)</f>
        <v>0</v>
      </c>
      <c r="N1527" s="3" t="s">
        <v>1466</v>
      </c>
    </row>
    <row r="1528" spans="1:14" x14ac:dyDescent="0.25">
      <c r="A1528" s="1" t="s">
        <v>11036</v>
      </c>
      <c r="B1528" s="3" t="s">
        <v>5152</v>
      </c>
      <c r="C1528" s="2">
        <f ca="1">IF(ISNUMBER(SEARCH(Лист2!$B$4,D:D)),MAX($C$3:OFFSET(C1528,-1,0))+1,0)</f>
        <v>0</v>
      </c>
      <c r="E1528" s="9" t="str">
        <f t="shared" ca="1" si="35"/>
        <v/>
      </c>
      <c r="F1528" s="4" t="s">
        <v>7</v>
      </c>
      <c r="G1528" s="2">
        <f>IF(ISNUMBER(SEARCH(Лист2!$B$4,F:F)),1,0)</f>
        <v>0</v>
      </c>
      <c r="H1528" s="3">
        <f ca="1">IF(AND(I1528&lt;&gt;I1527,ISNUMBER(SEARCH(Лист2!$B$5,I:I)),G1528=1),MAX($H$3:OFFSET(H1528,-1,0))+1,0)</f>
        <v>0</v>
      </c>
      <c r="I1528" s="3" t="s">
        <v>195</v>
      </c>
      <c r="K1528" s="2">
        <f>IF(ISNUMBER(SEARCH(Лист2!$B$4,F:F)),1,0)</f>
        <v>0</v>
      </c>
      <c r="L1528" s="14">
        <f>IF(ISNUMBER(SEARCH(Лист2!$B$5,I:I)),1,0)+K1528</f>
        <v>0</v>
      </c>
      <c r="M1528" s="3">
        <f ca="1">IF(AND(N1528&lt;&gt;N1527,ISNUMBER(SEARCH(Лист2!$B$6,N:N)),L1528=2),MAX($M$3:OFFSET(M1528,-1,0))+1,0)</f>
        <v>0</v>
      </c>
      <c r="N1528" s="3" t="s">
        <v>1467</v>
      </c>
    </row>
    <row r="1529" spans="1:14" x14ac:dyDescent="0.25">
      <c r="A1529" s="1" t="s">
        <v>11037</v>
      </c>
      <c r="B1529" s="3" t="s">
        <v>5153</v>
      </c>
      <c r="C1529" s="2">
        <f ca="1">IF(ISNUMBER(SEARCH(Лист2!$B$4,D:D)),MAX($C$3:OFFSET(C1529,-1,0))+1,0)</f>
        <v>0</v>
      </c>
      <c r="E1529" s="9" t="str">
        <f t="shared" ca="1" si="35"/>
        <v/>
      </c>
      <c r="F1529" s="4" t="s">
        <v>7</v>
      </c>
      <c r="G1529" s="2">
        <f>IF(ISNUMBER(SEARCH(Лист2!$B$4,F:F)),1,0)</f>
        <v>0</v>
      </c>
      <c r="H1529" s="3">
        <f ca="1">IF(AND(I1529&lt;&gt;I1528,ISNUMBER(SEARCH(Лист2!$B$5,I:I)),G1529=1),MAX($H$3:OFFSET(H1529,-1,0))+1,0)</f>
        <v>0</v>
      </c>
      <c r="I1529" s="3" t="s">
        <v>195</v>
      </c>
      <c r="K1529" s="2">
        <f>IF(ISNUMBER(SEARCH(Лист2!$B$4,F:F)),1,0)</f>
        <v>0</v>
      </c>
      <c r="L1529" s="14">
        <f>IF(ISNUMBER(SEARCH(Лист2!$B$5,I:I)),1,0)+K1529</f>
        <v>0</v>
      </c>
      <c r="M1529" s="3">
        <f ca="1">IF(AND(N1529&lt;&gt;N1528,ISNUMBER(SEARCH(Лист2!$B$6,N:N)),L1529=2),MAX($M$3:OFFSET(M1529,-1,0))+1,0)</f>
        <v>0</v>
      </c>
      <c r="N1529" s="3" t="s">
        <v>1468</v>
      </c>
    </row>
    <row r="1530" spans="1:14" x14ac:dyDescent="0.25">
      <c r="A1530" s="1" t="s">
        <v>11037</v>
      </c>
      <c r="B1530" s="3" t="s">
        <v>5154</v>
      </c>
      <c r="C1530" s="2">
        <f ca="1">IF(ISNUMBER(SEARCH(Лист2!$B$4,D:D)),MAX($C$3:OFFSET(C1530,-1,0))+1,0)</f>
        <v>0</v>
      </c>
      <c r="E1530" s="9" t="str">
        <f t="shared" ca="1" si="35"/>
        <v/>
      </c>
      <c r="F1530" s="4" t="s">
        <v>7</v>
      </c>
      <c r="G1530" s="2">
        <f>IF(ISNUMBER(SEARCH(Лист2!$B$4,F:F)),1,0)</f>
        <v>0</v>
      </c>
      <c r="H1530" s="3">
        <f ca="1">IF(AND(I1530&lt;&gt;I1529,ISNUMBER(SEARCH(Лист2!$B$5,I:I)),G1530=1),MAX($H$3:OFFSET(H1530,-1,0))+1,0)</f>
        <v>0</v>
      </c>
      <c r="I1530" s="3" t="s">
        <v>195</v>
      </c>
      <c r="K1530" s="2">
        <f>IF(ISNUMBER(SEARCH(Лист2!$B$4,F:F)),1,0)</f>
        <v>0</v>
      </c>
      <c r="L1530" s="14">
        <f>IF(ISNUMBER(SEARCH(Лист2!$B$5,I:I)),1,0)+K1530</f>
        <v>0</v>
      </c>
      <c r="M1530" s="3">
        <f ca="1">IF(AND(N1530&lt;&gt;N1529,ISNUMBER(SEARCH(Лист2!$B$6,N:N)),L1530=2),MAX($M$3:OFFSET(M1530,-1,0))+1,0)</f>
        <v>0</v>
      </c>
      <c r="N1530" s="3" t="s">
        <v>1468</v>
      </c>
    </row>
    <row r="1531" spans="1:14" x14ac:dyDescent="0.25">
      <c r="A1531" s="1" t="s">
        <v>11037</v>
      </c>
      <c r="B1531" s="3" t="s">
        <v>5155</v>
      </c>
      <c r="C1531" s="2">
        <f ca="1">IF(ISNUMBER(SEARCH(Лист2!$B$4,D:D)),MAX($C$3:OFFSET(C1531,-1,0))+1,0)</f>
        <v>0</v>
      </c>
      <c r="E1531" s="9" t="str">
        <f t="shared" ca="1" si="35"/>
        <v/>
      </c>
      <c r="F1531" s="4" t="s">
        <v>7</v>
      </c>
      <c r="G1531" s="2">
        <f>IF(ISNUMBER(SEARCH(Лист2!$B$4,F:F)),1,0)</f>
        <v>0</v>
      </c>
      <c r="H1531" s="3">
        <f ca="1">IF(AND(I1531&lt;&gt;I1530,ISNUMBER(SEARCH(Лист2!$B$5,I:I)),G1531=1),MAX($H$3:OFFSET(H1531,-1,0))+1,0)</f>
        <v>0</v>
      </c>
      <c r="I1531" s="3" t="s">
        <v>195</v>
      </c>
      <c r="K1531" s="2">
        <f>IF(ISNUMBER(SEARCH(Лист2!$B$4,F:F)),1,0)</f>
        <v>0</v>
      </c>
      <c r="L1531" s="14">
        <f>IF(ISNUMBER(SEARCH(Лист2!$B$5,I:I)),1,0)+K1531</f>
        <v>0</v>
      </c>
      <c r="M1531" s="3">
        <f ca="1">IF(AND(N1531&lt;&gt;N1530,ISNUMBER(SEARCH(Лист2!$B$6,N:N)),L1531=2),MAX($M$3:OFFSET(M1531,-1,0))+1,0)</f>
        <v>0</v>
      </c>
      <c r="N1531" s="3" t="s">
        <v>1468</v>
      </c>
    </row>
    <row r="1532" spans="1:14" x14ac:dyDescent="0.25">
      <c r="A1532" s="1" t="s">
        <v>11038</v>
      </c>
      <c r="B1532" s="3" t="s">
        <v>5156</v>
      </c>
      <c r="C1532" s="2">
        <f ca="1">IF(ISNUMBER(SEARCH(Лист2!$B$4,D:D)),MAX($C$3:OFFSET(C1532,-1,0))+1,0)</f>
        <v>0</v>
      </c>
      <c r="E1532" s="9" t="str">
        <f t="shared" ca="1" si="35"/>
        <v/>
      </c>
      <c r="F1532" s="4" t="s">
        <v>7</v>
      </c>
      <c r="G1532" s="2">
        <f>IF(ISNUMBER(SEARCH(Лист2!$B$4,F:F)),1,0)</f>
        <v>0</v>
      </c>
      <c r="H1532" s="3">
        <f ca="1">IF(AND(I1532&lt;&gt;I1531,ISNUMBER(SEARCH(Лист2!$B$5,I:I)),G1532=1),MAX($H$3:OFFSET(H1532,-1,0))+1,0)</f>
        <v>0</v>
      </c>
      <c r="I1532" s="3" t="s">
        <v>195</v>
      </c>
      <c r="K1532" s="2">
        <f>IF(ISNUMBER(SEARCH(Лист2!$B$4,F:F)),1,0)</f>
        <v>0</v>
      </c>
      <c r="L1532" s="14">
        <f>IF(ISNUMBER(SEARCH(Лист2!$B$5,I:I)),1,0)+K1532</f>
        <v>0</v>
      </c>
      <c r="M1532" s="3">
        <f ca="1">IF(AND(N1532&lt;&gt;N1531,ISNUMBER(SEARCH(Лист2!$B$6,N:N)),L1532=2),MAX($M$3:OFFSET(M1532,-1,0))+1,0)</f>
        <v>0</v>
      </c>
      <c r="N1532" s="3" t="s">
        <v>1469</v>
      </c>
    </row>
    <row r="1533" spans="1:14" x14ac:dyDescent="0.25">
      <c r="A1533" s="1" t="s">
        <v>11039</v>
      </c>
      <c r="B1533" s="3" t="s">
        <v>5157</v>
      </c>
      <c r="C1533" s="2">
        <f ca="1">IF(ISNUMBER(SEARCH(Лист2!$B$4,D:D)),MAX($C$3:OFFSET(C1533,-1,0))+1,0)</f>
        <v>0</v>
      </c>
      <c r="E1533" s="9" t="str">
        <f t="shared" ca="1" si="35"/>
        <v/>
      </c>
      <c r="F1533" s="4" t="s">
        <v>7</v>
      </c>
      <c r="G1533" s="2">
        <f>IF(ISNUMBER(SEARCH(Лист2!$B$4,F:F)),1,0)</f>
        <v>0</v>
      </c>
      <c r="H1533" s="3">
        <f ca="1">IF(AND(I1533&lt;&gt;I1532,ISNUMBER(SEARCH(Лист2!$B$5,I:I)),G1533=1),MAX($H$3:OFFSET(H1533,-1,0))+1,0)</f>
        <v>0</v>
      </c>
      <c r="I1533" s="3" t="s">
        <v>195</v>
      </c>
      <c r="K1533" s="2">
        <f>IF(ISNUMBER(SEARCH(Лист2!$B$4,F:F)),1,0)</f>
        <v>0</v>
      </c>
      <c r="L1533" s="14">
        <f>IF(ISNUMBER(SEARCH(Лист2!$B$5,I:I)),1,0)+K1533</f>
        <v>0</v>
      </c>
      <c r="M1533" s="3">
        <f ca="1">IF(AND(N1533&lt;&gt;N1532,ISNUMBER(SEARCH(Лист2!$B$6,N:N)),L1533=2),MAX($M$3:OFFSET(M1533,-1,0))+1,0)</f>
        <v>0</v>
      </c>
      <c r="N1533" s="3" t="s">
        <v>602</v>
      </c>
    </row>
    <row r="1534" spans="1:14" x14ac:dyDescent="0.25">
      <c r="A1534" s="1" t="s">
        <v>11040</v>
      </c>
      <c r="B1534" s="3" t="s">
        <v>5158</v>
      </c>
      <c r="C1534" s="2">
        <f ca="1">IF(ISNUMBER(SEARCH(Лист2!$B$4,D:D)),MAX($C$3:OFFSET(C1534,-1,0))+1,0)</f>
        <v>0</v>
      </c>
      <c r="E1534" s="9" t="str">
        <f t="shared" ca="1" si="35"/>
        <v/>
      </c>
      <c r="F1534" s="4" t="s">
        <v>7</v>
      </c>
      <c r="G1534" s="2">
        <f>IF(ISNUMBER(SEARCH(Лист2!$B$4,F:F)),1,0)</f>
        <v>0</v>
      </c>
      <c r="H1534" s="3">
        <f ca="1">IF(AND(I1534&lt;&gt;I1533,ISNUMBER(SEARCH(Лист2!$B$5,I:I)),G1534=1),MAX($H$3:OFFSET(H1534,-1,0))+1,0)</f>
        <v>0</v>
      </c>
      <c r="I1534" s="3" t="s">
        <v>195</v>
      </c>
      <c r="K1534" s="2">
        <f>IF(ISNUMBER(SEARCH(Лист2!$B$4,F:F)),1,0)</f>
        <v>0</v>
      </c>
      <c r="L1534" s="14">
        <f>IF(ISNUMBER(SEARCH(Лист2!$B$5,I:I)),1,0)+K1534</f>
        <v>0</v>
      </c>
      <c r="M1534" s="3">
        <f ca="1">IF(AND(N1534&lt;&gt;N1533,ISNUMBER(SEARCH(Лист2!$B$6,N:N)),L1534=2),MAX($M$3:OFFSET(M1534,-1,0))+1,0)</f>
        <v>0</v>
      </c>
      <c r="N1534" s="3" t="s">
        <v>1470</v>
      </c>
    </row>
    <row r="1535" spans="1:14" x14ac:dyDescent="0.25">
      <c r="A1535" s="1" t="s">
        <v>11041</v>
      </c>
      <c r="B1535" s="3" t="s">
        <v>5159</v>
      </c>
      <c r="C1535" s="2">
        <f ca="1">IF(ISNUMBER(SEARCH(Лист2!$B$4,D:D)),MAX($C$3:OFFSET(C1535,-1,0))+1,0)</f>
        <v>0</v>
      </c>
      <c r="E1535" s="9" t="str">
        <f t="shared" ca="1" si="35"/>
        <v/>
      </c>
      <c r="F1535" s="4" t="s">
        <v>7</v>
      </c>
      <c r="G1535" s="2">
        <f>IF(ISNUMBER(SEARCH(Лист2!$B$4,F:F)),1,0)</f>
        <v>0</v>
      </c>
      <c r="H1535" s="3">
        <f ca="1">IF(AND(I1535&lt;&gt;I1534,ISNUMBER(SEARCH(Лист2!$B$5,I:I)),G1535=1),MAX($H$3:OFFSET(H1535,-1,0))+1,0)</f>
        <v>0</v>
      </c>
      <c r="I1535" s="3" t="s">
        <v>196</v>
      </c>
      <c r="K1535" s="2">
        <f>IF(ISNUMBER(SEARCH(Лист2!$B$4,F:F)),1,0)</f>
        <v>0</v>
      </c>
      <c r="L1535" s="14">
        <f>IF(ISNUMBER(SEARCH(Лист2!$B$5,I:I)),1,0)+K1535</f>
        <v>0</v>
      </c>
      <c r="M1535" s="3">
        <f ca="1">IF(AND(N1535&lt;&gt;N1534,ISNUMBER(SEARCH(Лист2!$B$6,N:N)),L1535=2),MAX($M$3:OFFSET(M1535,-1,0))+1,0)</f>
        <v>0</v>
      </c>
      <c r="N1535" s="3" t="s">
        <v>1471</v>
      </c>
    </row>
    <row r="1536" spans="1:14" x14ac:dyDescent="0.25">
      <c r="A1536" s="1" t="s">
        <v>11042</v>
      </c>
      <c r="B1536" s="3" t="s">
        <v>5160</v>
      </c>
      <c r="C1536" s="2">
        <f ca="1">IF(ISNUMBER(SEARCH(Лист2!$B$4,D:D)),MAX($C$3:OFFSET(C1536,-1,0))+1,0)</f>
        <v>0</v>
      </c>
      <c r="E1536" s="9" t="str">
        <f t="shared" ca="1" si="35"/>
        <v/>
      </c>
      <c r="F1536" s="4" t="s">
        <v>7</v>
      </c>
      <c r="G1536" s="2">
        <f>IF(ISNUMBER(SEARCH(Лист2!$B$4,F:F)),1,0)</f>
        <v>0</v>
      </c>
      <c r="H1536" s="3">
        <f ca="1">IF(AND(I1536&lt;&gt;I1535,ISNUMBER(SEARCH(Лист2!$B$5,I:I)),G1536=1),MAX($H$3:OFFSET(H1536,-1,0))+1,0)</f>
        <v>0</v>
      </c>
      <c r="I1536" s="3" t="s">
        <v>196</v>
      </c>
      <c r="K1536" s="2">
        <f>IF(ISNUMBER(SEARCH(Лист2!$B$4,F:F)),1,0)</f>
        <v>0</v>
      </c>
      <c r="L1536" s="14">
        <f>IF(ISNUMBER(SEARCH(Лист2!$B$5,I:I)),1,0)+K1536</f>
        <v>0</v>
      </c>
      <c r="M1536" s="3">
        <f ca="1">IF(AND(N1536&lt;&gt;N1535,ISNUMBER(SEARCH(Лист2!$B$6,N:N)),L1536=2),MAX($M$3:OFFSET(M1536,-1,0))+1,0)</f>
        <v>0</v>
      </c>
      <c r="N1536" s="3" t="s">
        <v>1472</v>
      </c>
    </row>
    <row r="1537" spans="1:14" x14ac:dyDescent="0.25">
      <c r="A1537" s="1" t="s">
        <v>11043</v>
      </c>
      <c r="B1537" s="3" t="s">
        <v>5161</v>
      </c>
      <c r="C1537" s="2">
        <f ca="1">IF(ISNUMBER(SEARCH(Лист2!$B$4,D:D)),MAX($C$3:OFFSET(C1537,-1,0))+1,0)</f>
        <v>0</v>
      </c>
      <c r="E1537" s="9" t="str">
        <f t="shared" ca="1" si="35"/>
        <v/>
      </c>
      <c r="F1537" s="4" t="s">
        <v>7</v>
      </c>
      <c r="G1537" s="2">
        <f>IF(ISNUMBER(SEARCH(Лист2!$B$4,F:F)),1,0)</f>
        <v>0</v>
      </c>
      <c r="H1537" s="3">
        <f ca="1">IF(AND(I1537&lt;&gt;I1536,ISNUMBER(SEARCH(Лист2!$B$5,I:I)),G1537=1),MAX($H$3:OFFSET(H1537,-1,0))+1,0)</f>
        <v>0</v>
      </c>
      <c r="I1537" s="3" t="s">
        <v>196</v>
      </c>
      <c r="K1537" s="2">
        <f>IF(ISNUMBER(SEARCH(Лист2!$B$4,F:F)),1,0)</f>
        <v>0</v>
      </c>
      <c r="L1537" s="14">
        <f>IF(ISNUMBER(SEARCH(Лист2!$B$5,I:I)),1,0)+K1537</f>
        <v>0</v>
      </c>
      <c r="M1537" s="3">
        <f ca="1">IF(AND(N1537&lt;&gt;N1536,ISNUMBER(SEARCH(Лист2!$B$6,N:N)),L1537=2),MAX($M$3:OFFSET(M1537,-1,0))+1,0)</f>
        <v>0</v>
      </c>
      <c r="N1537" s="3" t="s">
        <v>1473</v>
      </c>
    </row>
    <row r="1538" spans="1:14" x14ac:dyDescent="0.25">
      <c r="A1538" s="1" t="s">
        <v>11044</v>
      </c>
      <c r="B1538" s="3" t="s">
        <v>5162</v>
      </c>
      <c r="C1538" s="2">
        <f ca="1">IF(ISNUMBER(SEARCH(Лист2!$B$4,D:D)),MAX($C$3:OFFSET(C1538,-1,0))+1,0)</f>
        <v>0</v>
      </c>
      <c r="E1538" s="9" t="str">
        <f t="shared" ca="1" si="35"/>
        <v/>
      </c>
      <c r="F1538" s="4" t="s">
        <v>7</v>
      </c>
      <c r="G1538" s="2">
        <f>IF(ISNUMBER(SEARCH(Лист2!$B$4,F:F)),1,0)</f>
        <v>0</v>
      </c>
      <c r="H1538" s="3">
        <f ca="1">IF(AND(I1538&lt;&gt;I1537,ISNUMBER(SEARCH(Лист2!$B$5,I:I)),G1538=1),MAX($H$3:OFFSET(H1538,-1,0))+1,0)</f>
        <v>0</v>
      </c>
      <c r="I1538" s="3" t="s">
        <v>196</v>
      </c>
      <c r="K1538" s="2">
        <f>IF(ISNUMBER(SEARCH(Лист2!$B$4,F:F)),1,0)</f>
        <v>0</v>
      </c>
      <c r="L1538" s="14">
        <f>IF(ISNUMBER(SEARCH(Лист2!$B$5,I:I)),1,0)+K1538</f>
        <v>0</v>
      </c>
      <c r="M1538" s="3">
        <f ca="1">IF(AND(N1538&lt;&gt;N1537,ISNUMBER(SEARCH(Лист2!$B$6,N:N)),L1538=2),MAX($M$3:OFFSET(M1538,-1,0))+1,0)</f>
        <v>0</v>
      </c>
      <c r="N1538" s="3" t="s">
        <v>1474</v>
      </c>
    </row>
    <row r="1539" spans="1:14" x14ac:dyDescent="0.25">
      <c r="A1539" s="1" t="s">
        <v>11045</v>
      </c>
      <c r="B1539" s="3" t="s">
        <v>5163</v>
      </c>
      <c r="C1539" s="2">
        <f ca="1">IF(ISNUMBER(SEARCH(Лист2!$B$4,D:D)),MAX($C$3:OFFSET(C1539,-1,0))+1,0)</f>
        <v>0</v>
      </c>
      <c r="E1539" s="9" t="str">
        <f t="shared" ca="1" si="35"/>
        <v/>
      </c>
      <c r="F1539" s="4" t="s">
        <v>7</v>
      </c>
      <c r="G1539" s="2">
        <f>IF(ISNUMBER(SEARCH(Лист2!$B$4,F:F)),1,0)</f>
        <v>0</v>
      </c>
      <c r="H1539" s="3">
        <f ca="1">IF(AND(I1539&lt;&gt;I1538,ISNUMBER(SEARCH(Лист2!$B$5,I:I)),G1539=1),MAX($H$3:OFFSET(H1539,-1,0))+1,0)</f>
        <v>0</v>
      </c>
      <c r="I1539" s="3" t="s">
        <v>196</v>
      </c>
      <c r="K1539" s="2">
        <f>IF(ISNUMBER(SEARCH(Лист2!$B$4,F:F)),1,0)</f>
        <v>0</v>
      </c>
      <c r="L1539" s="14">
        <f>IF(ISNUMBER(SEARCH(Лист2!$B$5,I:I)),1,0)+K1539</f>
        <v>0</v>
      </c>
      <c r="M1539" s="3">
        <f ca="1">IF(AND(N1539&lt;&gt;N1538,ISNUMBER(SEARCH(Лист2!$B$6,N:N)),L1539=2),MAX($M$3:OFFSET(M1539,-1,0))+1,0)</f>
        <v>0</v>
      </c>
      <c r="N1539" s="3" t="s">
        <v>1385</v>
      </c>
    </row>
    <row r="1540" spans="1:14" x14ac:dyDescent="0.25">
      <c r="A1540" s="1" t="s">
        <v>11046</v>
      </c>
      <c r="B1540" s="3" t="s">
        <v>5164</v>
      </c>
      <c r="C1540" s="2">
        <f ca="1">IF(ISNUMBER(SEARCH(Лист2!$B$4,D:D)),MAX($C$3:OFFSET(C1540,-1,0))+1,0)</f>
        <v>0</v>
      </c>
      <c r="E1540" s="9" t="str">
        <f t="shared" ca="1" si="35"/>
        <v/>
      </c>
      <c r="F1540" s="4" t="s">
        <v>7</v>
      </c>
      <c r="G1540" s="2">
        <f>IF(ISNUMBER(SEARCH(Лист2!$B$4,F:F)),1,0)</f>
        <v>0</v>
      </c>
      <c r="H1540" s="3">
        <f ca="1">IF(AND(I1540&lt;&gt;I1539,ISNUMBER(SEARCH(Лист2!$B$5,I:I)),G1540=1),MAX($H$3:OFFSET(H1540,-1,0))+1,0)</f>
        <v>0</v>
      </c>
      <c r="I1540" s="3" t="s">
        <v>196</v>
      </c>
      <c r="K1540" s="2">
        <f>IF(ISNUMBER(SEARCH(Лист2!$B$4,F:F)),1,0)</f>
        <v>0</v>
      </c>
      <c r="L1540" s="14">
        <f>IF(ISNUMBER(SEARCH(Лист2!$B$5,I:I)),1,0)+K1540</f>
        <v>0</v>
      </c>
      <c r="M1540" s="3">
        <f ca="1">IF(AND(N1540&lt;&gt;N1539,ISNUMBER(SEARCH(Лист2!$B$6,N:N)),L1540=2),MAX($M$3:OFFSET(M1540,-1,0))+1,0)</f>
        <v>0</v>
      </c>
      <c r="N1540" s="3" t="s">
        <v>1475</v>
      </c>
    </row>
    <row r="1541" spans="1:14" x14ac:dyDescent="0.25">
      <c r="A1541" s="1" t="s">
        <v>11047</v>
      </c>
      <c r="B1541" s="3" t="s">
        <v>5165</v>
      </c>
      <c r="C1541" s="2">
        <f ca="1">IF(ISNUMBER(SEARCH(Лист2!$B$4,D:D)),MAX($C$3:OFFSET(C1541,-1,0))+1,0)</f>
        <v>0</v>
      </c>
      <c r="E1541" s="9" t="str">
        <f t="shared" ref="E1541:E1604" ca="1" si="36">IFERROR(INDEX(D:D,MATCH(ROW(E1541)-ROW($E$3),C:C,0)),"")</f>
        <v/>
      </c>
      <c r="F1541" s="4" t="s">
        <v>7</v>
      </c>
      <c r="G1541" s="2">
        <f>IF(ISNUMBER(SEARCH(Лист2!$B$4,F:F)),1,0)</f>
        <v>0</v>
      </c>
      <c r="H1541" s="3">
        <f ca="1">IF(AND(I1541&lt;&gt;I1540,ISNUMBER(SEARCH(Лист2!$B$5,I:I)),G1541=1),MAX($H$3:OFFSET(H1541,-1,0))+1,0)</f>
        <v>0</v>
      </c>
      <c r="I1541" s="3" t="s">
        <v>196</v>
      </c>
      <c r="K1541" s="2">
        <f>IF(ISNUMBER(SEARCH(Лист2!$B$4,F:F)),1,0)</f>
        <v>0</v>
      </c>
      <c r="L1541" s="14">
        <f>IF(ISNUMBER(SEARCH(Лист2!$B$5,I:I)),1,0)+K1541</f>
        <v>0</v>
      </c>
      <c r="M1541" s="3">
        <f ca="1">IF(AND(N1541&lt;&gt;N1540,ISNUMBER(SEARCH(Лист2!$B$6,N:N)),L1541=2),MAX($M$3:OFFSET(M1541,-1,0))+1,0)</f>
        <v>0</v>
      </c>
      <c r="N1541" s="3" t="s">
        <v>1476</v>
      </c>
    </row>
    <row r="1542" spans="1:14" x14ac:dyDescent="0.25">
      <c r="A1542" s="1" t="s">
        <v>11048</v>
      </c>
      <c r="B1542" s="3" t="s">
        <v>5166</v>
      </c>
      <c r="C1542" s="2">
        <f ca="1">IF(ISNUMBER(SEARCH(Лист2!$B$4,D:D)),MAX($C$3:OFFSET(C1542,-1,0))+1,0)</f>
        <v>0</v>
      </c>
      <c r="E1542" s="9" t="str">
        <f t="shared" ca="1" si="36"/>
        <v/>
      </c>
      <c r="F1542" s="4" t="s">
        <v>7</v>
      </c>
      <c r="G1542" s="2">
        <f>IF(ISNUMBER(SEARCH(Лист2!$B$4,F:F)),1,0)</f>
        <v>0</v>
      </c>
      <c r="H1542" s="3">
        <f ca="1">IF(AND(I1542&lt;&gt;I1541,ISNUMBER(SEARCH(Лист2!$B$5,I:I)),G1542=1),MAX($H$3:OFFSET(H1542,-1,0))+1,0)</f>
        <v>0</v>
      </c>
      <c r="I1542" s="3" t="s">
        <v>197</v>
      </c>
      <c r="K1542" s="2">
        <f>IF(ISNUMBER(SEARCH(Лист2!$B$4,F:F)),1,0)</f>
        <v>0</v>
      </c>
      <c r="L1542" s="14">
        <f>IF(ISNUMBER(SEARCH(Лист2!$B$5,I:I)),1,0)+K1542</f>
        <v>0</v>
      </c>
      <c r="M1542" s="3">
        <f ca="1">IF(AND(N1542&lt;&gt;N1541,ISNUMBER(SEARCH(Лист2!$B$6,N:N)),L1542=2),MAX($M$3:OFFSET(M1542,-1,0))+1,0)</f>
        <v>0</v>
      </c>
      <c r="N1542" s="3" t="s">
        <v>1477</v>
      </c>
    </row>
    <row r="1543" spans="1:14" x14ac:dyDescent="0.25">
      <c r="A1543" s="1" t="s">
        <v>11049</v>
      </c>
      <c r="B1543" s="3" t="s">
        <v>5167</v>
      </c>
      <c r="C1543" s="2">
        <f ca="1">IF(ISNUMBER(SEARCH(Лист2!$B$4,D:D)),MAX($C$3:OFFSET(C1543,-1,0))+1,0)</f>
        <v>0</v>
      </c>
      <c r="E1543" s="9" t="str">
        <f t="shared" ca="1" si="36"/>
        <v/>
      </c>
      <c r="F1543" s="4" t="s">
        <v>7</v>
      </c>
      <c r="G1543" s="2">
        <f>IF(ISNUMBER(SEARCH(Лист2!$B$4,F:F)),1,0)</f>
        <v>0</v>
      </c>
      <c r="H1543" s="3">
        <f ca="1">IF(AND(I1543&lt;&gt;I1542,ISNUMBER(SEARCH(Лист2!$B$5,I:I)),G1543=1),MAX($H$3:OFFSET(H1543,-1,0))+1,0)</f>
        <v>0</v>
      </c>
      <c r="I1543" s="3" t="s">
        <v>197</v>
      </c>
      <c r="K1543" s="2">
        <f>IF(ISNUMBER(SEARCH(Лист2!$B$4,F:F)),1,0)</f>
        <v>0</v>
      </c>
      <c r="L1543" s="14">
        <f>IF(ISNUMBER(SEARCH(Лист2!$B$5,I:I)),1,0)+K1543</f>
        <v>0</v>
      </c>
      <c r="M1543" s="3">
        <f ca="1">IF(AND(N1543&lt;&gt;N1542,ISNUMBER(SEARCH(Лист2!$B$6,N:N)),L1543=2),MAX($M$3:OFFSET(M1543,-1,0))+1,0)</f>
        <v>0</v>
      </c>
      <c r="N1543" s="3" t="s">
        <v>1478</v>
      </c>
    </row>
    <row r="1544" spans="1:14" x14ac:dyDescent="0.25">
      <c r="A1544" s="1" t="s">
        <v>11050</v>
      </c>
      <c r="B1544" s="3" t="s">
        <v>5168</v>
      </c>
      <c r="C1544" s="2">
        <f ca="1">IF(ISNUMBER(SEARCH(Лист2!$B$4,D:D)),MAX($C$3:OFFSET(C1544,-1,0))+1,0)</f>
        <v>0</v>
      </c>
      <c r="E1544" s="9" t="str">
        <f t="shared" ca="1" si="36"/>
        <v/>
      </c>
      <c r="F1544" s="4" t="s">
        <v>7</v>
      </c>
      <c r="G1544" s="2">
        <f>IF(ISNUMBER(SEARCH(Лист2!$B$4,F:F)),1,0)</f>
        <v>0</v>
      </c>
      <c r="H1544" s="3">
        <f ca="1">IF(AND(I1544&lt;&gt;I1543,ISNUMBER(SEARCH(Лист2!$B$5,I:I)),G1544=1),MAX($H$3:OFFSET(H1544,-1,0))+1,0)</f>
        <v>0</v>
      </c>
      <c r="I1544" s="3" t="s">
        <v>197</v>
      </c>
      <c r="K1544" s="2">
        <f>IF(ISNUMBER(SEARCH(Лист2!$B$4,F:F)),1,0)</f>
        <v>0</v>
      </c>
      <c r="L1544" s="14">
        <f>IF(ISNUMBER(SEARCH(Лист2!$B$5,I:I)),1,0)+K1544</f>
        <v>0</v>
      </c>
      <c r="M1544" s="3">
        <f ca="1">IF(AND(N1544&lt;&gt;N1543,ISNUMBER(SEARCH(Лист2!$B$6,N:N)),L1544=2),MAX($M$3:OFFSET(M1544,-1,0))+1,0)</f>
        <v>0</v>
      </c>
      <c r="N1544" s="3" t="s">
        <v>1479</v>
      </c>
    </row>
    <row r="1545" spans="1:14" x14ac:dyDescent="0.25">
      <c r="A1545" s="1" t="s">
        <v>11051</v>
      </c>
      <c r="B1545" s="3" t="s">
        <v>5169</v>
      </c>
      <c r="C1545" s="2">
        <f ca="1">IF(ISNUMBER(SEARCH(Лист2!$B$4,D:D)),MAX($C$3:OFFSET(C1545,-1,0))+1,0)</f>
        <v>0</v>
      </c>
      <c r="E1545" s="9" t="str">
        <f t="shared" ca="1" si="36"/>
        <v/>
      </c>
      <c r="F1545" s="4" t="s">
        <v>7</v>
      </c>
      <c r="G1545" s="2">
        <f>IF(ISNUMBER(SEARCH(Лист2!$B$4,F:F)),1,0)</f>
        <v>0</v>
      </c>
      <c r="H1545" s="3">
        <f ca="1">IF(AND(I1545&lt;&gt;I1544,ISNUMBER(SEARCH(Лист2!$B$5,I:I)),G1545=1),MAX($H$3:OFFSET(H1545,-1,0))+1,0)</f>
        <v>0</v>
      </c>
      <c r="I1545" s="3" t="s">
        <v>197</v>
      </c>
      <c r="K1545" s="2">
        <f>IF(ISNUMBER(SEARCH(Лист2!$B$4,F:F)),1,0)</f>
        <v>0</v>
      </c>
      <c r="L1545" s="14">
        <f>IF(ISNUMBER(SEARCH(Лист2!$B$5,I:I)),1,0)+K1545</f>
        <v>0</v>
      </c>
      <c r="M1545" s="3">
        <f ca="1">IF(AND(N1545&lt;&gt;N1544,ISNUMBER(SEARCH(Лист2!$B$6,N:N)),L1545=2),MAX($M$3:OFFSET(M1545,-1,0))+1,0)</f>
        <v>0</v>
      </c>
      <c r="N1545" s="3" t="s">
        <v>1480</v>
      </c>
    </row>
    <row r="1546" spans="1:14" x14ac:dyDescent="0.25">
      <c r="A1546" s="1" t="s">
        <v>11052</v>
      </c>
      <c r="B1546" s="3" t="s">
        <v>5170</v>
      </c>
      <c r="C1546" s="2">
        <f ca="1">IF(ISNUMBER(SEARCH(Лист2!$B$4,D:D)),MAX($C$3:OFFSET(C1546,-1,0))+1,0)</f>
        <v>0</v>
      </c>
      <c r="E1546" s="9" t="str">
        <f t="shared" ca="1" si="36"/>
        <v/>
      </c>
      <c r="F1546" s="4" t="s">
        <v>7</v>
      </c>
      <c r="G1546" s="2">
        <f>IF(ISNUMBER(SEARCH(Лист2!$B$4,F:F)),1,0)</f>
        <v>0</v>
      </c>
      <c r="H1546" s="3">
        <f ca="1">IF(AND(I1546&lt;&gt;I1545,ISNUMBER(SEARCH(Лист2!$B$5,I:I)),G1546=1),MAX($H$3:OFFSET(H1546,-1,0))+1,0)</f>
        <v>0</v>
      </c>
      <c r="I1546" s="3" t="s">
        <v>197</v>
      </c>
      <c r="K1546" s="2">
        <f>IF(ISNUMBER(SEARCH(Лист2!$B$4,F:F)),1,0)</f>
        <v>0</v>
      </c>
      <c r="L1546" s="14">
        <f>IF(ISNUMBER(SEARCH(Лист2!$B$5,I:I)),1,0)+K1546</f>
        <v>0</v>
      </c>
      <c r="M1546" s="3">
        <f ca="1">IF(AND(N1546&lt;&gt;N1545,ISNUMBER(SEARCH(Лист2!$B$6,N:N)),L1546=2),MAX($M$3:OFFSET(M1546,-1,0))+1,0)</f>
        <v>0</v>
      </c>
      <c r="N1546" s="3" t="s">
        <v>1481</v>
      </c>
    </row>
    <row r="1547" spans="1:14" x14ac:dyDescent="0.25">
      <c r="A1547" s="1" t="s">
        <v>11053</v>
      </c>
      <c r="B1547" s="3" t="s">
        <v>5171</v>
      </c>
      <c r="C1547" s="2">
        <f ca="1">IF(ISNUMBER(SEARCH(Лист2!$B$4,D:D)),MAX($C$3:OFFSET(C1547,-1,0))+1,0)</f>
        <v>0</v>
      </c>
      <c r="E1547" s="9" t="str">
        <f t="shared" ca="1" si="36"/>
        <v/>
      </c>
      <c r="F1547" s="4" t="s">
        <v>7</v>
      </c>
      <c r="G1547" s="2">
        <f>IF(ISNUMBER(SEARCH(Лист2!$B$4,F:F)),1,0)</f>
        <v>0</v>
      </c>
      <c r="H1547" s="3">
        <f ca="1">IF(AND(I1547&lt;&gt;I1546,ISNUMBER(SEARCH(Лист2!$B$5,I:I)),G1547=1),MAX($H$3:OFFSET(H1547,-1,0))+1,0)</f>
        <v>0</v>
      </c>
      <c r="I1547" s="3" t="s">
        <v>197</v>
      </c>
      <c r="K1547" s="2">
        <f>IF(ISNUMBER(SEARCH(Лист2!$B$4,F:F)),1,0)</f>
        <v>0</v>
      </c>
      <c r="L1547" s="14">
        <f>IF(ISNUMBER(SEARCH(Лист2!$B$5,I:I)),1,0)+K1547</f>
        <v>0</v>
      </c>
      <c r="M1547" s="3">
        <f ca="1">IF(AND(N1547&lt;&gt;N1546,ISNUMBER(SEARCH(Лист2!$B$6,N:N)),L1547=2),MAX($M$3:OFFSET(M1547,-1,0))+1,0)</f>
        <v>0</v>
      </c>
      <c r="N1547" s="3" t="s">
        <v>1482</v>
      </c>
    </row>
    <row r="1548" spans="1:14" x14ac:dyDescent="0.25">
      <c r="A1548" s="1" t="s">
        <v>11054</v>
      </c>
      <c r="B1548" s="3" t="s">
        <v>5172</v>
      </c>
      <c r="C1548" s="2">
        <f ca="1">IF(ISNUMBER(SEARCH(Лист2!$B$4,D:D)),MAX($C$3:OFFSET(C1548,-1,0))+1,0)</f>
        <v>0</v>
      </c>
      <c r="E1548" s="9" t="str">
        <f t="shared" ca="1" si="36"/>
        <v/>
      </c>
      <c r="F1548" s="4" t="s">
        <v>7</v>
      </c>
      <c r="G1548" s="2">
        <f>IF(ISNUMBER(SEARCH(Лист2!$B$4,F:F)),1,0)</f>
        <v>0</v>
      </c>
      <c r="H1548" s="3">
        <f ca="1">IF(AND(I1548&lt;&gt;I1547,ISNUMBER(SEARCH(Лист2!$B$5,I:I)),G1548=1),MAX($H$3:OFFSET(H1548,-1,0))+1,0)</f>
        <v>0</v>
      </c>
      <c r="I1548" s="3" t="s">
        <v>197</v>
      </c>
      <c r="K1548" s="2">
        <f>IF(ISNUMBER(SEARCH(Лист2!$B$4,F:F)),1,0)</f>
        <v>0</v>
      </c>
      <c r="L1548" s="14">
        <f>IF(ISNUMBER(SEARCH(Лист2!$B$5,I:I)),1,0)+K1548</f>
        <v>0</v>
      </c>
      <c r="M1548" s="3">
        <f ca="1">IF(AND(N1548&lt;&gt;N1547,ISNUMBER(SEARCH(Лист2!$B$6,N:N)),L1548=2),MAX($M$3:OFFSET(M1548,-1,0))+1,0)</f>
        <v>0</v>
      </c>
      <c r="N1548" s="3" t="s">
        <v>1483</v>
      </c>
    </row>
    <row r="1549" spans="1:14" x14ac:dyDescent="0.25">
      <c r="A1549" s="1" t="s">
        <v>11055</v>
      </c>
      <c r="B1549" s="3" t="s">
        <v>5173</v>
      </c>
      <c r="C1549" s="2">
        <f ca="1">IF(ISNUMBER(SEARCH(Лист2!$B$4,D:D)),MAX($C$3:OFFSET(C1549,-1,0))+1,0)</f>
        <v>0</v>
      </c>
      <c r="E1549" s="9" t="str">
        <f t="shared" ca="1" si="36"/>
        <v/>
      </c>
      <c r="F1549" s="4" t="s">
        <v>7</v>
      </c>
      <c r="G1549" s="2">
        <f>IF(ISNUMBER(SEARCH(Лист2!$B$4,F:F)),1,0)</f>
        <v>0</v>
      </c>
      <c r="H1549" s="3">
        <f ca="1">IF(AND(I1549&lt;&gt;I1548,ISNUMBER(SEARCH(Лист2!$B$5,I:I)),G1549=1),MAX($H$3:OFFSET(H1549,-1,0))+1,0)</f>
        <v>0</v>
      </c>
      <c r="I1549" s="3" t="s">
        <v>197</v>
      </c>
      <c r="K1549" s="2">
        <f>IF(ISNUMBER(SEARCH(Лист2!$B$4,F:F)),1,0)</f>
        <v>0</v>
      </c>
      <c r="L1549" s="14">
        <f>IF(ISNUMBER(SEARCH(Лист2!$B$5,I:I)),1,0)+K1549</f>
        <v>0</v>
      </c>
      <c r="M1549" s="3">
        <f ca="1">IF(AND(N1549&lt;&gt;N1548,ISNUMBER(SEARCH(Лист2!$B$6,N:N)),L1549=2),MAX($M$3:OFFSET(M1549,-1,0))+1,0)</f>
        <v>0</v>
      </c>
      <c r="N1549" s="3" t="s">
        <v>1484</v>
      </c>
    </row>
    <row r="1550" spans="1:14" x14ac:dyDescent="0.25">
      <c r="A1550" s="1" t="s">
        <v>11056</v>
      </c>
      <c r="B1550" s="3" t="s">
        <v>5174</v>
      </c>
      <c r="C1550" s="2">
        <f ca="1">IF(ISNUMBER(SEARCH(Лист2!$B$4,D:D)),MAX($C$3:OFFSET(C1550,-1,0))+1,0)</f>
        <v>0</v>
      </c>
      <c r="E1550" s="9" t="str">
        <f t="shared" ca="1" si="36"/>
        <v/>
      </c>
      <c r="F1550" s="4" t="s">
        <v>7</v>
      </c>
      <c r="G1550" s="2">
        <f>IF(ISNUMBER(SEARCH(Лист2!$B$4,F:F)),1,0)</f>
        <v>0</v>
      </c>
      <c r="H1550" s="3">
        <f ca="1">IF(AND(I1550&lt;&gt;I1549,ISNUMBER(SEARCH(Лист2!$B$5,I:I)),G1550=1),MAX($H$3:OFFSET(H1550,-1,0))+1,0)</f>
        <v>0</v>
      </c>
      <c r="I1550" s="3" t="s">
        <v>197</v>
      </c>
      <c r="K1550" s="2">
        <f>IF(ISNUMBER(SEARCH(Лист2!$B$4,F:F)),1,0)</f>
        <v>0</v>
      </c>
      <c r="L1550" s="14">
        <f>IF(ISNUMBER(SEARCH(Лист2!$B$5,I:I)),1,0)+K1550</f>
        <v>0</v>
      </c>
      <c r="M1550" s="3">
        <f ca="1">IF(AND(N1550&lt;&gt;N1549,ISNUMBER(SEARCH(Лист2!$B$6,N:N)),L1550=2),MAX($M$3:OFFSET(M1550,-1,0))+1,0)</f>
        <v>0</v>
      </c>
      <c r="N1550" s="3" t="s">
        <v>1412</v>
      </c>
    </row>
    <row r="1551" spans="1:14" x14ac:dyDescent="0.25">
      <c r="A1551" s="1" t="s">
        <v>11057</v>
      </c>
      <c r="B1551" s="3" t="s">
        <v>5175</v>
      </c>
      <c r="C1551" s="2">
        <f ca="1">IF(ISNUMBER(SEARCH(Лист2!$B$4,D:D)),MAX($C$3:OFFSET(C1551,-1,0))+1,0)</f>
        <v>0</v>
      </c>
      <c r="E1551" s="9" t="str">
        <f t="shared" ca="1" si="36"/>
        <v/>
      </c>
      <c r="F1551" s="4" t="s">
        <v>7</v>
      </c>
      <c r="G1551" s="2">
        <f>IF(ISNUMBER(SEARCH(Лист2!$B$4,F:F)),1,0)</f>
        <v>0</v>
      </c>
      <c r="H1551" s="3">
        <f ca="1">IF(AND(I1551&lt;&gt;I1550,ISNUMBER(SEARCH(Лист2!$B$5,I:I)),G1551=1),MAX($H$3:OFFSET(H1551,-1,0))+1,0)</f>
        <v>0</v>
      </c>
      <c r="I1551" s="3" t="s">
        <v>197</v>
      </c>
      <c r="K1551" s="2">
        <f>IF(ISNUMBER(SEARCH(Лист2!$B$4,F:F)),1,0)</f>
        <v>0</v>
      </c>
      <c r="L1551" s="14">
        <f>IF(ISNUMBER(SEARCH(Лист2!$B$5,I:I)),1,0)+K1551</f>
        <v>0</v>
      </c>
      <c r="M1551" s="3">
        <f ca="1">IF(AND(N1551&lt;&gt;N1550,ISNUMBER(SEARCH(Лист2!$B$6,N:N)),L1551=2),MAX($M$3:OFFSET(M1551,-1,0))+1,0)</f>
        <v>0</v>
      </c>
      <c r="N1551" s="3" t="s">
        <v>1413</v>
      </c>
    </row>
    <row r="1552" spans="1:14" x14ac:dyDescent="0.25">
      <c r="A1552" s="1" t="s">
        <v>11058</v>
      </c>
      <c r="B1552" s="3" t="s">
        <v>5176</v>
      </c>
      <c r="C1552" s="2">
        <f ca="1">IF(ISNUMBER(SEARCH(Лист2!$B$4,D:D)),MAX($C$3:OFFSET(C1552,-1,0))+1,0)</f>
        <v>0</v>
      </c>
      <c r="E1552" s="9" t="str">
        <f t="shared" ca="1" si="36"/>
        <v/>
      </c>
      <c r="F1552" s="4" t="s">
        <v>7</v>
      </c>
      <c r="G1552" s="2">
        <f>IF(ISNUMBER(SEARCH(Лист2!$B$4,F:F)),1,0)</f>
        <v>0</v>
      </c>
      <c r="H1552" s="3">
        <f ca="1">IF(AND(I1552&lt;&gt;I1551,ISNUMBER(SEARCH(Лист2!$B$5,I:I)),G1552=1),MAX($H$3:OFFSET(H1552,-1,0))+1,0)</f>
        <v>0</v>
      </c>
      <c r="I1552" s="3" t="s">
        <v>197</v>
      </c>
      <c r="K1552" s="2">
        <f>IF(ISNUMBER(SEARCH(Лист2!$B$4,F:F)),1,0)</f>
        <v>0</v>
      </c>
      <c r="L1552" s="14">
        <f>IF(ISNUMBER(SEARCH(Лист2!$B$5,I:I)),1,0)+K1552</f>
        <v>0</v>
      </c>
      <c r="M1552" s="3">
        <f ca="1">IF(AND(N1552&lt;&gt;N1551,ISNUMBER(SEARCH(Лист2!$B$6,N:N)),L1552=2),MAX($M$3:OFFSET(M1552,-1,0))+1,0)</f>
        <v>0</v>
      </c>
      <c r="N1552" s="3" t="s">
        <v>602</v>
      </c>
    </row>
    <row r="1553" spans="1:14" x14ac:dyDescent="0.25">
      <c r="A1553" s="1" t="s">
        <v>11059</v>
      </c>
      <c r="B1553" s="3" t="s">
        <v>5177</v>
      </c>
      <c r="C1553" s="2">
        <f ca="1">IF(ISNUMBER(SEARCH(Лист2!$B$4,D:D)),MAX($C$3:OFFSET(C1553,-1,0))+1,0)</f>
        <v>0</v>
      </c>
      <c r="E1553" s="9" t="str">
        <f t="shared" ca="1" si="36"/>
        <v/>
      </c>
      <c r="F1553" s="4" t="s">
        <v>7</v>
      </c>
      <c r="G1553" s="2">
        <f>IF(ISNUMBER(SEARCH(Лист2!$B$4,F:F)),1,0)</f>
        <v>0</v>
      </c>
      <c r="H1553" s="3">
        <f ca="1">IF(AND(I1553&lt;&gt;I1552,ISNUMBER(SEARCH(Лист2!$B$5,I:I)),G1553=1),MAX($H$3:OFFSET(H1553,-1,0))+1,0)</f>
        <v>0</v>
      </c>
      <c r="I1553" s="3" t="s">
        <v>197</v>
      </c>
      <c r="K1553" s="2">
        <f>IF(ISNUMBER(SEARCH(Лист2!$B$4,F:F)),1,0)</f>
        <v>0</v>
      </c>
      <c r="L1553" s="14">
        <f>IF(ISNUMBER(SEARCH(Лист2!$B$5,I:I)),1,0)+K1553</f>
        <v>0</v>
      </c>
      <c r="M1553" s="3">
        <f ca="1">IF(AND(N1553&lt;&gt;N1552,ISNUMBER(SEARCH(Лист2!$B$6,N:N)),L1553=2),MAX($M$3:OFFSET(M1553,-1,0))+1,0)</f>
        <v>0</v>
      </c>
      <c r="N1553" s="3" t="s">
        <v>1485</v>
      </c>
    </row>
    <row r="1554" spans="1:14" x14ac:dyDescent="0.25">
      <c r="A1554" s="1" t="s">
        <v>11060</v>
      </c>
      <c r="B1554" s="3" t="s">
        <v>5178</v>
      </c>
      <c r="C1554" s="2">
        <f ca="1">IF(ISNUMBER(SEARCH(Лист2!$B$4,D:D)),MAX($C$3:OFFSET(C1554,-1,0))+1,0)</f>
        <v>0</v>
      </c>
      <c r="E1554" s="9" t="str">
        <f t="shared" ca="1" si="36"/>
        <v/>
      </c>
      <c r="F1554" s="4" t="s">
        <v>7</v>
      </c>
      <c r="G1554" s="2">
        <f>IF(ISNUMBER(SEARCH(Лист2!$B$4,F:F)),1,0)</f>
        <v>0</v>
      </c>
      <c r="H1554" s="3">
        <f ca="1">IF(AND(I1554&lt;&gt;I1553,ISNUMBER(SEARCH(Лист2!$B$5,I:I)),G1554=1),MAX($H$3:OFFSET(H1554,-1,0))+1,0)</f>
        <v>0</v>
      </c>
      <c r="I1554" s="3" t="s">
        <v>197</v>
      </c>
      <c r="K1554" s="2">
        <f>IF(ISNUMBER(SEARCH(Лист2!$B$4,F:F)),1,0)</f>
        <v>0</v>
      </c>
      <c r="L1554" s="14">
        <f>IF(ISNUMBER(SEARCH(Лист2!$B$5,I:I)),1,0)+K1554</f>
        <v>0</v>
      </c>
      <c r="M1554" s="3">
        <f ca="1">IF(AND(N1554&lt;&gt;N1553,ISNUMBER(SEARCH(Лист2!$B$6,N:N)),L1554=2),MAX($M$3:OFFSET(M1554,-1,0))+1,0)</f>
        <v>0</v>
      </c>
      <c r="N1554" s="3" t="s">
        <v>1486</v>
      </c>
    </row>
    <row r="1555" spans="1:14" x14ac:dyDescent="0.25">
      <c r="A1555" s="1" t="s">
        <v>11061</v>
      </c>
      <c r="B1555" s="3" t="s">
        <v>5179</v>
      </c>
      <c r="C1555" s="2">
        <f ca="1">IF(ISNUMBER(SEARCH(Лист2!$B$4,D:D)),MAX($C$3:OFFSET(C1555,-1,0))+1,0)</f>
        <v>0</v>
      </c>
      <c r="E1555" s="9" t="str">
        <f t="shared" ca="1" si="36"/>
        <v/>
      </c>
      <c r="F1555" s="4" t="s">
        <v>7</v>
      </c>
      <c r="G1555" s="2">
        <f>IF(ISNUMBER(SEARCH(Лист2!$B$4,F:F)),1,0)</f>
        <v>0</v>
      </c>
      <c r="H1555" s="3">
        <f ca="1">IF(AND(I1555&lt;&gt;I1554,ISNUMBER(SEARCH(Лист2!$B$5,I:I)),G1555=1),MAX($H$3:OFFSET(H1555,-1,0))+1,0)</f>
        <v>0</v>
      </c>
      <c r="I1555" s="3" t="s">
        <v>198</v>
      </c>
      <c r="K1555" s="2">
        <f>IF(ISNUMBER(SEARCH(Лист2!$B$4,F:F)),1,0)</f>
        <v>0</v>
      </c>
      <c r="L1555" s="14">
        <f>IF(ISNUMBER(SEARCH(Лист2!$B$5,I:I)),1,0)+K1555</f>
        <v>0</v>
      </c>
      <c r="M1555" s="3">
        <f ca="1">IF(AND(N1555&lt;&gt;N1554,ISNUMBER(SEARCH(Лист2!$B$6,N:N)),L1555=2),MAX($M$3:OFFSET(M1555,-1,0))+1,0)</f>
        <v>0</v>
      </c>
      <c r="N1555" s="3" t="s">
        <v>1487</v>
      </c>
    </row>
    <row r="1556" spans="1:14" x14ac:dyDescent="0.25">
      <c r="A1556" s="1" t="s">
        <v>11062</v>
      </c>
      <c r="B1556" s="3" t="s">
        <v>5180</v>
      </c>
      <c r="C1556" s="2">
        <f ca="1">IF(ISNUMBER(SEARCH(Лист2!$B$4,D:D)),MAX($C$3:OFFSET(C1556,-1,0))+1,0)</f>
        <v>0</v>
      </c>
      <c r="E1556" s="9" t="str">
        <f t="shared" ca="1" si="36"/>
        <v/>
      </c>
      <c r="F1556" s="4" t="s">
        <v>7</v>
      </c>
      <c r="G1556" s="2">
        <f>IF(ISNUMBER(SEARCH(Лист2!$B$4,F:F)),1,0)</f>
        <v>0</v>
      </c>
      <c r="H1556" s="3">
        <f ca="1">IF(AND(I1556&lt;&gt;I1555,ISNUMBER(SEARCH(Лист2!$B$5,I:I)),G1556=1),MAX($H$3:OFFSET(H1556,-1,0))+1,0)</f>
        <v>0</v>
      </c>
      <c r="I1556" s="3" t="s">
        <v>198</v>
      </c>
      <c r="K1556" s="2">
        <f>IF(ISNUMBER(SEARCH(Лист2!$B$4,F:F)),1,0)</f>
        <v>0</v>
      </c>
      <c r="L1556" s="14">
        <f>IF(ISNUMBER(SEARCH(Лист2!$B$5,I:I)),1,0)+K1556</f>
        <v>0</v>
      </c>
      <c r="M1556" s="3">
        <f ca="1">IF(AND(N1556&lt;&gt;N1555,ISNUMBER(SEARCH(Лист2!$B$6,N:N)),L1556=2),MAX($M$3:OFFSET(M1556,-1,0))+1,0)</f>
        <v>0</v>
      </c>
      <c r="N1556" s="3" t="s">
        <v>1488</v>
      </c>
    </row>
    <row r="1557" spans="1:14" x14ac:dyDescent="0.25">
      <c r="A1557" s="1" t="s">
        <v>11063</v>
      </c>
      <c r="B1557" s="3" t="s">
        <v>5181</v>
      </c>
      <c r="C1557" s="2">
        <f ca="1">IF(ISNUMBER(SEARCH(Лист2!$B$4,D:D)),MAX($C$3:OFFSET(C1557,-1,0))+1,0)</f>
        <v>0</v>
      </c>
      <c r="E1557" s="9" t="str">
        <f t="shared" ca="1" si="36"/>
        <v/>
      </c>
      <c r="F1557" s="4" t="s">
        <v>7</v>
      </c>
      <c r="G1557" s="2">
        <f>IF(ISNUMBER(SEARCH(Лист2!$B$4,F:F)),1,0)</f>
        <v>0</v>
      </c>
      <c r="H1557" s="3">
        <f ca="1">IF(AND(I1557&lt;&gt;I1556,ISNUMBER(SEARCH(Лист2!$B$5,I:I)),G1557=1),MAX($H$3:OFFSET(H1557,-1,0))+1,0)</f>
        <v>0</v>
      </c>
      <c r="I1557" s="3" t="s">
        <v>198</v>
      </c>
      <c r="K1557" s="2">
        <f>IF(ISNUMBER(SEARCH(Лист2!$B$4,F:F)),1,0)</f>
        <v>0</v>
      </c>
      <c r="L1557" s="14">
        <f>IF(ISNUMBER(SEARCH(Лист2!$B$5,I:I)),1,0)+K1557</f>
        <v>0</v>
      </c>
      <c r="M1557" s="3">
        <f ca="1">IF(AND(N1557&lt;&gt;N1556,ISNUMBER(SEARCH(Лист2!$B$6,N:N)),L1557=2),MAX($M$3:OFFSET(M1557,-1,0))+1,0)</f>
        <v>0</v>
      </c>
      <c r="N1557" s="3" t="s">
        <v>1489</v>
      </c>
    </row>
    <row r="1558" spans="1:14" x14ac:dyDescent="0.25">
      <c r="A1558" s="1" t="s">
        <v>11064</v>
      </c>
      <c r="B1558" s="3" t="s">
        <v>5182</v>
      </c>
      <c r="C1558" s="2">
        <f ca="1">IF(ISNUMBER(SEARCH(Лист2!$B$4,D:D)),MAX($C$3:OFFSET(C1558,-1,0))+1,0)</f>
        <v>0</v>
      </c>
      <c r="E1558" s="9" t="str">
        <f t="shared" ca="1" si="36"/>
        <v/>
      </c>
      <c r="F1558" s="4" t="s">
        <v>7</v>
      </c>
      <c r="G1558" s="2">
        <f>IF(ISNUMBER(SEARCH(Лист2!$B$4,F:F)),1,0)</f>
        <v>0</v>
      </c>
      <c r="H1558" s="3">
        <f ca="1">IF(AND(I1558&lt;&gt;I1557,ISNUMBER(SEARCH(Лист2!$B$5,I:I)),G1558=1),MAX($H$3:OFFSET(H1558,-1,0))+1,0)</f>
        <v>0</v>
      </c>
      <c r="I1558" s="3" t="s">
        <v>198</v>
      </c>
      <c r="K1558" s="2">
        <f>IF(ISNUMBER(SEARCH(Лист2!$B$4,F:F)),1,0)</f>
        <v>0</v>
      </c>
      <c r="L1558" s="14">
        <f>IF(ISNUMBER(SEARCH(Лист2!$B$5,I:I)),1,0)+K1558</f>
        <v>0</v>
      </c>
      <c r="M1558" s="3">
        <f ca="1">IF(AND(N1558&lt;&gt;N1557,ISNUMBER(SEARCH(Лист2!$B$6,N:N)),L1558=2),MAX($M$3:OFFSET(M1558,-1,0))+1,0)</f>
        <v>0</v>
      </c>
      <c r="N1558" s="3" t="s">
        <v>1490</v>
      </c>
    </row>
    <row r="1559" spans="1:14" x14ac:dyDescent="0.25">
      <c r="A1559" s="1" t="s">
        <v>11065</v>
      </c>
      <c r="B1559" s="3" t="s">
        <v>5183</v>
      </c>
      <c r="C1559" s="2">
        <f ca="1">IF(ISNUMBER(SEARCH(Лист2!$B$4,D:D)),MAX($C$3:OFFSET(C1559,-1,0))+1,0)</f>
        <v>0</v>
      </c>
      <c r="E1559" s="9" t="str">
        <f t="shared" ca="1" si="36"/>
        <v/>
      </c>
      <c r="F1559" s="4" t="s">
        <v>7</v>
      </c>
      <c r="G1559" s="2">
        <f>IF(ISNUMBER(SEARCH(Лист2!$B$4,F:F)),1,0)</f>
        <v>0</v>
      </c>
      <c r="H1559" s="3">
        <f ca="1">IF(AND(I1559&lt;&gt;I1558,ISNUMBER(SEARCH(Лист2!$B$5,I:I)),G1559=1),MAX($H$3:OFFSET(H1559,-1,0))+1,0)</f>
        <v>0</v>
      </c>
      <c r="I1559" s="3" t="s">
        <v>198</v>
      </c>
      <c r="K1559" s="2">
        <f>IF(ISNUMBER(SEARCH(Лист2!$B$4,F:F)),1,0)</f>
        <v>0</v>
      </c>
      <c r="L1559" s="14">
        <f>IF(ISNUMBER(SEARCH(Лист2!$B$5,I:I)),1,0)+K1559</f>
        <v>0</v>
      </c>
      <c r="M1559" s="3">
        <f ca="1">IF(AND(N1559&lt;&gt;N1558,ISNUMBER(SEARCH(Лист2!$B$6,N:N)),L1559=2),MAX($M$3:OFFSET(M1559,-1,0))+1,0)</f>
        <v>0</v>
      </c>
      <c r="N1559" s="3" t="s">
        <v>1491</v>
      </c>
    </row>
    <row r="1560" spans="1:14" x14ac:dyDescent="0.25">
      <c r="A1560" s="1" t="s">
        <v>11066</v>
      </c>
      <c r="B1560" s="3" t="s">
        <v>5184</v>
      </c>
      <c r="C1560" s="2">
        <f ca="1">IF(ISNUMBER(SEARCH(Лист2!$B$4,D:D)),MAX($C$3:OFFSET(C1560,-1,0))+1,0)</f>
        <v>0</v>
      </c>
      <c r="E1560" s="9" t="str">
        <f t="shared" ca="1" si="36"/>
        <v/>
      </c>
      <c r="F1560" s="4" t="s">
        <v>7</v>
      </c>
      <c r="G1560" s="2">
        <f>IF(ISNUMBER(SEARCH(Лист2!$B$4,F:F)),1,0)</f>
        <v>0</v>
      </c>
      <c r="H1560" s="3">
        <f ca="1">IF(AND(I1560&lt;&gt;I1559,ISNUMBER(SEARCH(Лист2!$B$5,I:I)),G1560=1),MAX($H$3:OFFSET(H1560,-1,0))+1,0)</f>
        <v>0</v>
      </c>
      <c r="I1560" s="3" t="s">
        <v>198</v>
      </c>
      <c r="K1560" s="2">
        <f>IF(ISNUMBER(SEARCH(Лист2!$B$4,F:F)),1,0)</f>
        <v>0</v>
      </c>
      <c r="L1560" s="14">
        <f>IF(ISNUMBER(SEARCH(Лист2!$B$5,I:I)),1,0)+K1560</f>
        <v>0</v>
      </c>
      <c r="M1560" s="3">
        <f ca="1">IF(AND(N1560&lt;&gt;N1559,ISNUMBER(SEARCH(Лист2!$B$6,N:N)),L1560=2),MAX($M$3:OFFSET(M1560,-1,0))+1,0)</f>
        <v>0</v>
      </c>
      <c r="N1560" s="3" t="s">
        <v>1492</v>
      </c>
    </row>
    <row r="1561" spans="1:14" x14ac:dyDescent="0.25">
      <c r="A1561" s="1" t="s">
        <v>11066</v>
      </c>
      <c r="B1561" s="3" t="s">
        <v>5185</v>
      </c>
      <c r="C1561" s="2">
        <f ca="1">IF(ISNUMBER(SEARCH(Лист2!$B$4,D:D)),MAX($C$3:OFFSET(C1561,-1,0))+1,0)</f>
        <v>0</v>
      </c>
      <c r="E1561" s="9" t="str">
        <f t="shared" ca="1" si="36"/>
        <v/>
      </c>
      <c r="F1561" s="4" t="s">
        <v>7</v>
      </c>
      <c r="G1561" s="2">
        <f>IF(ISNUMBER(SEARCH(Лист2!$B$4,F:F)),1,0)</f>
        <v>0</v>
      </c>
      <c r="H1561" s="3">
        <f ca="1">IF(AND(I1561&lt;&gt;I1560,ISNUMBER(SEARCH(Лист2!$B$5,I:I)),G1561=1),MAX($H$3:OFFSET(H1561,-1,0))+1,0)</f>
        <v>0</v>
      </c>
      <c r="I1561" s="3" t="s">
        <v>198</v>
      </c>
      <c r="K1561" s="2">
        <f>IF(ISNUMBER(SEARCH(Лист2!$B$4,F:F)),1,0)</f>
        <v>0</v>
      </c>
      <c r="L1561" s="14">
        <f>IF(ISNUMBER(SEARCH(Лист2!$B$5,I:I)),1,0)+K1561</f>
        <v>0</v>
      </c>
      <c r="M1561" s="3">
        <f ca="1">IF(AND(N1561&lt;&gt;N1560,ISNUMBER(SEARCH(Лист2!$B$6,N:N)),L1561=2),MAX($M$3:OFFSET(M1561,-1,0))+1,0)</f>
        <v>0</v>
      </c>
      <c r="N1561" s="3" t="s">
        <v>1492</v>
      </c>
    </row>
    <row r="1562" spans="1:14" x14ac:dyDescent="0.25">
      <c r="A1562" s="1" t="s">
        <v>11067</v>
      </c>
      <c r="B1562" s="3" t="s">
        <v>5186</v>
      </c>
      <c r="C1562" s="2">
        <f ca="1">IF(ISNUMBER(SEARCH(Лист2!$B$4,D:D)),MAX($C$3:OFFSET(C1562,-1,0))+1,0)</f>
        <v>0</v>
      </c>
      <c r="E1562" s="9" t="str">
        <f t="shared" ca="1" si="36"/>
        <v/>
      </c>
      <c r="F1562" s="4" t="s">
        <v>7</v>
      </c>
      <c r="G1562" s="2">
        <f>IF(ISNUMBER(SEARCH(Лист2!$B$4,F:F)),1,0)</f>
        <v>0</v>
      </c>
      <c r="H1562" s="3">
        <f ca="1">IF(AND(I1562&lt;&gt;I1561,ISNUMBER(SEARCH(Лист2!$B$5,I:I)),G1562=1),MAX($H$3:OFFSET(H1562,-1,0))+1,0)</f>
        <v>0</v>
      </c>
      <c r="I1562" s="3" t="s">
        <v>198</v>
      </c>
      <c r="K1562" s="2">
        <f>IF(ISNUMBER(SEARCH(Лист2!$B$4,F:F)),1,0)</f>
        <v>0</v>
      </c>
      <c r="L1562" s="14">
        <f>IF(ISNUMBER(SEARCH(Лист2!$B$5,I:I)),1,0)+K1562</f>
        <v>0</v>
      </c>
      <c r="M1562" s="3">
        <f ca="1">IF(AND(N1562&lt;&gt;N1561,ISNUMBER(SEARCH(Лист2!$B$6,N:N)),L1562=2),MAX($M$3:OFFSET(M1562,-1,0))+1,0)</f>
        <v>0</v>
      </c>
      <c r="N1562" s="3" t="s">
        <v>1493</v>
      </c>
    </row>
    <row r="1563" spans="1:14" x14ac:dyDescent="0.25">
      <c r="A1563" s="1" t="s">
        <v>11068</v>
      </c>
      <c r="B1563" s="3" t="s">
        <v>5187</v>
      </c>
      <c r="C1563" s="2">
        <f ca="1">IF(ISNUMBER(SEARCH(Лист2!$B$4,D:D)),MAX($C$3:OFFSET(C1563,-1,0))+1,0)</f>
        <v>0</v>
      </c>
      <c r="E1563" s="9" t="str">
        <f t="shared" ca="1" si="36"/>
        <v/>
      </c>
      <c r="F1563" s="4" t="s">
        <v>7</v>
      </c>
      <c r="G1563" s="2">
        <f>IF(ISNUMBER(SEARCH(Лист2!$B$4,F:F)),1,0)</f>
        <v>0</v>
      </c>
      <c r="H1563" s="3">
        <f ca="1">IF(AND(I1563&lt;&gt;I1562,ISNUMBER(SEARCH(Лист2!$B$5,I:I)),G1563=1),MAX($H$3:OFFSET(H1563,-1,0))+1,0)</f>
        <v>0</v>
      </c>
      <c r="I1563" s="3" t="s">
        <v>198</v>
      </c>
      <c r="K1563" s="2">
        <f>IF(ISNUMBER(SEARCH(Лист2!$B$4,F:F)),1,0)</f>
        <v>0</v>
      </c>
      <c r="L1563" s="14">
        <f>IF(ISNUMBER(SEARCH(Лист2!$B$5,I:I)),1,0)+K1563</f>
        <v>0</v>
      </c>
      <c r="M1563" s="3">
        <f ca="1">IF(AND(N1563&lt;&gt;N1562,ISNUMBER(SEARCH(Лист2!$B$6,N:N)),L1563=2),MAX($M$3:OFFSET(M1563,-1,0))+1,0)</f>
        <v>0</v>
      </c>
      <c r="N1563" s="3" t="s">
        <v>1494</v>
      </c>
    </row>
    <row r="1564" spans="1:14" x14ac:dyDescent="0.25">
      <c r="A1564" s="1" t="s">
        <v>11068</v>
      </c>
      <c r="B1564" s="3" t="s">
        <v>5188</v>
      </c>
      <c r="C1564" s="2">
        <f ca="1">IF(ISNUMBER(SEARCH(Лист2!$B$4,D:D)),MAX($C$3:OFFSET(C1564,-1,0))+1,0)</f>
        <v>0</v>
      </c>
      <c r="E1564" s="9" t="str">
        <f t="shared" ca="1" si="36"/>
        <v/>
      </c>
      <c r="F1564" s="4" t="s">
        <v>7</v>
      </c>
      <c r="G1564" s="2">
        <f>IF(ISNUMBER(SEARCH(Лист2!$B$4,F:F)),1,0)</f>
        <v>0</v>
      </c>
      <c r="H1564" s="3">
        <f ca="1">IF(AND(I1564&lt;&gt;I1563,ISNUMBER(SEARCH(Лист2!$B$5,I:I)),G1564=1),MAX($H$3:OFFSET(H1564,-1,0))+1,0)</f>
        <v>0</v>
      </c>
      <c r="I1564" s="3" t="s">
        <v>198</v>
      </c>
      <c r="K1564" s="2">
        <f>IF(ISNUMBER(SEARCH(Лист2!$B$4,F:F)),1,0)</f>
        <v>0</v>
      </c>
      <c r="L1564" s="14">
        <f>IF(ISNUMBER(SEARCH(Лист2!$B$5,I:I)),1,0)+K1564</f>
        <v>0</v>
      </c>
      <c r="M1564" s="3">
        <f ca="1">IF(AND(N1564&lt;&gt;N1563,ISNUMBER(SEARCH(Лист2!$B$6,N:N)),L1564=2),MAX($M$3:OFFSET(M1564,-1,0))+1,0)</f>
        <v>0</v>
      </c>
      <c r="N1564" s="3" t="s">
        <v>1494</v>
      </c>
    </row>
    <row r="1565" spans="1:14" x14ac:dyDescent="0.25">
      <c r="A1565" s="1" t="s">
        <v>11068</v>
      </c>
      <c r="B1565" s="3" t="s">
        <v>5189</v>
      </c>
      <c r="C1565" s="2">
        <f ca="1">IF(ISNUMBER(SEARCH(Лист2!$B$4,D:D)),MAX($C$3:OFFSET(C1565,-1,0))+1,0)</f>
        <v>0</v>
      </c>
      <c r="E1565" s="9" t="str">
        <f t="shared" ca="1" si="36"/>
        <v/>
      </c>
      <c r="F1565" s="4" t="s">
        <v>7</v>
      </c>
      <c r="G1565" s="2">
        <f>IF(ISNUMBER(SEARCH(Лист2!$B$4,F:F)),1,0)</f>
        <v>0</v>
      </c>
      <c r="H1565" s="3">
        <f ca="1">IF(AND(I1565&lt;&gt;I1564,ISNUMBER(SEARCH(Лист2!$B$5,I:I)),G1565=1),MAX($H$3:OFFSET(H1565,-1,0))+1,0)</f>
        <v>0</v>
      </c>
      <c r="I1565" s="3" t="s">
        <v>198</v>
      </c>
      <c r="K1565" s="2">
        <f>IF(ISNUMBER(SEARCH(Лист2!$B$4,F:F)),1,0)</f>
        <v>0</v>
      </c>
      <c r="L1565" s="14">
        <f>IF(ISNUMBER(SEARCH(Лист2!$B$5,I:I)),1,0)+K1565</f>
        <v>0</v>
      </c>
      <c r="M1565" s="3">
        <f ca="1">IF(AND(N1565&lt;&gt;N1564,ISNUMBER(SEARCH(Лист2!$B$6,N:N)),L1565=2),MAX($M$3:OFFSET(M1565,-1,0))+1,0)</f>
        <v>0</v>
      </c>
      <c r="N1565" s="3" t="s">
        <v>1494</v>
      </c>
    </row>
    <row r="1566" spans="1:14" x14ac:dyDescent="0.25">
      <c r="A1566" s="1" t="s">
        <v>11069</v>
      </c>
      <c r="B1566" s="3" t="s">
        <v>5190</v>
      </c>
      <c r="C1566" s="2">
        <f ca="1">IF(ISNUMBER(SEARCH(Лист2!$B$4,D:D)),MAX($C$3:OFFSET(C1566,-1,0))+1,0)</f>
        <v>0</v>
      </c>
      <c r="E1566" s="9" t="str">
        <f t="shared" ca="1" si="36"/>
        <v/>
      </c>
      <c r="F1566" s="4" t="s">
        <v>7</v>
      </c>
      <c r="G1566" s="2">
        <f>IF(ISNUMBER(SEARCH(Лист2!$B$4,F:F)),1,0)</f>
        <v>0</v>
      </c>
      <c r="H1566" s="3">
        <f ca="1">IF(AND(I1566&lt;&gt;I1565,ISNUMBER(SEARCH(Лист2!$B$5,I:I)),G1566=1),MAX($H$3:OFFSET(H1566,-1,0))+1,0)</f>
        <v>0</v>
      </c>
      <c r="I1566" s="3" t="s">
        <v>198</v>
      </c>
      <c r="K1566" s="2">
        <f>IF(ISNUMBER(SEARCH(Лист2!$B$4,F:F)),1,0)</f>
        <v>0</v>
      </c>
      <c r="L1566" s="14">
        <f>IF(ISNUMBER(SEARCH(Лист2!$B$5,I:I)),1,0)+K1566</f>
        <v>0</v>
      </c>
      <c r="M1566" s="3">
        <f ca="1">IF(AND(N1566&lt;&gt;N1565,ISNUMBER(SEARCH(Лист2!$B$6,N:N)),L1566=2),MAX($M$3:OFFSET(M1566,-1,0))+1,0)</f>
        <v>0</v>
      </c>
      <c r="N1566" s="3" t="s">
        <v>1495</v>
      </c>
    </row>
    <row r="1567" spans="1:14" x14ac:dyDescent="0.25">
      <c r="A1567" s="1" t="s">
        <v>11070</v>
      </c>
      <c r="B1567" s="3" t="s">
        <v>5191</v>
      </c>
      <c r="C1567" s="2">
        <f ca="1">IF(ISNUMBER(SEARCH(Лист2!$B$4,D:D)),MAX($C$3:OFFSET(C1567,-1,0))+1,0)</f>
        <v>0</v>
      </c>
      <c r="E1567" s="9" t="str">
        <f t="shared" ca="1" si="36"/>
        <v/>
      </c>
      <c r="F1567" s="4" t="s">
        <v>7</v>
      </c>
      <c r="G1567" s="2">
        <f>IF(ISNUMBER(SEARCH(Лист2!$B$4,F:F)),1,0)</f>
        <v>0</v>
      </c>
      <c r="H1567" s="3">
        <f ca="1">IF(AND(I1567&lt;&gt;I1566,ISNUMBER(SEARCH(Лист2!$B$5,I:I)),G1567=1),MAX($H$3:OFFSET(H1567,-1,0))+1,0)</f>
        <v>0</v>
      </c>
      <c r="I1567" s="3" t="s">
        <v>198</v>
      </c>
      <c r="K1567" s="2">
        <f>IF(ISNUMBER(SEARCH(Лист2!$B$4,F:F)),1,0)</f>
        <v>0</v>
      </c>
      <c r="L1567" s="14">
        <f>IF(ISNUMBER(SEARCH(Лист2!$B$5,I:I)),1,0)+K1567</f>
        <v>0</v>
      </c>
      <c r="M1567" s="3">
        <f ca="1">IF(AND(N1567&lt;&gt;N1566,ISNUMBER(SEARCH(Лист2!$B$6,N:N)),L1567=2),MAX($M$3:OFFSET(M1567,-1,0))+1,0)</f>
        <v>0</v>
      </c>
      <c r="N1567" s="3" t="s">
        <v>1496</v>
      </c>
    </row>
    <row r="1568" spans="1:14" x14ac:dyDescent="0.25">
      <c r="A1568" s="1" t="s">
        <v>11071</v>
      </c>
      <c r="B1568" s="3" t="s">
        <v>5192</v>
      </c>
      <c r="C1568" s="2">
        <f ca="1">IF(ISNUMBER(SEARCH(Лист2!$B$4,D:D)),MAX($C$3:OFFSET(C1568,-1,0))+1,0)</f>
        <v>0</v>
      </c>
      <c r="E1568" s="9" t="str">
        <f t="shared" ca="1" si="36"/>
        <v/>
      </c>
      <c r="F1568" s="4" t="s">
        <v>7</v>
      </c>
      <c r="G1568" s="2">
        <f>IF(ISNUMBER(SEARCH(Лист2!$B$4,F:F)),1,0)</f>
        <v>0</v>
      </c>
      <c r="H1568" s="3">
        <f ca="1">IF(AND(I1568&lt;&gt;I1567,ISNUMBER(SEARCH(Лист2!$B$5,I:I)),G1568=1),MAX($H$3:OFFSET(H1568,-1,0))+1,0)</f>
        <v>0</v>
      </c>
      <c r="I1568" s="3" t="s">
        <v>198</v>
      </c>
      <c r="K1568" s="2">
        <f>IF(ISNUMBER(SEARCH(Лист2!$B$4,F:F)),1,0)</f>
        <v>0</v>
      </c>
      <c r="L1568" s="14">
        <f>IF(ISNUMBER(SEARCH(Лист2!$B$5,I:I)),1,0)+K1568</f>
        <v>0</v>
      </c>
      <c r="M1568" s="3">
        <f ca="1">IF(AND(N1568&lt;&gt;N1567,ISNUMBER(SEARCH(Лист2!$B$6,N:N)),L1568=2),MAX($M$3:OFFSET(M1568,-1,0))+1,0)</f>
        <v>0</v>
      </c>
      <c r="N1568" s="3" t="s">
        <v>1412</v>
      </c>
    </row>
    <row r="1569" spans="1:14" x14ac:dyDescent="0.25">
      <c r="A1569" s="1" t="s">
        <v>11072</v>
      </c>
      <c r="B1569" s="3" t="s">
        <v>5193</v>
      </c>
      <c r="C1569" s="2">
        <f ca="1">IF(ISNUMBER(SEARCH(Лист2!$B$4,D:D)),MAX($C$3:OFFSET(C1569,-1,0))+1,0)</f>
        <v>0</v>
      </c>
      <c r="E1569" s="9" t="str">
        <f t="shared" ca="1" si="36"/>
        <v/>
      </c>
      <c r="F1569" s="4" t="s">
        <v>7</v>
      </c>
      <c r="G1569" s="2">
        <f>IF(ISNUMBER(SEARCH(Лист2!$B$4,F:F)),1,0)</f>
        <v>0</v>
      </c>
      <c r="H1569" s="3">
        <f ca="1">IF(AND(I1569&lt;&gt;I1568,ISNUMBER(SEARCH(Лист2!$B$5,I:I)),G1569=1),MAX($H$3:OFFSET(H1569,-1,0))+1,0)</f>
        <v>0</v>
      </c>
      <c r="I1569" s="3" t="s">
        <v>198</v>
      </c>
      <c r="K1569" s="2">
        <f>IF(ISNUMBER(SEARCH(Лист2!$B$4,F:F)),1,0)</f>
        <v>0</v>
      </c>
      <c r="L1569" s="14">
        <f>IF(ISNUMBER(SEARCH(Лист2!$B$5,I:I)),1,0)+K1569</f>
        <v>0</v>
      </c>
      <c r="M1569" s="3">
        <f ca="1">IF(AND(N1569&lt;&gt;N1568,ISNUMBER(SEARCH(Лист2!$B$6,N:N)),L1569=2),MAX($M$3:OFFSET(M1569,-1,0))+1,0)</f>
        <v>0</v>
      </c>
      <c r="N1569" s="3" t="s">
        <v>1413</v>
      </c>
    </row>
    <row r="1570" spans="1:14" x14ac:dyDescent="0.25">
      <c r="A1570" s="1" t="s">
        <v>11073</v>
      </c>
      <c r="B1570" s="3" t="s">
        <v>5194</v>
      </c>
      <c r="C1570" s="2">
        <f ca="1">IF(ISNUMBER(SEARCH(Лист2!$B$4,D:D)),MAX($C$3:OFFSET(C1570,-1,0))+1,0)</f>
        <v>0</v>
      </c>
      <c r="E1570" s="9" t="str">
        <f t="shared" ca="1" si="36"/>
        <v/>
      </c>
      <c r="F1570" s="4" t="s">
        <v>7</v>
      </c>
      <c r="G1570" s="2">
        <f>IF(ISNUMBER(SEARCH(Лист2!$B$4,F:F)),1,0)</f>
        <v>0</v>
      </c>
      <c r="H1570" s="3">
        <f ca="1">IF(AND(I1570&lt;&gt;I1569,ISNUMBER(SEARCH(Лист2!$B$5,I:I)),G1570=1),MAX($H$3:OFFSET(H1570,-1,0))+1,0)</f>
        <v>0</v>
      </c>
      <c r="I1570" s="3" t="s">
        <v>198</v>
      </c>
      <c r="K1570" s="2">
        <f>IF(ISNUMBER(SEARCH(Лист2!$B$4,F:F)),1,0)</f>
        <v>0</v>
      </c>
      <c r="L1570" s="14">
        <f>IF(ISNUMBER(SEARCH(Лист2!$B$5,I:I)),1,0)+K1570</f>
        <v>0</v>
      </c>
      <c r="M1570" s="3">
        <f ca="1">IF(AND(N1570&lt;&gt;N1569,ISNUMBER(SEARCH(Лист2!$B$6,N:N)),L1570=2),MAX($M$3:OFFSET(M1570,-1,0))+1,0)</f>
        <v>0</v>
      </c>
      <c r="N1570" s="3" t="s">
        <v>602</v>
      </c>
    </row>
    <row r="1571" spans="1:14" x14ac:dyDescent="0.25">
      <c r="A1571" s="1" t="s">
        <v>11074</v>
      </c>
      <c r="B1571" s="3" t="s">
        <v>5195</v>
      </c>
      <c r="C1571" s="2">
        <f ca="1">IF(ISNUMBER(SEARCH(Лист2!$B$4,D:D)),MAX($C$3:OFFSET(C1571,-1,0))+1,0)</f>
        <v>0</v>
      </c>
      <c r="E1571" s="9" t="str">
        <f t="shared" ca="1" si="36"/>
        <v/>
      </c>
      <c r="F1571" s="4" t="s">
        <v>7</v>
      </c>
      <c r="G1571" s="2">
        <f>IF(ISNUMBER(SEARCH(Лист2!$B$4,F:F)),1,0)</f>
        <v>0</v>
      </c>
      <c r="H1571" s="3">
        <f ca="1">IF(AND(I1571&lt;&gt;I1570,ISNUMBER(SEARCH(Лист2!$B$5,I:I)),G1571=1),MAX($H$3:OFFSET(H1571,-1,0))+1,0)</f>
        <v>0</v>
      </c>
      <c r="I1571" s="3" t="s">
        <v>198</v>
      </c>
      <c r="K1571" s="2">
        <f>IF(ISNUMBER(SEARCH(Лист2!$B$4,F:F)),1,0)</f>
        <v>0</v>
      </c>
      <c r="L1571" s="14">
        <f>IF(ISNUMBER(SEARCH(Лист2!$B$5,I:I)),1,0)+K1571</f>
        <v>0</v>
      </c>
      <c r="M1571" s="3">
        <f ca="1">IF(AND(N1571&lt;&gt;N1570,ISNUMBER(SEARCH(Лист2!$B$6,N:N)),L1571=2),MAX($M$3:OFFSET(M1571,-1,0))+1,0)</f>
        <v>0</v>
      </c>
      <c r="N1571" s="3" t="s">
        <v>1497</v>
      </c>
    </row>
    <row r="1572" spans="1:14" x14ac:dyDescent="0.25">
      <c r="A1572" s="1" t="s">
        <v>11075</v>
      </c>
      <c r="B1572" s="3" t="s">
        <v>5196</v>
      </c>
      <c r="C1572" s="2">
        <f ca="1">IF(ISNUMBER(SEARCH(Лист2!$B$4,D:D)),MAX($C$3:OFFSET(C1572,-1,0))+1,0)</f>
        <v>0</v>
      </c>
      <c r="E1572" s="9" t="str">
        <f t="shared" ca="1" si="36"/>
        <v/>
      </c>
      <c r="F1572" s="4" t="s">
        <v>7</v>
      </c>
      <c r="G1572" s="2">
        <f>IF(ISNUMBER(SEARCH(Лист2!$B$4,F:F)),1,0)</f>
        <v>0</v>
      </c>
      <c r="H1572" s="3">
        <f ca="1">IF(AND(I1572&lt;&gt;I1571,ISNUMBER(SEARCH(Лист2!$B$5,I:I)),G1572=1),MAX($H$3:OFFSET(H1572,-1,0))+1,0)</f>
        <v>0</v>
      </c>
      <c r="I1572" s="3" t="s">
        <v>199</v>
      </c>
      <c r="K1572" s="2">
        <f>IF(ISNUMBER(SEARCH(Лист2!$B$4,F:F)),1,0)</f>
        <v>0</v>
      </c>
      <c r="L1572" s="14">
        <f>IF(ISNUMBER(SEARCH(Лист2!$B$5,I:I)),1,0)+K1572</f>
        <v>0</v>
      </c>
      <c r="M1572" s="3">
        <f ca="1">IF(AND(N1572&lt;&gt;N1571,ISNUMBER(SEARCH(Лист2!$B$6,N:N)),L1572=2),MAX($M$3:OFFSET(M1572,-1,0))+1,0)</f>
        <v>0</v>
      </c>
      <c r="N1572" s="3" t="s">
        <v>1424</v>
      </c>
    </row>
    <row r="1573" spans="1:14" x14ac:dyDescent="0.25">
      <c r="A1573" s="1" t="s">
        <v>11076</v>
      </c>
      <c r="B1573" s="3" t="s">
        <v>5197</v>
      </c>
      <c r="C1573" s="2">
        <f ca="1">IF(ISNUMBER(SEARCH(Лист2!$B$4,D:D)),MAX($C$3:OFFSET(C1573,-1,0))+1,0)</f>
        <v>0</v>
      </c>
      <c r="E1573" s="9" t="str">
        <f t="shared" ca="1" si="36"/>
        <v/>
      </c>
      <c r="F1573" s="4" t="s">
        <v>7</v>
      </c>
      <c r="G1573" s="2">
        <f>IF(ISNUMBER(SEARCH(Лист2!$B$4,F:F)),1,0)</f>
        <v>0</v>
      </c>
      <c r="H1573" s="3">
        <f ca="1">IF(AND(I1573&lt;&gt;I1572,ISNUMBER(SEARCH(Лист2!$B$5,I:I)),G1573=1),MAX($H$3:OFFSET(H1573,-1,0))+1,0)</f>
        <v>0</v>
      </c>
      <c r="I1573" s="3" t="s">
        <v>199</v>
      </c>
      <c r="K1573" s="2">
        <f>IF(ISNUMBER(SEARCH(Лист2!$B$4,F:F)),1,0)</f>
        <v>0</v>
      </c>
      <c r="L1573" s="14">
        <f>IF(ISNUMBER(SEARCH(Лист2!$B$5,I:I)),1,0)+K1573</f>
        <v>0</v>
      </c>
      <c r="M1573" s="3">
        <f ca="1">IF(AND(N1573&lt;&gt;N1572,ISNUMBER(SEARCH(Лист2!$B$6,N:N)),L1573=2),MAX($M$3:OFFSET(M1573,-1,0))+1,0)</f>
        <v>0</v>
      </c>
      <c r="N1573" s="3" t="s">
        <v>1498</v>
      </c>
    </row>
    <row r="1574" spans="1:14" x14ac:dyDescent="0.25">
      <c r="A1574" s="1" t="s">
        <v>11077</v>
      </c>
      <c r="B1574" s="3" t="s">
        <v>5198</v>
      </c>
      <c r="C1574" s="2">
        <f ca="1">IF(ISNUMBER(SEARCH(Лист2!$B$4,D:D)),MAX($C$3:OFFSET(C1574,-1,0))+1,0)</f>
        <v>0</v>
      </c>
      <c r="E1574" s="9" t="str">
        <f t="shared" ca="1" si="36"/>
        <v/>
      </c>
      <c r="F1574" s="4" t="s">
        <v>7</v>
      </c>
      <c r="G1574" s="2">
        <f>IF(ISNUMBER(SEARCH(Лист2!$B$4,F:F)),1,0)</f>
        <v>0</v>
      </c>
      <c r="H1574" s="3">
        <f ca="1">IF(AND(I1574&lt;&gt;I1573,ISNUMBER(SEARCH(Лист2!$B$5,I:I)),G1574=1),MAX($H$3:OFFSET(H1574,-1,0))+1,0)</f>
        <v>0</v>
      </c>
      <c r="I1574" s="3" t="s">
        <v>199</v>
      </c>
      <c r="K1574" s="2">
        <f>IF(ISNUMBER(SEARCH(Лист2!$B$4,F:F)),1,0)</f>
        <v>0</v>
      </c>
      <c r="L1574" s="14">
        <f>IF(ISNUMBER(SEARCH(Лист2!$B$5,I:I)),1,0)+K1574</f>
        <v>0</v>
      </c>
      <c r="M1574" s="3">
        <f ca="1">IF(AND(N1574&lt;&gt;N1573,ISNUMBER(SEARCH(Лист2!$B$6,N:N)),L1574=2),MAX($M$3:OFFSET(M1574,-1,0))+1,0)</f>
        <v>0</v>
      </c>
      <c r="N1574" s="3" t="s">
        <v>1499</v>
      </c>
    </row>
    <row r="1575" spans="1:14" x14ac:dyDescent="0.25">
      <c r="A1575" s="1" t="s">
        <v>11078</v>
      </c>
      <c r="B1575" s="3" t="s">
        <v>5199</v>
      </c>
      <c r="C1575" s="2">
        <f ca="1">IF(ISNUMBER(SEARCH(Лист2!$B$4,D:D)),MAX($C$3:OFFSET(C1575,-1,0))+1,0)</f>
        <v>0</v>
      </c>
      <c r="E1575" s="9" t="str">
        <f t="shared" ca="1" si="36"/>
        <v/>
      </c>
      <c r="F1575" s="4" t="s">
        <v>7</v>
      </c>
      <c r="G1575" s="2">
        <f>IF(ISNUMBER(SEARCH(Лист2!$B$4,F:F)),1,0)</f>
        <v>0</v>
      </c>
      <c r="H1575" s="3">
        <f ca="1">IF(AND(I1575&lt;&gt;I1574,ISNUMBER(SEARCH(Лист2!$B$5,I:I)),G1575=1),MAX($H$3:OFFSET(H1575,-1,0))+1,0)</f>
        <v>0</v>
      </c>
      <c r="I1575" s="3" t="s">
        <v>199</v>
      </c>
      <c r="K1575" s="2">
        <f>IF(ISNUMBER(SEARCH(Лист2!$B$4,F:F)),1,0)</f>
        <v>0</v>
      </c>
      <c r="L1575" s="14">
        <f>IF(ISNUMBER(SEARCH(Лист2!$B$5,I:I)),1,0)+K1575</f>
        <v>0</v>
      </c>
      <c r="M1575" s="3">
        <f ca="1">IF(AND(N1575&lt;&gt;N1574,ISNUMBER(SEARCH(Лист2!$B$6,N:N)),L1575=2),MAX($M$3:OFFSET(M1575,-1,0))+1,0)</f>
        <v>0</v>
      </c>
      <c r="N1575" s="3" t="s">
        <v>1500</v>
      </c>
    </row>
    <row r="1576" spans="1:14" x14ac:dyDescent="0.25">
      <c r="A1576" s="1" t="s">
        <v>11079</v>
      </c>
      <c r="B1576" s="3" t="s">
        <v>5200</v>
      </c>
      <c r="C1576" s="2">
        <f ca="1">IF(ISNUMBER(SEARCH(Лист2!$B$4,D:D)),MAX($C$3:OFFSET(C1576,-1,0))+1,0)</f>
        <v>0</v>
      </c>
      <c r="E1576" s="9" t="str">
        <f t="shared" ca="1" si="36"/>
        <v/>
      </c>
      <c r="F1576" s="4" t="s">
        <v>7</v>
      </c>
      <c r="G1576" s="2">
        <f>IF(ISNUMBER(SEARCH(Лист2!$B$4,F:F)),1,0)</f>
        <v>0</v>
      </c>
      <c r="H1576" s="3">
        <f ca="1">IF(AND(I1576&lt;&gt;I1575,ISNUMBER(SEARCH(Лист2!$B$5,I:I)),G1576=1),MAX($H$3:OFFSET(H1576,-1,0))+1,0)</f>
        <v>0</v>
      </c>
      <c r="I1576" s="3" t="s">
        <v>199</v>
      </c>
      <c r="K1576" s="2">
        <f>IF(ISNUMBER(SEARCH(Лист2!$B$4,F:F)),1,0)</f>
        <v>0</v>
      </c>
      <c r="L1576" s="14">
        <f>IF(ISNUMBER(SEARCH(Лист2!$B$5,I:I)),1,0)+K1576</f>
        <v>0</v>
      </c>
      <c r="M1576" s="3">
        <f ca="1">IF(AND(N1576&lt;&gt;N1575,ISNUMBER(SEARCH(Лист2!$B$6,N:N)),L1576=2),MAX($M$3:OFFSET(M1576,-1,0))+1,0)</f>
        <v>0</v>
      </c>
      <c r="N1576" s="3" t="s">
        <v>1501</v>
      </c>
    </row>
    <row r="1577" spans="1:14" x14ac:dyDescent="0.25">
      <c r="A1577" s="1" t="s">
        <v>11080</v>
      </c>
      <c r="B1577" s="3" t="s">
        <v>5201</v>
      </c>
      <c r="C1577" s="2">
        <f ca="1">IF(ISNUMBER(SEARCH(Лист2!$B$4,D:D)),MAX($C$3:OFFSET(C1577,-1,0))+1,0)</f>
        <v>0</v>
      </c>
      <c r="E1577" s="9" t="str">
        <f t="shared" ca="1" si="36"/>
        <v/>
      </c>
      <c r="F1577" s="4" t="s">
        <v>7</v>
      </c>
      <c r="G1577" s="2">
        <f>IF(ISNUMBER(SEARCH(Лист2!$B$4,F:F)),1,0)</f>
        <v>0</v>
      </c>
      <c r="H1577" s="3">
        <f ca="1">IF(AND(I1577&lt;&gt;I1576,ISNUMBER(SEARCH(Лист2!$B$5,I:I)),G1577=1),MAX($H$3:OFFSET(H1577,-1,0))+1,0)</f>
        <v>0</v>
      </c>
      <c r="I1577" s="3" t="s">
        <v>199</v>
      </c>
      <c r="K1577" s="2">
        <f>IF(ISNUMBER(SEARCH(Лист2!$B$4,F:F)),1,0)</f>
        <v>0</v>
      </c>
      <c r="L1577" s="14">
        <f>IF(ISNUMBER(SEARCH(Лист2!$B$5,I:I)),1,0)+K1577</f>
        <v>0</v>
      </c>
      <c r="M1577" s="3">
        <f ca="1">IF(AND(N1577&lt;&gt;N1576,ISNUMBER(SEARCH(Лист2!$B$6,N:N)),L1577=2),MAX($M$3:OFFSET(M1577,-1,0))+1,0)</f>
        <v>0</v>
      </c>
      <c r="N1577" s="3" t="s">
        <v>1502</v>
      </c>
    </row>
    <row r="1578" spans="1:14" x14ac:dyDescent="0.25">
      <c r="A1578" s="1" t="s">
        <v>11081</v>
      </c>
      <c r="B1578" s="3" t="s">
        <v>5202</v>
      </c>
      <c r="C1578" s="2">
        <f ca="1">IF(ISNUMBER(SEARCH(Лист2!$B$4,D:D)),MAX($C$3:OFFSET(C1578,-1,0))+1,0)</f>
        <v>0</v>
      </c>
      <c r="E1578" s="9" t="str">
        <f t="shared" ca="1" si="36"/>
        <v/>
      </c>
      <c r="F1578" s="4" t="s">
        <v>7</v>
      </c>
      <c r="G1578" s="2">
        <f>IF(ISNUMBER(SEARCH(Лист2!$B$4,F:F)),1,0)</f>
        <v>0</v>
      </c>
      <c r="H1578" s="3">
        <f ca="1">IF(AND(I1578&lt;&gt;I1577,ISNUMBER(SEARCH(Лист2!$B$5,I:I)),G1578=1),MAX($H$3:OFFSET(H1578,-1,0))+1,0)</f>
        <v>0</v>
      </c>
      <c r="I1578" s="3" t="s">
        <v>199</v>
      </c>
      <c r="K1578" s="2">
        <f>IF(ISNUMBER(SEARCH(Лист2!$B$4,F:F)),1,0)</f>
        <v>0</v>
      </c>
      <c r="L1578" s="14">
        <f>IF(ISNUMBER(SEARCH(Лист2!$B$5,I:I)),1,0)+K1578</f>
        <v>0</v>
      </c>
      <c r="M1578" s="3">
        <f ca="1">IF(AND(N1578&lt;&gt;N1577,ISNUMBER(SEARCH(Лист2!$B$6,N:N)),L1578=2),MAX($M$3:OFFSET(M1578,-1,0))+1,0)</f>
        <v>0</v>
      </c>
      <c r="N1578" s="3" t="s">
        <v>1503</v>
      </c>
    </row>
    <row r="1579" spans="1:14" x14ac:dyDescent="0.25">
      <c r="A1579" s="1" t="s">
        <v>11082</v>
      </c>
      <c r="B1579" s="3" t="s">
        <v>5203</v>
      </c>
      <c r="C1579" s="2">
        <f ca="1">IF(ISNUMBER(SEARCH(Лист2!$B$4,D:D)),MAX($C$3:OFFSET(C1579,-1,0))+1,0)</f>
        <v>0</v>
      </c>
      <c r="E1579" s="9" t="str">
        <f t="shared" ca="1" si="36"/>
        <v/>
      </c>
      <c r="F1579" s="4" t="s">
        <v>7</v>
      </c>
      <c r="G1579" s="2">
        <f>IF(ISNUMBER(SEARCH(Лист2!$B$4,F:F)),1,0)</f>
        <v>0</v>
      </c>
      <c r="H1579" s="3">
        <f ca="1">IF(AND(I1579&lt;&gt;I1578,ISNUMBER(SEARCH(Лист2!$B$5,I:I)),G1579=1),MAX($H$3:OFFSET(H1579,-1,0))+1,0)</f>
        <v>0</v>
      </c>
      <c r="I1579" s="3" t="s">
        <v>199</v>
      </c>
      <c r="K1579" s="2">
        <f>IF(ISNUMBER(SEARCH(Лист2!$B$4,F:F)),1,0)</f>
        <v>0</v>
      </c>
      <c r="L1579" s="14">
        <f>IF(ISNUMBER(SEARCH(Лист2!$B$5,I:I)),1,0)+K1579</f>
        <v>0</v>
      </c>
      <c r="M1579" s="3">
        <f ca="1">IF(AND(N1579&lt;&gt;N1578,ISNUMBER(SEARCH(Лист2!$B$6,N:N)),L1579=2),MAX($M$3:OFFSET(M1579,-1,0))+1,0)</f>
        <v>0</v>
      </c>
      <c r="N1579" s="3" t="s">
        <v>1504</v>
      </c>
    </row>
    <row r="1580" spans="1:14" x14ac:dyDescent="0.25">
      <c r="A1580" s="1" t="s">
        <v>11083</v>
      </c>
      <c r="B1580" s="3" t="s">
        <v>5204</v>
      </c>
      <c r="C1580" s="2">
        <f ca="1">IF(ISNUMBER(SEARCH(Лист2!$B$4,D:D)),MAX($C$3:OFFSET(C1580,-1,0))+1,0)</f>
        <v>0</v>
      </c>
      <c r="E1580" s="9" t="str">
        <f t="shared" ca="1" si="36"/>
        <v/>
      </c>
      <c r="F1580" s="4" t="s">
        <v>7</v>
      </c>
      <c r="G1580" s="2">
        <f>IF(ISNUMBER(SEARCH(Лист2!$B$4,F:F)),1,0)</f>
        <v>0</v>
      </c>
      <c r="H1580" s="3">
        <f ca="1">IF(AND(I1580&lt;&gt;I1579,ISNUMBER(SEARCH(Лист2!$B$5,I:I)),G1580=1),MAX($H$3:OFFSET(H1580,-1,0))+1,0)</f>
        <v>0</v>
      </c>
      <c r="I1580" s="3" t="s">
        <v>199</v>
      </c>
      <c r="K1580" s="2">
        <f>IF(ISNUMBER(SEARCH(Лист2!$B$4,F:F)),1,0)</f>
        <v>0</v>
      </c>
      <c r="L1580" s="14">
        <f>IF(ISNUMBER(SEARCH(Лист2!$B$5,I:I)),1,0)+K1580</f>
        <v>0</v>
      </c>
      <c r="M1580" s="3">
        <f ca="1">IF(AND(N1580&lt;&gt;N1579,ISNUMBER(SEARCH(Лист2!$B$6,N:N)),L1580=2),MAX($M$3:OFFSET(M1580,-1,0))+1,0)</f>
        <v>0</v>
      </c>
      <c r="N1580" s="3" t="s">
        <v>1432</v>
      </c>
    </row>
    <row r="1581" spans="1:14" x14ac:dyDescent="0.25">
      <c r="A1581" s="1" t="s">
        <v>11084</v>
      </c>
      <c r="B1581" s="3" t="s">
        <v>5205</v>
      </c>
      <c r="C1581" s="2">
        <f ca="1">IF(ISNUMBER(SEARCH(Лист2!$B$4,D:D)),MAX($C$3:OFFSET(C1581,-1,0))+1,0)</f>
        <v>0</v>
      </c>
      <c r="E1581" s="9" t="str">
        <f t="shared" ca="1" si="36"/>
        <v/>
      </c>
      <c r="F1581" s="4" t="s">
        <v>7</v>
      </c>
      <c r="G1581" s="2">
        <f>IF(ISNUMBER(SEARCH(Лист2!$B$4,F:F)),1,0)</f>
        <v>0</v>
      </c>
      <c r="H1581" s="3">
        <f ca="1">IF(AND(I1581&lt;&gt;I1580,ISNUMBER(SEARCH(Лист2!$B$5,I:I)),G1581=1),MAX($H$3:OFFSET(H1581,-1,0))+1,0)</f>
        <v>0</v>
      </c>
      <c r="I1581" s="3" t="s">
        <v>199</v>
      </c>
      <c r="K1581" s="2">
        <f>IF(ISNUMBER(SEARCH(Лист2!$B$4,F:F)),1,0)</f>
        <v>0</v>
      </c>
      <c r="L1581" s="14">
        <f>IF(ISNUMBER(SEARCH(Лист2!$B$5,I:I)),1,0)+K1581</f>
        <v>0</v>
      </c>
      <c r="M1581" s="3">
        <f ca="1">IF(AND(N1581&lt;&gt;N1580,ISNUMBER(SEARCH(Лист2!$B$6,N:N)),L1581=2),MAX($M$3:OFFSET(M1581,-1,0))+1,0)</f>
        <v>0</v>
      </c>
      <c r="N1581" s="3" t="s">
        <v>1433</v>
      </c>
    </row>
    <row r="1582" spans="1:14" x14ac:dyDescent="0.25">
      <c r="A1582" s="1" t="s">
        <v>11085</v>
      </c>
      <c r="B1582" s="3" t="s">
        <v>5206</v>
      </c>
      <c r="C1582" s="2">
        <f ca="1">IF(ISNUMBER(SEARCH(Лист2!$B$4,D:D)),MAX($C$3:OFFSET(C1582,-1,0))+1,0)</f>
        <v>0</v>
      </c>
      <c r="E1582" s="9" t="str">
        <f t="shared" ca="1" si="36"/>
        <v/>
      </c>
      <c r="F1582" s="4" t="s">
        <v>7</v>
      </c>
      <c r="G1582" s="2">
        <f>IF(ISNUMBER(SEARCH(Лист2!$B$4,F:F)),1,0)</f>
        <v>0</v>
      </c>
      <c r="H1582" s="3">
        <f ca="1">IF(AND(I1582&lt;&gt;I1581,ISNUMBER(SEARCH(Лист2!$B$5,I:I)),G1582=1),MAX($H$3:OFFSET(H1582,-1,0))+1,0)</f>
        <v>0</v>
      </c>
      <c r="I1582" s="3" t="s">
        <v>199</v>
      </c>
      <c r="K1582" s="2">
        <f>IF(ISNUMBER(SEARCH(Лист2!$B$4,F:F)),1,0)</f>
        <v>0</v>
      </c>
      <c r="L1582" s="14">
        <f>IF(ISNUMBER(SEARCH(Лист2!$B$5,I:I)),1,0)+K1582</f>
        <v>0</v>
      </c>
      <c r="M1582" s="3">
        <f ca="1">IF(AND(N1582&lt;&gt;N1581,ISNUMBER(SEARCH(Лист2!$B$6,N:N)),L1582=2),MAX($M$3:OFFSET(M1582,-1,0))+1,0)</f>
        <v>0</v>
      </c>
      <c r="N1582" s="3" t="s">
        <v>602</v>
      </c>
    </row>
    <row r="1583" spans="1:14" x14ac:dyDescent="0.25">
      <c r="A1583" s="1" t="s">
        <v>11086</v>
      </c>
      <c r="B1583" s="3" t="s">
        <v>5207</v>
      </c>
      <c r="C1583" s="2">
        <f ca="1">IF(ISNUMBER(SEARCH(Лист2!$B$4,D:D)),MAX($C$3:OFFSET(C1583,-1,0))+1,0)</f>
        <v>0</v>
      </c>
      <c r="E1583" s="9" t="str">
        <f t="shared" ca="1" si="36"/>
        <v/>
      </c>
      <c r="F1583" s="4" t="s">
        <v>7</v>
      </c>
      <c r="G1583" s="2">
        <f>IF(ISNUMBER(SEARCH(Лист2!$B$4,F:F)),1,0)</f>
        <v>0</v>
      </c>
      <c r="H1583" s="3">
        <f ca="1">IF(AND(I1583&lt;&gt;I1582,ISNUMBER(SEARCH(Лист2!$B$5,I:I)),G1583=1),MAX($H$3:OFFSET(H1583,-1,0))+1,0)</f>
        <v>0</v>
      </c>
      <c r="I1583" s="3" t="s">
        <v>199</v>
      </c>
      <c r="K1583" s="2">
        <f>IF(ISNUMBER(SEARCH(Лист2!$B$4,F:F)),1,0)</f>
        <v>0</v>
      </c>
      <c r="L1583" s="14">
        <f>IF(ISNUMBER(SEARCH(Лист2!$B$5,I:I)),1,0)+K1583</f>
        <v>0</v>
      </c>
      <c r="M1583" s="3">
        <f ca="1">IF(AND(N1583&lt;&gt;N1582,ISNUMBER(SEARCH(Лист2!$B$6,N:N)),L1583=2),MAX($M$3:OFFSET(M1583,-1,0))+1,0)</f>
        <v>0</v>
      </c>
      <c r="N1583" s="3" t="s">
        <v>1505</v>
      </c>
    </row>
    <row r="1584" spans="1:14" x14ac:dyDescent="0.25">
      <c r="A1584" s="1" t="s">
        <v>11087</v>
      </c>
      <c r="B1584" s="3" t="s">
        <v>5208</v>
      </c>
      <c r="C1584" s="2">
        <f ca="1">IF(ISNUMBER(SEARCH(Лист2!$B$4,D:D)),MAX($C$3:OFFSET(C1584,-1,0))+1,0)</f>
        <v>0</v>
      </c>
      <c r="E1584" s="9" t="str">
        <f t="shared" ca="1" si="36"/>
        <v/>
      </c>
      <c r="F1584" s="4" t="s">
        <v>7</v>
      </c>
      <c r="G1584" s="2">
        <f>IF(ISNUMBER(SEARCH(Лист2!$B$4,F:F)),1,0)</f>
        <v>0</v>
      </c>
      <c r="H1584" s="3">
        <f ca="1">IF(AND(I1584&lt;&gt;I1583,ISNUMBER(SEARCH(Лист2!$B$5,I:I)),G1584=1),MAX($H$3:OFFSET(H1584,-1,0))+1,0)</f>
        <v>0</v>
      </c>
      <c r="I1584" s="3" t="s">
        <v>200</v>
      </c>
      <c r="K1584" s="2">
        <f>IF(ISNUMBER(SEARCH(Лист2!$B$4,F:F)),1,0)</f>
        <v>0</v>
      </c>
      <c r="L1584" s="14">
        <f>IF(ISNUMBER(SEARCH(Лист2!$B$5,I:I)),1,0)+K1584</f>
        <v>0</v>
      </c>
      <c r="M1584" s="3">
        <f ca="1">IF(AND(N1584&lt;&gt;N1583,ISNUMBER(SEARCH(Лист2!$B$6,N:N)),L1584=2),MAX($M$3:OFFSET(M1584,-1,0))+1,0)</f>
        <v>0</v>
      </c>
      <c r="N1584" s="3" t="s">
        <v>1435</v>
      </c>
    </row>
    <row r="1585" spans="1:14" x14ac:dyDescent="0.25">
      <c r="A1585" s="1" t="s">
        <v>11088</v>
      </c>
      <c r="B1585" s="3" t="s">
        <v>5209</v>
      </c>
      <c r="C1585" s="2">
        <f ca="1">IF(ISNUMBER(SEARCH(Лист2!$B$4,D:D)),MAX($C$3:OFFSET(C1585,-1,0))+1,0)</f>
        <v>0</v>
      </c>
      <c r="E1585" s="9" t="str">
        <f t="shared" ca="1" si="36"/>
        <v/>
      </c>
      <c r="F1585" s="4" t="s">
        <v>7</v>
      </c>
      <c r="G1585" s="2">
        <f>IF(ISNUMBER(SEARCH(Лист2!$B$4,F:F)),1,0)</f>
        <v>0</v>
      </c>
      <c r="H1585" s="3">
        <f ca="1">IF(AND(I1585&lt;&gt;I1584,ISNUMBER(SEARCH(Лист2!$B$5,I:I)),G1585=1),MAX($H$3:OFFSET(H1585,-1,0))+1,0)</f>
        <v>0</v>
      </c>
      <c r="I1585" s="3" t="s">
        <v>200</v>
      </c>
      <c r="K1585" s="2">
        <f>IF(ISNUMBER(SEARCH(Лист2!$B$4,F:F)),1,0)</f>
        <v>0</v>
      </c>
      <c r="L1585" s="14">
        <f>IF(ISNUMBER(SEARCH(Лист2!$B$5,I:I)),1,0)+K1585</f>
        <v>0</v>
      </c>
      <c r="M1585" s="3">
        <f ca="1">IF(AND(N1585&lt;&gt;N1584,ISNUMBER(SEARCH(Лист2!$B$6,N:N)),L1585=2),MAX($M$3:OFFSET(M1585,-1,0))+1,0)</f>
        <v>0</v>
      </c>
      <c r="N1585" s="3" t="s">
        <v>1436</v>
      </c>
    </row>
    <row r="1586" spans="1:14" x14ac:dyDescent="0.25">
      <c r="A1586" s="1" t="s">
        <v>11089</v>
      </c>
      <c r="B1586" s="3" t="s">
        <v>5210</v>
      </c>
      <c r="C1586" s="2">
        <f ca="1">IF(ISNUMBER(SEARCH(Лист2!$B$4,D:D)),MAX($C$3:OFFSET(C1586,-1,0))+1,0)</f>
        <v>0</v>
      </c>
      <c r="E1586" s="9" t="str">
        <f t="shared" ca="1" si="36"/>
        <v/>
      </c>
      <c r="F1586" s="4" t="s">
        <v>7</v>
      </c>
      <c r="G1586" s="2">
        <f>IF(ISNUMBER(SEARCH(Лист2!$B$4,F:F)),1,0)</f>
        <v>0</v>
      </c>
      <c r="H1586" s="3">
        <f ca="1">IF(AND(I1586&lt;&gt;I1585,ISNUMBER(SEARCH(Лист2!$B$5,I:I)),G1586=1),MAX($H$3:OFFSET(H1586,-1,0))+1,0)</f>
        <v>0</v>
      </c>
      <c r="I1586" s="3" t="s">
        <v>200</v>
      </c>
      <c r="K1586" s="2">
        <f>IF(ISNUMBER(SEARCH(Лист2!$B$4,F:F)),1,0)</f>
        <v>0</v>
      </c>
      <c r="L1586" s="14">
        <f>IF(ISNUMBER(SEARCH(Лист2!$B$5,I:I)),1,0)+K1586</f>
        <v>0</v>
      </c>
      <c r="M1586" s="3">
        <f ca="1">IF(AND(N1586&lt;&gt;N1585,ISNUMBER(SEARCH(Лист2!$B$6,N:N)),L1586=2),MAX($M$3:OFFSET(M1586,-1,0))+1,0)</f>
        <v>0</v>
      </c>
      <c r="N1586" s="3" t="s">
        <v>1506</v>
      </c>
    </row>
    <row r="1587" spans="1:14" x14ac:dyDescent="0.25">
      <c r="A1587" s="1" t="s">
        <v>11090</v>
      </c>
      <c r="B1587" s="3" t="s">
        <v>5211</v>
      </c>
      <c r="C1587" s="2">
        <f ca="1">IF(ISNUMBER(SEARCH(Лист2!$B$4,D:D)),MAX($C$3:OFFSET(C1587,-1,0))+1,0)</f>
        <v>0</v>
      </c>
      <c r="E1587" s="9" t="str">
        <f t="shared" ca="1" si="36"/>
        <v/>
      </c>
      <c r="F1587" s="4" t="s">
        <v>7</v>
      </c>
      <c r="G1587" s="2">
        <f>IF(ISNUMBER(SEARCH(Лист2!$B$4,F:F)),1,0)</f>
        <v>0</v>
      </c>
      <c r="H1587" s="3">
        <f ca="1">IF(AND(I1587&lt;&gt;I1586,ISNUMBER(SEARCH(Лист2!$B$5,I:I)),G1587=1),MAX($H$3:OFFSET(H1587,-1,0))+1,0)</f>
        <v>0</v>
      </c>
      <c r="I1587" s="3" t="s">
        <v>200</v>
      </c>
      <c r="K1587" s="2">
        <f>IF(ISNUMBER(SEARCH(Лист2!$B$4,F:F)),1,0)</f>
        <v>0</v>
      </c>
      <c r="L1587" s="14">
        <f>IF(ISNUMBER(SEARCH(Лист2!$B$5,I:I)),1,0)+K1587</f>
        <v>0</v>
      </c>
      <c r="M1587" s="3">
        <f ca="1">IF(AND(N1587&lt;&gt;N1586,ISNUMBER(SEARCH(Лист2!$B$6,N:N)),L1587=2),MAX($M$3:OFFSET(M1587,-1,0))+1,0)</f>
        <v>0</v>
      </c>
      <c r="N1587" s="3" t="s">
        <v>1507</v>
      </c>
    </row>
    <row r="1588" spans="1:14" x14ac:dyDescent="0.25">
      <c r="A1588" s="1" t="s">
        <v>11091</v>
      </c>
      <c r="B1588" s="3" t="s">
        <v>5212</v>
      </c>
      <c r="C1588" s="2">
        <f ca="1">IF(ISNUMBER(SEARCH(Лист2!$B$4,D:D)),MAX($C$3:OFFSET(C1588,-1,0))+1,0)</f>
        <v>0</v>
      </c>
      <c r="E1588" s="9" t="str">
        <f t="shared" ca="1" si="36"/>
        <v/>
      </c>
      <c r="F1588" s="4" t="s">
        <v>7</v>
      </c>
      <c r="G1588" s="2">
        <f>IF(ISNUMBER(SEARCH(Лист2!$B$4,F:F)),1,0)</f>
        <v>0</v>
      </c>
      <c r="H1588" s="3">
        <f ca="1">IF(AND(I1588&lt;&gt;I1587,ISNUMBER(SEARCH(Лист2!$B$5,I:I)),G1588=1),MAX($H$3:OFFSET(H1588,-1,0))+1,0)</f>
        <v>0</v>
      </c>
      <c r="I1588" s="3" t="s">
        <v>200</v>
      </c>
      <c r="K1588" s="2">
        <f>IF(ISNUMBER(SEARCH(Лист2!$B$4,F:F)),1,0)</f>
        <v>0</v>
      </c>
      <c r="L1588" s="14">
        <f>IF(ISNUMBER(SEARCH(Лист2!$B$5,I:I)),1,0)+K1588</f>
        <v>0</v>
      </c>
      <c r="M1588" s="3">
        <f ca="1">IF(AND(N1588&lt;&gt;N1587,ISNUMBER(SEARCH(Лист2!$B$6,N:N)),L1588=2),MAX($M$3:OFFSET(M1588,-1,0))+1,0)</f>
        <v>0</v>
      </c>
      <c r="N1588" s="3" t="s">
        <v>1508</v>
      </c>
    </row>
    <row r="1589" spans="1:14" x14ac:dyDescent="0.25">
      <c r="A1589" s="1" t="s">
        <v>11091</v>
      </c>
      <c r="B1589" s="3" t="s">
        <v>5213</v>
      </c>
      <c r="C1589" s="2">
        <f ca="1">IF(ISNUMBER(SEARCH(Лист2!$B$4,D:D)),MAX($C$3:OFFSET(C1589,-1,0))+1,0)</f>
        <v>0</v>
      </c>
      <c r="E1589" s="9" t="str">
        <f t="shared" ca="1" si="36"/>
        <v/>
      </c>
      <c r="F1589" s="4" t="s">
        <v>7</v>
      </c>
      <c r="G1589" s="2">
        <f>IF(ISNUMBER(SEARCH(Лист2!$B$4,F:F)),1,0)</f>
        <v>0</v>
      </c>
      <c r="H1589" s="3">
        <f ca="1">IF(AND(I1589&lt;&gt;I1588,ISNUMBER(SEARCH(Лист2!$B$5,I:I)),G1589=1),MAX($H$3:OFFSET(H1589,-1,0))+1,0)</f>
        <v>0</v>
      </c>
      <c r="I1589" s="3" t="s">
        <v>200</v>
      </c>
      <c r="K1589" s="2">
        <f>IF(ISNUMBER(SEARCH(Лист2!$B$4,F:F)),1,0)</f>
        <v>0</v>
      </c>
      <c r="L1589" s="14">
        <f>IF(ISNUMBER(SEARCH(Лист2!$B$5,I:I)),1,0)+K1589</f>
        <v>0</v>
      </c>
      <c r="M1589" s="3">
        <f ca="1">IF(AND(N1589&lt;&gt;N1588,ISNUMBER(SEARCH(Лист2!$B$6,N:N)),L1589=2),MAX($M$3:OFFSET(M1589,-1,0))+1,0)</f>
        <v>0</v>
      </c>
      <c r="N1589" s="3" t="s">
        <v>1508</v>
      </c>
    </row>
    <row r="1590" spans="1:14" x14ac:dyDescent="0.25">
      <c r="A1590" s="1" t="s">
        <v>11091</v>
      </c>
      <c r="B1590" s="3" t="s">
        <v>5214</v>
      </c>
      <c r="C1590" s="2">
        <f ca="1">IF(ISNUMBER(SEARCH(Лист2!$B$4,D:D)),MAX($C$3:OFFSET(C1590,-1,0))+1,0)</f>
        <v>0</v>
      </c>
      <c r="E1590" s="9" t="str">
        <f t="shared" ca="1" si="36"/>
        <v/>
      </c>
      <c r="F1590" s="4" t="s">
        <v>7</v>
      </c>
      <c r="G1590" s="2">
        <f>IF(ISNUMBER(SEARCH(Лист2!$B$4,F:F)),1,0)</f>
        <v>0</v>
      </c>
      <c r="H1590" s="3">
        <f ca="1">IF(AND(I1590&lt;&gt;I1589,ISNUMBER(SEARCH(Лист2!$B$5,I:I)),G1590=1),MAX($H$3:OFFSET(H1590,-1,0))+1,0)</f>
        <v>0</v>
      </c>
      <c r="I1590" s="3" t="s">
        <v>200</v>
      </c>
      <c r="K1590" s="2">
        <f>IF(ISNUMBER(SEARCH(Лист2!$B$4,F:F)),1,0)</f>
        <v>0</v>
      </c>
      <c r="L1590" s="14">
        <f>IF(ISNUMBER(SEARCH(Лист2!$B$5,I:I)),1,0)+K1590</f>
        <v>0</v>
      </c>
      <c r="M1590" s="3">
        <f ca="1">IF(AND(N1590&lt;&gt;N1589,ISNUMBER(SEARCH(Лист2!$B$6,N:N)),L1590=2),MAX($M$3:OFFSET(M1590,-1,0))+1,0)</f>
        <v>0</v>
      </c>
      <c r="N1590" s="3" t="s">
        <v>1508</v>
      </c>
    </row>
    <row r="1591" spans="1:14" x14ac:dyDescent="0.25">
      <c r="A1591" s="1" t="s">
        <v>11092</v>
      </c>
      <c r="B1591" s="3" t="s">
        <v>5215</v>
      </c>
      <c r="C1591" s="2">
        <f ca="1">IF(ISNUMBER(SEARCH(Лист2!$B$4,D:D)),MAX($C$3:OFFSET(C1591,-1,0))+1,0)</f>
        <v>0</v>
      </c>
      <c r="E1591" s="9" t="str">
        <f t="shared" ca="1" si="36"/>
        <v/>
      </c>
      <c r="F1591" s="4" t="s">
        <v>7</v>
      </c>
      <c r="G1591" s="2">
        <f>IF(ISNUMBER(SEARCH(Лист2!$B$4,F:F)),1,0)</f>
        <v>0</v>
      </c>
      <c r="H1591" s="3">
        <f ca="1">IF(AND(I1591&lt;&gt;I1590,ISNUMBER(SEARCH(Лист2!$B$5,I:I)),G1591=1),MAX($H$3:OFFSET(H1591,-1,0))+1,0)</f>
        <v>0</v>
      </c>
      <c r="I1591" s="3" t="s">
        <v>200</v>
      </c>
      <c r="K1591" s="2">
        <f>IF(ISNUMBER(SEARCH(Лист2!$B$4,F:F)),1,0)</f>
        <v>0</v>
      </c>
      <c r="L1591" s="14">
        <f>IF(ISNUMBER(SEARCH(Лист2!$B$5,I:I)),1,0)+K1591</f>
        <v>0</v>
      </c>
      <c r="M1591" s="3">
        <f ca="1">IF(AND(N1591&lt;&gt;N1590,ISNUMBER(SEARCH(Лист2!$B$6,N:N)),L1591=2),MAX($M$3:OFFSET(M1591,-1,0))+1,0)</f>
        <v>0</v>
      </c>
      <c r="N1591" s="3" t="s">
        <v>1509</v>
      </c>
    </row>
    <row r="1592" spans="1:14" x14ac:dyDescent="0.25">
      <c r="A1592" s="1" t="s">
        <v>11092</v>
      </c>
      <c r="B1592" s="3" t="s">
        <v>5216</v>
      </c>
      <c r="C1592" s="2">
        <f ca="1">IF(ISNUMBER(SEARCH(Лист2!$B$4,D:D)),MAX($C$3:OFFSET(C1592,-1,0))+1,0)</f>
        <v>0</v>
      </c>
      <c r="E1592" s="9" t="str">
        <f t="shared" ca="1" si="36"/>
        <v/>
      </c>
      <c r="F1592" s="4" t="s">
        <v>7</v>
      </c>
      <c r="G1592" s="2">
        <f>IF(ISNUMBER(SEARCH(Лист2!$B$4,F:F)),1,0)</f>
        <v>0</v>
      </c>
      <c r="H1592" s="3">
        <f ca="1">IF(AND(I1592&lt;&gt;I1591,ISNUMBER(SEARCH(Лист2!$B$5,I:I)),G1592=1),MAX($H$3:OFFSET(H1592,-1,0))+1,0)</f>
        <v>0</v>
      </c>
      <c r="I1592" s="3" t="s">
        <v>200</v>
      </c>
      <c r="K1592" s="2">
        <f>IF(ISNUMBER(SEARCH(Лист2!$B$4,F:F)),1,0)</f>
        <v>0</v>
      </c>
      <c r="L1592" s="14">
        <f>IF(ISNUMBER(SEARCH(Лист2!$B$5,I:I)),1,0)+K1592</f>
        <v>0</v>
      </c>
      <c r="M1592" s="3">
        <f ca="1">IF(AND(N1592&lt;&gt;N1591,ISNUMBER(SEARCH(Лист2!$B$6,N:N)),L1592=2),MAX($M$3:OFFSET(M1592,-1,0))+1,0)</f>
        <v>0</v>
      </c>
      <c r="N1592" s="3" t="s">
        <v>1509</v>
      </c>
    </row>
    <row r="1593" spans="1:14" x14ac:dyDescent="0.25">
      <c r="A1593" s="1" t="s">
        <v>11092</v>
      </c>
      <c r="B1593" s="3" t="s">
        <v>5217</v>
      </c>
      <c r="C1593" s="2">
        <f ca="1">IF(ISNUMBER(SEARCH(Лист2!$B$4,D:D)),MAX($C$3:OFFSET(C1593,-1,0))+1,0)</f>
        <v>0</v>
      </c>
      <c r="E1593" s="9" t="str">
        <f t="shared" ca="1" si="36"/>
        <v/>
      </c>
      <c r="F1593" s="4" t="s">
        <v>7</v>
      </c>
      <c r="G1593" s="2">
        <f>IF(ISNUMBER(SEARCH(Лист2!$B$4,F:F)),1,0)</f>
        <v>0</v>
      </c>
      <c r="H1593" s="3">
        <f ca="1">IF(AND(I1593&lt;&gt;I1592,ISNUMBER(SEARCH(Лист2!$B$5,I:I)),G1593=1),MAX($H$3:OFFSET(H1593,-1,0))+1,0)</f>
        <v>0</v>
      </c>
      <c r="I1593" s="3" t="s">
        <v>200</v>
      </c>
      <c r="K1593" s="2">
        <f>IF(ISNUMBER(SEARCH(Лист2!$B$4,F:F)),1,0)</f>
        <v>0</v>
      </c>
      <c r="L1593" s="14">
        <f>IF(ISNUMBER(SEARCH(Лист2!$B$5,I:I)),1,0)+K1593</f>
        <v>0</v>
      </c>
      <c r="M1593" s="3">
        <f ca="1">IF(AND(N1593&lt;&gt;N1592,ISNUMBER(SEARCH(Лист2!$B$6,N:N)),L1593=2),MAX($M$3:OFFSET(M1593,-1,0))+1,0)</f>
        <v>0</v>
      </c>
      <c r="N1593" s="3" t="s">
        <v>1509</v>
      </c>
    </row>
    <row r="1594" spans="1:14" x14ac:dyDescent="0.25">
      <c r="A1594" s="1" t="s">
        <v>11093</v>
      </c>
      <c r="B1594" s="3" t="s">
        <v>5218</v>
      </c>
      <c r="C1594" s="2">
        <f ca="1">IF(ISNUMBER(SEARCH(Лист2!$B$4,D:D)),MAX($C$3:OFFSET(C1594,-1,0))+1,0)</f>
        <v>0</v>
      </c>
      <c r="E1594" s="9" t="str">
        <f t="shared" ca="1" si="36"/>
        <v/>
      </c>
      <c r="F1594" s="4" t="s">
        <v>7</v>
      </c>
      <c r="G1594" s="2">
        <f>IF(ISNUMBER(SEARCH(Лист2!$B$4,F:F)),1,0)</f>
        <v>0</v>
      </c>
      <c r="H1594" s="3">
        <f ca="1">IF(AND(I1594&lt;&gt;I1593,ISNUMBER(SEARCH(Лист2!$B$5,I:I)),G1594=1),MAX($H$3:OFFSET(H1594,-1,0))+1,0)</f>
        <v>0</v>
      </c>
      <c r="I1594" s="3" t="s">
        <v>200</v>
      </c>
      <c r="K1594" s="2">
        <f>IF(ISNUMBER(SEARCH(Лист2!$B$4,F:F)),1,0)</f>
        <v>0</v>
      </c>
      <c r="L1594" s="14">
        <f>IF(ISNUMBER(SEARCH(Лист2!$B$5,I:I)),1,0)+K1594</f>
        <v>0</v>
      </c>
      <c r="M1594" s="3">
        <f ca="1">IF(AND(N1594&lt;&gt;N1593,ISNUMBER(SEARCH(Лист2!$B$6,N:N)),L1594=2),MAX($M$3:OFFSET(M1594,-1,0))+1,0)</f>
        <v>0</v>
      </c>
      <c r="N1594" s="3" t="s">
        <v>1510</v>
      </c>
    </row>
    <row r="1595" spans="1:14" x14ac:dyDescent="0.25">
      <c r="A1595" s="1" t="s">
        <v>11093</v>
      </c>
      <c r="B1595" s="3" t="s">
        <v>5219</v>
      </c>
      <c r="C1595" s="2">
        <f ca="1">IF(ISNUMBER(SEARCH(Лист2!$B$4,D:D)),MAX($C$3:OFFSET(C1595,-1,0))+1,0)</f>
        <v>0</v>
      </c>
      <c r="E1595" s="9" t="str">
        <f t="shared" ca="1" si="36"/>
        <v/>
      </c>
      <c r="F1595" s="4" t="s">
        <v>7</v>
      </c>
      <c r="G1595" s="2">
        <f>IF(ISNUMBER(SEARCH(Лист2!$B$4,F:F)),1,0)</f>
        <v>0</v>
      </c>
      <c r="H1595" s="3">
        <f ca="1">IF(AND(I1595&lt;&gt;I1594,ISNUMBER(SEARCH(Лист2!$B$5,I:I)),G1595=1),MAX($H$3:OFFSET(H1595,-1,0))+1,0)</f>
        <v>0</v>
      </c>
      <c r="I1595" s="3" t="s">
        <v>200</v>
      </c>
      <c r="K1595" s="2">
        <f>IF(ISNUMBER(SEARCH(Лист2!$B$4,F:F)),1,0)</f>
        <v>0</v>
      </c>
      <c r="L1595" s="14">
        <f>IF(ISNUMBER(SEARCH(Лист2!$B$5,I:I)),1,0)+K1595</f>
        <v>0</v>
      </c>
      <c r="M1595" s="3">
        <f ca="1">IF(AND(N1595&lt;&gt;N1594,ISNUMBER(SEARCH(Лист2!$B$6,N:N)),L1595=2),MAX($M$3:OFFSET(M1595,-1,0))+1,0)</f>
        <v>0</v>
      </c>
      <c r="N1595" s="3" t="s">
        <v>1510</v>
      </c>
    </row>
    <row r="1596" spans="1:14" x14ac:dyDescent="0.25">
      <c r="A1596" s="1" t="s">
        <v>11093</v>
      </c>
      <c r="B1596" s="3" t="s">
        <v>5220</v>
      </c>
      <c r="C1596" s="2">
        <f ca="1">IF(ISNUMBER(SEARCH(Лист2!$B$4,D:D)),MAX($C$3:OFFSET(C1596,-1,0))+1,0)</f>
        <v>0</v>
      </c>
      <c r="E1596" s="9" t="str">
        <f t="shared" ca="1" si="36"/>
        <v/>
      </c>
      <c r="F1596" s="4" t="s">
        <v>7</v>
      </c>
      <c r="G1596" s="2">
        <f>IF(ISNUMBER(SEARCH(Лист2!$B$4,F:F)),1,0)</f>
        <v>0</v>
      </c>
      <c r="H1596" s="3">
        <f ca="1">IF(AND(I1596&lt;&gt;I1595,ISNUMBER(SEARCH(Лист2!$B$5,I:I)),G1596=1),MAX($H$3:OFFSET(H1596,-1,0))+1,0)</f>
        <v>0</v>
      </c>
      <c r="I1596" s="3" t="s">
        <v>200</v>
      </c>
      <c r="K1596" s="2">
        <f>IF(ISNUMBER(SEARCH(Лист2!$B$4,F:F)),1,0)</f>
        <v>0</v>
      </c>
      <c r="L1596" s="14">
        <f>IF(ISNUMBER(SEARCH(Лист2!$B$5,I:I)),1,0)+K1596</f>
        <v>0</v>
      </c>
      <c r="M1596" s="3">
        <f ca="1">IF(AND(N1596&lt;&gt;N1595,ISNUMBER(SEARCH(Лист2!$B$6,N:N)),L1596=2),MAX($M$3:OFFSET(M1596,-1,0))+1,0)</f>
        <v>0</v>
      </c>
      <c r="N1596" s="3" t="s">
        <v>1510</v>
      </c>
    </row>
    <row r="1597" spans="1:14" x14ac:dyDescent="0.25">
      <c r="A1597" s="1" t="s">
        <v>11094</v>
      </c>
      <c r="B1597" s="3" t="s">
        <v>5221</v>
      </c>
      <c r="C1597" s="2">
        <f ca="1">IF(ISNUMBER(SEARCH(Лист2!$B$4,D:D)),MAX($C$3:OFFSET(C1597,-1,0))+1,0)</f>
        <v>0</v>
      </c>
      <c r="E1597" s="9" t="str">
        <f t="shared" ca="1" si="36"/>
        <v/>
      </c>
      <c r="F1597" s="4" t="s">
        <v>7</v>
      </c>
      <c r="G1597" s="2">
        <f>IF(ISNUMBER(SEARCH(Лист2!$B$4,F:F)),1,0)</f>
        <v>0</v>
      </c>
      <c r="H1597" s="3">
        <f ca="1">IF(AND(I1597&lt;&gt;I1596,ISNUMBER(SEARCH(Лист2!$B$5,I:I)),G1597=1),MAX($H$3:OFFSET(H1597,-1,0))+1,0)</f>
        <v>0</v>
      </c>
      <c r="I1597" s="3" t="s">
        <v>200</v>
      </c>
      <c r="K1597" s="2">
        <f>IF(ISNUMBER(SEARCH(Лист2!$B$4,F:F)),1,0)</f>
        <v>0</v>
      </c>
      <c r="L1597" s="14">
        <f>IF(ISNUMBER(SEARCH(Лист2!$B$5,I:I)),1,0)+K1597</f>
        <v>0</v>
      </c>
      <c r="M1597" s="3">
        <f ca="1">IF(AND(N1597&lt;&gt;N1596,ISNUMBER(SEARCH(Лист2!$B$6,N:N)),L1597=2),MAX($M$3:OFFSET(M1597,-1,0))+1,0)</f>
        <v>0</v>
      </c>
      <c r="N1597" s="3" t="s">
        <v>1511</v>
      </c>
    </row>
    <row r="1598" spans="1:14" x14ac:dyDescent="0.25">
      <c r="A1598" s="1" t="s">
        <v>11094</v>
      </c>
      <c r="B1598" s="3" t="s">
        <v>5222</v>
      </c>
      <c r="C1598" s="2">
        <f ca="1">IF(ISNUMBER(SEARCH(Лист2!$B$4,D:D)),MAX($C$3:OFFSET(C1598,-1,0))+1,0)</f>
        <v>0</v>
      </c>
      <c r="E1598" s="9" t="str">
        <f t="shared" ca="1" si="36"/>
        <v/>
      </c>
      <c r="F1598" s="4" t="s">
        <v>7</v>
      </c>
      <c r="G1598" s="2">
        <f>IF(ISNUMBER(SEARCH(Лист2!$B$4,F:F)),1,0)</f>
        <v>0</v>
      </c>
      <c r="H1598" s="3">
        <f ca="1">IF(AND(I1598&lt;&gt;I1597,ISNUMBER(SEARCH(Лист2!$B$5,I:I)),G1598=1),MAX($H$3:OFFSET(H1598,-1,0))+1,0)</f>
        <v>0</v>
      </c>
      <c r="I1598" s="3" t="s">
        <v>200</v>
      </c>
      <c r="K1598" s="2">
        <f>IF(ISNUMBER(SEARCH(Лист2!$B$4,F:F)),1,0)</f>
        <v>0</v>
      </c>
      <c r="L1598" s="14">
        <f>IF(ISNUMBER(SEARCH(Лист2!$B$5,I:I)),1,0)+K1598</f>
        <v>0</v>
      </c>
      <c r="M1598" s="3">
        <f ca="1">IF(AND(N1598&lt;&gt;N1597,ISNUMBER(SEARCH(Лист2!$B$6,N:N)),L1598=2),MAX($M$3:OFFSET(M1598,-1,0))+1,0)</f>
        <v>0</v>
      </c>
      <c r="N1598" s="3" t="s">
        <v>1511</v>
      </c>
    </row>
    <row r="1599" spans="1:14" x14ac:dyDescent="0.25">
      <c r="A1599" s="1" t="s">
        <v>11094</v>
      </c>
      <c r="B1599" s="3" t="s">
        <v>5223</v>
      </c>
      <c r="C1599" s="2">
        <f ca="1">IF(ISNUMBER(SEARCH(Лист2!$B$4,D:D)),MAX($C$3:OFFSET(C1599,-1,0))+1,0)</f>
        <v>0</v>
      </c>
      <c r="E1599" s="9" t="str">
        <f t="shared" ca="1" si="36"/>
        <v/>
      </c>
      <c r="F1599" s="4" t="s">
        <v>7</v>
      </c>
      <c r="G1599" s="2">
        <f>IF(ISNUMBER(SEARCH(Лист2!$B$4,F:F)),1,0)</f>
        <v>0</v>
      </c>
      <c r="H1599" s="3">
        <f ca="1">IF(AND(I1599&lt;&gt;I1598,ISNUMBER(SEARCH(Лист2!$B$5,I:I)),G1599=1),MAX($H$3:OFFSET(H1599,-1,0))+1,0)</f>
        <v>0</v>
      </c>
      <c r="I1599" s="3" t="s">
        <v>200</v>
      </c>
      <c r="K1599" s="2">
        <f>IF(ISNUMBER(SEARCH(Лист2!$B$4,F:F)),1,0)</f>
        <v>0</v>
      </c>
      <c r="L1599" s="14">
        <f>IF(ISNUMBER(SEARCH(Лист2!$B$5,I:I)),1,0)+K1599</f>
        <v>0</v>
      </c>
      <c r="M1599" s="3">
        <f ca="1">IF(AND(N1599&lt;&gt;N1598,ISNUMBER(SEARCH(Лист2!$B$6,N:N)),L1599=2),MAX($M$3:OFFSET(M1599,-1,0))+1,0)</f>
        <v>0</v>
      </c>
      <c r="N1599" s="3" t="s">
        <v>1511</v>
      </c>
    </row>
    <row r="1600" spans="1:14" x14ac:dyDescent="0.25">
      <c r="A1600" s="1" t="s">
        <v>11095</v>
      </c>
      <c r="B1600" s="3" t="s">
        <v>5224</v>
      </c>
      <c r="C1600" s="2">
        <f ca="1">IF(ISNUMBER(SEARCH(Лист2!$B$4,D:D)),MAX($C$3:OFFSET(C1600,-1,0))+1,0)</f>
        <v>0</v>
      </c>
      <c r="E1600" s="9" t="str">
        <f t="shared" ca="1" si="36"/>
        <v/>
      </c>
      <c r="F1600" s="4" t="s">
        <v>7</v>
      </c>
      <c r="G1600" s="2">
        <f>IF(ISNUMBER(SEARCH(Лист2!$B$4,F:F)),1,0)</f>
        <v>0</v>
      </c>
      <c r="H1600" s="3">
        <f ca="1">IF(AND(I1600&lt;&gt;I1599,ISNUMBER(SEARCH(Лист2!$B$5,I:I)),G1600=1),MAX($H$3:OFFSET(H1600,-1,0))+1,0)</f>
        <v>0</v>
      </c>
      <c r="I1600" s="3" t="s">
        <v>200</v>
      </c>
      <c r="K1600" s="2">
        <f>IF(ISNUMBER(SEARCH(Лист2!$B$4,F:F)),1,0)</f>
        <v>0</v>
      </c>
      <c r="L1600" s="14">
        <f>IF(ISNUMBER(SEARCH(Лист2!$B$5,I:I)),1,0)+K1600</f>
        <v>0</v>
      </c>
      <c r="M1600" s="3">
        <f ca="1">IF(AND(N1600&lt;&gt;N1599,ISNUMBER(SEARCH(Лист2!$B$6,N:N)),L1600=2),MAX($M$3:OFFSET(M1600,-1,0))+1,0)</f>
        <v>0</v>
      </c>
      <c r="N1600" s="3" t="s">
        <v>1432</v>
      </c>
    </row>
    <row r="1601" spans="1:14" x14ac:dyDescent="0.25">
      <c r="A1601" s="1" t="s">
        <v>11096</v>
      </c>
      <c r="B1601" s="3" t="s">
        <v>5225</v>
      </c>
      <c r="C1601" s="2">
        <f ca="1">IF(ISNUMBER(SEARCH(Лист2!$B$4,D:D)),MAX($C$3:OFFSET(C1601,-1,0))+1,0)</f>
        <v>0</v>
      </c>
      <c r="E1601" s="9" t="str">
        <f t="shared" ca="1" si="36"/>
        <v/>
      </c>
      <c r="F1601" s="4" t="s">
        <v>7</v>
      </c>
      <c r="G1601" s="2">
        <f>IF(ISNUMBER(SEARCH(Лист2!$B$4,F:F)),1,0)</f>
        <v>0</v>
      </c>
      <c r="H1601" s="3">
        <f ca="1">IF(AND(I1601&lt;&gt;I1600,ISNUMBER(SEARCH(Лист2!$B$5,I:I)),G1601=1),MAX($H$3:OFFSET(H1601,-1,0))+1,0)</f>
        <v>0</v>
      </c>
      <c r="I1601" s="3" t="s">
        <v>200</v>
      </c>
      <c r="K1601" s="2">
        <f>IF(ISNUMBER(SEARCH(Лист2!$B$4,F:F)),1,0)</f>
        <v>0</v>
      </c>
      <c r="L1601" s="14">
        <f>IF(ISNUMBER(SEARCH(Лист2!$B$5,I:I)),1,0)+K1601</f>
        <v>0</v>
      </c>
      <c r="M1601" s="3">
        <f ca="1">IF(AND(N1601&lt;&gt;N1600,ISNUMBER(SEARCH(Лист2!$B$6,N:N)),L1601=2),MAX($M$3:OFFSET(M1601,-1,0))+1,0)</f>
        <v>0</v>
      </c>
      <c r="N1601" s="3" t="s">
        <v>1433</v>
      </c>
    </row>
    <row r="1602" spans="1:14" x14ac:dyDescent="0.25">
      <c r="A1602" s="1" t="s">
        <v>11097</v>
      </c>
      <c r="B1602" s="3" t="s">
        <v>5226</v>
      </c>
      <c r="C1602" s="2">
        <f ca="1">IF(ISNUMBER(SEARCH(Лист2!$B$4,D:D)),MAX($C$3:OFFSET(C1602,-1,0))+1,0)</f>
        <v>0</v>
      </c>
      <c r="E1602" s="9" t="str">
        <f t="shared" ca="1" si="36"/>
        <v/>
      </c>
      <c r="F1602" s="4" t="s">
        <v>7</v>
      </c>
      <c r="G1602" s="2">
        <f>IF(ISNUMBER(SEARCH(Лист2!$B$4,F:F)),1,0)</f>
        <v>0</v>
      </c>
      <c r="H1602" s="3">
        <f ca="1">IF(AND(I1602&lt;&gt;I1601,ISNUMBER(SEARCH(Лист2!$B$5,I:I)),G1602=1),MAX($H$3:OFFSET(H1602,-1,0))+1,0)</f>
        <v>0</v>
      </c>
      <c r="I1602" s="3" t="s">
        <v>200</v>
      </c>
      <c r="K1602" s="2">
        <f>IF(ISNUMBER(SEARCH(Лист2!$B$4,F:F)),1,0)</f>
        <v>0</v>
      </c>
      <c r="L1602" s="14">
        <f>IF(ISNUMBER(SEARCH(Лист2!$B$5,I:I)),1,0)+K1602</f>
        <v>0</v>
      </c>
      <c r="M1602" s="3">
        <f ca="1">IF(AND(N1602&lt;&gt;N1601,ISNUMBER(SEARCH(Лист2!$B$6,N:N)),L1602=2),MAX($M$3:OFFSET(M1602,-1,0))+1,0)</f>
        <v>0</v>
      </c>
      <c r="N1602" s="3" t="s">
        <v>602</v>
      </c>
    </row>
    <row r="1603" spans="1:14" x14ac:dyDescent="0.25">
      <c r="A1603" s="1" t="s">
        <v>11098</v>
      </c>
      <c r="B1603" s="3" t="s">
        <v>5227</v>
      </c>
      <c r="C1603" s="2">
        <f ca="1">IF(ISNUMBER(SEARCH(Лист2!$B$4,D:D)),MAX($C$3:OFFSET(C1603,-1,0))+1,0)</f>
        <v>0</v>
      </c>
      <c r="E1603" s="9" t="str">
        <f t="shared" ca="1" si="36"/>
        <v/>
      </c>
      <c r="F1603" s="4" t="s">
        <v>7</v>
      </c>
      <c r="G1603" s="2">
        <f>IF(ISNUMBER(SEARCH(Лист2!$B$4,F:F)),1,0)</f>
        <v>0</v>
      </c>
      <c r="H1603" s="3">
        <f ca="1">IF(AND(I1603&lt;&gt;I1602,ISNUMBER(SEARCH(Лист2!$B$5,I:I)),G1603=1),MAX($H$3:OFFSET(H1603,-1,0))+1,0)</f>
        <v>0</v>
      </c>
      <c r="I1603" s="3" t="s">
        <v>200</v>
      </c>
      <c r="K1603" s="2">
        <f>IF(ISNUMBER(SEARCH(Лист2!$B$4,F:F)),1,0)</f>
        <v>0</v>
      </c>
      <c r="L1603" s="14">
        <f>IF(ISNUMBER(SEARCH(Лист2!$B$5,I:I)),1,0)+K1603</f>
        <v>0</v>
      </c>
      <c r="M1603" s="3">
        <f ca="1">IF(AND(N1603&lt;&gt;N1602,ISNUMBER(SEARCH(Лист2!$B$6,N:N)),L1603=2),MAX($M$3:OFFSET(M1603,-1,0))+1,0)</f>
        <v>0</v>
      </c>
      <c r="N1603" s="3" t="s">
        <v>1512</v>
      </c>
    </row>
    <row r="1604" spans="1:14" x14ac:dyDescent="0.25">
      <c r="A1604" s="1" t="s">
        <v>11099</v>
      </c>
      <c r="B1604" s="3" t="s">
        <v>5228</v>
      </c>
      <c r="C1604" s="2">
        <f ca="1">IF(ISNUMBER(SEARCH(Лист2!$B$4,D:D)),MAX($C$3:OFFSET(C1604,-1,0))+1,0)</f>
        <v>0</v>
      </c>
      <c r="E1604" s="9" t="str">
        <f t="shared" ca="1" si="36"/>
        <v/>
      </c>
      <c r="F1604" s="4" t="s">
        <v>7</v>
      </c>
      <c r="G1604" s="2">
        <f>IF(ISNUMBER(SEARCH(Лист2!$B$4,F:F)),1,0)</f>
        <v>0</v>
      </c>
      <c r="H1604" s="3">
        <f ca="1">IF(AND(I1604&lt;&gt;I1603,ISNUMBER(SEARCH(Лист2!$B$5,I:I)),G1604=1),MAX($H$3:OFFSET(H1604,-1,0))+1,0)</f>
        <v>0</v>
      </c>
      <c r="I1604" s="3" t="s">
        <v>201</v>
      </c>
      <c r="K1604" s="2">
        <f>IF(ISNUMBER(SEARCH(Лист2!$B$4,F:F)),1,0)</f>
        <v>0</v>
      </c>
      <c r="L1604" s="14">
        <f>IF(ISNUMBER(SEARCH(Лист2!$B$5,I:I)),1,0)+K1604</f>
        <v>0</v>
      </c>
      <c r="M1604" s="3">
        <f ca="1">IF(AND(N1604&lt;&gt;N1603,ISNUMBER(SEARCH(Лист2!$B$6,N:N)),L1604=2),MAX($M$3:OFFSET(M1604,-1,0))+1,0)</f>
        <v>0</v>
      </c>
      <c r="N1604" s="3" t="s">
        <v>1453</v>
      </c>
    </row>
    <row r="1605" spans="1:14" x14ac:dyDescent="0.25">
      <c r="A1605" s="1" t="s">
        <v>11100</v>
      </c>
      <c r="B1605" s="3" t="s">
        <v>5229</v>
      </c>
      <c r="C1605" s="2">
        <f ca="1">IF(ISNUMBER(SEARCH(Лист2!$B$4,D:D)),MAX($C$3:OFFSET(C1605,-1,0))+1,0)</f>
        <v>0</v>
      </c>
      <c r="E1605" s="9" t="str">
        <f t="shared" ref="E1605:E1668" ca="1" si="37">IFERROR(INDEX(D:D,MATCH(ROW(E1605)-ROW($E$3),C:C,0)),"")</f>
        <v/>
      </c>
      <c r="F1605" s="4" t="s">
        <v>7</v>
      </c>
      <c r="G1605" s="2">
        <f>IF(ISNUMBER(SEARCH(Лист2!$B$4,F:F)),1,0)</f>
        <v>0</v>
      </c>
      <c r="H1605" s="3">
        <f ca="1">IF(AND(I1605&lt;&gt;I1604,ISNUMBER(SEARCH(Лист2!$B$5,I:I)),G1605=1),MAX($H$3:OFFSET(H1605,-1,0))+1,0)</f>
        <v>0</v>
      </c>
      <c r="I1605" s="3" t="s">
        <v>201</v>
      </c>
      <c r="K1605" s="2">
        <f>IF(ISNUMBER(SEARCH(Лист2!$B$4,F:F)),1,0)</f>
        <v>0</v>
      </c>
      <c r="L1605" s="14">
        <f>IF(ISNUMBER(SEARCH(Лист2!$B$5,I:I)),1,0)+K1605</f>
        <v>0</v>
      </c>
      <c r="M1605" s="3">
        <f ca="1">IF(AND(N1605&lt;&gt;N1604,ISNUMBER(SEARCH(Лист2!$B$6,N:N)),L1605=2),MAX($M$3:OFFSET(M1605,-1,0))+1,0)</f>
        <v>0</v>
      </c>
      <c r="N1605" s="3" t="s">
        <v>1454</v>
      </c>
    </row>
    <row r="1606" spans="1:14" x14ac:dyDescent="0.25">
      <c r="A1606" s="1" t="s">
        <v>11101</v>
      </c>
      <c r="B1606" s="3" t="s">
        <v>5230</v>
      </c>
      <c r="C1606" s="2">
        <f ca="1">IF(ISNUMBER(SEARCH(Лист2!$B$4,D:D)),MAX($C$3:OFFSET(C1606,-1,0))+1,0)</f>
        <v>0</v>
      </c>
      <c r="E1606" s="9" t="str">
        <f t="shared" ca="1" si="37"/>
        <v/>
      </c>
      <c r="F1606" s="4" t="s">
        <v>7</v>
      </c>
      <c r="G1606" s="2">
        <f>IF(ISNUMBER(SEARCH(Лист2!$B$4,F:F)),1,0)</f>
        <v>0</v>
      </c>
      <c r="H1606" s="3">
        <f ca="1">IF(AND(I1606&lt;&gt;I1605,ISNUMBER(SEARCH(Лист2!$B$5,I:I)),G1606=1),MAX($H$3:OFFSET(H1606,-1,0))+1,0)</f>
        <v>0</v>
      </c>
      <c r="I1606" s="3" t="s">
        <v>201</v>
      </c>
      <c r="K1606" s="2">
        <f>IF(ISNUMBER(SEARCH(Лист2!$B$4,F:F)),1,0)</f>
        <v>0</v>
      </c>
      <c r="L1606" s="14">
        <f>IF(ISNUMBER(SEARCH(Лист2!$B$5,I:I)),1,0)+K1606</f>
        <v>0</v>
      </c>
      <c r="M1606" s="3">
        <f ca="1">IF(AND(N1606&lt;&gt;N1605,ISNUMBER(SEARCH(Лист2!$B$6,N:N)),L1606=2),MAX($M$3:OFFSET(M1606,-1,0))+1,0)</f>
        <v>0</v>
      </c>
      <c r="N1606" s="3" t="s">
        <v>1513</v>
      </c>
    </row>
    <row r="1607" spans="1:14" x14ac:dyDescent="0.25">
      <c r="A1607" s="1" t="s">
        <v>11102</v>
      </c>
      <c r="B1607" s="3" t="s">
        <v>5231</v>
      </c>
      <c r="C1607" s="2">
        <f ca="1">IF(ISNUMBER(SEARCH(Лист2!$B$4,D:D)),MAX($C$3:OFFSET(C1607,-1,0))+1,0)</f>
        <v>0</v>
      </c>
      <c r="E1607" s="9" t="str">
        <f t="shared" ca="1" si="37"/>
        <v/>
      </c>
      <c r="F1607" s="4" t="s">
        <v>7</v>
      </c>
      <c r="G1607" s="2">
        <f>IF(ISNUMBER(SEARCH(Лист2!$B$4,F:F)),1,0)</f>
        <v>0</v>
      </c>
      <c r="H1607" s="3">
        <f ca="1">IF(AND(I1607&lt;&gt;I1606,ISNUMBER(SEARCH(Лист2!$B$5,I:I)),G1607=1),MAX($H$3:OFFSET(H1607,-1,0))+1,0)</f>
        <v>0</v>
      </c>
      <c r="I1607" s="3" t="s">
        <v>201</v>
      </c>
      <c r="K1607" s="2">
        <f>IF(ISNUMBER(SEARCH(Лист2!$B$4,F:F)),1,0)</f>
        <v>0</v>
      </c>
      <c r="L1607" s="14">
        <f>IF(ISNUMBER(SEARCH(Лист2!$B$5,I:I)),1,0)+K1607</f>
        <v>0</v>
      </c>
      <c r="M1607" s="3">
        <f ca="1">IF(AND(N1607&lt;&gt;N1606,ISNUMBER(SEARCH(Лист2!$B$6,N:N)),L1607=2),MAX($M$3:OFFSET(M1607,-1,0))+1,0)</f>
        <v>0</v>
      </c>
      <c r="N1607" s="3" t="s">
        <v>1514</v>
      </c>
    </row>
    <row r="1608" spans="1:14" x14ac:dyDescent="0.25">
      <c r="A1608" s="1" t="s">
        <v>11103</v>
      </c>
      <c r="B1608" s="3" t="s">
        <v>5232</v>
      </c>
      <c r="C1608" s="2">
        <f ca="1">IF(ISNUMBER(SEARCH(Лист2!$B$4,D:D)),MAX($C$3:OFFSET(C1608,-1,0))+1,0)</f>
        <v>0</v>
      </c>
      <c r="E1608" s="9" t="str">
        <f t="shared" ca="1" si="37"/>
        <v/>
      </c>
      <c r="F1608" s="4" t="s">
        <v>7</v>
      </c>
      <c r="G1608" s="2">
        <f>IF(ISNUMBER(SEARCH(Лист2!$B$4,F:F)),1,0)</f>
        <v>0</v>
      </c>
      <c r="H1608" s="3">
        <f ca="1">IF(AND(I1608&lt;&gt;I1607,ISNUMBER(SEARCH(Лист2!$B$5,I:I)),G1608=1),MAX($H$3:OFFSET(H1608,-1,0))+1,0)</f>
        <v>0</v>
      </c>
      <c r="I1608" s="3" t="s">
        <v>201</v>
      </c>
      <c r="K1608" s="2">
        <f>IF(ISNUMBER(SEARCH(Лист2!$B$4,F:F)),1,0)</f>
        <v>0</v>
      </c>
      <c r="L1608" s="14">
        <f>IF(ISNUMBER(SEARCH(Лист2!$B$5,I:I)),1,0)+K1608</f>
        <v>0</v>
      </c>
      <c r="M1608" s="3">
        <f ca="1">IF(AND(N1608&lt;&gt;N1607,ISNUMBER(SEARCH(Лист2!$B$6,N:N)),L1608=2),MAX($M$3:OFFSET(M1608,-1,0))+1,0)</f>
        <v>0</v>
      </c>
      <c r="N1608" s="3" t="s">
        <v>1515</v>
      </c>
    </row>
    <row r="1609" spans="1:14" x14ac:dyDescent="0.25">
      <c r="A1609" s="1" t="s">
        <v>11104</v>
      </c>
      <c r="B1609" s="3" t="s">
        <v>5233</v>
      </c>
      <c r="C1609" s="2">
        <f ca="1">IF(ISNUMBER(SEARCH(Лист2!$B$4,D:D)),MAX($C$3:OFFSET(C1609,-1,0))+1,0)</f>
        <v>0</v>
      </c>
      <c r="E1609" s="9" t="str">
        <f t="shared" ca="1" si="37"/>
        <v/>
      </c>
      <c r="F1609" s="4" t="s">
        <v>7</v>
      </c>
      <c r="G1609" s="2">
        <f>IF(ISNUMBER(SEARCH(Лист2!$B$4,F:F)),1,0)</f>
        <v>0</v>
      </c>
      <c r="H1609" s="3">
        <f ca="1">IF(AND(I1609&lt;&gt;I1608,ISNUMBER(SEARCH(Лист2!$B$5,I:I)),G1609=1),MAX($H$3:OFFSET(H1609,-1,0))+1,0)</f>
        <v>0</v>
      </c>
      <c r="I1609" s="3" t="s">
        <v>201</v>
      </c>
      <c r="K1609" s="2">
        <f>IF(ISNUMBER(SEARCH(Лист2!$B$4,F:F)),1,0)</f>
        <v>0</v>
      </c>
      <c r="L1609" s="14">
        <f>IF(ISNUMBER(SEARCH(Лист2!$B$5,I:I)),1,0)+K1609</f>
        <v>0</v>
      </c>
      <c r="M1609" s="3">
        <f ca="1">IF(AND(N1609&lt;&gt;N1608,ISNUMBER(SEARCH(Лист2!$B$6,N:N)),L1609=2),MAX($M$3:OFFSET(M1609,-1,0))+1,0)</f>
        <v>0</v>
      </c>
      <c r="N1609" s="3" t="s">
        <v>1516</v>
      </c>
    </row>
    <row r="1610" spans="1:14" x14ac:dyDescent="0.25">
      <c r="A1610" s="1" t="s">
        <v>11104</v>
      </c>
      <c r="B1610" s="3" t="s">
        <v>5234</v>
      </c>
      <c r="C1610" s="2">
        <f ca="1">IF(ISNUMBER(SEARCH(Лист2!$B$4,D:D)),MAX($C$3:OFFSET(C1610,-1,0))+1,0)</f>
        <v>0</v>
      </c>
      <c r="E1610" s="9" t="str">
        <f t="shared" ca="1" si="37"/>
        <v/>
      </c>
      <c r="F1610" s="4" t="s">
        <v>7</v>
      </c>
      <c r="G1610" s="2">
        <f>IF(ISNUMBER(SEARCH(Лист2!$B$4,F:F)),1,0)</f>
        <v>0</v>
      </c>
      <c r="H1610" s="3">
        <f ca="1">IF(AND(I1610&lt;&gt;I1609,ISNUMBER(SEARCH(Лист2!$B$5,I:I)),G1610=1),MAX($H$3:OFFSET(H1610,-1,0))+1,0)</f>
        <v>0</v>
      </c>
      <c r="I1610" s="3" t="s">
        <v>201</v>
      </c>
      <c r="K1610" s="2">
        <f>IF(ISNUMBER(SEARCH(Лист2!$B$4,F:F)),1,0)</f>
        <v>0</v>
      </c>
      <c r="L1610" s="14">
        <f>IF(ISNUMBER(SEARCH(Лист2!$B$5,I:I)),1,0)+K1610</f>
        <v>0</v>
      </c>
      <c r="M1610" s="3">
        <f ca="1">IF(AND(N1610&lt;&gt;N1609,ISNUMBER(SEARCH(Лист2!$B$6,N:N)),L1610=2),MAX($M$3:OFFSET(M1610,-1,0))+1,0)</f>
        <v>0</v>
      </c>
      <c r="N1610" s="3" t="s">
        <v>1516</v>
      </c>
    </row>
    <row r="1611" spans="1:14" x14ac:dyDescent="0.25">
      <c r="A1611" s="1" t="s">
        <v>11105</v>
      </c>
      <c r="B1611" s="3" t="s">
        <v>5235</v>
      </c>
      <c r="C1611" s="2">
        <f ca="1">IF(ISNUMBER(SEARCH(Лист2!$B$4,D:D)),MAX($C$3:OFFSET(C1611,-1,0))+1,0)</f>
        <v>0</v>
      </c>
      <c r="E1611" s="9" t="str">
        <f t="shared" ca="1" si="37"/>
        <v/>
      </c>
      <c r="F1611" s="4" t="s">
        <v>7</v>
      </c>
      <c r="G1611" s="2">
        <f>IF(ISNUMBER(SEARCH(Лист2!$B$4,F:F)),1,0)</f>
        <v>0</v>
      </c>
      <c r="H1611" s="3">
        <f ca="1">IF(AND(I1611&lt;&gt;I1610,ISNUMBER(SEARCH(Лист2!$B$5,I:I)),G1611=1),MAX($H$3:OFFSET(H1611,-1,0))+1,0)</f>
        <v>0</v>
      </c>
      <c r="I1611" s="3" t="s">
        <v>201</v>
      </c>
      <c r="K1611" s="2">
        <f>IF(ISNUMBER(SEARCH(Лист2!$B$4,F:F)),1,0)</f>
        <v>0</v>
      </c>
      <c r="L1611" s="14">
        <f>IF(ISNUMBER(SEARCH(Лист2!$B$5,I:I)),1,0)+K1611</f>
        <v>0</v>
      </c>
      <c r="M1611" s="3">
        <f ca="1">IF(AND(N1611&lt;&gt;N1610,ISNUMBER(SEARCH(Лист2!$B$6,N:N)),L1611=2),MAX($M$3:OFFSET(M1611,-1,0))+1,0)</f>
        <v>0</v>
      </c>
      <c r="N1611" s="3" t="s">
        <v>1517</v>
      </c>
    </row>
    <row r="1612" spans="1:14" x14ac:dyDescent="0.25">
      <c r="A1612" s="1" t="s">
        <v>11106</v>
      </c>
      <c r="B1612" s="3" t="s">
        <v>5236</v>
      </c>
      <c r="C1612" s="2">
        <f ca="1">IF(ISNUMBER(SEARCH(Лист2!$B$4,D:D)),MAX($C$3:OFFSET(C1612,-1,0))+1,0)</f>
        <v>0</v>
      </c>
      <c r="E1612" s="9" t="str">
        <f t="shared" ca="1" si="37"/>
        <v/>
      </c>
      <c r="F1612" s="4" t="s">
        <v>7</v>
      </c>
      <c r="G1612" s="2">
        <f>IF(ISNUMBER(SEARCH(Лист2!$B$4,F:F)),1,0)</f>
        <v>0</v>
      </c>
      <c r="H1612" s="3">
        <f ca="1">IF(AND(I1612&lt;&gt;I1611,ISNUMBER(SEARCH(Лист2!$B$5,I:I)),G1612=1),MAX($H$3:OFFSET(H1612,-1,0))+1,0)</f>
        <v>0</v>
      </c>
      <c r="I1612" s="3" t="s">
        <v>201</v>
      </c>
      <c r="K1612" s="2">
        <f>IF(ISNUMBER(SEARCH(Лист2!$B$4,F:F)),1,0)</f>
        <v>0</v>
      </c>
      <c r="L1612" s="14">
        <f>IF(ISNUMBER(SEARCH(Лист2!$B$5,I:I)),1,0)+K1612</f>
        <v>0</v>
      </c>
      <c r="M1612" s="3">
        <f ca="1">IF(AND(N1612&lt;&gt;N1611,ISNUMBER(SEARCH(Лист2!$B$6,N:N)),L1612=2),MAX($M$3:OFFSET(M1612,-1,0))+1,0)</f>
        <v>0</v>
      </c>
      <c r="N1612" s="3" t="s">
        <v>1518</v>
      </c>
    </row>
    <row r="1613" spans="1:14" x14ac:dyDescent="0.25">
      <c r="A1613" s="1" t="s">
        <v>11107</v>
      </c>
      <c r="B1613" s="3" t="s">
        <v>5237</v>
      </c>
      <c r="C1613" s="2">
        <f ca="1">IF(ISNUMBER(SEARCH(Лист2!$B$4,D:D)),MAX($C$3:OFFSET(C1613,-1,0))+1,0)</f>
        <v>0</v>
      </c>
      <c r="E1613" s="9" t="str">
        <f t="shared" ca="1" si="37"/>
        <v/>
      </c>
      <c r="F1613" s="4" t="s">
        <v>7</v>
      </c>
      <c r="G1613" s="2">
        <f>IF(ISNUMBER(SEARCH(Лист2!$B$4,F:F)),1,0)</f>
        <v>0</v>
      </c>
      <c r="H1613" s="3">
        <f ca="1">IF(AND(I1613&lt;&gt;I1612,ISNUMBER(SEARCH(Лист2!$B$5,I:I)),G1613=1),MAX($H$3:OFFSET(H1613,-1,0))+1,0)</f>
        <v>0</v>
      </c>
      <c r="I1613" s="3" t="s">
        <v>201</v>
      </c>
      <c r="K1613" s="2">
        <f>IF(ISNUMBER(SEARCH(Лист2!$B$4,F:F)),1,0)</f>
        <v>0</v>
      </c>
      <c r="L1613" s="14">
        <f>IF(ISNUMBER(SEARCH(Лист2!$B$5,I:I)),1,0)+K1613</f>
        <v>0</v>
      </c>
      <c r="M1613" s="3">
        <f ca="1">IF(AND(N1613&lt;&gt;N1612,ISNUMBER(SEARCH(Лист2!$B$6,N:N)),L1613=2),MAX($M$3:OFFSET(M1613,-1,0))+1,0)</f>
        <v>0</v>
      </c>
      <c r="N1613" s="3" t="s">
        <v>1519</v>
      </c>
    </row>
    <row r="1614" spans="1:14" x14ac:dyDescent="0.25">
      <c r="A1614" s="1" t="s">
        <v>11107</v>
      </c>
      <c r="B1614" s="3" t="s">
        <v>5238</v>
      </c>
      <c r="C1614" s="2">
        <f ca="1">IF(ISNUMBER(SEARCH(Лист2!$B$4,D:D)),MAX($C$3:OFFSET(C1614,-1,0))+1,0)</f>
        <v>0</v>
      </c>
      <c r="E1614" s="9" t="str">
        <f t="shared" ca="1" si="37"/>
        <v/>
      </c>
      <c r="F1614" s="4" t="s">
        <v>7</v>
      </c>
      <c r="G1614" s="2">
        <f>IF(ISNUMBER(SEARCH(Лист2!$B$4,F:F)),1,0)</f>
        <v>0</v>
      </c>
      <c r="H1614" s="3">
        <f ca="1">IF(AND(I1614&lt;&gt;I1613,ISNUMBER(SEARCH(Лист2!$B$5,I:I)),G1614=1),MAX($H$3:OFFSET(H1614,-1,0))+1,0)</f>
        <v>0</v>
      </c>
      <c r="I1614" s="3" t="s">
        <v>201</v>
      </c>
      <c r="K1614" s="2">
        <f>IF(ISNUMBER(SEARCH(Лист2!$B$4,F:F)),1,0)</f>
        <v>0</v>
      </c>
      <c r="L1614" s="14">
        <f>IF(ISNUMBER(SEARCH(Лист2!$B$5,I:I)),1,0)+K1614</f>
        <v>0</v>
      </c>
      <c r="M1614" s="3">
        <f ca="1">IF(AND(N1614&lt;&gt;N1613,ISNUMBER(SEARCH(Лист2!$B$6,N:N)),L1614=2),MAX($M$3:OFFSET(M1614,-1,0))+1,0)</f>
        <v>0</v>
      </c>
      <c r="N1614" s="3" t="s">
        <v>1519</v>
      </c>
    </row>
    <row r="1615" spans="1:14" x14ac:dyDescent="0.25">
      <c r="A1615" s="1" t="s">
        <v>11108</v>
      </c>
      <c r="B1615" s="3" t="s">
        <v>5239</v>
      </c>
      <c r="C1615" s="2">
        <f ca="1">IF(ISNUMBER(SEARCH(Лист2!$B$4,D:D)),MAX($C$3:OFFSET(C1615,-1,0))+1,0)</f>
        <v>0</v>
      </c>
      <c r="E1615" s="9" t="str">
        <f t="shared" ca="1" si="37"/>
        <v/>
      </c>
      <c r="F1615" s="4" t="s">
        <v>7</v>
      </c>
      <c r="G1615" s="2">
        <f>IF(ISNUMBER(SEARCH(Лист2!$B$4,F:F)),1,0)</f>
        <v>0</v>
      </c>
      <c r="H1615" s="3">
        <f ca="1">IF(AND(I1615&lt;&gt;I1614,ISNUMBER(SEARCH(Лист2!$B$5,I:I)),G1615=1),MAX($H$3:OFFSET(H1615,-1,0))+1,0)</f>
        <v>0</v>
      </c>
      <c r="I1615" s="3" t="s">
        <v>201</v>
      </c>
      <c r="K1615" s="2">
        <f>IF(ISNUMBER(SEARCH(Лист2!$B$4,F:F)),1,0)</f>
        <v>0</v>
      </c>
      <c r="L1615" s="14">
        <f>IF(ISNUMBER(SEARCH(Лист2!$B$5,I:I)),1,0)+K1615</f>
        <v>0</v>
      </c>
      <c r="M1615" s="3">
        <f ca="1">IF(AND(N1615&lt;&gt;N1614,ISNUMBER(SEARCH(Лист2!$B$6,N:N)),L1615=2),MAX($M$3:OFFSET(M1615,-1,0))+1,0)</f>
        <v>0</v>
      </c>
      <c r="N1615" s="3" t="s">
        <v>1520</v>
      </c>
    </row>
    <row r="1616" spans="1:14" x14ac:dyDescent="0.25">
      <c r="A1616" s="1" t="s">
        <v>11109</v>
      </c>
      <c r="B1616" s="3" t="s">
        <v>5240</v>
      </c>
      <c r="C1616" s="2">
        <f ca="1">IF(ISNUMBER(SEARCH(Лист2!$B$4,D:D)),MAX($C$3:OFFSET(C1616,-1,0))+1,0)</f>
        <v>0</v>
      </c>
      <c r="E1616" s="9" t="str">
        <f t="shared" ca="1" si="37"/>
        <v/>
      </c>
      <c r="F1616" s="4" t="s">
        <v>7</v>
      </c>
      <c r="G1616" s="2">
        <f>IF(ISNUMBER(SEARCH(Лист2!$B$4,F:F)),1,0)</f>
        <v>0</v>
      </c>
      <c r="H1616" s="3">
        <f ca="1">IF(AND(I1616&lt;&gt;I1615,ISNUMBER(SEARCH(Лист2!$B$5,I:I)),G1616=1),MAX($H$3:OFFSET(H1616,-1,0))+1,0)</f>
        <v>0</v>
      </c>
      <c r="I1616" s="3" t="s">
        <v>201</v>
      </c>
      <c r="K1616" s="2">
        <f>IF(ISNUMBER(SEARCH(Лист2!$B$4,F:F)),1,0)</f>
        <v>0</v>
      </c>
      <c r="L1616" s="14">
        <f>IF(ISNUMBER(SEARCH(Лист2!$B$5,I:I)),1,0)+K1616</f>
        <v>0</v>
      </c>
      <c r="M1616" s="3">
        <f ca="1">IF(AND(N1616&lt;&gt;N1615,ISNUMBER(SEARCH(Лист2!$B$6,N:N)),L1616=2),MAX($M$3:OFFSET(M1616,-1,0))+1,0)</f>
        <v>0</v>
      </c>
      <c r="N1616" s="3" t="s">
        <v>1432</v>
      </c>
    </row>
    <row r="1617" spans="1:14" x14ac:dyDescent="0.25">
      <c r="A1617" s="1" t="s">
        <v>11110</v>
      </c>
      <c r="B1617" s="3" t="s">
        <v>5241</v>
      </c>
      <c r="C1617" s="2">
        <f ca="1">IF(ISNUMBER(SEARCH(Лист2!$B$4,D:D)),MAX($C$3:OFFSET(C1617,-1,0))+1,0)</f>
        <v>0</v>
      </c>
      <c r="E1617" s="9" t="str">
        <f t="shared" ca="1" si="37"/>
        <v/>
      </c>
      <c r="F1617" s="4" t="s">
        <v>7</v>
      </c>
      <c r="G1617" s="2">
        <f>IF(ISNUMBER(SEARCH(Лист2!$B$4,F:F)),1,0)</f>
        <v>0</v>
      </c>
      <c r="H1617" s="3">
        <f ca="1">IF(AND(I1617&lt;&gt;I1616,ISNUMBER(SEARCH(Лист2!$B$5,I:I)),G1617=1),MAX($H$3:OFFSET(H1617,-1,0))+1,0)</f>
        <v>0</v>
      </c>
      <c r="I1617" s="3" t="s">
        <v>201</v>
      </c>
      <c r="K1617" s="2">
        <f>IF(ISNUMBER(SEARCH(Лист2!$B$4,F:F)),1,0)</f>
        <v>0</v>
      </c>
      <c r="L1617" s="14">
        <f>IF(ISNUMBER(SEARCH(Лист2!$B$5,I:I)),1,0)+K1617</f>
        <v>0</v>
      </c>
      <c r="M1617" s="3">
        <f ca="1">IF(AND(N1617&lt;&gt;N1616,ISNUMBER(SEARCH(Лист2!$B$6,N:N)),L1617=2),MAX($M$3:OFFSET(M1617,-1,0))+1,0)</f>
        <v>0</v>
      </c>
      <c r="N1617" s="3" t="s">
        <v>1433</v>
      </c>
    </row>
    <row r="1618" spans="1:14" x14ac:dyDescent="0.25">
      <c r="A1618" s="1" t="s">
        <v>11111</v>
      </c>
      <c r="B1618" s="3" t="s">
        <v>5242</v>
      </c>
      <c r="C1618" s="2">
        <f ca="1">IF(ISNUMBER(SEARCH(Лист2!$B$4,D:D)),MAX($C$3:OFFSET(C1618,-1,0))+1,0)</f>
        <v>0</v>
      </c>
      <c r="E1618" s="9" t="str">
        <f t="shared" ca="1" si="37"/>
        <v/>
      </c>
      <c r="F1618" s="4" t="s">
        <v>7</v>
      </c>
      <c r="G1618" s="2">
        <f>IF(ISNUMBER(SEARCH(Лист2!$B$4,F:F)),1,0)</f>
        <v>0</v>
      </c>
      <c r="H1618" s="3">
        <f ca="1">IF(AND(I1618&lt;&gt;I1617,ISNUMBER(SEARCH(Лист2!$B$5,I:I)),G1618=1),MAX($H$3:OFFSET(H1618,-1,0))+1,0)</f>
        <v>0</v>
      </c>
      <c r="I1618" s="3" t="s">
        <v>201</v>
      </c>
      <c r="K1618" s="2">
        <f>IF(ISNUMBER(SEARCH(Лист2!$B$4,F:F)),1,0)</f>
        <v>0</v>
      </c>
      <c r="L1618" s="14">
        <f>IF(ISNUMBER(SEARCH(Лист2!$B$5,I:I)),1,0)+K1618</f>
        <v>0</v>
      </c>
      <c r="M1618" s="3">
        <f ca="1">IF(AND(N1618&lt;&gt;N1617,ISNUMBER(SEARCH(Лист2!$B$6,N:N)),L1618=2),MAX($M$3:OFFSET(M1618,-1,0))+1,0)</f>
        <v>0</v>
      </c>
      <c r="N1618" s="3" t="s">
        <v>602</v>
      </c>
    </row>
    <row r="1619" spans="1:14" x14ac:dyDescent="0.25">
      <c r="A1619" s="1" t="s">
        <v>11112</v>
      </c>
      <c r="B1619" s="3" t="s">
        <v>5243</v>
      </c>
      <c r="C1619" s="2">
        <f ca="1">IF(ISNUMBER(SEARCH(Лист2!$B$4,D:D)),MAX($C$3:OFFSET(C1619,-1,0))+1,0)</f>
        <v>0</v>
      </c>
      <c r="E1619" s="9" t="str">
        <f t="shared" ca="1" si="37"/>
        <v/>
      </c>
      <c r="F1619" s="4" t="s">
        <v>7</v>
      </c>
      <c r="G1619" s="2">
        <f>IF(ISNUMBER(SEARCH(Лист2!$B$4,F:F)),1,0)</f>
        <v>0</v>
      </c>
      <c r="H1619" s="3">
        <f ca="1">IF(AND(I1619&lt;&gt;I1618,ISNUMBER(SEARCH(Лист2!$B$5,I:I)),G1619=1),MAX($H$3:OFFSET(H1619,-1,0))+1,0)</f>
        <v>0</v>
      </c>
      <c r="I1619" s="3" t="s">
        <v>201</v>
      </c>
      <c r="K1619" s="2">
        <f>IF(ISNUMBER(SEARCH(Лист2!$B$4,F:F)),1,0)</f>
        <v>0</v>
      </c>
      <c r="L1619" s="14">
        <f>IF(ISNUMBER(SEARCH(Лист2!$B$5,I:I)),1,0)+K1619</f>
        <v>0</v>
      </c>
      <c r="M1619" s="3">
        <f ca="1">IF(AND(N1619&lt;&gt;N1618,ISNUMBER(SEARCH(Лист2!$B$6,N:N)),L1619=2),MAX($M$3:OFFSET(M1619,-1,0))+1,0)</f>
        <v>0</v>
      </c>
      <c r="N1619" s="3" t="s">
        <v>1521</v>
      </c>
    </row>
    <row r="1620" spans="1:14" x14ac:dyDescent="0.25">
      <c r="A1620" s="1" t="s">
        <v>11031</v>
      </c>
      <c r="B1620" s="3" t="s">
        <v>5244</v>
      </c>
      <c r="C1620" s="2">
        <f ca="1">IF(ISNUMBER(SEARCH(Лист2!$B$4,D:D)),MAX($C$3:OFFSET(C1620,-1,0))+1,0)</f>
        <v>0</v>
      </c>
      <c r="E1620" s="9" t="str">
        <f t="shared" ca="1" si="37"/>
        <v/>
      </c>
      <c r="F1620" s="4" t="s">
        <v>7</v>
      </c>
      <c r="G1620" s="2">
        <f>IF(ISNUMBER(SEARCH(Лист2!$B$4,F:F)),1,0)</f>
        <v>0</v>
      </c>
      <c r="H1620" s="3">
        <f ca="1">IF(AND(I1620&lt;&gt;I1619,ISNUMBER(SEARCH(Лист2!$B$5,I:I)),G1620=1),MAX($H$3:OFFSET(H1620,-1,0))+1,0)</f>
        <v>0</v>
      </c>
      <c r="I1620" s="3" t="s">
        <v>195</v>
      </c>
      <c r="K1620" s="2">
        <f>IF(ISNUMBER(SEARCH(Лист2!$B$4,F:F)),1,0)</f>
        <v>0</v>
      </c>
      <c r="L1620" s="14">
        <f>IF(ISNUMBER(SEARCH(Лист2!$B$5,I:I)),1,0)+K1620</f>
        <v>0</v>
      </c>
      <c r="M1620" s="3">
        <f ca="1">IF(AND(N1620&lt;&gt;N1619,ISNUMBER(SEARCH(Лист2!$B$6,N:N)),L1620=2),MAX($M$3:OFFSET(M1620,-1,0))+1,0)</f>
        <v>0</v>
      </c>
      <c r="N1620" s="3" t="s">
        <v>1462</v>
      </c>
    </row>
    <row r="1621" spans="1:14" x14ac:dyDescent="0.25">
      <c r="A1621" s="1" t="s">
        <v>11032</v>
      </c>
      <c r="B1621" s="3" t="s">
        <v>5245</v>
      </c>
      <c r="C1621" s="2">
        <f ca="1">IF(ISNUMBER(SEARCH(Лист2!$B$4,D:D)),MAX($C$3:OFFSET(C1621,-1,0))+1,0)</f>
        <v>0</v>
      </c>
      <c r="E1621" s="9" t="str">
        <f t="shared" ca="1" si="37"/>
        <v/>
      </c>
      <c r="F1621" s="4" t="s">
        <v>7</v>
      </c>
      <c r="G1621" s="2">
        <f>IF(ISNUMBER(SEARCH(Лист2!$B$4,F:F)),1,0)</f>
        <v>0</v>
      </c>
      <c r="H1621" s="3">
        <f ca="1">IF(AND(I1621&lt;&gt;I1620,ISNUMBER(SEARCH(Лист2!$B$5,I:I)),G1621=1),MAX($H$3:OFFSET(H1621,-1,0))+1,0)</f>
        <v>0</v>
      </c>
      <c r="I1621" s="3" t="s">
        <v>195</v>
      </c>
      <c r="K1621" s="2">
        <f>IF(ISNUMBER(SEARCH(Лист2!$B$4,F:F)),1,0)</f>
        <v>0</v>
      </c>
      <c r="L1621" s="14">
        <f>IF(ISNUMBER(SEARCH(Лист2!$B$5,I:I)),1,0)+K1621</f>
        <v>0</v>
      </c>
      <c r="M1621" s="3">
        <f ca="1">IF(AND(N1621&lt;&gt;N1620,ISNUMBER(SEARCH(Лист2!$B$6,N:N)),L1621=2),MAX($M$3:OFFSET(M1621,-1,0))+1,0)</f>
        <v>0</v>
      </c>
      <c r="N1621" s="3" t="s">
        <v>1463</v>
      </c>
    </row>
    <row r="1622" spans="1:14" x14ac:dyDescent="0.25">
      <c r="A1622" s="1" t="s">
        <v>11033</v>
      </c>
      <c r="B1622" s="3" t="s">
        <v>5246</v>
      </c>
      <c r="C1622" s="2">
        <f ca="1">IF(ISNUMBER(SEARCH(Лист2!$B$4,D:D)),MAX($C$3:OFFSET(C1622,-1,0))+1,0)</f>
        <v>0</v>
      </c>
      <c r="E1622" s="9" t="str">
        <f t="shared" ca="1" si="37"/>
        <v/>
      </c>
      <c r="F1622" s="4" t="s">
        <v>7</v>
      </c>
      <c r="G1622" s="2">
        <f>IF(ISNUMBER(SEARCH(Лист2!$B$4,F:F)),1,0)</f>
        <v>0</v>
      </c>
      <c r="H1622" s="3">
        <f ca="1">IF(AND(I1622&lt;&gt;I1621,ISNUMBER(SEARCH(Лист2!$B$5,I:I)),G1622=1),MAX($H$3:OFFSET(H1622,-1,0))+1,0)</f>
        <v>0</v>
      </c>
      <c r="I1622" s="3" t="s">
        <v>195</v>
      </c>
      <c r="K1622" s="2">
        <f>IF(ISNUMBER(SEARCH(Лист2!$B$4,F:F)),1,0)</f>
        <v>0</v>
      </c>
      <c r="L1622" s="14">
        <f>IF(ISNUMBER(SEARCH(Лист2!$B$5,I:I)),1,0)+K1622</f>
        <v>0</v>
      </c>
      <c r="M1622" s="3">
        <f ca="1">IF(AND(N1622&lt;&gt;N1621,ISNUMBER(SEARCH(Лист2!$B$6,N:N)),L1622=2),MAX($M$3:OFFSET(M1622,-1,0))+1,0)</f>
        <v>0</v>
      </c>
      <c r="N1622" s="3" t="s">
        <v>1464</v>
      </c>
    </row>
    <row r="1623" spans="1:14" x14ac:dyDescent="0.25">
      <c r="A1623" s="1" t="s">
        <v>11034</v>
      </c>
      <c r="B1623" s="3" t="s">
        <v>5247</v>
      </c>
      <c r="C1623" s="2">
        <f ca="1">IF(ISNUMBER(SEARCH(Лист2!$B$4,D:D)),MAX($C$3:OFFSET(C1623,-1,0))+1,0)</f>
        <v>0</v>
      </c>
      <c r="E1623" s="9" t="str">
        <f t="shared" ca="1" si="37"/>
        <v/>
      </c>
      <c r="F1623" s="4" t="s">
        <v>7</v>
      </c>
      <c r="G1623" s="2">
        <f>IF(ISNUMBER(SEARCH(Лист2!$B$4,F:F)),1,0)</f>
        <v>0</v>
      </c>
      <c r="H1623" s="3">
        <f ca="1">IF(AND(I1623&lt;&gt;I1622,ISNUMBER(SEARCH(Лист2!$B$5,I:I)),G1623=1),MAX($H$3:OFFSET(H1623,-1,0))+1,0)</f>
        <v>0</v>
      </c>
      <c r="I1623" s="3" t="s">
        <v>195</v>
      </c>
      <c r="K1623" s="2">
        <f>IF(ISNUMBER(SEARCH(Лист2!$B$4,F:F)),1,0)</f>
        <v>0</v>
      </c>
      <c r="L1623" s="14">
        <f>IF(ISNUMBER(SEARCH(Лист2!$B$5,I:I)),1,0)+K1623</f>
        <v>0</v>
      </c>
      <c r="M1623" s="3">
        <f ca="1">IF(AND(N1623&lt;&gt;N1622,ISNUMBER(SEARCH(Лист2!$B$6,N:N)),L1623=2),MAX($M$3:OFFSET(M1623,-1,0))+1,0)</f>
        <v>0</v>
      </c>
      <c r="N1623" s="3" t="s">
        <v>1465</v>
      </c>
    </row>
    <row r="1624" spans="1:14" x14ac:dyDescent="0.25">
      <c r="A1624" s="1" t="s">
        <v>11035</v>
      </c>
      <c r="B1624" s="3" t="s">
        <v>5248</v>
      </c>
      <c r="C1624" s="2">
        <f ca="1">IF(ISNUMBER(SEARCH(Лист2!$B$4,D:D)),MAX($C$3:OFFSET(C1624,-1,0))+1,0)</f>
        <v>0</v>
      </c>
      <c r="E1624" s="9" t="str">
        <f t="shared" ca="1" si="37"/>
        <v/>
      </c>
      <c r="F1624" s="4" t="s">
        <v>7</v>
      </c>
      <c r="G1624" s="2">
        <f>IF(ISNUMBER(SEARCH(Лист2!$B$4,F:F)),1,0)</f>
        <v>0</v>
      </c>
      <c r="H1624" s="3">
        <f ca="1">IF(AND(I1624&lt;&gt;I1623,ISNUMBER(SEARCH(Лист2!$B$5,I:I)),G1624=1),MAX($H$3:OFFSET(H1624,-1,0))+1,0)</f>
        <v>0</v>
      </c>
      <c r="I1624" s="3" t="s">
        <v>195</v>
      </c>
      <c r="K1624" s="2">
        <f>IF(ISNUMBER(SEARCH(Лист2!$B$4,F:F)),1,0)</f>
        <v>0</v>
      </c>
      <c r="L1624" s="14">
        <f>IF(ISNUMBER(SEARCH(Лист2!$B$5,I:I)),1,0)+K1624</f>
        <v>0</v>
      </c>
      <c r="M1624" s="3">
        <f ca="1">IF(AND(N1624&lt;&gt;N1623,ISNUMBER(SEARCH(Лист2!$B$6,N:N)),L1624=2),MAX($M$3:OFFSET(M1624,-1,0))+1,0)</f>
        <v>0</v>
      </c>
      <c r="N1624" s="3" t="s">
        <v>1466</v>
      </c>
    </row>
    <row r="1625" spans="1:14" x14ac:dyDescent="0.25">
      <c r="A1625" s="1" t="s">
        <v>11035</v>
      </c>
      <c r="B1625" s="3" t="s">
        <v>5249</v>
      </c>
      <c r="C1625" s="2">
        <f ca="1">IF(ISNUMBER(SEARCH(Лист2!$B$4,D:D)),MAX($C$3:OFFSET(C1625,-1,0))+1,0)</f>
        <v>0</v>
      </c>
      <c r="E1625" s="9" t="str">
        <f t="shared" ca="1" si="37"/>
        <v/>
      </c>
      <c r="F1625" s="4" t="s">
        <v>7</v>
      </c>
      <c r="G1625" s="2">
        <f>IF(ISNUMBER(SEARCH(Лист2!$B$4,F:F)),1,0)</f>
        <v>0</v>
      </c>
      <c r="H1625" s="3">
        <f ca="1">IF(AND(I1625&lt;&gt;I1624,ISNUMBER(SEARCH(Лист2!$B$5,I:I)),G1625=1),MAX($H$3:OFFSET(H1625,-1,0))+1,0)</f>
        <v>0</v>
      </c>
      <c r="I1625" s="3" t="s">
        <v>195</v>
      </c>
      <c r="K1625" s="2">
        <f>IF(ISNUMBER(SEARCH(Лист2!$B$4,F:F)),1,0)</f>
        <v>0</v>
      </c>
      <c r="L1625" s="14">
        <f>IF(ISNUMBER(SEARCH(Лист2!$B$5,I:I)),1,0)+K1625</f>
        <v>0</v>
      </c>
      <c r="M1625" s="3">
        <f ca="1">IF(AND(N1625&lt;&gt;N1624,ISNUMBER(SEARCH(Лист2!$B$6,N:N)),L1625=2),MAX($M$3:OFFSET(M1625,-1,0))+1,0)</f>
        <v>0</v>
      </c>
      <c r="N1625" s="3" t="s">
        <v>1466</v>
      </c>
    </row>
    <row r="1626" spans="1:14" x14ac:dyDescent="0.25">
      <c r="A1626" s="1" t="s">
        <v>11035</v>
      </c>
      <c r="B1626" s="3" t="s">
        <v>5250</v>
      </c>
      <c r="C1626" s="2">
        <f ca="1">IF(ISNUMBER(SEARCH(Лист2!$B$4,D:D)),MAX($C$3:OFFSET(C1626,-1,0))+1,0)</f>
        <v>0</v>
      </c>
      <c r="E1626" s="9" t="str">
        <f t="shared" ca="1" si="37"/>
        <v/>
      </c>
      <c r="F1626" s="4" t="s">
        <v>7</v>
      </c>
      <c r="G1626" s="2">
        <f>IF(ISNUMBER(SEARCH(Лист2!$B$4,F:F)),1,0)</f>
        <v>0</v>
      </c>
      <c r="H1626" s="3">
        <f ca="1">IF(AND(I1626&lt;&gt;I1625,ISNUMBER(SEARCH(Лист2!$B$5,I:I)),G1626=1),MAX($H$3:OFFSET(H1626,-1,0))+1,0)</f>
        <v>0</v>
      </c>
      <c r="I1626" s="3" t="s">
        <v>195</v>
      </c>
      <c r="K1626" s="2">
        <f>IF(ISNUMBER(SEARCH(Лист2!$B$4,F:F)),1,0)</f>
        <v>0</v>
      </c>
      <c r="L1626" s="14">
        <f>IF(ISNUMBER(SEARCH(Лист2!$B$5,I:I)),1,0)+K1626</f>
        <v>0</v>
      </c>
      <c r="M1626" s="3">
        <f ca="1">IF(AND(N1626&lt;&gt;N1625,ISNUMBER(SEARCH(Лист2!$B$6,N:N)),L1626=2),MAX($M$3:OFFSET(M1626,-1,0))+1,0)</f>
        <v>0</v>
      </c>
      <c r="N1626" s="3" t="s">
        <v>1466</v>
      </c>
    </row>
    <row r="1627" spans="1:14" x14ac:dyDescent="0.25">
      <c r="A1627" s="1" t="s">
        <v>11036</v>
      </c>
      <c r="B1627" s="3" t="s">
        <v>5251</v>
      </c>
      <c r="C1627" s="2">
        <f ca="1">IF(ISNUMBER(SEARCH(Лист2!$B$4,D:D)),MAX($C$3:OFFSET(C1627,-1,0))+1,0)</f>
        <v>0</v>
      </c>
      <c r="E1627" s="9" t="str">
        <f t="shared" ca="1" si="37"/>
        <v/>
      </c>
      <c r="F1627" s="4" t="s">
        <v>7</v>
      </c>
      <c r="G1627" s="2">
        <f>IF(ISNUMBER(SEARCH(Лист2!$B$4,F:F)),1,0)</f>
        <v>0</v>
      </c>
      <c r="H1627" s="3">
        <f ca="1">IF(AND(I1627&lt;&gt;I1626,ISNUMBER(SEARCH(Лист2!$B$5,I:I)),G1627=1),MAX($H$3:OFFSET(H1627,-1,0))+1,0)</f>
        <v>0</v>
      </c>
      <c r="I1627" s="3" t="s">
        <v>195</v>
      </c>
      <c r="K1627" s="2">
        <f>IF(ISNUMBER(SEARCH(Лист2!$B$4,F:F)),1,0)</f>
        <v>0</v>
      </c>
      <c r="L1627" s="14">
        <f>IF(ISNUMBER(SEARCH(Лист2!$B$5,I:I)),1,0)+K1627</f>
        <v>0</v>
      </c>
      <c r="M1627" s="3">
        <f ca="1">IF(AND(N1627&lt;&gt;N1626,ISNUMBER(SEARCH(Лист2!$B$6,N:N)),L1627=2),MAX($M$3:OFFSET(M1627,-1,0))+1,0)</f>
        <v>0</v>
      </c>
      <c r="N1627" s="3" t="s">
        <v>1467</v>
      </c>
    </row>
    <row r="1628" spans="1:14" x14ac:dyDescent="0.25">
      <c r="A1628" s="1" t="s">
        <v>11036</v>
      </c>
      <c r="B1628" s="3" t="s">
        <v>5252</v>
      </c>
      <c r="C1628" s="2">
        <f ca="1">IF(ISNUMBER(SEARCH(Лист2!$B$4,D:D)),MAX($C$3:OFFSET(C1628,-1,0))+1,0)</f>
        <v>0</v>
      </c>
      <c r="E1628" s="9" t="str">
        <f t="shared" ca="1" si="37"/>
        <v/>
      </c>
      <c r="F1628" s="4" t="s">
        <v>7</v>
      </c>
      <c r="G1628" s="2">
        <f>IF(ISNUMBER(SEARCH(Лист2!$B$4,F:F)),1,0)</f>
        <v>0</v>
      </c>
      <c r="H1628" s="3">
        <f ca="1">IF(AND(I1628&lt;&gt;I1627,ISNUMBER(SEARCH(Лист2!$B$5,I:I)),G1628=1),MAX($H$3:OFFSET(H1628,-1,0))+1,0)</f>
        <v>0</v>
      </c>
      <c r="I1628" s="3" t="s">
        <v>195</v>
      </c>
      <c r="K1628" s="2">
        <f>IF(ISNUMBER(SEARCH(Лист2!$B$4,F:F)),1,0)</f>
        <v>0</v>
      </c>
      <c r="L1628" s="14">
        <f>IF(ISNUMBER(SEARCH(Лист2!$B$5,I:I)),1,0)+K1628</f>
        <v>0</v>
      </c>
      <c r="M1628" s="3">
        <f ca="1">IF(AND(N1628&lt;&gt;N1627,ISNUMBER(SEARCH(Лист2!$B$6,N:N)),L1628=2),MAX($M$3:OFFSET(M1628,-1,0))+1,0)</f>
        <v>0</v>
      </c>
      <c r="N1628" s="3" t="s">
        <v>1467</v>
      </c>
    </row>
    <row r="1629" spans="1:14" x14ac:dyDescent="0.25">
      <c r="A1629" s="1" t="s">
        <v>11036</v>
      </c>
      <c r="B1629" s="3" t="s">
        <v>5253</v>
      </c>
      <c r="C1629" s="2">
        <f ca="1">IF(ISNUMBER(SEARCH(Лист2!$B$4,D:D)),MAX($C$3:OFFSET(C1629,-1,0))+1,0)</f>
        <v>0</v>
      </c>
      <c r="E1629" s="9" t="str">
        <f t="shared" ca="1" si="37"/>
        <v/>
      </c>
      <c r="F1629" s="4" t="s">
        <v>7</v>
      </c>
      <c r="G1629" s="2">
        <f>IF(ISNUMBER(SEARCH(Лист2!$B$4,F:F)),1,0)</f>
        <v>0</v>
      </c>
      <c r="H1629" s="3">
        <f ca="1">IF(AND(I1629&lt;&gt;I1628,ISNUMBER(SEARCH(Лист2!$B$5,I:I)),G1629=1),MAX($H$3:OFFSET(H1629,-1,0))+1,0)</f>
        <v>0</v>
      </c>
      <c r="I1629" s="3" t="s">
        <v>195</v>
      </c>
      <c r="K1629" s="2">
        <f>IF(ISNUMBER(SEARCH(Лист2!$B$4,F:F)),1,0)</f>
        <v>0</v>
      </c>
      <c r="L1629" s="14">
        <f>IF(ISNUMBER(SEARCH(Лист2!$B$5,I:I)),1,0)+K1629</f>
        <v>0</v>
      </c>
      <c r="M1629" s="3">
        <f ca="1">IF(AND(N1629&lt;&gt;N1628,ISNUMBER(SEARCH(Лист2!$B$6,N:N)),L1629=2),MAX($M$3:OFFSET(M1629,-1,0))+1,0)</f>
        <v>0</v>
      </c>
      <c r="N1629" s="3" t="s">
        <v>1467</v>
      </c>
    </row>
    <row r="1630" spans="1:14" x14ac:dyDescent="0.25">
      <c r="A1630" s="1" t="s">
        <v>11037</v>
      </c>
      <c r="B1630" s="3" t="s">
        <v>5254</v>
      </c>
      <c r="C1630" s="2">
        <f ca="1">IF(ISNUMBER(SEARCH(Лист2!$B$4,D:D)),MAX($C$3:OFFSET(C1630,-1,0))+1,0)</f>
        <v>0</v>
      </c>
      <c r="E1630" s="9" t="str">
        <f t="shared" ca="1" si="37"/>
        <v/>
      </c>
      <c r="F1630" s="4" t="s">
        <v>7</v>
      </c>
      <c r="G1630" s="2">
        <f>IF(ISNUMBER(SEARCH(Лист2!$B$4,F:F)),1,0)</f>
        <v>0</v>
      </c>
      <c r="H1630" s="3">
        <f ca="1">IF(AND(I1630&lt;&gt;I1629,ISNUMBER(SEARCH(Лист2!$B$5,I:I)),G1630=1),MAX($H$3:OFFSET(H1630,-1,0))+1,0)</f>
        <v>0</v>
      </c>
      <c r="I1630" s="3" t="s">
        <v>195</v>
      </c>
      <c r="K1630" s="2">
        <f>IF(ISNUMBER(SEARCH(Лист2!$B$4,F:F)),1,0)</f>
        <v>0</v>
      </c>
      <c r="L1630" s="14">
        <f>IF(ISNUMBER(SEARCH(Лист2!$B$5,I:I)),1,0)+K1630</f>
        <v>0</v>
      </c>
      <c r="M1630" s="3">
        <f ca="1">IF(AND(N1630&lt;&gt;N1629,ISNUMBER(SEARCH(Лист2!$B$6,N:N)),L1630=2),MAX($M$3:OFFSET(M1630,-1,0))+1,0)</f>
        <v>0</v>
      </c>
      <c r="N1630" s="3" t="s">
        <v>1468</v>
      </c>
    </row>
    <row r="1631" spans="1:14" x14ac:dyDescent="0.25">
      <c r="A1631" s="1" t="s">
        <v>11037</v>
      </c>
      <c r="B1631" s="3" t="s">
        <v>5255</v>
      </c>
      <c r="C1631" s="2">
        <f ca="1">IF(ISNUMBER(SEARCH(Лист2!$B$4,D:D)),MAX($C$3:OFFSET(C1631,-1,0))+1,0)</f>
        <v>0</v>
      </c>
      <c r="E1631" s="9" t="str">
        <f t="shared" ca="1" si="37"/>
        <v/>
      </c>
      <c r="F1631" s="4" t="s">
        <v>7</v>
      </c>
      <c r="G1631" s="2">
        <f>IF(ISNUMBER(SEARCH(Лист2!$B$4,F:F)),1,0)</f>
        <v>0</v>
      </c>
      <c r="H1631" s="3">
        <f ca="1">IF(AND(I1631&lt;&gt;I1630,ISNUMBER(SEARCH(Лист2!$B$5,I:I)),G1631=1),MAX($H$3:OFFSET(H1631,-1,0))+1,0)</f>
        <v>0</v>
      </c>
      <c r="I1631" s="3" t="s">
        <v>195</v>
      </c>
      <c r="K1631" s="2">
        <f>IF(ISNUMBER(SEARCH(Лист2!$B$4,F:F)),1,0)</f>
        <v>0</v>
      </c>
      <c r="L1631" s="14">
        <f>IF(ISNUMBER(SEARCH(Лист2!$B$5,I:I)),1,0)+K1631</f>
        <v>0</v>
      </c>
      <c r="M1631" s="3">
        <f ca="1">IF(AND(N1631&lt;&gt;N1630,ISNUMBER(SEARCH(Лист2!$B$6,N:N)),L1631=2),MAX($M$3:OFFSET(M1631,-1,0))+1,0)</f>
        <v>0</v>
      </c>
      <c r="N1631" s="3" t="s">
        <v>1468</v>
      </c>
    </row>
    <row r="1632" spans="1:14" x14ac:dyDescent="0.25">
      <c r="A1632" s="1" t="s">
        <v>11037</v>
      </c>
      <c r="B1632" s="3" t="s">
        <v>5256</v>
      </c>
      <c r="C1632" s="2">
        <f ca="1">IF(ISNUMBER(SEARCH(Лист2!$B$4,D:D)),MAX($C$3:OFFSET(C1632,-1,0))+1,0)</f>
        <v>0</v>
      </c>
      <c r="E1632" s="9" t="str">
        <f t="shared" ca="1" si="37"/>
        <v/>
      </c>
      <c r="F1632" s="4" t="s">
        <v>7</v>
      </c>
      <c r="G1632" s="2">
        <f>IF(ISNUMBER(SEARCH(Лист2!$B$4,F:F)),1,0)</f>
        <v>0</v>
      </c>
      <c r="H1632" s="3">
        <f ca="1">IF(AND(I1632&lt;&gt;I1631,ISNUMBER(SEARCH(Лист2!$B$5,I:I)),G1632=1),MAX($H$3:OFFSET(H1632,-1,0))+1,0)</f>
        <v>0</v>
      </c>
      <c r="I1632" s="3" t="s">
        <v>195</v>
      </c>
      <c r="K1632" s="2">
        <f>IF(ISNUMBER(SEARCH(Лист2!$B$4,F:F)),1,0)</f>
        <v>0</v>
      </c>
      <c r="L1632" s="14">
        <f>IF(ISNUMBER(SEARCH(Лист2!$B$5,I:I)),1,0)+K1632</f>
        <v>0</v>
      </c>
      <c r="M1632" s="3">
        <f ca="1">IF(AND(N1632&lt;&gt;N1631,ISNUMBER(SEARCH(Лист2!$B$6,N:N)),L1632=2),MAX($M$3:OFFSET(M1632,-1,0))+1,0)</f>
        <v>0</v>
      </c>
      <c r="N1632" s="3" t="s">
        <v>1468</v>
      </c>
    </row>
    <row r="1633" spans="1:14" x14ac:dyDescent="0.25">
      <c r="A1633" s="1" t="s">
        <v>11038</v>
      </c>
      <c r="B1633" s="3" t="s">
        <v>5257</v>
      </c>
      <c r="C1633" s="2">
        <f ca="1">IF(ISNUMBER(SEARCH(Лист2!$B$4,D:D)),MAX($C$3:OFFSET(C1633,-1,0))+1,0)</f>
        <v>0</v>
      </c>
      <c r="E1633" s="9" t="str">
        <f t="shared" ca="1" si="37"/>
        <v/>
      </c>
      <c r="F1633" s="4" t="s">
        <v>7</v>
      </c>
      <c r="G1633" s="2">
        <f>IF(ISNUMBER(SEARCH(Лист2!$B$4,F:F)),1,0)</f>
        <v>0</v>
      </c>
      <c r="H1633" s="3">
        <f ca="1">IF(AND(I1633&lt;&gt;I1632,ISNUMBER(SEARCH(Лист2!$B$5,I:I)),G1633=1),MAX($H$3:OFFSET(H1633,-1,0))+1,0)</f>
        <v>0</v>
      </c>
      <c r="I1633" s="3" t="s">
        <v>195</v>
      </c>
      <c r="K1633" s="2">
        <f>IF(ISNUMBER(SEARCH(Лист2!$B$4,F:F)),1,0)</f>
        <v>0</v>
      </c>
      <c r="L1633" s="14">
        <f>IF(ISNUMBER(SEARCH(Лист2!$B$5,I:I)),1,0)+K1633</f>
        <v>0</v>
      </c>
      <c r="M1633" s="3">
        <f ca="1">IF(AND(N1633&lt;&gt;N1632,ISNUMBER(SEARCH(Лист2!$B$6,N:N)),L1633=2),MAX($M$3:OFFSET(M1633,-1,0))+1,0)</f>
        <v>0</v>
      </c>
      <c r="N1633" s="3" t="s">
        <v>1469</v>
      </c>
    </row>
    <row r="1634" spans="1:14" x14ac:dyDescent="0.25">
      <c r="A1634" s="1" t="s">
        <v>11038</v>
      </c>
      <c r="B1634" s="3" t="s">
        <v>5258</v>
      </c>
      <c r="C1634" s="2">
        <f ca="1">IF(ISNUMBER(SEARCH(Лист2!$B$4,D:D)),MAX($C$3:OFFSET(C1634,-1,0))+1,0)</f>
        <v>0</v>
      </c>
      <c r="E1634" s="9" t="str">
        <f t="shared" ca="1" si="37"/>
        <v/>
      </c>
      <c r="F1634" s="4" t="s">
        <v>7</v>
      </c>
      <c r="G1634" s="2">
        <f>IF(ISNUMBER(SEARCH(Лист2!$B$4,F:F)),1,0)</f>
        <v>0</v>
      </c>
      <c r="H1634" s="3">
        <f ca="1">IF(AND(I1634&lt;&gt;I1633,ISNUMBER(SEARCH(Лист2!$B$5,I:I)),G1634=1),MAX($H$3:OFFSET(H1634,-1,0))+1,0)</f>
        <v>0</v>
      </c>
      <c r="I1634" s="3" t="s">
        <v>195</v>
      </c>
      <c r="K1634" s="2">
        <f>IF(ISNUMBER(SEARCH(Лист2!$B$4,F:F)),1,0)</f>
        <v>0</v>
      </c>
      <c r="L1634" s="14">
        <f>IF(ISNUMBER(SEARCH(Лист2!$B$5,I:I)),1,0)+K1634</f>
        <v>0</v>
      </c>
      <c r="M1634" s="3">
        <f ca="1">IF(AND(N1634&lt;&gt;N1633,ISNUMBER(SEARCH(Лист2!$B$6,N:N)),L1634=2),MAX($M$3:OFFSET(M1634,-1,0))+1,0)</f>
        <v>0</v>
      </c>
      <c r="N1634" s="3" t="s">
        <v>1469</v>
      </c>
    </row>
    <row r="1635" spans="1:14" x14ac:dyDescent="0.25">
      <c r="A1635" s="1" t="s">
        <v>11038</v>
      </c>
      <c r="B1635" s="3" t="s">
        <v>5259</v>
      </c>
      <c r="C1635" s="2">
        <f ca="1">IF(ISNUMBER(SEARCH(Лист2!$B$4,D:D)),MAX($C$3:OFFSET(C1635,-1,0))+1,0)</f>
        <v>0</v>
      </c>
      <c r="E1635" s="9" t="str">
        <f t="shared" ca="1" si="37"/>
        <v/>
      </c>
      <c r="F1635" s="4" t="s">
        <v>7</v>
      </c>
      <c r="G1635" s="2">
        <f>IF(ISNUMBER(SEARCH(Лист2!$B$4,F:F)),1,0)</f>
        <v>0</v>
      </c>
      <c r="H1635" s="3">
        <f ca="1">IF(AND(I1635&lt;&gt;I1634,ISNUMBER(SEARCH(Лист2!$B$5,I:I)),G1635=1),MAX($H$3:OFFSET(H1635,-1,0))+1,0)</f>
        <v>0</v>
      </c>
      <c r="I1635" s="3" t="s">
        <v>195</v>
      </c>
      <c r="K1635" s="2">
        <f>IF(ISNUMBER(SEARCH(Лист2!$B$4,F:F)),1,0)</f>
        <v>0</v>
      </c>
      <c r="L1635" s="14">
        <f>IF(ISNUMBER(SEARCH(Лист2!$B$5,I:I)),1,0)+K1635</f>
        <v>0</v>
      </c>
      <c r="M1635" s="3">
        <f ca="1">IF(AND(N1635&lt;&gt;N1634,ISNUMBER(SEARCH(Лист2!$B$6,N:N)),L1635=2),MAX($M$3:OFFSET(M1635,-1,0))+1,0)</f>
        <v>0</v>
      </c>
      <c r="N1635" s="3" t="s">
        <v>1469</v>
      </c>
    </row>
    <row r="1636" spans="1:14" x14ac:dyDescent="0.25">
      <c r="A1636" s="1" t="s">
        <v>11039</v>
      </c>
      <c r="B1636" s="3" t="s">
        <v>5260</v>
      </c>
      <c r="C1636" s="2">
        <f ca="1">IF(ISNUMBER(SEARCH(Лист2!$B$4,D:D)),MAX($C$3:OFFSET(C1636,-1,0))+1,0)</f>
        <v>0</v>
      </c>
      <c r="E1636" s="9" t="str">
        <f t="shared" ca="1" si="37"/>
        <v/>
      </c>
      <c r="F1636" s="4" t="s">
        <v>7</v>
      </c>
      <c r="G1636" s="2">
        <f>IF(ISNUMBER(SEARCH(Лист2!$B$4,F:F)),1,0)</f>
        <v>0</v>
      </c>
      <c r="H1636" s="3">
        <f ca="1">IF(AND(I1636&lt;&gt;I1635,ISNUMBER(SEARCH(Лист2!$B$5,I:I)),G1636=1),MAX($H$3:OFFSET(H1636,-1,0))+1,0)</f>
        <v>0</v>
      </c>
      <c r="I1636" s="3" t="s">
        <v>195</v>
      </c>
      <c r="K1636" s="2">
        <f>IF(ISNUMBER(SEARCH(Лист2!$B$4,F:F)),1,0)</f>
        <v>0</v>
      </c>
      <c r="L1636" s="14">
        <f>IF(ISNUMBER(SEARCH(Лист2!$B$5,I:I)),1,0)+K1636</f>
        <v>0</v>
      </c>
      <c r="M1636" s="3">
        <f ca="1">IF(AND(N1636&lt;&gt;N1635,ISNUMBER(SEARCH(Лист2!$B$6,N:N)),L1636=2),MAX($M$3:OFFSET(M1636,-1,0))+1,0)</f>
        <v>0</v>
      </c>
      <c r="N1636" s="3" t="s">
        <v>602</v>
      </c>
    </row>
    <row r="1637" spans="1:14" x14ac:dyDescent="0.25">
      <c r="A1637" s="1" t="s">
        <v>11040</v>
      </c>
      <c r="B1637" s="3" t="s">
        <v>5261</v>
      </c>
      <c r="C1637" s="2">
        <f ca="1">IF(ISNUMBER(SEARCH(Лист2!$B$4,D:D)),MAX($C$3:OFFSET(C1637,-1,0))+1,0)</f>
        <v>0</v>
      </c>
      <c r="E1637" s="9" t="str">
        <f t="shared" ca="1" si="37"/>
        <v/>
      </c>
      <c r="F1637" s="4" t="s">
        <v>7</v>
      </c>
      <c r="G1637" s="2">
        <f>IF(ISNUMBER(SEARCH(Лист2!$B$4,F:F)),1,0)</f>
        <v>0</v>
      </c>
      <c r="H1637" s="3">
        <f ca="1">IF(AND(I1637&lt;&gt;I1636,ISNUMBER(SEARCH(Лист2!$B$5,I:I)),G1637=1),MAX($H$3:OFFSET(H1637,-1,0))+1,0)</f>
        <v>0</v>
      </c>
      <c r="I1637" s="3" t="s">
        <v>195</v>
      </c>
      <c r="K1637" s="2">
        <f>IF(ISNUMBER(SEARCH(Лист2!$B$4,F:F)),1,0)</f>
        <v>0</v>
      </c>
      <c r="L1637" s="14">
        <f>IF(ISNUMBER(SEARCH(Лист2!$B$5,I:I)),1,0)+K1637</f>
        <v>0</v>
      </c>
      <c r="M1637" s="3">
        <f ca="1">IF(AND(N1637&lt;&gt;N1636,ISNUMBER(SEARCH(Лист2!$B$6,N:N)),L1637=2),MAX($M$3:OFFSET(M1637,-1,0))+1,0)</f>
        <v>0</v>
      </c>
      <c r="N1637" s="3" t="s">
        <v>1470</v>
      </c>
    </row>
    <row r="1638" spans="1:14" x14ac:dyDescent="0.25">
      <c r="A1638" s="1" t="s">
        <v>11113</v>
      </c>
      <c r="B1638" s="3" t="s">
        <v>5262</v>
      </c>
      <c r="C1638" s="2">
        <f ca="1">IF(ISNUMBER(SEARCH(Лист2!$B$4,D:D)),MAX($C$3:OFFSET(C1638,-1,0))+1,0)</f>
        <v>0</v>
      </c>
      <c r="E1638" s="9" t="str">
        <f t="shared" ca="1" si="37"/>
        <v/>
      </c>
      <c r="F1638" s="4" t="s">
        <v>7</v>
      </c>
      <c r="G1638" s="2">
        <f>IF(ISNUMBER(SEARCH(Лист2!$B$4,F:F)),1,0)</f>
        <v>0</v>
      </c>
      <c r="H1638" s="3">
        <f ca="1">IF(AND(I1638&lt;&gt;I1637,ISNUMBER(SEARCH(Лист2!$B$5,I:I)),G1638=1),MAX($H$3:OFFSET(H1638,-1,0))+1,0)</f>
        <v>0</v>
      </c>
      <c r="I1638" s="3" t="s">
        <v>202</v>
      </c>
      <c r="K1638" s="2">
        <f>IF(ISNUMBER(SEARCH(Лист2!$B$4,F:F)),1,0)</f>
        <v>0</v>
      </c>
      <c r="L1638" s="14">
        <f>IF(ISNUMBER(SEARCH(Лист2!$B$5,I:I)),1,0)+K1638</f>
        <v>0</v>
      </c>
      <c r="M1638" s="3">
        <f ca="1">IF(AND(N1638&lt;&gt;N1637,ISNUMBER(SEARCH(Лист2!$B$6,N:N)),L1638=2),MAX($M$3:OFFSET(M1638,-1,0))+1,0)</f>
        <v>0</v>
      </c>
      <c r="N1638" s="3" t="s">
        <v>1477</v>
      </c>
    </row>
    <row r="1639" spans="1:14" x14ac:dyDescent="0.25">
      <c r="A1639" s="1" t="s">
        <v>11114</v>
      </c>
      <c r="B1639" s="3" t="s">
        <v>5263</v>
      </c>
      <c r="C1639" s="2">
        <f ca="1">IF(ISNUMBER(SEARCH(Лист2!$B$4,D:D)),MAX($C$3:OFFSET(C1639,-1,0))+1,0)</f>
        <v>0</v>
      </c>
      <c r="E1639" s="9" t="str">
        <f t="shared" ca="1" si="37"/>
        <v/>
      </c>
      <c r="F1639" s="4" t="s">
        <v>7</v>
      </c>
      <c r="G1639" s="2">
        <f>IF(ISNUMBER(SEARCH(Лист2!$B$4,F:F)),1,0)</f>
        <v>0</v>
      </c>
      <c r="H1639" s="3">
        <f ca="1">IF(AND(I1639&lt;&gt;I1638,ISNUMBER(SEARCH(Лист2!$B$5,I:I)),G1639=1),MAX($H$3:OFFSET(H1639,-1,0))+1,0)</f>
        <v>0</v>
      </c>
      <c r="I1639" s="3" t="s">
        <v>202</v>
      </c>
      <c r="K1639" s="2">
        <f>IF(ISNUMBER(SEARCH(Лист2!$B$4,F:F)),1,0)</f>
        <v>0</v>
      </c>
      <c r="L1639" s="14">
        <f>IF(ISNUMBER(SEARCH(Лист2!$B$5,I:I)),1,0)+K1639</f>
        <v>0</v>
      </c>
      <c r="M1639" s="3">
        <f ca="1">IF(AND(N1639&lt;&gt;N1638,ISNUMBER(SEARCH(Лист2!$B$6,N:N)),L1639=2),MAX($M$3:OFFSET(M1639,-1,0))+1,0)</f>
        <v>0</v>
      </c>
      <c r="N1639" s="3" t="s">
        <v>1478</v>
      </c>
    </row>
    <row r="1640" spans="1:14" x14ac:dyDescent="0.25">
      <c r="A1640" s="1" t="s">
        <v>11115</v>
      </c>
      <c r="B1640" s="3" t="s">
        <v>5264</v>
      </c>
      <c r="C1640" s="2">
        <f ca="1">IF(ISNUMBER(SEARCH(Лист2!$B$4,D:D)),MAX($C$3:OFFSET(C1640,-1,0))+1,0)</f>
        <v>0</v>
      </c>
      <c r="E1640" s="9" t="str">
        <f t="shared" ca="1" si="37"/>
        <v/>
      </c>
      <c r="F1640" s="4" t="s">
        <v>7</v>
      </c>
      <c r="G1640" s="2">
        <f>IF(ISNUMBER(SEARCH(Лист2!$B$4,F:F)),1,0)</f>
        <v>0</v>
      </c>
      <c r="H1640" s="3">
        <f ca="1">IF(AND(I1640&lt;&gt;I1639,ISNUMBER(SEARCH(Лист2!$B$5,I:I)),G1640=1),MAX($H$3:OFFSET(H1640,-1,0))+1,0)</f>
        <v>0</v>
      </c>
      <c r="I1640" s="3" t="s">
        <v>202</v>
      </c>
      <c r="K1640" s="2">
        <f>IF(ISNUMBER(SEARCH(Лист2!$B$4,F:F)),1,0)</f>
        <v>0</v>
      </c>
      <c r="L1640" s="14">
        <f>IF(ISNUMBER(SEARCH(Лист2!$B$5,I:I)),1,0)+K1640</f>
        <v>0</v>
      </c>
      <c r="M1640" s="3">
        <f ca="1">IF(AND(N1640&lt;&gt;N1639,ISNUMBER(SEARCH(Лист2!$B$6,N:N)),L1640=2),MAX($M$3:OFFSET(M1640,-1,0))+1,0)</f>
        <v>0</v>
      </c>
      <c r="N1640" s="3" t="s">
        <v>1479</v>
      </c>
    </row>
    <row r="1641" spans="1:14" x14ac:dyDescent="0.25">
      <c r="A1641" s="1" t="s">
        <v>11116</v>
      </c>
      <c r="B1641" s="3" t="s">
        <v>5265</v>
      </c>
      <c r="C1641" s="2">
        <f ca="1">IF(ISNUMBER(SEARCH(Лист2!$B$4,D:D)),MAX($C$3:OFFSET(C1641,-1,0))+1,0)</f>
        <v>0</v>
      </c>
      <c r="E1641" s="9" t="str">
        <f t="shared" ca="1" si="37"/>
        <v/>
      </c>
      <c r="F1641" s="4" t="s">
        <v>7</v>
      </c>
      <c r="G1641" s="2">
        <f>IF(ISNUMBER(SEARCH(Лист2!$B$4,F:F)),1,0)</f>
        <v>0</v>
      </c>
      <c r="H1641" s="3">
        <f ca="1">IF(AND(I1641&lt;&gt;I1640,ISNUMBER(SEARCH(Лист2!$B$5,I:I)),G1641=1),MAX($H$3:OFFSET(H1641,-1,0))+1,0)</f>
        <v>0</v>
      </c>
      <c r="I1641" s="3" t="s">
        <v>202</v>
      </c>
      <c r="K1641" s="2">
        <f>IF(ISNUMBER(SEARCH(Лист2!$B$4,F:F)),1,0)</f>
        <v>0</v>
      </c>
      <c r="L1641" s="14">
        <f>IF(ISNUMBER(SEARCH(Лист2!$B$5,I:I)),1,0)+K1641</f>
        <v>0</v>
      </c>
      <c r="M1641" s="3">
        <f ca="1">IF(AND(N1641&lt;&gt;N1640,ISNUMBER(SEARCH(Лист2!$B$6,N:N)),L1641=2),MAX($M$3:OFFSET(M1641,-1,0))+1,0)</f>
        <v>0</v>
      </c>
      <c r="N1641" s="3" t="s">
        <v>1480</v>
      </c>
    </row>
    <row r="1642" spans="1:14" x14ac:dyDescent="0.25">
      <c r="A1642" s="1" t="s">
        <v>11117</v>
      </c>
      <c r="B1642" s="3" t="s">
        <v>5266</v>
      </c>
      <c r="C1642" s="2">
        <f ca="1">IF(ISNUMBER(SEARCH(Лист2!$B$4,D:D)),MAX($C$3:OFFSET(C1642,-1,0))+1,0)</f>
        <v>0</v>
      </c>
      <c r="E1642" s="9" t="str">
        <f t="shared" ca="1" si="37"/>
        <v/>
      </c>
      <c r="F1642" s="4" t="s">
        <v>7</v>
      </c>
      <c r="G1642" s="2">
        <f>IF(ISNUMBER(SEARCH(Лист2!$B$4,F:F)),1,0)</f>
        <v>0</v>
      </c>
      <c r="H1642" s="3">
        <f ca="1">IF(AND(I1642&lt;&gt;I1641,ISNUMBER(SEARCH(Лист2!$B$5,I:I)),G1642=1),MAX($H$3:OFFSET(H1642,-1,0))+1,0)</f>
        <v>0</v>
      </c>
      <c r="I1642" s="3" t="s">
        <v>202</v>
      </c>
      <c r="K1642" s="2">
        <f>IF(ISNUMBER(SEARCH(Лист2!$B$4,F:F)),1,0)</f>
        <v>0</v>
      </c>
      <c r="L1642" s="14">
        <f>IF(ISNUMBER(SEARCH(Лист2!$B$5,I:I)),1,0)+K1642</f>
        <v>0</v>
      </c>
      <c r="M1642" s="3">
        <f ca="1">IF(AND(N1642&lt;&gt;N1641,ISNUMBER(SEARCH(Лист2!$B$6,N:N)),L1642=2),MAX($M$3:OFFSET(M1642,-1,0))+1,0)</f>
        <v>0</v>
      </c>
      <c r="N1642" s="3" t="s">
        <v>1481</v>
      </c>
    </row>
    <row r="1643" spans="1:14" x14ac:dyDescent="0.25">
      <c r="A1643" s="1" t="s">
        <v>11118</v>
      </c>
      <c r="B1643" s="3" t="s">
        <v>5267</v>
      </c>
      <c r="C1643" s="2">
        <f ca="1">IF(ISNUMBER(SEARCH(Лист2!$B$4,D:D)),MAX($C$3:OFFSET(C1643,-1,0))+1,0)</f>
        <v>0</v>
      </c>
      <c r="E1643" s="9" t="str">
        <f t="shared" ca="1" si="37"/>
        <v/>
      </c>
      <c r="F1643" s="4" t="s">
        <v>7</v>
      </c>
      <c r="G1643" s="2">
        <f>IF(ISNUMBER(SEARCH(Лист2!$B$4,F:F)),1,0)</f>
        <v>0</v>
      </c>
      <c r="H1643" s="3">
        <f ca="1">IF(AND(I1643&lt;&gt;I1642,ISNUMBER(SEARCH(Лист2!$B$5,I:I)),G1643=1),MAX($H$3:OFFSET(H1643,-1,0))+1,0)</f>
        <v>0</v>
      </c>
      <c r="I1643" s="3" t="s">
        <v>202</v>
      </c>
      <c r="K1643" s="2">
        <f>IF(ISNUMBER(SEARCH(Лист2!$B$4,F:F)),1,0)</f>
        <v>0</v>
      </c>
      <c r="L1643" s="14">
        <f>IF(ISNUMBER(SEARCH(Лист2!$B$5,I:I)),1,0)+K1643</f>
        <v>0</v>
      </c>
      <c r="M1643" s="3">
        <f ca="1">IF(AND(N1643&lt;&gt;N1642,ISNUMBER(SEARCH(Лист2!$B$6,N:N)),L1643=2),MAX($M$3:OFFSET(M1643,-1,0))+1,0)</f>
        <v>0</v>
      </c>
      <c r="N1643" s="3" t="s">
        <v>1482</v>
      </c>
    </row>
    <row r="1644" spans="1:14" x14ac:dyDescent="0.25">
      <c r="A1644" s="1" t="s">
        <v>11119</v>
      </c>
      <c r="B1644" s="3" t="s">
        <v>5268</v>
      </c>
      <c r="C1644" s="2">
        <f ca="1">IF(ISNUMBER(SEARCH(Лист2!$B$4,D:D)),MAX($C$3:OFFSET(C1644,-1,0))+1,0)</f>
        <v>0</v>
      </c>
      <c r="E1644" s="9" t="str">
        <f t="shared" ca="1" si="37"/>
        <v/>
      </c>
      <c r="F1644" s="4" t="s">
        <v>7</v>
      </c>
      <c r="G1644" s="2">
        <f>IF(ISNUMBER(SEARCH(Лист2!$B$4,F:F)),1,0)</f>
        <v>0</v>
      </c>
      <c r="H1644" s="3">
        <f ca="1">IF(AND(I1644&lt;&gt;I1643,ISNUMBER(SEARCH(Лист2!$B$5,I:I)),G1644=1),MAX($H$3:OFFSET(H1644,-1,0))+1,0)</f>
        <v>0</v>
      </c>
      <c r="I1644" s="3" t="s">
        <v>202</v>
      </c>
      <c r="K1644" s="2">
        <f>IF(ISNUMBER(SEARCH(Лист2!$B$4,F:F)),1,0)</f>
        <v>0</v>
      </c>
      <c r="L1644" s="14">
        <f>IF(ISNUMBER(SEARCH(Лист2!$B$5,I:I)),1,0)+K1644</f>
        <v>0</v>
      </c>
      <c r="M1644" s="3">
        <f ca="1">IF(AND(N1644&lt;&gt;N1643,ISNUMBER(SEARCH(Лист2!$B$6,N:N)),L1644=2),MAX($M$3:OFFSET(M1644,-1,0))+1,0)</f>
        <v>0</v>
      </c>
      <c r="N1644" s="3" t="s">
        <v>1483</v>
      </c>
    </row>
    <row r="1645" spans="1:14" x14ac:dyDescent="0.25">
      <c r="A1645" s="1" t="s">
        <v>11120</v>
      </c>
      <c r="B1645" s="3" t="s">
        <v>5269</v>
      </c>
      <c r="C1645" s="2">
        <f ca="1">IF(ISNUMBER(SEARCH(Лист2!$B$4,D:D)),MAX($C$3:OFFSET(C1645,-1,0))+1,0)</f>
        <v>0</v>
      </c>
      <c r="E1645" s="9" t="str">
        <f t="shared" ca="1" si="37"/>
        <v/>
      </c>
      <c r="F1645" s="4" t="s">
        <v>7</v>
      </c>
      <c r="G1645" s="2">
        <f>IF(ISNUMBER(SEARCH(Лист2!$B$4,F:F)),1,0)</f>
        <v>0</v>
      </c>
      <c r="H1645" s="3">
        <f ca="1">IF(AND(I1645&lt;&gt;I1644,ISNUMBER(SEARCH(Лист2!$B$5,I:I)),G1645=1),MAX($H$3:OFFSET(H1645,-1,0))+1,0)</f>
        <v>0</v>
      </c>
      <c r="I1645" s="3" t="s">
        <v>202</v>
      </c>
      <c r="K1645" s="2">
        <f>IF(ISNUMBER(SEARCH(Лист2!$B$4,F:F)),1,0)</f>
        <v>0</v>
      </c>
      <c r="L1645" s="14">
        <f>IF(ISNUMBER(SEARCH(Лист2!$B$5,I:I)),1,0)+K1645</f>
        <v>0</v>
      </c>
      <c r="M1645" s="3">
        <f ca="1">IF(AND(N1645&lt;&gt;N1644,ISNUMBER(SEARCH(Лист2!$B$6,N:N)),L1645=2),MAX($M$3:OFFSET(M1645,-1,0))+1,0)</f>
        <v>0</v>
      </c>
      <c r="N1645" s="3" t="s">
        <v>1484</v>
      </c>
    </row>
    <row r="1646" spans="1:14" x14ac:dyDescent="0.25">
      <c r="A1646" s="1" t="s">
        <v>11121</v>
      </c>
      <c r="B1646" s="3" t="s">
        <v>5270</v>
      </c>
      <c r="C1646" s="2">
        <f ca="1">IF(ISNUMBER(SEARCH(Лист2!$B$4,D:D)),MAX($C$3:OFFSET(C1646,-1,0))+1,0)</f>
        <v>0</v>
      </c>
      <c r="E1646" s="9" t="str">
        <f t="shared" ca="1" si="37"/>
        <v/>
      </c>
      <c r="F1646" s="4" t="s">
        <v>7</v>
      </c>
      <c r="G1646" s="2">
        <f>IF(ISNUMBER(SEARCH(Лист2!$B$4,F:F)),1,0)</f>
        <v>0</v>
      </c>
      <c r="H1646" s="3">
        <f ca="1">IF(AND(I1646&lt;&gt;I1645,ISNUMBER(SEARCH(Лист2!$B$5,I:I)),G1646=1),MAX($H$3:OFFSET(H1646,-1,0))+1,0)</f>
        <v>0</v>
      </c>
      <c r="I1646" s="3" t="s">
        <v>202</v>
      </c>
      <c r="K1646" s="2">
        <f>IF(ISNUMBER(SEARCH(Лист2!$B$4,F:F)),1,0)</f>
        <v>0</v>
      </c>
      <c r="L1646" s="14">
        <f>IF(ISNUMBER(SEARCH(Лист2!$B$5,I:I)),1,0)+K1646</f>
        <v>0</v>
      </c>
      <c r="M1646" s="3">
        <f ca="1">IF(AND(N1646&lt;&gt;N1645,ISNUMBER(SEARCH(Лист2!$B$6,N:N)),L1646=2),MAX($M$3:OFFSET(M1646,-1,0))+1,0)</f>
        <v>0</v>
      </c>
      <c r="N1646" s="3" t="s">
        <v>1412</v>
      </c>
    </row>
    <row r="1647" spans="1:14" x14ac:dyDescent="0.25">
      <c r="A1647" s="1" t="s">
        <v>11122</v>
      </c>
      <c r="B1647" s="3" t="s">
        <v>5271</v>
      </c>
      <c r="C1647" s="2">
        <f ca="1">IF(ISNUMBER(SEARCH(Лист2!$B$4,D:D)),MAX($C$3:OFFSET(C1647,-1,0))+1,0)</f>
        <v>0</v>
      </c>
      <c r="E1647" s="9" t="str">
        <f t="shared" ca="1" si="37"/>
        <v/>
      </c>
      <c r="F1647" s="4" t="s">
        <v>7</v>
      </c>
      <c r="G1647" s="2">
        <f>IF(ISNUMBER(SEARCH(Лист2!$B$4,F:F)),1,0)</f>
        <v>0</v>
      </c>
      <c r="H1647" s="3">
        <f ca="1">IF(AND(I1647&lt;&gt;I1646,ISNUMBER(SEARCH(Лист2!$B$5,I:I)),G1647=1),MAX($H$3:OFFSET(H1647,-1,0))+1,0)</f>
        <v>0</v>
      </c>
      <c r="I1647" s="3" t="s">
        <v>202</v>
      </c>
      <c r="K1647" s="2">
        <f>IF(ISNUMBER(SEARCH(Лист2!$B$4,F:F)),1,0)</f>
        <v>0</v>
      </c>
      <c r="L1647" s="14">
        <f>IF(ISNUMBER(SEARCH(Лист2!$B$5,I:I)),1,0)+K1647</f>
        <v>0</v>
      </c>
      <c r="M1647" s="3">
        <f ca="1">IF(AND(N1647&lt;&gt;N1646,ISNUMBER(SEARCH(Лист2!$B$6,N:N)),L1647=2),MAX($M$3:OFFSET(M1647,-1,0))+1,0)</f>
        <v>0</v>
      </c>
      <c r="N1647" s="3" t="s">
        <v>1413</v>
      </c>
    </row>
    <row r="1648" spans="1:14" x14ac:dyDescent="0.25">
      <c r="A1648" s="1" t="s">
        <v>11123</v>
      </c>
      <c r="B1648" s="3" t="s">
        <v>5272</v>
      </c>
      <c r="C1648" s="2">
        <f ca="1">IF(ISNUMBER(SEARCH(Лист2!$B$4,D:D)),MAX($C$3:OFFSET(C1648,-1,0))+1,0)</f>
        <v>0</v>
      </c>
      <c r="E1648" s="9" t="str">
        <f t="shared" ca="1" si="37"/>
        <v/>
      </c>
      <c r="F1648" s="4" t="s">
        <v>7</v>
      </c>
      <c r="G1648" s="2">
        <f>IF(ISNUMBER(SEARCH(Лист2!$B$4,F:F)),1,0)</f>
        <v>0</v>
      </c>
      <c r="H1648" s="3">
        <f ca="1">IF(AND(I1648&lt;&gt;I1647,ISNUMBER(SEARCH(Лист2!$B$5,I:I)),G1648=1),MAX($H$3:OFFSET(H1648,-1,0))+1,0)</f>
        <v>0</v>
      </c>
      <c r="I1648" s="3" t="s">
        <v>202</v>
      </c>
      <c r="K1648" s="2">
        <f>IF(ISNUMBER(SEARCH(Лист2!$B$4,F:F)),1,0)</f>
        <v>0</v>
      </c>
      <c r="L1648" s="14">
        <f>IF(ISNUMBER(SEARCH(Лист2!$B$5,I:I)),1,0)+K1648</f>
        <v>0</v>
      </c>
      <c r="M1648" s="3">
        <f ca="1">IF(AND(N1648&lt;&gt;N1647,ISNUMBER(SEARCH(Лист2!$B$6,N:N)),L1648=2),MAX($M$3:OFFSET(M1648,-1,0))+1,0)</f>
        <v>0</v>
      </c>
      <c r="N1648" s="3" t="s">
        <v>602</v>
      </c>
    </row>
    <row r="1649" spans="1:14" x14ac:dyDescent="0.25">
      <c r="A1649" s="1" t="s">
        <v>11124</v>
      </c>
      <c r="B1649" s="3" t="s">
        <v>5273</v>
      </c>
      <c r="C1649" s="2">
        <f ca="1">IF(ISNUMBER(SEARCH(Лист2!$B$4,D:D)),MAX($C$3:OFFSET(C1649,-1,0))+1,0)</f>
        <v>0</v>
      </c>
      <c r="E1649" s="9" t="str">
        <f t="shared" ca="1" si="37"/>
        <v/>
      </c>
      <c r="F1649" s="4" t="s">
        <v>7</v>
      </c>
      <c r="G1649" s="2">
        <f>IF(ISNUMBER(SEARCH(Лист2!$B$4,F:F)),1,0)</f>
        <v>0</v>
      </c>
      <c r="H1649" s="3">
        <f ca="1">IF(AND(I1649&lt;&gt;I1648,ISNUMBER(SEARCH(Лист2!$B$5,I:I)),G1649=1),MAX($H$3:OFFSET(H1649,-1,0))+1,0)</f>
        <v>0</v>
      </c>
      <c r="I1649" s="3" t="s">
        <v>202</v>
      </c>
      <c r="K1649" s="2">
        <f>IF(ISNUMBER(SEARCH(Лист2!$B$4,F:F)),1,0)</f>
        <v>0</v>
      </c>
      <c r="L1649" s="14">
        <f>IF(ISNUMBER(SEARCH(Лист2!$B$5,I:I)),1,0)+K1649</f>
        <v>0</v>
      </c>
      <c r="M1649" s="3">
        <f ca="1">IF(AND(N1649&lt;&gt;N1648,ISNUMBER(SEARCH(Лист2!$B$6,N:N)),L1649=2),MAX($M$3:OFFSET(M1649,-1,0))+1,0)</f>
        <v>0</v>
      </c>
      <c r="N1649" s="3" t="s">
        <v>1485</v>
      </c>
    </row>
    <row r="1650" spans="1:14" x14ac:dyDescent="0.25">
      <c r="A1650" s="1" t="s">
        <v>11125</v>
      </c>
      <c r="B1650" s="3" t="s">
        <v>5274</v>
      </c>
      <c r="C1650" s="2">
        <f ca="1">IF(ISNUMBER(SEARCH(Лист2!$B$4,D:D)),MAX($C$3:OFFSET(C1650,-1,0))+1,0)</f>
        <v>0</v>
      </c>
      <c r="E1650" s="9" t="str">
        <f t="shared" ca="1" si="37"/>
        <v/>
      </c>
      <c r="F1650" s="4" t="s">
        <v>7</v>
      </c>
      <c r="G1650" s="2">
        <f>IF(ISNUMBER(SEARCH(Лист2!$B$4,F:F)),1,0)</f>
        <v>0</v>
      </c>
      <c r="H1650" s="3">
        <f ca="1">IF(AND(I1650&lt;&gt;I1649,ISNUMBER(SEARCH(Лист2!$B$5,I:I)),G1650=1),MAX($H$3:OFFSET(H1650,-1,0))+1,0)</f>
        <v>0</v>
      </c>
      <c r="I1650" s="3" t="s">
        <v>203</v>
      </c>
      <c r="K1650" s="2">
        <f>IF(ISNUMBER(SEARCH(Лист2!$B$4,F:F)),1,0)</f>
        <v>0</v>
      </c>
      <c r="L1650" s="14">
        <f>IF(ISNUMBER(SEARCH(Лист2!$B$5,I:I)),1,0)+K1650</f>
        <v>0</v>
      </c>
      <c r="M1650" s="3">
        <f ca="1">IF(AND(N1650&lt;&gt;N1649,ISNUMBER(SEARCH(Лист2!$B$6,N:N)),L1650=2),MAX($M$3:OFFSET(M1650,-1,0))+1,0)</f>
        <v>0</v>
      </c>
      <c r="N1650" s="3" t="s">
        <v>1522</v>
      </c>
    </row>
    <row r="1651" spans="1:14" x14ac:dyDescent="0.25">
      <c r="A1651" s="1" t="s">
        <v>11126</v>
      </c>
      <c r="B1651" s="3" t="s">
        <v>5275</v>
      </c>
      <c r="C1651" s="2">
        <f ca="1">IF(ISNUMBER(SEARCH(Лист2!$B$4,D:D)),MAX($C$3:OFFSET(C1651,-1,0))+1,0)</f>
        <v>0</v>
      </c>
      <c r="E1651" s="9" t="str">
        <f t="shared" ca="1" si="37"/>
        <v/>
      </c>
      <c r="F1651" s="4" t="s">
        <v>7</v>
      </c>
      <c r="G1651" s="2">
        <f>IF(ISNUMBER(SEARCH(Лист2!$B$4,F:F)),1,0)</f>
        <v>0</v>
      </c>
      <c r="H1651" s="3">
        <f ca="1">IF(AND(I1651&lt;&gt;I1650,ISNUMBER(SEARCH(Лист2!$B$5,I:I)),G1651=1),MAX($H$3:OFFSET(H1651,-1,0))+1,0)</f>
        <v>0</v>
      </c>
      <c r="I1651" s="3" t="s">
        <v>203</v>
      </c>
      <c r="K1651" s="2">
        <f>IF(ISNUMBER(SEARCH(Лист2!$B$4,F:F)),1,0)</f>
        <v>0</v>
      </c>
      <c r="L1651" s="14">
        <f>IF(ISNUMBER(SEARCH(Лист2!$B$5,I:I)),1,0)+K1651</f>
        <v>0</v>
      </c>
      <c r="M1651" s="3">
        <f ca="1">IF(AND(N1651&lt;&gt;N1650,ISNUMBER(SEARCH(Лист2!$B$6,N:N)),L1651=2),MAX($M$3:OFFSET(M1651,-1,0))+1,0)</f>
        <v>0</v>
      </c>
      <c r="N1651" s="3" t="s">
        <v>1523</v>
      </c>
    </row>
    <row r="1652" spans="1:14" x14ac:dyDescent="0.25">
      <c r="A1652" s="1" t="s">
        <v>11127</v>
      </c>
      <c r="B1652" s="3" t="s">
        <v>5276</v>
      </c>
      <c r="C1652" s="2">
        <f ca="1">IF(ISNUMBER(SEARCH(Лист2!$B$4,D:D)),MAX($C$3:OFFSET(C1652,-1,0))+1,0)</f>
        <v>0</v>
      </c>
      <c r="E1652" s="9" t="str">
        <f t="shared" ca="1" si="37"/>
        <v/>
      </c>
      <c r="F1652" s="4" t="s">
        <v>7</v>
      </c>
      <c r="G1652" s="2">
        <f>IF(ISNUMBER(SEARCH(Лист2!$B$4,F:F)),1,0)</f>
        <v>0</v>
      </c>
      <c r="H1652" s="3">
        <f ca="1">IF(AND(I1652&lt;&gt;I1651,ISNUMBER(SEARCH(Лист2!$B$5,I:I)),G1652=1),MAX($H$3:OFFSET(H1652,-1,0))+1,0)</f>
        <v>0</v>
      </c>
      <c r="I1652" s="3" t="s">
        <v>203</v>
      </c>
      <c r="K1652" s="2">
        <f>IF(ISNUMBER(SEARCH(Лист2!$B$4,F:F)),1,0)</f>
        <v>0</v>
      </c>
      <c r="L1652" s="14">
        <f>IF(ISNUMBER(SEARCH(Лист2!$B$5,I:I)),1,0)+K1652</f>
        <v>0</v>
      </c>
      <c r="M1652" s="3">
        <f ca="1">IF(AND(N1652&lt;&gt;N1651,ISNUMBER(SEARCH(Лист2!$B$6,N:N)),L1652=2),MAX($M$3:OFFSET(M1652,-1,0))+1,0)</f>
        <v>0</v>
      </c>
      <c r="N1652" s="3" t="s">
        <v>1524</v>
      </c>
    </row>
    <row r="1653" spans="1:14" x14ac:dyDescent="0.25">
      <c r="A1653" s="1" t="s">
        <v>11128</v>
      </c>
      <c r="B1653" s="3" t="s">
        <v>5277</v>
      </c>
      <c r="C1653" s="2">
        <f ca="1">IF(ISNUMBER(SEARCH(Лист2!$B$4,D:D)),MAX($C$3:OFFSET(C1653,-1,0))+1,0)</f>
        <v>0</v>
      </c>
      <c r="E1653" s="9" t="str">
        <f t="shared" ca="1" si="37"/>
        <v/>
      </c>
      <c r="F1653" s="4" t="s">
        <v>7</v>
      </c>
      <c r="G1653" s="2">
        <f>IF(ISNUMBER(SEARCH(Лист2!$B$4,F:F)),1,0)</f>
        <v>0</v>
      </c>
      <c r="H1653" s="3">
        <f ca="1">IF(AND(I1653&lt;&gt;I1652,ISNUMBER(SEARCH(Лист2!$B$5,I:I)),G1653=1),MAX($H$3:OFFSET(H1653,-1,0))+1,0)</f>
        <v>0</v>
      </c>
      <c r="I1653" s="3" t="s">
        <v>203</v>
      </c>
      <c r="K1653" s="2">
        <f>IF(ISNUMBER(SEARCH(Лист2!$B$4,F:F)),1,0)</f>
        <v>0</v>
      </c>
      <c r="L1653" s="14">
        <f>IF(ISNUMBER(SEARCH(Лист2!$B$5,I:I)),1,0)+K1653</f>
        <v>0</v>
      </c>
      <c r="M1653" s="3">
        <f ca="1">IF(AND(N1653&lt;&gt;N1652,ISNUMBER(SEARCH(Лист2!$B$6,N:N)),L1653=2),MAX($M$3:OFFSET(M1653,-1,0))+1,0)</f>
        <v>0</v>
      </c>
      <c r="N1653" s="3" t="s">
        <v>1525</v>
      </c>
    </row>
    <row r="1654" spans="1:14" x14ac:dyDescent="0.25">
      <c r="A1654" s="1" t="s">
        <v>11129</v>
      </c>
      <c r="B1654" s="3" t="s">
        <v>5278</v>
      </c>
      <c r="C1654" s="2">
        <f ca="1">IF(ISNUMBER(SEARCH(Лист2!$B$4,D:D)),MAX($C$3:OFFSET(C1654,-1,0))+1,0)</f>
        <v>0</v>
      </c>
      <c r="E1654" s="9" t="str">
        <f t="shared" ca="1" si="37"/>
        <v/>
      </c>
      <c r="F1654" s="4" t="s">
        <v>7</v>
      </c>
      <c r="G1654" s="2">
        <f>IF(ISNUMBER(SEARCH(Лист2!$B$4,F:F)),1,0)</f>
        <v>0</v>
      </c>
      <c r="H1654" s="3">
        <f ca="1">IF(AND(I1654&lt;&gt;I1653,ISNUMBER(SEARCH(Лист2!$B$5,I:I)),G1654=1),MAX($H$3:OFFSET(H1654,-1,0))+1,0)</f>
        <v>0</v>
      </c>
      <c r="I1654" s="3" t="s">
        <v>203</v>
      </c>
      <c r="K1654" s="2">
        <f>IF(ISNUMBER(SEARCH(Лист2!$B$4,F:F)),1,0)</f>
        <v>0</v>
      </c>
      <c r="L1654" s="14">
        <f>IF(ISNUMBER(SEARCH(Лист2!$B$5,I:I)),1,0)+K1654</f>
        <v>0</v>
      </c>
      <c r="M1654" s="3">
        <f ca="1">IF(AND(N1654&lt;&gt;N1653,ISNUMBER(SEARCH(Лист2!$B$6,N:N)),L1654=2),MAX($M$3:OFFSET(M1654,-1,0))+1,0)</f>
        <v>0</v>
      </c>
      <c r="N1654" s="3" t="s">
        <v>1385</v>
      </c>
    </row>
    <row r="1655" spans="1:14" x14ac:dyDescent="0.25">
      <c r="A1655" s="1" t="s">
        <v>11130</v>
      </c>
      <c r="B1655" s="3" t="s">
        <v>5279</v>
      </c>
      <c r="C1655" s="2">
        <f ca="1">IF(ISNUMBER(SEARCH(Лист2!$B$4,D:D)),MAX($C$3:OFFSET(C1655,-1,0))+1,0)</f>
        <v>0</v>
      </c>
      <c r="E1655" s="9" t="str">
        <f t="shared" ca="1" si="37"/>
        <v/>
      </c>
      <c r="F1655" s="4" t="s">
        <v>7</v>
      </c>
      <c r="G1655" s="2">
        <f>IF(ISNUMBER(SEARCH(Лист2!$B$4,F:F)),1,0)</f>
        <v>0</v>
      </c>
      <c r="H1655" s="3">
        <f ca="1">IF(AND(I1655&lt;&gt;I1654,ISNUMBER(SEARCH(Лист2!$B$5,I:I)),G1655=1),MAX($H$3:OFFSET(H1655,-1,0))+1,0)</f>
        <v>0</v>
      </c>
      <c r="I1655" s="3" t="s">
        <v>203</v>
      </c>
      <c r="K1655" s="2">
        <f>IF(ISNUMBER(SEARCH(Лист2!$B$4,F:F)),1,0)</f>
        <v>0</v>
      </c>
      <c r="L1655" s="14">
        <f>IF(ISNUMBER(SEARCH(Лист2!$B$5,I:I)),1,0)+K1655</f>
        <v>0</v>
      </c>
      <c r="M1655" s="3">
        <f ca="1">IF(AND(N1655&lt;&gt;N1654,ISNUMBER(SEARCH(Лист2!$B$6,N:N)),L1655=2),MAX($M$3:OFFSET(M1655,-1,0))+1,0)</f>
        <v>0</v>
      </c>
      <c r="N1655" s="3" t="s">
        <v>1526</v>
      </c>
    </row>
    <row r="1656" spans="1:14" x14ac:dyDescent="0.25">
      <c r="A1656" s="1" t="s">
        <v>11131</v>
      </c>
      <c r="B1656" s="3" t="s">
        <v>5280</v>
      </c>
      <c r="C1656" s="2">
        <f ca="1">IF(ISNUMBER(SEARCH(Лист2!$B$4,D:D)),MAX($C$3:OFFSET(C1656,-1,0))+1,0)</f>
        <v>0</v>
      </c>
      <c r="E1656" s="9" t="str">
        <f t="shared" ca="1" si="37"/>
        <v/>
      </c>
      <c r="F1656" s="4" t="s">
        <v>7</v>
      </c>
      <c r="G1656" s="2">
        <f>IF(ISNUMBER(SEARCH(Лист2!$B$4,F:F)),1,0)</f>
        <v>0</v>
      </c>
      <c r="H1656" s="3">
        <f ca="1">IF(AND(I1656&lt;&gt;I1655,ISNUMBER(SEARCH(Лист2!$B$5,I:I)),G1656=1),MAX($H$3:OFFSET(H1656,-1,0))+1,0)</f>
        <v>0</v>
      </c>
      <c r="I1656" s="3" t="s">
        <v>203</v>
      </c>
      <c r="K1656" s="2">
        <f>IF(ISNUMBER(SEARCH(Лист2!$B$4,F:F)),1,0)</f>
        <v>0</v>
      </c>
      <c r="L1656" s="14">
        <f>IF(ISNUMBER(SEARCH(Лист2!$B$5,I:I)),1,0)+K1656</f>
        <v>0</v>
      </c>
      <c r="M1656" s="3">
        <f ca="1">IF(AND(N1656&lt;&gt;N1655,ISNUMBER(SEARCH(Лист2!$B$6,N:N)),L1656=2),MAX($M$3:OFFSET(M1656,-1,0))+1,0)</f>
        <v>0</v>
      </c>
      <c r="N1656" s="3" t="s">
        <v>1527</v>
      </c>
    </row>
    <row r="1657" spans="1:14" x14ac:dyDescent="0.25">
      <c r="A1657" s="1" t="s">
        <v>11132</v>
      </c>
      <c r="B1657" s="3" t="s">
        <v>5281</v>
      </c>
      <c r="C1657" s="2">
        <f ca="1">IF(ISNUMBER(SEARCH(Лист2!$B$4,D:D)),MAX($C$3:OFFSET(C1657,-1,0))+1,0)</f>
        <v>0</v>
      </c>
      <c r="E1657" s="9" t="str">
        <f t="shared" ca="1" si="37"/>
        <v/>
      </c>
      <c r="F1657" s="4" t="s">
        <v>7</v>
      </c>
      <c r="G1657" s="2">
        <f>IF(ISNUMBER(SEARCH(Лист2!$B$4,F:F)),1,0)</f>
        <v>0</v>
      </c>
      <c r="H1657" s="3">
        <f ca="1">IF(AND(I1657&lt;&gt;I1656,ISNUMBER(SEARCH(Лист2!$B$5,I:I)),G1657=1),MAX($H$3:OFFSET(H1657,-1,0))+1,0)</f>
        <v>0</v>
      </c>
      <c r="I1657" s="3" t="s">
        <v>203</v>
      </c>
      <c r="K1657" s="2">
        <f>IF(ISNUMBER(SEARCH(Лист2!$B$4,F:F)),1,0)</f>
        <v>0</v>
      </c>
      <c r="L1657" s="14">
        <f>IF(ISNUMBER(SEARCH(Лист2!$B$5,I:I)),1,0)+K1657</f>
        <v>0</v>
      </c>
      <c r="M1657" s="3">
        <f ca="1">IF(AND(N1657&lt;&gt;N1656,ISNUMBER(SEARCH(Лист2!$B$6,N:N)),L1657=2),MAX($M$3:OFFSET(M1657,-1,0))+1,0)</f>
        <v>0</v>
      </c>
      <c r="N1657" s="3" t="s">
        <v>1528</v>
      </c>
    </row>
    <row r="1658" spans="1:14" x14ac:dyDescent="0.25">
      <c r="A1658" s="1" t="s">
        <v>11133</v>
      </c>
      <c r="B1658" s="3" t="s">
        <v>5282</v>
      </c>
      <c r="C1658" s="2">
        <f ca="1">IF(ISNUMBER(SEARCH(Лист2!$B$4,D:D)),MAX($C$3:OFFSET(C1658,-1,0))+1,0)</f>
        <v>0</v>
      </c>
      <c r="E1658" s="9" t="str">
        <f t="shared" ca="1" si="37"/>
        <v/>
      </c>
      <c r="F1658" s="4" t="s">
        <v>7</v>
      </c>
      <c r="G1658" s="2">
        <f>IF(ISNUMBER(SEARCH(Лист2!$B$4,F:F)),1,0)</f>
        <v>0</v>
      </c>
      <c r="H1658" s="3">
        <f ca="1">IF(AND(I1658&lt;&gt;I1657,ISNUMBER(SEARCH(Лист2!$B$5,I:I)),G1658=1),MAX($H$3:OFFSET(H1658,-1,0))+1,0)</f>
        <v>0</v>
      </c>
      <c r="I1658" s="3" t="s">
        <v>204</v>
      </c>
      <c r="K1658" s="2">
        <f>IF(ISNUMBER(SEARCH(Лист2!$B$4,F:F)),1,0)</f>
        <v>0</v>
      </c>
      <c r="L1658" s="14">
        <f>IF(ISNUMBER(SEARCH(Лист2!$B$5,I:I)),1,0)+K1658</f>
        <v>0</v>
      </c>
      <c r="M1658" s="3">
        <f ca="1">IF(AND(N1658&lt;&gt;N1657,ISNUMBER(SEARCH(Лист2!$B$6,N:N)),L1658=2),MAX($M$3:OFFSET(M1658,-1,0))+1,0)</f>
        <v>0</v>
      </c>
      <c r="N1658" s="3" t="s">
        <v>1529</v>
      </c>
    </row>
    <row r="1659" spans="1:14" x14ac:dyDescent="0.25">
      <c r="A1659" s="1" t="s">
        <v>11134</v>
      </c>
      <c r="B1659" s="3" t="s">
        <v>5283</v>
      </c>
      <c r="C1659" s="2">
        <f ca="1">IF(ISNUMBER(SEARCH(Лист2!$B$4,D:D)),MAX($C$3:OFFSET(C1659,-1,0))+1,0)</f>
        <v>0</v>
      </c>
      <c r="E1659" s="9" t="str">
        <f t="shared" ca="1" si="37"/>
        <v/>
      </c>
      <c r="F1659" s="4" t="s">
        <v>7</v>
      </c>
      <c r="G1659" s="2">
        <f>IF(ISNUMBER(SEARCH(Лист2!$B$4,F:F)),1,0)</f>
        <v>0</v>
      </c>
      <c r="H1659" s="3">
        <f ca="1">IF(AND(I1659&lt;&gt;I1658,ISNUMBER(SEARCH(Лист2!$B$5,I:I)),G1659=1),MAX($H$3:OFFSET(H1659,-1,0))+1,0)</f>
        <v>0</v>
      </c>
      <c r="I1659" s="3" t="s">
        <v>204</v>
      </c>
      <c r="K1659" s="2">
        <f>IF(ISNUMBER(SEARCH(Лист2!$B$4,F:F)),1,0)</f>
        <v>0</v>
      </c>
      <c r="L1659" s="14">
        <f>IF(ISNUMBER(SEARCH(Лист2!$B$5,I:I)),1,0)+K1659</f>
        <v>0</v>
      </c>
      <c r="M1659" s="3">
        <f ca="1">IF(AND(N1659&lt;&gt;N1658,ISNUMBER(SEARCH(Лист2!$B$6,N:N)),L1659=2),MAX($M$3:OFFSET(M1659,-1,0))+1,0)</f>
        <v>0</v>
      </c>
      <c r="N1659" s="3" t="s">
        <v>1530</v>
      </c>
    </row>
    <row r="1660" spans="1:14" x14ac:dyDescent="0.25">
      <c r="A1660" s="1" t="s">
        <v>11135</v>
      </c>
      <c r="B1660" s="3" t="s">
        <v>5284</v>
      </c>
      <c r="C1660" s="2">
        <f ca="1">IF(ISNUMBER(SEARCH(Лист2!$B$4,D:D)),MAX($C$3:OFFSET(C1660,-1,0))+1,0)</f>
        <v>0</v>
      </c>
      <c r="E1660" s="9" t="str">
        <f t="shared" ca="1" si="37"/>
        <v/>
      </c>
      <c r="F1660" s="4" t="s">
        <v>7</v>
      </c>
      <c r="G1660" s="2">
        <f>IF(ISNUMBER(SEARCH(Лист2!$B$4,F:F)),1,0)</f>
        <v>0</v>
      </c>
      <c r="H1660" s="3">
        <f ca="1">IF(AND(I1660&lt;&gt;I1659,ISNUMBER(SEARCH(Лист2!$B$5,I:I)),G1660=1),MAX($H$3:OFFSET(H1660,-1,0))+1,0)</f>
        <v>0</v>
      </c>
      <c r="I1660" s="3" t="s">
        <v>204</v>
      </c>
      <c r="K1660" s="2">
        <f>IF(ISNUMBER(SEARCH(Лист2!$B$4,F:F)),1,0)</f>
        <v>0</v>
      </c>
      <c r="L1660" s="14">
        <f>IF(ISNUMBER(SEARCH(Лист2!$B$5,I:I)),1,0)+K1660</f>
        <v>0</v>
      </c>
      <c r="M1660" s="3">
        <f ca="1">IF(AND(N1660&lt;&gt;N1659,ISNUMBER(SEARCH(Лист2!$B$6,N:N)),L1660=2),MAX($M$3:OFFSET(M1660,-1,0))+1,0)</f>
        <v>0</v>
      </c>
      <c r="N1660" s="3" t="s">
        <v>1531</v>
      </c>
    </row>
    <row r="1661" spans="1:14" x14ac:dyDescent="0.25">
      <c r="A1661" s="1" t="s">
        <v>11136</v>
      </c>
      <c r="B1661" s="3" t="s">
        <v>5285</v>
      </c>
      <c r="C1661" s="2">
        <f ca="1">IF(ISNUMBER(SEARCH(Лист2!$B$4,D:D)),MAX($C$3:OFFSET(C1661,-1,0))+1,0)</f>
        <v>0</v>
      </c>
      <c r="E1661" s="9" t="str">
        <f t="shared" ca="1" si="37"/>
        <v/>
      </c>
      <c r="F1661" s="4" t="s">
        <v>7</v>
      </c>
      <c r="G1661" s="2">
        <f>IF(ISNUMBER(SEARCH(Лист2!$B$4,F:F)),1,0)</f>
        <v>0</v>
      </c>
      <c r="H1661" s="3">
        <f ca="1">IF(AND(I1661&lt;&gt;I1660,ISNUMBER(SEARCH(Лист2!$B$5,I:I)),G1661=1),MAX($H$3:OFFSET(H1661,-1,0))+1,0)</f>
        <v>0</v>
      </c>
      <c r="I1661" s="3" t="s">
        <v>204</v>
      </c>
      <c r="K1661" s="2">
        <f>IF(ISNUMBER(SEARCH(Лист2!$B$4,F:F)),1,0)</f>
        <v>0</v>
      </c>
      <c r="L1661" s="14">
        <f>IF(ISNUMBER(SEARCH(Лист2!$B$5,I:I)),1,0)+K1661</f>
        <v>0</v>
      </c>
      <c r="M1661" s="3">
        <f ca="1">IF(AND(N1661&lt;&gt;N1660,ISNUMBER(SEARCH(Лист2!$B$6,N:N)),L1661=2),MAX($M$3:OFFSET(M1661,-1,0))+1,0)</f>
        <v>0</v>
      </c>
      <c r="N1661" s="3" t="s">
        <v>1532</v>
      </c>
    </row>
    <row r="1662" spans="1:14" x14ac:dyDescent="0.25">
      <c r="A1662" s="1" t="s">
        <v>11137</v>
      </c>
      <c r="B1662" s="3" t="s">
        <v>5286</v>
      </c>
      <c r="C1662" s="2">
        <f ca="1">IF(ISNUMBER(SEARCH(Лист2!$B$4,D:D)),MAX($C$3:OFFSET(C1662,-1,0))+1,0)</f>
        <v>0</v>
      </c>
      <c r="E1662" s="9" t="str">
        <f t="shared" ca="1" si="37"/>
        <v/>
      </c>
      <c r="F1662" s="4" t="s">
        <v>7</v>
      </c>
      <c r="G1662" s="2">
        <f>IF(ISNUMBER(SEARCH(Лист2!$B$4,F:F)),1,0)</f>
        <v>0</v>
      </c>
      <c r="H1662" s="3">
        <f ca="1">IF(AND(I1662&lt;&gt;I1661,ISNUMBER(SEARCH(Лист2!$B$5,I:I)),G1662=1),MAX($H$3:OFFSET(H1662,-1,0))+1,0)</f>
        <v>0</v>
      </c>
      <c r="I1662" s="3" t="s">
        <v>204</v>
      </c>
      <c r="K1662" s="2">
        <f>IF(ISNUMBER(SEARCH(Лист2!$B$4,F:F)),1,0)</f>
        <v>0</v>
      </c>
      <c r="L1662" s="14">
        <f>IF(ISNUMBER(SEARCH(Лист2!$B$5,I:I)),1,0)+K1662</f>
        <v>0</v>
      </c>
      <c r="M1662" s="3">
        <f ca="1">IF(AND(N1662&lt;&gt;N1661,ISNUMBER(SEARCH(Лист2!$B$6,N:N)),L1662=2),MAX($M$3:OFFSET(M1662,-1,0))+1,0)</f>
        <v>0</v>
      </c>
      <c r="N1662" s="3" t="s">
        <v>1533</v>
      </c>
    </row>
    <row r="1663" spans="1:14" x14ac:dyDescent="0.25">
      <c r="A1663" s="1" t="s">
        <v>11138</v>
      </c>
      <c r="B1663" s="3" t="s">
        <v>5287</v>
      </c>
      <c r="C1663" s="2">
        <f ca="1">IF(ISNUMBER(SEARCH(Лист2!$B$4,D:D)),MAX($C$3:OFFSET(C1663,-1,0))+1,0)</f>
        <v>0</v>
      </c>
      <c r="E1663" s="9" t="str">
        <f t="shared" ca="1" si="37"/>
        <v/>
      </c>
      <c r="F1663" s="4" t="s">
        <v>7</v>
      </c>
      <c r="G1663" s="2">
        <f>IF(ISNUMBER(SEARCH(Лист2!$B$4,F:F)),1,0)</f>
        <v>0</v>
      </c>
      <c r="H1663" s="3">
        <f ca="1">IF(AND(I1663&lt;&gt;I1662,ISNUMBER(SEARCH(Лист2!$B$5,I:I)),G1663=1),MAX($H$3:OFFSET(H1663,-1,0))+1,0)</f>
        <v>0</v>
      </c>
      <c r="I1663" s="3" t="s">
        <v>204</v>
      </c>
      <c r="K1663" s="2">
        <f>IF(ISNUMBER(SEARCH(Лист2!$B$4,F:F)),1,0)</f>
        <v>0</v>
      </c>
      <c r="L1663" s="14">
        <f>IF(ISNUMBER(SEARCH(Лист2!$B$5,I:I)),1,0)+K1663</f>
        <v>0</v>
      </c>
      <c r="M1663" s="3">
        <f ca="1">IF(AND(N1663&lt;&gt;N1662,ISNUMBER(SEARCH(Лист2!$B$6,N:N)),L1663=2),MAX($M$3:OFFSET(M1663,-1,0))+1,0)</f>
        <v>0</v>
      </c>
      <c r="N1663" s="3" t="s">
        <v>1534</v>
      </c>
    </row>
    <row r="1664" spans="1:14" x14ac:dyDescent="0.25">
      <c r="A1664" s="1" t="s">
        <v>11139</v>
      </c>
      <c r="B1664" s="3" t="s">
        <v>5288</v>
      </c>
      <c r="C1664" s="2">
        <f ca="1">IF(ISNUMBER(SEARCH(Лист2!$B$4,D:D)),MAX($C$3:OFFSET(C1664,-1,0))+1,0)</f>
        <v>0</v>
      </c>
      <c r="E1664" s="9" t="str">
        <f t="shared" ca="1" si="37"/>
        <v/>
      </c>
      <c r="F1664" s="4" t="s">
        <v>7</v>
      </c>
      <c r="G1664" s="2">
        <f>IF(ISNUMBER(SEARCH(Лист2!$B$4,F:F)),1,0)</f>
        <v>0</v>
      </c>
      <c r="H1664" s="3">
        <f ca="1">IF(AND(I1664&lt;&gt;I1663,ISNUMBER(SEARCH(Лист2!$B$5,I:I)),G1664=1),MAX($H$3:OFFSET(H1664,-1,0))+1,0)</f>
        <v>0</v>
      </c>
      <c r="I1664" s="3" t="s">
        <v>204</v>
      </c>
      <c r="K1664" s="2">
        <f>IF(ISNUMBER(SEARCH(Лист2!$B$4,F:F)),1,0)</f>
        <v>0</v>
      </c>
      <c r="L1664" s="14">
        <f>IF(ISNUMBER(SEARCH(Лист2!$B$5,I:I)),1,0)+K1664</f>
        <v>0</v>
      </c>
      <c r="M1664" s="3">
        <f ca="1">IF(AND(N1664&lt;&gt;N1663,ISNUMBER(SEARCH(Лист2!$B$6,N:N)),L1664=2),MAX($M$3:OFFSET(M1664,-1,0))+1,0)</f>
        <v>0</v>
      </c>
      <c r="N1664" s="3" t="s">
        <v>1535</v>
      </c>
    </row>
    <row r="1665" spans="1:14" x14ac:dyDescent="0.25">
      <c r="A1665" s="1" t="s">
        <v>11140</v>
      </c>
      <c r="B1665" s="3" t="s">
        <v>5289</v>
      </c>
      <c r="C1665" s="2">
        <f ca="1">IF(ISNUMBER(SEARCH(Лист2!$B$4,D:D)),MAX($C$3:OFFSET(C1665,-1,0))+1,0)</f>
        <v>0</v>
      </c>
      <c r="E1665" s="9" t="str">
        <f t="shared" ca="1" si="37"/>
        <v/>
      </c>
      <c r="F1665" s="4" t="s">
        <v>7</v>
      </c>
      <c r="G1665" s="2">
        <f>IF(ISNUMBER(SEARCH(Лист2!$B$4,F:F)),1,0)</f>
        <v>0</v>
      </c>
      <c r="H1665" s="3">
        <f ca="1">IF(AND(I1665&lt;&gt;I1664,ISNUMBER(SEARCH(Лист2!$B$5,I:I)),G1665=1),MAX($H$3:OFFSET(H1665,-1,0))+1,0)</f>
        <v>0</v>
      </c>
      <c r="I1665" s="3" t="s">
        <v>204</v>
      </c>
      <c r="K1665" s="2">
        <f>IF(ISNUMBER(SEARCH(Лист2!$B$4,F:F)),1,0)</f>
        <v>0</v>
      </c>
      <c r="L1665" s="14">
        <f>IF(ISNUMBER(SEARCH(Лист2!$B$5,I:I)),1,0)+K1665</f>
        <v>0</v>
      </c>
      <c r="M1665" s="3">
        <f ca="1">IF(AND(N1665&lt;&gt;N1664,ISNUMBER(SEARCH(Лист2!$B$6,N:N)),L1665=2),MAX($M$3:OFFSET(M1665,-1,0))+1,0)</f>
        <v>0</v>
      </c>
      <c r="N1665" s="3" t="s">
        <v>1536</v>
      </c>
    </row>
    <row r="1666" spans="1:14" x14ac:dyDescent="0.25">
      <c r="A1666" s="1" t="s">
        <v>11141</v>
      </c>
      <c r="B1666" s="3" t="s">
        <v>5290</v>
      </c>
      <c r="C1666" s="2">
        <f ca="1">IF(ISNUMBER(SEARCH(Лист2!$B$4,D:D)),MAX($C$3:OFFSET(C1666,-1,0))+1,0)</f>
        <v>0</v>
      </c>
      <c r="E1666" s="9" t="str">
        <f t="shared" ca="1" si="37"/>
        <v/>
      </c>
      <c r="F1666" s="4" t="s">
        <v>7</v>
      </c>
      <c r="G1666" s="2">
        <f>IF(ISNUMBER(SEARCH(Лист2!$B$4,F:F)),1,0)</f>
        <v>0</v>
      </c>
      <c r="H1666" s="3">
        <f ca="1">IF(AND(I1666&lt;&gt;I1665,ISNUMBER(SEARCH(Лист2!$B$5,I:I)),G1666=1),MAX($H$3:OFFSET(H1666,-1,0))+1,0)</f>
        <v>0</v>
      </c>
      <c r="I1666" s="3" t="s">
        <v>204</v>
      </c>
      <c r="K1666" s="2">
        <f>IF(ISNUMBER(SEARCH(Лист2!$B$4,F:F)),1,0)</f>
        <v>0</v>
      </c>
      <c r="L1666" s="14">
        <f>IF(ISNUMBER(SEARCH(Лист2!$B$5,I:I)),1,0)+K1666</f>
        <v>0</v>
      </c>
      <c r="M1666" s="3">
        <f ca="1">IF(AND(N1666&lt;&gt;N1665,ISNUMBER(SEARCH(Лист2!$B$6,N:N)),L1666=2),MAX($M$3:OFFSET(M1666,-1,0))+1,0)</f>
        <v>0</v>
      </c>
      <c r="N1666" s="3" t="s">
        <v>602</v>
      </c>
    </row>
    <row r="1667" spans="1:14" x14ac:dyDescent="0.25">
      <c r="A1667" s="1" t="s">
        <v>11142</v>
      </c>
      <c r="B1667" s="3" t="s">
        <v>5291</v>
      </c>
      <c r="C1667" s="2">
        <f ca="1">IF(ISNUMBER(SEARCH(Лист2!$B$4,D:D)),MAX($C$3:OFFSET(C1667,-1,0))+1,0)</f>
        <v>0</v>
      </c>
      <c r="E1667" s="9" t="str">
        <f t="shared" ca="1" si="37"/>
        <v/>
      </c>
      <c r="F1667" s="4" t="s">
        <v>7</v>
      </c>
      <c r="G1667" s="2">
        <f>IF(ISNUMBER(SEARCH(Лист2!$B$4,F:F)),1,0)</f>
        <v>0</v>
      </c>
      <c r="H1667" s="3">
        <f ca="1">IF(AND(I1667&lt;&gt;I1666,ISNUMBER(SEARCH(Лист2!$B$5,I:I)),G1667=1),MAX($H$3:OFFSET(H1667,-1,0))+1,0)</f>
        <v>0</v>
      </c>
      <c r="I1667" s="3" t="s">
        <v>204</v>
      </c>
      <c r="K1667" s="2">
        <f>IF(ISNUMBER(SEARCH(Лист2!$B$4,F:F)),1,0)</f>
        <v>0</v>
      </c>
      <c r="L1667" s="14">
        <f>IF(ISNUMBER(SEARCH(Лист2!$B$5,I:I)),1,0)+K1667</f>
        <v>0</v>
      </c>
      <c r="M1667" s="3">
        <f ca="1">IF(AND(N1667&lt;&gt;N1666,ISNUMBER(SEARCH(Лист2!$B$6,N:N)),L1667=2),MAX($M$3:OFFSET(M1667,-1,0))+1,0)</f>
        <v>0</v>
      </c>
      <c r="N1667" s="3" t="s">
        <v>1537</v>
      </c>
    </row>
    <row r="1668" spans="1:14" x14ac:dyDescent="0.25">
      <c r="A1668" s="1" t="s">
        <v>11143</v>
      </c>
      <c r="B1668" s="3" t="s">
        <v>5292</v>
      </c>
      <c r="C1668" s="2">
        <f ca="1">IF(ISNUMBER(SEARCH(Лист2!$B$4,D:D)),MAX($C$3:OFFSET(C1668,-1,0))+1,0)</f>
        <v>0</v>
      </c>
      <c r="E1668" s="9" t="str">
        <f t="shared" ca="1" si="37"/>
        <v/>
      </c>
      <c r="F1668" s="4" t="s">
        <v>7</v>
      </c>
      <c r="G1668" s="2">
        <f>IF(ISNUMBER(SEARCH(Лист2!$B$4,F:F)),1,0)</f>
        <v>0</v>
      </c>
      <c r="H1668" s="3">
        <f ca="1">IF(AND(I1668&lt;&gt;I1667,ISNUMBER(SEARCH(Лист2!$B$5,I:I)),G1668=1),MAX($H$3:OFFSET(H1668,-1,0))+1,0)</f>
        <v>0</v>
      </c>
      <c r="I1668" s="3" t="s">
        <v>205</v>
      </c>
      <c r="K1668" s="2">
        <f>IF(ISNUMBER(SEARCH(Лист2!$B$4,F:F)),1,0)</f>
        <v>0</v>
      </c>
      <c r="L1668" s="14">
        <f>IF(ISNUMBER(SEARCH(Лист2!$B$5,I:I)),1,0)+K1668</f>
        <v>0</v>
      </c>
      <c r="M1668" s="3">
        <f ca="1">IF(AND(N1668&lt;&gt;N1667,ISNUMBER(SEARCH(Лист2!$B$6,N:N)),L1668=2),MAX($M$3:OFFSET(M1668,-1,0))+1,0)</f>
        <v>0</v>
      </c>
      <c r="N1668" s="3" t="s">
        <v>1538</v>
      </c>
    </row>
    <row r="1669" spans="1:14" x14ac:dyDescent="0.25">
      <c r="A1669" s="1" t="s">
        <v>11144</v>
      </c>
      <c r="B1669" s="3" t="s">
        <v>5293</v>
      </c>
      <c r="C1669" s="2">
        <f ca="1">IF(ISNUMBER(SEARCH(Лист2!$B$4,D:D)),MAX($C$3:OFFSET(C1669,-1,0))+1,0)</f>
        <v>0</v>
      </c>
      <c r="E1669" s="9" t="str">
        <f t="shared" ref="E1669:E1732" ca="1" si="38">IFERROR(INDEX(D:D,MATCH(ROW(E1669)-ROW($E$3),C:C,0)),"")</f>
        <v/>
      </c>
      <c r="F1669" s="4" t="s">
        <v>7</v>
      </c>
      <c r="G1669" s="2">
        <f>IF(ISNUMBER(SEARCH(Лист2!$B$4,F:F)),1,0)</f>
        <v>0</v>
      </c>
      <c r="H1669" s="3">
        <f ca="1">IF(AND(I1669&lt;&gt;I1668,ISNUMBER(SEARCH(Лист2!$B$5,I:I)),G1669=1),MAX($H$3:OFFSET(H1669,-1,0))+1,0)</f>
        <v>0</v>
      </c>
      <c r="I1669" s="3" t="s">
        <v>205</v>
      </c>
      <c r="K1669" s="2">
        <f>IF(ISNUMBER(SEARCH(Лист2!$B$4,F:F)),1,0)</f>
        <v>0</v>
      </c>
      <c r="L1669" s="14">
        <f>IF(ISNUMBER(SEARCH(Лист2!$B$5,I:I)),1,0)+K1669</f>
        <v>0</v>
      </c>
      <c r="M1669" s="3">
        <f ca="1">IF(AND(N1669&lt;&gt;N1668,ISNUMBER(SEARCH(Лист2!$B$6,N:N)),L1669=2),MAX($M$3:OFFSET(M1669,-1,0))+1,0)</f>
        <v>0</v>
      </c>
      <c r="N1669" s="3" t="s">
        <v>1539</v>
      </c>
    </row>
    <row r="1670" spans="1:14" x14ac:dyDescent="0.25">
      <c r="A1670" s="1" t="s">
        <v>11145</v>
      </c>
      <c r="B1670" s="3" t="s">
        <v>5294</v>
      </c>
      <c r="C1670" s="2">
        <f ca="1">IF(ISNUMBER(SEARCH(Лист2!$B$4,D:D)),MAX($C$3:OFFSET(C1670,-1,0))+1,0)</f>
        <v>0</v>
      </c>
      <c r="E1670" s="9" t="str">
        <f t="shared" ca="1" si="38"/>
        <v/>
      </c>
      <c r="F1670" s="4" t="s">
        <v>7</v>
      </c>
      <c r="G1670" s="2">
        <f>IF(ISNUMBER(SEARCH(Лист2!$B$4,F:F)),1,0)</f>
        <v>0</v>
      </c>
      <c r="H1670" s="3">
        <f ca="1">IF(AND(I1670&lt;&gt;I1669,ISNUMBER(SEARCH(Лист2!$B$5,I:I)),G1670=1),MAX($H$3:OFFSET(H1670,-1,0))+1,0)</f>
        <v>0</v>
      </c>
      <c r="I1670" s="3" t="s">
        <v>205</v>
      </c>
      <c r="K1670" s="2">
        <f>IF(ISNUMBER(SEARCH(Лист2!$B$4,F:F)),1,0)</f>
        <v>0</v>
      </c>
      <c r="L1670" s="14">
        <f>IF(ISNUMBER(SEARCH(Лист2!$B$5,I:I)),1,0)+K1670</f>
        <v>0</v>
      </c>
      <c r="M1670" s="3">
        <f ca="1">IF(AND(N1670&lt;&gt;N1669,ISNUMBER(SEARCH(Лист2!$B$6,N:N)),L1670=2),MAX($M$3:OFFSET(M1670,-1,0))+1,0)</f>
        <v>0</v>
      </c>
      <c r="N1670" s="3" t="s">
        <v>1540</v>
      </c>
    </row>
    <row r="1671" spans="1:14" x14ac:dyDescent="0.25">
      <c r="A1671" s="1" t="s">
        <v>11146</v>
      </c>
      <c r="B1671" s="3" t="s">
        <v>5295</v>
      </c>
      <c r="C1671" s="2">
        <f ca="1">IF(ISNUMBER(SEARCH(Лист2!$B$4,D:D)),MAX($C$3:OFFSET(C1671,-1,0))+1,0)</f>
        <v>0</v>
      </c>
      <c r="E1671" s="9" t="str">
        <f t="shared" ca="1" si="38"/>
        <v/>
      </c>
      <c r="F1671" s="4" t="s">
        <v>7</v>
      </c>
      <c r="G1671" s="2">
        <f>IF(ISNUMBER(SEARCH(Лист2!$B$4,F:F)),1,0)</f>
        <v>0</v>
      </c>
      <c r="H1671" s="3">
        <f ca="1">IF(AND(I1671&lt;&gt;I1670,ISNUMBER(SEARCH(Лист2!$B$5,I:I)),G1671=1),MAX($H$3:OFFSET(H1671,-1,0))+1,0)</f>
        <v>0</v>
      </c>
      <c r="I1671" s="3" t="s">
        <v>205</v>
      </c>
      <c r="K1671" s="2">
        <f>IF(ISNUMBER(SEARCH(Лист2!$B$4,F:F)),1,0)</f>
        <v>0</v>
      </c>
      <c r="L1671" s="14">
        <f>IF(ISNUMBER(SEARCH(Лист2!$B$5,I:I)),1,0)+K1671</f>
        <v>0</v>
      </c>
      <c r="M1671" s="3">
        <f ca="1">IF(AND(N1671&lt;&gt;N1670,ISNUMBER(SEARCH(Лист2!$B$6,N:N)),L1671=2),MAX($M$3:OFFSET(M1671,-1,0))+1,0)</f>
        <v>0</v>
      </c>
      <c r="N1671" s="3" t="s">
        <v>1541</v>
      </c>
    </row>
    <row r="1672" spans="1:14" x14ac:dyDescent="0.25">
      <c r="A1672" s="1" t="s">
        <v>11147</v>
      </c>
      <c r="B1672" s="3" t="s">
        <v>5296</v>
      </c>
      <c r="C1672" s="2">
        <f ca="1">IF(ISNUMBER(SEARCH(Лист2!$B$4,D:D)),MAX($C$3:OFFSET(C1672,-1,0))+1,0)</f>
        <v>0</v>
      </c>
      <c r="E1672" s="9" t="str">
        <f t="shared" ca="1" si="38"/>
        <v/>
      </c>
      <c r="F1672" s="4" t="s">
        <v>7</v>
      </c>
      <c r="G1672" s="2">
        <f>IF(ISNUMBER(SEARCH(Лист2!$B$4,F:F)),1,0)</f>
        <v>0</v>
      </c>
      <c r="H1672" s="3">
        <f ca="1">IF(AND(I1672&lt;&gt;I1671,ISNUMBER(SEARCH(Лист2!$B$5,I:I)),G1672=1),MAX($H$3:OFFSET(H1672,-1,0))+1,0)</f>
        <v>0</v>
      </c>
      <c r="I1672" s="3" t="s">
        <v>205</v>
      </c>
      <c r="K1672" s="2">
        <f>IF(ISNUMBER(SEARCH(Лист2!$B$4,F:F)),1,0)</f>
        <v>0</v>
      </c>
      <c r="L1672" s="14">
        <f>IF(ISNUMBER(SEARCH(Лист2!$B$5,I:I)),1,0)+K1672</f>
        <v>0</v>
      </c>
      <c r="M1672" s="3">
        <f ca="1">IF(AND(N1672&lt;&gt;N1671,ISNUMBER(SEARCH(Лист2!$B$6,N:N)),L1672=2),MAX($M$3:OFFSET(M1672,-1,0))+1,0)</f>
        <v>0</v>
      </c>
      <c r="N1672" s="3" t="s">
        <v>1542</v>
      </c>
    </row>
    <row r="1673" spans="1:14" x14ac:dyDescent="0.25">
      <c r="A1673" s="1" t="s">
        <v>11148</v>
      </c>
      <c r="B1673" s="3" t="s">
        <v>5297</v>
      </c>
      <c r="C1673" s="2">
        <f ca="1">IF(ISNUMBER(SEARCH(Лист2!$B$4,D:D)),MAX($C$3:OFFSET(C1673,-1,0))+1,0)</f>
        <v>0</v>
      </c>
      <c r="E1673" s="9" t="str">
        <f t="shared" ca="1" si="38"/>
        <v/>
      </c>
      <c r="F1673" s="4" t="s">
        <v>7</v>
      </c>
      <c r="G1673" s="2">
        <f>IF(ISNUMBER(SEARCH(Лист2!$B$4,F:F)),1,0)</f>
        <v>0</v>
      </c>
      <c r="H1673" s="3">
        <f ca="1">IF(AND(I1673&lt;&gt;I1672,ISNUMBER(SEARCH(Лист2!$B$5,I:I)),G1673=1),MAX($H$3:OFFSET(H1673,-1,0))+1,0)</f>
        <v>0</v>
      </c>
      <c r="I1673" s="3" t="s">
        <v>205</v>
      </c>
      <c r="K1673" s="2">
        <f>IF(ISNUMBER(SEARCH(Лист2!$B$4,F:F)),1,0)</f>
        <v>0</v>
      </c>
      <c r="L1673" s="14">
        <f>IF(ISNUMBER(SEARCH(Лист2!$B$5,I:I)),1,0)+K1673</f>
        <v>0</v>
      </c>
      <c r="M1673" s="3">
        <f ca="1">IF(AND(N1673&lt;&gt;N1672,ISNUMBER(SEARCH(Лист2!$B$6,N:N)),L1673=2),MAX($M$3:OFFSET(M1673,-1,0))+1,0)</f>
        <v>0</v>
      </c>
      <c r="N1673" s="3" t="s">
        <v>1543</v>
      </c>
    </row>
    <row r="1674" spans="1:14" x14ac:dyDescent="0.25">
      <c r="A1674" s="1" t="s">
        <v>11149</v>
      </c>
      <c r="B1674" s="3" t="s">
        <v>5298</v>
      </c>
      <c r="C1674" s="2">
        <f ca="1">IF(ISNUMBER(SEARCH(Лист2!$B$4,D:D)),MAX($C$3:OFFSET(C1674,-1,0))+1,0)</f>
        <v>0</v>
      </c>
      <c r="E1674" s="9" t="str">
        <f t="shared" ca="1" si="38"/>
        <v/>
      </c>
      <c r="F1674" s="4" t="s">
        <v>7</v>
      </c>
      <c r="G1674" s="2">
        <f>IF(ISNUMBER(SEARCH(Лист2!$B$4,F:F)),1,0)</f>
        <v>0</v>
      </c>
      <c r="H1674" s="3">
        <f ca="1">IF(AND(I1674&lt;&gt;I1673,ISNUMBER(SEARCH(Лист2!$B$5,I:I)),G1674=1),MAX($H$3:OFFSET(H1674,-1,0))+1,0)</f>
        <v>0</v>
      </c>
      <c r="I1674" s="3" t="s">
        <v>205</v>
      </c>
      <c r="K1674" s="2">
        <f>IF(ISNUMBER(SEARCH(Лист2!$B$4,F:F)),1,0)</f>
        <v>0</v>
      </c>
      <c r="L1674" s="14">
        <f>IF(ISNUMBER(SEARCH(Лист2!$B$5,I:I)),1,0)+K1674</f>
        <v>0</v>
      </c>
      <c r="M1674" s="3">
        <f ca="1">IF(AND(N1674&lt;&gt;N1673,ISNUMBER(SEARCH(Лист2!$B$6,N:N)),L1674=2),MAX($M$3:OFFSET(M1674,-1,0))+1,0)</f>
        <v>0</v>
      </c>
      <c r="N1674" s="3" t="s">
        <v>1544</v>
      </c>
    </row>
    <row r="1675" spans="1:14" x14ac:dyDescent="0.25">
      <c r="A1675" s="1" t="s">
        <v>11150</v>
      </c>
      <c r="B1675" s="3" t="s">
        <v>5299</v>
      </c>
      <c r="C1675" s="2">
        <f ca="1">IF(ISNUMBER(SEARCH(Лист2!$B$4,D:D)),MAX($C$3:OFFSET(C1675,-1,0))+1,0)</f>
        <v>0</v>
      </c>
      <c r="E1675" s="9" t="str">
        <f t="shared" ca="1" si="38"/>
        <v/>
      </c>
      <c r="F1675" s="4" t="s">
        <v>7</v>
      </c>
      <c r="G1675" s="2">
        <f>IF(ISNUMBER(SEARCH(Лист2!$B$4,F:F)),1,0)</f>
        <v>0</v>
      </c>
      <c r="H1675" s="3">
        <f ca="1">IF(AND(I1675&lt;&gt;I1674,ISNUMBER(SEARCH(Лист2!$B$5,I:I)),G1675=1),MAX($H$3:OFFSET(H1675,-1,0))+1,0)</f>
        <v>0</v>
      </c>
      <c r="I1675" s="3" t="s">
        <v>205</v>
      </c>
      <c r="K1675" s="2">
        <f>IF(ISNUMBER(SEARCH(Лист2!$B$4,F:F)),1,0)</f>
        <v>0</v>
      </c>
      <c r="L1675" s="14">
        <f>IF(ISNUMBER(SEARCH(Лист2!$B$5,I:I)),1,0)+K1675</f>
        <v>0</v>
      </c>
      <c r="M1675" s="3">
        <f ca="1">IF(AND(N1675&lt;&gt;N1674,ISNUMBER(SEARCH(Лист2!$B$6,N:N)),L1675=2),MAX($M$3:OFFSET(M1675,-1,0))+1,0)</f>
        <v>0</v>
      </c>
      <c r="N1675" s="3" t="s">
        <v>1545</v>
      </c>
    </row>
    <row r="1676" spans="1:14" x14ac:dyDescent="0.25">
      <c r="A1676" s="1" t="s">
        <v>11151</v>
      </c>
      <c r="B1676" s="3" t="s">
        <v>5300</v>
      </c>
      <c r="C1676" s="2">
        <f ca="1">IF(ISNUMBER(SEARCH(Лист2!$B$4,D:D)),MAX($C$3:OFFSET(C1676,-1,0))+1,0)</f>
        <v>0</v>
      </c>
      <c r="E1676" s="9" t="str">
        <f t="shared" ca="1" si="38"/>
        <v/>
      </c>
      <c r="F1676" s="4" t="s">
        <v>7</v>
      </c>
      <c r="G1676" s="2">
        <f>IF(ISNUMBER(SEARCH(Лист2!$B$4,F:F)),1,0)</f>
        <v>0</v>
      </c>
      <c r="H1676" s="3">
        <f ca="1">IF(AND(I1676&lt;&gt;I1675,ISNUMBER(SEARCH(Лист2!$B$5,I:I)),G1676=1),MAX($H$3:OFFSET(H1676,-1,0))+1,0)</f>
        <v>0</v>
      </c>
      <c r="I1676" s="3" t="s">
        <v>205</v>
      </c>
      <c r="K1676" s="2">
        <f>IF(ISNUMBER(SEARCH(Лист2!$B$4,F:F)),1,0)</f>
        <v>0</v>
      </c>
      <c r="L1676" s="14">
        <f>IF(ISNUMBER(SEARCH(Лист2!$B$5,I:I)),1,0)+K1676</f>
        <v>0</v>
      </c>
      <c r="M1676" s="3">
        <f ca="1">IF(AND(N1676&lt;&gt;N1675,ISNUMBER(SEARCH(Лист2!$B$6,N:N)),L1676=2),MAX($M$3:OFFSET(M1676,-1,0))+1,0)</f>
        <v>0</v>
      </c>
      <c r="N1676" s="3" t="s">
        <v>602</v>
      </c>
    </row>
    <row r="1677" spans="1:14" x14ac:dyDescent="0.25">
      <c r="A1677" s="1" t="s">
        <v>11152</v>
      </c>
      <c r="B1677" s="3" t="s">
        <v>5301</v>
      </c>
      <c r="C1677" s="2">
        <f ca="1">IF(ISNUMBER(SEARCH(Лист2!$B$4,D:D)),MAX($C$3:OFFSET(C1677,-1,0))+1,0)</f>
        <v>0</v>
      </c>
      <c r="E1677" s="9" t="str">
        <f t="shared" ca="1" si="38"/>
        <v/>
      </c>
      <c r="F1677" s="4" t="s">
        <v>7</v>
      </c>
      <c r="G1677" s="2">
        <f>IF(ISNUMBER(SEARCH(Лист2!$B$4,F:F)),1,0)</f>
        <v>0</v>
      </c>
      <c r="H1677" s="3">
        <f ca="1">IF(AND(I1677&lt;&gt;I1676,ISNUMBER(SEARCH(Лист2!$B$5,I:I)),G1677=1),MAX($H$3:OFFSET(H1677,-1,0))+1,0)</f>
        <v>0</v>
      </c>
      <c r="I1677" s="3" t="s">
        <v>205</v>
      </c>
      <c r="K1677" s="2">
        <f>IF(ISNUMBER(SEARCH(Лист2!$B$4,F:F)),1,0)</f>
        <v>0</v>
      </c>
      <c r="L1677" s="14">
        <f>IF(ISNUMBER(SEARCH(Лист2!$B$5,I:I)),1,0)+K1677</f>
        <v>0</v>
      </c>
      <c r="M1677" s="3">
        <f ca="1">IF(AND(N1677&lt;&gt;N1676,ISNUMBER(SEARCH(Лист2!$B$6,N:N)),L1677=2),MAX($M$3:OFFSET(M1677,-1,0))+1,0)</f>
        <v>0</v>
      </c>
      <c r="N1677" s="3" t="s">
        <v>1546</v>
      </c>
    </row>
    <row r="1678" spans="1:14" x14ac:dyDescent="0.25">
      <c r="A1678" s="1" t="s">
        <v>11153</v>
      </c>
      <c r="B1678" s="3" t="s">
        <v>5302</v>
      </c>
      <c r="C1678" s="2">
        <f ca="1">IF(ISNUMBER(SEARCH(Лист2!$B$4,D:D)),MAX($C$3:OFFSET(C1678,-1,0))+1,0)</f>
        <v>0</v>
      </c>
      <c r="E1678" s="9" t="str">
        <f t="shared" ca="1" si="38"/>
        <v/>
      </c>
      <c r="F1678" s="4" t="s">
        <v>7</v>
      </c>
      <c r="G1678" s="2">
        <f>IF(ISNUMBER(SEARCH(Лист2!$B$4,F:F)),1,0)</f>
        <v>0</v>
      </c>
      <c r="H1678" s="3">
        <f ca="1">IF(AND(I1678&lt;&gt;I1677,ISNUMBER(SEARCH(Лист2!$B$5,I:I)),G1678=1),MAX($H$3:OFFSET(H1678,-1,0))+1,0)</f>
        <v>0</v>
      </c>
      <c r="I1678" s="3" t="s">
        <v>206</v>
      </c>
      <c r="K1678" s="2">
        <f>IF(ISNUMBER(SEARCH(Лист2!$B$4,F:F)),1,0)</f>
        <v>0</v>
      </c>
      <c r="L1678" s="14">
        <f>IF(ISNUMBER(SEARCH(Лист2!$B$5,I:I)),1,0)+K1678</f>
        <v>1</v>
      </c>
      <c r="M1678" s="3">
        <f ca="1">IF(AND(N1678&lt;&gt;N1677,ISNUMBER(SEARCH(Лист2!$B$6,N:N)),L1678=2),MAX($M$3:OFFSET(M1678,-1,0))+1,0)</f>
        <v>0</v>
      </c>
      <c r="N1678" s="3" t="s">
        <v>1547</v>
      </c>
    </row>
    <row r="1679" spans="1:14" x14ac:dyDescent="0.25">
      <c r="A1679" s="1" t="s">
        <v>11154</v>
      </c>
      <c r="B1679" s="3" t="s">
        <v>5303</v>
      </c>
      <c r="C1679" s="2">
        <f ca="1">IF(ISNUMBER(SEARCH(Лист2!$B$4,D:D)),MAX($C$3:OFFSET(C1679,-1,0))+1,0)</f>
        <v>0</v>
      </c>
      <c r="E1679" s="9" t="str">
        <f t="shared" ca="1" si="38"/>
        <v/>
      </c>
      <c r="F1679" s="4" t="s">
        <v>7</v>
      </c>
      <c r="G1679" s="2">
        <f>IF(ISNUMBER(SEARCH(Лист2!$B$4,F:F)),1,0)</f>
        <v>0</v>
      </c>
      <c r="H1679" s="3">
        <f ca="1">IF(AND(I1679&lt;&gt;I1678,ISNUMBER(SEARCH(Лист2!$B$5,I:I)),G1679=1),MAX($H$3:OFFSET(H1679,-1,0))+1,0)</f>
        <v>0</v>
      </c>
      <c r="I1679" s="3" t="s">
        <v>206</v>
      </c>
      <c r="K1679" s="2">
        <f>IF(ISNUMBER(SEARCH(Лист2!$B$4,F:F)),1,0)</f>
        <v>0</v>
      </c>
      <c r="L1679" s="14">
        <f>IF(ISNUMBER(SEARCH(Лист2!$B$5,I:I)),1,0)+K1679</f>
        <v>1</v>
      </c>
      <c r="M1679" s="3">
        <f ca="1">IF(AND(N1679&lt;&gt;N1678,ISNUMBER(SEARCH(Лист2!$B$6,N:N)),L1679=2),MAX($M$3:OFFSET(M1679,-1,0))+1,0)</f>
        <v>0</v>
      </c>
      <c r="N1679" s="3" t="s">
        <v>1548</v>
      </c>
    </row>
    <row r="1680" spans="1:14" x14ac:dyDescent="0.25">
      <c r="A1680" s="1" t="s">
        <v>11155</v>
      </c>
      <c r="B1680" s="3" t="s">
        <v>5304</v>
      </c>
      <c r="C1680" s="2">
        <f ca="1">IF(ISNUMBER(SEARCH(Лист2!$B$4,D:D)),MAX($C$3:OFFSET(C1680,-1,0))+1,0)</f>
        <v>0</v>
      </c>
      <c r="E1680" s="9" t="str">
        <f t="shared" ca="1" si="38"/>
        <v/>
      </c>
      <c r="F1680" s="4" t="s">
        <v>7</v>
      </c>
      <c r="G1680" s="2">
        <f>IF(ISNUMBER(SEARCH(Лист2!$B$4,F:F)),1,0)</f>
        <v>0</v>
      </c>
      <c r="H1680" s="3">
        <f ca="1">IF(AND(I1680&lt;&gt;I1679,ISNUMBER(SEARCH(Лист2!$B$5,I:I)),G1680=1),MAX($H$3:OFFSET(H1680,-1,0))+1,0)</f>
        <v>0</v>
      </c>
      <c r="I1680" s="3" t="s">
        <v>206</v>
      </c>
      <c r="K1680" s="2">
        <f>IF(ISNUMBER(SEARCH(Лист2!$B$4,F:F)),1,0)</f>
        <v>0</v>
      </c>
      <c r="L1680" s="14">
        <f>IF(ISNUMBER(SEARCH(Лист2!$B$5,I:I)),1,0)+K1680</f>
        <v>1</v>
      </c>
      <c r="M1680" s="3">
        <f ca="1">IF(AND(N1680&lt;&gt;N1679,ISNUMBER(SEARCH(Лист2!$B$6,N:N)),L1680=2),MAX($M$3:OFFSET(M1680,-1,0))+1,0)</f>
        <v>0</v>
      </c>
      <c r="N1680" s="3" t="s">
        <v>1549</v>
      </c>
    </row>
    <row r="1681" spans="1:14" x14ac:dyDescent="0.25">
      <c r="A1681" s="1" t="s">
        <v>11156</v>
      </c>
      <c r="B1681" s="3" t="s">
        <v>5305</v>
      </c>
      <c r="C1681" s="2">
        <f ca="1">IF(ISNUMBER(SEARCH(Лист2!$B$4,D:D)),MAX($C$3:OFFSET(C1681,-1,0))+1,0)</f>
        <v>0</v>
      </c>
      <c r="E1681" s="9" t="str">
        <f t="shared" ca="1" si="38"/>
        <v/>
      </c>
      <c r="F1681" s="4" t="s">
        <v>7</v>
      </c>
      <c r="G1681" s="2">
        <f>IF(ISNUMBER(SEARCH(Лист2!$B$4,F:F)),1,0)</f>
        <v>0</v>
      </c>
      <c r="H1681" s="3">
        <f ca="1">IF(AND(I1681&lt;&gt;I1680,ISNUMBER(SEARCH(Лист2!$B$5,I:I)),G1681=1),MAX($H$3:OFFSET(H1681,-1,0))+1,0)</f>
        <v>0</v>
      </c>
      <c r="I1681" s="3" t="s">
        <v>206</v>
      </c>
      <c r="K1681" s="2">
        <f>IF(ISNUMBER(SEARCH(Лист2!$B$4,F:F)),1,0)</f>
        <v>0</v>
      </c>
      <c r="L1681" s="14">
        <f>IF(ISNUMBER(SEARCH(Лист2!$B$5,I:I)),1,0)+K1681</f>
        <v>1</v>
      </c>
      <c r="M1681" s="3">
        <f ca="1">IF(AND(N1681&lt;&gt;N1680,ISNUMBER(SEARCH(Лист2!$B$6,N:N)),L1681=2),MAX($M$3:OFFSET(M1681,-1,0))+1,0)</f>
        <v>0</v>
      </c>
      <c r="N1681" s="3" t="s">
        <v>1550</v>
      </c>
    </row>
    <row r="1682" spans="1:14" x14ac:dyDescent="0.25">
      <c r="A1682" s="1" t="s">
        <v>11157</v>
      </c>
      <c r="B1682" s="3" t="s">
        <v>5306</v>
      </c>
      <c r="C1682" s="2">
        <f ca="1">IF(ISNUMBER(SEARCH(Лист2!$B$4,D:D)),MAX($C$3:OFFSET(C1682,-1,0))+1,0)</f>
        <v>0</v>
      </c>
      <c r="E1682" s="9" t="str">
        <f t="shared" ca="1" si="38"/>
        <v/>
      </c>
      <c r="F1682" s="4" t="s">
        <v>7</v>
      </c>
      <c r="G1682" s="2">
        <f>IF(ISNUMBER(SEARCH(Лист2!$B$4,F:F)),1,0)</f>
        <v>0</v>
      </c>
      <c r="H1682" s="3">
        <f ca="1">IF(AND(I1682&lt;&gt;I1681,ISNUMBER(SEARCH(Лист2!$B$5,I:I)),G1682=1),MAX($H$3:OFFSET(H1682,-1,0))+1,0)</f>
        <v>0</v>
      </c>
      <c r="I1682" s="3" t="s">
        <v>206</v>
      </c>
      <c r="K1682" s="2">
        <f>IF(ISNUMBER(SEARCH(Лист2!$B$4,F:F)),1,0)</f>
        <v>0</v>
      </c>
      <c r="L1682" s="14">
        <f>IF(ISNUMBER(SEARCH(Лист2!$B$5,I:I)),1,0)+K1682</f>
        <v>1</v>
      </c>
      <c r="M1682" s="3">
        <f ca="1">IF(AND(N1682&lt;&gt;N1681,ISNUMBER(SEARCH(Лист2!$B$6,N:N)),L1682=2),MAX($M$3:OFFSET(M1682,-1,0))+1,0)</f>
        <v>0</v>
      </c>
      <c r="N1682" s="3" t="s">
        <v>1551</v>
      </c>
    </row>
    <row r="1683" spans="1:14" x14ac:dyDescent="0.25">
      <c r="A1683" s="1" t="s">
        <v>11158</v>
      </c>
      <c r="B1683" s="3" t="s">
        <v>5307</v>
      </c>
      <c r="C1683" s="2">
        <f ca="1">IF(ISNUMBER(SEARCH(Лист2!$B$4,D:D)),MAX($C$3:OFFSET(C1683,-1,0))+1,0)</f>
        <v>0</v>
      </c>
      <c r="E1683" s="9" t="str">
        <f t="shared" ca="1" si="38"/>
        <v/>
      </c>
      <c r="F1683" s="4" t="s">
        <v>7</v>
      </c>
      <c r="G1683" s="2">
        <f>IF(ISNUMBER(SEARCH(Лист2!$B$4,F:F)),1,0)</f>
        <v>0</v>
      </c>
      <c r="H1683" s="3">
        <f ca="1">IF(AND(I1683&lt;&gt;I1682,ISNUMBER(SEARCH(Лист2!$B$5,I:I)),G1683=1),MAX($H$3:OFFSET(H1683,-1,0))+1,0)</f>
        <v>0</v>
      </c>
      <c r="I1683" s="3" t="s">
        <v>206</v>
      </c>
      <c r="K1683" s="2">
        <f>IF(ISNUMBER(SEARCH(Лист2!$B$4,F:F)),1,0)</f>
        <v>0</v>
      </c>
      <c r="L1683" s="14">
        <f>IF(ISNUMBER(SEARCH(Лист2!$B$5,I:I)),1,0)+K1683</f>
        <v>1</v>
      </c>
      <c r="M1683" s="3">
        <f ca="1">IF(AND(N1683&lt;&gt;N1682,ISNUMBER(SEARCH(Лист2!$B$6,N:N)),L1683=2),MAX($M$3:OFFSET(M1683,-1,0))+1,0)</f>
        <v>0</v>
      </c>
      <c r="N1683" s="3" t="s">
        <v>1552</v>
      </c>
    </row>
    <row r="1684" spans="1:14" x14ac:dyDescent="0.25">
      <c r="A1684" s="1" t="s">
        <v>11159</v>
      </c>
      <c r="B1684" s="3" t="s">
        <v>5308</v>
      </c>
      <c r="C1684" s="2">
        <f ca="1">IF(ISNUMBER(SEARCH(Лист2!$B$4,D:D)),MAX($C$3:OFFSET(C1684,-1,0))+1,0)</f>
        <v>0</v>
      </c>
      <c r="E1684" s="9" t="str">
        <f t="shared" ca="1" si="38"/>
        <v/>
      </c>
      <c r="F1684" s="4" t="s">
        <v>7</v>
      </c>
      <c r="G1684" s="2">
        <f>IF(ISNUMBER(SEARCH(Лист2!$B$4,F:F)),1,0)</f>
        <v>0</v>
      </c>
      <c r="H1684" s="3">
        <f ca="1">IF(AND(I1684&lt;&gt;I1683,ISNUMBER(SEARCH(Лист2!$B$5,I:I)),G1684=1),MAX($H$3:OFFSET(H1684,-1,0))+1,0)</f>
        <v>0</v>
      </c>
      <c r="I1684" s="3" t="s">
        <v>206</v>
      </c>
      <c r="K1684" s="2">
        <f>IF(ISNUMBER(SEARCH(Лист2!$B$4,F:F)),1,0)</f>
        <v>0</v>
      </c>
      <c r="L1684" s="14">
        <f>IF(ISNUMBER(SEARCH(Лист2!$B$5,I:I)),1,0)+K1684</f>
        <v>1</v>
      </c>
      <c r="M1684" s="3">
        <f ca="1">IF(AND(N1684&lt;&gt;N1683,ISNUMBER(SEARCH(Лист2!$B$6,N:N)),L1684=2),MAX($M$3:OFFSET(M1684,-1,0))+1,0)</f>
        <v>0</v>
      </c>
      <c r="N1684" s="3" t="s">
        <v>602</v>
      </c>
    </row>
    <row r="1685" spans="1:14" x14ac:dyDescent="0.25">
      <c r="A1685" s="1" t="s">
        <v>11160</v>
      </c>
      <c r="B1685" s="3" t="s">
        <v>5309</v>
      </c>
      <c r="C1685" s="2">
        <f ca="1">IF(ISNUMBER(SEARCH(Лист2!$B$4,D:D)),MAX($C$3:OFFSET(C1685,-1,0))+1,0)</f>
        <v>0</v>
      </c>
      <c r="E1685" s="9" t="str">
        <f t="shared" ca="1" si="38"/>
        <v/>
      </c>
      <c r="F1685" s="4" t="s">
        <v>7</v>
      </c>
      <c r="G1685" s="2">
        <f>IF(ISNUMBER(SEARCH(Лист2!$B$4,F:F)),1,0)</f>
        <v>0</v>
      </c>
      <c r="H1685" s="3">
        <f ca="1">IF(AND(I1685&lt;&gt;I1684,ISNUMBER(SEARCH(Лист2!$B$5,I:I)),G1685=1),MAX($H$3:OFFSET(H1685,-1,0))+1,0)</f>
        <v>0</v>
      </c>
      <c r="I1685" s="3" t="s">
        <v>206</v>
      </c>
      <c r="K1685" s="2">
        <f>IF(ISNUMBER(SEARCH(Лист2!$B$4,F:F)),1,0)</f>
        <v>0</v>
      </c>
      <c r="L1685" s="14">
        <f>IF(ISNUMBER(SEARCH(Лист2!$B$5,I:I)),1,0)+K1685</f>
        <v>1</v>
      </c>
      <c r="M1685" s="3">
        <f ca="1">IF(AND(N1685&lt;&gt;N1684,ISNUMBER(SEARCH(Лист2!$B$6,N:N)),L1685=2),MAX($M$3:OFFSET(M1685,-1,0))+1,0)</f>
        <v>0</v>
      </c>
      <c r="N1685" s="3" t="s">
        <v>1553</v>
      </c>
    </row>
    <row r="1686" spans="1:14" x14ac:dyDescent="0.25">
      <c r="A1686" s="1" t="s">
        <v>11161</v>
      </c>
      <c r="B1686" s="3" t="s">
        <v>5310</v>
      </c>
      <c r="C1686" s="2">
        <f ca="1">IF(ISNUMBER(SEARCH(Лист2!$B$4,D:D)),MAX($C$3:OFFSET(C1686,-1,0))+1,0)</f>
        <v>0</v>
      </c>
      <c r="E1686" s="9" t="str">
        <f t="shared" ca="1" si="38"/>
        <v/>
      </c>
      <c r="F1686" s="4" t="s">
        <v>7</v>
      </c>
      <c r="G1686" s="2">
        <f>IF(ISNUMBER(SEARCH(Лист2!$B$4,F:F)),1,0)</f>
        <v>0</v>
      </c>
      <c r="H1686" s="3">
        <f ca="1">IF(AND(I1686&lt;&gt;I1685,ISNUMBER(SEARCH(Лист2!$B$5,I:I)),G1686=1),MAX($H$3:OFFSET(H1686,-1,0))+1,0)</f>
        <v>0</v>
      </c>
      <c r="I1686" s="3" t="s">
        <v>207</v>
      </c>
      <c r="K1686" s="2">
        <f>IF(ISNUMBER(SEARCH(Лист2!$B$4,F:F)),1,0)</f>
        <v>0</v>
      </c>
      <c r="L1686" s="14">
        <f>IF(ISNUMBER(SEARCH(Лист2!$B$5,I:I)),1,0)+K1686</f>
        <v>0</v>
      </c>
      <c r="M1686" s="3">
        <f ca="1">IF(AND(N1686&lt;&gt;N1685,ISNUMBER(SEARCH(Лист2!$B$6,N:N)),L1686=2),MAX($M$3:OFFSET(M1686,-1,0))+1,0)</f>
        <v>0</v>
      </c>
      <c r="N1686" s="3" t="s">
        <v>1554</v>
      </c>
    </row>
    <row r="1687" spans="1:14" x14ac:dyDescent="0.25">
      <c r="A1687" s="1" t="s">
        <v>11162</v>
      </c>
      <c r="B1687" s="3" t="s">
        <v>5311</v>
      </c>
      <c r="C1687" s="2">
        <f ca="1">IF(ISNUMBER(SEARCH(Лист2!$B$4,D:D)),MAX($C$3:OFFSET(C1687,-1,0))+1,0)</f>
        <v>0</v>
      </c>
      <c r="E1687" s="9" t="str">
        <f t="shared" ca="1" si="38"/>
        <v/>
      </c>
      <c r="F1687" s="4" t="s">
        <v>7</v>
      </c>
      <c r="G1687" s="2">
        <f>IF(ISNUMBER(SEARCH(Лист2!$B$4,F:F)),1,0)</f>
        <v>0</v>
      </c>
      <c r="H1687" s="3">
        <f ca="1">IF(AND(I1687&lt;&gt;I1686,ISNUMBER(SEARCH(Лист2!$B$5,I:I)),G1687=1),MAX($H$3:OFFSET(H1687,-1,0))+1,0)</f>
        <v>0</v>
      </c>
      <c r="I1687" s="3" t="s">
        <v>207</v>
      </c>
      <c r="K1687" s="2">
        <f>IF(ISNUMBER(SEARCH(Лист2!$B$4,F:F)),1,0)</f>
        <v>0</v>
      </c>
      <c r="L1687" s="14">
        <f>IF(ISNUMBER(SEARCH(Лист2!$B$5,I:I)),1,0)+K1687</f>
        <v>0</v>
      </c>
      <c r="M1687" s="3">
        <f ca="1">IF(AND(N1687&lt;&gt;N1686,ISNUMBER(SEARCH(Лист2!$B$6,N:N)),L1687=2),MAX($M$3:OFFSET(M1687,-1,0))+1,0)</f>
        <v>0</v>
      </c>
      <c r="N1687" s="3" t="s">
        <v>1555</v>
      </c>
    </row>
    <row r="1688" spans="1:14" x14ac:dyDescent="0.25">
      <c r="A1688" s="1" t="s">
        <v>11163</v>
      </c>
      <c r="B1688" s="3" t="s">
        <v>5312</v>
      </c>
      <c r="C1688" s="2">
        <f ca="1">IF(ISNUMBER(SEARCH(Лист2!$B$4,D:D)),MAX($C$3:OFFSET(C1688,-1,0))+1,0)</f>
        <v>0</v>
      </c>
      <c r="E1688" s="9" t="str">
        <f t="shared" ca="1" si="38"/>
        <v/>
      </c>
      <c r="F1688" s="4" t="s">
        <v>7</v>
      </c>
      <c r="G1688" s="2">
        <f>IF(ISNUMBER(SEARCH(Лист2!$B$4,F:F)),1,0)</f>
        <v>0</v>
      </c>
      <c r="H1688" s="3">
        <f ca="1">IF(AND(I1688&lt;&gt;I1687,ISNUMBER(SEARCH(Лист2!$B$5,I:I)),G1688=1),MAX($H$3:OFFSET(H1688,-1,0))+1,0)</f>
        <v>0</v>
      </c>
      <c r="I1688" s="3" t="s">
        <v>207</v>
      </c>
      <c r="K1688" s="2">
        <f>IF(ISNUMBER(SEARCH(Лист2!$B$4,F:F)),1,0)</f>
        <v>0</v>
      </c>
      <c r="L1688" s="14">
        <f>IF(ISNUMBER(SEARCH(Лист2!$B$5,I:I)),1,0)+K1688</f>
        <v>0</v>
      </c>
      <c r="M1688" s="3">
        <f ca="1">IF(AND(N1688&lt;&gt;N1687,ISNUMBER(SEARCH(Лист2!$B$6,N:N)),L1688=2),MAX($M$3:OFFSET(M1688,-1,0))+1,0)</f>
        <v>0</v>
      </c>
      <c r="N1688" s="3" t="s">
        <v>1556</v>
      </c>
    </row>
    <row r="1689" spans="1:14" x14ac:dyDescent="0.25">
      <c r="A1689" s="1" t="s">
        <v>11164</v>
      </c>
      <c r="B1689" s="3" t="s">
        <v>5313</v>
      </c>
      <c r="C1689" s="2">
        <f ca="1">IF(ISNUMBER(SEARCH(Лист2!$B$4,D:D)),MAX($C$3:OFFSET(C1689,-1,0))+1,0)</f>
        <v>0</v>
      </c>
      <c r="E1689" s="9" t="str">
        <f t="shared" ca="1" si="38"/>
        <v/>
      </c>
      <c r="F1689" s="4" t="s">
        <v>7</v>
      </c>
      <c r="G1689" s="2">
        <f>IF(ISNUMBER(SEARCH(Лист2!$B$4,F:F)),1,0)</f>
        <v>0</v>
      </c>
      <c r="H1689" s="3">
        <f ca="1">IF(AND(I1689&lt;&gt;I1688,ISNUMBER(SEARCH(Лист2!$B$5,I:I)),G1689=1),MAX($H$3:OFFSET(H1689,-1,0))+1,0)</f>
        <v>0</v>
      </c>
      <c r="I1689" s="3" t="s">
        <v>207</v>
      </c>
      <c r="K1689" s="2">
        <f>IF(ISNUMBER(SEARCH(Лист2!$B$4,F:F)),1,0)</f>
        <v>0</v>
      </c>
      <c r="L1689" s="14">
        <f>IF(ISNUMBER(SEARCH(Лист2!$B$5,I:I)),1,0)+K1689</f>
        <v>0</v>
      </c>
      <c r="M1689" s="3">
        <f ca="1">IF(AND(N1689&lt;&gt;N1688,ISNUMBER(SEARCH(Лист2!$B$6,N:N)),L1689=2),MAX($M$3:OFFSET(M1689,-1,0))+1,0)</f>
        <v>0</v>
      </c>
      <c r="N1689" s="3" t="s">
        <v>1557</v>
      </c>
    </row>
    <row r="1690" spans="1:14" x14ac:dyDescent="0.25">
      <c r="A1690" s="1" t="s">
        <v>11165</v>
      </c>
      <c r="B1690" s="3" t="s">
        <v>5314</v>
      </c>
      <c r="C1690" s="2">
        <f ca="1">IF(ISNUMBER(SEARCH(Лист2!$B$4,D:D)),MAX($C$3:OFFSET(C1690,-1,0))+1,0)</f>
        <v>0</v>
      </c>
      <c r="E1690" s="9" t="str">
        <f t="shared" ca="1" si="38"/>
        <v/>
      </c>
      <c r="F1690" s="4" t="s">
        <v>7</v>
      </c>
      <c r="G1690" s="2">
        <f>IF(ISNUMBER(SEARCH(Лист2!$B$4,F:F)),1,0)</f>
        <v>0</v>
      </c>
      <c r="H1690" s="3">
        <f ca="1">IF(AND(I1690&lt;&gt;I1689,ISNUMBER(SEARCH(Лист2!$B$5,I:I)),G1690=1),MAX($H$3:OFFSET(H1690,-1,0))+1,0)</f>
        <v>0</v>
      </c>
      <c r="I1690" s="3" t="s">
        <v>207</v>
      </c>
      <c r="K1690" s="2">
        <f>IF(ISNUMBER(SEARCH(Лист2!$B$4,F:F)),1,0)</f>
        <v>0</v>
      </c>
      <c r="L1690" s="14">
        <f>IF(ISNUMBER(SEARCH(Лист2!$B$5,I:I)),1,0)+K1690</f>
        <v>0</v>
      </c>
      <c r="M1690" s="3">
        <f ca="1">IF(AND(N1690&lt;&gt;N1689,ISNUMBER(SEARCH(Лист2!$B$6,N:N)),L1690=2),MAX($M$3:OFFSET(M1690,-1,0))+1,0)</f>
        <v>0</v>
      </c>
      <c r="N1690" s="3" t="s">
        <v>1558</v>
      </c>
    </row>
    <row r="1691" spans="1:14" x14ac:dyDescent="0.25">
      <c r="A1691" s="1" t="s">
        <v>11166</v>
      </c>
      <c r="B1691" s="3" t="s">
        <v>5315</v>
      </c>
      <c r="C1691" s="2">
        <f ca="1">IF(ISNUMBER(SEARCH(Лист2!$B$4,D:D)),MAX($C$3:OFFSET(C1691,-1,0))+1,0)</f>
        <v>0</v>
      </c>
      <c r="E1691" s="9" t="str">
        <f t="shared" ca="1" si="38"/>
        <v/>
      </c>
      <c r="F1691" s="4" t="s">
        <v>7</v>
      </c>
      <c r="G1691" s="2">
        <f>IF(ISNUMBER(SEARCH(Лист2!$B$4,F:F)),1,0)</f>
        <v>0</v>
      </c>
      <c r="H1691" s="3">
        <f ca="1">IF(AND(I1691&lt;&gt;I1690,ISNUMBER(SEARCH(Лист2!$B$5,I:I)),G1691=1),MAX($H$3:OFFSET(H1691,-1,0))+1,0)</f>
        <v>0</v>
      </c>
      <c r="I1691" s="3" t="s">
        <v>207</v>
      </c>
      <c r="K1691" s="2">
        <f>IF(ISNUMBER(SEARCH(Лист2!$B$4,F:F)),1,0)</f>
        <v>0</v>
      </c>
      <c r="L1691" s="14">
        <f>IF(ISNUMBER(SEARCH(Лист2!$B$5,I:I)),1,0)+K1691</f>
        <v>0</v>
      </c>
      <c r="M1691" s="3">
        <f ca="1">IF(AND(N1691&lt;&gt;N1690,ISNUMBER(SEARCH(Лист2!$B$6,N:N)),L1691=2),MAX($M$3:OFFSET(M1691,-1,0))+1,0)</f>
        <v>0</v>
      </c>
      <c r="N1691" s="3" t="s">
        <v>1559</v>
      </c>
    </row>
    <row r="1692" spans="1:14" x14ac:dyDescent="0.25">
      <c r="A1692" s="1" t="s">
        <v>11167</v>
      </c>
      <c r="B1692" s="3" t="s">
        <v>5316</v>
      </c>
      <c r="C1692" s="2">
        <f ca="1">IF(ISNUMBER(SEARCH(Лист2!$B$4,D:D)),MAX($C$3:OFFSET(C1692,-1,0))+1,0)</f>
        <v>0</v>
      </c>
      <c r="E1692" s="9" t="str">
        <f t="shared" ca="1" si="38"/>
        <v/>
      </c>
      <c r="F1692" s="4" t="s">
        <v>7</v>
      </c>
      <c r="G1692" s="2">
        <f>IF(ISNUMBER(SEARCH(Лист2!$B$4,F:F)),1,0)</f>
        <v>0</v>
      </c>
      <c r="H1692" s="3">
        <f ca="1">IF(AND(I1692&lt;&gt;I1691,ISNUMBER(SEARCH(Лист2!$B$5,I:I)),G1692=1),MAX($H$3:OFFSET(H1692,-1,0))+1,0)</f>
        <v>0</v>
      </c>
      <c r="I1692" s="3" t="s">
        <v>207</v>
      </c>
      <c r="K1692" s="2">
        <f>IF(ISNUMBER(SEARCH(Лист2!$B$4,F:F)),1,0)</f>
        <v>0</v>
      </c>
      <c r="L1692" s="14">
        <f>IF(ISNUMBER(SEARCH(Лист2!$B$5,I:I)),1,0)+K1692</f>
        <v>0</v>
      </c>
      <c r="M1692" s="3">
        <f ca="1">IF(AND(N1692&lt;&gt;N1691,ISNUMBER(SEARCH(Лист2!$B$6,N:N)),L1692=2),MAX($M$3:OFFSET(M1692,-1,0))+1,0)</f>
        <v>0</v>
      </c>
      <c r="N1692" s="3" t="s">
        <v>1560</v>
      </c>
    </row>
    <row r="1693" spans="1:14" x14ac:dyDescent="0.25">
      <c r="A1693" s="1" t="s">
        <v>11168</v>
      </c>
      <c r="B1693" s="3" t="s">
        <v>5317</v>
      </c>
      <c r="C1693" s="2">
        <f ca="1">IF(ISNUMBER(SEARCH(Лист2!$B$4,D:D)),MAX($C$3:OFFSET(C1693,-1,0))+1,0)</f>
        <v>0</v>
      </c>
      <c r="E1693" s="9" t="str">
        <f t="shared" ca="1" si="38"/>
        <v/>
      </c>
      <c r="F1693" s="4" t="s">
        <v>7</v>
      </c>
      <c r="G1693" s="2">
        <f>IF(ISNUMBER(SEARCH(Лист2!$B$4,F:F)),1,0)</f>
        <v>0</v>
      </c>
      <c r="H1693" s="3">
        <f ca="1">IF(AND(I1693&lt;&gt;I1692,ISNUMBER(SEARCH(Лист2!$B$5,I:I)),G1693=1),MAX($H$3:OFFSET(H1693,-1,0))+1,0)</f>
        <v>0</v>
      </c>
      <c r="I1693" s="3" t="s">
        <v>207</v>
      </c>
      <c r="K1693" s="2">
        <f>IF(ISNUMBER(SEARCH(Лист2!$B$4,F:F)),1,0)</f>
        <v>0</v>
      </c>
      <c r="L1693" s="14">
        <f>IF(ISNUMBER(SEARCH(Лист2!$B$5,I:I)),1,0)+K1693</f>
        <v>0</v>
      </c>
      <c r="M1693" s="3">
        <f ca="1">IF(AND(N1693&lt;&gt;N1692,ISNUMBER(SEARCH(Лист2!$B$6,N:N)),L1693=2),MAX($M$3:OFFSET(M1693,-1,0))+1,0)</f>
        <v>0</v>
      </c>
      <c r="N1693" s="3" t="s">
        <v>1561</v>
      </c>
    </row>
    <row r="1694" spans="1:14" x14ac:dyDescent="0.25">
      <c r="A1694" s="1" t="s">
        <v>11169</v>
      </c>
      <c r="B1694" s="3" t="s">
        <v>5318</v>
      </c>
      <c r="C1694" s="2">
        <f ca="1">IF(ISNUMBER(SEARCH(Лист2!$B$4,D:D)),MAX($C$3:OFFSET(C1694,-1,0))+1,0)</f>
        <v>0</v>
      </c>
      <c r="E1694" s="9" t="str">
        <f t="shared" ca="1" si="38"/>
        <v/>
      </c>
      <c r="F1694" s="4" t="s">
        <v>7</v>
      </c>
      <c r="G1694" s="2">
        <f>IF(ISNUMBER(SEARCH(Лист2!$B$4,F:F)),1,0)</f>
        <v>0</v>
      </c>
      <c r="H1694" s="3">
        <f ca="1">IF(AND(I1694&lt;&gt;I1693,ISNUMBER(SEARCH(Лист2!$B$5,I:I)),G1694=1),MAX($H$3:OFFSET(H1694,-1,0))+1,0)</f>
        <v>0</v>
      </c>
      <c r="I1694" s="3" t="s">
        <v>207</v>
      </c>
      <c r="K1694" s="2">
        <f>IF(ISNUMBER(SEARCH(Лист2!$B$4,F:F)),1,0)</f>
        <v>0</v>
      </c>
      <c r="L1694" s="14">
        <f>IF(ISNUMBER(SEARCH(Лист2!$B$5,I:I)),1,0)+K1694</f>
        <v>0</v>
      </c>
      <c r="M1694" s="3">
        <f ca="1">IF(AND(N1694&lt;&gt;N1693,ISNUMBER(SEARCH(Лист2!$B$6,N:N)),L1694=2),MAX($M$3:OFFSET(M1694,-1,0))+1,0)</f>
        <v>0</v>
      </c>
      <c r="N1694" s="3" t="s">
        <v>1562</v>
      </c>
    </row>
    <row r="1695" spans="1:14" x14ac:dyDescent="0.25">
      <c r="A1695" s="1" t="s">
        <v>11170</v>
      </c>
      <c r="B1695" s="3" t="s">
        <v>5319</v>
      </c>
      <c r="C1695" s="2">
        <f ca="1">IF(ISNUMBER(SEARCH(Лист2!$B$4,D:D)),MAX($C$3:OFFSET(C1695,-1,0))+1,0)</f>
        <v>0</v>
      </c>
      <c r="E1695" s="9" t="str">
        <f t="shared" ca="1" si="38"/>
        <v/>
      </c>
      <c r="F1695" s="4" t="s">
        <v>7</v>
      </c>
      <c r="G1695" s="2">
        <f>IF(ISNUMBER(SEARCH(Лист2!$B$4,F:F)),1,0)</f>
        <v>0</v>
      </c>
      <c r="H1695" s="3">
        <f ca="1">IF(AND(I1695&lt;&gt;I1694,ISNUMBER(SEARCH(Лист2!$B$5,I:I)),G1695=1),MAX($H$3:OFFSET(H1695,-1,0))+1,0)</f>
        <v>0</v>
      </c>
      <c r="I1695" s="3" t="s">
        <v>207</v>
      </c>
      <c r="K1695" s="2">
        <f>IF(ISNUMBER(SEARCH(Лист2!$B$4,F:F)),1,0)</f>
        <v>0</v>
      </c>
      <c r="L1695" s="14">
        <f>IF(ISNUMBER(SEARCH(Лист2!$B$5,I:I)),1,0)+K1695</f>
        <v>0</v>
      </c>
      <c r="M1695" s="3">
        <f ca="1">IF(AND(N1695&lt;&gt;N1694,ISNUMBER(SEARCH(Лист2!$B$6,N:N)),L1695=2),MAX($M$3:OFFSET(M1695,-1,0))+1,0)</f>
        <v>0</v>
      </c>
      <c r="N1695" s="3" t="s">
        <v>602</v>
      </c>
    </row>
    <row r="1696" spans="1:14" x14ac:dyDescent="0.25">
      <c r="A1696" s="1" t="s">
        <v>11171</v>
      </c>
      <c r="B1696" s="3" t="s">
        <v>5320</v>
      </c>
      <c r="C1696" s="2">
        <f ca="1">IF(ISNUMBER(SEARCH(Лист2!$B$4,D:D)),MAX($C$3:OFFSET(C1696,-1,0))+1,0)</f>
        <v>0</v>
      </c>
      <c r="E1696" s="9" t="str">
        <f t="shared" ca="1" si="38"/>
        <v/>
      </c>
      <c r="F1696" s="4" t="s">
        <v>7</v>
      </c>
      <c r="G1696" s="2">
        <f>IF(ISNUMBER(SEARCH(Лист2!$B$4,F:F)),1,0)</f>
        <v>0</v>
      </c>
      <c r="H1696" s="3">
        <f ca="1">IF(AND(I1696&lt;&gt;I1695,ISNUMBER(SEARCH(Лист2!$B$5,I:I)),G1696=1),MAX($H$3:OFFSET(H1696,-1,0))+1,0)</f>
        <v>0</v>
      </c>
      <c r="I1696" s="3" t="s">
        <v>207</v>
      </c>
      <c r="K1696" s="2">
        <f>IF(ISNUMBER(SEARCH(Лист2!$B$4,F:F)),1,0)</f>
        <v>0</v>
      </c>
      <c r="L1696" s="14">
        <f>IF(ISNUMBER(SEARCH(Лист2!$B$5,I:I)),1,0)+K1696</f>
        <v>0</v>
      </c>
      <c r="M1696" s="3">
        <f ca="1">IF(AND(N1696&lt;&gt;N1695,ISNUMBER(SEARCH(Лист2!$B$6,N:N)),L1696=2),MAX($M$3:OFFSET(M1696,-1,0))+1,0)</f>
        <v>0</v>
      </c>
      <c r="N1696" s="3" t="s">
        <v>1563</v>
      </c>
    </row>
    <row r="1697" spans="1:14" x14ac:dyDescent="0.25">
      <c r="A1697" s="1" t="s">
        <v>11172</v>
      </c>
      <c r="B1697" s="3" t="s">
        <v>5321</v>
      </c>
      <c r="C1697" s="2">
        <f ca="1">IF(ISNUMBER(SEARCH(Лист2!$B$4,D:D)),MAX($C$3:OFFSET(C1697,-1,0))+1,0)</f>
        <v>0</v>
      </c>
      <c r="E1697" s="9" t="str">
        <f t="shared" ca="1" si="38"/>
        <v/>
      </c>
      <c r="F1697" s="4" t="s">
        <v>7</v>
      </c>
      <c r="G1697" s="2">
        <f>IF(ISNUMBER(SEARCH(Лист2!$B$4,F:F)),1,0)</f>
        <v>0</v>
      </c>
      <c r="H1697" s="3">
        <f ca="1">IF(AND(I1697&lt;&gt;I1696,ISNUMBER(SEARCH(Лист2!$B$5,I:I)),G1697=1),MAX($H$3:OFFSET(H1697,-1,0))+1,0)</f>
        <v>0</v>
      </c>
      <c r="I1697" s="3" t="s">
        <v>208</v>
      </c>
      <c r="K1697" s="2">
        <f>IF(ISNUMBER(SEARCH(Лист2!$B$4,F:F)),1,0)</f>
        <v>0</v>
      </c>
      <c r="L1697" s="14">
        <f>IF(ISNUMBER(SEARCH(Лист2!$B$5,I:I)),1,0)+K1697</f>
        <v>0</v>
      </c>
      <c r="M1697" s="3">
        <f ca="1">IF(AND(N1697&lt;&gt;N1696,ISNUMBER(SEARCH(Лист2!$B$6,N:N)),L1697=2),MAX($M$3:OFFSET(M1697,-1,0))+1,0)</f>
        <v>0</v>
      </c>
      <c r="N1697" s="3" t="s">
        <v>1564</v>
      </c>
    </row>
    <row r="1698" spans="1:14" x14ac:dyDescent="0.25">
      <c r="A1698" s="1" t="s">
        <v>11173</v>
      </c>
      <c r="B1698" s="3" t="s">
        <v>5322</v>
      </c>
      <c r="C1698" s="2">
        <f ca="1">IF(ISNUMBER(SEARCH(Лист2!$B$4,D:D)),MAX($C$3:OFFSET(C1698,-1,0))+1,0)</f>
        <v>0</v>
      </c>
      <c r="E1698" s="9" t="str">
        <f t="shared" ca="1" si="38"/>
        <v/>
      </c>
      <c r="F1698" s="4" t="s">
        <v>7</v>
      </c>
      <c r="G1698" s="2">
        <f>IF(ISNUMBER(SEARCH(Лист2!$B$4,F:F)),1,0)</f>
        <v>0</v>
      </c>
      <c r="H1698" s="3">
        <f ca="1">IF(AND(I1698&lt;&gt;I1697,ISNUMBER(SEARCH(Лист2!$B$5,I:I)),G1698=1),MAX($H$3:OFFSET(H1698,-1,0))+1,0)</f>
        <v>0</v>
      </c>
      <c r="I1698" s="3" t="s">
        <v>208</v>
      </c>
      <c r="K1698" s="2">
        <f>IF(ISNUMBER(SEARCH(Лист2!$B$4,F:F)),1,0)</f>
        <v>0</v>
      </c>
      <c r="L1698" s="14">
        <f>IF(ISNUMBER(SEARCH(Лист2!$B$5,I:I)),1,0)+K1698</f>
        <v>0</v>
      </c>
      <c r="M1698" s="3">
        <f ca="1">IF(AND(N1698&lt;&gt;N1697,ISNUMBER(SEARCH(Лист2!$B$6,N:N)),L1698=2),MAX($M$3:OFFSET(M1698,-1,0))+1,0)</f>
        <v>0</v>
      </c>
      <c r="N1698" s="3" t="s">
        <v>1565</v>
      </c>
    </row>
    <row r="1699" spans="1:14" x14ac:dyDescent="0.25">
      <c r="A1699" s="1" t="s">
        <v>11174</v>
      </c>
      <c r="B1699" s="3" t="s">
        <v>5323</v>
      </c>
      <c r="C1699" s="2">
        <f ca="1">IF(ISNUMBER(SEARCH(Лист2!$B$4,D:D)),MAX($C$3:OFFSET(C1699,-1,0))+1,0)</f>
        <v>0</v>
      </c>
      <c r="E1699" s="9" t="str">
        <f t="shared" ca="1" si="38"/>
        <v/>
      </c>
      <c r="F1699" s="4" t="s">
        <v>7</v>
      </c>
      <c r="G1699" s="2">
        <f>IF(ISNUMBER(SEARCH(Лист2!$B$4,F:F)),1,0)</f>
        <v>0</v>
      </c>
      <c r="H1699" s="3">
        <f ca="1">IF(AND(I1699&lt;&gt;I1698,ISNUMBER(SEARCH(Лист2!$B$5,I:I)),G1699=1),MAX($H$3:OFFSET(H1699,-1,0))+1,0)</f>
        <v>0</v>
      </c>
      <c r="I1699" s="3" t="s">
        <v>208</v>
      </c>
      <c r="K1699" s="2">
        <f>IF(ISNUMBER(SEARCH(Лист2!$B$4,F:F)),1,0)</f>
        <v>0</v>
      </c>
      <c r="L1699" s="14">
        <f>IF(ISNUMBER(SEARCH(Лист2!$B$5,I:I)),1,0)+K1699</f>
        <v>0</v>
      </c>
      <c r="M1699" s="3">
        <f ca="1">IF(AND(N1699&lt;&gt;N1698,ISNUMBER(SEARCH(Лист2!$B$6,N:N)),L1699=2),MAX($M$3:OFFSET(M1699,-1,0))+1,0)</f>
        <v>0</v>
      </c>
      <c r="N1699" s="3" t="s">
        <v>1566</v>
      </c>
    </row>
    <row r="1700" spans="1:14" x14ac:dyDescent="0.25">
      <c r="A1700" s="1" t="s">
        <v>11175</v>
      </c>
      <c r="B1700" s="3" t="s">
        <v>5324</v>
      </c>
      <c r="C1700" s="2">
        <f ca="1">IF(ISNUMBER(SEARCH(Лист2!$B$4,D:D)),MAX($C$3:OFFSET(C1700,-1,0))+1,0)</f>
        <v>0</v>
      </c>
      <c r="E1700" s="9" t="str">
        <f t="shared" ca="1" si="38"/>
        <v/>
      </c>
      <c r="F1700" s="4" t="s">
        <v>7</v>
      </c>
      <c r="G1700" s="2">
        <f>IF(ISNUMBER(SEARCH(Лист2!$B$4,F:F)),1,0)</f>
        <v>0</v>
      </c>
      <c r="H1700" s="3">
        <f ca="1">IF(AND(I1700&lt;&gt;I1699,ISNUMBER(SEARCH(Лист2!$B$5,I:I)),G1700=1),MAX($H$3:OFFSET(H1700,-1,0))+1,0)</f>
        <v>0</v>
      </c>
      <c r="I1700" s="3" t="s">
        <v>208</v>
      </c>
      <c r="K1700" s="2">
        <f>IF(ISNUMBER(SEARCH(Лист2!$B$4,F:F)),1,0)</f>
        <v>0</v>
      </c>
      <c r="L1700" s="14">
        <f>IF(ISNUMBER(SEARCH(Лист2!$B$5,I:I)),1,0)+K1700</f>
        <v>0</v>
      </c>
      <c r="M1700" s="3">
        <f ca="1">IF(AND(N1700&lt;&gt;N1699,ISNUMBER(SEARCH(Лист2!$B$6,N:N)),L1700=2),MAX($M$3:OFFSET(M1700,-1,0))+1,0)</f>
        <v>0</v>
      </c>
      <c r="N1700" s="3" t="s">
        <v>1567</v>
      </c>
    </row>
    <row r="1701" spans="1:14" x14ac:dyDescent="0.25">
      <c r="A1701" s="1" t="s">
        <v>11176</v>
      </c>
      <c r="B1701" s="3" t="s">
        <v>5325</v>
      </c>
      <c r="C1701" s="2">
        <f ca="1">IF(ISNUMBER(SEARCH(Лист2!$B$4,D:D)),MAX($C$3:OFFSET(C1701,-1,0))+1,0)</f>
        <v>0</v>
      </c>
      <c r="E1701" s="9" t="str">
        <f t="shared" ca="1" si="38"/>
        <v/>
      </c>
      <c r="F1701" s="4" t="s">
        <v>7</v>
      </c>
      <c r="G1701" s="2">
        <f>IF(ISNUMBER(SEARCH(Лист2!$B$4,F:F)),1,0)</f>
        <v>0</v>
      </c>
      <c r="H1701" s="3">
        <f ca="1">IF(AND(I1701&lt;&gt;I1700,ISNUMBER(SEARCH(Лист2!$B$5,I:I)),G1701=1),MAX($H$3:OFFSET(H1701,-1,0))+1,0)</f>
        <v>0</v>
      </c>
      <c r="I1701" s="3" t="s">
        <v>208</v>
      </c>
      <c r="K1701" s="2">
        <f>IF(ISNUMBER(SEARCH(Лист2!$B$4,F:F)),1,0)</f>
        <v>0</v>
      </c>
      <c r="L1701" s="14">
        <f>IF(ISNUMBER(SEARCH(Лист2!$B$5,I:I)),1,0)+K1701</f>
        <v>0</v>
      </c>
      <c r="M1701" s="3">
        <f ca="1">IF(AND(N1701&lt;&gt;N1700,ISNUMBER(SEARCH(Лист2!$B$6,N:N)),L1701=2),MAX($M$3:OFFSET(M1701,-1,0))+1,0)</f>
        <v>0</v>
      </c>
      <c r="N1701" s="3" t="s">
        <v>1568</v>
      </c>
    </row>
    <row r="1702" spans="1:14" x14ac:dyDescent="0.25">
      <c r="A1702" s="1" t="s">
        <v>11177</v>
      </c>
      <c r="B1702" s="3" t="s">
        <v>5326</v>
      </c>
      <c r="C1702" s="2">
        <f ca="1">IF(ISNUMBER(SEARCH(Лист2!$B$4,D:D)),MAX($C$3:OFFSET(C1702,-1,0))+1,0)</f>
        <v>0</v>
      </c>
      <c r="E1702" s="9" t="str">
        <f t="shared" ca="1" si="38"/>
        <v/>
      </c>
      <c r="F1702" s="4" t="s">
        <v>7</v>
      </c>
      <c r="G1702" s="2">
        <f>IF(ISNUMBER(SEARCH(Лист2!$B$4,F:F)),1,0)</f>
        <v>0</v>
      </c>
      <c r="H1702" s="3">
        <f ca="1">IF(AND(I1702&lt;&gt;I1701,ISNUMBER(SEARCH(Лист2!$B$5,I:I)),G1702=1),MAX($H$3:OFFSET(H1702,-1,0))+1,0)</f>
        <v>0</v>
      </c>
      <c r="I1702" s="3" t="s">
        <v>208</v>
      </c>
      <c r="K1702" s="2">
        <f>IF(ISNUMBER(SEARCH(Лист2!$B$4,F:F)),1,0)</f>
        <v>0</v>
      </c>
      <c r="L1702" s="14">
        <f>IF(ISNUMBER(SEARCH(Лист2!$B$5,I:I)),1,0)+K1702</f>
        <v>0</v>
      </c>
      <c r="M1702" s="3">
        <f ca="1">IF(AND(N1702&lt;&gt;N1701,ISNUMBER(SEARCH(Лист2!$B$6,N:N)),L1702=2),MAX($M$3:OFFSET(M1702,-1,0))+1,0)</f>
        <v>0</v>
      </c>
      <c r="N1702" s="3" t="s">
        <v>1569</v>
      </c>
    </row>
    <row r="1703" spans="1:14" x14ac:dyDescent="0.25">
      <c r="A1703" s="1" t="s">
        <v>11178</v>
      </c>
      <c r="B1703" s="3" t="s">
        <v>5327</v>
      </c>
      <c r="C1703" s="2">
        <f ca="1">IF(ISNUMBER(SEARCH(Лист2!$B$4,D:D)),MAX($C$3:OFFSET(C1703,-1,0))+1,0)</f>
        <v>0</v>
      </c>
      <c r="E1703" s="9" t="str">
        <f t="shared" ca="1" si="38"/>
        <v/>
      </c>
      <c r="F1703" s="4" t="s">
        <v>7</v>
      </c>
      <c r="G1703" s="2">
        <f>IF(ISNUMBER(SEARCH(Лист2!$B$4,F:F)),1,0)</f>
        <v>0</v>
      </c>
      <c r="H1703" s="3">
        <f ca="1">IF(AND(I1703&lt;&gt;I1702,ISNUMBER(SEARCH(Лист2!$B$5,I:I)),G1703=1),MAX($H$3:OFFSET(H1703,-1,0))+1,0)</f>
        <v>0</v>
      </c>
      <c r="I1703" s="3" t="s">
        <v>208</v>
      </c>
      <c r="K1703" s="2">
        <f>IF(ISNUMBER(SEARCH(Лист2!$B$4,F:F)),1,0)</f>
        <v>0</v>
      </c>
      <c r="L1703" s="14">
        <f>IF(ISNUMBER(SEARCH(Лист2!$B$5,I:I)),1,0)+K1703</f>
        <v>0</v>
      </c>
      <c r="M1703" s="3">
        <f ca="1">IF(AND(N1703&lt;&gt;N1702,ISNUMBER(SEARCH(Лист2!$B$6,N:N)),L1703=2),MAX($M$3:OFFSET(M1703,-1,0))+1,0)</f>
        <v>0</v>
      </c>
      <c r="N1703" s="3" t="s">
        <v>1570</v>
      </c>
    </row>
    <row r="1704" spans="1:14" x14ac:dyDescent="0.25">
      <c r="A1704" s="1" t="s">
        <v>11179</v>
      </c>
      <c r="B1704" s="3" t="s">
        <v>5328</v>
      </c>
      <c r="C1704" s="2">
        <f ca="1">IF(ISNUMBER(SEARCH(Лист2!$B$4,D:D)),MAX($C$3:OFFSET(C1704,-1,0))+1,0)</f>
        <v>0</v>
      </c>
      <c r="E1704" s="9" t="str">
        <f t="shared" ca="1" si="38"/>
        <v/>
      </c>
      <c r="F1704" s="4" t="s">
        <v>7</v>
      </c>
      <c r="G1704" s="2">
        <f>IF(ISNUMBER(SEARCH(Лист2!$B$4,F:F)),1,0)</f>
        <v>0</v>
      </c>
      <c r="H1704" s="3">
        <f ca="1">IF(AND(I1704&lt;&gt;I1703,ISNUMBER(SEARCH(Лист2!$B$5,I:I)),G1704=1),MAX($H$3:OFFSET(H1704,-1,0))+1,0)</f>
        <v>0</v>
      </c>
      <c r="I1704" s="3" t="s">
        <v>208</v>
      </c>
      <c r="K1704" s="2">
        <f>IF(ISNUMBER(SEARCH(Лист2!$B$4,F:F)),1,0)</f>
        <v>0</v>
      </c>
      <c r="L1704" s="14">
        <f>IF(ISNUMBER(SEARCH(Лист2!$B$5,I:I)),1,0)+K1704</f>
        <v>0</v>
      </c>
      <c r="M1704" s="3">
        <f ca="1">IF(AND(N1704&lt;&gt;N1703,ISNUMBER(SEARCH(Лист2!$B$6,N:N)),L1704=2),MAX($M$3:OFFSET(M1704,-1,0))+1,0)</f>
        <v>0</v>
      </c>
      <c r="N1704" s="3" t="s">
        <v>1571</v>
      </c>
    </row>
    <row r="1705" spans="1:14" x14ac:dyDescent="0.25">
      <c r="A1705" s="1" t="s">
        <v>11180</v>
      </c>
      <c r="B1705" s="3" t="s">
        <v>5329</v>
      </c>
      <c r="C1705" s="2">
        <f ca="1">IF(ISNUMBER(SEARCH(Лист2!$B$4,D:D)),MAX($C$3:OFFSET(C1705,-1,0))+1,0)</f>
        <v>0</v>
      </c>
      <c r="E1705" s="9" t="str">
        <f t="shared" ca="1" si="38"/>
        <v/>
      </c>
      <c r="F1705" s="4" t="s">
        <v>7</v>
      </c>
      <c r="G1705" s="2">
        <f>IF(ISNUMBER(SEARCH(Лист2!$B$4,F:F)),1,0)</f>
        <v>0</v>
      </c>
      <c r="H1705" s="3">
        <f ca="1">IF(AND(I1705&lt;&gt;I1704,ISNUMBER(SEARCH(Лист2!$B$5,I:I)),G1705=1),MAX($H$3:OFFSET(H1705,-1,0))+1,0)</f>
        <v>0</v>
      </c>
      <c r="I1705" s="3" t="s">
        <v>208</v>
      </c>
      <c r="K1705" s="2">
        <f>IF(ISNUMBER(SEARCH(Лист2!$B$4,F:F)),1,0)</f>
        <v>0</v>
      </c>
      <c r="L1705" s="14">
        <f>IF(ISNUMBER(SEARCH(Лист2!$B$5,I:I)),1,0)+K1705</f>
        <v>0</v>
      </c>
      <c r="M1705" s="3">
        <f ca="1">IF(AND(N1705&lt;&gt;N1704,ISNUMBER(SEARCH(Лист2!$B$6,N:N)),L1705=2),MAX($M$3:OFFSET(M1705,-1,0))+1,0)</f>
        <v>0</v>
      </c>
      <c r="N1705" s="3" t="s">
        <v>602</v>
      </c>
    </row>
    <row r="1706" spans="1:14" x14ac:dyDescent="0.25">
      <c r="A1706" s="1" t="s">
        <v>11181</v>
      </c>
      <c r="B1706" s="3" t="s">
        <v>5330</v>
      </c>
      <c r="C1706" s="2">
        <f ca="1">IF(ISNUMBER(SEARCH(Лист2!$B$4,D:D)),MAX($C$3:OFFSET(C1706,-1,0))+1,0)</f>
        <v>0</v>
      </c>
      <c r="E1706" s="9" t="str">
        <f t="shared" ca="1" si="38"/>
        <v/>
      </c>
      <c r="F1706" s="4" t="s">
        <v>7</v>
      </c>
      <c r="G1706" s="2">
        <f>IF(ISNUMBER(SEARCH(Лист2!$B$4,F:F)),1,0)</f>
        <v>0</v>
      </c>
      <c r="H1706" s="3">
        <f ca="1">IF(AND(I1706&lt;&gt;I1705,ISNUMBER(SEARCH(Лист2!$B$5,I:I)),G1706=1),MAX($H$3:OFFSET(H1706,-1,0))+1,0)</f>
        <v>0</v>
      </c>
      <c r="I1706" s="3" t="s">
        <v>208</v>
      </c>
      <c r="K1706" s="2">
        <f>IF(ISNUMBER(SEARCH(Лист2!$B$4,F:F)),1,0)</f>
        <v>0</v>
      </c>
      <c r="L1706" s="14">
        <f>IF(ISNUMBER(SEARCH(Лист2!$B$5,I:I)),1,0)+K1706</f>
        <v>0</v>
      </c>
      <c r="M1706" s="3">
        <f ca="1">IF(AND(N1706&lt;&gt;N1705,ISNUMBER(SEARCH(Лист2!$B$6,N:N)),L1706=2),MAX($M$3:OFFSET(M1706,-1,0))+1,0)</f>
        <v>0</v>
      </c>
      <c r="N1706" s="3" t="s">
        <v>1563</v>
      </c>
    </row>
    <row r="1707" spans="1:14" x14ac:dyDescent="0.25">
      <c r="A1707" s="1" t="s">
        <v>11182</v>
      </c>
      <c r="B1707" s="3" t="s">
        <v>5331</v>
      </c>
      <c r="C1707" s="2">
        <f ca="1">IF(ISNUMBER(SEARCH(Лист2!$B$4,D:D)),MAX($C$3:OFFSET(C1707,-1,0))+1,0)</f>
        <v>0</v>
      </c>
      <c r="E1707" s="9" t="str">
        <f t="shared" ca="1" si="38"/>
        <v/>
      </c>
      <c r="F1707" s="4" t="s">
        <v>7</v>
      </c>
      <c r="G1707" s="2">
        <f>IF(ISNUMBER(SEARCH(Лист2!$B$4,F:F)),1,0)</f>
        <v>0</v>
      </c>
      <c r="H1707" s="3">
        <f ca="1">IF(AND(I1707&lt;&gt;I1706,ISNUMBER(SEARCH(Лист2!$B$5,I:I)),G1707=1),MAX($H$3:OFFSET(H1707,-1,0))+1,0)</f>
        <v>0</v>
      </c>
      <c r="I1707" s="3" t="s">
        <v>209</v>
      </c>
      <c r="K1707" s="2">
        <f>IF(ISNUMBER(SEARCH(Лист2!$B$4,F:F)),1,0)</f>
        <v>0</v>
      </c>
      <c r="L1707" s="14">
        <f>IF(ISNUMBER(SEARCH(Лист2!$B$5,I:I)),1,0)+K1707</f>
        <v>0</v>
      </c>
      <c r="M1707" s="3">
        <f ca="1">IF(AND(N1707&lt;&gt;N1706,ISNUMBER(SEARCH(Лист2!$B$6,N:N)),L1707=2),MAX($M$3:OFFSET(M1707,-1,0))+1,0)</f>
        <v>0</v>
      </c>
      <c r="N1707" s="3" t="s">
        <v>1572</v>
      </c>
    </row>
    <row r="1708" spans="1:14" x14ac:dyDescent="0.25">
      <c r="A1708" s="1" t="s">
        <v>11183</v>
      </c>
      <c r="B1708" s="3" t="s">
        <v>5332</v>
      </c>
      <c r="C1708" s="2">
        <f ca="1">IF(ISNUMBER(SEARCH(Лист2!$B$4,D:D)),MAX($C$3:OFFSET(C1708,-1,0))+1,0)</f>
        <v>0</v>
      </c>
      <c r="E1708" s="9" t="str">
        <f t="shared" ca="1" si="38"/>
        <v/>
      </c>
      <c r="F1708" s="4" t="s">
        <v>7</v>
      </c>
      <c r="G1708" s="2">
        <f>IF(ISNUMBER(SEARCH(Лист2!$B$4,F:F)),1,0)</f>
        <v>0</v>
      </c>
      <c r="H1708" s="3">
        <f ca="1">IF(AND(I1708&lt;&gt;I1707,ISNUMBER(SEARCH(Лист2!$B$5,I:I)),G1708=1),MAX($H$3:OFFSET(H1708,-1,0))+1,0)</f>
        <v>0</v>
      </c>
      <c r="I1708" s="3" t="s">
        <v>209</v>
      </c>
      <c r="K1708" s="2">
        <f>IF(ISNUMBER(SEARCH(Лист2!$B$4,F:F)),1,0)</f>
        <v>0</v>
      </c>
      <c r="L1708" s="14">
        <f>IF(ISNUMBER(SEARCH(Лист2!$B$5,I:I)),1,0)+K1708</f>
        <v>0</v>
      </c>
      <c r="M1708" s="3">
        <f ca="1">IF(AND(N1708&lt;&gt;N1707,ISNUMBER(SEARCH(Лист2!$B$6,N:N)),L1708=2),MAX($M$3:OFFSET(M1708,-1,0))+1,0)</f>
        <v>0</v>
      </c>
      <c r="N1708" s="3" t="s">
        <v>1573</v>
      </c>
    </row>
    <row r="1709" spans="1:14" x14ac:dyDescent="0.25">
      <c r="A1709" s="1" t="s">
        <v>11184</v>
      </c>
      <c r="B1709" s="3" t="s">
        <v>5333</v>
      </c>
      <c r="C1709" s="2">
        <f ca="1">IF(ISNUMBER(SEARCH(Лист2!$B$4,D:D)),MAX($C$3:OFFSET(C1709,-1,0))+1,0)</f>
        <v>0</v>
      </c>
      <c r="E1709" s="9" t="str">
        <f t="shared" ca="1" si="38"/>
        <v/>
      </c>
      <c r="F1709" s="4" t="s">
        <v>7</v>
      </c>
      <c r="G1709" s="2">
        <f>IF(ISNUMBER(SEARCH(Лист2!$B$4,F:F)),1,0)</f>
        <v>0</v>
      </c>
      <c r="H1709" s="3">
        <f ca="1">IF(AND(I1709&lt;&gt;I1708,ISNUMBER(SEARCH(Лист2!$B$5,I:I)),G1709=1),MAX($H$3:OFFSET(H1709,-1,0))+1,0)</f>
        <v>0</v>
      </c>
      <c r="I1709" s="3" t="s">
        <v>209</v>
      </c>
      <c r="K1709" s="2">
        <f>IF(ISNUMBER(SEARCH(Лист2!$B$4,F:F)),1,0)</f>
        <v>0</v>
      </c>
      <c r="L1709" s="14">
        <f>IF(ISNUMBER(SEARCH(Лист2!$B$5,I:I)),1,0)+K1709</f>
        <v>0</v>
      </c>
      <c r="M1709" s="3">
        <f ca="1">IF(AND(N1709&lt;&gt;N1708,ISNUMBER(SEARCH(Лист2!$B$6,N:N)),L1709=2),MAX($M$3:OFFSET(M1709,-1,0))+1,0)</f>
        <v>0</v>
      </c>
      <c r="N1709" s="3" t="s">
        <v>1574</v>
      </c>
    </row>
    <row r="1710" spans="1:14" x14ac:dyDescent="0.25">
      <c r="A1710" s="1" t="s">
        <v>11185</v>
      </c>
      <c r="B1710" s="3" t="s">
        <v>5334</v>
      </c>
      <c r="C1710" s="2">
        <f ca="1">IF(ISNUMBER(SEARCH(Лист2!$B$4,D:D)),MAX($C$3:OFFSET(C1710,-1,0))+1,0)</f>
        <v>0</v>
      </c>
      <c r="E1710" s="9" t="str">
        <f t="shared" ca="1" si="38"/>
        <v/>
      </c>
      <c r="F1710" s="4" t="s">
        <v>7</v>
      </c>
      <c r="G1710" s="2">
        <f>IF(ISNUMBER(SEARCH(Лист2!$B$4,F:F)),1,0)</f>
        <v>0</v>
      </c>
      <c r="H1710" s="3">
        <f ca="1">IF(AND(I1710&lt;&gt;I1709,ISNUMBER(SEARCH(Лист2!$B$5,I:I)),G1710=1),MAX($H$3:OFFSET(H1710,-1,0))+1,0)</f>
        <v>0</v>
      </c>
      <c r="I1710" s="3" t="s">
        <v>209</v>
      </c>
      <c r="K1710" s="2">
        <f>IF(ISNUMBER(SEARCH(Лист2!$B$4,F:F)),1,0)</f>
        <v>0</v>
      </c>
      <c r="L1710" s="14">
        <f>IF(ISNUMBER(SEARCH(Лист2!$B$5,I:I)),1,0)+K1710</f>
        <v>0</v>
      </c>
      <c r="M1710" s="3">
        <f ca="1">IF(AND(N1710&lt;&gt;N1709,ISNUMBER(SEARCH(Лист2!$B$6,N:N)),L1710=2),MAX($M$3:OFFSET(M1710,-1,0))+1,0)</f>
        <v>0</v>
      </c>
      <c r="N1710" s="3" t="s">
        <v>602</v>
      </c>
    </row>
    <row r="1711" spans="1:14" x14ac:dyDescent="0.25">
      <c r="A1711" s="1" t="s">
        <v>11186</v>
      </c>
      <c r="B1711" s="3" t="s">
        <v>5335</v>
      </c>
      <c r="C1711" s="2">
        <f ca="1">IF(ISNUMBER(SEARCH(Лист2!$B$4,D:D)),MAX($C$3:OFFSET(C1711,-1,0))+1,0)</f>
        <v>0</v>
      </c>
      <c r="E1711" s="9" t="str">
        <f t="shared" ca="1" si="38"/>
        <v/>
      </c>
      <c r="F1711" s="4" t="s">
        <v>7</v>
      </c>
      <c r="G1711" s="2">
        <f>IF(ISNUMBER(SEARCH(Лист2!$B$4,F:F)),1,0)</f>
        <v>0</v>
      </c>
      <c r="H1711" s="3">
        <f ca="1">IF(AND(I1711&lt;&gt;I1710,ISNUMBER(SEARCH(Лист2!$B$5,I:I)),G1711=1),MAX($H$3:OFFSET(H1711,-1,0))+1,0)</f>
        <v>0</v>
      </c>
      <c r="I1711" s="3" t="s">
        <v>209</v>
      </c>
      <c r="K1711" s="2">
        <f>IF(ISNUMBER(SEARCH(Лист2!$B$4,F:F)),1,0)</f>
        <v>0</v>
      </c>
      <c r="L1711" s="14">
        <f>IF(ISNUMBER(SEARCH(Лист2!$B$5,I:I)),1,0)+K1711</f>
        <v>0</v>
      </c>
      <c r="M1711" s="3">
        <f ca="1">IF(AND(N1711&lt;&gt;N1710,ISNUMBER(SEARCH(Лист2!$B$6,N:N)),L1711=2),MAX($M$3:OFFSET(M1711,-1,0))+1,0)</f>
        <v>0</v>
      </c>
      <c r="N1711" s="3" t="s">
        <v>1575</v>
      </c>
    </row>
    <row r="1712" spans="1:14" x14ac:dyDescent="0.25">
      <c r="A1712" s="1" t="s">
        <v>11187</v>
      </c>
      <c r="B1712" s="3" t="s">
        <v>5336</v>
      </c>
      <c r="C1712" s="2">
        <f ca="1">IF(ISNUMBER(SEARCH(Лист2!$B$4,D:D)),MAX($C$3:OFFSET(C1712,-1,0))+1,0)</f>
        <v>0</v>
      </c>
      <c r="E1712" s="9" t="str">
        <f t="shared" ca="1" si="38"/>
        <v/>
      </c>
      <c r="F1712" s="4" t="s">
        <v>7</v>
      </c>
      <c r="G1712" s="2">
        <f>IF(ISNUMBER(SEARCH(Лист2!$B$4,F:F)),1,0)</f>
        <v>0</v>
      </c>
      <c r="H1712" s="3">
        <f ca="1">IF(AND(I1712&lt;&gt;I1711,ISNUMBER(SEARCH(Лист2!$B$5,I:I)),G1712=1),MAX($H$3:OFFSET(H1712,-1,0))+1,0)</f>
        <v>0</v>
      </c>
      <c r="I1712" s="3" t="s">
        <v>209</v>
      </c>
      <c r="K1712" s="2">
        <f>IF(ISNUMBER(SEARCH(Лист2!$B$4,F:F)),1,0)</f>
        <v>0</v>
      </c>
      <c r="L1712" s="14">
        <f>IF(ISNUMBER(SEARCH(Лист2!$B$5,I:I)),1,0)+K1712</f>
        <v>0</v>
      </c>
      <c r="M1712" s="3">
        <f ca="1">IF(AND(N1712&lt;&gt;N1711,ISNUMBER(SEARCH(Лист2!$B$6,N:N)),L1712=2),MAX($M$3:OFFSET(M1712,-1,0))+1,0)</f>
        <v>0</v>
      </c>
      <c r="N1712" s="3" t="s">
        <v>1576</v>
      </c>
    </row>
    <row r="1713" spans="1:14" x14ac:dyDescent="0.25">
      <c r="A1713" s="1" t="s">
        <v>11188</v>
      </c>
      <c r="B1713" s="3" t="s">
        <v>5337</v>
      </c>
      <c r="C1713" s="2">
        <f ca="1">IF(ISNUMBER(SEARCH(Лист2!$B$4,D:D)),MAX($C$3:OFFSET(C1713,-1,0))+1,0)</f>
        <v>0</v>
      </c>
      <c r="E1713" s="9" t="str">
        <f t="shared" ca="1" si="38"/>
        <v/>
      </c>
      <c r="F1713" s="4" t="s">
        <v>7</v>
      </c>
      <c r="G1713" s="2">
        <f>IF(ISNUMBER(SEARCH(Лист2!$B$4,F:F)),1,0)</f>
        <v>0</v>
      </c>
      <c r="H1713" s="3">
        <f ca="1">IF(AND(I1713&lt;&gt;I1712,ISNUMBER(SEARCH(Лист2!$B$5,I:I)),G1713=1),MAX($H$3:OFFSET(H1713,-1,0))+1,0)</f>
        <v>0</v>
      </c>
      <c r="I1713" s="3" t="s">
        <v>209</v>
      </c>
      <c r="K1713" s="2">
        <f>IF(ISNUMBER(SEARCH(Лист2!$B$4,F:F)),1,0)</f>
        <v>0</v>
      </c>
      <c r="L1713" s="14">
        <f>IF(ISNUMBER(SEARCH(Лист2!$B$5,I:I)),1,0)+K1713</f>
        <v>0</v>
      </c>
      <c r="M1713" s="3">
        <f ca="1">IF(AND(N1713&lt;&gt;N1712,ISNUMBER(SEARCH(Лист2!$B$6,N:N)),L1713=2),MAX($M$3:OFFSET(M1713,-1,0))+1,0)</f>
        <v>0</v>
      </c>
      <c r="N1713" s="3" t="s">
        <v>1385</v>
      </c>
    </row>
    <row r="1714" spans="1:14" x14ac:dyDescent="0.25">
      <c r="A1714" s="1" t="s">
        <v>11189</v>
      </c>
      <c r="B1714" s="3" t="s">
        <v>5338</v>
      </c>
      <c r="C1714" s="2">
        <f ca="1">IF(ISNUMBER(SEARCH(Лист2!$B$4,D:D)),MAX($C$3:OFFSET(C1714,-1,0))+1,0)</f>
        <v>0</v>
      </c>
      <c r="E1714" s="9" t="str">
        <f t="shared" ca="1" si="38"/>
        <v/>
      </c>
      <c r="F1714" s="4" t="s">
        <v>7</v>
      </c>
      <c r="G1714" s="2">
        <f>IF(ISNUMBER(SEARCH(Лист2!$B$4,F:F)),1,0)</f>
        <v>0</v>
      </c>
      <c r="H1714" s="3">
        <f ca="1">IF(AND(I1714&lt;&gt;I1713,ISNUMBER(SEARCH(Лист2!$B$5,I:I)),G1714=1),MAX($H$3:OFFSET(H1714,-1,0))+1,0)</f>
        <v>0</v>
      </c>
      <c r="I1714" s="3" t="s">
        <v>209</v>
      </c>
      <c r="K1714" s="2">
        <f>IF(ISNUMBER(SEARCH(Лист2!$B$4,F:F)),1,0)</f>
        <v>0</v>
      </c>
      <c r="L1714" s="14">
        <f>IF(ISNUMBER(SEARCH(Лист2!$B$5,I:I)),1,0)+K1714</f>
        <v>0</v>
      </c>
      <c r="M1714" s="3">
        <f ca="1">IF(AND(N1714&lt;&gt;N1713,ISNUMBER(SEARCH(Лист2!$B$6,N:N)),L1714=2),MAX($M$3:OFFSET(M1714,-1,0))+1,0)</f>
        <v>0</v>
      </c>
      <c r="N1714" s="3" t="s">
        <v>1577</v>
      </c>
    </row>
    <row r="1715" spans="1:14" x14ac:dyDescent="0.25">
      <c r="A1715" s="1" t="s">
        <v>11190</v>
      </c>
      <c r="B1715" s="3" t="s">
        <v>5339</v>
      </c>
      <c r="C1715" s="2">
        <f ca="1">IF(ISNUMBER(SEARCH(Лист2!$B$4,D:D)),MAX($C$3:OFFSET(C1715,-1,0))+1,0)</f>
        <v>0</v>
      </c>
      <c r="E1715" s="9" t="str">
        <f t="shared" ca="1" si="38"/>
        <v/>
      </c>
      <c r="F1715" s="4" t="s">
        <v>7</v>
      </c>
      <c r="G1715" s="2">
        <f>IF(ISNUMBER(SEARCH(Лист2!$B$4,F:F)),1,0)</f>
        <v>0</v>
      </c>
      <c r="H1715" s="3">
        <f ca="1">IF(AND(I1715&lt;&gt;I1714,ISNUMBER(SEARCH(Лист2!$B$5,I:I)),G1715=1),MAX($H$3:OFFSET(H1715,-1,0))+1,0)</f>
        <v>0</v>
      </c>
      <c r="I1715" s="3" t="s">
        <v>209</v>
      </c>
      <c r="K1715" s="2">
        <f>IF(ISNUMBER(SEARCH(Лист2!$B$4,F:F)),1,0)</f>
        <v>0</v>
      </c>
      <c r="L1715" s="14">
        <f>IF(ISNUMBER(SEARCH(Лист2!$B$5,I:I)),1,0)+K1715</f>
        <v>0</v>
      </c>
      <c r="M1715" s="3">
        <f ca="1">IF(AND(N1715&lt;&gt;N1714,ISNUMBER(SEARCH(Лист2!$B$6,N:N)),L1715=2),MAX($M$3:OFFSET(M1715,-1,0))+1,0)</f>
        <v>0</v>
      </c>
      <c r="N1715" s="3" t="s">
        <v>1578</v>
      </c>
    </row>
    <row r="1716" spans="1:14" x14ac:dyDescent="0.25">
      <c r="A1716" s="1" t="s">
        <v>11191</v>
      </c>
      <c r="B1716" s="3" t="s">
        <v>5340</v>
      </c>
      <c r="C1716" s="2">
        <f ca="1">IF(ISNUMBER(SEARCH(Лист2!$B$4,D:D)),MAX($C$3:OFFSET(C1716,-1,0))+1,0)</f>
        <v>0</v>
      </c>
      <c r="E1716" s="9" t="str">
        <f t="shared" ca="1" si="38"/>
        <v/>
      </c>
      <c r="F1716" s="4" t="s">
        <v>7</v>
      </c>
      <c r="G1716" s="2">
        <f>IF(ISNUMBER(SEARCH(Лист2!$B$4,F:F)),1,0)</f>
        <v>0</v>
      </c>
      <c r="H1716" s="3">
        <f ca="1">IF(AND(I1716&lt;&gt;I1715,ISNUMBER(SEARCH(Лист2!$B$5,I:I)),G1716=1),MAX($H$3:OFFSET(H1716,-1,0))+1,0)</f>
        <v>0</v>
      </c>
      <c r="I1716" s="3" t="s">
        <v>209</v>
      </c>
      <c r="K1716" s="2">
        <f>IF(ISNUMBER(SEARCH(Лист2!$B$4,F:F)),1,0)</f>
        <v>0</v>
      </c>
      <c r="L1716" s="14">
        <f>IF(ISNUMBER(SEARCH(Лист2!$B$5,I:I)),1,0)+K1716</f>
        <v>0</v>
      </c>
      <c r="M1716" s="3">
        <f ca="1">IF(AND(N1716&lt;&gt;N1715,ISNUMBER(SEARCH(Лист2!$B$6,N:N)),L1716=2),MAX($M$3:OFFSET(M1716,-1,0))+1,0)</f>
        <v>0</v>
      </c>
      <c r="N1716" s="3" t="s">
        <v>1528</v>
      </c>
    </row>
    <row r="1717" spans="1:14" x14ac:dyDescent="0.25">
      <c r="A1717" s="1" t="s">
        <v>11192</v>
      </c>
      <c r="B1717" s="3" t="s">
        <v>5341</v>
      </c>
      <c r="C1717" s="2">
        <f ca="1">IF(ISNUMBER(SEARCH(Лист2!$B$4,D:D)),MAX($C$3:OFFSET(C1717,-1,0))+1,0)</f>
        <v>0</v>
      </c>
      <c r="E1717" s="9" t="str">
        <f t="shared" ca="1" si="38"/>
        <v/>
      </c>
      <c r="F1717" s="4" t="s">
        <v>7</v>
      </c>
      <c r="G1717" s="2">
        <f>IF(ISNUMBER(SEARCH(Лист2!$B$4,F:F)),1,0)</f>
        <v>0</v>
      </c>
      <c r="H1717" s="3">
        <f ca="1">IF(AND(I1717&lt;&gt;I1716,ISNUMBER(SEARCH(Лист2!$B$5,I:I)),G1717=1),MAX($H$3:OFFSET(H1717,-1,0))+1,0)</f>
        <v>0</v>
      </c>
      <c r="I1717" s="3" t="s">
        <v>210</v>
      </c>
      <c r="K1717" s="2">
        <f>IF(ISNUMBER(SEARCH(Лист2!$B$4,F:F)),1,0)</f>
        <v>0</v>
      </c>
      <c r="L1717" s="14">
        <f>IF(ISNUMBER(SEARCH(Лист2!$B$5,I:I)),1,0)+K1717</f>
        <v>0</v>
      </c>
      <c r="M1717" s="3">
        <f ca="1">IF(AND(N1717&lt;&gt;N1716,ISNUMBER(SEARCH(Лист2!$B$6,N:N)),L1717=2),MAX($M$3:OFFSET(M1717,-1,0))+1,0)</f>
        <v>0</v>
      </c>
      <c r="N1717" s="3" t="s">
        <v>1579</v>
      </c>
    </row>
    <row r="1718" spans="1:14" x14ac:dyDescent="0.25">
      <c r="A1718" s="1" t="s">
        <v>11193</v>
      </c>
      <c r="B1718" s="3" t="s">
        <v>5342</v>
      </c>
      <c r="C1718" s="2">
        <f ca="1">IF(ISNUMBER(SEARCH(Лист2!$B$4,D:D)),MAX($C$3:OFFSET(C1718,-1,0))+1,0)</f>
        <v>0</v>
      </c>
      <c r="E1718" s="9" t="str">
        <f t="shared" ca="1" si="38"/>
        <v/>
      </c>
      <c r="F1718" s="4" t="s">
        <v>7</v>
      </c>
      <c r="G1718" s="2">
        <f>IF(ISNUMBER(SEARCH(Лист2!$B$4,F:F)),1,0)</f>
        <v>0</v>
      </c>
      <c r="H1718" s="3">
        <f ca="1">IF(AND(I1718&lt;&gt;I1717,ISNUMBER(SEARCH(Лист2!$B$5,I:I)),G1718=1),MAX($H$3:OFFSET(H1718,-1,0))+1,0)</f>
        <v>0</v>
      </c>
      <c r="I1718" s="3" t="s">
        <v>210</v>
      </c>
      <c r="K1718" s="2">
        <f>IF(ISNUMBER(SEARCH(Лист2!$B$4,F:F)),1,0)</f>
        <v>0</v>
      </c>
      <c r="L1718" s="14">
        <f>IF(ISNUMBER(SEARCH(Лист2!$B$5,I:I)),1,0)+K1718</f>
        <v>0</v>
      </c>
      <c r="M1718" s="3">
        <f ca="1">IF(AND(N1718&lt;&gt;N1717,ISNUMBER(SEARCH(Лист2!$B$6,N:N)),L1718=2),MAX($M$3:OFFSET(M1718,-1,0))+1,0)</f>
        <v>0</v>
      </c>
      <c r="N1718" s="3" t="s">
        <v>1580</v>
      </c>
    </row>
    <row r="1719" spans="1:14" x14ac:dyDescent="0.25">
      <c r="A1719" s="1" t="s">
        <v>11194</v>
      </c>
      <c r="B1719" s="3" t="s">
        <v>5343</v>
      </c>
      <c r="C1719" s="2">
        <f ca="1">IF(ISNUMBER(SEARCH(Лист2!$B$4,D:D)),MAX($C$3:OFFSET(C1719,-1,0))+1,0)</f>
        <v>0</v>
      </c>
      <c r="E1719" s="9" t="str">
        <f t="shared" ca="1" si="38"/>
        <v/>
      </c>
      <c r="F1719" s="4" t="s">
        <v>7</v>
      </c>
      <c r="G1719" s="2">
        <f>IF(ISNUMBER(SEARCH(Лист2!$B$4,F:F)),1,0)</f>
        <v>0</v>
      </c>
      <c r="H1719" s="3">
        <f ca="1">IF(AND(I1719&lt;&gt;I1718,ISNUMBER(SEARCH(Лист2!$B$5,I:I)),G1719=1),MAX($H$3:OFFSET(H1719,-1,0))+1,0)</f>
        <v>0</v>
      </c>
      <c r="I1719" s="3" t="s">
        <v>210</v>
      </c>
      <c r="K1719" s="2">
        <f>IF(ISNUMBER(SEARCH(Лист2!$B$4,F:F)),1,0)</f>
        <v>0</v>
      </c>
      <c r="L1719" s="14">
        <f>IF(ISNUMBER(SEARCH(Лист2!$B$5,I:I)),1,0)+K1719</f>
        <v>0</v>
      </c>
      <c r="M1719" s="3">
        <f ca="1">IF(AND(N1719&lt;&gt;N1718,ISNUMBER(SEARCH(Лист2!$B$6,N:N)),L1719=2),MAX($M$3:OFFSET(M1719,-1,0))+1,0)</f>
        <v>0</v>
      </c>
      <c r="N1719" s="3" t="s">
        <v>1581</v>
      </c>
    </row>
    <row r="1720" spans="1:14" x14ac:dyDescent="0.25">
      <c r="A1720" s="1" t="s">
        <v>11194</v>
      </c>
      <c r="B1720" s="3" t="s">
        <v>5344</v>
      </c>
      <c r="C1720" s="2">
        <f ca="1">IF(ISNUMBER(SEARCH(Лист2!$B$4,D:D)),MAX($C$3:OFFSET(C1720,-1,0))+1,0)</f>
        <v>0</v>
      </c>
      <c r="E1720" s="9" t="str">
        <f t="shared" ca="1" si="38"/>
        <v/>
      </c>
      <c r="F1720" s="4" t="s">
        <v>7</v>
      </c>
      <c r="G1720" s="2">
        <f>IF(ISNUMBER(SEARCH(Лист2!$B$4,F:F)),1,0)</f>
        <v>0</v>
      </c>
      <c r="H1720" s="3">
        <f ca="1">IF(AND(I1720&lt;&gt;I1719,ISNUMBER(SEARCH(Лист2!$B$5,I:I)),G1720=1),MAX($H$3:OFFSET(H1720,-1,0))+1,0)</f>
        <v>0</v>
      </c>
      <c r="I1720" s="3" t="s">
        <v>210</v>
      </c>
      <c r="K1720" s="2">
        <f>IF(ISNUMBER(SEARCH(Лист2!$B$4,F:F)),1,0)</f>
        <v>0</v>
      </c>
      <c r="L1720" s="14">
        <f>IF(ISNUMBER(SEARCH(Лист2!$B$5,I:I)),1,0)+K1720</f>
        <v>0</v>
      </c>
      <c r="M1720" s="3">
        <f ca="1">IF(AND(N1720&lt;&gt;N1719,ISNUMBER(SEARCH(Лист2!$B$6,N:N)),L1720=2),MAX($M$3:OFFSET(M1720,-1,0))+1,0)</f>
        <v>0</v>
      </c>
      <c r="N1720" s="3" t="s">
        <v>1581</v>
      </c>
    </row>
    <row r="1721" spans="1:14" x14ac:dyDescent="0.25">
      <c r="A1721" s="1" t="s">
        <v>11195</v>
      </c>
      <c r="B1721" s="3" t="s">
        <v>5345</v>
      </c>
      <c r="C1721" s="2">
        <f ca="1">IF(ISNUMBER(SEARCH(Лист2!$B$4,D:D)),MAX($C$3:OFFSET(C1721,-1,0))+1,0)</f>
        <v>0</v>
      </c>
      <c r="E1721" s="9" t="str">
        <f t="shared" ca="1" si="38"/>
        <v/>
      </c>
      <c r="F1721" s="4" t="s">
        <v>7</v>
      </c>
      <c r="G1721" s="2">
        <f>IF(ISNUMBER(SEARCH(Лист2!$B$4,F:F)),1,0)</f>
        <v>0</v>
      </c>
      <c r="H1721" s="3">
        <f ca="1">IF(AND(I1721&lt;&gt;I1720,ISNUMBER(SEARCH(Лист2!$B$5,I:I)),G1721=1),MAX($H$3:OFFSET(H1721,-1,0))+1,0)</f>
        <v>0</v>
      </c>
      <c r="I1721" s="3" t="s">
        <v>210</v>
      </c>
      <c r="K1721" s="2">
        <f>IF(ISNUMBER(SEARCH(Лист2!$B$4,F:F)),1,0)</f>
        <v>0</v>
      </c>
      <c r="L1721" s="14">
        <f>IF(ISNUMBER(SEARCH(Лист2!$B$5,I:I)),1,0)+K1721</f>
        <v>0</v>
      </c>
      <c r="M1721" s="3">
        <f ca="1">IF(AND(N1721&lt;&gt;N1720,ISNUMBER(SEARCH(Лист2!$B$6,N:N)),L1721=2),MAX($M$3:OFFSET(M1721,-1,0))+1,0)</f>
        <v>0</v>
      </c>
      <c r="N1721" s="3" t="s">
        <v>1582</v>
      </c>
    </row>
    <row r="1722" spans="1:14" x14ac:dyDescent="0.25">
      <c r="A1722" s="1" t="s">
        <v>11196</v>
      </c>
      <c r="B1722" s="3" t="s">
        <v>5346</v>
      </c>
      <c r="C1722" s="2">
        <f ca="1">IF(ISNUMBER(SEARCH(Лист2!$B$4,D:D)),MAX($C$3:OFFSET(C1722,-1,0))+1,0)</f>
        <v>0</v>
      </c>
      <c r="E1722" s="9" t="str">
        <f t="shared" ca="1" si="38"/>
        <v/>
      </c>
      <c r="F1722" s="4" t="s">
        <v>7</v>
      </c>
      <c r="G1722" s="2">
        <f>IF(ISNUMBER(SEARCH(Лист2!$B$4,F:F)),1,0)</f>
        <v>0</v>
      </c>
      <c r="H1722" s="3">
        <f ca="1">IF(AND(I1722&lt;&gt;I1721,ISNUMBER(SEARCH(Лист2!$B$5,I:I)),G1722=1),MAX($H$3:OFFSET(H1722,-1,0))+1,0)</f>
        <v>0</v>
      </c>
      <c r="I1722" s="3" t="s">
        <v>210</v>
      </c>
      <c r="K1722" s="2">
        <f>IF(ISNUMBER(SEARCH(Лист2!$B$4,F:F)),1,0)</f>
        <v>0</v>
      </c>
      <c r="L1722" s="14">
        <f>IF(ISNUMBER(SEARCH(Лист2!$B$5,I:I)),1,0)+K1722</f>
        <v>0</v>
      </c>
      <c r="M1722" s="3">
        <f ca="1">IF(AND(N1722&lt;&gt;N1721,ISNUMBER(SEARCH(Лист2!$B$6,N:N)),L1722=2),MAX($M$3:OFFSET(M1722,-1,0))+1,0)</f>
        <v>0</v>
      </c>
      <c r="N1722" s="3" t="s">
        <v>1583</v>
      </c>
    </row>
    <row r="1723" spans="1:14" x14ac:dyDescent="0.25">
      <c r="A1723" s="1" t="s">
        <v>11196</v>
      </c>
      <c r="B1723" s="3" t="s">
        <v>5347</v>
      </c>
      <c r="C1723" s="2">
        <f ca="1">IF(ISNUMBER(SEARCH(Лист2!$B$4,D:D)),MAX($C$3:OFFSET(C1723,-1,0))+1,0)</f>
        <v>0</v>
      </c>
      <c r="E1723" s="9" t="str">
        <f t="shared" ca="1" si="38"/>
        <v/>
      </c>
      <c r="F1723" s="4" t="s">
        <v>7</v>
      </c>
      <c r="G1723" s="2">
        <f>IF(ISNUMBER(SEARCH(Лист2!$B$4,F:F)),1,0)</f>
        <v>0</v>
      </c>
      <c r="H1723" s="3">
        <f ca="1">IF(AND(I1723&lt;&gt;I1722,ISNUMBER(SEARCH(Лист2!$B$5,I:I)),G1723=1),MAX($H$3:OFFSET(H1723,-1,0))+1,0)</f>
        <v>0</v>
      </c>
      <c r="I1723" s="3" t="s">
        <v>210</v>
      </c>
      <c r="K1723" s="2">
        <f>IF(ISNUMBER(SEARCH(Лист2!$B$4,F:F)),1,0)</f>
        <v>0</v>
      </c>
      <c r="L1723" s="14">
        <f>IF(ISNUMBER(SEARCH(Лист2!$B$5,I:I)),1,0)+K1723</f>
        <v>0</v>
      </c>
      <c r="M1723" s="3">
        <f ca="1">IF(AND(N1723&lt;&gt;N1722,ISNUMBER(SEARCH(Лист2!$B$6,N:N)),L1723=2),MAX($M$3:OFFSET(M1723,-1,0))+1,0)</f>
        <v>0</v>
      </c>
      <c r="N1723" s="3" t="s">
        <v>1583</v>
      </c>
    </row>
    <row r="1724" spans="1:14" x14ac:dyDescent="0.25">
      <c r="A1724" s="1" t="s">
        <v>11197</v>
      </c>
      <c r="B1724" s="3" t="s">
        <v>5348</v>
      </c>
      <c r="C1724" s="2">
        <f ca="1">IF(ISNUMBER(SEARCH(Лист2!$B$4,D:D)),MAX($C$3:OFFSET(C1724,-1,0))+1,0)</f>
        <v>0</v>
      </c>
      <c r="E1724" s="9" t="str">
        <f t="shared" ca="1" si="38"/>
        <v/>
      </c>
      <c r="F1724" s="4" t="s">
        <v>7</v>
      </c>
      <c r="G1724" s="2">
        <f>IF(ISNUMBER(SEARCH(Лист2!$B$4,F:F)),1,0)</f>
        <v>0</v>
      </c>
      <c r="H1724" s="3">
        <f ca="1">IF(AND(I1724&lt;&gt;I1723,ISNUMBER(SEARCH(Лист2!$B$5,I:I)),G1724=1),MAX($H$3:OFFSET(H1724,-1,0))+1,0)</f>
        <v>0</v>
      </c>
      <c r="I1724" s="3" t="s">
        <v>210</v>
      </c>
      <c r="K1724" s="2">
        <f>IF(ISNUMBER(SEARCH(Лист2!$B$4,F:F)),1,0)</f>
        <v>0</v>
      </c>
      <c r="L1724" s="14">
        <f>IF(ISNUMBER(SEARCH(Лист2!$B$5,I:I)),1,0)+K1724</f>
        <v>0</v>
      </c>
      <c r="M1724" s="3">
        <f ca="1">IF(AND(N1724&lt;&gt;N1723,ISNUMBER(SEARCH(Лист2!$B$6,N:N)),L1724=2),MAX($M$3:OFFSET(M1724,-1,0))+1,0)</f>
        <v>0</v>
      </c>
      <c r="N1724" s="3" t="s">
        <v>1584</v>
      </c>
    </row>
    <row r="1725" spans="1:14" x14ac:dyDescent="0.25">
      <c r="A1725" s="1" t="s">
        <v>11198</v>
      </c>
      <c r="B1725" s="3" t="s">
        <v>5349</v>
      </c>
      <c r="C1725" s="2">
        <f ca="1">IF(ISNUMBER(SEARCH(Лист2!$B$4,D:D)),MAX($C$3:OFFSET(C1725,-1,0))+1,0)</f>
        <v>0</v>
      </c>
      <c r="E1725" s="9" t="str">
        <f t="shared" ca="1" si="38"/>
        <v/>
      </c>
      <c r="F1725" s="4" t="s">
        <v>7</v>
      </c>
      <c r="G1725" s="2">
        <f>IF(ISNUMBER(SEARCH(Лист2!$B$4,F:F)),1,0)</f>
        <v>0</v>
      </c>
      <c r="H1725" s="3">
        <f ca="1">IF(AND(I1725&lt;&gt;I1724,ISNUMBER(SEARCH(Лист2!$B$5,I:I)),G1725=1),MAX($H$3:OFFSET(H1725,-1,0))+1,0)</f>
        <v>0</v>
      </c>
      <c r="I1725" s="3" t="s">
        <v>210</v>
      </c>
      <c r="K1725" s="2">
        <f>IF(ISNUMBER(SEARCH(Лист2!$B$4,F:F)),1,0)</f>
        <v>0</v>
      </c>
      <c r="L1725" s="14">
        <f>IF(ISNUMBER(SEARCH(Лист2!$B$5,I:I)),1,0)+K1725</f>
        <v>0</v>
      </c>
      <c r="M1725" s="3">
        <f ca="1">IF(AND(N1725&lt;&gt;N1724,ISNUMBER(SEARCH(Лист2!$B$6,N:N)),L1725=2),MAX($M$3:OFFSET(M1725,-1,0))+1,0)</f>
        <v>0</v>
      </c>
      <c r="N1725" s="3" t="s">
        <v>1585</v>
      </c>
    </row>
    <row r="1726" spans="1:14" x14ac:dyDescent="0.25">
      <c r="A1726" s="1" t="s">
        <v>11199</v>
      </c>
      <c r="B1726" s="3" t="s">
        <v>5350</v>
      </c>
      <c r="C1726" s="2">
        <f ca="1">IF(ISNUMBER(SEARCH(Лист2!$B$4,D:D)),MAX($C$3:OFFSET(C1726,-1,0))+1,0)</f>
        <v>0</v>
      </c>
      <c r="E1726" s="9" t="str">
        <f t="shared" ca="1" si="38"/>
        <v/>
      </c>
      <c r="F1726" s="4" t="s">
        <v>7</v>
      </c>
      <c r="G1726" s="2">
        <f>IF(ISNUMBER(SEARCH(Лист2!$B$4,F:F)),1,0)</f>
        <v>0</v>
      </c>
      <c r="H1726" s="3">
        <f ca="1">IF(AND(I1726&lt;&gt;I1725,ISNUMBER(SEARCH(Лист2!$B$5,I:I)),G1726=1),MAX($H$3:OFFSET(H1726,-1,0))+1,0)</f>
        <v>0</v>
      </c>
      <c r="I1726" s="3" t="s">
        <v>210</v>
      </c>
      <c r="K1726" s="2">
        <f>IF(ISNUMBER(SEARCH(Лист2!$B$4,F:F)),1,0)</f>
        <v>0</v>
      </c>
      <c r="L1726" s="14">
        <f>IF(ISNUMBER(SEARCH(Лист2!$B$5,I:I)),1,0)+K1726</f>
        <v>0</v>
      </c>
      <c r="M1726" s="3">
        <f ca="1">IF(AND(N1726&lt;&gt;N1725,ISNUMBER(SEARCH(Лист2!$B$6,N:N)),L1726=2),MAX($M$3:OFFSET(M1726,-1,0))+1,0)</f>
        <v>0</v>
      </c>
      <c r="N1726" s="3" t="s">
        <v>1586</v>
      </c>
    </row>
    <row r="1727" spans="1:14" x14ac:dyDescent="0.25">
      <c r="A1727" s="1" t="s">
        <v>11200</v>
      </c>
      <c r="B1727" s="3" t="s">
        <v>5351</v>
      </c>
      <c r="C1727" s="2">
        <f ca="1">IF(ISNUMBER(SEARCH(Лист2!$B$4,D:D)),MAX($C$3:OFFSET(C1727,-1,0))+1,0)</f>
        <v>0</v>
      </c>
      <c r="E1727" s="9" t="str">
        <f t="shared" ca="1" si="38"/>
        <v/>
      </c>
      <c r="F1727" s="4" t="s">
        <v>7</v>
      </c>
      <c r="G1727" s="2">
        <f>IF(ISNUMBER(SEARCH(Лист2!$B$4,F:F)),1,0)</f>
        <v>0</v>
      </c>
      <c r="H1727" s="3">
        <f ca="1">IF(AND(I1727&lt;&gt;I1726,ISNUMBER(SEARCH(Лист2!$B$5,I:I)),G1727=1),MAX($H$3:OFFSET(H1727,-1,0))+1,0)</f>
        <v>0</v>
      </c>
      <c r="I1727" s="3" t="s">
        <v>210</v>
      </c>
      <c r="K1727" s="2">
        <f>IF(ISNUMBER(SEARCH(Лист2!$B$4,F:F)),1,0)</f>
        <v>0</v>
      </c>
      <c r="L1727" s="14">
        <f>IF(ISNUMBER(SEARCH(Лист2!$B$5,I:I)),1,0)+K1727</f>
        <v>0</v>
      </c>
      <c r="M1727" s="3">
        <f ca="1">IF(AND(N1727&lt;&gt;N1726,ISNUMBER(SEARCH(Лист2!$B$6,N:N)),L1727=2),MAX($M$3:OFFSET(M1727,-1,0))+1,0)</f>
        <v>0</v>
      </c>
      <c r="N1727" s="3" t="s">
        <v>602</v>
      </c>
    </row>
    <row r="1728" spans="1:14" x14ac:dyDescent="0.25">
      <c r="A1728" s="1" t="s">
        <v>11201</v>
      </c>
      <c r="B1728" s="3" t="s">
        <v>5352</v>
      </c>
      <c r="C1728" s="2">
        <f ca="1">IF(ISNUMBER(SEARCH(Лист2!$B$4,D:D)),MAX($C$3:OFFSET(C1728,-1,0))+1,0)</f>
        <v>0</v>
      </c>
      <c r="E1728" s="9" t="str">
        <f t="shared" ca="1" si="38"/>
        <v/>
      </c>
      <c r="F1728" s="4" t="s">
        <v>7</v>
      </c>
      <c r="G1728" s="2">
        <f>IF(ISNUMBER(SEARCH(Лист2!$B$4,F:F)),1,0)</f>
        <v>0</v>
      </c>
      <c r="H1728" s="3">
        <f ca="1">IF(AND(I1728&lt;&gt;I1727,ISNUMBER(SEARCH(Лист2!$B$5,I:I)),G1728=1),MAX($H$3:OFFSET(H1728,-1,0))+1,0)</f>
        <v>0</v>
      </c>
      <c r="I1728" s="3" t="s">
        <v>210</v>
      </c>
      <c r="K1728" s="2">
        <f>IF(ISNUMBER(SEARCH(Лист2!$B$4,F:F)),1,0)</f>
        <v>0</v>
      </c>
      <c r="L1728" s="14">
        <f>IF(ISNUMBER(SEARCH(Лист2!$B$5,I:I)),1,0)+K1728</f>
        <v>0</v>
      </c>
      <c r="M1728" s="3">
        <f ca="1">IF(AND(N1728&lt;&gt;N1727,ISNUMBER(SEARCH(Лист2!$B$6,N:N)),L1728=2),MAX($M$3:OFFSET(M1728,-1,0))+1,0)</f>
        <v>0</v>
      </c>
      <c r="N1728" s="3" t="s">
        <v>1587</v>
      </c>
    </row>
    <row r="1729" spans="1:14" x14ac:dyDescent="0.25">
      <c r="A1729" s="1" t="s">
        <v>11202</v>
      </c>
      <c r="B1729" s="3" t="s">
        <v>5353</v>
      </c>
      <c r="C1729" s="2">
        <f ca="1">IF(ISNUMBER(SEARCH(Лист2!$B$4,D:D)),MAX($C$3:OFFSET(C1729,-1,0))+1,0)</f>
        <v>0</v>
      </c>
      <c r="E1729" s="9" t="str">
        <f t="shared" ca="1" si="38"/>
        <v/>
      </c>
      <c r="F1729" s="4" t="s">
        <v>7</v>
      </c>
      <c r="G1729" s="2">
        <f>IF(ISNUMBER(SEARCH(Лист2!$B$4,F:F)),1,0)</f>
        <v>0</v>
      </c>
      <c r="H1729" s="3">
        <f ca="1">IF(AND(I1729&lt;&gt;I1728,ISNUMBER(SEARCH(Лист2!$B$5,I:I)),G1729=1),MAX($H$3:OFFSET(H1729,-1,0))+1,0)</f>
        <v>0</v>
      </c>
      <c r="I1729" s="3" t="s">
        <v>211</v>
      </c>
      <c r="K1729" s="2">
        <f>IF(ISNUMBER(SEARCH(Лист2!$B$4,F:F)),1,0)</f>
        <v>0</v>
      </c>
      <c r="L1729" s="14">
        <f>IF(ISNUMBER(SEARCH(Лист2!$B$5,I:I)),1,0)+K1729</f>
        <v>0</v>
      </c>
      <c r="M1729" s="3">
        <f ca="1">IF(AND(N1729&lt;&gt;N1728,ISNUMBER(SEARCH(Лист2!$B$6,N:N)),L1729=2),MAX($M$3:OFFSET(M1729,-1,0))+1,0)</f>
        <v>0</v>
      </c>
      <c r="N1729" s="3" t="s">
        <v>1588</v>
      </c>
    </row>
    <row r="1730" spans="1:14" x14ac:dyDescent="0.25">
      <c r="A1730" s="1" t="s">
        <v>11203</v>
      </c>
      <c r="B1730" s="3" t="s">
        <v>5354</v>
      </c>
      <c r="C1730" s="2">
        <f ca="1">IF(ISNUMBER(SEARCH(Лист2!$B$4,D:D)),MAX($C$3:OFFSET(C1730,-1,0))+1,0)</f>
        <v>0</v>
      </c>
      <c r="E1730" s="9" t="str">
        <f t="shared" ca="1" si="38"/>
        <v/>
      </c>
      <c r="F1730" s="4" t="s">
        <v>7</v>
      </c>
      <c r="G1730" s="2">
        <f>IF(ISNUMBER(SEARCH(Лист2!$B$4,F:F)),1,0)</f>
        <v>0</v>
      </c>
      <c r="H1730" s="3">
        <f ca="1">IF(AND(I1730&lt;&gt;I1729,ISNUMBER(SEARCH(Лист2!$B$5,I:I)),G1730=1),MAX($H$3:OFFSET(H1730,-1,0))+1,0)</f>
        <v>0</v>
      </c>
      <c r="I1730" s="3" t="s">
        <v>211</v>
      </c>
      <c r="K1730" s="2">
        <f>IF(ISNUMBER(SEARCH(Лист2!$B$4,F:F)),1,0)</f>
        <v>0</v>
      </c>
      <c r="L1730" s="14">
        <f>IF(ISNUMBER(SEARCH(Лист2!$B$5,I:I)),1,0)+K1730</f>
        <v>0</v>
      </c>
      <c r="M1730" s="3">
        <f ca="1">IF(AND(N1730&lt;&gt;N1729,ISNUMBER(SEARCH(Лист2!$B$6,N:N)),L1730=2),MAX($M$3:OFFSET(M1730,-1,0))+1,0)</f>
        <v>0</v>
      </c>
      <c r="N1730" s="3" t="s">
        <v>1589</v>
      </c>
    </row>
    <row r="1731" spans="1:14" x14ac:dyDescent="0.25">
      <c r="A1731" s="1" t="s">
        <v>11204</v>
      </c>
      <c r="B1731" s="3" t="s">
        <v>5355</v>
      </c>
      <c r="C1731" s="2">
        <f ca="1">IF(ISNUMBER(SEARCH(Лист2!$B$4,D:D)),MAX($C$3:OFFSET(C1731,-1,0))+1,0)</f>
        <v>0</v>
      </c>
      <c r="E1731" s="9" t="str">
        <f t="shared" ca="1" si="38"/>
        <v/>
      </c>
      <c r="F1731" s="4" t="s">
        <v>7</v>
      </c>
      <c r="G1731" s="2">
        <f>IF(ISNUMBER(SEARCH(Лист2!$B$4,F:F)),1,0)</f>
        <v>0</v>
      </c>
      <c r="H1731" s="3">
        <f ca="1">IF(AND(I1731&lt;&gt;I1730,ISNUMBER(SEARCH(Лист2!$B$5,I:I)),G1731=1),MAX($H$3:OFFSET(H1731,-1,0))+1,0)</f>
        <v>0</v>
      </c>
      <c r="I1731" s="3" t="s">
        <v>211</v>
      </c>
      <c r="K1731" s="2">
        <f>IF(ISNUMBER(SEARCH(Лист2!$B$4,F:F)),1,0)</f>
        <v>0</v>
      </c>
      <c r="L1731" s="14">
        <f>IF(ISNUMBER(SEARCH(Лист2!$B$5,I:I)),1,0)+K1731</f>
        <v>0</v>
      </c>
      <c r="M1731" s="3">
        <f ca="1">IF(AND(N1731&lt;&gt;N1730,ISNUMBER(SEARCH(Лист2!$B$6,N:N)),L1731=2),MAX($M$3:OFFSET(M1731,-1,0))+1,0)</f>
        <v>0</v>
      </c>
      <c r="N1731" s="3" t="s">
        <v>1590</v>
      </c>
    </row>
    <row r="1732" spans="1:14" x14ac:dyDescent="0.25">
      <c r="A1732" s="1" t="s">
        <v>11204</v>
      </c>
      <c r="B1732" s="3" t="s">
        <v>5356</v>
      </c>
      <c r="C1732" s="2">
        <f ca="1">IF(ISNUMBER(SEARCH(Лист2!$B$4,D:D)),MAX($C$3:OFFSET(C1732,-1,0))+1,0)</f>
        <v>0</v>
      </c>
      <c r="E1732" s="9" t="str">
        <f t="shared" ca="1" si="38"/>
        <v/>
      </c>
      <c r="F1732" s="4" t="s">
        <v>7</v>
      </c>
      <c r="G1732" s="2">
        <f>IF(ISNUMBER(SEARCH(Лист2!$B$4,F:F)),1,0)</f>
        <v>0</v>
      </c>
      <c r="H1732" s="3">
        <f ca="1">IF(AND(I1732&lt;&gt;I1731,ISNUMBER(SEARCH(Лист2!$B$5,I:I)),G1732=1),MAX($H$3:OFFSET(H1732,-1,0))+1,0)</f>
        <v>0</v>
      </c>
      <c r="I1732" s="3" t="s">
        <v>211</v>
      </c>
      <c r="K1732" s="2">
        <f>IF(ISNUMBER(SEARCH(Лист2!$B$4,F:F)),1,0)</f>
        <v>0</v>
      </c>
      <c r="L1732" s="14">
        <f>IF(ISNUMBER(SEARCH(Лист2!$B$5,I:I)),1,0)+K1732</f>
        <v>0</v>
      </c>
      <c r="M1732" s="3">
        <f ca="1">IF(AND(N1732&lt;&gt;N1731,ISNUMBER(SEARCH(Лист2!$B$6,N:N)),L1732=2),MAX($M$3:OFFSET(M1732,-1,0))+1,0)</f>
        <v>0</v>
      </c>
      <c r="N1732" s="3" t="s">
        <v>1590</v>
      </c>
    </row>
    <row r="1733" spans="1:14" x14ac:dyDescent="0.25">
      <c r="A1733" s="1" t="s">
        <v>11204</v>
      </c>
      <c r="B1733" s="3" t="s">
        <v>5357</v>
      </c>
      <c r="C1733" s="2">
        <f ca="1">IF(ISNUMBER(SEARCH(Лист2!$B$4,D:D)),MAX($C$3:OFFSET(C1733,-1,0))+1,0)</f>
        <v>0</v>
      </c>
      <c r="E1733" s="9" t="str">
        <f t="shared" ref="E1733:E1796" ca="1" si="39">IFERROR(INDEX(D:D,MATCH(ROW(E1733)-ROW($E$3),C:C,0)),"")</f>
        <v/>
      </c>
      <c r="F1733" s="4" t="s">
        <v>7</v>
      </c>
      <c r="G1733" s="2">
        <f>IF(ISNUMBER(SEARCH(Лист2!$B$4,F:F)),1,0)</f>
        <v>0</v>
      </c>
      <c r="H1733" s="3">
        <f ca="1">IF(AND(I1733&lt;&gt;I1732,ISNUMBER(SEARCH(Лист2!$B$5,I:I)),G1733=1),MAX($H$3:OFFSET(H1733,-1,0))+1,0)</f>
        <v>0</v>
      </c>
      <c r="I1733" s="3" t="s">
        <v>211</v>
      </c>
      <c r="K1733" s="2">
        <f>IF(ISNUMBER(SEARCH(Лист2!$B$4,F:F)),1,0)</f>
        <v>0</v>
      </c>
      <c r="L1733" s="14">
        <f>IF(ISNUMBER(SEARCH(Лист2!$B$5,I:I)),1,0)+K1733</f>
        <v>0</v>
      </c>
      <c r="M1733" s="3">
        <f ca="1">IF(AND(N1733&lt;&gt;N1732,ISNUMBER(SEARCH(Лист2!$B$6,N:N)),L1733=2),MAX($M$3:OFFSET(M1733,-1,0))+1,0)</f>
        <v>0</v>
      </c>
      <c r="N1733" s="3" t="s">
        <v>1590</v>
      </c>
    </row>
    <row r="1734" spans="1:14" x14ac:dyDescent="0.25">
      <c r="A1734" s="1" t="s">
        <v>11205</v>
      </c>
      <c r="B1734" s="3" t="s">
        <v>5358</v>
      </c>
      <c r="C1734" s="2">
        <f ca="1">IF(ISNUMBER(SEARCH(Лист2!$B$4,D:D)),MAX($C$3:OFFSET(C1734,-1,0))+1,0)</f>
        <v>0</v>
      </c>
      <c r="E1734" s="9" t="str">
        <f t="shared" ca="1" si="39"/>
        <v/>
      </c>
      <c r="F1734" s="4" t="s">
        <v>7</v>
      </c>
      <c r="G1734" s="2">
        <f>IF(ISNUMBER(SEARCH(Лист2!$B$4,F:F)),1,0)</f>
        <v>0</v>
      </c>
      <c r="H1734" s="3">
        <f ca="1">IF(AND(I1734&lt;&gt;I1733,ISNUMBER(SEARCH(Лист2!$B$5,I:I)),G1734=1),MAX($H$3:OFFSET(H1734,-1,0))+1,0)</f>
        <v>0</v>
      </c>
      <c r="I1734" s="3" t="s">
        <v>211</v>
      </c>
      <c r="K1734" s="2">
        <f>IF(ISNUMBER(SEARCH(Лист2!$B$4,F:F)),1,0)</f>
        <v>0</v>
      </c>
      <c r="L1734" s="14">
        <f>IF(ISNUMBER(SEARCH(Лист2!$B$5,I:I)),1,0)+K1734</f>
        <v>0</v>
      </c>
      <c r="M1734" s="3">
        <f ca="1">IF(AND(N1734&lt;&gt;N1733,ISNUMBER(SEARCH(Лист2!$B$6,N:N)),L1734=2),MAX($M$3:OFFSET(M1734,-1,0))+1,0)</f>
        <v>0</v>
      </c>
      <c r="N1734" s="3" t="s">
        <v>1591</v>
      </c>
    </row>
    <row r="1735" spans="1:14" x14ac:dyDescent="0.25">
      <c r="A1735" s="1" t="s">
        <v>11205</v>
      </c>
      <c r="B1735" s="3" t="s">
        <v>5359</v>
      </c>
      <c r="C1735" s="2">
        <f ca="1">IF(ISNUMBER(SEARCH(Лист2!$B$4,D:D)),MAX($C$3:OFFSET(C1735,-1,0))+1,0)</f>
        <v>0</v>
      </c>
      <c r="E1735" s="9" t="str">
        <f t="shared" ca="1" si="39"/>
        <v/>
      </c>
      <c r="F1735" s="4" t="s">
        <v>7</v>
      </c>
      <c r="G1735" s="2">
        <f>IF(ISNUMBER(SEARCH(Лист2!$B$4,F:F)),1,0)</f>
        <v>0</v>
      </c>
      <c r="H1735" s="3">
        <f ca="1">IF(AND(I1735&lt;&gt;I1734,ISNUMBER(SEARCH(Лист2!$B$5,I:I)),G1735=1),MAX($H$3:OFFSET(H1735,-1,0))+1,0)</f>
        <v>0</v>
      </c>
      <c r="I1735" s="3" t="s">
        <v>211</v>
      </c>
      <c r="K1735" s="2">
        <f>IF(ISNUMBER(SEARCH(Лист2!$B$4,F:F)),1,0)</f>
        <v>0</v>
      </c>
      <c r="L1735" s="14">
        <f>IF(ISNUMBER(SEARCH(Лист2!$B$5,I:I)),1,0)+K1735</f>
        <v>0</v>
      </c>
      <c r="M1735" s="3">
        <f ca="1">IF(AND(N1735&lt;&gt;N1734,ISNUMBER(SEARCH(Лист2!$B$6,N:N)),L1735=2),MAX($M$3:OFFSET(M1735,-1,0))+1,0)</f>
        <v>0</v>
      </c>
      <c r="N1735" s="3" t="s">
        <v>1591</v>
      </c>
    </row>
    <row r="1736" spans="1:14" x14ac:dyDescent="0.25">
      <c r="A1736" s="1" t="s">
        <v>11205</v>
      </c>
      <c r="B1736" s="3" t="s">
        <v>5360</v>
      </c>
      <c r="C1736" s="2">
        <f ca="1">IF(ISNUMBER(SEARCH(Лист2!$B$4,D:D)),MAX($C$3:OFFSET(C1736,-1,0))+1,0)</f>
        <v>0</v>
      </c>
      <c r="E1736" s="9" t="str">
        <f t="shared" ca="1" si="39"/>
        <v/>
      </c>
      <c r="F1736" s="4" t="s">
        <v>7</v>
      </c>
      <c r="G1736" s="2">
        <f>IF(ISNUMBER(SEARCH(Лист2!$B$4,F:F)),1,0)</f>
        <v>0</v>
      </c>
      <c r="H1736" s="3">
        <f ca="1">IF(AND(I1736&lt;&gt;I1735,ISNUMBER(SEARCH(Лист2!$B$5,I:I)),G1736=1),MAX($H$3:OFFSET(H1736,-1,0))+1,0)</f>
        <v>0</v>
      </c>
      <c r="I1736" s="3" t="s">
        <v>211</v>
      </c>
      <c r="K1736" s="2">
        <f>IF(ISNUMBER(SEARCH(Лист2!$B$4,F:F)),1,0)</f>
        <v>0</v>
      </c>
      <c r="L1736" s="14">
        <f>IF(ISNUMBER(SEARCH(Лист2!$B$5,I:I)),1,0)+K1736</f>
        <v>0</v>
      </c>
      <c r="M1736" s="3">
        <f ca="1">IF(AND(N1736&lt;&gt;N1735,ISNUMBER(SEARCH(Лист2!$B$6,N:N)),L1736=2),MAX($M$3:OFFSET(M1736,-1,0))+1,0)</f>
        <v>0</v>
      </c>
      <c r="N1736" s="3" t="s">
        <v>1591</v>
      </c>
    </row>
    <row r="1737" spans="1:14" x14ac:dyDescent="0.25">
      <c r="A1737" s="1" t="s">
        <v>11206</v>
      </c>
      <c r="B1737" s="3" t="s">
        <v>5361</v>
      </c>
      <c r="C1737" s="2">
        <f ca="1">IF(ISNUMBER(SEARCH(Лист2!$B$4,D:D)),MAX($C$3:OFFSET(C1737,-1,0))+1,0)</f>
        <v>0</v>
      </c>
      <c r="E1737" s="9" t="str">
        <f t="shared" ca="1" si="39"/>
        <v/>
      </c>
      <c r="F1737" s="4" t="s">
        <v>7</v>
      </c>
      <c r="G1737" s="2">
        <f>IF(ISNUMBER(SEARCH(Лист2!$B$4,F:F)),1,0)</f>
        <v>0</v>
      </c>
      <c r="H1737" s="3">
        <f ca="1">IF(AND(I1737&lt;&gt;I1736,ISNUMBER(SEARCH(Лист2!$B$5,I:I)),G1737=1),MAX($H$3:OFFSET(H1737,-1,0))+1,0)</f>
        <v>0</v>
      </c>
      <c r="I1737" s="3" t="s">
        <v>211</v>
      </c>
      <c r="K1737" s="2">
        <f>IF(ISNUMBER(SEARCH(Лист2!$B$4,F:F)),1,0)</f>
        <v>0</v>
      </c>
      <c r="L1737" s="14">
        <f>IF(ISNUMBER(SEARCH(Лист2!$B$5,I:I)),1,0)+K1737</f>
        <v>0</v>
      </c>
      <c r="M1737" s="3">
        <f ca="1">IF(AND(N1737&lt;&gt;N1736,ISNUMBER(SEARCH(Лист2!$B$6,N:N)),L1737=2),MAX($M$3:OFFSET(M1737,-1,0))+1,0)</f>
        <v>0</v>
      </c>
      <c r="N1737" s="3" t="s">
        <v>1592</v>
      </c>
    </row>
    <row r="1738" spans="1:14" x14ac:dyDescent="0.25">
      <c r="A1738" s="1" t="s">
        <v>11206</v>
      </c>
      <c r="B1738" s="3" t="s">
        <v>5362</v>
      </c>
      <c r="C1738" s="2">
        <f ca="1">IF(ISNUMBER(SEARCH(Лист2!$B$4,D:D)),MAX($C$3:OFFSET(C1738,-1,0))+1,0)</f>
        <v>0</v>
      </c>
      <c r="E1738" s="9" t="str">
        <f t="shared" ca="1" si="39"/>
        <v/>
      </c>
      <c r="F1738" s="4" t="s">
        <v>7</v>
      </c>
      <c r="G1738" s="2">
        <f>IF(ISNUMBER(SEARCH(Лист2!$B$4,F:F)),1,0)</f>
        <v>0</v>
      </c>
      <c r="H1738" s="3">
        <f ca="1">IF(AND(I1738&lt;&gt;I1737,ISNUMBER(SEARCH(Лист2!$B$5,I:I)),G1738=1),MAX($H$3:OFFSET(H1738,-1,0))+1,0)</f>
        <v>0</v>
      </c>
      <c r="I1738" s="3" t="s">
        <v>211</v>
      </c>
      <c r="K1738" s="2">
        <f>IF(ISNUMBER(SEARCH(Лист2!$B$4,F:F)),1,0)</f>
        <v>0</v>
      </c>
      <c r="L1738" s="14">
        <f>IF(ISNUMBER(SEARCH(Лист2!$B$5,I:I)),1,0)+K1738</f>
        <v>0</v>
      </c>
      <c r="M1738" s="3">
        <f ca="1">IF(AND(N1738&lt;&gt;N1737,ISNUMBER(SEARCH(Лист2!$B$6,N:N)),L1738=2),MAX($M$3:OFFSET(M1738,-1,0))+1,0)</f>
        <v>0</v>
      </c>
      <c r="N1738" s="3" t="s">
        <v>1592</v>
      </c>
    </row>
    <row r="1739" spans="1:14" x14ac:dyDescent="0.25">
      <c r="A1739" s="1" t="s">
        <v>11206</v>
      </c>
      <c r="B1739" s="3" t="s">
        <v>5363</v>
      </c>
      <c r="C1739" s="2">
        <f ca="1">IF(ISNUMBER(SEARCH(Лист2!$B$4,D:D)),MAX($C$3:OFFSET(C1739,-1,0))+1,0)</f>
        <v>0</v>
      </c>
      <c r="E1739" s="9" t="str">
        <f t="shared" ca="1" si="39"/>
        <v/>
      </c>
      <c r="F1739" s="4" t="s">
        <v>7</v>
      </c>
      <c r="G1739" s="2">
        <f>IF(ISNUMBER(SEARCH(Лист2!$B$4,F:F)),1,0)</f>
        <v>0</v>
      </c>
      <c r="H1739" s="3">
        <f ca="1">IF(AND(I1739&lt;&gt;I1738,ISNUMBER(SEARCH(Лист2!$B$5,I:I)),G1739=1),MAX($H$3:OFFSET(H1739,-1,0))+1,0)</f>
        <v>0</v>
      </c>
      <c r="I1739" s="3" t="s">
        <v>211</v>
      </c>
      <c r="K1739" s="2">
        <f>IF(ISNUMBER(SEARCH(Лист2!$B$4,F:F)),1,0)</f>
        <v>0</v>
      </c>
      <c r="L1739" s="14">
        <f>IF(ISNUMBER(SEARCH(Лист2!$B$5,I:I)),1,0)+K1739</f>
        <v>0</v>
      </c>
      <c r="M1739" s="3">
        <f ca="1">IF(AND(N1739&lt;&gt;N1738,ISNUMBER(SEARCH(Лист2!$B$6,N:N)),L1739=2),MAX($M$3:OFFSET(M1739,-1,0))+1,0)</f>
        <v>0</v>
      </c>
      <c r="N1739" s="3" t="s">
        <v>1592</v>
      </c>
    </row>
    <row r="1740" spans="1:14" x14ac:dyDescent="0.25">
      <c r="A1740" s="1" t="s">
        <v>11207</v>
      </c>
      <c r="B1740" s="3" t="s">
        <v>5364</v>
      </c>
      <c r="C1740" s="2">
        <f ca="1">IF(ISNUMBER(SEARCH(Лист2!$B$4,D:D)),MAX($C$3:OFFSET(C1740,-1,0))+1,0)</f>
        <v>0</v>
      </c>
      <c r="E1740" s="9" t="str">
        <f t="shared" ca="1" si="39"/>
        <v/>
      </c>
      <c r="F1740" s="4" t="s">
        <v>7</v>
      </c>
      <c r="G1740" s="2">
        <f>IF(ISNUMBER(SEARCH(Лист2!$B$4,F:F)),1,0)</f>
        <v>0</v>
      </c>
      <c r="H1740" s="3">
        <f ca="1">IF(AND(I1740&lt;&gt;I1739,ISNUMBER(SEARCH(Лист2!$B$5,I:I)),G1740=1),MAX($H$3:OFFSET(H1740,-1,0))+1,0)</f>
        <v>0</v>
      </c>
      <c r="I1740" s="3" t="s">
        <v>211</v>
      </c>
      <c r="K1740" s="2">
        <f>IF(ISNUMBER(SEARCH(Лист2!$B$4,F:F)),1,0)</f>
        <v>0</v>
      </c>
      <c r="L1740" s="14">
        <f>IF(ISNUMBER(SEARCH(Лист2!$B$5,I:I)),1,0)+K1740</f>
        <v>0</v>
      </c>
      <c r="M1740" s="3">
        <f ca="1">IF(AND(N1740&lt;&gt;N1739,ISNUMBER(SEARCH(Лист2!$B$6,N:N)),L1740=2),MAX($M$3:OFFSET(M1740,-1,0))+1,0)</f>
        <v>0</v>
      </c>
      <c r="N1740" s="3" t="s">
        <v>1593</v>
      </c>
    </row>
    <row r="1741" spans="1:14" x14ac:dyDescent="0.25">
      <c r="A1741" s="1" t="s">
        <v>11208</v>
      </c>
      <c r="B1741" s="3" t="s">
        <v>5365</v>
      </c>
      <c r="C1741" s="2">
        <f ca="1">IF(ISNUMBER(SEARCH(Лист2!$B$4,D:D)),MAX($C$3:OFFSET(C1741,-1,0))+1,0)</f>
        <v>0</v>
      </c>
      <c r="E1741" s="9" t="str">
        <f t="shared" ca="1" si="39"/>
        <v/>
      </c>
      <c r="F1741" s="4" t="s">
        <v>7</v>
      </c>
      <c r="G1741" s="2">
        <f>IF(ISNUMBER(SEARCH(Лист2!$B$4,F:F)),1,0)</f>
        <v>0</v>
      </c>
      <c r="H1741" s="3">
        <f ca="1">IF(AND(I1741&lt;&gt;I1740,ISNUMBER(SEARCH(Лист2!$B$5,I:I)),G1741=1),MAX($H$3:OFFSET(H1741,-1,0))+1,0)</f>
        <v>0</v>
      </c>
      <c r="I1741" s="3" t="s">
        <v>211</v>
      </c>
      <c r="K1741" s="2">
        <f>IF(ISNUMBER(SEARCH(Лист2!$B$4,F:F)),1,0)</f>
        <v>0</v>
      </c>
      <c r="L1741" s="14">
        <f>IF(ISNUMBER(SEARCH(Лист2!$B$5,I:I)),1,0)+K1741</f>
        <v>0</v>
      </c>
      <c r="M1741" s="3">
        <f ca="1">IF(AND(N1741&lt;&gt;N1740,ISNUMBER(SEARCH(Лист2!$B$6,N:N)),L1741=2),MAX($M$3:OFFSET(M1741,-1,0))+1,0)</f>
        <v>0</v>
      </c>
      <c r="N1741" s="3" t="s">
        <v>1544</v>
      </c>
    </row>
    <row r="1742" spans="1:14" x14ac:dyDescent="0.25">
      <c r="A1742" s="1" t="s">
        <v>11209</v>
      </c>
      <c r="B1742" s="3" t="s">
        <v>5366</v>
      </c>
      <c r="C1742" s="2">
        <f ca="1">IF(ISNUMBER(SEARCH(Лист2!$B$4,D:D)),MAX($C$3:OFFSET(C1742,-1,0))+1,0)</f>
        <v>0</v>
      </c>
      <c r="E1742" s="9" t="str">
        <f t="shared" ca="1" si="39"/>
        <v/>
      </c>
      <c r="F1742" s="4" t="s">
        <v>7</v>
      </c>
      <c r="G1742" s="2">
        <f>IF(ISNUMBER(SEARCH(Лист2!$B$4,F:F)),1,0)</f>
        <v>0</v>
      </c>
      <c r="H1742" s="3">
        <f ca="1">IF(AND(I1742&lt;&gt;I1741,ISNUMBER(SEARCH(Лист2!$B$5,I:I)),G1742=1),MAX($H$3:OFFSET(H1742,-1,0))+1,0)</f>
        <v>0</v>
      </c>
      <c r="I1742" s="3" t="s">
        <v>211</v>
      </c>
      <c r="K1742" s="2">
        <f>IF(ISNUMBER(SEARCH(Лист2!$B$4,F:F)),1,0)</f>
        <v>0</v>
      </c>
      <c r="L1742" s="14">
        <f>IF(ISNUMBER(SEARCH(Лист2!$B$5,I:I)),1,0)+K1742</f>
        <v>0</v>
      </c>
      <c r="M1742" s="3">
        <f ca="1">IF(AND(N1742&lt;&gt;N1741,ISNUMBER(SEARCH(Лист2!$B$6,N:N)),L1742=2),MAX($M$3:OFFSET(M1742,-1,0))+1,0)</f>
        <v>0</v>
      </c>
      <c r="N1742" s="3" t="s">
        <v>1545</v>
      </c>
    </row>
    <row r="1743" spans="1:14" x14ac:dyDescent="0.25">
      <c r="A1743" s="1" t="s">
        <v>11210</v>
      </c>
      <c r="B1743" s="3" t="s">
        <v>5367</v>
      </c>
      <c r="C1743" s="2">
        <f ca="1">IF(ISNUMBER(SEARCH(Лист2!$B$4,D:D)),MAX($C$3:OFFSET(C1743,-1,0))+1,0)</f>
        <v>0</v>
      </c>
      <c r="E1743" s="9" t="str">
        <f t="shared" ca="1" si="39"/>
        <v/>
      </c>
      <c r="F1743" s="4" t="s">
        <v>7</v>
      </c>
      <c r="G1743" s="2">
        <f>IF(ISNUMBER(SEARCH(Лист2!$B$4,F:F)),1,0)</f>
        <v>0</v>
      </c>
      <c r="H1743" s="3">
        <f ca="1">IF(AND(I1743&lt;&gt;I1742,ISNUMBER(SEARCH(Лист2!$B$5,I:I)),G1743=1),MAX($H$3:OFFSET(H1743,-1,0))+1,0)</f>
        <v>0</v>
      </c>
      <c r="I1743" s="3" t="s">
        <v>211</v>
      </c>
      <c r="K1743" s="2">
        <f>IF(ISNUMBER(SEARCH(Лист2!$B$4,F:F)),1,0)</f>
        <v>0</v>
      </c>
      <c r="L1743" s="14">
        <f>IF(ISNUMBER(SEARCH(Лист2!$B$5,I:I)),1,0)+K1743</f>
        <v>0</v>
      </c>
      <c r="M1743" s="3">
        <f ca="1">IF(AND(N1743&lt;&gt;N1742,ISNUMBER(SEARCH(Лист2!$B$6,N:N)),L1743=2),MAX($M$3:OFFSET(M1743,-1,0))+1,0)</f>
        <v>0</v>
      </c>
      <c r="N1743" s="3" t="s">
        <v>602</v>
      </c>
    </row>
    <row r="1744" spans="1:14" x14ac:dyDescent="0.25">
      <c r="A1744" s="1" t="s">
        <v>11211</v>
      </c>
      <c r="B1744" s="3" t="s">
        <v>5368</v>
      </c>
      <c r="C1744" s="2">
        <f ca="1">IF(ISNUMBER(SEARCH(Лист2!$B$4,D:D)),MAX($C$3:OFFSET(C1744,-1,0))+1,0)</f>
        <v>0</v>
      </c>
      <c r="E1744" s="9" t="str">
        <f t="shared" ca="1" si="39"/>
        <v/>
      </c>
      <c r="F1744" s="4" t="s">
        <v>7</v>
      </c>
      <c r="G1744" s="2">
        <f>IF(ISNUMBER(SEARCH(Лист2!$B$4,F:F)),1,0)</f>
        <v>0</v>
      </c>
      <c r="H1744" s="3">
        <f ca="1">IF(AND(I1744&lt;&gt;I1743,ISNUMBER(SEARCH(Лист2!$B$5,I:I)),G1744=1),MAX($H$3:OFFSET(H1744,-1,0))+1,0)</f>
        <v>0</v>
      </c>
      <c r="I1744" s="3" t="s">
        <v>211</v>
      </c>
      <c r="K1744" s="2">
        <f>IF(ISNUMBER(SEARCH(Лист2!$B$4,F:F)),1,0)</f>
        <v>0</v>
      </c>
      <c r="L1744" s="14">
        <f>IF(ISNUMBER(SEARCH(Лист2!$B$5,I:I)),1,0)+K1744</f>
        <v>0</v>
      </c>
      <c r="M1744" s="3">
        <f ca="1">IF(AND(N1744&lt;&gt;N1743,ISNUMBER(SEARCH(Лист2!$B$6,N:N)),L1744=2),MAX($M$3:OFFSET(M1744,-1,0))+1,0)</f>
        <v>0</v>
      </c>
      <c r="N1744" s="3" t="s">
        <v>1594</v>
      </c>
    </row>
    <row r="1745" spans="1:14" x14ac:dyDescent="0.25">
      <c r="A1745" s="1" t="s">
        <v>11153</v>
      </c>
      <c r="B1745" s="3" t="s">
        <v>5369</v>
      </c>
      <c r="C1745" s="2">
        <f ca="1">IF(ISNUMBER(SEARCH(Лист2!$B$4,D:D)),MAX($C$3:OFFSET(C1745,-1,0))+1,0)</f>
        <v>0</v>
      </c>
      <c r="E1745" s="9" t="str">
        <f t="shared" ca="1" si="39"/>
        <v/>
      </c>
      <c r="F1745" s="4" t="s">
        <v>7</v>
      </c>
      <c r="G1745" s="2">
        <f>IF(ISNUMBER(SEARCH(Лист2!$B$4,F:F)),1,0)</f>
        <v>0</v>
      </c>
      <c r="H1745" s="3">
        <f ca="1">IF(AND(I1745&lt;&gt;I1744,ISNUMBER(SEARCH(Лист2!$B$5,I:I)),G1745=1),MAX($H$3:OFFSET(H1745,-1,0))+1,0)</f>
        <v>0</v>
      </c>
      <c r="I1745" s="3" t="s">
        <v>206</v>
      </c>
      <c r="K1745" s="2">
        <f>IF(ISNUMBER(SEARCH(Лист2!$B$4,F:F)),1,0)</f>
        <v>0</v>
      </c>
      <c r="L1745" s="14">
        <f>IF(ISNUMBER(SEARCH(Лист2!$B$5,I:I)),1,0)+K1745</f>
        <v>1</v>
      </c>
      <c r="M1745" s="3">
        <f ca="1">IF(AND(N1745&lt;&gt;N1744,ISNUMBER(SEARCH(Лист2!$B$6,N:N)),L1745=2),MAX($M$3:OFFSET(M1745,-1,0))+1,0)</f>
        <v>0</v>
      </c>
      <c r="N1745" s="3" t="s">
        <v>1547</v>
      </c>
    </row>
    <row r="1746" spans="1:14" x14ac:dyDescent="0.25">
      <c r="A1746" s="1" t="s">
        <v>11154</v>
      </c>
      <c r="B1746" s="3" t="s">
        <v>5370</v>
      </c>
      <c r="C1746" s="2">
        <f ca="1">IF(ISNUMBER(SEARCH(Лист2!$B$4,D:D)),MAX($C$3:OFFSET(C1746,-1,0))+1,0)</f>
        <v>0</v>
      </c>
      <c r="E1746" s="9" t="str">
        <f t="shared" ca="1" si="39"/>
        <v/>
      </c>
      <c r="F1746" s="4" t="s">
        <v>7</v>
      </c>
      <c r="G1746" s="2">
        <f>IF(ISNUMBER(SEARCH(Лист2!$B$4,F:F)),1,0)</f>
        <v>0</v>
      </c>
      <c r="H1746" s="3">
        <f ca="1">IF(AND(I1746&lt;&gt;I1745,ISNUMBER(SEARCH(Лист2!$B$5,I:I)),G1746=1),MAX($H$3:OFFSET(H1746,-1,0))+1,0)</f>
        <v>0</v>
      </c>
      <c r="I1746" s="3" t="s">
        <v>206</v>
      </c>
      <c r="K1746" s="2">
        <f>IF(ISNUMBER(SEARCH(Лист2!$B$4,F:F)),1,0)</f>
        <v>0</v>
      </c>
      <c r="L1746" s="14">
        <f>IF(ISNUMBER(SEARCH(Лист2!$B$5,I:I)),1,0)+K1746</f>
        <v>1</v>
      </c>
      <c r="M1746" s="3">
        <f ca="1">IF(AND(N1746&lt;&gt;N1745,ISNUMBER(SEARCH(Лист2!$B$6,N:N)),L1746=2),MAX($M$3:OFFSET(M1746,-1,0))+1,0)</f>
        <v>0</v>
      </c>
      <c r="N1746" s="3" t="s">
        <v>1548</v>
      </c>
    </row>
    <row r="1747" spans="1:14" x14ac:dyDescent="0.25">
      <c r="A1747" s="1" t="s">
        <v>11155</v>
      </c>
      <c r="B1747" s="3" t="s">
        <v>5371</v>
      </c>
      <c r="C1747" s="2">
        <f ca="1">IF(ISNUMBER(SEARCH(Лист2!$B$4,D:D)),MAX($C$3:OFFSET(C1747,-1,0))+1,0)</f>
        <v>0</v>
      </c>
      <c r="E1747" s="9" t="str">
        <f t="shared" ca="1" si="39"/>
        <v/>
      </c>
      <c r="F1747" s="4" t="s">
        <v>7</v>
      </c>
      <c r="G1747" s="2">
        <f>IF(ISNUMBER(SEARCH(Лист2!$B$4,F:F)),1,0)</f>
        <v>0</v>
      </c>
      <c r="H1747" s="3">
        <f ca="1">IF(AND(I1747&lt;&gt;I1746,ISNUMBER(SEARCH(Лист2!$B$5,I:I)),G1747=1),MAX($H$3:OFFSET(H1747,-1,0))+1,0)</f>
        <v>0</v>
      </c>
      <c r="I1747" s="3" t="s">
        <v>206</v>
      </c>
      <c r="K1747" s="2">
        <f>IF(ISNUMBER(SEARCH(Лист2!$B$4,F:F)),1,0)</f>
        <v>0</v>
      </c>
      <c r="L1747" s="14">
        <f>IF(ISNUMBER(SEARCH(Лист2!$B$5,I:I)),1,0)+K1747</f>
        <v>1</v>
      </c>
      <c r="M1747" s="3">
        <f ca="1">IF(AND(N1747&lt;&gt;N1746,ISNUMBER(SEARCH(Лист2!$B$6,N:N)),L1747=2),MAX($M$3:OFFSET(M1747,-1,0))+1,0)</f>
        <v>0</v>
      </c>
      <c r="N1747" s="3" t="s">
        <v>1549</v>
      </c>
    </row>
    <row r="1748" spans="1:14" x14ac:dyDescent="0.25">
      <c r="A1748" s="1" t="s">
        <v>11156</v>
      </c>
      <c r="B1748" s="3" t="s">
        <v>5372</v>
      </c>
      <c r="C1748" s="2">
        <f ca="1">IF(ISNUMBER(SEARCH(Лист2!$B$4,D:D)),MAX($C$3:OFFSET(C1748,-1,0))+1,0)</f>
        <v>0</v>
      </c>
      <c r="E1748" s="9" t="str">
        <f t="shared" ca="1" si="39"/>
        <v/>
      </c>
      <c r="F1748" s="4" t="s">
        <v>7</v>
      </c>
      <c r="G1748" s="2">
        <f>IF(ISNUMBER(SEARCH(Лист2!$B$4,F:F)),1,0)</f>
        <v>0</v>
      </c>
      <c r="H1748" s="3">
        <f ca="1">IF(AND(I1748&lt;&gt;I1747,ISNUMBER(SEARCH(Лист2!$B$5,I:I)),G1748=1),MAX($H$3:OFFSET(H1748,-1,0))+1,0)</f>
        <v>0</v>
      </c>
      <c r="I1748" s="3" t="s">
        <v>206</v>
      </c>
      <c r="K1748" s="2">
        <f>IF(ISNUMBER(SEARCH(Лист2!$B$4,F:F)),1,0)</f>
        <v>0</v>
      </c>
      <c r="L1748" s="14">
        <f>IF(ISNUMBER(SEARCH(Лист2!$B$5,I:I)),1,0)+K1748</f>
        <v>1</v>
      </c>
      <c r="M1748" s="3">
        <f ca="1">IF(AND(N1748&lt;&gt;N1747,ISNUMBER(SEARCH(Лист2!$B$6,N:N)),L1748=2),MAX($M$3:OFFSET(M1748,-1,0))+1,0)</f>
        <v>0</v>
      </c>
      <c r="N1748" s="3" t="s">
        <v>1550</v>
      </c>
    </row>
    <row r="1749" spans="1:14" x14ac:dyDescent="0.25">
      <c r="A1749" s="1" t="s">
        <v>11157</v>
      </c>
      <c r="B1749" s="3" t="s">
        <v>5373</v>
      </c>
      <c r="C1749" s="2">
        <f ca="1">IF(ISNUMBER(SEARCH(Лист2!$B$4,D:D)),MAX($C$3:OFFSET(C1749,-1,0))+1,0)</f>
        <v>0</v>
      </c>
      <c r="E1749" s="9" t="str">
        <f t="shared" ca="1" si="39"/>
        <v/>
      </c>
      <c r="F1749" s="4" t="s">
        <v>7</v>
      </c>
      <c r="G1749" s="2">
        <f>IF(ISNUMBER(SEARCH(Лист2!$B$4,F:F)),1,0)</f>
        <v>0</v>
      </c>
      <c r="H1749" s="3">
        <f ca="1">IF(AND(I1749&lt;&gt;I1748,ISNUMBER(SEARCH(Лист2!$B$5,I:I)),G1749=1),MAX($H$3:OFFSET(H1749,-1,0))+1,0)</f>
        <v>0</v>
      </c>
      <c r="I1749" s="3" t="s">
        <v>206</v>
      </c>
      <c r="K1749" s="2">
        <f>IF(ISNUMBER(SEARCH(Лист2!$B$4,F:F)),1,0)</f>
        <v>0</v>
      </c>
      <c r="L1749" s="14">
        <f>IF(ISNUMBER(SEARCH(Лист2!$B$5,I:I)),1,0)+K1749</f>
        <v>1</v>
      </c>
      <c r="M1749" s="3">
        <f ca="1">IF(AND(N1749&lt;&gt;N1748,ISNUMBER(SEARCH(Лист2!$B$6,N:N)),L1749=2),MAX($M$3:OFFSET(M1749,-1,0))+1,0)</f>
        <v>0</v>
      </c>
      <c r="N1749" s="3" t="s">
        <v>1551</v>
      </c>
    </row>
    <row r="1750" spans="1:14" x14ac:dyDescent="0.25">
      <c r="A1750" s="1" t="s">
        <v>11158</v>
      </c>
      <c r="B1750" s="3" t="s">
        <v>5374</v>
      </c>
      <c r="C1750" s="2">
        <f ca="1">IF(ISNUMBER(SEARCH(Лист2!$B$4,D:D)),MAX($C$3:OFFSET(C1750,-1,0))+1,0)</f>
        <v>0</v>
      </c>
      <c r="E1750" s="9" t="str">
        <f t="shared" ca="1" si="39"/>
        <v/>
      </c>
      <c r="F1750" s="4" t="s">
        <v>7</v>
      </c>
      <c r="G1750" s="2">
        <f>IF(ISNUMBER(SEARCH(Лист2!$B$4,F:F)),1,0)</f>
        <v>0</v>
      </c>
      <c r="H1750" s="3">
        <f ca="1">IF(AND(I1750&lt;&gt;I1749,ISNUMBER(SEARCH(Лист2!$B$5,I:I)),G1750=1),MAX($H$3:OFFSET(H1750,-1,0))+1,0)</f>
        <v>0</v>
      </c>
      <c r="I1750" s="3" t="s">
        <v>206</v>
      </c>
      <c r="K1750" s="2">
        <f>IF(ISNUMBER(SEARCH(Лист2!$B$4,F:F)),1,0)</f>
        <v>0</v>
      </c>
      <c r="L1750" s="14">
        <f>IF(ISNUMBER(SEARCH(Лист2!$B$5,I:I)),1,0)+K1750</f>
        <v>1</v>
      </c>
      <c r="M1750" s="3">
        <f ca="1">IF(AND(N1750&lt;&gt;N1749,ISNUMBER(SEARCH(Лист2!$B$6,N:N)),L1750=2),MAX($M$3:OFFSET(M1750,-1,0))+1,0)</f>
        <v>0</v>
      </c>
      <c r="N1750" s="3" t="s">
        <v>1552</v>
      </c>
    </row>
    <row r="1751" spans="1:14" x14ac:dyDescent="0.25">
      <c r="A1751" s="1" t="s">
        <v>11159</v>
      </c>
      <c r="B1751" s="3" t="s">
        <v>5375</v>
      </c>
      <c r="C1751" s="2">
        <f ca="1">IF(ISNUMBER(SEARCH(Лист2!$B$4,D:D)),MAX($C$3:OFFSET(C1751,-1,0))+1,0)</f>
        <v>0</v>
      </c>
      <c r="E1751" s="9" t="str">
        <f t="shared" ca="1" si="39"/>
        <v/>
      </c>
      <c r="F1751" s="4" t="s">
        <v>7</v>
      </c>
      <c r="G1751" s="2">
        <f>IF(ISNUMBER(SEARCH(Лист2!$B$4,F:F)),1,0)</f>
        <v>0</v>
      </c>
      <c r="H1751" s="3">
        <f ca="1">IF(AND(I1751&lt;&gt;I1750,ISNUMBER(SEARCH(Лист2!$B$5,I:I)),G1751=1),MAX($H$3:OFFSET(H1751,-1,0))+1,0)</f>
        <v>0</v>
      </c>
      <c r="I1751" s="3" t="s">
        <v>206</v>
      </c>
      <c r="K1751" s="2">
        <f>IF(ISNUMBER(SEARCH(Лист2!$B$4,F:F)),1,0)</f>
        <v>0</v>
      </c>
      <c r="L1751" s="14">
        <f>IF(ISNUMBER(SEARCH(Лист2!$B$5,I:I)),1,0)+K1751</f>
        <v>1</v>
      </c>
      <c r="M1751" s="3">
        <f ca="1">IF(AND(N1751&lt;&gt;N1750,ISNUMBER(SEARCH(Лист2!$B$6,N:N)),L1751=2),MAX($M$3:OFFSET(M1751,-1,0))+1,0)</f>
        <v>0</v>
      </c>
      <c r="N1751" s="3" t="s">
        <v>602</v>
      </c>
    </row>
    <row r="1752" spans="1:14" x14ac:dyDescent="0.25">
      <c r="A1752" s="1" t="s">
        <v>11160</v>
      </c>
      <c r="B1752" s="3" t="s">
        <v>5376</v>
      </c>
      <c r="C1752" s="2">
        <f ca="1">IF(ISNUMBER(SEARCH(Лист2!$B$4,D:D)),MAX($C$3:OFFSET(C1752,-1,0))+1,0)</f>
        <v>0</v>
      </c>
      <c r="E1752" s="9" t="str">
        <f t="shared" ca="1" si="39"/>
        <v/>
      </c>
      <c r="F1752" s="4" t="s">
        <v>7</v>
      </c>
      <c r="G1752" s="2">
        <f>IF(ISNUMBER(SEARCH(Лист2!$B$4,F:F)),1,0)</f>
        <v>0</v>
      </c>
      <c r="H1752" s="3">
        <f ca="1">IF(AND(I1752&lt;&gt;I1751,ISNUMBER(SEARCH(Лист2!$B$5,I:I)),G1752=1),MAX($H$3:OFFSET(H1752,-1,0))+1,0)</f>
        <v>0</v>
      </c>
      <c r="I1752" s="3" t="s">
        <v>206</v>
      </c>
      <c r="K1752" s="2">
        <f>IF(ISNUMBER(SEARCH(Лист2!$B$4,F:F)),1,0)</f>
        <v>0</v>
      </c>
      <c r="L1752" s="14">
        <f>IF(ISNUMBER(SEARCH(Лист2!$B$5,I:I)),1,0)+K1752</f>
        <v>1</v>
      </c>
      <c r="M1752" s="3">
        <f ca="1">IF(AND(N1752&lt;&gt;N1751,ISNUMBER(SEARCH(Лист2!$B$6,N:N)),L1752=2),MAX($M$3:OFFSET(M1752,-1,0))+1,0)</f>
        <v>0</v>
      </c>
      <c r="N1752" s="3" t="s">
        <v>1553</v>
      </c>
    </row>
    <row r="1753" spans="1:14" x14ac:dyDescent="0.25">
      <c r="A1753" s="1" t="s">
        <v>11212</v>
      </c>
      <c r="B1753" s="3" t="s">
        <v>5377</v>
      </c>
      <c r="C1753" s="2">
        <f ca="1">IF(ISNUMBER(SEARCH(Лист2!$B$4,D:D)),MAX($C$3:OFFSET(C1753,-1,0))+1,0)</f>
        <v>0</v>
      </c>
      <c r="E1753" s="9" t="str">
        <f t="shared" ca="1" si="39"/>
        <v/>
      </c>
      <c r="F1753" s="4" t="s">
        <v>7</v>
      </c>
      <c r="G1753" s="2">
        <f>IF(ISNUMBER(SEARCH(Лист2!$B$4,F:F)),1,0)</f>
        <v>0</v>
      </c>
      <c r="H1753" s="3">
        <f ca="1">IF(AND(I1753&lt;&gt;I1752,ISNUMBER(SEARCH(Лист2!$B$5,I:I)),G1753=1),MAX($H$3:OFFSET(H1753,-1,0))+1,0)</f>
        <v>0</v>
      </c>
      <c r="I1753" s="3" t="s">
        <v>212</v>
      </c>
      <c r="K1753" s="2">
        <f>IF(ISNUMBER(SEARCH(Лист2!$B$4,F:F)),1,0)</f>
        <v>0</v>
      </c>
      <c r="L1753" s="14">
        <f>IF(ISNUMBER(SEARCH(Лист2!$B$5,I:I)),1,0)+K1753</f>
        <v>0</v>
      </c>
      <c r="M1753" s="3">
        <f ca="1">IF(AND(N1753&lt;&gt;N1752,ISNUMBER(SEARCH(Лист2!$B$6,N:N)),L1753=2),MAX($M$3:OFFSET(M1753,-1,0))+1,0)</f>
        <v>0</v>
      </c>
      <c r="N1753" s="3" t="s">
        <v>1595</v>
      </c>
    </row>
    <row r="1754" spans="1:14" x14ac:dyDescent="0.25">
      <c r="A1754" s="1" t="s">
        <v>11213</v>
      </c>
      <c r="B1754" s="3" t="s">
        <v>5378</v>
      </c>
      <c r="C1754" s="2">
        <f ca="1">IF(ISNUMBER(SEARCH(Лист2!$B$4,D:D)),MAX($C$3:OFFSET(C1754,-1,0))+1,0)</f>
        <v>0</v>
      </c>
      <c r="E1754" s="9" t="str">
        <f t="shared" ca="1" si="39"/>
        <v/>
      </c>
      <c r="F1754" s="4" t="s">
        <v>7</v>
      </c>
      <c r="G1754" s="2">
        <f>IF(ISNUMBER(SEARCH(Лист2!$B$4,F:F)),1,0)</f>
        <v>0</v>
      </c>
      <c r="H1754" s="3">
        <f ca="1">IF(AND(I1754&lt;&gt;I1753,ISNUMBER(SEARCH(Лист2!$B$5,I:I)),G1754=1),MAX($H$3:OFFSET(H1754,-1,0))+1,0)</f>
        <v>0</v>
      </c>
      <c r="I1754" s="3" t="s">
        <v>212</v>
      </c>
      <c r="K1754" s="2">
        <f>IF(ISNUMBER(SEARCH(Лист2!$B$4,F:F)),1,0)</f>
        <v>0</v>
      </c>
      <c r="L1754" s="14">
        <f>IF(ISNUMBER(SEARCH(Лист2!$B$5,I:I)),1,0)+K1754</f>
        <v>0</v>
      </c>
      <c r="M1754" s="3">
        <f ca="1">IF(AND(N1754&lt;&gt;N1753,ISNUMBER(SEARCH(Лист2!$B$6,N:N)),L1754=2),MAX($M$3:OFFSET(M1754,-1,0))+1,0)</f>
        <v>0</v>
      </c>
      <c r="N1754" s="3" t="s">
        <v>1596</v>
      </c>
    </row>
    <row r="1755" spans="1:14" x14ac:dyDescent="0.25">
      <c r="A1755" s="1" t="s">
        <v>11214</v>
      </c>
      <c r="B1755" s="3" t="s">
        <v>5379</v>
      </c>
      <c r="C1755" s="2">
        <f ca="1">IF(ISNUMBER(SEARCH(Лист2!$B$4,D:D)),MAX($C$3:OFFSET(C1755,-1,0))+1,0)</f>
        <v>0</v>
      </c>
      <c r="E1755" s="9" t="str">
        <f t="shared" ca="1" si="39"/>
        <v/>
      </c>
      <c r="F1755" s="4" t="s">
        <v>7</v>
      </c>
      <c r="G1755" s="2">
        <f>IF(ISNUMBER(SEARCH(Лист2!$B$4,F:F)),1,0)</f>
        <v>0</v>
      </c>
      <c r="H1755" s="3">
        <f ca="1">IF(AND(I1755&lt;&gt;I1754,ISNUMBER(SEARCH(Лист2!$B$5,I:I)),G1755=1),MAX($H$3:OFFSET(H1755,-1,0))+1,0)</f>
        <v>0</v>
      </c>
      <c r="I1755" s="3" t="s">
        <v>212</v>
      </c>
      <c r="K1755" s="2">
        <f>IF(ISNUMBER(SEARCH(Лист2!$B$4,F:F)),1,0)</f>
        <v>0</v>
      </c>
      <c r="L1755" s="14">
        <f>IF(ISNUMBER(SEARCH(Лист2!$B$5,I:I)),1,0)+K1755</f>
        <v>0</v>
      </c>
      <c r="M1755" s="3">
        <f ca="1">IF(AND(N1755&lt;&gt;N1754,ISNUMBER(SEARCH(Лист2!$B$6,N:N)),L1755=2),MAX($M$3:OFFSET(M1755,-1,0))+1,0)</f>
        <v>0</v>
      </c>
      <c r="N1755" s="3" t="s">
        <v>1597</v>
      </c>
    </row>
    <row r="1756" spans="1:14" x14ac:dyDescent="0.25">
      <c r="A1756" s="1" t="s">
        <v>11215</v>
      </c>
      <c r="B1756" s="3" t="s">
        <v>5380</v>
      </c>
      <c r="C1756" s="2">
        <f ca="1">IF(ISNUMBER(SEARCH(Лист2!$B$4,D:D)),MAX($C$3:OFFSET(C1756,-1,0))+1,0)</f>
        <v>0</v>
      </c>
      <c r="E1756" s="9" t="str">
        <f t="shared" ca="1" si="39"/>
        <v/>
      </c>
      <c r="F1756" s="4" t="s">
        <v>7</v>
      </c>
      <c r="G1756" s="2">
        <f>IF(ISNUMBER(SEARCH(Лист2!$B$4,F:F)),1,0)</f>
        <v>0</v>
      </c>
      <c r="H1756" s="3">
        <f ca="1">IF(AND(I1756&lt;&gt;I1755,ISNUMBER(SEARCH(Лист2!$B$5,I:I)),G1756=1),MAX($H$3:OFFSET(H1756,-1,0))+1,0)</f>
        <v>0</v>
      </c>
      <c r="I1756" s="3" t="s">
        <v>212</v>
      </c>
      <c r="K1756" s="2">
        <f>IF(ISNUMBER(SEARCH(Лист2!$B$4,F:F)),1,0)</f>
        <v>0</v>
      </c>
      <c r="L1756" s="14">
        <f>IF(ISNUMBER(SEARCH(Лист2!$B$5,I:I)),1,0)+K1756</f>
        <v>0</v>
      </c>
      <c r="M1756" s="3">
        <f ca="1">IF(AND(N1756&lt;&gt;N1755,ISNUMBER(SEARCH(Лист2!$B$6,N:N)),L1756=2),MAX($M$3:OFFSET(M1756,-1,0))+1,0)</f>
        <v>0</v>
      </c>
      <c r="N1756" s="3" t="s">
        <v>602</v>
      </c>
    </row>
    <row r="1757" spans="1:14" x14ac:dyDescent="0.25">
      <c r="A1757" s="1" t="s">
        <v>11216</v>
      </c>
      <c r="B1757" s="3" t="s">
        <v>5381</v>
      </c>
      <c r="C1757" s="2">
        <f ca="1">IF(ISNUMBER(SEARCH(Лист2!$B$4,D:D)),MAX($C$3:OFFSET(C1757,-1,0))+1,0)</f>
        <v>0</v>
      </c>
      <c r="E1757" s="9" t="str">
        <f t="shared" ca="1" si="39"/>
        <v/>
      </c>
      <c r="F1757" s="4" t="s">
        <v>7</v>
      </c>
      <c r="G1757" s="2">
        <f>IF(ISNUMBER(SEARCH(Лист2!$B$4,F:F)),1,0)</f>
        <v>0</v>
      </c>
      <c r="H1757" s="3">
        <f ca="1">IF(AND(I1757&lt;&gt;I1756,ISNUMBER(SEARCH(Лист2!$B$5,I:I)),G1757=1),MAX($H$3:OFFSET(H1757,-1,0))+1,0)</f>
        <v>0</v>
      </c>
      <c r="I1757" s="3" t="s">
        <v>212</v>
      </c>
      <c r="K1757" s="2">
        <f>IF(ISNUMBER(SEARCH(Лист2!$B$4,F:F)),1,0)</f>
        <v>0</v>
      </c>
      <c r="L1757" s="14">
        <f>IF(ISNUMBER(SEARCH(Лист2!$B$5,I:I)),1,0)+K1757</f>
        <v>0</v>
      </c>
      <c r="M1757" s="3">
        <f ca="1">IF(AND(N1757&lt;&gt;N1756,ISNUMBER(SEARCH(Лист2!$B$6,N:N)),L1757=2),MAX($M$3:OFFSET(M1757,-1,0))+1,0)</f>
        <v>0</v>
      </c>
      <c r="N1757" s="3" t="s">
        <v>1598</v>
      </c>
    </row>
    <row r="1758" spans="1:14" x14ac:dyDescent="0.25">
      <c r="A1758" s="1" t="s">
        <v>11217</v>
      </c>
      <c r="B1758" s="3" t="s">
        <v>5382</v>
      </c>
      <c r="C1758" s="2">
        <f ca="1">IF(ISNUMBER(SEARCH(Лист2!$B$4,D:D)),MAX($C$3:OFFSET(C1758,-1,0))+1,0)</f>
        <v>0</v>
      </c>
      <c r="E1758" s="9" t="str">
        <f t="shared" ca="1" si="39"/>
        <v/>
      </c>
      <c r="F1758" s="4" t="s">
        <v>7</v>
      </c>
      <c r="G1758" s="2">
        <f>IF(ISNUMBER(SEARCH(Лист2!$B$4,F:F)),1,0)</f>
        <v>0</v>
      </c>
      <c r="H1758" s="3">
        <f ca="1">IF(AND(I1758&lt;&gt;I1757,ISNUMBER(SEARCH(Лист2!$B$5,I:I)),G1758=1),MAX($H$3:OFFSET(H1758,-1,0))+1,0)</f>
        <v>0</v>
      </c>
      <c r="I1758" s="3" t="s">
        <v>212</v>
      </c>
      <c r="K1758" s="2">
        <f>IF(ISNUMBER(SEARCH(Лист2!$B$4,F:F)),1,0)</f>
        <v>0</v>
      </c>
      <c r="L1758" s="14">
        <f>IF(ISNUMBER(SEARCH(Лист2!$B$5,I:I)),1,0)+K1758</f>
        <v>0</v>
      </c>
      <c r="M1758" s="3">
        <f ca="1">IF(AND(N1758&lt;&gt;N1757,ISNUMBER(SEARCH(Лист2!$B$6,N:N)),L1758=2),MAX($M$3:OFFSET(M1758,-1,0))+1,0)</f>
        <v>0</v>
      </c>
      <c r="N1758" s="3" t="s">
        <v>1599</v>
      </c>
    </row>
    <row r="1759" spans="1:14" x14ac:dyDescent="0.25">
      <c r="A1759" s="1" t="s">
        <v>11218</v>
      </c>
      <c r="B1759" s="3" t="s">
        <v>5383</v>
      </c>
      <c r="C1759" s="2">
        <f ca="1">IF(ISNUMBER(SEARCH(Лист2!$B$4,D:D)),MAX($C$3:OFFSET(C1759,-1,0))+1,0)</f>
        <v>0</v>
      </c>
      <c r="E1759" s="9" t="str">
        <f t="shared" ca="1" si="39"/>
        <v/>
      </c>
      <c r="F1759" s="4" t="s">
        <v>7</v>
      </c>
      <c r="G1759" s="2">
        <f>IF(ISNUMBER(SEARCH(Лист2!$B$4,F:F)),1,0)</f>
        <v>0</v>
      </c>
      <c r="H1759" s="3">
        <f ca="1">IF(AND(I1759&lt;&gt;I1758,ISNUMBER(SEARCH(Лист2!$B$5,I:I)),G1759=1),MAX($H$3:OFFSET(H1759,-1,0))+1,0)</f>
        <v>0</v>
      </c>
      <c r="I1759" s="3" t="s">
        <v>212</v>
      </c>
      <c r="K1759" s="2">
        <f>IF(ISNUMBER(SEARCH(Лист2!$B$4,F:F)),1,0)</f>
        <v>0</v>
      </c>
      <c r="L1759" s="14">
        <f>IF(ISNUMBER(SEARCH(Лист2!$B$5,I:I)),1,0)+K1759</f>
        <v>0</v>
      </c>
      <c r="M1759" s="3">
        <f ca="1">IF(AND(N1759&lt;&gt;N1758,ISNUMBER(SEARCH(Лист2!$B$6,N:N)),L1759=2),MAX($M$3:OFFSET(M1759,-1,0))+1,0)</f>
        <v>0</v>
      </c>
      <c r="N1759" s="3" t="s">
        <v>1385</v>
      </c>
    </row>
    <row r="1760" spans="1:14" x14ac:dyDescent="0.25">
      <c r="A1760" s="1" t="s">
        <v>11219</v>
      </c>
      <c r="B1760" s="3" t="s">
        <v>5384</v>
      </c>
      <c r="C1760" s="2">
        <f ca="1">IF(ISNUMBER(SEARCH(Лист2!$B$4,D:D)),MAX($C$3:OFFSET(C1760,-1,0))+1,0)</f>
        <v>0</v>
      </c>
      <c r="E1760" s="9" t="str">
        <f t="shared" ca="1" si="39"/>
        <v/>
      </c>
      <c r="F1760" s="4" t="s">
        <v>7</v>
      </c>
      <c r="G1760" s="2">
        <f>IF(ISNUMBER(SEARCH(Лист2!$B$4,F:F)),1,0)</f>
        <v>0</v>
      </c>
      <c r="H1760" s="3">
        <f ca="1">IF(AND(I1760&lt;&gt;I1759,ISNUMBER(SEARCH(Лист2!$B$5,I:I)),G1760=1),MAX($H$3:OFFSET(H1760,-1,0))+1,0)</f>
        <v>0</v>
      </c>
      <c r="I1760" s="3" t="s">
        <v>212</v>
      </c>
      <c r="K1760" s="2">
        <f>IF(ISNUMBER(SEARCH(Лист2!$B$4,F:F)),1,0)</f>
        <v>0</v>
      </c>
      <c r="L1760" s="14">
        <f>IF(ISNUMBER(SEARCH(Лист2!$B$5,I:I)),1,0)+K1760</f>
        <v>0</v>
      </c>
      <c r="M1760" s="3">
        <f ca="1">IF(AND(N1760&lt;&gt;N1759,ISNUMBER(SEARCH(Лист2!$B$6,N:N)),L1760=2),MAX($M$3:OFFSET(M1760,-1,0))+1,0)</f>
        <v>0</v>
      </c>
      <c r="N1760" s="3" t="s">
        <v>1600</v>
      </c>
    </row>
    <row r="1761" spans="1:14" x14ac:dyDescent="0.25">
      <c r="A1761" s="1" t="s">
        <v>11220</v>
      </c>
      <c r="B1761" s="3" t="s">
        <v>5385</v>
      </c>
      <c r="C1761" s="2">
        <f ca="1">IF(ISNUMBER(SEARCH(Лист2!$B$4,D:D)),MAX($C$3:OFFSET(C1761,-1,0))+1,0)</f>
        <v>0</v>
      </c>
      <c r="E1761" s="9" t="str">
        <f t="shared" ca="1" si="39"/>
        <v/>
      </c>
      <c r="F1761" s="4" t="s">
        <v>7</v>
      </c>
      <c r="G1761" s="2">
        <f>IF(ISNUMBER(SEARCH(Лист2!$B$4,F:F)),1,0)</f>
        <v>0</v>
      </c>
      <c r="H1761" s="3">
        <f ca="1">IF(AND(I1761&lt;&gt;I1760,ISNUMBER(SEARCH(Лист2!$B$5,I:I)),G1761=1),MAX($H$3:OFFSET(H1761,-1,0))+1,0)</f>
        <v>0</v>
      </c>
      <c r="I1761" s="3" t="s">
        <v>212</v>
      </c>
      <c r="K1761" s="2">
        <f>IF(ISNUMBER(SEARCH(Лист2!$B$4,F:F)),1,0)</f>
        <v>0</v>
      </c>
      <c r="L1761" s="14">
        <f>IF(ISNUMBER(SEARCH(Лист2!$B$5,I:I)),1,0)+K1761</f>
        <v>0</v>
      </c>
      <c r="M1761" s="3">
        <f ca="1">IF(AND(N1761&lt;&gt;N1760,ISNUMBER(SEARCH(Лист2!$B$6,N:N)),L1761=2),MAX($M$3:OFFSET(M1761,-1,0))+1,0)</f>
        <v>0</v>
      </c>
      <c r="N1761" s="3" t="s">
        <v>1601</v>
      </c>
    </row>
    <row r="1762" spans="1:14" x14ac:dyDescent="0.25">
      <c r="A1762" s="1" t="s">
        <v>11221</v>
      </c>
      <c r="B1762" s="3" t="s">
        <v>5386</v>
      </c>
      <c r="C1762" s="2">
        <f ca="1">IF(ISNUMBER(SEARCH(Лист2!$B$4,D:D)),MAX($C$3:OFFSET(C1762,-1,0))+1,0)</f>
        <v>0</v>
      </c>
      <c r="E1762" s="9" t="str">
        <f t="shared" ca="1" si="39"/>
        <v/>
      </c>
      <c r="F1762" s="4" t="s">
        <v>7</v>
      </c>
      <c r="G1762" s="2">
        <f>IF(ISNUMBER(SEARCH(Лист2!$B$4,F:F)),1,0)</f>
        <v>0</v>
      </c>
      <c r="H1762" s="3">
        <f ca="1">IF(AND(I1762&lt;&gt;I1761,ISNUMBER(SEARCH(Лист2!$B$5,I:I)),G1762=1),MAX($H$3:OFFSET(H1762,-1,0))+1,0)</f>
        <v>0</v>
      </c>
      <c r="I1762" s="3" t="s">
        <v>213</v>
      </c>
      <c r="K1762" s="2">
        <f>IF(ISNUMBER(SEARCH(Лист2!$B$4,F:F)),1,0)</f>
        <v>0</v>
      </c>
      <c r="L1762" s="14">
        <f>IF(ISNUMBER(SEARCH(Лист2!$B$5,I:I)),1,0)+K1762</f>
        <v>0</v>
      </c>
      <c r="M1762" s="3">
        <f ca="1">IF(AND(N1762&lt;&gt;N1761,ISNUMBER(SEARCH(Лист2!$B$6,N:N)),L1762=2),MAX($M$3:OFFSET(M1762,-1,0))+1,0)</f>
        <v>0</v>
      </c>
      <c r="N1762" s="3" t="s">
        <v>1602</v>
      </c>
    </row>
    <row r="1763" spans="1:14" x14ac:dyDescent="0.25">
      <c r="A1763" s="1" t="s">
        <v>11222</v>
      </c>
      <c r="B1763" s="3" t="s">
        <v>5387</v>
      </c>
      <c r="C1763" s="2">
        <f ca="1">IF(ISNUMBER(SEARCH(Лист2!$B$4,D:D)),MAX($C$3:OFFSET(C1763,-1,0))+1,0)</f>
        <v>0</v>
      </c>
      <c r="E1763" s="9" t="str">
        <f t="shared" ca="1" si="39"/>
        <v/>
      </c>
      <c r="F1763" s="4" t="s">
        <v>7</v>
      </c>
      <c r="G1763" s="2">
        <f>IF(ISNUMBER(SEARCH(Лист2!$B$4,F:F)),1,0)</f>
        <v>0</v>
      </c>
      <c r="H1763" s="3">
        <f ca="1">IF(AND(I1763&lt;&gt;I1762,ISNUMBER(SEARCH(Лист2!$B$5,I:I)),G1763=1),MAX($H$3:OFFSET(H1763,-1,0))+1,0)</f>
        <v>0</v>
      </c>
      <c r="I1763" s="3" t="s">
        <v>213</v>
      </c>
      <c r="K1763" s="2">
        <f>IF(ISNUMBER(SEARCH(Лист2!$B$4,F:F)),1,0)</f>
        <v>0</v>
      </c>
      <c r="L1763" s="14">
        <f>IF(ISNUMBER(SEARCH(Лист2!$B$5,I:I)),1,0)+K1763</f>
        <v>0</v>
      </c>
      <c r="M1763" s="3">
        <f ca="1">IF(AND(N1763&lt;&gt;N1762,ISNUMBER(SEARCH(Лист2!$B$6,N:N)),L1763=2),MAX($M$3:OFFSET(M1763,-1,0))+1,0)</f>
        <v>0</v>
      </c>
      <c r="N1763" s="3" t="s">
        <v>1603</v>
      </c>
    </row>
    <row r="1764" spans="1:14" x14ac:dyDescent="0.25">
      <c r="A1764" s="1" t="s">
        <v>11223</v>
      </c>
      <c r="B1764" s="3" t="s">
        <v>5388</v>
      </c>
      <c r="C1764" s="2">
        <f ca="1">IF(ISNUMBER(SEARCH(Лист2!$B$4,D:D)),MAX($C$3:OFFSET(C1764,-1,0))+1,0)</f>
        <v>0</v>
      </c>
      <c r="E1764" s="9" t="str">
        <f t="shared" ca="1" si="39"/>
        <v/>
      </c>
      <c r="F1764" s="4" t="s">
        <v>7</v>
      </c>
      <c r="G1764" s="2">
        <f>IF(ISNUMBER(SEARCH(Лист2!$B$4,F:F)),1,0)</f>
        <v>0</v>
      </c>
      <c r="H1764" s="3">
        <f ca="1">IF(AND(I1764&lt;&gt;I1763,ISNUMBER(SEARCH(Лист2!$B$5,I:I)),G1764=1),MAX($H$3:OFFSET(H1764,-1,0))+1,0)</f>
        <v>0</v>
      </c>
      <c r="I1764" s="3" t="s">
        <v>213</v>
      </c>
      <c r="K1764" s="2">
        <f>IF(ISNUMBER(SEARCH(Лист2!$B$4,F:F)),1,0)</f>
        <v>0</v>
      </c>
      <c r="L1764" s="14">
        <f>IF(ISNUMBER(SEARCH(Лист2!$B$5,I:I)),1,0)+K1764</f>
        <v>0</v>
      </c>
      <c r="M1764" s="3">
        <f ca="1">IF(AND(N1764&lt;&gt;N1763,ISNUMBER(SEARCH(Лист2!$B$6,N:N)),L1764=2),MAX($M$3:OFFSET(M1764,-1,0))+1,0)</f>
        <v>0</v>
      </c>
      <c r="N1764" s="3" t="s">
        <v>1604</v>
      </c>
    </row>
    <row r="1765" spans="1:14" x14ac:dyDescent="0.25">
      <c r="A1765" s="1" t="s">
        <v>11224</v>
      </c>
      <c r="B1765" s="3" t="s">
        <v>5389</v>
      </c>
      <c r="C1765" s="2">
        <f ca="1">IF(ISNUMBER(SEARCH(Лист2!$B$4,D:D)),MAX($C$3:OFFSET(C1765,-1,0))+1,0)</f>
        <v>0</v>
      </c>
      <c r="E1765" s="9" t="str">
        <f t="shared" ca="1" si="39"/>
        <v/>
      </c>
      <c r="F1765" s="4" t="s">
        <v>7</v>
      </c>
      <c r="G1765" s="2">
        <f>IF(ISNUMBER(SEARCH(Лист2!$B$4,F:F)),1,0)</f>
        <v>0</v>
      </c>
      <c r="H1765" s="3">
        <f ca="1">IF(AND(I1765&lt;&gt;I1764,ISNUMBER(SEARCH(Лист2!$B$5,I:I)),G1765=1),MAX($H$3:OFFSET(H1765,-1,0))+1,0)</f>
        <v>0</v>
      </c>
      <c r="I1765" s="3" t="s">
        <v>213</v>
      </c>
      <c r="K1765" s="2">
        <f>IF(ISNUMBER(SEARCH(Лист2!$B$4,F:F)),1,0)</f>
        <v>0</v>
      </c>
      <c r="L1765" s="14">
        <f>IF(ISNUMBER(SEARCH(Лист2!$B$5,I:I)),1,0)+K1765</f>
        <v>0</v>
      </c>
      <c r="M1765" s="3">
        <f ca="1">IF(AND(N1765&lt;&gt;N1764,ISNUMBER(SEARCH(Лист2!$B$6,N:N)),L1765=2),MAX($M$3:OFFSET(M1765,-1,0))+1,0)</f>
        <v>0</v>
      </c>
      <c r="N1765" s="3" t="s">
        <v>1605</v>
      </c>
    </row>
    <row r="1766" spans="1:14" x14ac:dyDescent="0.25">
      <c r="A1766" s="1" t="s">
        <v>11225</v>
      </c>
      <c r="B1766" s="3" t="s">
        <v>5390</v>
      </c>
      <c r="C1766" s="2">
        <f ca="1">IF(ISNUMBER(SEARCH(Лист2!$B$4,D:D)),MAX($C$3:OFFSET(C1766,-1,0))+1,0)</f>
        <v>0</v>
      </c>
      <c r="E1766" s="9" t="str">
        <f t="shared" ca="1" si="39"/>
        <v/>
      </c>
      <c r="F1766" s="4" t="s">
        <v>7</v>
      </c>
      <c r="G1766" s="2">
        <f>IF(ISNUMBER(SEARCH(Лист2!$B$4,F:F)),1,0)</f>
        <v>0</v>
      </c>
      <c r="H1766" s="3">
        <f ca="1">IF(AND(I1766&lt;&gt;I1765,ISNUMBER(SEARCH(Лист2!$B$5,I:I)),G1766=1),MAX($H$3:OFFSET(H1766,-1,0))+1,0)</f>
        <v>0</v>
      </c>
      <c r="I1766" s="3" t="s">
        <v>213</v>
      </c>
      <c r="K1766" s="2">
        <f>IF(ISNUMBER(SEARCH(Лист2!$B$4,F:F)),1,0)</f>
        <v>0</v>
      </c>
      <c r="L1766" s="14">
        <f>IF(ISNUMBER(SEARCH(Лист2!$B$5,I:I)),1,0)+K1766</f>
        <v>0</v>
      </c>
      <c r="M1766" s="3">
        <f ca="1">IF(AND(N1766&lt;&gt;N1765,ISNUMBER(SEARCH(Лист2!$B$6,N:N)),L1766=2),MAX($M$3:OFFSET(M1766,-1,0))+1,0)</f>
        <v>0</v>
      </c>
      <c r="N1766" s="3" t="s">
        <v>1606</v>
      </c>
    </row>
    <row r="1767" spans="1:14" x14ac:dyDescent="0.25">
      <c r="A1767" s="1" t="s">
        <v>11226</v>
      </c>
      <c r="B1767" s="3" t="s">
        <v>5391</v>
      </c>
      <c r="C1767" s="2">
        <f ca="1">IF(ISNUMBER(SEARCH(Лист2!$B$4,D:D)),MAX($C$3:OFFSET(C1767,-1,0))+1,0)</f>
        <v>0</v>
      </c>
      <c r="E1767" s="9" t="str">
        <f t="shared" ca="1" si="39"/>
        <v/>
      </c>
      <c r="F1767" s="4" t="s">
        <v>7</v>
      </c>
      <c r="G1767" s="2">
        <f>IF(ISNUMBER(SEARCH(Лист2!$B$4,F:F)),1,0)</f>
        <v>0</v>
      </c>
      <c r="H1767" s="3">
        <f ca="1">IF(AND(I1767&lt;&gt;I1766,ISNUMBER(SEARCH(Лист2!$B$5,I:I)),G1767=1),MAX($H$3:OFFSET(H1767,-1,0))+1,0)</f>
        <v>0</v>
      </c>
      <c r="I1767" s="3" t="s">
        <v>213</v>
      </c>
      <c r="K1767" s="2">
        <f>IF(ISNUMBER(SEARCH(Лист2!$B$4,F:F)),1,0)</f>
        <v>0</v>
      </c>
      <c r="L1767" s="14">
        <f>IF(ISNUMBER(SEARCH(Лист2!$B$5,I:I)),1,0)+K1767</f>
        <v>0</v>
      </c>
      <c r="M1767" s="3">
        <f ca="1">IF(AND(N1767&lt;&gt;N1766,ISNUMBER(SEARCH(Лист2!$B$6,N:N)),L1767=2),MAX($M$3:OFFSET(M1767,-1,0))+1,0)</f>
        <v>0</v>
      </c>
      <c r="N1767" s="3" t="s">
        <v>1607</v>
      </c>
    </row>
    <row r="1768" spans="1:14" x14ac:dyDescent="0.25">
      <c r="A1768" s="1" t="s">
        <v>11227</v>
      </c>
      <c r="B1768" s="3" t="s">
        <v>5392</v>
      </c>
      <c r="C1768" s="2">
        <f ca="1">IF(ISNUMBER(SEARCH(Лист2!$B$4,D:D)),MAX($C$3:OFFSET(C1768,-1,0))+1,0)</f>
        <v>0</v>
      </c>
      <c r="E1768" s="9" t="str">
        <f t="shared" ca="1" si="39"/>
        <v/>
      </c>
      <c r="F1768" s="4" t="s">
        <v>7</v>
      </c>
      <c r="G1768" s="2">
        <f>IF(ISNUMBER(SEARCH(Лист2!$B$4,F:F)),1,0)</f>
        <v>0</v>
      </c>
      <c r="H1768" s="3">
        <f ca="1">IF(AND(I1768&lt;&gt;I1767,ISNUMBER(SEARCH(Лист2!$B$5,I:I)),G1768=1),MAX($H$3:OFFSET(H1768,-1,0))+1,0)</f>
        <v>0</v>
      </c>
      <c r="I1768" s="3" t="s">
        <v>213</v>
      </c>
      <c r="K1768" s="2">
        <f>IF(ISNUMBER(SEARCH(Лист2!$B$4,F:F)),1,0)</f>
        <v>0</v>
      </c>
      <c r="L1768" s="14">
        <f>IF(ISNUMBER(SEARCH(Лист2!$B$5,I:I)),1,0)+K1768</f>
        <v>0</v>
      </c>
      <c r="M1768" s="3">
        <f ca="1">IF(AND(N1768&lt;&gt;N1767,ISNUMBER(SEARCH(Лист2!$B$6,N:N)),L1768=2),MAX($M$3:OFFSET(M1768,-1,0))+1,0)</f>
        <v>0</v>
      </c>
      <c r="N1768" s="3" t="s">
        <v>1608</v>
      </c>
    </row>
    <row r="1769" spans="1:14" x14ac:dyDescent="0.25">
      <c r="A1769" s="1" t="s">
        <v>11228</v>
      </c>
      <c r="B1769" s="3" t="s">
        <v>5393</v>
      </c>
      <c r="C1769" s="2">
        <f ca="1">IF(ISNUMBER(SEARCH(Лист2!$B$4,D:D)),MAX($C$3:OFFSET(C1769,-1,0))+1,0)</f>
        <v>0</v>
      </c>
      <c r="E1769" s="9" t="str">
        <f t="shared" ca="1" si="39"/>
        <v/>
      </c>
      <c r="F1769" s="4" t="s">
        <v>7</v>
      </c>
      <c r="G1769" s="2">
        <f>IF(ISNUMBER(SEARCH(Лист2!$B$4,F:F)),1,0)</f>
        <v>0</v>
      </c>
      <c r="H1769" s="3">
        <f ca="1">IF(AND(I1769&lt;&gt;I1768,ISNUMBER(SEARCH(Лист2!$B$5,I:I)),G1769=1),MAX($H$3:OFFSET(H1769,-1,0))+1,0)</f>
        <v>0</v>
      </c>
      <c r="I1769" s="3" t="s">
        <v>213</v>
      </c>
      <c r="K1769" s="2">
        <f>IF(ISNUMBER(SEARCH(Лист2!$B$4,F:F)),1,0)</f>
        <v>0</v>
      </c>
      <c r="L1769" s="14">
        <f>IF(ISNUMBER(SEARCH(Лист2!$B$5,I:I)),1,0)+K1769</f>
        <v>0</v>
      </c>
      <c r="M1769" s="3">
        <f ca="1">IF(AND(N1769&lt;&gt;N1768,ISNUMBER(SEARCH(Лист2!$B$6,N:N)),L1769=2),MAX($M$3:OFFSET(M1769,-1,0))+1,0)</f>
        <v>0</v>
      </c>
      <c r="N1769" s="3" t="s">
        <v>1560</v>
      </c>
    </row>
    <row r="1770" spans="1:14" x14ac:dyDescent="0.25">
      <c r="A1770" s="1" t="s">
        <v>11229</v>
      </c>
      <c r="B1770" s="3" t="s">
        <v>5394</v>
      </c>
      <c r="C1770" s="2">
        <f ca="1">IF(ISNUMBER(SEARCH(Лист2!$B$4,D:D)),MAX($C$3:OFFSET(C1770,-1,0))+1,0)</f>
        <v>0</v>
      </c>
      <c r="E1770" s="9" t="str">
        <f t="shared" ca="1" si="39"/>
        <v/>
      </c>
      <c r="F1770" s="4" t="s">
        <v>7</v>
      </c>
      <c r="G1770" s="2">
        <f>IF(ISNUMBER(SEARCH(Лист2!$B$4,F:F)),1,0)</f>
        <v>0</v>
      </c>
      <c r="H1770" s="3">
        <f ca="1">IF(AND(I1770&lt;&gt;I1769,ISNUMBER(SEARCH(Лист2!$B$5,I:I)),G1770=1),MAX($H$3:OFFSET(H1770,-1,0))+1,0)</f>
        <v>0</v>
      </c>
      <c r="I1770" s="3" t="s">
        <v>213</v>
      </c>
      <c r="K1770" s="2">
        <f>IF(ISNUMBER(SEARCH(Лист2!$B$4,F:F)),1,0)</f>
        <v>0</v>
      </c>
      <c r="L1770" s="14">
        <f>IF(ISNUMBER(SEARCH(Лист2!$B$5,I:I)),1,0)+K1770</f>
        <v>0</v>
      </c>
      <c r="M1770" s="3">
        <f ca="1">IF(AND(N1770&lt;&gt;N1769,ISNUMBER(SEARCH(Лист2!$B$6,N:N)),L1770=2),MAX($M$3:OFFSET(M1770,-1,0))+1,0)</f>
        <v>0</v>
      </c>
      <c r="N1770" s="3" t="s">
        <v>602</v>
      </c>
    </row>
    <row r="1771" spans="1:14" x14ac:dyDescent="0.25">
      <c r="A1771" s="1" t="s">
        <v>11230</v>
      </c>
      <c r="B1771" s="3" t="s">
        <v>5395</v>
      </c>
      <c r="C1771" s="2">
        <f ca="1">IF(ISNUMBER(SEARCH(Лист2!$B$4,D:D)),MAX($C$3:OFFSET(C1771,-1,0))+1,0)</f>
        <v>0</v>
      </c>
      <c r="E1771" s="9" t="str">
        <f t="shared" ca="1" si="39"/>
        <v/>
      </c>
      <c r="F1771" s="4" t="s">
        <v>7</v>
      </c>
      <c r="G1771" s="2">
        <f>IF(ISNUMBER(SEARCH(Лист2!$B$4,F:F)),1,0)</f>
        <v>0</v>
      </c>
      <c r="H1771" s="3">
        <f ca="1">IF(AND(I1771&lt;&gt;I1770,ISNUMBER(SEARCH(Лист2!$B$5,I:I)),G1771=1),MAX($H$3:OFFSET(H1771,-1,0))+1,0)</f>
        <v>0</v>
      </c>
      <c r="I1771" s="3" t="s">
        <v>213</v>
      </c>
      <c r="K1771" s="2">
        <f>IF(ISNUMBER(SEARCH(Лист2!$B$4,F:F)),1,0)</f>
        <v>0</v>
      </c>
      <c r="L1771" s="14">
        <f>IF(ISNUMBER(SEARCH(Лист2!$B$5,I:I)),1,0)+K1771</f>
        <v>0</v>
      </c>
      <c r="M1771" s="3">
        <f ca="1">IF(AND(N1771&lt;&gt;N1770,ISNUMBER(SEARCH(Лист2!$B$6,N:N)),L1771=2),MAX($M$3:OFFSET(M1771,-1,0))+1,0)</f>
        <v>0</v>
      </c>
      <c r="N1771" s="3" t="s">
        <v>1609</v>
      </c>
    </row>
    <row r="1772" spans="1:14" x14ac:dyDescent="0.25">
      <c r="A1772" s="1" t="s">
        <v>11231</v>
      </c>
      <c r="B1772" s="3" t="s">
        <v>5396</v>
      </c>
      <c r="C1772" s="2">
        <f ca="1">IF(ISNUMBER(SEARCH(Лист2!$B$4,D:D)),MAX($C$3:OFFSET(C1772,-1,0))+1,0)</f>
        <v>0</v>
      </c>
      <c r="E1772" s="9" t="str">
        <f t="shared" ca="1" si="39"/>
        <v/>
      </c>
      <c r="F1772" s="4" t="s">
        <v>7</v>
      </c>
      <c r="G1772" s="2">
        <f>IF(ISNUMBER(SEARCH(Лист2!$B$4,F:F)),1,0)</f>
        <v>0</v>
      </c>
      <c r="H1772" s="3">
        <f ca="1">IF(AND(I1772&lt;&gt;I1771,ISNUMBER(SEARCH(Лист2!$B$5,I:I)),G1772=1),MAX($H$3:OFFSET(H1772,-1,0))+1,0)</f>
        <v>0</v>
      </c>
      <c r="I1772" s="3" t="s">
        <v>214</v>
      </c>
      <c r="K1772" s="2">
        <f>IF(ISNUMBER(SEARCH(Лист2!$B$4,F:F)),1,0)</f>
        <v>0</v>
      </c>
      <c r="L1772" s="14">
        <f>IF(ISNUMBER(SEARCH(Лист2!$B$5,I:I)),1,0)+K1772</f>
        <v>0</v>
      </c>
      <c r="M1772" s="3">
        <f ca="1">IF(AND(N1772&lt;&gt;N1771,ISNUMBER(SEARCH(Лист2!$B$6,N:N)),L1772=2),MAX($M$3:OFFSET(M1772,-1,0))+1,0)</f>
        <v>0</v>
      </c>
      <c r="N1772" s="3" t="s">
        <v>1610</v>
      </c>
    </row>
    <row r="1773" spans="1:14" x14ac:dyDescent="0.25">
      <c r="A1773" s="1" t="s">
        <v>11232</v>
      </c>
      <c r="B1773" s="3" t="s">
        <v>5397</v>
      </c>
      <c r="C1773" s="2">
        <f ca="1">IF(ISNUMBER(SEARCH(Лист2!$B$4,D:D)),MAX($C$3:OFFSET(C1773,-1,0))+1,0)</f>
        <v>0</v>
      </c>
      <c r="E1773" s="9" t="str">
        <f t="shared" ca="1" si="39"/>
        <v/>
      </c>
      <c r="F1773" s="4" t="s">
        <v>7</v>
      </c>
      <c r="G1773" s="2">
        <f>IF(ISNUMBER(SEARCH(Лист2!$B$4,F:F)),1,0)</f>
        <v>0</v>
      </c>
      <c r="H1773" s="3">
        <f ca="1">IF(AND(I1773&lt;&gt;I1772,ISNUMBER(SEARCH(Лист2!$B$5,I:I)),G1773=1),MAX($H$3:OFFSET(H1773,-1,0))+1,0)</f>
        <v>0</v>
      </c>
      <c r="I1773" s="3" t="s">
        <v>214</v>
      </c>
      <c r="K1773" s="2">
        <f>IF(ISNUMBER(SEARCH(Лист2!$B$4,F:F)),1,0)</f>
        <v>0</v>
      </c>
      <c r="L1773" s="14">
        <f>IF(ISNUMBER(SEARCH(Лист2!$B$5,I:I)),1,0)+K1773</f>
        <v>0</v>
      </c>
      <c r="M1773" s="3">
        <f ca="1">IF(AND(N1773&lt;&gt;N1772,ISNUMBER(SEARCH(Лист2!$B$6,N:N)),L1773=2),MAX($M$3:OFFSET(M1773,-1,0))+1,0)</f>
        <v>0</v>
      </c>
      <c r="N1773" s="3" t="s">
        <v>1611</v>
      </c>
    </row>
    <row r="1774" spans="1:14" x14ac:dyDescent="0.25">
      <c r="A1774" s="1" t="s">
        <v>11233</v>
      </c>
      <c r="B1774" s="3" t="s">
        <v>5398</v>
      </c>
      <c r="C1774" s="2">
        <f ca="1">IF(ISNUMBER(SEARCH(Лист2!$B$4,D:D)),MAX($C$3:OFFSET(C1774,-1,0))+1,0)</f>
        <v>0</v>
      </c>
      <c r="E1774" s="9" t="str">
        <f t="shared" ca="1" si="39"/>
        <v/>
      </c>
      <c r="F1774" s="4" t="s">
        <v>7</v>
      </c>
      <c r="G1774" s="2">
        <f>IF(ISNUMBER(SEARCH(Лист2!$B$4,F:F)),1,0)</f>
        <v>0</v>
      </c>
      <c r="H1774" s="3">
        <f ca="1">IF(AND(I1774&lt;&gt;I1773,ISNUMBER(SEARCH(Лист2!$B$5,I:I)),G1774=1),MAX($H$3:OFFSET(H1774,-1,0))+1,0)</f>
        <v>0</v>
      </c>
      <c r="I1774" s="3" t="s">
        <v>214</v>
      </c>
      <c r="K1774" s="2">
        <f>IF(ISNUMBER(SEARCH(Лист2!$B$4,F:F)),1,0)</f>
        <v>0</v>
      </c>
      <c r="L1774" s="14">
        <f>IF(ISNUMBER(SEARCH(Лист2!$B$5,I:I)),1,0)+K1774</f>
        <v>0</v>
      </c>
      <c r="M1774" s="3">
        <f ca="1">IF(AND(N1774&lt;&gt;N1773,ISNUMBER(SEARCH(Лист2!$B$6,N:N)),L1774=2),MAX($M$3:OFFSET(M1774,-1,0))+1,0)</f>
        <v>0</v>
      </c>
      <c r="N1774" s="3" t="s">
        <v>1612</v>
      </c>
    </row>
    <row r="1775" spans="1:14" x14ac:dyDescent="0.25">
      <c r="A1775" s="1" t="s">
        <v>11234</v>
      </c>
      <c r="B1775" s="3" t="s">
        <v>5399</v>
      </c>
      <c r="C1775" s="2">
        <f ca="1">IF(ISNUMBER(SEARCH(Лист2!$B$4,D:D)),MAX($C$3:OFFSET(C1775,-1,0))+1,0)</f>
        <v>0</v>
      </c>
      <c r="E1775" s="9" t="str">
        <f t="shared" ca="1" si="39"/>
        <v/>
      </c>
      <c r="F1775" s="4" t="s">
        <v>7</v>
      </c>
      <c r="G1775" s="2">
        <f>IF(ISNUMBER(SEARCH(Лист2!$B$4,F:F)),1,0)</f>
        <v>0</v>
      </c>
      <c r="H1775" s="3">
        <f ca="1">IF(AND(I1775&lt;&gt;I1774,ISNUMBER(SEARCH(Лист2!$B$5,I:I)),G1775=1),MAX($H$3:OFFSET(H1775,-1,0))+1,0)</f>
        <v>0</v>
      </c>
      <c r="I1775" s="3" t="s">
        <v>214</v>
      </c>
      <c r="K1775" s="2">
        <f>IF(ISNUMBER(SEARCH(Лист2!$B$4,F:F)),1,0)</f>
        <v>0</v>
      </c>
      <c r="L1775" s="14">
        <f>IF(ISNUMBER(SEARCH(Лист2!$B$5,I:I)),1,0)+K1775</f>
        <v>0</v>
      </c>
      <c r="M1775" s="3">
        <f ca="1">IF(AND(N1775&lt;&gt;N1774,ISNUMBER(SEARCH(Лист2!$B$6,N:N)),L1775=2),MAX($M$3:OFFSET(M1775,-1,0))+1,0)</f>
        <v>0</v>
      </c>
      <c r="N1775" s="3" t="s">
        <v>602</v>
      </c>
    </row>
    <row r="1776" spans="1:14" x14ac:dyDescent="0.25">
      <c r="A1776" s="1" t="s">
        <v>11235</v>
      </c>
      <c r="B1776" s="3" t="s">
        <v>5400</v>
      </c>
      <c r="C1776" s="2">
        <f ca="1">IF(ISNUMBER(SEARCH(Лист2!$B$4,D:D)),MAX($C$3:OFFSET(C1776,-1,0))+1,0)</f>
        <v>0</v>
      </c>
      <c r="E1776" s="9" t="str">
        <f t="shared" ca="1" si="39"/>
        <v/>
      </c>
      <c r="F1776" s="4" t="s">
        <v>7</v>
      </c>
      <c r="G1776" s="2">
        <f>IF(ISNUMBER(SEARCH(Лист2!$B$4,F:F)),1,0)</f>
        <v>0</v>
      </c>
      <c r="H1776" s="3">
        <f ca="1">IF(AND(I1776&lt;&gt;I1775,ISNUMBER(SEARCH(Лист2!$B$5,I:I)),G1776=1),MAX($H$3:OFFSET(H1776,-1,0))+1,0)</f>
        <v>0</v>
      </c>
      <c r="I1776" s="3" t="s">
        <v>214</v>
      </c>
      <c r="K1776" s="2">
        <f>IF(ISNUMBER(SEARCH(Лист2!$B$4,F:F)),1,0)</f>
        <v>0</v>
      </c>
      <c r="L1776" s="14">
        <f>IF(ISNUMBER(SEARCH(Лист2!$B$5,I:I)),1,0)+K1776</f>
        <v>0</v>
      </c>
      <c r="M1776" s="3">
        <f ca="1">IF(AND(N1776&lt;&gt;N1775,ISNUMBER(SEARCH(Лист2!$B$6,N:N)),L1776=2),MAX($M$3:OFFSET(M1776,-1,0))+1,0)</f>
        <v>0</v>
      </c>
      <c r="N1776" s="3" t="s">
        <v>1613</v>
      </c>
    </row>
    <row r="1777" spans="1:14" x14ac:dyDescent="0.25">
      <c r="A1777" s="1" t="s">
        <v>11236</v>
      </c>
      <c r="B1777" s="3" t="s">
        <v>5401</v>
      </c>
      <c r="C1777" s="2">
        <f ca="1">IF(ISNUMBER(SEARCH(Лист2!$B$4,D:D)),MAX($C$3:OFFSET(C1777,-1,0))+1,0)</f>
        <v>0</v>
      </c>
      <c r="E1777" s="9" t="str">
        <f t="shared" ca="1" si="39"/>
        <v/>
      </c>
      <c r="F1777" s="4" t="s">
        <v>7</v>
      </c>
      <c r="G1777" s="2">
        <f>IF(ISNUMBER(SEARCH(Лист2!$B$4,F:F)),1,0)</f>
        <v>0</v>
      </c>
      <c r="H1777" s="3">
        <f ca="1">IF(AND(I1777&lt;&gt;I1776,ISNUMBER(SEARCH(Лист2!$B$5,I:I)),G1777=1),MAX($H$3:OFFSET(H1777,-1,0))+1,0)</f>
        <v>0</v>
      </c>
      <c r="I1777" s="3" t="s">
        <v>214</v>
      </c>
      <c r="K1777" s="2">
        <f>IF(ISNUMBER(SEARCH(Лист2!$B$4,F:F)),1,0)</f>
        <v>0</v>
      </c>
      <c r="L1777" s="14">
        <f>IF(ISNUMBER(SEARCH(Лист2!$B$5,I:I)),1,0)+K1777</f>
        <v>0</v>
      </c>
      <c r="M1777" s="3">
        <f ca="1">IF(AND(N1777&lt;&gt;N1776,ISNUMBER(SEARCH(Лист2!$B$6,N:N)),L1777=2),MAX($M$3:OFFSET(M1777,-1,0))+1,0)</f>
        <v>0</v>
      </c>
      <c r="N1777" s="3" t="s">
        <v>1614</v>
      </c>
    </row>
    <row r="1778" spans="1:14" x14ac:dyDescent="0.25">
      <c r="A1778" s="1" t="s">
        <v>11237</v>
      </c>
      <c r="B1778" s="3" t="s">
        <v>5402</v>
      </c>
      <c r="C1778" s="2">
        <f ca="1">IF(ISNUMBER(SEARCH(Лист2!$B$4,D:D)),MAX($C$3:OFFSET(C1778,-1,0))+1,0)</f>
        <v>0</v>
      </c>
      <c r="E1778" s="9" t="str">
        <f t="shared" ca="1" si="39"/>
        <v/>
      </c>
      <c r="F1778" s="4" t="s">
        <v>7</v>
      </c>
      <c r="G1778" s="2">
        <f>IF(ISNUMBER(SEARCH(Лист2!$B$4,F:F)),1,0)</f>
        <v>0</v>
      </c>
      <c r="H1778" s="3">
        <f ca="1">IF(AND(I1778&lt;&gt;I1777,ISNUMBER(SEARCH(Лист2!$B$5,I:I)),G1778=1),MAX($H$3:OFFSET(H1778,-1,0))+1,0)</f>
        <v>0</v>
      </c>
      <c r="I1778" s="3" t="s">
        <v>214</v>
      </c>
      <c r="K1778" s="2">
        <f>IF(ISNUMBER(SEARCH(Лист2!$B$4,F:F)),1,0)</f>
        <v>0</v>
      </c>
      <c r="L1778" s="14">
        <f>IF(ISNUMBER(SEARCH(Лист2!$B$5,I:I)),1,0)+K1778</f>
        <v>0</v>
      </c>
      <c r="M1778" s="3">
        <f ca="1">IF(AND(N1778&lt;&gt;N1777,ISNUMBER(SEARCH(Лист2!$B$6,N:N)),L1778=2),MAX($M$3:OFFSET(M1778,-1,0))+1,0)</f>
        <v>0</v>
      </c>
      <c r="N1778" s="3" t="s">
        <v>1385</v>
      </c>
    </row>
    <row r="1779" spans="1:14" x14ac:dyDescent="0.25">
      <c r="A1779" s="1" t="s">
        <v>11238</v>
      </c>
      <c r="B1779" s="3" t="s">
        <v>5403</v>
      </c>
      <c r="C1779" s="2">
        <f ca="1">IF(ISNUMBER(SEARCH(Лист2!$B$4,D:D)),MAX($C$3:OFFSET(C1779,-1,0))+1,0)</f>
        <v>0</v>
      </c>
      <c r="E1779" s="9" t="str">
        <f t="shared" ca="1" si="39"/>
        <v/>
      </c>
      <c r="F1779" s="4" t="s">
        <v>7</v>
      </c>
      <c r="G1779" s="2">
        <f>IF(ISNUMBER(SEARCH(Лист2!$B$4,F:F)),1,0)</f>
        <v>0</v>
      </c>
      <c r="H1779" s="3">
        <f ca="1">IF(AND(I1779&lt;&gt;I1778,ISNUMBER(SEARCH(Лист2!$B$5,I:I)),G1779=1),MAX($H$3:OFFSET(H1779,-1,0))+1,0)</f>
        <v>0</v>
      </c>
      <c r="I1779" s="3" t="s">
        <v>214</v>
      </c>
      <c r="K1779" s="2">
        <f>IF(ISNUMBER(SEARCH(Лист2!$B$4,F:F)),1,0)</f>
        <v>0</v>
      </c>
      <c r="L1779" s="14">
        <f>IF(ISNUMBER(SEARCH(Лист2!$B$5,I:I)),1,0)+K1779</f>
        <v>0</v>
      </c>
      <c r="M1779" s="3">
        <f ca="1">IF(AND(N1779&lt;&gt;N1778,ISNUMBER(SEARCH(Лист2!$B$6,N:N)),L1779=2),MAX($M$3:OFFSET(M1779,-1,0))+1,0)</f>
        <v>0</v>
      </c>
      <c r="N1779" s="3" t="s">
        <v>1615</v>
      </c>
    </row>
    <row r="1780" spans="1:14" x14ac:dyDescent="0.25">
      <c r="A1780" s="1" t="s">
        <v>11239</v>
      </c>
      <c r="B1780" s="3" t="s">
        <v>5404</v>
      </c>
      <c r="C1780" s="2">
        <f ca="1">IF(ISNUMBER(SEARCH(Лист2!$B$4,D:D)),MAX($C$3:OFFSET(C1780,-1,0))+1,0)</f>
        <v>0</v>
      </c>
      <c r="E1780" s="9" t="str">
        <f t="shared" ca="1" si="39"/>
        <v/>
      </c>
      <c r="F1780" s="4" t="s">
        <v>7</v>
      </c>
      <c r="G1780" s="2">
        <f>IF(ISNUMBER(SEARCH(Лист2!$B$4,F:F)),1,0)</f>
        <v>0</v>
      </c>
      <c r="H1780" s="3">
        <f ca="1">IF(AND(I1780&lt;&gt;I1779,ISNUMBER(SEARCH(Лист2!$B$5,I:I)),G1780=1),MAX($H$3:OFFSET(H1780,-1,0))+1,0)</f>
        <v>0</v>
      </c>
      <c r="I1780" s="3" t="s">
        <v>214</v>
      </c>
      <c r="K1780" s="2">
        <f>IF(ISNUMBER(SEARCH(Лист2!$B$4,F:F)),1,0)</f>
        <v>0</v>
      </c>
      <c r="L1780" s="14">
        <f>IF(ISNUMBER(SEARCH(Лист2!$B$5,I:I)),1,0)+K1780</f>
        <v>0</v>
      </c>
      <c r="M1780" s="3">
        <f ca="1">IF(AND(N1780&lt;&gt;N1779,ISNUMBER(SEARCH(Лист2!$B$6,N:N)),L1780=2),MAX($M$3:OFFSET(M1780,-1,0))+1,0)</f>
        <v>0</v>
      </c>
      <c r="N1780" s="3" t="s">
        <v>1616</v>
      </c>
    </row>
    <row r="1781" spans="1:14" x14ac:dyDescent="0.25">
      <c r="A1781" s="1" t="s">
        <v>11240</v>
      </c>
      <c r="B1781" s="3" t="s">
        <v>5405</v>
      </c>
      <c r="C1781" s="2">
        <f ca="1">IF(ISNUMBER(SEARCH(Лист2!$B$4,D:D)),MAX($C$3:OFFSET(C1781,-1,0))+1,0)</f>
        <v>0</v>
      </c>
      <c r="E1781" s="9" t="str">
        <f t="shared" ca="1" si="39"/>
        <v/>
      </c>
      <c r="F1781" s="4" t="s">
        <v>7</v>
      </c>
      <c r="G1781" s="2">
        <f>IF(ISNUMBER(SEARCH(Лист2!$B$4,F:F)),1,0)</f>
        <v>0</v>
      </c>
      <c r="H1781" s="3">
        <f ca="1">IF(AND(I1781&lt;&gt;I1780,ISNUMBER(SEARCH(Лист2!$B$5,I:I)),G1781=1),MAX($H$3:OFFSET(H1781,-1,0))+1,0)</f>
        <v>0</v>
      </c>
      <c r="I1781" s="3" t="s">
        <v>214</v>
      </c>
      <c r="K1781" s="2">
        <f>IF(ISNUMBER(SEARCH(Лист2!$B$4,F:F)),1,0)</f>
        <v>0</v>
      </c>
      <c r="L1781" s="14">
        <f>IF(ISNUMBER(SEARCH(Лист2!$B$5,I:I)),1,0)+K1781</f>
        <v>0</v>
      </c>
      <c r="M1781" s="3">
        <f ca="1">IF(AND(N1781&lt;&gt;N1780,ISNUMBER(SEARCH(Лист2!$B$6,N:N)),L1781=2),MAX($M$3:OFFSET(M1781,-1,0))+1,0)</f>
        <v>0</v>
      </c>
      <c r="N1781" s="3" t="s">
        <v>1528</v>
      </c>
    </row>
    <row r="1782" spans="1:14" x14ac:dyDescent="0.25">
      <c r="A1782" s="1" t="s">
        <v>11241</v>
      </c>
      <c r="B1782" s="3" t="s">
        <v>5406</v>
      </c>
      <c r="C1782" s="2">
        <f ca="1">IF(ISNUMBER(SEARCH(Лист2!$B$4,D:D)),MAX($C$3:OFFSET(C1782,-1,0))+1,0)</f>
        <v>0</v>
      </c>
      <c r="E1782" s="9" t="str">
        <f t="shared" ca="1" si="39"/>
        <v/>
      </c>
      <c r="F1782" s="4" t="s">
        <v>7</v>
      </c>
      <c r="G1782" s="2">
        <f>IF(ISNUMBER(SEARCH(Лист2!$B$4,F:F)),1,0)</f>
        <v>0</v>
      </c>
      <c r="H1782" s="3">
        <f ca="1">IF(AND(I1782&lt;&gt;I1781,ISNUMBER(SEARCH(Лист2!$B$5,I:I)),G1782=1),MAX($H$3:OFFSET(H1782,-1,0))+1,0)</f>
        <v>0</v>
      </c>
      <c r="I1782" s="3" t="s">
        <v>215</v>
      </c>
      <c r="K1782" s="2">
        <f>IF(ISNUMBER(SEARCH(Лист2!$B$4,F:F)),1,0)</f>
        <v>0</v>
      </c>
      <c r="L1782" s="14">
        <f>IF(ISNUMBER(SEARCH(Лист2!$B$5,I:I)),1,0)+K1782</f>
        <v>0</v>
      </c>
      <c r="M1782" s="3">
        <f ca="1">IF(AND(N1782&lt;&gt;N1781,ISNUMBER(SEARCH(Лист2!$B$6,N:N)),L1782=2),MAX($M$3:OFFSET(M1782,-1,0))+1,0)</f>
        <v>0</v>
      </c>
      <c r="N1782" s="3" t="s">
        <v>1617</v>
      </c>
    </row>
    <row r="1783" spans="1:14" x14ac:dyDescent="0.25">
      <c r="A1783" s="1" t="s">
        <v>11242</v>
      </c>
      <c r="B1783" s="3" t="s">
        <v>5407</v>
      </c>
      <c r="C1783" s="2">
        <f ca="1">IF(ISNUMBER(SEARCH(Лист2!$B$4,D:D)),MAX($C$3:OFFSET(C1783,-1,0))+1,0)</f>
        <v>0</v>
      </c>
      <c r="E1783" s="9" t="str">
        <f t="shared" ca="1" si="39"/>
        <v/>
      </c>
      <c r="F1783" s="4" t="s">
        <v>7</v>
      </c>
      <c r="G1783" s="2">
        <f>IF(ISNUMBER(SEARCH(Лист2!$B$4,F:F)),1,0)</f>
        <v>0</v>
      </c>
      <c r="H1783" s="3">
        <f ca="1">IF(AND(I1783&lt;&gt;I1782,ISNUMBER(SEARCH(Лист2!$B$5,I:I)),G1783=1),MAX($H$3:OFFSET(H1783,-1,0))+1,0)</f>
        <v>0</v>
      </c>
      <c r="I1783" s="3" t="s">
        <v>215</v>
      </c>
      <c r="K1783" s="2">
        <f>IF(ISNUMBER(SEARCH(Лист2!$B$4,F:F)),1,0)</f>
        <v>0</v>
      </c>
      <c r="L1783" s="14">
        <f>IF(ISNUMBER(SEARCH(Лист2!$B$5,I:I)),1,0)+K1783</f>
        <v>0</v>
      </c>
      <c r="M1783" s="3">
        <f ca="1">IF(AND(N1783&lt;&gt;N1782,ISNUMBER(SEARCH(Лист2!$B$6,N:N)),L1783=2),MAX($M$3:OFFSET(M1783,-1,0))+1,0)</f>
        <v>0</v>
      </c>
      <c r="N1783" s="3" t="s">
        <v>1618</v>
      </c>
    </row>
    <row r="1784" spans="1:14" x14ac:dyDescent="0.25">
      <c r="A1784" s="1" t="s">
        <v>11243</v>
      </c>
      <c r="B1784" s="3" t="s">
        <v>5408</v>
      </c>
      <c r="C1784" s="2">
        <f ca="1">IF(ISNUMBER(SEARCH(Лист2!$B$4,D:D)),MAX($C$3:OFFSET(C1784,-1,0))+1,0)</f>
        <v>0</v>
      </c>
      <c r="E1784" s="9" t="str">
        <f t="shared" ca="1" si="39"/>
        <v/>
      </c>
      <c r="F1784" s="4" t="s">
        <v>7</v>
      </c>
      <c r="G1784" s="2">
        <f>IF(ISNUMBER(SEARCH(Лист2!$B$4,F:F)),1,0)</f>
        <v>0</v>
      </c>
      <c r="H1784" s="3">
        <f ca="1">IF(AND(I1784&lt;&gt;I1783,ISNUMBER(SEARCH(Лист2!$B$5,I:I)),G1784=1),MAX($H$3:OFFSET(H1784,-1,0))+1,0)</f>
        <v>0</v>
      </c>
      <c r="I1784" s="3" t="s">
        <v>215</v>
      </c>
      <c r="K1784" s="2">
        <f>IF(ISNUMBER(SEARCH(Лист2!$B$4,F:F)),1,0)</f>
        <v>0</v>
      </c>
      <c r="L1784" s="14">
        <f>IF(ISNUMBER(SEARCH(Лист2!$B$5,I:I)),1,0)+K1784</f>
        <v>0</v>
      </c>
      <c r="M1784" s="3">
        <f ca="1">IF(AND(N1784&lt;&gt;N1783,ISNUMBER(SEARCH(Лист2!$B$6,N:N)),L1784=2),MAX($M$3:OFFSET(M1784,-1,0))+1,0)</f>
        <v>0</v>
      </c>
      <c r="N1784" s="3" t="s">
        <v>1619</v>
      </c>
    </row>
    <row r="1785" spans="1:14" x14ac:dyDescent="0.25">
      <c r="A1785" s="1" t="s">
        <v>11244</v>
      </c>
      <c r="B1785" s="3" t="s">
        <v>5409</v>
      </c>
      <c r="C1785" s="2">
        <f ca="1">IF(ISNUMBER(SEARCH(Лист2!$B$4,D:D)),MAX($C$3:OFFSET(C1785,-1,0))+1,0)</f>
        <v>0</v>
      </c>
      <c r="E1785" s="9" t="str">
        <f t="shared" ca="1" si="39"/>
        <v/>
      </c>
      <c r="F1785" s="4" t="s">
        <v>7</v>
      </c>
      <c r="G1785" s="2">
        <f>IF(ISNUMBER(SEARCH(Лист2!$B$4,F:F)),1,0)</f>
        <v>0</v>
      </c>
      <c r="H1785" s="3">
        <f ca="1">IF(AND(I1785&lt;&gt;I1784,ISNUMBER(SEARCH(Лист2!$B$5,I:I)),G1785=1),MAX($H$3:OFFSET(H1785,-1,0))+1,0)</f>
        <v>0</v>
      </c>
      <c r="I1785" s="3" t="s">
        <v>215</v>
      </c>
      <c r="K1785" s="2">
        <f>IF(ISNUMBER(SEARCH(Лист2!$B$4,F:F)),1,0)</f>
        <v>0</v>
      </c>
      <c r="L1785" s="14">
        <f>IF(ISNUMBER(SEARCH(Лист2!$B$5,I:I)),1,0)+K1785</f>
        <v>0</v>
      </c>
      <c r="M1785" s="3">
        <f ca="1">IF(AND(N1785&lt;&gt;N1784,ISNUMBER(SEARCH(Лист2!$B$6,N:N)),L1785=2),MAX($M$3:OFFSET(M1785,-1,0))+1,0)</f>
        <v>0</v>
      </c>
      <c r="N1785" s="3" t="s">
        <v>1620</v>
      </c>
    </row>
    <row r="1786" spans="1:14" x14ac:dyDescent="0.25">
      <c r="A1786" s="1" t="s">
        <v>11245</v>
      </c>
      <c r="B1786" s="3" t="s">
        <v>5410</v>
      </c>
      <c r="C1786" s="2">
        <f ca="1">IF(ISNUMBER(SEARCH(Лист2!$B$4,D:D)),MAX($C$3:OFFSET(C1786,-1,0))+1,0)</f>
        <v>0</v>
      </c>
      <c r="E1786" s="9" t="str">
        <f t="shared" ca="1" si="39"/>
        <v/>
      </c>
      <c r="F1786" s="4" t="s">
        <v>7</v>
      </c>
      <c r="G1786" s="2">
        <f>IF(ISNUMBER(SEARCH(Лист2!$B$4,F:F)),1,0)</f>
        <v>0</v>
      </c>
      <c r="H1786" s="3">
        <f ca="1">IF(AND(I1786&lt;&gt;I1785,ISNUMBER(SEARCH(Лист2!$B$5,I:I)),G1786=1),MAX($H$3:OFFSET(H1786,-1,0))+1,0)</f>
        <v>0</v>
      </c>
      <c r="I1786" s="3" t="s">
        <v>215</v>
      </c>
      <c r="K1786" s="2">
        <f>IF(ISNUMBER(SEARCH(Лист2!$B$4,F:F)),1,0)</f>
        <v>0</v>
      </c>
      <c r="L1786" s="14">
        <f>IF(ISNUMBER(SEARCH(Лист2!$B$5,I:I)),1,0)+K1786</f>
        <v>0</v>
      </c>
      <c r="M1786" s="3">
        <f ca="1">IF(AND(N1786&lt;&gt;N1785,ISNUMBER(SEARCH(Лист2!$B$6,N:N)),L1786=2),MAX($M$3:OFFSET(M1786,-1,0))+1,0)</f>
        <v>0</v>
      </c>
      <c r="N1786" s="3" t="s">
        <v>1621</v>
      </c>
    </row>
    <row r="1787" spans="1:14" x14ac:dyDescent="0.25">
      <c r="A1787" s="1" t="s">
        <v>11246</v>
      </c>
      <c r="B1787" s="3" t="s">
        <v>5411</v>
      </c>
      <c r="C1787" s="2">
        <f ca="1">IF(ISNUMBER(SEARCH(Лист2!$B$4,D:D)),MAX($C$3:OFFSET(C1787,-1,0))+1,0)</f>
        <v>0</v>
      </c>
      <c r="E1787" s="9" t="str">
        <f t="shared" ca="1" si="39"/>
        <v/>
      </c>
      <c r="F1787" s="4" t="s">
        <v>7</v>
      </c>
      <c r="G1787" s="2">
        <f>IF(ISNUMBER(SEARCH(Лист2!$B$4,F:F)),1,0)</f>
        <v>0</v>
      </c>
      <c r="H1787" s="3">
        <f ca="1">IF(AND(I1787&lt;&gt;I1786,ISNUMBER(SEARCH(Лист2!$B$5,I:I)),G1787=1),MAX($H$3:OFFSET(H1787,-1,0))+1,0)</f>
        <v>0</v>
      </c>
      <c r="I1787" s="3" t="s">
        <v>215</v>
      </c>
      <c r="K1787" s="2">
        <f>IF(ISNUMBER(SEARCH(Лист2!$B$4,F:F)),1,0)</f>
        <v>0</v>
      </c>
      <c r="L1787" s="14">
        <f>IF(ISNUMBER(SEARCH(Лист2!$B$5,I:I)),1,0)+K1787</f>
        <v>0</v>
      </c>
      <c r="M1787" s="3">
        <f ca="1">IF(AND(N1787&lt;&gt;N1786,ISNUMBER(SEARCH(Лист2!$B$6,N:N)),L1787=2),MAX($M$3:OFFSET(M1787,-1,0))+1,0)</f>
        <v>0</v>
      </c>
      <c r="N1787" s="3" t="s">
        <v>602</v>
      </c>
    </row>
    <row r="1788" spans="1:14" x14ac:dyDescent="0.25">
      <c r="A1788" s="1" t="s">
        <v>11247</v>
      </c>
      <c r="B1788" s="3" t="s">
        <v>5412</v>
      </c>
      <c r="C1788" s="2">
        <f ca="1">IF(ISNUMBER(SEARCH(Лист2!$B$4,D:D)),MAX($C$3:OFFSET(C1788,-1,0))+1,0)</f>
        <v>0</v>
      </c>
      <c r="E1788" s="9" t="str">
        <f t="shared" ca="1" si="39"/>
        <v/>
      </c>
      <c r="F1788" s="4" t="s">
        <v>7</v>
      </c>
      <c r="G1788" s="2">
        <f>IF(ISNUMBER(SEARCH(Лист2!$B$4,F:F)),1,0)</f>
        <v>0</v>
      </c>
      <c r="H1788" s="3">
        <f ca="1">IF(AND(I1788&lt;&gt;I1787,ISNUMBER(SEARCH(Лист2!$B$5,I:I)),G1788=1),MAX($H$3:OFFSET(H1788,-1,0))+1,0)</f>
        <v>0</v>
      </c>
      <c r="I1788" s="3" t="s">
        <v>215</v>
      </c>
      <c r="K1788" s="2">
        <f>IF(ISNUMBER(SEARCH(Лист2!$B$4,F:F)),1,0)</f>
        <v>0</v>
      </c>
      <c r="L1788" s="14">
        <f>IF(ISNUMBER(SEARCH(Лист2!$B$5,I:I)),1,0)+K1788</f>
        <v>0</v>
      </c>
      <c r="M1788" s="3">
        <f ca="1">IF(AND(N1788&lt;&gt;N1787,ISNUMBER(SEARCH(Лист2!$B$6,N:N)),L1788=2),MAX($M$3:OFFSET(M1788,-1,0))+1,0)</f>
        <v>0</v>
      </c>
      <c r="N1788" s="3" t="s">
        <v>1622</v>
      </c>
    </row>
    <row r="1789" spans="1:14" x14ac:dyDescent="0.25">
      <c r="A1789" s="1" t="s">
        <v>11248</v>
      </c>
      <c r="B1789" s="3" t="s">
        <v>5413</v>
      </c>
      <c r="C1789" s="2">
        <f ca="1">IF(ISNUMBER(SEARCH(Лист2!$B$4,D:D)),MAX($C$3:OFFSET(C1789,-1,0))+1,0)</f>
        <v>0</v>
      </c>
      <c r="E1789" s="9" t="str">
        <f t="shared" ca="1" si="39"/>
        <v/>
      </c>
      <c r="F1789" s="4" t="s">
        <v>7</v>
      </c>
      <c r="G1789" s="2">
        <f>IF(ISNUMBER(SEARCH(Лист2!$B$4,F:F)),1,0)</f>
        <v>0</v>
      </c>
      <c r="H1789" s="3">
        <f ca="1">IF(AND(I1789&lt;&gt;I1788,ISNUMBER(SEARCH(Лист2!$B$5,I:I)),G1789=1),MAX($H$3:OFFSET(H1789,-1,0))+1,0)</f>
        <v>0</v>
      </c>
      <c r="I1789" s="3" t="s">
        <v>215</v>
      </c>
      <c r="K1789" s="2">
        <f>IF(ISNUMBER(SEARCH(Лист2!$B$4,F:F)),1,0)</f>
        <v>0</v>
      </c>
      <c r="L1789" s="14">
        <f>IF(ISNUMBER(SEARCH(Лист2!$B$5,I:I)),1,0)+K1789</f>
        <v>0</v>
      </c>
      <c r="M1789" s="3">
        <f ca="1">IF(AND(N1789&lt;&gt;N1788,ISNUMBER(SEARCH(Лист2!$B$6,N:N)),L1789=2),MAX($M$3:OFFSET(M1789,-1,0))+1,0)</f>
        <v>0</v>
      </c>
      <c r="N1789" s="3" t="s">
        <v>1623</v>
      </c>
    </row>
    <row r="1790" spans="1:14" x14ac:dyDescent="0.25">
      <c r="A1790" s="1" t="s">
        <v>11249</v>
      </c>
      <c r="B1790" s="3" t="s">
        <v>5414</v>
      </c>
      <c r="C1790" s="2">
        <f ca="1">IF(ISNUMBER(SEARCH(Лист2!$B$4,D:D)),MAX($C$3:OFFSET(C1790,-1,0))+1,0)</f>
        <v>0</v>
      </c>
      <c r="E1790" s="9" t="str">
        <f t="shared" ca="1" si="39"/>
        <v/>
      </c>
      <c r="F1790" s="4" t="s">
        <v>7</v>
      </c>
      <c r="G1790" s="2">
        <f>IF(ISNUMBER(SEARCH(Лист2!$B$4,F:F)),1,0)</f>
        <v>0</v>
      </c>
      <c r="H1790" s="3">
        <f ca="1">IF(AND(I1790&lt;&gt;I1789,ISNUMBER(SEARCH(Лист2!$B$5,I:I)),G1790=1),MAX($H$3:OFFSET(H1790,-1,0))+1,0)</f>
        <v>0</v>
      </c>
      <c r="I1790" s="3" t="s">
        <v>215</v>
      </c>
      <c r="K1790" s="2">
        <f>IF(ISNUMBER(SEARCH(Лист2!$B$4,F:F)),1,0)</f>
        <v>0</v>
      </c>
      <c r="L1790" s="14">
        <f>IF(ISNUMBER(SEARCH(Лист2!$B$5,I:I)),1,0)+K1790</f>
        <v>0</v>
      </c>
      <c r="M1790" s="3">
        <f ca="1">IF(AND(N1790&lt;&gt;N1789,ISNUMBER(SEARCH(Лист2!$B$6,N:N)),L1790=2),MAX($M$3:OFFSET(M1790,-1,0))+1,0)</f>
        <v>0</v>
      </c>
      <c r="N1790" s="3" t="s">
        <v>1624</v>
      </c>
    </row>
    <row r="1791" spans="1:14" x14ac:dyDescent="0.25">
      <c r="A1791" s="1" t="s">
        <v>11250</v>
      </c>
      <c r="B1791" s="3" t="s">
        <v>5415</v>
      </c>
      <c r="C1791" s="2">
        <f ca="1">IF(ISNUMBER(SEARCH(Лист2!$B$4,D:D)),MAX($C$3:OFFSET(C1791,-1,0))+1,0)</f>
        <v>0</v>
      </c>
      <c r="E1791" s="9" t="str">
        <f t="shared" ca="1" si="39"/>
        <v/>
      </c>
      <c r="F1791" s="4" t="s">
        <v>7</v>
      </c>
      <c r="G1791" s="2">
        <f>IF(ISNUMBER(SEARCH(Лист2!$B$4,F:F)),1,0)</f>
        <v>0</v>
      </c>
      <c r="H1791" s="3">
        <f ca="1">IF(AND(I1791&lt;&gt;I1790,ISNUMBER(SEARCH(Лист2!$B$5,I:I)),G1791=1),MAX($H$3:OFFSET(H1791,-1,0))+1,0)</f>
        <v>0</v>
      </c>
      <c r="I1791" s="3" t="s">
        <v>216</v>
      </c>
      <c r="K1791" s="2">
        <f>IF(ISNUMBER(SEARCH(Лист2!$B$4,F:F)),1,0)</f>
        <v>0</v>
      </c>
      <c r="L1791" s="14">
        <f>IF(ISNUMBER(SEARCH(Лист2!$B$5,I:I)),1,0)+K1791</f>
        <v>0</v>
      </c>
      <c r="M1791" s="3">
        <f ca="1">IF(AND(N1791&lt;&gt;N1790,ISNUMBER(SEARCH(Лист2!$B$6,N:N)),L1791=2),MAX($M$3:OFFSET(M1791,-1,0))+1,0)</f>
        <v>0</v>
      </c>
      <c r="N1791" s="3" t="s">
        <v>1625</v>
      </c>
    </row>
    <row r="1792" spans="1:14" x14ac:dyDescent="0.25">
      <c r="A1792" s="1" t="s">
        <v>11251</v>
      </c>
      <c r="B1792" s="3" t="s">
        <v>5416</v>
      </c>
      <c r="C1792" s="2">
        <f ca="1">IF(ISNUMBER(SEARCH(Лист2!$B$4,D:D)),MAX($C$3:OFFSET(C1792,-1,0))+1,0)</f>
        <v>0</v>
      </c>
      <c r="E1792" s="9" t="str">
        <f t="shared" ca="1" si="39"/>
        <v/>
      </c>
      <c r="F1792" s="4" t="s">
        <v>7</v>
      </c>
      <c r="G1792" s="2">
        <f>IF(ISNUMBER(SEARCH(Лист2!$B$4,F:F)),1,0)</f>
        <v>0</v>
      </c>
      <c r="H1792" s="3">
        <f ca="1">IF(AND(I1792&lt;&gt;I1791,ISNUMBER(SEARCH(Лист2!$B$5,I:I)),G1792=1),MAX($H$3:OFFSET(H1792,-1,0))+1,0)</f>
        <v>0</v>
      </c>
      <c r="I1792" s="3" t="s">
        <v>216</v>
      </c>
      <c r="K1792" s="2">
        <f>IF(ISNUMBER(SEARCH(Лист2!$B$4,F:F)),1,0)</f>
        <v>0</v>
      </c>
      <c r="L1792" s="14">
        <f>IF(ISNUMBER(SEARCH(Лист2!$B$5,I:I)),1,0)+K1792</f>
        <v>0</v>
      </c>
      <c r="M1792" s="3">
        <f ca="1">IF(AND(N1792&lt;&gt;N1791,ISNUMBER(SEARCH(Лист2!$B$6,N:N)),L1792=2),MAX($M$3:OFFSET(M1792,-1,0))+1,0)</f>
        <v>0</v>
      </c>
      <c r="N1792" s="3" t="s">
        <v>1626</v>
      </c>
    </row>
    <row r="1793" spans="1:14" x14ac:dyDescent="0.25">
      <c r="A1793" s="1" t="s">
        <v>11252</v>
      </c>
      <c r="B1793" s="3" t="s">
        <v>5417</v>
      </c>
      <c r="C1793" s="2">
        <f ca="1">IF(ISNUMBER(SEARCH(Лист2!$B$4,D:D)),MAX($C$3:OFFSET(C1793,-1,0))+1,0)</f>
        <v>0</v>
      </c>
      <c r="E1793" s="9" t="str">
        <f t="shared" ca="1" si="39"/>
        <v/>
      </c>
      <c r="F1793" s="4" t="s">
        <v>7</v>
      </c>
      <c r="G1793" s="2">
        <f>IF(ISNUMBER(SEARCH(Лист2!$B$4,F:F)),1,0)</f>
        <v>0</v>
      </c>
      <c r="H1793" s="3">
        <f ca="1">IF(AND(I1793&lt;&gt;I1792,ISNUMBER(SEARCH(Лист2!$B$5,I:I)),G1793=1),MAX($H$3:OFFSET(H1793,-1,0))+1,0)</f>
        <v>0</v>
      </c>
      <c r="I1793" s="3" t="s">
        <v>216</v>
      </c>
      <c r="K1793" s="2">
        <f>IF(ISNUMBER(SEARCH(Лист2!$B$4,F:F)),1,0)</f>
        <v>0</v>
      </c>
      <c r="L1793" s="14">
        <f>IF(ISNUMBER(SEARCH(Лист2!$B$5,I:I)),1,0)+K1793</f>
        <v>0</v>
      </c>
      <c r="M1793" s="3">
        <f ca="1">IF(AND(N1793&lt;&gt;N1792,ISNUMBER(SEARCH(Лист2!$B$6,N:N)),L1793=2),MAX($M$3:OFFSET(M1793,-1,0))+1,0)</f>
        <v>0</v>
      </c>
      <c r="N1793" s="3" t="s">
        <v>1627</v>
      </c>
    </row>
    <row r="1794" spans="1:14" x14ac:dyDescent="0.25">
      <c r="A1794" s="1" t="s">
        <v>11253</v>
      </c>
      <c r="B1794" s="3" t="s">
        <v>5418</v>
      </c>
      <c r="C1794" s="2">
        <f ca="1">IF(ISNUMBER(SEARCH(Лист2!$B$4,D:D)),MAX($C$3:OFFSET(C1794,-1,0))+1,0)</f>
        <v>0</v>
      </c>
      <c r="E1794" s="9" t="str">
        <f t="shared" ca="1" si="39"/>
        <v/>
      </c>
      <c r="F1794" s="4" t="s">
        <v>7</v>
      </c>
      <c r="G1794" s="2">
        <f>IF(ISNUMBER(SEARCH(Лист2!$B$4,F:F)),1,0)</f>
        <v>0</v>
      </c>
      <c r="H1794" s="3">
        <f ca="1">IF(AND(I1794&lt;&gt;I1793,ISNUMBER(SEARCH(Лист2!$B$5,I:I)),G1794=1),MAX($H$3:OFFSET(H1794,-1,0))+1,0)</f>
        <v>0</v>
      </c>
      <c r="I1794" s="3" t="s">
        <v>216</v>
      </c>
      <c r="K1794" s="2">
        <f>IF(ISNUMBER(SEARCH(Лист2!$B$4,F:F)),1,0)</f>
        <v>0</v>
      </c>
      <c r="L1794" s="14">
        <f>IF(ISNUMBER(SEARCH(Лист2!$B$5,I:I)),1,0)+K1794</f>
        <v>0</v>
      </c>
      <c r="M1794" s="3">
        <f ca="1">IF(AND(N1794&lt;&gt;N1793,ISNUMBER(SEARCH(Лист2!$B$6,N:N)),L1794=2),MAX($M$3:OFFSET(M1794,-1,0))+1,0)</f>
        <v>0</v>
      </c>
      <c r="N1794" s="3" t="s">
        <v>1619</v>
      </c>
    </row>
    <row r="1795" spans="1:14" x14ac:dyDescent="0.25">
      <c r="A1795" s="1" t="s">
        <v>11254</v>
      </c>
      <c r="B1795" s="3" t="s">
        <v>5419</v>
      </c>
      <c r="C1795" s="2">
        <f ca="1">IF(ISNUMBER(SEARCH(Лист2!$B$4,D:D)),MAX($C$3:OFFSET(C1795,-1,0))+1,0)</f>
        <v>0</v>
      </c>
      <c r="E1795" s="9" t="str">
        <f t="shared" ca="1" si="39"/>
        <v/>
      </c>
      <c r="F1795" s="4" t="s">
        <v>7</v>
      </c>
      <c r="G1795" s="2">
        <f>IF(ISNUMBER(SEARCH(Лист2!$B$4,F:F)),1,0)</f>
        <v>0</v>
      </c>
      <c r="H1795" s="3">
        <f ca="1">IF(AND(I1795&lt;&gt;I1794,ISNUMBER(SEARCH(Лист2!$B$5,I:I)),G1795=1),MAX($H$3:OFFSET(H1795,-1,0))+1,0)</f>
        <v>0</v>
      </c>
      <c r="I1795" s="3" t="s">
        <v>216</v>
      </c>
      <c r="K1795" s="2">
        <f>IF(ISNUMBER(SEARCH(Лист2!$B$4,F:F)),1,0)</f>
        <v>0</v>
      </c>
      <c r="L1795" s="14">
        <f>IF(ISNUMBER(SEARCH(Лист2!$B$5,I:I)),1,0)+K1795</f>
        <v>0</v>
      </c>
      <c r="M1795" s="3">
        <f ca="1">IF(AND(N1795&lt;&gt;N1794,ISNUMBER(SEARCH(Лист2!$B$6,N:N)),L1795=2),MAX($M$3:OFFSET(M1795,-1,0))+1,0)</f>
        <v>0</v>
      </c>
      <c r="N1795" s="3" t="s">
        <v>1620</v>
      </c>
    </row>
    <row r="1796" spans="1:14" x14ac:dyDescent="0.25">
      <c r="A1796" s="1" t="s">
        <v>11255</v>
      </c>
      <c r="B1796" s="3" t="s">
        <v>5420</v>
      </c>
      <c r="C1796" s="2">
        <f ca="1">IF(ISNUMBER(SEARCH(Лист2!$B$4,D:D)),MAX($C$3:OFFSET(C1796,-1,0))+1,0)</f>
        <v>0</v>
      </c>
      <c r="E1796" s="9" t="str">
        <f t="shared" ca="1" si="39"/>
        <v/>
      </c>
      <c r="F1796" s="4" t="s">
        <v>7</v>
      </c>
      <c r="G1796" s="2">
        <f>IF(ISNUMBER(SEARCH(Лист2!$B$4,F:F)),1,0)</f>
        <v>0</v>
      </c>
      <c r="H1796" s="3">
        <f ca="1">IF(AND(I1796&lt;&gt;I1795,ISNUMBER(SEARCH(Лист2!$B$5,I:I)),G1796=1),MAX($H$3:OFFSET(H1796,-1,0))+1,0)</f>
        <v>0</v>
      </c>
      <c r="I1796" s="3" t="s">
        <v>216</v>
      </c>
      <c r="K1796" s="2">
        <f>IF(ISNUMBER(SEARCH(Лист2!$B$4,F:F)),1,0)</f>
        <v>0</v>
      </c>
      <c r="L1796" s="14">
        <f>IF(ISNUMBER(SEARCH(Лист2!$B$5,I:I)),1,0)+K1796</f>
        <v>0</v>
      </c>
      <c r="M1796" s="3">
        <f ca="1">IF(AND(N1796&lt;&gt;N1795,ISNUMBER(SEARCH(Лист2!$B$6,N:N)),L1796=2),MAX($M$3:OFFSET(M1796,-1,0))+1,0)</f>
        <v>0</v>
      </c>
      <c r="N1796" s="3" t="s">
        <v>1621</v>
      </c>
    </row>
    <row r="1797" spans="1:14" x14ac:dyDescent="0.25">
      <c r="A1797" s="1" t="s">
        <v>11256</v>
      </c>
      <c r="B1797" s="3" t="s">
        <v>5421</v>
      </c>
      <c r="C1797" s="2">
        <f ca="1">IF(ISNUMBER(SEARCH(Лист2!$B$4,D:D)),MAX($C$3:OFFSET(C1797,-1,0))+1,0)</f>
        <v>0</v>
      </c>
      <c r="E1797" s="9" t="str">
        <f t="shared" ref="E1797:E1860" ca="1" si="40">IFERROR(INDEX(D:D,MATCH(ROW(E1797)-ROW($E$3),C:C,0)),"")</f>
        <v/>
      </c>
      <c r="F1797" s="4" t="s">
        <v>7</v>
      </c>
      <c r="G1797" s="2">
        <f>IF(ISNUMBER(SEARCH(Лист2!$B$4,F:F)),1,0)</f>
        <v>0</v>
      </c>
      <c r="H1797" s="3">
        <f ca="1">IF(AND(I1797&lt;&gt;I1796,ISNUMBER(SEARCH(Лист2!$B$5,I:I)),G1797=1),MAX($H$3:OFFSET(H1797,-1,0))+1,0)</f>
        <v>0</v>
      </c>
      <c r="I1797" s="3" t="s">
        <v>216</v>
      </c>
      <c r="K1797" s="2">
        <f>IF(ISNUMBER(SEARCH(Лист2!$B$4,F:F)),1,0)</f>
        <v>0</v>
      </c>
      <c r="L1797" s="14">
        <f>IF(ISNUMBER(SEARCH(Лист2!$B$5,I:I)),1,0)+K1797</f>
        <v>0</v>
      </c>
      <c r="M1797" s="3">
        <f ca="1">IF(AND(N1797&lt;&gt;N1796,ISNUMBER(SEARCH(Лист2!$B$6,N:N)),L1797=2),MAX($M$3:OFFSET(M1797,-1,0))+1,0)</f>
        <v>0</v>
      </c>
      <c r="N1797" s="3" t="s">
        <v>602</v>
      </c>
    </row>
    <row r="1798" spans="1:14" x14ac:dyDescent="0.25">
      <c r="A1798" s="1" t="s">
        <v>11257</v>
      </c>
      <c r="B1798" s="3" t="s">
        <v>5422</v>
      </c>
      <c r="C1798" s="2">
        <f ca="1">IF(ISNUMBER(SEARCH(Лист2!$B$4,D:D)),MAX($C$3:OFFSET(C1798,-1,0))+1,0)</f>
        <v>0</v>
      </c>
      <c r="E1798" s="9" t="str">
        <f t="shared" ca="1" si="40"/>
        <v/>
      </c>
      <c r="F1798" s="4" t="s">
        <v>7</v>
      </c>
      <c r="G1798" s="2">
        <f>IF(ISNUMBER(SEARCH(Лист2!$B$4,F:F)),1,0)</f>
        <v>0</v>
      </c>
      <c r="H1798" s="3">
        <f ca="1">IF(AND(I1798&lt;&gt;I1797,ISNUMBER(SEARCH(Лист2!$B$5,I:I)),G1798=1),MAX($H$3:OFFSET(H1798,-1,0))+1,0)</f>
        <v>0</v>
      </c>
      <c r="I1798" s="3" t="s">
        <v>216</v>
      </c>
      <c r="K1798" s="2">
        <f>IF(ISNUMBER(SEARCH(Лист2!$B$4,F:F)),1,0)</f>
        <v>0</v>
      </c>
      <c r="L1798" s="14">
        <f>IF(ISNUMBER(SEARCH(Лист2!$B$5,I:I)),1,0)+K1798</f>
        <v>0</v>
      </c>
      <c r="M1798" s="3">
        <f ca="1">IF(AND(N1798&lt;&gt;N1797,ISNUMBER(SEARCH(Лист2!$B$6,N:N)),L1798=2),MAX($M$3:OFFSET(M1798,-1,0))+1,0)</f>
        <v>0</v>
      </c>
      <c r="N1798" s="3" t="s">
        <v>1628</v>
      </c>
    </row>
    <row r="1799" spans="1:14" x14ac:dyDescent="0.25">
      <c r="A1799" s="1" t="s">
        <v>11258</v>
      </c>
      <c r="B1799" s="3" t="s">
        <v>5423</v>
      </c>
      <c r="C1799" s="2">
        <f ca="1">IF(ISNUMBER(SEARCH(Лист2!$B$4,D:D)),MAX($C$3:OFFSET(C1799,-1,0))+1,0)</f>
        <v>0</v>
      </c>
      <c r="E1799" s="9" t="str">
        <f t="shared" ca="1" si="40"/>
        <v/>
      </c>
      <c r="F1799" s="4" t="s">
        <v>7</v>
      </c>
      <c r="G1799" s="2">
        <f>IF(ISNUMBER(SEARCH(Лист2!$B$4,F:F)),1,0)</f>
        <v>0</v>
      </c>
      <c r="H1799" s="3">
        <f ca="1">IF(AND(I1799&lt;&gt;I1798,ISNUMBER(SEARCH(Лист2!$B$5,I:I)),G1799=1),MAX($H$3:OFFSET(H1799,-1,0))+1,0)</f>
        <v>0</v>
      </c>
      <c r="I1799" s="3" t="s">
        <v>216</v>
      </c>
      <c r="K1799" s="2">
        <f>IF(ISNUMBER(SEARCH(Лист2!$B$4,F:F)),1,0)</f>
        <v>0</v>
      </c>
      <c r="L1799" s="14">
        <f>IF(ISNUMBER(SEARCH(Лист2!$B$5,I:I)),1,0)+K1799</f>
        <v>0</v>
      </c>
      <c r="M1799" s="3">
        <f ca="1">IF(AND(N1799&lt;&gt;N1798,ISNUMBER(SEARCH(Лист2!$B$6,N:N)),L1799=2),MAX($M$3:OFFSET(M1799,-1,0))+1,0)</f>
        <v>0</v>
      </c>
      <c r="N1799" s="3" t="s">
        <v>1629</v>
      </c>
    </row>
    <row r="1800" spans="1:14" x14ac:dyDescent="0.25">
      <c r="A1800" s="1" t="s">
        <v>11259</v>
      </c>
      <c r="B1800" s="3" t="s">
        <v>5424</v>
      </c>
      <c r="C1800" s="2">
        <f ca="1">IF(ISNUMBER(SEARCH(Лист2!$B$4,D:D)),MAX($C$3:OFFSET(C1800,-1,0))+1,0)</f>
        <v>0</v>
      </c>
      <c r="E1800" s="9" t="str">
        <f t="shared" ca="1" si="40"/>
        <v/>
      </c>
      <c r="F1800" s="4" t="s">
        <v>7</v>
      </c>
      <c r="G1800" s="2">
        <f>IF(ISNUMBER(SEARCH(Лист2!$B$4,F:F)),1,0)</f>
        <v>0</v>
      </c>
      <c r="H1800" s="3">
        <f ca="1">IF(AND(I1800&lt;&gt;I1799,ISNUMBER(SEARCH(Лист2!$B$5,I:I)),G1800=1),MAX($H$3:OFFSET(H1800,-1,0))+1,0)</f>
        <v>0</v>
      </c>
      <c r="I1800" s="3" t="s">
        <v>216</v>
      </c>
      <c r="K1800" s="2">
        <f>IF(ISNUMBER(SEARCH(Лист2!$B$4,F:F)),1,0)</f>
        <v>0</v>
      </c>
      <c r="L1800" s="14">
        <f>IF(ISNUMBER(SEARCH(Лист2!$B$5,I:I)),1,0)+K1800</f>
        <v>0</v>
      </c>
      <c r="M1800" s="3">
        <f ca="1">IF(AND(N1800&lt;&gt;N1799,ISNUMBER(SEARCH(Лист2!$B$6,N:N)),L1800=2),MAX($M$3:OFFSET(M1800,-1,0))+1,0)</f>
        <v>0</v>
      </c>
      <c r="N1800" s="3" t="s">
        <v>1630</v>
      </c>
    </row>
    <row r="1801" spans="1:14" x14ac:dyDescent="0.25">
      <c r="A1801" s="1" t="s">
        <v>11260</v>
      </c>
      <c r="B1801" s="3" t="s">
        <v>5425</v>
      </c>
      <c r="C1801" s="2">
        <f ca="1">IF(ISNUMBER(SEARCH(Лист2!$B$4,D:D)),MAX($C$3:OFFSET(C1801,-1,0))+1,0)</f>
        <v>0</v>
      </c>
      <c r="E1801" s="9" t="str">
        <f t="shared" ca="1" si="40"/>
        <v/>
      </c>
      <c r="F1801" s="4" t="s">
        <v>7</v>
      </c>
      <c r="G1801" s="2">
        <f>IF(ISNUMBER(SEARCH(Лист2!$B$4,F:F)),1,0)</f>
        <v>0</v>
      </c>
      <c r="H1801" s="3">
        <f ca="1">IF(AND(I1801&lt;&gt;I1800,ISNUMBER(SEARCH(Лист2!$B$5,I:I)),G1801=1),MAX($H$3:OFFSET(H1801,-1,0))+1,0)</f>
        <v>0</v>
      </c>
      <c r="I1801" s="3" t="s">
        <v>217</v>
      </c>
      <c r="K1801" s="2">
        <f>IF(ISNUMBER(SEARCH(Лист2!$B$4,F:F)),1,0)</f>
        <v>0</v>
      </c>
      <c r="L1801" s="14">
        <f>IF(ISNUMBER(SEARCH(Лист2!$B$5,I:I)),1,0)+K1801</f>
        <v>0</v>
      </c>
      <c r="M1801" s="3">
        <f ca="1">IF(AND(N1801&lt;&gt;N1800,ISNUMBER(SEARCH(Лист2!$B$6,N:N)),L1801=2),MAX($M$3:OFFSET(M1801,-1,0))+1,0)</f>
        <v>0</v>
      </c>
      <c r="N1801" s="3" t="s">
        <v>1631</v>
      </c>
    </row>
    <row r="1802" spans="1:14" x14ac:dyDescent="0.25">
      <c r="A1802" s="1" t="s">
        <v>11260</v>
      </c>
      <c r="B1802" s="3" t="s">
        <v>5426</v>
      </c>
      <c r="C1802" s="2">
        <f ca="1">IF(ISNUMBER(SEARCH(Лист2!$B$4,D:D)),MAX($C$3:OFFSET(C1802,-1,0))+1,0)</f>
        <v>0</v>
      </c>
      <c r="E1802" s="9" t="str">
        <f t="shared" ca="1" si="40"/>
        <v/>
      </c>
      <c r="F1802" s="4" t="s">
        <v>7</v>
      </c>
      <c r="G1802" s="2">
        <f>IF(ISNUMBER(SEARCH(Лист2!$B$4,F:F)),1,0)</f>
        <v>0</v>
      </c>
      <c r="H1802" s="3">
        <f ca="1">IF(AND(I1802&lt;&gt;I1801,ISNUMBER(SEARCH(Лист2!$B$5,I:I)),G1802=1),MAX($H$3:OFFSET(H1802,-1,0))+1,0)</f>
        <v>0</v>
      </c>
      <c r="I1802" s="3" t="s">
        <v>217</v>
      </c>
      <c r="K1802" s="2">
        <f>IF(ISNUMBER(SEARCH(Лист2!$B$4,F:F)),1,0)</f>
        <v>0</v>
      </c>
      <c r="L1802" s="14">
        <f>IF(ISNUMBER(SEARCH(Лист2!$B$5,I:I)),1,0)+K1802</f>
        <v>0</v>
      </c>
      <c r="M1802" s="3">
        <f ca="1">IF(AND(N1802&lt;&gt;N1801,ISNUMBER(SEARCH(Лист2!$B$6,N:N)),L1802=2),MAX($M$3:OFFSET(M1802,-1,0))+1,0)</f>
        <v>0</v>
      </c>
      <c r="N1802" s="3" t="s">
        <v>1631</v>
      </c>
    </row>
    <row r="1803" spans="1:14" x14ac:dyDescent="0.25">
      <c r="A1803" s="1" t="s">
        <v>11260</v>
      </c>
      <c r="B1803" s="3" t="s">
        <v>5427</v>
      </c>
      <c r="C1803" s="2">
        <f ca="1">IF(ISNUMBER(SEARCH(Лист2!$B$4,D:D)),MAX($C$3:OFFSET(C1803,-1,0))+1,0)</f>
        <v>0</v>
      </c>
      <c r="E1803" s="9" t="str">
        <f t="shared" ca="1" si="40"/>
        <v/>
      </c>
      <c r="F1803" s="4" t="s">
        <v>7</v>
      </c>
      <c r="G1803" s="2">
        <f>IF(ISNUMBER(SEARCH(Лист2!$B$4,F:F)),1,0)</f>
        <v>0</v>
      </c>
      <c r="H1803" s="3">
        <f ca="1">IF(AND(I1803&lt;&gt;I1802,ISNUMBER(SEARCH(Лист2!$B$5,I:I)),G1803=1),MAX($H$3:OFFSET(H1803,-1,0))+1,0)</f>
        <v>0</v>
      </c>
      <c r="I1803" s="3" t="s">
        <v>217</v>
      </c>
      <c r="K1803" s="2">
        <f>IF(ISNUMBER(SEARCH(Лист2!$B$4,F:F)),1,0)</f>
        <v>0</v>
      </c>
      <c r="L1803" s="14">
        <f>IF(ISNUMBER(SEARCH(Лист2!$B$5,I:I)),1,0)+K1803</f>
        <v>0</v>
      </c>
      <c r="M1803" s="3">
        <f ca="1">IF(AND(N1803&lt;&gt;N1802,ISNUMBER(SEARCH(Лист2!$B$6,N:N)),L1803=2),MAX($M$3:OFFSET(M1803,-1,0))+1,0)</f>
        <v>0</v>
      </c>
      <c r="N1803" s="3" t="s">
        <v>1631</v>
      </c>
    </row>
    <row r="1804" spans="1:14" x14ac:dyDescent="0.25">
      <c r="A1804" s="1" t="s">
        <v>11261</v>
      </c>
      <c r="B1804" s="3" t="s">
        <v>5428</v>
      </c>
      <c r="C1804" s="2">
        <f ca="1">IF(ISNUMBER(SEARCH(Лист2!$B$4,D:D)),MAX($C$3:OFFSET(C1804,-1,0))+1,0)</f>
        <v>0</v>
      </c>
      <c r="E1804" s="9" t="str">
        <f t="shared" ca="1" si="40"/>
        <v/>
      </c>
      <c r="F1804" s="4" t="s">
        <v>7</v>
      </c>
      <c r="G1804" s="2">
        <f>IF(ISNUMBER(SEARCH(Лист2!$B$4,F:F)),1,0)</f>
        <v>0</v>
      </c>
      <c r="H1804" s="3">
        <f ca="1">IF(AND(I1804&lt;&gt;I1803,ISNUMBER(SEARCH(Лист2!$B$5,I:I)),G1804=1),MAX($H$3:OFFSET(H1804,-1,0))+1,0)</f>
        <v>0</v>
      </c>
      <c r="I1804" s="3" t="s">
        <v>217</v>
      </c>
      <c r="K1804" s="2">
        <f>IF(ISNUMBER(SEARCH(Лист2!$B$4,F:F)),1,0)</f>
        <v>0</v>
      </c>
      <c r="L1804" s="14">
        <f>IF(ISNUMBER(SEARCH(Лист2!$B$5,I:I)),1,0)+K1804</f>
        <v>0</v>
      </c>
      <c r="M1804" s="3">
        <f ca="1">IF(AND(N1804&lt;&gt;N1803,ISNUMBER(SEARCH(Лист2!$B$6,N:N)),L1804=2),MAX($M$3:OFFSET(M1804,-1,0))+1,0)</f>
        <v>0</v>
      </c>
      <c r="N1804" s="3" t="s">
        <v>1632</v>
      </c>
    </row>
    <row r="1805" spans="1:14" x14ac:dyDescent="0.25">
      <c r="A1805" s="1" t="s">
        <v>11261</v>
      </c>
      <c r="B1805" s="3" t="s">
        <v>5429</v>
      </c>
      <c r="C1805" s="2">
        <f ca="1">IF(ISNUMBER(SEARCH(Лист2!$B$4,D:D)),MAX($C$3:OFFSET(C1805,-1,0))+1,0)</f>
        <v>0</v>
      </c>
      <c r="E1805" s="9" t="str">
        <f t="shared" ca="1" si="40"/>
        <v/>
      </c>
      <c r="F1805" s="4" t="s">
        <v>7</v>
      </c>
      <c r="G1805" s="2">
        <f>IF(ISNUMBER(SEARCH(Лист2!$B$4,F:F)),1,0)</f>
        <v>0</v>
      </c>
      <c r="H1805" s="3">
        <f ca="1">IF(AND(I1805&lt;&gt;I1804,ISNUMBER(SEARCH(Лист2!$B$5,I:I)),G1805=1),MAX($H$3:OFFSET(H1805,-1,0))+1,0)</f>
        <v>0</v>
      </c>
      <c r="I1805" s="3" t="s">
        <v>217</v>
      </c>
      <c r="K1805" s="2">
        <f>IF(ISNUMBER(SEARCH(Лист2!$B$4,F:F)),1,0)</f>
        <v>0</v>
      </c>
      <c r="L1805" s="14">
        <f>IF(ISNUMBER(SEARCH(Лист2!$B$5,I:I)),1,0)+K1805</f>
        <v>0</v>
      </c>
      <c r="M1805" s="3">
        <f ca="1">IF(AND(N1805&lt;&gt;N1804,ISNUMBER(SEARCH(Лист2!$B$6,N:N)),L1805=2),MAX($M$3:OFFSET(M1805,-1,0))+1,0)</f>
        <v>0</v>
      </c>
      <c r="N1805" s="3" t="s">
        <v>1632</v>
      </c>
    </row>
    <row r="1806" spans="1:14" x14ac:dyDescent="0.25">
      <c r="A1806" s="1" t="s">
        <v>11262</v>
      </c>
      <c r="B1806" s="3" t="s">
        <v>5430</v>
      </c>
      <c r="C1806" s="2">
        <f ca="1">IF(ISNUMBER(SEARCH(Лист2!$B$4,D:D)),MAX($C$3:OFFSET(C1806,-1,0))+1,0)</f>
        <v>0</v>
      </c>
      <c r="E1806" s="9" t="str">
        <f t="shared" ca="1" si="40"/>
        <v/>
      </c>
      <c r="F1806" s="4" t="s">
        <v>7</v>
      </c>
      <c r="G1806" s="2">
        <f>IF(ISNUMBER(SEARCH(Лист2!$B$4,F:F)),1,0)</f>
        <v>0</v>
      </c>
      <c r="H1806" s="3">
        <f ca="1">IF(AND(I1806&lt;&gt;I1805,ISNUMBER(SEARCH(Лист2!$B$5,I:I)),G1806=1),MAX($H$3:OFFSET(H1806,-1,0))+1,0)</f>
        <v>0</v>
      </c>
      <c r="I1806" s="3" t="s">
        <v>217</v>
      </c>
      <c r="K1806" s="2">
        <f>IF(ISNUMBER(SEARCH(Лист2!$B$4,F:F)),1,0)</f>
        <v>0</v>
      </c>
      <c r="L1806" s="14">
        <f>IF(ISNUMBER(SEARCH(Лист2!$B$5,I:I)),1,0)+K1806</f>
        <v>0</v>
      </c>
      <c r="M1806" s="3">
        <f ca="1">IF(AND(N1806&lt;&gt;N1805,ISNUMBER(SEARCH(Лист2!$B$6,N:N)),L1806=2),MAX($M$3:OFFSET(M1806,-1,0))+1,0)</f>
        <v>0</v>
      </c>
      <c r="N1806" s="3" t="s">
        <v>1633</v>
      </c>
    </row>
    <row r="1807" spans="1:14" x14ac:dyDescent="0.25">
      <c r="A1807" s="1" t="s">
        <v>11263</v>
      </c>
      <c r="B1807" s="3" t="s">
        <v>5431</v>
      </c>
      <c r="C1807" s="2">
        <f ca="1">IF(ISNUMBER(SEARCH(Лист2!$B$4,D:D)),MAX($C$3:OFFSET(C1807,-1,0))+1,0)</f>
        <v>0</v>
      </c>
      <c r="E1807" s="9" t="str">
        <f t="shared" ca="1" si="40"/>
        <v/>
      </c>
      <c r="F1807" s="4" t="s">
        <v>7</v>
      </c>
      <c r="G1807" s="2">
        <f>IF(ISNUMBER(SEARCH(Лист2!$B$4,F:F)),1,0)</f>
        <v>0</v>
      </c>
      <c r="H1807" s="3">
        <f ca="1">IF(AND(I1807&lt;&gt;I1806,ISNUMBER(SEARCH(Лист2!$B$5,I:I)),G1807=1),MAX($H$3:OFFSET(H1807,-1,0))+1,0)</f>
        <v>0</v>
      </c>
      <c r="I1807" s="3" t="s">
        <v>217</v>
      </c>
      <c r="K1807" s="2">
        <f>IF(ISNUMBER(SEARCH(Лист2!$B$4,F:F)),1,0)</f>
        <v>0</v>
      </c>
      <c r="L1807" s="14">
        <f>IF(ISNUMBER(SEARCH(Лист2!$B$5,I:I)),1,0)+K1807</f>
        <v>0</v>
      </c>
      <c r="M1807" s="3">
        <f ca="1">IF(AND(N1807&lt;&gt;N1806,ISNUMBER(SEARCH(Лист2!$B$6,N:N)),L1807=2),MAX($M$3:OFFSET(M1807,-1,0))+1,0)</f>
        <v>0</v>
      </c>
      <c r="N1807" s="3" t="s">
        <v>1619</v>
      </c>
    </row>
    <row r="1808" spans="1:14" x14ac:dyDescent="0.25">
      <c r="A1808" s="1" t="s">
        <v>11264</v>
      </c>
      <c r="B1808" s="3" t="s">
        <v>5432</v>
      </c>
      <c r="C1808" s="2">
        <f ca="1">IF(ISNUMBER(SEARCH(Лист2!$B$4,D:D)),MAX($C$3:OFFSET(C1808,-1,0))+1,0)</f>
        <v>0</v>
      </c>
      <c r="E1808" s="9" t="str">
        <f t="shared" ca="1" si="40"/>
        <v/>
      </c>
      <c r="F1808" s="4" t="s">
        <v>7</v>
      </c>
      <c r="G1808" s="2">
        <f>IF(ISNUMBER(SEARCH(Лист2!$B$4,F:F)),1,0)</f>
        <v>0</v>
      </c>
      <c r="H1808" s="3">
        <f ca="1">IF(AND(I1808&lt;&gt;I1807,ISNUMBER(SEARCH(Лист2!$B$5,I:I)),G1808=1),MAX($H$3:OFFSET(H1808,-1,0))+1,0)</f>
        <v>0</v>
      </c>
      <c r="I1808" s="3" t="s">
        <v>217</v>
      </c>
      <c r="K1808" s="2">
        <f>IF(ISNUMBER(SEARCH(Лист2!$B$4,F:F)),1,0)</f>
        <v>0</v>
      </c>
      <c r="L1808" s="14">
        <f>IF(ISNUMBER(SEARCH(Лист2!$B$5,I:I)),1,0)+K1808</f>
        <v>0</v>
      </c>
      <c r="M1808" s="3">
        <f ca="1">IF(AND(N1808&lt;&gt;N1807,ISNUMBER(SEARCH(Лист2!$B$6,N:N)),L1808=2),MAX($M$3:OFFSET(M1808,-1,0))+1,0)</f>
        <v>0</v>
      </c>
      <c r="N1808" s="3" t="s">
        <v>1620</v>
      </c>
    </row>
    <row r="1809" spans="1:14" x14ac:dyDescent="0.25">
      <c r="A1809" s="1" t="s">
        <v>11265</v>
      </c>
      <c r="B1809" s="3" t="s">
        <v>5433</v>
      </c>
      <c r="C1809" s="2">
        <f ca="1">IF(ISNUMBER(SEARCH(Лист2!$B$4,D:D)),MAX($C$3:OFFSET(C1809,-1,0))+1,0)</f>
        <v>0</v>
      </c>
      <c r="E1809" s="9" t="str">
        <f t="shared" ca="1" si="40"/>
        <v/>
      </c>
      <c r="F1809" s="4" t="s">
        <v>7</v>
      </c>
      <c r="G1809" s="2">
        <f>IF(ISNUMBER(SEARCH(Лист2!$B$4,F:F)),1,0)</f>
        <v>0</v>
      </c>
      <c r="H1809" s="3">
        <f ca="1">IF(AND(I1809&lt;&gt;I1808,ISNUMBER(SEARCH(Лист2!$B$5,I:I)),G1809=1),MAX($H$3:OFFSET(H1809,-1,0))+1,0)</f>
        <v>0</v>
      </c>
      <c r="I1809" s="3" t="s">
        <v>217</v>
      </c>
      <c r="K1809" s="2">
        <f>IF(ISNUMBER(SEARCH(Лист2!$B$4,F:F)),1,0)</f>
        <v>0</v>
      </c>
      <c r="L1809" s="14">
        <f>IF(ISNUMBER(SEARCH(Лист2!$B$5,I:I)),1,0)+K1809</f>
        <v>0</v>
      </c>
      <c r="M1809" s="3">
        <f ca="1">IF(AND(N1809&lt;&gt;N1808,ISNUMBER(SEARCH(Лист2!$B$6,N:N)),L1809=2),MAX($M$3:OFFSET(M1809,-1,0))+1,0)</f>
        <v>0</v>
      </c>
      <c r="N1809" s="3" t="s">
        <v>1634</v>
      </c>
    </row>
    <row r="1810" spans="1:14" x14ac:dyDescent="0.25">
      <c r="A1810" s="1" t="s">
        <v>11266</v>
      </c>
      <c r="B1810" s="3" t="s">
        <v>5434</v>
      </c>
      <c r="C1810" s="2">
        <f ca="1">IF(ISNUMBER(SEARCH(Лист2!$B$4,D:D)),MAX($C$3:OFFSET(C1810,-1,0))+1,0)</f>
        <v>0</v>
      </c>
      <c r="E1810" s="9" t="str">
        <f t="shared" ca="1" si="40"/>
        <v/>
      </c>
      <c r="F1810" s="4" t="s">
        <v>7</v>
      </c>
      <c r="G1810" s="2">
        <f>IF(ISNUMBER(SEARCH(Лист2!$B$4,F:F)),1,0)</f>
        <v>0</v>
      </c>
      <c r="H1810" s="3">
        <f ca="1">IF(AND(I1810&lt;&gt;I1809,ISNUMBER(SEARCH(Лист2!$B$5,I:I)),G1810=1),MAX($H$3:OFFSET(H1810,-1,0))+1,0)</f>
        <v>0</v>
      </c>
      <c r="I1810" s="3" t="s">
        <v>217</v>
      </c>
      <c r="K1810" s="2">
        <f>IF(ISNUMBER(SEARCH(Лист2!$B$4,F:F)),1,0)</f>
        <v>0</v>
      </c>
      <c r="L1810" s="14">
        <f>IF(ISNUMBER(SEARCH(Лист2!$B$5,I:I)),1,0)+K1810</f>
        <v>0</v>
      </c>
      <c r="M1810" s="3">
        <f ca="1">IF(AND(N1810&lt;&gt;N1809,ISNUMBER(SEARCH(Лист2!$B$6,N:N)),L1810=2),MAX($M$3:OFFSET(M1810,-1,0))+1,0)</f>
        <v>0</v>
      </c>
      <c r="N1810" s="3" t="s">
        <v>602</v>
      </c>
    </row>
    <row r="1811" spans="1:14" x14ac:dyDescent="0.25">
      <c r="A1811" s="1" t="s">
        <v>11267</v>
      </c>
      <c r="B1811" s="3" t="s">
        <v>5435</v>
      </c>
      <c r="C1811" s="2">
        <f ca="1">IF(ISNUMBER(SEARCH(Лист2!$B$4,D:D)),MAX($C$3:OFFSET(C1811,-1,0))+1,0)</f>
        <v>0</v>
      </c>
      <c r="E1811" s="9" t="str">
        <f t="shared" ca="1" si="40"/>
        <v/>
      </c>
      <c r="F1811" s="4" t="s">
        <v>7</v>
      </c>
      <c r="G1811" s="2">
        <f>IF(ISNUMBER(SEARCH(Лист2!$B$4,F:F)),1,0)</f>
        <v>0</v>
      </c>
      <c r="H1811" s="3">
        <f ca="1">IF(AND(I1811&lt;&gt;I1810,ISNUMBER(SEARCH(Лист2!$B$5,I:I)),G1811=1),MAX($H$3:OFFSET(H1811,-1,0))+1,0)</f>
        <v>0</v>
      </c>
      <c r="I1811" s="3" t="s">
        <v>217</v>
      </c>
      <c r="K1811" s="2">
        <f>IF(ISNUMBER(SEARCH(Лист2!$B$4,F:F)),1,0)</f>
        <v>0</v>
      </c>
      <c r="L1811" s="14">
        <f>IF(ISNUMBER(SEARCH(Лист2!$B$5,I:I)),1,0)+K1811</f>
        <v>0</v>
      </c>
      <c r="M1811" s="3">
        <f ca="1">IF(AND(N1811&lt;&gt;N1810,ISNUMBER(SEARCH(Лист2!$B$6,N:N)),L1811=2),MAX($M$3:OFFSET(M1811,-1,0))+1,0)</f>
        <v>0</v>
      </c>
      <c r="N1811" s="3" t="s">
        <v>1635</v>
      </c>
    </row>
    <row r="1812" spans="1:14" x14ac:dyDescent="0.25">
      <c r="A1812" s="1" t="s">
        <v>11268</v>
      </c>
      <c r="B1812" s="3" t="s">
        <v>5436</v>
      </c>
      <c r="C1812" s="2">
        <f ca="1">IF(ISNUMBER(SEARCH(Лист2!$B$4,D:D)),MAX($C$3:OFFSET(C1812,-1,0))+1,0)</f>
        <v>0</v>
      </c>
      <c r="E1812" s="9" t="str">
        <f t="shared" ca="1" si="40"/>
        <v/>
      </c>
      <c r="F1812" s="4" t="s">
        <v>7</v>
      </c>
      <c r="G1812" s="2">
        <f>IF(ISNUMBER(SEARCH(Лист2!$B$4,F:F)),1,0)</f>
        <v>0</v>
      </c>
      <c r="H1812" s="3">
        <f ca="1">IF(AND(I1812&lt;&gt;I1811,ISNUMBER(SEARCH(Лист2!$B$5,I:I)),G1812=1),MAX($H$3:OFFSET(H1812,-1,0))+1,0)</f>
        <v>0</v>
      </c>
      <c r="I1812" s="3" t="s">
        <v>217</v>
      </c>
      <c r="K1812" s="2">
        <f>IF(ISNUMBER(SEARCH(Лист2!$B$4,F:F)),1,0)</f>
        <v>0</v>
      </c>
      <c r="L1812" s="14">
        <f>IF(ISNUMBER(SEARCH(Лист2!$B$5,I:I)),1,0)+K1812</f>
        <v>0</v>
      </c>
      <c r="M1812" s="3">
        <f ca="1">IF(AND(N1812&lt;&gt;N1811,ISNUMBER(SEARCH(Лист2!$B$6,N:N)),L1812=2),MAX($M$3:OFFSET(M1812,-1,0))+1,0)</f>
        <v>0</v>
      </c>
      <c r="N1812" s="3" t="s">
        <v>1636</v>
      </c>
    </row>
    <row r="1813" spans="1:14" x14ac:dyDescent="0.25">
      <c r="A1813" s="1" t="s">
        <v>11269</v>
      </c>
      <c r="B1813" s="3" t="s">
        <v>5437</v>
      </c>
      <c r="C1813" s="2">
        <f ca="1">IF(ISNUMBER(SEARCH(Лист2!$B$4,D:D)),MAX($C$3:OFFSET(C1813,-1,0))+1,0)</f>
        <v>0</v>
      </c>
      <c r="E1813" s="9" t="str">
        <f t="shared" ca="1" si="40"/>
        <v/>
      </c>
      <c r="F1813" s="4" t="s">
        <v>7</v>
      </c>
      <c r="G1813" s="2">
        <f>IF(ISNUMBER(SEARCH(Лист2!$B$4,F:F)),1,0)</f>
        <v>0</v>
      </c>
      <c r="H1813" s="3">
        <f ca="1">IF(AND(I1813&lt;&gt;I1812,ISNUMBER(SEARCH(Лист2!$B$5,I:I)),G1813=1),MAX($H$3:OFFSET(H1813,-1,0))+1,0)</f>
        <v>0</v>
      </c>
      <c r="I1813" s="3" t="s">
        <v>217</v>
      </c>
      <c r="K1813" s="2">
        <f>IF(ISNUMBER(SEARCH(Лист2!$B$4,F:F)),1,0)</f>
        <v>0</v>
      </c>
      <c r="L1813" s="14">
        <f>IF(ISNUMBER(SEARCH(Лист2!$B$5,I:I)),1,0)+K1813</f>
        <v>0</v>
      </c>
      <c r="M1813" s="3">
        <f ca="1">IF(AND(N1813&lt;&gt;N1812,ISNUMBER(SEARCH(Лист2!$B$6,N:N)),L1813=2),MAX($M$3:OFFSET(M1813,-1,0))+1,0)</f>
        <v>0</v>
      </c>
      <c r="N1813" s="3" t="s">
        <v>1637</v>
      </c>
    </row>
    <row r="1814" spans="1:14" x14ac:dyDescent="0.25">
      <c r="A1814" s="1" t="s">
        <v>11270</v>
      </c>
      <c r="B1814" s="3" t="s">
        <v>5438</v>
      </c>
      <c r="C1814" s="2">
        <f ca="1">IF(ISNUMBER(SEARCH(Лист2!$B$4,D:D)),MAX($C$3:OFFSET(C1814,-1,0))+1,0)</f>
        <v>0</v>
      </c>
      <c r="E1814" s="9" t="str">
        <f t="shared" ca="1" si="40"/>
        <v/>
      </c>
      <c r="F1814" s="4" t="s">
        <v>7</v>
      </c>
      <c r="G1814" s="2">
        <f>IF(ISNUMBER(SEARCH(Лист2!$B$4,F:F)),1,0)</f>
        <v>0</v>
      </c>
      <c r="H1814" s="3">
        <f ca="1">IF(AND(I1814&lt;&gt;I1813,ISNUMBER(SEARCH(Лист2!$B$5,I:I)),G1814=1),MAX($H$3:OFFSET(H1814,-1,0))+1,0)</f>
        <v>0</v>
      </c>
      <c r="I1814" s="3" t="s">
        <v>218</v>
      </c>
      <c r="K1814" s="2">
        <f>IF(ISNUMBER(SEARCH(Лист2!$B$4,F:F)),1,0)</f>
        <v>0</v>
      </c>
      <c r="L1814" s="14">
        <f>IF(ISNUMBER(SEARCH(Лист2!$B$5,I:I)),1,0)+K1814</f>
        <v>0</v>
      </c>
      <c r="M1814" s="3">
        <f ca="1">IF(AND(N1814&lt;&gt;N1813,ISNUMBER(SEARCH(Лист2!$B$6,N:N)),L1814=2),MAX($M$3:OFFSET(M1814,-1,0))+1,0)</f>
        <v>0</v>
      </c>
      <c r="N1814" s="3" t="s">
        <v>1638</v>
      </c>
    </row>
    <row r="1815" spans="1:14" x14ac:dyDescent="0.25">
      <c r="A1815" s="1" t="s">
        <v>11271</v>
      </c>
      <c r="B1815" s="3" t="s">
        <v>5439</v>
      </c>
      <c r="C1815" s="2">
        <f ca="1">IF(ISNUMBER(SEARCH(Лист2!$B$4,D:D)),MAX($C$3:OFFSET(C1815,-1,0))+1,0)</f>
        <v>0</v>
      </c>
      <c r="E1815" s="9" t="str">
        <f t="shared" ca="1" si="40"/>
        <v/>
      </c>
      <c r="F1815" s="4" t="s">
        <v>7</v>
      </c>
      <c r="G1815" s="2">
        <f>IF(ISNUMBER(SEARCH(Лист2!$B$4,F:F)),1,0)</f>
        <v>0</v>
      </c>
      <c r="H1815" s="3">
        <f ca="1">IF(AND(I1815&lt;&gt;I1814,ISNUMBER(SEARCH(Лист2!$B$5,I:I)),G1815=1),MAX($H$3:OFFSET(H1815,-1,0))+1,0)</f>
        <v>0</v>
      </c>
      <c r="I1815" s="3" t="s">
        <v>218</v>
      </c>
      <c r="K1815" s="2">
        <f>IF(ISNUMBER(SEARCH(Лист2!$B$4,F:F)),1,0)</f>
        <v>0</v>
      </c>
      <c r="L1815" s="14">
        <f>IF(ISNUMBER(SEARCH(Лист2!$B$5,I:I)),1,0)+K1815</f>
        <v>0</v>
      </c>
      <c r="M1815" s="3">
        <f ca="1">IF(AND(N1815&lt;&gt;N1814,ISNUMBER(SEARCH(Лист2!$B$6,N:N)),L1815=2),MAX($M$3:OFFSET(M1815,-1,0))+1,0)</f>
        <v>0</v>
      </c>
      <c r="N1815" s="3" t="s">
        <v>1639</v>
      </c>
    </row>
    <row r="1816" spans="1:14" x14ac:dyDescent="0.25">
      <c r="A1816" s="1" t="s">
        <v>11272</v>
      </c>
      <c r="B1816" s="3" t="s">
        <v>5440</v>
      </c>
      <c r="C1816" s="2">
        <f ca="1">IF(ISNUMBER(SEARCH(Лист2!$B$4,D:D)),MAX($C$3:OFFSET(C1816,-1,0))+1,0)</f>
        <v>0</v>
      </c>
      <c r="E1816" s="9" t="str">
        <f t="shared" ca="1" si="40"/>
        <v/>
      </c>
      <c r="F1816" s="4" t="s">
        <v>7</v>
      </c>
      <c r="G1816" s="2">
        <f>IF(ISNUMBER(SEARCH(Лист2!$B$4,F:F)),1,0)</f>
        <v>0</v>
      </c>
      <c r="H1816" s="3">
        <f ca="1">IF(AND(I1816&lt;&gt;I1815,ISNUMBER(SEARCH(Лист2!$B$5,I:I)),G1816=1),MAX($H$3:OFFSET(H1816,-1,0))+1,0)</f>
        <v>0</v>
      </c>
      <c r="I1816" s="3" t="s">
        <v>218</v>
      </c>
      <c r="K1816" s="2">
        <f>IF(ISNUMBER(SEARCH(Лист2!$B$4,F:F)),1,0)</f>
        <v>0</v>
      </c>
      <c r="L1816" s="14">
        <f>IF(ISNUMBER(SEARCH(Лист2!$B$5,I:I)),1,0)+K1816</f>
        <v>0</v>
      </c>
      <c r="M1816" s="3">
        <f ca="1">IF(AND(N1816&lt;&gt;N1815,ISNUMBER(SEARCH(Лист2!$B$6,N:N)),L1816=2),MAX($M$3:OFFSET(M1816,-1,0))+1,0)</f>
        <v>0</v>
      </c>
      <c r="N1816" s="3" t="s">
        <v>1619</v>
      </c>
    </row>
    <row r="1817" spans="1:14" x14ac:dyDescent="0.25">
      <c r="A1817" s="1" t="s">
        <v>11273</v>
      </c>
      <c r="B1817" s="3" t="s">
        <v>5441</v>
      </c>
      <c r="C1817" s="2">
        <f ca="1">IF(ISNUMBER(SEARCH(Лист2!$B$4,D:D)),MAX($C$3:OFFSET(C1817,-1,0))+1,0)</f>
        <v>0</v>
      </c>
      <c r="E1817" s="9" t="str">
        <f t="shared" ca="1" si="40"/>
        <v/>
      </c>
      <c r="F1817" s="4" t="s">
        <v>7</v>
      </c>
      <c r="G1817" s="2">
        <f>IF(ISNUMBER(SEARCH(Лист2!$B$4,F:F)),1,0)</f>
        <v>0</v>
      </c>
      <c r="H1817" s="3">
        <f ca="1">IF(AND(I1817&lt;&gt;I1816,ISNUMBER(SEARCH(Лист2!$B$5,I:I)),G1817=1),MAX($H$3:OFFSET(H1817,-1,0))+1,0)</f>
        <v>0</v>
      </c>
      <c r="I1817" s="3" t="s">
        <v>218</v>
      </c>
      <c r="K1817" s="2">
        <f>IF(ISNUMBER(SEARCH(Лист2!$B$4,F:F)),1,0)</f>
        <v>0</v>
      </c>
      <c r="L1817" s="14">
        <f>IF(ISNUMBER(SEARCH(Лист2!$B$5,I:I)),1,0)+K1817</f>
        <v>0</v>
      </c>
      <c r="M1817" s="3">
        <f ca="1">IF(AND(N1817&lt;&gt;N1816,ISNUMBER(SEARCH(Лист2!$B$6,N:N)),L1817=2),MAX($M$3:OFFSET(M1817,-1,0))+1,0)</f>
        <v>0</v>
      </c>
      <c r="N1817" s="3" t="s">
        <v>1620</v>
      </c>
    </row>
    <row r="1818" spans="1:14" x14ac:dyDescent="0.25">
      <c r="A1818" s="1" t="s">
        <v>11274</v>
      </c>
      <c r="B1818" s="3" t="s">
        <v>5442</v>
      </c>
      <c r="C1818" s="2">
        <f ca="1">IF(ISNUMBER(SEARCH(Лист2!$B$4,D:D)),MAX($C$3:OFFSET(C1818,-1,0))+1,0)</f>
        <v>0</v>
      </c>
      <c r="E1818" s="9" t="str">
        <f t="shared" ca="1" si="40"/>
        <v/>
      </c>
      <c r="F1818" s="4" t="s">
        <v>7</v>
      </c>
      <c r="G1818" s="2">
        <f>IF(ISNUMBER(SEARCH(Лист2!$B$4,F:F)),1,0)</f>
        <v>0</v>
      </c>
      <c r="H1818" s="3">
        <f ca="1">IF(AND(I1818&lt;&gt;I1817,ISNUMBER(SEARCH(Лист2!$B$5,I:I)),G1818=1),MAX($H$3:OFFSET(H1818,-1,0))+1,0)</f>
        <v>0</v>
      </c>
      <c r="I1818" s="3" t="s">
        <v>218</v>
      </c>
      <c r="K1818" s="2">
        <f>IF(ISNUMBER(SEARCH(Лист2!$B$4,F:F)),1,0)</f>
        <v>0</v>
      </c>
      <c r="L1818" s="14">
        <f>IF(ISNUMBER(SEARCH(Лист2!$B$5,I:I)),1,0)+K1818</f>
        <v>0</v>
      </c>
      <c r="M1818" s="3">
        <f ca="1">IF(AND(N1818&lt;&gt;N1817,ISNUMBER(SEARCH(Лист2!$B$6,N:N)),L1818=2),MAX($M$3:OFFSET(M1818,-1,0))+1,0)</f>
        <v>0</v>
      </c>
      <c r="N1818" s="3" t="s">
        <v>1621</v>
      </c>
    </row>
    <row r="1819" spans="1:14" x14ac:dyDescent="0.25">
      <c r="A1819" s="1" t="s">
        <v>11275</v>
      </c>
      <c r="B1819" s="3" t="s">
        <v>5443</v>
      </c>
      <c r="C1819" s="2">
        <f ca="1">IF(ISNUMBER(SEARCH(Лист2!$B$4,D:D)),MAX($C$3:OFFSET(C1819,-1,0))+1,0)</f>
        <v>0</v>
      </c>
      <c r="E1819" s="9" t="str">
        <f t="shared" ca="1" si="40"/>
        <v/>
      </c>
      <c r="F1819" s="4" t="s">
        <v>7</v>
      </c>
      <c r="G1819" s="2">
        <f>IF(ISNUMBER(SEARCH(Лист2!$B$4,F:F)),1,0)</f>
        <v>0</v>
      </c>
      <c r="H1819" s="3">
        <f ca="1">IF(AND(I1819&lt;&gt;I1818,ISNUMBER(SEARCH(Лист2!$B$5,I:I)),G1819=1),MAX($H$3:OFFSET(H1819,-1,0))+1,0)</f>
        <v>0</v>
      </c>
      <c r="I1819" s="3" t="s">
        <v>218</v>
      </c>
      <c r="K1819" s="2">
        <f>IF(ISNUMBER(SEARCH(Лист2!$B$4,F:F)),1,0)</f>
        <v>0</v>
      </c>
      <c r="L1819" s="14">
        <f>IF(ISNUMBER(SEARCH(Лист2!$B$5,I:I)),1,0)+K1819</f>
        <v>0</v>
      </c>
      <c r="M1819" s="3">
        <f ca="1">IF(AND(N1819&lt;&gt;N1818,ISNUMBER(SEARCH(Лист2!$B$6,N:N)),L1819=2),MAX($M$3:OFFSET(M1819,-1,0))+1,0)</f>
        <v>0</v>
      </c>
      <c r="N1819" s="3" t="s">
        <v>602</v>
      </c>
    </row>
    <row r="1820" spans="1:14" x14ac:dyDescent="0.25">
      <c r="A1820" s="1" t="s">
        <v>11276</v>
      </c>
      <c r="B1820" s="3" t="s">
        <v>5444</v>
      </c>
      <c r="C1820" s="2">
        <f ca="1">IF(ISNUMBER(SEARCH(Лист2!$B$4,D:D)),MAX($C$3:OFFSET(C1820,-1,0))+1,0)</f>
        <v>0</v>
      </c>
      <c r="E1820" s="9" t="str">
        <f t="shared" ca="1" si="40"/>
        <v/>
      </c>
      <c r="F1820" s="4" t="s">
        <v>7</v>
      </c>
      <c r="G1820" s="2">
        <f>IF(ISNUMBER(SEARCH(Лист2!$B$4,F:F)),1,0)</f>
        <v>0</v>
      </c>
      <c r="H1820" s="3">
        <f ca="1">IF(AND(I1820&lt;&gt;I1819,ISNUMBER(SEARCH(Лист2!$B$5,I:I)),G1820=1),MAX($H$3:OFFSET(H1820,-1,0))+1,0)</f>
        <v>0</v>
      </c>
      <c r="I1820" s="3" t="s">
        <v>218</v>
      </c>
      <c r="K1820" s="2">
        <f>IF(ISNUMBER(SEARCH(Лист2!$B$4,F:F)),1,0)</f>
        <v>0</v>
      </c>
      <c r="L1820" s="14">
        <f>IF(ISNUMBER(SEARCH(Лист2!$B$5,I:I)),1,0)+K1820</f>
        <v>0</v>
      </c>
      <c r="M1820" s="3">
        <f ca="1">IF(AND(N1820&lt;&gt;N1819,ISNUMBER(SEARCH(Лист2!$B$6,N:N)),L1820=2),MAX($M$3:OFFSET(M1820,-1,0))+1,0)</f>
        <v>0</v>
      </c>
      <c r="N1820" s="3" t="s">
        <v>1640</v>
      </c>
    </row>
    <row r="1821" spans="1:14" x14ac:dyDescent="0.25">
      <c r="A1821" s="1" t="s">
        <v>11277</v>
      </c>
      <c r="B1821" s="3" t="s">
        <v>5445</v>
      </c>
      <c r="C1821" s="2">
        <f ca="1">IF(ISNUMBER(SEARCH(Лист2!$B$4,D:D)),MAX($C$3:OFFSET(C1821,-1,0))+1,0)</f>
        <v>0</v>
      </c>
      <c r="E1821" s="9" t="str">
        <f t="shared" ca="1" si="40"/>
        <v/>
      </c>
      <c r="F1821" s="4" t="s">
        <v>7</v>
      </c>
      <c r="G1821" s="2">
        <f>IF(ISNUMBER(SEARCH(Лист2!$B$4,F:F)),1,0)</f>
        <v>0</v>
      </c>
      <c r="H1821" s="3">
        <f ca="1">IF(AND(I1821&lt;&gt;I1820,ISNUMBER(SEARCH(Лист2!$B$5,I:I)),G1821=1),MAX($H$3:OFFSET(H1821,-1,0))+1,0)</f>
        <v>0</v>
      </c>
      <c r="I1821" s="3" t="s">
        <v>218</v>
      </c>
      <c r="K1821" s="2">
        <f>IF(ISNUMBER(SEARCH(Лист2!$B$4,F:F)),1,0)</f>
        <v>0</v>
      </c>
      <c r="L1821" s="14">
        <f>IF(ISNUMBER(SEARCH(Лист2!$B$5,I:I)),1,0)+K1821</f>
        <v>0</v>
      </c>
      <c r="M1821" s="3">
        <f ca="1">IF(AND(N1821&lt;&gt;N1820,ISNUMBER(SEARCH(Лист2!$B$6,N:N)),L1821=2),MAX($M$3:OFFSET(M1821,-1,0))+1,0)</f>
        <v>0</v>
      </c>
      <c r="N1821" s="3" t="s">
        <v>1641</v>
      </c>
    </row>
    <row r="1822" spans="1:14" x14ac:dyDescent="0.25">
      <c r="A1822" s="1" t="s">
        <v>11278</v>
      </c>
      <c r="B1822" s="3" t="s">
        <v>5446</v>
      </c>
      <c r="C1822" s="2">
        <f ca="1">IF(ISNUMBER(SEARCH(Лист2!$B$4,D:D)),MAX($C$3:OFFSET(C1822,-1,0))+1,0)</f>
        <v>0</v>
      </c>
      <c r="E1822" s="9" t="str">
        <f t="shared" ca="1" si="40"/>
        <v/>
      </c>
      <c r="F1822" s="4" t="s">
        <v>7</v>
      </c>
      <c r="G1822" s="2">
        <f>IF(ISNUMBER(SEARCH(Лист2!$B$4,F:F)),1,0)</f>
        <v>0</v>
      </c>
      <c r="H1822" s="3">
        <f ca="1">IF(AND(I1822&lt;&gt;I1821,ISNUMBER(SEARCH(Лист2!$B$5,I:I)),G1822=1),MAX($H$3:OFFSET(H1822,-1,0))+1,0)</f>
        <v>0</v>
      </c>
      <c r="I1822" s="3" t="s">
        <v>218</v>
      </c>
      <c r="K1822" s="2">
        <f>IF(ISNUMBER(SEARCH(Лист2!$B$4,F:F)),1,0)</f>
        <v>0</v>
      </c>
      <c r="L1822" s="14">
        <f>IF(ISNUMBER(SEARCH(Лист2!$B$5,I:I)),1,0)+K1822</f>
        <v>0</v>
      </c>
      <c r="M1822" s="3">
        <f ca="1">IF(AND(N1822&lt;&gt;N1821,ISNUMBER(SEARCH(Лист2!$B$6,N:N)),L1822=2),MAX($M$3:OFFSET(M1822,-1,0))+1,0)</f>
        <v>0</v>
      </c>
      <c r="N1822" s="3" t="s">
        <v>1642</v>
      </c>
    </row>
    <row r="1823" spans="1:14" x14ac:dyDescent="0.25">
      <c r="A1823" s="1" t="s">
        <v>11279</v>
      </c>
      <c r="B1823" s="3" t="s">
        <v>5447</v>
      </c>
      <c r="C1823" s="2">
        <f ca="1">IF(ISNUMBER(SEARCH(Лист2!$B$4,D:D)),MAX($C$3:OFFSET(C1823,-1,0))+1,0)</f>
        <v>0</v>
      </c>
      <c r="E1823" s="9" t="str">
        <f t="shared" ca="1" si="40"/>
        <v/>
      </c>
      <c r="F1823" s="4" t="s">
        <v>7</v>
      </c>
      <c r="G1823" s="2">
        <f>IF(ISNUMBER(SEARCH(Лист2!$B$4,F:F)),1,0)</f>
        <v>0</v>
      </c>
      <c r="H1823" s="3">
        <f ca="1">IF(AND(I1823&lt;&gt;I1822,ISNUMBER(SEARCH(Лист2!$B$5,I:I)),G1823=1),MAX($H$3:OFFSET(H1823,-1,0))+1,0)</f>
        <v>0</v>
      </c>
      <c r="I1823" s="3" t="s">
        <v>219</v>
      </c>
      <c r="K1823" s="2">
        <f>IF(ISNUMBER(SEARCH(Лист2!$B$4,F:F)),1,0)</f>
        <v>0</v>
      </c>
      <c r="L1823" s="14">
        <f>IF(ISNUMBER(SEARCH(Лист2!$B$5,I:I)),1,0)+K1823</f>
        <v>0</v>
      </c>
      <c r="M1823" s="3">
        <f ca="1">IF(AND(N1823&lt;&gt;N1822,ISNUMBER(SEARCH(Лист2!$B$6,N:N)),L1823=2),MAX($M$3:OFFSET(M1823,-1,0))+1,0)</f>
        <v>0</v>
      </c>
      <c r="N1823" s="3" t="s">
        <v>1643</v>
      </c>
    </row>
    <row r="1824" spans="1:14" x14ac:dyDescent="0.25">
      <c r="A1824" s="1" t="s">
        <v>11280</v>
      </c>
      <c r="B1824" s="3" t="s">
        <v>5448</v>
      </c>
      <c r="C1824" s="2">
        <f ca="1">IF(ISNUMBER(SEARCH(Лист2!$B$4,D:D)),MAX($C$3:OFFSET(C1824,-1,0))+1,0)</f>
        <v>0</v>
      </c>
      <c r="E1824" s="9" t="str">
        <f t="shared" ca="1" si="40"/>
        <v/>
      </c>
      <c r="F1824" s="4" t="s">
        <v>7</v>
      </c>
      <c r="G1824" s="2">
        <f>IF(ISNUMBER(SEARCH(Лист2!$B$4,F:F)),1,0)</f>
        <v>0</v>
      </c>
      <c r="H1824" s="3">
        <f ca="1">IF(AND(I1824&lt;&gt;I1823,ISNUMBER(SEARCH(Лист2!$B$5,I:I)),G1824=1),MAX($H$3:OFFSET(H1824,-1,0))+1,0)</f>
        <v>0</v>
      </c>
      <c r="I1824" s="3" t="s">
        <v>219</v>
      </c>
      <c r="K1824" s="2">
        <f>IF(ISNUMBER(SEARCH(Лист2!$B$4,F:F)),1,0)</f>
        <v>0</v>
      </c>
      <c r="L1824" s="14">
        <f>IF(ISNUMBER(SEARCH(Лист2!$B$5,I:I)),1,0)+K1824</f>
        <v>0</v>
      </c>
      <c r="M1824" s="3">
        <f ca="1">IF(AND(N1824&lt;&gt;N1823,ISNUMBER(SEARCH(Лист2!$B$6,N:N)),L1824=2),MAX($M$3:OFFSET(M1824,-1,0))+1,0)</f>
        <v>0</v>
      </c>
      <c r="N1824" s="3" t="s">
        <v>1644</v>
      </c>
    </row>
    <row r="1825" spans="1:14" x14ac:dyDescent="0.25">
      <c r="A1825" s="1" t="s">
        <v>11281</v>
      </c>
      <c r="B1825" s="3" t="s">
        <v>5449</v>
      </c>
      <c r="C1825" s="2">
        <f ca="1">IF(ISNUMBER(SEARCH(Лист2!$B$4,D:D)),MAX($C$3:OFFSET(C1825,-1,0))+1,0)</f>
        <v>0</v>
      </c>
      <c r="E1825" s="9" t="str">
        <f t="shared" ca="1" si="40"/>
        <v/>
      </c>
      <c r="F1825" s="4" t="s">
        <v>7</v>
      </c>
      <c r="G1825" s="2">
        <f>IF(ISNUMBER(SEARCH(Лист2!$B$4,F:F)),1,0)</f>
        <v>0</v>
      </c>
      <c r="H1825" s="3">
        <f ca="1">IF(AND(I1825&lt;&gt;I1824,ISNUMBER(SEARCH(Лист2!$B$5,I:I)),G1825=1),MAX($H$3:OFFSET(H1825,-1,0))+1,0)</f>
        <v>0</v>
      </c>
      <c r="I1825" s="3" t="s">
        <v>219</v>
      </c>
      <c r="K1825" s="2">
        <f>IF(ISNUMBER(SEARCH(Лист2!$B$4,F:F)),1,0)</f>
        <v>0</v>
      </c>
      <c r="L1825" s="14">
        <f>IF(ISNUMBER(SEARCH(Лист2!$B$5,I:I)),1,0)+K1825</f>
        <v>0</v>
      </c>
      <c r="M1825" s="3">
        <f ca="1">IF(AND(N1825&lt;&gt;N1824,ISNUMBER(SEARCH(Лист2!$B$6,N:N)),L1825=2),MAX($M$3:OFFSET(M1825,-1,0))+1,0)</f>
        <v>0</v>
      </c>
      <c r="N1825" s="3" t="s">
        <v>1645</v>
      </c>
    </row>
    <row r="1826" spans="1:14" x14ac:dyDescent="0.25">
      <c r="A1826" s="1" t="s">
        <v>11282</v>
      </c>
      <c r="B1826" s="3" t="s">
        <v>5450</v>
      </c>
      <c r="C1826" s="2">
        <f ca="1">IF(ISNUMBER(SEARCH(Лист2!$B$4,D:D)),MAX($C$3:OFFSET(C1826,-1,0))+1,0)</f>
        <v>0</v>
      </c>
      <c r="E1826" s="9" t="str">
        <f t="shared" ca="1" si="40"/>
        <v/>
      </c>
      <c r="F1826" s="4" t="s">
        <v>7</v>
      </c>
      <c r="G1826" s="2">
        <f>IF(ISNUMBER(SEARCH(Лист2!$B$4,F:F)),1,0)</f>
        <v>0</v>
      </c>
      <c r="H1826" s="3">
        <f ca="1">IF(AND(I1826&lt;&gt;I1825,ISNUMBER(SEARCH(Лист2!$B$5,I:I)),G1826=1),MAX($H$3:OFFSET(H1826,-1,0))+1,0)</f>
        <v>0</v>
      </c>
      <c r="I1826" s="3" t="s">
        <v>219</v>
      </c>
      <c r="K1826" s="2">
        <f>IF(ISNUMBER(SEARCH(Лист2!$B$4,F:F)),1,0)</f>
        <v>0</v>
      </c>
      <c r="L1826" s="14">
        <f>IF(ISNUMBER(SEARCH(Лист2!$B$5,I:I)),1,0)+K1826</f>
        <v>0</v>
      </c>
      <c r="M1826" s="3">
        <f ca="1">IF(AND(N1826&lt;&gt;N1825,ISNUMBER(SEARCH(Лист2!$B$6,N:N)),L1826=2),MAX($M$3:OFFSET(M1826,-1,0))+1,0)</f>
        <v>0</v>
      </c>
      <c r="N1826" s="3" t="s">
        <v>1619</v>
      </c>
    </row>
    <row r="1827" spans="1:14" x14ac:dyDescent="0.25">
      <c r="A1827" s="1" t="s">
        <v>11283</v>
      </c>
      <c r="B1827" s="3" t="s">
        <v>5451</v>
      </c>
      <c r="C1827" s="2">
        <f ca="1">IF(ISNUMBER(SEARCH(Лист2!$B$4,D:D)),MAX($C$3:OFFSET(C1827,-1,0))+1,0)</f>
        <v>0</v>
      </c>
      <c r="E1827" s="9" t="str">
        <f t="shared" ca="1" si="40"/>
        <v/>
      </c>
      <c r="F1827" s="4" t="s">
        <v>7</v>
      </c>
      <c r="G1827" s="2">
        <f>IF(ISNUMBER(SEARCH(Лист2!$B$4,F:F)),1,0)</f>
        <v>0</v>
      </c>
      <c r="H1827" s="3">
        <f ca="1">IF(AND(I1827&lt;&gt;I1826,ISNUMBER(SEARCH(Лист2!$B$5,I:I)),G1827=1),MAX($H$3:OFFSET(H1827,-1,0))+1,0)</f>
        <v>0</v>
      </c>
      <c r="I1827" s="3" t="s">
        <v>219</v>
      </c>
      <c r="K1827" s="2">
        <f>IF(ISNUMBER(SEARCH(Лист2!$B$4,F:F)),1,0)</f>
        <v>0</v>
      </c>
      <c r="L1827" s="14">
        <f>IF(ISNUMBER(SEARCH(Лист2!$B$5,I:I)),1,0)+K1827</f>
        <v>0</v>
      </c>
      <c r="M1827" s="3">
        <f ca="1">IF(AND(N1827&lt;&gt;N1826,ISNUMBER(SEARCH(Лист2!$B$6,N:N)),L1827=2),MAX($M$3:OFFSET(M1827,-1,0))+1,0)</f>
        <v>0</v>
      </c>
      <c r="N1827" s="3" t="s">
        <v>1620</v>
      </c>
    </row>
    <row r="1828" spans="1:14" x14ac:dyDescent="0.25">
      <c r="A1828" s="1" t="s">
        <v>11284</v>
      </c>
      <c r="B1828" s="3" t="s">
        <v>5452</v>
      </c>
      <c r="C1828" s="2">
        <f ca="1">IF(ISNUMBER(SEARCH(Лист2!$B$4,D:D)),MAX($C$3:OFFSET(C1828,-1,0))+1,0)</f>
        <v>0</v>
      </c>
      <c r="E1828" s="9" t="str">
        <f t="shared" ca="1" si="40"/>
        <v/>
      </c>
      <c r="F1828" s="4" t="s">
        <v>7</v>
      </c>
      <c r="G1828" s="2">
        <f>IF(ISNUMBER(SEARCH(Лист2!$B$4,F:F)),1,0)</f>
        <v>0</v>
      </c>
      <c r="H1828" s="3">
        <f ca="1">IF(AND(I1828&lt;&gt;I1827,ISNUMBER(SEARCH(Лист2!$B$5,I:I)),G1828=1),MAX($H$3:OFFSET(H1828,-1,0))+1,0)</f>
        <v>0</v>
      </c>
      <c r="I1828" s="3" t="s">
        <v>219</v>
      </c>
      <c r="K1828" s="2">
        <f>IF(ISNUMBER(SEARCH(Лист2!$B$4,F:F)),1,0)</f>
        <v>0</v>
      </c>
      <c r="L1828" s="14">
        <f>IF(ISNUMBER(SEARCH(Лист2!$B$5,I:I)),1,0)+K1828</f>
        <v>0</v>
      </c>
      <c r="M1828" s="3">
        <f ca="1">IF(AND(N1828&lt;&gt;N1827,ISNUMBER(SEARCH(Лист2!$B$6,N:N)),L1828=2),MAX($M$3:OFFSET(M1828,-1,0))+1,0)</f>
        <v>0</v>
      </c>
      <c r="N1828" s="3" t="s">
        <v>1634</v>
      </c>
    </row>
    <row r="1829" spans="1:14" x14ac:dyDescent="0.25">
      <c r="A1829" s="1" t="s">
        <v>11285</v>
      </c>
      <c r="B1829" s="3" t="s">
        <v>5453</v>
      </c>
      <c r="C1829" s="2">
        <f ca="1">IF(ISNUMBER(SEARCH(Лист2!$B$4,D:D)),MAX($C$3:OFFSET(C1829,-1,0))+1,0)</f>
        <v>0</v>
      </c>
      <c r="E1829" s="9" t="str">
        <f t="shared" ca="1" si="40"/>
        <v/>
      </c>
      <c r="F1829" s="4" t="s">
        <v>7</v>
      </c>
      <c r="G1829" s="2">
        <f>IF(ISNUMBER(SEARCH(Лист2!$B$4,F:F)),1,0)</f>
        <v>0</v>
      </c>
      <c r="H1829" s="3">
        <f ca="1">IF(AND(I1829&lt;&gt;I1828,ISNUMBER(SEARCH(Лист2!$B$5,I:I)),G1829=1),MAX($H$3:OFFSET(H1829,-1,0))+1,0)</f>
        <v>0</v>
      </c>
      <c r="I1829" s="3" t="s">
        <v>219</v>
      </c>
      <c r="K1829" s="2">
        <f>IF(ISNUMBER(SEARCH(Лист2!$B$4,F:F)),1,0)</f>
        <v>0</v>
      </c>
      <c r="L1829" s="14">
        <f>IF(ISNUMBER(SEARCH(Лист2!$B$5,I:I)),1,0)+K1829</f>
        <v>0</v>
      </c>
      <c r="M1829" s="3">
        <f ca="1">IF(AND(N1829&lt;&gt;N1828,ISNUMBER(SEARCH(Лист2!$B$6,N:N)),L1829=2),MAX($M$3:OFFSET(M1829,-1,0))+1,0)</f>
        <v>0</v>
      </c>
      <c r="N1829" s="3" t="s">
        <v>602</v>
      </c>
    </row>
    <row r="1830" spans="1:14" x14ac:dyDescent="0.25">
      <c r="A1830" s="1" t="s">
        <v>11286</v>
      </c>
      <c r="B1830" s="3" t="s">
        <v>5454</v>
      </c>
      <c r="C1830" s="2">
        <f ca="1">IF(ISNUMBER(SEARCH(Лист2!$B$4,D:D)),MAX($C$3:OFFSET(C1830,-1,0))+1,0)</f>
        <v>0</v>
      </c>
      <c r="E1830" s="9" t="str">
        <f t="shared" ca="1" si="40"/>
        <v/>
      </c>
      <c r="F1830" s="4" t="s">
        <v>7</v>
      </c>
      <c r="G1830" s="2">
        <f>IF(ISNUMBER(SEARCH(Лист2!$B$4,F:F)),1,0)</f>
        <v>0</v>
      </c>
      <c r="H1830" s="3">
        <f ca="1">IF(AND(I1830&lt;&gt;I1829,ISNUMBER(SEARCH(Лист2!$B$5,I:I)),G1830=1),MAX($H$3:OFFSET(H1830,-1,0))+1,0)</f>
        <v>0</v>
      </c>
      <c r="I1830" s="3" t="s">
        <v>219</v>
      </c>
      <c r="K1830" s="2">
        <f>IF(ISNUMBER(SEARCH(Лист2!$B$4,F:F)),1,0)</f>
        <v>0</v>
      </c>
      <c r="L1830" s="14">
        <f>IF(ISNUMBER(SEARCH(Лист2!$B$5,I:I)),1,0)+K1830</f>
        <v>0</v>
      </c>
      <c r="M1830" s="3">
        <f ca="1">IF(AND(N1830&lt;&gt;N1829,ISNUMBER(SEARCH(Лист2!$B$6,N:N)),L1830=2),MAX($M$3:OFFSET(M1830,-1,0))+1,0)</f>
        <v>0</v>
      </c>
      <c r="N1830" s="3" t="s">
        <v>1646</v>
      </c>
    </row>
    <row r="1831" spans="1:14" x14ac:dyDescent="0.25">
      <c r="A1831" s="1" t="s">
        <v>11287</v>
      </c>
      <c r="B1831" s="3" t="s">
        <v>5455</v>
      </c>
      <c r="C1831" s="2">
        <f ca="1">IF(ISNUMBER(SEARCH(Лист2!$B$4,D:D)),MAX($C$3:OFFSET(C1831,-1,0))+1,0)</f>
        <v>0</v>
      </c>
      <c r="E1831" s="9" t="str">
        <f t="shared" ca="1" si="40"/>
        <v/>
      </c>
      <c r="F1831" s="4" t="s">
        <v>7</v>
      </c>
      <c r="G1831" s="2">
        <f>IF(ISNUMBER(SEARCH(Лист2!$B$4,F:F)),1,0)</f>
        <v>0</v>
      </c>
      <c r="H1831" s="3">
        <f ca="1">IF(AND(I1831&lt;&gt;I1830,ISNUMBER(SEARCH(Лист2!$B$5,I:I)),G1831=1),MAX($H$3:OFFSET(H1831,-1,0))+1,0)</f>
        <v>0</v>
      </c>
      <c r="I1831" s="3" t="s">
        <v>219</v>
      </c>
      <c r="K1831" s="2">
        <f>IF(ISNUMBER(SEARCH(Лист2!$B$4,F:F)),1,0)</f>
        <v>0</v>
      </c>
      <c r="L1831" s="14">
        <f>IF(ISNUMBER(SEARCH(Лист2!$B$5,I:I)),1,0)+K1831</f>
        <v>0</v>
      </c>
      <c r="M1831" s="3">
        <f ca="1">IF(AND(N1831&lt;&gt;N1830,ISNUMBER(SEARCH(Лист2!$B$6,N:N)),L1831=2),MAX($M$3:OFFSET(M1831,-1,0))+1,0)</f>
        <v>0</v>
      </c>
      <c r="N1831" s="3" t="s">
        <v>1647</v>
      </c>
    </row>
    <row r="1832" spans="1:14" x14ac:dyDescent="0.25">
      <c r="A1832" s="1" t="s">
        <v>11288</v>
      </c>
      <c r="B1832" s="3" t="s">
        <v>5456</v>
      </c>
      <c r="C1832" s="2">
        <f ca="1">IF(ISNUMBER(SEARCH(Лист2!$B$4,D:D)),MAX($C$3:OFFSET(C1832,-1,0))+1,0)</f>
        <v>0</v>
      </c>
      <c r="E1832" s="9" t="str">
        <f t="shared" ca="1" si="40"/>
        <v/>
      </c>
      <c r="F1832" s="4" t="s">
        <v>7</v>
      </c>
      <c r="G1832" s="2">
        <f>IF(ISNUMBER(SEARCH(Лист2!$B$4,F:F)),1,0)</f>
        <v>0</v>
      </c>
      <c r="H1832" s="3">
        <f ca="1">IF(AND(I1832&lt;&gt;I1831,ISNUMBER(SEARCH(Лист2!$B$5,I:I)),G1832=1),MAX($H$3:OFFSET(H1832,-1,0))+1,0)</f>
        <v>0</v>
      </c>
      <c r="I1832" s="3" t="s">
        <v>219</v>
      </c>
      <c r="K1832" s="2">
        <f>IF(ISNUMBER(SEARCH(Лист2!$B$4,F:F)),1,0)</f>
        <v>0</v>
      </c>
      <c r="L1832" s="14">
        <f>IF(ISNUMBER(SEARCH(Лист2!$B$5,I:I)),1,0)+K1832</f>
        <v>0</v>
      </c>
      <c r="M1832" s="3">
        <f ca="1">IF(AND(N1832&lt;&gt;N1831,ISNUMBER(SEARCH(Лист2!$B$6,N:N)),L1832=2),MAX($M$3:OFFSET(M1832,-1,0))+1,0)</f>
        <v>0</v>
      </c>
      <c r="N1832" s="3" t="s">
        <v>1648</v>
      </c>
    </row>
    <row r="1833" spans="1:14" x14ac:dyDescent="0.25">
      <c r="A1833" s="1" t="s">
        <v>11289</v>
      </c>
      <c r="B1833" s="3" t="s">
        <v>5457</v>
      </c>
      <c r="C1833" s="2">
        <f ca="1">IF(ISNUMBER(SEARCH(Лист2!$B$4,D:D)),MAX($C$3:OFFSET(C1833,-1,0))+1,0)</f>
        <v>0</v>
      </c>
      <c r="E1833" s="9" t="str">
        <f t="shared" ca="1" si="40"/>
        <v/>
      </c>
      <c r="F1833" s="4" t="s">
        <v>7</v>
      </c>
      <c r="G1833" s="2">
        <f>IF(ISNUMBER(SEARCH(Лист2!$B$4,F:F)),1,0)</f>
        <v>0</v>
      </c>
      <c r="H1833" s="3">
        <f ca="1">IF(AND(I1833&lt;&gt;I1832,ISNUMBER(SEARCH(Лист2!$B$5,I:I)),G1833=1),MAX($H$3:OFFSET(H1833,-1,0))+1,0)</f>
        <v>0</v>
      </c>
      <c r="I1833" s="3" t="s">
        <v>220</v>
      </c>
      <c r="K1833" s="2">
        <f>IF(ISNUMBER(SEARCH(Лист2!$B$4,F:F)),1,0)</f>
        <v>0</v>
      </c>
      <c r="L1833" s="14">
        <f>IF(ISNUMBER(SEARCH(Лист2!$B$5,I:I)),1,0)+K1833</f>
        <v>0</v>
      </c>
      <c r="M1833" s="3">
        <f ca="1">IF(AND(N1833&lt;&gt;N1832,ISNUMBER(SEARCH(Лист2!$B$6,N:N)),L1833=2),MAX($M$3:OFFSET(M1833,-1,0))+1,0)</f>
        <v>0</v>
      </c>
      <c r="N1833" s="3" t="s">
        <v>1649</v>
      </c>
    </row>
    <row r="1834" spans="1:14" x14ac:dyDescent="0.25">
      <c r="A1834" s="1" t="s">
        <v>11290</v>
      </c>
      <c r="B1834" s="3" t="s">
        <v>5458</v>
      </c>
      <c r="C1834" s="2">
        <f ca="1">IF(ISNUMBER(SEARCH(Лист2!$B$4,D:D)),MAX($C$3:OFFSET(C1834,-1,0))+1,0)</f>
        <v>0</v>
      </c>
      <c r="E1834" s="9" t="str">
        <f t="shared" ca="1" si="40"/>
        <v/>
      </c>
      <c r="F1834" s="4" t="s">
        <v>7</v>
      </c>
      <c r="G1834" s="2">
        <f>IF(ISNUMBER(SEARCH(Лист2!$B$4,F:F)),1,0)</f>
        <v>0</v>
      </c>
      <c r="H1834" s="3">
        <f ca="1">IF(AND(I1834&lt;&gt;I1833,ISNUMBER(SEARCH(Лист2!$B$5,I:I)),G1834=1),MAX($H$3:OFFSET(H1834,-1,0))+1,0)</f>
        <v>0</v>
      </c>
      <c r="I1834" s="3" t="s">
        <v>220</v>
      </c>
      <c r="K1834" s="2">
        <f>IF(ISNUMBER(SEARCH(Лист2!$B$4,F:F)),1,0)</f>
        <v>0</v>
      </c>
      <c r="L1834" s="14">
        <f>IF(ISNUMBER(SEARCH(Лист2!$B$5,I:I)),1,0)+K1834</f>
        <v>0</v>
      </c>
      <c r="M1834" s="3">
        <f ca="1">IF(AND(N1834&lt;&gt;N1833,ISNUMBER(SEARCH(Лист2!$B$6,N:N)),L1834=2),MAX($M$3:OFFSET(M1834,-1,0))+1,0)</f>
        <v>0</v>
      </c>
      <c r="N1834" s="3" t="s">
        <v>1650</v>
      </c>
    </row>
    <row r="1835" spans="1:14" x14ac:dyDescent="0.25">
      <c r="A1835" s="1" t="s">
        <v>11291</v>
      </c>
      <c r="B1835" s="3" t="s">
        <v>5459</v>
      </c>
      <c r="C1835" s="2">
        <f ca="1">IF(ISNUMBER(SEARCH(Лист2!$B$4,D:D)),MAX($C$3:OFFSET(C1835,-1,0))+1,0)</f>
        <v>0</v>
      </c>
      <c r="E1835" s="9" t="str">
        <f t="shared" ca="1" si="40"/>
        <v/>
      </c>
      <c r="F1835" s="4" t="s">
        <v>7</v>
      </c>
      <c r="G1835" s="2">
        <f>IF(ISNUMBER(SEARCH(Лист2!$B$4,F:F)),1,0)</f>
        <v>0</v>
      </c>
      <c r="H1835" s="3">
        <f ca="1">IF(AND(I1835&lt;&gt;I1834,ISNUMBER(SEARCH(Лист2!$B$5,I:I)),G1835=1),MAX($H$3:OFFSET(H1835,-1,0))+1,0)</f>
        <v>0</v>
      </c>
      <c r="I1835" s="3" t="s">
        <v>220</v>
      </c>
      <c r="K1835" s="2">
        <f>IF(ISNUMBER(SEARCH(Лист2!$B$4,F:F)),1,0)</f>
        <v>0</v>
      </c>
      <c r="L1835" s="14">
        <f>IF(ISNUMBER(SEARCH(Лист2!$B$5,I:I)),1,0)+K1835</f>
        <v>0</v>
      </c>
      <c r="M1835" s="3">
        <f ca="1">IF(AND(N1835&lt;&gt;N1834,ISNUMBER(SEARCH(Лист2!$B$6,N:N)),L1835=2),MAX($M$3:OFFSET(M1835,-1,0))+1,0)</f>
        <v>0</v>
      </c>
      <c r="N1835" s="3" t="s">
        <v>1619</v>
      </c>
    </row>
    <row r="1836" spans="1:14" x14ac:dyDescent="0.25">
      <c r="A1836" s="1" t="s">
        <v>11292</v>
      </c>
      <c r="B1836" s="3" t="s">
        <v>5460</v>
      </c>
      <c r="C1836" s="2">
        <f ca="1">IF(ISNUMBER(SEARCH(Лист2!$B$4,D:D)),MAX($C$3:OFFSET(C1836,-1,0))+1,0)</f>
        <v>0</v>
      </c>
      <c r="E1836" s="9" t="str">
        <f t="shared" ca="1" si="40"/>
        <v/>
      </c>
      <c r="F1836" s="4" t="s">
        <v>7</v>
      </c>
      <c r="G1836" s="2">
        <f>IF(ISNUMBER(SEARCH(Лист2!$B$4,F:F)),1,0)</f>
        <v>0</v>
      </c>
      <c r="H1836" s="3">
        <f ca="1">IF(AND(I1836&lt;&gt;I1835,ISNUMBER(SEARCH(Лист2!$B$5,I:I)),G1836=1),MAX($H$3:OFFSET(H1836,-1,0))+1,0)</f>
        <v>0</v>
      </c>
      <c r="I1836" s="3" t="s">
        <v>220</v>
      </c>
      <c r="K1836" s="2">
        <f>IF(ISNUMBER(SEARCH(Лист2!$B$4,F:F)),1,0)</f>
        <v>0</v>
      </c>
      <c r="L1836" s="14">
        <f>IF(ISNUMBER(SEARCH(Лист2!$B$5,I:I)),1,0)+K1836</f>
        <v>0</v>
      </c>
      <c r="M1836" s="3">
        <f ca="1">IF(AND(N1836&lt;&gt;N1835,ISNUMBER(SEARCH(Лист2!$B$6,N:N)),L1836=2),MAX($M$3:OFFSET(M1836,-1,0))+1,0)</f>
        <v>0</v>
      </c>
      <c r="N1836" s="3" t="s">
        <v>1620</v>
      </c>
    </row>
    <row r="1837" spans="1:14" x14ac:dyDescent="0.25">
      <c r="A1837" s="1" t="s">
        <v>11293</v>
      </c>
      <c r="B1837" s="3" t="s">
        <v>5461</v>
      </c>
      <c r="C1837" s="2">
        <f ca="1">IF(ISNUMBER(SEARCH(Лист2!$B$4,D:D)),MAX($C$3:OFFSET(C1837,-1,0))+1,0)</f>
        <v>0</v>
      </c>
      <c r="E1837" s="9" t="str">
        <f t="shared" ca="1" si="40"/>
        <v/>
      </c>
      <c r="F1837" s="4" t="s">
        <v>7</v>
      </c>
      <c r="G1837" s="2">
        <f>IF(ISNUMBER(SEARCH(Лист2!$B$4,F:F)),1,0)</f>
        <v>0</v>
      </c>
      <c r="H1837" s="3">
        <f ca="1">IF(AND(I1837&lt;&gt;I1836,ISNUMBER(SEARCH(Лист2!$B$5,I:I)),G1837=1),MAX($H$3:OFFSET(H1837,-1,0))+1,0)</f>
        <v>0</v>
      </c>
      <c r="I1837" s="3" t="s">
        <v>220</v>
      </c>
      <c r="K1837" s="2">
        <f>IF(ISNUMBER(SEARCH(Лист2!$B$4,F:F)),1,0)</f>
        <v>0</v>
      </c>
      <c r="L1837" s="14">
        <f>IF(ISNUMBER(SEARCH(Лист2!$B$5,I:I)),1,0)+K1837</f>
        <v>0</v>
      </c>
      <c r="M1837" s="3">
        <f ca="1">IF(AND(N1837&lt;&gt;N1836,ISNUMBER(SEARCH(Лист2!$B$6,N:N)),L1837=2),MAX($M$3:OFFSET(M1837,-1,0))+1,0)</f>
        <v>0</v>
      </c>
      <c r="N1837" s="3" t="s">
        <v>1621</v>
      </c>
    </row>
    <row r="1838" spans="1:14" x14ac:dyDescent="0.25">
      <c r="A1838" s="1" t="s">
        <v>11294</v>
      </c>
      <c r="B1838" s="3" t="s">
        <v>5462</v>
      </c>
      <c r="C1838" s="2">
        <f ca="1">IF(ISNUMBER(SEARCH(Лист2!$B$4,D:D)),MAX($C$3:OFFSET(C1838,-1,0))+1,0)</f>
        <v>0</v>
      </c>
      <c r="E1838" s="9" t="str">
        <f t="shared" ca="1" si="40"/>
        <v/>
      </c>
      <c r="F1838" s="4" t="s">
        <v>7</v>
      </c>
      <c r="G1838" s="2">
        <f>IF(ISNUMBER(SEARCH(Лист2!$B$4,F:F)),1,0)</f>
        <v>0</v>
      </c>
      <c r="H1838" s="3">
        <f ca="1">IF(AND(I1838&lt;&gt;I1837,ISNUMBER(SEARCH(Лист2!$B$5,I:I)),G1838=1),MAX($H$3:OFFSET(H1838,-1,0))+1,0)</f>
        <v>0</v>
      </c>
      <c r="I1838" s="3" t="s">
        <v>220</v>
      </c>
      <c r="K1838" s="2">
        <f>IF(ISNUMBER(SEARCH(Лист2!$B$4,F:F)),1,0)</f>
        <v>0</v>
      </c>
      <c r="L1838" s="14">
        <f>IF(ISNUMBER(SEARCH(Лист2!$B$5,I:I)),1,0)+K1838</f>
        <v>0</v>
      </c>
      <c r="M1838" s="3">
        <f ca="1">IF(AND(N1838&lt;&gt;N1837,ISNUMBER(SEARCH(Лист2!$B$6,N:N)),L1838=2),MAX($M$3:OFFSET(M1838,-1,0))+1,0)</f>
        <v>0</v>
      </c>
      <c r="N1838" s="3" t="s">
        <v>602</v>
      </c>
    </row>
    <row r="1839" spans="1:14" x14ac:dyDescent="0.25">
      <c r="A1839" s="1" t="s">
        <v>11295</v>
      </c>
      <c r="B1839" s="3" t="s">
        <v>5463</v>
      </c>
      <c r="C1839" s="2">
        <f ca="1">IF(ISNUMBER(SEARCH(Лист2!$B$4,D:D)),MAX($C$3:OFFSET(C1839,-1,0))+1,0)</f>
        <v>0</v>
      </c>
      <c r="E1839" s="9" t="str">
        <f t="shared" ca="1" si="40"/>
        <v/>
      </c>
      <c r="F1839" s="4" t="s">
        <v>7</v>
      </c>
      <c r="G1839" s="2">
        <f>IF(ISNUMBER(SEARCH(Лист2!$B$4,F:F)),1,0)</f>
        <v>0</v>
      </c>
      <c r="H1839" s="3">
        <f ca="1">IF(AND(I1839&lt;&gt;I1838,ISNUMBER(SEARCH(Лист2!$B$5,I:I)),G1839=1),MAX($H$3:OFFSET(H1839,-1,0))+1,0)</f>
        <v>0</v>
      </c>
      <c r="I1839" s="3" t="s">
        <v>220</v>
      </c>
      <c r="K1839" s="2">
        <f>IF(ISNUMBER(SEARCH(Лист2!$B$4,F:F)),1,0)</f>
        <v>0</v>
      </c>
      <c r="L1839" s="14">
        <f>IF(ISNUMBER(SEARCH(Лист2!$B$5,I:I)),1,0)+K1839</f>
        <v>0</v>
      </c>
      <c r="M1839" s="3">
        <f ca="1">IF(AND(N1839&lt;&gt;N1838,ISNUMBER(SEARCH(Лист2!$B$6,N:N)),L1839=2),MAX($M$3:OFFSET(M1839,-1,0))+1,0)</f>
        <v>0</v>
      </c>
      <c r="N1839" s="3" t="s">
        <v>1651</v>
      </c>
    </row>
    <row r="1840" spans="1:14" x14ac:dyDescent="0.25">
      <c r="A1840" s="1" t="s">
        <v>11296</v>
      </c>
      <c r="B1840" s="3" t="s">
        <v>5464</v>
      </c>
      <c r="C1840" s="2">
        <f ca="1">IF(ISNUMBER(SEARCH(Лист2!$B$4,D:D)),MAX($C$3:OFFSET(C1840,-1,0))+1,0)</f>
        <v>0</v>
      </c>
      <c r="E1840" s="9" t="str">
        <f t="shared" ca="1" si="40"/>
        <v/>
      </c>
      <c r="F1840" s="4" t="s">
        <v>7</v>
      </c>
      <c r="G1840" s="2">
        <f>IF(ISNUMBER(SEARCH(Лист2!$B$4,F:F)),1,0)</f>
        <v>0</v>
      </c>
      <c r="H1840" s="3">
        <f ca="1">IF(AND(I1840&lt;&gt;I1839,ISNUMBER(SEARCH(Лист2!$B$5,I:I)),G1840=1),MAX($H$3:OFFSET(H1840,-1,0))+1,0)</f>
        <v>0</v>
      </c>
      <c r="I1840" s="3" t="s">
        <v>220</v>
      </c>
      <c r="K1840" s="2">
        <f>IF(ISNUMBER(SEARCH(Лист2!$B$4,F:F)),1,0)</f>
        <v>0</v>
      </c>
      <c r="L1840" s="14">
        <f>IF(ISNUMBER(SEARCH(Лист2!$B$5,I:I)),1,0)+K1840</f>
        <v>0</v>
      </c>
      <c r="M1840" s="3">
        <f ca="1">IF(AND(N1840&lt;&gt;N1839,ISNUMBER(SEARCH(Лист2!$B$6,N:N)),L1840=2),MAX($M$3:OFFSET(M1840,-1,0))+1,0)</f>
        <v>0</v>
      </c>
      <c r="N1840" s="3" t="s">
        <v>1652</v>
      </c>
    </row>
    <row r="1841" spans="1:14" x14ac:dyDescent="0.25">
      <c r="A1841" s="1" t="s">
        <v>11297</v>
      </c>
      <c r="B1841" s="3" t="s">
        <v>5465</v>
      </c>
      <c r="C1841" s="2">
        <f ca="1">IF(ISNUMBER(SEARCH(Лист2!$B$4,D:D)),MAX($C$3:OFFSET(C1841,-1,0))+1,0)</f>
        <v>0</v>
      </c>
      <c r="E1841" s="9" t="str">
        <f t="shared" ca="1" si="40"/>
        <v/>
      </c>
      <c r="F1841" s="4" t="s">
        <v>7</v>
      </c>
      <c r="G1841" s="2">
        <f>IF(ISNUMBER(SEARCH(Лист2!$B$4,F:F)),1,0)</f>
        <v>0</v>
      </c>
      <c r="H1841" s="3">
        <f ca="1">IF(AND(I1841&lt;&gt;I1840,ISNUMBER(SEARCH(Лист2!$B$5,I:I)),G1841=1),MAX($H$3:OFFSET(H1841,-1,0))+1,0)</f>
        <v>0</v>
      </c>
      <c r="I1841" s="3" t="s">
        <v>220</v>
      </c>
      <c r="K1841" s="2">
        <f>IF(ISNUMBER(SEARCH(Лист2!$B$4,F:F)),1,0)</f>
        <v>0</v>
      </c>
      <c r="L1841" s="14">
        <f>IF(ISNUMBER(SEARCH(Лист2!$B$5,I:I)),1,0)+K1841</f>
        <v>0</v>
      </c>
      <c r="M1841" s="3">
        <f ca="1">IF(AND(N1841&lt;&gt;N1840,ISNUMBER(SEARCH(Лист2!$B$6,N:N)),L1841=2),MAX($M$3:OFFSET(M1841,-1,0))+1,0)</f>
        <v>0</v>
      </c>
      <c r="N1841" s="3" t="s">
        <v>1653</v>
      </c>
    </row>
    <row r="1842" spans="1:14" x14ac:dyDescent="0.25">
      <c r="A1842" s="1" t="s">
        <v>11298</v>
      </c>
      <c r="B1842" s="3" t="s">
        <v>5466</v>
      </c>
      <c r="C1842" s="2">
        <f ca="1">IF(ISNUMBER(SEARCH(Лист2!$B$4,D:D)),MAX($C$3:OFFSET(C1842,-1,0))+1,0)</f>
        <v>0</v>
      </c>
      <c r="E1842" s="9" t="str">
        <f t="shared" ca="1" si="40"/>
        <v/>
      </c>
      <c r="F1842" s="4" t="s">
        <v>7</v>
      </c>
      <c r="G1842" s="2">
        <f>IF(ISNUMBER(SEARCH(Лист2!$B$4,F:F)),1,0)</f>
        <v>0</v>
      </c>
      <c r="H1842" s="3">
        <f ca="1">IF(AND(I1842&lt;&gt;I1841,ISNUMBER(SEARCH(Лист2!$B$5,I:I)),G1842=1),MAX($H$3:OFFSET(H1842,-1,0))+1,0)</f>
        <v>0</v>
      </c>
      <c r="I1842" s="3" t="s">
        <v>221</v>
      </c>
      <c r="K1842" s="2">
        <f>IF(ISNUMBER(SEARCH(Лист2!$B$4,F:F)),1,0)</f>
        <v>0</v>
      </c>
      <c r="L1842" s="14">
        <f>IF(ISNUMBER(SEARCH(Лист2!$B$5,I:I)),1,0)+K1842</f>
        <v>0</v>
      </c>
      <c r="M1842" s="3">
        <f ca="1">IF(AND(N1842&lt;&gt;N1841,ISNUMBER(SEARCH(Лист2!$B$6,N:N)),L1842=2),MAX($M$3:OFFSET(M1842,-1,0))+1,0)</f>
        <v>0</v>
      </c>
      <c r="N1842" s="3" t="s">
        <v>1654</v>
      </c>
    </row>
    <row r="1843" spans="1:14" x14ac:dyDescent="0.25">
      <c r="A1843" s="1" t="s">
        <v>11299</v>
      </c>
      <c r="B1843" s="3" t="s">
        <v>5467</v>
      </c>
      <c r="C1843" s="2">
        <f ca="1">IF(ISNUMBER(SEARCH(Лист2!$B$4,D:D)),MAX($C$3:OFFSET(C1843,-1,0))+1,0)</f>
        <v>0</v>
      </c>
      <c r="E1843" s="9" t="str">
        <f t="shared" ca="1" si="40"/>
        <v/>
      </c>
      <c r="F1843" s="4" t="s">
        <v>7</v>
      </c>
      <c r="G1843" s="2">
        <f>IF(ISNUMBER(SEARCH(Лист2!$B$4,F:F)),1,0)</f>
        <v>0</v>
      </c>
      <c r="H1843" s="3">
        <f ca="1">IF(AND(I1843&lt;&gt;I1842,ISNUMBER(SEARCH(Лист2!$B$5,I:I)),G1843=1),MAX($H$3:OFFSET(H1843,-1,0))+1,0)</f>
        <v>0</v>
      </c>
      <c r="I1843" s="3" t="s">
        <v>221</v>
      </c>
      <c r="K1843" s="2">
        <f>IF(ISNUMBER(SEARCH(Лист2!$B$4,F:F)),1,0)</f>
        <v>0</v>
      </c>
      <c r="L1843" s="14">
        <f>IF(ISNUMBER(SEARCH(Лист2!$B$5,I:I)),1,0)+K1843</f>
        <v>0</v>
      </c>
      <c r="M1843" s="3">
        <f ca="1">IF(AND(N1843&lt;&gt;N1842,ISNUMBER(SEARCH(Лист2!$B$6,N:N)),L1843=2),MAX($M$3:OFFSET(M1843,-1,0))+1,0)</f>
        <v>0</v>
      </c>
      <c r="N1843" s="3" t="s">
        <v>1655</v>
      </c>
    </row>
    <row r="1844" spans="1:14" x14ac:dyDescent="0.25">
      <c r="A1844" s="1" t="s">
        <v>11300</v>
      </c>
      <c r="B1844" s="3" t="s">
        <v>5468</v>
      </c>
      <c r="C1844" s="2">
        <f ca="1">IF(ISNUMBER(SEARCH(Лист2!$B$4,D:D)),MAX($C$3:OFFSET(C1844,-1,0))+1,0)</f>
        <v>0</v>
      </c>
      <c r="E1844" s="9" t="str">
        <f t="shared" ca="1" si="40"/>
        <v/>
      </c>
      <c r="F1844" s="4" t="s">
        <v>7</v>
      </c>
      <c r="G1844" s="2">
        <f>IF(ISNUMBER(SEARCH(Лист2!$B$4,F:F)),1,0)</f>
        <v>0</v>
      </c>
      <c r="H1844" s="3">
        <f ca="1">IF(AND(I1844&lt;&gt;I1843,ISNUMBER(SEARCH(Лист2!$B$5,I:I)),G1844=1),MAX($H$3:OFFSET(H1844,-1,0))+1,0)</f>
        <v>0</v>
      </c>
      <c r="I1844" s="3" t="s">
        <v>221</v>
      </c>
      <c r="K1844" s="2">
        <f>IF(ISNUMBER(SEARCH(Лист2!$B$4,F:F)),1,0)</f>
        <v>0</v>
      </c>
      <c r="L1844" s="14">
        <f>IF(ISNUMBER(SEARCH(Лист2!$B$5,I:I)),1,0)+K1844</f>
        <v>0</v>
      </c>
      <c r="M1844" s="3">
        <f ca="1">IF(AND(N1844&lt;&gt;N1843,ISNUMBER(SEARCH(Лист2!$B$6,N:N)),L1844=2),MAX($M$3:OFFSET(M1844,-1,0))+1,0)</f>
        <v>0</v>
      </c>
      <c r="N1844" s="3" t="s">
        <v>1619</v>
      </c>
    </row>
    <row r="1845" spans="1:14" x14ac:dyDescent="0.25">
      <c r="A1845" s="1" t="s">
        <v>11301</v>
      </c>
      <c r="B1845" s="3" t="s">
        <v>5469</v>
      </c>
      <c r="C1845" s="2">
        <f ca="1">IF(ISNUMBER(SEARCH(Лист2!$B$4,D:D)),MAX($C$3:OFFSET(C1845,-1,0))+1,0)</f>
        <v>0</v>
      </c>
      <c r="E1845" s="9" t="str">
        <f t="shared" ca="1" si="40"/>
        <v/>
      </c>
      <c r="F1845" s="4" t="s">
        <v>7</v>
      </c>
      <c r="G1845" s="2">
        <f>IF(ISNUMBER(SEARCH(Лист2!$B$4,F:F)),1,0)</f>
        <v>0</v>
      </c>
      <c r="H1845" s="3">
        <f ca="1">IF(AND(I1845&lt;&gt;I1844,ISNUMBER(SEARCH(Лист2!$B$5,I:I)),G1845=1),MAX($H$3:OFFSET(H1845,-1,0))+1,0)</f>
        <v>0</v>
      </c>
      <c r="I1845" s="3" t="s">
        <v>221</v>
      </c>
      <c r="K1845" s="2">
        <f>IF(ISNUMBER(SEARCH(Лист2!$B$4,F:F)),1,0)</f>
        <v>0</v>
      </c>
      <c r="L1845" s="14">
        <f>IF(ISNUMBER(SEARCH(Лист2!$B$5,I:I)),1,0)+K1845</f>
        <v>0</v>
      </c>
      <c r="M1845" s="3">
        <f ca="1">IF(AND(N1845&lt;&gt;N1844,ISNUMBER(SEARCH(Лист2!$B$6,N:N)),L1845=2),MAX($M$3:OFFSET(M1845,-1,0))+1,0)</f>
        <v>0</v>
      </c>
      <c r="N1845" s="3" t="s">
        <v>1620</v>
      </c>
    </row>
    <row r="1846" spans="1:14" x14ac:dyDescent="0.25">
      <c r="A1846" s="1" t="s">
        <v>11302</v>
      </c>
      <c r="B1846" s="3" t="s">
        <v>5470</v>
      </c>
      <c r="C1846" s="2">
        <f ca="1">IF(ISNUMBER(SEARCH(Лист2!$B$4,D:D)),MAX($C$3:OFFSET(C1846,-1,0))+1,0)</f>
        <v>0</v>
      </c>
      <c r="E1846" s="9" t="str">
        <f t="shared" ca="1" si="40"/>
        <v/>
      </c>
      <c r="F1846" s="4" t="s">
        <v>7</v>
      </c>
      <c r="G1846" s="2">
        <f>IF(ISNUMBER(SEARCH(Лист2!$B$4,F:F)),1,0)</f>
        <v>0</v>
      </c>
      <c r="H1846" s="3">
        <f ca="1">IF(AND(I1846&lt;&gt;I1845,ISNUMBER(SEARCH(Лист2!$B$5,I:I)),G1846=1),MAX($H$3:OFFSET(H1846,-1,0))+1,0)</f>
        <v>0</v>
      </c>
      <c r="I1846" s="3" t="s">
        <v>221</v>
      </c>
      <c r="K1846" s="2">
        <f>IF(ISNUMBER(SEARCH(Лист2!$B$4,F:F)),1,0)</f>
        <v>0</v>
      </c>
      <c r="L1846" s="14">
        <f>IF(ISNUMBER(SEARCH(Лист2!$B$5,I:I)),1,0)+K1846</f>
        <v>0</v>
      </c>
      <c r="M1846" s="3">
        <f ca="1">IF(AND(N1846&lt;&gt;N1845,ISNUMBER(SEARCH(Лист2!$B$6,N:N)),L1846=2),MAX($M$3:OFFSET(M1846,-1,0))+1,0)</f>
        <v>0</v>
      </c>
      <c r="N1846" s="3" t="s">
        <v>1621</v>
      </c>
    </row>
    <row r="1847" spans="1:14" x14ac:dyDescent="0.25">
      <c r="A1847" s="1" t="s">
        <v>11303</v>
      </c>
      <c r="B1847" s="3" t="s">
        <v>5471</v>
      </c>
      <c r="C1847" s="2">
        <f ca="1">IF(ISNUMBER(SEARCH(Лист2!$B$4,D:D)),MAX($C$3:OFFSET(C1847,-1,0))+1,0)</f>
        <v>0</v>
      </c>
      <c r="E1847" s="9" t="str">
        <f t="shared" ca="1" si="40"/>
        <v/>
      </c>
      <c r="F1847" s="4" t="s">
        <v>7</v>
      </c>
      <c r="G1847" s="2">
        <f>IF(ISNUMBER(SEARCH(Лист2!$B$4,F:F)),1,0)</f>
        <v>0</v>
      </c>
      <c r="H1847" s="3">
        <f ca="1">IF(AND(I1847&lt;&gt;I1846,ISNUMBER(SEARCH(Лист2!$B$5,I:I)),G1847=1),MAX($H$3:OFFSET(H1847,-1,0))+1,0)</f>
        <v>0</v>
      </c>
      <c r="I1847" s="3" t="s">
        <v>221</v>
      </c>
      <c r="K1847" s="2">
        <f>IF(ISNUMBER(SEARCH(Лист2!$B$4,F:F)),1,0)</f>
        <v>0</v>
      </c>
      <c r="L1847" s="14">
        <f>IF(ISNUMBER(SEARCH(Лист2!$B$5,I:I)),1,0)+K1847</f>
        <v>0</v>
      </c>
      <c r="M1847" s="3">
        <f ca="1">IF(AND(N1847&lt;&gt;N1846,ISNUMBER(SEARCH(Лист2!$B$6,N:N)),L1847=2),MAX($M$3:OFFSET(M1847,-1,0))+1,0)</f>
        <v>0</v>
      </c>
      <c r="N1847" s="3" t="s">
        <v>1656</v>
      </c>
    </row>
    <row r="1848" spans="1:14" x14ac:dyDescent="0.25">
      <c r="A1848" s="1" t="s">
        <v>11304</v>
      </c>
      <c r="B1848" s="3" t="s">
        <v>5472</v>
      </c>
      <c r="C1848" s="2">
        <f ca="1">IF(ISNUMBER(SEARCH(Лист2!$B$4,D:D)),MAX($C$3:OFFSET(C1848,-1,0))+1,0)</f>
        <v>0</v>
      </c>
      <c r="E1848" s="9" t="str">
        <f t="shared" ca="1" si="40"/>
        <v/>
      </c>
      <c r="F1848" s="4" t="s">
        <v>7</v>
      </c>
      <c r="G1848" s="2">
        <f>IF(ISNUMBER(SEARCH(Лист2!$B$4,F:F)),1,0)</f>
        <v>0</v>
      </c>
      <c r="H1848" s="3">
        <f ca="1">IF(AND(I1848&lt;&gt;I1847,ISNUMBER(SEARCH(Лист2!$B$5,I:I)),G1848=1),MAX($H$3:OFFSET(H1848,-1,0))+1,0)</f>
        <v>0</v>
      </c>
      <c r="I1848" s="3" t="s">
        <v>221</v>
      </c>
      <c r="K1848" s="2">
        <f>IF(ISNUMBER(SEARCH(Лист2!$B$4,F:F)),1,0)</f>
        <v>0</v>
      </c>
      <c r="L1848" s="14">
        <f>IF(ISNUMBER(SEARCH(Лист2!$B$5,I:I)),1,0)+K1848</f>
        <v>0</v>
      </c>
      <c r="M1848" s="3">
        <f ca="1">IF(AND(N1848&lt;&gt;N1847,ISNUMBER(SEARCH(Лист2!$B$6,N:N)),L1848=2),MAX($M$3:OFFSET(M1848,-1,0))+1,0)</f>
        <v>0</v>
      </c>
      <c r="N1848" s="3" t="s">
        <v>602</v>
      </c>
    </row>
    <row r="1849" spans="1:14" x14ac:dyDescent="0.25">
      <c r="A1849" s="1" t="s">
        <v>11305</v>
      </c>
      <c r="B1849" s="3" t="s">
        <v>5473</v>
      </c>
      <c r="C1849" s="2">
        <f ca="1">IF(ISNUMBER(SEARCH(Лист2!$B$4,D:D)),MAX($C$3:OFFSET(C1849,-1,0))+1,0)</f>
        <v>0</v>
      </c>
      <c r="E1849" s="9" t="str">
        <f t="shared" ca="1" si="40"/>
        <v/>
      </c>
      <c r="F1849" s="4" t="s">
        <v>7</v>
      </c>
      <c r="G1849" s="2">
        <f>IF(ISNUMBER(SEARCH(Лист2!$B$4,F:F)),1,0)</f>
        <v>0</v>
      </c>
      <c r="H1849" s="3">
        <f ca="1">IF(AND(I1849&lt;&gt;I1848,ISNUMBER(SEARCH(Лист2!$B$5,I:I)),G1849=1),MAX($H$3:OFFSET(H1849,-1,0))+1,0)</f>
        <v>0</v>
      </c>
      <c r="I1849" s="3" t="s">
        <v>221</v>
      </c>
      <c r="K1849" s="2">
        <f>IF(ISNUMBER(SEARCH(Лист2!$B$4,F:F)),1,0)</f>
        <v>0</v>
      </c>
      <c r="L1849" s="14">
        <f>IF(ISNUMBER(SEARCH(Лист2!$B$5,I:I)),1,0)+K1849</f>
        <v>0</v>
      </c>
      <c r="M1849" s="3">
        <f ca="1">IF(AND(N1849&lt;&gt;N1848,ISNUMBER(SEARCH(Лист2!$B$6,N:N)),L1849=2),MAX($M$3:OFFSET(M1849,-1,0))+1,0)</f>
        <v>0</v>
      </c>
      <c r="N1849" s="3" t="s">
        <v>1657</v>
      </c>
    </row>
    <row r="1850" spans="1:14" x14ac:dyDescent="0.25">
      <c r="A1850" s="1" t="s">
        <v>11306</v>
      </c>
      <c r="B1850" s="3" t="s">
        <v>5474</v>
      </c>
      <c r="C1850" s="2">
        <f ca="1">IF(ISNUMBER(SEARCH(Лист2!$B$4,D:D)),MAX($C$3:OFFSET(C1850,-1,0))+1,0)</f>
        <v>0</v>
      </c>
      <c r="E1850" s="9" t="str">
        <f t="shared" ca="1" si="40"/>
        <v/>
      </c>
      <c r="F1850" s="4" t="s">
        <v>7</v>
      </c>
      <c r="G1850" s="2">
        <f>IF(ISNUMBER(SEARCH(Лист2!$B$4,F:F)),1,0)</f>
        <v>0</v>
      </c>
      <c r="H1850" s="3">
        <f ca="1">IF(AND(I1850&lt;&gt;I1849,ISNUMBER(SEARCH(Лист2!$B$5,I:I)),G1850=1),MAX($H$3:OFFSET(H1850,-1,0))+1,0)</f>
        <v>0</v>
      </c>
      <c r="I1850" s="3" t="s">
        <v>221</v>
      </c>
      <c r="K1850" s="2">
        <f>IF(ISNUMBER(SEARCH(Лист2!$B$4,F:F)),1,0)</f>
        <v>0</v>
      </c>
      <c r="L1850" s="14">
        <f>IF(ISNUMBER(SEARCH(Лист2!$B$5,I:I)),1,0)+K1850</f>
        <v>0</v>
      </c>
      <c r="M1850" s="3">
        <f ca="1">IF(AND(N1850&lt;&gt;N1849,ISNUMBER(SEARCH(Лист2!$B$6,N:N)),L1850=2),MAX($M$3:OFFSET(M1850,-1,0))+1,0)</f>
        <v>0</v>
      </c>
      <c r="N1850" s="3" t="s">
        <v>1658</v>
      </c>
    </row>
    <row r="1851" spans="1:14" x14ac:dyDescent="0.25">
      <c r="A1851" s="1" t="s">
        <v>11307</v>
      </c>
      <c r="B1851" s="3" t="s">
        <v>5475</v>
      </c>
      <c r="C1851" s="2">
        <f ca="1">IF(ISNUMBER(SEARCH(Лист2!$B$4,D:D)),MAX($C$3:OFFSET(C1851,-1,0))+1,0)</f>
        <v>0</v>
      </c>
      <c r="E1851" s="9" t="str">
        <f t="shared" ca="1" si="40"/>
        <v/>
      </c>
      <c r="F1851" s="4" t="s">
        <v>7</v>
      </c>
      <c r="G1851" s="2">
        <f>IF(ISNUMBER(SEARCH(Лист2!$B$4,F:F)),1,0)</f>
        <v>0</v>
      </c>
      <c r="H1851" s="3">
        <f ca="1">IF(AND(I1851&lt;&gt;I1850,ISNUMBER(SEARCH(Лист2!$B$5,I:I)),G1851=1),MAX($H$3:OFFSET(H1851,-1,0))+1,0)</f>
        <v>0</v>
      </c>
      <c r="I1851" s="3" t="s">
        <v>221</v>
      </c>
      <c r="K1851" s="2">
        <f>IF(ISNUMBER(SEARCH(Лист2!$B$4,F:F)),1,0)</f>
        <v>0</v>
      </c>
      <c r="L1851" s="14">
        <f>IF(ISNUMBER(SEARCH(Лист2!$B$5,I:I)),1,0)+K1851</f>
        <v>0</v>
      </c>
      <c r="M1851" s="3">
        <f ca="1">IF(AND(N1851&lt;&gt;N1850,ISNUMBER(SEARCH(Лист2!$B$6,N:N)),L1851=2),MAX($M$3:OFFSET(M1851,-1,0))+1,0)</f>
        <v>0</v>
      </c>
      <c r="N1851" s="3" t="s">
        <v>1659</v>
      </c>
    </row>
    <row r="1852" spans="1:14" x14ac:dyDescent="0.25">
      <c r="A1852" s="1" t="s">
        <v>11308</v>
      </c>
      <c r="B1852" s="3" t="s">
        <v>5476</v>
      </c>
      <c r="C1852" s="2">
        <f ca="1">IF(ISNUMBER(SEARCH(Лист2!$B$4,D:D)),MAX($C$3:OFFSET(C1852,-1,0))+1,0)</f>
        <v>0</v>
      </c>
      <c r="E1852" s="9" t="str">
        <f t="shared" ca="1" si="40"/>
        <v/>
      </c>
      <c r="F1852" s="4" t="s">
        <v>7</v>
      </c>
      <c r="G1852" s="2">
        <f>IF(ISNUMBER(SEARCH(Лист2!$B$4,F:F)),1,0)</f>
        <v>0</v>
      </c>
      <c r="H1852" s="3">
        <f ca="1">IF(AND(I1852&lt;&gt;I1851,ISNUMBER(SEARCH(Лист2!$B$5,I:I)),G1852=1),MAX($H$3:OFFSET(H1852,-1,0))+1,0)</f>
        <v>0</v>
      </c>
      <c r="I1852" s="3" t="s">
        <v>222</v>
      </c>
      <c r="K1852" s="2">
        <f>IF(ISNUMBER(SEARCH(Лист2!$B$4,F:F)),1,0)</f>
        <v>0</v>
      </c>
      <c r="L1852" s="14">
        <f>IF(ISNUMBER(SEARCH(Лист2!$B$5,I:I)),1,0)+K1852</f>
        <v>0</v>
      </c>
      <c r="M1852" s="3">
        <f ca="1">IF(AND(N1852&lt;&gt;N1851,ISNUMBER(SEARCH(Лист2!$B$6,N:N)),L1852=2),MAX($M$3:OFFSET(M1852,-1,0))+1,0)</f>
        <v>0</v>
      </c>
      <c r="N1852" s="3" t="s">
        <v>1660</v>
      </c>
    </row>
    <row r="1853" spans="1:14" x14ac:dyDescent="0.25">
      <c r="A1853" s="1" t="s">
        <v>11309</v>
      </c>
      <c r="B1853" s="3" t="s">
        <v>5477</v>
      </c>
      <c r="C1853" s="2">
        <f ca="1">IF(ISNUMBER(SEARCH(Лист2!$B$4,D:D)),MAX($C$3:OFFSET(C1853,-1,0))+1,0)</f>
        <v>0</v>
      </c>
      <c r="E1853" s="9" t="str">
        <f t="shared" ca="1" si="40"/>
        <v/>
      </c>
      <c r="F1853" s="4" t="s">
        <v>7</v>
      </c>
      <c r="G1853" s="2">
        <f>IF(ISNUMBER(SEARCH(Лист2!$B$4,F:F)),1,0)</f>
        <v>0</v>
      </c>
      <c r="H1853" s="3">
        <f ca="1">IF(AND(I1853&lt;&gt;I1852,ISNUMBER(SEARCH(Лист2!$B$5,I:I)),G1853=1),MAX($H$3:OFFSET(H1853,-1,0))+1,0)</f>
        <v>0</v>
      </c>
      <c r="I1853" s="3" t="s">
        <v>222</v>
      </c>
      <c r="K1853" s="2">
        <f>IF(ISNUMBER(SEARCH(Лист2!$B$4,F:F)),1,0)</f>
        <v>0</v>
      </c>
      <c r="L1853" s="14">
        <f>IF(ISNUMBER(SEARCH(Лист2!$B$5,I:I)),1,0)+K1853</f>
        <v>0</v>
      </c>
      <c r="M1853" s="3">
        <f ca="1">IF(AND(N1853&lt;&gt;N1852,ISNUMBER(SEARCH(Лист2!$B$6,N:N)),L1853=2),MAX($M$3:OFFSET(M1853,-1,0))+1,0)</f>
        <v>0</v>
      </c>
      <c r="N1853" s="3" t="s">
        <v>1661</v>
      </c>
    </row>
    <row r="1854" spans="1:14" x14ac:dyDescent="0.25">
      <c r="A1854" s="1" t="s">
        <v>11310</v>
      </c>
      <c r="B1854" s="3" t="s">
        <v>5478</v>
      </c>
      <c r="C1854" s="2">
        <f ca="1">IF(ISNUMBER(SEARCH(Лист2!$B$4,D:D)),MAX($C$3:OFFSET(C1854,-1,0))+1,0)</f>
        <v>0</v>
      </c>
      <c r="E1854" s="9" t="str">
        <f t="shared" ca="1" si="40"/>
        <v/>
      </c>
      <c r="F1854" s="4" t="s">
        <v>7</v>
      </c>
      <c r="G1854" s="2">
        <f>IF(ISNUMBER(SEARCH(Лист2!$B$4,F:F)),1,0)</f>
        <v>0</v>
      </c>
      <c r="H1854" s="3">
        <f ca="1">IF(AND(I1854&lt;&gt;I1853,ISNUMBER(SEARCH(Лист2!$B$5,I:I)),G1854=1),MAX($H$3:OFFSET(H1854,-1,0))+1,0)</f>
        <v>0</v>
      </c>
      <c r="I1854" s="3" t="s">
        <v>222</v>
      </c>
      <c r="K1854" s="2">
        <f>IF(ISNUMBER(SEARCH(Лист2!$B$4,F:F)),1,0)</f>
        <v>0</v>
      </c>
      <c r="L1854" s="14">
        <f>IF(ISNUMBER(SEARCH(Лист2!$B$5,I:I)),1,0)+K1854</f>
        <v>0</v>
      </c>
      <c r="M1854" s="3">
        <f ca="1">IF(AND(N1854&lt;&gt;N1853,ISNUMBER(SEARCH(Лист2!$B$6,N:N)),L1854=2),MAX($M$3:OFFSET(M1854,-1,0))+1,0)</f>
        <v>0</v>
      </c>
      <c r="N1854" s="3" t="s">
        <v>1619</v>
      </c>
    </row>
    <row r="1855" spans="1:14" x14ac:dyDescent="0.25">
      <c r="A1855" s="1" t="s">
        <v>11311</v>
      </c>
      <c r="B1855" s="3" t="s">
        <v>5479</v>
      </c>
      <c r="C1855" s="2">
        <f ca="1">IF(ISNUMBER(SEARCH(Лист2!$B$4,D:D)),MAX($C$3:OFFSET(C1855,-1,0))+1,0)</f>
        <v>0</v>
      </c>
      <c r="E1855" s="9" t="str">
        <f t="shared" ca="1" si="40"/>
        <v/>
      </c>
      <c r="F1855" s="4" t="s">
        <v>7</v>
      </c>
      <c r="G1855" s="2">
        <f>IF(ISNUMBER(SEARCH(Лист2!$B$4,F:F)),1,0)</f>
        <v>0</v>
      </c>
      <c r="H1855" s="3">
        <f ca="1">IF(AND(I1855&lt;&gt;I1854,ISNUMBER(SEARCH(Лист2!$B$5,I:I)),G1855=1),MAX($H$3:OFFSET(H1855,-1,0))+1,0)</f>
        <v>0</v>
      </c>
      <c r="I1855" s="3" t="s">
        <v>222</v>
      </c>
      <c r="K1855" s="2">
        <f>IF(ISNUMBER(SEARCH(Лист2!$B$4,F:F)),1,0)</f>
        <v>0</v>
      </c>
      <c r="L1855" s="14">
        <f>IF(ISNUMBER(SEARCH(Лист2!$B$5,I:I)),1,0)+K1855</f>
        <v>0</v>
      </c>
      <c r="M1855" s="3">
        <f ca="1">IF(AND(N1855&lt;&gt;N1854,ISNUMBER(SEARCH(Лист2!$B$6,N:N)),L1855=2),MAX($M$3:OFFSET(M1855,-1,0))+1,0)</f>
        <v>0</v>
      </c>
      <c r="N1855" s="3" t="s">
        <v>1620</v>
      </c>
    </row>
    <row r="1856" spans="1:14" x14ac:dyDescent="0.25">
      <c r="A1856" s="1" t="s">
        <v>11312</v>
      </c>
      <c r="B1856" s="3" t="s">
        <v>5480</v>
      </c>
      <c r="C1856" s="2">
        <f ca="1">IF(ISNUMBER(SEARCH(Лист2!$B$4,D:D)),MAX($C$3:OFFSET(C1856,-1,0))+1,0)</f>
        <v>0</v>
      </c>
      <c r="E1856" s="9" t="str">
        <f t="shared" ca="1" si="40"/>
        <v/>
      </c>
      <c r="F1856" s="4" t="s">
        <v>7</v>
      </c>
      <c r="G1856" s="2">
        <f>IF(ISNUMBER(SEARCH(Лист2!$B$4,F:F)),1,0)</f>
        <v>0</v>
      </c>
      <c r="H1856" s="3">
        <f ca="1">IF(AND(I1856&lt;&gt;I1855,ISNUMBER(SEARCH(Лист2!$B$5,I:I)),G1856=1),MAX($H$3:OFFSET(H1856,-1,0))+1,0)</f>
        <v>0</v>
      </c>
      <c r="I1856" s="3" t="s">
        <v>222</v>
      </c>
      <c r="K1856" s="2">
        <f>IF(ISNUMBER(SEARCH(Лист2!$B$4,F:F)),1,0)</f>
        <v>0</v>
      </c>
      <c r="L1856" s="14">
        <f>IF(ISNUMBER(SEARCH(Лист2!$B$5,I:I)),1,0)+K1856</f>
        <v>0</v>
      </c>
      <c r="M1856" s="3">
        <f ca="1">IF(AND(N1856&lt;&gt;N1855,ISNUMBER(SEARCH(Лист2!$B$6,N:N)),L1856=2),MAX($M$3:OFFSET(M1856,-1,0))+1,0)</f>
        <v>0</v>
      </c>
      <c r="N1856" s="3" t="s">
        <v>1656</v>
      </c>
    </row>
    <row r="1857" spans="1:14" x14ac:dyDescent="0.25">
      <c r="A1857" s="1" t="s">
        <v>11313</v>
      </c>
      <c r="B1857" s="3" t="s">
        <v>5481</v>
      </c>
      <c r="C1857" s="2">
        <f ca="1">IF(ISNUMBER(SEARCH(Лист2!$B$4,D:D)),MAX($C$3:OFFSET(C1857,-1,0))+1,0)</f>
        <v>0</v>
      </c>
      <c r="E1857" s="9" t="str">
        <f t="shared" ca="1" si="40"/>
        <v/>
      </c>
      <c r="F1857" s="4" t="s">
        <v>7</v>
      </c>
      <c r="G1857" s="2">
        <f>IF(ISNUMBER(SEARCH(Лист2!$B$4,F:F)),1,0)</f>
        <v>0</v>
      </c>
      <c r="H1857" s="3">
        <f ca="1">IF(AND(I1857&lt;&gt;I1856,ISNUMBER(SEARCH(Лист2!$B$5,I:I)),G1857=1),MAX($H$3:OFFSET(H1857,-1,0))+1,0)</f>
        <v>0</v>
      </c>
      <c r="I1857" s="3" t="s">
        <v>222</v>
      </c>
      <c r="K1857" s="2">
        <f>IF(ISNUMBER(SEARCH(Лист2!$B$4,F:F)),1,0)</f>
        <v>0</v>
      </c>
      <c r="L1857" s="14">
        <f>IF(ISNUMBER(SEARCH(Лист2!$B$5,I:I)),1,0)+K1857</f>
        <v>0</v>
      </c>
      <c r="M1857" s="3">
        <f ca="1">IF(AND(N1857&lt;&gt;N1856,ISNUMBER(SEARCH(Лист2!$B$6,N:N)),L1857=2),MAX($M$3:OFFSET(M1857,-1,0))+1,0)</f>
        <v>0</v>
      </c>
      <c r="N1857" s="3" t="s">
        <v>602</v>
      </c>
    </row>
    <row r="1858" spans="1:14" x14ac:dyDescent="0.25">
      <c r="A1858" s="1" t="s">
        <v>11314</v>
      </c>
      <c r="B1858" s="3" t="s">
        <v>5482</v>
      </c>
      <c r="C1858" s="2">
        <f ca="1">IF(ISNUMBER(SEARCH(Лист2!$B$4,D:D)),MAX($C$3:OFFSET(C1858,-1,0))+1,0)</f>
        <v>0</v>
      </c>
      <c r="E1858" s="9" t="str">
        <f t="shared" ca="1" si="40"/>
        <v/>
      </c>
      <c r="F1858" s="4" t="s">
        <v>7</v>
      </c>
      <c r="G1858" s="2">
        <f>IF(ISNUMBER(SEARCH(Лист2!$B$4,F:F)),1,0)</f>
        <v>0</v>
      </c>
      <c r="H1858" s="3">
        <f ca="1">IF(AND(I1858&lt;&gt;I1857,ISNUMBER(SEARCH(Лист2!$B$5,I:I)),G1858=1),MAX($H$3:OFFSET(H1858,-1,0))+1,0)</f>
        <v>0</v>
      </c>
      <c r="I1858" s="3" t="s">
        <v>222</v>
      </c>
      <c r="K1858" s="2">
        <f>IF(ISNUMBER(SEARCH(Лист2!$B$4,F:F)),1,0)</f>
        <v>0</v>
      </c>
      <c r="L1858" s="14">
        <f>IF(ISNUMBER(SEARCH(Лист2!$B$5,I:I)),1,0)+K1858</f>
        <v>0</v>
      </c>
      <c r="M1858" s="3">
        <f ca="1">IF(AND(N1858&lt;&gt;N1857,ISNUMBER(SEARCH(Лист2!$B$6,N:N)),L1858=2),MAX($M$3:OFFSET(M1858,-1,0))+1,0)</f>
        <v>0</v>
      </c>
      <c r="N1858" s="3" t="s">
        <v>1662</v>
      </c>
    </row>
    <row r="1859" spans="1:14" x14ac:dyDescent="0.25">
      <c r="A1859" s="1" t="s">
        <v>11315</v>
      </c>
      <c r="B1859" s="3" t="s">
        <v>5483</v>
      </c>
      <c r="C1859" s="2">
        <f ca="1">IF(ISNUMBER(SEARCH(Лист2!$B$4,D:D)),MAX($C$3:OFFSET(C1859,-1,0))+1,0)</f>
        <v>0</v>
      </c>
      <c r="E1859" s="9" t="str">
        <f t="shared" ca="1" si="40"/>
        <v/>
      </c>
      <c r="F1859" s="4" t="s">
        <v>7</v>
      </c>
      <c r="G1859" s="2">
        <f>IF(ISNUMBER(SEARCH(Лист2!$B$4,F:F)),1,0)</f>
        <v>0</v>
      </c>
      <c r="H1859" s="3">
        <f ca="1">IF(AND(I1859&lt;&gt;I1858,ISNUMBER(SEARCH(Лист2!$B$5,I:I)),G1859=1),MAX($H$3:OFFSET(H1859,-1,0))+1,0)</f>
        <v>0</v>
      </c>
      <c r="I1859" s="3" t="s">
        <v>222</v>
      </c>
      <c r="K1859" s="2">
        <f>IF(ISNUMBER(SEARCH(Лист2!$B$4,F:F)),1,0)</f>
        <v>0</v>
      </c>
      <c r="L1859" s="14">
        <f>IF(ISNUMBER(SEARCH(Лист2!$B$5,I:I)),1,0)+K1859</f>
        <v>0</v>
      </c>
      <c r="M1859" s="3">
        <f ca="1">IF(AND(N1859&lt;&gt;N1858,ISNUMBER(SEARCH(Лист2!$B$6,N:N)),L1859=2),MAX($M$3:OFFSET(M1859,-1,0))+1,0)</f>
        <v>0</v>
      </c>
      <c r="N1859" s="3" t="s">
        <v>1663</v>
      </c>
    </row>
    <row r="1860" spans="1:14" x14ac:dyDescent="0.25">
      <c r="A1860" s="1" t="s">
        <v>11316</v>
      </c>
      <c r="B1860" s="3" t="s">
        <v>5484</v>
      </c>
      <c r="C1860" s="2">
        <f ca="1">IF(ISNUMBER(SEARCH(Лист2!$B$4,D:D)),MAX($C$3:OFFSET(C1860,-1,0))+1,0)</f>
        <v>0</v>
      </c>
      <c r="E1860" s="9" t="str">
        <f t="shared" ca="1" si="40"/>
        <v/>
      </c>
      <c r="F1860" s="4" t="s">
        <v>7</v>
      </c>
      <c r="G1860" s="2">
        <f>IF(ISNUMBER(SEARCH(Лист2!$B$4,F:F)),1,0)</f>
        <v>0</v>
      </c>
      <c r="H1860" s="3">
        <f ca="1">IF(AND(I1860&lt;&gt;I1859,ISNUMBER(SEARCH(Лист2!$B$5,I:I)),G1860=1),MAX($H$3:OFFSET(H1860,-1,0))+1,0)</f>
        <v>0</v>
      </c>
      <c r="I1860" s="3" t="s">
        <v>222</v>
      </c>
      <c r="K1860" s="2">
        <f>IF(ISNUMBER(SEARCH(Лист2!$B$4,F:F)),1,0)</f>
        <v>0</v>
      </c>
      <c r="L1860" s="14">
        <f>IF(ISNUMBER(SEARCH(Лист2!$B$5,I:I)),1,0)+K1860</f>
        <v>0</v>
      </c>
      <c r="M1860" s="3">
        <f ca="1">IF(AND(N1860&lt;&gt;N1859,ISNUMBER(SEARCH(Лист2!$B$6,N:N)),L1860=2),MAX($M$3:OFFSET(M1860,-1,0))+1,0)</f>
        <v>0</v>
      </c>
      <c r="N1860" s="3" t="s">
        <v>1664</v>
      </c>
    </row>
    <row r="1861" spans="1:14" x14ac:dyDescent="0.25">
      <c r="A1861" s="1" t="s">
        <v>11317</v>
      </c>
      <c r="B1861" s="3" t="s">
        <v>5485</v>
      </c>
      <c r="C1861" s="2">
        <f ca="1">IF(ISNUMBER(SEARCH(Лист2!$B$4,D:D)),MAX($C$3:OFFSET(C1861,-1,0))+1,0)</f>
        <v>0</v>
      </c>
      <c r="E1861" s="9" t="str">
        <f t="shared" ref="E1861:E1924" ca="1" si="41">IFERROR(INDEX(D:D,MATCH(ROW(E1861)-ROW($E$3),C:C,0)),"")</f>
        <v/>
      </c>
      <c r="F1861" s="4" t="s">
        <v>7</v>
      </c>
      <c r="G1861" s="2">
        <f>IF(ISNUMBER(SEARCH(Лист2!$B$4,F:F)),1,0)</f>
        <v>0</v>
      </c>
      <c r="H1861" s="3">
        <f ca="1">IF(AND(I1861&lt;&gt;I1860,ISNUMBER(SEARCH(Лист2!$B$5,I:I)),G1861=1),MAX($H$3:OFFSET(H1861,-1,0))+1,0)</f>
        <v>0</v>
      </c>
      <c r="I1861" s="3" t="s">
        <v>223</v>
      </c>
      <c r="K1861" s="2">
        <f>IF(ISNUMBER(SEARCH(Лист2!$B$4,F:F)),1,0)</f>
        <v>0</v>
      </c>
      <c r="L1861" s="14">
        <f>IF(ISNUMBER(SEARCH(Лист2!$B$5,I:I)),1,0)+K1861</f>
        <v>0</v>
      </c>
      <c r="M1861" s="3">
        <f ca="1">IF(AND(N1861&lt;&gt;N1860,ISNUMBER(SEARCH(Лист2!$B$6,N:N)),L1861=2),MAX($M$3:OFFSET(M1861,-1,0))+1,0)</f>
        <v>0</v>
      </c>
      <c r="N1861" s="3" t="s">
        <v>1665</v>
      </c>
    </row>
    <row r="1862" spans="1:14" x14ac:dyDescent="0.25">
      <c r="A1862" s="1" t="s">
        <v>11318</v>
      </c>
      <c r="B1862" s="3" t="s">
        <v>5486</v>
      </c>
      <c r="C1862" s="2">
        <f ca="1">IF(ISNUMBER(SEARCH(Лист2!$B$4,D:D)),MAX($C$3:OFFSET(C1862,-1,0))+1,0)</f>
        <v>0</v>
      </c>
      <c r="E1862" s="9" t="str">
        <f t="shared" ca="1" si="41"/>
        <v/>
      </c>
      <c r="F1862" s="4" t="s">
        <v>7</v>
      </c>
      <c r="G1862" s="2">
        <f>IF(ISNUMBER(SEARCH(Лист2!$B$4,F:F)),1,0)</f>
        <v>0</v>
      </c>
      <c r="H1862" s="3">
        <f ca="1">IF(AND(I1862&lt;&gt;I1861,ISNUMBER(SEARCH(Лист2!$B$5,I:I)),G1862=1),MAX($H$3:OFFSET(H1862,-1,0))+1,0)</f>
        <v>0</v>
      </c>
      <c r="I1862" s="3" t="s">
        <v>223</v>
      </c>
      <c r="K1862" s="2">
        <f>IF(ISNUMBER(SEARCH(Лист2!$B$4,F:F)),1,0)</f>
        <v>0</v>
      </c>
      <c r="L1862" s="14">
        <f>IF(ISNUMBER(SEARCH(Лист2!$B$5,I:I)),1,0)+K1862</f>
        <v>0</v>
      </c>
      <c r="M1862" s="3">
        <f ca="1">IF(AND(N1862&lt;&gt;N1861,ISNUMBER(SEARCH(Лист2!$B$6,N:N)),L1862=2),MAX($M$3:OFFSET(M1862,-1,0))+1,0)</f>
        <v>0</v>
      </c>
      <c r="N1862" s="3" t="s">
        <v>1666</v>
      </c>
    </row>
    <row r="1863" spans="1:14" x14ac:dyDescent="0.25">
      <c r="A1863" s="1" t="s">
        <v>11319</v>
      </c>
      <c r="B1863" s="3" t="s">
        <v>5487</v>
      </c>
      <c r="C1863" s="2">
        <f ca="1">IF(ISNUMBER(SEARCH(Лист2!$B$4,D:D)),MAX($C$3:OFFSET(C1863,-1,0))+1,0)</f>
        <v>0</v>
      </c>
      <c r="E1863" s="9" t="str">
        <f t="shared" ca="1" si="41"/>
        <v/>
      </c>
      <c r="F1863" s="4" t="s">
        <v>7</v>
      </c>
      <c r="G1863" s="2">
        <f>IF(ISNUMBER(SEARCH(Лист2!$B$4,F:F)),1,0)</f>
        <v>0</v>
      </c>
      <c r="H1863" s="3">
        <f ca="1">IF(AND(I1863&lt;&gt;I1862,ISNUMBER(SEARCH(Лист2!$B$5,I:I)),G1863=1),MAX($H$3:OFFSET(H1863,-1,0))+1,0)</f>
        <v>0</v>
      </c>
      <c r="I1863" s="3" t="s">
        <v>223</v>
      </c>
      <c r="K1863" s="2">
        <f>IF(ISNUMBER(SEARCH(Лист2!$B$4,F:F)),1,0)</f>
        <v>0</v>
      </c>
      <c r="L1863" s="14">
        <f>IF(ISNUMBER(SEARCH(Лист2!$B$5,I:I)),1,0)+K1863</f>
        <v>0</v>
      </c>
      <c r="M1863" s="3">
        <f ca="1">IF(AND(N1863&lt;&gt;N1862,ISNUMBER(SEARCH(Лист2!$B$6,N:N)),L1863=2),MAX($M$3:OFFSET(M1863,-1,0))+1,0)</f>
        <v>0</v>
      </c>
      <c r="N1863" s="3" t="s">
        <v>1619</v>
      </c>
    </row>
    <row r="1864" spans="1:14" x14ac:dyDescent="0.25">
      <c r="A1864" s="1" t="s">
        <v>11320</v>
      </c>
      <c r="B1864" s="3" t="s">
        <v>5488</v>
      </c>
      <c r="C1864" s="2">
        <f ca="1">IF(ISNUMBER(SEARCH(Лист2!$B$4,D:D)),MAX($C$3:OFFSET(C1864,-1,0))+1,0)</f>
        <v>0</v>
      </c>
      <c r="E1864" s="9" t="str">
        <f t="shared" ca="1" si="41"/>
        <v/>
      </c>
      <c r="F1864" s="4" t="s">
        <v>7</v>
      </c>
      <c r="G1864" s="2">
        <f>IF(ISNUMBER(SEARCH(Лист2!$B$4,F:F)),1,0)</f>
        <v>0</v>
      </c>
      <c r="H1864" s="3">
        <f ca="1">IF(AND(I1864&lt;&gt;I1863,ISNUMBER(SEARCH(Лист2!$B$5,I:I)),G1864=1),MAX($H$3:OFFSET(H1864,-1,0))+1,0)</f>
        <v>0</v>
      </c>
      <c r="I1864" s="3" t="s">
        <v>223</v>
      </c>
      <c r="K1864" s="2">
        <f>IF(ISNUMBER(SEARCH(Лист2!$B$4,F:F)),1,0)</f>
        <v>0</v>
      </c>
      <c r="L1864" s="14">
        <f>IF(ISNUMBER(SEARCH(Лист2!$B$5,I:I)),1,0)+K1864</f>
        <v>0</v>
      </c>
      <c r="M1864" s="3">
        <f ca="1">IF(AND(N1864&lt;&gt;N1863,ISNUMBER(SEARCH(Лист2!$B$6,N:N)),L1864=2),MAX($M$3:OFFSET(M1864,-1,0))+1,0)</f>
        <v>0</v>
      </c>
      <c r="N1864" s="3" t="s">
        <v>1620</v>
      </c>
    </row>
    <row r="1865" spans="1:14" x14ac:dyDescent="0.25">
      <c r="A1865" s="1" t="s">
        <v>11321</v>
      </c>
      <c r="B1865" s="3" t="s">
        <v>5489</v>
      </c>
      <c r="C1865" s="2">
        <f ca="1">IF(ISNUMBER(SEARCH(Лист2!$B$4,D:D)),MAX($C$3:OFFSET(C1865,-1,0))+1,0)</f>
        <v>0</v>
      </c>
      <c r="E1865" s="9" t="str">
        <f t="shared" ca="1" si="41"/>
        <v/>
      </c>
      <c r="F1865" s="4" t="s">
        <v>7</v>
      </c>
      <c r="G1865" s="2">
        <f>IF(ISNUMBER(SEARCH(Лист2!$B$4,F:F)),1,0)</f>
        <v>0</v>
      </c>
      <c r="H1865" s="3">
        <f ca="1">IF(AND(I1865&lt;&gt;I1864,ISNUMBER(SEARCH(Лист2!$B$5,I:I)),G1865=1),MAX($H$3:OFFSET(H1865,-1,0))+1,0)</f>
        <v>0</v>
      </c>
      <c r="I1865" s="3" t="s">
        <v>223</v>
      </c>
      <c r="K1865" s="2">
        <f>IF(ISNUMBER(SEARCH(Лист2!$B$4,F:F)),1,0)</f>
        <v>0</v>
      </c>
      <c r="L1865" s="14">
        <f>IF(ISNUMBER(SEARCH(Лист2!$B$5,I:I)),1,0)+K1865</f>
        <v>0</v>
      </c>
      <c r="M1865" s="3">
        <f ca="1">IF(AND(N1865&lt;&gt;N1864,ISNUMBER(SEARCH(Лист2!$B$6,N:N)),L1865=2),MAX($M$3:OFFSET(M1865,-1,0))+1,0)</f>
        <v>0</v>
      </c>
      <c r="N1865" s="3" t="s">
        <v>1634</v>
      </c>
    </row>
    <row r="1866" spans="1:14" x14ac:dyDescent="0.25">
      <c r="A1866" s="1" t="s">
        <v>11322</v>
      </c>
      <c r="B1866" s="3" t="s">
        <v>5490</v>
      </c>
      <c r="C1866" s="2">
        <f ca="1">IF(ISNUMBER(SEARCH(Лист2!$B$4,D:D)),MAX($C$3:OFFSET(C1866,-1,0))+1,0)</f>
        <v>0</v>
      </c>
      <c r="E1866" s="9" t="str">
        <f t="shared" ca="1" si="41"/>
        <v/>
      </c>
      <c r="F1866" s="4" t="s">
        <v>7</v>
      </c>
      <c r="G1866" s="2">
        <f>IF(ISNUMBER(SEARCH(Лист2!$B$4,F:F)),1,0)</f>
        <v>0</v>
      </c>
      <c r="H1866" s="3">
        <f ca="1">IF(AND(I1866&lt;&gt;I1865,ISNUMBER(SEARCH(Лист2!$B$5,I:I)),G1866=1),MAX($H$3:OFFSET(H1866,-1,0))+1,0)</f>
        <v>0</v>
      </c>
      <c r="I1866" s="3" t="s">
        <v>223</v>
      </c>
      <c r="K1866" s="2">
        <f>IF(ISNUMBER(SEARCH(Лист2!$B$4,F:F)),1,0)</f>
        <v>0</v>
      </c>
      <c r="L1866" s="14">
        <f>IF(ISNUMBER(SEARCH(Лист2!$B$5,I:I)),1,0)+K1866</f>
        <v>0</v>
      </c>
      <c r="M1866" s="3">
        <f ca="1">IF(AND(N1866&lt;&gt;N1865,ISNUMBER(SEARCH(Лист2!$B$6,N:N)),L1866=2),MAX($M$3:OFFSET(M1866,-1,0))+1,0)</f>
        <v>0</v>
      </c>
      <c r="N1866" s="3" t="s">
        <v>1667</v>
      </c>
    </row>
    <row r="1867" spans="1:14" x14ac:dyDescent="0.25">
      <c r="A1867" s="1" t="s">
        <v>11323</v>
      </c>
      <c r="B1867" s="3" t="s">
        <v>5491</v>
      </c>
      <c r="C1867" s="2">
        <f ca="1">IF(ISNUMBER(SEARCH(Лист2!$B$4,D:D)),MAX($C$3:OFFSET(C1867,-1,0))+1,0)</f>
        <v>0</v>
      </c>
      <c r="E1867" s="9" t="str">
        <f t="shared" ca="1" si="41"/>
        <v/>
      </c>
      <c r="F1867" s="4" t="s">
        <v>7</v>
      </c>
      <c r="G1867" s="2">
        <f>IF(ISNUMBER(SEARCH(Лист2!$B$4,F:F)),1,0)</f>
        <v>0</v>
      </c>
      <c r="H1867" s="3">
        <f ca="1">IF(AND(I1867&lt;&gt;I1866,ISNUMBER(SEARCH(Лист2!$B$5,I:I)),G1867=1),MAX($H$3:OFFSET(H1867,-1,0))+1,0)</f>
        <v>0</v>
      </c>
      <c r="I1867" s="3" t="s">
        <v>223</v>
      </c>
      <c r="K1867" s="2">
        <f>IF(ISNUMBER(SEARCH(Лист2!$B$4,F:F)),1,0)</f>
        <v>0</v>
      </c>
      <c r="L1867" s="14">
        <f>IF(ISNUMBER(SEARCH(Лист2!$B$5,I:I)),1,0)+K1867</f>
        <v>0</v>
      </c>
      <c r="M1867" s="3">
        <f ca="1">IF(AND(N1867&lt;&gt;N1866,ISNUMBER(SEARCH(Лист2!$B$6,N:N)),L1867=2),MAX($M$3:OFFSET(M1867,-1,0))+1,0)</f>
        <v>0</v>
      </c>
      <c r="N1867" s="3" t="s">
        <v>602</v>
      </c>
    </row>
    <row r="1868" spans="1:14" x14ac:dyDescent="0.25">
      <c r="A1868" s="1" t="s">
        <v>11324</v>
      </c>
      <c r="B1868" s="3" t="s">
        <v>5492</v>
      </c>
      <c r="C1868" s="2">
        <f ca="1">IF(ISNUMBER(SEARCH(Лист2!$B$4,D:D)),MAX($C$3:OFFSET(C1868,-1,0))+1,0)</f>
        <v>0</v>
      </c>
      <c r="E1868" s="9" t="str">
        <f t="shared" ca="1" si="41"/>
        <v/>
      </c>
      <c r="F1868" s="4" t="s">
        <v>7</v>
      </c>
      <c r="G1868" s="2">
        <f>IF(ISNUMBER(SEARCH(Лист2!$B$4,F:F)),1,0)</f>
        <v>0</v>
      </c>
      <c r="H1868" s="3">
        <f ca="1">IF(AND(I1868&lt;&gt;I1867,ISNUMBER(SEARCH(Лист2!$B$5,I:I)),G1868=1),MAX($H$3:OFFSET(H1868,-1,0))+1,0)</f>
        <v>0</v>
      </c>
      <c r="I1868" s="3" t="s">
        <v>223</v>
      </c>
      <c r="K1868" s="2">
        <f>IF(ISNUMBER(SEARCH(Лист2!$B$4,F:F)),1,0)</f>
        <v>0</v>
      </c>
      <c r="L1868" s="14">
        <f>IF(ISNUMBER(SEARCH(Лист2!$B$5,I:I)),1,0)+K1868</f>
        <v>0</v>
      </c>
      <c r="M1868" s="3">
        <f ca="1">IF(AND(N1868&lt;&gt;N1867,ISNUMBER(SEARCH(Лист2!$B$6,N:N)),L1868=2),MAX($M$3:OFFSET(M1868,-1,0))+1,0)</f>
        <v>0</v>
      </c>
      <c r="N1868" s="3" t="s">
        <v>1668</v>
      </c>
    </row>
    <row r="1869" spans="1:14" x14ac:dyDescent="0.25">
      <c r="A1869" s="1" t="s">
        <v>11325</v>
      </c>
      <c r="B1869" s="3" t="s">
        <v>5493</v>
      </c>
      <c r="C1869" s="2">
        <f ca="1">IF(ISNUMBER(SEARCH(Лист2!$B$4,D:D)),MAX($C$3:OFFSET(C1869,-1,0))+1,0)</f>
        <v>0</v>
      </c>
      <c r="E1869" s="9" t="str">
        <f t="shared" ca="1" si="41"/>
        <v/>
      </c>
      <c r="F1869" s="4" t="s">
        <v>7</v>
      </c>
      <c r="G1869" s="2">
        <f>IF(ISNUMBER(SEARCH(Лист2!$B$4,F:F)),1,0)</f>
        <v>0</v>
      </c>
      <c r="H1869" s="3">
        <f ca="1">IF(AND(I1869&lt;&gt;I1868,ISNUMBER(SEARCH(Лист2!$B$5,I:I)),G1869=1),MAX($H$3:OFFSET(H1869,-1,0))+1,0)</f>
        <v>0</v>
      </c>
      <c r="I1869" s="3" t="s">
        <v>223</v>
      </c>
      <c r="K1869" s="2">
        <f>IF(ISNUMBER(SEARCH(Лист2!$B$4,F:F)),1,0)</f>
        <v>0</v>
      </c>
      <c r="L1869" s="14">
        <f>IF(ISNUMBER(SEARCH(Лист2!$B$5,I:I)),1,0)+K1869</f>
        <v>0</v>
      </c>
      <c r="M1869" s="3">
        <f ca="1">IF(AND(N1869&lt;&gt;N1868,ISNUMBER(SEARCH(Лист2!$B$6,N:N)),L1869=2),MAX($M$3:OFFSET(M1869,-1,0))+1,0)</f>
        <v>0</v>
      </c>
      <c r="N1869" s="3" t="s">
        <v>1669</v>
      </c>
    </row>
    <row r="1870" spans="1:14" x14ac:dyDescent="0.25">
      <c r="A1870" s="1" t="s">
        <v>11326</v>
      </c>
      <c r="B1870" s="3" t="s">
        <v>5494</v>
      </c>
      <c r="C1870" s="2">
        <f ca="1">IF(ISNUMBER(SEARCH(Лист2!$B$4,D:D)),MAX($C$3:OFFSET(C1870,-1,0))+1,0)</f>
        <v>0</v>
      </c>
      <c r="E1870" s="9" t="str">
        <f t="shared" ca="1" si="41"/>
        <v/>
      </c>
      <c r="F1870" s="4" t="s">
        <v>7</v>
      </c>
      <c r="G1870" s="2">
        <f>IF(ISNUMBER(SEARCH(Лист2!$B$4,F:F)),1,0)</f>
        <v>0</v>
      </c>
      <c r="H1870" s="3">
        <f ca="1">IF(AND(I1870&lt;&gt;I1869,ISNUMBER(SEARCH(Лист2!$B$5,I:I)),G1870=1),MAX($H$3:OFFSET(H1870,-1,0))+1,0)</f>
        <v>0</v>
      </c>
      <c r="I1870" s="3" t="s">
        <v>223</v>
      </c>
      <c r="K1870" s="2">
        <f>IF(ISNUMBER(SEARCH(Лист2!$B$4,F:F)),1,0)</f>
        <v>0</v>
      </c>
      <c r="L1870" s="14">
        <f>IF(ISNUMBER(SEARCH(Лист2!$B$5,I:I)),1,0)+K1870</f>
        <v>0</v>
      </c>
      <c r="M1870" s="3">
        <f ca="1">IF(AND(N1870&lt;&gt;N1869,ISNUMBER(SEARCH(Лист2!$B$6,N:N)),L1870=2),MAX($M$3:OFFSET(M1870,-1,0))+1,0)</f>
        <v>0</v>
      </c>
      <c r="N1870" s="3" t="s">
        <v>1670</v>
      </c>
    </row>
    <row r="1871" spans="1:14" x14ac:dyDescent="0.25">
      <c r="A1871" s="1" t="s">
        <v>11327</v>
      </c>
      <c r="B1871" s="3" t="s">
        <v>5495</v>
      </c>
      <c r="C1871" s="2">
        <f ca="1">IF(ISNUMBER(SEARCH(Лист2!$B$4,D:D)),MAX($C$3:OFFSET(C1871,-1,0))+1,0)</f>
        <v>0</v>
      </c>
      <c r="E1871" s="9" t="str">
        <f t="shared" ca="1" si="41"/>
        <v/>
      </c>
      <c r="F1871" s="4" t="s">
        <v>7</v>
      </c>
      <c r="G1871" s="2">
        <f>IF(ISNUMBER(SEARCH(Лист2!$B$4,F:F)),1,0)</f>
        <v>0</v>
      </c>
      <c r="H1871" s="3">
        <f ca="1">IF(AND(I1871&lt;&gt;I1870,ISNUMBER(SEARCH(Лист2!$B$5,I:I)),G1871=1),MAX($H$3:OFFSET(H1871,-1,0))+1,0)</f>
        <v>0</v>
      </c>
      <c r="I1871" s="3" t="s">
        <v>224</v>
      </c>
      <c r="K1871" s="2">
        <f>IF(ISNUMBER(SEARCH(Лист2!$B$4,F:F)),1,0)</f>
        <v>0</v>
      </c>
      <c r="L1871" s="14">
        <f>IF(ISNUMBER(SEARCH(Лист2!$B$5,I:I)),1,0)+K1871</f>
        <v>0</v>
      </c>
      <c r="M1871" s="3">
        <f ca="1">IF(AND(N1871&lt;&gt;N1870,ISNUMBER(SEARCH(Лист2!$B$6,N:N)),L1871=2),MAX($M$3:OFFSET(M1871,-1,0))+1,0)</f>
        <v>0</v>
      </c>
      <c r="N1871" s="3" t="s">
        <v>1671</v>
      </c>
    </row>
    <row r="1872" spans="1:14" x14ac:dyDescent="0.25">
      <c r="A1872" s="1" t="s">
        <v>11328</v>
      </c>
      <c r="B1872" s="3" t="s">
        <v>5496</v>
      </c>
      <c r="C1872" s="2">
        <f ca="1">IF(ISNUMBER(SEARCH(Лист2!$B$4,D:D)),MAX($C$3:OFFSET(C1872,-1,0))+1,0)</f>
        <v>0</v>
      </c>
      <c r="E1872" s="9" t="str">
        <f t="shared" ca="1" si="41"/>
        <v/>
      </c>
      <c r="F1872" s="4" t="s">
        <v>7</v>
      </c>
      <c r="G1872" s="2">
        <f>IF(ISNUMBER(SEARCH(Лист2!$B$4,F:F)),1,0)</f>
        <v>0</v>
      </c>
      <c r="H1872" s="3">
        <f ca="1">IF(AND(I1872&lt;&gt;I1871,ISNUMBER(SEARCH(Лист2!$B$5,I:I)),G1872=1),MAX($H$3:OFFSET(H1872,-1,0))+1,0)</f>
        <v>0</v>
      </c>
      <c r="I1872" s="3" t="s">
        <v>224</v>
      </c>
      <c r="K1872" s="2">
        <f>IF(ISNUMBER(SEARCH(Лист2!$B$4,F:F)),1,0)</f>
        <v>0</v>
      </c>
      <c r="L1872" s="14">
        <f>IF(ISNUMBER(SEARCH(Лист2!$B$5,I:I)),1,0)+K1872</f>
        <v>0</v>
      </c>
      <c r="M1872" s="3">
        <f ca="1">IF(AND(N1872&lt;&gt;N1871,ISNUMBER(SEARCH(Лист2!$B$6,N:N)),L1872=2),MAX($M$3:OFFSET(M1872,-1,0))+1,0)</f>
        <v>0</v>
      </c>
      <c r="N1872" s="3" t="s">
        <v>1672</v>
      </c>
    </row>
    <row r="1873" spans="1:14" x14ac:dyDescent="0.25">
      <c r="A1873" s="1" t="s">
        <v>11329</v>
      </c>
      <c r="B1873" s="3" t="s">
        <v>5497</v>
      </c>
      <c r="C1873" s="2">
        <f ca="1">IF(ISNUMBER(SEARCH(Лист2!$B$4,D:D)),MAX($C$3:OFFSET(C1873,-1,0))+1,0)</f>
        <v>0</v>
      </c>
      <c r="E1873" s="9" t="str">
        <f t="shared" ca="1" si="41"/>
        <v/>
      </c>
      <c r="F1873" s="4" t="s">
        <v>7</v>
      </c>
      <c r="G1873" s="2">
        <f>IF(ISNUMBER(SEARCH(Лист2!$B$4,F:F)),1,0)</f>
        <v>0</v>
      </c>
      <c r="H1873" s="3">
        <f ca="1">IF(AND(I1873&lt;&gt;I1872,ISNUMBER(SEARCH(Лист2!$B$5,I:I)),G1873=1),MAX($H$3:OFFSET(H1873,-1,0))+1,0)</f>
        <v>0</v>
      </c>
      <c r="I1873" s="3" t="s">
        <v>224</v>
      </c>
      <c r="K1873" s="2">
        <f>IF(ISNUMBER(SEARCH(Лист2!$B$4,F:F)),1,0)</f>
        <v>0</v>
      </c>
      <c r="L1873" s="14">
        <f>IF(ISNUMBER(SEARCH(Лист2!$B$5,I:I)),1,0)+K1873</f>
        <v>0</v>
      </c>
      <c r="M1873" s="3">
        <f ca="1">IF(AND(N1873&lt;&gt;N1872,ISNUMBER(SEARCH(Лист2!$B$6,N:N)),L1873=2),MAX($M$3:OFFSET(M1873,-1,0))+1,0)</f>
        <v>0</v>
      </c>
      <c r="N1873" s="3" t="s">
        <v>1619</v>
      </c>
    </row>
    <row r="1874" spans="1:14" x14ac:dyDescent="0.25">
      <c r="A1874" s="1" t="s">
        <v>11330</v>
      </c>
      <c r="B1874" s="3" t="s">
        <v>5498</v>
      </c>
      <c r="C1874" s="2">
        <f ca="1">IF(ISNUMBER(SEARCH(Лист2!$B$4,D:D)),MAX($C$3:OFFSET(C1874,-1,0))+1,0)</f>
        <v>0</v>
      </c>
      <c r="E1874" s="9" t="str">
        <f t="shared" ca="1" si="41"/>
        <v/>
      </c>
      <c r="F1874" s="4" t="s">
        <v>7</v>
      </c>
      <c r="G1874" s="2">
        <f>IF(ISNUMBER(SEARCH(Лист2!$B$4,F:F)),1,0)</f>
        <v>0</v>
      </c>
      <c r="H1874" s="3">
        <f ca="1">IF(AND(I1874&lt;&gt;I1873,ISNUMBER(SEARCH(Лист2!$B$5,I:I)),G1874=1),MAX($H$3:OFFSET(H1874,-1,0))+1,0)</f>
        <v>0</v>
      </c>
      <c r="I1874" s="3" t="s">
        <v>224</v>
      </c>
      <c r="K1874" s="2">
        <f>IF(ISNUMBER(SEARCH(Лист2!$B$4,F:F)),1,0)</f>
        <v>0</v>
      </c>
      <c r="L1874" s="14">
        <f>IF(ISNUMBER(SEARCH(Лист2!$B$5,I:I)),1,0)+K1874</f>
        <v>0</v>
      </c>
      <c r="M1874" s="3">
        <f ca="1">IF(AND(N1874&lt;&gt;N1873,ISNUMBER(SEARCH(Лист2!$B$6,N:N)),L1874=2),MAX($M$3:OFFSET(M1874,-1,0))+1,0)</f>
        <v>0</v>
      </c>
      <c r="N1874" s="3" t="s">
        <v>1620</v>
      </c>
    </row>
    <row r="1875" spans="1:14" x14ac:dyDescent="0.25">
      <c r="A1875" s="1" t="s">
        <v>11331</v>
      </c>
      <c r="B1875" s="3" t="s">
        <v>5499</v>
      </c>
      <c r="C1875" s="2">
        <f ca="1">IF(ISNUMBER(SEARCH(Лист2!$B$4,D:D)),MAX($C$3:OFFSET(C1875,-1,0))+1,0)</f>
        <v>0</v>
      </c>
      <c r="E1875" s="9" t="str">
        <f t="shared" ca="1" si="41"/>
        <v/>
      </c>
      <c r="F1875" s="4" t="s">
        <v>7</v>
      </c>
      <c r="G1875" s="2">
        <f>IF(ISNUMBER(SEARCH(Лист2!$B$4,F:F)),1,0)</f>
        <v>0</v>
      </c>
      <c r="H1875" s="3">
        <f ca="1">IF(AND(I1875&lt;&gt;I1874,ISNUMBER(SEARCH(Лист2!$B$5,I:I)),G1875=1),MAX($H$3:OFFSET(H1875,-1,0))+1,0)</f>
        <v>0</v>
      </c>
      <c r="I1875" s="3" t="s">
        <v>224</v>
      </c>
      <c r="K1875" s="2">
        <f>IF(ISNUMBER(SEARCH(Лист2!$B$4,F:F)),1,0)</f>
        <v>0</v>
      </c>
      <c r="L1875" s="14">
        <f>IF(ISNUMBER(SEARCH(Лист2!$B$5,I:I)),1,0)+K1875</f>
        <v>0</v>
      </c>
      <c r="M1875" s="3">
        <f ca="1">IF(AND(N1875&lt;&gt;N1874,ISNUMBER(SEARCH(Лист2!$B$6,N:N)),L1875=2),MAX($M$3:OFFSET(M1875,-1,0))+1,0)</f>
        <v>0</v>
      </c>
      <c r="N1875" s="3" t="s">
        <v>1621</v>
      </c>
    </row>
    <row r="1876" spans="1:14" x14ac:dyDescent="0.25">
      <c r="A1876" s="1" t="s">
        <v>11332</v>
      </c>
      <c r="B1876" s="3" t="s">
        <v>5500</v>
      </c>
      <c r="C1876" s="2">
        <f ca="1">IF(ISNUMBER(SEARCH(Лист2!$B$4,D:D)),MAX($C$3:OFFSET(C1876,-1,0))+1,0)</f>
        <v>0</v>
      </c>
      <c r="E1876" s="9" t="str">
        <f t="shared" ca="1" si="41"/>
        <v/>
      </c>
      <c r="F1876" s="4" t="s">
        <v>7</v>
      </c>
      <c r="G1876" s="2">
        <f>IF(ISNUMBER(SEARCH(Лист2!$B$4,F:F)),1,0)</f>
        <v>0</v>
      </c>
      <c r="H1876" s="3">
        <f ca="1">IF(AND(I1876&lt;&gt;I1875,ISNUMBER(SEARCH(Лист2!$B$5,I:I)),G1876=1),MAX($H$3:OFFSET(H1876,-1,0))+1,0)</f>
        <v>0</v>
      </c>
      <c r="I1876" s="3" t="s">
        <v>224</v>
      </c>
      <c r="K1876" s="2">
        <f>IF(ISNUMBER(SEARCH(Лист2!$B$4,F:F)),1,0)</f>
        <v>0</v>
      </c>
      <c r="L1876" s="14">
        <f>IF(ISNUMBER(SEARCH(Лист2!$B$5,I:I)),1,0)+K1876</f>
        <v>0</v>
      </c>
      <c r="M1876" s="3">
        <f ca="1">IF(AND(N1876&lt;&gt;N1875,ISNUMBER(SEARCH(Лист2!$B$6,N:N)),L1876=2),MAX($M$3:OFFSET(M1876,-1,0))+1,0)</f>
        <v>0</v>
      </c>
      <c r="N1876" s="3" t="s">
        <v>1667</v>
      </c>
    </row>
    <row r="1877" spans="1:14" x14ac:dyDescent="0.25">
      <c r="A1877" s="1" t="s">
        <v>11333</v>
      </c>
      <c r="B1877" s="3" t="s">
        <v>5501</v>
      </c>
      <c r="C1877" s="2">
        <f ca="1">IF(ISNUMBER(SEARCH(Лист2!$B$4,D:D)),MAX($C$3:OFFSET(C1877,-1,0))+1,0)</f>
        <v>0</v>
      </c>
      <c r="E1877" s="9" t="str">
        <f t="shared" ca="1" si="41"/>
        <v/>
      </c>
      <c r="F1877" s="4" t="s">
        <v>7</v>
      </c>
      <c r="G1877" s="2">
        <f>IF(ISNUMBER(SEARCH(Лист2!$B$4,F:F)),1,0)</f>
        <v>0</v>
      </c>
      <c r="H1877" s="3">
        <f ca="1">IF(AND(I1877&lt;&gt;I1876,ISNUMBER(SEARCH(Лист2!$B$5,I:I)),G1877=1),MAX($H$3:OFFSET(H1877,-1,0))+1,0)</f>
        <v>0</v>
      </c>
      <c r="I1877" s="3" t="s">
        <v>224</v>
      </c>
      <c r="K1877" s="2">
        <f>IF(ISNUMBER(SEARCH(Лист2!$B$4,F:F)),1,0)</f>
        <v>0</v>
      </c>
      <c r="L1877" s="14">
        <f>IF(ISNUMBER(SEARCH(Лист2!$B$5,I:I)),1,0)+K1877</f>
        <v>0</v>
      </c>
      <c r="M1877" s="3">
        <f ca="1">IF(AND(N1877&lt;&gt;N1876,ISNUMBER(SEARCH(Лист2!$B$6,N:N)),L1877=2),MAX($M$3:OFFSET(M1877,-1,0))+1,0)</f>
        <v>0</v>
      </c>
      <c r="N1877" s="3" t="s">
        <v>602</v>
      </c>
    </row>
    <row r="1878" spans="1:14" x14ac:dyDescent="0.25">
      <c r="A1878" s="1" t="s">
        <v>11334</v>
      </c>
      <c r="B1878" s="3" t="s">
        <v>5502</v>
      </c>
      <c r="C1878" s="2">
        <f ca="1">IF(ISNUMBER(SEARCH(Лист2!$B$4,D:D)),MAX($C$3:OFFSET(C1878,-1,0))+1,0)</f>
        <v>0</v>
      </c>
      <c r="E1878" s="9" t="str">
        <f t="shared" ca="1" si="41"/>
        <v/>
      </c>
      <c r="F1878" s="4" t="s">
        <v>7</v>
      </c>
      <c r="G1878" s="2">
        <f>IF(ISNUMBER(SEARCH(Лист2!$B$4,F:F)),1,0)</f>
        <v>0</v>
      </c>
      <c r="H1878" s="3">
        <f ca="1">IF(AND(I1878&lt;&gt;I1877,ISNUMBER(SEARCH(Лист2!$B$5,I:I)),G1878=1),MAX($H$3:OFFSET(H1878,-1,0))+1,0)</f>
        <v>0</v>
      </c>
      <c r="I1878" s="3" t="s">
        <v>224</v>
      </c>
      <c r="K1878" s="2">
        <f>IF(ISNUMBER(SEARCH(Лист2!$B$4,F:F)),1,0)</f>
        <v>0</v>
      </c>
      <c r="L1878" s="14">
        <f>IF(ISNUMBER(SEARCH(Лист2!$B$5,I:I)),1,0)+K1878</f>
        <v>0</v>
      </c>
      <c r="M1878" s="3">
        <f ca="1">IF(AND(N1878&lt;&gt;N1877,ISNUMBER(SEARCH(Лист2!$B$6,N:N)),L1878=2),MAX($M$3:OFFSET(M1878,-1,0))+1,0)</f>
        <v>0</v>
      </c>
      <c r="N1878" s="3" t="s">
        <v>1673</v>
      </c>
    </row>
    <row r="1879" spans="1:14" x14ac:dyDescent="0.25">
      <c r="A1879" s="1" t="s">
        <v>11335</v>
      </c>
      <c r="B1879" s="3" t="s">
        <v>5503</v>
      </c>
      <c r="C1879" s="2">
        <f ca="1">IF(ISNUMBER(SEARCH(Лист2!$B$4,D:D)),MAX($C$3:OFFSET(C1879,-1,0))+1,0)</f>
        <v>0</v>
      </c>
      <c r="E1879" s="9" t="str">
        <f t="shared" ca="1" si="41"/>
        <v/>
      </c>
      <c r="F1879" s="4" t="s">
        <v>7</v>
      </c>
      <c r="G1879" s="2">
        <f>IF(ISNUMBER(SEARCH(Лист2!$B$4,F:F)),1,0)</f>
        <v>0</v>
      </c>
      <c r="H1879" s="3">
        <f ca="1">IF(AND(I1879&lt;&gt;I1878,ISNUMBER(SEARCH(Лист2!$B$5,I:I)),G1879=1),MAX($H$3:OFFSET(H1879,-1,0))+1,0)</f>
        <v>0</v>
      </c>
      <c r="I1879" s="3" t="s">
        <v>224</v>
      </c>
      <c r="K1879" s="2">
        <f>IF(ISNUMBER(SEARCH(Лист2!$B$4,F:F)),1,0)</f>
        <v>0</v>
      </c>
      <c r="L1879" s="14">
        <f>IF(ISNUMBER(SEARCH(Лист2!$B$5,I:I)),1,0)+K1879</f>
        <v>0</v>
      </c>
      <c r="M1879" s="3">
        <f ca="1">IF(AND(N1879&lt;&gt;N1878,ISNUMBER(SEARCH(Лист2!$B$6,N:N)),L1879=2),MAX($M$3:OFFSET(M1879,-1,0))+1,0)</f>
        <v>0</v>
      </c>
      <c r="N1879" s="3" t="s">
        <v>1674</v>
      </c>
    </row>
    <row r="1880" spans="1:14" x14ac:dyDescent="0.25">
      <c r="A1880" s="1" t="s">
        <v>11336</v>
      </c>
      <c r="B1880" s="3" t="s">
        <v>5504</v>
      </c>
      <c r="C1880" s="2">
        <f ca="1">IF(ISNUMBER(SEARCH(Лист2!$B$4,D:D)),MAX($C$3:OFFSET(C1880,-1,0))+1,0)</f>
        <v>0</v>
      </c>
      <c r="E1880" s="9" t="str">
        <f t="shared" ca="1" si="41"/>
        <v/>
      </c>
      <c r="F1880" s="4" t="s">
        <v>7</v>
      </c>
      <c r="G1880" s="2">
        <f>IF(ISNUMBER(SEARCH(Лист2!$B$4,F:F)),1,0)</f>
        <v>0</v>
      </c>
      <c r="H1880" s="3">
        <f ca="1">IF(AND(I1880&lt;&gt;I1879,ISNUMBER(SEARCH(Лист2!$B$5,I:I)),G1880=1),MAX($H$3:OFFSET(H1880,-1,0))+1,0)</f>
        <v>0</v>
      </c>
      <c r="I1880" s="3" t="s">
        <v>224</v>
      </c>
      <c r="K1880" s="2">
        <f>IF(ISNUMBER(SEARCH(Лист2!$B$4,F:F)),1,0)</f>
        <v>0</v>
      </c>
      <c r="L1880" s="14">
        <f>IF(ISNUMBER(SEARCH(Лист2!$B$5,I:I)),1,0)+K1880</f>
        <v>0</v>
      </c>
      <c r="M1880" s="3">
        <f ca="1">IF(AND(N1880&lt;&gt;N1879,ISNUMBER(SEARCH(Лист2!$B$6,N:N)),L1880=2),MAX($M$3:OFFSET(M1880,-1,0))+1,0)</f>
        <v>0</v>
      </c>
      <c r="N1880" s="3" t="s">
        <v>1675</v>
      </c>
    </row>
    <row r="1881" spans="1:14" x14ac:dyDescent="0.25">
      <c r="A1881" s="1" t="s">
        <v>11337</v>
      </c>
      <c r="B1881" s="3" t="s">
        <v>5505</v>
      </c>
      <c r="C1881" s="2">
        <f ca="1">IF(ISNUMBER(SEARCH(Лист2!$B$4,D:D)),MAX($C$3:OFFSET(C1881,-1,0))+1,0)</f>
        <v>0</v>
      </c>
      <c r="E1881" s="9" t="str">
        <f t="shared" ca="1" si="41"/>
        <v/>
      </c>
      <c r="F1881" s="4" t="s">
        <v>7</v>
      </c>
      <c r="G1881" s="2">
        <f>IF(ISNUMBER(SEARCH(Лист2!$B$4,F:F)),1,0)</f>
        <v>0</v>
      </c>
      <c r="H1881" s="3">
        <f ca="1">IF(AND(I1881&lt;&gt;I1880,ISNUMBER(SEARCH(Лист2!$B$5,I:I)),G1881=1),MAX($H$3:OFFSET(H1881,-1,0))+1,0)</f>
        <v>0</v>
      </c>
      <c r="I1881" s="3" t="s">
        <v>225</v>
      </c>
      <c r="K1881" s="2">
        <f>IF(ISNUMBER(SEARCH(Лист2!$B$4,F:F)),1,0)</f>
        <v>0</v>
      </c>
      <c r="L1881" s="14">
        <f>IF(ISNUMBER(SEARCH(Лист2!$B$5,I:I)),1,0)+K1881</f>
        <v>0</v>
      </c>
      <c r="M1881" s="3">
        <f ca="1">IF(AND(N1881&lt;&gt;N1880,ISNUMBER(SEARCH(Лист2!$B$6,N:N)),L1881=2),MAX($M$3:OFFSET(M1881,-1,0))+1,0)</f>
        <v>0</v>
      </c>
      <c r="N1881" s="3" t="s">
        <v>1676</v>
      </c>
    </row>
    <row r="1882" spans="1:14" x14ac:dyDescent="0.25">
      <c r="A1882" s="1" t="s">
        <v>11338</v>
      </c>
      <c r="B1882" s="3" t="s">
        <v>5506</v>
      </c>
      <c r="C1882" s="2">
        <f ca="1">IF(ISNUMBER(SEARCH(Лист2!$B$4,D:D)),MAX($C$3:OFFSET(C1882,-1,0))+1,0)</f>
        <v>0</v>
      </c>
      <c r="E1882" s="9" t="str">
        <f t="shared" ca="1" si="41"/>
        <v/>
      </c>
      <c r="F1882" s="4" t="s">
        <v>7</v>
      </c>
      <c r="G1882" s="2">
        <f>IF(ISNUMBER(SEARCH(Лист2!$B$4,F:F)),1,0)</f>
        <v>0</v>
      </c>
      <c r="H1882" s="3">
        <f ca="1">IF(AND(I1882&lt;&gt;I1881,ISNUMBER(SEARCH(Лист2!$B$5,I:I)),G1882=1),MAX($H$3:OFFSET(H1882,-1,0))+1,0)</f>
        <v>0</v>
      </c>
      <c r="I1882" s="3" t="s">
        <v>225</v>
      </c>
      <c r="K1882" s="2">
        <f>IF(ISNUMBER(SEARCH(Лист2!$B$4,F:F)),1,0)</f>
        <v>0</v>
      </c>
      <c r="L1882" s="14">
        <f>IF(ISNUMBER(SEARCH(Лист2!$B$5,I:I)),1,0)+K1882</f>
        <v>0</v>
      </c>
      <c r="M1882" s="3">
        <f ca="1">IF(AND(N1882&lt;&gt;N1881,ISNUMBER(SEARCH(Лист2!$B$6,N:N)),L1882=2),MAX($M$3:OFFSET(M1882,-1,0))+1,0)</f>
        <v>0</v>
      </c>
      <c r="N1882" s="3" t="s">
        <v>1677</v>
      </c>
    </row>
    <row r="1883" spans="1:14" x14ac:dyDescent="0.25">
      <c r="A1883" s="1" t="s">
        <v>11338</v>
      </c>
      <c r="B1883" s="3" t="s">
        <v>5507</v>
      </c>
      <c r="C1883" s="2">
        <f ca="1">IF(ISNUMBER(SEARCH(Лист2!$B$4,D:D)),MAX($C$3:OFFSET(C1883,-1,0))+1,0)</f>
        <v>0</v>
      </c>
      <c r="E1883" s="9" t="str">
        <f t="shared" ca="1" si="41"/>
        <v/>
      </c>
      <c r="F1883" s="4" t="s">
        <v>7</v>
      </c>
      <c r="G1883" s="2">
        <f>IF(ISNUMBER(SEARCH(Лист2!$B$4,F:F)),1,0)</f>
        <v>0</v>
      </c>
      <c r="H1883" s="3">
        <f ca="1">IF(AND(I1883&lt;&gt;I1882,ISNUMBER(SEARCH(Лист2!$B$5,I:I)),G1883=1),MAX($H$3:OFFSET(H1883,-1,0))+1,0)</f>
        <v>0</v>
      </c>
      <c r="I1883" s="3" t="s">
        <v>225</v>
      </c>
      <c r="K1883" s="2">
        <f>IF(ISNUMBER(SEARCH(Лист2!$B$4,F:F)),1,0)</f>
        <v>0</v>
      </c>
      <c r="L1883" s="14">
        <f>IF(ISNUMBER(SEARCH(Лист2!$B$5,I:I)),1,0)+K1883</f>
        <v>0</v>
      </c>
      <c r="M1883" s="3">
        <f ca="1">IF(AND(N1883&lt;&gt;N1882,ISNUMBER(SEARCH(Лист2!$B$6,N:N)),L1883=2),MAX($M$3:OFFSET(M1883,-1,0))+1,0)</f>
        <v>0</v>
      </c>
      <c r="N1883" s="3" t="s">
        <v>1677</v>
      </c>
    </row>
    <row r="1884" spans="1:14" x14ac:dyDescent="0.25">
      <c r="A1884" s="1" t="s">
        <v>11339</v>
      </c>
      <c r="B1884" s="3" t="s">
        <v>5508</v>
      </c>
      <c r="C1884" s="2">
        <f ca="1">IF(ISNUMBER(SEARCH(Лист2!$B$4,D:D)),MAX($C$3:OFFSET(C1884,-1,0))+1,0)</f>
        <v>0</v>
      </c>
      <c r="E1884" s="9" t="str">
        <f t="shared" ca="1" si="41"/>
        <v/>
      </c>
      <c r="F1884" s="4" t="s">
        <v>7</v>
      </c>
      <c r="G1884" s="2">
        <f>IF(ISNUMBER(SEARCH(Лист2!$B$4,F:F)),1,0)</f>
        <v>0</v>
      </c>
      <c r="H1884" s="3">
        <f ca="1">IF(AND(I1884&lt;&gt;I1883,ISNUMBER(SEARCH(Лист2!$B$5,I:I)),G1884=1),MAX($H$3:OFFSET(H1884,-1,0))+1,0)</f>
        <v>0</v>
      </c>
      <c r="I1884" s="3" t="s">
        <v>225</v>
      </c>
      <c r="K1884" s="2">
        <f>IF(ISNUMBER(SEARCH(Лист2!$B$4,F:F)),1,0)</f>
        <v>0</v>
      </c>
      <c r="L1884" s="14">
        <f>IF(ISNUMBER(SEARCH(Лист2!$B$5,I:I)),1,0)+K1884</f>
        <v>0</v>
      </c>
      <c r="M1884" s="3">
        <f ca="1">IF(AND(N1884&lt;&gt;N1883,ISNUMBER(SEARCH(Лист2!$B$6,N:N)),L1884=2),MAX($M$3:OFFSET(M1884,-1,0))+1,0)</f>
        <v>0</v>
      </c>
      <c r="N1884" s="3" t="s">
        <v>1678</v>
      </c>
    </row>
    <row r="1885" spans="1:14" x14ac:dyDescent="0.25">
      <c r="A1885" s="1" t="s">
        <v>11340</v>
      </c>
      <c r="B1885" s="3" t="s">
        <v>5509</v>
      </c>
      <c r="C1885" s="2">
        <f ca="1">IF(ISNUMBER(SEARCH(Лист2!$B$4,D:D)),MAX($C$3:OFFSET(C1885,-1,0))+1,0)</f>
        <v>0</v>
      </c>
      <c r="E1885" s="9" t="str">
        <f t="shared" ca="1" si="41"/>
        <v/>
      </c>
      <c r="F1885" s="4" t="s">
        <v>7</v>
      </c>
      <c r="G1885" s="2">
        <f>IF(ISNUMBER(SEARCH(Лист2!$B$4,F:F)),1,0)</f>
        <v>0</v>
      </c>
      <c r="H1885" s="3">
        <f ca="1">IF(AND(I1885&lt;&gt;I1884,ISNUMBER(SEARCH(Лист2!$B$5,I:I)),G1885=1),MAX($H$3:OFFSET(H1885,-1,0))+1,0)</f>
        <v>0</v>
      </c>
      <c r="I1885" s="3" t="s">
        <v>225</v>
      </c>
      <c r="K1885" s="2">
        <f>IF(ISNUMBER(SEARCH(Лист2!$B$4,F:F)),1,0)</f>
        <v>0</v>
      </c>
      <c r="L1885" s="14">
        <f>IF(ISNUMBER(SEARCH(Лист2!$B$5,I:I)),1,0)+K1885</f>
        <v>0</v>
      </c>
      <c r="M1885" s="3">
        <f ca="1">IF(AND(N1885&lt;&gt;N1884,ISNUMBER(SEARCH(Лист2!$B$6,N:N)),L1885=2),MAX($M$3:OFFSET(M1885,-1,0))+1,0)</f>
        <v>0</v>
      </c>
      <c r="N1885" s="3" t="s">
        <v>1620</v>
      </c>
    </row>
    <row r="1886" spans="1:14" x14ac:dyDescent="0.25">
      <c r="A1886" s="1" t="s">
        <v>11341</v>
      </c>
      <c r="B1886" s="3" t="s">
        <v>5510</v>
      </c>
      <c r="C1886" s="2">
        <f ca="1">IF(ISNUMBER(SEARCH(Лист2!$B$4,D:D)),MAX($C$3:OFFSET(C1886,-1,0))+1,0)</f>
        <v>0</v>
      </c>
      <c r="E1886" s="9" t="str">
        <f t="shared" ca="1" si="41"/>
        <v/>
      </c>
      <c r="F1886" s="4" t="s">
        <v>7</v>
      </c>
      <c r="G1886" s="2">
        <f>IF(ISNUMBER(SEARCH(Лист2!$B$4,F:F)),1,0)</f>
        <v>0</v>
      </c>
      <c r="H1886" s="3">
        <f ca="1">IF(AND(I1886&lt;&gt;I1885,ISNUMBER(SEARCH(Лист2!$B$5,I:I)),G1886=1),MAX($H$3:OFFSET(H1886,-1,0))+1,0)</f>
        <v>0</v>
      </c>
      <c r="I1886" s="3" t="s">
        <v>225</v>
      </c>
      <c r="K1886" s="2">
        <f>IF(ISNUMBER(SEARCH(Лист2!$B$4,F:F)),1,0)</f>
        <v>0</v>
      </c>
      <c r="L1886" s="14">
        <f>IF(ISNUMBER(SEARCH(Лист2!$B$5,I:I)),1,0)+K1886</f>
        <v>0</v>
      </c>
      <c r="M1886" s="3">
        <f ca="1">IF(AND(N1886&lt;&gt;N1885,ISNUMBER(SEARCH(Лист2!$B$6,N:N)),L1886=2),MAX($M$3:OFFSET(M1886,-1,0))+1,0)</f>
        <v>0</v>
      </c>
      <c r="N1886" s="3" t="s">
        <v>1634</v>
      </c>
    </row>
    <row r="1887" spans="1:14" x14ac:dyDescent="0.25">
      <c r="A1887" s="1" t="s">
        <v>11342</v>
      </c>
      <c r="B1887" s="3" t="s">
        <v>5511</v>
      </c>
      <c r="C1887" s="2">
        <f ca="1">IF(ISNUMBER(SEARCH(Лист2!$B$4,D:D)),MAX($C$3:OFFSET(C1887,-1,0))+1,0)</f>
        <v>0</v>
      </c>
      <c r="E1887" s="9" t="str">
        <f t="shared" ca="1" si="41"/>
        <v/>
      </c>
      <c r="F1887" s="4" t="s">
        <v>7</v>
      </c>
      <c r="G1887" s="2">
        <f>IF(ISNUMBER(SEARCH(Лист2!$B$4,F:F)),1,0)</f>
        <v>0</v>
      </c>
      <c r="H1887" s="3">
        <f ca="1">IF(AND(I1887&lt;&gt;I1886,ISNUMBER(SEARCH(Лист2!$B$5,I:I)),G1887=1),MAX($H$3:OFFSET(H1887,-1,0))+1,0)</f>
        <v>0</v>
      </c>
      <c r="I1887" s="3" t="s">
        <v>225</v>
      </c>
      <c r="K1887" s="2">
        <f>IF(ISNUMBER(SEARCH(Лист2!$B$4,F:F)),1,0)</f>
        <v>0</v>
      </c>
      <c r="L1887" s="14">
        <f>IF(ISNUMBER(SEARCH(Лист2!$B$5,I:I)),1,0)+K1887</f>
        <v>0</v>
      </c>
      <c r="M1887" s="3">
        <f ca="1">IF(AND(N1887&lt;&gt;N1886,ISNUMBER(SEARCH(Лист2!$B$6,N:N)),L1887=2),MAX($M$3:OFFSET(M1887,-1,0))+1,0)</f>
        <v>0</v>
      </c>
      <c r="N1887" s="3" t="s">
        <v>602</v>
      </c>
    </row>
    <row r="1888" spans="1:14" x14ac:dyDescent="0.25">
      <c r="A1888" s="1" t="s">
        <v>11343</v>
      </c>
      <c r="B1888" s="3" t="s">
        <v>5512</v>
      </c>
      <c r="C1888" s="2">
        <f ca="1">IF(ISNUMBER(SEARCH(Лист2!$B$4,D:D)),MAX($C$3:OFFSET(C1888,-1,0))+1,0)</f>
        <v>0</v>
      </c>
      <c r="E1888" s="9" t="str">
        <f t="shared" ca="1" si="41"/>
        <v/>
      </c>
      <c r="F1888" s="4" t="s">
        <v>7</v>
      </c>
      <c r="G1888" s="2">
        <f>IF(ISNUMBER(SEARCH(Лист2!$B$4,F:F)),1,0)</f>
        <v>0</v>
      </c>
      <c r="H1888" s="3">
        <f ca="1">IF(AND(I1888&lt;&gt;I1887,ISNUMBER(SEARCH(Лист2!$B$5,I:I)),G1888=1),MAX($H$3:OFFSET(H1888,-1,0))+1,0)</f>
        <v>0</v>
      </c>
      <c r="I1888" s="3" t="s">
        <v>225</v>
      </c>
      <c r="K1888" s="2">
        <f>IF(ISNUMBER(SEARCH(Лист2!$B$4,F:F)),1,0)</f>
        <v>0</v>
      </c>
      <c r="L1888" s="14">
        <f>IF(ISNUMBER(SEARCH(Лист2!$B$5,I:I)),1,0)+K1888</f>
        <v>0</v>
      </c>
      <c r="M1888" s="3">
        <f ca="1">IF(AND(N1888&lt;&gt;N1887,ISNUMBER(SEARCH(Лист2!$B$6,N:N)),L1888=2),MAX($M$3:OFFSET(M1888,-1,0))+1,0)</f>
        <v>0</v>
      </c>
      <c r="N1888" s="3" t="s">
        <v>1679</v>
      </c>
    </row>
    <row r="1889" spans="1:14" x14ac:dyDescent="0.25">
      <c r="A1889" s="1" t="s">
        <v>11344</v>
      </c>
      <c r="B1889" s="3" t="s">
        <v>5513</v>
      </c>
      <c r="C1889" s="2">
        <f ca="1">IF(ISNUMBER(SEARCH(Лист2!$B$4,D:D)),MAX($C$3:OFFSET(C1889,-1,0))+1,0)</f>
        <v>0</v>
      </c>
      <c r="E1889" s="9" t="str">
        <f t="shared" ca="1" si="41"/>
        <v/>
      </c>
      <c r="F1889" s="4" t="s">
        <v>7</v>
      </c>
      <c r="G1889" s="2">
        <f>IF(ISNUMBER(SEARCH(Лист2!$B$4,F:F)),1,0)</f>
        <v>0</v>
      </c>
      <c r="H1889" s="3">
        <f ca="1">IF(AND(I1889&lt;&gt;I1888,ISNUMBER(SEARCH(Лист2!$B$5,I:I)),G1889=1),MAX($H$3:OFFSET(H1889,-1,0))+1,0)</f>
        <v>0</v>
      </c>
      <c r="I1889" s="3" t="s">
        <v>225</v>
      </c>
      <c r="K1889" s="2">
        <f>IF(ISNUMBER(SEARCH(Лист2!$B$4,F:F)),1,0)</f>
        <v>0</v>
      </c>
      <c r="L1889" s="14">
        <f>IF(ISNUMBER(SEARCH(Лист2!$B$5,I:I)),1,0)+K1889</f>
        <v>0</v>
      </c>
      <c r="M1889" s="3">
        <f ca="1">IF(AND(N1889&lt;&gt;N1888,ISNUMBER(SEARCH(Лист2!$B$6,N:N)),L1889=2),MAX($M$3:OFFSET(M1889,-1,0))+1,0)</f>
        <v>0</v>
      </c>
      <c r="N1889" s="3" t="s">
        <v>1680</v>
      </c>
    </row>
    <row r="1890" spans="1:14" x14ac:dyDescent="0.25">
      <c r="A1890" s="1" t="s">
        <v>11345</v>
      </c>
      <c r="B1890" s="3" t="s">
        <v>5514</v>
      </c>
      <c r="C1890" s="2">
        <f ca="1">IF(ISNUMBER(SEARCH(Лист2!$B$4,D:D)),MAX($C$3:OFFSET(C1890,-1,0))+1,0)</f>
        <v>0</v>
      </c>
      <c r="E1890" s="9" t="str">
        <f t="shared" ca="1" si="41"/>
        <v/>
      </c>
      <c r="F1890" s="4" t="s">
        <v>7</v>
      </c>
      <c r="G1890" s="2">
        <f>IF(ISNUMBER(SEARCH(Лист2!$B$4,F:F)),1,0)</f>
        <v>0</v>
      </c>
      <c r="H1890" s="3">
        <f ca="1">IF(AND(I1890&lt;&gt;I1889,ISNUMBER(SEARCH(Лист2!$B$5,I:I)),G1890=1),MAX($H$3:OFFSET(H1890,-1,0))+1,0)</f>
        <v>0</v>
      </c>
      <c r="I1890" s="3" t="s">
        <v>225</v>
      </c>
      <c r="K1890" s="2">
        <f>IF(ISNUMBER(SEARCH(Лист2!$B$4,F:F)),1,0)</f>
        <v>0</v>
      </c>
      <c r="L1890" s="14">
        <f>IF(ISNUMBER(SEARCH(Лист2!$B$5,I:I)),1,0)+K1890</f>
        <v>0</v>
      </c>
      <c r="M1890" s="3">
        <f ca="1">IF(AND(N1890&lt;&gt;N1889,ISNUMBER(SEARCH(Лист2!$B$6,N:N)),L1890=2),MAX($M$3:OFFSET(M1890,-1,0))+1,0)</f>
        <v>0</v>
      </c>
      <c r="N1890" s="3" t="s">
        <v>1681</v>
      </c>
    </row>
    <row r="1891" spans="1:14" x14ac:dyDescent="0.25">
      <c r="A1891" s="1" t="s">
        <v>11346</v>
      </c>
      <c r="B1891" s="3" t="s">
        <v>5515</v>
      </c>
      <c r="C1891" s="2">
        <f ca="1">IF(ISNUMBER(SEARCH(Лист2!$B$4,D:D)),MAX($C$3:OFFSET(C1891,-1,0))+1,0)</f>
        <v>0</v>
      </c>
      <c r="E1891" s="9" t="str">
        <f t="shared" ca="1" si="41"/>
        <v/>
      </c>
      <c r="F1891" s="4" t="s">
        <v>7</v>
      </c>
      <c r="G1891" s="2">
        <f>IF(ISNUMBER(SEARCH(Лист2!$B$4,F:F)),1,0)</f>
        <v>0</v>
      </c>
      <c r="H1891" s="3">
        <f ca="1">IF(AND(I1891&lt;&gt;I1890,ISNUMBER(SEARCH(Лист2!$B$5,I:I)),G1891=1),MAX($H$3:OFFSET(H1891,-1,0))+1,0)</f>
        <v>0</v>
      </c>
      <c r="I1891" s="3" t="s">
        <v>226</v>
      </c>
      <c r="K1891" s="2">
        <f>IF(ISNUMBER(SEARCH(Лист2!$B$4,F:F)),1,0)</f>
        <v>0</v>
      </c>
      <c r="L1891" s="14">
        <f>IF(ISNUMBER(SEARCH(Лист2!$B$5,I:I)),1,0)+K1891</f>
        <v>0</v>
      </c>
      <c r="M1891" s="3">
        <f ca="1">IF(AND(N1891&lt;&gt;N1890,ISNUMBER(SEARCH(Лист2!$B$6,N:N)),L1891=2),MAX($M$3:OFFSET(M1891,-1,0))+1,0)</f>
        <v>0</v>
      </c>
      <c r="N1891" s="3" t="s">
        <v>1682</v>
      </c>
    </row>
    <row r="1892" spans="1:14" x14ac:dyDescent="0.25">
      <c r="A1892" s="1" t="s">
        <v>11347</v>
      </c>
      <c r="B1892" s="3" t="s">
        <v>5516</v>
      </c>
      <c r="C1892" s="2">
        <f ca="1">IF(ISNUMBER(SEARCH(Лист2!$B$4,D:D)),MAX($C$3:OFFSET(C1892,-1,0))+1,0)</f>
        <v>0</v>
      </c>
      <c r="E1892" s="9" t="str">
        <f t="shared" ca="1" si="41"/>
        <v/>
      </c>
      <c r="F1892" s="4" t="s">
        <v>7</v>
      </c>
      <c r="G1892" s="2">
        <f>IF(ISNUMBER(SEARCH(Лист2!$B$4,F:F)),1,0)</f>
        <v>0</v>
      </c>
      <c r="H1892" s="3">
        <f ca="1">IF(AND(I1892&lt;&gt;I1891,ISNUMBER(SEARCH(Лист2!$B$5,I:I)),G1892=1),MAX($H$3:OFFSET(H1892,-1,0))+1,0)</f>
        <v>0</v>
      </c>
      <c r="I1892" s="3" t="s">
        <v>226</v>
      </c>
      <c r="K1892" s="2">
        <f>IF(ISNUMBER(SEARCH(Лист2!$B$4,F:F)),1,0)</f>
        <v>0</v>
      </c>
      <c r="L1892" s="14">
        <f>IF(ISNUMBER(SEARCH(Лист2!$B$5,I:I)),1,0)+K1892</f>
        <v>0</v>
      </c>
      <c r="M1892" s="3">
        <f ca="1">IF(AND(N1892&lt;&gt;N1891,ISNUMBER(SEARCH(Лист2!$B$6,N:N)),L1892=2),MAX($M$3:OFFSET(M1892,-1,0))+1,0)</f>
        <v>0</v>
      </c>
      <c r="N1892" s="3" t="s">
        <v>1683</v>
      </c>
    </row>
    <row r="1893" spans="1:14" x14ac:dyDescent="0.25">
      <c r="A1893" s="1" t="s">
        <v>11347</v>
      </c>
      <c r="B1893" s="3" t="s">
        <v>5517</v>
      </c>
      <c r="C1893" s="2">
        <f ca="1">IF(ISNUMBER(SEARCH(Лист2!$B$4,D:D)),MAX($C$3:OFFSET(C1893,-1,0))+1,0)</f>
        <v>0</v>
      </c>
      <c r="E1893" s="9" t="str">
        <f t="shared" ca="1" si="41"/>
        <v/>
      </c>
      <c r="F1893" s="4" t="s">
        <v>7</v>
      </c>
      <c r="G1893" s="2">
        <f>IF(ISNUMBER(SEARCH(Лист2!$B$4,F:F)),1,0)</f>
        <v>0</v>
      </c>
      <c r="H1893" s="3">
        <f ca="1">IF(AND(I1893&lt;&gt;I1892,ISNUMBER(SEARCH(Лист2!$B$5,I:I)),G1893=1),MAX($H$3:OFFSET(H1893,-1,0))+1,0)</f>
        <v>0</v>
      </c>
      <c r="I1893" s="3" t="s">
        <v>226</v>
      </c>
      <c r="K1893" s="2">
        <f>IF(ISNUMBER(SEARCH(Лист2!$B$4,F:F)),1,0)</f>
        <v>0</v>
      </c>
      <c r="L1893" s="14">
        <f>IF(ISNUMBER(SEARCH(Лист2!$B$5,I:I)),1,0)+K1893</f>
        <v>0</v>
      </c>
      <c r="M1893" s="3">
        <f ca="1">IF(AND(N1893&lt;&gt;N1892,ISNUMBER(SEARCH(Лист2!$B$6,N:N)),L1893=2),MAX($M$3:OFFSET(M1893,-1,0))+1,0)</f>
        <v>0</v>
      </c>
      <c r="N1893" s="3" t="s">
        <v>1683</v>
      </c>
    </row>
    <row r="1894" spans="1:14" x14ac:dyDescent="0.25">
      <c r="A1894" s="1" t="s">
        <v>11348</v>
      </c>
      <c r="B1894" s="3" t="s">
        <v>5518</v>
      </c>
      <c r="C1894" s="2">
        <f ca="1">IF(ISNUMBER(SEARCH(Лист2!$B$4,D:D)),MAX($C$3:OFFSET(C1894,-1,0))+1,0)</f>
        <v>0</v>
      </c>
      <c r="E1894" s="9" t="str">
        <f t="shared" ca="1" si="41"/>
        <v/>
      </c>
      <c r="F1894" s="4" t="s">
        <v>7</v>
      </c>
      <c r="G1894" s="2">
        <f>IF(ISNUMBER(SEARCH(Лист2!$B$4,F:F)),1,0)</f>
        <v>0</v>
      </c>
      <c r="H1894" s="3">
        <f ca="1">IF(AND(I1894&lt;&gt;I1893,ISNUMBER(SEARCH(Лист2!$B$5,I:I)),G1894=1),MAX($H$3:OFFSET(H1894,-1,0))+1,0)</f>
        <v>0</v>
      </c>
      <c r="I1894" s="3" t="s">
        <v>226</v>
      </c>
      <c r="K1894" s="2">
        <f>IF(ISNUMBER(SEARCH(Лист2!$B$4,F:F)),1,0)</f>
        <v>0</v>
      </c>
      <c r="L1894" s="14">
        <f>IF(ISNUMBER(SEARCH(Лист2!$B$5,I:I)),1,0)+K1894</f>
        <v>0</v>
      </c>
      <c r="M1894" s="3">
        <f ca="1">IF(AND(N1894&lt;&gt;N1893,ISNUMBER(SEARCH(Лист2!$B$6,N:N)),L1894=2),MAX($M$3:OFFSET(M1894,-1,0))+1,0)</f>
        <v>0</v>
      </c>
      <c r="N1894" s="3" t="s">
        <v>1684</v>
      </c>
    </row>
    <row r="1895" spans="1:14" x14ac:dyDescent="0.25">
      <c r="A1895" s="1" t="s">
        <v>11349</v>
      </c>
      <c r="B1895" s="3" t="s">
        <v>5519</v>
      </c>
      <c r="C1895" s="2">
        <f ca="1">IF(ISNUMBER(SEARCH(Лист2!$B$4,D:D)),MAX($C$3:OFFSET(C1895,-1,0))+1,0)</f>
        <v>0</v>
      </c>
      <c r="E1895" s="9" t="str">
        <f t="shared" ca="1" si="41"/>
        <v/>
      </c>
      <c r="F1895" s="4" t="s">
        <v>7</v>
      </c>
      <c r="G1895" s="2">
        <f>IF(ISNUMBER(SEARCH(Лист2!$B$4,F:F)),1,0)</f>
        <v>0</v>
      </c>
      <c r="H1895" s="3">
        <f ca="1">IF(AND(I1895&lt;&gt;I1894,ISNUMBER(SEARCH(Лист2!$B$5,I:I)),G1895=1),MAX($H$3:OFFSET(H1895,-1,0))+1,0)</f>
        <v>0</v>
      </c>
      <c r="I1895" s="3" t="s">
        <v>226</v>
      </c>
      <c r="K1895" s="2">
        <f>IF(ISNUMBER(SEARCH(Лист2!$B$4,F:F)),1,0)</f>
        <v>0</v>
      </c>
      <c r="L1895" s="14">
        <f>IF(ISNUMBER(SEARCH(Лист2!$B$5,I:I)),1,0)+K1895</f>
        <v>0</v>
      </c>
      <c r="M1895" s="3">
        <f ca="1">IF(AND(N1895&lt;&gt;N1894,ISNUMBER(SEARCH(Лист2!$B$6,N:N)),L1895=2),MAX($M$3:OFFSET(M1895,-1,0))+1,0)</f>
        <v>0</v>
      </c>
      <c r="N1895" s="3" t="s">
        <v>1620</v>
      </c>
    </row>
    <row r="1896" spans="1:14" x14ac:dyDescent="0.25">
      <c r="A1896" s="1" t="s">
        <v>11350</v>
      </c>
      <c r="B1896" s="3" t="s">
        <v>5520</v>
      </c>
      <c r="C1896" s="2">
        <f ca="1">IF(ISNUMBER(SEARCH(Лист2!$B$4,D:D)),MAX($C$3:OFFSET(C1896,-1,0))+1,0)</f>
        <v>0</v>
      </c>
      <c r="E1896" s="9" t="str">
        <f t="shared" ca="1" si="41"/>
        <v/>
      </c>
      <c r="F1896" s="4" t="s">
        <v>7</v>
      </c>
      <c r="G1896" s="2">
        <f>IF(ISNUMBER(SEARCH(Лист2!$B$4,F:F)),1,0)</f>
        <v>0</v>
      </c>
      <c r="H1896" s="3">
        <f ca="1">IF(AND(I1896&lt;&gt;I1895,ISNUMBER(SEARCH(Лист2!$B$5,I:I)),G1896=1),MAX($H$3:OFFSET(H1896,-1,0))+1,0)</f>
        <v>0</v>
      </c>
      <c r="I1896" s="3" t="s">
        <v>226</v>
      </c>
      <c r="K1896" s="2">
        <f>IF(ISNUMBER(SEARCH(Лист2!$B$4,F:F)),1,0)</f>
        <v>0</v>
      </c>
      <c r="L1896" s="14">
        <f>IF(ISNUMBER(SEARCH(Лист2!$B$5,I:I)),1,0)+K1896</f>
        <v>0</v>
      </c>
      <c r="M1896" s="3">
        <f ca="1">IF(AND(N1896&lt;&gt;N1895,ISNUMBER(SEARCH(Лист2!$B$6,N:N)),L1896=2),MAX($M$3:OFFSET(M1896,-1,0))+1,0)</f>
        <v>0</v>
      </c>
      <c r="N1896" s="3" t="s">
        <v>1634</v>
      </c>
    </row>
    <row r="1897" spans="1:14" x14ac:dyDescent="0.25">
      <c r="A1897" s="1" t="s">
        <v>11351</v>
      </c>
      <c r="B1897" s="3" t="s">
        <v>5521</v>
      </c>
      <c r="C1897" s="2">
        <f ca="1">IF(ISNUMBER(SEARCH(Лист2!$B$4,D:D)),MAX($C$3:OFFSET(C1897,-1,0))+1,0)</f>
        <v>0</v>
      </c>
      <c r="E1897" s="9" t="str">
        <f t="shared" ca="1" si="41"/>
        <v/>
      </c>
      <c r="F1897" s="4" t="s">
        <v>7</v>
      </c>
      <c r="G1897" s="2">
        <f>IF(ISNUMBER(SEARCH(Лист2!$B$4,F:F)),1,0)</f>
        <v>0</v>
      </c>
      <c r="H1897" s="3">
        <f ca="1">IF(AND(I1897&lt;&gt;I1896,ISNUMBER(SEARCH(Лист2!$B$5,I:I)),G1897=1),MAX($H$3:OFFSET(H1897,-1,0))+1,0)</f>
        <v>0</v>
      </c>
      <c r="I1897" s="3" t="s">
        <v>226</v>
      </c>
      <c r="K1897" s="2">
        <f>IF(ISNUMBER(SEARCH(Лист2!$B$4,F:F)),1,0)</f>
        <v>0</v>
      </c>
      <c r="L1897" s="14">
        <f>IF(ISNUMBER(SEARCH(Лист2!$B$5,I:I)),1,0)+K1897</f>
        <v>0</v>
      </c>
      <c r="M1897" s="3">
        <f ca="1">IF(AND(N1897&lt;&gt;N1896,ISNUMBER(SEARCH(Лист2!$B$6,N:N)),L1897=2),MAX($M$3:OFFSET(M1897,-1,0))+1,0)</f>
        <v>0</v>
      </c>
      <c r="N1897" s="3" t="s">
        <v>602</v>
      </c>
    </row>
    <row r="1898" spans="1:14" x14ac:dyDescent="0.25">
      <c r="A1898" s="1" t="s">
        <v>11352</v>
      </c>
      <c r="B1898" s="3" t="s">
        <v>5522</v>
      </c>
      <c r="C1898" s="2">
        <f ca="1">IF(ISNUMBER(SEARCH(Лист2!$B$4,D:D)),MAX($C$3:OFFSET(C1898,-1,0))+1,0)</f>
        <v>0</v>
      </c>
      <c r="E1898" s="9" t="str">
        <f t="shared" ca="1" si="41"/>
        <v/>
      </c>
      <c r="F1898" s="4" t="s">
        <v>7</v>
      </c>
      <c r="G1898" s="2">
        <f>IF(ISNUMBER(SEARCH(Лист2!$B$4,F:F)),1,0)</f>
        <v>0</v>
      </c>
      <c r="H1898" s="3">
        <f ca="1">IF(AND(I1898&lt;&gt;I1897,ISNUMBER(SEARCH(Лист2!$B$5,I:I)),G1898=1),MAX($H$3:OFFSET(H1898,-1,0))+1,0)</f>
        <v>0</v>
      </c>
      <c r="I1898" s="3" t="s">
        <v>226</v>
      </c>
      <c r="K1898" s="2">
        <f>IF(ISNUMBER(SEARCH(Лист2!$B$4,F:F)),1,0)</f>
        <v>0</v>
      </c>
      <c r="L1898" s="14">
        <f>IF(ISNUMBER(SEARCH(Лист2!$B$5,I:I)),1,0)+K1898</f>
        <v>0</v>
      </c>
      <c r="M1898" s="3">
        <f ca="1">IF(AND(N1898&lt;&gt;N1897,ISNUMBER(SEARCH(Лист2!$B$6,N:N)),L1898=2),MAX($M$3:OFFSET(M1898,-1,0))+1,0)</f>
        <v>0</v>
      </c>
      <c r="N1898" s="3" t="s">
        <v>1685</v>
      </c>
    </row>
    <row r="1899" spans="1:14" x14ac:dyDescent="0.25">
      <c r="A1899" s="1" t="s">
        <v>11353</v>
      </c>
      <c r="B1899" s="3" t="s">
        <v>5523</v>
      </c>
      <c r="C1899" s="2">
        <f ca="1">IF(ISNUMBER(SEARCH(Лист2!$B$4,D:D)),MAX($C$3:OFFSET(C1899,-1,0))+1,0)</f>
        <v>0</v>
      </c>
      <c r="E1899" s="9" t="str">
        <f t="shared" ca="1" si="41"/>
        <v/>
      </c>
      <c r="F1899" s="4" t="s">
        <v>7</v>
      </c>
      <c r="G1899" s="2">
        <f>IF(ISNUMBER(SEARCH(Лист2!$B$4,F:F)),1,0)</f>
        <v>0</v>
      </c>
      <c r="H1899" s="3">
        <f ca="1">IF(AND(I1899&lt;&gt;I1898,ISNUMBER(SEARCH(Лист2!$B$5,I:I)),G1899=1),MAX($H$3:OFFSET(H1899,-1,0))+1,0)</f>
        <v>0</v>
      </c>
      <c r="I1899" s="3" t="s">
        <v>226</v>
      </c>
      <c r="K1899" s="2">
        <f>IF(ISNUMBER(SEARCH(Лист2!$B$4,F:F)),1,0)</f>
        <v>0</v>
      </c>
      <c r="L1899" s="14">
        <f>IF(ISNUMBER(SEARCH(Лист2!$B$5,I:I)),1,0)+K1899</f>
        <v>0</v>
      </c>
      <c r="M1899" s="3">
        <f ca="1">IF(AND(N1899&lt;&gt;N1898,ISNUMBER(SEARCH(Лист2!$B$6,N:N)),L1899=2),MAX($M$3:OFFSET(M1899,-1,0))+1,0)</f>
        <v>0</v>
      </c>
      <c r="N1899" s="3" t="s">
        <v>1686</v>
      </c>
    </row>
    <row r="1900" spans="1:14" x14ac:dyDescent="0.25">
      <c r="A1900" s="1" t="s">
        <v>11354</v>
      </c>
      <c r="B1900" s="3" t="s">
        <v>5524</v>
      </c>
      <c r="C1900" s="2">
        <f ca="1">IF(ISNUMBER(SEARCH(Лист2!$B$4,D:D)),MAX($C$3:OFFSET(C1900,-1,0))+1,0)</f>
        <v>0</v>
      </c>
      <c r="E1900" s="9" t="str">
        <f t="shared" ca="1" si="41"/>
        <v/>
      </c>
      <c r="F1900" s="4" t="s">
        <v>7</v>
      </c>
      <c r="G1900" s="2">
        <f>IF(ISNUMBER(SEARCH(Лист2!$B$4,F:F)),1,0)</f>
        <v>0</v>
      </c>
      <c r="H1900" s="3">
        <f ca="1">IF(AND(I1900&lt;&gt;I1899,ISNUMBER(SEARCH(Лист2!$B$5,I:I)),G1900=1),MAX($H$3:OFFSET(H1900,-1,0))+1,0)</f>
        <v>0</v>
      </c>
      <c r="I1900" s="3" t="s">
        <v>226</v>
      </c>
      <c r="K1900" s="2">
        <f>IF(ISNUMBER(SEARCH(Лист2!$B$4,F:F)),1,0)</f>
        <v>0</v>
      </c>
      <c r="L1900" s="14">
        <f>IF(ISNUMBER(SEARCH(Лист2!$B$5,I:I)),1,0)+K1900</f>
        <v>0</v>
      </c>
      <c r="M1900" s="3">
        <f ca="1">IF(AND(N1900&lt;&gt;N1899,ISNUMBER(SEARCH(Лист2!$B$6,N:N)),L1900=2),MAX($M$3:OFFSET(M1900,-1,0))+1,0)</f>
        <v>0</v>
      </c>
      <c r="N1900" s="3" t="s">
        <v>1687</v>
      </c>
    </row>
    <row r="1901" spans="1:14" x14ac:dyDescent="0.25">
      <c r="A1901" s="1" t="s">
        <v>11355</v>
      </c>
      <c r="B1901" s="3" t="s">
        <v>5525</v>
      </c>
      <c r="C1901" s="2">
        <f ca="1">IF(ISNUMBER(SEARCH(Лист2!$B$4,D:D)),MAX($C$3:OFFSET(C1901,-1,0))+1,0)</f>
        <v>0</v>
      </c>
      <c r="E1901" s="9" t="str">
        <f t="shared" ca="1" si="41"/>
        <v/>
      </c>
      <c r="F1901" s="4" t="s">
        <v>7</v>
      </c>
      <c r="G1901" s="2">
        <f>IF(ISNUMBER(SEARCH(Лист2!$B$4,F:F)),1,0)</f>
        <v>0</v>
      </c>
      <c r="H1901" s="3">
        <f ca="1">IF(AND(I1901&lt;&gt;I1900,ISNUMBER(SEARCH(Лист2!$B$5,I:I)),G1901=1),MAX($H$3:OFFSET(H1901,-1,0))+1,0)</f>
        <v>0</v>
      </c>
      <c r="I1901" s="3" t="s">
        <v>227</v>
      </c>
      <c r="K1901" s="2">
        <f>IF(ISNUMBER(SEARCH(Лист2!$B$4,F:F)),1,0)</f>
        <v>0</v>
      </c>
      <c r="L1901" s="14">
        <f>IF(ISNUMBER(SEARCH(Лист2!$B$5,I:I)),1,0)+K1901</f>
        <v>0</v>
      </c>
      <c r="M1901" s="3">
        <f ca="1">IF(AND(N1901&lt;&gt;N1900,ISNUMBER(SEARCH(Лист2!$B$6,N:N)),L1901=2),MAX($M$3:OFFSET(M1901,-1,0))+1,0)</f>
        <v>0</v>
      </c>
      <c r="N1901" s="3" t="s">
        <v>1688</v>
      </c>
    </row>
    <row r="1902" spans="1:14" x14ac:dyDescent="0.25">
      <c r="A1902" s="1" t="s">
        <v>11355</v>
      </c>
      <c r="B1902" s="3" t="s">
        <v>5526</v>
      </c>
      <c r="C1902" s="2">
        <f ca="1">IF(ISNUMBER(SEARCH(Лист2!$B$4,D:D)),MAX($C$3:OFFSET(C1902,-1,0))+1,0)</f>
        <v>0</v>
      </c>
      <c r="E1902" s="9" t="str">
        <f t="shared" ca="1" si="41"/>
        <v/>
      </c>
      <c r="F1902" s="4" t="s">
        <v>7</v>
      </c>
      <c r="G1902" s="2">
        <f>IF(ISNUMBER(SEARCH(Лист2!$B$4,F:F)),1,0)</f>
        <v>0</v>
      </c>
      <c r="H1902" s="3">
        <f ca="1">IF(AND(I1902&lt;&gt;I1901,ISNUMBER(SEARCH(Лист2!$B$5,I:I)),G1902=1),MAX($H$3:OFFSET(H1902,-1,0))+1,0)</f>
        <v>0</v>
      </c>
      <c r="I1902" s="3" t="s">
        <v>227</v>
      </c>
      <c r="K1902" s="2">
        <f>IF(ISNUMBER(SEARCH(Лист2!$B$4,F:F)),1,0)</f>
        <v>0</v>
      </c>
      <c r="L1902" s="14">
        <f>IF(ISNUMBER(SEARCH(Лист2!$B$5,I:I)),1,0)+K1902</f>
        <v>0</v>
      </c>
      <c r="M1902" s="3">
        <f ca="1">IF(AND(N1902&lt;&gt;N1901,ISNUMBER(SEARCH(Лист2!$B$6,N:N)),L1902=2),MAX($M$3:OFFSET(M1902,-1,0))+1,0)</f>
        <v>0</v>
      </c>
      <c r="N1902" s="3" t="s">
        <v>1688</v>
      </c>
    </row>
    <row r="1903" spans="1:14" x14ac:dyDescent="0.25">
      <c r="A1903" s="1" t="s">
        <v>11355</v>
      </c>
      <c r="B1903" s="3" t="s">
        <v>5527</v>
      </c>
      <c r="C1903" s="2">
        <f ca="1">IF(ISNUMBER(SEARCH(Лист2!$B$4,D:D)),MAX($C$3:OFFSET(C1903,-1,0))+1,0)</f>
        <v>0</v>
      </c>
      <c r="E1903" s="9" t="str">
        <f t="shared" ca="1" si="41"/>
        <v/>
      </c>
      <c r="F1903" s="4" t="s">
        <v>7</v>
      </c>
      <c r="G1903" s="2">
        <f>IF(ISNUMBER(SEARCH(Лист2!$B$4,F:F)),1,0)</f>
        <v>0</v>
      </c>
      <c r="H1903" s="3">
        <f ca="1">IF(AND(I1903&lt;&gt;I1902,ISNUMBER(SEARCH(Лист2!$B$5,I:I)),G1903=1),MAX($H$3:OFFSET(H1903,-1,0))+1,0)</f>
        <v>0</v>
      </c>
      <c r="I1903" s="3" t="s">
        <v>227</v>
      </c>
      <c r="K1903" s="2">
        <f>IF(ISNUMBER(SEARCH(Лист2!$B$4,F:F)),1,0)</f>
        <v>0</v>
      </c>
      <c r="L1903" s="14">
        <f>IF(ISNUMBER(SEARCH(Лист2!$B$5,I:I)),1,0)+K1903</f>
        <v>0</v>
      </c>
      <c r="M1903" s="3">
        <f ca="1">IF(AND(N1903&lt;&gt;N1902,ISNUMBER(SEARCH(Лист2!$B$6,N:N)),L1903=2),MAX($M$3:OFFSET(M1903,-1,0))+1,0)</f>
        <v>0</v>
      </c>
      <c r="N1903" s="3" t="s">
        <v>1688</v>
      </c>
    </row>
    <row r="1904" spans="1:14" x14ac:dyDescent="0.25">
      <c r="A1904" s="1" t="s">
        <v>11356</v>
      </c>
      <c r="B1904" s="3" t="s">
        <v>5528</v>
      </c>
      <c r="C1904" s="2">
        <f ca="1">IF(ISNUMBER(SEARCH(Лист2!$B$4,D:D)),MAX($C$3:OFFSET(C1904,-1,0))+1,0)</f>
        <v>0</v>
      </c>
      <c r="E1904" s="9" t="str">
        <f t="shared" ca="1" si="41"/>
        <v/>
      </c>
      <c r="F1904" s="4" t="s">
        <v>7</v>
      </c>
      <c r="G1904" s="2">
        <f>IF(ISNUMBER(SEARCH(Лист2!$B$4,F:F)),1,0)</f>
        <v>0</v>
      </c>
      <c r="H1904" s="3">
        <f ca="1">IF(AND(I1904&lt;&gt;I1903,ISNUMBER(SEARCH(Лист2!$B$5,I:I)),G1904=1),MAX($H$3:OFFSET(H1904,-1,0))+1,0)</f>
        <v>0</v>
      </c>
      <c r="I1904" s="3" t="s">
        <v>227</v>
      </c>
      <c r="K1904" s="2">
        <f>IF(ISNUMBER(SEARCH(Лист2!$B$4,F:F)),1,0)</f>
        <v>0</v>
      </c>
      <c r="L1904" s="14">
        <f>IF(ISNUMBER(SEARCH(Лист2!$B$5,I:I)),1,0)+K1904</f>
        <v>0</v>
      </c>
      <c r="M1904" s="3">
        <f ca="1">IF(AND(N1904&lt;&gt;N1903,ISNUMBER(SEARCH(Лист2!$B$6,N:N)),L1904=2),MAX($M$3:OFFSET(M1904,-1,0))+1,0)</f>
        <v>0</v>
      </c>
      <c r="N1904" s="3" t="s">
        <v>1689</v>
      </c>
    </row>
    <row r="1905" spans="1:14" x14ac:dyDescent="0.25">
      <c r="A1905" s="1" t="s">
        <v>11356</v>
      </c>
      <c r="B1905" s="3" t="s">
        <v>5529</v>
      </c>
      <c r="C1905" s="2">
        <f ca="1">IF(ISNUMBER(SEARCH(Лист2!$B$4,D:D)),MAX($C$3:OFFSET(C1905,-1,0))+1,0)</f>
        <v>0</v>
      </c>
      <c r="E1905" s="9" t="str">
        <f t="shared" ca="1" si="41"/>
        <v/>
      </c>
      <c r="F1905" s="4" t="s">
        <v>7</v>
      </c>
      <c r="G1905" s="2">
        <f>IF(ISNUMBER(SEARCH(Лист2!$B$4,F:F)),1,0)</f>
        <v>0</v>
      </c>
      <c r="H1905" s="3">
        <f ca="1">IF(AND(I1905&lt;&gt;I1904,ISNUMBER(SEARCH(Лист2!$B$5,I:I)),G1905=1),MAX($H$3:OFFSET(H1905,-1,0))+1,0)</f>
        <v>0</v>
      </c>
      <c r="I1905" s="3" t="s">
        <v>227</v>
      </c>
      <c r="K1905" s="2">
        <f>IF(ISNUMBER(SEARCH(Лист2!$B$4,F:F)),1,0)</f>
        <v>0</v>
      </c>
      <c r="L1905" s="14">
        <f>IF(ISNUMBER(SEARCH(Лист2!$B$5,I:I)),1,0)+K1905</f>
        <v>0</v>
      </c>
      <c r="M1905" s="3">
        <f ca="1">IF(AND(N1905&lt;&gt;N1904,ISNUMBER(SEARCH(Лист2!$B$6,N:N)),L1905=2),MAX($M$3:OFFSET(M1905,-1,0))+1,0)</f>
        <v>0</v>
      </c>
      <c r="N1905" s="3" t="s">
        <v>1689</v>
      </c>
    </row>
    <row r="1906" spans="1:14" x14ac:dyDescent="0.25">
      <c r="A1906" s="1" t="s">
        <v>11356</v>
      </c>
      <c r="B1906" s="3" t="s">
        <v>5530</v>
      </c>
      <c r="C1906" s="2">
        <f ca="1">IF(ISNUMBER(SEARCH(Лист2!$B$4,D:D)),MAX($C$3:OFFSET(C1906,-1,0))+1,0)</f>
        <v>0</v>
      </c>
      <c r="E1906" s="9" t="str">
        <f t="shared" ca="1" si="41"/>
        <v/>
      </c>
      <c r="F1906" s="4" t="s">
        <v>7</v>
      </c>
      <c r="G1906" s="2">
        <f>IF(ISNUMBER(SEARCH(Лист2!$B$4,F:F)),1,0)</f>
        <v>0</v>
      </c>
      <c r="H1906" s="3">
        <f ca="1">IF(AND(I1906&lt;&gt;I1905,ISNUMBER(SEARCH(Лист2!$B$5,I:I)),G1906=1),MAX($H$3:OFFSET(H1906,-1,0))+1,0)</f>
        <v>0</v>
      </c>
      <c r="I1906" s="3" t="s">
        <v>227</v>
      </c>
      <c r="K1906" s="2">
        <f>IF(ISNUMBER(SEARCH(Лист2!$B$4,F:F)),1,0)</f>
        <v>0</v>
      </c>
      <c r="L1906" s="14">
        <f>IF(ISNUMBER(SEARCH(Лист2!$B$5,I:I)),1,0)+K1906</f>
        <v>0</v>
      </c>
      <c r="M1906" s="3">
        <f ca="1">IF(AND(N1906&lt;&gt;N1905,ISNUMBER(SEARCH(Лист2!$B$6,N:N)),L1906=2),MAX($M$3:OFFSET(M1906,-1,0))+1,0)</f>
        <v>0</v>
      </c>
      <c r="N1906" s="3" t="s">
        <v>1689</v>
      </c>
    </row>
    <row r="1907" spans="1:14" x14ac:dyDescent="0.25">
      <c r="A1907" s="1" t="s">
        <v>11357</v>
      </c>
      <c r="B1907" s="3" t="s">
        <v>5531</v>
      </c>
      <c r="C1907" s="2">
        <f ca="1">IF(ISNUMBER(SEARCH(Лист2!$B$4,D:D)),MAX($C$3:OFFSET(C1907,-1,0))+1,0)</f>
        <v>0</v>
      </c>
      <c r="E1907" s="9" t="str">
        <f t="shared" ca="1" si="41"/>
        <v/>
      </c>
      <c r="F1907" s="4" t="s">
        <v>7</v>
      </c>
      <c r="G1907" s="2">
        <f>IF(ISNUMBER(SEARCH(Лист2!$B$4,F:F)),1,0)</f>
        <v>0</v>
      </c>
      <c r="H1907" s="3">
        <f ca="1">IF(AND(I1907&lt;&gt;I1906,ISNUMBER(SEARCH(Лист2!$B$5,I:I)),G1907=1),MAX($H$3:OFFSET(H1907,-1,0))+1,0)</f>
        <v>0</v>
      </c>
      <c r="I1907" s="3" t="s">
        <v>227</v>
      </c>
      <c r="K1907" s="2">
        <f>IF(ISNUMBER(SEARCH(Лист2!$B$4,F:F)),1,0)</f>
        <v>0</v>
      </c>
      <c r="L1907" s="14">
        <f>IF(ISNUMBER(SEARCH(Лист2!$B$5,I:I)),1,0)+K1907</f>
        <v>0</v>
      </c>
      <c r="M1907" s="3">
        <f ca="1">IF(AND(N1907&lt;&gt;N1906,ISNUMBER(SEARCH(Лист2!$B$6,N:N)),L1907=2),MAX($M$3:OFFSET(M1907,-1,0))+1,0)</f>
        <v>0</v>
      </c>
      <c r="N1907" s="3" t="s">
        <v>1678</v>
      </c>
    </row>
    <row r="1908" spans="1:14" x14ac:dyDescent="0.25">
      <c r="A1908" s="1" t="s">
        <v>11358</v>
      </c>
      <c r="B1908" s="3" t="s">
        <v>5532</v>
      </c>
      <c r="C1908" s="2">
        <f ca="1">IF(ISNUMBER(SEARCH(Лист2!$B$4,D:D)),MAX($C$3:OFFSET(C1908,-1,0))+1,0)</f>
        <v>0</v>
      </c>
      <c r="E1908" s="9" t="str">
        <f t="shared" ca="1" si="41"/>
        <v/>
      </c>
      <c r="F1908" s="4" t="s">
        <v>7</v>
      </c>
      <c r="G1908" s="2">
        <f>IF(ISNUMBER(SEARCH(Лист2!$B$4,F:F)),1,0)</f>
        <v>0</v>
      </c>
      <c r="H1908" s="3">
        <f ca="1">IF(AND(I1908&lt;&gt;I1907,ISNUMBER(SEARCH(Лист2!$B$5,I:I)),G1908=1),MAX($H$3:OFFSET(H1908,-1,0))+1,0)</f>
        <v>0</v>
      </c>
      <c r="I1908" s="3" t="s">
        <v>227</v>
      </c>
      <c r="K1908" s="2">
        <f>IF(ISNUMBER(SEARCH(Лист2!$B$4,F:F)),1,0)</f>
        <v>0</v>
      </c>
      <c r="L1908" s="14">
        <f>IF(ISNUMBER(SEARCH(Лист2!$B$5,I:I)),1,0)+K1908</f>
        <v>0</v>
      </c>
      <c r="M1908" s="3">
        <f ca="1">IF(AND(N1908&lt;&gt;N1907,ISNUMBER(SEARCH(Лист2!$B$6,N:N)),L1908=2),MAX($M$3:OFFSET(M1908,-1,0))+1,0)</f>
        <v>0</v>
      </c>
      <c r="N1908" s="3" t="s">
        <v>1620</v>
      </c>
    </row>
    <row r="1909" spans="1:14" x14ac:dyDescent="0.25">
      <c r="A1909" s="1" t="s">
        <v>11359</v>
      </c>
      <c r="B1909" s="3" t="s">
        <v>5533</v>
      </c>
      <c r="C1909" s="2">
        <f ca="1">IF(ISNUMBER(SEARCH(Лист2!$B$4,D:D)),MAX($C$3:OFFSET(C1909,-1,0))+1,0)</f>
        <v>0</v>
      </c>
      <c r="E1909" s="9" t="str">
        <f t="shared" ca="1" si="41"/>
        <v/>
      </c>
      <c r="F1909" s="4" t="s">
        <v>7</v>
      </c>
      <c r="G1909" s="2">
        <f>IF(ISNUMBER(SEARCH(Лист2!$B$4,F:F)),1,0)</f>
        <v>0</v>
      </c>
      <c r="H1909" s="3">
        <f ca="1">IF(AND(I1909&lt;&gt;I1908,ISNUMBER(SEARCH(Лист2!$B$5,I:I)),G1909=1),MAX($H$3:OFFSET(H1909,-1,0))+1,0)</f>
        <v>0</v>
      </c>
      <c r="I1909" s="3" t="s">
        <v>227</v>
      </c>
      <c r="K1909" s="2">
        <f>IF(ISNUMBER(SEARCH(Лист2!$B$4,F:F)),1,0)</f>
        <v>0</v>
      </c>
      <c r="L1909" s="14">
        <f>IF(ISNUMBER(SEARCH(Лист2!$B$5,I:I)),1,0)+K1909</f>
        <v>0</v>
      </c>
      <c r="M1909" s="3">
        <f ca="1">IF(AND(N1909&lt;&gt;N1908,ISNUMBER(SEARCH(Лист2!$B$6,N:N)),L1909=2),MAX($M$3:OFFSET(M1909,-1,0))+1,0)</f>
        <v>0</v>
      </c>
      <c r="N1909" s="3" t="s">
        <v>1690</v>
      </c>
    </row>
    <row r="1910" spans="1:14" x14ac:dyDescent="0.25">
      <c r="A1910" s="1" t="s">
        <v>11360</v>
      </c>
      <c r="B1910" s="3" t="s">
        <v>5534</v>
      </c>
      <c r="C1910" s="2">
        <f ca="1">IF(ISNUMBER(SEARCH(Лист2!$B$4,D:D)),MAX($C$3:OFFSET(C1910,-1,0))+1,0)</f>
        <v>0</v>
      </c>
      <c r="E1910" s="9" t="str">
        <f t="shared" ca="1" si="41"/>
        <v/>
      </c>
      <c r="F1910" s="4" t="s">
        <v>7</v>
      </c>
      <c r="G1910" s="2">
        <f>IF(ISNUMBER(SEARCH(Лист2!$B$4,F:F)),1,0)</f>
        <v>0</v>
      </c>
      <c r="H1910" s="3">
        <f ca="1">IF(AND(I1910&lt;&gt;I1909,ISNUMBER(SEARCH(Лист2!$B$5,I:I)),G1910=1),MAX($H$3:OFFSET(H1910,-1,0))+1,0)</f>
        <v>0</v>
      </c>
      <c r="I1910" s="3" t="s">
        <v>227</v>
      </c>
      <c r="K1910" s="2">
        <f>IF(ISNUMBER(SEARCH(Лист2!$B$4,F:F)),1,0)</f>
        <v>0</v>
      </c>
      <c r="L1910" s="14">
        <f>IF(ISNUMBER(SEARCH(Лист2!$B$5,I:I)),1,0)+K1910</f>
        <v>0</v>
      </c>
      <c r="M1910" s="3">
        <f ca="1">IF(AND(N1910&lt;&gt;N1909,ISNUMBER(SEARCH(Лист2!$B$6,N:N)),L1910=2),MAX($M$3:OFFSET(M1910,-1,0))+1,0)</f>
        <v>0</v>
      </c>
      <c r="N1910" s="3" t="s">
        <v>602</v>
      </c>
    </row>
    <row r="1911" spans="1:14" x14ac:dyDescent="0.25">
      <c r="A1911" s="1" t="s">
        <v>11361</v>
      </c>
      <c r="B1911" s="3" t="s">
        <v>5535</v>
      </c>
      <c r="C1911" s="2">
        <f ca="1">IF(ISNUMBER(SEARCH(Лист2!$B$4,D:D)),MAX($C$3:OFFSET(C1911,-1,0))+1,0)</f>
        <v>0</v>
      </c>
      <c r="E1911" s="9" t="str">
        <f t="shared" ca="1" si="41"/>
        <v/>
      </c>
      <c r="F1911" s="4" t="s">
        <v>7</v>
      </c>
      <c r="G1911" s="2">
        <f>IF(ISNUMBER(SEARCH(Лист2!$B$4,F:F)),1,0)</f>
        <v>0</v>
      </c>
      <c r="H1911" s="3">
        <f ca="1">IF(AND(I1911&lt;&gt;I1910,ISNUMBER(SEARCH(Лист2!$B$5,I:I)),G1911=1),MAX($H$3:OFFSET(H1911,-1,0))+1,0)</f>
        <v>0</v>
      </c>
      <c r="I1911" s="3" t="s">
        <v>227</v>
      </c>
      <c r="K1911" s="2">
        <f>IF(ISNUMBER(SEARCH(Лист2!$B$4,F:F)),1,0)</f>
        <v>0</v>
      </c>
      <c r="L1911" s="14">
        <f>IF(ISNUMBER(SEARCH(Лист2!$B$5,I:I)),1,0)+K1911</f>
        <v>0</v>
      </c>
      <c r="M1911" s="3">
        <f ca="1">IF(AND(N1911&lt;&gt;N1910,ISNUMBER(SEARCH(Лист2!$B$6,N:N)),L1911=2),MAX($M$3:OFFSET(M1911,-1,0))+1,0)</f>
        <v>0</v>
      </c>
      <c r="N1911" s="3" t="s">
        <v>1691</v>
      </c>
    </row>
    <row r="1912" spans="1:14" x14ac:dyDescent="0.25">
      <c r="A1912" s="1" t="s">
        <v>11362</v>
      </c>
      <c r="B1912" s="3" t="s">
        <v>5536</v>
      </c>
      <c r="C1912" s="2">
        <f ca="1">IF(ISNUMBER(SEARCH(Лист2!$B$4,D:D)),MAX($C$3:OFFSET(C1912,-1,0))+1,0)</f>
        <v>0</v>
      </c>
      <c r="E1912" s="9" t="str">
        <f t="shared" ca="1" si="41"/>
        <v/>
      </c>
      <c r="F1912" s="4" t="s">
        <v>7</v>
      </c>
      <c r="G1912" s="2">
        <f>IF(ISNUMBER(SEARCH(Лист2!$B$4,F:F)),1,0)</f>
        <v>0</v>
      </c>
      <c r="H1912" s="3">
        <f ca="1">IF(AND(I1912&lt;&gt;I1911,ISNUMBER(SEARCH(Лист2!$B$5,I:I)),G1912=1),MAX($H$3:OFFSET(H1912,-1,0))+1,0)</f>
        <v>0</v>
      </c>
      <c r="I1912" s="3" t="s">
        <v>227</v>
      </c>
      <c r="K1912" s="2">
        <f>IF(ISNUMBER(SEARCH(Лист2!$B$4,F:F)),1,0)</f>
        <v>0</v>
      </c>
      <c r="L1912" s="14">
        <f>IF(ISNUMBER(SEARCH(Лист2!$B$5,I:I)),1,0)+K1912</f>
        <v>0</v>
      </c>
      <c r="M1912" s="3">
        <f ca="1">IF(AND(N1912&lt;&gt;N1911,ISNUMBER(SEARCH(Лист2!$B$6,N:N)),L1912=2),MAX($M$3:OFFSET(M1912,-1,0))+1,0)</f>
        <v>0</v>
      </c>
      <c r="N1912" s="3" t="s">
        <v>1692</v>
      </c>
    </row>
    <row r="1913" spans="1:14" x14ac:dyDescent="0.25">
      <c r="A1913" s="1" t="s">
        <v>11363</v>
      </c>
      <c r="B1913" s="3" t="s">
        <v>5537</v>
      </c>
      <c r="C1913" s="2">
        <f ca="1">IF(ISNUMBER(SEARCH(Лист2!$B$4,D:D)),MAX($C$3:OFFSET(C1913,-1,0))+1,0)</f>
        <v>0</v>
      </c>
      <c r="E1913" s="9" t="str">
        <f t="shared" ca="1" si="41"/>
        <v/>
      </c>
      <c r="F1913" s="4" t="s">
        <v>7</v>
      </c>
      <c r="G1913" s="2">
        <f>IF(ISNUMBER(SEARCH(Лист2!$B$4,F:F)),1,0)</f>
        <v>0</v>
      </c>
      <c r="H1913" s="3">
        <f ca="1">IF(AND(I1913&lt;&gt;I1912,ISNUMBER(SEARCH(Лист2!$B$5,I:I)),G1913=1),MAX($H$3:OFFSET(H1913,-1,0))+1,0)</f>
        <v>0</v>
      </c>
      <c r="I1913" s="3" t="s">
        <v>227</v>
      </c>
      <c r="K1913" s="2">
        <f>IF(ISNUMBER(SEARCH(Лист2!$B$4,F:F)),1,0)</f>
        <v>0</v>
      </c>
      <c r="L1913" s="14">
        <f>IF(ISNUMBER(SEARCH(Лист2!$B$5,I:I)),1,0)+K1913</f>
        <v>0</v>
      </c>
      <c r="M1913" s="3">
        <f ca="1">IF(AND(N1913&lt;&gt;N1912,ISNUMBER(SEARCH(Лист2!$B$6,N:N)),L1913=2),MAX($M$3:OFFSET(M1913,-1,0))+1,0)</f>
        <v>0</v>
      </c>
      <c r="N1913" s="3" t="s">
        <v>1693</v>
      </c>
    </row>
    <row r="1914" spans="1:14" x14ac:dyDescent="0.25">
      <c r="A1914" s="1" t="s">
        <v>11364</v>
      </c>
      <c r="B1914" s="3" t="s">
        <v>5538</v>
      </c>
      <c r="C1914" s="2">
        <f ca="1">IF(ISNUMBER(SEARCH(Лист2!$B$4,D:D)),MAX($C$3:OFFSET(C1914,-1,0))+1,0)</f>
        <v>0</v>
      </c>
      <c r="E1914" s="9" t="str">
        <f t="shared" ca="1" si="41"/>
        <v/>
      </c>
      <c r="F1914" s="4" t="s">
        <v>7</v>
      </c>
      <c r="G1914" s="2">
        <f>IF(ISNUMBER(SEARCH(Лист2!$B$4,F:F)),1,0)</f>
        <v>0</v>
      </c>
      <c r="H1914" s="3">
        <f ca="1">IF(AND(I1914&lt;&gt;I1913,ISNUMBER(SEARCH(Лист2!$B$5,I:I)),G1914=1),MAX($H$3:OFFSET(H1914,-1,0))+1,0)</f>
        <v>0</v>
      </c>
      <c r="I1914" s="3" t="s">
        <v>228</v>
      </c>
      <c r="K1914" s="2">
        <f>IF(ISNUMBER(SEARCH(Лист2!$B$4,F:F)),1,0)</f>
        <v>0</v>
      </c>
      <c r="L1914" s="14">
        <f>IF(ISNUMBER(SEARCH(Лист2!$B$5,I:I)),1,0)+K1914</f>
        <v>0</v>
      </c>
      <c r="M1914" s="3">
        <f ca="1">IF(AND(N1914&lt;&gt;N1913,ISNUMBER(SEARCH(Лист2!$B$6,N:N)),L1914=2),MAX($M$3:OFFSET(M1914,-1,0))+1,0)</f>
        <v>0</v>
      </c>
      <c r="N1914" s="3" t="s">
        <v>1694</v>
      </c>
    </row>
    <row r="1915" spans="1:14" x14ac:dyDescent="0.25">
      <c r="A1915" s="1" t="s">
        <v>11365</v>
      </c>
      <c r="B1915" s="3" t="s">
        <v>5539</v>
      </c>
      <c r="C1915" s="2">
        <f ca="1">IF(ISNUMBER(SEARCH(Лист2!$B$4,D:D)),MAX($C$3:OFFSET(C1915,-1,0))+1,0)</f>
        <v>0</v>
      </c>
      <c r="E1915" s="9" t="str">
        <f t="shared" ca="1" si="41"/>
        <v/>
      </c>
      <c r="F1915" s="4" t="s">
        <v>7</v>
      </c>
      <c r="G1915" s="2">
        <f>IF(ISNUMBER(SEARCH(Лист2!$B$4,F:F)),1,0)</f>
        <v>0</v>
      </c>
      <c r="H1915" s="3">
        <f ca="1">IF(AND(I1915&lt;&gt;I1914,ISNUMBER(SEARCH(Лист2!$B$5,I:I)),G1915=1),MAX($H$3:OFFSET(H1915,-1,0))+1,0)</f>
        <v>0</v>
      </c>
      <c r="I1915" s="3" t="s">
        <v>228</v>
      </c>
      <c r="K1915" s="2">
        <f>IF(ISNUMBER(SEARCH(Лист2!$B$4,F:F)),1,0)</f>
        <v>0</v>
      </c>
      <c r="L1915" s="14">
        <f>IF(ISNUMBER(SEARCH(Лист2!$B$5,I:I)),1,0)+K1915</f>
        <v>0</v>
      </c>
      <c r="M1915" s="3">
        <f ca="1">IF(AND(N1915&lt;&gt;N1914,ISNUMBER(SEARCH(Лист2!$B$6,N:N)),L1915=2),MAX($M$3:OFFSET(M1915,-1,0))+1,0)</f>
        <v>0</v>
      </c>
      <c r="N1915" s="3" t="s">
        <v>1695</v>
      </c>
    </row>
    <row r="1916" spans="1:14" x14ac:dyDescent="0.25">
      <c r="A1916" s="1" t="s">
        <v>11366</v>
      </c>
      <c r="B1916" s="3" t="s">
        <v>5540</v>
      </c>
      <c r="C1916" s="2">
        <f ca="1">IF(ISNUMBER(SEARCH(Лист2!$B$4,D:D)),MAX($C$3:OFFSET(C1916,-1,0))+1,0)</f>
        <v>0</v>
      </c>
      <c r="E1916" s="9" t="str">
        <f t="shared" ca="1" si="41"/>
        <v/>
      </c>
      <c r="F1916" s="4" t="s">
        <v>7</v>
      </c>
      <c r="G1916" s="2">
        <f>IF(ISNUMBER(SEARCH(Лист2!$B$4,F:F)),1,0)</f>
        <v>0</v>
      </c>
      <c r="H1916" s="3">
        <f ca="1">IF(AND(I1916&lt;&gt;I1915,ISNUMBER(SEARCH(Лист2!$B$5,I:I)),G1916=1),MAX($H$3:OFFSET(H1916,-1,0))+1,0)</f>
        <v>0</v>
      </c>
      <c r="I1916" s="3" t="s">
        <v>228</v>
      </c>
      <c r="K1916" s="2">
        <f>IF(ISNUMBER(SEARCH(Лист2!$B$4,F:F)),1,0)</f>
        <v>0</v>
      </c>
      <c r="L1916" s="14">
        <f>IF(ISNUMBER(SEARCH(Лист2!$B$5,I:I)),1,0)+K1916</f>
        <v>0</v>
      </c>
      <c r="M1916" s="3">
        <f ca="1">IF(AND(N1916&lt;&gt;N1915,ISNUMBER(SEARCH(Лист2!$B$6,N:N)),L1916=2),MAX($M$3:OFFSET(M1916,-1,0))+1,0)</f>
        <v>0</v>
      </c>
      <c r="N1916" s="3" t="s">
        <v>1678</v>
      </c>
    </row>
    <row r="1917" spans="1:14" x14ac:dyDescent="0.25">
      <c r="A1917" s="1" t="s">
        <v>11367</v>
      </c>
      <c r="B1917" s="3" t="s">
        <v>5541</v>
      </c>
      <c r="C1917" s="2">
        <f ca="1">IF(ISNUMBER(SEARCH(Лист2!$B$4,D:D)),MAX($C$3:OFFSET(C1917,-1,0))+1,0)</f>
        <v>0</v>
      </c>
      <c r="E1917" s="9" t="str">
        <f t="shared" ca="1" si="41"/>
        <v/>
      </c>
      <c r="F1917" s="4" t="s">
        <v>7</v>
      </c>
      <c r="G1917" s="2">
        <f>IF(ISNUMBER(SEARCH(Лист2!$B$4,F:F)),1,0)</f>
        <v>0</v>
      </c>
      <c r="H1917" s="3">
        <f ca="1">IF(AND(I1917&lt;&gt;I1916,ISNUMBER(SEARCH(Лист2!$B$5,I:I)),G1917=1),MAX($H$3:OFFSET(H1917,-1,0))+1,0)</f>
        <v>0</v>
      </c>
      <c r="I1917" s="3" t="s">
        <v>228</v>
      </c>
      <c r="K1917" s="2">
        <f>IF(ISNUMBER(SEARCH(Лист2!$B$4,F:F)),1,0)</f>
        <v>0</v>
      </c>
      <c r="L1917" s="14">
        <f>IF(ISNUMBER(SEARCH(Лист2!$B$5,I:I)),1,0)+K1917</f>
        <v>0</v>
      </c>
      <c r="M1917" s="3">
        <f ca="1">IF(AND(N1917&lt;&gt;N1916,ISNUMBER(SEARCH(Лист2!$B$6,N:N)),L1917=2),MAX($M$3:OFFSET(M1917,-1,0))+1,0)</f>
        <v>0</v>
      </c>
      <c r="N1917" s="3" t="s">
        <v>1620</v>
      </c>
    </row>
    <row r="1918" spans="1:14" x14ac:dyDescent="0.25">
      <c r="A1918" s="1" t="s">
        <v>11368</v>
      </c>
      <c r="B1918" s="3" t="s">
        <v>5542</v>
      </c>
      <c r="C1918" s="2">
        <f ca="1">IF(ISNUMBER(SEARCH(Лист2!$B$4,D:D)),MAX($C$3:OFFSET(C1918,-1,0))+1,0)</f>
        <v>0</v>
      </c>
      <c r="E1918" s="9" t="str">
        <f t="shared" ca="1" si="41"/>
        <v/>
      </c>
      <c r="F1918" s="4" t="s">
        <v>7</v>
      </c>
      <c r="G1918" s="2">
        <f>IF(ISNUMBER(SEARCH(Лист2!$B$4,F:F)),1,0)</f>
        <v>0</v>
      </c>
      <c r="H1918" s="3">
        <f ca="1">IF(AND(I1918&lt;&gt;I1917,ISNUMBER(SEARCH(Лист2!$B$5,I:I)),G1918=1),MAX($H$3:OFFSET(H1918,-1,0))+1,0)</f>
        <v>0</v>
      </c>
      <c r="I1918" s="3" t="s">
        <v>228</v>
      </c>
      <c r="K1918" s="2">
        <f>IF(ISNUMBER(SEARCH(Лист2!$B$4,F:F)),1,0)</f>
        <v>0</v>
      </c>
      <c r="L1918" s="14">
        <f>IF(ISNUMBER(SEARCH(Лист2!$B$5,I:I)),1,0)+K1918</f>
        <v>0</v>
      </c>
      <c r="M1918" s="3">
        <f ca="1">IF(AND(N1918&lt;&gt;N1917,ISNUMBER(SEARCH(Лист2!$B$6,N:N)),L1918=2),MAX($M$3:OFFSET(M1918,-1,0))+1,0)</f>
        <v>0</v>
      </c>
      <c r="N1918" s="3" t="s">
        <v>1690</v>
      </c>
    </row>
    <row r="1919" spans="1:14" x14ac:dyDescent="0.25">
      <c r="A1919" s="1" t="s">
        <v>11369</v>
      </c>
      <c r="B1919" s="3" t="s">
        <v>5543</v>
      </c>
      <c r="C1919" s="2">
        <f ca="1">IF(ISNUMBER(SEARCH(Лист2!$B$4,D:D)),MAX($C$3:OFFSET(C1919,-1,0))+1,0)</f>
        <v>0</v>
      </c>
      <c r="E1919" s="9" t="str">
        <f t="shared" ca="1" si="41"/>
        <v/>
      </c>
      <c r="F1919" s="4" t="s">
        <v>7</v>
      </c>
      <c r="G1919" s="2">
        <f>IF(ISNUMBER(SEARCH(Лист2!$B$4,F:F)),1,0)</f>
        <v>0</v>
      </c>
      <c r="H1919" s="3">
        <f ca="1">IF(AND(I1919&lt;&gt;I1918,ISNUMBER(SEARCH(Лист2!$B$5,I:I)),G1919=1),MAX($H$3:OFFSET(H1919,-1,0))+1,0)</f>
        <v>0</v>
      </c>
      <c r="I1919" s="3" t="s">
        <v>228</v>
      </c>
      <c r="K1919" s="2">
        <f>IF(ISNUMBER(SEARCH(Лист2!$B$4,F:F)),1,0)</f>
        <v>0</v>
      </c>
      <c r="L1919" s="14">
        <f>IF(ISNUMBER(SEARCH(Лист2!$B$5,I:I)),1,0)+K1919</f>
        <v>0</v>
      </c>
      <c r="M1919" s="3">
        <f ca="1">IF(AND(N1919&lt;&gt;N1918,ISNUMBER(SEARCH(Лист2!$B$6,N:N)),L1919=2),MAX($M$3:OFFSET(M1919,-1,0))+1,0)</f>
        <v>0</v>
      </c>
      <c r="N1919" s="3" t="s">
        <v>602</v>
      </c>
    </row>
    <row r="1920" spans="1:14" x14ac:dyDescent="0.25">
      <c r="A1920" s="1" t="s">
        <v>11370</v>
      </c>
      <c r="B1920" s="3" t="s">
        <v>5544</v>
      </c>
      <c r="C1920" s="2">
        <f ca="1">IF(ISNUMBER(SEARCH(Лист2!$B$4,D:D)),MAX($C$3:OFFSET(C1920,-1,0))+1,0)</f>
        <v>0</v>
      </c>
      <c r="E1920" s="9" t="str">
        <f t="shared" ca="1" si="41"/>
        <v/>
      </c>
      <c r="F1920" s="4" t="s">
        <v>7</v>
      </c>
      <c r="G1920" s="2">
        <f>IF(ISNUMBER(SEARCH(Лист2!$B$4,F:F)),1,0)</f>
        <v>0</v>
      </c>
      <c r="H1920" s="3">
        <f ca="1">IF(AND(I1920&lt;&gt;I1919,ISNUMBER(SEARCH(Лист2!$B$5,I:I)),G1920=1),MAX($H$3:OFFSET(H1920,-1,0))+1,0)</f>
        <v>0</v>
      </c>
      <c r="I1920" s="3" t="s">
        <v>228</v>
      </c>
      <c r="K1920" s="2">
        <f>IF(ISNUMBER(SEARCH(Лист2!$B$4,F:F)),1,0)</f>
        <v>0</v>
      </c>
      <c r="L1920" s="14">
        <f>IF(ISNUMBER(SEARCH(Лист2!$B$5,I:I)),1,0)+K1920</f>
        <v>0</v>
      </c>
      <c r="M1920" s="3">
        <f ca="1">IF(AND(N1920&lt;&gt;N1919,ISNUMBER(SEARCH(Лист2!$B$6,N:N)),L1920=2),MAX($M$3:OFFSET(M1920,-1,0))+1,0)</f>
        <v>0</v>
      </c>
      <c r="N1920" s="3" t="s">
        <v>1696</v>
      </c>
    </row>
    <row r="1921" spans="1:14" x14ac:dyDescent="0.25">
      <c r="A1921" s="1" t="s">
        <v>11371</v>
      </c>
      <c r="B1921" s="3" t="s">
        <v>5545</v>
      </c>
      <c r="C1921" s="2">
        <f ca="1">IF(ISNUMBER(SEARCH(Лист2!$B$4,D:D)),MAX($C$3:OFFSET(C1921,-1,0))+1,0)</f>
        <v>0</v>
      </c>
      <c r="E1921" s="9" t="str">
        <f t="shared" ca="1" si="41"/>
        <v/>
      </c>
      <c r="F1921" s="4" t="s">
        <v>7</v>
      </c>
      <c r="G1921" s="2">
        <f>IF(ISNUMBER(SEARCH(Лист2!$B$4,F:F)),1,0)</f>
        <v>0</v>
      </c>
      <c r="H1921" s="3">
        <f ca="1">IF(AND(I1921&lt;&gt;I1920,ISNUMBER(SEARCH(Лист2!$B$5,I:I)),G1921=1),MAX($H$3:OFFSET(H1921,-1,0))+1,0)</f>
        <v>0</v>
      </c>
      <c r="I1921" s="3" t="s">
        <v>228</v>
      </c>
      <c r="K1921" s="2">
        <f>IF(ISNUMBER(SEARCH(Лист2!$B$4,F:F)),1,0)</f>
        <v>0</v>
      </c>
      <c r="L1921" s="14">
        <f>IF(ISNUMBER(SEARCH(Лист2!$B$5,I:I)),1,0)+K1921</f>
        <v>0</v>
      </c>
      <c r="M1921" s="3">
        <f ca="1">IF(AND(N1921&lt;&gt;N1920,ISNUMBER(SEARCH(Лист2!$B$6,N:N)),L1921=2),MAX($M$3:OFFSET(M1921,-1,0))+1,0)</f>
        <v>0</v>
      </c>
      <c r="N1921" s="3" t="s">
        <v>1697</v>
      </c>
    </row>
    <row r="1922" spans="1:14" x14ac:dyDescent="0.25">
      <c r="A1922" s="1" t="s">
        <v>11372</v>
      </c>
      <c r="B1922" s="3" t="s">
        <v>5546</v>
      </c>
      <c r="C1922" s="2">
        <f ca="1">IF(ISNUMBER(SEARCH(Лист2!$B$4,D:D)),MAX($C$3:OFFSET(C1922,-1,0))+1,0)</f>
        <v>0</v>
      </c>
      <c r="E1922" s="9" t="str">
        <f t="shared" ca="1" si="41"/>
        <v/>
      </c>
      <c r="F1922" s="4" t="s">
        <v>7</v>
      </c>
      <c r="G1922" s="2">
        <f>IF(ISNUMBER(SEARCH(Лист2!$B$4,F:F)),1,0)</f>
        <v>0</v>
      </c>
      <c r="H1922" s="3">
        <f ca="1">IF(AND(I1922&lt;&gt;I1921,ISNUMBER(SEARCH(Лист2!$B$5,I:I)),G1922=1),MAX($H$3:OFFSET(H1922,-1,0))+1,0)</f>
        <v>0</v>
      </c>
      <c r="I1922" s="3" t="s">
        <v>228</v>
      </c>
      <c r="K1922" s="2">
        <f>IF(ISNUMBER(SEARCH(Лист2!$B$4,F:F)),1,0)</f>
        <v>0</v>
      </c>
      <c r="L1922" s="14">
        <f>IF(ISNUMBER(SEARCH(Лист2!$B$5,I:I)),1,0)+K1922</f>
        <v>0</v>
      </c>
      <c r="M1922" s="3">
        <f ca="1">IF(AND(N1922&lt;&gt;N1921,ISNUMBER(SEARCH(Лист2!$B$6,N:N)),L1922=2),MAX($M$3:OFFSET(M1922,-1,0))+1,0)</f>
        <v>0</v>
      </c>
      <c r="N1922" s="3" t="s">
        <v>1698</v>
      </c>
    </row>
    <row r="1923" spans="1:14" x14ac:dyDescent="0.25">
      <c r="A1923" s="1" t="s">
        <v>11373</v>
      </c>
      <c r="B1923" s="3" t="s">
        <v>5547</v>
      </c>
      <c r="C1923" s="2">
        <f ca="1">IF(ISNUMBER(SEARCH(Лист2!$B$4,D:D)),MAX($C$3:OFFSET(C1923,-1,0))+1,0)</f>
        <v>0</v>
      </c>
      <c r="E1923" s="9" t="str">
        <f t="shared" ca="1" si="41"/>
        <v/>
      </c>
      <c r="F1923" s="4" t="s">
        <v>7</v>
      </c>
      <c r="G1923" s="2">
        <f>IF(ISNUMBER(SEARCH(Лист2!$B$4,F:F)),1,0)</f>
        <v>0</v>
      </c>
      <c r="H1923" s="3">
        <f ca="1">IF(AND(I1923&lt;&gt;I1922,ISNUMBER(SEARCH(Лист2!$B$5,I:I)),G1923=1),MAX($H$3:OFFSET(H1923,-1,0))+1,0)</f>
        <v>0</v>
      </c>
      <c r="I1923" s="3" t="s">
        <v>229</v>
      </c>
      <c r="K1923" s="2">
        <f>IF(ISNUMBER(SEARCH(Лист2!$B$4,F:F)),1,0)</f>
        <v>0</v>
      </c>
      <c r="L1923" s="14">
        <f>IF(ISNUMBER(SEARCH(Лист2!$B$5,I:I)),1,0)+K1923</f>
        <v>0</v>
      </c>
      <c r="M1923" s="3">
        <f ca="1">IF(AND(N1923&lt;&gt;N1922,ISNUMBER(SEARCH(Лист2!$B$6,N:N)),L1923=2),MAX($M$3:OFFSET(M1923,-1,0))+1,0)</f>
        <v>0</v>
      </c>
      <c r="N1923" s="3" t="s">
        <v>1699</v>
      </c>
    </row>
    <row r="1924" spans="1:14" x14ac:dyDescent="0.25">
      <c r="A1924" s="1" t="s">
        <v>11374</v>
      </c>
      <c r="B1924" s="3" t="s">
        <v>5548</v>
      </c>
      <c r="C1924" s="2">
        <f ca="1">IF(ISNUMBER(SEARCH(Лист2!$B$4,D:D)),MAX($C$3:OFFSET(C1924,-1,0))+1,0)</f>
        <v>0</v>
      </c>
      <c r="E1924" s="9" t="str">
        <f t="shared" ca="1" si="41"/>
        <v/>
      </c>
      <c r="F1924" s="4" t="s">
        <v>7</v>
      </c>
      <c r="G1924" s="2">
        <f>IF(ISNUMBER(SEARCH(Лист2!$B$4,F:F)),1,0)</f>
        <v>0</v>
      </c>
      <c r="H1924" s="3">
        <f ca="1">IF(AND(I1924&lt;&gt;I1923,ISNUMBER(SEARCH(Лист2!$B$5,I:I)),G1924=1),MAX($H$3:OFFSET(H1924,-1,0))+1,0)</f>
        <v>0</v>
      </c>
      <c r="I1924" s="3" t="s">
        <v>229</v>
      </c>
      <c r="K1924" s="2">
        <f>IF(ISNUMBER(SEARCH(Лист2!$B$4,F:F)),1,0)</f>
        <v>0</v>
      </c>
      <c r="L1924" s="14">
        <f>IF(ISNUMBER(SEARCH(Лист2!$B$5,I:I)),1,0)+K1924</f>
        <v>0</v>
      </c>
      <c r="M1924" s="3">
        <f ca="1">IF(AND(N1924&lt;&gt;N1923,ISNUMBER(SEARCH(Лист2!$B$6,N:N)),L1924=2),MAX($M$3:OFFSET(M1924,-1,0))+1,0)</f>
        <v>0</v>
      </c>
      <c r="N1924" s="3" t="s">
        <v>1700</v>
      </c>
    </row>
    <row r="1925" spans="1:14" x14ac:dyDescent="0.25">
      <c r="A1925" s="1" t="s">
        <v>11375</v>
      </c>
      <c r="B1925" s="3" t="s">
        <v>5549</v>
      </c>
      <c r="C1925" s="2">
        <f ca="1">IF(ISNUMBER(SEARCH(Лист2!$B$4,D:D)),MAX($C$3:OFFSET(C1925,-1,0))+1,0)</f>
        <v>0</v>
      </c>
      <c r="E1925" s="9" t="str">
        <f t="shared" ref="E1925:E1988" ca="1" si="42">IFERROR(INDEX(D:D,MATCH(ROW(E1925)-ROW($E$3),C:C,0)),"")</f>
        <v/>
      </c>
      <c r="F1925" s="4" t="s">
        <v>7</v>
      </c>
      <c r="G1925" s="2">
        <f>IF(ISNUMBER(SEARCH(Лист2!$B$4,F:F)),1,0)</f>
        <v>0</v>
      </c>
      <c r="H1925" s="3">
        <f ca="1">IF(AND(I1925&lt;&gt;I1924,ISNUMBER(SEARCH(Лист2!$B$5,I:I)),G1925=1),MAX($H$3:OFFSET(H1925,-1,0))+1,0)</f>
        <v>0</v>
      </c>
      <c r="I1925" s="3" t="s">
        <v>229</v>
      </c>
      <c r="K1925" s="2">
        <f>IF(ISNUMBER(SEARCH(Лист2!$B$4,F:F)),1,0)</f>
        <v>0</v>
      </c>
      <c r="L1925" s="14">
        <f>IF(ISNUMBER(SEARCH(Лист2!$B$5,I:I)),1,0)+K1925</f>
        <v>0</v>
      </c>
      <c r="M1925" s="3">
        <f ca="1">IF(AND(N1925&lt;&gt;N1924,ISNUMBER(SEARCH(Лист2!$B$6,N:N)),L1925=2),MAX($M$3:OFFSET(M1925,-1,0))+1,0)</f>
        <v>0</v>
      </c>
      <c r="N1925" s="3" t="s">
        <v>1678</v>
      </c>
    </row>
    <row r="1926" spans="1:14" x14ac:dyDescent="0.25">
      <c r="A1926" s="1" t="s">
        <v>11376</v>
      </c>
      <c r="B1926" s="3" t="s">
        <v>5550</v>
      </c>
      <c r="C1926" s="2">
        <f ca="1">IF(ISNUMBER(SEARCH(Лист2!$B$4,D:D)),MAX($C$3:OFFSET(C1926,-1,0))+1,0)</f>
        <v>0</v>
      </c>
      <c r="E1926" s="9" t="str">
        <f t="shared" ca="1" si="42"/>
        <v/>
      </c>
      <c r="F1926" s="4" t="s">
        <v>7</v>
      </c>
      <c r="G1926" s="2">
        <f>IF(ISNUMBER(SEARCH(Лист2!$B$4,F:F)),1,0)</f>
        <v>0</v>
      </c>
      <c r="H1926" s="3">
        <f ca="1">IF(AND(I1926&lt;&gt;I1925,ISNUMBER(SEARCH(Лист2!$B$5,I:I)),G1926=1),MAX($H$3:OFFSET(H1926,-1,0))+1,0)</f>
        <v>0</v>
      </c>
      <c r="I1926" s="3" t="s">
        <v>229</v>
      </c>
      <c r="K1926" s="2">
        <f>IF(ISNUMBER(SEARCH(Лист2!$B$4,F:F)),1,0)</f>
        <v>0</v>
      </c>
      <c r="L1926" s="14">
        <f>IF(ISNUMBER(SEARCH(Лист2!$B$5,I:I)),1,0)+K1926</f>
        <v>0</v>
      </c>
      <c r="M1926" s="3">
        <f ca="1">IF(AND(N1926&lt;&gt;N1925,ISNUMBER(SEARCH(Лист2!$B$6,N:N)),L1926=2),MAX($M$3:OFFSET(M1926,-1,0))+1,0)</f>
        <v>0</v>
      </c>
      <c r="N1926" s="3" t="s">
        <v>1620</v>
      </c>
    </row>
    <row r="1927" spans="1:14" x14ac:dyDescent="0.25">
      <c r="A1927" s="1" t="s">
        <v>11377</v>
      </c>
      <c r="B1927" s="3" t="s">
        <v>5551</v>
      </c>
      <c r="C1927" s="2">
        <f ca="1">IF(ISNUMBER(SEARCH(Лист2!$B$4,D:D)),MAX($C$3:OFFSET(C1927,-1,0))+1,0)</f>
        <v>0</v>
      </c>
      <c r="E1927" s="9" t="str">
        <f t="shared" ca="1" si="42"/>
        <v/>
      </c>
      <c r="F1927" s="4" t="s">
        <v>7</v>
      </c>
      <c r="G1927" s="2">
        <f>IF(ISNUMBER(SEARCH(Лист2!$B$4,F:F)),1,0)</f>
        <v>0</v>
      </c>
      <c r="H1927" s="3">
        <f ca="1">IF(AND(I1927&lt;&gt;I1926,ISNUMBER(SEARCH(Лист2!$B$5,I:I)),G1927=1),MAX($H$3:OFFSET(H1927,-1,0))+1,0)</f>
        <v>0</v>
      </c>
      <c r="I1927" s="3" t="s">
        <v>229</v>
      </c>
      <c r="K1927" s="2">
        <f>IF(ISNUMBER(SEARCH(Лист2!$B$4,F:F)),1,0)</f>
        <v>0</v>
      </c>
      <c r="L1927" s="14">
        <f>IF(ISNUMBER(SEARCH(Лист2!$B$5,I:I)),1,0)+K1927</f>
        <v>0</v>
      </c>
      <c r="M1927" s="3">
        <f ca="1">IF(AND(N1927&lt;&gt;N1926,ISNUMBER(SEARCH(Лист2!$B$6,N:N)),L1927=2),MAX($M$3:OFFSET(M1927,-1,0))+1,0)</f>
        <v>0</v>
      </c>
      <c r="N1927" s="3" t="s">
        <v>1690</v>
      </c>
    </row>
    <row r="1928" spans="1:14" x14ac:dyDescent="0.25">
      <c r="A1928" s="1" t="s">
        <v>11378</v>
      </c>
      <c r="B1928" s="3" t="s">
        <v>5552</v>
      </c>
      <c r="C1928" s="2">
        <f ca="1">IF(ISNUMBER(SEARCH(Лист2!$B$4,D:D)),MAX($C$3:OFFSET(C1928,-1,0))+1,0)</f>
        <v>0</v>
      </c>
      <c r="E1928" s="9" t="str">
        <f t="shared" ca="1" si="42"/>
        <v/>
      </c>
      <c r="F1928" s="4" t="s">
        <v>7</v>
      </c>
      <c r="G1928" s="2">
        <f>IF(ISNUMBER(SEARCH(Лист2!$B$4,F:F)),1,0)</f>
        <v>0</v>
      </c>
      <c r="H1928" s="3">
        <f ca="1">IF(AND(I1928&lt;&gt;I1927,ISNUMBER(SEARCH(Лист2!$B$5,I:I)),G1928=1),MAX($H$3:OFFSET(H1928,-1,0))+1,0)</f>
        <v>0</v>
      </c>
      <c r="I1928" s="3" t="s">
        <v>229</v>
      </c>
      <c r="K1928" s="2">
        <f>IF(ISNUMBER(SEARCH(Лист2!$B$4,F:F)),1,0)</f>
        <v>0</v>
      </c>
      <c r="L1928" s="14">
        <f>IF(ISNUMBER(SEARCH(Лист2!$B$5,I:I)),1,0)+K1928</f>
        <v>0</v>
      </c>
      <c r="M1928" s="3">
        <f ca="1">IF(AND(N1928&lt;&gt;N1927,ISNUMBER(SEARCH(Лист2!$B$6,N:N)),L1928=2),MAX($M$3:OFFSET(M1928,-1,0))+1,0)</f>
        <v>0</v>
      </c>
      <c r="N1928" s="3" t="s">
        <v>602</v>
      </c>
    </row>
    <row r="1929" spans="1:14" x14ac:dyDescent="0.25">
      <c r="A1929" s="1" t="s">
        <v>11379</v>
      </c>
      <c r="B1929" s="3" t="s">
        <v>5553</v>
      </c>
      <c r="C1929" s="2">
        <f ca="1">IF(ISNUMBER(SEARCH(Лист2!$B$4,D:D)),MAX($C$3:OFFSET(C1929,-1,0))+1,0)</f>
        <v>0</v>
      </c>
      <c r="E1929" s="9" t="str">
        <f t="shared" ca="1" si="42"/>
        <v/>
      </c>
      <c r="F1929" s="4" t="s">
        <v>7</v>
      </c>
      <c r="G1929" s="2">
        <f>IF(ISNUMBER(SEARCH(Лист2!$B$4,F:F)),1,0)</f>
        <v>0</v>
      </c>
      <c r="H1929" s="3">
        <f ca="1">IF(AND(I1929&lt;&gt;I1928,ISNUMBER(SEARCH(Лист2!$B$5,I:I)),G1929=1),MAX($H$3:OFFSET(H1929,-1,0))+1,0)</f>
        <v>0</v>
      </c>
      <c r="I1929" s="3" t="s">
        <v>229</v>
      </c>
      <c r="K1929" s="2">
        <f>IF(ISNUMBER(SEARCH(Лист2!$B$4,F:F)),1,0)</f>
        <v>0</v>
      </c>
      <c r="L1929" s="14">
        <f>IF(ISNUMBER(SEARCH(Лист2!$B$5,I:I)),1,0)+K1929</f>
        <v>0</v>
      </c>
      <c r="M1929" s="3">
        <f ca="1">IF(AND(N1929&lt;&gt;N1928,ISNUMBER(SEARCH(Лист2!$B$6,N:N)),L1929=2),MAX($M$3:OFFSET(M1929,-1,0))+1,0)</f>
        <v>0</v>
      </c>
      <c r="N1929" s="3" t="s">
        <v>1701</v>
      </c>
    </row>
    <row r="1930" spans="1:14" x14ac:dyDescent="0.25">
      <c r="A1930" s="1" t="s">
        <v>11380</v>
      </c>
      <c r="B1930" s="3" t="s">
        <v>5554</v>
      </c>
      <c r="C1930" s="2">
        <f ca="1">IF(ISNUMBER(SEARCH(Лист2!$B$4,D:D)),MAX($C$3:OFFSET(C1930,-1,0))+1,0)</f>
        <v>0</v>
      </c>
      <c r="E1930" s="9" t="str">
        <f t="shared" ca="1" si="42"/>
        <v/>
      </c>
      <c r="F1930" s="4" t="s">
        <v>7</v>
      </c>
      <c r="G1930" s="2">
        <f>IF(ISNUMBER(SEARCH(Лист2!$B$4,F:F)),1,0)</f>
        <v>0</v>
      </c>
      <c r="H1930" s="3">
        <f ca="1">IF(AND(I1930&lt;&gt;I1929,ISNUMBER(SEARCH(Лист2!$B$5,I:I)),G1930=1),MAX($H$3:OFFSET(H1930,-1,0))+1,0)</f>
        <v>0</v>
      </c>
      <c r="I1930" s="3" t="s">
        <v>229</v>
      </c>
      <c r="K1930" s="2">
        <f>IF(ISNUMBER(SEARCH(Лист2!$B$4,F:F)),1,0)</f>
        <v>0</v>
      </c>
      <c r="L1930" s="14">
        <f>IF(ISNUMBER(SEARCH(Лист2!$B$5,I:I)),1,0)+K1930</f>
        <v>0</v>
      </c>
      <c r="M1930" s="3">
        <f ca="1">IF(AND(N1930&lt;&gt;N1929,ISNUMBER(SEARCH(Лист2!$B$6,N:N)),L1930=2),MAX($M$3:OFFSET(M1930,-1,0))+1,0)</f>
        <v>0</v>
      </c>
      <c r="N1930" s="3" t="s">
        <v>1702</v>
      </c>
    </row>
    <row r="1931" spans="1:14" x14ac:dyDescent="0.25">
      <c r="A1931" s="1" t="s">
        <v>11381</v>
      </c>
      <c r="B1931" s="3" t="s">
        <v>5555</v>
      </c>
      <c r="C1931" s="2">
        <f ca="1">IF(ISNUMBER(SEARCH(Лист2!$B$4,D:D)),MAX($C$3:OFFSET(C1931,-1,0))+1,0)</f>
        <v>0</v>
      </c>
      <c r="E1931" s="9" t="str">
        <f t="shared" ca="1" si="42"/>
        <v/>
      </c>
      <c r="F1931" s="4" t="s">
        <v>7</v>
      </c>
      <c r="G1931" s="2">
        <f>IF(ISNUMBER(SEARCH(Лист2!$B$4,F:F)),1,0)</f>
        <v>0</v>
      </c>
      <c r="H1931" s="3">
        <f ca="1">IF(AND(I1931&lt;&gt;I1930,ISNUMBER(SEARCH(Лист2!$B$5,I:I)),G1931=1),MAX($H$3:OFFSET(H1931,-1,0))+1,0)</f>
        <v>0</v>
      </c>
      <c r="I1931" s="3" t="s">
        <v>229</v>
      </c>
      <c r="K1931" s="2">
        <f>IF(ISNUMBER(SEARCH(Лист2!$B$4,F:F)),1,0)</f>
        <v>0</v>
      </c>
      <c r="L1931" s="14">
        <f>IF(ISNUMBER(SEARCH(Лист2!$B$5,I:I)),1,0)+K1931</f>
        <v>0</v>
      </c>
      <c r="M1931" s="3">
        <f ca="1">IF(AND(N1931&lt;&gt;N1930,ISNUMBER(SEARCH(Лист2!$B$6,N:N)),L1931=2),MAX($M$3:OFFSET(M1931,-1,0))+1,0)</f>
        <v>0</v>
      </c>
      <c r="N1931" s="3" t="s">
        <v>1703</v>
      </c>
    </row>
    <row r="1932" spans="1:14" x14ac:dyDescent="0.25">
      <c r="A1932" s="1" t="s">
        <v>11382</v>
      </c>
      <c r="B1932" s="3" t="s">
        <v>5556</v>
      </c>
      <c r="C1932" s="2">
        <f ca="1">IF(ISNUMBER(SEARCH(Лист2!$B$4,D:D)),MAX($C$3:OFFSET(C1932,-1,0))+1,0)</f>
        <v>0</v>
      </c>
      <c r="E1932" s="9" t="str">
        <f t="shared" ca="1" si="42"/>
        <v/>
      </c>
      <c r="F1932" s="4" t="s">
        <v>7</v>
      </c>
      <c r="G1932" s="2">
        <f>IF(ISNUMBER(SEARCH(Лист2!$B$4,F:F)),1,0)</f>
        <v>0</v>
      </c>
      <c r="H1932" s="3">
        <f ca="1">IF(AND(I1932&lt;&gt;I1931,ISNUMBER(SEARCH(Лист2!$B$5,I:I)),G1932=1),MAX($H$3:OFFSET(H1932,-1,0))+1,0)</f>
        <v>0</v>
      </c>
      <c r="I1932" s="3" t="s">
        <v>230</v>
      </c>
      <c r="K1932" s="2">
        <f>IF(ISNUMBER(SEARCH(Лист2!$B$4,F:F)),1,0)</f>
        <v>0</v>
      </c>
      <c r="L1932" s="14">
        <f>IF(ISNUMBER(SEARCH(Лист2!$B$5,I:I)),1,0)+K1932</f>
        <v>0</v>
      </c>
      <c r="M1932" s="3">
        <f ca="1">IF(AND(N1932&lt;&gt;N1931,ISNUMBER(SEARCH(Лист2!$B$6,N:N)),L1932=2),MAX($M$3:OFFSET(M1932,-1,0))+1,0)</f>
        <v>0</v>
      </c>
      <c r="N1932" s="3" t="s">
        <v>1704</v>
      </c>
    </row>
    <row r="1933" spans="1:14" x14ac:dyDescent="0.25">
      <c r="A1933" s="1" t="s">
        <v>11383</v>
      </c>
      <c r="B1933" s="3" t="s">
        <v>5557</v>
      </c>
      <c r="C1933" s="2">
        <f ca="1">IF(ISNUMBER(SEARCH(Лист2!$B$4,D:D)),MAX($C$3:OFFSET(C1933,-1,0))+1,0)</f>
        <v>0</v>
      </c>
      <c r="E1933" s="9" t="str">
        <f t="shared" ca="1" si="42"/>
        <v/>
      </c>
      <c r="F1933" s="4" t="s">
        <v>7</v>
      </c>
      <c r="G1933" s="2">
        <f>IF(ISNUMBER(SEARCH(Лист2!$B$4,F:F)),1,0)</f>
        <v>0</v>
      </c>
      <c r="H1933" s="3">
        <f ca="1">IF(AND(I1933&lt;&gt;I1932,ISNUMBER(SEARCH(Лист2!$B$5,I:I)),G1933=1),MAX($H$3:OFFSET(H1933,-1,0))+1,0)</f>
        <v>0</v>
      </c>
      <c r="I1933" s="3" t="s">
        <v>230</v>
      </c>
      <c r="K1933" s="2">
        <f>IF(ISNUMBER(SEARCH(Лист2!$B$4,F:F)),1,0)</f>
        <v>0</v>
      </c>
      <c r="L1933" s="14">
        <f>IF(ISNUMBER(SEARCH(Лист2!$B$5,I:I)),1,0)+K1933</f>
        <v>0</v>
      </c>
      <c r="M1933" s="3">
        <f ca="1">IF(AND(N1933&lt;&gt;N1932,ISNUMBER(SEARCH(Лист2!$B$6,N:N)),L1933=2),MAX($M$3:OFFSET(M1933,-1,0))+1,0)</f>
        <v>0</v>
      </c>
      <c r="N1933" s="3" t="s">
        <v>1705</v>
      </c>
    </row>
    <row r="1934" spans="1:14" x14ac:dyDescent="0.25">
      <c r="A1934" s="1" t="s">
        <v>11384</v>
      </c>
      <c r="B1934" s="3" t="s">
        <v>5558</v>
      </c>
      <c r="C1934" s="2">
        <f ca="1">IF(ISNUMBER(SEARCH(Лист2!$B$4,D:D)),MAX($C$3:OFFSET(C1934,-1,0))+1,0)</f>
        <v>0</v>
      </c>
      <c r="E1934" s="9" t="str">
        <f t="shared" ca="1" si="42"/>
        <v/>
      </c>
      <c r="F1934" s="4" t="s">
        <v>7</v>
      </c>
      <c r="G1934" s="2">
        <f>IF(ISNUMBER(SEARCH(Лист2!$B$4,F:F)),1,0)</f>
        <v>0</v>
      </c>
      <c r="H1934" s="3">
        <f ca="1">IF(AND(I1934&lt;&gt;I1933,ISNUMBER(SEARCH(Лист2!$B$5,I:I)),G1934=1),MAX($H$3:OFFSET(H1934,-1,0))+1,0)</f>
        <v>0</v>
      </c>
      <c r="I1934" s="3" t="s">
        <v>230</v>
      </c>
      <c r="K1934" s="2">
        <f>IF(ISNUMBER(SEARCH(Лист2!$B$4,F:F)),1,0)</f>
        <v>0</v>
      </c>
      <c r="L1934" s="14">
        <f>IF(ISNUMBER(SEARCH(Лист2!$B$5,I:I)),1,0)+K1934</f>
        <v>0</v>
      </c>
      <c r="M1934" s="3">
        <f ca="1">IF(AND(N1934&lt;&gt;N1933,ISNUMBER(SEARCH(Лист2!$B$6,N:N)),L1934=2),MAX($M$3:OFFSET(M1934,-1,0))+1,0)</f>
        <v>0</v>
      </c>
      <c r="N1934" s="3" t="s">
        <v>1678</v>
      </c>
    </row>
    <row r="1935" spans="1:14" x14ac:dyDescent="0.25">
      <c r="A1935" s="1" t="s">
        <v>11385</v>
      </c>
      <c r="B1935" s="3" t="s">
        <v>5559</v>
      </c>
      <c r="C1935" s="2">
        <f ca="1">IF(ISNUMBER(SEARCH(Лист2!$B$4,D:D)),MAX($C$3:OFFSET(C1935,-1,0))+1,0)</f>
        <v>0</v>
      </c>
      <c r="E1935" s="9" t="str">
        <f t="shared" ca="1" si="42"/>
        <v/>
      </c>
      <c r="F1935" s="4" t="s">
        <v>7</v>
      </c>
      <c r="G1935" s="2">
        <f>IF(ISNUMBER(SEARCH(Лист2!$B$4,F:F)),1,0)</f>
        <v>0</v>
      </c>
      <c r="H1935" s="3">
        <f ca="1">IF(AND(I1935&lt;&gt;I1934,ISNUMBER(SEARCH(Лист2!$B$5,I:I)),G1935=1),MAX($H$3:OFFSET(H1935,-1,0))+1,0)</f>
        <v>0</v>
      </c>
      <c r="I1935" s="3" t="s">
        <v>230</v>
      </c>
      <c r="K1935" s="2">
        <f>IF(ISNUMBER(SEARCH(Лист2!$B$4,F:F)),1,0)</f>
        <v>0</v>
      </c>
      <c r="L1935" s="14">
        <f>IF(ISNUMBER(SEARCH(Лист2!$B$5,I:I)),1,0)+K1935</f>
        <v>0</v>
      </c>
      <c r="M1935" s="3">
        <f ca="1">IF(AND(N1935&lt;&gt;N1934,ISNUMBER(SEARCH(Лист2!$B$6,N:N)),L1935=2),MAX($M$3:OFFSET(M1935,-1,0))+1,0)</f>
        <v>0</v>
      </c>
      <c r="N1935" s="3" t="s">
        <v>1620</v>
      </c>
    </row>
    <row r="1936" spans="1:14" x14ac:dyDescent="0.25">
      <c r="A1936" s="1" t="s">
        <v>11386</v>
      </c>
      <c r="B1936" s="3" t="s">
        <v>5560</v>
      </c>
      <c r="C1936" s="2">
        <f ca="1">IF(ISNUMBER(SEARCH(Лист2!$B$4,D:D)),MAX($C$3:OFFSET(C1936,-1,0))+1,0)</f>
        <v>0</v>
      </c>
      <c r="E1936" s="9" t="str">
        <f t="shared" ca="1" si="42"/>
        <v/>
      </c>
      <c r="F1936" s="4" t="s">
        <v>7</v>
      </c>
      <c r="G1936" s="2">
        <f>IF(ISNUMBER(SEARCH(Лист2!$B$4,F:F)),1,0)</f>
        <v>0</v>
      </c>
      <c r="H1936" s="3">
        <f ca="1">IF(AND(I1936&lt;&gt;I1935,ISNUMBER(SEARCH(Лист2!$B$5,I:I)),G1936=1),MAX($H$3:OFFSET(H1936,-1,0))+1,0)</f>
        <v>0</v>
      </c>
      <c r="I1936" s="3" t="s">
        <v>230</v>
      </c>
      <c r="K1936" s="2">
        <f>IF(ISNUMBER(SEARCH(Лист2!$B$4,F:F)),1,0)</f>
        <v>0</v>
      </c>
      <c r="L1936" s="14">
        <f>IF(ISNUMBER(SEARCH(Лист2!$B$5,I:I)),1,0)+K1936</f>
        <v>0</v>
      </c>
      <c r="M1936" s="3">
        <f ca="1">IF(AND(N1936&lt;&gt;N1935,ISNUMBER(SEARCH(Лист2!$B$6,N:N)),L1936=2),MAX($M$3:OFFSET(M1936,-1,0))+1,0)</f>
        <v>0</v>
      </c>
      <c r="N1936" s="3" t="s">
        <v>1690</v>
      </c>
    </row>
    <row r="1937" spans="1:14" x14ac:dyDescent="0.25">
      <c r="A1937" s="1" t="s">
        <v>11387</v>
      </c>
      <c r="B1937" s="3" t="s">
        <v>5561</v>
      </c>
      <c r="C1937" s="2">
        <f ca="1">IF(ISNUMBER(SEARCH(Лист2!$B$4,D:D)),MAX($C$3:OFFSET(C1937,-1,0))+1,0)</f>
        <v>0</v>
      </c>
      <c r="E1937" s="9" t="str">
        <f t="shared" ca="1" si="42"/>
        <v/>
      </c>
      <c r="F1937" s="4" t="s">
        <v>7</v>
      </c>
      <c r="G1937" s="2">
        <f>IF(ISNUMBER(SEARCH(Лист2!$B$4,F:F)),1,0)</f>
        <v>0</v>
      </c>
      <c r="H1937" s="3">
        <f ca="1">IF(AND(I1937&lt;&gt;I1936,ISNUMBER(SEARCH(Лист2!$B$5,I:I)),G1937=1),MAX($H$3:OFFSET(H1937,-1,0))+1,0)</f>
        <v>0</v>
      </c>
      <c r="I1937" s="3" t="s">
        <v>230</v>
      </c>
      <c r="K1937" s="2">
        <f>IF(ISNUMBER(SEARCH(Лист2!$B$4,F:F)),1,0)</f>
        <v>0</v>
      </c>
      <c r="L1937" s="14">
        <f>IF(ISNUMBER(SEARCH(Лист2!$B$5,I:I)),1,0)+K1937</f>
        <v>0</v>
      </c>
      <c r="M1937" s="3">
        <f ca="1">IF(AND(N1937&lt;&gt;N1936,ISNUMBER(SEARCH(Лист2!$B$6,N:N)),L1937=2),MAX($M$3:OFFSET(M1937,-1,0))+1,0)</f>
        <v>0</v>
      </c>
      <c r="N1937" s="3" t="s">
        <v>602</v>
      </c>
    </row>
    <row r="1938" spans="1:14" x14ac:dyDescent="0.25">
      <c r="A1938" s="1" t="s">
        <v>11388</v>
      </c>
      <c r="B1938" s="3" t="s">
        <v>5562</v>
      </c>
      <c r="C1938" s="2">
        <f ca="1">IF(ISNUMBER(SEARCH(Лист2!$B$4,D:D)),MAX($C$3:OFFSET(C1938,-1,0))+1,0)</f>
        <v>0</v>
      </c>
      <c r="E1938" s="9" t="str">
        <f t="shared" ca="1" si="42"/>
        <v/>
      </c>
      <c r="F1938" s="4" t="s">
        <v>7</v>
      </c>
      <c r="G1938" s="2">
        <f>IF(ISNUMBER(SEARCH(Лист2!$B$4,F:F)),1,0)</f>
        <v>0</v>
      </c>
      <c r="H1938" s="3">
        <f ca="1">IF(AND(I1938&lt;&gt;I1937,ISNUMBER(SEARCH(Лист2!$B$5,I:I)),G1938=1),MAX($H$3:OFFSET(H1938,-1,0))+1,0)</f>
        <v>0</v>
      </c>
      <c r="I1938" s="3" t="s">
        <v>230</v>
      </c>
      <c r="K1938" s="2">
        <f>IF(ISNUMBER(SEARCH(Лист2!$B$4,F:F)),1,0)</f>
        <v>0</v>
      </c>
      <c r="L1938" s="14">
        <f>IF(ISNUMBER(SEARCH(Лист2!$B$5,I:I)),1,0)+K1938</f>
        <v>0</v>
      </c>
      <c r="M1938" s="3">
        <f ca="1">IF(AND(N1938&lt;&gt;N1937,ISNUMBER(SEARCH(Лист2!$B$6,N:N)),L1938=2),MAX($M$3:OFFSET(M1938,-1,0))+1,0)</f>
        <v>0</v>
      </c>
      <c r="N1938" s="3" t="s">
        <v>1706</v>
      </c>
    </row>
    <row r="1939" spans="1:14" x14ac:dyDescent="0.25">
      <c r="A1939" s="1" t="s">
        <v>11389</v>
      </c>
      <c r="B1939" s="3" t="s">
        <v>5563</v>
      </c>
      <c r="C1939" s="2">
        <f ca="1">IF(ISNUMBER(SEARCH(Лист2!$B$4,D:D)),MAX($C$3:OFFSET(C1939,-1,0))+1,0)</f>
        <v>0</v>
      </c>
      <c r="E1939" s="9" t="str">
        <f t="shared" ca="1" si="42"/>
        <v/>
      </c>
      <c r="F1939" s="4" t="s">
        <v>7</v>
      </c>
      <c r="G1939" s="2">
        <f>IF(ISNUMBER(SEARCH(Лист2!$B$4,F:F)),1,0)</f>
        <v>0</v>
      </c>
      <c r="H1939" s="3">
        <f ca="1">IF(AND(I1939&lt;&gt;I1938,ISNUMBER(SEARCH(Лист2!$B$5,I:I)),G1939=1),MAX($H$3:OFFSET(H1939,-1,0))+1,0)</f>
        <v>0</v>
      </c>
      <c r="I1939" s="3" t="s">
        <v>230</v>
      </c>
      <c r="K1939" s="2">
        <f>IF(ISNUMBER(SEARCH(Лист2!$B$4,F:F)),1,0)</f>
        <v>0</v>
      </c>
      <c r="L1939" s="14">
        <f>IF(ISNUMBER(SEARCH(Лист2!$B$5,I:I)),1,0)+K1939</f>
        <v>0</v>
      </c>
      <c r="M1939" s="3">
        <f ca="1">IF(AND(N1939&lt;&gt;N1938,ISNUMBER(SEARCH(Лист2!$B$6,N:N)),L1939=2),MAX($M$3:OFFSET(M1939,-1,0))+1,0)</f>
        <v>0</v>
      </c>
      <c r="N1939" s="3" t="s">
        <v>1707</v>
      </c>
    </row>
    <row r="1940" spans="1:14" x14ac:dyDescent="0.25">
      <c r="A1940" s="1" t="s">
        <v>11390</v>
      </c>
      <c r="B1940" s="3" t="s">
        <v>5564</v>
      </c>
      <c r="C1940" s="2">
        <f ca="1">IF(ISNUMBER(SEARCH(Лист2!$B$4,D:D)),MAX($C$3:OFFSET(C1940,-1,0))+1,0)</f>
        <v>0</v>
      </c>
      <c r="E1940" s="9" t="str">
        <f t="shared" ca="1" si="42"/>
        <v/>
      </c>
      <c r="F1940" s="4" t="s">
        <v>7</v>
      </c>
      <c r="G1940" s="2">
        <f>IF(ISNUMBER(SEARCH(Лист2!$B$4,F:F)),1,0)</f>
        <v>0</v>
      </c>
      <c r="H1940" s="3">
        <f ca="1">IF(AND(I1940&lt;&gt;I1939,ISNUMBER(SEARCH(Лист2!$B$5,I:I)),G1940=1),MAX($H$3:OFFSET(H1940,-1,0))+1,0)</f>
        <v>0</v>
      </c>
      <c r="I1940" s="3" t="s">
        <v>230</v>
      </c>
      <c r="K1940" s="2">
        <f>IF(ISNUMBER(SEARCH(Лист2!$B$4,F:F)),1,0)</f>
        <v>0</v>
      </c>
      <c r="L1940" s="14">
        <f>IF(ISNUMBER(SEARCH(Лист2!$B$5,I:I)),1,0)+K1940</f>
        <v>0</v>
      </c>
      <c r="M1940" s="3">
        <f ca="1">IF(AND(N1940&lt;&gt;N1939,ISNUMBER(SEARCH(Лист2!$B$6,N:N)),L1940=2),MAX($M$3:OFFSET(M1940,-1,0))+1,0)</f>
        <v>0</v>
      </c>
      <c r="N1940" s="3" t="s">
        <v>1708</v>
      </c>
    </row>
    <row r="1941" spans="1:14" x14ac:dyDescent="0.25">
      <c r="A1941" s="1" t="s">
        <v>11391</v>
      </c>
      <c r="B1941" s="3" t="s">
        <v>5565</v>
      </c>
      <c r="C1941" s="2">
        <f ca="1">IF(ISNUMBER(SEARCH(Лист2!$B$4,D:D)),MAX($C$3:OFFSET(C1941,-1,0))+1,0)</f>
        <v>0</v>
      </c>
      <c r="E1941" s="9" t="str">
        <f t="shared" ca="1" si="42"/>
        <v/>
      </c>
      <c r="F1941" s="4" t="s">
        <v>7</v>
      </c>
      <c r="G1941" s="2">
        <f>IF(ISNUMBER(SEARCH(Лист2!$B$4,F:F)),1,0)</f>
        <v>0</v>
      </c>
      <c r="H1941" s="3">
        <f ca="1">IF(AND(I1941&lt;&gt;I1940,ISNUMBER(SEARCH(Лист2!$B$5,I:I)),G1941=1),MAX($H$3:OFFSET(H1941,-1,0))+1,0)</f>
        <v>0</v>
      </c>
      <c r="I1941" s="3" t="s">
        <v>231</v>
      </c>
      <c r="K1941" s="2">
        <f>IF(ISNUMBER(SEARCH(Лист2!$B$4,F:F)),1,0)</f>
        <v>0</v>
      </c>
      <c r="L1941" s="14">
        <f>IF(ISNUMBER(SEARCH(Лист2!$B$5,I:I)),1,0)+K1941</f>
        <v>0</v>
      </c>
      <c r="M1941" s="3">
        <f ca="1">IF(AND(N1941&lt;&gt;N1940,ISNUMBER(SEARCH(Лист2!$B$6,N:N)),L1941=2),MAX($M$3:OFFSET(M1941,-1,0))+1,0)</f>
        <v>0</v>
      </c>
      <c r="N1941" s="3" t="s">
        <v>1709</v>
      </c>
    </row>
    <row r="1942" spans="1:14" x14ac:dyDescent="0.25">
      <c r="A1942" s="1" t="s">
        <v>11392</v>
      </c>
      <c r="B1942" s="3" t="s">
        <v>5566</v>
      </c>
      <c r="C1942" s="2">
        <f ca="1">IF(ISNUMBER(SEARCH(Лист2!$B$4,D:D)),MAX($C$3:OFFSET(C1942,-1,0))+1,0)</f>
        <v>0</v>
      </c>
      <c r="E1942" s="9" t="str">
        <f t="shared" ca="1" si="42"/>
        <v/>
      </c>
      <c r="F1942" s="4" t="s">
        <v>7</v>
      </c>
      <c r="G1942" s="2">
        <f>IF(ISNUMBER(SEARCH(Лист2!$B$4,F:F)),1,0)</f>
        <v>0</v>
      </c>
      <c r="H1942" s="3">
        <f ca="1">IF(AND(I1942&lt;&gt;I1941,ISNUMBER(SEARCH(Лист2!$B$5,I:I)),G1942=1),MAX($H$3:OFFSET(H1942,-1,0))+1,0)</f>
        <v>0</v>
      </c>
      <c r="I1942" s="3" t="s">
        <v>231</v>
      </c>
      <c r="K1942" s="2">
        <f>IF(ISNUMBER(SEARCH(Лист2!$B$4,F:F)),1,0)</f>
        <v>0</v>
      </c>
      <c r="L1942" s="14">
        <f>IF(ISNUMBER(SEARCH(Лист2!$B$5,I:I)),1,0)+K1942</f>
        <v>0</v>
      </c>
      <c r="M1942" s="3">
        <f ca="1">IF(AND(N1942&lt;&gt;N1941,ISNUMBER(SEARCH(Лист2!$B$6,N:N)),L1942=2),MAX($M$3:OFFSET(M1942,-1,0))+1,0)</f>
        <v>0</v>
      </c>
      <c r="N1942" s="3" t="s">
        <v>1710</v>
      </c>
    </row>
    <row r="1943" spans="1:14" x14ac:dyDescent="0.25">
      <c r="A1943" s="1" t="s">
        <v>11392</v>
      </c>
      <c r="B1943" s="3" t="s">
        <v>5567</v>
      </c>
      <c r="C1943" s="2">
        <f ca="1">IF(ISNUMBER(SEARCH(Лист2!$B$4,D:D)),MAX($C$3:OFFSET(C1943,-1,0))+1,0)</f>
        <v>0</v>
      </c>
      <c r="E1943" s="9" t="str">
        <f t="shared" ca="1" si="42"/>
        <v/>
      </c>
      <c r="F1943" s="4" t="s">
        <v>7</v>
      </c>
      <c r="G1943" s="2">
        <f>IF(ISNUMBER(SEARCH(Лист2!$B$4,F:F)),1,0)</f>
        <v>0</v>
      </c>
      <c r="H1943" s="3">
        <f ca="1">IF(AND(I1943&lt;&gt;I1942,ISNUMBER(SEARCH(Лист2!$B$5,I:I)),G1943=1),MAX($H$3:OFFSET(H1943,-1,0))+1,0)</f>
        <v>0</v>
      </c>
      <c r="I1943" s="3" t="s">
        <v>231</v>
      </c>
      <c r="K1943" s="2">
        <f>IF(ISNUMBER(SEARCH(Лист2!$B$4,F:F)),1,0)</f>
        <v>0</v>
      </c>
      <c r="L1943" s="14">
        <f>IF(ISNUMBER(SEARCH(Лист2!$B$5,I:I)),1,0)+K1943</f>
        <v>0</v>
      </c>
      <c r="M1943" s="3">
        <f ca="1">IF(AND(N1943&lt;&gt;N1942,ISNUMBER(SEARCH(Лист2!$B$6,N:N)),L1943=2),MAX($M$3:OFFSET(M1943,-1,0))+1,0)</f>
        <v>0</v>
      </c>
      <c r="N1943" s="3" t="s">
        <v>1710</v>
      </c>
    </row>
    <row r="1944" spans="1:14" x14ac:dyDescent="0.25">
      <c r="A1944" s="1" t="s">
        <v>11393</v>
      </c>
      <c r="B1944" s="3" t="s">
        <v>5568</v>
      </c>
      <c r="C1944" s="2">
        <f ca="1">IF(ISNUMBER(SEARCH(Лист2!$B$4,D:D)),MAX($C$3:OFFSET(C1944,-1,0))+1,0)</f>
        <v>0</v>
      </c>
      <c r="E1944" s="9" t="str">
        <f t="shared" ca="1" si="42"/>
        <v/>
      </c>
      <c r="F1944" s="4" t="s">
        <v>7</v>
      </c>
      <c r="G1944" s="2">
        <f>IF(ISNUMBER(SEARCH(Лист2!$B$4,F:F)),1,0)</f>
        <v>0</v>
      </c>
      <c r="H1944" s="3">
        <f ca="1">IF(AND(I1944&lt;&gt;I1943,ISNUMBER(SEARCH(Лист2!$B$5,I:I)),G1944=1),MAX($H$3:OFFSET(H1944,-1,0))+1,0)</f>
        <v>0</v>
      </c>
      <c r="I1944" s="3" t="s">
        <v>231</v>
      </c>
      <c r="K1944" s="2">
        <f>IF(ISNUMBER(SEARCH(Лист2!$B$4,F:F)),1,0)</f>
        <v>0</v>
      </c>
      <c r="L1944" s="14">
        <f>IF(ISNUMBER(SEARCH(Лист2!$B$5,I:I)),1,0)+K1944</f>
        <v>0</v>
      </c>
      <c r="M1944" s="3">
        <f ca="1">IF(AND(N1944&lt;&gt;N1943,ISNUMBER(SEARCH(Лист2!$B$6,N:N)),L1944=2),MAX($M$3:OFFSET(M1944,-1,0))+1,0)</f>
        <v>0</v>
      </c>
      <c r="N1944" s="3" t="s">
        <v>1678</v>
      </c>
    </row>
    <row r="1945" spans="1:14" x14ac:dyDescent="0.25">
      <c r="A1945" s="1" t="s">
        <v>11394</v>
      </c>
      <c r="B1945" s="3" t="s">
        <v>5569</v>
      </c>
      <c r="C1945" s="2">
        <f ca="1">IF(ISNUMBER(SEARCH(Лист2!$B$4,D:D)),MAX($C$3:OFFSET(C1945,-1,0))+1,0)</f>
        <v>0</v>
      </c>
      <c r="E1945" s="9" t="str">
        <f t="shared" ca="1" si="42"/>
        <v/>
      </c>
      <c r="F1945" s="4" t="s">
        <v>7</v>
      </c>
      <c r="G1945" s="2">
        <f>IF(ISNUMBER(SEARCH(Лист2!$B$4,F:F)),1,0)</f>
        <v>0</v>
      </c>
      <c r="H1945" s="3">
        <f ca="1">IF(AND(I1945&lt;&gt;I1944,ISNUMBER(SEARCH(Лист2!$B$5,I:I)),G1945=1),MAX($H$3:OFFSET(H1945,-1,0))+1,0)</f>
        <v>0</v>
      </c>
      <c r="I1945" s="3" t="s">
        <v>231</v>
      </c>
      <c r="K1945" s="2">
        <f>IF(ISNUMBER(SEARCH(Лист2!$B$4,F:F)),1,0)</f>
        <v>0</v>
      </c>
      <c r="L1945" s="14">
        <f>IF(ISNUMBER(SEARCH(Лист2!$B$5,I:I)),1,0)+K1945</f>
        <v>0</v>
      </c>
      <c r="M1945" s="3">
        <f ca="1">IF(AND(N1945&lt;&gt;N1944,ISNUMBER(SEARCH(Лист2!$B$6,N:N)),L1945=2),MAX($M$3:OFFSET(M1945,-1,0))+1,0)</f>
        <v>0</v>
      </c>
      <c r="N1945" s="3" t="s">
        <v>1620</v>
      </c>
    </row>
    <row r="1946" spans="1:14" x14ac:dyDescent="0.25">
      <c r="A1946" s="1" t="s">
        <v>11395</v>
      </c>
      <c r="B1946" s="3" t="s">
        <v>5570</v>
      </c>
      <c r="C1946" s="2">
        <f ca="1">IF(ISNUMBER(SEARCH(Лист2!$B$4,D:D)),MAX($C$3:OFFSET(C1946,-1,0))+1,0)</f>
        <v>0</v>
      </c>
      <c r="E1946" s="9" t="str">
        <f t="shared" ca="1" si="42"/>
        <v/>
      </c>
      <c r="F1946" s="4" t="s">
        <v>7</v>
      </c>
      <c r="G1946" s="2">
        <f>IF(ISNUMBER(SEARCH(Лист2!$B$4,F:F)),1,0)</f>
        <v>0</v>
      </c>
      <c r="H1946" s="3">
        <f ca="1">IF(AND(I1946&lt;&gt;I1945,ISNUMBER(SEARCH(Лист2!$B$5,I:I)),G1946=1),MAX($H$3:OFFSET(H1946,-1,0))+1,0)</f>
        <v>0</v>
      </c>
      <c r="I1946" s="3" t="s">
        <v>231</v>
      </c>
      <c r="K1946" s="2">
        <f>IF(ISNUMBER(SEARCH(Лист2!$B$4,F:F)),1,0)</f>
        <v>0</v>
      </c>
      <c r="L1946" s="14">
        <f>IF(ISNUMBER(SEARCH(Лист2!$B$5,I:I)),1,0)+K1946</f>
        <v>0</v>
      </c>
      <c r="M1946" s="3">
        <f ca="1">IF(AND(N1946&lt;&gt;N1945,ISNUMBER(SEARCH(Лист2!$B$6,N:N)),L1946=2),MAX($M$3:OFFSET(M1946,-1,0))+1,0)</f>
        <v>0</v>
      </c>
      <c r="N1946" s="3" t="s">
        <v>1621</v>
      </c>
    </row>
    <row r="1947" spans="1:14" x14ac:dyDescent="0.25">
      <c r="A1947" s="1" t="s">
        <v>11396</v>
      </c>
      <c r="B1947" s="3" t="s">
        <v>5571</v>
      </c>
      <c r="C1947" s="2">
        <f ca="1">IF(ISNUMBER(SEARCH(Лист2!$B$4,D:D)),MAX($C$3:OFFSET(C1947,-1,0))+1,0)</f>
        <v>0</v>
      </c>
      <c r="E1947" s="9" t="str">
        <f t="shared" ca="1" si="42"/>
        <v/>
      </c>
      <c r="F1947" s="4" t="s">
        <v>7</v>
      </c>
      <c r="G1947" s="2">
        <f>IF(ISNUMBER(SEARCH(Лист2!$B$4,F:F)),1,0)</f>
        <v>0</v>
      </c>
      <c r="H1947" s="3">
        <f ca="1">IF(AND(I1947&lt;&gt;I1946,ISNUMBER(SEARCH(Лист2!$B$5,I:I)),G1947=1),MAX($H$3:OFFSET(H1947,-1,0))+1,0)</f>
        <v>0</v>
      </c>
      <c r="I1947" s="3" t="s">
        <v>231</v>
      </c>
      <c r="K1947" s="2">
        <f>IF(ISNUMBER(SEARCH(Лист2!$B$4,F:F)),1,0)</f>
        <v>0</v>
      </c>
      <c r="L1947" s="14">
        <f>IF(ISNUMBER(SEARCH(Лист2!$B$5,I:I)),1,0)+K1947</f>
        <v>0</v>
      </c>
      <c r="M1947" s="3">
        <f ca="1">IF(AND(N1947&lt;&gt;N1946,ISNUMBER(SEARCH(Лист2!$B$6,N:N)),L1947=2),MAX($M$3:OFFSET(M1947,-1,0))+1,0)</f>
        <v>0</v>
      </c>
      <c r="N1947" s="3" t="s">
        <v>602</v>
      </c>
    </row>
    <row r="1948" spans="1:14" x14ac:dyDescent="0.25">
      <c r="A1948" s="1" t="s">
        <v>11397</v>
      </c>
      <c r="B1948" s="3" t="s">
        <v>5572</v>
      </c>
      <c r="C1948" s="2">
        <f ca="1">IF(ISNUMBER(SEARCH(Лист2!$B$4,D:D)),MAX($C$3:OFFSET(C1948,-1,0))+1,0)</f>
        <v>0</v>
      </c>
      <c r="E1948" s="9" t="str">
        <f t="shared" ca="1" si="42"/>
        <v/>
      </c>
      <c r="F1948" s="4" t="s">
        <v>7</v>
      </c>
      <c r="G1948" s="2">
        <f>IF(ISNUMBER(SEARCH(Лист2!$B$4,F:F)),1,0)</f>
        <v>0</v>
      </c>
      <c r="H1948" s="3">
        <f ca="1">IF(AND(I1948&lt;&gt;I1947,ISNUMBER(SEARCH(Лист2!$B$5,I:I)),G1948=1),MAX($H$3:OFFSET(H1948,-1,0))+1,0)</f>
        <v>0</v>
      </c>
      <c r="I1948" s="3" t="s">
        <v>231</v>
      </c>
      <c r="K1948" s="2">
        <f>IF(ISNUMBER(SEARCH(Лист2!$B$4,F:F)),1,0)</f>
        <v>0</v>
      </c>
      <c r="L1948" s="14">
        <f>IF(ISNUMBER(SEARCH(Лист2!$B$5,I:I)),1,0)+K1948</f>
        <v>0</v>
      </c>
      <c r="M1948" s="3">
        <f ca="1">IF(AND(N1948&lt;&gt;N1947,ISNUMBER(SEARCH(Лист2!$B$6,N:N)),L1948=2),MAX($M$3:OFFSET(M1948,-1,0))+1,0)</f>
        <v>0</v>
      </c>
      <c r="N1948" s="3" t="s">
        <v>1711</v>
      </c>
    </row>
    <row r="1949" spans="1:14" x14ac:dyDescent="0.25">
      <c r="A1949" s="1" t="s">
        <v>11398</v>
      </c>
      <c r="B1949" s="3" t="s">
        <v>5573</v>
      </c>
      <c r="C1949" s="2">
        <f ca="1">IF(ISNUMBER(SEARCH(Лист2!$B$4,D:D)),MAX($C$3:OFFSET(C1949,-1,0))+1,0)</f>
        <v>0</v>
      </c>
      <c r="E1949" s="9" t="str">
        <f t="shared" ca="1" si="42"/>
        <v/>
      </c>
      <c r="F1949" s="4" t="s">
        <v>7</v>
      </c>
      <c r="G1949" s="2">
        <f>IF(ISNUMBER(SEARCH(Лист2!$B$4,F:F)),1,0)</f>
        <v>0</v>
      </c>
      <c r="H1949" s="3">
        <f ca="1">IF(AND(I1949&lt;&gt;I1948,ISNUMBER(SEARCH(Лист2!$B$5,I:I)),G1949=1),MAX($H$3:OFFSET(H1949,-1,0))+1,0)</f>
        <v>0</v>
      </c>
      <c r="I1949" s="3" t="s">
        <v>231</v>
      </c>
      <c r="K1949" s="2">
        <f>IF(ISNUMBER(SEARCH(Лист2!$B$4,F:F)),1,0)</f>
        <v>0</v>
      </c>
      <c r="L1949" s="14">
        <f>IF(ISNUMBER(SEARCH(Лист2!$B$5,I:I)),1,0)+K1949</f>
        <v>0</v>
      </c>
      <c r="M1949" s="3">
        <f ca="1">IF(AND(N1949&lt;&gt;N1948,ISNUMBER(SEARCH(Лист2!$B$6,N:N)),L1949=2),MAX($M$3:OFFSET(M1949,-1,0))+1,0)</f>
        <v>0</v>
      </c>
      <c r="N1949" s="3" t="s">
        <v>1712</v>
      </c>
    </row>
    <row r="1950" spans="1:14" x14ac:dyDescent="0.25">
      <c r="A1950" s="1" t="s">
        <v>11399</v>
      </c>
      <c r="B1950" s="3" t="s">
        <v>5574</v>
      </c>
      <c r="C1950" s="2">
        <f ca="1">IF(ISNUMBER(SEARCH(Лист2!$B$4,D:D)),MAX($C$3:OFFSET(C1950,-1,0))+1,0)</f>
        <v>0</v>
      </c>
      <c r="E1950" s="9" t="str">
        <f t="shared" ca="1" si="42"/>
        <v/>
      </c>
      <c r="F1950" s="4" t="s">
        <v>7</v>
      </c>
      <c r="G1950" s="2">
        <f>IF(ISNUMBER(SEARCH(Лист2!$B$4,F:F)),1,0)</f>
        <v>0</v>
      </c>
      <c r="H1950" s="3">
        <f ca="1">IF(AND(I1950&lt;&gt;I1949,ISNUMBER(SEARCH(Лист2!$B$5,I:I)),G1950=1),MAX($H$3:OFFSET(H1950,-1,0))+1,0)</f>
        <v>0</v>
      </c>
      <c r="I1950" s="3" t="s">
        <v>231</v>
      </c>
      <c r="K1950" s="2">
        <f>IF(ISNUMBER(SEARCH(Лист2!$B$4,F:F)),1,0)</f>
        <v>0</v>
      </c>
      <c r="L1950" s="14">
        <f>IF(ISNUMBER(SEARCH(Лист2!$B$5,I:I)),1,0)+K1950</f>
        <v>0</v>
      </c>
      <c r="M1950" s="3">
        <f ca="1">IF(AND(N1950&lt;&gt;N1949,ISNUMBER(SEARCH(Лист2!$B$6,N:N)),L1950=2),MAX($M$3:OFFSET(M1950,-1,0))+1,0)</f>
        <v>0</v>
      </c>
      <c r="N1950" s="3" t="s">
        <v>1713</v>
      </c>
    </row>
    <row r="1951" spans="1:14" x14ac:dyDescent="0.25">
      <c r="A1951" s="1" t="s">
        <v>11400</v>
      </c>
      <c r="B1951" s="3" t="s">
        <v>5575</v>
      </c>
      <c r="C1951" s="2">
        <f ca="1">IF(ISNUMBER(SEARCH(Лист2!$B$4,D:D)),MAX($C$3:OFFSET(C1951,-1,0))+1,0)</f>
        <v>0</v>
      </c>
      <c r="E1951" s="9" t="str">
        <f t="shared" ca="1" si="42"/>
        <v/>
      </c>
      <c r="F1951" s="4" t="s">
        <v>7</v>
      </c>
      <c r="G1951" s="2">
        <f>IF(ISNUMBER(SEARCH(Лист2!$B$4,F:F)),1,0)</f>
        <v>0</v>
      </c>
      <c r="H1951" s="3">
        <f ca="1">IF(AND(I1951&lt;&gt;I1950,ISNUMBER(SEARCH(Лист2!$B$5,I:I)),G1951=1),MAX($H$3:OFFSET(H1951,-1,0))+1,0)</f>
        <v>0</v>
      </c>
      <c r="I1951" s="3" t="s">
        <v>232</v>
      </c>
      <c r="K1951" s="2">
        <f>IF(ISNUMBER(SEARCH(Лист2!$B$4,F:F)),1,0)</f>
        <v>0</v>
      </c>
      <c r="L1951" s="14">
        <f>IF(ISNUMBER(SEARCH(Лист2!$B$5,I:I)),1,0)+K1951</f>
        <v>0</v>
      </c>
      <c r="M1951" s="3">
        <f ca="1">IF(AND(N1951&lt;&gt;N1950,ISNUMBER(SEARCH(Лист2!$B$6,N:N)),L1951=2),MAX($M$3:OFFSET(M1951,-1,0))+1,0)</f>
        <v>0</v>
      </c>
      <c r="N1951" s="3" t="s">
        <v>1714</v>
      </c>
    </row>
    <row r="1952" spans="1:14" x14ac:dyDescent="0.25">
      <c r="A1952" s="1" t="s">
        <v>11401</v>
      </c>
      <c r="B1952" s="3" t="s">
        <v>5576</v>
      </c>
      <c r="C1952" s="2">
        <f ca="1">IF(ISNUMBER(SEARCH(Лист2!$B$4,D:D)),MAX($C$3:OFFSET(C1952,-1,0))+1,0)</f>
        <v>0</v>
      </c>
      <c r="E1952" s="9" t="str">
        <f t="shared" ca="1" si="42"/>
        <v/>
      </c>
      <c r="F1952" s="4" t="s">
        <v>7</v>
      </c>
      <c r="G1952" s="2">
        <f>IF(ISNUMBER(SEARCH(Лист2!$B$4,F:F)),1,0)</f>
        <v>0</v>
      </c>
      <c r="H1952" s="3">
        <f ca="1">IF(AND(I1952&lt;&gt;I1951,ISNUMBER(SEARCH(Лист2!$B$5,I:I)),G1952=1),MAX($H$3:OFFSET(H1952,-1,0))+1,0)</f>
        <v>0</v>
      </c>
      <c r="I1952" s="3" t="s">
        <v>232</v>
      </c>
      <c r="K1952" s="2">
        <f>IF(ISNUMBER(SEARCH(Лист2!$B$4,F:F)),1,0)</f>
        <v>0</v>
      </c>
      <c r="L1952" s="14">
        <f>IF(ISNUMBER(SEARCH(Лист2!$B$5,I:I)),1,0)+K1952</f>
        <v>0</v>
      </c>
      <c r="M1952" s="3">
        <f ca="1">IF(AND(N1952&lt;&gt;N1951,ISNUMBER(SEARCH(Лист2!$B$6,N:N)),L1952=2),MAX($M$3:OFFSET(M1952,-1,0))+1,0)</f>
        <v>0</v>
      </c>
      <c r="N1952" s="3" t="s">
        <v>1715</v>
      </c>
    </row>
    <row r="1953" spans="1:14" x14ac:dyDescent="0.25">
      <c r="A1953" s="1" t="s">
        <v>11402</v>
      </c>
      <c r="B1953" s="3" t="s">
        <v>5577</v>
      </c>
      <c r="C1953" s="2">
        <f ca="1">IF(ISNUMBER(SEARCH(Лист2!$B$4,D:D)),MAX($C$3:OFFSET(C1953,-1,0))+1,0)</f>
        <v>0</v>
      </c>
      <c r="E1953" s="9" t="str">
        <f t="shared" ca="1" si="42"/>
        <v/>
      </c>
      <c r="F1953" s="4" t="s">
        <v>7</v>
      </c>
      <c r="G1953" s="2">
        <f>IF(ISNUMBER(SEARCH(Лист2!$B$4,F:F)),1,0)</f>
        <v>0</v>
      </c>
      <c r="H1953" s="3">
        <f ca="1">IF(AND(I1953&lt;&gt;I1952,ISNUMBER(SEARCH(Лист2!$B$5,I:I)),G1953=1),MAX($H$3:OFFSET(H1953,-1,0))+1,0)</f>
        <v>0</v>
      </c>
      <c r="I1953" s="3" t="s">
        <v>232</v>
      </c>
      <c r="K1953" s="2">
        <f>IF(ISNUMBER(SEARCH(Лист2!$B$4,F:F)),1,0)</f>
        <v>0</v>
      </c>
      <c r="L1953" s="14">
        <f>IF(ISNUMBER(SEARCH(Лист2!$B$5,I:I)),1,0)+K1953</f>
        <v>0</v>
      </c>
      <c r="M1953" s="3">
        <f ca="1">IF(AND(N1953&lt;&gt;N1952,ISNUMBER(SEARCH(Лист2!$B$6,N:N)),L1953=2),MAX($M$3:OFFSET(M1953,-1,0))+1,0)</f>
        <v>0</v>
      </c>
      <c r="N1953" s="3" t="s">
        <v>1678</v>
      </c>
    </row>
    <row r="1954" spans="1:14" x14ac:dyDescent="0.25">
      <c r="A1954" s="1" t="s">
        <v>11403</v>
      </c>
      <c r="B1954" s="3" t="s">
        <v>5578</v>
      </c>
      <c r="C1954" s="2">
        <f ca="1">IF(ISNUMBER(SEARCH(Лист2!$B$4,D:D)),MAX($C$3:OFFSET(C1954,-1,0))+1,0)</f>
        <v>0</v>
      </c>
      <c r="E1954" s="9" t="str">
        <f t="shared" ca="1" si="42"/>
        <v/>
      </c>
      <c r="F1954" s="4" t="s">
        <v>7</v>
      </c>
      <c r="G1954" s="2">
        <f>IF(ISNUMBER(SEARCH(Лист2!$B$4,F:F)),1,0)</f>
        <v>0</v>
      </c>
      <c r="H1954" s="3">
        <f ca="1">IF(AND(I1954&lt;&gt;I1953,ISNUMBER(SEARCH(Лист2!$B$5,I:I)),G1954=1),MAX($H$3:OFFSET(H1954,-1,0))+1,0)</f>
        <v>0</v>
      </c>
      <c r="I1954" s="3" t="s">
        <v>232</v>
      </c>
      <c r="K1954" s="2">
        <f>IF(ISNUMBER(SEARCH(Лист2!$B$4,F:F)),1,0)</f>
        <v>0</v>
      </c>
      <c r="L1954" s="14">
        <f>IF(ISNUMBER(SEARCH(Лист2!$B$5,I:I)),1,0)+K1954</f>
        <v>0</v>
      </c>
      <c r="M1954" s="3">
        <f ca="1">IF(AND(N1954&lt;&gt;N1953,ISNUMBER(SEARCH(Лист2!$B$6,N:N)),L1954=2),MAX($M$3:OFFSET(M1954,-1,0))+1,0)</f>
        <v>0</v>
      </c>
      <c r="N1954" s="3" t="s">
        <v>1620</v>
      </c>
    </row>
    <row r="1955" spans="1:14" x14ac:dyDescent="0.25">
      <c r="A1955" s="1" t="s">
        <v>11404</v>
      </c>
      <c r="B1955" s="3" t="s">
        <v>5579</v>
      </c>
      <c r="C1955" s="2">
        <f ca="1">IF(ISNUMBER(SEARCH(Лист2!$B$4,D:D)),MAX($C$3:OFFSET(C1955,-1,0))+1,0)</f>
        <v>0</v>
      </c>
      <c r="E1955" s="9" t="str">
        <f t="shared" ca="1" si="42"/>
        <v/>
      </c>
      <c r="F1955" s="4" t="s">
        <v>7</v>
      </c>
      <c r="G1955" s="2">
        <f>IF(ISNUMBER(SEARCH(Лист2!$B$4,F:F)),1,0)</f>
        <v>0</v>
      </c>
      <c r="H1955" s="3">
        <f ca="1">IF(AND(I1955&lt;&gt;I1954,ISNUMBER(SEARCH(Лист2!$B$5,I:I)),G1955=1),MAX($H$3:OFFSET(H1955,-1,0))+1,0)</f>
        <v>0</v>
      </c>
      <c r="I1955" s="3" t="s">
        <v>232</v>
      </c>
      <c r="K1955" s="2">
        <f>IF(ISNUMBER(SEARCH(Лист2!$B$4,F:F)),1,0)</f>
        <v>0</v>
      </c>
      <c r="L1955" s="14">
        <f>IF(ISNUMBER(SEARCH(Лист2!$B$5,I:I)),1,0)+K1955</f>
        <v>0</v>
      </c>
      <c r="M1955" s="3">
        <f ca="1">IF(AND(N1955&lt;&gt;N1954,ISNUMBER(SEARCH(Лист2!$B$6,N:N)),L1955=2),MAX($M$3:OFFSET(M1955,-1,0))+1,0)</f>
        <v>0</v>
      </c>
      <c r="N1955" s="3" t="s">
        <v>1621</v>
      </c>
    </row>
    <row r="1956" spans="1:14" x14ac:dyDescent="0.25">
      <c r="A1956" s="1" t="s">
        <v>11405</v>
      </c>
      <c r="B1956" s="3" t="s">
        <v>5580</v>
      </c>
      <c r="C1956" s="2">
        <f ca="1">IF(ISNUMBER(SEARCH(Лист2!$B$4,D:D)),MAX($C$3:OFFSET(C1956,-1,0))+1,0)</f>
        <v>0</v>
      </c>
      <c r="E1956" s="9" t="str">
        <f t="shared" ca="1" si="42"/>
        <v/>
      </c>
      <c r="F1956" s="4" t="s">
        <v>7</v>
      </c>
      <c r="G1956" s="2">
        <f>IF(ISNUMBER(SEARCH(Лист2!$B$4,F:F)),1,0)</f>
        <v>0</v>
      </c>
      <c r="H1956" s="3">
        <f ca="1">IF(AND(I1956&lt;&gt;I1955,ISNUMBER(SEARCH(Лист2!$B$5,I:I)),G1956=1),MAX($H$3:OFFSET(H1956,-1,0))+1,0)</f>
        <v>0</v>
      </c>
      <c r="I1956" s="3" t="s">
        <v>232</v>
      </c>
      <c r="K1956" s="2">
        <f>IF(ISNUMBER(SEARCH(Лист2!$B$4,F:F)),1,0)</f>
        <v>0</v>
      </c>
      <c r="L1956" s="14">
        <f>IF(ISNUMBER(SEARCH(Лист2!$B$5,I:I)),1,0)+K1956</f>
        <v>0</v>
      </c>
      <c r="M1956" s="3">
        <f ca="1">IF(AND(N1956&lt;&gt;N1955,ISNUMBER(SEARCH(Лист2!$B$6,N:N)),L1956=2),MAX($M$3:OFFSET(M1956,-1,0))+1,0)</f>
        <v>0</v>
      </c>
      <c r="N1956" s="3" t="s">
        <v>602</v>
      </c>
    </row>
    <row r="1957" spans="1:14" x14ac:dyDescent="0.25">
      <c r="A1957" s="1" t="s">
        <v>11406</v>
      </c>
      <c r="B1957" s="3" t="s">
        <v>5581</v>
      </c>
      <c r="C1957" s="2">
        <f ca="1">IF(ISNUMBER(SEARCH(Лист2!$B$4,D:D)),MAX($C$3:OFFSET(C1957,-1,0))+1,0)</f>
        <v>0</v>
      </c>
      <c r="E1957" s="9" t="str">
        <f t="shared" ca="1" si="42"/>
        <v/>
      </c>
      <c r="F1957" s="4" t="s">
        <v>7</v>
      </c>
      <c r="G1957" s="2">
        <f>IF(ISNUMBER(SEARCH(Лист2!$B$4,F:F)),1,0)</f>
        <v>0</v>
      </c>
      <c r="H1957" s="3">
        <f ca="1">IF(AND(I1957&lt;&gt;I1956,ISNUMBER(SEARCH(Лист2!$B$5,I:I)),G1957=1),MAX($H$3:OFFSET(H1957,-1,0))+1,0)</f>
        <v>0</v>
      </c>
      <c r="I1957" s="3" t="s">
        <v>232</v>
      </c>
      <c r="K1957" s="2">
        <f>IF(ISNUMBER(SEARCH(Лист2!$B$4,F:F)),1,0)</f>
        <v>0</v>
      </c>
      <c r="L1957" s="14">
        <f>IF(ISNUMBER(SEARCH(Лист2!$B$5,I:I)),1,0)+K1957</f>
        <v>0</v>
      </c>
      <c r="M1957" s="3">
        <f ca="1">IF(AND(N1957&lt;&gt;N1956,ISNUMBER(SEARCH(Лист2!$B$6,N:N)),L1957=2),MAX($M$3:OFFSET(M1957,-1,0))+1,0)</f>
        <v>0</v>
      </c>
      <c r="N1957" s="3" t="s">
        <v>1716</v>
      </c>
    </row>
    <row r="1958" spans="1:14" x14ac:dyDescent="0.25">
      <c r="A1958" s="1" t="s">
        <v>11407</v>
      </c>
      <c r="B1958" s="3" t="s">
        <v>5582</v>
      </c>
      <c r="C1958" s="2">
        <f ca="1">IF(ISNUMBER(SEARCH(Лист2!$B$4,D:D)),MAX($C$3:OFFSET(C1958,-1,0))+1,0)</f>
        <v>0</v>
      </c>
      <c r="E1958" s="9" t="str">
        <f t="shared" ca="1" si="42"/>
        <v/>
      </c>
      <c r="F1958" s="4" t="s">
        <v>7</v>
      </c>
      <c r="G1958" s="2">
        <f>IF(ISNUMBER(SEARCH(Лист2!$B$4,F:F)),1,0)</f>
        <v>0</v>
      </c>
      <c r="H1958" s="3">
        <f ca="1">IF(AND(I1958&lt;&gt;I1957,ISNUMBER(SEARCH(Лист2!$B$5,I:I)),G1958=1),MAX($H$3:OFFSET(H1958,-1,0))+1,0)</f>
        <v>0</v>
      </c>
      <c r="I1958" s="3" t="s">
        <v>232</v>
      </c>
      <c r="K1958" s="2">
        <f>IF(ISNUMBER(SEARCH(Лист2!$B$4,F:F)),1,0)</f>
        <v>0</v>
      </c>
      <c r="L1958" s="14">
        <f>IF(ISNUMBER(SEARCH(Лист2!$B$5,I:I)),1,0)+K1958</f>
        <v>0</v>
      </c>
      <c r="M1958" s="3">
        <f ca="1">IF(AND(N1958&lt;&gt;N1957,ISNUMBER(SEARCH(Лист2!$B$6,N:N)),L1958=2),MAX($M$3:OFFSET(M1958,-1,0))+1,0)</f>
        <v>0</v>
      </c>
      <c r="N1958" s="3" t="s">
        <v>1717</v>
      </c>
    </row>
    <row r="1959" spans="1:14" x14ac:dyDescent="0.25">
      <c r="A1959" s="1" t="s">
        <v>11408</v>
      </c>
      <c r="B1959" s="3" t="s">
        <v>5583</v>
      </c>
      <c r="C1959" s="2">
        <f ca="1">IF(ISNUMBER(SEARCH(Лист2!$B$4,D:D)),MAX($C$3:OFFSET(C1959,-1,0))+1,0)</f>
        <v>0</v>
      </c>
      <c r="E1959" s="9" t="str">
        <f t="shared" ca="1" si="42"/>
        <v/>
      </c>
      <c r="F1959" s="4" t="s">
        <v>7</v>
      </c>
      <c r="G1959" s="2">
        <f>IF(ISNUMBER(SEARCH(Лист2!$B$4,F:F)),1,0)</f>
        <v>0</v>
      </c>
      <c r="H1959" s="3">
        <f ca="1">IF(AND(I1959&lt;&gt;I1958,ISNUMBER(SEARCH(Лист2!$B$5,I:I)),G1959=1),MAX($H$3:OFFSET(H1959,-1,0))+1,0)</f>
        <v>0</v>
      </c>
      <c r="I1959" s="3" t="s">
        <v>232</v>
      </c>
      <c r="K1959" s="2">
        <f>IF(ISNUMBER(SEARCH(Лист2!$B$4,F:F)),1,0)</f>
        <v>0</v>
      </c>
      <c r="L1959" s="14">
        <f>IF(ISNUMBER(SEARCH(Лист2!$B$5,I:I)),1,0)+K1959</f>
        <v>0</v>
      </c>
      <c r="M1959" s="3">
        <f ca="1">IF(AND(N1959&lt;&gt;N1958,ISNUMBER(SEARCH(Лист2!$B$6,N:N)),L1959=2),MAX($M$3:OFFSET(M1959,-1,0))+1,0)</f>
        <v>0</v>
      </c>
      <c r="N1959" s="3" t="s">
        <v>1718</v>
      </c>
    </row>
    <row r="1960" spans="1:14" x14ac:dyDescent="0.25">
      <c r="A1960" s="1" t="s">
        <v>11409</v>
      </c>
      <c r="B1960" s="3" t="s">
        <v>5584</v>
      </c>
      <c r="C1960" s="2">
        <f ca="1">IF(ISNUMBER(SEARCH(Лист2!$B$4,D:D)),MAX($C$3:OFFSET(C1960,-1,0))+1,0)</f>
        <v>0</v>
      </c>
      <c r="E1960" s="9" t="str">
        <f t="shared" ca="1" si="42"/>
        <v/>
      </c>
      <c r="F1960" s="4" t="s">
        <v>7</v>
      </c>
      <c r="G1960" s="2">
        <f>IF(ISNUMBER(SEARCH(Лист2!$B$4,F:F)),1,0)</f>
        <v>0</v>
      </c>
      <c r="H1960" s="3">
        <f ca="1">IF(AND(I1960&lt;&gt;I1959,ISNUMBER(SEARCH(Лист2!$B$5,I:I)),G1960=1),MAX($H$3:OFFSET(H1960,-1,0))+1,0)</f>
        <v>0</v>
      </c>
      <c r="I1960" s="3" t="s">
        <v>233</v>
      </c>
      <c r="K1960" s="2">
        <f>IF(ISNUMBER(SEARCH(Лист2!$B$4,F:F)),1,0)</f>
        <v>0</v>
      </c>
      <c r="L1960" s="14">
        <f>IF(ISNUMBER(SEARCH(Лист2!$B$5,I:I)),1,0)+K1960</f>
        <v>0</v>
      </c>
      <c r="M1960" s="3">
        <f ca="1">IF(AND(N1960&lt;&gt;N1959,ISNUMBER(SEARCH(Лист2!$B$6,N:N)),L1960=2),MAX($M$3:OFFSET(M1960,-1,0))+1,0)</f>
        <v>0</v>
      </c>
      <c r="N1960" s="3" t="s">
        <v>1719</v>
      </c>
    </row>
    <row r="1961" spans="1:14" x14ac:dyDescent="0.25">
      <c r="A1961" s="1" t="s">
        <v>11410</v>
      </c>
      <c r="B1961" s="3" t="s">
        <v>5585</v>
      </c>
      <c r="C1961" s="2">
        <f ca="1">IF(ISNUMBER(SEARCH(Лист2!$B$4,D:D)),MAX($C$3:OFFSET(C1961,-1,0))+1,0)</f>
        <v>0</v>
      </c>
      <c r="E1961" s="9" t="str">
        <f t="shared" ca="1" si="42"/>
        <v/>
      </c>
      <c r="F1961" s="4" t="s">
        <v>7</v>
      </c>
      <c r="G1961" s="2">
        <f>IF(ISNUMBER(SEARCH(Лист2!$B$4,F:F)),1,0)</f>
        <v>0</v>
      </c>
      <c r="H1961" s="3">
        <f ca="1">IF(AND(I1961&lt;&gt;I1960,ISNUMBER(SEARCH(Лист2!$B$5,I:I)),G1961=1),MAX($H$3:OFFSET(H1961,-1,0))+1,0)</f>
        <v>0</v>
      </c>
      <c r="I1961" s="3" t="s">
        <v>233</v>
      </c>
      <c r="K1961" s="2">
        <f>IF(ISNUMBER(SEARCH(Лист2!$B$4,F:F)),1,0)</f>
        <v>0</v>
      </c>
      <c r="L1961" s="14">
        <f>IF(ISNUMBER(SEARCH(Лист2!$B$5,I:I)),1,0)+K1961</f>
        <v>0</v>
      </c>
      <c r="M1961" s="3">
        <f ca="1">IF(AND(N1961&lt;&gt;N1960,ISNUMBER(SEARCH(Лист2!$B$6,N:N)),L1961=2),MAX($M$3:OFFSET(M1961,-1,0))+1,0)</f>
        <v>0</v>
      </c>
      <c r="N1961" s="3" t="s">
        <v>1720</v>
      </c>
    </row>
    <row r="1962" spans="1:14" x14ac:dyDescent="0.25">
      <c r="A1962" s="1" t="s">
        <v>11411</v>
      </c>
      <c r="B1962" s="3" t="s">
        <v>5586</v>
      </c>
      <c r="C1962" s="2">
        <f ca="1">IF(ISNUMBER(SEARCH(Лист2!$B$4,D:D)),MAX($C$3:OFFSET(C1962,-1,0))+1,0)</f>
        <v>0</v>
      </c>
      <c r="E1962" s="9" t="str">
        <f t="shared" ca="1" si="42"/>
        <v/>
      </c>
      <c r="F1962" s="4" t="s">
        <v>7</v>
      </c>
      <c r="G1962" s="2">
        <f>IF(ISNUMBER(SEARCH(Лист2!$B$4,F:F)),1,0)</f>
        <v>0</v>
      </c>
      <c r="H1962" s="3">
        <f ca="1">IF(AND(I1962&lt;&gt;I1961,ISNUMBER(SEARCH(Лист2!$B$5,I:I)),G1962=1),MAX($H$3:OFFSET(H1962,-1,0))+1,0)</f>
        <v>0</v>
      </c>
      <c r="I1962" s="3" t="s">
        <v>233</v>
      </c>
      <c r="K1962" s="2">
        <f>IF(ISNUMBER(SEARCH(Лист2!$B$4,F:F)),1,0)</f>
        <v>0</v>
      </c>
      <c r="L1962" s="14">
        <f>IF(ISNUMBER(SEARCH(Лист2!$B$5,I:I)),1,0)+K1962</f>
        <v>0</v>
      </c>
      <c r="M1962" s="3">
        <f ca="1">IF(AND(N1962&lt;&gt;N1961,ISNUMBER(SEARCH(Лист2!$B$6,N:N)),L1962=2),MAX($M$3:OFFSET(M1962,-1,0))+1,0)</f>
        <v>0</v>
      </c>
      <c r="N1962" s="3" t="s">
        <v>1678</v>
      </c>
    </row>
    <row r="1963" spans="1:14" x14ac:dyDescent="0.25">
      <c r="A1963" s="1" t="s">
        <v>11412</v>
      </c>
      <c r="B1963" s="3" t="s">
        <v>5587</v>
      </c>
      <c r="C1963" s="2">
        <f ca="1">IF(ISNUMBER(SEARCH(Лист2!$B$4,D:D)),MAX($C$3:OFFSET(C1963,-1,0))+1,0)</f>
        <v>0</v>
      </c>
      <c r="E1963" s="9" t="str">
        <f t="shared" ca="1" si="42"/>
        <v/>
      </c>
      <c r="F1963" s="4" t="s">
        <v>7</v>
      </c>
      <c r="G1963" s="2">
        <f>IF(ISNUMBER(SEARCH(Лист2!$B$4,F:F)),1,0)</f>
        <v>0</v>
      </c>
      <c r="H1963" s="3">
        <f ca="1">IF(AND(I1963&lt;&gt;I1962,ISNUMBER(SEARCH(Лист2!$B$5,I:I)),G1963=1),MAX($H$3:OFFSET(H1963,-1,0))+1,0)</f>
        <v>0</v>
      </c>
      <c r="I1963" s="3" t="s">
        <v>233</v>
      </c>
      <c r="K1963" s="2">
        <f>IF(ISNUMBER(SEARCH(Лист2!$B$4,F:F)),1,0)</f>
        <v>0</v>
      </c>
      <c r="L1963" s="14">
        <f>IF(ISNUMBER(SEARCH(Лист2!$B$5,I:I)),1,0)+K1963</f>
        <v>0</v>
      </c>
      <c r="M1963" s="3">
        <f ca="1">IF(AND(N1963&lt;&gt;N1962,ISNUMBER(SEARCH(Лист2!$B$6,N:N)),L1963=2),MAX($M$3:OFFSET(M1963,-1,0))+1,0)</f>
        <v>0</v>
      </c>
      <c r="N1963" s="3" t="s">
        <v>1620</v>
      </c>
    </row>
    <row r="1964" spans="1:14" x14ac:dyDescent="0.25">
      <c r="A1964" s="1" t="s">
        <v>11413</v>
      </c>
      <c r="B1964" s="3" t="s">
        <v>5588</v>
      </c>
      <c r="C1964" s="2">
        <f ca="1">IF(ISNUMBER(SEARCH(Лист2!$B$4,D:D)),MAX($C$3:OFFSET(C1964,-1,0))+1,0)</f>
        <v>0</v>
      </c>
      <c r="E1964" s="9" t="str">
        <f t="shared" ca="1" si="42"/>
        <v/>
      </c>
      <c r="F1964" s="4" t="s">
        <v>7</v>
      </c>
      <c r="G1964" s="2">
        <f>IF(ISNUMBER(SEARCH(Лист2!$B$4,F:F)),1,0)</f>
        <v>0</v>
      </c>
      <c r="H1964" s="3">
        <f ca="1">IF(AND(I1964&lt;&gt;I1963,ISNUMBER(SEARCH(Лист2!$B$5,I:I)),G1964=1),MAX($H$3:OFFSET(H1964,-1,0))+1,0)</f>
        <v>0</v>
      </c>
      <c r="I1964" s="3" t="s">
        <v>233</v>
      </c>
      <c r="K1964" s="2">
        <f>IF(ISNUMBER(SEARCH(Лист2!$B$4,F:F)),1,0)</f>
        <v>0</v>
      </c>
      <c r="L1964" s="14">
        <f>IF(ISNUMBER(SEARCH(Лист2!$B$5,I:I)),1,0)+K1964</f>
        <v>0</v>
      </c>
      <c r="M1964" s="3">
        <f ca="1">IF(AND(N1964&lt;&gt;N1963,ISNUMBER(SEARCH(Лист2!$B$6,N:N)),L1964=2),MAX($M$3:OFFSET(M1964,-1,0))+1,0)</f>
        <v>0</v>
      </c>
      <c r="N1964" s="3" t="s">
        <v>1656</v>
      </c>
    </row>
    <row r="1965" spans="1:14" x14ac:dyDescent="0.25">
      <c r="A1965" s="1" t="s">
        <v>11414</v>
      </c>
      <c r="B1965" s="3" t="s">
        <v>5589</v>
      </c>
      <c r="C1965" s="2">
        <f ca="1">IF(ISNUMBER(SEARCH(Лист2!$B$4,D:D)),MAX($C$3:OFFSET(C1965,-1,0))+1,0)</f>
        <v>0</v>
      </c>
      <c r="E1965" s="9" t="str">
        <f t="shared" ca="1" si="42"/>
        <v/>
      </c>
      <c r="F1965" s="4" t="s">
        <v>7</v>
      </c>
      <c r="G1965" s="2">
        <f>IF(ISNUMBER(SEARCH(Лист2!$B$4,F:F)),1,0)</f>
        <v>0</v>
      </c>
      <c r="H1965" s="3">
        <f ca="1">IF(AND(I1965&lt;&gt;I1964,ISNUMBER(SEARCH(Лист2!$B$5,I:I)),G1965=1),MAX($H$3:OFFSET(H1965,-1,0))+1,0)</f>
        <v>0</v>
      </c>
      <c r="I1965" s="3" t="s">
        <v>233</v>
      </c>
      <c r="K1965" s="2">
        <f>IF(ISNUMBER(SEARCH(Лист2!$B$4,F:F)),1,0)</f>
        <v>0</v>
      </c>
      <c r="L1965" s="14">
        <f>IF(ISNUMBER(SEARCH(Лист2!$B$5,I:I)),1,0)+K1965</f>
        <v>0</v>
      </c>
      <c r="M1965" s="3">
        <f ca="1">IF(AND(N1965&lt;&gt;N1964,ISNUMBER(SEARCH(Лист2!$B$6,N:N)),L1965=2),MAX($M$3:OFFSET(M1965,-1,0))+1,0)</f>
        <v>0</v>
      </c>
      <c r="N1965" s="3" t="s">
        <v>602</v>
      </c>
    </row>
    <row r="1966" spans="1:14" x14ac:dyDescent="0.25">
      <c r="A1966" s="1" t="s">
        <v>11415</v>
      </c>
      <c r="B1966" s="3" t="s">
        <v>5590</v>
      </c>
      <c r="C1966" s="2">
        <f ca="1">IF(ISNUMBER(SEARCH(Лист2!$B$4,D:D)),MAX($C$3:OFFSET(C1966,-1,0))+1,0)</f>
        <v>0</v>
      </c>
      <c r="E1966" s="9" t="str">
        <f t="shared" ca="1" si="42"/>
        <v/>
      </c>
      <c r="F1966" s="4" t="s">
        <v>7</v>
      </c>
      <c r="G1966" s="2">
        <f>IF(ISNUMBER(SEARCH(Лист2!$B$4,F:F)),1,0)</f>
        <v>0</v>
      </c>
      <c r="H1966" s="3">
        <f ca="1">IF(AND(I1966&lt;&gt;I1965,ISNUMBER(SEARCH(Лист2!$B$5,I:I)),G1966=1),MAX($H$3:OFFSET(H1966,-1,0))+1,0)</f>
        <v>0</v>
      </c>
      <c r="I1966" s="3" t="s">
        <v>233</v>
      </c>
      <c r="K1966" s="2">
        <f>IF(ISNUMBER(SEARCH(Лист2!$B$4,F:F)),1,0)</f>
        <v>0</v>
      </c>
      <c r="L1966" s="14">
        <f>IF(ISNUMBER(SEARCH(Лист2!$B$5,I:I)),1,0)+K1966</f>
        <v>0</v>
      </c>
      <c r="M1966" s="3">
        <f ca="1">IF(AND(N1966&lt;&gt;N1965,ISNUMBER(SEARCH(Лист2!$B$6,N:N)),L1966=2),MAX($M$3:OFFSET(M1966,-1,0))+1,0)</f>
        <v>0</v>
      </c>
      <c r="N1966" s="3" t="s">
        <v>1721</v>
      </c>
    </row>
    <row r="1967" spans="1:14" x14ac:dyDescent="0.25">
      <c r="A1967" s="1" t="s">
        <v>11416</v>
      </c>
      <c r="B1967" s="3" t="s">
        <v>5591</v>
      </c>
      <c r="C1967" s="2">
        <f ca="1">IF(ISNUMBER(SEARCH(Лист2!$B$4,D:D)),MAX($C$3:OFFSET(C1967,-1,0))+1,0)</f>
        <v>0</v>
      </c>
      <c r="E1967" s="9" t="str">
        <f t="shared" ca="1" si="42"/>
        <v/>
      </c>
      <c r="F1967" s="4" t="s">
        <v>7</v>
      </c>
      <c r="G1967" s="2">
        <f>IF(ISNUMBER(SEARCH(Лист2!$B$4,F:F)),1,0)</f>
        <v>0</v>
      </c>
      <c r="H1967" s="3">
        <f ca="1">IF(AND(I1967&lt;&gt;I1966,ISNUMBER(SEARCH(Лист2!$B$5,I:I)),G1967=1),MAX($H$3:OFFSET(H1967,-1,0))+1,0)</f>
        <v>0</v>
      </c>
      <c r="I1967" s="3" t="s">
        <v>233</v>
      </c>
      <c r="K1967" s="2">
        <f>IF(ISNUMBER(SEARCH(Лист2!$B$4,F:F)),1,0)</f>
        <v>0</v>
      </c>
      <c r="L1967" s="14">
        <f>IF(ISNUMBER(SEARCH(Лист2!$B$5,I:I)),1,0)+K1967</f>
        <v>0</v>
      </c>
      <c r="M1967" s="3">
        <f ca="1">IF(AND(N1967&lt;&gt;N1966,ISNUMBER(SEARCH(Лист2!$B$6,N:N)),L1967=2),MAX($M$3:OFFSET(M1967,-1,0))+1,0)</f>
        <v>0</v>
      </c>
      <c r="N1967" s="3" t="s">
        <v>1722</v>
      </c>
    </row>
    <row r="1968" spans="1:14" x14ac:dyDescent="0.25">
      <c r="A1968" s="1" t="s">
        <v>11417</v>
      </c>
      <c r="B1968" s="3" t="s">
        <v>5592</v>
      </c>
      <c r="C1968" s="2">
        <f ca="1">IF(ISNUMBER(SEARCH(Лист2!$B$4,D:D)),MAX($C$3:OFFSET(C1968,-1,0))+1,0)</f>
        <v>0</v>
      </c>
      <c r="E1968" s="9" t="str">
        <f t="shared" ca="1" si="42"/>
        <v/>
      </c>
      <c r="F1968" s="4" t="s">
        <v>7</v>
      </c>
      <c r="G1968" s="2">
        <f>IF(ISNUMBER(SEARCH(Лист2!$B$4,F:F)),1,0)</f>
        <v>0</v>
      </c>
      <c r="H1968" s="3">
        <f ca="1">IF(AND(I1968&lt;&gt;I1967,ISNUMBER(SEARCH(Лист2!$B$5,I:I)),G1968=1),MAX($H$3:OFFSET(H1968,-1,0))+1,0)</f>
        <v>0</v>
      </c>
      <c r="I1968" s="3" t="s">
        <v>233</v>
      </c>
      <c r="K1968" s="2">
        <f>IF(ISNUMBER(SEARCH(Лист2!$B$4,F:F)),1,0)</f>
        <v>0</v>
      </c>
      <c r="L1968" s="14">
        <f>IF(ISNUMBER(SEARCH(Лист2!$B$5,I:I)),1,0)+K1968</f>
        <v>0</v>
      </c>
      <c r="M1968" s="3">
        <f ca="1">IF(AND(N1968&lt;&gt;N1967,ISNUMBER(SEARCH(Лист2!$B$6,N:N)),L1968=2),MAX($M$3:OFFSET(M1968,-1,0))+1,0)</f>
        <v>0</v>
      </c>
      <c r="N1968" s="3" t="s">
        <v>1723</v>
      </c>
    </row>
    <row r="1969" spans="1:14" x14ac:dyDescent="0.25">
      <c r="A1969" s="1" t="s">
        <v>11418</v>
      </c>
      <c r="B1969" s="3" t="s">
        <v>5593</v>
      </c>
      <c r="C1969" s="2">
        <f ca="1">IF(ISNUMBER(SEARCH(Лист2!$B$4,D:D)),MAX($C$3:OFFSET(C1969,-1,0))+1,0)</f>
        <v>0</v>
      </c>
      <c r="E1969" s="9" t="str">
        <f t="shared" ca="1" si="42"/>
        <v/>
      </c>
      <c r="F1969" s="4" t="s">
        <v>7</v>
      </c>
      <c r="G1969" s="2">
        <f>IF(ISNUMBER(SEARCH(Лист2!$B$4,F:F)),1,0)</f>
        <v>0</v>
      </c>
      <c r="H1969" s="3">
        <f ca="1">IF(AND(I1969&lt;&gt;I1968,ISNUMBER(SEARCH(Лист2!$B$5,I:I)),G1969=1),MAX($H$3:OFFSET(H1969,-1,0))+1,0)</f>
        <v>0</v>
      </c>
      <c r="I1969" s="3" t="s">
        <v>234</v>
      </c>
      <c r="K1969" s="2">
        <f>IF(ISNUMBER(SEARCH(Лист2!$B$4,F:F)),1,0)</f>
        <v>0</v>
      </c>
      <c r="L1969" s="14">
        <f>IF(ISNUMBER(SEARCH(Лист2!$B$5,I:I)),1,0)+K1969</f>
        <v>0</v>
      </c>
      <c r="M1969" s="3">
        <f ca="1">IF(AND(N1969&lt;&gt;N1968,ISNUMBER(SEARCH(Лист2!$B$6,N:N)),L1969=2),MAX($M$3:OFFSET(M1969,-1,0))+1,0)</f>
        <v>0</v>
      </c>
      <c r="N1969" s="3" t="s">
        <v>1724</v>
      </c>
    </row>
    <row r="1970" spans="1:14" x14ac:dyDescent="0.25">
      <c r="A1970" s="1" t="s">
        <v>11419</v>
      </c>
      <c r="B1970" s="3" t="s">
        <v>5594</v>
      </c>
      <c r="C1970" s="2">
        <f ca="1">IF(ISNUMBER(SEARCH(Лист2!$B$4,D:D)),MAX($C$3:OFFSET(C1970,-1,0))+1,0)</f>
        <v>0</v>
      </c>
      <c r="E1970" s="9" t="str">
        <f t="shared" ca="1" si="42"/>
        <v/>
      </c>
      <c r="F1970" s="4" t="s">
        <v>7</v>
      </c>
      <c r="G1970" s="2">
        <f>IF(ISNUMBER(SEARCH(Лист2!$B$4,F:F)),1,0)</f>
        <v>0</v>
      </c>
      <c r="H1970" s="3">
        <f ca="1">IF(AND(I1970&lt;&gt;I1969,ISNUMBER(SEARCH(Лист2!$B$5,I:I)),G1970=1),MAX($H$3:OFFSET(H1970,-1,0))+1,0)</f>
        <v>0</v>
      </c>
      <c r="I1970" s="3" t="s">
        <v>234</v>
      </c>
      <c r="K1970" s="2">
        <f>IF(ISNUMBER(SEARCH(Лист2!$B$4,F:F)),1,0)</f>
        <v>0</v>
      </c>
      <c r="L1970" s="14">
        <f>IF(ISNUMBER(SEARCH(Лист2!$B$5,I:I)),1,0)+K1970</f>
        <v>0</v>
      </c>
      <c r="M1970" s="3">
        <f ca="1">IF(AND(N1970&lt;&gt;N1969,ISNUMBER(SEARCH(Лист2!$B$6,N:N)),L1970=2),MAX($M$3:OFFSET(M1970,-1,0))+1,0)</f>
        <v>0</v>
      </c>
      <c r="N1970" s="3" t="s">
        <v>1725</v>
      </c>
    </row>
    <row r="1971" spans="1:14" x14ac:dyDescent="0.25">
      <c r="A1971" s="1" t="s">
        <v>11420</v>
      </c>
      <c r="B1971" s="3" t="s">
        <v>5595</v>
      </c>
      <c r="C1971" s="2">
        <f ca="1">IF(ISNUMBER(SEARCH(Лист2!$B$4,D:D)),MAX($C$3:OFFSET(C1971,-1,0))+1,0)</f>
        <v>0</v>
      </c>
      <c r="E1971" s="9" t="str">
        <f t="shared" ca="1" si="42"/>
        <v/>
      </c>
      <c r="F1971" s="4" t="s">
        <v>7</v>
      </c>
      <c r="G1971" s="2">
        <f>IF(ISNUMBER(SEARCH(Лист2!$B$4,F:F)),1,0)</f>
        <v>0</v>
      </c>
      <c r="H1971" s="3">
        <f ca="1">IF(AND(I1971&lt;&gt;I1970,ISNUMBER(SEARCH(Лист2!$B$5,I:I)),G1971=1),MAX($H$3:OFFSET(H1971,-1,0))+1,0)</f>
        <v>0</v>
      </c>
      <c r="I1971" s="3" t="s">
        <v>234</v>
      </c>
      <c r="K1971" s="2">
        <f>IF(ISNUMBER(SEARCH(Лист2!$B$4,F:F)),1,0)</f>
        <v>0</v>
      </c>
      <c r="L1971" s="14">
        <f>IF(ISNUMBER(SEARCH(Лист2!$B$5,I:I)),1,0)+K1971</f>
        <v>0</v>
      </c>
      <c r="M1971" s="3">
        <f ca="1">IF(AND(N1971&lt;&gt;N1970,ISNUMBER(SEARCH(Лист2!$B$6,N:N)),L1971=2),MAX($M$3:OFFSET(M1971,-1,0))+1,0)</f>
        <v>0</v>
      </c>
      <c r="N1971" s="3" t="s">
        <v>1678</v>
      </c>
    </row>
    <row r="1972" spans="1:14" x14ac:dyDescent="0.25">
      <c r="A1972" s="1" t="s">
        <v>11421</v>
      </c>
      <c r="B1972" s="3" t="s">
        <v>5596</v>
      </c>
      <c r="C1972" s="2">
        <f ca="1">IF(ISNUMBER(SEARCH(Лист2!$B$4,D:D)),MAX($C$3:OFFSET(C1972,-1,0))+1,0)</f>
        <v>0</v>
      </c>
      <c r="E1972" s="9" t="str">
        <f t="shared" ca="1" si="42"/>
        <v/>
      </c>
      <c r="F1972" s="4" t="s">
        <v>7</v>
      </c>
      <c r="G1972" s="2">
        <f>IF(ISNUMBER(SEARCH(Лист2!$B$4,F:F)),1,0)</f>
        <v>0</v>
      </c>
      <c r="H1972" s="3">
        <f ca="1">IF(AND(I1972&lt;&gt;I1971,ISNUMBER(SEARCH(Лист2!$B$5,I:I)),G1972=1),MAX($H$3:OFFSET(H1972,-1,0))+1,0)</f>
        <v>0</v>
      </c>
      <c r="I1972" s="3" t="s">
        <v>234</v>
      </c>
      <c r="K1972" s="2">
        <f>IF(ISNUMBER(SEARCH(Лист2!$B$4,F:F)),1,0)</f>
        <v>0</v>
      </c>
      <c r="L1972" s="14">
        <f>IF(ISNUMBER(SEARCH(Лист2!$B$5,I:I)),1,0)+K1972</f>
        <v>0</v>
      </c>
      <c r="M1972" s="3">
        <f ca="1">IF(AND(N1972&lt;&gt;N1971,ISNUMBER(SEARCH(Лист2!$B$6,N:N)),L1972=2),MAX($M$3:OFFSET(M1972,-1,0))+1,0)</f>
        <v>0</v>
      </c>
      <c r="N1972" s="3" t="s">
        <v>1620</v>
      </c>
    </row>
    <row r="1973" spans="1:14" x14ac:dyDescent="0.25">
      <c r="A1973" s="1" t="s">
        <v>11422</v>
      </c>
      <c r="B1973" s="3" t="s">
        <v>5597</v>
      </c>
      <c r="C1973" s="2">
        <f ca="1">IF(ISNUMBER(SEARCH(Лист2!$B$4,D:D)),MAX($C$3:OFFSET(C1973,-1,0))+1,0)</f>
        <v>0</v>
      </c>
      <c r="E1973" s="9" t="str">
        <f t="shared" ca="1" si="42"/>
        <v/>
      </c>
      <c r="F1973" s="4" t="s">
        <v>7</v>
      </c>
      <c r="G1973" s="2">
        <f>IF(ISNUMBER(SEARCH(Лист2!$B$4,F:F)),1,0)</f>
        <v>0</v>
      </c>
      <c r="H1973" s="3">
        <f ca="1">IF(AND(I1973&lt;&gt;I1972,ISNUMBER(SEARCH(Лист2!$B$5,I:I)),G1973=1),MAX($H$3:OFFSET(H1973,-1,0))+1,0)</f>
        <v>0</v>
      </c>
      <c r="I1973" s="3" t="s">
        <v>234</v>
      </c>
      <c r="K1973" s="2">
        <f>IF(ISNUMBER(SEARCH(Лист2!$B$4,F:F)),1,0)</f>
        <v>0</v>
      </c>
      <c r="L1973" s="14">
        <f>IF(ISNUMBER(SEARCH(Лист2!$B$5,I:I)),1,0)+K1973</f>
        <v>0</v>
      </c>
      <c r="M1973" s="3">
        <f ca="1">IF(AND(N1973&lt;&gt;N1972,ISNUMBER(SEARCH(Лист2!$B$6,N:N)),L1973=2),MAX($M$3:OFFSET(M1973,-1,0))+1,0)</f>
        <v>0</v>
      </c>
      <c r="N1973" s="3" t="s">
        <v>1656</v>
      </c>
    </row>
    <row r="1974" spans="1:14" x14ac:dyDescent="0.25">
      <c r="A1974" s="1" t="s">
        <v>11423</v>
      </c>
      <c r="B1974" s="3" t="s">
        <v>5598</v>
      </c>
      <c r="C1974" s="2">
        <f ca="1">IF(ISNUMBER(SEARCH(Лист2!$B$4,D:D)),MAX($C$3:OFFSET(C1974,-1,0))+1,0)</f>
        <v>0</v>
      </c>
      <c r="E1974" s="9" t="str">
        <f t="shared" ca="1" si="42"/>
        <v/>
      </c>
      <c r="F1974" s="4" t="s">
        <v>7</v>
      </c>
      <c r="G1974" s="2">
        <f>IF(ISNUMBER(SEARCH(Лист2!$B$4,F:F)),1,0)</f>
        <v>0</v>
      </c>
      <c r="H1974" s="3">
        <f ca="1">IF(AND(I1974&lt;&gt;I1973,ISNUMBER(SEARCH(Лист2!$B$5,I:I)),G1974=1),MAX($H$3:OFFSET(H1974,-1,0))+1,0)</f>
        <v>0</v>
      </c>
      <c r="I1974" s="3" t="s">
        <v>234</v>
      </c>
      <c r="K1974" s="2">
        <f>IF(ISNUMBER(SEARCH(Лист2!$B$4,F:F)),1,0)</f>
        <v>0</v>
      </c>
      <c r="L1974" s="14">
        <f>IF(ISNUMBER(SEARCH(Лист2!$B$5,I:I)),1,0)+K1974</f>
        <v>0</v>
      </c>
      <c r="M1974" s="3">
        <f ca="1">IF(AND(N1974&lt;&gt;N1973,ISNUMBER(SEARCH(Лист2!$B$6,N:N)),L1974=2),MAX($M$3:OFFSET(M1974,-1,0))+1,0)</f>
        <v>0</v>
      </c>
      <c r="N1974" s="3" t="s">
        <v>602</v>
      </c>
    </row>
    <row r="1975" spans="1:14" x14ac:dyDescent="0.25">
      <c r="A1975" s="1" t="s">
        <v>11424</v>
      </c>
      <c r="B1975" s="3" t="s">
        <v>5599</v>
      </c>
      <c r="C1975" s="2">
        <f ca="1">IF(ISNUMBER(SEARCH(Лист2!$B$4,D:D)),MAX($C$3:OFFSET(C1975,-1,0))+1,0)</f>
        <v>0</v>
      </c>
      <c r="E1975" s="9" t="str">
        <f t="shared" ca="1" si="42"/>
        <v/>
      </c>
      <c r="F1975" s="4" t="s">
        <v>7</v>
      </c>
      <c r="G1975" s="2">
        <f>IF(ISNUMBER(SEARCH(Лист2!$B$4,F:F)),1,0)</f>
        <v>0</v>
      </c>
      <c r="H1975" s="3">
        <f ca="1">IF(AND(I1975&lt;&gt;I1974,ISNUMBER(SEARCH(Лист2!$B$5,I:I)),G1975=1),MAX($H$3:OFFSET(H1975,-1,0))+1,0)</f>
        <v>0</v>
      </c>
      <c r="I1975" s="3" t="s">
        <v>234</v>
      </c>
      <c r="K1975" s="2">
        <f>IF(ISNUMBER(SEARCH(Лист2!$B$4,F:F)),1,0)</f>
        <v>0</v>
      </c>
      <c r="L1975" s="14">
        <f>IF(ISNUMBER(SEARCH(Лист2!$B$5,I:I)),1,0)+K1975</f>
        <v>0</v>
      </c>
      <c r="M1975" s="3">
        <f ca="1">IF(AND(N1975&lt;&gt;N1974,ISNUMBER(SEARCH(Лист2!$B$6,N:N)),L1975=2),MAX($M$3:OFFSET(M1975,-1,0))+1,0)</f>
        <v>0</v>
      </c>
      <c r="N1975" s="3" t="s">
        <v>1726</v>
      </c>
    </row>
    <row r="1976" spans="1:14" x14ac:dyDescent="0.25">
      <c r="A1976" s="1" t="s">
        <v>11425</v>
      </c>
      <c r="B1976" s="3" t="s">
        <v>5600</v>
      </c>
      <c r="C1976" s="2">
        <f ca="1">IF(ISNUMBER(SEARCH(Лист2!$B$4,D:D)),MAX($C$3:OFFSET(C1976,-1,0))+1,0)</f>
        <v>0</v>
      </c>
      <c r="E1976" s="9" t="str">
        <f t="shared" ca="1" si="42"/>
        <v/>
      </c>
      <c r="F1976" s="4" t="s">
        <v>7</v>
      </c>
      <c r="G1976" s="2">
        <f>IF(ISNUMBER(SEARCH(Лист2!$B$4,F:F)),1,0)</f>
        <v>0</v>
      </c>
      <c r="H1976" s="3">
        <f ca="1">IF(AND(I1976&lt;&gt;I1975,ISNUMBER(SEARCH(Лист2!$B$5,I:I)),G1976=1),MAX($H$3:OFFSET(H1976,-1,0))+1,0)</f>
        <v>0</v>
      </c>
      <c r="I1976" s="3" t="s">
        <v>234</v>
      </c>
      <c r="K1976" s="2">
        <f>IF(ISNUMBER(SEARCH(Лист2!$B$4,F:F)),1,0)</f>
        <v>0</v>
      </c>
      <c r="L1976" s="14">
        <f>IF(ISNUMBER(SEARCH(Лист2!$B$5,I:I)),1,0)+K1976</f>
        <v>0</v>
      </c>
      <c r="M1976" s="3">
        <f ca="1">IF(AND(N1976&lt;&gt;N1975,ISNUMBER(SEARCH(Лист2!$B$6,N:N)),L1976=2),MAX($M$3:OFFSET(M1976,-1,0))+1,0)</f>
        <v>0</v>
      </c>
      <c r="N1976" s="3" t="s">
        <v>1727</v>
      </c>
    </row>
    <row r="1977" spans="1:14" x14ac:dyDescent="0.25">
      <c r="A1977" s="1" t="s">
        <v>11426</v>
      </c>
      <c r="B1977" s="3" t="s">
        <v>5601</v>
      </c>
      <c r="C1977" s="2">
        <f ca="1">IF(ISNUMBER(SEARCH(Лист2!$B$4,D:D)),MAX($C$3:OFFSET(C1977,-1,0))+1,0)</f>
        <v>0</v>
      </c>
      <c r="E1977" s="9" t="str">
        <f t="shared" ca="1" si="42"/>
        <v/>
      </c>
      <c r="F1977" s="4" t="s">
        <v>7</v>
      </c>
      <c r="G1977" s="2">
        <f>IF(ISNUMBER(SEARCH(Лист2!$B$4,F:F)),1,0)</f>
        <v>0</v>
      </c>
      <c r="H1977" s="3">
        <f ca="1">IF(AND(I1977&lt;&gt;I1976,ISNUMBER(SEARCH(Лист2!$B$5,I:I)),G1977=1),MAX($H$3:OFFSET(H1977,-1,0))+1,0)</f>
        <v>0</v>
      </c>
      <c r="I1977" s="3" t="s">
        <v>234</v>
      </c>
      <c r="K1977" s="2">
        <f>IF(ISNUMBER(SEARCH(Лист2!$B$4,F:F)),1,0)</f>
        <v>0</v>
      </c>
      <c r="L1977" s="14">
        <f>IF(ISNUMBER(SEARCH(Лист2!$B$5,I:I)),1,0)+K1977</f>
        <v>0</v>
      </c>
      <c r="M1977" s="3">
        <f ca="1">IF(AND(N1977&lt;&gt;N1976,ISNUMBER(SEARCH(Лист2!$B$6,N:N)),L1977=2),MAX($M$3:OFFSET(M1977,-1,0))+1,0)</f>
        <v>0</v>
      </c>
      <c r="N1977" s="3" t="s">
        <v>1728</v>
      </c>
    </row>
    <row r="1978" spans="1:14" x14ac:dyDescent="0.25">
      <c r="A1978" s="1" t="s">
        <v>11427</v>
      </c>
      <c r="B1978" s="3" t="s">
        <v>5602</v>
      </c>
      <c r="C1978" s="2">
        <f ca="1">IF(ISNUMBER(SEARCH(Лист2!$B$4,D:D)),MAX($C$3:OFFSET(C1978,-1,0))+1,0)</f>
        <v>0</v>
      </c>
      <c r="E1978" s="9" t="str">
        <f t="shared" ca="1" si="42"/>
        <v/>
      </c>
      <c r="F1978" s="4" t="s">
        <v>7</v>
      </c>
      <c r="G1978" s="2">
        <f>IF(ISNUMBER(SEARCH(Лист2!$B$4,F:F)),1,0)</f>
        <v>0</v>
      </c>
      <c r="H1978" s="3">
        <f ca="1">IF(AND(I1978&lt;&gt;I1977,ISNUMBER(SEARCH(Лист2!$B$5,I:I)),G1978=1),MAX($H$3:OFFSET(H1978,-1,0))+1,0)</f>
        <v>0</v>
      </c>
      <c r="I1978" s="3" t="s">
        <v>235</v>
      </c>
      <c r="K1978" s="2">
        <f>IF(ISNUMBER(SEARCH(Лист2!$B$4,F:F)),1,0)</f>
        <v>0</v>
      </c>
      <c r="L1978" s="14">
        <f>IF(ISNUMBER(SEARCH(Лист2!$B$5,I:I)),1,0)+K1978</f>
        <v>0</v>
      </c>
      <c r="M1978" s="3">
        <f ca="1">IF(AND(N1978&lt;&gt;N1977,ISNUMBER(SEARCH(Лист2!$B$6,N:N)),L1978=2),MAX($M$3:OFFSET(M1978,-1,0))+1,0)</f>
        <v>0</v>
      </c>
      <c r="N1978" s="3" t="s">
        <v>1729</v>
      </c>
    </row>
    <row r="1979" spans="1:14" x14ac:dyDescent="0.25">
      <c r="A1979" s="1" t="s">
        <v>11427</v>
      </c>
      <c r="B1979" s="3" t="s">
        <v>5603</v>
      </c>
      <c r="C1979" s="2">
        <f ca="1">IF(ISNUMBER(SEARCH(Лист2!$B$4,D:D)),MAX($C$3:OFFSET(C1979,-1,0))+1,0)</f>
        <v>0</v>
      </c>
      <c r="E1979" s="9" t="str">
        <f t="shared" ca="1" si="42"/>
        <v/>
      </c>
      <c r="F1979" s="4" t="s">
        <v>7</v>
      </c>
      <c r="G1979" s="2">
        <f>IF(ISNUMBER(SEARCH(Лист2!$B$4,F:F)),1,0)</f>
        <v>0</v>
      </c>
      <c r="H1979" s="3">
        <f ca="1">IF(AND(I1979&lt;&gt;I1978,ISNUMBER(SEARCH(Лист2!$B$5,I:I)),G1979=1),MAX($H$3:OFFSET(H1979,-1,0))+1,0)</f>
        <v>0</v>
      </c>
      <c r="I1979" s="3" t="s">
        <v>235</v>
      </c>
      <c r="K1979" s="2">
        <f>IF(ISNUMBER(SEARCH(Лист2!$B$4,F:F)),1,0)</f>
        <v>0</v>
      </c>
      <c r="L1979" s="14">
        <f>IF(ISNUMBER(SEARCH(Лист2!$B$5,I:I)),1,0)+K1979</f>
        <v>0</v>
      </c>
      <c r="M1979" s="3">
        <f ca="1">IF(AND(N1979&lt;&gt;N1978,ISNUMBER(SEARCH(Лист2!$B$6,N:N)),L1979=2),MAX($M$3:OFFSET(M1979,-1,0))+1,0)</f>
        <v>0</v>
      </c>
      <c r="N1979" s="3" t="s">
        <v>1729</v>
      </c>
    </row>
    <row r="1980" spans="1:14" x14ac:dyDescent="0.25">
      <c r="A1980" s="1" t="s">
        <v>11427</v>
      </c>
      <c r="B1980" s="3" t="s">
        <v>5604</v>
      </c>
      <c r="C1980" s="2">
        <f ca="1">IF(ISNUMBER(SEARCH(Лист2!$B$4,D:D)),MAX($C$3:OFFSET(C1980,-1,0))+1,0)</f>
        <v>0</v>
      </c>
      <c r="E1980" s="9" t="str">
        <f t="shared" ca="1" si="42"/>
        <v/>
      </c>
      <c r="F1980" s="4" t="s">
        <v>7</v>
      </c>
      <c r="G1980" s="2">
        <f>IF(ISNUMBER(SEARCH(Лист2!$B$4,F:F)),1,0)</f>
        <v>0</v>
      </c>
      <c r="H1980" s="3">
        <f ca="1">IF(AND(I1980&lt;&gt;I1979,ISNUMBER(SEARCH(Лист2!$B$5,I:I)),G1980=1),MAX($H$3:OFFSET(H1980,-1,0))+1,0)</f>
        <v>0</v>
      </c>
      <c r="I1980" s="3" t="s">
        <v>235</v>
      </c>
      <c r="K1980" s="2">
        <f>IF(ISNUMBER(SEARCH(Лист2!$B$4,F:F)),1,0)</f>
        <v>0</v>
      </c>
      <c r="L1980" s="14">
        <f>IF(ISNUMBER(SEARCH(Лист2!$B$5,I:I)),1,0)+K1980</f>
        <v>0</v>
      </c>
      <c r="M1980" s="3">
        <f ca="1">IF(AND(N1980&lt;&gt;N1979,ISNUMBER(SEARCH(Лист2!$B$6,N:N)),L1980=2),MAX($M$3:OFFSET(M1980,-1,0))+1,0)</f>
        <v>0</v>
      </c>
      <c r="N1980" s="3" t="s">
        <v>1729</v>
      </c>
    </row>
    <row r="1981" spans="1:14" x14ac:dyDescent="0.25">
      <c r="A1981" s="1" t="s">
        <v>11428</v>
      </c>
      <c r="B1981" s="3" t="s">
        <v>5605</v>
      </c>
      <c r="C1981" s="2">
        <f ca="1">IF(ISNUMBER(SEARCH(Лист2!$B$4,D:D)),MAX($C$3:OFFSET(C1981,-1,0))+1,0)</f>
        <v>0</v>
      </c>
      <c r="E1981" s="9" t="str">
        <f t="shared" ca="1" si="42"/>
        <v/>
      </c>
      <c r="F1981" s="4" t="s">
        <v>7</v>
      </c>
      <c r="G1981" s="2">
        <f>IF(ISNUMBER(SEARCH(Лист2!$B$4,F:F)),1,0)</f>
        <v>0</v>
      </c>
      <c r="H1981" s="3">
        <f ca="1">IF(AND(I1981&lt;&gt;I1980,ISNUMBER(SEARCH(Лист2!$B$5,I:I)),G1981=1),MAX($H$3:OFFSET(H1981,-1,0))+1,0)</f>
        <v>0</v>
      </c>
      <c r="I1981" s="3" t="s">
        <v>235</v>
      </c>
      <c r="K1981" s="2">
        <f>IF(ISNUMBER(SEARCH(Лист2!$B$4,F:F)),1,0)</f>
        <v>0</v>
      </c>
      <c r="L1981" s="14">
        <f>IF(ISNUMBER(SEARCH(Лист2!$B$5,I:I)),1,0)+K1981</f>
        <v>0</v>
      </c>
      <c r="M1981" s="3">
        <f ca="1">IF(AND(N1981&lt;&gt;N1980,ISNUMBER(SEARCH(Лист2!$B$6,N:N)),L1981=2),MAX($M$3:OFFSET(M1981,-1,0))+1,0)</f>
        <v>0</v>
      </c>
      <c r="N1981" s="3" t="s">
        <v>1730</v>
      </c>
    </row>
    <row r="1982" spans="1:14" x14ac:dyDescent="0.25">
      <c r="A1982" s="1" t="s">
        <v>11429</v>
      </c>
      <c r="B1982" s="3" t="s">
        <v>5606</v>
      </c>
      <c r="C1982" s="2">
        <f ca="1">IF(ISNUMBER(SEARCH(Лист2!$B$4,D:D)),MAX($C$3:OFFSET(C1982,-1,0))+1,0)</f>
        <v>0</v>
      </c>
      <c r="E1982" s="9" t="str">
        <f t="shared" ca="1" si="42"/>
        <v/>
      </c>
      <c r="F1982" s="4" t="s">
        <v>7</v>
      </c>
      <c r="G1982" s="2">
        <f>IF(ISNUMBER(SEARCH(Лист2!$B$4,F:F)),1,0)</f>
        <v>0</v>
      </c>
      <c r="H1982" s="3">
        <f ca="1">IF(AND(I1982&lt;&gt;I1981,ISNUMBER(SEARCH(Лист2!$B$5,I:I)),G1982=1),MAX($H$3:OFFSET(H1982,-1,0))+1,0)</f>
        <v>0</v>
      </c>
      <c r="I1982" s="3" t="s">
        <v>235</v>
      </c>
      <c r="K1982" s="2">
        <f>IF(ISNUMBER(SEARCH(Лист2!$B$4,F:F)),1,0)</f>
        <v>0</v>
      </c>
      <c r="L1982" s="14">
        <f>IF(ISNUMBER(SEARCH(Лист2!$B$5,I:I)),1,0)+K1982</f>
        <v>0</v>
      </c>
      <c r="M1982" s="3">
        <f ca="1">IF(AND(N1982&lt;&gt;N1981,ISNUMBER(SEARCH(Лист2!$B$6,N:N)),L1982=2),MAX($M$3:OFFSET(M1982,-1,0))+1,0)</f>
        <v>0</v>
      </c>
      <c r="N1982" s="3" t="s">
        <v>1731</v>
      </c>
    </row>
    <row r="1983" spans="1:14" x14ac:dyDescent="0.25">
      <c r="A1983" s="1" t="s">
        <v>11429</v>
      </c>
      <c r="B1983" s="3" t="s">
        <v>5607</v>
      </c>
      <c r="C1983" s="2">
        <f ca="1">IF(ISNUMBER(SEARCH(Лист2!$B$4,D:D)),MAX($C$3:OFFSET(C1983,-1,0))+1,0)</f>
        <v>0</v>
      </c>
      <c r="E1983" s="9" t="str">
        <f t="shared" ca="1" si="42"/>
        <v/>
      </c>
      <c r="F1983" s="4" t="s">
        <v>7</v>
      </c>
      <c r="G1983" s="2">
        <f>IF(ISNUMBER(SEARCH(Лист2!$B$4,F:F)),1,0)</f>
        <v>0</v>
      </c>
      <c r="H1983" s="3">
        <f ca="1">IF(AND(I1983&lt;&gt;I1982,ISNUMBER(SEARCH(Лист2!$B$5,I:I)),G1983=1),MAX($H$3:OFFSET(H1983,-1,0))+1,0)</f>
        <v>0</v>
      </c>
      <c r="I1983" s="3" t="s">
        <v>235</v>
      </c>
      <c r="K1983" s="2">
        <f>IF(ISNUMBER(SEARCH(Лист2!$B$4,F:F)),1,0)</f>
        <v>0</v>
      </c>
      <c r="L1983" s="14">
        <f>IF(ISNUMBER(SEARCH(Лист2!$B$5,I:I)),1,0)+K1983</f>
        <v>0</v>
      </c>
      <c r="M1983" s="3">
        <f ca="1">IF(AND(N1983&lt;&gt;N1982,ISNUMBER(SEARCH(Лист2!$B$6,N:N)),L1983=2),MAX($M$3:OFFSET(M1983,-1,0))+1,0)</f>
        <v>0</v>
      </c>
      <c r="N1983" s="3" t="s">
        <v>1731</v>
      </c>
    </row>
    <row r="1984" spans="1:14" x14ac:dyDescent="0.25">
      <c r="A1984" s="1" t="s">
        <v>11430</v>
      </c>
      <c r="B1984" s="3" t="s">
        <v>5608</v>
      </c>
      <c r="C1984" s="2">
        <f ca="1">IF(ISNUMBER(SEARCH(Лист2!$B$4,D:D)),MAX($C$3:OFFSET(C1984,-1,0))+1,0)</f>
        <v>0</v>
      </c>
      <c r="E1984" s="9" t="str">
        <f t="shared" ca="1" si="42"/>
        <v/>
      </c>
      <c r="F1984" s="4" t="s">
        <v>7</v>
      </c>
      <c r="G1984" s="2">
        <f>IF(ISNUMBER(SEARCH(Лист2!$B$4,F:F)),1,0)</f>
        <v>0</v>
      </c>
      <c r="H1984" s="3">
        <f ca="1">IF(AND(I1984&lt;&gt;I1983,ISNUMBER(SEARCH(Лист2!$B$5,I:I)),G1984=1),MAX($H$3:OFFSET(H1984,-1,0))+1,0)</f>
        <v>0</v>
      </c>
      <c r="I1984" s="3" t="s">
        <v>235</v>
      </c>
      <c r="K1984" s="2">
        <f>IF(ISNUMBER(SEARCH(Лист2!$B$4,F:F)),1,0)</f>
        <v>0</v>
      </c>
      <c r="L1984" s="14">
        <f>IF(ISNUMBER(SEARCH(Лист2!$B$5,I:I)),1,0)+K1984</f>
        <v>0</v>
      </c>
      <c r="M1984" s="3">
        <f ca="1">IF(AND(N1984&lt;&gt;N1983,ISNUMBER(SEARCH(Лист2!$B$6,N:N)),L1984=2),MAX($M$3:OFFSET(M1984,-1,0))+1,0)</f>
        <v>0</v>
      </c>
      <c r="N1984" s="3" t="s">
        <v>1732</v>
      </c>
    </row>
    <row r="1985" spans="1:14" x14ac:dyDescent="0.25">
      <c r="A1985" s="1" t="s">
        <v>11431</v>
      </c>
      <c r="B1985" s="3" t="s">
        <v>5609</v>
      </c>
      <c r="C1985" s="2">
        <f ca="1">IF(ISNUMBER(SEARCH(Лист2!$B$4,D:D)),MAX($C$3:OFFSET(C1985,-1,0))+1,0)</f>
        <v>0</v>
      </c>
      <c r="E1985" s="9" t="str">
        <f t="shared" ca="1" si="42"/>
        <v/>
      </c>
      <c r="F1985" s="4" t="s">
        <v>7</v>
      </c>
      <c r="G1985" s="2">
        <f>IF(ISNUMBER(SEARCH(Лист2!$B$4,F:F)),1,0)</f>
        <v>0</v>
      </c>
      <c r="H1985" s="3">
        <f ca="1">IF(AND(I1985&lt;&gt;I1984,ISNUMBER(SEARCH(Лист2!$B$5,I:I)),G1985=1),MAX($H$3:OFFSET(H1985,-1,0))+1,0)</f>
        <v>0</v>
      </c>
      <c r="I1985" s="3" t="s">
        <v>235</v>
      </c>
      <c r="K1985" s="2">
        <f>IF(ISNUMBER(SEARCH(Лист2!$B$4,F:F)),1,0)</f>
        <v>0</v>
      </c>
      <c r="L1985" s="14">
        <f>IF(ISNUMBER(SEARCH(Лист2!$B$5,I:I)),1,0)+K1985</f>
        <v>0</v>
      </c>
      <c r="M1985" s="3">
        <f ca="1">IF(AND(N1985&lt;&gt;N1984,ISNUMBER(SEARCH(Лист2!$B$6,N:N)),L1985=2),MAX($M$3:OFFSET(M1985,-1,0))+1,0)</f>
        <v>0</v>
      </c>
      <c r="N1985" s="3" t="s">
        <v>1733</v>
      </c>
    </row>
    <row r="1986" spans="1:14" x14ac:dyDescent="0.25">
      <c r="A1986" s="1" t="s">
        <v>11431</v>
      </c>
      <c r="B1986" s="3" t="s">
        <v>5610</v>
      </c>
      <c r="C1986" s="2">
        <f ca="1">IF(ISNUMBER(SEARCH(Лист2!$B$4,D:D)),MAX($C$3:OFFSET(C1986,-1,0))+1,0)</f>
        <v>0</v>
      </c>
      <c r="E1986" s="9" t="str">
        <f t="shared" ca="1" si="42"/>
        <v/>
      </c>
      <c r="F1986" s="4" t="s">
        <v>7</v>
      </c>
      <c r="G1986" s="2">
        <f>IF(ISNUMBER(SEARCH(Лист2!$B$4,F:F)),1,0)</f>
        <v>0</v>
      </c>
      <c r="H1986" s="3">
        <f ca="1">IF(AND(I1986&lt;&gt;I1985,ISNUMBER(SEARCH(Лист2!$B$5,I:I)),G1986=1),MAX($H$3:OFFSET(H1986,-1,0))+1,0)</f>
        <v>0</v>
      </c>
      <c r="I1986" s="3" t="s">
        <v>235</v>
      </c>
      <c r="K1986" s="2">
        <f>IF(ISNUMBER(SEARCH(Лист2!$B$4,F:F)),1,0)</f>
        <v>0</v>
      </c>
      <c r="L1986" s="14">
        <f>IF(ISNUMBER(SEARCH(Лист2!$B$5,I:I)),1,0)+K1986</f>
        <v>0</v>
      </c>
      <c r="M1986" s="3">
        <f ca="1">IF(AND(N1986&lt;&gt;N1985,ISNUMBER(SEARCH(Лист2!$B$6,N:N)),L1986=2),MAX($M$3:OFFSET(M1986,-1,0))+1,0)</f>
        <v>0</v>
      </c>
      <c r="N1986" s="3" t="s">
        <v>1733</v>
      </c>
    </row>
    <row r="1987" spans="1:14" x14ac:dyDescent="0.25">
      <c r="A1987" s="1" t="s">
        <v>11432</v>
      </c>
      <c r="B1987" s="3" t="s">
        <v>5611</v>
      </c>
      <c r="C1987" s="2">
        <f ca="1">IF(ISNUMBER(SEARCH(Лист2!$B$4,D:D)),MAX($C$3:OFFSET(C1987,-1,0))+1,0)</f>
        <v>0</v>
      </c>
      <c r="E1987" s="9" t="str">
        <f t="shared" ca="1" si="42"/>
        <v/>
      </c>
      <c r="F1987" s="4" t="s">
        <v>7</v>
      </c>
      <c r="G1987" s="2">
        <f>IF(ISNUMBER(SEARCH(Лист2!$B$4,F:F)),1,0)</f>
        <v>0</v>
      </c>
      <c r="H1987" s="3">
        <f ca="1">IF(AND(I1987&lt;&gt;I1986,ISNUMBER(SEARCH(Лист2!$B$5,I:I)),G1987=1),MAX($H$3:OFFSET(H1987,-1,0))+1,0)</f>
        <v>0</v>
      </c>
      <c r="I1987" s="3" t="s">
        <v>235</v>
      </c>
      <c r="K1987" s="2">
        <f>IF(ISNUMBER(SEARCH(Лист2!$B$4,F:F)),1,0)</f>
        <v>0</v>
      </c>
      <c r="L1987" s="14">
        <f>IF(ISNUMBER(SEARCH(Лист2!$B$5,I:I)),1,0)+K1987</f>
        <v>0</v>
      </c>
      <c r="M1987" s="3">
        <f ca="1">IF(AND(N1987&lt;&gt;N1986,ISNUMBER(SEARCH(Лист2!$B$6,N:N)),L1987=2),MAX($M$3:OFFSET(M1987,-1,0))+1,0)</f>
        <v>0</v>
      </c>
      <c r="N1987" s="3" t="s">
        <v>1734</v>
      </c>
    </row>
    <row r="1988" spans="1:14" x14ac:dyDescent="0.25">
      <c r="A1988" s="1" t="s">
        <v>11433</v>
      </c>
      <c r="B1988" s="3" t="s">
        <v>5612</v>
      </c>
      <c r="C1988" s="2">
        <f ca="1">IF(ISNUMBER(SEARCH(Лист2!$B$4,D:D)),MAX($C$3:OFFSET(C1988,-1,0))+1,0)</f>
        <v>0</v>
      </c>
      <c r="E1988" s="9" t="str">
        <f t="shared" ca="1" si="42"/>
        <v/>
      </c>
      <c r="F1988" s="4" t="s">
        <v>7</v>
      </c>
      <c r="G1988" s="2">
        <f>IF(ISNUMBER(SEARCH(Лист2!$B$4,F:F)),1,0)</f>
        <v>0</v>
      </c>
      <c r="H1988" s="3">
        <f ca="1">IF(AND(I1988&lt;&gt;I1987,ISNUMBER(SEARCH(Лист2!$B$5,I:I)),G1988=1),MAX($H$3:OFFSET(H1988,-1,0))+1,0)</f>
        <v>0</v>
      </c>
      <c r="I1988" s="3" t="s">
        <v>235</v>
      </c>
      <c r="K1988" s="2">
        <f>IF(ISNUMBER(SEARCH(Лист2!$B$4,F:F)),1,0)</f>
        <v>0</v>
      </c>
      <c r="L1988" s="14">
        <f>IF(ISNUMBER(SEARCH(Лист2!$B$5,I:I)),1,0)+K1988</f>
        <v>0</v>
      </c>
      <c r="M1988" s="3">
        <f ca="1">IF(AND(N1988&lt;&gt;N1987,ISNUMBER(SEARCH(Лист2!$B$6,N:N)),L1988=2),MAX($M$3:OFFSET(M1988,-1,0))+1,0)</f>
        <v>0</v>
      </c>
      <c r="N1988" s="3" t="s">
        <v>1735</v>
      </c>
    </row>
    <row r="1989" spans="1:14" x14ac:dyDescent="0.25">
      <c r="A1989" s="1" t="s">
        <v>11434</v>
      </c>
      <c r="B1989" s="3" t="s">
        <v>5613</v>
      </c>
      <c r="C1989" s="2">
        <f ca="1">IF(ISNUMBER(SEARCH(Лист2!$B$4,D:D)),MAX($C$3:OFFSET(C1989,-1,0))+1,0)</f>
        <v>0</v>
      </c>
      <c r="E1989" s="9" t="str">
        <f t="shared" ref="E1989:E2052" ca="1" si="43">IFERROR(INDEX(D:D,MATCH(ROW(E1989)-ROW($E$3),C:C,0)),"")</f>
        <v/>
      </c>
      <c r="F1989" s="4" t="s">
        <v>7</v>
      </c>
      <c r="G1989" s="2">
        <f>IF(ISNUMBER(SEARCH(Лист2!$B$4,F:F)),1,0)</f>
        <v>0</v>
      </c>
      <c r="H1989" s="3">
        <f ca="1">IF(AND(I1989&lt;&gt;I1988,ISNUMBER(SEARCH(Лист2!$B$5,I:I)),G1989=1),MAX($H$3:OFFSET(H1989,-1,0))+1,0)</f>
        <v>0</v>
      </c>
      <c r="I1989" s="3" t="s">
        <v>235</v>
      </c>
      <c r="K1989" s="2">
        <f>IF(ISNUMBER(SEARCH(Лист2!$B$4,F:F)),1,0)</f>
        <v>0</v>
      </c>
      <c r="L1989" s="14">
        <f>IF(ISNUMBER(SEARCH(Лист2!$B$5,I:I)),1,0)+K1989</f>
        <v>0</v>
      </c>
      <c r="M1989" s="3">
        <f ca="1">IF(AND(N1989&lt;&gt;N1988,ISNUMBER(SEARCH(Лист2!$B$6,N:N)),L1989=2),MAX($M$3:OFFSET(M1989,-1,0))+1,0)</f>
        <v>0</v>
      </c>
      <c r="N1989" s="3" t="s">
        <v>1621</v>
      </c>
    </row>
    <row r="1990" spans="1:14" x14ac:dyDescent="0.25">
      <c r="A1990" s="1" t="s">
        <v>11435</v>
      </c>
      <c r="B1990" s="3" t="s">
        <v>5614</v>
      </c>
      <c r="C1990" s="2">
        <f ca="1">IF(ISNUMBER(SEARCH(Лист2!$B$4,D:D)),MAX($C$3:OFFSET(C1990,-1,0))+1,0)</f>
        <v>0</v>
      </c>
      <c r="E1990" s="9" t="str">
        <f t="shared" ca="1" si="43"/>
        <v/>
      </c>
      <c r="F1990" s="4" t="s">
        <v>7</v>
      </c>
      <c r="G1990" s="2">
        <f>IF(ISNUMBER(SEARCH(Лист2!$B$4,F:F)),1,0)</f>
        <v>0</v>
      </c>
      <c r="H1990" s="3">
        <f ca="1">IF(AND(I1990&lt;&gt;I1989,ISNUMBER(SEARCH(Лист2!$B$5,I:I)),G1990=1),MAX($H$3:OFFSET(H1990,-1,0))+1,0)</f>
        <v>0</v>
      </c>
      <c r="I1990" s="3" t="s">
        <v>235</v>
      </c>
      <c r="K1990" s="2">
        <f>IF(ISNUMBER(SEARCH(Лист2!$B$4,F:F)),1,0)</f>
        <v>0</v>
      </c>
      <c r="L1990" s="14">
        <f>IF(ISNUMBER(SEARCH(Лист2!$B$5,I:I)),1,0)+K1990</f>
        <v>0</v>
      </c>
      <c r="M1990" s="3">
        <f ca="1">IF(AND(N1990&lt;&gt;N1989,ISNUMBER(SEARCH(Лист2!$B$6,N:N)),L1990=2),MAX($M$3:OFFSET(M1990,-1,0))+1,0)</f>
        <v>0</v>
      </c>
      <c r="N1990" s="3" t="s">
        <v>1736</v>
      </c>
    </row>
    <row r="1991" spans="1:14" x14ac:dyDescent="0.25">
      <c r="A1991" s="1" t="s">
        <v>11436</v>
      </c>
      <c r="B1991" s="3" t="s">
        <v>5615</v>
      </c>
      <c r="C1991" s="2">
        <f ca="1">IF(ISNUMBER(SEARCH(Лист2!$B$4,D:D)),MAX($C$3:OFFSET(C1991,-1,0))+1,0)</f>
        <v>0</v>
      </c>
      <c r="E1991" s="9" t="str">
        <f t="shared" ca="1" si="43"/>
        <v/>
      </c>
      <c r="F1991" s="4" t="s">
        <v>7</v>
      </c>
      <c r="G1991" s="2">
        <f>IF(ISNUMBER(SEARCH(Лист2!$B$4,F:F)),1,0)</f>
        <v>0</v>
      </c>
      <c r="H1991" s="3">
        <f ca="1">IF(AND(I1991&lt;&gt;I1990,ISNUMBER(SEARCH(Лист2!$B$5,I:I)),G1991=1),MAX($H$3:OFFSET(H1991,-1,0))+1,0)</f>
        <v>0</v>
      </c>
      <c r="I1991" s="3" t="s">
        <v>235</v>
      </c>
      <c r="K1991" s="2">
        <f>IF(ISNUMBER(SEARCH(Лист2!$B$4,F:F)),1,0)</f>
        <v>0</v>
      </c>
      <c r="L1991" s="14">
        <f>IF(ISNUMBER(SEARCH(Лист2!$B$5,I:I)),1,0)+K1991</f>
        <v>0</v>
      </c>
      <c r="M1991" s="3">
        <f ca="1">IF(AND(N1991&lt;&gt;N1990,ISNUMBER(SEARCH(Лист2!$B$6,N:N)),L1991=2),MAX($M$3:OFFSET(M1991,-1,0))+1,0)</f>
        <v>0</v>
      </c>
      <c r="N1991" s="3" t="s">
        <v>1737</v>
      </c>
    </row>
    <row r="1992" spans="1:14" x14ac:dyDescent="0.25">
      <c r="A1992" s="1" t="s">
        <v>11437</v>
      </c>
      <c r="B1992" s="3" t="s">
        <v>5616</v>
      </c>
      <c r="C1992" s="2">
        <f ca="1">IF(ISNUMBER(SEARCH(Лист2!$B$4,D:D)),MAX($C$3:OFFSET(C1992,-1,0))+1,0)</f>
        <v>0</v>
      </c>
      <c r="E1992" s="9" t="str">
        <f t="shared" ca="1" si="43"/>
        <v/>
      </c>
      <c r="F1992" s="4" t="s">
        <v>7</v>
      </c>
      <c r="G1992" s="2">
        <f>IF(ISNUMBER(SEARCH(Лист2!$B$4,F:F)),1,0)</f>
        <v>0</v>
      </c>
      <c r="H1992" s="3">
        <f ca="1">IF(AND(I1992&lt;&gt;I1991,ISNUMBER(SEARCH(Лист2!$B$5,I:I)),G1992=1),MAX($H$3:OFFSET(H1992,-1,0))+1,0)</f>
        <v>0</v>
      </c>
      <c r="I1992" s="3" t="s">
        <v>235</v>
      </c>
      <c r="K1992" s="2">
        <f>IF(ISNUMBER(SEARCH(Лист2!$B$4,F:F)),1,0)</f>
        <v>0</v>
      </c>
      <c r="L1992" s="14">
        <f>IF(ISNUMBER(SEARCH(Лист2!$B$5,I:I)),1,0)+K1992</f>
        <v>0</v>
      </c>
      <c r="M1992" s="3">
        <f ca="1">IF(AND(N1992&lt;&gt;N1991,ISNUMBER(SEARCH(Лист2!$B$6,N:N)),L1992=2),MAX($M$3:OFFSET(M1992,-1,0))+1,0)</f>
        <v>0</v>
      </c>
      <c r="N1992" s="3" t="s">
        <v>1678</v>
      </c>
    </row>
    <row r="1993" spans="1:14" x14ac:dyDescent="0.25">
      <c r="A1993" s="1" t="s">
        <v>11438</v>
      </c>
      <c r="B1993" s="3" t="s">
        <v>5617</v>
      </c>
      <c r="C1993" s="2">
        <f ca="1">IF(ISNUMBER(SEARCH(Лист2!$B$4,D:D)),MAX($C$3:OFFSET(C1993,-1,0))+1,0)</f>
        <v>0</v>
      </c>
      <c r="E1993" s="9" t="str">
        <f t="shared" ca="1" si="43"/>
        <v/>
      </c>
      <c r="F1993" s="4" t="s">
        <v>7</v>
      </c>
      <c r="G1993" s="2">
        <f>IF(ISNUMBER(SEARCH(Лист2!$B$4,F:F)),1,0)</f>
        <v>0</v>
      </c>
      <c r="H1993" s="3">
        <f ca="1">IF(AND(I1993&lt;&gt;I1992,ISNUMBER(SEARCH(Лист2!$B$5,I:I)),G1993=1),MAX($H$3:OFFSET(H1993,-1,0))+1,0)</f>
        <v>0</v>
      </c>
      <c r="I1993" s="3" t="s">
        <v>235</v>
      </c>
      <c r="K1993" s="2">
        <f>IF(ISNUMBER(SEARCH(Лист2!$B$4,F:F)),1,0)</f>
        <v>0</v>
      </c>
      <c r="L1993" s="14">
        <f>IF(ISNUMBER(SEARCH(Лист2!$B$5,I:I)),1,0)+K1993</f>
        <v>0</v>
      </c>
      <c r="M1993" s="3">
        <f ca="1">IF(AND(N1993&lt;&gt;N1992,ISNUMBER(SEARCH(Лист2!$B$6,N:N)),L1993=2),MAX($M$3:OFFSET(M1993,-1,0))+1,0)</f>
        <v>0</v>
      </c>
      <c r="N1993" s="3" t="s">
        <v>602</v>
      </c>
    </row>
    <row r="1994" spans="1:14" x14ac:dyDescent="0.25">
      <c r="A1994" s="1" t="s">
        <v>11439</v>
      </c>
      <c r="B1994" s="3" t="s">
        <v>5618</v>
      </c>
      <c r="C1994" s="2">
        <f ca="1">IF(ISNUMBER(SEARCH(Лист2!$B$4,D:D)),MAX($C$3:OFFSET(C1994,-1,0))+1,0)</f>
        <v>0</v>
      </c>
      <c r="E1994" s="9" t="str">
        <f t="shared" ca="1" si="43"/>
        <v/>
      </c>
      <c r="F1994" s="4" t="s">
        <v>7</v>
      </c>
      <c r="G1994" s="2">
        <f>IF(ISNUMBER(SEARCH(Лист2!$B$4,F:F)),1,0)</f>
        <v>0</v>
      </c>
      <c r="H1994" s="3">
        <f ca="1">IF(AND(I1994&lt;&gt;I1993,ISNUMBER(SEARCH(Лист2!$B$5,I:I)),G1994=1),MAX($H$3:OFFSET(H1994,-1,0))+1,0)</f>
        <v>0</v>
      </c>
      <c r="I1994" s="3" t="s">
        <v>235</v>
      </c>
      <c r="K1994" s="2">
        <f>IF(ISNUMBER(SEARCH(Лист2!$B$4,F:F)),1,0)</f>
        <v>0</v>
      </c>
      <c r="L1994" s="14">
        <f>IF(ISNUMBER(SEARCH(Лист2!$B$5,I:I)),1,0)+K1994</f>
        <v>0</v>
      </c>
      <c r="M1994" s="3">
        <f ca="1">IF(AND(N1994&lt;&gt;N1993,ISNUMBER(SEARCH(Лист2!$B$6,N:N)),L1994=2),MAX($M$3:OFFSET(M1994,-1,0))+1,0)</f>
        <v>0</v>
      </c>
      <c r="N1994" s="3" t="s">
        <v>1738</v>
      </c>
    </row>
    <row r="1995" spans="1:14" x14ac:dyDescent="0.25">
      <c r="A1995" s="1" t="s">
        <v>11440</v>
      </c>
      <c r="B1995" s="3" t="s">
        <v>5619</v>
      </c>
      <c r="C1995" s="2">
        <f ca="1">IF(ISNUMBER(SEARCH(Лист2!$B$4,D:D)),MAX($C$3:OFFSET(C1995,-1,0))+1,0)</f>
        <v>0</v>
      </c>
      <c r="E1995" s="9" t="str">
        <f t="shared" ca="1" si="43"/>
        <v/>
      </c>
      <c r="F1995" s="4" t="s">
        <v>7</v>
      </c>
      <c r="G1995" s="2">
        <f>IF(ISNUMBER(SEARCH(Лист2!$B$4,F:F)),1,0)</f>
        <v>0</v>
      </c>
      <c r="H1995" s="3">
        <f ca="1">IF(AND(I1995&lt;&gt;I1994,ISNUMBER(SEARCH(Лист2!$B$5,I:I)),G1995=1),MAX($H$3:OFFSET(H1995,-1,0))+1,0)</f>
        <v>0</v>
      </c>
      <c r="I1995" s="3" t="s">
        <v>235</v>
      </c>
      <c r="K1995" s="2">
        <f>IF(ISNUMBER(SEARCH(Лист2!$B$4,F:F)),1,0)</f>
        <v>0</v>
      </c>
      <c r="L1995" s="14">
        <f>IF(ISNUMBER(SEARCH(Лист2!$B$5,I:I)),1,0)+K1995</f>
        <v>0</v>
      </c>
      <c r="M1995" s="3">
        <f ca="1">IF(AND(N1995&lt;&gt;N1994,ISNUMBER(SEARCH(Лист2!$B$6,N:N)),L1995=2),MAX($M$3:OFFSET(M1995,-1,0))+1,0)</f>
        <v>0</v>
      </c>
      <c r="N1995" s="3" t="s">
        <v>1739</v>
      </c>
    </row>
    <row r="1996" spans="1:14" x14ac:dyDescent="0.25">
      <c r="A1996" s="1" t="s">
        <v>11441</v>
      </c>
      <c r="B1996" s="3" t="s">
        <v>5620</v>
      </c>
      <c r="C1996" s="2">
        <f ca="1">IF(ISNUMBER(SEARCH(Лист2!$B$4,D:D)),MAX($C$3:OFFSET(C1996,-1,0))+1,0)</f>
        <v>0</v>
      </c>
      <c r="E1996" s="9" t="str">
        <f t="shared" ca="1" si="43"/>
        <v/>
      </c>
      <c r="F1996" s="4" t="s">
        <v>7</v>
      </c>
      <c r="G1996" s="2">
        <f>IF(ISNUMBER(SEARCH(Лист2!$B$4,F:F)),1,0)</f>
        <v>0</v>
      </c>
      <c r="H1996" s="3">
        <f ca="1">IF(AND(I1996&lt;&gt;I1995,ISNUMBER(SEARCH(Лист2!$B$5,I:I)),G1996=1),MAX($H$3:OFFSET(H1996,-1,0))+1,0)</f>
        <v>0</v>
      </c>
      <c r="I1996" s="3" t="s">
        <v>235</v>
      </c>
      <c r="K1996" s="2">
        <f>IF(ISNUMBER(SEARCH(Лист2!$B$4,F:F)),1,0)</f>
        <v>0</v>
      </c>
      <c r="L1996" s="14">
        <f>IF(ISNUMBER(SEARCH(Лист2!$B$5,I:I)),1,0)+K1996</f>
        <v>0</v>
      </c>
      <c r="M1996" s="3">
        <f ca="1">IF(AND(N1996&lt;&gt;N1995,ISNUMBER(SEARCH(Лист2!$B$6,N:N)),L1996=2),MAX($M$3:OFFSET(M1996,-1,0))+1,0)</f>
        <v>0</v>
      </c>
      <c r="N1996" s="3" t="s">
        <v>1740</v>
      </c>
    </row>
    <row r="1997" spans="1:14" x14ac:dyDescent="0.25">
      <c r="A1997" s="1" t="s">
        <v>11442</v>
      </c>
      <c r="B1997" s="3" t="s">
        <v>5621</v>
      </c>
      <c r="C1997" s="2">
        <f ca="1">IF(ISNUMBER(SEARCH(Лист2!$B$4,D:D)),MAX($C$3:OFFSET(C1997,-1,0))+1,0)</f>
        <v>0</v>
      </c>
      <c r="E1997" s="9" t="str">
        <f t="shared" ca="1" si="43"/>
        <v/>
      </c>
      <c r="F1997" s="4" t="s">
        <v>7</v>
      </c>
      <c r="G1997" s="2">
        <f>IF(ISNUMBER(SEARCH(Лист2!$B$4,F:F)),1,0)</f>
        <v>0</v>
      </c>
      <c r="H1997" s="3">
        <f ca="1">IF(AND(I1997&lt;&gt;I1996,ISNUMBER(SEARCH(Лист2!$B$5,I:I)),G1997=1),MAX($H$3:OFFSET(H1997,-1,0))+1,0)</f>
        <v>0</v>
      </c>
      <c r="I1997" s="3" t="s">
        <v>235</v>
      </c>
      <c r="K1997" s="2">
        <f>IF(ISNUMBER(SEARCH(Лист2!$B$4,F:F)),1,0)</f>
        <v>0</v>
      </c>
      <c r="L1997" s="14">
        <f>IF(ISNUMBER(SEARCH(Лист2!$B$5,I:I)),1,0)+K1997</f>
        <v>0</v>
      </c>
      <c r="M1997" s="3">
        <f ca="1">IF(AND(N1997&lt;&gt;N1996,ISNUMBER(SEARCH(Лист2!$B$6,N:N)),L1997=2),MAX($M$3:OFFSET(M1997,-1,0))+1,0)</f>
        <v>0</v>
      </c>
      <c r="N1997" s="3" t="s">
        <v>1741</v>
      </c>
    </row>
    <row r="1998" spans="1:14" x14ac:dyDescent="0.25">
      <c r="A1998" s="1" t="s">
        <v>11443</v>
      </c>
      <c r="B1998" s="3" t="s">
        <v>5622</v>
      </c>
      <c r="C1998" s="2">
        <f ca="1">IF(ISNUMBER(SEARCH(Лист2!$B$4,D:D)),MAX($C$3:OFFSET(C1998,-1,0))+1,0)</f>
        <v>0</v>
      </c>
      <c r="E1998" s="9" t="str">
        <f t="shared" ca="1" si="43"/>
        <v/>
      </c>
      <c r="F1998" s="4" t="s">
        <v>7</v>
      </c>
      <c r="G1998" s="2">
        <f>IF(ISNUMBER(SEARCH(Лист2!$B$4,F:F)),1,0)</f>
        <v>0</v>
      </c>
      <c r="H1998" s="3">
        <f ca="1">IF(AND(I1998&lt;&gt;I1997,ISNUMBER(SEARCH(Лист2!$B$5,I:I)),G1998=1),MAX($H$3:OFFSET(H1998,-1,0))+1,0)</f>
        <v>0</v>
      </c>
      <c r="I1998" s="3" t="s">
        <v>235</v>
      </c>
      <c r="K1998" s="2">
        <f>IF(ISNUMBER(SEARCH(Лист2!$B$4,F:F)),1,0)</f>
        <v>0</v>
      </c>
      <c r="L1998" s="14">
        <f>IF(ISNUMBER(SEARCH(Лист2!$B$5,I:I)),1,0)+K1998</f>
        <v>0</v>
      </c>
      <c r="M1998" s="3">
        <f ca="1">IF(AND(N1998&lt;&gt;N1997,ISNUMBER(SEARCH(Лист2!$B$6,N:N)),L1998=2),MAX($M$3:OFFSET(M1998,-1,0))+1,0)</f>
        <v>0</v>
      </c>
      <c r="N1998" s="3" t="s">
        <v>1742</v>
      </c>
    </row>
    <row r="1999" spans="1:14" x14ac:dyDescent="0.25">
      <c r="A1999" s="1" t="s">
        <v>11444</v>
      </c>
      <c r="B1999" s="3" t="s">
        <v>5623</v>
      </c>
      <c r="C1999" s="2">
        <f ca="1">IF(ISNUMBER(SEARCH(Лист2!$B$4,D:D)),MAX($C$3:OFFSET(C1999,-1,0))+1,0)</f>
        <v>0</v>
      </c>
      <c r="E1999" s="9" t="str">
        <f t="shared" ca="1" si="43"/>
        <v/>
      </c>
      <c r="F1999" s="4" t="s">
        <v>7</v>
      </c>
      <c r="G1999" s="2">
        <f>IF(ISNUMBER(SEARCH(Лист2!$B$4,F:F)),1,0)</f>
        <v>0</v>
      </c>
      <c r="H1999" s="3">
        <f ca="1">IF(AND(I1999&lt;&gt;I1998,ISNUMBER(SEARCH(Лист2!$B$5,I:I)),G1999=1),MAX($H$3:OFFSET(H1999,-1,0))+1,0)</f>
        <v>0</v>
      </c>
      <c r="I1999" s="3" t="s">
        <v>236</v>
      </c>
      <c r="K1999" s="2">
        <f>IF(ISNUMBER(SEARCH(Лист2!$B$4,F:F)),1,0)</f>
        <v>0</v>
      </c>
      <c r="L1999" s="14">
        <f>IF(ISNUMBER(SEARCH(Лист2!$B$5,I:I)),1,0)+K1999</f>
        <v>0</v>
      </c>
      <c r="M1999" s="3">
        <f ca="1">IF(AND(N1999&lt;&gt;N1998,ISNUMBER(SEARCH(Лист2!$B$6,N:N)),L1999=2),MAX($M$3:OFFSET(M1999,-1,0))+1,0)</f>
        <v>0</v>
      </c>
      <c r="N1999" s="3" t="s">
        <v>1743</v>
      </c>
    </row>
    <row r="2000" spans="1:14" x14ac:dyDescent="0.25">
      <c r="A2000" s="1" t="s">
        <v>11445</v>
      </c>
      <c r="B2000" s="3" t="s">
        <v>5624</v>
      </c>
      <c r="C2000" s="2">
        <f ca="1">IF(ISNUMBER(SEARCH(Лист2!$B$4,D:D)),MAX($C$3:OFFSET(C2000,-1,0))+1,0)</f>
        <v>0</v>
      </c>
      <c r="E2000" s="9" t="str">
        <f t="shared" ca="1" si="43"/>
        <v/>
      </c>
      <c r="F2000" s="4" t="s">
        <v>7</v>
      </c>
      <c r="G2000" s="2">
        <f>IF(ISNUMBER(SEARCH(Лист2!$B$4,F:F)),1,0)</f>
        <v>0</v>
      </c>
      <c r="H2000" s="3">
        <f ca="1">IF(AND(I2000&lt;&gt;I1999,ISNUMBER(SEARCH(Лист2!$B$5,I:I)),G2000=1),MAX($H$3:OFFSET(H2000,-1,0))+1,0)</f>
        <v>0</v>
      </c>
      <c r="I2000" s="3" t="s">
        <v>236</v>
      </c>
      <c r="K2000" s="2">
        <f>IF(ISNUMBER(SEARCH(Лист2!$B$4,F:F)),1,0)</f>
        <v>0</v>
      </c>
      <c r="L2000" s="14">
        <f>IF(ISNUMBER(SEARCH(Лист2!$B$5,I:I)),1,0)+K2000</f>
        <v>0</v>
      </c>
      <c r="M2000" s="3">
        <f ca="1">IF(AND(N2000&lt;&gt;N1999,ISNUMBER(SEARCH(Лист2!$B$6,N:N)),L2000=2),MAX($M$3:OFFSET(M2000,-1,0))+1,0)</f>
        <v>0</v>
      </c>
      <c r="N2000" s="3" t="s">
        <v>1744</v>
      </c>
    </row>
    <row r="2001" spans="1:14" x14ac:dyDescent="0.25">
      <c r="A2001" s="1" t="s">
        <v>11445</v>
      </c>
      <c r="B2001" s="3" t="s">
        <v>5625</v>
      </c>
      <c r="C2001" s="2">
        <f ca="1">IF(ISNUMBER(SEARCH(Лист2!$B$4,D:D)),MAX($C$3:OFFSET(C2001,-1,0))+1,0)</f>
        <v>0</v>
      </c>
      <c r="E2001" s="9" t="str">
        <f t="shared" ca="1" si="43"/>
        <v/>
      </c>
      <c r="F2001" s="4" t="s">
        <v>7</v>
      </c>
      <c r="G2001" s="2">
        <f>IF(ISNUMBER(SEARCH(Лист2!$B$4,F:F)),1,0)</f>
        <v>0</v>
      </c>
      <c r="H2001" s="3">
        <f ca="1">IF(AND(I2001&lt;&gt;I2000,ISNUMBER(SEARCH(Лист2!$B$5,I:I)),G2001=1),MAX($H$3:OFFSET(H2001,-1,0))+1,0)</f>
        <v>0</v>
      </c>
      <c r="I2001" s="3" t="s">
        <v>236</v>
      </c>
      <c r="K2001" s="2">
        <f>IF(ISNUMBER(SEARCH(Лист2!$B$4,F:F)),1,0)</f>
        <v>0</v>
      </c>
      <c r="L2001" s="14">
        <f>IF(ISNUMBER(SEARCH(Лист2!$B$5,I:I)),1,0)+K2001</f>
        <v>0</v>
      </c>
      <c r="M2001" s="3">
        <f ca="1">IF(AND(N2001&lt;&gt;N2000,ISNUMBER(SEARCH(Лист2!$B$6,N:N)),L2001=2),MAX($M$3:OFFSET(M2001,-1,0))+1,0)</f>
        <v>0</v>
      </c>
      <c r="N2001" s="3" t="s">
        <v>1744</v>
      </c>
    </row>
    <row r="2002" spans="1:14" x14ac:dyDescent="0.25">
      <c r="A2002" s="1" t="s">
        <v>11446</v>
      </c>
      <c r="B2002" s="3" t="s">
        <v>5626</v>
      </c>
      <c r="C2002" s="2">
        <f ca="1">IF(ISNUMBER(SEARCH(Лист2!$B$4,D:D)),MAX($C$3:OFFSET(C2002,-1,0))+1,0)</f>
        <v>0</v>
      </c>
      <c r="E2002" s="9" t="str">
        <f t="shared" ca="1" si="43"/>
        <v/>
      </c>
      <c r="F2002" s="4" t="s">
        <v>7</v>
      </c>
      <c r="G2002" s="2">
        <f>IF(ISNUMBER(SEARCH(Лист2!$B$4,F:F)),1,0)</f>
        <v>0</v>
      </c>
      <c r="H2002" s="3">
        <f ca="1">IF(AND(I2002&lt;&gt;I2001,ISNUMBER(SEARCH(Лист2!$B$5,I:I)),G2002=1),MAX($H$3:OFFSET(H2002,-1,0))+1,0)</f>
        <v>0</v>
      </c>
      <c r="I2002" s="3" t="s">
        <v>236</v>
      </c>
      <c r="K2002" s="2">
        <f>IF(ISNUMBER(SEARCH(Лист2!$B$4,F:F)),1,0)</f>
        <v>0</v>
      </c>
      <c r="L2002" s="14">
        <f>IF(ISNUMBER(SEARCH(Лист2!$B$5,I:I)),1,0)+K2002</f>
        <v>0</v>
      </c>
      <c r="M2002" s="3">
        <f ca="1">IF(AND(N2002&lt;&gt;N2001,ISNUMBER(SEARCH(Лист2!$B$6,N:N)),L2002=2),MAX($M$3:OFFSET(M2002,-1,0))+1,0)</f>
        <v>0</v>
      </c>
      <c r="N2002" s="3" t="s">
        <v>1745</v>
      </c>
    </row>
    <row r="2003" spans="1:14" x14ac:dyDescent="0.25">
      <c r="A2003" s="1" t="s">
        <v>11447</v>
      </c>
      <c r="B2003" s="3" t="s">
        <v>5627</v>
      </c>
      <c r="C2003" s="2">
        <f ca="1">IF(ISNUMBER(SEARCH(Лист2!$B$4,D:D)),MAX($C$3:OFFSET(C2003,-1,0))+1,0)</f>
        <v>0</v>
      </c>
      <c r="E2003" s="9" t="str">
        <f t="shared" ca="1" si="43"/>
        <v/>
      </c>
      <c r="F2003" s="4" t="s">
        <v>7</v>
      </c>
      <c r="G2003" s="2">
        <f>IF(ISNUMBER(SEARCH(Лист2!$B$4,F:F)),1,0)</f>
        <v>0</v>
      </c>
      <c r="H2003" s="3">
        <f ca="1">IF(AND(I2003&lt;&gt;I2002,ISNUMBER(SEARCH(Лист2!$B$5,I:I)),G2003=1),MAX($H$3:OFFSET(H2003,-1,0))+1,0)</f>
        <v>0</v>
      </c>
      <c r="I2003" s="3" t="s">
        <v>236</v>
      </c>
      <c r="K2003" s="2">
        <f>IF(ISNUMBER(SEARCH(Лист2!$B$4,F:F)),1,0)</f>
        <v>0</v>
      </c>
      <c r="L2003" s="14">
        <f>IF(ISNUMBER(SEARCH(Лист2!$B$5,I:I)),1,0)+K2003</f>
        <v>0</v>
      </c>
      <c r="M2003" s="3">
        <f ca="1">IF(AND(N2003&lt;&gt;N2002,ISNUMBER(SEARCH(Лист2!$B$6,N:N)),L2003=2),MAX($M$3:OFFSET(M2003,-1,0))+1,0)</f>
        <v>0</v>
      </c>
      <c r="N2003" s="3" t="s">
        <v>1746</v>
      </c>
    </row>
    <row r="2004" spans="1:14" x14ac:dyDescent="0.25">
      <c r="A2004" s="1" t="s">
        <v>11447</v>
      </c>
      <c r="B2004" s="3" t="s">
        <v>5628</v>
      </c>
      <c r="C2004" s="2">
        <f ca="1">IF(ISNUMBER(SEARCH(Лист2!$B$4,D:D)),MAX($C$3:OFFSET(C2004,-1,0))+1,0)</f>
        <v>0</v>
      </c>
      <c r="E2004" s="9" t="str">
        <f t="shared" ca="1" si="43"/>
        <v/>
      </c>
      <c r="F2004" s="4" t="s">
        <v>7</v>
      </c>
      <c r="G2004" s="2">
        <f>IF(ISNUMBER(SEARCH(Лист2!$B$4,F:F)),1,0)</f>
        <v>0</v>
      </c>
      <c r="H2004" s="3">
        <f ca="1">IF(AND(I2004&lt;&gt;I2003,ISNUMBER(SEARCH(Лист2!$B$5,I:I)),G2004=1),MAX($H$3:OFFSET(H2004,-1,0))+1,0)</f>
        <v>0</v>
      </c>
      <c r="I2004" s="3" t="s">
        <v>236</v>
      </c>
      <c r="K2004" s="2">
        <f>IF(ISNUMBER(SEARCH(Лист2!$B$4,F:F)),1,0)</f>
        <v>0</v>
      </c>
      <c r="L2004" s="14">
        <f>IF(ISNUMBER(SEARCH(Лист2!$B$5,I:I)),1,0)+K2004</f>
        <v>0</v>
      </c>
      <c r="M2004" s="3">
        <f ca="1">IF(AND(N2004&lt;&gt;N2003,ISNUMBER(SEARCH(Лист2!$B$6,N:N)),L2004=2),MAX($M$3:OFFSET(M2004,-1,0))+1,0)</f>
        <v>0</v>
      </c>
      <c r="N2004" s="3" t="s">
        <v>1746</v>
      </c>
    </row>
    <row r="2005" spans="1:14" x14ac:dyDescent="0.25">
      <c r="A2005" s="1" t="s">
        <v>11448</v>
      </c>
      <c r="B2005" s="3" t="s">
        <v>5629</v>
      </c>
      <c r="C2005" s="2">
        <f ca="1">IF(ISNUMBER(SEARCH(Лист2!$B$4,D:D)),MAX($C$3:OFFSET(C2005,-1,0))+1,0)</f>
        <v>0</v>
      </c>
      <c r="E2005" s="9" t="str">
        <f t="shared" ca="1" si="43"/>
        <v/>
      </c>
      <c r="F2005" s="4" t="s">
        <v>7</v>
      </c>
      <c r="G2005" s="2">
        <f>IF(ISNUMBER(SEARCH(Лист2!$B$4,F:F)),1,0)</f>
        <v>0</v>
      </c>
      <c r="H2005" s="3">
        <f ca="1">IF(AND(I2005&lt;&gt;I2004,ISNUMBER(SEARCH(Лист2!$B$5,I:I)),G2005=1),MAX($H$3:OFFSET(H2005,-1,0))+1,0)</f>
        <v>0</v>
      </c>
      <c r="I2005" s="3" t="s">
        <v>236</v>
      </c>
      <c r="K2005" s="2">
        <f>IF(ISNUMBER(SEARCH(Лист2!$B$4,F:F)),1,0)</f>
        <v>0</v>
      </c>
      <c r="L2005" s="14">
        <f>IF(ISNUMBER(SEARCH(Лист2!$B$5,I:I)),1,0)+K2005</f>
        <v>0</v>
      </c>
      <c r="M2005" s="3">
        <f ca="1">IF(AND(N2005&lt;&gt;N2004,ISNUMBER(SEARCH(Лист2!$B$6,N:N)),L2005=2),MAX($M$3:OFFSET(M2005,-1,0))+1,0)</f>
        <v>0</v>
      </c>
      <c r="N2005" s="3" t="s">
        <v>1747</v>
      </c>
    </row>
    <row r="2006" spans="1:14" x14ac:dyDescent="0.25">
      <c r="A2006" s="1" t="s">
        <v>11449</v>
      </c>
      <c r="B2006" s="3" t="s">
        <v>5630</v>
      </c>
      <c r="C2006" s="2">
        <f ca="1">IF(ISNUMBER(SEARCH(Лист2!$B$4,D:D)),MAX($C$3:OFFSET(C2006,-1,0))+1,0)</f>
        <v>0</v>
      </c>
      <c r="E2006" s="9" t="str">
        <f t="shared" ca="1" si="43"/>
        <v/>
      </c>
      <c r="F2006" s="4" t="s">
        <v>7</v>
      </c>
      <c r="G2006" s="2">
        <f>IF(ISNUMBER(SEARCH(Лист2!$B$4,F:F)),1,0)</f>
        <v>0</v>
      </c>
      <c r="H2006" s="3">
        <f ca="1">IF(AND(I2006&lt;&gt;I2005,ISNUMBER(SEARCH(Лист2!$B$5,I:I)),G2006=1),MAX($H$3:OFFSET(H2006,-1,0))+1,0)</f>
        <v>0</v>
      </c>
      <c r="I2006" s="3" t="s">
        <v>236</v>
      </c>
      <c r="K2006" s="2">
        <f>IF(ISNUMBER(SEARCH(Лист2!$B$4,F:F)),1,0)</f>
        <v>0</v>
      </c>
      <c r="L2006" s="14">
        <f>IF(ISNUMBER(SEARCH(Лист2!$B$5,I:I)),1,0)+K2006</f>
        <v>0</v>
      </c>
      <c r="M2006" s="3">
        <f ca="1">IF(AND(N2006&lt;&gt;N2005,ISNUMBER(SEARCH(Лист2!$B$6,N:N)),L2006=2),MAX($M$3:OFFSET(M2006,-1,0))+1,0)</f>
        <v>0</v>
      </c>
      <c r="N2006" s="3" t="s">
        <v>1735</v>
      </c>
    </row>
    <row r="2007" spans="1:14" x14ac:dyDescent="0.25">
      <c r="A2007" s="1" t="s">
        <v>11450</v>
      </c>
      <c r="B2007" s="3" t="s">
        <v>5631</v>
      </c>
      <c r="C2007" s="2">
        <f ca="1">IF(ISNUMBER(SEARCH(Лист2!$B$4,D:D)),MAX($C$3:OFFSET(C2007,-1,0))+1,0)</f>
        <v>0</v>
      </c>
      <c r="E2007" s="9" t="str">
        <f t="shared" ca="1" si="43"/>
        <v/>
      </c>
      <c r="F2007" s="4" t="s">
        <v>7</v>
      </c>
      <c r="G2007" s="2">
        <f>IF(ISNUMBER(SEARCH(Лист2!$B$4,F:F)),1,0)</f>
        <v>0</v>
      </c>
      <c r="H2007" s="3">
        <f ca="1">IF(AND(I2007&lt;&gt;I2006,ISNUMBER(SEARCH(Лист2!$B$5,I:I)),G2007=1),MAX($H$3:OFFSET(H2007,-1,0))+1,0)</f>
        <v>0</v>
      </c>
      <c r="I2007" s="3" t="s">
        <v>236</v>
      </c>
      <c r="K2007" s="2">
        <f>IF(ISNUMBER(SEARCH(Лист2!$B$4,F:F)),1,0)</f>
        <v>0</v>
      </c>
      <c r="L2007" s="14">
        <f>IF(ISNUMBER(SEARCH(Лист2!$B$5,I:I)),1,0)+K2007</f>
        <v>0</v>
      </c>
      <c r="M2007" s="3">
        <f ca="1">IF(AND(N2007&lt;&gt;N2006,ISNUMBER(SEARCH(Лист2!$B$6,N:N)),L2007=2),MAX($M$3:OFFSET(M2007,-1,0))+1,0)</f>
        <v>0</v>
      </c>
      <c r="N2007" s="3" t="s">
        <v>1621</v>
      </c>
    </row>
    <row r="2008" spans="1:14" x14ac:dyDescent="0.25">
      <c r="A2008" s="1" t="s">
        <v>11451</v>
      </c>
      <c r="B2008" s="3" t="s">
        <v>5632</v>
      </c>
      <c r="C2008" s="2">
        <f ca="1">IF(ISNUMBER(SEARCH(Лист2!$B$4,D:D)),MAX($C$3:OFFSET(C2008,-1,0))+1,0)</f>
        <v>0</v>
      </c>
      <c r="E2008" s="9" t="str">
        <f t="shared" ca="1" si="43"/>
        <v/>
      </c>
      <c r="F2008" s="4" t="s">
        <v>7</v>
      </c>
      <c r="G2008" s="2">
        <f>IF(ISNUMBER(SEARCH(Лист2!$B$4,F:F)),1,0)</f>
        <v>0</v>
      </c>
      <c r="H2008" s="3">
        <f ca="1">IF(AND(I2008&lt;&gt;I2007,ISNUMBER(SEARCH(Лист2!$B$5,I:I)),G2008=1),MAX($H$3:OFFSET(H2008,-1,0))+1,0)</f>
        <v>0</v>
      </c>
      <c r="I2008" s="3" t="s">
        <v>236</v>
      </c>
      <c r="K2008" s="2">
        <f>IF(ISNUMBER(SEARCH(Лист2!$B$4,F:F)),1,0)</f>
        <v>0</v>
      </c>
      <c r="L2008" s="14">
        <f>IF(ISNUMBER(SEARCH(Лист2!$B$5,I:I)),1,0)+K2008</f>
        <v>0</v>
      </c>
      <c r="M2008" s="3">
        <f ca="1">IF(AND(N2008&lt;&gt;N2007,ISNUMBER(SEARCH(Лист2!$B$6,N:N)),L2008=2),MAX($M$3:OFFSET(M2008,-1,0))+1,0)</f>
        <v>0</v>
      </c>
      <c r="N2008" s="3" t="s">
        <v>1748</v>
      </c>
    </row>
    <row r="2009" spans="1:14" x14ac:dyDescent="0.25">
      <c r="A2009" s="1" t="s">
        <v>11452</v>
      </c>
      <c r="B2009" s="3" t="s">
        <v>5633</v>
      </c>
      <c r="C2009" s="2">
        <f ca="1">IF(ISNUMBER(SEARCH(Лист2!$B$4,D:D)),MAX($C$3:OFFSET(C2009,-1,0))+1,0)</f>
        <v>0</v>
      </c>
      <c r="E2009" s="9" t="str">
        <f t="shared" ca="1" si="43"/>
        <v/>
      </c>
      <c r="F2009" s="4" t="s">
        <v>7</v>
      </c>
      <c r="G2009" s="2">
        <f>IF(ISNUMBER(SEARCH(Лист2!$B$4,F:F)),1,0)</f>
        <v>0</v>
      </c>
      <c r="H2009" s="3">
        <f ca="1">IF(AND(I2009&lt;&gt;I2008,ISNUMBER(SEARCH(Лист2!$B$5,I:I)),G2009=1),MAX($H$3:OFFSET(H2009,-1,0))+1,0)</f>
        <v>0</v>
      </c>
      <c r="I2009" s="3" t="s">
        <v>236</v>
      </c>
      <c r="K2009" s="2">
        <f>IF(ISNUMBER(SEARCH(Лист2!$B$4,F:F)),1,0)</f>
        <v>0</v>
      </c>
      <c r="L2009" s="14">
        <f>IF(ISNUMBER(SEARCH(Лист2!$B$5,I:I)),1,0)+K2009</f>
        <v>0</v>
      </c>
      <c r="M2009" s="3">
        <f ca="1">IF(AND(N2009&lt;&gt;N2008,ISNUMBER(SEARCH(Лист2!$B$6,N:N)),L2009=2),MAX($M$3:OFFSET(M2009,-1,0))+1,0)</f>
        <v>0</v>
      </c>
      <c r="N2009" s="3" t="s">
        <v>1749</v>
      </c>
    </row>
    <row r="2010" spans="1:14" x14ac:dyDescent="0.25">
      <c r="A2010" s="1" t="s">
        <v>11453</v>
      </c>
      <c r="B2010" s="3" t="s">
        <v>5634</v>
      </c>
      <c r="C2010" s="2">
        <f ca="1">IF(ISNUMBER(SEARCH(Лист2!$B$4,D:D)),MAX($C$3:OFFSET(C2010,-1,0))+1,0)</f>
        <v>0</v>
      </c>
      <c r="E2010" s="9" t="str">
        <f t="shared" ca="1" si="43"/>
        <v/>
      </c>
      <c r="F2010" s="4" t="s">
        <v>7</v>
      </c>
      <c r="G2010" s="2">
        <f>IF(ISNUMBER(SEARCH(Лист2!$B$4,F:F)),1,0)</f>
        <v>0</v>
      </c>
      <c r="H2010" s="3">
        <f ca="1">IF(AND(I2010&lt;&gt;I2009,ISNUMBER(SEARCH(Лист2!$B$5,I:I)),G2010=1),MAX($H$3:OFFSET(H2010,-1,0))+1,0)</f>
        <v>0</v>
      </c>
      <c r="I2010" s="3" t="s">
        <v>236</v>
      </c>
      <c r="K2010" s="2">
        <f>IF(ISNUMBER(SEARCH(Лист2!$B$4,F:F)),1,0)</f>
        <v>0</v>
      </c>
      <c r="L2010" s="14">
        <f>IF(ISNUMBER(SEARCH(Лист2!$B$5,I:I)),1,0)+K2010</f>
        <v>0</v>
      </c>
      <c r="M2010" s="3">
        <f ca="1">IF(AND(N2010&lt;&gt;N2009,ISNUMBER(SEARCH(Лист2!$B$6,N:N)),L2010=2),MAX($M$3:OFFSET(M2010,-1,0))+1,0)</f>
        <v>0</v>
      </c>
      <c r="N2010" s="3" t="s">
        <v>1678</v>
      </c>
    </row>
    <row r="2011" spans="1:14" x14ac:dyDescent="0.25">
      <c r="A2011" s="1" t="s">
        <v>11454</v>
      </c>
      <c r="B2011" s="3" t="s">
        <v>5635</v>
      </c>
      <c r="C2011" s="2">
        <f ca="1">IF(ISNUMBER(SEARCH(Лист2!$B$4,D:D)),MAX($C$3:OFFSET(C2011,-1,0))+1,0)</f>
        <v>0</v>
      </c>
      <c r="E2011" s="9" t="str">
        <f t="shared" ca="1" si="43"/>
        <v/>
      </c>
      <c r="F2011" s="4" t="s">
        <v>7</v>
      </c>
      <c r="G2011" s="2">
        <f>IF(ISNUMBER(SEARCH(Лист2!$B$4,F:F)),1,0)</f>
        <v>0</v>
      </c>
      <c r="H2011" s="3">
        <f ca="1">IF(AND(I2011&lt;&gt;I2010,ISNUMBER(SEARCH(Лист2!$B$5,I:I)),G2011=1),MAX($H$3:OFFSET(H2011,-1,0))+1,0)</f>
        <v>0</v>
      </c>
      <c r="I2011" s="3" t="s">
        <v>236</v>
      </c>
      <c r="K2011" s="2">
        <f>IF(ISNUMBER(SEARCH(Лист2!$B$4,F:F)),1,0)</f>
        <v>0</v>
      </c>
      <c r="L2011" s="14">
        <f>IF(ISNUMBER(SEARCH(Лист2!$B$5,I:I)),1,0)+K2011</f>
        <v>0</v>
      </c>
      <c r="M2011" s="3">
        <f ca="1">IF(AND(N2011&lt;&gt;N2010,ISNUMBER(SEARCH(Лист2!$B$6,N:N)),L2011=2),MAX($M$3:OFFSET(M2011,-1,0))+1,0)</f>
        <v>0</v>
      </c>
      <c r="N2011" s="3" t="s">
        <v>602</v>
      </c>
    </row>
    <row r="2012" spans="1:14" x14ac:dyDescent="0.25">
      <c r="A2012" s="1" t="s">
        <v>11455</v>
      </c>
      <c r="B2012" s="3" t="s">
        <v>5636</v>
      </c>
      <c r="C2012" s="2">
        <f ca="1">IF(ISNUMBER(SEARCH(Лист2!$B$4,D:D)),MAX($C$3:OFFSET(C2012,-1,0))+1,0)</f>
        <v>0</v>
      </c>
      <c r="E2012" s="9" t="str">
        <f t="shared" ca="1" si="43"/>
        <v/>
      </c>
      <c r="F2012" s="4" t="s">
        <v>7</v>
      </c>
      <c r="G2012" s="2">
        <f>IF(ISNUMBER(SEARCH(Лист2!$B$4,F:F)),1,0)</f>
        <v>0</v>
      </c>
      <c r="H2012" s="3">
        <f ca="1">IF(AND(I2012&lt;&gt;I2011,ISNUMBER(SEARCH(Лист2!$B$5,I:I)),G2012=1),MAX($H$3:OFFSET(H2012,-1,0))+1,0)</f>
        <v>0</v>
      </c>
      <c r="I2012" s="3" t="s">
        <v>236</v>
      </c>
      <c r="K2012" s="2">
        <f>IF(ISNUMBER(SEARCH(Лист2!$B$4,F:F)),1,0)</f>
        <v>0</v>
      </c>
      <c r="L2012" s="14">
        <f>IF(ISNUMBER(SEARCH(Лист2!$B$5,I:I)),1,0)+K2012</f>
        <v>0</v>
      </c>
      <c r="M2012" s="3">
        <f ca="1">IF(AND(N2012&lt;&gt;N2011,ISNUMBER(SEARCH(Лист2!$B$6,N:N)),L2012=2),MAX($M$3:OFFSET(M2012,-1,0))+1,0)</f>
        <v>0</v>
      </c>
      <c r="N2012" s="3" t="s">
        <v>1750</v>
      </c>
    </row>
    <row r="2013" spans="1:14" x14ac:dyDescent="0.25">
      <c r="A2013" s="1" t="s">
        <v>11456</v>
      </c>
      <c r="B2013" s="3" t="s">
        <v>5637</v>
      </c>
      <c r="C2013" s="2">
        <f ca="1">IF(ISNUMBER(SEARCH(Лист2!$B$4,D:D)),MAX($C$3:OFFSET(C2013,-1,0))+1,0)</f>
        <v>0</v>
      </c>
      <c r="E2013" s="9" t="str">
        <f t="shared" ca="1" si="43"/>
        <v/>
      </c>
      <c r="F2013" s="4" t="s">
        <v>7</v>
      </c>
      <c r="G2013" s="2">
        <f>IF(ISNUMBER(SEARCH(Лист2!$B$4,F:F)),1,0)</f>
        <v>0</v>
      </c>
      <c r="H2013" s="3">
        <f ca="1">IF(AND(I2013&lt;&gt;I2012,ISNUMBER(SEARCH(Лист2!$B$5,I:I)),G2013=1),MAX($H$3:OFFSET(H2013,-1,0))+1,0)</f>
        <v>0</v>
      </c>
      <c r="I2013" s="3" t="s">
        <v>236</v>
      </c>
      <c r="K2013" s="2">
        <f>IF(ISNUMBER(SEARCH(Лист2!$B$4,F:F)),1,0)</f>
        <v>0</v>
      </c>
      <c r="L2013" s="14">
        <f>IF(ISNUMBER(SEARCH(Лист2!$B$5,I:I)),1,0)+K2013</f>
        <v>0</v>
      </c>
      <c r="M2013" s="3">
        <f ca="1">IF(AND(N2013&lt;&gt;N2012,ISNUMBER(SEARCH(Лист2!$B$6,N:N)),L2013=2),MAX($M$3:OFFSET(M2013,-1,0))+1,0)</f>
        <v>0</v>
      </c>
      <c r="N2013" s="3" t="s">
        <v>1751</v>
      </c>
    </row>
    <row r="2014" spans="1:14" x14ac:dyDescent="0.25">
      <c r="A2014" s="1" t="s">
        <v>11457</v>
      </c>
      <c r="B2014" s="3" t="s">
        <v>5638</v>
      </c>
      <c r="C2014" s="2">
        <f ca="1">IF(ISNUMBER(SEARCH(Лист2!$B$4,D:D)),MAX($C$3:OFFSET(C2014,-1,0))+1,0)</f>
        <v>0</v>
      </c>
      <c r="E2014" s="9" t="str">
        <f t="shared" ca="1" si="43"/>
        <v/>
      </c>
      <c r="F2014" s="4" t="s">
        <v>7</v>
      </c>
      <c r="G2014" s="2">
        <f>IF(ISNUMBER(SEARCH(Лист2!$B$4,F:F)),1,0)</f>
        <v>0</v>
      </c>
      <c r="H2014" s="3">
        <f ca="1">IF(AND(I2014&lt;&gt;I2013,ISNUMBER(SEARCH(Лист2!$B$5,I:I)),G2014=1),MAX($H$3:OFFSET(H2014,-1,0))+1,0)</f>
        <v>0</v>
      </c>
      <c r="I2014" s="3" t="s">
        <v>236</v>
      </c>
      <c r="K2014" s="2">
        <f>IF(ISNUMBER(SEARCH(Лист2!$B$4,F:F)),1,0)</f>
        <v>0</v>
      </c>
      <c r="L2014" s="14">
        <f>IF(ISNUMBER(SEARCH(Лист2!$B$5,I:I)),1,0)+K2014</f>
        <v>0</v>
      </c>
      <c r="M2014" s="3">
        <f ca="1">IF(AND(N2014&lt;&gt;N2013,ISNUMBER(SEARCH(Лист2!$B$6,N:N)),L2014=2),MAX($M$3:OFFSET(M2014,-1,0))+1,0)</f>
        <v>0</v>
      </c>
      <c r="N2014" s="3" t="s">
        <v>1752</v>
      </c>
    </row>
    <row r="2015" spans="1:14" x14ac:dyDescent="0.25">
      <c r="A2015" s="1" t="s">
        <v>11458</v>
      </c>
      <c r="B2015" s="3" t="s">
        <v>5639</v>
      </c>
      <c r="C2015" s="2">
        <f ca="1">IF(ISNUMBER(SEARCH(Лист2!$B$4,D:D)),MAX($C$3:OFFSET(C2015,-1,0))+1,0)</f>
        <v>0</v>
      </c>
      <c r="E2015" s="9" t="str">
        <f t="shared" ca="1" si="43"/>
        <v/>
      </c>
      <c r="F2015" s="4" t="s">
        <v>7</v>
      </c>
      <c r="G2015" s="2">
        <f>IF(ISNUMBER(SEARCH(Лист2!$B$4,F:F)),1,0)</f>
        <v>0</v>
      </c>
      <c r="H2015" s="3">
        <f ca="1">IF(AND(I2015&lt;&gt;I2014,ISNUMBER(SEARCH(Лист2!$B$5,I:I)),G2015=1),MAX($H$3:OFFSET(H2015,-1,0))+1,0)</f>
        <v>0</v>
      </c>
      <c r="I2015" s="3" t="s">
        <v>236</v>
      </c>
      <c r="K2015" s="2">
        <f>IF(ISNUMBER(SEARCH(Лист2!$B$4,F:F)),1,0)</f>
        <v>0</v>
      </c>
      <c r="L2015" s="14">
        <f>IF(ISNUMBER(SEARCH(Лист2!$B$5,I:I)),1,0)+K2015</f>
        <v>0</v>
      </c>
      <c r="M2015" s="3">
        <f ca="1">IF(AND(N2015&lt;&gt;N2014,ISNUMBER(SEARCH(Лист2!$B$6,N:N)),L2015=2),MAX($M$3:OFFSET(M2015,-1,0))+1,0)</f>
        <v>0</v>
      </c>
      <c r="N2015" s="3" t="s">
        <v>1753</v>
      </c>
    </row>
    <row r="2016" spans="1:14" x14ac:dyDescent="0.25">
      <c r="A2016" s="1" t="s">
        <v>11459</v>
      </c>
      <c r="B2016" s="3" t="s">
        <v>5640</v>
      </c>
      <c r="C2016" s="2">
        <f ca="1">IF(ISNUMBER(SEARCH(Лист2!$B$4,D:D)),MAX($C$3:OFFSET(C2016,-1,0))+1,0)</f>
        <v>0</v>
      </c>
      <c r="E2016" s="9" t="str">
        <f t="shared" ca="1" si="43"/>
        <v/>
      </c>
      <c r="F2016" s="4" t="s">
        <v>7</v>
      </c>
      <c r="G2016" s="2">
        <f>IF(ISNUMBER(SEARCH(Лист2!$B$4,F:F)),1,0)</f>
        <v>0</v>
      </c>
      <c r="H2016" s="3">
        <f ca="1">IF(AND(I2016&lt;&gt;I2015,ISNUMBER(SEARCH(Лист2!$B$5,I:I)),G2016=1),MAX($H$3:OFFSET(H2016,-1,0))+1,0)</f>
        <v>0</v>
      </c>
      <c r="I2016" s="3" t="s">
        <v>236</v>
      </c>
      <c r="K2016" s="2">
        <f>IF(ISNUMBER(SEARCH(Лист2!$B$4,F:F)),1,0)</f>
        <v>0</v>
      </c>
      <c r="L2016" s="14">
        <f>IF(ISNUMBER(SEARCH(Лист2!$B$5,I:I)),1,0)+K2016</f>
        <v>0</v>
      </c>
      <c r="M2016" s="3">
        <f ca="1">IF(AND(N2016&lt;&gt;N2015,ISNUMBER(SEARCH(Лист2!$B$6,N:N)),L2016=2),MAX($M$3:OFFSET(M2016,-1,0))+1,0)</f>
        <v>0</v>
      </c>
      <c r="N2016" s="3" t="s">
        <v>1754</v>
      </c>
    </row>
    <row r="2017" spans="1:14" x14ac:dyDescent="0.25">
      <c r="A2017" s="1" t="s">
        <v>11460</v>
      </c>
      <c r="B2017" s="3" t="s">
        <v>5641</v>
      </c>
      <c r="C2017" s="2">
        <f ca="1">IF(ISNUMBER(SEARCH(Лист2!$B$4,D:D)),MAX($C$3:OFFSET(C2017,-1,0))+1,0)</f>
        <v>0</v>
      </c>
      <c r="E2017" s="9" t="str">
        <f t="shared" ca="1" si="43"/>
        <v/>
      </c>
      <c r="F2017" s="4" t="s">
        <v>7</v>
      </c>
      <c r="G2017" s="2">
        <f>IF(ISNUMBER(SEARCH(Лист2!$B$4,F:F)),1,0)</f>
        <v>0</v>
      </c>
      <c r="H2017" s="3">
        <f ca="1">IF(AND(I2017&lt;&gt;I2016,ISNUMBER(SEARCH(Лист2!$B$5,I:I)),G2017=1),MAX($H$3:OFFSET(H2017,-1,0))+1,0)</f>
        <v>0</v>
      </c>
      <c r="I2017" s="3" t="s">
        <v>237</v>
      </c>
      <c r="K2017" s="2">
        <f>IF(ISNUMBER(SEARCH(Лист2!$B$4,F:F)),1,0)</f>
        <v>0</v>
      </c>
      <c r="L2017" s="14">
        <f>IF(ISNUMBER(SEARCH(Лист2!$B$5,I:I)),1,0)+K2017</f>
        <v>0</v>
      </c>
      <c r="M2017" s="3">
        <f ca="1">IF(AND(N2017&lt;&gt;N2016,ISNUMBER(SEARCH(Лист2!$B$6,N:N)),L2017=2),MAX($M$3:OFFSET(M2017,-1,0))+1,0)</f>
        <v>0</v>
      </c>
      <c r="N2017" s="3" t="s">
        <v>1755</v>
      </c>
    </row>
    <row r="2018" spans="1:14" x14ac:dyDescent="0.25">
      <c r="A2018" s="1" t="s">
        <v>11460</v>
      </c>
      <c r="B2018" s="3" t="s">
        <v>5642</v>
      </c>
      <c r="C2018" s="2">
        <f ca="1">IF(ISNUMBER(SEARCH(Лист2!$B$4,D:D)),MAX($C$3:OFFSET(C2018,-1,0))+1,0)</f>
        <v>0</v>
      </c>
      <c r="E2018" s="9" t="str">
        <f t="shared" ca="1" si="43"/>
        <v/>
      </c>
      <c r="F2018" s="4" t="s">
        <v>7</v>
      </c>
      <c r="G2018" s="2">
        <f>IF(ISNUMBER(SEARCH(Лист2!$B$4,F:F)),1,0)</f>
        <v>0</v>
      </c>
      <c r="H2018" s="3">
        <f ca="1">IF(AND(I2018&lt;&gt;I2017,ISNUMBER(SEARCH(Лист2!$B$5,I:I)),G2018=1),MAX($H$3:OFFSET(H2018,-1,0))+1,0)</f>
        <v>0</v>
      </c>
      <c r="I2018" s="3" t="s">
        <v>237</v>
      </c>
      <c r="K2018" s="2">
        <f>IF(ISNUMBER(SEARCH(Лист2!$B$4,F:F)),1,0)</f>
        <v>0</v>
      </c>
      <c r="L2018" s="14">
        <f>IF(ISNUMBER(SEARCH(Лист2!$B$5,I:I)),1,0)+K2018</f>
        <v>0</v>
      </c>
      <c r="M2018" s="3">
        <f ca="1">IF(AND(N2018&lt;&gt;N2017,ISNUMBER(SEARCH(Лист2!$B$6,N:N)),L2018=2),MAX($M$3:OFFSET(M2018,-1,0))+1,0)</f>
        <v>0</v>
      </c>
      <c r="N2018" s="3" t="s">
        <v>1755</v>
      </c>
    </row>
    <row r="2019" spans="1:14" x14ac:dyDescent="0.25">
      <c r="A2019" s="1" t="s">
        <v>11460</v>
      </c>
      <c r="B2019" s="3" t="s">
        <v>5643</v>
      </c>
      <c r="C2019" s="2">
        <f ca="1">IF(ISNUMBER(SEARCH(Лист2!$B$4,D:D)),MAX($C$3:OFFSET(C2019,-1,0))+1,0)</f>
        <v>0</v>
      </c>
      <c r="E2019" s="9" t="str">
        <f t="shared" ca="1" si="43"/>
        <v/>
      </c>
      <c r="F2019" s="4" t="s">
        <v>7</v>
      </c>
      <c r="G2019" s="2">
        <f>IF(ISNUMBER(SEARCH(Лист2!$B$4,F:F)),1,0)</f>
        <v>0</v>
      </c>
      <c r="H2019" s="3">
        <f ca="1">IF(AND(I2019&lt;&gt;I2018,ISNUMBER(SEARCH(Лист2!$B$5,I:I)),G2019=1),MAX($H$3:OFFSET(H2019,-1,0))+1,0)</f>
        <v>0</v>
      </c>
      <c r="I2019" s="3" t="s">
        <v>237</v>
      </c>
      <c r="K2019" s="2">
        <f>IF(ISNUMBER(SEARCH(Лист2!$B$4,F:F)),1,0)</f>
        <v>0</v>
      </c>
      <c r="L2019" s="14">
        <f>IF(ISNUMBER(SEARCH(Лист2!$B$5,I:I)),1,0)+K2019</f>
        <v>0</v>
      </c>
      <c r="M2019" s="3">
        <f ca="1">IF(AND(N2019&lt;&gt;N2018,ISNUMBER(SEARCH(Лист2!$B$6,N:N)),L2019=2),MAX($M$3:OFFSET(M2019,-1,0))+1,0)</f>
        <v>0</v>
      </c>
      <c r="N2019" s="3" t="s">
        <v>1755</v>
      </c>
    </row>
    <row r="2020" spans="1:14" x14ac:dyDescent="0.25">
      <c r="A2020" s="1" t="s">
        <v>11461</v>
      </c>
      <c r="B2020" s="3" t="s">
        <v>5644</v>
      </c>
      <c r="C2020" s="2">
        <f ca="1">IF(ISNUMBER(SEARCH(Лист2!$B$4,D:D)),MAX($C$3:OFFSET(C2020,-1,0))+1,0)</f>
        <v>0</v>
      </c>
      <c r="E2020" s="9" t="str">
        <f t="shared" ca="1" si="43"/>
        <v/>
      </c>
      <c r="F2020" s="4" t="s">
        <v>7</v>
      </c>
      <c r="G2020" s="2">
        <f>IF(ISNUMBER(SEARCH(Лист2!$B$4,F:F)),1,0)</f>
        <v>0</v>
      </c>
      <c r="H2020" s="3">
        <f ca="1">IF(AND(I2020&lt;&gt;I2019,ISNUMBER(SEARCH(Лист2!$B$5,I:I)),G2020=1),MAX($H$3:OFFSET(H2020,-1,0))+1,0)</f>
        <v>0</v>
      </c>
      <c r="I2020" s="3" t="s">
        <v>237</v>
      </c>
      <c r="K2020" s="2">
        <f>IF(ISNUMBER(SEARCH(Лист2!$B$4,F:F)),1,0)</f>
        <v>0</v>
      </c>
      <c r="L2020" s="14">
        <f>IF(ISNUMBER(SEARCH(Лист2!$B$5,I:I)),1,0)+K2020</f>
        <v>0</v>
      </c>
      <c r="M2020" s="3">
        <f ca="1">IF(AND(N2020&lt;&gt;N2019,ISNUMBER(SEARCH(Лист2!$B$6,N:N)),L2020=2),MAX($M$3:OFFSET(M2020,-1,0))+1,0)</f>
        <v>0</v>
      </c>
      <c r="N2020" s="3" t="s">
        <v>1756</v>
      </c>
    </row>
    <row r="2021" spans="1:14" x14ac:dyDescent="0.25">
      <c r="A2021" s="1" t="s">
        <v>11461</v>
      </c>
      <c r="B2021" s="3" t="s">
        <v>5645</v>
      </c>
      <c r="C2021" s="2">
        <f ca="1">IF(ISNUMBER(SEARCH(Лист2!$B$4,D:D)),MAX($C$3:OFFSET(C2021,-1,0))+1,0)</f>
        <v>0</v>
      </c>
      <c r="E2021" s="9" t="str">
        <f t="shared" ca="1" si="43"/>
        <v/>
      </c>
      <c r="F2021" s="4" t="s">
        <v>7</v>
      </c>
      <c r="G2021" s="2">
        <f>IF(ISNUMBER(SEARCH(Лист2!$B$4,F:F)),1,0)</f>
        <v>0</v>
      </c>
      <c r="H2021" s="3">
        <f ca="1">IF(AND(I2021&lt;&gt;I2020,ISNUMBER(SEARCH(Лист2!$B$5,I:I)),G2021=1),MAX($H$3:OFFSET(H2021,-1,0))+1,0)</f>
        <v>0</v>
      </c>
      <c r="I2021" s="3" t="s">
        <v>237</v>
      </c>
      <c r="K2021" s="2">
        <f>IF(ISNUMBER(SEARCH(Лист2!$B$4,F:F)),1,0)</f>
        <v>0</v>
      </c>
      <c r="L2021" s="14">
        <f>IF(ISNUMBER(SEARCH(Лист2!$B$5,I:I)),1,0)+K2021</f>
        <v>0</v>
      </c>
      <c r="M2021" s="3">
        <f ca="1">IF(AND(N2021&lt;&gt;N2020,ISNUMBER(SEARCH(Лист2!$B$6,N:N)),L2021=2),MAX($M$3:OFFSET(M2021,-1,0))+1,0)</f>
        <v>0</v>
      </c>
      <c r="N2021" s="3" t="s">
        <v>1756</v>
      </c>
    </row>
    <row r="2022" spans="1:14" x14ac:dyDescent="0.25">
      <c r="A2022" s="1" t="s">
        <v>11461</v>
      </c>
      <c r="B2022" s="3" t="s">
        <v>5646</v>
      </c>
      <c r="C2022" s="2">
        <f ca="1">IF(ISNUMBER(SEARCH(Лист2!$B$4,D:D)),MAX($C$3:OFFSET(C2022,-1,0))+1,0)</f>
        <v>0</v>
      </c>
      <c r="E2022" s="9" t="str">
        <f t="shared" ca="1" si="43"/>
        <v/>
      </c>
      <c r="F2022" s="4" t="s">
        <v>7</v>
      </c>
      <c r="G2022" s="2">
        <f>IF(ISNUMBER(SEARCH(Лист2!$B$4,F:F)),1,0)</f>
        <v>0</v>
      </c>
      <c r="H2022" s="3">
        <f ca="1">IF(AND(I2022&lt;&gt;I2021,ISNUMBER(SEARCH(Лист2!$B$5,I:I)),G2022=1),MAX($H$3:OFFSET(H2022,-1,0))+1,0)</f>
        <v>0</v>
      </c>
      <c r="I2022" s="3" t="s">
        <v>237</v>
      </c>
      <c r="K2022" s="2">
        <f>IF(ISNUMBER(SEARCH(Лист2!$B$4,F:F)),1,0)</f>
        <v>0</v>
      </c>
      <c r="L2022" s="14">
        <f>IF(ISNUMBER(SEARCH(Лист2!$B$5,I:I)),1,0)+K2022</f>
        <v>0</v>
      </c>
      <c r="M2022" s="3">
        <f ca="1">IF(AND(N2022&lt;&gt;N2021,ISNUMBER(SEARCH(Лист2!$B$6,N:N)),L2022=2),MAX($M$3:OFFSET(M2022,-1,0))+1,0)</f>
        <v>0</v>
      </c>
      <c r="N2022" s="3" t="s">
        <v>1756</v>
      </c>
    </row>
    <row r="2023" spans="1:14" x14ac:dyDescent="0.25">
      <c r="A2023" s="1" t="s">
        <v>11462</v>
      </c>
      <c r="B2023" s="3" t="s">
        <v>5647</v>
      </c>
      <c r="C2023" s="2">
        <f ca="1">IF(ISNUMBER(SEARCH(Лист2!$B$4,D:D)),MAX($C$3:OFFSET(C2023,-1,0))+1,0)</f>
        <v>0</v>
      </c>
      <c r="E2023" s="9" t="str">
        <f t="shared" ca="1" si="43"/>
        <v/>
      </c>
      <c r="F2023" s="4" t="s">
        <v>7</v>
      </c>
      <c r="G2023" s="2">
        <f>IF(ISNUMBER(SEARCH(Лист2!$B$4,F:F)),1,0)</f>
        <v>0</v>
      </c>
      <c r="H2023" s="3">
        <f ca="1">IF(AND(I2023&lt;&gt;I2022,ISNUMBER(SEARCH(Лист2!$B$5,I:I)),G2023=1),MAX($H$3:OFFSET(H2023,-1,0))+1,0)</f>
        <v>0</v>
      </c>
      <c r="I2023" s="3" t="s">
        <v>237</v>
      </c>
      <c r="K2023" s="2">
        <f>IF(ISNUMBER(SEARCH(Лист2!$B$4,F:F)),1,0)</f>
        <v>0</v>
      </c>
      <c r="L2023" s="14">
        <f>IF(ISNUMBER(SEARCH(Лист2!$B$5,I:I)),1,0)+K2023</f>
        <v>0</v>
      </c>
      <c r="M2023" s="3">
        <f ca="1">IF(AND(N2023&lt;&gt;N2022,ISNUMBER(SEARCH(Лист2!$B$6,N:N)),L2023=2),MAX($M$3:OFFSET(M2023,-1,0))+1,0)</f>
        <v>0</v>
      </c>
      <c r="N2023" s="3" t="s">
        <v>1757</v>
      </c>
    </row>
    <row r="2024" spans="1:14" x14ac:dyDescent="0.25">
      <c r="A2024" s="1" t="s">
        <v>11462</v>
      </c>
      <c r="B2024" s="3" t="s">
        <v>5648</v>
      </c>
      <c r="C2024" s="2">
        <f ca="1">IF(ISNUMBER(SEARCH(Лист2!$B$4,D:D)),MAX($C$3:OFFSET(C2024,-1,0))+1,0)</f>
        <v>0</v>
      </c>
      <c r="E2024" s="9" t="str">
        <f t="shared" ca="1" si="43"/>
        <v/>
      </c>
      <c r="F2024" s="4" t="s">
        <v>7</v>
      </c>
      <c r="G2024" s="2">
        <f>IF(ISNUMBER(SEARCH(Лист2!$B$4,F:F)),1,0)</f>
        <v>0</v>
      </c>
      <c r="H2024" s="3">
        <f ca="1">IF(AND(I2024&lt;&gt;I2023,ISNUMBER(SEARCH(Лист2!$B$5,I:I)),G2024=1),MAX($H$3:OFFSET(H2024,-1,0))+1,0)</f>
        <v>0</v>
      </c>
      <c r="I2024" s="3" t="s">
        <v>237</v>
      </c>
      <c r="K2024" s="2">
        <f>IF(ISNUMBER(SEARCH(Лист2!$B$4,F:F)),1,0)</f>
        <v>0</v>
      </c>
      <c r="L2024" s="14">
        <f>IF(ISNUMBER(SEARCH(Лист2!$B$5,I:I)),1,0)+K2024</f>
        <v>0</v>
      </c>
      <c r="M2024" s="3">
        <f ca="1">IF(AND(N2024&lt;&gt;N2023,ISNUMBER(SEARCH(Лист2!$B$6,N:N)),L2024=2),MAX($M$3:OFFSET(M2024,-1,0))+1,0)</f>
        <v>0</v>
      </c>
      <c r="N2024" s="3" t="s">
        <v>1757</v>
      </c>
    </row>
    <row r="2025" spans="1:14" x14ac:dyDescent="0.25">
      <c r="A2025" s="1" t="s">
        <v>11462</v>
      </c>
      <c r="B2025" s="3" t="s">
        <v>5649</v>
      </c>
      <c r="C2025" s="2">
        <f ca="1">IF(ISNUMBER(SEARCH(Лист2!$B$4,D:D)),MAX($C$3:OFFSET(C2025,-1,0))+1,0)</f>
        <v>0</v>
      </c>
      <c r="E2025" s="9" t="str">
        <f t="shared" ca="1" si="43"/>
        <v/>
      </c>
      <c r="F2025" s="4" t="s">
        <v>7</v>
      </c>
      <c r="G2025" s="2">
        <f>IF(ISNUMBER(SEARCH(Лист2!$B$4,F:F)),1,0)</f>
        <v>0</v>
      </c>
      <c r="H2025" s="3">
        <f ca="1">IF(AND(I2025&lt;&gt;I2024,ISNUMBER(SEARCH(Лист2!$B$5,I:I)),G2025=1),MAX($H$3:OFFSET(H2025,-1,0))+1,0)</f>
        <v>0</v>
      </c>
      <c r="I2025" s="3" t="s">
        <v>237</v>
      </c>
      <c r="K2025" s="2">
        <f>IF(ISNUMBER(SEARCH(Лист2!$B$4,F:F)),1,0)</f>
        <v>0</v>
      </c>
      <c r="L2025" s="14">
        <f>IF(ISNUMBER(SEARCH(Лист2!$B$5,I:I)),1,0)+K2025</f>
        <v>0</v>
      </c>
      <c r="M2025" s="3">
        <f ca="1">IF(AND(N2025&lt;&gt;N2024,ISNUMBER(SEARCH(Лист2!$B$6,N:N)),L2025=2),MAX($M$3:OFFSET(M2025,-1,0))+1,0)</f>
        <v>0</v>
      </c>
      <c r="N2025" s="3" t="s">
        <v>1757</v>
      </c>
    </row>
    <row r="2026" spans="1:14" x14ac:dyDescent="0.25">
      <c r="A2026" s="1" t="s">
        <v>11463</v>
      </c>
      <c r="B2026" s="3" t="s">
        <v>5650</v>
      </c>
      <c r="C2026" s="2">
        <f ca="1">IF(ISNUMBER(SEARCH(Лист2!$B$4,D:D)),MAX($C$3:OFFSET(C2026,-1,0))+1,0)</f>
        <v>0</v>
      </c>
      <c r="E2026" s="9" t="str">
        <f t="shared" ca="1" si="43"/>
        <v/>
      </c>
      <c r="F2026" s="4" t="s">
        <v>7</v>
      </c>
      <c r="G2026" s="2">
        <f>IF(ISNUMBER(SEARCH(Лист2!$B$4,F:F)),1,0)</f>
        <v>0</v>
      </c>
      <c r="H2026" s="3">
        <f ca="1">IF(AND(I2026&lt;&gt;I2025,ISNUMBER(SEARCH(Лист2!$B$5,I:I)),G2026=1),MAX($H$3:OFFSET(H2026,-1,0))+1,0)</f>
        <v>0</v>
      </c>
      <c r="I2026" s="3" t="s">
        <v>237</v>
      </c>
      <c r="K2026" s="2">
        <f>IF(ISNUMBER(SEARCH(Лист2!$B$4,F:F)),1,0)</f>
        <v>0</v>
      </c>
      <c r="L2026" s="14">
        <f>IF(ISNUMBER(SEARCH(Лист2!$B$5,I:I)),1,0)+K2026</f>
        <v>0</v>
      </c>
      <c r="M2026" s="3">
        <f ca="1">IF(AND(N2026&lt;&gt;N2025,ISNUMBER(SEARCH(Лист2!$B$6,N:N)),L2026=2),MAX($M$3:OFFSET(M2026,-1,0))+1,0)</f>
        <v>0</v>
      </c>
      <c r="N2026" s="3" t="s">
        <v>1758</v>
      </c>
    </row>
    <row r="2027" spans="1:14" x14ac:dyDescent="0.25">
      <c r="A2027" s="1" t="s">
        <v>11463</v>
      </c>
      <c r="B2027" s="3" t="s">
        <v>5651</v>
      </c>
      <c r="C2027" s="2">
        <f ca="1">IF(ISNUMBER(SEARCH(Лист2!$B$4,D:D)),MAX($C$3:OFFSET(C2027,-1,0))+1,0)</f>
        <v>0</v>
      </c>
      <c r="E2027" s="9" t="str">
        <f t="shared" ca="1" si="43"/>
        <v/>
      </c>
      <c r="F2027" s="4" t="s">
        <v>7</v>
      </c>
      <c r="G2027" s="2">
        <f>IF(ISNUMBER(SEARCH(Лист2!$B$4,F:F)),1,0)</f>
        <v>0</v>
      </c>
      <c r="H2027" s="3">
        <f ca="1">IF(AND(I2027&lt;&gt;I2026,ISNUMBER(SEARCH(Лист2!$B$5,I:I)),G2027=1),MAX($H$3:OFFSET(H2027,-1,0))+1,0)</f>
        <v>0</v>
      </c>
      <c r="I2027" s="3" t="s">
        <v>237</v>
      </c>
      <c r="K2027" s="2">
        <f>IF(ISNUMBER(SEARCH(Лист2!$B$4,F:F)),1,0)</f>
        <v>0</v>
      </c>
      <c r="L2027" s="14">
        <f>IF(ISNUMBER(SEARCH(Лист2!$B$5,I:I)),1,0)+K2027</f>
        <v>0</v>
      </c>
      <c r="M2027" s="3">
        <f ca="1">IF(AND(N2027&lt;&gt;N2026,ISNUMBER(SEARCH(Лист2!$B$6,N:N)),L2027=2),MAX($M$3:OFFSET(M2027,-1,0))+1,0)</f>
        <v>0</v>
      </c>
      <c r="N2027" s="3" t="s">
        <v>1758</v>
      </c>
    </row>
    <row r="2028" spans="1:14" x14ac:dyDescent="0.25">
      <c r="A2028" s="1" t="s">
        <v>11463</v>
      </c>
      <c r="B2028" s="3" t="s">
        <v>5652</v>
      </c>
      <c r="C2028" s="2">
        <f ca="1">IF(ISNUMBER(SEARCH(Лист2!$B$4,D:D)),MAX($C$3:OFFSET(C2028,-1,0))+1,0)</f>
        <v>0</v>
      </c>
      <c r="E2028" s="9" t="str">
        <f t="shared" ca="1" si="43"/>
        <v/>
      </c>
      <c r="F2028" s="4" t="s">
        <v>7</v>
      </c>
      <c r="G2028" s="2">
        <f>IF(ISNUMBER(SEARCH(Лист2!$B$4,F:F)),1,0)</f>
        <v>0</v>
      </c>
      <c r="H2028" s="3">
        <f ca="1">IF(AND(I2028&lt;&gt;I2027,ISNUMBER(SEARCH(Лист2!$B$5,I:I)),G2028=1),MAX($H$3:OFFSET(H2028,-1,0))+1,0)</f>
        <v>0</v>
      </c>
      <c r="I2028" s="3" t="s">
        <v>237</v>
      </c>
      <c r="K2028" s="2">
        <f>IF(ISNUMBER(SEARCH(Лист2!$B$4,F:F)),1,0)</f>
        <v>0</v>
      </c>
      <c r="L2028" s="14">
        <f>IF(ISNUMBER(SEARCH(Лист2!$B$5,I:I)),1,0)+K2028</f>
        <v>0</v>
      </c>
      <c r="M2028" s="3">
        <f ca="1">IF(AND(N2028&lt;&gt;N2027,ISNUMBER(SEARCH(Лист2!$B$6,N:N)),L2028=2),MAX($M$3:OFFSET(M2028,-1,0))+1,0)</f>
        <v>0</v>
      </c>
      <c r="N2028" s="3" t="s">
        <v>1758</v>
      </c>
    </row>
    <row r="2029" spans="1:14" x14ac:dyDescent="0.25">
      <c r="A2029" s="1" t="s">
        <v>11464</v>
      </c>
      <c r="B2029" s="3" t="s">
        <v>5653</v>
      </c>
      <c r="C2029" s="2">
        <f ca="1">IF(ISNUMBER(SEARCH(Лист2!$B$4,D:D)),MAX($C$3:OFFSET(C2029,-1,0))+1,0)</f>
        <v>0</v>
      </c>
      <c r="E2029" s="9" t="str">
        <f t="shared" ca="1" si="43"/>
        <v/>
      </c>
      <c r="F2029" s="4" t="s">
        <v>7</v>
      </c>
      <c r="G2029" s="2">
        <f>IF(ISNUMBER(SEARCH(Лист2!$B$4,F:F)),1,0)</f>
        <v>0</v>
      </c>
      <c r="H2029" s="3">
        <f ca="1">IF(AND(I2029&lt;&gt;I2028,ISNUMBER(SEARCH(Лист2!$B$5,I:I)),G2029=1),MAX($H$3:OFFSET(H2029,-1,0))+1,0)</f>
        <v>0</v>
      </c>
      <c r="I2029" s="3" t="s">
        <v>237</v>
      </c>
      <c r="K2029" s="2">
        <f>IF(ISNUMBER(SEARCH(Лист2!$B$4,F:F)),1,0)</f>
        <v>0</v>
      </c>
      <c r="L2029" s="14">
        <f>IF(ISNUMBER(SEARCH(Лист2!$B$5,I:I)),1,0)+K2029</f>
        <v>0</v>
      </c>
      <c r="M2029" s="3">
        <f ca="1">IF(AND(N2029&lt;&gt;N2028,ISNUMBER(SEARCH(Лист2!$B$6,N:N)),L2029=2),MAX($M$3:OFFSET(M2029,-1,0))+1,0)</f>
        <v>0</v>
      </c>
      <c r="N2029" s="3" t="s">
        <v>1759</v>
      </c>
    </row>
    <row r="2030" spans="1:14" x14ac:dyDescent="0.25">
      <c r="A2030" s="1" t="s">
        <v>11465</v>
      </c>
      <c r="B2030" s="3" t="s">
        <v>5654</v>
      </c>
      <c r="C2030" s="2">
        <f ca="1">IF(ISNUMBER(SEARCH(Лист2!$B$4,D:D)),MAX($C$3:OFFSET(C2030,-1,0))+1,0)</f>
        <v>0</v>
      </c>
      <c r="E2030" s="9" t="str">
        <f t="shared" ca="1" si="43"/>
        <v/>
      </c>
      <c r="F2030" s="4" t="s">
        <v>7</v>
      </c>
      <c r="G2030" s="2">
        <f>IF(ISNUMBER(SEARCH(Лист2!$B$4,F:F)),1,0)</f>
        <v>0</v>
      </c>
      <c r="H2030" s="3">
        <f ca="1">IF(AND(I2030&lt;&gt;I2029,ISNUMBER(SEARCH(Лист2!$B$5,I:I)),G2030=1),MAX($H$3:OFFSET(H2030,-1,0))+1,0)</f>
        <v>0</v>
      </c>
      <c r="I2030" s="3" t="s">
        <v>237</v>
      </c>
      <c r="K2030" s="2">
        <f>IF(ISNUMBER(SEARCH(Лист2!$B$4,F:F)),1,0)</f>
        <v>0</v>
      </c>
      <c r="L2030" s="14">
        <f>IF(ISNUMBER(SEARCH(Лист2!$B$5,I:I)),1,0)+K2030</f>
        <v>0</v>
      </c>
      <c r="M2030" s="3">
        <f ca="1">IF(AND(N2030&lt;&gt;N2029,ISNUMBER(SEARCH(Лист2!$B$6,N:N)),L2030=2),MAX($M$3:OFFSET(M2030,-1,0))+1,0)</f>
        <v>0</v>
      </c>
      <c r="N2030" s="3" t="s">
        <v>1735</v>
      </c>
    </row>
    <row r="2031" spans="1:14" x14ac:dyDescent="0.25">
      <c r="A2031" s="1" t="s">
        <v>11466</v>
      </c>
      <c r="B2031" s="3" t="s">
        <v>5655</v>
      </c>
      <c r="C2031" s="2">
        <f ca="1">IF(ISNUMBER(SEARCH(Лист2!$B$4,D:D)),MAX($C$3:OFFSET(C2031,-1,0))+1,0)</f>
        <v>0</v>
      </c>
      <c r="E2031" s="9" t="str">
        <f t="shared" ca="1" si="43"/>
        <v/>
      </c>
      <c r="F2031" s="4" t="s">
        <v>7</v>
      </c>
      <c r="G2031" s="2">
        <f>IF(ISNUMBER(SEARCH(Лист2!$B$4,F:F)),1,0)</f>
        <v>0</v>
      </c>
      <c r="H2031" s="3">
        <f ca="1">IF(AND(I2031&lt;&gt;I2030,ISNUMBER(SEARCH(Лист2!$B$5,I:I)),G2031=1),MAX($H$3:OFFSET(H2031,-1,0))+1,0)</f>
        <v>0</v>
      </c>
      <c r="I2031" s="3" t="s">
        <v>237</v>
      </c>
      <c r="K2031" s="2">
        <f>IF(ISNUMBER(SEARCH(Лист2!$B$4,F:F)),1,0)</f>
        <v>0</v>
      </c>
      <c r="L2031" s="14">
        <f>IF(ISNUMBER(SEARCH(Лист2!$B$5,I:I)),1,0)+K2031</f>
        <v>0</v>
      </c>
      <c r="M2031" s="3">
        <f ca="1">IF(AND(N2031&lt;&gt;N2030,ISNUMBER(SEARCH(Лист2!$B$6,N:N)),L2031=2),MAX($M$3:OFFSET(M2031,-1,0))+1,0)</f>
        <v>0</v>
      </c>
      <c r="N2031" s="3" t="s">
        <v>1690</v>
      </c>
    </row>
    <row r="2032" spans="1:14" x14ac:dyDescent="0.25">
      <c r="A2032" s="1" t="s">
        <v>11467</v>
      </c>
      <c r="B2032" s="3" t="s">
        <v>5656</v>
      </c>
      <c r="C2032" s="2">
        <f ca="1">IF(ISNUMBER(SEARCH(Лист2!$B$4,D:D)),MAX($C$3:OFFSET(C2032,-1,0))+1,0)</f>
        <v>0</v>
      </c>
      <c r="E2032" s="9" t="str">
        <f t="shared" ca="1" si="43"/>
        <v/>
      </c>
      <c r="F2032" s="4" t="s">
        <v>7</v>
      </c>
      <c r="G2032" s="2">
        <f>IF(ISNUMBER(SEARCH(Лист2!$B$4,F:F)),1,0)</f>
        <v>0</v>
      </c>
      <c r="H2032" s="3">
        <f ca="1">IF(AND(I2032&lt;&gt;I2031,ISNUMBER(SEARCH(Лист2!$B$5,I:I)),G2032=1),MAX($H$3:OFFSET(H2032,-1,0))+1,0)</f>
        <v>0</v>
      </c>
      <c r="I2032" s="3" t="s">
        <v>237</v>
      </c>
      <c r="K2032" s="2">
        <f>IF(ISNUMBER(SEARCH(Лист2!$B$4,F:F)),1,0)</f>
        <v>0</v>
      </c>
      <c r="L2032" s="14">
        <f>IF(ISNUMBER(SEARCH(Лист2!$B$5,I:I)),1,0)+K2032</f>
        <v>0</v>
      </c>
      <c r="M2032" s="3">
        <f ca="1">IF(AND(N2032&lt;&gt;N2031,ISNUMBER(SEARCH(Лист2!$B$6,N:N)),L2032=2),MAX($M$3:OFFSET(M2032,-1,0))+1,0)</f>
        <v>0</v>
      </c>
      <c r="N2032" s="3" t="s">
        <v>1760</v>
      </c>
    </row>
    <row r="2033" spans="1:14" x14ac:dyDescent="0.25">
      <c r="A2033" s="1" t="s">
        <v>11468</v>
      </c>
      <c r="B2033" s="3" t="s">
        <v>5657</v>
      </c>
      <c r="C2033" s="2">
        <f ca="1">IF(ISNUMBER(SEARCH(Лист2!$B$4,D:D)),MAX($C$3:OFFSET(C2033,-1,0))+1,0)</f>
        <v>0</v>
      </c>
      <c r="E2033" s="9" t="str">
        <f t="shared" ca="1" si="43"/>
        <v/>
      </c>
      <c r="F2033" s="4" t="s">
        <v>7</v>
      </c>
      <c r="G2033" s="2">
        <f>IF(ISNUMBER(SEARCH(Лист2!$B$4,F:F)),1,0)</f>
        <v>0</v>
      </c>
      <c r="H2033" s="3">
        <f ca="1">IF(AND(I2033&lt;&gt;I2032,ISNUMBER(SEARCH(Лист2!$B$5,I:I)),G2033=1),MAX($H$3:OFFSET(H2033,-1,0))+1,0)</f>
        <v>0</v>
      </c>
      <c r="I2033" s="3" t="s">
        <v>237</v>
      </c>
      <c r="K2033" s="2">
        <f>IF(ISNUMBER(SEARCH(Лист2!$B$4,F:F)),1,0)</f>
        <v>0</v>
      </c>
      <c r="L2033" s="14">
        <f>IF(ISNUMBER(SEARCH(Лист2!$B$5,I:I)),1,0)+K2033</f>
        <v>0</v>
      </c>
      <c r="M2033" s="3">
        <f ca="1">IF(AND(N2033&lt;&gt;N2032,ISNUMBER(SEARCH(Лист2!$B$6,N:N)),L2033=2),MAX($M$3:OFFSET(M2033,-1,0))+1,0)</f>
        <v>0</v>
      </c>
      <c r="N2033" s="3" t="s">
        <v>1737</v>
      </c>
    </row>
    <row r="2034" spans="1:14" x14ac:dyDescent="0.25">
      <c r="A2034" s="1" t="s">
        <v>11469</v>
      </c>
      <c r="B2034" s="3" t="s">
        <v>5658</v>
      </c>
      <c r="C2034" s="2">
        <f ca="1">IF(ISNUMBER(SEARCH(Лист2!$B$4,D:D)),MAX($C$3:OFFSET(C2034,-1,0))+1,0)</f>
        <v>0</v>
      </c>
      <c r="E2034" s="9" t="str">
        <f t="shared" ca="1" si="43"/>
        <v/>
      </c>
      <c r="F2034" s="4" t="s">
        <v>7</v>
      </c>
      <c r="G2034" s="2">
        <f>IF(ISNUMBER(SEARCH(Лист2!$B$4,F:F)),1,0)</f>
        <v>0</v>
      </c>
      <c r="H2034" s="3">
        <f ca="1">IF(AND(I2034&lt;&gt;I2033,ISNUMBER(SEARCH(Лист2!$B$5,I:I)),G2034=1),MAX($H$3:OFFSET(H2034,-1,0))+1,0)</f>
        <v>0</v>
      </c>
      <c r="I2034" s="3" t="s">
        <v>237</v>
      </c>
      <c r="K2034" s="2">
        <f>IF(ISNUMBER(SEARCH(Лист2!$B$4,F:F)),1,0)</f>
        <v>0</v>
      </c>
      <c r="L2034" s="14">
        <f>IF(ISNUMBER(SEARCH(Лист2!$B$5,I:I)),1,0)+K2034</f>
        <v>0</v>
      </c>
      <c r="M2034" s="3">
        <f ca="1">IF(AND(N2034&lt;&gt;N2033,ISNUMBER(SEARCH(Лист2!$B$6,N:N)),L2034=2),MAX($M$3:OFFSET(M2034,-1,0))+1,0)</f>
        <v>0</v>
      </c>
      <c r="N2034" s="3" t="s">
        <v>1678</v>
      </c>
    </row>
    <row r="2035" spans="1:14" x14ac:dyDescent="0.25">
      <c r="A2035" s="1" t="s">
        <v>11470</v>
      </c>
      <c r="B2035" s="3" t="s">
        <v>5659</v>
      </c>
      <c r="C2035" s="2">
        <f ca="1">IF(ISNUMBER(SEARCH(Лист2!$B$4,D:D)),MAX($C$3:OFFSET(C2035,-1,0))+1,0)</f>
        <v>0</v>
      </c>
      <c r="E2035" s="9" t="str">
        <f t="shared" ca="1" si="43"/>
        <v/>
      </c>
      <c r="F2035" s="4" t="s">
        <v>7</v>
      </c>
      <c r="G2035" s="2">
        <f>IF(ISNUMBER(SEARCH(Лист2!$B$4,F:F)),1,0)</f>
        <v>0</v>
      </c>
      <c r="H2035" s="3">
        <f ca="1">IF(AND(I2035&lt;&gt;I2034,ISNUMBER(SEARCH(Лист2!$B$5,I:I)),G2035=1),MAX($H$3:OFFSET(H2035,-1,0))+1,0)</f>
        <v>0</v>
      </c>
      <c r="I2035" s="3" t="s">
        <v>237</v>
      </c>
      <c r="K2035" s="2">
        <f>IF(ISNUMBER(SEARCH(Лист2!$B$4,F:F)),1,0)</f>
        <v>0</v>
      </c>
      <c r="L2035" s="14">
        <f>IF(ISNUMBER(SEARCH(Лист2!$B$5,I:I)),1,0)+K2035</f>
        <v>0</v>
      </c>
      <c r="M2035" s="3">
        <f ca="1">IF(AND(N2035&lt;&gt;N2034,ISNUMBER(SEARCH(Лист2!$B$6,N:N)),L2035=2),MAX($M$3:OFFSET(M2035,-1,0))+1,0)</f>
        <v>0</v>
      </c>
      <c r="N2035" s="3" t="s">
        <v>602</v>
      </c>
    </row>
    <row r="2036" spans="1:14" x14ac:dyDescent="0.25">
      <c r="A2036" s="1" t="s">
        <v>11471</v>
      </c>
      <c r="B2036" s="3" t="s">
        <v>5660</v>
      </c>
      <c r="C2036" s="2">
        <f ca="1">IF(ISNUMBER(SEARCH(Лист2!$B$4,D:D)),MAX($C$3:OFFSET(C2036,-1,0))+1,0)</f>
        <v>0</v>
      </c>
      <c r="E2036" s="9" t="str">
        <f t="shared" ca="1" si="43"/>
        <v/>
      </c>
      <c r="F2036" s="4" t="s">
        <v>7</v>
      </c>
      <c r="G2036" s="2">
        <f>IF(ISNUMBER(SEARCH(Лист2!$B$4,F:F)),1,0)</f>
        <v>0</v>
      </c>
      <c r="H2036" s="3">
        <f ca="1">IF(AND(I2036&lt;&gt;I2035,ISNUMBER(SEARCH(Лист2!$B$5,I:I)),G2036=1),MAX($H$3:OFFSET(H2036,-1,0))+1,0)</f>
        <v>0</v>
      </c>
      <c r="I2036" s="3" t="s">
        <v>237</v>
      </c>
      <c r="K2036" s="2">
        <f>IF(ISNUMBER(SEARCH(Лист2!$B$4,F:F)),1,0)</f>
        <v>0</v>
      </c>
      <c r="L2036" s="14">
        <f>IF(ISNUMBER(SEARCH(Лист2!$B$5,I:I)),1,0)+K2036</f>
        <v>0</v>
      </c>
      <c r="M2036" s="3">
        <f ca="1">IF(AND(N2036&lt;&gt;N2035,ISNUMBER(SEARCH(Лист2!$B$6,N:N)),L2036=2),MAX($M$3:OFFSET(M2036,-1,0))+1,0)</f>
        <v>0</v>
      </c>
      <c r="N2036" s="3" t="s">
        <v>1761</v>
      </c>
    </row>
    <row r="2037" spans="1:14" x14ac:dyDescent="0.25">
      <c r="A2037" s="1" t="s">
        <v>11472</v>
      </c>
      <c r="B2037" s="3" t="s">
        <v>5661</v>
      </c>
      <c r="C2037" s="2">
        <f ca="1">IF(ISNUMBER(SEARCH(Лист2!$B$4,D:D)),MAX($C$3:OFFSET(C2037,-1,0))+1,0)</f>
        <v>0</v>
      </c>
      <c r="E2037" s="9" t="str">
        <f t="shared" ca="1" si="43"/>
        <v/>
      </c>
      <c r="F2037" s="4" t="s">
        <v>7</v>
      </c>
      <c r="G2037" s="2">
        <f>IF(ISNUMBER(SEARCH(Лист2!$B$4,F:F)),1,0)</f>
        <v>0</v>
      </c>
      <c r="H2037" s="3">
        <f ca="1">IF(AND(I2037&lt;&gt;I2036,ISNUMBER(SEARCH(Лист2!$B$5,I:I)),G2037=1),MAX($H$3:OFFSET(H2037,-1,0))+1,0)</f>
        <v>0</v>
      </c>
      <c r="I2037" s="3" t="s">
        <v>237</v>
      </c>
      <c r="K2037" s="2">
        <f>IF(ISNUMBER(SEARCH(Лист2!$B$4,F:F)),1,0)</f>
        <v>0</v>
      </c>
      <c r="L2037" s="14">
        <f>IF(ISNUMBER(SEARCH(Лист2!$B$5,I:I)),1,0)+K2037</f>
        <v>0</v>
      </c>
      <c r="M2037" s="3">
        <f ca="1">IF(AND(N2037&lt;&gt;N2036,ISNUMBER(SEARCH(Лист2!$B$6,N:N)),L2037=2),MAX($M$3:OFFSET(M2037,-1,0))+1,0)</f>
        <v>0</v>
      </c>
      <c r="N2037" s="3" t="s">
        <v>1762</v>
      </c>
    </row>
    <row r="2038" spans="1:14" x14ac:dyDescent="0.25">
      <c r="A2038" s="1" t="s">
        <v>11473</v>
      </c>
      <c r="B2038" s="3" t="s">
        <v>5662</v>
      </c>
      <c r="C2038" s="2">
        <f ca="1">IF(ISNUMBER(SEARCH(Лист2!$B$4,D:D)),MAX($C$3:OFFSET(C2038,-1,0))+1,0)</f>
        <v>0</v>
      </c>
      <c r="E2038" s="9" t="str">
        <f t="shared" ca="1" si="43"/>
        <v/>
      </c>
      <c r="F2038" s="4" t="s">
        <v>7</v>
      </c>
      <c r="G2038" s="2">
        <f>IF(ISNUMBER(SEARCH(Лист2!$B$4,F:F)),1,0)</f>
        <v>0</v>
      </c>
      <c r="H2038" s="3">
        <f ca="1">IF(AND(I2038&lt;&gt;I2037,ISNUMBER(SEARCH(Лист2!$B$5,I:I)),G2038=1),MAX($H$3:OFFSET(H2038,-1,0))+1,0)</f>
        <v>0</v>
      </c>
      <c r="I2038" s="3" t="s">
        <v>237</v>
      </c>
      <c r="K2038" s="2">
        <f>IF(ISNUMBER(SEARCH(Лист2!$B$4,F:F)),1,0)</f>
        <v>0</v>
      </c>
      <c r="L2038" s="14">
        <f>IF(ISNUMBER(SEARCH(Лист2!$B$5,I:I)),1,0)+K2038</f>
        <v>0</v>
      </c>
      <c r="M2038" s="3">
        <f ca="1">IF(AND(N2038&lt;&gt;N2037,ISNUMBER(SEARCH(Лист2!$B$6,N:N)),L2038=2),MAX($M$3:OFFSET(M2038,-1,0))+1,0)</f>
        <v>0</v>
      </c>
      <c r="N2038" s="3" t="s">
        <v>1763</v>
      </c>
    </row>
    <row r="2039" spans="1:14" x14ac:dyDescent="0.25">
      <c r="A2039" s="1" t="s">
        <v>11474</v>
      </c>
      <c r="B2039" s="3" t="s">
        <v>5663</v>
      </c>
      <c r="C2039" s="2">
        <f ca="1">IF(ISNUMBER(SEARCH(Лист2!$B$4,D:D)),MAX($C$3:OFFSET(C2039,-1,0))+1,0)</f>
        <v>0</v>
      </c>
      <c r="E2039" s="9" t="str">
        <f t="shared" ca="1" si="43"/>
        <v/>
      </c>
      <c r="F2039" s="4" t="s">
        <v>7</v>
      </c>
      <c r="G2039" s="2">
        <f>IF(ISNUMBER(SEARCH(Лист2!$B$4,F:F)),1,0)</f>
        <v>0</v>
      </c>
      <c r="H2039" s="3">
        <f ca="1">IF(AND(I2039&lt;&gt;I2038,ISNUMBER(SEARCH(Лист2!$B$5,I:I)),G2039=1),MAX($H$3:OFFSET(H2039,-1,0))+1,0)</f>
        <v>0</v>
      </c>
      <c r="I2039" s="3" t="s">
        <v>237</v>
      </c>
      <c r="K2039" s="2">
        <f>IF(ISNUMBER(SEARCH(Лист2!$B$4,F:F)),1,0)</f>
        <v>0</v>
      </c>
      <c r="L2039" s="14">
        <f>IF(ISNUMBER(SEARCH(Лист2!$B$5,I:I)),1,0)+K2039</f>
        <v>0</v>
      </c>
      <c r="M2039" s="3">
        <f ca="1">IF(AND(N2039&lt;&gt;N2038,ISNUMBER(SEARCH(Лист2!$B$6,N:N)),L2039=2),MAX($M$3:OFFSET(M2039,-1,0))+1,0)</f>
        <v>0</v>
      </c>
      <c r="N2039" s="3" t="s">
        <v>1764</v>
      </c>
    </row>
    <row r="2040" spans="1:14" x14ac:dyDescent="0.25">
      <c r="A2040" s="1" t="s">
        <v>11475</v>
      </c>
      <c r="B2040" s="3" t="s">
        <v>5664</v>
      </c>
      <c r="C2040" s="2">
        <f ca="1">IF(ISNUMBER(SEARCH(Лист2!$B$4,D:D)),MAX($C$3:OFFSET(C2040,-1,0))+1,0)</f>
        <v>0</v>
      </c>
      <c r="E2040" s="9" t="str">
        <f t="shared" ca="1" si="43"/>
        <v/>
      </c>
      <c r="F2040" s="4" t="s">
        <v>7</v>
      </c>
      <c r="G2040" s="2">
        <f>IF(ISNUMBER(SEARCH(Лист2!$B$4,F:F)),1,0)</f>
        <v>0</v>
      </c>
      <c r="H2040" s="3">
        <f ca="1">IF(AND(I2040&lt;&gt;I2039,ISNUMBER(SEARCH(Лист2!$B$5,I:I)),G2040=1),MAX($H$3:OFFSET(H2040,-1,0))+1,0)</f>
        <v>0</v>
      </c>
      <c r="I2040" s="3" t="s">
        <v>237</v>
      </c>
      <c r="K2040" s="2">
        <f>IF(ISNUMBER(SEARCH(Лист2!$B$4,F:F)),1,0)</f>
        <v>0</v>
      </c>
      <c r="L2040" s="14">
        <f>IF(ISNUMBER(SEARCH(Лист2!$B$5,I:I)),1,0)+K2040</f>
        <v>0</v>
      </c>
      <c r="M2040" s="3">
        <f ca="1">IF(AND(N2040&lt;&gt;N2039,ISNUMBER(SEARCH(Лист2!$B$6,N:N)),L2040=2),MAX($M$3:OFFSET(M2040,-1,0))+1,0)</f>
        <v>0</v>
      </c>
      <c r="N2040" s="3" t="s">
        <v>1765</v>
      </c>
    </row>
    <row r="2041" spans="1:14" x14ac:dyDescent="0.25">
      <c r="A2041" s="1" t="s">
        <v>11476</v>
      </c>
      <c r="B2041" s="3" t="s">
        <v>5665</v>
      </c>
      <c r="C2041" s="2">
        <f ca="1">IF(ISNUMBER(SEARCH(Лист2!$B$4,D:D)),MAX($C$3:OFFSET(C2041,-1,0))+1,0)</f>
        <v>0</v>
      </c>
      <c r="E2041" s="9" t="str">
        <f t="shared" ca="1" si="43"/>
        <v/>
      </c>
      <c r="F2041" s="4" t="s">
        <v>7</v>
      </c>
      <c r="G2041" s="2">
        <f>IF(ISNUMBER(SEARCH(Лист2!$B$4,F:F)),1,0)</f>
        <v>0</v>
      </c>
      <c r="H2041" s="3">
        <f ca="1">IF(AND(I2041&lt;&gt;I2040,ISNUMBER(SEARCH(Лист2!$B$5,I:I)),G2041=1),MAX($H$3:OFFSET(H2041,-1,0))+1,0)</f>
        <v>0</v>
      </c>
      <c r="I2041" s="3" t="s">
        <v>238</v>
      </c>
      <c r="K2041" s="2">
        <f>IF(ISNUMBER(SEARCH(Лист2!$B$4,F:F)),1,0)</f>
        <v>0</v>
      </c>
      <c r="L2041" s="14">
        <f>IF(ISNUMBER(SEARCH(Лист2!$B$5,I:I)),1,0)+K2041</f>
        <v>0</v>
      </c>
      <c r="M2041" s="3">
        <f ca="1">IF(AND(N2041&lt;&gt;N2040,ISNUMBER(SEARCH(Лист2!$B$6,N:N)),L2041=2),MAX($M$3:OFFSET(M2041,-1,0))+1,0)</f>
        <v>0</v>
      </c>
      <c r="N2041" s="3" t="s">
        <v>1766</v>
      </c>
    </row>
    <row r="2042" spans="1:14" x14ac:dyDescent="0.25">
      <c r="A2042" s="1" t="s">
        <v>11477</v>
      </c>
      <c r="B2042" s="3" t="s">
        <v>5666</v>
      </c>
      <c r="C2042" s="2">
        <f ca="1">IF(ISNUMBER(SEARCH(Лист2!$B$4,D:D)),MAX($C$3:OFFSET(C2042,-1,0))+1,0)</f>
        <v>0</v>
      </c>
      <c r="E2042" s="9" t="str">
        <f t="shared" ca="1" si="43"/>
        <v/>
      </c>
      <c r="F2042" s="4" t="s">
        <v>7</v>
      </c>
      <c r="G2042" s="2">
        <f>IF(ISNUMBER(SEARCH(Лист2!$B$4,F:F)),1,0)</f>
        <v>0</v>
      </c>
      <c r="H2042" s="3">
        <f ca="1">IF(AND(I2042&lt;&gt;I2041,ISNUMBER(SEARCH(Лист2!$B$5,I:I)),G2042=1),MAX($H$3:OFFSET(H2042,-1,0))+1,0)</f>
        <v>0</v>
      </c>
      <c r="I2042" s="3" t="s">
        <v>238</v>
      </c>
      <c r="K2042" s="2">
        <f>IF(ISNUMBER(SEARCH(Лист2!$B$4,F:F)),1,0)</f>
        <v>0</v>
      </c>
      <c r="L2042" s="14">
        <f>IF(ISNUMBER(SEARCH(Лист2!$B$5,I:I)),1,0)+K2042</f>
        <v>0</v>
      </c>
      <c r="M2042" s="3">
        <f ca="1">IF(AND(N2042&lt;&gt;N2041,ISNUMBER(SEARCH(Лист2!$B$6,N:N)),L2042=2),MAX($M$3:OFFSET(M2042,-1,0))+1,0)</f>
        <v>0</v>
      </c>
      <c r="N2042" s="3" t="s">
        <v>1767</v>
      </c>
    </row>
    <row r="2043" spans="1:14" x14ac:dyDescent="0.25">
      <c r="A2043" s="1" t="s">
        <v>11478</v>
      </c>
      <c r="B2043" s="3" t="s">
        <v>5667</v>
      </c>
      <c r="C2043" s="2">
        <f ca="1">IF(ISNUMBER(SEARCH(Лист2!$B$4,D:D)),MAX($C$3:OFFSET(C2043,-1,0))+1,0)</f>
        <v>0</v>
      </c>
      <c r="E2043" s="9" t="str">
        <f t="shared" ca="1" si="43"/>
        <v/>
      </c>
      <c r="F2043" s="4" t="s">
        <v>7</v>
      </c>
      <c r="G2043" s="2">
        <f>IF(ISNUMBER(SEARCH(Лист2!$B$4,F:F)),1,0)</f>
        <v>0</v>
      </c>
      <c r="H2043" s="3">
        <f ca="1">IF(AND(I2043&lt;&gt;I2042,ISNUMBER(SEARCH(Лист2!$B$5,I:I)),G2043=1),MAX($H$3:OFFSET(H2043,-1,0))+1,0)</f>
        <v>0</v>
      </c>
      <c r="I2043" s="3" t="s">
        <v>238</v>
      </c>
      <c r="K2043" s="2">
        <f>IF(ISNUMBER(SEARCH(Лист2!$B$4,F:F)),1,0)</f>
        <v>0</v>
      </c>
      <c r="L2043" s="14">
        <f>IF(ISNUMBER(SEARCH(Лист2!$B$5,I:I)),1,0)+K2043</f>
        <v>0</v>
      </c>
      <c r="M2043" s="3">
        <f ca="1">IF(AND(N2043&lt;&gt;N2042,ISNUMBER(SEARCH(Лист2!$B$6,N:N)),L2043=2),MAX($M$3:OFFSET(M2043,-1,0))+1,0)</f>
        <v>0</v>
      </c>
      <c r="N2043" s="3" t="s">
        <v>1768</v>
      </c>
    </row>
    <row r="2044" spans="1:14" x14ac:dyDescent="0.25">
      <c r="A2044" s="1" t="s">
        <v>11479</v>
      </c>
      <c r="B2044" s="3" t="s">
        <v>5668</v>
      </c>
      <c r="C2044" s="2">
        <f ca="1">IF(ISNUMBER(SEARCH(Лист2!$B$4,D:D)),MAX($C$3:OFFSET(C2044,-1,0))+1,0)</f>
        <v>0</v>
      </c>
      <c r="E2044" s="9" t="str">
        <f t="shared" ca="1" si="43"/>
        <v/>
      </c>
      <c r="F2044" s="4" t="s">
        <v>7</v>
      </c>
      <c r="G2044" s="2">
        <f>IF(ISNUMBER(SEARCH(Лист2!$B$4,F:F)),1,0)</f>
        <v>0</v>
      </c>
      <c r="H2044" s="3">
        <f ca="1">IF(AND(I2044&lt;&gt;I2043,ISNUMBER(SEARCH(Лист2!$B$5,I:I)),G2044=1),MAX($H$3:OFFSET(H2044,-1,0))+1,0)</f>
        <v>0</v>
      </c>
      <c r="I2044" s="3" t="s">
        <v>238</v>
      </c>
      <c r="K2044" s="2">
        <f>IF(ISNUMBER(SEARCH(Лист2!$B$4,F:F)),1,0)</f>
        <v>0</v>
      </c>
      <c r="L2044" s="14">
        <f>IF(ISNUMBER(SEARCH(Лист2!$B$5,I:I)),1,0)+K2044</f>
        <v>0</v>
      </c>
      <c r="M2044" s="3">
        <f ca="1">IF(AND(N2044&lt;&gt;N2043,ISNUMBER(SEARCH(Лист2!$B$6,N:N)),L2044=2),MAX($M$3:OFFSET(M2044,-1,0))+1,0)</f>
        <v>0</v>
      </c>
      <c r="N2044" s="3" t="s">
        <v>1769</v>
      </c>
    </row>
    <row r="2045" spans="1:14" x14ac:dyDescent="0.25">
      <c r="A2045" s="1" t="s">
        <v>11480</v>
      </c>
      <c r="B2045" s="3" t="s">
        <v>5669</v>
      </c>
      <c r="C2045" s="2">
        <f ca="1">IF(ISNUMBER(SEARCH(Лист2!$B$4,D:D)),MAX($C$3:OFFSET(C2045,-1,0))+1,0)</f>
        <v>0</v>
      </c>
      <c r="E2045" s="9" t="str">
        <f t="shared" ca="1" si="43"/>
        <v/>
      </c>
      <c r="F2045" s="4" t="s">
        <v>7</v>
      </c>
      <c r="G2045" s="2">
        <f>IF(ISNUMBER(SEARCH(Лист2!$B$4,F:F)),1,0)</f>
        <v>0</v>
      </c>
      <c r="H2045" s="3">
        <f ca="1">IF(AND(I2045&lt;&gt;I2044,ISNUMBER(SEARCH(Лист2!$B$5,I:I)),G2045=1),MAX($H$3:OFFSET(H2045,-1,0))+1,0)</f>
        <v>0</v>
      </c>
      <c r="I2045" s="3" t="s">
        <v>238</v>
      </c>
      <c r="K2045" s="2">
        <f>IF(ISNUMBER(SEARCH(Лист2!$B$4,F:F)),1,0)</f>
        <v>0</v>
      </c>
      <c r="L2045" s="14">
        <f>IF(ISNUMBER(SEARCH(Лист2!$B$5,I:I)),1,0)+K2045</f>
        <v>0</v>
      </c>
      <c r="M2045" s="3">
        <f ca="1">IF(AND(N2045&lt;&gt;N2044,ISNUMBER(SEARCH(Лист2!$B$6,N:N)),L2045=2),MAX($M$3:OFFSET(M2045,-1,0))+1,0)</f>
        <v>0</v>
      </c>
      <c r="N2045" s="3" t="s">
        <v>1770</v>
      </c>
    </row>
    <row r="2046" spans="1:14" x14ac:dyDescent="0.25">
      <c r="A2046" s="1" t="s">
        <v>11481</v>
      </c>
      <c r="B2046" s="3" t="s">
        <v>5670</v>
      </c>
      <c r="C2046" s="2">
        <f ca="1">IF(ISNUMBER(SEARCH(Лист2!$B$4,D:D)),MAX($C$3:OFFSET(C2046,-1,0))+1,0)</f>
        <v>0</v>
      </c>
      <c r="E2046" s="9" t="str">
        <f t="shared" ca="1" si="43"/>
        <v/>
      </c>
      <c r="F2046" s="4" t="s">
        <v>7</v>
      </c>
      <c r="G2046" s="2">
        <f>IF(ISNUMBER(SEARCH(Лист2!$B$4,F:F)),1,0)</f>
        <v>0</v>
      </c>
      <c r="H2046" s="3">
        <f ca="1">IF(AND(I2046&lt;&gt;I2045,ISNUMBER(SEARCH(Лист2!$B$5,I:I)),G2046=1),MAX($H$3:OFFSET(H2046,-1,0))+1,0)</f>
        <v>0</v>
      </c>
      <c r="I2046" s="3" t="s">
        <v>238</v>
      </c>
      <c r="K2046" s="2">
        <f>IF(ISNUMBER(SEARCH(Лист2!$B$4,F:F)),1,0)</f>
        <v>0</v>
      </c>
      <c r="L2046" s="14">
        <f>IF(ISNUMBER(SEARCH(Лист2!$B$5,I:I)),1,0)+K2046</f>
        <v>0</v>
      </c>
      <c r="M2046" s="3">
        <f ca="1">IF(AND(N2046&lt;&gt;N2045,ISNUMBER(SEARCH(Лист2!$B$6,N:N)),L2046=2),MAX($M$3:OFFSET(M2046,-1,0))+1,0)</f>
        <v>0</v>
      </c>
      <c r="N2046" s="3" t="s">
        <v>1735</v>
      </c>
    </row>
    <row r="2047" spans="1:14" x14ac:dyDescent="0.25">
      <c r="A2047" s="1" t="s">
        <v>11482</v>
      </c>
      <c r="B2047" s="3" t="s">
        <v>5671</v>
      </c>
      <c r="C2047" s="2">
        <f ca="1">IF(ISNUMBER(SEARCH(Лист2!$B$4,D:D)),MAX($C$3:OFFSET(C2047,-1,0))+1,0)</f>
        <v>0</v>
      </c>
      <c r="E2047" s="9" t="str">
        <f t="shared" ca="1" si="43"/>
        <v/>
      </c>
      <c r="F2047" s="4" t="s">
        <v>7</v>
      </c>
      <c r="G2047" s="2">
        <f>IF(ISNUMBER(SEARCH(Лист2!$B$4,F:F)),1,0)</f>
        <v>0</v>
      </c>
      <c r="H2047" s="3">
        <f ca="1">IF(AND(I2047&lt;&gt;I2046,ISNUMBER(SEARCH(Лист2!$B$5,I:I)),G2047=1),MAX($H$3:OFFSET(H2047,-1,0))+1,0)</f>
        <v>0</v>
      </c>
      <c r="I2047" s="3" t="s">
        <v>238</v>
      </c>
      <c r="K2047" s="2">
        <f>IF(ISNUMBER(SEARCH(Лист2!$B$4,F:F)),1,0)</f>
        <v>0</v>
      </c>
      <c r="L2047" s="14">
        <f>IF(ISNUMBER(SEARCH(Лист2!$B$5,I:I)),1,0)+K2047</f>
        <v>0</v>
      </c>
      <c r="M2047" s="3">
        <f ca="1">IF(AND(N2047&lt;&gt;N2046,ISNUMBER(SEARCH(Лист2!$B$6,N:N)),L2047=2),MAX($M$3:OFFSET(M2047,-1,0))+1,0)</f>
        <v>0</v>
      </c>
      <c r="N2047" s="3" t="s">
        <v>1690</v>
      </c>
    </row>
    <row r="2048" spans="1:14" x14ac:dyDescent="0.25">
      <c r="A2048" s="1" t="s">
        <v>11483</v>
      </c>
      <c r="B2048" s="3" t="s">
        <v>5672</v>
      </c>
      <c r="C2048" s="2">
        <f ca="1">IF(ISNUMBER(SEARCH(Лист2!$B$4,D:D)),MAX($C$3:OFFSET(C2048,-1,0))+1,0)</f>
        <v>0</v>
      </c>
      <c r="E2048" s="9" t="str">
        <f t="shared" ca="1" si="43"/>
        <v/>
      </c>
      <c r="F2048" s="4" t="s">
        <v>7</v>
      </c>
      <c r="G2048" s="2">
        <f>IF(ISNUMBER(SEARCH(Лист2!$B$4,F:F)),1,0)</f>
        <v>0</v>
      </c>
      <c r="H2048" s="3">
        <f ca="1">IF(AND(I2048&lt;&gt;I2047,ISNUMBER(SEARCH(Лист2!$B$5,I:I)),G2048=1),MAX($H$3:OFFSET(H2048,-1,0))+1,0)</f>
        <v>0</v>
      </c>
      <c r="I2048" s="3" t="s">
        <v>238</v>
      </c>
      <c r="K2048" s="2">
        <f>IF(ISNUMBER(SEARCH(Лист2!$B$4,F:F)),1,0)</f>
        <v>0</v>
      </c>
      <c r="L2048" s="14">
        <f>IF(ISNUMBER(SEARCH(Лист2!$B$5,I:I)),1,0)+K2048</f>
        <v>0</v>
      </c>
      <c r="M2048" s="3">
        <f ca="1">IF(AND(N2048&lt;&gt;N2047,ISNUMBER(SEARCH(Лист2!$B$6,N:N)),L2048=2),MAX($M$3:OFFSET(M2048,-1,0))+1,0)</f>
        <v>0</v>
      </c>
      <c r="N2048" s="3" t="s">
        <v>1760</v>
      </c>
    </row>
    <row r="2049" spans="1:14" x14ac:dyDescent="0.25">
      <c r="A2049" s="1" t="s">
        <v>11484</v>
      </c>
      <c r="B2049" s="3" t="s">
        <v>5673</v>
      </c>
      <c r="C2049" s="2">
        <f ca="1">IF(ISNUMBER(SEARCH(Лист2!$B$4,D:D)),MAX($C$3:OFFSET(C2049,-1,0))+1,0)</f>
        <v>0</v>
      </c>
      <c r="E2049" s="9" t="str">
        <f t="shared" ca="1" si="43"/>
        <v/>
      </c>
      <c r="F2049" s="4" t="s">
        <v>7</v>
      </c>
      <c r="G2049" s="2">
        <f>IF(ISNUMBER(SEARCH(Лист2!$B$4,F:F)),1,0)</f>
        <v>0</v>
      </c>
      <c r="H2049" s="3">
        <f ca="1">IF(AND(I2049&lt;&gt;I2048,ISNUMBER(SEARCH(Лист2!$B$5,I:I)),G2049=1),MAX($H$3:OFFSET(H2049,-1,0))+1,0)</f>
        <v>0</v>
      </c>
      <c r="I2049" s="3" t="s">
        <v>238</v>
      </c>
      <c r="K2049" s="2">
        <f>IF(ISNUMBER(SEARCH(Лист2!$B$4,F:F)),1,0)</f>
        <v>0</v>
      </c>
      <c r="L2049" s="14">
        <f>IF(ISNUMBER(SEARCH(Лист2!$B$5,I:I)),1,0)+K2049</f>
        <v>0</v>
      </c>
      <c r="M2049" s="3">
        <f ca="1">IF(AND(N2049&lt;&gt;N2048,ISNUMBER(SEARCH(Лист2!$B$6,N:N)),L2049=2),MAX($M$3:OFFSET(M2049,-1,0))+1,0)</f>
        <v>0</v>
      </c>
      <c r="N2049" s="3" t="s">
        <v>1737</v>
      </c>
    </row>
    <row r="2050" spans="1:14" x14ac:dyDescent="0.25">
      <c r="A2050" s="1" t="s">
        <v>11485</v>
      </c>
      <c r="B2050" s="3" t="s">
        <v>5674</v>
      </c>
      <c r="C2050" s="2">
        <f ca="1">IF(ISNUMBER(SEARCH(Лист2!$B$4,D:D)),MAX($C$3:OFFSET(C2050,-1,0))+1,0)</f>
        <v>0</v>
      </c>
      <c r="E2050" s="9" t="str">
        <f t="shared" ca="1" si="43"/>
        <v/>
      </c>
      <c r="F2050" s="4" t="s">
        <v>7</v>
      </c>
      <c r="G2050" s="2">
        <f>IF(ISNUMBER(SEARCH(Лист2!$B$4,F:F)),1,0)</f>
        <v>0</v>
      </c>
      <c r="H2050" s="3">
        <f ca="1">IF(AND(I2050&lt;&gt;I2049,ISNUMBER(SEARCH(Лист2!$B$5,I:I)),G2050=1),MAX($H$3:OFFSET(H2050,-1,0))+1,0)</f>
        <v>0</v>
      </c>
      <c r="I2050" s="3" t="s">
        <v>238</v>
      </c>
      <c r="K2050" s="2">
        <f>IF(ISNUMBER(SEARCH(Лист2!$B$4,F:F)),1,0)</f>
        <v>0</v>
      </c>
      <c r="L2050" s="14">
        <f>IF(ISNUMBER(SEARCH(Лист2!$B$5,I:I)),1,0)+K2050</f>
        <v>0</v>
      </c>
      <c r="M2050" s="3">
        <f ca="1">IF(AND(N2050&lt;&gt;N2049,ISNUMBER(SEARCH(Лист2!$B$6,N:N)),L2050=2),MAX($M$3:OFFSET(M2050,-1,0))+1,0)</f>
        <v>0</v>
      </c>
      <c r="N2050" s="3" t="s">
        <v>1678</v>
      </c>
    </row>
    <row r="2051" spans="1:14" x14ac:dyDescent="0.25">
      <c r="A2051" s="1" t="s">
        <v>11486</v>
      </c>
      <c r="B2051" s="3" t="s">
        <v>5675</v>
      </c>
      <c r="C2051" s="2">
        <f ca="1">IF(ISNUMBER(SEARCH(Лист2!$B$4,D:D)),MAX($C$3:OFFSET(C2051,-1,0))+1,0)</f>
        <v>0</v>
      </c>
      <c r="E2051" s="9" t="str">
        <f t="shared" ca="1" si="43"/>
        <v/>
      </c>
      <c r="F2051" s="4" t="s">
        <v>7</v>
      </c>
      <c r="G2051" s="2">
        <f>IF(ISNUMBER(SEARCH(Лист2!$B$4,F:F)),1,0)</f>
        <v>0</v>
      </c>
      <c r="H2051" s="3">
        <f ca="1">IF(AND(I2051&lt;&gt;I2050,ISNUMBER(SEARCH(Лист2!$B$5,I:I)),G2051=1),MAX($H$3:OFFSET(H2051,-1,0))+1,0)</f>
        <v>0</v>
      </c>
      <c r="I2051" s="3" t="s">
        <v>238</v>
      </c>
      <c r="K2051" s="2">
        <f>IF(ISNUMBER(SEARCH(Лист2!$B$4,F:F)),1,0)</f>
        <v>0</v>
      </c>
      <c r="L2051" s="14">
        <f>IF(ISNUMBER(SEARCH(Лист2!$B$5,I:I)),1,0)+K2051</f>
        <v>0</v>
      </c>
      <c r="M2051" s="3">
        <f ca="1">IF(AND(N2051&lt;&gt;N2050,ISNUMBER(SEARCH(Лист2!$B$6,N:N)),L2051=2),MAX($M$3:OFFSET(M2051,-1,0))+1,0)</f>
        <v>0</v>
      </c>
      <c r="N2051" s="3" t="s">
        <v>602</v>
      </c>
    </row>
    <row r="2052" spans="1:14" x14ac:dyDescent="0.25">
      <c r="A2052" s="1" t="s">
        <v>11487</v>
      </c>
      <c r="B2052" s="3" t="s">
        <v>5676</v>
      </c>
      <c r="C2052" s="2">
        <f ca="1">IF(ISNUMBER(SEARCH(Лист2!$B$4,D:D)),MAX($C$3:OFFSET(C2052,-1,0))+1,0)</f>
        <v>0</v>
      </c>
      <c r="E2052" s="9" t="str">
        <f t="shared" ca="1" si="43"/>
        <v/>
      </c>
      <c r="F2052" s="4" t="s">
        <v>7</v>
      </c>
      <c r="G2052" s="2">
        <f>IF(ISNUMBER(SEARCH(Лист2!$B$4,F:F)),1,0)</f>
        <v>0</v>
      </c>
      <c r="H2052" s="3">
        <f ca="1">IF(AND(I2052&lt;&gt;I2051,ISNUMBER(SEARCH(Лист2!$B$5,I:I)),G2052=1),MAX($H$3:OFFSET(H2052,-1,0))+1,0)</f>
        <v>0</v>
      </c>
      <c r="I2052" s="3" t="s">
        <v>238</v>
      </c>
      <c r="K2052" s="2">
        <f>IF(ISNUMBER(SEARCH(Лист2!$B$4,F:F)),1,0)</f>
        <v>0</v>
      </c>
      <c r="L2052" s="14">
        <f>IF(ISNUMBER(SEARCH(Лист2!$B$5,I:I)),1,0)+K2052</f>
        <v>0</v>
      </c>
      <c r="M2052" s="3">
        <f ca="1">IF(AND(N2052&lt;&gt;N2051,ISNUMBER(SEARCH(Лист2!$B$6,N:N)),L2052=2),MAX($M$3:OFFSET(M2052,-1,0))+1,0)</f>
        <v>0</v>
      </c>
      <c r="N2052" s="3" t="s">
        <v>1771</v>
      </c>
    </row>
    <row r="2053" spans="1:14" x14ac:dyDescent="0.25">
      <c r="A2053" s="1" t="s">
        <v>11488</v>
      </c>
      <c r="B2053" s="3" t="s">
        <v>5677</v>
      </c>
      <c r="C2053" s="2">
        <f ca="1">IF(ISNUMBER(SEARCH(Лист2!$B$4,D:D)),MAX($C$3:OFFSET(C2053,-1,0))+1,0)</f>
        <v>0</v>
      </c>
      <c r="E2053" s="9" t="str">
        <f t="shared" ref="E2053:E2116" ca="1" si="44">IFERROR(INDEX(D:D,MATCH(ROW(E2053)-ROW($E$3),C:C,0)),"")</f>
        <v/>
      </c>
      <c r="F2053" s="4" t="s">
        <v>7</v>
      </c>
      <c r="G2053" s="2">
        <f>IF(ISNUMBER(SEARCH(Лист2!$B$4,F:F)),1,0)</f>
        <v>0</v>
      </c>
      <c r="H2053" s="3">
        <f ca="1">IF(AND(I2053&lt;&gt;I2052,ISNUMBER(SEARCH(Лист2!$B$5,I:I)),G2053=1),MAX($H$3:OFFSET(H2053,-1,0))+1,0)</f>
        <v>0</v>
      </c>
      <c r="I2053" s="3" t="s">
        <v>238</v>
      </c>
      <c r="K2053" s="2">
        <f>IF(ISNUMBER(SEARCH(Лист2!$B$4,F:F)),1,0)</f>
        <v>0</v>
      </c>
      <c r="L2053" s="14">
        <f>IF(ISNUMBER(SEARCH(Лист2!$B$5,I:I)),1,0)+K2053</f>
        <v>0</v>
      </c>
      <c r="M2053" s="3">
        <f ca="1">IF(AND(N2053&lt;&gt;N2052,ISNUMBER(SEARCH(Лист2!$B$6,N:N)),L2053=2),MAX($M$3:OFFSET(M2053,-1,0))+1,0)</f>
        <v>0</v>
      </c>
      <c r="N2053" s="3" t="s">
        <v>1772</v>
      </c>
    </row>
    <row r="2054" spans="1:14" x14ac:dyDescent="0.25">
      <c r="A2054" s="1" t="s">
        <v>11489</v>
      </c>
      <c r="B2054" s="3" t="s">
        <v>5678</v>
      </c>
      <c r="C2054" s="2">
        <f ca="1">IF(ISNUMBER(SEARCH(Лист2!$B$4,D:D)),MAX($C$3:OFFSET(C2054,-1,0))+1,0)</f>
        <v>0</v>
      </c>
      <c r="E2054" s="9" t="str">
        <f t="shared" ca="1" si="44"/>
        <v/>
      </c>
      <c r="F2054" s="4" t="s">
        <v>7</v>
      </c>
      <c r="G2054" s="2">
        <f>IF(ISNUMBER(SEARCH(Лист2!$B$4,F:F)),1,0)</f>
        <v>0</v>
      </c>
      <c r="H2054" s="3">
        <f ca="1">IF(AND(I2054&lt;&gt;I2053,ISNUMBER(SEARCH(Лист2!$B$5,I:I)),G2054=1),MAX($H$3:OFFSET(H2054,-1,0))+1,0)</f>
        <v>0</v>
      </c>
      <c r="I2054" s="3" t="s">
        <v>238</v>
      </c>
      <c r="K2054" s="2">
        <f>IF(ISNUMBER(SEARCH(Лист2!$B$4,F:F)),1,0)</f>
        <v>0</v>
      </c>
      <c r="L2054" s="14">
        <f>IF(ISNUMBER(SEARCH(Лист2!$B$5,I:I)),1,0)+K2054</f>
        <v>0</v>
      </c>
      <c r="M2054" s="3">
        <f ca="1">IF(AND(N2054&lt;&gt;N2053,ISNUMBER(SEARCH(Лист2!$B$6,N:N)),L2054=2),MAX($M$3:OFFSET(M2054,-1,0))+1,0)</f>
        <v>0</v>
      </c>
      <c r="N2054" s="3" t="s">
        <v>1773</v>
      </c>
    </row>
    <row r="2055" spans="1:14" x14ac:dyDescent="0.25">
      <c r="A2055" s="1" t="s">
        <v>11490</v>
      </c>
      <c r="B2055" s="3" t="s">
        <v>5679</v>
      </c>
      <c r="C2055" s="2">
        <f ca="1">IF(ISNUMBER(SEARCH(Лист2!$B$4,D:D)),MAX($C$3:OFFSET(C2055,-1,0))+1,0)</f>
        <v>0</v>
      </c>
      <c r="E2055" s="9" t="str">
        <f t="shared" ca="1" si="44"/>
        <v/>
      </c>
      <c r="F2055" s="4" t="s">
        <v>7</v>
      </c>
      <c r="G2055" s="2">
        <f>IF(ISNUMBER(SEARCH(Лист2!$B$4,F:F)),1,0)</f>
        <v>0</v>
      </c>
      <c r="H2055" s="3">
        <f ca="1">IF(AND(I2055&lt;&gt;I2054,ISNUMBER(SEARCH(Лист2!$B$5,I:I)),G2055=1),MAX($H$3:OFFSET(H2055,-1,0))+1,0)</f>
        <v>0</v>
      </c>
      <c r="I2055" s="3" t="s">
        <v>238</v>
      </c>
      <c r="K2055" s="2">
        <f>IF(ISNUMBER(SEARCH(Лист2!$B$4,F:F)),1,0)</f>
        <v>0</v>
      </c>
      <c r="L2055" s="14">
        <f>IF(ISNUMBER(SEARCH(Лист2!$B$5,I:I)),1,0)+K2055</f>
        <v>0</v>
      </c>
      <c r="M2055" s="3">
        <f ca="1">IF(AND(N2055&lt;&gt;N2054,ISNUMBER(SEARCH(Лист2!$B$6,N:N)),L2055=2),MAX($M$3:OFFSET(M2055,-1,0))+1,0)</f>
        <v>0</v>
      </c>
      <c r="N2055" s="3" t="s">
        <v>1774</v>
      </c>
    </row>
    <row r="2056" spans="1:14" x14ac:dyDescent="0.25">
      <c r="A2056" s="1" t="s">
        <v>11491</v>
      </c>
      <c r="B2056" s="3" t="s">
        <v>5680</v>
      </c>
      <c r="C2056" s="2">
        <f ca="1">IF(ISNUMBER(SEARCH(Лист2!$B$4,D:D)),MAX($C$3:OFFSET(C2056,-1,0))+1,0)</f>
        <v>0</v>
      </c>
      <c r="E2056" s="9" t="str">
        <f t="shared" ca="1" si="44"/>
        <v/>
      </c>
      <c r="F2056" s="4" t="s">
        <v>7</v>
      </c>
      <c r="G2056" s="2">
        <f>IF(ISNUMBER(SEARCH(Лист2!$B$4,F:F)),1,0)</f>
        <v>0</v>
      </c>
      <c r="H2056" s="3">
        <f ca="1">IF(AND(I2056&lt;&gt;I2055,ISNUMBER(SEARCH(Лист2!$B$5,I:I)),G2056=1),MAX($H$3:OFFSET(H2056,-1,0))+1,0)</f>
        <v>0</v>
      </c>
      <c r="I2056" s="3" t="s">
        <v>238</v>
      </c>
      <c r="K2056" s="2">
        <f>IF(ISNUMBER(SEARCH(Лист2!$B$4,F:F)),1,0)</f>
        <v>0</v>
      </c>
      <c r="L2056" s="14">
        <f>IF(ISNUMBER(SEARCH(Лист2!$B$5,I:I)),1,0)+K2056</f>
        <v>0</v>
      </c>
      <c r="M2056" s="3">
        <f ca="1">IF(AND(N2056&lt;&gt;N2055,ISNUMBER(SEARCH(Лист2!$B$6,N:N)),L2056=2),MAX($M$3:OFFSET(M2056,-1,0))+1,0)</f>
        <v>0</v>
      </c>
      <c r="N2056" s="3" t="s">
        <v>1775</v>
      </c>
    </row>
    <row r="2057" spans="1:14" x14ac:dyDescent="0.25">
      <c r="A2057" s="1" t="s">
        <v>11492</v>
      </c>
      <c r="B2057" s="3" t="s">
        <v>5681</v>
      </c>
      <c r="C2057" s="2">
        <f ca="1">IF(ISNUMBER(SEARCH(Лист2!$B$4,D:D)),MAX($C$3:OFFSET(C2057,-1,0))+1,0)</f>
        <v>0</v>
      </c>
      <c r="E2057" s="9" t="str">
        <f t="shared" ca="1" si="44"/>
        <v/>
      </c>
      <c r="F2057" s="4" t="s">
        <v>7</v>
      </c>
      <c r="G2057" s="2">
        <f>IF(ISNUMBER(SEARCH(Лист2!$B$4,F:F)),1,0)</f>
        <v>0</v>
      </c>
      <c r="H2057" s="3">
        <f ca="1">IF(AND(I2057&lt;&gt;I2056,ISNUMBER(SEARCH(Лист2!$B$5,I:I)),G2057=1),MAX($H$3:OFFSET(H2057,-1,0))+1,0)</f>
        <v>0</v>
      </c>
      <c r="I2057" s="3" t="s">
        <v>239</v>
      </c>
      <c r="K2057" s="2">
        <f>IF(ISNUMBER(SEARCH(Лист2!$B$4,F:F)),1,0)</f>
        <v>0</v>
      </c>
      <c r="L2057" s="14">
        <f>IF(ISNUMBER(SEARCH(Лист2!$B$5,I:I)),1,0)+K2057</f>
        <v>0</v>
      </c>
      <c r="M2057" s="3">
        <f ca="1">IF(AND(N2057&lt;&gt;N2056,ISNUMBER(SEARCH(Лист2!$B$6,N:N)),L2057=2),MAX($M$3:OFFSET(M2057,-1,0))+1,0)</f>
        <v>0</v>
      </c>
      <c r="N2057" s="3" t="s">
        <v>1776</v>
      </c>
    </row>
    <row r="2058" spans="1:14" x14ac:dyDescent="0.25">
      <c r="A2058" s="1" t="s">
        <v>11493</v>
      </c>
      <c r="B2058" s="3" t="s">
        <v>5682</v>
      </c>
      <c r="C2058" s="2">
        <f ca="1">IF(ISNUMBER(SEARCH(Лист2!$B$4,D:D)),MAX($C$3:OFFSET(C2058,-1,0))+1,0)</f>
        <v>0</v>
      </c>
      <c r="E2058" s="9" t="str">
        <f t="shared" ca="1" si="44"/>
        <v/>
      </c>
      <c r="F2058" s="4" t="s">
        <v>7</v>
      </c>
      <c r="G2058" s="2">
        <f>IF(ISNUMBER(SEARCH(Лист2!$B$4,F:F)),1,0)</f>
        <v>0</v>
      </c>
      <c r="H2058" s="3">
        <f ca="1">IF(AND(I2058&lt;&gt;I2057,ISNUMBER(SEARCH(Лист2!$B$5,I:I)),G2058=1),MAX($H$3:OFFSET(H2058,-1,0))+1,0)</f>
        <v>0</v>
      </c>
      <c r="I2058" s="3" t="s">
        <v>239</v>
      </c>
      <c r="K2058" s="2">
        <f>IF(ISNUMBER(SEARCH(Лист2!$B$4,F:F)),1,0)</f>
        <v>0</v>
      </c>
      <c r="L2058" s="14">
        <f>IF(ISNUMBER(SEARCH(Лист2!$B$5,I:I)),1,0)+K2058</f>
        <v>0</v>
      </c>
      <c r="M2058" s="3">
        <f ca="1">IF(AND(N2058&lt;&gt;N2057,ISNUMBER(SEARCH(Лист2!$B$6,N:N)),L2058=2),MAX($M$3:OFFSET(M2058,-1,0))+1,0)</f>
        <v>0</v>
      </c>
      <c r="N2058" s="3" t="s">
        <v>1777</v>
      </c>
    </row>
    <row r="2059" spans="1:14" x14ac:dyDescent="0.25">
      <c r="A2059" s="1" t="s">
        <v>11493</v>
      </c>
      <c r="B2059" s="3" t="s">
        <v>5683</v>
      </c>
      <c r="C2059" s="2">
        <f ca="1">IF(ISNUMBER(SEARCH(Лист2!$B$4,D:D)),MAX($C$3:OFFSET(C2059,-1,0))+1,0)</f>
        <v>0</v>
      </c>
      <c r="E2059" s="9" t="str">
        <f t="shared" ca="1" si="44"/>
        <v/>
      </c>
      <c r="F2059" s="4" t="s">
        <v>7</v>
      </c>
      <c r="G2059" s="2">
        <f>IF(ISNUMBER(SEARCH(Лист2!$B$4,F:F)),1,0)</f>
        <v>0</v>
      </c>
      <c r="H2059" s="3">
        <f ca="1">IF(AND(I2059&lt;&gt;I2058,ISNUMBER(SEARCH(Лист2!$B$5,I:I)),G2059=1),MAX($H$3:OFFSET(H2059,-1,0))+1,0)</f>
        <v>0</v>
      </c>
      <c r="I2059" s="3" t="s">
        <v>239</v>
      </c>
      <c r="K2059" s="2">
        <f>IF(ISNUMBER(SEARCH(Лист2!$B$4,F:F)),1,0)</f>
        <v>0</v>
      </c>
      <c r="L2059" s="14">
        <f>IF(ISNUMBER(SEARCH(Лист2!$B$5,I:I)),1,0)+K2059</f>
        <v>0</v>
      </c>
      <c r="M2059" s="3">
        <f ca="1">IF(AND(N2059&lt;&gt;N2058,ISNUMBER(SEARCH(Лист2!$B$6,N:N)),L2059=2),MAX($M$3:OFFSET(M2059,-1,0))+1,0)</f>
        <v>0</v>
      </c>
      <c r="N2059" s="3" t="s">
        <v>1777</v>
      </c>
    </row>
    <row r="2060" spans="1:14" x14ac:dyDescent="0.25">
      <c r="A2060" s="1" t="s">
        <v>11493</v>
      </c>
      <c r="B2060" s="3" t="s">
        <v>5684</v>
      </c>
      <c r="C2060" s="2">
        <f ca="1">IF(ISNUMBER(SEARCH(Лист2!$B$4,D:D)),MAX($C$3:OFFSET(C2060,-1,0))+1,0)</f>
        <v>0</v>
      </c>
      <c r="E2060" s="9" t="str">
        <f t="shared" ca="1" si="44"/>
        <v/>
      </c>
      <c r="F2060" s="4" t="s">
        <v>7</v>
      </c>
      <c r="G2060" s="2">
        <f>IF(ISNUMBER(SEARCH(Лист2!$B$4,F:F)),1,0)</f>
        <v>0</v>
      </c>
      <c r="H2060" s="3">
        <f ca="1">IF(AND(I2060&lt;&gt;I2059,ISNUMBER(SEARCH(Лист2!$B$5,I:I)),G2060=1),MAX($H$3:OFFSET(H2060,-1,0))+1,0)</f>
        <v>0</v>
      </c>
      <c r="I2060" s="3" t="s">
        <v>239</v>
      </c>
      <c r="K2060" s="2">
        <f>IF(ISNUMBER(SEARCH(Лист2!$B$4,F:F)),1,0)</f>
        <v>0</v>
      </c>
      <c r="L2060" s="14">
        <f>IF(ISNUMBER(SEARCH(Лист2!$B$5,I:I)),1,0)+K2060</f>
        <v>0</v>
      </c>
      <c r="M2060" s="3">
        <f ca="1">IF(AND(N2060&lt;&gt;N2059,ISNUMBER(SEARCH(Лист2!$B$6,N:N)),L2060=2),MAX($M$3:OFFSET(M2060,-1,0))+1,0)</f>
        <v>0</v>
      </c>
      <c r="N2060" s="3" t="s">
        <v>1777</v>
      </c>
    </row>
    <row r="2061" spans="1:14" x14ac:dyDescent="0.25">
      <c r="A2061" s="1" t="s">
        <v>11494</v>
      </c>
      <c r="B2061" s="3" t="s">
        <v>5685</v>
      </c>
      <c r="C2061" s="2">
        <f ca="1">IF(ISNUMBER(SEARCH(Лист2!$B$4,D:D)),MAX($C$3:OFFSET(C2061,-1,0))+1,0)</f>
        <v>0</v>
      </c>
      <c r="E2061" s="9" t="str">
        <f t="shared" ca="1" si="44"/>
        <v/>
      </c>
      <c r="F2061" s="4" t="s">
        <v>7</v>
      </c>
      <c r="G2061" s="2">
        <f>IF(ISNUMBER(SEARCH(Лист2!$B$4,F:F)),1,0)</f>
        <v>0</v>
      </c>
      <c r="H2061" s="3">
        <f ca="1">IF(AND(I2061&lt;&gt;I2060,ISNUMBER(SEARCH(Лист2!$B$5,I:I)),G2061=1),MAX($H$3:OFFSET(H2061,-1,0))+1,0)</f>
        <v>0</v>
      </c>
      <c r="I2061" s="3" t="s">
        <v>239</v>
      </c>
      <c r="K2061" s="2">
        <f>IF(ISNUMBER(SEARCH(Лист2!$B$4,F:F)),1,0)</f>
        <v>0</v>
      </c>
      <c r="L2061" s="14">
        <f>IF(ISNUMBER(SEARCH(Лист2!$B$5,I:I)),1,0)+K2061</f>
        <v>0</v>
      </c>
      <c r="M2061" s="3">
        <f ca="1">IF(AND(N2061&lt;&gt;N2060,ISNUMBER(SEARCH(Лист2!$B$6,N:N)),L2061=2),MAX($M$3:OFFSET(M2061,-1,0))+1,0)</f>
        <v>0</v>
      </c>
      <c r="N2061" s="3" t="s">
        <v>1778</v>
      </c>
    </row>
    <row r="2062" spans="1:14" x14ac:dyDescent="0.25">
      <c r="A2062" s="1" t="s">
        <v>11495</v>
      </c>
      <c r="B2062" s="3" t="s">
        <v>5686</v>
      </c>
      <c r="C2062" s="2">
        <f ca="1">IF(ISNUMBER(SEARCH(Лист2!$B$4,D:D)),MAX($C$3:OFFSET(C2062,-1,0))+1,0)</f>
        <v>0</v>
      </c>
      <c r="E2062" s="9" t="str">
        <f t="shared" ca="1" si="44"/>
        <v/>
      </c>
      <c r="F2062" s="4" t="s">
        <v>7</v>
      </c>
      <c r="G2062" s="2">
        <f>IF(ISNUMBER(SEARCH(Лист2!$B$4,F:F)),1,0)</f>
        <v>0</v>
      </c>
      <c r="H2062" s="3">
        <f ca="1">IF(AND(I2062&lt;&gt;I2061,ISNUMBER(SEARCH(Лист2!$B$5,I:I)),G2062=1),MAX($H$3:OFFSET(H2062,-1,0))+1,0)</f>
        <v>0</v>
      </c>
      <c r="I2062" s="3" t="s">
        <v>239</v>
      </c>
      <c r="K2062" s="2">
        <f>IF(ISNUMBER(SEARCH(Лист2!$B$4,F:F)),1,0)</f>
        <v>0</v>
      </c>
      <c r="L2062" s="14">
        <f>IF(ISNUMBER(SEARCH(Лист2!$B$5,I:I)),1,0)+K2062</f>
        <v>0</v>
      </c>
      <c r="M2062" s="3">
        <f ca="1">IF(AND(N2062&lt;&gt;N2061,ISNUMBER(SEARCH(Лист2!$B$6,N:N)),L2062=2),MAX($M$3:OFFSET(M2062,-1,0))+1,0)</f>
        <v>0</v>
      </c>
      <c r="N2062" s="3" t="s">
        <v>1779</v>
      </c>
    </row>
    <row r="2063" spans="1:14" x14ac:dyDescent="0.25">
      <c r="A2063" s="1" t="s">
        <v>11496</v>
      </c>
      <c r="B2063" s="3" t="s">
        <v>5687</v>
      </c>
      <c r="C2063" s="2">
        <f ca="1">IF(ISNUMBER(SEARCH(Лист2!$B$4,D:D)),MAX($C$3:OFFSET(C2063,-1,0))+1,0)</f>
        <v>0</v>
      </c>
      <c r="E2063" s="9" t="str">
        <f t="shared" ca="1" si="44"/>
        <v/>
      </c>
      <c r="F2063" s="4" t="s">
        <v>7</v>
      </c>
      <c r="G2063" s="2">
        <f>IF(ISNUMBER(SEARCH(Лист2!$B$4,F:F)),1,0)</f>
        <v>0</v>
      </c>
      <c r="H2063" s="3">
        <f ca="1">IF(AND(I2063&lt;&gt;I2062,ISNUMBER(SEARCH(Лист2!$B$5,I:I)),G2063=1),MAX($H$3:OFFSET(H2063,-1,0))+1,0)</f>
        <v>0</v>
      </c>
      <c r="I2063" s="3" t="s">
        <v>239</v>
      </c>
      <c r="K2063" s="2">
        <f>IF(ISNUMBER(SEARCH(Лист2!$B$4,F:F)),1,0)</f>
        <v>0</v>
      </c>
      <c r="L2063" s="14">
        <f>IF(ISNUMBER(SEARCH(Лист2!$B$5,I:I)),1,0)+K2063</f>
        <v>0</v>
      </c>
      <c r="M2063" s="3">
        <f ca="1">IF(AND(N2063&lt;&gt;N2062,ISNUMBER(SEARCH(Лист2!$B$6,N:N)),L2063=2),MAX($M$3:OFFSET(M2063,-1,0))+1,0)</f>
        <v>0</v>
      </c>
      <c r="N2063" s="3" t="s">
        <v>1780</v>
      </c>
    </row>
    <row r="2064" spans="1:14" x14ac:dyDescent="0.25">
      <c r="A2064" s="1" t="s">
        <v>11497</v>
      </c>
      <c r="B2064" s="3" t="s">
        <v>5688</v>
      </c>
      <c r="C2064" s="2">
        <f ca="1">IF(ISNUMBER(SEARCH(Лист2!$B$4,D:D)),MAX($C$3:OFFSET(C2064,-1,0))+1,0)</f>
        <v>0</v>
      </c>
      <c r="E2064" s="9" t="str">
        <f t="shared" ca="1" si="44"/>
        <v/>
      </c>
      <c r="F2064" s="4" t="s">
        <v>7</v>
      </c>
      <c r="G2064" s="2">
        <f>IF(ISNUMBER(SEARCH(Лист2!$B$4,F:F)),1,0)</f>
        <v>0</v>
      </c>
      <c r="H2064" s="3">
        <f ca="1">IF(AND(I2064&lt;&gt;I2063,ISNUMBER(SEARCH(Лист2!$B$5,I:I)),G2064=1),MAX($H$3:OFFSET(H2064,-1,0))+1,0)</f>
        <v>0</v>
      </c>
      <c r="I2064" s="3" t="s">
        <v>239</v>
      </c>
      <c r="K2064" s="2">
        <f>IF(ISNUMBER(SEARCH(Лист2!$B$4,F:F)),1,0)</f>
        <v>0</v>
      </c>
      <c r="L2064" s="14">
        <f>IF(ISNUMBER(SEARCH(Лист2!$B$5,I:I)),1,0)+K2064</f>
        <v>0</v>
      </c>
      <c r="M2064" s="3">
        <f ca="1">IF(AND(N2064&lt;&gt;N2063,ISNUMBER(SEARCH(Лист2!$B$6,N:N)),L2064=2),MAX($M$3:OFFSET(M2064,-1,0))+1,0)</f>
        <v>0</v>
      </c>
      <c r="N2064" s="3" t="s">
        <v>1735</v>
      </c>
    </row>
    <row r="2065" spans="1:14" x14ac:dyDescent="0.25">
      <c r="A2065" s="1" t="s">
        <v>11498</v>
      </c>
      <c r="B2065" s="3" t="s">
        <v>5689</v>
      </c>
      <c r="C2065" s="2">
        <f ca="1">IF(ISNUMBER(SEARCH(Лист2!$B$4,D:D)),MAX($C$3:OFFSET(C2065,-1,0))+1,0)</f>
        <v>0</v>
      </c>
      <c r="E2065" s="9" t="str">
        <f t="shared" ca="1" si="44"/>
        <v/>
      </c>
      <c r="F2065" s="4" t="s">
        <v>7</v>
      </c>
      <c r="G2065" s="2">
        <f>IF(ISNUMBER(SEARCH(Лист2!$B$4,F:F)),1,0)</f>
        <v>0</v>
      </c>
      <c r="H2065" s="3">
        <f ca="1">IF(AND(I2065&lt;&gt;I2064,ISNUMBER(SEARCH(Лист2!$B$5,I:I)),G2065=1),MAX($H$3:OFFSET(H2065,-1,0))+1,0)</f>
        <v>0</v>
      </c>
      <c r="I2065" s="3" t="s">
        <v>239</v>
      </c>
      <c r="K2065" s="2">
        <f>IF(ISNUMBER(SEARCH(Лист2!$B$4,F:F)),1,0)</f>
        <v>0</v>
      </c>
      <c r="L2065" s="14">
        <f>IF(ISNUMBER(SEARCH(Лист2!$B$5,I:I)),1,0)+K2065</f>
        <v>0</v>
      </c>
      <c r="M2065" s="3">
        <f ca="1">IF(AND(N2065&lt;&gt;N2064,ISNUMBER(SEARCH(Лист2!$B$6,N:N)),L2065=2),MAX($M$3:OFFSET(M2065,-1,0))+1,0)</f>
        <v>0</v>
      </c>
      <c r="N2065" s="3" t="s">
        <v>1621</v>
      </c>
    </row>
    <row r="2066" spans="1:14" x14ac:dyDescent="0.25">
      <c r="A2066" s="1" t="s">
        <v>11499</v>
      </c>
      <c r="B2066" s="3" t="s">
        <v>5690</v>
      </c>
      <c r="C2066" s="2">
        <f ca="1">IF(ISNUMBER(SEARCH(Лист2!$B$4,D:D)),MAX($C$3:OFFSET(C2066,-1,0))+1,0)</f>
        <v>0</v>
      </c>
      <c r="E2066" s="9" t="str">
        <f t="shared" ca="1" si="44"/>
        <v/>
      </c>
      <c r="F2066" s="4" t="s">
        <v>7</v>
      </c>
      <c r="G2066" s="2">
        <f>IF(ISNUMBER(SEARCH(Лист2!$B$4,F:F)),1,0)</f>
        <v>0</v>
      </c>
      <c r="H2066" s="3">
        <f ca="1">IF(AND(I2066&lt;&gt;I2065,ISNUMBER(SEARCH(Лист2!$B$5,I:I)),G2066=1),MAX($H$3:OFFSET(H2066,-1,0))+1,0)</f>
        <v>0</v>
      </c>
      <c r="I2066" s="3" t="s">
        <v>239</v>
      </c>
      <c r="K2066" s="2">
        <f>IF(ISNUMBER(SEARCH(Лист2!$B$4,F:F)),1,0)</f>
        <v>0</v>
      </c>
      <c r="L2066" s="14">
        <f>IF(ISNUMBER(SEARCH(Лист2!$B$5,I:I)),1,0)+K2066</f>
        <v>0</v>
      </c>
      <c r="M2066" s="3">
        <f ca="1">IF(AND(N2066&lt;&gt;N2065,ISNUMBER(SEARCH(Лист2!$B$6,N:N)),L2066=2),MAX($M$3:OFFSET(M2066,-1,0))+1,0)</f>
        <v>0</v>
      </c>
      <c r="N2066" s="3" t="s">
        <v>1748</v>
      </c>
    </row>
    <row r="2067" spans="1:14" x14ac:dyDescent="0.25">
      <c r="A2067" s="1" t="s">
        <v>11500</v>
      </c>
      <c r="B2067" s="3" t="s">
        <v>5691</v>
      </c>
      <c r="C2067" s="2">
        <f ca="1">IF(ISNUMBER(SEARCH(Лист2!$B$4,D:D)),MAX($C$3:OFFSET(C2067,-1,0))+1,0)</f>
        <v>0</v>
      </c>
      <c r="E2067" s="9" t="str">
        <f t="shared" ca="1" si="44"/>
        <v/>
      </c>
      <c r="F2067" s="4" t="s">
        <v>7</v>
      </c>
      <c r="G2067" s="2">
        <f>IF(ISNUMBER(SEARCH(Лист2!$B$4,F:F)),1,0)</f>
        <v>0</v>
      </c>
      <c r="H2067" s="3">
        <f ca="1">IF(AND(I2067&lt;&gt;I2066,ISNUMBER(SEARCH(Лист2!$B$5,I:I)),G2067=1),MAX($H$3:OFFSET(H2067,-1,0))+1,0)</f>
        <v>0</v>
      </c>
      <c r="I2067" s="3" t="s">
        <v>239</v>
      </c>
      <c r="K2067" s="2">
        <f>IF(ISNUMBER(SEARCH(Лист2!$B$4,F:F)),1,0)</f>
        <v>0</v>
      </c>
      <c r="L2067" s="14">
        <f>IF(ISNUMBER(SEARCH(Лист2!$B$5,I:I)),1,0)+K2067</f>
        <v>0</v>
      </c>
      <c r="M2067" s="3">
        <f ca="1">IF(AND(N2067&lt;&gt;N2066,ISNUMBER(SEARCH(Лист2!$B$6,N:N)),L2067=2),MAX($M$3:OFFSET(M2067,-1,0))+1,0)</f>
        <v>0</v>
      </c>
      <c r="N2067" s="3" t="s">
        <v>1749</v>
      </c>
    </row>
    <row r="2068" spans="1:14" x14ac:dyDescent="0.25">
      <c r="A2068" s="1" t="s">
        <v>11501</v>
      </c>
      <c r="B2068" s="3" t="s">
        <v>5692</v>
      </c>
      <c r="C2068" s="2">
        <f ca="1">IF(ISNUMBER(SEARCH(Лист2!$B$4,D:D)),MAX($C$3:OFFSET(C2068,-1,0))+1,0)</f>
        <v>0</v>
      </c>
      <c r="E2068" s="9" t="str">
        <f t="shared" ca="1" si="44"/>
        <v/>
      </c>
      <c r="F2068" s="4" t="s">
        <v>7</v>
      </c>
      <c r="G2068" s="2">
        <f>IF(ISNUMBER(SEARCH(Лист2!$B$4,F:F)),1,0)</f>
        <v>0</v>
      </c>
      <c r="H2068" s="3">
        <f ca="1">IF(AND(I2068&lt;&gt;I2067,ISNUMBER(SEARCH(Лист2!$B$5,I:I)),G2068=1),MAX($H$3:OFFSET(H2068,-1,0))+1,0)</f>
        <v>0</v>
      </c>
      <c r="I2068" s="3" t="s">
        <v>239</v>
      </c>
      <c r="K2068" s="2">
        <f>IF(ISNUMBER(SEARCH(Лист2!$B$4,F:F)),1,0)</f>
        <v>0</v>
      </c>
      <c r="L2068" s="14">
        <f>IF(ISNUMBER(SEARCH(Лист2!$B$5,I:I)),1,0)+K2068</f>
        <v>0</v>
      </c>
      <c r="M2068" s="3">
        <f ca="1">IF(AND(N2068&lt;&gt;N2067,ISNUMBER(SEARCH(Лист2!$B$6,N:N)),L2068=2),MAX($M$3:OFFSET(M2068,-1,0))+1,0)</f>
        <v>0</v>
      </c>
      <c r="N2068" s="3" t="s">
        <v>1619</v>
      </c>
    </row>
    <row r="2069" spans="1:14" x14ac:dyDescent="0.25">
      <c r="A2069" s="1" t="s">
        <v>11502</v>
      </c>
      <c r="B2069" s="3" t="s">
        <v>5693</v>
      </c>
      <c r="C2069" s="2">
        <f ca="1">IF(ISNUMBER(SEARCH(Лист2!$B$4,D:D)),MAX($C$3:OFFSET(C2069,-1,0))+1,0)</f>
        <v>0</v>
      </c>
      <c r="E2069" s="9" t="str">
        <f t="shared" ca="1" si="44"/>
        <v/>
      </c>
      <c r="F2069" s="4" t="s">
        <v>7</v>
      </c>
      <c r="G2069" s="2">
        <f>IF(ISNUMBER(SEARCH(Лист2!$B$4,F:F)),1,0)</f>
        <v>0</v>
      </c>
      <c r="H2069" s="3">
        <f ca="1">IF(AND(I2069&lt;&gt;I2068,ISNUMBER(SEARCH(Лист2!$B$5,I:I)),G2069=1),MAX($H$3:OFFSET(H2069,-1,0))+1,0)</f>
        <v>0</v>
      </c>
      <c r="I2069" s="3" t="s">
        <v>239</v>
      </c>
      <c r="K2069" s="2">
        <f>IF(ISNUMBER(SEARCH(Лист2!$B$4,F:F)),1,0)</f>
        <v>0</v>
      </c>
      <c r="L2069" s="14">
        <f>IF(ISNUMBER(SEARCH(Лист2!$B$5,I:I)),1,0)+K2069</f>
        <v>0</v>
      </c>
      <c r="M2069" s="3">
        <f ca="1">IF(AND(N2069&lt;&gt;N2068,ISNUMBER(SEARCH(Лист2!$B$6,N:N)),L2069=2),MAX($M$3:OFFSET(M2069,-1,0))+1,0)</f>
        <v>0</v>
      </c>
      <c r="N2069" s="3" t="s">
        <v>602</v>
      </c>
    </row>
    <row r="2070" spans="1:14" x14ac:dyDescent="0.25">
      <c r="A2070" s="1" t="s">
        <v>11503</v>
      </c>
      <c r="B2070" s="3" t="s">
        <v>5694</v>
      </c>
      <c r="C2070" s="2">
        <f ca="1">IF(ISNUMBER(SEARCH(Лист2!$B$4,D:D)),MAX($C$3:OFFSET(C2070,-1,0))+1,0)</f>
        <v>0</v>
      </c>
      <c r="E2070" s="9" t="str">
        <f t="shared" ca="1" si="44"/>
        <v/>
      </c>
      <c r="F2070" s="4" t="s">
        <v>7</v>
      </c>
      <c r="G2070" s="2">
        <f>IF(ISNUMBER(SEARCH(Лист2!$B$4,F:F)),1,0)</f>
        <v>0</v>
      </c>
      <c r="H2070" s="3">
        <f ca="1">IF(AND(I2070&lt;&gt;I2069,ISNUMBER(SEARCH(Лист2!$B$5,I:I)),G2070=1),MAX($H$3:OFFSET(H2070,-1,0))+1,0)</f>
        <v>0</v>
      </c>
      <c r="I2070" s="3" t="s">
        <v>239</v>
      </c>
      <c r="K2070" s="2">
        <f>IF(ISNUMBER(SEARCH(Лист2!$B$4,F:F)),1,0)</f>
        <v>0</v>
      </c>
      <c r="L2070" s="14">
        <f>IF(ISNUMBER(SEARCH(Лист2!$B$5,I:I)),1,0)+K2070</f>
        <v>0</v>
      </c>
      <c r="M2070" s="3">
        <f ca="1">IF(AND(N2070&lt;&gt;N2069,ISNUMBER(SEARCH(Лист2!$B$6,N:N)),L2070=2),MAX($M$3:OFFSET(M2070,-1,0))+1,0)</f>
        <v>0</v>
      </c>
      <c r="N2070" s="3" t="s">
        <v>1781</v>
      </c>
    </row>
    <row r="2071" spans="1:14" x14ac:dyDescent="0.25">
      <c r="A2071" s="1" t="s">
        <v>11504</v>
      </c>
      <c r="B2071" s="3" t="s">
        <v>5695</v>
      </c>
      <c r="C2071" s="2">
        <f ca="1">IF(ISNUMBER(SEARCH(Лист2!$B$4,D:D)),MAX($C$3:OFFSET(C2071,-1,0))+1,0)</f>
        <v>0</v>
      </c>
      <c r="E2071" s="9" t="str">
        <f t="shared" ca="1" si="44"/>
        <v/>
      </c>
      <c r="F2071" s="4" t="s">
        <v>7</v>
      </c>
      <c r="G2071" s="2">
        <f>IF(ISNUMBER(SEARCH(Лист2!$B$4,F:F)),1,0)</f>
        <v>0</v>
      </c>
      <c r="H2071" s="3">
        <f ca="1">IF(AND(I2071&lt;&gt;I2070,ISNUMBER(SEARCH(Лист2!$B$5,I:I)),G2071=1),MAX($H$3:OFFSET(H2071,-1,0))+1,0)</f>
        <v>0</v>
      </c>
      <c r="I2071" s="3" t="s">
        <v>239</v>
      </c>
      <c r="K2071" s="2">
        <f>IF(ISNUMBER(SEARCH(Лист2!$B$4,F:F)),1,0)</f>
        <v>0</v>
      </c>
      <c r="L2071" s="14">
        <f>IF(ISNUMBER(SEARCH(Лист2!$B$5,I:I)),1,0)+K2071</f>
        <v>0</v>
      </c>
      <c r="M2071" s="3">
        <f ca="1">IF(AND(N2071&lt;&gt;N2070,ISNUMBER(SEARCH(Лист2!$B$6,N:N)),L2071=2),MAX($M$3:OFFSET(M2071,-1,0))+1,0)</f>
        <v>0</v>
      </c>
      <c r="N2071" s="3" t="s">
        <v>1782</v>
      </c>
    </row>
    <row r="2072" spans="1:14" x14ac:dyDescent="0.25">
      <c r="A2072" s="1" t="s">
        <v>11505</v>
      </c>
      <c r="B2072" s="3" t="s">
        <v>5696</v>
      </c>
      <c r="C2072" s="2">
        <f ca="1">IF(ISNUMBER(SEARCH(Лист2!$B$4,D:D)),MAX($C$3:OFFSET(C2072,-1,0))+1,0)</f>
        <v>0</v>
      </c>
      <c r="E2072" s="9" t="str">
        <f t="shared" ca="1" si="44"/>
        <v/>
      </c>
      <c r="F2072" s="4" t="s">
        <v>7</v>
      </c>
      <c r="G2072" s="2">
        <f>IF(ISNUMBER(SEARCH(Лист2!$B$4,F:F)),1,0)</f>
        <v>0</v>
      </c>
      <c r="H2072" s="3">
        <f ca="1">IF(AND(I2072&lt;&gt;I2071,ISNUMBER(SEARCH(Лист2!$B$5,I:I)),G2072=1),MAX($H$3:OFFSET(H2072,-1,0))+1,0)</f>
        <v>0</v>
      </c>
      <c r="I2072" s="3" t="s">
        <v>239</v>
      </c>
      <c r="K2072" s="2">
        <f>IF(ISNUMBER(SEARCH(Лист2!$B$4,F:F)),1,0)</f>
        <v>0</v>
      </c>
      <c r="L2072" s="14">
        <f>IF(ISNUMBER(SEARCH(Лист2!$B$5,I:I)),1,0)+K2072</f>
        <v>0</v>
      </c>
      <c r="M2072" s="3">
        <f ca="1">IF(AND(N2072&lt;&gt;N2071,ISNUMBER(SEARCH(Лист2!$B$6,N:N)),L2072=2),MAX($M$3:OFFSET(M2072,-1,0))+1,0)</f>
        <v>0</v>
      </c>
      <c r="N2072" s="3" t="s">
        <v>1783</v>
      </c>
    </row>
    <row r="2073" spans="1:14" x14ac:dyDescent="0.25">
      <c r="A2073" s="1" t="s">
        <v>11506</v>
      </c>
      <c r="B2073" s="3" t="s">
        <v>5697</v>
      </c>
      <c r="C2073" s="2">
        <f ca="1">IF(ISNUMBER(SEARCH(Лист2!$B$4,D:D)),MAX($C$3:OFFSET(C2073,-1,0))+1,0)</f>
        <v>0</v>
      </c>
      <c r="E2073" s="9" t="str">
        <f t="shared" ca="1" si="44"/>
        <v/>
      </c>
      <c r="F2073" s="4" t="s">
        <v>7</v>
      </c>
      <c r="G2073" s="2">
        <f>IF(ISNUMBER(SEARCH(Лист2!$B$4,F:F)),1,0)</f>
        <v>0</v>
      </c>
      <c r="H2073" s="3">
        <f ca="1">IF(AND(I2073&lt;&gt;I2072,ISNUMBER(SEARCH(Лист2!$B$5,I:I)),G2073=1),MAX($H$3:OFFSET(H2073,-1,0))+1,0)</f>
        <v>0</v>
      </c>
      <c r="I2073" s="3" t="s">
        <v>239</v>
      </c>
      <c r="K2073" s="2">
        <f>IF(ISNUMBER(SEARCH(Лист2!$B$4,F:F)),1,0)</f>
        <v>0</v>
      </c>
      <c r="L2073" s="14">
        <f>IF(ISNUMBER(SEARCH(Лист2!$B$5,I:I)),1,0)+K2073</f>
        <v>0</v>
      </c>
      <c r="M2073" s="3">
        <f ca="1">IF(AND(N2073&lt;&gt;N2072,ISNUMBER(SEARCH(Лист2!$B$6,N:N)),L2073=2),MAX($M$3:OFFSET(M2073,-1,0))+1,0)</f>
        <v>0</v>
      </c>
      <c r="N2073" s="3" t="s">
        <v>1784</v>
      </c>
    </row>
    <row r="2074" spans="1:14" x14ac:dyDescent="0.25">
      <c r="A2074" s="1" t="s">
        <v>11507</v>
      </c>
      <c r="B2074" s="3" t="s">
        <v>5698</v>
      </c>
      <c r="C2074" s="2">
        <f ca="1">IF(ISNUMBER(SEARCH(Лист2!$B$4,D:D)),MAX($C$3:OFFSET(C2074,-1,0))+1,0)</f>
        <v>0</v>
      </c>
      <c r="E2074" s="9" t="str">
        <f t="shared" ca="1" si="44"/>
        <v/>
      </c>
      <c r="F2074" s="4" t="s">
        <v>7</v>
      </c>
      <c r="G2074" s="2">
        <f>IF(ISNUMBER(SEARCH(Лист2!$B$4,F:F)),1,0)</f>
        <v>0</v>
      </c>
      <c r="H2074" s="3">
        <f ca="1">IF(AND(I2074&lt;&gt;I2073,ISNUMBER(SEARCH(Лист2!$B$5,I:I)),G2074=1),MAX($H$3:OFFSET(H2074,-1,0))+1,0)</f>
        <v>0</v>
      </c>
      <c r="I2074" s="3" t="s">
        <v>239</v>
      </c>
      <c r="K2074" s="2">
        <f>IF(ISNUMBER(SEARCH(Лист2!$B$4,F:F)),1,0)</f>
        <v>0</v>
      </c>
      <c r="L2074" s="14">
        <f>IF(ISNUMBER(SEARCH(Лист2!$B$5,I:I)),1,0)+K2074</f>
        <v>0</v>
      </c>
      <c r="M2074" s="3">
        <f ca="1">IF(AND(N2074&lt;&gt;N2073,ISNUMBER(SEARCH(Лист2!$B$6,N:N)),L2074=2),MAX($M$3:OFFSET(M2074,-1,0))+1,0)</f>
        <v>0</v>
      </c>
      <c r="N2074" s="3" t="s">
        <v>1785</v>
      </c>
    </row>
    <row r="2075" spans="1:14" x14ac:dyDescent="0.25">
      <c r="A2075" s="1" t="s">
        <v>11508</v>
      </c>
      <c r="B2075" s="3" t="s">
        <v>5699</v>
      </c>
      <c r="C2075" s="2">
        <f ca="1">IF(ISNUMBER(SEARCH(Лист2!$B$4,D:D)),MAX($C$3:OFFSET(C2075,-1,0))+1,0)</f>
        <v>0</v>
      </c>
      <c r="E2075" s="9" t="str">
        <f t="shared" ca="1" si="44"/>
        <v/>
      </c>
      <c r="F2075" s="4" t="s">
        <v>7</v>
      </c>
      <c r="G2075" s="2">
        <f>IF(ISNUMBER(SEARCH(Лист2!$B$4,F:F)),1,0)</f>
        <v>0</v>
      </c>
      <c r="H2075" s="3">
        <f ca="1">IF(AND(I2075&lt;&gt;I2074,ISNUMBER(SEARCH(Лист2!$B$5,I:I)),G2075=1),MAX($H$3:OFFSET(H2075,-1,0))+1,0)</f>
        <v>0</v>
      </c>
      <c r="I2075" s="3" t="s">
        <v>240</v>
      </c>
      <c r="K2075" s="2">
        <f>IF(ISNUMBER(SEARCH(Лист2!$B$4,F:F)),1,0)</f>
        <v>0</v>
      </c>
      <c r="L2075" s="14">
        <f>IF(ISNUMBER(SEARCH(Лист2!$B$5,I:I)),1,0)+K2075</f>
        <v>0</v>
      </c>
      <c r="M2075" s="3">
        <f ca="1">IF(AND(N2075&lt;&gt;N2074,ISNUMBER(SEARCH(Лист2!$B$6,N:N)),L2075=2),MAX($M$3:OFFSET(M2075,-1,0))+1,0)</f>
        <v>0</v>
      </c>
      <c r="N2075" s="3" t="s">
        <v>1786</v>
      </c>
    </row>
    <row r="2076" spans="1:14" x14ac:dyDescent="0.25">
      <c r="A2076" s="1" t="s">
        <v>11509</v>
      </c>
      <c r="B2076" s="3" t="s">
        <v>5700</v>
      </c>
      <c r="C2076" s="2">
        <f ca="1">IF(ISNUMBER(SEARCH(Лист2!$B$4,D:D)),MAX($C$3:OFFSET(C2076,-1,0))+1,0)</f>
        <v>0</v>
      </c>
      <c r="E2076" s="9" t="str">
        <f t="shared" ca="1" si="44"/>
        <v/>
      </c>
      <c r="F2076" s="4" t="s">
        <v>7</v>
      </c>
      <c r="G2076" s="2">
        <f>IF(ISNUMBER(SEARCH(Лист2!$B$4,F:F)),1,0)</f>
        <v>0</v>
      </c>
      <c r="H2076" s="3">
        <f ca="1">IF(AND(I2076&lt;&gt;I2075,ISNUMBER(SEARCH(Лист2!$B$5,I:I)),G2076=1),MAX($H$3:OFFSET(H2076,-1,0))+1,0)</f>
        <v>0</v>
      </c>
      <c r="I2076" s="3" t="s">
        <v>240</v>
      </c>
      <c r="K2076" s="2">
        <f>IF(ISNUMBER(SEARCH(Лист2!$B$4,F:F)),1,0)</f>
        <v>0</v>
      </c>
      <c r="L2076" s="14">
        <f>IF(ISNUMBER(SEARCH(Лист2!$B$5,I:I)),1,0)+K2076</f>
        <v>0</v>
      </c>
      <c r="M2076" s="3">
        <f ca="1">IF(AND(N2076&lt;&gt;N2075,ISNUMBER(SEARCH(Лист2!$B$6,N:N)),L2076=2),MAX($M$3:OFFSET(M2076,-1,0))+1,0)</f>
        <v>0</v>
      </c>
      <c r="N2076" s="3" t="s">
        <v>1787</v>
      </c>
    </row>
    <row r="2077" spans="1:14" x14ac:dyDescent="0.25">
      <c r="A2077" s="1" t="s">
        <v>11509</v>
      </c>
      <c r="B2077" s="3" t="s">
        <v>5701</v>
      </c>
      <c r="C2077" s="2">
        <f ca="1">IF(ISNUMBER(SEARCH(Лист2!$B$4,D:D)),MAX($C$3:OFFSET(C2077,-1,0))+1,0)</f>
        <v>0</v>
      </c>
      <c r="E2077" s="9" t="str">
        <f t="shared" ca="1" si="44"/>
        <v/>
      </c>
      <c r="F2077" s="4" t="s">
        <v>7</v>
      </c>
      <c r="G2077" s="2">
        <f>IF(ISNUMBER(SEARCH(Лист2!$B$4,F:F)),1,0)</f>
        <v>0</v>
      </c>
      <c r="H2077" s="3">
        <f ca="1">IF(AND(I2077&lt;&gt;I2076,ISNUMBER(SEARCH(Лист2!$B$5,I:I)),G2077=1),MAX($H$3:OFFSET(H2077,-1,0))+1,0)</f>
        <v>0</v>
      </c>
      <c r="I2077" s="3" t="s">
        <v>240</v>
      </c>
      <c r="K2077" s="2">
        <f>IF(ISNUMBER(SEARCH(Лист2!$B$4,F:F)),1,0)</f>
        <v>0</v>
      </c>
      <c r="L2077" s="14">
        <f>IF(ISNUMBER(SEARCH(Лист2!$B$5,I:I)),1,0)+K2077</f>
        <v>0</v>
      </c>
      <c r="M2077" s="3">
        <f ca="1">IF(AND(N2077&lt;&gt;N2076,ISNUMBER(SEARCH(Лист2!$B$6,N:N)),L2077=2),MAX($M$3:OFFSET(M2077,-1,0))+1,0)</f>
        <v>0</v>
      </c>
      <c r="N2077" s="3" t="s">
        <v>1787</v>
      </c>
    </row>
    <row r="2078" spans="1:14" x14ac:dyDescent="0.25">
      <c r="A2078" s="1" t="s">
        <v>11510</v>
      </c>
      <c r="B2078" s="3" t="s">
        <v>5702</v>
      </c>
      <c r="C2078" s="2">
        <f ca="1">IF(ISNUMBER(SEARCH(Лист2!$B$4,D:D)),MAX($C$3:OFFSET(C2078,-1,0))+1,0)</f>
        <v>0</v>
      </c>
      <c r="E2078" s="9" t="str">
        <f t="shared" ca="1" si="44"/>
        <v/>
      </c>
      <c r="F2078" s="4" t="s">
        <v>7</v>
      </c>
      <c r="G2078" s="2">
        <f>IF(ISNUMBER(SEARCH(Лист2!$B$4,F:F)),1,0)</f>
        <v>0</v>
      </c>
      <c r="H2078" s="3">
        <f ca="1">IF(AND(I2078&lt;&gt;I2077,ISNUMBER(SEARCH(Лист2!$B$5,I:I)),G2078=1),MAX($H$3:OFFSET(H2078,-1,0))+1,0)</f>
        <v>0</v>
      </c>
      <c r="I2078" s="3" t="s">
        <v>240</v>
      </c>
      <c r="K2078" s="2">
        <f>IF(ISNUMBER(SEARCH(Лист2!$B$4,F:F)),1,0)</f>
        <v>0</v>
      </c>
      <c r="L2078" s="14">
        <f>IF(ISNUMBER(SEARCH(Лист2!$B$5,I:I)),1,0)+K2078</f>
        <v>0</v>
      </c>
      <c r="M2078" s="3">
        <f ca="1">IF(AND(N2078&lt;&gt;N2077,ISNUMBER(SEARCH(Лист2!$B$6,N:N)),L2078=2),MAX($M$3:OFFSET(M2078,-1,0))+1,0)</f>
        <v>0</v>
      </c>
      <c r="N2078" s="3" t="s">
        <v>1788</v>
      </c>
    </row>
    <row r="2079" spans="1:14" x14ac:dyDescent="0.25">
      <c r="A2079" s="1" t="s">
        <v>11511</v>
      </c>
      <c r="B2079" s="3" t="s">
        <v>5703</v>
      </c>
      <c r="C2079" s="2">
        <f ca="1">IF(ISNUMBER(SEARCH(Лист2!$B$4,D:D)),MAX($C$3:OFFSET(C2079,-1,0))+1,0)</f>
        <v>0</v>
      </c>
      <c r="E2079" s="9" t="str">
        <f t="shared" ca="1" si="44"/>
        <v/>
      </c>
      <c r="F2079" s="4" t="s">
        <v>7</v>
      </c>
      <c r="G2079" s="2">
        <f>IF(ISNUMBER(SEARCH(Лист2!$B$4,F:F)),1,0)</f>
        <v>0</v>
      </c>
      <c r="H2079" s="3">
        <f ca="1">IF(AND(I2079&lt;&gt;I2078,ISNUMBER(SEARCH(Лист2!$B$5,I:I)),G2079=1),MAX($H$3:OFFSET(H2079,-1,0))+1,0)</f>
        <v>0</v>
      </c>
      <c r="I2079" s="3" t="s">
        <v>240</v>
      </c>
      <c r="K2079" s="2">
        <f>IF(ISNUMBER(SEARCH(Лист2!$B$4,F:F)),1,0)</f>
        <v>0</v>
      </c>
      <c r="L2079" s="14">
        <f>IF(ISNUMBER(SEARCH(Лист2!$B$5,I:I)),1,0)+K2079</f>
        <v>0</v>
      </c>
      <c r="M2079" s="3">
        <f ca="1">IF(AND(N2079&lt;&gt;N2078,ISNUMBER(SEARCH(Лист2!$B$6,N:N)),L2079=2),MAX($M$3:OFFSET(M2079,-1,0))+1,0)</f>
        <v>0</v>
      </c>
      <c r="N2079" s="3" t="s">
        <v>1789</v>
      </c>
    </row>
    <row r="2080" spans="1:14" x14ac:dyDescent="0.25">
      <c r="A2080" s="1" t="s">
        <v>11512</v>
      </c>
      <c r="B2080" s="3" t="s">
        <v>5704</v>
      </c>
      <c r="C2080" s="2">
        <f ca="1">IF(ISNUMBER(SEARCH(Лист2!$B$4,D:D)),MAX($C$3:OFFSET(C2080,-1,0))+1,0)</f>
        <v>0</v>
      </c>
      <c r="E2080" s="9" t="str">
        <f t="shared" ca="1" si="44"/>
        <v/>
      </c>
      <c r="F2080" s="4" t="s">
        <v>7</v>
      </c>
      <c r="G2080" s="2">
        <f>IF(ISNUMBER(SEARCH(Лист2!$B$4,F:F)),1,0)</f>
        <v>0</v>
      </c>
      <c r="H2080" s="3">
        <f ca="1">IF(AND(I2080&lt;&gt;I2079,ISNUMBER(SEARCH(Лист2!$B$5,I:I)),G2080=1),MAX($H$3:OFFSET(H2080,-1,0))+1,0)</f>
        <v>0</v>
      </c>
      <c r="I2080" s="3" t="s">
        <v>240</v>
      </c>
      <c r="K2080" s="2">
        <f>IF(ISNUMBER(SEARCH(Лист2!$B$4,F:F)),1,0)</f>
        <v>0</v>
      </c>
      <c r="L2080" s="14">
        <f>IF(ISNUMBER(SEARCH(Лист2!$B$5,I:I)),1,0)+K2080</f>
        <v>0</v>
      </c>
      <c r="M2080" s="3">
        <f ca="1">IF(AND(N2080&lt;&gt;N2079,ISNUMBER(SEARCH(Лист2!$B$6,N:N)),L2080=2),MAX($M$3:OFFSET(M2080,-1,0))+1,0)</f>
        <v>0</v>
      </c>
      <c r="N2080" s="3" t="s">
        <v>1790</v>
      </c>
    </row>
    <row r="2081" spans="1:14" x14ac:dyDescent="0.25">
      <c r="A2081" s="1" t="s">
        <v>11513</v>
      </c>
      <c r="B2081" s="3" t="s">
        <v>5705</v>
      </c>
      <c r="C2081" s="2">
        <f ca="1">IF(ISNUMBER(SEARCH(Лист2!$B$4,D:D)),MAX($C$3:OFFSET(C2081,-1,0))+1,0)</f>
        <v>0</v>
      </c>
      <c r="E2081" s="9" t="str">
        <f t="shared" ca="1" si="44"/>
        <v/>
      </c>
      <c r="F2081" s="4" t="s">
        <v>7</v>
      </c>
      <c r="G2081" s="2">
        <f>IF(ISNUMBER(SEARCH(Лист2!$B$4,F:F)),1,0)</f>
        <v>0</v>
      </c>
      <c r="H2081" s="3">
        <f ca="1">IF(AND(I2081&lt;&gt;I2080,ISNUMBER(SEARCH(Лист2!$B$5,I:I)),G2081=1),MAX($H$3:OFFSET(H2081,-1,0))+1,0)</f>
        <v>0</v>
      </c>
      <c r="I2081" s="3" t="s">
        <v>240</v>
      </c>
      <c r="K2081" s="2">
        <f>IF(ISNUMBER(SEARCH(Лист2!$B$4,F:F)),1,0)</f>
        <v>0</v>
      </c>
      <c r="L2081" s="14">
        <f>IF(ISNUMBER(SEARCH(Лист2!$B$5,I:I)),1,0)+K2081</f>
        <v>0</v>
      </c>
      <c r="M2081" s="3">
        <f ca="1">IF(AND(N2081&lt;&gt;N2080,ISNUMBER(SEARCH(Лист2!$B$6,N:N)),L2081=2),MAX($M$3:OFFSET(M2081,-1,0))+1,0)</f>
        <v>0</v>
      </c>
      <c r="N2081" s="3" t="s">
        <v>1735</v>
      </c>
    </row>
    <row r="2082" spans="1:14" x14ac:dyDescent="0.25">
      <c r="A2082" s="1" t="s">
        <v>11514</v>
      </c>
      <c r="B2082" s="3" t="s">
        <v>5706</v>
      </c>
      <c r="C2082" s="2">
        <f ca="1">IF(ISNUMBER(SEARCH(Лист2!$B$4,D:D)),MAX($C$3:OFFSET(C2082,-1,0))+1,0)</f>
        <v>0</v>
      </c>
      <c r="E2082" s="9" t="str">
        <f t="shared" ca="1" si="44"/>
        <v/>
      </c>
      <c r="F2082" s="4" t="s">
        <v>7</v>
      </c>
      <c r="G2082" s="2">
        <f>IF(ISNUMBER(SEARCH(Лист2!$B$4,F:F)),1,0)</f>
        <v>0</v>
      </c>
      <c r="H2082" s="3">
        <f ca="1">IF(AND(I2082&lt;&gt;I2081,ISNUMBER(SEARCH(Лист2!$B$5,I:I)),G2082=1),MAX($H$3:OFFSET(H2082,-1,0))+1,0)</f>
        <v>0</v>
      </c>
      <c r="I2082" s="3" t="s">
        <v>240</v>
      </c>
      <c r="K2082" s="2">
        <f>IF(ISNUMBER(SEARCH(Лист2!$B$4,F:F)),1,0)</f>
        <v>0</v>
      </c>
      <c r="L2082" s="14">
        <f>IF(ISNUMBER(SEARCH(Лист2!$B$5,I:I)),1,0)+K2082</f>
        <v>0</v>
      </c>
      <c r="M2082" s="3">
        <f ca="1">IF(AND(N2082&lt;&gt;N2081,ISNUMBER(SEARCH(Лист2!$B$6,N:N)),L2082=2),MAX($M$3:OFFSET(M2082,-1,0))+1,0)</f>
        <v>0</v>
      </c>
      <c r="N2082" s="3" t="s">
        <v>1621</v>
      </c>
    </row>
    <row r="2083" spans="1:14" x14ac:dyDescent="0.25">
      <c r="A2083" s="1" t="s">
        <v>11515</v>
      </c>
      <c r="B2083" s="3" t="s">
        <v>5707</v>
      </c>
      <c r="C2083" s="2">
        <f ca="1">IF(ISNUMBER(SEARCH(Лист2!$B$4,D:D)),MAX($C$3:OFFSET(C2083,-1,0))+1,0)</f>
        <v>0</v>
      </c>
      <c r="E2083" s="9" t="str">
        <f t="shared" ca="1" si="44"/>
        <v/>
      </c>
      <c r="F2083" s="4" t="s">
        <v>7</v>
      </c>
      <c r="G2083" s="2">
        <f>IF(ISNUMBER(SEARCH(Лист2!$B$4,F:F)),1,0)</f>
        <v>0</v>
      </c>
      <c r="H2083" s="3">
        <f ca="1">IF(AND(I2083&lt;&gt;I2082,ISNUMBER(SEARCH(Лист2!$B$5,I:I)),G2083=1),MAX($H$3:OFFSET(H2083,-1,0))+1,0)</f>
        <v>0</v>
      </c>
      <c r="I2083" s="3" t="s">
        <v>240</v>
      </c>
      <c r="K2083" s="2">
        <f>IF(ISNUMBER(SEARCH(Лист2!$B$4,F:F)),1,0)</f>
        <v>0</v>
      </c>
      <c r="L2083" s="14">
        <f>IF(ISNUMBER(SEARCH(Лист2!$B$5,I:I)),1,0)+K2083</f>
        <v>0</v>
      </c>
      <c r="M2083" s="3">
        <f ca="1">IF(AND(N2083&lt;&gt;N2082,ISNUMBER(SEARCH(Лист2!$B$6,N:N)),L2083=2),MAX($M$3:OFFSET(M2083,-1,0))+1,0)</f>
        <v>0</v>
      </c>
      <c r="N2083" s="3" t="s">
        <v>1748</v>
      </c>
    </row>
    <row r="2084" spans="1:14" x14ac:dyDescent="0.25">
      <c r="A2084" s="1" t="s">
        <v>11516</v>
      </c>
      <c r="B2084" s="3" t="s">
        <v>5708</v>
      </c>
      <c r="C2084" s="2">
        <f ca="1">IF(ISNUMBER(SEARCH(Лист2!$B$4,D:D)),MAX($C$3:OFFSET(C2084,-1,0))+1,0)</f>
        <v>0</v>
      </c>
      <c r="E2084" s="9" t="str">
        <f t="shared" ca="1" si="44"/>
        <v/>
      </c>
      <c r="F2084" s="4" t="s">
        <v>7</v>
      </c>
      <c r="G2084" s="2">
        <f>IF(ISNUMBER(SEARCH(Лист2!$B$4,F:F)),1,0)</f>
        <v>0</v>
      </c>
      <c r="H2084" s="3">
        <f ca="1">IF(AND(I2084&lt;&gt;I2083,ISNUMBER(SEARCH(Лист2!$B$5,I:I)),G2084=1),MAX($H$3:OFFSET(H2084,-1,0))+1,0)</f>
        <v>0</v>
      </c>
      <c r="I2084" s="3" t="s">
        <v>240</v>
      </c>
      <c r="K2084" s="2">
        <f>IF(ISNUMBER(SEARCH(Лист2!$B$4,F:F)),1,0)</f>
        <v>0</v>
      </c>
      <c r="L2084" s="14">
        <f>IF(ISNUMBER(SEARCH(Лист2!$B$5,I:I)),1,0)+K2084</f>
        <v>0</v>
      </c>
      <c r="M2084" s="3">
        <f ca="1">IF(AND(N2084&lt;&gt;N2083,ISNUMBER(SEARCH(Лист2!$B$6,N:N)),L2084=2),MAX($M$3:OFFSET(M2084,-1,0))+1,0)</f>
        <v>0</v>
      </c>
      <c r="N2084" s="3" t="s">
        <v>1749</v>
      </c>
    </row>
    <row r="2085" spans="1:14" x14ac:dyDescent="0.25">
      <c r="A2085" s="1" t="s">
        <v>11517</v>
      </c>
      <c r="B2085" s="3" t="s">
        <v>5709</v>
      </c>
      <c r="C2085" s="2">
        <f ca="1">IF(ISNUMBER(SEARCH(Лист2!$B$4,D:D)),MAX($C$3:OFFSET(C2085,-1,0))+1,0)</f>
        <v>0</v>
      </c>
      <c r="E2085" s="9" t="str">
        <f t="shared" ca="1" si="44"/>
        <v/>
      </c>
      <c r="F2085" s="4" t="s">
        <v>7</v>
      </c>
      <c r="G2085" s="2">
        <f>IF(ISNUMBER(SEARCH(Лист2!$B$4,F:F)),1,0)</f>
        <v>0</v>
      </c>
      <c r="H2085" s="3">
        <f ca="1">IF(AND(I2085&lt;&gt;I2084,ISNUMBER(SEARCH(Лист2!$B$5,I:I)),G2085=1),MAX($H$3:OFFSET(H2085,-1,0))+1,0)</f>
        <v>0</v>
      </c>
      <c r="I2085" s="3" t="s">
        <v>240</v>
      </c>
      <c r="K2085" s="2">
        <f>IF(ISNUMBER(SEARCH(Лист2!$B$4,F:F)),1,0)</f>
        <v>0</v>
      </c>
      <c r="L2085" s="14">
        <f>IF(ISNUMBER(SEARCH(Лист2!$B$5,I:I)),1,0)+K2085</f>
        <v>0</v>
      </c>
      <c r="M2085" s="3">
        <f ca="1">IF(AND(N2085&lt;&gt;N2084,ISNUMBER(SEARCH(Лист2!$B$6,N:N)),L2085=2),MAX($M$3:OFFSET(M2085,-1,0))+1,0)</f>
        <v>0</v>
      </c>
      <c r="N2085" s="3" t="s">
        <v>1619</v>
      </c>
    </row>
    <row r="2086" spans="1:14" x14ac:dyDescent="0.25">
      <c r="A2086" s="1" t="s">
        <v>11518</v>
      </c>
      <c r="B2086" s="3" t="s">
        <v>5710</v>
      </c>
      <c r="C2086" s="2">
        <f ca="1">IF(ISNUMBER(SEARCH(Лист2!$B$4,D:D)),MAX($C$3:OFFSET(C2086,-1,0))+1,0)</f>
        <v>0</v>
      </c>
      <c r="E2086" s="9" t="str">
        <f t="shared" ca="1" si="44"/>
        <v/>
      </c>
      <c r="F2086" s="4" t="s">
        <v>7</v>
      </c>
      <c r="G2086" s="2">
        <f>IF(ISNUMBER(SEARCH(Лист2!$B$4,F:F)),1,0)</f>
        <v>0</v>
      </c>
      <c r="H2086" s="3">
        <f ca="1">IF(AND(I2086&lt;&gt;I2085,ISNUMBER(SEARCH(Лист2!$B$5,I:I)),G2086=1),MAX($H$3:OFFSET(H2086,-1,0))+1,0)</f>
        <v>0</v>
      </c>
      <c r="I2086" s="3" t="s">
        <v>240</v>
      </c>
      <c r="K2086" s="2">
        <f>IF(ISNUMBER(SEARCH(Лист2!$B$4,F:F)),1,0)</f>
        <v>0</v>
      </c>
      <c r="L2086" s="14">
        <f>IF(ISNUMBER(SEARCH(Лист2!$B$5,I:I)),1,0)+K2086</f>
        <v>0</v>
      </c>
      <c r="M2086" s="3">
        <f ca="1">IF(AND(N2086&lt;&gt;N2085,ISNUMBER(SEARCH(Лист2!$B$6,N:N)),L2086=2),MAX($M$3:OFFSET(M2086,-1,0))+1,0)</f>
        <v>0</v>
      </c>
      <c r="N2086" s="3" t="s">
        <v>602</v>
      </c>
    </row>
    <row r="2087" spans="1:14" x14ac:dyDescent="0.25">
      <c r="A2087" s="1" t="s">
        <v>11519</v>
      </c>
      <c r="B2087" s="3" t="s">
        <v>5711</v>
      </c>
      <c r="C2087" s="2">
        <f ca="1">IF(ISNUMBER(SEARCH(Лист2!$B$4,D:D)),MAX($C$3:OFFSET(C2087,-1,0))+1,0)</f>
        <v>0</v>
      </c>
      <c r="E2087" s="9" t="str">
        <f t="shared" ca="1" si="44"/>
        <v/>
      </c>
      <c r="F2087" s="4" t="s">
        <v>7</v>
      </c>
      <c r="G2087" s="2">
        <f>IF(ISNUMBER(SEARCH(Лист2!$B$4,F:F)),1,0)</f>
        <v>0</v>
      </c>
      <c r="H2087" s="3">
        <f ca="1">IF(AND(I2087&lt;&gt;I2086,ISNUMBER(SEARCH(Лист2!$B$5,I:I)),G2087=1),MAX($H$3:OFFSET(H2087,-1,0))+1,0)</f>
        <v>0</v>
      </c>
      <c r="I2087" s="3" t="s">
        <v>240</v>
      </c>
      <c r="K2087" s="2">
        <f>IF(ISNUMBER(SEARCH(Лист2!$B$4,F:F)),1,0)</f>
        <v>0</v>
      </c>
      <c r="L2087" s="14">
        <f>IF(ISNUMBER(SEARCH(Лист2!$B$5,I:I)),1,0)+K2087</f>
        <v>0</v>
      </c>
      <c r="M2087" s="3">
        <f ca="1">IF(AND(N2087&lt;&gt;N2086,ISNUMBER(SEARCH(Лист2!$B$6,N:N)),L2087=2),MAX($M$3:OFFSET(M2087,-1,0))+1,0)</f>
        <v>0</v>
      </c>
      <c r="N2087" s="3" t="s">
        <v>1791</v>
      </c>
    </row>
    <row r="2088" spans="1:14" x14ac:dyDescent="0.25">
      <c r="A2088" s="1" t="s">
        <v>11520</v>
      </c>
      <c r="B2088" s="3" t="s">
        <v>5712</v>
      </c>
      <c r="C2088" s="2">
        <f ca="1">IF(ISNUMBER(SEARCH(Лист2!$B$4,D:D)),MAX($C$3:OFFSET(C2088,-1,0))+1,0)</f>
        <v>0</v>
      </c>
      <c r="E2088" s="9" t="str">
        <f t="shared" ca="1" si="44"/>
        <v/>
      </c>
      <c r="F2088" s="4" t="s">
        <v>7</v>
      </c>
      <c r="G2088" s="2">
        <f>IF(ISNUMBER(SEARCH(Лист2!$B$4,F:F)),1,0)</f>
        <v>0</v>
      </c>
      <c r="H2088" s="3">
        <f ca="1">IF(AND(I2088&lt;&gt;I2087,ISNUMBER(SEARCH(Лист2!$B$5,I:I)),G2088=1),MAX($H$3:OFFSET(H2088,-1,0))+1,0)</f>
        <v>0</v>
      </c>
      <c r="I2088" s="3" t="s">
        <v>240</v>
      </c>
      <c r="K2088" s="2">
        <f>IF(ISNUMBER(SEARCH(Лист2!$B$4,F:F)),1,0)</f>
        <v>0</v>
      </c>
      <c r="L2088" s="14">
        <f>IF(ISNUMBER(SEARCH(Лист2!$B$5,I:I)),1,0)+K2088</f>
        <v>0</v>
      </c>
      <c r="M2088" s="3">
        <f ca="1">IF(AND(N2088&lt;&gt;N2087,ISNUMBER(SEARCH(Лист2!$B$6,N:N)),L2088=2),MAX($M$3:OFFSET(M2088,-1,0))+1,0)</f>
        <v>0</v>
      </c>
      <c r="N2088" s="3" t="s">
        <v>1792</v>
      </c>
    </row>
    <row r="2089" spans="1:14" x14ac:dyDescent="0.25">
      <c r="A2089" s="1" t="s">
        <v>11521</v>
      </c>
      <c r="B2089" s="3" t="s">
        <v>5713</v>
      </c>
      <c r="C2089" s="2">
        <f ca="1">IF(ISNUMBER(SEARCH(Лист2!$B$4,D:D)),MAX($C$3:OFFSET(C2089,-1,0))+1,0)</f>
        <v>0</v>
      </c>
      <c r="E2089" s="9" t="str">
        <f t="shared" ca="1" si="44"/>
        <v/>
      </c>
      <c r="F2089" s="4" t="s">
        <v>7</v>
      </c>
      <c r="G2089" s="2">
        <f>IF(ISNUMBER(SEARCH(Лист2!$B$4,F:F)),1,0)</f>
        <v>0</v>
      </c>
      <c r="H2089" s="3">
        <f ca="1">IF(AND(I2089&lt;&gt;I2088,ISNUMBER(SEARCH(Лист2!$B$5,I:I)),G2089=1),MAX($H$3:OFFSET(H2089,-1,0))+1,0)</f>
        <v>0</v>
      </c>
      <c r="I2089" s="3" t="s">
        <v>240</v>
      </c>
      <c r="K2089" s="2">
        <f>IF(ISNUMBER(SEARCH(Лист2!$B$4,F:F)),1,0)</f>
        <v>0</v>
      </c>
      <c r="L2089" s="14">
        <f>IF(ISNUMBER(SEARCH(Лист2!$B$5,I:I)),1,0)+K2089</f>
        <v>0</v>
      </c>
      <c r="M2089" s="3">
        <f ca="1">IF(AND(N2089&lt;&gt;N2088,ISNUMBER(SEARCH(Лист2!$B$6,N:N)),L2089=2),MAX($M$3:OFFSET(M2089,-1,0))+1,0)</f>
        <v>0</v>
      </c>
      <c r="N2089" s="3" t="s">
        <v>1793</v>
      </c>
    </row>
    <row r="2090" spans="1:14" x14ac:dyDescent="0.25">
      <c r="A2090" s="1" t="s">
        <v>11522</v>
      </c>
      <c r="B2090" s="3" t="s">
        <v>5714</v>
      </c>
      <c r="C2090" s="2">
        <f ca="1">IF(ISNUMBER(SEARCH(Лист2!$B$4,D:D)),MAX($C$3:OFFSET(C2090,-1,0))+1,0)</f>
        <v>0</v>
      </c>
      <c r="E2090" s="9" t="str">
        <f t="shared" ca="1" si="44"/>
        <v/>
      </c>
      <c r="F2090" s="4" t="s">
        <v>7</v>
      </c>
      <c r="G2090" s="2">
        <f>IF(ISNUMBER(SEARCH(Лист2!$B$4,F:F)),1,0)</f>
        <v>0</v>
      </c>
      <c r="H2090" s="3">
        <f ca="1">IF(AND(I2090&lt;&gt;I2089,ISNUMBER(SEARCH(Лист2!$B$5,I:I)),G2090=1),MAX($H$3:OFFSET(H2090,-1,0))+1,0)</f>
        <v>0</v>
      </c>
      <c r="I2090" s="3" t="s">
        <v>240</v>
      </c>
      <c r="K2090" s="2">
        <f>IF(ISNUMBER(SEARCH(Лист2!$B$4,F:F)),1,0)</f>
        <v>0</v>
      </c>
      <c r="L2090" s="14">
        <f>IF(ISNUMBER(SEARCH(Лист2!$B$5,I:I)),1,0)+K2090</f>
        <v>0</v>
      </c>
      <c r="M2090" s="3">
        <f ca="1">IF(AND(N2090&lt;&gt;N2089,ISNUMBER(SEARCH(Лист2!$B$6,N:N)),L2090=2),MAX($M$3:OFFSET(M2090,-1,0))+1,0)</f>
        <v>0</v>
      </c>
      <c r="N2090" s="3" t="s">
        <v>1794</v>
      </c>
    </row>
    <row r="2091" spans="1:14" x14ac:dyDescent="0.25">
      <c r="A2091" s="1" t="s">
        <v>11523</v>
      </c>
      <c r="B2091" s="3" t="s">
        <v>5715</v>
      </c>
      <c r="C2091" s="2">
        <f ca="1">IF(ISNUMBER(SEARCH(Лист2!$B$4,D:D)),MAX($C$3:OFFSET(C2091,-1,0))+1,0)</f>
        <v>0</v>
      </c>
      <c r="E2091" s="9" t="str">
        <f t="shared" ca="1" si="44"/>
        <v/>
      </c>
      <c r="F2091" s="4" t="s">
        <v>7</v>
      </c>
      <c r="G2091" s="2">
        <f>IF(ISNUMBER(SEARCH(Лист2!$B$4,F:F)),1,0)</f>
        <v>0</v>
      </c>
      <c r="H2091" s="3">
        <f ca="1">IF(AND(I2091&lt;&gt;I2090,ISNUMBER(SEARCH(Лист2!$B$5,I:I)),G2091=1),MAX($H$3:OFFSET(H2091,-1,0))+1,0)</f>
        <v>0</v>
      </c>
      <c r="I2091" s="3" t="s">
        <v>240</v>
      </c>
      <c r="K2091" s="2">
        <f>IF(ISNUMBER(SEARCH(Лист2!$B$4,F:F)),1,0)</f>
        <v>0</v>
      </c>
      <c r="L2091" s="14">
        <f>IF(ISNUMBER(SEARCH(Лист2!$B$5,I:I)),1,0)+K2091</f>
        <v>0</v>
      </c>
      <c r="M2091" s="3">
        <f ca="1">IF(AND(N2091&lt;&gt;N2090,ISNUMBER(SEARCH(Лист2!$B$6,N:N)),L2091=2),MAX($M$3:OFFSET(M2091,-1,0))+1,0)</f>
        <v>0</v>
      </c>
      <c r="N2091" s="3" t="s">
        <v>1795</v>
      </c>
    </row>
    <row r="2092" spans="1:14" x14ac:dyDescent="0.25">
      <c r="A2092" s="1" t="s">
        <v>11524</v>
      </c>
      <c r="B2092" s="3" t="s">
        <v>5716</v>
      </c>
      <c r="C2092" s="2">
        <f ca="1">IF(ISNUMBER(SEARCH(Лист2!$B$4,D:D)),MAX($C$3:OFFSET(C2092,-1,0))+1,0)</f>
        <v>0</v>
      </c>
      <c r="E2092" s="9" t="str">
        <f t="shared" ca="1" si="44"/>
        <v/>
      </c>
      <c r="F2092" s="4" t="s">
        <v>7</v>
      </c>
      <c r="G2092" s="2">
        <f>IF(ISNUMBER(SEARCH(Лист2!$B$4,F:F)),1,0)</f>
        <v>0</v>
      </c>
      <c r="H2092" s="3">
        <f ca="1">IF(AND(I2092&lt;&gt;I2091,ISNUMBER(SEARCH(Лист2!$B$5,I:I)),G2092=1),MAX($H$3:OFFSET(H2092,-1,0))+1,0)</f>
        <v>0</v>
      </c>
      <c r="I2092" s="3" t="s">
        <v>216</v>
      </c>
      <c r="K2092" s="2">
        <f>IF(ISNUMBER(SEARCH(Лист2!$B$4,F:F)),1,0)</f>
        <v>0</v>
      </c>
      <c r="L2092" s="14">
        <f>IF(ISNUMBER(SEARCH(Лист2!$B$5,I:I)),1,0)+K2092</f>
        <v>0</v>
      </c>
      <c r="M2092" s="3">
        <f ca="1">IF(AND(N2092&lt;&gt;N2091,ISNUMBER(SEARCH(Лист2!$B$6,N:N)),L2092=2),MAX($M$3:OFFSET(M2092,-1,0))+1,0)</f>
        <v>0</v>
      </c>
      <c r="N2092" s="3" t="s">
        <v>1796</v>
      </c>
    </row>
    <row r="2093" spans="1:14" x14ac:dyDescent="0.25">
      <c r="A2093" s="1" t="s">
        <v>11525</v>
      </c>
      <c r="B2093" s="3" t="s">
        <v>5717</v>
      </c>
      <c r="C2093" s="2">
        <f ca="1">IF(ISNUMBER(SEARCH(Лист2!$B$4,D:D)),MAX($C$3:OFFSET(C2093,-1,0))+1,0)</f>
        <v>0</v>
      </c>
      <c r="E2093" s="9" t="str">
        <f t="shared" ca="1" si="44"/>
        <v/>
      </c>
      <c r="F2093" s="4" t="s">
        <v>7</v>
      </c>
      <c r="G2093" s="2">
        <f>IF(ISNUMBER(SEARCH(Лист2!$B$4,F:F)),1,0)</f>
        <v>0</v>
      </c>
      <c r="H2093" s="3">
        <f ca="1">IF(AND(I2093&lt;&gt;I2092,ISNUMBER(SEARCH(Лист2!$B$5,I:I)),G2093=1),MAX($H$3:OFFSET(H2093,-1,0))+1,0)</f>
        <v>0</v>
      </c>
      <c r="I2093" s="3" t="s">
        <v>216</v>
      </c>
      <c r="K2093" s="2">
        <f>IF(ISNUMBER(SEARCH(Лист2!$B$4,F:F)),1,0)</f>
        <v>0</v>
      </c>
      <c r="L2093" s="14">
        <f>IF(ISNUMBER(SEARCH(Лист2!$B$5,I:I)),1,0)+K2093</f>
        <v>0</v>
      </c>
      <c r="M2093" s="3">
        <f ca="1">IF(AND(N2093&lt;&gt;N2092,ISNUMBER(SEARCH(Лист2!$B$6,N:N)),L2093=2),MAX($M$3:OFFSET(M2093,-1,0))+1,0)</f>
        <v>0</v>
      </c>
      <c r="N2093" s="3" t="s">
        <v>1797</v>
      </c>
    </row>
    <row r="2094" spans="1:14" x14ac:dyDescent="0.25">
      <c r="A2094" s="1" t="s">
        <v>11253</v>
      </c>
      <c r="B2094" s="3" t="s">
        <v>5718</v>
      </c>
      <c r="C2094" s="2">
        <f ca="1">IF(ISNUMBER(SEARCH(Лист2!$B$4,D:D)),MAX($C$3:OFFSET(C2094,-1,0))+1,0)</f>
        <v>0</v>
      </c>
      <c r="E2094" s="9" t="str">
        <f t="shared" ca="1" si="44"/>
        <v/>
      </c>
      <c r="F2094" s="4" t="s">
        <v>7</v>
      </c>
      <c r="G2094" s="2">
        <f>IF(ISNUMBER(SEARCH(Лист2!$B$4,F:F)),1,0)</f>
        <v>0</v>
      </c>
      <c r="H2094" s="3">
        <f ca="1">IF(AND(I2094&lt;&gt;I2093,ISNUMBER(SEARCH(Лист2!$B$5,I:I)),G2094=1),MAX($H$3:OFFSET(H2094,-1,0))+1,0)</f>
        <v>0</v>
      </c>
      <c r="I2094" s="3" t="s">
        <v>216</v>
      </c>
      <c r="K2094" s="2">
        <f>IF(ISNUMBER(SEARCH(Лист2!$B$4,F:F)),1,0)</f>
        <v>0</v>
      </c>
      <c r="L2094" s="14">
        <f>IF(ISNUMBER(SEARCH(Лист2!$B$5,I:I)),1,0)+K2094</f>
        <v>0</v>
      </c>
      <c r="M2094" s="3">
        <f ca="1">IF(AND(N2094&lt;&gt;N2093,ISNUMBER(SEARCH(Лист2!$B$6,N:N)),L2094=2),MAX($M$3:OFFSET(M2094,-1,0))+1,0)</f>
        <v>0</v>
      </c>
      <c r="N2094" s="3" t="s">
        <v>1619</v>
      </c>
    </row>
    <row r="2095" spans="1:14" x14ac:dyDescent="0.25">
      <c r="A2095" s="1" t="s">
        <v>11254</v>
      </c>
      <c r="B2095" s="3" t="s">
        <v>5719</v>
      </c>
      <c r="C2095" s="2">
        <f ca="1">IF(ISNUMBER(SEARCH(Лист2!$B$4,D:D)),MAX($C$3:OFFSET(C2095,-1,0))+1,0)</f>
        <v>0</v>
      </c>
      <c r="E2095" s="9" t="str">
        <f t="shared" ca="1" si="44"/>
        <v/>
      </c>
      <c r="F2095" s="4" t="s">
        <v>7</v>
      </c>
      <c r="G2095" s="2">
        <f>IF(ISNUMBER(SEARCH(Лист2!$B$4,F:F)),1,0)</f>
        <v>0</v>
      </c>
      <c r="H2095" s="3">
        <f ca="1">IF(AND(I2095&lt;&gt;I2094,ISNUMBER(SEARCH(Лист2!$B$5,I:I)),G2095=1),MAX($H$3:OFFSET(H2095,-1,0))+1,0)</f>
        <v>0</v>
      </c>
      <c r="I2095" s="3" t="s">
        <v>216</v>
      </c>
      <c r="K2095" s="2">
        <f>IF(ISNUMBER(SEARCH(Лист2!$B$4,F:F)),1,0)</f>
        <v>0</v>
      </c>
      <c r="L2095" s="14">
        <f>IF(ISNUMBER(SEARCH(Лист2!$B$5,I:I)),1,0)+K2095</f>
        <v>0</v>
      </c>
      <c r="M2095" s="3">
        <f ca="1">IF(AND(N2095&lt;&gt;N2094,ISNUMBER(SEARCH(Лист2!$B$6,N:N)),L2095=2),MAX($M$3:OFFSET(M2095,-1,0))+1,0)</f>
        <v>0</v>
      </c>
      <c r="N2095" s="3" t="s">
        <v>1620</v>
      </c>
    </row>
    <row r="2096" spans="1:14" x14ac:dyDescent="0.25">
      <c r="A2096" s="1" t="s">
        <v>11255</v>
      </c>
      <c r="B2096" s="3" t="s">
        <v>5720</v>
      </c>
      <c r="C2096" s="2">
        <f ca="1">IF(ISNUMBER(SEARCH(Лист2!$B$4,D:D)),MAX($C$3:OFFSET(C2096,-1,0))+1,0)</f>
        <v>0</v>
      </c>
      <c r="E2096" s="9" t="str">
        <f t="shared" ca="1" si="44"/>
        <v/>
      </c>
      <c r="F2096" s="4" t="s">
        <v>7</v>
      </c>
      <c r="G2096" s="2">
        <f>IF(ISNUMBER(SEARCH(Лист2!$B$4,F:F)),1,0)</f>
        <v>0</v>
      </c>
      <c r="H2096" s="3">
        <f ca="1">IF(AND(I2096&lt;&gt;I2095,ISNUMBER(SEARCH(Лист2!$B$5,I:I)),G2096=1),MAX($H$3:OFFSET(H2096,-1,0))+1,0)</f>
        <v>0</v>
      </c>
      <c r="I2096" s="3" t="s">
        <v>216</v>
      </c>
      <c r="K2096" s="2">
        <f>IF(ISNUMBER(SEARCH(Лист2!$B$4,F:F)),1,0)</f>
        <v>0</v>
      </c>
      <c r="L2096" s="14">
        <f>IF(ISNUMBER(SEARCH(Лист2!$B$5,I:I)),1,0)+K2096</f>
        <v>0</v>
      </c>
      <c r="M2096" s="3">
        <f ca="1">IF(AND(N2096&lt;&gt;N2095,ISNUMBER(SEARCH(Лист2!$B$6,N:N)),L2096=2),MAX($M$3:OFFSET(M2096,-1,0))+1,0)</f>
        <v>0</v>
      </c>
      <c r="N2096" s="3" t="s">
        <v>1621</v>
      </c>
    </row>
    <row r="2097" spans="1:14" x14ac:dyDescent="0.25">
      <c r="A2097" s="1" t="s">
        <v>11256</v>
      </c>
      <c r="B2097" s="3" t="s">
        <v>5721</v>
      </c>
      <c r="C2097" s="2">
        <f ca="1">IF(ISNUMBER(SEARCH(Лист2!$B$4,D:D)),MAX($C$3:OFFSET(C2097,-1,0))+1,0)</f>
        <v>0</v>
      </c>
      <c r="E2097" s="9" t="str">
        <f t="shared" ca="1" si="44"/>
        <v/>
      </c>
      <c r="F2097" s="4" t="s">
        <v>7</v>
      </c>
      <c r="G2097" s="2">
        <f>IF(ISNUMBER(SEARCH(Лист2!$B$4,F:F)),1,0)</f>
        <v>0</v>
      </c>
      <c r="H2097" s="3">
        <f ca="1">IF(AND(I2097&lt;&gt;I2096,ISNUMBER(SEARCH(Лист2!$B$5,I:I)),G2097=1),MAX($H$3:OFFSET(H2097,-1,0))+1,0)</f>
        <v>0</v>
      </c>
      <c r="I2097" s="3" t="s">
        <v>216</v>
      </c>
      <c r="K2097" s="2">
        <f>IF(ISNUMBER(SEARCH(Лист2!$B$4,F:F)),1,0)</f>
        <v>0</v>
      </c>
      <c r="L2097" s="14">
        <f>IF(ISNUMBER(SEARCH(Лист2!$B$5,I:I)),1,0)+K2097</f>
        <v>0</v>
      </c>
      <c r="M2097" s="3">
        <f ca="1">IF(AND(N2097&lt;&gt;N2096,ISNUMBER(SEARCH(Лист2!$B$6,N:N)),L2097=2),MAX($M$3:OFFSET(M2097,-1,0))+1,0)</f>
        <v>0</v>
      </c>
      <c r="N2097" s="3" t="s">
        <v>602</v>
      </c>
    </row>
    <row r="2098" spans="1:14" x14ac:dyDescent="0.25">
      <c r="A2098" s="1" t="s">
        <v>11526</v>
      </c>
      <c r="B2098" s="3" t="s">
        <v>5722</v>
      </c>
      <c r="C2098" s="2">
        <f ca="1">IF(ISNUMBER(SEARCH(Лист2!$B$4,D:D)),MAX($C$3:OFFSET(C2098,-1,0))+1,0)</f>
        <v>0</v>
      </c>
      <c r="E2098" s="9" t="str">
        <f t="shared" ca="1" si="44"/>
        <v/>
      </c>
      <c r="F2098" s="4" t="s">
        <v>7</v>
      </c>
      <c r="G2098" s="2">
        <f>IF(ISNUMBER(SEARCH(Лист2!$B$4,F:F)),1,0)</f>
        <v>0</v>
      </c>
      <c r="H2098" s="3">
        <f ca="1">IF(AND(I2098&lt;&gt;I2097,ISNUMBER(SEARCH(Лист2!$B$5,I:I)),G2098=1),MAX($H$3:OFFSET(H2098,-1,0))+1,0)</f>
        <v>0</v>
      </c>
      <c r="I2098" s="3" t="s">
        <v>216</v>
      </c>
      <c r="K2098" s="2">
        <f>IF(ISNUMBER(SEARCH(Лист2!$B$4,F:F)),1,0)</f>
        <v>0</v>
      </c>
      <c r="L2098" s="14">
        <f>IF(ISNUMBER(SEARCH(Лист2!$B$5,I:I)),1,0)+K2098</f>
        <v>0</v>
      </c>
      <c r="M2098" s="3">
        <f ca="1">IF(AND(N2098&lt;&gt;N2097,ISNUMBER(SEARCH(Лист2!$B$6,N:N)),L2098=2),MAX($M$3:OFFSET(M2098,-1,0))+1,0)</f>
        <v>0</v>
      </c>
      <c r="N2098" s="3" t="s">
        <v>1798</v>
      </c>
    </row>
    <row r="2099" spans="1:14" x14ac:dyDescent="0.25">
      <c r="A2099" s="1" t="s">
        <v>11527</v>
      </c>
      <c r="B2099" s="3" t="s">
        <v>5723</v>
      </c>
      <c r="C2099" s="2">
        <f ca="1">IF(ISNUMBER(SEARCH(Лист2!$B$4,D:D)),MAX($C$3:OFFSET(C2099,-1,0))+1,0)</f>
        <v>0</v>
      </c>
      <c r="E2099" s="9" t="str">
        <f t="shared" ca="1" si="44"/>
        <v/>
      </c>
      <c r="F2099" s="4" t="s">
        <v>7</v>
      </c>
      <c r="G2099" s="2">
        <f>IF(ISNUMBER(SEARCH(Лист2!$B$4,F:F)),1,0)</f>
        <v>0</v>
      </c>
      <c r="H2099" s="3">
        <f ca="1">IF(AND(I2099&lt;&gt;I2098,ISNUMBER(SEARCH(Лист2!$B$5,I:I)),G2099=1),MAX($H$3:OFFSET(H2099,-1,0))+1,0)</f>
        <v>0</v>
      </c>
      <c r="I2099" s="3" t="s">
        <v>216</v>
      </c>
      <c r="K2099" s="2">
        <f>IF(ISNUMBER(SEARCH(Лист2!$B$4,F:F)),1,0)</f>
        <v>0</v>
      </c>
      <c r="L2099" s="14">
        <f>IF(ISNUMBER(SEARCH(Лист2!$B$5,I:I)),1,0)+K2099</f>
        <v>0</v>
      </c>
      <c r="M2099" s="3">
        <f ca="1">IF(AND(N2099&lt;&gt;N2098,ISNUMBER(SEARCH(Лист2!$B$6,N:N)),L2099=2),MAX($M$3:OFFSET(M2099,-1,0))+1,0)</f>
        <v>0</v>
      </c>
      <c r="N2099" s="3" t="s">
        <v>1799</v>
      </c>
    </row>
    <row r="2100" spans="1:14" x14ac:dyDescent="0.25">
      <c r="A2100" s="1" t="s">
        <v>11528</v>
      </c>
      <c r="B2100" s="3" t="s">
        <v>5724</v>
      </c>
      <c r="C2100" s="2">
        <f ca="1">IF(ISNUMBER(SEARCH(Лист2!$B$4,D:D)),MAX($C$3:OFFSET(C2100,-1,0))+1,0)</f>
        <v>0</v>
      </c>
      <c r="E2100" s="9" t="str">
        <f t="shared" ca="1" si="44"/>
        <v/>
      </c>
      <c r="F2100" s="4" t="s">
        <v>7</v>
      </c>
      <c r="G2100" s="2">
        <f>IF(ISNUMBER(SEARCH(Лист2!$B$4,F:F)),1,0)</f>
        <v>0</v>
      </c>
      <c r="H2100" s="3">
        <f ca="1">IF(AND(I2100&lt;&gt;I2099,ISNUMBER(SEARCH(Лист2!$B$5,I:I)),G2100=1),MAX($H$3:OFFSET(H2100,-1,0))+1,0)</f>
        <v>0</v>
      </c>
      <c r="I2100" s="3" t="s">
        <v>216</v>
      </c>
      <c r="K2100" s="2">
        <f>IF(ISNUMBER(SEARCH(Лист2!$B$4,F:F)),1,0)</f>
        <v>0</v>
      </c>
      <c r="L2100" s="14">
        <f>IF(ISNUMBER(SEARCH(Лист2!$B$5,I:I)),1,0)+K2100</f>
        <v>0</v>
      </c>
      <c r="M2100" s="3">
        <f ca="1">IF(AND(N2100&lt;&gt;N2099,ISNUMBER(SEARCH(Лист2!$B$6,N:N)),L2100=2),MAX($M$3:OFFSET(M2100,-1,0))+1,0)</f>
        <v>0</v>
      </c>
      <c r="N2100" s="3" t="s">
        <v>1800</v>
      </c>
    </row>
    <row r="2101" spans="1:14" x14ac:dyDescent="0.25">
      <c r="A2101" s="1" t="s">
        <v>11529</v>
      </c>
      <c r="B2101" s="3" t="s">
        <v>5725</v>
      </c>
      <c r="C2101" s="2">
        <f ca="1">IF(ISNUMBER(SEARCH(Лист2!$B$4,D:D)),MAX($C$3:OFFSET(C2101,-1,0))+1,0)</f>
        <v>0</v>
      </c>
      <c r="E2101" s="9" t="str">
        <f t="shared" ca="1" si="44"/>
        <v/>
      </c>
      <c r="F2101" s="4" t="s">
        <v>7</v>
      </c>
      <c r="G2101" s="2">
        <f>IF(ISNUMBER(SEARCH(Лист2!$B$4,F:F)),1,0)</f>
        <v>0</v>
      </c>
      <c r="H2101" s="3">
        <f ca="1">IF(AND(I2101&lt;&gt;I2100,ISNUMBER(SEARCH(Лист2!$B$5,I:I)),G2101=1),MAX($H$3:OFFSET(H2101,-1,0))+1,0)</f>
        <v>0</v>
      </c>
      <c r="I2101" s="3" t="s">
        <v>217</v>
      </c>
      <c r="K2101" s="2">
        <f>IF(ISNUMBER(SEARCH(Лист2!$B$4,F:F)),1,0)</f>
        <v>0</v>
      </c>
      <c r="L2101" s="14">
        <f>IF(ISNUMBER(SEARCH(Лист2!$B$5,I:I)),1,0)+K2101</f>
        <v>0</v>
      </c>
      <c r="M2101" s="3">
        <f ca="1">IF(AND(N2101&lt;&gt;N2100,ISNUMBER(SEARCH(Лист2!$B$6,N:N)),L2101=2),MAX($M$3:OFFSET(M2101,-1,0))+1,0)</f>
        <v>0</v>
      </c>
      <c r="N2101" s="3" t="s">
        <v>1801</v>
      </c>
    </row>
    <row r="2102" spans="1:14" x14ac:dyDescent="0.25">
      <c r="A2102" s="1" t="s">
        <v>11530</v>
      </c>
      <c r="B2102" s="3" t="s">
        <v>5726</v>
      </c>
      <c r="C2102" s="2">
        <f ca="1">IF(ISNUMBER(SEARCH(Лист2!$B$4,D:D)),MAX($C$3:OFFSET(C2102,-1,0))+1,0)</f>
        <v>0</v>
      </c>
      <c r="E2102" s="9" t="str">
        <f t="shared" ca="1" si="44"/>
        <v/>
      </c>
      <c r="F2102" s="4" t="s">
        <v>7</v>
      </c>
      <c r="G2102" s="2">
        <f>IF(ISNUMBER(SEARCH(Лист2!$B$4,F:F)),1,0)</f>
        <v>0</v>
      </c>
      <c r="H2102" s="3">
        <f ca="1">IF(AND(I2102&lt;&gt;I2101,ISNUMBER(SEARCH(Лист2!$B$5,I:I)),G2102=1),MAX($H$3:OFFSET(H2102,-1,0))+1,0)</f>
        <v>0</v>
      </c>
      <c r="I2102" s="3" t="s">
        <v>217</v>
      </c>
      <c r="K2102" s="2">
        <f>IF(ISNUMBER(SEARCH(Лист2!$B$4,F:F)),1,0)</f>
        <v>0</v>
      </c>
      <c r="L2102" s="14">
        <f>IF(ISNUMBER(SEARCH(Лист2!$B$5,I:I)),1,0)+K2102</f>
        <v>0</v>
      </c>
      <c r="M2102" s="3">
        <f ca="1">IF(AND(N2102&lt;&gt;N2101,ISNUMBER(SEARCH(Лист2!$B$6,N:N)),L2102=2),MAX($M$3:OFFSET(M2102,-1,0))+1,0)</f>
        <v>0</v>
      </c>
      <c r="N2102" s="3" t="s">
        <v>1802</v>
      </c>
    </row>
    <row r="2103" spans="1:14" x14ac:dyDescent="0.25">
      <c r="A2103" s="1" t="s">
        <v>11263</v>
      </c>
      <c r="B2103" s="3" t="s">
        <v>5727</v>
      </c>
      <c r="C2103" s="2">
        <f ca="1">IF(ISNUMBER(SEARCH(Лист2!$B$4,D:D)),MAX($C$3:OFFSET(C2103,-1,0))+1,0)</f>
        <v>0</v>
      </c>
      <c r="E2103" s="9" t="str">
        <f t="shared" ca="1" si="44"/>
        <v/>
      </c>
      <c r="F2103" s="4" t="s">
        <v>7</v>
      </c>
      <c r="G2103" s="2">
        <f>IF(ISNUMBER(SEARCH(Лист2!$B$4,F:F)),1,0)</f>
        <v>0</v>
      </c>
      <c r="H2103" s="3">
        <f ca="1">IF(AND(I2103&lt;&gt;I2102,ISNUMBER(SEARCH(Лист2!$B$5,I:I)),G2103=1),MAX($H$3:OFFSET(H2103,-1,0))+1,0)</f>
        <v>0</v>
      </c>
      <c r="I2103" s="3" t="s">
        <v>217</v>
      </c>
      <c r="K2103" s="2">
        <f>IF(ISNUMBER(SEARCH(Лист2!$B$4,F:F)),1,0)</f>
        <v>0</v>
      </c>
      <c r="L2103" s="14">
        <f>IF(ISNUMBER(SEARCH(Лист2!$B$5,I:I)),1,0)+K2103</f>
        <v>0</v>
      </c>
      <c r="M2103" s="3">
        <f ca="1">IF(AND(N2103&lt;&gt;N2102,ISNUMBER(SEARCH(Лист2!$B$6,N:N)),L2103=2),MAX($M$3:OFFSET(M2103,-1,0))+1,0)</f>
        <v>0</v>
      </c>
      <c r="N2103" s="3" t="s">
        <v>1619</v>
      </c>
    </row>
    <row r="2104" spans="1:14" x14ac:dyDescent="0.25">
      <c r="A2104" s="1" t="s">
        <v>11264</v>
      </c>
      <c r="B2104" s="3" t="s">
        <v>5728</v>
      </c>
      <c r="C2104" s="2">
        <f ca="1">IF(ISNUMBER(SEARCH(Лист2!$B$4,D:D)),MAX($C$3:OFFSET(C2104,-1,0))+1,0)</f>
        <v>0</v>
      </c>
      <c r="E2104" s="9" t="str">
        <f t="shared" ca="1" si="44"/>
        <v/>
      </c>
      <c r="F2104" s="4" t="s">
        <v>7</v>
      </c>
      <c r="G2104" s="2">
        <f>IF(ISNUMBER(SEARCH(Лист2!$B$4,F:F)),1,0)</f>
        <v>0</v>
      </c>
      <c r="H2104" s="3">
        <f ca="1">IF(AND(I2104&lt;&gt;I2103,ISNUMBER(SEARCH(Лист2!$B$5,I:I)),G2104=1),MAX($H$3:OFFSET(H2104,-1,0))+1,0)</f>
        <v>0</v>
      </c>
      <c r="I2104" s="3" t="s">
        <v>217</v>
      </c>
      <c r="K2104" s="2">
        <f>IF(ISNUMBER(SEARCH(Лист2!$B$4,F:F)),1,0)</f>
        <v>0</v>
      </c>
      <c r="L2104" s="14">
        <f>IF(ISNUMBER(SEARCH(Лист2!$B$5,I:I)),1,0)+K2104</f>
        <v>0</v>
      </c>
      <c r="M2104" s="3">
        <f ca="1">IF(AND(N2104&lt;&gt;N2103,ISNUMBER(SEARCH(Лист2!$B$6,N:N)),L2104=2),MAX($M$3:OFFSET(M2104,-1,0))+1,0)</f>
        <v>0</v>
      </c>
      <c r="N2104" s="3" t="s">
        <v>1620</v>
      </c>
    </row>
    <row r="2105" spans="1:14" x14ac:dyDescent="0.25">
      <c r="A2105" s="1" t="s">
        <v>11265</v>
      </c>
      <c r="B2105" s="3" t="s">
        <v>5729</v>
      </c>
      <c r="C2105" s="2">
        <f ca="1">IF(ISNUMBER(SEARCH(Лист2!$B$4,D:D)),MAX($C$3:OFFSET(C2105,-1,0))+1,0)</f>
        <v>0</v>
      </c>
      <c r="E2105" s="9" t="str">
        <f t="shared" ca="1" si="44"/>
        <v/>
      </c>
      <c r="F2105" s="4" t="s">
        <v>7</v>
      </c>
      <c r="G2105" s="2">
        <f>IF(ISNUMBER(SEARCH(Лист2!$B$4,F:F)),1,0)</f>
        <v>0</v>
      </c>
      <c r="H2105" s="3">
        <f ca="1">IF(AND(I2105&lt;&gt;I2104,ISNUMBER(SEARCH(Лист2!$B$5,I:I)),G2105=1),MAX($H$3:OFFSET(H2105,-1,0))+1,0)</f>
        <v>0</v>
      </c>
      <c r="I2105" s="3" t="s">
        <v>217</v>
      </c>
      <c r="K2105" s="2">
        <f>IF(ISNUMBER(SEARCH(Лист2!$B$4,F:F)),1,0)</f>
        <v>0</v>
      </c>
      <c r="L2105" s="14">
        <f>IF(ISNUMBER(SEARCH(Лист2!$B$5,I:I)),1,0)+K2105</f>
        <v>0</v>
      </c>
      <c r="M2105" s="3">
        <f ca="1">IF(AND(N2105&lt;&gt;N2104,ISNUMBER(SEARCH(Лист2!$B$6,N:N)),L2105=2),MAX($M$3:OFFSET(M2105,-1,0))+1,0)</f>
        <v>0</v>
      </c>
      <c r="N2105" s="3" t="s">
        <v>1634</v>
      </c>
    </row>
    <row r="2106" spans="1:14" x14ac:dyDescent="0.25">
      <c r="A2106" s="1" t="s">
        <v>11266</v>
      </c>
      <c r="B2106" s="3" t="s">
        <v>5730</v>
      </c>
      <c r="C2106" s="2">
        <f ca="1">IF(ISNUMBER(SEARCH(Лист2!$B$4,D:D)),MAX($C$3:OFFSET(C2106,-1,0))+1,0)</f>
        <v>0</v>
      </c>
      <c r="E2106" s="9" t="str">
        <f t="shared" ca="1" si="44"/>
        <v/>
      </c>
      <c r="F2106" s="4" t="s">
        <v>7</v>
      </c>
      <c r="G2106" s="2">
        <f>IF(ISNUMBER(SEARCH(Лист2!$B$4,F:F)),1,0)</f>
        <v>0</v>
      </c>
      <c r="H2106" s="3">
        <f ca="1">IF(AND(I2106&lt;&gt;I2105,ISNUMBER(SEARCH(Лист2!$B$5,I:I)),G2106=1),MAX($H$3:OFFSET(H2106,-1,0))+1,0)</f>
        <v>0</v>
      </c>
      <c r="I2106" s="3" t="s">
        <v>217</v>
      </c>
      <c r="K2106" s="2">
        <f>IF(ISNUMBER(SEARCH(Лист2!$B$4,F:F)),1,0)</f>
        <v>0</v>
      </c>
      <c r="L2106" s="14">
        <f>IF(ISNUMBER(SEARCH(Лист2!$B$5,I:I)),1,0)+K2106</f>
        <v>0</v>
      </c>
      <c r="M2106" s="3">
        <f ca="1">IF(AND(N2106&lt;&gt;N2105,ISNUMBER(SEARCH(Лист2!$B$6,N:N)),L2106=2),MAX($M$3:OFFSET(M2106,-1,0))+1,0)</f>
        <v>0</v>
      </c>
      <c r="N2106" s="3" t="s">
        <v>602</v>
      </c>
    </row>
    <row r="2107" spans="1:14" x14ac:dyDescent="0.25">
      <c r="A2107" s="1" t="s">
        <v>11531</v>
      </c>
      <c r="B2107" s="3" t="s">
        <v>5731</v>
      </c>
      <c r="C2107" s="2">
        <f ca="1">IF(ISNUMBER(SEARCH(Лист2!$B$4,D:D)),MAX($C$3:OFFSET(C2107,-1,0))+1,0)</f>
        <v>0</v>
      </c>
      <c r="E2107" s="9" t="str">
        <f t="shared" ca="1" si="44"/>
        <v/>
      </c>
      <c r="F2107" s="4" t="s">
        <v>7</v>
      </c>
      <c r="G2107" s="2">
        <f>IF(ISNUMBER(SEARCH(Лист2!$B$4,F:F)),1,0)</f>
        <v>0</v>
      </c>
      <c r="H2107" s="3">
        <f ca="1">IF(AND(I2107&lt;&gt;I2106,ISNUMBER(SEARCH(Лист2!$B$5,I:I)),G2107=1),MAX($H$3:OFFSET(H2107,-1,0))+1,0)</f>
        <v>0</v>
      </c>
      <c r="I2107" s="3" t="s">
        <v>217</v>
      </c>
      <c r="K2107" s="2">
        <f>IF(ISNUMBER(SEARCH(Лист2!$B$4,F:F)),1,0)</f>
        <v>0</v>
      </c>
      <c r="L2107" s="14">
        <f>IF(ISNUMBER(SEARCH(Лист2!$B$5,I:I)),1,0)+K2107</f>
        <v>0</v>
      </c>
      <c r="M2107" s="3">
        <f ca="1">IF(AND(N2107&lt;&gt;N2106,ISNUMBER(SEARCH(Лист2!$B$6,N:N)),L2107=2),MAX($M$3:OFFSET(M2107,-1,0))+1,0)</f>
        <v>0</v>
      </c>
      <c r="N2107" s="3" t="s">
        <v>1803</v>
      </c>
    </row>
    <row r="2108" spans="1:14" x14ac:dyDescent="0.25">
      <c r="A2108" s="1" t="s">
        <v>11532</v>
      </c>
      <c r="B2108" s="3" t="s">
        <v>5732</v>
      </c>
      <c r="C2108" s="2">
        <f ca="1">IF(ISNUMBER(SEARCH(Лист2!$B$4,D:D)),MAX($C$3:OFFSET(C2108,-1,0))+1,0)</f>
        <v>0</v>
      </c>
      <c r="E2108" s="9" t="str">
        <f t="shared" ca="1" si="44"/>
        <v/>
      </c>
      <c r="F2108" s="4" t="s">
        <v>7</v>
      </c>
      <c r="G2108" s="2">
        <f>IF(ISNUMBER(SEARCH(Лист2!$B$4,F:F)),1,0)</f>
        <v>0</v>
      </c>
      <c r="H2108" s="3">
        <f ca="1">IF(AND(I2108&lt;&gt;I2107,ISNUMBER(SEARCH(Лист2!$B$5,I:I)),G2108=1),MAX($H$3:OFFSET(H2108,-1,0))+1,0)</f>
        <v>0</v>
      </c>
      <c r="I2108" s="3" t="s">
        <v>217</v>
      </c>
      <c r="K2108" s="2">
        <f>IF(ISNUMBER(SEARCH(Лист2!$B$4,F:F)),1,0)</f>
        <v>0</v>
      </c>
      <c r="L2108" s="14">
        <f>IF(ISNUMBER(SEARCH(Лист2!$B$5,I:I)),1,0)+K2108</f>
        <v>0</v>
      </c>
      <c r="M2108" s="3">
        <f ca="1">IF(AND(N2108&lt;&gt;N2107,ISNUMBER(SEARCH(Лист2!$B$6,N:N)),L2108=2),MAX($M$3:OFFSET(M2108,-1,0))+1,0)</f>
        <v>0</v>
      </c>
      <c r="N2108" s="3" t="s">
        <v>1804</v>
      </c>
    </row>
    <row r="2109" spans="1:14" x14ac:dyDescent="0.25">
      <c r="A2109" s="1" t="s">
        <v>11533</v>
      </c>
      <c r="B2109" s="3" t="s">
        <v>5733</v>
      </c>
      <c r="C2109" s="2">
        <f ca="1">IF(ISNUMBER(SEARCH(Лист2!$B$4,D:D)),MAX($C$3:OFFSET(C2109,-1,0))+1,0)</f>
        <v>0</v>
      </c>
      <c r="E2109" s="9" t="str">
        <f t="shared" ca="1" si="44"/>
        <v/>
      </c>
      <c r="F2109" s="4" t="s">
        <v>7</v>
      </c>
      <c r="G2109" s="2">
        <f>IF(ISNUMBER(SEARCH(Лист2!$B$4,F:F)),1,0)</f>
        <v>0</v>
      </c>
      <c r="H2109" s="3">
        <f ca="1">IF(AND(I2109&lt;&gt;I2108,ISNUMBER(SEARCH(Лист2!$B$5,I:I)),G2109=1),MAX($H$3:OFFSET(H2109,-1,0))+1,0)</f>
        <v>0</v>
      </c>
      <c r="I2109" s="3" t="s">
        <v>217</v>
      </c>
      <c r="K2109" s="2">
        <f>IF(ISNUMBER(SEARCH(Лист2!$B$4,F:F)),1,0)</f>
        <v>0</v>
      </c>
      <c r="L2109" s="14">
        <f>IF(ISNUMBER(SEARCH(Лист2!$B$5,I:I)),1,0)+K2109</f>
        <v>0</v>
      </c>
      <c r="M2109" s="3">
        <f ca="1">IF(AND(N2109&lt;&gt;N2108,ISNUMBER(SEARCH(Лист2!$B$6,N:N)),L2109=2),MAX($M$3:OFFSET(M2109,-1,0))+1,0)</f>
        <v>0</v>
      </c>
      <c r="N2109" s="3" t="s">
        <v>1805</v>
      </c>
    </row>
    <row r="2110" spans="1:14" x14ac:dyDescent="0.25">
      <c r="A2110" s="1" t="s">
        <v>11534</v>
      </c>
      <c r="B2110" s="3" t="s">
        <v>5734</v>
      </c>
      <c r="C2110" s="2">
        <f ca="1">IF(ISNUMBER(SEARCH(Лист2!$B$4,D:D)),MAX($C$3:OFFSET(C2110,-1,0))+1,0)</f>
        <v>0</v>
      </c>
      <c r="E2110" s="9" t="str">
        <f t="shared" ca="1" si="44"/>
        <v/>
      </c>
      <c r="F2110" s="4" t="s">
        <v>7</v>
      </c>
      <c r="G2110" s="2">
        <f>IF(ISNUMBER(SEARCH(Лист2!$B$4,F:F)),1,0)</f>
        <v>0</v>
      </c>
      <c r="H2110" s="3">
        <f ca="1">IF(AND(I2110&lt;&gt;I2109,ISNUMBER(SEARCH(Лист2!$B$5,I:I)),G2110=1),MAX($H$3:OFFSET(H2110,-1,0))+1,0)</f>
        <v>0</v>
      </c>
      <c r="I2110" s="3" t="s">
        <v>218</v>
      </c>
      <c r="K2110" s="2">
        <f>IF(ISNUMBER(SEARCH(Лист2!$B$4,F:F)),1,0)</f>
        <v>0</v>
      </c>
      <c r="L2110" s="14">
        <f>IF(ISNUMBER(SEARCH(Лист2!$B$5,I:I)),1,0)+K2110</f>
        <v>0</v>
      </c>
      <c r="M2110" s="3">
        <f ca="1">IF(AND(N2110&lt;&gt;N2109,ISNUMBER(SEARCH(Лист2!$B$6,N:N)),L2110=2),MAX($M$3:OFFSET(M2110,-1,0))+1,0)</f>
        <v>0</v>
      </c>
      <c r="N2110" s="3" t="s">
        <v>1806</v>
      </c>
    </row>
    <row r="2111" spans="1:14" x14ac:dyDescent="0.25">
      <c r="A2111" s="1" t="s">
        <v>11535</v>
      </c>
      <c r="B2111" s="3" t="s">
        <v>5735</v>
      </c>
      <c r="C2111" s="2">
        <f ca="1">IF(ISNUMBER(SEARCH(Лист2!$B$4,D:D)),MAX($C$3:OFFSET(C2111,-1,0))+1,0)</f>
        <v>0</v>
      </c>
      <c r="E2111" s="9" t="str">
        <f t="shared" ca="1" si="44"/>
        <v/>
      </c>
      <c r="F2111" s="4" t="s">
        <v>7</v>
      </c>
      <c r="G2111" s="2">
        <f>IF(ISNUMBER(SEARCH(Лист2!$B$4,F:F)),1,0)</f>
        <v>0</v>
      </c>
      <c r="H2111" s="3">
        <f ca="1">IF(AND(I2111&lt;&gt;I2110,ISNUMBER(SEARCH(Лист2!$B$5,I:I)),G2111=1),MAX($H$3:OFFSET(H2111,-1,0))+1,0)</f>
        <v>0</v>
      </c>
      <c r="I2111" s="3" t="s">
        <v>218</v>
      </c>
      <c r="K2111" s="2">
        <f>IF(ISNUMBER(SEARCH(Лист2!$B$4,F:F)),1,0)</f>
        <v>0</v>
      </c>
      <c r="L2111" s="14">
        <f>IF(ISNUMBER(SEARCH(Лист2!$B$5,I:I)),1,0)+K2111</f>
        <v>0</v>
      </c>
      <c r="M2111" s="3">
        <f ca="1">IF(AND(N2111&lt;&gt;N2110,ISNUMBER(SEARCH(Лист2!$B$6,N:N)),L2111=2),MAX($M$3:OFFSET(M2111,-1,0))+1,0)</f>
        <v>0</v>
      </c>
      <c r="N2111" s="3" t="s">
        <v>1807</v>
      </c>
    </row>
    <row r="2112" spans="1:14" x14ac:dyDescent="0.25">
      <c r="A2112" s="1" t="s">
        <v>11272</v>
      </c>
      <c r="B2112" s="3" t="s">
        <v>5736</v>
      </c>
      <c r="C2112" s="2">
        <f ca="1">IF(ISNUMBER(SEARCH(Лист2!$B$4,D:D)),MAX($C$3:OFFSET(C2112,-1,0))+1,0)</f>
        <v>0</v>
      </c>
      <c r="E2112" s="9" t="str">
        <f t="shared" ca="1" si="44"/>
        <v/>
      </c>
      <c r="F2112" s="4" t="s">
        <v>7</v>
      </c>
      <c r="G2112" s="2">
        <f>IF(ISNUMBER(SEARCH(Лист2!$B$4,F:F)),1,0)</f>
        <v>0</v>
      </c>
      <c r="H2112" s="3">
        <f ca="1">IF(AND(I2112&lt;&gt;I2111,ISNUMBER(SEARCH(Лист2!$B$5,I:I)),G2112=1),MAX($H$3:OFFSET(H2112,-1,0))+1,0)</f>
        <v>0</v>
      </c>
      <c r="I2112" s="3" t="s">
        <v>218</v>
      </c>
      <c r="K2112" s="2">
        <f>IF(ISNUMBER(SEARCH(Лист2!$B$4,F:F)),1,0)</f>
        <v>0</v>
      </c>
      <c r="L2112" s="14">
        <f>IF(ISNUMBER(SEARCH(Лист2!$B$5,I:I)),1,0)+K2112</f>
        <v>0</v>
      </c>
      <c r="M2112" s="3">
        <f ca="1">IF(AND(N2112&lt;&gt;N2111,ISNUMBER(SEARCH(Лист2!$B$6,N:N)),L2112=2),MAX($M$3:OFFSET(M2112,-1,0))+1,0)</f>
        <v>0</v>
      </c>
      <c r="N2112" s="3" t="s">
        <v>1619</v>
      </c>
    </row>
    <row r="2113" spans="1:14" x14ac:dyDescent="0.25">
      <c r="A2113" s="1" t="s">
        <v>11273</v>
      </c>
      <c r="B2113" s="3" t="s">
        <v>5737</v>
      </c>
      <c r="C2113" s="2">
        <f ca="1">IF(ISNUMBER(SEARCH(Лист2!$B$4,D:D)),MAX($C$3:OFFSET(C2113,-1,0))+1,0)</f>
        <v>0</v>
      </c>
      <c r="E2113" s="9" t="str">
        <f t="shared" ca="1" si="44"/>
        <v/>
      </c>
      <c r="F2113" s="4" t="s">
        <v>7</v>
      </c>
      <c r="G2113" s="2">
        <f>IF(ISNUMBER(SEARCH(Лист2!$B$4,F:F)),1,0)</f>
        <v>0</v>
      </c>
      <c r="H2113" s="3">
        <f ca="1">IF(AND(I2113&lt;&gt;I2112,ISNUMBER(SEARCH(Лист2!$B$5,I:I)),G2113=1),MAX($H$3:OFFSET(H2113,-1,0))+1,0)</f>
        <v>0</v>
      </c>
      <c r="I2113" s="3" t="s">
        <v>218</v>
      </c>
      <c r="K2113" s="2">
        <f>IF(ISNUMBER(SEARCH(Лист2!$B$4,F:F)),1,0)</f>
        <v>0</v>
      </c>
      <c r="L2113" s="14">
        <f>IF(ISNUMBER(SEARCH(Лист2!$B$5,I:I)),1,0)+K2113</f>
        <v>0</v>
      </c>
      <c r="M2113" s="3">
        <f ca="1">IF(AND(N2113&lt;&gt;N2112,ISNUMBER(SEARCH(Лист2!$B$6,N:N)),L2113=2),MAX($M$3:OFFSET(M2113,-1,0))+1,0)</f>
        <v>0</v>
      </c>
      <c r="N2113" s="3" t="s">
        <v>1620</v>
      </c>
    </row>
    <row r="2114" spans="1:14" x14ac:dyDescent="0.25">
      <c r="A2114" s="1" t="s">
        <v>11274</v>
      </c>
      <c r="B2114" s="3" t="s">
        <v>5738</v>
      </c>
      <c r="C2114" s="2">
        <f ca="1">IF(ISNUMBER(SEARCH(Лист2!$B$4,D:D)),MAX($C$3:OFFSET(C2114,-1,0))+1,0)</f>
        <v>0</v>
      </c>
      <c r="E2114" s="9" t="str">
        <f t="shared" ca="1" si="44"/>
        <v/>
      </c>
      <c r="F2114" s="4" t="s">
        <v>7</v>
      </c>
      <c r="G2114" s="2">
        <f>IF(ISNUMBER(SEARCH(Лист2!$B$4,F:F)),1,0)</f>
        <v>0</v>
      </c>
      <c r="H2114" s="3">
        <f ca="1">IF(AND(I2114&lt;&gt;I2113,ISNUMBER(SEARCH(Лист2!$B$5,I:I)),G2114=1),MAX($H$3:OFFSET(H2114,-1,0))+1,0)</f>
        <v>0</v>
      </c>
      <c r="I2114" s="3" t="s">
        <v>218</v>
      </c>
      <c r="K2114" s="2">
        <f>IF(ISNUMBER(SEARCH(Лист2!$B$4,F:F)),1,0)</f>
        <v>0</v>
      </c>
      <c r="L2114" s="14">
        <f>IF(ISNUMBER(SEARCH(Лист2!$B$5,I:I)),1,0)+K2114</f>
        <v>0</v>
      </c>
      <c r="M2114" s="3">
        <f ca="1">IF(AND(N2114&lt;&gt;N2113,ISNUMBER(SEARCH(Лист2!$B$6,N:N)),L2114=2),MAX($M$3:OFFSET(M2114,-1,0))+1,0)</f>
        <v>0</v>
      </c>
      <c r="N2114" s="3" t="s">
        <v>1621</v>
      </c>
    </row>
    <row r="2115" spans="1:14" x14ac:dyDescent="0.25">
      <c r="A2115" s="1" t="s">
        <v>11275</v>
      </c>
      <c r="B2115" s="3" t="s">
        <v>5739</v>
      </c>
      <c r="C2115" s="2">
        <f ca="1">IF(ISNUMBER(SEARCH(Лист2!$B$4,D:D)),MAX($C$3:OFFSET(C2115,-1,0))+1,0)</f>
        <v>0</v>
      </c>
      <c r="E2115" s="9" t="str">
        <f t="shared" ca="1" si="44"/>
        <v/>
      </c>
      <c r="F2115" s="4" t="s">
        <v>7</v>
      </c>
      <c r="G2115" s="2">
        <f>IF(ISNUMBER(SEARCH(Лист2!$B$4,F:F)),1,0)</f>
        <v>0</v>
      </c>
      <c r="H2115" s="3">
        <f ca="1">IF(AND(I2115&lt;&gt;I2114,ISNUMBER(SEARCH(Лист2!$B$5,I:I)),G2115=1),MAX($H$3:OFFSET(H2115,-1,0))+1,0)</f>
        <v>0</v>
      </c>
      <c r="I2115" s="3" t="s">
        <v>218</v>
      </c>
      <c r="K2115" s="2">
        <f>IF(ISNUMBER(SEARCH(Лист2!$B$4,F:F)),1,0)</f>
        <v>0</v>
      </c>
      <c r="L2115" s="14">
        <f>IF(ISNUMBER(SEARCH(Лист2!$B$5,I:I)),1,0)+K2115</f>
        <v>0</v>
      </c>
      <c r="M2115" s="3">
        <f ca="1">IF(AND(N2115&lt;&gt;N2114,ISNUMBER(SEARCH(Лист2!$B$6,N:N)),L2115=2),MAX($M$3:OFFSET(M2115,-1,0))+1,0)</f>
        <v>0</v>
      </c>
      <c r="N2115" s="3" t="s">
        <v>602</v>
      </c>
    </row>
    <row r="2116" spans="1:14" x14ac:dyDescent="0.25">
      <c r="A2116" s="1" t="s">
        <v>11536</v>
      </c>
      <c r="B2116" s="3" t="s">
        <v>5740</v>
      </c>
      <c r="C2116" s="2">
        <f ca="1">IF(ISNUMBER(SEARCH(Лист2!$B$4,D:D)),MAX($C$3:OFFSET(C2116,-1,0))+1,0)</f>
        <v>0</v>
      </c>
      <c r="E2116" s="9" t="str">
        <f t="shared" ca="1" si="44"/>
        <v/>
      </c>
      <c r="F2116" s="4" t="s">
        <v>7</v>
      </c>
      <c r="G2116" s="2">
        <f>IF(ISNUMBER(SEARCH(Лист2!$B$4,F:F)),1,0)</f>
        <v>0</v>
      </c>
      <c r="H2116" s="3">
        <f ca="1">IF(AND(I2116&lt;&gt;I2115,ISNUMBER(SEARCH(Лист2!$B$5,I:I)),G2116=1),MAX($H$3:OFFSET(H2116,-1,0))+1,0)</f>
        <v>0</v>
      </c>
      <c r="I2116" s="3" t="s">
        <v>218</v>
      </c>
      <c r="K2116" s="2">
        <f>IF(ISNUMBER(SEARCH(Лист2!$B$4,F:F)),1,0)</f>
        <v>0</v>
      </c>
      <c r="L2116" s="14">
        <f>IF(ISNUMBER(SEARCH(Лист2!$B$5,I:I)),1,0)+K2116</f>
        <v>0</v>
      </c>
      <c r="M2116" s="3">
        <f ca="1">IF(AND(N2116&lt;&gt;N2115,ISNUMBER(SEARCH(Лист2!$B$6,N:N)),L2116=2),MAX($M$3:OFFSET(M2116,-1,0))+1,0)</f>
        <v>0</v>
      </c>
      <c r="N2116" s="3" t="s">
        <v>1808</v>
      </c>
    </row>
    <row r="2117" spans="1:14" x14ac:dyDescent="0.25">
      <c r="A2117" s="1" t="s">
        <v>11537</v>
      </c>
      <c r="B2117" s="3" t="s">
        <v>5741</v>
      </c>
      <c r="C2117" s="2">
        <f ca="1">IF(ISNUMBER(SEARCH(Лист2!$B$4,D:D)),MAX($C$3:OFFSET(C2117,-1,0))+1,0)</f>
        <v>0</v>
      </c>
      <c r="E2117" s="9" t="str">
        <f t="shared" ref="E2117:E2180" ca="1" si="45">IFERROR(INDEX(D:D,MATCH(ROW(E2117)-ROW($E$3),C:C,0)),"")</f>
        <v/>
      </c>
      <c r="F2117" s="4" t="s">
        <v>7</v>
      </c>
      <c r="G2117" s="2">
        <f>IF(ISNUMBER(SEARCH(Лист2!$B$4,F:F)),1,0)</f>
        <v>0</v>
      </c>
      <c r="H2117" s="3">
        <f ca="1">IF(AND(I2117&lt;&gt;I2116,ISNUMBER(SEARCH(Лист2!$B$5,I:I)),G2117=1),MAX($H$3:OFFSET(H2117,-1,0))+1,0)</f>
        <v>0</v>
      </c>
      <c r="I2117" s="3" t="s">
        <v>218</v>
      </c>
      <c r="K2117" s="2">
        <f>IF(ISNUMBER(SEARCH(Лист2!$B$4,F:F)),1,0)</f>
        <v>0</v>
      </c>
      <c r="L2117" s="14">
        <f>IF(ISNUMBER(SEARCH(Лист2!$B$5,I:I)),1,0)+K2117</f>
        <v>0</v>
      </c>
      <c r="M2117" s="3">
        <f ca="1">IF(AND(N2117&lt;&gt;N2116,ISNUMBER(SEARCH(Лист2!$B$6,N:N)),L2117=2),MAX($M$3:OFFSET(M2117,-1,0))+1,0)</f>
        <v>0</v>
      </c>
      <c r="N2117" s="3" t="s">
        <v>1809</v>
      </c>
    </row>
    <row r="2118" spans="1:14" x14ac:dyDescent="0.25">
      <c r="A2118" s="1" t="s">
        <v>11538</v>
      </c>
      <c r="B2118" s="3" t="s">
        <v>5742</v>
      </c>
      <c r="C2118" s="2">
        <f ca="1">IF(ISNUMBER(SEARCH(Лист2!$B$4,D:D)),MAX($C$3:OFFSET(C2118,-1,0))+1,0)</f>
        <v>0</v>
      </c>
      <c r="E2118" s="9" t="str">
        <f t="shared" ca="1" si="45"/>
        <v/>
      </c>
      <c r="F2118" s="4" t="s">
        <v>7</v>
      </c>
      <c r="G2118" s="2">
        <f>IF(ISNUMBER(SEARCH(Лист2!$B$4,F:F)),1,0)</f>
        <v>0</v>
      </c>
      <c r="H2118" s="3">
        <f ca="1">IF(AND(I2118&lt;&gt;I2117,ISNUMBER(SEARCH(Лист2!$B$5,I:I)),G2118=1),MAX($H$3:OFFSET(H2118,-1,0))+1,0)</f>
        <v>0</v>
      </c>
      <c r="I2118" s="3" t="s">
        <v>218</v>
      </c>
      <c r="K2118" s="2">
        <f>IF(ISNUMBER(SEARCH(Лист2!$B$4,F:F)),1,0)</f>
        <v>0</v>
      </c>
      <c r="L2118" s="14">
        <f>IF(ISNUMBER(SEARCH(Лист2!$B$5,I:I)),1,0)+K2118</f>
        <v>0</v>
      </c>
      <c r="M2118" s="3">
        <f ca="1">IF(AND(N2118&lt;&gt;N2117,ISNUMBER(SEARCH(Лист2!$B$6,N:N)),L2118=2),MAX($M$3:OFFSET(M2118,-1,0))+1,0)</f>
        <v>0</v>
      </c>
      <c r="N2118" s="3" t="s">
        <v>1810</v>
      </c>
    </row>
    <row r="2119" spans="1:14" x14ac:dyDescent="0.25">
      <c r="A2119" s="1" t="s">
        <v>11539</v>
      </c>
      <c r="B2119" s="3" t="s">
        <v>5743</v>
      </c>
      <c r="C2119" s="2">
        <f ca="1">IF(ISNUMBER(SEARCH(Лист2!$B$4,D:D)),MAX($C$3:OFFSET(C2119,-1,0))+1,0)</f>
        <v>0</v>
      </c>
      <c r="E2119" s="9" t="str">
        <f t="shared" ca="1" si="45"/>
        <v/>
      </c>
      <c r="F2119" s="4" t="s">
        <v>7</v>
      </c>
      <c r="G2119" s="2">
        <f>IF(ISNUMBER(SEARCH(Лист2!$B$4,F:F)),1,0)</f>
        <v>0</v>
      </c>
      <c r="H2119" s="3">
        <f ca="1">IF(AND(I2119&lt;&gt;I2118,ISNUMBER(SEARCH(Лист2!$B$5,I:I)),G2119=1),MAX($H$3:OFFSET(H2119,-1,0))+1,0)</f>
        <v>0</v>
      </c>
      <c r="I2119" s="3" t="s">
        <v>219</v>
      </c>
      <c r="K2119" s="2">
        <f>IF(ISNUMBER(SEARCH(Лист2!$B$4,F:F)),1,0)</f>
        <v>0</v>
      </c>
      <c r="L2119" s="14">
        <f>IF(ISNUMBER(SEARCH(Лист2!$B$5,I:I)),1,0)+K2119</f>
        <v>0</v>
      </c>
      <c r="M2119" s="3">
        <f ca="1">IF(AND(N2119&lt;&gt;N2118,ISNUMBER(SEARCH(Лист2!$B$6,N:N)),L2119=2),MAX($M$3:OFFSET(M2119,-1,0))+1,0)</f>
        <v>0</v>
      </c>
      <c r="N2119" s="3" t="s">
        <v>1811</v>
      </c>
    </row>
    <row r="2120" spans="1:14" x14ac:dyDescent="0.25">
      <c r="A2120" s="1" t="s">
        <v>11540</v>
      </c>
      <c r="B2120" s="3" t="s">
        <v>5744</v>
      </c>
      <c r="C2120" s="2">
        <f ca="1">IF(ISNUMBER(SEARCH(Лист2!$B$4,D:D)),MAX($C$3:OFFSET(C2120,-1,0))+1,0)</f>
        <v>0</v>
      </c>
      <c r="E2120" s="9" t="str">
        <f t="shared" ca="1" si="45"/>
        <v/>
      </c>
      <c r="F2120" s="4" t="s">
        <v>7</v>
      </c>
      <c r="G2120" s="2">
        <f>IF(ISNUMBER(SEARCH(Лист2!$B$4,F:F)),1,0)</f>
        <v>0</v>
      </c>
      <c r="H2120" s="3">
        <f ca="1">IF(AND(I2120&lt;&gt;I2119,ISNUMBER(SEARCH(Лист2!$B$5,I:I)),G2120=1),MAX($H$3:OFFSET(H2120,-1,0))+1,0)</f>
        <v>0</v>
      </c>
      <c r="I2120" s="3" t="s">
        <v>219</v>
      </c>
      <c r="K2120" s="2">
        <f>IF(ISNUMBER(SEARCH(Лист2!$B$4,F:F)),1,0)</f>
        <v>0</v>
      </c>
      <c r="L2120" s="14">
        <f>IF(ISNUMBER(SEARCH(Лист2!$B$5,I:I)),1,0)+K2120</f>
        <v>0</v>
      </c>
      <c r="M2120" s="3">
        <f ca="1">IF(AND(N2120&lt;&gt;N2119,ISNUMBER(SEARCH(Лист2!$B$6,N:N)),L2120=2),MAX($M$3:OFFSET(M2120,-1,0))+1,0)</f>
        <v>0</v>
      </c>
      <c r="N2120" s="3" t="s">
        <v>1812</v>
      </c>
    </row>
    <row r="2121" spans="1:14" x14ac:dyDescent="0.25">
      <c r="A2121" s="1" t="s">
        <v>11282</v>
      </c>
      <c r="B2121" s="3" t="s">
        <v>5745</v>
      </c>
      <c r="C2121" s="2">
        <f ca="1">IF(ISNUMBER(SEARCH(Лист2!$B$4,D:D)),MAX($C$3:OFFSET(C2121,-1,0))+1,0)</f>
        <v>0</v>
      </c>
      <c r="E2121" s="9" t="str">
        <f t="shared" ca="1" si="45"/>
        <v/>
      </c>
      <c r="F2121" s="4" t="s">
        <v>7</v>
      </c>
      <c r="G2121" s="2">
        <f>IF(ISNUMBER(SEARCH(Лист2!$B$4,F:F)),1,0)</f>
        <v>0</v>
      </c>
      <c r="H2121" s="3">
        <f ca="1">IF(AND(I2121&lt;&gt;I2120,ISNUMBER(SEARCH(Лист2!$B$5,I:I)),G2121=1),MAX($H$3:OFFSET(H2121,-1,0))+1,0)</f>
        <v>0</v>
      </c>
      <c r="I2121" s="3" t="s">
        <v>219</v>
      </c>
      <c r="K2121" s="2">
        <f>IF(ISNUMBER(SEARCH(Лист2!$B$4,F:F)),1,0)</f>
        <v>0</v>
      </c>
      <c r="L2121" s="14">
        <f>IF(ISNUMBER(SEARCH(Лист2!$B$5,I:I)),1,0)+K2121</f>
        <v>0</v>
      </c>
      <c r="M2121" s="3">
        <f ca="1">IF(AND(N2121&lt;&gt;N2120,ISNUMBER(SEARCH(Лист2!$B$6,N:N)),L2121=2),MAX($M$3:OFFSET(M2121,-1,0))+1,0)</f>
        <v>0</v>
      </c>
      <c r="N2121" s="3" t="s">
        <v>1619</v>
      </c>
    </row>
    <row r="2122" spans="1:14" x14ac:dyDescent="0.25">
      <c r="A2122" s="1" t="s">
        <v>11283</v>
      </c>
      <c r="B2122" s="3" t="s">
        <v>5746</v>
      </c>
      <c r="C2122" s="2">
        <f ca="1">IF(ISNUMBER(SEARCH(Лист2!$B$4,D:D)),MAX($C$3:OFFSET(C2122,-1,0))+1,0)</f>
        <v>0</v>
      </c>
      <c r="E2122" s="9" t="str">
        <f t="shared" ca="1" si="45"/>
        <v/>
      </c>
      <c r="F2122" s="4" t="s">
        <v>7</v>
      </c>
      <c r="G2122" s="2">
        <f>IF(ISNUMBER(SEARCH(Лист2!$B$4,F:F)),1,0)</f>
        <v>0</v>
      </c>
      <c r="H2122" s="3">
        <f ca="1">IF(AND(I2122&lt;&gt;I2121,ISNUMBER(SEARCH(Лист2!$B$5,I:I)),G2122=1),MAX($H$3:OFFSET(H2122,-1,0))+1,0)</f>
        <v>0</v>
      </c>
      <c r="I2122" s="3" t="s">
        <v>219</v>
      </c>
      <c r="K2122" s="2">
        <f>IF(ISNUMBER(SEARCH(Лист2!$B$4,F:F)),1,0)</f>
        <v>0</v>
      </c>
      <c r="L2122" s="14">
        <f>IF(ISNUMBER(SEARCH(Лист2!$B$5,I:I)),1,0)+K2122</f>
        <v>0</v>
      </c>
      <c r="M2122" s="3">
        <f ca="1">IF(AND(N2122&lt;&gt;N2121,ISNUMBER(SEARCH(Лист2!$B$6,N:N)),L2122=2),MAX($M$3:OFFSET(M2122,-1,0))+1,0)</f>
        <v>0</v>
      </c>
      <c r="N2122" s="3" t="s">
        <v>1620</v>
      </c>
    </row>
    <row r="2123" spans="1:14" x14ac:dyDescent="0.25">
      <c r="A2123" s="1" t="s">
        <v>11284</v>
      </c>
      <c r="B2123" s="3" t="s">
        <v>5747</v>
      </c>
      <c r="C2123" s="2">
        <f ca="1">IF(ISNUMBER(SEARCH(Лист2!$B$4,D:D)),MAX($C$3:OFFSET(C2123,-1,0))+1,0)</f>
        <v>0</v>
      </c>
      <c r="E2123" s="9" t="str">
        <f t="shared" ca="1" si="45"/>
        <v/>
      </c>
      <c r="F2123" s="4" t="s">
        <v>7</v>
      </c>
      <c r="G2123" s="2">
        <f>IF(ISNUMBER(SEARCH(Лист2!$B$4,F:F)),1,0)</f>
        <v>0</v>
      </c>
      <c r="H2123" s="3">
        <f ca="1">IF(AND(I2123&lt;&gt;I2122,ISNUMBER(SEARCH(Лист2!$B$5,I:I)),G2123=1),MAX($H$3:OFFSET(H2123,-1,0))+1,0)</f>
        <v>0</v>
      </c>
      <c r="I2123" s="3" t="s">
        <v>219</v>
      </c>
      <c r="K2123" s="2">
        <f>IF(ISNUMBER(SEARCH(Лист2!$B$4,F:F)),1,0)</f>
        <v>0</v>
      </c>
      <c r="L2123" s="14">
        <f>IF(ISNUMBER(SEARCH(Лист2!$B$5,I:I)),1,0)+K2123</f>
        <v>0</v>
      </c>
      <c r="M2123" s="3">
        <f ca="1">IF(AND(N2123&lt;&gt;N2122,ISNUMBER(SEARCH(Лист2!$B$6,N:N)),L2123=2),MAX($M$3:OFFSET(M2123,-1,0))+1,0)</f>
        <v>0</v>
      </c>
      <c r="N2123" s="3" t="s">
        <v>1634</v>
      </c>
    </row>
    <row r="2124" spans="1:14" x14ac:dyDescent="0.25">
      <c r="A2124" s="1" t="s">
        <v>11285</v>
      </c>
      <c r="B2124" s="3" t="s">
        <v>5748</v>
      </c>
      <c r="C2124" s="2">
        <f ca="1">IF(ISNUMBER(SEARCH(Лист2!$B$4,D:D)),MAX($C$3:OFFSET(C2124,-1,0))+1,0)</f>
        <v>0</v>
      </c>
      <c r="E2124" s="9" t="str">
        <f t="shared" ca="1" si="45"/>
        <v/>
      </c>
      <c r="F2124" s="4" t="s">
        <v>7</v>
      </c>
      <c r="G2124" s="2">
        <f>IF(ISNUMBER(SEARCH(Лист2!$B$4,F:F)),1,0)</f>
        <v>0</v>
      </c>
      <c r="H2124" s="3">
        <f ca="1">IF(AND(I2124&lt;&gt;I2123,ISNUMBER(SEARCH(Лист2!$B$5,I:I)),G2124=1),MAX($H$3:OFFSET(H2124,-1,0))+1,0)</f>
        <v>0</v>
      </c>
      <c r="I2124" s="3" t="s">
        <v>219</v>
      </c>
      <c r="K2124" s="2">
        <f>IF(ISNUMBER(SEARCH(Лист2!$B$4,F:F)),1,0)</f>
        <v>0</v>
      </c>
      <c r="L2124" s="14">
        <f>IF(ISNUMBER(SEARCH(Лист2!$B$5,I:I)),1,0)+K2124</f>
        <v>0</v>
      </c>
      <c r="M2124" s="3">
        <f ca="1">IF(AND(N2124&lt;&gt;N2123,ISNUMBER(SEARCH(Лист2!$B$6,N:N)),L2124=2),MAX($M$3:OFFSET(M2124,-1,0))+1,0)</f>
        <v>0</v>
      </c>
      <c r="N2124" s="3" t="s">
        <v>602</v>
      </c>
    </row>
    <row r="2125" spans="1:14" x14ac:dyDescent="0.25">
      <c r="A2125" s="1" t="s">
        <v>11541</v>
      </c>
      <c r="B2125" s="3" t="s">
        <v>5749</v>
      </c>
      <c r="C2125" s="2">
        <f ca="1">IF(ISNUMBER(SEARCH(Лист2!$B$4,D:D)),MAX($C$3:OFFSET(C2125,-1,0))+1,0)</f>
        <v>0</v>
      </c>
      <c r="E2125" s="9" t="str">
        <f t="shared" ca="1" si="45"/>
        <v/>
      </c>
      <c r="F2125" s="4" t="s">
        <v>7</v>
      </c>
      <c r="G2125" s="2">
        <f>IF(ISNUMBER(SEARCH(Лист2!$B$4,F:F)),1,0)</f>
        <v>0</v>
      </c>
      <c r="H2125" s="3">
        <f ca="1">IF(AND(I2125&lt;&gt;I2124,ISNUMBER(SEARCH(Лист2!$B$5,I:I)),G2125=1),MAX($H$3:OFFSET(H2125,-1,0))+1,0)</f>
        <v>0</v>
      </c>
      <c r="I2125" s="3" t="s">
        <v>219</v>
      </c>
      <c r="K2125" s="2">
        <f>IF(ISNUMBER(SEARCH(Лист2!$B$4,F:F)),1,0)</f>
        <v>0</v>
      </c>
      <c r="L2125" s="14">
        <f>IF(ISNUMBER(SEARCH(Лист2!$B$5,I:I)),1,0)+K2125</f>
        <v>0</v>
      </c>
      <c r="M2125" s="3">
        <f ca="1">IF(AND(N2125&lt;&gt;N2124,ISNUMBER(SEARCH(Лист2!$B$6,N:N)),L2125=2),MAX($M$3:OFFSET(M2125,-1,0))+1,0)</f>
        <v>0</v>
      </c>
      <c r="N2125" s="3" t="s">
        <v>1813</v>
      </c>
    </row>
    <row r="2126" spans="1:14" x14ac:dyDescent="0.25">
      <c r="A2126" s="1" t="s">
        <v>11542</v>
      </c>
      <c r="B2126" s="3" t="s">
        <v>5750</v>
      </c>
      <c r="C2126" s="2">
        <f ca="1">IF(ISNUMBER(SEARCH(Лист2!$B$4,D:D)),MAX($C$3:OFFSET(C2126,-1,0))+1,0)</f>
        <v>0</v>
      </c>
      <c r="E2126" s="9" t="str">
        <f t="shared" ca="1" si="45"/>
        <v/>
      </c>
      <c r="F2126" s="4" t="s">
        <v>7</v>
      </c>
      <c r="G2126" s="2">
        <f>IF(ISNUMBER(SEARCH(Лист2!$B$4,F:F)),1,0)</f>
        <v>0</v>
      </c>
      <c r="H2126" s="3">
        <f ca="1">IF(AND(I2126&lt;&gt;I2125,ISNUMBER(SEARCH(Лист2!$B$5,I:I)),G2126=1),MAX($H$3:OFFSET(H2126,-1,0))+1,0)</f>
        <v>0</v>
      </c>
      <c r="I2126" s="3" t="s">
        <v>219</v>
      </c>
      <c r="K2126" s="2">
        <f>IF(ISNUMBER(SEARCH(Лист2!$B$4,F:F)),1,0)</f>
        <v>0</v>
      </c>
      <c r="L2126" s="14">
        <f>IF(ISNUMBER(SEARCH(Лист2!$B$5,I:I)),1,0)+K2126</f>
        <v>0</v>
      </c>
      <c r="M2126" s="3">
        <f ca="1">IF(AND(N2126&lt;&gt;N2125,ISNUMBER(SEARCH(Лист2!$B$6,N:N)),L2126=2),MAX($M$3:OFFSET(M2126,-1,0))+1,0)</f>
        <v>0</v>
      </c>
      <c r="N2126" s="3" t="s">
        <v>1814</v>
      </c>
    </row>
    <row r="2127" spans="1:14" x14ac:dyDescent="0.25">
      <c r="A2127" s="1" t="s">
        <v>11543</v>
      </c>
      <c r="B2127" s="3" t="s">
        <v>5751</v>
      </c>
      <c r="C2127" s="2">
        <f ca="1">IF(ISNUMBER(SEARCH(Лист2!$B$4,D:D)),MAX($C$3:OFFSET(C2127,-1,0))+1,0)</f>
        <v>0</v>
      </c>
      <c r="E2127" s="9" t="str">
        <f t="shared" ca="1" si="45"/>
        <v/>
      </c>
      <c r="F2127" s="4" t="s">
        <v>7</v>
      </c>
      <c r="G2127" s="2">
        <f>IF(ISNUMBER(SEARCH(Лист2!$B$4,F:F)),1,0)</f>
        <v>0</v>
      </c>
      <c r="H2127" s="3">
        <f ca="1">IF(AND(I2127&lt;&gt;I2126,ISNUMBER(SEARCH(Лист2!$B$5,I:I)),G2127=1),MAX($H$3:OFFSET(H2127,-1,0))+1,0)</f>
        <v>0</v>
      </c>
      <c r="I2127" s="3" t="s">
        <v>219</v>
      </c>
      <c r="K2127" s="2">
        <f>IF(ISNUMBER(SEARCH(Лист2!$B$4,F:F)),1,0)</f>
        <v>0</v>
      </c>
      <c r="L2127" s="14">
        <f>IF(ISNUMBER(SEARCH(Лист2!$B$5,I:I)),1,0)+K2127</f>
        <v>0</v>
      </c>
      <c r="M2127" s="3">
        <f ca="1">IF(AND(N2127&lt;&gt;N2126,ISNUMBER(SEARCH(Лист2!$B$6,N:N)),L2127=2),MAX($M$3:OFFSET(M2127,-1,0))+1,0)</f>
        <v>0</v>
      </c>
      <c r="N2127" s="3" t="s">
        <v>1815</v>
      </c>
    </row>
    <row r="2128" spans="1:14" x14ac:dyDescent="0.25">
      <c r="A2128" s="1" t="s">
        <v>11289</v>
      </c>
      <c r="B2128" s="3" t="s">
        <v>5752</v>
      </c>
      <c r="C2128" s="2">
        <f ca="1">IF(ISNUMBER(SEARCH(Лист2!$B$4,D:D)),MAX($C$3:OFFSET(C2128,-1,0))+1,0)</f>
        <v>0</v>
      </c>
      <c r="E2128" s="9" t="str">
        <f t="shared" ca="1" si="45"/>
        <v/>
      </c>
      <c r="F2128" s="4" t="s">
        <v>7</v>
      </c>
      <c r="G2128" s="2">
        <f>IF(ISNUMBER(SEARCH(Лист2!$B$4,F:F)),1,0)</f>
        <v>0</v>
      </c>
      <c r="H2128" s="3">
        <f ca="1">IF(AND(I2128&lt;&gt;I2127,ISNUMBER(SEARCH(Лист2!$B$5,I:I)),G2128=1),MAX($H$3:OFFSET(H2128,-1,0))+1,0)</f>
        <v>0</v>
      </c>
      <c r="I2128" s="3" t="s">
        <v>220</v>
      </c>
      <c r="K2128" s="2">
        <f>IF(ISNUMBER(SEARCH(Лист2!$B$4,F:F)),1,0)</f>
        <v>0</v>
      </c>
      <c r="L2128" s="14">
        <f>IF(ISNUMBER(SEARCH(Лист2!$B$5,I:I)),1,0)+K2128</f>
        <v>0</v>
      </c>
      <c r="M2128" s="3">
        <f ca="1">IF(AND(N2128&lt;&gt;N2127,ISNUMBER(SEARCH(Лист2!$B$6,N:N)),L2128=2),MAX($M$3:OFFSET(M2128,-1,0))+1,0)</f>
        <v>0</v>
      </c>
      <c r="N2128" s="3" t="s">
        <v>1649</v>
      </c>
    </row>
    <row r="2129" spans="1:14" x14ac:dyDescent="0.25">
      <c r="A2129" s="1" t="s">
        <v>11289</v>
      </c>
      <c r="B2129" s="3" t="s">
        <v>5753</v>
      </c>
      <c r="C2129" s="2">
        <f ca="1">IF(ISNUMBER(SEARCH(Лист2!$B$4,D:D)),MAX($C$3:OFFSET(C2129,-1,0))+1,0)</f>
        <v>0</v>
      </c>
      <c r="E2129" s="9" t="str">
        <f t="shared" ca="1" si="45"/>
        <v/>
      </c>
      <c r="F2129" s="4" t="s">
        <v>7</v>
      </c>
      <c r="G2129" s="2">
        <f>IF(ISNUMBER(SEARCH(Лист2!$B$4,F:F)),1,0)</f>
        <v>0</v>
      </c>
      <c r="H2129" s="3">
        <f ca="1">IF(AND(I2129&lt;&gt;I2128,ISNUMBER(SEARCH(Лист2!$B$5,I:I)),G2129=1),MAX($H$3:OFFSET(H2129,-1,0))+1,0)</f>
        <v>0</v>
      </c>
      <c r="I2129" s="3" t="s">
        <v>220</v>
      </c>
      <c r="K2129" s="2">
        <f>IF(ISNUMBER(SEARCH(Лист2!$B$4,F:F)),1,0)</f>
        <v>0</v>
      </c>
      <c r="L2129" s="14">
        <f>IF(ISNUMBER(SEARCH(Лист2!$B$5,I:I)),1,0)+K2129</f>
        <v>0</v>
      </c>
      <c r="M2129" s="3">
        <f ca="1">IF(AND(N2129&lt;&gt;N2128,ISNUMBER(SEARCH(Лист2!$B$6,N:N)),L2129=2),MAX($M$3:OFFSET(M2129,-1,0))+1,0)</f>
        <v>0</v>
      </c>
      <c r="N2129" s="3" t="s">
        <v>1649</v>
      </c>
    </row>
    <row r="2130" spans="1:14" x14ac:dyDescent="0.25">
      <c r="A2130" s="1" t="s">
        <v>11289</v>
      </c>
      <c r="B2130" s="3" t="s">
        <v>5754</v>
      </c>
      <c r="C2130" s="2">
        <f ca="1">IF(ISNUMBER(SEARCH(Лист2!$B$4,D:D)),MAX($C$3:OFFSET(C2130,-1,0))+1,0)</f>
        <v>0</v>
      </c>
      <c r="E2130" s="9" t="str">
        <f t="shared" ca="1" si="45"/>
        <v/>
      </c>
      <c r="F2130" s="4" t="s">
        <v>7</v>
      </c>
      <c r="G2130" s="2">
        <f>IF(ISNUMBER(SEARCH(Лист2!$B$4,F:F)),1,0)</f>
        <v>0</v>
      </c>
      <c r="H2130" s="3">
        <f ca="1">IF(AND(I2130&lt;&gt;I2129,ISNUMBER(SEARCH(Лист2!$B$5,I:I)),G2130=1),MAX($H$3:OFFSET(H2130,-1,0))+1,0)</f>
        <v>0</v>
      </c>
      <c r="I2130" s="3" t="s">
        <v>220</v>
      </c>
      <c r="K2130" s="2">
        <f>IF(ISNUMBER(SEARCH(Лист2!$B$4,F:F)),1,0)</f>
        <v>0</v>
      </c>
      <c r="L2130" s="14">
        <f>IF(ISNUMBER(SEARCH(Лист2!$B$5,I:I)),1,0)+K2130</f>
        <v>0</v>
      </c>
      <c r="M2130" s="3">
        <f ca="1">IF(AND(N2130&lt;&gt;N2129,ISNUMBER(SEARCH(Лист2!$B$6,N:N)),L2130=2),MAX($M$3:OFFSET(M2130,-1,0))+1,0)</f>
        <v>0</v>
      </c>
      <c r="N2130" s="3" t="s">
        <v>1649</v>
      </c>
    </row>
    <row r="2131" spans="1:14" x14ac:dyDescent="0.25">
      <c r="A2131" s="1" t="s">
        <v>11290</v>
      </c>
      <c r="B2131" s="3" t="s">
        <v>5755</v>
      </c>
      <c r="C2131" s="2">
        <f ca="1">IF(ISNUMBER(SEARCH(Лист2!$B$4,D:D)),MAX($C$3:OFFSET(C2131,-1,0))+1,0)</f>
        <v>0</v>
      </c>
      <c r="E2131" s="9" t="str">
        <f t="shared" ca="1" si="45"/>
        <v/>
      </c>
      <c r="F2131" s="4" t="s">
        <v>7</v>
      </c>
      <c r="G2131" s="2">
        <f>IF(ISNUMBER(SEARCH(Лист2!$B$4,F:F)),1,0)</f>
        <v>0</v>
      </c>
      <c r="H2131" s="3">
        <f ca="1">IF(AND(I2131&lt;&gt;I2130,ISNUMBER(SEARCH(Лист2!$B$5,I:I)),G2131=1),MAX($H$3:OFFSET(H2131,-1,0))+1,0)</f>
        <v>0</v>
      </c>
      <c r="I2131" s="3" t="s">
        <v>220</v>
      </c>
      <c r="K2131" s="2">
        <f>IF(ISNUMBER(SEARCH(Лист2!$B$4,F:F)),1,0)</f>
        <v>0</v>
      </c>
      <c r="L2131" s="14">
        <f>IF(ISNUMBER(SEARCH(Лист2!$B$5,I:I)),1,0)+K2131</f>
        <v>0</v>
      </c>
      <c r="M2131" s="3">
        <f ca="1">IF(AND(N2131&lt;&gt;N2130,ISNUMBER(SEARCH(Лист2!$B$6,N:N)),L2131=2),MAX($M$3:OFFSET(M2131,-1,0))+1,0)</f>
        <v>0</v>
      </c>
      <c r="N2131" s="3" t="s">
        <v>1650</v>
      </c>
    </row>
    <row r="2132" spans="1:14" x14ac:dyDescent="0.25">
      <c r="A2132" s="1" t="s">
        <v>11290</v>
      </c>
      <c r="B2132" s="3" t="s">
        <v>5756</v>
      </c>
      <c r="C2132" s="2">
        <f ca="1">IF(ISNUMBER(SEARCH(Лист2!$B$4,D:D)),MAX($C$3:OFFSET(C2132,-1,0))+1,0)</f>
        <v>0</v>
      </c>
      <c r="E2132" s="9" t="str">
        <f t="shared" ca="1" si="45"/>
        <v/>
      </c>
      <c r="F2132" s="4" t="s">
        <v>7</v>
      </c>
      <c r="G2132" s="2">
        <f>IF(ISNUMBER(SEARCH(Лист2!$B$4,F:F)),1,0)</f>
        <v>0</v>
      </c>
      <c r="H2132" s="3">
        <f ca="1">IF(AND(I2132&lt;&gt;I2131,ISNUMBER(SEARCH(Лист2!$B$5,I:I)),G2132=1),MAX($H$3:OFFSET(H2132,-1,0))+1,0)</f>
        <v>0</v>
      </c>
      <c r="I2132" s="3" t="s">
        <v>220</v>
      </c>
      <c r="K2132" s="2">
        <f>IF(ISNUMBER(SEARCH(Лист2!$B$4,F:F)),1,0)</f>
        <v>0</v>
      </c>
      <c r="L2132" s="14">
        <f>IF(ISNUMBER(SEARCH(Лист2!$B$5,I:I)),1,0)+K2132</f>
        <v>0</v>
      </c>
      <c r="M2132" s="3">
        <f ca="1">IF(AND(N2132&lt;&gt;N2131,ISNUMBER(SEARCH(Лист2!$B$6,N:N)),L2132=2),MAX($M$3:OFFSET(M2132,-1,0))+1,0)</f>
        <v>0</v>
      </c>
      <c r="N2132" s="3" t="s">
        <v>1650</v>
      </c>
    </row>
    <row r="2133" spans="1:14" x14ac:dyDescent="0.25">
      <c r="A2133" s="1" t="s">
        <v>11290</v>
      </c>
      <c r="B2133" s="3" t="s">
        <v>5757</v>
      </c>
      <c r="C2133" s="2">
        <f ca="1">IF(ISNUMBER(SEARCH(Лист2!$B$4,D:D)),MAX($C$3:OFFSET(C2133,-1,0))+1,0)</f>
        <v>0</v>
      </c>
      <c r="E2133" s="9" t="str">
        <f t="shared" ca="1" si="45"/>
        <v/>
      </c>
      <c r="F2133" s="4" t="s">
        <v>7</v>
      </c>
      <c r="G2133" s="2">
        <f>IF(ISNUMBER(SEARCH(Лист2!$B$4,F:F)),1,0)</f>
        <v>0</v>
      </c>
      <c r="H2133" s="3">
        <f ca="1">IF(AND(I2133&lt;&gt;I2132,ISNUMBER(SEARCH(Лист2!$B$5,I:I)),G2133=1),MAX($H$3:OFFSET(H2133,-1,0))+1,0)</f>
        <v>0</v>
      </c>
      <c r="I2133" s="3" t="s">
        <v>220</v>
      </c>
      <c r="K2133" s="2">
        <f>IF(ISNUMBER(SEARCH(Лист2!$B$4,F:F)),1,0)</f>
        <v>0</v>
      </c>
      <c r="L2133" s="14">
        <f>IF(ISNUMBER(SEARCH(Лист2!$B$5,I:I)),1,0)+K2133</f>
        <v>0</v>
      </c>
      <c r="M2133" s="3">
        <f ca="1">IF(AND(N2133&lt;&gt;N2132,ISNUMBER(SEARCH(Лист2!$B$6,N:N)),L2133=2),MAX($M$3:OFFSET(M2133,-1,0))+1,0)</f>
        <v>0</v>
      </c>
      <c r="N2133" s="3" t="s">
        <v>1650</v>
      </c>
    </row>
    <row r="2134" spans="1:14" x14ac:dyDescent="0.25">
      <c r="A2134" s="1" t="s">
        <v>11291</v>
      </c>
      <c r="B2134" s="3" t="s">
        <v>5758</v>
      </c>
      <c r="C2134" s="2">
        <f ca="1">IF(ISNUMBER(SEARCH(Лист2!$B$4,D:D)),MAX($C$3:OFFSET(C2134,-1,0))+1,0)</f>
        <v>0</v>
      </c>
      <c r="E2134" s="9" t="str">
        <f t="shared" ca="1" si="45"/>
        <v/>
      </c>
      <c r="F2134" s="4" t="s">
        <v>7</v>
      </c>
      <c r="G2134" s="2">
        <f>IF(ISNUMBER(SEARCH(Лист2!$B$4,F:F)),1,0)</f>
        <v>0</v>
      </c>
      <c r="H2134" s="3">
        <f ca="1">IF(AND(I2134&lt;&gt;I2133,ISNUMBER(SEARCH(Лист2!$B$5,I:I)),G2134=1),MAX($H$3:OFFSET(H2134,-1,0))+1,0)</f>
        <v>0</v>
      </c>
      <c r="I2134" s="3" t="s">
        <v>220</v>
      </c>
      <c r="K2134" s="2">
        <f>IF(ISNUMBER(SEARCH(Лист2!$B$4,F:F)),1,0)</f>
        <v>0</v>
      </c>
      <c r="L2134" s="14">
        <f>IF(ISNUMBER(SEARCH(Лист2!$B$5,I:I)),1,0)+K2134</f>
        <v>0</v>
      </c>
      <c r="M2134" s="3">
        <f ca="1">IF(AND(N2134&lt;&gt;N2133,ISNUMBER(SEARCH(Лист2!$B$6,N:N)),L2134=2),MAX($M$3:OFFSET(M2134,-1,0))+1,0)</f>
        <v>0</v>
      </c>
      <c r="N2134" s="3" t="s">
        <v>1619</v>
      </c>
    </row>
    <row r="2135" spans="1:14" x14ac:dyDescent="0.25">
      <c r="A2135" s="1" t="s">
        <v>11292</v>
      </c>
      <c r="B2135" s="3" t="s">
        <v>5759</v>
      </c>
      <c r="C2135" s="2">
        <f ca="1">IF(ISNUMBER(SEARCH(Лист2!$B$4,D:D)),MAX($C$3:OFFSET(C2135,-1,0))+1,0)</f>
        <v>0</v>
      </c>
      <c r="E2135" s="9" t="str">
        <f t="shared" ca="1" si="45"/>
        <v/>
      </c>
      <c r="F2135" s="4" t="s">
        <v>7</v>
      </c>
      <c r="G2135" s="2">
        <f>IF(ISNUMBER(SEARCH(Лист2!$B$4,F:F)),1,0)</f>
        <v>0</v>
      </c>
      <c r="H2135" s="3">
        <f ca="1">IF(AND(I2135&lt;&gt;I2134,ISNUMBER(SEARCH(Лист2!$B$5,I:I)),G2135=1),MAX($H$3:OFFSET(H2135,-1,0))+1,0)</f>
        <v>0</v>
      </c>
      <c r="I2135" s="3" t="s">
        <v>220</v>
      </c>
      <c r="K2135" s="2">
        <f>IF(ISNUMBER(SEARCH(Лист2!$B$4,F:F)),1,0)</f>
        <v>0</v>
      </c>
      <c r="L2135" s="14">
        <f>IF(ISNUMBER(SEARCH(Лист2!$B$5,I:I)),1,0)+K2135</f>
        <v>0</v>
      </c>
      <c r="M2135" s="3">
        <f ca="1">IF(AND(N2135&lt;&gt;N2134,ISNUMBER(SEARCH(Лист2!$B$6,N:N)),L2135=2),MAX($M$3:OFFSET(M2135,-1,0))+1,0)</f>
        <v>0</v>
      </c>
      <c r="N2135" s="3" t="s">
        <v>1620</v>
      </c>
    </row>
    <row r="2136" spans="1:14" x14ac:dyDescent="0.25">
      <c r="A2136" s="1" t="s">
        <v>11293</v>
      </c>
      <c r="B2136" s="3" t="s">
        <v>5760</v>
      </c>
      <c r="C2136" s="2">
        <f ca="1">IF(ISNUMBER(SEARCH(Лист2!$B$4,D:D)),MAX($C$3:OFFSET(C2136,-1,0))+1,0)</f>
        <v>0</v>
      </c>
      <c r="E2136" s="9" t="str">
        <f t="shared" ca="1" si="45"/>
        <v/>
      </c>
      <c r="F2136" s="4" t="s">
        <v>7</v>
      </c>
      <c r="G2136" s="2">
        <f>IF(ISNUMBER(SEARCH(Лист2!$B$4,F:F)),1,0)</f>
        <v>0</v>
      </c>
      <c r="H2136" s="3">
        <f ca="1">IF(AND(I2136&lt;&gt;I2135,ISNUMBER(SEARCH(Лист2!$B$5,I:I)),G2136=1),MAX($H$3:OFFSET(H2136,-1,0))+1,0)</f>
        <v>0</v>
      </c>
      <c r="I2136" s="3" t="s">
        <v>220</v>
      </c>
      <c r="K2136" s="2">
        <f>IF(ISNUMBER(SEARCH(Лист2!$B$4,F:F)),1,0)</f>
        <v>0</v>
      </c>
      <c r="L2136" s="14">
        <f>IF(ISNUMBER(SEARCH(Лист2!$B$5,I:I)),1,0)+K2136</f>
        <v>0</v>
      </c>
      <c r="M2136" s="3">
        <f ca="1">IF(AND(N2136&lt;&gt;N2135,ISNUMBER(SEARCH(Лист2!$B$6,N:N)),L2136=2),MAX($M$3:OFFSET(M2136,-1,0))+1,0)</f>
        <v>0</v>
      </c>
      <c r="N2136" s="3" t="s">
        <v>1621</v>
      </c>
    </row>
    <row r="2137" spans="1:14" x14ac:dyDescent="0.25">
      <c r="A2137" s="1" t="s">
        <v>11294</v>
      </c>
      <c r="B2137" s="3" t="s">
        <v>5761</v>
      </c>
      <c r="C2137" s="2">
        <f ca="1">IF(ISNUMBER(SEARCH(Лист2!$B$4,D:D)),MAX($C$3:OFFSET(C2137,-1,0))+1,0)</f>
        <v>0</v>
      </c>
      <c r="E2137" s="9" t="str">
        <f t="shared" ca="1" si="45"/>
        <v/>
      </c>
      <c r="F2137" s="4" t="s">
        <v>7</v>
      </c>
      <c r="G2137" s="2">
        <f>IF(ISNUMBER(SEARCH(Лист2!$B$4,F:F)),1,0)</f>
        <v>0</v>
      </c>
      <c r="H2137" s="3">
        <f ca="1">IF(AND(I2137&lt;&gt;I2136,ISNUMBER(SEARCH(Лист2!$B$5,I:I)),G2137=1),MAX($H$3:OFFSET(H2137,-1,0))+1,0)</f>
        <v>0</v>
      </c>
      <c r="I2137" s="3" t="s">
        <v>220</v>
      </c>
      <c r="K2137" s="2">
        <f>IF(ISNUMBER(SEARCH(Лист2!$B$4,F:F)),1,0)</f>
        <v>0</v>
      </c>
      <c r="L2137" s="14">
        <f>IF(ISNUMBER(SEARCH(Лист2!$B$5,I:I)),1,0)+K2137</f>
        <v>0</v>
      </c>
      <c r="M2137" s="3">
        <f ca="1">IF(AND(N2137&lt;&gt;N2136,ISNUMBER(SEARCH(Лист2!$B$6,N:N)),L2137=2),MAX($M$3:OFFSET(M2137,-1,0))+1,0)</f>
        <v>0</v>
      </c>
      <c r="N2137" s="3" t="s">
        <v>602</v>
      </c>
    </row>
    <row r="2138" spans="1:14" x14ac:dyDescent="0.25">
      <c r="A2138" s="1" t="s">
        <v>11295</v>
      </c>
      <c r="B2138" s="3" t="s">
        <v>5762</v>
      </c>
      <c r="C2138" s="2">
        <f ca="1">IF(ISNUMBER(SEARCH(Лист2!$B$4,D:D)),MAX($C$3:OFFSET(C2138,-1,0))+1,0)</f>
        <v>0</v>
      </c>
      <c r="E2138" s="9" t="str">
        <f t="shared" ca="1" si="45"/>
        <v/>
      </c>
      <c r="F2138" s="4" t="s">
        <v>7</v>
      </c>
      <c r="G2138" s="2">
        <f>IF(ISNUMBER(SEARCH(Лист2!$B$4,F:F)),1,0)</f>
        <v>0</v>
      </c>
      <c r="H2138" s="3">
        <f ca="1">IF(AND(I2138&lt;&gt;I2137,ISNUMBER(SEARCH(Лист2!$B$5,I:I)),G2138=1),MAX($H$3:OFFSET(H2138,-1,0))+1,0)</f>
        <v>0</v>
      </c>
      <c r="I2138" s="3" t="s">
        <v>220</v>
      </c>
      <c r="K2138" s="2">
        <f>IF(ISNUMBER(SEARCH(Лист2!$B$4,F:F)),1,0)</f>
        <v>0</v>
      </c>
      <c r="L2138" s="14">
        <f>IF(ISNUMBER(SEARCH(Лист2!$B$5,I:I)),1,0)+K2138</f>
        <v>0</v>
      </c>
      <c r="M2138" s="3">
        <f ca="1">IF(AND(N2138&lt;&gt;N2137,ISNUMBER(SEARCH(Лист2!$B$6,N:N)),L2138=2),MAX($M$3:OFFSET(M2138,-1,0))+1,0)</f>
        <v>0</v>
      </c>
      <c r="N2138" s="3" t="s">
        <v>1651</v>
      </c>
    </row>
    <row r="2139" spans="1:14" x14ac:dyDescent="0.25">
      <c r="A2139" s="1" t="s">
        <v>11296</v>
      </c>
      <c r="B2139" s="3" t="s">
        <v>5763</v>
      </c>
      <c r="C2139" s="2">
        <f ca="1">IF(ISNUMBER(SEARCH(Лист2!$B$4,D:D)),MAX($C$3:OFFSET(C2139,-1,0))+1,0)</f>
        <v>0</v>
      </c>
      <c r="E2139" s="9" t="str">
        <f t="shared" ca="1" si="45"/>
        <v/>
      </c>
      <c r="F2139" s="4" t="s">
        <v>7</v>
      </c>
      <c r="G2139" s="2">
        <f>IF(ISNUMBER(SEARCH(Лист2!$B$4,F:F)),1,0)</f>
        <v>0</v>
      </c>
      <c r="H2139" s="3">
        <f ca="1">IF(AND(I2139&lt;&gt;I2138,ISNUMBER(SEARCH(Лист2!$B$5,I:I)),G2139=1),MAX($H$3:OFFSET(H2139,-1,0))+1,0)</f>
        <v>0</v>
      </c>
      <c r="I2139" s="3" t="s">
        <v>220</v>
      </c>
      <c r="K2139" s="2">
        <f>IF(ISNUMBER(SEARCH(Лист2!$B$4,F:F)),1,0)</f>
        <v>0</v>
      </c>
      <c r="L2139" s="14">
        <f>IF(ISNUMBER(SEARCH(Лист2!$B$5,I:I)),1,0)+K2139</f>
        <v>0</v>
      </c>
      <c r="M2139" s="3">
        <f ca="1">IF(AND(N2139&lt;&gt;N2138,ISNUMBER(SEARCH(Лист2!$B$6,N:N)),L2139=2),MAX($M$3:OFFSET(M2139,-1,0))+1,0)</f>
        <v>0</v>
      </c>
      <c r="N2139" s="3" t="s">
        <v>1652</v>
      </c>
    </row>
    <row r="2140" spans="1:14" x14ac:dyDescent="0.25">
      <c r="A2140" s="1" t="s">
        <v>11297</v>
      </c>
      <c r="B2140" s="3" t="s">
        <v>5764</v>
      </c>
      <c r="C2140" s="2">
        <f ca="1">IF(ISNUMBER(SEARCH(Лист2!$B$4,D:D)),MAX($C$3:OFFSET(C2140,-1,0))+1,0)</f>
        <v>0</v>
      </c>
      <c r="E2140" s="9" t="str">
        <f t="shared" ca="1" si="45"/>
        <v/>
      </c>
      <c r="F2140" s="4" t="s">
        <v>7</v>
      </c>
      <c r="G2140" s="2">
        <f>IF(ISNUMBER(SEARCH(Лист2!$B$4,F:F)),1,0)</f>
        <v>0</v>
      </c>
      <c r="H2140" s="3">
        <f ca="1">IF(AND(I2140&lt;&gt;I2139,ISNUMBER(SEARCH(Лист2!$B$5,I:I)),G2140=1),MAX($H$3:OFFSET(H2140,-1,0))+1,0)</f>
        <v>0</v>
      </c>
      <c r="I2140" s="3" t="s">
        <v>220</v>
      </c>
      <c r="K2140" s="2">
        <f>IF(ISNUMBER(SEARCH(Лист2!$B$4,F:F)),1,0)</f>
        <v>0</v>
      </c>
      <c r="L2140" s="14">
        <f>IF(ISNUMBER(SEARCH(Лист2!$B$5,I:I)),1,0)+K2140</f>
        <v>0</v>
      </c>
      <c r="M2140" s="3">
        <f ca="1">IF(AND(N2140&lt;&gt;N2139,ISNUMBER(SEARCH(Лист2!$B$6,N:N)),L2140=2),MAX($M$3:OFFSET(M2140,-1,0))+1,0)</f>
        <v>0</v>
      </c>
      <c r="N2140" s="3" t="s">
        <v>1653</v>
      </c>
    </row>
    <row r="2141" spans="1:14" x14ac:dyDescent="0.25">
      <c r="A2141" s="1" t="s">
        <v>11544</v>
      </c>
      <c r="B2141" s="3" t="s">
        <v>5765</v>
      </c>
      <c r="C2141" s="2">
        <f ca="1">IF(ISNUMBER(SEARCH(Лист2!$B$4,D:D)),MAX($C$3:OFFSET(C2141,-1,0))+1,0)</f>
        <v>0</v>
      </c>
      <c r="E2141" s="9" t="str">
        <f t="shared" ca="1" si="45"/>
        <v/>
      </c>
      <c r="F2141" s="4" t="s">
        <v>7</v>
      </c>
      <c r="G2141" s="2">
        <f>IF(ISNUMBER(SEARCH(Лист2!$B$4,F:F)),1,0)</f>
        <v>0</v>
      </c>
      <c r="H2141" s="3">
        <f ca="1">IF(AND(I2141&lt;&gt;I2140,ISNUMBER(SEARCH(Лист2!$B$5,I:I)),G2141=1),MAX($H$3:OFFSET(H2141,-1,0))+1,0)</f>
        <v>0</v>
      </c>
      <c r="I2141" s="3" t="s">
        <v>241</v>
      </c>
      <c r="K2141" s="2">
        <f>IF(ISNUMBER(SEARCH(Лист2!$B$4,F:F)),1,0)</f>
        <v>0</v>
      </c>
      <c r="L2141" s="14">
        <f>IF(ISNUMBER(SEARCH(Лист2!$B$5,I:I)),1,0)+K2141</f>
        <v>0</v>
      </c>
      <c r="M2141" s="3">
        <f ca="1">IF(AND(N2141&lt;&gt;N2140,ISNUMBER(SEARCH(Лист2!$B$6,N:N)),L2141=2),MAX($M$3:OFFSET(M2141,-1,0))+1,0)</f>
        <v>0</v>
      </c>
      <c r="N2141" s="3" t="s">
        <v>1816</v>
      </c>
    </row>
    <row r="2142" spans="1:14" x14ac:dyDescent="0.25">
      <c r="A2142" s="1" t="s">
        <v>11544</v>
      </c>
      <c r="B2142" s="3" t="s">
        <v>5766</v>
      </c>
      <c r="C2142" s="2">
        <f ca="1">IF(ISNUMBER(SEARCH(Лист2!$B$4,D:D)),MAX($C$3:OFFSET(C2142,-1,0))+1,0)</f>
        <v>0</v>
      </c>
      <c r="E2142" s="9" t="str">
        <f t="shared" ca="1" si="45"/>
        <v/>
      </c>
      <c r="F2142" s="4" t="s">
        <v>7</v>
      </c>
      <c r="G2142" s="2">
        <f>IF(ISNUMBER(SEARCH(Лист2!$B$4,F:F)),1,0)</f>
        <v>0</v>
      </c>
      <c r="H2142" s="3">
        <f ca="1">IF(AND(I2142&lt;&gt;I2141,ISNUMBER(SEARCH(Лист2!$B$5,I:I)),G2142=1),MAX($H$3:OFFSET(H2142,-1,0))+1,0)</f>
        <v>0</v>
      </c>
      <c r="I2142" s="3" t="s">
        <v>241</v>
      </c>
      <c r="K2142" s="2">
        <f>IF(ISNUMBER(SEARCH(Лист2!$B$4,F:F)),1,0)</f>
        <v>0</v>
      </c>
      <c r="L2142" s="14">
        <f>IF(ISNUMBER(SEARCH(Лист2!$B$5,I:I)),1,0)+K2142</f>
        <v>0</v>
      </c>
      <c r="M2142" s="3">
        <f ca="1">IF(AND(N2142&lt;&gt;N2141,ISNUMBER(SEARCH(Лист2!$B$6,N:N)),L2142=2),MAX($M$3:OFFSET(M2142,-1,0))+1,0)</f>
        <v>0</v>
      </c>
      <c r="N2142" s="3" t="s">
        <v>1816</v>
      </c>
    </row>
    <row r="2143" spans="1:14" x14ac:dyDescent="0.25">
      <c r="A2143" s="1" t="s">
        <v>11544</v>
      </c>
      <c r="B2143" s="3" t="s">
        <v>5767</v>
      </c>
      <c r="C2143" s="2">
        <f ca="1">IF(ISNUMBER(SEARCH(Лист2!$B$4,D:D)),MAX($C$3:OFFSET(C2143,-1,0))+1,0)</f>
        <v>0</v>
      </c>
      <c r="E2143" s="9" t="str">
        <f t="shared" ca="1" si="45"/>
        <v/>
      </c>
      <c r="F2143" s="4" t="s">
        <v>7</v>
      </c>
      <c r="G2143" s="2">
        <f>IF(ISNUMBER(SEARCH(Лист2!$B$4,F:F)),1,0)</f>
        <v>0</v>
      </c>
      <c r="H2143" s="3">
        <f ca="1">IF(AND(I2143&lt;&gt;I2142,ISNUMBER(SEARCH(Лист2!$B$5,I:I)),G2143=1),MAX($H$3:OFFSET(H2143,-1,0))+1,0)</f>
        <v>0</v>
      </c>
      <c r="I2143" s="3" t="s">
        <v>241</v>
      </c>
      <c r="K2143" s="2">
        <f>IF(ISNUMBER(SEARCH(Лист2!$B$4,F:F)),1,0)</f>
        <v>0</v>
      </c>
      <c r="L2143" s="14">
        <f>IF(ISNUMBER(SEARCH(Лист2!$B$5,I:I)),1,0)+K2143</f>
        <v>0</v>
      </c>
      <c r="M2143" s="3">
        <f ca="1">IF(AND(N2143&lt;&gt;N2142,ISNUMBER(SEARCH(Лист2!$B$6,N:N)),L2143=2),MAX($M$3:OFFSET(M2143,-1,0))+1,0)</f>
        <v>0</v>
      </c>
      <c r="N2143" s="3" t="s">
        <v>1816</v>
      </c>
    </row>
    <row r="2144" spans="1:14" x14ac:dyDescent="0.25">
      <c r="A2144" s="1" t="s">
        <v>11545</v>
      </c>
      <c r="B2144" s="3" t="s">
        <v>5768</v>
      </c>
      <c r="C2144" s="2">
        <f ca="1">IF(ISNUMBER(SEARCH(Лист2!$B$4,D:D)),MAX($C$3:OFFSET(C2144,-1,0))+1,0)</f>
        <v>0</v>
      </c>
      <c r="E2144" s="9" t="str">
        <f t="shared" ca="1" si="45"/>
        <v/>
      </c>
      <c r="F2144" s="4" t="s">
        <v>7</v>
      </c>
      <c r="G2144" s="2">
        <f>IF(ISNUMBER(SEARCH(Лист2!$B$4,F:F)),1,0)</f>
        <v>0</v>
      </c>
      <c r="H2144" s="3">
        <f ca="1">IF(AND(I2144&lt;&gt;I2143,ISNUMBER(SEARCH(Лист2!$B$5,I:I)),G2144=1),MAX($H$3:OFFSET(H2144,-1,0))+1,0)</f>
        <v>0</v>
      </c>
      <c r="I2144" s="3" t="s">
        <v>241</v>
      </c>
      <c r="K2144" s="2">
        <f>IF(ISNUMBER(SEARCH(Лист2!$B$4,F:F)),1,0)</f>
        <v>0</v>
      </c>
      <c r="L2144" s="14">
        <f>IF(ISNUMBER(SEARCH(Лист2!$B$5,I:I)),1,0)+K2144</f>
        <v>0</v>
      </c>
      <c r="M2144" s="3">
        <f ca="1">IF(AND(N2144&lt;&gt;N2143,ISNUMBER(SEARCH(Лист2!$B$6,N:N)),L2144=2),MAX($M$3:OFFSET(M2144,-1,0))+1,0)</f>
        <v>0</v>
      </c>
      <c r="N2144" s="3" t="s">
        <v>1817</v>
      </c>
    </row>
    <row r="2145" spans="1:14" x14ac:dyDescent="0.25">
      <c r="A2145" s="1" t="s">
        <v>11545</v>
      </c>
      <c r="B2145" s="3" t="s">
        <v>5769</v>
      </c>
      <c r="C2145" s="2">
        <f ca="1">IF(ISNUMBER(SEARCH(Лист2!$B$4,D:D)),MAX($C$3:OFFSET(C2145,-1,0))+1,0)</f>
        <v>0</v>
      </c>
      <c r="E2145" s="9" t="str">
        <f t="shared" ca="1" si="45"/>
        <v/>
      </c>
      <c r="F2145" s="4" t="s">
        <v>7</v>
      </c>
      <c r="G2145" s="2">
        <f>IF(ISNUMBER(SEARCH(Лист2!$B$4,F:F)),1,0)</f>
        <v>0</v>
      </c>
      <c r="H2145" s="3">
        <f ca="1">IF(AND(I2145&lt;&gt;I2144,ISNUMBER(SEARCH(Лист2!$B$5,I:I)),G2145=1),MAX($H$3:OFFSET(H2145,-1,0))+1,0)</f>
        <v>0</v>
      </c>
      <c r="I2145" s="3" t="s">
        <v>241</v>
      </c>
      <c r="K2145" s="2">
        <f>IF(ISNUMBER(SEARCH(Лист2!$B$4,F:F)),1,0)</f>
        <v>0</v>
      </c>
      <c r="L2145" s="14">
        <f>IF(ISNUMBER(SEARCH(Лист2!$B$5,I:I)),1,0)+K2145</f>
        <v>0</v>
      </c>
      <c r="M2145" s="3">
        <f ca="1">IF(AND(N2145&lt;&gt;N2144,ISNUMBER(SEARCH(Лист2!$B$6,N:N)),L2145=2),MAX($M$3:OFFSET(M2145,-1,0))+1,0)</f>
        <v>0</v>
      </c>
      <c r="N2145" s="3" t="s">
        <v>1817</v>
      </c>
    </row>
    <row r="2146" spans="1:14" x14ac:dyDescent="0.25">
      <c r="A2146" s="1" t="s">
        <v>11545</v>
      </c>
      <c r="B2146" s="3" t="s">
        <v>5770</v>
      </c>
      <c r="C2146" s="2">
        <f ca="1">IF(ISNUMBER(SEARCH(Лист2!$B$4,D:D)),MAX($C$3:OFFSET(C2146,-1,0))+1,0)</f>
        <v>0</v>
      </c>
      <c r="E2146" s="9" t="str">
        <f t="shared" ca="1" si="45"/>
        <v/>
      </c>
      <c r="F2146" s="4" t="s">
        <v>7</v>
      </c>
      <c r="G2146" s="2">
        <f>IF(ISNUMBER(SEARCH(Лист2!$B$4,F:F)),1,0)</f>
        <v>0</v>
      </c>
      <c r="H2146" s="3">
        <f ca="1">IF(AND(I2146&lt;&gt;I2145,ISNUMBER(SEARCH(Лист2!$B$5,I:I)),G2146=1),MAX($H$3:OFFSET(H2146,-1,0))+1,0)</f>
        <v>0</v>
      </c>
      <c r="I2146" s="3" t="s">
        <v>241</v>
      </c>
      <c r="K2146" s="2">
        <f>IF(ISNUMBER(SEARCH(Лист2!$B$4,F:F)),1,0)</f>
        <v>0</v>
      </c>
      <c r="L2146" s="14">
        <f>IF(ISNUMBER(SEARCH(Лист2!$B$5,I:I)),1,0)+K2146</f>
        <v>0</v>
      </c>
      <c r="M2146" s="3">
        <f ca="1">IF(AND(N2146&lt;&gt;N2145,ISNUMBER(SEARCH(Лист2!$B$6,N:N)),L2146=2),MAX($M$3:OFFSET(M2146,-1,0))+1,0)</f>
        <v>0</v>
      </c>
      <c r="N2146" s="3" t="s">
        <v>1817</v>
      </c>
    </row>
    <row r="2147" spans="1:14" x14ac:dyDescent="0.25">
      <c r="A2147" s="1" t="s">
        <v>11546</v>
      </c>
      <c r="B2147" s="3" t="s">
        <v>5771</v>
      </c>
      <c r="C2147" s="2">
        <f ca="1">IF(ISNUMBER(SEARCH(Лист2!$B$4,D:D)),MAX($C$3:OFFSET(C2147,-1,0))+1,0)</f>
        <v>0</v>
      </c>
      <c r="E2147" s="9" t="str">
        <f t="shared" ca="1" si="45"/>
        <v/>
      </c>
      <c r="F2147" s="4" t="s">
        <v>7</v>
      </c>
      <c r="G2147" s="2">
        <f>IF(ISNUMBER(SEARCH(Лист2!$B$4,F:F)),1,0)</f>
        <v>0</v>
      </c>
      <c r="H2147" s="3">
        <f ca="1">IF(AND(I2147&lt;&gt;I2146,ISNUMBER(SEARCH(Лист2!$B$5,I:I)),G2147=1),MAX($H$3:OFFSET(H2147,-1,0))+1,0)</f>
        <v>0</v>
      </c>
      <c r="I2147" s="3" t="s">
        <v>241</v>
      </c>
      <c r="K2147" s="2">
        <f>IF(ISNUMBER(SEARCH(Лист2!$B$4,F:F)),1,0)</f>
        <v>0</v>
      </c>
      <c r="L2147" s="14">
        <f>IF(ISNUMBER(SEARCH(Лист2!$B$5,I:I)),1,0)+K2147</f>
        <v>0</v>
      </c>
      <c r="M2147" s="3">
        <f ca="1">IF(AND(N2147&lt;&gt;N2146,ISNUMBER(SEARCH(Лист2!$B$6,N:N)),L2147=2),MAX($M$3:OFFSET(M2147,-1,0))+1,0)</f>
        <v>0</v>
      </c>
      <c r="N2147" s="3" t="s">
        <v>1619</v>
      </c>
    </row>
    <row r="2148" spans="1:14" x14ac:dyDescent="0.25">
      <c r="A2148" s="1" t="s">
        <v>11547</v>
      </c>
      <c r="B2148" s="3" t="s">
        <v>5772</v>
      </c>
      <c r="C2148" s="2">
        <f ca="1">IF(ISNUMBER(SEARCH(Лист2!$B$4,D:D)),MAX($C$3:OFFSET(C2148,-1,0))+1,0)</f>
        <v>0</v>
      </c>
      <c r="E2148" s="9" t="str">
        <f t="shared" ca="1" si="45"/>
        <v/>
      </c>
      <c r="F2148" s="4" t="s">
        <v>7</v>
      </c>
      <c r="G2148" s="2">
        <f>IF(ISNUMBER(SEARCH(Лист2!$B$4,F:F)),1,0)</f>
        <v>0</v>
      </c>
      <c r="H2148" s="3">
        <f ca="1">IF(AND(I2148&lt;&gt;I2147,ISNUMBER(SEARCH(Лист2!$B$5,I:I)),G2148=1),MAX($H$3:OFFSET(H2148,-1,0))+1,0)</f>
        <v>0</v>
      </c>
      <c r="I2148" s="3" t="s">
        <v>241</v>
      </c>
      <c r="K2148" s="2">
        <f>IF(ISNUMBER(SEARCH(Лист2!$B$4,F:F)),1,0)</f>
        <v>0</v>
      </c>
      <c r="L2148" s="14">
        <f>IF(ISNUMBER(SEARCH(Лист2!$B$5,I:I)),1,0)+K2148</f>
        <v>0</v>
      </c>
      <c r="M2148" s="3">
        <f ca="1">IF(AND(N2148&lt;&gt;N2147,ISNUMBER(SEARCH(Лист2!$B$6,N:N)),L2148=2),MAX($M$3:OFFSET(M2148,-1,0))+1,0)</f>
        <v>0</v>
      </c>
      <c r="N2148" s="3" t="s">
        <v>1620</v>
      </c>
    </row>
    <row r="2149" spans="1:14" x14ac:dyDescent="0.25">
      <c r="A2149" s="1" t="s">
        <v>11548</v>
      </c>
      <c r="B2149" s="3" t="s">
        <v>5773</v>
      </c>
      <c r="C2149" s="2">
        <f ca="1">IF(ISNUMBER(SEARCH(Лист2!$B$4,D:D)),MAX($C$3:OFFSET(C2149,-1,0))+1,0)</f>
        <v>0</v>
      </c>
      <c r="E2149" s="9" t="str">
        <f t="shared" ca="1" si="45"/>
        <v/>
      </c>
      <c r="F2149" s="4" t="s">
        <v>7</v>
      </c>
      <c r="G2149" s="2">
        <f>IF(ISNUMBER(SEARCH(Лист2!$B$4,F:F)),1,0)</f>
        <v>0</v>
      </c>
      <c r="H2149" s="3">
        <f ca="1">IF(AND(I2149&lt;&gt;I2148,ISNUMBER(SEARCH(Лист2!$B$5,I:I)),G2149=1),MAX($H$3:OFFSET(H2149,-1,0))+1,0)</f>
        <v>0</v>
      </c>
      <c r="I2149" s="3" t="s">
        <v>241</v>
      </c>
      <c r="K2149" s="2">
        <f>IF(ISNUMBER(SEARCH(Лист2!$B$4,F:F)),1,0)</f>
        <v>0</v>
      </c>
      <c r="L2149" s="14">
        <f>IF(ISNUMBER(SEARCH(Лист2!$B$5,I:I)),1,0)+K2149</f>
        <v>0</v>
      </c>
      <c r="M2149" s="3">
        <f ca="1">IF(AND(N2149&lt;&gt;N2148,ISNUMBER(SEARCH(Лист2!$B$6,N:N)),L2149=2),MAX($M$3:OFFSET(M2149,-1,0))+1,0)</f>
        <v>0</v>
      </c>
      <c r="N2149" s="3" t="s">
        <v>1634</v>
      </c>
    </row>
    <row r="2150" spans="1:14" x14ac:dyDescent="0.25">
      <c r="A2150" s="1" t="s">
        <v>11549</v>
      </c>
      <c r="B2150" s="3" t="s">
        <v>5774</v>
      </c>
      <c r="C2150" s="2">
        <f ca="1">IF(ISNUMBER(SEARCH(Лист2!$B$4,D:D)),MAX($C$3:OFFSET(C2150,-1,0))+1,0)</f>
        <v>0</v>
      </c>
      <c r="E2150" s="9" t="str">
        <f t="shared" ca="1" si="45"/>
        <v/>
      </c>
      <c r="F2150" s="4" t="s">
        <v>7</v>
      </c>
      <c r="G2150" s="2">
        <f>IF(ISNUMBER(SEARCH(Лист2!$B$4,F:F)),1,0)</f>
        <v>0</v>
      </c>
      <c r="H2150" s="3">
        <f ca="1">IF(AND(I2150&lt;&gt;I2149,ISNUMBER(SEARCH(Лист2!$B$5,I:I)),G2150=1),MAX($H$3:OFFSET(H2150,-1,0))+1,0)</f>
        <v>0</v>
      </c>
      <c r="I2150" s="3" t="s">
        <v>241</v>
      </c>
      <c r="K2150" s="2">
        <f>IF(ISNUMBER(SEARCH(Лист2!$B$4,F:F)),1,0)</f>
        <v>0</v>
      </c>
      <c r="L2150" s="14">
        <f>IF(ISNUMBER(SEARCH(Лист2!$B$5,I:I)),1,0)+K2150</f>
        <v>0</v>
      </c>
      <c r="M2150" s="3">
        <f ca="1">IF(AND(N2150&lt;&gt;N2149,ISNUMBER(SEARCH(Лист2!$B$6,N:N)),L2150=2),MAX($M$3:OFFSET(M2150,-1,0))+1,0)</f>
        <v>0</v>
      </c>
      <c r="N2150" s="3" t="s">
        <v>1621</v>
      </c>
    </row>
    <row r="2151" spans="1:14" x14ac:dyDescent="0.25">
      <c r="A2151" s="1" t="s">
        <v>11550</v>
      </c>
      <c r="B2151" s="3" t="s">
        <v>5775</v>
      </c>
      <c r="C2151" s="2">
        <f ca="1">IF(ISNUMBER(SEARCH(Лист2!$B$4,D:D)),MAX($C$3:OFFSET(C2151,-1,0))+1,0)</f>
        <v>0</v>
      </c>
      <c r="E2151" s="9" t="str">
        <f t="shared" ca="1" si="45"/>
        <v/>
      </c>
      <c r="F2151" s="4" t="s">
        <v>7</v>
      </c>
      <c r="G2151" s="2">
        <f>IF(ISNUMBER(SEARCH(Лист2!$B$4,F:F)),1,0)</f>
        <v>0</v>
      </c>
      <c r="H2151" s="3">
        <f ca="1">IF(AND(I2151&lt;&gt;I2150,ISNUMBER(SEARCH(Лист2!$B$5,I:I)),G2151=1),MAX($H$3:OFFSET(H2151,-1,0))+1,0)</f>
        <v>0</v>
      </c>
      <c r="I2151" s="3" t="s">
        <v>241</v>
      </c>
      <c r="K2151" s="2">
        <f>IF(ISNUMBER(SEARCH(Лист2!$B$4,F:F)),1,0)</f>
        <v>0</v>
      </c>
      <c r="L2151" s="14">
        <f>IF(ISNUMBER(SEARCH(Лист2!$B$5,I:I)),1,0)+K2151</f>
        <v>0</v>
      </c>
      <c r="M2151" s="3">
        <f ca="1">IF(AND(N2151&lt;&gt;N2150,ISNUMBER(SEARCH(Лист2!$B$6,N:N)),L2151=2),MAX($M$3:OFFSET(M2151,-1,0))+1,0)</f>
        <v>0</v>
      </c>
      <c r="N2151" s="3" t="s">
        <v>602</v>
      </c>
    </row>
    <row r="2152" spans="1:14" x14ac:dyDescent="0.25">
      <c r="A2152" s="1" t="s">
        <v>11551</v>
      </c>
      <c r="B2152" s="3" t="s">
        <v>5776</v>
      </c>
      <c r="C2152" s="2">
        <f ca="1">IF(ISNUMBER(SEARCH(Лист2!$B$4,D:D)),MAX($C$3:OFFSET(C2152,-1,0))+1,0)</f>
        <v>0</v>
      </c>
      <c r="E2152" s="9" t="str">
        <f t="shared" ca="1" si="45"/>
        <v/>
      </c>
      <c r="F2152" s="4" t="s">
        <v>7</v>
      </c>
      <c r="G2152" s="2">
        <f>IF(ISNUMBER(SEARCH(Лист2!$B$4,F:F)),1,0)</f>
        <v>0</v>
      </c>
      <c r="H2152" s="3">
        <f ca="1">IF(AND(I2152&lt;&gt;I2151,ISNUMBER(SEARCH(Лист2!$B$5,I:I)),G2152=1),MAX($H$3:OFFSET(H2152,-1,0))+1,0)</f>
        <v>0</v>
      </c>
      <c r="I2152" s="3" t="s">
        <v>241</v>
      </c>
      <c r="K2152" s="2">
        <f>IF(ISNUMBER(SEARCH(Лист2!$B$4,F:F)),1,0)</f>
        <v>0</v>
      </c>
      <c r="L2152" s="14">
        <f>IF(ISNUMBER(SEARCH(Лист2!$B$5,I:I)),1,0)+K2152</f>
        <v>0</v>
      </c>
      <c r="M2152" s="3">
        <f ca="1">IF(AND(N2152&lt;&gt;N2151,ISNUMBER(SEARCH(Лист2!$B$6,N:N)),L2152=2),MAX($M$3:OFFSET(M2152,-1,0))+1,0)</f>
        <v>0</v>
      </c>
      <c r="N2152" s="3" t="s">
        <v>1818</v>
      </c>
    </row>
    <row r="2153" spans="1:14" x14ac:dyDescent="0.25">
      <c r="A2153" s="1" t="s">
        <v>11552</v>
      </c>
      <c r="B2153" s="3" t="s">
        <v>5777</v>
      </c>
      <c r="C2153" s="2">
        <f ca="1">IF(ISNUMBER(SEARCH(Лист2!$B$4,D:D)),MAX($C$3:OFFSET(C2153,-1,0))+1,0)</f>
        <v>0</v>
      </c>
      <c r="E2153" s="9" t="str">
        <f t="shared" ca="1" si="45"/>
        <v/>
      </c>
      <c r="F2153" s="4" t="s">
        <v>7</v>
      </c>
      <c r="G2153" s="2">
        <f>IF(ISNUMBER(SEARCH(Лист2!$B$4,F:F)),1,0)</f>
        <v>0</v>
      </c>
      <c r="H2153" s="3">
        <f ca="1">IF(AND(I2153&lt;&gt;I2152,ISNUMBER(SEARCH(Лист2!$B$5,I:I)),G2153=1),MAX($H$3:OFFSET(H2153,-1,0))+1,0)</f>
        <v>0</v>
      </c>
      <c r="I2153" s="3" t="s">
        <v>241</v>
      </c>
      <c r="K2153" s="2">
        <f>IF(ISNUMBER(SEARCH(Лист2!$B$4,F:F)),1,0)</f>
        <v>0</v>
      </c>
      <c r="L2153" s="14">
        <f>IF(ISNUMBER(SEARCH(Лист2!$B$5,I:I)),1,0)+K2153</f>
        <v>0</v>
      </c>
      <c r="M2153" s="3">
        <f ca="1">IF(AND(N2153&lt;&gt;N2152,ISNUMBER(SEARCH(Лист2!$B$6,N:N)),L2153=2),MAX($M$3:OFFSET(M2153,-1,0))+1,0)</f>
        <v>0</v>
      </c>
      <c r="N2153" s="3" t="s">
        <v>1819</v>
      </c>
    </row>
    <row r="2154" spans="1:14" x14ac:dyDescent="0.25">
      <c r="A2154" s="1" t="s">
        <v>11553</v>
      </c>
      <c r="B2154" s="3" t="s">
        <v>5778</v>
      </c>
      <c r="C2154" s="2">
        <f ca="1">IF(ISNUMBER(SEARCH(Лист2!$B$4,D:D)),MAX($C$3:OFFSET(C2154,-1,0))+1,0)</f>
        <v>0</v>
      </c>
      <c r="E2154" s="9" t="str">
        <f t="shared" ca="1" si="45"/>
        <v/>
      </c>
      <c r="F2154" s="4" t="s">
        <v>7</v>
      </c>
      <c r="G2154" s="2">
        <f>IF(ISNUMBER(SEARCH(Лист2!$B$4,F:F)),1,0)</f>
        <v>0</v>
      </c>
      <c r="H2154" s="3">
        <f ca="1">IF(AND(I2154&lt;&gt;I2153,ISNUMBER(SEARCH(Лист2!$B$5,I:I)),G2154=1),MAX($H$3:OFFSET(H2154,-1,0))+1,0)</f>
        <v>0</v>
      </c>
      <c r="I2154" s="3" t="s">
        <v>241</v>
      </c>
      <c r="K2154" s="2">
        <f>IF(ISNUMBER(SEARCH(Лист2!$B$4,F:F)),1,0)</f>
        <v>0</v>
      </c>
      <c r="L2154" s="14">
        <f>IF(ISNUMBER(SEARCH(Лист2!$B$5,I:I)),1,0)+K2154</f>
        <v>0</v>
      </c>
      <c r="M2154" s="3">
        <f ca="1">IF(AND(N2154&lt;&gt;N2153,ISNUMBER(SEARCH(Лист2!$B$6,N:N)),L2154=2),MAX($M$3:OFFSET(M2154,-1,0))+1,0)</f>
        <v>0</v>
      </c>
      <c r="N2154" s="3" t="s">
        <v>1820</v>
      </c>
    </row>
    <row r="2155" spans="1:14" x14ac:dyDescent="0.25">
      <c r="A2155" s="1" t="s">
        <v>11554</v>
      </c>
      <c r="B2155" s="3" t="s">
        <v>5779</v>
      </c>
      <c r="C2155" s="2">
        <f ca="1">IF(ISNUMBER(SEARCH(Лист2!$B$4,D:D)),MAX($C$3:OFFSET(C2155,-1,0))+1,0)</f>
        <v>0</v>
      </c>
      <c r="E2155" s="9" t="str">
        <f t="shared" ca="1" si="45"/>
        <v/>
      </c>
      <c r="F2155" s="4" t="s">
        <v>7</v>
      </c>
      <c r="G2155" s="2">
        <f>IF(ISNUMBER(SEARCH(Лист2!$B$4,F:F)),1,0)</f>
        <v>0</v>
      </c>
      <c r="H2155" s="3">
        <f ca="1">IF(AND(I2155&lt;&gt;I2154,ISNUMBER(SEARCH(Лист2!$B$5,I:I)),G2155=1),MAX($H$3:OFFSET(H2155,-1,0))+1,0)</f>
        <v>0</v>
      </c>
      <c r="I2155" s="3" t="s">
        <v>242</v>
      </c>
      <c r="K2155" s="2">
        <f>IF(ISNUMBER(SEARCH(Лист2!$B$4,F:F)),1,0)</f>
        <v>0</v>
      </c>
      <c r="L2155" s="14">
        <f>IF(ISNUMBER(SEARCH(Лист2!$B$5,I:I)),1,0)+K2155</f>
        <v>0</v>
      </c>
      <c r="M2155" s="3">
        <f ca="1">IF(AND(N2155&lt;&gt;N2154,ISNUMBER(SEARCH(Лист2!$B$6,N:N)),L2155=2),MAX($M$3:OFFSET(M2155,-1,0))+1,0)</f>
        <v>0</v>
      </c>
      <c r="N2155" s="3" t="s">
        <v>1821</v>
      </c>
    </row>
    <row r="2156" spans="1:14" x14ac:dyDescent="0.25">
      <c r="A2156" s="1" t="s">
        <v>11554</v>
      </c>
      <c r="B2156" s="3" t="s">
        <v>5780</v>
      </c>
      <c r="C2156" s="2">
        <f ca="1">IF(ISNUMBER(SEARCH(Лист2!$B$4,D:D)),MAX($C$3:OFFSET(C2156,-1,0))+1,0)</f>
        <v>0</v>
      </c>
      <c r="E2156" s="9" t="str">
        <f t="shared" ca="1" si="45"/>
        <v/>
      </c>
      <c r="F2156" s="4" t="s">
        <v>7</v>
      </c>
      <c r="G2156" s="2">
        <f>IF(ISNUMBER(SEARCH(Лист2!$B$4,F:F)),1,0)</f>
        <v>0</v>
      </c>
      <c r="H2156" s="3">
        <f ca="1">IF(AND(I2156&lt;&gt;I2155,ISNUMBER(SEARCH(Лист2!$B$5,I:I)),G2156=1),MAX($H$3:OFFSET(H2156,-1,0))+1,0)</f>
        <v>0</v>
      </c>
      <c r="I2156" s="3" t="s">
        <v>242</v>
      </c>
      <c r="K2156" s="2">
        <f>IF(ISNUMBER(SEARCH(Лист2!$B$4,F:F)),1,0)</f>
        <v>0</v>
      </c>
      <c r="L2156" s="14">
        <f>IF(ISNUMBER(SEARCH(Лист2!$B$5,I:I)),1,0)+K2156</f>
        <v>0</v>
      </c>
      <c r="M2156" s="3">
        <f ca="1">IF(AND(N2156&lt;&gt;N2155,ISNUMBER(SEARCH(Лист2!$B$6,N:N)),L2156=2),MAX($M$3:OFFSET(M2156,-1,0))+1,0)</f>
        <v>0</v>
      </c>
      <c r="N2156" s="3" t="s">
        <v>1821</v>
      </c>
    </row>
    <row r="2157" spans="1:14" x14ac:dyDescent="0.25">
      <c r="A2157" s="1" t="s">
        <v>11554</v>
      </c>
      <c r="B2157" s="3" t="s">
        <v>5781</v>
      </c>
      <c r="C2157" s="2">
        <f ca="1">IF(ISNUMBER(SEARCH(Лист2!$B$4,D:D)),MAX($C$3:OFFSET(C2157,-1,0))+1,0)</f>
        <v>0</v>
      </c>
      <c r="E2157" s="9" t="str">
        <f t="shared" ca="1" si="45"/>
        <v/>
      </c>
      <c r="F2157" s="4" t="s">
        <v>7</v>
      </c>
      <c r="G2157" s="2">
        <f>IF(ISNUMBER(SEARCH(Лист2!$B$4,F:F)),1,0)</f>
        <v>0</v>
      </c>
      <c r="H2157" s="3">
        <f ca="1">IF(AND(I2157&lt;&gt;I2156,ISNUMBER(SEARCH(Лист2!$B$5,I:I)),G2157=1),MAX($H$3:OFFSET(H2157,-1,0))+1,0)</f>
        <v>0</v>
      </c>
      <c r="I2157" s="3" t="s">
        <v>242</v>
      </c>
      <c r="K2157" s="2">
        <f>IF(ISNUMBER(SEARCH(Лист2!$B$4,F:F)),1,0)</f>
        <v>0</v>
      </c>
      <c r="L2157" s="14">
        <f>IF(ISNUMBER(SEARCH(Лист2!$B$5,I:I)),1,0)+K2157</f>
        <v>0</v>
      </c>
      <c r="M2157" s="3">
        <f ca="1">IF(AND(N2157&lt;&gt;N2156,ISNUMBER(SEARCH(Лист2!$B$6,N:N)),L2157=2),MAX($M$3:OFFSET(M2157,-1,0))+1,0)</f>
        <v>0</v>
      </c>
      <c r="N2157" s="3" t="s">
        <v>1821</v>
      </c>
    </row>
    <row r="2158" spans="1:14" x14ac:dyDescent="0.25">
      <c r="A2158" s="1" t="s">
        <v>11555</v>
      </c>
      <c r="B2158" s="3" t="s">
        <v>5782</v>
      </c>
      <c r="C2158" s="2">
        <f ca="1">IF(ISNUMBER(SEARCH(Лист2!$B$4,D:D)),MAX($C$3:OFFSET(C2158,-1,0))+1,0)</f>
        <v>0</v>
      </c>
      <c r="E2158" s="9" t="str">
        <f t="shared" ca="1" si="45"/>
        <v/>
      </c>
      <c r="F2158" s="4" t="s">
        <v>7</v>
      </c>
      <c r="G2158" s="2">
        <f>IF(ISNUMBER(SEARCH(Лист2!$B$4,F:F)),1,0)</f>
        <v>0</v>
      </c>
      <c r="H2158" s="3">
        <f ca="1">IF(AND(I2158&lt;&gt;I2157,ISNUMBER(SEARCH(Лист2!$B$5,I:I)),G2158=1),MAX($H$3:OFFSET(H2158,-1,0))+1,0)</f>
        <v>0</v>
      </c>
      <c r="I2158" s="3" t="s">
        <v>242</v>
      </c>
      <c r="K2158" s="2">
        <f>IF(ISNUMBER(SEARCH(Лист2!$B$4,F:F)),1,0)</f>
        <v>0</v>
      </c>
      <c r="L2158" s="14">
        <f>IF(ISNUMBER(SEARCH(Лист2!$B$5,I:I)),1,0)+K2158</f>
        <v>0</v>
      </c>
      <c r="M2158" s="3">
        <f ca="1">IF(AND(N2158&lt;&gt;N2157,ISNUMBER(SEARCH(Лист2!$B$6,N:N)),L2158=2),MAX($M$3:OFFSET(M2158,-1,0))+1,0)</f>
        <v>0</v>
      </c>
      <c r="N2158" s="3" t="s">
        <v>1822</v>
      </c>
    </row>
    <row r="2159" spans="1:14" x14ac:dyDescent="0.25">
      <c r="A2159" s="1" t="s">
        <v>11555</v>
      </c>
      <c r="B2159" s="3" t="s">
        <v>5783</v>
      </c>
      <c r="C2159" s="2">
        <f ca="1">IF(ISNUMBER(SEARCH(Лист2!$B$4,D:D)),MAX($C$3:OFFSET(C2159,-1,0))+1,0)</f>
        <v>0</v>
      </c>
      <c r="E2159" s="9" t="str">
        <f t="shared" ca="1" si="45"/>
        <v/>
      </c>
      <c r="F2159" s="4" t="s">
        <v>7</v>
      </c>
      <c r="G2159" s="2">
        <f>IF(ISNUMBER(SEARCH(Лист2!$B$4,F:F)),1,0)</f>
        <v>0</v>
      </c>
      <c r="H2159" s="3">
        <f ca="1">IF(AND(I2159&lt;&gt;I2158,ISNUMBER(SEARCH(Лист2!$B$5,I:I)),G2159=1),MAX($H$3:OFFSET(H2159,-1,0))+1,0)</f>
        <v>0</v>
      </c>
      <c r="I2159" s="3" t="s">
        <v>242</v>
      </c>
      <c r="K2159" s="2">
        <f>IF(ISNUMBER(SEARCH(Лист2!$B$4,F:F)),1,0)</f>
        <v>0</v>
      </c>
      <c r="L2159" s="14">
        <f>IF(ISNUMBER(SEARCH(Лист2!$B$5,I:I)),1,0)+K2159</f>
        <v>0</v>
      </c>
      <c r="M2159" s="3">
        <f ca="1">IF(AND(N2159&lt;&gt;N2158,ISNUMBER(SEARCH(Лист2!$B$6,N:N)),L2159=2),MAX($M$3:OFFSET(M2159,-1,0))+1,0)</f>
        <v>0</v>
      </c>
      <c r="N2159" s="3" t="s">
        <v>1822</v>
      </c>
    </row>
    <row r="2160" spans="1:14" x14ac:dyDescent="0.25">
      <c r="A2160" s="1" t="s">
        <v>11555</v>
      </c>
      <c r="B2160" s="3" t="s">
        <v>5784</v>
      </c>
      <c r="C2160" s="2">
        <f ca="1">IF(ISNUMBER(SEARCH(Лист2!$B$4,D:D)),MAX($C$3:OFFSET(C2160,-1,0))+1,0)</f>
        <v>0</v>
      </c>
      <c r="E2160" s="9" t="str">
        <f t="shared" ca="1" si="45"/>
        <v/>
      </c>
      <c r="F2160" s="4" t="s">
        <v>7</v>
      </c>
      <c r="G2160" s="2">
        <f>IF(ISNUMBER(SEARCH(Лист2!$B$4,F:F)),1,0)</f>
        <v>0</v>
      </c>
      <c r="H2160" s="3">
        <f ca="1">IF(AND(I2160&lt;&gt;I2159,ISNUMBER(SEARCH(Лист2!$B$5,I:I)),G2160=1),MAX($H$3:OFFSET(H2160,-1,0))+1,0)</f>
        <v>0</v>
      </c>
      <c r="I2160" s="3" t="s">
        <v>242</v>
      </c>
      <c r="K2160" s="2">
        <f>IF(ISNUMBER(SEARCH(Лист2!$B$4,F:F)),1,0)</f>
        <v>0</v>
      </c>
      <c r="L2160" s="14">
        <f>IF(ISNUMBER(SEARCH(Лист2!$B$5,I:I)),1,0)+K2160</f>
        <v>0</v>
      </c>
      <c r="M2160" s="3">
        <f ca="1">IF(AND(N2160&lt;&gt;N2159,ISNUMBER(SEARCH(Лист2!$B$6,N:N)),L2160=2),MAX($M$3:OFFSET(M2160,-1,0))+1,0)</f>
        <v>0</v>
      </c>
      <c r="N2160" s="3" t="s">
        <v>1822</v>
      </c>
    </row>
    <row r="2161" spans="1:14" x14ac:dyDescent="0.25">
      <c r="A2161" s="1" t="s">
        <v>11556</v>
      </c>
      <c r="B2161" s="3" t="s">
        <v>5785</v>
      </c>
      <c r="C2161" s="2">
        <f ca="1">IF(ISNUMBER(SEARCH(Лист2!$B$4,D:D)),MAX($C$3:OFFSET(C2161,-1,0))+1,0)</f>
        <v>0</v>
      </c>
      <c r="E2161" s="9" t="str">
        <f t="shared" ca="1" si="45"/>
        <v/>
      </c>
      <c r="F2161" s="4" t="s">
        <v>7</v>
      </c>
      <c r="G2161" s="2">
        <f>IF(ISNUMBER(SEARCH(Лист2!$B$4,F:F)),1,0)</f>
        <v>0</v>
      </c>
      <c r="H2161" s="3">
        <f ca="1">IF(AND(I2161&lt;&gt;I2160,ISNUMBER(SEARCH(Лист2!$B$5,I:I)),G2161=1),MAX($H$3:OFFSET(H2161,-1,0))+1,0)</f>
        <v>0</v>
      </c>
      <c r="I2161" s="3" t="s">
        <v>242</v>
      </c>
      <c r="K2161" s="2">
        <f>IF(ISNUMBER(SEARCH(Лист2!$B$4,F:F)),1,0)</f>
        <v>0</v>
      </c>
      <c r="L2161" s="14">
        <f>IF(ISNUMBER(SEARCH(Лист2!$B$5,I:I)),1,0)+K2161</f>
        <v>0</v>
      </c>
      <c r="M2161" s="3">
        <f ca="1">IF(AND(N2161&lt;&gt;N2160,ISNUMBER(SEARCH(Лист2!$B$6,N:N)),L2161=2),MAX($M$3:OFFSET(M2161,-1,0))+1,0)</f>
        <v>0</v>
      </c>
      <c r="N2161" s="3" t="s">
        <v>1619</v>
      </c>
    </row>
    <row r="2162" spans="1:14" x14ac:dyDescent="0.25">
      <c r="A2162" s="1" t="s">
        <v>11557</v>
      </c>
      <c r="B2162" s="3" t="s">
        <v>5786</v>
      </c>
      <c r="C2162" s="2">
        <f ca="1">IF(ISNUMBER(SEARCH(Лист2!$B$4,D:D)),MAX($C$3:OFFSET(C2162,-1,0))+1,0)</f>
        <v>0</v>
      </c>
      <c r="E2162" s="9" t="str">
        <f t="shared" ca="1" si="45"/>
        <v/>
      </c>
      <c r="F2162" s="4" t="s">
        <v>7</v>
      </c>
      <c r="G2162" s="2">
        <f>IF(ISNUMBER(SEARCH(Лист2!$B$4,F:F)),1,0)</f>
        <v>0</v>
      </c>
      <c r="H2162" s="3">
        <f ca="1">IF(AND(I2162&lt;&gt;I2161,ISNUMBER(SEARCH(Лист2!$B$5,I:I)),G2162=1),MAX($H$3:OFFSET(H2162,-1,0))+1,0)</f>
        <v>0</v>
      </c>
      <c r="I2162" s="3" t="s">
        <v>242</v>
      </c>
      <c r="K2162" s="2">
        <f>IF(ISNUMBER(SEARCH(Лист2!$B$4,F:F)),1,0)</f>
        <v>0</v>
      </c>
      <c r="L2162" s="14">
        <f>IF(ISNUMBER(SEARCH(Лист2!$B$5,I:I)),1,0)+K2162</f>
        <v>0</v>
      </c>
      <c r="M2162" s="3">
        <f ca="1">IF(AND(N2162&lt;&gt;N2161,ISNUMBER(SEARCH(Лист2!$B$6,N:N)),L2162=2),MAX($M$3:OFFSET(M2162,-1,0))+1,0)</f>
        <v>0</v>
      </c>
      <c r="N2162" s="3" t="s">
        <v>1620</v>
      </c>
    </row>
    <row r="2163" spans="1:14" x14ac:dyDescent="0.25">
      <c r="A2163" s="1" t="s">
        <v>11558</v>
      </c>
      <c r="B2163" s="3" t="s">
        <v>5787</v>
      </c>
      <c r="C2163" s="2">
        <f ca="1">IF(ISNUMBER(SEARCH(Лист2!$B$4,D:D)),MAX($C$3:OFFSET(C2163,-1,0))+1,0)</f>
        <v>0</v>
      </c>
      <c r="E2163" s="9" t="str">
        <f t="shared" ca="1" si="45"/>
        <v/>
      </c>
      <c r="F2163" s="4" t="s">
        <v>7</v>
      </c>
      <c r="G2163" s="2">
        <f>IF(ISNUMBER(SEARCH(Лист2!$B$4,F:F)),1,0)</f>
        <v>0</v>
      </c>
      <c r="H2163" s="3">
        <f ca="1">IF(AND(I2163&lt;&gt;I2162,ISNUMBER(SEARCH(Лист2!$B$5,I:I)),G2163=1),MAX($H$3:OFFSET(H2163,-1,0))+1,0)</f>
        <v>0</v>
      </c>
      <c r="I2163" s="3" t="s">
        <v>242</v>
      </c>
      <c r="K2163" s="2">
        <f>IF(ISNUMBER(SEARCH(Лист2!$B$4,F:F)),1,0)</f>
        <v>0</v>
      </c>
      <c r="L2163" s="14">
        <f>IF(ISNUMBER(SEARCH(Лист2!$B$5,I:I)),1,0)+K2163</f>
        <v>0</v>
      </c>
      <c r="M2163" s="3">
        <f ca="1">IF(AND(N2163&lt;&gt;N2162,ISNUMBER(SEARCH(Лист2!$B$6,N:N)),L2163=2),MAX($M$3:OFFSET(M2163,-1,0))+1,0)</f>
        <v>0</v>
      </c>
      <c r="N2163" s="3" t="s">
        <v>1621</v>
      </c>
    </row>
    <row r="2164" spans="1:14" x14ac:dyDescent="0.25">
      <c r="A2164" s="1" t="s">
        <v>11559</v>
      </c>
      <c r="B2164" s="3" t="s">
        <v>5788</v>
      </c>
      <c r="C2164" s="2">
        <f ca="1">IF(ISNUMBER(SEARCH(Лист2!$B$4,D:D)),MAX($C$3:OFFSET(C2164,-1,0))+1,0)</f>
        <v>0</v>
      </c>
      <c r="E2164" s="9" t="str">
        <f t="shared" ca="1" si="45"/>
        <v/>
      </c>
      <c r="F2164" s="4" t="s">
        <v>7</v>
      </c>
      <c r="G2164" s="2">
        <f>IF(ISNUMBER(SEARCH(Лист2!$B$4,F:F)),1,0)</f>
        <v>0</v>
      </c>
      <c r="H2164" s="3">
        <f ca="1">IF(AND(I2164&lt;&gt;I2163,ISNUMBER(SEARCH(Лист2!$B$5,I:I)),G2164=1),MAX($H$3:OFFSET(H2164,-1,0))+1,0)</f>
        <v>0</v>
      </c>
      <c r="I2164" s="3" t="s">
        <v>242</v>
      </c>
      <c r="K2164" s="2">
        <f>IF(ISNUMBER(SEARCH(Лист2!$B$4,F:F)),1,0)</f>
        <v>0</v>
      </c>
      <c r="L2164" s="14">
        <f>IF(ISNUMBER(SEARCH(Лист2!$B$5,I:I)),1,0)+K2164</f>
        <v>0</v>
      </c>
      <c r="M2164" s="3">
        <f ca="1">IF(AND(N2164&lt;&gt;N2163,ISNUMBER(SEARCH(Лист2!$B$6,N:N)),L2164=2),MAX($M$3:OFFSET(M2164,-1,0))+1,0)</f>
        <v>0</v>
      </c>
      <c r="N2164" s="3" t="s">
        <v>602</v>
      </c>
    </row>
    <row r="2165" spans="1:14" x14ac:dyDescent="0.25">
      <c r="A2165" s="1" t="s">
        <v>11560</v>
      </c>
      <c r="B2165" s="3" t="s">
        <v>5789</v>
      </c>
      <c r="C2165" s="2">
        <f ca="1">IF(ISNUMBER(SEARCH(Лист2!$B$4,D:D)),MAX($C$3:OFFSET(C2165,-1,0))+1,0)</f>
        <v>0</v>
      </c>
      <c r="E2165" s="9" t="str">
        <f t="shared" ca="1" si="45"/>
        <v/>
      </c>
      <c r="F2165" s="4" t="s">
        <v>7</v>
      </c>
      <c r="G2165" s="2">
        <f>IF(ISNUMBER(SEARCH(Лист2!$B$4,F:F)),1,0)</f>
        <v>0</v>
      </c>
      <c r="H2165" s="3">
        <f ca="1">IF(AND(I2165&lt;&gt;I2164,ISNUMBER(SEARCH(Лист2!$B$5,I:I)),G2165=1),MAX($H$3:OFFSET(H2165,-1,0))+1,0)</f>
        <v>0</v>
      </c>
      <c r="I2165" s="3" t="s">
        <v>242</v>
      </c>
      <c r="K2165" s="2">
        <f>IF(ISNUMBER(SEARCH(Лист2!$B$4,F:F)),1,0)</f>
        <v>0</v>
      </c>
      <c r="L2165" s="14">
        <f>IF(ISNUMBER(SEARCH(Лист2!$B$5,I:I)),1,0)+K2165</f>
        <v>0</v>
      </c>
      <c r="M2165" s="3">
        <f ca="1">IF(AND(N2165&lt;&gt;N2164,ISNUMBER(SEARCH(Лист2!$B$6,N:N)),L2165=2),MAX($M$3:OFFSET(M2165,-1,0))+1,0)</f>
        <v>0</v>
      </c>
      <c r="N2165" s="3" t="s">
        <v>1823</v>
      </c>
    </row>
    <row r="2166" spans="1:14" x14ac:dyDescent="0.25">
      <c r="A2166" s="1" t="s">
        <v>11561</v>
      </c>
      <c r="B2166" s="3" t="s">
        <v>5790</v>
      </c>
      <c r="C2166" s="2">
        <f ca="1">IF(ISNUMBER(SEARCH(Лист2!$B$4,D:D)),MAX($C$3:OFFSET(C2166,-1,0))+1,0)</f>
        <v>0</v>
      </c>
      <c r="E2166" s="9" t="str">
        <f t="shared" ca="1" si="45"/>
        <v/>
      </c>
      <c r="F2166" s="4" t="s">
        <v>7</v>
      </c>
      <c r="G2166" s="2">
        <f>IF(ISNUMBER(SEARCH(Лист2!$B$4,F:F)),1,0)</f>
        <v>0</v>
      </c>
      <c r="H2166" s="3">
        <f ca="1">IF(AND(I2166&lt;&gt;I2165,ISNUMBER(SEARCH(Лист2!$B$5,I:I)),G2166=1),MAX($H$3:OFFSET(H2166,-1,0))+1,0)</f>
        <v>0</v>
      </c>
      <c r="I2166" s="3" t="s">
        <v>242</v>
      </c>
      <c r="K2166" s="2">
        <f>IF(ISNUMBER(SEARCH(Лист2!$B$4,F:F)),1,0)</f>
        <v>0</v>
      </c>
      <c r="L2166" s="14">
        <f>IF(ISNUMBER(SEARCH(Лист2!$B$5,I:I)),1,0)+K2166</f>
        <v>0</v>
      </c>
      <c r="M2166" s="3">
        <f ca="1">IF(AND(N2166&lt;&gt;N2165,ISNUMBER(SEARCH(Лист2!$B$6,N:N)),L2166=2),MAX($M$3:OFFSET(M2166,-1,0))+1,0)</f>
        <v>0</v>
      </c>
      <c r="N2166" s="3" t="s">
        <v>1824</v>
      </c>
    </row>
    <row r="2167" spans="1:14" x14ac:dyDescent="0.25">
      <c r="A2167" s="1" t="s">
        <v>11562</v>
      </c>
      <c r="B2167" s="3" t="s">
        <v>5791</v>
      </c>
      <c r="C2167" s="2">
        <f ca="1">IF(ISNUMBER(SEARCH(Лист2!$B$4,D:D)),MAX($C$3:OFFSET(C2167,-1,0))+1,0)</f>
        <v>0</v>
      </c>
      <c r="E2167" s="9" t="str">
        <f t="shared" ca="1" si="45"/>
        <v/>
      </c>
      <c r="F2167" s="4" t="s">
        <v>7</v>
      </c>
      <c r="G2167" s="2">
        <f>IF(ISNUMBER(SEARCH(Лист2!$B$4,F:F)),1,0)</f>
        <v>0</v>
      </c>
      <c r="H2167" s="3">
        <f ca="1">IF(AND(I2167&lt;&gt;I2166,ISNUMBER(SEARCH(Лист2!$B$5,I:I)),G2167=1),MAX($H$3:OFFSET(H2167,-1,0))+1,0)</f>
        <v>0</v>
      </c>
      <c r="I2167" s="3" t="s">
        <v>242</v>
      </c>
      <c r="K2167" s="2">
        <f>IF(ISNUMBER(SEARCH(Лист2!$B$4,F:F)),1,0)</f>
        <v>0</v>
      </c>
      <c r="L2167" s="14">
        <f>IF(ISNUMBER(SEARCH(Лист2!$B$5,I:I)),1,0)+K2167</f>
        <v>0</v>
      </c>
      <c r="M2167" s="3">
        <f ca="1">IF(AND(N2167&lt;&gt;N2166,ISNUMBER(SEARCH(Лист2!$B$6,N:N)),L2167=2),MAX($M$3:OFFSET(M2167,-1,0))+1,0)</f>
        <v>0</v>
      </c>
      <c r="N2167" s="3" t="s">
        <v>1825</v>
      </c>
    </row>
    <row r="2168" spans="1:14" x14ac:dyDescent="0.25">
      <c r="A2168" s="1" t="s">
        <v>11563</v>
      </c>
      <c r="B2168" s="3" t="s">
        <v>5792</v>
      </c>
      <c r="C2168" s="2">
        <f ca="1">IF(ISNUMBER(SEARCH(Лист2!$B$4,D:D)),MAX($C$3:OFFSET(C2168,-1,0))+1,0)</f>
        <v>0</v>
      </c>
      <c r="E2168" s="9" t="str">
        <f t="shared" ca="1" si="45"/>
        <v/>
      </c>
      <c r="F2168" s="4" t="s">
        <v>7</v>
      </c>
      <c r="G2168" s="2">
        <f>IF(ISNUMBER(SEARCH(Лист2!$B$4,F:F)),1,0)</f>
        <v>0</v>
      </c>
      <c r="H2168" s="3">
        <f ca="1">IF(AND(I2168&lt;&gt;I2167,ISNUMBER(SEARCH(Лист2!$B$5,I:I)),G2168=1),MAX($H$3:OFFSET(H2168,-1,0))+1,0)</f>
        <v>0</v>
      </c>
      <c r="I2168" s="3" t="s">
        <v>225</v>
      </c>
      <c r="K2168" s="2">
        <f>IF(ISNUMBER(SEARCH(Лист2!$B$4,F:F)),1,0)</f>
        <v>0</v>
      </c>
      <c r="L2168" s="14">
        <f>IF(ISNUMBER(SEARCH(Лист2!$B$5,I:I)),1,0)+K2168</f>
        <v>0</v>
      </c>
      <c r="M2168" s="3">
        <f ca="1">IF(AND(N2168&lt;&gt;N2167,ISNUMBER(SEARCH(Лист2!$B$6,N:N)),L2168=2),MAX($M$3:OFFSET(M2168,-1,0))+1,0)</f>
        <v>0</v>
      </c>
      <c r="N2168" s="3" t="s">
        <v>1826</v>
      </c>
    </row>
    <row r="2169" spans="1:14" x14ac:dyDescent="0.25">
      <c r="A2169" s="1" t="s">
        <v>11564</v>
      </c>
      <c r="B2169" s="3" t="s">
        <v>5793</v>
      </c>
      <c r="C2169" s="2">
        <f ca="1">IF(ISNUMBER(SEARCH(Лист2!$B$4,D:D)),MAX($C$3:OFFSET(C2169,-1,0))+1,0)</f>
        <v>0</v>
      </c>
      <c r="E2169" s="9" t="str">
        <f t="shared" ca="1" si="45"/>
        <v/>
      </c>
      <c r="F2169" s="4" t="s">
        <v>7</v>
      </c>
      <c r="G2169" s="2">
        <f>IF(ISNUMBER(SEARCH(Лист2!$B$4,F:F)),1,0)</f>
        <v>0</v>
      </c>
      <c r="H2169" s="3">
        <f ca="1">IF(AND(I2169&lt;&gt;I2168,ISNUMBER(SEARCH(Лист2!$B$5,I:I)),G2169=1),MAX($H$3:OFFSET(H2169,-1,0))+1,0)</f>
        <v>0</v>
      </c>
      <c r="I2169" s="3" t="s">
        <v>225</v>
      </c>
      <c r="K2169" s="2">
        <f>IF(ISNUMBER(SEARCH(Лист2!$B$4,F:F)),1,0)</f>
        <v>0</v>
      </c>
      <c r="L2169" s="14">
        <f>IF(ISNUMBER(SEARCH(Лист2!$B$5,I:I)),1,0)+K2169</f>
        <v>0</v>
      </c>
      <c r="M2169" s="3">
        <f ca="1">IF(AND(N2169&lt;&gt;N2168,ISNUMBER(SEARCH(Лист2!$B$6,N:N)),L2169=2),MAX($M$3:OFFSET(M2169,-1,0))+1,0)</f>
        <v>0</v>
      </c>
      <c r="N2169" s="3" t="s">
        <v>1827</v>
      </c>
    </row>
    <row r="2170" spans="1:14" x14ac:dyDescent="0.25">
      <c r="A2170" s="1" t="s">
        <v>11339</v>
      </c>
      <c r="B2170" s="3" t="s">
        <v>5794</v>
      </c>
      <c r="C2170" s="2">
        <f ca="1">IF(ISNUMBER(SEARCH(Лист2!$B$4,D:D)),MAX($C$3:OFFSET(C2170,-1,0))+1,0)</f>
        <v>0</v>
      </c>
      <c r="E2170" s="9" t="str">
        <f t="shared" ca="1" si="45"/>
        <v/>
      </c>
      <c r="F2170" s="4" t="s">
        <v>7</v>
      </c>
      <c r="G2170" s="2">
        <f>IF(ISNUMBER(SEARCH(Лист2!$B$4,F:F)),1,0)</f>
        <v>0</v>
      </c>
      <c r="H2170" s="3">
        <f ca="1">IF(AND(I2170&lt;&gt;I2169,ISNUMBER(SEARCH(Лист2!$B$5,I:I)),G2170=1),MAX($H$3:OFFSET(H2170,-1,0))+1,0)</f>
        <v>0</v>
      </c>
      <c r="I2170" s="3" t="s">
        <v>225</v>
      </c>
      <c r="K2170" s="2">
        <f>IF(ISNUMBER(SEARCH(Лист2!$B$4,F:F)),1,0)</f>
        <v>0</v>
      </c>
      <c r="L2170" s="14">
        <f>IF(ISNUMBER(SEARCH(Лист2!$B$5,I:I)),1,0)+K2170</f>
        <v>0</v>
      </c>
      <c r="M2170" s="3">
        <f ca="1">IF(AND(N2170&lt;&gt;N2169,ISNUMBER(SEARCH(Лист2!$B$6,N:N)),L2170=2),MAX($M$3:OFFSET(M2170,-1,0))+1,0)</f>
        <v>0</v>
      </c>
      <c r="N2170" s="3" t="s">
        <v>1678</v>
      </c>
    </row>
    <row r="2171" spans="1:14" x14ac:dyDescent="0.25">
      <c r="A2171" s="1" t="s">
        <v>11340</v>
      </c>
      <c r="B2171" s="3" t="s">
        <v>5795</v>
      </c>
      <c r="C2171" s="2">
        <f ca="1">IF(ISNUMBER(SEARCH(Лист2!$B$4,D:D)),MAX($C$3:OFFSET(C2171,-1,0))+1,0)</f>
        <v>0</v>
      </c>
      <c r="E2171" s="9" t="str">
        <f t="shared" ca="1" si="45"/>
        <v/>
      </c>
      <c r="F2171" s="4" t="s">
        <v>7</v>
      </c>
      <c r="G2171" s="2">
        <f>IF(ISNUMBER(SEARCH(Лист2!$B$4,F:F)),1,0)</f>
        <v>0</v>
      </c>
      <c r="H2171" s="3">
        <f ca="1">IF(AND(I2171&lt;&gt;I2170,ISNUMBER(SEARCH(Лист2!$B$5,I:I)),G2171=1),MAX($H$3:OFFSET(H2171,-1,0))+1,0)</f>
        <v>0</v>
      </c>
      <c r="I2171" s="3" t="s">
        <v>225</v>
      </c>
      <c r="K2171" s="2">
        <f>IF(ISNUMBER(SEARCH(Лист2!$B$4,F:F)),1,0)</f>
        <v>0</v>
      </c>
      <c r="L2171" s="14">
        <f>IF(ISNUMBER(SEARCH(Лист2!$B$5,I:I)),1,0)+K2171</f>
        <v>0</v>
      </c>
      <c r="M2171" s="3">
        <f ca="1">IF(AND(N2171&lt;&gt;N2170,ISNUMBER(SEARCH(Лист2!$B$6,N:N)),L2171=2),MAX($M$3:OFFSET(M2171,-1,0))+1,0)</f>
        <v>0</v>
      </c>
      <c r="N2171" s="3" t="s">
        <v>1620</v>
      </c>
    </row>
    <row r="2172" spans="1:14" x14ac:dyDescent="0.25">
      <c r="A2172" s="1" t="s">
        <v>11341</v>
      </c>
      <c r="B2172" s="3" t="s">
        <v>5796</v>
      </c>
      <c r="C2172" s="2">
        <f ca="1">IF(ISNUMBER(SEARCH(Лист2!$B$4,D:D)),MAX($C$3:OFFSET(C2172,-1,0))+1,0)</f>
        <v>0</v>
      </c>
      <c r="E2172" s="9" t="str">
        <f t="shared" ca="1" si="45"/>
        <v/>
      </c>
      <c r="F2172" s="4" t="s">
        <v>7</v>
      </c>
      <c r="G2172" s="2">
        <f>IF(ISNUMBER(SEARCH(Лист2!$B$4,F:F)),1,0)</f>
        <v>0</v>
      </c>
      <c r="H2172" s="3">
        <f ca="1">IF(AND(I2172&lt;&gt;I2171,ISNUMBER(SEARCH(Лист2!$B$5,I:I)),G2172=1),MAX($H$3:OFFSET(H2172,-1,0))+1,0)</f>
        <v>0</v>
      </c>
      <c r="I2172" s="3" t="s">
        <v>225</v>
      </c>
      <c r="K2172" s="2">
        <f>IF(ISNUMBER(SEARCH(Лист2!$B$4,F:F)),1,0)</f>
        <v>0</v>
      </c>
      <c r="L2172" s="14">
        <f>IF(ISNUMBER(SEARCH(Лист2!$B$5,I:I)),1,0)+K2172</f>
        <v>0</v>
      </c>
      <c r="M2172" s="3">
        <f ca="1">IF(AND(N2172&lt;&gt;N2171,ISNUMBER(SEARCH(Лист2!$B$6,N:N)),L2172=2),MAX($M$3:OFFSET(M2172,-1,0))+1,0)</f>
        <v>0</v>
      </c>
      <c r="N2172" s="3" t="s">
        <v>1634</v>
      </c>
    </row>
    <row r="2173" spans="1:14" x14ac:dyDescent="0.25">
      <c r="A2173" s="1" t="s">
        <v>11342</v>
      </c>
      <c r="B2173" s="3" t="s">
        <v>5797</v>
      </c>
      <c r="C2173" s="2">
        <f ca="1">IF(ISNUMBER(SEARCH(Лист2!$B$4,D:D)),MAX($C$3:OFFSET(C2173,-1,0))+1,0)</f>
        <v>0</v>
      </c>
      <c r="E2173" s="9" t="str">
        <f t="shared" ca="1" si="45"/>
        <v/>
      </c>
      <c r="F2173" s="4" t="s">
        <v>7</v>
      </c>
      <c r="G2173" s="2">
        <f>IF(ISNUMBER(SEARCH(Лист2!$B$4,F:F)),1,0)</f>
        <v>0</v>
      </c>
      <c r="H2173" s="3">
        <f ca="1">IF(AND(I2173&lt;&gt;I2172,ISNUMBER(SEARCH(Лист2!$B$5,I:I)),G2173=1),MAX($H$3:OFFSET(H2173,-1,0))+1,0)</f>
        <v>0</v>
      </c>
      <c r="I2173" s="3" t="s">
        <v>225</v>
      </c>
      <c r="K2173" s="2">
        <f>IF(ISNUMBER(SEARCH(Лист2!$B$4,F:F)),1,0)</f>
        <v>0</v>
      </c>
      <c r="L2173" s="14">
        <f>IF(ISNUMBER(SEARCH(Лист2!$B$5,I:I)),1,0)+K2173</f>
        <v>0</v>
      </c>
      <c r="M2173" s="3">
        <f ca="1">IF(AND(N2173&lt;&gt;N2172,ISNUMBER(SEARCH(Лист2!$B$6,N:N)),L2173=2),MAX($M$3:OFFSET(M2173,-1,0))+1,0)</f>
        <v>0</v>
      </c>
      <c r="N2173" s="3" t="s">
        <v>602</v>
      </c>
    </row>
    <row r="2174" spans="1:14" x14ac:dyDescent="0.25">
      <c r="A2174" s="1" t="s">
        <v>11565</v>
      </c>
      <c r="B2174" s="3" t="s">
        <v>5798</v>
      </c>
      <c r="C2174" s="2">
        <f ca="1">IF(ISNUMBER(SEARCH(Лист2!$B$4,D:D)),MAX($C$3:OFFSET(C2174,-1,0))+1,0)</f>
        <v>0</v>
      </c>
      <c r="E2174" s="9" t="str">
        <f t="shared" ca="1" si="45"/>
        <v/>
      </c>
      <c r="F2174" s="4" t="s">
        <v>7</v>
      </c>
      <c r="G2174" s="2">
        <f>IF(ISNUMBER(SEARCH(Лист2!$B$4,F:F)),1,0)</f>
        <v>0</v>
      </c>
      <c r="H2174" s="3">
        <f ca="1">IF(AND(I2174&lt;&gt;I2173,ISNUMBER(SEARCH(Лист2!$B$5,I:I)),G2174=1),MAX($H$3:OFFSET(H2174,-1,0))+1,0)</f>
        <v>0</v>
      </c>
      <c r="I2174" s="3" t="s">
        <v>225</v>
      </c>
      <c r="K2174" s="2">
        <f>IF(ISNUMBER(SEARCH(Лист2!$B$4,F:F)),1,0)</f>
        <v>0</v>
      </c>
      <c r="L2174" s="14">
        <f>IF(ISNUMBER(SEARCH(Лист2!$B$5,I:I)),1,0)+K2174</f>
        <v>0</v>
      </c>
      <c r="M2174" s="3">
        <f ca="1">IF(AND(N2174&lt;&gt;N2173,ISNUMBER(SEARCH(Лист2!$B$6,N:N)),L2174=2),MAX($M$3:OFFSET(M2174,-1,0))+1,0)</f>
        <v>0</v>
      </c>
      <c r="N2174" s="3" t="s">
        <v>1828</v>
      </c>
    </row>
    <row r="2175" spans="1:14" x14ac:dyDescent="0.25">
      <c r="A2175" s="1" t="s">
        <v>11566</v>
      </c>
      <c r="B2175" s="3" t="s">
        <v>5799</v>
      </c>
      <c r="C2175" s="2">
        <f ca="1">IF(ISNUMBER(SEARCH(Лист2!$B$4,D:D)),MAX($C$3:OFFSET(C2175,-1,0))+1,0)</f>
        <v>0</v>
      </c>
      <c r="E2175" s="9" t="str">
        <f t="shared" ca="1" si="45"/>
        <v/>
      </c>
      <c r="F2175" s="4" t="s">
        <v>7</v>
      </c>
      <c r="G2175" s="2">
        <f>IF(ISNUMBER(SEARCH(Лист2!$B$4,F:F)),1,0)</f>
        <v>0</v>
      </c>
      <c r="H2175" s="3">
        <f ca="1">IF(AND(I2175&lt;&gt;I2174,ISNUMBER(SEARCH(Лист2!$B$5,I:I)),G2175=1),MAX($H$3:OFFSET(H2175,-1,0))+1,0)</f>
        <v>0</v>
      </c>
      <c r="I2175" s="3" t="s">
        <v>225</v>
      </c>
      <c r="K2175" s="2">
        <f>IF(ISNUMBER(SEARCH(Лист2!$B$4,F:F)),1,0)</f>
        <v>0</v>
      </c>
      <c r="L2175" s="14">
        <f>IF(ISNUMBER(SEARCH(Лист2!$B$5,I:I)),1,0)+K2175</f>
        <v>0</v>
      </c>
      <c r="M2175" s="3">
        <f ca="1">IF(AND(N2175&lt;&gt;N2174,ISNUMBER(SEARCH(Лист2!$B$6,N:N)),L2175=2),MAX($M$3:OFFSET(M2175,-1,0))+1,0)</f>
        <v>0</v>
      </c>
      <c r="N2175" s="3" t="s">
        <v>1829</v>
      </c>
    </row>
    <row r="2176" spans="1:14" x14ac:dyDescent="0.25">
      <c r="A2176" s="1" t="s">
        <v>11567</v>
      </c>
      <c r="B2176" s="3" t="s">
        <v>5800</v>
      </c>
      <c r="C2176" s="2">
        <f ca="1">IF(ISNUMBER(SEARCH(Лист2!$B$4,D:D)),MAX($C$3:OFFSET(C2176,-1,0))+1,0)</f>
        <v>0</v>
      </c>
      <c r="E2176" s="9" t="str">
        <f t="shared" ca="1" si="45"/>
        <v/>
      </c>
      <c r="F2176" s="4" t="s">
        <v>7</v>
      </c>
      <c r="G2176" s="2">
        <f>IF(ISNUMBER(SEARCH(Лист2!$B$4,F:F)),1,0)</f>
        <v>0</v>
      </c>
      <c r="H2176" s="3">
        <f ca="1">IF(AND(I2176&lt;&gt;I2175,ISNUMBER(SEARCH(Лист2!$B$5,I:I)),G2176=1),MAX($H$3:OFFSET(H2176,-1,0))+1,0)</f>
        <v>0</v>
      </c>
      <c r="I2176" s="3" t="s">
        <v>225</v>
      </c>
      <c r="K2176" s="2">
        <f>IF(ISNUMBER(SEARCH(Лист2!$B$4,F:F)),1,0)</f>
        <v>0</v>
      </c>
      <c r="L2176" s="14">
        <f>IF(ISNUMBER(SEARCH(Лист2!$B$5,I:I)),1,0)+K2176</f>
        <v>0</v>
      </c>
      <c r="M2176" s="3">
        <f ca="1">IF(AND(N2176&lt;&gt;N2175,ISNUMBER(SEARCH(Лист2!$B$6,N:N)),L2176=2),MAX($M$3:OFFSET(M2176,-1,0))+1,0)</f>
        <v>0</v>
      </c>
      <c r="N2176" s="3" t="s">
        <v>1830</v>
      </c>
    </row>
    <row r="2177" spans="1:14" x14ac:dyDescent="0.25">
      <c r="A2177" s="1" t="s">
        <v>11568</v>
      </c>
      <c r="B2177" s="3" t="s">
        <v>5801</v>
      </c>
      <c r="C2177" s="2">
        <f ca="1">IF(ISNUMBER(SEARCH(Лист2!$B$4,D:D)),MAX($C$3:OFFSET(C2177,-1,0))+1,0)</f>
        <v>0</v>
      </c>
      <c r="E2177" s="9" t="str">
        <f t="shared" ca="1" si="45"/>
        <v/>
      </c>
      <c r="F2177" s="4" t="s">
        <v>7</v>
      </c>
      <c r="G2177" s="2">
        <f>IF(ISNUMBER(SEARCH(Лист2!$B$4,F:F)),1,0)</f>
        <v>0</v>
      </c>
      <c r="H2177" s="3">
        <f ca="1">IF(AND(I2177&lt;&gt;I2176,ISNUMBER(SEARCH(Лист2!$B$5,I:I)),G2177=1),MAX($H$3:OFFSET(H2177,-1,0))+1,0)</f>
        <v>0</v>
      </c>
      <c r="I2177" s="3" t="s">
        <v>226</v>
      </c>
      <c r="K2177" s="2">
        <f>IF(ISNUMBER(SEARCH(Лист2!$B$4,F:F)),1,0)</f>
        <v>0</v>
      </c>
      <c r="L2177" s="14">
        <f>IF(ISNUMBER(SEARCH(Лист2!$B$5,I:I)),1,0)+K2177</f>
        <v>0</v>
      </c>
      <c r="M2177" s="3">
        <f ca="1">IF(AND(N2177&lt;&gt;N2176,ISNUMBER(SEARCH(Лист2!$B$6,N:N)),L2177=2),MAX($M$3:OFFSET(M2177,-1,0))+1,0)</f>
        <v>0</v>
      </c>
      <c r="N2177" s="3" t="s">
        <v>1831</v>
      </c>
    </row>
    <row r="2178" spans="1:14" x14ac:dyDescent="0.25">
      <c r="A2178" s="1" t="s">
        <v>11569</v>
      </c>
      <c r="B2178" s="3" t="s">
        <v>5802</v>
      </c>
      <c r="C2178" s="2">
        <f ca="1">IF(ISNUMBER(SEARCH(Лист2!$B$4,D:D)),MAX($C$3:OFFSET(C2178,-1,0))+1,0)</f>
        <v>0</v>
      </c>
      <c r="E2178" s="9" t="str">
        <f t="shared" ca="1" si="45"/>
        <v/>
      </c>
      <c r="F2178" s="4" t="s">
        <v>7</v>
      </c>
      <c r="G2178" s="2">
        <f>IF(ISNUMBER(SEARCH(Лист2!$B$4,F:F)),1,0)</f>
        <v>0</v>
      </c>
      <c r="H2178" s="3">
        <f ca="1">IF(AND(I2178&lt;&gt;I2177,ISNUMBER(SEARCH(Лист2!$B$5,I:I)),G2178=1),MAX($H$3:OFFSET(H2178,-1,0))+1,0)</f>
        <v>0</v>
      </c>
      <c r="I2178" s="3" t="s">
        <v>226</v>
      </c>
      <c r="K2178" s="2">
        <f>IF(ISNUMBER(SEARCH(Лист2!$B$4,F:F)),1,0)</f>
        <v>0</v>
      </c>
      <c r="L2178" s="14">
        <f>IF(ISNUMBER(SEARCH(Лист2!$B$5,I:I)),1,0)+K2178</f>
        <v>0</v>
      </c>
      <c r="M2178" s="3">
        <f ca="1">IF(AND(N2178&lt;&gt;N2177,ISNUMBER(SEARCH(Лист2!$B$6,N:N)),L2178=2),MAX($M$3:OFFSET(M2178,-1,0))+1,0)</f>
        <v>0</v>
      </c>
      <c r="N2178" s="3" t="s">
        <v>1832</v>
      </c>
    </row>
    <row r="2179" spans="1:14" x14ac:dyDescent="0.25">
      <c r="A2179" s="1" t="s">
        <v>11570</v>
      </c>
      <c r="B2179" s="3" t="s">
        <v>5803</v>
      </c>
      <c r="C2179" s="2">
        <f ca="1">IF(ISNUMBER(SEARCH(Лист2!$B$4,D:D)),MAX($C$3:OFFSET(C2179,-1,0))+1,0)</f>
        <v>0</v>
      </c>
      <c r="E2179" s="9" t="str">
        <f t="shared" ca="1" si="45"/>
        <v/>
      </c>
      <c r="F2179" s="4" t="s">
        <v>7</v>
      </c>
      <c r="G2179" s="2">
        <f>IF(ISNUMBER(SEARCH(Лист2!$B$4,F:F)),1,0)</f>
        <v>0</v>
      </c>
      <c r="H2179" s="3">
        <f ca="1">IF(AND(I2179&lt;&gt;I2178,ISNUMBER(SEARCH(Лист2!$B$5,I:I)),G2179=1),MAX($H$3:OFFSET(H2179,-1,0))+1,0)</f>
        <v>0</v>
      </c>
      <c r="I2179" s="3" t="s">
        <v>226</v>
      </c>
      <c r="K2179" s="2">
        <f>IF(ISNUMBER(SEARCH(Лист2!$B$4,F:F)),1,0)</f>
        <v>0</v>
      </c>
      <c r="L2179" s="14">
        <f>IF(ISNUMBER(SEARCH(Лист2!$B$5,I:I)),1,0)+K2179</f>
        <v>0</v>
      </c>
      <c r="M2179" s="3">
        <f ca="1">IF(AND(N2179&lt;&gt;N2178,ISNUMBER(SEARCH(Лист2!$B$6,N:N)),L2179=2),MAX($M$3:OFFSET(M2179,-1,0))+1,0)</f>
        <v>0</v>
      </c>
      <c r="N2179" s="3" t="s">
        <v>1678</v>
      </c>
    </row>
    <row r="2180" spans="1:14" x14ac:dyDescent="0.25">
      <c r="A2180" s="1" t="s">
        <v>11349</v>
      </c>
      <c r="B2180" s="3" t="s">
        <v>5804</v>
      </c>
      <c r="C2180" s="2">
        <f ca="1">IF(ISNUMBER(SEARCH(Лист2!$B$4,D:D)),MAX($C$3:OFFSET(C2180,-1,0))+1,0)</f>
        <v>0</v>
      </c>
      <c r="E2180" s="9" t="str">
        <f t="shared" ca="1" si="45"/>
        <v/>
      </c>
      <c r="F2180" s="4" t="s">
        <v>7</v>
      </c>
      <c r="G2180" s="2">
        <f>IF(ISNUMBER(SEARCH(Лист2!$B$4,F:F)),1,0)</f>
        <v>0</v>
      </c>
      <c r="H2180" s="3">
        <f ca="1">IF(AND(I2180&lt;&gt;I2179,ISNUMBER(SEARCH(Лист2!$B$5,I:I)),G2180=1),MAX($H$3:OFFSET(H2180,-1,0))+1,0)</f>
        <v>0</v>
      </c>
      <c r="I2180" s="3" t="s">
        <v>226</v>
      </c>
      <c r="K2180" s="2">
        <f>IF(ISNUMBER(SEARCH(Лист2!$B$4,F:F)),1,0)</f>
        <v>0</v>
      </c>
      <c r="L2180" s="14">
        <f>IF(ISNUMBER(SEARCH(Лист2!$B$5,I:I)),1,0)+K2180</f>
        <v>0</v>
      </c>
      <c r="M2180" s="3">
        <f ca="1">IF(AND(N2180&lt;&gt;N2179,ISNUMBER(SEARCH(Лист2!$B$6,N:N)),L2180=2),MAX($M$3:OFFSET(M2180,-1,0))+1,0)</f>
        <v>0</v>
      </c>
      <c r="N2180" s="3" t="s">
        <v>1620</v>
      </c>
    </row>
    <row r="2181" spans="1:14" x14ac:dyDescent="0.25">
      <c r="A2181" s="1" t="s">
        <v>11350</v>
      </c>
      <c r="B2181" s="3" t="s">
        <v>5805</v>
      </c>
      <c r="C2181" s="2">
        <f ca="1">IF(ISNUMBER(SEARCH(Лист2!$B$4,D:D)),MAX($C$3:OFFSET(C2181,-1,0))+1,0)</f>
        <v>0</v>
      </c>
      <c r="E2181" s="9" t="str">
        <f t="shared" ref="E2181:E2244" ca="1" si="46">IFERROR(INDEX(D:D,MATCH(ROW(E2181)-ROW($E$3),C:C,0)),"")</f>
        <v/>
      </c>
      <c r="F2181" s="4" t="s">
        <v>7</v>
      </c>
      <c r="G2181" s="2">
        <f>IF(ISNUMBER(SEARCH(Лист2!$B$4,F:F)),1,0)</f>
        <v>0</v>
      </c>
      <c r="H2181" s="3">
        <f ca="1">IF(AND(I2181&lt;&gt;I2180,ISNUMBER(SEARCH(Лист2!$B$5,I:I)),G2181=1),MAX($H$3:OFFSET(H2181,-1,0))+1,0)</f>
        <v>0</v>
      </c>
      <c r="I2181" s="3" t="s">
        <v>226</v>
      </c>
      <c r="K2181" s="2">
        <f>IF(ISNUMBER(SEARCH(Лист2!$B$4,F:F)),1,0)</f>
        <v>0</v>
      </c>
      <c r="L2181" s="14">
        <f>IF(ISNUMBER(SEARCH(Лист2!$B$5,I:I)),1,0)+K2181</f>
        <v>0</v>
      </c>
      <c r="M2181" s="3">
        <f ca="1">IF(AND(N2181&lt;&gt;N2180,ISNUMBER(SEARCH(Лист2!$B$6,N:N)),L2181=2),MAX($M$3:OFFSET(M2181,-1,0))+1,0)</f>
        <v>0</v>
      </c>
      <c r="N2181" s="3" t="s">
        <v>1634</v>
      </c>
    </row>
    <row r="2182" spans="1:14" x14ac:dyDescent="0.25">
      <c r="A2182" s="1" t="s">
        <v>11351</v>
      </c>
      <c r="B2182" s="3" t="s">
        <v>5806</v>
      </c>
      <c r="C2182" s="2">
        <f ca="1">IF(ISNUMBER(SEARCH(Лист2!$B$4,D:D)),MAX($C$3:OFFSET(C2182,-1,0))+1,0)</f>
        <v>0</v>
      </c>
      <c r="E2182" s="9" t="str">
        <f t="shared" ca="1" si="46"/>
        <v/>
      </c>
      <c r="F2182" s="4" t="s">
        <v>7</v>
      </c>
      <c r="G2182" s="2">
        <f>IF(ISNUMBER(SEARCH(Лист2!$B$4,F:F)),1,0)</f>
        <v>0</v>
      </c>
      <c r="H2182" s="3">
        <f ca="1">IF(AND(I2182&lt;&gt;I2181,ISNUMBER(SEARCH(Лист2!$B$5,I:I)),G2182=1),MAX($H$3:OFFSET(H2182,-1,0))+1,0)</f>
        <v>0</v>
      </c>
      <c r="I2182" s="3" t="s">
        <v>226</v>
      </c>
      <c r="K2182" s="2">
        <f>IF(ISNUMBER(SEARCH(Лист2!$B$4,F:F)),1,0)</f>
        <v>0</v>
      </c>
      <c r="L2182" s="14">
        <f>IF(ISNUMBER(SEARCH(Лист2!$B$5,I:I)),1,0)+K2182</f>
        <v>0</v>
      </c>
      <c r="M2182" s="3">
        <f ca="1">IF(AND(N2182&lt;&gt;N2181,ISNUMBER(SEARCH(Лист2!$B$6,N:N)),L2182=2),MAX($M$3:OFFSET(M2182,-1,0))+1,0)</f>
        <v>0</v>
      </c>
      <c r="N2182" s="3" t="s">
        <v>602</v>
      </c>
    </row>
    <row r="2183" spans="1:14" x14ac:dyDescent="0.25">
      <c r="A2183" s="1" t="s">
        <v>11571</v>
      </c>
      <c r="B2183" s="3" t="s">
        <v>5807</v>
      </c>
      <c r="C2183" s="2">
        <f ca="1">IF(ISNUMBER(SEARCH(Лист2!$B$4,D:D)),MAX($C$3:OFFSET(C2183,-1,0))+1,0)</f>
        <v>0</v>
      </c>
      <c r="E2183" s="9" t="str">
        <f t="shared" ca="1" si="46"/>
        <v/>
      </c>
      <c r="F2183" s="4" t="s">
        <v>7</v>
      </c>
      <c r="G2183" s="2">
        <f>IF(ISNUMBER(SEARCH(Лист2!$B$4,F:F)),1,0)</f>
        <v>0</v>
      </c>
      <c r="H2183" s="3">
        <f ca="1">IF(AND(I2183&lt;&gt;I2182,ISNUMBER(SEARCH(Лист2!$B$5,I:I)),G2183=1),MAX($H$3:OFFSET(H2183,-1,0))+1,0)</f>
        <v>0</v>
      </c>
      <c r="I2183" s="3" t="s">
        <v>226</v>
      </c>
      <c r="K2183" s="2">
        <f>IF(ISNUMBER(SEARCH(Лист2!$B$4,F:F)),1,0)</f>
        <v>0</v>
      </c>
      <c r="L2183" s="14">
        <f>IF(ISNUMBER(SEARCH(Лист2!$B$5,I:I)),1,0)+K2183</f>
        <v>0</v>
      </c>
      <c r="M2183" s="3">
        <f ca="1">IF(AND(N2183&lt;&gt;N2182,ISNUMBER(SEARCH(Лист2!$B$6,N:N)),L2183=2),MAX($M$3:OFFSET(M2183,-1,0))+1,0)</f>
        <v>0</v>
      </c>
      <c r="N2183" s="3" t="s">
        <v>1833</v>
      </c>
    </row>
    <row r="2184" spans="1:14" x14ac:dyDescent="0.25">
      <c r="A2184" s="1" t="s">
        <v>11572</v>
      </c>
      <c r="B2184" s="3" t="s">
        <v>5808</v>
      </c>
      <c r="C2184" s="2">
        <f ca="1">IF(ISNUMBER(SEARCH(Лист2!$B$4,D:D)),MAX($C$3:OFFSET(C2184,-1,0))+1,0)</f>
        <v>0</v>
      </c>
      <c r="E2184" s="9" t="str">
        <f t="shared" ca="1" si="46"/>
        <v/>
      </c>
      <c r="F2184" s="4" t="s">
        <v>7</v>
      </c>
      <c r="G2184" s="2">
        <f>IF(ISNUMBER(SEARCH(Лист2!$B$4,F:F)),1,0)</f>
        <v>0</v>
      </c>
      <c r="H2184" s="3">
        <f ca="1">IF(AND(I2184&lt;&gt;I2183,ISNUMBER(SEARCH(Лист2!$B$5,I:I)),G2184=1),MAX($H$3:OFFSET(H2184,-1,0))+1,0)</f>
        <v>0</v>
      </c>
      <c r="I2184" s="3" t="s">
        <v>226</v>
      </c>
      <c r="K2184" s="2">
        <f>IF(ISNUMBER(SEARCH(Лист2!$B$4,F:F)),1,0)</f>
        <v>0</v>
      </c>
      <c r="L2184" s="14">
        <f>IF(ISNUMBER(SEARCH(Лист2!$B$5,I:I)),1,0)+K2184</f>
        <v>0</v>
      </c>
      <c r="M2184" s="3">
        <f ca="1">IF(AND(N2184&lt;&gt;N2183,ISNUMBER(SEARCH(Лист2!$B$6,N:N)),L2184=2),MAX($M$3:OFFSET(M2184,-1,0))+1,0)</f>
        <v>0</v>
      </c>
      <c r="N2184" s="3" t="s">
        <v>1834</v>
      </c>
    </row>
    <row r="2185" spans="1:14" x14ac:dyDescent="0.25">
      <c r="A2185" s="1" t="s">
        <v>11573</v>
      </c>
      <c r="B2185" s="3" t="s">
        <v>5809</v>
      </c>
      <c r="C2185" s="2">
        <f ca="1">IF(ISNUMBER(SEARCH(Лист2!$B$4,D:D)),MAX($C$3:OFFSET(C2185,-1,0))+1,0)</f>
        <v>0</v>
      </c>
      <c r="E2185" s="9" t="str">
        <f t="shared" ca="1" si="46"/>
        <v/>
      </c>
      <c r="F2185" s="4" t="s">
        <v>7</v>
      </c>
      <c r="G2185" s="2">
        <f>IF(ISNUMBER(SEARCH(Лист2!$B$4,F:F)),1,0)</f>
        <v>0</v>
      </c>
      <c r="H2185" s="3">
        <f ca="1">IF(AND(I2185&lt;&gt;I2184,ISNUMBER(SEARCH(Лист2!$B$5,I:I)),G2185=1),MAX($H$3:OFFSET(H2185,-1,0))+1,0)</f>
        <v>0</v>
      </c>
      <c r="I2185" s="3" t="s">
        <v>226</v>
      </c>
      <c r="K2185" s="2">
        <f>IF(ISNUMBER(SEARCH(Лист2!$B$4,F:F)),1,0)</f>
        <v>0</v>
      </c>
      <c r="L2185" s="14">
        <f>IF(ISNUMBER(SEARCH(Лист2!$B$5,I:I)),1,0)+K2185</f>
        <v>0</v>
      </c>
      <c r="M2185" s="3">
        <f ca="1">IF(AND(N2185&lt;&gt;N2184,ISNUMBER(SEARCH(Лист2!$B$6,N:N)),L2185=2),MAX($M$3:OFFSET(M2185,-1,0))+1,0)</f>
        <v>0</v>
      </c>
      <c r="N2185" s="3" t="s">
        <v>1835</v>
      </c>
    </row>
    <row r="2186" spans="1:14" x14ac:dyDescent="0.25">
      <c r="A2186" s="1" t="s">
        <v>11355</v>
      </c>
      <c r="B2186" s="3" t="s">
        <v>5810</v>
      </c>
      <c r="C2186" s="2">
        <f ca="1">IF(ISNUMBER(SEARCH(Лист2!$B$4,D:D)),MAX($C$3:OFFSET(C2186,-1,0))+1,0)</f>
        <v>0</v>
      </c>
      <c r="E2186" s="9" t="str">
        <f t="shared" ca="1" si="46"/>
        <v/>
      </c>
      <c r="F2186" s="4" t="s">
        <v>7</v>
      </c>
      <c r="G2186" s="2">
        <f>IF(ISNUMBER(SEARCH(Лист2!$B$4,F:F)),1,0)</f>
        <v>0</v>
      </c>
      <c r="H2186" s="3">
        <f ca="1">IF(AND(I2186&lt;&gt;I2185,ISNUMBER(SEARCH(Лист2!$B$5,I:I)),G2186=1),MAX($H$3:OFFSET(H2186,-1,0))+1,0)</f>
        <v>0</v>
      </c>
      <c r="I2186" s="3" t="s">
        <v>227</v>
      </c>
      <c r="K2186" s="2">
        <f>IF(ISNUMBER(SEARCH(Лист2!$B$4,F:F)),1,0)</f>
        <v>0</v>
      </c>
      <c r="L2186" s="14">
        <f>IF(ISNUMBER(SEARCH(Лист2!$B$5,I:I)),1,0)+K2186</f>
        <v>0</v>
      </c>
      <c r="M2186" s="3">
        <f ca="1">IF(AND(N2186&lt;&gt;N2185,ISNUMBER(SEARCH(Лист2!$B$6,N:N)),L2186=2),MAX($M$3:OFFSET(M2186,-1,0))+1,0)</f>
        <v>0</v>
      </c>
      <c r="N2186" s="3" t="s">
        <v>1688</v>
      </c>
    </row>
    <row r="2187" spans="1:14" x14ac:dyDescent="0.25">
      <c r="A2187" s="1" t="s">
        <v>11355</v>
      </c>
      <c r="B2187" s="3" t="s">
        <v>5811</v>
      </c>
      <c r="C2187" s="2">
        <f ca="1">IF(ISNUMBER(SEARCH(Лист2!$B$4,D:D)),MAX($C$3:OFFSET(C2187,-1,0))+1,0)</f>
        <v>0</v>
      </c>
      <c r="E2187" s="9" t="str">
        <f t="shared" ca="1" si="46"/>
        <v/>
      </c>
      <c r="F2187" s="4" t="s">
        <v>7</v>
      </c>
      <c r="G2187" s="2">
        <f>IF(ISNUMBER(SEARCH(Лист2!$B$4,F:F)),1,0)</f>
        <v>0</v>
      </c>
      <c r="H2187" s="3">
        <f ca="1">IF(AND(I2187&lt;&gt;I2186,ISNUMBER(SEARCH(Лист2!$B$5,I:I)),G2187=1),MAX($H$3:OFFSET(H2187,-1,0))+1,0)</f>
        <v>0</v>
      </c>
      <c r="I2187" s="3" t="s">
        <v>227</v>
      </c>
      <c r="K2187" s="2">
        <f>IF(ISNUMBER(SEARCH(Лист2!$B$4,F:F)),1,0)</f>
        <v>0</v>
      </c>
      <c r="L2187" s="14">
        <f>IF(ISNUMBER(SEARCH(Лист2!$B$5,I:I)),1,0)+K2187</f>
        <v>0</v>
      </c>
      <c r="M2187" s="3">
        <f ca="1">IF(AND(N2187&lt;&gt;N2186,ISNUMBER(SEARCH(Лист2!$B$6,N:N)),L2187=2),MAX($M$3:OFFSET(M2187,-1,0))+1,0)</f>
        <v>0</v>
      </c>
      <c r="N2187" s="3" t="s">
        <v>1688</v>
      </c>
    </row>
    <row r="2188" spans="1:14" x14ac:dyDescent="0.25">
      <c r="A2188" s="1" t="s">
        <v>11355</v>
      </c>
      <c r="B2188" s="3" t="s">
        <v>5812</v>
      </c>
      <c r="C2188" s="2">
        <f ca="1">IF(ISNUMBER(SEARCH(Лист2!$B$4,D:D)),MAX($C$3:OFFSET(C2188,-1,0))+1,0)</f>
        <v>0</v>
      </c>
      <c r="E2188" s="9" t="str">
        <f t="shared" ca="1" si="46"/>
        <v/>
      </c>
      <c r="F2188" s="4" t="s">
        <v>7</v>
      </c>
      <c r="G2188" s="2">
        <f>IF(ISNUMBER(SEARCH(Лист2!$B$4,F:F)),1,0)</f>
        <v>0</v>
      </c>
      <c r="H2188" s="3">
        <f ca="1">IF(AND(I2188&lt;&gt;I2187,ISNUMBER(SEARCH(Лист2!$B$5,I:I)),G2188=1),MAX($H$3:OFFSET(H2188,-1,0))+1,0)</f>
        <v>0</v>
      </c>
      <c r="I2188" s="3" t="s">
        <v>227</v>
      </c>
      <c r="K2188" s="2">
        <f>IF(ISNUMBER(SEARCH(Лист2!$B$4,F:F)),1,0)</f>
        <v>0</v>
      </c>
      <c r="L2188" s="14">
        <f>IF(ISNUMBER(SEARCH(Лист2!$B$5,I:I)),1,0)+K2188</f>
        <v>0</v>
      </c>
      <c r="M2188" s="3">
        <f ca="1">IF(AND(N2188&lt;&gt;N2187,ISNUMBER(SEARCH(Лист2!$B$6,N:N)),L2188=2),MAX($M$3:OFFSET(M2188,-1,0))+1,0)</f>
        <v>0</v>
      </c>
      <c r="N2188" s="3" t="s">
        <v>1688</v>
      </c>
    </row>
    <row r="2189" spans="1:14" x14ac:dyDescent="0.25">
      <c r="A2189" s="1" t="s">
        <v>11356</v>
      </c>
      <c r="B2189" s="3" t="s">
        <v>5813</v>
      </c>
      <c r="C2189" s="2">
        <f ca="1">IF(ISNUMBER(SEARCH(Лист2!$B$4,D:D)),MAX($C$3:OFFSET(C2189,-1,0))+1,0)</f>
        <v>0</v>
      </c>
      <c r="E2189" s="9" t="str">
        <f t="shared" ca="1" si="46"/>
        <v/>
      </c>
      <c r="F2189" s="4" t="s">
        <v>7</v>
      </c>
      <c r="G2189" s="2">
        <f>IF(ISNUMBER(SEARCH(Лист2!$B$4,F:F)),1,0)</f>
        <v>0</v>
      </c>
      <c r="H2189" s="3">
        <f ca="1">IF(AND(I2189&lt;&gt;I2188,ISNUMBER(SEARCH(Лист2!$B$5,I:I)),G2189=1),MAX($H$3:OFFSET(H2189,-1,0))+1,0)</f>
        <v>0</v>
      </c>
      <c r="I2189" s="3" t="s">
        <v>227</v>
      </c>
      <c r="K2189" s="2">
        <f>IF(ISNUMBER(SEARCH(Лист2!$B$4,F:F)),1,0)</f>
        <v>0</v>
      </c>
      <c r="L2189" s="14">
        <f>IF(ISNUMBER(SEARCH(Лист2!$B$5,I:I)),1,0)+K2189</f>
        <v>0</v>
      </c>
      <c r="M2189" s="3">
        <f ca="1">IF(AND(N2189&lt;&gt;N2188,ISNUMBER(SEARCH(Лист2!$B$6,N:N)),L2189=2),MAX($M$3:OFFSET(M2189,-1,0))+1,0)</f>
        <v>0</v>
      </c>
      <c r="N2189" s="3" t="s">
        <v>1689</v>
      </c>
    </row>
    <row r="2190" spans="1:14" x14ac:dyDescent="0.25">
      <c r="A2190" s="1" t="s">
        <v>11356</v>
      </c>
      <c r="B2190" s="3" t="s">
        <v>5814</v>
      </c>
      <c r="C2190" s="2">
        <f ca="1">IF(ISNUMBER(SEARCH(Лист2!$B$4,D:D)),MAX($C$3:OFFSET(C2190,-1,0))+1,0)</f>
        <v>0</v>
      </c>
      <c r="E2190" s="9" t="str">
        <f t="shared" ca="1" si="46"/>
        <v/>
      </c>
      <c r="F2190" s="4" t="s">
        <v>7</v>
      </c>
      <c r="G2190" s="2">
        <f>IF(ISNUMBER(SEARCH(Лист2!$B$4,F:F)),1,0)</f>
        <v>0</v>
      </c>
      <c r="H2190" s="3">
        <f ca="1">IF(AND(I2190&lt;&gt;I2189,ISNUMBER(SEARCH(Лист2!$B$5,I:I)),G2190=1),MAX($H$3:OFFSET(H2190,-1,0))+1,0)</f>
        <v>0</v>
      </c>
      <c r="I2190" s="3" t="s">
        <v>227</v>
      </c>
      <c r="K2190" s="2">
        <f>IF(ISNUMBER(SEARCH(Лист2!$B$4,F:F)),1,0)</f>
        <v>0</v>
      </c>
      <c r="L2190" s="14">
        <f>IF(ISNUMBER(SEARCH(Лист2!$B$5,I:I)),1,0)+K2190</f>
        <v>0</v>
      </c>
      <c r="M2190" s="3">
        <f ca="1">IF(AND(N2190&lt;&gt;N2189,ISNUMBER(SEARCH(Лист2!$B$6,N:N)),L2190=2),MAX($M$3:OFFSET(M2190,-1,0))+1,0)</f>
        <v>0</v>
      </c>
      <c r="N2190" s="3" t="s">
        <v>1689</v>
      </c>
    </row>
    <row r="2191" spans="1:14" x14ac:dyDescent="0.25">
      <c r="A2191" s="1" t="s">
        <v>11356</v>
      </c>
      <c r="B2191" s="3" t="s">
        <v>5815</v>
      </c>
      <c r="C2191" s="2">
        <f ca="1">IF(ISNUMBER(SEARCH(Лист2!$B$4,D:D)),MAX($C$3:OFFSET(C2191,-1,0))+1,0)</f>
        <v>0</v>
      </c>
      <c r="E2191" s="9" t="str">
        <f t="shared" ca="1" si="46"/>
        <v/>
      </c>
      <c r="F2191" s="4" t="s">
        <v>7</v>
      </c>
      <c r="G2191" s="2">
        <f>IF(ISNUMBER(SEARCH(Лист2!$B$4,F:F)),1,0)</f>
        <v>0</v>
      </c>
      <c r="H2191" s="3">
        <f ca="1">IF(AND(I2191&lt;&gt;I2190,ISNUMBER(SEARCH(Лист2!$B$5,I:I)),G2191=1),MAX($H$3:OFFSET(H2191,-1,0))+1,0)</f>
        <v>0</v>
      </c>
      <c r="I2191" s="3" t="s">
        <v>227</v>
      </c>
      <c r="K2191" s="2">
        <f>IF(ISNUMBER(SEARCH(Лист2!$B$4,F:F)),1,0)</f>
        <v>0</v>
      </c>
      <c r="L2191" s="14">
        <f>IF(ISNUMBER(SEARCH(Лист2!$B$5,I:I)),1,0)+K2191</f>
        <v>0</v>
      </c>
      <c r="M2191" s="3">
        <f ca="1">IF(AND(N2191&lt;&gt;N2190,ISNUMBER(SEARCH(Лист2!$B$6,N:N)),L2191=2),MAX($M$3:OFFSET(M2191,-1,0))+1,0)</f>
        <v>0</v>
      </c>
      <c r="N2191" s="3" t="s">
        <v>1689</v>
      </c>
    </row>
    <row r="2192" spans="1:14" x14ac:dyDescent="0.25">
      <c r="A2192" s="1" t="s">
        <v>11357</v>
      </c>
      <c r="B2192" s="3" t="s">
        <v>5816</v>
      </c>
      <c r="C2192" s="2">
        <f ca="1">IF(ISNUMBER(SEARCH(Лист2!$B$4,D:D)),MAX($C$3:OFFSET(C2192,-1,0))+1,0)</f>
        <v>0</v>
      </c>
      <c r="E2192" s="9" t="str">
        <f t="shared" ca="1" si="46"/>
        <v/>
      </c>
      <c r="F2192" s="4" t="s">
        <v>7</v>
      </c>
      <c r="G2192" s="2">
        <f>IF(ISNUMBER(SEARCH(Лист2!$B$4,F:F)),1,0)</f>
        <v>0</v>
      </c>
      <c r="H2192" s="3">
        <f ca="1">IF(AND(I2192&lt;&gt;I2191,ISNUMBER(SEARCH(Лист2!$B$5,I:I)),G2192=1),MAX($H$3:OFFSET(H2192,-1,0))+1,0)</f>
        <v>0</v>
      </c>
      <c r="I2192" s="3" t="s">
        <v>227</v>
      </c>
      <c r="K2192" s="2">
        <f>IF(ISNUMBER(SEARCH(Лист2!$B$4,F:F)),1,0)</f>
        <v>0</v>
      </c>
      <c r="L2192" s="14">
        <f>IF(ISNUMBER(SEARCH(Лист2!$B$5,I:I)),1,0)+K2192</f>
        <v>0</v>
      </c>
      <c r="M2192" s="3">
        <f ca="1">IF(AND(N2192&lt;&gt;N2191,ISNUMBER(SEARCH(Лист2!$B$6,N:N)),L2192=2),MAX($M$3:OFFSET(M2192,-1,0))+1,0)</f>
        <v>0</v>
      </c>
      <c r="N2192" s="3" t="s">
        <v>1678</v>
      </c>
    </row>
    <row r="2193" spans="1:14" x14ac:dyDescent="0.25">
      <c r="A2193" s="1" t="s">
        <v>11358</v>
      </c>
      <c r="B2193" s="3" t="s">
        <v>5817</v>
      </c>
      <c r="C2193" s="2">
        <f ca="1">IF(ISNUMBER(SEARCH(Лист2!$B$4,D:D)),MAX($C$3:OFFSET(C2193,-1,0))+1,0)</f>
        <v>0</v>
      </c>
      <c r="E2193" s="9" t="str">
        <f t="shared" ca="1" si="46"/>
        <v/>
      </c>
      <c r="F2193" s="4" t="s">
        <v>7</v>
      </c>
      <c r="G2193" s="2">
        <f>IF(ISNUMBER(SEARCH(Лист2!$B$4,F:F)),1,0)</f>
        <v>0</v>
      </c>
      <c r="H2193" s="3">
        <f ca="1">IF(AND(I2193&lt;&gt;I2192,ISNUMBER(SEARCH(Лист2!$B$5,I:I)),G2193=1),MAX($H$3:OFFSET(H2193,-1,0))+1,0)</f>
        <v>0</v>
      </c>
      <c r="I2193" s="3" t="s">
        <v>227</v>
      </c>
      <c r="K2193" s="2">
        <f>IF(ISNUMBER(SEARCH(Лист2!$B$4,F:F)),1,0)</f>
        <v>0</v>
      </c>
      <c r="L2193" s="14">
        <f>IF(ISNUMBER(SEARCH(Лист2!$B$5,I:I)),1,0)+K2193</f>
        <v>0</v>
      </c>
      <c r="M2193" s="3">
        <f ca="1">IF(AND(N2193&lt;&gt;N2192,ISNUMBER(SEARCH(Лист2!$B$6,N:N)),L2193=2),MAX($M$3:OFFSET(M2193,-1,0))+1,0)</f>
        <v>0</v>
      </c>
      <c r="N2193" s="3" t="s">
        <v>1620</v>
      </c>
    </row>
    <row r="2194" spans="1:14" x14ac:dyDescent="0.25">
      <c r="A2194" s="1" t="s">
        <v>11359</v>
      </c>
      <c r="B2194" s="3" t="s">
        <v>5818</v>
      </c>
      <c r="C2194" s="2">
        <f ca="1">IF(ISNUMBER(SEARCH(Лист2!$B$4,D:D)),MAX($C$3:OFFSET(C2194,-1,0))+1,0)</f>
        <v>0</v>
      </c>
      <c r="E2194" s="9" t="str">
        <f t="shared" ca="1" si="46"/>
        <v/>
      </c>
      <c r="F2194" s="4" t="s">
        <v>7</v>
      </c>
      <c r="G2194" s="2">
        <f>IF(ISNUMBER(SEARCH(Лист2!$B$4,F:F)),1,0)</f>
        <v>0</v>
      </c>
      <c r="H2194" s="3">
        <f ca="1">IF(AND(I2194&lt;&gt;I2193,ISNUMBER(SEARCH(Лист2!$B$5,I:I)),G2194=1),MAX($H$3:OFFSET(H2194,-1,0))+1,0)</f>
        <v>0</v>
      </c>
      <c r="I2194" s="3" t="s">
        <v>227</v>
      </c>
      <c r="K2194" s="2">
        <f>IF(ISNUMBER(SEARCH(Лист2!$B$4,F:F)),1,0)</f>
        <v>0</v>
      </c>
      <c r="L2194" s="14">
        <f>IF(ISNUMBER(SEARCH(Лист2!$B$5,I:I)),1,0)+K2194</f>
        <v>0</v>
      </c>
      <c r="M2194" s="3">
        <f ca="1">IF(AND(N2194&lt;&gt;N2193,ISNUMBER(SEARCH(Лист2!$B$6,N:N)),L2194=2),MAX($M$3:OFFSET(M2194,-1,0))+1,0)</f>
        <v>0</v>
      </c>
      <c r="N2194" s="3" t="s">
        <v>1690</v>
      </c>
    </row>
    <row r="2195" spans="1:14" x14ac:dyDescent="0.25">
      <c r="A2195" s="1" t="s">
        <v>11360</v>
      </c>
      <c r="B2195" s="3" t="s">
        <v>5819</v>
      </c>
      <c r="C2195" s="2">
        <f ca="1">IF(ISNUMBER(SEARCH(Лист2!$B$4,D:D)),MAX($C$3:OFFSET(C2195,-1,0))+1,0)</f>
        <v>0</v>
      </c>
      <c r="E2195" s="9" t="str">
        <f t="shared" ca="1" si="46"/>
        <v/>
      </c>
      <c r="F2195" s="4" t="s">
        <v>7</v>
      </c>
      <c r="G2195" s="2">
        <f>IF(ISNUMBER(SEARCH(Лист2!$B$4,F:F)),1,0)</f>
        <v>0</v>
      </c>
      <c r="H2195" s="3">
        <f ca="1">IF(AND(I2195&lt;&gt;I2194,ISNUMBER(SEARCH(Лист2!$B$5,I:I)),G2195=1),MAX($H$3:OFFSET(H2195,-1,0))+1,0)</f>
        <v>0</v>
      </c>
      <c r="I2195" s="3" t="s">
        <v>227</v>
      </c>
      <c r="K2195" s="2">
        <f>IF(ISNUMBER(SEARCH(Лист2!$B$4,F:F)),1,0)</f>
        <v>0</v>
      </c>
      <c r="L2195" s="14">
        <f>IF(ISNUMBER(SEARCH(Лист2!$B$5,I:I)),1,0)+K2195</f>
        <v>0</v>
      </c>
      <c r="M2195" s="3">
        <f ca="1">IF(AND(N2195&lt;&gt;N2194,ISNUMBER(SEARCH(Лист2!$B$6,N:N)),L2195=2),MAX($M$3:OFFSET(M2195,-1,0))+1,0)</f>
        <v>0</v>
      </c>
      <c r="N2195" s="3" t="s">
        <v>602</v>
      </c>
    </row>
    <row r="2196" spans="1:14" x14ac:dyDescent="0.25">
      <c r="A2196" s="1" t="s">
        <v>11361</v>
      </c>
      <c r="B2196" s="3" t="s">
        <v>5820</v>
      </c>
      <c r="C2196" s="2">
        <f ca="1">IF(ISNUMBER(SEARCH(Лист2!$B$4,D:D)),MAX($C$3:OFFSET(C2196,-1,0))+1,0)</f>
        <v>0</v>
      </c>
      <c r="E2196" s="9" t="str">
        <f t="shared" ca="1" si="46"/>
        <v/>
      </c>
      <c r="F2196" s="4" t="s">
        <v>7</v>
      </c>
      <c r="G2196" s="2">
        <f>IF(ISNUMBER(SEARCH(Лист2!$B$4,F:F)),1,0)</f>
        <v>0</v>
      </c>
      <c r="H2196" s="3">
        <f ca="1">IF(AND(I2196&lt;&gt;I2195,ISNUMBER(SEARCH(Лист2!$B$5,I:I)),G2196=1),MAX($H$3:OFFSET(H2196,-1,0))+1,0)</f>
        <v>0</v>
      </c>
      <c r="I2196" s="3" t="s">
        <v>227</v>
      </c>
      <c r="K2196" s="2">
        <f>IF(ISNUMBER(SEARCH(Лист2!$B$4,F:F)),1,0)</f>
        <v>0</v>
      </c>
      <c r="L2196" s="14">
        <f>IF(ISNUMBER(SEARCH(Лист2!$B$5,I:I)),1,0)+K2196</f>
        <v>0</v>
      </c>
      <c r="M2196" s="3">
        <f ca="1">IF(AND(N2196&lt;&gt;N2195,ISNUMBER(SEARCH(Лист2!$B$6,N:N)),L2196=2),MAX($M$3:OFFSET(M2196,-1,0))+1,0)</f>
        <v>0</v>
      </c>
      <c r="N2196" s="3" t="s">
        <v>1691</v>
      </c>
    </row>
    <row r="2197" spans="1:14" x14ac:dyDescent="0.25">
      <c r="A2197" s="1" t="s">
        <v>11362</v>
      </c>
      <c r="B2197" s="3" t="s">
        <v>5821</v>
      </c>
      <c r="C2197" s="2">
        <f ca="1">IF(ISNUMBER(SEARCH(Лист2!$B$4,D:D)),MAX($C$3:OFFSET(C2197,-1,0))+1,0)</f>
        <v>0</v>
      </c>
      <c r="E2197" s="9" t="str">
        <f t="shared" ca="1" si="46"/>
        <v/>
      </c>
      <c r="F2197" s="4" t="s">
        <v>7</v>
      </c>
      <c r="G2197" s="2">
        <f>IF(ISNUMBER(SEARCH(Лист2!$B$4,F:F)),1,0)</f>
        <v>0</v>
      </c>
      <c r="H2197" s="3">
        <f ca="1">IF(AND(I2197&lt;&gt;I2196,ISNUMBER(SEARCH(Лист2!$B$5,I:I)),G2197=1),MAX($H$3:OFFSET(H2197,-1,0))+1,0)</f>
        <v>0</v>
      </c>
      <c r="I2197" s="3" t="s">
        <v>227</v>
      </c>
      <c r="K2197" s="2">
        <f>IF(ISNUMBER(SEARCH(Лист2!$B$4,F:F)),1,0)</f>
        <v>0</v>
      </c>
      <c r="L2197" s="14">
        <f>IF(ISNUMBER(SEARCH(Лист2!$B$5,I:I)),1,0)+K2197</f>
        <v>0</v>
      </c>
      <c r="M2197" s="3">
        <f ca="1">IF(AND(N2197&lt;&gt;N2196,ISNUMBER(SEARCH(Лист2!$B$6,N:N)),L2197=2),MAX($M$3:OFFSET(M2197,-1,0))+1,0)</f>
        <v>0</v>
      </c>
      <c r="N2197" s="3" t="s">
        <v>1692</v>
      </c>
    </row>
    <row r="2198" spans="1:14" x14ac:dyDescent="0.25">
      <c r="A2198" s="1" t="s">
        <v>11363</v>
      </c>
      <c r="B2198" s="3" t="s">
        <v>5822</v>
      </c>
      <c r="C2198" s="2">
        <f ca="1">IF(ISNUMBER(SEARCH(Лист2!$B$4,D:D)),MAX($C$3:OFFSET(C2198,-1,0))+1,0)</f>
        <v>0</v>
      </c>
      <c r="E2198" s="9" t="str">
        <f t="shared" ca="1" si="46"/>
        <v/>
      </c>
      <c r="F2198" s="4" t="s">
        <v>7</v>
      </c>
      <c r="G2198" s="2">
        <f>IF(ISNUMBER(SEARCH(Лист2!$B$4,F:F)),1,0)</f>
        <v>0</v>
      </c>
      <c r="H2198" s="3">
        <f ca="1">IF(AND(I2198&lt;&gt;I2197,ISNUMBER(SEARCH(Лист2!$B$5,I:I)),G2198=1),MAX($H$3:OFFSET(H2198,-1,0))+1,0)</f>
        <v>0</v>
      </c>
      <c r="I2198" s="3" t="s">
        <v>227</v>
      </c>
      <c r="K2198" s="2">
        <f>IF(ISNUMBER(SEARCH(Лист2!$B$4,F:F)),1,0)</f>
        <v>0</v>
      </c>
      <c r="L2198" s="14">
        <f>IF(ISNUMBER(SEARCH(Лист2!$B$5,I:I)),1,0)+K2198</f>
        <v>0</v>
      </c>
      <c r="M2198" s="3">
        <f ca="1">IF(AND(N2198&lt;&gt;N2197,ISNUMBER(SEARCH(Лист2!$B$6,N:N)),L2198=2),MAX($M$3:OFFSET(M2198,-1,0))+1,0)</f>
        <v>0</v>
      </c>
      <c r="N2198" s="3" t="s">
        <v>1693</v>
      </c>
    </row>
    <row r="2199" spans="1:14" x14ac:dyDescent="0.25">
      <c r="A2199" s="1" t="s">
        <v>11364</v>
      </c>
      <c r="B2199" s="3" t="s">
        <v>5823</v>
      </c>
      <c r="C2199" s="2">
        <f ca="1">IF(ISNUMBER(SEARCH(Лист2!$B$4,D:D)),MAX($C$3:OFFSET(C2199,-1,0))+1,0)</f>
        <v>0</v>
      </c>
      <c r="E2199" s="9" t="str">
        <f t="shared" ca="1" si="46"/>
        <v/>
      </c>
      <c r="F2199" s="4" t="s">
        <v>7</v>
      </c>
      <c r="G2199" s="2">
        <f>IF(ISNUMBER(SEARCH(Лист2!$B$4,F:F)),1,0)</f>
        <v>0</v>
      </c>
      <c r="H2199" s="3">
        <f ca="1">IF(AND(I2199&lt;&gt;I2198,ISNUMBER(SEARCH(Лист2!$B$5,I:I)),G2199=1),MAX($H$3:OFFSET(H2199,-1,0))+1,0)</f>
        <v>0</v>
      </c>
      <c r="I2199" s="3" t="s">
        <v>228</v>
      </c>
      <c r="K2199" s="2">
        <f>IF(ISNUMBER(SEARCH(Лист2!$B$4,F:F)),1,0)</f>
        <v>0</v>
      </c>
      <c r="L2199" s="14">
        <f>IF(ISNUMBER(SEARCH(Лист2!$B$5,I:I)),1,0)+K2199</f>
        <v>0</v>
      </c>
      <c r="M2199" s="3">
        <f ca="1">IF(AND(N2199&lt;&gt;N2198,ISNUMBER(SEARCH(Лист2!$B$6,N:N)),L2199=2),MAX($M$3:OFFSET(M2199,-1,0))+1,0)</f>
        <v>0</v>
      </c>
      <c r="N2199" s="3" t="s">
        <v>1694</v>
      </c>
    </row>
    <row r="2200" spans="1:14" x14ac:dyDescent="0.25">
      <c r="A2200" s="1" t="s">
        <v>11365</v>
      </c>
      <c r="B2200" s="3" t="s">
        <v>5824</v>
      </c>
      <c r="C2200" s="2">
        <f ca="1">IF(ISNUMBER(SEARCH(Лист2!$B$4,D:D)),MAX($C$3:OFFSET(C2200,-1,0))+1,0)</f>
        <v>0</v>
      </c>
      <c r="E2200" s="9" t="str">
        <f t="shared" ca="1" si="46"/>
        <v/>
      </c>
      <c r="F2200" s="4" t="s">
        <v>7</v>
      </c>
      <c r="G2200" s="2">
        <f>IF(ISNUMBER(SEARCH(Лист2!$B$4,F:F)),1,0)</f>
        <v>0</v>
      </c>
      <c r="H2200" s="3">
        <f ca="1">IF(AND(I2200&lt;&gt;I2199,ISNUMBER(SEARCH(Лист2!$B$5,I:I)),G2200=1),MAX($H$3:OFFSET(H2200,-1,0))+1,0)</f>
        <v>0</v>
      </c>
      <c r="I2200" s="3" t="s">
        <v>228</v>
      </c>
      <c r="K2200" s="2">
        <f>IF(ISNUMBER(SEARCH(Лист2!$B$4,F:F)),1,0)</f>
        <v>0</v>
      </c>
      <c r="L2200" s="14">
        <f>IF(ISNUMBER(SEARCH(Лист2!$B$5,I:I)),1,0)+K2200</f>
        <v>0</v>
      </c>
      <c r="M2200" s="3">
        <f ca="1">IF(AND(N2200&lt;&gt;N2199,ISNUMBER(SEARCH(Лист2!$B$6,N:N)),L2200=2),MAX($M$3:OFFSET(M2200,-1,0))+1,0)</f>
        <v>0</v>
      </c>
      <c r="N2200" s="3" t="s">
        <v>1695</v>
      </c>
    </row>
    <row r="2201" spans="1:14" x14ac:dyDescent="0.25">
      <c r="A2201" s="1" t="s">
        <v>11366</v>
      </c>
      <c r="B2201" s="3" t="s">
        <v>5825</v>
      </c>
      <c r="C2201" s="2">
        <f ca="1">IF(ISNUMBER(SEARCH(Лист2!$B$4,D:D)),MAX($C$3:OFFSET(C2201,-1,0))+1,0)</f>
        <v>0</v>
      </c>
      <c r="E2201" s="9" t="str">
        <f t="shared" ca="1" si="46"/>
        <v/>
      </c>
      <c r="F2201" s="4" t="s">
        <v>7</v>
      </c>
      <c r="G2201" s="2">
        <f>IF(ISNUMBER(SEARCH(Лист2!$B$4,F:F)),1,0)</f>
        <v>0</v>
      </c>
      <c r="H2201" s="3">
        <f ca="1">IF(AND(I2201&lt;&gt;I2200,ISNUMBER(SEARCH(Лист2!$B$5,I:I)),G2201=1),MAX($H$3:OFFSET(H2201,-1,0))+1,0)</f>
        <v>0</v>
      </c>
      <c r="I2201" s="3" t="s">
        <v>228</v>
      </c>
      <c r="K2201" s="2">
        <f>IF(ISNUMBER(SEARCH(Лист2!$B$4,F:F)),1,0)</f>
        <v>0</v>
      </c>
      <c r="L2201" s="14">
        <f>IF(ISNUMBER(SEARCH(Лист2!$B$5,I:I)),1,0)+K2201</f>
        <v>0</v>
      </c>
      <c r="M2201" s="3">
        <f ca="1">IF(AND(N2201&lt;&gt;N2200,ISNUMBER(SEARCH(Лист2!$B$6,N:N)),L2201=2),MAX($M$3:OFFSET(M2201,-1,0))+1,0)</f>
        <v>0</v>
      </c>
      <c r="N2201" s="3" t="s">
        <v>1678</v>
      </c>
    </row>
    <row r="2202" spans="1:14" x14ac:dyDescent="0.25">
      <c r="A2202" s="1" t="s">
        <v>11367</v>
      </c>
      <c r="B2202" s="3" t="s">
        <v>5826</v>
      </c>
      <c r="C2202" s="2">
        <f ca="1">IF(ISNUMBER(SEARCH(Лист2!$B$4,D:D)),MAX($C$3:OFFSET(C2202,-1,0))+1,0)</f>
        <v>0</v>
      </c>
      <c r="E2202" s="9" t="str">
        <f t="shared" ca="1" si="46"/>
        <v/>
      </c>
      <c r="F2202" s="4" t="s">
        <v>7</v>
      </c>
      <c r="G2202" s="2">
        <f>IF(ISNUMBER(SEARCH(Лист2!$B$4,F:F)),1,0)</f>
        <v>0</v>
      </c>
      <c r="H2202" s="3">
        <f ca="1">IF(AND(I2202&lt;&gt;I2201,ISNUMBER(SEARCH(Лист2!$B$5,I:I)),G2202=1),MAX($H$3:OFFSET(H2202,-1,0))+1,0)</f>
        <v>0</v>
      </c>
      <c r="I2202" s="3" t="s">
        <v>228</v>
      </c>
      <c r="K2202" s="2">
        <f>IF(ISNUMBER(SEARCH(Лист2!$B$4,F:F)),1,0)</f>
        <v>0</v>
      </c>
      <c r="L2202" s="14">
        <f>IF(ISNUMBER(SEARCH(Лист2!$B$5,I:I)),1,0)+K2202</f>
        <v>0</v>
      </c>
      <c r="M2202" s="3">
        <f ca="1">IF(AND(N2202&lt;&gt;N2201,ISNUMBER(SEARCH(Лист2!$B$6,N:N)),L2202=2),MAX($M$3:OFFSET(M2202,-1,0))+1,0)</f>
        <v>0</v>
      </c>
      <c r="N2202" s="3" t="s">
        <v>1620</v>
      </c>
    </row>
    <row r="2203" spans="1:14" x14ac:dyDescent="0.25">
      <c r="A2203" s="1" t="s">
        <v>11368</v>
      </c>
      <c r="B2203" s="3" t="s">
        <v>5827</v>
      </c>
      <c r="C2203" s="2">
        <f ca="1">IF(ISNUMBER(SEARCH(Лист2!$B$4,D:D)),MAX($C$3:OFFSET(C2203,-1,0))+1,0)</f>
        <v>0</v>
      </c>
      <c r="E2203" s="9" t="str">
        <f t="shared" ca="1" si="46"/>
        <v/>
      </c>
      <c r="F2203" s="4" t="s">
        <v>7</v>
      </c>
      <c r="G2203" s="2">
        <f>IF(ISNUMBER(SEARCH(Лист2!$B$4,F:F)),1,0)</f>
        <v>0</v>
      </c>
      <c r="H2203" s="3">
        <f ca="1">IF(AND(I2203&lt;&gt;I2202,ISNUMBER(SEARCH(Лист2!$B$5,I:I)),G2203=1),MAX($H$3:OFFSET(H2203,-1,0))+1,0)</f>
        <v>0</v>
      </c>
      <c r="I2203" s="3" t="s">
        <v>228</v>
      </c>
      <c r="K2203" s="2">
        <f>IF(ISNUMBER(SEARCH(Лист2!$B$4,F:F)),1,0)</f>
        <v>0</v>
      </c>
      <c r="L2203" s="14">
        <f>IF(ISNUMBER(SEARCH(Лист2!$B$5,I:I)),1,0)+K2203</f>
        <v>0</v>
      </c>
      <c r="M2203" s="3">
        <f ca="1">IF(AND(N2203&lt;&gt;N2202,ISNUMBER(SEARCH(Лист2!$B$6,N:N)),L2203=2),MAX($M$3:OFFSET(M2203,-1,0))+1,0)</f>
        <v>0</v>
      </c>
      <c r="N2203" s="3" t="s">
        <v>1690</v>
      </c>
    </row>
    <row r="2204" spans="1:14" x14ac:dyDescent="0.25">
      <c r="A2204" s="1" t="s">
        <v>11369</v>
      </c>
      <c r="B2204" s="3" t="s">
        <v>5828</v>
      </c>
      <c r="C2204" s="2">
        <f ca="1">IF(ISNUMBER(SEARCH(Лист2!$B$4,D:D)),MAX($C$3:OFFSET(C2204,-1,0))+1,0)</f>
        <v>0</v>
      </c>
      <c r="E2204" s="9" t="str">
        <f t="shared" ca="1" si="46"/>
        <v/>
      </c>
      <c r="F2204" s="4" t="s">
        <v>7</v>
      </c>
      <c r="G2204" s="2">
        <f>IF(ISNUMBER(SEARCH(Лист2!$B$4,F:F)),1,0)</f>
        <v>0</v>
      </c>
      <c r="H2204" s="3">
        <f ca="1">IF(AND(I2204&lt;&gt;I2203,ISNUMBER(SEARCH(Лист2!$B$5,I:I)),G2204=1),MAX($H$3:OFFSET(H2204,-1,0))+1,0)</f>
        <v>0</v>
      </c>
      <c r="I2204" s="3" t="s">
        <v>228</v>
      </c>
      <c r="K2204" s="2">
        <f>IF(ISNUMBER(SEARCH(Лист2!$B$4,F:F)),1,0)</f>
        <v>0</v>
      </c>
      <c r="L2204" s="14">
        <f>IF(ISNUMBER(SEARCH(Лист2!$B$5,I:I)),1,0)+K2204</f>
        <v>0</v>
      </c>
      <c r="M2204" s="3">
        <f ca="1">IF(AND(N2204&lt;&gt;N2203,ISNUMBER(SEARCH(Лист2!$B$6,N:N)),L2204=2),MAX($M$3:OFFSET(M2204,-1,0))+1,0)</f>
        <v>0</v>
      </c>
      <c r="N2204" s="3" t="s">
        <v>602</v>
      </c>
    </row>
    <row r="2205" spans="1:14" x14ac:dyDescent="0.25">
      <c r="A2205" s="1" t="s">
        <v>11370</v>
      </c>
      <c r="B2205" s="3" t="s">
        <v>5829</v>
      </c>
      <c r="C2205" s="2">
        <f ca="1">IF(ISNUMBER(SEARCH(Лист2!$B$4,D:D)),MAX($C$3:OFFSET(C2205,-1,0))+1,0)</f>
        <v>0</v>
      </c>
      <c r="E2205" s="9" t="str">
        <f t="shared" ca="1" si="46"/>
        <v/>
      </c>
      <c r="F2205" s="4" t="s">
        <v>7</v>
      </c>
      <c r="G2205" s="2">
        <f>IF(ISNUMBER(SEARCH(Лист2!$B$4,F:F)),1,0)</f>
        <v>0</v>
      </c>
      <c r="H2205" s="3">
        <f ca="1">IF(AND(I2205&lt;&gt;I2204,ISNUMBER(SEARCH(Лист2!$B$5,I:I)),G2205=1),MAX($H$3:OFFSET(H2205,-1,0))+1,0)</f>
        <v>0</v>
      </c>
      <c r="I2205" s="3" t="s">
        <v>228</v>
      </c>
      <c r="K2205" s="2">
        <f>IF(ISNUMBER(SEARCH(Лист2!$B$4,F:F)),1,0)</f>
        <v>0</v>
      </c>
      <c r="L2205" s="14">
        <f>IF(ISNUMBER(SEARCH(Лист2!$B$5,I:I)),1,0)+K2205</f>
        <v>0</v>
      </c>
      <c r="M2205" s="3">
        <f ca="1">IF(AND(N2205&lt;&gt;N2204,ISNUMBER(SEARCH(Лист2!$B$6,N:N)),L2205=2),MAX($M$3:OFFSET(M2205,-1,0))+1,0)</f>
        <v>0</v>
      </c>
      <c r="N2205" s="3" t="s">
        <v>1696</v>
      </c>
    </row>
    <row r="2206" spans="1:14" x14ac:dyDescent="0.25">
      <c r="A2206" s="1" t="s">
        <v>11371</v>
      </c>
      <c r="B2206" s="3" t="s">
        <v>5830</v>
      </c>
      <c r="C2206" s="2">
        <f ca="1">IF(ISNUMBER(SEARCH(Лист2!$B$4,D:D)),MAX($C$3:OFFSET(C2206,-1,0))+1,0)</f>
        <v>0</v>
      </c>
      <c r="E2206" s="9" t="str">
        <f t="shared" ca="1" si="46"/>
        <v/>
      </c>
      <c r="F2206" s="4" t="s">
        <v>7</v>
      </c>
      <c r="G2206" s="2">
        <f>IF(ISNUMBER(SEARCH(Лист2!$B$4,F:F)),1,0)</f>
        <v>0</v>
      </c>
      <c r="H2206" s="3">
        <f ca="1">IF(AND(I2206&lt;&gt;I2205,ISNUMBER(SEARCH(Лист2!$B$5,I:I)),G2206=1),MAX($H$3:OFFSET(H2206,-1,0))+1,0)</f>
        <v>0</v>
      </c>
      <c r="I2206" s="3" t="s">
        <v>228</v>
      </c>
      <c r="K2206" s="2">
        <f>IF(ISNUMBER(SEARCH(Лист2!$B$4,F:F)),1,0)</f>
        <v>0</v>
      </c>
      <c r="L2206" s="14">
        <f>IF(ISNUMBER(SEARCH(Лист2!$B$5,I:I)),1,0)+K2206</f>
        <v>0</v>
      </c>
      <c r="M2206" s="3">
        <f ca="1">IF(AND(N2206&lt;&gt;N2205,ISNUMBER(SEARCH(Лист2!$B$6,N:N)),L2206=2),MAX($M$3:OFFSET(M2206,-1,0))+1,0)</f>
        <v>0</v>
      </c>
      <c r="N2206" s="3" t="s">
        <v>1697</v>
      </c>
    </row>
    <row r="2207" spans="1:14" x14ac:dyDescent="0.25">
      <c r="A2207" s="1" t="s">
        <v>11372</v>
      </c>
      <c r="B2207" s="3" t="s">
        <v>5831</v>
      </c>
      <c r="C2207" s="2">
        <f ca="1">IF(ISNUMBER(SEARCH(Лист2!$B$4,D:D)),MAX($C$3:OFFSET(C2207,-1,0))+1,0)</f>
        <v>0</v>
      </c>
      <c r="E2207" s="9" t="str">
        <f t="shared" ca="1" si="46"/>
        <v/>
      </c>
      <c r="F2207" s="4" t="s">
        <v>7</v>
      </c>
      <c r="G2207" s="2">
        <f>IF(ISNUMBER(SEARCH(Лист2!$B$4,F:F)),1,0)</f>
        <v>0</v>
      </c>
      <c r="H2207" s="3">
        <f ca="1">IF(AND(I2207&lt;&gt;I2206,ISNUMBER(SEARCH(Лист2!$B$5,I:I)),G2207=1),MAX($H$3:OFFSET(H2207,-1,0))+1,0)</f>
        <v>0</v>
      </c>
      <c r="I2207" s="3" t="s">
        <v>228</v>
      </c>
      <c r="K2207" s="2">
        <f>IF(ISNUMBER(SEARCH(Лист2!$B$4,F:F)),1,0)</f>
        <v>0</v>
      </c>
      <c r="L2207" s="14">
        <f>IF(ISNUMBER(SEARCH(Лист2!$B$5,I:I)),1,0)+K2207</f>
        <v>0</v>
      </c>
      <c r="M2207" s="3">
        <f ca="1">IF(AND(N2207&lt;&gt;N2206,ISNUMBER(SEARCH(Лист2!$B$6,N:N)),L2207=2),MAX($M$3:OFFSET(M2207,-1,0))+1,0)</f>
        <v>0</v>
      </c>
      <c r="N2207" s="3" t="s">
        <v>1698</v>
      </c>
    </row>
    <row r="2208" spans="1:14" x14ac:dyDescent="0.25">
      <c r="A2208" s="1" t="s">
        <v>11373</v>
      </c>
      <c r="B2208" s="3" t="s">
        <v>5832</v>
      </c>
      <c r="C2208" s="2">
        <f ca="1">IF(ISNUMBER(SEARCH(Лист2!$B$4,D:D)),MAX($C$3:OFFSET(C2208,-1,0))+1,0)</f>
        <v>0</v>
      </c>
      <c r="E2208" s="9" t="str">
        <f t="shared" ca="1" si="46"/>
        <v/>
      </c>
      <c r="F2208" s="4" t="s">
        <v>7</v>
      </c>
      <c r="G2208" s="2">
        <f>IF(ISNUMBER(SEARCH(Лист2!$B$4,F:F)),1,0)</f>
        <v>0</v>
      </c>
      <c r="H2208" s="3">
        <f ca="1">IF(AND(I2208&lt;&gt;I2207,ISNUMBER(SEARCH(Лист2!$B$5,I:I)),G2208=1),MAX($H$3:OFFSET(H2208,-1,0))+1,0)</f>
        <v>0</v>
      </c>
      <c r="I2208" s="3" t="s">
        <v>229</v>
      </c>
      <c r="K2208" s="2">
        <f>IF(ISNUMBER(SEARCH(Лист2!$B$4,F:F)),1,0)</f>
        <v>0</v>
      </c>
      <c r="L2208" s="14">
        <f>IF(ISNUMBER(SEARCH(Лист2!$B$5,I:I)),1,0)+K2208</f>
        <v>0</v>
      </c>
      <c r="M2208" s="3">
        <f ca="1">IF(AND(N2208&lt;&gt;N2207,ISNUMBER(SEARCH(Лист2!$B$6,N:N)),L2208=2),MAX($M$3:OFFSET(M2208,-1,0))+1,0)</f>
        <v>0</v>
      </c>
      <c r="N2208" s="3" t="s">
        <v>1699</v>
      </c>
    </row>
    <row r="2209" spans="1:14" x14ac:dyDescent="0.25">
      <c r="A2209" s="1" t="s">
        <v>11574</v>
      </c>
      <c r="B2209" s="3" t="s">
        <v>5833</v>
      </c>
      <c r="C2209" s="2">
        <f ca="1">IF(ISNUMBER(SEARCH(Лист2!$B$4,D:D)),MAX($C$3:OFFSET(C2209,-1,0))+1,0)</f>
        <v>0</v>
      </c>
      <c r="E2209" s="9" t="str">
        <f t="shared" ca="1" si="46"/>
        <v/>
      </c>
      <c r="F2209" s="4" t="s">
        <v>7</v>
      </c>
      <c r="G2209" s="2">
        <f>IF(ISNUMBER(SEARCH(Лист2!$B$4,F:F)),1,0)</f>
        <v>0</v>
      </c>
      <c r="H2209" s="3">
        <f ca="1">IF(AND(I2209&lt;&gt;I2208,ISNUMBER(SEARCH(Лист2!$B$5,I:I)),G2209=1),MAX($H$3:OFFSET(H2209,-1,0))+1,0)</f>
        <v>0</v>
      </c>
      <c r="I2209" s="3" t="s">
        <v>229</v>
      </c>
      <c r="K2209" s="2">
        <f>IF(ISNUMBER(SEARCH(Лист2!$B$4,F:F)),1,0)</f>
        <v>0</v>
      </c>
      <c r="L2209" s="14">
        <f>IF(ISNUMBER(SEARCH(Лист2!$B$5,I:I)),1,0)+K2209</f>
        <v>0</v>
      </c>
      <c r="M2209" s="3">
        <f ca="1">IF(AND(N2209&lt;&gt;N2208,ISNUMBER(SEARCH(Лист2!$B$6,N:N)),L2209=2),MAX($M$3:OFFSET(M2209,-1,0))+1,0)</f>
        <v>0</v>
      </c>
      <c r="N2209" s="3" t="s">
        <v>1836</v>
      </c>
    </row>
    <row r="2210" spans="1:14" x14ac:dyDescent="0.25">
      <c r="A2210" s="1" t="s">
        <v>11375</v>
      </c>
      <c r="B2210" s="3" t="s">
        <v>5834</v>
      </c>
      <c r="C2210" s="2">
        <f ca="1">IF(ISNUMBER(SEARCH(Лист2!$B$4,D:D)),MAX($C$3:OFFSET(C2210,-1,0))+1,0)</f>
        <v>0</v>
      </c>
      <c r="E2210" s="9" t="str">
        <f t="shared" ca="1" si="46"/>
        <v/>
      </c>
      <c r="F2210" s="4" t="s">
        <v>7</v>
      </c>
      <c r="G2210" s="2">
        <f>IF(ISNUMBER(SEARCH(Лист2!$B$4,F:F)),1,0)</f>
        <v>0</v>
      </c>
      <c r="H2210" s="3">
        <f ca="1">IF(AND(I2210&lt;&gt;I2209,ISNUMBER(SEARCH(Лист2!$B$5,I:I)),G2210=1),MAX($H$3:OFFSET(H2210,-1,0))+1,0)</f>
        <v>0</v>
      </c>
      <c r="I2210" s="3" t="s">
        <v>229</v>
      </c>
      <c r="K2210" s="2">
        <f>IF(ISNUMBER(SEARCH(Лист2!$B$4,F:F)),1,0)</f>
        <v>0</v>
      </c>
      <c r="L2210" s="14">
        <f>IF(ISNUMBER(SEARCH(Лист2!$B$5,I:I)),1,0)+K2210</f>
        <v>0</v>
      </c>
      <c r="M2210" s="3">
        <f ca="1">IF(AND(N2210&lt;&gt;N2209,ISNUMBER(SEARCH(Лист2!$B$6,N:N)),L2210=2),MAX($M$3:OFFSET(M2210,-1,0))+1,0)</f>
        <v>0</v>
      </c>
      <c r="N2210" s="3" t="s">
        <v>1678</v>
      </c>
    </row>
    <row r="2211" spans="1:14" x14ac:dyDescent="0.25">
      <c r="A2211" s="1" t="s">
        <v>11376</v>
      </c>
      <c r="B2211" s="3" t="s">
        <v>5835</v>
      </c>
      <c r="C2211" s="2">
        <f ca="1">IF(ISNUMBER(SEARCH(Лист2!$B$4,D:D)),MAX($C$3:OFFSET(C2211,-1,0))+1,0)</f>
        <v>0</v>
      </c>
      <c r="E2211" s="9" t="str">
        <f t="shared" ca="1" si="46"/>
        <v/>
      </c>
      <c r="F2211" s="4" t="s">
        <v>7</v>
      </c>
      <c r="G2211" s="2">
        <f>IF(ISNUMBER(SEARCH(Лист2!$B$4,F:F)),1,0)</f>
        <v>0</v>
      </c>
      <c r="H2211" s="3">
        <f ca="1">IF(AND(I2211&lt;&gt;I2210,ISNUMBER(SEARCH(Лист2!$B$5,I:I)),G2211=1),MAX($H$3:OFFSET(H2211,-1,0))+1,0)</f>
        <v>0</v>
      </c>
      <c r="I2211" s="3" t="s">
        <v>229</v>
      </c>
      <c r="K2211" s="2">
        <f>IF(ISNUMBER(SEARCH(Лист2!$B$4,F:F)),1,0)</f>
        <v>0</v>
      </c>
      <c r="L2211" s="14">
        <f>IF(ISNUMBER(SEARCH(Лист2!$B$5,I:I)),1,0)+K2211</f>
        <v>0</v>
      </c>
      <c r="M2211" s="3">
        <f ca="1">IF(AND(N2211&lt;&gt;N2210,ISNUMBER(SEARCH(Лист2!$B$6,N:N)),L2211=2),MAX($M$3:OFFSET(M2211,-1,0))+1,0)</f>
        <v>0</v>
      </c>
      <c r="N2211" s="3" t="s">
        <v>1620</v>
      </c>
    </row>
    <row r="2212" spans="1:14" x14ac:dyDescent="0.25">
      <c r="A2212" s="1" t="s">
        <v>11377</v>
      </c>
      <c r="B2212" s="3" t="s">
        <v>5836</v>
      </c>
      <c r="C2212" s="2">
        <f ca="1">IF(ISNUMBER(SEARCH(Лист2!$B$4,D:D)),MAX($C$3:OFFSET(C2212,-1,0))+1,0)</f>
        <v>0</v>
      </c>
      <c r="E2212" s="9" t="str">
        <f t="shared" ca="1" si="46"/>
        <v/>
      </c>
      <c r="F2212" s="4" t="s">
        <v>7</v>
      </c>
      <c r="G2212" s="2">
        <f>IF(ISNUMBER(SEARCH(Лист2!$B$4,F:F)),1,0)</f>
        <v>0</v>
      </c>
      <c r="H2212" s="3">
        <f ca="1">IF(AND(I2212&lt;&gt;I2211,ISNUMBER(SEARCH(Лист2!$B$5,I:I)),G2212=1),MAX($H$3:OFFSET(H2212,-1,0))+1,0)</f>
        <v>0</v>
      </c>
      <c r="I2212" s="3" t="s">
        <v>229</v>
      </c>
      <c r="K2212" s="2">
        <f>IF(ISNUMBER(SEARCH(Лист2!$B$4,F:F)),1,0)</f>
        <v>0</v>
      </c>
      <c r="L2212" s="14">
        <f>IF(ISNUMBER(SEARCH(Лист2!$B$5,I:I)),1,0)+K2212</f>
        <v>0</v>
      </c>
      <c r="M2212" s="3">
        <f ca="1">IF(AND(N2212&lt;&gt;N2211,ISNUMBER(SEARCH(Лист2!$B$6,N:N)),L2212=2),MAX($M$3:OFFSET(M2212,-1,0))+1,0)</f>
        <v>0</v>
      </c>
      <c r="N2212" s="3" t="s">
        <v>1690</v>
      </c>
    </row>
    <row r="2213" spans="1:14" x14ac:dyDescent="0.25">
      <c r="A2213" s="1" t="s">
        <v>11378</v>
      </c>
      <c r="B2213" s="3" t="s">
        <v>5837</v>
      </c>
      <c r="C2213" s="2">
        <f ca="1">IF(ISNUMBER(SEARCH(Лист2!$B$4,D:D)),MAX($C$3:OFFSET(C2213,-1,0))+1,0)</f>
        <v>0</v>
      </c>
      <c r="E2213" s="9" t="str">
        <f t="shared" ca="1" si="46"/>
        <v/>
      </c>
      <c r="F2213" s="4" t="s">
        <v>7</v>
      </c>
      <c r="G2213" s="2">
        <f>IF(ISNUMBER(SEARCH(Лист2!$B$4,F:F)),1,0)</f>
        <v>0</v>
      </c>
      <c r="H2213" s="3">
        <f ca="1">IF(AND(I2213&lt;&gt;I2212,ISNUMBER(SEARCH(Лист2!$B$5,I:I)),G2213=1),MAX($H$3:OFFSET(H2213,-1,0))+1,0)</f>
        <v>0</v>
      </c>
      <c r="I2213" s="3" t="s">
        <v>229</v>
      </c>
      <c r="K2213" s="2">
        <f>IF(ISNUMBER(SEARCH(Лист2!$B$4,F:F)),1,0)</f>
        <v>0</v>
      </c>
      <c r="L2213" s="14">
        <f>IF(ISNUMBER(SEARCH(Лист2!$B$5,I:I)),1,0)+K2213</f>
        <v>0</v>
      </c>
      <c r="M2213" s="3">
        <f ca="1">IF(AND(N2213&lt;&gt;N2212,ISNUMBER(SEARCH(Лист2!$B$6,N:N)),L2213=2),MAX($M$3:OFFSET(M2213,-1,0))+1,0)</f>
        <v>0</v>
      </c>
      <c r="N2213" s="3" t="s">
        <v>602</v>
      </c>
    </row>
    <row r="2214" spans="1:14" x14ac:dyDescent="0.25">
      <c r="A2214" s="1" t="s">
        <v>11379</v>
      </c>
      <c r="B2214" s="3" t="s">
        <v>5838</v>
      </c>
      <c r="C2214" s="2">
        <f ca="1">IF(ISNUMBER(SEARCH(Лист2!$B$4,D:D)),MAX($C$3:OFFSET(C2214,-1,0))+1,0)</f>
        <v>0</v>
      </c>
      <c r="E2214" s="9" t="str">
        <f t="shared" ca="1" si="46"/>
        <v/>
      </c>
      <c r="F2214" s="4" t="s">
        <v>7</v>
      </c>
      <c r="G2214" s="2">
        <f>IF(ISNUMBER(SEARCH(Лист2!$B$4,F:F)),1,0)</f>
        <v>0</v>
      </c>
      <c r="H2214" s="3">
        <f ca="1">IF(AND(I2214&lt;&gt;I2213,ISNUMBER(SEARCH(Лист2!$B$5,I:I)),G2214=1),MAX($H$3:OFFSET(H2214,-1,0))+1,0)</f>
        <v>0</v>
      </c>
      <c r="I2214" s="3" t="s">
        <v>229</v>
      </c>
      <c r="K2214" s="2">
        <f>IF(ISNUMBER(SEARCH(Лист2!$B$4,F:F)),1,0)</f>
        <v>0</v>
      </c>
      <c r="L2214" s="14">
        <f>IF(ISNUMBER(SEARCH(Лист2!$B$5,I:I)),1,0)+K2214</f>
        <v>0</v>
      </c>
      <c r="M2214" s="3">
        <f ca="1">IF(AND(N2214&lt;&gt;N2213,ISNUMBER(SEARCH(Лист2!$B$6,N:N)),L2214=2),MAX($M$3:OFFSET(M2214,-1,0))+1,0)</f>
        <v>0</v>
      </c>
      <c r="N2214" s="3" t="s">
        <v>1701</v>
      </c>
    </row>
    <row r="2215" spans="1:14" x14ac:dyDescent="0.25">
      <c r="A2215" s="1" t="s">
        <v>11380</v>
      </c>
      <c r="B2215" s="3" t="s">
        <v>5839</v>
      </c>
      <c r="C2215" s="2">
        <f ca="1">IF(ISNUMBER(SEARCH(Лист2!$B$4,D:D)),MAX($C$3:OFFSET(C2215,-1,0))+1,0)</f>
        <v>0</v>
      </c>
      <c r="E2215" s="9" t="str">
        <f t="shared" ca="1" si="46"/>
        <v/>
      </c>
      <c r="F2215" s="4" t="s">
        <v>7</v>
      </c>
      <c r="G2215" s="2">
        <f>IF(ISNUMBER(SEARCH(Лист2!$B$4,F:F)),1,0)</f>
        <v>0</v>
      </c>
      <c r="H2215" s="3">
        <f ca="1">IF(AND(I2215&lt;&gt;I2214,ISNUMBER(SEARCH(Лист2!$B$5,I:I)),G2215=1),MAX($H$3:OFFSET(H2215,-1,0))+1,0)</f>
        <v>0</v>
      </c>
      <c r="I2215" s="3" t="s">
        <v>229</v>
      </c>
      <c r="K2215" s="2">
        <f>IF(ISNUMBER(SEARCH(Лист2!$B$4,F:F)),1,0)</f>
        <v>0</v>
      </c>
      <c r="L2215" s="14">
        <f>IF(ISNUMBER(SEARCH(Лист2!$B$5,I:I)),1,0)+K2215</f>
        <v>0</v>
      </c>
      <c r="M2215" s="3">
        <f ca="1">IF(AND(N2215&lt;&gt;N2214,ISNUMBER(SEARCH(Лист2!$B$6,N:N)),L2215=2),MAX($M$3:OFFSET(M2215,-1,0))+1,0)</f>
        <v>0</v>
      </c>
      <c r="N2215" s="3" t="s">
        <v>1702</v>
      </c>
    </row>
    <row r="2216" spans="1:14" x14ac:dyDescent="0.25">
      <c r="A2216" s="1" t="s">
        <v>11381</v>
      </c>
      <c r="B2216" s="3" t="s">
        <v>5840</v>
      </c>
      <c r="C2216" s="2">
        <f ca="1">IF(ISNUMBER(SEARCH(Лист2!$B$4,D:D)),MAX($C$3:OFFSET(C2216,-1,0))+1,0)</f>
        <v>0</v>
      </c>
      <c r="E2216" s="9" t="str">
        <f t="shared" ca="1" si="46"/>
        <v/>
      </c>
      <c r="F2216" s="4" t="s">
        <v>7</v>
      </c>
      <c r="G2216" s="2">
        <f>IF(ISNUMBER(SEARCH(Лист2!$B$4,F:F)),1,0)</f>
        <v>0</v>
      </c>
      <c r="H2216" s="3">
        <f ca="1">IF(AND(I2216&lt;&gt;I2215,ISNUMBER(SEARCH(Лист2!$B$5,I:I)),G2216=1),MAX($H$3:OFFSET(H2216,-1,0))+1,0)</f>
        <v>0</v>
      </c>
      <c r="I2216" s="3" t="s">
        <v>229</v>
      </c>
      <c r="K2216" s="2">
        <f>IF(ISNUMBER(SEARCH(Лист2!$B$4,F:F)),1,0)</f>
        <v>0</v>
      </c>
      <c r="L2216" s="14">
        <f>IF(ISNUMBER(SEARCH(Лист2!$B$5,I:I)),1,0)+K2216</f>
        <v>0</v>
      </c>
      <c r="M2216" s="3">
        <f ca="1">IF(AND(N2216&lt;&gt;N2215,ISNUMBER(SEARCH(Лист2!$B$6,N:N)),L2216=2),MAX($M$3:OFFSET(M2216,-1,0))+1,0)</f>
        <v>0</v>
      </c>
      <c r="N2216" s="3" t="s">
        <v>1703</v>
      </c>
    </row>
    <row r="2217" spans="1:14" x14ac:dyDescent="0.25">
      <c r="A2217" s="1" t="s">
        <v>11382</v>
      </c>
      <c r="B2217" s="3" t="s">
        <v>5841</v>
      </c>
      <c r="C2217" s="2">
        <f ca="1">IF(ISNUMBER(SEARCH(Лист2!$B$4,D:D)),MAX($C$3:OFFSET(C2217,-1,0))+1,0)</f>
        <v>0</v>
      </c>
      <c r="E2217" s="9" t="str">
        <f t="shared" ca="1" si="46"/>
        <v/>
      </c>
      <c r="F2217" s="4" t="s">
        <v>7</v>
      </c>
      <c r="G2217" s="2">
        <f>IF(ISNUMBER(SEARCH(Лист2!$B$4,F:F)),1,0)</f>
        <v>0</v>
      </c>
      <c r="H2217" s="3">
        <f ca="1">IF(AND(I2217&lt;&gt;I2216,ISNUMBER(SEARCH(Лист2!$B$5,I:I)),G2217=1),MAX($H$3:OFFSET(H2217,-1,0))+1,0)</f>
        <v>0</v>
      </c>
      <c r="I2217" s="3" t="s">
        <v>230</v>
      </c>
      <c r="K2217" s="2">
        <f>IF(ISNUMBER(SEARCH(Лист2!$B$4,F:F)),1,0)</f>
        <v>0</v>
      </c>
      <c r="L2217" s="14">
        <f>IF(ISNUMBER(SEARCH(Лист2!$B$5,I:I)),1,0)+K2217</f>
        <v>0</v>
      </c>
      <c r="M2217" s="3">
        <f ca="1">IF(AND(N2217&lt;&gt;N2216,ISNUMBER(SEARCH(Лист2!$B$6,N:N)),L2217=2),MAX($M$3:OFFSET(M2217,-1,0))+1,0)</f>
        <v>0</v>
      </c>
      <c r="N2217" s="3" t="s">
        <v>1704</v>
      </c>
    </row>
    <row r="2218" spans="1:14" x14ac:dyDescent="0.25">
      <c r="A2218" s="1" t="s">
        <v>11383</v>
      </c>
      <c r="B2218" s="3" t="s">
        <v>5842</v>
      </c>
      <c r="C2218" s="2">
        <f ca="1">IF(ISNUMBER(SEARCH(Лист2!$B$4,D:D)),MAX($C$3:OFFSET(C2218,-1,0))+1,0)</f>
        <v>0</v>
      </c>
      <c r="E2218" s="9" t="str">
        <f t="shared" ca="1" si="46"/>
        <v/>
      </c>
      <c r="F2218" s="4" t="s">
        <v>7</v>
      </c>
      <c r="G2218" s="2">
        <f>IF(ISNUMBER(SEARCH(Лист2!$B$4,F:F)),1,0)</f>
        <v>0</v>
      </c>
      <c r="H2218" s="3">
        <f ca="1">IF(AND(I2218&lt;&gt;I2217,ISNUMBER(SEARCH(Лист2!$B$5,I:I)),G2218=1),MAX($H$3:OFFSET(H2218,-1,0))+1,0)</f>
        <v>0</v>
      </c>
      <c r="I2218" s="3" t="s">
        <v>230</v>
      </c>
      <c r="K2218" s="2">
        <f>IF(ISNUMBER(SEARCH(Лист2!$B$4,F:F)),1,0)</f>
        <v>0</v>
      </c>
      <c r="L2218" s="14">
        <f>IF(ISNUMBER(SEARCH(Лист2!$B$5,I:I)),1,0)+K2218</f>
        <v>0</v>
      </c>
      <c r="M2218" s="3">
        <f ca="1">IF(AND(N2218&lt;&gt;N2217,ISNUMBER(SEARCH(Лист2!$B$6,N:N)),L2218=2),MAX($M$3:OFFSET(M2218,-1,0))+1,0)</f>
        <v>0</v>
      </c>
      <c r="N2218" s="3" t="s">
        <v>1705</v>
      </c>
    </row>
    <row r="2219" spans="1:14" x14ac:dyDescent="0.25">
      <c r="A2219" s="1" t="s">
        <v>11384</v>
      </c>
      <c r="B2219" s="3" t="s">
        <v>5843</v>
      </c>
      <c r="C2219" s="2">
        <f ca="1">IF(ISNUMBER(SEARCH(Лист2!$B$4,D:D)),MAX($C$3:OFFSET(C2219,-1,0))+1,0)</f>
        <v>0</v>
      </c>
      <c r="E2219" s="9" t="str">
        <f t="shared" ca="1" si="46"/>
        <v/>
      </c>
      <c r="F2219" s="4" t="s">
        <v>7</v>
      </c>
      <c r="G2219" s="2">
        <f>IF(ISNUMBER(SEARCH(Лист2!$B$4,F:F)),1,0)</f>
        <v>0</v>
      </c>
      <c r="H2219" s="3">
        <f ca="1">IF(AND(I2219&lt;&gt;I2218,ISNUMBER(SEARCH(Лист2!$B$5,I:I)),G2219=1),MAX($H$3:OFFSET(H2219,-1,0))+1,0)</f>
        <v>0</v>
      </c>
      <c r="I2219" s="3" t="s">
        <v>230</v>
      </c>
      <c r="K2219" s="2">
        <f>IF(ISNUMBER(SEARCH(Лист2!$B$4,F:F)),1,0)</f>
        <v>0</v>
      </c>
      <c r="L2219" s="14">
        <f>IF(ISNUMBER(SEARCH(Лист2!$B$5,I:I)),1,0)+K2219</f>
        <v>0</v>
      </c>
      <c r="M2219" s="3">
        <f ca="1">IF(AND(N2219&lt;&gt;N2218,ISNUMBER(SEARCH(Лист2!$B$6,N:N)),L2219=2),MAX($M$3:OFFSET(M2219,-1,0))+1,0)</f>
        <v>0</v>
      </c>
      <c r="N2219" s="3" t="s">
        <v>1678</v>
      </c>
    </row>
    <row r="2220" spans="1:14" x14ac:dyDescent="0.25">
      <c r="A2220" s="1" t="s">
        <v>11385</v>
      </c>
      <c r="B2220" s="3" t="s">
        <v>5844</v>
      </c>
      <c r="C2220" s="2">
        <f ca="1">IF(ISNUMBER(SEARCH(Лист2!$B$4,D:D)),MAX($C$3:OFFSET(C2220,-1,0))+1,0)</f>
        <v>0</v>
      </c>
      <c r="E2220" s="9" t="str">
        <f t="shared" ca="1" si="46"/>
        <v/>
      </c>
      <c r="F2220" s="4" t="s">
        <v>7</v>
      </c>
      <c r="G2220" s="2">
        <f>IF(ISNUMBER(SEARCH(Лист2!$B$4,F:F)),1,0)</f>
        <v>0</v>
      </c>
      <c r="H2220" s="3">
        <f ca="1">IF(AND(I2220&lt;&gt;I2219,ISNUMBER(SEARCH(Лист2!$B$5,I:I)),G2220=1),MAX($H$3:OFFSET(H2220,-1,0))+1,0)</f>
        <v>0</v>
      </c>
      <c r="I2220" s="3" t="s">
        <v>230</v>
      </c>
      <c r="K2220" s="2">
        <f>IF(ISNUMBER(SEARCH(Лист2!$B$4,F:F)),1,0)</f>
        <v>0</v>
      </c>
      <c r="L2220" s="14">
        <f>IF(ISNUMBER(SEARCH(Лист2!$B$5,I:I)),1,0)+K2220</f>
        <v>0</v>
      </c>
      <c r="M2220" s="3">
        <f ca="1">IF(AND(N2220&lt;&gt;N2219,ISNUMBER(SEARCH(Лист2!$B$6,N:N)),L2220=2),MAX($M$3:OFFSET(M2220,-1,0))+1,0)</f>
        <v>0</v>
      </c>
      <c r="N2220" s="3" t="s">
        <v>1620</v>
      </c>
    </row>
    <row r="2221" spans="1:14" x14ac:dyDescent="0.25">
      <c r="A2221" s="1" t="s">
        <v>11386</v>
      </c>
      <c r="B2221" s="3" t="s">
        <v>5845</v>
      </c>
      <c r="C2221" s="2">
        <f ca="1">IF(ISNUMBER(SEARCH(Лист2!$B$4,D:D)),MAX($C$3:OFFSET(C2221,-1,0))+1,0)</f>
        <v>0</v>
      </c>
      <c r="E2221" s="9" t="str">
        <f t="shared" ca="1" si="46"/>
        <v/>
      </c>
      <c r="F2221" s="4" t="s">
        <v>7</v>
      </c>
      <c r="G2221" s="2">
        <f>IF(ISNUMBER(SEARCH(Лист2!$B$4,F:F)),1,0)</f>
        <v>0</v>
      </c>
      <c r="H2221" s="3">
        <f ca="1">IF(AND(I2221&lt;&gt;I2220,ISNUMBER(SEARCH(Лист2!$B$5,I:I)),G2221=1),MAX($H$3:OFFSET(H2221,-1,0))+1,0)</f>
        <v>0</v>
      </c>
      <c r="I2221" s="3" t="s">
        <v>230</v>
      </c>
      <c r="K2221" s="2">
        <f>IF(ISNUMBER(SEARCH(Лист2!$B$4,F:F)),1,0)</f>
        <v>0</v>
      </c>
      <c r="L2221" s="14">
        <f>IF(ISNUMBER(SEARCH(Лист2!$B$5,I:I)),1,0)+K2221</f>
        <v>0</v>
      </c>
      <c r="M2221" s="3">
        <f ca="1">IF(AND(N2221&lt;&gt;N2220,ISNUMBER(SEARCH(Лист2!$B$6,N:N)),L2221=2),MAX($M$3:OFFSET(M2221,-1,0))+1,0)</f>
        <v>0</v>
      </c>
      <c r="N2221" s="3" t="s">
        <v>1690</v>
      </c>
    </row>
    <row r="2222" spans="1:14" x14ac:dyDescent="0.25">
      <c r="A2222" s="1" t="s">
        <v>11387</v>
      </c>
      <c r="B2222" s="3" t="s">
        <v>5846</v>
      </c>
      <c r="C2222" s="2">
        <f ca="1">IF(ISNUMBER(SEARCH(Лист2!$B$4,D:D)),MAX($C$3:OFFSET(C2222,-1,0))+1,0)</f>
        <v>0</v>
      </c>
      <c r="E2222" s="9" t="str">
        <f t="shared" ca="1" si="46"/>
        <v/>
      </c>
      <c r="F2222" s="4" t="s">
        <v>7</v>
      </c>
      <c r="G2222" s="2">
        <f>IF(ISNUMBER(SEARCH(Лист2!$B$4,F:F)),1,0)</f>
        <v>0</v>
      </c>
      <c r="H2222" s="3">
        <f ca="1">IF(AND(I2222&lt;&gt;I2221,ISNUMBER(SEARCH(Лист2!$B$5,I:I)),G2222=1),MAX($H$3:OFFSET(H2222,-1,0))+1,0)</f>
        <v>0</v>
      </c>
      <c r="I2222" s="3" t="s">
        <v>230</v>
      </c>
      <c r="K2222" s="2">
        <f>IF(ISNUMBER(SEARCH(Лист2!$B$4,F:F)),1,0)</f>
        <v>0</v>
      </c>
      <c r="L2222" s="14">
        <f>IF(ISNUMBER(SEARCH(Лист2!$B$5,I:I)),1,0)+K2222</f>
        <v>0</v>
      </c>
      <c r="M2222" s="3">
        <f ca="1">IF(AND(N2222&lt;&gt;N2221,ISNUMBER(SEARCH(Лист2!$B$6,N:N)),L2222=2),MAX($M$3:OFFSET(M2222,-1,0))+1,0)</f>
        <v>0</v>
      </c>
      <c r="N2222" s="3" t="s">
        <v>602</v>
      </c>
    </row>
    <row r="2223" spans="1:14" x14ac:dyDescent="0.25">
      <c r="A2223" s="1" t="s">
        <v>11388</v>
      </c>
      <c r="B2223" s="3" t="s">
        <v>5847</v>
      </c>
      <c r="C2223" s="2">
        <f ca="1">IF(ISNUMBER(SEARCH(Лист2!$B$4,D:D)),MAX($C$3:OFFSET(C2223,-1,0))+1,0)</f>
        <v>0</v>
      </c>
      <c r="E2223" s="9" t="str">
        <f t="shared" ca="1" si="46"/>
        <v/>
      </c>
      <c r="F2223" s="4" t="s">
        <v>7</v>
      </c>
      <c r="G2223" s="2">
        <f>IF(ISNUMBER(SEARCH(Лист2!$B$4,F:F)),1,0)</f>
        <v>0</v>
      </c>
      <c r="H2223" s="3">
        <f ca="1">IF(AND(I2223&lt;&gt;I2222,ISNUMBER(SEARCH(Лист2!$B$5,I:I)),G2223=1),MAX($H$3:OFFSET(H2223,-1,0))+1,0)</f>
        <v>0</v>
      </c>
      <c r="I2223" s="3" t="s">
        <v>230</v>
      </c>
      <c r="K2223" s="2">
        <f>IF(ISNUMBER(SEARCH(Лист2!$B$4,F:F)),1,0)</f>
        <v>0</v>
      </c>
      <c r="L2223" s="14">
        <f>IF(ISNUMBER(SEARCH(Лист2!$B$5,I:I)),1,0)+K2223</f>
        <v>0</v>
      </c>
      <c r="M2223" s="3">
        <f ca="1">IF(AND(N2223&lt;&gt;N2222,ISNUMBER(SEARCH(Лист2!$B$6,N:N)),L2223=2),MAX($M$3:OFFSET(M2223,-1,0))+1,0)</f>
        <v>0</v>
      </c>
      <c r="N2223" s="3" t="s">
        <v>1706</v>
      </c>
    </row>
    <row r="2224" spans="1:14" x14ac:dyDescent="0.25">
      <c r="A2224" s="1" t="s">
        <v>11389</v>
      </c>
      <c r="B2224" s="3" t="s">
        <v>5848</v>
      </c>
      <c r="C2224" s="2">
        <f ca="1">IF(ISNUMBER(SEARCH(Лист2!$B$4,D:D)),MAX($C$3:OFFSET(C2224,-1,0))+1,0)</f>
        <v>0</v>
      </c>
      <c r="E2224" s="9" t="str">
        <f t="shared" ca="1" si="46"/>
        <v/>
      </c>
      <c r="F2224" s="4" t="s">
        <v>7</v>
      </c>
      <c r="G2224" s="2">
        <f>IF(ISNUMBER(SEARCH(Лист2!$B$4,F:F)),1,0)</f>
        <v>0</v>
      </c>
      <c r="H2224" s="3">
        <f ca="1">IF(AND(I2224&lt;&gt;I2223,ISNUMBER(SEARCH(Лист2!$B$5,I:I)),G2224=1),MAX($H$3:OFFSET(H2224,-1,0))+1,0)</f>
        <v>0</v>
      </c>
      <c r="I2224" s="3" t="s">
        <v>230</v>
      </c>
      <c r="K2224" s="2">
        <f>IF(ISNUMBER(SEARCH(Лист2!$B$4,F:F)),1,0)</f>
        <v>0</v>
      </c>
      <c r="L2224" s="14">
        <f>IF(ISNUMBER(SEARCH(Лист2!$B$5,I:I)),1,0)+K2224</f>
        <v>0</v>
      </c>
      <c r="M2224" s="3">
        <f ca="1">IF(AND(N2224&lt;&gt;N2223,ISNUMBER(SEARCH(Лист2!$B$6,N:N)),L2224=2),MAX($M$3:OFFSET(M2224,-1,0))+1,0)</f>
        <v>0</v>
      </c>
      <c r="N2224" s="3" t="s">
        <v>1707</v>
      </c>
    </row>
    <row r="2225" spans="1:14" x14ac:dyDescent="0.25">
      <c r="A2225" s="1" t="s">
        <v>11390</v>
      </c>
      <c r="B2225" s="3" t="s">
        <v>5849</v>
      </c>
      <c r="C2225" s="2">
        <f ca="1">IF(ISNUMBER(SEARCH(Лист2!$B$4,D:D)),MAX($C$3:OFFSET(C2225,-1,0))+1,0)</f>
        <v>0</v>
      </c>
      <c r="E2225" s="9" t="str">
        <f t="shared" ca="1" si="46"/>
        <v/>
      </c>
      <c r="F2225" s="4" t="s">
        <v>7</v>
      </c>
      <c r="G2225" s="2">
        <f>IF(ISNUMBER(SEARCH(Лист2!$B$4,F:F)),1,0)</f>
        <v>0</v>
      </c>
      <c r="H2225" s="3">
        <f ca="1">IF(AND(I2225&lt;&gt;I2224,ISNUMBER(SEARCH(Лист2!$B$5,I:I)),G2225=1),MAX($H$3:OFFSET(H2225,-1,0))+1,0)</f>
        <v>0</v>
      </c>
      <c r="I2225" s="3" t="s">
        <v>230</v>
      </c>
      <c r="K2225" s="2">
        <f>IF(ISNUMBER(SEARCH(Лист2!$B$4,F:F)),1,0)</f>
        <v>0</v>
      </c>
      <c r="L2225" s="14">
        <f>IF(ISNUMBER(SEARCH(Лист2!$B$5,I:I)),1,0)+K2225</f>
        <v>0</v>
      </c>
      <c r="M2225" s="3">
        <f ca="1">IF(AND(N2225&lt;&gt;N2224,ISNUMBER(SEARCH(Лист2!$B$6,N:N)),L2225=2),MAX($M$3:OFFSET(M2225,-1,0))+1,0)</f>
        <v>0</v>
      </c>
      <c r="N2225" s="3" t="s">
        <v>1708</v>
      </c>
    </row>
    <row r="2226" spans="1:14" x14ac:dyDescent="0.25">
      <c r="A2226" s="1" t="s">
        <v>11391</v>
      </c>
      <c r="B2226" s="3" t="s">
        <v>5850</v>
      </c>
      <c r="C2226" s="2">
        <f ca="1">IF(ISNUMBER(SEARCH(Лист2!$B$4,D:D)),MAX($C$3:OFFSET(C2226,-1,0))+1,0)</f>
        <v>0</v>
      </c>
      <c r="E2226" s="9" t="str">
        <f t="shared" ca="1" si="46"/>
        <v/>
      </c>
      <c r="F2226" s="4" t="s">
        <v>7</v>
      </c>
      <c r="G2226" s="2">
        <f>IF(ISNUMBER(SEARCH(Лист2!$B$4,F:F)),1,0)</f>
        <v>0</v>
      </c>
      <c r="H2226" s="3">
        <f ca="1">IF(AND(I2226&lt;&gt;I2225,ISNUMBER(SEARCH(Лист2!$B$5,I:I)),G2226=1),MAX($H$3:OFFSET(H2226,-1,0))+1,0)</f>
        <v>0</v>
      </c>
      <c r="I2226" s="3" t="s">
        <v>231</v>
      </c>
      <c r="K2226" s="2">
        <f>IF(ISNUMBER(SEARCH(Лист2!$B$4,F:F)),1,0)</f>
        <v>0</v>
      </c>
      <c r="L2226" s="14">
        <f>IF(ISNUMBER(SEARCH(Лист2!$B$5,I:I)),1,0)+K2226</f>
        <v>0</v>
      </c>
      <c r="M2226" s="3">
        <f ca="1">IF(AND(N2226&lt;&gt;N2225,ISNUMBER(SEARCH(Лист2!$B$6,N:N)),L2226=2),MAX($M$3:OFFSET(M2226,-1,0))+1,0)</f>
        <v>0</v>
      </c>
      <c r="N2226" s="3" t="s">
        <v>1709</v>
      </c>
    </row>
    <row r="2227" spans="1:14" x14ac:dyDescent="0.25">
      <c r="A2227" s="1" t="s">
        <v>11392</v>
      </c>
      <c r="B2227" s="3" t="s">
        <v>5851</v>
      </c>
      <c r="C2227" s="2">
        <f ca="1">IF(ISNUMBER(SEARCH(Лист2!$B$4,D:D)),MAX($C$3:OFFSET(C2227,-1,0))+1,0)</f>
        <v>0</v>
      </c>
      <c r="E2227" s="9" t="str">
        <f t="shared" ca="1" si="46"/>
        <v/>
      </c>
      <c r="F2227" s="4" t="s">
        <v>7</v>
      </c>
      <c r="G2227" s="2">
        <f>IF(ISNUMBER(SEARCH(Лист2!$B$4,F:F)),1,0)</f>
        <v>0</v>
      </c>
      <c r="H2227" s="3">
        <f ca="1">IF(AND(I2227&lt;&gt;I2226,ISNUMBER(SEARCH(Лист2!$B$5,I:I)),G2227=1),MAX($H$3:OFFSET(H2227,-1,0))+1,0)</f>
        <v>0</v>
      </c>
      <c r="I2227" s="3" t="s">
        <v>231</v>
      </c>
      <c r="K2227" s="2">
        <f>IF(ISNUMBER(SEARCH(Лист2!$B$4,F:F)),1,0)</f>
        <v>0</v>
      </c>
      <c r="L2227" s="14">
        <f>IF(ISNUMBER(SEARCH(Лист2!$B$5,I:I)),1,0)+K2227</f>
        <v>0</v>
      </c>
      <c r="M2227" s="3">
        <f ca="1">IF(AND(N2227&lt;&gt;N2226,ISNUMBER(SEARCH(Лист2!$B$6,N:N)),L2227=2),MAX($M$3:OFFSET(M2227,-1,0))+1,0)</f>
        <v>0</v>
      </c>
      <c r="N2227" s="3" t="s">
        <v>1710</v>
      </c>
    </row>
    <row r="2228" spans="1:14" x14ac:dyDescent="0.25">
      <c r="A2228" s="1" t="s">
        <v>11393</v>
      </c>
      <c r="B2228" s="3" t="s">
        <v>5852</v>
      </c>
      <c r="C2228" s="2">
        <f ca="1">IF(ISNUMBER(SEARCH(Лист2!$B$4,D:D)),MAX($C$3:OFFSET(C2228,-1,0))+1,0)</f>
        <v>0</v>
      </c>
      <c r="E2228" s="9" t="str">
        <f t="shared" ca="1" si="46"/>
        <v/>
      </c>
      <c r="F2228" s="4" t="s">
        <v>7</v>
      </c>
      <c r="G2228" s="2">
        <f>IF(ISNUMBER(SEARCH(Лист2!$B$4,F:F)),1,0)</f>
        <v>0</v>
      </c>
      <c r="H2228" s="3">
        <f ca="1">IF(AND(I2228&lt;&gt;I2227,ISNUMBER(SEARCH(Лист2!$B$5,I:I)),G2228=1),MAX($H$3:OFFSET(H2228,-1,0))+1,0)</f>
        <v>0</v>
      </c>
      <c r="I2228" s="3" t="s">
        <v>231</v>
      </c>
      <c r="K2228" s="2">
        <f>IF(ISNUMBER(SEARCH(Лист2!$B$4,F:F)),1,0)</f>
        <v>0</v>
      </c>
      <c r="L2228" s="14">
        <f>IF(ISNUMBER(SEARCH(Лист2!$B$5,I:I)),1,0)+K2228</f>
        <v>0</v>
      </c>
      <c r="M2228" s="3">
        <f ca="1">IF(AND(N2228&lt;&gt;N2227,ISNUMBER(SEARCH(Лист2!$B$6,N:N)),L2228=2),MAX($M$3:OFFSET(M2228,-1,0))+1,0)</f>
        <v>0</v>
      </c>
      <c r="N2228" s="3" t="s">
        <v>1678</v>
      </c>
    </row>
    <row r="2229" spans="1:14" x14ac:dyDescent="0.25">
      <c r="A2229" s="1" t="s">
        <v>11394</v>
      </c>
      <c r="B2229" s="3" t="s">
        <v>5853</v>
      </c>
      <c r="C2229" s="2">
        <f ca="1">IF(ISNUMBER(SEARCH(Лист2!$B$4,D:D)),MAX($C$3:OFFSET(C2229,-1,0))+1,0)</f>
        <v>0</v>
      </c>
      <c r="E2229" s="9" t="str">
        <f t="shared" ca="1" si="46"/>
        <v/>
      </c>
      <c r="F2229" s="4" t="s">
        <v>7</v>
      </c>
      <c r="G2229" s="2">
        <f>IF(ISNUMBER(SEARCH(Лист2!$B$4,F:F)),1,0)</f>
        <v>0</v>
      </c>
      <c r="H2229" s="3">
        <f ca="1">IF(AND(I2229&lt;&gt;I2228,ISNUMBER(SEARCH(Лист2!$B$5,I:I)),G2229=1),MAX($H$3:OFFSET(H2229,-1,0))+1,0)</f>
        <v>0</v>
      </c>
      <c r="I2229" s="3" t="s">
        <v>231</v>
      </c>
      <c r="K2229" s="2">
        <f>IF(ISNUMBER(SEARCH(Лист2!$B$4,F:F)),1,0)</f>
        <v>0</v>
      </c>
      <c r="L2229" s="14">
        <f>IF(ISNUMBER(SEARCH(Лист2!$B$5,I:I)),1,0)+K2229</f>
        <v>0</v>
      </c>
      <c r="M2229" s="3">
        <f ca="1">IF(AND(N2229&lt;&gt;N2228,ISNUMBER(SEARCH(Лист2!$B$6,N:N)),L2229=2),MAX($M$3:OFFSET(M2229,-1,0))+1,0)</f>
        <v>0</v>
      </c>
      <c r="N2229" s="3" t="s">
        <v>1620</v>
      </c>
    </row>
    <row r="2230" spans="1:14" x14ac:dyDescent="0.25">
      <c r="A2230" s="1" t="s">
        <v>11395</v>
      </c>
      <c r="B2230" s="3" t="s">
        <v>5854</v>
      </c>
      <c r="C2230" s="2">
        <f ca="1">IF(ISNUMBER(SEARCH(Лист2!$B$4,D:D)),MAX($C$3:OFFSET(C2230,-1,0))+1,0)</f>
        <v>0</v>
      </c>
      <c r="E2230" s="9" t="str">
        <f t="shared" ca="1" si="46"/>
        <v/>
      </c>
      <c r="F2230" s="4" t="s">
        <v>7</v>
      </c>
      <c r="G2230" s="2">
        <f>IF(ISNUMBER(SEARCH(Лист2!$B$4,F:F)),1,0)</f>
        <v>0</v>
      </c>
      <c r="H2230" s="3">
        <f ca="1">IF(AND(I2230&lt;&gt;I2229,ISNUMBER(SEARCH(Лист2!$B$5,I:I)),G2230=1),MAX($H$3:OFFSET(H2230,-1,0))+1,0)</f>
        <v>0</v>
      </c>
      <c r="I2230" s="3" t="s">
        <v>231</v>
      </c>
      <c r="K2230" s="2">
        <f>IF(ISNUMBER(SEARCH(Лист2!$B$4,F:F)),1,0)</f>
        <v>0</v>
      </c>
      <c r="L2230" s="14">
        <f>IF(ISNUMBER(SEARCH(Лист2!$B$5,I:I)),1,0)+K2230</f>
        <v>0</v>
      </c>
      <c r="M2230" s="3">
        <f ca="1">IF(AND(N2230&lt;&gt;N2229,ISNUMBER(SEARCH(Лист2!$B$6,N:N)),L2230=2),MAX($M$3:OFFSET(M2230,-1,0))+1,0)</f>
        <v>0</v>
      </c>
      <c r="N2230" s="3" t="s">
        <v>1621</v>
      </c>
    </row>
    <row r="2231" spans="1:14" x14ac:dyDescent="0.25">
      <c r="A2231" s="1" t="s">
        <v>11396</v>
      </c>
      <c r="B2231" s="3" t="s">
        <v>5855</v>
      </c>
      <c r="C2231" s="2">
        <f ca="1">IF(ISNUMBER(SEARCH(Лист2!$B$4,D:D)),MAX($C$3:OFFSET(C2231,-1,0))+1,0)</f>
        <v>0</v>
      </c>
      <c r="E2231" s="9" t="str">
        <f t="shared" ca="1" si="46"/>
        <v/>
      </c>
      <c r="F2231" s="4" t="s">
        <v>7</v>
      </c>
      <c r="G2231" s="2">
        <f>IF(ISNUMBER(SEARCH(Лист2!$B$4,F:F)),1,0)</f>
        <v>0</v>
      </c>
      <c r="H2231" s="3">
        <f ca="1">IF(AND(I2231&lt;&gt;I2230,ISNUMBER(SEARCH(Лист2!$B$5,I:I)),G2231=1),MAX($H$3:OFFSET(H2231,-1,0))+1,0)</f>
        <v>0</v>
      </c>
      <c r="I2231" s="3" t="s">
        <v>231</v>
      </c>
      <c r="K2231" s="2">
        <f>IF(ISNUMBER(SEARCH(Лист2!$B$4,F:F)),1,0)</f>
        <v>0</v>
      </c>
      <c r="L2231" s="14">
        <f>IF(ISNUMBER(SEARCH(Лист2!$B$5,I:I)),1,0)+K2231</f>
        <v>0</v>
      </c>
      <c r="M2231" s="3">
        <f ca="1">IF(AND(N2231&lt;&gt;N2230,ISNUMBER(SEARCH(Лист2!$B$6,N:N)),L2231=2),MAX($M$3:OFFSET(M2231,-1,0))+1,0)</f>
        <v>0</v>
      </c>
      <c r="N2231" s="3" t="s">
        <v>602</v>
      </c>
    </row>
    <row r="2232" spans="1:14" x14ac:dyDescent="0.25">
      <c r="A2232" s="1" t="s">
        <v>11397</v>
      </c>
      <c r="B2232" s="3" t="s">
        <v>5856</v>
      </c>
      <c r="C2232" s="2">
        <f ca="1">IF(ISNUMBER(SEARCH(Лист2!$B$4,D:D)),MAX($C$3:OFFSET(C2232,-1,0))+1,0)</f>
        <v>0</v>
      </c>
      <c r="E2232" s="9" t="str">
        <f t="shared" ca="1" si="46"/>
        <v/>
      </c>
      <c r="F2232" s="4" t="s">
        <v>7</v>
      </c>
      <c r="G2232" s="2">
        <f>IF(ISNUMBER(SEARCH(Лист2!$B$4,F:F)),1,0)</f>
        <v>0</v>
      </c>
      <c r="H2232" s="3">
        <f ca="1">IF(AND(I2232&lt;&gt;I2231,ISNUMBER(SEARCH(Лист2!$B$5,I:I)),G2232=1),MAX($H$3:OFFSET(H2232,-1,0))+1,0)</f>
        <v>0</v>
      </c>
      <c r="I2232" s="3" t="s">
        <v>231</v>
      </c>
      <c r="K2232" s="2">
        <f>IF(ISNUMBER(SEARCH(Лист2!$B$4,F:F)),1,0)</f>
        <v>0</v>
      </c>
      <c r="L2232" s="14">
        <f>IF(ISNUMBER(SEARCH(Лист2!$B$5,I:I)),1,0)+K2232</f>
        <v>0</v>
      </c>
      <c r="M2232" s="3">
        <f ca="1">IF(AND(N2232&lt;&gt;N2231,ISNUMBER(SEARCH(Лист2!$B$6,N:N)),L2232=2),MAX($M$3:OFFSET(M2232,-1,0))+1,0)</f>
        <v>0</v>
      </c>
      <c r="N2232" s="3" t="s">
        <v>1711</v>
      </c>
    </row>
    <row r="2233" spans="1:14" x14ac:dyDescent="0.25">
      <c r="A2233" s="1" t="s">
        <v>11398</v>
      </c>
      <c r="B2233" s="3" t="s">
        <v>5857</v>
      </c>
      <c r="C2233" s="2">
        <f ca="1">IF(ISNUMBER(SEARCH(Лист2!$B$4,D:D)),MAX($C$3:OFFSET(C2233,-1,0))+1,0)</f>
        <v>0</v>
      </c>
      <c r="E2233" s="9" t="str">
        <f t="shared" ca="1" si="46"/>
        <v/>
      </c>
      <c r="F2233" s="4" t="s">
        <v>7</v>
      </c>
      <c r="G2233" s="2">
        <f>IF(ISNUMBER(SEARCH(Лист2!$B$4,F:F)),1,0)</f>
        <v>0</v>
      </c>
      <c r="H2233" s="3">
        <f ca="1">IF(AND(I2233&lt;&gt;I2232,ISNUMBER(SEARCH(Лист2!$B$5,I:I)),G2233=1),MAX($H$3:OFFSET(H2233,-1,0))+1,0)</f>
        <v>0</v>
      </c>
      <c r="I2233" s="3" t="s">
        <v>231</v>
      </c>
      <c r="K2233" s="2">
        <f>IF(ISNUMBER(SEARCH(Лист2!$B$4,F:F)),1,0)</f>
        <v>0</v>
      </c>
      <c r="L2233" s="14">
        <f>IF(ISNUMBER(SEARCH(Лист2!$B$5,I:I)),1,0)+K2233</f>
        <v>0</v>
      </c>
      <c r="M2233" s="3">
        <f ca="1">IF(AND(N2233&lt;&gt;N2232,ISNUMBER(SEARCH(Лист2!$B$6,N:N)),L2233=2),MAX($M$3:OFFSET(M2233,-1,0))+1,0)</f>
        <v>0</v>
      </c>
      <c r="N2233" s="3" t="s">
        <v>1712</v>
      </c>
    </row>
    <row r="2234" spans="1:14" x14ac:dyDescent="0.25">
      <c r="A2234" s="1" t="s">
        <v>11399</v>
      </c>
      <c r="B2234" s="3" t="s">
        <v>5858</v>
      </c>
      <c r="C2234" s="2">
        <f ca="1">IF(ISNUMBER(SEARCH(Лист2!$B$4,D:D)),MAX($C$3:OFFSET(C2234,-1,0))+1,0)</f>
        <v>0</v>
      </c>
      <c r="E2234" s="9" t="str">
        <f t="shared" ca="1" si="46"/>
        <v/>
      </c>
      <c r="F2234" s="4" t="s">
        <v>7</v>
      </c>
      <c r="G2234" s="2">
        <f>IF(ISNUMBER(SEARCH(Лист2!$B$4,F:F)),1,0)</f>
        <v>0</v>
      </c>
      <c r="H2234" s="3">
        <f ca="1">IF(AND(I2234&lt;&gt;I2233,ISNUMBER(SEARCH(Лист2!$B$5,I:I)),G2234=1),MAX($H$3:OFFSET(H2234,-1,0))+1,0)</f>
        <v>0</v>
      </c>
      <c r="I2234" s="3" t="s">
        <v>231</v>
      </c>
      <c r="K2234" s="2">
        <f>IF(ISNUMBER(SEARCH(Лист2!$B$4,F:F)),1,0)</f>
        <v>0</v>
      </c>
      <c r="L2234" s="14">
        <f>IF(ISNUMBER(SEARCH(Лист2!$B$5,I:I)),1,0)+K2234</f>
        <v>0</v>
      </c>
      <c r="M2234" s="3">
        <f ca="1">IF(AND(N2234&lt;&gt;N2233,ISNUMBER(SEARCH(Лист2!$B$6,N:N)),L2234=2),MAX($M$3:OFFSET(M2234,-1,0))+1,0)</f>
        <v>0</v>
      </c>
      <c r="N2234" s="3" t="s">
        <v>1713</v>
      </c>
    </row>
    <row r="2235" spans="1:14" x14ac:dyDescent="0.25">
      <c r="A2235" s="1" t="s">
        <v>11400</v>
      </c>
      <c r="B2235" s="3" t="s">
        <v>5859</v>
      </c>
      <c r="C2235" s="2">
        <f ca="1">IF(ISNUMBER(SEARCH(Лист2!$B$4,D:D)),MAX($C$3:OFFSET(C2235,-1,0))+1,0)</f>
        <v>0</v>
      </c>
      <c r="E2235" s="9" t="str">
        <f t="shared" ca="1" si="46"/>
        <v/>
      </c>
      <c r="F2235" s="4" t="s">
        <v>7</v>
      </c>
      <c r="G2235" s="2">
        <f>IF(ISNUMBER(SEARCH(Лист2!$B$4,F:F)),1,0)</f>
        <v>0</v>
      </c>
      <c r="H2235" s="3">
        <f ca="1">IF(AND(I2235&lt;&gt;I2234,ISNUMBER(SEARCH(Лист2!$B$5,I:I)),G2235=1),MAX($H$3:OFFSET(H2235,-1,0))+1,0)</f>
        <v>0</v>
      </c>
      <c r="I2235" s="3" t="s">
        <v>232</v>
      </c>
      <c r="K2235" s="2">
        <f>IF(ISNUMBER(SEARCH(Лист2!$B$4,F:F)),1,0)</f>
        <v>0</v>
      </c>
      <c r="L2235" s="14">
        <f>IF(ISNUMBER(SEARCH(Лист2!$B$5,I:I)),1,0)+K2235</f>
        <v>0</v>
      </c>
      <c r="M2235" s="3">
        <f ca="1">IF(AND(N2235&lt;&gt;N2234,ISNUMBER(SEARCH(Лист2!$B$6,N:N)),L2235=2),MAX($M$3:OFFSET(M2235,-1,0))+1,0)</f>
        <v>0</v>
      </c>
      <c r="N2235" s="3" t="s">
        <v>1714</v>
      </c>
    </row>
    <row r="2236" spans="1:14" x14ac:dyDescent="0.25">
      <c r="A2236" s="1" t="s">
        <v>11401</v>
      </c>
      <c r="B2236" s="3" t="s">
        <v>5860</v>
      </c>
      <c r="C2236" s="2">
        <f ca="1">IF(ISNUMBER(SEARCH(Лист2!$B$4,D:D)),MAX($C$3:OFFSET(C2236,-1,0))+1,0)</f>
        <v>0</v>
      </c>
      <c r="E2236" s="9" t="str">
        <f t="shared" ca="1" si="46"/>
        <v/>
      </c>
      <c r="F2236" s="4" t="s">
        <v>7</v>
      </c>
      <c r="G2236" s="2">
        <f>IF(ISNUMBER(SEARCH(Лист2!$B$4,F:F)),1,0)</f>
        <v>0</v>
      </c>
      <c r="H2236" s="3">
        <f ca="1">IF(AND(I2236&lt;&gt;I2235,ISNUMBER(SEARCH(Лист2!$B$5,I:I)),G2236=1),MAX($H$3:OFFSET(H2236,-1,0))+1,0)</f>
        <v>0</v>
      </c>
      <c r="I2236" s="3" t="s">
        <v>232</v>
      </c>
      <c r="K2236" s="2">
        <f>IF(ISNUMBER(SEARCH(Лист2!$B$4,F:F)),1,0)</f>
        <v>0</v>
      </c>
      <c r="L2236" s="14">
        <f>IF(ISNUMBER(SEARCH(Лист2!$B$5,I:I)),1,0)+K2236</f>
        <v>0</v>
      </c>
      <c r="M2236" s="3">
        <f ca="1">IF(AND(N2236&lt;&gt;N2235,ISNUMBER(SEARCH(Лист2!$B$6,N:N)),L2236=2),MAX($M$3:OFFSET(M2236,-1,0))+1,0)</f>
        <v>0</v>
      </c>
      <c r="N2236" s="3" t="s">
        <v>1715</v>
      </c>
    </row>
    <row r="2237" spans="1:14" x14ac:dyDescent="0.25">
      <c r="A2237" s="1" t="s">
        <v>11401</v>
      </c>
      <c r="B2237" s="3" t="s">
        <v>5861</v>
      </c>
      <c r="C2237" s="2">
        <f ca="1">IF(ISNUMBER(SEARCH(Лист2!$B$4,D:D)),MAX($C$3:OFFSET(C2237,-1,0))+1,0)</f>
        <v>0</v>
      </c>
      <c r="E2237" s="9" t="str">
        <f t="shared" ca="1" si="46"/>
        <v/>
      </c>
      <c r="F2237" s="4" t="s">
        <v>7</v>
      </c>
      <c r="G2237" s="2">
        <f>IF(ISNUMBER(SEARCH(Лист2!$B$4,F:F)),1,0)</f>
        <v>0</v>
      </c>
      <c r="H2237" s="3">
        <f ca="1">IF(AND(I2237&lt;&gt;I2236,ISNUMBER(SEARCH(Лист2!$B$5,I:I)),G2237=1),MAX($H$3:OFFSET(H2237,-1,0))+1,0)</f>
        <v>0</v>
      </c>
      <c r="I2237" s="3" t="s">
        <v>232</v>
      </c>
      <c r="K2237" s="2">
        <f>IF(ISNUMBER(SEARCH(Лист2!$B$4,F:F)),1,0)</f>
        <v>0</v>
      </c>
      <c r="L2237" s="14">
        <f>IF(ISNUMBER(SEARCH(Лист2!$B$5,I:I)),1,0)+K2237</f>
        <v>0</v>
      </c>
      <c r="M2237" s="3">
        <f ca="1">IF(AND(N2237&lt;&gt;N2236,ISNUMBER(SEARCH(Лист2!$B$6,N:N)),L2237=2),MAX($M$3:OFFSET(M2237,-1,0))+1,0)</f>
        <v>0</v>
      </c>
      <c r="N2237" s="3" t="s">
        <v>1715</v>
      </c>
    </row>
    <row r="2238" spans="1:14" x14ac:dyDescent="0.25">
      <c r="A2238" s="1" t="s">
        <v>11402</v>
      </c>
      <c r="B2238" s="3" t="s">
        <v>5862</v>
      </c>
      <c r="C2238" s="2">
        <f ca="1">IF(ISNUMBER(SEARCH(Лист2!$B$4,D:D)),MAX($C$3:OFFSET(C2238,-1,0))+1,0)</f>
        <v>0</v>
      </c>
      <c r="E2238" s="9" t="str">
        <f t="shared" ca="1" si="46"/>
        <v/>
      </c>
      <c r="F2238" s="4" t="s">
        <v>7</v>
      </c>
      <c r="G2238" s="2">
        <f>IF(ISNUMBER(SEARCH(Лист2!$B$4,F:F)),1,0)</f>
        <v>0</v>
      </c>
      <c r="H2238" s="3">
        <f ca="1">IF(AND(I2238&lt;&gt;I2237,ISNUMBER(SEARCH(Лист2!$B$5,I:I)),G2238=1),MAX($H$3:OFFSET(H2238,-1,0))+1,0)</f>
        <v>0</v>
      </c>
      <c r="I2238" s="3" t="s">
        <v>232</v>
      </c>
      <c r="K2238" s="2">
        <f>IF(ISNUMBER(SEARCH(Лист2!$B$4,F:F)),1,0)</f>
        <v>0</v>
      </c>
      <c r="L2238" s="14">
        <f>IF(ISNUMBER(SEARCH(Лист2!$B$5,I:I)),1,0)+K2238</f>
        <v>0</v>
      </c>
      <c r="M2238" s="3">
        <f ca="1">IF(AND(N2238&lt;&gt;N2237,ISNUMBER(SEARCH(Лист2!$B$6,N:N)),L2238=2),MAX($M$3:OFFSET(M2238,-1,0))+1,0)</f>
        <v>0</v>
      </c>
      <c r="N2238" s="3" t="s">
        <v>1678</v>
      </c>
    </row>
    <row r="2239" spans="1:14" x14ac:dyDescent="0.25">
      <c r="A2239" s="1" t="s">
        <v>11403</v>
      </c>
      <c r="B2239" s="3" t="s">
        <v>5863</v>
      </c>
      <c r="C2239" s="2">
        <f ca="1">IF(ISNUMBER(SEARCH(Лист2!$B$4,D:D)),MAX($C$3:OFFSET(C2239,-1,0))+1,0)</f>
        <v>0</v>
      </c>
      <c r="E2239" s="9" t="str">
        <f t="shared" ca="1" si="46"/>
        <v/>
      </c>
      <c r="F2239" s="4" t="s">
        <v>7</v>
      </c>
      <c r="G2239" s="2">
        <f>IF(ISNUMBER(SEARCH(Лист2!$B$4,F:F)),1,0)</f>
        <v>0</v>
      </c>
      <c r="H2239" s="3">
        <f ca="1">IF(AND(I2239&lt;&gt;I2238,ISNUMBER(SEARCH(Лист2!$B$5,I:I)),G2239=1),MAX($H$3:OFFSET(H2239,-1,0))+1,0)</f>
        <v>0</v>
      </c>
      <c r="I2239" s="3" t="s">
        <v>232</v>
      </c>
      <c r="K2239" s="2">
        <f>IF(ISNUMBER(SEARCH(Лист2!$B$4,F:F)),1,0)</f>
        <v>0</v>
      </c>
      <c r="L2239" s="14">
        <f>IF(ISNUMBER(SEARCH(Лист2!$B$5,I:I)),1,0)+K2239</f>
        <v>0</v>
      </c>
      <c r="M2239" s="3">
        <f ca="1">IF(AND(N2239&lt;&gt;N2238,ISNUMBER(SEARCH(Лист2!$B$6,N:N)),L2239=2),MAX($M$3:OFFSET(M2239,-1,0))+1,0)</f>
        <v>0</v>
      </c>
      <c r="N2239" s="3" t="s">
        <v>1620</v>
      </c>
    </row>
    <row r="2240" spans="1:14" x14ac:dyDescent="0.25">
      <c r="A2240" s="1" t="s">
        <v>11404</v>
      </c>
      <c r="B2240" s="3" t="s">
        <v>5864</v>
      </c>
      <c r="C2240" s="2">
        <f ca="1">IF(ISNUMBER(SEARCH(Лист2!$B$4,D:D)),MAX($C$3:OFFSET(C2240,-1,0))+1,0)</f>
        <v>0</v>
      </c>
      <c r="E2240" s="9" t="str">
        <f t="shared" ca="1" si="46"/>
        <v/>
      </c>
      <c r="F2240" s="4" t="s">
        <v>7</v>
      </c>
      <c r="G2240" s="2">
        <f>IF(ISNUMBER(SEARCH(Лист2!$B$4,F:F)),1,0)</f>
        <v>0</v>
      </c>
      <c r="H2240" s="3">
        <f ca="1">IF(AND(I2240&lt;&gt;I2239,ISNUMBER(SEARCH(Лист2!$B$5,I:I)),G2240=1),MAX($H$3:OFFSET(H2240,-1,0))+1,0)</f>
        <v>0</v>
      </c>
      <c r="I2240" s="3" t="s">
        <v>232</v>
      </c>
      <c r="K2240" s="2">
        <f>IF(ISNUMBER(SEARCH(Лист2!$B$4,F:F)),1,0)</f>
        <v>0</v>
      </c>
      <c r="L2240" s="14">
        <f>IF(ISNUMBER(SEARCH(Лист2!$B$5,I:I)),1,0)+K2240</f>
        <v>0</v>
      </c>
      <c r="M2240" s="3">
        <f ca="1">IF(AND(N2240&lt;&gt;N2239,ISNUMBER(SEARCH(Лист2!$B$6,N:N)),L2240=2),MAX($M$3:OFFSET(M2240,-1,0))+1,0)</f>
        <v>0</v>
      </c>
      <c r="N2240" s="3" t="s">
        <v>1621</v>
      </c>
    </row>
    <row r="2241" spans="1:14" x14ac:dyDescent="0.25">
      <c r="A2241" s="1" t="s">
        <v>11405</v>
      </c>
      <c r="B2241" s="3" t="s">
        <v>5865</v>
      </c>
      <c r="C2241" s="2">
        <f ca="1">IF(ISNUMBER(SEARCH(Лист2!$B$4,D:D)),MAX($C$3:OFFSET(C2241,-1,0))+1,0)</f>
        <v>0</v>
      </c>
      <c r="E2241" s="9" t="str">
        <f t="shared" ca="1" si="46"/>
        <v/>
      </c>
      <c r="F2241" s="4" t="s">
        <v>7</v>
      </c>
      <c r="G2241" s="2">
        <f>IF(ISNUMBER(SEARCH(Лист2!$B$4,F:F)),1,0)</f>
        <v>0</v>
      </c>
      <c r="H2241" s="3">
        <f ca="1">IF(AND(I2241&lt;&gt;I2240,ISNUMBER(SEARCH(Лист2!$B$5,I:I)),G2241=1),MAX($H$3:OFFSET(H2241,-1,0))+1,0)</f>
        <v>0</v>
      </c>
      <c r="I2241" s="3" t="s">
        <v>232</v>
      </c>
      <c r="K2241" s="2">
        <f>IF(ISNUMBER(SEARCH(Лист2!$B$4,F:F)),1,0)</f>
        <v>0</v>
      </c>
      <c r="L2241" s="14">
        <f>IF(ISNUMBER(SEARCH(Лист2!$B$5,I:I)),1,0)+K2241</f>
        <v>0</v>
      </c>
      <c r="M2241" s="3">
        <f ca="1">IF(AND(N2241&lt;&gt;N2240,ISNUMBER(SEARCH(Лист2!$B$6,N:N)),L2241=2),MAX($M$3:OFFSET(M2241,-1,0))+1,0)</f>
        <v>0</v>
      </c>
      <c r="N2241" s="3" t="s">
        <v>602</v>
      </c>
    </row>
    <row r="2242" spans="1:14" x14ac:dyDescent="0.25">
      <c r="A2242" s="1" t="s">
        <v>11406</v>
      </c>
      <c r="B2242" s="3" t="s">
        <v>5866</v>
      </c>
      <c r="C2242" s="2">
        <f ca="1">IF(ISNUMBER(SEARCH(Лист2!$B$4,D:D)),MAX($C$3:OFFSET(C2242,-1,0))+1,0)</f>
        <v>0</v>
      </c>
      <c r="E2242" s="9" t="str">
        <f t="shared" ca="1" si="46"/>
        <v/>
      </c>
      <c r="F2242" s="4" t="s">
        <v>7</v>
      </c>
      <c r="G2242" s="2">
        <f>IF(ISNUMBER(SEARCH(Лист2!$B$4,F:F)),1,0)</f>
        <v>0</v>
      </c>
      <c r="H2242" s="3">
        <f ca="1">IF(AND(I2242&lt;&gt;I2241,ISNUMBER(SEARCH(Лист2!$B$5,I:I)),G2242=1),MAX($H$3:OFFSET(H2242,-1,0))+1,0)</f>
        <v>0</v>
      </c>
      <c r="I2242" s="3" t="s">
        <v>232</v>
      </c>
      <c r="K2242" s="2">
        <f>IF(ISNUMBER(SEARCH(Лист2!$B$4,F:F)),1,0)</f>
        <v>0</v>
      </c>
      <c r="L2242" s="14">
        <f>IF(ISNUMBER(SEARCH(Лист2!$B$5,I:I)),1,0)+K2242</f>
        <v>0</v>
      </c>
      <c r="M2242" s="3">
        <f ca="1">IF(AND(N2242&lt;&gt;N2241,ISNUMBER(SEARCH(Лист2!$B$6,N:N)),L2242=2),MAX($M$3:OFFSET(M2242,-1,0))+1,0)</f>
        <v>0</v>
      </c>
      <c r="N2242" s="3" t="s">
        <v>1716</v>
      </c>
    </row>
    <row r="2243" spans="1:14" x14ac:dyDescent="0.25">
      <c r="A2243" s="1" t="s">
        <v>11407</v>
      </c>
      <c r="B2243" s="3" t="s">
        <v>5867</v>
      </c>
      <c r="C2243" s="2">
        <f ca="1">IF(ISNUMBER(SEARCH(Лист2!$B$4,D:D)),MAX($C$3:OFFSET(C2243,-1,0))+1,0)</f>
        <v>0</v>
      </c>
      <c r="E2243" s="9" t="str">
        <f t="shared" ca="1" si="46"/>
        <v/>
      </c>
      <c r="F2243" s="4" t="s">
        <v>7</v>
      </c>
      <c r="G2243" s="2">
        <f>IF(ISNUMBER(SEARCH(Лист2!$B$4,F:F)),1,0)</f>
        <v>0</v>
      </c>
      <c r="H2243" s="3">
        <f ca="1">IF(AND(I2243&lt;&gt;I2242,ISNUMBER(SEARCH(Лист2!$B$5,I:I)),G2243=1),MAX($H$3:OFFSET(H2243,-1,0))+1,0)</f>
        <v>0</v>
      </c>
      <c r="I2243" s="3" t="s">
        <v>232</v>
      </c>
      <c r="K2243" s="2">
        <f>IF(ISNUMBER(SEARCH(Лист2!$B$4,F:F)),1,0)</f>
        <v>0</v>
      </c>
      <c r="L2243" s="14">
        <f>IF(ISNUMBER(SEARCH(Лист2!$B$5,I:I)),1,0)+K2243</f>
        <v>0</v>
      </c>
      <c r="M2243" s="3">
        <f ca="1">IF(AND(N2243&lt;&gt;N2242,ISNUMBER(SEARCH(Лист2!$B$6,N:N)),L2243=2),MAX($M$3:OFFSET(M2243,-1,0))+1,0)</f>
        <v>0</v>
      </c>
      <c r="N2243" s="3" t="s">
        <v>1717</v>
      </c>
    </row>
    <row r="2244" spans="1:14" x14ac:dyDescent="0.25">
      <c r="A2244" s="1" t="s">
        <v>11408</v>
      </c>
      <c r="B2244" s="3" t="s">
        <v>5868</v>
      </c>
      <c r="C2244" s="2">
        <f ca="1">IF(ISNUMBER(SEARCH(Лист2!$B$4,D:D)),MAX($C$3:OFFSET(C2244,-1,0))+1,0)</f>
        <v>0</v>
      </c>
      <c r="E2244" s="9" t="str">
        <f t="shared" ca="1" si="46"/>
        <v/>
      </c>
      <c r="F2244" s="4" t="s">
        <v>7</v>
      </c>
      <c r="G2244" s="2">
        <f>IF(ISNUMBER(SEARCH(Лист2!$B$4,F:F)),1,0)</f>
        <v>0</v>
      </c>
      <c r="H2244" s="3">
        <f ca="1">IF(AND(I2244&lt;&gt;I2243,ISNUMBER(SEARCH(Лист2!$B$5,I:I)),G2244=1),MAX($H$3:OFFSET(H2244,-1,0))+1,0)</f>
        <v>0</v>
      </c>
      <c r="I2244" s="3" t="s">
        <v>232</v>
      </c>
      <c r="K2244" s="2">
        <f>IF(ISNUMBER(SEARCH(Лист2!$B$4,F:F)),1,0)</f>
        <v>0</v>
      </c>
      <c r="L2244" s="14">
        <f>IF(ISNUMBER(SEARCH(Лист2!$B$5,I:I)),1,0)+K2244</f>
        <v>0</v>
      </c>
      <c r="M2244" s="3">
        <f ca="1">IF(AND(N2244&lt;&gt;N2243,ISNUMBER(SEARCH(Лист2!$B$6,N:N)),L2244=2),MAX($M$3:OFFSET(M2244,-1,0))+1,0)</f>
        <v>0</v>
      </c>
      <c r="N2244" s="3" t="s">
        <v>1718</v>
      </c>
    </row>
    <row r="2245" spans="1:14" x14ac:dyDescent="0.25">
      <c r="A2245" s="1" t="s">
        <v>11575</v>
      </c>
      <c r="B2245" s="3" t="s">
        <v>5869</v>
      </c>
      <c r="C2245" s="2">
        <f ca="1">IF(ISNUMBER(SEARCH(Лист2!$B$4,D:D)),MAX($C$3:OFFSET(C2245,-1,0))+1,0)</f>
        <v>0</v>
      </c>
      <c r="E2245" s="9" t="str">
        <f t="shared" ref="E2245:E2308" ca="1" si="47">IFERROR(INDEX(D:D,MATCH(ROW(E2245)-ROW($E$3),C:C,0)),"")</f>
        <v/>
      </c>
      <c r="F2245" s="4" t="s">
        <v>7</v>
      </c>
      <c r="G2245" s="2">
        <f>IF(ISNUMBER(SEARCH(Лист2!$B$4,F:F)),1,0)</f>
        <v>0</v>
      </c>
      <c r="H2245" s="3">
        <f ca="1">IF(AND(I2245&lt;&gt;I2244,ISNUMBER(SEARCH(Лист2!$B$5,I:I)),G2245=1),MAX($H$3:OFFSET(H2245,-1,0))+1,0)</f>
        <v>0</v>
      </c>
      <c r="I2245" s="3" t="s">
        <v>243</v>
      </c>
      <c r="K2245" s="2">
        <f>IF(ISNUMBER(SEARCH(Лист2!$B$4,F:F)),1,0)</f>
        <v>0</v>
      </c>
      <c r="L2245" s="14">
        <f>IF(ISNUMBER(SEARCH(Лист2!$B$5,I:I)),1,0)+K2245</f>
        <v>0</v>
      </c>
      <c r="M2245" s="3">
        <f ca="1">IF(AND(N2245&lt;&gt;N2244,ISNUMBER(SEARCH(Лист2!$B$6,N:N)),L2245=2),MAX($M$3:OFFSET(M2245,-1,0))+1,0)</f>
        <v>0</v>
      </c>
      <c r="N2245" s="3" t="s">
        <v>1837</v>
      </c>
    </row>
    <row r="2246" spans="1:14" x14ac:dyDescent="0.25">
      <c r="A2246" s="1" t="s">
        <v>11575</v>
      </c>
      <c r="B2246" s="3" t="s">
        <v>5870</v>
      </c>
      <c r="C2246" s="2">
        <f ca="1">IF(ISNUMBER(SEARCH(Лист2!$B$4,D:D)),MAX($C$3:OFFSET(C2246,-1,0))+1,0)</f>
        <v>0</v>
      </c>
      <c r="E2246" s="9" t="str">
        <f t="shared" ca="1" si="47"/>
        <v/>
      </c>
      <c r="F2246" s="4" t="s">
        <v>7</v>
      </c>
      <c r="G2246" s="2">
        <f>IF(ISNUMBER(SEARCH(Лист2!$B$4,F:F)),1,0)</f>
        <v>0</v>
      </c>
      <c r="H2246" s="3">
        <f ca="1">IF(AND(I2246&lt;&gt;I2245,ISNUMBER(SEARCH(Лист2!$B$5,I:I)),G2246=1),MAX($H$3:OFFSET(H2246,-1,0))+1,0)</f>
        <v>0</v>
      </c>
      <c r="I2246" s="3" t="s">
        <v>243</v>
      </c>
      <c r="K2246" s="2">
        <f>IF(ISNUMBER(SEARCH(Лист2!$B$4,F:F)),1,0)</f>
        <v>0</v>
      </c>
      <c r="L2246" s="14">
        <f>IF(ISNUMBER(SEARCH(Лист2!$B$5,I:I)),1,0)+K2246</f>
        <v>0</v>
      </c>
      <c r="M2246" s="3">
        <f ca="1">IF(AND(N2246&lt;&gt;N2245,ISNUMBER(SEARCH(Лист2!$B$6,N:N)),L2246=2),MAX($M$3:OFFSET(M2246,-1,0))+1,0)</f>
        <v>0</v>
      </c>
      <c r="N2246" s="3" t="s">
        <v>1837</v>
      </c>
    </row>
    <row r="2247" spans="1:14" x14ac:dyDescent="0.25">
      <c r="A2247" s="1" t="s">
        <v>11575</v>
      </c>
      <c r="B2247" s="3" t="s">
        <v>5871</v>
      </c>
      <c r="C2247" s="2">
        <f ca="1">IF(ISNUMBER(SEARCH(Лист2!$B$4,D:D)),MAX($C$3:OFFSET(C2247,-1,0))+1,0)</f>
        <v>0</v>
      </c>
      <c r="E2247" s="9" t="str">
        <f t="shared" ca="1" si="47"/>
        <v/>
      </c>
      <c r="F2247" s="4" t="s">
        <v>7</v>
      </c>
      <c r="G2247" s="2">
        <f>IF(ISNUMBER(SEARCH(Лист2!$B$4,F:F)),1,0)</f>
        <v>0</v>
      </c>
      <c r="H2247" s="3">
        <f ca="1">IF(AND(I2247&lt;&gt;I2246,ISNUMBER(SEARCH(Лист2!$B$5,I:I)),G2247=1),MAX($H$3:OFFSET(H2247,-1,0))+1,0)</f>
        <v>0</v>
      </c>
      <c r="I2247" s="3" t="s">
        <v>243</v>
      </c>
      <c r="K2247" s="2">
        <f>IF(ISNUMBER(SEARCH(Лист2!$B$4,F:F)),1,0)</f>
        <v>0</v>
      </c>
      <c r="L2247" s="14">
        <f>IF(ISNUMBER(SEARCH(Лист2!$B$5,I:I)),1,0)+K2247</f>
        <v>0</v>
      </c>
      <c r="M2247" s="3">
        <f ca="1">IF(AND(N2247&lt;&gt;N2246,ISNUMBER(SEARCH(Лист2!$B$6,N:N)),L2247=2),MAX($M$3:OFFSET(M2247,-1,0))+1,0)</f>
        <v>0</v>
      </c>
      <c r="N2247" s="3" t="s">
        <v>1837</v>
      </c>
    </row>
    <row r="2248" spans="1:14" x14ac:dyDescent="0.25">
      <c r="A2248" s="1" t="s">
        <v>11576</v>
      </c>
      <c r="B2248" s="3" t="s">
        <v>5872</v>
      </c>
      <c r="C2248" s="2">
        <f ca="1">IF(ISNUMBER(SEARCH(Лист2!$B$4,D:D)),MAX($C$3:OFFSET(C2248,-1,0))+1,0)</f>
        <v>0</v>
      </c>
      <c r="E2248" s="9" t="str">
        <f t="shared" ca="1" si="47"/>
        <v/>
      </c>
      <c r="F2248" s="4" t="s">
        <v>7</v>
      </c>
      <c r="G2248" s="2">
        <f>IF(ISNUMBER(SEARCH(Лист2!$B$4,F:F)),1,0)</f>
        <v>0</v>
      </c>
      <c r="H2248" s="3">
        <f ca="1">IF(AND(I2248&lt;&gt;I2247,ISNUMBER(SEARCH(Лист2!$B$5,I:I)),G2248=1),MAX($H$3:OFFSET(H2248,-1,0))+1,0)</f>
        <v>0</v>
      </c>
      <c r="I2248" s="3" t="s">
        <v>243</v>
      </c>
      <c r="K2248" s="2">
        <f>IF(ISNUMBER(SEARCH(Лист2!$B$4,F:F)),1,0)</f>
        <v>0</v>
      </c>
      <c r="L2248" s="14">
        <f>IF(ISNUMBER(SEARCH(Лист2!$B$5,I:I)),1,0)+K2248</f>
        <v>0</v>
      </c>
      <c r="M2248" s="3">
        <f ca="1">IF(AND(N2248&lt;&gt;N2247,ISNUMBER(SEARCH(Лист2!$B$6,N:N)),L2248=2),MAX($M$3:OFFSET(M2248,-1,0))+1,0)</f>
        <v>0</v>
      </c>
      <c r="N2248" s="3" t="s">
        <v>1838</v>
      </c>
    </row>
    <row r="2249" spans="1:14" x14ac:dyDescent="0.25">
      <c r="A2249" s="1" t="s">
        <v>11576</v>
      </c>
      <c r="B2249" s="3" t="s">
        <v>5873</v>
      </c>
      <c r="C2249" s="2">
        <f ca="1">IF(ISNUMBER(SEARCH(Лист2!$B$4,D:D)),MAX($C$3:OFFSET(C2249,-1,0))+1,0)</f>
        <v>0</v>
      </c>
      <c r="E2249" s="9" t="str">
        <f t="shared" ca="1" si="47"/>
        <v/>
      </c>
      <c r="F2249" s="4" t="s">
        <v>7</v>
      </c>
      <c r="G2249" s="2">
        <f>IF(ISNUMBER(SEARCH(Лист2!$B$4,F:F)),1,0)</f>
        <v>0</v>
      </c>
      <c r="H2249" s="3">
        <f ca="1">IF(AND(I2249&lt;&gt;I2248,ISNUMBER(SEARCH(Лист2!$B$5,I:I)),G2249=1),MAX($H$3:OFFSET(H2249,-1,0))+1,0)</f>
        <v>0</v>
      </c>
      <c r="I2249" s="3" t="s">
        <v>243</v>
      </c>
      <c r="K2249" s="2">
        <f>IF(ISNUMBER(SEARCH(Лист2!$B$4,F:F)),1,0)</f>
        <v>0</v>
      </c>
      <c r="L2249" s="14">
        <f>IF(ISNUMBER(SEARCH(Лист2!$B$5,I:I)),1,0)+K2249</f>
        <v>0</v>
      </c>
      <c r="M2249" s="3">
        <f ca="1">IF(AND(N2249&lt;&gt;N2248,ISNUMBER(SEARCH(Лист2!$B$6,N:N)),L2249=2),MAX($M$3:OFFSET(M2249,-1,0))+1,0)</f>
        <v>0</v>
      </c>
      <c r="N2249" s="3" t="s">
        <v>1838</v>
      </c>
    </row>
    <row r="2250" spans="1:14" x14ac:dyDescent="0.25">
      <c r="A2250" s="1" t="s">
        <v>11576</v>
      </c>
      <c r="B2250" s="3" t="s">
        <v>5874</v>
      </c>
      <c r="C2250" s="2">
        <f ca="1">IF(ISNUMBER(SEARCH(Лист2!$B$4,D:D)),MAX($C$3:OFFSET(C2250,-1,0))+1,0)</f>
        <v>0</v>
      </c>
      <c r="E2250" s="9" t="str">
        <f t="shared" ca="1" si="47"/>
        <v/>
      </c>
      <c r="F2250" s="4" t="s">
        <v>7</v>
      </c>
      <c r="G2250" s="2">
        <f>IF(ISNUMBER(SEARCH(Лист2!$B$4,F:F)),1,0)</f>
        <v>0</v>
      </c>
      <c r="H2250" s="3">
        <f ca="1">IF(AND(I2250&lt;&gt;I2249,ISNUMBER(SEARCH(Лист2!$B$5,I:I)),G2250=1),MAX($H$3:OFFSET(H2250,-1,0))+1,0)</f>
        <v>0</v>
      </c>
      <c r="I2250" s="3" t="s">
        <v>243</v>
      </c>
      <c r="K2250" s="2">
        <f>IF(ISNUMBER(SEARCH(Лист2!$B$4,F:F)),1,0)</f>
        <v>0</v>
      </c>
      <c r="L2250" s="14">
        <f>IF(ISNUMBER(SEARCH(Лист2!$B$5,I:I)),1,0)+K2250</f>
        <v>0</v>
      </c>
      <c r="M2250" s="3">
        <f ca="1">IF(AND(N2250&lt;&gt;N2249,ISNUMBER(SEARCH(Лист2!$B$6,N:N)),L2250=2),MAX($M$3:OFFSET(M2250,-1,0))+1,0)</f>
        <v>0</v>
      </c>
      <c r="N2250" s="3" t="s">
        <v>1838</v>
      </c>
    </row>
    <row r="2251" spans="1:14" x14ac:dyDescent="0.25">
      <c r="A2251" s="1" t="s">
        <v>11577</v>
      </c>
      <c r="B2251" s="3" t="s">
        <v>5875</v>
      </c>
      <c r="C2251" s="2">
        <f ca="1">IF(ISNUMBER(SEARCH(Лист2!$B$4,D:D)),MAX($C$3:OFFSET(C2251,-1,0))+1,0)</f>
        <v>0</v>
      </c>
      <c r="E2251" s="9" t="str">
        <f t="shared" ca="1" si="47"/>
        <v/>
      </c>
      <c r="F2251" s="4" t="s">
        <v>7</v>
      </c>
      <c r="G2251" s="2">
        <f>IF(ISNUMBER(SEARCH(Лист2!$B$4,F:F)),1,0)</f>
        <v>0</v>
      </c>
      <c r="H2251" s="3">
        <f ca="1">IF(AND(I2251&lt;&gt;I2250,ISNUMBER(SEARCH(Лист2!$B$5,I:I)),G2251=1),MAX($H$3:OFFSET(H2251,-1,0))+1,0)</f>
        <v>0</v>
      </c>
      <c r="I2251" s="3" t="s">
        <v>243</v>
      </c>
      <c r="K2251" s="2">
        <f>IF(ISNUMBER(SEARCH(Лист2!$B$4,F:F)),1,0)</f>
        <v>0</v>
      </c>
      <c r="L2251" s="14">
        <f>IF(ISNUMBER(SEARCH(Лист2!$B$5,I:I)),1,0)+K2251</f>
        <v>0</v>
      </c>
      <c r="M2251" s="3">
        <f ca="1">IF(AND(N2251&lt;&gt;N2250,ISNUMBER(SEARCH(Лист2!$B$6,N:N)),L2251=2),MAX($M$3:OFFSET(M2251,-1,0))+1,0)</f>
        <v>0</v>
      </c>
      <c r="N2251" s="3" t="s">
        <v>1678</v>
      </c>
    </row>
    <row r="2252" spans="1:14" x14ac:dyDescent="0.25">
      <c r="A2252" s="1" t="s">
        <v>11578</v>
      </c>
      <c r="B2252" s="3" t="s">
        <v>5876</v>
      </c>
      <c r="C2252" s="2">
        <f ca="1">IF(ISNUMBER(SEARCH(Лист2!$B$4,D:D)),MAX($C$3:OFFSET(C2252,-1,0))+1,0)</f>
        <v>0</v>
      </c>
      <c r="E2252" s="9" t="str">
        <f t="shared" ca="1" si="47"/>
        <v/>
      </c>
      <c r="F2252" s="4" t="s">
        <v>7</v>
      </c>
      <c r="G2252" s="2">
        <f>IF(ISNUMBER(SEARCH(Лист2!$B$4,F:F)),1,0)</f>
        <v>0</v>
      </c>
      <c r="H2252" s="3">
        <f ca="1">IF(AND(I2252&lt;&gt;I2251,ISNUMBER(SEARCH(Лист2!$B$5,I:I)),G2252=1),MAX($H$3:OFFSET(H2252,-1,0))+1,0)</f>
        <v>0</v>
      </c>
      <c r="I2252" s="3" t="s">
        <v>243</v>
      </c>
      <c r="K2252" s="2">
        <f>IF(ISNUMBER(SEARCH(Лист2!$B$4,F:F)),1,0)</f>
        <v>0</v>
      </c>
      <c r="L2252" s="14">
        <f>IF(ISNUMBER(SEARCH(Лист2!$B$5,I:I)),1,0)+K2252</f>
        <v>0</v>
      </c>
      <c r="M2252" s="3">
        <f ca="1">IF(AND(N2252&lt;&gt;N2251,ISNUMBER(SEARCH(Лист2!$B$6,N:N)),L2252=2),MAX($M$3:OFFSET(M2252,-1,0))+1,0)</f>
        <v>0</v>
      </c>
      <c r="N2252" s="3" t="s">
        <v>1620</v>
      </c>
    </row>
    <row r="2253" spans="1:14" x14ac:dyDescent="0.25">
      <c r="A2253" s="1" t="s">
        <v>11579</v>
      </c>
      <c r="B2253" s="3" t="s">
        <v>5877</v>
      </c>
      <c r="C2253" s="2">
        <f ca="1">IF(ISNUMBER(SEARCH(Лист2!$B$4,D:D)),MAX($C$3:OFFSET(C2253,-1,0))+1,0)</f>
        <v>0</v>
      </c>
      <c r="E2253" s="9" t="str">
        <f t="shared" ca="1" si="47"/>
        <v/>
      </c>
      <c r="F2253" s="4" t="s">
        <v>7</v>
      </c>
      <c r="G2253" s="2">
        <f>IF(ISNUMBER(SEARCH(Лист2!$B$4,F:F)),1,0)</f>
        <v>0</v>
      </c>
      <c r="H2253" s="3">
        <f ca="1">IF(AND(I2253&lt;&gt;I2252,ISNUMBER(SEARCH(Лист2!$B$5,I:I)),G2253=1),MAX($H$3:OFFSET(H2253,-1,0))+1,0)</f>
        <v>0</v>
      </c>
      <c r="I2253" s="3" t="s">
        <v>243</v>
      </c>
      <c r="K2253" s="2">
        <f>IF(ISNUMBER(SEARCH(Лист2!$B$4,F:F)),1,0)</f>
        <v>0</v>
      </c>
      <c r="L2253" s="14">
        <f>IF(ISNUMBER(SEARCH(Лист2!$B$5,I:I)),1,0)+K2253</f>
        <v>0</v>
      </c>
      <c r="M2253" s="3">
        <f ca="1">IF(AND(N2253&lt;&gt;N2252,ISNUMBER(SEARCH(Лист2!$B$6,N:N)),L2253=2),MAX($M$3:OFFSET(M2253,-1,0))+1,0)</f>
        <v>0</v>
      </c>
      <c r="N2253" s="3" t="s">
        <v>1621</v>
      </c>
    </row>
    <row r="2254" spans="1:14" x14ac:dyDescent="0.25">
      <c r="A2254" s="1" t="s">
        <v>11580</v>
      </c>
      <c r="B2254" s="3" t="s">
        <v>5878</v>
      </c>
      <c r="C2254" s="2">
        <f ca="1">IF(ISNUMBER(SEARCH(Лист2!$B$4,D:D)),MAX($C$3:OFFSET(C2254,-1,0))+1,0)</f>
        <v>0</v>
      </c>
      <c r="E2254" s="9" t="str">
        <f t="shared" ca="1" si="47"/>
        <v/>
      </c>
      <c r="F2254" s="4" t="s">
        <v>7</v>
      </c>
      <c r="G2254" s="2">
        <f>IF(ISNUMBER(SEARCH(Лист2!$B$4,F:F)),1,0)</f>
        <v>0</v>
      </c>
      <c r="H2254" s="3">
        <f ca="1">IF(AND(I2254&lt;&gt;I2253,ISNUMBER(SEARCH(Лист2!$B$5,I:I)),G2254=1),MAX($H$3:OFFSET(H2254,-1,0))+1,0)</f>
        <v>0</v>
      </c>
      <c r="I2254" s="3" t="s">
        <v>243</v>
      </c>
      <c r="K2254" s="2">
        <f>IF(ISNUMBER(SEARCH(Лист2!$B$4,F:F)),1,0)</f>
        <v>0</v>
      </c>
      <c r="L2254" s="14">
        <f>IF(ISNUMBER(SEARCH(Лист2!$B$5,I:I)),1,0)+K2254</f>
        <v>0</v>
      </c>
      <c r="M2254" s="3">
        <f ca="1">IF(AND(N2254&lt;&gt;N2253,ISNUMBER(SEARCH(Лист2!$B$6,N:N)),L2254=2),MAX($M$3:OFFSET(M2254,-1,0))+1,0)</f>
        <v>0</v>
      </c>
      <c r="N2254" s="3" t="s">
        <v>602</v>
      </c>
    </row>
    <row r="2255" spans="1:14" x14ac:dyDescent="0.25">
      <c r="A2255" s="1" t="s">
        <v>11581</v>
      </c>
      <c r="B2255" s="3" t="s">
        <v>5879</v>
      </c>
      <c r="C2255" s="2">
        <f ca="1">IF(ISNUMBER(SEARCH(Лист2!$B$4,D:D)),MAX($C$3:OFFSET(C2255,-1,0))+1,0)</f>
        <v>0</v>
      </c>
      <c r="E2255" s="9" t="str">
        <f t="shared" ca="1" si="47"/>
        <v/>
      </c>
      <c r="F2255" s="4" t="s">
        <v>7</v>
      </c>
      <c r="G2255" s="2">
        <f>IF(ISNUMBER(SEARCH(Лист2!$B$4,F:F)),1,0)</f>
        <v>0</v>
      </c>
      <c r="H2255" s="3">
        <f ca="1">IF(AND(I2255&lt;&gt;I2254,ISNUMBER(SEARCH(Лист2!$B$5,I:I)),G2255=1),MAX($H$3:OFFSET(H2255,-1,0))+1,0)</f>
        <v>0</v>
      </c>
      <c r="I2255" s="3" t="s">
        <v>243</v>
      </c>
      <c r="K2255" s="2">
        <f>IF(ISNUMBER(SEARCH(Лист2!$B$4,F:F)),1,0)</f>
        <v>0</v>
      </c>
      <c r="L2255" s="14">
        <f>IF(ISNUMBER(SEARCH(Лист2!$B$5,I:I)),1,0)+K2255</f>
        <v>0</v>
      </c>
      <c r="M2255" s="3">
        <f ca="1">IF(AND(N2255&lt;&gt;N2254,ISNUMBER(SEARCH(Лист2!$B$6,N:N)),L2255=2),MAX($M$3:OFFSET(M2255,-1,0))+1,0)</f>
        <v>0</v>
      </c>
      <c r="N2255" s="3" t="s">
        <v>1839</v>
      </c>
    </row>
    <row r="2256" spans="1:14" x14ac:dyDescent="0.25">
      <c r="A2256" s="1" t="s">
        <v>11582</v>
      </c>
      <c r="B2256" s="3" t="s">
        <v>5880</v>
      </c>
      <c r="C2256" s="2">
        <f ca="1">IF(ISNUMBER(SEARCH(Лист2!$B$4,D:D)),MAX($C$3:OFFSET(C2256,-1,0))+1,0)</f>
        <v>0</v>
      </c>
      <c r="E2256" s="9" t="str">
        <f t="shared" ca="1" si="47"/>
        <v/>
      </c>
      <c r="F2256" s="4" t="s">
        <v>7</v>
      </c>
      <c r="G2256" s="2">
        <f>IF(ISNUMBER(SEARCH(Лист2!$B$4,F:F)),1,0)</f>
        <v>0</v>
      </c>
      <c r="H2256" s="3">
        <f ca="1">IF(AND(I2256&lt;&gt;I2255,ISNUMBER(SEARCH(Лист2!$B$5,I:I)),G2256=1),MAX($H$3:OFFSET(H2256,-1,0))+1,0)</f>
        <v>0</v>
      </c>
      <c r="I2256" s="3" t="s">
        <v>243</v>
      </c>
      <c r="K2256" s="2">
        <f>IF(ISNUMBER(SEARCH(Лист2!$B$4,F:F)),1,0)</f>
        <v>0</v>
      </c>
      <c r="L2256" s="14">
        <f>IF(ISNUMBER(SEARCH(Лист2!$B$5,I:I)),1,0)+K2256</f>
        <v>0</v>
      </c>
      <c r="M2256" s="3">
        <f ca="1">IF(AND(N2256&lt;&gt;N2255,ISNUMBER(SEARCH(Лист2!$B$6,N:N)),L2256=2),MAX($M$3:OFFSET(M2256,-1,0))+1,0)</f>
        <v>0</v>
      </c>
      <c r="N2256" s="3" t="s">
        <v>1840</v>
      </c>
    </row>
    <row r="2257" spans="1:14" x14ac:dyDescent="0.25">
      <c r="A2257" s="1" t="s">
        <v>11583</v>
      </c>
      <c r="B2257" s="3" t="s">
        <v>5881</v>
      </c>
      <c r="C2257" s="2">
        <f ca="1">IF(ISNUMBER(SEARCH(Лист2!$B$4,D:D)),MAX($C$3:OFFSET(C2257,-1,0))+1,0)</f>
        <v>0</v>
      </c>
      <c r="E2257" s="9" t="str">
        <f t="shared" ca="1" si="47"/>
        <v/>
      </c>
      <c r="F2257" s="4" t="s">
        <v>7</v>
      </c>
      <c r="G2257" s="2">
        <f>IF(ISNUMBER(SEARCH(Лист2!$B$4,F:F)),1,0)</f>
        <v>0</v>
      </c>
      <c r="H2257" s="3">
        <f ca="1">IF(AND(I2257&lt;&gt;I2256,ISNUMBER(SEARCH(Лист2!$B$5,I:I)),G2257=1),MAX($H$3:OFFSET(H2257,-1,0))+1,0)</f>
        <v>0</v>
      </c>
      <c r="I2257" s="3" t="s">
        <v>243</v>
      </c>
      <c r="K2257" s="2">
        <f>IF(ISNUMBER(SEARCH(Лист2!$B$4,F:F)),1,0)</f>
        <v>0</v>
      </c>
      <c r="L2257" s="14">
        <f>IF(ISNUMBER(SEARCH(Лист2!$B$5,I:I)),1,0)+K2257</f>
        <v>0</v>
      </c>
      <c r="M2257" s="3">
        <f ca="1">IF(AND(N2257&lt;&gt;N2256,ISNUMBER(SEARCH(Лист2!$B$6,N:N)),L2257=2),MAX($M$3:OFFSET(M2257,-1,0))+1,0)</f>
        <v>0</v>
      </c>
      <c r="N2257" s="3" t="s">
        <v>1841</v>
      </c>
    </row>
    <row r="2258" spans="1:14" x14ac:dyDescent="0.25">
      <c r="A2258" s="1" t="s">
        <v>11584</v>
      </c>
      <c r="B2258" s="3" t="s">
        <v>5882</v>
      </c>
      <c r="C2258" s="2">
        <f ca="1">IF(ISNUMBER(SEARCH(Лист2!$B$4,D:D)),MAX($C$3:OFFSET(C2258,-1,0))+1,0)</f>
        <v>0</v>
      </c>
      <c r="E2258" s="9" t="str">
        <f t="shared" ca="1" si="47"/>
        <v/>
      </c>
      <c r="F2258" s="4" t="s">
        <v>7</v>
      </c>
      <c r="G2258" s="2">
        <f>IF(ISNUMBER(SEARCH(Лист2!$B$4,F:F)),1,0)</f>
        <v>0</v>
      </c>
      <c r="H2258" s="3">
        <f ca="1">IF(AND(I2258&lt;&gt;I2257,ISNUMBER(SEARCH(Лист2!$B$5,I:I)),G2258=1),MAX($H$3:OFFSET(H2258,-1,0))+1,0)</f>
        <v>0</v>
      </c>
      <c r="I2258" s="3" t="s">
        <v>244</v>
      </c>
      <c r="K2258" s="2">
        <f>IF(ISNUMBER(SEARCH(Лист2!$B$4,F:F)),1,0)</f>
        <v>0</v>
      </c>
      <c r="L2258" s="14">
        <f>IF(ISNUMBER(SEARCH(Лист2!$B$5,I:I)),1,0)+K2258</f>
        <v>0</v>
      </c>
      <c r="M2258" s="3">
        <f ca="1">IF(AND(N2258&lt;&gt;N2257,ISNUMBER(SEARCH(Лист2!$B$6,N:N)),L2258=2),MAX($M$3:OFFSET(M2258,-1,0))+1,0)</f>
        <v>0</v>
      </c>
      <c r="N2258" s="3" t="s">
        <v>1842</v>
      </c>
    </row>
    <row r="2259" spans="1:14" x14ac:dyDescent="0.25">
      <c r="A2259" s="1" t="s">
        <v>11584</v>
      </c>
      <c r="B2259" s="3" t="s">
        <v>5883</v>
      </c>
      <c r="C2259" s="2">
        <f ca="1">IF(ISNUMBER(SEARCH(Лист2!$B$4,D:D)),MAX($C$3:OFFSET(C2259,-1,0))+1,0)</f>
        <v>0</v>
      </c>
      <c r="E2259" s="9" t="str">
        <f t="shared" ca="1" si="47"/>
        <v/>
      </c>
      <c r="F2259" s="4" t="s">
        <v>7</v>
      </c>
      <c r="G2259" s="2">
        <f>IF(ISNUMBER(SEARCH(Лист2!$B$4,F:F)),1,0)</f>
        <v>0</v>
      </c>
      <c r="H2259" s="3">
        <f ca="1">IF(AND(I2259&lt;&gt;I2258,ISNUMBER(SEARCH(Лист2!$B$5,I:I)),G2259=1),MAX($H$3:OFFSET(H2259,-1,0))+1,0)</f>
        <v>0</v>
      </c>
      <c r="I2259" s="3" t="s">
        <v>244</v>
      </c>
      <c r="K2259" s="2">
        <f>IF(ISNUMBER(SEARCH(Лист2!$B$4,F:F)),1,0)</f>
        <v>0</v>
      </c>
      <c r="L2259" s="14">
        <f>IF(ISNUMBER(SEARCH(Лист2!$B$5,I:I)),1,0)+K2259</f>
        <v>0</v>
      </c>
      <c r="M2259" s="3">
        <f ca="1">IF(AND(N2259&lt;&gt;N2258,ISNUMBER(SEARCH(Лист2!$B$6,N:N)),L2259=2),MAX($M$3:OFFSET(M2259,-1,0))+1,0)</f>
        <v>0</v>
      </c>
      <c r="N2259" s="3" t="s">
        <v>1842</v>
      </c>
    </row>
    <row r="2260" spans="1:14" x14ac:dyDescent="0.25">
      <c r="A2260" s="1" t="s">
        <v>11584</v>
      </c>
      <c r="B2260" s="3" t="s">
        <v>5884</v>
      </c>
      <c r="C2260" s="2">
        <f ca="1">IF(ISNUMBER(SEARCH(Лист2!$B$4,D:D)),MAX($C$3:OFFSET(C2260,-1,0))+1,0)</f>
        <v>0</v>
      </c>
      <c r="E2260" s="9" t="str">
        <f t="shared" ca="1" si="47"/>
        <v/>
      </c>
      <c r="F2260" s="4" t="s">
        <v>7</v>
      </c>
      <c r="G2260" s="2">
        <f>IF(ISNUMBER(SEARCH(Лист2!$B$4,F:F)),1,0)</f>
        <v>0</v>
      </c>
      <c r="H2260" s="3">
        <f ca="1">IF(AND(I2260&lt;&gt;I2259,ISNUMBER(SEARCH(Лист2!$B$5,I:I)),G2260=1),MAX($H$3:OFFSET(H2260,-1,0))+1,0)</f>
        <v>0</v>
      </c>
      <c r="I2260" s="3" t="s">
        <v>244</v>
      </c>
      <c r="K2260" s="2">
        <f>IF(ISNUMBER(SEARCH(Лист2!$B$4,F:F)),1,0)</f>
        <v>0</v>
      </c>
      <c r="L2260" s="14">
        <f>IF(ISNUMBER(SEARCH(Лист2!$B$5,I:I)),1,0)+K2260</f>
        <v>0</v>
      </c>
      <c r="M2260" s="3">
        <f ca="1">IF(AND(N2260&lt;&gt;N2259,ISNUMBER(SEARCH(Лист2!$B$6,N:N)),L2260=2),MAX($M$3:OFFSET(M2260,-1,0))+1,0)</f>
        <v>0</v>
      </c>
      <c r="N2260" s="3" t="s">
        <v>1842</v>
      </c>
    </row>
    <row r="2261" spans="1:14" x14ac:dyDescent="0.25">
      <c r="A2261" s="1" t="s">
        <v>11585</v>
      </c>
      <c r="B2261" s="3" t="s">
        <v>5885</v>
      </c>
      <c r="C2261" s="2">
        <f ca="1">IF(ISNUMBER(SEARCH(Лист2!$B$4,D:D)),MAX($C$3:OFFSET(C2261,-1,0))+1,0)</f>
        <v>0</v>
      </c>
      <c r="E2261" s="9" t="str">
        <f t="shared" ca="1" si="47"/>
        <v/>
      </c>
      <c r="F2261" s="4" t="s">
        <v>7</v>
      </c>
      <c r="G2261" s="2">
        <f>IF(ISNUMBER(SEARCH(Лист2!$B$4,F:F)),1,0)</f>
        <v>0</v>
      </c>
      <c r="H2261" s="3">
        <f ca="1">IF(AND(I2261&lt;&gt;I2260,ISNUMBER(SEARCH(Лист2!$B$5,I:I)),G2261=1),MAX($H$3:OFFSET(H2261,-1,0))+1,0)</f>
        <v>0</v>
      </c>
      <c r="I2261" s="3" t="s">
        <v>244</v>
      </c>
      <c r="K2261" s="2">
        <f>IF(ISNUMBER(SEARCH(Лист2!$B$4,F:F)),1,0)</f>
        <v>0</v>
      </c>
      <c r="L2261" s="14">
        <f>IF(ISNUMBER(SEARCH(Лист2!$B$5,I:I)),1,0)+K2261</f>
        <v>0</v>
      </c>
      <c r="M2261" s="3">
        <f ca="1">IF(AND(N2261&lt;&gt;N2260,ISNUMBER(SEARCH(Лист2!$B$6,N:N)),L2261=2),MAX($M$3:OFFSET(M2261,-1,0))+1,0)</f>
        <v>0</v>
      </c>
      <c r="N2261" s="3" t="s">
        <v>1843</v>
      </c>
    </row>
    <row r="2262" spans="1:14" x14ac:dyDescent="0.25">
      <c r="A2262" s="1" t="s">
        <v>11585</v>
      </c>
      <c r="B2262" s="3" t="s">
        <v>5886</v>
      </c>
      <c r="C2262" s="2">
        <f ca="1">IF(ISNUMBER(SEARCH(Лист2!$B$4,D:D)),MAX($C$3:OFFSET(C2262,-1,0))+1,0)</f>
        <v>0</v>
      </c>
      <c r="E2262" s="9" t="str">
        <f t="shared" ca="1" si="47"/>
        <v/>
      </c>
      <c r="F2262" s="4" t="s">
        <v>7</v>
      </c>
      <c r="G2262" s="2">
        <f>IF(ISNUMBER(SEARCH(Лист2!$B$4,F:F)),1,0)</f>
        <v>0</v>
      </c>
      <c r="H2262" s="3">
        <f ca="1">IF(AND(I2262&lt;&gt;I2261,ISNUMBER(SEARCH(Лист2!$B$5,I:I)),G2262=1),MAX($H$3:OFFSET(H2262,-1,0))+1,0)</f>
        <v>0</v>
      </c>
      <c r="I2262" s="3" t="s">
        <v>244</v>
      </c>
      <c r="K2262" s="2">
        <f>IF(ISNUMBER(SEARCH(Лист2!$B$4,F:F)),1,0)</f>
        <v>0</v>
      </c>
      <c r="L2262" s="14">
        <f>IF(ISNUMBER(SEARCH(Лист2!$B$5,I:I)),1,0)+K2262</f>
        <v>0</v>
      </c>
      <c r="M2262" s="3">
        <f ca="1">IF(AND(N2262&lt;&gt;N2261,ISNUMBER(SEARCH(Лист2!$B$6,N:N)),L2262=2),MAX($M$3:OFFSET(M2262,-1,0))+1,0)</f>
        <v>0</v>
      </c>
      <c r="N2262" s="3" t="s">
        <v>1843</v>
      </c>
    </row>
    <row r="2263" spans="1:14" x14ac:dyDescent="0.25">
      <c r="A2263" s="1" t="s">
        <v>11585</v>
      </c>
      <c r="B2263" s="3" t="s">
        <v>5887</v>
      </c>
      <c r="C2263" s="2">
        <f ca="1">IF(ISNUMBER(SEARCH(Лист2!$B$4,D:D)),MAX($C$3:OFFSET(C2263,-1,0))+1,0)</f>
        <v>0</v>
      </c>
      <c r="E2263" s="9" t="str">
        <f t="shared" ca="1" si="47"/>
        <v/>
      </c>
      <c r="F2263" s="4" t="s">
        <v>7</v>
      </c>
      <c r="G2263" s="2">
        <f>IF(ISNUMBER(SEARCH(Лист2!$B$4,F:F)),1,0)</f>
        <v>0</v>
      </c>
      <c r="H2263" s="3">
        <f ca="1">IF(AND(I2263&lt;&gt;I2262,ISNUMBER(SEARCH(Лист2!$B$5,I:I)),G2263=1),MAX($H$3:OFFSET(H2263,-1,0))+1,0)</f>
        <v>0</v>
      </c>
      <c r="I2263" s="3" t="s">
        <v>244</v>
      </c>
      <c r="K2263" s="2">
        <f>IF(ISNUMBER(SEARCH(Лист2!$B$4,F:F)),1,0)</f>
        <v>0</v>
      </c>
      <c r="L2263" s="14">
        <f>IF(ISNUMBER(SEARCH(Лист2!$B$5,I:I)),1,0)+K2263</f>
        <v>0</v>
      </c>
      <c r="M2263" s="3">
        <f ca="1">IF(AND(N2263&lt;&gt;N2262,ISNUMBER(SEARCH(Лист2!$B$6,N:N)),L2263=2),MAX($M$3:OFFSET(M2263,-1,0))+1,0)</f>
        <v>0</v>
      </c>
      <c r="N2263" s="3" t="s">
        <v>1843</v>
      </c>
    </row>
    <row r="2264" spans="1:14" x14ac:dyDescent="0.25">
      <c r="A2264" s="1" t="s">
        <v>11586</v>
      </c>
      <c r="B2264" s="3" t="s">
        <v>5888</v>
      </c>
      <c r="C2264" s="2">
        <f ca="1">IF(ISNUMBER(SEARCH(Лист2!$B$4,D:D)),MAX($C$3:OFFSET(C2264,-1,0))+1,0)</f>
        <v>0</v>
      </c>
      <c r="E2264" s="9" t="str">
        <f t="shared" ca="1" si="47"/>
        <v/>
      </c>
      <c r="F2264" s="4" t="s">
        <v>7</v>
      </c>
      <c r="G2264" s="2">
        <f>IF(ISNUMBER(SEARCH(Лист2!$B$4,F:F)),1,0)</f>
        <v>0</v>
      </c>
      <c r="H2264" s="3">
        <f ca="1">IF(AND(I2264&lt;&gt;I2263,ISNUMBER(SEARCH(Лист2!$B$5,I:I)),G2264=1),MAX($H$3:OFFSET(H2264,-1,0))+1,0)</f>
        <v>0</v>
      </c>
      <c r="I2264" s="3" t="s">
        <v>244</v>
      </c>
      <c r="K2264" s="2">
        <f>IF(ISNUMBER(SEARCH(Лист2!$B$4,F:F)),1,0)</f>
        <v>0</v>
      </c>
      <c r="L2264" s="14">
        <f>IF(ISNUMBER(SEARCH(Лист2!$B$5,I:I)),1,0)+K2264</f>
        <v>0</v>
      </c>
      <c r="M2264" s="3">
        <f ca="1">IF(AND(N2264&lt;&gt;N2263,ISNUMBER(SEARCH(Лист2!$B$6,N:N)),L2264=2),MAX($M$3:OFFSET(M2264,-1,0))+1,0)</f>
        <v>0</v>
      </c>
      <c r="N2264" s="3" t="s">
        <v>1678</v>
      </c>
    </row>
    <row r="2265" spans="1:14" x14ac:dyDescent="0.25">
      <c r="A2265" s="1" t="s">
        <v>11587</v>
      </c>
      <c r="B2265" s="3" t="s">
        <v>5889</v>
      </c>
      <c r="C2265" s="2">
        <f ca="1">IF(ISNUMBER(SEARCH(Лист2!$B$4,D:D)),MAX($C$3:OFFSET(C2265,-1,0))+1,0)</f>
        <v>0</v>
      </c>
      <c r="E2265" s="9" t="str">
        <f t="shared" ca="1" si="47"/>
        <v/>
      </c>
      <c r="F2265" s="4" t="s">
        <v>7</v>
      </c>
      <c r="G2265" s="2">
        <f>IF(ISNUMBER(SEARCH(Лист2!$B$4,F:F)),1,0)</f>
        <v>0</v>
      </c>
      <c r="H2265" s="3">
        <f ca="1">IF(AND(I2265&lt;&gt;I2264,ISNUMBER(SEARCH(Лист2!$B$5,I:I)),G2265=1),MAX($H$3:OFFSET(H2265,-1,0))+1,0)</f>
        <v>0</v>
      </c>
      <c r="I2265" s="3" t="s">
        <v>244</v>
      </c>
      <c r="K2265" s="2">
        <f>IF(ISNUMBER(SEARCH(Лист2!$B$4,F:F)),1,0)</f>
        <v>0</v>
      </c>
      <c r="L2265" s="14">
        <f>IF(ISNUMBER(SEARCH(Лист2!$B$5,I:I)),1,0)+K2265</f>
        <v>0</v>
      </c>
      <c r="M2265" s="3">
        <f ca="1">IF(AND(N2265&lt;&gt;N2264,ISNUMBER(SEARCH(Лист2!$B$6,N:N)),L2265=2),MAX($M$3:OFFSET(M2265,-1,0))+1,0)</f>
        <v>0</v>
      </c>
      <c r="N2265" s="3" t="s">
        <v>1620</v>
      </c>
    </row>
    <row r="2266" spans="1:14" x14ac:dyDescent="0.25">
      <c r="A2266" s="1" t="s">
        <v>11588</v>
      </c>
      <c r="B2266" s="3" t="s">
        <v>5890</v>
      </c>
      <c r="C2266" s="2">
        <f ca="1">IF(ISNUMBER(SEARCH(Лист2!$B$4,D:D)),MAX($C$3:OFFSET(C2266,-1,0))+1,0)</f>
        <v>0</v>
      </c>
      <c r="E2266" s="9" t="str">
        <f t="shared" ca="1" si="47"/>
        <v/>
      </c>
      <c r="F2266" s="4" t="s">
        <v>7</v>
      </c>
      <c r="G2266" s="2">
        <f>IF(ISNUMBER(SEARCH(Лист2!$B$4,F:F)),1,0)</f>
        <v>0</v>
      </c>
      <c r="H2266" s="3">
        <f ca="1">IF(AND(I2266&lt;&gt;I2265,ISNUMBER(SEARCH(Лист2!$B$5,I:I)),G2266=1),MAX($H$3:OFFSET(H2266,-1,0))+1,0)</f>
        <v>0</v>
      </c>
      <c r="I2266" s="3" t="s">
        <v>244</v>
      </c>
      <c r="K2266" s="2">
        <f>IF(ISNUMBER(SEARCH(Лист2!$B$4,F:F)),1,0)</f>
        <v>0</v>
      </c>
      <c r="L2266" s="14">
        <f>IF(ISNUMBER(SEARCH(Лист2!$B$5,I:I)),1,0)+K2266</f>
        <v>0</v>
      </c>
      <c r="M2266" s="3">
        <f ca="1">IF(AND(N2266&lt;&gt;N2265,ISNUMBER(SEARCH(Лист2!$B$6,N:N)),L2266=2),MAX($M$3:OFFSET(M2266,-1,0))+1,0)</f>
        <v>0</v>
      </c>
      <c r="N2266" s="3" t="s">
        <v>1621</v>
      </c>
    </row>
    <row r="2267" spans="1:14" x14ac:dyDescent="0.25">
      <c r="A2267" s="1" t="s">
        <v>11589</v>
      </c>
      <c r="B2267" s="3" t="s">
        <v>5891</v>
      </c>
      <c r="C2267" s="2">
        <f ca="1">IF(ISNUMBER(SEARCH(Лист2!$B$4,D:D)),MAX($C$3:OFFSET(C2267,-1,0))+1,0)</f>
        <v>0</v>
      </c>
      <c r="E2267" s="9" t="str">
        <f t="shared" ca="1" si="47"/>
        <v/>
      </c>
      <c r="F2267" s="4" t="s">
        <v>7</v>
      </c>
      <c r="G2267" s="2">
        <f>IF(ISNUMBER(SEARCH(Лист2!$B$4,F:F)),1,0)</f>
        <v>0</v>
      </c>
      <c r="H2267" s="3">
        <f ca="1">IF(AND(I2267&lt;&gt;I2266,ISNUMBER(SEARCH(Лист2!$B$5,I:I)),G2267=1),MAX($H$3:OFFSET(H2267,-1,0))+1,0)</f>
        <v>0</v>
      </c>
      <c r="I2267" s="3" t="s">
        <v>244</v>
      </c>
      <c r="K2267" s="2">
        <f>IF(ISNUMBER(SEARCH(Лист2!$B$4,F:F)),1,0)</f>
        <v>0</v>
      </c>
      <c r="L2267" s="14">
        <f>IF(ISNUMBER(SEARCH(Лист2!$B$5,I:I)),1,0)+K2267</f>
        <v>0</v>
      </c>
      <c r="M2267" s="3">
        <f ca="1">IF(AND(N2267&lt;&gt;N2266,ISNUMBER(SEARCH(Лист2!$B$6,N:N)),L2267=2),MAX($M$3:OFFSET(M2267,-1,0))+1,0)</f>
        <v>0</v>
      </c>
      <c r="N2267" s="3" t="s">
        <v>602</v>
      </c>
    </row>
    <row r="2268" spans="1:14" x14ac:dyDescent="0.25">
      <c r="A2268" s="1" t="s">
        <v>11590</v>
      </c>
      <c r="B2268" s="3" t="s">
        <v>5892</v>
      </c>
      <c r="C2268" s="2">
        <f ca="1">IF(ISNUMBER(SEARCH(Лист2!$B$4,D:D)),MAX($C$3:OFFSET(C2268,-1,0))+1,0)</f>
        <v>0</v>
      </c>
      <c r="E2268" s="9" t="str">
        <f t="shared" ca="1" si="47"/>
        <v/>
      </c>
      <c r="F2268" s="4" t="s">
        <v>7</v>
      </c>
      <c r="G2268" s="2">
        <f>IF(ISNUMBER(SEARCH(Лист2!$B$4,F:F)),1,0)</f>
        <v>0</v>
      </c>
      <c r="H2268" s="3">
        <f ca="1">IF(AND(I2268&lt;&gt;I2267,ISNUMBER(SEARCH(Лист2!$B$5,I:I)),G2268=1),MAX($H$3:OFFSET(H2268,-1,0))+1,0)</f>
        <v>0</v>
      </c>
      <c r="I2268" s="3" t="s">
        <v>244</v>
      </c>
      <c r="K2268" s="2">
        <f>IF(ISNUMBER(SEARCH(Лист2!$B$4,F:F)),1,0)</f>
        <v>0</v>
      </c>
      <c r="L2268" s="14">
        <f>IF(ISNUMBER(SEARCH(Лист2!$B$5,I:I)),1,0)+K2268</f>
        <v>0</v>
      </c>
      <c r="M2268" s="3">
        <f ca="1">IF(AND(N2268&lt;&gt;N2267,ISNUMBER(SEARCH(Лист2!$B$6,N:N)),L2268=2),MAX($M$3:OFFSET(M2268,-1,0))+1,0)</f>
        <v>0</v>
      </c>
      <c r="N2268" s="3" t="s">
        <v>1844</v>
      </c>
    </row>
    <row r="2269" spans="1:14" x14ac:dyDescent="0.25">
      <c r="A2269" s="1" t="s">
        <v>11591</v>
      </c>
      <c r="B2269" s="3" t="s">
        <v>5893</v>
      </c>
      <c r="C2269" s="2">
        <f ca="1">IF(ISNUMBER(SEARCH(Лист2!$B$4,D:D)),MAX($C$3:OFFSET(C2269,-1,0))+1,0)</f>
        <v>0</v>
      </c>
      <c r="E2269" s="9" t="str">
        <f t="shared" ca="1" si="47"/>
        <v/>
      </c>
      <c r="F2269" s="4" t="s">
        <v>7</v>
      </c>
      <c r="G2269" s="2">
        <f>IF(ISNUMBER(SEARCH(Лист2!$B$4,F:F)),1,0)</f>
        <v>0</v>
      </c>
      <c r="H2269" s="3">
        <f ca="1">IF(AND(I2269&lt;&gt;I2268,ISNUMBER(SEARCH(Лист2!$B$5,I:I)),G2269=1),MAX($H$3:OFFSET(H2269,-1,0))+1,0)</f>
        <v>0</v>
      </c>
      <c r="I2269" s="3" t="s">
        <v>244</v>
      </c>
      <c r="K2269" s="2">
        <f>IF(ISNUMBER(SEARCH(Лист2!$B$4,F:F)),1,0)</f>
        <v>0</v>
      </c>
      <c r="L2269" s="14">
        <f>IF(ISNUMBER(SEARCH(Лист2!$B$5,I:I)),1,0)+K2269</f>
        <v>0</v>
      </c>
      <c r="M2269" s="3">
        <f ca="1">IF(AND(N2269&lt;&gt;N2268,ISNUMBER(SEARCH(Лист2!$B$6,N:N)),L2269=2),MAX($M$3:OFFSET(M2269,-1,0))+1,0)</f>
        <v>0</v>
      </c>
      <c r="N2269" s="3" t="s">
        <v>1845</v>
      </c>
    </row>
    <row r="2270" spans="1:14" x14ac:dyDescent="0.25">
      <c r="A2270" s="1" t="s">
        <v>11592</v>
      </c>
      <c r="B2270" s="3" t="s">
        <v>5894</v>
      </c>
      <c r="C2270" s="2">
        <f ca="1">IF(ISNUMBER(SEARCH(Лист2!$B$4,D:D)),MAX($C$3:OFFSET(C2270,-1,0))+1,0)</f>
        <v>0</v>
      </c>
      <c r="E2270" s="9" t="str">
        <f t="shared" ca="1" si="47"/>
        <v/>
      </c>
      <c r="F2270" s="4" t="s">
        <v>7</v>
      </c>
      <c r="G2270" s="2">
        <f>IF(ISNUMBER(SEARCH(Лист2!$B$4,F:F)),1,0)</f>
        <v>0</v>
      </c>
      <c r="H2270" s="3">
        <f ca="1">IF(AND(I2270&lt;&gt;I2269,ISNUMBER(SEARCH(Лист2!$B$5,I:I)),G2270=1),MAX($H$3:OFFSET(H2270,-1,0))+1,0)</f>
        <v>0</v>
      </c>
      <c r="I2270" s="3" t="s">
        <v>244</v>
      </c>
      <c r="K2270" s="2">
        <f>IF(ISNUMBER(SEARCH(Лист2!$B$4,F:F)),1,0)</f>
        <v>0</v>
      </c>
      <c r="L2270" s="14">
        <f>IF(ISNUMBER(SEARCH(Лист2!$B$5,I:I)),1,0)+K2270</f>
        <v>0</v>
      </c>
      <c r="M2270" s="3">
        <f ca="1">IF(AND(N2270&lt;&gt;N2269,ISNUMBER(SEARCH(Лист2!$B$6,N:N)),L2270=2),MAX($M$3:OFFSET(M2270,-1,0))+1,0)</f>
        <v>0</v>
      </c>
      <c r="N2270" s="3" t="s">
        <v>1846</v>
      </c>
    </row>
    <row r="2271" spans="1:14" x14ac:dyDescent="0.25">
      <c r="A2271" s="1" t="s">
        <v>11427</v>
      </c>
      <c r="B2271" s="3" t="s">
        <v>5895</v>
      </c>
      <c r="C2271" s="2">
        <f ca="1">IF(ISNUMBER(SEARCH(Лист2!$B$4,D:D)),MAX($C$3:OFFSET(C2271,-1,0))+1,0)</f>
        <v>0</v>
      </c>
      <c r="E2271" s="9" t="str">
        <f t="shared" ca="1" si="47"/>
        <v/>
      </c>
      <c r="F2271" s="4" t="s">
        <v>7</v>
      </c>
      <c r="G2271" s="2">
        <f>IF(ISNUMBER(SEARCH(Лист2!$B$4,F:F)),1,0)</f>
        <v>0</v>
      </c>
      <c r="H2271" s="3">
        <f ca="1">IF(AND(I2271&lt;&gt;I2270,ISNUMBER(SEARCH(Лист2!$B$5,I:I)),G2271=1),MAX($H$3:OFFSET(H2271,-1,0))+1,0)</f>
        <v>0</v>
      </c>
      <c r="I2271" s="3" t="s">
        <v>235</v>
      </c>
      <c r="K2271" s="2">
        <f>IF(ISNUMBER(SEARCH(Лист2!$B$4,F:F)),1,0)</f>
        <v>0</v>
      </c>
      <c r="L2271" s="14">
        <f>IF(ISNUMBER(SEARCH(Лист2!$B$5,I:I)),1,0)+K2271</f>
        <v>0</v>
      </c>
      <c r="M2271" s="3">
        <f ca="1">IF(AND(N2271&lt;&gt;N2270,ISNUMBER(SEARCH(Лист2!$B$6,N:N)),L2271=2),MAX($M$3:OFFSET(M2271,-1,0))+1,0)</f>
        <v>0</v>
      </c>
      <c r="N2271" s="3" t="s">
        <v>1729</v>
      </c>
    </row>
    <row r="2272" spans="1:14" x14ac:dyDescent="0.25">
      <c r="A2272" s="1" t="s">
        <v>11427</v>
      </c>
      <c r="B2272" s="3" t="s">
        <v>5896</v>
      </c>
      <c r="C2272" s="2">
        <f ca="1">IF(ISNUMBER(SEARCH(Лист2!$B$4,D:D)),MAX($C$3:OFFSET(C2272,-1,0))+1,0)</f>
        <v>0</v>
      </c>
      <c r="E2272" s="9" t="str">
        <f t="shared" ca="1" si="47"/>
        <v/>
      </c>
      <c r="F2272" s="4" t="s">
        <v>7</v>
      </c>
      <c r="G2272" s="2">
        <f>IF(ISNUMBER(SEARCH(Лист2!$B$4,F:F)),1,0)</f>
        <v>0</v>
      </c>
      <c r="H2272" s="3">
        <f ca="1">IF(AND(I2272&lt;&gt;I2271,ISNUMBER(SEARCH(Лист2!$B$5,I:I)),G2272=1),MAX($H$3:OFFSET(H2272,-1,0))+1,0)</f>
        <v>0</v>
      </c>
      <c r="I2272" s="3" t="s">
        <v>235</v>
      </c>
      <c r="K2272" s="2">
        <f>IF(ISNUMBER(SEARCH(Лист2!$B$4,F:F)),1,0)</f>
        <v>0</v>
      </c>
      <c r="L2272" s="14">
        <f>IF(ISNUMBER(SEARCH(Лист2!$B$5,I:I)),1,0)+K2272</f>
        <v>0</v>
      </c>
      <c r="M2272" s="3">
        <f ca="1">IF(AND(N2272&lt;&gt;N2271,ISNUMBER(SEARCH(Лист2!$B$6,N:N)),L2272=2),MAX($M$3:OFFSET(M2272,-1,0))+1,0)</f>
        <v>0</v>
      </c>
      <c r="N2272" s="3" t="s">
        <v>1729</v>
      </c>
    </row>
    <row r="2273" spans="1:14" x14ac:dyDescent="0.25">
      <c r="A2273" s="1" t="s">
        <v>11427</v>
      </c>
      <c r="B2273" s="3" t="s">
        <v>5897</v>
      </c>
      <c r="C2273" s="2">
        <f ca="1">IF(ISNUMBER(SEARCH(Лист2!$B$4,D:D)),MAX($C$3:OFFSET(C2273,-1,0))+1,0)</f>
        <v>0</v>
      </c>
      <c r="E2273" s="9" t="str">
        <f t="shared" ca="1" si="47"/>
        <v/>
      </c>
      <c r="F2273" s="4" t="s">
        <v>7</v>
      </c>
      <c r="G2273" s="2">
        <f>IF(ISNUMBER(SEARCH(Лист2!$B$4,F:F)),1,0)</f>
        <v>0</v>
      </c>
      <c r="H2273" s="3">
        <f ca="1">IF(AND(I2273&lt;&gt;I2272,ISNUMBER(SEARCH(Лист2!$B$5,I:I)),G2273=1),MAX($H$3:OFFSET(H2273,-1,0))+1,0)</f>
        <v>0</v>
      </c>
      <c r="I2273" s="3" t="s">
        <v>235</v>
      </c>
      <c r="K2273" s="2">
        <f>IF(ISNUMBER(SEARCH(Лист2!$B$4,F:F)),1,0)</f>
        <v>0</v>
      </c>
      <c r="L2273" s="14">
        <f>IF(ISNUMBER(SEARCH(Лист2!$B$5,I:I)),1,0)+K2273</f>
        <v>0</v>
      </c>
      <c r="M2273" s="3">
        <f ca="1">IF(AND(N2273&lt;&gt;N2272,ISNUMBER(SEARCH(Лист2!$B$6,N:N)),L2273=2),MAX($M$3:OFFSET(M2273,-1,0))+1,0)</f>
        <v>0</v>
      </c>
      <c r="N2273" s="3" t="s">
        <v>1729</v>
      </c>
    </row>
    <row r="2274" spans="1:14" x14ac:dyDescent="0.25">
      <c r="A2274" s="1" t="s">
        <v>11593</v>
      </c>
      <c r="B2274" s="3" t="s">
        <v>5898</v>
      </c>
      <c r="C2274" s="2">
        <f ca="1">IF(ISNUMBER(SEARCH(Лист2!$B$4,D:D)),MAX($C$3:OFFSET(C2274,-1,0))+1,0)</f>
        <v>0</v>
      </c>
      <c r="E2274" s="9" t="str">
        <f t="shared" ca="1" si="47"/>
        <v/>
      </c>
      <c r="F2274" s="4" t="s">
        <v>7</v>
      </c>
      <c r="G2274" s="2">
        <f>IF(ISNUMBER(SEARCH(Лист2!$B$4,F:F)),1,0)</f>
        <v>0</v>
      </c>
      <c r="H2274" s="3">
        <f ca="1">IF(AND(I2274&lt;&gt;I2273,ISNUMBER(SEARCH(Лист2!$B$5,I:I)),G2274=1),MAX($H$3:OFFSET(H2274,-1,0))+1,0)</f>
        <v>0</v>
      </c>
      <c r="I2274" s="3" t="s">
        <v>235</v>
      </c>
      <c r="K2274" s="2">
        <f>IF(ISNUMBER(SEARCH(Лист2!$B$4,F:F)),1,0)</f>
        <v>0</v>
      </c>
      <c r="L2274" s="14">
        <f>IF(ISNUMBER(SEARCH(Лист2!$B$5,I:I)),1,0)+K2274</f>
        <v>0</v>
      </c>
      <c r="M2274" s="3">
        <f ca="1">IF(AND(N2274&lt;&gt;N2273,ISNUMBER(SEARCH(Лист2!$B$6,N:N)),L2274=2),MAX($M$3:OFFSET(M2274,-1,0))+1,0)</f>
        <v>0</v>
      </c>
      <c r="N2274" s="3" t="s">
        <v>1847</v>
      </c>
    </row>
    <row r="2275" spans="1:14" x14ac:dyDescent="0.25">
      <c r="A2275" s="1" t="s">
        <v>11593</v>
      </c>
      <c r="B2275" s="3" t="s">
        <v>5899</v>
      </c>
      <c r="C2275" s="2">
        <f ca="1">IF(ISNUMBER(SEARCH(Лист2!$B$4,D:D)),MAX($C$3:OFFSET(C2275,-1,0))+1,0)</f>
        <v>0</v>
      </c>
      <c r="E2275" s="9" t="str">
        <f t="shared" ca="1" si="47"/>
        <v/>
      </c>
      <c r="F2275" s="4" t="s">
        <v>7</v>
      </c>
      <c r="G2275" s="2">
        <f>IF(ISNUMBER(SEARCH(Лист2!$B$4,F:F)),1,0)</f>
        <v>0</v>
      </c>
      <c r="H2275" s="3">
        <f ca="1">IF(AND(I2275&lt;&gt;I2274,ISNUMBER(SEARCH(Лист2!$B$5,I:I)),G2275=1),MAX($H$3:OFFSET(H2275,-1,0))+1,0)</f>
        <v>0</v>
      </c>
      <c r="I2275" s="3" t="s">
        <v>235</v>
      </c>
      <c r="K2275" s="2">
        <f>IF(ISNUMBER(SEARCH(Лист2!$B$4,F:F)),1,0)</f>
        <v>0</v>
      </c>
      <c r="L2275" s="14">
        <f>IF(ISNUMBER(SEARCH(Лист2!$B$5,I:I)),1,0)+K2275</f>
        <v>0</v>
      </c>
      <c r="M2275" s="3">
        <f ca="1">IF(AND(N2275&lt;&gt;N2274,ISNUMBER(SEARCH(Лист2!$B$6,N:N)),L2275=2),MAX($M$3:OFFSET(M2275,-1,0))+1,0)</f>
        <v>0</v>
      </c>
      <c r="N2275" s="3" t="s">
        <v>1847</v>
      </c>
    </row>
    <row r="2276" spans="1:14" x14ac:dyDescent="0.25">
      <c r="A2276" s="1" t="s">
        <v>11594</v>
      </c>
      <c r="B2276" s="3" t="s">
        <v>5900</v>
      </c>
      <c r="C2276" s="2">
        <f ca="1">IF(ISNUMBER(SEARCH(Лист2!$B$4,D:D)),MAX($C$3:OFFSET(C2276,-1,0))+1,0)</f>
        <v>0</v>
      </c>
      <c r="E2276" s="9" t="str">
        <f t="shared" ca="1" si="47"/>
        <v/>
      </c>
      <c r="F2276" s="4" t="s">
        <v>7</v>
      </c>
      <c r="G2276" s="2">
        <f>IF(ISNUMBER(SEARCH(Лист2!$B$4,F:F)),1,0)</f>
        <v>0</v>
      </c>
      <c r="H2276" s="3">
        <f ca="1">IF(AND(I2276&lt;&gt;I2275,ISNUMBER(SEARCH(Лист2!$B$5,I:I)),G2276=1),MAX($H$3:OFFSET(H2276,-1,0))+1,0)</f>
        <v>0</v>
      </c>
      <c r="I2276" s="3" t="s">
        <v>235</v>
      </c>
      <c r="K2276" s="2">
        <f>IF(ISNUMBER(SEARCH(Лист2!$B$4,F:F)),1,0)</f>
        <v>0</v>
      </c>
      <c r="L2276" s="14">
        <f>IF(ISNUMBER(SEARCH(Лист2!$B$5,I:I)),1,0)+K2276</f>
        <v>0</v>
      </c>
      <c r="M2276" s="3">
        <f ca="1">IF(AND(N2276&lt;&gt;N2275,ISNUMBER(SEARCH(Лист2!$B$6,N:N)),L2276=2),MAX($M$3:OFFSET(M2276,-1,0))+1,0)</f>
        <v>0</v>
      </c>
      <c r="N2276" s="3" t="s">
        <v>1848</v>
      </c>
    </row>
    <row r="2277" spans="1:14" x14ac:dyDescent="0.25">
      <c r="A2277" s="1" t="s">
        <v>11430</v>
      </c>
      <c r="B2277" s="3" t="s">
        <v>5901</v>
      </c>
      <c r="C2277" s="2">
        <f ca="1">IF(ISNUMBER(SEARCH(Лист2!$B$4,D:D)),MAX($C$3:OFFSET(C2277,-1,0))+1,0)</f>
        <v>0</v>
      </c>
      <c r="E2277" s="9" t="str">
        <f t="shared" ca="1" si="47"/>
        <v/>
      </c>
      <c r="F2277" s="4" t="s">
        <v>7</v>
      </c>
      <c r="G2277" s="2">
        <f>IF(ISNUMBER(SEARCH(Лист2!$B$4,F:F)),1,0)</f>
        <v>0</v>
      </c>
      <c r="H2277" s="3">
        <f ca="1">IF(AND(I2277&lt;&gt;I2276,ISNUMBER(SEARCH(Лист2!$B$5,I:I)),G2277=1),MAX($H$3:OFFSET(H2277,-1,0))+1,0)</f>
        <v>0</v>
      </c>
      <c r="I2277" s="3" t="s">
        <v>235</v>
      </c>
      <c r="K2277" s="2">
        <f>IF(ISNUMBER(SEARCH(Лист2!$B$4,F:F)),1,0)</f>
        <v>0</v>
      </c>
      <c r="L2277" s="14">
        <f>IF(ISNUMBER(SEARCH(Лист2!$B$5,I:I)),1,0)+K2277</f>
        <v>0</v>
      </c>
      <c r="M2277" s="3">
        <f ca="1">IF(AND(N2277&lt;&gt;N2276,ISNUMBER(SEARCH(Лист2!$B$6,N:N)),L2277=2),MAX($M$3:OFFSET(M2277,-1,0))+1,0)</f>
        <v>0</v>
      </c>
      <c r="N2277" s="3" t="s">
        <v>1732</v>
      </c>
    </row>
    <row r="2278" spans="1:14" x14ac:dyDescent="0.25">
      <c r="A2278" s="1" t="s">
        <v>11431</v>
      </c>
      <c r="B2278" s="3" t="s">
        <v>5902</v>
      </c>
      <c r="C2278" s="2">
        <f ca="1">IF(ISNUMBER(SEARCH(Лист2!$B$4,D:D)),MAX($C$3:OFFSET(C2278,-1,0))+1,0)</f>
        <v>0</v>
      </c>
      <c r="E2278" s="9" t="str">
        <f t="shared" ca="1" si="47"/>
        <v/>
      </c>
      <c r="F2278" s="4" t="s">
        <v>7</v>
      </c>
      <c r="G2278" s="2">
        <f>IF(ISNUMBER(SEARCH(Лист2!$B$4,F:F)),1,0)</f>
        <v>0</v>
      </c>
      <c r="H2278" s="3">
        <f ca="1">IF(AND(I2278&lt;&gt;I2277,ISNUMBER(SEARCH(Лист2!$B$5,I:I)),G2278=1),MAX($H$3:OFFSET(H2278,-1,0))+1,0)</f>
        <v>0</v>
      </c>
      <c r="I2278" s="3" t="s">
        <v>235</v>
      </c>
      <c r="K2278" s="2">
        <f>IF(ISNUMBER(SEARCH(Лист2!$B$4,F:F)),1,0)</f>
        <v>0</v>
      </c>
      <c r="L2278" s="14">
        <f>IF(ISNUMBER(SEARCH(Лист2!$B$5,I:I)),1,0)+K2278</f>
        <v>0</v>
      </c>
      <c r="M2278" s="3">
        <f ca="1">IF(AND(N2278&lt;&gt;N2277,ISNUMBER(SEARCH(Лист2!$B$6,N:N)),L2278=2),MAX($M$3:OFFSET(M2278,-1,0))+1,0)</f>
        <v>0</v>
      </c>
      <c r="N2278" s="3" t="s">
        <v>1733</v>
      </c>
    </row>
    <row r="2279" spans="1:14" x14ac:dyDescent="0.25">
      <c r="A2279" s="1" t="s">
        <v>11432</v>
      </c>
      <c r="B2279" s="3" t="s">
        <v>5903</v>
      </c>
      <c r="C2279" s="2">
        <f ca="1">IF(ISNUMBER(SEARCH(Лист2!$B$4,D:D)),MAX($C$3:OFFSET(C2279,-1,0))+1,0)</f>
        <v>0</v>
      </c>
      <c r="E2279" s="9" t="str">
        <f t="shared" ca="1" si="47"/>
        <v/>
      </c>
      <c r="F2279" s="4" t="s">
        <v>7</v>
      </c>
      <c r="G2279" s="2">
        <f>IF(ISNUMBER(SEARCH(Лист2!$B$4,F:F)),1,0)</f>
        <v>0</v>
      </c>
      <c r="H2279" s="3">
        <f ca="1">IF(AND(I2279&lt;&gt;I2278,ISNUMBER(SEARCH(Лист2!$B$5,I:I)),G2279=1),MAX($H$3:OFFSET(H2279,-1,0))+1,0)</f>
        <v>0</v>
      </c>
      <c r="I2279" s="3" t="s">
        <v>235</v>
      </c>
      <c r="K2279" s="2">
        <f>IF(ISNUMBER(SEARCH(Лист2!$B$4,F:F)),1,0)</f>
        <v>0</v>
      </c>
      <c r="L2279" s="14">
        <f>IF(ISNUMBER(SEARCH(Лист2!$B$5,I:I)),1,0)+K2279</f>
        <v>0</v>
      </c>
      <c r="M2279" s="3">
        <f ca="1">IF(AND(N2279&lt;&gt;N2278,ISNUMBER(SEARCH(Лист2!$B$6,N:N)),L2279=2),MAX($M$3:OFFSET(M2279,-1,0))+1,0)</f>
        <v>0</v>
      </c>
      <c r="N2279" s="3" t="s">
        <v>1734</v>
      </c>
    </row>
    <row r="2280" spans="1:14" x14ac:dyDescent="0.25">
      <c r="A2280" s="1" t="s">
        <v>11433</v>
      </c>
      <c r="B2280" s="3" t="s">
        <v>5904</v>
      </c>
      <c r="C2280" s="2">
        <f ca="1">IF(ISNUMBER(SEARCH(Лист2!$B$4,D:D)),MAX($C$3:OFFSET(C2280,-1,0))+1,0)</f>
        <v>0</v>
      </c>
      <c r="E2280" s="9" t="str">
        <f t="shared" ca="1" si="47"/>
        <v/>
      </c>
      <c r="F2280" s="4" t="s">
        <v>7</v>
      </c>
      <c r="G2280" s="2">
        <f>IF(ISNUMBER(SEARCH(Лист2!$B$4,F:F)),1,0)</f>
        <v>0</v>
      </c>
      <c r="H2280" s="3">
        <f ca="1">IF(AND(I2280&lt;&gt;I2279,ISNUMBER(SEARCH(Лист2!$B$5,I:I)),G2280=1),MAX($H$3:OFFSET(H2280,-1,0))+1,0)</f>
        <v>0</v>
      </c>
      <c r="I2280" s="3" t="s">
        <v>235</v>
      </c>
      <c r="K2280" s="2">
        <f>IF(ISNUMBER(SEARCH(Лист2!$B$4,F:F)),1,0)</f>
        <v>0</v>
      </c>
      <c r="L2280" s="14">
        <f>IF(ISNUMBER(SEARCH(Лист2!$B$5,I:I)),1,0)+K2280</f>
        <v>0</v>
      </c>
      <c r="M2280" s="3">
        <f ca="1">IF(AND(N2280&lt;&gt;N2279,ISNUMBER(SEARCH(Лист2!$B$6,N:N)),L2280=2),MAX($M$3:OFFSET(M2280,-1,0))+1,0)</f>
        <v>0</v>
      </c>
      <c r="N2280" s="3" t="s">
        <v>1735</v>
      </c>
    </row>
    <row r="2281" spans="1:14" x14ac:dyDescent="0.25">
      <c r="A2281" s="1" t="s">
        <v>11434</v>
      </c>
      <c r="B2281" s="3" t="s">
        <v>5905</v>
      </c>
      <c r="C2281" s="2">
        <f ca="1">IF(ISNUMBER(SEARCH(Лист2!$B$4,D:D)),MAX($C$3:OFFSET(C2281,-1,0))+1,0)</f>
        <v>0</v>
      </c>
      <c r="E2281" s="9" t="str">
        <f t="shared" ca="1" si="47"/>
        <v/>
      </c>
      <c r="F2281" s="4" t="s">
        <v>7</v>
      </c>
      <c r="G2281" s="2">
        <f>IF(ISNUMBER(SEARCH(Лист2!$B$4,F:F)),1,0)</f>
        <v>0</v>
      </c>
      <c r="H2281" s="3">
        <f ca="1">IF(AND(I2281&lt;&gt;I2280,ISNUMBER(SEARCH(Лист2!$B$5,I:I)),G2281=1),MAX($H$3:OFFSET(H2281,-1,0))+1,0)</f>
        <v>0</v>
      </c>
      <c r="I2281" s="3" t="s">
        <v>235</v>
      </c>
      <c r="K2281" s="2">
        <f>IF(ISNUMBER(SEARCH(Лист2!$B$4,F:F)),1,0)</f>
        <v>0</v>
      </c>
      <c r="L2281" s="14">
        <f>IF(ISNUMBER(SEARCH(Лист2!$B$5,I:I)),1,0)+K2281</f>
        <v>0</v>
      </c>
      <c r="M2281" s="3">
        <f ca="1">IF(AND(N2281&lt;&gt;N2280,ISNUMBER(SEARCH(Лист2!$B$6,N:N)),L2281=2),MAX($M$3:OFFSET(M2281,-1,0))+1,0)</f>
        <v>0</v>
      </c>
      <c r="N2281" s="3" t="s">
        <v>1621</v>
      </c>
    </row>
    <row r="2282" spans="1:14" x14ac:dyDescent="0.25">
      <c r="A2282" s="1" t="s">
        <v>11595</v>
      </c>
      <c r="B2282" s="3" t="s">
        <v>5906</v>
      </c>
      <c r="C2282" s="2">
        <f ca="1">IF(ISNUMBER(SEARCH(Лист2!$B$4,D:D)),MAX($C$3:OFFSET(C2282,-1,0))+1,0)</f>
        <v>0</v>
      </c>
      <c r="E2282" s="9" t="str">
        <f t="shared" ca="1" si="47"/>
        <v/>
      </c>
      <c r="F2282" s="4" t="s">
        <v>7</v>
      </c>
      <c r="G2282" s="2">
        <f>IF(ISNUMBER(SEARCH(Лист2!$B$4,F:F)),1,0)</f>
        <v>0</v>
      </c>
      <c r="H2282" s="3">
        <f ca="1">IF(AND(I2282&lt;&gt;I2281,ISNUMBER(SEARCH(Лист2!$B$5,I:I)),G2282=1),MAX($H$3:OFFSET(H2282,-1,0))+1,0)</f>
        <v>0</v>
      </c>
      <c r="I2282" s="3" t="s">
        <v>235</v>
      </c>
      <c r="K2282" s="2">
        <f>IF(ISNUMBER(SEARCH(Лист2!$B$4,F:F)),1,0)</f>
        <v>0</v>
      </c>
      <c r="L2282" s="14">
        <f>IF(ISNUMBER(SEARCH(Лист2!$B$5,I:I)),1,0)+K2282</f>
        <v>0</v>
      </c>
      <c r="M2282" s="3">
        <f ca="1">IF(AND(N2282&lt;&gt;N2281,ISNUMBER(SEARCH(Лист2!$B$6,N:N)),L2282=2),MAX($M$3:OFFSET(M2282,-1,0))+1,0)</f>
        <v>0</v>
      </c>
      <c r="N2282" s="3" t="s">
        <v>1748</v>
      </c>
    </row>
    <row r="2283" spans="1:14" x14ac:dyDescent="0.25">
      <c r="A2283" s="1" t="s">
        <v>11596</v>
      </c>
      <c r="B2283" s="3" t="s">
        <v>5907</v>
      </c>
      <c r="C2283" s="2">
        <f ca="1">IF(ISNUMBER(SEARCH(Лист2!$B$4,D:D)),MAX($C$3:OFFSET(C2283,-1,0))+1,0)</f>
        <v>0</v>
      </c>
      <c r="E2283" s="9" t="str">
        <f t="shared" ca="1" si="47"/>
        <v/>
      </c>
      <c r="F2283" s="4" t="s">
        <v>7</v>
      </c>
      <c r="G2283" s="2">
        <f>IF(ISNUMBER(SEARCH(Лист2!$B$4,F:F)),1,0)</f>
        <v>0</v>
      </c>
      <c r="H2283" s="3">
        <f ca="1">IF(AND(I2283&lt;&gt;I2282,ISNUMBER(SEARCH(Лист2!$B$5,I:I)),G2283=1),MAX($H$3:OFFSET(H2283,-1,0))+1,0)</f>
        <v>0</v>
      </c>
      <c r="I2283" s="3" t="s">
        <v>235</v>
      </c>
      <c r="K2283" s="2">
        <f>IF(ISNUMBER(SEARCH(Лист2!$B$4,F:F)),1,0)</f>
        <v>0</v>
      </c>
      <c r="L2283" s="14">
        <f>IF(ISNUMBER(SEARCH(Лист2!$B$5,I:I)),1,0)+K2283</f>
        <v>0</v>
      </c>
      <c r="M2283" s="3">
        <f ca="1">IF(AND(N2283&lt;&gt;N2282,ISNUMBER(SEARCH(Лист2!$B$6,N:N)),L2283=2),MAX($M$3:OFFSET(M2283,-1,0))+1,0)</f>
        <v>0</v>
      </c>
      <c r="N2283" s="3" t="s">
        <v>1749</v>
      </c>
    </row>
    <row r="2284" spans="1:14" x14ac:dyDescent="0.25">
      <c r="A2284" s="1" t="s">
        <v>11437</v>
      </c>
      <c r="B2284" s="3" t="s">
        <v>5908</v>
      </c>
      <c r="C2284" s="2">
        <f ca="1">IF(ISNUMBER(SEARCH(Лист2!$B$4,D:D)),MAX($C$3:OFFSET(C2284,-1,0))+1,0)</f>
        <v>0</v>
      </c>
      <c r="E2284" s="9" t="str">
        <f t="shared" ca="1" si="47"/>
        <v/>
      </c>
      <c r="F2284" s="4" t="s">
        <v>7</v>
      </c>
      <c r="G2284" s="2">
        <f>IF(ISNUMBER(SEARCH(Лист2!$B$4,F:F)),1,0)</f>
        <v>0</v>
      </c>
      <c r="H2284" s="3">
        <f ca="1">IF(AND(I2284&lt;&gt;I2283,ISNUMBER(SEARCH(Лист2!$B$5,I:I)),G2284=1),MAX($H$3:OFFSET(H2284,-1,0))+1,0)</f>
        <v>0</v>
      </c>
      <c r="I2284" s="3" t="s">
        <v>235</v>
      </c>
      <c r="K2284" s="2">
        <f>IF(ISNUMBER(SEARCH(Лист2!$B$4,F:F)),1,0)</f>
        <v>0</v>
      </c>
      <c r="L2284" s="14">
        <f>IF(ISNUMBER(SEARCH(Лист2!$B$5,I:I)),1,0)+K2284</f>
        <v>0</v>
      </c>
      <c r="M2284" s="3">
        <f ca="1">IF(AND(N2284&lt;&gt;N2283,ISNUMBER(SEARCH(Лист2!$B$6,N:N)),L2284=2),MAX($M$3:OFFSET(M2284,-1,0))+1,0)</f>
        <v>0</v>
      </c>
      <c r="N2284" s="3" t="s">
        <v>1678</v>
      </c>
    </row>
    <row r="2285" spans="1:14" x14ac:dyDescent="0.25">
      <c r="A2285" s="1" t="s">
        <v>11438</v>
      </c>
      <c r="B2285" s="3" t="s">
        <v>5909</v>
      </c>
      <c r="C2285" s="2">
        <f ca="1">IF(ISNUMBER(SEARCH(Лист2!$B$4,D:D)),MAX($C$3:OFFSET(C2285,-1,0))+1,0)</f>
        <v>0</v>
      </c>
      <c r="E2285" s="9" t="str">
        <f t="shared" ca="1" si="47"/>
        <v/>
      </c>
      <c r="F2285" s="4" t="s">
        <v>7</v>
      </c>
      <c r="G2285" s="2">
        <f>IF(ISNUMBER(SEARCH(Лист2!$B$4,F:F)),1,0)</f>
        <v>0</v>
      </c>
      <c r="H2285" s="3">
        <f ca="1">IF(AND(I2285&lt;&gt;I2284,ISNUMBER(SEARCH(Лист2!$B$5,I:I)),G2285=1),MAX($H$3:OFFSET(H2285,-1,0))+1,0)</f>
        <v>0</v>
      </c>
      <c r="I2285" s="3" t="s">
        <v>235</v>
      </c>
      <c r="K2285" s="2">
        <f>IF(ISNUMBER(SEARCH(Лист2!$B$4,F:F)),1,0)</f>
        <v>0</v>
      </c>
      <c r="L2285" s="14">
        <f>IF(ISNUMBER(SEARCH(Лист2!$B$5,I:I)),1,0)+K2285</f>
        <v>0</v>
      </c>
      <c r="M2285" s="3">
        <f ca="1">IF(AND(N2285&lt;&gt;N2284,ISNUMBER(SEARCH(Лист2!$B$6,N:N)),L2285=2),MAX($M$3:OFFSET(M2285,-1,0))+1,0)</f>
        <v>0</v>
      </c>
      <c r="N2285" s="3" t="s">
        <v>602</v>
      </c>
    </row>
    <row r="2286" spans="1:14" x14ac:dyDescent="0.25">
      <c r="A2286" s="1" t="s">
        <v>11439</v>
      </c>
      <c r="B2286" s="3" t="s">
        <v>5910</v>
      </c>
      <c r="C2286" s="2">
        <f ca="1">IF(ISNUMBER(SEARCH(Лист2!$B$4,D:D)),MAX($C$3:OFFSET(C2286,-1,0))+1,0)</f>
        <v>0</v>
      </c>
      <c r="E2286" s="9" t="str">
        <f t="shared" ca="1" si="47"/>
        <v/>
      </c>
      <c r="F2286" s="4" t="s">
        <v>7</v>
      </c>
      <c r="G2286" s="2">
        <f>IF(ISNUMBER(SEARCH(Лист2!$B$4,F:F)),1,0)</f>
        <v>0</v>
      </c>
      <c r="H2286" s="3">
        <f ca="1">IF(AND(I2286&lt;&gt;I2285,ISNUMBER(SEARCH(Лист2!$B$5,I:I)),G2286=1),MAX($H$3:OFFSET(H2286,-1,0))+1,0)</f>
        <v>0</v>
      </c>
      <c r="I2286" s="3" t="s">
        <v>235</v>
      </c>
      <c r="K2286" s="2">
        <f>IF(ISNUMBER(SEARCH(Лист2!$B$4,F:F)),1,0)</f>
        <v>0</v>
      </c>
      <c r="L2286" s="14">
        <f>IF(ISNUMBER(SEARCH(Лист2!$B$5,I:I)),1,0)+K2286</f>
        <v>0</v>
      </c>
      <c r="M2286" s="3">
        <f ca="1">IF(AND(N2286&lt;&gt;N2285,ISNUMBER(SEARCH(Лист2!$B$6,N:N)),L2286=2),MAX($M$3:OFFSET(M2286,-1,0))+1,0)</f>
        <v>0</v>
      </c>
      <c r="N2286" s="3" t="s">
        <v>1738</v>
      </c>
    </row>
    <row r="2287" spans="1:14" x14ac:dyDescent="0.25">
      <c r="A2287" s="1" t="s">
        <v>11440</v>
      </c>
      <c r="B2287" s="3" t="s">
        <v>5911</v>
      </c>
      <c r="C2287" s="2">
        <f ca="1">IF(ISNUMBER(SEARCH(Лист2!$B$4,D:D)),MAX($C$3:OFFSET(C2287,-1,0))+1,0)</f>
        <v>0</v>
      </c>
      <c r="E2287" s="9" t="str">
        <f t="shared" ca="1" si="47"/>
        <v/>
      </c>
      <c r="F2287" s="4" t="s">
        <v>7</v>
      </c>
      <c r="G2287" s="2">
        <f>IF(ISNUMBER(SEARCH(Лист2!$B$4,F:F)),1,0)</f>
        <v>0</v>
      </c>
      <c r="H2287" s="3">
        <f ca="1">IF(AND(I2287&lt;&gt;I2286,ISNUMBER(SEARCH(Лист2!$B$5,I:I)),G2287=1),MAX($H$3:OFFSET(H2287,-1,0))+1,0)</f>
        <v>0</v>
      </c>
      <c r="I2287" s="3" t="s">
        <v>235</v>
      </c>
      <c r="K2287" s="2">
        <f>IF(ISNUMBER(SEARCH(Лист2!$B$4,F:F)),1,0)</f>
        <v>0</v>
      </c>
      <c r="L2287" s="14">
        <f>IF(ISNUMBER(SEARCH(Лист2!$B$5,I:I)),1,0)+K2287</f>
        <v>0</v>
      </c>
      <c r="M2287" s="3">
        <f ca="1">IF(AND(N2287&lt;&gt;N2286,ISNUMBER(SEARCH(Лист2!$B$6,N:N)),L2287=2),MAX($M$3:OFFSET(M2287,-1,0))+1,0)</f>
        <v>0</v>
      </c>
      <c r="N2287" s="3" t="s">
        <v>1739</v>
      </c>
    </row>
    <row r="2288" spans="1:14" x14ac:dyDescent="0.25">
      <c r="A2288" s="1" t="s">
        <v>11441</v>
      </c>
      <c r="B2288" s="3" t="s">
        <v>5912</v>
      </c>
      <c r="C2288" s="2">
        <f ca="1">IF(ISNUMBER(SEARCH(Лист2!$B$4,D:D)),MAX($C$3:OFFSET(C2288,-1,0))+1,0)</f>
        <v>0</v>
      </c>
      <c r="E2288" s="9" t="str">
        <f t="shared" ca="1" si="47"/>
        <v/>
      </c>
      <c r="F2288" s="4" t="s">
        <v>7</v>
      </c>
      <c r="G2288" s="2">
        <f>IF(ISNUMBER(SEARCH(Лист2!$B$4,F:F)),1,0)</f>
        <v>0</v>
      </c>
      <c r="H2288" s="3">
        <f ca="1">IF(AND(I2288&lt;&gt;I2287,ISNUMBER(SEARCH(Лист2!$B$5,I:I)),G2288=1),MAX($H$3:OFFSET(H2288,-1,0))+1,0)</f>
        <v>0</v>
      </c>
      <c r="I2288" s="3" t="s">
        <v>235</v>
      </c>
      <c r="K2288" s="2">
        <f>IF(ISNUMBER(SEARCH(Лист2!$B$4,F:F)),1,0)</f>
        <v>0</v>
      </c>
      <c r="L2288" s="14">
        <f>IF(ISNUMBER(SEARCH(Лист2!$B$5,I:I)),1,0)+K2288</f>
        <v>0</v>
      </c>
      <c r="M2288" s="3">
        <f ca="1">IF(AND(N2288&lt;&gt;N2287,ISNUMBER(SEARCH(Лист2!$B$6,N:N)),L2288=2),MAX($M$3:OFFSET(M2288,-1,0))+1,0)</f>
        <v>0</v>
      </c>
      <c r="N2288" s="3" t="s">
        <v>1740</v>
      </c>
    </row>
    <row r="2289" spans="1:14" x14ac:dyDescent="0.25">
      <c r="A2289" s="1" t="s">
        <v>11442</v>
      </c>
      <c r="B2289" s="3" t="s">
        <v>5913</v>
      </c>
      <c r="C2289" s="2">
        <f ca="1">IF(ISNUMBER(SEARCH(Лист2!$B$4,D:D)),MAX($C$3:OFFSET(C2289,-1,0))+1,0)</f>
        <v>0</v>
      </c>
      <c r="E2289" s="9" t="str">
        <f t="shared" ca="1" si="47"/>
        <v/>
      </c>
      <c r="F2289" s="4" t="s">
        <v>7</v>
      </c>
      <c r="G2289" s="2">
        <f>IF(ISNUMBER(SEARCH(Лист2!$B$4,F:F)),1,0)</f>
        <v>0</v>
      </c>
      <c r="H2289" s="3">
        <f ca="1">IF(AND(I2289&lt;&gt;I2288,ISNUMBER(SEARCH(Лист2!$B$5,I:I)),G2289=1),MAX($H$3:OFFSET(H2289,-1,0))+1,0)</f>
        <v>0</v>
      </c>
      <c r="I2289" s="3" t="s">
        <v>235</v>
      </c>
      <c r="K2289" s="2">
        <f>IF(ISNUMBER(SEARCH(Лист2!$B$4,F:F)),1,0)</f>
        <v>0</v>
      </c>
      <c r="L2289" s="14">
        <f>IF(ISNUMBER(SEARCH(Лист2!$B$5,I:I)),1,0)+K2289</f>
        <v>0</v>
      </c>
      <c r="M2289" s="3">
        <f ca="1">IF(AND(N2289&lt;&gt;N2288,ISNUMBER(SEARCH(Лист2!$B$6,N:N)),L2289=2),MAX($M$3:OFFSET(M2289,-1,0))+1,0)</f>
        <v>0</v>
      </c>
      <c r="N2289" s="3" t="s">
        <v>1741</v>
      </c>
    </row>
    <row r="2290" spans="1:14" x14ac:dyDescent="0.25">
      <c r="A2290" s="1" t="s">
        <v>11443</v>
      </c>
      <c r="B2290" s="3" t="s">
        <v>5914</v>
      </c>
      <c r="C2290" s="2">
        <f ca="1">IF(ISNUMBER(SEARCH(Лист2!$B$4,D:D)),MAX($C$3:OFFSET(C2290,-1,0))+1,0)</f>
        <v>0</v>
      </c>
      <c r="E2290" s="9" t="str">
        <f t="shared" ca="1" si="47"/>
        <v/>
      </c>
      <c r="F2290" s="4" t="s">
        <v>7</v>
      </c>
      <c r="G2290" s="2">
        <f>IF(ISNUMBER(SEARCH(Лист2!$B$4,F:F)),1,0)</f>
        <v>0</v>
      </c>
      <c r="H2290" s="3">
        <f ca="1">IF(AND(I2290&lt;&gt;I2289,ISNUMBER(SEARCH(Лист2!$B$5,I:I)),G2290=1),MAX($H$3:OFFSET(H2290,-1,0))+1,0)</f>
        <v>0</v>
      </c>
      <c r="I2290" s="3" t="s">
        <v>235</v>
      </c>
      <c r="K2290" s="2">
        <f>IF(ISNUMBER(SEARCH(Лист2!$B$4,F:F)),1,0)</f>
        <v>0</v>
      </c>
      <c r="L2290" s="14">
        <f>IF(ISNUMBER(SEARCH(Лист2!$B$5,I:I)),1,0)+K2290</f>
        <v>0</v>
      </c>
      <c r="M2290" s="3">
        <f ca="1">IF(AND(N2290&lt;&gt;N2289,ISNUMBER(SEARCH(Лист2!$B$6,N:N)),L2290=2),MAX($M$3:OFFSET(M2290,-1,0))+1,0)</f>
        <v>0</v>
      </c>
      <c r="N2290" s="3" t="s">
        <v>1742</v>
      </c>
    </row>
    <row r="2291" spans="1:14" x14ac:dyDescent="0.25">
      <c r="A2291" s="1" t="s">
        <v>11444</v>
      </c>
      <c r="B2291" s="3" t="s">
        <v>5915</v>
      </c>
      <c r="C2291" s="2">
        <f ca="1">IF(ISNUMBER(SEARCH(Лист2!$B$4,D:D)),MAX($C$3:OFFSET(C2291,-1,0))+1,0)</f>
        <v>0</v>
      </c>
      <c r="E2291" s="9" t="str">
        <f t="shared" ca="1" si="47"/>
        <v/>
      </c>
      <c r="F2291" s="4" t="s">
        <v>7</v>
      </c>
      <c r="G2291" s="2">
        <f>IF(ISNUMBER(SEARCH(Лист2!$B$4,F:F)),1,0)</f>
        <v>0</v>
      </c>
      <c r="H2291" s="3">
        <f ca="1">IF(AND(I2291&lt;&gt;I2290,ISNUMBER(SEARCH(Лист2!$B$5,I:I)),G2291=1),MAX($H$3:OFFSET(H2291,-1,0))+1,0)</f>
        <v>0</v>
      </c>
      <c r="I2291" s="3" t="s">
        <v>236</v>
      </c>
      <c r="K2291" s="2">
        <f>IF(ISNUMBER(SEARCH(Лист2!$B$4,F:F)),1,0)</f>
        <v>0</v>
      </c>
      <c r="L2291" s="14">
        <f>IF(ISNUMBER(SEARCH(Лист2!$B$5,I:I)),1,0)+K2291</f>
        <v>0</v>
      </c>
      <c r="M2291" s="3">
        <f ca="1">IF(AND(N2291&lt;&gt;N2290,ISNUMBER(SEARCH(Лист2!$B$6,N:N)),L2291=2),MAX($M$3:OFFSET(M2291,-1,0))+1,0)</f>
        <v>0</v>
      </c>
      <c r="N2291" s="3" t="s">
        <v>1743</v>
      </c>
    </row>
    <row r="2292" spans="1:14" x14ac:dyDescent="0.25">
      <c r="A2292" s="1" t="s">
        <v>11445</v>
      </c>
      <c r="B2292" s="3" t="s">
        <v>5916</v>
      </c>
      <c r="C2292" s="2">
        <f ca="1">IF(ISNUMBER(SEARCH(Лист2!$B$4,D:D)),MAX($C$3:OFFSET(C2292,-1,0))+1,0)</f>
        <v>0</v>
      </c>
      <c r="E2292" s="9" t="str">
        <f t="shared" ca="1" si="47"/>
        <v/>
      </c>
      <c r="F2292" s="4" t="s">
        <v>7</v>
      </c>
      <c r="G2292" s="2">
        <f>IF(ISNUMBER(SEARCH(Лист2!$B$4,F:F)),1,0)</f>
        <v>0</v>
      </c>
      <c r="H2292" s="3">
        <f ca="1">IF(AND(I2292&lt;&gt;I2291,ISNUMBER(SEARCH(Лист2!$B$5,I:I)),G2292=1),MAX($H$3:OFFSET(H2292,-1,0))+1,0)</f>
        <v>0</v>
      </c>
      <c r="I2292" s="3" t="s">
        <v>236</v>
      </c>
      <c r="K2292" s="2">
        <f>IF(ISNUMBER(SEARCH(Лист2!$B$4,F:F)),1,0)</f>
        <v>0</v>
      </c>
      <c r="L2292" s="14">
        <f>IF(ISNUMBER(SEARCH(Лист2!$B$5,I:I)),1,0)+K2292</f>
        <v>0</v>
      </c>
      <c r="M2292" s="3">
        <f ca="1">IF(AND(N2292&lt;&gt;N2291,ISNUMBER(SEARCH(Лист2!$B$6,N:N)),L2292=2),MAX($M$3:OFFSET(M2292,-1,0))+1,0)</f>
        <v>0</v>
      </c>
      <c r="N2292" s="3" t="s">
        <v>1744</v>
      </c>
    </row>
    <row r="2293" spans="1:14" x14ac:dyDescent="0.25">
      <c r="A2293" s="1" t="s">
        <v>11445</v>
      </c>
      <c r="B2293" s="3" t="s">
        <v>5917</v>
      </c>
      <c r="C2293" s="2">
        <f ca="1">IF(ISNUMBER(SEARCH(Лист2!$B$4,D:D)),MAX($C$3:OFFSET(C2293,-1,0))+1,0)</f>
        <v>0</v>
      </c>
      <c r="E2293" s="9" t="str">
        <f t="shared" ca="1" si="47"/>
        <v/>
      </c>
      <c r="F2293" s="4" t="s">
        <v>7</v>
      </c>
      <c r="G2293" s="2">
        <f>IF(ISNUMBER(SEARCH(Лист2!$B$4,F:F)),1,0)</f>
        <v>0</v>
      </c>
      <c r="H2293" s="3">
        <f ca="1">IF(AND(I2293&lt;&gt;I2292,ISNUMBER(SEARCH(Лист2!$B$5,I:I)),G2293=1),MAX($H$3:OFFSET(H2293,-1,0))+1,0)</f>
        <v>0</v>
      </c>
      <c r="I2293" s="3" t="s">
        <v>236</v>
      </c>
      <c r="K2293" s="2">
        <f>IF(ISNUMBER(SEARCH(Лист2!$B$4,F:F)),1,0)</f>
        <v>0</v>
      </c>
      <c r="L2293" s="14">
        <f>IF(ISNUMBER(SEARCH(Лист2!$B$5,I:I)),1,0)+K2293</f>
        <v>0</v>
      </c>
      <c r="M2293" s="3">
        <f ca="1">IF(AND(N2293&lt;&gt;N2292,ISNUMBER(SEARCH(Лист2!$B$6,N:N)),L2293=2),MAX($M$3:OFFSET(M2293,-1,0))+1,0)</f>
        <v>0</v>
      </c>
      <c r="N2293" s="3" t="s">
        <v>1744</v>
      </c>
    </row>
    <row r="2294" spans="1:14" x14ac:dyDescent="0.25">
      <c r="A2294" s="1" t="s">
        <v>11446</v>
      </c>
      <c r="B2294" s="3" t="s">
        <v>5918</v>
      </c>
      <c r="C2294" s="2">
        <f ca="1">IF(ISNUMBER(SEARCH(Лист2!$B$4,D:D)),MAX($C$3:OFFSET(C2294,-1,0))+1,0)</f>
        <v>0</v>
      </c>
      <c r="E2294" s="9" t="str">
        <f t="shared" ca="1" si="47"/>
        <v/>
      </c>
      <c r="F2294" s="4" t="s">
        <v>7</v>
      </c>
      <c r="G2294" s="2">
        <f>IF(ISNUMBER(SEARCH(Лист2!$B$4,F:F)),1,0)</f>
        <v>0</v>
      </c>
      <c r="H2294" s="3">
        <f ca="1">IF(AND(I2294&lt;&gt;I2293,ISNUMBER(SEARCH(Лист2!$B$5,I:I)),G2294=1),MAX($H$3:OFFSET(H2294,-1,0))+1,0)</f>
        <v>0</v>
      </c>
      <c r="I2294" s="3" t="s">
        <v>236</v>
      </c>
      <c r="K2294" s="2">
        <f>IF(ISNUMBER(SEARCH(Лист2!$B$4,F:F)),1,0)</f>
        <v>0</v>
      </c>
      <c r="L2294" s="14">
        <f>IF(ISNUMBER(SEARCH(Лист2!$B$5,I:I)),1,0)+K2294</f>
        <v>0</v>
      </c>
      <c r="M2294" s="3">
        <f ca="1">IF(AND(N2294&lt;&gt;N2293,ISNUMBER(SEARCH(Лист2!$B$6,N:N)),L2294=2),MAX($M$3:OFFSET(M2294,-1,0))+1,0)</f>
        <v>0</v>
      </c>
      <c r="N2294" s="3" t="s">
        <v>1745</v>
      </c>
    </row>
    <row r="2295" spans="1:14" x14ac:dyDescent="0.25">
      <c r="A2295" s="1" t="s">
        <v>11447</v>
      </c>
      <c r="B2295" s="3" t="s">
        <v>5919</v>
      </c>
      <c r="C2295" s="2">
        <f ca="1">IF(ISNUMBER(SEARCH(Лист2!$B$4,D:D)),MAX($C$3:OFFSET(C2295,-1,0))+1,0)</f>
        <v>0</v>
      </c>
      <c r="E2295" s="9" t="str">
        <f t="shared" ca="1" si="47"/>
        <v/>
      </c>
      <c r="F2295" s="4" t="s">
        <v>7</v>
      </c>
      <c r="G2295" s="2">
        <f>IF(ISNUMBER(SEARCH(Лист2!$B$4,F:F)),1,0)</f>
        <v>0</v>
      </c>
      <c r="H2295" s="3">
        <f ca="1">IF(AND(I2295&lt;&gt;I2294,ISNUMBER(SEARCH(Лист2!$B$5,I:I)),G2295=1),MAX($H$3:OFFSET(H2295,-1,0))+1,0)</f>
        <v>0</v>
      </c>
      <c r="I2295" s="3" t="s">
        <v>236</v>
      </c>
      <c r="K2295" s="2">
        <f>IF(ISNUMBER(SEARCH(Лист2!$B$4,F:F)),1,0)</f>
        <v>0</v>
      </c>
      <c r="L2295" s="14">
        <f>IF(ISNUMBER(SEARCH(Лист2!$B$5,I:I)),1,0)+K2295</f>
        <v>0</v>
      </c>
      <c r="M2295" s="3">
        <f ca="1">IF(AND(N2295&lt;&gt;N2294,ISNUMBER(SEARCH(Лист2!$B$6,N:N)),L2295=2),MAX($M$3:OFFSET(M2295,-1,0))+1,0)</f>
        <v>0</v>
      </c>
      <c r="N2295" s="3" t="s">
        <v>1746</v>
      </c>
    </row>
    <row r="2296" spans="1:14" x14ac:dyDescent="0.25">
      <c r="A2296" s="1" t="s">
        <v>11448</v>
      </c>
      <c r="B2296" s="3" t="s">
        <v>5920</v>
      </c>
      <c r="C2296" s="2">
        <f ca="1">IF(ISNUMBER(SEARCH(Лист2!$B$4,D:D)),MAX($C$3:OFFSET(C2296,-1,0))+1,0)</f>
        <v>0</v>
      </c>
      <c r="E2296" s="9" t="str">
        <f t="shared" ca="1" si="47"/>
        <v/>
      </c>
      <c r="F2296" s="4" t="s">
        <v>7</v>
      </c>
      <c r="G2296" s="2">
        <f>IF(ISNUMBER(SEARCH(Лист2!$B$4,F:F)),1,0)</f>
        <v>0</v>
      </c>
      <c r="H2296" s="3">
        <f ca="1">IF(AND(I2296&lt;&gt;I2295,ISNUMBER(SEARCH(Лист2!$B$5,I:I)),G2296=1),MAX($H$3:OFFSET(H2296,-1,0))+1,0)</f>
        <v>0</v>
      </c>
      <c r="I2296" s="3" t="s">
        <v>236</v>
      </c>
      <c r="K2296" s="2">
        <f>IF(ISNUMBER(SEARCH(Лист2!$B$4,F:F)),1,0)</f>
        <v>0</v>
      </c>
      <c r="L2296" s="14">
        <f>IF(ISNUMBER(SEARCH(Лист2!$B$5,I:I)),1,0)+K2296</f>
        <v>0</v>
      </c>
      <c r="M2296" s="3">
        <f ca="1">IF(AND(N2296&lt;&gt;N2295,ISNUMBER(SEARCH(Лист2!$B$6,N:N)),L2296=2),MAX($M$3:OFFSET(M2296,-1,0))+1,0)</f>
        <v>0</v>
      </c>
      <c r="N2296" s="3" t="s">
        <v>1747</v>
      </c>
    </row>
    <row r="2297" spans="1:14" x14ac:dyDescent="0.25">
      <c r="A2297" s="1" t="s">
        <v>11449</v>
      </c>
      <c r="B2297" s="3" t="s">
        <v>5921</v>
      </c>
      <c r="C2297" s="2">
        <f ca="1">IF(ISNUMBER(SEARCH(Лист2!$B$4,D:D)),MAX($C$3:OFFSET(C2297,-1,0))+1,0)</f>
        <v>0</v>
      </c>
      <c r="E2297" s="9" t="str">
        <f t="shared" ca="1" si="47"/>
        <v/>
      </c>
      <c r="F2297" s="4" t="s">
        <v>7</v>
      </c>
      <c r="G2297" s="2">
        <f>IF(ISNUMBER(SEARCH(Лист2!$B$4,F:F)),1,0)</f>
        <v>0</v>
      </c>
      <c r="H2297" s="3">
        <f ca="1">IF(AND(I2297&lt;&gt;I2296,ISNUMBER(SEARCH(Лист2!$B$5,I:I)),G2297=1),MAX($H$3:OFFSET(H2297,-1,0))+1,0)</f>
        <v>0</v>
      </c>
      <c r="I2297" s="3" t="s">
        <v>236</v>
      </c>
      <c r="K2297" s="2">
        <f>IF(ISNUMBER(SEARCH(Лист2!$B$4,F:F)),1,0)</f>
        <v>0</v>
      </c>
      <c r="L2297" s="14">
        <f>IF(ISNUMBER(SEARCH(Лист2!$B$5,I:I)),1,0)+K2297</f>
        <v>0</v>
      </c>
      <c r="M2297" s="3">
        <f ca="1">IF(AND(N2297&lt;&gt;N2296,ISNUMBER(SEARCH(Лист2!$B$6,N:N)),L2297=2),MAX($M$3:OFFSET(M2297,-1,0))+1,0)</f>
        <v>0</v>
      </c>
      <c r="N2297" s="3" t="s">
        <v>1735</v>
      </c>
    </row>
    <row r="2298" spans="1:14" x14ac:dyDescent="0.25">
      <c r="A2298" s="1" t="s">
        <v>11450</v>
      </c>
      <c r="B2298" s="3" t="s">
        <v>5922</v>
      </c>
      <c r="C2298" s="2">
        <f ca="1">IF(ISNUMBER(SEARCH(Лист2!$B$4,D:D)),MAX($C$3:OFFSET(C2298,-1,0))+1,0)</f>
        <v>0</v>
      </c>
      <c r="E2298" s="9" t="str">
        <f t="shared" ca="1" si="47"/>
        <v/>
      </c>
      <c r="F2298" s="4" t="s">
        <v>7</v>
      </c>
      <c r="G2298" s="2">
        <f>IF(ISNUMBER(SEARCH(Лист2!$B$4,F:F)),1,0)</f>
        <v>0</v>
      </c>
      <c r="H2298" s="3">
        <f ca="1">IF(AND(I2298&lt;&gt;I2297,ISNUMBER(SEARCH(Лист2!$B$5,I:I)),G2298=1),MAX($H$3:OFFSET(H2298,-1,0))+1,0)</f>
        <v>0</v>
      </c>
      <c r="I2298" s="3" t="s">
        <v>236</v>
      </c>
      <c r="K2298" s="2">
        <f>IF(ISNUMBER(SEARCH(Лист2!$B$4,F:F)),1,0)</f>
        <v>0</v>
      </c>
      <c r="L2298" s="14">
        <f>IF(ISNUMBER(SEARCH(Лист2!$B$5,I:I)),1,0)+K2298</f>
        <v>0</v>
      </c>
      <c r="M2298" s="3">
        <f ca="1">IF(AND(N2298&lt;&gt;N2297,ISNUMBER(SEARCH(Лист2!$B$6,N:N)),L2298=2),MAX($M$3:OFFSET(M2298,-1,0))+1,0)</f>
        <v>0</v>
      </c>
      <c r="N2298" s="3" t="s">
        <v>1621</v>
      </c>
    </row>
    <row r="2299" spans="1:14" x14ac:dyDescent="0.25">
      <c r="A2299" s="1" t="s">
        <v>11451</v>
      </c>
      <c r="B2299" s="3" t="s">
        <v>5923</v>
      </c>
      <c r="C2299" s="2">
        <f ca="1">IF(ISNUMBER(SEARCH(Лист2!$B$4,D:D)),MAX($C$3:OFFSET(C2299,-1,0))+1,0)</f>
        <v>0</v>
      </c>
      <c r="E2299" s="9" t="str">
        <f t="shared" ca="1" si="47"/>
        <v/>
      </c>
      <c r="F2299" s="4" t="s">
        <v>7</v>
      </c>
      <c r="G2299" s="2">
        <f>IF(ISNUMBER(SEARCH(Лист2!$B$4,F:F)),1,0)</f>
        <v>0</v>
      </c>
      <c r="H2299" s="3">
        <f ca="1">IF(AND(I2299&lt;&gt;I2298,ISNUMBER(SEARCH(Лист2!$B$5,I:I)),G2299=1),MAX($H$3:OFFSET(H2299,-1,0))+1,0)</f>
        <v>0</v>
      </c>
      <c r="I2299" s="3" t="s">
        <v>236</v>
      </c>
      <c r="K2299" s="2">
        <f>IF(ISNUMBER(SEARCH(Лист2!$B$4,F:F)),1,0)</f>
        <v>0</v>
      </c>
      <c r="L2299" s="14">
        <f>IF(ISNUMBER(SEARCH(Лист2!$B$5,I:I)),1,0)+K2299</f>
        <v>0</v>
      </c>
      <c r="M2299" s="3">
        <f ca="1">IF(AND(N2299&lt;&gt;N2298,ISNUMBER(SEARCH(Лист2!$B$6,N:N)),L2299=2),MAX($M$3:OFFSET(M2299,-1,0))+1,0)</f>
        <v>0</v>
      </c>
      <c r="N2299" s="3" t="s">
        <v>1748</v>
      </c>
    </row>
    <row r="2300" spans="1:14" x14ac:dyDescent="0.25">
      <c r="A2300" s="1" t="s">
        <v>11597</v>
      </c>
      <c r="B2300" s="3" t="s">
        <v>5924</v>
      </c>
      <c r="C2300" s="2">
        <f ca="1">IF(ISNUMBER(SEARCH(Лист2!$B$4,D:D)),MAX($C$3:OFFSET(C2300,-1,0))+1,0)</f>
        <v>0</v>
      </c>
      <c r="E2300" s="9" t="str">
        <f t="shared" ca="1" si="47"/>
        <v/>
      </c>
      <c r="F2300" s="4" t="s">
        <v>7</v>
      </c>
      <c r="G2300" s="2">
        <f>IF(ISNUMBER(SEARCH(Лист2!$B$4,F:F)),1,0)</f>
        <v>0</v>
      </c>
      <c r="H2300" s="3">
        <f ca="1">IF(AND(I2300&lt;&gt;I2299,ISNUMBER(SEARCH(Лист2!$B$5,I:I)),G2300=1),MAX($H$3:OFFSET(H2300,-1,0))+1,0)</f>
        <v>0</v>
      </c>
      <c r="I2300" s="3" t="s">
        <v>236</v>
      </c>
      <c r="K2300" s="2">
        <f>IF(ISNUMBER(SEARCH(Лист2!$B$4,F:F)),1,0)</f>
        <v>0</v>
      </c>
      <c r="L2300" s="14">
        <f>IF(ISNUMBER(SEARCH(Лист2!$B$5,I:I)),1,0)+K2300</f>
        <v>0</v>
      </c>
      <c r="M2300" s="3">
        <f ca="1">IF(AND(N2300&lt;&gt;N2299,ISNUMBER(SEARCH(Лист2!$B$6,N:N)),L2300=2),MAX($M$3:OFFSET(M2300,-1,0))+1,0)</f>
        <v>0</v>
      </c>
      <c r="N2300" s="3" t="s">
        <v>1737</v>
      </c>
    </row>
    <row r="2301" spans="1:14" x14ac:dyDescent="0.25">
      <c r="A2301" s="1" t="s">
        <v>11453</v>
      </c>
      <c r="B2301" s="3" t="s">
        <v>5925</v>
      </c>
      <c r="C2301" s="2">
        <f ca="1">IF(ISNUMBER(SEARCH(Лист2!$B$4,D:D)),MAX($C$3:OFFSET(C2301,-1,0))+1,0)</f>
        <v>0</v>
      </c>
      <c r="E2301" s="9" t="str">
        <f t="shared" ca="1" si="47"/>
        <v/>
      </c>
      <c r="F2301" s="4" t="s">
        <v>7</v>
      </c>
      <c r="G2301" s="2">
        <f>IF(ISNUMBER(SEARCH(Лист2!$B$4,F:F)),1,0)</f>
        <v>0</v>
      </c>
      <c r="H2301" s="3">
        <f ca="1">IF(AND(I2301&lt;&gt;I2300,ISNUMBER(SEARCH(Лист2!$B$5,I:I)),G2301=1),MAX($H$3:OFFSET(H2301,-1,0))+1,0)</f>
        <v>0</v>
      </c>
      <c r="I2301" s="3" t="s">
        <v>236</v>
      </c>
      <c r="K2301" s="2">
        <f>IF(ISNUMBER(SEARCH(Лист2!$B$4,F:F)),1,0)</f>
        <v>0</v>
      </c>
      <c r="L2301" s="14">
        <f>IF(ISNUMBER(SEARCH(Лист2!$B$5,I:I)),1,0)+K2301</f>
        <v>0</v>
      </c>
      <c r="M2301" s="3">
        <f ca="1">IF(AND(N2301&lt;&gt;N2300,ISNUMBER(SEARCH(Лист2!$B$6,N:N)),L2301=2),MAX($M$3:OFFSET(M2301,-1,0))+1,0)</f>
        <v>0</v>
      </c>
      <c r="N2301" s="3" t="s">
        <v>1678</v>
      </c>
    </row>
    <row r="2302" spans="1:14" x14ac:dyDescent="0.25">
      <c r="A2302" s="1" t="s">
        <v>11454</v>
      </c>
      <c r="B2302" s="3" t="s">
        <v>5926</v>
      </c>
      <c r="C2302" s="2">
        <f ca="1">IF(ISNUMBER(SEARCH(Лист2!$B$4,D:D)),MAX($C$3:OFFSET(C2302,-1,0))+1,0)</f>
        <v>0</v>
      </c>
      <c r="E2302" s="9" t="str">
        <f t="shared" ca="1" si="47"/>
        <v/>
      </c>
      <c r="F2302" s="4" t="s">
        <v>7</v>
      </c>
      <c r="G2302" s="2">
        <f>IF(ISNUMBER(SEARCH(Лист2!$B$4,F:F)),1,0)</f>
        <v>0</v>
      </c>
      <c r="H2302" s="3">
        <f ca="1">IF(AND(I2302&lt;&gt;I2301,ISNUMBER(SEARCH(Лист2!$B$5,I:I)),G2302=1),MAX($H$3:OFFSET(H2302,-1,0))+1,0)</f>
        <v>0</v>
      </c>
      <c r="I2302" s="3" t="s">
        <v>236</v>
      </c>
      <c r="K2302" s="2">
        <f>IF(ISNUMBER(SEARCH(Лист2!$B$4,F:F)),1,0)</f>
        <v>0</v>
      </c>
      <c r="L2302" s="14">
        <f>IF(ISNUMBER(SEARCH(Лист2!$B$5,I:I)),1,0)+K2302</f>
        <v>0</v>
      </c>
      <c r="M2302" s="3">
        <f ca="1">IF(AND(N2302&lt;&gt;N2301,ISNUMBER(SEARCH(Лист2!$B$6,N:N)),L2302=2),MAX($M$3:OFFSET(M2302,-1,0))+1,0)</f>
        <v>0</v>
      </c>
      <c r="N2302" s="3" t="s">
        <v>602</v>
      </c>
    </row>
    <row r="2303" spans="1:14" x14ac:dyDescent="0.25">
      <c r="A2303" s="1" t="s">
        <v>11455</v>
      </c>
      <c r="B2303" s="3" t="s">
        <v>5927</v>
      </c>
      <c r="C2303" s="2">
        <f ca="1">IF(ISNUMBER(SEARCH(Лист2!$B$4,D:D)),MAX($C$3:OFFSET(C2303,-1,0))+1,0)</f>
        <v>0</v>
      </c>
      <c r="E2303" s="9" t="str">
        <f t="shared" ca="1" si="47"/>
        <v/>
      </c>
      <c r="F2303" s="4" t="s">
        <v>7</v>
      </c>
      <c r="G2303" s="2">
        <f>IF(ISNUMBER(SEARCH(Лист2!$B$4,F:F)),1,0)</f>
        <v>0</v>
      </c>
      <c r="H2303" s="3">
        <f ca="1">IF(AND(I2303&lt;&gt;I2302,ISNUMBER(SEARCH(Лист2!$B$5,I:I)),G2303=1),MAX($H$3:OFFSET(H2303,-1,0))+1,0)</f>
        <v>0</v>
      </c>
      <c r="I2303" s="3" t="s">
        <v>236</v>
      </c>
      <c r="K2303" s="2">
        <f>IF(ISNUMBER(SEARCH(Лист2!$B$4,F:F)),1,0)</f>
        <v>0</v>
      </c>
      <c r="L2303" s="14">
        <f>IF(ISNUMBER(SEARCH(Лист2!$B$5,I:I)),1,0)+K2303</f>
        <v>0</v>
      </c>
      <c r="M2303" s="3">
        <f ca="1">IF(AND(N2303&lt;&gt;N2302,ISNUMBER(SEARCH(Лист2!$B$6,N:N)),L2303=2),MAX($M$3:OFFSET(M2303,-1,0))+1,0)</f>
        <v>0</v>
      </c>
      <c r="N2303" s="3" t="s">
        <v>1750</v>
      </c>
    </row>
    <row r="2304" spans="1:14" x14ac:dyDescent="0.25">
      <c r="A2304" s="1" t="s">
        <v>11456</v>
      </c>
      <c r="B2304" s="3" t="s">
        <v>5928</v>
      </c>
      <c r="C2304" s="2">
        <f ca="1">IF(ISNUMBER(SEARCH(Лист2!$B$4,D:D)),MAX($C$3:OFFSET(C2304,-1,0))+1,0)</f>
        <v>0</v>
      </c>
      <c r="E2304" s="9" t="str">
        <f t="shared" ca="1" si="47"/>
        <v/>
      </c>
      <c r="F2304" s="4" t="s">
        <v>7</v>
      </c>
      <c r="G2304" s="2">
        <f>IF(ISNUMBER(SEARCH(Лист2!$B$4,F:F)),1,0)</f>
        <v>0</v>
      </c>
      <c r="H2304" s="3">
        <f ca="1">IF(AND(I2304&lt;&gt;I2303,ISNUMBER(SEARCH(Лист2!$B$5,I:I)),G2304=1),MAX($H$3:OFFSET(H2304,-1,0))+1,0)</f>
        <v>0</v>
      </c>
      <c r="I2304" s="3" t="s">
        <v>236</v>
      </c>
      <c r="K2304" s="2">
        <f>IF(ISNUMBER(SEARCH(Лист2!$B$4,F:F)),1,0)</f>
        <v>0</v>
      </c>
      <c r="L2304" s="14">
        <f>IF(ISNUMBER(SEARCH(Лист2!$B$5,I:I)),1,0)+K2304</f>
        <v>0</v>
      </c>
      <c r="M2304" s="3">
        <f ca="1">IF(AND(N2304&lt;&gt;N2303,ISNUMBER(SEARCH(Лист2!$B$6,N:N)),L2304=2),MAX($M$3:OFFSET(M2304,-1,0))+1,0)</f>
        <v>0</v>
      </c>
      <c r="N2304" s="3" t="s">
        <v>1751</v>
      </c>
    </row>
    <row r="2305" spans="1:14" x14ac:dyDescent="0.25">
      <c r="A2305" s="1" t="s">
        <v>11457</v>
      </c>
      <c r="B2305" s="3" t="s">
        <v>5929</v>
      </c>
      <c r="C2305" s="2">
        <f ca="1">IF(ISNUMBER(SEARCH(Лист2!$B$4,D:D)),MAX($C$3:OFFSET(C2305,-1,0))+1,0)</f>
        <v>0</v>
      </c>
      <c r="E2305" s="9" t="str">
        <f t="shared" ca="1" si="47"/>
        <v/>
      </c>
      <c r="F2305" s="4" t="s">
        <v>7</v>
      </c>
      <c r="G2305" s="2">
        <f>IF(ISNUMBER(SEARCH(Лист2!$B$4,F:F)),1,0)</f>
        <v>0</v>
      </c>
      <c r="H2305" s="3">
        <f ca="1">IF(AND(I2305&lt;&gt;I2304,ISNUMBER(SEARCH(Лист2!$B$5,I:I)),G2305=1),MAX($H$3:OFFSET(H2305,-1,0))+1,0)</f>
        <v>0</v>
      </c>
      <c r="I2305" s="3" t="s">
        <v>236</v>
      </c>
      <c r="K2305" s="2">
        <f>IF(ISNUMBER(SEARCH(Лист2!$B$4,F:F)),1,0)</f>
        <v>0</v>
      </c>
      <c r="L2305" s="14">
        <f>IF(ISNUMBER(SEARCH(Лист2!$B$5,I:I)),1,0)+K2305</f>
        <v>0</v>
      </c>
      <c r="M2305" s="3">
        <f ca="1">IF(AND(N2305&lt;&gt;N2304,ISNUMBER(SEARCH(Лист2!$B$6,N:N)),L2305=2),MAX($M$3:OFFSET(M2305,-1,0))+1,0)</f>
        <v>0</v>
      </c>
      <c r="N2305" s="3" t="s">
        <v>1752</v>
      </c>
    </row>
    <row r="2306" spans="1:14" x14ac:dyDescent="0.25">
      <c r="A2306" s="1" t="s">
        <v>11458</v>
      </c>
      <c r="B2306" s="3" t="s">
        <v>5930</v>
      </c>
      <c r="C2306" s="2">
        <f ca="1">IF(ISNUMBER(SEARCH(Лист2!$B$4,D:D)),MAX($C$3:OFFSET(C2306,-1,0))+1,0)</f>
        <v>0</v>
      </c>
      <c r="E2306" s="9" t="str">
        <f t="shared" ca="1" si="47"/>
        <v/>
      </c>
      <c r="F2306" s="4" t="s">
        <v>7</v>
      </c>
      <c r="G2306" s="2">
        <f>IF(ISNUMBER(SEARCH(Лист2!$B$4,F:F)),1,0)</f>
        <v>0</v>
      </c>
      <c r="H2306" s="3">
        <f ca="1">IF(AND(I2306&lt;&gt;I2305,ISNUMBER(SEARCH(Лист2!$B$5,I:I)),G2306=1),MAX($H$3:OFFSET(H2306,-1,0))+1,0)</f>
        <v>0</v>
      </c>
      <c r="I2306" s="3" t="s">
        <v>236</v>
      </c>
      <c r="K2306" s="2">
        <f>IF(ISNUMBER(SEARCH(Лист2!$B$4,F:F)),1,0)</f>
        <v>0</v>
      </c>
      <c r="L2306" s="14">
        <f>IF(ISNUMBER(SEARCH(Лист2!$B$5,I:I)),1,0)+K2306</f>
        <v>0</v>
      </c>
      <c r="M2306" s="3">
        <f ca="1">IF(AND(N2306&lt;&gt;N2305,ISNUMBER(SEARCH(Лист2!$B$6,N:N)),L2306=2),MAX($M$3:OFFSET(M2306,-1,0))+1,0)</f>
        <v>0</v>
      </c>
      <c r="N2306" s="3" t="s">
        <v>1753</v>
      </c>
    </row>
    <row r="2307" spans="1:14" x14ac:dyDescent="0.25">
      <c r="A2307" s="1" t="s">
        <v>11459</v>
      </c>
      <c r="B2307" s="3" t="s">
        <v>5931</v>
      </c>
      <c r="C2307" s="2">
        <f ca="1">IF(ISNUMBER(SEARCH(Лист2!$B$4,D:D)),MAX($C$3:OFFSET(C2307,-1,0))+1,0)</f>
        <v>0</v>
      </c>
      <c r="E2307" s="9" t="str">
        <f t="shared" ca="1" si="47"/>
        <v/>
      </c>
      <c r="F2307" s="4" t="s">
        <v>7</v>
      </c>
      <c r="G2307" s="2">
        <f>IF(ISNUMBER(SEARCH(Лист2!$B$4,F:F)),1,0)</f>
        <v>0</v>
      </c>
      <c r="H2307" s="3">
        <f ca="1">IF(AND(I2307&lt;&gt;I2306,ISNUMBER(SEARCH(Лист2!$B$5,I:I)),G2307=1),MAX($H$3:OFFSET(H2307,-1,0))+1,0)</f>
        <v>0</v>
      </c>
      <c r="I2307" s="3" t="s">
        <v>236</v>
      </c>
      <c r="K2307" s="2">
        <f>IF(ISNUMBER(SEARCH(Лист2!$B$4,F:F)),1,0)</f>
        <v>0</v>
      </c>
      <c r="L2307" s="14">
        <f>IF(ISNUMBER(SEARCH(Лист2!$B$5,I:I)),1,0)+K2307</f>
        <v>0</v>
      </c>
      <c r="M2307" s="3">
        <f ca="1">IF(AND(N2307&lt;&gt;N2306,ISNUMBER(SEARCH(Лист2!$B$6,N:N)),L2307=2),MAX($M$3:OFFSET(M2307,-1,0))+1,0)</f>
        <v>0</v>
      </c>
      <c r="N2307" s="3" t="s">
        <v>1754</v>
      </c>
    </row>
    <row r="2308" spans="1:14" x14ac:dyDescent="0.25">
      <c r="A2308" s="1" t="s">
        <v>11460</v>
      </c>
      <c r="B2308" s="3" t="s">
        <v>5932</v>
      </c>
      <c r="C2308" s="2">
        <f ca="1">IF(ISNUMBER(SEARCH(Лист2!$B$4,D:D)),MAX($C$3:OFFSET(C2308,-1,0))+1,0)</f>
        <v>0</v>
      </c>
      <c r="E2308" s="9" t="str">
        <f t="shared" ca="1" si="47"/>
        <v/>
      </c>
      <c r="F2308" s="4" t="s">
        <v>7</v>
      </c>
      <c r="G2308" s="2">
        <f>IF(ISNUMBER(SEARCH(Лист2!$B$4,F:F)),1,0)</f>
        <v>0</v>
      </c>
      <c r="H2308" s="3">
        <f ca="1">IF(AND(I2308&lt;&gt;I2307,ISNUMBER(SEARCH(Лист2!$B$5,I:I)),G2308=1),MAX($H$3:OFFSET(H2308,-1,0))+1,0)</f>
        <v>0</v>
      </c>
      <c r="I2308" s="3" t="s">
        <v>237</v>
      </c>
      <c r="K2308" s="2">
        <f>IF(ISNUMBER(SEARCH(Лист2!$B$4,F:F)),1,0)</f>
        <v>0</v>
      </c>
      <c r="L2308" s="14">
        <f>IF(ISNUMBER(SEARCH(Лист2!$B$5,I:I)),1,0)+K2308</f>
        <v>0</v>
      </c>
      <c r="M2308" s="3">
        <f ca="1">IF(AND(N2308&lt;&gt;N2307,ISNUMBER(SEARCH(Лист2!$B$6,N:N)),L2308=2),MAX($M$3:OFFSET(M2308,-1,0))+1,0)</f>
        <v>0</v>
      </c>
      <c r="N2308" s="3" t="s">
        <v>1755</v>
      </c>
    </row>
    <row r="2309" spans="1:14" x14ac:dyDescent="0.25">
      <c r="A2309" s="1" t="s">
        <v>11460</v>
      </c>
      <c r="B2309" s="3" t="s">
        <v>5933</v>
      </c>
      <c r="C2309" s="2">
        <f ca="1">IF(ISNUMBER(SEARCH(Лист2!$B$4,D:D)),MAX($C$3:OFFSET(C2309,-1,0))+1,0)</f>
        <v>0</v>
      </c>
      <c r="E2309" s="9" t="str">
        <f t="shared" ref="E2309:E2372" ca="1" si="48">IFERROR(INDEX(D:D,MATCH(ROW(E2309)-ROW($E$3),C:C,0)),"")</f>
        <v/>
      </c>
      <c r="F2309" s="4" t="s">
        <v>7</v>
      </c>
      <c r="G2309" s="2">
        <f>IF(ISNUMBER(SEARCH(Лист2!$B$4,F:F)),1,0)</f>
        <v>0</v>
      </c>
      <c r="H2309" s="3">
        <f ca="1">IF(AND(I2309&lt;&gt;I2308,ISNUMBER(SEARCH(Лист2!$B$5,I:I)),G2309=1),MAX($H$3:OFFSET(H2309,-1,0))+1,0)</f>
        <v>0</v>
      </c>
      <c r="I2309" s="3" t="s">
        <v>237</v>
      </c>
      <c r="K2309" s="2">
        <f>IF(ISNUMBER(SEARCH(Лист2!$B$4,F:F)),1,0)</f>
        <v>0</v>
      </c>
      <c r="L2309" s="14">
        <f>IF(ISNUMBER(SEARCH(Лист2!$B$5,I:I)),1,0)+K2309</f>
        <v>0</v>
      </c>
      <c r="M2309" s="3">
        <f ca="1">IF(AND(N2309&lt;&gt;N2308,ISNUMBER(SEARCH(Лист2!$B$6,N:N)),L2309=2),MAX($M$3:OFFSET(M2309,-1,0))+1,0)</f>
        <v>0</v>
      </c>
      <c r="N2309" s="3" t="s">
        <v>1755</v>
      </c>
    </row>
    <row r="2310" spans="1:14" x14ac:dyDescent="0.25">
      <c r="A2310" s="1" t="s">
        <v>11460</v>
      </c>
      <c r="B2310" s="3" t="s">
        <v>5934</v>
      </c>
      <c r="C2310" s="2">
        <f ca="1">IF(ISNUMBER(SEARCH(Лист2!$B$4,D:D)),MAX($C$3:OFFSET(C2310,-1,0))+1,0)</f>
        <v>0</v>
      </c>
      <c r="E2310" s="9" t="str">
        <f t="shared" ca="1" si="48"/>
        <v/>
      </c>
      <c r="F2310" s="4" t="s">
        <v>7</v>
      </c>
      <c r="G2310" s="2">
        <f>IF(ISNUMBER(SEARCH(Лист2!$B$4,F:F)),1,0)</f>
        <v>0</v>
      </c>
      <c r="H2310" s="3">
        <f ca="1">IF(AND(I2310&lt;&gt;I2309,ISNUMBER(SEARCH(Лист2!$B$5,I:I)),G2310=1),MAX($H$3:OFFSET(H2310,-1,0))+1,0)</f>
        <v>0</v>
      </c>
      <c r="I2310" s="3" t="s">
        <v>237</v>
      </c>
      <c r="K2310" s="2">
        <f>IF(ISNUMBER(SEARCH(Лист2!$B$4,F:F)),1,0)</f>
        <v>0</v>
      </c>
      <c r="L2310" s="14">
        <f>IF(ISNUMBER(SEARCH(Лист2!$B$5,I:I)),1,0)+K2310</f>
        <v>0</v>
      </c>
      <c r="M2310" s="3">
        <f ca="1">IF(AND(N2310&lt;&gt;N2309,ISNUMBER(SEARCH(Лист2!$B$6,N:N)),L2310=2),MAX($M$3:OFFSET(M2310,-1,0))+1,0)</f>
        <v>0</v>
      </c>
      <c r="N2310" s="3" t="s">
        <v>1755</v>
      </c>
    </row>
    <row r="2311" spans="1:14" x14ac:dyDescent="0.25">
      <c r="A2311" s="1" t="s">
        <v>11461</v>
      </c>
      <c r="B2311" s="3" t="s">
        <v>5935</v>
      </c>
      <c r="C2311" s="2">
        <f ca="1">IF(ISNUMBER(SEARCH(Лист2!$B$4,D:D)),MAX($C$3:OFFSET(C2311,-1,0))+1,0)</f>
        <v>0</v>
      </c>
      <c r="E2311" s="9" t="str">
        <f t="shared" ca="1" si="48"/>
        <v/>
      </c>
      <c r="F2311" s="4" t="s">
        <v>7</v>
      </c>
      <c r="G2311" s="2">
        <f>IF(ISNUMBER(SEARCH(Лист2!$B$4,F:F)),1,0)</f>
        <v>0</v>
      </c>
      <c r="H2311" s="3">
        <f ca="1">IF(AND(I2311&lt;&gt;I2310,ISNUMBER(SEARCH(Лист2!$B$5,I:I)),G2311=1),MAX($H$3:OFFSET(H2311,-1,0))+1,0)</f>
        <v>0</v>
      </c>
      <c r="I2311" s="3" t="s">
        <v>237</v>
      </c>
      <c r="K2311" s="2">
        <f>IF(ISNUMBER(SEARCH(Лист2!$B$4,F:F)),1,0)</f>
        <v>0</v>
      </c>
      <c r="L2311" s="14">
        <f>IF(ISNUMBER(SEARCH(Лист2!$B$5,I:I)),1,0)+K2311</f>
        <v>0</v>
      </c>
      <c r="M2311" s="3">
        <f ca="1">IF(AND(N2311&lt;&gt;N2310,ISNUMBER(SEARCH(Лист2!$B$6,N:N)),L2311=2),MAX($M$3:OFFSET(M2311,-1,0))+1,0)</f>
        <v>0</v>
      </c>
      <c r="N2311" s="3" t="s">
        <v>1756</v>
      </c>
    </row>
    <row r="2312" spans="1:14" x14ac:dyDescent="0.25">
      <c r="A2312" s="1" t="s">
        <v>11461</v>
      </c>
      <c r="B2312" s="3" t="s">
        <v>5936</v>
      </c>
      <c r="C2312" s="2">
        <f ca="1">IF(ISNUMBER(SEARCH(Лист2!$B$4,D:D)),MAX($C$3:OFFSET(C2312,-1,0))+1,0)</f>
        <v>0</v>
      </c>
      <c r="E2312" s="9" t="str">
        <f t="shared" ca="1" si="48"/>
        <v/>
      </c>
      <c r="F2312" s="4" t="s">
        <v>7</v>
      </c>
      <c r="G2312" s="2">
        <f>IF(ISNUMBER(SEARCH(Лист2!$B$4,F:F)),1,0)</f>
        <v>0</v>
      </c>
      <c r="H2312" s="3">
        <f ca="1">IF(AND(I2312&lt;&gt;I2311,ISNUMBER(SEARCH(Лист2!$B$5,I:I)),G2312=1),MAX($H$3:OFFSET(H2312,-1,0))+1,0)</f>
        <v>0</v>
      </c>
      <c r="I2312" s="3" t="s">
        <v>237</v>
      </c>
      <c r="K2312" s="2">
        <f>IF(ISNUMBER(SEARCH(Лист2!$B$4,F:F)),1,0)</f>
        <v>0</v>
      </c>
      <c r="L2312" s="14">
        <f>IF(ISNUMBER(SEARCH(Лист2!$B$5,I:I)),1,0)+K2312</f>
        <v>0</v>
      </c>
      <c r="M2312" s="3">
        <f ca="1">IF(AND(N2312&lt;&gt;N2311,ISNUMBER(SEARCH(Лист2!$B$6,N:N)),L2312=2),MAX($M$3:OFFSET(M2312,-1,0))+1,0)</f>
        <v>0</v>
      </c>
      <c r="N2312" s="3" t="s">
        <v>1756</v>
      </c>
    </row>
    <row r="2313" spans="1:14" x14ac:dyDescent="0.25">
      <c r="A2313" s="1" t="s">
        <v>11461</v>
      </c>
      <c r="B2313" s="3" t="s">
        <v>5937</v>
      </c>
      <c r="C2313" s="2">
        <f ca="1">IF(ISNUMBER(SEARCH(Лист2!$B$4,D:D)),MAX($C$3:OFFSET(C2313,-1,0))+1,0)</f>
        <v>0</v>
      </c>
      <c r="E2313" s="9" t="str">
        <f t="shared" ca="1" si="48"/>
        <v/>
      </c>
      <c r="F2313" s="4" t="s">
        <v>7</v>
      </c>
      <c r="G2313" s="2">
        <f>IF(ISNUMBER(SEARCH(Лист2!$B$4,F:F)),1,0)</f>
        <v>0</v>
      </c>
      <c r="H2313" s="3">
        <f ca="1">IF(AND(I2313&lt;&gt;I2312,ISNUMBER(SEARCH(Лист2!$B$5,I:I)),G2313=1),MAX($H$3:OFFSET(H2313,-1,0))+1,0)</f>
        <v>0</v>
      </c>
      <c r="I2313" s="3" t="s">
        <v>237</v>
      </c>
      <c r="K2313" s="2">
        <f>IF(ISNUMBER(SEARCH(Лист2!$B$4,F:F)),1,0)</f>
        <v>0</v>
      </c>
      <c r="L2313" s="14">
        <f>IF(ISNUMBER(SEARCH(Лист2!$B$5,I:I)),1,0)+K2313</f>
        <v>0</v>
      </c>
      <c r="M2313" s="3">
        <f ca="1">IF(AND(N2313&lt;&gt;N2312,ISNUMBER(SEARCH(Лист2!$B$6,N:N)),L2313=2),MAX($M$3:OFFSET(M2313,-1,0))+1,0)</f>
        <v>0</v>
      </c>
      <c r="N2313" s="3" t="s">
        <v>1756</v>
      </c>
    </row>
    <row r="2314" spans="1:14" x14ac:dyDescent="0.25">
      <c r="A2314" s="1" t="s">
        <v>11462</v>
      </c>
      <c r="B2314" s="3" t="s">
        <v>5938</v>
      </c>
      <c r="C2314" s="2">
        <f ca="1">IF(ISNUMBER(SEARCH(Лист2!$B$4,D:D)),MAX($C$3:OFFSET(C2314,-1,0))+1,0)</f>
        <v>0</v>
      </c>
      <c r="E2314" s="9" t="str">
        <f t="shared" ca="1" si="48"/>
        <v/>
      </c>
      <c r="F2314" s="4" t="s">
        <v>7</v>
      </c>
      <c r="G2314" s="2">
        <f>IF(ISNUMBER(SEARCH(Лист2!$B$4,F:F)),1,0)</f>
        <v>0</v>
      </c>
      <c r="H2314" s="3">
        <f ca="1">IF(AND(I2314&lt;&gt;I2313,ISNUMBER(SEARCH(Лист2!$B$5,I:I)),G2314=1),MAX($H$3:OFFSET(H2314,-1,0))+1,0)</f>
        <v>0</v>
      </c>
      <c r="I2314" s="3" t="s">
        <v>237</v>
      </c>
      <c r="K2314" s="2">
        <f>IF(ISNUMBER(SEARCH(Лист2!$B$4,F:F)),1,0)</f>
        <v>0</v>
      </c>
      <c r="L2314" s="14">
        <f>IF(ISNUMBER(SEARCH(Лист2!$B$5,I:I)),1,0)+K2314</f>
        <v>0</v>
      </c>
      <c r="M2314" s="3">
        <f ca="1">IF(AND(N2314&lt;&gt;N2313,ISNUMBER(SEARCH(Лист2!$B$6,N:N)),L2314=2),MAX($M$3:OFFSET(M2314,-1,0))+1,0)</f>
        <v>0</v>
      </c>
      <c r="N2314" s="3" t="s">
        <v>1757</v>
      </c>
    </row>
    <row r="2315" spans="1:14" x14ac:dyDescent="0.25">
      <c r="A2315" s="1" t="s">
        <v>11463</v>
      </c>
      <c r="B2315" s="3" t="s">
        <v>5939</v>
      </c>
      <c r="C2315" s="2">
        <f ca="1">IF(ISNUMBER(SEARCH(Лист2!$B$4,D:D)),MAX($C$3:OFFSET(C2315,-1,0))+1,0)</f>
        <v>0</v>
      </c>
      <c r="E2315" s="9" t="str">
        <f t="shared" ca="1" si="48"/>
        <v/>
      </c>
      <c r="F2315" s="4" t="s">
        <v>7</v>
      </c>
      <c r="G2315" s="2">
        <f>IF(ISNUMBER(SEARCH(Лист2!$B$4,F:F)),1,0)</f>
        <v>0</v>
      </c>
      <c r="H2315" s="3">
        <f ca="1">IF(AND(I2315&lt;&gt;I2314,ISNUMBER(SEARCH(Лист2!$B$5,I:I)),G2315=1),MAX($H$3:OFFSET(H2315,-1,0))+1,0)</f>
        <v>0</v>
      </c>
      <c r="I2315" s="3" t="s">
        <v>237</v>
      </c>
      <c r="K2315" s="2">
        <f>IF(ISNUMBER(SEARCH(Лист2!$B$4,F:F)),1,0)</f>
        <v>0</v>
      </c>
      <c r="L2315" s="14">
        <f>IF(ISNUMBER(SEARCH(Лист2!$B$5,I:I)),1,0)+K2315</f>
        <v>0</v>
      </c>
      <c r="M2315" s="3">
        <f ca="1">IF(AND(N2315&lt;&gt;N2314,ISNUMBER(SEARCH(Лист2!$B$6,N:N)),L2315=2),MAX($M$3:OFFSET(M2315,-1,0))+1,0)</f>
        <v>0</v>
      </c>
      <c r="N2315" s="3" t="s">
        <v>1758</v>
      </c>
    </row>
    <row r="2316" spans="1:14" x14ac:dyDescent="0.25">
      <c r="A2316" s="1" t="s">
        <v>11464</v>
      </c>
      <c r="B2316" s="3" t="s">
        <v>5940</v>
      </c>
      <c r="C2316" s="2">
        <f ca="1">IF(ISNUMBER(SEARCH(Лист2!$B$4,D:D)),MAX($C$3:OFFSET(C2316,-1,0))+1,0)</f>
        <v>0</v>
      </c>
      <c r="E2316" s="9" t="str">
        <f t="shared" ca="1" si="48"/>
        <v/>
      </c>
      <c r="F2316" s="4" t="s">
        <v>7</v>
      </c>
      <c r="G2316" s="2">
        <f>IF(ISNUMBER(SEARCH(Лист2!$B$4,F:F)),1,0)</f>
        <v>0</v>
      </c>
      <c r="H2316" s="3">
        <f ca="1">IF(AND(I2316&lt;&gt;I2315,ISNUMBER(SEARCH(Лист2!$B$5,I:I)),G2316=1),MAX($H$3:OFFSET(H2316,-1,0))+1,0)</f>
        <v>0</v>
      </c>
      <c r="I2316" s="3" t="s">
        <v>237</v>
      </c>
      <c r="K2316" s="2">
        <f>IF(ISNUMBER(SEARCH(Лист2!$B$4,F:F)),1,0)</f>
        <v>0</v>
      </c>
      <c r="L2316" s="14">
        <f>IF(ISNUMBER(SEARCH(Лист2!$B$5,I:I)),1,0)+K2316</f>
        <v>0</v>
      </c>
      <c r="M2316" s="3">
        <f ca="1">IF(AND(N2316&lt;&gt;N2315,ISNUMBER(SEARCH(Лист2!$B$6,N:N)),L2316=2),MAX($M$3:OFFSET(M2316,-1,0))+1,0)</f>
        <v>0</v>
      </c>
      <c r="N2316" s="3" t="s">
        <v>1759</v>
      </c>
    </row>
    <row r="2317" spans="1:14" x14ac:dyDescent="0.25">
      <c r="A2317" s="1" t="s">
        <v>11465</v>
      </c>
      <c r="B2317" s="3" t="s">
        <v>5941</v>
      </c>
      <c r="C2317" s="2">
        <f ca="1">IF(ISNUMBER(SEARCH(Лист2!$B$4,D:D)),MAX($C$3:OFFSET(C2317,-1,0))+1,0)</f>
        <v>0</v>
      </c>
      <c r="E2317" s="9" t="str">
        <f t="shared" ca="1" si="48"/>
        <v/>
      </c>
      <c r="F2317" s="4" t="s">
        <v>7</v>
      </c>
      <c r="G2317" s="2">
        <f>IF(ISNUMBER(SEARCH(Лист2!$B$4,F:F)),1,0)</f>
        <v>0</v>
      </c>
      <c r="H2317" s="3">
        <f ca="1">IF(AND(I2317&lt;&gt;I2316,ISNUMBER(SEARCH(Лист2!$B$5,I:I)),G2317=1),MAX($H$3:OFFSET(H2317,-1,0))+1,0)</f>
        <v>0</v>
      </c>
      <c r="I2317" s="3" t="s">
        <v>237</v>
      </c>
      <c r="K2317" s="2">
        <f>IF(ISNUMBER(SEARCH(Лист2!$B$4,F:F)),1,0)</f>
        <v>0</v>
      </c>
      <c r="L2317" s="14">
        <f>IF(ISNUMBER(SEARCH(Лист2!$B$5,I:I)),1,0)+K2317</f>
        <v>0</v>
      </c>
      <c r="M2317" s="3">
        <f ca="1">IF(AND(N2317&lt;&gt;N2316,ISNUMBER(SEARCH(Лист2!$B$6,N:N)),L2317=2),MAX($M$3:OFFSET(M2317,-1,0))+1,0)</f>
        <v>0</v>
      </c>
      <c r="N2317" s="3" t="s">
        <v>1735</v>
      </c>
    </row>
    <row r="2318" spans="1:14" x14ac:dyDescent="0.25">
      <c r="A2318" s="1" t="s">
        <v>11466</v>
      </c>
      <c r="B2318" s="3" t="s">
        <v>5942</v>
      </c>
      <c r="C2318" s="2">
        <f ca="1">IF(ISNUMBER(SEARCH(Лист2!$B$4,D:D)),MAX($C$3:OFFSET(C2318,-1,0))+1,0)</f>
        <v>0</v>
      </c>
      <c r="E2318" s="9" t="str">
        <f t="shared" ca="1" si="48"/>
        <v/>
      </c>
      <c r="F2318" s="4" t="s">
        <v>7</v>
      </c>
      <c r="G2318" s="2">
        <f>IF(ISNUMBER(SEARCH(Лист2!$B$4,F:F)),1,0)</f>
        <v>0</v>
      </c>
      <c r="H2318" s="3">
        <f ca="1">IF(AND(I2318&lt;&gt;I2317,ISNUMBER(SEARCH(Лист2!$B$5,I:I)),G2318=1),MAX($H$3:OFFSET(H2318,-1,0))+1,0)</f>
        <v>0</v>
      </c>
      <c r="I2318" s="3" t="s">
        <v>237</v>
      </c>
      <c r="K2318" s="2">
        <f>IF(ISNUMBER(SEARCH(Лист2!$B$4,F:F)),1,0)</f>
        <v>0</v>
      </c>
      <c r="L2318" s="14">
        <f>IF(ISNUMBER(SEARCH(Лист2!$B$5,I:I)),1,0)+K2318</f>
        <v>0</v>
      </c>
      <c r="M2318" s="3">
        <f ca="1">IF(AND(N2318&lt;&gt;N2317,ISNUMBER(SEARCH(Лист2!$B$6,N:N)),L2318=2),MAX($M$3:OFFSET(M2318,-1,0))+1,0)</f>
        <v>0</v>
      </c>
      <c r="N2318" s="3" t="s">
        <v>1690</v>
      </c>
    </row>
    <row r="2319" spans="1:14" x14ac:dyDescent="0.25">
      <c r="A2319" s="1" t="s">
        <v>11467</v>
      </c>
      <c r="B2319" s="3" t="s">
        <v>5943</v>
      </c>
      <c r="C2319" s="2">
        <f ca="1">IF(ISNUMBER(SEARCH(Лист2!$B$4,D:D)),MAX($C$3:OFFSET(C2319,-1,0))+1,0)</f>
        <v>0</v>
      </c>
      <c r="E2319" s="9" t="str">
        <f t="shared" ca="1" si="48"/>
        <v/>
      </c>
      <c r="F2319" s="4" t="s">
        <v>7</v>
      </c>
      <c r="G2319" s="2">
        <f>IF(ISNUMBER(SEARCH(Лист2!$B$4,F:F)),1,0)</f>
        <v>0</v>
      </c>
      <c r="H2319" s="3">
        <f ca="1">IF(AND(I2319&lt;&gt;I2318,ISNUMBER(SEARCH(Лист2!$B$5,I:I)),G2319=1),MAX($H$3:OFFSET(H2319,-1,0))+1,0)</f>
        <v>0</v>
      </c>
      <c r="I2319" s="3" t="s">
        <v>237</v>
      </c>
      <c r="K2319" s="2">
        <f>IF(ISNUMBER(SEARCH(Лист2!$B$4,F:F)),1,0)</f>
        <v>0</v>
      </c>
      <c r="L2319" s="14">
        <f>IF(ISNUMBER(SEARCH(Лист2!$B$5,I:I)),1,0)+K2319</f>
        <v>0</v>
      </c>
      <c r="M2319" s="3">
        <f ca="1">IF(AND(N2319&lt;&gt;N2318,ISNUMBER(SEARCH(Лист2!$B$6,N:N)),L2319=2),MAX($M$3:OFFSET(M2319,-1,0))+1,0)</f>
        <v>0</v>
      </c>
      <c r="N2319" s="3" t="s">
        <v>1760</v>
      </c>
    </row>
    <row r="2320" spans="1:14" x14ac:dyDescent="0.25">
      <c r="A2320" s="1" t="s">
        <v>11468</v>
      </c>
      <c r="B2320" s="3" t="s">
        <v>5944</v>
      </c>
      <c r="C2320" s="2">
        <f ca="1">IF(ISNUMBER(SEARCH(Лист2!$B$4,D:D)),MAX($C$3:OFFSET(C2320,-1,0))+1,0)</f>
        <v>0</v>
      </c>
      <c r="E2320" s="9" t="str">
        <f t="shared" ca="1" si="48"/>
        <v/>
      </c>
      <c r="F2320" s="4" t="s">
        <v>7</v>
      </c>
      <c r="G2320" s="2">
        <f>IF(ISNUMBER(SEARCH(Лист2!$B$4,F:F)),1,0)</f>
        <v>0</v>
      </c>
      <c r="H2320" s="3">
        <f ca="1">IF(AND(I2320&lt;&gt;I2319,ISNUMBER(SEARCH(Лист2!$B$5,I:I)),G2320=1),MAX($H$3:OFFSET(H2320,-1,0))+1,0)</f>
        <v>0</v>
      </c>
      <c r="I2320" s="3" t="s">
        <v>237</v>
      </c>
      <c r="K2320" s="2">
        <f>IF(ISNUMBER(SEARCH(Лист2!$B$4,F:F)),1,0)</f>
        <v>0</v>
      </c>
      <c r="L2320" s="14">
        <f>IF(ISNUMBER(SEARCH(Лист2!$B$5,I:I)),1,0)+K2320</f>
        <v>0</v>
      </c>
      <c r="M2320" s="3">
        <f ca="1">IF(AND(N2320&lt;&gt;N2319,ISNUMBER(SEARCH(Лист2!$B$6,N:N)),L2320=2),MAX($M$3:OFFSET(M2320,-1,0))+1,0)</f>
        <v>0</v>
      </c>
      <c r="N2320" s="3" t="s">
        <v>1737</v>
      </c>
    </row>
    <row r="2321" spans="1:14" x14ac:dyDescent="0.25">
      <c r="A2321" s="1" t="s">
        <v>11469</v>
      </c>
      <c r="B2321" s="3" t="s">
        <v>5945</v>
      </c>
      <c r="C2321" s="2">
        <f ca="1">IF(ISNUMBER(SEARCH(Лист2!$B$4,D:D)),MAX($C$3:OFFSET(C2321,-1,0))+1,0)</f>
        <v>0</v>
      </c>
      <c r="E2321" s="9" t="str">
        <f t="shared" ca="1" si="48"/>
        <v/>
      </c>
      <c r="F2321" s="4" t="s">
        <v>7</v>
      </c>
      <c r="G2321" s="2">
        <f>IF(ISNUMBER(SEARCH(Лист2!$B$4,F:F)),1,0)</f>
        <v>0</v>
      </c>
      <c r="H2321" s="3">
        <f ca="1">IF(AND(I2321&lt;&gt;I2320,ISNUMBER(SEARCH(Лист2!$B$5,I:I)),G2321=1),MAX($H$3:OFFSET(H2321,-1,0))+1,0)</f>
        <v>0</v>
      </c>
      <c r="I2321" s="3" t="s">
        <v>237</v>
      </c>
      <c r="K2321" s="2">
        <f>IF(ISNUMBER(SEARCH(Лист2!$B$4,F:F)),1,0)</f>
        <v>0</v>
      </c>
      <c r="L2321" s="14">
        <f>IF(ISNUMBER(SEARCH(Лист2!$B$5,I:I)),1,0)+K2321</f>
        <v>0</v>
      </c>
      <c r="M2321" s="3">
        <f ca="1">IF(AND(N2321&lt;&gt;N2320,ISNUMBER(SEARCH(Лист2!$B$6,N:N)),L2321=2),MAX($M$3:OFFSET(M2321,-1,0))+1,0)</f>
        <v>0</v>
      </c>
      <c r="N2321" s="3" t="s">
        <v>1678</v>
      </c>
    </row>
    <row r="2322" spans="1:14" x14ac:dyDescent="0.25">
      <c r="A2322" s="1" t="s">
        <v>11470</v>
      </c>
      <c r="B2322" s="3" t="s">
        <v>5946</v>
      </c>
      <c r="C2322" s="2">
        <f ca="1">IF(ISNUMBER(SEARCH(Лист2!$B$4,D:D)),MAX($C$3:OFFSET(C2322,-1,0))+1,0)</f>
        <v>0</v>
      </c>
      <c r="E2322" s="9" t="str">
        <f t="shared" ca="1" si="48"/>
        <v/>
      </c>
      <c r="F2322" s="4" t="s">
        <v>7</v>
      </c>
      <c r="G2322" s="2">
        <f>IF(ISNUMBER(SEARCH(Лист2!$B$4,F:F)),1,0)</f>
        <v>0</v>
      </c>
      <c r="H2322" s="3">
        <f ca="1">IF(AND(I2322&lt;&gt;I2321,ISNUMBER(SEARCH(Лист2!$B$5,I:I)),G2322=1),MAX($H$3:OFFSET(H2322,-1,0))+1,0)</f>
        <v>0</v>
      </c>
      <c r="I2322" s="3" t="s">
        <v>237</v>
      </c>
      <c r="K2322" s="2">
        <f>IF(ISNUMBER(SEARCH(Лист2!$B$4,F:F)),1,0)</f>
        <v>0</v>
      </c>
      <c r="L2322" s="14">
        <f>IF(ISNUMBER(SEARCH(Лист2!$B$5,I:I)),1,0)+K2322</f>
        <v>0</v>
      </c>
      <c r="M2322" s="3">
        <f ca="1">IF(AND(N2322&lt;&gt;N2321,ISNUMBER(SEARCH(Лист2!$B$6,N:N)),L2322=2),MAX($M$3:OFFSET(M2322,-1,0))+1,0)</f>
        <v>0</v>
      </c>
      <c r="N2322" s="3" t="s">
        <v>602</v>
      </c>
    </row>
    <row r="2323" spans="1:14" x14ac:dyDescent="0.25">
      <c r="A2323" s="1" t="s">
        <v>11471</v>
      </c>
      <c r="B2323" s="3" t="s">
        <v>5947</v>
      </c>
      <c r="C2323" s="2">
        <f ca="1">IF(ISNUMBER(SEARCH(Лист2!$B$4,D:D)),MAX($C$3:OFFSET(C2323,-1,0))+1,0)</f>
        <v>0</v>
      </c>
      <c r="E2323" s="9" t="str">
        <f t="shared" ca="1" si="48"/>
        <v/>
      </c>
      <c r="F2323" s="4" t="s">
        <v>7</v>
      </c>
      <c r="G2323" s="2">
        <f>IF(ISNUMBER(SEARCH(Лист2!$B$4,F:F)),1,0)</f>
        <v>0</v>
      </c>
      <c r="H2323" s="3">
        <f ca="1">IF(AND(I2323&lt;&gt;I2322,ISNUMBER(SEARCH(Лист2!$B$5,I:I)),G2323=1),MAX($H$3:OFFSET(H2323,-1,0))+1,0)</f>
        <v>0</v>
      </c>
      <c r="I2323" s="3" t="s">
        <v>237</v>
      </c>
      <c r="K2323" s="2">
        <f>IF(ISNUMBER(SEARCH(Лист2!$B$4,F:F)),1,0)</f>
        <v>0</v>
      </c>
      <c r="L2323" s="14">
        <f>IF(ISNUMBER(SEARCH(Лист2!$B$5,I:I)),1,0)+K2323</f>
        <v>0</v>
      </c>
      <c r="M2323" s="3">
        <f ca="1">IF(AND(N2323&lt;&gt;N2322,ISNUMBER(SEARCH(Лист2!$B$6,N:N)),L2323=2),MAX($M$3:OFFSET(M2323,-1,0))+1,0)</f>
        <v>0</v>
      </c>
      <c r="N2323" s="3" t="s">
        <v>1761</v>
      </c>
    </row>
    <row r="2324" spans="1:14" x14ac:dyDescent="0.25">
      <c r="A2324" s="1" t="s">
        <v>11472</v>
      </c>
      <c r="B2324" s="3" t="s">
        <v>5948</v>
      </c>
      <c r="C2324" s="2">
        <f ca="1">IF(ISNUMBER(SEARCH(Лист2!$B$4,D:D)),MAX($C$3:OFFSET(C2324,-1,0))+1,0)</f>
        <v>0</v>
      </c>
      <c r="E2324" s="9" t="str">
        <f t="shared" ca="1" si="48"/>
        <v/>
      </c>
      <c r="F2324" s="4" t="s">
        <v>7</v>
      </c>
      <c r="G2324" s="2">
        <f>IF(ISNUMBER(SEARCH(Лист2!$B$4,F:F)),1,0)</f>
        <v>0</v>
      </c>
      <c r="H2324" s="3">
        <f ca="1">IF(AND(I2324&lt;&gt;I2323,ISNUMBER(SEARCH(Лист2!$B$5,I:I)),G2324=1),MAX($H$3:OFFSET(H2324,-1,0))+1,0)</f>
        <v>0</v>
      </c>
      <c r="I2324" s="3" t="s">
        <v>237</v>
      </c>
      <c r="K2324" s="2">
        <f>IF(ISNUMBER(SEARCH(Лист2!$B$4,F:F)),1,0)</f>
        <v>0</v>
      </c>
      <c r="L2324" s="14">
        <f>IF(ISNUMBER(SEARCH(Лист2!$B$5,I:I)),1,0)+K2324</f>
        <v>0</v>
      </c>
      <c r="M2324" s="3">
        <f ca="1">IF(AND(N2324&lt;&gt;N2323,ISNUMBER(SEARCH(Лист2!$B$6,N:N)),L2324=2),MAX($M$3:OFFSET(M2324,-1,0))+1,0)</f>
        <v>0</v>
      </c>
      <c r="N2324" s="3" t="s">
        <v>1762</v>
      </c>
    </row>
    <row r="2325" spans="1:14" x14ac:dyDescent="0.25">
      <c r="A2325" s="1" t="s">
        <v>11473</v>
      </c>
      <c r="B2325" s="3" t="s">
        <v>5949</v>
      </c>
      <c r="C2325" s="2">
        <f ca="1">IF(ISNUMBER(SEARCH(Лист2!$B$4,D:D)),MAX($C$3:OFFSET(C2325,-1,0))+1,0)</f>
        <v>0</v>
      </c>
      <c r="E2325" s="9" t="str">
        <f t="shared" ca="1" si="48"/>
        <v/>
      </c>
      <c r="F2325" s="4" t="s">
        <v>7</v>
      </c>
      <c r="G2325" s="2">
        <f>IF(ISNUMBER(SEARCH(Лист2!$B$4,F:F)),1,0)</f>
        <v>0</v>
      </c>
      <c r="H2325" s="3">
        <f ca="1">IF(AND(I2325&lt;&gt;I2324,ISNUMBER(SEARCH(Лист2!$B$5,I:I)),G2325=1),MAX($H$3:OFFSET(H2325,-1,0))+1,0)</f>
        <v>0</v>
      </c>
      <c r="I2325" s="3" t="s">
        <v>237</v>
      </c>
      <c r="K2325" s="2">
        <f>IF(ISNUMBER(SEARCH(Лист2!$B$4,F:F)),1,0)</f>
        <v>0</v>
      </c>
      <c r="L2325" s="14">
        <f>IF(ISNUMBER(SEARCH(Лист2!$B$5,I:I)),1,0)+K2325</f>
        <v>0</v>
      </c>
      <c r="M2325" s="3">
        <f ca="1">IF(AND(N2325&lt;&gt;N2324,ISNUMBER(SEARCH(Лист2!$B$6,N:N)),L2325=2),MAX($M$3:OFFSET(M2325,-1,0))+1,0)</f>
        <v>0</v>
      </c>
      <c r="N2325" s="3" t="s">
        <v>1763</v>
      </c>
    </row>
    <row r="2326" spans="1:14" x14ac:dyDescent="0.25">
      <c r="A2326" s="1" t="s">
        <v>11474</v>
      </c>
      <c r="B2326" s="3" t="s">
        <v>5950</v>
      </c>
      <c r="C2326" s="2">
        <f ca="1">IF(ISNUMBER(SEARCH(Лист2!$B$4,D:D)),MAX($C$3:OFFSET(C2326,-1,0))+1,0)</f>
        <v>0</v>
      </c>
      <c r="E2326" s="9" t="str">
        <f t="shared" ca="1" si="48"/>
        <v/>
      </c>
      <c r="F2326" s="4" t="s">
        <v>7</v>
      </c>
      <c r="G2326" s="2">
        <f>IF(ISNUMBER(SEARCH(Лист2!$B$4,F:F)),1,0)</f>
        <v>0</v>
      </c>
      <c r="H2326" s="3">
        <f ca="1">IF(AND(I2326&lt;&gt;I2325,ISNUMBER(SEARCH(Лист2!$B$5,I:I)),G2326=1),MAX($H$3:OFFSET(H2326,-1,0))+1,0)</f>
        <v>0</v>
      </c>
      <c r="I2326" s="3" t="s">
        <v>237</v>
      </c>
      <c r="K2326" s="2">
        <f>IF(ISNUMBER(SEARCH(Лист2!$B$4,F:F)),1,0)</f>
        <v>0</v>
      </c>
      <c r="L2326" s="14">
        <f>IF(ISNUMBER(SEARCH(Лист2!$B$5,I:I)),1,0)+K2326</f>
        <v>0</v>
      </c>
      <c r="M2326" s="3">
        <f ca="1">IF(AND(N2326&lt;&gt;N2325,ISNUMBER(SEARCH(Лист2!$B$6,N:N)),L2326=2),MAX($M$3:OFFSET(M2326,-1,0))+1,0)</f>
        <v>0</v>
      </c>
      <c r="N2326" s="3" t="s">
        <v>1764</v>
      </c>
    </row>
    <row r="2327" spans="1:14" x14ac:dyDescent="0.25">
      <c r="A2327" s="1" t="s">
        <v>11475</v>
      </c>
      <c r="B2327" s="3" t="s">
        <v>5951</v>
      </c>
      <c r="C2327" s="2">
        <f ca="1">IF(ISNUMBER(SEARCH(Лист2!$B$4,D:D)),MAX($C$3:OFFSET(C2327,-1,0))+1,0)</f>
        <v>0</v>
      </c>
      <c r="E2327" s="9" t="str">
        <f t="shared" ca="1" si="48"/>
        <v/>
      </c>
      <c r="F2327" s="4" t="s">
        <v>7</v>
      </c>
      <c r="G2327" s="2">
        <f>IF(ISNUMBER(SEARCH(Лист2!$B$4,F:F)),1,0)</f>
        <v>0</v>
      </c>
      <c r="H2327" s="3">
        <f ca="1">IF(AND(I2327&lt;&gt;I2326,ISNUMBER(SEARCH(Лист2!$B$5,I:I)),G2327=1),MAX($H$3:OFFSET(H2327,-1,0))+1,0)</f>
        <v>0</v>
      </c>
      <c r="I2327" s="3" t="s">
        <v>237</v>
      </c>
      <c r="K2327" s="2">
        <f>IF(ISNUMBER(SEARCH(Лист2!$B$4,F:F)),1,0)</f>
        <v>0</v>
      </c>
      <c r="L2327" s="14">
        <f>IF(ISNUMBER(SEARCH(Лист2!$B$5,I:I)),1,0)+K2327</f>
        <v>0</v>
      </c>
      <c r="M2327" s="3">
        <f ca="1">IF(AND(N2327&lt;&gt;N2326,ISNUMBER(SEARCH(Лист2!$B$6,N:N)),L2327=2),MAX($M$3:OFFSET(M2327,-1,0))+1,0)</f>
        <v>0</v>
      </c>
      <c r="N2327" s="3" t="s">
        <v>1765</v>
      </c>
    </row>
    <row r="2328" spans="1:14" x14ac:dyDescent="0.25">
      <c r="A2328" s="1" t="s">
        <v>11476</v>
      </c>
      <c r="B2328" s="3" t="s">
        <v>5952</v>
      </c>
      <c r="C2328" s="2">
        <f ca="1">IF(ISNUMBER(SEARCH(Лист2!$B$4,D:D)),MAX($C$3:OFFSET(C2328,-1,0))+1,0)</f>
        <v>0</v>
      </c>
      <c r="E2328" s="9" t="str">
        <f t="shared" ca="1" si="48"/>
        <v/>
      </c>
      <c r="F2328" s="4" t="s">
        <v>7</v>
      </c>
      <c r="G2328" s="2">
        <f>IF(ISNUMBER(SEARCH(Лист2!$B$4,F:F)),1,0)</f>
        <v>0</v>
      </c>
      <c r="H2328" s="3">
        <f ca="1">IF(AND(I2328&lt;&gt;I2327,ISNUMBER(SEARCH(Лист2!$B$5,I:I)),G2328=1),MAX($H$3:OFFSET(H2328,-1,0))+1,0)</f>
        <v>0</v>
      </c>
      <c r="I2328" s="3" t="s">
        <v>238</v>
      </c>
      <c r="K2328" s="2">
        <f>IF(ISNUMBER(SEARCH(Лист2!$B$4,F:F)),1,0)</f>
        <v>0</v>
      </c>
      <c r="L2328" s="14">
        <f>IF(ISNUMBER(SEARCH(Лист2!$B$5,I:I)),1,0)+K2328</f>
        <v>0</v>
      </c>
      <c r="M2328" s="3">
        <f ca="1">IF(AND(N2328&lt;&gt;N2327,ISNUMBER(SEARCH(Лист2!$B$6,N:N)),L2328=2),MAX($M$3:OFFSET(M2328,-1,0))+1,0)</f>
        <v>0</v>
      </c>
      <c r="N2328" s="3" t="s">
        <v>1766</v>
      </c>
    </row>
    <row r="2329" spans="1:14" x14ac:dyDescent="0.25">
      <c r="A2329" s="1" t="s">
        <v>11476</v>
      </c>
      <c r="B2329" s="3" t="s">
        <v>5953</v>
      </c>
      <c r="C2329" s="2">
        <f ca="1">IF(ISNUMBER(SEARCH(Лист2!$B$4,D:D)),MAX($C$3:OFFSET(C2329,-1,0))+1,0)</f>
        <v>0</v>
      </c>
      <c r="E2329" s="9" t="str">
        <f t="shared" ca="1" si="48"/>
        <v/>
      </c>
      <c r="F2329" s="4" t="s">
        <v>7</v>
      </c>
      <c r="G2329" s="2">
        <f>IF(ISNUMBER(SEARCH(Лист2!$B$4,F:F)),1,0)</f>
        <v>0</v>
      </c>
      <c r="H2329" s="3">
        <f ca="1">IF(AND(I2329&lt;&gt;I2328,ISNUMBER(SEARCH(Лист2!$B$5,I:I)),G2329=1),MAX($H$3:OFFSET(H2329,-1,0))+1,0)</f>
        <v>0</v>
      </c>
      <c r="I2329" s="3" t="s">
        <v>238</v>
      </c>
      <c r="K2329" s="2">
        <f>IF(ISNUMBER(SEARCH(Лист2!$B$4,F:F)),1,0)</f>
        <v>0</v>
      </c>
      <c r="L2329" s="14">
        <f>IF(ISNUMBER(SEARCH(Лист2!$B$5,I:I)),1,0)+K2329</f>
        <v>0</v>
      </c>
      <c r="M2329" s="3">
        <f ca="1">IF(AND(N2329&lt;&gt;N2328,ISNUMBER(SEARCH(Лист2!$B$6,N:N)),L2329=2),MAX($M$3:OFFSET(M2329,-1,0))+1,0)</f>
        <v>0</v>
      </c>
      <c r="N2329" s="3" t="s">
        <v>1766</v>
      </c>
    </row>
    <row r="2330" spans="1:14" x14ac:dyDescent="0.25">
      <c r="A2330" s="1" t="s">
        <v>11476</v>
      </c>
      <c r="B2330" s="3" t="s">
        <v>5954</v>
      </c>
      <c r="C2330" s="2">
        <f ca="1">IF(ISNUMBER(SEARCH(Лист2!$B$4,D:D)),MAX($C$3:OFFSET(C2330,-1,0))+1,0)</f>
        <v>0</v>
      </c>
      <c r="E2330" s="9" t="str">
        <f t="shared" ca="1" si="48"/>
        <v/>
      </c>
      <c r="F2330" s="4" t="s">
        <v>7</v>
      </c>
      <c r="G2330" s="2">
        <f>IF(ISNUMBER(SEARCH(Лист2!$B$4,F:F)),1,0)</f>
        <v>0</v>
      </c>
      <c r="H2330" s="3">
        <f ca="1">IF(AND(I2330&lt;&gt;I2329,ISNUMBER(SEARCH(Лист2!$B$5,I:I)),G2330=1),MAX($H$3:OFFSET(H2330,-1,0))+1,0)</f>
        <v>0</v>
      </c>
      <c r="I2330" s="3" t="s">
        <v>238</v>
      </c>
      <c r="K2330" s="2">
        <f>IF(ISNUMBER(SEARCH(Лист2!$B$4,F:F)),1,0)</f>
        <v>0</v>
      </c>
      <c r="L2330" s="14">
        <f>IF(ISNUMBER(SEARCH(Лист2!$B$5,I:I)),1,0)+K2330</f>
        <v>0</v>
      </c>
      <c r="M2330" s="3">
        <f ca="1">IF(AND(N2330&lt;&gt;N2329,ISNUMBER(SEARCH(Лист2!$B$6,N:N)),L2330=2),MAX($M$3:OFFSET(M2330,-1,0))+1,0)</f>
        <v>0</v>
      </c>
      <c r="N2330" s="3" t="s">
        <v>1766</v>
      </c>
    </row>
    <row r="2331" spans="1:14" x14ac:dyDescent="0.25">
      <c r="A2331" s="1" t="s">
        <v>11477</v>
      </c>
      <c r="B2331" s="3" t="s">
        <v>5955</v>
      </c>
      <c r="C2331" s="2">
        <f ca="1">IF(ISNUMBER(SEARCH(Лист2!$B$4,D:D)),MAX($C$3:OFFSET(C2331,-1,0))+1,0)</f>
        <v>0</v>
      </c>
      <c r="E2331" s="9" t="str">
        <f t="shared" ca="1" si="48"/>
        <v/>
      </c>
      <c r="F2331" s="4" t="s">
        <v>7</v>
      </c>
      <c r="G2331" s="2">
        <f>IF(ISNUMBER(SEARCH(Лист2!$B$4,F:F)),1,0)</f>
        <v>0</v>
      </c>
      <c r="H2331" s="3">
        <f ca="1">IF(AND(I2331&lt;&gt;I2330,ISNUMBER(SEARCH(Лист2!$B$5,I:I)),G2331=1),MAX($H$3:OFFSET(H2331,-1,0))+1,0)</f>
        <v>0</v>
      </c>
      <c r="I2331" s="3" t="s">
        <v>238</v>
      </c>
      <c r="K2331" s="2">
        <f>IF(ISNUMBER(SEARCH(Лист2!$B$4,F:F)),1,0)</f>
        <v>0</v>
      </c>
      <c r="L2331" s="14">
        <f>IF(ISNUMBER(SEARCH(Лист2!$B$5,I:I)),1,0)+K2331</f>
        <v>0</v>
      </c>
      <c r="M2331" s="3">
        <f ca="1">IF(AND(N2331&lt;&gt;N2330,ISNUMBER(SEARCH(Лист2!$B$6,N:N)),L2331=2),MAX($M$3:OFFSET(M2331,-1,0))+1,0)</f>
        <v>0</v>
      </c>
      <c r="N2331" s="3" t="s">
        <v>1767</v>
      </c>
    </row>
    <row r="2332" spans="1:14" x14ac:dyDescent="0.25">
      <c r="A2332" s="1" t="s">
        <v>11477</v>
      </c>
      <c r="B2332" s="3" t="s">
        <v>5956</v>
      </c>
      <c r="C2332" s="2">
        <f ca="1">IF(ISNUMBER(SEARCH(Лист2!$B$4,D:D)),MAX($C$3:OFFSET(C2332,-1,0))+1,0)</f>
        <v>0</v>
      </c>
      <c r="E2332" s="9" t="str">
        <f t="shared" ca="1" si="48"/>
        <v/>
      </c>
      <c r="F2332" s="4" t="s">
        <v>7</v>
      </c>
      <c r="G2332" s="2">
        <f>IF(ISNUMBER(SEARCH(Лист2!$B$4,F:F)),1,0)</f>
        <v>0</v>
      </c>
      <c r="H2332" s="3">
        <f ca="1">IF(AND(I2332&lt;&gt;I2331,ISNUMBER(SEARCH(Лист2!$B$5,I:I)),G2332=1),MAX($H$3:OFFSET(H2332,-1,0))+1,0)</f>
        <v>0</v>
      </c>
      <c r="I2332" s="3" t="s">
        <v>238</v>
      </c>
      <c r="K2332" s="2">
        <f>IF(ISNUMBER(SEARCH(Лист2!$B$4,F:F)),1,0)</f>
        <v>0</v>
      </c>
      <c r="L2332" s="14">
        <f>IF(ISNUMBER(SEARCH(Лист2!$B$5,I:I)),1,0)+K2332</f>
        <v>0</v>
      </c>
      <c r="M2332" s="3">
        <f ca="1">IF(AND(N2332&lt;&gt;N2331,ISNUMBER(SEARCH(Лист2!$B$6,N:N)),L2332=2),MAX($M$3:OFFSET(M2332,-1,0))+1,0)</f>
        <v>0</v>
      </c>
      <c r="N2332" s="3" t="s">
        <v>1767</v>
      </c>
    </row>
    <row r="2333" spans="1:14" x14ac:dyDescent="0.25">
      <c r="A2333" s="1" t="s">
        <v>11477</v>
      </c>
      <c r="B2333" s="3" t="s">
        <v>5957</v>
      </c>
      <c r="C2333" s="2">
        <f ca="1">IF(ISNUMBER(SEARCH(Лист2!$B$4,D:D)),MAX($C$3:OFFSET(C2333,-1,0))+1,0)</f>
        <v>0</v>
      </c>
      <c r="E2333" s="9" t="str">
        <f t="shared" ca="1" si="48"/>
        <v/>
      </c>
      <c r="F2333" s="4" t="s">
        <v>7</v>
      </c>
      <c r="G2333" s="2">
        <f>IF(ISNUMBER(SEARCH(Лист2!$B$4,F:F)),1,0)</f>
        <v>0</v>
      </c>
      <c r="H2333" s="3">
        <f ca="1">IF(AND(I2333&lt;&gt;I2332,ISNUMBER(SEARCH(Лист2!$B$5,I:I)),G2333=1),MAX($H$3:OFFSET(H2333,-1,0))+1,0)</f>
        <v>0</v>
      </c>
      <c r="I2333" s="3" t="s">
        <v>238</v>
      </c>
      <c r="K2333" s="2">
        <f>IF(ISNUMBER(SEARCH(Лист2!$B$4,F:F)),1,0)</f>
        <v>0</v>
      </c>
      <c r="L2333" s="14">
        <f>IF(ISNUMBER(SEARCH(Лист2!$B$5,I:I)),1,0)+K2333</f>
        <v>0</v>
      </c>
      <c r="M2333" s="3">
        <f ca="1">IF(AND(N2333&lt;&gt;N2332,ISNUMBER(SEARCH(Лист2!$B$6,N:N)),L2333=2),MAX($M$3:OFFSET(M2333,-1,0))+1,0)</f>
        <v>0</v>
      </c>
      <c r="N2333" s="3" t="s">
        <v>1767</v>
      </c>
    </row>
    <row r="2334" spans="1:14" x14ac:dyDescent="0.25">
      <c r="A2334" s="1" t="s">
        <v>11478</v>
      </c>
      <c r="B2334" s="3" t="s">
        <v>5958</v>
      </c>
      <c r="C2334" s="2">
        <f ca="1">IF(ISNUMBER(SEARCH(Лист2!$B$4,D:D)),MAX($C$3:OFFSET(C2334,-1,0))+1,0)</f>
        <v>0</v>
      </c>
      <c r="E2334" s="9" t="str">
        <f t="shared" ca="1" si="48"/>
        <v/>
      </c>
      <c r="F2334" s="4" t="s">
        <v>7</v>
      </c>
      <c r="G2334" s="2">
        <f>IF(ISNUMBER(SEARCH(Лист2!$B$4,F:F)),1,0)</f>
        <v>0</v>
      </c>
      <c r="H2334" s="3">
        <f ca="1">IF(AND(I2334&lt;&gt;I2333,ISNUMBER(SEARCH(Лист2!$B$5,I:I)),G2334=1),MAX($H$3:OFFSET(H2334,-1,0))+1,0)</f>
        <v>0</v>
      </c>
      <c r="I2334" s="3" t="s">
        <v>238</v>
      </c>
      <c r="K2334" s="2">
        <f>IF(ISNUMBER(SEARCH(Лист2!$B$4,F:F)),1,0)</f>
        <v>0</v>
      </c>
      <c r="L2334" s="14">
        <f>IF(ISNUMBER(SEARCH(Лист2!$B$5,I:I)),1,0)+K2334</f>
        <v>0</v>
      </c>
      <c r="M2334" s="3">
        <f ca="1">IF(AND(N2334&lt;&gt;N2333,ISNUMBER(SEARCH(Лист2!$B$6,N:N)),L2334=2),MAX($M$3:OFFSET(M2334,-1,0))+1,0)</f>
        <v>0</v>
      </c>
      <c r="N2334" s="3" t="s">
        <v>1768</v>
      </c>
    </row>
    <row r="2335" spans="1:14" x14ac:dyDescent="0.25">
      <c r="A2335" s="1" t="s">
        <v>11479</v>
      </c>
      <c r="B2335" s="3" t="s">
        <v>5959</v>
      </c>
      <c r="C2335" s="2">
        <f ca="1">IF(ISNUMBER(SEARCH(Лист2!$B$4,D:D)),MAX($C$3:OFFSET(C2335,-1,0))+1,0)</f>
        <v>0</v>
      </c>
      <c r="E2335" s="9" t="str">
        <f t="shared" ca="1" si="48"/>
        <v/>
      </c>
      <c r="F2335" s="4" t="s">
        <v>7</v>
      </c>
      <c r="G2335" s="2">
        <f>IF(ISNUMBER(SEARCH(Лист2!$B$4,F:F)),1,0)</f>
        <v>0</v>
      </c>
      <c r="H2335" s="3">
        <f ca="1">IF(AND(I2335&lt;&gt;I2334,ISNUMBER(SEARCH(Лист2!$B$5,I:I)),G2335=1),MAX($H$3:OFFSET(H2335,-1,0))+1,0)</f>
        <v>0</v>
      </c>
      <c r="I2335" s="3" t="s">
        <v>238</v>
      </c>
      <c r="K2335" s="2">
        <f>IF(ISNUMBER(SEARCH(Лист2!$B$4,F:F)),1,0)</f>
        <v>0</v>
      </c>
      <c r="L2335" s="14">
        <f>IF(ISNUMBER(SEARCH(Лист2!$B$5,I:I)),1,0)+K2335</f>
        <v>0</v>
      </c>
      <c r="M2335" s="3">
        <f ca="1">IF(AND(N2335&lt;&gt;N2334,ISNUMBER(SEARCH(Лист2!$B$6,N:N)),L2335=2),MAX($M$3:OFFSET(M2335,-1,0))+1,0)</f>
        <v>0</v>
      </c>
      <c r="N2335" s="3" t="s">
        <v>1769</v>
      </c>
    </row>
    <row r="2336" spans="1:14" x14ac:dyDescent="0.25">
      <c r="A2336" s="1" t="s">
        <v>11480</v>
      </c>
      <c r="B2336" s="3" t="s">
        <v>5960</v>
      </c>
      <c r="C2336" s="2">
        <f ca="1">IF(ISNUMBER(SEARCH(Лист2!$B$4,D:D)),MAX($C$3:OFFSET(C2336,-1,0))+1,0)</f>
        <v>0</v>
      </c>
      <c r="E2336" s="9" t="str">
        <f t="shared" ca="1" si="48"/>
        <v/>
      </c>
      <c r="F2336" s="4" t="s">
        <v>7</v>
      </c>
      <c r="G2336" s="2">
        <f>IF(ISNUMBER(SEARCH(Лист2!$B$4,F:F)),1,0)</f>
        <v>0</v>
      </c>
      <c r="H2336" s="3">
        <f ca="1">IF(AND(I2336&lt;&gt;I2335,ISNUMBER(SEARCH(Лист2!$B$5,I:I)),G2336=1),MAX($H$3:OFFSET(H2336,-1,0))+1,0)</f>
        <v>0</v>
      </c>
      <c r="I2336" s="3" t="s">
        <v>238</v>
      </c>
      <c r="K2336" s="2">
        <f>IF(ISNUMBER(SEARCH(Лист2!$B$4,F:F)),1,0)</f>
        <v>0</v>
      </c>
      <c r="L2336" s="14">
        <f>IF(ISNUMBER(SEARCH(Лист2!$B$5,I:I)),1,0)+K2336</f>
        <v>0</v>
      </c>
      <c r="M2336" s="3">
        <f ca="1">IF(AND(N2336&lt;&gt;N2335,ISNUMBER(SEARCH(Лист2!$B$6,N:N)),L2336=2),MAX($M$3:OFFSET(M2336,-1,0))+1,0)</f>
        <v>0</v>
      </c>
      <c r="N2336" s="3" t="s">
        <v>1770</v>
      </c>
    </row>
    <row r="2337" spans="1:14" x14ac:dyDescent="0.25">
      <c r="A2337" s="1" t="s">
        <v>11481</v>
      </c>
      <c r="B2337" s="3" t="s">
        <v>5961</v>
      </c>
      <c r="C2337" s="2">
        <f ca="1">IF(ISNUMBER(SEARCH(Лист2!$B$4,D:D)),MAX($C$3:OFFSET(C2337,-1,0))+1,0)</f>
        <v>0</v>
      </c>
      <c r="E2337" s="9" t="str">
        <f t="shared" ca="1" si="48"/>
        <v/>
      </c>
      <c r="F2337" s="4" t="s">
        <v>7</v>
      </c>
      <c r="G2337" s="2">
        <f>IF(ISNUMBER(SEARCH(Лист2!$B$4,F:F)),1,0)</f>
        <v>0</v>
      </c>
      <c r="H2337" s="3">
        <f ca="1">IF(AND(I2337&lt;&gt;I2336,ISNUMBER(SEARCH(Лист2!$B$5,I:I)),G2337=1),MAX($H$3:OFFSET(H2337,-1,0))+1,0)</f>
        <v>0</v>
      </c>
      <c r="I2337" s="3" t="s">
        <v>238</v>
      </c>
      <c r="K2337" s="2">
        <f>IF(ISNUMBER(SEARCH(Лист2!$B$4,F:F)),1,0)</f>
        <v>0</v>
      </c>
      <c r="L2337" s="14">
        <f>IF(ISNUMBER(SEARCH(Лист2!$B$5,I:I)),1,0)+K2337</f>
        <v>0</v>
      </c>
      <c r="M2337" s="3">
        <f ca="1">IF(AND(N2337&lt;&gt;N2336,ISNUMBER(SEARCH(Лист2!$B$6,N:N)),L2337=2),MAX($M$3:OFFSET(M2337,-1,0))+1,0)</f>
        <v>0</v>
      </c>
      <c r="N2337" s="3" t="s">
        <v>1735</v>
      </c>
    </row>
    <row r="2338" spans="1:14" x14ac:dyDescent="0.25">
      <c r="A2338" s="1" t="s">
        <v>11482</v>
      </c>
      <c r="B2338" s="3" t="s">
        <v>5962</v>
      </c>
      <c r="C2338" s="2">
        <f ca="1">IF(ISNUMBER(SEARCH(Лист2!$B$4,D:D)),MAX($C$3:OFFSET(C2338,-1,0))+1,0)</f>
        <v>0</v>
      </c>
      <c r="E2338" s="9" t="str">
        <f t="shared" ca="1" si="48"/>
        <v/>
      </c>
      <c r="F2338" s="4" t="s">
        <v>7</v>
      </c>
      <c r="G2338" s="2">
        <f>IF(ISNUMBER(SEARCH(Лист2!$B$4,F:F)),1,0)</f>
        <v>0</v>
      </c>
      <c r="H2338" s="3">
        <f ca="1">IF(AND(I2338&lt;&gt;I2337,ISNUMBER(SEARCH(Лист2!$B$5,I:I)),G2338=1),MAX($H$3:OFFSET(H2338,-1,0))+1,0)</f>
        <v>0</v>
      </c>
      <c r="I2338" s="3" t="s">
        <v>238</v>
      </c>
      <c r="K2338" s="2">
        <f>IF(ISNUMBER(SEARCH(Лист2!$B$4,F:F)),1,0)</f>
        <v>0</v>
      </c>
      <c r="L2338" s="14">
        <f>IF(ISNUMBER(SEARCH(Лист2!$B$5,I:I)),1,0)+K2338</f>
        <v>0</v>
      </c>
      <c r="M2338" s="3">
        <f ca="1">IF(AND(N2338&lt;&gt;N2337,ISNUMBER(SEARCH(Лист2!$B$6,N:N)),L2338=2),MAX($M$3:OFFSET(M2338,-1,0))+1,0)</f>
        <v>0</v>
      </c>
      <c r="N2338" s="3" t="s">
        <v>1690</v>
      </c>
    </row>
    <row r="2339" spans="1:14" x14ac:dyDescent="0.25">
      <c r="A2339" s="1" t="s">
        <v>11483</v>
      </c>
      <c r="B2339" s="3" t="s">
        <v>5963</v>
      </c>
      <c r="C2339" s="2">
        <f ca="1">IF(ISNUMBER(SEARCH(Лист2!$B$4,D:D)),MAX($C$3:OFFSET(C2339,-1,0))+1,0)</f>
        <v>0</v>
      </c>
      <c r="E2339" s="9" t="str">
        <f t="shared" ca="1" si="48"/>
        <v/>
      </c>
      <c r="F2339" s="4" t="s">
        <v>7</v>
      </c>
      <c r="G2339" s="2">
        <f>IF(ISNUMBER(SEARCH(Лист2!$B$4,F:F)),1,0)</f>
        <v>0</v>
      </c>
      <c r="H2339" s="3">
        <f ca="1">IF(AND(I2339&lt;&gt;I2338,ISNUMBER(SEARCH(Лист2!$B$5,I:I)),G2339=1),MAX($H$3:OFFSET(H2339,-1,0))+1,0)</f>
        <v>0</v>
      </c>
      <c r="I2339" s="3" t="s">
        <v>238</v>
      </c>
      <c r="K2339" s="2">
        <f>IF(ISNUMBER(SEARCH(Лист2!$B$4,F:F)),1,0)</f>
        <v>0</v>
      </c>
      <c r="L2339" s="14">
        <f>IF(ISNUMBER(SEARCH(Лист2!$B$5,I:I)),1,0)+K2339</f>
        <v>0</v>
      </c>
      <c r="M2339" s="3">
        <f ca="1">IF(AND(N2339&lt;&gt;N2338,ISNUMBER(SEARCH(Лист2!$B$6,N:N)),L2339=2),MAX($M$3:OFFSET(M2339,-1,0))+1,0)</f>
        <v>0</v>
      </c>
      <c r="N2339" s="3" t="s">
        <v>1760</v>
      </c>
    </row>
    <row r="2340" spans="1:14" x14ac:dyDescent="0.25">
      <c r="A2340" s="1" t="s">
        <v>11484</v>
      </c>
      <c r="B2340" s="3" t="s">
        <v>5964</v>
      </c>
      <c r="C2340" s="2">
        <f ca="1">IF(ISNUMBER(SEARCH(Лист2!$B$4,D:D)),MAX($C$3:OFFSET(C2340,-1,0))+1,0)</f>
        <v>0</v>
      </c>
      <c r="E2340" s="9" t="str">
        <f t="shared" ca="1" si="48"/>
        <v/>
      </c>
      <c r="F2340" s="4" t="s">
        <v>7</v>
      </c>
      <c r="G2340" s="2">
        <f>IF(ISNUMBER(SEARCH(Лист2!$B$4,F:F)),1,0)</f>
        <v>0</v>
      </c>
      <c r="H2340" s="3">
        <f ca="1">IF(AND(I2340&lt;&gt;I2339,ISNUMBER(SEARCH(Лист2!$B$5,I:I)),G2340=1),MAX($H$3:OFFSET(H2340,-1,0))+1,0)</f>
        <v>0</v>
      </c>
      <c r="I2340" s="3" t="s">
        <v>238</v>
      </c>
      <c r="K2340" s="2">
        <f>IF(ISNUMBER(SEARCH(Лист2!$B$4,F:F)),1,0)</f>
        <v>0</v>
      </c>
      <c r="L2340" s="14">
        <f>IF(ISNUMBER(SEARCH(Лист2!$B$5,I:I)),1,0)+K2340</f>
        <v>0</v>
      </c>
      <c r="M2340" s="3">
        <f ca="1">IF(AND(N2340&lt;&gt;N2339,ISNUMBER(SEARCH(Лист2!$B$6,N:N)),L2340=2),MAX($M$3:OFFSET(M2340,-1,0))+1,0)</f>
        <v>0</v>
      </c>
      <c r="N2340" s="3" t="s">
        <v>1737</v>
      </c>
    </row>
    <row r="2341" spans="1:14" x14ac:dyDescent="0.25">
      <c r="A2341" s="1" t="s">
        <v>11485</v>
      </c>
      <c r="B2341" s="3" t="s">
        <v>5965</v>
      </c>
      <c r="C2341" s="2">
        <f ca="1">IF(ISNUMBER(SEARCH(Лист2!$B$4,D:D)),MAX($C$3:OFFSET(C2341,-1,0))+1,0)</f>
        <v>0</v>
      </c>
      <c r="E2341" s="9" t="str">
        <f t="shared" ca="1" si="48"/>
        <v/>
      </c>
      <c r="F2341" s="4" t="s">
        <v>7</v>
      </c>
      <c r="G2341" s="2">
        <f>IF(ISNUMBER(SEARCH(Лист2!$B$4,F:F)),1,0)</f>
        <v>0</v>
      </c>
      <c r="H2341" s="3">
        <f ca="1">IF(AND(I2341&lt;&gt;I2340,ISNUMBER(SEARCH(Лист2!$B$5,I:I)),G2341=1),MAX($H$3:OFFSET(H2341,-1,0))+1,0)</f>
        <v>0</v>
      </c>
      <c r="I2341" s="3" t="s">
        <v>238</v>
      </c>
      <c r="K2341" s="2">
        <f>IF(ISNUMBER(SEARCH(Лист2!$B$4,F:F)),1,0)</f>
        <v>0</v>
      </c>
      <c r="L2341" s="14">
        <f>IF(ISNUMBER(SEARCH(Лист2!$B$5,I:I)),1,0)+K2341</f>
        <v>0</v>
      </c>
      <c r="M2341" s="3">
        <f ca="1">IF(AND(N2341&lt;&gt;N2340,ISNUMBER(SEARCH(Лист2!$B$6,N:N)),L2341=2),MAX($M$3:OFFSET(M2341,-1,0))+1,0)</f>
        <v>0</v>
      </c>
      <c r="N2341" s="3" t="s">
        <v>1678</v>
      </c>
    </row>
    <row r="2342" spans="1:14" x14ac:dyDescent="0.25">
      <c r="A2342" s="1" t="s">
        <v>11486</v>
      </c>
      <c r="B2342" s="3" t="s">
        <v>5966</v>
      </c>
      <c r="C2342" s="2">
        <f ca="1">IF(ISNUMBER(SEARCH(Лист2!$B$4,D:D)),MAX($C$3:OFFSET(C2342,-1,0))+1,0)</f>
        <v>0</v>
      </c>
      <c r="E2342" s="9" t="str">
        <f t="shared" ca="1" si="48"/>
        <v/>
      </c>
      <c r="F2342" s="4" t="s">
        <v>7</v>
      </c>
      <c r="G2342" s="2">
        <f>IF(ISNUMBER(SEARCH(Лист2!$B$4,F:F)),1,0)</f>
        <v>0</v>
      </c>
      <c r="H2342" s="3">
        <f ca="1">IF(AND(I2342&lt;&gt;I2341,ISNUMBER(SEARCH(Лист2!$B$5,I:I)),G2342=1),MAX($H$3:OFFSET(H2342,-1,0))+1,0)</f>
        <v>0</v>
      </c>
      <c r="I2342" s="3" t="s">
        <v>238</v>
      </c>
      <c r="K2342" s="2">
        <f>IF(ISNUMBER(SEARCH(Лист2!$B$4,F:F)),1,0)</f>
        <v>0</v>
      </c>
      <c r="L2342" s="14">
        <f>IF(ISNUMBER(SEARCH(Лист2!$B$5,I:I)),1,0)+K2342</f>
        <v>0</v>
      </c>
      <c r="M2342" s="3">
        <f ca="1">IF(AND(N2342&lt;&gt;N2341,ISNUMBER(SEARCH(Лист2!$B$6,N:N)),L2342=2),MAX($M$3:OFFSET(M2342,-1,0))+1,0)</f>
        <v>0</v>
      </c>
      <c r="N2342" s="3" t="s">
        <v>602</v>
      </c>
    </row>
    <row r="2343" spans="1:14" x14ac:dyDescent="0.25">
      <c r="A2343" s="1" t="s">
        <v>11487</v>
      </c>
      <c r="B2343" s="3" t="s">
        <v>5967</v>
      </c>
      <c r="C2343" s="2">
        <f ca="1">IF(ISNUMBER(SEARCH(Лист2!$B$4,D:D)),MAX($C$3:OFFSET(C2343,-1,0))+1,0)</f>
        <v>0</v>
      </c>
      <c r="E2343" s="9" t="str">
        <f t="shared" ca="1" si="48"/>
        <v/>
      </c>
      <c r="F2343" s="4" t="s">
        <v>7</v>
      </c>
      <c r="G2343" s="2">
        <f>IF(ISNUMBER(SEARCH(Лист2!$B$4,F:F)),1,0)</f>
        <v>0</v>
      </c>
      <c r="H2343" s="3">
        <f ca="1">IF(AND(I2343&lt;&gt;I2342,ISNUMBER(SEARCH(Лист2!$B$5,I:I)),G2343=1),MAX($H$3:OFFSET(H2343,-1,0))+1,0)</f>
        <v>0</v>
      </c>
      <c r="I2343" s="3" t="s">
        <v>238</v>
      </c>
      <c r="K2343" s="2">
        <f>IF(ISNUMBER(SEARCH(Лист2!$B$4,F:F)),1,0)</f>
        <v>0</v>
      </c>
      <c r="L2343" s="14">
        <f>IF(ISNUMBER(SEARCH(Лист2!$B$5,I:I)),1,0)+K2343</f>
        <v>0</v>
      </c>
      <c r="M2343" s="3">
        <f ca="1">IF(AND(N2343&lt;&gt;N2342,ISNUMBER(SEARCH(Лист2!$B$6,N:N)),L2343=2),MAX($M$3:OFFSET(M2343,-1,0))+1,0)</f>
        <v>0</v>
      </c>
      <c r="N2343" s="3" t="s">
        <v>1771</v>
      </c>
    </row>
    <row r="2344" spans="1:14" x14ac:dyDescent="0.25">
      <c r="A2344" s="1" t="s">
        <v>11488</v>
      </c>
      <c r="B2344" s="3" t="s">
        <v>5968</v>
      </c>
      <c r="C2344" s="2">
        <f ca="1">IF(ISNUMBER(SEARCH(Лист2!$B$4,D:D)),MAX($C$3:OFFSET(C2344,-1,0))+1,0)</f>
        <v>0</v>
      </c>
      <c r="E2344" s="9" t="str">
        <f t="shared" ca="1" si="48"/>
        <v/>
      </c>
      <c r="F2344" s="4" t="s">
        <v>7</v>
      </c>
      <c r="G2344" s="2">
        <f>IF(ISNUMBER(SEARCH(Лист2!$B$4,F:F)),1,0)</f>
        <v>0</v>
      </c>
      <c r="H2344" s="3">
        <f ca="1">IF(AND(I2344&lt;&gt;I2343,ISNUMBER(SEARCH(Лист2!$B$5,I:I)),G2344=1),MAX($H$3:OFFSET(H2344,-1,0))+1,0)</f>
        <v>0</v>
      </c>
      <c r="I2344" s="3" t="s">
        <v>238</v>
      </c>
      <c r="K2344" s="2">
        <f>IF(ISNUMBER(SEARCH(Лист2!$B$4,F:F)),1,0)</f>
        <v>0</v>
      </c>
      <c r="L2344" s="14">
        <f>IF(ISNUMBER(SEARCH(Лист2!$B$5,I:I)),1,0)+K2344</f>
        <v>0</v>
      </c>
      <c r="M2344" s="3">
        <f ca="1">IF(AND(N2344&lt;&gt;N2343,ISNUMBER(SEARCH(Лист2!$B$6,N:N)),L2344=2),MAX($M$3:OFFSET(M2344,-1,0))+1,0)</f>
        <v>0</v>
      </c>
      <c r="N2344" s="3" t="s">
        <v>1772</v>
      </c>
    </row>
    <row r="2345" spans="1:14" x14ac:dyDescent="0.25">
      <c r="A2345" s="1" t="s">
        <v>11489</v>
      </c>
      <c r="B2345" s="3" t="s">
        <v>5969</v>
      </c>
      <c r="C2345" s="2">
        <f ca="1">IF(ISNUMBER(SEARCH(Лист2!$B$4,D:D)),MAX($C$3:OFFSET(C2345,-1,0))+1,0)</f>
        <v>0</v>
      </c>
      <c r="E2345" s="9" t="str">
        <f t="shared" ca="1" si="48"/>
        <v/>
      </c>
      <c r="F2345" s="4" t="s">
        <v>7</v>
      </c>
      <c r="G2345" s="2">
        <f>IF(ISNUMBER(SEARCH(Лист2!$B$4,F:F)),1,0)</f>
        <v>0</v>
      </c>
      <c r="H2345" s="3">
        <f ca="1">IF(AND(I2345&lt;&gt;I2344,ISNUMBER(SEARCH(Лист2!$B$5,I:I)),G2345=1),MAX($H$3:OFFSET(H2345,-1,0))+1,0)</f>
        <v>0</v>
      </c>
      <c r="I2345" s="3" t="s">
        <v>238</v>
      </c>
      <c r="K2345" s="2">
        <f>IF(ISNUMBER(SEARCH(Лист2!$B$4,F:F)),1,0)</f>
        <v>0</v>
      </c>
      <c r="L2345" s="14">
        <f>IF(ISNUMBER(SEARCH(Лист2!$B$5,I:I)),1,0)+K2345</f>
        <v>0</v>
      </c>
      <c r="M2345" s="3">
        <f ca="1">IF(AND(N2345&lt;&gt;N2344,ISNUMBER(SEARCH(Лист2!$B$6,N:N)),L2345=2),MAX($M$3:OFFSET(M2345,-1,0))+1,0)</f>
        <v>0</v>
      </c>
      <c r="N2345" s="3" t="s">
        <v>1773</v>
      </c>
    </row>
    <row r="2346" spans="1:14" x14ac:dyDescent="0.25">
      <c r="A2346" s="1" t="s">
        <v>11490</v>
      </c>
      <c r="B2346" s="3" t="s">
        <v>5970</v>
      </c>
      <c r="C2346" s="2">
        <f ca="1">IF(ISNUMBER(SEARCH(Лист2!$B$4,D:D)),MAX($C$3:OFFSET(C2346,-1,0))+1,0)</f>
        <v>0</v>
      </c>
      <c r="E2346" s="9" t="str">
        <f t="shared" ca="1" si="48"/>
        <v/>
      </c>
      <c r="F2346" s="4" t="s">
        <v>7</v>
      </c>
      <c r="G2346" s="2">
        <f>IF(ISNUMBER(SEARCH(Лист2!$B$4,F:F)),1,0)</f>
        <v>0</v>
      </c>
      <c r="H2346" s="3">
        <f ca="1">IF(AND(I2346&lt;&gt;I2345,ISNUMBER(SEARCH(Лист2!$B$5,I:I)),G2346=1),MAX($H$3:OFFSET(H2346,-1,0))+1,0)</f>
        <v>0</v>
      </c>
      <c r="I2346" s="3" t="s">
        <v>238</v>
      </c>
      <c r="K2346" s="2">
        <f>IF(ISNUMBER(SEARCH(Лист2!$B$4,F:F)),1,0)</f>
        <v>0</v>
      </c>
      <c r="L2346" s="14">
        <f>IF(ISNUMBER(SEARCH(Лист2!$B$5,I:I)),1,0)+K2346</f>
        <v>0</v>
      </c>
      <c r="M2346" s="3">
        <f ca="1">IF(AND(N2346&lt;&gt;N2345,ISNUMBER(SEARCH(Лист2!$B$6,N:N)),L2346=2),MAX($M$3:OFFSET(M2346,-1,0))+1,0)</f>
        <v>0</v>
      </c>
      <c r="N2346" s="3" t="s">
        <v>1774</v>
      </c>
    </row>
    <row r="2347" spans="1:14" x14ac:dyDescent="0.25">
      <c r="A2347" s="1" t="s">
        <v>11491</v>
      </c>
      <c r="B2347" s="3" t="s">
        <v>5971</v>
      </c>
      <c r="C2347" s="2">
        <f ca="1">IF(ISNUMBER(SEARCH(Лист2!$B$4,D:D)),MAX($C$3:OFFSET(C2347,-1,0))+1,0)</f>
        <v>0</v>
      </c>
      <c r="E2347" s="9" t="str">
        <f t="shared" ca="1" si="48"/>
        <v/>
      </c>
      <c r="F2347" s="4" t="s">
        <v>7</v>
      </c>
      <c r="G2347" s="2">
        <f>IF(ISNUMBER(SEARCH(Лист2!$B$4,F:F)),1,0)</f>
        <v>0</v>
      </c>
      <c r="H2347" s="3">
        <f ca="1">IF(AND(I2347&lt;&gt;I2346,ISNUMBER(SEARCH(Лист2!$B$5,I:I)),G2347=1),MAX($H$3:OFFSET(H2347,-1,0))+1,0)</f>
        <v>0</v>
      </c>
      <c r="I2347" s="3" t="s">
        <v>238</v>
      </c>
      <c r="K2347" s="2">
        <f>IF(ISNUMBER(SEARCH(Лист2!$B$4,F:F)),1,0)</f>
        <v>0</v>
      </c>
      <c r="L2347" s="14">
        <f>IF(ISNUMBER(SEARCH(Лист2!$B$5,I:I)),1,0)+K2347</f>
        <v>0</v>
      </c>
      <c r="M2347" s="3">
        <f ca="1">IF(AND(N2347&lt;&gt;N2346,ISNUMBER(SEARCH(Лист2!$B$6,N:N)),L2347=2),MAX($M$3:OFFSET(M2347,-1,0))+1,0)</f>
        <v>0</v>
      </c>
      <c r="N2347" s="3" t="s">
        <v>1775</v>
      </c>
    </row>
    <row r="2348" spans="1:14" x14ac:dyDescent="0.25">
      <c r="A2348" s="1" t="s">
        <v>11492</v>
      </c>
      <c r="B2348" s="3" t="s">
        <v>5972</v>
      </c>
      <c r="C2348" s="2">
        <f ca="1">IF(ISNUMBER(SEARCH(Лист2!$B$4,D:D)),MAX($C$3:OFFSET(C2348,-1,0))+1,0)</f>
        <v>0</v>
      </c>
      <c r="E2348" s="9" t="str">
        <f t="shared" ca="1" si="48"/>
        <v/>
      </c>
      <c r="F2348" s="4" t="s">
        <v>7</v>
      </c>
      <c r="G2348" s="2">
        <f>IF(ISNUMBER(SEARCH(Лист2!$B$4,F:F)),1,0)</f>
        <v>0</v>
      </c>
      <c r="H2348" s="3">
        <f ca="1">IF(AND(I2348&lt;&gt;I2347,ISNUMBER(SEARCH(Лист2!$B$5,I:I)),G2348=1),MAX($H$3:OFFSET(H2348,-1,0))+1,0)</f>
        <v>0</v>
      </c>
      <c r="I2348" s="3" t="s">
        <v>239</v>
      </c>
      <c r="K2348" s="2">
        <f>IF(ISNUMBER(SEARCH(Лист2!$B$4,F:F)),1,0)</f>
        <v>0</v>
      </c>
      <c r="L2348" s="14">
        <f>IF(ISNUMBER(SEARCH(Лист2!$B$5,I:I)),1,0)+K2348</f>
        <v>0</v>
      </c>
      <c r="M2348" s="3">
        <f ca="1">IF(AND(N2348&lt;&gt;N2347,ISNUMBER(SEARCH(Лист2!$B$6,N:N)),L2348=2),MAX($M$3:OFFSET(M2348,-1,0))+1,0)</f>
        <v>0</v>
      </c>
      <c r="N2348" s="3" t="s">
        <v>1776</v>
      </c>
    </row>
    <row r="2349" spans="1:14" x14ac:dyDescent="0.25">
      <c r="A2349" s="1" t="s">
        <v>11493</v>
      </c>
      <c r="B2349" s="3" t="s">
        <v>5973</v>
      </c>
      <c r="C2349" s="2">
        <f ca="1">IF(ISNUMBER(SEARCH(Лист2!$B$4,D:D)),MAX($C$3:OFFSET(C2349,-1,0))+1,0)</f>
        <v>0</v>
      </c>
      <c r="E2349" s="9" t="str">
        <f t="shared" ca="1" si="48"/>
        <v/>
      </c>
      <c r="F2349" s="4" t="s">
        <v>7</v>
      </c>
      <c r="G2349" s="2">
        <f>IF(ISNUMBER(SEARCH(Лист2!$B$4,F:F)),1,0)</f>
        <v>0</v>
      </c>
      <c r="H2349" s="3">
        <f ca="1">IF(AND(I2349&lt;&gt;I2348,ISNUMBER(SEARCH(Лист2!$B$5,I:I)),G2349=1),MAX($H$3:OFFSET(H2349,-1,0))+1,0)</f>
        <v>0</v>
      </c>
      <c r="I2349" s="3" t="s">
        <v>239</v>
      </c>
      <c r="K2349" s="2">
        <f>IF(ISNUMBER(SEARCH(Лист2!$B$4,F:F)),1,0)</f>
        <v>0</v>
      </c>
      <c r="L2349" s="14">
        <f>IF(ISNUMBER(SEARCH(Лист2!$B$5,I:I)),1,0)+K2349</f>
        <v>0</v>
      </c>
      <c r="M2349" s="3">
        <f ca="1">IF(AND(N2349&lt;&gt;N2348,ISNUMBER(SEARCH(Лист2!$B$6,N:N)),L2349=2),MAX($M$3:OFFSET(M2349,-1,0))+1,0)</f>
        <v>0</v>
      </c>
      <c r="N2349" s="3" t="s">
        <v>1777</v>
      </c>
    </row>
    <row r="2350" spans="1:14" x14ac:dyDescent="0.25">
      <c r="A2350" s="1" t="s">
        <v>11494</v>
      </c>
      <c r="B2350" s="3" t="s">
        <v>5974</v>
      </c>
      <c r="C2350" s="2">
        <f ca="1">IF(ISNUMBER(SEARCH(Лист2!$B$4,D:D)),MAX($C$3:OFFSET(C2350,-1,0))+1,0)</f>
        <v>0</v>
      </c>
      <c r="E2350" s="9" t="str">
        <f t="shared" ca="1" si="48"/>
        <v/>
      </c>
      <c r="F2350" s="4" t="s">
        <v>7</v>
      </c>
      <c r="G2350" s="2">
        <f>IF(ISNUMBER(SEARCH(Лист2!$B$4,F:F)),1,0)</f>
        <v>0</v>
      </c>
      <c r="H2350" s="3">
        <f ca="1">IF(AND(I2350&lt;&gt;I2349,ISNUMBER(SEARCH(Лист2!$B$5,I:I)),G2350=1),MAX($H$3:OFFSET(H2350,-1,0))+1,0)</f>
        <v>0</v>
      </c>
      <c r="I2350" s="3" t="s">
        <v>239</v>
      </c>
      <c r="K2350" s="2">
        <f>IF(ISNUMBER(SEARCH(Лист2!$B$4,F:F)),1,0)</f>
        <v>0</v>
      </c>
      <c r="L2350" s="14">
        <f>IF(ISNUMBER(SEARCH(Лист2!$B$5,I:I)),1,0)+K2350</f>
        <v>0</v>
      </c>
      <c r="M2350" s="3">
        <f ca="1">IF(AND(N2350&lt;&gt;N2349,ISNUMBER(SEARCH(Лист2!$B$6,N:N)),L2350=2),MAX($M$3:OFFSET(M2350,-1,0))+1,0)</f>
        <v>0</v>
      </c>
      <c r="N2350" s="3" t="s">
        <v>1778</v>
      </c>
    </row>
    <row r="2351" spans="1:14" x14ac:dyDescent="0.25">
      <c r="A2351" s="1" t="s">
        <v>11495</v>
      </c>
      <c r="B2351" s="3" t="s">
        <v>5975</v>
      </c>
      <c r="C2351" s="2">
        <f ca="1">IF(ISNUMBER(SEARCH(Лист2!$B$4,D:D)),MAX($C$3:OFFSET(C2351,-1,0))+1,0)</f>
        <v>0</v>
      </c>
      <c r="E2351" s="9" t="str">
        <f t="shared" ca="1" si="48"/>
        <v/>
      </c>
      <c r="F2351" s="4" t="s">
        <v>7</v>
      </c>
      <c r="G2351" s="2">
        <f>IF(ISNUMBER(SEARCH(Лист2!$B$4,F:F)),1,0)</f>
        <v>0</v>
      </c>
      <c r="H2351" s="3">
        <f ca="1">IF(AND(I2351&lt;&gt;I2350,ISNUMBER(SEARCH(Лист2!$B$5,I:I)),G2351=1),MAX($H$3:OFFSET(H2351,-1,0))+1,0)</f>
        <v>0</v>
      </c>
      <c r="I2351" s="3" t="s">
        <v>239</v>
      </c>
      <c r="K2351" s="2">
        <f>IF(ISNUMBER(SEARCH(Лист2!$B$4,F:F)),1,0)</f>
        <v>0</v>
      </c>
      <c r="L2351" s="14">
        <f>IF(ISNUMBER(SEARCH(Лист2!$B$5,I:I)),1,0)+K2351</f>
        <v>0</v>
      </c>
      <c r="M2351" s="3">
        <f ca="1">IF(AND(N2351&lt;&gt;N2350,ISNUMBER(SEARCH(Лист2!$B$6,N:N)),L2351=2),MAX($M$3:OFFSET(M2351,-1,0))+1,0)</f>
        <v>0</v>
      </c>
      <c r="N2351" s="3" t="s">
        <v>1779</v>
      </c>
    </row>
    <row r="2352" spans="1:14" x14ac:dyDescent="0.25">
      <c r="A2352" s="1" t="s">
        <v>11496</v>
      </c>
      <c r="B2352" s="3" t="s">
        <v>5976</v>
      </c>
      <c r="C2352" s="2">
        <f ca="1">IF(ISNUMBER(SEARCH(Лист2!$B$4,D:D)),MAX($C$3:OFFSET(C2352,-1,0))+1,0)</f>
        <v>0</v>
      </c>
      <c r="E2352" s="9" t="str">
        <f t="shared" ca="1" si="48"/>
        <v/>
      </c>
      <c r="F2352" s="4" t="s">
        <v>7</v>
      </c>
      <c r="G2352" s="2">
        <f>IF(ISNUMBER(SEARCH(Лист2!$B$4,F:F)),1,0)</f>
        <v>0</v>
      </c>
      <c r="H2352" s="3">
        <f ca="1">IF(AND(I2352&lt;&gt;I2351,ISNUMBER(SEARCH(Лист2!$B$5,I:I)),G2352=1),MAX($H$3:OFFSET(H2352,-1,0))+1,0)</f>
        <v>0</v>
      </c>
      <c r="I2352" s="3" t="s">
        <v>239</v>
      </c>
      <c r="K2352" s="2">
        <f>IF(ISNUMBER(SEARCH(Лист2!$B$4,F:F)),1,0)</f>
        <v>0</v>
      </c>
      <c r="L2352" s="14">
        <f>IF(ISNUMBER(SEARCH(Лист2!$B$5,I:I)),1,0)+K2352</f>
        <v>0</v>
      </c>
      <c r="M2352" s="3">
        <f ca="1">IF(AND(N2352&lt;&gt;N2351,ISNUMBER(SEARCH(Лист2!$B$6,N:N)),L2352=2),MAX($M$3:OFFSET(M2352,-1,0))+1,0)</f>
        <v>0</v>
      </c>
      <c r="N2352" s="3" t="s">
        <v>1780</v>
      </c>
    </row>
    <row r="2353" spans="1:14" x14ac:dyDescent="0.25">
      <c r="A2353" s="1" t="s">
        <v>11497</v>
      </c>
      <c r="B2353" s="3" t="s">
        <v>5977</v>
      </c>
      <c r="C2353" s="2">
        <f ca="1">IF(ISNUMBER(SEARCH(Лист2!$B$4,D:D)),MAX($C$3:OFFSET(C2353,-1,0))+1,0)</f>
        <v>0</v>
      </c>
      <c r="E2353" s="9" t="str">
        <f t="shared" ca="1" si="48"/>
        <v/>
      </c>
      <c r="F2353" s="4" t="s">
        <v>7</v>
      </c>
      <c r="G2353" s="2">
        <f>IF(ISNUMBER(SEARCH(Лист2!$B$4,F:F)),1,0)</f>
        <v>0</v>
      </c>
      <c r="H2353" s="3">
        <f ca="1">IF(AND(I2353&lt;&gt;I2352,ISNUMBER(SEARCH(Лист2!$B$5,I:I)),G2353=1),MAX($H$3:OFFSET(H2353,-1,0))+1,0)</f>
        <v>0</v>
      </c>
      <c r="I2353" s="3" t="s">
        <v>239</v>
      </c>
      <c r="K2353" s="2">
        <f>IF(ISNUMBER(SEARCH(Лист2!$B$4,F:F)),1,0)</f>
        <v>0</v>
      </c>
      <c r="L2353" s="14">
        <f>IF(ISNUMBER(SEARCH(Лист2!$B$5,I:I)),1,0)+K2353</f>
        <v>0</v>
      </c>
      <c r="M2353" s="3">
        <f ca="1">IF(AND(N2353&lt;&gt;N2352,ISNUMBER(SEARCH(Лист2!$B$6,N:N)),L2353=2),MAX($M$3:OFFSET(M2353,-1,0))+1,0)</f>
        <v>0</v>
      </c>
      <c r="N2353" s="3" t="s">
        <v>1735</v>
      </c>
    </row>
    <row r="2354" spans="1:14" x14ac:dyDescent="0.25">
      <c r="A2354" s="1" t="s">
        <v>11498</v>
      </c>
      <c r="B2354" s="3" t="s">
        <v>5978</v>
      </c>
      <c r="C2354" s="2">
        <f ca="1">IF(ISNUMBER(SEARCH(Лист2!$B$4,D:D)),MAX($C$3:OFFSET(C2354,-1,0))+1,0)</f>
        <v>0</v>
      </c>
      <c r="E2354" s="9" t="str">
        <f t="shared" ca="1" si="48"/>
        <v/>
      </c>
      <c r="F2354" s="4" t="s">
        <v>7</v>
      </c>
      <c r="G2354" s="2">
        <f>IF(ISNUMBER(SEARCH(Лист2!$B$4,F:F)),1,0)</f>
        <v>0</v>
      </c>
      <c r="H2354" s="3">
        <f ca="1">IF(AND(I2354&lt;&gt;I2353,ISNUMBER(SEARCH(Лист2!$B$5,I:I)),G2354=1),MAX($H$3:OFFSET(H2354,-1,0))+1,0)</f>
        <v>0</v>
      </c>
      <c r="I2354" s="3" t="s">
        <v>239</v>
      </c>
      <c r="K2354" s="2">
        <f>IF(ISNUMBER(SEARCH(Лист2!$B$4,F:F)),1,0)</f>
        <v>0</v>
      </c>
      <c r="L2354" s="14">
        <f>IF(ISNUMBER(SEARCH(Лист2!$B$5,I:I)),1,0)+K2354</f>
        <v>0</v>
      </c>
      <c r="M2354" s="3">
        <f ca="1">IF(AND(N2354&lt;&gt;N2353,ISNUMBER(SEARCH(Лист2!$B$6,N:N)),L2354=2),MAX($M$3:OFFSET(M2354,-1,0))+1,0)</f>
        <v>0</v>
      </c>
      <c r="N2354" s="3" t="s">
        <v>1621</v>
      </c>
    </row>
    <row r="2355" spans="1:14" x14ac:dyDescent="0.25">
      <c r="A2355" s="1" t="s">
        <v>11499</v>
      </c>
      <c r="B2355" s="3" t="s">
        <v>5979</v>
      </c>
      <c r="C2355" s="2">
        <f ca="1">IF(ISNUMBER(SEARCH(Лист2!$B$4,D:D)),MAX($C$3:OFFSET(C2355,-1,0))+1,0)</f>
        <v>0</v>
      </c>
      <c r="E2355" s="9" t="str">
        <f t="shared" ca="1" si="48"/>
        <v/>
      </c>
      <c r="F2355" s="4" t="s">
        <v>7</v>
      </c>
      <c r="G2355" s="2">
        <f>IF(ISNUMBER(SEARCH(Лист2!$B$4,F:F)),1,0)</f>
        <v>0</v>
      </c>
      <c r="H2355" s="3">
        <f ca="1">IF(AND(I2355&lt;&gt;I2354,ISNUMBER(SEARCH(Лист2!$B$5,I:I)),G2355=1),MAX($H$3:OFFSET(H2355,-1,0))+1,0)</f>
        <v>0</v>
      </c>
      <c r="I2355" s="3" t="s">
        <v>239</v>
      </c>
      <c r="K2355" s="2">
        <f>IF(ISNUMBER(SEARCH(Лист2!$B$4,F:F)),1,0)</f>
        <v>0</v>
      </c>
      <c r="L2355" s="14">
        <f>IF(ISNUMBER(SEARCH(Лист2!$B$5,I:I)),1,0)+K2355</f>
        <v>0</v>
      </c>
      <c r="M2355" s="3">
        <f ca="1">IF(AND(N2355&lt;&gt;N2354,ISNUMBER(SEARCH(Лист2!$B$6,N:N)),L2355=2),MAX($M$3:OFFSET(M2355,-1,0))+1,0)</f>
        <v>0</v>
      </c>
      <c r="N2355" s="3" t="s">
        <v>1748</v>
      </c>
    </row>
    <row r="2356" spans="1:14" x14ac:dyDescent="0.25">
      <c r="A2356" s="1" t="s">
        <v>11500</v>
      </c>
      <c r="B2356" s="3" t="s">
        <v>5980</v>
      </c>
      <c r="C2356" s="2">
        <f ca="1">IF(ISNUMBER(SEARCH(Лист2!$B$4,D:D)),MAX($C$3:OFFSET(C2356,-1,0))+1,0)</f>
        <v>0</v>
      </c>
      <c r="E2356" s="9" t="str">
        <f t="shared" ca="1" si="48"/>
        <v/>
      </c>
      <c r="F2356" s="4" t="s">
        <v>7</v>
      </c>
      <c r="G2356" s="2">
        <f>IF(ISNUMBER(SEARCH(Лист2!$B$4,F:F)),1,0)</f>
        <v>0</v>
      </c>
      <c r="H2356" s="3">
        <f ca="1">IF(AND(I2356&lt;&gt;I2355,ISNUMBER(SEARCH(Лист2!$B$5,I:I)),G2356=1),MAX($H$3:OFFSET(H2356,-1,0))+1,0)</f>
        <v>0</v>
      </c>
      <c r="I2356" s="3" t="s">
        <v>239</v>
      </c>
      <c r="K2356" s="2">
        <f>IF(ISNUMBER(SEARCH(Лист2!$B$4,F:F)),1,0)</f>
        <v>0</v>
      </c>
      <c r="L2356" s="14">
        <f>IF(ISNUMBER(SEARCH(Лист2!$B$5,I:I)),1,0)+K2356</f>
        <v>0</v>
      </c>
      <c r="M2356" s="3">
        <f ca="1">IF(AND(N2356&lt;&gt;N2355,ISNUMBER(SEARCH(Лист2!$B$6,N:N)),L2356=2),MAX($M$3:OFFSET(M2356,-1,0))+1,0)</f>
        <v>0</v>
      </c>
      <c r="N2356" s="3" t="s">
        <v>1749</v>
      </c>
    </row>
    <row r="2357" spans="1:14" x14ac:dyDescent="0.25">
      <c r="A2357" s="1" t="s">
        <v>11501</v>
      </c>
      <c r="B2357" s="3" t="s">
        <v>5981</v>
      </c>
      <c r="C2357" s="2">
        <f ca="1">IF(ISNUMBER(SEARCH(Лист2!$B$4,D:D)),MAX($C$3:OFFSET(C2357,-1,0))+1,0)</f>
        <v>0</v>
      </c>
      <c r="E2357" s="9" t="str">
        <f t="shared" ca="1" si="48"/>
        <v/>
      </c>
      <c r="F2357" s="4" t="s">
        <v>7</v>
      </c>
      <c r="G2357" s="2">
        <f>IF(ISNUMBER(SEARCH(Лист2!$B$4,F:F)),1,0)</f>
        <v>0</v>
      </c>
      <c r="H2357" s="3">
        <f ca="1">IF(AND(I2357&lt;&gt;I2356,ISNUMBER(SEARCH(Лист2!$B$5,I:I)),G2357=1),MAX($H$3:OFFSET(H2357,-1,0))+1,0)</f>
        <v>0</v>
      </c>
      <c r="I2357" s="3" t="s">
        <v>239</v>
      </c>
      <c r="K2357" s="2">
        <f>IF(ISNUMBER(SEARCH(Лист2!$B$4,F:F)),1,0)</f>
        <v>0</v>
      </c>
      <c r="L2357" s="14">
        <f>IF(ISNUMBER(SEARCH(Лист2!$B$5,I:I)),1,0)+K2357</f>
        <v>0</v>
      </c>
      <c r="M2357" s="3">
        <f ca="1">IF(AND(N2357&lt;&gt;N2356,ISNUMBER(SEARCH(Лист2!$B$6,N:N)),L2357=2),MAX($M$3:OFFSET(M2357,-1,0))+1,0)</f>
        <v>0</v>
      </c>
      <c r="N2357" s="3" t="s">
        <v>1619</v>
      </c>
    </row>
    <row r="2358" spans="1:14" x14ac:dyDescent="0.25">
      <c r="A2358" s="1" t="s">
        <v>11502</v>
      </c>
      <c r="B2358" s="3" t="s">
        <v>5982</v>
      </c>
      <c r="C2358" s="2">
        <f ca="1">IF(ISNUMBER(SEARCH(Лист2!$B$4,D:D)),MAX($C$3:OFFSET(C2358,-1,0))+1,0)</f>
        <v>0</v>
      </c>
      <c r="E2358" s="9" t="str">
        <f t="shared" ca="1" si="48"/>
        <v/>
      </c>
      <c r="F2358" s="4" t="s">
        <v>7</v>
      </c>
      <c r="G2358" s="2">
        <f>IF(ISNUMBER(SEARCH(Лист2!$B$4,F:F)),1,0)</f>
        <v>0</v>
      </c>
      <c r="H2358" s="3">
        <f ca="1">IF(AND(I2358&lt;&gt;I2357,ISNUMBER(SEARCH(Лист2!$B$5,I:I)),G2358=1),MAX($H$3:OFFSET(H2358,-1,0))+1,0)</f>
        <v>0</v>
      </c>
      <c r="I2358" s="3" t="s">
        <v>239</v>
      </c>
      <c r="K2358" s="2">
        <f>IF(ISNUMBER(SEARCH(Лист2!$B$4,F:F)),1,0)</f>
        <v>0</v>
      </c>
      <c r="L2358" s="14">
        <f>IF(ISNUMBER(SEARCH(Лист2!$B$5,I:I)),1,0)+K2358</f>
        <v>0</v>
      </c>
      <c r="M2358" s="3">
        <f ca="1">IF(AND(N2358&lt;&gt;N2357,ISNUMBER(SEARCH(Лист2!$B$6,N:N)),L2358=2),MAX($M$3:OFFSET(M2358,-1,0))+1,0)</f>
        <v>0</v>
      </c>
      <c r="N2358" s="3" t="s">
        <v>602</v>
      </c>
    </row>
    <row r="2359" spans="1:14" x14ac:dyDescent="0.25">
      <c r="A2359" s="1" t="s">
        <v>11503</v>
      </c>
      <c r="B2359" s="3" t="s">
        <v>5983</v>
      </c>
      <c r="C2359" s="2">
        <f ca="1">IF(ISNUMBER(SEARCH(Лист2!$B$4,D:D)),MAX($C$3:OFFSET(C2359,-1,0))+1,0)</f>
        <v>0</v>
      </c>
      <c r="E2359" s="9" t="str">
        <f t="shared" ca="1" si="48"/>
        <v/>
      </c>
      <c r="F2359" s="4" t="s">
        <v>7</v>
      </c>
      <c r="G2359" s="2">
        <f>IF(ISNUMBER(SEARCH(Лист2!$B$4,F:F)),1,0)</f>
        <v>0</v>
      </c>
      <c r="H2359" s="3">
        <f ca="1">IF(AND(I2359&lt;&gt;I2358,ISNUMBER(SEARCH(Лист2!$B$5,I:I)),G2359=1),MAX($H$3:OFFSET(H2359,-1,0))+1,0)</f>
        <v>0</v>
      </c>
      <c r="I2359" s="3" t="s">
        <v>239</v>
      </c>
      <c r="K2359" s="2">
        <f>IF(ISNUMBER(SEARCH(Лист2!$B$4,F:F)),1,0)</f>
        <v>0</v>
      </c>
      <c r="L2359" s="14">
        <f>IF(ISNUMBER(SEARCH(Лист2!$B$5,I:I)),1,0)+K2359</f>
        <v>0</v>
      </c>
      <c r="M2359" s="3">
        <f ca="1">IF(AND(N2359&lt;&gt;N2358,ISNUMBER(SEARCH(Лист2!$B$6,N:N)),L2359=2),MAX($M$3:OFFSET(M2359,-1,0))+1,0)</f>
        <v>0</v>
      </c>
      <c r="N2359" s="3" t="s">
        <v>1781</v>
      </c>
    </row>
    <row r="2360" spans="1:14" x14ac:dyDescent="0.25">
      <c r="A2360" s="1" t="s">
        <v>11504</v>
      </c>
      <c r="B2360" s="3" t="s">
        <v>5984</v>
      </c>
      <c r="C2360" s="2">
        <f ca="1">IF(ISNUMBER(SEARCH(Лист2!$B$4,D:D)),MAX($C$3:OFFSET(C2360,-1,0))+1,0)</f>
        <v>0</v>
      </c>
      <c r="E2360" s="9" t="str">
        <f t="shared" ca="1" si="48"/>
        <v/>
      </c>
      <c r="F2360" s="4" t="s">
        <v>7</v>
      </c>
      <c r="G2360" s="2">
        <f>IF(ISNUMBER(SEARCH(Лист2!$B$4,F:F)),1,0)</f>
        <v>0</v>
      </c>
      <c r="H2360" s="3">
        <f ca="1">IF(AND(I2360&lt;&gt;I2359,ISNUMBER(SEARCH(Лист2!$B$5,I:I)),G2360=1),MAX($H$3:OFFSET(H2360,-1,0))+1,0)</f>
        <v>0</v>
      </c>
      <c r="I2360" s="3" t="s">
        <v>239</v>
      </c>
      <c r="K2360" s="2">
        <f>IF(ISNUMBER(SEARCH(Лист2!$B$4,F:F)),1,0)</f>
        <v>0</v>
      </c>
      <c r="L2360" s="14">
        <f>IF(ISNUMBER(SEARCH(Лист2!$B$5,I:I)),1,0)+K2360</f>
        <v>0</v>
      </c>
      <c r="M2360" s="3">
        <f ca="1">IF(AND(N2360&lt;&gt;N2359,ISNUMBER(SEARCH(Лист2!$B$6,N:N)),L2360=2),MAX($M$3:OFFSET(M2360,-1,0))+1,0)</f>
        <v>0</v>
      </c>
      <c r="N2360" s="3" t="s">
        <v>1782</v>
      </c>
    </row>
    <row r="2361" spans="1:14" x14ac:dyDescent="0.25">
      <c r="A2361" s="1" t="s">
        <v>11505</v>
      </c>
      <c r="B2361" s="3" t="s">
        <v>5985</v>
      </c>
      <c r="C2361" s="2">
        <f ca="1">IF(ISNUMBER(SEARCH(Лист2!$B$4,D:D)),MAX($C$3:OFFSET(C2361,-1,0))+1,0)</f>
        <v>0</v>
      </c>
      <c r="E2361" s="9" t="str">
        <f t="shared" ca="1" si="48"/>
        <v/>
      </c>
      <c r="F2361" s="4" t="s">
        <v>7</v>
      </c>
      <c r="G2361" s="2">
        <f>IF(ISNUMBER(SEARCH(Лист2!$B$4,F:F)),1,0)</f>
        <v>0</v>
      </c>
      <c r="H2361" s="3">
        <f ca="1">IF(AND(I2361&lt;&gt;I2360,ISNUMBER(SEARCH(Лист2!$B$5,I:I)),G2361=1),MAX($H$3:OFFSET(H2361,-1,0))+1,0)</f>
        <v>0</v>
      </c>
      <c r="I2361" s="3" t="s">
        <v>239</v>
      </c>
      <c r="K2361" s="2">
        <f>IF(ISNUMBER(SEARCH(Лист2!$B$4,F:F)),1,0)</f>
        <v>0</v>
      </c>
      <c r="L2361" s="14">
        <f>IF(ISNUMBER(SEARCH(Лист2!$B$5,I:I)),1,0)+K2361</f>
        <v>0</v>
      </c>
      <c r="M2361" s="3">
        <f ca="1">IF(AND(N2361&lt;&gt;N2360,ISNUMBER(SEARCH(Лист2!$B$6,N:N)),L2361=2),MAX($M$3:OFFSET(M2361,-1,0))+1,0)</f>
        <v>0</v>
      </c>
      <c r="N2361" s="3" t="s">
        <v>1783</v>
      </c>
    </row>
    <row r="2362" spans="1:14" x14ac:dyDescent="0.25">
      <c r="A2362" s="1" t="s">
        <v>11506</v>
      </c>
      <c r="B2362" s="3" t="s">
        <v>5986</v>
      </c>
      <c r="C2362" s="2">
        <f ca="1">IF(ISNUMBER(SEARCH(Лист2!$B$4,D:D)),MAX($C$3:OFFSET(C2362,-1,0))+1,0)</f>
        <v>0</v>
      </c>
      <c r="E2362" s="9" t="str">
        <f t="shared" ca="1" si="48"/>
        <v/>
      </c>
      <c r="F2362" s="4" t="s">
        <v>7</v>
      </c>
      <c r="G2362" s="2">
        <f>IF(ISNUMBER(SEARCH(Лист2!$B$4,F:F)),1,0)</f>
        <v>0</v>
      </c>
      <c r="H2362" s="3">
        <f ca="1">IF(AND(I2362&lt;&gt;I2361,ISNUMBER(SEARCH(Лист2!$B$5,I:I)),G2362=1),MAX($H$3:OFFSET(H2362,-1,0))+1,0)</f>
        <v>0</v>
      </c>
      <c r="I2362" s="3" t="s">
        <v>239</v>
      </c>
      <c r="K2362" s="2">
        <f>IF(ISNUMBER(SEARCH(Лист2!$B$4,F:F)),1,0)</f>
        <v>0</v>
      </c>
      <c r="L2362" s="14">
        <f>IF(ISNUMBER(SEARCH(Лист2!$B$5,I:I)),1,0)+K2362</f>
        <v>0</v>
      </c>
      <c r="M2362" s="3">
        <f ca="1">IF(AND(N2362&lt;&gt;N2361,ISNUMBER(SEARCH(Лист2!$B$6,N:N)),L2362=2),MAX($M$3:OFFSET(M2362,-1,0))+1,0)</f>
        <v>0</v>
      </c>
      <c r="N2362" s="3" t="s">
        <v>1784</v>
      </c>
    </row>
    <row r="2363" spans="1:14" x14ac:dyDescent="0.25">
      <c r="A2363" s="1" t="s">
        <v>11507</v>
      </c>
      <c r="B2363" s="3" t="s">
        <v>5987</v>
      </c>
      <c r="C2363" s="2">
        <f ca="1">IF(ISNUMBER(SEARCH(Лист2!$B$4,D:D)),MAX($C$3:OFFSET(C2363,-1,0))+1,0)</f>
        <v>0</v>
      </c>
      <c r="E2363" s="9" t="str">
        <f t="shared" ca="1" si="48"/>
        <v/>
      </c>
      <c r="F2363" s="4" t="s">
        <v>7</v>
      </c>
      <c r="G2363" s="2">
        <f>IF(ISNUMBER(SEARCH(Лист2!$B$4,F:F)),1,0)</f>
        <v>0</v>
      </c>
      <c r="H2363" s="3">
        <f ca="1">IF(AND(I2363&lt;&gt;I2362,ISNUMBER(SEARCH(Лист2!$B$5,I:I)),G2363=1),MAX($H$3:OFFSET(H2363,-1,0))+1,0)</f>
        <v>0</v>
      </c>
      <c r="I2363" s="3" t="s">
        <v>239</v>
      </c>
      <c r="K2363" s="2">
        <f>IF(ISNUMBER(SEARCH(Лист2!$B$4,F:F)),1,0)</f>
        <v>0</v>
      </c>
      <c r="L2363" s="14">
        <f>IF(ISNUMBER(SEARCH(Лист2!$B$5,I:I)),1,0)+K2363</f>
        <v>0</v>
      </c>
      <c r="M2363" s="3">
        <f ca="1">IF(AND(N2363&lt;&gt;N2362,ISNUMBER(SEARCH(Лист2!$B$6,N:N)),L2363=2),MAX($M$3:OFFSET(M2363,-1,0))+1,0)</f>
        <v>0</v>
      </c>
      <c r="N2363" s="3" t="s">
        <v>1785</v>
      </c>
    </row>
    <row r="2364" spans="1:14" x14ac:dyDescent="0.25">
      <c r="A2364" s="1" t="s">
        <v>11508</v>
      </c>
      <c r="B2364" s="3" t="s">
        <v>5988</v>
      </c>
      <c r="C2364" s="2">
        <f ca="1">IF(ISNUMBER(SEARCH(Лист2!$B$4,D:D)),MAX($C$3:OFFSET(C2364,-1,0))+1,0)</f>
        <v>0</v>
      </c>
      <c r="E2364" s="9" t="str">
        <f t="shared" ca="1" si="48"/>
        <v/>
      </c>
      <c r="F2364" s="4" t="s">
        <v>7</v>
      </c>
      <c r="G2364" s="2">
        <f>IF(ISNUMBER(SEARCH(Лист2!$B$4,F:F)),1,0)</f>
        <v>0</v>
      </c>
      <c r="H2364" s="3">
        <f ca="1">IF(AND(I2364&lt;&gt;I2363,ISNUMBER(SEARCH(Лист2!$B$5,I:I)),G2364=1),MAX($H$3:OFFSET(H2364,-1,0))+1,0)</f>
        <v>0</v>
      </c>
      <c r="I2364" s="3" t="s">
        <v>240</v>
      </c>
      <c r="K2364" s="2">
        <f>IF(ISNUMBER(SEARCH(Лист2!$B$4,F:F)),1,0)</f>
        <v>0</v>
      </c>
      <c r="L2364" s="14">
        <f>IF(ISNUMBER(SEARCH(Лист2!$B$5,I:I)),1,0)+K2364</f>
        <v>0</v>
      </c>
      <c r="M2364" s="3">
        <f ca="1">IF(AND(N2364&lt;&gt;N2363,ISNUMBER(SEARCH(Лист2!$B$6,N:N)),L2364=2),MAX($M$3:OFFSET(M2364,-1,0))+1,0)</f>
        <v>0</v>
      </c>
      <c r="N2364" s="3" t="s">
        <v>1786</v>
      </c>
    </row>
    <row r="2365" spans="1:14" x14ac:dyDescent="0.25">
      <c r="A2365" s="1" t="s">
        <v>11509</v>
      </c>
      <c r="B2365" s="3" t="s">
        <v>5989</v>
      </c>
      <c r="C2365" s="2">
        <f ca="1">IF(ISNUMBER(SEARCH(Лист2!$B$4,D:D)),MAX($C$3:OFFSET(C2365,-1,0))+1,0)</f>
        <v>0</v>
      </c>
      <c r="E2365" s="9" t="str">
        <f t="shared" ca="1" si="48"/>
        <v/>
      </c>
      <c r="F2365" s="4" t="s">
        <v>7</v>
      </c>
      <c r="G2365" s="2">
        <f>IF(ISNUMBER(SEARCH(Лист2!$B$4,F:F)),1,0)</f>
        <v>0</v>
      </c>
      <c r="H2365" s="3">
        <f ca="1">IF(AND(I2365&lt;&gt;I2364,ISNUMBER(SEARCH(Лист2!$B$5,I:I)),G2365=1),MAX($H$3:OFFSET(H2365,-1,0))+1,0)</f>
        <v>0</v>
      </c>
      <c r="I2365" s="3" t="s">
        <v>240</v>
      </c>
      <c r="K2365" s="2">
        <f>IF(ISNUMBER(SEARCH(Лист2!$B$4,F:F)),1,0)</f>
        <v>0</v>
      </c>
      <c r="L2365" s="14">
        <f>IF(ISNUMBER(SEARCH(Лист2!$B$5,I:I)),1,0)+K2365</f>
        <v>0</v>
      </c>
      <c r="M2365" s="3">
        <f ca="1">IF(AND(N2365&lt;&gt;N2364,ISNUMBER(SEARCH(Лист2!$B$6,N:N)),L2365=2),MAX($M$3:OFFSET(M2365,-1,0))+1,0)</f>
        <v>0</v>
      </c>
      <c r="N2365" s="3" t="s">
        <v>1787</v>
      </c>
    </row>
    <row r="2366" spans="1:14" x14ac:dyDescent="0.25">
      <c r="A2366" s="1" t="s">
        <v>11510</v>
      </c>
      <c r="B2366" s="3" t="s">
        <v>5990</v>
      </c>
      <c r="C2366" s="2">
        <f ca="1">IF(ISNUMBER(SEARCH(Лист2!$B$4,D:D)),MAX($C$3:OFFSET(C2366,-1,0))+1,0)</f>
        <v>0</v>
      </c>
      <c r="E2366" s="9" t="str">
        <f t="shared" ca="1" si="48"/>
        <v/>
      </c>
      <c r="F2366" s="4" t="s">
        <v>7</v>
      </c>
      <c r="G2366" s="2">
        <f>IF(ISNUMBER(SEARCH(Лист2!$B$4,F:F)),1,0)</f>
        <v>0</v>
      </c>
      <c r="H2366" s="3">
        <f ca="1">IF(AND(I2366&lt;&gt;I2365,ISNUMBER(SEARCH(Лист2!$B$5,I:I)),G2366=1),MAX($H$3:OFFSET(H2366,-1,0))+1,0)</f>
        <v>0</v>
      </c>
      <c r="I2366" s="3" t="s">
        <v>240</v>
      </c>
      <c r="K2366" s="2">
        <f>IF(ISNUMBER(SEARCH(Лист2!$B$4,F:F)),1,0)</f>
        <v>0</v>
      </c>
      <c r="L2366" s="14">
        <f>IF(ISNUMBER(SEARCH(Лист2!$B$5,I:I)),1,0)+K2366</f>
        <v>0</v>
      </c>
      <c r="M2366" s="3">
        <f ca="1">IF(AND(N2366&lt;&gt;N2365,ISNUMBER(SEARCH(Лист2!$B$6,N:N)),L2366=2),MAX($M$3:OFFSET(M2366,-1,0))+1,0)</f>
        <v>0</v>
      </c>
      <c r="N2366" s="3" t="s">
        <v>1788</v>
      </c>
    </row>
    <row r="2367" spans="1:14" x14ac:dyDescent="0.25">
      <c r="A2367" s="1" t="s">
        <v>11511</v>
      </c>
      <c r="B2367" s="3" t="s">
        <v>5991</v>
      </c>
      <c r="C2367" s="2">
        <f ca="1">IF(ISNUMBER(SEARCH(Лист2!$B$4,D:D)),MAX($C$3:OFFSET(C2367,-1,0))+1,0)</f>
        <v>0</v>
      </c>
      <c r="E2367" s="9" t="str">
        <f t="shared" ca="1" si="48"/>
        <v/>
      </c>
      <c r="F2367" s="4" t="s">
        <v>7</v>
      </c>
      <c r="G2367" s="2">
        <f>IF(ISNUMBER(SEARCH(Лист2!$B$4,F:F)),1,0)</f>
        <v>0</v>
      </c>
      <c r="H2367" s="3">
        <f ca="1">IF(AND(I2367&lt;&gt;I2366,ISNUMBER(SEARCH(Лист2!$B$5,I:I)),G2367=1),MAX($H$3:OFFSET(H2367,-1,0))+1,0)</f>
        <v>0</v>
      </c>
      <c r="I2367" s="3" t="s">
        <v>240</v>
      </c>
      <c r="K2367" s="2">
        <f>IF(ISNUMBER(SEARCH(Лист2!$B$4,F:F)),1,0)</f>
        <v>0</v>
      </c>
      <c r="L2367" s="14">
        <f>IF(ISNUMBER(SEARCH(Лист2!$B$5,I:I)),1,0)+K2367</f>
        <v>0</v>
      </c>
      <c r="M2367" s="3">
        <f ca="1">IF(AND(N2367&lt;&gt;N2366,ISNUMBER(SEARCH(Лист2!$B$6,N:N)),L2367=2),MAX($M$3:OFFSET(M2367,-1,0))+1,0)</f>
        <v>0</v>
      </c>
      <c r="N2367" s="3" t="s">
        <v>1789</v>
      </c>
    </row>
    <row r="2368" spans="1:14" x14ac:dyDescent="0.25">
      <c r="A2368" s="1" t="s">
        <v>11512</v>
      </c>
      <c r="B2368" s="3" t="s">
        <v>5992</v>
      </c>
      <c r="C2368" s="2">
        <f ca="1">IF(ISNUMBER(SEARCH(Лист2!$B$4,D:D)),MAX($C$3:OFFSET(C2368,-1,0))+1,0)</f>
        <v>0</v>
      </c>
      <c r="E2368" s="9" t="str">
        <f t="shared" ca="1" si="48"/>
        <v/>
      </c>
      <c r="F2368" s="4" t="s">
        <v>7</v>
      </c>
      <c r="G2368" s="2">
        <f>IF(ISNUMBER(SEARCH(Лист2!$B$4,F:F)),1,0)</f>
        <v>0</v>
      </c>
      <c r="H2368" s="3">
        <f ca="1">IF(AND(I2368&lt;&gt;I2367,ISNUMBER(SEARCH(Лист2!$B$5,I:I)),G2368=1),MAX($H$3:OFFSET(H2368,-1,0))+1,0)</f>
        <v>0</v>
      </c>
      <c r="I2368" s="3" t="s">
        <v>240</v>
      </c>
      <c r="K2368" s="2">
        <f>IF(ISNUMBER(SEARCH(Лист2!$B$4,F:F)),1,0)</f>
        <v>0</v>
      </c>
      <c r="L2368" s="14">
        <f>IF(ISNUMBER(SEARCH(Лист2!$B$5,I:I)),1,0)+K2368</f>
        <v>0</v>
      </c>
      <c r="M2368" s="3">
        <f ca="1">IF(AND(N2368&lt;&gt;N2367,ISNUMBER(SEARCH(Лист2!$B$6,N:N)),L2368=2),MAX($M$3:OFFSET(M2368,-1,0))+1,0)</f>
        <v>0</v>
      </c>
      <c r="N2368" s="3" t="s">
        <v>1790</v>
      </c>
    </row>
    <row r="2369" spans="1:14" x14ac:dyDescent="0.25">
      <c r="A2369" s="1" t="s">
        <v>11513</v>
      </c>
      <c r="B2369" s="3" t="s">
        <v>5993</v>
      </c>
      <c r="C2369" s="2">
        <f ca="1">IF(ISNUMBER(SEARCH(Лист2!$B$4,D:D)),MAX($C$3:OFFSET(C2369,-1,0))+1,0)</f>
        <v>0</v>
      </c>
      <c r="E2369" s="9" t="str">
        <f t="shared" ca="1" si="48"/>
        <v/>
      </c>
      <c r="F2369" s="4" t="s">
        <v>7</v>
      </c>
      <c r="G2369" s="2">
        <f>IF(ISNUMBER(SEARCH(Лист2!$B$4,F:F)),1,0)</f>
        <v>0</v>
      </c>
      <c r="H2369" s="3">
        <f ca="1">IF(AND(I2369&lt;&gt;I2368,ISNUMBER(SEARCH(Лист2!$B$5,I:I)),G2369=1),MAX($H$3:OFFSET(H2369,-1,0))+1,0)</f>
        <v>0</v>
      </c>
      <c r="I2369" s="3" t="s">
        <v>240</v>
      </c>
      <c r="K2369" s="2">
        <f>IF(ISNUMBER(SEARCH(Лист2!$B$4,F:F)),1,0)</f>
        <v>0</v>
      </c>
      <c r="L2369" s="14">
        <f>IF(ISNUMBER(SEARCH(Лист2!$B$5,I:I)),1,0)+K2369</f>
        <v>0</v>
      </c>
      <c r="M2369" s="3">
        <f ca="1">IF(AND(N2369&lt;&gt;N2368,ISNUMBER(SEARCH(Лист2!$B$6,N:N)),L2369=2),MAX($M$3:OFFSET(M2369,-1,0))+1,0)</f>
        <v>0</v>
      </c>
      <c r="N2369" s="3" t="s">
        <v>1735</v>
      </c>
    </row>
    <row r="2370" spans="1:14" x14ac:dyDescent="0.25">
      <c r="A2370" s="1" t="s">
        <v>11514</v>
      </c>
      <c r="B2370" s="3" t="s">
        <v>5994</v>
      </c>
      <c r="C2370" s="2">
        <f ca="1">IF(ISNUMBER(SEARCH(Лист2!$B$4,D:D)),MAX($C$3:OFFSET(C2370,-1,0))+1,0)</f>
        <v>0</v>
      </c>
      <c r="E2370" s="9" t="str">
        <f t="shared" ca="1" si="48"/>
        <v/>
      </c>
      <c r="F2370" s="4" t="s">
        <v>7</v>
      </c>
      <c r="G2370" s="2">
        <f>IF(ISNUMBER(SEARCH(Лист2!$B$4,F:F)),1,0)</f>
        <v>0</v>
      </c>
      <c r="H2370" s="3">
        <f ca="1">IF(AND(I2370&lt;&gt;I2369,ISNUMBER(SEARCH(Лист2!$B$5,I:I)),G2370=1),MAX($H$3:OFFSET(H2370,-1,0))+1,0)</f>
        <v>0</v>
      </c>
      <c r="I2370" s="3" t="s">
        <v>240</v>
      </c>
      <c r="K2370" s="2">
        <f>IF(ISNUMBER(SEARCH(Лист2!$B$4,F:F)),1,0)</f>
        <v>0</v>
      </c>
      <c r="L2370" s="14">
        <f>IF(ISNUMBER(SEARCH(Лист2!$B$5,I:I)),1,0)+K2370</f>
        <v>0</v>
      </c>
      <c r="M2370" s="3">
        <f ca="1">IF(AND(N2370&lt;&gt;N2369,ISNUMBER(SEARCH(Лист2!$B$6,N:N)),L2370=2),MAX($M$3:OFFSET(M2370,-1,0))+1,0)</f>
        <v>0</v>
      </c>
      <c r="N2370" s="3" t="s">
        <v>1621</v>
      </c>
    </row>
    <row r="2371" spans="1:14" x14ac:dyDescent="0.25">
      <c r="A2371" s="1" t="s">
        <v>11515</v>
      </c>
      <c r="B2371" s="3" t="s">
        <v>5995</v>
      </c>
      <c r="C2371" s="2">
        <f ca="1">IF(ISNUMBER(SEARCH(Лист2!$B$4,D:D)),MAX($C$3:OFFSET(C2371,-1,0))+1,0)</f>
        <v>0</v>
      </c>
      <c r="E2371" s="9" t="str">
        <f t="shared" ca="1" si="48"/>
        <v/>
      </c>
      <c r="F2371" s="4" t="s">
        <v>7</v>
      </c>
      <c r="G2371" s="2">
        <f>IF(ISNUMBER(SEARCH(Лист2!$B$4,F:F)),1,0)</f>
        <v>0</v>
      </c>
      <c r="H2371" s="3">
        <f ca="1">IF(AND(I2371&lt;&gt;I2370,ISNUMBER(SEARCH(Лист2!$B$5,I:I)),G2371=1),MAX($H$3:OFFSET(H2371,-1,0))+1,0)</f>
        <v>0</v>
      </c>
      <c r="I2371" s="3" t="s">
        <v>240</v>
      </c>
      <c r="K2371" s="2">
        <f>IF(ISNUMBER(SEARCH(Лист2!$B$4,F:F)),1,0)</f>
        <v>0</v>
      </c>
      <c r="L2371" s="14">
        <f>IF(ISNUMBER(SEARCH(Лист2!$B$5,I:I)),1,0)+K2371</f>
        <v>0</v>
      </c>
      <c r="M2371" s="3">
        <f ca="1">IF(AND(N2371&lt;&gt;N2370,ISNUMBER(SEARCH(Лист2!$B$6,N:N)),L2371=2),MAX($M$3:OFFSET(M2371,-1,0))+1,0)</f>
        <v>0</v>
      </c>
      <c r="N2371" s="3" t="s">
        <v>1748</v>
      </c>
    </row>
    <row r="2372" spans="1:14" x14ac:dyDescent="0.25">
      <c r="A2372" s="1" t="s">
        <v>11516</v>
      </c>
      <c r="B2372" s="3" t="s">
        <v>5996</v>
      </c>
      <c r="C2372" s="2">
        <f ca="1">IF(ISNUMBER(SEARCH(Лист2!$B$4,D:D)),MAX($C$3:OFFSET(C2372,-1,0))+1,0)</f>
        <v>0</v>
      </c>
      <c r="E2372" s="9" t="str">
        <f t="shared" ca="1" si="48"/>
        <v/>
      </c>
      <c r="F2372" s="4" t="s">
        <v>7</v>
      </c>
      <c r="G2372" s="2">
        <f>IF(ISNUMBER(SEARCH(Лист2!$B$4,F:F)),1,0)</f>
        <v>0</v>
      </c>
      <c r="H2372" s="3">
        <f ca="1">IF(AND(I2372&lt;&gt;I2371,ISNUMBER(SEARCH(Лист2!$B$5,I:I)),G2372=1),MAX($H$3:OFFSET(H2372,-1,0))+1,0)</f>
        <v>0</v>
      </c>
      <c r="I2372" s="3" t="s">
        <v>240</v>
      </c>
      <c r="K2372" s="2">
        <f>IF(ISNUMBER(SEARCH(Лист2!$B$4,F:F)),1,0)</f>
        <v>0</v>
      </c>
      <c r="L2372" s="14">
        <f>IF(ISNUMBER(SEARCH(Лист2!$B$5,I:I)),1,0)+K2372</f>
        <v>0</v>
      </c>
      <c r="M2372" s="3">
        <f ca="1">IF(AND(N2372&lt;&gt;N2371,ISNUMBER(SEARCH(Лист2!$B$6,N:N)),L2372=2),MAX($M$3:OFFSET(M2372,-1,0))+1,0)</f>
        <v>0</v>
      </c>
      <c r="N2372" s="3" t="s">
        <v>1749</v>
      </c>
    </row>
    <row r="2373" spans="1:14" x14ac:dyDescent="0.25">
      <c r="A2373" s="1" t="s">
        <v>11517</v>
      </c>
      <c r="B2373" s="3" t="s">
        <v>5997</v>
      </c>
      <c r="C2373" s="2">
        <f ca="1">IF(ISNUMBER(SEARCH(Лист2!$B$4,D:D)),MAX($C$3:OFFSET(C2373,-1,0))+1,0)</f>
        <v>0</v>
      </c>
      <c r="E2373" s="9" t="str">
        <f t="shared" ref="E2373:E2436" ca="1" si="49">IFERROR(INDEX(D:D,MATCH(ROW(E2373)-ROW($E$3),C:C,0)),"")</f>
        <v/>
      </c>
      <c r="F2373" s="4" t="s">
        <v>7</v>
      </c>
      <c r="G2373" s="2">
        <f>IF(ISNUMBER(SEARCH(Лист2!$B$4,F:F)),1,0)</f>
        <v>0</v>
      </c>
      <c r="H2373" s="3">
        <f ca="1">IF(AND(I2373&lt;&gt;I2372,ISNUMBER(SEARCH(Лист2!$B$5,I:I)),G2373=1),MAX($H$3:OFFSET(H2373,-1,0))+1,0)</f>
        <v>0</v>
      </c>
      <c r="I2373" s="3" t="s">
        <v>240</v>
      </c>
      <c r="K2373" s="2">
        <f>IF(ISNUMBER(SEARCH(Лист2!$B$4,F:F)),1,0)</f>
        <v>0</v>
      </c>
      <c r="L2373" s="14">
        <f>IF(ISNUMBER(SEARCH(Лист2!$B$5,I:I)),1,0)+K2373</f>
        <v>0</v>
      </c>
      <c r="M2373" s="3">
        <f ca="1">IF(AND(N2373&lt;&gt;N2372,ISNUMBER(SEARCH(Лист2!$B$6,N:N)),L2373=2),MAX($M$3:OFFSET(M2373,-1,0))+1,0)</f>
        <v>0</v>
      </c>
      <c r="N2373" s="3" t="s">
        <v>1619</v>
      </c>
    </row>
    <row r="2374" spans="1:14" x14ac:dyDescent="0.25">
      <c r="A2374" s="1" t="s">
        <v>11518</v>
      </c>
      <c r="B2374" s="3" t="s">
        <v>5998</v>
      </c>
      <c r="C2374" s="2">
        <f ca="1">IF(ISNUMBER(SEARCH(Лист2!$B$4,D:D)),MAX($C$3:OFFSET(C2374,-1,0))+1,0)</f>
        <v>0</v>
      </c>
      <c r="E2374" s="9" t="str">
        <f t="shared" ca="1" si="49"/>
        <v/>
      </c>
      <c r="F2374" s="4" t="s">
        <v>7</v>
      </c>
      <c r="G2374" s="2">
        <f>IF(ISNUMBER(SEARCH(Лист2!$B$4,F:F)),1,0)</f>
        <v>0</v>
      </c>
      <c r="H2374" s="3">
        <f ca="1">IF(AND(I2374&lt;&gt;I2373,ISNUMBER(SEARCH(Лист2!$B$5,I:I)),G2374=1),MAX($H$3:OFFSET(H2374,-1,0))+1,0)</f>
        <v>0</v>
      </c>
      <c r="I2374" s="3" t="s">
        <v>240</v>
      </c>
      <c r="K2374" s="2">
        <f>IF(ISNUMBER(SEARCH(Лист2!$B$4,F:F)),1,0)</f>
        <v>0</v>
      </c>
      <c r="L2374" s="14">
        <f>IF(ISNUMBER(SEARCH(Лист2!$B$5,I:I)),1,0)+K2374</f>
        <v>0</v>
      </c>
      <c r="M2374" s="3">
        <f ca="1">IF(AND(N2374&lt;&gt;N2373,ISNUMBER(SEARCH(Лист2!$B$6,N:N)),L2374=2),MAX($M$3:OFFSET(M2374,-1,0))+1,0)</f>
        <v>0</v>
      </c>
      <c r="N2374" s="3" t="s">
        <v>602</v>
      </c>
    </row>
    <row r="2375" spans="1:14" x14ac:dyDescent="0.25">
      <c r="A2375" s="1" t="s">
        <v>11519</v>
      </c>
      <c r="B2375" s="3" t="s">
        <v>5999</v>
      </c>
      <c r="C2375" s="2">
        <f ca="1">IF(ISNUMBER(SEARCH(Лист2!$B$4,D:D)),MAX($C$3:OFFSET(C2375,-1,0))+1,0)</f>
        <v>0</v>
      </c>
      <c r="E2375" s="9" t="str">
        <f t="shared" ca="1" si="49"/>
        <v/>
      </c>
      <c r="F2375" s="4" t="s">
        <v>7</v>
      </c>
      <c r="G2375" s="2">
        <f>IF(ISNUMBER(SEARCH(Лист2!$B$4,F:F)),1,0)</f>
        <v>0</v>
      </c>
      <c r="H2375" s="3">
        <f ca="1">IF(AND(I2375&lt;&gt;I2374,ISNUMBER(SEARCH(Лист2!$B$5,I:I)),G2375=1),MAX($H$3:OFFSET(H2375,-1,0))+1,0)</f>
        <v>0</v>
      </c>
      <c r="I2375" s="3" t="s">
        <v>240</v>
      </c>
      <c r="K2375" s="2">
        <f>IF(ISNUMBER(SEARCH(Лист2!$B$4,F:F)),1,0)</f>
        <v>0</v>
      </c>
      <c r="L2375" s="14">
        <f>IF(ISNUMBER(SEARCH(Лист2!$B$5,I:I)),1,0)+K2375</f>
        <v>0</v>
      </c>
      <c r="M2375" s="3">
        <f ca="1">IF(AND(N2375&lt;&gt;N2374,ISNUMBER(SEARCH(Лист2!$B$6,N:N)),L2375=2),MAX($M$3:OFFSET(M2375,-1,0))+1,0)</f>
        <v>0</v>
      </c>
      <c r="N2375" s="3" t="s">
        <v>1791</v>
      </c>
    </row>
    <row r="2376" spans="1:14" x14ac:dyDescent="0.25">
      <c r="A2376" s="1" t="s">
        <v>11520</v>
      </c>
      <c r="B2376" s="3" t="s">
        <v>6000</v>
      </c>
      <c r="C2376" s="2">
        <f ca="1">IF(ISNUMBER(SEARCH(Лист2!$B$4,D:D)),MAX($C$3:OFFSET(C2376,-1,0))+1,0)</f>
        <v>0</v>
      </c>
      <c r="E2376" s="9" t="str">
        <f t="shared" ca="1" si="49"/>
        <v/>
      </c>
      <c r="F2376" s="4" t="s">
        <v>7</v>
      </c>
      <c r="G2376" s="2">
        <f>IF(ISNUMBER(SEARCH(Лист2!$B$4,F:F)),1,0)</f>
        <v>0</v>
      </c>
      <c r="H2376" s="3">
        <f ca="1">IF(AND(I2376&lt;&gt;I2375,ISNUMBER(SEARCH(Лист2!$B$5,I:I)),G2376=1),MAX($H$3:OFFSET(H2376,-1,0))+1,0)</f>
        <v>0</v>
      </c>
      <c r="I2376" s="3" t="s">
        <v>240</v>
      </c>
      <c r="K2376" s="2">
        <f>IF(ISNUMBER(SEARCH(Лист2!$B$4,F:F)),1,0)</f>
        <v>0</v>
      </c>
      <c r="L2376" s="14">
        <f>IF(ISNUMBER(SEARCH(Лист2!$B$5,I:I)),1,0)+K2376</f>
        <v>0</v>
      </c>
      <c r="M2376" s="3">
        <f ca="1">IF(AND(N2376&lt;&gt;N2375,ISNUMBER(SEARCH(Лист2!$B$6,N:N)),L2376=2),MAX($M$3:OFFSET(M2376,-1,0))+1,0)</f>
        <v>0</v>
      </c>
      <c r="N2376" s="3" t="s">
        <v>1792</v>
      </c>
    </row>
    <row r="2377" spans="1:14" x14ac:dyDescent="0.25">
      <c r="A2377" s="1" t="s">
        <v>11521</v>
      </c>
      <c r="B2377" s="3" t="s">
        <v>6001</v>
      </c>
      <c r="C2377" s="2">
        <f ca="1">IF(ISNUMBER(SEARCH(Лист2!$B$4,D:D)),MAX($C$3:OFFSET(C2377,-1,0))+1,0)</f>
        <v>0</v>
      </c>
      <c r="E2377" s="9" t="str">
        <f t="shared" ca="1" si="49"/>
        <v/>
      </c>
      <c r="F2377" s="4" t="s">
        <v>7</v>
      </c>
      <c r="G2377" s="2">
        <f>IF(ISNUMBER(SEARCH(Лист2!$B$4,F:F)),1,0)</f>
        <v>0</v>
      </c>
      <c r="H2377" s="3">
        <f ca="1">IF(AND(I2377&lt;&gt;I2376,ISNUMBER(SEARCH(Лист2!$B$5,I:I)),G2377=1),MAX($H$3:OFFSET(H2377,-1,0))+1,0)</f>
        <v>0</v>
      </c>
      <c r="I2377" s="3" t="s">
        <v>240</v>
      </c>
      <c r="K2377" s="2">
        <f>IF(ISNUMBER(SEARCH(Лист2!$B$4,F:F)),1,0)</f>
        <v>0</v>
      </c>
      <c r="L2377" s="14">
        <f>IF(ISNUMBER(SEARCH(Лист2!$B$5,I:I)),1,0)+K2377</f>
        <v>0</v>
      </c>
      <c r="M2377" s="3">
        <f ca="1">IF(AND(N2377&lt;&gt;N2376,ISNUMBER(SEARCH(Лист2!$B$6,N:N)),L2377=2),MAX($M$3:OFFSET(M2377,-1,0))+1,0)</f>
        <v>0</v>
      </c>
      <c r="N2377" s="3" t="s">
        <v>1793</v>
      </c>
    </row>
    <row r="2378" spans="1:14" x14ac:dyDescent="0.25">
      <c r="A2378" s="1" t="s">
        <v>11522</v>
      </c>
      <c r="B2378" s="3" t="s">
        <v>6002</v>
      </c>
      <c r="C2378" s="2">
        <f ca="1">IF(ISNUMBER(SEARCH(Лист2!$B$4,D:D)),MAX($C$3:OFFSET(C2378,-1,0))+1,0)</f>
        <v>0</v>
      </c>
      <c r="E2378" s="9" t="str">
        <f t="shared" ca="1" si="49"/>
        <v/>
      </c>
      <c r="F2378" s="4" t="s">
        <v>7</v>
      </c>
      <c r="G2378" s="2">
        <f>IF(ISNUMBER(SEARCH(Лист2!$B$4,F:F)),1,0)</f>
        <v>0</v>
      </c>
      <c r="H2378" s="3">
        <f ca="1">IF(AND(I2378&lt;&gt;I2377,ISNUMBER(SEARCH(Лист2!$B$5,I:I)),G2378=1),MAX($H$3:OFFSET(H2378,-1,0))+1,0)</f>
        <v>0</v>
      </c>
      <c r="I2378" s="3" t="s">
        <v>240</v>
      </c>
      <c r="K2378" s="2">
        <f>IF(ISNUMBER(SEARCH(Лист2!$B$4,F:F)),1,0)</f>
        <v>0</v>
      </c>
      <c r="L2378" s="14">
        <f>IF(ISNUMBER(SEARCH(Лист2!$B$5,I:I)),1,0)+K2378</f>
        <v>0</v>
      </c>
      <c r="M2378" s="3">
        <f ca="1">IF(AND(N2378&lt;&gt;N2377,ISNUMBER(SEARCH(Лист2!$B$6,N:N)),L2378=2),MAX($M$3:OFFSET(M2378,-1,0))+1,0)</f>
        <v>0</v>
      </c>
      <c r="N2378" s="3" t="s">
        <v>1794</v>
      </c>
    </row>
    <row r="2379" spans="1:14" x14ac:dyDescent="0.25">
      <c r="A2379" s="1" t="s">
        <v>11523</v>
      </c>
      <c r="B2379" s="3" t="s">
        <v>6003</v>
      </c>
      <c r="C2379" s="2">
        <f ca="1">IF(ISNUMBER(SEARCH(Лист2!$B$4,D:D)),MAX($C$3:OFFSET(C2379,-1,0))+1,0)</f>
        <v>0</v>
      </c>
      <c r="E2379" s="9" t="str">
        <f t="shared" ca="1" si="49"/>
        <v/>
      </c>
      <c r="F2379" s="4" t="s">
        <v>7</v>
      </c>
      <c r="G2379" s="2">
        <f>IF(ISNUMBER(SEARCH(Лист2!$B$4,F:F)),1,0)</f>
        <v>0</v>
      </c>
      <c r="H2379" s="3">
        <f ca="1">IF(AND(I2379&lt;&gt;I2378,ISNUMBER(SEARCH(Лист2!$B$5,I:I)),G2379=1),MAX($H$3:OFFSET(H2379,-1,0))+1,0)</f>
        <v>0</v>
      </c>
      <c r="I2379" s="3" t="s">
        <v>240</v>
      </c>
      <c r="K2379" s="2">
        <f>IF(ISNUMBER(SEARCH(Лист2!$B$4,F:F)),1,0)</f>
        <v>0</v>
      </c>
      <c r="L2379" s="14">
        <f>IF(ISNUMBER(SEARCH(Лист2!$B$5,I:I)),1,0)+K2379</f>
        <v>0</v>
      </c>
      <c r="M2379" s="3">
        <f ca="1">IF(AND(N2379&lt;&gt;N2378,ISNUMBER(SEARCH(Лист2!$B$6,N:N)),L2379=2),MAX($M$3:OFFSET(M2379,-1,0))+1,0)</f>
        <v>0</v>
      </c>
      <c r="N2379" s="3" t="s">
        <v>1795</v>
      </c>
    </row>
    <row r="2380" spans="1:14" x14ac:dyDescent="0.25">
      <c r="A2380" s="1" t="s">
        <v>11524</v>
      </c>
      <c r="B2380" s="3" t="s">
        <v>6004</v>
      </c>
      <c r="C2380" s="2">
        <f ca="1">IF(ISNUMBER(SEARCH(Лист2!$B$4,D:D)),MAX($C$3:OFFSET(C2380,-1,0))+1,0)</f>
        <v>0</v>
      </c>
      <c r="E2380" s="9" t="str">
        <f t="shared" ca="1" si="49"/>
        <v/>
      </c>
      <c r="F2380" s="4" t="s">
        <v>7</v>
      </c>
      <c r="G2380" s="2">
        <f>IF(ISNUMBER(SEARCH(Лист2!$B$4,F:F)),1,0)</f>
        <v>0</v>
      </c>
      <c r="H2380" s="3">
        <f ca="1">IF(AND(I2380&lt;&gt;I2379,ISNUMBER(SEARCH(Лист2!$B$5,I:I)),G2380=1),MAX($H$3:OFFSET(H2380,-1,0))+1,0)</f>
        <v>0</v>
      </c>
      <c r="I2380" s="3" t="s">
        <v>216</v>
      </c>
      <c r="K2380" s="2">
        <f>IF(ISNUMBER(SEARCH(Лист2!$B$4,F:F)),1,0)</f>
        <v>0</v>
      </c>
      <c r="L2380" s="14">
        <f>IF(ISNUMBER(SEARCH(Лист2!$B$5,I:I)),1,0)+K2380</f>
        <v>0</v>
      </c>
      <c r="M2380" s="3">
        <f ca="1">IF(AND(N2380&lt;&gt;N2379,ISNUMBER(SEARCH(Лист2!$B$6,N:N)),L2380=2),MAX($M$3:OFFSET(M2380,-1,0))+1,0)</f>
        <v>0</v>
      </c>
      <c r="N2380" s="3" t="s">
        <v>1796</v>
      </c>
    </row>
    <row r="2381" spans="1:14" x14ac:dyDescent="0.25">
      <c r="A2381" s="1" t="s">
        <v>11525</v>
      </c>
      <c r="B2381" s="3" t="s">
        <v>6005</v>
      </c>
      <c r="C2381" s="2">
        <f ca="1">IF(ISNUMBER(SEARCH(Лист2!$B$4,D:D)),MAX($C$3:OFFSET(C2381,-1,0))+1,0)</f>
        <v>0</v>
      </c>
      <c r="E2381" s="9" t="str">
        <f t="shared" ca="1" si="49"/>
        <v/>
      </c>
      <c r="F2381" s="4" t="s">
        <v>7</v>
      </c>
      <c r="G2381" s="2">
        <f>IF(ISNUMBER(SEARCH(Лист2!$B$4,F:F)),1,0)</f>
        <v>0</v>
      </c>
      <c r="H2381" s="3">
        <f ca="1">IF(AND(I2381&lt;&gt;I2380,ISNUMBER(SEARCH(Лист2!$B$5,I:I)),G2381=1),MAX($H$3:OFFSET(H2381,-1,0))+1,0)</f>
        <v>0</v>
      </c>
      <c r="I2381" s="3" t="s">
        <v>216</v>
      </c>
      <c r="K2381" s="2">
        <f>IF(ISNUMBER(SEARCH(Лист2!$B$4,F:F)),1,0)</f>
        <v>0</v>
      </c>
      <c r="L2381" s="14">
        <f>IF(ISNUMBER(SEARCH(Лист2!$B$5,I:I)),1,0)+K2381</f>
        <v>0</v>
      </c>
      <c r="M2381" s="3">
        <f ca="1">IF(AND(N2381&lt;&gt;N2380,ISNUMBER(SEARCH(Лист2!$B$6,N:N)),L2381=2),MAX($M$3:OFFSET(M2381,-1,0))+1,0)</f>
        <v>0</v>
      </c>
      <c r="N2381" s="3" t="s">
        <v>1797</v>
      </c>
    </row>
    <row r="2382" spans="1:14" x14ac:dyDescent="0.25">
      <c r="A2382" s="1" t="s">
        <v>11253</v>
      </c>
      <c r="B2382" s="3" t="s">
        <v>6006</v>
      </c>
      <c r="C2382" s="2">
        <f ca="1">IF(ISNUMBER(SEARCH(Лист2!$B$4,D:D)),MAX($C$3:OFFSET(C2382,-1,0))+1,0)</f>
        <v>0</v>
      </c>
      <c r="E2382" s="9" t="str">
        <f t="shared" ca="1" si="49"/>
        <v/>
      </c>
      <c r="F2382" s="4" t="s">
        <v>7</v>
      </c>
      <c r="G2382" s="2">
        <f>IF(ISNUMBER(SEARCH(Лист2!$B$4,F:F)),1,0)</f>
        <v>0</v>
      </c>
      <c r="H2382" s="3">
        <f ca="1">IF(AND(I2382&lt;&gt;I2381,ISNUMBER(SEARCH(Лист2!$B$5,I:I)),G2382=1),MAX($H$3:OFFSET(H2382,-1,0))+1,0)</f>
        <v>0</v>
      </c>
      <c r="I2382" s="3" t="s">
        <v>216</v>
      </c>
      <c r="K2382" s="2">
        <f>IF(ISNUMBER(SEARCH(Лист2!$B$4,F:F)),1,0)</f>
        <v>0</v>
      </c>
      <c r="L2382" s="14">
        <f>IF(ISNUMBER(SEARCH(Лист2!$B$5,I:I)),1,0)+K2382</f>
        <v>0</v>
      </c>
      <c r="M2382" s="3">
        <f ca="1">IF(AND(N2382&lt;&gt;N2381,ISNUMBER(SEARCH(Лист2!$B$6,N:N)),L2382=2),MAX($M$3:OFFSET(M2382,-1,0))+1,0)</f>
        <v>0</v>
      </c>
      <c r="N2382" s="3" t="s">
        <v>1619</v>
      </c>
    </row>
    <row r="2383" spans="1:14" x14ac:dyDescent="0.25">
      <c r="A2383" s="1" t="s">
        <v>11254</v>
      </c>
      <c r="B2383" s="3" t="s">
        <v>6007</v>
      </c>
      <c r="C2383" s="2">
        <f ca="1">IF(ISNUMBER(SEARCH(Лист2!$B$4,D:D)),MAX($C$3:OFFSET(C2383,-1,0))+1,0)</f>
        <v>0</v>
      </c>
      <c r="E2383" s="9" t="str">
        <f t="shared" ca="1" si="49"/>
        <v/>
      </c>
      <c r="F2383" s="4" t="s">
        <v>7</v>
      </c>
      <c r="G2383" s="2">
        <f>IF(ISNUMBER(SEARCH(Лист2!$B$4,F:F)),1,0)</f>
        <v>0</v>
      </c>
      <c r="H2383" s="3">
        <f ca="1">IF(AND(I2383&lt;&gt;I2382,ISNUMBER(SEARCH(Лист2!$B$5,I:I)),G2383=1),MAX($H$3:OFFSET(H2383,-1,0))+1,0)</f>
        <v>0</v>
      </c>
      <c r="I2383" s="3" t="s">
        <v>216</v>
      </c>
      <c r="K2383" s="2">
        <f>IF(ISNUMBER(SEARCH(Лист2!$B$4,F:F)),1,0)</f>
        <v>0</v>
      </c>
      <c r="L2383" s="14">
        <f>IF(ISNUMBER(SEARCH(Лист2!$B$5,I:I)),1,0)+K2383</f>
        <v>0</v>
      </c>
      <c r="M2383" s="3">
        <f ca="1">IF(AND(N2383&lt;&gt;N2382,ISNUMBER(SEARCH(Лист2!$B$6,N:N)),L2383=2),MAX($M$3:OFFSET(M2383,-1,0))+1,0)</f>
        <v>0</v>
      </c>
      <c r="N2383" s="3" t="s">
        <v>1620</v>
      </c>
    </row>
    <row r="2384" spans="1:14" x14ac:dyDescent="0.25">
      <c r="A2384" s="1" t="s">
        <v>11255</v>
      </c>
      <c r="B2384" s="3" t="s">
        <v>6008</v>
      </c>
      <c r="C2384" s="2">
        <f ca="1">IF(ISNUMBER(SEARCH(Лист2!$B$4,D:D)),MAX($C$3:OFFSET(C2384,-1,0))+1,0)</f>
        <v>0</v>
      </c>
      <c r="E2384" s="9" t="str">
        <f t="shared" ca="1" si="49"/>
        <v/>
      </c>
      <c r="F2384" s="4" t="s">
        <v>7</v>
      </c>
      <c r="G2384" s="2">
        <f>IF(ISNUMBER(SEARCH(Лист2!$B$4,F:F)),1,0)</f>
        <v>0</v>
      </c>
      <c r="H2384" s="3">
        <f ca="1">IF(AND(I2384&lt;&gt;I2383,ISNUMBER(SEARCH(Лист2!$B$5,I:I)),G2384=1),MAX($H$3:OFFSET(H2384,-1,0))+1,0)</f>
        <v>0</v>
      </c>
      <c r="I2384" s="3" t="s">
        <v>216</v>
      </c>
      <c r="K2384" s="2">
        <f>IF(ISNUMBER(SEARCH(Лист2!$B$4,F:F)),1,0)</f>
        <v>0</v>
      </c>
      <c r="L2384" s="14">
        <f>IF(ISNUMBER(SEARCH(Лист2!$B$5,I:I)),1,0)+K2384</f>
        <v>0</v>
      </c>
      <c r="M2384" s="3">
        <f ca="1">IF(AND(N2384&lt;&gt;N2383,ISNUMBER(SEARCH(Лист2!$B$6,N:N)),L2384=2),MAX($M$3:OFFSET(M2384,-1,0))+1,0)</f>
        <v>0</v>
      </c>
      <c r="N2384" s="3" t="s">
        <v>1621</v>
      </c>
    </row>
    <row r="2385" spans="1:14" x14ac:dyDescent="0.25">
      <c r="A2385" s="1" t="s">
        <v>11256</v>
      </c>
      <c r="B2385" s="3" t="s">
        <v>6009</v>
      </c>
      <c r="C2385" s="2">
        <f ca="1">IF(ISNUMBER(SEARCH(Лист2!$B$4,D:D)),MAX($C$3:OFFSET(C2385,-1,0))+1,0)</f>
        <v>0</v>
      </c>
      <c r="E2385" s="9" t="str">
        <f t="shared" ca="1" si="49"/>
        <v/>
      </c>
      <c r="F2385" s="4" t="s">
        <v>7</v>
      </c>
      <c r="G2385" s="2">
        <f>IF(ISNUMBER(SEARCH(Лист2!$B$4,F:F)),1,0)</f>
        <v>0</v>
      </c>
      <c r="H2385" s="3">
        <f ca="1">IF(AND(I2385&lt;&gt;I2384,ISNUMBER(SEARCH(Лист2!$B$5,I:I)),G2385=1),MAX($H$3:OFFSET(H2385,-1,0))+1,0)</f>
        <v>0</v>
      </c>
      <c r="I2385" s="3" t="s">
        <v>216</v>
      </c>
      <c r="K2385" s="2">
        <f>IF(ISNUMBER(SEARCH(Лист2!$B$4,F:F)),1,0)</f>
        <v>0</v>
      </c>
      <c r="L2385" s="14">
        <f>IF(ISNUMBER(SEARCH(Лист2!$B$5,I:I)),1,0)+K2385</f>
        <v>0</v>
      </c>
      <c r="M2385" s="3">
        <f ca="1">IF(AND(N2385&lt;&gt;N2384,ISNUMBER(SEARCH(Лист2!$B$6,N:N)),L2385=2),MAX($M$3:OFFSET(M2385,-1,0))+1,0)</f>
        <v>0</v>
      </c>
      <c r="N2385" s="3" t="s">
        <v>602</v>
      </c>
    </row>
    <row r="2386" spans="1:14" x14ac:dyDescent="0.25">
      <c r="A2386" s="1" t="s">
        <v>11526</v>
      </c>
      <c r="B2386" s="3" t="s">
        <v>6010</v>
      </c>
      <c r="C2386" s="2">
        <f ca="1">IF(ISNUMBER(SEARCH(Лист2!$B$4,D:D)),MAX($C$3:OFFSET(C2386,-1,0))+1,0)</f>
        <v>0</v>
      </c>
      <c r="E2386" s="9" t="str">
        <f t="shared" ca="1" si="49"/>
        <v/>
      </c>
      <c r="F2386" s="4" t="s">
        <v>7</v>
      </c>
      <c r="G2386" s="2">
        <f>IF(ISNUMBER(SEARCH(Лист2!$B$4,F:F)),1,0)</f>
        <v>0</v>
      </c>
      <c r="H2386" s="3">
        <f ca="1">IF(AND(I2386&lt;&gt;I2385,ISNUMBER(SEARCH(Лист2!$B$5,I:I)),G2386=1),MAX($H$3:OFFSET(H2386,-1,0))+1,0)</f>
        <v>0</v>
      </c>
      <c r="I2386" s="3" t="s">
        <v>216</v>
      </c>
      <c r="K2386" s="2">
        <f>IF(ISNUMBER(SEARCH(Лист2!$B$4,F:F)),1,0)</f>
        <v>0</v>
      </c>
      <c r="L2386" s="14">
        <f>IF(ISNUMBER(SEARCH(Лист2!$B$5,I:I)),1,0)+K2386</f>
        <v>0</v>
      </c>
      <c r="M2386" s="3">
        <f ca="1">IF(AND(N2386&lt;&gt;N2385,ISNUMBER(SEARCH(Лист2!$B$6,N:N)),L2386=2),MAX($M$3:OFFSET(M2386,-1,0))+1,0)</f>
        <v>0</v>
      </c>
      <c r="N2386" s="3" t="s">
        <v>1798</v>
      </c>
    </row>
    <row r="2387" spans="1:14" x14ac:dyDescent="0.25">
      <c r="A2387" s="1" t="s">
        <v>11527</v>
      </c>
      <c r="B2387" s="3" t="s">
        <v>6011</v>
      </c>
      <c r="C2387" s="2">
        <f ca="1">IF(ISNUMBER(SEARCH(Лист2!$B$4,D:D)),MAX($C$3:OFFSET(C2387,-1,0))+1,0)</f>
        <v>0</v>
      </c>
      <c r="E2387" s="9" t="str">
        <f t="shared" ca="1" si="49"/>
        <v/>
      </c>
      <c r="F2387" s="4" t="s">
        <v>7</v>
      </c>
      <c r="G2387" s="2">
        <f>IF(ISNUMBER(SEARCH(Лист2!$B$4,F:F)),1,0)</f>
        <v>0</v>
      </c>
      <c r="H2387" s="3">
        <f ca="1">IF(AND(I2387&lt;&gt;I2386,ISNUMBER(SEARCH(Лист2!$B$5,I:I)),G2387=1),MAX($H$3:OFFSET(H2387,-1,0))+1,0)</f>
        <v>0</v>
      </c>
      <c r="I2387" s="3" t="s">
        <v>216</v>
      </c>
      <c r="K2387" s="2">
        <f>IF(ISNUMBER(SEARCH(Лист2!$B$4,F:F)),1,0)</f>
        <v>0</v>
      </c>
      <c r="L2387" s="14">
        <f>IF(ISNUMBER(SEARCH(Лист2!$B$5,I:I)),1,0)+K2387</f>
        <v>0</v>
      </c>
      <c r="M2387" s="3">
        <f ca="1">IF(AND(N2387&lt;&gt;N2386,ISNUMBER(SEARCH(Лист2!$B$6,N:N)),L2387=2),MAX($M$3:OFFSET(M2387,-1,0))+1,0)</f>
        <v>0</v>
      </c>
      <c r="N2387" s="3" t="s">
        <v>1799</v>
      </c>
    </row>
    <row r="2388" spans="1:14" x14ac:dyDescent="0.25">
      <c r="A2388" s="1" t="s">
        <v>11528</v>
      </c>
      <c r="B2388" s="3" t="s">
        <v>6012</v>
      </c>
      <c r="C2388" s="2">
        <f ca="1">IF(ISNUMBER(SEARCH(Лист2!$B$4,D:D)),MAX($C$3:OFFSET(C2388,-1,0))+1,0)</f>
        <v>0</v>
      </c>
      <c r="E2388" s="9" t="str">
        <f t="shared" ca="1" si="49"/>
        <v/>
      </c>
      <c r="F2388" s="4" t="s">
        <v>7</v>
      </c>
      <c r="G2388" s="2">
        <f>IF(ISNUMBER(SEARCH(Лист2!$B$4,F:F)),1,0)</f>
        <v>0</v>
      </c>
      <c r="H2388" s="3">
        <f ca="1">IF(AND(I2388&lt;&gt;I2387,ISNUMBER(SEARCH(Лист2!$B$5,I:I)),G2388=1),MAX($H$3:OFFSET(H2388,-1,0))+1,0)</f>
        <v>0</v>
      </c>
      <c r="I2388" s="3" t="s">
        <v>216</v>
      </c>
      <c r="K2388" s="2">
        <f>IF(ISNUMBER(SEARCH(Лист2!$B$4,F:F)),1,0)</f>
        <v>0</v>
      </c>
      <c r="L2388" s="14">
        <f>IF(ISNUMBER(SEARCH(Лист2!$B$5,I:I)),1,0)+K2388</f>
        <v>0</v>
      </c>
      <c r="M2388" s="3">
        <f ca="1">IF(AND(N2388&lt;&gt;N2387,ISNUMBER(SEARCH(Лист2!$B$6,N:N)),L2388=2),MAX($M$3:OFFSET(M2388,-1,0))+1,0)</f>
        <v>0</v>
      </c>
      <c r="N2388" s="3" t="s">
        <v>1800</v>
      </c>
    </row>
    <row r="2389" spans="1:14" x14ac:dyDescent="0.25">
      <c r="A2389" s="1" t="s">
        <v>11529</v>
      </c>
      <c r="B2389" s="3" t="s">
        <v>6013</v>
      </c>
      <c r="C2389" s="2">
        <f ca="1">IF(ISNUMBER(SEARCH(Лист2!$B$4,D:D)),MAX($C$3:OFFSET(C2389,-1,0))+1,0)</f>
        <v>0</v>
      </c>
      <c r="E2389" s="9" t="str">
        <f t="shared" ca="1" si="49"/>
        <v/>
      </c>
      <c r="F2389" s="4" t="s">
        <v>7</v>
      </c>
      <c r="G2389" s="2">
        <f>IF(ISNUMBER(SEARCH(Лист2!$B$4,F:F)),1,0)</f>
        <v>0</v>
      </c>
      <c r="H2389" s="3">
        <f ca="1">IF(AND(I2389&lt;&gt;I2388,ISNUMBER(SEARCH(Лист2!$B$5,I:I)),G2389=1),MAX($H$3:OFFSET(H2389,-1,0))+1,0)</f>
        <v>0</v>
      </c>
      <c r="I2389" s="3" t="s">
        <v>217</v>
      </c>
      <c r="K2389" s="2">
        <f>IF(ISNUMBER(SEARCH(Лист2!$B$4,F:F)),1,0)</f>
        <v>0</v>
      </c>
      <c r="L2389" s="14">
        <f>IF(ISNUMBER(SEARCH(Лист2!$B$5,I:I)),1,0)+K2389</f>
        <v>0</v>
      </c>
      <c r="M2389" s="3">
        <f ca="1">IF(AND(N2389&lt;&gt;N2388,ISNUMBER(SEARCH(Лист2!$B$6,N:N)),L2389=2),MAX($M$3:OFFSET(M2389,-1,0))+1,0)</f>
        <v>0</v>
      </c>
      <c r="N2389" s="3" t="s">
        <v>1801</v>
      </c>
    </row>
    <row r="2390" spans="1:14" x14ac:dyDescent="0.25">
      <c r="A2390" s="1" t="s">
        <v>11530</v>
      </c>
      <c r="B2390" s="3" t="s">
        <v>6014</v>
      </c>
      <c r="C2390" s="2">
        <f ca="1">IF(ISNUMBER(SEARCH(Лист2!$B$4,D:D)),MAX($C$3:OFFSET(C2390,-1,0))+1,0)</f>
        <v>0</v>
      </c>
      <c r="E2390" s="9" t="str">
        <f t="shared" ca="1" si="49"/>
        <v/>
      </c>
      <c r="F2390" s="4" t="s">
        <v>7</v>
      </c>
      <c r="G2390" s="2">
        <f>IF(ISNUMBER(SEARCH(Лист2!$B$4,F:F)),1,0)</f>
        <v>0</v>
      </c>
      <c r="H2390" s="3">
        <f ca="1">IF(AND(I2390&lt;&gt;I2389,ISNUMBER(SEARCH(Лист2!$B$5,I:I)),G2390=1),MAX($H$3:OFFSET(H2390,-1,0))+1,0)</f>
        <v>0</v>
      </c>
      <c r="I2390" s="3" t="s">
        <v>217</v>
      </c>
      <c r="K2390" s="2">
        <f>IF(ISNUMBER(SEARCH(Лист2!$B$4,F:F)),1,0)</f>
        <v>0</v>
      </c>
      <c r="L2390" s="14">
        <f>IF(ISNUMBER(SEARCH(Лист2!$B$5,I:I)),1,0)+K2390</f>
        <v>0</v>
      </c>
      <c r="M2390" s="3">
        <f ca="1">IF(AND(N2390&lt;&gt;N2389,ISNUMBER(SEARCH(Лист2!$B$6,N:N)),L2390=2),MAX($M$3:OFFSET(M2390,-1,0))+1,0)</f>
        <v>0</v>
      </c>
      <c r="N2390" s="3" t="s">
        <v>1802</v>
      </c>
    </row>
    <row r="2391" spans="1:14" x14ac:dyDescent="0.25">
      <c r="A2391" s="1" t="s">
        <v>11263</v>
      </c>
      <c r="B2391" s="3" t="s">
        <v>6015</v>
      </c>
      <c r="C2391" s="2">
        <f ca="1">IF(ISNUMBER(SEARCH(Лист2!$B$4,D:D)),MAX($C$3:OFFSET(C2391,-1,0))+1,0)</f>
        <v>0</v>
      </c>
      <c r="E2391" s="9" t="str">
        <f t="shared" ca="1" si="49"/>
        <v/>
      </c>
      <c r="F2391" s="4" t="s">
        <v>7</v>
      </c>
      <c r="G2391" s="2">
        <f>IF(ISNUMBER(SEARCH(Лист2!$B$4,F:F)),1,0)</f>
        <v>0</v>
      </c>
      <c r="H2391" s="3">
        <f ca="1">IF(AND(I2391&lt;&gt;I2390,ISNUMBER(SEARCH(Лист2!$B$5,I:I)),G2391=1),MAX($H$3:OFFSET(H2391,-1,0))+1,0)</f>
        <v>0</v>
      </c>
      <c r="I2391" s="3" t="s">
        <v>217</v>
      </c>
      <c r="K2391" s="2">
        <f>IF(ISNUMBER(SEARCH(Лист2!$B$4,F:F)),1,0)</f>
        <v>0</v>
      </c>
      <c r="L2391" s="14">
        <f>IF(ISNUMBER(SEARCH(Лист2!$B$5,I:I)),1,0)+K2391</f>
        <v>0</v>
      </c>
      <c r="M2391" s="3">
        <f ca="1">IF(AND(N2391&lt;&gt;N2390,ISNUMBER(SEARCH(Лист2!$B$6,N:N)),L2391=2),MAX($M$3:OFFSET(M2391,-1,0))+1,0)</f>
        <v>0</v>
      </c>
      <c r="N2391" s="3" t="s">
        <v>1619</v>
      </c>
    </row>
    <row r="2392" spans="1:14" x14ac:dyDescent="0.25">
      <c r="A2392" s="1" t="s">
        <v>11264</v>
      </c>
      <c r="B2392" s="3" t="s">
        <v>6016</v>
      </c>
      <c r="C2392" s="2">
        <f ca="1">IF(ISNUMBER(SEARCH(Лист2!$B$4,D:D)),MAX($C$3:OFFSET(C2392,-1,0))+1,0)</f>
        <v>0</v>
      </c>
      <c r="E2392" s="9" t="str">
        <f t="shared" ca="1" si="49"/>
        <v/>
      </c>
      <c r="F2392" s="4" t="s">
        <v>7</v>
      </c>
      <c r="G2392" s="2">
        <f>IF(ISNUMBER(SEARCH(Лист2!$B$4,F:F)),1,0)</f>
        <v>0</v>
      </c>
      <c r="H2392" s="3">
        <f ca="1">IF(AND(I2392&lt;&gt;I2391,ISNUMBER(SEARCH(Лист2!$B$5,I:I)),G2392=1),MAX($H$3:OFFSET(H2392,-1,0))+1,0)</f>
        <v>0</v>
      </c>
      <c r="I2392" s="3" t="s">
        <v>217</v>
      </c>
      <c r="K2392" s="2">
        <f>IF(ISNUMBER(SEARCH(Лист2!$B$4,F:F)),1,0)</f>
        <v>0</v>
      </c>
      <c r="L2392" s="14">
        <f>IF(ISNUMBER(SEARCH(Лист2!$B$5,I:I)),1,0)+K2392</f>
        <v>0</v>
      </c>
      <c r="M2392" s="3">
        <f ca="1">IF(AND(N2392&lt;&gt;N2391,ISNUMBER(SEARCH(Лист2!$B$6,N:N)),L2392=2),MAX($M$3:OFFSET(M2392,-1,0))+1,0)</f>
        <v>0</v>
      </c>
      <c r="N2392" s="3" t="s">
        <v>1620</v>
      </c>
    </row>
    <row r="2393" spans="1:14" x14ac:dyDescent="0.25">
      <c r="A2393" s="1" t="s">
        <v>11265</v>
      </c>
      <c r="B2393" s="3" t="s">
        <v>6017</v>
      </c>
      <c r="C2393" s="2">
        <f ca="1">IF(ISNUMBER(SEARCH(Лист2!$B$4,D:D)),MAX($C$3:OFFSET(C2393,-1,0))+1,0)</f>
        <v>0</v>
      </c>
      <c r="E2393" s="9" t="str">
        <f t="shared" ca="1" si="49"/>
        <v/>
      </c>
      <c r="F2393" s="4" t="s">
        <v>7</v>
      </c>
      <c r="G2393" s="2">
        <f>IF(ISNUMBER(SEARCH(Лист2!$B$4,F:F)),1,0)</f>
        <v>0</v>
      </c>
      <c r="H2393" s="3">
        <f ca="1">IF(AND(I2393&lt;&gt;I2392,ISNUMBER(SEARCH(Лист2!$B$5,I:I)),G2393=1),MAX($H$3:OFFSET(H2393,-1,0))+1,0)</f>
        <v>0</v>
      </c>
      <c r="I2393" s="3" t="s">
        <v>217</v>
      </c>
      <c r="K2393" s="2">
        <f>IF(ISNUMBER(SEARCH(Лист2!$B$4,F:F)),1,0)</f>
        <v>0</v>
      </c>
      <c r="L2393" s="14">
        <f>IF(ISNUMBER(SEARCH(Лист2!$B$5,I:I)),1,0)+K2393</f>
        <v>0</v>
      </c>
      <c r="M2393" s="3">
        <f ca="1">IF(AND(N2393&lt;&gt;N2392,ISNUMBER(SEARCH(Лист2!$B$6,N:N)),L2393=2),MAX($M$3:OFFSET(M2393,-1,0))+1,0)</f>
        <v>0</v>
      </c>
      <c r="N2393" s="3" t="s">
        <v>1634</v>
      </c>
    </row>
    <row r="2394" spans="1:14" x14ac:dyDescent="0.25">
      <c r="A2394" s="1" t="s">
        <v>11266</v>
      </c>
      <c r="B2394" s="3" t="s">
        <v>6018</v>
      </c>
      <c r="C2394" s="2">
        <f ca="1">IF(ISNUMBER(SEARCH(Лист2!$B$4,D:D)),MAX($C$3:OFFSET(C2394,-1,0))+1,0)</f>
        <v>0</v>
      </c>
      <c r="E2394" s="9" t="str">
        <f t="shared" ca="1" si="49"/>
        <v/>
      </c>
      <c r="F2394" s="4" t="s">
        <v>7</v>
      </c>
      <c r="G2394" s="2">
        <f>IF(ISNUMBER(SEARCH(Лист2!$B$4,F:F)),1,0)</f>
        <v>0</v>
      </c>
      <c r="H2394" s="3">
        <f ca="1">IF(AND(I2394&lt;&gt;I2393,ISNUMBER(SEARCH(Лист2!$B$5,I:I)),G2394=1),MAX($H$3:OFFSET(H2394,-1,0))+1,0)</f>
        <v>0</v>
      </c>
      <c r="I2394" s="3" t="s">
        <v>217</v>
      </c>
      <c r="K2394" s="2">
        <f>IF(ISNUMBER(SEARCH(Лист2!$B$4,F:F)),1,0)</f>
        <v>0</v>
      </c>
      <c r="L2394" s="14">
        <f>IF(ISNUMBER(SEARCH(Лист2!$B$5,I:I)),1,0)+K2394</f>
        <v>0</v>
      </c>
      <c r="M2394" s="3">
        <f ca="1">IF(AND(N2394&lt;&gt;N2393,ISNUMBER(SEARCH(Лист2!$B$6,N:N)),L2394=2),MAX($M$3:OFFSET(M2394,-1,0))+1,0)</f>
        <v>0</v>
      </c>
      <c r="N2394" s="3" t="s">
        <v>602</v>
      </c>
    </row>
    <row r="2395" spans="1:14" x14ac:dyDescent="0.25">
      <c r="A2395" s="1" t="s">
        <v>11531</v>
      </c>
      <c r="B2395" s="3" t="s">
        <v>6019</v>
      </c>
      <c r="C2395" s="2">
        <f ca="1">IF(ISNUMBER(SEARCH(Лист2!$B$4,D:D)),MAX($C$3:OFFSET(C2395,-1,0))+1,0)</f>
        <v>0</v>
      </c>
      <c r="E2395" s="9" t="str">
        <f t="shared" ca="1" si="49"/>
        <v/>
      </c>
      <c r="F2395" s="4" t="s">
        <v>7</v>
      </c>
      <c r="G2395" s="2">
        <f>IF(ISNUMBER(SEARCH(Лист2!$B$4,F:F)),1,0)</f>
        <v>0</v>
      </c>
      <c r="H2395" s="3">
        <f ca="1">IF(AND(I2395&lt;&gt;I2394,ISNUMBER(SEARCH(Лист2!$B$5,I:I)),G2395=1),MAX($H$3:OFFSET(H2395,-1,0))+1,0)</f>
        <v>0</v>
      </c>
      <c r="I2395" s="3" t="s">
        <v>217</v>
      </c>
      <c r="K2395" s="2">
        <f>IF(ISNUMBER(SEARCH(Лист2!$B$4,F:F)),1,0)</f>
        <v>0</v>
      </c>
      <c r="L2395" s="14">
        <f>IF(ISNUMBER(SEARCH(Лист2!$B$5,I:I)),1,0)+K2395</f>
        <v>0</v>
      </c>
      <c r="M2395" s="3">
        <f ca="1">IF(AND(N2395&lt;&gt;N2394,ISNUMBER(SEARCH(Лист2!$B$6,N:N)),L2395=2),MAX($M$3:OFFSET(M2395,-1,0))+1,0)</f>
        <v>0</v>
      </c>
      <c r="N2395" s="3" t="s">
        <v>1803</v>
      </c>
    </row>
    <row r="2396" spans="1:14" x14ac:dyDescent="0.25">
      <c r="A2396" s="1" t="s">
        <v>11532</v>
      </c>
      <c r="B2396" s="3" t="s">
        <v>6020</v>
      </c>
      <c r="C2396" s="2">
        <f ca="1">IF(ISNUMBER(SEARCH(Лист2!$B$4,D:D)),MAX($C$3:OFFSET(C2396,-1,0))+1,0)</f>
        <v>0</v>
      </c>
      <c r="E2396" s="9" t="str">
        <f t="shared" ca="1" si="49"/>
        <v/>
      </c>
      <c r="F2396" s="4" t="s">
        <v>7</v>
      </c>
      <c r="G2396" s="2">
        <f>IF(ISNUMBER(SEARCH(Лист2!$B$4,F:F)),1,0)</f>
        <v>0</v>
      </c>
      <c r="H2396" s="3">
        <f ca="1">IF(AND(I2396&lt;&gt;I2395,ISNUMBER(SEARCH(Лист2!$B$5,I:I)),G2396=1),MAX($H$3:OFFSET(H2396,-1,0))+1,0)</f>
        <v>0</v>
      </c>
      <c r="I2396" s="3" t="s">
        <v>217</v>
      </c>
      <c r="K2396" s="2">
        <f>IF(ISNUMBER(SEARCH(Лист2!$B$4,F:F)),1,0)</f>
        <v>0</v>
      </c>
      <c r="L2396" s="14">
        <f>IF(ISNUMBER(SEARCH(Лист2!$B$5,I:I)),1,0)+K2396</f>
        <v>0</v>
      </c>
      <c r="M2396" s="3">
        <f ca="1">IF(AND(N2396&lt;&gt;N2395,ISNUMBER(SEARCH(Лист2!$B$6,N:N)),L2396=2),MAX($M$3:OFFSET(M2396,-1,0))+1,0)</f>
        <v>0</v>
      </c>
      <c r="N2396" s="3" t="s">
        <v>1804</v>
      </c>
    </row>
    <row r="2397" spans="1:14" x14ac:dyDescent="0.25">
      <c r="A2397" s="1" t="s">
        <v>11533</v>
      </c>
      <c r="B2397" s="3" t="s">
        <v>6021</v>
      </c>
      <c r="C2397" s="2">
        <f ca="1">IF(ISNUMBER(SEARCH(Лист2!$B$4,D:D)),MAX($C$3:OFFSET(C2397,-1,0))+1,0)</f>
        <v>0</v>
      </c>
      <c r="E2397" s="9" t="str">
        <f t="shared" ca="1" si="49"/>
        <v/>
      </c>
      <c r="F2397" s="4" t="s">
        <v>7</v>
      </c>
      <c r="G2397" s="2">
        <f>IF(ISNUMBER(SEARCH(Лист2!$B$4,F:F)),1,0)</f>
        <v>0</v>
      </c>
      <c r="H2397" s="3">
        <f ca="1">IF(AND(I2397&lt;&gt;I2396,ISNUMBER(SEARCH(Лист2!$B$5,I:I)),G2397=1),MAX($H$3:OFFSET(H2397,-1,0))+1,0)</f>
        <v>0</v>
      </c>
      <c r="I2397" s="3" t="s">
        <v>217</v>
      </c>
      <c r="K2397" s="2">
        <f>IF(ISNUMBER(SEARCH(Лист2!$B$4,F:F)),1,0)</f>
        <v>0</v>
      </c>
      <c r="L2397" s="14">
        <f>IF(ISNUMBER(SEARCH(Лист2!$B$5,I:I)),1,0)+K2397</f>
        <v>0</v>
      </c>
      <c r="M2397" s="3">
        <f ca="1">IF(AND(N2397&lt;&gt;N2396,ISNUMBER(SEARCH(Лист2!$B$6,N:N)),L2397=2),MAX($M$3:OFFSET(M2397,-1,0))+1,0)</f>
        <v>0</v>
      </c>
      <c r="N2397" s="3" t="s">
        <v>1805</v>
      </c>
    </row>
    <row r="2398" spans="1:14" x14ac:dyDescent="0.25">
      <c r="A2398" s="1" t="s">
        <v>11534</v>
      </c>
      <c r="B2398" s="3" t="s">
        <v>6022</v>
      </c>
      <c r="C2398" s="2">
        <f ca="1">IF(ISNUMBER(SEARCH(Лист2!$B$4,D:D)),MAX($C$3:OFFSET(C2398,-1,0))+1,0)</f>
        <v>0</v>
      </c>
      <c r="E2398" s="9" t="str">
        <f t="shared" ca="1" si="49"/>
        <v/>
      </c>
      <c r="F2398" s="4" t="s">
        <v>7</v>
      </c>
      <c r="G2398" s="2">
        <f>IF(ISNUMBER(SEARCH(Лист2!$B$4,F:F)),1,0)</f>
        <v>0</v>
      </c>
      <c r="H2398" s="3">
        <f ca="1">IF(AND(I2398&lt;&gt;I2397,ISNUMBER(SEARCH(Лист2!$B$5,I:I)),G2398=1),MAX($H$3:OFFSET(H2398,-1,0))+1,0)</f>
        <v>0</v>
      </c>
      <c r="I2398" s="3" t="s">
        <v>218</v>
      </c>
      <c r="K2398" s="2">
        <f>IF(ISNUMBER(SEARCH(Лист2!$B$4,F:F)),1,0)</f>
        <v>0</v>
      </c>
      <c r="L2398" s="14">
        <f>IF(ISNUMBER(SEARCH(Лист2!$B$5,I:I)),1,0)+K2398</f>
        <v>0</v>
      </c>
      <c r="M2398" s="3">
        <f ca="1">IF(AND(N2398&lt;&gt;N2397,ISNUMBER(SEARCH(Лист2!$B$6,N:N)),L2398=2),MAX($M$3:OFFSET(M2398,-1,0))+1,0)</f>
        <v>0</v>
      </c>
      <c r="N2398" s="3" t="s">
        <v>1806</v>
      </c>
    </row>
    <row r="2399" spans="1:14" x14ac:dyDescent="0.25">
      <c r="A2399" s="1" t="s">
        <v>11535</v>
      </c>
      <c r="B2399" s="3" t="s">
        <v>6023</v>
      </c>
      <c r="C2399" s="2">
        <f ca="1">IF(ISNUMBER(SEARCH(Лист2!$B$4,D:D)),MAX($C$3:OFFSET(C2399,-1,0))+1,0)</f>
        <v>0</v>
      </c>
      <c r="E2399" s="9" t="str">
        <f t="shared" ca="1" si="49"/>
        <v/>
      </c>
      <c r="F2399" s="4" t="s">
        <v>7</v>
      </c>
      <c r="G2399" s="2">
        <f>IF(ISNUMBER(SEARCH(Лист2!$B$4,F:F)),1,0)</f>
        <v>0</v>
      </c>
      <c r="H2399" s="3">
        <f ca="1">IF(AND(I2399&lt;&gt;I2398,ISNUMBER(SEARCH(Лист2!$B$5,I:I)),G2399=1),MAX($H$3:OFFSET(H2399,-1,0))+1,0)</f>
        <v>0</v>
      </c>
      <c r="I2399" s="3" t="s">
        <v>218</v>
      </c>
      <c r="K2399" s="2">
        <f>IF(ISNUMBER(SEARCH(Лист2!$B$4,F:F)),1,0)</f>
        <v>0</v>
      </c>
      <c r="L2399" s="14">
        <f>IF(ISNUMBER(SEARCH(Лист2!$B$5,I:I)),1,0)+K2399</f>
        <v>0</v>
      </c>
      <c r="M2399" s="3">
        <f ca="1">IF(AND(N2399&lt;&gt;N2398,ISNUMBER(SEARCH(Лист2!$B$6,N:N)),L2399=2),MAX($M$3:OFFSET(M2399,-1,0))+1,0)</f>
        <v>0</v>
      </c>
      <c r="N2399" s="3" t="s">
        <v>1807</v>
      </c>
    </row>
    <row r="2400" spans="1:14" x14ac:dyDescent="0.25">
      <c r="A2400" s="1" t="s">
        <v>11272</v>
      </c>
      <c r="B2400" s="3" t="s">
        <v>6024</v>
      </c>
      <c r="C2400" s="2">
        <f ca="1">IF(ISNUMBER(SEARCH(Лист2!$B$4,D:D)),MAX($C$3:OFFSET(C2400,-1,0))+1,0)</f>
        <v>0</v>
      </c>
      <c r="E2400" s="9" t="str">
        <f t="shared" ca="1" si="49"/>
        <v/>
      </c>
      <c r="F2400" s="4" t="s">
        <v>7</v>
      </c>
      <c r="G2400" s="2">
        <f>IF(ISNUMBER(SEARCH(Лист2!$B$4,F:F)),1,0)</f>
        <v>0</v>
      </c>
      <c r="H2400" s="3">
        <f ca="1">IF(AND(I2400&lt;&gt;I2399,ISNUMBER(SEARCH(Лист2!$B$5,I:I)),G2400=1),MAX($H$3:OFFSET(H2400,-1,0))+1,0)</f>
        <v>0</v>
      </c>
      <c r="I2400" s="3" t="s">
        <v>218</v>
      </c>
      <c r="K2400" s="2">
        <f>IF(ISNUMBER(SEARCH(Лист2!$B$4,F:F)),1,0)</f>
        <v>0</v>
      </c>
      <c r="L2400" s="14">
        <f>IF(ISNUMBER(SEARCH(Лист2!$B$5,I:I)),1,0)+K2400</f>
        <v>0</v>
      </c>
      <c r="M2400" s="3">
        <f ca="1">IF(AND(N2400&lt;&gt;N2399,ISNUMBER(SEARCH(Лист2!$B$6,N:N)),L2400=2),MAX($M$3:OFFSET(M2400,-1,0))+1,0)</f>
        <v>0</v>
      </c>
      <c r="N2400" s="3" t="s">
        <v>1619</v>
      </c>
    </row>
    <row r="2401" spans="1:14" x14ac:dyDescent="0.25">
      <c r="A2401" s="1" t="s">
        <v>11273</v>
      </c>
      <c r="B2401" s="3" t="s">
        <v>6025</v>
      </c>
      <c r="C2401" s="2">
        <f ca="1">IF(ISNUMBER(SEARCH(Лист2!$B$4,D:D)),MAX($C$3:OFFSET(C2401,-1,0))+1,0)</f>
        <v>0</v>
      </c>
      <c r="E2401" s="9" t="str">
        <f t="shared" ca="1" si="49"/>
        <v/>
      </c>
      <c r="F2401" s="4" t="s">
        <v>7</v>
      </c>
      <c r="G2401" s="2">
        <f>IF(ISNUMBER(SEARCH(Лист2!$B$4,F:F)),1,0)</f>
        <v>0</v>
      </c>
      <c r="H2401" s="3">
        <f ca="1">IF(AND(I2401&lt;&gt;I2400,ISNUMBER(SEARCH(Лист2!$B$5,I:I)),G2401=1),MAX($H$3:OFFSET(H2401,-1,0))+1,0)</f>
        <v>0</v>
      </c>
      <c r="I2401" s="3" t="s">
        <v>218</v>
      </c>
      <c r="K2401" s="2">
        <f>IF(ISNUMBER(SEARCH(Лист2!$B$4,F:F)),1,0)</f>
        <v>0</v>
      </c>
      <c r="L2401" s="14">
        <f>IF(ISNUMBER(SEARCH(Лист2!$B$5,I:I)),1,0)+K2401</f>
        <v>0</v>
      </c>
      <c r="M2401" s="3">
        <f ca="1">IF(AND(N2401&lt;&gt;N2400,ISNUMBER(SEARCH(Лист2!$B$6,N:N)),L2401=2),MAX($M$3:OFFSET(M2401,-1,0))+1,0)</f>
        <v>0</v>
      </c>
      <c r="N2401" s="3" t="s">
        <v>1620</v>
      </c>
    </row>
    <row r="2402" spans="1:14" x14ac:dyDescent="0.25">
      <c r="A2402" s="1" t="s">
        <v>11274</v>
      </c>
      <c r="B2402" s="3" t="s">
        <v>6026</v>
      </c>
      <c r="C2402" s="2">
        <f ca="1">IF(ISNUMBER(SEARCH(Лист2!$B$4,D:D)),MAX($C$3:OFFSET(C2402,-1,0))+1,0)</f>
        <v>0</v>
      </c>
      <c r="E2402" s="9" t="str">
        <f t="shared" ca="1" si="49"/>
        <v/>
      </c>
      <c r="F2402" s="4" t="s">
        <v>7</v>
      </c>
      <c r="G2402" s="2">
        <f>IF(ISNUMBER(SEARCH(Лист2!$B$4,F:F)),1,0)</f>
        <v>0</v>
      </c>
      <c r="H2402" s="3">
        <f ca="1">IF(AND(I2402&lt;&gt;I2401,ISNUMBER(SEARCH(Лист2!$B$5,I:I)),G2402=1),MAX($H$3:OFFSET(H2402,-1,0))+1,0)</f>
        <v>0</v>
      </c>
      <c r="I2402" s="3" t="s">
        <v>218</v>
      </c>
      <c r="K2402" s="2">
        <f>IF(ISNUMBER(SEARCH(Лист2!$B$4,F:F)),1,0)</f>
        <v>0</v>
      </c>
      <c r="L2402" s="14">
        <f>IF(ISNUMBER(SEARCH(Лист2!$B$5,I:I)),1,0)+K2402</f>
        <v>0</v>
      </c>
      <c r="M2402" s="3">
        <f ca="1">IF(AND(N2402&lt;&gt;N2401,ISNUMBER(SEARCH(Лист2!$B$6,N:N)),L2402=2),MAX($M$3:OFFSET(M2402,-1,0))+1,0)</f>
        <v>0</v>
      </c>
      <c r="N2402" s="3" t="s">
        <v>1621</v>
      </c>
    </row>
    <row r="2403" spans="1:14" x14ac:dyDescent="0.25">
      <c r="A2403" s="1" t="s">
        <v>11275</v>
      </c>
      <c r="B2403" s="3" t="s">
        <v>6027</v>
      </c>
      <c r="C2403" s="2">
        <f ca="1">IF(ISNUMBER(SEARCH(Лист2!$B$4,D:D)),MAX($C$3:OFFSET(C2403,-1,0))+1,0)</f>
        <v>0</v>
      </c>
      <c r="E2403" s="9" t="str">
        <f t="shared" ca="1" si="49"/>
        <v/>
      </c>
      <c r="F2403" s="4" t="s">
        <v>7</v>
      </c>
      <c r="G2403" s="2">
        <f>IF(ISNUMBER(SEARCH(Лист2!$B$4,F:F)),1,0)</f>
        <v>0</v>
      </c>
      <c r="H2403" s="3">
        <f ca="1">IF(AND(I2403&lt;&gt;I2402,ISNUMBER(SEARCH(Лист2!$B$5,I:I)),G2403=1),MAX($H$3:OFFSET(H2403,-1,0))+1,0)</f>
        <v>0</v>
      </c>
      <c r="I2403" s="3" t="s">
        <v>218</v>
      </c>
      <c r="K2403" s="2">
        <f>IF(ISNUMBER(SEARCH(Лист2!$B$4,F:F)),1,0)</f>
        <v>0</v>
      </c>
      <c r="L2403" s="14">
        <f>IF(ISNUMBER(SEARCH(Лист2!$B$5,I:I)),1,0)+K2403</f>
        <v>0</v>
      </c>
      <c r="M2403" s="3">
        <f ca="1">IF(AND(N2403&lt;&gt;N2402,ISNUMBER(SEARCH(Лист2!$B$6,N:N)),L2403=2),MAX($M$3:OFFSET(M2403,-1,0))+1,0)</f>
        <v>0</v>
      </c>
      <c r="N2403" s="3" t="s">
        <v>602</v>
      </c>
    </row>
    <row r="2404" spans="1:14" x14ac:dyDescent="0.25">
      <c r="A2404" s="1" t="s">
        <v>11536</v>
      </c>
      <c r="B2404" s="3" t="s">
        <v>6028</v>
      </c>
      <c r="C2404" s="2">
        <f ca="1">IF(ISNUMBER(SEARCH(Лист2!$B$4,D:D)),MAX($C$3:OFFSET(C2404,-1,0))+1,0)</f>
        <v>0</v>
      </c>
      <c r="E2404" s="9" t="str">
        <f t="shared" ca="1" si="49"/>
        <v/>
      </c>
      <c r="F2404" s="4" t="s">
        <v>7</v>
      </c>
      <c r="G2404" s="2">
        <f>IF(ISNUMBER(SEARCH(Лист2!$B$4,F:F)),1,0)</f>
        <v>0</v>
      </c>
      <c r="H2404" s="3">
        <f ca="1">IF(AND(I2404&lt;&gt;I2403,ISNUMBER(SEARCH(Лист2!$B$5,I:I)),G2404=1),MAX($H$3:OFFSET(H2404,-1,0))+1,0)</f>
        <v>0</v>
      </c>
      <c r="I2404" s="3" t="s">
        <v>218</v>
      </c>
      <c r="K2404" s="2">
        <f>IF(ISNUMBER(SEARCH(Лист2!$B$4,F:F)),1,0)</f>
        <v>0</v>
      </c>
      <c r="L2404" s="14">
        <f>IF(ISNUMBER(SEARCH(Лист2!$B$5,I:I)),1,0)+K2404</f>
        <v>0</v>
      </c>
      <c r="M2404" s="3">
        <f ca="1">IF(AND(N2404&lt;&gt;N2403,ISNUMBER(SEARCH(Лист2!$B$6,N:N)),L2404=2),MAX($M$3:OFFSET(M2404,-1,0))+1,0)</f>
        <v>0</v>
      </c>
      <c r="N2404" s="3" t="s">
        <v>1808</v>
      </c>
    </row>
    <row r="2405" spans="1:14" x14ac:dyDescent="0.25">
      <c r="A2405" s="1" t="s">
        <v>11537</v>
      </c>
      <c r="B2405" s="3" t="s">
        <v>6029</v>
      </c>
      <c r="C2405" s="2">
        <f ca="1">IF(ISNUMBER(SEARCH(Лист2!$B$4,D:D)),MAX($C$3:OFFSET(C2405,-1,0))+1,0)</f>
        <v>0</v>
      </c>
      <c r="E2405" s="9" t="str">
        <f t="shared" ca="1" si="49"/>
        <v/>
      </c>
      <c r="F2405" s="4" t="s">
        <v>7</v>
      </c>
      <c r="G2405" s="2">
        <f>IF(ISNUMBER(SEARCH(Лист2!$B$4,F:F)),1,0)</f>
        <v>0</v>
      </c>
      <c r="H2405" s="3">
        <f ca="1">IF(AND(I2405&lt;&gt;I2404,ISNUMBER(SEARCH(Лист2!$B$5,I:I)),G2405=1),MAX($H$3:OFFSET(H2405,-1,0))+1,0)</f>
        <v>0</v>
      </c>
      <c r="I2405" s="3" t="s">
        <v>218</v>
      </c>
      <c r="K2405" s="2">
        <f>IF(ISNUMBER(SEARCH(Лист2!$B$4,F:F)),1,0)</f>
        <v>0</v>
      </c>
      <c r="L2405" s="14">
        <f>IF(ISNUMBER(SEARCH(Лист2!$B$5,I:I)),1,0)+K2405</f>
        <v>0</v>
      </c>
      <c r="M2405" s="3">
        <f ca="1">IF(AND(N2405&lt;&gt;N2404,ISNUMBER(SEARCH(Лист2!$B$6,N:N)),L2405=2),MAX($M$3:OFFSET(M2405,-1,0))+1,0)</f>
        <v>0</v>
      </c>
      <c r="N2405" s="3" t="s">
        <v>1809</v>
      </c>
    </row>
    <row r="2406" spans="1:14" x14ac:dyDescent="0.25">
      <c r="A2406" s="1" t="s">
        <v>11538</v>
      </c>
      <c r="B2406" s="3" t="s">
        <v>6030</v>
      </c>
      <c r="C2406" s="2">
        <f ca="1">IF(ISNUMBER(SEARCH(Лист2!$B$4,D:D)),MAX($C$3:OFFSET(C2406,-1,0))+1,0)</f>
        <v>0</v>
      </c>
      <c r="E2406" s="9" t="str">
        <f t="shared" ca="1" si="49"/>
        <v/>
      </c>
      <c r="F2406" s="4" t="s">
        <v>7</v>
      </c>
      <c r="G2406" s="2">
        <f>IF(ISNUMBER(SEARCH(Лист2!$B$4,F:F)),1,0)</f>
        <v>0</v>
      </c>
      <c r="H2406" s="3">
        <f ca="1">IF(AND(I2406&lt;&gt;I2405,ISNUMBER(SEARCH(Лист2!$B$5,I:I)),G2406=1),MAX($H$3:OFFSET(H2406,-1,0))+1,0)</f>
        <v>0</v>
      </c>
      <c r="I2406" s="3" t="s">
        <v>218</v>
      </c>
      <c r="K2406" s="2">
        <f>IF(ISNUMBER(SEARCH(Лист2!$B$4,F:F)),1,0)</f>
        <v>0</v>
      </c>
      <c r="L2406" s="14">
        <f>IF(ISNUMBER(SEARCH(Лист2!$B$5,I:I)),1,0)+K2406</f>
        <v>0</v>
      </c>
      <c r="M2406" s="3">
        <f ca="1">IF(AND(N2406&lt;&gt;N2405,ISNUMBER(SEARCH(Лист2!$B$6,N:N)),L2406=2),MAX($M$3:OFFSET(M2406,-1,0))+1,0)</f>
        <v>0</v>
      </c>
      <c r="N2406" s="3" t="s">
        <v>1810</v>
      </c>
    </row>
    <row r="2407" spans="1:14" x14ac:dyDescent="0.25">
      <c r="A2407" s="1" t="s">
        <v>11539</v>
      </c>
      <c r="B2407" s="3" t="s">
        <v>6031</v>
      </c>
      <c r="C2407" s="2">
        <f ca="1">IF(ISNUMBER(SEARCH(Лист2!$B$4,D:D)),MAX($C$3:OFFSET(C2407,-1,0))+1,0)</f>
        <v>0</v>
      </c>
      <c r="E2407" s="9" t="str">
        <f t="shared" ca="1" si="49"/>
        <v/>
      </c>
      <c r="F2407" s="4" t="s">
        <v>7</v>
      </c>
      <c r="G2407" s="2">
        <f>IF(ISNUMBER(SEARCH(Лист2!$B$4,F:F)),1,0)</f>
        <v>0</v>
      </c>
      <c r="H2407" s="3">
        <f ca="1">IF(AND(I2407&lt;&gt;I2406,ISNUMBER(SEARCH(Лист2!$B$5,I:I)),G2407=1),MAX($H$3:OFFSET(H2407,-1,0))+1,0)</f>
        <v>0</v>
      </c>
      <c r="I2407" s="3" t="s">
        <v>219</v>
      </c>
      <c r="K2407" s="2">
        <f>IF(ISNUMBER(SEARCH(Лист2!$B$4,F:F)),1,0)</f>
        <v>0</v>
      </c>
      <c r="L2407" s="14">
        <f>IF(ISNUMBER(SEARCH(Лист2!$B$5,I:I)),1,0)+K2407</f>
        <v>0</v>
      </c>
      <c r="M2407" s="3">
        <f ca="1">IF(AND(N2407&lt;&gt;N2406,ISNUMBER(SEARCH(Лист2!$B$6,N:N)),L2407=2),MAX($M$3:OFFSET(M2407,-1,0))+1,0)</f>
        <v>0</v>
      </c>
      <c r="N2407" s="3" t="s">
        <v>1811</v>
      </c>
    </row>
    <row r="2408" spans="1:14" x14ac:dyDescent="0.25">
      <c r="A2408" s="1" t="s">
        <v>11540</v>
      </c>
      <c r="B2408" s="3" t="s">
        <v>6032</v>
      </c>
      <c r="C2408" s="2">
        <f ca="1">IF(ISNUMBER(SEARCH(Лист2!$B$4,D:D)),MAX($C$3:OFFSET(C2408,-1,0))+1,0)</f>
        <v>0</v>
      </c>
      <c r="E2408" s="9" t="str">
        <f t="shared" ca="1" si="49"/>
        <v/>
      </c>
      <c r="F2408" s="4" t="s">
        <v>7</v>
      </c>
      <c r="G2408" s="2">
        <f>IF(ISNUMBER(SEARCH(Лист2!$B$4,F:F)),1,0)</f>
        <v>0</v>
      </c>
      <c r="H2408" s="3">
        <f ca="1">IF(AND(I2408&lt;&gt;I2407,ISNUMBER(SEARCH(Лист2!$B$5,I:I)),G2408=1),MAX($H$3:OFFSET(H2408,-1,0))+1,0)</f>
        <v>0</v>
      </c>
      <c r="I2408" s="3" t="s">
        <v>219</v>
      </c>
      <c r="K2408" s="2">
        <f>IF(ISNUMBER(SEARCH(Лист2!$B$4,F:F)),1,0)</f>
        <v>0</v>
      </c>
      <c r="L2408" s="14">
        <f>IF(ISNUMBER(SEARCH(Лист2!$B$5,I:I)),1,0)+K2408</f>
        <v>0</v>
      </c>
      <c r="M2408" s="3">
        <f ca="1">IF(AND(N2408&lt;&gt;N2407,ISNUMBER(SEARCH(Лист2!$B$6,N:N)),L2408=2),MAX($M$3:OFFSET(M2408,-1,0))+1,0)</f>
        <v>0</v>
      </c>
      <c r="N2408" s="3" t="s">
        <v>1812</v>
      </c>
    </row>
    <row r="2409" spans="1:14" x14ac:dyDescent="0.25">
      <c r="A2409" s="1" t="s">
        <v>11282</v>
      </c>
      <c r="B2409" s="3" t="s">
        <v>6033</v>
      </c>
      <c r="C2409" s="2">
        <f ca="1">IF(ISNUMBER(SEARCH(Лист2!$B$4,D:D)),MAX($C$3:OFFSET(C2409,-1,0))+1,0)</f>
        <v>0</v>
      </c>
      <c r="E2409" s="9" t="str">
        <f t="shared" ca="1" si="49"/>
        <v/>
      </c>
      <c r="F2409" s="4" t="s">
        <v>7</v>
      </c>
      <c r="G2409" s="2">
        <f>IF(ISNUMBER(SEARCH(Лист2!$B$4,F:F)),1,0)</f>
        <v>0</v>
      </c>
      <c r="H2409" s="3">
        <f ca="1">IF(AND(I2409&lt;&gt;I2408,ISNUMBER(SEARCH(Лист2!$B$5,I:I)),G2409=1),MAX($H$3:OFFSET(H2409,-1,0))+1,0)</f>
        <v>0</v>
      </c>
      <c r="I2409" s="3" t="s">
        <v>219</v>
      </c>
      <c r="K2409" s="2">
        <f>IF(ISNUMBER(SEARCH(Лист2!$B$4,F:F)),1,0)</f>
        <v>0</v>
      </c>
      <c r="L2409" s="14">
        <f>IF(ISNUMBER(SEARCH(Лист2!$B$5,I:I)),1,0)+K2409</f>
        <v>0</v>
      </c>
      <c r="M2409" s="3">
        <f ca="1">IF(AND(N2409&lt;&gt;N2408,ISNUMBER(SEARCH(Лист2!$B$6,N:N)),L2409=2),MAX($M$3:OFFSET(M2409,-1,0))+1,0)</f>
        <v>0</v>
      </c>
      <c r="N2409" s="3" t="s">
        <v>1619</v>
      </c>
    </row>
    <row r="2410" spans="1:14" x14ac:dyDescent="0.25">
      <c r="A2410" s="1" t="s">
        <v>11283</v>
      </c>
      <c r="B2410" s="3" t="s">
        <v>6034</v>
      </c>
      <c r="C2410" s="2">
        <f ca="1">IF(ISNUMBER(SEARCH(Лист2!$B$4,D:D)),MAX($C$3:OFFSET(C2410,-1,0))+1,0)</f>
        <v>0</v>
      </c>
      <c r="E2410" s="9" t="str">
        <f t="shared" ca="1" si="49"/>
        <v/>
      </c>
      <c r="F2410" s="4" t="s">
        <v>7</v>
      </c>
      <c r="G2410" s="2">
        <f>IF(ISNUMBER(SEARCH(Лист2!$B$4,F:F)),1,0)</f>
        <v>0</v>
      </c>
      <c r="H2410" s="3">
        <f ca="1">IF(AND(I2410&lt;&gt;I2409,ISNUMBER(SEARCH(Лист2!$B$5,I:I)),G2410=1),MAX($H$3:OFFSET(H2410,-1,0))+1,0)</f>
        <v>0</v>
      </c>
      <c r="I2410" s="3" t="s">
        <v>219</v>
      </c>
      <c r="K2410" s="2">
        <f>IF(ISNUMBER(SEARCH(Лист2!$B$4,F:F)),1,0)</f>
        <v>0</v>
      </c>
      <c r="L2410" s="14">
        <f>IF(ISNUMBER(SEARCH(Лист2!$B$5,I:I)),1,0)+K2410</f>
        <v>0</v>
      </c>
      <c r="M2410" s="3">
        <f ca="1">IF(AND(N2410&lt;&gt;N2409,ISNUMBER(SEARCH(Лист2!$B$6,N:N)),L2410=2),MAX($M$3:OFFSET(M2410,-1,0))+1,0)</f>
        <v>0</v>
      </c>
      <c r="N2410" s="3" t="s">
        <v>1620</v>
      </c>
    </row>
    <row r="2411" spans="1:14" x14ac:dyDescent="0.25">
      <c r="A2411" s="1" t="s">
        <v>11284</v>
      </c>
      <c r="B2411" s="3" t="s">
        <v>6035</v>
      </c>
      <c r="C2411" s="2">
        <f ca="1">IF(ISNUMBER(SEARCH(Лист2!$B$4,D:D)),MAX($C$3:OFFSET(C2411,-1,0))+1,0)</f>
        <v>0</v>
      </c>
      <c r="E2411" s="9" t="str">
        <f t="shared" ca="1" si="49"/>
        <v/>
      </c>
      <c r="F2411" s="4" t="s">
        <v>7</v>
      </c>
      <c r="G2411" s="2">
        <f>IF(ISNUMBER(SEARCH(Лист2!$B$4,F:F)),1,0)</f>
        <v>0</v>
      </c>
      <c r="H2411" s="3">
        <f ca="1">IF(AND(I2411&lt;&gt;I2410,ISNUMBER(SEARCH(Лист2!$B$5,I:I)),G2411=1),MAX($H$3:OFFSET(H2411,-1,0))+1,0)</f>
        <v>0</v>
      </c>
      <c r="I2411" s="3" t="s">
        <v>219</v>
      </c>
      <c r="K2411" s="2">
        <f>IF(ISNUMBER(SEARCH(Лист2!$B$4,F:F)),1,0)</f>
        <v>0</v>
      </c>
      <c r="L2411" s="14">
        <f>IF(ISNUMBER(SEARCH(Лист2!$B$5,I:I)),1,0)+K2411</f>
        <v>0</v>
      </c>
      <c r="M2411" s="3">
        <f ca="1">IF(AND(N2411&lt;&gt;N2410,ISNUMBER(SEARCH(Лист2!$B$6,N:N)),L2411=2),MAX($M$3:OFFSET(M2411,-1,0))+1,0)</f>
        <v>0</v>
      </c>
      <c r="N2411" s="3" t="s">
        <v>1634</v>
      </c>
    </row>
    <row r="2412" spans="1:14" x14ac:dyDescent="0.25">
      <c r="A2412" s="1" t="s">
        <v>11285</v>
      </c>
      <c r="B2412" s="3" t="s">
        <v>6036</v>
      </c>
      <c r="C2412" s="2">
        <f ca="1">IF(ISNUMBER(SEARCH(Лист2!$B$4,D:D)),MAX($C$3:OFFSET(C2412,-1,0))+1,0)</f>
        <v>0</v>
      </c>
      <c r="E2412" s="9" t="str">
        <f t="shared" ca="1" si="49"/>
        <v/>
      </c>
      <c r="F2412" s="4" t="s">
        <v>7</v>
      </c>
      <c r="G2412" s="2">
        <f>IF(ISNUMBER(SEARCH(Лист2!$B$4,F:F)),1,0)</f>
        <v>0</v>
      </c>
      <c r="H2412" s="3">
        <f ca="1">IF(AND(I2412&lt;&gt;I2411,ISNUMBER(SEARCH(Лист2!$B$5,I:I)),G2412=1),MAX($H$3:OFFSET(H2412,-1,0))+1,0)</f>
        <v>0</v>
      </c>
      <c r="I2412" s="3" t="s">
        <v>219</v>
      </c>
      <c r="K2412" s="2">
        <f>IF(ISNUMBER(SEARCH(Лист2!$B$4,F:F)),1,0)</f>
        <v>0</v>
      </c>
      <c r="L2412" s="14">
        <f>IF(ISNUMBER(SEARCH(Лист2!$B$5,I:I)),1,0)+K2412</f>
        <v>0</v>
      </c>
      <c r="M2412" s="3">
        <f ca="1">IF(AND(N2412&lt;&gt;N2411,ISNUMBER(SEARCH(Лист2!$B$6,N:N)),L2412=2),MAX($M$3:OFFSET(M2412,-1,0))+1,0)</f>
        <v>0</v>
      </c>
      <c r="N2412" s="3" t="s">
        <v>602</v>
      </c>
    </row>
    <row r="2413" spans="1:14" x14ac:dyDescent="0.25">
      <c r="A2413" s="1" t="s">
        <v>11541</v>
      </c>
      <c r="B2413" s="3" t="s">
        <v>6037</v>
      </c>
      <c r="C2413" s="2">
        <f ca="1">IF(ISNUMBER(SEARCH(Лист2!$B$4,D:D)),MAX($C$3:OFFSET(C2413,-1,0))+1,0)</f>
        <v>0</v>
      </c>
      <c r="E2413" s="9" t="str">
        <f t="shared" ca="1" si="49"/>
        <v/>
      </c>
      <c r="F2413" s="4" t="s">
        <v>7</v>
      </c>
      <c r="G2413" s="2">
        <f>IF(ISNUMBER(SEARCH(Лист2!$B$4,F:F)),1,0)</f>
        <v>0</v>
      </c>
      <c r="H2413" s="3">
        <f ca="1">IF(AND(I2413&lt;&gt;I2412,ISNUMBER(SEARCH(Лист2!$B$5,I:I)),G2413=1),MAX($H$3:OFFSET(H2413,-1,0))+1,0)</f>
        <v>0</v>
      </c>
      <c r="I2413" s="3" t="s">
        <v>219</v>
      </c>
      <c r="K2413" s="2">
        <f>IF(ISNUMBER(SEARCH(Лист2!$B$4,F:F)),1,0)</f>
        <v>0</v>
      </c>
      <c r="L2413" s="14">
        <f>IF(ISNUMBER(SEARCH(Лист2!$B$5,I:I)),1,0)+K2413</f>
        <v>0</v>
      </c>
      <c r="M2413" s="3">
        <f ca="1">IF(AND(N2413&lt;&gt;N2412,ISNUMBER(SEARCH(Лист2!$B$6,N:N)),L2413=2),MAX($M$3:OFFSET(M2413,-1,0))+1,0)</f>
        <v>0</v>
      </c>
      <c r="N2413" s="3" t="s">
        <v>1813</v>
      </c>
    </row>
    <row r="2414" spans="1:14" x14ac:dyDescent="0.25">
      <c r="A2414" s="1" t="s">
        <v>11542</v>
      </c>
      <c r="B2414" s="3" t="s">
        <v>6038</v>
      </c>
      <c r="C2414" s="2">
        <f ca="1">IF(ISNUMBER(SEARCH(Лист2!$B$4,D:D)),MAX($C$3:OFFSET(C2414,-1,0))+1,0)</f>
        <v>0</v>
      </c>
      <c r="E2414" s="9" t="str">
        <f t="shared" ca="1" si="49"/>
        <v/>
      </c>
      <c r="F2414" s="4" t="s">
        <v>7</v>
      </c>
      <c r="G2414" s="2">
        <f>IF(ISNUMBER(SEARCH(Лист2!$B$4,F:F)),1,0)</f>
        <v>0</v>
      </c>
      <c r="H2414" s="3">
        <f ca="1">IF(AND(I2414&lt;&gt;I2413,ISNUMBER(SEARCH(Лист2!$B$5,I:I)),G2414=1),MAX($H$3:OFFSET(H2414,-1,0))+1,0)</f>
        <v>0</v>
      </c>
      <c r="I2414" s="3" t="s">
        <v>219</v>
      </c>
      <c r="K2414" s="2">
        <f>IF(ISNUMBER(SEARCH(Лист2!$B$4,F:F)),1,0)</f>
        <v>0</v>
      </c>
      <c r="L2414" s="14">
        <f>IF(ISNUMBER(SEARCH(Лист2!$B$5,I:I)),1,0)+K2414</f>
        <v>0</v>
      </c>
      <c r="M2414" s="3">
        <f ca="1">IF(AND(N2414&lt;&gt;N2413,ISNUMBER(SEARCH(Лист2!$B$6,N:N)),L2414=2),MAX($M$3:OFFSET(M2414,-1,0))+1,0)</f>
        <v>0</v>
      </c>
      <c r="N2414" s="3" t="s">
        <v>1814</v>
      </c>
    </row>
    <row r="2415" spans="1:14" x14ac:dyDescent="0.25">
      <c r="A2415" s="1" t="s">
        <v>11543</v>
      </c>
      <c r="B2415" s="3" t="s">
        <v>6039</v>
      </c>
      <c r="C2415" s="2">
        <f ca="1">IF(ISNUMBER(SEARCH(Лист2!$B$4,D:D)),MAX($C$3:OFFSET(C2415,-1,0))+1,0)</f>
        <v>0</v>
      </c>
      <c r="E2415" s="9" t="str">
        <f t="shared" ca="1" si="49"/>
        <v/>
      </c>
      <c r="F2415" s="4" t="s">
        <v>7</v>
      </c>
      <c r="G2415" s="2">
        <f>IF(ISNUMBER(SEARCH(Лист2!$B$4,F:F)),1,0)</f>
        <v>0</v>
      </c>
      <c r="H2415" s="3">
        <f ca="1">IF(AND(I2415&lt;&gt;I2414,ISNUMBER(SEARCH(Лист2!$B$5,I:I)),G2415=1),MAX($H$3:OFFSET(H2415,-1,0))+1,0)</f>
        <v>0</v>
      </c>
      <c r="I2415" s="3" t="s">
        <v>219</v>
      </c>
      <c r="K2415" s="2">
        <f>IF(ISNUMBER(SEARCH(Лист2!$B$4,F:F)),1,0)</f>
        <v>0</v>
      </c>
      <c r="L2415" s="14">
        <f>IF(ISNUMBER(SEARCH(Лист2!$B$5,I:I)),1,0)+K2415</f>
        <v>0</v>
      </c>
      <c r="M2415" s="3">
        <f ca="1">IF(AND(N2415&lt;&gt;N2414,ISNUMBER(SEARCH(Лист2!$B$6,N:N)),L2415=2),MAX($M$3:OFFSET(M2415,-1,0))+1,0)</f>
        <v>0</v>
      </c>
      <c r="N2415" s="3" t="s">
        <v>1815</v>
      </c>
    </row>
    <row r="2416" spans="1:14" x14ac:dyDescent="0.25">
      <c r="A2416" s="1" t="s">
        <v>11598</v>
      </c>
      <c r="B2416" s="3" t="s">
        <v>6040</v>
      </c>
      <c r="C2416" s="2">
        <f ca="1">IF(ISNUMBER(SEARCH(Лист2!$B$4,D:D)),MAX($C$3:OFFSET(C2416,-1,0))+1,0)</f>
        <v>0</v>
      </c>
      <c r="E2416" s="9" t="str">
        <f t="shared" ca="1" si="49"/>
        <v/>
      </c>
      <c r="F2416" s="4" t="s">
        <v>7</v>
      </c>
      <c r="G2416" s="2">
        <f>IF(ISNUMBER(SEARCH(Лист2!$B$4,F:F)),1,0)</f>
        <v>0</v>
      </c>
      <c r="H2416" s="3">
        <f ca="1">IF(AND(I2416&lt;&gt;I2415,ISNUMBER(SEARCH(Лист2!$B$5,I:I)),G2416=1),MAX($H$3:OFFSET(H2416,-1,0))+1,0)</f>
        <v>0</v>
      </c>
      <c r="I2416" s="3" t="s">
        <v>245</v>
      </c>
      <c r="K2416" s="2">
        <f>IF(ISNUMBER(SEARCH(Лист2!$B$4,F:F)),1,0)</f>
        <v>0</v>
      </c>
      <c r="L2416" s="14">
        <f>IF(ISNUMBER(SEARCH(Лист2!$B$5,I:I)),1,0)+K2416</f>
        <v>0</v>
      </c>
      <c r="M2416" s="3">
        <f ca="1">IF(AND(N2416&lt;&gt;N2415,ISNUMBER(SEARCH(Лист2!$B$6,N:N)),L2416=2),MAX($M$3:OFFSET(M2416,-1,0))+1,0)</f>
        <v>0</v>
      </c>
      <c r="N2416" s="3" t="s">
        <v>1849</v>
      </c>
    </row>
    <row r="2417" spans="1:14" x14ac:dyDescent="0.25">
      <c r="A2417" s="1" t="s">
        <v>11599</v>
      </c>
      <c r="B2417" s="3" t="s">
        <v>6041</v>
      </c>
      <c r="C2417" s="2">
        <f ca="1">IF(ISNUMBER(SEARCH(Лист2!$B$4,D:D)),MAX($C$3:OFFSET(C2417,-1,0))+1,0)</f>
        <v>0</v>
      </c>
      <c r="E2417" s="9" t="str">
        <f t="shared" ca="1" si="49"/>
        <v/>
      </c>
      <c r="F2417" s="4" t="s">
        <v>7</v>
      </c>
      <c r="G2417" s="2">
        <f>IF(ISNUMBER(SEARCH(Лист2!$B$4,F:F)),1,0)</f>
        <v>0</v>
      </c>
      <c r="H2417" s="3">
        <f ca="1">IF(AND(I2417&lt;&gt;I2416,ISNUMBER(SEARCH(Лист2!$B$5,I:I)),G2417=1),MAX($H$3:OFFSET(H2417,-1,0))+1,0)</f>
        <v>0</v>
      </c>
      <c r="I2417" s="3" t="s">
        <v>245</v>
      </c>
      <c r="K2417" s="2">
        <f>IF(ISNUMBER(SEARCH(Лист2!$B$4,F:F)),1,0)</f>
        <v>0</v>
      </c>
      <c r="L2417" s="14">
        <f>IF(ISNUMBER(SEARCH(Лист2!$B$5,I:I)),1,0)+K2417</f>
        <v>0</v>
      </c>
      <c r="M2417" s="3">
        <f ca="1">IF(AND(N2417&lt;&gt;N2416,ISNUMBER(SEARCH(Лист2!$B$6,N:N)),L2417=2),MAX($M$3:OFFSET(M2417,-1,0))+1,0)</f>
        <v>0</v>
      </c>
      <c r="N2417" s="3" t="s">
        <v>1850</v>
      </c>
    </row>
    <row r="2418" spans="1:14" x14ac:dyDescent="0.25">
      <c r="A2418" s="1" t="s">
        <v>11600</v>
      </c>
      <c r="B2418" s="3" t="s">
        <v>6042</v>
      </c>
      <c r="C2418" s="2">
        <f ca="1">IF(ISNUMBER(SEARCH(Лист2!$B$4,D:D)),MAX($C$3:OFFSET(C2418,-1,0))+1,0)</f>
        <v>0</v>
      </c>
      <c r="E2418" s="9" t="str">
        <f t="shared" ca="1" si="49"/>
        <v/>
      </c>
      <c r="F2418" s="4" t="s">
        <v>7</v>
      </c>
      <c r="G2418" s="2">
        <f>IF(ISNUMBER(SEARCH(Лист2!$B$4,F:F)),1,0)</f>
        <v>0</v>
      </c>
      <c r="H2418" s="3">
        <f ca="1">IF(AND(I2418&lt;&gt;I2417,ISNUMBER(SEARCH(Лист2!$B$5,I:I)),G2418=1),MAX($H$3:OFFSET(H2418,-1,0))+1,0)</f>
        <v>0</v>
      </c>
      <c r="I2418" s="3" t="s">
        <v>245</v>
      </c>
      <c r="K2418" s="2">
        <f>IF(ISNUMBER(SEARCH(Лист2!$B$4,F:F)),1,0)</f>
        <v>0</v>
      </c>
      <c r="L2418" s="14">
        <f>IF(ISNUMBER(SEARCH(Лист2!$B$5,I:I)),1,0)+K2418</f>
        <v>0</v>
      </c>
      <c r="M2418" s="3">
        <f ca="1">IF(AND(N2418&lt;&gt;N2417,ISNUMBER(SEARCH(Лист2!$B$6,N:N)),L2418=2),MAX($M$3:OFFSET(M2418,-1,0))+1,0)</f>
        <v>0</v>
      </c>
      <c r="N2418" s="3" t="s">
        <v>1851</v>
      </c>
    </row>
    <row r="2419" spans="1:14" x14ac:dyDescent="0.25">
      <c r="A2419" s="1" t="s">
        <v>11601</v>
      </c>
      <c r="B2419" s="3" t="s">
        <v>6043</v>
      </c>
      <c r="C2419" s="2">
        <f ca="1">IF(ISNUMBER(SEARCH(Лист2!$B$4,D:D)),MAX($C$3:OFFSET(C2419,-1,0))+1,0)</f>
        <v>0</v>
      </c>
      <c r="E2419" s="9" t="str">
        <f t="shared" ca="1" si="49"/>
        <v/>
      </c>
      <c r="F2419" s="4" t="s">
        <v>7</v>
      </c>
      <c r="G2419" s="2">
        <f>IF(ISNUMBER(SEARCH(Лист2!$B$4,F:F)),1,0)</f>
        <v>0</v>
      </c>
      <c r="H2419" s="3">
        <f ca="1">IF(AND(I2419&lt;&gt;I2418,ISNUMBER(SEARCH(Лист2!$B$5,I:I)),G2419=1),MAX($H$3:OFFSET(H2419,-1,0))+1,0)</f>
        <v>0</v>
      </c>
      <c r="I2419" s="3" t="s">
        <v>245</v>
      </c>
      <c r="K2419" s="2">
        <f>IF(ISNUMBER(SEARCH(Лист2!$B$4,F:F)),1,0)</f>
        <v>0</v>
      </c>
      <c r="L2419" s="14">
        <f>IF(ISNUMBER(SEARCH(Лист2!$B$5,I:I)),1,0)+K2419</f>
        <v>0</v>
      </c>
      <c r="M2419" s="3">
        <f ca="1">IF(AND(N2419&lt;&gt;N2418,ISNUMBER(SEARCH(Лист2!$B$6,N:N)),L2419=2),MAX($M$3:OFFSET(M2419,-1,0))+1,0)</f>
        <v>0</v>
      </c>
      <c r="N2419" s="3" t="s">
        <v>1619</v>
      </c>
    </row>
    <row r="2420" spans="1:14" x14ac:dyDescent="0.25">
      <c r="A2420" s="1" t="s">
        <v>11602</v>
      </c>
      <c r="B2420" s="3" t="s">
        <v>6044</v>
      </c>
      <c r="C2420" s="2">
        <f ca="1">IF(ISNUMBER(SEARCH(Лист2!$B$4,D:D)),MAX($C$3:OFFSET(C2420,-1,0))+1,0)</f>
        <v>0</v>
      </c>
      <c r="E2420" s="9" t="str">
        <f t="shared" ca="1" si="49"/>
        <v/>
      </c>
      <c r="F2420" s="4" t="s">
        <v>7</v>
      </c>
      <c r="G2420" s="2">
        <f>IF(ISNUMBER(SEARCH(Лист2!$B$4,F:F)),1,0)</f>
        <v>0</v>
      </c>
      <c r="H2420" s="3">
        <f ca="1">IF(AND(I2420&lt;&gt;I2419,ISNUMBER(SEARCH(Лист2!$B$5,I:I)),G2420=1),MAX($H$3:OFFSET(H2420,-1,0))+1,0)</f>
        <v>0</v>
      </c>
      <c r="I2420" s="3" t="s">
        <v>245</v>
      </c>
      <c r="K2420" s="2">
        <f>IF(ISNUMBER(SEARCH(Лист2!$B$4,F:F)),1,0)</f>
        <v>0</v>
      </c>
      <c r="L2420" s="14">
        <f>IF(ISNUMBER(SEARCH(Лист2!$B$5,I:I)),1,0)+K2420</f>
        <v>0</v>
      </c>
      <c r="M2420" s="3">
        <f ca="1">IF(AND(N2420&lt;&gt;N2419,ISNUMBER(SEARCH(Лист2!$B$6,N:N)),L2420=2),MAX($M$3:OFFSET(M2420,-1,0))+1,0)</f>
        <v>0</v>
      </c>
      <c r="N2420" s="3" t="s">
        <v>1620</v>
      </c>
    </row>
    <row r="2421" spans="1:14" x14ac:dyDescent="0.25">
      <c r="A2421" s="1" t="s">
        <v>11603</v>
      </c>
      <c r="B2421" s="3" t="s">
        <v>6045</v>
      </c>
      <c r="C2421" s="2">
        <f ca="1">IF(ISNUMBER(SEARCH(Лист2!$B$4,D:D)),MAX($C$3:OFFSET(C2421,-1,0))+1,0)</f>
        <v>0</v>
      </c>
      <c r="E2421" s="9" t="str">
        <f t="shared" ca="1" si="49"/>
        <v/>
      </c>
      <c r="F2421" s="4" t="s">
        <v>7</v>
      </c>
      <c r="G2421" s="2">
        <f>IF(ISNUMBER(SEARCH(Лист2!$B$4,F:F)),1,0)</f>
        <v>0</v>
      </c>
      <c r="H2421" s="3">
        <f ca="1">IF(AND(I2421&lt;&gt;I2420,ISNUMBER(SEARCH(Лист2!$B$5,I:I)),G2421=1),MAX($H$3:OFFSET(H2421,-1,0))+1,0)</f>
        <v>0</v>
      </c>
      <c r="I2421" s="3" t="s">
        <v>245</v>
      </c>
      <c r="K2421" s="2">
        <f>IF(ISNUMBER(SEARCH(Лист2!$B$4,F:F)),1,0)</f>
        <v>0</v>
      </c>
      <c r="L2421" s="14">
        <f>IF(ISNUMBER(SEARCH(Лист2!$B$5,I:I)),1,0)+K2421</f>
        <v>0</v>
      </c>
      <c r="M2421" s="3">
        <f ca="1">IF(AND(N2421&lt;&gt;N2420,ISNUMBER(SEARCH(Лист2!$B$6,N:N)),L2421=2),MAX($M$3:OFFSET(M2421,-1,0))+1,0)</f>
        <v>0</v>
      </c>
      <c r="N2421" s="3" t="s">
        <v>1621</v>
      </c>
    </row>
    <row r="2422" spans="1:14" x14ac:dyDescent="0.25">
      <c r="A2422" s="1" t="s">
        <v>11604</v>
      </c>
      <c r="B2422" s="3" t="s">
        <v>6046</v>
      </c>
      <c r="C2422" s="2">
        <f ca="1">IF(ISNUMBER(SEARCH(Лист2!$B$4,D:D)),MAX($C$3:OFFSET(C2422,-1,0))+1,0)</f>
        <v>0</v>
      </c>
      <c r="E2422" s="9" t="str">
        <f t="shared" ca="1" si="49"/>
        <v/>
      </c>
      <c r="F2422" s="4" t="s">
        <v>7</v>
      </c>
      <c r="G2422" s="2">
        <f>IF(ISNUMBER(SEARCH(Лист2!$B$4,F:F)),1,0)</f>
        <v>0</v>
      </c>
      <c r="H2422" s="3">
        <f ca="1">IF(AND(I2422&lt;&gt;I2421,ISNUMBER(SEARCH(Лист2!$B$5,I:I)),G2422=1),MAX($H$3:OFFSET(H2422,-1,0))+1,0)</f>
        <v>0</v>
      </c>
      <c r="I2422" s="3" t="s">
        <v>245</v>
      </c>
      <c r="K2422" s="2">
        <f>IF(ISNUMBER(SEARCH(Лист2!$B$4,F:F)),1,0)</f>
        <v>0</v>
      </c>
      <c r="L2422" s="14">
        <f>IF(ISNUMBER(SEARCH(Лист2!$B$5,I:I)),1,0)+K2422</f>
        <v>0</v>
      </c>
      <c r="M2422" s="3">
        <f ca="1">IF(AND(N2422&lt;&gt;N2421,ISNUMBER(SEARCH(Лист2!$B$6,N:N)),L2422=2),MAX($M$3:OFFSET(M2422,-1,0))+1,0)</f>
        <v>0</v>
      </c>
      <c r="N2422" s="3" t="s">
        <v>602</v>
      </c>
    </row>
    <row r="2423" spans="1:14" x14ac:dyDescent="0.25">
      <c r="A2423" s="1" t="s">
        <v>11605</v>
      </c>
      <c r="B2423" s="3" t="s">
        <v>6047</v>
      </c>
      <c r="C2423" s="2">
        <f ca="1">IF(ISNUMBER(SEARCH(Лист2!$B$4,D:D)),MAX($C$3:OFFSET(C2423,-1,0))+1,0)</f>
        <v>0</v>
      </c>
      <c r="E2423" s="9" t="str">
        <f t="shared" ca="1" si="49"/>
        <v/>
      </c>
      <c r="F2423" s="4" t="s">
        <v>7</v>
      </c>
      <c r="G2423" s="2">
        <f>IF(ISNUMBER(SEARCH(Лист2!$B$4,F:F)),1,0)</f>
        <v>0</v>
      </c>
      <c r="H2423" s="3">
        <f ca="1">IF(AND(I2423&lt;&gt;I2422,ISNUMBER(SEARCH(Лист2!$B$5,I:I)),G2423=1),MAX($H$3:OFFSET(H2423,-1,0))+1,0)</f>
        <v>0</v>
      </c>
      <c r="I2423" s="3" t="s">
        <v>245</v>
      </c>
      <c r="K2423" s="2">
        <f>IF(ISNUMBER(SEARCH(Лист2!$B$4,F:F)),1,0)</f>
        <v>0</v>
      </c>
      <c r="L2423" s="14">
        <f>IF(ISNUMBER(SEARCH(Лист2!$B$5,I:I)),1,0)+K2423</f>
        <v>0</v>
      </c>
      <c r="M2423" s="3">
        <f ca="1">IF(AND(N2423&lt;&gt;N2422,ISNUMBER(SEARCH(Лист2!$B$6,N:N)),L2423=2),MAX($M$3:OFFSET(M2423,-1,0))+1,0)</f>
        <v>0</v>
      </c>
      <c r="N2423" s="3" t="s">
        <v>1852</v>
      </c>
    </row>
    <row r="2424" spans="1:14" x14ac:dyDescent="0.25">
      <c r="A2424" s="1" t="s">
        <v>11606</v>
      </c>
      <c r="B2424" s="3" t="s">
        <v>6048</v>
      </c>
      <c r="C2424" s="2">
        <f ca="1">IF(ISNUMBER(SEARCH(Лист2!$B$4,D:D)),MAX($C$3:OFFSET(C2424,-1,0))+1,0)</f>
        <v>0</v>
      </c>
      <c r="E2424" s="9" t="str">
        <f t="shared" ca="1" si="49"/>
        <v/>
      </c>
      <c r="F2424" s="4" t="s">
        <v>7</v>
      </c>
      <c r="G2424" s="2">
        <f>IF(ISNUMBER(SEARCH(Лист2!$B$4,F:F)),1,0)</f>
        <v>0</v>
      </c>
      <c r="H2424" s="3">
        <f ca="1">IF(AND(I2424&lt;&gt;I2423,ISNUMBER(SEARCH(Лист2!$B$5,I:I)),G2424=1),MAX($H$3:OFFSET(H2424,-1,0))+1,0)</f>
        <v>0</v>
      </c>
      <c r="I2424" s="3" t="s">
        <v>245</v>
      </c>
      <c r="K2424" s="2">
        <f>IF(ISNUMBER(SEARCH(Лист2!$B$4,F:F)),1,0)</f>
        <v>0</v>
      </c>
      <c r="L2424" s="14">
        <f>IF(ISNUMBER(SEARCH(Лист2!$B$5,I:I)),1,0)+K2424</f>
        <v>0</v>
      </c>
      <c r="M2424" s="3">
        <f ca="1">IF(AND(N2424&lt;&gt;N2423,ISNUMBER(SEARCH(Лист2!$B$6,N:N)),L2424=2),MAX($M$3:OFFSET(M2424,-1,0))+1,0)</f>
        <v>0</v>
      </c>
      <c r="N2424" s="3" t="s">
        <v>1853</v>
      </c>
    </row>
    <row r="2425" spans="1:14" x14ac:dyDescent="0.25">
      <c r="A2425" s="1" t="s">
        <v>11607</v>
      </c>
      <c r="B2425" s="3" t="s">
        <v>6049</v>
      </c>
      <c r="C2425" s="2">
        <f ca="1">IF(ISNUMBER(SEARCH(Лист2!$B$4,D:D)),MAX($C$3:OFFSET(C2425,-1,0))+1,0)</f>
        <v>0</v>
      </c>
      <c r="E2425" s="9" t="str">
        <f t="shared" ca="1" si="49"/>
        <v/>
      </c>
      <c r="F2425" s="4" t="s">
        <v>7</v>
      </c>
      <c r="G2425" s="2">
        <f>IF(ISNUMBER(SEARCH(Лист2!$B$4,F:F)),1,0)</f>
        <v>0</v>
      </c>
      <c r="H2425" s="3">
        <f ca="1">IF(AND(I2425&lt;&gt;I2424,ISNUMBER(SEARCH(Лист2!$B$5,I:I)),G2425=1),MAX($H$3:OFFSET(H2425,-1,0))+1,0)</f>
        <v>0</v>
      </c>
      <c r="I2425" s="3" t="s">
        <v>245</v>
      </c>
      <c r="K2425" s="2">
        <f>IF(ISNUMBER(SEARCH(Лист2!$B$4,F:F)),1,0)</f>
        <v>0</v>
      </c>
      <c r="L2425" s="14">
        <f>IF(ISNUMBER(SEARCH(Лист2!$B$5,I:I)),1,0)+K2425</f>
        <v>0</v>
      </c>
      <c r="M2425" s="3">
        <f ca="1">IF(AND(N2425&lt;&gt;N2424,ISNUMBER(SEARCH(Лист2!$B$6,N:N)),L2425=2),MAX($M$3:OFFSET(M2425,-1,0))+1,0)</f>
        <v>0</v>
      </c>
      <c r="N2425" s="3" t="s">
        <v>1854</v>
      </c>
    </row>
    <row r="2426" spans="1:14" x14ac:dyDescent="0.25">
      <c r="A2426" s="1" t="s">
        <v>11608</v>
      </c>
      <c r="B2426" s="3" t="s">
        <v>6050</v>
      </c>
      <c r="C2426" s="2">
        <f ca="1">IF(ISNUMBER(SEARCH(Лист2!$B$4,D:D)),MAX($C$3:OFFSET(C2426,-1,0))+1,0)</f>
        <v>0</v>
      </c>
      <c r="E2426" s="9" t="str">
        <f t="shared" ca="1" si="49"/>
        <v/>
      </c>
      <c r="F2426" s="4" t="s">
        <v>7</v>
      </c>
      <c r="G2426" s="2">
        <f>IF(ISNUMBER(SEARCH(Лист2!$B$4,F:F)),1,0)</f>
        <v>0</v>
      </c>
      <c r="H2426" s="3">
        <f ca="1">IF(AND(I2426&lt;&gt;I2425,ISNUMBER(SEARCH(Лист2!$B$5,I:I)),G2426=1),MAX($H$3:OFFSET(H2426,-1,0))+1,0)</f>
        <v>0</v>
      </c>
      <c r="I2426" s="3" t="s">
        <v>246</v>
      </c>
      <c r="K2426" s="2">
        <f>IF(ISNUMBER(SEARCH(Лист2!$B$4,F:F)),1,0)</f>
        <v>0</v>
      </c>
      <c r="L2426" s="14">
        <f>IF(ISNUMBER(SEARCH(Лист2!$B$5,I:I)),1,0)+K2426</f>
        <v>0</v>
      </c>
      <c r="M2426" s="3">
        <f ca="1">IF(AND(N2426&lt;&gt;N2425,ISNUMBER(SEARCH(Лист2!$B$6,N:N)),L2426=2),MAX($M$3:OFFSET(M2426,-1,0))+1,0)</f>
        <v>0</v>
      </c>
      <c r="N2426" s="3" t="s">
        <v>1855</v>
      </c>
    </row>
    <row r="2427" spans="1:14" x14ac:dyDescent="0.25">
      <c r="A2427" s="1" t="s">
        <v>11609</v>
      </c>
      <c r="B2427" s="3" t="s">
        <v>6051</v>
      </c>
      <c r="C2427" s="2">
        <f ca="1">IF(ISNUMBER(SEARCH(Лист2!$B$4,D:D)),MAX($C$3:OFFSET(C2427,-1,0))+1,0)</f>
        <v>0</v>
      </c>
      <c r="E2427" s="9" t="str">
        <f t="shared" ca="1" si="49"/>
        <v/>
      </c>
      <c r="F2427" s="4" t="s">
        <v>7</v>
      </c>
      <c r="G2427" s="2">
        <f>IF(ISNUMBER(SEARCH(Лист2!$B$4,F:F)),1,0)</f>
        <v>0</v>
      </c>
      <c r="H2427" s="3">
        <f ca="1">IF(AND(I2427&lt;&gt;I2426,ISNUMBER(SEARCH(Лист2!$B$5,I:I)),G2427=1),MAX($H$3:OFFSET(H2427,-1,0))+1,0)</f>
        <v>0</v>
      </c>
      <c r="I2427" s="3" t="s">
        <v>246</v>
      </c>
      <c r="K2427" s="2">
        <f>IF(ISNUMBER(SEARCH(Лист2!$B$4,F:F)),1,0)</f>
        <v>0</v>
      </c>
      <c r="L2427" s="14">
        <f>IF(ISNUMBER(SEARCH(Лист2!$B$5,I:I)),1,0)+K2427</f>
        <v>0</v>
      </c>
      <c r="M2427" s="3">
        <f ca="1">IF(AND(N2427&lt;&gt;N2426,ISNUMBER(SEARCH(Лист2!$B$6,N:N)),L2427=2),MAX($M$3:OFFSET(M2427,-1,0))+1,0)</f>
        <v>0</v>
      </c>
      <c r="N2427" s="3" t="s">
        <v>1856</v>
      </c>
    </row>
    <row r="2428" spans="1:14" x14ac:dyDescent="0.25">
      <c r="A2428" s="1" t="s">
        <v>11610</v>
      </c>
      <c r="B2428" s="3" t="s">
        <v>6052</v>
      </c>
      <c r="C2428" s="2">
        <f ca="1">IF(ISNUMBER(SEARCH(Лист2!$B$4,D:D)),MAX($C$3:OFFSET(C2428,-1,0))+1,0)</f>
        <v>0</v>
      </c>
      <c r="E2428" s="9" t="str">
        <f t="shared" ca="1" si="49"/>
        <v/>
      </c>
      <c r="F2428" s="4" t="s">
        <v>7</v>
      </c>
      <c r="G2428" s="2">
        <f>IF(ISNUMBER(SEARCH(Лист2!$B$4,F:F)),1,0)</f>
        <v>0</v>
      </c>
      <c r="H2428" s="3">
        <f ca="1">IF(AND(I2428&lt;&gt;I2427,ISNUMBER(SEARCH(Лист2!$B$5,I:I)),G2428=1),MAX($H$3:OFFSET(H2428,-1,0))+1,0)</f>
        <v>0</v>
      </c>
      <c r="I2428" s="3" t="s">
        <v>246</v>
      </c>
      <c r="K2428" s="2">
        <f>IF(ISNUMBER(SEARCH(Лист2!$B$4,F:F)),1,0)</f>
        <v>0</v>
      </c>
      <c r="L2428" s="14">
        <f>IF(ISNUMBER(SEARCH(Лист2!$B$5,I:I)),1,0)+K2428</f>
        <v>0</v>
      </c>
      <c r="M2428" s="3">
        <f ca="1">IF(AND(N2428&lt;&gt;N2427,ISNUMBER(SEARCH(Лист2!$B$6,N:N)),L2428=2),MAX($M$3:OFFSET(M2428,-1,0))+1,0)</f>
        <v>0</v>
      </c>
      <c r="N2428" s="3" t="s">
        <v>1619</v>
      </c>
    </row>
    <row r="2429" spans="1:14" x14ac:dyDescent="0.25">
      <c r="A2429" s="1" t="s">
        <v>11611</v>
      </c>
      <c r="B2429" s="3" t="s">
        <v>6053</v>
      </c>
      <c r="C2429" s="2">
        <f ca="1">IF(ISNUMBER(SEARCH(Лист2!$B$4,D:D)),MAX($C$3:OFFSET(C2429,-1,0))+1,0)</f>
        <v>0</v>
      </c>
      <c r="E2429" s="9" t="str">
        <f t="shared" ca="1" si="49"/>
        <v/>
      </c>
      <c r="F2429" s="4" t="s">
        <v>7</v>
      </c>
      <c r="G2429" s="2">
        <f>IF(ISNUMBER(SEARCH(Лист2!$B$4,F:F)),1,0)</f>
        <v>0</v>
      </c>
      <c r="H2429" s="3">
        <f ca="1">IF(AND(I2429&lt;&gt;I2428,ISNUMBER(SEARCH(Лист2!$B$5,I:I)),G2429=1),MAX($H$3:OFFSET(H2429,-1,0))+1,0)</f>
        <v>0</v>
      </c>
      <c r="I2429" s="3" t="s">
        <v>246</v>
      </c>
      <c r="K2429" s="2">
        <f>IF(ISNUMBER(SEARCH(Лист2!$B$4,F:F)),1,0)</f>
        <v>0</v>
      </c>
      <c r="L2429" s="14">
        <f>IF(ISNUMBER(SEARCH(Лист2!$B$5,I:I)),1,0)+K2429</f>
        <v>0</v>
      </c>
      <c r="M2429" s="3">
        <f ca="1">IF(AND(N2429&lt;&gt;N2428,ISNUMBER(SEARCH(Лист2!$B$6,N:N)),L2429=2),MAX($M$3:OFFSET(M2429,-1,0))+1,0)</f>
        <v>0</v>
      </c>
      <c r="N2429" s="3" t="s">
        <v>1620</v>
      </c>
    </row>
    <row r="2430" spans="1:14" x14ac:dyDescent="0.25">
      <c r="A2430" s="1" t="s">
        <v>11612</v>
      </c>
      <c r="B2430" s="3" t="s">
        <v>6054</v>
      </c>
      <c r="C2430" s="2">
        <f ca="1">IF(ISNUMBER(SEARCH(Лист2!$B$4,D:D)),MAX($C$3:OFFSET(C2430,-1,0))+1,0)</f>
        <v>0</v>
      </c>
      <c r="E2430" s="9" t="str">
        <f t="shared" ca="1" si="49"/>
        <v/>
      </c>
      <c r="F2430" s="4" t="s">
        <v>7</v>
      </c>
      <c r="G2430" s="2">
        <f>IF(ISNUMBER(SEARCH(Лист2!$B$4,F:F)),1,0)</f>
        <v>0</v>
      </c>
      <c r="H2430" s="3">
        <f ca="1">IF(AND(I2430&lt;&gt;I2429,ISNUMBER(SEARCH(Лист2!$B$5,I:I)),G2430=1),MAX($H$3:OFFSET(H2430,-1,0))+1,0)</f>
        <v>0</v>
      </c>
      <c r="I2430" s="3" t="s">
        <v>246</v>
      </c>
      <c r="K2430" s="2">
        <f>IF(ISNUMBER(SEARCH(Лист2!$B$4,F:F)),1,0)</f>
        <v>0</v>
      </c>
      <c r="L2430" s="14">
        <f>IF(ISNUMBER(SEARCH(Лист2!$B$5,I:I)),1,0)+K2430</f>
        <v>0</v>
      </c>
      <c r="M2430" s="3">
        <f ca="1">IF(AND(N2430&lt;&gt;N2429,ISNUMBER(SEARCH(Лист2!$B$6,N:N)),L2430=2),MAX($M$3:OFFSET(M2430,-1,0))+1,0)</f>
        <v>0</v>
      </c>
      <c r="N2430" s="3" t="s">
        <v>1634</v>
      </c>
    </row>
    <row r="2431" spans="1:14" x14ac:dyDescent="0.25">
      <c r="A2431" s="1" t="s">
        <v>11613</v>
      </c>
      <c r="B2431" s="3" t="s">
        <v>6055</v>
      </c>
      <c r="C2431" s="2">
        <f ca="1">IF(ISNUMBER(SEARCH(Лист2!$B$4,D:D)),MAX($C$3:OFFSET(C2431,-1,0))+1,0)</f>
        <v>0</v>
      </c>
      <c r="E2431" s="9" t="str">
        <f t="shared" ca="1" si="49"/>
        <v/>
      </c>
      <c r="F2431" s="4" t="s">
        <v>7</v>
      </c>
      <c r="G2431" s="2">
        <f>IF(ISNUMBER(SEARCH(Лист2!$B$4,F:F)),1,0)</f>
        <v>0</v>
      </c>
      <c r="H2431" s="3">
        <f ca="1">IF(AND(I2431&lt;&gt;I2430,ISNUMBER(SEARCH(Лист2!$B$5,I:I)),G2431=1),MAX($H$3:OFFSET(H2431,-1,0))+1,0)</f>
        <v>0</v>
      </c>
      <c r="I2431" s="3" t="s">
        <v>246</v>
      </c>
      <c r="K2431" s="2">
        <f>IF(ISNUMBER(SEARCH(Лист2!$B$4,F:F)),1,0)</f>
        <v>0</v>
      </c>
      <c r="L2431" s="14">
        <f>IF(ISNUMBER(SEARCH(Лист2!$B$5,I:I)),1,0)+K2431</f>
        <v>0</v>
      </c>
      <c r="M2431" s="3">
        <f ca="1">IF(AND(N2431&lt;&gt;N2430,ISNUMBER(SEARCH(Лист2!$B$6,N:N)),L2431=2),MAX($M$3:OFFSET(M2431,-1,0))+1,0)</f>
        <v>0</v>
      </c>
      <c r="N2431" s="3" t="s">
        <v>1621</v>
      </c>
    </row>
    <row r="2432" spans="1:14" x14ac:dyDescent="0.25">
      <c r="A2432" s="1" t="s">
        <v>11614</v>
      </c>
      <c r="B2432" s="3" t="s">
        <v>6056</v>
      </c>
      <c r="C2432" s="2">
        <f ca="1">IF(ISNUMBER(SEARCH(Лист2!$B$4,D:D)),MAX($C$3:OFFSET(C2432,-1,0))+1,0)</f>
        <v>0</v>
      </c>
      <c r="E2432" s="9" t="str">
        <f t="shared" ca="1" si="49"/>
        <v/>
      </c>
      <c r="F2432" s="4" t="s">
        <v>7</v>
      </c>
      <c r="G2432" s="2">
        <f>IF(ISNUMBER(SEARCH(Лист2!$B$4,F:F)),1,0)</f>
        <v>0</v>
      </c>
      <c r="H2432" s="3">
        <f ca="1">IF(AND(I2432&lt;&gt;I2431,ISNUMBER(SEARCH(Лист2!$B$5,I:I)),G2432=1),MAX($H$3:OFFSET(H2432,-1,0))+1,0)</f>
        <v>0</v>
      </c>
      <c r="I2432" s="3" t="s">
        <v>246</v>
      </c>
      <c r="K2432" s="2">
        <f>IF(ISNUMBER(SEARCH(Лист2!$B$4,F:F)),1,0)</f>
        <v>0</v>
      </c>
      <c r="L2432" s="14">
        <f>IF(ISNUMBER(SEARCH(Лист2!$B$5,I:I)),1,0)+K2432</f>
        <v>0</v>
      </c>
      <c r="M2432" s="3">
        <f ca="1">IF(AND(N2432&lt;&gt;N2431,ISNUMBER(SEARCH(Лист2!$B$6,N:N)),L2432=2),MAX($M$3:OFFSET(M2432,-1,0))+1,0)</f>
        <v>0</v>
      </c>
      <c r="N2432" s="3" t="s">
        <v>602</v>
      </c>
    </row>
    <row r="2433" spans="1:14" x14ac:dyDescent="0.25">
      <c r="A2433" s="1" t="s">
        <v>11615</v>
      </c>
      <c r="B2433" s="3" t="s">
        <v>6057</v>
      </c>
      <c r="C2433" s="2">
        <f ca="1">IF(ISNUMBER(SEARCH(Лист2!$B$4,D:D)),MAX($C$3:OFFSET(C2433,-1,0))+1,0)</f>
        <v>0</v>
      </c>
      <c r="E2433" s="9" t="str">
        <f t="shared" ca="1" si="49"/>
        <v/>
      </c>
      <c r="F2433" s="4" t="s">
        <v>7</v>
      </c>
      <c r="G2433" s="2">
        <f>IF(ISNUMBER(SEARCH(Лист2!$B$4,F:F)),1,0)</f>
        <v>0</v>
      </c>
      <c r="H2433" s="3">
        <f ca="1">IF(AND(I2433&lt;&gt;I2432,ISNUMBER(SEARCH(Лист2!$B$5,I:I)),G2433=1),MAX($H$3:OFFSET(H2433,-1,0))+1,0)</f>
        <v>0</v>
      </c>
      <c r="I2433" s="3" t="s">
        <v>246</v>
      </c>
      <c r="K2433" s="2">
        <f>IF(ISNUMBER(SEARCH(Лист2!$B$4,F:F)),1,0)</f>
        <v>0</v>
      </c>
      <c r="L2433" s="14">
        <f>IF(ISNUMBER(SEARCH(Лист2!$B$5,I:I)),1,0)+K2433</f>
        <v>0</v>
      </c>
      <c r="M2433" s="3">
        <f ca="1">IF(AND(N2433&lt;&gt;N2432,ISNUMBER(SEARCH(Лист2!$B$6,N:N)),L2433=2),MAX($M$3:OFFSET(M2433,-1,0))+1,0)</f>
        <v>0</v>
      </c>
      <c r="N2433" s="3" t="s">
        <v>1857</v>
      </c>
    </row>
    <row r="2434" spans="1:14" x14ac:dyDescent="0.25">
      <c r="A2434" s="1" t="s">
        <v>11616</v>
      </c>
      <c r="B2434" s="3" t="s">
        <v>6058</v>
      </c>
      <c r="C2434" s="2">
        <f ca="1">IF(ISNUMBER(SEARCH(Лист2!$B$4,D:D)),MAX($C$3:OFFSET(C2434,-1,0))+1,0)</f>
        <v>0</v>
      </c>
      <c r="E2434" s="9" t="str">
        <f t="shared" ca="1" si="49"/>
        <v/>
      </c>
      <c r="F2434" s="4" t="s">
        <v>7</v>
      </c>
      <c r="G2434" s="2">
        <f>IF(ISNUMBER(SEARCH(Лист2!$B$4,F:F)),1,0)</f>
        <v>0</v>
      </c>
      <c r="H2434" s="3">
        <f ca="1">IF(AND(I2434&lt;&gt;I2433,ISNUMBER(SEARCH(Лист2!$B$5,I:I)),G2434=1),MAX($H$3:OFFSET(H2434,-1,0))+1,0)</f>
        <v>0</v>
      </c>
      <c r="I2434" s="3" t="s">
        <v>246</v>
      </c>
      <c r="K2434" s="2">
        <f>IF(ISNUMBER(SEARCH(Лист2!$B$4,F:F)),1,0)</f>
        <v>0</v>
      </c>
      <c r="L2434" s="14">
        <f>IF(ISNUMBER(SEARCH(Лист2!$B$5,I:I)),1,0)+K2434</f>
        <v>0</v>
      </c>
      <c r="M2434" s="3">
        <f ca="1">IF(AND(N2434&lt;&gt;N2433,ISNUMBER(SEARCH(Лист2!$B$6,N:N)),L2434=2),MAX($M$3:OFFSET(M2434,-1,0))+1,0)</f>
        <v>0</v>
      </c>
      <c r="N2434" s="3" t="s">
        <v>1858</v>
      </c>
    </row>
    <row r="2435" spans="1:14" x14ac:dyDescent="0.25">
      <c r="A2435" s="1" t="s">
        <v>11617</v>
      </c>
      <c r="B2435" s="3" t="s">
        <v>6059</v>
      </c>
      <c r="C2435" s="2">
        <f ca="1">IF(ISNUMBER(SEARCH(Лист2!$B$4,D:D)),MAX($C$3:OFFSET(C2435,-1,0))+1,0)</f>
        <v>0</v>
      </c>
      <c r="E2435" s="9" t="str">
        <f t="shared" ca="1" si="49"/>
        <v/>
      </c>
      <c r="F2435" s="4" t="s">
        <v>7</v>
      </c>
      <c r="G2435" s="2">
        <f>IF(ISNUMBER(SEARCH(Лист2!$B$4,F:F)),1,0)</f>
        <v>0</v>
      </c>
      <c r="H2435" s="3">
        <f ca="1">IF(AND(I2435&lt;&gt;I2434,ISNUMBER(SEARCH(Лист2!$B$5,I:I)),G2435=1),MAX($H$3:OFFSET(H2435,-1,0))+1,0)</f>
        <v>0</v>
      </c>
      <c r="I2435" s="3" t="s">
        <v>246</v>
      </c>
      <c r="K2435" s="2">
        <f>IF(ISNUMBER(SEARCH(Лист2!$B$4,F:F)),1,0)</f>
        <v>0</v>
      </c>
      <c r="L2435" s="14">
        <f>IF(ISNUMBER(SEARCH(Лист2!$B$5,I:I)),1,0)+K2435</f>
        <v>0</v>
      </c>
      <c r="M2435" s="3">
        <f ca="1">IF(AND(N2435&lt;&gt;N2434,ISNUMBER(SEARCH(Лист2!$B$6,N:N)),L2435=2),MAX($M$3:OFFSET(M2435,-1,0))+1,0)</f>
        <v>0</v>
      </c>
      <c r="N2435" s="3" t="s">
        <v>1859</v>
      </c>
    </row>
    <row r="2436" spans="1:14" x14ac:dyDescent="0.25">
      <c r="A2436" s="1" t="s">
        <v>11289</v>
      </c>
      <c r="B2436" s="3" t="s">
        <v>6060</v>
      </c>
      <c r="C2436" s="2">
        <f ca="1">IF(ISNUMBER(SEARCH(Лист2!$B$4,D:D)),MAX($C$3:OFFSET(C2436,-1,0))+1,0)</f>
        <v>0</v>
      </c>
      <c r="E2436" s="9" t="str">
        <f t="shared" ca="1" si="49"/>
        <v/>
      </c>
      <c r="F2436" s="4" t="s">
        <v>7</v>
      </c>
      <c r="G2436" s="2">
        <f>IF(ISNUMBER(SEARCH(Лист2!$B$4,F:F)),1,0)</f>
        <v>0</v>
      </c>
      <c r="H2436" s="3">
        <f ca="1">IF(AND(I2436&lt;&gt;I2435,ISNUMBER(SEARCH(Лист2!$B$5,I:I)),G2436=1),MAX($H$3:OFFSET(H2436,-1,0))+1,0)</f>
        <v>0</v>
      </c>
      <c r="I2436" s="3" t="s">
        <v>220</v>
      </c>
      <c r="K2436" s="2">
        <f>IF(ISNUMBER(SEARCH(Лист2!$B$4,F:F)),1,0)</f>
        <v>0</v>
      </c>
      <c r="L2436" s="14">
        <f>IF(ISNUMBER(SEARCH(Лист2!$B$5,I:I)),1,0)+K2436</f>
        <v>0</v>
      </c>
      <c r="M2436" s="3">
        <f ca="1">IF(AND(N2436&lt;&gt;N2435,ISNUMBER(SEARCH(Лист2!$B$6,N:N)),L2436=2),MAX($M$3:OFFSET(M2436,-1,0))+1,0)</f>
        <v>0</v>
      </c>
      <c r="N2436" s="3" t="s">
        <v>1649</v>
      </c>
    </row>
    <row r="2437" spans="1:14" x14ac:dyDescent="0.25">
      <c r="A2437" s="1" t="s">
        <v>11290</v>
      </c>
      <c r="B2437" s="3" t="s">
        <v>6061</v>
      </c>
      <c r="C2437" s="2">
        <f ca="1">IF(ISNUMBER(SEARCH(Лист2!$B$4,D:D)),MAX($C$3:OFFSET(C2437,-1,0))+1,0)</f>
        <v>0</v>
      </c>
      <c r="E2437" s="9" t="str">
        <f t="shared" ref="E2437:E2500" ca="1" si="50">IFERROR(INDEX(D:D,MATCH(ROW(E2437)-ROW($E$3),C:C,0)),"")</f>
        <v/>
      </c>
      <c r="F2437" s="4" t="s">
        <v>7</v>
      </c>
      <c r="G2437" s="2">
        <f>IF(ISNUMBER(SEARCH(Лист2!$B$4,F:F)),1,0)</f>
        <v>0</v>
      </c>
      <c r="H2437" s="3">
        <f ca="1">IF(AND(I2437&lt;&gt;I2436,ISNUMBER(SEARCH(Лист2!$B$5,I:I)),G2437=1),MAX($H$3:OFFSET(H2437,-1,0))+1,0)</f>
        <v>0</v>
      </c>
      <c r="I2437" s="3" t="s">
        <v>220</v>
      </c>
      <c r="K2437" s="2">
        <f>IF(ISNUMBER(SEARCH(Лист2!$B$4,F:F)),1,0)</f>
        <v>0</v>
      </c>
      <c r="L2437" s="14">
        <f>IF(ISNUMBER(SEARCH(Лист2!$B$5,I:I)),1,0)+K2437</f>
        <v>0</v>
      </c>
      <c r="M2437" s="3">
        <f ca="1">IF(AND(N2437&lt;&gt;N2436,ISNUMBER(SEARCH(Лист2!$B$6,N:N)),L2437=2),MAX($M$3:OFFSET(M2437,-1,0))+1,0)</f>
        <v>0</v>
      </c>
      <c r="N2437" s="3" t="s">
        <v>1650</v>
      </c>
    </row>
    <row r="2438" spans="1:14" x14ac:dyDescent="0.25">
      <c r="A2438" s="1" t="s">
        <v>11291</v>
      </c>
      <c r="B2438" s="3" t="s">
        <v>6062</v>
      </c>
      <c r="C2438" s="2">
        <f ca="1">IF(ISNUMBER(SEARCH(Лист2!$B$4,D:D)),MAX($C$3:OFFSET(C2438,-1,0))+1,0)</f>
        <v>0</v>
      </c>
      <c r="E2438" s="9" t="str">
        <f t="shared" ca="1" si="50"/>
        <v/>
      </c>
      <c r="F2438" s="4" t="s">
        <v>7</v>
      </c>
      <c r="G2438" s="2">
        <f>IF(ISNUMBER(SEARCH(Лист2!$B$4,F:F)),1,0)</f>
        <v>0</v>
      </c>
      <c r="H2438" s="3">
        <f ca="1">IF(AND(I2438&lt;&gt;I2437,ISNUMBER(SEARCH(Лист2!$B$5,I:I)),G2438=1),MAX($H$3:OFFSET(H2438,-1,0))+1,0)</f>
        <v>0</v>
      </c>
      <c r="I2438" s="3" t="s">
        <v>220</v>
      </c>
      <c r="K2438" s="2">
        <f>IF(ISNUMBER(SEARCH(Лист2!$B$4,F:F)),1,0)</f>
        <v>0</v>
      </c>
      <c r="L2438" s="14">
        <f>IF(ISNUMBER(SEARCH(Лист2!$B$5,I:I)),1,0)+K2438</f>
        <v>0</v>
      </c>
      <c r="M2438" s="3">
        <f ca="1">IF(AND(N2438&lt;&gt;N2437,ISNUMBER(SEARCH(Лист2!$B$6,N:N)),L2438=2),MAX($M$3:OFFSET(M2438,-1,0))+1,0)</f>
        <v>0</v>
      </c>
      <c r="N2438" s="3" t="s">
        <v>1619</v>
      </c>
    </row>
    <row r="2439" spans="1:14" x14ac:dyDescent="0.25">
      <c r="A2439" s="1" t="s">
        <v>11292</v>
      </c>
      <c r="B2439" s="3" t="s">
        <v>6063</v>
      </c>
      <c r="C2439" s="2">
        <f ca="1">IF(ISNUMBER(SEARCH(Лист2!$B$4,D:D)),MAX($C$3:OFFSET(C2439,-1,0))+1,0)</f>
        <v>0</v>
      </c>
      <c r="E2439" s="9" t="str">
        <f t="shared" ca="1" si="50"/>
        <v/>
      </c>
      <c r="F2439" s="4" t="s">
        <v>7</v>
      </c>
      <c r="G2439" s="2">
        <f>IF(ISNUMBER(SEARCH(Лист2!$B$4,F:F)),1,0)</f>
        <v>0</v>
      </c>
      <c r="H2439" s="3">
        <f ca="1">IF(AND(I2439&lt;&gt;I2438,ISNUMBER(SEARCH(Лист2!$B$5,I:I)),G2439=1),MAX($H$3:OFFSET(H2439,-1,0))+1,0)</f>
        <v>0</v>
      </c>
      <c r="I2439" s="3" t="s">
        <v>220</v>
      </c>
      <c r="K2439" s="2">
        <f>IF(ISNUMBER(SEARCH(Лист2!$B$4,F:F)),1,0)</f>
        <v>0</v>
      </c>
      <c r="L2439" s="14">
        <f>IF(ISNUMBER(SEARCH(Лист2!$B$5,I:I)),1,0)+K2439</f>
        <v>0</v>
      </c>
      <c r="M2439" s="3">
        <f ca="1">IF(AND(N2439&lt;&gt;N2438,ISNUMBER(SEARCH(Лист2!$B$6,N:N)),L2439=2),MAX($M$3:OFFSET(M2439,-1,0))+1,0)</f>
        <v>0</v>
      </c>
      <c r="N2439" s="3" t="s">
        <v>1620</v>
      </c>
    </row>
    <row r="2440" spans="1:14" x14ac:dyDescent="0.25">
      <c r="A2440" s="1" t="s">
        <v>11293</v>
      </c>
      <c r="B2440" s="3" t="s">
        <v>6064</v>
      </c>
      <c r="C2440" s="2">
        <f ca="1">IF(ISNUMBER(SEARCH(Лист2!$B$4,D:D)),MAX($C$3:OFFSET(C2440,-1,0))+1,0)</f>
        <v>0</v>
      </c>
      <c r="E2440" s="9" t="str">
        <f t="shared" ca="1" si="50"/>
        <v/>
      </c>
      <c r="F2440" s="4" t="s">
        <v>7</v>
      </c>
      <c r="G2440" s="2">
        <f>IF(ISNUMBER(SEARCH(Лист2!$B$4,F:F)),1,0)</f>
        <v>0</v>
      </c>
      <c r="H2440" s="3">
        <f ca="1">IF(AND(I2440&lt;&gt;I2439,ISNUMBER(SEARCH(Лист2!$B$5,I:I)),G2440=1),MAX($H$3:OFFSET(H2440,-1,0))+1,0)</f>
        <v>0</v>
      </c>
      <c r="I2440" s="3" t="s">
        <v>220</v>
      </c>
      <c r="K2440" s="2">
        <f>IF(ISNUMBER(SEARCH(Лист2!$B$4,F:F)),1,0)</f>
        <v>0</v>
      </c>
      <c r="L2440" s="14">
        <f>IF(ISNUMBER(SEARCH(Лист2!$B$5,I:I)),1,0)+K2440</f>
        <v>0</v>
      </c>
      <c r="M2440" s="3">
        <f ca="1">IF(AND(N2440&lt;&gt;N2439,ISNUMBER(SEARCH(Лист2!$B$6,N:N)),L2440=2),MAX($M$3:OFFSET(M2440,-1,0))+1,0)</f>
        <v>0</v>
      </c>
      <c r="N2440" s="3" t="s">
        <v>1621</v>
      </c>
    </row>
    <row r="2441" spans="1:14" x14ac:dyDescent="0.25">
      <c r="A2441" s="1" t="s">
        <v>11294</v>
      </c>
      <c r="B2441" s="3" t="s">
        <v>6065</v>
      </c>
      <c r="C2441" s="2">
        <f ca="1">IF(ISNUMBER(SEARCH(Лист2!$B$4,D:D)),MAX($C$3:OFFSET(C2441,-1,0))+1,0)</f>
        <v>0</v>
      </c>
      <c r="E2441" s="9" t="str">
        <f t="shared" ca="1" si="50"/>
        <v/>
      </c>
      <c r="F2441" s="4" t="s">
        <v>7</v>
      </c>
      <c r="G2441" s="2">
        <f>IF(ISNUMBER(SEARCH(Лист2!$B$4,F:F)),1,0)</f>
        <v>0</v>
      </c>
      <c r="H2441" s="3">
        <f ca="1">IF(AND(I2441&lt;&gt;I2440,ISNUMBER(SEARCH(Лист2!$B$5,I:I)),G2441=1),MAX($H$3:OFFSET(H2441,-1,0))+1,0)</f>
        <v>0</v>
      </c>
      <c r="I2441" s="3" t="s">
        <v>220</v>
      </c>
      <c r="K2441" s="2">
        <f>IF(ISNUMBER(SEARCH(Лист2!$B$4,F:F)),1,0)</f>
        <v>0</v>
      </c>
      <c r="L2441" s="14">
        <f>IF(ISNUMBER(SEARCH(Лист2!$B$5,I:I)),1,0)+K2441</f>
        <v>0</v>
      </c>
      <c r="M2441" s="3">
        <f ca="1">IF(AND(N2441&lt;&gt;N2440,ISNUMBER(SEARCH(Лист2!$B$6,N:N)),L2441=2),MAX($M$3:OFFSET(M2441,-1,0))+1,0)</f>
        <v>0</v>
      </c>
      <c r="N2441" s="3" t="s">
        <v>602</v>
      </c>
    </row>
    <row r="2442" spans="1:14" x14ac:dyDescent="0.25">
      <c r="A2442" s="1" t="s">
        <v>11295</v>
      </c>
      <c r="B2442" s="3" t="s">
        <v>6066</v>
      </c>
      <c r="C2442" s="2">
        <f ca="1">IF(ISNUMBER(SEARCH(Лист2!$B$4,D:D)),MAX($C$3:OFFSET(C2442,-1,0))+1,0)</f>
        <v>0</v>
      </c>
      <c r="E2442" s="9" t="str">
        <f t="shared" ca="1" si="50"/>
        <v/>
      </c>
      <c r="F2442" s="4" t="s">
        <v>7</v>
      </c>
      <c r="G2442" s="2">
        <f>IF(ISNUMBER(SEARCH(Лист2!$B$4,F:F)),1,0)</f>
        <v>0</v>
      </c>
      <c r="H2442" s="3">
        <f ca="1">IF(AND(I2442&lt;&gt;I2441,ISNUMBER(SEARCH(Лист2!$B$5,I:I)),G2442=1),MAX($H$3:OFFSET(H2442,-1,0))+1,0)</f>
        <v>0</v>
      </c>
      <c r="I2442" s="3" t="s">
        <v>220</v>
      </c>
      <c r="K2442" s="2">
        <f>IF(ISNUMBER(SEARCH(Лист2!$B$4,F:F)),1,0)</f>
        <v>0</v>
      </c>
      <c r="L2442" s="14">
        <f>IF(ISNUMBER(SEARCH(Лист2!$B$5,I:I)),1,0)+K2442</f>
        <v>0</v>
      </c>
      <c r="M2442" s="3">
        <f ca="1">IF(AND(N2442&lt;&gt;N2441,ISNUMBER(SEARCH(Лист2!$B$6,N:N)),L2442=2),MAX($M$3:OFFSET(M2442,-1,0))+1,0)</f>
        <v>0</v>
      </c>
      <c r="N2442" s="3" t="s">
        <v>1651</v>
      </c>
    </row>
    <row r="2443" spans="1:14" x14ac:dyDescent="0.25">
      <c r="A2443" s="1" t="s">
        <v>11296</v>
      </c>
      <c r="B2443" s="3" t="s">
        <v>6067</v>
      </c>
      <c r="C2443" s="2">
        <f ca="1">IF(ISNUMBER(SEARCH(Лист2!$B$4,D:D)),MAX($C$3:OFFSET(C2443,-1,0))+1,0)</f>
        <v>0</v>
      </c>
      <c r="E2443" s="9" t="str">
        <f t="shared" ca="1" si="50"/>
        <v/>
      </c>
      <c r="F2443" s="4" t="s">
        <v>7</v>
      </c>
      <c r="G2443" s="2">
        <f>IF(ISNUMBER(SEARCH(Лист2!$B$4,F:F)),1,0)</f>
        <v>0</v>
      </c>
      <c r="H2443" s="3">
        <f ca="1">IF(AND(I2443&lt;&gt;I2442,ISNUMBER(SEARCH(Лист2!$B$5,I:I)),G2443=1),MAX($H$3:OFFSET(H2443,-1,0))+1,0)</f>
        <v>0</v>
      </c>
      <c r="I2443" s="3" t="s">
        <v>220</v>
      </c>
      <c r="K2443" s="2">
        <f>IF(ISNUMBER(SEARCH(Лист2!$B$4,F:F)),1,0)</f>
        <v>0</v>
      </c>
      <c r="L2443" s="14">
        <f>IF(ISNUMBER(SEARCH(Лист2!$B$5,I:I)),1,0)+K2443</f>
        <v>0</v>
      </c>
      <c r="M2443" s="3">
        <f ca="1">IF(AND(N2443&lt;&gt;N2442,ISNUMBER(SEARCH(Лист2!$B$6,N:N)),L2443=2),MAX($M$3:OFFSET(M2443,-1,0))+1,0)</f>
        <v>0</v>
      </c>
      <c r="N2443" s="3" t="s">
        <v>1652</v>
      </c>
    </row>
    <row r="2444" spans="1:14" x14ac:dyDescent="0.25">
      <c r="A2444" s="1" t="s">
        <v>11297</v>
      </c>
      <c r="B2444" s="3" t="s">
        <v>6068</v>
      </c>
      <c r="C2444" s="2">
        <f ca="1">IF(ISNUMBER(SEARCH(Лист2!$B$4,D:D)),MAX($C$3:OFFSET(C2444,-1,0))+1,0)</f>
        <v>0</v>
      </c>
      <c r="E2444" s="9" t="str">
        <f t="shared" ca="1" si="50"/>
        <v/>
      </c>
      <c r="F2444" s="4" t="s">
        <v>7</v>
      </c>
      <c r="G2444" s="2">
        <f>IF(ISNUMBER(SEARCH(Лист2!$B$4,F:F)),1,0)</f>
        <v>0</v>
      </c>
      <c r="H2444" s="3">
        <f ca="1">IF(AND(I2444&lt;&gt;I2443,ISNUMBER(SEARCH(Лист2!$B$5,I:I)),G2444=1),MAX($H$3:OFFSET(H2444,-1,0))+1,0)</f>
        <v>0</v>
      </c>
      <c r="I2444" s="3" t="s">
        <v>220</v>
      </c>
      <c r="K2444" s="2">
        <f>IF(ISNUMBER(SEARCH(Лист2!$B$4,F:F)),1,0)</f>
        <v>0</v>
      </c>
      <c r="L2444" s="14">
        <f>IF(ISNUMBER(SEARCH(Лист2!$B$5,I:I)),1,0)+K2444</f>
        <v>0</v>
      </c>
      <c r="M2444" s="3">
        <f ca="1">IF(AND(N2444&lt;&gt;N2443,ISNUMBER(SEARCH(Лист2!$B$6,N:N)),L2444=2),MAX($M$3:OFFSET(M2444,-1,0))+1,0)</f>
        <v>0</v>
      </c>
      <c r="N2444" s="3" t="s">
        <v>1653</v>
      </c>
    </row>
    <row r="2445" spans="1:14" x14ac:dyDescent="0.25">
      <c r="A2445" s="1" t="s">
        <v>11618</v>
      </c>
      <c r="B2445" s="3" t="s">
        <v>6069</v>
      </c>
      <c r="C2445" s="2">
        <f ca="1">IF(ISNUMBER(SEARCH(Лист2!$B$4,D:D)),MAX($C$3:OFFSET(C2445,-1,0))+1,0)</f>
        <v>0</v>
      </c>
      <c r="E2445" s="9" t="str">
        <f t="shared" ca="1" si="50"/>
        <v/>
      </c>
      <c r="F2445" s="4" t="s">
        <v>7</v>
      </c>
      <c r="G2445" s="2">
        <f>IF(ISNUMBER(SEARCH(Лист2!$B$4,F:F)),1,0)</f>
        <v>0</v>
      </c>
      <c r="H2445" s="3">
        <f ca="1">IF(AND(I2445&lt;&gt;I2444,ISNUMBER(SEARCH(Лист2!$B$5,I:I)),G2445=1),MAX($H$3:OFFSET(H2445,-1,0))+1,0)</f>
        <v>0</v>
      </c>
      <c r="I2445" s="3" t="s">
        <v>225</v>
      </c>
      <c r="K2445" s="2">
        <f>IF(ISNUMBER(SEARCH(Лист2!$B$4,F:F)),1,0)</f>
        <v>0</v>
      </c>
      <c r="L2445" s="14">
        <f>IF(ISNUMBER(SEARCH(Лист2!$B$5,I:I)),1,0)+K2445</f>
        <v>0</v>
      </c>
      <c r="M2445" s="3">
        <f ca="1">IF(AND(N2445&lt;&gt;N2444,ISNUMBER(SEARCH(Лист2!$B$6,N:N)),L2445=2),MAX($M$3:OFFSET(M2445,-1,0))+1,0)</f>
        <v>0</v>
      </c>
      <c r="N2445" s="3" t="s">
        <v>1860</v>
      </c>
    </row>
    <row r="2446" spans="1:14" x14ac:dyDescent="0.25">
      <c r="A2446" s="1" t="s">
        <v>11619</v>
      </c>
      <c r="B2446" s="3" t="s">
        <v>6070</v>
      </c>
      <c r="C2446" s="2">
        <f ca="1">IF(ISNUMBER(SEARCH(Лист2!$B$4,D:D)),MAX($C$3:OFFSET(C2446,-1,0))+1,0)</f>
        <v>0</v>
      </c>
      <c r="E2446" s="9" t="str">
        <f t="shared" ca="1" si="50"/>
        <v/>
      </c>
      <c r="F2446" s="4" t="s">
        <v>7</v>
      </c>
      <c r="G2446" s="2">
        <f>IF(ISNUMBER(SEARCH(Лист2!$B$4,F:F)),1,0)</f>
        <v>0</v>
      </c>
      <c r="H2446" s="3">
        <f ca="1">IF(AND(I2446&lt;&gt;I2445,ISNUMBER(SEARCH(Лист2!$B$5,I:I)),G2446=1),MAX($H$3:OFFSET(H2446,-1,0))+1,0)</f>
        <v>0</v>
      </c>
      <c r="I2446" s="3" t="s">
        <v>225</v>
      </c>
      <c r="K2446" s="2">
        <f>IF(ISNUMBER(SEARCH(Лист2!$B$4,F:F)),1,0)</f>
        <v>0</v>
      </c>
      <c r="L2446" s="14">
        <f>IF(ISNUMBER(SEARCH(Лист2!$B$5,I:I)),1,0)+K2446</f>
        <v>0</v>
      </c>
      <c r="M2446" s="3">
        <f ca="1">IF(AND(N2446&lt;&gt;N2445,ISNUMBER(SEARCH(Лист2!$B$6,N:N)),L2446=2),MAX($M$3:OFFSET(M2446,-1,0))+1,0)</f>
        <v>0</v>
      </c>
      <c r="N2446" s="3" t="s">
        <v>1861</v>
      </c>
    </row>
    <row r="2447" spans="1:14" x14ac:dyDescent="0.25">
      <c r="A2447" s="1" t="s">
        <v>11339</v>
      </c>
      <c r="B2447" s="3" t="s">
        <v>6071</v>
      </c>
      <c r="C2447" s="2">
        <f ca="1">IF(ISNUMBER(SEARCH(Лист2!$B$4,D:D)),MAX($C$3:OFFSET(C2447,-1,0))+1,0)</f>
        <v>0</v>
      </c>
      <c r="E2447" s="9" t="str">
        <f t="shared" ca="1" si="50"/>
        <v/>
      </c>
      <c r="F2447" s="4" t="s">
        <v>7</v>
      </c>
      <c r="G2447" s="2">
        <f>IF(ISNUMBER(SEARCH(Лист2!$B$4,F:F)),1,0)</f>
        <v>0</v>
      </c>
      <c r="H2447" s="3">
        <f ca="1">IF(AND(I2447&lt;&gt;I2446,ISNUMBER(SEARCH(Лист2!$B$5,I:I)),G2447=1),MAX($H$3:OFFSET(H2447,-1,0))+1,0)</f>
        <v>0</v>
      </c>
      <c r="I2447" s="3" t="s">
        <v>225</v>
      </c>
      <c r="K2447" s="2">
        <f>IF(ISNUMBER(SEARCH(Лист2!$B$4,F:F)),1,0)</f>
        <v>0</v>
      </c>
      <c r="L2447" s="14">
        <f>IF(ISNUMBER(SEARCH(Лист2!$B$5,I:I)),1,0)+K2447</f>
        <v>0</v>
      </c>
      <c r="M2447" s="3">
        <f ca="1">IF(AND(N2447&lt;&gt;N2446,ISNUMBER(SEARCH(Лист2!$B$6,N:N)),L2447=2),MAX($M$3:OFFSET(M2447,-1,0))+1,0)</f>
        <v>0</v>
      </c>
      <c r="N2447" s="3" t="s">
        <v>1678</v>
      </c>
    </row>
    <row r="2448" spans="1:14" x14ac:dyDescent="0.25">
      <c r="A2448" s="1" t="s">
        <v>11340</v>
      </c>
      <c r="B2448" s="3" t="s">
        <v>6072</v>
      </c>
      <c r="C2448" s="2">
        <f ca="1">IF(ISNUMBER(SEARCH(Лист2!$B$4,D:D)),MAX($C$3:OFFSET(C2448,-1,0))+1,0)</f>
        <v>0</v>
      </c>
      <c r="E2448" s="9" t="str">
        <f t="shared" ca="1" si="50"/>
        <v/>
      </c>
      <c r="F2448" s="4" t="s">
        <v>7</v>
      </c>
      <c r="G2448" s="2">
        <f>IF(ISNUMBER(SEARCH(Лист2!$B$4,F:F)),1,0)</f>
        <v>0</v>
      </c>
      <c r="H2448" s="3">
        <f ca="1">IF(AND(I2448&lt;&gt;I2447,ISNUMBER(SEARCH(Лист2!$B$5,I:I)),G2448=1),MAX($H$3:OFFSET(H2448,-1,0))+1,0)</f>
        <v>0</v>
      </c>
      <c r="I2448" s="3" t="s">
        <v>225</v>
      </c>
      <c r="K2448" s="2">
        <f>IF(ISNUMBER(SEARCH(Лист2!$B$4,F:F)),1,0)</f>
        <v>0</v>
      </c>
      <c r="L2448" s="14">
        <f>IF(ISNUMBER(SEARCH(Лист2!$B$5,I:I)),1,0)+K2448</f>
        <v>0</v>
      </c>
      <c r="M2448" s="3">
        <f ca="1">IF(AND(N2448&lt;&gt;N2447,ISNUMBER(SEARCH(Лист2!$B$6,N:N)),L2448=2),MAX($M$3:OFFSET(M2448,-1,0))+1,0)</f>
        <v>0</v>
      </c>
      <c r="N2448" s="3" t="s">
        <v>1620</v>
      </c>
    </row>
    <row r="2449" spans="1:14" x14ac:dyDescent="0.25">
      <c r="A2449" s="1" t="s">
        <v>11341</v>
      </c>
      <c r="B2449" s="3" t="s">
        <v>6073</v>
      </c>
      <c r="C2449" s="2">
        <f ca="1">IF(ISNUMBER(SEARCH(Лист2!$B$4,D:D)),MAX($C$3:OFFSET(C2449,-1,0))+1,0)</f>
        <v>0</v>
      </c>
      <c r="E2449" s="9" t="str">
        <f t="shared" ca="1" si="50"/>
        <v/>
      </c>
      <c r="F2449" s="4" t="s">
        <v>7</v>
      </c>
      <c r="G2449" s="2">
        <f>IF(ISNUMBER(SEARCH(Лист2!$B$4,F:F)),1,0)</f>
        <v>0</v>
      </c>
      <c r="H2449" s="3">
        <f ca="1">IF(AND(I2449&lt;&gt;I2448,ISNUMBER(SEARCH(Лист2!$B$5,I:I)),G2449=1),MAX($H$3:OFFSET(H2449,-1,0))+1,0)</f>
        <v>0</v>
      </c>
      <c r="I2449" s="3" t="s">
        <v>225</v>
      </c>
      <c r="K2449" s="2">
        <f>IF(ISNUMBER(SEARCH(Лист2!$B$4,F:F)),1,0)</f>
        <v>0</v>
      </c>
      <c r="L2449" s="14">
        <f>IF(ISNUMBER(SEARCH(Лист2!$B$5,I:I)),1,0)+K2449</f>
        <v>0</v>
      </c>
      <c r="M2449" s="3">
        <f ca="1">IF(AND(N2449&lt;&gt;N2448,ISNUMBER(SEARCH(Лист2!$B$6,N:N)),L2449=2),MAX($M$3:OFFSET(M2449,-1,0))+1,0)</f>
        <v>0</v>
      </c>
      <c r="N2449" s="3" t="s">
        <v>1634</v>
      </c>
    </row>
    <row r="2450" spans="1:14" x14ac:dyDescent="0.25">
      <c r="A2450" s="1" t="s">
        <v>11342</v>
      </c>
      <c r="B2450" s="3" t="s">
        <v>6074</v>
      </c>
      <c r="C2450" s="2">
        <f ca="1">IF(ISNUMBER(SEARCH(Лист2!$B$4,D:D)),MAX($C$3:OFFSET(C2450,-1,0))+1,0)</f>
        <v>0</v>
      </c>
      <c r="E2450" s="9" t="str">
        <f t="shared" ca="1" si="50"/>
        <v/>
      </c>
      <c r="F2450" s="4" t="s">
        <v>7</v>
      </c>
      <c r="G2450" s="2">
        <f>IF(ISNUMBER(SEARCH(Лист2!$B$4,F:F)),1,0)</f>
        <v>0</v>
      </c>
      <c r="H2450" s="3">
        <f ca="1">IF(AND(I2450&lt;&gt;I2449,ISNUMBER(SEARCH(Лист2!$B$5,I:I)),G2450=1),MAX($H$3:OFFSET(H2450,-1,0))+1,0)</f>
        <v>0</v>
      </c>
      <c r="I2450" s="3" t="s">
        <v>225</v>
      </c>
      <c r="K2450" s="2">
        <f>IF(ISNUMBER(SEARCH(Лист2!$B$4,F:F)),1,0)</f>
        <v>0</v>
      </c>
      <c r="L2450" s="14">
        <f>IF(ISNUMBER(SEARCH(Лист2!$B$5,I:I)),1,0)+K2450</f>
        <v>0</v>
      </c>
      <c r="M2450" s="3">
        <f ca="1">IF(AND(N2450&lt;&gt;N2449,ISNUMBER(SEARCH(Лист2!$B$6,N:N)),L2450=2),MAX($M$3:OFFSET(M2450,-1,0))+1,0)</f>
        <v>0</v>
      </c>
      <c r="N2450" s="3" t="s">
        <v>602</v>
      </c>
    </row>
    <row r="2451" spans="1:14" x14ac:dyDescent="0.25">
      <c r="A2451" s="1" t="s">
        <v>11620</v>
      </c>
      <c r="B2451" s="3" t="s">
        <v>6075</v>
      </c>
      <c r="C2451" s="2">
        <f ca="1">IF(ISNUMBER(SEARCH(Лист2!$B$4,D:D)),MAX($C$3:OFFSET(C2451,-1,0))+1,0)</f>
        <v>0</v>
      </c>
      <c r="E2451" s="9" t="str">
        <f t="shared" ca="1" si="50"/>
        <v/>
      </c>
      <c r="F2451" s="4" t="s">
        <v>7</v>
      </c>
      <c r="G2451" s="2">
        <f>IF(ISNUMBER(SEARCH(Лист2!$B$4,F:F)),1,0)</f>
        <v>0</v>
      </c>
      <c r="H2451" s="3">
        <f ca="1">IF(AND(I2451&lt;&gt;I2450,ISNUMBER(SEARCH(Лист2!$B$5,I:I)),G2451=1),MAX($H$3:OFFSET(H2451,-1,0))+1,0)</f>
        <v>0</v>
      </c>
      <c r="I2451" s="3" t="s">
        <v>225</v>
      </c>
      <c r="K2451" s="2">
        <f>IF(ISNUMBER(SEARCH(Лист2!$B$4,F:F)),1,0)</f>
        <v>0</v>
      </c>
      <c r="L2451" s="14">
        <f>IF(ISNUMBER(SEARCH(Лист2!$B$5,I:I)),1,0)+K2451</f>
        <v>0</v>
      </c>
      <c r="M2451" s="3">
        <f ca="1">IF(AND(N2451&lt;&gt;N2450,ISNUMBER(SEARCH(Лист2!$B$6,N:N)),L2451=2),MAX($M$3:OFFSET(M2451,-1,0))+1,0)</f>
        <v>0</v>
      </c>
      <c r="N2451" s="3" t="s">
        <v>1862</v>
      </c>
    </row>
    <row r="2452" spans="1:14" x14ac:dyDescent="0.25">
      <c r="A2452" s="1" t="s">
        <v>11621</v>
      </c>
      <c r="B2452" s="3" t="s">
        <v>6076</v>
      </c>
      <c r="C2452" s="2">
        <f ca="1">IF(ISNUMBER(SEARCH(Лист2!$B$4,D:D)),MAX($C$3:OFFSET(C2452,-1,0))+1,0)</f>
        <v>0</v>
      </c>
      <c r="E2452" s="9" t="str">
        <f t="shared" ca="1" si="50"/>
        <v/>
      </c>
      <c r="F2452" s="4" t="s">
        <v>7</v>
      </c>
      <c r="G2452" s="2">
        <f>IF(ISNUMBER(SEARCH(Лист2!$B$4,F:F)),1,0)</f>
        <v>0</v>
      </c>
      <c r="H2452" s="3">
        <f ca="1">IF(AND(I2452&lt;&gt;I2451,ISNUMBER(SEARCH(Лист2!$B$5,I:I)),G2452=1),MAX($H$3:OFFSET(H2452,-1,0))+1,0)</f>
        <v>0</v>
      </c>
      <c r="I2452" s="3" t="s">
        <v>225</v>
      </c>
      <c r="K2452" s="2">
        <f>IF(ISNUMBER(SEARCH(Лист2!$B$4,F:F)),1,0)</f>
        <v>0</v>
      </c>
      <c r="L2452" s="14">
        <f>IF(ISNUMBER(SEARCH(Лист2!$B$5,I:I)),1,0)+K2452</f>
        <v>0</v>
      </c>
      <c r="M2452" s="3">
        <f ca="1">IF(AND(N2452&lt;&gt;N2451,ISNUMBER(SEARCH(Лист2!$B$6,N:N)),L2452=2),MAX($M$3:OFFSET(M2452,-1,0))+1,0)</f>
        <v>0</v>
      </c>
      <c r="N2452" s="3" t="s">
        <v>1863</v>
      </c>
    </row>
    <row r="2453" spans="1:14" x14ac:dyDescent="0.25">
      <c r="A2453" s="1" t="s">
        <v>11622</v>
      </c>
      <c r="B2453" s="3" t="s">
        <v>6077</v>
      </c>
      <c r="C2453" s="2">
        <f ca="1">IF(ISNUMBER(SEARCH(Лист2!$B$4,D:D)),MAX($C$3:OFFSET(C2453,-1,0))+1,0)</f>
        <v>0</v>
      </c>
      <c r="E2453" s="9" t="str">
        <f t="shared" ca="1" si="50"/>
        <v/>
      </c>
      <c r="F2453" s="4" t="s">
        <v>7</v>
      </c>
      <c r="G2453" s="2">
        <f>IF(ISNUMBER(SEARCH(Лист2!$B$4,F:F)),1,0)</f>
        <v>0</v>
      </c>
      <c r="H2453" s="3">
        <f ca="1">IF(AND(I2453&lt;&gt;I2452,ISNUMBER(SEARCH(Лист2!$B$5,I:I)),G2453=1),MAX($H$3:OFFSET(H2453,-1,0))+1,0)</f>
        <v>0</v>
      </c>
      <c r="I2453" s="3" t="s">
        <v>225</v>
      </c>
      <c r="K2453" s="2">
        <f>IF(ISNUMBER(SEARCH(Лист2!$B$4,F:F)),1,0)</f>
        <v>0</v>
      </c>
      <c r="L2453" s="14">
        <f>IF(ISNUMBER(SEARCH(Лист2!$B$5,I:I)),1,0)+K2453</f>
        <v>0</v>
      </c>
      <c r="M2453" s="3">
        <f ca="1">IF(AND(N2453&lt;&gt;N2452,ISNUMBER(SEARCH(Лист2!$B$6,N:N)),L2453=2),MAX($M$3:OFFSET(M2453,-1,0))+1,0)</f>
        <v>0</v>
      </c>
      <c r="N2453" s="3" t="s">
        <v>1864</v>
      </c>
    </row>
    <row r="2454" spans="1:14" x14ac:dyDescent="0.25">
      <c r="A2454" s="1" t="s">
        <v>11623</v>
      </c>
      <c r="B2454" s="3" t="s">
        <v>6078</v>
      </c>
      <c r="C2454" s="2">
        <f ca="1">IF(ISNUMBER(SEARCH(Лист2!$B$4,D:D)),MAX($C$3:OFFSET(C2454,-1,0))+1,0)</f>
        <v>0</v>
      </c>
      <c r="E2454" s="9" t="str">
        <f t="shared" ca="1" si="50"/>
        <v/>
      </c>
      <c r="F2454" s="4" t="s">
        <v>7</v>
      </c>
      <c r="G2454" s="2">
        <f>IF(ISNUMBER(SEARCH(Лист2!$B$4,F:F)),1,0)</f>
        <v>0</v>
      </c>
      <c r="H2454" s="3">
        <f ca="1">IF(AND(I2454&lt;&gt;I2453,ISNUMBER(SEARCH(Лист2!$B$5,I:I)),G2454=1),MAX($H$3:OFFSET(H2454,-1,0))+1,0)</f>
        <v>0</v>
      </c>
      <c r="I2454" s="3" t="s">
        <v>226</v>
      </c>
      <c r="K2454" s="2">
        <f>IF(ISNUMBER(SEARCH(Лист2!$B$4,F:F)),1,0)</f>
        <v>0</v>
      </c>
      <c r="L2454" s="14">
        <f>IF(ISNUMBER(SEARCH(Лист2!$B$5,I:I)),1,0)+K2454</f>
        <v>0</v>
      </c>
      <c r="M2454" s="3">
        <f ca="1">IF(AND(N2454&lt;&gt;N2453,ISNUMBER(SEARCH(Лист2!$B$6,N:N)),L2454=2),MAX($M$3:OFFSET(M2454,-1,0))+1,0)</f>
        <v>0</v>
      </c>
      <c r="N2454" s="3" t="s">
        <v>1865</v>
      </c>
    </row>
    <row r="2455" spans="1:14" x14ac:dyDescent="0.25">
      <c r="A2455" s="1" t="s">
        <v>11624</v>
      </c>
      <c r="B2455" s="3" t="s">
        <v>6079</v>
      </c>
      <c r="C2455" s="2">
        <f ca="1">IF(ISNUMBER(SEARCH(Лист2!$B$4,D:D)),MAX($C$3:OFFSET(C2455,-1,0))+1,0)</f>
        <v>0</v>
      </c>
      <c r="E2455" s="9" t="str">
        <f t="shared" ca="1" si="50"/>
        <v/>
      </c>
      <c r="F2455" s="4" t="s">
        <v>7</v>
      </c>
      <c r="G2455" s="2">
        <f>IF(ISNUMBER(SEARCH(Лист2!$B$4,F:F)),1,0)</f>
        <v>0</v>
      </c>
      <c r="H2455" s="3">
        <f ca="1">IF(AND(I2455&lt;&gt;I2454,ISNUMBER(SEARCH(Лист2!$B$5,I:I)),G2455=1),MAX($H$3:OFFSET(H2455,-1,0))+1,0)</f>
        <v>0</v>
      </c>
      <c r="I2455" s="3" t="s">
        <v>226</v>
      </c>
      <c r="K2455" s="2">
        <f>IF(ISNUMBER(SEARCH(Лист2!$B$4,F:F)),1,0)</f>
        <v>0</v>
      </c>
      <c r="L2455" s="14">
        <f>IF(ISNUMBER(SEARCH(Лист2!$B$5,I:I)),1,0)+K2455</f>
        <v>0</v>
      </c>
      <c r="M2455" s="3">
        <f ca="1">IF(AND(N2455&lt;&gt;N2454,ISNUMBER(SEARCH(Лист2!$B$6,N:N)),L2455=2),MAX($M$3:OFFSET(M2455,-1,0))+1,0)</f>
        <v>0</v>
      </c>
      <c r="N2455" s="3" t="s">
        <v>1866</v>
      </c>
    </row>
    <row r="2456" spans="1:14" x14ac:dyDescent="0.25">
      <c r="A2456" s="1" t="s">
        <v>11570</v>
      </c>
      <c r="B2456" s="3" t="s">
        <v>6080</v>
      </c>
      <c r="C2456" s="2">
        <f ca="1">IF(ISNUMBER(SEARCH(Лист2!$B$4,D:D)),MAX($C$3:OFFSET(C2456,-1,0))+1,0)</f>
        <v>0</v>
      </c>
      <c r="E2456" s="9" t="str">
        <f t="shared" ca="1" si="50"/>
        <v/>
      </c>
      <c r="F2456" s="4" t="s">
        <v>7</v>
      </c>
      <c r="G2456" s="2">
        <f>IF(ISNUMBER(SEARCH(Лист2!$B$4,F:F)),1,0)</f>
        <v>0</v>
      </c>
      <c r="H2456" s="3">
        <f ca="1">IF(AND(I2456&lt;&gt;I2455,ISNUMBER(SEARCH(Лист2!$B$5,I:I)),G2456=1),MAX($H$3:OFFSET(H2456,-1,0))+1,0)</f>
        <v>0</v>
      </c>
      <c r="I2456" s="3" t="s">
        <v>226</v>
      </c>
      <c r="K2456" s="2">
        <f>IF(ISNUMBER(SEARCH(Лист2!$B$4,F:F)),1,0)</f>
        <v>0</v>
      </c>
      <c r="L2456" s="14">
        <f>IF(ISNUMBER(SEARCH(Лист2!$B$5,I:I)),1,0)+K2456</f>
        <v>0</v>
      </c>
      <c r="M2456" s="3">
        <f ca="1">IF(AND(N2456&lt;&gt;N2455,ISNUMBER(SEARCH(Лист2!$B$6,N:N)),L2456=2),MAX($M$3:OFFSET(M2456,-1,0))+1,0)</f>
        <v>0</v>
      </c>
      <c r="N2456" s="3" t="s">
        <v>1678</v>
      </c>
    </row>
    <row r="2457" spans="1:14" x14ac:dyDescent="0.25">
      <c r="A2457" s="1" t="s">
        <v>11349</v>
      </c>
      <c r="B2457" s="3" t="s">
        <v>6081</v>
      </c>
      <c r="C2457" s="2">
        <f ca="1">IF(ISNUMBER(SEARCH(Лист2!$B$4,D:D)),MAX($C$3:OFFSET(C2457,-1,0))+1,0)</f>
        <v>0</v>
      </c>
      <c r="E2457" s="9" t="str">
        <f t="shared" ca="1" si="50"/>
        <v/>
      </c>
      <c r="F2457" s="4" t="s">
        <v>7</v>
      </c>
      <c r="G2457" s="2">
        <f>IF(ISNUMBER(SEARCH(Лист2!$B$4,F:F)),1,0)</f>
        <v>0</v>
      </c>
      <c r="H2457" s="3">
        <f ca="1">IF(AND(I2457&lt;&gt;I2456,ISNUMBER(SEARCH(Лист2!$B$5,I:I)),G2457=1),MAX($H$3:OFFSET(H2457,-1,0))+1,0)</f>
        <v>0</v>
      </c>
      <c r="I2457" s="3" t="s">
        <v>226</v>
      </c>
      <c r="K2457" s="2">
        <f>IF(ISNUMBER(SEARCH(Лист2!$B$4,F:F)),1,0)</f>
        <v>0</v>
      </c>
      <c r="L2457" s="14">
        <f>IF(ISNUMBER(SEARCH(Лист2!$B$5,I:I)),1,0)+K2457</f>
        <v>0</v>
      </c>
      <c r="M2457" s="3">
        <f ca="1">IF(AND(N2457&lt;&gt;N2456,ISNUMBER(SEARCH(Лист2!$B$6,N:N)),L2457=2),MAX($M$3:OFFSET(M2457,-1,0))+1,0)</f>
        <v>0</v>
      </c>
      <c r="N2457" s="3" t="s">
        <v>1620</v>
      </c>
    </row>
    <row r="2458" spans="1:14" x14ac:dyDescent="0.25">
      <c r="A2458" s="1" t="s">
        <v>11350</v>
      </c>
      <c r="B2458" s="3" t="s">
        <v>6082</v>
      </c>
      <c r="C2458" s="2">
        <f ca="1">IF(ISNUMBER(SEARCH(Лист2!$B$4,D:D)),MAX($C$3:OFFSET(C2458,-1,0))+1,0)</f>
        <v>0</v>
      </c>
      <c r="E2458" s="9" t="str">
        <f t="shared" ca="1" si="50"/>
        <v/>
      </c>
      <c r="F2458" s="4" t="s">
        <v>7</v>
      </c>
      <c r="G2458" s="2">
        <f>IF(ISNUMBER(SEARCH(Лист2!$B$4,F:F)),1,0)</f>
        <v>0</v>
      </c>
      <c r="H2458" s="3">
        <f ca="1">IF(AND(I2458&lt;&gt;I2457,ISNUMBER(SEARCH(Лист2!$B$5,I:I)),G2458=1),MAX($H$3:OFFSET(H2458,-1,0))+1,0)</f>
        <v>0</v>
      </c>
      <c r="I2458" s="3" t="s">
        <v>226</v>
      </c>
      <c r="K2458" s="2">
        <f>IF(ISNUMBER(SEARCH(Лист2!$B$4,F:F)),1,0)</f>
        <v>0</v>
      </c>
      <c r="L2458" s="14">
        <f>IF(ISNUMBER(SEARCH(Лист2!$B$5,I:I)),1,0)+K2458</f>
        <v>0</v>
      </c>
      <c r="M2458" s="3">
        <f ca="1">IF(AND(N2458&lt;&gt;N2457,ISNUMBER(SEARCH(Лист2!$B$6,N:N)),L2458=2),MAX($M$3:OFFSET(M2458,-1,0))+1,0)</f>
        <v>0</v>
      </c>
      <c r="N2458" s="3" t="s">
        <v>1634</v>
      </c>
    </row>
    <row r="2459" spans="1:14" x14ac:dyDescent="0.25">
      <c r="A2459" s="1" t="s">
        <v>11351</v>
      </c>
      <c r="B2459" s="3" t="s">
        <v>6083</v>
      </c>
      <c r="C2459" s="2">
        <f ca="1">IF(ISNUMBER(SEARCH(Лист2!$B$4,D:D)),MAX($C$3:OFFSET(C2459,-1,0))+1,0)</f>
        <v>0</v>
      </c>
      <c r="E2459" s="9" t="str">
        <f t="shared" ca="1" si="50"/>
        <v/>
      </c>
      <c r="F2459" s="4" t="s">
        <v>7</v>
      </c>
      <c r="G2459" s="2">
        <f>IF(ISNUMBER(SEARCH(Лист2!$B$4,F:F)),1,0)</f>
        <v>0</v>
      </c>
      <c r="H2459" s="3">
        <f ca="1">IF(AND(I2459&lt;&gt;I2458,ISNUMBER(SEARCH(Лист2!$B$5,I:I)),G2459=1),MAX($H$3:OFFSET(H2459,-1,0))+1,0)</f>
        <v>0</v>
      </c>
      <c r="I2459" s="3" t="s">
        <v>226</v>
      </c>
      <c r="K2459" s="2">
        <f>IF(ISNUMBER(SEARCH(Лист2!$B$4,F:F)),1,0)</f>
        <v>0</v>
      </c>
      <c r="L2459" s="14">
        <f>IF(ISNUMBER(SEARCH(Лист2!$B$5,I:I)),1,0)+K2459</f>
        <v>0</v>
      </c>
      <c r="M2459" s="3">
        <f ca="1">IF(AND(N2459&lt;&gt;N2458,ISNUMBER(SEARCH(Лист2!$B$6,N:N)),L2459=2),MAX($M$3:OFFSET(M2459,-1,0))+1,0)</f>
        <v>0</v>
      </c>
      <c r="N2459" s="3" t="s">
        <v>602</v>
      </c>
    </row>
    <row r="2460" spans="1:14" x14ac:dyDescent="0.25">
      <c r="A2460" s="1" t="s">
        <v>11625</v>
      </c>
      <c r="B2460" s="3" t="s">
        <v>6084</v>
      </c>
      <c r="C2460" s="2">
        <f ca="1">IF(ISNUMBER(SEARCH(Лист2!$B$4,D:D)),MAX($C$3:OFFSET(C2460,-1,0))+1,0)</f>
        <v>0</v>
      </c>
      <c r="E2460" s="9" t="str">
        <f t="shared" ca="1" si="50"/>
        <v/>
      </c>
      <c r="F2460" s="4" t="s">
        <v>7</v>
      </c>
      <c r="G2460" s="2">
        <f>IF(ISNUMBER(SEARCH(Лист2!$B$4,F:F)),1,0)</f>
        <v>0</v>
      </c>
      <c r="H2460" s="3">
        <f ca="1">IF(AND(I2460&lt;&gt;I2459,ISNUMBER(SEARCH(Лист2!$B$5,I:I)),G2460=1),MAX($H$3:OFFSET(H2460,-1,0))+1,0)</f>
        <v>0</v>
      </c>
      <c r="I2460" s="3" t="s">
        <v>226</v>
      </c>
      <c r="K2460" s="2">
        <f>IF(ISNUMBER(SEARCH(Лист2!$B$4,F:F)),1,0)</f>
        <v>0</v>
      </c>
      <c r="L2460" s="14">
        <f>IF(ISNUMBER(SEARCH(Лист2!$B$5,I:I)),1,0)+K2460</f>
        <v>0</v>
      </c>
      <c r="M2460" s="3">
        <f ca="1">IF(AND(N2460&lt;&gt;N2459,ISNUMBER(SEARCH(Лист2!$B$6,N:N)),L2460=2),MAX($M$3:OFFSET(M2460,-1,0))+1,0)</f>
        <v>0</v>
      </c>
      <c r="N2460" s="3" t="s">
        <v>1867</v>
      </c>
    </row>
    <row r="2461" spans="1:14" x14ac:dyDescent="0.25">
      <c r="A2461" s="1" t="s">
        <v>11626</v>
      </c>
      <c r="B2461" s="3" t="s">
        <v>6085</v>
      </c>
      <c r="C2461" s="2">
        <f ca="1">IF(ISNUMBER(SEARCH(Лист2!$B$4,D:D)),MAX($C$3:OFFSET(C2461,-1,0))+1,0)</f>
        <v>0</v>
      </c>
      <c r="E2461" s="9" t="str">
        <f t="shared" ca="1" si="50"/>
        <v/>
      </c>
      <c r="F2461" s="4" t="s">
        <v>7</v>
      </c>
      <c r="G2461" s="2">
        <f>IF(ISNUMBER(SEARCH(Лист2!$B$4,F:F)),1,0)</f>
        <v>0</v>
      </c>
      <c r="H2461" s="3">
        <f ca="1">IF(AND(I2461&lt;&gt;I2460,ISNUMBER(SEARCH(Лист2!$B$5,I:I)),G2461=1),MAX($H$3:OFFSET(H2461,-1,0))+1,0)</f>
        <v>0</v>
      </c>
      <c r="I2461" s="3" t="s">
        <v>226</v>
      </c>
      <c r="K2461" s="2">
        <f>IF(ISNUMBER(SEARCH(Лист2!$B$4,F:F)),1,0)</f>
        <v>0</v>
      </c>
      <c r="L2461" s="14">
        <f>IF(ISNUMBER(SEARCH(Лист2!$B$5,I:I)),1,0)+K2461</f>
        <v>0</v>
      </c>
      <c r="M2461" s="3">
        <f ca="1">IF(AND(N2461&lt;&gt;N2460,ISNUMBER(SEARCH(Лист2!$B$6,N:N)),L2461=2),MAX($M$3:OFFSET(M2461,-1,0))+1,0)</f>
        <v>0</v>
      </c>
      <c r="N2461" s="3" t="s">
        <v>1868</v>
      </c>
    </row>
    <row r="2462" spans="1:14" x14ac:dyDescent="0.25">
      <c r="A2462" s="1" t="s">
        <v>11627</v>
      </c>
      <c r="B2462" s="3" t="s">
        <v>6086</v>
      </c>
      <c r="C2462" s="2">
        <f ca="1">IF(ISNUMBER(SEARCH(Лист2!$B$4,D:D)),MAX($C$3:OFFSET(C2462,-1,0))+1,0)</f>
        <v>0</v>
      </c>
      <c r="E2462" s="9" t="str">
        <f t="shared" ca="1" si="50"/>
        <v/>
      </c>
      <c r="F2462" s="4" t="s">
        <v>7</v>
      </c>
      <c r="G2462" s="2">
        <f>IF(ISNUMBER(SEARCH(Лист2!$B$4,F:F)),1,0)</f>
        <v>0</v>
      </c>
      <c r="H2462" s="3">
        <f ca="1">IF(AND(I2462&lt;&gt;I2461,ISNUMBER(SEARCH(Лист2!$B$5,I:I)),G2462=1),MAX($H$3:OFFSET(H2462,-1,0))+1,0)</f>
        <v>0</v>
      </c>
      <c r="I2462" s="3" t="s">
        <v>226</v>
      </c>
      <c r="K2462" s="2">
        <f>IF(ISNUMBER(SEARCH(Лист2!$B$4,F:F)),1,0)</f>
        <v>0</v>
      </c>
      <c r="L2462" s="14">
        <f>IF(ISNUMBER(SEARCH(Лист2!$B$5,I:I)),1,0)+K2462</f>
        <v>0</v>
      </c>
      <c r="M2462" s="3">
        <f ca="1">IF(AND(N2462&lt;&gt;N2461,ISNUMBER(SEARCH(Лист2!$B$6,N:N)),L2462=2),MAX($M$3:OFFSET(M2462,-1,0))+1,0)</f>
        <v>0</v>
      </c>
      <c r="N2462" s="3" t="s">
        <v>1869</v>
      </c>
    </row>
    <row r="2463" spans="1:14" x14ac:dyDescent="0.25">
      <c r="A2463" s="1" t="s">
        <v>11355</v>
      </c>
      <c r="B2463" s="3" t="s">
        <v>6087</v>
      </c>
      <c r="C2463" s="2">
        <f ca="1">IF(ISNUMBER(SEARCH(Лист2!$B$4,D:D)),MAX($C$3:OFFSET(C2463,-1,0))+1,0)</f>
        <v>0</v>
      </c>
      <c r="E2463" s="9" t="str">
        <f t="shared" ca="1" si="50"/>
        <v/>
      </c>
      <c r="F2463" s="4" t="s">
        <v>7</v>
      </c>
      <c r="G2463" s="2">
        <f>IF(ISNUMBER(SEARCH(Лист2!$B$4,F:F)),1,0)</f>
        <v>0</v>
      </c>
      <c r="H2463" s="3">
        <f ca="1">IF(AND(I2463&lt;&gt;I2462,ISNUMBER(SEARCH(Лист2!$B$5,I:I)),G2463=1),MAX($H$3:OFFSET(H2463,-1,0))+1,0)</f>
        <v>0</v>
      </c>
      <c r="I2463" s="3" t="s">
        <v>227</v>
      </c>
      <c r="K2463" s="2">
        <f>IF(ISNUMBER(SEARCH(Лист2!$B$4,F:F)),1,0)</f>
        <v>0</v>
      </c>
      <c r="L2463" s="14">
        <f>IF(ISNUMBER(SEARCH(Лист2!$B$5,I:I)),1,0)+K2463</f>
        <v>0</v>
      </c>
      <c r="M2463" s="3">
        <f ca="1">IF(AND(N2463&lt;&gt;N2462,ISNUMBER(SEARCH(Лист2!$B$6,N:N)),L2463=2),MAX($M$3:OFFSET(M2463,-1,0))+1,0)</f>
        <v>0</v>
      </c>
      <c r="N2463" s="3" t="s">
        <v>1688</v>
      </c>
    </row>
    <row r="2464" spans="1:14" x14ac:dyDescent="0.25">
      <c r="A2464" s="1" t="s">
        <v>11356</v>
      </c>
      <c r="B2464" s="3" t="s">
        <v>6088</v>
      </c>
      <c r="C2464" s="2">
        <f ca="1">IF(ISNUMBER(SEARCH(Лист2!$B$4,D:D)),MAX($C$3:OFFSET(C2464,-1,0))+1,0)</f>
        <v>0</v>
      </c>
      <c r="E2464" s="9" t="str">
        <f t="shared" ca="1" si="50"/>
        <v/>
      </c>
      <c r="F2464" s="4" t="s">
        <v>7</v>
      </c>
      <c r="G2464" s="2">
        <f>IF(ISNUMBER(SEARCH(Лист2!$B$4,F:F)),1,0)</f>
        <v>0</v>
      </c>
      <c r="H2464" s="3">
        <f ca="1">IF(AND(I2464&lt;&gt;I2463,ISNUMBER(SEARCH(Лист2!$B$5,I:I)),G2464=1),MAX($H$3:OFFSET(H2464,-1,0))+1,0)</f>
        <v>0</v>
      </c>
      <c r="I2464" s="3" t="s">
        <v>227</v>
      </c>
      <c r="K2464" s="2">
        <f>IF(ISNUMBER(SEARCH(Лист2!$B$4,F:F)),1,0)</f>
        <v>0</v>
      </c>
      <c r="L2464" s="14">
        <f>IF(ISNUMBER(SEARCH(Лист2!$B$5,I:I)),1,0)+K2464</f>
        <v>0</v>
      </c>
      <c r="M2464" s="3">
        <f ca="1">IF(AND(N2464&lt;&gt;N2463,ISNUMBER(SEARCH(Лист2!$B$6,N:N)),L2464=2),MAX($M$3:OFFSET(M2464,-1,0))+1,0)</f>
        <v>0</v>
      </c>
      <c r="N2464" s="3" t="s">
        <v>1689</v>
      </c>
    </row>
    <row r="2465" spans="1:14" x14ac:dyDescent="0.25">
      <c r="A2465" s="1" t="s">
        <v>11357</v>
      </c>
      <c r="B2465" s="3" t="s">
        <v>6089</v>
      </c>
      <c r="C2465" s="2">
        <f ca="1">IF(ISNUMBER(SEARCH(Лист2!$B$4,D:D)),MAX($C$3:OFFSET(C2465,-1,0))+1,0)</f>
        <v>0</v>
      </c>
      <c r="E2465" s="9" t="str">
        <f t="shared" ca="1" si="50"/>
        <v/>
      </c>
      <c r="F2465" s="4" t="s">
        <v>7</v>
      </c>
      <c r="G2465" s="2">
        <f>IF(ISNUMBER(SEARCH(Лист2!$B$4,F:F)),1,0)</f>
        <v>0</v>
      </c>
      <c r="H2465" s="3">
        <f ca="1">IF(AND(I2465&lt;&gt;I2464,ISNUMBER(SEARCH(Лист2!$B$5,I:I)),G2465=1),MAX($H$3:OFFSET(H2465,-1,0))+1,0)</f>
        <v>0</v>
      </c>
      <c r="I2465" s="3" t="s">
        <v>227</v>
      </c>
      <c r="K2465" s="2">
        <f>IF(ISNUMBER(SEARCH(Лист2!$B$4,F:F)),1,0)</f>
        <v>0</v>
      </c>
      <c r="L2465" s="14">
        <f>IF(ISNUMBER(SEARCH(Лист2!$B$5,I:I)),1,0)+K2465</f>
        <v>0</v>
      </c>
      <c r="M2465" s="3">
        <f ca="1">IF(AND(N2465&lt;&gt;N2464,ISNUMBER(SEARCH(Лист2!$B$6,N:N)),L2465=2),MAX($M$3:OFFSET(M2465,-1,0))+1,0)</f>
        <v>0</v>
      </c>
      <c r="N2465" s="3" t="s">
        <v>1678</v>
      </c>
    </row>
    <row r="2466" spans="1:14" x14ac:dyDescent="0.25">
      <c r="A2466" s="1" t="s">
        <v>11358</v>
      </c>
      <c r="B2466" s="3" t="s">
        <v>6090</v>
      </c>
      <c r="C2466" s="2">
        <f ca="1">IF(ISNUMBER(SEARCH(Лист2!$B$4,D:D)),MAX($C$3:OFFSET(C2466,-1,0))+1,0)</f>
        <v>0</v>
      </c>
      <c r="E2466" s="9" t="str">
        <f t="shared" ca="1" si="50"/>
        <v/>
      </c>
      <c r="F2466" s="4" t="s">
        <v>7</v>
      </c>
      <c r="G2466" s="2">
        <f>IF(ISNUMBER(SEARCH(Лист2!$B$4,F:F)),1,0)</f>
        <v>0</v>
      </c>
      <c r="H2466" s="3">
        <f ca="1">IF(AND(I2466&lt;&gt;I2465,ISNUMBER(SEARCH(Лист2!$B$5,I:I)),G2466=1),MAX($H$3:OFFSET(H2466,-1,0))+1,0)</f>
        <v>0</v>
      </c>
      <c r="I2466" s="3" t="s">
        <v>227</v>
      </c>
      <c r="K2466" s="2">
        <f>IF(ISNUMBER(SEARCH(Лист2!$B$4,F:F)),1,0)</f>
        <v>0</v>
      </c>
      <c r="L2466" s="14">
        <f>IF(ISNUMBER(SEARCH(Лист2!$B$5,I:I)),1,0)+K2466</f>
        <v>0</v>
      </c>
      <c r="M2466" s="3">
        <f ca="1">IF(AND(N2466&lt;&gt;N2465,ISNUMBER(SEARCH(Лист2!$B$6,N:N)),L2466=2),MAX($M$3:OFFSET(M2466,-1,0))+1,0)</f>
        <v>0</v>
      </c>
      <c r="N2466" s="3" t="s">
        <v>1620</v>
      </c>
    </row>
    <row r="2467" spans="1:14" x14ac:dyDescent="0.25">
      <c r="A2467" s="1" t="s">
        <v>11359</v>
      </c>
      <c r="B2467" s="3" t="s">
        <v>6091</v>
      </c>
      <c r="C2467" s="2">
        <f ca="1">IF(ISNUMBER(SEARCH(Лист2!$B$4,D:D)),MAX($C$3:OFFSET(C2467,-1,0))+1,0)</f>
        <v>0</v>
      </c>
      <c r="E2467" s="9" t="str">
        <f t="shared" ca="1" si="50"/>
        <v/>
      </c>
      <c r="F2467" s="4" t="s">
        <v>7</v>
      </c>
      <c r="G2467" s="2">
        <f>IF(ISNUMBER(SEARCH(Лист2!$B$4,F:F)),1,0)</f>
        <v>0</v>
      </c>
      <c r="H2467" s="3">
        <f ca="1">IF(AND(I2467&lt;&gt;I2466,ISNUMBER(SEARCH(Лист2!$B$5,I:I)),G2467=1),MAX($H$3:OFFSET(H2467,-1,0))+1,0)</f>
        <v>0</v>
      </c>
      <c r="I2467" s="3" t="s">
        <v>227</v>
      </c>
      <c r="K2467" s="2">
        <f>IF(ISNUMBER(SEARCH(Лист2!$B$4,F:F)),1,0)</f>
        <v>0</v>
      </c>
      <c r="L2467" s="14">
        <f>IF(ISNUMBER(SEARCH(Лист2!$B$5,I:I)),1,0)+K2467</f>
        <v>0</v>
      </c>
      <c r="M2467" s="3">
        <f ca="1">IF(AND(N2467&lt;&gt;N2466,ISNUMBER(SEARCH(Лист2!$B$6,N:N)),L2467=2),MAX($M$3:OFFSET(M2467,-1,0))+1,0)</f>
        <v>0</v>
      </c>
      <c r="N2467" s="3" t="s">
        <v>1690</v>
      </c>
    </row>
    <row r="2468" spans="1:14" x14ac:dyDescent="0.25">
      <c r="A2468" s="1" t="s">
        <v>11360</v>
      </c>
      <c r="B2468" s="3" t="s">
        <v>6092</v>
      </c>
      <c r="C2468" s="2">
        <f ca="1">IF(ISNUMBER(SEARCH(Лист2!$B$4,D:D)),MAX($C$3:OFFSET(C2468,-1,0))+1,0)</f>
        <v>0</v>
      </c>
      <c r="E2468" s="9" t="str">
        <f t="shared" ca="1" si="50"/>
        <v/>
      </c>
      <c r="F2468" s="4" t="s">
        <v>7</v>
      </c>
      <c r="G2468" s="2">
        <f>IF(ISNUMBER(SEARCH(Лист2!$B$4,F:F)),1,0)</f>
        <v>0</v>
      </c>
      <c r="H2468" s="3">
        <f ca="1">IF(AND(I2468&lt;&gt;I2467,ISNUMBER(SEARCH(Лист2!$B$5,I:I)),G2468=1),MAX($H$3:OFFSET(H2468,-1,0))+1,0)</f>
        <v>0</v>
      </c>
      <c r="I2468" s="3" t="s">
        <v>227</v>
      </c>
      <c r="K2468" s="2">
        <f>IF(ISNUMBER(SEARCH(Лист2!$B$4,F:F)),1,0)</f>
        <v>0</v>
      </c>
      <c r="L2468" s="14">
        <f>IF(ISNUMBER(SEARCH(Лист2!$B$5,I:I)),1,0)+K2468</f>
        <v>0</v>
      </c>
      <c r="M2468" s="3">
        <f ca="1">IF(AND(N2468&lt;&gt;N2467,ISNUMBER(SEARCH(Лист2!$B$6,N:N)),L2468=2),MAX($M$3:OFFSET(M2468,-1,0))+1,0)</f>
        <v>0</v>
      </c>
      <c r="N2468" s="3" t="s">
        <v>602</v>
      </c>
    </row>
    <row r="2469" spans="1:14" x14ac:dyDescent="0.25">
      <c r="A2469" s="1" t="s">
        <v>11361</v>
      </c>
      <c r="B2469" s="3" t="s">
        <v>6093</v>
      </c>
      <c r="C2469" s="2">
        <f ca="1">IF(ISNUMBER(SEARCH(Лист2!$B$4,D:D)),MAX($C$3:OFFSET(C2469,-1,0))+1,0)</f>
        <v>0</v>
      </c>
      <c r="E2469" s="9" t="str">
        <f t="shared" ca="1" si="50"/>
        <v/>
      </c>
      <c r="F2469" s="4" t="s">
        <v>7</v>
      </c>
      <c r="G2469" s="2">
        <f>IF(ISNUMBER(SEARCH(Лист2!$B$4,F:F)),1,0)</f>
        <v>0</v>
      </c>
      <c r="H2469" s="3">
        <f ca="1">IF(AND(I2469&lt;&gt;I2468,ISNUMBER(SEARCH(Лист2!$B$5,I:I)),G2469=1),MAX($H$3:OFFSET(H2469,-1,0))+1,0)</f>
        <v>0</v>
      </c>
      <c r="I2469" s="3" t="s">
        <v>227</v>
      </c>
      <c r="K2469" s="2">
        <f>IF(ISNUMBER(SEARCH(Лист2!$B$4,F:F)),1,0)</f>
        <v>0</v>
      </c>
      <c r="L2469" s="14">
        <f>IF(ISNUMBER(SEARCH(Лист2!$B$5,I:I)),1,0)+K2469</f>
        <v>0</v>
      </c>
      <c r="M2469" s="3">
        <f ca="1">IF(AND(N2469&lt;&gt;N2468,ISNUMBER(SEARCH(Лист2!$B$6,N:N)),L2469=2),MAX($M$3:OFFSET(M2469,-1,0))+1,0)</f>
        <v>0</v>
      </c>
      <c r="N2469" s="3" t="s">
        <v>1691</v>
      </c>
    </row>
    <row r="2470" spans="1:14" x14ac:dyDescent="0.25">
      <c r="A2470" s="1" t="s">
        <v>11362</v>
      </c>
      <c r="B2470" s="3" t="s">
        <v>6094</v>
      </c>
      <c r="C2470" s="2">
        <f ca="1">IF(ISNUMBER(SEARCH(Лист2!$B$4,D:D)),MAX($C$3:OFFSET(C2470,-1,0))+1,0)</f>
        <v>0</v>
      </c>
      <c r="E2470" s="9" t="str">
        <f t="shared" ca="1" si="50"/>
        <v/>
      </c>
      <c r="F2470" s="4" t="s">
        <v>7</v>
      </c>
      <c r="G2470" s="2">
        <f>IF(ISNUMBER(SEARCH(Лист2!$B$4,F:F)),1,0)</f>
        <v>0</v>
      </c>
      <c r="H2470" s="3">
        <f ca="1">IF(AND(I2470&lt;&gt;I2469,ISNUMBER(SEARCH(Лист2!$B$5,I:I)),G2470=1),MAX($H$3:OFFSET(H2470,-1,0))+1,0)</f>
        <v>0</v>
      </c>
      <c r="I2470" s="3" t="s">
        <v>227</v>
      </c>
      <c r="K2470" s="2">
        <f>IF(ISNUMBER(SEARCH(Лист2!$B$4,F:F)),1,0)</f>
        <v>0</v>
      </c>
      <c r="L2470" s="14">
        <f>IF(ISNUMBER(SEARCH(Лист2!$B$5,I:I)),1,0)+K2470</f>
        <v>0</v>
      </c>
      <c r="M2470" s="3">
        <f ca="1">IF(AND(N2470&lt;&gt;N2469,ISNUMBER(SEARCH(Лист2!$B$6,N:N)),L2470=2),MAX($M$3:OFFSET(M2470,-1,0))+1,0)</f>
        <v>0</v>
      </c>
      <c r="N2470" s="3" t="s">
        <v>1692</v>
      </c>
    </row>
    <row r="2471" spans="1:14" x14ac:dyDescent="0.25">
      <c r="A2471" s="1" t="s">
        <v>11363</v>
      </c>
      <c r="B2471" s="3" t="s">
        <v>6095</v>
      </c>
      <c r="C2471" s="2">
        <f ca="1">IF(ISNUMBER(SEARCH(Лист2!$B$4,D:D)),MAX($C$3:OFFSET(C2471,-1,0))+1,0)</f>
        <v>0</v>
      </c>
      <c r="E2471" s="9" t="str">
        <f t="shared" ca="1" si="50"/>
        <v/>
      </c>
      <c r="F2471" s="4" t="s">
        <v>7</v>
      </c>
      <c r="G2471" s="2">
        <f>IF(ISNUMBER(SEARCH(Лист2!$B$4,F:F)),1,0)</f>
        <v>0</v>
      </c>
      <c r="H2471" s="3">
        <f ca="1">IF(AND(I2471&lt;&gt;I2470,ISNUMBER(SEARCH(Лист2!$B$5,I:I)),G2471=1),MAX($H$3:OFFSET(H2471,-1,0))+1,0)</f>
        <v>0</v>
      </c>
      <c r="I2471" s="3" t="s">
        <v>227</v>
      </c>
      <c r="K2471" s="2">
        <f>IF(ISNUMBER(SEARCH(Лист2!$B$4,F:F)),1,0)</f>
        <v>0</v>
      </c>
      <c r="L2471" s="14">
        <f>IF(ISNUMBER(SEARCH(Лист2!$B$5,I:I)),1,0)+K2471</f>
        <v>0</v>
      </c>
      <c r="M2471" s="3">
        <f ca="1">IF(AND(N2471&lt;&gt;N2470,ISNUMBER(SEARCH(Лист2!$B$6,N:N)),L2471=2),MAX($M$3:OFFSET(M2471,-1,0))+1,0)</f>
        <v>0</v>
      </c>
      <c r="N2471" s="3" t="s">
        <v>1693</v>
      </c>
    </row>
    <row r="2472" spans="1:14" x14ac:dyDescent="0.25">
      <c r="A2472" s="1" t="s">
        <v>11364</v>
      </c>
      <c r="B2472" s="3" t="s">
        <v>6096</v>
      </c>
      <c r="C2472" s="2">
        <f ca="1">IF(ISNUMBER(SEARCH(Лист2!$B$4,D:D)),MAX($C$3:OFFSET(C2472,-1,0))+1,0)</f>
        <v>0</v>
      </c>
      <c r="E2472" s="9" t="str">
        <f t="shared" ca="1" si="50"/>
        <v/>
      </c>
      <c r="F2472" s="4" t="s">
        <v>7</v>
      </c>
      <c r="G2472" s="2">
        <f>IF(ISNUMBER(SEARCH(Лист2!$B$4,F:F)),1,0)</f>
        <v>0</v>
      </c>
      <c r="H2472" s="3">
        <f ca="1">IF(AND(I2472&lt;&gt;I2471,ISNUMBER(SEARCH(Лист2!$B$5,I:I)),G2472=1),MAX($H$3:OFFSET(H2472,-1,0))+1,0)</f>
        <v>0</v>
      </c>
      <c r="I2472" s="3" t="s">
        <v>228</v>
      </c>
      <c r="K2472" s="2">
        <f>IF(ISNUMBER(SEARCH(Лист2!$B$4,F:F)),1,0)</f>
        <v>0</v>
      </c>
      <c r="L2472" s="14">
        <f>IF(ISNUMBER(SEARCH(Лист2!$B$5,I:I)),1,0)+K2472</f>
        <v>0</v>
      </c>
      <c r="M2472" s="3">
        <f ca="1">IF(AND(N2472&lt;&gt;N2471,ISNUMBER(SEARCH(Лист2!$B$6,N:N)),L2472=2),MAX($M$3:OFFSET(M2472,-1,0))+1,0)</f>
        <v>0</v>
      </c>
      <c r="N2472" s="3" t="s">
        <v>1694</v>
      </c>
    </row>
    <row r="2473" spans="1:14" x14ac:dyDescent="0.25">
      <c r="A2473" s="1" t="s">
        <v>11364</v>
      </c>
      <c r="B2473" s="3" t="s">
        <v>6097</v>
      </c>
      <c r="C2473" s="2">
        <f ca="1">IF(ISNUMBER(SEARCH(Лист2!$B$4,D:D)),MAX($C$3:OFFSET(C2473,-1,0))+1,0)</f>
        <v>0</v>
      </c>
      <c r="E2473" s="9" t="str">
        <f t="shared" ca="1" si="50"/>
        <v/>
      </c>
      <c r="F2473" s="4" t="s">
        <v>7</v>
      </c>
      <c r="G2473" s="2">
        <f>IF(ISNUMBER(SEARCH(Лист2!$B$4,F:F)),1,0)</f>
        <v>0</v>
      </c>
      <c r="H2473" s="3">
        <f ca="1">IF(AND(I2473&lt;&gt;I2472,ISNUMBER(SEARCH(Лист2!$B$5,I:I)),G2473=1),MAX($H$3:OFFSET(H2473,-1,0))+1,0)</f>
        <v>0</v>
      </c>
      <c r="I2473" s="3" t="s">
        <v>228</v>
      </c>
      <c r="K2473" s="2">
        <f>IF(ISNUMBER(SEARCH(Лист2!$B$4,F:F)),1,0)</f>
        <v>0</v>
      </c>
      <c r="L2473" s="14">
        <f>IF(ISNUMBER(SEARCH(Лист2!$B$5,I:I)),1,0)+K2473</f>
        <v>0</v>
      </c>
      <c r="M2473" s="3">
        <f ca="1">IF(AND(N2473&lt;&gt;N2472,ISNUMBER(SEARCH(Лист2!$B$6,N:N)),L2473=2),MAX($M$3:OFFSET(M2473,-1,0))+1,0)</f>
        <v>0</v>
      </c>
      <c r="N2473" s="3" t="s">
        <v>1694</v>
      </c>
    </row>
    <row r="2474" spans="1:14" x14ac:dyDescent="0.25">
      <c r="A2474" s="1" t="s">
        <v>11364</v>
      </c>
      <c r="B2474" s="3" t="s">
        <v>6098</v>
      </c>
      <c r="C2474" s="2">
        <f ca="1">IF(ISNUMBER(SEARCH(Лист2!$B$4,D:D)),MAX($C$3:OFFSET(C2474,-1,0))+1,0)</f>
        <v>0</v>
      </c>
      <c r="E2474" s="9" t="str">
        <f t="shared" ca="1" si="50"/>
        <v/>
      </c>
      <c r="F2474" s="4" t="s">
        <v>7</v>
      </c>
      <c r="G2474" s="2">
        <f>IF(ISNUMBER(SEARCH(Лист2!$B$4,F:F)),1,0)</f>
        <v>0</v>
      </c>
      <c r="H2474" s="3">
        <f ca="1">IF(AND(I2474&lt;&gt;I2473,ISNUMBER(SEARCH(Лист2!$B$5,I:I)),G2474=1),MAX($H$3:OFFSET(H2474,-1,0))+1,0)</f>
        <v>0</v>
      </c>
      <c r="I2474" s="3" t="s">
        <v>228</v>
      </c>
      <c r="K2474" s="2">
        <f>IF(ISNUMBER(SEARCH(Лист2!$B$4,F:F)),1,0)</f>
        <v>0</v>
      </c>
      <c r="L2474" s="14">
        <f>IF(ISNUMBER(SEARCH(Лист2!$B$5,I:I)),1,0)+K2474</f>
        <v>0</v>
      </c>
      <c r="M2474" s="3">
        <f ca="1">IF(AND(N2474&lt;&gt;N2473,ISNUMBER(SEARCH(Лист2!$B$6,N:N)),L2474=2),MAX($M$3:OFFSET(M2474,-1,0))+1,0)</f>
        <v>0</v>
      </c>
      <c r="N2474" s="3" t="s">
        <v>1694</v>
      </c>
    </row>
    <row r="2475" spans="1:14" x14ac:dyDescent="0.25">
      <c r="A2475" s="1" t="s">
        <v>11365</v>
      </c>
      <c r="B2475" s="3" t="s">
        <v>6099</v>
      </c>
      <c r="C2475" s="2">
        <f ca="1">IF(ISNUMBER(SEARCH(Лист2!$B$4,D:D)),MAX($C$3:OFFSET(C2475,-1,0))+1,0)</f>
        <v>0</v>
      </c>
      <c r="E2475" s="9" t="str">
        <f t="shared" ca="1" si="50"/>
        <v/>
      </c>
      <c r="F2475" s="4" t="s">
        <v>7</v>
      </c>
      <c r="G2475" s="2">
        <f>IF(ISNUMBER(SEARCH(Лист2!$B$4,F:F)),1,0)</f>
        <v>0</v>
      </c>
      <c r="H2475" s="3">
        <f ca="1">IF(AND(I2475&lt;&gt;I2474,ISNUMBER(SEARCH(Лист2!$B$5,I:I)),G2475=1),MAX($H$3:OFFSET(H2475,-1,0))+1,0)</f>
        <v>0</v>
      </c>
      <c r="I2475" s="3" t="s">
        <v>228</v>
      </c>
      <c r="K2475" s="2">
        <f>IF(ISNUMBER(SEARCH(Лист2!$B$4,F:F)),1,0)</f>
        <v>0</v>
      </c>
      <c r="L2475" s="14">
        <f>IF(ISNUMBER(SEARCH(Лист2!$B$5,I:I)),1,0)+K2475</f>
        <v>0</v>
      </c>
      <c r="M2475" s="3">
        <f ca="1">IF(AND(N2475&lt;&gt;N2474,ISNUMBER(SEARCH(Лист2!$B$6,N:N)),L2475=2),MAX($M$3:OFFSET(M2475,-1,0))+1,0)</f>
        <v>0</v>
      </c>
      <c r="N2475" s="3" t="s">
        <v>1695</v>
      </c>
    </row>
    <row r="2476" spans="1:14" x14ac:dyDescent="0.25">
      <c r="A2476" s="1" t="s">
        <v>11365</v>
      </c>
      <c r="B2476" s="3" t="s">
        <v>6100</v>
      </c>
      <c r="C2476" s="2">
        <f ca="1">IF(ISNUMBER(SEARCH(Лист2!$B$4,D:D)),MAX($C$3:OFFSET(C2476,-1,0))+1,0)</f>
        <v>0</v>
      </c>
      <c r="E2476" s="9" t="str">
        <f t="shared" ca="1" si="50"/>
        <v/>
      </c>
      <c r="F2476" s="4" t="s">
        <v>7</v>
      </c>
      <c r="G2476" s="2">
        <f>IF(ISNUMBER(SEARCH(Лист2!$B$4,F:F)),1,0)</f>
        <v>0</v>
      </c>
      <c r="H2476" s="3">
        <f ca="1">IF(AND(I2476&lt;&gt;I2475,ISNUMBER(SEARCH(Лист2!$B$5,I:I)),G2476=1),MAX($H$3:OFFSET(H2476,-1,0))+1,0)</f>
        <v>0</v>
      </c>
      <c r="I2476" s="3" t="s">
        <v>228</v>
      </c>
      <c r="K2476" s="2">
        <f>IF(ISNUMBER(SEARCH(Лист2!$B$4,F:F)),1,0)</f>
        <v>0</v>
      </c>
      <c r="L2476" s="14">
        <f>IF(ISNUMBER(SEARCH(Лист2!$B$5,I:I)),1,0)+K2476</f>
        <v>0</v>
      </c>
      <c r="M2476" s="3">
        <f ca="1">IF(AND(N2476&lt;&gt;N2475,ISNUMBER(SEARCH(Лист2!$B$6,N:N)),L2476=2),MAX($M$3:OFFSET(M2476,-1,0))+1,0)</f>
        <v>0</v>
      </c>
      <c r="N2476" s="3" t="s">
        <v>1695</v>
      </c>
    </row>
    <row r="2477" spans="1:14" x14ac:dyDescent="0.25">
      <c r="A2477" s="1" t="s">
        <v>11365</v>
      </c>
      <c r="B2477" s="3" t="s">
        <v>6101</v>
      </c>
      <c r="C2477" s="2">
        <f ca="1">IF(ISNUMBER(SEARCH(Лист2!$B$4,D:D)),MAX($C$3:OFFSET(C2477,-1,0))+1,0)</f>
        <v>0</v>
      </c>
      <c r="E2477" s="9" t="str">
        <f t="shared" ca="1" si="50"/>
        <v/>
      </c>
      <c r="F2477" s="4" t="s">
        <v>7</v>
      </c>
      <c r="G2477" s="2">
        <f>IF(ISNUMBER(SEARCH(Лист2!$B$4,F:F)),1,0)</f>
        <v>0</v>
      </c>
      <c r="H2477" s="3">
        <f ca="1">IF(AND(I2477&lt;&gt;I2476,ISNUMBER(SEARCH(Лист2!$B$5,I:I)),G2477=1),MAX($H$3:OFFSET(H2477,-1,0))+1,0)</f>
        <v>0</v>
      </c>
      <c r="I2477" s="3" t="s">
        <v>228</v>
      </c>
      <c r="K2477" s="2">
        <f>IF(ISNUMBER(SEARCH(Лист2!$B$4,F:F)),1,0)</f>
        <v>0</v>
      </c>
      <c r="L2477" s="14">
        <f>IF(ISNUMBER(SEARCH(Лист2!$B$5,I:I)),1,0)+K2477</f>
        <v>0</v>
      </c>
      <c r="M2477" s="3">
        <f ca="1">IF(AND(N2477&lt;&gt;N2476,ISNUMBER(SEARCH(Лист2!$B$6,N:N)),L2477=2),MAX($M$3:OFFSET(M2477,-1,0))+1,0)</f>
        <v>0</v>
      </c>
      <c r="N2477" s="3" t="s">
        <v>1695</v>
      </c>
    </row>
    <row r="2478" spans="1:14" x14ac:dyDescent="0.25">
      <c r="A2478" s="1" t="s">
        <v>11366</v>
      </c>
      <c r="B2478" s="3" t="s">
        <v>6102</v>
      </c>
      <c r="C2478" s="2">
        <f ca="1">IF(ISNUMBER(SEARCH(Лист2!$B$4,D:D)),MAX($C$3:OFFSET(C2478,-1,0))+1,0)</f>
        <v>0</v>
      </c>
      <c r="E2478" s="9" t="str">
        <f t="shared" ca="1" si="50"/>
        <v/>
      </c>
      <c r="F2478" s="4" t="s">
        <v>7</v>
      </c>
      <c r="G2478" s="2">
        <f>IF(ISNUMBER(SEARCH(Лист2!$B$4,F:F)),1,0)</f>
        <v>0</v>
      </c>
      <c r="H2478" s="3">
        <f ca="1">IF(AND(I2478&lt;&gt;I2477,ISNUMBER(SEARCH(Лист2!$B$5,I:I)),G2478=1),MAX($H$3:OFFSET(H2478,-1,0))+1,0)</f>
        <v>0</v>
      </c>
      <c r="I2478" s="3" t="s">
        <v>228</v>
      </c>
      <c r="K2478" s="2">
        <f>IF(ISNUMBER(SEARCH(Лист2!$B$4,F:F)),1,0)</f>
        <v>0</v>
      </c>
      <c r="L2478" s="14">
        <f>IF(ISNUMBER(SEARCH(Лист2!$B$5,I:I)),1,0)+K2478</f>
        <v>0</v>
      </c>
      <c r="M2478" s="3">
        <f ca="1">IF(AND(N2478&lt;&gt;N2477,ISNUMBER(SEARCH(Лист2!$B$6,N:N)),L2478=2),MAX($M$3:OFFSET(M2478,-1,0))+1,0)</f>
        <v>0</v>
      </c>
      <c r="N2478" s="3" t="s">
        <v>1678</v>
      </c>
    </row>
    <row r="2479" spans="1:14" x14ac:dyDescent="0.25">
      <c r="A2479" s="1" t="s">
        <v>11367</v>
      </c>
      <c r="B2479" s="3" t="s">
        <v>6103</v>
      </c>
      <c r="C2479" s="2">
        <f ca="1">IF(ISNUMBER(SEARCH(Лист2!$B$4,D:D)),MAX($C$3:OFFSET(C2479,-1,0))+1,0)</f>
        <v>0</v>
      </c>
      <c r="E2479" s="9" t="str">
        <f t="shared" ca="1" si="50"/>
        <v/>
      </c>
      <c r="F2479" s="4" t="s">
        <v>7</v>
      </c>
      <c r="G2479" s="2">
        <f>IF(ISNUMBER(SEARCH(Лист2!$B$4,F:F)),1,0)</f>
        <v>0</v>
      </c>
      <c r="H2479" s="3">
        <f ca="1">IF(AND(I2479&lt;&gt;I2478,ISNUMBER(SEARCH(Лист2!$B$5,I:I)),G2479=1),MAX($H$3:OFFSET(H2479,-1,0))+1,0)</f>
        <v>0</v>
      </c>
      <c r="I2479" s="3" t="s">
        <v>228</v>
      </c>
      <c r="K2479" s="2">
        <f>IF(ISNUMBER(SEARCH(Лист2!$B$4,F:F)),1,0)</f>
        <v>0</v>
      </c>
      <c r="L2479" s="14">
        <f>IF(ISNUMBER(SEARCH(Лист2!$B$5,I:I)),1,0)+K2479</f>
        <v>0</v>
      </c>
      <c r="M2479" s="3">
        <f ca="1">IF(AND(N2479&lt;&gt;N2478,ISNUMBER(SEARCH(Лист2!$B$6,N:N)),L2479=2),MAX($M$3:OFFSET(M2479,-1,0))+1,0)</f>
        <v>0</v>
      </c>
      <c r="N2479" s="3" t="s">
        <v>1620</v>
      </c>
    </row>
    <row r="2480" spans="1:14" x14ac:dyDescent="0.25">
      <c r="A2480" s="1" t="s">
        <v>11368</v>
      </c>
      <c r="B2480" s="3" t="s">
        <v>6104</v>
      </c>
      <c r="C2480" s="2">
        <f ca="1">IF(ISNUMBER(SEARCH(Лист2!$B$4,D:D)),MAX($C$3:OFFSET(C2480,-1,0))+1,0)</f>
        <v>0</v>
      </c>
      <c r="E2480" s="9" t="str">
        <f t="shared" ca="1" si="50"/>
        <v/>
      </c>
      <c r="F2480" s="4" t="s">
        <v>7</v>
      </c>
      <c r="G2480" s="2">
        <f>IF(ISNUMBER(SEARCH(Лист2!$B$4,F:F)),1,0)</f>
        <v>0</v>
      </c>
      <c r="H2480" s="3">
        <f ca="1">IF(AND(I2480&lt;&gt;I2479,ISNUMBER(SEARCH(Лист2!$B$5,I:I)),G2480=1),MAX($H$3:OFFSET(H2480,-1,0))+1,0)</f>
        <v>0</v>
      </c>
      <c r="I2480" s="3" t="s">
        <v>228</v>
      </c>
      <c r="K2480" s="2">
        <f>IF(ISNUMBER(SEARCH(Лист2!$B$4,F:F)),1,0)</f>
        <v>0</v>
      </c>
      <c r="L2480" s="14">
        <f>IF(ISNUMBER(SEARCH(Лист2!$B$5,I:I)),1,0)+K2480</f>
        <v>0</v>
      </c>
      <c r="M2480" s="3">
        <f ca="1">IF(AND(N2480&lt;&gt;N2479,ISNUMBER(SEARCH(Лист2!$B$6,N:N)),L2480=2),MAX($M$3:OFFSET(M2480,-1,0))+1,0)</f>
        <v>0</v>
      </c>
      <c r="N2480" s="3" t="s">
        <v>1690</v>
      </c>
    </row>
    <row r="2481" spans="1:14" x14ac:dyDescent="0.25">
      <c r="A2481" s="1" t="s">
        <v>11369</v>
      </c>
      <c r="B2481" s="3" t="s">
        <v>6105</v>
      </c>
      <c r="C2481" s="2">
        <f ca="1">IF(ISNUMBER(SEARCH(Лист2!$B$4,D:D)),MAX($C$3:OFFSET(C2481,-1,0))+1,0)</f>
        <v>0</v>
      </c>
      <c r="E2481" s="9" t="str">
        <f t="shared" ca="1" si="50"/>
        <v/>
      </c>
      <c r="F2481" s="4" t="s">
        <v>7</v>
      </c>
      <c r="G2481" s="2">
        <f>IF(ISNUMBER(SEARCH(Лист2!$B$4,F:F)),1,0)</f>
        <v>0</v>
      </c>
      <c r="H2481" s="3">
        <f ca="1">IF(AND(I2481&lt;&gt;I2480,ISNUMBER(SEARCH(Лист2!$B$5,I:I)),G2481=1),MAX($H$3:OFFSET(H2481,-1,0))+1,0)</f>
        <v>0</v>
      </c>
      <c r="I2481" s="3" t="s">
        <v>228</v>
      </c>
      <c r="K2481" s="2">
        <f>IF(ISNUMBER(SEARCH(Лист2!$B$4,F:F)),1,0)</f>
        <v>0</v>
      </c>
      <c r="L2481" s="14">
        <f>IF(ISNUMBER(SEARCH(Лист2!$B$5,I:I)),1,0)+K2481</f>
        <v>0</v>
      </c>
      <c r="M2481" s="3">
        <f ca="1">IF(AND(N2481&lt;&gt;N2480,ISNUMBER(SEARCH(Лист2!$B$6,N:N)),L2481=2),MAX($M$3:OFFSET(M2481,-1,0))+1,0)</f>
        <v>0</v>
      </c>
      <c r="N2481" s="3" t="s">
        <v>602</v>
      </c>
    </row>
    <row r="2482" spans="1:14" x14ac:dyDescent="0.25">
      <c r="A2482" s="1" t="s">
        <v>11370</v>
      </c>
      <c r="B2482" s="3" t="s">
        <v>6106</v>
      </c>
      <c r="C2482" s="2">
        <f ca="1">IF(ISNUMBER(SEARCH(Лист2!$B$4,D:D)),MAX($C$3:OFFSET(C2482,-1,0))+1,0)</f>
        <v>0</v>
      </c>
      <c r="E2482" s="9" t="str">
        <f t="shared" ca="1" si="50"/>
        <v/>
      </c>
      <c r="F2482" s="4" t="s">
        <v>7</v>
      </c>
      <c r="G2482" s="2">
        <f>IF(ISNUMBER(SEARCH(Лист2!$B$4,F:F)),1,0)</f>
        <v>0</v>
      </c>
      <c r="H2482" s="3">
        <f ca="1">IF(AND(I2482&lt;&gt;I2481,ISNUMBER(SEARCH(Лист2!$B$5,I:I)),G2482=1),MAX($H$3:OFFSET(H2482,-1,0))+1,0)</f>
        <v>0</v>
      </c>
      <c r="I2482" s="3" t="s">
        <v>228</v>
      </c>
      <c r="K2482" s="2">
        <f>IF(ISNUMBER(SEARCH(Лист2!$B$4,F:F)),1,0)</f>
        <v>0</v>
      </c>
      <c r="L2482" s="14">
        <f>IF(ISNUMBER(SEARCH(Лист2!$B$5,I:I)),1,0)+K2482</f>
        <v>0</v>
      </c>
      <c r="M2482" s="3">
        <f ca="1">IF(AND(N2482&lt;&gt;N2481,ISNUMBER(SEARCH(Лист2!$B$6,N:N)),L2482=2),MAX($M$3:OFFSET(M2482,-1,0))+1,0)</f>
        <v>0</v>
      </c>
      <c r="N2482" s="3" t="s">
        <v>1696</v>
      </c>
    </row>
    <row r="2483" spans="1:14" x14ac:dyDescent="0.25">
      <c r="A2483" s="1" t="s">
        <v>11371</v>
      </c>
      <c r="B2483" s="3" t="s">
        <v>6107</v>
      </c>
      <c r="C2483" s="2">
        <f ca="1">IF(ISNUMBER(SEARCH(Лист2!$B$4,D:D)),MAX($C$3:OFFSET(C2483,-1,0))+1,0)</f>
        <v>0</v>
      </c>
      <c r="E2483" s="9" t="str">
        <f t="shared" ca="1" si="50"/>
        <v/>
      </c>
      <c r="F2483" s="4" t="s">
        <v>7</v>
      </c>
      <c r="G2483" s="2">
        <f>IF(ISNUMBER(SEARCH(Лист2!$B$4,F:F)),1,0)</f>
        <v>0</v>
      </c>
      <c r="H2483" s="3">
        <f ca="1">IF(AND(I2483&lt;&gt;I2482,ISNUMBER(SEARCH(Лист2!$B$5,I:I)),G2483=1),MAX($H$3:OFFSET(H2483,-1,0))+1,0)</f>
        <v>0</v>
      </c>
      <c r="I2483" s="3" t="s">
        <v>228</v>
      </c>
      <c r="K2483" s="2">
        <f>IF(ISNUMBER(SEARCH(Лист2!$B$4,F:F)),1,0)</f>
        <v>0</v>
      </c>
      <c r="L2483" s="14">
        <f>IF(ISNUMBER(SEARCH(Лист2!$B$5,I:I)),1,0)+K2483</f>
        <v>0</v>
      </c>
      <c r="M2483" s="3">
        <f ca="1">IF(AND(N2483&lt;&gt;N2482,ISNUMBER(SEARCH(Лист2!$B$6,N:N)),L2483=2),MAX($M$3:OFFSET(M2483,-1,0))+1,0)</f>
        <v>0</v>
      </c>
      <c r="N2483" s="3" t="s">
        <v>1697</v>
      </c>
    </row>
    <row r="2484" spans="1:14" x14ac:dyDescent="0.25">
      <c r="A2484" s="1" t="s">
        <v>11372</v>
      </c>
      <c r="B2484" s="3" t="s">
        <v>6108</v>
      </c>
      <c r="C2484" s="2">
        <f ca="1">IF(ISNUMBER(SEARCH(Лист2!$B$4,D:D)),MAX($C$3:OFFSET(C2484,-1,0))+1,0)</f>
        <v>0</v>
      </c>
      <c r="E2484" s="9" t="str">
        <f t="shared" ca="1" si="50"/>
        <v/>
      </c>
      <c r="F2484" s="4" t="s">
        <v>7</v>
      </c>
      <c r="G2484" s="2">
        <f>IF(ISNUMBER(SEARCH(Лист2!$B$4,F:F)),1,0)</f>
        <v>0</v>
      </c>
      <c r="H2484" s="3">
        <f ca="1">IF(AND(I2484&lt;&gt;I2483,ISNUMBER(SEARCH(Лист2!$B$5,I:I)),G2484=1),MAX($H$3:OFFSET(H2484,-1,0))+1,0)</f>
        <v>0</v>
      </c>
      <c r="I2484" s="3" t="s">
        <v>228</v>
      </c>
      <c r="K2484" s="2">
        <f>IF(ISNUMBER(SEARCH(Лист2!$B$4,F:F)),1,0)</f>
        <v>0</v>
      </c>
      <c r="L2484" s="14">
        <f>IF(ISNUMBER(SEARCH(Лист2!$B$5,I:I)),1,0)+K2484</f>
        <v>0</v>
      </c>
      <c r="M2484" s="3">
        <f ca="1">IF(AND(N2484&lt;&gt;N2483,ISNUMBER(SEARCH(Лист2!$B$6,N:N)),L2484=2),MAX($M$3:OFFSET(M2484,-1,0))+1,0)</f>
        <v>0</v>
      </c>
      <c r="N2484" s="3" t="s">
        <v>1698</v>
      </c>
    </row>
    <row r="2485" spans="1:14" x14ac:dyDescent="0.25">
      <c r="A2485" s="1" t="s">
        <v>11373</v>
      </c>
      <c r="B2485" s="3" t="s">
        <v>6109</v>
      </c>
      <c r="C2485" s="2">
        <f ca="1">IF(ISNUMBER(SEARCH(Лист2!$B$4,D:D)),MAX($C$3:OFFSET(C2485,-1,0))+1,0)</f>
        <v>0</v>
      </c>
      <c r="E2485" s="9" t="str">
        <f t="shared" ca="1" si="50"/>
        <v/>
      </c>
      <c r="F2485" s="4" t="s">
        <v>7</v>
      </c>
      <c r="G2485" s="2">
        <f>IF(ISNUMBER(SEARCH(Лист2!$B$4,F:F)),1,0)</f>
        <v>0</v>
      </c>
      <c r="H2485" s="3">
        <f ca="1">IF(AND(I2485&lt;&gt;I2484,ISNUMBER(SEARCH(Лист2!$B$5,I:I)),G2485=1),MAX($H$3:OFFSET(H2485,-1,0))+1,0)</f>
        <v>0</v>
      </c>
      <c r="I2485" s="3" t="s">
        <v>229</v>
      </c>
      <c r="K2485" s="2">
        <f>IF(ISNUMBER(SEARCH(Лист2!$B$4,F:F)),1,0)</f>
        <v>0</v>
      </c>
      <c r="L2485" s="14">
        <f>IF(ISNUMBER(SEARCH(Лист2!$B$5,I:I)),1,0)+K2485</f>
        <v>0</v>
      </c>
      <c r="M2485" s="3">
        <f ca="1">IF(AND(N2485&lt;&gt;N2484,ISNUMBER(SEARCH(Лист2!$B$6,N:N)),L2485=2),MAX($M$3:OFFSET(M2485,-1,0))+1,0)</f>
        <v>0</v>
      </c>
      <c r="N2485" s="3" t="s">
        <v>1699</v>
      </c>
    </row>
    <row r="2486" spans="1:14" x14ac:dyDescent="0.25">
      <c r="A2486" s="1" t="s">
        <v>11574</v>
      </c>
      <c r="B2486" s="3" t="s">
        <v>6110</v>
      </c>
      <c r="C2486" s="2">
        <f ca="1">IF(ISNUMBER(SEARCH(Лист2!$B$4,D:D)),MAX($C$3:OFFSET(C2486,-1,0))+1,0)</f>
        <v>0</v>
      </c>
      <c r="E2486" s="9" t="str">
        <f t="shared" ca="1" si="50"/>
        <v/>
      </c>
      <c r="F2486" s="4" t="s">
        <v>7</v>
      </c>
      <c r="G2486" s="2">
        <f>IF(ISNUMBER(SEARCH(Лист2!$B$4,F:F)),1,0)</f>
        <v>0</v>
      </c>
      <c r="H2486" s="3">
        <f ca="1">IF(AND(I2486&lt;&gt;I2485,ISNUMBER(SEARCH(Лист2!$B$5,I:I)),G2486=1),MAX($H$3:OFFSET(H2486,-1,0))+1,0)</f>
        <v>0</v>
      </c>
      <c r="I2486" s="3" t="s">
        <v>229</v>
      </c>
      <c r="K2486" s="2">
        <f>IF(ISNUMBER(SEARCH(Лист2!$B$4,F:F)),1,0)</f>
        <v>0</v>
      </c>
      <c r="L2486" s="14">
        <f>IF(ISNUMBER(SEARCH(Лист2!$B$5,I:I)),1,0)+K2486</f>
        <v>0</v>
      </c>
      <c r="M2486" s="3">
        <f ca="1">IF(AND(N2486&lt;&gt;N2485,ISNUMBER(SEARCH(Лист2!$B$6,N:N)),L2486=2),MAX($M$3:OFFSET(M2486,-1,0))+1,0)</f>
        <v>0</v>
      </c>
      <c r="N2486" s="3" t="s">
        <v>1836</v>
      </c>
    </row>
    <row r="2487" spans="1:14" x14ac:dyDescent="0.25">
      <c r="A2487" s="1" t="s">
        <v>11375</v>
      </c>
      <c r="B2487" s="3" t="s">
        <v>6111</v>
      </c>
      <c r="C2487" s="2">
        <f ca="1">IF(ISNUMBER(SEARCH(Лист2!$B$4,D:D)),MAX($C$3:OFFSET(C2487,-1,0))+1,0)</f>
        <v>0</v>
      </c>
      <c r="E2487" s="9" t="str">
        <f t="shared" ca="1" si="50"/>
        <v/>
      </c>
      <c r="F2487" s="4" t="s">
        <v>7</v>
      </c>
      <c r="G2487" s="2">
        <f>IF(ISNUMBER(SEARCH(Лист2!$B$4,F:F)),1,0)</f>
        <v>0</v>
      </c>
      <c r="H2487" s="3">
        <f ca="1">IF(AND(I2487&lt;&gt;I2486,ISNUMBER(SEARCH(Лист2!$B$5,I:I)),G2487=1),MAX($H$3:OFFSET(H2487,-1,0))+1,0)</f>
        <v>0</v>
      </c>
      <c r="I2487" s="3" t="s">
        <v>229</v>
      </c>
      <c r="K2487" s="2">
        <f>IF(ISNUMBER(SEARCH(Лист2!$B$4,F:F)),1,0)</f>
        <v>0</v>
      </c>
      <c r="L2487" s="14">
        <f>IF(ISNUMBER(SEARCH(Лист2!$B$5,I:I)),1,0)+K2487</f>
        <v>0</v>
      </c>
      <c r="M2487" s="3">
        <f ca="1">IF(AND(N2487&lt;&gt;N2486,ISNUMBER(SEARCH(Лист2!$B$6,N:N)),L2487=2),MAX($M$3:OFFSET(M2487,-1,0))+1,0)</f>
        <v>0</v>
      </c>
      <c r="N2487" s="3" t="s">
        <v>1678</v>
      </c>
    </row>
    <row r="2488" spans="1:14" x14ac:dyDescent="0.25">
      <c r="A2488" s="1" t="s">
        <v>11376</v>
      </c>
      <c r="B2488" s="3" t="s">
        <v>6112</v>
      </c>
      <c r="C2488" s="2">
        <f ca="1">IF(ISNUMBER(SEARCH(Лист2!$B$4,D:D)),MAX($C$3:OFFSET(C2488,-1,0))+1,0)</f>
        <v>0</v>
      </c>
      <c r="E2488" s="9" t="str">
        <f t="shared" ca="1" si="50"/>
        <v/>
      </c>
      <c r="F2488" s="4" t="s">
        <v>7</v>
      </c>
      <c r="G2488" s="2">
        <f>IF(ISNUMBER(SEARCH(Лист2!$B$4,F:F)),1,0)</f>
        <v>0</v>
      </c>
      <c r="H2488" s="3">
        <f ca="1">IF(AND(I2488&lt;&gt;I2487,ISNUMBER(SEARCH(Лист2!$B$5,I:I)),G2488=1),MAX($H$3:OFFSET(H2488,-1,0))+1,0)</f>
        <v>0</v>
      </c>
      <c r="I2488" s="3" t="s">
        <v>229</v>
      </c>
      <c r="K2488" s="2">
        <f>IF(ISNUMBER(SEARCH(Лист2!$B$4,F:F)),1,0)</f>
        <v>0</v>
      </c>
      <c r="L2488" s="14">
        <f>IF(ISNUMBER(SEARCH(Лист2!$B$5,I:I)),1,0)+K2488</f>
        <v>0</v>
      </c>
      <c r="M2488" s="3">
        <f ca="1">IF(AND(N2488&lt;&gt;N2487,ISNUMBER(SEARCH(Лист2!$B$6,N:N)),L2488=2),MAX($M$3:OFFSET(M2488,-1,0))+1,0)</f>
        <v>0</v>
      </c>
      <c r="N2488" s="3" t="s">
        <v>1620</v>
      </c>
    </row>
    <row r="2489" spans="1:14" x14ac:dyDescent="0.25">
      <c r="A2489" s="1" t="s">
        <v>11377</v>
      </c>
      <c r="B2489" s="3" t="s">
        <v>6113</v>
      </c>
      <c r="C2489" s="2">
        <f ca="1">IF(ISNUMBER(SEARCH(Лист2!$B$4,D:D)),MAX($C$3:OFFSET(C2489,-1,0))+1,0)</f>
        <v>0</v>
      </c>
      <c r="E2489" s="9" t="str">
        <f t="shared" ca="1" si="50"/>
        <v/>
      </c>
      <c r="F2489" s="4" t="s">
        <v>7</v>
      </c>
      <c r="G2489" s="2">
        <f>IF(ISNUMBER(SEARCH(Лист2!$B$4,F:F)),1,0)</f>
        <v>0</v>
      </c>
      <c r="H2489" s="3">
        <f ca="1">IF(AND(I2489&lt;&gt;I2488,ISNUMBER(SEARCH(Лист2!$B$5,I:I)),G2489=1),MAX($H$3:OFFSET(H2489,-1,0))+1,0)</f>
        <v>0</v>
      </c>
      <c r="I2489" s="3" t="s">
        <v>229</v>
      </c>
      <c r="K2489" s="2">
        <f>IF(ISNUMBER(SEARCH(Лист2!$B$4,F:F)),1,0)</f>
        <v>0</v>
      </c>
      <c r="L2489" s="14">
        <f>IF(ISNUMBER(SEARCH(Лист2!$B$5,I:I)),1,0)+K2489</f>
        <v>0</v>
      </c>
      <c r="M2489" s="3">
        <f ca="1">IF(AND(N2489&lt;&gt;N2488,ISNUMBER(SEARCH(Лист2!$B$6,N:N)),L2489=2),MAX($M$3:OFFSET(M2489,-1,0))+1,0)</f>
        <v>0</v>
      </c>
      <c r="N2489" s="3" t="s">
        <v>1690</v>
      </c>
    </row>
    <row r="2490" spans="1:14" x14ac:dyDescent="0.25">
      <c r="A2490" s="1" t="s">
        <v>11378</v>
      </c>
      <c r="B2490" s="3" t="s">
        <v>6114</v>
      </c>
      <c r="C2490" s="2">
        <f ca="1">IF(ISNUMBER(SEARCH(Лист2!$B$4,D:D)),MAX($C$3:OFFSET(C2490,-1,0))+1,0)</f>
        <v>0</v>
      </c>
      <c r="E2490" s="9" t="str">
        <f t="shared" ca="1" si="50"/>
        <v/>
      </c>
      <c r="F2490" s="4" t="s">
        <v>7</v>
      </c>
      <c r="G2490" s="2">
        <f>IF(ISNUMBER(SEARCH(Лист2!$B$4,F:F)),1,0)</f>
        <v>0</v>
      </c>
      <c r="H2490" s="3">
        <f ca="1">IF(AND(I2490&lt;&gt;I2489,ISNUMBER(SEARCH(Лист2!$B$5,I:I)),G2490=1),MAX($H$3:OFFSET(H2490,-1,0))+1,0)</f>
        <v>0</v>
      </c>
      <c r="I2490" s="3" t="s">
        <v>229</v>
      </c>
      <c r="K2490" s="2">
        <f>IF(ISNUMBER(SEARCH(Лист2!$B$4,F:F)),1,0)</f>
        <v>0</v>
      </c>
      <c r="L2490" s="14">
        <f>IF(ISNUMBER(SEARCH(Лист2!$B$5,I:I)),1,0)+K2490</f>
        <v>0</v>
      </c>
      <c r="M2490" s="3">
        <f ca="1">IF(AND(N2490&lt;&gt;N2489,ISNUMBER(SEARCH(Лист2!$B$6,N:N)),L2490=2),MAX($M$3:OFFSET(M2490,-1,0))+1,0)</f>
        <v>0</v>
      </c>
      <c r="N2490" s="3" t="s">
        <v>602</v>
      </c>
    </row>
    <row r="2491" spans="1:14" x14ac:dyDescent="0.25">
      <c r="A2491" s="1" t="s">
        <v>11379</v>
      </c>
      <c r="B2491" s="3" t="s">
        <v>6115</v>
      </c>
      <c r="C2491" s="2">
        <f ca="1">IF(ISNUMBER(SEARCH(Лист2!$B$4,D:D)),MAX($C$3:OFFSET(C2491,-1,0))+1,0)</f>
        <v>0</v>
      </c>
      <c r="E2491" s="9" t="str">
        <f t="shared" ca="1" si="50"/>
        <v/>
      </c>
      <c r="F2491" s="4" t="s">
        <v>7</v>
      </c>
      <c r="G2491" s="2">
        <f>IF(ISNUMBER(SEARCH(Лист2!$B$4,F:F)),1,0)</f>
        <v>0</v>
      </c>
      <c r="H2491" s="3">
        <f ca="1">IF(AND(I2491&lt;&gt;I2490,ISNUMBER(SEARCH(Лист2!$B$5,I:I)),G2491=1),MAX($H$3:OFFSET(H2491,-1,0))+1,0)</f>
        <v>0</v>
      </c>
      <c r="I2491" s="3" t="s">
        <v>229</v>
      </c>
      <c r="K2491" s="2">
        <f>IF(ISNUMBER(SEARCH(Лист2!$B$4,F:F)),1,0)</f>
        <v>0</v>
      </c>
      <c r="L2491" s="14">
        <f>IF(ISNUMBER(SEARCH(Лист2!$B$5,I:I)),1,0)+K2491</f>
        <v>0</v>
      </c>
      <c r="M2491" s="3">
        <f ca="1">IF(AND(N2491&lt;&gt;N2490,ISNUMBER(SEARCH(Лист2!$B$6,N:N)),L2491=2),MAX($M$3:OFFSET(M2491,-1,0))+1,0)</f>
        <v>0</v>
      </c>
      <c r="N2491" s="3" t="s">
        <v>1701</v>
      </c>
    </row>
    <row r="2492" spans="1:14" x14ac:dyDescent="0.25">
      <c r="A2492" s="1" t="s">
        <v>11380</v>
      </c>
      <c r="B2492" s="3" t="s">
        <v>6116</v>
      </c>
      <c r="C2492" s="2">
        <f ca="1">IF(ISNUMBER(SEARCH(Лист2!$B$4,D:D)),MAX($C$3:OFFSET(C2492,-1,0))+1,0)</f>
        <v>0</v>
      </c>
      <c r="E2492" s="9" t="str">
        <f t="shared" ca="1" si="50"/>
        <v/>
      </c>
      <c r="F2492" s="4" t="s">
        <v>7</v>
      </c>
      <c r="G2492" s="2">
        <f>IF(ISNUMBER(SEARCH(Лист2!$B$4,F:F)),1,0)</f>
        <v>0</v>
      </c>
      <c r="H2492" s="3">
        <f ca="1">IF(AND(I2492&lt;&gt;I2491,ISNUMBER(SEARCH(Лист2!$B$5,I:I)),G2492=1),MAX($H$3:OFFSET(H2492,-1,0))+1,0)</f>
        <v>0</v>
      </c>
      <c r="I2492" s="3" t="s">
        <v>229</v>
      </c>
      <c r="K2492" s="2">
        <f>IF(ISNUMBER(SEARCH(Лист2!$B$4,F:F)),1,0)</f>
        <v>0</v>
      </c>
      <c r="L2492" s="14">
        <f>IF(ISNUMBER(SEARCH(Лист2!$B$5,I:I)),1,0)+K2492</f>
        <v>0</v>
      </c>
      <c r="M2492" s="3">
        <f ca="1">IF(AND(N2492&lt;&gt;N2491,ISNUMBER(SEARCH(Лист2!$B$6,N:N)),L2492=2),MAX($M$3:OFFSET(M2492,-1,0))+1,0)</f>
        <v>0</v>
      </c>
      <c r="N2492" s="3" t="s">
        <v>1702</v>
      </c>
    </row>
    <row r="2493" spans="1:14" x14ac:dyDescent="0.25">
      <c r="A2493" s="1" t="s">
        <v>11381</v>
      </c>
      <c r="B2493" s="3" t="s">
        <v>6117</v>
      </c>
      <c r="C2493" s="2">
        <f ca="1">IF(ISNUMBER(SEARCH(Лист2!$B$4,D:D)),MAX($C$3:OFFSET(C2493,-1,0))+1,0)</f>
        <v>0</v>
      </c>
      <c r="E2493" s="9" t="str">
        <f t="shared" ca="1" si="50"/>
        <v/>
      </c>
      <c r="F2493" s="4" t="s">
        <v>7</v>
      </c>
      <c r="G2493" s="2">
        <f>IF(ISNUMBER(SEARCH(Лист2!$B$4,F:F)),1,0)</f>
        <v>0</v>
      </c>
      <c r="H2493" s="3">
        <f ca="1">IF(AND(I2493&lt;&gt;I2492,ISNUMBER(SEARCH(Лист2!$B$5,I:I)),G2493=1),MAX($H$3:OFFSET(H2493,-1,0))+1,0)</f>
        <v>0</v>
      </c>
      <c r="I2493" s="3" t="s">
        <v>229</v>
      </c>
      <c r="K2493" s="2">
        <f>IF(ISNUMBER(SEARCH(Лист2!$B$4,F:F)),1,0)</f>
        <v>0</v>
      </c>
      <c r="L2493" s="14">
        <f>IF(ISNUMBER(SEARCH(Лист2!$B$5,I:I)),1,0)+K2493</f>
        <v>0</v>
      </c>
      <c r="M2493" s="3">
        <f ca="1">IF(AND(N2493&lt;&gt;N2492,ISNUMBER(SEARCH(Лист2!$B$6,N:N)),L2493=2),MAX($M$3:OFFSET(M2493,-1,0))+1,0)</f>
        <v>0</v>
      </c>
      <c r="N2493" s="3" t="s">
        <v>1703</v>
      </c>
    </row>
    <row r="2494" spans="1:14" x14ac:dyDescent="0.25">
      <c r="A2494" s="1" t="s">
        <v>11382</v>
      </c>
      <c r="B2494" s="3" t="s">
        <v>6118</v>
      </c>
      <c r="C2494" s="2">
        <f ca="1">IF(ISNUMBER(SEARCH(Лист2!$B$4,D:D)),MAX($C$3:OFFSET(C2494,-1,0))+1,0)</f>
        <v>0</v>
      </c>
      <c r="E2494" s="9" t="str">
        <f t="shared" ca="1" si="50"/>
        <v/>
      </c>
      <c r="F2494" s="4" t="s">
        <v>7</v>
      </c>
      <c r="G2494" s="2">
        <f>IF(ISNUMBER(SEARCH(Лист2!$B$4,F:F)),1,0)</f>
        <v>0</v>
      </c>
      <c r="H2494" s="3">
        <f ca="1">IF(AND(I2494&lt;&gt;I2493,ISNUMBER(SEARCH(Лист2!$B$5,I:I)),G2494=1),MAX($H$3:OFFSET(H2494,-1,0))+1,0)</f>
        <v>0</v>
      </c>
      <c r="I2494" s="3" t="s">
        <v>230</v>
      </c>
      <c r="K2494" s="2">
        <f>IF(ISNUMBER(SEARCH(Лист2!$B$4,F:F)),1,0)</f>
        <v>0</v>
      </c>
      <c r="L2494" s="14">
        <f>IF(ISNUMBER(SEARCH(Лист2!$B$5,I:I)),1,0)+K2494</f>
        <v>0</v>
      </c>
      <c r="M2494" s="3">
        <f ca="1">IF(AND(N2494&lt;&gt;N2493,ISNUMBER(SEARCH(Лист2!$B$6,N:N)),L2494=2),MAX($M$3:OFFSET(M2494,-1,0))+1,0)</f>
        <v>0</v>
      </c>
      <c r="N2494" s="3" t="s">
        <v>1704</v>
      </c>
    </row>
    <row r="2495" spans="1:14" x14ac:dyDescent="0.25">
      <c r="A2495" s="1" t="s">
        <v>11383</v>
      </c>
      <c r="B2495" s="3" t="s">
        <v>6119</v>
      </c>
      <c r="C2495" s="2">
        <f ca="1">IF(ISNUMBER(SEARCH(Лист2!$B$4,D:D)),MAX($C$3:OFFSET(C2495,-1,0))+1,0)</f>
        <v>0</v>
      </c>
      <c r="E2495" s="9" t="str">
        <f t="shared" ca="1" si="50"/>
        <v/>
      </c>
      <c r="F2495" s="4" t="s">
        <v>7</v>
      </c>
      <c r="G2495" s="2">
        <f>IF(ISNUMBER(SEARCH(Лист2!$B$4,F:F)),1,0)</f>
        <v>0</v>
      </c>
      <c r="H2495" s="3">
        <f ca="1">IF(AND(I2495&lt;&gt;I2494,ISNUMBER(SEARCH(Лист2!$B$5,I:I)),G2495=1),MAX($H$3:OFFSET(H2495,-1,0))+1,0)</f>
        <v>0</v>
      </c>
      <c r="I2495" s="3" t="s">
        <v>230</v>
      </c>
      <c r="K2495" s="2">
        <f>IF(ISNUMBER(SEARCH(Лист2!$B$4,F:F)),1,0)</f>
        <v>0</v>
      </c>
      <c r="L2495" s="14">
        <f>IF(ISNUMBER(SEARCH(Лист2!$B$5,I:I)),1,0)+K2495</f>
        <v>0</v>
      </c>
      <c r="M2495" s="3">
        <f ca="1">IF(AND(N2495&lt;&gt;N2494,ISNUMBER(SEARCH(Лист2!$B$6,N:N)),L2495=2),MAX($M$3:OFFSET(M2495,-1,0))+1,0)</f>
        <v>0</v>
      </c>
      <c r="N2495" s="3" t="s">
        <v>1705</v>
      </c>
    </row>
    <row r="2496" spans="1:14" x14ac:dyDescent="0.25">
      <c r="A2496" s="1" t="s">
        <v>11384</v>
      </c>
      <c r="B2496" s="3" t="s">
        <v>6120</v>
      </c>
      <c r="C2496" s="2">
        <f ca="1">IF(ISNUMBER(SEARCH(Лист2!$B$4,D:D)),MAX($C$3:OFFSET(C2496,-1,0))+1,0)</f>
        <v>0</v>
      </c>
      <c r="E2496" s="9" t="str">
        <f t="shared" ca="1" si="50"/>
        <v/>
      </c>
      <c r="F2496" s="4" t="s">
        <v>7</v>
      </c>
      <c r="G2496" s="2">
        <f>IF(ISNUMBER(SEARCH(Лист2!$B$4,F:F)),1,0)</f>
        <v>0</v>
      </c>
      <c r="H2496" s="3">
        <f ca="1">IF(AND(I2496&lt;&gt;I2495,ISNUMBER(SEARCH(Лист2!$B$5,I:I)),G2496=1),MAX($H$3:OFFSET(H2496,-1,0))+1,0)</f>
        <v>0</v>
      </c>
      <c r="I2496" s="3" t="s">
        <v>230</v>
      </c>
      <c r="K2496" s="2">
        <f>IF(ISNUMBER(SEARCH(Лист2!$B$4,F:F)),1,0)</f>
        <v>0</v>
      </c>
      <c r="L2496" s="14">
        <f>IF(ISNUMBER(SEARCH(Лист2!$B$5,I:I)),1,0)+K2496</f>
        <v>0</v>
      </c>
      <c r="M2496" s="3">
        <f ca="1">IF(AND(N2496&lt;&gt;N2495,ISNUMBER(SEARCH(Лист2!$B$6,N:N)),L2496=2),MAX($M$3:OFFSET(M2496,-1,0))+1,0)</f>
        <v>0</v>
      </c>
      <c r="N2496" s="3" t="s">
        <v>1678</v>
      </c>
    </row>
    <row r="2497" spans="1:14" x14ac:dyDescent="0.25">
      <c r="A2497" s="1" t="s">
        <v>11385</v>
      </c>
      <c r="B2497" s="3" t="s">
        <v>6121</v>
      </c>
      <c r="C2497" s="2">
        <f ca="1">IF(ISNUMBER(SEARCH(Лист2!$B$4,D:D)),MAX($C$3:OFFSET(C2497,-1,0))+1,0)</f>
        <v>0</v>
      </c>
      <c r="E2497" s="9" t="str">
        <f t="shared" ca="1" si="50"/>
        <v/>
      </c>
      <c r="F2497" s="4" t="s">
        <v>7</v>
      </c>
      <c r="G2497" s="2">
        <f>IF(ISNUMBER(SEARCH(Лист2!$B$4,F:F)),1,0)</f>
        <v>0</v>
      </c>
      <c r="H2497" s="3">
        <f ca="1">IF(AND(I2497&lt;&gt;I2496,ISNUMBER(SEARCH(Лист2!$B$5,I:I)),G2497=1),MAX($H$3:OFFSET(H2497,-1,0))+1,0)</f>
        <v>0</v>
      </c>
      <c r="I2497" s="3" t="s">
        <v>230</v>
      </c>
      <c r="K2497" s="2">
        <f>IF(ISNUMBER(SEARCH(Лист2!$B$4,F:F)),1,0)</f>
        <v>0</v>
      </c>
      <c r="L2497" s="14">
        <f>IF(ISNUMBER(SEARCH(Лист2!$B$5,I:I)),1,0)+K2497</f>
        <v>0</v>
      </c>
      <c r="M2497" s="3">
        <f ca="1">IF(AND(N2497&lt;&gt;N2496,ISNUMBER(SEARCH(Лист2!$B$6,N:N)),L2497=2),MAX($M$3:OFFSET(M2497,-1,0))+1,0)</f>
        <v>0</v>
      </c>
      <c r="N2497" s="3" t="s">
        <v>1620</v>
      </c>
    </row>
    <row r="2498" spans="1:14" x14ac:dyDescent="0.25">
      <c r="A2498" s="1" t="s">
        <v>11386</v>
      </c>
      <c r="B2498" s="3" t="s">
        <v>6122</v>
      </c>
      <c r="C2498" s="2">
        <f ca="1">IF(ISNUMBER(SEARCH(Лист2!$B$4,D:D)),MAX($C$3:OFFSET(C2498,-1,0))+1,0)</f>
        <v>0</v>
      </c>
      <c r="E2498" s="9" t="str">
        <f t="shared" ca="1" si="50"/>
        <v/>
      </c>
      <c r="F2498" s="4" t="s">
        <v>7</v>
      </c>
      <c r="G2498" s="2">
        <f>IF(ISNUMBER(SEARCH(Лист2!$B$4,F:F)),1,0)</f>
        <v>0</v>
      </c>
      <c r="H2498" s="3">
        <f ca="1">IF(AND(I2498&lt;&gt;I2497,ISNUMBER(SEARCH(Лист2!$B$5,I:I)),G2498=1),MAX($H$3:OFFSET(H2498,-1,0))+1,0)</f>
        <v>0</v>
      </c>
      <c r="I2498" s="3" t="s">
        <v>230</v>
      </c>
      <c r="K2498" s="2">
        <f>IF(ISNUMBER(SEARCH(Лист2!$B$4,F:F)),1,0)</f>
        <v>0</v>
      </c>
      <c r="L2498" s="14">
        <f>IF(ISNUMBER(SEARCH(Лист2!$B$5,I:I)),1,0)+K2498</f>
        <v>0</v>
      </c>
      <c r="M2498" s="3">
        <f ca="1">IF(AND(N2498&lt;&gt;N2497,ISNUMBER(SEARCH(Лист2!$B$6,N:N)),L2498=2),MAX($M$3:OFFSET(M2498,-1,0))+1,0)</f>
        <v>0</v>
      </c>
      <c r="N2498" s="3" t="s">
        <v>1690</v>
      </c>
    </row>
    <row r="2499" spans="1:14" x14ac:dyDescent="0.25">
      <c r="A2499" s="1" t="s">
        <v>11387</v>
      </c>
      <c r="B2499" s="3" t="s">
        <v>6123</v>
      </c>
      <c r="C2499" s="2">
        <f ca="1">IF(ISNUMBER(SEARCH(Лист2!$B$4,D:D)),MAX($C$3:OFFSET(C2499,-1,0))+1,0)</f>
        <v>0</v>
      </c>
      <c r="E2499" s="9" t="str">
        <f t="shared" ca="1" si="50"/>
        <v/>
      </c>
      <c r="F2499" s="4" t="s">
        <v>7</v>
      </c>
      <c r="G2499" s="2">
        <f>IF(ISNUMBER(SEARCH(Лист2!$B$4,F:F)),1,0)</f>
        <v>0</v>
      </c>
      <c r="H2499" s="3">
        <f ca="1">IF(AND(I2499&lt;&gt;I2498,ISNUMBER(SEARCH(Лист2!$B$5,I:I)),G2499=1),MAX($H$3:OFFSET(H2499,-1,0))+1,0)</f>
        <v>0</v>
      </c>
      <c r="I2499" s="3" t="s">
        <v>230</v>
      </c>
      <c r="K2499" s="2">
        <f>IF(ISNUMBER(SEARCH(Лист2!$B$4,F:F)),1,0)</f>
        <v>0</v>
      </c>
      <c r="L2499" s="14">
        <f>IF(ISNUMBER(SEARCH(Лист2!$B$5,I:I)),1,0)+K2499</f>
        <v>0</v>
      </c>
      <c r="M2499" s="3">
        <f ca="1">IF(AND(N2499&lt;&gt;N2498,ISNUMBER(SEARCH(Лист2!$B$6,N:N)),L2499=2),MAX($M$3:OFFSET(M2499,-1,0))+1,0)</f>
        <v>0</v>
      </c>
      <c r="N2499" s="3" t="s">
        <v>602</v>
      </c>
    </row>
    <row r="2500" spans="1:14" x14ac:dyDescent="0.25">
      <c r="A2500" s="1" t="s">
        <v>11388</v>
      </c>
      <c r="B2500" s="3" t="s">
        <v>6124</v>
      </c>
      <c r="C2500" s="2">
        <f ca="1">IF(ISNUMBER(SEARCH(Лист2!$B$4,D:D)),MAX($C$3:OFFSET(C2500,-1,0))+1,0)</f>
        <v>0</v>
      </c>
      <c r="E2500" s="9" t="str">
        <f t="shared" ca="1" si="50"/>
        <v/>
      </c>
      <c r="F2500" s="4" t="s">
        <v>7</v>
      </c>
      <c r="G2500" s="2">
        <f>IF(ISNUMBER(SEARCH(Лист2!$B$4,F:F)),1,0)</f>
        <v>0</v>
      </c>
      <c r="H2500" s="3">
        <f ca="1">IF(AND(I2500&lt;&gt;I2499,ISNUMBER(SEARCH(Лист2!$B$5,I:I)),G2500=1),MAX($H$3:OFFSET(H2500,-1,0))+1,0)</f>
        <v>0</v>
      </c>
      <c r="I2500" s="3" t="s">
        <v>230</v>
      </c>
      <c r="K2500" s="2">
        <f>IF(ISNUMBER(SEARCH(Лист2!$B$4,F:F)),1,0)</f>
        <v>0</v>
      </c>
      <c r="L2500" s="14">
        <f>IF(ISNUMBER(SEARCH(Лист2!$B$5,I:I)),1,0)+K2500</f>
        <v>0</v>
      </c>
      <c r="M2500" s="3">
        <f ca="1">IF(AND(N2500&lt;&gt;N2499,ISNUMBER(SEARCH(Лист2!$B$6,N:N)),L2500=2),MAX($M$3:OFFSET(M2500,-1,0))+1,0)</f>
        <v>0</v>
      </c>
      <c r="N2500" s="3" t="s">
        <v>1706</v>
      </c>
    </row>
    <row r="2501" spans="1:14" x14ac:dyDescent="0.25">
      <c r="A2501" s="1" t="s">
        <v>11389</v>
      </c>
      <c r="B2501" s="3" t="s">
        <v>6125</v>
      </c>
      <c r="C2501" s="2">
        <f ca="1">IF(ISNUMBER(SEARCH(Лист2!$B$4,D:D)),MAX($C$3:OFFSET(C2501,-1,0))+1,0)</f>
        <v>0</v>
      </c>
      <c r="E2501" s="9" t="str">
        <f t="shared" ref="E2501:E2564" ca="1" si="51">IFERROR(INDEX(D:D,MATCH(ROW(E2501)-ROW($E$3),C:C,0)),"")</f>
        <v/>
      </c>
      <c r="F2501" s="4" t="s">
        <v>7</v>
      </c>
      <c r="G2501" s="2">
        <f>IF(ISNUMBER(SEARCH(Лист2!$B$4,F:F)),1,0)</f>
        <v>0</v>
      </c>
      <c r="H2501" s="3">
        <f ca="1">IF(AND(I2501&lt;&gt;I2500,ISNUMBER(SEARCH(Лист2!$B$5,I:I)),G2501=1),MAX($H$3:OFFSET(H2501,-1,0))+1,0)</f>
        <v>0</v>
      </c>
      <c r="I2501" s="3" t="s">
        <v>230</v>
      </c>
      <c r="K2501" s="2">
        <f>IF(ISNUMBER(SEARCH(Лист2!$B$4,F:F)),1,0)</f>
        <v>0</v>
      </c>
      <c r="L2501" s="14">
        <f>IF(ISNUMBER(SEARCH(Лист2!$B$5,I:I)),1,0)+K2501</f>
        <v>0</v>
      </c>
      <c r="M2501" s="3">
        <f ca="1">IF(AND(N2501&lt;&gt;N2500,ISNUMBER(SEARCH(Лист2!$B$6,N:N)),L2501=2),MAX($M$3:OFFSET(M2501,-1,0))+1,0)</f>
        <v>0</v>
      </c>
      <c r="N2501" s="3" t="s">
        <v>1707</v>
      </c>
    </row>
    <row r="2502" spans="1:14" x14ac:dyDescent="0.25">
      <c r="A2502" s="1" t="s">
        <v>11390</v>
      </c>
      <c r="B2502" s="3" t="s">
        <v>6126</v>
      </c>
      <c r="C2502" s="2">
        <f ca="1">IF(ISNUMBER(SEARCH(Лист2!$B$4,D:D)),MAX($C$3:OFFSET(C2502,-1,0))+1,0)</f>
        <v>0</v>
      </c>
      <c r="E2502" s="9" t="str">
        <f t="shared" ca="1" si="51"/>
        <v/>
      </c>
      <c r="F2502" s="4" t="s">
        <v>7</v>
      </c>
      <c r="G2502" s="2">
        <f>IF(ISNUMBER(SEARCH(Лист2!$B$4,F:F)),1,0)</f>
        <v>0</v>
      </c>
      <c r="H2502" s="3">
        <f ca="1">IF(AND(I2502&lt;&gt;I2501,ISNUMBER(SEARCH(Лист2!$B$5,I:I)),G2502=1),MAX($H$3:OFFSET(H2502,-1,0))+1,0)</f>
        <v>0</v>
      </c>
      <c r="I2502" s="3" t="s">
        <v>230</v>
      </c>
      <c r="K2502" s="2">
        <f>IF(ISNUMBER(SEARCH(Лист2!$B$4,F:F)),1,0)</f>
        <v>0</v>
      </c>
      <c r="L2502" s="14">
        <f>IF(ISNUMBER(SEARCH(Лист2!$B$5,I:I)),1,0)+K2502</f>
        <v>0</v>
      </c>
      <c r="M2502" s="3">
        <f ca="1">IF(AND(N2502&lt;&gt;N2501,ISNUMBER(SEARCH(Лист2!$B$6,N:N)),L2502=2),MAX($M$3:OFFSET(M2502,-1,0))+1,0)</f>
        <v>0</v>
      </c>
      <c r="N2502" s="3" t="s">
        <v>1708</v>
      </c>
    </row>
    <row r="2503" spans="1:14" x14ac:dyDescent="0.25">
      <c r="A2503" s="1" t="s">
        <v>11391</v>
      </c>
      <c r="B2503" s="3" t="s">
        <v>6127</v>
      </c>
      <c r="C2503" s="2">
        <f ca="1">IF(ISNUMBER(SEARCH(Лист2!$B$4,D:D)),MAX($C$3:OFFSET(C2503,-1,0))+1,0)</f>
        <v>0</v>
      </c>
      <c r="E2503" s="9" t="str">
        <f t="shared" ca="1" si="51"/>
        <v/>
      </c>
      <c r="F2503" s="4" t="s">
        <v>7</v>
      </c>
      <c r="G2503" s="2">
        <f>IF(ISNUMBER(SEARCH(Лист2!$B$4,F:F)),1,0)</f>
        <v>0</v>
      </c>
      <c r="H2503" s="3">
        <f ca="1">IF(AND(I2503&lt;&gt;I2502,ISNUMBER(SEARCH(Лист2!$B$5,I:I)),G2503=1),MAX($H$3:OFFSET(H2503,-1,0))+1,0)</f>
        <v>0</v>
      </c>
      <c r="I2503" s="3" t="s">
        <v>231</v>
      </c>
      <c r="K2503" s="2">
        <f>IF(ISNUMBER(SEARCH(Лист2!$B$4,F:F)),1,0)</f>
        <v>0</v>
      </c>
      <c r="L2503" s="14">
        <f>IF(ISNUMBER(SEARCH(Лист2!$B$5,I:I)),1,0)+K2503</f>
        <v>0</v>
      </c>
      <c r="M2503" s="3">
        <f ca="1">IF(AND(N2503&lt;&gt;N2502,ISNUMBER(SEARCH(Лист2!$B$6,N:N)),L2503=2),MAX($M$3:OFFSET(M2503,-1,0))+1,0)</f>
        <v>0</v>
      </c>
      <c r="N2503" s="3" t="s">
        <v>1709</v>
      </c>
    </row>
    <row r="2504" spans="1:14" x14ac:dyDescent="0.25">
      <c r="A2504" s="1" t="s">
        <v>11392</v>
      </c>
      <c r="B2504" s="3" t="s">
        <v>6128</v>
      </c>
      <c r="C2504" s="2">
        <f ca="1">IF(ISNUMBER(SEARCH(Лист2!$B$4,D:D)),MAX($C$3:OFFSET(C2504,-1,0))+1,0)</f>
        <v>0</v>
      </c>
      <c r="E2504" s="9" t="str">
        <f t="shared" ca="1" si="51"/>
        <v/>
      </c>
      <c r="F2504" s="4" t="s">
        <v>7</v>
      </c>
      <c r="G2504" s="2">
        <f>IF(ISNUMBER(SEARCH(Лист2!$B$4,F:F)),1,0)</f>
        <v>0</v>
      </c>
      <c r="H2504" s="3">
        <f ca="1">IF(AND(I2504&lt;&gt;I2503,ISNUMBER(SEARCH(Лист2!$B$5,I:I)),G2504=1),MAX($H$3:OFFSET(H2504,-1,0))+1,0)</f>
        <v>0</v>
      </c>
      <c r="I2504" s="3" t="s">
        <v>231</v>
      </c>
      <c r="K2504" s="2">
        <f>IF(ISNUMBER(SEARCH(Лист2!$B$4,F:F)),1,0)</f>
        <v>0</v>
      </c>
      <c r="L2504" s="14">
        <f>IF(ISNUMBER(SEARCH(Лист2!$B$5,I:I)),1,0)+K2504</f>
        <v>0</v>
      </c>
      <c r="M2504" s="3">
        <f ca="1">IF(AND(N2504&lt;&gt;N2503,ISNUMBER(SEARCH(Лист2!$B$6,N:N)),L2504=2),MAX($M$3:OFFSET(M2504,-1,0))+1,0)</f>
        <v>0</v>
      </c>
      <c r="N2504" s="3" t="s">
        <v>1710</v>
      </c>
    </row>
    <row r="2505" spans="1:14" x14ac:dyDescent="0.25">
      <c r="A2505" s="1" t="s">
        <v>11393</v>
      </c>
      <c r="B2505" s="3" t="s">
        <v>6129</v>
      </c>
      <c r="C2505" s="2">
        <f ca="1">IF(ISNUMBER(SEARCH(Лист2!$B$4,D:D)),MAX($C$3:OFFSET(C2505,-1,0))+1,0)</f>
        <v>0</v>
      </c>
      <c r="E2505" s="9" t="str">
        <f t="shared" ca="1" si="51"/>
        <v/>
      </c>
      <c r="F2505" s="4" t="s">
        <v>7</v>
      </c>
      <c r="G2505" s="2">
        <f>IF(ISNUMBER(SEARCH(Лист2!$B$4,F:F)),1,0)</f>
        <v>0</v>
      </c>
      <c r="H2505" s="3">
        <f ca="1">IF(AND(I2505&lt;&gt;I2504,ISNUMBER(SEARCH(Лист2!$B$5,I:I)),G2505=1),MAX($H$3:OFFSET(H2505,-1,0))+1,0)</f>
        <v>0</v>
      </c>
      <c r="I2505" s="3" t="s">
        <v>231</v>
      </c>
      <c r="K2505" s="2">
        <f>IF(ISNUMBER(SEARCH(Лист2!$B$4,F:F)),1,0)</f>
        <v>0</v>
      </c>
      <c r="L2505" s="14">
        <f>IF(ISNUMBER(SEARCH(Лист2!$B$5,I:I)),1,0)+K2505</f>
        <v>0</v>
      </c>
      <c r="M2505" s="3">
        <f ca="1">IF(AND(N2505&lt;&gt;N2504,ISNUMBER(SEARCH(Лист2!$B$6,N:N)),L2505=2),MAX($M$3:OFFSET(M2505,-1,0))+1,0)</f>
        <v>0</v>
      </c>
      <c r="N2505" s="3" t="s">
        <v>1678</v>
      </c>
    </row>
    <row r="2506" spans="1:14" x14ac:dyDescent="0.25">
      <c r="A2506" s="1" t="s">
        <v>11394</v>
      </c>
      <c r="B2506" s="3" t="s">
        <v>6130</v>
      </c>
      <c r="C2506" s="2">
        <f ca="1">IF(ISNUMBER(SEARCH(Лист2!$B$4,D:D)),MAX($C$3:OFFSET(C2506,-1,0))+1,0)</f>
        <v>0</v>
      </c>
      <c r="E2506" s="9" t="str">
        <f t="shared" ca="1" si="51"/>
        <v/>
      </c>
      <c r="F2506" s="4" t="s">
        <v>7</v>
      </c>
      <c r="G2506" s="2">
        <f>IF(ISNUMBER(SEARCH(Лист2!$B$4,F:F)),1,0)</f>
        <v>0</v>
      </c>
      <c r="H2506" s="3">
        <f ca="1">IF(AND(I2506&lt;&gt;I2505,ISNUMBER(SEARCH(Лист2!$B$5,I:I)),G2506=1),MAX($H$3:OFFSET(H2506,-1,0))+1,0)</f>
        <v>0</v>
      </c>
      <c r="I2506" s="3" t="s">
        <v>231</v>
      </c>
      <c r="K2506" s="2">
        <f>IF(ISNUMBER(SEARCH(Лист2!$B$4,F:F)),1,0)</f>
        <v>0</v>
      </c>
      <c r="L2506" s="14">
        <f>IF(ISNUMBER(SEARCH(Лист2!$B$5,I:I)),1,0)+K2506</f>
        <v>0</v>
      </c>
      <c r="M2506" s="3">
        <f ca="1">IF(AND(N2506&lt;&gt;N2505,ISNUMBER(SEARCH(Лист2!$B$6,N:N)),L2506=2),MAX($M$3:OFFSET(M2506,-1,0))+1,0)</f>
        <v>0</v>
      </c>
      <c r="N2506" s="3" t="s">
        <v>1620</v>
      </c>
    </row>
    <row r="2507" spans="1:14" x14ac:dyDescent="0.25">
      <c r="A2507" s="1" t="s">
        <v>11395</v>
      </c>
      <c r="B2507" s="3" t="s">
        <v>6131</v>
      </c>
      <c r="C2507" s="2">
        <f ca="1">IF(ISNUMBER(SEARCH(Лист2!$B$4,D:D)),MAX($C$3:OFFSET(C2507,-1,0))+1,0)</f>
        <v>0</v>
      </c>
      <c r="E2507" s="9" t="str">
        <f t="shared" ca="1" si="51"/>
        <v/>
      </c>
      <c r="F2507" s="4" t="s">
        <v>7</v>
      </c>
      <c r="G2507" s="2">
        <f>IF(ISNUMBER(SEARCH(Лист2!$B$4,F:F)),1,0)</f>
        <v>0</v>
      </c>
      <c r="H2507" s="3">
        <f ca="1">IF(AND(I2507&lt;&gt;I2506,ISNUMBER(SEARCH(Лист2!$B$5,I:I)),G2507=1),MAX($H$3:OFFSET(H2507,-1,0))+1,0)</f>
        <v>0</v>
      </c>
      <c r="I2507" s="3" t="s">
        <v>231</v>
      </c>
      <c r="K2507" s="2">
        <f>IF(ISNUMBER(SEARCH(Лист2!$B$4,F:F)),1,0)</f>
        <v>0</v>
      </c>
      <c r="L2507" s="14">
        <f>IF(ISNUMBER(SEARCH(Лист2!$B$5,I:I)),1,0)+K2507</f>
        <v>0</v>
      </c>
      <c r="M2507" s="3">
        <f ca="1">IF(AND(N2507&lt;&gt;N2506,ISNUMBER(SEARCH(Лист2!$B$6,N:N)),L2507=2),MAX($M$3:OFFSET(M2507,-1,0))+1,0)</f>
        <v>0</v>
      </c>
      <c r="N2507" s="3" t="s">
        <v>1621</v>
      </c>
    </row>
    <row r="2508" spans="1:14" x14ac:dyDescent="0.25">
      <c r="A2508" s="1" t="s">
        <v>11396</v>
      </c>
      <c r="B2508" s="3" t="s">
        <v>6132</v>
      </c>
      <c r="C2508" s="2">
        <f ca="1">IF(ISNUMBER(SEARCH(Лист2!$B$4,D:D)),MAX($C$3:OFFSET(C2508,-1,0))+1,0)</f>
        <v>0</v>
      </c>
      <c r="E2508" s="9" t="str">
        <f t="shared" ca="1" si="51"/>
        <v/>
      </c>
      <c r="F2508" s="4" t="s">
        <v>7</v>
      </c>
      <c r="G2508" s="2">
        <f>IF(ISNUMBER(SEARCH(Лист2!$B$4,F:F)),1,0)</f>
        <v>0</v>
      </c>
      <c r="H2508" s="3">
        <f ca="1">IF(AND(I2508&lt;&gt;I2507,ISNUMBER(SEARCH(Лист2!$B$5,I:I)),G2508=1),MAX($H$3:OFFSET(H2508,-1,0))+1,0)</f>
        <v>0</v>
      </c>
      <c r="I2508" s="3" t="s">
        <v>231</v>
      </c>
      <c r="K2508" s="2">
        <f>IF(ISNUMBER(SEARCH(Лист2!$B$4,F:F)),1,0)</f>
        <v>0</v>
      </c>
      <c r="L2508" s="14">
        <f>IF(ISNUMBER(SEARCH(Лист2!$B$5,I:I)),1,0)+K2508</f>
        <v>0</v>
      </c>
      <c r="M2508" s="3">
        <f ca="1">IF(AND(N2508&lt;&gt;N2507,ISNUMBER(SEARCH(Лист2!$B$6,N:N)),L2508=2),MAX($M$3:OFFSET(M2508,-1,0))+1,0)</f>
        <v>0</v>
      </c>
      <c r="N2508" s="3" t="s">
        <v>602</v>
      </c>
    </row>
    <row r="2509" spans="1:14" x14ac:dyDescent="0.25">
      <c r="A2509" s="1" t="s">
        <v>11397</v>
      </c>
      <c r="B2509" s="3" t="s">
        <v>6133</v>
      </c>
      <c r="C2509" s="2">
        <f ca="1">IF(ISNUMBER(SEARCH(Лист2!$B$4,D:D)),MAX($C$3:OFFSET(C2509,-1,0))+1,0)</f>
        <v>0</v>
      </c>
      <c r="E2509" s="9" t="str">
        <f t="shared" ca="1" si="51"/>
        <v/>
      </c>
      <c r="F2509" s="4" t="s">
        <v>7</v>
      </c>
      <c r="G2509" s="2">
        <f>IF(ISNUMBER(SEARCH(Лист2!$B$4,F:F)),1,0)</f>
        <v>0</v>
      </c>
      <c r="H2509" s="3">
        <f ca="1">IF(AND(I2509&lt;&gt;I2508,ISNUMBER(SEARCH(Лист2!$B$5,I:I)),G2509=1),MAX($H$3:OFFSET(H2509,-1,0))+1,0)</f>
        <v>0</v>
      </c>
      <c r="I2509" s="3" t="s">
        <v>231</v>
      </c>
      <c r="K2509" s="2">
        <f>IF(ISNUMBER(SEARCH(Лист2!$B$4,F:F)),1,0)</f>
        <v>0</v>
      </c>
      <c r="L2509" s="14">
        <f>IF(ISNUMBER(SEARCH(Лист2!$B$5,I:I)),1,0)+K2509</f>
        <v>0</v>
      </c>
      <c r="M2509" s="3">
        <f ca="1">IF(AND(N2509&lt;&gt;N2508,ISNUMBER(SEARCH(Лист2!$B$6,N:N)),L2509=2),MAX($M$3:OFFSET(M2509,-1,0))+1,0)</f>
        <v>0</v>
      </c>
      <c r="N2509" s="3" t="s">
        <v>1711</v>
      </c>
    </row>
    <row r="2510" spans="1:14" x14ac:dyDescent="0.25">
      <c r="A2510" s="1" t="s">
        <v>11398</v>
      </c>
      <c r="B2510" s="3" t="s">
        <v>6134</v>
      </c>
      <c r="C2510" s="2">
        <f ca="1">IF(ISNUMBER(SEARCH(Лист2!$B$4,D:D)),MAX($C$3:OFFSET(C2510,-1,0))+1,0)</f>
        <v>0</v>
      </c>
      <c r="E2510" s="9" t="str">
        <f t="shared" ca="1" si="51"/>
        <v/>
      </c>
      <c r="F2510" s="4" t="s">
        <v>7</v>
      </c>
      <c r="G2510" s="2">
        <f>IF(ISNUMBER(SEARCH(Лист2!$B$4,F:F)),1,0)</f>
        <v>0</v>
      </c>
      <c r="H2510" s="3">
        <f ca="1">IF(AND(I2510&lt;&gt;I2509,ISNUMBER(SEARCH(Лист2!$B$5,I:I)),G2510=1),MAX($H$3:OFFSET(H2510,-1,0))+1,0)</f>
        <v>0</v>
      </c>
      <c r="I2510" s="3" t="s">
        <v>231</v>
      </c>
      <c r="K2510" s="2">
        <f>IF(ISNUMBER(SEARCH(Лист2!$B$4,F:F)),1,0)</f>
        <v>0</v>
      </c>
      <c r="L2510" s="14">
        <f>IF(ISNUMBER(SEARCH(Лист2!$B$5,I:I)),1,0)+K2510</f>
        <v>0</v>
      </c>
      <c r="M2510" s="3">
        <f ca="1">IF(AND(N2510&lt;&gt;N2509,ISNUMBER(SEARCH(Лист2!$B$6,N:N)),L2510=2),MAX($M$3:OFFSET(M2510,-1,0))+1,0)</f>
        <v>0</v>
      </c>
      <c r="N2510" s="3" t="s">
        <v>1712</v>
      </c>
    </row>
    <row r="2511" spans="1:14" x14ac:dyDescent="0.25">
      <c r="A2511" s="1" t="s">
        <v>11399</v>
      </c>
      <c r="B2511" s="3" t="s">
        <v>6135</v>
      </c>
      <c r="C2511" s="2">
        <f ca="1">IF(ISNUMBER(SEARCH(Лист2!$B$4,D:D)),MAX($C$3:OFFSET(C2511,-1,0))+1,0)</f>
        <v>0</v>
      </c>
      <c r="E2511" s="9" t="str">
        <f t="shared" ca="1" si="51"/>
        <v/>
      </c>
      <c r="F2511" s="4" t="s">
        <v>7</v>
      </c>
      <c r="G2511" s="2">
        <f>IF(ISNUMBER(SEARCH(Лист2!$B$4,F:F)),1,0)</f>
        <v>0</v>
      </c>
      <c r="H2511" s="3">
        <f ca="1">IF(AND(I2511&lt;&gt;I2510,ISNUMBER(SEARCH(Лист2!$B$5,I:I)),G2511=1),MAX($H$3:OFFSET(H2511,-1,0))+1,0)</f>
        <v>0</v>
      </c>
      <c r="I2511" s="3" t="s">
        <v>231</v>
      </c>
      <c r="K2511" s="2">
        <f>IF(ISNUMBER(SEARCH(Лист2!$B$4,F:F)),1,0)</f>
        <v>0</v>
      </c>
      <c r="L2511" s="14">
        <f>IF(ISNUMBER(SEARCH(Лист2!$B$5,I:I)),1,0)+K2511</f>
        <v>0</v>
      </c>
      <c r="M2511" s="3">
        <f ca="1">IF(AND(N2511&lt;&gt;N2510,ISNUMBER(SEARCH(Лист2!$B$6,N:N)),L2511=2),MAX($M$3:OFFSET(M2511,-1,0))+1,0)</f>
        <v>0</v>
      </c>
      <c r="N2511" s="3" t="s">
        <v>1713</v>
      </c>
    </row>
    <row r="2512" spans="1:14" x14ac:dyDescent="0.25">
      <c r="A2512" s="1" t="s">
        <v>11400</v>
      </c>
      <c r="B2512" s="3" t="s">
        <v>6136</v>
      </c>
      <c r="C2512" s="2">
        <f ca="1">IF(ISNUMBER(SEARCH(Лист2!$B$4,D:D)),MAX($C$3:OFFSET(C2512,-1,0))+1,0)</f>
        <v>0</v>
      </c>
      <c r="E2512" s="9" t="str">
        <f t="shared" ca="1" si="51"/>
        <v/>
      </c>
      <c r="F2512" s="4" t="s">
        <v>7</v>
      </c>
      <c r="G2512" s="2">
        <f>IF(ISNUMBER(SEARCH(Лист2!$B$4,F:F)),1,0)</f>
        <v>0</v>
      </c>
      <c r="H2512" s="3">
        <f ca="1">IF(AND(I2512&lt;&gt;I2511,ISNUMBER(SEARCH(Лист2!$B$5,I:I)),G2512=1),MAX($H$3:OFFSET(H2512,-1,0))+1,0)</f>
        <v>0</v>
      </c>
      <c r="I2512" s="3" t="s">
        <v>232</v>
      </c>
      <c r="K2512" s="2">
        <f>IF(ISNUMBER(SEARCH(Лист2!$B$4,F:F)),1,0)</f>
        <v>0</v>
      </c>
      <c r="L2512" s="14">
        <f>IF(ISNUMBER(SEARCH(Лист2!$B$5,I:I)),1,0)+K2512</f>
        <v>0</v>
      </c>
      <c r="M2512" s="3">
        <f ca="1">IF(AND(N2512&lt;&gt;N2511,ISNUMBER(SEARCH(Лист2!$B$6,N:N)),L2512=2),MAX($M$3:OFFSET(M2512,-1,0))+1,0)</f>
        <v>0</v>
      </c>
      <c r="N2512" s="3" t="s">
        <v>1714</v>
      </c>
    </row>
    <row r="2513" spans="1:14" x14ac:dyDescent="0.25">
      <c r="A2513" s="1" t="s">
        <v>11401</v>
      </c>
      <c r="B2513" s="3" t="s">
        <v>6137</v>
      </c>
      <c r="C2513" s="2">
        <f ca="1">IF(ISNUMBER(SEARCH(Лист2!$B$4,D:D)),MAX($C$3:OFFSET(C2513,-1,0))+1,0)</f>
        <v>0</v>
      </c>
      <c r="E2513" s="9" t="str">
        <f t="shared" ca="1" si="51"/>
        <v/>
      </c>
      <c r="F2513" s="4" t="s">
        <v>7</v>
      </c>
      <c r="G2513" s="2">
        <f>IF(ISNUMBER(SEARCH(Лист2!$B$4,F:F)),1,0)</f>
        <v>0</v>
      </c>
      <c r="H2513" s="3">
        <f ca="1">IF(AND(I2513&lt;&gt;I2512,ISNUMBER(SEARCH(Лист2!$B$5,I:I)),G2513=1),MAX($H$3:OFFSET(H2513,-1,0))+1,0)</f>
        <v>0</v>
      </c>
      <c r="I2513" s="3" t="s">
        <v>232</v>
      </c>
      <c r="K2513" s="2">
        <f>IF(ISNUMBER(SEARCH(Лист2!$B$4,F:F)),1,0)</f>
        <v>0</v>
      </c>
      <c r="L2513" s="14">
        <f>IF(ISNUMBER(SEARCH(Лист2!$B$5,I:I)),1,0)+K2513</f>
        <v>0</v>
      </c>
      <c r="M2513" s="3">
        <f ca="1">IF(AND(N2513&lt;&gt;N2512,ISNUMBER(SEARCH(Лист2!$B$6,N:N)),L2513=2),MAX($M$3:OFFSET(M2513,-1,0))+1,0)</f>
        <v>0</v>
      </c>
      <c r="N2513" s="3" t="s">
        <v>1715</v>
      </c>
    </row>
    <row r="2514" spans="1:14" x14ac:dyDescent="0.25">
      <c r="A2514" s="1" t="s">
        <v>11402</v>
      </c>
      <c r="B2514" s="3" t="s">
        <v>6138</v>
      </c>
      <c r="C2514" s="2">
        <f ca="1">IF(ISNUMBER(SEARCH(Лист2!$B$4,D:D)),MAX($C$3:OFFSET(C2514,-1,0))+1,0)</f>
        <v>0</v>
      </c>
      <c r="E2514" s="9" t="str">
        <f t="shared" ca="1" si="51"/>
        <v/>
      </c>
      <c r="F2514" s="4" t="s">
        <v>7</v>
      </c>
      <c r="G2514" s="2">
        <f>IF(ISNUMBER(SEARCH(Лист2!$B$4,F:F)),1,0)</f>
        <v>0</v>
      </c>
      <c r="H2514" s="3">
        <f ca="1">IF(AND(I2514&lt;&gt;I2513,ISNUMBER(SEARCH(Лист2!$B$5,I:I)),G2514=1),MAX($H$3:OFFSET(H2514,-1,0))+1,0)</f>
        <v>0</v>
      </c>
      <c r="I2514" s="3" t="s">
        <v>232</v>
      </c>
      <c r="K2514" s="2">
        <f>IF(ISNUMBER(SEARCH(Лист2!$B$4,F:F)),1,0)</f>
        <v>0</v>
      </c>
      <c r="L2514" s="14">
        <f>IF(ISNUMBER(SEARCH(Лист2!$B$5,I:I)),1,0)+K2514</f>
        <v>0</v>
      </c>
      <c r="M2514" s="3">
        <f ca="1">IF(AND(N2514&lt;&gt;N2513,ISNUMBER(SEARCH(Лист2!$B$6,N:N)),L2514=2),MAX($M$3:OFFSET(M2514,-1,0))+1,0)</f>
        <v>0</v>
      </c>
      <c r="N2514" s="3" t="s">
        <v>1678</v>
      </c>
    </row>
    <row r="2515" spans="1:14" x14ac:dyDescent="0.25">
      <c r="A2515" s="1" t="s">
        <v>11403</v>
      </c>
      <c r="B2515" s="3" t="s">
        <v>6139</v>
      </c>
      <c r="C2515" s="2">
        <f ca="1">IF(ISNUMBER(SEARCH(Лист2!$B$4,D:D)),MAX($C$3:OFFSET(C2515,-1,0))+1,0)</f>
        <v>0</v>
      </c>
      <c r="E2515" s="9" t="str">
        <f t="shared" ca="1" si="51"/>
        <v/>
      </c>
      <c r="F2515" s="4" t="s">
        <v>7</v>
      </c>
      <c r="G2515" s="2">
        <f>IF(ISNUMBER(SEARCH(Лист2!$B$4,F:F)),1,0)</f>
        <v>0</v>
      </c>
      <c r="H2515" s="3">
        <f ca="1">IF(AND(I2515&lt;&gt;I2514,ISNUMBER(SEARCH(Лист2!$B$5,I:I)),G2515=1),MAX($H$3:OFFSET(H2515,-1,0))+1,0)</f>
        <v>0</v>
      </c>
      <c r="I2515" s="3" t="s">
        <v>232</v>
      </c>
      <c r="K2515" s="2">
        <f>IF(ISNUMBER(SEARCH(Лист2!$B$4,F:F)),1,0)</f>
        <v>0</v>
      </c>
      <c r="L2515" s="14">
        <f>IF(ISNUMBER(SEARCH(Лист2!$B$5,I:I)),1,0)+K2515</f>
        <v>0</v>
      </c>
      <c r="M2515" s="3">
        <f ca="1">IF(AND(N2515&lt;&gt;N2514,ISNUMBER(SEARCH(Лист2!$B$6,N:N)),L2515=2),MAX($M$3:OFFSET(M2515,-1,0))+1,0)</f>
        <v>0</v>
      </c>
      <c r="N2515" s="3" t="s">
        <v>1620</v>
      </c>
    </row>
    <row r="2516" spans="1:14" x14ac:dyDescent="0.25">
      <c r="A2516" s="1" t="s">
        <v>11404</v>
      </c>
      <c r="B2516" s="3" t="s">
        <v>6140</v>
      </c>
      <c r="C2516" s="2">
        <f ca="1">IF(ISNUMBER(SEARCH(Лист2!$B$4,D:D)),MAX($C$3:OFFSET(C2516,-1,0))+1,0)</f>
        <v>0</v>
      </c>
      <c r="E2516" s="9" t="str">
        <f t="shared" ca="1" si="51"/>
        <v/>
      </c>
      <c r="F2516" s="4" t="s">
        <v>7</v>
      </c>
      <c r="G2516" s="2">
        <f>IF(ISNUMBER(SEARCH(Лист2!$B$4,F:F)),1,0)</f>
        <v>0</v>
      </c>
      <c r="H2516" s="3">
        <f ca="1">IF(AND(I2516&lt;&gt;I2515,ISNUMBER(SEARCH(Лист2!$B$5,I:I)),G2516=1),MAX($H$3:OFFSET(H2516,-1,0))+1,0)</f>
        <v>0</v>
      </c>
      <c r="I2516" s="3" t="s">
        <v>232</v>
      </c>
      <c r="K2516" s="2">
        <f>IF(ISNUMBER(SEARCH(Лист2!$B$4,F:F)),1,0)</f>
        <v>0</v>
      </c>
      <c r="L2516" s="14">
        <f>IF(ISNUMBER(SEARCH(Лист2!$B$5,I:I)),1,0)+K2516</f>
        <v>0</v>
      </c>
      <c r="M2516" s="3">
        <f ca="1">IF(AND(N2516&lt;&gt;N2515,ISNUMBER(SEARCH(Лист2!$B$6,N:N)),L2516=2),MAX($M$3:OFFSET(M2516,-1,0))+1,0)</f>
        <v>0</v>
      </c>
      <c r="N2516" s="3" t="s">
        <v>1621</v>
      </c>
    </row>
    <row r="2517" spans="1:14" x14ac:dyDescent="0.25">
      <c r="A2517" s="1" t="s">
        <v>11405</v>
      </c>
      <c r="B2517" s="3" t="s">
        <v>6141</v>
      </c>
      <c r="C2517" s="2">
        <f ca="1">IF(ISNUMBER(SEARCH(Лист2!$B$4,D:D)),MAX($C$3:OFFSET(C2517,-1,0))+1,0)</f>
        <v>0</v>
      </c>
      <c r="E2517" s="9" t="str">
        <f t="shared" ca="1" si="51"/>
        <v/>
      </c>
      <c r="F2517" s="4" t="s">
        <v>7</v>
      </c>
      <c r="G2517" s="2">
        <f>IF(ISNUMBER(SEARCH(Лист2!$B$4,F:F)),1,0)</f>
        <v>0</v>
      </c>
      <c r="H2517" s="3">
        <f ca="1">IF(AND(I2517&lt;&gt;I2516,ISNUMBER(SEARCH(Лист2!$B$5,I:I)),G2517=1),MAX($H$3:OFFSET(H2517,-1,0))+1,0)</f>
        <v>0</v>
      </c>
      <c r="I2517" s="3" t="s">
        <v>232</v>
      </c>
      <c r="K2517" s="2">
        <f>IF(ISNUMBER(SEARCH(Лист2!$B$4,F:F)),1,0)</f>
        <v>0</v>
      </c>
      <c r="L2517" s="14">
        <f>IF(ISNUMBER(SEARCH(Лист2!$B$5,I:I)),1,0)+K2517</f>
        <v>0</v>
      </c>
      <c r="M2517" s="3">
        <f ca="1">IF(AND(N2517&lt;&gt;N2516,ISNUMBER(SEARCH(Лист2!$B$6,N:N)),L2517=2),MAX($M$3:OFFSET(M2517,-1,0))+1,0)</f>
        <v>0</v>
      </c>
      <c r="N2517" s="3" t="s">
        <v>602</v>
      </c>
    </row>
    <row r="2518" spans="1:14" x14ac:dyDescent="0.25">
      <c r="A2518" s="1" t="s">
        <v>11406</v>
      </c>
      <c r="B2518" s="3" t="s">
        <v>6142</v>
      </c>
      <c r="C2518" s="2">
        <f ca="1">IF(ISNUMBER(SEARCH(Лист2!$B$4,D:D)),MAX($C$3:OFFSET(C2518,-1,0))+1,0)</f>
        <v>0</v>
      </c>
      <c r="E2518" s="9" t="str">
        <f t="shared" ca="1" si="51"/>
        <v/>
      </c>
      <c r="F2518" s="4" t="s">
        <v>7</v>
      </c>
      <c r="G2518" s="2">
        <f>IF(ISNUMBER(SEARCH(Лист2!$B$4,F:F)),1,0)</f>
        <v>0</v>
      </c>
      <c r="H2518" s="3">
        <f ca="1">IF(AND(I2518&lt;&gt;I2517,ISNUMBER(SEARCH(Лист2!$B$5,I:I)),G2518=1),MAX($H$3:OFFSET(H2518,-1,0))+1,0)</f>
        <v>0</v>
      </c>
      <c r="I2518" s="3" t="s">
        <v>232</v>
      </c>
      <c r="K2518" s="2">
        <f>IF(ISNUMBER(SEARCH(Лист2!$B$4,F:F)),1,0)</f>
        <v>0</v>
      </c>
      <c r="L2518" s="14">
        <f>IF(ISNUMBER(SEARCH(Лист2!$B$5,I:I)),1,0)+K2518</f>
        <v>0</v>
      </c>
      <c r="M2518" s="3">
        <f ca="1">IF(AND(N2518&lt;&gt;N2517,ISNUMBER(SEARCH(Лист2!$B$6,N:N)),L2518=2),MAX($M$3:OFFSET(M2518,-1,0))+1,0)</f>
        <v>0</v>
      </c>
      <c r="N2518" s="3" t="s">
        <v>1716</v>
      </c>
    </row>
    <row r="2519" spans="1:14" x14ac:dyDescent="0.25">
      <c r="A2519" s="1" t="s">
        <v>11407</v>
      </c>
      <c r="B2519" s="3" t="s">
        <v>6143</v>
      </c>
      <c r="C2519" s="2">
        <f ca="1">IF(ISNUMBER(SEARCH(Лист2!$B$4,D:D)),MAX($C$3:OFFSET(C2519,-1,0))+1,0)</f>
        <v>0</v>
      </c>
      <c r="E2519" s="9" t="str">
        <f t="shared" ca="1" si="51"/>
        <v/>
      </c>
      <c r="F2519" s="4" t="s">
        <v>7</v>
      </c>
      <c r="G2519" s="2">
        <f>IF(ISNUMBER(SEARCH(Лист2!$B$4,F:F)),1,0)</f>
        <v>0</v>
      </c>
      <c r="H2519" s="3">
        <f ca="1">IF(AND(I2519&lt;&gt;I2518,ISNUMBER(SEARCH(Лист2!$B$5,I:I)),G2519=1),MAX($H$3:OFFSET(H2519,-1,0))+1,0)</f>
        <v>0</v>
      </c>
      <c r="I2519" s="3" t="s">
        <v>232</v>
      </c>
      <c r="K2519" s="2">
        <f>IF(ISNUMBER(SEARCH(Лист2!$B$4,F:F)),1,0)</f>
        <v>0</v>
      </c>
      <c r="L2519" s="14">
        <f>IF(ISNUMBER(SEARCH(Лист2!$B$5,I:I)),1,0)+K2519</f>
        <v>0</v>
      </c>
      <c r="M2519" s="3">
        <f ca="1">IF(AND(N2519&lt;&gt;N2518,ISNUMBER(SEARCH(Лист2!$B$6,N:N)),L2519=2),MAX($M$3:OFFSET(M2519,-1,0))+1,0)</f>
        <v>0</v>
      </c>
      <c r="N2519" s="3" t="s">
        <v>1717</v>
      </c>
    </row>
    <row r="2520" spans="1:14" x14ac:dyDescent="0.25">
      <c r="A2520" s="1" t="s">
        <v>11408</v>
      </c>
      <c r="B2520" s="3" t="s">
        <v>6144</v>
      </c>
      <c r="C2520" s="2">
        <f ca="1">IF(ISNUMBER(SEARCH(Лист2!$B$4,D:D)),MAX($C$3:OFFSET(C2520,-1,0))+1,0)</f>
        <v>0</v>
      </c>
      <c r="E2520" s="9" t="str">
        <f t="shared" ca="1" si="51"/>
        <v/>
      </c>
      <c r="F2520" s="4" t="s">
        <v>7</v>
      </c>
      <c r="G2520" s="2">
        <f>IF(ISNUMBER(SEARCH(Лист2!$B$4,F:F)),1,0)</f>
        <v>0</v>
      </c>
      <c r="H2520" s="3">
        <f ca="1">IF(AND(I2520&lt;&gt;I2519,ISNUMBER(SEARCH(Лист2!$B$5,I:I)),G2520=1),MAX($H$3:OFFSET(H2520,-1,0))+1,0)</f>
        <v>0</v>
      </c>
      <c r="I2520" s="3" t="s">
        <v>232</v>
      </c>
      <c r="K2520" s="2">
        <f>IF(ISNUMBER(SEARCH(Лист2!$B$4,F:F)),1,0)</f>
        <v>0</v>
      </c>
      <c r="L2520" s="14">
        <f>IF(ISNUMBER(SEARCH(Лист2!$B$5,I:I)),1,0)+K2520</f>
        <v>0</v>
      </c>
      <c r="M2520" s="3">
        <f ca="1">IF(AND(N2520&lt;&gt;N2519,ISNUMBER(SEARCH(Лист2!$B$6,N:N)),L2520=2),MAX($M$3:OFFSET(M2520,-1,0))+1,0)</f>
        <v>0</v>
      </c>
      <c r="N2520" s="3" t="s">
        <v>1718</v>
      </c>
    </row>
    <row r="2521" spans="1:14" x14ac:dyDescent="0.25">
      <c r="A2521" s="1" t="s">
        <v>11575</v>
      </c>
      <c r="B2521" s="3" t="s">
        <v>6145</v>
      </c>
      <c r="C2521" s="2">
        <f ca="1">IF(ISNUMBER(SEARCH(Лист2!$B$4,D:D)),MAX($C$3:OFFSET(C2521,-1,0))+1,0)</f>
        <v>0</v>
      </c>
      <c r="E2521" s="9" t="str">
        <f t="shared" ca="1" si="51"/>
        <v/>
      </c>
      <c r="F2521" s="4" t="s">
        <v>7</v>
      </c>
      <c r="G2521" s="2">
        <f>IF(ISNUMBER(SEARCH(Лист2!$B$4,F:F)),1,0)</f>
        <v>0</v>
      </c>
      <c r="H2521" s="3">
        <f ca="1">IF(AND(I2521&lt;&gt;I2520,ISNUMBER(SEARCH(Лист2!$B$5,I:I)),G2521=1),MAX($H$3:OFFSET(H2521,-1,0))+1,0)</f>
        <v>0</v>
      </c>
      <c r="I2521" s="3" t="s">
        <v>243</v>
      </c>
      <c r="K2521" s="2">
        <f>IF(ISNUMBER(SEARCH(Лист2!$B$4,F:F)),1,0)</f>
        <v>0</v>
      </c>
      <c r="L2521" s="14">
        <f>IF(ISNUMBER(SEARCH(Лист2!$B$5,I:I)),1,0)+K2521</f>
        <v>0</v>
      </c>
      <c r="M2521" s="3">
        <f ca="1">IF(AND(N2521&lt;&gt;N2520,ISNUMBER(SEARCH(Лист2!$B$6,N:N)),L2521=2),MAX($M$3:OFFSET(M2521,-1,0))+1,0)</f>
        <v>0</v>
      </c>
      <c r="N2521" s="3" t="s">
        <v>1837</v>
      </c>
    </row>
    <row r="2522" spans="1:14" x14ac:dyDescent="0.25">
      <c r="A2522" s="1" t="s">
        <v>11575</v>
      </c>
      <c r="B2522" s="3" t="s">
        <v>6146</v>
      </c>
      <c r="C2522" s="2">
        <f ca="1">IF(ISNUMBER(SEARCH(Лист2!$B$4,D:D)),MAX($C$3:OFFSET(C2522,-1,0))+1,0)</f>
        <v>0</v>
      </c>
      <c r="E2522" s="9" t="str">
        <f t="shared" ca="1" si="51"/>
        <v/>
      </c>
      <c r="F2522" s="4" t="s">
        <v>7</v>
      </c>
      <c r="G2522" s="2">
        <f>IF(ISNUMBER(SEARCH(Лист2!$B$4,F:F)),1,0)</f>
        <v>0</v>
      </c>
      <c r="H2522" s="3">
        <f ca="1">IF(AND(I2522&lt;&gt;I2521,ISNUMBER(SEARCH(Лист2!$B$5,I:I)),G2522=1),MAX($H$3:OFFSET(H2522,-1,0))+1,0)</f>
        <v>0</v>
      </c>
      <c r="I2522" s="3" t="s">
        <v>243</v>
      </c>
      <c r="K2522" s="2">
        <f>IF(ISNUMBER(SEARCH(Лист2!$B$4,F:F)),1,0)</f>
        <v>0</v>
      </c>
      <c r="L2522" s="14">
        <f>IF(ISNUMBER(SEARCH(Лист2!$B$5,I:I)),1,0)+K2522</f>
        <v>0</v>
      </c>
      <c r="M2522" s="3">
        <f ca="1">IF(AND(N2522&lt;&gt;N2521,ISNUMBER(SEARCH(Лист2!$B$6,N:N)),L2522=2),MAX($M$3:OFFSET(M2522,-1,0))+1,0)</f>
        <v>0</v>
      </c>
      <c r="N2522" s="3" t="s">
        <v>1837</v>
      </c>
    </row>
    <row r="2523" spans="1:14" x14ac:dyDescent="0.25">
      <c r="A2523" s="1" t="s">
        <v>11575</v>
      </c>
      <c r="B2523" s="3" t="s">
        <v>6147</v>
      </c>
      <c r="C2523" s="2">
        <f ca="1">IF(ISNUMBER(SEARCH(Лист2!$B$4,D:D)),MAX($C$3:OFFSET(C2523,-1,0))+1,0)</f>
        <v>0</v>
      </c>
      <c r="E2523" s="9" t="str">
        <f t="shared" ca="1" si="51"/>
        <v/>
      </c>
      <c r="F2523" s="4" t="s">
        <v>7</v>
      </c>
      <c r="G2523" s="2">
        <f>IF(ISNUMBER(SEARCH(Лист2!$B$4,F:F)),1,0)</f>
        <v>0</v>
      </c>
      <c r="H2523" s="3">
        <f ca="1">IF(AND(I2523&lt;&gt;I2522,ISNUMBER(SEARCH(Лист2!$B$5,I:I)),G2523=1),MAX($H$3:OFFSET(H2523,-1,0))+1,0)</f>
        <v>0</v>
      </c>
      <c r="I2523" s="3" t="s">
        <v>243</v>
      </c>
      <c r="K2523" s="2">
        <f>IF(ISNUMBER(SEARCH(Лист2!$B$4,F:F)),1,0)</f>
        <v>0</v>
      </c>
      <c r="L2523" s="14">
        <f>IF(ISNUMBER(SEARCH(Лист2!$B$5,I:I)),1,0)+K2523</f>
        <v>0</v>
      </c>
      <c r="M2523" s="3">
        <f ca="1">IF(AND(N2523&lt;&gt;N2522,ISNUMBER(SEARCH(Лист2!$B$6,N:N)),L2523=2),MAX($M$3:OFFSET(M2523,-1,0))+1,0)</f>
        <v>0</v>
      </c>
      <c r="N2523" s="3" t="s">
        <v>1837</v>
      </c>
    </row>
    <row r="2524" spans="1:14" x14ac:dyDescent="0.25">
      <c r="A2524" s="1" t="s">
        <v>11576</v>
      </c>
      <c r="B2524" s="3" t="s">
        <v>6148</v>
      </c>
      <c r="C2524" s="2">
        <f ca="1">IF(ISNUMBER(SEARCH(Лист2!$B$4,D:D)),MAX($C$3:OFFSET(C2524,-1,0))+1,0)</f>
        <v>0</v>
      </c>
      <c r="E2524" s="9" t="str">
        <f t="shared" ca="1" si="51"/>
        <v/>
      </c>
      <c r="F2524" s="4" t="s">
        <v>7</v>
      </c>
      <c r="G2524" s="2">
        <f>IF(ISNUMBER(SEARCH(Лист2!$B$4,F:F)),1,0)</f>
        <v>0</v>
      </c>
      <c r="H2524" s="3">
        <f ca="1">IF(AND(I2524&lt;&gt;I2523,ISNUMBER(SEARCH(Лист2!$B$5,I:I)),G2524=1),MAX($H$3:OFFSET(H2524,-1,0))+1,0)</f>
        <v>0</v>
      </c>
      <c r="I2524" s="3" t="s">
        <v>243</v>
      </c>
      <c r="K2524" s="2">
        <f>IF(ISNUMBER(SEARCH(Лист2!$B$4,F:F)),1,0)</f>
        <v>0</v>
      </c>
      <c r="L2524" s="14">
        <f>IF(ISNUMBER(SEARCH(Лист2!$B$5,I:I)),1,0)+K2524</f>
        <v>0</v>
      </c>
      <c r="M2524" s="3">
        <f ca="1">IF(AND(N2524&lt;&gt;N2523,ISNUMBER(SEARCH(Лист2!$B$6,N:N)),L2524=2),MAX($M$3:OFFSET(M2524,-1,0))+1,0)</f>
        <v>0</v>
      </c>
      <c r="N2524" s="3" t="s">
        <v>1838</v>
      </c>
    </row>
    <row r="2525" spans="1:14" x14ac:dyDescent="0.25">
      <c r="A2525" s="1" t="s">
        <v>11577</v>
      </c>
      <c r="B2525" s="3" t="s">
        <v>6149</v>
      </c>
      <c r="C2525" s="2">
        <f ca="1">IF(ISNUMBER(SEARCH(Лист2!$B$4,D:D)),MAX($C$3:OFFSET(C2525,-1,0))+1,0)</f>
        <v>0</v>
      </c>
      <c r="E2525" s="9" t="str">
        <f t="shared" ca="1" si="51"/>
        <v/>
      </c>
      <c r="F2525" s="4" t="s">
        <v>7</v>
      </c>
      <c r="G2525" s="2">
        <f>IF(ISNUMBER(SEARCH(Лист2!$B$4,F:F)),1,0)</f>
        <v>0</v>
      </c>
      <c r="H2525" s="3">
        <f ca="1">IF(AND(I2525&lt;&gt;I2524,ISNUMBER(SEARCH(Лист2!$B$5,I:I)),G2525=1),MAX($H$3:OFFSET(H2525,-1,0))+1,0)</f>
        <v>0</v>
      </c>
      <c r="I2525" s="3" t="s">
        <v>243</v>
      </c>
      <c r="K2525" s="2">
        <f>IF(ISNUMBER(SEARCH(Лист2!$B$4,F:F)),1,0)</f>
        <v>0</v>
      </c>
      <c r="L2525" s="14">
        <f>IF(ISNUMBER(SEARCH(Лист2!$B$5,I:I)),1,0)+K2525</f>
        <v>0</v>
      </c>
      <c r="M2525" s="3">
        <f ca="1">IF(AND(N2525&lt;&gt;N2524,ISNUMBER(SEARCH(Лист2!$B$6,N:N)),L2525=2),MAX($M$3:OFFSET(M2525,-1,0))+1,0)</f>
        <v>0</v>
      </c>
      <c r="N2525" s="3" t="s">
        <v>1678</v>
      </c>
    </row>
    <row r="2526" spans="1:14" x14ac:dyDescent="0.25">
      <c r="A2526" s="1" t="s">
        <v>11578</v>
      </c>
      <c r="B2526" s="3" t="s">
        <v>6150</v>
      </c>
      <c r="C2526" s="2">
        <f ca="1">IF(ISNUMBER(SEARCH(Лист2!$B$4,D:D)),MAX($C$3:OFFSET(C2526,-1,0))+1,0)</f>
        <v>0</v>
      </c>
      <c r="E2526" s="9" t="str">
        <f t="shared" ca="1" si="51"/>
        <v/>
      </c>
      <c r="F2526" s="4" t="s">
        <v>7</v>
      </c>
      <c r="G2526" s="2">
        <f>IF(ISNUMBER(SEARCH(Лист2!$B$4,F:F)),1,0)</f>
        <v>0</v>
      </c>
      <c r="H2526" s="3">
        <f ca="1">IF(AND(I2526&lt;&gt;I2525,ISNUMBER(SEARCH(Лист2!$B$5,I:I)),G2526=1),MAX($H$3:OFFSET(H2526,-1,0))+1,0)</f>
        <v>0</v>
      </c>
      <c r="I2526" s="3" t="s">
        <v>243</v>
      </c>
      <c r="K2526" s="2">
        <f>IF(ISNUMBER(SEARCH(Лист2!$B$4,F:F)),1,0)</f>
        <v>0</v>
      </c>
      <c r="L2526" s="14">
        <f>IF(ISNUMBER(SEARCH(Лист2!$B$5,I:I)),1,0)+K2526</f>
        <v>0</v>
      </c>
      <c r="M2526" s="3">
        <f ca="1">IF(AND(N2526&lt;&gt;N2525,ISNUMBER(SEARCH(Лист2!$B$6,N:N)),L2526=2),MAX($M$3:OFFSET(M2526,-1,0))+1,0)</f>
        <v>0</v>
      </c>
      <c r="N2526" s="3" t="s">
        <v>1620</v>
      </c>
    </row>
    <row r="2527" spans="1:14" x14ac:dyDescent="0.25">
      <c r="A2527" s="1" t="s">
        <v>11579</v>
      </c>
      <c r="B2527" s="3" t="s">
        <v>6151</v>
      </c>
      <c r="C2527" s="2">
        <f ca="1">IF(ISNUMBER(SEARCH(Лист2!$B$4,D:D)),MAX($C$3:OFFSET(C2527,-1,0))+1,0)</f>
        <v>0</v>
      </c>
      <c r="E2527" s="9" t="str">
        <f t="shared" ca="1" si="51"/>
        <v/>
      </c>
      <c r="F2527" s="4" t="s">
        <v>7</v>
      </c>
      <c r="G2527" s="2">
        <f>IF(ISNUMBER(SEARCH(Лист2!$B$4,F:F)),1,0)</f>
        <v>0</v>
      </c>
      <c r="H2527" s="3">
        <f ca="1">IF(AND(I2527&lt;&gt;I2526,ISNUMBER(SEARCH(Лист2!$B$5,I:I)),G2527=1),MAX($H$3:OFFSET(H2527,-1,0))+1,0)</f>
        <v>0</v>
      </c>
      <c r="I2527" s="3" t="s">
        <v>243</v>
      </c>
      <c r="K2527" s="2">
        <f>IF(ISNUMBER(SEARCH(Лист2!$B$4,F:F)),1,0)</f>
        <v>0</v>
      </c>
      <c r="L2527" s="14">
        <f>IF(ISNUMBER(SEARCH(Лист2!$B$5,I:I)),1,0)+K2527</f>
        <v>0</v>
      </c>
      <c r="M2527" s="3">
        <f ca="1">IF(AND(N2527&lt;&gt;N2526,ISNUMBER(SEARCH(Лист2!$B$6,N:N)),L2527=2),MAX($M$3:OFFSET(M2527,-1,0))+1,0)</f>
        <v>0</v>
      </c>
      <c r="N2527" s="3" t="s">
        <v>1621</v>
      </c>
    </row>
    <row r="2528" spans="1:14" x14ac:dyDescent="0.25">
      <c r="A2528" s="1" t="s">
        <v>11580</v>
      </c>
      <c r="B2528" s="3" t="s">
        <v>6152</v>
      </c>
      <c r="C2528" s="2">
        <f ca="1">IF(ISNUMBER(SEARCH(Лист2!$B$4,D:D)),MAX($C$3:OFFSET(C2528,-1,0))+1,0)</f>
        <v>0</v>
      </c>
      <c r="E2528" s="9" t="str">
        <f t="shared" ca="1" si="51"/>
        <v/>
      </c>
      <c r="F2528" s="4" t="s">
        <v>7</v>
      </c>
      <c r="G2528" s="2">
        <f>IF(ISNUMBER(SEARCH(Лист2!$B$4,F:F)),1,0)</f>
        <v>0</v>
      </c>
      <c r="H2528" s="3">
        <f ca="1">IF(AND(I2528&lt;&gt;I2527,ISNUMBER(SEARCH(Лист2!$B$5,I:I)),G2528=1),MAX($H$3:OFFSET(H2528,-1,0))+1,0)</f>
        <v>0</v>
      </c>
      <c r="I2528" s="3" t="s">
        <v>243</v>
      </c>
      <c r="K2528" s="2">
        <f>IF(ISNUMBER(SEARCH(Лист2!$B$4,F:F)),1,0)</f>
        <v>0</v>
      </c>
      <c r="L2528" s="14">
        <f>IF(ISNUMBER(SEARCH(Лист2!$B$5,I:I)),1,0)+K2528</f>
        <v>0</v>
      </c>
      <c r="M2528" s="3">
        <f ca="1">IF(AND(N2528&lt;&gt;N2527,ISNUMBER(SEARCH(Лист2!$B$6,N:N)),L2528=2),MAX($M$3:OFFSET(M2528,-1,0))+1,0)</f>
        <v>0</v>
      </c>
      <c r="N2528" s="3" t="s">
        <v>602</v>
      </c>
    </row>
    <row r="2529" spans="1:14" x14ac:dyDescent="0.25">
      <c r="A2529" s="1" t="s">
        <v>11581</v>
      </c>
      <c r="B2529" s="3" t="s">
        <v>6153</v>
      </c>
      <c r="C2529" s="2">
        <f ca="1">IF(ISNUMBER(SEARCH(Лист2!$B$4,D:D)),MAX($C$3:OFFSET(C2529,-1,0))+1,0)</f>
        <v>0</v>
      </c>
      <c r="E2529" s="9" t="str">
        <f t="shared" ca="1" si="51"/>
        <v/>
      </c>
      <c r="F2529" s="4" t="s">
        <v>7</v>
      </c>
      <c r="G2529" s="2">
        <f>IF(ISNUMBER(SEARCH(Лист2!$B$4,F:F)),1,0)</f>
        <v>0</v>
      </c>
      <c r="H2529" s="3">
        <f ca="1">IF(AND(I2529&lt;&gt;I2528,ISNUMBER(SEARCH(Лист2!$B$5,I:I)),G2529=1),MAX($H$3:OFFSET(H2529,-1,0))+1,0)</f>
        <v>0</v>
      </c>
      <c r="I2529" s="3" t="s">
        <v>243</v>
      </c>
      <c r="K2529" s="2">
        <f>IF(ISNUMBER(SEARCH(Лист2!$B$4,F:F)),1,0)</f>
        <v>0</v>
      </c>
      <c r="L2529" s="14">
        <f>IF(ISNUMBER(SEARCH(Лист2!$B$5,I:I)),1,0)+K2529</f>
        <v>0</v>
      </c>
      <c r="M2529" s="3">
        <f ca="1">IF(AND(N2529&lt;&gt;N2528,ISNUMBER(SEARCH(Лист2!$B$6,N:N)),L2529=2),MAX($M$3:OFFSET(M2529,-1,0))+1,0)</f>
        <v>0</v>
      </c>
      <c r="N2529" s="3" t="s">
        <v>1839</v>
      </c>
    </row>
    <row r="2530" spans="1:14" x14ac:dyDescent="0.25">
      <c r="A2530" s="1" t="s">
        <v>11582</v>
      </c>
      <c r="B2530" s="3" t="s">
        <v>6154</v>
      </c>
      <c r="C2530" s="2">
        <f ca="1">IF(ISNUMBER(SEARCH(Лист2!$B$4,D:D)),MAX($C$3:OFFSET(C2530,-1,0))+1,0)</f>
        <v>0</v>
      </c>
      <c r="E2530" s="9" t="str">
        <f t="shared" ca="1" si="51"/>
        <v/>
      </c>
      <c r="F2530" s="4" t="s">
        <v>7</v>
      </c>
      <c r="G2530" s="2">
        <f>IF(ISNUMBER(SEARCH(Лист2!$B$4,F:F)),1,0)</f>
        <v>0</v>
      </c>
      <c r="H2530" s="3">
        <f ca="1">IF(AND(I2530&lt;&gt;I2529,ISNUMBER(SEARCH(Лист2!$B$5,I:I)),G2530=1),MAX($H$3:OFFSET(H2530,-1,0))+1,0)</f>
        <v>0</v>
      </c>
      <c r="I2530" s="3" t="s">
        <v>243</v>
      </c>
      <c r="K2530" s="2">
        <f>IF(ISNUMBER(SEARCH(Лист2!$B$4,F:F)),1,0)</f>
        <v>0</v>
      </c>
      <c r="L2530" s="14">
        <f>IF(ISNUMBER(SEARCH(Лист2!$B$5,I:I)),1,0)+K2530</f>
        <v>0</v>
      </c>
      <c r="M2530" s="3">
        <f ca="1">IF(AND(N2530&lt;&gt;N2529,ISNUMBER(SEARCH(Лист2!$B$6,N:N)),L2530=2),MAX($M$3:OFFSET(M2530,-1,0))+1,0)</f>
        <v>0</v>
      </c>
      <c r="N2530" s="3" t="s">
        <v>1840</v>
      </c>
    </row>
    <row r="2531" spans="1:14" x14ac:dyDescent="0.25">
      <c r="A2531" s="1" t="s">
        <v>11583</v>
      </c>
      <c r="B2531" s="3" t="s">
        <v>6155</v>
      </c>
      <c r="C2531" s="2">
        <f ca="1">IF(ISNUMBER(SEARCH(Лист2!$B$4,D:D)),MAX($C$3:OFFSET(C2531,-1,0))+1,0)</f>
        <v>0</v>
      </c>
      <c r="E2531" s="9" t="str">
        <f t="shared" ca="1" si="51"/>
        <v/>
      </c>
      <c r="F2531" s="4" t="s">
        <v>7</v>
      </c>
      <c r="G2531" s="2">
        <f>IF(ISNUMBER(SEARCH(Лист2!$B$4,F:F)),1,0)</f>
        <v>0</v>
      </c>
      <c r="H2531" s="3">
        <f ca="1">IF(AND(I2531&lt;&gt;I2530,ISNUMBER(SEARCH(Лист2!$B$5,I:I)),G2531=1),MAX($H$3:OFFSET(H2531,-1,0))+1,0)</f>
        <v>0</v>
      </c>
      <c r="I2531" s="3" t="s">
        <v>243</v>
      </c>
      <c r="K2531" s="2">
        <f>IF(ISNUMBER(SEARCH(Лист2!$B$4,F:F)),1,0)</f>
        <v>0</v>
      </c>
      <c r="L2531" s="14">
        <f>IF(ISNUMBER(SEARCH(Лист2!$B$5,I:I)),1,0)+K2531</f>
        <v>0</v>
      </c>
      <c r="M2531" s="3">
        <f ca="1">IF(AND(N2531&lt;&gt;N2530,ISNUMBER(SEARCH(Лист2!$B$6,N:N)),L2531=2),MAX($M$3:OFFSET(M2531,-1,0))+1,0)</f>
        <v>0</v>
      </c>
      <c r="N2531" s="3" t="s">
        <v>1841</v>
      </c>
    </row>
    <row r="2532" spans="1:14" x14ac:dyDescent="0.25">
      <c r="A2532" s="1" t="s">
        <v>11584</v>
      </c>
      <c r="B2532" s="3" t="s">
        <v>6156</v>
      </c>
      <c r="C2532" s="2">
        <f ca="1">IF(ISNUMBER(SEARCH(Лист2!$B$4,D:D)),MAX($C$3:OFFSET(C2532,-1,0))+1,0)</f>
        <v>0</v>
      </c>
      <c r="E2532" s="9" t="str">
        <f t="shared" ca="1" si="51"/>
        <v/>
      </c>
      <c r="F2532" s="4" t="s">
        <v>7</v>
      </c>
      <c r="G2532" s="2">
        <f>IF(ISNUMBER(SEARCH(Лист2!$B$4,F:F)),1,0)</f>
        <v>0</v>
      </c>
      <c r="H2532" s="3">
        <f ca="1">IF(AND(I2532&lt;&gt;I2531,ISNUMBER(SEARCH(Лист2!$B$5,I:I)),G2532=1),MAX($H$3:OFFSET(H2532,-1,0))+1,0)</f>
        <v>0</v>
      </c>
      <c r="I2532" s="3" t="s">
        <v>244</v>
      </c>
      <c r="K2532" s="2">
        <f>IF(ISNUMBER(SEARCH(Лист2!$B$4,F:F)),1,0)</f>
        <v>0</v>
      </c>
      <c r="L2532" s="14">
        <f>IF(ISNUMBER(SEARCH(Лист2!$B$5,I:I)),1,0)+K2532</f>
        <v>0</v>
      </c>
      <c r="M2532" s="3">
        <f ca="1">IF(AND(N2532&lt;&gt;N2531,ISNUMBER(SEARCH(Лист2!$B$6,N:N)),L2532=2),MAX($M$3:OFFSET(M2532,-1,0))+1,0)</f>
        <v>0</v>
      </c>
      <c r="N2532" s="3" t="s">
        <v>1842</v>
      </c>
    </row>
    <row r="2533" spans="1:14" x14ac:dyDescent="0.25">
      <c r="A2533" s="1" t="s">
        <v>11585</v>
      </c>
      <c r="B2533" s="3" t="s">
        <v>6157</v>
      </c>
      <c r="C2533" s="2">
        <f ca="1">IF(ISNUMBER(SEARCH(Лист2!$B$4,D:D)),MAX($C$3:OFFSET(C2533,-1,0))+1,0)</f>
        <v>0</v>
      </c>
      <c r="E2533" s="9" t="str">
        <f t="shared" ca="1" si="51"/>
        <v/>
      </c>
      <c r="F2533" s="4" t="s">
        <v>7</v>
      </c>
      <c r="G2533" s="2">
        <f>IF(ISNUMBER(SEARCH(Лист2!$B$4,F:F)),1,0)</f>
        <v>0</v>
      </c>
      <c r="H2533" s="3">
        <f ca="1">IF(AND(I2533&lt;&gt;I2532,ISNUMBER(SEARCH(Лист2!$B$5,I:I)),G2533=1),MAX($H$3:OFFSET(H2533,-1,0))+1,0)</f>
        <v>0</v>
      </c>
      <c r="I2533" s="3" t="s">
        <v>244</v>
      </c>
      <c r="K2533" s="2">
        <f>IF(ISNUMBER(SEARCH(Лист2!$B$4,F:F)),1,0)</f>
        <v>0</v>
      </c>
      <c r="L2533" s="14">
        <f>IF(ISNUMBER(SEARCH(Лист2!$B$5,I:I)),1,0)+K2533</f>
        <v>0</v>
      </c>
      <c r="M2533" s="3">
        <f ca="1">IF(AND(N2533&lt;&gt;N2532,ISNUMBER(SEARCH(Лист2!$B$6,N:N)),L2533=2),MAX($M$3:OFFSET(M2533,-1,0))+1,0)</f>
        <v>0</v>
      </c>
      <c r="N2533" s="3" t="s">
        <v>1843</v>
      </c>
    </row>
    <row r="2534" spans="1:14" x14ac:dyDescent="0.25">
      <c r="A2534" s="1" t="s">
        <v>11586</v>
      </c>
      <c r="B2534" s="3" t="s">
        <v>6158</v>
      </c>
      <c r="C2534" s="2">
        <f ca="1">IF(ISNUMBER(SEARCH(Лист2!$B$4,D:D)),MAX($C$3:OFFSET(C2534,-1,0))+1,0)</f>
        <v>0</v>
      </c>
      <c r="E2534" s="9" t="str">
        <f t="shared" ca="1" si="51"/>
        <v/>
      </c>
      <c r="F2534" s="4" t="s">
        <v>7</v>
      </c>
      <c r="G2534" s="2">
        <f>IF(ISNUMBER(SEARCH(Лист2!$B$4,F:F)),1,0)</f>
        <v>0</v>
      </c>
      <c r="H2534" s="3">
        <f ca="1">IF(AND(I2534&lt;&gt;I2533,ISNUMBER(SEARCH(Лист2!$B$5,I:I)),G2534=1),MAX($H$3:OFFSET(H2534,-1,0))+1,0)</f>
        <v>0</v>
      </c>
      <c r="I2534" s="3" t="s">
        <v>244</v>
      </c>
      <c r="K2534" s="2">
        <f>IF(ISNUMBER(SEARCH(Лист2!$B$4,F:F)),1,0)</f>
        <v>0</v>
      </c>
      <c r="L2534" s="14">
        <f>IF(ISNUMBER(SEARCH(Лист2!$B$5,I:I)),1,0)+K2534</f>
        <v>0</v>
      </c>
      <c r="M2534" s="3">
        <f ca="1">IF(AND(N2534&lt;&gt;N2533,ISNUMBER(SEARCH(Лист2!$B$6,N:N)),L2534=2),MAX($M$3:OFFSET(M2534,-1,0))+1,0)</f>
        <v>0</v>
      </c>
      <c r="N2534" s="3" t="s">
        <v>1678</v>
      </c>
    </row>
    <row r="2535" spans="1:14" x14ac:dyDescent="0.25">
      <c r="A2535" s="1" t="s">
        <v>11587</v>
      </c>
      <c r="B2535" s="3" t="s">
        <v>6159</v>
      </c>
      <c r="C2535" s="2">
        <f ca="1">IF(ISNUMBER(SEARCH(Лист2!$B$4,D:D)),MAX($C$3:OFFSET(C2535,-1,0))+1,0)</f>
        <v>0</v>
      </c>
      <c r="E2535" s="9" t="str">
        <f t="shared" ca="1" si="51"/>
        <v/>
      </c>
      <c r="F2535" s="4" t="s">
        <v>7</v>
      </c>
      <c r="G2535" s="2">
        <f>IF(ISNUMBER(SEARCH(Лист2!$B$4,F:F)),1,0)</f>
        <v>0</v>
      </c>
      <c r="H2535" s="3">
        <f ca="1">IF(AND(I2535&lt;&gt;I2534,ISNUMBER(SEARCH(Лист2!$B$5,I:I)),G2535=1),MAX($H$3:OFFSET(H2535,-1,0))+1,0)</f>
        <v>0</v>
      </c>
      <c r="I2535" s="3" t="s">
        <v>244</v>
      </c>
      <c r="K2535" s="2">
        <f>IF(ISNUMBER(SEARCH(Лист2!$B$4,F:F)),1,0)</f>
        <v>0</v>
      </c>
      <c r="L2535" s="14">
        <f>IF(ISNUMBER(SEARCH(Лист2!$B$5,I:I)),1,0)+K2535</f>
        <v>0</v>
      </c>
      <c r="M2535" s="3">
        <f ca="1">IF(AND(N2535&lt;&gt;N2534,ISNUMBER(SEARCH(Лист2!$B$6,N:N)),L2535=2),MAX($M$3:OFFSET(M2535,-1,0))+1,0)</f>
        <v>0</v>
      </c>
      <c r="N2535" s="3" t="s">
        <v>1620</v>
      </c>
    </row>
    <row r="2536" spans="1:14" x14ac:dyDescent="0.25">
      <c r="A2536" s="1" t="s">
        <v>11588</v>
      </c>
      <c r="B2536" s="3" t="s">
        <v>6160</v>
      </c>
      <c r="C2536" s="2">
        <f ca="1">IF(ISNUMBER(SEARCH(Лист2!$B$4,D:D)),MAX($C$3:OFFSET(C2536,-1,0))+1,0)</f>
        <v>0</v>
      </c>
      <c r="E2536" s="9" t="str">
        <f t="shared" ca="1" si="51"/>
        <v/>
      </c>
      <c r="F2536" s="4" t="s">
        <v>7</v>
      </c>
      <c r="G2536" s="2">
        <f>IF(ISNUMBER(SEARCH(Лист2!$B$4,F:F)),1,0)</f>
        <v>0</v>
      </c>
      <c r="H2536" s="3">
        <f ca="1">IF(AND(I2536&lt;&gt;I2535,ISNUMBER(SEARCH(Лист2!$B$5,I:I)),G2536=1),MAX($H$3:OFFSET(H2536,-1,0))+1,0)</f>
        <v>0</v>
      </c>
      <c r="I2536" s="3" t="s">
        <v>244</v>
      </c>
      <c r="K2536" s="2">
        <f>IF(ISNUMBER(SEARCH(Лист2!$B$4,F:F)),1,0)</f>
        <v>0</v>
      </c>
      <c r="L2536" s="14">
        <f>IF(ISNUMBER(SEARCH(Лист2!$B$5,I:I)),1,0)+K2536</f>
        <v>0</v>
      </c>
      <c r="M2536" s="3">
        <f ca="1">IF(AND(N2536&lt;&gt;N2535,ISNUMBER(SEARCH(Лист2!$B$6,N:N)),L2536=2),MAX($M$3:OFFSET(M2536,-1,0))+1,0)</f>
        <v>0</v>
      </c>
      <c r="N2536" s="3" t="s">
        <v>1621</v>
      </c>
    </row>
    <row r="2537" spans="1:14" x14ac:dyDescent="0.25">
      <c r="A2537" s="1" t="s">
        <v>11589</v>
      </c>
      <c r="B2537" s="3" t="s">
        <v>6161</v>
      </c>
      <c r="C2537" s="2">
        <f ca="1">IF(ISNUMBER(SEARCH(Лист2!$B$4,D:D)),MAX($C$3:OFFSET(C2537,-1,0))+1,0)</f>
        <v>0</v>
      </c>
      <c r="E2537" s="9" t="str">
        <f t="shared" ca="1" si="51"/>
        <v/>
      </c>
      <c r="F2537" s="4" t="s">
        <v>7</v>
      </c>
      <c r="G2537" s="2">
        <f>IF(ISNUMBER(SEARCH(Лист2!$B$4,F:F)),1,0)</f>
        <v>0</v>
      </c>
      <c r="H2537" s="3">
        <f ca="1">IF(AND(I2537&lt;&gt;I2536,ISNUMBER(SEARCH(Лист2!$B$5,I:I)),G2537=1),MAX($H$3:OFFSET(H2537,-1,0))+1,0)</f>
        <v>0</v>
      </c>
      <c r="I2537" s="3" t="s">
        <v>244</v>
      </c>
      <c r="K2537" s="2">
        <f>IF(ISNUMBER(SEARCH(Лист2!$B$4,F:F)),1,0)</f>
        <v>0</v>
      </c>
      <c r="L2537" s="14">
        <f>IF(ISNUMBER(SEARCH(Лист2!$B$5,I:I)),1,0)+K2537</f>
        <v>0</v>
      </c>
      <c r="M2537" s="3">
        <f ca="1">IF(AND(N2537&lt;&gt;N2536,ISNUMBER(SEARCH(Лист2!$B$6,N:N)),L2537=2),MAX($M$3:OFFSET(M2537,-1,0))+1,0)</f>
        <v>0</v>
      </c>
      <c r="N2537" s="3" t="s">
        <v>602</v>
      </c>
    </row>
    <row r="2538" spans="1:14" x14ac:dyDescent="0.25">
      <c r="A2538" s="1" t="s">
        <v>11590</v>
      </c>
      <c r="B2538" s="3" t="s">
        <v>6162</v>
      </c>
      <c r="C2538" s="2">
        <f ca="1">IF(ISNUMBER(SEARCH(Лист2!$B$4,D:D)),MAX($C$3:OFFSET(C2538,-1,0))+1,0)</f>
        <v>0</v>
      </c>
      <c r="E2538" s="9" t="str">
        <f t="shared" ca="1" si="51"/>
        <v/>
      </c>
      <c r="F2538" s="4" t="s">
        <v>7</v>
      </c>
      <c r="G2538" s="2">
        <f>IF(ISNUMBER(SEARCH(Лист2!$B$4,F:F)),1,0)</f>
        <v>0</v>
      </c>
      <c r="H2538" s="3">
        <f ca="1">IF(AND(I2538&lt;&gt;I2537,ISNUMBER(SEARCH(Лист2!$B$5,I:I)),G2538=1),MAX($H$3:OFFSET(H2538,-1,0))+1,0)</f>
        <v>0</v>
      </c>
      <c r="I2538" s="3" t="s">
        <v>244</v>
      </c>
      <c r="K2538" s="2">
        <f>IF(ISNUMBER(SEARCH(Лист2!$B$4,F:F)),1,0)</f>
        <v>0</v>
      </c>
      <c r="L2538" s="14">
        <f>IF(ISNUMBER(SEARCH(Лист2!$B$5,I:I)),1,0)+K2538</f>
        <v>0</v>
      </c>
      <c r="M2538" s="3">
        <f ca="1">IF(AND(N2538&lt;&gt;N2537,ISNUMBER(SEARCH(Лист2!$B$6,N:N)),L2538=2),MAX($M$3:OFFSET(M2538,-1,0))+1,0)</f>
        <v>0</v>
      </c>
      <c r="N2538" s="3" t="s">
        <v>1844</v>
      </c>
    </row>
    <row r="2539" spans="1:14" x14ac:dyDescent="0.25">
      <c r="A2539" s="1" t="s">
        <v>11591</v>
      </c>
      <c r="B2539" s="3" t="s">
        <v>6163</v>
      </c>
      <c r="C2539" s="2">
        <f ca="1">IF(ISNUMBER(SEARCH(Лист2!$B$4,D:D)),MAX($C$3:OFFSET(C2539,-1,0))+1,0)</f>
        <v>0</v>
      </c>
      <c r="E2539" s="9" t="str">
        <f t="shared" ca="1" si="51"/>
        <v/>
      </c>
      <c r="F2539" s="4" t="s">
        <v>7</v>
      </c>
      <c r="G2539" s="2">
        <f>IF(ISNUMBER(SEARCH(Лист2!$B$4,F:F)),1,0)</f>
        <v>0</v>
      </c>
      <c r="H2539" s="3">
        <f ca="1">IF(AND(I2539&lt;&gt;I2538,ISNUMBER(SEARCH(Лист2!$B$5,I:I)),G2539=1),MAX($H$3:OFFSET(H2539,-1,0))+1,0)</f>
        <v>0</v>
      </c>
      <c r="I2539" s="3" t="s">
        <v>244</v>
      </c>
      <c r="K2539" s="2">
        <f>IF(ISNUMBER(SEARCH(Лист2!$B$4,F:F)),1,0)</f>
        <v>0</v>
      </c>
      <c r="L2539" s="14">
        <f>IF(ISNUMBER(SEARCH(Лист2!$B$5,I:I)),1,0)+K2539</f>
        <v>0</v>
      </c>
      <c r="M2539" s="3">
        <f ca="1">IF(AND(N2539&lt;&gt;N2538,ISNUMBER(SEARCH(Лист2!$B$6,N:N)),L2539=2),MAX($M$3:OFFSET(M2539,-1,0))+1,0)</f>
        <v>0</v>
      </c>
      <c r="N2539" s="3" t="s">
        <v>1845</v>
      </c>
    </row>
    <row r="2540" spans="1:14" x14ac:dyDescent="0.25">
      <c r="A2540" s="1" t="s">
        <v>11592</v>
      </c>
      <c r="B2540" s="3" t="s">
        <v>6164</v>
      </c>
      <c r="C2540" s="2">
        <f ca="1">IF(ISNUMBER(SEARCH(Лист2!$B$4,D:D)),MAX($C$3:OFFSET(C2540,-1,0))+1,0)</f>
        <v>0</v>
      </c>
      <c r="E2540" s="9" t="str">
        <f t="shared" ca="1" si="51"/>
        <v/>
      </c>
      <c r="F2540" s="4" t="s">
        <v>7</v>
      </c>
      <c r="G2540" s="2">
        <f>IF(ISNUMBER(SEARCH(Лист2!$B$4,F:F)),1,0)</f>
        <v>0</v>
      </c>
      <c r="H2540" s="3">
        <f ca="1">IF(AND(I2540&lt;&gt;I2539,ISNUMBER(SEARCH(Лист2!$B$5,I:I)),G2540=1),MAX($H$3:OFFSET(H2540,-1,0))+1,0)</f>
        <v>0</v>
      </c>
      <c r="I2540" s="3" t="s">
        <v>244</v>
      </c>
      <c r="K2540" s="2">
        <f>IF(ISNUMBER(SEARCH(Лист2!$B$4,F:F)),1,0)</f>
        <v>0</v>
      </c>
      <c r="L2540" s="14">
        <f>IF(ISNUMBER(SEARCH(Лист2!$B$5,I:I)),1,0)+K2540</f>
        <v>0</v>
      </c>
      <c r="M2540" s="3">
        <f ca="1">IF(AND(N2540&lt;&gt;N2539,ISNUMBER(SEARCH(Лист2!$B$6,N:N)),L2540=2),MAX($M$3:OFFSET(M2540,-1,0))+1,0)</f>
        <v>0</v>
      </c>
      <c r="N2540" s="3" t="s">
        <v>1846</v>
      </c>
    </row>
    <row r="2541" spans="1:14" x14ac:dyDescent="0.25">
      <c r="A2541" s="1" t="s">
        <v>11628</v>
      </c>
      <c r="B2541" s="3" t="s">
        <v>6165</v>
      </c>
      <c r="C2541" s="2">
        <f ca="1">IF(ISNUMBER(SEARCH(Лист2!$B$4,D:D)),MAX($C$3:OFFSET(C2541,-1,0))+1,0)</f>
        <v>0</v>
      </c>
      <c r="E2541" s="9" t="str">
        <f t="shared" ca="1" si="51"/>
        <v/>
      </c>
      <c r="F2541" s="4" t="s">
        <v>7</v>
      </c>
      <c r="G2541" s="2">
        <f>IF(ISNUMBER(SEARCH(Лист2!$B$4,F:F)),1,0)</f>
        <v>0</v>
      </c>
      <c r="H2541" s="3">
        <f ca="1">IF(AND(I2541&lt;&gt;I2540,ISNUMBER(SEARCH(Лист2!$B$5,I:I)),G2541=1),MAX($H$3:OFFSET(H2541,-1,0))+1,0)</f>
        <v>0</v>
      </c>
      <c r="I2541" s="3" t="s">
        <v>247</v>
      </c>
      <c r="K2541" s="2">
        <f>IF(ISNUMBER(SEARCH(Лист2!$B$4,F:F)),1,0)</f>
        <v>0</v>
      </c>
      <c r="L2541" s="14">
        <f>IF(ISNUMBER(SEARCH(Лист2!$B$5,I:I)),1,0)+K2541</f>
        <v>0</v>
      </c>
      <c r="M2541" s="3">
        <f ca="1">IF(AND(N2541&lt;&gt;N2540,ISNUMBER(SEARCH(Лист2!$B$6,N:N)),L2541=2),MAX($M$3:OFFSET(M2541,-1,0))+1,0)</f>
        <v>0</v>
      </c>
      <c r="N2541" s="3" t="s">
        <v>1870</v>
      </c>
    </row>
    <row r="2542" spans="1:14" x14ac:dyDescent="0.25">
      <c r="A2542" s="1" t="s">
        <v>11629</v>
      </c>
      <c r="B2542" s="3" t="s">
        <v>6166</v>
      </c>
      <c r="C2542" s="2">
        <f ca="1">IF(ISNUMBER(SEARCH(Лист2!$B$4,D:D)),MAX($C$3:OFFSET(C2542,-1,0))+1,0)</f>
        <v>0</v>
      </c>
      <c r="E2542" s="9" t="str">
        <f t="shared" ca="1" si="51"/>
        <v/>
      </c>
      <c r="F2542" s="4" t="s">
        <v>7</v>
      </c>
      <c r="G2542" s="2">
        <f>IF(ISNUMBER(SEARCH(Лист2!$B$4,F:F)),1,0)</f>
        <v>0</v>
      </c>
      <c r="H2542" s="3">
        <f ca="1">IF(AND(I2542&lt;&gt;I2541,ISNUMBER(SEARCH(Лист2!$B$5,I:I)),G2542=1),MAX($H$3:OFFSET(H2542,-1,0))+1,0)</f>
        <v>0</v>
      </c>
      <c r="I2542" s="3" t="s">
        <v>247</v>
      </c>
      <c r="K2542" s="2">
        <f>IF(ISNUMBER(SEARCH(Лист2!$B$4,F:F)),1,0)</f>
        <v>0</v>
      </c>
      <c r="L2542" s="14">
        <f>IF(ISNUMBER(SEARCH(Лист2!$B$5,I:I)),1,0)+K2542</f>
        <v>0</v>
      </c>
      <c r="M2542" s="3">
        <f ca="1">IF(AND(N2542&lt;&gt;N2541,ISNUMBER(SEARCH(Лист2!$B$6,N:N)),L2542=2),MAX($M$3:OFFSET(M2542,-1,0))+1,0)</f>
        <v>0</v>
      </c>
      <c r="N2542" s="3" t="s">
        <v>1871</v>
      </c>
    </row>
    <row r="2543" spans="1:14" x14ac:dyDescent="0.25">
      <c r="A2543" s="1" t="s">
        <v>11630</v>
      </c>
      <c r="B2543" s="3" t="s">
        <v>6167</v>
      </c>
      <c r="C2543" s="2">
        <f ca="1">IF(ISNUMBER(SEARCH(Лист2!$B$4,D:D)),MAX($C$3:OFFSET(C2543,-1,0))+1,0)</f>
        <v>0</v>
      </c>
      <c r="E2543" s="9" t="str">
        <f t="shared" ca="1" si="51"/>
        <v/>
      </c>
      <c r="F2543" s="4" t="s">
        <v>7</v>
      </c>
      <c r="G2543" s="2">
        <f>IF(ISNUMBER(SEARCH(Лист2!$B$4,F:F)),1,0)</f>
        <v>0</v>
      </c>
      <c r="H2543" s="3">
        <f ca="1">IF(AND(I2543&lt;&gt;I2542,ISNUMBER(SEARCH(Лист2!$B$5,I:I)),G2543=1),MAX($H$3:OFFSET(H2543,-1,0))+1,0)</f>
        <v>0</v>
      </c>
      <c r="I2543" s="3" t="s">
        <v>247</v>
      </c>
      <c r="K2543" s="2">
        <f>IF(ISNUMBER(SEARCH(Лист2!$B$4,F:F)),1,0)</f>
        <v>0</v>
      </c>
      <c r="L2543" s="14">
        <f>IF(ISNUMBER(SEARCH(Лист2!$B$5,I:I)),1,0)+K2543</f>
        <v>0</v>
      </c>
      <c r="M2543" s="3">
        <f ca="1">IF(AND(N2543&lt;&gt;N2542,ISNUMBER(SEARCH(Лист2!$B$6,N:N)),L2543=2),MAX($M$3:OFFSET(M2543,-1,0))+1,0)</f>
        <v>0</v>
      </c>
      <c r="N2543" s="3" t="s">
        <v>1678</v>
      </c>
    </row>
    <row r="2544" spans="1:14" x14ac:dyDescent="0.25">
      <c r="A2544" s="1" t="s">
        <v>11631</v>
      </c>
      <c r="B2544" s="3" t="s">
        <v>6168</v>
      </c>
      <c r="C2544" s="2">
        <f ca="1">IF(ISNUMBER(SEARCH(Лист2!$B$4,D:D)),MAX($C$3:OFFSET(C2544,-1,0))+1,0)</f>
        <v>0</v>
      </c>
      <c r="E2544" s="9" t="str">
        <f t="shared" ca="1" si="51"/>
        <v/>
      </c>
      <c r="F2544" s="4" t="s">
        <v>7</v>
      </c>
      <c r="G2544" s="2">
        <f>IF(ISNUMBER(SEARCH(Лист2!$B$4,F:F)),1,0)</f>
        <v>0</v>
      </c>
      <c r="H2544" s="3">
        <f ca="1">IF(AND(I2544&lt;&gt;I2543,ISNUMBER(SEARCH(Лист2!$B$5,I:I)),G2544=1),MAX($H$3:OFFSET(H2544,-1,0))+1,0)</f>
        <v>0</v>
      </c>
      <c r="I2544" s="3" t="s">
        <v>247</v>
      </c>
      <c r="K2544" s="2">
        <f>IF(ISNUMBER(SEARCH(Лист2!$B$4,F:F)),1,0)</f>
        <v>0</v>
      </c>
      <c r="L2544" s="14">
        <f>IF(ISNUMBER(SEARCH(Лист2!$B$5,I:I)),1,0)+K2544</f>
        <v>0</v>
      </c>
      <c r="M2544" s="3">
        <f ca="1">IF(AND(N2544&lt;&gt;N2543,ISNUMBER(SEARCH(Лист2!$B$6,N:N)),L2544=2),MAX($M$3:OFFSET(M2544,-1,0))+1,0)</f>
        <v>0</v>
      </c>
      <c r="N2544" s="3" t="s">
        <v>1620</v>
      </c>
    </row>
    <row r="2545" spans="1:14" x14ac:dyDescent="0.25">
      <c r="A2545" s="1" t="s">
        <v>11632</v>
      </c>
      <c r="B2545" s="3" t="s">
        <v>6169</v>
      </c>
      <c r="C2545" s="2">
        <f ca="1">IF(ISNUMBER(SEARCH(Лист2!$B$4,D:D)),MAX($C$3:OFFSET(C2545,-1,0))+1,0)</f>
        <v>0</v>
      </c>
      <c r="E2545" s="9" t="str">
        <f t="shared" ca="1" si="51"/>
        <v/>
      </c>
      <c r="F2545" s="4" t="s">
        <v>7</v>
      </c>
      <c r="G2545" s="2">
        <f>IF(ISNUMBER(SEARCH(Лист2!$B$4,F:F)),1,0)</f>
        <v>0</v>
      </c>
      <c r="H2545" s="3">
        <f ca="1">IF(AND(I2545&lt;&gt;I2544,ISNUMBER(SEARCH(Лист2!$B$5,I:I)),G2545=1),MAX($H$3:OFFSET(H2545,-1,0))+1,0)</f>
        <v>0</v>
      </c>
      <c r="I2545" s="3" t="s">
        <v>247</v>
      </c>
      <c r="K2545" s="2">
        <f>IF(ISNUMBER(SEARCH(Лист2!$B$4,F:F)),1,0)</f>
        <v>0</v>
      </c>
      <c r="L2545" s="14">
        <f>IF(ISNUMBER(SEARCH(Лист2!$B$5,I:I)),1,0)+K2545</f>
        <v>0</v>
      </c>
      <c r="M2545" s="3">
        <f ca="1">IF(AND(N2545&lt;&gt;N2544,ISNUMBER(SEARCH(Лист2!$B$6,N:N)),L2545=2),MAX($M$3:OFFSET(M2545,-1,0))+1,0)</f>
        <v>0</v>
      </c>
      <c r="N2545" s="3" t="s">
        <v>1634</v>
      </c>
    </row>
    <row r="2546" spans="1:14" x14ac:dyDescent="0.25">
      <c r="A2546" s="1" t="s">
        <v>11633</v>
      </c>
      <c r="B2546" s="3" t="s">
        <v>6170</v>
      </c>
      <c r="C2546" s="2">
        <f ca="1">IF(ISNUMBER(SEARCH(Лист2!$B$4,D:D)),MAX($C$3:OFFSET(C2546,-1,0))+1,0)</f>
        <v>0</v>
      </c>
      <c r="E2546" s="9" t="str">
        <f t="shared" ca="1" si="51"/>
        <v/>
      </c>
      <c r="F2546" s="4" t="s">
        <v>7</v>
      </c>
      <c r="G2546" s="2">
        <f>IF(ISNUMBER(SEARCH(Лист2!$B$4,F:F)),1,0)</f>
        <v>0</v>
      </c>
      <c r="H2546" s="3">
        <f ca="1">IF(AND(I2546&lt;&gt;I2545,ISNUMBER(SEARCH(Лист2!$B$5,I:I)),G2546=1),MAX($H$3:OFFSET(H2546,-1,0))+1,0)</f>
        <v>0</v>
      </c>
      <c r="I2546" s="3" t="s">
        <v>247</v>
      </c>
      <c r="K2546" s="2">
        <f>IF(ISNUMBER(SEARCH(Лист2!$B$4,F:F)),1,0)</f>
        <v>0</v>
      </c>
      <c r="L2546" s="14">
        <f>IF(ISNUMBER(SEARCH(Лист2!$B$5,I:I)),1,0)+K2546</f>
        <v>0</v>
      </c>
      <c r="M2546" s="3">
        <f ca="1">IF(AND(N2546&lt;&gt;N2545,ISNUMBER(SEARCH(Лист2!$B$6,N:N)),L2546=2),MAX($M$3:OFFSET(M2546,-1,0))+1,0)</f>
        <v>0</v>
      </c>
      <c r="N2546" s="3" t="s">
        <v>1621</v>
      </c>
    </row>
    <row r="2547" spans="1:14" x14ac:dyDescent="0.25">
      <c r="A2547" s="1" t="s">
        <v>11634</v>
      </c>
      <c r="B2547" s="3" t="s">
        <v>6171</v>
      </c>
      <c r="C2547" s="2">
        <f ca="1">IF(ISNUMBER(SEARCH(Лист2!$B$4,D:D)),MAX($C$3:OFFSET(C2547,-1,0))+1,0)</f>
        <v>0</v>
      </c>
      <c r="E2547" s="9" t="str">
        <f t="shared" ca="1" si="51"/>
        <v/>
      </c>
      <c r="F2547" s="4" t="s">
        <v>7</v>
      </c>
      <c r="G2547" s="2">
        <f>IF(ISNUMBER(SEARCH(Лист2!$B$4,F:F)),1,0)</f>
        <v>0</v>
      </c>
      <c r="H2547" s="3">
        <f ca="1">IF(AND(I2547&lt;&gt;I2546,ISNUMBER(SEARCH(Лист2!$B$5,I:I)),G2547=1),MAX($H$3:OFFSET(H2547,-1,0))+1,0)</f>
        <v>0</v>
      </c>
      <c r="I2547" s="3" t="s">
        <v>247</v>
      </c>
      <c r="K2547" s="2">
        <f>IF(ISNUMBER(SEARCH(Лист2!$B$4,F:F)),1,0)</f>
        <v>0</v>
      </c>
      <c r="L2547" s="14">
        <f>IF(ISNUMBER(SEARCH(Лист2!$B$5,I:I)),1,0)+K2547</f>
        <v>0</v>
      </c>
      <c r="M2547" s="3">
        <f ca="1">IF(AND(N2547&lt;&gt;N2546,ISNUMBER(SEARCH(Лист2!$B$6,N:N)),L2547=2),MAX($M$3:OFFSET(M2547,-1,0))+1,0)</f>
        <v>0</v>
      </c>
      <c r="N2547" s="3" t="s">
        <v>602</v>
      </c>
    </row>
    <row r="2548" spans="1:14" x14ac:dyDescent="0.25">
      <c r="A2548" s="1" t="s">
        <v>11635</v>
      </c>
      <c r="B2548" s="3" t="s">
        <v>6172</v>
      </c>
      <c r="C2548" s="2">
        <f ca="1">IF(ISNUMBER(SEARCH(Лист2!$B$4,D:D)),MAX($C$3:OFFSET(C2548,-1,0))+1,0)</f>
        <v>0</v>
      </c>
      <c r="E2548" s="9" t="str">
        <f t="shared" ca="1" si="51"/>
        <v/>
      </c>
      <c r="F2548" s="4" t="s">
        <v>7</v>
      </c>
      <c r="G2548" s="2">
        <f>IF(ISNUMBER(SEARCH(Лист2!$B$4,F:F)),1,0)</f>
        <v>0</v>
      </c>
      <c r="H2548" s="3">
        <f ca="1">IF(AND(I2548&lt;&gt;I2547,ISNUMBER(SEARCH(Лист2!$B$5,I:I)),G2548=1),MAX($H$3:OFFSET(H2548,-1,0))+1,0)</f>
        <v>0</v>
      </c>
      <c r="I2548" s="3" t="s">
        <v>247</v>
      </c>
      <c r="K2548" s="2">
        <f>IF(ISNUMBER(SEARCH(Лист2!$B$4,F:F)),1,0)</f>
        <v>0</v>
      </c>
      <c r="L2548" s="14">
        <f>IF(ISNUMBER(SEARCH(Лист2!$B$5,I:I)),1,0)+K2548</f>
        <v>0</v>
      </c>
      <c r="M2548" s="3">
        <f ca="1">IF(AND(N2548&lt;&gt;N2547,ISNUMBER(SEARCH(Лист2!$B$6,N:N)),L2548=2),MAX($M$3:OFFSET(M2548,-1,0))+1,0)</f>
        <v>0</v>
      </c>
      <c r="N2548" s="3" t="s">
        <v>1872</v>
      </c>
    </row>
    <row r="2549" spans="1:14" x14ac:dyDescent="0.25">
      <c r="A2549" s="1" t="s">
        <v>11636</v>
      </c>
      <c r="B2549" s="3" t="s">
        <v>6173</v>
      </c>
      <c r="C2549" s="2">
        <f ca="1">IF(ISNUMBER(SEARCH(Лист2!$B$4,D:D)),MAX($C$3:OFFSET(C2549,-1,0))+1,0)</f>
        <v>0</v>
      </c>
      <c r="E2549" s="9" t="str">
        <f t="shared" ca="1" si="51"/>
        <v/>
      </c>
      <c r="F2549" s="4" t="s">
        <v>7</v>
      </c>
      <c r="G2549" s="2">
        <f>IF(ISNUMBER(SEARCH(Лист2!$B$4,F:F)),1,0)</f>
        <v>0</v>
      </c>
      <c r="H2549" s="3">
        <f ca="1">IF(AND(I2549&lt;&gt;I2548,ISNUMBER(SEARCH(Лист2!$B$5,I:I)),G2549=1),MAX($H$3:OFFSET(H2549,-1,0))+1,0)</f>
        <v>0</v>
      </c>
      <c r="I2549" s="3" t="s">
        <v>247</v>
      </c>
      <c r="K2549" s="2">
        <f>IF(ISNUMBER(SEARCH(Лист2!$B$4,F:F)),1,0)</f>
        <v>0</v>
      </c>
      <c r="L2549" s="14">
        <f>IF(ISNUMBER(SEARCH(Лист2!$B$5,I:I)),1,0)+K2549</f>
        <v>0</v>
      </c>
      <c r="M2549" s="3">
        <f ca="1">IF(AND(N2549&lt;&gt;N2548,ISNUMBER(SEARCH(Лист2!$B$6,N:N)),L2549=2),MAX($M$3:OFFSET(M2549,-1,0))+1,0)</f>
        <v>0</v>
      </c>
      <c r="N2549" s="3" t="s">
        <v>1873</v>
      </c>
    </row>
    <row r="2550" spans="1:14" x14ac:dyDescent="0.25">
      <c r="A2550" s="1" t="s">
        <v>11637</v>
      </c>
      <c r="B2550" s="3" t="s">
        <v>6174</v>
      </c>
      <c r="C2550" s="2">
        <f ca="1">IF(ISNUMBER(SEARCH(Лист2!$B$4,D:D)),MAX($C$3:OFFSET(C2550,-1,0))+1,0)</f>
        <v>0</v>
      </c>
      <c r="E2550" s="9" t="str">
        <f t="shared" ca="1" si="51"/>
        <v/>
      </c>
      <c r="F2550" s="4" t="s">
        <v>7</v>
      </c>
      <c r="G2550" s="2">
        <f>IF(ISNUMBER(SEARCH(Лист2!$B$4,F:F)),1,0)</f>
        <v>0</v>
      </c>
      <c r="H2550" s="3">
        <f ca="1">IF(AND(I2550&lt;&gt;I2549,ISNUMBER(SEARCH(Лист2!$B$5,I:I)),G2550=1),MAX($H$3:OFFSET(H2550,-1,0))+1,0)</f>
        <v>0</v>
      </c>
      <c r="I2550" s="3" t="s">
        <v>247</v>
      </c>
      <c r="K2550" s="2">
        <f>IF(ISNUMBER(SEARCH(Лист2!$B$4,F:F)),1,0)</f>
        <v>0</v>
      </c>
      <c r="L2550" s="14">
        <f>IF(ISNUMBER(SEARCH(Лист2!$B$5,I:I)),1,0)+K2550</f>
        <v>0</v>
      </c>
      <c r="M2550" s="3">
        <f ca="1">IF(AND(N2550&lt;&gt;N2549,ISNUMBER(SEARCH(Лист2!$B$6,N:N)),L2550=2),MAX($M$3:OFFSET(M2550,-1,0))+1,0)</f>
        <v>0</v>
      </c>
      <c r="N2550" s="3" t="s">
        <v>1874</v>
      </c>
    </row>
    <row r="2551" spans="1:14" x14ac:dyDescent="0.25">
      <c r="A2551" s="1" t="s">
        <v>11427</v>
      </c>
      <c r="B2551" s="3" t="s">
        <v>6175</v>
      </c>
      <c r="C2551" s="2">
        <f ca="1">IF(ISNUMBER(SEARCH(Лист2!$B$4,D:D)),MAX($C$3:OFFSET(C2551,-1,0))+1,0)</f>
        <v>0</v>
      </c>
      <c r="E2551" s="9" t="str">
        <f t="shared" ca="1" si="51"/>
        <v/>
      </c>
      <c r="F2551" s="4" t="s">
        <v>7</v>
      </c>
      <c r="G2551" s="2">
        <f>IF(ISNUMBER(SEARCH(Лист2!$B$4,F:F)),1,0)</f>
        <v>0</v>
      </c>
      <c r="H2551" s="3">
        <f ca="1">IF(AND(I2551&lt;&gt;I2550,ISNUMBER(SEARCH(Лист2!$B$5,I:I)),G2551=1),MAX($H$3:OFFSET(H2551,-1,0))+1,0)</f>
        <v>0</v>
      </c>
      <c r="I2551" s="3" t="s">
        <v>235</v>
      </c>
      <c r="K2551" s="2">
        <f>IF(ISNUMBER(SEARCH(Лист2!$B$4,F:F)),1,0)</f>
        <v>0</v>
      </c>
      <c r="L2551" s="14">
        <f>IF(ISNUMBER(SEARCH(Лист2!$B$5,I:I)),1,0)+K2551</f>
        <v>0</v>
      </c>
      <c r="M2551" s="3">
        <f ca="1">IF(AND(N2551&lt;&gt;N2550,ISNUMBER(SEARCH(Лист2!$B$6,N:N)),L2551=2),MAX($M$3:OFFSET(M2551,-1,0))+1,0)</f>
        <v>0</v>
      </c>
      <c r="N2551" s="3" t="s">
        <v>1729</v>
      </c>
    </row>
    <row r="2552" spans="1:14" x14ac:dyDescent="0.25">
      <c r="A2552" s="1" t="s">
        <v>11428</v>
      </c>
      <c r="B2552" s="3" t="s">
        <v>6176</v>
      </c>
      <c r="C2552" s="2">
        <f ca="1">IF(ISNUMBER(SEARCH(Лист2!$B$4,D:D)),MAX($C$3:OFFSET(C2552,-1,0))+1,0)</f>
        <v>0</v>
      </c>
      <c r="E2552" s="9" t="str">
        <f t="shared" ca="1" si="51"/>
        <v/>
      </c>
      <c r="F2552" s="4" t="s">
        <v>7</v>
      </c>
      <c r="G2552" s="2">
        <f>IF(ISNUMBER(SEARCH(Лист2!$B$4,F:F)),1,0)</f>
        <v>0</v>
      </c>
      <c r="H2552" s="3">
        <f ca="1">IF(AND(I2552&lt;&gt;I2551,ISNUMBER(SEARCH(Лист2!$B$5,I:I)),G2552=1),MAX($H$3:OFFSET(H2552,-1,0))+1,0)</f>
        <v>0</v>
      </c>
      <c r="I2552" s="3" t="s">
        <v>235</v>
      </c>
      <c r="K2552" s="2">
        <f>IF(ISNUMBER(SEARCH(Лист2!$B$4,F:F)),1,0)</f>
        <v>0</v>
      </c>
      <c r="L2552" s="14">
        <f>IF(ISNUMBER(SEARCH(Лист2!$B$5,I:I)),1,0)+K2552</f>
        <v>0</v>
      </c>
      <c r="M2552" s="3">
        <f ca="1">IF(AND(N2552&lt;&gt;N2551,ISNUMBER(SEARCH(Лист2!$B$6,N:N)),L2552=2),MAX($M$3:OFFSET(M2552,-1,0))+1,0)</f>
        <v>0</v>
      </c>
      <c r="N2552" s="3" t="s">
        <v>1730</v>
      </c>
    </row>
    <row r="2553" spans="1:14" x14ac:dyDescent="0.25">
      <c r="A2553" s="1" t="s">
        <v>11430</v>
      </c>
      <c r="B2553" s="3" t="s">
        <v>6177</v>
      </c>
      <c r="C2553" s="2">
        <f ca="1">IF(ISNUMBER(SEARCH(Лист2!$B$4,D:D)),MAX($C$3:OFFSET(C2553,-1,0))+1,0)</f>
        <v>0</v>
      </c>
      <c r="E2553" s="9" t="str">
        <f t="shared" ca="1" si="51"/>
        <v/>
      </c>
      <c r="F2553" s="4" t="s">
        <v>7</v>
      </c>
      <c r="G2553" s="2">
        <f>IF(ISNUMBER(SEARCH(Лист2!$B$4,F:F)),1,0)</f>
        <v>0</v>
      </c>
      <c r="H2553" s="3">
        <f ca="1">IF(AND(I2553&lt;&gt;I2552,ISNUMBER(SEARCH(Лист2!$B$5,I:I)),G2553=1),MAX($H$3:OFFSET(H2553,-1,0))+1,0)</f>
        <v>0</v>
      </c>
      <c r="I2553" s="3" t="s">
        <v>235</v>
      </c>
      <c r="K2553" s="2">
        <f>IF(ISNUMBER(SEARCH(Лист2!$B$4,F:F)),1,0)</f>
        <v>0</v>
      </c>
      <c r="L2553" s="14">
        <f>IF(ISNUMBER(SEARCH(Лист2!$B$5,I:I)),1,0)+K2553</f>
        <v>0</v>
      </c>
      <c r="M2553" s="3">
        <f ca="1">IF(AND(N2553&lt;&gt;N2552,ISNUMBER(SEARCH(Лист2!$B$6,N:N)),L2553=2),MAX($M$3:OFFSET(M2553,-1,0))+1,0)</f>
        <v>0</v>
      </c>
      <c r="N2553" s="3" t="s">
        <v>1732</v>
      </c>
    </row>
    <row r="2554" spans="1:14" x14ac:dyDescent="0.25">
      <c r="A2554" s="1" t="s">
        <v>11431</v>
      </c>
      <c r="B2554" s="3" t="s">
        <v>6178</v>
      </c>
      <c r="C2554" s="2">
        <f ca="1">IF(ISNUMBER(SEARCH(Лист2!$B$4,D:D)),MAX($C$3:OFFSET(C2554,-1,0))+1,0)</f>
        <v>0</v>
      </c>
      <c r="E2554" s="9" t="str">
        <f t="shared" ca="1" si="51"/>
        <v/>
      </c>
      <c r="F2554" s="4" t="s">
        <v>7</v>
      </c>
      <c r="G2554" s="2">
        <f>IF(ISNUMBER(SEARCH(Лист2!$B$4,F:F)),1,0)</f>
        <v>0</v>
      </c>
      <c r="H2554" s="3">
        <f ca="1">IF(AND(I2554&lt;&gt;I2553,ISNUMBER(SEARCH(Лист2!$B$5,I:I)),G2554=1),MAX($H$3:OFFSET(H2554,-1,0))+1,0)</f>
        <v>0</v>
      </c>
      <c r="I2554" s="3" t="s">
        <v>235</v>
      </c>
      <c r="K2554" s="2">
        <f>IF(ISNUMBER(SEARCH(Лист2!$B$4,F:F)),1,0)</f>
        <v>0</v>
      </c>
      <c r="L2554" s="14">
        <f>IF(ISNUMBER(SEARCH(Лист2!$B$5,I:I)),1,0)+K2554</f>
        <v>0</v>
      </c>
      <c r="M2554" s="3">
        <f ca="1">IF(AND(N2554&lt;&gt;N2553,ISNUMBER(SEARCH(Лист2!$B$6,N:N)),L2554=2),MAX($M$3:OFFSET(M2554,-1,0))+1,0)</f>
        <v>0</v>
      </c>
      <c r="N2554" s="3" t="s">
        <v>1733</v>
      </c>
    </row>
    <row r="2555" spans="1:14" x14ac:dyDescent="0.25">
      <c r="A2555" s="1" t="s">
        <v>11432</v>
      </c>
      <c r="B2555" s="3" t="s">
        <v>6179</v>
      </c>
      <c r="C2555" s="2">
        <f ca="1">IF(ISNUMBER(SEARCH(Лист2!$B$4,D:D)),MAX($C$3:OFFSET(C2555,-1,0))+1,0)</f>
        <v>0</v>
      </c>
      <c r="E2555" s="9" t="str">
        <f t="shared" ca="1" si="51"/>
        <v/>
      </c>
      <c r="F2555" s="4" t="s">
        <v>7</v>
      </c>
      <c r="G2555" s="2">
        <f>IF(ISNUMBER(SEARCH(Лист2!$B$4,F:F)),1,0)</f>
        <v>0</v>
      </c>
      <c r="H2555" s="3">
        <f ca="1">IF(AND(I2555&lt;&gt;I2554,ISNUMBER(SEARCH(Лист2!$B$5,I:I)),G2555=1),MAX($H$3:OFFSET(H2555,-1,0))+1,0)</f>
        <v>0</v>
      </c>
      <c r="I2555" s="3" t="s">
        <v>235</v>
      </c>
      <c r="K2555" s="2">
        <f>IF(ISNUMBER(SEARCH(Лист2!$B$4,F:F)),1,0)</f>
        <v>0</v>
      </c>
      <c r="L2555" s="14">
        <f>IF(ISNUMBER(SEARCH(Лист2!$B$5,I:I)),1,0)+K2555</f>
        <v>0</v>
      </c>
      <c r="M2555" s="3">
        <f ca="1">IF(AND(N2555&lt;&gt;N2554,ISNUMBER(SEARCH(Лист2!$B$6,N:N)),L2555=2),MAX($M$3:OFFSET(M2555,-1,0))+1,0)</f>
        <v>0</v>
      </c>
      <c r="N2555" s="3" t="s">
        <v>1734</v>
      </c>
    </row>
    <row r="2556" spans="1:14" x14ac:dyDescent="0.25">
      <c r="A2556" s="1" t="s">
        <v>11433</v>
      </c>
      <c r="B2556" s="3" t="s">
        <v>6180</v>
      </c>
      <c r="C2556" s="2">
        <f ca="1">IF(ISNUMBER(SEARCH(Лист2!$B$4,D:D)),MAX($C$3:OFFSET(C2556,-1,0))+1,0)</f>
        <v>0</v>
      </c>
      <c r="E2556" s="9" t="str">
        <f t="shared" ca="1" si="51"/>
        <v/>
      </c>
      <c r="F2556" s="4" t="s">
        <v>7</v>
      </c>
      <c r="G2556" s="2">
        <f>IF(ISNUMBER(SEARCH(Лист2!$B$4,F:F)),1,0)</f>
        <v>0</v>
      </c>
      <c r="H2556" s="3">
        <f ca="1">IF(AND(I2556&lt;&gt;I2555,ISNUMBER(SEARCH(Лист2!$B$5,I:I)),G2556=1),MAX($H$3:OFFSET(H2556,-1,0))+1,0)</f>
        <v>0</v>
      </c>
      <c r="I2556" s="3" t="s">
        <v>235</v>
      </c>
      <c r="K2556" s="2">
        <f>IF(ISNUMBER(SEARCH(Лист2!$B$4,F:F)),1,0)</f>
        <v>0</v>
      </c>
      <c r="L2556" s="14">
        <f>IF(ISNUMBER(SEARCH(Лист2!$B$5,I:I)),1,0)+K2556</f>
        <v>0</v>
      </c>
      <c r="M2556" s="3">
        <f ca="1">IF(AND(N2556&lt;&gt;N2555,ISNUMBER(SEARCH(Лист2!$B$6,N:N)),L2556=2),MAX($M$3:OFFSET(M2556,-1,0))+1,0)</f>
        <v>0</v>
      </c>
      <c r="N2556" s="3" t="s">
        <v>1735</v>
      </c>
    </row>
    <row r="2557" spans="1:14" x14ac:dyDescent="0.25">
      <c r="A2557" s="1" t="s">
        <v>11434</v>
      </c>
      <c r="B2557" s="3" t="s">
        <v>6181</v>
      </c>
      <c r="C2557" s="2">
        <f ca="1">IF(ISNUMBER(SEARCH(Лист2!$B$4,D:D)),MAX($C$3:OFFSET(C2557,-1,0))+1,0)</f>
        <v>0</v>
      </c>
      <c r="E2557" s="9" t="str">
        <f t="shared" ca="1" si="51"/>
        <v/>
      </c>
      <c r="F2557" s="4" t="s">
        <v>7</v>
      </c>
      <c r="G2557" s="2">
        <f>IF(ISNUMBER(SEARCH(Лист2!$B$4,F:F)),1,0)</f>
        <v>0</v>
      </c>
      <c r="H2557" s="3">
        <f ca="1">IF(AND(I2557&lt;&gt;I2556,ISNUMBER(SEARCH(Лист2!$B$5,I:I)),G2557=1),MAX($H$3:OFFSET(H2557,-1,0))+1,0)</f>
        <v>0</v>
      </c>
      <c r="I2557" s="3" t="s">
        <v>235</v>
      </c>
      <c r="K2557" s="2">
        <f>IF(ISNUMBER(SEARCH(Лист2!$B$4,F:F)),1,0)</f>
        <v>0</v>
      </c>
      <c r="L2557" s="14">
        <f>IF(ISNUMBER(SEARCH(Лист2!$B$5,I:I)),1,0)+K2557</f>
        <v>0</v>
      </c>
      <c r="M2557" s="3">
        <f ca="1">IF(AND(N2557&lt;&gt;N2556,ISNUMBER(SEARCH(Лист2!$B$6,N:N)),L2557=2),MAX($M$3:OFFSET(M2557,-1,0))+1,0)</f>
        <v>0</v>
      </c>
      <c r="N2557" s="3" t="s">
        <v>1621</v>
      </c>
    </row>
    <row r="2558" spans="1:14" x14ac:dyDescent="0.25">
      <c r="A2558" s="1" t="s">
        <v>11595</v>
      </c>
      <c r="B2558" s="3" t="s">
        <v>6182</v>
      </c>
      <c r="C2558" s="2">
        <f ca="1">IF(ISNUMBER(SEARCH(Лист2!$B$4,D:D)),MAX($C$3:OFFSET(C2558,-1,0))+1,0)</f>
        <v>0</v>
      </c>
      <c r="E2558" s="9" t="str">
        <f t="shared" ca="1" si="51"/>
        <v/>
      </c>
      <c r="F2558" s="4" t="s">
        <v>7</v>
      </c>
      <c r="G2558" s="2">
        <f>IF(ISNUMBER(SEARCH(Лист2!$B$4,F:F)),1,0)</f>
        <v>0</v>
      </c>
      <c r="H2558" s="3">
        <f ca="1">IF(AND(I2558&lt;&gt;I2557,ISNUMBER(SEARCH(Лист2!$B$5,I:I)),G2558=1),MAX($H$3:OFFSET(H2558,-1,0))+1,0)</f>
        <v>0</v>
      </c>
      <c r="I2558" s="3" t="s">
        <v>235</v>
      </c>
      <c r="K2558" s="2">
        <f>IF(ISNUMBER(SEARCH(Лист2!$B$4,F:F)),1,0)</f>
        <v>0</v>
      </c>
      <c r="L2558" s="14">
        <f>IF(ISNUMBER(SEARCH(Лист2!$B$5,I:I)),1,0)+K2558</f>
        <v>0</v>
      </c>
      <c r="M2558" s="3">
        <f ca="1">IF(AND(N2558&lt;&gt;N2557,ISNUMBER(SEARCH(Лист2!$B$6,N:N)),L2558=2),MAX($M$3:OFFSET(M2558,-1,0))+1,0)</f>
        <v>0</v>
      </c>
      <c r="N2558" s="3" t="s">
        <v>1748</v>
      </c>
    </row>
    <row r="2559" spans="1:14" x14ac:dyDescent="0.25">
      <c r="A2559" s="1" t="s">
        <v>11436</v>
      </c>
      <c r="B2559" s="3" t="s">
        <v>6183</v>
      </c>
      <c r="C2559" s="2">
        <f ca="1">IF(ISNUMBER(SEARCH(Лист2!$B$4,D:D)),MAX($C$3:OFFSET(C2559,-1,0))+1,0)</f>
        <v>0</v>
      </c>
      <c r="E2559" s="9" t="str">
        <f t="shared" ca="1" si="51"/>
        <v/>
      </c>
      <c r="F2559" s="4" t="s">
        <v>7</v>
      </c>
      <c r="G2559" s="2">
        <f>IF(ISNUMBER(SEARCH(Лист2!$B$4,F:F)),1,0)</f>
        <v>0</v>
      </c>
      <c r="H2559" s="3">
        <f ca="1">IF(AND(I2559&lt;&gt;I2558,ISNUMBER(SEARCH(Лист2!$B$5,I:I)),G2559=1),MAX($H$3:OFFSET(H2559,-1,0))+1,0)</f>
        <v>0</v>
      </c>
      <c r="I2559" s="3" t="s">
        <v>235</v>
      </c>
      <c r="K2559" s="2">
        <f>IF(ISNUMBER(SEARCH(Лист2!$B$4,F:F)),1,0)</f>
        <v>0</v>
      </c>
      <c r="L2559" s="14">
        <f>IF(ISNUMBER(SEARCH(Лист2!$B$5,I:I)),1,0)+K2559</f>
        <v>0</v>
      </c>
      <c r="M2559" s="3">
        <f ca="1">IF(AND(N2559&lt;&gt;N2558,ISNUMBER(SEARCH(Лист2!$B$6,N:N)),L2559=2),MAX($M$3:OFFSET(M2559,-1,0))+1,0)</f>
        <v>0</v>
      </c>
      <c r="N2559" s="3" t="s">
        <v>1737</v>
      </c>
    </row>
    <row r="2560" spans="1:14" x14ac:dyDescent="0.25">
      <c r="A2560" s="1" t="s">
        <v>11437</v>
      </c>
      <c r="B2560" s="3" t="s">
        <v>6184</v>
      </c>
      <c r="C2560" s="2">
        <f ca="1">IF(ISNUMBER(SEARCH(Лист2!$B$4,D:D)),MAX($C$3:OFFSET(C2560,-1,0))+1,0)</f>
        <v>0</v>
      </c>
      <c r="E2560" s="9" t="str">
        <f t="shared" ca="1" si="51"/>
        <v/>
      </c>
      <c r="F2560" s="4" t="s">
        <v>7</v>
      </c>
      <c r="G2560" s="2">
        <f>IF(ISNUMBER(SEARCH(Лист2!$B$4,F:F)),1,0)</f>
        <v>0</v>
      </c>
      <c r="H2560" s="3">
        <f ca="1">IF(AND(I2560&lt;&gt;I2559,ISNUMBER(SEARCH(Лист2!$B$5,I:I)),G2560=1),MAX($H$3:OFFSET(H2560,-1,0))+1,0)</f>
        <v>0</v>
      </c>
      <c r="I2560" s="3" t="s">
        <v>235</v>
      </c>
      <c r="K2560" s="2">
        <f>IF(ISNUMBER(SEARCH(Лист2!$B$4,F:F)),1,0)</f>
        <v>0</v>
      </c>
      <c r="L2560" s="14">
        <f>IF(ISNUMBER(SEARCH(Лист2!$B$5,I:I)),1,0)+K2560</f>
        <v>0</v>
      </c>
      <c r="M2560" s="3">
        <f ca="1">IF(AND(N2560&lt;&gt;N2559,ISNUMBER(SEARCH(Лист2!$B$6,N:N)),L2560=2),MAX($M$3:OFFSET(M2560,-1,0))+1,0)</f>
        <v>0</v>
      </c>
      <c r="N2560" s="3" t="s">
        <v>1678</v>
      </c>
    </row>
    <row r="2561" spans="1:14" x14ac:dyDescent="0.25">
      <c r="A2561" s="1" t="s">
        <v>11438</v>
      </c>
      <c r="B2561" s="3" t="s">
        <v>6185</v>
      </c>
      <c r="C2561" s="2">
        <f ca="1">IF(ISNUMBER(SEARCH(Лист2!$B$4,D:D)),MAX($C$3:OFFSET(C2561,-1,0))+1,0)</f>
        <v>0</v>
      </c>
      <c r="E2561" s="9" t="str">
        <f t="shared" ca="1" si="51"/>
        <v/>
      </c>
      <c r="F2561" s="4" t="s">
        <v>7</v>
      </c>
      <c r="G2561" s="2">
        <f>IF(ISNUMBER(SEARCH(Лист2!$B$4,F:F)),1,0)</f>
        <v>0</v>
      </c>
      <c r="H2561" s="3">
        <f ca="1">IF(AND(I2561&lt;&gt;I2560,ISNUMBER(SEARCH(Лист2!$B$5,I:I)),G2561=1),MAX($H$3:OFFSET(H2561,-1,0))+1,0)</f>
        <v>0</v>
      </c>
      <c r="I2561" s="3" t="s">
        <v>235</v>
      </c>
      <c r="K2561" s="2">
        <f>IF(ISNUMBER(SEARCH(Лист2!$B$4,F:F)),1,0)</f>
        <v>0</v>
      </c>
      <c r="L2561" s="14">
        <f>IF(ISNUMBER(SEARCH(Лист2!$B$5,I:I)),1,0)+K2561</f>
        <v>0</v>
      </c>
      <c r="M2561" s="3">
        <f ca="1">IF(AND(N2561&lt;&gt;N2560,ISNUMBER(SEARCH(Лист2!$B$6,N:N)),L2561=2),MAX($M$3:OFFSET(M2561,-1,0))+1,0)</f>
        <v>0</v>
      </c>
      <c r="N2561" s="3" t="s">
        <v>602</v>
      </c>
    </row>
    <row r="2562" spans="1:14" x14ac:dyDescent="0.25">
      <c r="A2562" s="1" t="s">
        <v>11439</v>
      </c>
      <c r="B2562" s="3" t="s">
        <v>6186</v>
      </c>
      <c r="C2562" s="2">
        <f ca="1">IF(ISNUMBER(SEARCH(Лист2!$B$4,D:D)),MAX($C$3:OFFSET(C2562,-1,0))+1,0)</f>
        <v>0</v>
      </c>
      <c r="E2562" s="9" t="str">
        <f t="shared" ca="1" si="51"/>
        <v/>
      </c>
      <c r="F2562" s="4" t="s">
        <v>7</v>
      </c>
      <c r="G2562" s="2">
        <f>IF(ISNUMBER(SEARCH(Лист2!$B$4,F:F)),1,0)</f>
        <v>0</v>
      </c>
      <c r="H2562" s="3">
        <f ca="1">IF(AND(I2562&lt;&gt;I2561,ISNUMBER(SEARCH(Лист2!$B$5,I:I)),G2562=1),MAX($H$3:OFFSET(H2562,-1,0))+1,0)</f>
        <v>0</v>
      </c>
      <c r="I2562" s="3" t="s">
        <v>235</v>
      </c>
      <c r="K2562" s="2">
        <f>IF(ISNUMBER(SEARCH(Лист2!$B$4,F:F)),1,0)</f>
        <v>0</v>
      </c>
      <c r="L2562" s="14">
        <f>IF(ISNUMBER(SEARCH(Лист2!$B$5,I:I)),1,0)+K2562</f>
        <v>0</v>
      </c>
      <c r="M2562" s="3">
        <f ca="1">IF(AND(N2562&lt;&gt;N2561,ISNUMBER(SEARCH(Лист2!$B$6,N:N)),L2562=2),MAX($M$3:OFFSET(M2562,-1,0))+1,0)</f>
        <v>0</v>
      </c>
      <c r="N2562" s="3" t="s">
        <v>1738</v>
      </c>
    </row>
    <row r="2563" spans="1:14" x14ac:dyDescent="0.25">
      <c r="A2563" s="1" t="s">
        <v>11440</v>
      </c>
      <c r="B2563" s="3" t="s">
        <v>6187</v>
      </c>
      <c r="C2563" s="2">
        <f ca="1">IF(ISNUMBER(SEARCH(Лист2!$B$4,D:D)),MAX($C$3:OFFSET(C2563,-1,0))+1,0)</f>
        <v>0</v>
      </c>
      <c r="E2563" s="9" t="str">
        <f t="shared" ca="1" si="51"/>
        <v/>
      </c>
      <c r="F2563" s="4" t="s">
        <v>7</v>
      </c>
      <c r="G2563" s="2">
        <f>IF(ISNUMBER(SEARCH(Лист2!$B$4,F:F)),1,0)</f>
        <v>0</v>
      </c>
      <c r="H2563" s="3">
        <f ca="1">IF(AND(I2563&lt;&gt;I2562,ISNUMBER(SEARCH(Лист2!$B$5,I:I)),G2563=1),MAX($H$3:OFFSET(H2563,-1,0))+1,0)</f>
        <v>0</v>
      </c>
      <c r="I2563" s="3" t="s">
        <v>235</v>
      </c>
      <c r="K2563" s="2">
        <f>IF(ISNUMBER(SEARCH(Лист2!$B$4,F:F)),1,0)</f>
        <v>0</v>
      </c>
      <c r="L2563" s="14">
        <f>IF(ISNUMBER(SEARCH(Лист2!$B$5,I:I)),1,0)+K2563</f>
        <v>0</v>
      </c>
      <c r="M2563" s="3">
        <f ca="1">IF(AND(N2563&lt;&gt;N2562,ISNUMBER(SEARCH(Лист2!$B$6,N:N)),L2563=2),MAX($M$3:OFFSET(M2563,-1,0))+1,0)</f>
        <v>0</v>
      </c>
      <c r="N2563" s="3" t="s">
        <v>1739</v>
      </c>
    </row>
    <row r="2564" spans="1:14" x14ac:dyDescent="0.25">
      <c r="A2564" s="1" t="s">
        <v>11441</v>
      </c>
      <c r="B2564" s="3" t="s">
        <v>6188</v>
      </c>
      <c r="C2564" s="2">
        <f ca="1">IF(ISNUMBER(SEARCH(Лист2!$B$4,D:D)),MAX($C$3:OFFSET(C2564,-1,0))+1,0)</f>
        <v>0</v>
      </c>
      <c r="E2564" s="9" t="str">
        <f t="shared" ca="1" si="51"/>
        <v/>
      </c>
      <c r="F2564" s="4" t="s">
        <v>7</v>
      </c>
      <c r="G2564" s="2">
        <f>IF(ISNUMBER(SEARCH(Лист2!$B$4,F:F)),1,0)</f>
        <v>0</v>
      </c>
      <c r="H2564" s="3">
        <f ca="1">IF(AND(I2564&lt;&gt;I2563,ISNUMBER(SEARCH(Лист2!$B$5,I:I)),G2564=1),MAX($H$3:OFFSET(H2564,-1,0))+1,0)</f>
        <v>0</v>
      </c>
      <c r="I2564" s="3" t="s">
        <v>235</v>
      </c>
      <c r="K2564" s="2">
        <f>IF(ISNUMBER(SEARCH(Лист2!$B$4,F:F)),1,0)</f>
        <v>0</v>
      </c>
      <c r="L2564" s="14">
        <f>IF(ISNUMBER(SEARCH(Лист2!$B$5,I:I)),1,0)+K2564</f>
        <v>0</v>
      </c>
      <c r="M2564" s="3">
        <f ca="1">IF(AND(N2564&lt;&gt;N2563,ISNUMBER(SEARCH(Лист2!$B$6,N:N)),L2564=2),MAX($M$3:OFFSET(M2564,-1,0))+1,0)</f>
        <v>0</v>
      </c>
      <c r="N2564" s="3" t="s">
        <v>1740</v>
      </c>
    </row>
    <row r="2565" spans="1:14" x14ac:dyDescent="0.25">
      <c r="A2565" s="1" t="s">
        <v>11442</v>
      </c>
      <c r="B2565" s="3" t="s">
        <v>6189</v>
      </c>
      <c r="C2565" s="2">
        <f ca="1">IF(ISNUMBER(SEARCH(Лист2!$B$4,D:D)),MAX($C$3:OFFSET(C2565,-1,0))+1,0)</f>
        <v>0</v>
      </c>
      <c r="E2565" s="9" t="str">
        <f t="shared" ref="E2565:E2628" ca="1" si="52">IFERROR(INDEX(D:D,MATCH(ROW(E2565)-ROW($E$3),C:C,0)),"")</f>
        <v/>
      </c>
      <c r="F2565" s="4" t="s">
        <v>7</v>
      </c>
      <c r="G2565" s="2">
        <f>IF(ISNUMBER(SEARCH(Лист2!$B$4,F:F)),1,0)</f>
        <v>0</v>
      </c>
      <c r="H2565" s="3">
        <f ca="1">IF(AND(I2565&lt;&gt;I2564,ISNUMBER(SEARCH(Лист2!$B$5,I:I)),G2565=1),MAX($H$3:OFFSET(H2565,-1,0))+1,0)</f>
        <v>0</v>
      </c>
      <c r="I2565" s="3" t="s">
        <v>235</v>
      </c>
      <c r="K2565" s="2">
        <f>IF(ISNUMBER(SEARCH(Лист2!$B$4,F:F)),1,0)</f>
        <v>0</v>
      </c>
      <c r="L2565" s="14">
        <f>IF(ISNUMBER(SEARCH(Лист2!$B$5,I:I)),1,0)+K2565</f>
        <v>0</v>
      </c>
      <c r="M2565" s="3">
        <f ca="1">IF(AND(N2565&lt;&gt;N2564,ISNUMBER(SEARCH(Лист2!$B$6,N:N)),L2565=2),MAX($M$3:OFFSET(M2565,-1,0))+1,0)</f>
        <v>0</v>
      </c>
      <c r="N2565" s="3" t="s">
        <v>1741</v>
      </c>
    </row>
    <row r="2566" spans="1:14" x14ac:dyDescent="0.25">
      <c r="A2566" s="1" t="s">
        <v>11443</v>
      </c>
      <c r="B2566" s="3" t="s">
        <v>6190</v>
      </c>
      <c r="C2566" s="2">
        <f ca="1">IF(ISNUMBER(SEARCH(Лист2!$B$4,D:D)),MAX($C$3:OFFSET(C2566,-1,0))+1,0)</f>
        <v>0</v>
      </c>
      <c r="E2566" s="9" t="str">
        <f t="shared" ca="1" si="52"/>
        <v/>
      </c>
      <c r="F2566" s="4" t="s">
        <v>7</v>
      </c>
      <c r="G2566" s="2">
        <f>IF(ISNUMBER(SEARCH(Лист2!$B$4,F:F)),1,0)</f>
        <v>0</v>
      </c>
      <c r="H2566" s="3">
        <f ca="1">IF(AND(I2566&lt;&gt;I2565,ISNUMBER(SEARCH(Лист2!$B$5,I:I)),G2566=1),MAX($H$3:OFFSET(H2566,-1,0))+1,0)</f>
        <v>0</v>
      </c>
      <c r="I2566" s="3" t="s">
        <v>235</v>
      </c>
      <c r="K2566" s="2">
        <f>IF(ISNUMBER(SEARCH(Лист2!$B$4,F:F)),1,0)</f>
        <v>0</v>
      </c>
      <c r="L2566" s="14">
        <f>IF(ISNUMBER(SEARCH(Лист2!$B$5,I:I)),1,0)+K2566</f>
        <v>0</v>
      </c>
      <c r="M2566" s="3">
        <f ca="1">IF(AND(N2566&lt;&gt;N2565,ISNUMBER(SEARCH(Лист2!$B$6,N:N)),L2566=2),MAX($M$3:OFFSET(M2566,-1,0))+1,0)</f>
        <v>0</v>
      </c>
      <c r="N2566" s="3" t="s">
        <v>1742</v>
      </c>
    </row>
    <row r="2567" spans="1:14" x14ac:dyDescent="0.25">
      <c r="A2567" s="1" t="s">
        <v>11444</v>
      </c>
      <c r="B2567" s="3" t="s">
        <v>6191</v>
      </c>
      <c r="C2567" s="2">
        <f ca="1">IF(ISNUMBER(SEARCH(Лист2!$B$4,D:D)),MAX($C$3:OFFSET(C2567,-1,0))+1,0)</f>
        <v>0</v>
      </c>
      <c r="E2567" s="9" t="str">
        <f t="shared" ca="1" si="52"/>
        <v/>
      </c>
      <c r="F2567" s="4" t="s">
        <v>7</v>
      </c>
      <c r="G2567" s="2">
        <f>IF(ISNUMBER(SEARCH(Лист2!$B$4,F:F)),1,0)</f>
        <v>0</v>
      </c>
      <c r="H2567" s="3">
        <f ca="1">IF(AND(I2567&lt;&gt;I2566,ISNUMBER(SEARCH(Лист2!$B$5,I:I)),G2567=1),MAX($H$3:OFFSET(H2567,-1,0))+1,0)</f>
        <v>0</v>
      </c>
      <c r="I2567" s="3" t="s">
        <v>236</v>
      </c>
      <c r="K2567" s="2">
        <f>IF(ISNUMBER(SEARCH(Лист2!$B$4,F:F)),1,0)</f>
        <v>0</v>
      </c>
      <c r="L2567" s="14">
        <f>IF(ISNUMBER(SEARCH(Лист2!$B$5,I:I)),1,0)+K2567</f>
        <v>0</v>
      </c>
      <c r="M2567" s="3">
        <f ca="1">IF(AND(N2567&lt;&gt;N2566,ISNUMBER(SEARCH(Лист2!$B$6,N:N)),L2567=2),MAX($M$3:OFFSET(M2567,-1,0))+1,0)</f>
        <v>0</v>
      </c>
      <c r="N2567" s="3" t="s">
        <v>1743</v>
      </c>
    </row>
    <row r="2568" spans="1:14" x14ac:dyDescent="0.25">
      <c r="A2568" s="1" t="s">
        <v>11445</v>
      </c>
      <c r="B2568" s="3" t="s">
        <v>6192</v>
      </c>
      <c r="C2568" s="2">
        <f ca="1">IF(ISNUMBER(SEARCH(Лист2!$B$4,D:D)),MAX($C$3:OFFSET(C2568,-1,0))+1,0)</f>
        <v>0</v>
      </c>
      <c r="E2568" s="9" t="str">
        <f t="shared" ca="1" si="52"/>
        <v/>
      </c>
      <c r="F2568" s="4" t="s">
        <v>7</v>
      </c>
      <c r="G2568" s="2">
        <f>IF(ISNUMBER(SEARCH(Лист2!$B$4,F:F)),1,0)</f>
        <v>0</v>
      </c>
      <c r="H2568" s="3">
        <f ca="1">IF(AND(I2568&lt;&gt;I2567,ISNUMBER(SEARCH(Лист2!$B$5,I:I)),G2568=1),MAX($H$3:OFFSET(H2568,-1,0))+1,0)</f>
        <v>0</v>
      </c>
      <c r="I2568" s="3" t="s">
        <v>236</v>
      </c>
      <c r="K2568" s="2">
        <f>IF(ISNUMBER(SEARCH(Лист2!$B$4,F:F)),1,0)</f>
        <v>0</v>
      </c>
      <c r="L2568" s="14">
        <f>IF(ISNUMBER(SEARCH(Лист2!$B$5,I:I)),1,0)+K2568</f>
        <v>0</v>
      </c>
      <c r="M2568" s="3">
        <f ca="1">IF(AND(N2568&lt;&gt;N2567,ISNUMBER(SEARCH(Лист2!$B$6,N:N)),L2568=2),MAX($M$3:OFFSET(M2568,-1,0))+1,0)</f>
        <v>0</v>
      </c>
      <c r="N2568" s="3" t="s">
        <v>1744</v>
      </c>
    </row>
    <row r="2569" spans="1:14" x14ac:dyDescent="0.25">
      <c r="A2569" s="1" t="s">
        <v>11445</v>
      </c>
      <c r="B2569" s="3" t="s">
        <v>6193</v>
      </c>
      <c r="C2569" s="2">
        <f ca="1">IF(ISNUMBER(SEARCH(Лист2!$B$4,D:D)),MAX($C$3:OFFSET(C2569,-1,0))+1,0)</f>
        <v>0</v>
      </c>
      <c r="E2569" s="9" t="str">
        <f t="shared" ca="1" si="52"/>
        <v/>
      </c>
      <c r="F2569" s="4" t="s">
        <v>7</v>
      </c>
      <c r="G2569" s="2">
        <f>IF(ISNUMBER(SEARCH(Лист2!$B$4,F:F)),1,0)</f>
        <v>0</v>
      </c>
      <c r="H2569" s="3">
        <f ca="1">IF(AND(I2569&lt;&gt;I2568,ISNUMBER(SEARCH(Лист2!$B$5,I:I)),G2569=1),MAX($H$3:OFFSET(H2569,-1,0))+1,0)</f>
        <v>0</v>
      </c>
      <c r="I2569" s="3" t="s">
        <v>236</v>
      </c>
      <c r="K2569" s="2">
        <f>IF(ISNUMBER(SEARCH(Лист2!$B$4,F:F)),1,0)</f>
        <v>0</v>
      </c>
      <c r="L2569" s="14">
        <f>IF(ISNUMBER(SEARCH(Лист2!$B$5,I:I)),1,0)+K2569</f>
        <v>0</v>
      </c>
      <c r="M2569" s="3">
        <f ca="1">IF(AND(N2569&lt;&gt;N2568,ISNUMBER(SEARCH(Лист2!$B$6,N:N)),L2569=2),MAX($M$3:OFFSET(M2569,-1,0))+1,0)</f>
        <v>0</v>
      </c>
      <c r="N2569" s="3" t="s">
        <v>1744</v>
      </c>
    </row>
    <row r="2570" spans="1:14" x14ac:dyDescent="0.25">
      <c r="A2570" s="1" t="s">
        <v>11445</v>
      </c>
      <c r="B2570" s="3" t="s">
        <v>6194</v>
      </c>
      <c r="C2570" s="2">
        <f ca="1">IF(ISNUMBER(SEARCH(Лист2!$B$4,D:D)),MAX($C$3:OFFSET(C2570,-1,0))+1,0)</f>
        <v>0</v>
      </c>
      <c r="E2570" s="9" t="str">
        <f t="shared" ca="1" si="52"/>
        <v/>
      </c>
      <c r="F2570" s="4" t="s">
        <v>7</v>
      </c>
      <c r="G2570" s="2">
        <f>IF(ISNUMBER(SEARCH(Лист2!$B$4,F:F)),1,0)</f>
        <v>0</v>
      </c>
      <c r="H2570" s="3">
        <f ca="1">IF(AND(I2570&lt;&gt;I2569,ISNUMBER(SEARCH(Лист2!$B$5,I:I)),G2570=1),MAX($H$3:OFFSET(H2570,-1,0))+1,0)</f>
        <v>0</v>
      </c>
      <c r="I2570" s="3" t="s">
        <v>236</v>
      </c>
      <c r="K2570" s="2">
        <f>IF(ISNUMBER(SEARCH(Лист2!$B$4,F:F)),1,0)</f>
        <v>0</v>
      </c>
      <c r="L2570" s="14">
        <f>IF(ISNUMBER(SEARCH(Лист2!$B$5,I:I)),1,0)+K2570</f>
        <v>0</v>
      </c>
      <c r="M2570" s="3">
        <f ca="1">IF(AND(N2570&lt;&gt;N2569,ISNUMBER(SEARCH(Лист2!$B$6,N:N)),L2570=2),MAX($M$3:OFFSET(M2570,-1,0))+1,0)</f>
        <v>0</v>
      </c>
      <c r="N2570" s="3" t="s">
        <v>1744</v>
      </c>
    </row>
    <row r="2571" spans="1:14" x14ac:dyDescent="0.25">
      <c r="A2571" s="1" t="s">
        <v>11446</v>
      </c>
      <c r="B2571" s="3" t="s">
        <v>6195</v>
      </c>
      <c r="C2571" s="2">
        <f ca="1">IF(ISNUMBER(SEARCH(Лист2!$B$4,D:D)),MAX($C$3:OFFSET(C2571,-1,0))+1,0)</f>
        <v>0</v>
      </c>
      <c r="E2571" s="9" t="str">
        <f t="shared" ca="1" si="52"/>
        <v/>
      </c>
      <c r="F2571" s="4" t="s">
        <v>7</v>
      </c>
      <c r="G2571" s="2">
        <f>IF(ISNUMBER(SEARCH(Лист2!$B$4,F:F)),1,0)</f>
        <v>0</v>
      </c>
      <c r="H2571" s="3">
        <f ca="1">IF(AND(I2571&lt;&gt;I2570,ISNUMBER(SEARCH(Лист2!$B$5,I:I)),G2571=1),MAX($H$3:OFFSET(H2571,-1,0))+1,0)</f>
        <v>0</v>
      </c>
      <c r="I2571" s="3" t="s">
        <v>236</v>
      </c>
      <c r="K2571" s="2">
        <f>IF(ISNUMBER(SEARCH(Лист2!$B$4,F:F)),1,0)</f>
        <v>0</v>
      </c>
      <c r="L2571" s="14">
        <f>IF(ISNUMBER(SEARCH(Лист2!$B$5,I:I)),1,0)+K2571</f>
        <v>0</v>
      </c>
      <c r="M2571" s="3">
        <f ca="1">IF(AND(N2571&lt;&gt;N2570,ISNUMBER(SEARCH(Лист2!$B$6,N:N)),L2571=2),MAX($M$3:OFFSET(M2571,-1,0))+1,0)</f>
        <v>0</v>
      </c>
      <c r="N2571" s="3" t="s">
        <v>1745</v>
      </c>
    </row>
    <row r="2572" spans="1:14" x14ac:dyDescent="0.25">
      <c r="A2572" s="1" t="s">
        <v>11447</v>
      </c>
      <c r="B2572" s="3" t="s">
        <v>6196</v>
      </c>
      <c r="C2572" s="2">
        <f ca="1">IF(ISNUMBER(SEARCH(Лист2!$B$4,D:D)),MAX($C$3:OFFSET(C2572,-1,0))+1,0)</f>
        <v>0</v>
      </c>
      <c r="E2572" s="9" t="str">
        <f t="shared" ca="1" si="52"/>
        <v/>
      </c>
      <c r="F2572" s="4" t="s">
        <v>7</v>
      </c>
      <c r="G2572" s="2">
        <f>IF(ISNUMBER(SEARCH(Лист2!$B$4,F:F)),1,0)</f>
        <v>0</v>
      </c>
      <c r="H2572" s="3">
        <f ca="1">IF(AND(I2572&lt;&gt;I2571,ISNUMBER(SEARCH(Лист2!$B$5,I:I)),G2572=1),MAX($H$3:OFFSET(H2572,-1,0))+1,0)</f>
        <v>0</v>
      </c>
      <c r="I2572" s="3" t="s">
        <v>236</v>
      </c>
      <c r="K2572" s="2">
        <f>IF(ISNUMBER(SEARCH(Лист2!$B$4,F:F)),1,0)</f>
        <v>0</v>
      </c>
      <c r="L2572" s="14">
        <f>IF(ISNUMBER(SEARCH(Лист2!$B$5,I:I)),1,0)+K2572</f>
        <v>0</v>
      </c>
      <c r="M2572" s="3">
        <f ca="1">IF(AND(N2572&lt;&gt;N2571,ISNUMBER(SEARCH(Лист2!$B$6,N:N)),L2572=2),MAX($M$3:OFFSET(M2572,-1,0))+1,0)</f>
        <v>0</v>
      </c>
      <c r="N2572" s="3" t="s">
        <v>1746</v>
      </c>
    </row>
    <row r="2573" spans="1:14" x14ac:dyDescent="0.25">
      <c r="A2573" s="1" t="s">
        <v>11448</v>
      </c>
      <c r="B2573" s="3" t="s">
        <v>6197</v>
      </c>
      <c r="C2573" s="2">
        <f ca="1">IF(ISNUMBER(SEARCH(Лист2!$B$4,D:D)),MAX($C$3:OFFSET(C2573,-1,0))+1,0)</f>
        <v>0</v>
      </c>
      <c r="E2573" s="9" t="str">
        <f t="shared" ca="1" si="52"/>
        <v/>
      </c>
      <c r="F2573" s="4" t="s">
        <v>7</v>
      </c>
      <c r="G2573" s="2">
        <f>IF(ISNUMBER(SEARCH(Лист2!$B$4,F:F)),1,0)</f>
        <v>0</v>
      </c>
      <c r="H2573" s="3">
        <f ca="1">IF(AND(I2573&lt;&gt;I2572,ISNUMBER(SEARCH(Лист2!$B$5,I:I)),G2573=1),MAX($H$3:OFFSET(H2573,-1,0))+1,0)</f>
        <v>0</v>
      </c>
      <c r="I2573" s="3" t="s">
        <v>236</v>
      </c>
      <c r="K2573" s="2">
        <f>IF(ISNUMBER(SEARCH(Лист2!$B$4,F:F)),1,0)</f>
        <v>0</v>
      </c>
      <c r="L2573" s="14">
        <f>IF(ISNUMBER(SEARCH(Лист2!$B$5,I:I)),1,0)+K2573</f>
        <v>0</v>
      </c>
      <c r="M2573" s="3">
        <f ca="1">IF(AND(N2573&lt;&gt;N2572,ISNUMBER(SEARCH(Лист2!$B$6,N:N)),L2573=2),MAX($M$3:OFFSET(M2573,-1,0))+1,0)</f>
        <v>0</v>
      </c>
      <c r="N2573" s="3" t="s">
        <v>1747</v>
      </c>
    </row>
    <row r="2574" spans="1:14" x14ac:dyDescent="0.25">
      <c r="A2574" s="1" t="s">
        <v>11449</v>
      </c>
      <c r="B2574" s="3" t="s">
        <v>6198</v>
      </c>
      <c r="C2574" s="2">
        <f ca="1">IF(ISNUMBER(SEARCH(Лист2!$B$4,D:D)),MAX($C$3:OFFSET(C2574,-1,0))+1,0)</f>
        <v>0</v>
      </c>
      <c r="E2574" s="9" t="str">
        <f t="shared" ca="1" si="52"/>
        <v/>
      </c>
      <c r="F2574" s="4" t="s">
        <v>7</v>
      </c>
      <c r="G2574" s="2">
        <f>IF(ISNUMBER(SEARCH(Лист2!$B$4,F:F)),1,0)</f>
        <v>0</v>
      </c>
      <c r="H2574" s="3">
        <f ca="1">IF(AND(I2574&lt;&gt;I2573,ISNUMBER(SEARCH(Лист2!$B$5,I:I)),G2574=1),MAX($H$3:OFFSET(H2574,-1,0))+1,0)</f>
        <v>0</v>
      </c>
      <c r="I2574" s="3" t="s">
        <v>236</v>
      </c>
      <c r="K2574" s="2">
        <f>IF(ISNUMBER(SEARCH(Лист2!$B$4,F:F)),1,0)</f>
        <v>0</v>
      </c>
      <c r="L2574" s="14">
        <f>IF(ISNUMBER(SEARCH(Лист2!$B$5,I:I)),1,0)+K2574</f>
        <v>0</v>
      </c>
      <c r="M2574" s="3">
        <f ca="1">IF(AND(N2574&lt;&gt;N2573,ISNUMBER(SEARCH(Лист2!$B$6,N:N)),L2574=2),MAX($M$3:OFFSET(M2574,-1,0))+1,0)</f>
        <v>0</v>
      </c>
      <c r="N2574" s="3" t="s">
        <v>1735</v>
      </c>
    </row>
    <row r="2575" spans="1:14" x14ac:dyDescent="0.25">
      <c r="A2575" s="1" t="s">
        <v>11450</v>
      </c>
      <c r="B2575" s="3" t="s">
        <v>6199</v>
      </c>
      <c r="C2575" s="2">
        <f ca="1">IF(ISNUMBER(SEARCH(Лист2!$B$4,D:D)),MAX($C$3:OFFSET(C2575,-1,0))+1,0)</f>
        <v>0</v>
      </c>
      <c r="E2575" s="9" t="str">
        <f t="shared" ca="1" si="52"/>
        <v/>
      </c>
      <c r="F2575" s="4" t="s">
        <v>7</v>
      </c>
      <c r="G2575" s="2">
        <f>IF(ISNUMBER(SEARCH(Лист2!$B$4,F:F)),1,0)</f>
        <v>0</v>
      </c>
      <c r="H2575" s="3">
        <f ca="1">IF(AND(I2575&lt;&gt;I2574,ISNUMBER(SEARCH(Лист2!$B$5,I:I)),G2575=1),MAX($H$3:OFFSET(H2575,-1,0))+1,0)</f>
        <v>0</v>
      </c>
      <c r="I2575" s="3" t="s">
        <v>236</v>
      </c>
      <c r="K2575" s="2">
        <f>IF(ISNUMBER(SEARCH(Лист2!$B$4,F:F)),1,0)</f>
        <v>0</v>
      </c>
      <c r="L2575" s="14">
        <f>IF(ISNUMBER(SEARCH(Лист2!$B$5,I:I)),1,0)+K2575</f>
        <v>0</v>
      </c>
      <c r="M2575" s="3">
        <f ca="1">IF(AND(N2575&lt;&gt;N2574,ISNUMBER(SEARCH(Лист2!$B$6,N:N)),L2575=2),MAX($M$3:OFFSET(M2575,-1,0))+1,0)</f>
        <v>0</v>
      </c>
      <c r="N2575" s="3" t="s">
        <v>1621</v>
      </c>
    </row>
    <row r="2576" spans="1:14" x14ac:dyDescent="0.25">
      <c r="A2576" s="1" t="s">
        <v>11451</v>
      </c>
      <c r="B2576" s="3" t="s">
        <v>6200</v>
      </c>
      <c r="C2576" s="2">
        <f ca="1">IF(ISNUMBER(SEARCH(Лист2!$B$4,D:D)),MAX($C$3:OFFSET(C2576,-1,0))+1,0)</f>
        <v>0</v>
      </c>
      <c r="E2576" s="9" t="str">
        <f t="shared" ca="1" si="52"/>
        <v/>
      </c>
      <c r="F2576" s="4" t="s">
        <v>7</v>
      </c>
      <c r="G2576" s="2">
        <f>IF(ISNUMBER(SEARCH(Лист2!$B$4,F:F)),1,0)</f>
        <v>0</v>
      </c>
      <c r="H2576" s="3">
        <f ca="1">IF(AND(I2576&lt;&gt;I2575,ISNUMBER(SEARCH(Лист2!$B$5,I:I)),G2576=1),MAX($H$3:OFFSET(H2576,-1,0))+1,0)</f>
        <v>0</v>
      </c>
      <c r="I2576" s="3" t="s">
        <v>236</v>
      </c>
      <c r="K2576" s="2">
        <f>IF(ISNUMBER(SEARCH(Лист2!$B$4,F:F)),1,0)</f>
        <v>0</v>
      </c>
      <c r="L2576" s="14">
        <f>IF(ISNUMBER(SEARCH(Лист2!$B$5,I:I)),1,0)+K2576</f>
        <v>0</v>
      </c>
      <c r="M2576" s="3">
        <f ca="1">IF(AND(N2576&lt;&gt;N2575,ISNUMBER(SEARCH(Лист2!$B$6,N:N)),L2576=2),MAX($M$3:OFFSET(M2576,-1,0))+1,0)</f>
        <v>0</v>
      </c>
      <c r="N2576" s="3" t="s">
        <v>1748</v>
      </c>
    </row>
    <row r="2577" spans="1:14" x14ac:dyDescent="0.25">
      <c r="A2577" s="1" t="s">
        <v>11597</v>
      </c>
      <c r="B2577" s="3" t="s">
        <v>6201</v>
      </c>
      <c r="C2577" s="2">
        <f ca="1">IF(ISNUMBER(SEARCH(Лист2!$B$4,D:D)),MAX($C$3:OFFSET(C2577,-1,0))+1,0)</f>
        <v>0</v>
      </c>
      <c r="E2577" s="9" t="str">
        <f t="shared" ca="1" si="52"/>
        <v/>
      </c>
      <c r="F2577" s="4" t="s">
        <v>7</v>
      </c>
      <c r="G2577" s="2">
        <f>IF(ISNUMBER(SEARCH(Лист2!$B$4,F:F)),1,0)</f>
        <v>0</v>
      </c>
      <c r="H2577" s="3">
        <f ca="1">IF(AND(I2577&lt;&gt;I2576,ISNUMBER(SEARCH(Лист2!$B$5,I:I)),G2577=1),MAX($H$3:OFFSET(H2577,-1,0))+1,0)</f>
        <v>0</v>
      </c>
      <c r="I2577" s="3" t="s">
        <v>236</v>
      </c>
      <c r="K2577" s="2">
        <f>IF(ISNUMBER(SEARCH(Лист2!$B$4,F:F)),1,0)</f>
        <v>0</v>
      </c>
      <c r="L2577" s="14">
        <f>IF(ISNUMBER(SEARCH(Лист2!$B$5,I:I)),1,0)+K2577</f>
        <v>0</v>
      </c>
      <c r="M2577" s="3">
        <f ca="1">IF(AND(N2577&lt;&gt;N2576,ISNUMBER(SEARCH(Лист2!$B$6,N:N)),L2577=2),MAX($M$3:OFFSET(M2577,-1,0))+1,0)</f>
        <v>0</v>
      </c>
      <c r="N2577" s="3" t="s">
        <v>1737</v>
      </c>
    </row>
    <row r="2578" spans="1:14" x14ac:dyDescent="0.25">
      <c r="A2578" s="1" t="s">
        <v>11453</v>
      </c>
      <c r="B2578" s="3" t="s">
        <v>6202</v>
      </c>
      <c r="C2578" s="2">
        <f ca="1">IF(ISNUMBER(SEARCH(Лист2!$B$4,D:D)),MAX($C$3:OFFSET(C2578,-1,0))+1,0)</f>
        <v>0</v>
      </c>
      <c r="E2578" s="9" t="str">
        <f t="shared" ca="1" si="52"/>
        <v/>
      </c>
      <c r="F2578" s="4" t="s">
        <v>7</v>
      </c>
      <c r="G2578" s="2">
        <f>IF(ISNUMBER(SEARCH(Лист2!$B$4,F:F)),1,0)</f>
        <v>0</v>
      </c>
      <c r="H2578" s="3">
        <f ca="1">IF(AND(I2578&lt;&gt;I2577,ISNUMBER(SEARCH(Лист2!$B$5,I:I)),G2578=1),MAX($H$3:OFFSET(H2578,-1,0))+1,0)</f>
        <v>0</v>
      </c>
      <c r="I2578" s="3" t="s">
        <v>236</v>
      </c>
      <c r="K2578" s="2">
        <f>IF(ISNUMBER(SEARCH(Лист2!$B$4,F:F)),1,0)</f>
        <v>0</v>
      </c>
      <c r="L2578" s="14">
        <f>IF(ISNUMBER(SEARCH(Лист2!$B$5,I:I)),1,0)+K2578</f>
        <v>0</v>
      </c>
      <c r="M2578" s="3">
        <f ca="1">IF(AND(N2578&lt;&gt;N2577,ISNUMBER(SEARCH(Лист2!$B$6,N:N)),L2578=2),MAX($M$3:OFFSET(M2578,-1,0))+1,0)</f>
        <v>0</v>
      </c>
      <c r="N2578" s="3" t="s">
        <v>1678</v>
      </c>
    </row>
    <row r="2579" spans="1:14" x14ac:dyDescent="0.25">
      <c r="A2579" s="1" t="s">
        <v>11454</v>
      </c>
      <c r="B2579" s="3" t="s">
        <v>6203</v>
      </c>
      <c r="C2579" s="2">
        <f ca="1">IF(ISNUMBER(SEARCH(Лист2!$B$4,D:D)),MAX($C$3:OFFSET(C2579,-1,0))+1,0)</f>
        <v>0</v>
      </c>
      <c r="E2579" s="9" t="str">
        <f t="shared" ca="1" si="52"/>
        <v/>
      </c>
      <c r="F2579" s="4" t="s">
        <v>7</v>
      </c>
      <c r="G2579" s="2">
        <f>IF(ISNUMBER(SEARCH(Лист2!$B$4,F:F)),1,0)</f>
        <v>0</v>
      </c>
      <c r="H2579" s="3">
        <f ca="1">IF(AND(I2579&lt;&gt;I2578,ISNUMBER(SEARCH(Лист2!$B$5,I:I)),G2579=1),MAX($H$3:OFFSET(H2579,-1,0))+1,0)</f>
        <v>0</v>
      </c>
      <c r="I2579" s="3" t="s">
        <v>236</v>
      </c>
      <c r="K2579" s="2">
        <f>IF(ISNUMBER(SEARCH(Лист2!$B$4,F:F)),1,0)</f>
        <v>0</v>
      </c>
      <c r="L2579" s="14">
        <f>IF(ISNUMBER(SEARCH(Лист2!$B$5,I:I)),1,0)+K2579</f>
        <v>0</v>
      </c>
      <c r="M2579" s="3">
        <f ca="1">IF(AND(N2579&lt;&gt;N2578,ISNUMBER(SEARCH(Лист2!$B$6,N:N)),L2579=2),MAX($M$3:OFFSET(M2579,-1,0))+1,0)</f>
        <v>0</v>
      </c>
      <c r="N2579" s="3" t="s">
        <v>602</v>
      </c>
    </row>
    <row r="2580" spans="1:14" x14ac:dyDescent="0.25">
      <c r="A2580" s="1" t="s">
        <v>11455</v>
      </c>
      <c r="B2580" s="3" t="s">
        <v>6204</v>
      </c>
      <c r="C2580" s="2">
        <f ca="1">IF(ISNUMBER(SEARCH(Лист2!$B$4,D:D)),MAX($C$3:OFFSET(C2580,-1,0))+1,0)</f>
        <v>0</v>
      </c>
      <c r="E2580" s="9" t="str">
        <f t="shared" ca="1" si="52"/>
        <v/>
      </c>
      <c r="F2580" s="4" t="s">
        <v>7</v>
      </c>
      <c r="G2580" s="2">
        <f>IF(ISNUMBER(SEARCH(Лист2!$B$4,F:F)),1,0)</f>
        <v>0</v>
      </c>
      <c r="H2580" s="3">
        <f ca="1">IF(AND(I2580&lt;&gt;I2579,ISNUMBER(SEARCH(Лист2!$B$5,I:I)),G2580=1),MAX($H$3:OFFSET(H2580,-1,0))+1,0)</f>
        <v>0</v>
      </c>
      <c r="I2580" s="3" t="s">
        <v>236</v>
      </c>
      <c r="K2580" s="2">
        <f>IF(ISNUMBER(SEARCH(Лист2!$B$4,F:F)),1,0)</f>
        <v>0</v>
      </c>
      <c r="L2580" s="14">
        <f>IF(ISNUMBER(SEARCH(Лист2!$B$5,I:I)),1,0)+K2580</f>
        <v>0</v>
      </c>
      <c r="M2580" s="3">
        <f ca="1">IF(AND(N2580&lt;&gt;N2579,ISNUMBER(SEARCH(Лист2!$B$6,N:N)),L2580=2),MAX($M$3:OFFSET(M2580,-1,0))+1,0)</f>
        <v>0</v>
      </c>
      <c r="N2580" s="3" t="s">
        <v>1750</v>
      </c>
    </row>
    <row r="2581" spans="1:14" x14ac:dyDescent="0.25">
      <c r="A2581" s="1" t="s">
        <v>11456</v>
      </c>
      <c r="B2581" s="3" t="s">
        <v>6205</v>
      </c>
      <c r="C2581" s="2">
        <f ca="1">IF(ISNUMBER(SEARCH(Лист2!$B$4,D:D)),MAX($C$3:OFFSET(C2581,-1,0))+1,0)</f>
        <v>0</v>
      </c>
      <c r="E2581" s="9" t="str">
        <f t="shared" ca="1" si="52"/>
        <v/>
      </c>
      <c r="F2581" s="4" t="s">
        <v>7</v>
      </c>
      <c r="G2581" s="2">
        <f>IF(ISNUMBER(SEARCH(Лист2!$B$4,F:F)),1,0)</f>
        <v>0</v>
      </c>
      <c r="H2581" s="3">
        <f ca="1">IF(AND(I2581&lt;&gt;I2580,ISNUMBER(SEARCH(Лист2!$B$5,I:I)),G2581=1),MAX($H$3:OFFSET(H2581,-1,0))+1,0)</f>
        <v>0</v>
      </c>
      <c r="I2581" s="3" t="s">
        <v>236</v>
      </c>
      <c r="K2581" s="2">
        <f>IF(ISNUMBER(SEARCH(Лист2!$B$4,F:F)),1,0)</f>
        <v>0</v>
      </c>
      <c r="L2581" s="14">
        <f>IF(ISNUMBER(SEARCH(Лист2!$B$5,I:I)),1,0)+K2581</f>
        <v>0</v>
      </c>
      <c r="M2581" s="3">
        <f ca="1">IF(AND(N2581&lt;&gt;N2580,ISNUMBER(SEARCH(Лист2!$B$6,N:N)),L2581=2),MAX($M$3:OFFSET(M2581,-1,0))+1,0)</f>
        <v>0</v>
      </c>
      <c r="N2581" s="3" t="s">
        <v>1751</v>
      </c>
    </row>
    <row r="2582" spans="1:14" x14ac:dyDescent="0.25">
      <c r="A2582" s="1" t="s">
        <v>11457</v>
      </c>
      <c r="B2582" s="3" t="s">
        <v>6206</v>
      </c>
      <c r="C2582" s="2">
        <f ca="1">IF(ISNUMBER(SEARCH(Лист2!$B$4,D:D)),MAX($C$3:OFFSET(C2582,-1,0))+1,0)</f>
        <v>0</v>
      </c>
      <c r="E2582" s="9" t="str">
        <f t="shared" ca="1" si="52"/>
        <v/>
      </c>
      <c r="F2582" s="4" t="s">
        <v>7</v>
      </c>
      <c r="G2582" s="2">
        <f>IF(ISNUMBER(SEARCH(Лист2!$B$4,F:F)),1,0)</f>
        <v>0</v>
      </c>
      <c r="H2582" s="3">
        <f ca="1">IF(AND(I2582&lt;&gt;I2581,ISNUMBER(SEARCH(Лист2!$B$5,I:I)),G2582=1),MAX($H$3:OFFSET(H2582,-1,0))+1,0)</f>
        <v>0</v>
      </c>
      <c r="I2582" s="3" t="s">
        <v>236</v>
      </c>
      <c r="K2582" s="2">
        <f>IF(ISNUMBER(SEARCH(Лист2!$B$4,F:F)),1,0)</f>
        <v>0</v>
      </c>
      <c r="L2582" s="14">
        <f>IF(ISNUMBER(SEARCH(Лист2!$B$5,I:I)),1,0)+K2582</f>
        <v>0</v>
      </c>
      <c r="M2582" s="3">
        <f ca="1">IF(AND(N2582&lt;&gt;N2581,ISNUMBER(SEARCH(Лист2!$B$6,N:N)),L2582=2),MAX($M$3:OFFSET(M2582,-1,0))+1,0)</f>
        <v>0</v>
      </c>
      <c r="N2582" s="3" t="s">
        <v>1752</v>
      </c>
    </row>
    <row r="2583" spans="1:14" x14ac:dyDescent="0.25">
      <c r="A2583" s="1" t="s">
        <v>11458</v>
      </c>
      <c r="B2583" s="3" t="s">
        <v>6207</v>
      </c>
      <c r="C2583" s="2">
        <f ca="1">IF(ISNUMBER(SEARCH(Лист2!$B$4,D:D)),MAX($C$3:OFFSET(C2583,-1,0))+1,0)</f>
        <v>0</v>
      </c>
      <c r="E2583" s="9" t="str">
        <f t="shared" ca="1" si="52"/>
        <v/>
      </c>
      <c r="F2583" s="4" t="s">
        <v>7</v>
      </c>
      <c r="G2583" s="2">
        <f>IF(ISNUMBER(SEARCH(Лист2!$B$4,F:F)),1,0)</f>
        <v>0</v>
      </c>
      <c r="H2583" s="3">
        <f ca="1">IF(AND(I2583&lt;&gt;I2582,ISNUMBER(SEARCH(Лист2!$B$5,I:I)),G2583=1),MAX($H$3:OFFSET(H2583,-1,0))+1,0)</f>
        <v>0</v>
      </c>
      <c r="I2583" s="3" t="s">
        <v>236</v>
      </c>
      <c r="K2583" s="2">
        <f>IF(ISNUMBER(SEARCH(Лист2!$B$4,F:F)),1,0)</f>
        <v>0</v>
      </c>
      <c r="L2583" s="14">
        <f>IF(ISNUMBER(SEARCH(Лист2!$B$5,I:I)),1,0)+K2583</f>
        <v>0</v>
      </c>
      <c r="M2583" s="3">
        <f ca="1">IF(AND(N2583&lt;&gt;N2582,ISNUMBER(SEARCH(Лист2!$B$6,N:N)),L2583=2),MAX($M$3:OFFSET(M2583,-1,0))+1,0)</f>
        <v>0</v>
      </c>
      <c r="N2583" s="3" t="s">
        <v>1753</v>
      </c>
    </row>
    <row r="2584" spans="1:14" x14ac:dyDescent="0.25">
      <c r="A2584" s="1" t="s">
        <v>11459</v>
      </c>
      <c r="B2584" s="3" t="s">
        <v>6208</v>
      </c>
      <c r="C2584" s="2">
        <f ca="1">IF(ISNUMBER(SEARCH(Лист2!$B$4,D:D)),MAX($C$3:OFFSET(C2584,-1,0))+1,0)</f>
        <v>0</v>
      </c>
      <c r="E2584" s="9" t="str">
        <f t="shared" ca="1" si="52"/>
        <v/>
      </c>
      <c r="F2584" s="4" t="s">
        <v>7</v>
      </c>
      <c r="G2584" s="2">
        <f>IF(ISNUMBER(SEARCH(Лист2!$B$4,F:F)),1,0)</f>
        <v>0</v>
      </c>
      <c r="H2584" s="3">
        <f ca="1">IF(AND(I2584&lt;&gt;I2583,ISNUMBER(SEARCH(Лист2!$B$5,I:I)),G2584=1),MAX($H$3:OFFSET(H2584,-1,0))+1,0)</f>
        <v>0</v>
      </c>
      <c r="I2584" s="3" t="s">
        <v>236</v>
      </c>
      <c r="K2584" s="2">
        <f>IF(ISNUMBER(SEARCH(Лист2!$B$4,F:F)),1,0)</f>
        <v>0</v>
      </c>
      <c r="L2584" s="14">
        <f>IF(ISNUMBER(SEARCH(Лист2!$B$5,I:I)),1,0)+K2584</f>
        <v>0</v>
      </c>
      <c r="M2584" s="3">
        <f ca="1">IF(AND(N2584&lt;&gt;N2583,ISNUMBER(SEARCH(Лист2!$B$6,N:N)),L2584=2),MAX($M$3:OFFSET(M2584,-1,0))+1,0)</f>
        <v>0</v>
      </c>
      <c r="N2584" s="3" t="s">
        <v>1754</v>
      </c>
    </row>
    <row r="2585" spans="1:14" x14ac:dyDescent="0.25">
      <c r="A2585" s="1" t="s">
        <v>11460</v>
      </c>
      <c r="B2585" s="3" t="s">
        <v>6209</v>
      </c>
      <c r="C2585" s="2">
        <f ca="1">IF(ISNUMBER(SEARCH(Лист2!$B$4,D:D)),MAX($C$3:OFFSET(C2585,-1,0))+1,0)</f>
        <v>0</v>
      </c>
      <c r="E2585" s="9" t="str">
        <f t="shared" ca="1" si="52"/>
        <v/>
      </c>
      <c r="F2585" s="4" t="s">
        <v>7</v>
      </c>
      <c r="G2585" s="2">
        <f>IF(ISNUMBER(SEARCH(Лист2!$B$4,F:F)),1,0)</f>
        <v>0</v>
      </c>
      <c r="H2585" s="3">
        <f ca="1">IF(AND(I2585&lt;&gt;I2584,ISNUMBER(SEARCH(Лист2!$B$5,I:I)),G2585=1),MAX($H$3:OFFSET(H2585,-1,0))+1,0)</f>
        <v>0</v>
      </c>
      <c r="I2585" s="3" t="s">
        <v>237</v>
      </c>
      <c r="K2585" s="2">
        <f>IF(ISNUMBER(SEARCH(Лист2!$B$4,F:F)),1,0)</f>
        <v>0</v>
      </c>
      <c r="L2585" s="14">
        <f>IF(ISNUMBER(SEARCH(Лист2!$B$5,I:I)),1,0)+K2585</f>
        <v>0</v>
      </c>
      <c r="M2585" s="3">
        <f ca="1">IF(AND(N2585&lt;&gt;N2584,ISNUMBER(SEARCH(Лист2!$B$6,N:N)),L2585=2),MAX($M$3:OFFSET(M2585,-1,0))+1,0)</f>
        <v>0</v>
      </c>
      <c r="N2585" s="3" t="s">
        <v>1755</v>
      </c>
    </row>
    <row r="2586" spans="1:14" x14ac:dyDescent="0.25">
      <c r="A2586" s="1" t="s">
        <v>11461</v>
      </c>
      <c r="B2586" s="3" t="s">
        <v>6210</v>
      </c>
      <c r="C2586" s="2">
        <f ca="1">IF(ISNUMBER(SEARCH(Лист2!$B$4,D:D)),MAX($C$3:OFFSET(C2586,-1,0))+1,0)</f>
        <v>0</v>
      </c>
      <c r="E2586" s="9" t="str">
        <f t="shared" ca="1" si="52"/>
        <v/>
      </c>
      <c r="F2586" s="4" t="s">
        <v>7</v>
      </c>
      <c r="G2586" s="2">
        <f>IF(ISNUMBER(SEARCH(Лист2!$B$4,F:F)),1,0)</f>
        <v>0</v>
      </c>
      <c r="H2586" s="3">
        <f ca="1">IF(AND(I2586&lt;&gt;I2585,ISNUMBER(SEARCH(Лист2!$B$5,I:I)),G2586=1),MAX($H$3:OFFSET(H2586,-1,0))+1,0)</f>
        <v>0</v>
      </c>
      <c r="I2586" s="3" t="s">
        <v>237</v>
      </c>
      <c r="K2586" s="2">
        <f>IF(ISNUMBER(SEARCH(Лист2!$B$4,F:F)),1,0)</f>
        <v>0</v>
      </c>
      <c r="L2586" s="14">
        <f>IF(ISNUMBER(SEARCH(Лист2!$B$5,I:I)),1,0)+K2586</f>
        <v>0</v>
      </c>
      <c r="M2586" s="3">
        <f ca="1">IF(AND(N2586&lt;&gt;N2585,ISNUMBER(SEARCH(Лист2!$B$6,N:N)),L2586=2),MAX($M$3:OFFSET(M2586,-1,0))+1,0)</f>
        <v>0</v>
      </c>
      <c r="N2586" s="3" t="s">
        <v>1756</v>
      </c>
    </row>
    <row r="2587" spans="1:14" x14ac:dyDescent="0.25">
      <c r="A2587" s="1" t="s">
        <v>11462</v>
      </c>
      <c r="B2587" s="3" t="s">
        <v>6211</v>
      </c>
      <c r="C2587" s="2">
        <f ca="1">IF(ISNUMBER(SEARCH(Лист2!$B$4,D:D)),MAX($C$3:OFFSET(C2587,-1,0))+1,0)</f>
        <v>0</v>
      </c>
      <c r="E2587" s="9" t="str">
        <f t="shared" ca="1" si="52"/>
        <v/>
      </c>
      <c r="F2587" s="4" t="s">
        <v>7</v>
      </c>
      <c r="G2587" s="2">
        <f>IF(ISNUMBER(SEARCH(Лист2!$B$4,F:F)),1,0)</f>
        <v>0</v>
      </c>
      <c r="H2587" s="3">
        <f ca="1">IF(AND(I2587&lt;&gt;I2586,ISNUMBER(SEARCH(Лист2!$B$5,I:I)),G2587=1),MAX($H$3:OFFSET(H2587,-1,0))+1,0)</f>
        <v>0</v>
      </c>
      <c r="I2587" s="3" t="s">
        <v>237</v>
      </c>
      <c r="K2587" s="2">
        <f>IF(ISNUMBER(SEARCH(Лист2!$B$4,F:F)),1,0)</f>
        <v>0</v>
      </c>
      <c r="L2587" s="14">
        <f>IF(ISNUMBER(SEARCH(Лист2!$B$5,I:I)),1,0)+K2587</f>
        <v>0</v>
      </c>
      <c r="M2587" s="3">
        <f ca="1">IF(AND(N2587&lt;&gt;N2586,ISNUMBER(SEARCH(Лист2!$B$6,N:N)),L2587=2),MAX($M$3:OFFSET(M2587,-1,0))+1,0)</f>
        <v>0</v>
      </c>
      <c r="N2587" s="3" t="s">
        <v>1757</v>
      </c>
    </row>
    <row r="2588" spans="1:14" x14ac:dyDescent="0.25">
      <c r="A2588" s="1" t="s">
        <v>11463</v>
      </c>
      <c r="B2588" s="3" t="s">
        <v>6212</v>
      </c>
      <c r="C2588" s="2">
        <f ca="1">IF(ISNUMBER(SEARCH(Лист2!$B$4,D:D)),MAX($C$3:OFFSET(C2588,-1,0))+1,0)</f>
        <v>0</v>
      </c>
      <c r="E2588" s="9" t="str">
        <f t="shared" ca="1" si="52"/>
        <v/>
      </c>
      <c r="F2588" s="4" t="s">
        <v>7</v>
      </c>
      <c r="G2588" s="2">
        <f>IF(ISNUMBER(SEARCH(Лист2!$B$4,F:F)),1,0)</f>
        <v>0</v>
      </c>
      <c r="H2588" s="3">
        <f ca="1">IF(AND(I2588&lt;&gt;I2587,ISNUMBER(SEARCH(Лист2!$B$5,I:I)),G2588=1),MAX($H$3:OFFSET(H2588,-1,0))+1,0)</f>
        <v>0</v>
      </c>
      <c r="I2588" s="3" t="s">
        <v>237</v>
      </c>
      <c r="K2588" s="2">
        <f>IF(ISNUMBER(SEARCH(Лист2!$B$4,F:F)),1,0)</f>
        <v>0</v>
      </c>
      <c r="L2588" s="14">
        <f>IF(ISNUMBER(SEARCH(Лист2!$B$5,I:I)),1,0)+K2588</f>
        <v>0</v>
      </c>
      <c r="M2588" s="3">
        <f ca="1">IF(AND(N2588&lt;&gt;N2587,ISNUMBER(SEARCH(Лист2!$B$6,N:N)),L2588=2),MAX($M$3:OFFSET(M2588,-1,0))+1,0)</f>
        <v>0</v>
      </c>
      <c r="N2588" s="3" t="s">
        <v>1758</v>
      </c>
    </row>
    <row r="2589" spans="1:14" x14ac:dyDescent="0.25">
      <c r="A2589" s="1" t="s">
        <v>11464</v>
      </c>
      <c r="B2589" s="3" t="s">
        <v>6213</v>
      </c>
      <c r="C2589" s="2">
        <f ca="1">IF(ISNUMBER(SEARCH(Лист2!$B$4,D:D)),MAX($C$3:OFFSET(C2589,-1,0))+1,0)</f>
        <v>0</v>
      </c>
      <c r="E2589" s="9" t="str">
        <f t="shared" ca="1" si="52"/>
        <v/>
      </c>
      <c r="F2589" s="4" t="s">
        <v>7</v>
      </c>
      <c r="G2589" s="2">
        <f>IF(ISNUMBER(SEARCH(Лист2!$B$4,F:F)),1,0)</f>
        <v>0</v>
      </c>
      <c r="H2589" s="3">
        <f ca="1">IF(AND(I2589&lt;&gt;I2588,ISNUMBER(SEARCH(Лист2!$B$5,I:I)),G2589=1),MAX($H$3:OFFSET(H2589,-1,0))+1,0)</f>
        <v>0</v>
      </c>
      <c r="I2589" s="3" t="s">
        <v>237</v>
      </c>
      <c r="K2589" s="2">
        <f>IF(ISNUMBER(SEARCH(Лист2!$B$4,F:F)),1,0)</f>
        <v>0</v>
      </c>
      <c r="L2589" s="14">
        <f>IF(ISNUMBER(SEARCH(Лист2!$B$5,I:I)),1,0)+K2589</f>
        <v>0</v>
      </c>
      <c r="M2589" s="3">
        <f ca="1">IF(AND(N2589&lt;&gt;N2588,ISNUMBER(SEARCH(Лист2!$B$6,N:N)),L2589=2),MAX($M$3:OFFSET(M2589,-1,0))+1,0)</f>
        <v>0</v>
      </c>
      <c r="N2589" s="3" t="s">
        <v>1759</v>
      </c>
    </row>
    <row r="2590" spans="1:14" x14ac:dyDescent="0.25">
      <c r="A2590" s="1" t="s">
        <v>11465</v>
      </c>
      <c r="B2590" s="3" t="s">
        <v>6214</v>
      </c>
      <c r="C2590" s="2">
        <f ca="1">IF(ISNUMBER(SEARCH(Лист2!$B$4,D:D)),MAX($C$3:OFFSET(C2590,-1,0))+1,0)</f>
        <v>0</v>
      </c>
      <c r="E2590" s="9" t="str">
        <f t="shared" ca="1" si="52"/>
        <v/>
      </c>
      <c r="F2590" s="4" t="s">
        <v>7</v>
      </c>
      <c r="G2590" s="2">
        <f>IF(ISNUMBER(SEARCH(Лист2!$B$4,F:F)),1,0)</f>
        <v>0</v>
      </c>
      <c r="H2590" s="3">
        <f ca="1">IF(AND(I2590&lt;&gt;I2589,ISNUMBER(SEARCH(Лист2!$B$5,I:I)),G2590=1),MAX($H$3:OFFSET(H2590,-1,0))+1,0)</f>
        <v>0</v>
      </c>
      <c r="I2590" s="3" t="s">
        <v>237</v>
      </c>
      <c r="K2590" s="2">
        <f>IF(ISNUMBER(SEARCH(Лист2!$B$4,F:F)),1,0)</f>
        <v>0</v>
      </c>
      <c r="L2590" s="14">
        <f>IF(ISNUMBER(SEARCH(Лист2!$B$5,I:I)),1,0)+K2590</f>
        <v>0</v>
      </c>
      <c r="M2590" s="3">
        <f ca="1">IF(AND(N2590&lt;&gt;N2589,ISNUMBER(SEARCH(Лист2!$B$6,N:N)),L2590=2),MAX($M$3:OFFSET(M2590,-1,0))+1,0)</f>
        <v>0</v>
      </c>
      <c r="N2590" s="3" t="s">
        <v>1735</v>
      </c>
    </row>
    <row r="2591" spans="1:14" x14ac:dyDescent="0.25">
      <c r="A2591" s="1" t="s">
        <v>11466</v>
      </c>
      <c r="B2591" s="3" t="s">
        <v>6215</v>
      </c>
      <c r="C2591" s="2">
        <f ca="1">IF(ISNUMBER(SEARCH(Лист2!$B$4,D:D)),MAX($C$3:OFFSET(C2591,-1,0))+1,0)</f>
        <v>0</v>
      </c>
      <c r="E2591" s="9" t="str">
        <f t="shared" ca="1" si="52"/>
        <v/>
      </c>
      <c r="F2591" s="4" t="s">
        <v>7</v>
      </c>
      <c r="G2591" s="2">
        <f>IF(ISNUMBER(SEARCH(Лист2!$B$4,F:F)),1,0)</f>
        <v>0</v>
      </c>
      <c r="H2591" s="3">
        <f ca="1">IF(AND(I2591&lt;&gt;I2590,ISNUMBER(SEARCH(Лист2!$B$5,I:I)),G2591=1),MAX($H$3:OFFSET(H2591,-1,0))+1,0)</f>
        <v>0</v>
      </c>
      <c r="I2591" s="3" t="s">
        <v>237</v>
      </c>
      <c r="K2591" s="2">
        <f>IF(ISNUMBER(SEARCH(Лист2!$B$4,F:F)),1,0)</f>
        <v>0</v>
      </c>
      <c r="L2591" s="14">
        <f>IF(ISNUMBER(SEARCH(Лист2!$B$5,I:I)),1,0)+K2591</f>
        <v>0</v>
      </c>
      <c r="M2591" s="3">
        <f ca="1">IF(AND(N2591&lt;&gt;N2590,ISNUMBER(SEARCH(Лист2!$B$6,N:N)),L2591=2),MAX($M$3:OFFSET(M2591,-1,0))+1,0)</f>
        <v>0</v>
      </c>
      <c r="N2591" s="3" t="s">
        <v>1690</v>
      </c>
    </row>
    <row r="2592" spans="1:14" x14ac:dyDescent="0.25">
      <c r="A2592" s="1" t="s">
        <v>11467</v>
      </c>
      <c r="B2592" s="3" t="s">
        <v>6216</v>
      </c>
      <c r="C2592" s="2">
        <f ca="1">IF(ISNUMBER(SEARCH(Лист2!$B$4,D:D)),MAX($C$3:OFFSET(C2592,-1,0))+1,0)</f>
        <v>0</v>
      </c>
      <c r="E2592" s="9" t="str">
        <f t="shared" ca="1" si="52"/>
        <v/>
      </c>
      <c r="F2592" s="4" t="s">
        <v>7</v>
      </c>
      <c r="G2592" s="2">
        <f>IF(ISNUMBER(SEARCH(Лист2!$B$4,F:F)),1,0)</f>
        <v>0</v>
      </c>
      <c r="H2592" s="3">
        <f ca="1">IF(AND(I2592&lt;&gt;I2591,ISNUMBER(SEARCH(Лист2!$B$5,I:I)),G2592=1),MAX($H$3:OFFSET(H2592,-1,0))+1,0)</f>
        <v>0</v>
      </c>
      <c r="I2592" s="3" t="s">
        <v>237</v>
      </c>
      <c r="K2592" s="2">
        <f>IF(ISNUMBER(SEARCH(Лист2!$B$4,F:F)),1,0)</f>
        <v>0</v>
      </c>
      <c r="L2592" s="14">
        <f>IF(ISNUMBER(SEARCH(Лист2!$B$5,I:I)),1,0)+K2592</f>
        <v>0</v>
      </c>
      <c r="M2592" s="3">
        <f ca="1">IF(AND(N2592&lt;&gt;N2591,ISNUMBER(SEARCH(Лист2!$B$6,N:N)),L2592=2),MAX($M$3:OFFSET(M2592,-1,0))+1,0)</f>
        <v>0</v>
      </c>
      <c r="N2592" s="3" t="s">
        <v>1760</v>
      </c>
    </row>
    <row r="2593" spans="1:14" x14ac:dyDescent="0.25">
      <c r="A2593" s="1" t="s">
        <v>11468</v>
      </c>
      <c r="B2593" s="3" t="s">
        <v>6217</v>
      </c>
      <c r="C2593" s="2">
        <f ca="1">IF(ISNUMBER(SEARCH(Лист2!$B$4,D:D)),MAX($C$3:OFFSET(C2593,-1,0))+1,0)</f>
        <v>0</v>
      </c>
      <c r="E2593" s="9" t="str">
        <f t="shared" ca="1" si="52"/>
        <v/>
      </c>
      <c r="F2593" s="4" t="s">
        <v>7</v>
      </c>
      <c r="G2593" s="2">
        <f>IF(ISNUMBER(SEARCH(Лист2!$B$4,F:F)),1,0)</f>
        <v>0</v>
      </c>
      <c r="H2593" s="3">
        <f ca="1">IF(AND(I2593&lt;&gt;I2592,ISNUMBER(SEARCH(Лист2!$B$5,I:I)),G2593=1),MAX($H$3:OFFSET(H2593,-1,0))+1,0)</f>
        <v>0</v>
      </c>
      <c r="I2593" s="3" t="s">
        <v>237</v>
      </c>
      <c r="K2593" s="2">
        <f>IF(ISNUMBER(SEARCH(Лист2!$B$4,F:F)),1,0)</f>
        <v>0</v>
      </c>
      <c r="L2593" s="14">
        <f>IF(ISNUMBER(SEARCH(Лист2!$B$5,I:I)),1,0)+K2593</f>
        <v>0</v>
      </c>
      <c r="M2593" s="3">
        <f ca="1">IF(AND(N2593&lt;&gt;N2592,ISNUMBER(SEARCH(Лист2!$B$6,N:N)),L2593=2),MAX($M$3:OFFSET(M2593,-1,0))+1,0)</f>
        <v>0</v>
      </c>
      <c r="N2593" s="3" t="s">
        <v>1737</v>
      </c>
    </row>
    <row r="2594" spans="1:14" x14ac:dyDescent="0.25">
      <c r="A2594" s="1" t="s">
        <v>11469</v>
      </c>
      <c r="B2594" s="3" t="s">
        <v>6218</v>
      </c>
      <c r="C2594" s="2">
        <f ca="1">IF(ISNUMBER(SEARCH(Лист2!$B$4,D:D)),MAX($C$3:OFFSET(C2594,-1,0))+1,0)</f>
        <v>0</v>
      </c>
      <c r="E2594" s="9" t="str">
        <f t="shared" ca="1" si="52"/>
        <v/>
      </c>
      <c r="F2594" s="4" t="s">
        <v>7</v>
      </c>
      <c r="G2594" s="2">
        <f>IF(ISNUMBER(SEARCH(Лист2!$B$4,F:F)),1,0)</f>
        <v>0</v>
      </c>
      <c r="H2594" s="3">
        <f ca="1">IF(AND(I2594&lt;&gt;I2593,ISNUMBER(SEARCH(Лист2!$B$5,I:I)),G2594=1),MAX($H$3:OFFSET(H2594,-1,0))+1,0)</f>
        <v>0</v>
      </c>
      <c r="I2594" s="3" t="s">
        <v>237</v>
      </c>
      <c r="K2594" s="2">
        <f>IF(ISNUMBER(SEARCH(Лист2!$B$4,F:F)),1,0)</f>
        <v>0</v>
      </c>
      <c r="L2594" s="14">
        <f>IF(ISNUMBER(SEARCH(Лист2!$B$5,I:I)),1,0)+K2594</f>
        <v>0</v>
      </c>
      <c r="M2594" s="3">
        <f ca="1">IF(AND(N2594&lt;&gt;N2593,ISNUMBER(SEARCH(Лист2!$B$6,N:N)),L2594=2),MAX($M$3:OFFSET(M2594,-1,0))+1,0)</f>
        <v>0</v>
      </c>
      <c r="N2594" s="3" t="s">
        <v>1678</v>
      </c>
    </row>
    <row r="2595" spans="1:14" x14ac:dyDescent="0.25">
      <c r="A2595" s="1" t="s">
        <v>11470</v>
      </c>
      <c r="B2595" s="3" t="s">
        <v>6219</v>
      </c>
      <c r="C2595" s="2">
        <f ca="1">IF(ISNUMBER(SEARCH(Лист2!$B$4,D:D)),MAX($C$3:OFFSET(C2595,-1,0))+1,0)</f>
        <v>0</v>
      </c>
      <c r="E2595" s="9" t="str">
        <f t="shared" ca="1" si="52"/>
        <v/>
      </c>
      <c r="F2595" s="4" t="s">
        <v>7</v>
      </c>
      <c r="G2595" s="2">
        <f>IF(ISNUMBER(SEARCH(Лист2!$B$4,F:F)),1,0)</f>
        <v>0</v>
      </c>
      <c r="H2595" s="3">
        <f ca="1">IF(AND(I2595&lt;&gt;I2594,ISNUMBER(SEARCH(Лист2!$B$5,I:I)),G2595=1),MAX($H$3:OFFSET(H2595,-1,0))+1,0)</f>
        <v>0</v>
      </c>
      <c r="I2595" s="3" t="s">
        <v>237</v>
      </c>
      <c r="K2595" s="2">
        <f>IF(ISNUMBER(SEARCH(Лист2!$B$4,F:F)),1,0)</f>
        <v>0</v>
      </c>
      <c r="L2595" s="14">
        <f>IF(ISNUMBER(SEARCH(Лист2!$B$5,I:I)),1,0)+K2595</f>
        <v>0</v>
      </c>
      <c r="M2595" s="3">
        <f ca="1">IF(AND(N2595&lt;&gt;N2594,ISNUMBER(SEARCH(Лист2!$B$6,N:N)),L2595=2),MAX($M$3:OFFSET(M2595,-1,0))+1,0)</f>
        <v>0</v>
      </c>
      <c r="N2595" s="3" t="s">
        <v>602</v>
      </c>
    </row>
    <row r="2596" spans="1:14" x14ac:dyDescent="0.25">
      <c r="A2596" s="1" t="s">
        <v>11471</v>
      </c>
      <c r="B2596" s="3" t="s">
        <v>6220</v>
      </c>
      <c r="C2596" s="2">
        <f ca="1">IF(ISNUMBER(SEARCH(Лист2!$B$4,D:D)),MAX($C$3:OFFSET(C2596,-1,0))+1,0)</f>
        <v>0</v>
      </c>
      <c r="E2596" s="9" t="str">
        <f t="shared" ca="1" si="52"/>
        <v/>
      </c>
      <c r="F2596" s="4" t="s">
        <v>7</v>
      </c>
      <c r="G2596" s="2">
        <f>IF(ISNUMBER(SEARCH(Лист2!$B$4,F:F)),1,0)</f>
        <v>0</v>
      </c>
      <c r="H2596" s="3">
        <f ca="1">IF(AND(I2596&lt;&gt;I2595,ISNUMBER(SEARCH(Лист2!$B$5,I:I)),G2596=1),MAX($H$3:OFFSET(H2596,-1,0))+1,0)</f>
        <v>0</v>
      </c>
      <c r="I2596" s="3" t="s">
        <v>237</v>
      </c>
      <c r="K2596" s="2">
        <f>IF(ISNUMBER(SEARCH(Лист2!$B$4,F:F)),1,0)</f>
        <v>0</v>
      </c>
      <c r="L2596" s="14">
        <f>IF(ISNUMBER(SEARCH(Лист2!$B$5,I:I)),1,0)+K2596</f>
        <v>0</v>
      </c>
      <c r="M2596" s="3">
        <f ca="1">IF(AND(N2596&lt;&gt;N2595,ISNUMBER(SEARCH(Лист2!$B$6,N:N)),L2596=2),MAX($M$3:OFFSET(M2596,-1,0))+1,0)</f>
        <v>0</v>
      </c>
      <c r="N2596" s="3" t="s">
        <v>1761</v>
      </c>
    </row>
    <row r="2597" spans="1:14" x14ac:dyDescent="0.25">
      <c r="A2597" s="1" t="s">
        <v>11472</v>
      </c>
      <c r="B2597" s="3" t="s">
        <v>6221</v>
      </c>
      <c r="C2597" s="2">
        <f ca="1">IF(ISNUMBER(SEARCH(Лист2!$B$4,D:D)),MAX($C$3:OFFSET(C2597,-1,0))+1,0)</f>
        <v>0</v>
      </c>
      <c r="E2597" s="9" t="str">
        <f t="shared" ca="1" si="52"/>
        <v/>
      </c>
      <c r="F2597" s="4" t="s">
        <v>7</v>
      </c>
      <c r="G2597" s="2">
        <f>IF(ISNUMBER(SEARCH(Лист2!$B$4,F:F)),1,0)</f>
        <v>0</v>
      </c>
      <c r="H2597" s="3">
        <f ca="1">IF(AND(I2597&lt;&gt;I2596,ISNUMBER(SEARCH(Лист2!$B$5,I:I)),G2597=1),MAX($H$3:OFFSET(H2597,-1,0))+1,0)</f>
        <v>0</v>
      </c>
      <c r="I2597" s="3" t="s">
        <v>237</v>
      </c>
      <c r="K2597" s="2">
        <f>IF(ISNUMBER(SEARCH(Лист2!$B$4,F:F)),1,0)</f>
        <v>0</v>
      </c>
      <c r="L2597" s="14">
        <f>IF(ISNUMBER(SEARCH(Лист2!$B$5,I:I)),1,0)+K2597</f>
        <v>0</v>
      </c>
      <c r="M2597" s="3">
        <f ca="1">IF(AND(N2597&lt;&gt;N2596,ISNUMBER(SEARCH(Лист2!$B$6,N:N)),L2597=2),MAX($M$3:OFFSET(M2597,-1,0))+1,0)</f>
        <v>0</v>
      </c>
      <c r="N2597" s="3" t="s">
        <v>1762</v>
      </c>
    </row>
    <row r="2598" spans="1:14" x14ac:dyDescent="0.25">
      <c r="A2598" s="1" t="s">
        <v>11473</v>
      </c>
      <c r="B2598" s="3" t="s">
        <v>6222</v>
      </c>
      <c r="C2598" s="2">
        <f ca="1">IF(ISNUMBER(SEARCH(Лист2!$B$4,D:D)),MAX($C$3:OFFSET(C2598,-1,0))+1,0)</f>
        <v>0</v>
      </c>
      <c r="E2598" s="9" t="str">
        <f t="shared" ca="1" si="52"/>
        <v/>
      </c>
      <c r="F2598" s="4" t="s">
        <v>7</v>
      </c>
      <c r="G2598" s="2">
        <f>IF(ISNUMBER(SEARCH(Лист2!$B$4,F:F)),1,0)</f>
        <v>0</v>
      </c>
      <c r="H2598" s="3">
        <f ca="1">IF(AND(I2598&lt;&gt;I2597,ISNUMBER(SEARCH(Лист2!$B$5,I:I)),G2598=1),MAX($H$3:OFFSET(H2598,-1,0))+1,0)</f>
        <v>0</v>
      </c>
      <c r="I2598" s="3" t="s">
        <v>237</v>
      </c>
      <c r="K2598" s="2">
        <f>IF(ISNUMBER(SEARCH(Лист2!$B$4,F:F)),1,0)</f>
        <v>0</v>
      </c>
      <c r="L2598" s="14">
        <f>IF(ISNUMBER(SEARCH(Лист2!$B$5,I:I)),1,0)+K2598</f>
        <v>0</v>
      </c>
      <c r="M2598" s="3">
        <f ca="1">IF(AND(N2598&lt;&gt;N2597,ISNUMBER(SEARCH(Лист2!$B$6,N:N)),L2598=2),MAX($M$3:OFFSET(M2598,-1,0))+1,0)</f>
        <v>0</v>
      </c>
      <c r="N2598" s="3" t="s">
        <v>1763</v>
      </c>
    </row>
    <row r="2599" spans="1:14" x14ac:dyDescent="0.25">
      <c r="A2599" s="1" t="s">
        <v>11474</v>
      </c>
      <c r="B2599" s="3" t="s">
        <v>6223</v>
      </c>
      <c r="C2599" s="2">
        <f ca="1">IF(ISNUMBER(SEARCH(Лист2!$B$4,D:D)),MAX($C$3:OFFSET(C2599,-1,0))+1,0)</f>
        <v>0</v>
      </c>
      <c r="E2599" s="9" t="str">
        <f t="shared" ca="1" si="52"/>
        <v/>
      </c>
      <c r="F2599" s="4" t="s">
        <v>7</v>
      </c>
      <c r="G2599" s="2">
        <f>IF(ISNUMBER(SEARCH(Лист2!$B$4,F:F)),1,0)</f>
        <v>0</v>
      </c>
      <c r="H2599" s="3">
        <f ca="1">IF(AND(I2599&lt;&gt;I2598,ISNUMBER(SEARCH(Лист2!$B$5,I:I)),G2599=1),MAX($H$3:OFFSET(H2599,-1,0))+1,0)</f>
        <v>0</v>
      </c>
      <c r="I2599" s="3" t="s">
        <v>237</v>
      </c>
      <c r="K2599" s="2">
        <f>IF(ISNUMBER(SEARCH(Лист2!$B$4,F:F)),1,0)</f>
        <v>0</v>
      </c>
      <c r="L2599" s="14">
        <f>IF(ISNUMBER(SEARCH(Лист2!$B$5,I:I)),1,0)+K2599</f>
        <v>0</v>
      </c>
      <c r="M2599" s="3">
        <f ca="1">IF(AND(N2599&lt;&gt;N2598,ISNUMBER(SEARCH(Лист2!$B$6,N:N)),L2599=2),MAX($M$3:OFFSET(M2599,-1,0))+1,0)</f>
        <v>0</v>
      </c>
      <c r="N2599" s="3" t="s">
        <v>1764</v>
      </c>
    </row>
    <row r="2600" spans="1:14" x14ac:dyDescent="0.25">
      <c r="A2600" s="1" t="s">
        <v>11475</v>
      </c>
      <c r="B2600" s="3" t="s">
        <v>6224</v>
      </c>
      <c r="C2600" s="2">
        <f ca="1">IF(ISNUMBER(SEARCH(Лист2!$B$4,D:D)),MAX($C$3:OFFSET(C2600,-1,0))+1,0)</f>
        <v>0</v>
      </c>
      <c r="E2600" s="9" t="str">
        <f t="shared" ca="1" si="52"/>
        <v/>
      </c>
      <c r="F2600" s="4" t="s">
        <v>7</v>
      </c>
      <c r="G2600" s="2">
        <f>IF(ISNUMBER(SEARCH(Лист2!$B$4,F:F)),1,0)</f>
        <v>0</v>
      </c>
      <c r="H2600" s="3">
        <f ca="1">IF(AND(I2600&lt;&gt;I2599,ISNUMBER(SEARCH(Лист2!$B$5,I:I)),G2600=1),MAX($H$3:OFFSET(H2600,-1,0))+1,0)</f>
        <v>0</v>
      </c>
      <c r="I2600" s="3" t="s">
        <v>237</v>
      </c>
      <c r="K2600" s="2">
        <f>IF(ISNUMBER(SEARCH(Лист2!$B$4,F:F)),1,0)</f>
        <v>0</v>
      </c>
      <c r="L2600" s="14">
        <f>IF(ISNUMBER(SEARCH(Лист2!$B$5,I:I)),1,0)+K2600</f>
        <v>0</v>
      </c>
      <c r="M2600" s="3">
        <f ca="1">IF(AND(N2600&lt;&gt;N2599,ISNUMBER(SEARCH(Лист2!$B$6,N:N)),L2600=2),MAX($M$3:OFFSET(M2600,-1,0))+1,0)</f>
        <v>0</v>
      </c>
      <c r="N2600" s="3" t="s">
        <v>1765</v>
      </c>
    </row>
    <row r="2601" spans="1:14" x14ac:dyDescent="0.25">
      <c r="A2601" s="1" t="s">
        <v>11476</v>
      </c>
      <c r="B2601" s="3" t="s">
        <v>6225</v>
      </c>
      <c r="C2601" s="2">
        <f ca="1">IF(ISNUMBER(SEARCH(Лист2!$B$4,D:D)),MAX($C$3:OFFSET(C2601,-1,0))+1,0)</f>
        <v>0</v>
      </c>
      <c r="E2601" s="9" t="str">
        <f t="shared" ca="1" si="52"/>
        <v/>
      </c>
      <c r="F2601" s="4" t="s">
        <v>7</v>
      </c>
      <c r="G2601" s="2">
        <f>IF(ISNUMBER(SEARCH(Лист2!$B$4,F:F)),1,0)</f>
        <v>0</v>
      </c>
      <c r="H2601" s="3">
        <f ca="1">IF(AND(I2601&lt;&gt;I2600,ISNUMBER(SEARCH(Лист2!$B$5,I:I)),G2601=1),MAX($H$3:OFFSET(H2601,-1,0))+1,0)</f>
        <v>0</v>
      </c>
      <c r="I2601" s="3" t="s">
        <v>238</v>
      </c>
      <c r="K2601" s="2">
        <f>IF(ISNUMBER(SEARCH(Лист2!$B$4,F:F)),1,0)</f>
        <v>0</v>
      </c>
      <c r="L2601" s="14">
        <f>IF(ISNUMBER(SEARCH(Лист2!$B$5,I:I)),1,0)+K2601</f>
        <v>0</v>
      </c>
      <c r="M2601" s="3">
        <f ca="1">IF(AND(N2601&lt;&gt;N2600,ISNUMBER(SEARCH(Лист2!$B$6,N:N)),L2601=2),MAX($M$3:OFFSET(M2601,-1,0))+1,0)</f>
        <v>0</v>
      </c>
      <c r="N2601" s="3" t="s">
        <v>1766</v>
      </c>
    </row>
    <row r="2602" spans="1:14" x14ac:dyDescent="0.25">
      <c r="A2602" s="1" t="s">
        <v>11477</v>
      </c>
      <c r="B2602" s="3" t="s">
        <v>6226</v>
      </c>
      <c r="C2602" s="2">
        <f ca="1">IF(ISNUMBER(SEARCH(Лист2!$B$4,D:D)),MAX($C$3:OFFSET(C2602,-1,0))+1,0)</f>
        <v>0</v>
      </c>
      <c r="E2602" s="9" t="str">
        <f t="shared" ca="1" si="52"/>
        <v/>
      </c>
      <c r="F2602" s="4" t="s">
        <v>7</v>
      </c>
      <c r="G2602" s="2">
        <f>IF(ISNUMBER(SEARCH(Лист2!$B$4,F:F)),1,0)</f>
        <v>0</v>
      </c>
      <c r="H2602" s="3">
        <f ca="1">IF(AND(I2602&lt;&gt;I2601,ISNUMBER(SEARCH(Лист2!$B$5,I:I)),G2602=1),MAX($H$3:OFFSET(H2602,-1,0))+1,0)</f>
        <v>0</v>
      </c>
      <c r="I2602" s="3" t="s">
        <v>238</v>
      </c>
      <c r="K2602" s="2">
        <f>IF(ISNUMBER(SEARCH(Лист2!$B$4,F:F)),1,0)</f>
        <v>0</v>
      </c>
      <c r="L2602" s="14">
        <f>IF(ISNUMBER(SEARCH(Лист2!$B$5,I:I)),1,0)+K2602</f>
        <v>0</v>
      </c>
      <c r="M2602" s="3">
        <f ca="1">IF(AND(N2602&lt;&gt;N2601,ISNUMBER(SEARCH(Лист2!$B$6,N:N)),L2602=2),MAX($M$3:OFFSET(M2602,-1,0))+1,0)</f>
        <v>0</v>
      </c>
      <c r="N2602" s="3" t="s">
        <v>1767</v>
      </c>
    </row>
    <row r="2603" spans="1:14" x14ac:dyDescent="0.25">
      <c r="A2603" s="1" t="s">
        <v>11478</v>
      </c>
      <c r="B2603" s="3" t="s">
        <v>6227</v>
      </c>
      <c r="C2603" s="2">
        <f ca="1">IF(ISNUMBER(SEARCH(Лист2!$B$4,D:D)),MAX($C$3:OFFSET(C2603,-1,0))+1,0)</f>
        <v>0</v>
      </c>
      <c r="E2603" s="9" t="str">
        <f t="shared" ca="1" si="52"/>
        <v/>
      </c>
      <c r="F2603" s="4" t="s">
        <v>7</v>
      </c>
      <c r="G2603" s="2">
        <f>IF(ISNUMBER(SEARCH(Лист2!$B$4,F:F)),1,0)</f>
        <v>0</v>
      </c>
      <c r="H2603" s="3">
        <f ca="1">IF(AND(I2603&lt;&gt;I2602,ISNUMBER(SEARCH(Лист2!$B$5,I:I)),G2603=1),MAX($H$3:OFFSET(H2603,-1,0))+1,0)</f>
        <v>0</v>
      </c>
      <c r="I2603" s="3" t="s">
        <v>238</v>
      </c>
      <c r="K2603" s="2">
        <f>IF(ISNUMBER(SEARCH(Лист2!$B$4,F:F)),1,0)</f>
        <v>0</v>
      </c>
      <c r="L2603" s="14">
        <f>IF(ISNUMBER(SEARCH(Лист2!$B$5,I:I)),1,0)+K2603</f>
        <v>0</v>
      </c>
      <c r="M2603" s="3">
        <f ca="1">IF(AND(N2603&lt;&gt;N2602,ISNUMBER(SEARCH(Лист2!$B$6,N:N)),L2603=2),MAX($M$3:OFFSET(M2603,-1,0))+1,0)</f>
        <v>0</v>
      </c>
      <c r="N2603" s="3" t="s">
        <v>1768</v>
      </c>
    </row>
    <row r="2604" spans="1:14" x14ac:dyDescent="0.25">
      <c r="A2604" s="1" t="s">
        <v>11479</v>
      </c>
      <c r="B2604" s="3" t="s">
        <v>6228</v>
      </c>
      <c r="C2604" s="2">
        <f ca="1">IF(ISNUMBER(SEARCH(Лист2!$B$4,D:D)),MAX($C$3:OFFSET(C2604,-1,0))+1,0)</f>
        <v>0</v>
      </c>
      <c r="E2604" s="9" t="str">
        <f t="shared" ca="1" si="52"/>
        <v/>
      </c>
      <c r="F2604" s="4" t="s">
        <v>7</v>
      </c>
      <c r="G2604" s="2">
        <f>IF(ISNUMBER(SEARCH(Лист2!$B$4,F:F)),1,0)</f>
        <v>0</v>
      </c>
      <c r="H2604" s="3">
        <f ca="1">IF(AND(I2604&lt;&gt;I2603,ISNUMBER(SEARCH(Лист2!$B$5,I:I)),G2604=1),MAX($H$3:OFFSET(H2604,-1,0))+1,0)</f>
        <v>0</v>
      </c>
      <c r="I2604" s="3" t="s">
        <v>238</v>
      </c>
      <c r="K2604" s="2">
        <f>IF(ISNUMBER(SEARCH(Лист2!$B$4,F:F)),1,0)</f>
        <v>0</v>
      </c>
      <c r="L2604" s="14">
        <f>IF(ISNUMBER(SEARCH(Лист2!$B$5,I:I)),1,0)+K2604</f>
        <v>0</v>
      </c>
      <c r="M2604" s="3">
        <f ca="1">IF(AND(N2604&lt;&gt;N2603,ISNUMBER(SEARCH(Лист2!$B$6,N:N)),L2604=2),MAX($M$3:OFFSET(M2604,-1,0))+1,0)</f>
        <v>0</v>
      </c>
      <c r="N2604" s="3" t="s">
        <v>1769</v>
      </c>
    </row>
    <row r="2605" spans="1:14" x14ac:dyDescent="0.25">
      <c r="A2605" s="1" t="s">
        <v>11480</v>
      </c>
      <c r="B2605" s="3" t="s">
        <v>6229</v>
      </c>
      <c r="C2605" s="2">
        <f ca="1">IF(ISNUMBER(SEARCH(Лист2!$B$4,D:D)),MAX($C$3:OFFSET(C2605,-1,0))+1,0)</f>
        <v>0</v>
      </c>
      <c r="E2605" s="9" t="str">
        <f t="shared" ca="1" si="52"/>
        <v/>
      </c>
      <c r="F2605" s="4" t="s">
        <v>7</v>
      </c>
      <c r="G2605" s="2">
        <f>IF(ISNUMBER(SEARCH(Лист2!$B$4,F:F)),1,0)</f>
        <v>0</v>
      </c>
      <c r="H2605" s="3">
        <f ca="1">IF(AND(I2605&lt;&gt;I2604,ISNUMBER(SEARCH(Лист2!$B$5,I:I)),G2605=1),MAX($H$3:OFFSET(H2605,-1,0))+1,0)</f>
        <v>0</v>
      </c>
      <c r="I2605" s="3" t="s">
        <v>238</v>
      </c>
      <c r="K2605" s="2">
        <f>IF(ISNUMBER(SEARCH(Лист2!$B$4,F:F)),1,0)</f>
        <v>0</v>
      </c>
      <c r="L2605" s="14">
        <f>IF(ISNUMBER(SEARCH(Лист2!$B$5,I:I)),1,0)+K2605</f>
        <v>0</v>
      </c>
      <c r="M2605" s="3">
        <f ca="1">IF(AND(N2605&lt;&gt;N2604,ISNUMBER(SEARCH(Лист2!$B$6,N:N)),L2605=2),MAX($M$3:OFFSET(M2605,-1,0))+1,0)</f>
        <v>0</v>
      </c>
      <c r="N2605" s="3" t="s">
        <v>1770</v>
      </c>
    </row>
    <row r="2606" spans="1:14" x14ac:dyDescent="0.25">
      <c r="A2606" s="1" t="s">
        <v>11481</v>
      </c>
      <c r="B2606" s="3" t="s">
        <v>6230</v>
      </c>
      <c r="C2606" s="2">
        <f ca="1">IF(ISNUMBER(SEARCH(Лист2!$B$4,D:D)),MAX($C$3:OFFSET(C2606,-1,0))+1,0)</f>
        <v>0</v>
      </c>
      <c r="E2606" s="9" t="str">
        <f t="shared" ca="1" si="52"/>
        <v/>
      </c>
      <c r="F2606" s="4" t="s">
        <v>7</v>
      </c>
      <c r="G2606" s="2">
        <f>IF(ISNUMBER(SEARCH(Лист2!$B$4,F:F)),1,0)</f>
        <v>0</v>
      </c>
      <c r="H2606" s="3">
        <f ca="1">IF(AND(I2606&lt;&gt;I2605,ISNUMBER(SEARCH(Лист2!$B$5,I:I)),G2606=1),MAX($H$3:OFFSET(H2606,-1,0))+1,0)</f>
        <v>0</v>
      </c>
      <c r="I2606" s="3" t="s">
        <v>238</v>
      </c>
      <c r="K2606" s="2">
        <f>IF(ISNUMBER(SEARCH(Лист2!$B$4,F:F)),1,0)</f>
        <v>0</v>
      </c>
      <c r="L2606" s="14">
        <f>IF(ISNUMBER(SEARCH(Лист2!$B$5,I:I)),1,0)+K2606</f>
        <v>0</v>
      </c>
      <c r="M2606" s="3">
        <f ca="1">IF(AND(N2606&lt;&gt;N2605,ISNUMBER(SEARCH(Лист2!$B$6,N:N)),L2606=2),MAX($M$3:OFFSET(M2606,-1,0))+1,0)</f>
        <v>0</v>
      </c>
      <c r="N2606" s="3" t="s">
        <v>1735</v>
      </c>
    </row>
    <row r="2607" spans="1:14" x14ac:dyDescent="0.25">
      <c r="A2607" s="1" t="s">
        <v>11482</v>
      </c>
      <c r="B2607" s="3" t="s">
        <v>6231</v>
      </c>
      <c r="C2607" s="2">
        <f ca="1">IF(ISNUMBER(SEARCH(Лист2!$B$4,D:D)),MAX($C$3:OFFSET(C2607,-1,0))+1,0)</f>
        <v>0</v>
      </c>
      <c r="E2607" s="9" t="str">
        <f t="shared" ca="1" si="52"/>
        <v/>
      </c>
      <c r="F2607" s="4" t="s">
        <v>7</v>
      </c>
      <c r="G2607" s="2">
        <f>IF(ISNUMBER(SEARCH(Лист2!$B$4,F:F)),1,0)</f>
        <v>0</v>
      </c>
      <c r="H2607" s="3">
        <f ca="1">IF(AND(I2607&lt;&gt;I2606,ISNUMBER(SEARCH(Лист2!$B$5,I:I)),G2607=1),MAX($H$3:OFFSET(H2607,-1,0))+1,0)</f>
        <v>0</v>
      </c>
      <c r="I2607" s="3" t="s">
        <v>238</v>
      </c>
      <c r="K2607" s="2">
        <f>IF(ISNUMBER(SEARCH(Лист2!$B$4,F:F)),1,0)</f>
        <v>0</v>
      </c>
      <c r="L2607" s="14">
        <f>IF(ISNUMBER(SEARCH(Лист2!$B$5,I:I)),1,0)+K2607</f>
        <v>0</v>
      </c>
      <c r="M2607" s="3">
        <f ca="1">IF(AND(N2607&lt;&gt;N2606,ISNUMBER(SEARCH(Лист2!$B$6,N:N)),L2607=2),MAX($M$3:OFFSET(M2607,-1,0))+1,0)</f>
        <v>0</v>
      </c>
      <c r="N2607" s="3" t="s">
        <v>1690</v>
      </c>
    </row>
    <row r="2608" spans="1:14" x14ac:dyDescent="0.25">
      <c r="A2608" s="1" t="s">
        <v>11483</v>
      </c>
      <c r="B2608" s="3" t="s">
        <v>6232</v>
      </c>
      <c r="C2608" s="2">
        <f ca="1">IF(ISNUMBER(SEARCH(Лист2!$B$4,D:D)),MAX($C$3:OFFSET(C2608,-1,0))+1,0)</f>
        <v>0</v>
      </c>
      <c r="E2608" s="9" t="str">
        <f t="shared" ca="1" si="52"/>
        <v/>
      </c>
      <c r="F2608" s="4" t="s">
        <v>7</v>
      </c>
      <c r="G2608" s="2">
        <f>IF(ISNUMBER(SEARCH(Лист2!$B$4,F:F)),1,0)</f>
        <v>0</v>
      </c>
      <c r="H2608" s="3">
        <f ca="1">IF(AND(I2608&lt;&gt;I2607,ISNUMBER(SEARCH(Лист2!$B$5,I:I)),G2608=1),MAX($H$3:OFFSET(H2608,-1,0))+1,0)</f>
        <v>0</v>
      </c>
      <c r="I2608" s="3" t="s">
        <v>238</v>
      </c>
      <c r="K2608" s="2">
        <f>IF(ISNUMBER(SEARCH(Лист2!$B$4,F:F)),1,0)</f>
        <v>0</v>
      </c>
      <c r="L2608" s="14">
        <f>IF(ISNUMBER(SEARCH(Лист2!$B$5,I:I)),1,0)+K2608</f>
        <v>0</v>
      </c>
      <c r="M2608" s="3">
        <f ca="1">IF(AND(N2608&lt;&gt;N2607,ISNUMBER(SEARCH(Лист2!$B$6,N:N)),L2608=2),MAX($M$3:OFFSET(M2608,-1,0))+1,0)</f>
        <v>0</v>
      </c>
      <c r="N2608" s="3" t="s">
        <v>1760</v>
      </c>
    </row>
    <row r="2609" spans="1:14" x14ac:dyDescent="0.25">
      <c r="A2609" s="1" t="s">
        <v>11484</v>
      </c>
      <c r="B2609" s="3" t="s">
        <v>6233</v>
      </c>
      <c r="C2609" s="2">
        <f ca="1">IF(ISNUMBER(SEARCH(Лист2!$B$4,D:D)),MAX($C$3:OFFSET(C2609,-1,0))+1,0)</f>
        <v>0</v>
      </c>
      <c r="E2609" s="9" t="str">
        <f t="shared" ca="1" si="52"/>
        <v/>
      </c>
      <c r="F2609" s="4" t="s">
        <v>7</v>
      </c>
      <c r="G2609" s="2">
        <f>IF(ISNUMBER(SEARCH(Лист2!$B$4,F:F)),1,0)</f>
        <v>0</v>
      </c>
      <c r="H2609" s="3">
        <f ca="1">IF(AND(I2609&lt;&gt;I2608,ISNUMBER(SEARCH(Лист2!$B$5,I:I)),G2609=1),MAX($H$3:OFFSET(H2609,-1,0))+1,0)</f>
        <v>0</v>
      </c>
      <c r="I2609" s="3" t="s">
        <v>238</v>
      </c>
      <c r="K2609" s="2">
        <f>IF(ISNUMBER(SEARCH(Лист2!$B$4,F:F)),1,0)</f>
        <v>0</v>
      </c>
      <c r="L2609" s="14">
        <f>IF(ISNUMBER(SEARCH(Лист2!$B$5,I:I)),1,0)+K2609</f>
        <v>0</v>
      </c>
      <c r="M2609" s="3">
        <f ca="1">IF(AND(N2609&lt;&gt;N2608,ISNUMBER(SEARCH(Лист2!$B$6,N:N)),L2609=2),MAX($M$3:OFFSET(M2609,-1,0))+1,0)</f>
        <v>0</v>
      </c>
      <c r="N2609" s="3" t="s">
        <v>1737</v>
      </c>
    </row>
    <row r="2610" spans="1:14" x14ac:dyDescent="0.25">
      <c r="A2610" s="1" t="s">
        <v>11485</v>
      </c>
      <c r="B2610" s="3" t="s">
        <v>6234</v>
      </c>
      <c r="C2610" s="2">
        <f ca="1">IF(ISNUMBER(SEARCH(Лист2!$B$4,D:D)),MAX($C$3:OFFSET(C2610,-1,0))+1,0)</f>
        <v>0</v>
      </c>
      <c r="E2610" s="9" t="str">
        <f t="shared" ca="1" si="52"/>
        <v/>
      </c>
      <c r="F2610" s="4" t="s">
        <v>7</v>
      </c>
      <c r="G2610" s="2">
        <f>IF(ISNUMBER(SEARCH(Лист2!$B$4,F:F)),1,0)</f>
        <v>0</v>
      </c>
      <c r="H2610" s="3">
        <f ca="1">IF(AND(I2610&lt;&gt;I2609,ISNUMBER(SEARCH(Лист2!$B$5,I:I)),G2610=1),MAX($H$3:OFFSET(H2610,-1,0))+1,0)</f>
        <v>0</v>
      </c>
      <c r="I2610" s="3" t="s">
        <v>238</v>
      </c>
      <c r="K2610" s="2">
        <f>IF(ISNUMBER(SEARCH(Лист2!$B$4,F:F)),1,0)</f>
        <v>0</v>
      </c>
      <c r="L2610" s="14">
        <f>IF(ISNUMBER(SEARCH(Лист2!$B$5,I:I)),1,0)+K2610</f>
        <v>0</v>
      </c>
      <c r="M2610" s="3">
        <f ca="1">IF(AND(N2610&lt;&gt;N2609,ISNUMBER(SEARCH(Лист2!$B$6,N:N)),L2610=2),MAX($M$3:OFFSET(M2610,-1,0))+1,0)</f>
        <v>0</v>
      </c>
      <c r="N2610" s="3" t="s">
        <v>1678</v>
      </c>
    </row>
    <row r="2611" spans="1:14" x14ac:dyDescent="0.25">
      <c r="A2611" s="1" t="s">
        <v>11486</v>
      </c>
      <c r="B2611" s="3" t="s">
        <v>6235</v>
      </c>
      <c r="C2611" s="2">
        <f ca="1">IF(ISNUMBER(SEARCH(Лист2!$B$4,D:D)),MAX($C$3:OFFSET(C2611,-1,0))+1,0)</f>
        <v>0</v>
      </c>
      <c r="E2611" s="9" t="str">
        <f t="shared" ca="1" si="52"/>
        <v/>
      </c>
      <c r="F2611" s="4" t="s">
        <v>7</v>
      </c>
      <c r="G2611" s="2">
        <f>IF(ISNUMBER(SEARCH(Лист2!$B$4,F:F)),1,0)</f>
        <v>0</v>
      </c>
      <c r="H2611" s="3">
        <f ca="1">IF(AND(I2611&lt;&gt;I2610,ISNUMBER(SEARCH(Лист2!$B$5,I:I)),G2611=1),MAX($H$3:OFFSET(H2611,-1,0))+1,0)</f>
        <v>0</v>
      </c>
      <c r="I2611" s="3" t="s">
        <v>238</v>
      </c>
      <c r="K2611" s="2">
        <f>IF(ISNUMBER(SEARCH(Лист2!$B$4,F:F)),1,0)</f>
        <v>0</v>
      </c>
      <c r="L2611" s="14">
        <f>IF(ISNUMBER(SEARCH(Лист2!$B$5,I:I)),1,0)+K2611</f>
        <v>0</v>
      </c>
      <c r="M2611" s="3">
        <f ca="1">IF(AND(N2611&lt;&gt;N2610,ISNUMBER(SEARCH(Лист2!$B$6,N:N)),L2611=2),MAX($M$3:OFFSET(M2611,-1,0))+1,0)</f>
        <v>0</v>
      </c>
      <c r="N2611" s="3" t="s">
        <v>602</v>
      </c>
    </row>
    <row r="2612" spans="1:14" x14ac:dyDescent="0.25">
      <c r="A2612" s="1" t="s">
        <v>11487</v>
      </c>
      <c r="B2612" s="3" t="s">
        <v>6236</v>
      </c>
      <c r="C2612" s="2">
        <f ca="1">IF(ISNUMBER(SEARCH(Лист2!$B$4,D:D)),MAX($C$3:OFFSET(C2612,-1,0))+1,0)</f>
        <v>0</v>
      </c>
      <c r="E2612" s="9" t="str">
        <f t="shared" ca="1" si="52"/>
        <v/>
      </c>
      <c r="F2612" s="4" t="s">
        <v>7</v>
      </c>
      <c r="G2612" s="2">
        <f>IF(ISNUMBER(SEARCH(Лист2!$B$4,F:F)),1,0)</f>
        <v>0</v>
      </c>
      <c r="H2612" s="3">
        <f ca="1">IF(AND(I2612&lt;&gt;I2611,ISNUMBER(SEARCH(Лист2!$B$5,I:I)),G2612=1),MAX($H$3:OFFSET(H2612,-1,0))+1,0)</f>
        <v>0</v>
      </c>
      <c r="I2612" s="3" t="s">
        <v>238</v>
      </c>
      <c r="K2612" s="2">
        <f>IF(ISNUMBER(SEARCH(Лист2!$B$4,F:F)),1,0)</f>
        <v>0</v>
      </c>
      <c r="L2612" s="14">
        <f>IF(ISNUMBER(SEARCH(Лист2!$B$5,I:I)),1,0)+K2612</f>
        <v>0</v>
      </c>
      <c r="M2612" s="3">
        <f ca="1">IF(AND(N2612&lt;&gt;N2611,ISNUMBER(SEARCH(Лист2!$B$6,N:N)),L2612=2),MAX($M$3:OFFSET(M2612,-1,0))+1,0)</f>
        <v>0</v>
      </c>
      <c r="N2612" s="3" t="s">
        <v>1771</v>
      </c>
    </row>
    <row r="2613" spans="1:14" x14ac:dyDescent="0.25">
      <c r="A2613" s="1" t="s">
        <v>11488</v>
      </c>
      <c r="B2613" s="3" t="s">
        <v>6237</v>
      </c>
      <c r="C2613" s="2">
        <f ca="1">IF(ISNUMBER(SEARCH(Лист2!$B$4,D:D)),MAX($C$3:OFFSET(C2613,-1,0))+1,0)</f>
        <v>0</v>
      </c>
      <c r="E2613" s="9" t="str">
        <f t="shared" ca="1" si="52"/>
        <v/>
      </c>
      <c r="F2613" s="4" t="s">
        <v>7</v>
      </c>
      <c r="G2613" s="2">
        <f>IF(ISNUMBER(SEARCH(Лист2!$B$4,F:F)),1,0)</f>
        <v>0</v>
      </c>
      <c r="H2613" s="3">
        <f ca="1">IF(AND(I2613&lt;&gt;I2612,ISNUMBER(SEARCH(Лист2!$B$5,I:I)),G2613=1),MAX($H$3:OFFSET(H2613,-1,0))+1,0)</f>
        <v>0</v>
      </c>
      <c r="I2613" s="3" t="s">
        <v>238</v>
      </c>
      <c r="K2613" s="2">
        <f>IF(ISNUMBER(SEARCH(Лист2!$B$4,F:F)),1,0)</f>
        <v>0</v>
      </c>
      <c r="L2613" s="14">
        <f>IF(ISNUMBER(SEARCH(Лист2!$B$5,I:I)),1,0)+K2613</f>
        <v>0</v>
      </c>
      <c r="M2613" s="3">
        <f ca="1">IF(AND(N2613&lt;&gt;N2612,ISNUMBER(SEARCH(Лист2!$B$6,N:N)),L2613=2),MAX($M$3:OFFSET(M2613,-1,0))+1,0)</f>
        <v>0</v>
      </c>
      <c r="N2613" s="3" t="s">
        <v>1772</v>
      </c>
    </row>
    <row r="2614" spans="1:14" x14ac:dyDescent="0.25">
      <c r="A2614" s="1" t="s">
        <v>11489</v>
      </c>
      <c r="B2614" s="3" t="s">
        <v>6238</v>
      </c>
      <c r="C2614" s="2">
        <f ca="1">IF(ISNUMBER(SEARCH(Лист2!$B$4,D:D)),MAX($C$3:OFFSET(C2614,-1,0))+1,0)</f>
        <v>0</v>
      </c>
      <c r="E2614" s="9" t="str">
        <f t="shared" ca="1" si="52"/>
        <v/>
      </c>
      <c r="F2614" s="4" t="s">
        <v>7</v>
      </c>
      <c r="G2614" s="2">
        <f>IF(ISNUMBER(SEARCH(Лист2!$B$4,F:F)),1,0)</f>
        <v>0</v>
      </c>
      <c r="H2614" s="3">
        <f ca="1">IF(AND(I2614&lt;&gt;I2613,ISNUMBER(SEARCH(Лист2!$B$5,I:I)),G2614=1),MAX($H$3:OFFSET(H2614,-1,0))+1,0)</f>
        <v>0</v>
      </c>
      <c r="I2614" s="3" t="s">
        <v>238</v>
      </c>
      <c r="K2614" s="2">
        <f>IF(ISNUMBER(SEARCH(Лист2!$B$4,F:F)),1,0)</f>
        <v>0</v>
      </c>
      <c r="L2614" s="14">
        <f>IF(ISNUMBER(SEARCH(Лист2!$B$5,I:I)),1,0)+K2614</f>
        <v>0</v>
      </c>
      <c r="M2614" s="3">
        <f ca="1">IF(AND(N2614&lt;&gt;N2613,ISNUMBER(SEARCH(Лист2!$B$6,N:N)),L2614=2),MAX($M$3:OFFSET(M2614,-1,0))+1,0)</f>
        <v>0</v>
      </c>
      <c r="N2614" s="3" t="s">
        <v>1773</v>
      </c>
    </row>
    <row r="2615" spans="1:14" x14ac:dyDescent="0.25">
      <c r="A2615" s="1" t="s">
        <v>11490</v>
      </c>
      <c r="B2615" s="3" t="s">
        <v>6239</v>
      </c>
      <c r="C2615" s="2">
        <f ca="1">IF(ISNUMBER(SEARCH(Лист2!$B$4,D:D)),MAX($C$3:OFFSET(C2615,-1,0))+1,0)</f>
        <v>0</v>
      </c>
      <c r="E2615" s="9" t="str">
        <f t="shared" ca="1" si="52"/>
        <v/>
      </c>
      <c r="F2615" s="4" t="s">
        <v>7</v>
      </c>
      <c r="G2615" s="2">
        <f>IF(ISNUMBER(SEARCH(Лист2!$B$4,F:F)),1,0)</f>
        <v>0</v>
      </c>
      <c r="H2615" s="3">
        <f ca="1">IF(AND(I2615&lt;&gt;I2614,ISNUMBER(SEARCH(Лист2!$B$5,I:I)),G2615=1),MAX($H$3:OFFSET(H2615,-1,0))+1,0)</f>
        <v>0</v>
      </c>
      <c r="I2615" s="3" t="s">
        <v>238</v>
      </c>
      <c r="K2615" s="2">
        <f>IF(ISNUMBER(SEARCH(Лист2!$B$4,F:F)),1,0)</f>
        <v>0</v>
      </c>
      <c r="L2615" s="14">
        <f>IF(ISNUMBER(SEARCH(Лист2!$B$5,I:I)),1,0)+K2615</f>
        <v>0</v>
      </c>
      <c r="M2615" s="3">
        <f ca="1">IF(AND(N2615&lt;&gt;N2614,ISNUMBER(SEARCH(Лист2!$B$6,N:N)),L2615=2),MAX($M$3:OFFSET(M2615,-1,0))+1,0)</f>
        <v>0</v>
      </c>
      <c r="N2615" s="3" t="s">
        <v>1774</v>
      </c>
    </row>
    <row r="2616" spans="1:14" x14ac:dyDescent="0.25">
      <c r="A2616" s="1" t="s">
        <v>11491</v>
      </c>
      <c r="B2616" s="3" t="s">
        <v>6240</v>
      </c>
      <c r="C2616" s="2">
        <f ca="1">IF(ISNUMBER(SEARCH(Лист2!$B$4,D:D)),MAX($C$3:OFFSET(C2616,-1,0))+1,0)</f>
        <v>0</v>
      </c>
      <c r="E2616" s="9" t="str">
        <f t="shared" ca="1" si="52"/>
        <v/>
      </c>
      <c r="F2616" s="4" t="s">
        <v>7</v>
      </c>
      <c r="G2616" s="2">
        <f>IF(ISNUMBER(SEARCH(Лист2!$B$4,F:F)),1,0)</f>
        <v>0</v>
      </c>
      <c r="H2616" s="3">
        <f ca="1">IF(AND(I2616&lt;&gt;I2615,ISNUMBER(SEARCH(Лист2!$B$5,I:I)),G2616=1),MAX($H$3:OFFSET(H2616,-1,0))+1,0)</f>
        <v>0</v>
      </c>
      <c r="I2616" s="3" t="s">
        <v>238</v>
      </c>
      <c r="K2616" s="2">
        <f>IF(ISNUMBER(SEARCH(Лист2!$B$4,F:F)),1,0)</f>
        <v>0</v>
      </c>
      <c r="L2616" s="14">
        <f>IF(ISNUMBER(SEARCH(Лист2!$B$5,I:I)),1,0)+K2616</f>
        <v>0</v>
      </c>
      <c r="M2616" s="3">
        <f ca="1">IF(AND(N2616&lt;&gt;N2615,ISNUMBER(SEARCH(Лист2!$B$6,N:N)),L2616=2),MAX($M$3:OFFSET(M2616,-1,0))+1,0)</f>
        <v>0</v>
      </c>
      <c r="N2616" s="3" t="s">
        <v>1775</v>
      </c>
    </row>
    <row r="2617" spans="1:14" x14ac:dyDescent="0.25">
      <c r="A2617" s="1" t="s">
        <v>11492</v>
      </c>
      <c r="B2617" s="3" t="s">
        <v>6241</v>
      </c>
      <c r="C2617" s="2">
        <f ca="1">IF(ISNUMBER(SEARCH(Лист2!$B$4,D:D)),MAX($C$3:OFFSET(C2617,-1,0))+1,0)</f>
        <v>0</v>
      </c>
      <c r="E2617" s="9" t="str">
        <f t="shared" ca="1" si="52"/>
        <v/>
      </c>
      <c r="F2617" s="4" t="s">
        <v>7</v>
      </c>
      <c r="G2617" s="2">
        <f>IF(ISNUMBER(SEARCH(Лист2!$B$4,F:F)),1,0)</f>
        <v>0</v>
      </c>
      <c r="H2617" s="3">
        <f ca="1">IF(AND(I2617&lt;&gt;I2616,ISNUMBER(SEARCH(Лист2!$B$5,I:I)),G2617=1),MAX($H$3:OFFSET(H2617,-1,0))+1,0)</f>
        <v>0</v>
      </c>
      <c r="I2617" s="3" t="s">
        <v>239</v>
      </c>
      <c r="K2617" s="2">
        <f>IF(ISNUMBER(SEARCH(Лист2!$B$4,F:F)),1,0)</f>
        <v>0</v>
      </c>
      <c r="L2617" s="14">
        <f>IF(ISNUMBER(SEARCH(Лист2!$B$5,I:I)),1,0)+K2617</f>
        <v>0</v>
      </c>
      <c r="M2617" s="3">
        <f ca="1">IF(AND(N2617&lt;&gt;N2616,ISNUMBER(SEARCH(Лист2!$B$6,N:N)),L2617=2),MAX($M$3:OFFSET(M2617,-1,0))+1,0)</f>
        <v>0</v>
      </c>
      <c r="N2617" s="3" t="s">
        <v>1776</v>
      </c>
    </row>
    <row r="2618" spans="1:14" x14ac:dyDescent="0.25">
      <c r="A2618" s="1" t="s">
        <v>11493</v>
      </c>
      <c r="B2618" s="3" t="s">
        <v>6242</v>
      </c>
      <c r="C2618" s="2">
        <f ca="1">IF(ISNUMBER(SEARCH(Лист2!$B$4,D:D)),MAX($C$3:OFFSET(C2618,-1,0))+1,0)</f>
        <v>0</v>
      </c>
      <c r="E2618" s="9" t="str">
        <f t="shared" ca="1" si="52"/>
        <v/>
      </c>
      <c r="F2618" s="4" t="s">
        <v>7</v>
      </c>
      <c r="G2618" s="2">
        <f>IF(ISNUMBER(SEARCH(Лист2!$B$4,F:F)),1,0)</f>
        <v>0</v>
      </c>
      <c r="H2618" s="3">
        <f ca="1">IF(AND(I2618&lt;&gt;I2617,ISNUMBER(SEARCH(Лист2!$B$5,I:I)),G2618=1),MAX($H$3:OFFSET(H2618,-1,0))+1,0)</f>
        <v>0</v>
      </c>
      <c r="I2618" s="3" t="s">
        <v>239</v>
      </c>
      <c r="K2618" s="2">
        <f>IF(ISNUMBER(SEARCH(Лист2!$B$4,F:F)),1,0)</f>
        <v>0</v>
      </c>
      <c r="L2618" s="14">
        <f>IF(ISNUMBER(SEARCH(Лист2!$B$5,I:I)),1,0)+K2618</f>
        <v>0</v>
      </c>
      <c r="M2618" s="3">
        <f ca="1">IF(AND(N2618&lt;&gt;N2617,ISNUMBER(SEARCH(Лист2!$B$6,N:N)),L2618=2),MAX($M$3:OFFSET(M2618,-1,0))+1,0)</f>
        <v>0</v>
      </c>
      <c r="N2618" s="3" t="s">
        <v>1777</v>
      </c>
    </row>
    <row r="2619" spans="1:14" x14ac:dyDescent="0.25">
      <c r="A2619" s="1" t="s">
        <v>11494</v>
      </c>
      <c r="B2619" s="3" t="s">
        <v>6243</v>
      </c>
      <c r="C2619" s="2">
        <f ca="1">IF(ISNUMBER(SEARCH(Лист2!$B$4,D:D)),MAX($C$3:OFFSET(C2619,-1,0))+1,0)</f>
        <v>0</v>
      </c>
      <c r="E2619" s="9" t="str">
        <f t="shared" ca="1" si="52"/>
        <v/>
      </c>
      <c r="F2619" s="4" t="s">
        <v>7</v>
      </c>
      <c r="G2619" s="2">
        <f>IF(ISNUMBER(SEARCH(Лист2!$B$4,F:F)),1,0)</f>
        <v>0</v>
      </c>
      <c r="H2619" s="3">
        <f ca="1">IF(AND(I2619&lt;&gt;I2618,ISNUMBER(SEARCH(Лист2!$B$5,I:I)),G2619=1),MAX($H$3:OFFSET(H2619,-1,0))+1,0)</f>
        <v>0</v>
      </c>
      <c r="I2619" s="3" t="s">
        <v>239</v>
      </c>
      <c r="K2619" s="2">
        <f>IF(ISNUMBER(SEARCH(Лист2!$B$4,F:F)),1,0)</f>
        <v>0</v>
      </c>
      <c r="L2619" s="14">
        <f>IF(ISNUMBER(SEARCH(Лист2!$B$5,I:I)),1,0)+K2619</f>
        <v>0</v>
      </c>
      <c r="M2619" s="3">
        <f ca="1">IF(AND(N2619&lt;&gt;N2618,ISNUMBER(SEARCH(Лист2!$B$6,N:N)),L2619=2),MAX($M$3:OFFSET(M2619,-1,0))+1,0)</f>
        <v>0</v>
      </c>
      <c r="N2619" s="3" t="s">
        <v>1778</v>
      </c>
    </row>
    <row r="2620" spans="1:14" x14ac:dyDescent="0.25">
      <c r="A2620" s="1" t="s">
        <v>11495</v>
      </c>
      <c r="B2620" s="3" t="s">
        <v>6244</v>
      </c>
      <c r="C2620" s="2">
        <f ca="1">IF(ISNUMBER(SEARCH(Лист2!$B$4,D:D)),MAX($C$3:OFFSET(C2620,-1,0))+1,0)</f>
        <v>0</v>
      </c>
      <c r="E2620" s="9" t="str">
        <f t="shared" ca="1" si="52"/>
        <v/>
      </c>
      <c r="F2620" s="4" t="s">
        <v>7</v>
      </c>
      <c r="G2620" s="2">
        <f>IF(ISNUMBER(SEARCH(Лист2!$B$4,F:F)),1,0)</f>
        <v>0</v>
      </c>
      <c r="H2620" s="3">
        <f ca="1">IF(AND(I2620&lt;&gt;I2619,ISNUMBER(SEARCH(Лист2!$B$5,I:I)),G2620=1),MAX($H$3:OFFSET(H2620,-1,0))+1,0)</f>
        <v>0</v>
      </c>
      <c r="I2620" s="3" t="s">
        <v>239</v>
      </c>
      <c r="K2620" s="2">
        <f>IF(ISNUMBER(SEARCH(Лист2!$B$4,F:F)),1,0)</f>
        <v>0</v>
      </c>
      <c r="L2620" s="14">
        <f>IF(ISNUMBER(SEARCH(Лист2!$B$5,I:I)),1,0)+K2620</f>
        <v>0</v>
      </c>
      <c r="M2620" s="3">
        <f ca="1">IF(AND(N2620&lt;&gt;N2619,ISNUMBER(SEARCH(Лист2!$B$6,N:N)),L2620=2),MAX($M$3:OFFSET(M2620,-1,0))+1,0)</f>
        <v>0</v>
      </c>
      <c r="N2620" s="3" t="s">
        <v>1779</v>
      </c>
    </row>
    <row r="2621" spans="1:14" x14ac:dyDescent="0.25">
      <c r="A2621" s="1" t="s">
        <v>11496</v>
      </c>
      <c r="B2621" s="3" t="s">
        <v>6245</v>
      </c>
      <c r="C2621" s="2">
        <f ca="1">IF(ISNUMBER(SEARCH(Лист2!$B$4,D:D)),MAX($C$3:OFFSET(C2621,-1,0))+1,0)</f>
        <v>0</v>
      </c>
      <c r="E2621" s="9" t="str">
        <f t="shared" ca="1" si="52"/>
        <v/>
      </c>
      <c r="F2621" s="4" t="s">
        <v>7</v>
      </c>
      <c r="G2621" s="2">
        <f>IF(ISNUMBER(SEARCH(Лист2!$B$4,F:F)),1,0)</f>
        <v>0</v>
      </c>
      <c r="H2621" s="3">
        <f ca="1">IF(AND(I2621&lt;&gt;I2620,ISNUMBER(SEARCH(Лист2!$B$5,I:I)),G2621=1),MAX($H$3:OFFSET(H2621,-1,0))+1,0)</f>
        <v>0</v>
      </c>
      <c r="I2621" s="3" t="s">
        <v>239</v>
      </c>
      <c r="K2621" s="2">
        <f>IF(ISNUMBER(SEARCH(Лист2!$B$4,F:F)),1,0)</f>
        <v>0</v>
      </c>
      <c r="L2621" s="14">
        <f>IF(ISNUMBER(SEARCH(Лист2!$B$5,I:I)),1,0)+K2621</f>
        <v>0</v>
      </c>
      <c r="M2621" s="3">
        <f ca="1">IF(AND(N2621&lt;&gt;N2620,ISNUMBER(SEARCH(Лист2!$B$6,N:N)),L2621=2),MAX($M$3:OFFSET(M2621,-1,0))+1,0)</f>
        <v>0</v>
      </c>
      <c r="N2621" s="3" t="s">
        <v>1780</v>
      </c>
    </row>
    <row r="2622" spans="1:14" x14ac:dyDescent="0.25">
      <c r="A2622" s="1" t="s">
        <v>11497</v>
      </c>
      <c r="B2622" s="3" t="s">
        <v>6246</v>
      </c>
      <c r="C2622" s="2">
        <f ca="1">IF(ISNUMBER(SEARCH(Лист2!$B$4,D:D)),MAX($C$3:OFFSET(C2622,-1,0))+1,0)</f>
        <v>0</v>
      </c>
      <c r="E2622" s="9" t="str">
        <f t="shared" ca="1" si="52"/>
        <v/>
      </c>
      <c r="F2622" s="4" t="s">
        <v>7</v>
      </c>
      <c r="G2622" s="2">
        <f>IF(ISNUMBER(SEARCH(Лист2!$B$4,F:F)),1,0)</f>
        <v>0</v>
      </c>
      <c r="H2622" s="3">
        <f ca="1">IF(AND(I2622&lt;&gt;I2621,ISNUMBER(SEARCH(Лист2!$B$5,I:I)),G2622=1),MAX($H$3:OFFSET(H2622,-1,0))+1,0)</f>
        <v>0</v>
      </c>
      <c r="I2622" s="3" t="s">
        <v>239</v>
      </c>
      <c r="K2622" s="2">
        <f>IF(ISNUMBER(SEARCH(Лист2!$B$4,F:F)),1,0)</f>
        <v>0</v>
      </c>
      <c r="L2622" s="14">
        <f>IF(ISNUMBER(SEARCH(Лист2!$B$5,I:I)),1,0)+K2622</f>
        <v>0</v>
      </c>
      <c r="M2622" s="3">
        <f ca="1">IF(AND(N2622&lt;&gt;N2621,ISNUMBER(SEARCH(Лист2!$B$6,N:N)),L2622=2),MAX($M$3:OFFSET(M2622,-1,0))+1,0)</f>
        <v>0</v>
      </c>
      <c r="N2622" s="3" t="s">
        <v>1735</v>
      </c>
    </row>
    <row r="2623" spans="1:14" x14ac:dyDescent="0.25">
      <c r="A2623" s="1" t="s">
        <v>11498</v>
      </c>
      <c r="B2623" s="3" t="s">
        <v>6247</v>
      </c>
      <c r="C2623" s="2">
        <f ca="1">IF(ISNUMBER(SEARCH(Лист2!$B$4,D:D)),MAX($C$3:OFFSET(C2623,-1,0))+1,0)</f>
        <v>0</v>
      </c>
      <c r="E2623" s="9" t="str">
        <f t="shared" ca="1" si="52"/>
        <v/>
      </c>
      <c r="F2623" s="4" t="s">
        <v>7</v>
      </c>
      <c r="G2623" s="2">
        <f>IF(ISNUMBER(SEARCH(Лист2!$B$4,F:F)),1,0)</f>
        <v>0</v>
      </c>
      <c r="H2623" s="3">
        <f ca="1">IF(AND(I2623&lt;&gt;I2622,ISNUMBER(SEARCH(Лист2!$B$5,I:I)),G2623=1),MAX($H$3:OFFSET(H2623,-1,0))+1,0)</f>
        <v>0</v>
      </c>
      <c r="I2623" s="3" t="s">
        <v>239</v>
      </c>
      <c r="K2623" s="2">
        <f>IF(ISNUMBER(SEARCH(Лист2!$B$4,F:F)),1,0)</f>
        <v>0</v>
      </c>
      <c r="L2623" s="14">
        <f>IF(ISNUMBER(SEARCH(Лист2!$B$5,I:I)),1,0)+K2623</f>
        <v>0</v>
      </c>
      <c r="M2623" s="3">
        <f ca="1">IF(AND(N2623&lt;&gt;N2622,ISNUMBER(SEARCH(Лист2!$B$6,N:N)),L2623=2),MAX($M$3:OFFSET(M2623,-1,0))+1,0)</f>
        <v>0</v>
      </c>
      <c r="N2623" s="3" t="s">
        <v>1621</v>
      </c>
    </row>
    <row r="2624" spans="1:14" x14ac:dyDescent="0.25">
      <c r="A2624" s="1" t="s">
        <v>11499</v>
      </c>
      <c r="B2624" s="3" t="s">
        <v>6248</v>
      </c>
      <c r="C2624" s="2">
        <f ca="1">IF(ISNUMBER(SEARCH(Лист2!$B$4,D:D)),MAX($C$3:OFFSET(C2624,-1,0))+1,0)</f>
        <v>0</v>
      </c>
      <c r="E2624" s="9" t="str">
        <f t="shared" ca="1" si="52"/>
        <v/>
      </c>
      <c r="F2624" s="4" t="s">
        <v>7</v>
      </c>
      <c r="G2624" s="2">
        <f>IF(ISNUMBER(SEARCH(Лист2!$B$4,F:F)),1,0)</f>
        <v>0</v>
      </c>
      <c r="H2624" s="3">
        <f ca="1">IF(AND(I2624&lt;&gt;I2623,ISNUMBER(SEARCH(Лист2!$B$5,I:I)),G2624=1),MAX($H$3:OFFSET(H2624,-1,0))+1,0)</f>
        <v>0</v>
      </c>
      <c r="I2624" s="3" t="s">
        <v>239</v>
      </c>
      <c r="K2624" s="2">
        <f>IF(ISNUMBER(SEARCH(Лист2!$B$4,F:F)),1,0)</f>
        <v>0</v>
      </c>
      <c r="L2624" s="14">
        <f>IF(ISNUMBER(SEARCH(Лист2!$B$5,I:I)),1,0)+K2624</f>
        <v>0</v>
      </c>
      <c r="M2624" s="3">
        <f ca="1">IF(AND(N2624&lt;&gt;N2623,ISNUMBER(SEARCH(Лист2!$B$6,N:N)),L2624=2),MAX($M$3:OFFSET(M2624,-1,0))+1,0)</f>
        <v>0</v>
      </c>
      <c r="N2624" s="3" t="s">
        <v>1748</v>
      </c>
    </row>
    <row r="2625" spans="1:14" x14ac:dyDescent="0.25">
      <c r="A2625" s="1" t="s">
        <v>11500</v>
      </c>
      <c r="B2625" s="3" t="s">
        <v>6249</v>
      </c>
      <c r="C2625" s="2">
        <f ca="1">IF(ISNUMBER(SEARCH(Лист2!$B$4,D:D)),MAX($C$3:OFFSET(C2625,-1,0))+1,0)</f>
        <v>0</v>
      </c>
      <c r="E2625" s="9" t="str">
        <f t="shared" ca="1" si="52"/>
        <v/>
      </c>
      <c r="F2625" s="4" t="s">
        <v>7</v>
      </c>
      <c r="G2625" s="2">
        <f>IF(ISNUMBER(SEARCH(Лист2!$B$4,F:F)),1,0)</f>
        <v>0</v>
      </c>
      <c r="H2625" s="3">
        <f ca="1">IF(AND(I2625&lt;&gt;I2624,ISNUMBER(SEARCH(Лист2!$B$5,I:I)),G2625=1),MAX($H$3:OFFSET(H2625,-1,0))+1,0)</f>
        <v>0</v>
      </c>
      <c r="I2625" s="3" t="s">
        <v>239</v>
      </c>
      <c r="K2625" s="2">
        <f>IF(ISNUMBER(SEARCH(Лист2!$B$4,F:F)),1,0)</f>
        <v>0</v>
      </c>
      <c r="L2625" s="14">
        <f>IF(ISNUMBER(SEARCH(Лист2!$B$5,I:I)),1,0)+K2625</f>
        <v>0</v>
      </c>
      <c r="M2625" s="3">
        <f ca="1">IF(AND(N2625&lt;&gt;N2624,ISNUMBER(SEARCH(Лист2!$B$6,N:N)),L2625=2),MAX($M$3:OFFSET(M2625,-1,0))+1,0)</f>
        <v>0</v>
      </c>
      <c r="N2625" s="3" t="s">
        <v>1749</v>
      </c>
    </row>
    <row r="2626" spans="1:14" x14ac:dyDescent="0.25">
      <c r="A2626" s="1" t="s">
        <v>11501</v>
      </c>
      <c r="B2626" s="3" t="s">
        <v>6250</v>
      </c>
      <c r="C2626" s="2">
        <f ca="1">IF(ISNUMBER(SEARCH(Лист2!$B$4,D:D)),MAX($C$3:OFFSET(C2626,-1,0))+1,0)</f>
        <v>0</v>
      </c>
      <c r="E2626" s="9" t="str">
        <f t="shared" ca="1" si="52"/>
        <v/>
      </c>
      <c r="F2626" s="4" t="s">
        <v>7</v>
      </c>
      <c r="G2626" s="2">
        <f>IF(ISNUMBER(SEARCH(Лист2!$B$4,F:F)),1,0)</f>
        <v>0</v>
      </c>
      <c r="H2626" s="3">
        <f ca="1">IF(AND(I2626&lt;&gt;I2625,ISNUMBER(SEARCH(Лист2!$B$5,I:I)),G2626=1),MAX($H$3:OFFSET(H2626,-1,0))+1,0)</f>
        <v>0</v>
      </c>
      <c r="I2626" s="3" t="s">
        <v>239</v>
      </c>
      <c r="K2626" s="2">
        <f>IF(ISNUMBER(SEARCH(Лист2!$B$4,F:F)),1,0)</f>
        <v>0</v>
      </c>
      <c r="L2626" s="14">
        <f>IF(ISNUMBER(SEARCH(Лист2!$B$5,I:I)),1,0)+K2626</f>
        <v>0</v>
      </c>
      <c r="M2626" s="3">
        <f ca="1">IF(AND(N2626&lt;&gt;N2625,ISNUMBER(SEARCH(Лист2!$B$6,N:N)),L2626=2),MAX($M$3:OFFSET(M2626,-1,0))+1,0)</f>
        <v>0</v>
      </c>
      <c r="N2626" s="3" t="s">
        <v>1619</v>
      </c>
    </row>
    <row r="2627" spans="1:14" x14ac:dyDescent="0.25">
      <c r="A2627" s="1" t="s">
        <v>11502</v>
      </c>
      <c r="B2627" s="3" t="s">
        <v>6251</v>
      </c>
      <c r="C2627" s="2">
        <f ca="1">IF(ISNUMBER(SEARCH(Лист2!$B$4,D:D)),MAX($C$3:OFFSET(C2627,-1,0))+1,0)</f>
        <v>0</v>
      </c>
      <c r="E2627" s="9" t="str">
        <f t="shared" ca="1" si="52"/>
        <v/>
      </c>
      <c r="F2627" s="4" t="s">
        <v>7</v>
      </c>
      <c r="G2627" s="2">
        <f>IF(ISNUMBER(SEARCH(Лист2!$B$4,F:F)),1,0)</f>
        <v>0</v>
      </c>
      <c r="H2627" s="3">
        <f ca="1">IF(AND(I2627&lt;&gt;I2626,ISNUMBER(SEARCH(Лист2!$B$5,I:I)),G2627=1),MAX($H$3:OFFSET(H2627,-1,0))+1,0)</f>
        <v>0</v>
      </c>
      <c r="I2627" s="3" t="s">
        <v>239</v>
      </c>
      <c r="K2627" s="2">
        <f>IF(ISNUMBER(SEARCH(Лист2!$B$4,F:F)),1,0)</f>
        <v>0</v>
      </c>
      <c r="L2627" s="14">
        <f>IF(ISNUMBER(SEARCH(Лист2!$B$5,I:I)),1,0)+K2627</f>
        <v>0</v>
      </c>
      <c r="M2627" s="3">
        <f ca="1">IF(AND(N2627&lt;&gt;N2626,ISNUMBER(SEARCH(Лист2!$B$6,N:N)),L2627=2),MAX($M$3:OFFSET(M2627,-1,0))+1,0)</f>
        <v>0</v>
      </c>
      <c r="N2627" s="3" t="s">
        <v>602</v>
      </c>
    </row>
    <row r="2628" spans="1:14" x14ac:dyDescent="0.25">
      <c r="A2628" s="1" t="s">
        <v>11503</v>
      </c>
      <c r="B2628" s="3" t="s">
        <v>6252</v>
      </c>
      <c r="C2628" s="2">
        <f ca="1">IF(ISNUMBER(SEARCH(Лист2!$B$4,D:D)),MAX($C$3:OFFSET(C2628,-1,0))+1,0)</f>
        <v>0</v>
      </c>
      <c r="E2628" s="9" t="str">
        <f t="shared" ca="1" si="52"/>
        <v/>
      </c>
      <c r="F2628" s="4" t="s">
        <v>7</v>
      </c>
      <c r="G2628" s="2">
        <f>IF(ISNUMBER(SEARCH(Лист2!$B$4,F:F)),1,0)</f>
        <v>0</v>
      </c>
      <c r="H2628" s="3">
        <f ca="1">IF(AND(I2628&lt;&gt;I2627,ISNUMBER(SEARCH(Лист2!$B$5,I:I)),G2628=1),MAX($H$3:OFFSET(H2628,-1,0))+1,0)</f>
        <v>0</v>
      </c>
      <c r="I2628" s="3" t="s">
        <v>239</v>
      </c>
      <c r="K2628" s="2">
        <f>IF(ISNUMBER(SEARCH(Лист2!$B$4,F:F)),1,0)</f>
        <v>0</v>
      </c>
      <c r="L2628" s="14">
        <f>IF(ISNUMBER(SEARCH(Лист2!$B$5,I:I)),1,0)+K2628</f>
        <v>0</v>
      </c>
      <c r="M2628" s="3">
        <f ca="1">IF(AND(N2628&lt;&gt;N2627,ISNUMBER(SEARCH(Лист2!$B$6,N:N)),L2628=2),MAX($M$3:OFFSET(M2628,-1,0))+1,0)</f>
        <v>0</v>
      </c>
      <c r="N2628" s="3" t="s">
        <v>1781</v>
      </c>
    </row>
    <row r="2629" spans="1:14" x14ac:dyDescent="0.25">
      <c r="A2629" s="1" t="s">
        <v>11504</v>
      </c>
      <c r="B2629" s="3" t="s">
        <v>6253</v>
      </c>
      <c r="C2629" s="2">
        <f ca="1">IF(ISNUMBER(SEARCH(Лист2!$B$4,D:D)),MAX($C$3:OFFSET(C2629,-1,0))+1,0)</f>
        <v>0</v>
      </c>
      <c r="E2629" s="9" t="str">
        <f t="shared" ref="E2629:E2692" ca="1" si="53">IFERROR(INDEX(D:D,MATCH(ROW(E2629)-ROW($E$3),C:C,0)),"")</f>
        <v/>
      </c>
      <c r="F2629" s="4" t="s">
        <v>7</v>
      </c>
      <c r="G2629" s="2">
        <f>IF(ISNUMBER(SEARCH(Лист2!$B$4,F:F)),1,0)</f>
        <v>0</v>
      </c>
      <c r="H2629" s="3">
        <f ca="1">IF(AND(I2629&lt;&gt;I2628,ISNUMBER(SEARCH(Лист2!$B$5,I:I)),G2629=1),MAX($H$3:OFFSET(H2629,-1,0))+1,0)</f>
        <v>0</v>
      </c>
      <c r="I2629" s="3" t="s">
        <v>239</v>
      </c>
      <c r="K2629" s="2">
        <f>IF(ISNUMBER(SEARCH(Лист2!$B$4,F:F)),1,0)</f>
        <v>0</v>
      </c>
      <c r="L2629" s="14">
        <f>IF(ISNUMBER(SEARCH(Лист2!$B$5,I:I)),1,0)+K2629</f>
        <v>0</v>
      </c>
      <c r="M2629" s="3">
        <f ca="1">IF(AND(N2629&lt;&gt;N2628,ISNUMBER(SEARCH(Лист2!$B$6,N:N)),L2629=2),MAX($M$3:OFFSET(M2629,-1,0))+1,0)</f>
        <v>0</v>
      </c>
      <c r="N2629" s="3" t="s">
        <v>1782</v>
      </c>
    </row>
    <row r="2630" spans="1:14" x14ac:dyDescent="0.25">
      <c r="A2630" s="1" t="s">
        <v>11505</v>
      </c>
      <c r="B2630" s="3" t="s">
        <v>6254</v>
      </c>
      <c r="C2630" s="2">
        <f ca="1">IF(ISNUMBER(SEARCH(Лист2!$B$4,D:D)),MAX($C$3:OFFSET(C2630,-1,0))+1,0)</f>
        <v>0</v>
      </c>
      <c r="E2630" s="9" t="str">
        <f t="shared" ca="1" si="53"/>
        <v/>
      </c>
      <c r="F2630" s="4" t="s">
        <v>7</v>
      </c>
      <c r="G2630" s="2">
        <f>IF(ISNUMBER(SEARCH(Лист2!$B$4,F:F)),1,0)</f>
        <v>0</v>
      </c>
      <c r="H2630" s="3">
        <f ca="1">IF(AND(I2630&lt;&gt;I2629,ISNUMBER(SEARCH(Лист2!$B$5,I:I)),G2630=1),MAX($H$3:OFFSET(H2630,-1,0))+1,0)</f>
        <v>0</v>
      </c>
      <c r="I2630" s="3" t="s">
        <v>239</v>
      </c>
      <c r="K2630" s="2">
        <f>IF(ISNUMBER(SEARCH(Лист2!$B$4,F:F)),1,0)</f>
        <v>0</v>
      </c>
      <c r="L2630" s="14">
        <f>IF(ISNUMBER(SEARCH(Лист2!$B$5,I:I)),1,0)+K2630</f>
        <v>0</v>
      </c>
      <c r="M2630" s="3">
        <f ca="1">IF(AND(N2630&lt;&gt;N2629,ISNUMBER(SEARCH(Лист2!$B$6,N:N)),L2630=2),MAX($M$3:OFFSET(M2630,-1,0))+1,0)</f>
        <v>0</v>
      </c>
      <c r="N2630" s="3" t="s">
        <v>1783</v>
      </c>
    </row>
    <row r="2631" spans="1:14" x14ac:dyDescent="0.25">
      <c r="A2631" s="1" t="s">
        <v>11506</v>
      </c>
      <c r="B2631" s="3" t="s">
        <v>6255</v>
      </c>
      <c r="C2631" s="2">
        <f ca="1">IF(ISNUMBER(SEARCH(Лист2!$B$4,D:D)),MAX($C$3:OFFSET(C2631,-1,0))+1,0)</f>
        <v>0</v>
      </c>
      <c r="E2631" s="9" t="str">
        <f t="shared" ca="1" si="53"/>
        <v/>
      </c>
      <c r="F2631" s="4" t="s">
        <v>7</v>
      </c>
      <c r="G2631" s="2">
        <f>IF(ISNUMBER(SEARCH(Лист2!$B$4,F:F)),1,0)</f>
        <v>0</v>
      </c>
      <c r="H2631" s="3">
        <f ca="1">IF(AND(I2631&lt;&gt;I2630,ISNUMBER(SEARCH(Лист2!$B$5,I:I)),G2631=1),MAX($H$3:OFFSET(H2631,-1,0))+1,0)</f>
        <v>0</v>
      </c>
      <c r="I2631" s="3" t="s">
        <v>239</v>
      </c>
      <c r="K2631" s="2">
        <f>IF(ISNUMBER(SEARCH(Лист2!$B$4,F:F)),1,0)</f>
        <v>0</v>
      </c>
      <c r="L2631" s="14">
        <f>IF(ISNUMBER(SEARCH(Лист2!$B$5,I:I)),1,0)+K2631</f>
        <v>0</v>
      </c>
      <c r="M2631" s="3">
        <f ca="1">IF(AND(N2631&lt;&gt;N2630,ISNUMBER(SEARCH(Лист2!$B$6,N:N)),L2631=2),MAX($M$3:OFFSET(M2631,-1,0))+1,0)</f>
        <v>0</v>
      </c>
      <c r="N2631" s="3" t="s">
        <v>1784</v>
      </c>
    </row>
    <row r="2632" spans="1:14" x14ac:dyDescent="0.25">
      <c r="A2632" s="1" t="s">
        <v>11507</v>
      </c>
      <c r="B2632" s="3" t="s">
        <v>6256</v>
      </c>
      <c r="C2632" s="2">
        <f ca="1">IF(ISNUMBER(SEARCH(Лист2!$B$4,D:D)),MAX($C$3:OFFSET(C2632,-1,0))+1,0)</f>
        <v>0</v>
      </c>
      <c r="E2632" s="9" t="str">
        <f t="shared" ca="1" si="53"/>
        <v/>
      </c>
      <c r="F2632" s="4" t="s">
        <v>7</v>
      </c>
      <c r="G2632" s="2">
        <f>IF(ISNUMBER(SEARCH(Лист2!$B$4,F:F)),1,0)</f>
        <v>0</v>
      </c>
      <c r="H2632" s="3">
        <f ca="1">IF(AND(I2632&lt;&gt;I2631,ISNUMBER(SEARCH(Лист2!$B$5,I:I)),G2632=1),MAX($H$3:OFFSET(H2632,-1,0))+1,0)</f>
        <v>0</v>
      </c>
      <c r="I2632" s="3" t="s">
        <v>239</v>
      </c>
      <c r="K2632" s="2">
        <f>IF(ISNUMBER(SEARCH(Лист2!$B$4,F:F)),1,0)</f>
        <v>0</v>
      </c>
      <c r="L2632" s="14">
        <f>IF(ISNUMBER(SEARCH(Лист2!$B$5,I:I)),1,0)+K2632</f>
        <v>0</v>
      </c>
      <c r="M2632" s="3">
        <f ca="1">IF(AND(N2632&lt;&gt;N2631,ISNUMBER(SEARCH(Лист2!$B$6,N:N)),L2632=2),MAX($M$3:OFFSET(M2632,-1,0))+1,0)</f>
        <v>0</v>
      </c>
      <c r="N2632" s="3" t="s">
        <v>1785</v>
      </c>
    </row>
    <row r="2633" spans="1:14" x14ac:dyDescent="0.25">
      <c r="A2633" s="1" t="s">
        <v>11508</v>
      </c>
      <c r="B2633" s="3" t="s">
        <v>6257</v>
      </c>
      <c r="C2633" s="2">
        <f ca="1">IF(ISNUMBER(SEARCH(Лист2!$B$4,D:D)),MAX($C$3:OFFSET(C2633,-1,0))+1,0)</f>
        <v>0</v>
      </c>
      <c r="E2633" s="9" t="str">
        <f t="shared" ca="1" si="53"/>
        <v/>
      </c>
      <c r="F2633" s="4" t="s">
        <v>7</v>
      </c>
      <c r="G2633" s="2">
        <f>IF(ISNUMBER(SEARCH(Лист2!$B$4,F:F)),1,0)</f>
        <v>0</v>
      </c>
      <c r="H2633" s="3">
        <f ca="1">IF(AND(I2633&lt;&gt;I2632,ISNUMBER(SEARCH(Лист2!$B$5,I:I)),G2633=1),MAX($H$3:OFFSET(H2633,-1,0))+1,0)</f>
        <v>0</v>
      </c>
      <c r="I2633" s="3" t="s">
        <v>240</v>
      </c>
      <c r="K2633" s="2">
        <f>IF(ISNUMBER(SEARCH(Лист2!$B$4,F:F)),1,0)</f>
        <v>0</v>
      </c>
      <c r="L2633" s="14">
        <f>IF(ISNUMBER(SEARCH(Лист2!$B$5,I:I)),1,0)+K2633</f>
        <v>0</v>
      </c>
      <c r="M2633" s="3">
        <f ca="1">IF(AND(N2633&lt;&gt;N2632,ISNUMBER(SEARCH(Лист2!$B$6,N:N)),L2633=2),MAX($M$3:OFFSET(M2633,-1,0))+1,0)</f>
        <v>0</v>
      </c>
      <c r="N2633" s="3" t="s">
        <v>1786</v>
      </c>
    </row>
    <row r="2634" spans="1:14" x14ac:dyDescent="0.25">
      <c r="A2634" s="1" t="s">
        <v>11509</v>
      </c>
      <c r="B2634" s="3" t="s">
        <v>6258</v>
      </c>
      <c r="C2634" s="2">
        <f ca="1">IF(ISNUMBER(SEARCH(Лист2!$B$4,D:D)),MAX($C$3:OFFSET(C2634,-1,0))+1,0)</f>
        <v>0</v>
      </c>
      <c r="E2634" s="9" t="str">
        <f t="shared" ca="1" si="53"/>
        <v/>
      </c>
      <c r="F2634" s="4" t="s">
        <v>7</v>
      </c>
      <c r="G2634" s="2">
        <f>IF(ISNUMBER(SEARCH(Лист2!$B$4,F:F)),1,0)</f>
        <v>0</v>
      </c>
      <c r="H2634" s="3">
        <f ca="1">IF(AND(I2634&lt;&gt;I2633,ISNUMBER(SEARCH(Лист2!$B$5,I:I)),G2634=1),MAX($H$3:OFFSET(H2634,-1,0))+1,0)</f>
        <v>0</v>
      </c>
      <c r="I2634" s="3" t="s">
        <v>240</v>
      </c>
      <c r="K2634" s="2">
        <f>IF(ISNUMBER(SEARCH(Лист2!$B$4,F:F)),1,0)</f>
        <v>0</v>
      </c>
      <c r="L2634" s="14">
        <f>IF(ISNUMBER(SEARCH(Лист2!$B$5,I:I)),1,0)+K2634</f>
        <v>0</v>
      </c>
      <c r="M2634" s="3">
        <f ca="1">IF(AND(N2634&lt;&gt;N2633,ISNUMBER(SEARCH(Лист2!$B$6,N:N)),L2634=2),MAX($M$3:OFFSET(M2634,-1,0))+1,0)</f>
        <v>0</v>
      </c>
      <c r="N2634" s="3" t="s">
        <v>1787</v>
      </c>
    </row>
    <row r="2635" spans="1:14" x14ac:dyDescent="0.25">
      <c r="A2635" s="1" t="s">
        <v>11510</v>
      </c>
      <c r="B2635" s="3" t="s">
        <v>6259</v>
      </c>
      <c r="C2635" s="2">
        <f ca="1">IF(ISNUMBER(SEARCH(Лист2!$B$4,D:D)),MAX($C$3:OFFSET(C2635,-1,0))+1,0)</f>
        <v>0</v>
      </c>
      <c r="E2635" s="9" t="str">
        <f t="shared" ca="1" si="53"/>
        <v/>
      </c>
      <c r="F2635" s="4" t="s">
        <v>7</v>
      </c>
      <c r="G2635" s="2">
        <f>IF(ISNUMBER(SEARCH(Лист2!$B$4,F:F)),1,0)</f>
        <v>0</v>
      </c>
      <c r="H2635" s="3">
        <f ca="1">IF(AND(I2635&lt;&gt;I2634,ISNUMBER(SEARCH(Лист2!$B$5,I:I)),G2635=1),MAX($H$3:OFFSET(H2635,-1,0))+1,0)</f>
        <v>0</v>
      </c>
      <c r="I2635" s="3" t="s">
        <v>240</v>
      </c>
      <c r="K2635" s="2">
        <f>IF(ISNUMBER(SEARCH(Лист2!$B$4,F:F)),1,0)</f>
        <v>0</v>
      </c>
      <c r="L2635" s="14">
        <f>IF(ISNUMBER(SEARCH(Лист2!$B$5,I:I)),1,0)+K2635</f>
        <v>0</v>
      </c>
      <c r="M2635" s="3">
        <f ca="1">IF(AND(N2635&lt;&gt;N2634,ISNUMBER(SEARCH(Лист2!$B$6,N:N)),L2635=2),MAX($M$3:OFFSET(M2635,-1,0))+1,0)</f>
        <v>0</v>
      </c>
      <c r="N2635" s="3" t="s">
        <v>1788</v>
      </c>
    </row>
    <row r="2636" spans="1:14" x14ac:dyDescent="0.25">
      <c r="A2636" s="1" t="s">
        <v>11511</v>
      </c>
      <c r="B2636" s="3" t="s">
        <v>6260</v>
      </c>
      <c r="C2636" s="2">
        <f ca="1">IF(ISNUMBER(SEARCH(Лист2!$B$4,D:D)),MAX($C$3:OFFSET(C2636,-1,0))+1,0)</f>
        <v>0</v>
      </c>
      <c r="E2636" s="9" t="str">
        <f t="shared" ca="1" si="53"/>
        <v/>
      </c>
      <c r="F2636" s="4" t="s">
        <v>7</v>
      </c>
      <c r="G2636" s="2">
        <f>IF(ISNUMBER(SEARCH(Лист2!$B$4,F:F)),1,0)</f>
        <v>0</v>
      </c>
      <c r="H2636" s="3">
        <f ca="1">IF(AND(I2636&lt;&gt;I2635,ISNUMBER(SEARCH(Лист2!$B$5,I:I)),G2636=1),MAX($H$3:OFFSET(H2636,-1,0))+1,0)</f>
        <v>0</v>
      </c>
      <c r="I2636" s="3" t="s">
        <v>240</v>
      </c>
      <c r="K2636" s="2">
        <f>IF(ISNUMBER(SEARCH(Лист2!$B$4,F:F)),1,0)</f>
        <v>0</v>
      </c>
      <c r="L2636" s="14">
        <f>IF(ISNUMBER(SEARCH(Лист2!$B$5,I:I)),1,0)+K2636</f>
        <v>0</v>
      </c>
      <c r="M2636" s="3">
        <f ca="1">IF(AND(N2636&lt;&gt;N2635,ISNUMBER(SEARCH(Лист2!$B$6,N:N)),L2636=2),MAX($M$3:OFFSET(M2636,-1,0))+1,0)</f>
        <v>0</v>
      </c>
      <c r="N2636" s="3" t="s">
        <v>1789</v>
      </c>
    </row>
    <row r="2637" spans="1:14" x14ac:dyDescent="0.25">
      <c r="A2637" s="1" t="s">
        <v>11512</v>
      </c>
      <c r="B2637" s="3" t="s">
        <v>6261</v>
      </c>
      <c r="C2637" s="2">
        <f ca="1">IF(ISNUMBER(SEARCH(Лист2!$B$4,D:D)),MAX($C$3:OFFSET(C2637,-1,0))+1,0)</f>
        <v>0</v>
      </c>
      <c r="E2637" s="9" t="str">
        <f t="shared" ca="1" si="53"/>
        <v/>
      </c>
      <c r="F2637" s="4" t="s">
        <v>7</v>
      </c>
      <c r="G2637" s="2">
        <f>IF(ISNUMBER(SEARCH(Лист2!$B$4,F:F)),1,0)</f>
        <v>0</v>
      </c>
      <c r="H2637" s="3">
        <f ca="1">IF(AND(I2637&lt;&gt;I2636,ISNUMBER(SEARCH(Лист2!$B$5,I:I)),G2637=1),MAX($H$3:OFFSET(H2637,-1,0))+1,0)</f>
        <v>0</v>
      </c>
      <c r="I2637" s="3" t="s">
        <v>240</v>
      </c>
      <c r="K2637" s="2">
        <f>IF(ISNUMBER(SEARCH(Лист2!$B$4,F:F)),1,0)</f>
        <v>0</v>
      </c>
      <c r="L2637" s="14">
        <f>IF(ISNUMBER(SEARCH(Лист2!$B$5,I:I)),1,0)+K2637</f>
        <v>0</v>
      </c>
      <c r="M2637" s="3">
        <f ca="1">IF(AND(N2637&lt;&gt;N2636,ISNUMBER(SEARCH(Лист2!$B$6,N:N)),L2637=2),MAX($M$3:OFFSET(M2637,-1,0))+1,0)</f>
        <v>0</v>
      </c>
      <c r="N2637" s="3" t="s">
        <v>1790</v>
      </c>
    </row>
    <row r="2638" spans="1:14" x14ac:dyDescent="0.25">
      <c r="A2638" s="1" t="s">
        <v>11513</v>
      </c>
      <c r="B2638" s="3" t="s">
        <v>6262</v>
      </c>
      <c r="C2638" s="2">
        <f ca="1">IF(ISNUMBER(SEARCH(Лист2!$B$4,D:D)),MAX($C$3:OFFSET(C2638,-1,0))+1,0)</f>
        <v>0</v>
      </c>
      <c r="E2638" s="9" t="str">
        <f t="shared" ca="1" si="53"/>
        <v/>
      </c>
      <c r="F2638" s="4" t="s">
        <v>7</v>
      </c>
      <c r="G2638" s="2">
        <f>IF(ISNUMBER(SEARCH(Лист2!$B$4,F:F)),1,0)</f>
        <v>0</v>
      </c>
      <c r="H2638" s="3">
        <f ca="1">IF(AND(I2638&lt;&gt;I2637,ISNUMBER(SEARCH(Лист2!$B$5,I:I)),G2638=1),MAX($H$3:OFFSET(H2638,-1,0))+1,0)</f>
        <v>0</v>
      </c>
      <c r="I2638" s="3" t="s">
        <v>240</v>
      </c>
      <c r="K2638" s="2">
        <f>IF(ISNUMBER(SEARCH(Лист2!$B$4,F:F)),1,0)</f>
        <v>0</v>
      </c>
      <c r="L2638" s="14">
        <f>IF(ISNUMBER(SEARCH(Лист2!$B$5,I:I)),1,0)+K2638</f>
        <v>0</v>
      </c>
      <c r="M2638" s="3">
        <f ca="1">IF(AND(N2638&lt;&gt;N2637,ISNUMBER(SEARCH(Лист2!$B$6,N:N)),L2638=2),MAX($M$3:OFFSET(M2638,-1,0))+1,0)</f>
        <v>0</v>
      </c>
      <c r="N2638" s="3" t="s">
        <v>1735</v>
      </c>
    </row>
    <row r="2639" spans="1:14" x14ac:dyDescent="0.25">
      <c r="A2639" s="1" t="s">
        <v>11514</v>
      </c>
      <c r="B2639" s="3" t="s">
        <v>6263</v>
      </c>
      <c r="C2639" s="2">
        <f ca="1">IF(ISNUMBER(SEARCH(Лист2!$B$4,D:D)),MAX($C$3:OFFSET(C2639,-1,0))+1,0)</f>
        <v>0</v>
      </c>
      <c r="E2639" s="9" t="str">
        <f t="shared" ca="1" si="53"/>
        <v/>
      </c>
      <c r="F2639" s="4" t="s">
        <v>7</v>
      </c>
      <c r="G2639" s="2">
        <f>IF(ISNUMBER(SEARCH(Лист2!$B$4,F:F)),1,0)</f>
        <v>0</v>
      </c>
      <c r="H2639" s="3">
        <f ca="1">IF(AND(I2639&lt;&gt;I2638,ISNUMBER(SEARCH(Лист2!$B$5,I:I)),G2639=1),MAX($H$3:OFFSET(H2639,-1,0))+1,0)</f>
        <v>0</v>
      </c>
      <c r="I2639" s="3" t="s">
        <v>240</v>
      </c>
      <c r="K2639" s="2">
        <f>IF(ISNUMBER(SEARCH(Лист2!$B$4,F:F)),1,0)</f>
        <v>0</v>
      </c>
      <c r="L2639" s="14">
        <f>IF(ISNUMBER(SEARCH(Лист2!$B$5,I:I)),1,0)+K2639</f>
        <v>0</v>
      </c>
      <c r="M2639" s="3">
        <f ca="1">IF(AND(N2639&lt;&gt;N2638,ISNUMBER(SEARCH(Лист2!$B$6,N:N)),L2639=2),MAX($M$3:OFFSET(M2639,-1,0))+1,0)</f>
        <v>0</v>
      </c>
      <c r="N2639" s="3" t="s">
        <v>1621</v>
      </c>
    </row>
    <row r="2640" spans="1:14" x14ac:dyDescent="0.25">
      <c r="A2640" s="1" t="s">
        <v>11515</v>
      </c>
      <c r="B2640" s="3" t="s">
        <v>6264</v>
      </c>
      <c r="C2640" s="2">
        <f ca="1">IF(ISNUMBER(SEARCH(Лист2!$B$4,D:D)),MAX($C$3:OFFSET(C2640,-1,0))+1,0)</f>
        <v>0</v>
      </c>
      <c r="E2640" s="9" t="str">
        <f t="shared" ca="1" si="53"/>
        <v/>
      </c>
      <c r="F2640" s="4" t="s">
        <v>7</v>
      </c>
      <c r="G2640" s="2">
        <f>IF(ISNUMBER(SEARCH(Лист2!$B$4,F:F)),1,0)</f>
        <v>0</v>
      </c>
      <c r="H2640" s="3">
        <f ca="1">IF(AND(I2640&lt;&gt;I2639,ISNUMBER(SEARCH(Лист2!$B$5,I:I)),G2640=1),MAX($H$3:OFFSET(H2640,-1,0))+1,0)</f>
        <v>0</v>
      </c>
      <c r="I2640" s="3" t="s">
        <v>240</v>
      </c>
      <c r="K2640" s="2">
        <f>IF(ISNUMBER(SEARCH(Лист2!$B$4,F:F)),1,0)</f>
        <v>0</v>
      </c>
      <c r="L2640" s="14">
        <f>IF(ISNUMBER(SEARCH(Лист2!$B$5,I:I)),1,0)+K2640</f>
        <v>0</v>
      </c>
      <c r="M2640" s="3">
        <f ca="1">IF(AND(N2640&lt;&gt;N2639,ISNUMBER(SEARCH(Лист2!$B$6,N:N)),L2640=2),MAX($M$3:OFFSET(M2640,-1,0))+1,0)</f>
        <v>0</v>
      </c>
      <c r="N2640" s="3" t="s">
        <v>1748</v>
      </c>
    </row>
    <row r="2641" spans="1:14" x14ac:dyDescent="0.25">
      <c r="A2641" s="1" t="s">
        <v>11516</v>
      </c>
      <c r="B2641" s="3" t="s">
        <v>6265</v>
      </c>
      <c r="C2641" s="2">
        <f ca="1">IF(ISNUMBER(SEARCH(Лист2!$B$4,D:D)),MAX($C$3:OFFSET(C2641,-1,0))+1,0)</f>
        <v>0</v>
      </c>
      <c r="E2641" s="9" t="str">
        <f t="shared" ca="1" si="53"/>
        <v/>
      </c>
      <c r="F2641" s="4" t="s">
        <v>7</v>
      </c>
      <c r="G2641" s="2">
        <f>IF(ISNUMBER(SEARCH(Лист2!$B$4,F:F)),1,0)</f>
        <v>0</v>
      </c>
      <c r="H2641" s="3">
        <f ca="1">IF(AND(I2641&lt;&gt;I2640,ISNUMBER(SEARCH(Лист2!$B$5,I:I)),G2641=1),MAX($H$3:OFFSET(H2641,-1,0))+1,0)</f>
        <v>0</v>
      </c>
      <c r="I2641" s="3" t="s">
        <v>240</v>
      </c>
      <c r="K2641" s="2">
        <f>IF(ISNUMBER(SEARCH(Лист2!$B$4,F:F)),1,0)</f>
        <v>0</v>
      </c>
      <c r="L2641" s="14">
        <f>IF(ISNUMBER(SEARCH(Лист2!$B$5,I:I)),1,0)+K2641</f>
        <v>0</v>
      </c>
      <c r="M2641" s="3">
        <f ca="1">IF(AND(N2641&lt;&gt;N2640,ISNUMBER(SEARCH(Лист2!$B$6,N:N)),L2641=2),MAX($M$3:OFFSET(M2641,-1,0))+1,0)</f>
        <v>0</v>
      </c>
      <c r="N2641" s="3" t="s">
        <v>1749</v>
      </c>
    </row>
    <row r="2642" spans="1:14" x14ac:dyDescent="0.25">
      <c r="A2642" s="1" t="s">
        <v>11517</v>
      </c>
      <c r="B2642" s="3" t="s">
        <v>6266</v>
      </c>
      <c r="C2642" s="2">
        <f ca="1">IF(ISNUMBER(SEARCH(Лист2!$B$4,D:D)),MAX($C$3:OFFSET(C2642,-1,0))+1,0)</f>
        <v>0</v>
      </c>
      <c r="E2642" s="9" t="str">
        <f t="shared" ca="1" si="53"/>
        <v/>
      </c>
      <c r="F2642" s="4" t="s">
        <v>7</v>
      </c>
      <c r="G2642" s="2">
        <f>IF(ISNUMBER(SEARCH(Лист2!$B$4,F:F)),1,0)</f>
        <v>0</v>
      </c>
      <c r="H2642" s="3">
        <f ca="1">IF(AND(I2642&lt;&gt;I2641,ISNUMBER(SEARCH(Лист2!$B$5,I:I)),G2642=1),MAX($H$3:OFFSET(H2642,-1,0))+1,0)</f>
        <v>0</v>
      </c>
      <c r="I2642" s="3" t="s">
        <v>240</v>
      </c>
      <c r="K2642" s="2">
        <f>IF(ISNUMBER(SEARCH(Лист2!$B$4,F:F)),1,0)</f>
        <v>0</v>
      </c>
      <c r="L2642" s="14">
        <f>IF(ISNUMBER(SEARCH(Лист2!$B$5,I:I)),1,0)+K2642</f>
        <v>0</v>
      </c>
      <c r="M2642" s="3">
        <f ca="1">IF(AND(N2642&lt;&gt;N2641,ISNUMBER(SEARCH(Лист2!$B$6,N:N)),L2642=2),MAX($M$3:OFFSET(M2642,-1,0))+1,0)</f>
        <v>0</v>
      </c>
      <c r="N2642" s="3" t="s">
        <v>1619</v>
      </c>
    </row>
    <row r="2643" spans="1:14" x14ac:dyDescent="0.25">
      <c r="A2643" s="1" t="s">
        <v>11518</v>
      </c>
      <c r="B2643" s="3" t="s">
        <v>6267</v>
      </c>
      <c r="C2643" s="2">
        <f ca="1">IF(ISNUMBER(SEARCH(Лист2!$B$4,D:D)),MAX($C$3:OFFSET(C2643,-1,0))+1,0)</f>
        <v>0</v>
      </c>
      <c r="E2643" s="9" t="str">
        <f t="shared" ca="1" si="53"/>
        <v/>
      </c>
      <c r="F2643" s="4" t="s">
        <v>7</v>
      </c>
      <c r="G2643" s="2">
        <f>IF(ISNUMBER(SEARCH(Лист2!$B$4,F:F)),1,0)</f>
        <v>0</v>
      </c>
      <c r="H2643" s="3">
        <f ca="1">IF(AND(I2643&lt;&gt;I2642,ISNUMBER(SEARCH(Лист2!$B$5,I:I)),G2643=1),MAX($H$3:OFFSET(H2643,-1,0))+1,0)</f>
        <v>0</v>
      </c>
      <c r="I2643" s="3" t="s">
        <v>240</v>
      </c>
      <c r="K2643" s="2">
        <f>IF(ISNUMBER(SEARCH(Лист2!$B$4,F:F)),1,0)</f>
        <v>0</v>
      </c>
      <c r="L2643" s="14">
        <f>IF(ISNUMBER(SEARCH(Лист2!$B$5,I:I)),1,0)+K2643</f>
        <v>0</v>
      </c>
      <c r="M2643" s="3">
        <f ca="1">IF(AND(N2643&lt;&gt;N2642,ISNUMBER(SEARCH(Лист2!$B$6,N:N)),L2643=2),MAX($M$3:OFFSET(M2643,-1,0))+1,0)</f>
        <v>0</v>
      </c>
      <c r="N2643" s="3" t="s">
        <v>602</v>
      </c>
    </row>
    <row r="2644" spans="1:14" x14ac:dyDescent="0.25">
      <c r="A2644" s="1" t="s">
        <v>11519</v>
      </c>
      <c r="B2644" s="3" t="s">
        <v>6268</v>
      </c>
      <c r="C2644" s="2">
        <f ca="1">IF(ISNUMBER(SEARCH(Лист2!$B$4,D:D)),MAX($C$3:OFFSET(C2644,-1,0))+1,0)</f>
        <v>0</v>
      </c>
      <c r="E2644" s="9" t="str">
        <f t="shared" ca="1" si="53"/>
        <v/>
      </c>
      <c r="F2644" s="4" t="s">
        <v>7</v>
      </c>
      <c r="G2644" s="2">
        <f>IF(ISNUMBER(SEARCH(Лист2!$B$4,F:F)),1,0)</f>
        <v>0</v>
      </c>
      <c r="H2644" s="3">
        <f ca="1">IF(AND(I2644&lt;&gt;I2643,ISNUMBER(SEARCH(Лист2!$B$5,I:I)),G2644=1),MAX($H$3:OFFSET(H2644,-1,0))+1,0)</f>
        <v>0</v>
      </c>
      <c r="I2644" s="3" t="s">
        <v>240</v>
      </c>
      <c r="K2644" s="2">
        <f>IF(ISNUMBER(SEARCH(Лист2!$B$4,F:F)),1,0)</f>
        <v>0</v>
      </c>
      <c r="L2644" s="14">
        <f>IF(ISNUMBER(SEARCH(Лист2!$B$5,I:I)),1,0)+K2644</f>
        <v>0</v>
      </c>
      <c r="M2644" s="3">
        <f ca="1">IF(AND(N2644&lt;&gt;N2643,ISNUMBER(SEARCH(Лист2!$B$6,N:N)),L2644=2),MAX($M$3:OFFSET(M2644,-1,0))+1,0)</f>
        <v>0</v>
      </c>
      <c r="N2644" s="3" t="s">
        <v>1791</v>
      </c>
    </row>
    <row r="2645" spans="1:14" x14ac:dyDescent="0.25">
      <c r="A2645" s="1" t="s">
        <v>11520</v>
      </c>
      <c r="B2645" s="3" t="s">
        <v>6269</v>
      </c>
      <c r="C2645" s="2">
        <f ca="1">IF(ISNUMBER(SEARCH(Лист2!$B$4,D:D)),MAX($C$3:OFFSET(C2645,-1,0))+1,0)</f>
        <v>0</v>
      </c>
      <c r="E2645" s="9" t="str">
        <f t="shared" ca="1" si="53"/>
        <v/>
      </c>
      <c r="F2645" s="4" t="s">
        <v>7</v>
      </c>
      <c r="G2645" s="2">
        <f>IF(ISNUMBER(SEARCH(Лист2!$B$4,F:F)),1,0)</f>
        <v>0</v>
      </c>
      <c r="H2645" s="3">
        <f ca="1">IF(AND(I2645&lt;&gt;I2644,ISNUMBER(SEARCH(Лист2!$B$5,I:I)),G2645=1),MAX($H$3:OFFSET(H2645,-1,0))+1,0)</f>
        <v>0</v>
      </c>
      <c r="I2645" s="3" t="s">
        <v>240</v>
      </c>
      <c r="K2645" s="2">
        <f>IF(ISNUMBER(SEARCH(Лист2!$B$4,F:F)),1,0)</f>
        <v>0</v>
      </c>
      <c r="L2645" s="14">
        <f>IF(ISNUMBER(SEARCH(Лист2!$B$5,I:I)),1,0)+K2645</f>
        <v>0</v>
      </c>
      <c r="M2645" s="3">
        <f ca="1">IF(AND(N2645&lt;&gt;N2644,ISNUMBER(SEARCH(Лист2!$B$6,N:N)),L2645=2),MAX($M$3:OFFSET(M2645,-1,0))+1,0)</f>
        <v>0</v>
      </c>
      <c r="N2645" s="3" t="s">
        <v>1792</v>
      </c>
    </row>
    <row r="2646" spans="1:14" x14ac:dyDescent="0.25">
      <c r="A2646" s="1" t="s">
        <v>11521</v>
      </c>
      <c r="B2646" s="3" t="s">
        <v>6270</v>
      </c>
      <c r="C2646" s="2">
        <f ca="1">IF(ISNUMBER(SEARCH(Лист2!$B$4,D:D)),MAX($C$3:OFFSET(C2646,-1,0))+1,0)</f>
        <v>0</v>
      </c>
      <c r="E2646" s="9" t="str">
        <f t="shared" ca="1" si="53"/>
        <v/>
      </c>
      <c r="F2646" s="4" t="s">
        <v>7</v>
      </c>
      <c r="G2646" s="2">
        <f>IF(ISNUMBER(SEARCH(Лист2!$B$4,F:F)),1,0)</f>
        <v>0</v>
      </c>
      <c r="H2646" s="3">
        <f ca="1">IF(AND(I2646&lt;&gt;I2645,ISNUMBER(SEARCH(Лист2!$B$5,I:I)),G2646=1),MAX($H$3:OFFSET(H2646,-1,0))+1,0)</f>
        <v>0</v>
      </c>
      <c r="I2646" s="3" t="s">
        <v>240</v>
      </c>
      <c r="K2646" s="2">
        <f>IF(ISNUMBER(SEARCH(Лист2!$B$4,F:F)),1,0)</f>
        <v>0</v>
      </c>
      <c r="L2646" s="14">
        <f>IF(ISNUMBER(SEARCH(Лист2!$B$5,I:I)),1,0)+K2646</f>
        <v>0</v>
      </c>
      <c r="M2646" s="3">
        <f ca="1">IF(AND(N2646&lt;&gt;N2645,ISNUMBER(SEARCH(Лист2!$B$6,N:N)),L2646=2),MAX($M$3:OFFSET(M2646,-1,0))+1,0)</f>
        <v>0</v>
      </c>
      <c r="N2646" s="3" t="s">
        <v>1793</v>
      </c>
    </row>
    <row r="2647" spans="1:14" x14ac:dyDescent="0.25">
      <c r="A2647" s="1" t="s">
        <v>11522</v>
      </c>
      <c r="B2647" s="3" t="s">
        <v>6271</v>
      </c>
      <c r="C2647" s="2">
        <f ca="1">IF(ISNUMBER(SEARCH(Лист2!$B$4,D:D)),MAX($C$3:OFFSET(C2647,-1,0))+1,0)</f>
        <v>0</v>
      </c>
      <c r="E2647" s="9" t="str">
        <f t="shared" ca="1" si="53"/>
        <v/>
      </c>
      <c r="F2647" s="4" t="s">
        <v>7</v>
      </c>
      <c r="G2647" s="2">
        <f>IF(ISNUMBER(SEARCH(Лист2!$B$4,F:F)),1,0)</f>
        <v>0</v>
      </c>
      <c r="H2647" s="3">
        <f ca="1">IF(AND(I2647&lt;&gt;I2646,ISNUMBER(SEARCH(Лист2!$B$5,I:I)),G2647=1),MAX($H$3:OFFSET(H2647,-1,0))+1,0)</f>
        <v>0</v>
      </c>
      <c r="I2647" s="3" t="s">
        <v>240</v>
      </c>
      <c r="K2647" s="2">
        <f>IF(ISNUMBER(SEARCH(Лист2!$B$4,F:F)),1,0)</f>
        <v>0</v>
      </c>
      <c r="L2647" s="14">
        <f>IF(ISNUMBER(SEARCH(Лист2!$B$5,I:I)),1,0)+K2647</f>
        <v>0</v>
      </c>
      <c r="M2647" s="3">
        <f ca="1">IF(AND(N2647&lt;&gt;N2646,ISNUMBER(SEARCH(Лист2!$B$6,N:N)),L2647=2),MAX($M$3:OFFSET(M2647,-1,0))+1,0)</f>
        <v>0</v>
      </c>
      <c r="N2647" s="3" t="s">
        <v>1794</v>
      </c>
    </row>
    <row r="2648" spans="1:14" x14ac:dyDescent="0.25">
      <c r="A2648" s="1" t="s">
        <v>11523</v>
      </c>
      <c r="B2648" s="3" t="s">
        <v>6272</v>
      </c>
      <c r="C2648" s="2">
        <f ca="1">IF(ISNUMBER(SEARCH(Лист2!$B$4,D:D)),MAX($C$3:OFFSET(C2648,-1,0))+1,0)</f>
        <v>0</v>
      </c>
      <c r="E2648" s="9" t="str">
        <f t="shared" ca="1" si="53"/>
        <v/>
      </c>
      <c r="F2648" s="4" t="s">
        <v>7</v>
      </c>
      <c r="G2648" s="2">
        <f>IF(ISNUMBER(SEARCH(Лист2!$B$4,F:F)),1,0)</f>
        <v>0</v>
      </c>
      <c r="H2648" s="3">
        <f ca="1">IF(AND(I2648&lt;&gt;I2647,ISNUMBER(SEARCH(Лист2!$B$5,I:I)),G2648=1),MAX($H$3:OFFSET(H2648,-1,0))+1,0)</f>
        <v>0</v>
      </c>
      <c r="I2648" s="3" t="s">
        <v>240</v>
      </c>
      <c r="K2648" s="2">
        <f>IF(ISNUMBER(SEARCH(Лист2!$B$4,F:F)),1,0)</f>
        <v>0</v>
      </c>
      <c r="L2648" s="14">
        <f>IF(ISNUMBER(SEARCH(Лист2!$B$5,I:I)),1,0)+K2648</f>
        <v>0</v>
      </c>
      <c r="M2648" s="3">
        <f ca="1">IF(AND(N2648&lt;&gt;N2647,ISNUMBER(SEARCH(Лист2!$B$6,N:N)),L2648=2),MAX($M$3:OFFSET(M2648,-1,0))+1,0)</f>
        <v>0</v>
      </c>
      <c r="N2648" s="3" t="s">
        <v>1795</v>
      </c>
    </row>
    <row r="2649" spans="1:14" x14ac:dyDescent="0.25">
      <c r="A2649" s="1" t="s">
        <v>11638</v>
      </c>
      <c r="B2649" s="3" t="s">
        <v>6273</v>
      </c>
      <c r="C2649" s="2">
        <f ca="1">IF(ISNUMBER(SEARCH(Лист2!$B$4,D:D)),MAX($C$3:OFFSET(C2649,-1,0))+1,0)</f>
        <v>0</v>
      </c>
      <c r="E2649" s="9" t="str">
        <f t="shared" ca="1" si="53"/>
        <v/>
      </c>
      <c r="F2649" s="4" t="s">
        <v>7</v>
      </c>
      <c r="G2649" s="2">
        <f>IF(ISNUMBER(SEARCH(Лист2!$B$4,F:F)),1,0)</f>
        <v>0</v>
      </c>
      <c r="H2649" s="3">
        <f ca="1">IF(AND(I2649&lt;&gt;I2648,ISNUMBER(SEARCH(Лист2!$B$5,I:I)),G2649=1),MAX($H$3:OFFSET(H2649,-1,0))+1,0)</f>
        <v>0</v>
      </c>
      <c r="I2649" s="3" t="s">
        <v>215</v>
      </c>
      <c r="K2649" s="2">
        <f>IF(ISNUMBER(SEARCH(Лист2!$B$4,F:F)),1,0)</f>
        <v>0</v>
      </c>
      <c r="L2649" s="14">
        <f>IF(ISNUMBER(SEARCH(Лист2!$B$5,I:I)),1,0)+K2649</f>
        <v>0</v>
      </c>
      <c r="M2649" s="3">
        <f ca="1">IF(AND(N2649&lt;&gt;N2648,ISNUMBER(SEARCH(Лист2!$B$6,N:N)),L2649=2),MAX($M$3:OFFSET(M2649,-1,0))+1,0)</f>
        <v>0</v>
      </c>
      <c r="N2649" s="3" t="s">
        <v>1875</v>
      </c>
    </row>
    <row r="2650" spans="1:14" x14ac:dyDescent="0.25">
      <c r="A2650" s="1" t="s">
        <v>11639</v>
      </c>
      <c r="B2650" s="3" t="s">
        <v>6274</v>
      </c>
      <c r="C2650" s="2">
        <f ca="1">IF(ISNUMBER(SEARCH(Лист2!$B$4,D:D)),MAX($C$3:OFFSET(C2650,-1,0))+1,0)</f>
        <v>0</v>
      </c>
      <c r="E2650" s="9" t="str">
        <f t="shared" ca="1" si="53"/>
        <v/>
      </c>
      <c r="F2650" s="4" t="s">
        <v>7</v>
      </c>
      <c r="G2650" s="2">
        <f>IF(ISNUMBER(SEARCH(Лист2!$B$4,F:F)),1,0)</f>
        <v>0</v>
      </c>
      <c r="H2650" s="3">
        <f ca="1">IF(AND(I2650&lt;&gt;I2649,ISNUMBER(SEARCH(Лист2!$B$5,I:I)),G2650=1),MAX($H$3:OFFSET(H2650,-1,0))+1,0)</f>
        <v>0</v>
      </c>
      <c r="I2650" s="3" t="s">
        <v>215</v>
      </c>
      <c r="K2650" s="2">
        <f>IF(ISNUMBER(SEARCH(Лист2!$B$4,F:F)),1,0)</f>
        <v>0</v>
      </c>
      <c r="L2650" s="14">
        <f>IF(ISNUMBER(SEARCH(Лист2!$B$5,I:I)),1,0)+K2650</f>
        <v>0</v>
      </c>
      <c r="M2650" s="3">
        <f ca="1">IF(AND(N2650&lt;&gt;N2649,ISNUMBER(SEARCH(Лист2!$B$6,N:N)),L2650=2),MAX($M$3:OFFSET(M2650,-1,0))+1,0)</f>
        <v>0</v>
      </c>
      <c r="N2650" s="3" t="s">
        <v>1876</v>
      </c>
    </row>
    <row r="2651" spans="1:14" x14ac:dyDescent="0.25">
      <c r="A2651" s="1" t="s">
        <v>11640</v>
      </c>
      <c r="B2651" s="3" t="s">
        <v>6275</v>
      </c>
      <c r="C2651" s="2">
        <f ca="1">IF(ISNUMBER(SEARCH(Лист2!$B$4,D:D)),MAX($C$3:OFFSET(C2651,-1,0))+1,0)</f>
        <v>0</v>
      </c>
      <c r="E2651" s="9" t="str">
        <f t="shared" ca="1" si="53"/>
        <v/>
      </c>
      <c r="F2651" s="4" t="s">
        <v>7</v>
      </c>
      <c r="G2651" s="2">
        <f>IF(ISNUMBER(SEARCH(Лист2!$B$4,F:F)),1,0)</f>
        <v>0</v>
      </c>
      <c r="H2651" s="3">
        <f ca="1">IF(AND(I2651&lt;&gt;I2650,ISNUMBER(SEARCH(Лист2!$B$5,I:I)),G2651=1),MAX($H$3:OFFSET(H2651,-1,0))+1,0)</f>
        <v>0</v>
      </c>
      <c r="I2651" s="3" t="s">
        <v>215</v>
      </c>
      <c r="K2651" s="2">
        <f>IF(ISNUMBER(SEARCH(Лист2!$B$4,F:F)),1,0)</f>
        <v>0</v>
      </c>
      <c r="L2651" s="14">
        <f>IF(ISNUMBER(SEARCH(Лист2!$B$5,I:I)),1,0)+K2651</f>
        <v>0</v>
      </c>
      <c r="M2651" s="3">
        <f ca="1">IF(AND(N2651&lt;&gt;N2650,ISNUMBER(SEARCH(Лист2!$B$6,N:N)),L2651=2),MAX($M$3:OFFSET(M2651,-1,0))+1,0)</f>
        <v>0</v>
      </c>
      <c r="N2651" s="3" t="s">
        <v>1735</v>
      </c>
    </row>
    <row r="2652" spans="1:14" x14ac:dyDescent="0.25">
      <c r="A2652" s="1" t="s">
        <v>11245</v>
      </c>
      <c r="B2652" s="3" t="s">
        <v>6276</v>
      </c>
      <c r="C2652" s="2">
        <f ca="1">IF(ISNUMBER(SEARCH(Лист2!$B$4,D:D)),MAX($C$3:OFFSET(C2652,-1,0))+1,0)</f>
        <v>0</v>
      </c>
      <c r="E2652" s="9" t="str">
        <f t="shared" ca="1" si="53"/>
        <v/>
      </c>
      <c r="F2652" s="4" t="s">
        <v>7</v>
      </c>
      <c r="G2652" s="2">
        <f>IF(ISNUMBER(SEARCH(Лист2!$B$4,F:F)),1,0)</f>
        <v>0</v>
      </c>
      <c r="H2652" s="3">
        <f ca="1">IF(AND(I2652&lt;&gt;I2651,ISNUMBER(SEARCH(Лист2!$B$5,I:I)),G2652=1),MAX($H$3:OFFSET(H2652,-1,0))+1,0)</f>
        <v>0</v>
      </c>
      <c r="I2652" s="3" t="s">
        <v>215</v>
      </c>
      <c r="K2652" s="2">
        <f>IF(ISNUMBER(SEARCH(Лист2!$B$4,F:F)),1,0)</f>
        <v>0</v>
      </c>
      <c r="L2652" s="14">
        <f>IF(ISNUMBER(SEARCH(Лист2!$B$5,I:I)),1,0)+K2652</f>
        <v>0</v>
      </c>
      <c r="M2652" s="3">
        <f ca="1">IF(AND(N2652&lt;&gt;N2651,ISNUMBER(SEARCH(Лист2!$B$6,N:N)),L2652=2),MAX($M$3:OFFSET(M2652,-1,0))+1,0)</f>
        <v>0</v>
      </c>
      <c r="N2652" s="3" t="s">
        <v>1621</v>
      </c>
    </row>
    <row r="2653" spans="1:14" x14ac:dyDescent="0.25">
      <c r="A2653" s="1" t="s">
        <v>11243</v>
      </c>
      <c r="B2653" s="3" t="s">
        <v>6277</v>
      </c>
      <c r="C2653" s="2">
        <f ca="1">IF(ISNUMBER(SEARCH(Лист2!$B$4,D:D)),MAX($C$3:OFFSET(C2653,-1,0))+1,0)</f>
        <v>0</v>
      </c>
      <c r="E2653" s="9" t="str">
        <f t="shared" ca="1" si="53"/>
        <v/>
      </c>
      <c r="F2653" s="4" t="s">
        <v>7</v>
      </c>
      <c r="G2653" s="2">
        <f>IF(ISNUMBER(SEARCH(Лист2!$B$4,F:F)),1,0)</f>
        <v>0</v>
      </c>
      <c r="H2653" s="3">
        <f ca="1">IF(AND(I2653&lt;&gt;I2652,ISNUMBER(SEARCH(Лист2!$B$5,I:I)),G2653=1),MAX($H$3:OFFSET(H2653,-1,0))+1,0)</f>
        <v>0</v>
      </c>
      <c r="I2653" s="3" t="s">
        <v>215</v>
      </c>
      <c r="K2653" s="2">
        <f>IF(ISNUMBER(SEARCH(Лист2!$B$4,F:F)),1,0)</f>
        <v>0</v>
      </c>
      <c r="L2653" s="14">
        <f>IF(ISNUMBER(SEARCH(Лист2!$B$5,I:I)),1,0)+K2653</f>
        <v>0</v>
      </c>
      <c r="M2653" s="3">
        <f ca="1">IF(AND(N2653&lt;&gt;N2652,ISNUMBER(SEARCH(Лист2!$B$6,N:N)),L2653=2),MAX($M$3:OFFSET(M2653,-1,0))+1,0)</f>
        <v>0</v>
      </c>
      <c r="N2653" s="3" t="s">
        <v>1619</v>
      </c>
    </row>
    <row r="2654" spans="1:14" x14ac:dyDescent="0.25">
      <c r="A2654" s="1" t="s">
        <v>11246</v>
      </c>
      <c r="B2654" s="3" t="s">
        <v>6278</v>
      </c>
      <c r="C2654" s="2">
        <f ca="1">IF(ISNUMBER(SEARCH(Лист2!$B$4,D:D)),MAX($C$3:OFFSET(C2654,-1,0))+1,0)</f>
        <v>0</v>
      </c>
      <c r="E2654" s="9" t="str">
        <f t="shared" ca="1" si="53"/>
        <v/>
      </c>
      <c r="F2654" s="4" t="s">
        <v>7</v>
      </c>
      <c r="G2654" s="2">
        <f>IF(ISNUMBER(SEARCH(Лист2!$B$4,F:F)),1,0)</f>
        <v>0</v>
      </c>
      <c r="H2654" s="3">
        <f ca="1">IF(AND(I2654&lt;&gt;I2653,ISNUMBER(SEARCH(Лист2!$B$5,I:I)),G2654=1),MAX($H$3:OFFSET(H2654,-1,0))+1,0)</f>
        <v>0</v>
      </c>
      <c r="I2654" s="3" t="s">
        <v>215</v>
      </c>
      <c r="K2654" s="2">
        <f>IF(ISNUMBER(SEARCH(Лист2!$B$4,F:F)),1,0)</f>
        <v>0</v>
      </c>
      <c r="L2654" s="14">
        <f>IF(ISNUMBER(SEARCH(Лист2!$B$5,I:I)),1,0)+K2654</f>
        <v>0</v>
      </c>
      <c r="M2654" s="3">
        <f ca="1">IF(AND(N2654&lt;&gt;N2653,ISNUMBER(SEARCH(Лист2!$B$6,N:N)),L2654=2),MAX($M$3:OFFSET(M2654,-1,0))+1,0)</f>
        <v>0</v>
      </c>
      <c r="N2654" s="3" t="s">
        <v>602</v>
      </c>
    </row>
    <row r="2655" spans="1:14" x14ac:dyDescent="0.25">
      <c r="A2655" s="1" t="s">
        <v>11641</v>
      </c>
      <c r="B2655" s="3" t="s">
        <v>6279</v>
      </c>
      <c r="C2655" s="2">
        <f ca="1">IF(ISNUMBER(SEARCH(Лист2!$B$4,D:D)),MAX($C$3:OFFSET(C2655,-1,0))+1,0)</f>
        <v>0</v>
      </c>
      <c r="E2655" s="9" t="str">
        <f t="shared" ca="1" si="53"/>
        <v/>
      </c>
      <c r="F2655" s="4" t="s">
        <v>7</v>
      </c>
      <c r="G2655" s="2">
        <f>IF(ISNUMBER(SEARCH(Лист2!$B$4,F:F)),1,0)</f>
        <v>0</v>
      </c>
      <c r="H2655" s="3">
        <f ca="1">IF(AND(I2655&lt;&gt;I2654,ISNUMBER(SEARCH(Лист2!$B$5,I:I)),G2655=1),MAX($H$3:OFFSET(H2655,-1,0))+1,0)</f>
        <v>0</v>
      </c>
      <c r="I2655" s="3" t="s">
        <v>215</v>
      </c>
      <c r="K2655" s="2">
        <f>IF(ISNUMBER(SEARCH(Лист2!$B$4,F:F)),1,0)</f>
        <v>0</v>
      </c>
      <c r="L2655" s="14">
        <f>IF(ISNUMBER(SEARCH(Лист2!$B$5,I:I)),1,0)+K2655</f>
        <v>0</v>
      </c>
      <c r="M2655" s="3">
        <f ca="1">IF(AND(N2655&lt;&gt;N2654,ISNUMBER(SEARCH(Лист2!$B$6,N:N)),L2655=2),MAX($M$3:OFFSET(M2655,-1,0))+1,0)</f>
        <v>0</v>
      </c>
      <c r="N2655" s="3" t="s">
        <v>1877</v>
      </c>
    </row>
    <row r="2656" spans="1:14" x14ac:dyDescent="0.25">
      <c r="A2656" s="1" t="s">
        <v>11642</v>
      </c>
      <c r="B2656" s="3" t="s">
        <v>6280</v>
      </c>
      <c r="C2656" s="2">
        <f ca="1">IF(ISNUMBER(SEARCH(Лист2!$B$4,D:D)),MAX($C$3:OFFSET(C2656,-1,0))+1,0)</f>
        <v>0</v>
      </c>
      <c r="E2656" s="9" t="str">
        <f t="shared" ca="1" si="53"/>
        <v/>
      </c>
      <c r="F2656" s="4" t="s">
        <v>7</v>
      </c>
      <c r="G2656" s="2">
        <f>IF(ISNUMBER(SEARCH(Лист2!$B$4,F:F)),1,0)</f>
        <v>0</v>
      </c>
      <c r="H2656" s="3">
        <f ca="1">IF(AND(I2656&lt;&gt;I2655,ISNUMBER(SEARCH(Лист2!$B$5,I:I)),G2656=1),MAX($H$3:OFFSET(H2656,-1,0))+1,0)</f>
        <v>0</v>
      </c>
      <c r="I2656" s="3" t="s">
        <v>215</v>
      </c>
      <c r="K2656" s="2">
        <f>IF(ISNUMBER(SEARCH(Лист2!$B$4,F:F)),1,0)</f>
        <v>0</v>
      </c>
      <c r="L2656" s="14">
        <f>IF(ISNUMBER(SEARCH(Лист2!$B$5,I:I)),1,0)+K2656</f>
        <v>0</v>
      </c>
      <c r="M2656" s="3">
        <f ca="1">IF(AND(N2656&lt;&gt;N2655,ISNUMBER(SEARCH(Лист2!$B$6,N:N)),L2656=2),MAX($M$3:OFFSET(M2656,-1,0))+1,0)</f>
        <v>0</v>
      </c>
      <c r="N2656" s="3" t="s">
        <v>1878</v>
      </c>
    </row>
    <row r="2657" spans="1:14" x14ac:dyDescent="0.25">
      <c r="A2657" s="1" t="s">
        <v>11643</v>
      </c>
      <c r="B2657" s="3" t="s">
        <v>6281</v>
      </c>
      <c r="C2657" s="2">
        <f ca="1">IF(ISNUMBER(SEARCH(Лист2!$B$4,D:D)),MAX($C$3:OFFSET(C2657,-1,0))+1,0)</f>
        <v>0</v>
      </c>
      <c r="E2657" s="9" t="str">
        <f t="shared" ca="1" si="53"/>
        <v/>
      </c>
      <c r="F2657" s="4" t="s">
        <v>7</v>
      </c>
      <c r="G2657" s="2">
        <f>IF(ISNUMBER(SEARCH(Лист2!$B$4,F:F)),1,0)</f>
        <v>0</v>
      </c>
      <c r="H2657" s="3">
        <f ca="1">IF(AND(I2657&lt;&gt;I2656,ISNUMBER(SEARCH(Лист2!$B$5,I:I)),G2657=1),MAX($H$3:OFFSET(H2657,-1,0))+1,0)</f>
        <v>0</v>
      </c>
      <c r="I2657" s="3" t="s">
        <v>215</v>
      </c>
      <c r="K2657" s="2">
        <f>IF(ISNUMBER(SEARCH(Лист2!$B$4,F:F)),1,0)</f>
        <v>0</v>
      </c>
      <c r="L2657" s="14">
        <f>IF(ISNUMBER(SEARCH(Лист2!$B$5,I:I)),1,0)+K2657</f>
        <v>0</v>
      </c>
      <c r="M2657" s="3">
        <f ca="1">IF(AND(N2657&lt;&gt;N2656,ISNUMBER(SEARCH(Лист2!$B$6,N:N)),L2657=2),MAX($M$3:OFFSET(M2657,-1,0))+1,0)</f>
        <v>0</v>
      </c>
      <c r="N2657" s="3" t="s">
        <v>1879</v>
      </c>
    </row>
    <row r="2658" spans="1:14" x14ac:dyDescent="0.25">
      <c r="A2658" s="1" t="s">
        <v>11644</v>
      </c>
      <c r="B2658" s="3" t="s">
        <v>6282</v>
      </c>
      <c r="C2658" s="2">
        <f ca="1">IF(ISNUMBER(SEARCH(Лист2!$B$4,D:D)),MAX($C$3:OFFSET(C2658,-1,0))+1,0)</f>
        <v>0</v>
      </c>
      <c r="E2658" s="9" t="str">
        <f t="shared" ca="1" si="53"/>
        <v/>
      </c>
      <c r="F2658" s="4" t="s">
        <v>7</v>
      </c>
      <c r="G2658" s="2">
        <f>IF(ISNUMBER(SEARCH(Лист2!$B$4,F:F)),1,0)</f>
        <v>0</v>
      </c>
      <c r="H2658" s="3">
        <f ca="1">IF(AND(I2658&lt;&gt;I2657,ISNUMBER(SEARCH(Лист2!$B$5,I:I)),G2658=1),MAX($H$3:OFFSET(H2658,-1,0))+1,0)</f>
        <v>0</v>
      </c>
      <c r="I2658" s="3" t="s">
        <v>216</v>
      </c>
      <c r="K2658" s="2">
        <f>IF(ISNUMBER(SEARCH(Лист2!$B$4,F:F)),1,0)</f>
        <v>0</v>
      </c>
      <c r="L2658" s="14">
        <f>IF(ISNUMBER(SEARCH(Лист2!$B$5,I:I)),1,0)+K2658</f>
        <v>0</v>
      </c>
      <c r="M2658" s="3">
        <f ca="1">IF(AND(N2658&lt;&gt;N2657,ISNUMBER(SEARCH(Лист2!$B$6,N:N)),L2658=2),MAX($M$3:OFFSET(M2658,-1,0))+1,0)</f>
        <v>0</v>
      </c>
      <c r="N2658" s="3" t="s">
        <v>1880</v>
      </c>
    </row>
    <row r="2659" spans="1:14" x14ac:dyDescent="0.25">
      <c r="A2659" s="1" t="s">
        <v>11645</v>
      </c>
      <c r="B2659" s="3" t="s">
        <v>6283</v>
      </c>
      <c r="C2659" s="2">
        <f ca="1">IF(ISNUMBER(SEARCH(Лист2!$B$4,D:D)),MAX($C$3:OFFSET(C2659,-1,0))+1,0)</f>
        <v>0</v>
      </c>
      <c r="E2659" s="9" t="str">
        <f t="shared" ca="1" si="53"/>
        <v/>
      </c>
      <c r="F2659" s="4" t="s">
        <v>7</v>
      </c>
      <c r="G2659" s="2">
        <f>IF(ISNUMBER(SEARCH(Лист2!$B$4,F:F)),1,0)</f>
        <v>0</v>
      </c>
      <c r="H2659" s="3">
        <f ca="1">IF(AND(I2659&lt;&gt;I2658,ISNUMBER(SEARCH(Лист2!$B$5,I:I)),G2659=1),MAX($H$3:OFFSET(H2659,-1,0))+1,0)</f>
        <v>0</v>
      </c>
      <c r="I2659" s="3" t="s">
        <v>216</v>
      </c>
      <c r="K2659" s="2">
        <f>IF(ISNUMBER(SEARCH(Лист2!$B$4,F:F)),1,0)</f>
        <v>0</v>
      </c>
      <c r="L2659" s="14">
        <f>IF(ISNUMBER(SEARCH(Лист2!$B$5,I:I)),1,0)+K2659</f>
        <v>0</v>
      </c>
      <c r="M2659" s="3">
        <f ca="1">IF(AND(N2659&lt;&gt;N2658,ISNUMBER(SEARCH(Лист2!$B$6,N:N)),L2659=2),MAX($M$3:OFFSET(M2659,-1,0))+1,0)</f>
        <v>0</v>
      </c>
      <c r="N2659" s="3" t="s">
        <v>1881</v>
      </c>
    </row>
    <row r="2660" spans="1:14" x14ac:dyDescent="0.25">
      <c r="A2660" s="1" t="s">
        <v>11646</v>
      </c>
      <c r="B2660" s="3" t="s">
        <v>6284</v>
      </c>
      <c r="C2660" s="2">
        <f ca="1">IF(ISNUMBER(SEARCH(Лист2!$B$4,D:D)),MAX($C$3:OFFSET(C2660,-1,0))+1,0)</f>
        <v>0</v>
      </c>
      <c r="E2660" s="9" t="str">
        <f t="shared" ca="1" si="53"/>
        <v/>
      </c>
      <c r="F2660" s="4" t="s">
        <v>7</v>
      </c>
      <c r="G2660" s="2">
        <f>IF(ISNUMBER(SEARCH(Лист2!$B$4,F:F)),1,0)</f>
        <v>0</v>
      </c>
      <c r="H2660" s="3">
        <f ca="1">IF(AND(I2660&lt;&gt;I2659,ISNUMBER(SEARCH(Лист2!$B$5,I:I)),G2660=1),MAX($H$3:OFFSET(H2660,-1,0))+1,0)</f>
        <v>0</v>
      </c>
      <c r="I2660" s="3" t="s">
        <v>216</v>
      </c>
      <c r="K2660" s="2">
        <f>IF(ISNUMBER(SEARCH(Лист2!$B$4,F:F)),1,0)</f>
        <v>0</v>
      </c>
      <c r="L2660" s="14">
        <f>IF(ISNUMBER(SEARCH(Лист2!$B$5,I:I)),1,0)+K2660</f>
        <v>0</v>
      </c>
      <c r="M2660" s="3">
        <f ca="1">IF(AND(N2660&lt;&gt;N2659,ISNUMBER(SEARCH(Лист2!$B$6,N:N)),L2660=2),MAX($M$3:OFFSET(M2660,-1,0))+1,0)</f>
        <v>0</v>
      </c>
      <c r="N2660" s="3" t="s">
        <v>1735</v>
      </c>
    </row>
    <row r="2661" spans="1:14" x14ac:dyDescent="0.25">
      <c r="A2661" s="1" t="s">
        <v>11255</v>
      </c>
      <c r="B2661" s="3" t="s">
        <v>6285</v>
      </c>
      <c r="C2661" s="2">
        <f ca="1">IF(ISNUMBER(SEARCH(Лист2!$B$4,D:D)),MAX($C$3:OFFSET(C2661,-1,0))+1,0)</f>
        <v>0</v>
      </c>
      <c r="E2661" s="9" t="str">
        <f t="shared" ca="1" si="53"/>
        <v/>
      </c>
      <c r="F2661" s="4" t="s">
        <v>7</v>
      </c>
      <c r="G2661" s="2">
        <f>IF(ISNUMBER(SEARCH(Лист2!$B$4,F:F)),1,0)</f>
        <v>0</v>
      </c>
      <c r="H2661" s="3">
        <f ca="1">IF(AND(I2661&lt;&gt;I2660,ISNUMBER(SEARCH(Лист2!$B$5,I:I)),G2661=1),MAX($H$3:OFFSET(H2661,-1,0))+1,0)</f>
        <v>0</v>
      </c>
      <c r="I2661" s="3" t="s">
        <v>216</v>
      </c>
      <c r="K2661" s="2">
        <f>IF(ISNUMBER(SEARCH(Лист2!$B$4,F:F)),1,0)</f>
        <v>0</v>
      </c>
      <c r="L2661" s="14">
        <f>IF(ISNUMBER(SEARCH(Лист2!$B$5,I:I)),1,0)+K2661</f>
        <v>0</v>
      </c>
      <c r="M2661" s="3">
        <f ca="1">IF(AND(N2661&lt;&gt;N2660,ISNUMBER(SEARCH(Лист2!$B$6,N:N)),L2661=2),MAX($M$3:OFFSET(M2661,-1,0))+1,0)</f>
        <v>0</v>
      </c>
      <c r="N2661" s="3" t="s">
        <v>1621</v>
      </c>
    </row>
    <row r="2662" spans="1:14" x14ac:dyDescent="0.25">
      <c r="A2662" s="1" t="s">
        <v>11253</v>
      </c>
      <c r="B2662" s="3" t="s">
        <v>6286</v>
      </c>
      <c r="C2662" s="2">
        <f ca="1">IF(ISNUMBER(SEARCH(Лист2!$B$4,D:D)),MAX($C$3:OFFSET(C2662,-1,0))+1,0)</f>
        <v>0</v>
      </c>
      <c r="E2662" s="9" t="str">
        <f t="shared" ca="1" si="53"/>
        <v/>
      </c>
      <c r="F2662" s="4" t="s">
        <v>7</v>
      </c>
      <c r="G2662" s="2">
        <f>IF(ISNUMBER(SEARCH(Лист2!$B$4,F:F)),1,0)</f>
        <v>0</v>
      </c>
      <c r="H2662" s="3">
        <f ca="1">IF(AND(I2662&lt;&gt;I2661,ISNUMBER(SEARCH(Лист2!$B$5,I:I)),G2662=1),MAX($H$3:OFFSET(H2662,-1,0))+1,0)</f>
        <v>0</v>
      </c>
      <c r="I2662" s="3" t="s">
        <v>216</v>
      </c>
      <c r="K2662" s="2">
        <f>IF(ISNUMBER(SEARCH(Лист2!$B$4,F:F)),1,0)</f>
        <v>0</v>
      </c>
      <c r="L2662" s="14">
        <f>IF(ISNUMBER(SEARCH(Лист2!$B$5,I:I)),1,0)+K2662</f>
        <v>0</v>
      </c>
      <c r="M2662" s="3">
        <f ca="1">IF(AND(N2662&lt;&gt;N2661,ISNUMBER(SEARCH(Лист2!$B$6,N:N)),L2662=2),MAX($M$3:OFFSET(M2662,-1,0))+1,0)</f>
        <v>0</v>
      </c>
      <c r="N2662" s="3" t="s">
        <v>1619</v>
      </c>
    </row>
    <row r="2663" spans="1:14" x14ac:dyDescent="0.25">
      <c r="A2663" s="1" t="s">
        <v>11256</v>
      </c>
      <c r="B2663" s="3" t="s">
        <v>6287</v>
      </c>
      <c r="C2663" s="2">
        <f ca="1">IF(ISNUMBER(SEARCH(Лист2!$B$4,D:D)),MAX($C$3:OFFSET(C2663,-1,0))+1,0)</f>
        <v>0</v>
      </c>
      <c r="E2663" s="9" t="str">
        <f t="shared" ca="1" si="53"/>
        <v/>
      </c>
      <c r="F2663" s="4" t="s">
        <v>7</v>
      </c>
      <c r="G2663" s="2">
        <f>IF(ISNUMBER(SEARCH(Лист2!$B$4,F:F)),1,0)</f>
        <v>0</v>
      </c>
      <c r="H2663" s="3">
        <f ca="1">IF(AND(I2663&lt;&gt;I2662,ISNUMBER(SEARCH(Лист2!$B$5,I:I)),G2663=1),MAX($H$3:OFFSET(H2663,-1,0))+1,0)</f>
        <v>0</v>
      </c>
      <c r="I2663" s="3" t="s">
        <v>216</v>
      </c>
      <c r="K2663" s="2">
        <f>IF(ISNUMBER(SEARCH(Лист2!$B$4,F:F)),1,0)</f>
        <v>0</v>
      </c>
      <c r="L2663" s="14">
        <f>IF(ISNUMBER(SEARCH(Лист2!$B$5,I:I)),1,0)+K2663</f>
        <v>0</v>
      </c>
      <c r="M2663" s="3">
        <f ca="1">IF(AND(N2663&lt;&gt;N2662,ISNUMBER(SEARCH(Лист2!$B$6,N:N)),L2663=2),MAX($M$3:OFFSET(M2663,-1,0))+1,0)</f>
        <v>0</v>
      </c>
      <c r="N2663" s="3" t="s">
        <v>602</v>
      </c>
    </row>
    <row r="2664" spans="1:14" x14ac:dyDescent="0.25">
      <c r="A2664" s="1" t="s">
        <v>11647</v>
      </c>
      <c r="B2664" s="3" t="s">
        <v>6288</v>
      </c>
      <c r="C2664" s="2">
        <f ca="1">IF(ISNUMBER(SEARCH(Лист2!$B$4,D:D)),MAX($C$3:OFFSET(C2664,-1,0))+1,0)</f>
        <v>0</v>
      </c>
      <c r="E2664" s="9" t="str">
        <f t="shared" ca="1" si="53"/>
        <v/>
      </c>
      <c r="F2664" s="4" t="s">
        <v>7</v>
      </c>
      <c r="G2664" s="2">
        <f>IF(ISNUMBER(SEARCH(Лист2!$B$4,F:F)),1,0)</f>
        <v>0</v>
      </c>
      <c r="H2664" s="3">
        <f ca="1">IF(AND(I2664&lt;&gt;I2663,ISNUMBER(SEARCH(Лист2!$B$5,I:I)),G2664=1),MAX($H$3:OFFSET(H2664,-1,0))+1,0)</f>
        <v>0</v>
      </c>
      <c r="I2664" s="3" t="s">
        <v>216</v>
      </c>
      <c r="K2664" s="2">
        <f>IF(ISNUMBER(SEARCH(Лист2!$B$4,F:F)),1,0)</f>
        <v>0</v>
      </c>
      <c r="L2664" s="14">
        <f>IF(ISNUMBER(SEARCH(Лист2!$B$5,I:I)),1,0)+K2664</f>
        <v>0</v>
      </c>
      <c r="M2664" s="3">
        <f ca="1">IF(AND(N2664&lt;&gt;N2663,ISNUMBER(SEARCH(Лист2!$B$6,N:N)),L2664=2),MAX($M$3:OFFSET(M2664,-1,0))+1,0)</f>
        <v>0</v>
      </c>
      <c r="N2664" s="3" t="s">
        <v>1882</v>
      </c>
    </row>
    <row r="2665" spans="1:14" x14ac:dyDescent="0.25">
      <c r="A2665" s="1" t="s">
        <v>11648</v>
      </c>
      <c r="B2665" s="3" t="s">
        <v>6289</v>
      </c>
      <c r="C2665" s="2">
        <f ca="1">IF(ISNUMBER(SEARCH(Лист2!$B$4,D:D)),MAX($C$3:OFFSET(C2665,-1,0))+1,0)</f>
        <v>0</v>
      </c>
      <c r="E2665" s="9" t="str">
        <f t="shared" ca="1" si="53"/>
        <v/>
      </c>
      <c r="F2665" s="4" t="s">
        <v>7</v>
      </c>
      <c r="G2665" s="2">
        <f>IF(ISNUMBER(SEARCH(Лист2!$B$4,F:F)),1,0)</f>
        <v>0</v>
      </c>
      <c r="H2665" s="3">
        <f ca="1">IF(AND(I2665&lt;&gt;I2664,ISNUMBER(SEARCH(Лист2!$B$5,I:I)),G2665=1),MAX($H$3:OFFSET(H2665,-1,0))+1,0)</f>
        <v>0</v>
      </c>
      <c r="I2665" s="3" t="s">
        <v>216</v>
      </c>
      <c r="K2665" s="2">
        <f>IF(ISNUMBER(SEARCH(Лист2!$B$4,F:F)),1,0)</f>
        <v>0</v>
      </c>
      <c r="L2665" s="14">
        <f>IF(ISNUMBER(SEARCH(Лист2!$B$5,I:I)),1,0)+K2665</f>
        <v>0</v>
      </c>
      <c r="M2665" s="3">
        <f ca="1">IF(AND(N2665&lt;&gt;N2664,ISNUMBER(SEARCH(Лист2!$B$6,N:N)),L2665=2),MAX($M$3:OFFSET(M2665,-1,0))+1,0)</f>
        <v>0</v>
      </c>
      <c r="N2665" s="3" t="s">
        <v>1883</v>
      </c>
    </row>
    <row r="2666" spans="1:14" x14ac:dyDescent="0.25">
      <c r="A2666" s="1" t="s">
        <v>11649</v>
      </c>
      <c r="B2666" s="3" t="s">
        <v>6290</v>
      </c>
      <c r="C2666" s="2">
        <f ca="1">IF(ISNUMBER(SEARCH(Лист2!$B$4,D:D)),MAX($C$3:OFFSET(C2666,-1,0))+1,0)</f>
        <v>0</v>
      </c>
      <c r="E2666" s="9" t="str">
        <f t="shared" ca="1" si="53"/>
        <v/>
      </c>
      <c r="F2666" s="4" t="s">
        <v>7</v>
      </c>
      <c r="G2666" s="2">
        <f>IF(ISNUMBER(SEARCH(Лист2!$B$4,F:F)),1,0)</f>
        <v>0</v>
      </c>
      <c r="H2666" s="3">
        <f ca="1">IF(AND(I2666&lt;&gt;I2665,ISNUMBER(SEARCH(Лист2!$B$5,I:I)),G2666=1),MAX($H$3:OFFSET(H2666,-1,0))+1,0)</f>
        <v>0</v>
      </c>
      <c r="I2666" s="3" t="s">
        <v>216</v>
      </c>
      <c r="K2666" s="2">
        <f>IF(ISNUMBER(SEARCH(Лист2!$B$4,F:F)),1,0)</f>
        <v>0</v>
      </c>
      <c r="L2666" s="14">
        <f>IF(ISNUMBER(SEARCH(Лист2!$B$5,I:I)),1,0)+K2666</f>
        <v>0</v>
      </c>
      <c r="M2666" s="3">
        <f ca="1">IF(AND(N2666&lt;&gt;N2665,ISNUMBER(SEARCH(Лист2!$B$6,N:N)),L2666=2),MAX($M$3:OFFSET(M2666,-1,0))+1,0)</f>
        <v>0</v>
      </c>
      <c r="N2666" s="3" t="s">
        <v>1884</v>
      </c>
    </row>
    <row r="2667" spans="1:14" x14ac:dyDescent="0.25">
      <c r="A2667" s="1" t="s">
        <v>11650</v>
      </c>
      <c r="B2667" s="3" t="s">
        <v>6291</v>
      </c>
      <c r="C2667" s="2">
        <f ca="1">IF(ISNUMBER(SEARCH(Лист2!$B$4,D:D)),MAX($C$3:OFFSET(C2667,-1,0))+1,0)</f>
        <v>0</v>
      </c>
      <c r="E2667" s="9" t="str">
        <f t="shared" ca="1" si="53"/>
        <v/>
      </c>
      <c r="F2667" s="4" t="s">
        <v>7</v>
      </c>
      <c r="G2667" s="2">
        <f>IF(ISNUMBER(SEARCH(Лист2!$B$4,F:F)),1,0)</f>
        <v>0</v>
      </c>
      <c r="H2667" s="3">
        <f ca="1">IF(AND(I2667&lt;&gt;I2666,ISNUMBER(SEARCH(Лист2!$B$5,I:I)),G2667=1),MAX($H$3:OFFSET(H2667,-1,0))+1,0)</f>
        <v>0</v>
      </c>
      <c r="I2667" s="3" t="s">
        <v>248</v>
      </c>
      <c r="K2667" s="2">
        <f>IF(ISNUMBER(SEARCH(Лист2!$B$4,F:F)),1,0)</f>
        <v>0</v>
      </c>
      <c r="L2667" s="14">
        <f>IF(ISNUMBER(SEARCH(Лист2!$B$5,I:I)),1,0)+K2667</f>
        <v>0</v>
      </c>
      <c r="M2667" s="3">
        <f ca="1">IF(AND(N2667&lt;&gt;N2666,ISNUMBER(SEARCH(Лист2!$B$6,N:N)),L2667=2),MAX($M$3:OFFSET(M2667,-1,0))+1,0)</f>
        <v>0</v>
      </c>
      <c r="N2667" s="3" t="s">
        <v>1885</v>
      </c>
    </row>
    <row r="2668" spans="1:14" x14ac:dyDescent="0.25">
      <c r="A2668" s="1" t="s">
        <v>11651</v>
      </c>
      <c r="B2668" s="3" t="s">
        <v>6292</v>
      </c>
      <c r="C2668" s="2">
        <f ca="1">IF(ISNUMBER(SEARCH(Лист2!$B$4,D:D)),MAX($C$3:OFFSET(C2668,-1,0))+1,0)</f>
        <v>0</v>
      </c>
      <c r="E2668" s="9" t="str">
        <f t="shared" ca="1" si="53"/>
        <v/>
      </c>
      <c r="F2668" s="4" t="s">
        <v>7</v>
      </c>
      <c r="G2668" s="2">
        <f>IF(ISNUMBER(SEARCH(Лист2!$B$4,F:F)),1,0)</f>
        <v>0</v>
      </c>
      <c r="H2668" s="3">
        <f ca="1">IF(AND(I2668&lt;&gt;I2667,ISNUMBER(SEARCH(Лист2!$B$5,I:I)),G2668=1),MAX($H$3:OFFSET(H2668,-1,0))+1,0)</f>
        <v>0</v>
      </c>
      <c r="I2668" s="3" t="s">
        <v>248</v>
      </c>
      <c r="K2668" s="2">
        <f>IF(ISNUMBER(SEARCH(Лист2!$B$4,F:F)),1,0)</f>
        <v>0</v>
      </c>
      <c r="L2668" s="14">
        <f>IF(ISNUMBER(SEARCH(Лист2!$B$5,I:I)),1,0)+K2668</f>
        <v>0</v>
      </c>
      <c r="M2668" s="3">
        <f ca="1">IF(AND(N2668&lt;&gt;N2667,ISNUMBER(SEARCH(Лист2!$B$6,N:N)),L2668=2),MAX($M$3:OFFSET(M2668,-1,0))+1,0)</f>
        <v>0</v>
      </c>
      <c r="N2668" s="3" t="s">
        <v>1886</v>
      </c>
    </row>
    <row r="2669" spans="1:14" x14ac:dyDescent="0.25">
      <c r="A2669" s="1" t="s">
        <v>11652</v>
      </c>
      <c r="B2669" s="3" t="s">
        <v>6293</v>
      </c>
      <c r="C2669" s="2">
        <f ca="1">IF(ISNUMBER(SEARCH(Лист2!$B$4,D:D)),MAX($C$3:OFFSET(C2669,-1,0))+1,0)</f>
        <v>0</v>
      </c>
      <c r="E2669" s="9" t="str">
        <f t="shared" ca="1" si="53"/>
        <v/>
      </c>
      <c r="F2669" s="4" t="s">
        <v>7</v>
      </c>
      <c r="G2669" s="2">
        <f>IF(ISNUMBER(SEARCH(Лист2!$B$4,F:F)),1,0)</f>
        <v>0</v>
      </c>
      <c r="H2669" s="3">
        <f ca="1">IF(AND(I2669&lt;&gt;I2668,ISNUMBER(SEARCH(Лист2!$B$5,I:I)),G2669=1),MAX($H$3:OFFSET(H2669,-1,0))+1,0)</f>
        <v>0</v>
      </c>
      <c r="I2669" s="3" t="s">
        <v>248</v>
      </c>
      <c r="K2669" s="2">
        <f>IF(ISNUMBER(SEARCH(Лист2!$B$4,F:F)),1,0)</f>
        <v>0</v>
      </c>
      <c r="L2669" s="14">
        <f>IF(ISNUMBER(SEARCH(Лист2!$B$5,I:I)),1,0)+K2669</f>
        <v>0</v>
      </c>
      <c r="M2669" s="3">
        <f ca="1">IF(AND(N2669&lt;&gt;N2668,ISNUMBER(SEARCH(Лист2!$B$6,N:N)),L2669=2),MAX($M$3:OFFSET(M2669,-1,0))+1,0)</f>
        <v>0</v>
      </c>
      <c r="N2669" s="3" t="s">
        <v>1735</v>
      </c>
    </row>
    <row r="2670" spans="1:14" x14ac:dyDescent="0.25">
      <c r="A2670" s="1" t="s">
        <v>11653</v>
      </c>
      <c r="B2670" s="3" t="s">
        <v>6294</v>
      </c>
      <c r="C2670" s="2">
        <f ca="1">IF(ISNUMBER(SEARCH(Лист2!$B$4,D:D)),MAX($C$3:OFFSET(C2670,-1,0))+1,0)</f>
        <v>0</v>
      </c>
      <c r="E2670" s="9" t="str">
        <f t="shared" ca="1" si="53"/>
        <v/>
      </c>
      <c r="F2670" s="4" t="s">
        <v>7</v>
      </c>
      <c r="G2670" s="2">
        <f>IF(ISNUMBER(SEARCH(Лист2!$B$4,F:F)),1,0)</f>
        <v>0</v>
      </c>
      <c r="H2670" s="3">
        <f ca="1">IF(AND(I2670&lt;&gt;I2669,ISNUMBER(SEARCH(Лист2!$B$5,I:I)),G2670=1),MAX($H$3:OFFSET(H2670,-1,0))+1,0)</f>
        <v>0</v>
      </c>
      <c r="I2670" s="3" t="s">
        <v>248</v>
      </c>
      <c r="K2670" s="2">
        <f>IF(ISNUMBER(SEARCH(Лист2!$B$4,F:F)),1,0)</f>
        <v>0</v>
      </c>
      <c r="L2670" s="14">
        <f>IF(ISNUMBER(SEARCH(Лист2!$B$5,I:I)),1,0)+K2670</f>
        <v>0</v>
      </c>
      <c r="M2670" s="3">
        <f ca="1">IF(AND(N2670&lt;&gt;N2669,ISNUMBER(SEARCH(Лист2!$B$6,N:N)),L2670=2),MAX($M$3:OFFSET(M2670,-1,0))+1,0)</f>
        <v>0</v>
      </c>
      <c r="N2670" s="3" t="s">
        <v>1634</v>
      </c>
    </row>
    <row r="2671" spans="1:14" x14ac:dyDescent="0.25">
      <c r="A2671" s="1" t="s">
        <v>11654</v>
      </c>
      <c r="B2671" s="3" t="s">
        <v>6295</v>
      </c>
      <c r="C2671" s="2">
        <f ca="1">IF(ISNUMBER(SEARCH(Лист2!$B$4,D:D)),MAX($C$3:OFFSET(C2671,-1,0))+1,0)</f>
        <v>0</v>
      </c>
      <c r="E2671" s="9" t="str">
        <f t="shared" ca="1" si="53"/>
        <v/>
      </c>
      <c r="F2671" s="4" t="s">
        <v>7</v>
      </c>
      <c r="G2671" s="2">
        <f>IF(ISNUMBER(SEARCH(Лист2!$B$4,F:F)),1,0)</f>
        <v>0</v>
      </c>
      <c r="H2671" s="3">
        <f ca="1">IF(AND(I2671&lt;&gt;I2670,ISNUMBER(SEARCH(Лист2!$B$5,I:I)),G2671=1),MAX($H$3:OFFSET(H2671,-1,0))+1,0)</f>
        <v>0</v>
      </c>
      <c r="I2671" s="3" t="s">
        <v>248</v>
      </c>
      <c r="K2671" s="2">
        <f>IF(ISNUMBER(SEARCH(Лист2!$B$4,F:F)),1,0)</f>
        <v>0</v>
      </c>
      <c r="L2671" s="14">
        <f>IF(ISNUMBER(SEARCH(Лист2!$B$5,I:I)),1,0)+K2671</f>
        <v>0</v>
      </c>
      <c r="M2671" s="3">
        <f ca="1">IF(AND(N2671&lt;&gt;N2670,ISNUMBER(SEARCH(Лист2!$B$6,N:N)),L2671=2),MAX($M$3:OFFSET(M2671,-1,0))+1,0)</f>
        <v>0</v>
      </c>
      <c r="N2671" s="3" t="s">
        <v>1621</v>
      </c>
    </row>
    <row r="2672" spans="1:14" x14ac:dyDescent="0.25">
      <c r="A2672" s="1" t="s">
        <v>11655</v>
      </c>
      <c r="B2672" s="3" t="s">
        <v>6296</v>
      </c>
      <c r="C2672" s="2">
        <f ca="1">IF(ISNUMBER(SEARCH(Лист2!$B$4,D:D)),MAX($C$3:OFFSET(C2672,-1,0))+1,0)</f>
        <v>0</v>
      </c>
      <c r="E2672" s="9" t="str">
        <f t="shared" ca="1" si="53"/>
        <v/>
      </c>
      <c r="F2672" s="4" t="s">
        <v>7</v>
      </c>
      <c r="G2672" s="2">
        <f>IF(ISNUMBER(SEARCH(Лист2!$B$4,F:F)),1,0)</f>
        <v>0</v>
      </c>
      <c r="H2672" s="3">
        <f ca="1">IF(AND(I2672&lt;&gt;I2671,ISNUMBER(SEARCH(Лист2!$B$5,I:I)),G2672=1),MAX($H$3:OFFSET(H2672,-1,0))+1,0)</f>
        <v>0</v>
      </c>
      <c r="I2672" s="3" t="s">
        <v>248</v>
      </c>
      <c r="K2672" s="2">
        <f>IF(ISNUMBER(SEARCH(Лист2!$B$4,F:F)),1,0)</f>
        <v>0</v>
      </c>
      <c r="L2672" s="14">
        <f>IF(ISNUMBER(SEARCH(Лист2!$B$5,I:I)),1,0)+K2672</f>
        <v>0</v>
      </c>
      <c r="M2672" s="3">
        <f ca="1">IF(AND(N2672&lt;&gt;N2671,ISNUMBER(SEARCH(Лист2!$B$6,N:N)),L2672=2),MAX($M$3:OFFSET(M2672,-1,0))+1,0)</f>
        <v>0</v>
      </c>
      <c r="N2672" s="3" t="s">
        <v>1619</v>
      </c>
    </row>
    <row r="2673" spans="1:14" x14ac:dyDescent="0.25">
      <c r="A2673" s="1" t="s">
        <v>11656</v>
      </c>
      <c r="B2673" s="3" t="s">
        <v>6297</v>
      </c>
      <c r="C2673" s="2">
        <f ca="1">IF(ISNUMBER(SEARCH(Лист2!$B$4,D:D)),MAX($C$3:OFFSET(C2673,-1,0))+1,0)</f>
        <v>0</v>
      </c>
      <c r="E2673" s="9" t="str">
        <f t="shared" ca="1" si="53"/>
        <v/>
      </c>
      <c r="F2673" s="4" t="s">
        <v>7</v>
      </c>
      <c r="G2673" s="2">
        <f>IF(ISNUMBER(SEARCH(Лист2!$B$4,F:F)),1,0)</f>
        <v>0</v>
      </c>
      <c r="H2673" s="3">
        <f ca="1">IF(AND(I2673&lt;&gt;I2672,ISNUMBER(SEARCH(Лист2!$B$5,I:I)),G2673=1),MAX($H$3:OFFSET(H2673,-1,0))+1,0)</f>
        <v>0</v>
      </c>
      <c r="I2673" s="3" t="s">
        <v>248</v>
      </c>
      <c r="K2673" s="2">
        <f>IF(ISNUMBER(SEARCH(Лист2!$B$4,F:F)),1,0)</f>
        <v>0</v>
      </c>
      <c r="L2673" s="14">
        <f>IF(ISNUMBER(SEARCH(Лист2!$B$5,I:I)),1,0)+K2673</f>
        <v>0</v>
      </c>
      <c r="M2673" s="3">
        <f ca="1">IF(AND(N2673&lt;&gt;N2672,ISNUMBER(SEARCH(Лист2!$B$6,N:N)),L2673=2),MAX($M$3:OFFSET(M2673,-1,0))+1,0)</f>
        <v>0</v>
      </c>
      <c r="N2673" s="3" t="s">
        <v>602</v>
      </c>
    </row>
    <row r="2674" spans="1:14" x14ac:dyDescent="0.25">
      <c r="A2674" s="1" t="s">
        <v>11657</v>
      </c>
      <c r="B2674" s="3" t="s">
        <v>6298</v>
      </c>
      <c r="C2674" s="2">
        <f ca="1">IF(ISNUMBER(SEARCH(Лист2!$B$4,D:D)),MAX($C$3:OFFSET(C2674,-1,0))+1,0)</f>
        <v>0</v>
      </c>
      <c r="E2674" s="9" t="str">
        <f t="shared" ca="1" si="53"/>
        <v/>
      </c>
      <c r="F2674" s="4" t="s">
        <v>7</v>
      </c>
      <c r="G2674" s="2">
        <f>IF(ISNUMBER(SEARCH(Лист2!$B$4,F:F)),1,0)</f>
        <v>0</v>
      </c>
      <c r="H2674" s="3">
        <f ca="1">IF(AND(I2674&lt;&gt;I2673,ISNUMBER(SEARCH(Лист2!$B$5,I:I)),G2674=1),MAX($H$3:OFFSET(H2674,-1,0))+1,0)</f>
        <v>0</v>
      </c>
      <c r="I2674" s="3" t="s">
        <v>248</v>
      </c>
      <c r="K2674" s="2">
        <f>IF(ISNUMBER(SEARCH(Лист2!$B$4,F:F)),1,0)</f>
        <v>0</v>
      </c>
      <c r="L2674" s="14">
        <f>IF(ISNUMBER(SEARCH(Лист2!$B$5,I:I)),1,0)+K2674</f>
        <v>0</v>
      </c>
      <c r="M2674" s="3">
        <f ca="1">IF(AND(N2674&lt;&gt;N2673,ISNUMBER(SEARCH(Лист2!$B$6,N:N)),L2674=2),MAX($M$3:OFFSET(M2674,-1,0))+1,0)</f>
        <v>0</v>
      </c>
      <c r="N2674" s="3" t="s">
        <v>1887</v>
      </c>
    </row>
    <row r="2675" spans="1:14" x14ac:dyDescent="0.25">
      <c r="A2675" s="1" t="s">
        <v>11658</v>
      </c>
      <c r="B2675" s="3" t="s">
        <v>6299</v>
      </c>
      <c r="C2675" s="2">
        <f ca="1">IF(ISNUMBER(SEARCH(Лист2!$B$4,D:D)),MAX($C$3:OFFSET(C2675,-1,0))+1,0)</f>
        <v>0</v>
      </c>
      <c r="E2675" s="9" t="str">
        <f t="shared" ca="1" si="53"/>
        <v/>
      </c>
      <c r="F2675" s="4" t="s">
        <v>7</v>
      </c>
      <c r="G2675" s="2">
        <f>IF(ISNUMBER(SEARCH(Лист2!$B$4,F:F)),1,0)</f>
        <v>0</v>
      </c>
      <c r="H2675" s="3">
        <f ca="1">IF(AND(I2675&lt;&gt;I2674,ISNUMBER(SEARCH(Лист2!$B$5,I:I)),G2675=1),MAX($H$3:OFFSET(H2675,-1,0))+1,0)</f>
        <v>0</v>
      </c>
      <c r="I2675" s="3" t="s">
        <v>248</v>
      </c>
      <c r="K2675" s="2">
        <f>IF(ISNUMBER(SEARCH(Лист2!$B$4,F:F)),1,0)</f>
        <v>0</v>
      </c>
      <c r="L2675" s="14">
        <f>IF(ISNUMBER(SEARCH(Лист2!$B$5,I:I)),1,0)+K2675</f>
        <v>0</v>
      </c>
      <c r="M2675" s="3">
        <f ca="1">IF(AND(N2675&lt;&gt;N2674,ISNUMBER(SEARCH(Лист2!$B$6,N:N)),L2675=2),MAX($M$3:OFFSET(M2675,-1,0))+1,0)</f>
        <v>0</v>
      </c>
      <c r="N2675" s="3" t="s">
        <v>1888</v>
      </c>
    </row>
    <row r="2676" spans="1:14" x14ac:dyDescent="0.25">
      <c r="A2676" s="1" t="s">
        <v>11659</v>
      </c>
      <c r="B2676" s="3" t="s">
        <v>6300</v>
      </c>
      <c r="C2676" s="2">
        <f ca="1">IF(ISNUMBER(SEARCH(Лист2!$B$4,D:D)),MAX($C$3:OFFSET(C2676,-1,0))+1,0)</f>
        <v>0</v>
      </c>
      <c r="E2676" s="9" t="str">
        <f t="shared" ca="1" si="53"/>
        <v/>
      </c>
      <c r="F2676" s="4" t="s">
        <v>7</v>
      </c>
      <c r="G2676" s="2">
        <f>IF(ISNUMBER(SEARCH(Лист2!$B$4,F:F)),1,0)</f>
        <v>0</v>
      </c>
      <c r="H2676" s="3">
        <f ca="1">IF(AND(I2676&lt;&gt;I2675,ISNUMBER(SEARCH(Лист2!$B$5,I:I)),G2676=1),MAX($H$3:OFFSET(H2676,-1,0))+1,0)</f>
        <v>0</v>
      </c>
      <c r="I2676" s="3" t="s">
        <v>248</v>
      </c>
      <c r="K2676" s="2">
        <f>IF(ISNUMBER(SEARCH(Лист2!$B$4,F:F)),1,0)</f>
        <v>0</v>
      </c>
      <c r="L2676" s="14">
        <f>IF(ISNUMBER(SEARCH(Лист2!$B$5,I:I)),1,0)+K2676</f>
        <v>0</v>
      </c>
      <c r="M2676" s="3">
        <f ca="1">IF(AND(N2676&lt;&gt;N2675,ISNUMBER(SEARCH(Лист2!$B$6,N:N)),L2676=2),MAX($M$3:OFFSET(M2676,-1,0))+1,0)</f>
        <v>0</v>
      </c>
      <c r="N2676" s="3" t="s">
        <v>1889</v>
      </c>
    </row>
    <row r="2677" spans="1:14" x14ac:dyDescent="0.25">
      <c r="A2677" s="1" t="s">
        <v>11260</v>
      </c>
      <c r="B2677" s="3" t="s">
        <v>6301</v>
      </c>
      <c r="C2677" s="2">
        <f ca="1">IF(ISNUMBER(SEARCH(Лист2!$B$4,D:D)),MAX($C$3:OFFSET(C2677,-1,0))+1,0)</f>
        <v>0</v>
      </c>
      <c r="E2677" s="9" t="str">
        <f t="shared" ca="1" si="53"/>
        <v/>
      </c>
      <c r="F2677" s="4" t="s">
        <v>7</v>
      </c>
      <c r="G2677" s="2">
        <f>IF(ISNUMBER(SEARCH(Лист2!$B$4,F:F)),1,0)</f>
        <v>0</v>
      </c>
      <c r="H2677" s="3">
        <f ca="1">IF(AND(I2677&lt;&gt;I2676,ISNUMBER(SEARCH(Лист2!$B$5,I:I)),G2677=1),MAX($H$3:OFFSET(H2677,-1,0))+1,0)</f>
        <v>0</v>
      </c>
      <c r="I2677" s="3" t="s">
        <v>217</v>
      </c>
      <c r="K2677" s="2">
        <f>IF(ISNUMBER(SEARCH(Лист2!$B$4,F:F)),1,0)</f>
        <v>0</v>
      </c>
      <c r="L2677" s="14">
        <f>IF(ISNUMBER(SEARCH(Лист2!$B$5,I:I)),1,0)+K2677</f>
        <v>0</v>
      </c>
      <c r="M2677" s="3">
        <f ca="1">IF(AND(N2677&lt;&gt;N2676,ISNUMBER(SEARCH(Лист2!$B$6,N:N)),L2677=2),MAX($M$3:OFFSET(M2677,-1,0))+1,0)</f>
        <v>0</v>
      </c>
      <c r="N2677" s="3" t="s">
        <v>1631</v>
      </c>
    </row>
    <row r="2678" spans="1:14" x14ac:dyDescent="0.25">
      <c r="A2678" s="1" t="s">
        <v>11261</v>
      </c>
      <c r="B2678" s="3" t="s">
        <v>6302</v>
      </c>
      <c r="C2678" s="2">
        <f ca="1">IF(ISNUMBER(SEARCH(Лист2!$B$4,D:D)),MAX($C$3:OFFSET(C2678,-1,0))+1,0)</f>
        <v>0</v>
      </c>
      <c r="E2678" s="9" t="str">
        <f t="shared" ca="1" si="53"/>
        <v/>
      </c>
      <c r="F2678" s="4" t="s">
        <v>7</v>
      </c>
      <c r="G2678" s="2">
        <f>IF(ISNUMBER(SEARCH(Лист2!$B$4,F:F)),1,0)</f>
        <v>0</v>
      </c>
      <c r="H2678" s="3">
        <f ca="1">IF(AND(I2678&lt;&gt;I2677,ISNUMBER(SEARCH(Лист2!$B$5,I:I)),G2678=1),MAX($H$3:OFFSET(H2678,-1,0))+1,0)</f>
        <v>0</v>
      </c>
      <c r="I2678" s="3" t="s">
        <v>217</v>
      </c>
      <c r="K2678" s="2">
        <f>IF(ISNUMBER(SEARCH(Лист2!$B$4,F:F)),1,0)</f>
        <v>0</v>
      </c>
      <c r="L2678" s="14">
        <f>IF(ISNUMBER(SEARCH(Лист2!$B$5,I:I)),1,0)+K2678</f>
        <v>0</v>
      </c>
      <c r="M2678" s="3">
        <f ca="1">IF(AND(N2678&lt;&gt;N2677,ISNUMBER(SEARCH(Лист2!$B$6,N:N)),L2678=2),MAX($M$3:OFFSET(M2678,-1,0))+1,0)</f>
        <v>0</v>
      </c>
      <c r="N2678" s="3" t="s">
        <v>1632</v>
      </c>
    </row>
    <row r="2679" spans="1:14" x14ac:dyDescent="0.25">
      <c r="A2679" s="1" t="s">
        <v>11660</v>
      </c>
      <c r="B2679" s="3" t="s">
        <v>6303</v>
      </c>
      <c r="C2679" s="2">
        <f ca="1">IF(ISNUMBER(SEARCH(Лист2!$B$4,D:D)),MAX($C$3:OFFSET(C2679,-1,0))+1,0)</f>
        <v>0</v>
      </c>
      <c r="E2679" s="9" t="str">
        <f t="shared" ca="1" si="53"/>
        <v/>
      </c>
      <c r="F2679" s="4" t="s">
        <v>7</v>
      </c>
      <c r="G2679" s="2">
        <f>IF(ISNUMBER(SEARCH(Лист2!$B$4,F:F)),1,0)</f>
        <v>0</v>
      </c>
      <c r="H2679" s="3">
        <f ca="1">IF(AND(I2679&lt;&gt;I2678,ISNUMBER(SEARCH(Лист2!$B$5,I:I)),G2679=1),MAX($H$3:OFFSET(H2679,-1,0))+1,0)</f>
        <v>0</v>
      </c>
      <c r="I2679" s="3" t="s">
        <v>217</v>
      </c>
      <c r="K2679" s="2">
        <f>IF(ISNUMBER(SEARCH(Лист2!$B$4,F:F)),1,0)</f>
        <v>0</v>
      </c>
      <c r="L2679" s="14">
        <f>IF(ISNUMBER(SEARCH(Лист2!$B$5,I:I)),1,0)+K2679</f>
        <v>0</v>
      </c>
      <c r="M2679" s="3">
        <f ca="1">IF(AND(N2679&lt;&gt;N2678,ISNUMBER(SEARCH(Лист2!$B$6,N:N)),L2679=2),MAX($M$3:OFFSET(M2679,-1,0))+1,0)</f>
        <v>0</v>
      </c>
      <c r="N2679" s="3" t="s">
        <v>1735</v>
      </c>
    </row>
    <row r="2680" spans="1:14" x14ac:dyDescent="0.25">
      <c r="A2680" s="1" t="s">
        <v>11265</v>
      </c>
      <c r="B2680" s="3" t="s">
        <v>6304</v>
      </c>
      <c r="C2680" s="2">
        <f ca="1">IF(ISNUMBER(SEARCH(Лист2!$B$4,D:D)),MAX($C$3:OFFSET(C2680,-1,0))+1,0)</f>
        <v>0</v>
      </c>
      <c r="E2680" s="9" t="str">
        <f t="shared" ca="1" si="53"/>
        <v/>
      </c>
      <c r="F2680" s="4" t="s">
        <v>7</v>
      </c>
      <c r="G2680" s="2">
        <f>IF(ISNUMBER(SEARCH(Лист2!$B$4,F:F)),1,0)</f>
        <v>0</v>
      </c>
      <c r="H2680" s="3">
        <f ca="1">IF(AND(I2680&lt;&gt;I2679,ISNUMBER(SEARCH(Лист2!$B$5,I:I)),G2680=1),MAX($H$3:OFFSET(H2680,-1,0))+1,0)</f>
        <v>0</v>
      </c>
      <c r="I2680" s="3" t="s">
        <v>217</v>
      </c>
      <c r="K2680" s="2">
        <f>IF(ISNUMBER(SEARCH(Лист2!$B$4,F:F)),1,0)</f>
        <v>0</v>
      </c>
      <c r="L2680" s="14">
        <f>IF(ISNUMBER(SEARCH(Лист2!$B$5,I:I)),1,0)+K2680</f>
        <v>0</v>
      </c>
      <c r="M2680" s="3">
        <f ca="1">IF(AND(N2680&lt;&gt;N2679,ISNUMBER(SEARCH(Лист2!$B$6,N:N)),L2680=2),MAX($M$3:OFFSET(M2680,-1,0))+1,0)</f>
        <v>0</v>
      </c>
      <c r="N2680" s="3" t="s">
        <v>1634</v>
      </c>
    </row>
    <row r="2681" spans="1:14" x14ac:dyDescent="0.25">
      <c r="A2681" s="1" t="s">
        <v>11263</v>
      </c>
      <c r="B2681" s="3" t="s">
        <v>6305</v>
      </c>
      <c r="C2681" s="2">
        <f ca="1">IF(ISNUMBER(SEARCH(Лист2!$B$4,D:D)),MAX($C$3:OFFSET(C2681,-1,0))+1,0)</f>
        <v>0</v>
      </c>
      <c r="E2681" s="9" t="str">
        <f t="shared" ca="1" si="53"/>
        <v/>
      </c>
      <c r="F2681" s="4" t="s">
        <v>7</v>
      </c>
      <c r="G2681" s="2">
        <f>IF(ISNUMBER(SEARCH(Лист2!$B$4,F:F)),1,0)</f>
        <v>0</v>
      </c>
      <c r="H2681" s="3">
        <f ca="1">IF(AND(I2681&lt;&gt;I2680,ISNUMBER(SEARCH(Лист2!$B$5,I:I)),G2681=1),MAX($H$3:OFFSET(H2681,-1,0))+1,0)</f>
        <v>0</v>
      </c>
      <c r="I2681" s="3" t="s">
        <v>217</v>
      </c>
      <c r="K2681" s="2">
        <f>IF(ISNUMBER(SEARCH(Лист2!$B$4,F:F)),1,0)</f>
        <v>0</v>
      </c>
      <c r="L2681" s="14">
        <f>IF(ISNUMBER(SEARCH(Лист2!$B$5,I:I)),1,0)+K2681</f>
        <v>0</v>
      </c>
      <c r="M2681" s="3">
        <f ca="1">IF(AND(N2681&lt;&gt;N2680,ISNUMBER(SEARCH(Лист2!$B$6,N:N)),L2681=2),MAX($M$3:OFFSET(M2681,-1,0))+1,0)</f>
        <v>0</v>
      </c>
      <c r="N2681" s="3" t="s">
        <v>1619</v>
      </c>
    </row>
    <row r="2682" spans="1:14" x14ac:dyDescent="0.25">
      <c r="A2682" s="1" t="s">
        <v>11266</v>
      </c>
      <c r="B2682" s="3" t="s">
        <v>6306</v>
      </c>
      <c r="C2682" s="2">
        <f ca="1">IF(ISNUMBER(SEARCH(Лист2!$B$4,D:D)),MAX($C$3:OFFSET(C2682,-1,0))+1,0)</f>
        <v>0</v>
      </c>
      <c r="E2682" s="9" t="str">
        <f t="shared" ca="1" si="53"/>
        <v/>
      </c>
      <c r="F2682" s="4" t="s">
        <v>7</v>
      </c>
      <c r="G2682" s="2">
        <f>IF(ISNUMBER(SEARCH(Лист2!$B$4,F:F)),1,0)</f>
        <v>0</v>
      </c>
      <c r="H2682" s="3">
        <f ca="1">IF(AND(I2682&lt;&gt;I2681,ISNUMBER(SEARCH(Лист2!$B$5,I:I)),G2682=1),MAX($H$3:OFFSET(H2682,-1,0))+1,0)</f>
        <v>0</v>
      </c>
      <c r="I2682" s="3" t="s">
        <v>217</v>
      </c>
      <c r="K2682" s="2">
        <f>IF(ISNUMBER(SEARCH(Лист2!$B$4,F:F)),1,0)</f>
        <v>0</v>
      </c>
      <c r="L2682" s="14">
        <f>IF(ISNUMBER(SEARCH(Лист2!$B$5,I:I)),1,0)+K2682</f>
        <v>0</v>
      </c>
      <c r="M2682" s="3">
        <f ca="1">IF(AND(N2682&lt;&gt;N2681,ISNUMBER(SEARCH(Лист2!$B$6,N:N)),L2682=2),MAX($M$3:OFFSET(M2682,-1,0))+1,0)</f>
        <v>0</v>
      </c>
      <c r="N2682" s="3" t="s">
        <v>602</v>
      </c>
    </row>
    <row r="2683" spans="1:14" x14ac:dyDescent="0.25">
      <c r="A2683" s="1" t="s">
        <v>11661</v>
      </c>
      <c r="B2683" s="3" t="s">
        <v>6307</v>
      </c>
      <c r="C2683" s="2">
        <f ca="1">IF(ISNUMBER(SEARCH(Лист2!$B$4,D:D)),MAX($C$3:OFFSET(C2683,-1,0))+1,0)</f>
        <v>0</v>
      </c>
      <c r="E2683" s="9" t="str">
        <f t="shared" ca="1" si="53"/>
        <v/>
      </c>
      <c r="F2683" s="4" t="s">
        <v>7</v>
      </c>
      <c r="G2683" s="2">
        <f>IF(ISNUMBER(SEARCH(Лист2!$B$4,F:F)),1,0)</f>
        <v>0</v>
      </c>
      <c r="H2683" s="3">
        <f ca="1">IF(AND(I2683&lt;&gt;I2682,ISNUMBER(SEARCH(Лист2!$B$5,I:I)),G2683=1),MAX($H$3:OFFSET(H2683,-1,0))+1,0)</f>
        <v>0</v>
      </c>
      <c r="I2683" s="3" t="s">
        <v>217</v>
      </c>
      <c r="K2683" s="2">
        <f>IF(ISNUMBER(SEARCH(Лист2!$B$4,F:F)),1,0)</f>
        <v>0</v>
      </c>
      <c r="L2683" s="14">
        <f>IF(ISNUMBER(SEARCH(Лист2!$B$5,I:I)),1,0)+K2683</f>
        <v>0</v>
      </c>
      <c r="M2683" s="3">
        <f ca="1">IF(AND(N2683&lt;&gt;N2682,ISNUMBER(SEARCH(Лист2!$B$6,N:N)),L2683=2),MAX($M$3:OFFSET(M2683,-1,0))+1,0)</f>
        <v>0</v>
      </c>
      <c r="N2683" s="3" t="s">
        <v>1890</v>
      </c>
    </row>
    <row r="2684" spans="1:14" x14ac:dyDescent="0.25">
      <c r="A2684" s="1" t="s">
        <v>11268</v>
      </c>
      <c r="B2684" s="3" t="s">
        <v>6308</v>
      </c>
      <c r="C2684" s="2">
        <f ca="1">IF(ISNUMBER(SEARCH(Лист2!$B$4,D:D)),MAX($C$3:OFFSET(C2684,-1,0))+1,0)</f>
        <v>0</v>
      </c>
      <c r="E2684" s="9" t="str">
        <f t="shared" ca="1" si="53"/>
        <v/>
      </c>
      <c r="F2684" s="4" t="s">
        <v>7</v>
      </c>
      <c r="G2684" s="2">
        <f>IF(ISNUMBER(SEARCH(Лист2!$B$4,F:F)),1,0)</f>
        <v>0</v>
      </c>
      <c r="H2684" s="3">
        <f ca="1">IF(AND(I2684&lt;&gt;I2683,ISNUMBER(SEARCH(Лист2!$B$5,I:I)),G2684=1),MAX($H$3:OFFSET(H2684,-1,0))+1,0)</f>
        <v>0</v>
      </c>
      <c r="I2684" s="3" t="s">
        <v>217</v>
      </c>
      <c r="K2684" s="2">
        <f>IF(ISNUMBER(SEARCH(Лист2!$B$4,F:F)),1,0)</f>
        <v>0</v>
      </c>
      <c r="L2684" s="14">
        <f>IF(ISNUMBER(SEARCH(Лист2!$B$5,I:I)),1,0)+K2684</f>
        <v>0</v>
      </c>
      <c r="M2684" s="3">
        <f ca="1">IF(AND(N2684&lt;&gt;N2683,ISNUMBER(SEARCH(Лист2!$B$6,N:N)),L2684=2),MAX($M$3:OFFSET(M2684,-1,0))+1,0)</f>
        <v>0</v>
      </c>
      <c r="N2684" s="3" t="s">
        <v>1636</v>
      </c>
    </row>
    <row r="2685" spans="1:14" x14ac:dyDescent="0.25">
      <c r="A2685" s="1" t="s">
        <v>11269</v>
      </c>
      <c r="B2685" s="3" t="s">
        <v>6309</v>
      </c>
      <c r="C2685" s="2">
        <f ca="1">IF(ISNUMBER(SEARCH(Лист2!$B$4,D:D)),MAX($C$3:OFFSET(C2685,-1,0))+1,0)</f>
        <v>0</v>
      </c>
      <c r="E2685" s="9" t="str">
        <f t="shared" ca="1" si="53"/>
        <v/>
      </c>
      <c r="F2685" s="4" t="s">
        <v>7</v>
      </c>
      <c r="G2685" s="2">
        <f>IF(ISNUMBER(SEARCH(Лист2!$B$4,F:F)),1,0)</f>
        <v>0</v>
      </c>
      <c r="H2685" s="3">
        <f ca="1">IF(AND(I2685&lt;&gt;I2684,ISNUMBER(SEARCH(Лист2!$B$5,I:I)),G2685=1),MAX($H$3:OFFSET(H2685,-1,0))+1,0)</f>
        <v>0</v>
      </c>
      <c r="I2685" s="3" t="s">
        <v>217</v>
      </c>
      <c r="K2685" s="2">
        <f>IF(ISNUMBER(SEARCH(Лист2!$B$4,F:F)),1,0)</f>
        <v>0</v>
      </c>
      <c r="L2685" s="14">
        <f>IF(ISNUMBER(SEARCH(Лист2!$B$5,I:I)),1,0)+K2685</f>
        <v>0</v>
      </c>
      <c r="M2685" s="3">
        <f ca="1">IF(AND(N2685&lt;&gt;N2684,ISNUMBER(SEARCH(Лист2!$B$6,N:N)),L2685=2),MAX($M$3:OFFSET(M2685,-1,0))+1,0)</f>
        <v>0</v>
      </c>
      <c r="N2685" s="3" t="s">
        <v>1637</v>
      </c>
    </row>
    <row r="2686" spans="1:14" x14ac:dyDescent="0.25">
      <c r="A2686" s="1" t="s">
        <v>11534</v>
      </c>
      <c r="B2686" s="3" t="s">
        <v>6310</v>
      </c>
      <c r="C2686" s="2">
        <f ca="1">IF(ISNUMBER(SEARCH(Лист2!$B$4,D:D)),MAX($C$3:OFFSET(C2686,-1,0))+1,0)</f>
        <v>0</v>
      </c>
      <c r="E2686" s="9" t="str">
        <f t="shared" ca="1" si="53"/>
        <v/>
      </c>
      <c r="F2686" s="4" t="s">
        <v>7</v>
      </c>
      <c r="G2686" s="2">
        <f>IF(ISNUMBER(SEARCH(Лист2!$B$4,F:F)),1,0)</f>
        <v>0</v>
      </c>
      <c r="H2686" s="3">
        <f ca="1">IF(AND(I2686&lt;&gt;I2685,ISNUMBER(SEARCH(Лист2!$B$5,I:I)),G2686=1),MAX($H$3:OFFSET(H2686,-1,0))+1,0)</f>
        <v>0</v>
      </c>
      <c r="I2686" s="3" t="s">
        <v>218</v>
      </c>
      <c r="K2686" s="2">
        <f>IF(ISNUMBER(SEARCH(Лист2!$B$4,F:F)),1,0)</f>
        <v>0</v>
      </c>
      <c r="L2686" s="14">
        <f>IF(ISNUMBER(SEARCH(Лист2!$B$5,I:I)),1,0)+K2686</f>
        <v>0</v>
      </c>
      <c r="M2686" s="3">
        <f ca="1">IF(AND(N2686&lt;&gt;N2685,ISNUMBER(SEARCH(Лист2!$B$6,N:N)),L2686=2),MAX($M$3:OFFSET(M2686,-1,0))+1,0)</f>
        <v>0</v>
      </c>
      <c r="N2686" s="3" t="s">
        <v>1806</v>
      </c>
    </row>
    <row r="2687" spans="1:14" x14ac:dyDescent="0.25">
      <c r="A2687" s="1" t="s">
        <v>11535</v>
      </c>
      <c r="B2687" s="3" t="s">
        <v>6311</v>
      </c>
      <c r="C2687" s="2">
        <f ca="1">IF(ISNUMBER(SEARCH(Лист2!$B$4,D:D)),MAX($C$3:OFFSET(C2687,-1,0))+1,0)</f>
        <v>0</v>
      </c>
      <c r="E2687" s="9" t="str">
        <f t="shared" ca="1" si="53"/>
        <v/>
      </c>
      <c r="F2687" s="4" t="s">
        <v>7</v>
      </c>
      <c r="G2687" s="2">
        <f>IF(ISNUMBER(SEARCH(Лист2!$B$4,F:F)),1,0)</f>
        <v>0</v>
      </c>
      <c r="H2687" s="3">
        <f ca="1">IF(AND(I2687&lt;&gt;I2686,ISNUMBER(SEARCH(Лист2!$B$5,I:I)),G2687=1),MAX($H$3:OFFSET(H2687,-1,0))+1,0)</f>
        <v>0</v>
      </c>
      <c r="I2687" s="3" t="s">
        <v>218</v>
      </c>
      <c r="K2687" s="2">
        <f>IF(ISNUMBER(SEARCH(Лист2!$B$4,F:F)),1,0)</f>
        <v>0</v>
      </c>
      <c r="L2687" s="14">
        <f>IF(ISNUMBER(SEARCH(Лист2!$B$5,I:I)),1,0)+K2687</f>
        <v>0</v>
      </c>
      <c r="M2687" s="3">
        <f ca="1">IF(AND(N2687&lt;&gt;N2686,ISNUMBER(SEARCH(Лист2!$B$6,N:N)),L2687=2),MAX($M$3:OFFSET(M2687,-1,0))+1,0)</f>
        <v>0</v>
      </c>
      <c r="N2687" s="3" t="s">
        <v>1807</v>
      </c>
    </row>
    <row r="2688" spans="1:14" x14ac:dyDescent="0.25">
      <c r="A2688" s="1" t="s">
        <v>11662</v>
      </c>
      <c r="B2688" s="3" t="s">
        <v>6312</v>
      </c>
      <c r="C2688" s="2">
        <f ca="1">IF(ISNUMBER(SEARCH(Лист2!$B$4,D:D)),MAX($C$3:OFFSET(C2688,-1,0))+1,0)</f>
        <v>0</v>
      </c>
      <c r="E2688" s="9" t="str">
        <f t="shared" ca="1" si="53"/>
        <v/>
      </c>
      <c r="F2688" s="4" t="s">
        <v>7</v>
      </c>
      <c r="G2688" s="2">
        <f>IF(ISNUMBER(SEARCH(Лист2!$B$4,F:F)),1,0)</f>
        <v>0</v>
      </c>
      <c r="H2688" s="3">
        <f ca="1">IF(AND(I2688&lt;&gt;I2687,ISNUMBER(SEARCH(Лист2!$B$5,I:I)),G2688=1),MAX($H$3:OFFSET(H2688,-1,0))+1,0)</f>
        <v>0</v>
      </c>
      <c r="I2688" s="3" t="s">
        <v>218</v>
      </c>
      <c r="K2688" s="2">
        <f>IF(ISNUMBER(SEARCH(Лист2!$B$4,F:F)),1,0)</f>
        <v>0</v>
      </c>
      <c r="L2688" s="14">
        <f>IF(ISNUMBER(SEARCH(Лист2!$B$5,I:I)),1,0)+K2688</f>
        <v>0</v>
      </c>
      <c r="M2688" s="3">
        <f ca="1">IF(AND(N2688&lt;&gt;N2687,ISNUMBER(SEARCH(Лист2!$B$6,N:N)),L2688=2),MAX($M$3:OFFSET(M2688,-1,0))+1,0)</f>
        <v>0</v>
      </c>
      <c r="N2688" s="3" t="s">
        <v>1735</v>
      </c>
    </row>
    <row r="2689" spans="1:14" x14ac:dyDescent="0.25">
      <c r="A2689" s="1" t="s">
        <v>11274</v>
      </c>
      <c r="B2689" s="3" t="s">
        <v>6313</v>
      </c>
      <c r="C2689" s="2">
        <f ca="1">IF(ISNUMBER(SEARCH(Лист2!$B$4,D:D)),MAX($C$3:OFFSET(C2689,-1,0))+1,0)</f>
        <v>0</v>
      </c>
      <c r="E2689" s="9" t="str">
        <f t="shared" ca="1" si="53"/>
        <v/>
      </c>
      <c r="F2689" s="4" t="s">
        <v>7</v>
      </c>
      <c r="G2689" s="2">
        <f>IF(ISNUMBER(SEARCH(Лист2!$B$4,F:F)),1,0)</f>
        <v>0</v>
      </c>
      <c r="H2689" s="3">
        <f ca="1">IF(AND(I2689&lt;&gt;I2688,ISNUMBER(SEARCH(Лист2!$B$5,I:I)),G2689=1),MAX($H$3:OFFSET(H2689,-1,0))+1,0)</f>
        <v>0</v>
      </c>
      <c r="I2689" s="3" t="s">
        <v>218</v>
      </c>
      <c r="K2689" s="2">
        <f>IF(ISNUMBER(SEARCH(Лист2!$B$4,F:F)),1,0)</f>
        <v>0</v>
      </c>
      <c r="L2689" s="14">
        <f>IF(ISNUMBER(SEARCH(Лист2!$B$5,I:I)),1,0)+K2689</f>
        <v>0</v>
      </c>
      <c r="M2689" s="3">
        <f ca="1">IF(AND(N2689&lt;&gt;N2688,ISNUMBER(SEARCH(Лист2!$B$6,N:N)),L2689=2),MAX($M$3:OFFSET(M2689,-1,0))+1,0)</f>
        <v>0</v>
      </c>
      <c r="N2689" s="3" t="s">
        <v>1621</v>
      </c>
    </row>
    <row r="2690" spans="1:14" x14ac:dyDescent="0.25">
      <c r="A2690" s="1" t="s">
        <v>11272</v>
      </c>
      <c r="B2690" s="3" t="s">
        <v>6314</v>
      </c>
      <c r="C2690" s="2">
        <f ca="1">IF(ISNUMBER(SEARCH(Лист2!$B$4,D:D)),MAX($C$3:OFFSET(C2690,-1,0))+1,0)</f>
        <v>0</v>
      </c>
      <c r="E2690" s="9" t="str">
        <f t="shared" ca="1" si="53"/>
        <v/>
      </c>
      <c r="F2690" s="4" t="s">
        <v>7</v>
      </c>
      <c r="G2690" s="2">
        <f>IF(ISNUMBER(SEARCH(Лист2!$B$4,F:F)),1,0)</f>
        <v>0</v>
      </c>
      <c r="H2690" s="3">
        <f ca="1">IF(AND(I2690&lt;&gt;I2689,ISNUMBER(SEARCH(Лист2!$B$5,I:I)),G2690=1),MAX($H$3:OFFSET(H2690,-1,0))+1,0)</f>
        <v>0</v>
      </c>
      <c r="I2690" s="3" t="s">
        <v>218</v>
      </c>
      <c r="K2690" s="2">
        <f>IF(ISNUMBER(SEARCH(Лист2!$B$4,F:F)),1,0)</f>
        <v>0</v>
      </c>
      <c r="L2690" s="14">
        <f>IF(ISNUMBER(SEARCH(Лист2!$B$5,I:I)),1,0)+K2690</f>
        <v>0</v>
      </c>
      <c r="M2690" s="3">
        <f ca="1">IF(AND(N2690&lt;&gt;N2689,ISNUMBER(SEARCH(Лист2!$B$6,N:N)),L2690=2),MAX($M$3:OFFSET(M2690,-1,0))+1,0)</f>
        <v>0</v>
      </c>
      <c r="N2690" s="3" t="s">
        <v>1619</v>
      </c>
    </row>
    <row r="2691" spans="1:14" x14ac:dyDescent="0.25">
      <c r="A2691" s="1" t="s">
        <v>11275</v>
      </c>
      <c r="B2691" s="3" t="s">
        <v>6315</v>
      </c>
      <c r="C2691" s="2">
        <f ca="1">IF(ISNUMBER(SEARCH(Лист2!$B$4,D:D)),MAX($C$3:OFFSET(C2691,-1,0))+1,0)</f>
        <v>0</v>
      </c>
      <c r="E2691" s="9" t="str">
        <f t="shared" ca="1" si="53"/>
        <v/>
      </c>
      <c r="F2691" s="4" t="s">
        <v>7</v>
      </c>
      <c r="G2691" s="2">
        <f>IF(ISNUMBER(SEARCH(Лист2!$B$4,F:F)),1,0)</f>
        <v>0</v>
      </c>
      <c r="H2691" s="3">
        <f ca="1">IF(AND(I2691&lt;&gt;I2690,ISNUMBER(SEARCH(Лист2!$B$5,I:I)),G2691=1),MAX($H$3:OFFSET(H2691,-1,0))+1,0)</f>
        <v>0</v>
      </c>
      <c r="I2691" s="3" t="s">
        <v>218</v>
      </c>
      <c r="K2691" s="2">
        <f>IF(ISNUMBER(SEARCH(Лист2!$B$4,F:F)),1,0)</f>
        <v>0</v>
      </c>
      <c r="L2691" s="14">
        <f>IF(ISNUMBER(SEARCH(Лист2!$B$5,I:I)),1,0)+K2691</f>
        <v>0</v>
      </c>
      <c r="M2691" s="3">
        <f ca="1">IF(AND(N2691&lt;&gt;N2690,ISNUMBER(SEARCH(Лист2!$B$6,N:N)),L2691=2),MAX($M$3:OFFSET(M2691,-1,0))+1,0)</f>
        <v>0</v>
      </c>
      <c r="N2691" s="3" t="s">
        <v>602</v>
      </c>
    </row>
    <row r="2692" spans="1:14" x14ac:dyDescent="0.25">
      <c r="A2692" s="1" t="s">
        <v>11536</v>
      </c>
      <c r="B2692" s="3" t="s">
        <v>6316</v>
      </c>
      <c r="C2692" s="2">
        <f ca="1">IF(ISNUMBER(SEARCH(Лист2!$B$4,D:D)),MAX($C$3:OFFSET(C2692,-1,0))+1,0)</f>
        <v>0</v>
      </c>
      <c r="E2692" s="9" t="str">
        <f t="shared" ca="1" si="53"/>
        <v/>
      </c>
      <c r="F2692" s="4" t="s">
        <v>7</v>
      </c>
      <c r="G2692" s="2">
        <f>IF(ISNUMBER(SEARCH(Лист2!$B$4,F:F)),1,0)</f>
        <v>0</v>
      </c>
      <c r="H2692" s="3">
        <f ca="1">IF(AND(I2692&lt;&gt;I2691,ISNUMBER(SEARCH(Лист2!$B$5,I:I)),G2692=1),MAX($H$3:OFFSET(H2692,-1,0))+1,0)</f>
        <v>0</v>
      </c>
      <c r="I2692" s="3" t="s">
        <v>218</v>
      </c>
      <c r="K2692" s="2">
        <f>IF(ISNUMBER(SEARCH(Лист2!$B$4,F:F)),1,0)</f>
        <v>0</v>
      </c>
      <c r="L2692" s="14">
        <f>IF(ISNUMBER(SEARCH(Лист2!$B$5,I:I)),1,0)+K2692</f>
        <v>0</v>
      </c>
      <c r="M2692" s="3">
        <f ca="1">IF(AND(N2692&lt;&gt;N2691,ISNUMBER(SEARCH(Лист2!$B$6,N:N)),L2692=2),MAX($M$3:OFFSET(M2692,-1,0))+1,0)</f>
        <v>0</v>
      </c>
      <c r="N2692" s="3" t="s">
        <v>1808</v>
      </c>
    </row>
    <row r="2693" spans="1:14" x14ac:dyDescent="0.25">
      <c r="A2693" s="1" t="s">
        <v>11537</v>
      </c>
      <c r="B2693" s="3" t="s">
        <v>6317</v>
      </c>
      <c r="C2693" s="2">
        <f ca="1">IF(ISNUMBER(SEARCH(Лист2!$B$4,D:D)),MAX($C$3:OFFSET(C2693,-1,0))+1,0)</f>
        <v>0</v>
      </c>
      <c r="E2693" s="9" t="str">
        <f t="shared" ref="E2693:E2756" ca="1" si="54">IFERROR(INDEX(D:D,MATCH(ROW(E2693)-ROW($E$3),C:C,0)),"")</f>
        <v/>
      </c>
      <c r="F2693" s="4" t="s">
        <v>7</v>
      </c>
      <c r="G2693" s="2">
        <f>IF(ISNUMBER(SEARCH(Лист2!$B$4,F:F)),1,0)</f>
        <v>0</v>
      </c>
      <c r="H2693" s="3">
        <f ca="1">IF(AND(I2693&lt;&gt;I2692,ISNUMBER(SEARCH(Лист2!$B$5,I:I)),G2693=1),MAX($H$3:OFFSET(H2693,-1,0))+1,0)</f>
        <v>0</v>
      </c>
      <c r="I2693" s="3" t="s">
        <v>218</v>
      </c>
      <c r="K2693" s="2">
        <f>IF(ISNUMBER(SEARCH(Лист2!$B$4,F:F)),1,0)</f>
        <v>0</v>
      </c>
      <c r="L2693" s="14">
        <f>IF(ISNUMBER(SEARCH(Лист2!$B$5,I:I)),1,0)+K2693</f>
        <v>0</v>
      </c>
      <c r="M2693" s="3">
        <f ca="1">IF(AND(N2693&lt;&gt;N2692,ISNUMBER(SEARCH(Лист2!$B$6,N:N)),L2693=2),MAX($M$3:OFFSET(M2693,-1,0))+1,0)</f>
        <v>0</v>
      </c>
      <c r="N2693" s="3" t="s">
        <v>1809</v>
      </c>
    </row>
    <row r="2694" spans="1:14" x14ac:dyDescent="0.25">
      <c r="A2694" s="1" t="s">
        <v>11538</v>
      </c>
      <c r="B2694" s="3" t="s">
        <v>6318</v>
      </c>
      <c r="C2694" s="2">
        <f ca="1">IF(ISNUMBER(SEARCH(Лист2!$B$4,D:D)),MAX($C$3:OFFSET(C2694,-1,0))+1,0)</f>
        <v>0</v>
      </c>
      <c r="E2694" s="9" t="str">
        <f t="shared" ca="1" si="54"/>
        <v/>
      </c>
      <c r="F2694" s="4" t="s">
        <v>7</v>
      </c>
      <c r="G2694" s="2">
        <f>IF(ISNUMBER(SEARCH(Лист2!$B$4,F:F)),1,0)</f>
        <v>0</v>
      </c>
      <c r="H2694" s="3">
        <f ca="1">IF(AND(I2694&lt;&gt;I2693,ISNUMBER(SEARCH(Лист2!$B$5,I:I)),G2694=1),MAX($H$3:OFFSET(H2694,-1,0))+1,0)</f>
        <v>0</v>
      </c>
      <c r="I2694" s="3" t="s">
        <v>218</v>
      </c>
      <c r="K2694" s="2">
        <f>IF(ISNUMBER(SEARCH(Лист2!$B$4,F:F)),1,0)</f>
        <v>0</v>
      </c>
      <c r="L2694" s="14">
        <f>IF(ISNUMBER(SEARCH(Лист2!$B$5,I:I)),1,0)+K2694</f>
        <v>0</v>
      </c>
      <c r="M2694" s="3">
        <f ca="1">IF(AND(N2694&lt;&gt;N2693,ISNUMBER(SEARCH(Лист2!$B$6,N:N)),L2694=2),MAX($M$3:OFFSET(M2694,-1,0))+1,0)</f>
        <v>0</v>
      </c>
      <c r="N2694" s="3" t="s">
        <v>1810</v>
      </c>
    </row>
    <row r="2695" spans="1:14" x14ac:dyDescent="0.25">
      <c r="A2695" s="1" t="s">
        <v>11279</v>
      </c>
      <c r="B2695" s="3" t="s">
        <v>6319</v>
      </c>
      <c r="C2695" s="2">
        <f ca="1">IF(ISNUMBER(SEARCH(Лист2!$B$4,D:D)),MAX($C$3:OFFSET(C2695,-1,0))+1,0)</f>
        <v>0</v>
      </c>
      <c r="E2695" s="9" t="str">
        <f t="shared" ca="1" si="54"/>
        <v/>
      </c>
      <c r="F2695" s="4" t="s">
        <v>7</v>
      </c>
      <c r="G2695" s="2">
        <f>IF(ISNUMBER(SEARCH(Лист2!$B$4,F:F)),1,0)</f>
        <v>0</v>
      </c>
      <c r="H2695" s="3">
        <f ca="1">IF(AND(I2695&lt;&gt;I2694,ISNUMBER(SEARCH(Лист2!$B$5,I:I)),G2695=1),MAX($H$3:OFFSET(H2695,-1,0))+1,0)</f>
        <v>0</v>
      </c>
      <c r="I2695" s="3" t="s">
        <v>219</v>
      </c>
      <c r="K2695" s="2">
        <f>IF(ISNUMBER(SEARCH(Лист2!$B$4,F:F)),1,0)</f>
        <v>0</v>
      </c>
      <c r="L2695" s="14">
        <f>IF(ISNUMBER(SEARCH(Лист2!$B$5,I:I)),1,0)+K2695</f>
        <v>0</v>
      </c>
      <c r="M2695" s="3">
        <f ca="1">IF(AND(N2695&lt;&gt;N2694,ISNUMBER(SEARCH(Лист2!$B$6,N:N)),L2695=2),MAX($M$3:OFFSET(M2695,-1,0))+1,0)</f>
        <v>0</v>
      </c>
      <c r="N2695" s="3" t="s">
        <v>1643</v>
      </c>
    </row>
    <row r="2696" spans="1:14" x14ac:dyDescent="0.25">
      <c r="A2696" s="1" t="s">
        <v>11280</v>
      </c>
      <c r="B2696" s="3" t="s">
        <v>6320</v>
      </c>
      <c r="C2696" s="2">
        <f ca="1">IF(ISNUMBER(SEARCH(Лист2!$B$4,D:D)),MAX($C$3:OFFSET(C2696,-1,0))+1,0)</f>
        <v>0</v>
      </c>
      <c r="E2696" s="9" t="str">
        <f t="shared" ca="1" si="54"/>
        <v/>
      </c>
      <c r="F2696" s="4" t="s">
        <v>7</v>
      </c>
      <c r="G2696" s="2">
        <f>IF(ISNUMBER(SEARCH(Лист2!$B$4,F:F)),1,0)</f>
        <v>0</v>
      </c>
      <c r="H2696" s="3">
        <f ca="1">IF(AND(I2696&lt;&gt;I2695,ISNUMBER(SEARCH(Лист2!$B$5,I:I)),G2696=1),MAX($H$3:OFFSET(H2696,-1,0))+1,0)</f>
        <v>0</v>
      </c>
      <c r="I2696" s="3" t="s">
        <v>219</v>
      </c>
      <c r="K2696" s="2">
        <f>IF(ISNUMBER(SEARCH(Лист2!$B$4,F:F)),1,0)</f>
        <v>0</v>
      </c>
      <c r="L2696" s="14">
        <f>IF(ISNUMBER(SEARCH(Лист2!$B$5,I:I)),1,0)+K2696</f>
        <v>0</v>
      </c>
      <c r="M2696" s="3">
        <f ca="1">IF(AND(N2696&lt;&gt;N2695,ISNUMBER(SEARCH(Лист2!$B$6,N:N)),L2696=2),MAX($M$3:OFFSET(M2696,-1,0))+1,0)</f>
        <v>0</v>
      </c>
      <c r="N2696" s="3" t="s">
        <v>1644</v>
      </c>
    </row>
    <row r="2697" spans="1:14" x14ac:dyDescent="0.25">
      <c r="A2697" s="1" t="s">
        <v>11663</v>
      </c>
      <c r="B2697" s="3" t="s">
        <v>6321</v>
      </c>
      <c r="C2697" s="2">
        <f ca="1">IF(ISNUMBER(SEARCH(Лист2!$B$4,D:D)),MAX($C$3:OFFSET(C2697,-1,0))+1,0)</f>
        <v>0</v>
      </c>
      <c r="E2697" s="9" t="str">
        <f t="shared" ca="1" si="54"/>
        <v/>
      </c>
      <c r="F2697" s="4" t="s">
        <v>7</v>
      </c>
      <c r="G2697" s="2">
        <f>IF(ISNUMBER(SEARCH(Лист2!$B$4,F:F)),1,0)</f>
        <v>0</v>
      </c>
      <c r="H2697" s="3">
        <f ca="1">IF(AND(I2697&lt;&gt;I2696,ISNUMBER(SEARCH(Лист2!$B$5,I:I)),G2697=1),MAX($H$3:OFFSET(H2697,-1,0))+1,0)</f>
        <v>0</v>
      </c>
      <c r="I2697" s="3" t="s">
        <v>219</v>
      </c>
      <c r="K2697" s="2">
        <f>IF(ISNUMBER(SEARCH(Лист2!$B$4,F:F)),1,0)</f>
        <v>0</v>
      </c>
      <c r="L2697" s="14">
        <f>IF(ISNUMBER(SEARCH(Лист2!$B$5,I:I)),1,0)+K2697</f>
        <v>0</v>
      </c>
      <c r="M2697" s="3">
        <f ca="1">IF(AND(N2697&lt;&gt;N2696,ISNUMBER(SEARCH(Лист2!$B$6,N:N)),L2697=2),MAX($M$3:OFFSET(M2697,-1,0))+1,0)</f>
        <v>0</v>
      </c>
      <c r="N2697" s="3" t="s">
        <v>1735</v>
      </c>
    </row>
    <row r="2698" spans="1:14" x14ac:dyDescent="0.25">
      <c r="A2698" s="1" t="s">
        <v>11284</v>
      </c>
      <c r="B2698" s="3" t="s">
        <v>6322</v>
      </c>
      <c r="C2698" s="2">
        <f ca="1">IF(ISNUMBER(SEARCH(Лист2!$B$4,D:D)),MAX($C$3:OFFSET(C2698,-1,0))+1,0)</f>
        <v>0</v>
      </c>
      <c r="E2698" s="9" t="str">
        <f t="shared" ca="1" si="54"/>
        <v/>
      </c>
      <c r="F2698" s="4" t="s">
        <v>7</v>
      </c>
      <c r="G2698" s="2">
        <f>IF(ISNUMBER(SEARCH(Лист2!$B$4,F:F)),1,0)</f>
        <v>0</v>
      </c>
      <c r="H2698" s="3">
        <f ca="1">IF(AND(I2698&lt;&gt;I2697,ISNUMBER(SEARCH(Лист2!$B$5,I:I)),G2698=1),MAX($H$3:OFFSET(H2698,-1,0))+1,0)</f>
        <v>0</v>
      </c>
      <c r="I2698" s="3" t="s">
        <v>219</v>
      </c>
      <c r="K2698" s="2">
        <f>IF(ISNUMBER(SEARCH(Лист2!$B$4,F:F)),1,0)</f>
        <v>0</v>
      </c>
      <c r="L2698" s="14">
        <f>IF(ISNUMBER(SEARCH(Лист2!$B$5,I:I)),1,0)+K2698</f>
        <v>0</v>
      </c>
      <c r="M2698" s="3">
        <f ca="1">IF(AND(N2698&lt;&gt;N2697,ISNUMBER(SEARCH(Лист2!$B$6,N:N)),L2698=2),MAX($M$3:OFFSET(M2698,-1,0))+1,0)</f>
        <v>0</v>
      </c>
      <c r="N2698" s="3" t="s">
        <v>1634</v>
      </c>
    </row>
    <row r="2699" spans="1:14" x14ac:dyDescent="0.25">
      <c r="A2699" s="1" t="s">
        <v>11282</v>
      </c>
      <c r="B2699" s="3" t="s">
        <v>6323</v>
      </c>
      <c r="C2699" s="2">
        <f ca="1">IF(ISNUMBER(SEARCH(Лист2!$B$4,D:D)),MAX($C$3:OFFSET(C2699,-1,0))+1,0)</f>
        <v>0</v>
      </c>
      <c r="E2699" s="9" t="str">
        <f t="shared" ca="1" si="54"/>
        <v/>
      </c>
      <c r="F2699" s="4" t="s">
        <v>7</v>
      </c>
      <c r="G2699" s="2">
        <f>IF(ISNUMBER(SEARCH(Лист2!$B$4,F:F)),1,0)</f>
        <v>0</v>
      </c>
      <c r="H2699" s="3">
        <f ca="1">IF(AND(I2699&lt;&gt;I2698,ISNUMBER(SEARCH(Лист2!$B$5,I:I)),G2699=1),MAX($H$3:OFFSET(H2699,-1,0))+1,0)</f>
        <v>0</v>
      </c>
      <c r="I2699" s="3" t="s">
        <v>219</v>
      </c>
      <c r="K2699" s="2">
        <f>IF(ISNUMBER(SEARCH(Лист2!$B$4,F:F)),1,0)</f>
        <v>0</v>
      </c>
      <c r="L2699" s="14">
        <f>IF(ISNUMBER(SEARCH(Лист2!$B$5,I:I)),1,0)+K2699</f>
        <v>0</v>
      </c>
      <c r="M2699" s="3">
        <f ca="1">IF(AND(N2699&lt;&gt;N2698,ISNUMBER(SEARCH(Лист2!$B$6,N:N)),L2699=2),MAX($M$3:OFFSET(M2699,-1,0))+1,0)</f>
        <v>0</v>
      </c>
      <c r="N2699" s="3" t="s">
        <v>1619</v>
      </c>
    </row>
    <row r="2700" spans="1:14" x14ac:dyDescent="0.25">
      <c r="A2700" s="1" t="s">
        <v>11285</v>
      </c>
      <c r="B2700" s="3" t="s">
        <v>6324</v>
      </c>
      <c r="C2700" s="2">
        <f ca="1">IF(ISNUMBER(SEARCH(Лист2!$B$4,D:D)),MAX($C$3:OFFSET(C2700,-1,0))+1,0)</f>
        <v>0</v>
      </c>
      <c r="E2700" s="9" t="str">
        <f t="shared" ca="1" si="54"/>
        <v/>
      </c>
      <c r="F2700" s="4" t="s">
        <v>7</v>
      </c>
      <c r="G2700" s="2">
        <f>IF(ISNUMBER(SEARCH(Лист2!$B$4,F:F)),1,0)</f>
        <v>0</v>
      </c>
      <c r="H2700" s="3">
        <f ca="1">IF(AND(I2700&lt;&gt;I2699,ISNUMBER(SEARCH(Лист2!$B$5,I:I)),G2700=1),MAX($H$3:OFFSET(H2700,-1,0))+1,0)</f>
        <v>0</v>
      </c>
      <c r="I2700" s="3" t="s">
        <v>219</v>
      </c>
      <c r="K2700" s="2">
        <f>IF(ISNUMBER(SEARCH(Лист2!$B$4,F:F)),1,0)</f>
        <v>0</v>
      </c>
      <c r="L2700" s="14">
        <f>IF(ISNUMBER(SEARCH(Лист2!$B$5,I:I)),1,0)+K2700</f>
        <v>0</v>
      </c>
      <c r="M2700" s="3">
        <f ca="1">IF(AND(N2700&lt;&gt;N2699,ISNUMBER(SEARCH(Лист2!$B$6,N:N)),L2700=2),MAX($M$3:OFFSET(M2700,-1,0))+1,0)</f>
        <v>0</v>
      </c>
      <c r="N2700" s="3" t="s">
        <v>602</v>
      </c>
    </row>
    <row r="2701" spans="1:14" x14ac:dyDescent="0.25">
      <c r="A2701" s="1" t="s">
        <v>11664</v>
      </c>
      <c r="B2701" s="3" t="s">
        <v>6325</v>
      </c>
      <c r="C2701" s="2">
        <f ca="1">IF(ISNUMBER(SEARCH(Лист2!$B$4,D:D)),MAX($C$3:OFFSET(C2701,-1,0))+1,0)</f>
        <v>0</v>
      </c>
      <c r="E2701" s="9" t="str">
        <f t="shared" ca="1" si="54"/>
        <v/>
      </c>
      <c r="F2701" s="4" t="s">
        <v>7</v>
      </c>
      <c r="G2701" s="2">
        <f>IF(ISNUMBER(SEARCH(Лист2!$B$4,F:F)),1,0)</f>
        <v>0</v>
      </c>
      <c r="H2701" s="3">
        <f ca="1">IF(AND(I2701&lt;&gt;I2700,ISNUMBER(SEARCH(Лист2!$B$5,I:I)),G2701=1),MAX($H$3:OFFSET(H2701,-1,0))+1,0)</f>
        <v>0</v>
      </c>
      <c r="I2701" s="3" t="s">
        <v>219</v>
      </c>
      <c r="K2701" s="2">
        <f>IF(ISNUMBER(SEARCH(Лист2!$B$4,F:F)),1,0)</f>
        <v>0</v>
      </c>
      <c r="L2701" s="14">
        <f>IF(ISNUMBER(SEARCH(Лист2!$B$5,I:I)),1,0)+K2701</f>
        <v>0</v>
      </c>
      <c r="M2701" s="3">
        <f ca="1">IF(AND(N2701&lt;&gt;N2700,ISNUMBER(SEARCH(Лист2!$B$6,N:N)),L2701=2),MAX($M$3:OFFSET(M2701,-1,0))+1,0)</f>
        <v>0</v>
      </c>
      <c r="N2701" s="3" t="s">
        <v>1891</v>
      </c>
    </row>
    <row r="2702" spans="1:14" x14ac:dyDescent="0.25">
      <c r="A2702" s="1" t="s">
        <v>11665</v>
      </c>
      <c r="B2702" s="3" t="s">
        <v>6326</v>
      </c>
      <c r="C2702" s="2">
        <f ca="1">IF(ISNUMBER(SEARCH(Лист2!$B$4,D:D)),MAX($C$3:OFFSET(C2702,-1,0))+1,0)</f>
        <v>0</v>
      </c>
      <c r="E2702" s="9" t="str">
        <f t="shared" ca="1" si="54"/>
        <v/>
      </c>
      <c r="F2702" s="4" t="s">
        <v>7</v>
      </c>
      <c r="G2702" s="2">
        <f>IF(ISNUMBER(SEARCH(Лист2!$B$4,F:F)),1,0)</f>
        <v>0</v>
      </c>
      <c r="H2702" s="3">
        <f ca="1">IF(AND(I2702&lt;&gt;I2701,ISNUMBER(SEARCH(Лист2!$B$5,I:I)),G2702=1),MAX($H$3:OFFSET(H2702,-1,0))+1,0)</f>
        <v>0</v>
      </c>
      <c r="I2702" s="3" t="s">
        <v>219</v>
      </c>
      <c r="K2702" s="2">
        <f>IF(ISNUMBER(SEARCH(Лист2!$B$4,F:F)),1,0)</f>
        <v>0</v>
      </c>
      <c r="L2702" s="14">
        <f>IF(ISNUMBER(SEARCH(Лист2!$B$5,I:I)),1,0)+K2702</f>
        <v>0</v>
      </c>
      <c r="M2702" s="3">
        <f ca="1">IF(AND(N2702&lt;&gt;N2701,ISNUMBER(SEARCH(Лист2!$B$6,N:N)),L2702=2),MAX($M$3:OFFSET(M2702,-1,0))+1,0)</f>
        <v>0</v>
      </c>
      <c r="N2702" s="3" t="s">
        <v>1892</v>
      </c>
    </row>
    <row r="2703" spans="1:14" x14ac:dyDescent="0.25">
      <c r="A2703" s="1" t="s">
        <v>11288</v>
      </c>
      <c r="B2703" s="3" t="s">
        <v>6327</v>
      </c>
      <c r="C2703" s="2">
        <f ca="1">IF(ISNUMBER(SEARCH(Лист2!$B$4,D:D)),MAX($C$3:OFFSET(C2703,-1,0))+1,0)</f>
        <v>0</v>
      </c>
      <c r="E2703" s="9" t="str">
        <f t="shared" ca="1" si="54"/>
        <v/>
      </c>
      <c r="F2703" s="4" t="s">
        <v>7</v>
      </c>
      <c r="G2703" s="2">
        <f>IF(ISNUMBER(SEARCH(Лист2!$B$4,F:F)),1,0)</f>
        <v>0</v>
      </c>
      <c r="H2703" s="3">
        <f ca="1">IF(AND(I2703&lt;&gt;I2702,ISNUMBER(SEARCH(Лист2!$B$5,I:I)),G2703=1),MAX($H$3:OFFSET(H2703,-1,0))+1,0)</f>
        <v>0</v>
      </c>
      <c r="I2703" s="3" t="s">
        <v>219</v>
      </c>
      <c r="K2703" s="2">
        <f>IF(ISNUMBER(SEARCH(Лист2!$B$4,F:F)),1,0)</f>
        <v>0</v>
      </c>
      <c r="L2703" s="14">
        <f>IF(ISNUMBER(SEARCH(Лист2!$B$5,I:I)),1,0)+K2703</f>
        <v>0</v>
      </c>
      <c r="M2703" s="3">
        <f ca="1">IF(AND(N2703&lt;&gt;N2702,ISNUMBER(SEARCH(Лист2!$B$6,N:N)),L2703=2),MAX($M$3:OFFSET(M2703,-1,0))+1,0)</f>
        <v>0</v>
      </c>
      <c r="N2703" s="3" t="s">
        <v>1648</v>
      </c>
    </row>
    <row r="2704" spans="1:14" x14ac:dyDescent="0.25">
      <c r="A2704" s="1" t="s">
        <v>11598</v>
      </c>
      <c r="B2704" s="3" t="s">
        <v>6328</v>
      </c>
      <c r="C2704" s="2">
        <f ca="1">IF(ISNUMBER(SEARCH(Лист2!$B$4,D:D)),MAX($C$3:OFFSET(C2704,-1,0))+1,0)</f>
        <v>0</v>
      </c>
      <c r="E2704" s="9" t="str">
        <f t="shared" ca="1" si="54"/>
        <v/>
      </c>
      <c r="F2704" s="4" t="s">
        <v>7</v>
      </c>
      <c r="G2704" s="2">
        <f>IF(ISNUMBER(SEARCH(Лист2!$B$4,F:F)),1,0)</f>
        <v>0</v>
      </c>
      <c r="H2704" s="3">
        <f ca="1">IF(AND(I2704&lt;&gt;I2703,ISNUMBER(SEARCH(Лист2!$B$5,I:I)),G2704=1),MAX($H$3:OFFSET(H2704,-1,0))+1,0)</f>
        <v>0</v>
      </c>
      <c r="I2704" s="3" t="s">
        <v>245</v>
      </c>
      <c r="K2704" s="2">
        <f>IF(ISNUMBER(SEARCH(Лист2!$B$4,F:F)),1,0)</f>
        <v>0</v>
      </c>
      <c r="L2704" s="14">
        <f>IF(ISNUMBER(SEARCH(Лист2!$B$5,I:I)),1,0)+K2704</f>
        <v>0</v>
      </c>
      <c r="M2704" s="3">
        <f ca="1">IF(AND(N2704&lt;&gt;N2703,ISNUMBER(SEARCH(Лист2!$B$6,N:N)),L2704=2),MAX($M$3:OFFSET(M2704,-1,0))+1,0)</f>
        <v>0</v>
      </c>
      <c r="N2704" s="3" t="s">
        <v>1849</v>
      </c>
    </row>
    <row r="2705" spans="1:14" x14ac:dyDescent="0.25">
      <c r="A2705" s="1" t="s">
        <v>11599</v>
      </c>
      <c r="B2705" s="3" t="s">
        <v>6329</v>
      </c>
      <c r="C2705" s="2">
        <f ca="1">IF(ISNUMBER(SEARCH(Лист2!$B$4,D:D)),MAX($C$3:OFFSET(C2705,-1,0))+1,0)</f>
        <v>0</v>
      </c>
      <c r="E2705" s="9" t="str">
        <f t="shared" ca="1" si="54"/>
        <v/>
      </c>
      <c r="F2705" s="4" t="s">
        <v>7</v>
      </c>
      <c r="G2705" s="2">
        <f>IF(ISNUMBER(SEARCH(Лист2!$B$4,F:F)),1,0)</f>
        <v>0</v>
      </c>
      <c r="H2705" s="3">
        <f ca="1">IF(AND(I2705&lt;&gt;I2704,ISNUMBER(SEARCH(Лист2!$B$5,I:I)),G2705=1),MAX($H$3:OFFSET(H2705,-1,0))+1,0)</f>
        <v>0</v>
      </c>
      <c r="I2705" s="3" t="s">
        <v>245</v>
      </c>
      <c r="K2705" s="2">
        <f>IF(ISNUMBER(SEARCH(Лист2!$B$4,F:F)),1,0)</f>
        <v>0</v>
      </c>
      <c r="L2705" s="14">
        <f>IF(ISNUMBER(SEARCH(Лист2!$B$5,I:I)),1,0)+K2705</f>
        <v>0</v>
      </c>
      <c r="M2705" s="3">
        <f ca="1">IF(AND(N2705&lt;&gt;N2704,ISNUMBER(SEARCH(Лист2!$B$6,N:N)),L2705=2),MAX($M$3:OFFSET(M2705,-1,0))+1,0)</f>
        <v>0</v>
      </c>
      <c r="N2705" s="3" t="s">
        <v>1850</v>
      </c>
    </row>
    <row r="2706" spans="1:14" x14ac:dyDescent="0.25">
      <c r="A2706" s="1" t="s">
        <v>11666</v>
      </c>
      <c r="B2706" s="3" t="s">
        <v>6330</v>
      </c>
      <c r="C2706" s="2">
        <f ca="1">IF(ISNUMBER(SEARCH(Лист2!$B$4,D:D)),MAX($C$3:OFFSET(C2706,-1,0))+1,0)</f>
        <v>0</v>
      </c>
      <c r="E2706" s="9" t="str">
        <f t="shared" ca="1" si="54"/>
        <v/>
      </c>
      <c r="F2706" s="4" t="s">
        <v>7</v>
      </c>
      <c r="G2706" s="2">
        <f>IF(ISNUMBER(SEARCH(Лист2!$B$4,F:F)),1,0)</f>
        <v>0</v>
      </c>
      <c r="H2706" s="3">
        <f ca="1">IF(AND(I2706&lt;&gt;I2705,ISNUMBER(SEARCH(Лист2!$B$5,I:I)),G2706=1),MAX($H$3:OFFSET(H2706,-1,0))+1,0)</f>
        <v>0</v>
      </c>
      <c r="I2706" s="3" t="s">
        <v>245</v>
      </c>
      <c r="K2706" s="2">
        <f>IF(ISNUMBER(SEARCH(Лист2!$B$4,F:F)),1,0)</f>
        <v>0</v>
      </c>
      <c r="L2706" s="14">
        <f>IF(ISNUMBER(SEARCH(Лист2!$B$5,I:I)),1,0)+K2706</f>
        <v>0</v>
      </c>
      <c r="M2706" s="3">
        <f ca="1">IF(AND(N2706&lt;&gt;N2705,ISNUMBER(SEARCH(Лист2!$B$6,N:N)),L2706=2),MAX($M$3:OFFSET(M2706,-1,0))+1,0)</f>
        <v>0</v>
      </c>
      <c r="N2706" s="3" t="s">
        <v>1735</v>
      </c>
    </row>
    <row r="2707" spans="1:14" x14ac:dyDescent="0.25">
      <c r="A2707" s="1" t="s">
        <v>11603</v>
      </c>
      <c r="B2707" s="3" t="s">
        <v>6331</v>
      </c>
      <c r="C2707" s="2">
        <f ca="1">IF(ISNUMBER(SEARCH(Лист2!$B$4,D:D)),MAX($C$3:OFFSET(C2707,-1,0))+1,0)</f>
        <v>0</v>
      </c>
      <c r="E2707" s="9" t="str">
        <f t="shared" ca="1" si="54"/>
        <v/>
      </c>
      <c r="F2707" s="4" t="s">
        <v>7</v>
      </c>
      <c r="G2707" s="2">
        <f>IF(ISNUMBER(SEARCH(Лист2!$B$4,F:F)),1,0)</f>
        <v>0</v>
      </c>
      <c r="H2707" s="3">
        <f ca="1">IF(AND(I2707&lt;&gt;I2706,ISNUMBER(SEARCH(Лист2!$B$5,I:I)),G2707=1),MAX($H$3:OFFSET(H2707,-1,0))+1,0)</f>
        <v>0</v>
      </c>
      <c r="I2707" s="3" t="s">
        <v>245</v>
      </c>
      <c r="K2707" s="2">
        <f>IF(ISNUMBER(SEARCH(Лист2!$B$4,F:F)),1,0)</f>
        <v>0</v>
      </c>
      <c r="L2707" s="14">
        <f>IF(ISNUMBER(SEARCH(Лист2!$B$5,I:I)),1,0)+K2707</f>
        <v>0</v>
      </c>
      <c r="M2707" s="3">
        <f ca="1">IF(AND(N2707&lt;&gt;N2706,ISNUMBER(SEARCH(Лист2!$B$6,N:N)),L2707=2),MAX($M$3:OFFSET(M2707,-1,0))+1,0)</f>
        <v>0</v>
      </c>
      <c r="N2707" s="3" t="s">
        <v>1621</v>
      </c>
    </row>
    <row r="2708" spans="1:14" x14ac:dyDescent="0.25">
      <c r="A2708" s="1" t="s">
        <v>11601</v>
      </c>
      <c r="B2708" s="3" t="s">
        <v>6332</v>
      </c>
      <c r="C2708" s="2">
        <f ca="1">IF(ISNUMBER(SEARCH(Лист2!$B$4,D:D)),MAX($C$3:OFFSET(C2708,-1,0))+1,0)</f>
        <v>0</v>
      </c>
      <c r="E2708" s="9" t="str">
        <f t="shared" ca="1" si="54"/>
        <v/>
      </c>
      <c r="F2708" s="4" t="s">
        <v>7</v>
      </c>
      <c r="G2708" s="2">
        <f>IF(ISNUMBER(SEARCH(Лист2!$B$4,F:F)),1,0)</f>
        <v>0</v>
      </c>
      <c r="H2708" s="3">
        <f ca="1">IF(AND(I2708&lt;&gt;I2707,ISNUMBER(SEARCH(Лист2!$B$5,I:I)),G2708=1),MAX($H$3:OFFSET(H2708,-1,0))+1,0)</f>
        <v>0</v>
      </c>
      <c r="I2708" s="3" t="s">
        <v>245</v>
      </c>
      <c r="K2708" s="2">
        <f>IF(ISNUMBER(SEARCH(Лист2!$B$4,F:F)),1,0)</f>
        <v>0</v>
      </c>
      <c r="L2708" s="14">
        <f>IF(ISNUMBER(SEARCH(Лист2!$B$5,I:I)),1,0)+K2708</f>
        <v>0</v>
      </c>
      <c r="M2708" s="3">
        <f ca="1">IF(AND(N2708&lt;&gt;N2707,ISNUMBER(SEARCH(Лист2!$B$6,N:N)),L2708=2),MAX($M$3:OFFSET(M2708,-1,0))+1,0)</f>
        <v>0</v>
      </c>
      <c r="N2708" s="3" t="s">
        <v>1619</v>
      </c>
    </row>
    <row r="2709" spans="1:14" x14ac:dyDescent="0.25">
      <c r="A2709" s="1" t="s">
        <v>11604</v>
      </c>
      <c r="B2709" s="3" t="s">
        <v>6333</v>
      </c>
      <c r="C2709" s="2">
        <f ca="1">IF(ISNUMBER(SEARCH(Лист2!$B$4,D:D)),MAX($C$3:OFFSET(C2709,-1,0))+1,0)</f>
        <v>0</v>
      </c>
      <c r="E2709" s="9" t="str">
        <f t="shared" ca="1" si="54"/>
        <v/>
      </c>
      <c r="F2709" s="4" t="s">
        <v>7</v>
      </c>
      <c r="G2709" s="2">
        <f>IF(ISNUMBER(SEARCH(Лист2!$B$4,F:F)),1,0)</f>
        <v>0</v>
      </c>
      <c r="H2709" s="3">
        <f ca="1">IF(AND(I2709&lt;&gt;I2708,ISNUMBER(SEARCH(Лист2!$B$5,I:I)),G2709=1),MAX($H$3:OFFSET(H2709,-1,0))+1,0)</f>
        <v>0</v>
      </c>
      <c r="I2709" s="3" t="s">
        <v>245</v>
      </c>
      <c r="K2709" s="2">
        <f>IF(ISNUMBER(SEARCH(Лист2!$B$4,F:F)),1,0)</f>
        <v>0</v>
      </c>
      <c r="L2709" s="14">
        <f>IF(ISNUMBER(SEARCH(Лист2!$B$5,I:I)),1,0)+K2709</f>
        <v>0</v>
      </c>
      <c r="M2709" s="3">
        <f ca="1">IF(AND(N2709&lt;&gt;N2708,ISNUMBER(SEARCH(Лист2!$B$6,N:N)),L2709=2),MAX($M$3:OFFSET(M2709,-1,0))+1,0)</f>
        <v>0</v>
      </c>
      <c r="N2709" s="3" t="s">
        <v>602</v>
      </c>
    </row>
    <row r="2710" spans="1:14" x14ac:dyDescent="0.25">
      <c r="A2710" s="1" t="s">
        <v>11605</v>
      </c>
      <c r="B2710" s="3" t="s">
        <v>6334</v>
      </c>
      <c r="C2710" s="2">
        <f ca="1">IF(ISNUMBER(SEARCH(Лист2!$B$4,D:D)),MAX($C$3:OFFSET(C2710,-1,0))+1,0)</f>
        <v>0</v>
      </c>
      <c r="E2710" s="9" t="str">
        <f t="shared" ca="1" si="54"/>
        <v/>
      </c>
      <c r="F2710" s="4" t="s">
        <v>7</v>
      </c>
      <c r="G2710" s="2">
        <f>IF(ISNUMBER(SEARCH(Лист2!$B$4,F:F)),1,0)</f>
        <v>0</v>
      </c>
      <c r="H2710" s="3">
        <f ca="1">IF(AND(I2710&lt;&gt;I2709,ISNUMBER(SEARCH(Лист2!$B$5,I:I)),G2710=1),MAX($H$3:OFFSET(H2710,-1,0))+1,0)</f>
        <v>0</v>
      </c>
      <c r="I2710" s="3" t="s">
        <v>245</v>
      </c>
      <c r="K2710" s="2">
        <f>IF(ISNUMBER(SEARCH(Лист2!$B$4,F:F)),1,0)</f>
        <v>0</v>
      </c>
      <c r="L2710" s="14">
        <f>IF(ISNUMBER(SEARCH(Лист2!$B$5,I:I)),1,0)+K2710</f>
        <v>0</v>
      </c>
      <c r="M2710" s="3">
        <f ca="1">IF(AND(N2710&lt;&gt;N2709,ISNUMBER(SEARCH(Лист2!$B$6,N:N)),L2710=2),MAX($M$3:OFFSET(M2710,-1,0))+1,0)</f>
        <v>0</v>
      </c>
      <c r="N2710" s="3" t="s">
        <v>1852</v>
      </c>
    </row>
    <row r="2711" spans="1:14" x14ac:dyDescent="0.25">
      <c r="A2711" s="1" t="s">
        <v>11606</v>
      </c>
      <c r="B2711" s="3" t="s">
        <v>6335</v>
      </c>
      <c r="C2711" s="2">
        <f ca="1">IF(ISNUMBER(SEARCH(Лист2!$B$4,D:D)),MAX($C$3:OFFSET(C2711,-1,0))+1,0)</f>
        <v>0</v>
      </c>
      <c r="E2711" s="9" t="str">
        <f t="shared" ca="1" si="54"/>
        <v/>
      </c>
      <c r="F2711" s="4" t="s">
        <v>7</v>
      </c>
      <c r="G2711" s="2">
        <f>IF(ISNUMBER(SEARCH(Лист2!$B$4,F:F)),1,0)</f>
        <v>0</v>
      </c>
      <c r="H2711" s="3">
        <f ca="1">IF(AND(I2711&lt;&gt;I2710,ISNUMBER(SEARCH(Лист2!$B$5,I:I)),G2711=1),MAX($H$3:OFFSET(H2711,-1,0))+1,0)</f>
        <v>0</v>
      </c>
      <c r="I2711" s="3" t="s">
        <v>245</v>
      </c>
      <c r="K2711" s="2">
        <f>IF(ISNUMBER(SEARCH(Лист2!$B$4,F:F)),1,0)</f>
        <v>0</v>
      </c>
      <c r="L2711" s="14">
        <f>IF(ISNUMBER(SEARCH(Лист2!$B$5,I:I)),1,0)+K2711</f>
        <v>0</v>
      </c>
      <c r="M2711" s="3">
        <f ca="1">IF(AND(N2711&lt;&gt;N2710,ISNUMBER(SEARCH(Лист2!$B$6,N:N)),L2711=2),MAX($M$3:OFFSET(M2711,-1,0))+1,0)</f>
        <v>0</v>
      </c>
      <c r="N2711" s="3" t="s">
        <v>1853</v>
      </c>
    </row>
    <row r="2712" spans="1:14" x14ac:dyDescent="0.25">
      <c r="A2712" s="1" t="s">
        <v>11607</v>
      </c>
      <c r="B2712" s="3" t="s">
        <v>6336</v>
      </c>
      <c r="C2712" s="2">
        <f ca="1">IF(ISNUMBER(SEARCH(Лист2!$B$4,D:D)),MAX($C$3:OFFSET(C2712,-1,0))+1,0)</f>
        <v>0</v>
      </c>
      <c r="E2712" s="9" t="str">
        <f t="shared" ca="1" si="54"/>
        <v/>
      </c>
      <c r="F2712" s="4" t="s">
        <v>7</v>
      </c>
      <c r="G2712" s="2">
        <f>IF(ISNUMBER(SEARCH(Лист2!$B$4,F:F)),1,0)</f>
        <v>0</v>
      </c>
      <c r="H2712" s="3">
        <f ca="1">IF(AND(I2712&lt;&gt;I2711,ISNUMBER(SEARCH(Лист2!$B$5,I:I)),G2712=1),MAX($H$3:OFFSET(H2712,-1,0))+1,0)</f>
        <v>0</v>
      </c>
      <c r="I2712" s="3" t="s">
        <v>245</v>
      </c>
      <c r="K2712" s="2">
        <f>IF(ISNUMBER(SEARCH(Лист2!$B$4,F:F)),1,0)</f>
        <v>0</v>
      </c>
      <c r="L2712" s="14">
        <f>IF(ISNUMBER(SEARCH(Лист2!$B$5,I:I)),1,0)+K2712</f>
        <v>0</v>
      </c>
      <c r="M2712" s="3">
        <f ca="1">IF(AND(N2712&lt;&gt;N2711,ISNUMBER(SEARCH(Лист2!$B$6,N:N)),L2712=2),MAX($M$3:OFFSET(M2712,-1,0))+1,0)</f>
        <v>0</v>
      </c>
      <c r="N2712" s="3" t="s">
        <v>1854</v>
      </c>
    </row>
    <row r="2713" spans="1:14" x14ac:dyDescent="0.25">
      <c r="A2713" s="1" t="s">
        <v>11667</v>
      </c>
      <c r="B2713" s="3" t="s">
        <v>6337</v>
      </c>
      <c r="C2713" s="2">
        <f ca="1">IF(ISNUMBER(SEARCH(Лист2!$B$4,D:D)),MAX($C$3:OFFSET(C2713,-1,0))+1,0)</f>
        <v>0</v>
      </c>
      <c r="E2713" s="9" t="str">
        <f t="shared" ca="1" si="54"/>
        <v/>
      </c>
      <c r="F2713" s="4" t="s">
        <v>7</v>
      </c>
      <c r="G2713" s="2">
        <f>IF(ISNUMBER(SEARCH(Лист2!$B$4,F:F)),1,0)</f>
        <v>0</v>
      </c>
      <c r="H2713" s="3">
        <f ca="1">IF(AND(I2713&lt;&gt;I2712,ISNUMBER(SEARCH(Лист2!$B$5,I:I)),G2713=1),MAX($H$3:OFFSET(H2713,-1,0))+1,0)</f>
        <v>0</v>
      </c>
      <c r="I2713" s="3" t="s">
        <v>225</v>
      </c>
      <c r="K2713" s="2">
        <f>IF(ISNUMBER(SEARCH(Лист2!$B$4,F:F)),1,0)</f>
        <v>0</v>
      </c>
      <c r="L2713" s="14">
        <f>IF(ISNUMBER(SEARCH(Лист2!$B$5,I:I)),1,0)+K2713</f>
        <v>0</v>
      </c>
      <c r="M2713" s="3">
        <f ca="1">IF(AND(N2713&lt;&gt;N2712,ISNUMBER(SEARCH(Лист2!$B$6,N:N)),L2713=2),MAX($M$3:OFFSET(M2713,-1,0))+1,0)</f>
        <v>0</v>
      </c>
      <c r="N2713" s="3" t="s">
        <v>1893</v>
      </c>
    </row>
    <row r="2714" spans="1:14" x14ac:dyDescent="0.25">
      <c r="A2714" s="1" t="s">
        <v>11668</v>
      </c>
      <c r="B2714" s="3" t="s">
        <v>6338</v>
      </c>
      <c r="C2714" s="2">
        <f ca="1">IF(ISNUMBER(SEARCH(Лист2!$B$4,D:D)),MAX($C$3:OFFSET(C2714,-1,0))+1,0)</f>
        <v>0</v>
      </c>
      <c r="E2714" s="9" t="str">
        <f t="shared" ca="1" si="54"/>
        <v/>
      </c>
      <c r="F2714" s="4" t="s">
        <v>7</v>
      </c>
      <c r="G2714" s="2">
        <f>IF(ISNUMBER(SEARCH(Лист2!$B$4,F:F)),1,0)</f>
        <v>0</v>
      </c>
      <c r="H2714" s="3">
        <f ca="1">IF(AND(I2714&lt;&gt;I2713,ISNUMBER(SEARCH(Лист2!$B$5,I:I)),G2714=1),MAX($H$3:OFFSET(H2714,-1,0))+1,0)</f>
        <v>0</v>
      </c>
      <c r="I2714" s="3" t="s">
        <v>225</v>
      </c>
      <c r="K2714" s="2">
        <f>IF(ISNUMBER(SEARCH(Лист2!$B$4,F:F)),1,0)</f>
        <v>0</v>
      </c>
      <c r="L2714" s="14">
        <f>IF(ISNUMBER(SEARCH(Лист2!$B$5,I:I)),1,0)+K2714</f>
        <v>0</v>
      </c>
      <c r="M2714" s="3">
        <f ca="1">IF(AND(N2714&lt;&gt;N2713,ISNUMBER(SEARCH(Лист2!$B$6,N:N)),L2714=2),MAX($M$3:OFFSET(M2714,-1,0))+1,0)</f>
        <v>0</v>
      </c>
      <c r="N2714" s="3" t="s">
        <v>1894</v>
      </c>
    </row>
    <row r="2715" spans="1:14" x14ac:dyDescent="0.25">
      <c r="A2715" s="1" t="s">
        <v>11669</v>
      </c>
      <c r="B2715" s="3" t="s">
        <v>6339</v>
      </c>
      <c r="C2715" s="2">
        <f ca="1">IF(ISNUMBER(SEARCH(Лист2!$B$4,D:D)),MAX($C$3:OFFSET(C2715,-1,0))+1,0)</f>
        <v>0</v>
      </c>
      <c r="E2715" s="9" t="str">
        <f t="shared" ca="1" si="54"/>
        <v/>
      </c>
      <c r="F2715" s="4" t="s">
        <v>7</v>
      </c>
      <c r="G2715" s="2">
        <f>IF(ISNUMBER(SEARCH(Лист2!$B$4,F:F)),1,0)</f>
        <v>0</v>
      </c>
      <c r="H2715" s="3">
        <f ca="1">IF(AND(I2715&lt;&gt;I2714,ISNUMBER(SEARCH(Лист2!$B$5,I:I)),G2715=1),MAX($H$3:OFFSET(H2715,-1,0))+1,0)</f>
        <v>0</v>
      </c>
      <c r="I2715" s="3" t="s">
        <v>225</v>
      </c>
      <c r="K2715" s="2">
        <f>IF(ISNUMBER(SEARCH(Лист2!$B$4,F:F)),1,0)</f>
        <v>0</v>
      </c>
      <c r="L2715" s="14">
        <f>IF(ISNUMBER(SEARCH(Лист2!$B$5,I:I)),1,0)+K2715</f>
        <v>0</v>
      </c>
      <c r="M2715" s="3">
        <f ca="1">IF(AND(N2715&lt;&gt;N2714,ISNUMBER(SEARCH(Лист2!$B$6,N:N)),L2715=2),MAX($M$3:OFFSET(M2715,-1,0))+1,0)</f>
        <v>0</v>
      </c>
      <c r="N2715" s="3" t="s">
        <v>1735</v>
      </c>
    </row>
    <row r="2716" spans="1:14" x14ac:dyDescent="0.25">
      <c r="A2716" s="1" t="s">
        <v>11341</v>
      </c>
      <c r="B2716" s="3" t="s">
        <v>6340</v>
      </c>
      <c r="C2716" s="2">
        <f ca="1">IF(ISNUMBER(SEARCH(Лист2!$B$4,D:D)),MAX($C$3:OFFSET(C2716,-1,0))+1,0)</f>
        <v>0</v>
      </c>
      <c r="E2716" s="9" t="str">
        <f t="shared" ca="1" si="54"/>
        <v/>
      </c>
      <c r="F2716" s="4" t="s">
        <v>7</v>
      </c>
      <c r="G2716" s="2">
        <f>IF(ISNUMBER(SEARCH(Лист2!$B$4,F:F)),1,0)</f>
        <v>0</v>
      </c>
      <c r="H2716" s="3">
        <f ca="1">IF(AND(I2716&lt;&gt;I2715,ISNUMBER(SEARCH(Лист2!$B$5,I:I)),G2716=1),MAX($H$3:OFFSET(H2716,-1,0))+1,0)</f>
        <v>0</v>
      </c>
      <c r="I2716" s="3" t="s">
        <v>225</v>
      </c>
      <c r="K2716" s="2">
        <f>IF(ISNUMBER(SEARCH(Лист2!$B$4,F:F)),1,0)</f>
        <v>0</v>
      </c>
      <c r="L2716" s="14">
        <f>IF(ISNUMBER(SEARCH(Лист2!$B$5,I:I)),1,0)+K2716</f>
        <v>0</v>
      </c>
      <c r="M2716" s="3">
        <f ca="1">IF(AND(N2716&lt;&gt;N2715,ISNUMBER(SEARCH(Лист2!$B$6,N:N)),L2716=2),MAX($M$3:OFFSET(M2716,-1,0))+1,0)</f>
        <v>0</v>
      </c>
      <c r="N2716" s="3" t="s">
        <v>1634</v>
      </c>
    </row>
    <row r="2717" spans="1:14" x14ac:dyDescent="0.25">
      <c r="A2717" s="1" t="s">
        <v>11339</v>
      </c>
      <c r="B2717" s="3" t="s">
        <v>6341</v>
      </c>
      <c r="C2717" s="2">
        <f ca="1">IF(ISNUMBER(SEARCH(Лист2!$B$4,D:D)),MAX($C$3:OFFSET(C2717,-1,0))+1,0)</f>
        <v>0</v>
      </c>
      <c r="E2717" s="9" t="str">
        <f t="shared" ca="1" si="54"/>
        <v/>
      </c>
      <c r="F2717" s="4" t="s">
        <v>7</v>
      </c>
      <c r="G2717" s="2">
        <f>IF(ISNUMBER(SEARCH(Лист2!$B$4,F:F)),1,0)</f>
        <v>0</v>
      </c>
      <c r="H2717" s="3">
        <f ca="1">IF(AND(I2717&lt;&gt;I2716,ISNUMBER(SEARCH(Лист2!$B$5,I:I)),G2717=1),MAX($H$3:OFFSET(H2717,-1,0))+1,0)</f>
        <v>0</v>
      </c>
      <c r="I2717" s="3" t="s">
        <v>225</v>
      </c>
      <c r="K2717" s="2">
        <f>IF(ISNUMBER(SEARCH(Лист2!$B$4,F:F)),1,0)</f>
        <v>0</v>
      </c>
      <c r="L2717" s="14">
        <f>IF(ISNUMBER(SEARCH(Лист2!$B$5,I:I)),1,0)+K2717</f>
        <v>0</v>
      </c>
      <c r="M2717" s="3">
        <f ca="1">IF(AND(N2717&lt;&gt;N2716,ISNUMBER(SEARCH(Лист2!$B$6,N:N)),L2717=2),MAX($M$3:OFFSET(M2717,-1,0))+1,0)</f>
        <v>0</v>
      </c>
      <c r="N2717" s="3" t="s">
        <v>1678</v>
      </c>
    </row>
    <row r="2718" spans="1:14" x14ac:dyDescent="0.25">
      <c r="A2718" s="1" t="s">
        <v>11342</v>
      </c>
      <c r="B2718" s="3" t="s">
        <v>6342</v>
      </c>
      <c r="C2718" s="2">
        <f ca="1">IF(ISNUMBER(SEARCH(Лист2!$B$4,D:D)),MAX($C$3:OFFSET(C2718,-1,0))+1,0)</f>
        <v>0</v>
      </c>
      <c r="E2718" s="9" t="str">
        <f t="shared" ca="1" si="54"/>
        <v/>
      </c>
      <c r="F2718" s="4" t="s">
        <v>7</v>
      </c>
      <c r="G2718" s="2">
        <f>IF(ISNUMBER(SEARCH(Лист2!$B$4,F:F)),1,0)</f>
        <v>0</v>
      </c>
      <c r="H2718" s="3">
        <f ca="1">IF(AND(I2718&lt;&gt;I2717,ISNUMBER(SEARCH(Лист2!$B$5,I:I)),G2718=1),MAX($H$3:OFFSET(H2718,-1,0))+1,0)</f>
        <v>0</v>
      </c>
      <c r="I2718" s="3" t="s">
        <v>225</v>
      </c>
      <c r="K2718" s="2">
        <f>IF(ISNUMBER(SEARCH(Лист2!$B$4,F:F)),1,0)</f>
        <v>0</v>
      </c>
      <c r="L2718" s="14">
        <f>IF(ISNUMBER(SEARCH(Лист2!$B$5,I:I)),1,0)+K2718</f>
        <v>0</v>
      </c>
      <c r="M2718" s="3">
        <f ca="1">IF(AND(N2718&lt;&gt;N2717,ISNUMBER(SEARCH(Лист2!$B$6,N:N)),L2718=2),MAX($M$3:OFFSET(M2718,-1,0))+1,0)</f>
        <v>0</v>
      </c>
      <c r="N2718" s="3" t="s">
        <v>602</v>
      </c>
    </row>
    <row r="2719" spans="1:14" x14ac:dyDescent="0.25">
      <c r="A2719" s="1" t="s">
        <v>11670</v>
      </c>
      <c r="B2719" s="3" t="s">
        <v>6343</v>
      </c>
      <c r="C2719" s="2">
        <f ca="1">IF(ISNUMBER(SEARCH(Лист2!$B$4,D:D)),MAX($C$3:OFFSET(C2719,-1,0))+1,0)</f>
        <v>0</v>
      </c>
      <c r="E2719" s="9" t="str">
        <f t="shared" ca="1" si="54"/>
        <v/>
      </c>
      <c r="F2719" s="4" t="s">
        <v>7</v>
      </c>
      <c r="G2719" s="2">
        <f>IF(ISNUMBER(SEARCH(Лист2!$B$4,F:F)),1,0)</f>
        <v>0</v>
      </c>
      <c r="H2719" s="3">
        <f ca="1">IF(AND(I2719&lt;&gt;I2718,ISNUMBER(SEARCH(Лист2!$B$5,I:I)),G2719=1),MAX($H$3:OFFSET(H2719,-1,0))+1,0)</f>
        <v>0</v>
      </c>
      <c r="I2719" s="3" t="s">
        <v>225</v>
      </c>
      <c r="K2719" s="2">
        <f>IF(ISNUMBER(SEARCH(Лист2!$B$4,F:F)),1,0)</f>
        <v>0</v>
      </c>
      <c r="L2719" s="14">
        <f>IF(ISNUMBER(SEARCH(Лист2!$B$5,I:I)),1,0)+K2719</f>
        <v>0</v>
      </c>
      <c r="M2719" s="3">
        <f ca="1">IF(AND(N2719&lt;&gt;N2718,ISNUMBER(SEARCH(Лист2!$B$6,N:N)),L2719=2),MAX($M$3:OFFSET(M2719,-1,0))+1,0)</f>
        <v>0</v>
      </c>
      <c r="N2719" s="3" t="s">
        <v>1895</v>
      </c>
    </row>
    <row r="2720" spans="1:14" x14ac:dyDescent="0.25">
      <c r="A2720" s="1" t="s">
        <v>11671</v>
      </c>
      <c r="B2720" s="3" t="s">
        <v>6344</v>
      </c>
      <c r="C2720" s="2">
        <f ca="1">IF(ISNUMBER(SEARCH(Лист2!$B$4,D:D)),MAX($C$3:OFFSET(C2720,-1,0))+1,0)</f>
        <v>0</v>
      </c>
      <c r="E2720" s="9" t="str">
        <f t="shared" ca="1" si="54"/>
        <v/>
      </c>
      <c r="F2720" s="4" t="s">
        <v>7</v>
      </c>
      <c r="G2720" s="2">
        <f>IF(ISNUMBER(SEARCH(Лист2!$B$4,F:F)),1,0)</f>
        <v>0</v>
      </c>
      <c r="H2720" s="3">
        <f ca="1">IF(AND(I2720&lt;&gt;I2719,ISNUMBER(SEARCH(Лист2!$B$5,I:I)),G2720=1),MAX($H$3:OFFSET(H2720,-1,0))+1,0)</f>
        <v>0</v>
      </c>
      <c r="I2720" s="3" t="s">
        <v>225</v>
      </c>
      <c r="K2720" s="2">
        <f>IF(ISNUMBER(SEARCH(Лист2!$B$4,F:F)),1,0)</f>
        <v>0</v>
      </c>
      <c r="L2720" s="14">
        <f>IF(ISNUMBER(SEARCH(Лист2!$B$5,I:I)),1,0)+K2720</f>
        <v>0</v>
      </c>
      <c r="M2720" s="3">
        <f ca="1">IF(AND(N2720&lt;&gt;N2719,ISNUMBER(SEARCH(Лист2!$B$6,N:N)),L2720=2),MAX($M$3:OFFSET(M2720,-1,0))+1,0)</f>
        <v>0</v>
      </c>
      <c r="N2720" s="3" t="s">
        <v>1896</v>
      </c>
    </row>
    <row r="2721" spans="1:14" x14ac:dyDescent="0.25">
      <c r="A2721" s="1" t="s">
        <v>11672</v>
      </c>
      <c r="B2721" s="3" t="s">
        <v>6345</v>
      </c>
      <c r="C2721" s="2">
        <f ca="1">IF(ISNUMBER(SEARCH(Лист2!$B$4,D:D)),MAX($C$3:OFFSET(C2721,-1,0))+1,0)</f>
        <v>0</v>
      </c>
      <c r="E2721" s="9" t="str">
        <f t="shared" ca="1" si="54"/>
        <v/>
      </c>
      <c r="F2721" s="4" t="s">
        <v>7</v>
      </c>
      <c r="G2721" s="2">
        <f>IF(ISNUMBER(SEARCH(Лист2!$B$4,F:F)),1,0)</f>
        <v>0</v>
      </c>
      <c r="H2721" s="3">
        <f ca="1">IF(AND(I2721&lt;&gt;I2720,ISNUMBER(SEARCH(Лист2!$B$5,I:I)),G2721=1),MAX($H$3:OFFSET(H2721,-1,0))+1,0)</f>
        <v>0</v>
      </c>
      <c r="I2721" s="3" t="s">
        <v>225</v>
      </c>
      <c r="K2721" s="2">
        <f>IF(ISNUMBER(SEARCH(Лист2!$B$4,F:F)),1,0)</f>
        <v>0</v>
      </c>
      <c r="L2721" s="14">
        <f>IF(ISNUMBER(SEARCH(Лист2!$B$5,I:I)),1,0)+K2721</f>
        <v>0</v>
      </c>
      <c r="M2721" s="3">
        <f ca="1">IF(AND(N2721&lt;&gt;N2720,ISNUMBER(SEARCH(Лист2!$B$6,N:N)),L2721=2),MAX($M$3:OFFSET(M2721,-1,0))+1,0)</f>
        <v>0</v>
      </c>
      <c r="N2721" s="3" t="s">
        <v>1897</v>
      </c>
    </row>
    <row r="2722" spans="1:14" x14ac:dyDescent="0.25">
      <c r="A2722" s="1" t="s">
        <v>11673</v>
      </c>
      <c r="B2722" s="3" t="s">
        <v>6346</v>
      </c>
      <c r="C2722" s="2">
        <f ca="1">IF(ISNUMBER(SEARCH(Лист2!$B$4,D:D)),MAX($C$3:OFFSET(C2722,-1,0))+1,0)</f>
        <v>0</v>
      </c>
      <c r="E2722" s="9" t="str">
        <f t="shared" ca="1" si="54"/>
        <v/>
      </c>
      <c r="F2722" s="4" t="s">
        <v>7</v>
      </c>
      <c r="G2722" s="2">
        <f>IF(ISNUMBER(SEARCH(Лист2!$B$4,F:F)),1,0)</f>
        <v>0</v>
      </c>
      <c r="H2722" s="3">
        <f ca="1">IF(AND(I2722&lt;&gt;I2721,ISNUMBER(SEARCH(Лист2!$B$5,I:I)),G2722=1),MAX($H$3:OFFSET(H2722,-1,0))+1,0)</f>
        <v>0</v>
      </c>
      <c r="I2722" s="3" t="s">
        <v>226</v>
      </c>
      <c r="K2722" s="2">
        <f>IF(ISNUMBER(SEARCH(Лист2!$B$4,F:F)),1,0)</f>
        <v>0</v>
      </c>
      <c r="L2722" s="14">
        <f>IF(ISNUMBER(SEARCH(Лист2!$B$5,I:I)),1,0)+K2722</f>
        <v>0</v>
      </c>
      <c r="M2722" s="3">
        <f ca="1">IF(AND(N2722&lt;&gt;N2721,ISNUMBER(SEARCH(Лист2!$B$6,N:N)),L2722=2),MAX($M$3:OFFSET(M2722,-1,0))+1,0)</f>
        <v>0</v>
      </c>
      <c r="N2722" s="3" t="s">
        <v>1898</v>
      </c>
    </row>
    <row r="2723" spans="1:14" x14ac:dyDescent="0.25">
      <c r="A2723" s="1" t="s">
        <v>11674</v>
      </c>
      <c r="B2723" s="3" t="s">
        <v>6347</v>
      </c>
      <c r="C2723" s="2">
        <f ca="1">IF(ISNUMBER(SEARCH(Лист2!$B$4,D:D)),MAX($C$3:OFFSET(C2723,-1,0))+1,0)</f>
        <v>0</v>
      </c>
      <c r="E2723" s="9" t="str">
        <f t="shared" ca="1" si="54"/>
        <v/>
      </c>
      <c r="F2723" s="4" t="s">
        <v>7</v>
      </c>
      <c r="G2723" s="2">
        <f>IF(ISNUMBER(SEARCH(Лист2!$B$4,F:F)),1,0)</f>
        <v>0</v>
      </c>
      <c r="H2723" s="3">
        <f ca="1">IF(AND(I2723&lt;&gt;I2722,ISNUMBER(SEARCH(Лист2!$B$5,I:I)),G2723=1),MAX($H$3:OFFSET(H2723,-1,0))+1,0)</f>
        <v>0</v>
      </c>
      <c r="I2723" s="3" t="s">
        <v>226</v>
      </c>
      <c r="K2723" s="2">
        <f>IF(ISNUMBER(SEARCH(Лист2!$B$4,F:F)),1,0)</f>
        <v>0</v>
      </c>
      <c r="L2723" s="14">
        <f>IF(ISNUMBER(SEARCH(Лист2!$B$5,I:I)),1,0)+K2723</f>
        <v>0</v>
      </c>
      <c r="M2723" s="3">
        <f ca="1">IF(AND(N2723&lt;&gt;N2722,ISNUMBER(SEARCH(Лист2!$B$6,N:N)),L2723=2),MAX($M$3:OFFSET(M2723,-1,0))+1,0)</f>
        <v>0</v>
      </c>
      <c r="N2723" s="3" t="s">
        <v>1899</v>
      </c>
    </row>
    <row r="2724" spans="1:14" x14ac:dyDescent="0.25">
      <c r="A2724" s="1" t="s">
        <v>11675</v>
      </c>
      <c r="B2724" s="3" t="s">
        <v>6348</v>
      </c>
      <c r="C2724" s="2">
        <f ca="1">IF(ISNUMBER(SEARCH(Лист2!$B$4,D:D)),MAX($C$3:OFFSET(C2724,-1,0))+1,0)</f>
        <v>0</v>
      </c>
      <c r="E2724" s="9" t="str">
        <f t="shared" ca="1" si="54"/>
        <v/>
      </c>
      <c r="F2724" s="4" t="s">
        <v>7</v>
      </c>
      <c r="G2724" s="2">
        <f>IF(ISNUMBER(SEARCH(Лист2!$B$4,F:F)),1,0)</f>
        <v>0</v>
      </c>
      <c r="H2724" s="3">
        <f ca="1">IF(AND(I2724&lt;&gt;I2723,ISNUMBER(SEARCH(Лист2!$B$5,I:I)),G2724=1),MAX($H$3:OFFSET(H2724,-1,0))+1,0)</f>
        <v>0</v>
      </c>
      <c r="I2724" s="3" t="s">
        <v>226</v>
      </c>
      <c r="K2724" s="2">
        <f>IF(ISNUMBER(SEARCH(Лист2!$B$4,F:F)),1,0)</f>
        <v>0</v>
      </c>
      <c r="L2724" s="14">
        <f>IF(ISNUMBER(SEARCH(Лист2!$B$5,I:I)),1,0)+K2724</f>
        <v>0</v>
      </c>
      <c r="M2724" s="3">
        <f ca="1">IF(AND(N2724&lt;&gt;N2723,ISNUMBER(SEARCH(Лист2!$B$6,N:N)),L2724=2),MAX($M$3:OFFSET(M2724,-1,0))+1,0)</f>
        <v>0</v>
      </c>
      <c r="N2724" s="3" t="s">
        <v>1735</v>
      </c>
    </row>
    <row r="2725" spans="1:14" x14ac:dyDescent="0.25">
      <c r="A2725" s="1" t="s">
        <v>11350</v>
      </c>
      <c r="B2725" s="3" t="s">
        <v>6349</v>
      </c>
      <c r="C2725" s="2">
        <f ca="1">IF(ISNUMBER(SEARCH(Лист2!$B$4,D:D)),MAX($C$3:OFFSET(C2725,-1,0))+1,0)</f>
        <v>0</v>
      </c>
      <c r="E2725" s="9" t="str">
        <f t="shared" ca="1" si="54"/>
        <v/>
      </c>
      <c r="F2725" s="4" t="s">
        <v>7</v>
      </c>
      <c r="G2725" s="2">
        <f>IF(ISNUMBER(SEARCH(Лист2!$B$4,F:F)),1,0)</f>
        <v>0</v>
      </c>
      <c r="H2725" s="3">
        <f ca="1">IF(AND(I2725&lt;&gt;I2724,ISNUMBER(SEARCH(Лист2!$B$5,I:I)),G2725=1),MAX($H$3:OFFSET(H2725,-1,0))+1,0)</f>
        <v>0</v>
      </c>
      <c r="I2725" s="3" t="s">
        <v>226</v>
      </c>
      <c r="K2725" s="2">
        <f>IF(ISNUMBER(SEARCH(Лист2!$B$4,F:F)),1,0)</f>
        <v>0</v>
      </c>
      <c r="L2725" s="14">
        <f>IF(ISNUMBER(SEARCH(Лист2!$B$5,I:I)),1,0)+K2725</f>
        <v>0</v>
      </c>
      <c r="M2725" s="3">
        <f ca="1">IF(AND(N2725&lt;&gt;N2724,ISNUMBER(SEARCH(Лист2!$B$6,N:N)),L2725=2),MAX($M$3:OFFSET(M2725,-1,0))+1,0)</f>
        <v>0</v>
      </c>
      <c r="N2725" s="3" t="s">
        <v>1634</v>
      </c>
    </row>
    <row r="2726" spans="1:14" x14ac:dyDescent="0.25">
      <c r="A2726" s="1" t="s">
        <v>11570</v>
      </c>
      <c r="B2726" s="3" t="s">
        <v>6350</v>
      </c>
      <c r="C2726" s="2">
        <f ca="1">IF(ISNUMBER(SEARCH(Лист2!$B$4,D:D)),MAX($C$3:OFFSET(C2726,-1,0))+1,0)</f>
        <v>0</v>
      </c>
      <c r="E2726" s="9" t="str">
        <f t="shared" ca="1" si="54"/>
        <v/>
      </c>
      <c r="F2726" s="4" t="s">
        <v>7</v>
      </c>
      <c r="G2726" s="2">
        <f>IF(ISNUMBER(SEARCH(Лист2!$B$4,F:F)),1,0)</f>
        <v>0</v>
      </c>
      <c r="H2726" s="3">
        <f ca="1">IF(AND(I2726&lt;&gt;I2725,ISNUMBER(SEARCH(Лист2!$B$5,I:I)),G2726=1),MAX($H$3:OFFSET(H2726,-1,0))+1,0)</f>
        <v>0</v>
      </c>
      <c r="I2726" s="3" t="s">
        <v>226</v>
      </c>
      <c r="K2726" s="2">
        <f>IF(ISNUMBER(SEARCH(Лист2!$B$4,F:F)),1,0)</f>
        <v>0</v>
      </c>
      <c r="L2726" s="14">
        <f>IF(ISNUMBER(SEARCH(Лист2!$B$5,I:I)),1,0)+K2726</f>
        <v>0</v>
      </c>
      <c r="M2726" s="3">
        <f ca="1">IF(AND(N2726&lt;&gt;N2725,ISNUMBER(SEARCH(Лист2!$B$6,N:N)),L2726=2),MAX($M$3:OFFSET(M2726,-1,0))+1,0)</f>
        <v>0</v>
      </c>
      <c r="N2726" s="3" t="s">
        <v>1678</v>
      </c>
    </row>
    <row r="2727" spans="1:14" x14ac:dyDescent="0.25">
      <c r="A2727" s="1" t="s">
        <v>11351</v>
      </c>
      <c r="B2727" s="3" t="s">
        <v>6351</v>
      </c>
      <c r="C2727" s="2">
        <f ca="1">IF(ISNUMBER(SEARCH(Лист2!$B$4,D:D)),MAX($C$3:OFFSET(C2727,-1,0))+1,0)</f>
        <v>0</v>
      </c>
      <c r="E2727" s="9" t="str">
        <f t="shared" ca="1" si="54"/>
        <v/>
      </c>
      <c r="F2727" s="4" t="s">
        <v>7</v>
      </c>
      <c r="G2727" s="2">
        <f>IF(ISNUMBER(SEARCH(Лист2!$B$4,F:F)),1,0)</f>
        <v>0</v>
      </c>
      <c r="H2727" s="3">
        <f ca="1">IF(AND(I2727&lt;&gt;I2726,ISNUMBER(SEARCH(Лист2!$B$5,I:I)),G2727=1),MAX($H$3:OFFSET(H2727,-1,0))+1,0)</f>
        <v>0</v>
      </c>
      <c r="I2727" s="3" t="s">
        <v>226</v>
      </c>
      <c r="K2727" s="2">
        <f>IF(ISNUMBER(SEARCH(Лист2!$B$4,F:F)),1,0)</f>
        <v>0</v>
      </c>
      <c r="L2727" s="14">
        <f>IF(ISNUMBER(SEARCH(Лист2!$B$5,I:I)),1,0)+K2727</f>
        <v>0</v>
      </c>
      <c r="M2727" s="3">
        <f ca="1">IF(AND(N2727&lt;&gt;N2726,ISNUMBER(SEARCH(Лист2!$B$6,N:N)),L2727=2),MAX($M$3:OFFSET(M2727,-1,0))+1,0)</f>
        <v>0</v>
      </c>
      <c r="N2727" s="3" t="s">
        <v>602</v>
      </c>
    </row>
    <row r="2728" spans="1:14" x14ac:dyDescent="0.25">
      <c r="A2728" s="1" t="s">
        <v>11676</v>
      </c>
      <c r="B2728" s="3" t="s">
        <v>6352</v>
      </c>
      <c r="C2728" s="2">
        <f ca="1">IF(ISNUMBER(SEARCH(Лист2!$B$4,D:D)),MAX($C$3:OFFSET(C2728,-1,0))+1,0)</f>
        <v>0</v>
      </c>
      <c r="E2728" s="9" t="str">
        <f t="shared" ca="1" si="54"/>
        <v/>
      </c>
      <c r="F2728" s="4" t="s">
        <v>7</v>
      </c>
      <c r="G2728" s="2">
        <f>IF(ISNUMBER(SEARCH(Лист2!$B$4,F:F)),1,0)</f>
        <v>0</v>
      </c>
      <c r="H2728" s="3">
        <f ca="1">IF(AND(I2728&lt;&gt;I2727,ISNUMBER(SEARCH(Лист2!$B$5,I:I)),G2728=1),MAX($H$3:OFFSET(H2728,-1,0))+1,0)</f>
        <v>0</v>
      </c>
      <c r="I2728" s="3" t="s">
        <v>226</v>
      </c>
      <c r="K2728" s="2">
        <f>IF(ISNUMBER(SEARCH(Лист2!$B$4,F:F)),1,0)</f>
        <v>0</v>
      </c>
      <c r="L2728" s="14">
        <f>IF(ISNUMBER(SEARCH(Лист2!$B$5,I:I)),1,0)+K2728</f>
        <v>0</v>
      </c>
      <c r="M2728" s="3">
        <f ca="1">IF(AND(N2728&lt;&gt;N2727,ISNUMBER(SEARCH(Лист2!$B$6,N:N)),L2728=2),MAX($M$3:OFFSET(M2728,-1,0))+1,0)</f>
        <v>0</v>
      </c>
      <c r="N2728" s="3" t="s">
        <v>1900</v>
      </c>
    </row>
    <row r="2729" spans="1:14" x14ac:dyDescent="0.25">
      <c r="A2729" s="1" t="s">
        <v>11677</v>
      </c>
      <c r="B2729" s="3" t="s">
        <v>6353</v>
      </c>
      <c r="C2729" s="2">
        <f ca="1">IF(ISNUMBER(SEARCH(Лист2!$B$4,D:D)),MAX($C$3:OFFSET(C2729,-1,0))+1,0)</f>
        <v>0</v>
      </c>
      <c r="E2729" s="9" t="str">
        <f t="shared" ca="1" si="54"/>
        <v/>
      </c>
      <c r="F2729" s="4" t="s">
        <v>7</v>
      </c>
      <c r="G2729" s="2">
        <f>IF(ISNUMBER(SEARCH(Лист2!$B$4,F:F)),1,0)</f>
        <v>0</v>
      </c>
      <c r="H2729" s="3">
        <f ca="1">IF(AND(I2729&lt;&gt;I2728,ISNUMBER(SEARCH(Лист2!$B$5,I:I)),G2729=1),MAX($H$3:OFFSET(H2729,-1,0))+1,0)</f>
        <v>0</v>
      </c>
      <c r="I2729" s="3" t="s">
        <v>226</v>
      </c>
      <c r="K2729" s="2">
        <f>IF(ISNUMBER(SEARCH(Лист2!$B$4,F:F)),1,0)</f>
        <v>0</v>
      </c>
      <c r="L2729" s="14">
        <f>IF(ISNUMBER(SEARCH(Лист2!$B$5,I:I)),1,0)+K2729</f>
        <v>0</v>
      </c>
      <c r="M2729" s="3">
        <f ca="1">IF(AND(N2729&lt;&gt;N2728,ISNUMBER(SEARCH(Лист2!$B$6,N:N)),L2729=2),MAX($M$3:OFFSET(M2729,-1,0))+1,0)</f>
        <v>0</v>
      </c>
      <c r="N2729" s="3" t="s">
        <v>1901</v>
      </c>
    </row>
    <row r="2730" spans="1:14" x14ac:dyDescent="0.25">
      <c r="A2730" s="1" t="s">
        <v>11678</v>
      </c>
      <c r="B2730" s="3" t="s">
        <v>6354</v>
      </c>
      <c r="C2730" s="2">
        <f ca="1">IF(ISNUMBER(SEARCH(Лист2!$B$4,D:D)),MAX($C$3:OFFSET(C2730,-1,0))+1,0)</f>
        <v>0</v>
      </c>
      <c r="E2730" s="9" t="str">
        <f t="shared" ca="1" si="54"/>
        <v/>
      </c>
      <c r="F2730" s="4" t="s">
        <v>7</v>
      </c>
      <c r="G2730" s="2">
        <f>IF(ISNUMBER(SEARCH(Лист2!$B$4,F:F)),1,0)</f>
        <v>0</v>
      </c>
      <c r="H2730" s="3">
        <f ca="1">IF(AND(I2730&lt;&gt;I2729,ISNUMBER(SEARCH(Лист2!$B$5,I:I)),G2730=1),MAX($H$3:OFFSET(H2730,-1,0))+1,0)</f>
        <v>0</v>
      </c>
      <c r="I2730" s="3" t="s">
        <v>226</v>
      </c>
      <c r="K2730" s="2">
        <f>IF(ISNUMBER(SEARCH(Лист2!$B$4,F:F)),1,0)</f>
        <v>0</v>
      </c>
      <c r="L2730" s="14">
        <f>IF(ISNUMBER(SEARCH(Лист2!$B$5,I:I)),1,0)+K2730</f>
        <v>0</v>
      </c>
      <c r="M2730" s="3">
        <f ca="1">IF(AND(N2730&lt;&gt;N2729,ISNUMBER(SEARCH(Лист2!$B$6,N:N)),L2730=2),MAX($M$3:OFFSET(M2730,-1,0))+1,0)</f>
        <v>0</v>
      </c>
      <c r="N2730" s="3" t="s">
        <v>1902</v>
      </c>
    </row>
    <row r="2731" spans="1:14" x14ac:dyDescent="0.25">
      <c r="A2731" s="1" t="s">
        <v>11355</v>
      </c>
      <c r="B2731" s="3" t="s">
        <v>6355</v>
      </c>
      <c r="C2731" s="2">
        <f ca="1">IF(ISNUMBER(SEARCH(Лист2!$B$4,D:D)),MAX($C$3:OFFSET(C2731,-1,0))+1,0)</f>
        <v>0</v>
      </c>
      <c r="E2731" s="9" t="str">
        <f t="shared" ca="1" si="54"/>
        <v/>
      </c>
      <c r="F2731" s="4" t="s">
        <v>7</v>
      </c>
      <c r="G2731" s="2">
        <f>IF(ISNUMBER(SEARCH(Лист2!$B$4,F:F)),1,0)</f>
        <v>0</v>
      </c>
      <c r="H2731" s="3">
        <f ca="1">IF(AND(I2731&lt;&gt;I2730,ISNUMBER(SEARCH(Лист2!$B$5,I:I)),G2731=1),MAX($H$3:OFFSET(H2731,-1,0))+1,0)</f>
        <v>0</v>
      </c>
      <c r="I2731" s="3" t="s">
        <v>227</v>
      </c>
      <c r="K2731" s="2">
        <f>IF(ISNUMBER(SEARCH(Лист2!$B$4,F:F)),1,0)</f>
        <v>0</v>
      </c>
      <c r="L2731" s="14">
        <f>IF(ISNUMBER(SEARCH(Лист2!$B$5,I:I)),1,0)+K2731</f>
        <v>0</v>
      </c>
      <c r="M2731" s="3">
        <f ca="1">IF(AND(N2731&lt;&gt;N2730,ISNUMBER(SEARCH(Лист2!$B$6,N:N)),L2731=2),MAX($M$3:OFFSET(M2731,-1,0))+1,0)</f>
        <v>0</v>
      </c>
      <c r="N2731" s="3" t="s">
        <v>1688</v>
      </c>
    </row>
    <row r="2732" spans="1:14" x14ac:dyDescent="0.25">
      <c r="A2732" s="1" t="s">
        <v>11356</v>
      </c>
      <c r="B2732" s="3" t="s">
        <v>6356</v>
      </c>
      <c r="C2732" s="2">
        <f ca="1">IF(ISNUMBER(SEARCH(Лист2!$B$4,D:D)),MAX($C$3:OFFSET(C2732,-1,0))+1,0)</f>
        <v>0</v>
      </c>
      <c r="E2732" s="9" t="str">
        <f t="shared" ca="1" si="54"/>
        <v/>
      </c>
      <c r="F2732" s="4" t="s">
        <v>7</v>
      </c>
      <c r="G2732" s="2">
        <f>IF(ISNUMBER(SEARCH(Лист2!$B$4,F:F)),1,0)</f>
        <v>0</v>
      </c>
      <c r="H2732" s="3">
        <f ca="1">IF(AND(I2732&lt;&gt;I2731,ISNUMBER(SEARCH(Лист2!$B$5,I:I)),G2732=1),MAX($H$3:OFFSET(H2732,-1,0))+1,0)</f>
        <v>0</v>
      </c>
      <c r="I2732" s="3" t="s">
        <v>227</v>
      </c>
      <c r="K2732" s="2">
        <f>IF(ISNUMBER(SEARCH(Лист2!$B$4,F:F)),1,0)</f>
        <v>0</v>
      </c>
      <c r="L2732" s="14">
        <f>IF(ISNUMBER(SEARCH(Лист2!$B$5,I:I)),1,0)+K2732</f>
        <v>0</v>
      </c>
      <c r="M2732" s="3">
        <f ca="1">IF(AND(N2732&lt;&gt;N2731,ISNUMBER(SEARCH(Лист2!$B$6,N:N)),L2732=2),MAX($M$3:OFFSET(M2732,-1,0))+1,0)</f>
        <v>0</v>
      </c>
      <c r="N2732" s="3" t="s">
        <v>1689</v>
      </c>
    </row>
    <row r="2733" spans="1:14" x14ac:dyDescent="0.25">
      <c r="A2733" s="1" t="s">
        <v>11679</v>
      </c>
      <c r="B2733" s="3" t="s">
        <v>6357</v>
      </c>
      <c r="C2733" s="2">
        <f ca="1">IF(ISNUMBER(SEARCH(Лист2!$B$4,D:D)),MAX($C$3:OFFSET(C2733,-1,0))+1,0)</f>
        <v>0</v>
      </c>
      <c r="E2733" s="9" t="str">
        <f t="shared" ca="1" si="54"/>
        <v/>
      </c>
      <c r="F2733" s="4" t="s">
        <v>7</v>
      </c>
      <c r="G2733" s="2">
        <f>IF(ISNUMBER(SEARCH(Лист2!$B$4,F:F)),1,0)</f>
        <v>0</v>
      </c>
      <c r="H2733" s="3">
        <f ca="1">IF(AND(I2733&lt;&gt;I2732,ISNUMBER(SEARCH(Лист2!$B$5,I:I)),G2733=1),MAX($H$3:OFFSET(H2733,-1,0))+1,0)</f>
        <v>0</v>
      </c>
      <c r="I2733" s="3" t="s">
        <v>227</v>
      </c>
      <c r="K2733" s="2">
        <f>IF(ISNUMBER(SEARCH(Лист2!$B$4,F:F)),1,0)</f>
        <v>0</v>
      </c>
      <c r="L2733" s="14">
        <f>IF(ISNUMBER(SEARCH(Лист2!$B$5,I:I)),1,0)+K2733</f>
        <v>0</v>
      </c>
      <c r="M2733" s="3">
        <f ca="1">IF(AND(N2733&lt;&gt;N2732,ISNUMBER(SEARCH(Лист2!$B$6,N:N)),L2733=2),MAX($M$3:OFFSET(M2733,-1,0))+1,0)</f>
        <v>0</v>
      </c>
      <c r="N2733" s="3" t="s">
        <v>1735</v>
      </c>
    </row>
    <row r="2734" spans="1:14" x14ac:dyDescent="0.25">
      <c r="A2734" s="1" t="s">
        <v>11359</v>
      </c>
      <c r="B2734" s="3" t="s">
        <v>6358</v>
      </c>
      <c r="C2734" s="2">
        <f ca="1">IF(ISNUMBER(SEARCH(Лист2!$B$4,D:D)),MAX($C$3:OFFSET(C2734,-1,0))+1,0)</f>
        <v>0</v>
      </c>
      <c r="E2734" s="9" t="str">
        <f t="shared" ca="1" si="54"/>
        <v/>
      </c>
      <c r="F2734" s="4" t="s">
        <v>7</v>
      </c>
      <c r="G2734" s="2">
        <f>IF(ISNUMBER(SEARCH(Лист2!$B$4,F:F)),1,0)</f>
        <v>0</v>
      </c>
      <c r="H2734" s="3">
        <f ca="1">IF(AND(I2734&lt;&gt;I2733,ISNUMBER(SEARCH(Лист2!$B$5,I:I)),G2734=1),MAX($H$3:OFFSET(H2734,-1,0))+1,0)</f>
        <v>0</v>
      </c>
      <c r="I2734" s="3" t="s">
        <v>227</v>
      </c>
      <c r="K2734" s="2">
        <f>IF(ISNUMBER(SEARCH(Лист2!$B$4,F:F)),1,0)</f>
        <v>0</v>
      </c>
      <c r="L2734" s="14">
        <f>IF(ISNUMBER(SEARCH(Лист2!$B$5,I:I)),1,0)+K2734</f>
        <v>0</v>
      </c>
      <c r="M2734" s="3">
        <f ca="1">IF(AND(N2734&lt;&gt;N2733,ISNUMBER(SEARCH(Лист2!$B$6,N:N)),L2734=2),MAX($M$3:OFFSET(M2734,-1,0))+1,0)</f>
        <v>0</v>
      </c>
      <c r="N2734" s="3" t="s">
        <v>1690</v>
      </c>
    </row>
    <row r="2735" spans="1:14" x14ac:dyDescent="0.25">
      <c r="A2735" s="1" t="s">
        <v>11357</v>
      </c>
      <c r="B2735" s="3" t="s">
        <v>6359</v>
      </c>
      <c r="C2735" s="2">
        <f ca="1">IF(ISNUMBER(SEARCH(Лист2!$B$4,D:D)),MAX($C$3:OFFSET(C2735,-1,0))+1,0)</f>
        <v>0</v>
      </c>
      <c r="E2735" s="9" t="str">
        <f t="shared" ca="1" si="54"/>
        <v/>
      </c>
      <c r="F2735" s="4" t="s">
        <v>7</v>
      </c>
      <c r="G2735" s="2">
        <f>IF(ISNUMBER(SEARCH(Лист2!$B$4,F:F)),1,0)</f>
        <v>0</v>
      </c>
      <c r="H2735" s="3">
        <f ca="1">IF(AND(I2735&lt;&gt;I2734,ISNUMBER(SEARCH(Лист2!$B$5,I:I)),G2735=1),MAX($H$3:OFFSET(H2735,-1,0))+1,0)</f>
        <v>0</v>
      </c>
      <c r="I2735" s="3" t="s">
        <v>227</v>
      </c>
      <c r="K2735" s="2">
        <f>IF(ISNUMBER(SEARCH(Лист2!$B$4,F:F)),1,0)</f>
        <v>0</v>
      </c>
      <c r="L2735" s="14">
        <f>IF(ISNUMBER(SEARCH(Лист2!$B$5,I:I)),1,0)+K2735</f>
        <v>0</v>
      </c>
      <c r="M2735" s="3">
        <f ca="1">IF(AND(N2735&lt;&gt;N2734,ISNUMBER(SEARCH(Лист2!$B$6,N:N)),L2735=2),MAX($M$3:OFFSET(M2735,-1,0))+1,0)</f>
        <v>0</v>
      </c>
      <c r="N2735" s="3" t="s">
        <v>1678</v>
      </c>
    </row>
    <row r="2736" spans="1:14" x14ac:dyDescent="0.25">
      <c r="A2736" s="1" t="s">
        <v>11360</v>
      </c>
      <c r="B2736" s="3" t="s">
        <v>6360</v>
      </c>
      <c r="C2736" s="2">
        <f ca="1">IF(ISNUMBER(SEARCH(Лист2!$B$4,D:D)),MAX($C$3:OFFSET(C2736,-1,0))+1,0)</f>
        <v>0</v>
      </c>
      <c r="E2736" s="9" t="str">
        <f t="shared" ca="1" si="54"/>
        <v/>
      </c>
      <c r="F2736" s="4" t="s">
        <v>7</v>
      </c>
      <c r="G2736" s="2">
        <f>IF(ISNUMBER(SEARCH(Лист2!$B$4,F:F)),1,0)</f>
        <v>0</v>
      </c>
      <c r="H2736" s="3">
        <f ca="1">IF(AND(I2736&lt;&gt;I2735,ISNUMBER(SEARCH(Лист2!$B$5,I:I)),G2736=1),MAX($H$3:OFFSET(H2736,-1,0))+1,0)</f>
        <v>0</v>
      </c>
      <c r="I2736" s="3" t="s">
        <v>227</v>
      </c>
      <c r="K2736" s="2">
        <f>IF(ISNUMBER(SEARCH(Лист2!$B$4,F:F)),1,0)</f>
        <v>0</v>
      </c>
      <c r="L2736" s="14">
        <f>IF(ISNUMBER(SEARCH(Лист2!$B$5,I:I)),1,0)+K2736</f>
        <v>0</v>
      </c>
      <c r="M2736" s="3">
        <f ca="1">IF(AND(N2736&lt;&gt;N2735,ISNUMBER(SEARCH(Лист2!$B$6,N:N)),L2736=2),MAX($M$3:OFFSET(M2736,-1,0))+1,0)</f>
        <v>0</v>
      </c>
      <c r="N2736" s="3" t="s">
        <v>602</v>
      </c>
    </row>
    <row r="2737" spans="1:14" x14ac:dyDescent="0.25">
      <c r="A2737" s="1" t="s">
        <v>11361</v>
      </c>
      <c r="B2737" s="3" t="s">
        <v>6361</v>
      </c>
      <c r="C2737" s="2">
        <f ca="1">IF(ISNUMBER(SEARCH(Лист2!$B$4,D:D)),MAX($C$3:OFFSET(C2737,-1,0))+1,0)</f>
        <v>0</v>
      </c>
      <c r="E2737" s="9" t="str">
        <f t="shared" ca="1" si="54"/>
        <v/>
      </c>
      <c r="F2737" s="4" t="s">
        <v>7</v>
      </c>
      <c r="G2737" s="2">
        <f>IF(ISNUMBER(SEARCH(Лист2!$B$4,F:F)),1,0)</f>
        <v>0</v>
      </c>
      <c r="H2737" s="3">
        <f ca="1">IF(AND(I2737&lt;&gt;I2736,ISNUMBER(SEARCH(Лист2!$B$5,I:I)),G2737=1),MAX($H$3:OFFSET(H2737,-1,0))+1,0)</f>
        <v>0</v>
      </c>
      <c r="I2737" s="3" t="s">
        <v>227</v>
      </c>
      <c r="K2737" s="2">
        <f>IF(ISNUMBER(SEARCH(Лист2!$B$4,F:F)),1,0)</f>
        <v>0</v>
      </c>
      <c r="L2737" s="14">
        <f>IF(ISNUMBER(SEARCH(Лист2!$B$5,I:I)),1,0)+K2737</f>
        <v>0</v>
      </c>
      <c r="M2737" s="3">
        <f ca="1">IF(AND(N2737&lt;&gt;N2736,ISNUMBER(SEARCH(Лист2!$B$6,N:N)),L2737=2),MAX($M$3:OFFSET(M2737,-1,0))+1,0)</f>
        <v>0</v>
      </c>
      <c r="N2737" s="3" t="s">
        <v>1691</v>
      </c>
    </row>
    <row r="2738" spans="1:14" x14ac:dyDescent="0.25">
      <c r="A2738" s="1" t="s">
        <v>11362</v>
      </c>
      <c r="B2738" s="3" t="s">
        <v>6362</v>
      </c>
      <c r="C2738" s="2">
        <f ca="1">IF(ISNUMBER(SEARCH(Лист2!$B$4,D:D)),MAX($C$3:OFFSET(C2738,-1,0))+1,0)</f>
        <v>0</v>
      </c>
      <c r="E2738" s="9" t="str">
        <f t="shared" ca="1" si="54"/>
        <v/>
      </c>
      <c r="F2738" s="4" t="s">
        <v>7</v>
      </c>
      <c r="G2738" s="2">
        <f>IF(ISNUMBER(SEARCH(Лист2!$B$4,F:F)),1,0)</f>
        <v>0</v>
      </c>
      <c r="H2738" s="3">
        <f ca="1">IF(AND(I2738&lt;&gt;I2737,ISNUMBER(SEARCH(Лист2!$B$5,I:I)),G2738=1),MAX($H$3:OFFSET(H2738,-1,0))+1,0)</f>
        <v>0</v>
      </c>
      <c r="I2738" s="3" t="s">
        <v>227</v>
      </c>
      <c r="K2738" s="2">
        <f>IF(ISNUMBER(SEARCH(Лист2!$B$4,F:F)),1,0)</f>
        <v>0</v>
      </c>
      <c r="L2738" s="14">
        <f>IF(ISNUMBER(SEARCH(Лист2!$B$5,I:I)),1,0)+K2738</f>
        <v>0</v>
      </c>
      <c r="M2738" s="3">
        <f ca="1">IF(AND(N2738&lt;&gt;N2737,ISNUMBER(SEARCH(Лист2!$B$6,N:N)),L2738=2),MAX($M$3:OFFSET(M2738,-1,0))+1,0)</f>
        <v>0</v>
      </c>
      <c r="N2738" s="3" t="s">
        <v>1692</v>
      </c>
    </row>
    <row r="2739" spans="1:14" x14ac:dyDescent="0.25">
      <c r="A2739" s="1" t="s">
        <v>11363</v>
      </c>
      <c r="B2739" s="3" t="s">
        <v>6363</v>
      </c>
      <c r="C2739" s="2">
        <f ca="1">IF(ISNUMBER(SEARCH(Лист2!$B$4,D:D)),MAX($C$3:OFFSET(C2739,-1,0))+1,0)</f>
        <v>0</v>
      </c>
      <c r="E2739" s="9" t="str">
        <f t="shared" ca="1" si="54"/>
        <v/>
      </c>
      <c r="F2739" s="4" t="s">
        <v>7</v>
      </c>
      <c r="G2739" s="2">
        <f>IF(ISNUMBER(SEARCH(Лист2!$B$4,F:F)),1,0)</f>
        <v>0</v>
      </c>
      <c r="H2739" s="3">
        <f ca="1">IF(AND(I2739&lt;&gt;I2738,ISNUMBER(SEARCH(Лист2!$B$5,I:I)),G2739=1),MAX($H$3:OFFSET(H2739,-1,0))+1,0)</f>
        <v>0</v>
      </c>
      <c r="I2739" s="3" t="s">
        <v>227</v>
      </c>
      <c r="K2739" s="2">
        <f>IF(ISNUMBER(SEARCH(Лист2!$B$4,F:F)),1,0)</f>
        <v>0</v>
      </c>
      <c r="L2739" s="14">
        <f>IF(ISNUMBER(SEARCH(Лист2!$B$5,I:I)),1,0)+K2739</f>
        <v>0</v>
      </c>
      <c r="M2739" s="3">
        <f ca="1">IF(AND(N2739&lt;&gt;N2738,ISNUMBER(SEARCH(Лист2!$B$6,N:N)),L2739=2),MAX($M$3:OFFSET(M2739,-1,0))+1,0)</f>
        <v>0</v>
      </c>
      <c r="N2739" s="3" t="s">
        <v>1693</v>
      </c>
    </row>
    <row r="2740" spans="1:14" x14ac:dyDescent="0.25">
      <c r="A2740" s="1" t="s">
        <v>11364</v>
      </c>
      <c r="B2740" s="3" t="s">
        <v>6364</v>
      </c>
      <c r="C2740" s="2">
        <f ca="1">IF(ISNUMBER(SEARCH(Лист2!$B$4,D:D)),MAX($C$3:OFFSET(C2740,-1,0))+1,0)</f>
        <v>0</v>
      </c>
      <c r="E2740" s="9" t="str">
        <f t="shared" ca="1" si="54"/>
        <v/>
      </c>
      <c r="F2740" s="4" t="s">
        <v>7</v>
      </c>
      <c r="G2740" s="2">
        <f>IF(ISNUMBER(SEARCH(Лист2!$B$4,F:F)),1,0)</f>
        <v>0</v>
      </c>
      <c r="H2740" s="3">
        <f ca="1">IF(AND(I2740&lt;&gt;I2739,ISNUMBER(SEARCH(Лист2!$B$5,I:I)),G2740=1),MAX($H$3:OFFSET(H2740,-1,0))+1,0)</f>
        <v>0</v>
      </c>
      <c r="I2740" s="3" t="s">
        <v>228</v>
      </c>
      <c r="K2740" s="2">
        <f>IF(ISNUMBER(SEARCH(Лист2!$B$4,F:F)),1,0)</f>
        <v>0</v>
      </c>
      <c r="L2740" s="14">
        <f>IF(ISNUMBER(SEARCH(Лист2!$B$5,I:I)),1,0)+K2740</f>
        <v>0</v>
      </c>
      <c r="M2740" s="3">
        <f ca="1">IF(AND(N2740&lt;&gt;N2739,ISNUMBER(SEARCH(Лист2!$B$6,N:N)),L2740=2),MAX($M$3:OFFSET(M2740,-1,0))+1,0)</f>
        <v>0</v>
      </c>
      <c r="N2740" s="3" t="s">
        <v>1694</v>
      </c>
    </row>
    <row r="2741" spans="1:14" x14ac:dyDescent="0.25">
      <c r="A2741" s="1" t="s">
        <v>11364</v>
      </c>
      <c r="B2741" s="3" t="s">
        <v>6365</v>
      </c>
      <c r="C2741" s="2">
        <f ca="1">IF(ISNUMBER(SEARCH(Лист2!$B$4,D:D)),MAX($C$3:OFFSET(C2741,-1,0))+1,0)</f>
        <v>0</v>
      </c>
      <c r="E2741" s="9" t="str">
        <f t="shared" ca="1" si="54"/>
        <v/>
      </c>
      <c r="F2741" s="4" t="s">
        <v>7</v>
      </c>
      <c r="G2741" s="2">
        <f>IF(ISNUMBER(SEARCH(Лист2!$B$4,F:F)),1,0)</f>
        <v>0</v>
      </c>
      <c r="H2741" s="3">
        <f ca="1">IF(AND(I2741&lt;&gt;I2740,ISNUMBER(SEARCH(Лист2!$B$5,I:I)),G2741=1),MAX($H$3:OFFSET(H2741,-1,0))+1,0)</f>
        <v>0</v>
      </c>
      <c r="I2741" s="3" t="s">
        <v>228</v>
      </c>
      <c r="K2741" s="2">
        <f>IF(ISNUMBER(SEARCH(Лист2!$B$4,F:F)),1,0)</f>
        <v>0</v>
      </c>
      <c r="L2741" s="14">
        <f>IF(ISNUMBER(SEARCH(Лист2!$B$5,I:I)),1,0)+K2741</f>
        <v>0</v>
      </c>
      <c r="M2741" s="3">
        <f ca="1">IF(AND(N2741&lt;&gt;N2740,ISNUMBER(SEARCH(Лист2!$B$6,N:N)),L2741=2),MAX($M$3:OFFSET(M2741,-1,0))+1,0)</f>
        <v>0</v>
      </c>
      <c r="N2741" s="3" t="s">
        <v>1694</v>
      </c>
    </row>
    <row r="2742" spans="1:14" x14ac:dyDescent="0.25">
      <c r="A2742" s="1" t="s">
        <v>11364</v>
      </c>
      <c r="B2742" s="3" t="s">
        <v>6366</v>
      </c>
      <c r="C2742" s="2">
        <f ca="1">IF(ISNUMBER(SEARCH(Лист2!$B$4,D:D)),MAX($C$3:OFFSET(C2742,-1,0))+1,0)</f>
        <v>0</v>
      </c>
      <c r="E2742" s="9" t="str">
        <f t="shared" ca="1" si="54"/>
        <v/>
      </c>
      <c r="F2742" s="4" t="s">
        <v>7</v>
      </c>
      <c r="G2742" s="2">
        <f>IF(ISNUMBER(SEARCH(Лист2!$B$4,F:F)),1,0)</f>
        <v>0</v>
      </c>
      <c r="H2742" s="3">
        <f ca="1">IF(AND(I2742&lt;&gt;I2741,ISNUMBER(SEARCH(Лист2!$B$5,I:I)),G2742=1),MAX($H$3:OFFSET(H2742,-1,0))+1,0)</f>
        <v>0</v>
      </c>
      <c r="I2742" s="3" t="s">
        <v>228</v>
      </c>
      <c r="K2742" s="2">
        <f>IF(ISNUMBER(SEARCH(Лист2!$B$4,F:F)),1,0)</f>
        <v>0</v>
      </c>
      <c r="L2742" s="14">
        <f>IF(ISNUMBER(SEARCH(Лист2!$B$5,I:I)),1,0)+K2742</f>
        <v>0</v>
      </c>
      <c r="M2742" s="3">
        <f ca="1">IF(AND(N2742&lt;&gt;N2741,ISNUMBER(SEARCH(Лист2!$B$6,N:N)),L2742=2),MAX($M$3:OFFSET(M2742,-1,0))+1,0)</f>
        <v>0</v>
      </c>
      <c r="N2742" s="3" t="s">
        <v>1694</v>
      </c>
    </row>
    <row r="2743" spans="1:14" x14ac:dyDescent="0.25">
      <c r="A2743" s="1" t="s">
        <v>11365</v>
      </c>
      <c r="B2743" s="3" t="s">
        <v>6367</v>
      </c>
      <c r="C2743" s="2">
        <f ca="1">IF(ISNUMBER(SEARCH(Лист2!$B$4,D:D)),MAX($C$3:OFFSET(C2743,-1,0))+1,0)</f>
        <v>0</v>
      </c>
      <c r="E2743" s="9" t="str">
        <f t="shared" ca="1" si="54"/>
        <v/>
      </c>
      <c r="F2743" s="4" t="s">
        <v>7</v>
      </c>
      <c r="G2743" s="2">
        <f>IF(ISNUMBER(SEARCH(Лист2!$B$4,F:F)),1,0)</f>
        <v>0</v>
      </c>
      <c r="H2743" s="3">
        <f ca="1">IF(AND(I2743&lt;&gt;I2742,ISNUMBER(SEARCH(Лист2!$B$5,I:I)),G2743=1),MAX($H$3:OFFSET(H2743,-1,0))+1,0)</f>
        <v>0</v>
      </c>
      <c r="I2743" s="3" t="s">
        <v>228</v>
      </c>
      <c r="K2743" s="2">
        <f>IF(ISNUMBER(SEARCH(Лист2!$B$4,F:F)),1,0)</f>
        <v>0</v>
      </c>
      <c r="L2743" s="14">
        <f>IF(ISNUMBER(SEARCH(Лист2!$B$5,I:I)),1,0)+K2743</f>
        <v>0</v>
      </c>
      <c r="M2743" s="3">
        <f ca="1">IF(AND(N2743&lt;&gt;N2742,ISNUMBER(SEARCH(Лист2!$B$6,N:N)),L2743=2),MAX($M$3:OFFSET(M2743,-1,0))+1,0)</f>
        <v>0</v>
      </c>
      <c r="N2743" s="3" t="s">
        <v>1695</v>
      </c>
    </row>
    <row r="2744" spans="1:14" x14ac:dyDescent="0.25">
      <c r="A2744" s="1" t="s">
        <v>11365</v>
      </c>
      <c r="B2744" s="3" t="s">
        <v>6368</v>
      </c>
      <c r="C2744" s="2">
        <f ca="1">IF(ISNUMBER(SEARCH(Лист2!$B$4,D:D)),MAX($C$3:OFFSET(C2744,-1,0))+1,0)</f>
        <v>0</v>
      </c>
      <c r="E2744" s="9" t="str">
        <f t="shared" ca="1" si="54"/>
        <v/>
      </c>
      <c r="F2744" s="4" t="s">
        <v>7</v>
      </c>
      <c r="G2744" s="2">
        <f>IF(ISNUMBER(SEARCH(Лист2!$B$4,F:F)),1,0)</f>
        <v>0</v>
      </c>
      <c r="H2744" s="3">
        <f ca="1">IF(AND(I2744&lt;&gt;I2743,ISNUMBER(SEARCH(Лист2!$B$5,I:I)),G2744=1),MAX($H$3:OFFSET(H2744,-1,0))+1,0)</f>
        <v>0</v>
      </c>
      <c r="I2744" s="3" t="s">
        <v>228</v>
      </c>
      <c r="K2744" s="2">
        <f>IF(ISNUMBER(SEARCH(Лист2!$B$4,F:F)),1,0)</f>
        <v>0</v>
      </c>
      <c r="L2744" s="14">
        <f>IF(ISNUMBER(SEARCH(Лист2!$B$5,I:I)),1,0)+K2744</f>
        <v>0</v>
      </c>
      <c r="M2744" s="3">
        <f ca="1">IF(AND(N2744&lt;&gt;N2743,ISNUMBER(SEARCH(Лист2!$B$6,N:N)),L2744=2),MAX($M$3:OFFSET(M2744,-1,0))+1,0)</f>
        <v>0</v>
      </c>
      <c r="N2744" s="3" t="s">
        <v>1695</v>
      </c>
    </row>
    <row r="2745" spans="1:14" x14ac:dyDescent="0.25">
      <c r="A2745" s="1" t="s">
        <v>11365</v>
      </c>
      <c r="B2745" s="3" t="s">
        <v>6369</v>
      </c>
      <c r="C2745" s="2">
        <f ca="1">IF(ISNUMBER(SEARCH(Лист2!$B$4,D:D)),MAX($C$3:OFFSET(C2745,-1,0))+1,0)</f>
        <v>0</v>
      </c>
      <c r="E2745" s="9" t="str">
        <f t="shared" ca="1" si="54"/>
        <v/>
      </c>
      <c r="F2745" s="4" t="s">
        <v>7</v>
      </c>
      <c r="G2745" s="2">
        <f>IF(ISNUMBER(SEARCH(Лист2!$B$4,F:F)),1,0)</f>
        <v>0</v>
      </c>
      <c r="H2745" s="3">
        <f ca="1">IF(AND(I2745&lt;&gt;I2744,ISNUMBER(SEARCH(Лист2!$B$5,I:I)),G2745=1),MAX($H$3:OFFSET(H2745,-1,0))+1,0)</f>
        <v>0</v>
      </c>
      <c r="I2745" s="3" t="s">
        <v>228</v>
      </c>
      <c r="K2745" s="2">
        <f>IF(ISNUMBER(SEARCH(Лист2!$B$4,F:F)),1,0)</f>
        <v>0</v>
      </c>
      <c r="L2745" s="14">
        <f>IF(ISNUMBER(SEARCH(Лист2!$B$5,I:I)),1,0)+K2745</f>
        <v>0</v>
      </c>
      <c r="M2745" s="3">
        <f ca="1">IF(AND(N2745&lt;&gt;N2744,ISNUMBER(SEARCH(Лист2!$B$6,N:N)),L2745=2),MAX($M$3:OFFSET(M2745,-1,0))+1,0)</f>
        <v>0</v>
      </c>
      <c r="N2745" s="3" t="s">
        <v>1695</v>
      </c>
    </row>
    <row r="2746" spans="1:14" x14ac:dyDescent="0.25">
      <c r="A2746" s="1" t="s">
        <v>11680</v>
      </c>
      <c r="B2746" s="3" t="s">
        <v>6370</v>
      </c>
      <c r="C2746" s="2">
        <f ca="1">IF(ISNUMBER(SEARCH(Лист2!$B$4,D:D)),MAX($C$3:OFFSET(C2746,-1,0))+1,0)</f>
        <v>0</v>
      </c>
      <c r="E2746" s="9" t="str">
        <f t="shared" ca="1" si="54"/>
        <v/>
      </c>
      <c r="F2746" s="4" t="s">
        <v>7</v>
      </c>
      <c r="G2746" s="2">
        <f>IF(ISNUMBER(SEARCH(Лист2!$B$4,F:F)),1,0)</f>
        <v>0</v>
      </c>
      <c r="H2746" s="3">
        <f ca="1">IF(AND(I2746&lt;&gt;I2745,ISNUMBER(SEARCH(Лист2!$B$5,I:I)),G2746=1),MAX($H$3:OFFSET(H2746,-1,0))+1,0)</f>
        <v>0</v>
      </c>
      <c r="I2746" s="3" t="s">
        <v>228</v>
      </c>
      <c r="K2746" s="2">
        <f>IF(ISNUMBER(SEARCH(Лист2!$B$4,F:F)),1,0)</f>
        <v>0</v>
      </c>
      <c r="L2746" s="14">
        <f>IF(ISNUMBER(SEARCH(Лист2!$B$5,I:I)),1,0)+K2746</f>
        <v>0</v>
      </c>
      <c r="M2746" s="3">
        <f ca="1">IF(AND(N2746&lt;&gt;N2745,ISNUMBER(SEARCH(Лист2!$B$6,N:N)),L2746=2),MAX($M$3:OFFSET(M2746,-1,0))+1,0)</f>
        <v>0</v>
      </c>
      <c r="N2746" s="3" t="s">
        <v>1735</v>
      </c>
    </row>
    <row r="2747" spans="1:14" x14ac:dyDescent="0.25">
      <c r="A2747" s="1" t="s">
        <v>11368</v>
      </c>
      <c r="B2747" s="3" t="s">
        <v>6371</v>
      </c>
      <c r="C2747" s="2">
        <f ca="1">IF(ISNUMBER(SEARCH(Лист2!$B$4,D:D)),MAX($C$3:OFFSET(C2747,-1,0))+1,0)</f>
        <v>0</v>
      </c>
      <c r="E2747" s="9" t="str">
        <f t="shared" ca="1" si="54"/>
        <v/>
      </c>
      <c r="F2747" s="4" t="s">
        <v>7</v>
      </c>
      <c r="G2747" s="2">
        <f>IF(ISNUMBER(SEARCH(Лист2!$B$4,F:F)),1,0)</f>
        <v>0</v>
      </c>
      <c r="H2747" s="3">
        <f ca="1">IF(AND(I2747&lt;&gt;I2746,ISNUMBER(SEARCH(Лист2!$B$5,I:I)),G2747=1),MAX($H$3:OFFSET(H2747,-1,0))+1,0)</f>
        <v>0</v>
      </c>
      <c r="I2747" s="3" t="s">
        <v>228</v>
      </c>
      <c r="K2747" s="2">
        <f>IF(ISNUMBER(SEARCH(Лист2!$B$4,F:F)),1,0)</f>
        <v>0</v>
      </c>
      <c r="L2747" s="14">
        <f>IF(ISNUMBER(SEARCH(Лист2!$B$5,I:I)),1,0)+K2747</f>
        <v>0</v>
      </c>
      <c r="M2747" s="3">
        <f ca="1">IF(AND(N2747&lt;&gt;N2746,ISNUMBER(SEARCH(Лист2!$B$6,N:N)),L2747=2),MAX($M$3:OFFSET(M2747,-1,0))+1,0)</f>
        <v>0</v>
      </c>
      <c r="N2747" s="3" t="s">
        <v>1690</v>
      </c>
    </row>
    <row r="2748" spans="1:14" x14ac:dyDescent="0.25">
      <c r="A2748" s="1" t="s">
        <v>11366</v>
      </c>
      <c r="B2748" s="3" t="s">
        <v>6372</v>
      </c>
      <c r="C2748" s="2">
        <f ca="1">IF(ISNUMBER(SEARCH(Лист2!$B$4,D:D)),MAX($C$3:OFFSET(C2748,-1,0))+1,0)</f>
        <v>0</v>
      </c>
      <c r="E2748" s="9" t="str">
        <f t="shared" ca="1" si="54"/>
        <v/>
      </c>
      <c r="F2748" s="4" t="s">
        <v>7</v>
      </c>
      <c r="G2748" s="2">
        <f>IF(ISNUMBER(SEARCH(Лист2!$B$4,F:F)),1,0)</f>
        <v>0</v>
      </c>
      <c r="H2748" s="3">
        <f ca="1">IF(AND(I2748&lt;&gt;I2747,ISNUMBER(SEARCH(Лист2!$B$5,I:I)),G2748=1),MAX($H$3:OFFSET(H2748,-1,0))+1,0)</f>
        <v>0</v>
      </c>
      <c r="I2748" s="3" t="s">
        <v>228</v>
      </c>
      <c r="K2748" s="2">
        <f>IF(ISNUMBER(SEARCH(Лист2!$B$4,F:F)),1,0)</f>
        <v>0</v>
      </c>
      <c r="L2748" s="14">
        <f>IF(ISNUMBER(SEARCH(Лист2!$B$5,I:I)),1,0)+K2748</f>
        <v>0</v>
      </c>
      <c r="M2748" s="3">
        <f ca="1">IF(AND(N2748&lt;&gt;N2747,ISNUMBER(SEARCH(Лист2!$B$6,N:N)),L2748=2),MAX($M$3:OFFSET(M2748,-1,0))+1,0)</f>
        <v>0</v>
      </c>
      <c r="N2748" s="3" t="s">
        <v>1678</v>
      </c>
    </row>
    <row r="2749" spans="1:14" x14ac:dyDescent="0.25">
      <c r="A2749" s="1" t="s">
        <v>11369</v>
      </c>
      <c r="B2749" s="3" t="s">
        <v>6373</v>
      </c>
      <c r="C2749" s="2">
        <f ca="1">IF(ISNUMBER(SEARCH(Лист2!$B$4,D:D)),MAX($C$3:OFFSET(C2749,-1,0))+1,0)</f>
        <v>0</v>
      </c>
      <c r="E2749" s="9" t="str">
        <f t="shared" ca="1" si="54"/>
        <v/>
      </c>
      <c r="F2749" s="4" t="s">
        <v>7</v>
      </c>
      <c r="G2749" s="2">
        <f>IF(ISNUMBER(SEARCH(Лист2!$B$4,F:F)),1,0)</f>
        <v>0</v>
      </c>
      <c r="H2749" s="3">
        <f ca="1">IF(AND(I2749&lt;&gt;I2748,ISNUMBER(SEARCH(Лист2!$B$5,I:I)),G2749=1),MAX($H$3:OFFSET(H2749,-1,0))+1,0)</f>
        <v>0</v>
      </c>
      <c r="I2749" s="3" t="s">
        <v>228</v>
      </c>
      <c r="K2749" s="2">
        <f>IF(ISNUMBER(SEARCH(Лист2!$B$4,F:F)),1,0)</f>
        <v>0</v>
      </c>
      <c r="L2749" s="14">
        <f>IF(ISNUMBER(SEARCH(Лист2!$B$5,I:I)),1,0)+K2749</f>
        <v>0</v>
      </c>
      <c r="M2749" s="3">
        <f ca="1">IF(AND(N2749&lt;&gt;N2748,ISNUMBER(SEARCH(Лист2!$B$6,N:N)),L2749=2),MAX($M$3:OFFSET(M2749,-1,0))+1,0)</f>
        <v>0</v>
      </c>
      <c r="N2749" s="3" t="s">
        <v>602</v>
      </c>
    </row>
    <row r="2750" spans="1:14" x14ac:dyDescent="0.25">
      <c r="A2750" s="1" t="s">
        <v>11370</v>
      </c>
      <c r="B2750" s="3" t="s">
        <v>6374</v>
      </c>
      <c r="C2750" s="2">
        <f ca="1">IF(ISNUMBER(SEARCH(Лист2!$B$4,D:D)),MAX($C$3:OFFSET(C2750,-1,0))+1,0)</f>
        <v>0</v>
      </c>
      <c r="E2750" s="9" t="str">
        <f t="shared" ca="1" si="54"/>
        <v/>
      </c>
      <c r="F2750" s="4" t="s">
        <v>7</v>
      </c>
      <c r="G2750" s="2">
        <f>IF(ISNUMBER(SEARCH(Лист2!$B$4,F:F)),1,0)</f>
        <v>0</v>
      </c>
      <c r="H2750" s="3">
        <f ca="1">IF(AND(I2750&lt;&gt;I2749,ISNUMBER(SEARCH(Лист2!$B$5,I:I)),G2750=1),MAX($H$3:OFFSET(H2750,-1,0))+1,0)</f>
        <v>0</v>
      </c>
      <c r="I2750" s="3" t="s">
        <v>228</v>
      </c>
      <c r="K2750" s="2">
        <f>IF(ISNUMBER(SEARCH(Лист2!$B$4,F:F)),1,0)</f>
        <v>0</v>
      </c>
      <c r="L2750" s="14">
        <f>IF(ISNUMBER(SEARCH(Лист2!$B$5,I:I)),1,0)+K2750</f>
        <v>0</v>
      </c>
      <c r="M2750" s="3">
        <f ca="1">IF(AND(N2750&lt;&gt;N2749,ISNUMBER(SEARCH(Лист2!$B$6,N:N)),L2750=2),MAX($M$3:OFFSET(M2750,-1,0))+1,0)</f>
        <v>0</v>
      </c>
      <c r="N2750" s="3" t="s">
        <v>1696</v>
      </c>
    </row>
    <row r="2751" spans="1:14" x14ac:dyDescent="0.25">
      <c r="A2751" s="1" t="s">
        <v>11371</v>
      </c>
      <c r="B2751" s="3" t="s">
        <v>6375</v>
      </c>
      <c r="C2751" s="2">
        <f ca="1">IF(ISNUMBER(SEARCH(Лист2!$B$4,D:D)),MAX($C$3:OFFSET(C2751,-1,0))+1,0)</f>
        <v>0</v>
      </c>
      <c r="E2751" s="9" t="str">
        <f t="shared" ca="1" si="54"/>
        <v/>
      </c>
      <c r="F2751" s="4" t="s">
        <v>7</v>
      </c>
      <c r="G2751" s="2">
        <f>IF(ISNUMBER(SEARCH(Лист2!$B$4,F:F)),1,0)</f>
        <v>0</v>
      </c>
      <c r="H2751" s="3">
        <f ca="1">IF(AND(I2751&lt;&gt;I2750,ISNUMBER(SEARCH(Лист2!$B$5,I:I)),G2751=1),MAX($H$3:OFFSET(H2751,-1,0))+1,0)</f>
        <v>0</v>
      </c>
      <c r="I2751" s="3" t="s">
        <v>228</v>
      </c>
      <c r="K2751" s="2">
        <f>IF(ISNUMBER(SEARCH(Лист2!$B$4,F:F)),1,0)</f>
        <v>0</v>
      </c>
      <c r="L2751" s="14">
        <f>IF(ISNUMBER(SEARCH(Лист2!$B$5,I:I)),1,0)+K2751</f>
        <v>0</v>
      </c>
      <c r="M2751" s="3">
        <f ca="1">IF(AND(N2751&lt;&gt;N2750,ISNUMBER(SEARCH(Лист2!$B$6,N:N)),L2751=2),MAX($M$3:OFFSET(M2751,-1,0))+1,0)</f>
        <v>0</v>
      </c>
      <c r="N2751" s="3" t="s">
        <v>1697</v>
      </c>
    </row>
    <row r="2752" spans="1:14" x14ac:dyDescent="0.25">
      <c r="A2752" s="1" t="s">
        <v>11372</v>
      </c>
      <c r="B2752" s="3" t="s">
        <v>6376</v>
      </c>
      <c r="C2752" s="2">
        <f ca="1">IF(ISNUMBER(SEARCH(Лист2!$B$4,D:D)),MAX($C$3:OFFSET(C2752,-1,0))+1,0)</f>
        <v>0</v>
      </c>
      <c r="E2752" s="9" t="str">
        <f t="shared" ca="1" si="54"/>
        <v/>
      </c>
      <c r="F2752" s="4" t="s">
        <v>7</v>
      </c>
      <c r="G2752" s="2">
        <f>IF(ISNUMBER(SEARCH(Лист2!$B$4,F:F)),1,0)</f>
        <v>0</v>
      </c>
      <c r="H2752" s="3">
        <f ca="1">IF(AND(I2752&lt;&gt;I2751,ISNUMBER(SEARCH(Лист2!$B$5,I:I)),G2752=1),MAX($H$3:OFFSET(H2752,-1,0))+1,0)</f>
        <v>0</v>
      </c>
      <c r="I2752" s="3" t="s">
        <v>228</v>
      </c>
      <c r="K2752" s="2">
        <f>IF(ISNUMBER(SEARCH(Лист2!$B$4,F:F)),1,0)</f>
        <v>0</v>
      </c>
      <c r="L2752" s="14">
        <f>IF(ISNUMBER(SEARCH(Лист2!$B$5,I:I)),1,0)+K2752</f>
        <v>0</v>
      </c>
      <c r="M2752" s="3">
        <f ca="1">IF(AND(N2752&lt;&gt;N2751,ISNUMBER(SEARCH(Лист2!$B$6,N:N)),L2752=2),MAX($M$3:OFFSET(M2752,-1,0))+1,0)</f>
        <v>0</v>
      </c>
      <c r="N2752" s="3" t="s">
        <v>1698</v>
      </c>
    </row>
    <row r="2753" spans="1:14" x14ac:dyDescent="0.25">
      <c r="A2753" s="1" t="s">
        <v>11373</v>
      </c>
      <c r="B2753" s="3" t="s">
        <v>6377</v>
      </c>
      <c r="C2753" s="2">
        <f ca="1">IF(ISNUMBER(SEARCH(Лист2!$B$4,D:D)),MAX($C$3:OFFSET(C2753,-1,0))+1,0)</f>
        <v>0</v>
      </c>
      <c r="E2753" s="9" t="str">
        <f t="shared" ca="1" si="54"/>
        <v/>
      </c>
      <c r="F2753" s="4" t="s">
        <v>7</v>
      </c>
      <c r="G2753" s="2">
        <f>IF(ISNUMBER(SEARCH(Лист2!$B$4,F:F)),1,0)</f>
        <v>0</v>
      </c>
      <c r="H2753" s="3">
        <f ca="1">IF(AND(I2753&lt;&gt;I2752,ISNUMBER(SEARCH(Лист2!$B$5,I:I)),G2753=1),MAX($H$3:OFFSET(H2753,-1,0))+1,0)</f>
        <v>0</v>
      </c>
      <c r="I2753" s="3" t="s">
        <v>229</v>
      </c>
      <c r="K2753" s="2">
        <f>IF(ISNUMBER(SEARCH(Лист2!$B$4,F:F)),1,0)</f>
        <v>0</v>
      </c>
      <c r="L2753" s="14">
        <f>IF(ISNUMBER(SEARCH(Лист2!$B$5,I:I)),1,0)+K2753</f>
        <v>0</v>
      </c>
      <c r="M2753" s="3">
        <f ca="1">IF(AND(N2753&lt;&gt;N2752,ISNUMBER(SEARCH(Лист2!$B$6,N:N)),L2753=2),MAX($M$3:OFFSET(M2753,-1,0))+1,0)</f>
        <v>0</v>
      </c>
      <c r="N2753" s="3" t="s">
        <v>1699</v>
      </c>
    </row>
    <row r="2754" spans="1:14" x14ac:dyDescent="0.25">
      <c r="A2754" s="1" t="s">
        <v>11574</v>
      </c>
      <c r="B2754" s="3" t="s">
        <v>6378</v>
      </c>
      <c r="C2754" s="2">
        <f ca="1">IF(ISNUMBER(SEARCH(Лист2!$B$4,D:D)),MAX($C$3:OFFSET(C2754,-1,0))+1,0)</f>
        <v>0</v>
      </c>
      <c r="E2754" s="9" t="str">
        <f t="shared" ca="1" si="54"/>
        <v/>
      </c>
      <c r="F2754" s="4" t="s">
        <v>7</v>
      </c>
      <c r="G2754" s="2">
        <f>IF(ISNUMBER(SEARCH(Лист2!$B$4,F:F)),1,0)</f>
        <v>0</v>
      </c>
      <c r="H2754" s="3">
        <f ca="1">IF(AND(I2754&lt;&gt;I2753,ISNUMBER(SEARCH(Лист2!$B$5,I:I)),G2754=1),MAX($H$3:OFFSET(H2754,-1,0))+1,0)</f>
        <v>0</v>
      </c>
      <c r="I2754" s="3" t="s">
        <v>229</v>
      </c>
      <c r="K2754" s="2">
        <f>IF(ISNUMBER(SEARCH(Лист2!$B$4,F:F)),1,0)</f>
        <v>0</v>
      </c>
      <c r="L2754" s="14">
        <f>IF(ISNUMBER(SEARCH(Лист2!$B$5,I:I)),1,0)+K2754</f>
        <v>0</v>
      </c>
      <c r="M2754" s="3">
        <f ca="1">IF(AND(N2754&lt;&gt;N2753,ISNUMBER(SEARCH(Лист2!$B$6,N:N)),L2754=2),MAX($M$3:OFFSET(M2754,-1,0))+1,0)</f>
        <v>0</v>
      </c>
      <c r="N2754" s="3" t="s">
        <v>1836</v>
      </c>
    </row>
    <row r="2755" spans="1:14" x14ac:dyDescent="0.25">
      <c r="A2755" s="1" t="s">
        <v>11681</v>
      </c>
      <c r="B2755" s="3" t="s">
        <v>6379</v>
      </c>
      <c r="C2755" s="2">
        <f ca="1">IF(ISNUMBER(SEARCH(Лист2!$B$4,D:D)),MAX($C$3:OFFSET(C2755,-1,0))+1,0)</f>
        <v>0</v>
      </c>
      <c r="E2755" s="9" t="str">
        <f t="shared" ca="1" si="54"/>
        <v/>
      </c>
      <c r="F2755" s="4" t="s">
        <v>7</v>
      </c>
      <c r="G2755" s="2">
        <f>IF(ISNUMBER(SEARCH(Лист2!$B$4,F:F)),1,0)</f>
        <v>0</v>
      </c>
      <c r="H2755" s="3">
        <f ca="1">IF(AND(I2755&lt;&gt;I2754,ISNUMBER(SEARCH(Лист2!$B$5,I:I)),G2755=1),MAX($H$3:OFFSET(H2755,-1,0))+1,0)</f>
        <v>0</v>
      </c>
      <c r="I2755" s="3" t="s">
        <v>229</v>
      </c>
      <c r="K2755" s="2">
        <f>IF(ISNUMBER(SEARCH(Лист2!$B$4,F:F)),1,0)</f>
        <v>0</v>
      </c>
      <c r="L2755" s="14">
        <f>IF(ISNUMBER(SEARCH(Лист2!$B$5,I:I)),1,0)+K2755</f>
        <v>0</v>
      </c>
      <c r="M2755" s="3">
        <f ca="1">IF(AND(N2755&lt;&gt;N2754,ISNUMBER(SEARCH(Лист2!$B$6,N:N)),L2755=2),MAX($M$3:OFFSET(M2755,-1,0))+1,0)</f>
        <v>0</v>
      </c>
      <c r="N2755" s="3" t="s">
        <v>1735</v>
      </c>
    </row>
    <row r="2756" spans="1:14" x14ac:dyDescent="0.25">
      <c r="A2756" s="1" t="s">
        <v>11377</v>
      </c>
      <c r="B2756" s="3" t="s">
        <v>6380</v>
      </c>
      <c r="C2756" s="2">
        <f ca="1">IF(ISNUMBER(SEARCH(Лист2!$B$4,D:D)),MAX($C$3:OFFSET(C2756,-1,0))+1,0)</f>
        <v>0</v>
      </c>
      <c r="E2756" s="9" t="str">
        <f t="shared" ca="1" si="54"/>
        <v/>
      </c>
      <c r="F2756" s="4" t="s">
        <v>7</v>
      </c>
      <c r="G2756" s="2">
        <f>IF(ISNUMBER(SEARCH(Лист2!$B$4,F:F)),1,0)</f>
        <v>0</v>
      </c>
      <c r="H2756" s="3">
        <f ca="1">IF(AND(I2756&lt;&gt;I2755,ISNUMBER(SEARCH(Лист2!$B$5,I:I)),G2756=1),MAX($H$3:OFFSET(H2756,-1,0))+1,0)</f>
        <v>0</v>
      </c>
      <c r="I2756" s="3" t="s">
        <v>229</v>
      </c>
      <c r="K2756" s="2">
        <f>IF(ISNUMBER(SEARCH(Лист2!$B$4,F:F)),1,0)</f>
        <v>0</v>
      </c>
      <c r="L2756" s="14">
        <f>IF(ISNUMBER(SEARCH(Лист2!$B$5,I:I)),1,0)+K2756</f>
        <v>0</v>
      </c>
      <c r="M2756" s="3">
        <f ca="1">IF(AND(N2756&lt;&gt;N2755,ISNUMBER(SEARCH(Лист2!$B$6,N:N)),L2756=2),MAX($M$3:OFFSET(M2756,-1,0))+1,0)</f>
        <v>0</v>
      </c>
      <c r="N2756" s="3" t="s">
        <v>1690</v>
      </c>
    </row>
    <row r="2757" spans="1:14" x14ac:dyDescent="0.25">
      <c r="A2757" s="1" t="s">
        <v>11375</v>
      </c>
      <c r="B2757" s="3" t="s">
        <v>6381</v>
      </c>
      <c r="C2757" s="2">
        <f ca="1">IF(ISNUMBER(SEARCH(Лист2!$B$4,D:D)),MAX($C$3:OFFSET(C2757,-1,0))+1,0)</f>
        <v>0</v>
      </c>
      <c r="E2757" s="9" t="str">
        <f t="shared" ref="E2757:E2820" ca="1" si="55">IFERROR(INDEX(D:D,MATCH(ROW(E2757)-ROW($E$3),C:C,0)),"")</f>
        <v/>
      </c>
      <c r="F2757" s="4" t="s">
        <v>7</v>
      </c>
      <c r="G2757" s="2">
        <f>IF(ISNUMBER(SEARCH(Лист2!$B$4,F:F)),1,0)</f>
        <v>0</v>
      </c>
      <c r="H2757" s="3">
        <f ca="1">IF(AND(I2757&lt;&gt;I2756,ISNUMBER(SEARCH(Лист2!$B$5,I:I)),G2757=1),MAX($H$3:OFFSET(H2757,-1,0))+1,0)</f>
        <v>0</v>
      </c>
      <c r="I2757" s="3" t="s">
        <v>229</v>
      </c>
      <c r="K2757" s="2">
        <f>IF(ISNUMBER(SEARCH(Лист2!$B$4,F:F)),1,0)</f>
        <v>0</v>
      </c>
      <c r="L2757" s="14">
        <f>IF(ISNUMBER(SEARCH(Лист2!$B$5,I:I)),1,0)+K2757</f>
        <v>0</v>
      </c>
      <c r="M2757" s="3">
        <f ca="1">IF(AND(N2757&lt;&gt;N2756,ISNUMBER(SEARCH(Лист2!$B$6,N:N)),L2757=2),MAX($M$3:OFFSET(M2757,-1,0))+1,0)</f>
        <v>0</v>
      </c>
      <c r="N2757" s="3" t="s">
        <v>1678</v>
      </c>
    </row>
    <row r="2758" spans="1:14" x14ac:dyDescent="0.25">
      <c r="A2758" s="1" t="s">
        <v>11378</v>
      </c>
      <c r="B2758" s="3" t="s">
        <v>6382</v>
      </c>
      <c r="C2758" s="2">
        <f ca="1">IF(ISNUMBER(SEARCH(Лист2!$B$4,D:D)),MAX($C$3:OFFSET(C2758,-1,0))+1,0)</f>
        <v>0</v>
      </c>
      <c r="E2758" s="9" t="str">
        <f t="shared" ca="1" si="55"/>
        <v/>
      </c>
      <c r="F2758" s="4" t="s">
        <v>7</v>
      </c>
      <c r="G2758" s="2">
        <f>IF(ISNUMBER(SEARCH(Лист2!$B$4,F:F)),1,0)</f>
        <v>0</v>
      </c>
      <c r="H2758" s="3">
        <f ca="1">IF(AND(I2758&lt;&gt;I2757,ISNUMBER(SEARCH(Лист2!$B$5,I:I)),G2758=1),MAX($H$3:OFFSET(H2758,-1,0))+1,0)</f>
        <v>0</v>
      </c>
      <c r="I2758" s="3" t="s">
        <v>229</v>
      </c>
      <c r="K2758" s="2">
        <f>IF(ISNUMBER(SEARCH(Лист2!$B$4,F:F)),1,0)</f>
        <v>0</v>
      </c>
      <c r="L2758" s="14">
        <f>IF(ISNUMBER(SEARCH(Лист2!$B$5,I:I)),1,0)+K2758</f>
        <v>0</v>
      </c>
      <c r="M2758" s="3">
        <f ca="1">IF(AND(N2758&lt;&gt;N2757,ISNUMBER(SEARCH(Лист2!$B$6,N:N)),L2758=2),MAX($M$3:OFFSET(M2758,-1,0))+1,0)</f>
        <v>0</v>
      </c>
      <c r="N2758" s="3" t="s">
        <v>602</v>
      </c>
    </row>
    <row r="2759" spans="1:14" x14ac:dyDescent="0.25">
      <c r="A2759" s="1" t="s">
        <v>11379</v>
      </c>
      <c r="B2759" s="3" t="s">
        <v>6383</v>
      </c>
      <c r="C2759" s="2">
        <f ca="1">IF(ISNUMBER(SEARCH(Лист2!$B$4,D:D)),MAX($C$3:OFFSET(C2759,-1,0))+1,0)</f>
        <v>0</v>
      </c>
      <c r="E2759" s="9" t="str">
        <f t="shared" ca="1" si="55"/>
        <v/>
      </c>
      <c r="F2759" s="4" t="s">
        <v>7</v>
      </c>
      <c r="G2759" s="2">
        <f>IF(ISNUMBER(SEARCH(Лист2!$B$4,F:F)),1,0)</f>
        <v>0</v>
      </c>
      <c r="H2759" s="3">
        <f ca="1">IF(AND(I2759&lt;&gt;I2758,ISNUMBER(SEARCH(Лист2!$B$5,I:I)),G2759=1),MAX($H$3:OFFSET(H2759,-1,0))+1,0)</f>
        <v>0</v>
      </c>
      <c r="I2759" s="3" t="s">
        <v>229</v>
      </c>
      <c r="K2759" s="2">
        <f>IF(ISNUMBER(SEARCH(Лист2!$B$4,F:F)),1,0)</f>
        <v>0</v>
      </c>
      <c r="L2759" s="14">
        <f>IF(ISNUMBER(SEARCH(Лист2!$B$5,I:I)),1,0)+K2759</f>
        <v>0</v>
      </c>
      <c r="M2759" s="3">
        <f ca="1">IF(AND(N2759&lt;&gt;N2758,ISNUMBER(SEARCH(Лист2!$B$6,N:N)),L2759=2),MAX($M$3:OFFSET(M2759,-1,0))+1,0)</f>
        <v>0</v>
      </c>
      <c r="N2759" s="3" t="s">
        <v>1701</v>
      </c>
    </row>
    <row r="2760" spans="1:14" x14ac:dyDescent="0.25">
      <c r="A2760" s="1" t="s">
        <v>11380</v>
      </c>
      <c r="B2760" s="3" t="s">
        <v>6384</v>
      </c>
      <c r="C2760" s="2">
        <f ca="1">IF(ISNUMBER(SEARCH(Лист2!$B$4,D:D)),MAX($C$3:OFFSET(C2760,-1,0))+1,0)</f>
        <v>0</v>
      </c>
      <c r="E2760" s="9" t="str">
        <f t="shared" ca="1" si="55"/>
        <v/>
      </c>
      <c r="F2760" s="4" t="s">
        <v>7</v>
      </c>
      <c r="G2760" s="2">
        <f>IF(ISNUMBER(SEARCH(Лист2!$B$4,F:F)),1,0)</f>
        <v>0</v>
      </c>
      <c r="H2760" s="3">
        <f ca="1">IF(AND(I2760&lt;&gt;I2759,ISNUMBER(SEARCH(Лист2!$B$5,I:I)),G2760=1),MAX($H$3:OFFSET(H2760,-1,0))+1,0)</f>
        <v>0</v>
      </c>
      <c r="I2760" s="3" t="s">
        <v>229</v>
      </c>
      <c r="K2760" s="2">
        <f>IF(ISNUMBER(SEARCH(Лист2!$B$4,F:F)),1,0)</f>
        <v>0</v>
      </c>
      <c r="L2760" s="14">
        <f>IF(ISNUMBER(SEARCH(Лист2!$B$5,I:I)),1,0)+K2760</f>
        <v>0</v>
      </c>
      <c r="M2760" s="3">
        <f ca="1">IF(AND(N2760&lt;&gt;N2759,ISNUMBER(SEARCH(Лист2!$B$6,N:N)),L2760=2),MAX($M$3:OFFSET(M2760,-1,0))+1,0)</f>
        <v>0</v>
      </c>
      <c r="N2760" s="3" t="s">
        <v>1702</v>
      </c>
    </row>
    <row r="2761" spans="1:14" x14ac:dyDescent="0.25">
      <c r="A2761" s="1" t="s">
        <v>11381</v>
      </c>
      <c r="B2761" s="3" t="s">
        <v>6385</v>
      </c>
      <c r="C2761" s="2">
        <f ca="1">IF(ISNUMBER(SEARCH(Лист2!$B$4,D:D)),MAX($C$3:OFFSET(C2761,-1,0))+1,0)</f>
        <v>0</v>
      </c>
      <c r="E2761" s="9" t="str">
        <f t="shared" ca="1" si="55"/>
        <v/>
      </c>
      <c r="F2761" s="4" t="s">
        <v>7</v>
      </c>
      <c r="G2761" s="2">
        <f>IF(ISNUMBER(SEARCH(Лист2!$B$4,F:F)),1,0)</f>
        <v>0</v>
      </c>
      <c r="H2761" s="3">
        <f ca="1">IF(AND(I2761&lt;&gt;I2760,ISNUMBER(SEARCH(Лист2!$B$5,I:I)),G2761=1),MAX($H$3:OFFSET(H2761,-1,0))+1,0)</f>
        <v>0</v>
      </c>
      <c r="I2761" s="3" t="s">
        <v>229</v>
      </c>
      <c r="K2761" s="2">
        <f>IF(ISNUMBER(SEARCH(Лист2!$B$4,F:F)),1,0)</f>
        <v>0</v>
      </c>
      <c r="L2761" s="14">
        <f>IF(ISNUMBER(SEARCH(Лист2!$B$5,I:I)),1,0)+K2761</f>
        <v>0</v>
      </c>
      <c r="M2761" s="3">
        <f ca="1">IF(AND(N2761&lt;&gt;N2760,ISNUMBER(SEARCH(Лист2!$B$6,N:N)),L2761=2),MAX($M$3:OFFSET(M2761,-1,0))+1,0)</f>
        <v>0</v>
      </c>
      <c r="N2761" s="3" t="s">
        <v>1703</v>
      </c>
    </row>
    <row r="2762" spans="1:14" x14ac:dyDescent="0.25">
      <c r="A2762" s="1" t="s">
        <v>11382</v>
      </c>
      <c r="B2762" s="3" t="s">
        <v>6386</v>
      </c>
      <c r="C2762" s="2">
        <f ca="1">IF(ISNUMBER(SEARCH(Лист2!$B$4,D:D)),MAX($C$3:OFFSET(C2762,-1,0))+1,0)</f>
        <v>0</v>
      </c>
      <c r="E2762" s="9" t="str">
        <f t="shared" ca="1" si="55"/>
        <v/>
      </c>
      <c r="F2762" s="4" t="s">
        <v>7</v>
      </c>
      <c r="G2762" s="2">
        <f>IF(ISNUMBER(SEARCH(Лист2!$B$4,F:F)),1,0)</f>
        <v>0</v>
      </c>
      <c r="H2762" s="3">
        <f ca="1">IF(AND(I2762&lt;&gt;I2761,ISNUMBER(SEARCH(Лист2!$B$5,I:I)),G2762=1),MAX($H$3:OFFSET(H2762,-1,0))+1,0)</f>
        <v>0</v>
      </c>
      <c r="I2762" s="3" t="s">
        <v>230</v>
      </c>
      <c r="K2762" s="2">
        <f>IF(ISNUMBER(SEARCH(Лист2!$B$4,F:F)),1,0)</f>
        <v>0</v>
      </c>
      <c r="L2762" s="14">
        <f>IF(ISNUMBER(SEARCH(Лист2!$B$5,I:I)),1,0)+K2762</f>
        <v>0</v>
      </c>
      <c r="M2762" s="3">
        <f ca="1">IF(AND(N2762&lt;&gt;N2761,ISNUMBER(SEARCH(Лист2!$B$6,N:N)),L2762=2),MAX($M$3:OFFSET(M2762,-1,0))+1,0)</f>
        <v>0</v>
      </c>
      <c r="N2762" s="3" t="s">
        <v>1704</v>
      </c>
    </row>
    <row r="2763" spans="1:14" x14ac:dyDescent="0.25">
      <c r="A2763" s="1" t="s">
        <v>11383</v>
      </c>
      <c r="B2763" s="3" t="s">
        <v>6387</v>
      </c>
      <c r="C2763" s="2">
        <f ca="1">IF(ISNUMBER(SEARCH(Лист2!$B$4,D:D)),MAX($C$3:OFFSET(C2763,-1,0))+1,0)</f>
        <v>0</v>
      </c>
      <c r="E2763" s="9" t="str">
        <f t="shared" ca="1" si="55"/>
        <v/>
      </c>
      <c r="F2763" s="4" t="s">
        <v>7</v>
      </c>
      <c r="G2763" s="2">
        <f>IF(ISNUMBER(SEARCH(Лист2!$B$4,F:F)),1,0)</f>
        <v>0</v>
      </c>
      <c r="H2763" s="3">
        <f ca="1">IF(AND(I2763&lt;&gt;I2762,ISNUMBER(SEARCH(Лист2!$B$5,I:I)),G2763=1),MAX($H$3:OFFSET(H2763,-1,0))+1,0)</f>
        <v>0</v>
      </c>
      <c r="I2763" s="3" t="s">
        <v>230</v>
      </c>
      <c r="K2763" s="2">
        <f>IF(ISNUMBER(SEARCH(Лист2!$B$4,F:F)),1,0)</f>
        <v>0</v>
      </c>
      <c r="L2763" s="14">
        <f>IF(ISNUMBER(SEARCH(Лист2!$B$5,I:I)),1,0)+K2763</f>
        <v>0</v>
      </c>
      <c r="M2763" s="3">
        <f ca="1">IF(AND(N2763&lt;&gt;N2762,ISNUMBER(SEARCH(Лист2!$B$6,N:N)),L2763=2),MAX($M$3:OFFSET(M2763,-1,0))+1,0)</f>
        <v>0</v>
      </c>
      <c r="N2763" s="3" t="s">
        <v>1705</v>
      </c>
    </row>
    <row r="2764" spans="1:14" x14ac:dyDescent="0.25">
      <c r="A2764" s="1" t="s">
        <v>11682</v>
      </c>
      <c r="B2764" s="3" t="s">
        <v>6388</v>
      </c>
      <c r="C2764" s="2">
        <f ca="1">IF(ISNUMBER(SEARCH(Лист2!$B$4,D:D)),MAX($C$3:OFFSET(C2764,-1,0))+1,0)</f>
        <v>0</v>
      </c>
      <c r="E2764" s="9" t="str">
        <f t="shared" ca="1" si="55"/>
        <v/>
      </c>
      <c r="F2764" s="4" t="s">
        <v>7</v>
      </c>
      <c r="G2764" s="2">
        <f>IF(ISNUMBER(SEARCH(Лист2!$B$4,F:F)),1,0)</f>
        <v>0</v>
      </c>
      <c r="H2764" s="3">
        <f ca="1">IF(AND(I2764&lt;&gt;I2763,ISNUMBER(SEARCH(Лист2!$B$5,I:I)),G2764=1),MAX($H$3:OFFSET(H2764,-1,0))+1,0)</f>
        <v>0</v>
      </c>
      <c r="I2764" s="3" t="s">
        <v>230</v>
      </c>
      <c r="K2764" s="2">
        <f>IF(ISNUMBER(SEARCH(Лист2!$B$4,F:F)),1,0)</f>
        <v>0</v>
      </c>
      <c r="L2764" s="14">
        <f>IF(ISNUMBER(SEARCH(Лист2!$B$5,I:I)),1,0)+K2764</f>
        <v>0</v>
      </c>
      <c r="M2764" s="3">
        <f ca="1">IF(AND(N2764&lt;&gt;N2763,ISNUMBER(SEARCH(Лист2!$B$6,N:N)),L2764=2),MAX($M$3:OFFSET(M2764,-1,0))+1,0)</f>
        <v>0</v>
      </c>
      <c r="N2764" s="3" t="s">
        <v>1735</v>
      </c>
    </row>
    <row r="2765" spans="1:14" x14ac:dyDescent="0.25">
      <c r="A2765" s="1" t="s">
        <v>11386</v>
      </c>
      <c r="B2765" s="3" t="s">
        <v>6389</v>
      </c>
      <c r="C2765" s="2">
        <f ca="1">IF(ISNUMBER(SEARCH(Лист2!$B$4,D:D)),MAX($C$3:OFFSET(C2765,-1,0))+1,0)</f>
        <v>0</v>
      </c>
      <c r="E2765" s="9" t="str">
        <f t="shared" ca="1" si="55"/>
        <v/>
      </c>
      <c r="F2765" s="4" t="s">
        <v>7</v>
      </c>
      <c r="G2765" s="2">
        <f>IF(ISNUMBER(SEARCH(Лист2!$B$4,F:F)),1,0)</f>
        <v>0</v>
      </c>
      <c r="H2765" s="3">
        <f ca="1">IF(AND(I2765&lt;&gt;I2764,ISNUMBER(SEARCH(Лист2!$B$5,I:I)),G2765=1),MAX($H$3:OFFSET(H2765,-1,0))+1,0)</f>
        <v>0</v>
      </c>
      <c r="I2765" s="3" t="s">
        <v>230</v>
      </c>
      <c r="K2765" s="2">
        <f>IF(ISNUMBER(SEARCH(Лист2!$B$4,F:F)),1,0)</f>
        <v>0</v>
      </c>
      <c r="L2765" s="14">
        <f>IF(ISNUMBER(SEARCH(Лист2!$B$5,I:I)),1,0)+K2765</f>
        <v>0</v>
      </c>
      <c r="M2765" s="3">
        <f ca="1">IF(AND(N2765&lt;&gt;N2764,ISNUMBER(SEARCH(Лист2!$B$6,N:N)),L2765=2),MAX($M$3:OFFSET(M2765,-1,0))+1,0)</f>
        <v>0</v>
      </c>
      <c r="N2765" s="3" t="s">
        <v>1690</v>
      </c>
    </row>
    <row r="2766" spans="1:14" x14ac:dyDescent="0.25">
      <c r="A2766" s="1" t="s">
        <v>11384</v>
      </c>
      <c r="B2766" s="3" t="s">
        <v>6390</v>
      </c>
      <c r="C2766" s="2">
        <f ca="1">IF(ISNUMBER(SEARCH(Лист2!$B$4,D:D)),MAX($C$3:OFFSET(C2766,-1,0))+1,0)</f>
        <v>0</v>
      </c>
      <c r="E2766" s="9" t="str">
        <f t="shared" ca="1" si="55"/>
        <v/>
      </c>
      <c r="F2766" s="4" t="s">
        <v>7</v>
      </c>
      <c r="G2766" s="2">
        <f>IF(ISNUMBER(SEARCH(Лист2!$B$4,F:F)),1,0)</f>
        <v>0</v>
      </c>
      <c r="H2766" s="3">
        <f ca="1">IF(AND(I2766&lt;&gt;I2765,ISNUMBER(SEARCH(Лист2!$B$5,I:I)),G2766=1),MAX($H$3:OFFSET(H2766,-1,0))+1,0)</f>
        <v>0</v>
      </c>
      <c r="I2766" s="3" t="s">
        <v>230</v>
      </c>
      <c r="K2766" s="2">
        <f>IF(ISNUMBER(SEARCH(Лист2!$B$4,F:F)),1,0)</f>
        <v>0</v>
      </c>
      <c r="L2766" s="14">
        <f>IF(ISNUMBER(SEARCH(Лист2!$B$5,I:I)),1,0)+K2766</f>
        <v>0</v>
      </c>
      <c r="M2766" s="3">
        <f ca="1">IF(AND(N2766&lt;&gt;N2765,ISNUMBER(SEARCH(Лист2!$B$6,N:N)),L2766=2),MAX($M$3:OFFSET(M2766,-1,0))+1,0)</f>
        <v>0</v>
      </c>
      <c r="N2766" s="3" t="s">
        <v>1678</v>
      </c>
    </row>
    <row r="2767" spans="1:14" x14ac:dyDescent="0.25">
      <c r="A2767" s="1" t="s">
        <v>11387</v>
      </c>
      <c r="B2767" s="3" t="s">
        <v>6391</v>
      </c>
      <c r="C2767" s="2">
        <f ca="1">IF(ISNUMBER(SEARCH(Лист2!$B$4,D:D)),MAX($C$3:OFFSET(C2767,-1,0))+1,0)</f>
        <v>0</v>
      </c>
      <c r="E2767" s="9" t="str">
        <f t="shared" ca="1" si="55"/>
        <v/>
      </c>
      <c r="F2767" s="4" t="s">
        <v>7</v>
      </c>
      <c r="G2767" s="2">
        <f>IF(ISNUMBER(SEARCH(Лист2!$B$4,F:F)),1,0)</f>
        <v>0</v>
      </c>
      <c r="H2767" s="3">
        <f ca="1">IF(AND(I2767&lt;&gt;I2766,ISNUMBER(SEARCH(Лист2!$B$5,I:I)),G2767=1),MAX($H$3:OFFSET(H2767,-1,0))+1,0)</f>
        <v>0</v>
      </c>
      <c r="I2767" s="3" t="s">
        <v>230</v>
      </c>
      <c r="K2767" s="2">
        <f>IF(ISNUMBER(SEARCH(Лист2!$B$4,F:F)),1,0)</f>
        <v>0</v>
      </c>
      <c r="L2767" s="14">
        <f>IF(ISNUMBER(SEARCH(Лист2!$B$5,I:I)),1,0)+K2767</f>
        <v>0</v>
      </c>
      <c r="M2767" s="3">
        <f ca="1">IF(AND(N2767&lt;&gt;N2766,ISNUMBER(SEARCH(Лист2!$B$6,N:N)),L2767=2),MAX($M$3:OFFSET(M2767,-1,0))+1,0)</f>
        <v>0</v>
      </c>
      <c r="N2767" s="3" t="s">
        <v>602</v>
      </c>
    </row>
    <row r="2768" spans="1:14" x14ac:dyDescent="0.25">
      <c r="A2768" s="1" t="s">
        <v>11388</v>
      </c>
      <c r="B2768" s="3" t="s">
        <v>6392</v>
      </c>
      <c r="C2768" s="2">
        <f ca="1">IF(ISNUMBER(SEARCH(Лист2!$B$4,D:D)),MAX($C$3:OFFSET(C2768,-1,0))+1,0)</f>
        <v>0</v>
      </c>
      <c r="E2768" s="9" t="str">
        <f t="shared" ca="1" si="55"/>
        <v/>
      </c>
      <c r="F2768" s="4" t="s">
        <v>7</v>
      </c>
      <c r="G2768" s="2">
        <f>IF(ISNUMBER(SEARCH(Лист2!$B$4,F:F)),1,0)</f>
        <v>0</v>
      </c>
      <c r="H2768" s="3">
        <f ca="1">IF(AND(I2768&lt;&gt;I2767,ISNUMBER(SEARCH(Лист2!$B$5,I:I)),G2768=1),MAX($H$3:OFFSET(H2768,-1,0))+1,0)</f>
        <v>0</v>
      </c>
      <c r="I2768" s="3" t="s">
        <v>230</v>
      </c>
      <c r="K2768" s="2">
        <f>IF(ISNUMBER(SEARCH(Лист2!$B$4,F:F)),1,0)</f>
        <v>0</v>
      </c>
      <c r="L2768" s="14">
        <f>IF(ISNUMBER(SEARCH(Лист2!$B$5,I:I)),1,0)+K2768</f>
        <v>0</v>
      </c>
      <c r="M2768" s="3">
        <f ca="1">IF(AND(N2768&lt;&gt;N2767,ISNUMBER(SEARCH(Лист2!$B$6,N:N)),L2768=2),MAX($M$3:OFFSET(M2768,-1,0))+1,0)</f>
        <v>0</v>
      </c>
      <c r="N2768" s="3" t="s">
        <v>1706</v>
      </c>
    </row>
    <row r="2769" spans="1:14" x14ac:dyDescent="0.25">
      <c r="A2769" s="1" t="s">
        <v>11389</v>
      </c>
      <c r="B2769" s="3" t="s">
        <v>6393</v>
      </c>
      <c r="C2769" s="2">
        <f ca="1">IF(ISNUMBER(SEARCH(Лист2!$B$4,D:D)),MAX($C$3:OFFSET(C2769,-1,0))+1,0)</f>
        <v>0</v>
      </c>
      <c r="E2769" s="9" t="str">
        <f t="shared" ca="1" si="55"/>
        <v/>
      </c>
      <c r="F2769" s="4" t="s">
        <v>7</v>
      </c>
      <c r="G2769" s="2">
        <f>IF(ISNUMBER(SEARCH(Лист2!$B$4,F:F)),1,0)</f>
        <v>0</v>
      </c>
      <c r="H2769" s="3">
        <f ca="1">IF(AND(I2769&lt;&gt;I2768,ISNUMBER(SEARCH(Лист2!$B$5,I:I)),G2769=1),MAX($H$3:OFFSET(H2769,-1,0))+1,0)</f>
        <v>0</v>
      </c>
      <c r="I2769" s="3" t="s">
        <v>230</v>
      </c>
      <c r="K2769" s="2">
        <f>IF(ISNUMBER(SEARCH(Лист2!$B$4,F:F)),1,0)</f>
        <v>0</v>
      </c>
      <c r="L2769" s="14">
        <f>IF(ISNUMBER(SEARCH(Лист2!$B$5,I:I)),1,0)+K2769</f>
        <v>0</v>
      </c>
      <c r="M2769" s="3">
        <f ca="1">IF(AND(N2769&lt;&gt;N2768,ISNUMBER(SEARCH(Лист2!$B$6,N:N)),L2769=2),MAX($M$3:OFFSET(M2769,-1,0))+1,0)</f>
        <v>0</v>
      </c>
      <c r="N2769" s="3" t="s">
        <v>1707</v>
      </c>
    </row>
    <row r="2770" spans="1:14" x14ac:dyDescent="0.25">
      <c r="A2770" s="1" t="s">
        <v>11390</v>
      </c>
      <c r="B2770" s="3" t="s">
        <v>6394</v>
      </c>
      <c r="C2770" s="2">
        <f ca="1">IF(ISNUMBER(SEARCH(Лист2!$B$4,D:D)),MAX($C$3:OFFSET(C2770,-1,0))+1,0)</f>
        <v>0</v>
      </c>
      <c r="E2770" s="9" t="str">
        <f t="shared" ca="1" si="55"/>
        <v/>
      </c>
      <c r="F2770" s="4" t="s">
        <v>7</v>
      </c>
      <c r="G2770" s="2">
        <f>IF(ISNUMBER(SEARCH(Лист2!$B$4,F:F)),1,0)</f>
        <v>0</v>
      </c>
      <c r="H2770" s="3">
        <f ca="1">IF(AND(I2770&lt;&gt;I2769,ISNUMBER(SEARCH(Лист2!$B$5,I:I)),G2770=1),MAX($H$3:OFFSET(H2770,-1,0))+1,0)</f>
        <v>0</v>
      </c>
      <c r="I2770" s="3" t="s">
        <v>230</v>
      </c>
      <c r="K2770" s="2">
        <f>IF(ISNUMBER(SEARCH(Лист2!$B$4,F:F)),1,0)</f>
        <v>0</v>
      </c>
      <c r="L2770" s="14">
        <f>IF(ISNUMBER(SEARCH(Лист2!$B$5,I:I)),1,0)+K2770</f>
        <v>0</v>
      </c>
      <c r="M2770" s="3">
        <f ca="1">IF(AND(N2770&lt;&gt;N2769,ISNUMBER(SEARCH(Лист2!$B$6,N:N)),L2770=2),MAX($M$3:OFFSET(M2770,-1,0))+1,0)</f>
        <v>0</v>
      </c>
      <c r="N2770" s="3" t="s">
        <v>1708</v>
      </c>
    </row>
    <row r="2771" spans="1:14" x14ac:dyDescent="0.25">
      <c r="A2771" s="1" t="s">
        <v>11391</v>
      </c>
      <c r="B2771" s="3" t="s">
        <v>6395</v>
      </c>
      <c r="C2771" s="2">
        <f ca="1">IF(ISNUMBER(SEARCH(Лист2!$B$4,D:D)),MAX($C$3:OFFSET(C2771,-1,0))+1,0)</f>
        <v>0</v>
      </c>
      <c r="E2771" s="9" t="str">
        <f t="shared" ca="1" si="55"/>
        <v/>
      </c>
      <c r="F2771" s="4" t="s">
        <v>7</v>
      </c>
      <c r="G2771" s="2">
        <f>IF(ISNUMBER(SEARCH(Лист2!$B$4,F:F)),1,0)</f>
        <v>0</v>
      </c>
      <c r="H2771" s="3">
        <f ca="1">IF(AND(I2771&lt;&gt;I2770,ISNUMBER(SEARCH(Лист2!$B$5,I:I)),G2771=1),MAX($H$3:OFFSET(H2771,-1,0))+1,0)</f>
        <v>0</v>
      </c>
      <c r="I2771" s="3" t="s">
        <v>231</v>
      </c>
      <c r="K2771" s="2">
        <f>IF(ISNUMBER(SEARCH(Лист2!$B$4,F:F)),1,0)</f>
        <v>0</v>
      </c>
      <c r="L2771" s="14">
        <f>IF(ISNUMBER(SEARCH(Лист2!$B$5,I:I)),1,0)+K2771</f>
        <v>0</v>
      </c>
      <c r="M2771" s="3">
        <f ca="1">IF(AND(N2771&lt;&gt;N2770,ISNUMBER(SEARCH(Лист2!$B$6,N:N)),L2771=2),MAX($M$3:OFFSET(M2771,-1,0))+1,0)</f>
        <v>0</v>
      </c>
      <c r="N2771" s="3" t="s">
        <v>1709</v>
      </c>
    </row>
    <row r="2772" spans="1:14" x14ac:dyDescent="0.25">
      <c r="A2772" s="1" t="s">
        <v>11392</v>
      </c>
      <c r="B2772" s="3" t="s">
        <v>6396</v>
      </c>
      <c r="C2772" s="2">
        <f ca="1">IF(ISNUMBER(SEARCH(Лист2!$B$4,D:D)),MAX($C$3:OFFSET(C2772,-1,0))+1,0)</f>
        <v>0</v>
      </c>
      <c r="E2772" s="9" t="str">
        <f t="shared" ca="1" si="55"/>
        <v/>
      </c>
      <c r="F2772" s="4" t="s">
        <v>7</v>
      </c>
      <c r="G2772" s="2">
        <f>IF(ISNUMBER(SEARCH(Лист2!$B$4,F:F)),1,0)</f>
        <v>0</v>
      </c>
      <c r="H2772" s="3">
        <f ca="1">IF(AND(I2772&lt;&gt;I2771,ISNUMBER(SEARCH(Лист2!$B$5,I:I)),G2772=1),MAX($H$3:OFFSET(H2772,-1,0))+1,0)</f>
        <v>0</v>
      </c>
      <c r="I2772" s="3" t="s">
        <v>231</v>
      </c>
      <c r="K2772" s="2">
        <f>IF(ISNUMBER(SEARCH(Лист2!$B$4,F:F)),1,0)</f>
        <v>0</v>
      </c>
      <c r="L2772" s="14">
        <f>IF(ISNUMBER(SEARCH(Лист2!$B$5,I:I)),1,0)+K2772</f>
        <v>0</v>
      </c>
      <c r="M2772" s="3">
        <f ca="1">IF(AND(N2772&lt;&gt;N2771,ISNUMBER(SEARCH(Лист2!$B$6,N:N)),L2772=2),MAX($M$3:OFFSET(M2772,-1,0))+1,0)</f>
        <v>0</v>
      </c>
      <c r="N2772" s="3" t="s">
        <v>1710</v>
      </c>
    </row>
    <row r="2773" spans="1:14" x14ac:dyDescent="0.25">
      <c r="A2773" s="1" t="s">
        <v>11683</v>
      </c>
      <c r="B2773" s="3" t="s">
        <v>6397</v>
      </c>
      <c r="C2773" s="2">
        <f ca="1">IF(ISNUMBER(SEARCH(Лист2!$B$4,D:D)),MAX($C$3:OFFSET(C2773,-1,0))+1,0)</f>
        <v>0</v>
      </c>
      <c r="E2773" s="9" t="str">
        <f t="shared" ca="1" si="55"/>
        <v/>
      </c>
      <c r="F2773" s="4" t="s">
        <v>7</v>
      </c>
      <c r="G2773" s="2">
        <f>IF(ISNUMBER(SEARCH(Лист2!$B$4,F:F)),1,0)</f>
        <v>0</v>
      </c>
      <c r="H2773" s="3">
        <f ca="1">IF(AND(I2773&lt;&gt;I2772,ISNUMBER(SEARCH(Лист2!$B$5,I:I)),G2773=1),MAX($H$3:OFFSET(H2773,-1,0))+1,0)</f>
        <v>0</v>
      </c>
      <c r="I2773" s="3" t="s">
        <v>231</v>
      </c>
      <c r="K2773" s="2">
        <f>IF(ISNUMBER(SEARCH(Лист2!$B$4,F:F)),1,0)</f>
        <v>0</v>
      </c>
      <c r="L2773" s="14">
        <f>IF(ISNUMBER(SEARCH(Лист2!$B$5,I:I)),1,0)+K2773</f>
        <v>0</v>
      </c>
      <c r="M2773" s="3">
        <f ca="1">IF(AND(N2773&lt;&gt;N2772,ISNUMBER(SEARCH(Лист2!$B$6,N:N)),L2773=2),MAX($M$3:OFFSET(M2773,-1,0))+1,0)</f>
        <v>0</v>
      </c>
      <c r="N2773" s="3" t="s">
        <v>1735</v>
      </c>
    </row>
    <row r="2774" spans="1:14" x14ac:dyDescent="0.25">
      <c r="A2774" s="1" t="s">
        <v>11395</v>
      </c>
      <c r="B2774" s="3" t="s">
        <v>6398</v>
      </c>
      <c r="C2774" s="2">
        <f ca="1">IF(ISNUMBER(SEARCH(Лист2!$B$4,D:D)),MAX($C$3:OFFSET(C2774,-1,0))+1,0)</f>
        <v>0</v>
      </c>
      <c r="E2774" s="9" t="str">
        <f t="shared" ca="1" si="55"/>
        <v/>
      </c>
      <c r="F2774" s="4" t="s">
        <v>7</v>
      </c>
      <c r="G2774" s="2">
        <f>IF(ISNUMBER(SEARCH(Лист2!$B$4,F:F)),1,0)</f>
        <v>0</v>
      </c>
      <c r="H2774" s="3">
        <f ca="1">IF(AND(I2774&lt;&gt;I2773,ISNUMBER(SEARCH(Лист2!$B$5,I:I)),G2774=1),MAX($H$3:OFFSET(H2774,-1,0))+1,0)</f>
        <v>0</v>
      </c>
      <c r="I2774" s="3" t="s">
        <v>231</v>
      </c>
      <c r="K2774" s="2">
        <f>IF(ISNUMBER(SEARCH(Лист2!$B$4,F:F)),1,0)</f>
        <v>0</v>
      </c>
      <c r="L2774" s="14">
        <f>IF(ISNUMBER(SEARCH(Лист2!$B$5,I:I)),1,0)+K2774</f>
        <v>0</v>
      </c>
      <c r="M2774" s="3">
        <f ca="1">IF(AND(N2774&lt;&gt;N2773,ISNUMBER(SEARCH(Лист2!$B$6,N:N)),L2774=2),MAX($M$3:OFFSET(M2774,-1,0))+1,0)</f>
        <v>0</v>
      </c>
      <c r="N2774" s="3" t="s">
        <v>1621</v>
      </c>
    </row>
    <row r="2775" spans="1:14" x14ac:dyDescent="0.25">
      <c r="A2775" s="1" t="s">
        <v>11393</v>
      </c>
      <c r="B2775" s="3" t="s">
        <v>6399</v>
      </c>
      <c r="C2775" s="2">
        <f ca="1">IF(ISNUMBER(SEARCH(Лист2!$B$4,D:D)),MAX($C$3:OFFSET(C2775,-1,0))+1,0)</f>
        <v>0</v>
      </c>
      <c r="E2775" s="9" t="str">
        <f t="shared" ca="1" si="55"/>
        <v/>
      </c>
      <c r="F2775" s="4" t="s">
        <v>7</v>
      </c>
      <c r="G2775" s="2">
        <f>IF(ISNUMBER(SEARCH(Лист2!$B$4,F:F)),1,0)</f>
        <v>0</v>
      </c>
      <c r="H2775" s="3">
        <f ca="1">IF(AND(I2775&lt;&gt;I2774,ISNUMBER(SEARCH(Лист2!$B$5,I:I)),G2775=1),MAX($H$3:OFFSET(H2775,-1,0))+1,0)</f>
        <v>0</v>
      </c>
      <c r="I2775" s="3" t="s">
        <v>231</v>
      </c>
      <c r="K2775" s="2">
        <f>IF(ISNUMBER(SEARCH(Лист2!$B$4,F:F)),1,0)</f>
        <v>0</v>
      </c>
      <c r="L2775" s="14">
        <f>IF(ISNUMBER(SEARCH(Лист2!$B$5,I:I)),1,0)+K2775</f>
        <v>0</v>
      </c>
      <c r="M2775" s="3">
        <f ca="1">IF(AND(N2775&lt;&gt;N2774,ISNUMBER(SEARCH(Лист2!$B$6,N:N)),L2775=2),MAX($M$3:OFFSET(M2775,-1,0))+1,0)</f>
        <v>0</v>
      </c>
      <c r="N2775" s="3" t="s">
        <v>1678</v>
      </c>
    </row>
    <row r="2776" spans="1:14" x14ac:dyDescent="0.25">
      <c r="A2776" s="1" t="s">
        <v>11396</v>
      </c>
      <c r="B2776" s="3" t="s">
        <v>6400</v>
      </c>
      <c r="C2776" s="2">
        <f ca="1">IF(ISNUMBER(SEARCH(Лист2!$B$4,D:D)),MAX($C$3:OFFSET(C2776,-1,0))+1,0)</f>
        <v>0</v>
      </c>
      <c r="E2776" s="9" t="str">
        <f t="shared" ca="1" si="55"/>
        <v/>
      </c>
      <c r="F2776" s="4" t="s">
        <v>7</v>
      </c>
      <c r="G2776" s="2">
        <f>IF(ISNUMBER(SEARCH(Лист2!$B$4,F:F)),1,0)</f>
        <v>0</v>
      </c>
      <c r="H2776" s="3">
        <f ca="1">IF(AND(I2776&lt;&gt;I2775,ISNUMBER(SEARCH(Лист2!$B$5,I:I)),G2776=1),MAX($H$3:OFFSET(H2776,-1,0))+1,0)</f>
        <v>0</v>
      </c>
      <c r="I2776" s="3" t="s">
        <v>231</v>
      </c>
      <c r="K2776" s="2">
        <f>IF(ISNUMBER(SEARCH(Лист2!$B$4,F:F)),1,0)</f>
        <v>0</v>
      </c>
      <c r="L2776" s="14">
        <f>IF(ISNUMBER(SEARCH(Лист2!$B$5,I:I)),1,0)+K2776</f>
        <v>0</v>
      </c>
      <c r="M2776" s="3">
        <f ca="1">IF(AND(N2776&lt;&gt;N2775,ISNUMBER(SEARCH(Лист2!$B$6,N:N)),L2776=2),MAX($M$3:OFFSET(M2776,-1,0))+1,0)</f>
        <v>0</v>
      </c>
      <c r="N2776" s="3" t="s">
        <v>602</v>
      </c>
    </row>
    <row r="2777" spans="1:14" x14ac:dyDescent="0.25">
      <c r="A2777" s="1" t="s">
        <v>11397</v>
      </c>
      <c r="B2777" s="3" t="s">
        <v>6401</v>
      </c>
      <c r="C2777" s="2">
        <f ca="1">IF(ISNUMBER(SEARCH(Лист2!$B$4,D:D)),MAX($C$3:OFFSET(C2777,-1,0))+1,0)</f>
        <v>0</v>
      </c>
      <c r="E2777" s="9" t="str">
        <f t="shared" ca="1" si="55"/>
        <v/>
      </c>
      <c r="F2777" s="4" t="s">
        <v>7</v>
      </c>
      <c r="G2777" s="2">
        <f>IF(ISNUMBER(SEARCH(Лист2!$B$4,F:F)),1,0)</f>
        <v>0</v>
      </c>
      <c r="H2777" s="3">
        <f ca="1">IF(AND(I2777&lt;&gt;I2776,ISNUMBER(SEARCH(Лист2!$B$5,I:I)),G2777=1),MAX($H$3:OFFSET(H2777,-1,0))+1,0)</f>
        <v>0</v>
      </c>
      <c r="I2777" s="3" t="s">
        <v>231</v>
      </c>
      <c r="K2777" s="2">
        <f>IF(ISNUMBER(SEARCH(Лист2!$B$4,F:F)),1,0)</f>
        <v>0</v>
      </c>
      <c r="L2777" s="14">
        <f>IF(ISNUMBER(SEARCH(Лист2!$B$5,I:I)),1,0)+K2777</f>
        <v>0</v>
      </c>
      <c r="M2777" s="3">
        <f ca="1">IF(AND(N2777&lt;&gt;N2776,ISNUMBER(SEARCH(Лист2!$B$6,N:N)),L2777=2),MAX($M$3:OFFSET(M2777,-1,0))+1,0)</f>
        <v>0</v>
      </c>
      <c r="N2777" s="3" t="s">
        <v>1711</v>
      </c>
    </row>
    <row r="2778" spans="1:14" x14ac:dyDescent="0.25">
      <c r="A2778" s="1" t="s">
        <v>11398</v>
      </c>
      <c r="B2778" s="3" t="s">
        <v>6402</v>
      </c>
      <c r="C2778" s="2">
        <f ca="1">IF(ISNUMBER(SEARCH(Лист2!$B$4,D:D)),MAX($C$3:OFFSET(C2778,-1,0))+1,0)</f>
        <v>0</v>
      </c>
      <c r="E2778" s="9" t="str">
        <f t="shared" ca="1" si="55"/>
        <v/>
      </c>
      <c r="F2778" s="4" t="s">
        <v>7</v>
      </c>
      <c r="G2778" s="2">
        <f>IF(ISNUMBER(SEARCH(Лист2!$B$4,F:F)),1,0)</f>
        <v>0</v>
      </c>
      <c r="H2778" s="3">
        <f ca="1">IF(AND(I2778&lt;&gt;I2777,ISNUMBER(SEARCH(Лист2!$B$5,I:I)),G2778=1),MAX($H$3:OFFSET(H2778,-1,0))+1,0)</f>
        <v>0</v>
      </c>
      <c r="I2778" s="3" t="s">
        <v>231</v>
      </c>
      <c r="K2778" s="2">
        <f>IF(ISNUMBER(SEARCH(Лист2!$B$4,F:F)),1,0)</f>
        <v>0</v>
      </c>
      <c r="L2778" s="14">
        <f>IF(ISNUMBER(SEARCH(Лист2!$B$5,I:I)),1,0)+K2778</f>
        <v>0</v>
      </c>
      <c r="M2778" s="3">
        <f ca="1">IF(AND(N2778&lt;&gt;N2777,ISNUMBER(SEARCH(Лист2!$B$6,N:N)),L2778=2),MAX($M$3:OFFSET(M2778,-1,0))+1,0)</f>
        <v>0</v>
      </c>
      <c r="N2778" s="3" t="s">
        <v>1712</v>
      </c>
    </row>
    <row r="2779" spans="1:14" x14ac:dyDescent="0.25">
      <c r="A2779" s="1" t="s">
        <v>11399</v>
      </c>
      <c r="B2779" s="3" t="s">
        <v>6403</v>
      </c>
      <c r="C2779" s="2">
        <f ca="1">IF(ISNUMBER(SEARCH(Лист2!$B$4,D:D)),MAX($C$3:OFFSET(C2779,-1,0))+1,0)</f>
        <v>0</v>
      </c>
      <c r="E2779" s="9" t="str">
        <f t="shared" ca="1" si="55"/>
        <v/>
      </c>
      <c r="F2779" s="4" t="s">
        <v>7</v>
      </c>
      <c r="G2779" s="2">
        <f>IF(ISNUMBER(SEARCH(Лист2!$B$4,F:F)),1,0)</f>
        <v>0</v>
      </c>
      <c r="H2779" s="3">
        <f ca="1">IF(AND(I2779&lt;&gt;I2778,ISNUMBER(SEARCH(Лист2!$B$5,I:I)),G2779=1),MAX($H$3:OFFSET(H2779,-1,0))+1,0)</f>
        <v>0</v>
      </c>
      <c r="I2779" s="3" t="s">
        <v>231</v>
      </c>
      <c r="K2779" s="2">
        <f>IF(ISNUMBER(SEARCH(Лист2!$B$4,F:F)),1,0)</f>
        <v>0</v>
      </c>
      <c r="L2779" s="14">
        <f>IF(ISNUMBER(SEARCH(Лист2!$B$5,I:I)),1,0)+K2779</f>
        <v>0</v>
      </c>
      <c r="M2779" s="3">
        <f ca="1">IF(AND(N2779&lt;&gt;N2778,ISNUMBER(SEARCH(Лист2!$B$6,N:N)),L2779=2),MAX($M$3:OFFSET(M2779,-1,0))+1,0)</f>
        <v>0</v>
      </c>
      <c r="N2779" s="3" t="s">
        <v>1713</v>
      </c>
    </row>
    <row r="2780" spans="1:14" x14ac:dyDescent="0.25">
      <c r="A2780" s="1" t="s">
        <v>11400</v>
      </c>
      <c r="B2780" s="3" t="s">
        <v>6404</v>
      </c>
      <c r="C2780" s="2">
        <f ca="1">IF(ISNUMBER(SEARCH(Лист2!$B$4,D:D)),MAX($C$3:OFFSET(C2780,-1,0))+1,0)</f>
        <v>0</v>
      </c>
      <c r="E2780" s="9" t="str">
        <f t="shared" ca="1" si="55"/>
        <v/>
      </c>
      <c r="F2780" s="4" t="s">
        <v>7</v>
      </c>
      <c r="G2780" s="2">
        <f>IF(ISNUMBER(SEARCH(Лист2!$B$4,F:F)),1,0)</f>
        <v>0</v>
      </c>
      <c r="H2780" s="3">
        <f ca="1">IF(AND(I2780&lt;&gt;I2779,ISNUMBER(SEARCH(Лист2!$B$5,I:I)),G2780=1),MAX($H$3:OFFSET(H2780,-1,0))+1,0)</f>
        <v>0</v>
      </c>
      <c r="I2780" s="3" t="s">
        <v>232</v>
      </c>
      <c r="K2780" s="2">
        <f>IF(ISNUMBER(SEARCH(Лист2!$B$4,F:F)),1,0)</f>
        <v>0</v>
      </c>
      <c r="L2780" s="14">
        <f>IF(ISNUMBER(SEARCH(Лист2!$B$5,I:I)),1,0)+K2780</f>
        <v>0</v>
      </c>
      <c r="M2780" s="3">
        <f ca="1">IF(AND(N2780&lt;&gt;N2779,ISNUMBER(SEARCH(Лист2!$B$6,N:N)),L2780=2),MAX($M$3:OFFSET(M2780,-1,0))+1,0)</f>
        <v>0</v>
      </c>
      <c r="N2780" s="3" t="s">
        <v>1714</v>
      </c>
    </row>
    <row r="2781" spans="1:14" x14ac:dyDescent="0.25">
      <c r="A2781" s="1" t="s">
        <v>11401</v>
      </c>
      <c r="B2781" s="3" t="s">
        <v>6405</v>
      </c>
      <c r="C2781" s="2">
        <f ca="1">IF(ISNUMBER(SEARCH(Лист2!$B$4,D:D)),MAX($C$3:OFFSET(C2781,-1,0))+1,0)</f>
        <v>0</v>
      </c>
      <c r="E2781" s="9" t="str">
        <f t="shared" ca="1" si="55"/>
        <v/>
      </c>
      <c r="F2781" s="4" t="s">
        <v>7</v>
      </c>
      <c r="G2781" s="2">
        <f>IF(ISNUMBER(SEARCH(Лист2!$B$4,F:F)),1,0)</f>
        <v>0</v>
      </c>
      <c r="H2781" s="3">
        <f ca="1">IF(AND(I2781&lt;&gt;I2780,ISNUMBER(SEARCH(Лист2!$B$5,I:I)),G2781=1),MAX($H$3:OFFSET(H2781,-1,0))+1,0)</f>
        <v>0</v>
      </c>
      <c r="I2781" s="3" t="s">
        <v>232</v>
      </c>
      <c r="K2781" s="2">
        <f>IF(ISNUMBER(SEARCH(Лист2!$B$4,F:F)),1,0)</f>
        <v>0</v>
      </c>
      <c r="L2781" s="14">
        <f>IF(ISNUMBER(SEARCH(Лист2!$B$5,I:I)),1,0)+K2781</f>
        <v>0</v>
      </c>
      <c r="M2781" s="3">
        <f ca="1">IF(AND(N2781&lt;&gt;N2780,ISNUMBER(SEARCH(Лист2!$B$6,N:N)),L2781=2),MAX($M$3:OFFSET(M2781,-1,0))+1,0)</f>
        <v>0</v>
      </c>
      <c r="N2781" s="3" t="s">
        <v>1715</v>
      </c>
    </row>
    <row r="2782" spans="1:14" x14ac:dyDescent="0.25">
      <c r="A2782" s="1" t="s">
        <v>11684</v>
      </c>
      <c r="B2782" s="3" t="s">
        <v>6406</v>
      </c>
      <c r="C2782" s="2">
        <f ca="1">IF(ISNUMBER(SEARCH(Лист2!$B$4,D:D)),MAX($C$3:OFFSET(C2782,-1,0))+1,0)</f>
        <v>0</v>
      </c>
      <c r="E2782" s="9" t="str">
        <f t="shared" ca="1" si="55"/>
        <v/>
      </c>
      <c r="F2782" s="4" t="s">
        <v>7</v>
      </c>
      <c r="G2782" s="2">
        <f>IF(ISNUMBER(SEARCH(Лист2!$B$4,F:F)),1,0)</f>
        <v>0</v>
      </c>
      <c r="H2782" s="3">
        <f ca="1">IF(AND(I2782&lt;&gt;I2781,ISNUMBER(SEARCH(Лист2!$B$5,I:I)),G2782=1),MAX($H$3:OFFSET(H2782,-1,0))+1,0)</f>
        <v>0</v>
      </c>
      <c r="I2782" s="3" t="s">
        <v>232</v>
      </c>
      <c r="K2782" s="2">
        <f>IF(ISNUMBER(SEARCH(Лист2!$B$4,F:F)),1,0)</f>
        <v>0</v>
      </c>
      <c r="L2782" s="14">
        <f>IF(ISNUMBER(SEARCH(Лист2!$B$5,I:I)),1,0)+K2782</f>
        <v>0</v>
      </c>
      <c r="M2782" s="3">
        <f ca="1">IF(AND(N2782&lt;&gt;N2781,ISNUMBER(SEARCH(Лист2!$B$6,N:N)),L2782=2),MAX($M$3:OFFSET(M2782,-1,0))+1,0)</f>
        <v>0</v>
      </c>
      <c r="N2782" s="3" t="s">
        <v>1735</v>
      </c>
    </row>
    <row r="2783" spans="1:14" x14ac:dyDescent="0.25">
      <c r="A2783" s="1" t="s">
        <v>11404</v>
      </c>
      <c r="B2783" s="3" t="s">
        <v>6407</v>
      </c>
      <c r="C2783" s="2">
        <f ca="1">IF(ISNUMBER(SEARCH(Лист2!$B$4,D:D)),MAX($C$3:OFFSET(C2783,-1,0))+1,0)</f>
        <v>0</v>
      </c>
      <c r="E2783" s="9" t="str">
        <f t="shared" ca="1" si="55"/>
        <v/>
      </c>
      <c r="F2783" s="4" t="s">
        <v>7</v>
      </c>
      <c r="G2783" s="2">
        <f>IF(ISNUMBER(SEARCH(Лист2!$B$4,F:F)),1,0)</f>
        <v>0</v>
      </c>
      <c r="H2783" s="3">
        <f ca="1">IF(AND(I2783&lt;&gt;I2782,ISNUMBER(SEARCH(Лист2!$B$5,I:I)),G2783=1),MAX($H$3:OFFSET(H2783,-1,0))+1,0)</f>
        <v>0</v>
      </c>
      <c r="I2783" s="3" t="s">
        <v>232</v>
      </c>
      <c r="K2783" s="2">
        <f>IF(ISNUMBER(SEARCH(Лист2!$B$4,F:F)),1,0)</f>
        <v>0</v>
      </c>
      <c r="L2783" s="14">
        <f>IF(ISNUMBER(SEARCH(Лист2!$B$5,I:I)),1,0)+K2783</f>
        <v>0</v>
      </c>
      <c r="M2783" s="3">
        <f ca="1">IF(AND(N2783&lt;&gt;N2782,ISNUMBER(SEARCH(Лист2!$B$6,N:N)),L2783=2),MAX($M$3:OFFSET(M2783,-1,0))+1,0)</f>
        <v>0</v>
      </c>
      <c r="N2783" s="3" t="s">
        <v>1621</v>
      </c>
    </row>
    <row r="2784" spans="1:14" x14ac:dyDescent="0.25">
      <c r="A2784" s="1" t="s">
        <v>11402</v>
      </c>
      <c r="B2784" s="3" t="s">
        <v>6408</v>
      </c>
      <c r="C2784" s="2">
        <f ca="1">IF(ISNUMBER(SEARCH(Лист2!$B$4,D:D)),MAX($C$3:OFFSET(C2784,-1,0))+1,0)</f>
        <v>0</v>
      </c>
      <c r="E2784" s="9" t="str">
        <f t="shared" ca="1" si="55"/>
        <v/>
      </c>
      <c r="F2784" s="4" t="s">
        <v>7</v>
      </c>
      <c r="G2784" s="2">
        <f>IF(ISNUMBER(SEARCH(Лист2!$B$4,F:F)),1,0)</f>
        <v>0</v>
      </c>
      <c r="H2784" s="3">
        <f ca="1">IF(AND(I2784&lt;&gt;I2783,ISNUMBER(SEARCH(Лист2!$B$5,I:I)),G2784=1),MAX($H$3:OFFSET(H2784,-1,0))+1,0)</f>
        <v>0</v>
      </c>
      <c r="I2784" s="3" t="s">
        <v>232</v>
      </c>
      <c r="K2784" s="2">
        <f>IF(ISNUMBER(SEARCH(Лист2!$B$4,F:F)),1,0)</f>
        <v>0</v>
      </c>
      <c r="L2784" s="14">
        <f>IF(ISNUMBER(SEARCH(Лист2!$B$5,I:I)),1,0)+K2784</f>
        <v>0</v>
      </c>
      <c r="M2784" s="3">
        <f ca="1">IF(AND(N2784&lt;&gt;N2783,ISNUMBER(SEARCH(Лист2!$B$6,N:N)),L2784=2),MAX($M$3:OFFSET(M2784,-1,0))+1,0)</f>
        <v>0</v>
      </c>
      <c r="N2784" s="3" t="s">
        <v>1678</v>
      </c>
    </row>
    <row r="2785" spans="1:14" x14ac:dyDescent="0.25">
      <c r="A2785" s="1" t="s">
        <v>11405</v>
      </c>
      <c r="B2785" s="3" t="s">
        <v>6409</v>
      </c>
      <c r="C2785" s="2">
        <f ca="1">IF(ISNUMBER(SEARCH(Лист2!$B$4,D:D)),MAX($C$3:OFFSET(C2785,-1,0))+1,0)</f>
        <v>0</v>
      </c>
      <c r="E2785" s="9" t="str">
        <f t="shared" ca="1" si="55"/>
        <v/>
      </c>
      <c r="F2785" s="4" t="s">
        <v>7</v>
      </c>
      <c r="G2785" s="2">
        <f>IF(ISNUMBER(SEARCH(Лист2!$B$4,F:F)),1,0)</f>
        <v>0</v>
      </c>
      <c r="H2785" s="3">
        <f ca="1">IF(AND(I2785&lt;&gt;I2784,ISNUMBER(SEARCH(Лист2!$B$5,I:I)),G2785=1),MAX($H$3:OFFSET(H2785,-1,0))+1,0)</f>
        <v>0</v>
      </c>
      <c r="I2785" s="3" t="s">
        <v>232</v>
      </c>
      <c r="K2785" s="2">
        <f>IF(ISNUMBER(SEARCH(Лист2!$B$4,F:F)),1,0)</f>
        <v>0</v>
      </c>
      <c r="L2785" s="14">
        <f>IF(ISNUMBER(SEARCH(Лист2!$B$5,I:I)),1,0)+K2785</f>
        <v>0</v>
      </c>
      <c r="M2785" s="3">
        <f ca="1">IF(AND(N2785&lt;&gt;N2784,ISNUMBER(SEARCH(Лист2!$B$6,N:N)),L2785=2),MAX($M$3:OFFSET(M2785,-1,0))+1,0)</f>
        <v>0</v>
      </c>
      <c r="N2785" s="3" t="s">
        <v>602</v>
      </c>
    </row>
    <row r="2786" spans="1:14" x14ac:dyDescent="0.25">
      <c r="A2786" s="1" t="s">
        <v>11406</v>
      </c>
      <c r="B2786" s="3" t="s">
        <v>6410</v>
      </c>
      <c r="C2786" s="2">
        <f ca="1">IF(ISNUMBER(SEARCH(Лист2!$B$4,D:D)),MAX($C$3:OFFSET(C2786,-1,0))+1,0)</f>
        <v>0</v>
      </c>
      <c r="E2786" s="9" t="str">
        <f t="shared" ca="1" si="55"/>
        <v/>
      </c>
      <c r="F2786" s="4" t="s">
        <v>7</v>
      </c>
      <c r="G2786" s="2">
        <f>IF(ISNUMBER(SEARCH(Лист2!$B$4,F:F)),1,0)</f>
        <v>0</v>
      </c>
      <c r="H2786" s="3">
        <f ca="1">IF(AND(I2786&lt;&gt;I2785,ISNUMBER(SEARCH(Лист2!$B$5,I:I)),G2786=1),MAX($H$3:OFFSET(H2786,-1,0))+1,0)</f>
        <v>0</v>
      </c>
      <c r="I2786" s="3" t="s">
        <v>232</v>
      </c>
      <c r="K2786" s="2">
        <f>IF(ISNUMBER(SEARCH(Лист2!$B$4,F:F)),1,0)</f>
        <v>0</v>
      </c>
      <c r="L2786" s="14">
        <f>IF(ISNUMBER(SEARCH(Лист2!$B$5,I:I)),1,0)+K2786</f>
        <v>0</v>
      </c>
      <c r="M2786" s="3">
        <f ca="1">IF(AND(N2786&lt;&gt;N2785,ISNUMBER(SEARCH(Лист2!$B$6,N:N)),L2786=2),MAX($M$3:OFFSET(M2786,-1,0))+1,0)</f>
        <v>0</v>
      </c>
      <c r="N2786" s="3" t="s">
        <v>1716</v>
      </c>
    </row>
    <row r="2787" spans="1:14" x14ac:dyDescent="0.25">
      <c r="A2787" s="1" t="s">
        <v>11407</v>
      </c>
      <c r="B2787" s="3" t="s">
        <v>6411</v>
      </c>
      <c r="C2787" s="2">
        <f ca="1">IF(ISNUMBER(SEARCH(Лист2!$B$4,D:D)),MAX($C$3:OFFSET(C2787,-1,0))+1,0)</f>
        <v>0</v>
      </c>
      <c r="E2787" s="9" t="str">
        <f t="shared" ca="1" si="55"/>
        <v/>
      </c>
      <c r="F2787" s="4" t="s">
        <v>7</v>
      </c>
      <c r="G2787" s="2">
        <f>IF(ISNUMBER(SEARCH(Лист2!$B$4,F:F)),1,0)</f>
        <v>0</v>
      </c>
      <c r="H2787" s="3">
        <f ca="1">IF(AND(I2787&lt;&gt;I2786,ISNUMBER(SEARCH(Лист2!$B$5,I:I)),G2787=1),MAX($H$3:OFFSET(H2787,-1,0))+1,0)</f>
        <v>0</v>
      </c>
      <c r="I2787" s="3" t="s">
        <v>232</v>
      </c>
      <c r="K2787" s="2">
        <f>IF(ISNUMBER(SEARCH(Лист2!$B$4,F:F)),1,0)</f>
        <v>0</v>
      </c>
      <c r="L2787" s="14">
        <f>IF(ISNUMBER(SEARCH(Лист2!$B$5,I:I)),1,0)+K2787</f>
        <v>0</v>
      </c>
      <c r="M2787" s="3">
        <f ca="1">IF(AND(N2787&lt;&gt;N2786,ISNUMBER(SEARCH(Лист2!$B$6,N:N)),L2787=2),MAX($M$3:OFFSET(M2787,-1,0))+1,0)</f>
        <v>0</v>
      </c>
      <c r="N2787" s="3" t="s">
        <v>1717</v>
      </c>
    </row>
    <row r="2788" spans="1:14" x14ac:dyDescent="0.25">
      <c r="A2788" s="1" t="s">
        <v>11408</v>
      </c>
      <c r="B2788" s="3" t="s">
        <v>6412</v>
      </c>
      <c r="C2788" s="2">
        <f ca="1">IF(ISNUMBER(SEARCH(Лист2!$B$4,D:D)),MAX($C$3:OFFSET(C2788,-1,0))+1,0)</f>
        <v>0</v>
      </c>
      <c r="E2788" s="9" t="str">
        <f t="shared" ca="1" si="55"/>
        <v/>
      </c>
      <c r="F2788" s="4" t="s">
        <v>7</v>
      </c>
      <c r="G2788" s="2">
        <f>IF(ISNUMBER(SEARCH(Лист2!$B$4,F:F)),1,0)</f>
        <v>0</v>
      </c>
      <c r="H2788" s="3">
        <f ca="1">IF(AND(I2788&lt;&gt;I2787,ISNUMBER(SEARCH(Лист2!$B$5,I:I)),G2788=1),MAX($H$3:OFFSET(H2788,-1,0))+1,0)</f>
        <v>0</v>
      </c>
      <c r="I2788" s="3" t="s">
        <v>232</v>
      </c>
      <c r="K2788" s="2">
        <f>IF(ISNUMBER(SEARCH(Лист2!$B$4,F:F)),1,0)</f>
        <v>0</v>
      </c>
      <c r="L2788" s="14">
        <f>IF(ISNUMBER(SEARCH(Лист2!$B$5,I:I)),1,0)+K2788</f>
        <v>0</v>
      </c>
      <c r="M2788" s="3">
        <f ca="1">IF(AND(N2788&lt;&gt;N2787,ISNUMBER(SEARCH(Лист2!$B$6,N:N)),L2788=2),MAX($M$3:OFFSET(M2788,-1,0))+1,0)</f>
        <v>0</v>
      </c>
      <c r="N2788" s="3" t="s">
        <v>1718</v>
      </c>
    </row>
    <row r="2789" spans="1:14" x14ac:dyDescent="0.25">
      <c r="A2789" s="1" t="s">
        <v>11427</v>
      </c>
      <c r="B2789" s="3" t="s">
        <v>6413</v>
      </c>
      <c r="C2789" s="2">
        <f ca="1">IF(ISNUMBER(SEARCH(Лист2!$B$4,D:D)),MAX($C$3:OFFSET(C2789,-1,0))+1,0)</f>
        <v>0</v>
      </c>
      <c r="E2789" s="9" t="str">
        <f t="shared" ca="1" si="55"/>
        <v/>
      </c>
      <c r="F2789" s="4" t="s">
        <v>7</v>
      </c>
      <c r="G2789" s="2">
        <f>IF(ISNUMBER(SEARCH(Лист2!$B$4,F:F)),1,0)</f>
        <v>0</v>
      </c>
      <c r="H2789" s="3">
        <f ca="1">IF(AND(I2789&lt;&gt;I2788,ISNUMBER(SEARCH(Лист2!$B$5,I:I)),G2789=1),MAX($H$3:OFFSET(H2789,-1,0))+1,0)</f>
        <v>0</v>
      </c>
      <c r="I2789" s="3" t="s">
        <v>235</v>
      </c>
      <c r="K2789" s="2">
        <f>IF(ISNUMBER(SEARCH(Лист2!$B$4,F:F)),1,0)</f>
        <v>0</v>
      </c>
      <c r="L2789" s="14">
        <f>IF(ISNUMBER(SEARCH(Лист2!$B$5,I:I)),1,0)+K2789</f>
        <v>0</v>
      </c>
      <c r="M2789" s="3">
        <f ca="1">IF(AND(N2789&lt;&gt;N2788,ISNUMBER(SEARCH(Лист2!$B$6,N:N)),L2789=2),MAX($M$3:OFFSET(M2789,-1,0))+1,0)</f>
        <v>0</v>
      </c>
      <c r="N2789" s="3" t="s">
        <v>1729</v>
      </c>
    </row>
    <row r="2790" spans="1:14" x14ac:dyDescent="0.25">
      <c r="A2790" s="1" t="s">
        <v>11428</v>
      </c>
      <c r="B2790" s="3" t="s">
        <v>6414</v>
      </c>
      <c r="C2790" s="2">
        <f ca="1">IF(ISNUMBER(SEARCH(Лист2!$B$4,D:D)),MAX($C$3:OFFSET(C2790,-1,0))+1,0)</f>
        <v>0</v>
      </c>
      <c r="E2790" s="9" t="str">
        <f t="shared" ca="1" si="55"/>
        <v/>
      </c>
      <c r="F2790" s="4" t="s">
        <v>7</v>
      </c>
      <c r="G2790" s="2">
        <f>IF(ISNUMBER(SEARCH(Лист2!$B$4,F:F)),1,0)</f>
        <v>0</v>
      </c>
      <c r="H2790" s="3">
        <f ca="1">IF(AND(I2790&lt;&gt;I2789,ISNUMBER(SEARCH(Лист2!$B$5,I:I)),G2790=1),MAX($H$3:OFFSET(H2790,-1,0))+1,0)</f>
        <v>0</v>
      </c>
      <c r="I2790" s="3" t="s">
        <v>235</v>
      </c>
      <c r="K2790" s="2">
        <f>IF(ISNUMBER(SEARCH(Лист2!$B$4,F:F)),1,0)</f>
        <v>0</v>
      </c>
      <c r="L2790" s="14">
        <f>IF(ISNUMBER(SEARCH(Лист2!$B$5,I:I)),1,0)+K2790</f>
        <v>0</v>
      </c>
      <c r="M2790" s="3">
        <f ca="1">IF(AND(N2790&lt;&gt;N2789,ISNUMBER(SEARCH(Лист2!$B$6,N:N)),L2790=2),MAX($M$3:OFFSET(M2790,-1,0))+1,0)</f>
        <v>0</v>
      </c>
      <c r="N2790" s="3" t="s">
        <v>1730</v>
      </c>
    </row>
    <row r="2791" spans="1:14" x14ac:dyDescent="0.25">
      <c r="A2791" s="1" t="s">
        <v>11428</v>
      </c>
      <c r="B2791" s="3" t="s">
        <v>6415</v>
      </c>
      <c r="C2791" s="2">
        <f ca="1">IF(ISNUMBER(SEARCH(Лист2!$B$4,D:D)),MAX($C$3:OFFSET(C2791,-1,0))+1,0)</f>
        <v>0</v>
      </c>
      <c r="E2791" s="9" t="str">
        <f t="shared" ca="1" si="55"/>
        <v/>
      </c>
      <c r="F2791" s="4" t="s">
        <v>7</v>
      </c>
      <c r="G2791" s="2">
        <f>IF(ISNUMBER(SEARCH(Лист2!$B$4,F:F)),1,0)</f>
        <v>0</v>
      </c>
      <c r="H2791" s="3">
        <f ca="1">IF(AND(I2791&lt;&gt;I2790,ISNUMBER(SEARCH(Лист2!$B$5,I:I)),G2791=1),MAX($H$3:OFFSET(H2791,-1,0))+1,0)</f>
        <v>0</v>
      </c>
      <c r="I2791" s="3" t="s">
        <v>235</v>
      </c>
      <c r="K2791" s="2">
        <f>IF(ISNUMBER(SEARCH(Лист2!$B$4,F:F)),1,0)</f>
        <v>0</v>
      </c>
      <c r="L2791" s="14">
        <f>IF(ISNUMBER(SEARCH(Лист2!$B$5,I:I)),1,0)+K2791</f>
        <v>0</v>
      </c>
      <c r="M2791" s="3">
        <f ca="1">IF(AND(N2791&lt;&gt;N2790,ISNUMBER(SEARCH(Лист2!$B$6,N:N)),L2791=2),MAX($M$3:OFFSET(M2791,-1,0))+1,0)</f>
        <v>0</v>
      </c>
      <c r="N2791" s="3" t="s">
        <v>1730</v>
      </c>
    </row>
    <row r="2792" spans="1:14" x14ac:dyDescent="0.25">
      <c r="A2792" s="1" t="s">
        <v>11430</v>
      </c>
      <c r="B2792" s="3" t="s">
        <v>6416</v>
      </c>
      <c r="C2792" s="2">
        <f ca="1">IF(ISNUMBER(SEARCH(Лист2!$B$4,D:D)),MAX($C$3:OFFSET(C2792,-1,0))+1,0)</f>
        <v>0</v>
      </c>
      <c r="E2792" s="9" t="str">
        <f t="shared" ca="1" si="55"/>
        <v/>
      </c>
      <c r="F2792" s="4" t="s">
        <v>7</v>
      </c>
      <c r="G2792" s="2">
        <f>IF(ISNUMBER(SEARCH(Лист2!$B$4,F:F)),1,0)</f>
        <v>0</v>
      </c>
      <c r="H2792" s="3">
        <f ca="1">IF(AND(I2792&lt;&gt;I2791,ISNUMBER(SEARCH(Лист2!$B$5,I:I)),G2792=1),MAX($H$3:OFFSET(H2792,-1,0))+1,0)</f>
        <v>0</v>
      </c>
      <c r="I2792" s="3" t="s">
        <v>235</v>
      </c>
      <c r="K2792" s="2">
        <f>IF(ISNUMBER(SEARCH(Лист2!$B$4,F:F)),1,0)</f>
        <v>0</v>
      </c>
      <c r="L2792" s="14">
        <f>IF(ISNUMBER(SEARCH(Лист2!$B$5,I:I)),1,0)+K2792</f>
        <v>0</v>
      </c>
      <c r="M2792" s="3">
        <f ca="1">IF(AND(N2792&lt;&gt;N2791,ISNUMBER(SEARCH(Лист2!$B$6,N:N)),L2792=2),MAX($M$3:OFFSET(M2792,-1,0))+1,0)</f>
        <v>0</v>
      </c>
      <c r="N2792" s="3" t="s">
        <v>1732</v>
      </c>
    </row>
    <row r="2793" spans="1:14" x14ac:dyDescent="0.25">
      <c r="A2793" s="1" t="s">
        <v>11431</v>
      </c>
      <c r="B2793" s="3" t="s">
        <v>6417</v>
      </c>
      <c r="C2793" s="2">
        <f ca="1">IF(ISNUMBER(SEARCH(Лист2!$B$4,D:D)),MAX($C$3:OFFSET(C2793,-1,0))+1,0)</f>
        <v>0</v>
      </c>
      <c r="E2793" s="9" t="str">
        <f t="shared" ca="1" si="55"/>
        <v/>
      </c>
      <c r="F2793" s="4" t="s">
        <v>7</v>
      </c>
      <c r="G2793" s="2">
        <f>IF(ISNUMBER(SEARCH(Лист2!$B$4,F:F)),1,0)</f>
        <v>0</v>
      </c>
      <c r="H2793" s="3">
        <f ca="1">IF(AND(I2793&lt;&gt;I2792,ISNUMBER(SEARCH(Лист2!$B$5,I:I)),G2793=1),MAX($H$3:OFFSET(H2793,-1,0))+1,0)</f>
        <v>0</v>
      </c>
      <c r="I2793" s="3" t="s">
        <v>235</v>
      </c>
      <c r="K2793" s="2">
        <f>IF(ISNUMBER(SEARCH(Лист2!$B$4,F:F)),1,0)</f>
        <v>0</v>
      </c>
      <c r="L2793" s="14">
        <f>IF(ISNUMBER(SEARCH(Лист2!$B$5,I:I)),1,0)+K2793</f>
        <v>0</v>
      </c>
      <c r="M2793" s="3">
        <f ca="1">IF(AND(N2793&lt;&gt;N2792,ISNUMBER(SEARCH(Лист2!$B$6,N:N)),L2793=2),MAX($M$3:OFFSET(M2793,-1,0))+1,0)</f>
        <v>0</v>
      </c>
      <c r="N2793" s="3" t="s">
        <v>1733</v>
      </c>
    </row>
    <row r="2794" spans="1:14" x14ac:dyDescent="0.25">
      <c r="A2794" s="1" t="s">
        <v>11432</v>
      </c>
      <c r="B2794" s="3" t="s">
        <v>6418</v>
      </c>
      <c r="C2794" s="2">
        <f ca="1">IF(ISNUMBER(SEARCH(Лист2!$B$4,D:D)),MAX($C$3:OFFSET(C2794,-1,0))+1,0)</f>
        <v>0</v>
      </c>
      <c r="E2794" s="9" t="str">
        <f t="shared" ca="1" si="55"/>
        <v/>
      </c>
      <c r="F2794" s="4" t="s">
        <v>7</v>
      </c>
      <c r="G2794" s="2">
        <f>IF(ISNUMBER(SEARCH(Лист2!$B$4,F:F)),1,0)</f>
        <v>0</v>
      </c>
      <c r="H2794" s="3">
        <f ca="1">IF(AND(I2794&lt;&gt;I2793,ISNUMBER(SEARCH(Лист2!$B$5,I:I)),G2794=1),MAX($H$3:OFFSET(H2794,-1,0))+1,0)</f>
        <v>0</v>
      </c>
      <c r="I2794" s="3" t="s">
        <v>235</v>
      </c>
      <c r="K2794" s="2">
        <f>IF(ISNUMBER(SEARCH(Лист2!$B$4,F:F)),1,0)</f>
        <v>0</v>
      </c>
      <c r="L2794" s="14">
        <f>IF(ISNUMBER(SEARCH(Лист2!$B$5,I:I)),1,0)+K2794</f>
        <v>0</v>
      </c>
      <c r="M2794" s="3">
        <f ca="1">IF(AND(N2794&lt;&gt;N2793,ISNUMBER(SEARCH(Лист2!$B$6,N:N)),L2794=2),MAX($M$3:OFFSET(M2794,-1,0))+1,0)</f>
        <v>0</v>
      </c>
      <c r="N2794" s="3" t="s">
        <v>1734</v>
      </c>
    </row>
    <row r="2795" spans="1:14" x14ac:dyDescent="0.25">
      <c r="A2795" s="1" t="s">
        <v>11433</v>
      </c>
      <c r="B2795" s="3" t="s">
        <v>6419</v>
      </c>
      <c r="C2795" s="2">
        <f ca="1">IF(ISNUMBER(SEARCH(Лист2!$B$4,D:D)),MAX($C$3:OFFSET(C2795,-1,0))+1,0)</f>
        <v>0</v>
      </c>
      <c r="E2795" s="9" t="str">
        <f t="shared" ca="1" si="55"/>
        <v/>
      </c>
      <c r="F2795" s="4" t="s">
        <v>7</v>
      </c>
      <c r="G2795" s="2">
        <f>IF(ISNUMBER(SEARCH(Лист2!$B$4,F:F)),1,0)</f>
        <v>0</v>
      </c>
      <c r="H2795" s="3">
        <f ca="1">IF(AND(I2795&lt;&gt;I2794,ISNUMBER(SEARCH(Лист2!$B$5,I:I)),G2795=1),MAX($H$3:OFFSET(H2795,-1,0))+1,0)</f>
        <v>0</v>
      </c>
      <c r="I2795" s="3" t="s">
        <v>235</v>
      </c>
      <c r="K2795" s="2">
        <f>IF(ISNUMBER(SEARCH(Лист2!$B$4,F:F)),1,0)</f>
        <v>0</v>
      </c>
      <c r="L2795" s="14">
        <f>IF(ISNUMBER(SEARCH(Лист2!$B$5,I:I)),1,0)+K2795</f>
        <v>0</v>
      </c>
      <c r="M2795" s="3">
        <f ca="1">IF(AND(N2795&lt;&gt;N2794,ISNUMBER(SEARCH(Лист2!$B$6,N:N)),L2795=2),MAX($M$3:OFFSET(M2795,-1,0))+1,0)</f>
        <v>0</v>
      </c>
      <c r="N2795" s="3" t="s">
        <v>1735</v>
      </c>
    </row>
    <row r="2796" spans="1:14" x14ac:dyDescent="0.25">
      <c r="A2796" s="1" t="s">
        <v>11595</v>
      </c>
      <c r="B2796" s="3" t="s">
        <v>6420</v>
      </c>
      <c r="C2796" s="2">
        <f ca="1">IF(ISNUMBER(SEARCH(Лист2!$B$4,D:D)),MAX($C$3:OFFSET(C2796,-1,0))+1,0)</f>
        <v>0</v>
      </c>
      <c r="E2796" s="9" t="str">
        <f t="shared" ca="1" si="55"/>
        <v/>
      </c>
      <c r="F2796" s="4" t="s">
        <v>7</v>
      </c>
      <c r="G2796" s="2">
        <f>IF(ISNUMBER(SEARCH(Лист2!$B$4,F:F)),1,0)</f>
        <v>0</v>
      </c>
      <c r="H2796" s="3">
        <f ca="1">IF(AND(I2796&lt;&gt;I2795,ISNUMBER(SEARCH(Лист2!$B$5,I:I)),G2796=1),MAX($H$3:OFFSET(H2796,-1,0))+1,0)</f>
        <v>0</v>
      </c>
      <c r="I2796" s="3" t="s">
        <v>235</v>
      </c>
      <c r="K2796" s="2">
        <f>IF(ISNUMBER(SEARCH(Лист2!$B$4,F:F)),1,0)</f>
        <v>0</v>
      </c>
      <c r="L2796" s="14">
        <f>IF(ISNUMBER(SEARCH(Лист2!$B$5,I:I)),1,0)+K2796</f>
        <v>0</v>
      </c>
      <c r="M2796" s="3">
        <f ca="1">IF(AND(N2796&lt;&gt;N2795,ISNUMBER(SEARCH(Лист2!$B$6,N:N)),L2796=2),MAX($M$3:OFFSET(M2796,-1,0))+1,0)</f>
        <v>0</v>
      </c>
      <c r="N2796" s="3" t="s">
        <v>1748</v>
      </c>
    </row>
    <row r="2797" spans="1:14" x14ac:dyDescent="0.25">
      <c r="A2797" s="1" t="s">
        <v>11434</v>
      </c>
      <c r="B2797" s="3" t="s">
        <v>6421</v>
      </c>
      <c r="C2797" s="2">
        <f ca="1">IF(ISNUMBER(SEARCH(Лист2!$B$4,D:D)),MAX($C$3:OFFSET(C2797,-1,0))+1,0)</f>
        <v>0</v>
      </c>
      <c r="E2797" s="9" t="str">
        <f t="shared" ca="1" si="55"/>
        <v/>
      </c>
      <c r="F2797" s="4" t="s">
        <v>7</v>
      </c>
      <c r="G2797" s="2">
        <f>IF(ISNUMBER(SEARCH(Лист2!$B$4,F:F)),1,0)</f>
        <v>0</v>
      </c>
      <c r="H2797" s="3">
        <f ca="1">IF(AND(I2797&lt;&gt;I2796,ISNUMBER(SEARCH(Лист2!$B$5,I:I)),G2797=1),MAX($H$3:OFFSET(H2797,-1,0))+1,0)</f>
        <v>0</v>
      </c>
      <c r="I2797" s="3" t="s">
        <v>235</v>
      </c>
      <c r="K2797" s="2">
        <f>IF(ISNUMBER(SEARCH(Лист2!$B$4,F:F)),1,0)</f>
        <v>0</v>
      </c>
      <c r="L2797" s="14">
        <f>IF(ISNUMBER(SEARCH(Лист2!$B$5,I:I)),1,0)+K2797</f>
        <v>0</v>
      </c>
      <c r="M2797" s="3">
        <f ca="1">IF(AND(N2797&lt;&gt;N2796,ISNUMBER(SEARCH(Лист2!$B$6,N:N)),L2797=2),MAX($M$3:OFFSET(M2797,-1,0))+1,0)</f>
        <v>0</v>
      </c>
      <c r="N2797" s="3" t="s">
        <v>1621</v>
      </c>
    </row>
    <row r="2798" spans="1:14" x14ac:dyDescent="0.25">
      <c r="A2798" s="1" t="s">
        <v>11596</v>
      </c>
      <c r="B2798" s="3" t="s">
        <v>6422</v>
      </c>
      <c r="C2798" s="2">
        <f ca="1">IF(ISNUMBER(SEARCH(Лист2!$B$4,D:D)),MAX($C$3:OFFSET(C2798,-1,0))+1,0)</f>
        <v>0</v>
      </c>
      <c r="E2798" s="9" t="str">
        <f t="shared" ca="1" si="55"/>
        <v/>
      </c>
      <c r="F2798" s="4" t="s">
        <v>7</v>
      </c>
      <c r="G2798" s="2">
        <f>IF(ISNUMBER(SEARCH(Лист2!$B$4,F:F)),1,0)</f>
        <v>0</v>
      </c>
      <c r="H2798" s="3">
        <f ca="1">IF(AND(I2798&lt;&gt;I2797,ISNUMBER(SEARCH(Лист2!$B$5,I:I)),G2798=1),MAX($H$3:OFFSET(H2798,-1,0))+1,0)</f>
        <v>0</v>
      </c>
      <c r="I2798" s="3" t="s">
        <v>235</v>
      </c>
      <c r="K2798" s="2">
        <f>IF(ISNUMBER(SEARCH(Лист2!$B$4,F:F)),1,0)</f>
        <v>0</v>
      </c>
      <c r="L2798" s="14">
        <f>IF(ISNUMBER(SEARCH(Лист2!$B$5,I:I)),1,0)+K2798</f>
        <v>0</v>
      </c>
      <c r="M2798" s="3">
        <f ca="1">IF(AND(N2798&lt;&gt;N2797,ISNUMBER(SEARCH(Лист2!$B$6,N:N)),L2798=2),MAX($M$3:OFFSET(M2798,-1,0))+1,0)</f>
        <v>0</v>
      </c>
      <c r="N2798" s="3" t="s">
        <v>1749</v>
      </c>
    </row>
    <row r="2799" spans="1:14" x14ac:dyDescent="0.25">
      <c r="A2799" s="1" t="s">
        <v>11437</v>
      </c>
      <c r="B2799" s="3" t="s">
        <v>6423</v>
      </c>
      <c r="C2799" s="2">
        <f ca="1">IF(ISNUMBER(SEARCH(Лист2!$B$4,D:D)),MAX($C$3:OFFSET(C2799,-1,0))+1,0)</f>
        <v>0</v>
      </c>
      <c r="E2799" s="9" t="str">
        <f t="shared" ca="1" si="55"/>
        <v/>
      </c>
      <c r="F2799" s="4" t="s">
        <v>7</v>
      </c>
      <c r="G2799" s="2">
        <f>IF(ISNUMBER(SEARCH(Лист2!$B$4,F:F)),1,0)</f>
        <v>0</v>
      </c>
      <c r="H2799" s="3">
        <f ca="1">IF(AND(I2799&lt;&gt;I2798,ISNUMBER(SEARCH(Лист2!$B$5,I:I)),G2799=1),MAX($H$3:OFFSET(H2799,-1,0))+1,0)</f>
        <v>0</v>
      </c>
      <c r="I2799" s="3" t="s">
        <v>235</v>
      </c>
      <c r="K2799" s="2">
        <f>IF(ISNUMBER(SEARCH(Лист2!$B$4,F:F)),1,0)</f>
        <v>0</v>
      </c>
      <c r="L2799" s="14">
        <f>IF(ISNUMBER(SEARCH(Лист2!$B$5,I:I)),1,0)+K2799</f>
        <v>0</v>
      </c>
      <c r="M2799" s="3">
        <f ca="1">IF(AND(N2799&lt;&gt;N2798,ISNUMBER(SEARCH(Лист2!$B$6,N:N)),L2799=2),MAX($M$3:OFFSET(M2799,-1,0))+1,0)</f>
        <v>0</v>
      </c>
      <c r="N2799" s="3" t="s">
        <v>1678</v>
      </c>
    </row>
    <row r="2800" spans="1:14" x14ac:dyDescent="0.25">
      <c r="A2800" s="1" t="s">
        <v>11438</v>
      </c>
      <c r="B2800" s="3" t="s">
        <v>6424</v>
      </c>
      <c r="C2800" s="2">
        <f ca="1">IF(ISNUMBER(SEARCH(Лист2!$B$4,D:D)),MAX($C$3:OFFSET(C2800,-1,0))+1,0)</f>
        <v>0</v>
      </c>
      <c r="E2800" s="9" t="str">
        <f t="shared" ca="1" si="55"/>
        <v/>
      </c>
      <c r="F2800" s="4" t="s">
        <v>7</v>
      </c>
      <c r="G2800" s="2">
        <f>IF(ISNUMBER(SEARCH(Лист2!$B$4,F:F)),1,0)</f>
        <v>0</v>
      </c>
      <c r="H2800" s="3">
        <f ca="1">IF(AND(I2800&lt;&gt;I2799,ISNUMBER(SEARCH(Лист2!$B$5,I:I)),G2800=1),MAX($H$3:OFFSET(H2800,-1,0))+1,0)</f>
        <v>0</v>
      </c>
      <c r="I2800" s="3" t="s">
        <v>235</v>
      </c>
      <c r="K2800" s="2">
        <f>IF(ISNUMBER(SEARCH(Лист2!$B$4,F:F)),1,0)</f>
        <v>0</v>
      </c>
      <c r="L2800" s="14">
        <f>IF(ISNUMBER(SEARCH(Лист2!$B$5,I:I)),1,0)+K2800</f>
        <v>0</v>
      </c>
      <c r="M2800" s="3">
        <f ca="1">IF(AND(N2800&lt;&gt;N2799,ISNUMBER(SEARCH(Лист2!$B$6,N:N)),L2800=2),MAX($M$3:OFFSET(M2800,-1,0))+1,0)</f>
        <v>0</v>
      </c>
      <c r="N2800" s="3" t="s">
        <v>602</v>
      </c>
    </row>
    <row r="2801" spans="1:14" x14ac:dyDescent="0.25">
      <c r="A2801" s="1" t="s">
        <v>11439</v>
      </c>
      <c r="B2801" s="3" t="s">
        <v>6425</v>
      </c>
      <c r="C2801" s="2">
        <f ca="1">IF(ISNUMBER(SEARCH(Лист2!$B$4,D:D)),MAX($C$3:OFFSET(C2801,-1,0))+1,0)</f>
        <v>0</v>
      </c>
      <c r="E2801" s="9" t="str">
        <f t="shared" ca="1" si="55"/>
        <v/>
      </c>
      <c r="F2801" s="4" t="s">
        <v>7</v>
      </c>
      <c r="G2801" s="2">
        <f>IF(ISNUMBER(SEARCH(Лист2!$B$4,F:F)),1,0)</f>
        <v>0</v>
      </c>
      <c r="H2801" s="3">
        <f ca="1">IF(AND(I2801&lt;&gt;I2800,ISNUMBER(SEARCH(Лист2!$B$5,I:I)),G2801=1),MAX($H$3:OFFSET(H2801,-1,0))+1,0)</f>
        <v>0</v>
      </c>
      <c r="I2801" s="3" t="s">
        <v>235</v>
      </c>
      <c r="K2801" s="2">
        <f>IF(ISNUMBER(SEARCH(Лист2!$B$4,F:F)),1,0)</f>
        <v>0</v>
      </c>
      <c r="L2801" s="14">
        <f>IF(ISNUMBER(SEARCH(Лист2!$B$5,I:I)),1,0)+K2801</f>
        <v>0</v>
      </c>
      <c r="M2801" s="3">
        <f ca="1">IF(AND(N2801&lt;&gt;N2800,ISNUMBER(SEARCH(Лист2!$B$6,N:N)),L2801=2),MAX($M$3:OFFSET(M2801,-1,0))+1,0)</f>
        <v>0</v>
      </c>
      <c r="N2801" s="3" t="s">
        <v>1738</v>
      </c>
    </row>
    <row r="2802" spans="1:14" x14ac:dyDescent="0.25">
      <c r="A2802" s="1" t="s">
        <v>11440</v>
      </c>
      <c r="B2802" s="3" t="s">
        <v>6426</v>
      </c>
      <c r="C2802" s="2">
        <f ca="1">IF(ISNUMBER(SEARCH(Лист2!$B$4,D:D)),MAX($C$3:OFFSET(C2802,-1,0))+1,0)</f>
        <v>0</v>
      </c>
      <c r="E2802" s="9" t="str">
        <f t="shared" ca="1" si="55"/>
        <v/>
      </c>
      <c r="F2802" s="4" t="s">
        <v>7</v>
      </c>
      <c r="G2802" s="2">
        <f>IF(ISNUMBER(SEARCH(Лист2!$B$4,F:F)),1,0)</f>
        <v>0</v>
      </c>
      <c r="H2802" s="3">
        <f ca="1">IF(AND(I2802&lt;&gt;I2801,ISNUMBER(SEARCH(Лист2!$B$5,I:I)),G2802=1),MAX($H$3:OFFSET(H2802,-1,0))+1,0)</f>
        <v>0</v>
      </c>
      <c r="I2802" s="3" t="s">
        <v>235</v>
      </c>
      <c r="K2802" s="2">
        <f>IF(ISNUMBER(SEARCH(Лист2!$B$4,F:F)),1,0)</f>
        <v>0</v>
      </c>
      <c r="L2802" s="14">
        <f>IF(ISNUMBER(SEARCH(Лист2!$B$5,I:I)),1,0)+K2802</f>
        <v>0</v>
      </c>
      <c r="M2802" s="3">
        <f ca="1">IF(AND(N2802&lt;&gt;N2801,ISNUMBER(SEARCH(Лист2!$B$6,N:N)),L2802=2),MAX($M$3:OFFSET(M2802,-1,0))+1,0)</f>
        <v>0</v>
      </c>
      <c r="N2802" s="3" t="s">
        <v>1739</v>
      </c>
    </row>
    <row r="2803" spans="1:14" x14ac:dyDescent="0.25">
      <c r="A2803" s="1" t="s">
        <v>11441</v>
      </c>
      <c r="B2803" s="3" t="s">
        <v>6427</v>
      </c>
      <c r="C2803" s="2">
        <f ca="1">IF(ISNUMBER(SEARCH(Лист2!$B$4,D:D)),MAX($C$3:OFFSET(C2803,-1,0))+1,0)</f>
        <v>0</v>
      </c>
      <c r="E2803" s="9" t="str">
        <f t="shared" ca="1" si="55"/>
        <v/>
      </c>
      <c r="F2803" s="4" t="s">
        <v>7</v>
      </c>
      <c r="G2803" s="2">
        <f>IF(ISNUMBER(SEARCH(Лист2!$B$4,F:F)),1,0)</f>
        <v>0</v>
      </c>
      <c r="H2803" s="3">
        <f ca="1">IF(AND(I2803&lt;&gt;I2802,ISNUMBER(SEARCH(Лист2!$B$5,I:I)),G2803=1),MAX($H$3:OFFSET(H2803,-1,0))+1,0)</f>
        <v>0</v>
      </c>
      <c r="I2803" s="3" t="s">
        <v>235</v>
      </c>
      <c r="K2803" s="2">
        <f>IF(ISNUMBER(SEARCH(Лист2!$B$4,F:F)),1,0)</f>
        <v>0</v>
      </c>
      <c r="L2803" s="14">
        <f>IF(ISNUMBER(SEARCH(Лист2!$B$5,I:I)),1,0)+K2803</f>
        <v>0</v>
      </c>
      <c r="M2803" s="3">
        <f ca="1">IF(AND(N2803&lt;&gt;N2802,ISNUMBER(SEARCH(Лист2!$B$6,N:N)),L2803=2),MAX($M$3:OFFSET(M2803,-1,0))+1,0)</f>
        <v>0</v>
      </c>
      <c r="N2803" s="3" t="s">
        <v>1740</v>
      </c>
    </row>
    <row r="2804" spans="1:14" x14ac:dyDescent="0.25">
      <c r="A2804" s="1" t="s">
        <v>11442</v>
      </c>
      <c r="B2804" s="3" t="s">
        <v>6428</v>
      </c>
      <c r="C2804" s="2">
        <f ca="1">IF(ISNUMBER(SEARCH(Лист2!$B$4,D:D)),MAX($C$3:OFFSET(C2804,-1,0))+1,0)</f>
        <v>0</v>
      </c>
      <c r="E2804" s="9" t="str">
        <f t="shared" ca="1" si="55"/>
        <v/>
      </c>
      <c r="F2804" s="4" t="s">
        <v>7</v>
      </c>
      <c r="G2804" s="2">
        <f>IF(ISNUMBER(SEARCH(Лист2!$B$4,F:F)),1,0)</f>
        <v>0</v>
      </c>
      <c r="H2804" s="3">
        <f ca="1">IF(AND(I2804&lt;&gt;I2803,ISNUMBER(SEARCH(Лист2!$B$5,I:I)),G2804=1),MAX($H$3:OFFSET(H2804,-1,0))+1,0)</f>
        <v>0</v>
      </c>
      <c r="I2804" s="3" t="s">
        <v>235</v>
      </c>
      <c r="K2804" s="2">
        <f>IF(ISNUMBER(SEARCH(Лист2!$B$4,F:F)),1,0)</f>
        <v>0</v>
      </c>
      <c r="L2804" s="14">
        <f>IF(ISNUMBER(SEARCH(Лист2!$B$5,I:I)),1,0)+K2804</f>
        <v>0</v>
      </c>
      <c r="M2804" s="3">
        <f ca="1">IF(AND(N2804&lt;&gt;N2803,ISNUMBER(SEARCH(Лист2!$B$6,N:N)),L2804=2),MAX($M$3:OFFSET(M2804,-1,0))+1,0)</f>
        <v>0</v>
      </c>
      <c r="N2804" s="3" t="s">
        <v>1741</v>
      </c>
    </row>
    <row r="2805" spans="1:14" x14ac:dyDescent="0.25">
      <c r="A2805" s="1" t="s">
        <v>11443</v>
      </c>
      <c r="B2805" s="3" t="s">
        <v>6429</v>
      </c>
      <c r="C2805" s="2">
        <f ca="1">IF(ISNUMBER(SEARCH(Лист2!$B$4,D:D)),MAX($C$3:OFFSET(C2805,-1,0))+1,0)</f>
        <v>0</v>
      </c>
      <c r="E2805" s="9" t="str">
        <f t="shared" ca="1" si="55"/>
        <v/>
      </c>
      <c r="F2805" s="4" t="s">
        <v>7</v>
      </c>
      <c r="G2805" s="2">
        <f>IF(ISNUMBER(SEARCH(Лист2!$B$4,F:F)),1,0)</f>
        <v>0</v>
      </c>
      <c r="H2805" s="3">
        <f ca="1">IF(AND(I2805&lt;&gt;I2804,ISNUMBER(SEARCH(Лист2!$B$5,I:I)),G2805=1),MAX($H$3:OFFSET(H2805,-1,0))+1,0)</f>
        <v>0</v>
      </c>
      <c r="I2805" s="3" t="s">
        <v>235</v>
      </c>
      <c r="K2805" s="2">
        <f>IF(ISNUMBER(SEARCH(Лист2!$B$4,F:F)),1,0)</f>
        <v>0</v>
      </c>
      <c r="L2805" s="14">
        <f>IF(ISNUMBER(SEARCH(Лист2!$B$5,I:I)),1,0)+K2805</f>
        <v>0</v>
      </c>
      <c r="M2805" s="3">
        <f ca="1">IF(AND(N2805&lt;&gt;N2804,ISNUMBER(SEARCH(Лист2!$B$6,N:N)),L2805=2),MAX($M$3:OFFSET(M2805,-1,0))+1,0)</f>
        <v>0</v>
      </c>
      <c r="N2805" s="3" t="s">
        <v>1742</v>
      </c>
    </row>
    <row r="2806" spans="1:14" x14ac:dyDescent="0.25">
      <c r="A2806" s="1" t="s">
        <v>11444</v>
      </c>
      <c r="B2806" s="3" t="s">
        <v>6430</v>
      </c>
      <c r="C2806" s="2">
        <f ca="1">IF(ISNUMBER(SEARCH(Лист2!$B$4,D:D)),MAX($C$3:OFFSET(C2806,-1,0))+1,0)</f>
        <v>0</v>
      </c>
      <c r="E2806" s="9" t="str">
        <f t="shared" ca="1" si="55"/>
        <v/>
      </c>
      <c r="F2806" s="4" t="s">
        <v>7</v>
      </c>
      <c r="G2806" s="2">
        <f>IF(ISNUMBER(SEARCH(Лист2!$B$4,F:F)),1,0)</f>
        <v>0</v>
      </c>
      <c r="H2806" s="3">
        <f ca="1">IF(AND(I2806&lt;&gt;I2805,ISNUMBER(SEARCH(Лист2!$B$5,I:I)),G2806=1),MAX($H$3:OFFSET(H2806,-1,0))+1,0)</f>
        <v>0</v>
      </c>
      <c r="I2806" s="3" t="s">
        <v>236</v>
      </c>
      <c r="K2806" s="2">
        <f>IF(ISNUMBER(SEARCH(Лист2!$B$4,F:F)),1,0)</f>
        <v>0</v>
      </c>
      <c r="L2806" s="14">
        <f>IF(ISNUMBER(SEARCH(Лист2!$B$5,I:I)),1,0)+K2806</f>
        <v>0</v>
      </c>
      <c r="M2806" s="3">
        <f ca="1">IF(AND(N2806&lt;&gt;N2805,ISNUMBER(SEARCH(Лист2!$B$6,N:N)),L2806=2),MAX($M$3:OFFSET(M2806,-1,0))+1,0)</f>
        <v>0</v>
      </c>
      <c r="N2806" s="3" t="s">
        <v>1743</v>
      </c>
    </row>
    <row r="2807" spans="1:14" x14ac:dyDescent="0.25">
      <c r="A2807" s="1" t="s">
        <v>11445</v>
      </c>
      <c r="B2807" s="3" t="s">
        <v>6431</v>
      </c>
      <c r="C2807" s="2">
        <f ca="1">IF(ISNUMBER(SEARCH(Лист2!$B$4,D:D)),MAX($C$3:OFFSET(C2807,-1,0))+1,0)</f>
        <v>0</v>
      </c>
      <c r="E2807" s="9" t="str">
        <f t="shared" ca="1" si="55"/>
        <v/>
      </c>
      <c r="F2807" s="4" t="s">
        <v>7</v>
      </c>
      <c r="G2807" s="2">
        <f>IF(ISNUMBER(SEARCH(Лист2!$B$4,F:F)),1,0)</f>
        <v>0</v>
      </c>
      <c r="H2807" s="3">
        <f ca="1">IF(AND(I2807&lt;&gt;I2806,ISNUMBER(SEARCH(Лист2!$B$5,I:I)),G2807=1),MAX($H$3:OFFSET(H2807,-1,0))+1,0)</f>
        <v>0</v>
      </c>
      <c r="I2807" s="3" t="s">
        <v>236</v>
      </c>
      <c r="K2807" s="2">
        <f>IF(ISNUMBER(SEARCH(Лист2!$B$4,F:F)),1,0)</f>
        <v>0</v>
      </c>
      <c r="L2807" s="14">
        <f>IF(ISNUMBER(SEARCH(Лист2!$B$5,I:I)),1,0)+K2807</f>
        <v>0</v>
      </c>
      <c r="M2807" s="3">
        <f ca="1">IF(AND(N2807&lt;&gt;N2806,ISNUMBER(SEARCH(Лист2!$B$6,N:N)),L2807=2),MAX($M$3:OFFSET(M2807,-1,0))+1,0)</f>
        <v>0</v>
      </c>
      <c r="N2807" s="3" t="s">
        <v>1744</v>
      </c>
    </row>
    <row r="2808" spans="1:14" x14ac:dyDescent="0.25">
      <c r="A2808" s="1" t="s">
        <v>11445</v>
      </c>
      <c r="B2808" s="3" t="s">
        <v>6432</v>
      </c>
      <c r="C2808" s="2">
        <f ca="1">IF(ISNUMBER(SEARCH(Лист2!$B$4,D:D)),MAX($C$3:OFFSET(C2808,-1,0))+1,0)</f>
        <v>0</v>
      </c>
      <c r="E2808" s="9" t="str">
        <f t="shared" ca="1" si="55"/>
        <v/>
      </c>
      <c r="F2808" s="4" t="s">
        <v>7</v>
      </c>
      <c r="G2808" s="2">
        <f>IF(ISNUMBER(SEARCH(Лист2!$B$4,F:F)),1,0)</f>
        <v>0</v>
      </c>
      <c r="H2808" s="3">
        <f ca="1">IF(AND(I2808&lt;&gt;I2807,ISNUMBER(SEARCH(Лист2!$B$5,I:I)),G2808=1),MAX($H$3:OFFSET(H2808,-1,0))+1,0)</f>
        <v>0</v>
      </c>
      <c r="I2808" s="3" t="s">
        <v>236</v>
      </c>
      <c r="K2808" s="2">
        <f>IF(ISNUMBER(SEARCH(Лист2!$B$4,F:F)),1,0)</f>
        <v>0</v>
      </c>
      <c r="L2808" s="14">
        <f>IF(ISNUMBER(SEARCH(Лист2!$B$5,I:I)),1,0)+K2808</f>
        <v>0</v>
      </c>
      <c r="M2808" s="3">
        <f ca="1">IF(AND(N2808&lt;&gt;N2807,ISNUMBER(SEARCH(Лист2!$B$6,N:N)),L2808=2),MAX($M$3:OFFSET(M2808,-1,0))+1,0)</f>
        <v>0</v>
      </c>
      <c r="N2808" s="3" t="s">
        <v>1744</v>
      </c>
    </row>
    <row r="2809" spans="1:14" x14ac:dyDescent="0.25">
      <c r="A2809" s="1" t="s">
        <v>11445</v>
      </c>
      <c r="B2809" s="3" t="s">
        <v>6433</v>
      </c>
      <c r="C2809" s="2">
        <f ca="1">IF(ISNUMBER(SEARCH(Лист2!$B$4,D:D)),MAX($C$3:OFFSET(C2809,-1,0))+1,0)</f>
        <v>0</v>
      </c>
      <c r="E2809" s="9" t="str">
        <f t="shared" ca="1" si="55"/>
        <v/>
      </c>
      <c r="F2809" s="4" t="s">
        <v>7</v>
      </c>
      <c r="G2809" s="2">
        <f>IF(ISNUMBER(SEARCH(Лист2!$B$4,F:F)),1,0)</f>
        <v>0</v>
      </c>
      <c r="H2809" s="3">
        <f ca="1">IF(AND(I2809&lt;&gt;I2808,ISNUMBER(SEARCH(Лист2!$B$5,I:I)),G2809=1),MAX($H$3:OFFSET(H2809,-1,0))+1,0)</f>
        <v>0</v>
      </c>
      <c r="I2809" s="3" t="s">
        <v>236</v>
      </c>
      <c r="K2809" s="2">
        <f>IF(ISNUMBER(SEARCH(Лист2!$B$4,F:F)),1,0)</f>
        <v>0</v>
      </c>
      <c r="L2809" s="14">
        <f>IF(ISNUMBER(SEARCH(Лист2!$B$5,I:I)),1,0)+K2809</f>
        <v>0</v>
      </c>
      <c r="M2809" s="3">
        <f ca="1">IF(AND(N2809&lt;&gt;N2808,ISNUMBER(SEARCH(Лист2!$B$6,N:N)),L2809=2),MAX($M$3:OFFSET(M2809,-1,0))+1,0)</f>
        <v>0</v>
      </c>
      <c r="N2809" s="3" t="s">
        <v>1744</v>
      </c>
    </row>
    <row r="2810" spans="1:14" x14ac:dyDescent="0.25">
      <c r="A2810" s="1" t="s">
        <v>11446</v>
      </c>
      <c r="B2810" s="3" t="s">
        <v>6434</v>
      </c>
      <c r="C2810" s="2">
        <f ca="1">IF(ISNUMBER(SEARCH(Лист2!$B$4,D:D)),MAX($C$3:OFFSET(C2810,-1,0))+1,0)</f>
        <v>0</v>
      </c>
      <c r="E2810" s="9" t="str">
        <f t="shared" ca="1" si="55"/>
        <v/>
      </c>
      <c r="F2810" s="4" t="s">
        <v>7</v>
      </c>
      <c r="G2810" s="2">
        <f>IF(ISNUMBER(SEARCH(Лист2!$B$4,F:F)),1,0)</f>
        <v>0</v>
      </c>
      <c r="H2810" s="3">
        <f ca="1">IF(AND(I2810&lt;&gt;I2809,ISNUMBER(SEARCH(Лист2!$B$5,I:I)),G2810=1),MAX($H$3:OFFSET(H2810,-1,0))+1,0)</f>
        <v>0</v>
      </c>
      <c r="I2810" s="3" t="s">
        <v>236</v>
      </c>
      <c r="K2810" s="2">
        <f>IF(ISNUMBER(SEARCH(Лист2!$B$4,F:F)),1,0)</f>
        <v>0</v>
      </c>
      <c r="L2810" s="14">
        <f>IF(ISNUMBER(SEARCH(Лист2!$B$5,I:I)),1,0)+K2810</f>
        <v>0</v>
      </c>
      <c r="M2810" s="3">
        <f ca="1">IF(AND(N2810&lt;&gt;N2809,ISNUMBER(SEARCH(Лист2!$B$6,N:N)),L2810=2),MAX($M$3:OFFSET(M2810,-1,0))+1,0)</f>
        <v>0</v>
      </c>
      <c r="N2810" s="3" t="s">
        <v>1745</v>
      </c>
    </row>
    <row r="2811" spans="1:14" x14ac:dyDescent="0.25">
      <c r="A2811" s="1" t="s">
        <v>11447</v>
      </c>
      <c r="B2811" s="3" t="s">
        <v>6435</v>
      </c>
      <c r="C2811" s="2">
        <f ca="1">IF(ISNUMBER(SEARCH(Лист2!$B$4,D:D)),MAX($C$3:OFFSET(C2811,-1,0))+1,0)</f>
        <v>0</v>
      </c>
      <c r="E2811" s="9" t="str">
        <f t="shared" ca="1" si="55"/>
        <v/>
      </c>
      <c r="F2811" s="4" t="s">
        <v>7</v>
      </c>
      <c r="G2811" s="2">
        <f>IF(ISNUMBER(SEARCH(Лист2!$B$4,F:F)),1,0)</f>
        <v>0</v>
      </c>
      <c r="H2811" s="3">
        <f ca="1">IF(AND(I2811&lt;&gt;I2810,ISNUMBER(SEARCH(Лист2!$B$5,I:I)),G2811=1),MAX($H$3:OFFSET(H2811,-1,0))+1,0)</f>
        <v>0</v>
      </c>
      <c r="I2811" s="3" t="s">
        <v>236</v>
      </c>
      <c r="K2811" s="2">
        <f>IF(ISNUMBER(SEARCH(Лист2!$B$4,F:F)),1,0)</f>
        <v>0</v>
      </c>
      <c r="L2811" s="14">
        <f>IF(ISNUMBER(SEARCH(Лист2!$B$5,I:I)),1,0)+K2811</f>
        <v>0</v>
      </c>
      <c r="M2811" s="3">
        <f ca="1">IF(AND(N2811&lt;&gt;N2810,ISNUMBER(SEARCH(Лист2!$B$6,N:N)),L2811=2),MAX($M$3:OFFSET(M2811,-1,0))+1,0)</f>
        <v>0</v>
      </c>
      <c r="N2811" s="3" t="s">
        <v>1746</v>
      </c>
    </row>
    <row r="2812" spans="1:14" x14ac:dyDescent="0.25">
      <c r="A2812" s="1" t="s">
        <v>11448</v>
      </c>
      <c r="B2812" s="3" t="s">
        <v>6436</v>
      </c>
      <c r="C2812" s="2">
        <f ca="1">IF(ISNUMBER(SEARCH(Лист2!$B$4,D:D)),MAX($C$3:OFFSET(C2812,-1,0))+1,0)</f>
        <v>0</v>
      </c>
      <c r="E2812" s="9" t="str">
        <f t="shared" ca="1" si="55"/>
        <v/>
      </c>
      <c r="F2812" s="4" t="s">
        <v>7</v>
      </c>
      <c r="G2812" s="2">
        <f>IF(ISNUMBER(SEARCH(Лист2!$B$4,F:F)),1,0)</f>
        <v>0</v>
      </c>
      <c r="H2812" s="3">
        <f ca="1">IF(AND(I2812&lt;&gt;I2811,ISNUMBER(SEARCH(Лист2!$B$5,I:I)),G2812=1),MAX($H$3:OFFSET(H2812,-1,0))+1,0)</f>
        <v>0</v>
      </c>
      <c r="I2812" s="3" t="s">
        <v>236</v>
      </c>
      <c r="K2812" s="2">
        <f>IF(ISNUMBER(SEARCH(Лист2!$B$4,F:F)),1,0)</f>
        <v>0</v>
      </c>
      <c r="L2812" s="14">
        <f>IF(ISNUMBER(SEARCH(Лист2!$B$5,I:I)),1,0)+K2812</f>
        <v>0</v>
      </c>
      <c r="M2812" s="3">
        <f ca="1">IF(AND(N2812&lt;&gt;N2811,ISNUMBER(SEARCH(Лист2!$B$6,N:N)),L2812=2),MAX($M$3:OFFSET(M2812,-1,0))+1,0)</f>
        <v>0</v>
      </c>
      <c r="N2812" s="3" t="s">
        <v>1747</v>
      </c>
    </row>
    <row r="2813" spans="1:14" x14ac:dyDescent="0.25">
      <c r="A2813" s="1" t="s">
        <v>11449</v>
      </c>
      <c r="B2813" s="3" t="s">
        <v>6437</v>
      </c>
      <c r="C2813" s="2">
        <f ca="1">IF(ISNUMBER(SEARCH(Лист2!$B$4,D:D)),MAX($C$3:OFFSET(C2813,-1,0))+1,0)</f>
        <v>0</v>
      </c>
      <c r="E2813" s="9" t="str">
        <f t="shared" ca="1" si="55"/>
        <v/>
      </c>
      <c r="F2813" s="4" t="s">
        <v>7</v>
      </c>
      <c r="G2813" s="2">
        <f>IF(ISNUMBER(SEARCH(Лист2!$B$4,F:F)),1,0)</f>
        <v>0</v>
      </c>
      <c r="H2813" s="3">
        <f ca="1">IF(AND(I2813&lt;&gt;I2812,ISNUMBER(SEARCH(Лист2!$B$5,I:I)),G2813=1),MAX($H$3:OFFSET(H2813,-1,0))+1,0)</f>
        <v>0</v>
      </c>
      <c r="I2813" s="3" t="s">
        <v>236</v>
      </c>
      <c r="K2813" s="2">
        <f>IF(ISNUMBER(SEARCH(Лист2!$B$4,F:F)),1,0)</f>
        <v>0</v>
      </c>
      <c r="L2813" s="14">
        <f>IF(ISNUMBER(SEARCH(Лист2!$B$5,I:I)),1,0)+K2813</f>
        <v>0</v>
      </c>
      <c r="M2813" s="3">
        <f ca="1">IF(AND(N2813&lt;&gt;N2812,ISNUMBER(SEARCH(Лист2!$B$6,N:N)),L2813=2),MAX($M$3:OFFSET(M2813,-1,0))+1,0)</f>
        <v>0</v>
      </c>
      <c r="N2813" s="3" t="s">
        <v>1735</v>
      </c>
    </row>
    <row r="2814" spans="1:14" x14ac:dyDescent="0.25">
      <c r="A2814" s="1" t="s">
        <v>11451</v>
      </c>
      <c r="B2814" s="3" t="s">
        <v>6438</v>
      </c>
      <c r="C2814" s="2">
        <f ca="1">IF(ISNUMBER(SEARCH(Лист2!$B$4,D:D)),MAX($C$3:OFFSET(C2814,-1,0))+1,0)</f>
        <v>0</v>
      </c>
      <c r="E2814" s="9" t="str">
        <f t="shared" ca="1" si="55"/>
        <v/>
      </c>
      <c r="F2814" s="4" t="s">
        <v>7</v>
      </c>
      <c r="G2814" s="2">
        <f>IF(ISNUMBER(SEARCH(Лист2!$B$4,F:F)),1,0)</f>
        <v>0</v>
      </c>
      <c r="H2814" s="3">
        <f ca="1">IF(AND(I2814&lt;&gt;I2813,ISNUMBER(SEARCH(Лист2!$B$5,I:I)),G2814=1),MAX($H$3:OFFSET(H2814,-1,0))+1,0)</f>
        <v>0</v>
      </c>
      <c r="I2814" s="3" t="s">
        <v>236</v>
      </c>
      <c r="K2814" s="2">
        <f>IF(ISNUMBER(SEARCH(Лист2!$B$4,F:F)),1,0)</f>
        <v>0</v>
      </c>
      <c r="L2814" s="14">
        <f>IF(ISNUMBER(SEARCH(Лист2!$B$5,I:I)),1,0)+K2814</f>
        <v>0</v>
      </c>
      <c r="M2814" s="3">
        <f ca="1">IF(AND(N2814&lt;&gt;N2813,ISNUMBER(SEARCH(Лист2!$B$6,N:N)),L2814=2),MAX($M$3:OFFSET(M2814,-1,0))+1,0)</f>
        <v>0</v>
      </c>
      <c r="N2814" s="3" t="s">
        <v>1748</v>
      </c>
    </row>
    <row r="2815" spans="1:14" x14ac:dyDescent="0.25">
      <c r="A2815" s="1" t="s">
        <v>11450</v>
      </c>
      <c r="B2815" s="3" t="s">
        <v>6439</v>
      </c>
      <c r="C2815" s="2">
        <f ca="1">IF(ISNUMBER(SEARCH(Лист2!$B$4,D:D)),MAX($C$3:OFFSET(C2815,-1,0))+1,0)</f>
        <v>0</v>
      </c>
      <c r="E2815" s="9" t="str">
        <f t="shared" ca="1" si="55"/>
        <v/>
      </c>
      <c r="F2815" s="4" t="s">
        <v>7</v>
      </c>
      <c r="G2815" s="2">
        <f>IF(ISNUMBER(SEARCH(Лист2!$B$4,F:F)),1,0)</f>
        <v>0</v>
      </c>
      <c r="H2815" s="3">
        <f ca="1">IF(AND(I2815&lt;&gt;I2814,ISNUMBER(SEARCH(Лист2!$B$5,I:I)),G2815=1),MAX($H$3:OFFSET(H2815,-1,0))+1,0)</f>
        <v>0</v>
      </c>
      <c r="I2815" s="3" t="s">
        <v>236</v>
      </c>
      <c r="K2815" s="2">
        <f>IF(ISNUMBER(SEARCH(Лист2!$B$4,F:F)),1,0)</f>
        <v>0</v>
      </c>
      <c r="L2815" s="14">
        <f>IF(ISNUMBER(SEARCH(Лист2!$B$5,I:I)),1,0)+K2815</f>
        <v>0</v>
      </c>
      <c r="M2815" s="3">
        <f ca="1">IF(AND(N2815&lt;&gt;N2814,ISNUMBER(SEARCH(Лист2!$B$6,N:N)),L2815=2),MAX($M$3:OFFSET(M2815,-1,0))+1,0)</f>
        <v>0</v>
      </c>
      <c r="N2815" s="3" t="s">
        <v>1621</v>
      </c>
    </row>
    <row r="2816" spans="1:14" x14ac:dyDescent="0.25">
      <c r="A2816" s="1" t="s">
        <v>11452</v>
      </c>
      <c r="B2816" s="3" t="s">
        <v>6440</v>
      </c>
      <c r="C2816" s="2">
        <f ca="1">IF(ISNUMBER(SEARCH(Лист2!$B$4,D:D)),MAX($C$3:OFFSET(C2816,-1,0))+1,0)</f>
        <v>0</v>
      </c>
      <c r="E2816" s="9" t="str">
        <f t="shared" ca="1" si="55"/>
        <v/>
      </c>
      <c r="F2816" s="4" t="s">
        <v>7</v>
      </c>
      <c r="G2816" s="2">
        <f>IF(ISNUMBER(SEARCH(Лист2!$B$4,F:F)),1,0)</f>
        <v>0</v>
      </c>
      <c r="H2816" s="3">
        <f ca="1">IF(AND(I2816&lt;&gt;I2815,ISNUMBER(SEARCH(Лист2!$B$5,I:I)),G2816=1),MAX($H$3:OFFSET(H2816,-1,0))+1,0)</f>
        <v>0</v>
      </c>
      <c r="I2816" s="3" t="s">
        <v>236</v>
      </c>
      <c r="K2816" s="2">
        <f>IF(ISNUMBER(SEARCH(Лист2!$B$4,F:F)),1,0)</f>
        <v>0</v>
      </c>
      <c r="L2816" s="14">
        <f>IF(ISNUMBER(SEARCH(Лист2!$B$5,I:I)),1,0)+K2816</f>
        <v>0</v>
      </c>
      <c r="M2816" s="3">
        <f ca="1">IF(AND(N2816&lt;&gt;N2815,ISNUMBER(SEARCH(Лист2!$B$6,N:N)),L2816=2),MAX($M$3:OFFSET(M2816,-1,0))+1,0)</f>
        <v>0</v>
      </c>
      <c r="N2816" s="3" t="s">
        <v>1749</v>
      </c>
    </row>
    <row r="2817" spans="1:14" x14ac:dyDescent="0.25">
      <c r="A2817" s="1" t="s">
        <v>11453</v>
      </c>
      <c r="B2817" s="3" t="s">
        <v>6441</v>
      </c>
      <c r="C2817" s="2">
        <f ca="1">IF(ISNUMBER(SEARCH(Лист2!$B$4,D:D)),MAX($C$3:OFFSET(C2817,-1,0))+1,0)</f>
        <v>0</v>
      </c>
      <c r="E2817" s="9" t="str">
        <f t="shared" ca="1" si="55"/>
        <v/>
      </c>
      <c r="F2817" s="4" t="s">
        <v>7</v>
      </c>
      <c r="G2817" s="2">
        <f>IF(ISNUMBER(SEARCH(Лист2!$B$4,F:F)),1,0)</f>
        <v>0</v>
      </c>
      <c r="H2817" s="3">
        <f ca="1">IF(AND(I2817&lt;&gt;I2816,ISNUMBER(SEARCH(Лист2!$B$5,I:I)),G2817=1),MAX($H$3:OFFSET(H2817,-1,0))+1,0)</f>
        <v>0</v>
      </c>
      <c r="I2817" s="3" t="s">
        <v>236</v>
      </c>
      <c r="K2817" s="2">
        <f>IF(ISNUMBER(SEARCH(Лист2!$B$4,F:F)),1,0)</f>
        <v>0</v>
      </c>
      <c r="L2817" s="14">
        <f>IF(ISNUMBER(SEARCH(Лист2!$B$5,I:I)),1,0)+K2817</f>
        <v>0</v>
      </c>
      <c r="M2817" s="3">
        <f ca="1">IF(AND(N2817&lt;&gt;N2816,ISNUMBER(SEARCH(Лист2!$B$6,N:N)),L2817=2),MAX($M$3:OFFSET(M2817,-1,0))+1,0)</f>
        <v>0</v>
      </c>
      <c r="N2817" s="3" t="s">
        <v>1678</v>
      </c>
    </row>
    <row r="2818" spans="1:14" x14ac:dyDescent="0.25">
      <c r="A2818" s="1" t="s">
        <v>11454</v>
      </c>
      <c r="B2818" s="3" t="s">
        <v>6442</v>
      </c>
      <c r="C2818" s="2">
        <f ca="1">IF(ISNUMBER(SEARCH(Лист2!$B$4,D:D)),MAX($C$3:OFFSET(C2818,-1,0))+1,0)</f>
        <v>0</v>
      </c>
      <c r="E2818" s="9" t="str">
        <f t="shared" ca="1" si="55"/>
        <v/>
      </c>
      <c r="F2818" s="4" t="s">
        <v>7</v>
      </c>
      <c r="G2818" s="2">
        <f>IF(ISNUMBER(SEARCH(Лист2!$B$4,F:F)),1,0)</f>
        <v>0</v>
      </c>
      <c r="H2818" s="3">
        <f ca="1">IF(AND(I2818&lt;&gt;I2817,ISNUMBER(SEARCH(Лист2!$B$5,I:I)),G2818=1),MAX($H$3:OFFSET(H2818,-1,0))+1,0)</f>
        <v>0</v>
      </c>
      <c r="I2818" s="3" t="s">
        <v>236</v>
      </c>
      <c r="K2818" s="2">
        <f>IF(ISNUMBER(SEARCH(Лист2!$B$4,F:F)),1,0)</f>
        <v>0</v>
      </c>
      <c r="L2818" s="14">
        <f>IF(ISNUMBER(SEARCH(Лист2!$B$5,I:I)),1,0)+K2818</f>
        <v>0</v>
      </c>
      <c r="M2818" s="3">
        <f ca="1">IF(AND(N2818&lt;&gt;N2817,ISNUMBER(SEARCH(Лист2!$B$6,N:N)),L2818=2),MAX($M$3:OFFSET(M2818,-1,0))+1,0)</f>
        <v>0</v>
      </c>
      <c r="N2818" s="3" t="s">
        <v>602</v>
      </c>
    </row>
    <row r="2819" spans="1:14" x14ac:dyDescent="0.25">
      <c r="A2819" s="1" t="s">
        <v>11455</v>
      </c>
      <c r="B2819" s="3" t="s">
        <v>6443</v>
      </c>
      <c r="C2819" s="2">
        <f ca="1">IF(ISNUMBER(SEARCH(Лист2!$B$4,D:D)),MAX($C$3:OFFSET(C2819,-1,0))+1,0)</f>
        <v>0</v>
      </c>
      <c r="E2819" s="9" t="str">
        <f t="shared" ca="1" si="55"/>
        <v/>
      </c>
      <c r="F2819" s="4" t="s">
        <v>7</v>
      </c>
      <c r="G2819" s="2">
        <f>IF(ISNUMBER(SEARCH(Лист2!$B$4,F:F)),1,0)</f>
        <v>0</v>
      </c>
      <c r="H2819" s="3">
        <f ca="1">IF(AND(I2819&lt;&gt;I2818,ISNUMBER(SEARCH(Лист2!$B$5,I:I)),G2819=1),MAX($H$3:OFFSET(H2819,-1,0))+1,0)</f>
        <v>0</v>
      </c>
      <c r="I2819" s="3" t="s">
        <v>236</v>
      </c>
      <c r="K2819" s="2">
        <f>IF(ISNUMBER(SEARCH(Лист2!$B$4,F:F)),1,0)</f>
        <v>0</v>
      </c>
      <c r="L2819" s="14">
        <f>IF(ISNUMBER(SEARCH(Лист2!$B$5,I:I)),1,0)+K2819</f>
        <v>0</v>
      </c>
      <c r="M2819" s="3">
        <f ca="1">IF(AND(N2819&lt;&gt;N2818,ISNUMBER(SEARCH(Лист2!$B$6,N:N)),L2819=2),MAX($M$3:OFFSET(M2819,-1,0))+1,0)</f>
        <v>0</v>
      </c>
      <c r="N2819" s="3" t="s">
        <v>1750</v>
      </c>
    </row>
    <row r="2820" spans="1:14" x14ac:dyDescent="0.25">
      <c r="A2820" s="1" t="s">
        <v>11456</v>
      </c>
      <c r="B2820" s="3" t="s">
        <v>6444</v>
      </c>
      <c r="C2820" s="2">
        <f ca="1">IF(ISNUMBER(SEARCH(Лист2!$B$4,D:D)),MAX($C$3:OFFSET(C2820,-1,0))+1,0)</f>
        <v>0</v>
      </c>
      <c r="E2820" s="9" t="str">
        <f t="shared" ca="1" si="55"/>
        <v/>
      </c>
      <c r="F2820" s="4" t="s">
        <v>7</v>
      </c>
      <c r="G2820" s="2">
        <f>IF(ISNUMBER(SEARCH(Лист2!$B$4,F:F)),1,0)</f>
        <v>0</v>
      </c>
      <c r="H2820" s="3">
        <f ca="1">IF(AND(I2820&lt;&gt;I2819,ISNUMBER(SEARCH(Лист2!$B$5,I:I)),G2820=1),MAX($H$3:OFFSET(H2820,-1,0))+1,0)</f>
        <v>0</v>
      </c>
      <c r="I2820" s="3" t="s">
        <v>236</v>
      </c>
      <c r="K2820" s="2">
        <f>IF(ISNUMBER(SEARCH(Лист2!$B$4,F:F)),1,0)</f>
        <v>0</v>
      </c>
      <c r="L2820" s="14">
        <f>IF(ISNUMBER(SEARCH(Лист2!$B$5,I:I)),1,0)+K2820</f>
        <v>0</v>
      </c>
      <c r="M2820" s="3">
        <f ca="1">IF(AND(N2820&lt;&gt;N2819,ISNUMBER(SEARCH(Лист2!$B$6,N:N)),L2820=2),MAX($M$3:OFFSET(M2820,-1,0))+1,0)</f>
        <v>0</v>
      </c>
      <c r="N2820" s="3" t="s">
        <v>1751</v>
      </c>
    </row>
    <row r="2821" spans="1:14" x14ac:dyDescent="0.25">
      <c r="A2821" s="1" t="s">
        <v>11457</v>
      </c>
      <c r="B2821" s="3" t="s">
        <v>6445</v>
      </c>
      <c r="C2821" s="2">
        <f ca="1">IF(ISNUMBER(SEARCH(Лист2!$B$4,D:D)),MAX($C$3:OFFSET(C2821,-1,0))+1,0)</f>
        <v>0</v>
      </c>
      <c r="E2821" s="9" t="str">
        <f t="shared" ref="E2821:E2884" ca="1" si="56">IFERROR(INDEX(D:D,MATCH(ROW(E2821)-ROW($E$3),C:C,0)),"")</f>
        <v/>
      </c>
      <c r="F2821" s="4" t="s">
        <v>7</v>
      </c>
      <c r="G2821" s="2">
        <f>IF(ISNUMBER(SEARCH(Лист2!$B$4,F:F)),1,0)</f>
        <v>0</v>
      </c>
      <c r="H2821" s="3">
        <f ca="1">IF(AND(I2821&lt;&gt;I2820,ISNUMBER(SEARCH(Лист2!$B$5,I:I)),G2821=1),MAX($H$3:OFFSET(H2821,-1,0))+1,0)</f>
        <v>0</v>
      </c>
      <c r="I2821" s="3" t="s">
        <v>236</v>
      </c>
      <c r="K2821" s="2">
        <f>IF(ISNUMBER(SEARCH(Лист2!$B$4,F:F)),1,0)</f>
        <v>0</v>
      </c>
      <c r="L2821" s="14">
        <f>IF(ISNUMBER(SEARCH(Лист2!$B$5,I:I)),1,0)+K2821</f>
        <v>0</v>
      </c>
      <c r="M2821" s="3">
        <f ca="1">IF(AND(N2821&lt;&gt;N2820,ISNUMBER(SEARCH(Лист2!$B$6,N:N)),L2821=2),MAX($M$3:OFFSET(M2821,-1,0))+1,0)</f>
        <v>0</v>
      </c>
      <c r="N2821" s="3" t="s">
        <v>1752</v>
      </c>
    </row>
    <row r="2822" spans="1:14" x14ac:dyDescent="0.25">
      <c r="A2822" s="1" t="s">
        <v>11458</v>
      </c>
      <c r="B2822" s="3" t="s">
        <v>6446</v>
      </c>
      <c r="C2822" s="2">
        <f ca="1">IF(ISNUMBER(SEARCH(Лист2!$B$4,D:D)),MAX($C$3:OFFSET(C2822,-1,0))+1,0)</f>
        <v>0</v>
      </c>
      <c r="E2822" s="9" t="str">
        <f t="shared" ca="1" si="56"/>
        <v/>
      </c>
      <c r="F2822" s="4" t="s">
        <v>7</v>
      </c>
      <c r="G2822" s="2">
        <f>IF(ISNUMBER(SEARCH(Лист2!$B$4,F:F)),1,0)</f>
        <v>0</v>
      </c>
      <c r="H2822" s="3">
        <f ca="1">IF(AND(I2822&lt;&gt;I2821,ISNUMBER(SEARCH(Лист2!$B$5,I:I)),G2822=1),MAX($H$3:OFFSET(H2822,-1,0))+1,0)</f>
        <v>0</v>
      </c>
      <c r="I2822" s="3" t="s">
        <v>236</v>
      </c>
      <c r="K2822" s="2">
        <f>IF(ISNUMBER(SEARCH(Лист2!$B$4,F:F)),1,0)</f>
        <v>0</v>
      </c>
      <c r="L2822" s="14">
        <f>IF(ISNUMBER(SEARCH(Лист2!$B$5,I:I)),1,0)+K2822</f>
        <v>0</v>
      </c>
      <c r="M2822" s="3">
        <f ca="1">IF(AND(N2822&lt;&gt;N2821,ISNUMBER(SEARCH(Лист2!$B$6,N:N)),L2822=2),MAX($M$3:OFFSET(M2822,-1,0))+1,0)</f>
        <v>0</v>
      </c>
      <c r="N2822" s="3" t="s">
        <v>1753</v>
      </c>
    </row>
    <row r="2823" spans="1:14" x14ac:dyDescent="0.25">
      <c r="A2823" s="1" t="s">
        <v>11459</v>
      </c>
      <c r="B2823" s="3" t="s">
        <v>6447</v>
      </c>
      <c r="C2823" s="2">
        <f ca="1">IF(ISNUMBER(SEARCH(Лист2!$B$4,D:D)),MAX($C$3:OFFSET(C2823,-1,0))+1,0)</f>
        <v>0</v>
      </c>
      <c r="E2823" s="9" t="str">
        <f t="shared" ca="1" si="56"/>
        <v/>
      </c>
      <c r="F2823" s="4" t="s">
        <v>7</v>
      </c>
      <c r="G2823" s="2">
        <f>IF(ISNUMBER(SEARCH(Лист2!$B$4,F:F)),1,0)</f>
        <v>0</v>
      </c>
      <c r="H2823" s="3">
        <f ca="1">IF(AND(I2823&lt;&gt;I2822,ISNUMBER(SEARCH(Лист2!$B$5,I:I)),G2823=1),MAX($H$3:OFFSET(H2823,-1,0))+1,0)</f>
        <v>0</v>
      </c>
      <c r="I2823" s="3" t="s">
        <v>236</v>
      </c>
      <c r="K2823" s="2">
        <f>IF(ISNUMBER(SEARCH(Лист2!$B$4,F:F)),1,0)</f>
        <v>0</v>
      </c>
      <c r="L2823" s="14">
        <f>IF(ISNUMBER(SEARCH(Лист2!$B$5,I:I)),1,0)+K2823</f>
        <v>0</v>
      </c>
      <c r="M2823" s="3">
        <f ca="1">IF(AND(N2823&lt;&gt;N2822,ISNUMBER(SEARCH(Лист2!$B$6,N:N)),L2823=2),MAX($M$3:OFFSET(M2823,-1,0))+1,0)</f>
        <v>0</v>
      </c>
      <c r="N2823" s="3" t="s">
        <v>1754</v>
      </c>
    </row>
    <row r="2824" spans="1:14" x14ac:dyDescent="0.25">
      <c r="A2824" s="1" t="s">
        <v>11685</v>
      </c>
      <c r="B2824" s="3" t="s">
        <v>6448</v>
      </c>
      <c r="C2824" s="2">
        <f ca="1">IF(ISNUMBER(SEARCH(Лист2!$B$4,D:D)),MAX($C$3:OFFSET(C2824,-1,0))+1,0)</f>
        <v>0</v>
      </c>
      <c r="E2824" s="9" t="str">
        <f t="shared" ca="1" si="56"/>
        <v/>
      </c>
      <c r="F2824" s="4" t="s">
        <v>7</v>
      </c>
      <c r="G2824" s="2">
        <f>IF(ISNUMBER(SEARCH(Лист2!$B$4,F:F)),1,0)</f>
        <v>0</v>
      </c>
      <c r="H2824" s="3">
        <f ca="1">IF(AND(I2824&lt;&gt;I2823,ISNUMBER(SEARCH(Лист2!$B$5,I:I)),G2824=1),MAX($H$3:OFFSET(H2824,-1,0))+1,0)</f>
        <v>0</v>
      </c>
      <c r="I2824" s="3" t="s">
        <v>249</v>
      </c>
      <c r="K2824" s="2">
        <f>IF(ISNUMBER(SEARCH(Лист2!$B$4,F:F)),1,0)</f>
        <v>0</v>
      </c>
      <c r="L2824" s="14">
        <f>IF(ISNUMBER(SEARCH(Лист2!$B$5,I:I)),1,0)+K2824</f>
        <v>0</v>
      </c>
      <c r="M2824" s="3">
        <f ca="1">IF(AND(N2824&lt;&gt;N2823,ISNUMBER(SEARCH(Лист2!$B$6,N:N)),L2824=2),MAX($M$3:OFFSET(M2824,-1,0))+1,0)</f>
        <v>0</v>
      </c>
      <c r="N2824" s="3" t="s">
        <v>1903</v>
      </c>
    </row>
    <row r="2825" spans="1:14" x14ac:dyDescent="0.25">
      <c r="A2825" s="1" t="s">
        <v>11686</v>
      </c>
      <c r="B2825" s="3" t="s">
        <v>6449</v>
      </c>
      <c r="C2825" s="2">
        <f ca="1">IF(ISNUMBER(SEARCH(Лист2!$B$4,D:D)),MAX($C$3:OFFSET(C2825,-1,0))+1,0)</f>
        <v>0</v>
      </c>
      <c r="E2825" s="9" t="str">
        <f t="shared" ca="1" si="56"/>
        <v/>
      </c>
      <c r="F2825" s="4" t="s">
        <v>7</v>
      </c>
      <c r="G2825" s="2">
        <f>IF(ISNUMBER(SEARCH(Лист2!$B$4,F:F)),1,0)</f>
        <v>0</v>
      </c>
      <c r="H2825" s="3">
        <f ca="1">IF(AND(I2825&lt;&gt;I2824,ISNUMBER(SEARCH(Лист2!$B$5,I:I)),G2825=1),MAX($H$3:OFFSET(H2825,-1,0))+1,0)</f>
        <v>0</v>
      </c>
      <c r="I2825" s="3" t="s">
        <v>249</v>
      </c>
      <c r="K2825" s="2">
        <f>IF(ISNUMBER(SEARCH(Лист2!$B$4,F:F)),1,0)</f>
        <v>0</v>
      </c>
      <c r="L2825" s="14">
        <f>IF(ISNUMBER(SEARCH(Лист2!$B$5,I:I)),1,0)+K2825</f>
        <v>0</v>
      </c>
      <c r="M2825" s="3">
        <f ca="1">IF(AND(N2825&lt;&gt;N2824,ISNUMBER(SEARCH(Лист2!$B$6,N:N)),L2825=2),MAX($M$3:OFFSET(M2825,-1,0))+1,0)</f>
        <v>0</v>
      </c>
      <c r="N2825" s="3" t="s">
        <v>1904</v>
      </c>
    </row>
    <row r="2826" spans="1:14" x14ac:dyDescent="0.25">
      <c r="A2826" s="1" t="s">
        <v>11687</v>
      </c>
      <c r="B2826" s="3" t="s">
        <v>6450</v>
      </c>
      <c r="C2826" s="2">
        <f ca="1">IF(ISNUMBER(SEARCH(Лист2!$B$4,D:D)),MAX($C$3:OFFSET(C2826,-1,0))+1,0)</f>
        <v>0</v>
      </c>
      <c r="E2826" s="9" t="str">
        <f t="shared" ca="1" si="56"/>
        <v/>
      </c>
      <c r="F2826" s="4" t="s">
        <v>7</v>
      </c>
      <c r="G2826" s="2">
        <f>IF(ISNUMBER(SEARCH(Лист2!$B$4,F:F)),1,0)</f>
        <v>0</v>
      </c>
      <c r="H2826" s="3">
        <f ca="1">IF(AND(I2826&lt;&gt;I2825,ISNUMBER(SEARCH(Лист2!$B$5,I:I)),G2826=1),MAX($H$3:OFFSET(H2826,-1,0))+1,0)</f>
        <v>0</v>
      </c>
      <c r="I2826" s="3" t="s">
        <v>249</v>
      </c>
      <c r="K2826" s="2">
        <f>IF(ISNUMBER(SEARCH(Лист2!$B$4,F:F)),1,0)</f>
        <v>0</v>
      </c>
      <c r="L2826" s="14">
        <f>IF(ISNUMBER(SEARCH(Лист2!$B$5,I:I)),1,0)+K2826</f>
        <v>0</v>
      </c>
      <c r="M2826" s="3">
        <f ca="1">IF(AND(N2826&lt;&gt;N2825,ISNUMBER(SEARCH(Лист2!$B$6,N:N)),L2826=2),MAX($M$3:OFFSET(M2826,-1,0))+1,0)</f>
        <v>0</v>
      </c>
      <c r="N2826" s="3" t="s">
        <v>1905</v>
      </c>
    </row>
    <row r="2827" spans="1:14" x14ac:dyDescent="0.25">
      <c r="A2827" s="1" t="s">
        <v>11688</v>
      </c>
      <c r="B2827" s="3" t="s">
        <v>6451</v>
      </c>
      <c r="C2827" s="2">
        <f ca="1">IF(ISNUMBER(SEARCH(Лист2!$B$4,D:D)),MAX($C$3:OFFSET(C2827,-1,0))+1,0)</f>
        <v>0</v>
      </c>
      <c r="E2827" s="9" t="str">
        <f t="shared" ca="1" si="56"/>
        <v/>
      </c>
      <c r="F2827" s="4" t="s">
        <v>7</v>
      </c>
      <c r="G2827" s="2">
        <f>IF(ISNUMBER(SEARCH(Лист2!$B$4,F:F)),1,0)</f>
        <v>0</v>
      </c>
      <c r="H2827" s="3">
        <f ca="1">IF(AND(I2827&lt;&gt;I2826,ISNUMBER(SEARCH(Лист2!$B$5,I:I)),G2827=1),MAX($H$3:OFFSET(H2827,-1,0))+1,0)</f>
        <v>0</v>
      </c>
      <c r="I2827" s="3" t="s">
        <v>249</v>
      </c>
      <c r="K2827" s="2">
        <f>IF(ISNUMBER(SEARCH(Лист2!$B$4,F:F)),1,0)</f>
        <v>0</v>
      </c>
      <c r="L2827" s="14">
        <f>IF(ISNUMBER(SEARCH(Лист2!$B$5,I:I)),1,0)+K2827</f>
        <v>0</v>
      </c>
      <c r="M2827" s="3">
        <f ca="1">IF(AND(N2827&lt;&gt;N2826,ISNUMBER(SEARCH(Лист2!$B$6,N:N)),L2827=2),MAX($M$3:OFFSET(M2827,-1,0))+1,0)</f>
        <v>0</v>
      </c>
      <c r="N2827" s="3" t="s">
        <v>1906</v>
      </c>
    </row>
    <row r="2828" spans="1:14" x14ac:dyDescent="0.25">
      <c r="A2828" s="1" t="s">
        <v>11689</v>
      </c>
      <c r="B2828" s="3" t="s">
        <v>6452</v>
      </c>
      <c r="C2828" s="2">
        <f ca="1">IF(ISNUMBER(SEARCH(Лист2!$B$4,D:D)),MAX($C$3:OFFSET(C2828,-1,0))+1,0)</f>
        <v>0</v>
      </c>
      <c r="E2828" s="9" t="str">
        <f t="shared" ca="1" si="56"/>
        <v/>
      </c>
      <c r="F2828" s="4" t="s">
        <v>7</v>
      </c>
      <c r="G2828" s="2">
        <f>IF(ISNUMBER(SEARCH(Лист2!$B$4,F:F)),1,0)</f>
        <v>0</v>
      </c>
      <c r="H2828" s="3">
        <f ca="1">IF(AND(I2828&lt;&gt;I2827,ISNUMBER(SEARCH(Лист2!$B$5,I:I)),G2828=1),MAX($H$3:OFFSET(H2828,-1,0))+1,0)</f>
        <v>0</v>
      </c>
      <c r="I2828" s="3" t="s">
        <v>249</v>
      </c>
      <c r="K2828" s="2">
        <f>IF(ISNUMBER(SEARCH(Лист2!$B$4,F:F)),1,0)</f>
        <v>0</v>
      </c>
      <c r="L2828" s="14">
        <f>IF(ISNUMBER(SEARCH(Лист2!$B$5,I:I)),1,0)+K2828</f>
        <v>0</v>
      </c>
      <c r="M2828" s="3">
        <f ca="1">IF(AND(N2828&lt;&gt;N2827,ISNUMBER(SEARCH(Лист2!$B$6,N:N)),L2828=2),MAX($M$3:OFFSET(M2828,-1,0))+1,0)</f>
        <v>0</v>
      </c>
      <c r="N2828" s="3" t="s">
        <v>1907</v>
      </c>
    </row>
    <row r="2829" spans="1:14" x14ac:dyDescent="0.25">
      <c r="A2829" s="1" t="s">
        <v>11690</v>
      </c>
      <c r="B2829" s="3" t="s">
        <v>6453</v>
      </c>
      <c r="C2829" s="2">
        <f ca="1">IF(ISNUMBER(SEARCH(Лист2!$B$4,D:D)),MAX($C$3:OFFSET(C2829,-1,0))+1,0)</f>
        <v>0</v>
      </c>
      <c r="E2829" s="9" t="str">
        <f t="shared" ca="1" si="56"/>
        <v/>
      </c>
      <c r="F2829" s="4" t="s">
        <v>7</v>
      </c>
      <c r="G2829" s="2">
        <f>IF(ISNUMBER(SEARCH(Лист2!$B$4,F:F)),1,0)</f>
        <v>0</v>
      </c>
      <c r="H2829" s="3">
        <f ca="1">IF(AND(I2829&lt;&gt;I2828,ISNUMBER(SEARCH(Лист2!$B$5,I:I)),G2829=1),MAX($H$3:OFFSET(H2829,-1,0))+1,0)</f>
        <v>0</v>
      </c>
      <c r="I2829" s="3" t="s">
        <v>249</v>
      </c>
      <c r="K2829" s="2">
        <f>IF(ISNUMBER(SEARCH(Лист2!$B$4,F:F)),1,0)</f>
        <v>0</v>
      </c>
      <c r="L2829" s="14">
        <f>IF(ISNUMBER(SEARCH(Лист2!$B$5,I:I)),1,0)+K2829</f>
        <v>0</v>
      </c>
      <c r="M2829" s="3">
        <f ca="1">IF(AND(N2829&lt;&gt;N2828,ISNUMBER(SEARCH(Лист2!$B$6,N:N)),L2829=2),MAX($M$3:OFFSET(M2829,-1,0))+1,0)</f>
        <v>0</v>
      </c>
      <c r="N2829" s="3" t="s">
        <v>1735</v>
      </c>
    </row>
    <row r="2830" spans="1:14" x14ac:dyDescent="0.25">
      <c r="A2830" s="1" t="s">
        <v>11691</v>
      </c>
      <c r="B2830" s="3" t="s">
        <v>6454</v>
      </c>
      <c r="C2830" s="2">
        <f ca="1">IF(ISNUMBER(SEARCH(Лист2!$B$4,D:D)),MAX($C$3:OFFSET(C2830,-1,0))+1,0)</f>
        <v>0</v>
      </c>
      <c r="E2830" s="9" t="str">
        <f t="shared" ca="1" si="56"/>
        <v/>
      </c>
      <c r="F2830" s="4" t="s">
        <v>7</v>
      </c>
      <c r="G2830" s="2">
        <f>IF(ISNUMBER(SEARCH(Лист2!$B$4,F:F)),1,0)</f>
        <v>0</v>
      </c>
      <c r="H2830" s="3">
        <f ca="1">IF(AND(I2830&lt;&gt;I2829,ISNUMBER(SEARCH(Лист2!$B$5,I:I)),G2830=1),MAX($H$3:OFFSET(H2830,-1,0))+1,0)</f>
        <v>0</v>
      </c>
      <c r="I2830" s="3" t="s">
        <v>249</v>
      </c>
      <c r="K2830" s="2">
        <f>IF(ISNUMBER(SEARCH(Лист2!$B$4,F:F)),1,0)</f>
        <v>0</v>
      </c>
      <c r="L2830" s="14">
        <f>IF(ISNUMBER(SEARCH(Лист2!$B$5,I:I)),1,0)+K2830</f>
        <v>0</v>
      </c>
      <c r="M2830" s="3">
        <f ca="1">IF(AND(N2830&lt;&gt;N2829,ISNUMBER(SEARCH(Лист2!$B$6,N:N)),L2830=2),MAX($M$3:OFFSET(M2830,-1,0))+1,0)</f>
        <v>0</v>
      </c>
      <c r="N2830" s="3" t="s">
        <v>1748</v>
      </c>
    </row>
    <row r="2831" spans="1:14" x14ac:dyDescent="0.25">
      <c r="A2831" s="1" t="s">
        <v>11692</v>
      </c>
      <c r="B2831" s="3" t="s">
        <v>6455</v>
      </c>
      <c r="C2831" s="2">
        <f ca="1">IF(ISNUMBER(SEARCH(Лист2!$B$4,D:D)),MAX($C$3:OFFSET(C2831,-1,0))+1,0)</f>
        <v>0</v>
      </c>
      <c r="E2831" s="9" t="str">
        <f t="shared" ca="1" si="56"/>
        <v/>
      </c>
      <c r="F2831" s="4" t="s">
        <v>7</v>
      </c>
      <c r="G2831" s="2">
        <f>IF(ISNUMBER(SEARCH(Лист2!$B$4,F:F)),1,0)</f>
        <v>0</v>
      </c>
      <c r="H2831" s="3">
        <f ca="1">IF(AND(I2831&lt;&gt;I2830,ISNUMBER(SEARCH(Лист2!$B$5,I:I)),G2831=1),MAX($H$3:OFFSET(H2831,-1,0))+1,0)</f>
        <v>0</v>
      </c>
      <c r="I2831" s="3" t="s">
        <v>249</v>
      </c>
      <c r="K2831" s="2">
        <f>IF(ISNUMBER(SEARCH(Лист2!$B$4,F:F)),1,0)</f>
        <v>0</v>
      </c>
      <c r="L2831" s="14">
        <f>IF(ISNUMBER(SEARCH(Лист2!$B$5,I:I)),1,0)+K2831</f>
        <v>0</v>
      </c>
      <c r="M2831" s="3">
        <f ca="1">IF(AND(N2831&lt;&gt;N2830,ISNUMBER(SEARCH(Лист2!$B$6,N:N)),L2831=2),MAX($M$3:OFFSET(M2831,-1,0))+1,0)</f>
        <v>0</v>
      </c>
      <c r="N2831" s="3" t="s">
        <v>1621</v>
      </c>
    </row>
    <row r="2832" spans="1:14" x14ac:dyDescent="0.25">
      <c r="A2832" s="1" t="s">
        <v>11693</v>
      </c>
      <c r="B2832" s="3" t="s">
        <v>6456</v>
      </c>
      <c r="C2832" s="2">
        <f ca="1">IF(ISNUMBER(SEARCH(Лист2!$B$4,D:D)),MAX($C$3:OFFSET(C2832,-1,0))+1,0)</f>
        <v>0</v>
      </c>
      <c r="E2832" s="9" t="str">
        <f t="shared" ca="1" si="56"/>
        <v/>
      </c>
      <c r="F2832" s="4" t="s">
        <v>7</v>
      </c>
      <c r="G2832" s="2">
        <f>IF(ISNUMBER(SEARCH(Лист2!$B$4,F:F)),1,0)</f>
        <v>0</v>
      </c>
      <c r="H2832" s="3">
        <f ca="1">IF(AND(I2832&lt;&gt;I2831,ISNUMBER(SEARCH(Лист2!$B$5,I:I)),G2832=1),MAX($H$3:OFFSET(H2832,-1,0))+1,0)</f>
        <v>0</v>
      </c>
      <c r="I2832" s="3" t="s">
        <v>249</v>
      </c>
      <c r="K2832" s="2">
        <f>IF(ISNUMBER(SEARCH(Лист2!$B$4,F:F)),1,0)</f>
        <v>0</v>
      </c>
      <c r="L2832" s="14">
        <f>IF(ISNUMBER(SEARCH(Лист2!$B$5,I:I)),1,0)+K2832</f>
        <v>0</v>
      </c>
      <c r="M2832" s="3">
        <f ca="1">IF(AND(N2832&lt;&gt;N2831,ISNUMBER(SEARCH(Лист2!$B$6,N:N)),L2832=2),MAX($M$3:OFFSET(M2832,-1,0))+1,0)</f>
        <v>0</v>
      </c>
      <c r="N2832" s="3" t="s">
        <v>1749</v>
      </c>
    </row>
    <row r="2833" spans="1:14" x14ac:dyDescent="0.25">
      <c r="A2833" s="1" t="s">
        <v>11694</v>
      </c>
      <c r="B2833" s="3" t="s">
        <v>6457</v>
      </c>
      <c r="C2833" s="2">
        <f ca="1">IF(ISNUMBER(SEARCH(Лист2!$B$4,D:D)),MAX($C$3:OFFSET(C2833,-1,0))+1,0)</f>
        <v>0</v>
      </c>
      <c r="E2833" s="9" t="str">
        <f t="shared" ca="1" si="56"/>
        <v/>
      </c>
      <c r="F2833" s="4" t="s">
        <v>7</v>
      </c>
      <c r="G2833" s="2">
        <f>IF(ISNUMBER(SEARCH(Лист2!$B$4,F:F)),1,0)</f>
        <v>0</v>
      </c>
      <c r="H2833" s="3">
        <f ca="1">IF(AND(I2833&lt;&gt;I2832,ISNUMBER(SEARCH(Лист2!$B$5,I:I)),G2833=1),MAX($H$3:OFFSET(H2833,-1,0))+1,0)</f>
        <v>0</v>
      </c>
      <c r="I2833" s="3" t="s">
        <v>249</v>
      </c>
      <c r="K2833" s="2">
        <f>IF(ISNUMBER(SEARCH(Лист2!$B$4,F:F)),1,0)</f>
        <v>0</v>
      </c>
      <c r="L2833" s="14">
        <f>IF(ISNUMBER(SEARCH(Лист2!$B$5,I:I)),1,0)+K2833</f>
        <v>0</v>
      </c>
      <c r="M2833" s="3">
        <f ca="1">IF(AND(N2833&lt;&gt;N2832,ISNUMBER(SEARCH(Лист2!$B$6,N:N)),L2833=2),MAX($M$3:OFFSET(M2833,-1,0))+1,0)</f>
        <v>0</v>
      </c>
      <c r="N2833" s="3" t="s">
        <v>1619</v>
      </c>
    </row>
    <row r="2834" spans="1:14" x14ac:dyDescent="0.25">
      <c r="A2834" s="1" t="s">
        <v>11695</v>
      </c>
      <c r="B2834" s="3" t="s">
        <v>6458</v>
      </c>
      <c r="C2834" s="2">
        <f ca="1">IF(ISNUMBER(SEARCH(Лист2!$B$4,D:D)),MAX($C$3:OFFSET(C2834,-1,0))+1,0)</f>
        <v>0</v>
      </c>
      <c r="E2834" s="9" t="str">
        <f t="shared" ca="1" si="56"/>
        <v/>
      </c>
      <c r="F2834" s="4" t="s">
        <v>7</v>
      </c>
      <c r="G2834" s="2">
        <f>IF(ISNUMBER(SEARCH(Лист2!$B$4,F:F)),1,0)</f>
        <v>0</v>
      </c>
      <c r="H2834" s="3">
        <f ca="1">IF(AND(I2834&lt;&gt;I2833,ISNUMBER(SEARCH(Лист2!$B$5,I:I)),G2834=1),MAX($H$3:OFFSET(H2834,-1,0))+1,0)</f>
        <v>0</v>
      </c>
      <c r="I2834" s="3" t="s">
        <v>249</v>
      </c>
      <c r="K2834" s="2">
        <f>IF(ISNUMBER(SEARCH(Лист2!$B$4,F:F)),1,0)</f>
        <v>0</v>
      </c>
      <c r="L2834" s="14">
        <f>IF(ISNUMBER(SEARCH(Лист2!$B$5,I:I)),1,0)+K2834</f>
        <v>0</v>
      </c>
      <c r="M2834" s="3">
        <f ca="1">IF(AND(N2834&lt;&gt;N2833,ISNUMBER(SEARCH(Лист2!$B$6,N:N)),L2834=2),MAX($M$3:OFFSET(M2834,-1,0))+1,0)</f>
        <v>0</v>
      </c>
      <c r="N2834" s="3" t="s">
        <v>602</v>
      </c>
    </row>
    <row r="2835" spans="1:14" x14ac:dyDescent="0.25">
      <c r="A2835" s="1" t="s">
        <v>11696</v>
      </c>
      <c r="B2835" s="3" t="s">
        <v>6459</v>
      </c>
      <c r="C2835" s="2">
        <f ca="1">IF(ISNUMBER(SEARCH(Лист2!$B$4,D:D)),MAX($C$3:OFFSET(C2835,-1,0))+1,0)</f>
        <v>0</v>
      </c>
      <c r="E2835" s="9" t="str">
        <f t="shared" ca="1" si="56"/>
        <v/>
      </c>
      <c r="F2835" s="4" t="s">
        <v>7</v>
      </c>
      <c r="G2835" s="2">
        <f>IF(ISNUMBER(SEARCH(Лист2!$B$4,F:F)),1,0)</f>
        <v>0</v>
      </c>
      <c r="H2835" s="3">
        <f ca="1">IF(AND(I2835&lt;&gt;I2834,ISNUMBER(SEARCH(Лист2!$B$5,I:I)),G2835=1),MAX($H$3:OFFSET(H2835,-1,0))+1,0)</f>
        <v>0</v>
      </c>
      <c r="I2835" s="3" t="s">
        <v>249</v>
      </c>
      <c r="K2835" s="2">
        <f>IF(ISNUMBER(SEARCH(Лист2!$B$4,F:F)),1,0)</f>
        <v>0</v>
      </c>
      <c r="L2835" s="14">
        <f>IF(ISNUMBER(SEARCH(Лист2!$B$5,I:I)),1,0)+K2835</f>
        <v>0</v>
      </c>
      <c r="M2835" s="3">
        <f ca="1">IF(AND(N2835&lt;&gt;N2834,ISNUMBER(SEARCH(Лист2!$B$6,N:N)),L2835=2),MAX($M$3:OFFSET(M2835,-1,0))+1,0)</f>
        <v>0</v>
      </c>
      <c r="N2835" s="3" t="s">
        <v>1908</v>
      </c>
    </row>
    <row r="2836" spans="1:14" x14ac:dyDescent="0.25">
      <c r="A2836" s="1" t="s">
        <v>11697</v>
      </c>
      <c r="B2836" s="3" t="s">
        <v>6460</v>
      </c>
      <c r="C2836" s="2">
        <f ca="1">IF(ISNUMBER(SEARCH(Лист2!$B$4,D:D)),MAX($C$3:OFFSET(C2836,-1,0))+1,0)</f>
        <v>0</v>
      </c>
      <c r="E2836" s="9" t="str">
        <f t="shared" ca="1" si="56"/>
        <v/>
      </c>
      <c r="F2836" s="4" t="s">
        <v>7</v>
      </c>
      <c r="G2836" s="2">
        <f>IF(ISNUMBER(SEARCH(Лист2!$B$4,F:F)),1,0)</f>
        <v>0</v>
      </c>
      <c r="H2836" s="3">
        <f ca="1">IF(AND(I2836&lt;&gt;I2835,ISNUMBER(SEARCH(Лист2!$B$5,I:I)),G2836=1),MAX($H$3:OFFSET(H2836,-1,0))+1,0)</f>
        <v>0</v>
      </c>
      <c r="I2836" s="3" t="s">
        <v>249</v>
      </c>
      <c r="K2836" s="2">
        <f>IF(ISNUMBER(SEARCH(Лист2!$B$4,F:F)),1,0)</f>
        <v>0</v>
      </c>
      <c r="L2836" s="14">
        <f>IF(ISNUMBER(SEARCH(Лист2!$B$5,I:I)),1,0)+K2836</f>
        <v>0</v>
      </c>
      <c r="M2836" s="3">
        <f ca="1">IF(AND(N2836&lt;&gt;N2835,ISNUMBER(SEARCH(Лист2!$B$6,N:N)),L2836=2),MAX($M$3:OFFSET(M2836,-1,0))+1,0)</f>
        <v>0</v>
      </c>
      <c r="N2836" s="3" t="s">
        <v>1909</v>
      </c>
    </row>
    <row r="2837" spans="1:14" x14ac:dyDescent="0.25">
      <c r="A2837" s="1" t="s">
        <v>11698</v>
      </c>
      <c r="B2837" s="3" t="s">
        <v>6461</v>
      </c>
      <c r="C2837" s="2">
        <f ca="1">IF(ISNUMBER(SEARCH(Лист2!$B$4,D:D)),MAX($C$3:OFFSET(C2837,-1,0))+1,0)</f>
        <v>0</v>
      </c>
      <c r="E2837" s="9" t="str">
        <f t="shared" ca="1" si="56"/>
        <v/>
      </c>
      <c r="F2837" s="4" t="s">
        <v>7</v>
      </c>
      <c r="G2837" s="2">
        <f>IF(ISNUMBER(SEARCH(Лист2!$B$4,F:F)),1,0)</f>
        <v>0</v>
      </c>
      <c r="H2837" s="3">
        <f ca="1">IF(AND(I2837&lt;&gt;I2836,ISNUMBER(SEARCH(Лист2!$B$5,I:I)),G2837=1),MAX($H$3:OFFSET(H2837,-1,0))+1,0)</f>
        <v>0</v>
      </c>
      <c r="I2837" s="3" t="s">
        <v>249</v>
      </c>
      <c r="K2837" s="2">
        <f>IF(ISNUMBER(SEARCH(Лист2!$B$4,F:F)),1,0)</f>
        <v>0</v>
      </c>
      <c r="L2837" s="14">
        <f>IF(ISNUMBER(SEARCH(Лист2!$B$5,I:I)),1,0)+K2837</f>
        <v>0</v>
      </c>
      <c r="M2837" s="3">
        <f ca="1">IF(AND(N2837&lt;&gt;N2836,ISNUMBER(SEARCH(Лист2!$B$6,N:N)),L2837=2),MAX($M$3:OFFSET(M2837,-1,0))+1,0)</f>
        <v>0</v>
      </c>
      <c r="N2837" s="3" t="s">
        <v>1910</v>
      </c>
    </row>
    <row r="2838" spans="1:14" x14ac:dyDescent="0.25">
      <c r="A2838" s="1" t="s">
        <v>11699</v>
      </c>
      <c r="B2838" s="3" t="s">
        <v>6462</v>
      </c>
      <c r="C2838" s="2">
        <f ca="1">IF(ISNUMBER(SEARCH(Лист2!$B$4,D:D)),MAX($C$3:OFFSET(C2838,-1,0))+1,0)</f>
        <v>0</v>
      </c>
      <c r="E2838" s="9" t="str">
        <f t="shared" ca="1" si="56"/>
        <v/>
      </c>
      <c r="F2838" s="4" t="s">
        <v>7</v>
      </c>
      <c r="G2838" s="2">
        <f>IF(ISNUMBER(SEARCH(Лист2!$B$4,F:F)),1,0)</f>
        <v>0</v>
      </c>
      <c r="H2838" s="3">
        <f ca="1">IF(AND(I2838&lt;&gt;I2837,ISNUMBER(SEARCH(Лист2!$B$5,I:I)),G2838=1),MAX($H$3:OFFSET(H2838,-1,0))+1,0)</f>
        <v>0</v>
      </c>
      <c r="I2838" s="3" t="s">
        <v>249</v>
      </c>
      <c r="K2838" s="2">
        <f>IF(ISNUMBER(SEARCH(Лист2!$B$4,F:F)),1,0)</f>
        <v>0</v>
      </c>
      <c r="L2838" s="14">
        <f>IF(ISNUMBER(SEARCH(Лист2!$B$5,I:I)),1,0)+K2838</f>
        <v>0</v>
      </c>
      <c r="M2838" s="3">
        <f ca="1">IF(AND(N2838&lt;&gt;N2837,ISNUMBER(SEARCH(Лист2!$B$6,N:N)),L2838=2),MAX($M$3:OFFSET(M2838,-1,0))+1,0)</f>
        <v>0</v>
      </c>
      <c r="N2838" s="3" t="s">
        <v>1911</v>
      </c>
    </row>
    <row r="2839" spans="1:14" x14ac:dyDescent="0.25">
      <c r="A2839" s="1" t="s">
        <v>11700</v>
      </c>
      <c r="B2839" s="3" t="s">
        <v>6463</v>
      </c>
      <c r="C2839" s="2">
        <f ca="1">IF(ISNUMBER(SEARCH(Лист2!$B$4,D:D)),MAX($C$3:OFFSET(C2839,-1,0))+1,0)</f>
        <v>0</v>
      </c>
      <c r="E2839" s="9" t="str">
        <f t="shared" ca="1" si="56"/>
        <v/>
      </c>
      <c r="F2839" s="4" t="s">
        <v>7</v>
      </c>
      <c r="G2839" s="2">
        <f>IF(ISNUMBER(SEARCH(Лист2!$B$4,F:F)),1,0)</f>
        <v>0</v>
      </c>
      <c r="H2839" s="3">
        <f ca="1">IF(AND(I2839&lt;&gt;I2838,ISNUMBER(SEARCH(Лист2!$B$5,I:I)),G2839=1),MAX($H$3:OFFSET(H2839,-1,0))+1,0)</f>
        <v>0</v>
      </c>
      <c r="I2839" s="3" t="s">
        <v>249</v>
      </c>
      <c r="K2839" s="2">
        <f>IF(ISNUMBER(SEARCH(Лист2!$B$4,F:F)),1,0)</f>
        <v>0</v>
      </c>
      <c r="L2839" s="14">
        <f>IF(ISNUMBER(SEARCH(Лист2!$B$5,I:I)),1,0)+K2839</f>
        <v>0</v>
      </c>
      <c r="M2839" s="3">
        <f ca="1">IF(AND(N2839&lt;&gt;N2838,ISNUMBER(SEARCH(Лист2!$B$6,N:N)),L2839=2),MAX($M$3:OFFSET(M2839,-1,0))+1,0)</f>
        <v>0</v>
      </c>
      <c r="N2839" s="3" t="s">
        <v>1912</v>
      </c>
    </row>
    <row r="2840" spans="1:14" x14ac:dyDescent="0.25">
      <c r="A2840" s="1" t="s">
        <v>11701</v>
      </c>
      <c r="B2840" s="3" t="s">
        <v>6464</v>
      </c>
      <c r="C2840" s="2">
        <f ca="1">IF(ISNUMBER(SEARCH(Лист2!$B$4,D:D)),MAX($C$3:OFFSET(C2840,-1,0))+1,0)</f>
        <v>0</v>
      </c>
      <c r="E2840" s="9" t="str">
        <f t="shared" ca="1" si="56"/>
        <v/>
      </c>
      <c r="F2840" s="4" t="s">
        <v>7</v>
      </c>
      <c r="G2840" s="2">
        <f>IF(ISNUMBER(SEARCH(Лист2!$B$4,F:F)),1,0)</f>
        <v>0</v>
      </c>
      <c r="H2840" s="3">
        <f ca="1">IF(AND(I2840&lt;&gt;I2839,ISNUMBER(SEARCH(Лист2!$B$5,I:I)),G2840=1),MAX($H$3:OFFSET(H2840,-1,0))+1,0)</f>
        <v>0</v>
      </c>
      <c r="I2840" s="3" t="s">
        <v>250</v>
      </c>
      <c r="K2840" s="2">
        <f>IF(ISNUMBER(SEARCH(Лист2!$B$4,F:F)),1,0)</f>
        <v>0</v>
      </c>
      <c r="L2840" s="14">
        <f>IF(ISNUMBER(SEARCH(Лист2!$B$5,I:I)),1,0)+K2840</f>
        <v>0</v>
      </c>
      <c r="M2840" s="3">
        <f ca="1">IF(AND(N2840&lt;&gt;N2839,ISNUMBER(SEARCH(Лист2!$B$6,N:N)),L2840=2),MAX($M$3:OFFSET(M2840,-1,0))+1,0)</f>
        <v>0</v>
      </c>
      <c r="N2840" s="3" t="s">
        <v>1913</v>
      </c>
    </row>
    <row r="2841" spans="1:14" x14ac:dyDescent="0.25">
      <c r="A2841" s="1" t="s">
        <v>11702</v>
      </c>
      <c r="B2841" s="3" t="s">
        <v>6465</v>
      </c>
      <c r="C2841" s="2">
        <f ca="1">IF(ISNUMBER(SEARCH(Лист2!$B$4,D:D)),MAX($C$3:OFFSET(C2841,-1,0))+1,0)</f>
        <v>0</v>
      </c>
      <c r="E2841" s="9" t="str">
        <f t="shared" ca="1" si="56"/>
        <v/>
      </c>
      <c r="F2841" s="4" t="s">
        <v>7</v>
      </c>
      <c r="G2841" s="2">
        <f>IF(ISNUMBER(SEARCH(Лист2!$B$4,F:F)),1,0)</f>
        <v>0</v>
      </c>
      <c r="H2841" s="3">
        <f ca="1">IF(AND(I2841&lt;&gt;I2840,ISNUMBER(SEARCH(Лист2!$B$5,I:I)),G2841=1),MAX($H$3:OFFSET(H2841,-1,0))+1,0)</f>
        <v>0</v>
      </c>
      <c r="I2841" s="3" t="s">
        <v>250</v>
      </c>
      <c r="K2841" s="2">
        <f>IF(ISNUMBER(SEARCH(Лист2!$B$4,F:F)),1,0)</f>
        <v>0</v>
      </c>
      <c r="L2841" s="14">
        <f>IF(ISNUMBER(SEARCH(Лист2!$B$5,I:I)),1,0)+K2841</f>
        <v>0</v>
      </c>
      <c r="M2841" s="3">
        <f ca="1">IF(AND(N2841&lt;&gt;N2840,ISNUMBER(SEARCH(Лист2!$B$6,N:N)),L2841=2),MAX($M$3:OFFSET(M2841,-1,0))+1,0)</f>
        <v>0</v>
      </c>
      <c r="N2841" s="3" t="s">
        <v>1914</v>
      </c>
    </row>
    <row r="2842" spans="1:14" x14ac:dyDescent="0.25">
      <c r="A2842" s="1" t="s">
        <v>11703</v>
      </c>
      <c r="B2842" s="3" t="s">
        <v>6466</v>
      </c>
      <c r="C2842" s="2">
        <f ca="1">IF(ISNUMBER(SEARCH(Лист2!$B$4,D:D)),MAX($C$3:OFFSET(C2842,-1,0))+1,0)</f>
        <v>0</v>
      </c>
      <c r="E2842" s="9" t="str">
        <f t="shared" ca="1" si="56"/>
        <v/>
      </c>
      <c r="F2842" s="4" t="s">
        <v>7</v>
      </c>
      <c r="G2842" s="2">
        <f>IF(ISNUMBER(SEARCH(Лист2!$B$4,F:F)),1,0)</f>
        <v>0</v>
      </c>
      <c r="H2842" s="3">
        <f ca="1">IF(AND(I2842&lt;&gt;I2841,ISNUMBER(SEARCH(Лист2!$B$5,I:I)),G2842=1),MAX($H$3:OFFSET(H2842,-1,0))+1,0)</f>
        <v>0</v>
      </c>
      <c r="I2842" s="3" t="s">
        <v>250</v>
      </c>
      <c r="K2842" s="2">
        <f>IF(ISNUMBER(SEARCH(Лист2!$B$4,F:F)),1,0)</f>
        <v>0</v>
      </c>
      <c r="L2842" s="14">
        <f>IF(ISNUMBER(SEARCH(Лист2!$B$5,I:I)),1,0)+K2842</f>
        <v>0</v>
      </c>
      <c r="M2842" s="3">
        <f ca="1">IF(AND(N2842&lt;&gt;N2841,ISNUMBER(SEARCH(Лист2!$B$6,N:N)),L2842=2),MAX($M$3:OFFSET(M2842,-1,0))+1,0)</f>
        <v>0</v>
      </c>
      <c r="N2842" s="3" t="s">
        <v>1915</v>
      </c>
    </row>
    <row r="2843" spans="1:14" x14ac:dyDescent="0.25">
      <c r="A2843" s="1" t="s">
        <v>11704</v>
      </c>
      <c r="B2843" s="3" t="s">
        <v>6467</v>
      </c>
      <c r="C2843" s="2">
        <f ca="1">IF(ISNUMBER(SEARCH(Лист2!$B$4,D:D)),MAX($C$3:OFFSET(C2843,-1,0))+1,0)</f>
        <v>0</v>
      </c>
      <c r="E2843" s="9" t="str">
        <f t="shared" ca="1" si="56"/>
        <v/>
      </c>
      <c r="F2843" s="4" t="s">
        <v>7</v>
      </c>
      <c r="G2843" s="2">
        <f>IF(ISNUMBER(SEARCH(Лист2!$B$4,F:F)),1,0)</f>
        <v>0</v>
      </c>
      <c r="H2843" s="3">
        <f ca="1">IF(AND(I2843&lt;&gt;I2842,ISNUMBER(SEARCH(Лист2!$B$5,I:I)),G2843=1),MAX($H$3:OFFSET(H2843,-1,0))+1,0)</f>
        <v>0</v>
      </c>
      <c r="I2843" s="3" t="s">
        <v>250</v>
      </c>
      <c r="K2843" s="2">
        <f>IF(ISNUMBER(SEARCH(Лист2!$B$4,F:F)),1,0)</f>
        <v>0</v>
      </c>
      <c r="L2843" s="14">
        <f>IF(ISNUMBER(SEARCH(Лист2!$B$5,I:I)),1,0)+K2843</f>
        <v>0</v>
      </c>
      <c r="M2843" s="3">
        <f ca="1">IF(AND(N2843&lt;&gt;N2842,ISNUMBER(SEARCH(Лист2!$B$6,N:N)),L2843=2),MAX($M$3:OFFSET(M2843,-1,0))+1,0)</f>
        <v>0</v>
      </c>
      <c r="N2843" s="3" t="s">
        <v>1916</v>
      </c>
    </row>
    <row r="2844" spans="1:14" x14ac:dyDescent="0.25">
      <c r="A2844" s="1" t="s">
        <v>11705</v>
      </c>
      <c r="B2844" s="3" t="s">
        <v>6468</v>
      </c>
      <c r="C2844" s="2">
        <f ca="1">IF(ISNUMBER(SEARCH(Лист2!$B$4,D:D)),MAX($C$3:OFFSET(C2844,-1,0))+1,0)</f>
        <v>0</v>
      </c>
      <c r="E2844" s="9" t="str">
        <f t="shared" ca="1" si="56"/>
        <v/>
      </c>
      <c r="F2844" s="4" t="s">
        <v>7</v>
      </c>
      <c r="G2844" s="2">
        <f>IF(ISNUMBER(SEARCH(Лист2!$B$4,F:F)),1,0)</f>
        <v>0</v>
      </c>
      <c r="H2844" s="3">
        <f ca="1">IF(AND(I2844&lt;&gt;I2843,ISNUMBER(SEARCH(Лист2!$B$5,I:I)),G2844=1),MAX($H$3:OFFSET(H2844,-1,0))+1,0)</f>
        <v>0</v>
      </c>
      <c r="I2844" s="3" t="s">
        <v>250</v>
      </c>
      <c r="K2844" s="2">
        <f>IF(ISNUMBER(SEARCH(Лист2!$B$4,F:F)),1,0)</f>
        <v>0</v>
      </c>
      <c r="L2844" s="14">
        <f>IF(ISNUMBER(SEARCH(Лист2!$B$5,I:I)),1,0)+K2844</f>
        <v>0</v>
      </c>
      <c r="M2844" s="3">
        <f ca="1">IF(AND(N2844&lt;&gt;N2843,ISNUMBER(SEARCH(Лист2!$B$6,N:N)),L2844=2),MAX($M$3:OFFSET(M2844,-1,0))+1,0)</f>
        <v>0</v>
      </c>
      <c r="N2844" s="3" t="s">
        <v>1917</v>
      </c>
    </row>
    <row r="2845" spans="1:14" x14ac:dyDescent="0.25">
      <c r="A2845" s="1" t="s">
        <v>11706</v>
      </c>
      <c r="B2845" s="3" t="s">
        <v>6469</v>
      </c>
      <c r="C2845" s="2">
        <f ca="1">IF(ISNUMBER(SEARCH(Лист2!$B$4,D:D)),MAX($C$3:OFFSET(C2845,-1,0))+1,0)</f>
        <v>0</v>
      </c>
      <c r="E2845" s="9" t="str">
        <f t="shared" ca="1" si="56"/>
        <v/>
      </c>
      <c r="F2845" s="4" t="s">
        <v>7</v>
      </c>
      <c r="G2845" s="2">
        <f>IF(ISNUMBER(SEARCH(Лист2!$B$4,F:F)),1,0)</f>
        <v>0</v>
      </c>
      <c r="H2845" s="3">
        <f ca="1">IF(AND(I2845&lt;&gt;I2844,ISNUMBER(SEARCH(Лист2!$B$5,I:I)),G2845=1),MAX($H$3:OFFSET(H2845,-1,0))+1,0)</f>
        <v>0</v>
      </c>
      <c r="I2845" s="3" t="s">
        <v>250</v>
      </c>
      <c r="K2845" s="2">
        <f>IF(ISNUMBER(SEARCH(Лист2!$B$4,F:F)),1,0)</f>
        <v>0</v>
      </c>
      <c r="L2845" s="14">
        <f>IF(ISNUMBER(SEARCH(Лист2!$B$5,I:I)),1,0)+K2845</f>
        <v>0</v>
      </c>
      <c r="M2845" s="3">
        <f ca="1">IF(AND(N2845&lt;&gt;N2844,ISNUMBER(SEARCH(Лист2!$B$6,N:N)),L2845=2),MAX($M$3:OFFSET(M2845,-1,0))+1,0)</f>
        <v>0</v>
      </c>
      <c r="N2845" s="3" t="s">
        <v>1735</v>
      </c>
    </row>
    <row r="2846" spans="1:14" x14ac:dyDescent="0.25">
      <c r="A2846" s="1" t="s">
        <v>11707</v>
      </c>
      <c r="B2846" s="3" t="s">
        <v>6470</v>
      </c>
      <c r="C2846" s="2">
        <f ca="1">IF(ISNUMBER(SEARCH(Лист2!$B$4,D:D)),MAX($C$3:OFFSET(C2846,-1,0))+1,0)</f>
        <v>0</v>
      </c>
      <c r="E2846" s="9" t="str">
        <f t="shared" ca="1" si="56"/>
        <v/>
      </c>
      <c r="F2846" s="4" t="s">
        <v>7</v>
      </c>
      <c r="G2846" s="2">
        <f>IF(ISNUMBER(SEARCH(Лист2!$B$4,F:F)),1,0)</f>
        <v>0</v>
      </c>
      <c r="H2846" s="3">
        <f ca="1">IF(AND(I2846&lt;&gt;I2845,ISNUMBER(SEARCH(Лист2!$B$5,I:I)),G2846=1),MAX($H$3:OFFSET(H2846,-1,0))+1,0)</f>
        <v>0</v>
      </c>
      <c r="I2846" s="3" t="s">
        <v>250</v>
      </c>
      <c r="K2846" s="2">
        <f>IF(ISNUMBER(SEARCH(Лист2!$B$4,F:F)),1,0)</f>
        <v>0</v>
      </c>
      <c r="L2846" s="14">
        <f>IF(ISNUMBER(SEARCH(Лист2!$B$5,I:I)),1,0)+K2846</f>
        <v>0</v>
      </c>
      <c r="M2846" s="3">
        <f ca="1">IF(AND(N2846&lt;&gt;N2845,ISNUMBER(SEARCH(Лист2!$B$6,N:N)),L2846=2),MAX($M$3:OFFSET(M2846,-1,0))+1,0)</f>
        <v>0</v>
      </c>
      <c r="N2846" s="3" t="s">
        <v>1748</v>
      </c>
    </row>
    <row r="2847" spans="1:14" x14ac:dyDescent="0.25">
      <c r="A2847" s="1" t="s">
        <v>11708</v>
      </c>
      <c r="B2847" s="3" t="s">
        <v>6471</v>
      </c>
      <c r="C2847" s="2">
        <f ca="1">IF(ISNUMBER(SEARCH(Лист2!$B$4,D:D)),MAX($C$3:OFFSET(C2847,-1,0))+1,0)</f>
        <v>0</v>
      </c>
      <c r="E2847" s="9" t="str">
        <f t="shared" ca="1" si="56"/>
        <v/>
      </c>
      <c r="F2847" s="4" t="s">
        <v>7</v>
      </c>
      <c r="G2847" s="2">
        <f>IF(ISNUMBER(SEARCH(Лист2!$B$4,F:F)),1,0)</f>
        <v>0</v>
      </c>
      <c r="H2847" s="3">
        <f ca="1">IF(AND(I2847&lt;&gt;I2846,ISNUMBER(SEARCH(Лист2!$B$5,I:I)),G2847=1),MAX($H$3:OFFSET(H2847,-1,0))+1,0)</f>
        <v>0</v>
      </c>
      <c r="I2847" s="3" t="s">
        <v>250</v>
      </c>
      <c r="K2847" s="2">
        <f>IF(ISNUMBER(SEARCH(Лист2!$B$4,F:F)),1,0)</f>
        <v>0</v>
      </c>
      <c r="L2847" s="14">
        <f>IF(ISNUMBER(SEARCH(Лист2!$B$5,I:I)),1,0)+K2847</f>
        <v>0</v>
      </c>
      <c r="M2847" s="3">
        <f ca="1">IF(AND(N2847&lt;&gt;N2846,ISNUMBER(SEARCH(Лист2!$B$6,N:N)),L2847=2),MAX($M$3:OFFSET(M2847,-1,0))+1,0)</f>
        <v>0</v>
      </c>
      <c r="N2847" s="3" t="s">
        <v>1621</v>
      </c>
    </row>
    <row r="2848" spans="1:14" x14ac:dyDescent="0.25">
      <c r="A2848" s="1" t="s">
        <v>11709</v>
      </c>
      <c r="B2848" s="3" t="s">
        <v>6472</v>
      </c>
      <c r="C2848" s="2">
        <f ca="1">IF(ISNUMBER(SEARCH(Лист2!$B$4,D:D)),MAX($C$3:OFFSET(C2848,-1,0))+1,0)</f>
        <v>0</v>
      </c>
      <c r="E2848" s="9" t="str">
        <f t="shared" ca="1" si="56"/>
        <v/>
      </c>
      <c r="F2848" s="4" t="s">
        <v>7</v>
      </c>
      <c r="G2848" s="2">
        <f>IF(ISNUMBER(SEARCH(Лист2!$B$4,F:F)),1,0)</f>
        <v>0</v>
      </c>
      <c r="H2848" s="3">
        <f ca="1">IF(AND(I2848&lt;&gt;I2847,ISNUMBER(SEARCH(Лист2!$B$5,I:I)),G2848=1),MAX($H$3:OFFSET(H2848,-1,0))+1,0)</f>
        <v>0</v>
      </c>
      <c r="I2848" s="3" t="s">
        <v>250</v>
      </c>
      <c r="K2848" s="2">
        <f>IF(ISNUMBER(SEARCH(Лист2!$B$4,F:F)),1,0)</f>
        <v>0</v>
      </c>
      <c r="L2848" s="14">
        <f>IF(ISNUMBER(SEARCH(Лист2!$B$5,I:I)),1,0)+K2848</f>
        <v>0</v>
      </c>
      <c r="M2848" s="3">
        <f ca="1">IF(AND(N2848&lt;&gt;N2847,ISNUMBER(SEARCH(Лист2!$B$6,N:N)),L2848=2),MAX($M$3:OFFSET(M2848,-1,0))+1,0)</f>
        <v>0</v>
      </c>
      <c r="N2848" s="3" t="s">
        <v>1749</v>
      </c>
    </row>
    <row r="2849" spans="1:14" x14ac:dyDescent="0.25">
      <c r="A2849" s="1" t="s">
        <v>11710</v>
      </c>
      <c r="B2849" s="3" t="s">
        <v>6473</v>
      </c>
      <c r="C2849" s="2">
        <f ca="1">IF(ISNUMBER(SEARCH(Лист2!$B$4,D:D)),MAX($C$3:OFFSET(C2849,-1,0))+1,0)</f>
        <v>0</v>
      </c>
      <c r="E2849" s="9" t="str">
        <f t="shared" ca="1" si="56"/>
        <v/>
      </c>
      <c r="F2849" s="4" t="s">
        <v>7</v>
      </c>
      <c r="G2849" s="2">
        <f>IF(ISNUMBER(SEARCH(Лист2!$B$4,F:F)),1,0)</f>
        <v>0</v>
      </c>
      <c r="H2849" s="3">
        <f ca="1">IF(AND(I2849&lt;&gt;I2848,ISNUMBER(SEARCH(Лист2!$B$5,I:I)),G2849=1),MAX($H$3:OFFSET(H2849,-1,0))+1,0)</f>
        <v>0</v>
      </c>
      <c r="I2849" s="3" t="s">
        <v>250</v>
      </c>
      <c r="K2849" s="2">
        <f>IF(ISNUMBER(SEARCH(Лист2!$B$4,F:F)),1,0)</f>
        <v>0</v>
      </c>
      <c r="L2849" s="14">
        <f>IF(ISNUMBER(SEARCH(Лист2!$B$5,I:I)),1,0)+K2849</f>
        <v>0</v>
      </c>
      <c r="M2849" s="3">
        <f ca="1">IF(AND(N2849&lt;&gt;N2848,ISNUMBER(SEARCH(Лист2!$B$6,N:N)),L2849=2),MAX($M$3:OFFSET(M2849,-1,0))+1,0)</f>
        <v>0</v>
      </c>
      <c r="N2849" s="3" t="s">
        <v>1619</v>
      </c>
    </row>
    <row r="2850" spans="1:14" x14ac:dyDescent="0.25">
      <c r="A2850" s="1" t="s">
        <v>11711</v>
      </c>
      <c r="B2850" s="3" t="s">
        <v>6474</v>
      </c>
      <c r="C2850" s="2">
        <f ca="1">IF(ISNUMBER(SEARCH(Лист2!$B$4,D:D)),MAX($C$3:OFFSET(C2850,-1,0))+1,0)</f>
        <v>0</v>
      </c>
      <c r="E2850" s="9" t="str">
        <f t="shared" ca="1" si="56"/>
        <v/>
      </c>
      <c r="F2850" s="4" t="s">
        <v>7</v>
      </c>
      <c r="G2850" s="2">
        <f>IF(ISNUMBER(SEARCH(Лист2!$B$4,F:F)),1,0)</f>
        <v>0</v>
      </c>
      <c r="H2850" s="3">
        <f ca="1">IF(AND(I2850&lt;&gt;I2849,ISNUMBER(SEARCH(Лист2!$B$5,I:I)),G2850=1),MAX($H$3:OFFSET(H2850,-1,0))+1,0)</f>
        <v>0</v>
      </c>
      <c r="I2850" s="3" t="s">
        <v>250</v>
      </c>
      <c r="K2850" s="2">
        <f>IF(ISNUMBER(SEARCH(Лист2!$B$4,F:F)),1,0)</f>
        <v>0</v>
      </c>
      <c r="L2850" s="14">
        <f>IF(ISNUMBER(SEARCH(Лист2!$B$5,I:I)),1,0)+K2850</f>
        <v>0</v>
      </c>
      <c r="M2850" s="3">
        <f ca="1">IF(AND(N2850&lt;&gt;N2849,ISNUMBER(SEARCH(Лист2!$B$6,N:N)),L2850=2),MAX($M$3:OFFSET(M2850,-1,0))+1,0)</f>
        <v>0</v>
      </c>
      <c r="N2850" s="3" t="s">
        <v>602</v>
      </c>
    </row>
    <row r="2851" spans="1:14" x14ac:dyDescent="0.25">
      <c r="A2851" s="1" t="s">
        <v>11712</v>
      </c>
      <c r="B2851" s="3" t="s">
        <v>6475</v>
      </c>
      <c r="C2851" s="2">
        <f ca="1">IF(ISNUMBER(SEARCH(Лист2!$B$4,D:D)),MAX($C$3:OFFSET(C2851,-1,0))+1,0)</f>
        <v>0</v>
      </c>
      <c r="E2851" s="9" t="str">
        <f t="shared" ca="1" si="56"/>
        <v/>
      </c>
      <c r="F2851" s="4" t="s">
        <v>7</v>
      </c>
      <c r="G2851" s="2">
        <f>IF(ISNUMBER(SEARCH(Лист2!$B$4,F:F)),1,0)</f>
        <v>0</v>
      </c>
      <c r="H2851" s="3">
        <f ca="1">IF(AND(I2851&lt;&gt;I2850,ISNUMBER(SEARCH(Лист2!$B$5,I:I)),G2851=1),MAX($H$3:OFFSET(H2851,-1,0))+1,0)</f>
        <v>0</v>
      </c>
      <c r="I2851" s="3" t="s">
        <v>250</v>
      </c>
      <c r="K2851" s="2">
        <f>IF(ISNUMBER(SEARCH(Лист2!$B$4,F:F)),1,0)</f>
        <v>0</v>
      </c>
      <c r="L2851" s="14">
        <f>IF(ISNUMBER(SEARCH(Лист2!$B$5,I:I)),1,0)+K2851</f>
        <v>0</v>
      </c>
      <c r="M2851" s="3">
        <f ca="1">IF(AND(N2851&lt;&gt;N2850,ISNUMBER(SEARCH(Лист2!$B$6,N:N)),L2851=2),MAX($M$3:OFFSET(M2851,-1,0))+1,0)</f>
        <v>0</v>
      </c>
      <c r="N2851" s="3" t="s">
        <v>1918</v>
      </c>
    </row>
    <row r="2852" spans="1:14" x14ac:dyDescent="0.25">
      <c r="A2852" s="1" t="s">
        <v>11713</v>
      </c>
      <c r="B2852" s="3" t="s">
        <v>6476</v>
      </c>
      <c r="C2852" s="2">
        <f ca="1">IF(ISNUMBER(SEARCH(Лист2!$B$4,D:D)),MAX($C$3:OFFSET(C2852,-1,0))+1,0)</f>
        <v>0</v>
      </c>
      <c r="E2852" s="9" t="str">
        <f t="shared" ca="1" si="56"/>
        <v/>
      </c>
      <c r="F2852" s="4" t="s">
        <v>7</v>
      </c>
      <c r="G2852" s="2">
        <f>IF(ISNUMBER(SEARCH(Лист2!$B$4,F:F)),1,0)</f>
        <v>0</v>
      </c>
      <c r="H2852" s="3">
        <f ca="1">IF(AND(I2852&lt;&gt;I2851,ISNUMBER(SEARCH(Лист2!$B$5,I:I)),G2852=1),MAX($H$3:OFFSET(H2852,-1,0))+1,0)</f>
        <v>0</v>
      </c>
      <c r="I2852" s="3" t="s">
        <v>250</v>
      </c>
      <c r="K2852" s="2">
        <f>IF(ISNUMBER(SEARCH(Лист2!$B$4,F:F)),1,0)</f>
        <v>0</v>
      </c>
      <c r="L2852" s="14">
        <f>IF(ISNUMBER(SEARCH(Лист2!$B$5,I:I)),1,0)+K2852</f>
        <v>0</v>
      </c>
      <c r="M2852" s="3">
        <f ca="1">IF(AND(N2852&lt;&gt;N2851,ISNUMBER(SEARCH(Лист2!$B$6,N:N)),L2852=2),MAX($M$3:OFFSET(M2852,-1,0))+1,0)</f>
        <v>0</v>
      </c>
      <c r="N2852" s="3" t="s">
        <v>1919</v>
      </c>
    </row>
    <row r="2853" spans="1:14" x14ac:dyDescent="0.25">
      <c r="A2853" s="1" t="s">
        <v>11714</v>
      </c>
      <c r="B2853" s="3" t="s">
        <v>6477</v>
      </c>
      <c r="C2853" s="2">
        <f ca="1">IF(ISNUMBER(SEARCH(Лист2!$B$4,D:D)),MAX($C$3:OFFSET(C2853,-1,0))+1,0)</f>
        <v>0</v>
      </c>
      <c r="E2853" s="9" t="str">
        <f t="shared" ca="1" si="56"/>
        <v/>
      </c>
      <c r="F2853" s="4" t="s">
        <v>7</v>
      </c>
      <c r="G2853" s="2">
        <f>IF(ISNUMBER(SEARCH(Лист2!$B$4,F:F)),1,0)</f>
        <v>0</v>
      </c>
      <c r="H2853" s="3">
        <f ca="1">IF(AND(I2853&lt;&gt;I2852,ISNUMBER(SEARCH(Лист2!$B$5,I:I)),G2853=1),MAX($H$3:OFFSET(H2853,-1,0))+1,0)</f>
        <v>0</v>
      </c>
      <c r="I2853" s="3" t="s">
        <v>250</v>
      </c>
      <c r="K2853" s="2">
        <f>IF(ISNUMBER(SEARCH(Лист2!$B$4,F:F)),1,0)</f>
        <v>0</v>
      </c>
      <c r="L2853" s="14">
        <f>IF(ISNUMBER(SEARCH(Лист2!$B$5,I:I)),1,0)+K2853</f>
        <v>0</v>
      </c>
      <c r="M2853" s="3">
        <f ca="1">IF(AND(N2853&lt;&gt;N2852,ISNUMBER(SEARCH(Лист2!$B$6,N:N)),L2853=2),MAX($M$3:OFFSET(M2853,-1,0))+1,0)</f>
        <v>0</v>
      </c>
      <c r="N2853" s="3" t="s">
        <v>1920</v>
      </c>
    </row>
    <row r="2854" spans="1:14" x14ac:dyDescent="0.25">
      <c r="A2854" s="1" t="s">
        <v>11715</v>
      </c>
      <c r="B2854" s="3" t="s">
        <v>6478</v>
      </c>
      <c r="C2854" s="2">
        <f ca="1">IF(ISNUMBER(SEARCH(Лист2!$B$4,D:D)),MAX($C$3:OFFSET(C2854,-1,0))+1,0)</f>
        <v>0</v>
      </c>
      <c r="E2854" s="9" t="str">
        <f t="shared" ca="1" si="56"/>
        <v/>
      </c>
      <c r="F2854" s="4" t="s">
        <v>7</v>
      </c>
      <c r="G2854" s="2">
        <f>IF(ISNUMBER(SEARCH(Лист2!$B$4,F:F)),1,0)</f>
        <v>0</v>
      </c>
      <c r="H2854" s="3">
        <f ca="1">IF(AND(I2854&lt;&gt;I2853,ISNUMBER(SEARCH(Лист2!$B$5,I:I)),G2854=1),MAX($H$3:OFFSET(H2854,-1,0))+1,0)</f>
        <v>0</v>
      </c>
      <c r="I2854" s="3" t="s">
        <v>250</v>
      </c>
      <c r="K2854" s="2">
        <f>IF(ISNUMBER(SEARCH(Лист2!$B$4,F:F)),1,0)</f>
        <v>0</v>
      </c>
      <c r="L2854" s="14">
        <f>IF(ISNUMBER(SEARCH(Лист2!$B$5,I:I)),1,0)+K2854</f>
        <v>0</v>
      </c>
      <c r="M2854" s="3">
        <f ca="1">IF(AND(N2854&lt;&gt;N2853,ISNUMBER(SEARCH(Лист2!$B$6,N:N)),L2854=2),MAX($M$3:OFFSET(M2854,-1,0))+1,0)</f>
        <v>0</v>
      </c>
      <c r="N2854" s="3" t="s">
        <v>1921</v>
      </c>
    </row>
    <row r="2855" spans="1:14" x14ac:dyDescent="0.25">
      <c r="A2855" s="1" t="s">
        <v>11716</v>
      </c>
      <c r="B2855" s="3" t="s">
        <v>6479</v>
      </c>
      <c r="C2855" s="2">
        <f ca="1">IF(ISNUMBER(SEARCH(Лист2!$B$4,D:D)),MAX($C$3:OFFSET(C2855,-1,0))+1,0)</f>
        <v>0</v>
      </c>
      <c r="E2855" s="9" t="str">
        <f t="shared" ca="1" si="56"/>
        <v/>
      </c>
      <c r="F2855" s="4" t="s">
        <v>7</v>
      </c>
      <c r="G2855" s="2">
        <f>IF(ISNUMBER(SEARCH(Лист2!$B$4,F:F)),1,0)</f>
        <v>0</v>
      </c>
      <c r="H2855" s="3">
        <f ca="1">IF(AND(I2855&lt;&gt;I2854,ISNUMBER(SEARCH(Лист2!$B$5,I:I)),G2855=1),MAX($H$3:OFFSET(H2855,-1,0))+1,0)</f>
        <v>0</v>
      </c>
      <c r="I2855" s="3" t="s">
        <v>250</v>
      </c>
      <c r="K2855" s="2">
        <f>IF(ISNUMBER(SEARCH(Лист2!$B$4,F:F)),1,0)</f>
        <v>0</v>
      </c>
      <c r="L2855" s="14">
        <f>IF(ISNUMBER(SEARCH(Лист2!$B$5,I:I)),1,0)+K2855</f>
        <v>0</v>
      </c>
      <c r="M2855" s="3">
        <f ca="1">IF(AND(N2855&lt;&gt;N2854,ISNUMBER(SEARCH(Лист2!$B$6,N:N)),L2855=2),MAX($M$3:OFFSET(M2855,-1,0))+1,0)</f>
        <v>0</v>
      </c>
      <c r="N2855" s="3" t="s">
        <v>1922</v>
      </c>
    </row>
    <row r="2856" spans="1:14" x14ac:dyDescent="0.25">
      <c r="A2856" s="1" t="s">
        <v>11460</v>
      </c>
      <c r="B2856" s="3" t="s">
        <v>6480</v>
      </c>
      <c r="C2856" s="2">
        <f ca="1">IF(ISNUMBER(SEARCH(Лист2!$B$4,D:D)),MAX($C$3:OFFSET(C2856,-1,0))+1,0)</f>
        <v>0</v>
      </c>
      <c r="E2856" s="9" t="str">
        <f t="shared" ca="1" si="56"/>
        <v/>
      </c>
      <c r="F2856" s="4" t="s">
        <v>7</v>
      </c>
      <c r="G2856" s="2">
        <f>IF(ISNUMBER(SEARCH(Лист2!$B$4,F:F)),1,0)</f>
        <v>0</v>
      </c>
      <c r="H2856" s="3">
        <f ca="1">IF(AND(I2856&lt;&gt;I2855,ISNUMBER(SEARCH(Лист2!$B$5,I:I)),G2856=1),MAX($H$3:OFFSET(H2856,-1,0))+1,0)</f>
        <v>0</v>
      </c>
      <c r="I2856" s="3" t="s">
        <v>237</v>
      </c>
      <c r="K2856" s="2">
        <f>IF(ISNUMBER(SEARCH(Лист2!$B$4,F:F)),1,0)</f>
        <v>0</v>
      </c>
      <c r="L2856" s="14">
        <f>IF(ISNUMBER(SEARCH(Лист2!$B$5,I:I)),1,0)+K2856</f>
        <v>0</v>
      </c>
      <c r="M2856" s="3">
        <f ca="1">IF(AND(N2856&lt;&gt;N2855,ISNUMBER(SEARCH(Лист2!$B$6,N:N)),L2856=2),MAX($M$3:OFFSET(M2856,-1,0))+1,0)</f>
        <v>0</v>
      </c>
      <c r="N2856" s="3" t="s">
        <v>1755</v>
      </c>
    </row>
    <row r="2857" spans="1:14" x14ac:dyDescent="0.25">
      <c r="A2857" s="1" t="s">
        <v>11461</v>
      </c>
      <c r="B2857" s="3" t="s">
        <v>6481</v>
      </c>
      <c r="C2857" s="2">
        <f ca="1">IF(ISNUMBER(SEARCH(Лист2!$B$4,D:D)),MAX($C$3:OFFSET(C2857,-1,0))+1,0)</f>
        <v>0</v>
      </c>
      <c r="E2857" s="9" t="str">
        <f t="shared" ca="1" si="56"/>
        <v/>
      </c>
      <c r="F2857" s="4" t="s">
        <v>7</v>
      </c>
      <c r="G2857" s="2">
        <f>IF(ISNUMBER(SEARCH(Лист2!$B$4,F:F)),1,0)</f>
        <v>0</v>
      </c>
      <c r="H2857" s="3">
        <f ca="1">IF(AND(I2857&lt;&gt;I2856,ISNUMBER(SEARCH(Лист2!$B$5,I:I)),G2857=1),MAX($H$3:OFFSET(H2857,-1,0))+1,0)</f>
        <v>0</v>
      </c>
      <c r="I2857" s="3" t="s">
        <v>237</v>
      </c>
      <c r="K2857" s="2">
        <f>IF(ISNUMBER(SEARCH(Лист2!$B$4,F:F)),1,0)</f>
        <v>0</v>
      </c>
      <c r="L2857" s="14">
        <f>IF(ISNUMBER(SEARCH(Лист2!$B$5,I:I)),1,0)+K2857</f>
        <v>0</v>
      </c>
      <c r="M2857" s="3">
        <f ca="1">IF(AND(N2857&lt;&gt;N2856,ISNUMBER(SEARCH(Лист2!$B$6,N:N)),L2857=2),MAX($M$3:OFFSET(M2857,-1,0))+1,0)</f>
        <v>0</v>
      </c>
      <c r="N2857" s="3" t="s">
        <v>1756</v>
      </c>
    </row>
    <row r="2858" spans="1:14" x14ac:dyDescent="0.25">
      <c r="A2858" s="1" t="s">
        <v>11461</v>
      </c>
      <c r="B2858" s="3" t="s">
        <v>6482</v>
      </c>
      <c r="C2858" s="2">
        <f ca="1">IF(ISNUMBER(SEARCH(Лист2!$B$4,D:D)),MAX($C$3:OFFSET(C2858,-1,0))+1,0)</f>
        <v>0</v>
      </c>
      <c r="E2858" s="9" t="str">
        <f t="shared" ca="1" si="56"/>
        <v/>
      </c>
      <c r="F2858" s="4" t="s">
        <v>7</v>
      </c>
      <c r="G2858" s="2">
        <f>IF(ISNUMBER(SEARCH(Лист2!$B$4,F:F)),1,0)</f>
        <v>0</v>
      </c>
      <c r="H2858" s="3">
        <f ca="1">IF(AND(I2858&lt;&gt;I2857,ISNUMBER(SEARCH(Лист2!$B$5,I:I)),G2858=1),MAX($H$3:OFFSET(H2858,-1,0))+1,0)</f>
        <v>0</v>
      </c>
      <c r="I2858" s="3" t="s">
        <v>237</v>
      </c>
      <c r="K2858" s="2">
        <f>IF(ISNUMBER(SEARCH(Лист2!$B$4,F:F)),1,0)</f>
        <v>0</v>
      </c>
      <c r="L2858" s="14">
        <f>IF(ISNUMBER(SEARCH(Лист2!$B$5,I:I)),1,0)+K2858</f>
        <v>0</v>
      </c>
      <c r="M2858" s="3">
        <f ca="1">IF(AND(N2858&lt;&gt;N2857,ISNUMBER(SEARCH(Лист2!$B$6,N:N)),L2858=2),MAX($M$3:OFFSET(M2858,-1,0))+1,0)</f>
        <v>0</v>
      </c>
      <c r="N2858" s="3" t="s">
        <v>1756</v>
      </c>
    </row>
    <row r="2859" spans="1:14" x14ac:dyDescent="0.25">
      <c r="A2859" s="1" t="s">
        <v>11461</v>
      </c>
      <c r="B2859" s="3" t="s">
        <v>6483</v>
      </c>
      <c r="C2859" s="2">
        <f ca="1">IF(ISNUMBER(SEARCH(Лист2!$B$4,D:D)),MAX($C$3:OFFSET(C2859,-1,0))+1,0)</f>
        <v>0</v>
      </c>
      <c r="E2859" s="9" t="str">
        <f t="shared" ca="1" si="56"/>
        <v/>
      </c>
      <c r="F2859" s="4" t="s">
        <v>7</v>
      </c>
      <c r="G2859" s="2">
        <f>IF(ISNUMBER(SEARCH(Лист2!$B$4,F:F)),1,0)</f>
        <v>0</v>
      </c>
      <c r="H2859" s="3">
        <f ca="1">IF(AND(I2859&lt;&gt;I2858,ISNUMBER(SEARCH(Лист2!$B$5,I:I)),G2859=1),MAX($H$3:OFFSET(H2859,-1,0))+1,0)</f>
        <v>0</v>
      </c>
      <c r="I2859" s="3" t="s">
        <v>237</v>
      </c>
      <c r="K2859" s="2">
        <f>IF(ISNUMBER(SEARCH(Лист2!$B$4,F:F)),1,0)</f>
        <v>0</v>
      </c>
      <c r="L2859" s="14">
        <f>IF(ISNUMBER(SEARCH(Лист2!$B$5,I:I)),1,0)+K2859</f>
        <v>0</v>
      </c>
      <c r="M2859" s="3">
        <f ca="1">IF(AND(N2859&lt;&gt;N2858,ISNUMBER(SEARCH(Лист2!$B$6,N:N)),L2859=2),MAX($M$3:OFFSET(M2859,-1,0))+1,0)</f>
        <v>0</v>
      </c>
      <c r="N2859" s="3" t="s">
        <v>1756</v>
      </c>
    </row>
    <row r="2860" spans="1:14" x14ac:dyDescent="0.25">
      <c r="A2860" s="1" t="s">
        <v>11462</v>
      </c>
      <c r="B2860" s="3" t="s">
        <v>6484</v>
      </c>
      <c r="C2860" s="2">
        <f ca="1">IF(ISNUMBER(SEARCH(Лист2!$B$4,D:D)),MAX($C$3:OFFSET(C2860,-1,0))+1,0)</f>
        <v>0</v>
      </c>
      <c r="E2860" s="9" t="str">
        <f t="shared" ca="1" si="56"/>
        <v/>
      </c>
      <c r="F2860" s="4" t="s">
        <v>7</v>
      </c>
      <c r="G2860" s="2">
        <f>IF(ISNUMBER(SEARCH(Лист2!$B$4,F:F)),1,0)</f>
        <v>0</v>
      </c>
      <c r="H2860" s="3">
        <f ca="1">IF(AND(I2860&lt;&gt;I2859,ISNUMBER(SEARCH(Лист2!$B$5,I:I)),G2860=1),MAX($H$3:OFFSET(H2860,-1,0))+1,0)</f>
        <v>0</v>
      </c>
      <c r="I2860" s="3" t="s">
        <v>237</v>
      </c>
      <c r="K2860" s="2">
        <f>IF(ISNUMBER(SEARCH(Лист2!$B$4,F:F)),1,0)</f>
        <v>0</v>
      </c>
      <c r="L2860" s="14">
        <f>IF(ISNUMBER(SEARCH(Лист2!$B$5,I:I)),1,0)+K2860</f>
        <v>0</v>
      </c>
      <c r="M2860" s="3">
        <f ca="1">IF(AND(N2860&lt;&gt;N2859,ISNUMBER(SEARCH(Лист2!$B$6,N:N)),L2860=2),MAX($M$3:OFFSET(M2860,-1,0))+1,0)</f>
        <v>0</v>
      </c>
      <c r="N2860" s="3" t="s">
        <v>1757</v>
      </c>
    </row>
    <row r="2861" spans="1:14" x14ac:dyDescent="0.25">
      <c r="A2861" s="1" t="s">
        <v>11463</v>
      </c>
      <c r="B2861" s="3" t="s">
        <v>6485</v>
      </c>
      <c r="C2861" s="2">
        <f ca="1">IF(ISNUMBER(SEARCH(Лист2!$B$4,D:D)),MAX($C$3:OFFSET(C2861,-1,0))+1,0)</f>
        <v>0</v>
      </c>
      <c r="E2861" s="9" t="str">
        <f t="shared" ca="1" si="56"/>
        <v/>
      </c>
      <c r="F2861" s="4" t="s">
        <v>7</v>
      </c>
      <c r="G2861" s="2">
        <f>IF(ISNUMBER(SEARCH(Лист2!$B$4,F:F)),1,0)</f>
        <v>0</v>
      </c>
      <c r="H2861" s="3">
        <f ca="1">IF(AND(I2861&lt;&gt;I2860,ISNUMBER(SEARCH(Лист2!$B$5,I:I)),G2861=1),MAX($H$3:OFFSET(H2861,-1,0))+1,0)</f>
        <v>0</v>
      </c>
      <c r="I2861" s="3" t="s">
        <v>237</v>
      </c>
      <c r="K2861" s="2">
        <f>IF(ISNUMBER(SEARCH(Лист2!$B$4,F:F)),1,0)</f>
        <v>0</v>
      </c>
      <c r="L2861" s="14">
        <f>IF(ISNUMBER(SEARCH(Лист2!$B$5,I:I)),1,0)+K2861</f>
        <v>0</v>
      </c>
      <c r="M2861" s="3">
        <f ca="1">IF(AND(N2861&lt;&gt;N2860,ISNUMBER(SEARCH(Лист2!$B$6,N:N)),L2861=2),MAX($M$3:OFFSET(M2861,-1,0))+1,0)</f>
        <v>0</v>
      </c>
      <c r="N2861" s="3" t="s">
        <v>1758</v>
      </c>
    </row>
    <row r="2862" spans="1:14" x14ac:dyDescent="0.25">
      <c r="A2862" s="1" t="s">
        <v>11463</v>
      </c>
      <c r="B2862" s="3" t="s">
        <v>6486</v>
      </c>
      <c r="C2862" s="2">
        <f ca="1">IF(ISNUMBER(SEARCH(Лист2!$B$4,D:D)),MAX($C$3:OFFSET(C2862,-1,0))+1,0)</f>
        <v>0</v>
      </c>
      <c r="E2862" s="9" t="str">
        <f t="shared" ca="1" si="56"/>
        <v/>
      </c>
      <c r="F2862" s="4" t="s">
        <v>7</v>
      </c>
      <c r="G2862" s="2">
        <f>IF(ISNUMBER(SEARCH(Лист2!$B$4,F:F)),1,0)</f>
        <v>0</v>
      </c>
      <c r="H2862" s="3">
        <f ca="1">IF(AND(I2862&lt;&gt;I2861,ISNUMBER(SEARCH(Лист2!$B$5,I:I)),G2862=1),MAX($H$3:OFFSET(H2862,-1,0))+1,0)</f>
        <v>0</v>
      </c>
      <c r="I2862" s="3" t="s">
        <v>237</v>
      </c>
      <c r="K2862" s="2">
        <f>IF(ISNUMBER(SEARCH(Лист2!$B$4,F:F)),1,0)</f>
        <v>0</v>
      </c>
      <c r="L2862" s="14">
        <f>IF(ISNUMBER(SEARCH(Лист2!$B$5,I:I)),1,0)+K2862</f>
        <v>0</v>
      </c>
      <c r="M2862" s="3">
        <f ca="1">IF(AND(N2862&lt;&gt;N2861,ISNUMBER(SEARCH(Лист2!$B$6,N:N)),L2862=2),MAX($M$3:OFFSET(M2862,-1,0))+1,0)</f>
        <v>0</v>
      </c>
      <c r="N2862" s="3" t="s">
        <v>1758</v>
      </c>
    </row>
    <row r="2863" spans="1:14" x14ac:dyDescent="0.25">
      <c r="A2863" s="1" t="s">
        <v>11463</v>
      </c>
      <c r="B2863" s="3" t="s">
        <v>6487</v>
      </c>
      <c r="C2863" s="2">
        <f ca="1">IF(ISNUMBER(SEARCH(Лист2!$B$4,D:D)),MAX($C$3:OFFSET(C2863,-1,0))+1,0)</f>
        <v>0</v>
      </c>
      <c r="E2863" s="9" t="str">
        <f t="shared" ca="1" si="56"/>
        <v/>
      </c>
      <c r="F2863" s="4" t="s">
        <v>7</v>
      </c>
      <c r="G2863" s="2">
        <f>IF(ISNUMBER(SEARCH(Лист2!$B$4,F:F)),1,0)</f>
        <v>0</v>
      </c>
      <c r="H2863" s="3">
        <f ca="1">IF(AND(I2863&lt;&gt;I2862,ISNUMBER(SEARCH(Лист2!$B$5,I:I)),G2863=1),MAX($H$3:OFFSET(H2863,-1,0))+1,0)</f>
        <v>0</v>
      </c>
      <c r="I2863" s="3" t="s">
        <v>237</v>
      </c>
      <c r="K2863" s="2">
        <f>IF(ISNUMBER(SEARCH(Лист2!$B$4,F:F)),1,0)</f>
        <v>0</v>
      </c>
      <c r="L2863" s="14">
        <f>IF(ISNUMBER(SEARCH(Лист2!$B$5,I:I)),1,0)+K2863</f>
        <v>0</v>
      </c>
      <c r="M2863" s="3">
        <f ca="1">IF(AND(N2863&lt;&gt;N2862,ISNUMBER(SEARCH(Лист2!$B$6,N:N)),L2863=2),MAX($M$3:OFFSET(M2863,-1,0))+1,0)</f>
        <v>0</v>
      </c>
      <c r="N2863" s="3" t="s">
        <v>1758</v>
      </c>
    </row>
    <row r="2864" spans="1:14" x14ac:dyDescent="0.25">
      <c r="A2864" s="1" t="s">
        <v>11464</v>
      </c>
      <c r="B2864" s="3" t="s">
        <v>6488</v>
      </c>
      <c r="C2864" s="2">
        <f ca="1">IF(ISNUMBER(SEARCH(Лист2!$B$4,D:D)),MAX($C$3:OFFSET(C2864,-1,0))+1,0)</f>
        <v>0</v>
      </c>
      <c r="E2864" s="9" t="str">
        <f t="shared" ca="1" si="56"/>
        <v/>
      </c>
      <c r="F2864" s="4" t="s">
        <v>7</v>
      </c>
      <c r="G2864" s="2">
        <f>IF(ISNUMBER(SEARCH(Лист2!$B$4,F:F)),1,0)</f>
        <v>0</v>
      </c>
      <c r="H2864" s="3">
        <f ca="1">IF(AND(I2864&lt;&gt;I2863,ISNUMBER(SEARCH(Лист2!$B$5,I:I)),G2864=1),MAX($H$3:OFFSET(H2864,-1,0))+1,0)</f>
        <v>0</v>
      </c>
      <c r="I2864" s="3" t="s">
        <v>237</v>
      </c>
      <c r="K2864" s="2">
        <f>IF(ISNUMBER(SEARCH(Лист2!$B$4,F:F)),1,0)</f>
        <v>0</v>
      </c>
      <c r="L2864" s="14">
        <f>IF(ISNUMBER(SEARCH(Лист2!$B$5,I:I)),1,0)+K2864</f>
        <v>0</v>
      </c>
      <c r="M2864" s="3">
        <f ca="1">IF(AND(N2864&lt;&gt;N2863,ISNUMBER(SEARCH(Лист2!$B$6,N:N)),L2864=2),MAX($M$3:OFFSET(M2864,-1,0))+1,0)</f>
        <v>0</v>
      </c>
      <c r="N2864" s="3" t="s">
        <v>1759</v>
      </c>
    </row>
    <row r="2865" spans="1:14" x14ac:dyDescent="0.25">
      <c r="A2865" s="1" t="s">
        <v>11465</v>
      </c>
      <c r="B2865" s="3" t="s">
        <v>6489</v>
      </c>
      <c r="C2865" s="2">
        <f ca="1">IF(ISNUMBER(SEARCH(Лист2!$B$4,D:D)),MAX($C$3:OFFSET(C2865,-1,0))+1,0)</f>
        <v>0</v>
      </c>
      <c r="E2865" s="9" t="str">
        <f t="shared" ca="1" si="56"/>
        <v/>
      </c>
      <c r="F2865" s="4" t="s">
        <v>7</v>
      </c>
      <c r="G2865" s="2">
        <f>IF(ISNUMBER(SEARCH(Лист2!$B$4,F:F)),1,0)</f>
        <v>0</v>
      </c>
      <c r="H2865" s="3">
        <f ca="1">IF(AND(I2865&lt;&gt;I2864,ISNUMBER(SEARCH(Лист2!$B$5,I:I)),G2865=1),MAX($H$3:OFFSET(H2865,-1,0))+1,0)</f>
        <v>0</v>
      </c>
      <c r="I2865" s="3" t="s">
        <v>237</v>
      </c>
      <c r="K2865" s="2">
        <f>IF(ISNUMBER(SEARCH(Лист2!$B$4,F:F)),1,0)</f>
        <v>0</v>
      </c>
      <c r="L2865" s="14">
        <f>IF(ISNUMBER(SEARCH(Лист2!$B$5,I:I)),1,0)+K2865</f>
        <v>0</v>
      </c>
      <c r="M2865" s="3">
        <f ca="1">IF(AND(N2865&lt;&gt;N2864,ISNUMBER(SEARCH(Лист2!$B$6,N:N)),L2865=2),MAX($M$3:OFFSET(M2865,-1,0))+1,0)</f>
        <v>0</v>
      </c>
      <c r="N2865" s="3" t="s">
        <v>1735</v>
      </c>
    </row>
    <row r="2866" spans="1:14" x14ac:dyDescent="0.25">
      <c r="A2866" s="1" t="s">
        <v>11466</v>
      </c>
      <c r="B2866" s="3" t="s">
        <v>6490</v>
      </c>
      <c r="C2866" s="2">
        <f ca="1">IF(ISNUMBER(SEARCH(Лист2!$B$4,D:D)),MAX($C$3:OFFSET(C2866,-1,0))+1,0)</f>
        <v>0</v>
      </c>
      <c r="E2866" s="9" t="str">
        <f t="shared" ca="1" si="56"/>
        <v/>
      </c>
      <c r="F2866" s="4" t="s">
        <v>7</v>
      </c>
      <c r="G2866" s="2">
        <f>IF(ISNUMBER(SEARCH(Лист2!$B$4,F:F)),1,0)</f>
        <v>0</v>
      </c>
      <c r="H2866" s="3">
        <f ca="1">IF(AND(I2866&lt;&gt;I2865,ISNUMBER(SEARCH(Лист2!$B$5,I:I)),G2866=1),MAX($H$3:OFFSET(H2866,-1,0))+1,0)</f>
        <v>0</v>
      </c>
      <c r="I2866" s="3" t="s">
        <v>237</v>
      </c>
      <c r="K2866" s="2">
        <f>IF(ISNUMBER(SEARCH(Лист2!$B$4,F:F)),1,0)</f>
        <v>0</v>
      </c>
      <c r="L2866" s="14">
        <f>IF(ISNUMBER(SEARCH(Лист2!$B$5,I:I)),1,0)+K2866</f>
        <v>0</v>
      </c>
      <c r="M2866" s="3">
        <f ca="1">IF(AND(N2866&lt;&gt;N2865,ISNUMBER(SEARCH(Лист2!$B$6,N:N)),L2866=2),MAX($M$3:OFFSET(M2866,-1,0))+1,0)</f>
        <v>0</v>
      </c>
      <c r="N2866" s="3" t="s">
        <v>1690</v>
      </c>
    </row>
    <row r="2867" spans="1:14" x14ac:dyDescent="0.25">
      <c r="A2867" s="1" t="s">
        <v>11467</v>
      </c>
      <c r="B2867" s="3" t="s">
        <v>6491</v>
      </c>
      <c r="C2867" s="2">
        <f ca="1">IF(ISNUMBER(SEARCH(Лист2!$B$4,D:D)),MAX($C$3:OFFSET(C2867,-1,0))+1,0)</f>
        <v>0</v>
      </c>
      <c r="E2867" s="9" t="str">
        <f t="shared" ca="1" si="56"/>
        <v/>
      </c>
      <c r="F2867" s="4" t="s">
        <v>7</v>
      </c>
      <c r="G2867" s="2">
        <f>IF(ISNUMBER(SEARCH(Лист2!$B$4,F:F)),1,0)</f>
        <v>0</v>
      </c>
      <c r="H2867" s="3">
        <f ca="1">IF(AND(I2867&lt;&gt;I2866,ISNUMBER(SEARCH(Лист2!$B$5,I:I)),G2867=1),MAX($H$3:OFFSET(H2867,-1,0))+1,0)</f>
        <v>0</v>
      </c>
      <c r="I2867" s="3" t="s">
        <v>237</v>
      </c>
      <c r="K2867" s="2">
        <f>IF(ISNUMBER(SEARCH(Лист2!$B$4,F:F)),1,0)</f>
        <v>0</v>
      </c>
      <c r="L2867" s="14">
        <f>IF(ISNUMBER(SEARCH(Лист2!$B$5,I:I)),1,0)+K2867</f>
        <v>0</v>
      </c>
      <c r="M2867" s="3">
        <f ca="1">IF(AND(N2867&lt;&gt;N2866,ISNUMBER(SEARCH(Лист2!$B$6,N:N)),L2867=2),MAX($M$3:OFFSET(M2867,-1,0))+1,0)</f>
        <v>0</v>
      </c>
      <c r="N2867" s="3" t="s">
        <v>1760</v>
      </c>
    </row>
    <row r="2868" spans="1:14" x14ac:dyDescent="0.25">
      <c r="A2868" s="1" t="s">
        <v>11468</v>
      </c>
      <c r="B2868" s="3" t="s">
        <v>6492</v>
      </c>
      <c r="C2868" s="2">
        <f ca="1">IF(ISNUMBER(SEARCH(Лист2!$B$4,D:D)),MAX($C$3:OFFSET(C2868,-1,0))+1,0)</f>
        <v>0</v>
      </c>
      <c r="E2868" s="9" t="str">
        <f t="shared" ca="1" si="56"/>
        <v/>
      </c>
      <c r="F2868" s="4" t="s">
        <v>7</v>
      </c>
      <c r="G2868" s="2">
        <f>IF(ISNUMBER(SEARCH(Лист2!$B$4,F:F)),1,0)</f>
        <v>0</v>
      </c>
      <c r="H2868" s="3">
        <f ca="1">IF(AND(I2868&lt;&gt;I2867,ISNUMBER(SEARCH(Лист2!$B$5,I:I)),G2868=1),MAX($H$3:OFFSET(H2868,-1,0))+1,0)</f>
        <v>0</v>
      </c>
      <c r="I2868" s="3" t="s">
        <v>237</v>
      </c>
      <c r="K2868" s="2">
        <f>IF(ISNUMBER(SEARCH(Лист2!$B$4,F:F)),1,0)</f>
        <v>0</v>
      </c>
      <c r="L2868" s="14">
        <f>IF(ISNUMBER(SEARCH(Лист2!$B$5,I:I)),1,0)+K2868</f>
        <v>0</v>
      </c>
      <c r="M2868" s="3">
        <f ca="1">IF(AND(N2868&lt;&gt;N2867,ISNUMBER(SEARCH(Лист2!$B$6,N:N)),L2868=2),MAX($M$3:OFFSET(M2868,-1,0))+1,0)</f>
        <v>0</v>
      </c>
      <c r="N2868" s="3" t="s">
        <v>1737</v>
      </c>
    </row>
    <row r="2869" spans="1:14" x14ac:dyDescent="0.25">
      <c r="A2869" s="1" t="s">
        <v>11469</v>
      </c>
      <c r="B2869" s="3" t="s">
        <v>6493</v>
      </c>
      <c r="C2869" s="2">
        <f ca="1">IF(ISNUMBER(SEARCH(Лист2!$B$4,D:D)),MAX($C$3:OFFSET(C2869,-1,0))+1,0)</f>
        <v>0</v>
      </c>
      <c r="E2869" s="9" t="str">
        <f t="shared" ca="1" si="56"/>
        <v/>
      </c>
      <c r="F2869" s="4" t="s">
        <v>7</v>
      </c>
      <c r="G2869" s="2">
        <f>IF(ISNUMBER(SEARCH(Лист2!$B$4,F:F)),1,0)</f>
        <v>0</v>
      </c>
      <c r="H2869" s="3">
        <f ca="1">IF(AND(I2869&lt;&gt;I2868,ISNUMBER(SEARCH(Лист2!$B$5,I:I)),G2869=1),MAX($H$3:OFFSET(H2869,-1,0))+1,0)</f>
        <v>0</v>
      </c>
      <c r="I2869" s="3" t="s">
        <v>237</v>
      </c>
      <c r="K2869" s="2">
        <f>IF(ISNUMBER(SEARCH(Лист2!$B$4,F:F)),1,0)</f>
        <v>0</v>
      </c>
      <c r="L2869" s="14">
        <f>IF(ISNUMBER(SEARCH(Лист2!$B$5,I:I)),1,0)+K2869</f>
        <v>0</v>
      </c>
      <c r="M2869" s="3">
        <f ca="1">IF(AND(N2869&lt;&gt;N2868,ISNUMBER(SEARCH(Лист2!$B$6,N:N)),L2869=2),MAX($M$3:OFFSET(M2869,-1,0))+1,0)</f>
        <v>0</v>
      </c>
      <c r="N2869" s="3" t="s">
        <v>1678</v>
      </c>
    </row>
    <row r="2870" spans="1:14" x14ac:dyDescent="0.25">
      <c r="A2870" s="1" t="s">
        <v>11470</v>
      </c>
      <c r="B2870" s="3" t="s">
        <v>6494</v>
      </c>
      <c r="C2870" s="2">
        <f ca="1">IF(ISNUMBER(SEARCH(Лист2!$B$4,D:D)),MAX($C$3:OFFSET(C2870,-1,0))+1,0)</f>
        <v>0</v>
      </c>
      <c r="E2870" s="9" t="str">
        <f t="shared" ca="1" si="56"/>
        <v/>
      </c>
      <c r="F2870" s="4" t="s">
        <v>7</v>
      </c>
      <c r="G2870" s="2">
        <f>IF(ISNUMBER(SEARCH(Лист2!$B$4,F:F)),1,0)</f>
        <v>0</v>
      </c>
      <c r="H2870" s="3">
        <f ca="1">IF(AND(I2870&lt;&gt;I2869,ISNUMBER(SEARCH(Лист2!$B$5,I:I)),G2870=1),MAX($H$3:OFFSET(H2870,-1,0))+1,0)</f>
        <v>0</v>
      </c>
      <c r="I2870" s="3" t="s">
        <v>237</v>
      </c>
      <c r="K2870" s="2">
        <f>IF(ISNUMBER(SEARCH(Лист2!$B$4,F:F)),1,0)</f>
        <v>0</v>
      </c>
      <c r="L2870" s="14">
        <f>IF(ISNUMBER(SEARCH(Лист2!$B$5,I:I)),1,0)+K2870</f>
        <v>0</v>
      </c>
      <c r="M2870" s="3">
        <f ca="1">IF(AND(N2870&lt;&gt;N2869,ISNUMBER(SEARCH(Лист2!$B$6,N:N)),L2870=2),MAX($M$3:OFFSET(M2870,-1,0))+1,0)</f>
        <v>0</v>
      </c>
      <c r="N2870" s="3" t="s">
        <v>602</v>
      </c>
    </row>
    <row r="2871" spans="1:14" x14ac:dyDescent="0.25">
      <c r="A2871" s="1" t="s">
        <v>11471</v>
      </c>
      <c r="B2871" s="3" t="s">
        <v>6495</v>
      </c>
      <c r="C2871" s="2">
        <f ca="1">IF(ISNUMBER(SEARCH(Лист2!$B$4,D:D)),MAX($C$3:OFFSET(C2871,-1,0))+1,0)</f>
        <v>0</v>
      </c>
      <c r="E2871" s="9" t="str">
        <f t="shared" ca="1" si="56"/>
        <v/>
      </c>
      <c r="F2871" s="4" t="s">
        <v>7</v>
      </c>
      <c r="G2871" s="2">
        <f>IF(ISNUMBER(SEARCH(Лист2!$B$4,F:F)),1,0)</f>
        <v>0</v>
      </c>
      <c r="H2871" s="3">
        <f ca="1">IF(AND(I2871&lt;&gt;I2870,ISNUMBER(SEARCH(Лист2!$B$5,I:I)),G2871=1),MAX($H$3:OFFSET(H2871,-1,0))+1,0)</f>
        <v>0</v>
      </c>
      <c r="I2871" s="3" t="s">
        <v>237</v>
      </c>
      <c r="K2871" s="2">
        <f>IF(ISNUMBER(SEARCH(Лист2!$B$4,F:F)),1,0)</f>
        <v>0</v>
      </c>
      <c r="L2871" s="14">
        <f>IF(ISNUMBER(SEARCH(Лист2!$B$5,I:I)),1,0)+K2871</f>
        <v>0</v>
      </c>
      <c r="M2871" s="3">
        <f ca="1">IF(AND(N2871&lt;&gt;N2870,ISNUMBER(SEARCH(Лист2!$B$6,N:N)),L2871=2),MAX($M$3:OFFSET(M2871,-1,0))+1,0)</f>
        <v>0</v>
      </c>
      <c r="N2871" s="3" t="s">
        <v>1761</v>
      </c>
    </row>
    <row r="2872" spans="1:14" x14ac:dyDescent="0.25">
      <c r="A2872" s="1" t="s">
        <v>11472</v>
      </c>
      <c r="B2872" s="3" t="s">
        <v>6496</v>
      </c>
      <c r="C2872" s="2">
        <f ca="1">IF(ISNUMBER(SEARCH(Лист2!$B$4,D:D)),MAX($C$3:OFFSET(C2872,-1,0))+1,0)</f>
        <v>0</v>
      </c>
      <c r="E2872" s="9" t="str">
        <f t="shared" ca="1" si="56"/>
        <v/>
      </c>
      <c r="F2872" s="4" t="s">
        <v>7</v>
      </c>
      <c r="G2872" s="2">
        <f>IF(ISNUMBER(SEARCH(Лист2!$B$4,F:F)),1,0)</f>
        <v>0</v>
      </c>
      <c r="H2872" s="3">
        <f ca="1">IF(AND(I2872&lt;&gt;I2871,ISNUMBER(SEARCH(Лист2!$B$5,I:I)),G2872=1),MAX($H$3:OFFSET(H2872,-1,0))+1,0)</f>
        <v>0</v>
      </c>
      <c r="I2872" s="3" t="s">
        <v>237</v>
      </c>
      <c r="K2872" s="2">
        <f>IF(ISNUMBER(SEARCH(Лист2!$B$4,F:F)),1,0)</f>
        <v>0</v>
      </c>
      <c r="L2872" s="14">
        <f>IF(ISNUMBER(SEARCH(Лист2!$B$5,I:I)),1,0)+K2872</f>
        <v>0</v>
      </c>
      <c r="M2872" s="3">
        <f ca="1">IF(AND(N2872&lt;&gt;N2871,ISNUMBER(SEARCH(Лист2!$B$6,N:N)),L2872=2),MAX($M$3:OFFSET(M2872,-1,0))+1,0)</f>
        <v>0</v>
      </c>
      <c r="N2872" s="3" t="s">
        <v>1762</v>
      </c>
    </row>
    <row r="2873" spans="1:14" x14ac:dyDescent="0.25">
      <c r="A2873" s="1" t="s">
        <v>11473</v>
      </c>
      <c r="B2873" s="3" t="s">
        <v>6497</v>
      </c>
      <c r="C2873" s="2">
        <f ca="1">IF(ISNUMBER(SEARCH(Лист2!$B$4,D:D)),MAX($C$3:OFFSET(C2873,-1,0))+1,0)</f>
        <v>0</v>
      </c>
      <c r="E2873" s="9" t="str">
        <f t="shared" ca="1" si="56"/>
        <v/>
      </c>
      <c r="F2873" s="4" t="s">
        <v>7</v>
      </c>
      <c r="G2873" s="2">
        <f>IF(ISNUMBER(SEARCH(Лист2!$B$4,F:F)),1,0)</f>
        <v>0</v>
      </c>
      <c r="H2873" s="3">
        <f ca="1">IF(AND(I2873&lt;&gt;I2872,ISNUMBER(SEARCH(Лист2!$B$5,I:I)),G2873=1),MAX($H$3:OFFSET(H2873,-1,0))+1,0)</f>
        <v>0</v>
      </c>
      <c r="I2873" s="3" t="s">
        <v>237</v>
      </c>
      <c r="K2873" s="2">
        <f>IF(ISNUMBER(SEARCH(Лист2!$B$4,F:F)),1,0)</f>
        <v>0</v>
      </c>
      <c r="L2873" s="14">
        <f>IF(ISNUMBER(SEARCH(Лист2!$B$5,I:I)),1,0)+K2873</f>
        <v>0</v>
      </c>
      <c r="M2873" s="3">
        <f ca="1">IF(AND(N2873&lt;&gt;N2872,ISNUMBER(SEARCH(Лист2!$B$6,N:N)),L2873=2),MAX($M$3:OFFSET(M2873,-1,0))+1,0)</f>
        <v>0</v>
      </c>
      <c r="N2873" s="3" t="s">
        <v>1763</v>
      </c>
    </row>
    <row r="2874" spans="1:14" x14ac:dyDescent="0.25">
      <c r="A2874" s="1" t="s">
        <v>11474</v>
      </c>
      <c r="B2874" s="3" t="s">
        <v>6498</v>
      </c>
      <c r="C2874" s="2">
        <f ca="1">IF(ISNUMBER(SEARCH(Лист2!$B$4,D:D)),MAX($C$3:OFFSET(C2874,-1,0))+1,0)</f>
        <v>0</v>
      </c>
      <c r="E2874" s="9" t="str">
        <f t="shared" ca="1" si="56"/>
        <v/>
      </c>
      <c r="F2874" s="4" t="s">
        <v>7</v>
      </c>
      <c r="G2874" s="2">
        <f>IF(ISNUMBER(SEARCH(Лист2!$B$4,F:F)),1,0)</f>
        <v>0</v>
      </c>
      <c r="H2874" s="3">
        <f ca="1">IF(AND(I2874&lt;&gt;I2873,ISNUMBER(SEARCH(Лист2!$B$5,I:I)),G2874=1),MAX($H$3:OFFSET(H2874,-1,0))+1,0)</f>
        <v>0</v>
      </c>
      <c r="I2874" s="3" t="s">
        <v>237</v>
      </c>
      <c r="K2874" s="2">
        <f>IF(ISNUMBER(SEARCH(Лист2!$B$4,F:F)),1,0)</f>
        <v>0</v>
      </c>
      <c r="L2874" s="14">
        <f>IF(ISNUMBER(SEARCH(Лист2!$B$5,I:I)),1,0)+K2874</f>
        <v>0</v>
      </c>
      <c r="M2874" s="3">
        <f ca="1">IF(AND(N2874&lt;&gt;N2873,ISNUMBER(SEARCH(Лист2!$B$6,N:N)),L2874=2),MAX($M$3:OFFSET(M2874,-1,0))+1,0)</f>
        <v>0</v>
      </c>
      <c r="N2874" s="3" t="s">
        <v>1764</v>
      </c>
    </row>
    <row r="2875" spans="1:14" x14ac:dyDescent="0.25">
      <c r="A2875" s="1" t="s">
        <v>11475</v>
      </c>
      <c r="B2875" s="3" t="s">
        <v>6499</v>
      </c>
      <c r="C2875" s="2">
        <f ca="1">IF(ISNUMBER(SEARCH(Лист2!$B$4,D:D)),MAX($C$3:OFFSET(C2875,-1,0))+1,0)</f>
        <v>0</v>
      </c>
      <c r="E2875" s="9" t="str">
        <f t="shared" ca="1" si="56"/>
        <v/>
      </c>
      <c r="F2875" s="4" t="s">
        <v>7</v>
      </c>
      <c r="G2875" s="2">
        <f>IF(ISNUMBER(SEARCH(Лист2!$B$4,F:F)),1,0)</f>
        <v>0</v>
      </c>
      <c r="H2875" s="3">
        <f ca="1">IF(AND(I2875&lt;&gt;I2874,ISNUMBER(SEARCH(Лист2!$B$5,I:I)),G2875=1),MAX($H$3:OFFSET(H2875,-1,0))+1,0)</f>
        <v>0</v>
      </c>
      <c r="I2875" s="3" t="s">
        <v>237</v>
      </c>
      <c r="K2875" s="2">
        <f>IF(ISNUMBER(SEARCH(Лист2!$B$4,F:F)),1,0)</f>
        <v>0</v>
      </c>
      <c r="L2875" s="14">
        <f>IF(ISNUMBER(SEARCH(Лист2!$B$5,I:I)),1,0)+K2875</f>
        <v>0</v>
      </c>
      <c r="M2875" s="3">
        <f ca="1">IF(AND(N2875&lt;&gt;N2874,ISNUMBER(SEARCH(Лист2!$B$6,N:N)),L2875=2),MAX($M$3:OFFSET(M2875,-1,0))+1,0)</f>
        <v>0</v>
      </c>
      <c r="N2875" s="3" t="s">
        <v>1765</v>
      </c>
    </row>
    <row r="2876" spans="1:14" x14ac:dyDescent="0.25">
      <c r="A2876" s="1" t="s">
        <v>11476</v>
      </c>
      <c r="B2876" s="3" t="s">
        <v>6500</v>
      </c>
      <c r="C2876" s="2">
        <f ca="1">IF(ISNUMBER(SEARCH(Лист2!$B$4,D:D)),MAX($C$3:OFFSET(C2876,-1,0))+1,0)</f>
        <v>0</v>
      </c>
      <c r="E2876" s="9" t="str">
        <f t="shared" ca="1" si="56"/>
        <v/>
      </c>
      <c r="F2876" s="4" t="s">
        <v>7</v>
      </c>
      <c r="G2876" s="2">
        <f>IF(ISNUMBER(SEARCH(Лист2!$B$4,F:F)),1,0)</f>
        <v>0</v>
      </c>
      <c r="H2876" s="3">
        <f ca="1">IF(AND(I2876&lt;&gt;I2875,ISNUMBER(SEARCH(Лист2!$B$5,I:I)),G2876=1),MAX($H$3:OFFSET(H2876,-1,0))+1,0)</f>
        <v>0</v>
      </c>
      <c r="I2876" s="3" t="s">
        <v>238</v>
      </c>
      <c r="K2876" s="2">
        <f>IF(ISNUMBER(SEARCH(Лист2!$B$4,F:F)),1,0)</f>
        <v>0</v>
      </c>
      <c r="L2876" s="14">
        <f>IF(ISNUMBER(SEARCH(Лист2!$B$5,I:I)),1,0)+K2876</f>
        <v>0</v>
      </c>
      <c r="M2876" s="3">
        <f ca="1">IF(AND(N2876&lt;&gt;N2875,ISNUMBER(SEARCH(Лист2!$B$6,N:N)),L2876=2),MAX($M$3:OFFSET(M2876,-1,0))+1,0)</f>
        <v>0</v>
      </c>
      <c r="N2876" s="3" t="s">
        <v>1766</v>
      </c>
    </row>
    <row r="2877" spans="1:14" x14ac:dyDescent="0.25">
      <c r="A2877" s="1" t="s">
        <v>11477</v>
      </c>
      <c r="B2877" s="3" t="s">
        <v>6501</v>
      </c>
      <c r="C2877" s="2">
        <f ca="1">IF(ISNUMBER(SEARCH(Лист2!$B$4,D:D)),MAX($C$3:OFFSET(C2877,-1,0))+1,0)</f>
        <v>0</v>
      </c>
      <c r="E2877" s="9" t="str">
        <f t="shared" ca="1" si="56"/>
        <v/>
      </c>
      <c r="F2877" s="4" t="s">
        <v>7</v>
      </c>
      <c r="G2877" s="2">
        <f>IF(ISNUMBER(SEARCH(Лист2!$B$4,F:F)),1,0)</f>
        <v>0</v>
      </c>
      <c r="H2877" s="3">
        <f ca="1">IF(AND(I2877&lt;&gt;I2876,ISNUMBER(SEARCH(Лист2!$B$5,I:I)),G2877=1),MAX($H$3:OFFSET(H2877,-1,0))+1,0)</f>
        <v>0</v>
      </c>
      <c r="I2877" s="3" t="s">
        <v>238</v>
      </c>
      <c r="K2877" s="2">
        <f>IF(ISNUMBER(SEARCH(Лист2!$B$4,F:F)),1,0)</f>
        <v>0</v>
      </c>
      <c r="L2877" s="14">
        <f>IF(ISNUMBER(SEARCH(Лист2!$B$5,I:I)),1,0)+K2877</f>
        <v>0</v>
      </c>
      <c r="M2877" s="3">
        <f ca="1">IF(AND(N2877&lt;&gt;N2876,ISNUMBER(SEARCH(Лист2!$B$6,N:N)),L2877=2),MAX($M$3:OFFSET(M2877,-1,0))+1,0)</f>
        <v>0</v>
      </c>
      <c r="N2877" s="3" t="s">
        <v>1767</v>
      </c>
    </row>
    <row r="2878" spans="1:14" x14ac:dyDescent="0.25">
      <c r="A2878" s="1" t="s">
        <v>11478</v>
      </c>
      <c r="B2878" s="3" t="s">
        <v>6502</v>
      </c>
      <c r="C2878" s="2">
        <f ca="1">IF(ISNUMBER(SEARCH(Лист2!$B$4,D:D)),MAX($C$3:OFFSET(C2878,-1,0))+1,0)</f>
        <v>0</v>
      </c>
      <c r="E2878" s="9" t="str">
        <f t="shared" ca="1" si="56"/>
        <v/>
      </c>
      <c r="F2878" s="4" t="s">
        <v>7</v>
      </c>
      <c r="G2878" s="2">
        <f>IF(ISNUMBER(SEARCH(Лист2!$B$4,F:F)),1,0)</f>
        <v>0</v>
      </c>
      <c r="H2878" s="3">
        <f ca="1">IF(AND(I2878&lt;&gt;I2877,ISNUMBER(SEARCH(Лист2!$B$5,I:I)),G2878=1),MAX($H$3:OFFSET(H2878,-1,0))+1,0)</f>
        <v>0</v>
      </c>
      <c r="I2878" s="3" t="s">
        <v>238</v>
      </c>
      <c r="K2878" s="2">
        <f>IF(ISNUMBER(SEARCH(Лист2!$B$4,F:F)),1,0)</f>
        <v>0</v>
      </c>
      <c r="L2878" s="14">
        <f>IF(ISNUMBER(SEARCH(Лист2!$B$5,I:I)),1,0)+K2878</f>
        <v>0</v>
      </c>
      <c r="M2878" s="3">
        <f ca="1">IF(AND(N2878&lt;&gt;N2877,ISNUMBER(SEARCH(Лист2!$B$6,N:N)),L2878=2),MAX($M$3:OFFSET(M2878,-1,0))+1,0)</f>
        <v>0</v>
      </c>
      <c r="N2878" s="3" t="s">
        <v>1768</v>
      </c>
    </row>
    <row r="2879" spans="1:14" x14ac:dyDescent="0.25">
      <c r="A2879" s="1" t="s">
        <v>11479</v>
      </c>
      <c r="B2879" s="3" t="s">
        <v>6503</v>
      </c>
      <c r="C2879" s="2">
        <f ca="1">IF(ISNUMBER(SEARCH(Лист2!$B$4,D:D)),MAX($C$3:OFFSET(C2879,-1,0))+1,0)</f>
        <v>0</v>
      </c>
      <c r="E2879" s="9" t="str">
        <f t="shared" ca="1" si="56"/>
        <v/>
      </c>
      <c r="F2879" s="4" t="s">
        <v>7</v>
      </c>
      <c r="G2879" s="2">
        <f>IF(ISNUMBER(SEARCH(Лист2!$B$4,F:F)),1,0)</f>
        <v>0</v>
      </c>
      <c r="H2879" s="3">
        <f ca="1">IF(AND(I2879&lt;&gt;I2878,ISNUMBER(SEARCH(Лист2!$B$5,I:I)),G2879=1),MAX($H$3:OFFSET(H2879,-1,0))+1,0)</f>
        <v>0</v>
      </c>
      <c r="I2879" s="3" t="s">
        <v>238</v>
      </c>
      <c r="K2879" s="2">
        <f>IF(ISNUMBER(SEARCH(Лист2!$B$4,F:F)),1,0)</f>
        <v>0</v>
      </c>
      <c r="L2879" s="14">
        <f>IF(ISNUMBER(SEARCH(Лист2!$B$5,I:I)),1,0)+K2879</f>
        <v>0</v>
      </c>
      <c r="M2879" s="3">
        <f ca="1">IF(AND(N2879&lt;&gt;N2878,ISNUMBER(SEARCH(Лист2!$B$6,N:N)),L2879=2),MAX($M$3:OFFSET(M2879,-1,0))+1,0)</f>
        <v>0</v>
      </c>
      <c r="N2879" s="3" t="s">
        <v>1769</v>
      </c>
    </row>
    <row r="2880" spans="1:14" x14ac:dyDescent="0.25">
      <c r="A2880" s="1" t="s">
        <v>11480</v>
      </c>
      <c r="B2880" s="3" t="s">
        <v>6504</v>
      </c>
      <c r="C2880" s="2">
        <f ca="1">IF(ISNUMBER(SEARCH(Лист2!$B$4,D:D)),MAX($C$3:OFFSET(C2880,-1,0))+1,0)</f>
        <v>0</v>
      </c>
      <c r="E2880" s="9" t="str">
        <f t="shared" ca="1" si="56"/>
        <v/>
      </c>
      <c r="F2880" s="4" t="s">
        <v>7</v>
      </c>
      <c r="G2880" s="2">
        <f>IF(ISNUMBER(SEARCH(Лист2!$B$4,F:F)),1,0)</f>
        <v>0</v>
      </c>
      <c r="H2880" s="3">
        <f ca="1">IF(AND(I2880&lt;&gt;I2879,ISNUMBER(SEARCH(Лист2!$B$5,I:I)),G2880=1),MAX($H$3:OFFSET(H2880,-1,0))+1,0)</f>
        <v>0</v>
      </c>
      <c r="I2880" s="3" t="s">
        <v>238</v>
      </c>
      <c r="K2880" s="2">
        <f>IF(ISNUMBER(SEARCH(Лист2!$B$4,F:F)),1,0)</f>
        <v>0</v>
      </c>
      <c r="L2880" s="14">
        <f>IF(ISNUMBER(SEARCH(Лист2!$B$5,I:I)),1,0)+K2880</f>
        <v>0</v>
      </c>
      <c r="M2880" s="3">
        <f ca="1">IF(AND(N2880&lt;&gt;N2879,ISNUMBER(SEARCH(Лист2!$B$6,N:N)),L2880=2),MAX($M$3:OFFSET(M2880,-1,0))+1,0)</f>
        <v>0</v>
      </c>
      <c r="N2880" s="3" t="s">
        <v>1770</v>
      </c>
    </row>
    <row r="2881" spans="1:14" x14ac:dyDescent="0.25">
      <c r="A2881" s="1" t="s">
        <v>11481</v>
      </c>
      <c r="B2881" s="3" t="s">
        <v>6505</v>
      </c>
      <c r="C2881" s="2">
        <f ca="1">IF(ISNUMBER(SEARCH(Лист2!$B$4,D:D)),MAX($C$3:OFFSET(C2881,-1,0))+1,0)</f>
        <v>0</v>
      </c>
      <c r="E2881" s="9" t="str">
        <f t="shared" ca="1" si="56"/>
        <v/>
      </c>
      <c r="F2881" s="4" t="s">
        <v>7</v>
      </c>
      <c r="G2881" s="2">
        <f>IF(ISNUMBER(SEARCH(Лист2!$B$4,F:F)),1,0)</f>
        <v>0</v>
      </c>
      <c r="H2881" s="3">
        <f ca="1">IF(AND(I2881&lt;&gt;I2880,ISNUMBER(SEARCH(Лист2!$B$5,I:I)),G2881=1),MAX($H$3:OFFSET(H2881,-1,0))+1,0)</f>
        <v>0</v>
      </c>
      <c r="I2881" s="3" t="s">
        <v>238</v>
      </c>
      <c r="K2881" s="2">
        <f>IF(ISNUMBER(SEARCH(Лист2!$B$4,F:F)),1,0)</f>
        <v>0</v>
      </c>
      <c r="L2881" s="14">
        <f>IF(ISNUMBER(SEARCH(Лист2!$B$5,I:I)),1,0)+K2881</f>
        <v>0</v>
      </c>
      <c r="M2881" s="3">
        <f ca="1">IF(AND(N2881&lt;&gt;N2880,ISNUMBER(SEARCH(Лист2!$B$6,N:N)),L2881=2),MAX($M$3:OFFSET(M2881,-1,0))+1,0)</f>
        <v>0</v>
      </c>
      <c r="N2881" s="3" t="s">
        <v>1735</v>
      </c>
    </row>
    <row r="2882" spans="1:14" x14ac:dyDescent="0.25">
      <c r="A2882" s="1" t="s">
        <v>11482</v>
      </c>
      <c r="B2882" s="3" t="s">
        <v>6506</v>
      </c>
      <c r="C2882" s="2">
        <f ca="1">IF(ISNUMBER(SEARCH(Лист2!$B$4,D:D)),MAX($C$3:OFFSET(C2882,-1,0))+1,0)</f>
        <v>0</v>
      </c>
      <c r="E2882" s="9" t="str">
        <f t="shared" ca="1" si="56"/>
        <v/>
      </c>
      <c r="F2882" s="4" t="s">
        <v>7</v>
      </c>
      <c r="G2882" s="2">
        <f>IF(ISNUMBER(SEARCH(Лист2!$B$4,F:F)),1,0)</f>
        <v>0</v>
      </c>
      <c r="H2882" s="3">
        <f ca="1">IF(AND(I2882&lt;&gt;I2881,ISNUMBER(SEARCH(Лист2!$B$5,I:I)),G2882=1),MAX($H$3:OFFSET(H2882,-1,0))+1,0)</f>
        <v>0</v>
      </c>
      <c r="I2882" s="3" t="s">
        <v>238</v>
      </c>
      <c r="K2882" s="2">
        <f>IF(ISNUMBER(SEARCH(Лист2!$B$4,F:F)),1,0)</f>
        <v>0</v>
      </c>
      <c r="L2882" s="14">
        <f>IF(ISNUMBER(SEARCH(Лист2!$B$5,I:I)),1,0)+K2882</f>
        <v>0</v>
      </c>
      <c r="M2882" s="3">
        <f ca="1">IF(AND(N2882&lt;&gt;N2881,ISNUMBER(SEARCH(Лист2!$B$6,N:N)),L2882=2),MAX($M$3:OFFSET(M2882,-1,0))+1,0)</f>
        <v>0</v>
      </c>
      <c r="N2882" s="3" t="s">
        <v>1690</v>
      </c>
    </row>
    <row r="2883" spans="1:14" x14ac:dyDescent="0.25">
      <c r="A2883" s="1" t="s">
        <v>11483</v>
      </c>
      <c r="B2883" s="3" t="s">
        <v>6507</v>
      </c>
      <c r="C2883" s="2">
        <f ca="1">IF(ISNUMBER(SEARCH(Лист2!$B$4,D:D)),MAX($C$3:OFFSET(C2883,-1,0))+1,0)</f>
        <v>0</v>
      </c>
      <c r="E2883" s="9" t="str">
        <f t="shared" ca="1" si="56"/>
        <v/>
      </c>
      <c r="F2883" s="4" t="s">
        <v>7</v>
      </c>
      <c r="G2883" s="2">
        <f>IF(ISNUMBER(SEARCH(Лист2!$B$4,F:F)),1,0)</f>
        <v>0</v>
      </c>
      <c r="H2883" s="3">
        <f ca="1">IF(AND(I2883&lt;&gt;I2882,ISNUMBER(SEARCH(Лист2!$B$5,I:I)),G2883=1),MAX($H$3:OFFSET(H2883,-1,0))+1,0)</f>
        <v>0</v>
      </c>
      <c r="I2883" s="3" t="s">
        <v>238</v>
      </c>
      <c r="K2883" s="2">
        <f>IF(ISNUMBER(SEARCH(Лист2!$B$4,F:F)),1,0)</f>
        <v>0</v>
      </c>
      <c r="L2883" s="14">
        <f>IF(ISNUMBER(SEARCH(Лист2!$B$5,I:I)),1,0)+K2883</f>
        <v>0</v>
      </c>
      <c r="M2883" s="3">
        <f ca="1">IF(AND(N2883&lt;&gt;N2882,ISNUMBER(SEARCH(Лист2!$B$6,N:N)),L2883=2),MAX($M$3:OFFSET(M2883,-1,0))+1,0)</f>
        <v>0</v>
      </c>
      <c r="N2883" s="3" t="s">
        <v>1760</v>
      </c>
    </row>
    <row r="2884" spans="1:14" x14ac:dyDescent="0.25">
      <c r="A2884" s="1" t="s">
        <v>11484</v>
      </c>
      <c r="B2884" s="3" t="s">
        <v>6508</v>
      </c>
      <c r="C2884" s="2">
        <f ca="1">IF(ISNUMBER(SEARCH(Лист2!$B$4,D:D)),MAX($C$3:OFFSET(C2884,-1,0))+1,0)</f>
        <v>0</v>
      </c>
      <c r="E2884" s="9" t="str">
        <f t="shared" ca="1" si="56"/>
        <v/>
      </c>
      <c r="F2884" s="4" t="s">
        <v>7</v>
      </c>
      <c r="G2884" s="2">
        <f>IF(ISNUMBER(SEARCH(Лист2!$B$4,F:F)),1,0)</f>
        <v>0</v>
      </c>
      <c r="H2884" s="3">
        <f ca="1">IF(AND(I2884&lt;&gt;I2883,ISNUMBER(SEARCH(Лист2!$B$5,I:I)),G2884=1),MAX($H$3:OFFSET(H2884,-1,0))+1,0)</f>
        <v>0</v>
      </c>
      <c r="I2884" s="3" t="s">
        <v>238</v>
      </c>
      <c r="K2884" s="2">
        <f>IF(ISNUMBER(SEARCH(Лист2!$B$4,F:F)),1,0)</f>
        <v>0</v>
      </c>
      <c r="L2884" s="14">
        <f>IF(ISNUMBER(SEARCH(Лист2!$B$5,I:I)),1,0)+K2884</f>
        <v>0</v>
      </c>
      <c r="M2884" s="3">
        <f ca="1">IF(AND(N2884&lt;&gt;N2883,ISNUMBER(SEARCH(Лист2!$B$6,N:N)),L2884=2),MAX($M$3:OFFSET(M2884,-1,0))+1,0)</f>
        <v>0</v>
      </c>
      <c r="N2884" s="3" t="s">
        <v>1737</v>
      </c>
    </row>
    <row r="2885" spans="1:14" x14ac:dyDescent="0.25">
      <c r="A2885" s="1" t="s">
        <v>11485</v>
      </c>
      <c r="B2885" s="3" t="s">
        <v>6509</v>
      </c>
      <c r="C2885" s="2">
        <f ca="1">IF(ISNUMBER(SEARCH(Лист2!$B$4,D:D)),MAX($C$3:OFFSET(C2885,-1,0))+1,0)</f>
        <v>0</v>
      </c>
      <c r="E2885" s="9" t="str">
        <f t="shared" ref="E2885:E2948" ca="1" si="57">IFERROR(INDEX(D:D,MATCH(ROW(E2885)-ROW($E$3),C:C,0)),"")</f>
        <v/>
      </c>
      <c r="F2885" s="4" t="s">
        <v>7</v>
      </c>
      <c r="G2885" s="2">
        <f>IF(ISNUMBER(SEARCH(Лист2!$B$4,F:F)),1,0)</f>
        <v>0</v>
      </c>
      <c r="H2885" s="3">
        <f ca="1">IF(AND(I2885&lt;&gt;I2884,ISNUMBER(SEARCH(Лист2!$B$5,I:I)),G2885=1),MAX($H$3:OFFSET(H2885,-1,0))+1,0)</f>
        <v>0</v>
      </c>
      <c r="I2885" s="3" t="s">
        <v>238</v>
      </c>
      <c r="K2885" s="2">
        <f>IF(ISNUMBER(SEARCH(Лист2!$B$4,F:F)),1,0)</f>
        <v>0</v>
      </c>
      <c r="L2885" s="14">
        <f>IF(ISNUMBER(SEARCH(Лист2!$B$5,I:I)),1,0)+K2885</f>
        <v>0</v>
      </c>
      <c r="M2885" s="3">
        <f ca="1">IF(AND(N2885&lt;&gt;N2884,ISNUMBER(SEARCH(Лист2!$B$6,N:N)),L2885=2),MAX($M$3:OFFSET(M2885,-1,0))+1,0)</f>
        <v>0</v>
      </c>
      <c r="N2885" s="3" t="s">
        <v>1678</v>
      </c>
    </row>
    <row r="2886" spans="1:14" x14ac:dyDescent="0.25">
      <c r="A2886" s="1" t="s">
        <v>11486</v>
      </c>
      <c r="B2886" s="3" t="s">
        <v>6510</v>
      </c>
      <c r="C2886" s="2">
        <f ca="1">IF(ISNUMBER(SEARCH(Лист2!$B$4,D:D)),MAX($C$3:OFFSET(C2886,-1,0))+1,0)</f>
        <v>0</v>
      </c>
      <c r="E2886" s="9" t="str">
        <f t="shared" ca="1" si="57"/>
        <v/>
      </c>
      <c r="F2886" s="4" t="s">
        <v>7</v>
      </c>
      <c r="G2886" s="2">
        <f>IF(ISNUMBER(SEARCH(Лист2!$B$4,F:F)),1,0)</f>
        <v>0</v>
      </c>
      <c r="H2886" s="3">
        <f ca="1">IF(AND(I2886&lt;&gt;I2885,ISNUMBER(SEARCH(Лист2!$B$5,I:I)),G2886=1),MAX($H$3:OFFSET(H2886,-1,0))+1,0)</f>
        <v>0</v>
      </c>
      <c r="I2886" s="3" t="s">
        <v>238</v>
      </c>
      <c r="K2886" s="2">
        <f>IF(ISNUMBER(SEARCH(Лист2!$B$4,F:F)),1,0)</f>
        <v>0</v>
      </c>
      <c r="L2886" s="14">
        <f>IF(ISNUMBER(SEARCH(Лист2!$B$5,I:I)),1,0)+K2886</f>
        <v>0</v>
      </c>
      <c r="M2886" s="3">
        <f ca="1">IF(AND(N2886&lt;&gt;N2885,ISNUMBER(SEARCH(Лист2!$B$6,N:N)),L2886=2),MAX($M$3:OFFSET(M2886,-1,0))+1,0)</f>
        <v>0</v>
      </c>
      <c r="N2886" s="3" t="s">
        <v>602</v>
      </c>
    </row>
    <row r="2887" spans="1:14" x14ac:dyDescent="0.25">
      <c r="A2887" s="1" t="s">
        <v>11487</v>
      </c>
      <c r="B2887" s="3" t="s">
        <v>6511</v>
      </c>
      <c r="C2887" s="2">
        <f ca="1">IF(ISNUMBER(SEARCH(Лист2!$B$4,D:D)),MAX($C$3:OFFSET(C2887,-1,0))+1,0)</f>
        <v>0</v>
      </c>
      <c r="E2887" s="9" t="str">
        <f t="shared" ca="1" si="57"/>
        <v/>
      </c>
      <c r="F2887" s="4" t="s">
        <v>7</v>
      </c>
      <c r="G2887" s="2">
        <f>IF(ISNUMBER(SEARCH(Лист2!$B$4,F:F)),1,0)</f>
        <v>0</v>
      </c>
      <c r="H2887" s="3">
        <f ca="1">IF(AND(I2887&lt;&gt;I2886,ISNUMBER(SEARCH(Лист2!$B$5,I:I)),G2887=1),MAX($H$3:OFFSET(H2887,-1,0))+1,0)</f>
        <v>0</v>
      </c>
      <c r="I2887" s="3" t="s">
        <v>238</v>
      </c>
      <c r="K2887" s="2">
        <f>IF(ISNUMBER(SEARCH(Лист2!$B$4,F:F)),1,0)</f>
        <v>0</v>
      </c>
      <c r="L2887" s="14">
        <f>IF(ISNUMBER(SEARCH(Лист2!$B$5,I:I)),1,0)+K2887</f>
        <v>0</v>
      </c>
      <c r="M2887" s="3">
        <f ca="1">IF(AND(N2887&lt;&gt;N2886,ISNUMBER(SEARCH(Лист2!$B$6,N:N)),L2887=2),MAX($M$3:OFFSET(M2887,-1,0))+1,0)</f>
        <v>0</v>
      </c>
      <c r="N2887" s="3" t="s">
        <v>1771</v>
      </c>
    </row>
    <row r="2888" spans="1:14" x14ac:dyDescent="0.25">
      <c r="A2888" s="1" t="s">
        <v>11488</v>
      </c>
      <c r="B2888" s="3" t="s">
        <v>6512</v>
      </c>
      <c r="C2888" s="2">
        <f ca="1">IF(ISNUMBER(SEARCH(Лист2!$B$4,D:D)),MAX($C$3:OFFSET(C2888,-1,0))+1,0)</f>
        <v>0</v>
      </c>
      <c r="E2888" s="9" t="str">
        <f t="shared" ca="1" si="57"/>
        <v/>
      </c>
      <c r="F2888" s="4" t="s">
        <v>7</v>
      </c>
      <c r="G2888" s="2">
        <f>IF(ISNUMBER(SEARCH(Лист2!$B$4,F:F)),1,0)</f>
        <v>0</v>
      </c>
      <c r="H2888" s="3">
        <f ca="1">IF(AND(I2888&lt;&gt;I2887,ISNUMBER(SEARCH(Лист2!$B$5,I:I)),G2888=1),MAX($H$3:OFFSET(H2888,-1,0))+1,0)</f>
        <v>0</v>
      </c>
      <c r="I2888" s="3" t="s">
        <v>238</v>
      </c>
      <c r="K2888" s="2">
        <f>IF(ISNUMBER(SEARCH(Лист2!$B$4,F:F)),1,0)</f>
        <v>0</v>
      </c>
      <c r="L2888" s="14">
        <f>IF(ISNUMBER(SEARCH(Лист2!$B$5,I:I)),1,0)+K2888</f>
        <v>0</v>
      </c>
      <c r="M2888" s="3">
        <f ca="1">IF(AND(N2888&lt;&gt;N2887,ISNUMBER(SEARCH(Лист2!$B$6,N:N)),L2888=2),MAX($M$3:OFFSET(M2888,-1,0))+1,0)</f>
        <v>0</v>
      </c>
      <c r="N2888" s="3" t="s">
        <v>1772</v>
      </c>
    </row>
    <row r="2889" spans="1:14" x14ac:dyDescent="0.25">
      <c r="A2889" s="1" t="s">
        <v>11489</v>
      </c>
      <c r="B2889" s="3" t="s">
        <v>6513</v>
      </c>
      <c r="C2889" s="2">
        <f ca="1">IF(ISNUMBER(SEARCH(Лист2!$B$4,D:D)),MAX($C$3:OFFSET(C2889,-1,0))+1,0)</f>
        <v>0</v>
      </c>
      <c r="E2889" s="9" t="str">
        <f t="shared" ca="1" si="57"/>
        <v/>
      </c>
      <c r="F2889" s="4" t="s">
        <v>7</v>
      </c>
      <c r="G2889" s="2">
        <f>IF(ISNUMBER(SEARCH(Лист2!$B$4,F:F)),1,0)</f>
        <v>0</v>
      </c>
      <c r="H2889" s="3">
        <f ca="1">IF(AND(I2889&lt;&gt;I2888,ISNUMBER(SEARCH(Лист2!$B$5,I:I)),G2889=1),MAX($H$3:OFFSET(H2889,-1,0))+1,0)</f>
        <v>0</v>
      </c>
      <c r="I2889" s="3" t="s">
        <v>238</v>
      </c>
      <c r="K2889" s="2">
        <f>IF(ISNUMBER(SEARCH(Лист2!$B$4,F:F)),1,0)</f>
        <v>0</v>
      </c>
      <c r="L2889" s="14">
        <f>IF(ISNUMBER(SEARCH(Лист2!$B$5,I:I)),1,0)+K2889</f>
        <v>0</v>
      </c>
      <c r="M2889" s="3">
        <f ca="1">IF(AND(N2889&lt;&gt;N2888,ISNUMBER(SEARCH(Лист2!$B$6,N:N)),L2889=2),MAX($M$3:OFFSET(M2889,-1,0))+1,0)</f>
        <v>0</v>
      </c>
      <c r="N2889" s="3" t="s">
        <v>1773</v>
      </c>
    </row>
    <row r="2890" spans="1:14" x14ac:dyDescent="0.25">
      <c r="A2890" s="1" t="s">
        <v>11490</v>
      </c>
      <c r="B2890" s="3" t="s">
        <v>6514</v>
      </c>
      <c r="C2890" s="2">
        <f ca="1">IF(ISNUMBER(SEARCH(Лист2!$B$4,D:D)),MAX($C$3:OFFSET(C2890,-1,0))+1,0)</f>
        <v>0</v>
      </c>
      <c r="E2890" s="9" t="str">
        <f t="shared" ca="1" si="57"/>
        <v/>
      </c>
      <c r="F2890" s="4" t="s">
        <v>7</v>
      </c>
      <c r="G2890" s="2">
        <f>IF(ISNUMBER(SEARCH(Лист2!$B$4,F:F)),1,0)</f>
        <v>0</v>
      </c>
      <c r="H2890" s="3">
        <f ca="1">IF(AND(I2890&lt;&gt;I2889,ISNUMBER(SEARCH(Лист2!$B$5,I:I)),G2890=1),MAX($H$3:OFFSET(H2890,-1,0))+1,0)</f>
        <v>0</v>
      </c>
      <c r="I2890" s="3" t="s">
        <v>238</v>
      </c>
      <c r="K2890" s="2">
        <f>IF(ISNUMBER(SEARCH(Лист2!$B$4,F:F)),1,0)</f>
        <v>0</v>
      </c>
      <c r="L2890" s="14">
        <f>IF(ISNUMBER(SEARCH(Лист2!$B$5,I:I)),1,0)+K2890</f>
        <v>0</v>
      </c>
      <c r="M2890" s="3">
        <f ca="1">IF(AND(N2890&lt;&gt;N2889,ISNUMBER(SEARCH(Лист2!$B$6,N:N)),L2890=2),MAX($M$3:OFFSET(M2890,-1,0))+1,0)</f>
        <v>0</v>
      </c>
      <c r="N2890" s="3" t="s">
        <v>1774</v>
      </c>
    </row>
    <row r="2891" spans="1:14" x14ac:dyDescent="0.25">
      <c r="A2891" s="1" t="s">
        <v>11491</v>
      </c>
      <c r="B2891" s="3" t="s">
        <v>6515</v>
      </c>
      <c r="C2891" s="2">
        <f ca="1">IF(ISNUMBER(SEARCH(Лист2!$B$4,D:D)),MAX($C$3:OFFSET(C2891,-1,0))+1,0)</f>
        <v>0</v>
      </c>
      <c r="E2891" s="9" t="str">
        <f t="shared" ca="1" si="57"/>
        <v/>
      </c>
      <c r="F2891" s="4" t="s">
        <v>7</v>
      </c>
      <c r="G2891" s="2">
        <f>IF(ISNUMBER(SEARCH(Лист2!$B$4,F:F)),1,0)</f>
        <v>0</v>
      </c>
      <c r="H2891" s="3">
        <f ca="1">IF(AND(I2891&lt;&gt;I2890,ISNUMBER(SEARCH(Лист2!$B$5,I:I)),G2891=1),MAX($H$3:OFFSET(H2891,-1,0))+1,0)</f>
        <v>0</v>
      </c>
      <c r="I2891" s="3" t="s">
        <v>238</v>
      </c>
      <c r="K2891" s="2">
        <f>IF(ISNUMBER(SEARCH(Лист2!$B$4,F:F)),1,0)</f>
        <v>0</v>
      </c>
      <c r="L2891" s="14">
        <f>IF(ISNUMBER(SEARCH(Лист2!$B$5,I:I)),1,0)+K2891</f>
        <v>0</v>
      </c>
      <c r="M2891" s="3">
        <f ca="1">IF(AND(N2891&lt;&gt;N2890,ISNUMBER(SEARCH(Лист2!$B$6,N:N)),L2891=2),MAX($M$3:OFFSET(M2891,-1,0))+1,0)</f>
        <v>0</v>
      </c>
      <c r="N2891" s="3" t="s">
        <v>1775</v>
      </c>
    </row>
    <row r="2892" spans="1:14" x14ac:dyDescent="0.25">
      <c r="A2892" s="1" t="s">
        <v>11717</v>
      </c>
      <c r="B2892" s="3" t="s">
        <v>6516</v>
      </c>
      <c r="C2892" s="2">
        <f ca="1">IF(ISNUMBER(SEARCH(Лист2!$B$4,D:D)),MAX($C$3:OFFSET(C2892,-1,0))+1,0)</f>
        <v>0</v>
      </c>
      <c r="E2892" s="9" t="str">
        <f t="shared" ca="1" si="57"/>
        <v/>
      </c>
      <c r="F2892" s="4" t="s">
        <v>8</v>
      </c>
      <c r="G2892" s="2">
        <f>IF(ISNUMBER(SEARCH(Лист2!$B$4,F:F)),1,0)</f>
        <v>0</v>
      </c>
      <c r="H2892" s="3">
        <f ca="1">IF(AND(I2892&lt;&gt;I2891,ISNUMBER(SEARCH(Лист2!$B$5,I:I)),G2892=1),MAX($H$3:OFFSET(H2892,-1,0))+1,0)</f>
        <v>0</v>
      </c>
      <c r="I2892" s="3" t="s">
        <v>251</v>
      </c>
      <c r="K2892" s="2">
        <f>IF(ISNUMBER(SEARCH(Лист2!$B$4,F:F)),1,0)</f>
        <v>0</v>
      </c>
      <c r="L2892" s="14">
        <f>IF(ISNUMBER(SEARCH(Лист2!$B$5,I:I)),1,0)+K2892</f>
        <v>1</v>
      </c>
      <c r="M2892" s="3">
        <f ca="1">IF(AND(N2892&lt;&gt;N2891,ISNUMBER(SEARCH(Лист2!$B$6,N:N)),L2892=2),MAX($M$3:OFFSET(M2892,-1,0))+1,0)</f>
        <v>0</v>
      </c>
      <c r="N2892" s="3" t="s">
        <v>499</v>
      </c>
    </row>
    <row r="2893" spans="1:14" x14ac:dyDescent="0.25">
      <c r="A2893" s="1" t="s">
        <v>11718</v>
      </c>
      <c r="B2893" s="3" t="s">
        <v>6517</v>
      </c>
      <c r="C2893" s="2">
        <f ca="1">IF(ISNUMBER(SEARCH(Лист2!$B$4,D:D)),MAX($C$3:OFFSET(C2893,-1,0))+1,0)</f>
        <v>0</v>
      </c>
      <c r="E2893" s="9" t="str">
        <f t="shared" ca="1" si="57"/>
        <v/>
      </c>
      <c r="F2893" s="4" t="s">
        <v>8</v>
      </c>
      <c r="G2893" s="2">
        <f>IF(ISNUMBER(SEARCH(Лист2!$B$4,F:F)),1,0)</f>
        <v>0</v>
      </c>
      <c r="H2893" s="3">
        <f ca="1">IF(AND(I2893&lt;&gt;I2892,ISNUMBER(SEARCH(Лист2!$B$5,I:I)),G2893=1),MAX($H$3:OFFSET(H2893,-1,0))+1,0)</f>
        <v>0</v>
      </c>
      <c r="I2893" s="3" t="s">
        <v>251</v>
      </c>
      <c r="K2893" s="2">
        <f>IF(ISNUMBER(SEARCH(Лист2!$B$4,F:F)),1,0)</f>
        <v>0</v>
      </c>
      <c r="L2893" s="14">
        <f>IF(ISNUMBER(SEARCH(Лист2!$B$5,I:I)),1,0)+K2893</f>
        <v>1</v>
      </c>
      <c r="M2893" s="3">
        <f ca="1">IF(AND(N2893&lt;&gt;N2892,ISNUMBER(SEARCH(Лист2!$B$6,N:N)),L2893=2),MAX($M$3:OFFSET(M2893,-1,0))+1,0)</f>
        <v>0</v>
      </c>
      <c r="N2893" s="3" t="s">
        <v>500</v>
      </c>
    </row>
    <row r="2894" spans="1:14" x14ac:dyDescent="0.25">
      <c r="A2894" s="1" t="s">
        <v>11719</v>
      </c>
      <c r="B2894" s="3" t="s">
        <v>6518</v>
      </c>
      <c r="C2894" s="2">
        <f ca="1">IF(ISNUMBER(SEARCH(Лист2!$B$4,D:D)),MAX($C$3:OFFSET(C2894,-1,0))+1,0)</f>
        <v>0</v>
      </c>
      <c r="E2894" s="9" t="str">
        <f t="shared" ca="1" si="57"/>
        <v/>
      </c>
      <c r="F2894" s="4" t="s">
        <v>8</v>
      </c>
      <c r="G2894" s="2">
        <f>IF(ISNUMBER(SEARCH(Лист2!$B$4,F:F)),1,0)</f>
        <v>0</v>
      </c>
      <c r="H2894" s="3">
        <f ca="1">IF(AND(I2894&lt;&gt;I2893,ISNUMBER(SEARCH(Лист2!$B$5,I:I)),G2894=1),MAX($H$3:OFFSET(H2894,-1,0))+1,0)</f>
        <v>0</v>
      </c>
      <c r="I2894" s="3" t="s">
        <v>252</v>
      </c>
      <c r="K2894" s="2">
        <f>IF(ISNUMBER(SEARCH(Лист2!$B$4,F:F)),1,0)</f>
        <v>0</v>
      </c>
      <c r="L2894" s="14">
        <f>IF(ISNUMBER(SEARCH(Лист2!$B$5,I:I)),1,0)+K2894</f>
        <v>0</v>
      </c>
      <c r="M2894" s="3">
        <f ca="1">IF(AND(N2894&lt;&gt;N2893,ISNUMBER(SEARCH(Лист2!$B$6,N:N)),L2894=2),MAX($M$3:OFFSET(M2894,-1,0))+1,0)</f>
        <v>0</v>
      </c>
      <c r="N2894" s="3" t="s">
        <v>1923</v>
      </c>
    </row>
    <row r="2895" spans="1:14" x14ac:dyDescent="0.25">
      <c r="A2895" s="1" t="s">
        <v>11720</v>
      </c>
      <c r="B2895" s="3" t="s">
        <v>6519</v>
      </c>
      <c r="C2895" s="2">
        <f ca="1">IF(ISNUMBER(SEARCH(Лист2!$B$4,D:D)),MAX($C$3:OFFSET(C2895,-1,0))+1,0)</f>
        <v>0</v>
      </c>
      <c r="E2895" s="9" t="str">
        <f t="shared" ca="1" si="57"/>
        <v/>
      </c>
      <c r="F2895" s="4" t="s">
        <v>8</v>
      </c>
      <c r="G2895" s="2">
        <f>IF(ISNUMBER(SEARCH(Лист2!$B$4,F:F)),1,0)</f>
        <v>0</v>
      </c>
      <c r="H2895" s="3">
        <f ca="1">IF(AND(I2895&lt;&gt;I2894,ISNUMBER(SEARCH(Лист2!$B$5,I:I)),G2895=1),MAX($H$3:OFFSET(H2895,-1,0))+1,0)</f>
        <v>0</v>
      </c>
      <c r="I2895" s="3" t="s">
        <v>252</v>
      </c>
      <c r="K2895" s="2">
        <f>IF(ISNUMBER(SEARCH(Лист2!$B$4,F:F)),1,0)</f>
        <v>0</v>
      </c>
      <c r="L2895" s="14">
        <f>IF(ISNUMBER(SEARCH(Лист2!$B$5,I:I)),1,0)+K2895</f>
        <v>0</v>
      </c>
      <c r="M2895" s="3">
        <f ca="1">IF(AND(N2895&lt;&gt;N2894,ISNUMBER(SEARCH(Лист2!$B$6,N:N)),L2895=2),MAX($M$3:OFFSET(M2895,-1,0))+1,0)</f>
        <v>0</v>
      </c>
      <c r="N2895" s="3" t="s">
        <v>1924</v>
      </c>
    </row>
    <row r="2896" spans="1:14" x14ac:dyDescent="0.25">
      <c r="A2896" s="1" t="s">
        <v>11721</v>
      </c>
      <c r="B2896" s="3" t="s">
        <v>6520</v>
      </c>
      <c r="C2896" s="2">
        <f ca="1">IF(ISNUMBER(SEARCH(Лист2!$B$4,D:D)),MAX($C$3:OFFSET(C2896,-1,0))+1,0)</f>
        <v>0</v>
      </c>
      <c r="E2896" s="9" t="str">
        <f t="shared" ca="1" si="57"/>
        <v/>
      </c>
      <c r="F2896" s="4" t="s">
        <v>8</v>
      </c>
      <c r="G2896" s="2">
        <f>IF(ISNUMBER(SEARCH(Лист2!$B$4,F:F)),1,0)</f>
        <v>0</v>
      </c>
      <c r="H2896" s="3">
        <f ca="1">IF(AND(I2896&lt;&gt;I2895,ISNUMBER(SEARCH(Лист2!$B$5,I:I)),G2896=1),MAX($H$3:OFFSET(H2896,-1,0))+1,0)</f>
        <v>0</v>
      </c>
      <c r="I2896" s="3" t="s">
        <v>252</v>
      </c>
      <c r="K2896" s="2">
        <f>IF(ISNUMBER(SEARCH(Лист2!$B$4,F:F)),1,0)</f>
        <v>0</v>
      </c>
      <c r="L2896" s="14">
        <f>IF(ISNUMBER(SEARCH(Лист2!$B$5,I:I)),1,0)+K2896</f>
        <v>0</v>
      </c>
      <c r="M2896" s="3">
        <f ca="1">IF(AND(N2896&lt;&gt;N2895,ISNUMBER(SEARCH(Лист2!$B$6,N:N)),L2896=2),MAX($M$3:OFFSET(M2896,-1,0))+1,0)</f>
        <v>0</v>
      </c>
      <c r="N2896" s="3" t="s">
        <v>1925</v>
      </c>
    </row>
    <row r="2897" spans="1:14" x14ac:dyDescent="0.25">
      <c r="A2897" s="1" t="s">
        <v>11722</v>
      </c>
      <c r="B2897" s="3" t="s">
        <v>6521</v>
      </c>
      <c r="C2897" s="2">
        <f ca="1">IF(ISNUMBER(SEARCH(Лист2!$B$4,D:D)),MAX($C$3:OFFSET(C2897,-1,0))+1,0)</f>
        <v>0</v>
      </c>
      <c r="E2897" s="9" t="str">
        <f t="shared" ca="1" si="57"/>
        <v/>
      </c>
      <c r="F2897" s="4" t="s">
        <v>8</v>
      </c>
      <c r="G2897" s="2">
        <f>IF(ISNUMBER(SEARCH(Лист2!$B$4,F:F)),1,0)</f>
        <v>0</v>
      </c>
      <c r="H2897" s="3">
        <f ca="1">IF(AND(I2897&lt;&gt;I2896,ISNUMBER(SEARCH(Лист2!$B$5,I:I)),G2897=1),MAX($H$3:OFFSET(H2897,-1,0))+1,0)</f>
        <v>0</v>
      </c>
      <c r="I2897" s="3" t="s">
        <v>252</v>
      </c>
      <c r="K2897" s="2">
        <f>IF(ISNUMBER(SEARCH(Лист2!$B$4,F:F)),1,0)</f>
        <v>0</v>
      </c>
      <c r="L2897" s="14">
        <f>IF(ISNUMBER(SEARCH(Лист2!$B$5,I:I)),1,0)+K2897</f>
        <v>0</v>
      </c>
      <c r="M2897" s="3">
        <f ca="1">IF(AND(N2897&lt;&gt;N2896,ISNUMBER(SEARCH(Лист2!$B$6,N:N)),L2897=2),MAX($M$3:OFFSET(M2897,-1,0))+1,0)</f>
        <v>0</v>
      </c>
      <c r="N2897" s="3" t="s">
        <v>1926</v>
      </c>
    </row>
    <row r="2898" spans="1:14" x14ac:dyDescent="0.25">
      <c r="A2898" s="1" t="s">
        <v>11723</v>
      </c>
      <c r="B2898" s="3" t="s">
        <v>6522</v>
      </c>
      <c r="C2898" s="2">
        <f ca="1">IF(ISNUMBER(SEARCH(Лист2!$B$4,D:D)),MAX($C$3:OFFSET(C2898,-1,0))+1,0)</f>
        <v>0</v>
      </c>
      <c r="E2898" s="9" t="str">
        <f t="shared" ca="1" si="57"/>
        <v/>
      </c>
      <c r="F2898" s="4" t="s">
        <v>8</v>
      </c>
      <c r="G2898" s="2">
        <f>IF(ISNUMBER(SEARCH(Лист2!$B$4,F:F)),1,0)</f>
        <v>0</v>
      </c>
      <c r="H2898" s="3">
        <f ca="1">IF(AND(I2898&lt;&gt;I2897,ISNUMBER(SEARCH(Лист2!$B$5,I:I)),G2898=1),MAX($H$3:OFFSET(H2898,-1,0))+1,0)</f>
        <v>0</v>
      </c>
      <c r="I2898" s="3" t="s">
        <v>252</v>
      </c>
      <c r="K2898" s="2">
        <f>IF(ISNUMBER(SEARCH(Лист2!$B$4,F:F)),1,0)</f>
        <v>0</v>
      </c>
      <c r="L2898" s="14">
        <f>IF(ISNUMBER(SEARCH(Лист2!$B$5,I:I)),1,0)+K2898</f>
        <v>0</v>
      </c>
      <c r="M2898" s="3">
        <f ca="1">IF(AND(N2898&lt;&gt;N2897,ISNUMBER(SEARCH(Лист2!$B$6,N:N)),L2898=2),MAX($M$3:OFFSET(M2898,-1,0))+1,0)</f>
        <v>0</v>
      </c>
      <c r="N2898" s="3" t="s">
        <v>1927</v>
      </c>
    </row>
    <row r="2899" spans="1:14" x14ac:dyDescent="0.25">
      <c r="A2899" s="1" t="s">
        <v>11724</v>
      </c>
      <c r="B2899" s="3" t="s">
        <v>6523</v>
      </c>
      <c r="C2899" s="2">
        <f ca="1">IF(ISNUMBER(SEARCH(Лист2!$B$4,D:D)),MAX($C$3:OFFSET(C2899,-1,0))+1,0)</f>
        <v>0</v>
      </c>
      <c r="E2899" s="9" t="str">
        <f t="shared" ca="1" si="57"/>
        <v/>
      </c>
      <c r="F2899" s="4" t="s">
        <v>8</v>
      </c>
      <c r="G2899" s="2">
        <f>IF(ISNUMBER(SEARCH(Лист2!$B$4,F:F)),1,0)</f>
        <v>0</v>
      </c>
      <c r="H2899" s="3">
        <f ca="1">IF(AND(I2899&lt;&gt;I2898,ISNUMBER(SEARCH(Лист2!$B$5,I:I)),G2899=1),MAX($H$3:OFFSET(H2899,-1,0))+1,0)</f>
        <v>0</v>
      </c>
      <c r="I2899" s="3" t="s">
        <v>252</v>
      </c>
      <c r="K2899" s="2">
        <f>IF(ISNUMBER(SEARCH(Лист2!$B$4,F:F)),1,0)</f>
        <v>0</v>
      </c>
      <c r="L2899" s="14">
        <f>IF(ISNUMBER(SEARCH(Лист2!$B$5,I:I)),1,0)+K2899</f>
        <v>0</v>
      </c>
      <c r="M2899" s="3">
        <f ca="1">IF(AND(N2899&lt;&gt;N2898,ISNUMBER(SEARCH(Лист2!$B$6,N:N)),L2899=2),MAX($M$3:OFFSET(M2899,-1,0))+1,0)</f>
        <v>0</v>
      </c>
      <c r="N2899" s="3" t="s">
        <v>602</v>
      </c>
    </row>
    <row r="2900" spans="1:14" x14ac:dyDescent="0.25">
      <c r="A2900" s="1" t="s">
        <v>11725</v>
      </c>
      <c r="B2900" s="3" t="s">
        <v>6524</v>
      </c>
      <c r="C2900" s="2">
        <f ca="1">IF(ISNUMBER(SEARCH(Лист2!$B$4,D:D)),MAX($C$3:OFFSET(C2900,-1,0))+1,0)</f>
        <v>0</v>
      </c>
      <c r="E2900" s="9" t="str">
        <f t="shared" ca="1" si="57"/>
        <v/>
      </c>
      <c r="F2900" s="4" t="s">
        <v>8</v>
      </c>
      <c r="G2900" s="2">
        <f>IF(ISNUMBER(SEARCH(Лист2!$B$4,F:F)),1,0)</f>
        <v>0</v>
      </c>
      <c r="H2900" s="3">
        <f ca="1">IF(AND(I2900&lt;&gt;I2899,ISNUMBER(SEARCH(Лист2!$B$5,I:I)),G2900=1),MAX($H$3:OFFSET(H2900,-1,0))+1,0)</f>
        <v>0</v>
      </c>
      <c r="I2900" s="3" t="s">
        <v>252</v>
      </c>
      <c r="K2900" s="2">
        <f>IF(ISNUMBER(SEARCH(Лист2!$B$4,F:F)),1,0)</f>
        <v>0</v>
      </c>
      <c r="L2900" s="14">
        <f>IF(ISNUMBER(SEARCH(Лист2!$B$5,I:I)),1,0)+K2900</f>
        <v>0</v>
      </c>
      <c r="M2900" s="3">
        <f ca="1">IF(AND(N2900&lt;&gt;N2899,ISNUMBER(SEARCH(Лист2!$B$6,N:N)),L2900=2),MAX($M$3:OFFSET(M2900,-1,0))+1,0)</f>
        <v>0</v>
      </c>
      <c r="N2900" s="3" t="s">
        <v>1928</v>
      </c>
    </row>
    <row r="2901" spans="1:14" x14ac:dyDescent="0.25">
      <c r="A2901" s="1" t="s">
        <v>11726</v>
      </c>
      <c r="B2901" s="3" t="s">
        <v>6525</v>
      </c>
      <c r="C2901" s="2">
        <f ca="1">IF(ISNUMBER(SEARCH(Лист2!$B$4,D:D)),MAX($C$3:OFFSET(C2901,-1,0))+1,0)</f>
        <v>0</v>
      </c>
      <c r="E2901" s="9" t="str">
        <f t="shared" ca="1" si="57"/>
        <v/>
      </c>
      <c r="F2901" s="4" t="s">
        <v>8</v>
      </c>
      <c r="G2901" s="2">
        <f>IF(ISNUMBER(SEARCH(Лист2!$B$4,F:F)),1,0)</f>
        <v>0</v>
      </c>
      <c r="H2901" s="3">
        <f ca="1">IF(AND(I2901&lt;&gt;I2900,ISNUMBER(SEARCH(Лист2!$B$5,I:I)),G2901=1),MAX($H$3:OFFSET(H2901,-1,0))+1,0)</f>
        <v>0</v>
      </c>
      <c r="I2901" s="3" t="s">
        <v>252</v>
      </c>
      <c r="K2901" s="2">
        <f>IF(ISNUMBER(SEARCH(Лист2!$B$4,F:F)),1,0)</f>
        <v>0</v>
      </c>
      <c r="L2901" s="14">
        <f>IF(ISNUMBER(SEARCH(Лист2!$B$5,I:I)),1,0)+K2901</f>
        <v>0</v>
      </c>
      <c r="M2901" s="3">
        <f ca="1">IF(AND(N2901&lt;&gt;N2900,ISNUMBER(SEARCH(Лист2!$B$6,N:N)),L2901=2),MAX($M$3:OFFSET(M2901,-1,0))+1,0)</f>
        <v>0</v>
      </c>
      <c r="N2901" s="3" t="s">
        <v>1929</v>
      </c>
    </row>
    <row r="2902" spans="1:14" x14ac:dyDescent="0.25">
      <c r="A2902" s="1" t="s">
        <v>11727</v>
      </c>
      <c r="B2902" s="3" t="s">
        <v>6526</v>
      </c>
      <c r="C2902" s="2">
        <f ca="1">IF(ISNUMBER(SEARCH(Лист2!$B$4,D:D)),MAX($C$3:OFFSET(C2902,-1,0))+1,0)</f>
        <v>0</v>
      </c>
      <c r="E2902" s="9" t="str">
        <f t="shared" ca="1" si="57"/>
        <v/>
      </c>
      <c r="F2902" s="4" t="s">
        <v>8</v>
      </c>
      <c r="G2902" s="2">
        <f>IF(ISNUMBER(SEARCH(Лист2!$B$4,F:F)),1,0)</f>
        <v>0</v>
      </c>
      <c r="H2902" s="3">
        <f ca="1">IF(AND(I2902&lt;&gt;I2901,ISNUMBER(SEARCH(Лист2!$B$5,I:I)),G2902=1),MAX($H$3:OFFSET(H2902,-1,0))+1,0)</f>
        <v>0</v>
      </c>
      <c r="I2902" s="3" t="s">
        <v>253</v>
      </c>
      <c r="K2902" s="2">
        <f>IF(ISNUMBER(SEARCH(Лист2!$B$4,F:F)),1,0)</f>
        <v>0</v>
      </c>
      <c r="L2902" s="14">
        <f>IF(ISNUMBER(SEARCH(Лист2!$B$5,I:I)),1,0)+K2902</f>
        <v>0</v>
      </c>
      <c r="M2902" s="3">
        <f ca="1">IF(AND(N2902&lt;&gt;N2901,ISNUMBER(SEARCH(Лист2!$B$6,N:N)),L2902=2),MAX($M$3:OFFSET(M2902,-1,0))+1,0)</f>
        <v>0</v>
      </c>
      <c r="N2902" s="3" t="s">
        <v>1923</v>
      </c>
    </row>
    <row r="2903" spans="1:14" x14ac:dyDescent="0.25">
      <c r="A2903" s="1" t="s">
        <v>11728</v>
      </c>
      <c r="B2903" s="3" t="s">
        <v>6527</v>
      </c>
      <c r="C2903" s="2">
        <f ca="1">IF(ISNUMBER(SEARCH(Лист2!$B$4,D:D)),MAX($C$3:OFFSET(C2903,-1,0))+1,0)</f>
        <v>0</v>
      </c>
      <c r="E2903" s="9" t="str">
        <f t="shared" ca="1" si="57"/>
        <v/>
      </c>
      <c r="F2903" s="4" t="s">
        <v>8</v>
      </c>
      <c r="G2903" s="2">
        <f>IF(ISNUMBER(SEARCH(Лист2!$B$4,F:F)),1,0)</f>
        <v>0</v>
      </c>
      <c r="H2903" s="3">
        <f ca="1">IF(AND(I2903&lt;&gt;I2902,ISNUMBER(SEARCH(Лист2!$B$5,I:I)),G2903=1),MAX($H$3:OFFSET(H2903,-1,0))+1,0)</f>
        <v>0</v>
      </c>
      <c r="I2903" s="3" t="s">
        <v>253</v>
      </c>
      <c r="K2903" s="2">
        <f>IF(ISNUMBER(SEARCH(Лист2!$B$4,F:F)),1,0)</f>
        <v>0</v>
      </c>
      <c r="L2903" s="14">
        <f>IF(ISNUMBER(SEARCH(Лист2!$B$5,I:I)),1,0)+K2903</f>
        <v>0</v>
      </c>
      <c r="M2903" s="3">
        <f ca="1">IF(AND(N2903&lt;&gt;N2902,ISNUMBER(SEARCH(Лист2!$B$6,N:N)),L2903=2),MAX($M$3:OFFSET(M2903,-1,0))+1,0)</f>
        <v>0</v>
      </c>
      <c r="N2903" s="3" t="s">
        <v>1924</v>
      </c>
    </row>
    <row r="2904" spans="1:14" x14ac:dyDescent="0.25">
      <c r="A2904" s="1" t="s">
        <v>11729</v>
      </c>
      <c r="B2904" s="3" t="s">
        <v>6528</v>
      </c>
      <c r="C2904" s="2">
        <f ca="1">IF(ISNUMBER(SEARCH(Лист2!$B$4,D:D)),MAX($C$3:OFFSET(C2904,-1,0))+1,0)</f>
        <v>0</v>
      </c>
      <c r="E2904" s="9" t="str">
        <f t="shared" ca="1" si="57"/>
        <v/>
      </c>
      <c r="F2904" s="4" t="s">
        <v>8</v>
      </c>
      <c r="G2904" s="2">
        <f>IF(ISNUMBER(SEARCH(Лист2!$B$4,F:F)),1,0)</f>
        <v>0</v>
      </c>
      <c r="H2904" s="3">
        <f ca="1">IF(AND(I2904&lt;&gt;I2903,ISNUMBER(SEARCH(Лист2!$B$5,I:I)),G2904=1),MAX($H$3:OFFSET(H2904,-1,0))+1,0)</f>
        <v>0</v>
      </c>
      <c r="I2904" s="3" t="s">
        <v>253</v>
      </c>
      <c r="K2904" s="2">
        <f>IF(ISNUMBER(SEARCH(Лист2!$B$4,F:F)),1,0)</f>
        <v>0</v>
      </c>
      <c r="L2904" s="14">
        <f>IF(ISNUMBER(SEARCH(Лист2!$B$5,I:I)),1,0)+K2904</f>
        <v>0</v>
      </c>
      <c r="M2904" s="3">
        <f ca="1">IF(AND(N2904&lt;&gt;N2903,ISNUMBER(SEARCH(Лист2!$B$6,N:N)),L2904=2),MAX($M$3:OFFSET(M2904,-1,0))+1,0)</f>
        <v>0</v>
      </c>
      <c r="N2904" s="3" t="s">
        <v>1925</v>
      </c>
    </row>
    <row r="2905" spans="1:14" x14ac:dyDescent="0.25">
      <c r="A2905" s="1" t="s">
        <v>11730</v>
      </c>
      <c r="B2905" s="3" t="s">
        <v>6529</v>
      </c>
      <c r="C2905" s="2">
        <f ca="1">IF(ISNUMBER(SEARCH(Лист2!$B$4,D:D)),MAX($C$3:OFFSET(C2905,-1,0))+1,0)</f>
        <v>0</v>
      </c>
      <c r="E2905" s="9" t="str">
        <f t="shared" ca="1" si="57"/>
        <v/>
      </c>
      <c r="F2905" s="4" t="s">
        <v>8</v>
      </c>
      <c r="G2905" s="2">
        <f>IF(ISNUMBER(SEARCH(Лист2!$B$4,F:F)),1,0)</f>
        <v>0</v>
      </c>
      <c r="H2905" s="3">
        <f ca="1">IF(AND(I2905&lt;&gt;I2904,ISNUMBER(SEARCH(Лист2!$B$5,I:I)),G2905=1),MAX($H$3:OFFSET(H2905,-1,0))+1,0)</f>
        <v>0</v>
      </c>
      <c r="I2905" s="3" t="s">
        <v>253</v>
      </c>
      <c r="K2905" s="2">
        <f>IF(ISNUMBER(SEARCH(Лист2!$B$4,F:F)),1,0)</f>
        <v>0</v>
      </c>
      <c r="L2905" s="14">
        <f>IF(ISNUMBER(SEARCH(Лист2!$B$5,I:I)),1,0)+K2905</f>
        <v>0</v>
      </c>
      <c r="M2905" s="3">
        <f ca="1">IF(AND(N2905&lt;&gt;N2904,ISNUMBER(SEARCH(Лист2!$B$6,N:N)),L2905=2),MAX($M$3:OFFSET(M2905,-1,0))+1,0)</f>
        <v>0</v>
      </c>
      <c r="N2905" s="3" t="s">
        <v>1926</v>
      </c>
    </row>
    <row r="2906" spans="1:14" x14ac:dyDescent="0.25">
      <c r="A2906" s="1" t="s">
        <v>11731</v>
      </c>
      <c r="B2906" s="3" t="s">
        <v>6530</v>
      </c>
      <c r="C2906" s="2">
        <f ca="1">IF(ISNUMBER(SEARCH(Лист2!$B$4,D:D)),MAX($C$3:OFFSET(C2906,-1,0))+1,0)</f>
        <v>0</v>
      </c>
      <c r="E2906" s="9" t="str">
        <f t="shared" ca="1" si="57"/>
        <v/>
      </c>
      <c r="F2906" s="4" t="s">
        <v>8</v>
      </c>
      <c r="G2906" s="2">
        <f>IF(ISNUMBER(SEARCH(Лист2!$B$4,F:F)),1,0)</f>
        <v>0</v>
      </c>
      <c r="H2906" s="3">
        <f ca="1">IF(AND(I2906&lt;&gt;I2905,ISNUMBER(SEARCH(Лист2!$B$5,I:I)),G2906=1),MAX($H$3:OFFSET(H2906,-1,0))+1,0)</f>
        <v>0</v>
      </c>
      <c r="I2906" s="3" t="s">
        <v>253</v>
      </c>
      <c r="K2906" s="2">
        <f>IF(ISNUMBER(SEARCH(Лист2!$B$4,F:F)),1,0)</f>
        <v>0</v>
      </c>
      <c r="L2906" s="14">
        <f>IF(ISNUMBER(SEARCH(Лист2!$B$5,I:I)),1,0)+K2906</f>
        <v>0</v>
      </c>
      <c r="M2906" s="3">
        <f ca="1">IF(AND(N2906&lt;&gt;N2905,ISNUMBER(SEARCH(Лист2!$B$6,N:N)),L2906=2),MAX($M$3:OFFSET(M2906,-1,0))+1,0)</f>
        <v>0</v>
      </c>
      <c r="N2906" s="3" t="s">
        <v>1927</v>
      </c>
    </row>
    <row r="2907" spans="1:14" x14ac:dyDescent="0.25">
      <c r="A2907" s="1" t="s">
        <v>11732</v>
      </c>
      <c r="B2907" s="3" t="s">
        <v>6531</v>
      </c>
      <c r="C2907" s="2">
        <f ca="1">IF(ISNUMBER(SEARCH(Лист2!$B$4,D:D)),MAX($C$3:OFFSET(C2907,-1,0))+1,0)</f>
        <v>0</v>
      </c>
      <c r="E2907" s="9" t="str">
        <f t="shared" ca="1" si="57"/>
        <v/>
      </c>
      <c r="F2907" s="4" t="s">
        <v>8</v>
      </c>
      <c r="G2907" s="2">
        <f>IF(ISNUMBER(SEARCH(Лист2!$B$4,F:F)),1,0)</f>
        <v>0</v>
      </c>
      <c r="H2907" s="3">
        <f ca="1">IF(AND(I2907&lt;&gt;I2906,ISNUMBER(SEARCH(Лист2!$B$5,I:I)),G2907=1),MAX($H$3:OFFSET(H2907,-1,0))+1,0)</f>
        <v>0</v>
      </c>
      <c r="I2907" s="3" t="s">
        <v>253</v>
      </c>
      <c r="K2907" s="2">
        <f>IF(ISNUMBER(SEARCH(Лист2!$B$4,F:F)),1,0)</f>
        <v>0</v>
      </c>
      <c r="L2907" s="14">
        <f>IF(ISNUMBER(SEARCH(Лист2!$B$5,I:I)),1,0)+K2907</f>
        <v>0</v>
      </c>
      <c r="M2907" s="3">
        <f ca="1">IF(AND(N2907&lt;&gt;N2906,ISNUMBER(SEARCH(Лист2!$B$6,N:N)),L2907=2),MAX($M$3:OFFSET(M2907,-1,0))+1,0)</f>
        <v>0</v>
      </c>
      <c r="N2907" s="3" t="s">
        <v>602</v>
      </c>
    </row>
    <row r="2908" spans="1:14" x14ac:dyDescent="0.25">
      <c r="A2908" s="1" t="s">
        <v>11733</v>
      </c>
      <c r="B2908" s="3" t="s">
        <v>6532</v>
      </c>
      <c r="C2908" s="2">
        <f ca="1">IF(ISNUMBER(SEARCH(Лист2!$B$4,D:D)),MAX($C$3:OFFSET(C2908,-1,0))+1,0)</f>
        <v>0</v>
      </c>
      <c r="E2908" s="9" t="str">
        <f t="shared" ca="1" si="57"/>
        <v/>
      </c>
      <c r="F2908" s="4" t="s">
        <v>8</v>
      </c>
      <c r="G2908" s="2">
        <f>IF(ISNUMBER(SEARCH(Лист2!$B$4,F:F)),1,0)</f>
        <v>0</v>
      </c>
      <c r="H2908" s="3">
        <f ca="1">IF(AND(I2908&lt;&gt;I2907,ISNUMBER(SEARCH(Лист2!$B$5,I:I)),G2908=1),MAX($H$3:OFFSET(H2908,-1,0))+1,0)</f>
        <v>0</v>
      </c>
      <c r="I2908" s="3" t="s">
        <v>253</v>
      </c>
      <c r="K2908" s="2">
        <f>IF(ISNUMBER(SEARCH(Лист2!$B$4,F:F)),1,0)</f>
        <v>0</v>
      </c>
      <c r="L2908" s="14">
        <f>IF(ISNUMBER(SEARCH(Лист2!$B$5,I:I)),1,0)+K2908</f>
        <v>0</v>
      </c>
      <c r="M2908" s="3">
        <f ca="1">IF(AND(N2908&lt;&gt;N2907,ISNUMBER(SEARCH(Лист2!$B$6,N:N)),L2908=2),MAX($M$3:OFFSET(M2908,-1,0))+1,0)</f>
        <v>0</v>
      </c>
      <c r="N2908" s="3" t="s">
        <v>1928</v>
      </c>
    </row>
    <row r="2909" spans="1:14" x14ac:dyDescent="0.25">
      <c r="A2909" s="1" t="s">
        <v>11734</v>
      </c>
      <c r="B2909" s="3" t="s">
        <v>6533</v>
      </c>
      <c r="C2909" s="2">
        <f ca="1">IF(ISNUMBER(SEARCH(Лист2!$B$4,D:D)),MAX($C$3:OFFSET(C2909,-1,0))+1,0)</f>
        <v>0</v>
      </c>
      <c r="E2909" s="9" t="str">
        <f t="shared" ca="1" si="57"/>
        <v/>
      </c>
      <c r="F2909" s="4" t="s">
        <v>8</v>
      </c>
      <c r="G2909" s="2">
        <f>IF(ISNUMBER(SEARCH(Лист2!$B$4,F:F)),1,0)</f>
        <v>0</v>
      </c>
      <c r="H2909" s="3">
        <f ca="1">IF(AND(I2909&lt;&gt;I2908,ISNUMBER(SEARCH(Лист2!$B$5,I:I)),G2909=1),MAX($H$3:OFFSET(H2909,-1,0))+1,0)</f>
        <v>0</v>
      </c>
      <c r="I2909" s="3" t="s">
        <v>253</v>
      </c>
      <c r="K2909" s="2">
        <f>IF(ISNUMBER(SEARCH(Лист2!$B$4,F:F)),1,0)</f>
        <v>0</v>
      </c>
      <c r="L2909" s="14">
        <f>IF(ISNUMBER(SEARCH(Лист2!$B$5,I:I)),1,0)+K2909</f>
        <v>0</v>
      </c>
      <c r="M2909" s="3">
        <f ca="1">IF(AND(N2909&lt;&gt;N2908,ISNUMBER(SEARCH(Лист2!$B$6,N:N)),L2909=2),MAX($M$3:OFFSET(M2909,-1,0))+1,0)</f>
        <v>0</v>
      </c>
      <c r="N2909" s="3" t="s">
        <v>1929</v>
      </c>
    </row>
    <row r="2910" spans="1:14" x14ac:dyDescent="0.25">
      <c r="A2910" s="1" t="s">
        <v>11735</v>
      </c>
      <c r="B2910" s="3" t="s">
        <v>6534</v>
      </c>
      <c r="C2910" s="2">
        <f ca="1">IF(ISNUMBER(SEARCH(Лист2!$B$4,D:D)),MAX($C$3:OFFSET(C2910,-1,0))+1,0)</f>
        <v>0</v>
      </c>
      <c r="E2910" s="9" t="str">
        <f t="shared" ca="1" si="57"/>
        <v/>
      </c>
      <c r="F2910" s="4" t="s">
        <v>8</v>
      </c>
      <c r="G2910" s="2">
        <f>IF(ISNUMBER(SEARCH(Лист2!$B$4,F:F)),1,0)</f>
        <v>0</v>
      </c>
      <c r="H2910" s="3">
        <f ca="1">IF(AND(I2910&lt;&gt;I2909,ISNUMBER(SEARCH(Лист2!$B$5,I:I)),G2910=1),MAX($H$3:OFFSET(H2910,-1,0))+1,0)</f>
        <v>0</v>
      </c>
      <c r="I2910" s="3" t="s">
        <v>254</v>
      </c>
      <c r="K2910" s="2">
        <f>IF(ISNUMBER(SEARCH(Лист2!$B$4,F:F)),1,0)</f>
        <v>0</v>
      </c>
      <c r="L2910" s="14">
        <f>IF(ISNUMBER(SEARCH(Лист2!$B$5,I:I)),1,0)+K2910</f>
        <v>0</v>
      </c>
      <c r="M2910" s="3">
        <f ca="1">IF(AND(N2910&lt;&gt;N2909,ISNUMBER(SEARCH(Лист2!$B$6,N:N)),L2910=2),MAX($M$3:OFFSET(M2910,-1,0))+1,0)</f>
        <v>0</v>
      </c>
      <c r="N2910" s="3" t="s">
        <v>1930</v>
      </c>
    </row>
    <row r="2911" spans="1:14" x14ac:dyDescent="0.25">
      <c r="A2911" s="1" t="s">
        <v>11736</v>
      </c>
      <c r="B2911" s="3" t="s">
        <v>6535</v>
      </c>
      <c r="C2911" s="2">
        <f ca="1">IF(ISNUMBER(SEARCH(Лист2!$B$4,D:D)),MAX($C$3:OFFSET(C2911,-1,0))+1,0)</f>
        <v>0</v>
      </c>
      <c r="E2911" s="9" t="str">
        <f t="shared" ca="1" si="57"/>
        <v/>
      </c>
      <c r="F2911" s="4" t="s">
        <v>8</v>
      </c>
      <c r="G2911" s="2">
        <f>IF(ISNUMBER(SEARCH(Лист2!$B$4,F:F)),1,0)</f>
        <v>0</v>
      </c>
      <c r="H2911" s="3">
        <f ca="1">IF(AND(I2911&lt;&gt;I2910,ISNUMBER(SEARCH(Лист2!$B$5,I:I)),G2911=1),MAX($H$3:OFFSET(H2911,-1,0))+1,0)</f>
        <v>0</v>
      </c>
      <c r="I2911" s="3" t="s">
        <v>254</v>
      </c>
      <c r="K2911" s="2">
        <f>IF(ISNUMBER(SEARCH(Лист2!$B$4,F:F)),1,0)</f>
        <v>0</v>
      </c>
      <c r="L2911" s="14">
        <f>IF(ISNUMBER(SEARCH(Лист2!$B$5,I:I)),1,0)+K2911</f>
        <v>0</v>
      </c>
      <c r="M2911" s="3">
        <f ca="1">IF(AND(N2911&lt;&gt;N2910,ISNUMBER(SEARCH(Лист2!$B$6,N:N)),L2911=2),MAX($M$3:OFFSET(M2911,-1,0))+1,0)</f>
        <v>0</v>
      </c>
      <c r="N2911" s="3" t="s">
        <v>1931</v>
      </c>
    </row>
    <row r="2912" spans="1:14" x14ac:dyDescent="0.25">
      <c r="A2912" s="1" t="s">
        <v>11737</v>
      </c>
      <c r="B2912" s="3" t="s">
        <v>6536</v>
      </c>
      <c r="C2912" s="2">
        <f ca="1">IF(ISNUMBER(SEARCH(Лист2!$B$4,D:D)),MAX($C$3:OFFSET(C2912,-1,0))+1,0)</f>
        <v>0</v>
      </c>
      <c r="E2912" s="9" t="str">
        <f t="shared" ca="1" si="57"/>
        <v/>
      </c>
      <c r="F2912" s="4" t="s">
        <v>8</v>
      </c>
      <c r="G2912" s="2">
        <f>IF(ISNUMBER(SEARCH(Лист2!$B$4,F:F)),1,0)</f>
        <v>0</v>
      </c>
      <c r="H2912" s="3">
        <f ca="1">IF(AND(I2912&lt;&gt;I2911,ISNUMBER(SEARCH(Лист2!$B$5,I:I)),G2912=1),MAX($H$3:OFFSET(H2912,-1,0))+1,0)</f>
        <v>0</v>
      </c>
      <c r="I2912" s="3" t="s">
        <v>254</v>
      </c>
      <c r="K2912" s="2">
        <f>IF(ISNUMBER(SEARCH(Лист2!$B$4,F:F)),1,0)</f>
        <v>0</v>
      </c>
      <c r="L2912" s="14">
        <f>IF(ISNUMBER(SEARCH(Лист2!$B$5,I:I)),1,0)+K2912</f>
        <v>0</v>
      </c>
      <c r="M2912" s="3">
        <f ca="1">IF(AND(N2912&lt;&gt;N2911,ISNUMBER(SEARCH(Лист2!$B$6,N:N)),L2912=2),MAX($M$3:OFFSET(M2912,-1,0))+1,0)</f>
        <v>0</v>
      </c>
      <c r="N2912" s="3" t="s">
        <v>1932</v>
      </c>
    </row>
    <row r="2913" spans="1:14" x14ac:dyDescent="0.25">
      <c r="A2913" s="1" t="s">
        <v>11738</v>
      </c>
      <c r="B2913" s="3" t="s">
        <v>6537</v>
      </c>
      <c r="C2913" s="2">
        <f ca="1">IF(ISNUMBER(SEARCH(Лист2!$B$4,D:D)),MAX($C$3:OFFSET(C2913,-1,0))+1,0)</f>
        <v>0</v>
      </c>
      <c r="E2913" s="9" t="str">
        <f t="shared" ca="1" si="57"/>
        <v/>
      </c>
      <c r="F2913" s="4" t="s">
        <v>8</v>
      </c>
      <c r="G2913" s="2">
        <f>IF(ISNUMBER(SEARCH(Лист2!$B$4,F:F)),1,0)</f>
        <v>0</v>
      </c>
      <c r="H2913" s="3">
        <f ca="1">IF(AND(I2913&lt;&gt;I2912,ISNUMBER(SEARCH(Лист2!$B$5,I:I)),G2913=1),MAX($H$3:OFFSET(H2913,-1,0))+1,0)</f>
        <v>0</v>
      </c>
      <c r="I2913" s="3" t="s">
        <v>254</v>
      </c>
      <c r="K2913" s="2">
        <f>IF(ISNUMBER(SEARCH(Лист2!$B$4,F:F)),1,0)</f>
        <v>0</v>
      </c>
      <c r="L2913" s="14">
        <f>IF(ISNUMBER(SEARCH(Лист2!$B$5,I:I)),1,0)+K2913</f>
        <v>0</v>
      </c>
      <c r="M2913" s="3">
        <f ca="1">IF(AND(N2913&lt;&gt;N2912,ISNUMBER(SEARCH(Лист2!$B$6,N:N)),L2913=2),MAX($M$3:OFFSET(M2913,-1,0))+1,0)</f>
        <v>0</v>
      </c>
      <c r="N2913" s="3" t="s">
        <v>1933</v>
      </c>
    </row>
    <row r="2914" spans="1:14" x14ac:dyDescent="0.25">
      <c r="A2914" s="1" t="s">
        <v>11739</v>
      </c>
      <c r="B2914" s="3" t="s">
        <v>6538</v>
      </c>
      <c r="C2914" s="2">
        <f ca="1">IF(ISNUMBER(SEARCH(Лист2!$B$4,D:D)),MAX($C$3:OFFSET(C2914,-1,0))+1,0)</f>
        <v>0</v>
      </c>
      <c r="E2914" s="9" t="str">
        <f t="shared" ca="1" si="57"/>
        <v/>
      </c>
      <c r="F2914" s="4" t="s">
        <v>8</v>
      </c>
      <c r="G2914" s="2">
        <f>IF(ISNUMBER(SEARCH(Лист2!$B$4,F:F)),1,0)</f>
        <v>0</v>
      </c>
      <c r="H2914" s="3">
        <f ca="1">IF(AND(I2914&lt;&gt;I2913,ISNUMBER(SEARCH(Лист2!$B$5,I:I)),G2914=1),MAX($H$3:OFFSET(H2914,-1,0))+1,0)</f>
        <v>0</v>
      </c>
      <c r="I2914" s="3" t="s">
        <v>254</v>
      </c>
      <c r="K2914" s="2">
        <f>IF(ISNUMBER(SEARCH(Лист2!$B$4,F:F)),1,0)</f>
        <v>0</v>
      </c>
      <c r="L2914" s="14">
        <f>IF(ISNUMBER(SEARCH(Лист2!$B$5,I:I)),1,0)+K2914</f>
        <v>0</v>
      </c>
      <c r="M2914" s="3">
        <f ca="1">IF(AND(N2914&lt;&gt;N2913,ISNUMBER(SEARCH(Лист2!$B$6,N:N)),L2914=2),MAX($M$3:OFFSET(M2914,-1,0))+1,0)</f>
        <v>0</v>
      </c>
      <c r="N2914" s="3" t="s">
        <v>602</v>
      </c>
    </row>
    <row r="2915" spans="1:14" x14ac:dyDescent="0.25">
      <c r="A2915" s="1" t="s">
        <v>11740</v>
      </c>
      <c r="B2915" s="3" t="s">
        <v>6539</v>
      </c>
      <c r="C2915" s="2">
        <f ca="1">IF(ISNUMBER(SEARCH(Лист2!$B$4,D:D)),MAX($C$3:OFFSET(C2915,-1,0))+1,0)</f>
        <v>0</v>
      </c>
      <c r="E2915" s="9" t="str">
        <f t="shared" ca="1" si="57"/>
        <v/>
      </c>
      <c r="F2915" s="4" t="s">
        <v>8</v>
      </c>
      <c r="G2915" s="2">
        <f>IF(ISNUMBER(SEARCH(Лист2!$B$4,F:F)),1,0)</f>
        <v>0</v>
      </c>
      <c r="H2915" s="3">
        <f ca="1">IF(AND(I2915&lt;&gt;I2914,ISNUMBER(SEARCH(Лист2!$B$5,I:I)),G2915=1),MAX($H$3:OFFSET(H2915,-1,0))+1,0)</f>
        <v>0</v>
      </c>
      <c r="I2915" s="3" t="s">
        <v>254</v>
      </c>
      <c r="K2915" s="2">
        <f>IF(ISNUMBER(SEARCH(Лист2!$B$4,F:F)),1,0)</f>
        <v>0</v>
      </c>
      <c r="L2915" s="14">
        <f>IF(ISNUMBER(SEARCH(Лист2!$B$5,I:I)),1,0)+K2915</f>
        <v>0</v>
      </c>
      <c r="M2915" s="3">
        <f ca="1">IF(AND(N2915&lt;&gt;N2914,ISNUMBER(SEARCH(Лист2!$B$6,N:N)),L2915=2),MAX($M$3:OFFSET(M2915,-1,0))+1,0)</f>
        <v>0</v>
      </c>
      <c r="N2915" s="3" t="s">
        <v>1934</v>
      </c>
    </row>
    <row r="2916" spans="1:14" x14ac:dyDescent="0.25">
      <c r="A2916" s="1" t="s">
        <v>11741</v>
      </c>
      <c r="B2916" s="3" t="s">
        <v>6540</v>
      </c>
      <c r="C2916" s="2">
        <f ca="1">IF(ISNUMBER(SEARCH(Лист2!$B$4,D:D)),MAX($C$3:OFFSET(C2916,-1,0))+1,0)</f>
        <v>0</v>
      </c>
      <c r="E2916" s="9" t="str">
        <f t="shared" ca="1" si="57"/>
        <v/>
      </c>
      <c r="F2916" s="4" t="s">
        <v>8</v>
      </c>
      <c r="G2916" s="2">
        <f>IF(ISNUMBER(SEARCH(Лист2!$B$4,F:F)),1,0)</f>
        <v>0</v>
      </c>
      <c r="H2916" s="3">
        <f ca="1">IF(AND(I2916&lt;&gt;I2915,ISNUMBER(SEARCH(Лист2!$B$5,I:I)),G2916=1),MAX($H$3:OFFSET(H2916,-1,0))+1,0)</f>
        <v>0</v>
      </c>
      <c r="I2916" s="3" t="s">
        <v>254</v>
      </c>
      <c r="K2916" s="2">
        <f>IF(ISNUMBER(SEARCH(Лист2!$B$4,F:F)),1,0)</f>
        <v>0</v>
      </c>
      <c r="L2916" s="14">
        <f>IF(ISNUMBER(SEARCH(Лист2!$B$5,I:I)),1,0)+K2916</f>
        <v>0</v>
      </c>
      <c r="M2916" s="3">
        <f ca="1">IF(AND(N2916&lt;&gt;N2915,ISNUMBER(SEARCH(Лист2!$B$6,N:N)),L2916=2),MAX($M$3:OFFSET(M2916,-1,0))+1,0)</f>
        <v>0</v>
      </c>
      <c r="N2916" s="3" t="s">
        <v>1935</v>
      </c>
    </row>
    <row r="2917" spans="1:14" x14ac:dyDescent="0.25">
      <c r="A2917" s="1" t="s">
        <v>11742</v>
      </c>
      <c r="B2917" s="3" t="s">
        <v>6541</v>
      </c>
      <c r="C2917" s="2">
        <f ca="1">IF(ISNUMBER(SEARCH(Лист2!$B$4,D:D)),MAX($C$3:OFFSET(C2917,-1,0))+1,0)</f>
        <v>0</v>
      </c>
      <c r="E2917" s="9" t="str">
        <f t="shared" ca="1" si="57"/>
        <v/>
      </c>
      <c r="F2917" s="4" t="s">
        <v>8</v>
      </c>
      <c r="G2917" s="2">
        <f>IF(ISNUMBER(SEARCH(Лист2!$B$4,F:F)),1,0)</f>
        <v>0</v>
      </c>
      <c r="H2917" s="3">
        <f ca="1">IF(AND(I2917&lt;&gt;I2916,ISNUMBER(SEARCH(Лист2!$B$5,I:I)),G2917=1),MAX($H$3:OFFSET(H2917,-1,0))+1,0)</f>
        <v>0</v>
      </c>
      <c r="I2917" s="3" t="s">
        <v>255</v>
      </c>
      <c r="K2917" s="2">
        <f>IF(ISNUMBER(SEARCH(Лист2!$B$4,F:F)),1,0)</f>
        <v>0</v>
      </c>
      <c r="L2917" s="14">
        <f>IF(ISNUMBER(SEARCH(Лист2!$B$5,I:I)),1,0)+K2917</f>
        <v>0</v>
      </c>
      <c r="M2917" s="3">
        <f ca="1">IF(AND(N2917&lt;&gt;N2916,ISNUMBER(SEARCH(Лист2!$B$6,N:N)),L2917=2),MAX($M$3:OFFSET(M2917,-1,0))+1,0)</f>
        <v>0</v>
      </c>
      <c r="N2917" s="3" t="s">
        <v>1936</v>
      </c>
    </row>
    <row r="2918" spans="1:14" x14ac:dyDescent="0.25">
      <c r="A2918" s="1" t="s">
        <v>11743</v>
      </c>
      <c r="B2918" s="3" t="s">
        <v>6542</v>
      </c>
      <c r="C2918" s="2">
        <f ca="1">IF(ISNUMBER(SEARCH(Лист2!$B$4,D:D)),MAX($C$3:OFFSET(C2918,-1,0))+1,0)</f>
        <v>0</v>
      </c>
      <c r="E2918" s="9" t="str">
        <f t="shared" ca="1" si="57"/>
        <v/>
      </c>
      <c r="F2918" s="4" t="s">
        <v>8</v>
      </c>
      <c r="G2918" s="2">
        <f>IF(ISNUMBER(SEARCH(Лист2!$B$4,F:F)),1,0)</f>
        <v>0</v>
      </c>
      <c r="H2918" s="3">
        <f ca="1">IF(AND(I2918&lt;&gt;I2917,ISNUMBER(SEARCH(Лист2!$B$5,I:I)),G2918=1),MAX($H$3:OFFSET(H2918,-1,0))+1,0)</f>
        <v>0</v>
      </c>
      <c r="I2918" s="3" t="s">
        <v>255</v>
      </c>
      <c r="K2918" s="2">
        <f>IF(ISNUMBER(SEARCH(Лист2!$B$4,F:F)),1,0)</f>
        <v>0</v>
      </c>
      <c r="L2918" s="14">
        <f>IF(ISNUMBER(SEARCH(Лист2!$B$5,I:I)),1,0)+K2918</f>
        <v>0</v>
      </c>
      <c r="M2918" s="3">
        <f ca="1">IF(AND(N2918&lt;&gt;N2917,ISNUMBER(SEARCH(Лист2!$B$6,N:N)),L2918=2),MAX($M$3:OFFSET(M2918,-1,0))+1,0)</f>
        <v>0</v>
      </c>
      <c r="N2918" s="3" t="s">
        <v>1937</v>
      </c>
    </row>
    <row r="2919" spans="1:14" x14ac:dyDescent="0.25">
      <c r="A2919" s="1" t="s">
        <v>11744</v>
      </c>
      <c r="B2919" s="3" t="s">
        <v>6543</v>
      </c>
      <c r="C2919" s="2">
        <f ca="1">IF(ISNUMBER(SEARCH(Лист2!$B$4,D:D)),MAX($C$3:OFFSET(C2919,-1,0))+1,0)</f>
        <v>0</v>
      </c>
      <c r="E2919" s="9" t="str">
        <f t="shared" ca="1" si="57"/>
        <v/>
      </c>
      <c r="F2919" s="4" t="s">
        <v>8</v>
      </c>
      <c r="G2919" s="2">
        <f>IF(ISNUMBER(SEARCH(Лист2!$B$4,F:F)),1,0)</f>
        <v>0</v>
      </c>
      <c r="H2919" s="3">
        <f ca="1">IF(AND(I2919&lt;&gt;I2918,ISNUMBER(SEARCH(Лист2!$B$5,I:I)),G2919=1),MAX($H$3:OFFSET(H2919,-1,0))+1,0)</f>
        <v>0</v>
      </c>
      <c r="I2919" s="3" t="s">
        <v>255</v>
      </c>
      <c r="K2919" s="2">
        <f>IF(ISNUMBER(SEARCH(Лист2!$B$4,F:F)),1,0)</f>
        <v>0</v>
      </c>
      <c r="L2919" s="14">
        <f>IF(ISNUMBER(SEARCH(Лист2!$B$5,I:I)),1,0)+K2919</f>
        <v>0</v>
      </c>
      <c r="M2919" s="3">
        <f ca="1">IF(AND(N2919&lt;&gt;N2918,ISNUMBER(SEARCH(Лист2!$B$6,N:N)),L2919=2),MAX($M$3:OFFSET(M2919,-1,0))+1,0)</f>
        <v>0</v>
      </c>
      <c r="N2919" s="3" t="s">
        <v>1938</v>
      </c>
    </row>
    <row r="2920" spans="1:14" x14ac:dyDescent="0.25">
      <c r="A2920" s="1" t="s">
        <v>11745</v>
      </c>
      <c r="B2920" s="3" t="s">
        <v>6544</v>
      </c>
      <c r="C2920" s="2">
        <f ca="1">IF(ISNUMBER(SEARCH(Лист2!$B$4,D:D)),MAX($C$3:OFFSET(C2920,-1,0))+1,0)</f>
        <v>0</v>
      </c>
      <c r="E2920" s="9" t="str">
        <f t="shared" ca="1" si="57"/>
        <v/>
      </c>
      <c r="F2920" s="4" t="s">
        <v>8</v>
      </c>
      <c r="G2920" s="2">
        <f>IF(ISNUMBER(SEARCH(Лист2!$B$4,F:F)),1,0)</f>
        <v>0</v>
      </c>
      <c r="H2920" s="3">
        <f ca="1">IF(AND(I2920&lt;&gt;I2919,ISNUMBER(SEARCH(Лист2!$B$5,I:I)),G2920=1),MAX($H$3:OFFSET(H2920,-1,0))+1,0)</f>
        <v>0</v>
      </c>
      <c r="I2920" s="3" t="s">
        <v>255</v>
      </c>
      <c r="K2920" s="2">
        <f>IF(ISNUMBER(SEARCH(Лист2!$B$4,F:F)),1,0)</f>
        <v>0</v>
      </c>
      <c r="L2920" s="14">
        <f>IF(ISNUMBER(SEARCH(Лист2!$B$5,I:I)),1,0)+K2920</f>
        <v>0</v>
      </c>
      <c r="M2920" s="3">
        <f ca="1">IF(AND(N2920&lt;&gt;N2919,ISNUMBER(SEARCH(Лист2!$B$6,N:N)),L2920=2),MAX($M$3:OFFSET(M2920,-1,0))+1,0)</f>
        <v>0</v>
      </c>
      <c r="N2920" s="3" t="s">
        <v>1939</v>
      </c>
    </row>
    <row r="2921" spans="1:14" x14ac:dyDescent="0.25">
      <c r="A2921" s="1" t="s">
        <v>11746</v>
      </c>
      <c r="B2921" s="3" t="s">
        <v>6545</v>
      </c>
      <c r="C2921" s="2">
        <f ca="1">IF(ISNUMBER(SEARCH(Лист2!$B$4,D:D)),MAX($C$3:OFFSET(C2921,-1,0))+1,0)</f>
        <v>0</v>
      </c>
      <c r="E2921" s="9" t="str">
        <f t="shared" ca="1" si="57"/>
        <v/>
      </c>
      <c r="F2921" s="4" t="s">
        <v>8</v>
      </c>
      <c r="G2921" s="2">
        <f>IF(ISNUMBER(SEARCH(Лист2!$B$4,F:F)),1,0)</f>
        <v>0</v>
      </c>
      <c r="H2921" s="3">
        <f ca="1">IF(AND(I2921&lt;&gt;I2920,ISNUMBER(SEARCH(Лист2!$B$5,I:I)),G2921=1),MAX($H$3:OFFSET(H2921,-1,0))+1,0)</f>
        <v>0</v>
      </c>
      <c r="I2921" s="3" t="s">
        <v>255</v>
      </c>
      <c r="K2921" s="2">
        <f>IF(ISNUMBER(SEARCH(Лист2!$B$4,F:F)),1,0)</f>
        <v>0</v>
      </c>
      <c r="L2921" s="14">
        <f>IF(ISNUMBER(SEARCH(Лист2!$B$5,I:I)),1,0)+K2921</f>
        <v>0</v>
      </c>
      <c r="M2921" s="3">
        <f ca="1">IF(AND(N2921&lt;&gt;N2920,ISNUMBER(SEARCH(Лист2!$B$6,N:N)),L2921=2),MAX($M$3:OFFSET(M2921,-1,0))+1,0)</f>
        <v>0</v>
      </c>
      <c r="N2921" s="3" t="s">
        <v>602</v>
      </c>
    </row>
    <row r="2922" spans="1:14" x14ac:dyDescent="0.25">
      <c r="A2922" s="1" t="s">
        <v>11747</v>
      </c>
      <c r="B2922" s="3" t="s">
        <v>6546</v>
      </c>
      <c r="C2922" s="2">
        <f ca="1">IF(ISNUMBER(SEARCH(Лист2!$B$4,D:D)),MAX($C$3:OFFSET(C2922,-1,0))+1,0)</f>
        <v>0</v>
      </c>
      <c r="E2922" s="9" t="str">
        <f t="shared" ca="1" si="57"/>
        <v/>
      </c>
      <c r="F2922" s="4" t="s">
        <v>8</v>
      </c>
      <c r="G2922" s="2">
        <f>IF(ISNUMBER(SEARCH(Лист2!$B$4,F:F)),1,0)</f>
        <v>0</v>
      </c>
      <c r="H2922" s="3">
        <f ca="1">IF(AND(I2922&lt;&gt;I2921,ISNUMBER(SEARCH(Лист2!$B$5,I:I)),G2922=1),MAX($H$3:OFFSET(H2922,-1,0))+1,0)</f>
        <v>0</v>
      </c>
      <c r="I2922" s="3" t="s">
        <v>255</v>
      </c>
      <c r="K2922" s="2">
        <f>IF(ISNUMBER(SEARCH(Лист2!$B$4,F:F)),1,0)</f>
        <v>0</v>
      </c>
      <c r="L2922" s="14">
        <f>IF(ISNUMBER(SEARCH(Лист2!$B$5,I:I)),1,0)+K2922</f>
        <v>0</v>
      </c>
      <c r="M2922" s="3">
        <f ca="1">IF(AND(N2922&lt;&gt;N2921,ISNUMBER(SEARCH(Лист2!$B$6,N:N)),L2922=2),MAX($M$3:OFFSET(M2922,-1,0))+1,0)</f>
        <v>0</v>
      </c>
      <c r="N2922" s="3" t="s">
        <v>1940</v>
      </c>
    </row>
    <row r="2923" spans="1:14" x14ac:dyDescent="0.25">
      <c r="A2923" s="1" t="s">
        <v>11748</v>
      </c>
      <c r="B2923" s="3" t="s">
        <v>6547</v>
      </c>
      <c r="C2923" s="2">
        <f ca="1">IF(ISNUMBER(SEARCH(Лист2!$B$4,D:D)),MAX($C$3:OFFSET(C2923,-1,0))+1,0)</f>
        <v>0</v>
      </c>
      <c r="E2923" s="9" t="str">
        <f t="shared" ca="1" si="57"/>
        <v/>
      </c>
      <c r="F2923" s="4" t="s">
        <v>8</v>
      </c>
      <c r="G2923" s="2">
        <f>IF(ISNUMBER(SEARCH(Лист2!$B$4,F:F)),1,0)</f>
        <v>0</v>
      </c>
      <c r="H2923" s="3">
        <f ca="1">IF(AND(I2923&lt;&gt;I2922,ISNUMBER(SEARCH(Лист2!$B$5,I:I)),G2923=1),MAX($H$3:OFFSET(H2923,-1,0))+1,0)</f>
        <v>0</v>
      </c>
      <c r="I2923" s="3" t="s">
        <v>255</v>
      </c>
      <c r="K2923" s="2">
        <f>IF(ISNUMBER(SEARCH(Лист2!$B$4,F:F)),1,0)</f>
        <v>0</v>
      </c>
      <c r="L2923" s="14">
        <f>IF(ISNUMBER(SEARCH(Лист2!$B$5,I:I)),1,0)+K2923</f>
        <v>0</v>
      </c>
      <c r="M2923" s="3">
        <f ca="1">IF(AND(N2923&lt;&gt;N2922,ISNUMBER(SEARCH(Лист2!$B$6,N:N)),L2923=2),MAX($M$3:OFFSET(M2923,-1,0))+1,0)</f>
        <v>0</v>
      </c>
      <c r="N2923" s="3" t="s">
        <v>1941</v>
      </c>
    </row>
    <row r="2924" spans="1:14" x14ac:dyDescent="0.25">
      <c r="A2924" s="1" t="s">
        <v>11749</v>
      </c>
      <c r="B2924" s="3" t="s">
        <v>6548</v>
      </c>
      <c r="C2924" s="2">
        <f ca="1">IF(ISNUMBER(SEARCH(Лист2!$B$4,D:D)),MAX($C$3:OFFSET(C2924,-1,0))+1,0)</f>
        <v>0</v>
      </c>
      <c r="E2924" s="9" t="str">
        <f t="shared" ca="1" si="57"/>
        <v/>
      </c>
      <c r="F2924" s="4" t="s">
        <v>8</v>
      </c>
      <c r="G2924" s="2">
        <f>IF(ISNUMBER(SEARCH(Лист2!$B$4,F:F)),1,0)</f>
        <v>0</v>
      </c>
      <c r="H2924" s="3">
        <f ca="1">IF(AND(I2924&lt;&gt;I2923,ISNUMBER(SEARCH(Лист2!$B$5,I:I)),G2924=1),MAX($H$3:OFFSET(H2924,-1,0))+1,0)</f>
        <v>0</v>
      </c>
      <c r="I2924" s="3" t="s">
        <v>256</v>
      </c>
      <c r="K2924" s="2">
        <f>IF(ISNUMBER(SEARCH(Лист2!$B$4,F:F)),1,0)</f>
        <v>0</v>
      </c>
      <c r="L2924" s="14">
        <f>IF(ISNUMBER(SEARCH(Лист2!$B$5,I:I)),1,0)+K2924</f>
        <v>1</v>
      </c>
      <c r="M2924" s="3">
        <f ca="1">IF(AND(N2924&lt;&gt;N2923,ISNUMBER(SEARCH(Лист2!$B$6,N:N)),L2924=2),MAX($M$3:OFFSET(M2924,-1,0))+1,0)</f>
        <v>0</v>
      </c>
      <c r="N2924" s="3" t="s">
        <v>1942</v>
      </c>
    </row>
    <row r="2925" spans="1:14" x14ac:dyDescent="0.25">
      <c r="A2925" s="1" t="s">
        <v>11750</v>
      </c>
      <c r="B2925" s="3" t="s">
        <v>6549</v>
      </c>
      <c r="C2925" s="2">
        <f ca="1">IF(ISNUMBER(SEARCH(Лист2!$B$4,D:D)),MAX($C$3:OFFSET(C2925,-1,0))+1,0)</f>
        <v>0</v>
      </c>
      <c r="E2925" s="9" t="str">
        <f t="shared" ca="1" si="57"/>
        <v/>
      </c>
      <c r="F2925" s="4" t="s">
        <v>8</v>
      </c>
      <c r="G2925" s="2">
        <f>IF(ISNUMBER(SEARCH(Лист2!$B$4,F:F)),1,0)</f>
        <v>0</v>
      </c>
      <c r="H2925" s="3">
        <f ca="1">IF(AND(I2925&lt;&gt;I2924,ISNUMBER(SEARCH(Лист2!$B$5,I:I)),G2925=1),MAX($H$3:OFFSET(H2925,-1,0))+1,0)</f>
        <v>0</v>
      </c>
      <c r="I2925" s="3" t="s">
        <v>256</v>
      </c>
      <c r="K2925" s="2">
        <f>IF(ISNUMBER(SEARCH(Лист2!$B$4,F:F)),1,0)</f>
        <v>0</v>
      </c>
      <c r="L2925" s="14">
        <f>IF(ISNUMBER(SEARCH(Лист2!$B$5,I:I)),1,0)+K2925</f>
        <v>1</v>
      </c>
      <c r="M2925" s="3">
        <f ca="1">IF(AND(N2925&lt;&gt;N2924,ISNUMBER(SEARCH(Лист2!$B$6,N:N)),L2925=2),MAX($M$3:OFFSET(M2925,-1,0))+1,0)</f>
        <v>0</v>
      </c>
      <c r="N2925" s="3" t="s">
        <v>1943</v>
      </c>
    </row>
    <row r="2926" spans="1:14" x14ac:dyDescent="0.25">
      <c r="A2926" s="1" t="s">
        <v>11751</v>
      </c>
      <c r="B2926" s="3" t="s">
        <v>6550</v>
      </c>
      <c r="C2926" s="2">
        <f ca="1">IF(ISNUMBER(SEARCH(Лист2!$B$4,D:D)),MAX($C$3:OFFSET(C2926,-1,0))+1,0)</f>
        <v>0</v>
      </c>
      <c r="E2926" s="9" t="str">
        <f t="shared" ca="1" si="57"/>
        <v/>
      </c>
      <c r="F2926" s="4" t="s">
        <v>8</v>
      </c>
      <c r="G2926" s="2">
        <f>IF(ISNUMBER(SEARCH(Лист2!$B$4,F:F)),1,0)</f>
        <v>0</v>
      </c>
      <c r="H2926" s="3">
        <f ca="1">IF(AND(I2926&lt;&gt;I2925,ISNUMBER(SEARCH(Лист2!$B$5,I:I)),G2926=1),MAX($H$3:OFFSET(H2926,-1,0))+1,0)</f>
        <v>0</v>
      </c>
      <c r="I2926" s="3" t="s">
        <v>256</v>
      </c>
      <c r="K2926" s="2">
        <f>IF(ISNUMBER(SEARCH(Лист2!$B$4,F:F)),1,0)</f>
        <v>0</v>
      </c>
      <c r="L2926" s="14">
        <f>IF(ISNUMBER(SEARCH(Лист2!$B$5,I:I)),1,0)+K2926</f>
        <v>1</v>
      </c>
      <c r="M2926" s="3">
        <f ca="1">IF(AND(N2926&lt;&gt;N2925,ISNUMBER(SEARCH(Лист2!$B$6,N:N)),L2926=2),MAX($M$3:OFFSET(M2926,-1,0))+1,0)</f>
        <v>0</v>
      </c>
      <c r="N2926" s="3" t="s">
        <v>1944</v>
      </c>
    </row>
    <row r="2927" spans="1:14" x14ac:dyDescent="0.25">
      <c r="A2927" s="1" t="s">
        <v>11752</v>
      </c>
      <c r="B2927" s="3" t="s">
        <v>6551</v>
      </c>
      <c r="C2927" s="2">
        <f ca="1">IF(ISNUMBER(SEARCH(Лист2!$B$4,D:D)),MAX($C$3:OFFSET(C2927,-1,0))+1,0)</f>
        <v>0</v>
      </c>
      <c r="E2927" s="9" t="str">
        <f t="shared" ca="1" si="57"/>
        <v/>
      </c>
      <c r="F2927" s="4" t="s">
        <v>8</v>
      </c>
      <c r="G2927" s="2">
        <f>IF(ISNUMBER(SEARCH(Лист2!$B$4,F:F)),1,0)</f>
        <v>0</v>
      </c>
      <c r="H2927" s="3">
        <f ca="1">IF(AND(I2927&lt;&gt;I2926,ISNUMBER(SEARCH(Лист2!$B$5,I:I)),G2927=1),MAX($H$3:OFFSET(H2927,-1,0))+1,0)</f>
        <v>0</v>
      </c>
      <c r="I2927" s="3" t="s">
        <v>256</v>
      </c>
      <c r="K2927" s="2">
        <f>IF(ISNUMBER(SEARCH(Лист2!$B$4,F:F)),1,0)</f>
        <v>0</v>
      </c>
      <c r="L2927" s="14">
        <f>IF(ISNUMBER(SEARCH(Лист2!$B$5,I:I)),1,0)+K2927</f>
        <v>1</v>
      </c>
      <c r="M2927" s="3">
        <f ca="1">IF(AND(N2927&lt;&gt;N2926,ISNUMBER(SEARCH(Лист2!$B$6,N:N)),L2927=2),MAX($M$3:OFFSET(M2927,-1,0))+1,0)</f>
        <v>0</v>
      </c>
      <c r="N2927" s="3" t="s">
        <v>1945</v>
      </c>
    </row>
    <row r="2928" spans="1:14" x14ac:dyDescent="0.25">
      <c r="A2928" s="1" t="s">
        <v>11753</v>
      </c>
      <c r="B2928" s="3" t="s">
        <v>6552</v>
      </c>
      <c r="C2928" s="2">
        <f ca="1">IF(ISNUMBER(SEARCH(Лист2!$B$4,D:D)),MAX($C$3:OFFSET(C2928,-1,0))+1,0)</f>
        <v>0</v>
      </c>
      <c r="E2928" s="9" t="str">
        <f t="shared" ca="1" si="57"/>
        <v/>
      </c>
      <c r="F2928" s="4" t="s">
        <v>8</v>
      </c>
      <c r="G2928" s="2">
        <f>IF(ISNUMBER(SEARCH(Лист2!$B$4,F:F)),1,0)</f>
        <v>0</v>
      </c>
      <c r="H2928" s="3">
        <f ca="1">IF(AND(I2928&lt;&gt;I2927,ISNUMBER(SEARCH(Лист2!$B$5,I:I)),G2928=1),MAX($H$3:OFFSET(H2928,-1,0))+1,0)</f>
        <v>0</v>
      </c>
      <c r="I2928" s="3" t="s">
        <v>256</v>
      </c>
      <c r="K2928" s="2">
        <f>IF(ISNUMBER(SEARCH(Лист2!$B$4,F:F)),1,0)</f>
        <v>0</v>
      </c>
      <c r="L2928" s="14">
        <f>IF(ISNUMBER(SEARCH(Лист2!$B$5,I:I)),1,0)+K2928</f>
        <v>1</v>
      </c>
      <c r="M2928" s="3">
        <f ca="1">IF(AND(N2928&lt;&gt;N2927,ISNUMBER(SEARCH(Лист2!$B$6,N:N)),L2928=2),MAX($M$3:OFFSET(M2928,-1,0))+1,0)</f>
        <v>0</v>
      </c>
      <c r="N2928" s="3" t="s">
        <v>602</v>
      </c>
    </row>
    <row r="2929" spans="1:14" x14ac:dyDescent="0.25">
      <c r="A2929" s="1" t="s">
        <v>11754</v>
      </c>
      <c r="B2929" s="3" t="s">
        <v>6553</v>
      </c>
      <c r="C2929" s="2">
        <f ca="1">IF(ISNUMBER(SEARCH(Лист2!$B$4,D:D)),MAX($C$3:OFFSET(C2929,-1,0))+1,0)</f>
        <v>0</v>
      </c>
      <c r="E2929" s="9" t="str">
        <f t="shared" ca="1" si="57"/>
        <v/>
      </c>
      <c r="F2929" s="4" t="s">
        <v>8</v>
      </c>
      <c r="G2929" s="2">
        <f>IF(ISNUMBER(SEARCH(Лист2!$B$4,F:F)),1,0)</f>
        <v>0</v>
      </c>
      <c r="H2929" s="3">
        <f ca="1">IF(AND(I2929&lt;&gt;I2928,ISNUMBER(SEARCH(Лист2!$B$5,I:I)),G2929=1),MAX($H$3:OFFSET(H2929,-1,0))+1,0)</f>
        <v>0</v>
      </c>
      <c r="I2929" s="3" t="s">
        <v>256</v>
      </c>
      <c r="K2929" s="2">
        <f>IF(ISNUMBER(SEARCH(Лист2!$B$4,F:F)),1,0)</f>
        <v>0</v>
      </c>
      <c r="L2929" s="14">
        <f>IF(ISNUMBER(SEARCH(Лист2!$B$5,I:I)),1,0)+K2929</f>
        <v>1</v>
      </c>
      <c r="M2929" s="3">
        <f ca="1">IF(AND(N2929&lt;&gt;N2928,ISNUMBER(SEARCH(Лист2!$B$6,N:N)),L2929=2),MAX($M$3:OFFSET(M2929,-1,0))+1,0)</f>
        <v>0</v>
      </c>
      <c r="N2929" s="3" t="s">
        <v>1946</v>
      </c>
    </row>
    <row r="2930" spans="1:14" x14ac:dyDescent="0.25">
      <c r="A2930" s="1" t="s">
        <v>11755</v>
      </c>
      <c r="B2930" s="3" t="s">
        <v>6554</v>
      </c>
      <c r="C2930" s="2">
        <f ca="1">IF(ISNUMBER(SEARCH(Лист2!$B$4,D:D)),MAX($C$3:OFFSET(C2930,-1,0))+1,0)</f>
        <v>0</v>
      </c>
      <c r="E2930" s="9" t="str">
        <f t="shared" ca="1" si="57"/>
        <v/>
      </c>
      <c r="F2930" s="4" t="s">
        <v>8</v>
      </c>
      <c r="G2930" s="2">
        <f>IF(ISNUMBER(SEARCH(Лист2!$B$4,F:F)),1,0)</f>
        <v>0</v>
      </c>
      <c r="H2930" s="3">
        <f ca="1">IF(AND(I2930&lt;&gt;I2929,ISNUMBER(SEARCH(Лист2!$B$5,I:I)),G2930=1),MAX($H$3:OFFSET(H2930,-1,0))+1,0)</f>
        <v>0</v>
      </c>
      <c r="I2930" s="3" t="s">
        <v>256</v>
      </c>
      <c r="K2930" s="2">
        <f>IF(ISNUMBER(SEARCH(Лист2!$B$4,F:F)),1,0)</f>
        <v>0</v>
      </c>
      <c r="L2930" s="14">
        <f>IF(ISNUMBER(SEARCH(Лист2!$B$5,I:I)),1,0)+K2930</f>
        <v>1</v>
      </c>
      <c r="M2930" s="3">
        <f ca="1">IF(AND(N2930&lt;&gt;N2929,ISNUMBER(SEARCH(Лист2!$B$6,N:N)),L2930=2),MAX($M$3:OFFSET(M2930,-1,0))+1,0)</f>
        <v>0</v>
      </c>
      <c r="N2930" s="3" t="s">
        <v>1947</v>
      </c>
    </row>
    <row r="2931" spans="1:14" x14ac:dyDescent="0.25">
      <c r="A2931" s="1" t="s">
        <v>11756</v>
      </c>
      <c r="B2931" s="3" t="s">
        <v>6555</v>
      </c>
      <c r="C2931" s="2">
        <f ca="1">IF(ISNUMBER(SEARCH(Лист2!$B$4,D:D)),MAX($C$3:OFFSET(C2931,-1,0))+1,0)</f>
        <v>0</v>
      </c>
      <c r="E2931" s="9" t="str">
        <f t="shared" ca="1" si="57"/>
        <v/>
      </c>
      <c r="F2931" s="4" t="s">
        <v>8</v>
      </c>
      <c r="G2931" s="2">
        <f>IF(ISNUMBER(SEARCH(Лист2!$B$4,F:F)),1,0)</f>
        <v>0</v>
      </c>
      <c r="H2931" s="3">
        <f ca="1">IF(AND(I2931&lt;&gt;I2930,ISNUMBER(SEARCH(Лист2!$B$5,I:I)),G2931=1),MAX($H$3:OFFSET(H2931,-1,0))+1,0)</f>
        <v>0</v>
      </c>
      <c r="I2931" s="3" t="s">
        <v>257</v>
      </c>
      <c r="K2931" s="2">
        <f>IF(ISNUMBER(SEARCH(Лист2!$B$4,F:F)),1,0)</f>
        <v>0</v>
      </c>
      <c r="L2931" s="14">
        <f>IF(ISNUMBER(SEARCH(Лист2!$B$5,I:I)),1,0)+K2931</f>
        <v>0</v>
      </c>
      <c r="M2931" s="3">
        <f ca="1">IF(AND(N2931&lt;&gt;N2930,ISNUMBER(SEARCH(Лист2!$B$6,N:N)),L2931=2),MAX($M$3:OFFSET(M2931,-1,0))+1,0)</f>
        <v>0</v>
      </c>
      <c r="N2931" s="3" t="s">
        <v>1948</v>
      </c>
    </row>
    <row r="2932" spans="1:14" x14ac:dyDescent="0.25">
      <c r="A2932" s="1" t="s">
        <v>11757</v>
      </c>
      <c r="B2932" s="3" t="s">
        <v>6556</v>
      </c>
      <c r="C2932" s="2">
        <f ca="1">IF(ISNUMBER(SEARCH(Лист2!$B$4,D:D)),MAX($C$3:OFFSET(C2932,-1,0))+1,0)</f>
        <v>0</v>
      </c>
      <c r="E2932" s="9" t="str">
        <f t="shared" ca="1" si="57"/>
        <v/>
      </c>
      <c r="F2932" s="4" t="s">
        <v>8</v>
      </c>
      <c r="G2932" s="2">
        <f>IF(ISNUMBER(SEARCH(Лист2!$B$4,F:F)),1,0)</f>
        <v>0</v>
      </c>
      <c r="H2932" s="3">
        <f ca="1">IF(AND(I2932&lt;&gt;I2931,ISNUMBER(SEARCH(Лист2!$B$5,I:I)),G2932=1),MAX($H$3:OFFSET(H2932,-1,0))+1,0)</f>
        <v>0</v>
      </c>
      <c r="I2932" s="3" t="s">
        <v>257</v>
      </c>
      <c r="K2932" s="2">
        <f>IF(ISNUMBER(SEARCH(Лист2!$B$4,F:F)),1,0)</f>
        <v>0</v>
      </c>
      <c r="L2932" s="14">
        <f>IF(ISNUMBER(SEARCH(Лист2!$B$5,I:I)),1,0)+K2932</f>
        <v>0</v>
      </c>
      <c r="M2932" s="3">
        <f ca="1">IF(AND(N2932&lt;&gt;N2931,ISNUMBER(SEARCH(Лист2!$B$6,N:N)),L2932=2),MAX($M$3:OFFSET(M2932,-1,0))+1,0)</f>
        <v>0</v>
      </c>
      <c r="N2932" s="3" t="s">
        <v>1949</v>
      </c>
    </row>
    <row r="2933" spans="1:14" x14ac:dyDescent="0.25">
      <c r="A2933" s="1" t="s">
        <v>11758</v>
      </c>
      <c r="B2933" s="3" t="s">
        <v>6557</v>
      </c>
      <c r="C2933" s="2">
        <f ca="1">IF(ISNUMBER(SEARCH(Лист2!$B$4,D:D)),MAX($C$3:OFFSET(C2933,-1,0))+1,0)</f>
        <v>0</v>
      </c>
      <c r="E2933" s="9" t="str">
        <f t="shared" ca="1" si="57"/>
        <v/>
      </c>
      <c r="F2933" s="4" t="s">
        <v>8</v>
      </c>
      <c r="G2933" s="2">
        <f>IF(ISNUMBER(SEARCH(Лист2!$B$4,F:F)),1,0)</f>
        <v>0</v>
      </c>
      <c r="H2933" s="3">
        <f ca="1">IF(AND(I2933&lt;&gt;I2932,ISNUMBER(SEARCH(Лист2!$B$5,I:I)),G2933=1),MAX($H$3:OFFSET(H2933,-1,0))+1,0)</f>
        <v>0</v>
      </c>
      <c r="I2933" s="3" t="s">
        <v>257</v>
      </c>
      <c r="K2933" s="2">
        <f>IF(ISNUMBER(SEARCH(Лист2!$B$4,F:F)),1,0)</f>
        <v>0</v>
      </c>
      <c r="L2933" s="14">
        <f>IF(ISNUMBER(SEARCH(Лист2!$B$5,I:I)),1,0)+K2933</f>
        <v>0</v>
      </c>
      <c r="M2933" s="3">
        <f ca="1">IF(AND(N2933&lt;&gt;N2932,ISNUMBER(SEARCH(Лист2!$B$6,N:N)),L2933=2),MAX($M$3:OFFSET(M2933,-1,0))+1,0)</f>
        <v>0</v>
      </c>
      <c r="N2933" s="3" t="s">
        <v>1950</v>
      </c>
    </row>
    <row r="2934" spans="1:14" x14ac:dyDescent="0.25">
      <c r="A2934" s="1" t="s">
        <v>11759</v>
      </c>
      <c r="B2934" s="3" t="s">
        <v>6558</v>
      </c>
      <c r="C2934" s="2">
        <f ca="1">IF(ISNUMBER(SEARCH(Лист2!$B$4,D:D)),MAX($C$3:OFFSET(C2934,-1,0))+1,0)</f>
        <v>0</v>
      </c>
      <c r="E2934" s="9" t="str">
        <f t="shared" ca="1" si="57"/>
        <v/>
      </c>
      <c r="F2934" s="4" t="s">
        <v>8</v>
      </c>
      <c r="G2934" s="2">
        <f>IF(ISNUMBER(SEARCH(Лист2!$B$4,F:F)),1,0)</f>
        <v>0</v>
      </c>
      <c r="H2934" s="3">
        <f ca="1">IF(AND(I2934&lt;&gt;I2933,ISNUMBER(SEARCH(Лист2!$B$5,I:I)),G2934=1),MAX($H$3:OFFSET(H2934,-1,0))+1,0)</f>
        <v>0</v>
      </c>
      <c r="I2934" s="3" t="s">
        <v>257</v>
      </c>
      <c r="K2934" s="2">
        <f>IF(ISNUMBER(SEARCH(Лист2!$B$4,F:F)),1,0)</f>
        <v>0</v>
      </c>
      <c r="L2934" s="14">
        <f>IF(ISNUMBER(SEARCH(Лист2!$B$5,I:I)),1,0)+K2934</f>
        <v>0</v>
      </c>
      <c r="M2934" s="3">
        <f ca="1">IF(AND(N2934&lt;&gt;N2933,ISNUMBER(SEARCH(Лист2!$B$6,N:N)),L2934=2),MAX($M$3:OFFSET(M2934,-1,0))+1,0)</f>
        <v>0</v>
      </c>
      <c r="N2934" s="3" t="s">
        <v>1951</v>
      </c>
    </row>
    <row r="2935" spans="1:14" x14ac:dyDescent="0.25">
      <c r="A2935" s="1" t="s">
        <v>11760</v>
      </c>
      <c r="B2935" s="3" t="s">
        <v>6559</v>
      </c>
      <c r="C2935" s="2">
        <f ca="1">IF(ISNUMBER(SEARCH(Лист2!$B$4,D:D)),MAX($C$3:OFFSET(C2935,-1,0))+1,0)</f>
        <v>0</v>
      </c>
      <c r="E2935" s="9" t="str">
        <f t="shared" ca="1" si="57"/>
        <v/>
      </c>
      <c r="F2935" s="4" t="s">
        <v>8</v>
      </c>
      <c r="G2935" s="2">
        <f>IF(ISNUMBER(SEARCH(Лист2!$B$4,F:F)),1,0)</f>
        <v>0</v>
      </c>
      <c r="H2935" s="3">
        <f ca="1">IF(AND(I2935&lt;&gt;I2934,ISNUMBER(SEARCH(Лист2!$B$5,I:I)),G2935=1),MAX($H$3:OFFSET(H2935,-1,0))+1,0)</f>
        <v>0</v>
      </c>
      <c r="I2935" s="3" t="s">
        <v>257</v>
      </c>
      <c r="K2935" s="2">
        <f>IF(ISNUMBER(SEARCH(Лист2!$B$4,F:F)),1,0)</f>
        <v>0</v>
      </c>
      <c r="L2935" s="14">
        <f>IF(ISNUMBER(SEARCH(Лист2!$B$5,I:I)),1,0)+K2935</f>
        <v>0</v>
      </c>
      <c r="M2935" s="3">
        <f ca="1">IF(AND(N2935&lt;&gt;N2934,ISNUMBER(SEARCH(Лист2!$B$6,N:N)),L2935=2),MAX($M$3:OFFSET(M2935,-1,0))+1,0)</f>
        <v>0</v>
      </c>
      <c r="N2935" s="3" t="s">
        <v>602</v>
      </c>
    </row>
    <row r="2936" spans="1:14" x14ac:dyDescent="0.25">
      <c r="A2936" s="1" t="s">
        <v>11761</v>
      </c>
      <c r="B2936" s="3" t="s">
        <v>6560</v>
      </c>
      <c r="C2936" s="2">
        <f ca="1">IF(ISNUMBER(SEARCH(Лист2!$B$4,D:D)),MAX($C$3:OFFSET(C2936,-1,0))+1,0)</f>
        <v>0</v>
      </c>
      <c r="E2936" s="9" t="str">
        <f t="shared" ca="1" si="57"/>
        <v/>
      </c>
      <c r="F2936" s="4" t="s">
        <v>8</v>
      </c>
      <c r="G2936" s="2">
        <f>IF(ISNUMBER(SEARCH(Лист2!$B$4,F:F)),1,0)</f>
        <v>0</v>
      </c>
      <c r="H2936" s="3">
        <f ca="1">IF(AND(I2936&lt;&gt;I2935,ISNUMBER(SEARCH(Лист2!$B$5,I:I)),G2936=1),MAX($H$3:OFFSET(H2936,-1,0))+1,0)</f>
        <v>0</v>
      </c>
      <c r="I2936" s="3" t="s">
        <v>257</v>
      </c>
      <c r="K2936" s="2">
        <f>IF(ISNUMBER(SEARCH(Лист2!$B$4,F:F)),1,0)</f>
        <v>0</v>
      </c>
      <c r="L2936" s="14">
        <f>IF(ISNUMBER(SEARCH(Лист2!$B$5,I:I)),1,0)+K2936</f>
        <v>0</v>
      </c>
      <c r="M2936" s="3">
        <f ca="1">IF(AND(N2936&lt;&gt;N2935,ISNUMBER(SEARCH(Лист2!$B$6,N:N)),L2936=2),MAX($M$3:OFFSET(M2936,-1,0))+1,0)</f>
        <v>0</v>
      </c>
      <c r="N2936" s="3" t="s">
        <v>1952</v>
      </c>
    </row>
    <row r="2937" spans="1:14" x14ac:dyDescent="0.25">
      <c r="A2937" s="1" t="s">
        <v>11762</v>
      </c>
      <c r="B2937" s="3" t="s">
        <v>6561</v>
      </c>
      <c r="C2937" s="2">
        <f ca="1">IF(ISNUMBER(SEARCH(Лист2!$B$4,D:D)),MAX($C$3:OFFSET(C2937,-1,0))+1,0)</f>
        <v>0</v>
      </c>
      <c r="E2937" s="9" t="str">
        <f t="shared" ca="1" si="57"/>
        <v/>
      </c>
      <c r="F2937" s="4" t="s">
        <v>8</v>
      </c>
      <c r="G2937" s="2">
        <f>IF(ISNUMBER(SEARCH(Лист2!$B$4,F:F)),1,0)</f>
        <v>0</v>
      </c>
      <c r="H2937" s="3">
        <f ca="1">IF(AND(I2937&lt;&gt;I2936,ISNUMBER(SEARCH(Лист2!$B$5,I:I)),G2937=1),MAX($H$3:OFFSET(H2937,-1,0))+1,0)</f>
        <v>0</v>
      </c>
      <c r="I2937" s="3" t="s">
        <v>257</v>
      </c>
      <c r="K2937" s="2">
        <f>IF(ISNUMBER(SEARCH(Лист2!$B$4,F:F)),1,0)</f>
        <v>0</v>
      </c>
      <c r="L2937" s="14">
        <f>IF(ISNUMBER(SEARCH(Лист2!$B$5,I:I)),1,0)+K2937</f>
        <v>0</v>
      </c>
      <c r="M2937" s="3">
        <f ca="1">IF(AND(N2937&lt;&gt;N2936,ISNUMBER(SEARCH(Лист2!$B$6,N:N)),L2937=2),MAX($M$3:OFFSET(M2937,-1,0))+1,0)</f>
        <v>0</v>
      </c>
      <c r="N2937" s="3" t="s">
        <v>1953</v>
      </c>
    </row>
    <row r="2938" spans="1:14" x14ac:dyDescent="0.25">
      <c r="A2938" s="1" t="s">
        <v>11763</v>
      </c>
      <c r="B2938" s="3" t="s">
        <v>6562</v>
      </c>
      <c r="C2938" s="2">
        <f ca="1">IF(ISNUMBER(SEARCH(Лист2!$B$4,D:D)),MAX($C$3:OFFSET(C2938,-1,0))+1,0)</f>
        <v>0</v>
      </c>
      <c r="E2938" s="9" t="str">
        <f t="shared" ca="1" si="57"/>
        <v/>
      </c>
      <c r="F2938" s="4" t="s">
        <v>8</v>
      </c>
      <c r="G2938" s="2">
        <f>IF(ISNUMBER(SEARCH(Лист2!$B$4,F:F)),1,0)</f>
        <v>0</v>
      </c>
      <c r="H2938" s="3">
        <f ca="1">IF(AND(I2938&lt;&gt;I2937,ISNUMBER(SEARCH(Лист2!$B$5,I:I)),G2938=1),MAX($H$3:OFFSET(H2938,-1,0))+1,0)</f>
        <v>0</v>
      </c>
      <c r="I2938" s="3" t="s">
        <v>258</v>
      </c>
      <c r="K2938" s="2">
        <f>IF(ISNUMBER(SEARCH(Лист2!$B$4,F:F)),1,0)</f>
        <v>0</v>
      </c>
      <c r="L2938" s="14">
        <f>IF(ISNUMBER(SEARCH(Лист2!$B$5,I:I)),1,0)+K2938</f>
        <v>0</v>
      </c>
      <c r="M2938" s="3">
        <f ca="1">IF(AND(N2938&lt;&gt;N2937,ISNUMBER(SEARCH(Лист2!$B$6,N:N)),L2938=2),MAX($M$3:OFFSET(M2938,-1,0))+1,0)</f>
        <v>0</v>
      </c>
      <c r="N2938" s="3" t="s">
        <v>1954</v>
      </c>
    </row>
    <row r="2939" spans="1:14" x14ac:dyDescent="0.25">
      <c r="A2939" s="1" t="s">
        <v>11763</v>
      </c>
      <c r="B2939" s="3" t="s">
        <v>6563</v>
      </c>
      <c r="C2939" s="2">
        <f ca="1">IF(ISNUMBER(SEARCH(Лист2!$B$4,D:D)),MAX($C$3:OFFSET(C2939,-1,0))+1,0)</f>
        <v>0</v>
      </c>
      <c r="E2939" s="9" t="str">
        <f t="shared" ca="1" si="57"/>
        <v/>
      </c>
      <c r="F2939" s="4" t="s">
        <v>8</v>
      </c>
      <c r="G2939" s="2">
        <f>IF(ISNUMBER(SEARCH(Лист2!$B$4,F:F)),1,0)</f>
        <v>0</v>
      </c>
      <c r="H2939" s="3">
        <f ca="1">IF(AND(I2939&lt;&gt;I2938,ISNUMBER(SEARCH(Лист2!$B$5,I:I)),G2939=1),MAX($H$3:OFFSET(H2939,-1,0))+1,0)</f>
        <v>0</v>
      </c>
      <c r="I2939" s="3" t="s">
        <v>258</v>
      </c>
      <c r="K2939" s="2">
        <f>IF(ISNUMBER(SEARCH(Лист2!$B$4,F:F)),1,0)</f>
        <v>0</v>
      </c>
      <c r="L2939" s="14">
        <f>IF(ISNUMBER(SEARCH(Лист2!$B$5,I:I)),1,0)+K2939</f>
        <v>0</v>
      </c>
      <c r="M2939" s="3">
        <f ca="1">IF(AND(N2939&lt;&gt;N2938,ISNUMBER(SEARCH(Лист2!$B$6,N:N)),L2939=2),MAX($M$3:OFFSET(M2939,-1,0))+1,0)</f>
        <v>0</v>
      </c>
      <c r="N2939" s="3" t="s">
        <v>1954</v>
      </c>
    </row>
    <row r="2940" spans="1:14" x14ac:dyDescent="0.25">
      <c r="A2940" s="1" t="s">
        <v>11764</v>
      </c>
      <c r="B2940" s="3" t="s">
        <v>6564</v>
      </c>
      <c r="C2940" s="2">
        <f ca="1">IF(ISNUMBER(SEARCH(Лист2!$B$4,D:D)),MAX($C$3:OFFSET(C2940,-1,0))+1,0)</f>
        <v>0</v>
      </c>
      <c r="E2940" s="9" t="str">
        <f t="shared" ca="1" si="57"/>
        <v/>
      </c>
      <c r="F2940" s="4" t="s">
        <v>8</v>
      </c>
      <c r="G2940" s="2">
        <f>IF(ISNUMBER(SEARCH(Лист2!$B$4,F:F)),1,0)</f>
        <v>0</v>
      </c>
      <c r="H2940" s="3">
        <f ca="1">IF(AND(I2940&lt;&gt;I2939,ISNUMBER(SEARCH(Лист2!$B$5,I:I)),G2940=1),MAX($H$3:OFFSET(H2940,-1,0))+1,0)</f>
        <v>0</v>
      </c>
      <c r="I2940" s="3" t="s">
        <v>258</v>
      </c>
      <c r="K2940" s="2">
        <f>IF(ISNUMBER(SEARCH(Лист2!$B$4,F:F)),1,0)</f>
        <v>0</v>
      </c>
      <c r="L2940" s="14">
        <f>IF(ISNUMBER(SEARCH(Лист2!$B$5,I:I)),1,0)+K2940</f>
        <v>0</v>
      </c>
      <c r="M2940" s="3">
        <f ca="1">IF(AND(N2940&lt;&gt;N2939,ISNUMBER(SEARCH(Лист2!$B$6,N:N)),L2940=2),MAX($M$3:OFFSET(M2940,-1,0))+1,0)</f>
        <v>0</v>
      </c>
      <c r="N2940" s="3" t="s">
        <v>1955</v>
      </c>
    </row>
    <row r="2941" spans="1:14" x14ac:dyDescent="0.25">
      <c r="A2941" s="1" t="s">
        <v>11764</v>
      </c>
      <c r="B2941" s="3" t="s">
        <v>6565</v>
      </c>
      <c r="C2941" s="2">
        <f ca="1">IF(ISNUMBER(SEARCH(Лист2!$B$4,D:D)),MAX($C$3:OFFSET(C2941,-1,0))+1,0)</f>
        <v>0</v>
      </c>
      <c r="E2941" s="9" t="str">
        <f t="shared" ca="1" si="57"/>
        <v/>
      </c>
      <c r="F2941" s="4" t="s">
        <v>8</v>
      </c>
      <c r="G2941" s="2">
        <f>IF(ISNUMBER(SEARCH(Лист2!$B$4,F:F)),1,0)</f>
        <v>0</v>
      </c>
      <c r="H2941" s="3">
        <f ca="1">IF(AND(I2941&lt;&gt;I2940,ISNUMBER(SEARCH(Лист2!$B$5,I:I)),G2941=1),MAX($H$3:OFFSET(H2941,-1,0))+1,0)</f>
        <v>0</v>
      </c>
      <c r="I2941" s="3" t="s">
        <v>258</v>
      </c>
      <c r="K2941" s="2">
        <f>IF(ISNUMBER(SEARCH(Лист2!$B$4,F:F)),1,0)</f>
        <v>0</v>
      </c>
      <c r="L2941" s="14">
        <f>IF(ISNUMBER(SEARCH(Лист2!$B$5,I:I)),1,0)+K2941</f>
        <v>0</v>
      </c>
      <c r="M2941" s="3">
        <f ca="1">IF(AND(N2941&lt;&gt;N2940,ISNUMBER(SEARCH(Лист2!$B$6,N:N)),L2941=2),MAX($M$3:OFFSET(M2941,-1,0))+1,0)</f>
        <v>0</v>
      </c>
      <c r="N2941" s="3" t="s">
        <v>1955</v>
      </c>
    </row>
    <row r="2942" spans="1:14" x14ac:dyDescent="0.25">
      <c r="A2942" s="1" t="s">
        <v>11765</v>
      </c>
      <c r="B2942" s="3" t="s">
        <v>6566</v>
      </c>
      <c r="C2942" s="2">
        <f ca="1">IF(ISNUMBER(SEARCH(Лист2!$B$4,D:D)),MAX($C$3:OFFSET(C2942,-1,0))+1,0)</f>
        <v>0</v>
      </c>
      <c r="E2942" s="9" t="str">
        <f t="shared" ca="1" si="57"/>
        <v/>
      </c>
      <c r="F2942" s="4" t="s">
        <v>8</v>
      </c>
      <c r="G2942" s="2">
        <f>IF(ISNUMBER(SEARCH(Лист2!$B$4,F:F)),1,0)</f>
        <v>0</v>
      </c>
      <c r="H2942" s="3">
        <f ca="1">IF(AND(I2942&lt;&gt;I2941,ISNUMBER(SEARCH(Лист2!$B$5,I:I)),G2942=1),MAX($H$3:OFFSET(H2942,-1,0))+1,0)</f>
        <v>0</v>
      </c>
      <c r="I2942" s="3" t="s">
        <v>258</v>
      </c>
      <c r="K2942" s="2">
        <f>IF(ISNUMBER(SEARCH(Лист2!$B$4,F:F)),1,0)</f>
        <v>0</v>
      </c>
      <c r="L2942" s="14">
        <f>IF(ISNUMBER(SEARCH(Лист2!$B$5,I:I)),1,0)+K2942</f>
        <v>0</v>
      </c>
      <c r="M2942" s="3">
        <f ca="1">IF(AND(N2942&lt;&gt;N2941,ISNUMBER(SEARCH(Лист2!$B$6,N:N)),L2942=2),MAX($M$3:OFFSET(M2942,-1,0))+1,0)</f>
        <v>0</v>
      </c>
      <c r="N2942" s="3" t="s">
        <v>1385</v>
      </c>
    </row>
    <row r="2943" spans="1:14" x14ac:dyDescent="0.25">
      <c r="A2943" s="1" t="s">
        <v>11766</v>
      </c>
      <c r="B2943" s="3" t="s">
        <v>6567</v>
      </c>
      <c r="C2943" s="2">
        <f ca="1">IF(ISNUMBER(SEARCH(Лист2!$B$4,D:D)),MAX($C$3:OFFSET(C2943,-1,0))+1,0)</f>
        <v>0</v>
      </c>
      <c r="E2943" s="9" t="str">
        <f t="shared" ca="1" si="57"/>
        <v/>
      </c>
      <c r="F2943" s="4" t="s">
        <v>8</v>
      </c>
      <c r="G2943" s="2">
        <f>IF(ISNUMBER(SEARCH(Лист2!$B$4,F:F)),1,0)</f>
        <v>0</v>
      </c>
      <c r="H2943" s="3">
        <f ca="1">IF(AND(I2943&lt;&gt;I2942,ISNUMBER(SEARCH(Лист2!$B$5,I:I)),G2943=1),MAX($H$3:OFFSET(H2943,-1,0))+1,0)</f>
        <v>0</v>
      </c>
      <c r="I2943" s="3" t="s">
        <v>258</v>
      </c>
      <c r="K2943" s="2">
        <f>IF(ISNUMBER(SEARCH(Лист2!$B$4,F:F)),1,0)</f>
        <v>0</v>
      </c>
      <c r="L2943" s="14">
        <f>IF(ISNUMBER(SEARCH(Лист2!$B$5,I:I)),1,0)+K2943</f>
        <v>0</v>
      </c>
      <c r="M2943" s="3">
        <f ca="1">IF(AND(N2943&lt;&gt;N2942,ISNUMBER(SEARCH(Лист2!$B$6,N:N)),L2943=2),MAX($M$3:OFFSET(M2943,-1,0))+1,0)</f>
        <v>0</v>
      </c>
      <c r="N2943" s="3" t="s">
        <v>602</v>
      </c>
    </row>
    <row r="2944" spans="1:14" x14ac:dyDescent="0.25">
      <c r="A2944" s="1" t="s">
        <v>11767</v>
      </c>
      <c r="B2944" s="3" t="s">
        <v>6568</v>
      </c>
      <c r="C2944" s="2">
        <f ca="1">IF(ISNUMBER(SEARCH(Лист2!$B$4,D:D)),MAX($C$3:OFFSET(C2944,-1,0))+1,0)</f>
        <v>0</v>
      </c>
      <c r="E2944" s="9" t="str">
        <f t="shared" ca="1" si="57"/>
        <v/>
      </c>
      <c r="F2944" s="4" t="s">
        <v>8</v>
      </c>
      <c r="G2944" s="2">
        <f>IF(ISNUMBER(SEARCH(Лист2!$B$4,F:F)),1,0)</f>
        <v>0</v>
      </c>
      <c r="H2944" s="3">
        <f ca="1">IF(AND(I2944&lt;&gt;I2943,ISNUMBER(SEARCH(Лист2!$B$5,I:I)),G2944=1),MAX($H$3:OFFSET(H2944,-1,0))+1,0)</f>
        <v>0</v>
      </c>
      <c r="I2944" s="3" t="s">
        <v>258</v>
      </c>
      <c r="K2944" s="2">
        <f>IF(ISNUMBER(SEARCH(Лист2!$B$4,F:F)),1,0)</f>
        <v>0</v>
      </c>
      <c r="L2944" s="14">
        <f>IF(ISNUMBER(SEARCH(Лист2!$B$5,I:I)),1,0)+K2944</f>
        <v>0</v>
      </c>
      <c r="M2944" s="3">
        <f ca="1">IF(AND(N2944&lt;&gt;N2943,ISNUMBER(SEARCH(Лист2!$B$6,N:N)),L2944=2),MAX($M$3:OFFSET(M2944,-1,0))+1,0)</f>
        <v>0</v>
      </c>
      <c r="N2944" s="3" t="s">
        <v>1956</v>
      </c>
    </row>
    <row r="2945" spans="1:14" x14ac:dyDescent="0.25">
      <c r="A2945" s="1" t="s">
        <v>11768</v>
      </c>
      <c r="B2945" s="3" t="s">
        <v>6569</v>
      </c>
      <c r="C2945" s="2">
        <f ca="1">IF(ISNUMBER(SEARCH(Лист2!$B$4,D:D)),MAX($C$3:OFFSET(C2945,-1,0))+1,0)</f>
        <v>0</v>
      </c>
      <c r="E2945" s="9" t="str">
        <f t="shared" ca="1" si="57"/>
        <v/>
      </c>
      <c r="F2945" s="4" t="s">
        <v>8</v>
      </c>
      <c r="G2945" s="2">
        <f>IF(ISNUMBER(SEARCH(Лист2!$B$4,F:F)),1,0)</f>
        <v>0</v>
      </c>
      <c r="H2945" s="3">
        <f ca="1">IF(AND(I2945&lt;&gt;I2944,ISNUMBER(SEARCH(Лист2!$B$5,I:I)),G2945=1),MAX($H$3:OFFSET(H2945,-1,0))+1,0)</f>
        <v>0</v>
      </c>
      <c r="I2945" s="3" t="s">
        <v>258</v>
      </c>
      <c r="K2945" s="2">
        <f>IF(ISNUMBER(SEARCH(Лист2!$B$4,F:F)),1,0)</f>
        <v>0</v>
      </c>
      <c r="L2945" s="14">
        <f>IF(ISNUMBER(SEARCH(Лист2!$B$5,I:I)),1,0)+K2945</f>
        <v>0</v>
      </c>
      <c r="M2945" s="3">
        <f ca="1">IF(AND(N2945&lt;&gt;N2944,ISNUMBER(SEARCH(Лист2!$B$6,N:N)),L2945=2),MAX($M$3:OFFSET(M2945,-1,0))+1,0)</f>
        <v>0</v>
      </c>
      <c r="N2945" s="3" t="s">
        <v>1957</v>
      </c>
    </row>
    <row r="2946" spans="1:14" x14ac:dyDescent="0.25">
      <c r="A2946" s="1" t="s">
        <v>11769</v>
      </c>
      <c r="B2946" s="3" t="s">
        <v>6570</v>
      </c>
      <c r="C2946" s="2">
        <f ca="1">IF(ISNUMBER(SEARCH(Лист2!$B$4,D:D)),MAX($C$3:OFFSET(C2946,-1,0))+1,0)</f>
        <v>0</v>
      </c>
      <c r="E2946" s="9" t="str">
        <f t="shared" ca="1" si="57"/>
        <v/>
      </c>
      <c r="F2946" s="4" t="s">
        <v>8</v>
      </c>
      <c r="G2946" s="2">
        <f>IF(ISNUMBER(SEARCH(Лист2!$B$4,F:F)),1,0)</f>
        <v>0</v>
      </c>
      <c r="H2946" s="3">
        <f ca="1">IF(AND(I2946&lt;&gt;I2945,ISNUMBER(SEARCH(Лист2!$B$5,I:I)),G2946=1),MAX($H$3:OFFSET(H2946,-1,0))+1,0)</f>
        <v>0</v>
      </c>
      <c r="I2946" s="3" t="s">
        <v>258</v>
      </c>
      <c r="K2946" s="2">
        <f>IF(ISNUMBER(SEARCH(Лист2!$B$4,F:F)),1,0)</f>
        <v>0</v>
      </c>
      <c r="L2946" s="14">
        <f>IF(ISNUMBER(SEARCH(Лист2!$B$5,I:I)),1,0)+K2946</f>
        <v>0</v>
      </c>
      <c r="M2946" s="3">
        <f ca="1">IF(AND(N2946&lt;&gt;N2945,ISNUMBER(SEARCH(Лист2!$B$6,N:N)),L2946=2),MAX($M$3:OFFSET(M2946,-1,0))+1,0)</f>
        <v>0</v>
      </c>
      <c r="N2946" s="3" t="s">
        <v>1958</v>
      </c>
    </row>
    <row r="2947" spans="1:14" x14ac:dyDescent="0.25">
      <c r="A2947" s="1" t="s">
        <v>11770</v>
      </c>
      <c r="B2947" s="3" t="s">
        <v>6571</v>
      </c>
      <c r="C2947" s="2">
        <f ca="1">IF(ISNUMBER(SEARCH(Лист2!$B$4,D:D)),MAX($C$3:OFFSET(C2947,-1,0))+1,0)</f>
        <v>0</v>
      </c>
      <c r="E2947" s="9" t="str">
        <f t="shared" ca="1" si="57"/>
        <v/>
      </c>
      <c r="F2947" s="4" t="s">
        <v>8</v>
      </c>
      <c r="G2947" s="2">
        <f>IF(ISNUMBER(SEARCH(Лист2!$B$4,F:F)),1,0)</f>
        <v>0</v>
      </c>
      <c r="H2947" s="3">
        <f ca="1">IF(AND(I2947&lt;&gt;I2946,ISNUMBER(SEARCH(Лист2!$B$5,I:I)),G2947=1),MAX($H$3:OFFSET(H2947,-1,0))+1,0)</f>
        <v>0</v>
      </c>
      <c r="I2947" s="3" t="s">
        <v>258</v>
      </c>
      <c r="K2947" s="2">
        <f>IF(ISNUMBER(SEARCH(Лист2!$B$4,F:F)),1,0)</f>
        <v>0</v>
      </c>
      <c r="L2947" s="14">
        <f>IF(ISNUMBER(SEARCH(Лист2!$B$5,I:I)),1,0)+K2947</f>
        <v>0</v>
      </c>
      <c r="M2947" s="3">
        <f ca="1">IF(AND(N2947&lt;&gt;N2946,ISNUMBER(SEARCH(Лист2!$B$6,N:N)),L2947=2),MAX($M$3:OFFSET(M2947,-1,0))+1,0)</f>
        <v>0</v>
      </c>
      <c r="N2947" s="3" t="s">
        <v>1959</v>
      </c>
    </row>
    <row r="2948" spans="1:14" x14ac:dyDescent="0.25">
      <c r="A2948" s="1" t="s">
        <v>11771</v>
      </c>
      <c r="B2948" s="3" t="s">
        <v>6572</v>
      </c>
      <c r="C2948" s="2">
        <f ca="1">IF(ISNUMBER(SEARCH(Лист2!$B$4,D:D)),MAX($C$3:OFFSET(C2948,-1,0))+1,0)</f>
        <v>0</v>
      </c>
      <c r="E2948" s="9" t="str">
        <f t="shared" ca="1" si="57"/>
        <v/>
      </c>
      <c r="F2948" s="4" t="s">
        <v>8</v>
      </c>
      <c r="G2948" s="2">
        <f>IF(ISNUMBER(SEARCH(Лист2!$B$4,F:F)),1,0)</f>
        <v>0</v>
      </c>
      <c r="H2948" s="3">
        <f ca="1">IF(AND(I2948&lt;&gt;I2947,ISNUMBER(SEARCH(Лист2!$B$5,I:I)),G2948=1),MAX($H$3:OFFSET(H2948,-1,0))+1,0)</f>
        <v>0</v>
      </c>
      <c r="I2948" s="3" t="s">
        <v>258</v>
      </c>
      <c r="K2948" s="2">
        <f>IF(ISNUMBER(SEARCH(Лист2!$B$4,F:F)),1,0)</f>
        <v>0</v>
      </c>
      <c r="L2948" s="14">
        <f>IF(ISNUMBER(SEARCH(Лист2!$B$5,I:I)),1,0)+K2948</f>
        <v>0</v>
      </c>
      <c r="M2948" s="3">
        <f ca="1">IF(AND(N2948&lt;&gt;N2947,ISNUMBER(SEARCH(Лист2!$B$6,N:N)),L2948=2),MAX($M$3:OFFSET(M2948,-1,0))+1,0)</f>
        <v>0</v>
      </c>
      <c r="N2948" s="3" t="s">
        <v>1960</v>
      </c>
    </row>
    <row r="2949" spans="1:14" x14ac:dyDescent="0.25">
      <c r="A2949" s="1" t="s">
        <v>11772</v>
      </c>
      <c r="B2949" s="3" t="s">
        <v>6573</v>
      </c>
      <c r="C2949" s="2">
        <f ca="1">IF(ISNUMBER(SEARCH(Лист2!$B$4,D:D)),MAX($C$3:OFFSET(C2949,-1,0))+1,0)</f>
        <v>0</v>
      </c>
      <c r="E2949" s="9" t="str">
        <f t="shared" ref="E2949:E3012" ca="1" si="58">IFERROR(INDEX(D:D,MATCH(ROW(E2949)-ROW($E$3),C:C,0)),"")</f>
        <v/>
      </c>
      <c r="F2949" s="4" t="s">
        <v>8</v>
      </c>
      <c r="G2949" s="2">
        <f>IF(ISNUMBER(SEARCH(Лист2!$B$4,F:F)),1,0)</f>
        <v>0</v>
      </c>
      <c r="H2949" s="3">
        <f ca="1">IF(AND(I2949&lt;&gt;I2948,ISNUMBER(SEARCH(Лист2!$B$5,I:I)),G2949=1),MAX($H$3:OFFSET(H2949,-1,0))+1,0)</f>
        <v>0</v>
      </c>
      <c r="I2949" s="3" t="s">
        <v>259</v>
      </c>
      <c r="K2949" s="2">
        <f>IF(ISNUMBER(SEARCH(Лист2!$B$4,F:F)),1,0)</f>
        <v>0</v>
      </c>
      <c r="L2949" s="14">
        <f>IF(ISNUMBER(SEARCH(Лист2!$B$5,I:I)),1,0)+K2949</f>
        <v>0</v>
      </c>
      <c r="M2949" s="3">
        <f ca="1">IF(AND(N2949&lt;&gt;N2948,ISNUMBER(SEARCH(Лист2!$B$6,N:N)),L2949=2),MAX($M$3:OFFSET(M2949,-1,0))+1,0)</f>
        <v>0</v>
      </c>
      <c r="N2949" s="3" t="s">
        <v>1961</v>
      </c>
    </row>
    <row r="2950" spans="1:14" x14ac:dyDescent="0.25">
      <c r="A2950" s="1" t="s">
        <v>11773</v>
      </c>
      <c r="B2950" s="3" t="s">
        <v>6574</v>
      </c>
      <c r="C2950" s="2">
        <f ca="1">IF(ISNUMBER(SEARCH(Лист2!$B$4,D:D)),MAX($C$3:OFFSET(C2950,-1,0))+1,0)</f>
        <v>0</v>
      </c>
      <c r="E2950" s="9" t="str">
        <f t="shared" ca="1" si="58"/>
        <v/>
      </c>
      <c r="F2950" s="4" t="s">
        <v>8</v>
      </c>
      <c r="G2950" s="2">
        <f>IF(ISNUMBER(SEARCH(Лист2!$B$4,F:F)),1,0)</f>
        <v>0</v>
      </c>
      <c r="H2950" s="3">
        <f ca="1">IF(AND(I2950&lt;&gt;I2949,ISNUMBER(SEARCH(Лист2!$B$5,I:I)),G2950=1),MAX($H$3:OFFSET(H2950,-1,0))+1,0)</f>
        <v>0</v>
      </c>
      <c r="I2950" s="3" t="s">
        <v>259</v>
      </c>
      <c r="K2950" s="2">
        <f>IF(ISNUMBER(SEARCH(Лист2!$B$4,F:F)),1,0)</f>
        <v>0</v>
      </c>
      <c r="L2950" s="14">
        <f>IF(ISNUMBER(SEARCH(Лист2!$B$5,I:I)),1,0)+K2950</f>
        <v>0</v>
      </c>
      <c r="M2950" s="3">
        <f ca="1">IF(AND(N2950&lt;&gt;N2949,ISNUMBER(SEARCH(Лист2!$B$6,N:N)),L2950=2),MAX($M$3:OFFSET(M2950,-1,0))+1,0)</f>
        <v>0</v>
      </c>
      <c r="N2950" s="3" t="s">
        <v>1962</v>
      </c>
    </row>
    <row r="2951" spans="1:14" x14ac:dyDescent="0.25">
      <c r="A2951" s="1" t="s">
        <v>11774</v>
      </c>
      <c r="B2951" s="3" t="s">
        <v>6575</v>
      </c>
      <c r="C2951" s="2">
        <f ca="1">IF(ISNUMBER(SEARCH(Лист2!$B$4,D:D)),MAX($C$3:OFFSET(C2951,-1,0))+1,0)</f>
        <v>0</v>
      </c>
      <c r="E2951" s="9" t="str">
        <f t="shared" ca="1" si="58"/>
        <v/>
      </c>
      <c r="F2951" s="4" t="s">
        <v>8</v>
      </c>
      <c r="G2951" s="2">
        <f>IF(ISNUMBER(SEARCH(Лист2!$B$4,F:F)),1,0)</f>
        <v>0</v>
      </c>
      <c r="H2951" s="3">
        <f ca="1">IF(AND(I2951&lt;&gt;I2950,ISNUMBER(SEARCH(Лист2!$B$5,I:I)),G2951=1),MAX($H$3:OFFSET(H2951,-1,0))+1,0)</f>
        <v>0</v>
      </c>
      <c r="I2951" s="3" t="s">
        <v>259</v>
      </c>
      <c r="K2951" s="2">
        <f>IF(ISNUMBER(SEARCH(Лист2!$B$4,F:F)),1,0)</f>
        <v>0</v>
      </c>
      <c r="L2951" s="14">
        <f>IF(ISNUMBER(SEARCH(Лист2!$B$5,I:I)),1,0)+K2951</f>
        <v>0</v>
      </c>
      <c r="M2951" s="3">
        <f ca="1">IF(AND(N2951&lt;&gt;N2950,ISNUMBER(SEARCH(Лист2!$B$6,N:N)),L2951=2),MAX($M$3:OFFSET(M2951,-1,0))+1,0)</f>
        <v>0</v>
      </c>
      <c r="N2951" s="3" t="s">
        <v>1385</v>
      </c>
    </row>
    <row r="2952" spans="1:14" x14ac:dyDescent="0.25">
      <c r="A2952" s="1" t="s">
        <v>11775</v>
      </c>
      <c r="B2952" s="3" t="s">
        <v>6576</v>
      </c>
      <c r="C2952" s="2">
        <f ca="1">IF(ISNUMBER(SEARCH(Лист2!$B$4,D:D)),MAX($C$3:OFFSET(C2952,-1,0))+1,0)</f>
        <v>0</v>
      </c>
      <c r="E2952" s="9" t="str">
        <f t="shared" ca="1" si="58"/>
        <v/>
      </c>
      <c r="F2952" s="4" t="s">
        <v>8</v>
      </c>
      <c r="G2952" s="2">
        <f>IF(ISNUMBER(SEARCH(Лист2!$B$4,F:F)),1,0)</f>
        <v>0</v>
      </c>
      <c r="H2952" s="3">
        <f ca="1">IF(AND(I2952&lt;&gt;I2951,ISNUMBER(SEARCH(Лист2!$B$5,I:I)),G2952=1),MAX($H$3:OFFSET(H2952,-1,0))+1,0)</f>
        <v>0</v>
      </c>
      <c r="I2952" s="3" t="s">
        <v>259</v>
      </c>
      <c r="K2952" s="2">
        <f>IF(ISNUMBER(SEARCH(Лист2!$B$4,F:F)),1,0)</f>
        <v>0</v>
      </c>
      <c r="L2952" s="14">
        <f>IF(ISNUMBER(SEARCH(Лист2!$B$5,I:I)),1,0)+K2952</f>
        <v>0</v>
      </c>
      <c r="M2952" s="3">
        <f ca="1">IF(AND(N2952&lt;&gt;N2951,ISNUMBER(SEARCH(Лист2!$B$6,N:N)),L2952=2),MAX($M$3:OFFSET(M2952,-1,0))+1,0)</f>
        <v>0</v>
      </c>
      <c r="N2952" s="3" t="s">
        <v>602</v>
      </c>
    </row>
    <row r="2953" spans="1:14" x14ac:dyDescent="0.25">
      <c r="A2953" s="1" t="s">
        <v>11776</v>
      </c>
      <c r="B2953" s="3" t="s">
        <v>6577</v>
      </c>
      <c r="C2953" s="2">
        <f ca="1">IF(ISNUMBER(SEARCH(Лист2!$B$4,D:D)),MAX($C$3:OFFSET(C2953,-1,0))+1,0)</f>
        <v>0</v>
      </c>
      <c r="E2953" s="9" t="str">
        <f t="shared" ca="1" si="58"/>
        <v/>
      </c>
      <c r="F2953" s="4" t="s">
        <v>8</v>
      </c>
      <c r="G2953" s="2">
        <f>IF(ISNUMBER(SEARCH(Лист2!$B$4,F:F)),1,0)</f>
        <v>0</v>
      </c>
      <c r="H2953" s="3">
        <f ca="1">IF(AND(I2953&lt;&gt;I2952,ISNUMBER(SEARCH(Лист2!$B$5,I:I)),G2953=1),MAX($H$3:OFFSET(H2953,-1,0))+1,0)</f>
        <v>0</v>
      </c>
      <c r="I2953" s="3" t="s">
        <v>259</v>
      </c>
      <c r="K2953" s="2">
        <f>IF(ISNUMBER(SEARCH(Лист2!$B$4,F:F)),1,0)</f>
        <v>0</v>
      </c>
      <c r="L2953" s="14">
        <f>IF(ISNUMBER(SEARCH(Лист2!$B$5,I:I)),1,0)+K2953</f>
        <v>0</v>
      </c>
      <c r="M2953" s="3">
        <f ca="1">IF(AND(N2953&lt;&gt;N2952,ISNUMBER(SEARCH(Лист2!$B$6,N:N)),L2953=2),MAX($M$3:OFFSET(M2953,-1,0))+1,0)</f>
        <v>0</v>
      </c>
      <c r="N2953" s="3" t="s">
        <v>1963</v>
      </c>
    </row>
    <row r="2954" spans="1:14" x14ac:dyDescent="0.25">
      <c r="A2954" s="1" t="s">
        <v>11777</v>
      </c>
      <c r="B2954" s="3" t="s">
        <v>6578</v>
      </c>
      <c r="C2954" s="2">
        <f ca="1">IF(ISNUMBER(SEARCH(Лист2!$B$4,D:D)),MAX($C$3:OFFSET(C2954,-1,0))+1,0)</f>
        <v>0</v>
      </c>
      <c r="E2954" s="9" t="str">
        <f t="shared" ca="1" si="58"/>
        <v/>
      </c>
      <c r="F2954" s="4" t="s">
        <v>8</v>
      </c>
      <c r="G2954" s="2">
        <f>IF(ISNUMBER(SEARCH(Лист2!$B$4,F:F)),1,0)</f>
        <v>0</v>
      </c>
      <c r="H2954" s="3">
        <f ca="1">IF(AND(I2954&lt;&gt;I2953,ISNUMBER(SEARCH(Лист2!$B$5,I:I)),G2954=1),MAX($H$3:OFFSET(H2954,-1,0))+1,0)</f>
        <v>0</v>
      </c>
      <c r="I2954" s="3" t="s">
        <v>259</v>
      </c>
      <c r="K2954" s="2">
        <f>IF(ISNUMBER(SEARCH(Лист2!$B$4,F:F)),1,0)</f>
        <v>0</v>
      </c>
      <c r="L2954" s="14">
        <f>IF(ISNUMBER(SEARCH(Лист2!$B$5,I:I)),1,0)+K2954</f>
        <v>0</v>
      </c>
      <c r="M2954" s="3">
        <f ca="1">IF(AND(N2954&lt;&gt;N2953,ISNUMBER(SEARCH(Лист2!$B$6,N:N)),L2954=2),MAX($M$3:OFFSET(M2954,-1,0))+1,0)</f>
        <v>0</v>
      </c>
      <c r="N2954" s="3" t="s">
        <v>1964</v>
      </c>
    </row>
    <row r="2955" spans="1:14" x14ac:dyDescent="0.25">
      <c r="A2955" s="1" t="s">
        <v>11778</v>
      </c>
      <c r="B2955" s="3" t="s">
        <v>6579</v>
      </c>
      <c r="C2955" s="2">
        <f ca="1">IF(ISNUMBER(SEARCH(Лист2!$B$4,D:D)),MAX($C$3:OFFSET(C2955,-1,0))+1,0)</f>
        <v>0</v>
      </c>
      <c r="E2955" s="9" t="str">
        <f t="shared" ca="1" si="58"/>
        <v/>
      </c>
      <c r="F2955" s="4" t="s">
        <v>8</v>
      </c>
      <c r="G2955" s="2">
        <f>IF(ISNUMBER(SEARCH(Лист2!$B$4,F:F)),1,0)</f>
        <v>0</v>
      </c>
      <c r="H2955" s="3">
        <f ca="1">IF(AND(I2955&lt;&gt;I2954,ISNUMBER(SEARCH(Лист2!$B$5,I:I)),G2955=1),MAX($H$3:OFFSET(H2955,-1,0))+1,0)</f>
        <v>0</v>
      </c>
      <c r="I2955" s="3" t="s">
        <v>259</v>
      </c>
      <c r="K2955" s="2">
        <f>IF(ISNUMBER(SEARCH(Лист2!$B$4,F:F)),1,0)</f>
        <v>0</v>
      </c>
      <c r="L2955" s="14">
        <f>IF(ISNUMBER(SEARCH(Лист2!$B$5,I:I)),1,0)+K2955</f>
        <v>0</v>
      </c>
      <c r="M2955" s="3">
        <f ca="1">IF(AND(N2955&lt;&gt;N2954,ISNUMBER(SEARCH(Лист2!$B$6,N:N)),L2955=2),MAX($M$3:OFFSET(M2955,-1,0))+1,0)</f>
        <v>0</v>
      </c>
      <c r="N2955" s="3" t="s">
        <v>1965</v>
      </c>
    </row>
    <row r="2956" spans="1:14" x14ac:dyDescent="0.25">
      <c r="A2956" s="1" t="s">
        <v>11779</v>
      </c>
      <c r="B2956" s="3" t="s">
        <v>6580</v>
      </c>
      <c r="C2956" s="2">
        <f ca="1">IF(ISNUMBER(SEARCH(Лист2!$B$4,D:D)),MAX($C$3:OFFSET(C2956,-1,0))+1,0)</f>
        <v>0</v>
      </c>
      <c r="E2956" s="9" t="str">
        <f t="shared" ca="1" si="58"/>
        <v/>
      </c>
      <c r="F2956" s="4" t="s">
        <v>8</v>
      </c>
      <c r="G2956" s="2">
        <f>IF(ISNUMBER(SEARCH(Лист2!$B$4,F:F)),1,0)</f>
        <v>0</v>
      </c>
      <c r="H2956" s="3">
        <f ca="1">IF(AND(I2956&lt;&gt;I2955,ISNUMBER(SEARCH(Лист2!$B$5,I:I)),G2956=1),MAX($H$3:OFFSET(H2956,-1,0))+1,0)</f>
        <v>0</v>
      </c>
      <c r="I2956" s="3" t="s">
        <v>259</v>
      </c>
      <c r="K2956" s="2">
        <f>IF(ISNUMBER(SEARCH(Лист2!$B$4,F:F)),1,0)</f>
        <v>0</v>
      </c>
      <c r="L2956" s="14">
        <f>IF(ISNUMBER(SEARCH(Лист2!$B$5,I:I)),1,0)+K2956</f>
        <v>0</v>
      </c>
      <c r="M2956" s="3">
        <f ca="1">IF(AND(N2956&lt;&gt;N2955,ISNUMBER(SEARCH(Лист2!$B$6,N:N)),L2956=2),MAX($M$3:OFFSET(M2956,-1,0))+1,0)</f>
        <v>0</v>
      </c>
      <c r="N2956" s="3" t="s">
        <v>1966</v>
      </c>
    </row>
    <row r="2957" spans="1:14" x14ac:dyDescent="0.25">
      <c r="A2957" s="1" t="s">
        <v>11780</v>
      </c>
      <c r="B2957" s="3" t="s">
        <v>6581</v>
      </c>
      <c r="C2957" s="2">
        <f ca="1">IF(ISNUMBER(SEARCH(Лист2!$B$4,D:D)),MAX($C$3:OFFSET(C2957,-1,0))+1,0)</f>
        <v>0</v>
      </c>
      <c r="E2957" s="9" t="str">
        <f t="shared" ca="1" si="58"/>
        <v/>
      </c>
      <c r="F2957" s="4" t="s">
        <v>8</v>
      </c>
      <c r="G2957" s="2">
        <f>IF(ISNUMBER(SEARCH(Лист2!$B$4,F:F)),1,0)</f>
        <v>0</v>
      </c>
      <c r="H2957" s="3">
        <f ca="1">IF(AND(I2957&lt;&gt;I2956,ISNUMBER(SEARCH(Лист2!$B$5,I:I)),G2957=1),MAX($H$3:OFFSET(H2957,-1,0))+1,0)</f>
        <v>0</v>
      </c>
      <c r="I2957" s="3" t="s">
        <v>259</v>
      </c>
      <c r="K2957" s="2">
        <f>IF(ISNUMBER(SEARCH(Лист2!$B$4,F:F)),1,0)</f>
        <v>0</v>
      </c>
      <c r="L2957" s="14">
        <f>IF(ISNUMBER(SEARCH(Лист2!$B$5,I:I)),1,0)+K2957</f>
        <v>0</v>
      </c>
      <c r="M2957" s="3">
        <f ca="1">IF(AND(N2957&lt;&gt;N2956,ISNUMBER(SEARCH(Лист2!$B$6,N:N)),L2957=2),MAX($M$3:OFFSET(M2957,-1,0))+1,0)</f>
        <v>0</v>
      </c>
      <c r="N2957" s="3" t="s">
        <v>1967</v>
      </c>
    </row>
    <row r="2958" spans="1:14" x14ac:dyDescent="0.25">
      <c r="A2958" s="1" t="s">
        <v>11781</v>
      </c>
      <c r="B2958" s="3" t="s">
        <v>6582</v>
      </c>
      <c r="C2958" s="2">
        <f ca="1">IF(ISNUMBER(SEARCH(Лист2!$B$4,D:D)),MAX($C$3:OFFSET(C2958,-1,0))+1,0)</f>
        <v>0</v>
      </c>
      <c r="E2958" s="9" t="str">
        <f t="shared" ca="1" si="58"/>
        <v/>
      </c>
      <c r="F2958" s="4" t="s">
        <v>8</v>
      </c>
      <c r="G2958" s="2">
        <f>IF(ISNUMBER(SEARCH(Лист2!$B$4,F:F)),1,0)</f>
        <v>0</v>
      </c>
      <c r="H2958" s="3">
        <f ca="1">IF(AND(I2958&lt;&gt;I2957,ISNUMBER(SEARCH(Лист2!$B$5,I:I)),G2958=1),MAX($H$3:OFFSET(H2958,-1,0))+1,0)</f>
        <v>0</v>
      </c>
      <c r="I2958" s="3" t="s">
        <v>260</v>
      </c>
      <c r="K2958" s="2">
        <f>IF(ISNUMBER(SEARCH(Лист2!$B$4,F:F)),1,0)</f>
        <v>0</v>
      </c>
      <c r="L2958" s="14">
        <f>IF(ISNUMBER(SEARCH(Лист2!$B$5,I:I)),1,0)+K2958</f>
        <v>0</v>
      </c>
      <c r="M2958" s="3">
        <f ca="1">IF(AND(N2958&lt;&gt;N2957,ISNUMBER(SEARCH(Лист2!$B$6,N:N)),L2958=2),MAX($M$3:OFFSET(M2958,-1,0))+1,0)</f>
        <v>0</v>
      </c>
      <c r="N2958" s="3" t="s">
        <v>1961</v>
      </c>
    </row>
    <row r="2959" spans="1:14" x14ac:dyDescent="0.25">
      <c r="A2959" s="1" t="s">
        <v>11782</v>
      </c>
      <c r="B2959" s="3" t="s">
        <v>6583</v>
      </c>
      <c r="C2959" s="2">
        <f ca="1">IF(ISNUMBER(SEARCH(Лист2!$B$4,D:D)),MAX($C$3:OFFSET(C2959,-1,0))+1,0)</f>
        <v>0</v>
      </c>
      <c r="E2959" s="9" t="str">
        <f t="shared" ca="1" si="58"/>
        <v/>
      </c>
      <c r="F2959" s="4" t="s">
        <v>8</v>
      </c>
      <c r="G2959" s="2">
        <f>IF(ISNUMBER(SEARCH(Лист2!$B$4,F:F)),1,0)</f>
        <v>0</v>
      </c>
      <c r="H2959" s="3">
        <f ca="1">IF(AND(I2959&lt;&gt;I2958,ISNUMBER(SEARCH(Лист2!$B$5,I:I)),G2959=1),MAX($H$3:OFFSET(H2959,-1,0))+1,0)</f>
        <v>0</v>
      </c>
      <c r="I2959" s="3" t="s">
        <v>260</v>
      </c>
      <c r="K2959" s="2">
        <f>IF(ISNUMBER(SEARCH(Лист2!$B$4,F:F)),1,0)</f>
        <v>0</v>
      </c>
      <c r="L2959" s="14">
        <f>IF(ISNUMBER(SEARCH(Лист2!$B$5,I:I)),1,0)+K2959</f>
        <v>0</v>
      </c>
      <c r="M2959" s="3">
        <f ca="1">IF(AND(N2959&lt;&gt;N2958,ISNUMBER(SEARCH(Лист2!$B$6,N:N)),L2959=2),MAX($M$3:OFFSET(M2959,-1,0))+1,0)</f>
        <v>0</v>
      </c>
      <c r="N2959" s="3" t="s">
        <v>1962</v>
      </c>
    </row>
    <row r="2960" spans="1:14" x14ac:dyDescent="0.25">
      <c r="A2960" s="1" t="s">
        <v>11783</v>
      </c>
      <c r="B2960" s="3" t="s">
        <v>6584</v>
      </c>
      <c r="C2960" s="2">
        <f ca="1">IF(ISNUMBER(SEARCH(Лист2!$B$4,D:D)),MAX($C$3:OFFSET(C2960,-1,0))+1,0)</f>
        <v>0</v>
      </c>
      <c r="E2960" s="9" t="str">
        <f t="shared" ca="1" si="58"/>
        <v/>
      </c>
      <c r="F2960" s="4" t="s">
        <v>8</v>
      </c>
      <c r="G2960" s="2">
        <f>IF(ISNUMBER(SEARCH(Лист2!$B$4,F:F)),1,0)</f>
        <v>0</v>
      </c>
      <c r="H2960" s="3">
        <f ca="1">IF(AND(I2960&lt;&gt;I2959,ISNUMBER(SEARCH(Лист2!$B$5,I:I)),G2960=1),MAX($H$3:OFFSET(H2960,-1,0))+1,0)</f>
        <v>0</v>
      </c>
      <c r="I2960" s="3" t="s">
        <v>260</v>
      </c>
      <c r="K2960" s="2">
        <f>IF(ISNUMBER(SEARCH(Лист2!$B$4,F:F)),1,0)</f>
        <v>0</v>
      </c>
      <c r="L2960" s="14">
        <f>IF(ISNUMBER(SEARCH(Лист2!$B$5,I:I)),1,0)+K2960</f>
        <v>0</v>
      </c>
      <c r="M2960" s="3">
        <f ca="1">IF(AND(N2960&lt;&gt;N2959,ISNUMBER(SEARCH(Лист2!$B$6,N:N)),L2960=2),MAX($M$3:OFFSET(M2960,-1,0))+1,0)</f>
        <v>0</v>
      </c>
      <c r="N2960" s="3" t="s">
        <v>1385</v>
      </c>
    </row>
    <row r="2961" spans="1:14" x14ac:dyDescent="0.25">
      <c r="A2961" s="1" t="s">
        <v>11784</v>
      </c>
      <c r="B2961" s="3" t="s">
        <v>6585</v>
      </c>
      <c r="C2961" s="2">
        <f ca="1">IF(ISNUMBER(SEARCH(Лист2!$B$4,D:D)),MAX($C$3:OFFSET(C2961,-1,0))+1,0)</f>
        <v>0</v>
      </c>
      <c r="E2961" s="9" t="str">
        <f t="shared" ca="1" si="58"/>
        <v/>
      </c>
      <c r="F2961" s="4" t="s">
        <v>8</v>
      </c>
      <c r="G2961" s="2">
        <f>IF(ISNUMBER(SEARCH(Лист2!$B$4,F:F)),1,0)</f>
        <v>0</v>
      </c>
      <c r="H2961" s="3">
        <f ca="1">IF(AND(I2961&lt;&gt;I2960,ISNUMBER(SEARCH(Лист2!$B$5,I:I)),G2961=1),MAX($H$3:OFFSET(H2961,-1,0))+1,0)</f>
        <v>0</v>
      </c>
      <c r="I2961" s="3" t="s">
        <v>260</v>
      </c>
      <c r="K2961" s="2">
        <f>IF(ISNUMBER(SEARCH(Лист2!$B$4,F:F)),1,0)</f>
        <v>0</v>
      </c>
      <c r="L2961" s="14">
        <f>IF(ISNUMBER(SEARCH(Лист2!$B$5,I:I)),1,0)+K2961</f>
        <v>0</v>
      </c>
      <c r="M2961" s="3">
        <f ca="1">IF(AND(N2961&lt;&gt;N2960,ISNUMBER(SEARCH(Лист2!$B$6,N:N)),L2961=2),MAX($M$3:OFFSET(M2961,-1,0))+1,0)</f>
        <v>0</v>
      </c>
      <c r="N2961" s="3" t="s">
        <v>602</v>
      </c>
    </row>
    <row r="2962" spans="1:14" x14ac:dyDescent="0.25">
      <c r="A2962" s="1" t="s">
        <v>11785</v>
      </c>
      <c r="B2962" s="3" t="s">
        <v>6586</v>
      </c>
      <c r="C2962" s="2">
        <f ca="1">IF(ISNUMBER(SEARCH(Лист2!$B$4,D:D)),MAX($C$3:OFFSET(C2962,-1,0))+1,0)</f>
        <v>0</v>
      </c>
      <c r="E2962" s="9" t="str">
        <f t="shared" ca="1" si="58"/>
        <v/>
      </c>
      <c r="F2962" s="4" t="s">
        <v>8</v>
      </c>
      <c r="G2962" s="2">
        <f>IF(ISNUMBER(SEARCH(Лист2!$B$4,F:F)),1,0)</f>
        <v>0</v>
      </c>
      <c r="H2962" s="3">
        <f ca="1">IF(AND(I2962&lt;&gt;I2961,ISNUMBER(SEARCH(Лист2!$B$5,I:I)),G2962=1),MAX($H$3:OFFSET(H2962,-1,0))+1,0)</f>
        <v>0</v>
      </c>
      <c r="I2962" s="3" t="s">
        <v>260</v>
      </c>
      <c r="K2962" s="2">
        <f>IF(ISNUMBER(SEARCH(Лист2!$B$4,F:F)),1,0)</f>
        <v>0</v>
      </c>
      <c r="L2962" s="14">
        <f>IF(ISNUMBER(SEARCH(Лист2!$B$5,I:I)),1,0)+K2962</f>
        <v>0</v>
      </c>
      <c r="M2962" s="3">
        <f ca="1">IF(AND(N2962&lt;&gt;N2961,ISNUMBER(SEARCH(Лист2!$B$6,N:N)),L2962=2),MAX($M$3:OFFSET(M2962,-1,0))+1,0)</f>
        <v>0</v>
      </c>
      <c r="N2962" s="3" t="s">
        <v>1963</v>
      </c>
    </row>
    <row r="2963" spans="1:14" x14ac:dyDescent="0.25">
      <c r="A2963" s="1" t="s">
        <v>11786</v>
      </c>
      <c r="B2963" s="3" t="s">
        <v>6587</v>
      </c>
      <c r="C2963" s="2">
        <f ca="1">IF(ISNUMBER(SEARCH(Лист2!$B$4,D:D)),MAX($C$3:OFFSET(C2963,-1,0))+1,0)</f>
        <v>0</v>
      </c>
      <c r="E2963" s="9" t="str">
        <f t="shared" ca="1" si="58"/>
        <v/>
      </c>
      <c r="F2963" s="4" t="s">
        <v>8</v>
      </c>
      <c r="G2963" s="2">
        <f>IF(ISNUMBER(SEARCH(Лист2!$B$4,F:F)),1,0)</f>
        <v>0</v>
      </c>
      <c r="H2963" s="3">
        <f ca="1">IF(AND(I2963&lt;&gt;I2962,ISNUMBER(SEARCH(Лист2!$B$5,I:I)),G2963=1),MAX($H$3:OFFSET(H2963,-1,0))+1,0)</f>
        <v>0</v>
      </c>
      <c r="I2963" s="3" t="s">
        <v>260</v>
      </c>
      <c r="K2963" s="2">
        <f>IF(ISNUMBER(SEARCH(Лист2!$B$4,F:F)),1,0)</f>
        <v>0</v>
      </c>
      <c r="L2963" s="14">
        <f>IF(ISNUMBER(SEARCH(Лист2!$B$5,I:I)),1,0)+K2963</f>
        <v>0</v>
      </c>
      <c r="M2963" s="3">
        <f ca="1">IF(AND(N2963&lt;&gt;N2962,ISNUMBER(SEARCH(Лист2!$B$6,N:N)),L2963=2),MAX($M$3:OFFSET(M2963,-1,0))+1,0)</f>
        <v>0</v>
      </c>
      <c r="N2963" s="3" t="s">
        <v>1964</v>
      </c>
    </row>
    <row r="2964" spans="1:14" x14ac:dyDescent="0.25">
      <c r="A2964" s="1" t="s">
        <v>11787</v>
      </c>
      <c r="B2964" s="3" t="s">
        <v>6588</v>
      </c>
      <c r="C2964" s="2">
        <f ca="1">IF(ISNUMBER(SEARCH(Лист2!$B$4,D:D)),MAX($C$3:OFFSET(C2964,-1,0))+1,0)</f>
        <v>0</v>
      </c>
      <c r="E2964" s="9" t="str">
        <f t="shared" ca="1" si="58"/>
        <v/>
      </c>
      <c r="F2964" s="4" t="s">
        <v>8</v>
      </c>
      <c r="G2964" s="2">
        <f>IF(ISNUMBER(SEARCH(Лист2!$B$4,F:F)),1,0)</f>
        <v>0</v>
      </c>
      <c r="H2964" s="3">
        <f ca="1">IF(AND(I2964&lt;&gt;I2963,ISNUMBER(SEARCH(Лист2!$B$5,I:I)),G2964=1),MAX($H$3:OFFSET(H2964,-1,0))+1,0)</f>
        <v>0</v>
      </c>
      <c r="I2964" s="3" t="s">
        <v>260</v>
      </c>
      <c r="K2964" s="2">
        <f>IF(ISNUMBER(SEARCH(Лист2!$B$4,F:F)),1,0)</f>
        <v>0</v>
      </c>
      <c r="L2964" s="14">
        <f>IF(ISNUMBER(SEARCH(Лист2!$B$5,I:I)),1,0)+K2964</f>
        <v>0</v>
      </c>
      <c r="M2964" s="3">
        <f ca="1">IF(AND(N2964&lt;&gt;N2963,ISNUMBER(SEARCH(Лист2!$B$6,N:N)),L2964=2),MAX($M$3:OFFSET(M2964,-1,0))+1,0)</f>
        <v>0</v>
      </c>
      <c r="N2964" s="3" t="s">
        <v>1965</v>
      </c>
    </row>
    <row r="2965" spans="1:14" x14ac:dyDescent="0.25">
      <c r="A2965" s="1" t="s">
        <v>11788</v>
      </c>
      <c r="B2965" s="3" t="s">
        <v>6589</v>
      </c>
      <c r="C2965" s="2">
        <f ca="1">IF(ISNUMBER(SEARCH(Лист2!$B$4,D:D)),MAX($C$3:OFFSET(C2965,-1,0))+1,0)</f>
        <v>0</v>
      </c>
      <c r="E2965" s="9" t="str">
        <f t="shared" ca="1" si="58"/>
        <v/>
      </c>
      <c r="F2965" s="4" t="s">
        <v>8</v>
      </c>
      <c r="G2965" s="2">
        <f>IF(ISNUMBER(SEARCH(Лист2!$B$4,F:F)),1,0)</f>
        <v>0</v>
      </c>
      <c r="H2965" s="3">
        <f ca="1">IF(AND(I2965&lt;&gt;I2964,ISNUMBER(SEARCH(Лист2!$B$5,I:I)),G2965=1),MAX($H$3:OFFSET(H2965,-1,0))+1,0)</f>
        <v>0</v>
      </c>
      <c r="I2965" s="3" t="s">
        <v>260</v>
      </c>
      <c r="K2965" s="2">
        <f>IF(ISNUMBER(SEARCH(Лист2!$B$4,F:F)),1,0)</f>
        <v>0</v>
      </c>
      <c r="L2965" s="14">
        <f>IF(ISNUMBER(SEARCH(Лист2!$B$5,I:I)),1,0)+K2965</f>
        <v>0</v>
      </c>
      <c r="M2965" s="3">
        <f ca="1">IF(AND(N2965&lt;&gt;N2964,ISNUMBER(SEARCH(Лист2!$B$6,N:N)),L2965=2),MAX($M$3:OFFSET(M2965,-1,0))+1,0)</f>
        <v>0</v>
      </c>
      <c r="N2965" s="3" t="s">
        <v>1968</v>
      </c>
    </row>
    <row r="2966" spans="1:14" x14ac:dyDescent="0.25">
      <c r="A2966" s="1" t="s">
        <v>11789</v>
      </c>
      <c r="B2966" s="3" t="s">
        <v>6590</v>
      </c>
      <c r="C2966" s="2">
        <f ca="1">IF(ISNUMBER(SEARCH(Лист2!$B$4,D:D)),MAX($C$3:OFFSET(C2966,-1,0))+1,0)</f>
        <v>0</v>
      </c>
      <c r="E2966" s="9" t="str">
        <f t="shared" ca="1" si="58"/>
        <v/>
      </c>
      <c r="F2966" s="4" t="s">
        <v>8</v>
      </c>
      <c r="G2966" s="2">
        <f>IF(ISNUMBER(SEARCH(Лист2!$B$4,F:F)),1,0)</f>
        <v>0</v>
      </c>
      <c r="H2966" s="3">
        <f ca="1">IF(AND(I2966&lt;&gt;I2965,ISNUMBER(SEARCH(Лист2!$B$5,I:I)),G2966=1),MAX($H$3:OFFSET(H2966,-1,0))+1,0)</f>
        <v>0</v>
      </c>
      <c r="I2966" s="3" t="s">
        <v>260</v>
      </c>
      <c r="K2966" s="2">
        <f>IF(ISNUMBER(SEARCH(Лист2!$B$4,F:F)),1,0)</f>
        <v>0</v>
      </c>
      <c r="L2966" s="14">
        <f>IF(ISNUMBER(SEARCH(Лист2!$B$5,I:I)),1,0)+K2966</f>
        <v>0</v>
      </c>
      <c r="M2966" s="3">
        <f ca="1">IF(AND(N2966&lt;&gt;N2965,ISNUMBER(SEARCH(Лист2!$B$6,N:N)),L2966=2),MAX($M$3:OFFSET(M2966,-1,0))+1,0)</f>
        <v>0</v>
      </c>
      <c r="N2966" s="3" t="s">
        <v>1969</v>
      </c>
    </row>
    <row r="2967" spans="1:14" x14ac:dyDescent="0.25">
      <c r="A2967" s="1" t="s">
        <v>11790</v>
      </c>
      <c r="B2967" s="3" t="s">
        <v>6591</v>
      </c>
      <c r="C2967" s="2">
        <f ca="1">IF(ISNUMBER(SEARCH(Лист2!$B$4,D:D)),MAX($C$3:OFFSET(C2967,-1,0))+1,0)</f>
        <v>0</v>
      </c>
      <c r="E2967" s="9" t="str">
        <f t="shared" ca="1" si="58"/>
        <v/>
      </c>
      <c r="F2967" s="4" t="s">
        <v>8</v>
      </c>
      <c r="G2967" s="2">
        <f>IF(ISNUMBER(SEARCH(Лист2!$B$4,F:F)),1,0)</f>
        <v>0</v>
      </c>
      <c r="H2967" s="3">
        <f ca="1">IF(AND(I2967&lt;&gt;I2966,ISNUMBER(SEARCH(Лист2!$B$5,I:I)),G2967=1),MAX($H$3:OFFSET(H2967,-1,0))+1,0)</f>
        <v>0</v>
      </c>
      <c r="I2967" s="3" t="s">
        <v>261</v>
      </c>
      <c r="K2967" s="2">
        <f>IF(ISNUMBER(SEARCH(Лист2!$B$4,F:F)),1,0)</f>
        <v>0</v>
      </c>
      <c r="L2967" s="14">
        <f>IF(ISNUMBER(SEARCH(Лист2!$B$5,I:I)),1,0)+K2967</f>
        <v>0</v>
      </c>
      <c r="M2967" s="3">
        <f ca="1">IF(AND(N2967&lt;&gt;N2966,ISNUMBER(SEARCH(Лист2!$B$6,N:N)),L2967=2),MAX($M$3:OFFSET(M2967,-1,0))+1,0)</f>
        <v>0</v>
      </c>
      <c r="N2967" s="3" t="s">
        <v>1970</v>
      </c>
    </row>
    <row r="2968" spans="1:14" x14ac:dyDescent="0.25">
      <c r="A2968" s="1" t="s">
        <v>11791</v>
      </c>
      <c r="B2968" s="3" t="s">
        <v>6592</v>
      </c>
      <c r="C2968" s="2">
        <f ca="1">IF(ISNUMBER(SEARCH(Лист2!$B$4,D:D)),MAX($C$3:OFFSET(C2968,-1,0))+1,0)</f>
        <v>0</v>
      </c>
      <c r="E2968" s="9" t="str">
        <f t="shared" ca="1" si="58"/>
        <v/>
      </c>
      <c r="F2968" s="4" t="s">
        <v>8</v>
      </c>
      <c r="G2968" s="2">
        <f>IF(ISNUMBER(SEARCH(Лист2!$B$4,F:F)),1,0)</f>
        <v>0</v>
      </c>
      <c r="H2968" s="3">
        <f ca="1">IF(AND(I2968&lt;&gt;I2967,ISNUMBER(SEARCH(Лист2!$B$5,I:I)),G2968=1),MAX($H$3:OFFSET(H2968,-1,0))+1,0)</f>
        <v>0</v>
      </c>
      <c r="I2968" s="3" t="s">
        <v>261</v>
      </c>
      <c r="K2968" s="2">
        <f>IF(ISNUMBER(SEARCH(Лист2!$B$4,F:F)),1,0)</f>
        <v>0</v>
      </c>
      <c r="L2968" s="14">
        <f>IF(ISNUMBER(SEARCH(Лист2!$B$5,I:I)),1,0)+K2968</f>
        <v>0</v>
      </c>
      <c r="M2968" s="3">
        <f ca="1">IF(AND(N2968&lt;&gt;N2967,ISNUMBER(SEARCH(Лист2!$B$6,N:N)),L2968=2),MAX($M$3:OFFSET(M2968,-1,0))+1,0)</f>
        <v>0</v>
      </c>
      <c r="N2968" s="3" t="s">
        <v>1971</v>
      </c>
    </row>
    <row r="2969" spans="1:14" x14ac:dyDescent="0.25">
      <c r="A2969" s="1" t="s">
        <v>11792</v>
      </c>
      <c r="B2969" s="3" t="s">
        <v>6593</v>
      </c>
      <c r="C2969" s="2">
        <f ca="1">IF(ISNUMBER(SEARCH(Лист2!$B$4,D:D)),MAX($C$3:OFFSET(C2969,-1,0))+1,0)</f>
        <v>0</v>
      </c>
      <c r="E2969" s="9" t="str">
        <f t="shared" ca="1" si="58"/>
        <v/>
      </c>
      <c r="F2969" s="4" t="s">
        <v>8</v>
      </c>
      <c r="G2969" s="2">
        <f>IF(ISNUMBER(SEARCH(Лист2!$B$4,F:F)),1,0)</f>
        <v>0</v>
      </c>
      <c r="H2969" s="3">
        <f ca="1">IF(AND(I2969&lt;&gt;I2968,ISNUMBER(SEARCH(Лист2!$B$5,I:I)),G2969=1),MAX($H$3:OFFSET(H2969,-1,0))+1,0)</f>
        <v>0</v>
      </c>
      <c r="I2969" s="3" t="s">
        <v>261</v>
      </c>
      <c r="K2969" s="2">
        <f>IF(ISNUMBER(SEARCH(Лист2!$B$4,F:F)),1,0)</f>
        <v>0</v>
      </c>
      <c r="L2969" s="14">
        <f>IF(ISNUMBER(SEARCH(Лист2!$B$5,I:I)),1,0)+K2969</f>
        <v>0</v>
      </c>
      <c r="M2969" s="3">
        <f ca="1">IF(AND(N2969&lt;&gt;N2968,ISNUMBER(SEARCH(Лист2!$B$6,N:N)),L2969=2),MAX($M$3:OFFSET(M2969,-1,0))+1,0)</f>
        <v>0</v>
      </c>
      <c r="N2969" s="3" t="s">
        <v>1385</v>
      </c>
    </row>
    <row r="2970" spans="1:14" x14ac:dyDescent="0.25">
      <c r="A2970" s="1" t="s">
        <v>11793</v>
      </c>
      <c r="B2970" s="3" t="s">
        <v>6594</v>
      </c>
      <c r="C2970" s="2">
        <f ca="1">IF(ISNUMBER(SEARCH(Лист2!$B$4,D:D)),MAX($C$3:OFFSET(C2970,-1,0))+1,0)</f>
        <v>0</v>
      </c>
      <c r="E2970" s="9" t="str">
        <f t="shared" ca="1" si="58"/>
        <v/>
      </c>
      <c r="F2970" s="4" t="s">
        <v>8</v>
      </c>
      <c r="G2970" s="2">
        <f>IF(ISNUMBER(SEARCH(Лист2!$B$4,F:F)),1,0)</f>
        <v>0</v>
      </c>
      <c r="H2970" s="3">
        <f ca="1">IF(AND(I2970&lt;&gt;I2969,ISNUMBER(SEARCH(Лист2!$B$5,I:I)),G2970=1),MAX($H$3:OFFSET(H2970,-1,0))+1,0)</f>
        <v>0</v>
      </c>
      <c r="I2970" s="3" t="s">
        <v>261</v>
      </c>
      <c r="K2970" s="2">
        <f>IF(ISNUMBER(SEARCH(Лист2!$B$4,F:F)),1,0)</f>
        <v>0</v>
      </c>
      <c r="L2970" s="14">
        <f>IF(ISNUMBER(SEARCH(Лист2!$B$5,I:I)),1,0)+K2970</f>
        <v>0</v>
      </c>
      <c r="M2970" s="3">
        <f ca="1">IF(AND(N2970&lt;&gt;N2969,ISNUMBER(SEARCH(Лист2!$B$6,N:N)),L2970=2),MAX($M$3:OFFSET(M2970,-1,0))+1,0)</f>
        <v>0</v>
      </c>
      <c r="N2970" s="3" t="s">
        <v>602</v>
      </c>
    </row>
    <row r="2971" spans="1:14" x14ac:dyDescent="0.25">
      <c r="A2971" s="1" t="s">
        <v>11794</v>
      </c>
      <c r="B2971" s="3" t="s">
        <v>6595</v>
      </c>
      <c r="C2971" s="2">
        <f ca="1">IF(ISNUMBER(SEARCH(Лист2!$B$4,D:D)),MAX($C$3:OFFSET(C2971,-1,0))+1,0)</f>
        <v>0</v>
      </c>
      <c r="E2971" s="9" t="str">
        <f t="shared" ca="1" si="58"/>
        <v/>
      </c>
      <c r="F2971" s="4" t="s">
        <v>8</v>
      </c>
      <c r="G2971" s="2">
        <f>IF(ISNUMBER(SEARCH(Лист2!$B$4,F:F)),1,0)</f>
        <v>0</v>
      </c>
      <c r="H2971" s="3">
        <f ca="1">IF(AND(I2971&lt;&gt;I2970,ISNUMBER(SEARCH(Лист2!$B$5,I:I)),G2971=1),MAX($H$3:OFFSET(H2971,-1,0))+1,0)</f>
        <v>0</v>
      </c>
      <c r="I2971" s="3" t="s">
        <v>261</v>
      </c>
      <c r="K2971" s="2">
        <f>IF(ISNUMBER(SEARCH(Лист2!$B$4,F:F)),1,0)</f>
        <v>0</v>
      </c>
      <c r="L2971" s="14">
        <f>IF(ISNUMBER(SEARCH(Лист2!$B$5,I:I)),1,0)+K2971</f>
        <v>0</v>
      </c>
      <c r="M2971" s="3">
        <f ca="1">IF(AND(N2971&lt;&gt;N2970,ISNUMBER(SEARCH(Лист2!$B$6,N:N)),L2971=2),MAX($M$3:OFFSET(M2971,-1,0))+1,0)</f>
        <v>0</v>
      </c>
      <c r="N2971" s="3" t="s">
        <v>1972</v>
      </c>
    </row>
    <row r="2972" spans="1:14" x14ac:dyDescent="0.25">
      <c r="A2972" s="1" t="s">
        <v>11795</v>
      </c>
      <c r="B2972" s="3" t="s">
        <v>6596</v>
      </c>
      <c r="C2972" s="2">
        <f ca="1">IF(ISNUMBER(SEARCH(Лист2!$B$4,D:D)),MAX($C$3:OFFSET(C2972,-1,0))+1,0)</f>
        <v>0</v>
      </c>
      <c r="E2972" s="9" t="str">
        <f t="shared" ca="1" si="58"/>
        <v/>
      </c>
      <c r="F2972" s="4" t="s">
        <v>8</v>
      </c>
      <c r="G2972" s="2">
        <f>IF(ISNUMBER(SEARCH(Лист2!$B$4,F:F)),1,0)</f>
        <v>0</v>
      </c>
      <c r="H2972" s="3">
        <f ca="1">IF(AND(I2972&lt;&gt;I2971,ISNUMBER(SEARCH(Лист2!$B$5,I:I)),G2972=1),MAX($H$3:OFFSET(H2972,-1,0))+1,0)</f>
        <v>0</v>
      </c>
      <c r="I2972" s="3" t="s">
        <v>261</v>
      </c>
      <c r="K2972" s="2">
        <f>IF(ISNUMBER(SEARCH(Лист2!$B$4,F:F)),1,0)</f>
        <v>0</v>
      </c>
      <c r="L2972" s="14">
        <f>IF(ISNUMBER(SEARCH(Лист2!$B$5,I:I)),1,0)+K2972</f>
        <v>0</v>
      </c>
      <c r="M2972" s="3">
        <f ca="1">IF(AND(N2972&lt;&gt;N2971,ISNUMBER(SEARCH(Лист2!$B$6,N:N)),L2972=2),MAX($M$3:OFFSET(M2972,-1,0))+1,0)</f>
        <v>0</v>
      </c>
      <c r="N2972" s="3" t="s">
        <v>1973</v>
      </c>
    </row>
    <row r="2973" spans="1:14" x14ac:dyDescent="0.25">
      <c r="A2973" s="1" t="s">
        <v>11796</v>
      </c>
      <c r="B2973" s="3" t="s">
        <v>6597</v>
      </c>
      <c r="C2973" s="2">
        <f ca="1">IF(ISNUMBER(SEARCH(Лист2!$B$4,D:D)),MAX($C$3:OFFSET(C2973,-1,0))+1,0)</f>
        <v>0</v>
      </c>
      <c r="E2973" s="9" t="str">
        <f t="shared" ca="1" si="58"/>
        <v/>
      </c>
      <c r="F2973" s="4" t="s">
        <v>8</v>
      </c>
      <c r="G2973" s="2">
        <f>IF(ISNUMBER(SEARCH(Лист2!$B$4,F:F)),1,0)</f>
        <v>0</v>
      </c>
      <c r="H2973" s="3">
        <f ca="1">IF(AND(I2973&lt;&gt;I2972,ISNUMBER(SEARCH(Лист2!$B$5,I:I)),G2973=1),MAX($H$3:OFFSET(H2973,-1,0))+1,0)</f>
        <v>0</v>
      </c>
      <c r="I2973" s="3" t="s">
        <v>261</v>
      </c>
      <c r="K2973" s="2">
        <f>IF(ISNUMBER(SEARCH(Лист2!$B$4,F:F)),1,0)</f>
        <v>0</v>
      </c>
      <c r="L2973" s="14">
        <f>IF(ISNUMBER(SEARCH(Лист2!$B$5,I:I)),1,0)+K2973</f>
        <v>0</v>
      </c>
      <c r="M2973" s="3">
        <f ca="1">IF(AND(N2973&lt;&gt;N2972,ISNUMBER(SEARCH(Лист2!$B$6,N:N)),L2973=2),MAX($M$3:OFFSET(M2973,-1,0))+1,0)</f>
        <v>0</v>
      </c>
      <c r="N2973" s="3" t="s">
        <v>1974</v>
      </c>
    </row>
    <row r="2974" spans="1:14" x14ac:dyDescent="0.25">
      <c r="A2974" s="1" t="s">
        <v>11797</v>
      </c>
      <c r="B2974" s="3" t="s">
        <v>6598</v>
      </c>
      <c r="C2974" s="2">
        <f ca="1">IF(ISNUMBER(SEARCH(Лист2!$B$4,D:D)),MAX($C$3:OFFSET(C2974,-1,0))+1,0)</f>
        <v>0</v>
      </c>
      <c r="E2974" s="9" t="str">
        <f t="shared" ca="1" si="58"/>
        <v/>
      </c>
      <c r="F2974" s="4" t="s">
        <v>8</v>
      </c>
      <c r="G2974" s="2">
        <f>IF(ISNUMBER(SEARCH(Лист2!$B$4,F:F)),1,0)</f>
        <v>0</v>
      </c>
      <c r="H2974" s="3">
        <f ca="1">IF(AND(I2974&lt;&gt;I2973,ISNUMBER(SEARCH(Лист2!$B$5,I:I)),G2974=1),MAX($H$3:OFFSET(H2974,-1,0))+1,0)</f>
        <v>0</v>
      </c>
      <c r="I2974" s="3" t="s">
        <v>261</v>
      </c>
      <c r="K2974" s="2">
        <f>IF(ISNUMBER(SEARCH(Лист2!$B$4,F:F)),1,0)</f>
        <v>0</v>
      </c>
      <c r="L2974" s="14">
        <f>IF(ISNUMBER(SEARCH(Лист2!$B$5,I:I)),1,0)+K2974</f>
        <v>0</v>
      </c>
      <c r="M2974" s="3">
        <f ca="1">IF(AND(N2974&lt;&gt;N2973,ISNUMBER(SEARCH(Лист2!$B$6,N:N)),L2974=2),MAX($M$3:OFFSET(M2974,-1,0))+1,0)</f>
        <v>0</v>
      </c>
      <c r="N2974" s="3" t="s">
        <v>1975</v>
      </c>
    </row>
    <row r="2975" spans="1:14" x14ac:dyDescent="0.25">
      <c r="A2975" s="1" t="s">
        <v>11798</v>
      </c>
      <c r="B2975" s="3" t="s">
        <v>6599</v>
      </c>
      <c r="C2975" s="2">
        <f ca="1">IF(ISNUMBER(SEARCH(Лист2!$B$4,D:D)),MAX($C$3:OFFSET(C2975,-1,0))+1,0)</f>
        <v>0</v>
      </c>
      <c r="E2975" s="9" t="str">
        <f t="shared" ca="1" si="58"/>
        <v/>
      </c>
      <c r="F2975" s="4" t="s">
        <v>8</v>
      </c>
      <c r="G2975" s="2">
        <f>IF(ISNUMBER(SEARCH(Лист2!$B$4,F:F)),1,0)</f>
        <v>0</v>
      </c>
      <c r="H2975" s="3">
        <f ca="1">IF(AND(I2975&lt;&gt;I2974,ISNUMBER(SEARCH(Лист2!$B$5,I:I)),G2975=1),MAX($H$3:OFFSET(H2975,-1,0))+1,0)</f>
        <v>0</v>
      </c>
      <c r="I2975" s="3" t="s">
        <v>261</v>
      </c>
      <c r="K2975" s="2">
        <f>IF(ISNUMBER(SEARCH(Лист2!$B$4,F:F)),1,0)</f>
        <v>0</v>
      </c>
      <c r="L2975" s="14">
        <f>IF(ISNUMBER(SEARCH(Лист2!$B$5,I:I)),1,0)+K2975</f>
        <v>0</v>
      </c>
      <c r="M2975" s="3">
        <f ca="1">IF(AND(N2975&lt;&gt;N2974,ISNUMBER(SEARCH(Лист2!$B$6,N:N)),L2975=2),MAX($M$3:OFFSET(M2975,-1,0))+1,0)</f>
        <v>0</v>
      </c>
      <c r="N2975" s="3" t="s">
        <v>1976</v>
      </c>
    </row>
    <row r="2976" spans="1:14" x14ac:dyDescent="0.25">
      <c r="A2976" s="1" t="s">
        <v>11799</v>
      </c>
      <c r="B2976" s="3" t="s">
        <v>6600</v>
      </c>
      <c r="C2976" s="2">
        <f ca="1">IF(ISNUMBER(SEARCH(Лист2!$B$4,D:D)),MAX($C$3:OFFSET(C2976,-1,0))+1,0)</f>
        <v>0</v>
      </c>
      <c r="E2976" s="9" t="str">
        <f t="shared" ca="1" si="58"/>
        <v/>
      </c>
      <c r="F2976" s="4" t="s">
        <v>8</v>
      </c>
      <c r="G2976" s="2">
        <f>IF(ISNUMBER(SEARCH(Лист2!$B$4,F:F)),1,0)</f>
        <v>0</v>
      </c>
      <c r="H2976" s="3">
        <f ca="1">IF(AND(I2976&lt;&gt;I2975,ISNUMBER(SEARCH(Лист2!$B$5,I:I)),G2976=1),MAX($H$3:OFFSET(H2976,-1,0))+1,0)</f>
        <v>0</v>
      </c>
      <c r="I2976" s="3" t="s">
        <v>261</v>
      </c>
      <c r="K2976" s="2">
        <f>IF(ISNUMBER(SEARCH(Лист2!$B$4,F:F)),1,0)</f>
        <v>0</v>
      </c>
      <c r="L2976" s="14">
        <f>IF(ISNUMBER(SEARCH(Лист2!$B$5,I:I)),1,0)+K2976</f>
        <v>0</v>
      </c>
      <c r="M2976" s="3">
        <f ca="1">IF(AND(N2976&lt;&gt;N2975,ISNUMBER(SEARCH(Лист2!$B$6,N:N)),L2976=2),MAX($M$3:OFFSET(M2976,-1,0))+1,0)</f>
        <v>0</v>
      </c>
      <c r="N2976" s="3" t="s">
        <v>1977</v>
      </c>
    </row>
    <row r="2977" spans="1:14" x14ac:dyDescent="0.25">
      <c r="A2977" s="1" t="s">
        <v>11800</v>
      </c>
      <c r="B2977" s="3" t="s">
        <v>6601</v>
      </c>
      <c r="C2977" s="2">
        <f ca="1">IF(ISNUMBER(SEARCH(Лист2!$B$4,D:D)),MAX($C$3:OFFSET(C2977,-1,0))+1,0)</f>
        <v>0</v>
      </c>
      <c r="E2977" s="9" t="str">
        <f t="shared" ca="1" si="58"/>
        <v/>
      </c>
      <c r="F2977" s="4" t="s">
        <v>8</v>
      </c>
      <c r="G2977" s="2">
        <f>IF(ISNUMBER(SEARCH(Лист2!$B$4,F:F)),1,0)</f>
        <v>0</v>
      </c>
      <c r="H2977" s="3">
        <f ca="1">IF(AND(I2977&lt;&gt;I2976,ISNUMBER(SEARCH(Лист2!$B$5,I:I)),G2977=1),MAX($H$3:OFFSET(H2977,-1,0))+1,0)</f>
        <v>0</v>
      </c>
      <c r="I2977" s="3" t="s">
        <v>262</v>
      </c>
      <c r="K2977" s="2">
        <f>IF(ISNUMBER(SEARCH(Лист2!$B$4,F:F)),1,0)</f>
        <v>0</v>
      </c>
      <c r="L2977" s="14">
        <f>IF(ISNUMBER(SEARCH(Лист2!$B$5,I:I)),1,0)+K2977</f>
        <v>0</v>
      </c>
      <c r="M2977" s="3">
        <f ca="1">IF(AND(N2977&lt;&gt;N2976,ISNUMBER(SEARCH(Лист2!$B$6,N:N)),L2977=2),MAX($M$3:OFFSET(M2977,-1,0))+1,0)</f>
        <v>0</v>
      </c>
      <c r="N2977" s="3" t="s">
        <v>1970</v>
      </c>
    </row>
    <row r="2978" spans="1:14" x14ac:dyDescent="0.25">
      <c r="A2978" s="1" t="s">
        <v>11801</v>
      </c>
      <c r="B2978" s="3" t="s">
        <v>6602</v>
      </c>
      <c r="C2978" s="2">
        <f ca="1">IF(ISNUMBER(SEARCH(Лист2!$B$4,D:D)),MAX($C$3:OFFSET(C2978,-1,0))+1,0)</f>
        <v>0</v>
      </c>
      <c r="E2978" s="9" t="str">
        <f t="shared" ca="1" si="58"/>
        <v/>
      </c>
      <c r="F2978" s="4" t="s">
        <v>8</v>
      </c>
      <c r="G2978" s="2">
        <f>IF(ISNUMBER(SEARCH(Лист2!$B$4,F:F)),1,0)</f>
        <v>0</v>
      </c>
      <c r="H2978" s="3">
        <f ca="1">IF(AND(I2978&lt;&gt;I2977,ISNUMBER(SEARCH(Лист2!$B$5,I:I)),G2978=1),MAX($H$3:OFFSET(H2978,-1,0))+1,0)</f>
        <v>0</v>
      </c>
      <c r="I2978" s="3" t="s">
        <v>262</v>
      </c>
      <c r="K2978" s="2">
        <f>IF(ISNUMBER(SEARCH(Лист2!$B$4,F:F)),1,0)</f>
        <v>0</v>
      </c>
      <c r="L2978" s="14">
        <f>IF(ISNUMBER(SEARCH(Лист2!$B$5,I:I)),1,0)+K2978</f>
        <v>0</v>
      </c>
      <c r="M2978" s="3">
        <f ca="1">IF(AND(N2978&lt;&gt;N2977,ISNUMBER(SEARCH(Лист2!$B$6,N:N)),L2978=2),MAX($M$3:OFFSET(M2978,-1,0))+1,0)</f>
        <v>0</v>
      </c>
      <c r="N2978" s="3" t="s">
        <v>1971</v>
      </c>
    </row>
    <row r="2979" spans="1:14" x14ac:dyDescent="0.25">
      <c r="A2979" s="1" t="s">
        <v>11802</v>
      </c>
      <c r="B2979" s="3" t="s">
        <v>6603</v>
      </c>
      <c r="C2979" s="2">
        <f ca="1">IF(ISNUMBER(SEARCH(Лист2!$B$4,D:D)),MAX($C$3:OFFSET(C2979,-1,0))+1,0)</f>
        <v>0</v>
      </c>
      <c r="E2979" s="9" t="str">
        <f t="shared" ca="1" si="58"/>
        <v/>
      </c>
      <c r="F2979" s="4" t="s">
        <v>8</v>
      </c>
      <c r="G2979" s="2">
        <f>IF(ISNUMBER(SEARCH(Лист2!$B$4,F:F)),1,0)</f>
        <v>0</v>
      </c>
      <c r="H2979" s="3">
        <f ca="1">IF(AND(I2979&lt;&gt;I2978,ISNUMBER(SEARCH(Лист2!$B$5,I:I)),G2979=1),MAX($H$3:OFFSET(H2979,-1,0))+1,0)</f>
        <v>0</v>
      </c>
      <c r="I2979" s="3" t="s">
        <v>262</v>
      </c>
      <c r="K2979" s="2">
        <f>IF(ISNUMBER(SEARCH(Лист2!$B$4,F:F)),1,0)</f>
        <v>0</v>
      </c>
      <c r="L2979" s="14">
        <f>IF(ISNUMBER(SEARCH(Лист2!$B$5,I:I)),1,0)+K2979</f>
        <v>0</v>
      </c>
      <c r="M2979" s="3">
        <f ca="1">IF(AND(N2979&lt;&gt;N2978,ISNUMBER(SEARCH(Лист2!$B$6,N:N)),L2979=2),MAX($M$3:OFFSET(M2979,-1,0))+1,0)</f>
        <v>0</v>
      </c>
      <c r="N2979" s="3" t="s">
        <v>1385</v>
      </c>
    </row>
    <row r="2980" spans="1:14" x14ac:dyDescent="0.25">
      <c r="A2980" s="1" t="s">
        <v>11803</v>
      </c>
      <c r="B2980" s="3" t="s">
        <v>6604</v>
      </c>
      <c r="C2980" s="2">
        <f ca="1">IF(ISNUMBER(SEARCH(Лист2!$B$4,D:D)),MAX($C$3:OFFSET(C2980,-1,0))+1,0)</f>
        <v>0</v>
      </c>
      <c r="E2980" s="9" t="str">
        <f t="shared" ca="1" si="58"/>
        <v/>
      </c>
      <c r="F2980" s="4" t="s">
        <v>8</v>
      </c>
      <c r="G2980" s="2">
        <f>IF(ISNUMBER(SEARCH(Лист2!$B$4,F:F)),1,0)</f>
        <v>0</v>
      </c>
      <c r="H2980" s="3">
        <f ca="1">IF(AND(I2980&lt;&gt;I2979,ISNUMBER(SEARCH(Лист2!$B$5,I:I)),G2980=1),MAX($H$3:OFFSET(H2980,-1,0))+1,0)</f>
        <v>0</v>
      </c>
      <c r="I2980" s="3" t="s">
        <v>262</v>
      </c>
      <c r="K2980" s="2">
        <f>IF(ISNUMBER(SEARCH(Лист2!$B$4,F:F)),1,0)</f>
        <v>0</v>
      </c>
      <c r="L2980" s="14">
        <f>IF(ISNUMBER(SEARCH(Лист2!$B$5,I:I)),1,0)+K2980</f>
        <v>0</v>
      </c>
      <c r="M2980" s="3">
        <f ca="1">IF(AND(N2980&lt;&gt;N2979,ISNUMBER(SEARCH(Лист2!$B$6,N:N)),L2980=2),MAX($M$3:OFFSET(M2980,-1,0))+1,0)</f>
        <v>0</v>
      </c>
      <c r="N2980" s="3" t="s">
        <v>602</v>
      </c>
    </row>
    <row r="2981" spans="1:14" x14ac:dyDescent="0.25">
      <c r="A2981" s="1" t="s">
        <v>11804</v>
      </c>
      <c r="B2981" s="3" t="s">
        <v>6605</v>
      </c>
      <c r="C2981" s="2">
        <f ca="1">IF(ISNUMBER(SEARCH(Лист2!$B$4,D:D)),MAX($C$3:OFFSET(C2981,-1,0))+1,0)</f>
        <v>0</v>
      </c>
      <c r="E2981" s="9" t="str">
        <f t="shared" ca="1" si="58"/>
        <v/>
      </c>
      <c r="F2981" s="4" t="s">
        <v>8</v>
      </c>
      <c r="G2981" s="2">
        <f>IF(ISNUMBER(SEARCH(Лист2!$B$4,F:F)),1,0)</f>
        <v>0</v>
      </c>
      <c r="H2981" s="3">
        <f ca="1">IF(AND(I2981&lt;&gt;I2980,ISNUMBER(SEARCH(Лист2!$B$5,I:I)),G2981=1),MAX($H$3:OFFSET(H2981,-1,0))+1,0)</f>
        <v>0</v>
      </c>
      <c r="I2981" s="3" t="s">
        <v>262</v>
      </c>
      <c r="K2981" s="2">
        <f>IF(ISNUMBER(SEARCH(Лист2!$B$4,F:F)),1,0)</f>
        <v>0</v>
      </c>
      <c r="L2981" s="14">
        <f>IF(ISNUMBER(SEARCH(Лист2!$B$5,I:I)),1,0)+K2981</f>
        <v>0</v>
      </c>
      <c r="M2981" s="3">
        <f ca="1">IF(AND(N2981&lt;&gt;N2980,ISNUMBER(SEARCH(Лист2!$B$6,N:N)),L2981=2),MAX($M$3:OFFSET(M2981,-1,0))+1,0)</f>
        <v>0</v>
      </c>
      <c r="N2981" s="3" t="s">
        <v>1972</v>
      </c>
    </row>
    <row r="2982" spans="1:14" x14ac:dyDescent="0.25">
      <c r="A2982" s="1" t="s">
        <v>11805</v>
      </c>
      <c r="B2982" s="3" t="s">
        <v>6606</v>
      </c>
      <c r="C2982" s="2">
        <f ca="1">IF(ISNUMBER(SEARCH(Лист2!$B$4,D:D)),MAX($C$3:OFFSET(C2982,-1,0))+1,0)</f>
        <v>0</v>
      </c>
      <c r="E2982" s="9" t="str">
        <f t="shared" ca="1" si="58"/>
        <v/>
      </c>
      <c r="F2982" s="4" t="s">
        <v>8</v>
      </c>
      <c r="G2982" s="2">
        <f>IF(ISNUMBER(SEARCH(Лист2!$B$4,F:F)),1,0)</f>
        <v>0</v>
      </c>
      <c r="H2982" s="3">
        <f ca="1">IF(AND(I2982&lt;&gt;I2981,ISNUMBER(SEARCH(Лист2!$B$5,I:I)),G2982=1),MAX($H$3:OFFSET(H2982,-1,0))+1,0)</f>
        <v>0</v>
      </c>
      <c r="I2982" s="3" t="s">
        <v>262</v>
      </c>
      <c r="K2982" s="2">
        <f>IF(ISNUMBER(SEARCH(Лист2!$B$4,F:F)),1,0)</f>
        <v>0</v>
      </c>
      <c r="L2982" s="14">
        <f>IF(ISNUMBER(SEARCH(Лист2!$B$5,I:I)),1,0)+K2982</f>
        <v>0</v>
      </c>
      <c r="M2982" s="3">
        <f ca="1">IF(AND(N2982&lt;&gt;N2981,ISNUMBER(SEARCH(Лист2!$B$6,N:N)),L2982=2),MAX($M$3:OFFSET(M2982,-1,0))+1,0)</f>
        <v>0</v>
      </c>
      <c r="N2982" s="3" t="s">
        <v>1973</v>
      </c>
    </row>
    <row r="2983" spans="1:14" x14ac:dyDescent="0.25">
      <c r="A2983" s="1" t="s">
        <v>11806</v>
      </c>
      <c r="B2983" s="3" t="s">
        <v>6607</v>
      </c>
      <c r="C2983" s="2">
        <f ca="1">IF(ISNUMBER(SEARCH(Лист2!$B$4,D:D)),MAX($C$3:OFFSET(C2983,-1,0))+1,0)</f>
        <v>0</v>
      </c>
      <c r="E2983" s="9" t="str">
        <f t="shared" ca="1" si="58"/>
        <v/>
      </c>
      <c r="F2983" s="4" t="s">
        <v>8</v>
      </c>
      <c r="G2983" s="2">
        <f>IF(ISNUMBER(SEARCH(Лист2!$B$4,F:F)),1,0)</f>
        <v>0</v>
      </c>
      <c r="H2983" s="3">
        <f ca="1">IF(AND(I2983&lt;&gt;I2982,ISNUMBER(SEARCH(Лист2!$B$5,I:I)),G2983=1),MAX($H$3:OFFSET(H2983,-1,0))+1,0)</f>
        <v>0</v>
      </c>
      <c r="I2983" s="3" t="s">
        <v>262</v>
      </c>
      <c r="K2983" s="2">
        <f>IF(ISNUMBER(SEARCH(Лист2!$B$4,F:F)),1,0)</f>
        <v>0</v>
      </c>
      <c r="L2983" s="14">
        <f>IF(ISNUMBER(SEARCH(Лист2!$B$5,I:I)),1,0)+K2983</f>
        <v>0</v>
      </c>
      <c r="M2983" s="3">
        <f ca="1">IF(AND(N2983&lt;&gt;N2982,ISNUMBER(SEARCH(Лист2!$B$6,N:N)),L2983=2),MAX($M$3:OFFSET(M2983,-1,0))+1,0)</f>
        <v>0</v>
      </c>
      <c r="N2983" s="3" t="s">
        <v>1974</v>
      </c>
    </row>
    <row r="2984" spans="1:14" x14ac:dyDescent="0.25">
      <c r="A2984" s="1" t="s">
        <v>11807</v>
      </c>
      <c r="B2984" s="3" t="s">
        <v>6608</v>
      </c>
      <c r="C2984" s="2">
        <f ca="1">IF(ISNUMBER(SEARCH(Лист2!$B$4,D:D)),MAX($C$3:OFFSET(C2984,-1,0))+1,0)</f>
        <v>0</v>
      </c>
      <c r="E2984" s="9" t="str">
        <f t="shared" ca="1" si="58"/>
        <v/>
      </c>
      <c r="F2984" s="4" t="s">
        <v>8</v>
      </c>
      <c r="G2984" s="2">
        <f>IF(ISNUMBER(SEARCH(Лист2!$B$4,F:F)),1,0)</f>
        <v>0</v>
      </c>
      <c r="H2984" s="3">
        <f ca="1">IF(AND(I2984&lt;&gt;I2983,ISNUMBER(SEARCH(Лист2!$B$5,I:I)),G2984=1),MAX($H$3:OFFSET(H2984,-1,0))+1,0)</f>
        <v>0</v>
      </c>
      <c r="I2984" s="3" t="s">
        <v>262</v>
      </c>
      <c r="K2984" s="2">
        <f>IF(ISNUMBER(SEARCH(Лист2!$B$4,F:F)),1,0)</f>
        <v>0</v>
      </c>
      <c r="L2984" s="14">
        <f>IF(ISNUMBER(SEARCH(Лист2!$B$5,I:I)),1,0)+K2984</f>
        <v>0</v>
      </c>
      <c r="M2984" s="3">
        <f ca="1">IF(AND(N2984&lt;&gt;N2983,ISNUMBER(SEARCH(Лист2!$B$6,N:N)),L2984=2),MAX($M$3:OFFSET(M2984,-1,0))+1,0)</f>
        <v>0</v>
      </c>
      <c r="N2984" s="3" t="s">
        <v>1978</v>
      </c>
    </row>
    <row r="2985" spans="1:14" x14ac:dyDescent="0.25">
      <c r="A2985" s="1" t="s">
        <v>11808</v>
      </c>
      <c r="B2985" s="3" t="s">
        <v>6609</v>
      </c>
      <c r="C2985" s="2">
        <f ca="1">IF(ISNUMBER(SEARCH(Лист2!$B$4,D:D)),MAX($C$3:OFFSET(C2985,-1,0))+1,0)</f>
        <v>0</v>
      </c>
      <c r="E2985" s="9" t="str">
        <f t="shared" ca="1" si="58"/>
        <v/>
      </c>
      <c r="F2985" s="4" t="s">
        <v>8</v>
      </c>
      <c r="G2985" s="2">
        <f>IF(ISNUMBER(SEARCH(Лист2!$B$4,F:F)),1,0)</f>
        <v>0</v>
      </c>
      <c r="H2985" s="3">
        <f ca="1">IF(AND(I2985&lt;&gt;I2984,ISNUMBER(SEARCH(Лист2!$B$5,I:I)),G2985=1),MAX($H$3:OFFSET(H2985,-1,0))+1,0)</f>
        <v>0</v>
      </c>
      <c r="I2985" s="3" t="s">
        <v>262</v>
      </c>
      <c r="K2985" s="2">
        <f>IF(ISNUMBER(SEARCH(Лист2!$B$4,F:F)),1,0)</f>
        <v>0</v>
      </c>
      <c r="L2985" s="14">
        <f>IF(ISNUMBER(SEARCH(Лист2!$B$5,I:I)),1,0)+K2985</f>
        <v>0</v>
      </c>
      <c r="M2985" s="3">
        <f ca="1">IF(AND(N2985&lt;&gt;N2984,ISNUMBER(SEARCH(Лист2!$B$6,N:N)),L2985=2),MAX($M$3:OFFSET(M2985,-1,0))+1,0)</f>
        <v>0</v>
      </c>
      <c r="N2985" s="3" t="s">
        <v>1979</v>
      </c>
    </row>
    <row r="2986" spans="1:14" x14ac:dyDescent="0.25">
      <c r="A2986" s="1" t="s">
        <v>11809</v>
      </c>
      <c r="B2986" s="3" t="s">
        <v>6610</v>
      </c>
      <c r="C2986" s="2">
        <f ca="1">IF(ISNUMBER(SEARCH(Лист2!$B$4,D:D)),MAX($C$3:OFFSET(C2986,-1,0))+1,0)</f>
        <v>0</v>
      </c>
      <c r="E2986" s="9" t="str">
        <f t="shared" ca="1" si="58"/>
        <v/>
      </c>
      <c r="F2986" s="4" t="s">
        <v>8</v>
      </c>
      <c r="G2986" s="2">
        <f>IF(ISNUMBER(SEARCH(Лист2!$B$4,F:F)),1,0)</f>
        <v>0</v>
      </c>
      <c r="H2986" s="3">
        <f ca="1">IF(AND(I2986&lt;&gt;I2985,ISNUMBER(SEARCH(Лист2!$B$5,I:I)),G2986=1),MAX($H$3:OFFSET(H2986,-1,0))+1,0)</f>
        <v>0</v>
      </c>
      <c r="I2986" s="3" t="s">
        <v>263</v>
      </c>
      <c r="K2986" s="2">
        <f>IF(ISNUMBER(SEARCH(Лист2!$B$4,F:F)),1,0)</f>
        <v>0</v>
      </c>
      <c r="L2986" s="14">
        <f>IF(ISNUMBER(SEARCH(Лист2!$B$5,I:I)),1,0)+K2986</f>
        <v>0</v>
      </c>
      <c r="M2986" s="3">
        <f ca="1">IF(AND(N2986&lt;&gt;N2985,ISNUMBER(SEARCH(Лист2!$B$6,N:N)),L2986=2),MAX($M$3:OFFSET(M2986,-1,0))+1,0)</f>
        <v>0</v>
      </c>
      <c r="N2986" s="3" t="s">
        <v>70</v>
      </c>
    </row>
    <row r="2987" spans="1:14" x14ac:dyDescent="0.25">
      <c r="A2987" s="1" t="s">
        <v>11810</v>
      </c>
      <c r="B2987" s="3" t="s">
        <v>6611</v>
      </c>
      <c r="C2987" s="2">
        <f ca="1">IF(ISNUMBER(SEARCH(Лист2!$B$4,D:D)),MAX($C$3:OFFSET(C2987,-1,0))+1,0)</f>
        <v>0</v>
      </c>
      <c r="E2987" s="9" t="str">
        <f t="shared" ca="1" si="58"/>
        <v/>
      </c>
      <c r="F2987" s="4" t="s">
        <v>8</v>
      </c>
      <c r="G2987" s="2">
        <f>IF(ISNUMBER(SEARCH(Лист2!$B$4,F:F)),1,0)</f>
        <v>0</v>
      </c>
      <c r="H2987" s="3">
        <f ca="1">IF(AND(I2987&lt;&gt;I2986,ISNUMBER(SEARCH(Лист2!$B$5,I:I)),G2987=1),MAX($H$3:OFFSET(H2987,-1,0))+1,0)</f>
        <v>0</v>
      </c>
      <c r="I2987" s="3" t="s">
        <v>263</v>
      </c>
      <c r="K2987" s="2">
        <f>IF(ISNUMBER(SEARCH(Лист2!$B$4,F:F)),1,0)</f>
        <v>0</v>
      </c>
      <c r="L2987" s="14">
        <f>IF(ISNUMBER(SEARCH(Лист2!$B$5,I:I)),1,0)+K2987</f>
        <v>0</v>
      </c>
      <c r="M2987" s="3">
        <f ca="1">IF(AND(N2987&lt;&gt;N2986,ISNUMBER(SEARCH(Лист2!$B$6,N:N)),L2987=2),MAX($M$3:OFFSET(M2987,-1,0))+1,0)</f>
        <v>0</v>
      </c>
      <c r="N2987" s="3" t="s">
        <v>724</v>
      </c>
    </row>
    <row r="2988" spans="1:14" x14ac:dyDescent="0.25">
      <c r="A2988" s="1" t="s">
        <v>11811</v>
      </c>
      <c r="B2988" s="3" t="s">
        <v>6612</v>
      </c>
      <c r="C2988" s="2">
        <f ca="1">IF(ISNUMBER(SEARCH(Лист2!$B$4,D:D)),MAX($C$3:OFFSET(C2988,-1,0))+1,0)</f>
        <v>0</v>
      </c>
      <c r="E2988" s="9" t="str">
        <f t="shared" ca="1" si="58"/>
        <v/>
      </c>
      <c r="F2988" s="4" t="s">
        <v>8</v>
      </c>
      <c r="G2988" s="2">
        <f>IF(ISNUMBER(SEARCH(Лист2!$B$4,F:F)),1,0)</f>
        <v>0</v>
      </c>
      <c r="H2988" s="3">
        <f ca="1">IF(AND(I2988&lt;&gt;I2987,ISNUMBER(SEARCH(Лист2!$B$5,I:I)),G2988=1),MAX($H$3:OFFSET(H2988,-1,0))+1,0)</f>
        <v>0</v>
      </c>
      <c r="I2988" s="3" t="s">
        <v>263</v>
      </c>
      <c r="K2988" s="2">
        <f>IF(ISNUMBER(SEARCH(Лист2!$B$4,F:F)),1,0)</f>
        <v>0</v>
      </c>
      <c r="L2988" s="14">
        <f>IF(ISNUMBER(SEARCH(Лист2!$B$5,I:I)),1,0)+K2988</f>
        <v>0</v>
      </c>
      <c r="M2988" s="3">
        <f ca="1">IF(AND(N2988&lt;&gt;N2987,ISNUMBER(SEARCH(Лист2!$B$6,N:N)),L2988=2),MAX($M$3:OFFSET(M2988,-1,0))+1,0)</f>
        <v>0</v>
      </c>
      <c r="N2988" s="3" t="s">
        <v>725</v>
      </c>
    </row>
    <row r="2989" spans="1:14" x14ac:dyDescent="0.25">
      <c r="A2989" s="1" t="s">
        <v>11812</v>
      </c>
      <c r="B2989" s="3" t="s">
        <v>6613</v>
      </c>
      <c r="C2989" s="2">
        <f ca="1">IF(ISNUMBER(SEARCH(Лист2!$B$4,D:D)),MAX($C$3:OFFSET(C2989,-1,0))+1,0)</f>
        <v>0</v>
      </c>
      <c r="E2989" s="9" t="str">
        <f t="shared" ca="1" si="58"/>
        <v/>
      </c>
      <c r="F2989" s="4" t="s">
        <v>8</v>
      </c>
      <c r="G2989" s="2">
        <f>IF(ISNUMBER(SEARCH(Лист2!$B$4,F:F)),1,0)</f>
        <v>0</v>
      </c>
      <c r="H2989" s="3">
        <f ca="1">IF(AND(I2989&lt;&gt;I2988,ISNUMBER(SEARCH(Лист2!$B$5,I:I)),G2989=1),MAX($H$3:OFFSET(H2989,-1,0))+1,0)</f>
        <v>0</v>
      </c>
      <c r="I2989" s="3" t="s">
        <v>263</v>
      </c>
      <c r="K2989" s="2">
        <f>IF(ISNUMBER(SEARCH(Лист2!$B$4,F:F)),1,0)</f>
        <v>0</v>
      </c>
      <c r="L2989" s="14">
        <f>IF(ISNUMBER(SEARCH(Лист2!$B$5,I:I)),1,0)+K2989</f>
        <v>0</v>
      </c>
      <c r="M2989" s="3">
        <f ca="1">IF(AND(N2989&lt;&gt;N2988,ISNUMBER(SEARCH(Лист2!$B$6,N:N)),L2989=2),MAX($M$3:OFFSET(M2989,-1,0))+1,0)</f>
        <v>0</v>
      </c>
      <c r="N2989" s="3" t="s">
        <v>1385</v>
      </c>
    </row>
    <row r="2990" spans="1:14" x14ac:dyDescent="0.25">
      <c r="A2990" s="1" t="s">
        <v>11813</v>
      </c>
      <c r="B2990" s="3" t="s">
        <v>6614</v>
      </c>
      <c r="C2990" s="2">
        <f ca="1">IF(ISNUMBER(SEARCH(Лист2!$B$4,D:D)),MAX($C$3:OFFSET(C2990,-1,0))+1,0)</f>
        <v>0</v>
      </c>
      <c r="E2990" s="9" t="str">
        <f t="shared" ca="1" si="58"/>
        <v/>
      </c>
      <c r="F2990" s="4" t="s">
        <v>8</v>
      </c>
      <c r="G2990" s="2">
        <f>IF(ISNUMBER(SEARCH(Лист2!$B$4,F:F)),1,0)</f>
        <v>0</v>
      </c>
      <c r="H2990" s="3">
        <f ca="1">IF(AND(I2990&lt;&gt;I2989,ISNUMBER(SEARCH(Лист2!$B$5,I:I)),G2990=1),MAX($H$3:OFFSET(H2990,-1,0))+1,0)</f>
        <v>0</v>
      </c>
      <c r="I2990" s="3" t="s">
        <v>263</v>
      </c>
      <c r="K2990" s="2">
        <f>IF(ISNUMBER(SEARCH(Лист2!$B$4,F:F)),1,0)</f>
        <v>0</v>
      </c>
      <c r="L2990" s="14">
        <f>IF(ISNUMBER(SEARCH(Лист2!$B$5,I:I)),1,0)+K2990</f>
        <v>0</v>
      </c>
      <c r="M2990" s="3">
        <f ca="1">IF(AND(N2990&lt;&gt;N2989,ISNUMBER(SEARCH(Лист2!$B$6,N:N)),L2990=2),MAX($M$3:OFFSET(M2990,-1,0))+1,0)</f>
        <v>0</v>
      </c>
      <c r="N2990" s="3" t="s">
        <v>602</v>
      </c>
    </row>
    <row r="2991" spans="1:14" x14ac:dyDescent="0.25">
      <c r="A2991" s="1" t="s">
        <v>11814</v>
      </c>
      <c r="B2991" s="3" t="s">
        <v>6615</v>
      </c>
      <c r="C2991" s="2">
        <f ca="1">IF(ISNUMBER(SEARCH(Лист2!$B$4,D:D)),MAX($C$3:OFFSET(C2991,-1,0))+1,0)</f>
        <v>0</v>
      </c>
      <c r="E2991" s="9" t="str">
        <f t="shared" ca="1" si="58"/>
        <v/>
      </c>
      <c r="F2991" s="4" t="s">
        <v>8</v>
      </c>
      <c r="G2991" s="2">
        <f>IF(ISNUMBER(SEARCH(Лист2!$B$4,F:F)),1,0)</f>
        <v>0</v>
      </c>
      <c r="H2991" s="3">
        <f ca="1">IF(AND(I2991&lt;&gt;I2990,ISNUMBER(SEARCH(Лист2!$B$5,I:I)),G2991=1),MAX($H$3:OFFSET(H2991,-1,0))+1,0)</f>
        <v>0</v>
      </c>
      <c r="I2991" s="3" t="s">
        <v>263</v>
      </c>
      <c r="K2991" s="2">
        <f>IF(ISNUMBER(SEARCH(Лист2!$B$4,F:F)),1,0)</f>
        <v>0</v>
      </c>
      <c r="L2991" s="14">
        <f>IF(ISNUMBER(SEARCH(Лист2!$B$5,I:I)),1,0)+K2991</f>
        <v>0</v>
      </c>
      <c r="M2991" s="3">
        <f ca="1">IF(AND(N2991&lt;&gt;N2990,ISNUMBER(SEARCH(Лист2!$B$6,N:N)),L2991=2),MAX($M$3:OFFSET(M2991,-1,0))+1,0)</f>
        <v>0</v>
      </c>
      <c r="N2991" s="3" t="s">
        <v>726</v>
      </c>
    </row>
    <row r="2992" spans="1:14" x14ac:dyDescent="0.25">
      <c r="A2992" s="1" t="s">
        <v>11815</v>
      </c>
      <c r="B2992" s="3" t="s">
        <v>6616</v>
      </c>
      <c r="C2992" s="2">
        <f ca="1">IF(ISNUMBER(SEARCH(Лист2!$B$4,D:D)),MAX($C$3:OFFSET(C2992,-1,0))+1,0)</f>
        <v>0</v>
      </c>
      <c r="E2992" s="9" t="str">
        <f t="shared" ca="1" si="58"/>
        <v/>
      </c>
      <c r="F2992" s="4" t="s">
        <v>8</v>
      </c>
      <c r="G2992" s="2">
        <f>IF(ISNUMBER(SEARCH(Лист2!$B$4,F:F)),1,0)</f>
        <v>0</v>
      </c>
      <c r="H2992" s="3">
        <f ca="1">IF(AND(I2992&lt;&gt;I2991,ISNUMBER(SEARCH(Лист2!$B$5,I:I)),G2992=1),MAX($H$3:OFFSET(H2992,-1,0))+1,0)</f>
        <v>0</v>
      </c>
      <c r="I2992" s="3" t="s">
        <v>263</v>
      </c>
      <c r="K2992" s="2">
        <f>IF(ISNUMBER(SEARCH(Лист2!$B$4,F:F)),1,0)</f>
        <v>0</v>
      </c>
      <c r="L2992" s="14">
        <f>IF(ISNUMBER(SEARCH(Лист2!$B$5,I:I)),1,0)+K2992</f>
        <v>0</v>
      </c>
      <c r="M2992" s="3">
        <f ca="1">IF(AND(N2992&lt;&gt;N2991,ISNUMBER(SEARCH(Лист2!$B$6,N:N)),L2992=2),MAX($M$3:OFFSET(M2992,-1,0))+1,0)</f>
        <v>0</v>
      </c>
      <c r="N2992" s="3" t="s">
        <v>727</v>
      </c>
    </row>
    <row r="2993" spans="1:14" x14ac:dyDescent="0.25">
      <c r="A2993" s="1" t="s">
        <v>11816</v>
      </c>
      <c r="B2993" s="3" t="s">
        <v>6617</v>
      </c>
      <c r="C2993" s="2">
        <f ca="1">IF(ISNUMBER(SEARCH(Лист2!$B$4,D:D)),MAX($C$3:OFFSET(C2993,-1,0))+1,0)</f>
        <v>0</v>
      </c>
      <c r="E2993" s="9" t="str">
        <f t="shared" ca="1" si="58"/>
        <v/>
      </c>
      <c r="F2993" s="4" t="s">
        <v>8</v>
      </c>
      <c r="G2993" s="2">
        <f>IF(ISNUMBER(SEARCH(Лист2!$B$4,F:F)),1,0)</f>
        <v>0</v>
      </c>
      <c r="H2993" s="3">
        <f ca="1">IF(AND(I2993&lt;&gt;I2992,ISNUMBER(SEARCH(Лист2!$B$5,I:I)),G2993=1),MAX($H$3:OFFSET(H2993,-1,0))+1,0)</f>
        <v>0</v>
      </c>
      <c r="I2993" s="3" t="s">
        <v>263</v>
      </c>
      <c r="K2993" s="2">
        <f>IF(ISNUMBER(SEARCH(Лист2!$B$4,F:F)),1,0)</f>
        <v>0</v>
      </c>
      <c r="L2993" s="14">
        <f>IF(ISNUMBER(SEARCH(Лист2!$B$5,I:I)),1,0)+K2993</f>
        <v>0</v>
      </c>
      <c r="M2993" s="3">
        <f ca="1">IF(AND(N2993&lt;&gt;N2992,ISNUMBER(SEARCH(Лист2!$B$6,N:N)),L2993=2),MAX($M$3:OFFSET(M2993,-1,0))+1,0)</f>
        <v>0</v>
      </c>
      <c r="N2993" s="3" t="s">
        <v>1980</v>
      </c>
    </row>
    <row r="2994" spans="1:14" x14ac:dyDescent="0.25">
      <c r="A2994" s="1" t="s">
        <v>11817</v>
      </c>
      <c r="B2994" s="3" t="s">
        <v>6618</v>
      </c>
      <c r="C2994" s="2">
        <f ca="1">IF(ISNUMBER(SEARCH(Лист2!$B$4,D:D)),MAX($C$3:OFFSET(C2994,-1,0))+1,0)</f>
        <v>0</v>
      </c>
      <c r="E2994" s="9" t="str">
        <f t="shared" ca="1" si="58"/>
        <v/>
      </c>
      <c r="F2994" s="4" t="s">
        <v>8</v>
      </c>
      <c r="G2994" s="2">
        <f>IF(ISNUMBER(SEARCH(Лист2!$B$4,F:F)),1,0)</f>
        <v>0</v>
      </c>
      <c r="H2994" s="3">
        <f ca="1">IF(AND(I2994&lt;&gt;I2993,ISNUMBER(SEARCH(Лист2!$B$5,I:I)),G2994=1),MAX($H$3:OFFSET(H2994,-1,0))+1,0)</f>
        <v>0</v>
      </c>
      <c r="I2994" s="3" t="s">
        <v>263</v>
      </c>
      <c r="K2994" s="2">
        <f>IF(ISNUMBER(SEARCH(Лист2!$B$4,F:F)),1,0)</f>
        <v>0</v>
      </c>
      <c r="L2994" s="14">
        <f>IF(ISNUMBER(SEARCH(Лист2!$B$5,I:I)),1,0)+K2994</f>
        <v>0</v>
      </c>
      <c r="M2994" s="3">
        <f ca="1">IF(AND(N2994&lt;&gt;N2993,ISNUMBER(SEARCH(Лист2!$B$6,N:N)),L2994=2),MAX($M$3:OFFSET(M2994,-1,0))+1,0)</f>
        <v>0</v>
      </c>
      <c r="N2994" s="3" t="s">
        <v>1981</v>
      </c>
    </row>
    <row r="2995" spans="1:14" x14ac:dyDescent="0.25">
      <c r="A2995" s="1" t="s">
        <v>11818</v>
      </c>
      <c r="B2995" s="3" t="s">
        <v>6619</v>
      </c>
      <c r="C2995" s="2">
        <f ca="1">IF(ISNUMBER(SEARCH(Лист2!$B$4,D:D)),MAX($C$3:OFFSET(C2995,-1,0))+1,0)</f>
        <v>0</v>
      </c>
      <c r="E2995" s="9" t="str">
        <f t="shared" ca="1" si="58"/>
        <v/>
      </c>
      <c r="F2995" s="4" t="s">
        <v>8</v>
      </c>
      <c r="G2995" s="2">
        <f>IF(ISNUMBER(SEARCH(Лист2!$B$4,F:F)),1,0)</f>
        <v>0</v>
      </c>
      <c r="H2995" s="3">
        <f ca="1">IF(AND(I2995&lt;&gt;I2994,ISNUMBER(SEARCH(Лист2!$B$5,I:I)),G2995=1),MAX($H$3:OFFSET(H2995,-1,0))+1,0)</f>
        <v>0</v>
      </c>
      <c r="I2995" s="3" t="s">
        <v>263</v>
      </c>
      <c r="K2995" s="2">
        <f>IF(ISNUMBER(SEARCH(Лист2!$B$4,F:F)),1,0)</f>
        <v>0</v>
      </c>
      <c r="L2995" s="14">
        <f>IF(ISNUMBER(SEARCH(Лист2!$B$5,I:I)),1,0)+K2995</f>
        <v>0</v>
      </c>
      <c r="M2995" s="3">
        <f ca="1">IF(AND(N2995&lt;&gt;N2994,ISNUMBER(SEARCH(Лист2!$B$6,N:N)),L2995=2),MAX($M$3:OFFSET(M2995,-1,0))+1,0)</f>
        <v>0</v>
      </c>
      <c r="N2995" s="3" t="s">
        <v>1982</v>
      </c>
    </row>
    <row r="2996" spans="1:14" x14ac:dyDescent="0.25">
      <c r="A2996" s="1" t="s">
        <v>11819</v>
      </c>
      <c r="B2996" s="3" t="s">
        <v>6620</v>
      </c>
      <c r="C2996" s="2">
        <f ca="1">IF(ISNUMBER(SEARCH(Лист2!$B$4,D:D)),MAX($C$3:OFFSET(C2996,-1,0))+1,0)</f>
        <v>0</v>
      </c>
      <c r="E2996" s="9" t="str">
        <f t="shared" ca="1" si="58"/>
        <v/>
      </c>
      <c r="F2996" s="4" t="s">
        <v>8</v>
      </c>
      <c r="G2996" s="2">
        <f>IF(ISNUMBER(SEARCH(Лист2!$B$4,F:F)),1,0)</f>
        <v>0</v>
      </c>
      <c r="H2996" s="3">
        <f ca="1">IF(AND(I2996&lt;&gt;I2995,ISNUMBER(SEARCH(Лист2!$B$5,I:I)),G2996=1),MAX($H$3:OFFSET(H2996,-1,0))+1,0)</f>
        <v>0</v>
      </c>
      <c r="I2996" s="3" t="s">
        <v>263</v>
      </c>
      <c r="K2996" s="2">
        <f>IF(ISNUMBER(SEARCH(Лист2!$B$4,F:F)),1,0)</f>
        <v>0</v>
      </c>
      <c r="L2996" s="14">
        <f>IF(ISNUMBER(SEARCH(Лист2!$B$5,I:I)),1,0)+K2996</f>
        <v>0</v>
      </c>
      <c r="M2996" s="3">
        <f ca="1">IF(AND(N2996&lt;&gt;N2995,ISNUMBER(SEARCH(Лист2!$B$6,N:N)),L2996=2),MAX($M$3:OFFSET(M2996,-1,0))+1,0)</f>
        <v>0</v>
      </c>
      <c r="N2996" s="3" t="s">
        <v>1983</v>
      </c>
    </row>
    <row r="2997" spans="1:14" x14ac:dyDescent="0.25">
      <c r="A2997" s="1" t="s">
        <v>11820</v>
      </c>
      <c r="B2997" s="3" t="s">
        <v>6621</v>
      </c>
      <c r="C2997" s="2">
        <f ca="1">IF(ISNUMBER(SEARCH(Лист2!$B$4,D:D)),MAX($C$3:OFFSET(C2997,-1,0))+1,0)</f>
        <v>0</v>
      </c>
      <c r="E2997" s="9" t="str">
        <f t="shared" ca="1" si="58"/>
        <v/>
      </c>
      <c r="F2997" s="4" t="s">
        <v>8</v>
      </c>
      <c r="G2997" s="2">
        <f>IF(ISNUMBER(SEARCH(Лист2!$B$4,F:F)),1,0)</f>
        <v>0</v>
      </c>
      <c r="H2997" s="3">
        <f ca="1">IF(AND(I2997&lt;&gt;I2996,ISNUMBER(SEARCH(Лист2!$B$5,I:I)),G2997=1),MAX($H$3:OFFSET(H2997,-1,0))+1,0)</f>
        <v>0</v>
      </c>
      <c r="I2997" s="3" t="s">
        <v>264</v>
      </c>
      <c r="K2997" s="2">
        <f>IF(ISNUMBER(SEARCH(Лист2!$B$4,F:F)),1,0)</f>
        <v>0</v>
      </c>
      <c r="L2997" s="14">
        <f>IF(ISNUMBER(SEARCH(Лист2!$B$5,I:I)),1,0)+K2997</f>
        <v>0</v>
      </c>
      <c r="M2997" s="3">
        <f ca="1">IF(AND(N2997&lt;&gt;N2996,ISNUMBER(SEARCH(Лист2!$B$6,N:N)),L2997=2),MAX($M$3:OFFSET(M2997,-1,0))+1,0)</f>
        <v>0</v>
      </c>
      <c r="N2997" s="3" t="s">
        <v>70</v>
      </c>
    </row>
    <row r="2998" spans="1:14" x14ac:dyDescent="0.25">
      <c r="A2998" s="1" t="s">
        <v>11821</v>
      </c>
      <c r="B2998" s="3" t="s">
        <v>6622</v>
      </c>
      <c r="C2998" s="2">
        <f ca="1">IF(ISNUMBER(SEARCH(Лист2!$B$4,D:D)),MAX($C$3:OFFSET(C2998,-1,0))+1,0)</f>
        <v>0</v>
      </c>
      <c r="E2998" s="9" t="str">
        <f t="shared" ca="1" si="58"/>
        <v/>
      </c>
      <c r="F2998" s="4" t="s">
        <v>8</v>
      </c>
      <c r="G2998" s="2">
        <f>IF(ISNUMBER(SEARCH(Лист2!$B$4,F:F)),1,0)</f>
        <v>0</v>
      </c>
      <c r="H2998" s="3">
        <f ca="1">IF(AND(I2998&lt;&gt;I2997,ISNUMBER(SEARCH(Лист2!$B$5,I:I)),G2998=1),MAX($H$3:OFFSET(H2998,-1,0))+1,0)</f>
        <v>0</v>
      </c>
      <c r="I2998" s="3" t="s">
        <v>264</v>
      </c>
      <c r="K2998" s="2">
        <f>IF(ISNUMBER(SEARCH(Лист2!$B$4,F:F)),1,0)</f>
        <v>0</v>
      </c>
      <c r="L2998" s="14">
        <f>IF(ISNUMBER(SEARCH(Лист2!$B$5,I:I)),1,0)+K2998</f>
        <v>0</v>
      </c>
      <c r="M2998" s="3">
        <f ca="1">IF(AND(N2998&lt;&gt;N2997,ISNUMBER(SEARCH(Лист2!$B$6,N:N)),L2998=2),MAX($M$3:OFFSET(M2998,-1,0))+1,0)</f>
        <v>0</v>
      </c>
      <c r="N2998" s="3" t="s">
        <v>724</v>
      </c>
    </row>
    <row r="2999" spans="1:14" x14ac:dyDescent="0.25">
      <c r="A2999" s="1" t="s">
        <v>11822</v>
      </c>
      <c r="B2999" s="3" t="s">
        <v>6623</v>
      </c>
      <c r="C2999" s="2">
        <f ca="1">IF(ISNUMBER(SEARCH(Лист2!$B$4,D:D)),MAX($C$3:OFFSET(C2999,-1,0))+1,0)</f>
        <v>0</v>
      </c>
      <c r="E2999" s="9" t="str">
        <f t="shared" ca="1" si="58"/>
        <v/>
      </c>
      <c r="F2999" s="4" t="s">
        <v>8</v>
      </c>
      <c r="G2999" s="2">
        <f>IF(ISNUMBER(SEARCH(Лист2!$B$4,F:F)),1,0)</f>
        <v>0</v>
      </c>
      <c r="H2999" s="3">
        <f ca="1">IF(AND(I2999&lt;&gt;I2998,ISNUMBER(SEARCH(Лист2!$B$5,I:I)),G2999=1),MAX($H$3:OFFSET(H2999,-1,0))+1,0)</f>
        <v>0</v>
      </c>
      <c r="I2999" s="3" t="s">
        <v>264</v>
      </c>
      <c r="K2999" s="2">
        <f>IF(ISNUMBER(SEARCH(Лист2!$B$4,F:F)),1,0)</f>
        <v>0</v>
      </c>
      <c r="L2999" s="14">
        <f>IF(ISNUMBER(SEARCH(Лист2!$B$5,I:I)),1,0)+K2999</f>
        <v>0</v>
      </c>
      <c r="M2999" s="3">
        <f ca="1">IF(AND(N2999&lt;&gt;N2998,ISNUMBER(SEARCH(Лист2!$B$6,N:N)),L2999=2),MAX($M$3:OFFSET(M2999,-1,0))+1,0)</f>
        <v>0</v>
      </c>
      <c r="N2999" s="3" t="s">
        <v>725</v>
      </c>
    </row>
    <row r="3000" spans="1:14" x14ac:dyDescent="0.25">
      <c r="A3000" s="1" t="s">
        <v>11823</v>
      </c>
      <c r="B3000" s="3" t="s">
        <v>6624</v>
      </c>
      <c r="C3000" s="2">
        <f ca="1">IF(ISNUMBER(SEARCH(Лист2!$B$4,D:D)),MAX($C$3:OFFSET(C3000,-1,0))+1,0)</f>
        <v>0</v>
      </c>
      <c r="E3000" s="9" t="str">
        <f t="shared" ca="1" si="58"/>
        <v/>
      </c>
      <c r="F3000" s="4" t="s">
        <v>8</v>
      </c>
      <c r="G3000" s="2">
        <f>IF(ISNUMBER(SEARCH(Лист2!$B$4,F:F)),1,0)</f>
        <v>0</v>
      </c>
      <c r="H3000" s="3">
        <f ca="1">IF(AND(I3000&lt;&gt;I2999,ISNUMBER(SEARCH(Лист2!$B$5,I:I)),G3000=1),MAX($H$3:OFFSET(H3000,-1,0))+1,0)</f>
        <v>0</v>
      </c>
      <c r="I3000" s="3" t="s">
        <v>264</v>
      </c>
      <c r="K3000" s="2">
        <f>IF(ISNUMBER(SEARCH(Лист2!$B$4,F:F)),1,0)</f>
        <v>0</v>
      </c>
      <c r="L3000" s="14">
        <f>IF(ISNUMBER(SEARCH(Лист2!$B$5,I:I)),1,0)+K3000</f>
        <v>0</v>
      </c>
      <c r="M3000" s="3">
        <f ca="1">IF(AND(N3000&lt;&gt;N2999,ISNUMBER(SEARCH(Лист2!$B$6,N:N)),L3000=2),MAX($M$3:OFFSET(M3000,-1,0))+1,0)</f>
        <v>0</v>
      </c>
      <c r="N3000" s="3" t="s">
        <v>1385</v>
      </c>
    </row>
    <row r="3001" spans="1:14" x14ac:dyDescent="0.25">
      <c r="A3001" s="1" t="s">
        <v>11824</v>
      </c>
      <c r="B3001" s="3" t="s">
        <v>6625</v>
      </c>
      <c r="C3001" s="2">
        <f ca="1">IF(ISNUMBER(SEARCH(Лист2!$B$4,D:D)),MAX($C$3:OFFSET(C3001,-1,0))+1,0)</f>
        <v>0</v>
      </c>
      <c r="E3001" s="9" t="str">
        <f t="shared" ca="1" si="58"/>
        <v/>
      </c>
      <c r="F3001" s="4" t="s">
        <v>8</v>
      </c>
      <c r="G3001" s="2">
        <f>IF(ISNUMBER(SEARCH(Лист2!$B$4,F:F)),1,0)</f>
        <v>0</v>
      </c>
      <c r="H3001" s="3">
        <f ca="1">IF(AND(I3001&lt;&gt;I3000,ISNUMBER(SEARCH(Лист2!$B$5,I:I)),G3001=1),MAX($H$3:OFFSET(H3001,-1,0))+1,0)</f>
        <v>0</v>
      </c>
      <c r="I3001" s="3" t="s">
        <v>264</v>
      </c>
      <c r="K3001" s="2">
        <f>IF(ISNUMBER(SEARCH(Лист2!$B$4,F:F)),1,0)</f>
        <v>0</v>
      </c>
      <c r="L3001" s="14">
        <f>IF(ISNUMBER(SEARCH(Лист2!$B$5,I:I)),1,0)+K3001</f>
        <v>0</v>
      </c>
      <c r="M3001" s="3">
        <f ca="1">IF(AND(N3001&lt;&gt;N3000,ISNUMBER(SEARCH(Лист2!$B$6,N:N)),L3001=2),MAX($M$3:OFFSET(M3001,-1,0))+1,0)</f>
        <v>0</v>
      </c>
      <c r="N3001" s="3" t="s">
        <v>602</v>
      </c>
    </row>
    <row r="3002" spans="1:14" x14ac:dyDescent="0.25">
      <c r="A3002" s="1" t="s">
        <v>11825</v>
      </c>
      <c r="B3002" s="3" t="s">
        <v>6626</v>
      </c>
      <c r="C3002" s="2">
        <f ca="1">IF(ISNUMBER(SEARCH(Лист2!$B$4,D:D)),MAX($C$3:OFFSET(C3002,-1,0))+1,0)</f>
        <v>0</v>
      </c>
      <c r="E3002" s="9" t="str">
        <f t="shared" ca="1" si="58"/>
        <v/>
      </c>
      <c r="F3002" s="4" t="s">
        <v>8</v>
      </c>
      <c r="G3002" s="2">
        <f>IF(ISNUMBER(SEARCH(Лист2!$B$4,F:F)),1,0)</f>
        <v>0</v>
      </c>
      <c r="H3002" s="3">
        <f ca="1">IF(AND(I3002&lt;&gt;I3001,ISNUMBER(SEARCH(Лист2!$B$5,I:I)),G3002=1),MAX($H$3:OFFSET(H3002,-1,0))+1,0)</f>
        <v>0</v>
      </c>
      <c r="I3002" s="3" t="s">
        <v>264</v>
      </c>
      <c r="K3002" s="2">
        <f>IF(ISNUMBER(SEARCH(Лист2!$B$4,F:F)),1,0)</f>
        <v>0</v>
      </c>
      <c r="L3002" s="14">
        <f>IF(ISNUMBER(SEARCH(Лист2!$B$5,I:I)),1,0)+K3002</f>
        <v>0</v>
      </c>
      <c r="M3002" s="3">
        <f ca="1">IF(AND(N3002&lt;&gt;N3001,ISNUMBER(SEARCH(Лист2!$B$6,N:N)),L3002=2),MAX($M$3:OFFSET(M3002,-1,0))+1,0)</f>
        <v>0</v>
      </c>
      <c r="N3002" s="3" t="s">
        <v>726</v>
      </c>
    </row>
    <row r="3003" spans="1:14" x14ac:dyDescent="0.25">
      <c r="A3003" s="1" t="s">
        <v>11826</v>
      </c>
      <c r="B3003" s="3" t="s">
        <v>6627</v>
      </c>
      <c r="C3003" s="2">
        <f ca="1">IF(ISNUMBER(SEARCH(Лист2!$B$4,D:D)),MAX($C$3:OFFSET(C3003,-1,0))+1,0)</f>
        <v>0</v>
      </c>
      <c r="E3003" s="9" t="str">
        <f t="shared" ca="1" si="58"/>
        <v/>
      </c>
      <c r="F3003" s="4" t="s">
        <v>8</v>
      </c>
      <c r="G3003" s="2">
        <f>IF(ISNUMBER(SEARCH(Лист2!$B$4,F:F)),1,0)</f>
        <v>0</v>
      </c>
      <c r="H3003" s="3">
        <f ca="1">IF(AND(I3003&lt;&gt;I3002,ISNUMBER(SEARCH(Лист2!$B$5,I:I)),G3003=1),MAX($H$3:OFFSET(H3003,-1,0))+1,0)</f>
        <v>0</v>
      </c>
      <c r="I3003" s="3" t="s">
        <v>264</v>
      </c>
      <c r="K3003" s="2">
        <f>IF(ISNUMBER(SEARCH(Лист2!$B$4,F:F)),1,0)</f>
        <v>0</v>
      </c>
      <c r="L3003" s="14">
        <f>IF(ISNUMBER(SEARCH(Лист2!$B$5,I:I)),1,0)+K3003</f>
        <v>0</v>
      </c>
      <c r="M3003" s="3">
        <f ca="1">IF(AND(N3003&lt;&gt;N3002,ISNUMBER(SEARCH(Лист2!$B$6,N:N)),L3003=2),MAX($M$3:OFFSET(M3003,-1,0))+1,0)</f>
        <v>0</v>
      </c>
      <c r="N3003" s="3" t="s">
        <v>727</v>
      </c>
    </row>
    <row r="3004" spans="1:14" x14ac:dyDescent="0.25">
      <c r="A3004" s="1" t="s">
        <v>11827</v>
      </c>
      <c r="B3004" s="3" t="s">
        <v>6628</v>
      </c>
      <c r="C3004" s="2">
        <f ca="1">IF(ISNUMBER(SEARCH(Лист2!$B$4,D:D)),MAX($C$3:OFFSET(C3004,-1,0))+1,0)</f>
        <v>0</v>
      </c>
      <c r="E3004" s="9" t="str">
        <f t="shared" ca="1" si="58"/>
        <v/>
      </c>
      <c r="F3004" s="4" t="s">
        <v>8</v>
      </c>
      <c r="G3004" s="2">
        <f>IF(ISNUMBER(SEARCH(Лист2!$B$4,F:F)),1,0)</f>
        <v>0</v>
      </c>
      <c r="H3004" s="3">
        <f ca="1">IF(AND(I3004&lt;&gt;I3003,ISNUMBER(SEARCH(Лист2!$B$5,I:I)),G3004=1),MAX($H$3:OFFSET(H3004,-1,0))+1,0)</f>
        <v>0</v>
      </c>
      <c r="I3004" s="3" t="s">
        <v>264</v>
      </c>
      <c r="K3004" s="2">
        <f>IF(ISNUMBER(SEARCH(Лист2!$B$4,F:F)),1,0)</f>
        <v>0</v>
      </c>
      <c r="L3004" s="14">
        <f>IF(ISNUMBER(SEARCH(Лист2!$B$5,I:I)),1,0)+K3004</f>
        <v>0</v>
      </c>
      <c r="M3004" s="3">
        <f ca="1">IF(AND(N3004&lt;&gt;N3003,ISNUMBER(SEARCH(Лист2!$B$6,N:N)),L3004=2),MAX($M$3:OFFSET(M3004,-1,0))+1,0)</f>
        <v>0</v>
      </c>
      <c r="N3004" s="3" t="s">
        <v>1980</v>
      </c>
    </row>
    <row r="3005" spans="1:14" x14ac:dyDescent="0.25">
      <c r="A3005" s="1" t="s">
        <v>11828</v>
      </c>
      <c r="B3005" s="3" t="s">
        <v>6629</v>
      </c>
      <c r="C3005" s="2">
        <f ca="1">IF(ISNUMBER(SEARCH(Лист2!$B$4,D:D)),MAX($C$3:OFFSET(C3005,-1,0))+1,0)</f>
        <v>0</v>
      </c>
      <c r="E3005" s="9" t="str">
        <f t="shared" ca="1" si="58"/>
        <v/>
      </c>
      <c r="F3005" s="4" t="s">
        <v>8</v>
      </c>
      <c r="G3005" s="2">
        <f>IF(ISNUMBER(SEARCH(Лист2!$B$4,F:F)),1,0)</f>
        <v>0</v>
      </c>
      <c r="H3005" s="3">
        <f ca="1">IF(AND(I3005&lt;&gt;I3004,ISNUMBER(SEARCH(Лист2!$B$5,I:I)),G3005=1),MAX($H$3:OFFSET(H3005,-1,0))+1,0)</f>
        <v>0</v>
      </c>
      <c r="I3005" s="3" t="s">
        <v>264</v>
      </c>
      <c r="K3005" s="2">
        <f>IF(ISNUMBER(SEARCH(Лист2!$B$4,F:F)),1,0)</f>
        <v>0</v>
      </c>
      <c r="L3005" s="14">
        <f>IF(ISNUMBER(SEARCH(Лист2!$B$5,I:I)),1,0)+K3005</f>
        <v>0</v>
      </c>
      <c r="M3005" s="3">
        <f ca="1">IF(AND(N3005&lt;&gt;N3004,ISNUMBER(SEARCH(Лист2!$B$6,N:N)),L3005=2),MAX($M$3:OFFSET(M3005,-1,0))+1,0)</f>
        <v>0</v>
      </c>
      <c r="N3005" s="3" t="s">
        <v>1984</v>
      </c>
    </row>
    <row r="3006" spans="1:14" x14ac:dyDescent="0.25">
      <c r="A3006" s="1" t="s">
        <v>11829</v>
      </c>
      <c r="B3006" s="3" t="s">
        <v>6630</v>
      </c>
      <c r="C3006" s="2">
        <f ca="1">IF(ISNUMBER(SEARCH(Лист2!$B$4,D:D)),MAX($C$3:OFFSET(C3006,-1,0))+1,0)</f>
        <v>0</v>
      </c>
      <c r="E3006" s="9" t="str">
        <f t="shared" ca="1" si="58"/>
        <v/>
      </c>
      <c r="F3006" s="4" t="s">
        <v>8</v>
      </c>
      <c r="G3006" s="2">
        <f>IF(ISNUMBER(SEARCH(Лист2!$B$4,F:F)),1,0)</f>
        <v>0</v>
      </c>
      <c r="H3006" s="3">
        <f ca="1">IF(AND(I3006&lt;&gt;I3005,ISNUMBER(SEARCH(Лист2!$B$5,I:I)),G3006=1),MAX($H$3:OFFSET(H3006,-1,0))+1,0)</f>
        <v>0</v>
      </c>
      <c r="I3006" s="3" t="s">
        <v>264</v>
      </c>
      <c r="K3006" s="2">
        <f>IF(ISNUMBER(SEARCH(Лист2!$B$4,F:F)),1,0)</f>
        <v>0</v>
      </c>
      <c r="L3006" s="14">
        <f>IF(ISNUMBER(SEARCH(Лист2!$B$5,I:I)),1,0)+K3006</f>
        <v>0</v>
      </c>
      <c r="M3006" s="3">
        <f ca="1">IF(AND(N3006&lt;&gt;N3005,ISNUMBER(SEARCH(Лист2!$B$6,N:N)),L3006=2),MAX($M$3:OFFSET(M3006,-1,0))+1,0)</f>
        <v>0</v>
      </c>
      <c r="N3006" s="3" t="s">
        <v>1985</v>
      </c>
    </row>
    <row r="3007" spans="1:14" x14ac:dyDescent="0.25">
      <c r="A3007" s="1" t="s">
        <v>11830</v>
      </c>
      <c r="B3007" s="3" t="s">
        <v>6631</v>
      </c>
      <c r="C3007" s="2">
        <f ca="1">IF(ISNUMBER(SEARCH(Лист2!$B$4,D:D)),MAX($C$3:OFFSET(C3007,-1,0))+1,0)</f>
        <v>0</v>
      </c>
      <c r="E3007" s="9" t="str">
        <f t="shared" ca="1" si="58"/>
        <v/>
      </c>
      <c r="F3007" s="4" t="s">
        <v>8</v>
      </c>
      <c r="G3007" s="2">
        <f>IF(ISNUMBER(SEARCH(Лист2!$B$4,F:F)),1,0)</f>
        <v>0</v>
      </c>
      <c r="H3007" s="3">
        <f ca="1">IF(AND(I3007&lt;&gt;I3006,ISNUMBER(SEARCH(Лист2!$B$5,I:I)),G3007=1),MAX($H$3:OFFSET(H3007,-1,0))+1,0)</f>
        <v>0</v>
      </c>
      <c r="I3007" s="3" t="s">
        <v>264</v>
      </c>
      <c r="K3007" s="2">
        <f>IF(ISNUMBER(SEARCH(Лист2!$B$4,F:F)),1,0)</f>
        <v>0</v>
      </c>
      <c r="L3007" s="14">
        <f>IF(ISNUMBER(SEARCH(Лист2!$B$5,I:I)),1,0)+K3007</f>
        <v>0</v>
      </c>
      <c r="M3007" s="3">
        <f ca="1">IF(AND(N3007&lt;&gt;N3006,ISNUMBER(SEARCH(Лист2!$B$6,N:N)),L3007=2),MAX($M$3:OFFSET(M3007,-1,0))+1,0)</f>
        <v>0</v>
      </c>
      <c r="N3007" s="3" t="s">
        <v>1986</v>
      </c>
    </row>
    <row r="3008" spans="1:14" x14ac:dyDescent="0.25">
      <c r="A3008" s="1" t="s">
        <v>11831</v>
      </c>
      <c r="B3008" s="3" t="s">
        <v>6632</v>
      </c>
      <c r="C3008" s="2">
        <f ca="1">IF(ISNUMBER(SEARCH(Лист2!$B$4,D:D)),MAX($C$3:OFFSET(C3008,-1,0))+1,0)</f>
        <v>0</v>
      </c>
      <c r="E3008" s="9" t="str">
        <f t="shared" ca="1" si="58"/>
        <v/>
      </c>
      <c r="F3008" s="4" t="s">
        <v>8</v>
      </c>
      <c r="G3008" s="2">
        <f>IF(ISNUMBER(SEARCH(Лист2!$B$4,F:F)),1,0)</f>
        <v>0</v>
      </c>
      <c r="H3008" s="3">
        <f ca="1">IF(AND(I3008&lt;&gt;I3007,ISNUMBER(SEARCH(Лист2!$B$5,I:I)),G3008=1),MAX($H$3:OFFSET(H3008,-1,0))+1,0)</f>
        <v>0</v>
      </c>
      <c r="I3008" s="3" t="s">
        <v>265</v>
      </c>
      <c r="K3008" s="2">
        <f>IF(ISNUMBER(SEARCH(Лист2!$B$4,F:F)),1,0)</f>
        <v>0</v>
      </c>
      <c r="L3008" s="14">
        <f>IF(ISNUMBER(SEARCH(Лист2!$B$5,I:I)),1,0)+K3008</f>
        <v>0</v>
      </c>
      <c r="M3008" s="3">
        <f ca="1">IF(AND(N3008&lt;&gt;N3007,ISNUMBER(SEARCH(Лист2!$B$6,N:N)),L3008=2),MAX($M$3:OFFSET(M3008,-1,0))+1,0)</f>
        <v>0</v>
      </c>
      <c r="N3008" s="3" t="s">
        <v>724</v>
      </c>
    </row>
    <row r="3009" spans="1:14" x14ac:dyDescent="0.25">
      <c r="A3009" s="1" t="s">
        <v>11832</v>
      </c>
      <c r="B3009" s="3" t="s">
        <v>6633</v>
      </c>
      <c r="C3009" s="2">
        <f ca="1">IF(ISNUMBER(SEARCH(Лист2!$B$4,D:D)),MAX($C$3:OFFSET(C3009,-1,0))+1,0)</f>
        <v>0</v>
      </c>
      <c r="E3009" s="9" t="str">
        <f t="shared" ca="1" si="58"/>
        <v/>
      </c>
      <c r="F3009" s="4" t="s">
        <v>8</v>
      </c>
      <c r="G3009" s="2">
        <f>IF(ISNUMBER(SEARCH(Лист2!$B$4,F:F)),1,0)</f>
        <v>0</v>
      </c>
      <c r="H3009" s="3">
        <f ca="1">IF(AND(I3009&lt;&gt;I3008,ISNUMBER(SEARCH(Лист2!$B$5,I:I)),G3009=1),MAX($H$3:OFFSET(H3009,-1,0))+1,0)</f>
        <v>0</v>
      </c>
      <c r="I3009" s="3" t="s">
        <v>265</v>
      </c>
      <c r="K3009" s="2">
        <f>IF(ISNUMBER(SEARCH(Лист2!$B$4,F:F)),1,0)</f>
        <v>0</v>
      </c>
      <c r="L3009" s="14">
        <f>IF(ISNUMBER(SEARCH(Лист2!$B$5,I:I)),1,0)+K3009</f>
        <v>0</v>
      </c>
      <c r="M3009" s="3">
        <f ca="1">IF(AND(N3009&lt;&gt;N3008,ISNUMBER(SEARCH(Лист2!$B$6,N:N)),L3009=2),MAX($M$3:OFFSET(M3009,-1,0))+1,0)</f>
        <v>0</v>
      </c>
      <c r="N3009" s="3" t="s">
        <v>725</v>
      </c>
    </row>
    <row r="3010" spans="1:14" x14ac:dyDescent="0.25">
      <c r="A3010" s="1" t="s">
        <v>11833</v>
      </c>
      <c r="B3010" s="3" t="s">
        <v>6634</v>
      </c>
      <c r="C3010" s="2">
        <f ca="1">IF(ISNUMBER(SEARCH(Лист2!$B$4,D:D)),MAX($C$3:OFFSET(C3010,-1,0))+1,0)</f>
        <v>0</v>
      </c>
      <c r="E3010" s="9" t="str">
        <f t="shared" ca="1" si="58"/>
        <v/>
      </c>
      <c r="F3010" s="4" t="s">
        <v>8</v>
      </c>
      <c r="G3010" s="2">
        <f>IF(ISNUMBER(SEARCH(Лист2!$B$4,F:F)),1,0)</f>
        <v>0</v>
      </c>
      <c r="H3010" s="3">
        <f ca="1">IF(AND(I3010&lt;&gt;I3009,ISNUMBER(SEARCH(Лист2!$B$5,I:I)),G3010=1),MAX($H$3:OFFSET(H3010,-1,0))+1,0)</f>
        <v>0</v>
      </c>
      <c r="I3010" s="3" t="s">
        <v>265</v>
      </c>
      <c r="K3010" s="2">
        <f>IF(ISNUMBER(SEARCH(Лист2!$B$4,F:F)),1,0)</f>
        <v>0</v>
      </c>
      <c r="L3010" s="14">
        <f>IF(ISNUMBER(SEARCH(Лист2!$B$5,I:I)),1,0)+K3010</f>
        <v>0</v>
      </c>
      <c r="M3010" s="3">
        <f ca="1">IF(AND(N3010&lt;&gt;N3009,ISNUMBER(SEARCH(Лист2!$B$6,N:N)),L3010=2),MAX($M$3:OFFSET(M3010,-1,0))+1,0)</f>
        <v>0</v>
      </c>
      <c r="N3010" s="3" t="s">
        <v>1385</v>
      </c>
    </row>
    <row r="3011" spans="1:14" x14ac:dyDescent="0.25">
      <c r="A3011" s="1" t="s">
        <v>11834</v>
      </c>
      <c r="B3011" s="3" t="s">
        <v>6635</v>
      </c>
      <c r="C3011" s="2">
        <f ca="1">IF(ISNUMBER(SEARCH(Лист2!$B$4,D:D)),MAX($C$3:OFFSET(C3011,-1,0))+1,0)</f>
        <v>0</v>
      </c>
      <c r="E3011" s="9" t="str">
        <f t="shared" ca="1" si="58"/>
        <v/>
      </c>
      <c r="F3011" s="4" t="s">
        <v>8</v>
      </c>
      <c r="G3011" s="2">
        <f>IF(ISNUMBER(SEARCH(Лист2!$B$4,F:F)),1,0)</f>
        <v>0</v>
      </c>
      <c r="H3011" s="3">
        <f ca="1">IF(AND(I3011&lt;&gt;I3010,ISNUMBER(SEARCH(Лист2!$B$5,I:I)),G3011=1),MAX($H$3:OFFSET(H3011,-1,0))+1,0)</f>
        <v>0</v>
      </c>
      <c r="I3011" s="3" t="s">
        <v>265</v>
      </c>
      <c r="K3011" s="2">
        <f>IF(ISNUMBER(SEARCH(Лист2!$B$4,F:F)),1,0)</f>
        <v>0</v>
      </c>
      <c r="L3011" s="14">
        <f>IF(ISNUMBER(SEARCH(Лист2!$B$5,I:I)),1,0)+K3011</f>
        <v>0</v>
      </c>
      <c r="M3011" s="3">
        <f ca="1">IF(AND(N3011&lt;&gt;N3010,ISNUMBER(SEARCH(Лист2!$B$6,N:N)),L3011=2),MAX($M$3:OFFSET(M3011,-1,0))+1,0)</f>
        <v>0</v>
      </c>
      <c r="N3011" s="3" t="s">
        <v>602</v>
      </c>
    </row>
    <row r="3012" spans="1:14" x14ac:dyDescent="0.25">
      <c r="A3012" s="1" t="s">
        <v>11835</v>
      </c>
      <c r="B3012" s="3" t="s">
        <v>6636</v>
      </c>
      <c r="C3012" s="2">
        <f ca="1">IF(ISNUMBER(SEARCH(Лист2!$B$4,D:D)),MAX($C$3:OFFSET(C3012,-1,0))+1,0)</f>
        <v>0</v>
      </c>
      <c r="E3012" s="9" t="str">
        <f t="shared" ca="1" si="58"/>
        <v/>
      </c>
      <c r="F3012" s="4" t="s">
        <v>8</v>
      </c>
      <c r="G3012" s="2">
        <f>IF(ISNUMBER(SEARCH(Лист2!$B$4,F:F)),1,0)</f>
        <v>0</v>
      </c>
      <c r="H3012" s="3">
        <f ca="1">IF(AND(I3012&lt;&gt;I3011,ISNUMBER(SEARCH(Лист2!$B$5,I:I)),G3012=1),MAX($H$3:OFFSET(H3012,-1,0))+1,0)</f>
        <v>0</v>
      </c>
      <c r="I3012" s="3" t="s">
        <v>265</v>
      </c>
      <c r="K3012" s="2">
        <f>IF(ISNUMBER(SEARCH(Лист2!$B$4,F:F)),1,0)</f>
        <v>0</v>
      </c>
      <c r="L3012" s="14">
        <f>IF(ISNUMBER(SEARCH(Лист2!$B$5,I:I)),1,0)+K3012</f>
        <v>0</v>
      </c>
      <c r="M3012" s="3">
        <f ca="1">IF(AND(N3012&lt;&gt;N3011,ISNUMBER(SEARCH(Лист2!$B$6,N:N)),L3012=2),MAX($M$3:OFFSET(M3012,-1,0))+1,0)</f>
        <v>0</v>
      </c>
      <c r="N3012" s="3" t="s">
        <v>726</v>
      </c>
    </row>
    <row r="3013" spans="1:14" x14ac:dyDescent="0.25">
      <c r="A3013" s="1" t="s">
        <v>11836</v>
      </c>
      <c r="B3013" s="3" t="s">
        <v>6637</v>
      </c>
      <c r="C3013" s="2">
        <f ca="1">IF(ISNUMBER(SEARCH(Лист2!$B$4,D:D)),MAX($C$3:OFFSET(C3013,-1,0))+1,0)</f>
        <v>0</v>
      </c>
      <c r="E3013" s="9" t="str">
        <f t="shared" ref="E3013:E3076" ca="1" si="59">IFERROR(INDEX(D:D,MATCH(ROW(E3013)-ROW($E$3),C:C,0)),"")</f>
        <v/>
      </c>
      <c r="F3013" s="4" t="s">
        <v>8</v>
      </c>
      <c r="G3013" s="2">
        <f>IF(ISNUMBER(SEARCH(Лист2!$B$4,F:F)),1,0)</f>
        <v>0</v>
      </c>
      <c r="H3013" s="3">
        <f ca="1">IF(AND(I3013&lt;&gt;I3012,ISNUMBER(SEARCH(Лист2!$B$5,I:I)),G3013=1),MAX($H$3:OFFSET(H3013,-1,0))+1,0)</f>
        <v>0</v>
      </c>
      <c r="I3013" s="3" t="s">
        <v>265</v>
      </c>
      <c r="K3013" s="2">
        <f>IF(ISNUMBER(SEARCH(Лист2!$B$4,F:F)),1,0)</f>
        <v>0</v>
      </c>
      <c r="L3013" s="14">
        <f>IF(ISNUMBER(SEARCH(Лист2!$B$5,I:I)),1,0)+K3013</f>
        <v>0</v>
      </c>
      <c r="M3013" s="3">
        <f ca="1">IF(AND(N3013&lt;&gt;N3012,ISNUMBER(SEARCH(Лист2!$B$6,N:N)),L3013=2),MAX($M$3:OFFSET(M3013,-1,0))+1,0)</f>
        <v>0</v>
      </c>
      <c r="N3013" s="3" t="s">
        <v>727</v>
      </c>
    </row>
    <row r="3014" spans="1:14" x14ac:dyDescent="0.25">
      <c r="A3014" s="1" t="s">
        <v>11837</v>
      </c>
      <c r="B3014" s="3" t="s">
        <v>6638</v>
      </c>
      <c r="C3014" s="2">
        <f ca="1">IF(ISNUMBER(SEARCH(Лист2!$B$4,D:D)),MAX($C$3:OFFSET(C3014,-1,0))+1,0)</f>
        <v>0</v>
      </c>
      <c r="E3014" s="9" t="str">
        <f t="shared" ca="1" si="59"/>
        <v/>
      </c>
      <c r="F3014" s="4" t="s">
        <v>8</v>
      </c>
      <c r="G3014" s="2">
        <f>IF(ISNUMBER(SEARCH(Лист2!$B$4,F:F)),1,0)</f>
        <v>0</v>
      </c>
      <c r="H3014" s="3">
        <f ca="1">IF(AND(I3014&lt;&gt;I3013,ISNUMBER(SEARCH(Лист2!$B$5,I:I)),G3014=1),MAX($H$3:OFFSET(H3014,-1,0))+1,0)</f>
        <v>0</v>
      </c>
      <c r="I3014" s="3" t="s">
        <v>265</v>
      </c>
      <c r="K3014" s="2">
        <f>IF(ISNUMBER(SEARCH(Лист2!$B$4,F:F)),1,0)</f>
        <v>0</v>
      </c>
      <c r="L3014" s="14">
        <f>IF(ISNUMBER(SEARCH(Лист2!$B$5,I:I)),1,0)+K3014</f>
        <v>0</v>
      </c>
      <c r="M3014" s="3">
        <f ca="1">IF(AND(N3014&lt;&gt;N3013,ISNUMBER(SEARCH(Лист2!$B$6,N:N)),L3014=2),MAX($M$3:OFFSET(M3014,-1,0))+1,0)</f>
        <v>0</v>
      </c>
      <c r="N3014" s="3" t="s">
        <v>1980</v>
      </c>
    </row>
    <row r="3015" spans="1:14" x14ac:dyDescent="0.25">
      <c r="A3015" s="1" t="s">
        <v>11838</v>
      </c>
      <c r="B3015" s="3" t="s">
        <v>6639</v>
      </c>
      <c r="C3015" s="2">
        <f ca="1">IF(ISNUMBER(SEARCH(Лист2!$B$4,D:D)),MAX($C$3:OFFSET(C3015,-1,0))+1,0)</f>
        <v>0</v>
      </c>
      <c r="E3015" s="9" t="str">
        <f t="shared" ca="1" si="59"/>
        <v/>
      </c>
      <c r="F3015" s="4" t="s">
        <v>8</v>
      </c>
      <c r="G3015" s="2">
        <f>IF(ISNUMBER(SEARCH(Лист2!$B$4,F:F)),1,0)</f>
        <v>0</v>
      </c>
      <c r="H3015" s="3">
        <f ca="1">IF(AND(I3015&lt;&gt;I3014,ISNUMBER(SEARCH(Лист2!$B$5,I:I)),G3015=1),MAX($H$3:OFFSET(H3015,-1,0))+1,0)</f>
        <v>0</v>
      </c>
      <c r="I3015" s="3" t="s">
        <v>265</v>
      </c>
      <c r="K3015" s="2">
        <f>IF(ISNUMBER(SEARCH(Лист2!$B$4,F:F)),1,0)</f>
        <v>0</v>
      </c>
      <c r="L3015" s="14">
        <f>IF(ISNUMBER(SEARCH(Лист2!$B$5,I:I)),1,0)+K3015</f>
        <v>0</v>
      </c>
      <c r="M3015" s="3">
        <f ca="1">IF(AND(N3015&lt;&gt;N3014,ISNUMBER(SEARCH(Лист2!$B$6,N:N)),L3015=2),MAX($M$3:OFFSET(M3015,-1,0))+1,0)</f>
        <v>0</v>
      </c>
      <c r="N3015" s="3" t="s">
        <v>1987</v>
      </c>
    </row>
    <row r="3016" spans="1:14" x14ac:dyDescent="0.25">
      <c r="A3016" s="1" t="s">
        <v>11839</v>
      </c>
      <c r="B3016" s="3" t="s">
        <v>6640</v>
      </c>
      <c r="C3016" s="2">
        <f ca="1">IF(ISNUMBER(SEARCH(Лист2!$B$4,D:D)),MAX($C$3:OFFSET(C3016,-1,0))+1,0)</f>
        <v>0</v>
      </c>
      <c r="E3016" s="9" t="str">
        <f t="shared" ca="1" si="59"/>
        <v/>
      </c>
      <c r="F3016" s="4" t="s">
        <v>8</v>
      </c>
      <c r="G3016" s="2">
        <f>IF(ISNUMBER(SEARCH(Лист2!$B$4,F:F)),1,0)</f>
        <v>0</v>
      </c>
      <c r="H3016" s="3">
        <f ca="1">IF(AND(I3016&lt;&gt;I3015,ISNUMBER(SEARCH(Лист2!$B$5,I:I)),G3016=1),MAX($H$3:OFFSET(H3016,-1,0))+1,0)</f>
        <v>0</v>
      </c>
      <c r="I3016" s="3" t="s">
        <v>265</v>
      </c>
      <c r="K3016" s="2">
        <f>IF(ISNUMBER(SEARCH(Лист2!$B$4,F:F)),1,0)</f>
        <v>0</v>
      </c>
      <c r="L3016" s="14">
        <f>IF(ISNUMBER(SEARCH(Лист2!$B$5,I:I)),1,0)+K3016</f>
        <v>0</v>
      </c>
      <c r="M3016" s="3">
        <f ca="1">IF(AND(N3016&lt;&gt;N3015,ISNUMBER(SEARCH(Лист2!$B$6,N:N)),L3016=2),MAX($M$3:OFFSET(M3016,-1,0))+1,0)</f>
        <v>0</v>
      </c>
      <c r="N3016" s="3" t="s">
        <v>1988</v>
      </c>
    </row>
    <row r="3017" spans="1:14" x14ac:dyDescent="0.25">
      <c r="A3017" s="1" t="s">
        <v>11840</v>
      </c>
      <c r="B3017" s="3" t="s">
        <v>6641</v>
      </c>
      <c r="C3017" s="2">
        <f ca="1">IF(ISNUMBER(SEARCH(Лист2!$B$4,D:D)),MAX($C$3:OFFSET(C3017,-1,0))+1,0)</f>
        <v>0</v>
      </c>
      <c r="E3017" s="9" t="str">
        <f t="shared" ca="1" si="59"/>
        <v/>
      </c>
      <c r="F3017" s="4" t="s">
        <v>8</v>
      </c>
      <c r="G3017" s="2">
        <f>IF(ISNUMBER(SEARCH(Лист2!$B$4,F:F)),1,0)</f>
        <v>0</v>
      </c>
      <c r="H3017" s="3">
        <f ca="1">IF(AND(I3017&lt;&gt;I3016,ISNUMBER(SEARCH(Лист2!$B$5,I:I)),G3017=1),MAX($H$3:OFFSET(H3017,-1,0))+1,0)</f>
        <v>0</v>
      </c>
      <c r="I3017" s="3" t="s">
        <v>265</v>
      </c>
      <c r="K3017" s="2">
        <f>IF(ISNUMBER(SEARCH(Лист2!$B$4,F:F)),1,0)</f>
        <v>0</v>
      </c>
      <c r="L3017" s="14">
        <f>IF(ISNUMBER(SEARCH(Лист2!$B$5,I:I)),1,0)+K3017</f>
        <v>0</v>
      </c>
      <c r="M3017" s="3">
        <f ca="1">IF(AND(N3017&lt;&gt;N3016,ISNUMBER(SEARCH(Лист2!$B$6,N:N)),L3017=2),MAX($M$3:OFFSET(M3017,-1,0))+1,0)</f>
        <v>0</v>
      </c>
      <c r="N3017" s="3" t="s">
        <v>1989</v>
      </c>
    </row>
    <row r="3018" spans="1:14" x14ac:dyDescent="0.25">
      <c r="A3018" s="1" t="s">
        <v>11841</v>
      </c>
      <c r="B3018" s="3" t="s">
        <v>6642</v>
      </c>
      <c r="C3018" s="2">
        <f ca="1">IF(ISNUMBER(SEARCH(Лист2!$B$4,D:D)),MAX($C$3:OFFSET(C3018,-1,0))+1,0)</f>
        <v>0</v>
      </c>
      <c r="E3018" s="9" t="str">
        <f t="shared" ca="1" si="59"/>
        <v/>
      </c>
      <c r="F3018" s="4" t="s">
        <v>8</v>
      </c>
      <c r="G3018" s="2">
        <f>IF(ISNUMBER(SEARCH(Лист2!$B$4,F:F)),1,0)</f>
        <v>0</v>
      </c>
      <c r="H3018" s="3">
        <f ca="1">IF(AND(I3018&lt;&gt;I3017,ISNUMBER(SEARCH(Лист2!$B$5,I:I)),G3018=1),MAX($H$3:OFFSET(H3018,-1,0))+1,0)</f>
        <v>0</v>
      </c>
      <c r="I3018" s="3" t="s">
        <v>266</v>
      </c>
      <c r="K3018" s="2">
        <f>IF(ISNUMBER(SEARCH(Лист2!$B$4,F:F)),1,0)</f>
        <v>0</v>
      </c>
      <c r="L3018" s="14">
        <f>IF(ISNUMBER(SEARCH(Лист2!$B$5,I:I)),1,0)+K3018</f>
        <v>0</v>
      </c>
      <c r="M3018" s="3">
        <f ca="1">IF(AND(N3018&lt;&gt;N3017,ISNUMBER(SEARCH(Лист2!$B$6,N:N)),L3018=2),MAX($M$3:OFFSET(M3018,-1,0))+1,0)</f>
        <v>0</v>
      </c>
      <c r="N3018" s="3" t="s">
        <v>724</v>
      </c>
    </row>
    <row r="3019" spans="1:14" x14ac:dyDescent="0.25">
      <c r="A3019" s="1" t="s">
        <v>11842</v>
      </c>
      <c r="B3019" s="3" t="s">
        <v>6643</v>
      </c>
      <c r="C3019" s="2">
        <f ca="1">IF(ISNUMBER(SEARCH(Лист2!$B$4,D:D)),MAX($C$3:OFFSET(C3019,-1,0))+1,0)</f>
        <v>0</v>
      </c>
      <c r="E3019" s="9" t="str">
        <f t="shared" ca="1" si="59"/>
        <v/>
      </c>
      <c r="F3019" s="4" t="s">
        <v>8</v>
      </c>
      <c r="G3019" s="2">
        <f>IF(ISNUMBER(SEARCH(Лист2!$B$4,F:F)),1,0)</f>
        <v>0</v>
      </c>
      <c r="H3019" s="3">
        <f ca="1">IF(AND(I3019&lt;&gt;I3018,ISNUMBER(SEARCH(Лист2!$B$5,I:I)),G3019=1),MAX($H$3:OFFSET(H3019,-1,0))+1,0)</f>
        <v>0</v>
      </c>
      <c r="I3019" s="3" t="s">
        <v>266</v>
      </c>
      <c r="K3019" s="2">
        <f>IF(ISNUMBER(SEARCH(Лист2!$B$4,F:F)),1,0)</f>
        <v>0</v>
      </c>
      <c r="L3019" s="14">
        <f>IF(ISNUMBER(SEARCH(Лист2!$B$5,I:I)),1,0)+K3019</f>
        <v>0</v>
      </c>
      <c r="M3019" s="3">
        <f ca="1">IF(AND(N3019&lt;&gt;N3018,ISNUMBER(SEARCH(Лист2!$B$6,N:N)),L3019=2),MAX($M$3:OFFSET(M3019,-1,0))+1,0)</f>
        <v>0</v>
      </c>
      <c r="N3019" s="3" t="s">
        <v>725</v>
      </c>
    </row>
    <row r="3020" spans="1:14" x14ac:dyDescent="0.25">
      <c r="A3020" s="1" t="s">
        <v>11843</v>
      </c>
      <c r="B3020" s="3" t="s">
        <v>6644</v>
      </c>
      <c r="C3020" s="2">
        <f ca="1">IF(ISNUMBER(SEARCH(Лист2!$B$4,D:D)),MAX($C$3:OFFSET(C3020,-1,0))+1,0)</f>
        <v>0</v>
      </c>
      <c r="E3020" s="9" t="str">
        <f t="shared" ca="1" si="59"/>
        <v/>
      </c>
      <c r="F3020" s="4" t="s">
        <v>8</v>
      </c>
      <c r="G3020" s="2">
        <f>IF(ISNUMBER(SEARCH(Лист2!$B$4,F:F)),1,0)</f>
        <v>0</v>
      </c>
      <c r="H3020" s="3">
        <f ca="1">IF(AND(I3020&lt;&gt;I3019,ISNUMBER(SEARCH(Лист2!$B$5,I:I)),G3020=1),MAX($H$3:OFFSET(H3020,-1,0))+1,0)</f>
        <v>0</v>
      </c>
      <c r="I3020" s="3" t="s">
        <v>266</v>
      </c>
      <c r="K3020" s="2">
        <f>IF(ISNUMBER(SEARCH(Лист2!$B$4,F:F)),1,0)</f>
        <v>0</v>
      </c>
      <c r="L3020" s="14">
        <f>IF(ISNUMBER(SEARCH(Лист2!$B$5,I:I)),1,0)+K3020</f>
        <v>0</v>
      </c>
      <c r="M3020" s="3">
        <f ca="1">IF(AND(N3020&lt;&gt;N3019,ISNUMBER(SEARCH(Лист2!$B$6,N:N)),L3020=2),MAX($M$3:OFFSET(M3020,-1,0))+1,0)</f>
        <v>0</v>
      </c>
      <c r="N3020" s="3" t="s">
        <v>1385</v>
      </c>
    </row>
    <row r="3021" spans="1:14" x14ac:dyDescent="0.25">
      <c r="A3021" s="1" t="s">
        <v>11844</v>
      </c>
      <c r="B3021" s="3" t="s">
        <v>6645</v>
      </c>
      <c r="C3021" s="2">
        <f ca="1">IF(ISNUMBER(SEARCH(Лист2!$B$4,D:D)),MAX($C$3:OFFSET(C3021,-1,0))+1,0)</f>
        <v>0</v>
      </c>
      <c r="E3021" s="9" t="str">
        <f t="shared" ca="1" si="59"/>
        <v/>
      </c>
      <c r="F3021" s="4" t="s">
        <v>8</v>
      </c>
      <c r="G3021" s="2">
        <f>IF(ISNUMBER(SEARCH(Лист2!$B$4,F:F)),1,0)</f>
        <v>0</v>
      </c>
      <c r="H3021" s="3">
        <f ca="1">IF(AND(I3021&lt;&gt;I3020,ISNUMBER(SEARCH(Лист2!$B$5,I:I)),G3021=1),MAX($H$3:OFFSET(H3021,-1,0))+1,0)</f>
        <v>0</v>
      </c>
      <c r="I3021" s="3" t="s">
        <v>266</v>
      </c>
      <c r="K3021" s="2">
        <f>IF(ISNUMBER(SEARCH(Лист2!$B$4,F:F)),1,0)</f>
        <v>0</v>
      </c>
      <c r="L3021" s="14">
        <f>IF(ISNUMBER(SEARCH(Лист2!$B$5,I:I)),1,0)+K3021</f>
        <v>0</v>
      </c>
      <c r="M3021" s="3">
        <f ca="1">IF(AND(N3021&lt;&gt;N3020,ISNUMBER(SEARCH(Лист2!$B$6,N:N)),L3021=2),MAX($M$3:OFFSET(M3021,-1,0))+1,0)</f>
        <v>0</v>
      </c>
      <c r="N3021" s="3" t="s">
        <v>602</v>
      </c>
    </row>
    <row r="3022" spans="1:14" x14ac:dyDescent="0.25">
      <c r="A3022" s="1" t="s">
        <v>11845</v>
      </c>
      <c r="B3022" s="3" t="s">
        <v>6646</v>
      </c>
      <c r="C3022" s="2">
        <f ca="1">IF(ISNUMBER(SEARCH(Лист2!$B$4,D:D)),MAX($C$3:OFFSET(C3022,-1,0))+1,0)</f>
        <v>0</v>
      </c>
      <c r="E3022" s="9" t="str">
        <f t="shared" ca="1" si="59"/>
        <v/>
      </c>
      <c r="F3022" s="4" t="s">
        <v>8</v>
      </c>
      <c r="G3022" s="2">
        <f>IF(ISNUMBER(SEARCH(Лист2!$B$4,F:F)),1,0)</f>
        <v>0</v>
      </c>
      <c r="H3022" s="3">
        <f ca="1">IF(AND(I3022&lt;&gt;I3021,ISNUMBER(SEARCH(Лист2!$B$5,I:I)),G3022=1),MAX($H$3:OFFSET(H3022,-1,0))+1,0)</f>
        <v>0</v>
      </c>
      <c r="I3022" s="3" t="s">
        <v>266</v>
      </c>
      <c r="K3022" s="2">
        <f>IF(ISNUMBER(SEARCH(Лист2!$B$4,F:F)),1,0)</f>
        <v>0</v>
      </c>
      <c r="L3022" s="14">
        <f>IF(ISNUMBER(SEARCH(Лист2!$B$5,I:I)),1,0)+K3022</f>
        <v>0</v>
      </c>
      <c r="M3022" s="3">
        <f ca="1">IF(AND(N3022&lt;&gt;N3021,ISNUMBER(SEARCH(Лист2!$B$6,N:N)),L3022=2),MAX($M$3:OFFSET(M3022,-1,0))+1,0)</f>
        <v>0</v>
      </c>
      <c r="N3022" s="3" t="s">
        <v>726</v>
      </c>
    </row>
    <row r="3023" spans="1:14" x14ac:dyDescent="0.25">
      <c r="A3023" s="1" t="s">
        <v>11846</v>
      </c>
      <c r="B3023" s="3" t="s">
        <v>6647</v>
      </c>
      <c r="C3023" s="2">
        <f ca="1">IF(ISNUMBER(SEARCH(Лист2!$B$4,D:D)),MAX($C$3:OFFSET(C3023,-1,0))+1,0)</f>
        <v>0</v>
      </c>
      <c r="E3023" s="9" t="str">
        <f t="shared" ca="1" si="59"/>
        <v/>
      </c>
      <c r="F3023" s="4" t="s">
        <v>8</v>
      </c>
      <c r="G3023" s="2">
        <f>IF(ISNUMBER(SEARCH(Лист2!$B$4,F:F)),1,0)</f>
        <v>0</v>
      </c>
      <c r="H3023" s="3">
        <f ca="1">IF(AND(I3023&lt;&gt;I3022,ISNUMBER(SEARCH(Лист2!$B$5,I:I)),G3023=1),MAX($H$3:OFFSET(H3023,-1,0))+1,0)</f>
        <v>0</v>
      </c>
      <c r="I3023" s="3" t="s">
        <v>266</v>
      </c>
      <c r="K3023" s="2">
        <f>IF(ISNUMBER(SEARCH(Лист2!$B$4,F:F)),1,0)</f>
        <v>0</v>
      </c>
      <c r="L3023" s="14">
        <f>IF(ISNUMBER(SEARCH(Лист2!$B$5,I:I)),1,0)+K3023</f>
        <v>0</v>
      </c>
      <c r="M3023" s="3">
        <f ca="1">IF(AND(N3023&lt;&gt;N3022,ISNUMBER(SEARCH(Лист2!$B$6,N:N)),L3023=2),MAX($M$3:OFFSET(M3023,-1,0))+1,0)</f>
        <v>0</v>
      </c>
      <c r="N3023" s="3" t="s">
        <v>727</v>
      </c>
    </row>
    <row r="3024" spans="1:14" x14ac:dyDescent="0.25">
      <c r="A3024" s="1" t="s">
        <v>11847</v>
      </c>
      <c r="B3024" s="3" t="s">
        <v>6648</v>
      </c>
      <c r="C3024" s="2">
        <f ca="1">IF(ISNUMBER(SEARCH(Лист2!$B$4,D:D)),MAX($C$3:OFFSET(C3024,-1,0))+1,0)</f>
        <v>0</v>
      </c>
      <c r="E3024" s="9" t="str">
        <f t="shared" ca="1" si="59"/>
        <v/>
      </c>
      <c r="F3024" s="4" t="s">
        <v>8</v>
      </c>
      <c r="G3024" s="2">
        <f>IF(ISNUMBER(SEARCH(Лист2!$B$4,F:F)),1,0)</f>
        <v>0</v>
      </c>
      <c r="H3024" s="3">
        <f ca="1">IF(AND(I3024&lt;&gt;I3023,ISNUMBER(SEARCH(Лист2!$B$5,I:I)),G3024=1),MAX($H$3:OFFSET(H3024,-1,0))+1,0)</f>
        <v>0</v>
      </c>
      <c r="I3024" s="3" t="s">
        <v>266</v>
      </c>
      <c r="K3024" s="2">
        <f>IF(ISNUMBER(SEARCH(Лист2!$B$4,F:F)),1,0)</f>
        <v>0</v>
      </c>
      <c r="L3024" s="14">
        <f>IF(ISNUMBER(SEARCH(Лист2!$B$5,I:I)),1,0)+K3024</f>
        <v>0</v>
      </c>
      <c r="M3024" s="3">
        <f ca="1">IF(AND(N3024&lt;&gt;N3023,ISNUMBER(SEARCH(Лист2!$B$6,N:N)),L3024=2),MAX($M$3:OFFSET(M3024,-1,0))+1,0)</f>
        <v>0</v>
      </c>
      <c r="N3024" s="3" t="s">
        <v>1980</v>
      </c>
    </row>
    <row r="3025" spans="1:14" x14ac:dyDescent="0.25">
      <c r="A3025" s="1" t="s">
        <v>11848</v>
      </c>
      <c r="B3025" s="3" t="s">
        <v>6649</v>
      </c>
      <c r="C3025" s="2">
        <f ca="1">IF(ISNUMBER(SEARCH(Лист2!$B$4,D:D)),MAX($C$3:OFFSET(C3025,-1,0))+1,0)</f>
        <v>0</v>
      </c>
      <c r="E3025" s="9" t="str">
        <f t="shared" ca="1" si="59"/>
        <v/>
      </c>
      <c r="F3025" s="4" t="s">
        <v>8</v>
      </c>
      <c r="G3025" s="2">
        <f>IF(ISNUMBER(SEARCH(Лист2!$B$4,F:F)),1,0)</f>
        <v>0</v>
      </c>
      <c r="H3025" s="3">
        <f ca="1">IF(AND(I3025&lt;&gt;I3024,ISNUMBER(SEARCH(Лист2!$B$5,I:I)),G3025=1),MAX($H$3:OFFSET(H3025,-1,0))+1,0)</f>
        <v>0</v>
      </c>
      <c r="I3025" s="3" t="s">
        <v>266</v>
      </c>
      <c r="K3025" s="2">
        <f>IF(ISNUMBER(SEARCH(Лист2!$B$4,F:F)),1,0)</f>
        <v>0</v>
      </c>
      <c r="L3025" s="14">
        <f>IF(ISNUMBER(SEARCH(Лист2!$B$5,I:I)),1,0)+K3025</f>
        <v>0</v>
      </c>
      <c r="M3025" s="3">
        <f ca="1">IF(AND(N3025&lt;&gt;N3024,ISNUMBER(SEARCH(Лист2!$B$6,N:N)),L3025=2),MAX($M$3:OFFSET(M3025,-1,0))+1,0)</f>
        <v>0</v>
      </c>
      <c r="N3025" s="3" t="s">
        <v>1990</v>
      </c>
    </row>
    <row r="3026" spans="1:14" x14ac:dyDescent="0.25">
      <c r="A3026" s="1" t="s">
        <v>11849</v>
      </c>
      <c r="B3026" s="3" t="s">
        <v>6650</v>
      </c>
      <c r="C3026" s="2">
        <f ca="1">IF(ISNUMBER(SEARCH(Лист2!$B$4,D:D)),MAX($C$3:OFFSET(C3026,-1,0))+1,0)</f>
        <v>0</v>
      </c>
      <c r="E3026" s="9" t="str">
        <f t="shared" ca="1" si="59"/>
        <v/>
      </c>
      <c r="F3026" s="4" t="s">
        <v>8</v>
      </c>
      <c r="G3026" s="2">
        <f>IF(ISNUMBER(SEARCH(Лист2!$B$4,F:F)),1,0)</f>
        <v>0</v>
      </c>
      <c r="H3026" s="3">
        <f ca="1">IF(AND(I3026&lt;&gt;I3025,ISNUMBER(SEARCH(Лист2!$B$5,I:I)),G3026=1),MAX($H$3:OFFSET(H3026,-1,0))+1,0)</f>
        <v>0</v>
      </c>
      <c r="I3026" s="3" t="s">
        <v>266</v>
      </c>
      <c r="K3026" s="2">
        <f>IF(ISNUMBER(SEARCH(Лист2!$B$4,F:F)),1,0)</f>
        <v>0</v>
      </c>
      <c r="L3026" s="14">
        <f>IF(ISNUMBER(SEARCH(Лист2!$B$5,I:I)),1,0)+K3026</f>
        <v>0</v>
      </c>
      <c r="M3026" s="3">
        <f ca="1">IF(AND(N3026&lt;&gt;N3025,ISNUMBER(SEARCH(Лист2!$B$6,N:N)),L3026=2),MAX($M$3:OFFSET(M3026,-1,0))+1,0)</f>
        <v>0</v>
      </c>
      <c r="N3026" s="3" t="s">
        <v>1991</v>
      </c>
    </row>
    <row r="3027" spans="1:14" x14ac:dyDescent="0.25">
      <c r="A3027" s="1" t="s">
        <v>11850</v>
      </c>
      <c r="B3027" s="3" t="s">
        <v>6651</v>
      </c>
      <c r="C3027" s="2">
        <f ca="1">IF(ISNUMBER(SEARCH(Лист2!$B$4,D:D)),MAX($C$3:OFFSET(C3027,-1,0))+1,0)</f>
        <v>0</v>
      </c>
      <c r="E3027" s="9" t="str">
        <f t="shared" ca="1" si="59"/>
        <v/>
      </c>
      <c r="F3027" s="4" t="s">
        <v>8</v>
      </c>
      <c r="G3027" s="2">
        <f>IF(ISNUMBER(SEARCH(Лист2!$B$4,F:F)),1,0)</f>
        <v>0</v>
      </c>
      <c r="H3027" s="3">
        <f ca="1">IF(AND(I3027&lt;&gt;I3026,ISNUMBER(SEARCH(Лист2!$B$5,I:I)),G3027=1),MAX($H$3:OFFSET(H3027,-1,0))+1,0)</f>
        <v>0</v>
      </c>
      <c r="I3027" s="3" t="s">
        <v>266</v>
      </c>
      <c r="K3027" s="2">
        <f>IF(ISNUMBER(SEARCH(Лист2!$B$4,F:F)),1,0)</f>
        <v>0</v>
      </c>
      <c r="L3027" s="14">
        <f>IF(ISNUMBER(SEARCH(Лист2!$B$5,I:I)),1,0)+K3027</f>
        <v>0</v>
      </c>
      <c r="M3027" s="3">
        <f ca="1">IF(AND(N3027&lt;&gt;N3026,ISNUMBER(SEARCH(Лист2!$B$6,N:N)),L3027=2),MAX($M$3:OFFSET(M3027,-1,0))+1,0)</f>
        <v>0</v>
      </c>
      <c r="N3027" s="3" t="s">
        <v>1992</v>
      </c>
    </row>
    <row r="3028" spans="1:14" x14ac:dyDescent="0.25">
      <c r="A3028" s="1" t="s">
        <v>11851</v>
      </c>
      <c r="B3028" s="3" t="s">
        <v>6652</v>
      </c>
      <c r="C3028" s="2">
        <f ca="1">IF(ISNUMBER(SEARCH(Лист2!$B$4,D:D)),MAX($C$3:OFFSET(C3028,-1,0))+1,0)</f>
        <v>0</v>
      </c>
      <c r="E3028" s="9" t="str">
        <f t="shared" ca="1" si="59"/>
        <v/>
      </c>
      <c r="F3028" s="4" t="s">
        <v>8</v>
      </c>
      <c r="G3028" s="2">
        <f>IF(ISNUMBER(SEARCH(Лист2!$B$4,F:F)),1,0)</f>
        <v>0</v>
      </c>
      <c r="H3028" s="3">
        <f ca="1">IF(AND(I3028&lt;&gt;I3027,ISNUMBER(SEARCH(Лист2!$B$5,I:I)),G3028=1),MAX($H$3:OFFSET(H3028,-1,0))+1,0)</f>
        <v>0</v>
      </c>
      <c r="I3028" s="3" t="s">
        <v>267</v>
      </c>
      <c r="K3028" s="2">
        <f>IF(ISNUMBER(SEARCH(Лист2!$B$4,F:F)),1,0)</f>
        <v>0</v>
      </c>
      <c r="L3028" s="14">
        <f>IF(ISNUMBER(SEARCH(Лист2!$B$5,I:I)),1,0)+K3028</f>
        <v>0</v>
      </c>
      <c r="M3028" s="3">
        <f ca="1">IF(AND(N3028&lt;&gt;N3027,ISNUMBER(SEARCH(Лист2!$B$6,N:N)),L3028=2),MAX($M$3:OFFSET(M3028,-1,0))+1,0)</f>
        <v>0</v>
      </c>
      <c r="N3028" s="3" t="s">
        <v>1993</v>
      </c>
    </row>
    <row r="3029" spans="1:14" x14ac:dyDescent="0.25">
      <c r="A3029" s="1" t="s">
        <v>11852</v>
      </c>
      <c r="B3029" s="3" t="s">
        <v>6653</v>
      </c>
      <c r="C3029" s="2">
        <f ca="1">IF(ISNUMBER(SEARCH(Лист2!$B$4,D:D)),MAX($C$3:OFFSET(C3029,-1,0))+1,0)</f>
        <v>0</v>
      </c>
      <c r="E3029" s="9" t="str">
        <f t="shared" ca="1" si="59"/>
        <v/>
      </c>
      <c r="F3029" s="4" t="s">
        <v>8</v>
      </c>
      <c r="G3029" s="2">
        <f>IF(ISNUMBER(SEARCH(Лист2!$B$4,F:F)),1,0)</f>
        <v>0</v>
      </c>
      <c r="H3029" s="3">
        <f ca="1">IF(AND(I3029&lt;&gt;I3028,ISNUMBER(SEARCH(Лист2!$B$5,I:I)),G3029=1),MAX($H$3:OFFSET(H3029,-1,0))+1,0)</f>
        <v>0</v>
      </c>
      <c r="I3029" s="3" t="s">
        <v>267</v>
      </c>
      <c r="K3029" s="2">
        <f>IF(ISNUMBER(SEARCH(Лист2!$B$4,F:F)),1,0)</f>
        <v>0</v>
      </c>
      <c r="L3029" s="14">
        <f>IF(ISNUMBER(SEARCH(Лист2!$B$5,I:I)),1,0)+K3029</f>
        <v>0</v>
      </c>
      <c r="M3029" s="3">
        <f ca="1">IF(AND(N3029&lt;&gt;N3028,ISNUMBER(SEARCH(Лист2!$B$6,N:N)),L3029=2),MAX($M$3:OFFSET(M3029,-1,0))+1,0)</f>
        <v>0</v>
      </c>
      <c r="N3029" s="3" t="s">
        <v>1994</v>
      </c>
    </row>
    <row r="3030" spans="1:14" x14ac:dyDescent="0.25">
      <c r="A3030" s="1" t="s">
        <v>11853</v>
      </c>
      <c r="B3030" s="3" t="s">
        <v>6654</v>
      </c>
      <c r="C3030" s="2">
        <f ca="1">IF(ISNUMBER(SEARCH(Лист2!$B$4,D:D)),MAX($C$3:OFFSET(C3030,-1,0))+1,0)</f>
        <v>0</v>
      </c>
      <c r="E3030" s="9" t="str">
        <f t="shared" ca="1" si="59"/>
        <v/>
      </c>
      <c r="F3030" s="4" t="s">
        <v>8</v>
      </c>
      <c r="G3030" s="2">
        <f>IF(ISNUMBER(SEARCH(Лист2!$B$4,F:F)),1,0)</f>
        <v>0</v>
      </c>
      <c r="H3030" s="3">
        <f ca="1">IF(AND(I3030&lt;&gt;I3029,ISNUMBER(SEARCH(Лист2!$B$5,I:I)),G3030=1),MAX($H$3:OFFSET(H3030,-1,0))+1,0)</f>
        <v>0</v>
      </c>
      <c r="I3030" s="3" t="s">
        <v>267</v>
      </c>
      <c r="K3030" s="2">
        <f>IF(ISNUMBER(SEARCH(Лист2!$B$4,F:F)),1,0)</f>
        <v>0</v>
      </c>
      <c r="L3030" s="14">
        <f>IF(ISNUMBER(SEARCH(Лист2!$B$5,I:I)),1,0)+K3030</f>
        <v>0</v>
      </c>
      <c r="M3030" s="3">
        <f ca="1">IF(AND(N3030&lt;&gt;N3029,ISNUMBER(SEARCH(Лист2!$B$6,N:N)),L3030=2),MAX($M$3:OFFSET(M3030,-1,0))+1,0)</f>
        <v>0</v>
      </c>
      <c r="N3030" s="3" t="s">
        <v>1995</v>
      </c>
    </row>
    <row r="3031" spans="1:14" x14ac:dyDescent="0.25">
      <c r="A3031" s="1" t="s">
        <v>11854</v>
      </c>
      <c r="B3031" s="3" t="s">
        <v>6655</v>
      </c>
      <c r="C3031" s="2">
        <f ca="1">IF(ISNUMBER(SEARCH(Лист2!$B$4,D:D)),MAX($C$3:OFFSET(C3031,-1,0))+1,0)</f>
        <v>0</v>
      </c>
      <c r="E3031" s="9" t="str">
        <f t="shared" ca="1" si="59"/>
        <v/>
      </c>
      <c r="F3031" s="4" t="s">
        <v>8</v>
      </c>
      <c r="G3031" s="2">
        <f>IF(ISNUMBER(SEARCH(Лист2!$B$4,F:F)),1,0)</f>
        <v>0</v>
      </c>
      <c r="H3031" s="3">
        <f ca="1">IF(AND(I3031&lt;&gt;I3030,ISNUMBER(SEARCH(Лист2!$B$5,I:I)),G3031=1),MAX($H$3:OFFSET(H3031,-1,0))+1,0)</f>
        <v>0</v>
      </c>
      <c r="I3031" s="3" t="s">
        <v>267</v>
      </c>
      <c r="K3031" s="2">
        <f>IF(ISNUMBER(SEARCH(Лист2!$B$4,F:F)),1,0)</f>
        <v>0</v>
      </c>
      <c r="L3031" s="14">
        <f>IF(ISNUMBER(SEARCH(Лист2!$B$5,I:I)),1,0)+K3031</f>
        <v>0</v>
      </c>
      <c r="M3031" s="3">
        <f ca="1">IF(AND(N3031&lt;&gt;N3030,ISNUMBER(SEARCH(Лист2!$B$6,N:N)),L3031=2),MAX($M$3:OFFSET(M3031,-1,0))+1,0)</f>
        <v>0</v>
      </c>
      <c r="N3031" s="3" t="s">
        <v>1996</v>
      </c>
    </row>
    <row r="3032" spans="1:14" x14ac:dyDescent="0.25">
      <c r="A3032" s="1" t="s">
        <v>11855</v>
      </c>
      <c r="B3032" s="3" t="s">
        <v>6656</v>
      </c>
      <c r="C3032" s="2">
        <f ca="1">IF(ISNUMBER(SEARCH(Лист2!$B$4,D:D)),MAX($C$3:OFFSET(C3032,-1,0))+1,0)</f>
        <v>0</v>
      </c>
      <c r="E3032" s="9" t="str">
        <f t="shared" ca="1" si="59"/>
        <v/>
      </c>
      <c r="F3032" s="4" t="s">
        <v>8</v>
      </c>
      <c r="G3032" s="2">
        <f>IF(ISNUMBER(SEARCH(Лист2!$B$4,F:F)),1,0)</f>
        <v>0</v>
      </c>
      <c r="H3032" s="3">
        <f ca="1">IF(AND(I3032&lt;&gt;I3031,ISNUMBER(SEARCH(Лист2!$B$5,I:I)),G3032=1),MAX($H$3:OFFSET(H3032,-1,0))+1,0)</f>
        <v>0</v>
      </c>
      <c r="I3032" s="3" t="s">
        <v>267</v>
      </c>
      <c r="K3032" s="2">
        <f>IF(ISNUMBER(SEARCH(Лист2!$B$4,F:F)),1,0)</f>
        <v>0</v>
      </c>
      <c r="L3032" s="14">
        <f>IF(ISNUMBER(SEARCH(Лист2!$B$5,I:I)),1,0)+K3032</f>
        <v>0</v>
      </c>
      <c r="M3032" s="3">
        <f ca="1">IF(AND(N3032&lt;&gt;N3031,ISNUMBER(SEARCH(Лист2!$B$6,N:N)),L3032=2),MAX($M$3:OFFSET(M3032,-1,0))+1,0)</f>
        <v>0</v>
      </c>
      <c r="N3032" s="3" t="s">
        <v>1997</v>
      </c>
    </row>
    <row r="3033" spans="1:14" x14ac:dyDescent="0.25">
      <c r="A3033" s="1" t="s">
        <v>11856</v>
      </c>
      <c r="B3033" s="3" t="s">
        <v>6657</v>
      </c>
      <c r="C3033" s="2">
        <f ca="1">IF(ISNUMBER(SEARCH(Лист2!$B$4,D:D)),MAX($C$3:OFFSET(C3033,-1,0))+1,0)</f>
        <v>0</v>
      </c>
      <c r="E3033" s="9" t="str">
        <f t="shared" ca="1" si="59"/>
        <v/>
      </c>
      <c r="F3033" s="4" t="s">
        <v>8</v>
      </c>
      <c r="G3033" s="2">
        <f>IF(ISNUMBER(SEARCH(Лист2!$B$4,F:F)),1,0)</f>
        <v>0</v>
      </c>
      <c r="H3033" s="3">
        <f ca="1">IF(AND(I3033&lt;&gt;I3032,ISNUMBER(SEARCH(Лист2!$B$5,I:I)),G3033=1),MAX($H$3:OFFSET(H3033,-1,0))+1,0)</f>
        <v>0</v>
      </c>
      <c r="I3033" s="3" t="s">
        <v>267</v>
      </c>
      <c r="K3033" s="2">
        <f>IF(ISNUMBER(SEARCH(Лист2!$B$4,F:F)),1,0)</f>
        <v>0</v>
      </c>
      <c r="L3033" s="14">
        <f>IF(ISNUMBER(SEARCH(Лист2!$B$5,I:I)),1,0)+K3033</f>
        <v>0</v>
      </c>
      <c r="M3033" s="3">
        <f ca="1">IF(AND(N3033&lt;&gt;N3032,ISNUMBER(SEARCH(Лист2!$B$6,N:N)),L3033=2),MAX($M$3:OFFSET(M3033,-1,0))+1,0)</f>
        <v>0</v>
      </c>
      <c r="N3033" s="3" t="s">
        <v>1385</v>
      </c>
    </row>
    <row r="3034" spans="1:14" x14ac:dyDescent="0.25">
      <c r="A3034" s="1" t="s">
        <v>11857</v>
      </c>
      <c r="B3034" s="3" t="s">
        <v>6658</v>
      </c>
      <c r="C3034" s="2">
        <f ca="1">IF(ISNUMBER(SEARCH(Лист2!$B$4,D:D)),MAX($C$3:OFFSET(C3034,-1,0))+1,0)</f>
        <v>0</v>
      </c>
      <c r="E3034" s="9" t="str">
        <f t="shared" ca="1" si="59"/>
        <v/>
      </c>
      <c r="F3034" s="4" t="s">
        <v>8</v>
      </c>
      <c r="G3034" s="2">
        <f>IF(ISNUMBER(SEARCH(Лист2!$B$4,F:F)),1,0)</f>
        <v>0</v>
      </c>
      <c r="H3034" s="3">
        <f ca="1">IF(AND(I3034&lt;&gt;I3033,ISNUMBER(SEARCH(Лист2!$B$5,I:I)),G3034=1),MAX($H$3:OFFSET(H3034,-1,0))+1,0)</f>
        <v>0</v>
      </c>
      <c r="I3034" s="3" t="s">
        <v>267</v>
      </c>
      <c r="K3034" s="2">
        <f>IF(ISNUMBER(SEARCH(Лист2!$B$4,F:F)),1,0)</f>
        <v>0</v>
      </c>
      <c r="L3034" s="14">
        <f>IF(ISNUMBER(SEARCH(Лист2!$B$5,I:I)),1,0)+K3034</f>
        <v>0</v>
      </c>
      <c r="M3034" s="3">
        <f ca="1">IF(AND(N3034&lt;&gt;N3033,ISNUMBER(SEARCH(Лист2!$B$6,N:N)),L3034=2),MAX($M$3:OFFSET(M3034,-1,0))+1,0)</f>
        <v>0</v>
      </c>
      <c r="N3034" s="3" t="s">
        <v>602</v>
      </c>
    </row>
    <row r="3035" spans="1:14" x14ac:dyDescent="0.25">
      <c r="A3035" s="1" t="s">
        <v>11858</v>
      </c>
      <c r="B3035" s="3" t="s">
        <v>6659</v>
      </c>
      <c r="C3035" s="2">
        <f ca="1">IF(ISNUMBER(SEARCH(Лист2!$B$4,D:D)),MAX($C$3:OFFSET(C3035,-1,0))+1,0)</f>
        <v>0</v>
      </c>
      <c r="E3035" s="9" t="str">
        <f t="shared" ca="1" si="59"/>
        <v/>
      </c>
      <c r="F3035" s="4" t="s">
        <v>8</v>
      </c>
      <c r="G3035" s="2">
        <f>IF(ISNUMBER(SEARCH(Лист2!$B$4,F:F)),1,0)</f>
        <v>0</v>
      </c>
      <c r="H3035" s="3">
        <f ca="1">IF(AND(I3035&lt;&gt;I3034,ISNUMBER(SEARCH(Лист2!$B$5,I:I)),G3035=1),MAX($H$3:OFFSET(H3035,-1,0))+1,0)</f>
        <v>0</v>
      </c>
      <c r="I3035" s="3" t="s">
        <v>267</v>
      </c>
      <c r="K3035" s="2">
        <f>IF(ISNUMBER(SEARCH(Лист2!$B$4,F:F)),1,0)</f>
        <v>0</v>
      </c>
      <c r="L3035" s="14">
        <f>IF(ISNUMBER(SEARCH(Лист2!$B$5,I:I)),1,0)+K3035</f>
        <v>0</v>
      </c>
      <c r="M3035" s="3">
        <f ca="1">IF(AND(N3035&lt;&gt;N3034,ISNUMBER(SEARCH(Лист2!$B$6,N:N)),L3035=2),MAX($M$3:OFFSET(M3035,-1,0))+1,0)</f>
        <v>0</v>
      </c>
      <c r="N3035" s="3" t="s">
        <v>1998</v>
      </c>
    </row>
    <row r="3036" spans="1:14" x14ac:dyDescent="0.25">
      <c r="A3036" s="1" t="s">
        <v>11859</v>
      </c>
      <c r="B3036" s="3" t="s">
        <v>6660</v>
      </c>
      <c r="C3036" s="2">
        <f ca="1">IF(ISNUMBER(SEARCH(Лист2!$B$4,D:D)),MAX($C$3:OFFSET(C3036,-1,0))+1,0)</f>
        <v>0</v>
      </c>
      <c r="E3036" s="9" t="str">
        <f t="shared" ca="1" si="59"/>
        <v/>
      </c>
      <c r="F3036" s="4" t="s">
        <v>8</v>
      </c>
      <c r="G3036" s="2">
        <f>IF(ISNUMBER(SEARCH(Лист2!$B$4,F:F)),1,0)</f>
        <v>0</v>
      </c>
      <c r="H3036" s="3">
        <f ca="1">IF(AND(I3036&lt;&gt;I3035,ISNUMBER(SEARCH(Лист2!$B$5,I:I)),G3036=1),MAX($H$3:OFFSET(H3036,-1,0))+1,0)</f>
        <v>0</v>
      </c>
      <c r="I3036" s="3" t="s">
        <v>267</v>
      </c>
      <c r="K3036" s="2">
        <f>IF(ISNUMBER(SEARCH(Лист2!$B$4,F:F)),1,0)</f>
        <v>0</v>
      </c>
      <c r="L3036" s="14">
        <f>IF(ISNUMBER(SEARCH(Лист2!$B$5,I:I)),1,0)+K3036</f>
        <v>0</v>
      </c>
      <c r="M3036" s="3">
        <f ca="1">IF(AND(N3036&lt;&gt;N3035,ISNUMBER(SEARCH(Лист2!$B$6,N:N)),L3036=2),MAX($M$3:OFFSET(M3036,-1,0))+1,0)</f>
        <v>0</v>
      </c>
      <c r="N3036" s="3" t="s">
        <v>1999</v>
      </c>
    </row>
    <row r="3037" spans="1:14" x14ac:dyDescent="0.25">
      <c r="A3037" s="1" t="s">
        <v>11860</v>
      </c>
      <c r="B3037" s="3" t="s">
        <v>6661</v>
      </c>
      <c r="C3037" s="2">
        <f ca="1">IF(ISNUMBER(SEARCH(Лист2!$B$4,D:D)),MAX($C$3:OFFSET(C3037,-1,0))+1,0)</f>
        <v>0</v>
      </c>
      <c r="E3037" s="9" t="str">
        <f t="shared" ca="1" si="59"/>
        <v/>
      </c>
      <c r="F3037" s="4" t="s">
        <v>8</v>
      </c>
      <c r="G3037" s="2">
        <f>IF(ISNUMBER(SEARCH(Лист2!$B$4,F:F)),1,0)</f>
        <v>0</v>
      </c>
      <c r="H3037" s="3">
        <f ca="1">IF(AND(I3037&lt;&gt;I3036,ISNUMBER(SEARCH(Лист2!$B$5,I:I)),G3037=1),MAX($H$3:OFFSET(H3037,-1,0))+1,0)</f>
        <v>0</v>
      </c>
      <c r="I3037" s="3" t="s">
        <v>267</v>
      </c>
      <c r="K3037" s="2">
        <f>IF(ISNUMBER(SEARCH(Лист2!$B$4,F:F)),1,0)</f>
        <v>0</v>
      </c>
      <c r="L3037" s="14">
        <f>IF(ISNUMBER(SEARCH(Лист2!$B$5,I:I)),1,0)+K3037</f>
        <v>0</v>
      </c>
      <c r="M3037" s="3">
        <f ca="1">IF(AND(N3037&lt;&gt;N3036,ISNUMBER(SEARCH(Лист2!$B$6,N:N)),L3037=2),MAX($M$3:OFFSET(M3037,-1,0))+1,0)</f>
        <v>0</v>
      </c>
      <c r="N3037" s="3" t="s">
        <v>2000</v>
      </c>
    </row>
    <row r="3038" spans="1:14" x14ac:dyDescent="0.25">
      <c r="A3038" s="1" t="s">
        <v>11861</v>
      </c>
      <c r="B3038" s="3" t="s">
        <v>6662</v>
      </c>
      <c r="C3038" s="2">
        <f ca="1">IF(ISNUMBER(SEARCH(Лист2!$B$4,D:D)),MAX($C$3:OFFSET(C3038,-1,0))+1,0)</f>
        <v>0</v>
      </c>
      <c r="E3038" s="9" t="str">
        <f t="shared" ca="1" si="59"/>
        <v/>
      </c>
      <c r="F3038" s="4" t="s">
        <v>8</v>
      </c>
      <c r="G3038" s="2">
        <f>IF(ISNUMBER(SEARCH(Лист2!$B$4,F:F)),1,0)</f>
        <v>0</v>
      </c>
      <c r="H3038" s="3">
        <f ca="1">IF(AND(I3038&lt;&gt;I3037,ISNUMBER(SEARCH(Лист2!$B$5,I:I)),G3038=1),MAX($H$3:OFFSET(H3038,-1,0))+1,0)</f>
        <v>0</v>
      </c>
      <c r="I3038" s="3" t="s">
        <v>267</v>
      </c>
      <c r="K3038" s="2">
        <f>IF(ISNUMBER(SEARCH(Лист2!$B$4,F:F)),1,0)</f>
        <v>0</v>
      </c>
      <c r="L3038" s="14">
        <f>IF(ISNUMBER(SEARCH(Лист2!$B$5,I:I)),1,0)+K3038</f>
        <v>0</v>
      </c>
      <c r="M3038" s="3">
        <f ca="1">IF(AND(N3038&lt;&gt;N3037,ISNUMBER(SEARCH(Лист2!$B$6,N:N)),L3038=2),MAX($M$3:OFFSET(M3038,-1,0))+1,0)</f>
        <v>0</v>
      </c>
      <c r="N3038" s="3" t="s">
        <v>2001</v>
      </c>
    </row>
    <row r="3039" spans="1:14" x14ac:dyDescent="0.25">
      <c r="A3039" s="1" t="s">
        <v>11862</v>
      </c>
      <c r="B3039" s="3" t="s">
        <v>6663</v>
      </c>
      <c r="C3039" s="2">
        <f ca="1">IF(ISNUMBER(SEARCH(Лист2!$B$4,D:D)),MAX($C$3:OFFSET(C3039,-1,0))+1,0)</f>
        <v>0</v>
      </c>
      <c r="E3039" s="9" t="str">
        <f t="shared" ca="1" si="59"/>
        <v/>
      </c>
      <c r="F3039" s="4" t="s">
        <v>8</v>
      </c>
      <c r="G3039" s="2">
        <f>IF(ISNUMBER(SEARCH(Лист2!$B$4,F:F)),1,0)</f>
        <v>0</v>
      </c>
      <c r="H3039" s="3">
        <f ca="1">IF(AND(I3039&lt;&gt;I3038,ISNUMBER(SEARCH(Лист2!$B$5,I:I)),G3039=1),MAX($H$3:OFFSET(H3039,-1,0))+1,0)</f>
        <v>0</v>
      </c>
      <c r="I3039" s="3" t="s">
        <v>267</v>
      </c>
      <c r="K3039" s="2">
        <f>IF(ISNUMBER(SEARCH(Лист2!$B$4,F:F)),1,0)</f>
        <v>0</v>
      </c>
      <c r="L3039" s="14">
        <f>IF(ISNUMBER(SEARCH(Лист2!$B$5,I:I)),1,0)+K3039</f>
        <v>0</v>
      </c>
      <c r="M3039" s="3">
        <f ca="1">IF(AND(N3039&lt;&gt;N3038,ISNUMBER(SEARCH(Лист2!$B$6,N:N)),L3039=2),MAX($M$3:OFFSET(M3039,-1,0))+1,0)</f>
        <v>0</v>
      </c>
      <c r="N3039" s="3" t="s">
        <v>2002</v>
      </c>
    </row>
    <row r="3040" spans="1:14" x14ac:dyDescent="0.25">
      <c r="A3040" s="1" t="s">
        <v>11863</v>
      </c>
      <c r="B3040" s="3" t="s">
        <v>6664</v>
      </c>
      <c r="C3040" s="2">
        <f ca="1">IF(ISNUMBER(SEARCH(Лист2!$B$4,D:D)),MAX($C$3:OFFSET(C3040,-1,0))+1,0)</f>
        <v>0</v>
      </c>
      <c r="E3040" s="9" t="str">
        <f t="shared" ca="1" si="59"/>
        <v/>
      </c>
      <c r="F3040" s="4" t="s">
        <v>8</v>
      </c>
      <c r="G3040" s="2">
        <f>IF(ISNUMBER(SEARCH(Лист2!$B$4,F:F)),1,0)</f>
        <v>0</v>
      </c>
      <c r="H3040" s="3">
        <f ca="1">IF(AND(I3040&lt;&gt;I3039,ISNUMBER(SEARCH(Лист2!$B$5,I:I)),G3040=1),MAX($H$3:OFFSET(H3040,-1,0))+1,0)</f>
        <v>0</v>
      </c>
      <c r="I3040" s="3" t="s">
        <v>267</v>
      </c>
      <c r="K3040" s="2">
        <f>IF(ISNUMBER(SEARCH(Лист2!$B$4,F:F)),1,0)</f>
        <v>0</v>
      </c>
      <c r="L3040" s="14">
        <f>IF(ISNUMBER(SEARCH(Лист2!$B$5,I:I)),1,0)+K3040</f>
        <v>0</v>
      </c>
      <c r="M3040" s="3">
        <f ca="1">IF(AND(N3040&lt;&gt;N3039,ISNUMBER(SEARCH(Лист2!$B$6,N:N)),L3040=2),MAX($M$3:OFFSET(M3040,-1,0))+1,0)</f>
        <v>0</v>
      </c>
      <c r="N3040" s="3" t="s">
        <v>2003</v>
      </c>
    </row>
    <row r="3041" spans="1:14" x14ac:dyDescent="0.25">
      <c r="A3041" s="1" t="s">
        <v>11864</v>
      </c>
      <c r="B3041" s="3" t="s">
        <v>6665</v>
      </c>
      <c r="C3041" s="2">
        <f ca="1">IF(ISNUMBER(SEARCH(Лист2!$B$4,D:D)),MAX($C$3:OFFSET(C3041,-1,0))+1,0)</f>
        <v>0</v>
      </c>
      <c r="E3041" s="9" t="str">
        <f t="shared" ca="1" si="59"/>
        <v/>
      </c>
      <c r="F3041" s="4" t="s">
        <v>8</v>
      </c>
      <c r="G3041" s="2">
        <f>IF(ISNUMBER(SEARCH(Лист2!$B$4,F:F)),1,0)</f>
        <v>0</v>
      </c>
      <c r="H3041" s="3">
        <f ca="1">IF(AND(I3041&lt;&gt;I3040,ISNUMBER(SEARCH(Лист2!$B$5,I:I)),G3041=1),MAX($H$3:OFFSET(H3041,-1,0))+1,0)</f>
        <v>0</v>
      </c>
      <c r="I3041" s="3" t="s">
        <v>267</v>
      </c>
      <c r="K3041" s="2">
        <f>IF(ISNUMBER(SEARCH(Лист2!$B$4,F:F)),1,0)</f>
        <v>0</v>
      </c>
      <c r="L3041" s="14">
        <f>IF(ISNUMBER(SEARCH(Лист2!$B$5,I:I)),1,0)+K3041</f>
        <v>0</v>
      </c>
      <c r="M3041" s="3">
        <f ca="1">IF(AND(N3041&lt;&gt;N3040,ISNUMBER(SEARCH(Лист2!$B$6,N:N)),L3041=2),MAX($M$3:OFFSET(M3041,-1,0))+1,0)</f>
        <v>0</v>
      </c>
      <c r="N3041" s="3" t="s">
        <v>2004</v>
      </c>
    </row>
    <row r="3042" spans="1:14" x14ac:dyDescent="0.25">
      <c r="A3042" s="1" t="s">
        <v>11865</v>
      </c>
      <c r="B3042" s="3" t="s">
        <v>6666</v>
      </c>
      <c r="C3042" s="2">
        <f ca="1">IF(ISNUMBER(SEARCH(Лист2!$B$4,D:D)),MAX($C$3:OFFSET(C3042,-1,0))+1,0)</f>
        <v>0</v>
      </c>
      <c r="E3042" s="9" t="str">
        <f t="shared" ca="1" si="59"/>
        <v/>
      </c>
      <c r="F3042" s="4" t="s">
        <v>8</v>
      </c>
      <c r="G3042" s="2">
        <f>IF(ISNUMBER(SEARCH(Лист2!$B$4,F:F)),1,0)</f>
        <v>0</v>
      </c>
      <c r="H3042" s="3">
        <f ca="1">IF(AND(I3042&lt;&gt;I3041,ISNUMBER(SEARCH(Лист2!$B$5,I:I)),G3042=1),MAX($H$3:OFFSET(H3042,-1,0))+1,0)</f>
        <v>0</v>
      </c>
      <c r="I3042" s="3" t="s">
        <v>267</v>
      </c>
      <c r="K3042" s="2">
        <f>IF(ISNUMBER(SEARCH(Лист2!$B$4,F:F)),1,0)</f>
        <v>0</v>
      </c>
      <c r="L3042" s="14">
        <f>IF(ISNUMBER(SEARCH(Лист2!$B$5,I:I)),1,0)+K3042</f>
        <v>0</v>
      </c>
      <c r="M3042" s="3">
        <f ca="1">IF(AND(N3042&lt;&gt;N3041,ISNUMBER(SEARCH(Лист2!$B$6,N:N)),L3042=2),MAX($M$3:OFFSET(M3042,-1,0))+1,0)</f>
        <v>0</v>
      </c>
      <c r="N3042" s="3" t="s">
        <v>2005</v>
      </c>
    </row>
    <row r="3043" spans="1:14" x14ac:dyDescent="0.25">
      <c r="A3043" s="1" t="s">
        <v>11866</v>
      </c>
      <c r="B3043" s="3" t="s">
        <v>6667</v>
      </c>
      <c r="C3043" s="2">
        <f ca="1">IF(ISNUMBER(SEARCH(Лист2!$B$4,D:D)),MAX($C$3:OFFSET(C3043,-1,0))+1,0)</f>
        <v>0</v>
      </c>
      <c r="E3043" s="9" t="str">
        <f t="shared" ca="1" si="59"/>
        <v/>
      </c>
      <c r="F3043" s="4" t="s">
        <v>8</v>
      </c>
      <c r="G3043" s="2">
        <f>IF(ISNUMBER(SEARCH(Лист2!$B$4,F:F)),1,0)</f>
        <v>0</v>
      </c>
      <c r="H3043" s="3">
        <f ca="1">IF(AND(I3043&lt;&gt;I3042,ISNUMBER(SEARCH(Лист2!$B$5,I:I)),G3043=1),MAX($H$3:OFFSET(H3043,-1,0))+1,0)</f>
        <v>0</v>
      </c>
      <c r="I3043" s="3" t="s">
        <v>267</v>
      </c>
      <c r="K3043" s="2">
        <f>IF(ISNUMBER(SEARCH(Лист2!$B$4,F:F)),1,0)</f>
        <v>0</v>
      </c>
      <c r="L3043" s="14">
        <f>IF(ISNUMBER(SEARCH(Лист2!$B$5,I:I)),1,0)+K3043</f>
        <v>0</v>
      </c>
      <c r="M3043" s="3">
        <f ca="1">IF(AND(N3043&lt;&gt;N3042,ISNUMBER(SEARCH(Лист2!$B$6,N:N)),L3043=2),MAX($M$3:OFFSET(M3043,-1,0))+1,0)</f>
        <v>0</v>
      </c>
      <c r="N3043" s="3" t="s">
        <v>2006</v>
      </c>
    </row>
    <row r="3044" spans="1:14" x14ac:dyDescent="0.25">
      <c r="A3044" s="1" t="s">
        <v>11867</v>
      </c>
      <c r="B3044" s="3" t="s">
        <v>6668</v>
      </c>
      <c r="C3044" s="2">
        <f ca="1">IF(ISNUMBER(SEARCH(Лист2!$B$4,D:D)),MAX($C$3:OFFSET(C3044,-1,0))+1,0)</f>
        <v>0</v>
      </c>
      <c r="E3044" s="9" t="str">
        <f t="shared" ca="1" si="59"/>
        <v/>
      </c>
      <c r="F3044" s="4" t="s">
        <v>8</v>
      </c>
      <c r="G3044" s="2">
        <f>IF(ISNUMBER(SEARCH(Лист2!$B$4,F:F)),1,0)</f>
        <v>0</v>
      </c>
      <c r="H3044" s="3">
        <f ca="1">IF(AND(I3044&lt;&gt;I3043,ISNUMBER(SEARCH(Лист2!$B$5,I:I)),G3044=1),MAX($H$3:OFFSET(H3044,-1,0))+1,0)</f>
        <v>0</v>
      </c>
      <c r="I3044" s="3" t="s">
        <v>267</v>
      </c>
      <c r="K3044" s="2">
        <f>IF(ISNUMBER(SEARCH(Лист2!$B$4,F:F)),1,0)</f>
        <v>0</v>
      </c>
      <c r="L3044" s="14">
        <f>IF(ISNUMBER(SEARCH(Лист2!$B$5,I:I)),1,0)+K3044</f>
        <v>0</v>
      </c>
      <c r="M3044" s="3">
        <f ca="1">IF(AND(N3044&lt;&gt;N3043,ISNUMBER(SEARCH(Лист2!$B$6,N:N)),L3044=2),MAX($M$3:OFFSET(M3044,-1,0))+1,0)</f>
        <v>0</v>
      </c>
      <c r="N3044" s="3" t="s">
        <v>2007</v>
      </c>
    </row>
    <row r="3045" spans="1:14" x14ac:dyDescent="0.25">
      <c r="A3045" s="1" t="s">
        <v>11868</v>
      </c>
      <c r="B3045" s="3" t="s">
        <v>6669</v>
      </c>
      <c r="C3045" s="2">
        <f ca="1">IF(ISNUMBER(SEARCH(Лист2!$B$4,D:D)),MAX($C$3:OFFSET(C3045,-1,0))+1,0)</f>
        <v>0</v>
      </c>
      <c r="E3045" s="9" t="str">
        <f t="shared" ca="1" si="59"/>
        <v/>
      </c>
      <c r="F3045" s="4" t="s">
        <v>8</v>
      </c>
      <c r="G3045" s="2">
        <f>IF(ISNUMBER(SEARCH(Лист2!$B$4,F:F)),1,0)</f>
        <v>0</v>
      </c>
      <c r="H3045" s="3">
        <f ca="1">IF(AND(I3045&lt;&gt;I3044,ISNUMBER(SEARCH(Лист2!$B$5,I:I)),G3045=1),MAX($H$3:OFFSET(H3045,-1,0))+1,0)</f>
        <v>0</v>
      </c>
      <c r="I3045" s="3" t="s">
        <v>267</v>
      </c>
      <c r="K3045" s="2">
        <f>IF(ISNUMBER(SEARCH(Лист2!$B$4,F:F)),1,0)</f>
        <v>0</v>
      </c>
      <c r="L3045" s="14">
        <f>IF(ISNUMBER(SEARCH(Лист2!$B$5,I:I)),1,0)+K3045</f>
        <v>0</v>
      </c>
      <c r="M3045" s="3">
        <f ca="1">IF(AND(N3045&lt;&gt;N3044,ISNUMBER(SEARCH(Лист2!$B$6,N:N)),L3045=2),MAX($M$3:OFFSET(M3045,-1,0))+1,0)</f>
        <v>0</v>
      </c>
      <c r="N3045" s="3" t="s">
        <v>2008</v>
      </c>
    </row>
    <row r="3046" spans="1:14" x14ac:dyDescent="0.25">
      <c r="A3046" s="1" t="s">
        <v>11869</v>
      </c>
      <c r="B3046" s="3" t="s">
        <v>6670</v>
      </c>
      <c r="C3046" s="2">
        <f ca="1">IF(ISNUMBER(SEARCH(Лист2!$B$4,D:D)),MAX($C$3:OFFSET(C3046,-1,0))+1,0)</f>
        <v>0</v>
      </c>
      <c r="E3046" s="9" t="str">
        <f t="shared" ca="1" si="59"/>
        <v/>
      </c>
      <c r="F3046" s="4" t="s">
        <v>8</v>
      </c>
      <c r="G3046" s="2">
        <f>IF(ISNUMBER(SEARCH(Лист2!$B$4,F:F)),1,0)</f>
        <v>0</v>
      </c>
      <c r="H3046" s="3">
        <f ca="1">IF(AND(I3046&lt;&gt;I3045,ISNUMBER(SEARCH(Лист2!$B$5,I:I)),G3046=1),MAX($H$3:OFFSET(H3046,-1,0))+1,0)</f>
        <v>0</v>
      </c>
      <c r="I3046" s="3" t="s">
        <v>268</v>
      </c>
      <c r="K3046" s="2">
        <f>IF(ISNUMBER(SEARCH(Лист2!$B$4,F:F)),1,0)</f>
        <v>0</v>
      </c>
      <c r="L3046" s="14">
        <f>IF(ISNUMBER(SEARCH(Лист2!$B$5,I:I)),1,0)+K3046</f>
        <v>0</v>
      </c>
      <c r="M3046" s="3">
        <f ca="1">IF(AND(N3046&lt;&gt;N3045,ISNUMBER(SEARCH(Лист2!$B$6,N:N)),L3046=2),MAX($M$3:OFFSET(M3046,-1,0))+1,0)</f>
        <v>0</v>
      </c>
      <c r="N3046" s="3" t="s">
        <v>1993</v>
      </c>
    </row>
    <row r="3047" spans="1:14" x14ac:dyDescent="0.25">
      <c r="A3047" s="1" t="s">
        <v>11870</v>
      </c>
      <c r="B3047" s="3" t="s">
        <v>6671</v>
      </c>
      <c r="C3047" s="2">
        <f ca="1">IF(ISNUMBER(SEARCH(Лист2!$B$4,D:D)),MAX($C$3:OFFSET(C3047,-1,0))+1,0)</f>
        <v>0</v>
      </c>
      <c r="E3047" s="9" t="str">
        <f t="shared" ca="1" si="59"/>
        <v/>
      </c>
      <c r="F3047" s="4" t="s">
        <v>8</v>
      </c>
      <c r="G3047" s="2">
        <f>IF(ISNUMBER(SEARCH(Лист2!$B$4,F:F)),1,0)</f>
        <v>0</v>
      </c>
      <c r="H3047" s="3">
        <f ca="1">IF(AND(I3047&lt;&gt;I3046,ISNUMBER(SEARCH(Лист2!$B$5,I:I)),G3047=1),MAX($H$3:OFFSET(H3047,-1,0))+1,0)</f>
        <v>0</v>
      </c>
      <c r="I3047" s="3" t="s">
        <v>268</v>
      </c>
      <c r="K3047" s="2">
        <f>IF(ISNUMBER(SEARCH(Лист2!$B$4,F:F)),1,0)</f>
        <v>0</v>
      </c>
      <c r="L3047" s="14">
        <f>IF(ISNUMBER(SEARCH(Лист2!$B$5,I:I)),1,0)+K3047</f>
        <v>0</v>
      </c>
      <c r="M3047" s="3">
        <f ca="1">IF(AND(N3047&lt;&gt;N3046,ISNUMBER(SEARCH(Лист2!$B$6,N:N)),L3047=2),MAX($M$3:OFFSET(M3047,-1,0))+1,0)</f>
        <v>0</v>
      </c>
      <c r="N3047" s="3" t="s">
        <v>1994</v>
      </c>
    </row>
    <row r="3048" spans="1:14" x14ac:dyDescent="0.25">
      <c r="A3048" s="1" t="s">
        <v>11871</v>
      </c>
      <c r="B3048" s="3" t="s">
        <v>6672</v>
      </c>
      <c r="C3048" s="2">
        <f ca="1">IF(ISNUMBER(SEARCH(Лист2!$B$4,D:D)),MAX($C$3:OFFSET(C3048,-1,0))+1,0)</f>
        <v>0</v>
      </c>
      <c r="E3048" s="9" t="str">
        <f t="shared" ca="1" si="59"/>
        <v/>
      </c>
      <c r="F3048" s="4" t="s">
        <v>8</v>
      </c>
      <c r="G3048" s="2">
        <f>IF(ISNUMBER(SEARCH(Лист2!$B$4,F:F)),1,0)</f>
        <v>0</v>
      </c>
      <c r="H3048" s="3">
        <f ca="1">IF(AND(I3048&lt;&gt;I3047,ISNUMBER(SEARCH(Лист2!$B$5,I:I)),G3048=1),MAX($H$3:OFFSET(H3048,-1,0))+1,0)</f>
        <v>0</v>
      </c>
      <c r="I3048" s="3" t="s">
        <v>268</v>
      </c>
      <c r="K3048" s="2">
        <f>IF(ISNUMBER(SEARCH(Лист2!$B$4,F:F)),1,0)</f>
        <v>0</v>
      </c>
      <c r="L3048" s="14">
        <f>IF(ISNUMBER(SEARCH(Лист2!$B$5,I:I)),1,0)+K3048</f>
        <v>0</v>
      </c>
      <c r="M3048" s="3">
        <f ca="1">IF(AND(N3048&lt;&gt;N3047,ISNUMBER(SEARCH(Лист2!$B$6,N:N)),L3048=2),MAX($M$3:OFFSET(M3048,-1,0))+1,0)</f>
        <v>0</v>
      </c>
      <c r="N3048" s="3" t="s">
        <v>1995</v>
      </c>
    </row>
    <row r="3049" spans="1:14" x14ac:dyDescent="0.25">
      <c r="A3049" s="1" t="s">
        <v>11872</v>
      </c>
      <c r="B3049" s="3" t="s">
        <v>6673</v>
      </c>
      <c r="C3049" s="2">
        <f ca="1">IF(ISNUMBER(SEARCH(Лист2!$B$4,D:D)),MAX($C$3:OFFSET(C3049,-1,0))+1,0)</f>
        <v>0</v>
      </c>
      <c r="E3049" s="9" t="str">
        <f t="shared" ca="1" si="59"/>
        <v/>
      </c>
      <c r="F3049" s="4" t="s">
        <v>8</v>
      </c>
      <c r="G3049" s="2">
        <f>IF(ISNUMBER(SEARCH(Лист2!$B$4,F:F)),1,0)</f>
        <v>0</v>
      </c>
      <c r="H3049" s="3">
        <f ca="1">IF(AND(I3049&lt;&gt;I3048,ISNUMBER(SEARCH(Лист2!$B$5,I:I)),G3049=1),MAX($H$3:OFFSET(H3049,-1,0))+1,0)</f>
        <v>0</v>
      </c>
      <c r="I3049" s="3" t="s">
        <v>268</v>
      </c>
      <c r="K3049" s="2">
        <f>IF(ISNUMBER(SEARCH(Лист2!$B$4,F:F)),1,0)</f>
        <v>0</v>
      </c>
      <c r="L3049" s="14">
        <f>IF(ISNUMBER(SEARCH(Лист2!$B$5,I:I)),1,0)+K3049</f>
        <v>0</v>
      </c>
      <c r="M3049" s="3">
        <f ca="1">IF(AND(N3049&lt;&gt;N3048,ISNUMBER(SEARCH(Лист2!$B$6,N:N)),L3049=2),MAX($M$3:OFFSET(M3049,-1,0))+1,0)</f>
        <v>0</v>
      </c>
      <c r="N3049" s="3" t="s">
        <v>1996</v>
      </c>
    </row>
    <row r="3050" spans="1:14" x14ac:dyDescent="0.25">
      <c r="A3050" s="1" t="s">
        <v>11873</v>
      </c>
      <c r="B3050" s="3" t="s">
        <v>6674</v>
      </c>
      <c r="C3050" s="2">
        <f ca="1">IF(ISNUMBER(SEARCH(Лист2!$B$4,D:D)),MAX($C$3:OFFSET(C3050,-1,0))+1,0)</f>
        <v>0</v>
      </c>
      <c r="E3050" s="9" t="str">
        <f t="shared" ca="1" si="59"/>
        <v/>
      </c>
      <c r="F3050" s="4" t="s">
        <v>8</v>
      </c>
      <c r="G3050" s="2">
        <f>IF(ISNUMBER(SEARCH(Лист2!$B$4,F:F)),1,0)</f>
        <v>0</v>
      </c>
      <c r="H3050" s="3">
        <f ca="1">IF(AND(I3050&lt;&gt;I3049,ISNUMBER(SEARCH(Лист2!$B$5,I:I)),G3050=1),MAX($H$3:OFFSET(H3050,-1,0))+1,0)</f>
        <v>0</v>
      </c>
      <c r="I3050" s="3" t="s">
        <v>268</v>
      </c>
      <c r="K3050" s="2">
        <f>IF(ISNUMBER(SEARCH(Лист2!$B$4,F:F)),1,0)</f>
        <v>0</v>
      </c>
      <c r="L3050" s="14">
        <f>IF(ISNUMBER(SEARCH(Лист2!$B$5,I:I)),1,0)+K3050</f>
        <v>0</v>
      </c>
      <c r="M3050" s="3">
        <f ca="1">IF(AND(N3050&lt;&gt;N3049,ISNUMBER(SEARCH(Лист2!$B$6,N:N)),L3050=2),MAX($M$3:OFFSET(M3050,-1,0))+1,0)</f>
        <v>0</v>
      </c>
      <c r="N3050" s="3" t="s">
        <v>1997</v>
      </c>
    </row>
    <row r="3051" spans="1:14" x14ac:dyDescent="0.25">
      <c r="A3051" s="1" t="s">
        <v>11874</v>
      </c>
      <c r="B3051" s="3" t="s">
        <v>6675</v>
      </c>
      <c r="C3051" s="2">
        <f ca="1">IF(ISNUMBER(SEARCH(Лист2!$B$4,D:D)),MAX($C$3:OFFSET(C3051,-1,0))+1,0)</f>
        <v>0</v>
      </c>
      <c r="E3051" s="9" t="str">
        <f t="shared" ca="1" si="59"/>
        <v/>
      </c>
      <c r="F3051" s="4" t="s">
        <v>8</v>
      </c>
      <c r="G3051" s="2">
        <f>IF(ISNUMBER(SEARCH(Лист2!$B$4,F:F)),1,0)</f>
        <v>0</v>
      </c>
      <c r="H3051" s="3">
        <f ca="1">IF(AND(I3051&lt;&gt;I3050,ISNUMBER(SEARCH(Лист2!$B$5,I:I)),G3051=1),MAX($H$3:OFFSET(H3051,-1,0))+1,0)</f>
        <v>0</v>
      </c>
      <c r="I3051" s="3" t="s">
        <v>268</v>
      </c>
      <c r="K3051" s="2">
        <f>IF(ISNUMBER(SEARCH(Лист2!$B$4,F:F)),1,0)</f>
        <v>0</v>
      </c>
      <c r="L3051" s="14">
        <f>IF(ISNUMBER(SEARCH(Лист2!$B$5,I:I)),1,0)+K3051</f>
        <v>0</v>
      </c>
      <c r="M3051" s="3">
        <f ca="1">IF(AND(N3051&lt;&gt;N3050,ISNUMBER(SEARCH(Лист2!$B$6,N:N)),L3051=2),MAX($M$3:OFFSET(M3051,-1,0))+1,0)</f>
        <v>0</v>
      </c>
      <c r="N3051" s="3" t="s">
        <v>1385</v>
      </c>
    </row>
    <row r="3052" spans="1:14" x14ac:dyDescent="0.25">
      <c r="A3052" s="1" t="s">
        <v>11875</v>
      </c>
      <c r="B3052" s="3" t="s">
        <v>6676</v>
      </c>
      <c r="C3052" s="2">
        <f ca="1">IF(ISNUMBER(SEARCH(Лист2!$B$4,D:D)),MAX($C$3:OFFSET(C3052,-1,0))+1,0)</f>
        <v>0</v>
      </c>
      <c r="E3052" s="9" t="str">
        <f t="shared" ca="1" si="59"/>
        <v/>
      </c>
      <c r="F3052" s="4" t="s">
        <v>8</v>
      </c>
      <c r="G3052" s="2">
        <f>IF(ISNUMBER(SEARCH(Лист2!$B$4,F:F)),1,0)</f>
        <v>0</v>
      </c>
      <c r="H3052" s="3">
        <f ca="1">IF(AND(I3052&lt;&gt;I3051,ISNUMBER(SEARCH(Лист2!$B$5,I:I)),G3052=1),MAX($H$3:OFFSET(H3052,-1,0))+1,0)</f>
        <v>0</v>
      </c>
      <c r="I3052" s="3" t="s">
        <v>268</v>
      </c>
      <c r="K3052" s="2">
        <f>IF(ISNUMBER(SEARCH(Лист2!$B$4,F:F)),1,0)</f>
        <v>0</v>
      </c>
      <c r="L3052" s="14">
        <f>IF(ISNUMBER(SEARCH(Лист2!$B$5,I:I)),1,0)+K3052</f>
        <v>0</v>
      </c>
      <c r="M3052" s="3">
        <f ca="1">IF(AND(N3052&lt;&gt;N3051,ISNUMBER(SEARCH(Лист2!$B$6,N:N)),L3052=2),MAX($M$3:OFFSET(M3052,-1,0))+1,0)</f>
        <v>0</v>
      </c>
      <c r="N3052" s="3" t="s">
        <v>602</v>
      </c>
    </row>
    <row r="3053" spans="1:14" x14ac:dyDescent="0.25">
      <c r="A3053" s="1" t="s">
        <v>11876</v>
      </c>
      <c r="B3053" s="3" t="s">
        <v>6677</v>
      </c>
      <c r="C3053" s="2">
        <f ca="1">IF(ISNUMBER(SEARCH(Лист2!$B$4,D:D)),MAX($C$3:OFFSET(C3053,-1,0))+1,0)</f>
        <v>0</v>
      </c>
      <c r="E3053" s="9" t="str">
        <f t="shared" ca="1" si="59"/>
        <v/>
      </c>
      <c r="F3053" s="4" t="s">
        <v>8</v>
      </c>
      <c r="G3053" s="2">
        <f>IF(ISNUMBER(SEARCH(Лист2!$B$4,F:F)),1,0)</f>
        <v>0</v>
      </c>
      <c r="H3053" s="3">
        <f ca="1">IF(AND(I3053&lt;&gt;I3052,ISNUMBER(SEARCH(Лист2!$B$5,I:I)),G3053=1),MAX($H$3:OFFSET(H3053,-1,0))+1,0)</f>
        <v>0</v>
      </c>
      <c r="I3053" s="3" t="s">
        <v>268</v>
      </c>
      <c r="K3053" s="2">
        <f>IF(ISNUMBER(SEARCH(Лист2!$B$4,F:F)),1,0)</f>
        <v>0</v>
      </c>
      <c r="L3053" s="14">
        <f>IF(ISNUMBER(SEARCH(Лист2!$B$5,I:I)),1,0)+K3053</f>
        <v>0</v>
      </c>
      <c r="M3053" s="3">
        <f ca="1">IF(AND(N3053&lt;&gt;N3052,ISNUMBER(SEARCH(Лист2!$B$6,N:N)),L3053=2),MAX($M$3:OFFSET(M3053,-1,0))+1,0)</f>
        <v>0</v>
      </c>
      <c r="N3053" s="3" t="s">
        <v>2009</v>
      </c>
    </row>
    <row r="3054" spans="1:14" x14ac:dyDescent="0.25">
      <c r="A3054" s="1" t="s">
        <v>11877</v>
      </c>
      <c r="B3054" s="3" t="s">
        <v>6678</v>
      </c>
      <c r="C3054" s="2">
        <f ca="1">IF(ISNUMBER(SEARCH(Лист2!$B$4,D:D)),MAX($C$3:OFFSET(C3054,-1,0))+1,0)</f>
        <v>0</v>
      </c>
      <c r="E3054" s="9" t="str">
        <f t="shared" ca="1" si="59"/>
        <v/>
      </c>
      <c r="F3054" s="4" t="s">
        <v>8</v>
      </c>
      <c r="G3054" s="2">
        <f>IF(ISNUMBER(SEARCH(Лист2!$B$4,F:F)),1,0)</f>
        <v>0</v>
      </c>
      <c r="H3054" s="3">
        <f ca="1">IF(AND(I3054&lt;&gt;I3053,ISNUMBER(SEARCH(Лист2!$B$5,I:I)),G3054=1),MAX($H$3:OFFSET(H3054,-1,0))+1,0)</f>
        <v>0</v>
      </c>
      <c r="I3054" s="3" t="s">
        <v>268</v>
      </c>
      <c r="K3054" s="2">
        <f>IF(ISNUMBER(SEARCH(Лист2!$B$4,F:F)),1,0)</f>
        <v>0</v>
      </c>
      <c r="L3054" s="14">
        <f>IF(ISNUMBER(SEARCH(Лист2!$B$5,I:I)),1,0)+K3054</f>
        <v>0</v>
      </c>
      <c r="M3054" s="3">
        <f ca="1">IF(AND(N3054&lt;&gt;N3053,ISNUMBER(SEARCH(Лист2!$B$6,N:N)),L3054=2),MAX($M$3:OFFSET(M3054,-1,0))+1,0)</f>
        <v>0</v>
      </c>
      <c r="N3054" s="3" t="s">
        <v>1999</v>
      </c>
    </row>
    <row r="3055" spans="1:14" x14ac:dyDescent="0.25">
      <c r="A3055" s="1" t="s">
        <v>11878</v>
      </c>
      <c r="B3055" s="3" t="s">
        <v>6679</v>
      </c>
      <c r="C3055" s="2">
        <f ca="1">IF(ISNUMBER(SEARCH(Лист2!$B$4,D:D)),MAX($C$3:OFFSET(C3055,-1,0))+1,0)</f>
        <v>0</v>
      </c>
      <c r="E3055" s="9" t="str">
        <f t="shared" ca="1" si="59"/>
        <v/>
      </c>
      <c r="F3055" s="4" t="s">
        <v>8</v>
      </c>
      <c r="G3055" s="2">
        <f>IF(ISNUMBER(SEARCH(Лист2!$B$4,F:F)),1,0)</f>
        <v>0</v>
      </c>
      <c r="H3055" s="3">
        <f ca="1">IF(AND(I3055&lt;&gt;I3054,ISNUMBER(SEARCH(Лист2!$B$5,I:I)),G3055=1),MAX($H$3:OFFSET(H3055,-1,0))+1,0)</f>
        <v>0</v>
      </c>
      <c r="I3055" s="3" t="s">
        <v>268</v>
      </c>
      <c r="K3055" s="2">
        <f>IF(ISNUMBER(SEARCH(Лист2!$B$4,F:F)),1,0)</f>
        <v>0</v>
      </c>
      <c r="L3055" s="14">
        <f>IF(ISNUMBER(SEARCH(Лист2!$B$5,I:I)),1,0)+K3055</f>
        <v>0</v>
      </c>
      <c r="M3055" s="3">
        <f ca="1">IF(AND(N3055&lt;&gt;N3054,ISNUMBER(SEARCH(Лист2!$B$6,N:N)),L3055=2),MAX($M$3:OFFSET(M3055,-1,0))+1,0)</f>
        <v>0</v>
      </c>
      <c r="N3055" s="3" t="s">
        <v>2010</v>
      </c>
    </row>
    <row r="3056" spans="1:14" x14ac:dyDescent="0.25">
      <c r="A3056" s="1" t="s">
        <v>11879</v>
      </c>
      <c r="B3056" s="3" t="s">
        <v>6680</v>
      </c>
      <c r="C3056" s="2">
        <f ca="1">IF(ISNUMBER(SEARCH(Лист2!$B$4,D:D)),MAX($C$3:OFFSET(C3056,-1,0))+1,0)</f>
        <v>0</v>
      </c>
      <c r="E3056" s="9" t="str">
        <f t="shared" ca="1" si="59"/>
        <v/>
      </c>
      <c r="F3056" s="4" t="s">
        <v>8</v>
      </c>
      <c r="G3056" s="2">
        <f>IF(ISNUMBER(SEARCH(Лист2!$B$4,F:F)),1,0)</f>
        <v>0</v>
      </c>
      <c r="H3056" s="3">
        <f ca="1">IF(AND(I3056&lt;&gt;I3055,ISNUMBER(SEARCH(Лист2!$B$5,I:I)),G3056=1),MAX($H$3:OFFSET(H3056,-1,0))+1,0)</f>
        <v>0</v>
      </c>
      <c r="I3056" s="3" t="s">
        <v>268</v>
      </c>
      <c r="K3056" s="2">
        <f>IF(ISNUMBER(SEARCH(Лист2!$B$4,F:F)),1,0)</f>
        <v>0</v>
      </c>
      <c r="L3056" s="14">
        <f>IF(ISNUMBER(SEARCH(Лист2!$B$5,I:I)),1,0)+K3056</f>
        <v>0</v>
      </c>
      <c r="M3056" s="3">
        <f ca="1">IF(AND(N3056&lt;&gt;N3055,ISNUMBER(SEARCH(Лист2!$B$6,N:N)),L3056=2),MAX($M$3:OFFSET(M3056,-1,0))+1,0)</f>
        <v>0</v>
      </c>
      <c r="N3056" s="3" t="s">
        <v>2001</v>
      </c>
    </row>
    <row r="3057" spans="1:14" x14ac:dyDescent="0.25">
      <c r="A3057" s="1" t="s">
        <v>11880</v>
      </c>
      <c r="B3057" s="3" t="s">
        <v>6681</v>
      </c>
      <c r="C3057" s="2">
        <f ca="1">IF(ISNUMBER(SEARCH(Лист2!$B$4,D:D)),MAX($C$3:OFFSET(C3057,-1,0))+1,0)</f>
        <v>0</v>
      </c>
      <c r="E3057" s="9" t="str">
        <f t="shared" ca="1" si="59"/>
        <v/>
      </c>
      <c r="F3057" s="4" t="s">
        <v>8</v>
      </c>
      <c r="G3057" s="2">
        <f>IF(ISNUMBER(SEARCH(Лист2!$B$4,F:F)),1,0)</f>
        <v>0</v>
      </c>
      <c r="H3057" s="3">
        <f ca="1">IF(AND(I3057&lt;&gt;I3056,ISNUMBER(SEARCH(Лист2!$B$5,I:I)),G3057=1),MAX($H$3:OFFSET(H3057,-1,0))+1,0)</f>
        <v>0</v>
      </c>
      <c r="I3057" s="3" t="s">
        <v>268</v>
      </c>
      <c r="K3057" s="2">
        <f>IF(ISNUMBER(SEARCH(Лист2!$B$4,F:F)),1,0)</f>
        <v>0</v>
      </c>
      <c r="L3057" s="14">
        <f>IF(ISNUMBER(SEARCH(Лист2!$B$5,I:I)),1,0)+K3057</f>
        <v>0</v>
      </c>
      <c r="M3057" s="3">
        <f ca="1">IF(AND(N3057&lt;&gt;N3056,ISNUMBER(SEARCH(Лист2!$B$6,N:N)),L3057=2),MAX($M$3:OFFSET(M3057,-1,0))+1,0)</f>
        <v>0</v>
      </c>
      <c r="N3057" s="3" t="s">
        <v>2002</v>
      </c>
    </row>
    <row r="3058" spans="1:14" x14ac:dyDescent="0.25">
      <c r="A3058" s="1" t="s">
        <v>11881</v>
      </c>
      <c r="B3058" s="3" t="s">
        <v>6682</v>
      </c>
      <c r="C3058" s="2">
        <f ca="1">IF(ISNUMBER(SEARCH(Лист2!$B$4,D:D)),MAX($C$3:OFFSET(C3058,-1,0))+1,0)</f>
        <v>0</v>
      </c>
      <c r="E3058" s="9" t="str">
        <f t="shared" ca="1" si="59"/>
        <v/>
      </c>
      <c r="F3058" s="4" t="s">
        <v>8</v>
      </c>
      <c r="G3058" s="2">
        <f>IF(ISNUMBER(SEARCH(Лист2!$B$4,F:F)),1,0)</f>
        <v>0</v>
      </c>
      <c r="H3058" s="3">
        <f ca="1">IF(AND(I3058&lt;&gt;I3057,ISNUMBER(SEARCH(Лист2!$B$5,I:I)),G3058=1),MAX($H$3:OFFSET(H3058,-1,0))+1,0)</f>
        <v>0</v>
      </c>
      <c r="I3058" s="3" t="s">
        <v>268</v>
      </c>
      <c r="K3058" s="2">
        <f>IF(ISNUMBER(SEARCH(Лист2!$B$4,F:F)),1,0)</f>
        <v>0</v>
      </c>
      <c r="L3058" s="14">
        <f>IF(ISNUMBER(SEARCH(Лист2!$B$5,I:I)),1,0)+K3058</f>
        <v>0</v>
      </c>
      <c r="M3058" s="3">
        <f ca="1">IF(AND(N3058&lt;&gt;N3057,ISNUMBER(SEARCH(Лист2!$B$6,N:N)),L3058=2),MAX($M$3:OFFSET(M3058,-1,0))+1,0)</f>
        <v>0</v>
      </c>
      <c r="N3058" s="3" t="s">
        <v>2011</v>
      </c>
    </row>
    <row r="3059" spans="1:14" x14ac:dyDescent="0.25">
      <c r="A3059" s="1" t="s">
        <v>11882</v>
      </c>
      <c r="B3059" s="3" t="s">
        <v>6683</v>
      </c>
      <c r="C3059" s="2">
        <f ca="1">IF(ISNUMBER(SEARCH(Лист2!$B$4,D:D)),MAX($C$3:OFFSET(C3059,-1,0))+1,0)</f>
        <v>0</v>
      </c>
      <c r="E3059" s="9" t="str">
        <f t="shared" ca="1" si="59"/>
        <v/>
      </c>
      <c r="F3059" s="4" t="s">
        <v>8</v>
      </c>
      <c r="G3059" s="2">
        <f>IF(ISNUMBER(SEARCH(Лист2!$B$4,F:F)),1,0)</f>
        <v>0</v>
      </c>
      <c r="H3059" s="3">
        <f ca="1">IF(AND(I3059&lt;&gt;I3058,ISNUMBER(SEARCH(Лист2!$B$5,I:I)),G3059=1),MAX($H$3:OFFSET(H3059,-1,0))+1,0)</f>
        <v>0</v>
      </c>
      <c r="I3059" s="3" t="s">
        <v>268</v>
      </c>
      <c r="K3059" s="2">
        <f>IF(ISNUMBER(SEARCH(Лист2!$B$4,F:F)),1,0)</f>
        <v>0</v>
      </c>
      <c r="L3059" s="14">
        <f>IF(ISNUMBER(SEARCH(Лист2!$B$5,I:I)),1,0)+K3059</f>
        <v>0</v>
      </c>
      <c r="M3059" s="3">
        <f ca="1">IF(AND(N3059&lt;&gt;N3058,ISNUMBER(SEARCH(Лист2!$B$6,N:N)),L3059=2),MAX($M$3:OFFSET(M3059,-1,0))+1,0)</f>
        <v>0</v>
      </c>
      <c r="N3059" s="3" t="s">
        <v>2012</v>
      </c>
    </row>
    <row r="3060" spans="1:14" x14ac:dyDescent="0.25">
      <c r="A3060" s="1" t="s">
        <v>11883</v>
      </c>
      <c r="B3060" s="3" t="s">
        <v>6684</v>
      </c>
      <c r="C3060" s="2">
        <f ca="1">IF(ISNUMBER(SEARCH(Лист2!$B$4,D:D)),MAX($C$3:OFFSET(C3060,-1,0))+1,0)</f>
        <v>0</v>
      </c>
      <c r="E3060" s="9" t="str">
        <f t="shared" ca="1" si="59"/>
        <v/>
      </c>
      <c r="F3060" s="4" t="s">
        <v>8</v>
      </c>
      <c r="G3060" s="2">
        <f>IF(ISNUMBER(SEARCH(Лист2!$B$4,F:F)),1,0)</f>
        <v>0</v>
      </c>
      <c r="H3060" s="3">
        <f ca="1">IF(AND(I3060&lt;&gt;I3059,ISNUMBER(SEARCH(Лист2!$B$5,I:I)),G3060=1),MAX($H$3:OFFSET(H3060,-1,0))+1,0)</f>
        <v>0</v>
      </c>
      <c r="I3060" s="3" t="s">
        <v>268</v>
      </c>
      <c r="K3060" s="2">
        <f>IF(ISNUMBER(SEARCH(Лист2!$B$4,F:F)),1,0)</f>
        <v>0</v>
      </c>
      <c r="L3060" s="14">
        <f>IF(ISNUMBER(SEARCH(Лист2!$B$5,I:I)),1,0)+K3060</f>
        <v>0</v>
      </c>
      <c r="M3060" s="3">
        <f ca="1">IF(AND(N3060&lt;&gt;N3059,ISNUMBER(SEARCH(Лист2!$B$6,N:N)),L3060=2),MAX($M$3:OFFSET(M3060,-1,0))+1,0)</f>
        <v>0</v>
      </c>
      <c r="N3060" s="3" t="s">
        <v>2013</v>
      </c>
    </row>
    <row r="3061" spans="1:14" x14ac:dyDescent="0.25">
      <c r="A3061" s="1" t="s">
        <v>11884</v>
      </c>
      <c r="B3061" s="3" t="s">
        <v>6685</v>
      </c>
      <c r="C3061" s="2">
        <f ca="1">IF(ISNUMBER(SEARCH(Лист2!$B$4,D:D)),MAX($C$3:OFFSET(C3061,-1,0))+1,0)</f>
        <v>0</v>
      </c>
      <c r="E3061" s="9" t="str">
        <f t="shared" ca="1" si="59"/>
        <v/>
      </c>
      <c r="F3061" s="4" t="s">
        <v>8</v>
      </c>
      <c r="G3061" s="2">
        <f>IF(ISNUMBER(SEARCH(Лист2!$B$4,F:F)),1,0)</f>
        <v>0</v>
      </c>
      <c r="H3061" s="3">
        <f ca="1">IF(AND(I3061&lt;&gt;I3060,ISNUMBER(SEARCH(Лист2!$B$5,I:I)),G3061=1),MAX($H$3:OFFSET(H3061,-1,0))+1,0)</f>
        <v>0</v>
      </c>
      <c r="I3061" s="3" t="s">
        <v>268</v>
      </c>
      <c r="K3061" s="2">
        <f>IF(ISNUMBER(SEARCH(Лист2!$B$4,F:F)),1,0)</f>
        <v>0</v>
      </c>
      <c r="L3061" s="14">
        <f>IF(ISNUMBER(SEARCH(Лист2!$B$5,I:I)),1,0)+K3061</f>
        <v>0</v>
      </c>
      <c r="M3061" s="3">
        <f ca="1">IF(AND(N3061&lt;&gt;N3060,ISNUMBER(SEARCH(Лист2!$B$6,N:N)),L3061=2),MAX($M$3:OFFSET(M3061,-1,0))+1,0)</f>
        <v>0</v>
      </c>
      <c r="N3061" s="3" t="s">
        <v>2014</v>
      </c>
    </row>
    <row r="3062" spans="1:14" x14ac:dyDescent="0.25">
      <c r="A3062" s="1" t="s">
        <v>11885</v>
      </c>
      <c r="B3062" s="3" t="s">
        <v>6686</v>
      </c>
      <c r="C3062" s="2">
        <f ca="1">IF(ISNUMBER(SEARCH(Лист2!$B$4,D:D)),MAX($C$3:OFFSET(C3062,-1,0))+1,0)</f>
        <v>0</v>
      </c>
      <c r="E3062" s="9" t="str">
        <f t="shared" ca="1" si="59"/>
        <v/>
      </c>
      <c r="F3062" s="4" t="s">
        <v>8</v>
      </c>
      <c r="G3062" s="2">
        <f>IF(ISNUMBER(SEARCH(Лист2!$B$4,F:F)),1,0)</f>
        <v>0</v>
      </c>
      <c r="H3062" s="3">
        <f ca="1">IF(AND(I3062&lt;&gt;I3061,ISNUMBER(SEARCH(Лист2!$B$5,I:I)),G3062=1),MAX($H$3:OFFSET(H3062,-1,0))+1,0)</f>
        <v>0</v>
      </c>
      <c r="I3062" s="3" t="s">
        <v>268</v>
      </c>
      <c r="K3062" s="2">
        <f>IF(ISNUMBER(SEARCH(Лист2!$B$4,F:F)),1,0)</f>
        <v>0</v>
      </c>
      <c r="L3062" s="14">
        <f>IF(ISNUMBER(SEARCH(Лист2!$B$5,I:I)),1,0)+K3062</f>
        <v>0</v>
      </c>
      <c r="M3062" s="3">
        <f ca="1">IF(AND(N3062&lt;&gt;N3061,ISNUMBER(SEARCH(Лист2!$B$6,N:N)),L3062=2),MAX($M$3:OFFSET(M3062,-1,0))+1,0)</f>
        <v>0</v>
      </c>
      <c r="N3062" s="3" t="s">
        <v>2015</v>
      </c>
    </row>
    <row r="3063" spans="1:14" x14ac:dyDescent="0.25">
      <c r="A3063" s="1" t="s">
        <v>11886</v>
      </c>
      <c r="B3063" s="3" t="s">
        <v>6687</v>
      </c>
      <c r="C3063" s="2">
        <f ca="1">IF(ISNUMBER(SEARCH(Лист2!$B$4,D:D)),MAX($C$3:OFFSET(C3063,-1,0))+1,0)</f>
        <v>0</v>
      </c>
      <c r="E3063" s="9" t="str">
        <f t="shared" ca="1" si="59"/>
        <v/>
      </c>
      <c r="F3063" s="4" t="s">
        <v>8</v>
      </c>
      <c r="G3063" s="2">
        <f>IF(ISNUMBER(SEARCH(Лист2!$B$4,F:F)),1,0)</f>
        <v>0</v>
      </c>
      <c r="H3063" s="3">
        <f ca="1">IF(AND(I3063&lt;&gt;I3062,ISNUMBER(SEARCH(Лист2!$B$5,I:I)),G3063=1),MAX($H$3:OFFSET(H3063,-1,0))+1,0)</f>
        <v>0</v>
      </c>
      <c r="I3063" s="3" t="s">
        <v>268</v>
      </c>
      <c r="K3063" s="2">
        <f>IF(ISNUMBER(SEARCH(Лист2!$B$4,F:F)),1,0)</f>
        <v>0</v>
      </c>
      <c r="L3063" s="14">
        <f>IF(ISNUMBER(SEARCH(Лист2!$B$5,I:I)),1,0)+K3063</f>
        <v>0</v>
      </c>
      <c r="M3063" s="3">
        <f ca="1">IF(AND(N3063&lt;&gt;N3062,ISNUMBER(SEARCH(Лист2!$B$6,N:N)),L3063=2),MAX($M$3:OFFSET(M3063,-1,0))+1,0)</f>
        <v>0</v>
      </c>
      <c r="N3063" s="3" t="s">
        <v>2016</v>
      </c>
    </row>
    <row r="3064" spans="1:14" x14ac:dyDescent="0.25">
      <c r="A3064" s="1" t="s">
        <v>11763</v>
      </c>
      <c r="B3064" s="3" t="s">
        <v>6688</v>
      </c>
      <c r="C3064" s="2">
        <f ca="1">IF(ISNUMBER(SEARCH(Лист2!$B$4,D:D)),MAX($C$3:OFFSET(C3064,-1,0))+1,0)</f>
        <v>0</v>
      </c>
      <c r="E3064" s="9" t="str">
        <f t="shared" ca="1" si="59"/>
        <v/>
      </c>
      <c r="F3064" s="4" t="s">
        <v>8</v>
      </c>
      <c r="G3064" s="2">
        <f>IF(ISNUMBER(SEARCH(Лист2!$B$4,F:F)),1,0)</f>
        <v>0</v>
      </c>
      <c r="H3064" s="3">
        <f ca="1">IF(AND(I3064&lt;&gt;I3063,ISNUMBER(SEARCH(Лист2!$B$5,I:I)),G3064=1),MAX($H$3:OFFSET(H3064,-1,0))+1,0)</f>
        <v>0</v>
      </c>
      <c r="I3064" s="3" t="s">
        <v>258</v>
      </c>
      <c r="K3064" s="2">
        <f>IF(ISNUMBER(SEARCH(Лист2!$B$4,F:F)),1,0)</f>
        <v>0</v>
      </c>
      <c r="L3064" s="14">
        <f>IF(ISNUMBER(SEARCH(Лист2!$B$5,I:I)),1,0)+K3064</f>
        <v>0</v>
      </c>
      <c r="M3064" s="3">
        <f ca="1">IF(AND(N3064&lt;&gt;N3063,ISNUMBER(SEARCH(Лист2!$B$6,N:N)),L3064=2),MAX($M$3:OFFSET(M3064,-1,0))+1,0)</f>
        <v>0</v>
      </c>
      <c r="N3064" s="3" t="s">
        <v>1954</v>
      </c>
    </row>
    <row r="3065" spans="1:14" x14ac:dyDescent="0.25">
      <c r="A3065" s="1" t="s">
        <v>11764</v>
      </c>
      <c r="B3065" s="3" t="s">
        <v>6689</v>
      </c>
      <c r="C3065" s="2">
        <f ca="1">IF(ISNUMBER(SEARCH(Лист2!$B$4,D:D)),MAX($C$3:OFFSET(C3065,-1,0))+1,0)</f>
        <v>0</v>
      </c>
      <c r="E3065" s="9" t="str">
        <f t="shared" ca="1" si="59"/>
        <v/>
      </c>
      <c r="F3065" s="4" t="s">
        <v>8</v>
      </c>
      <c r="G3065" s="2">
        <f>IF(ISNUMBER(SEARCH(Лист2!$B$4,F:F)),1,0)</f>
        <v>0</v>
      </c>
      <c r="H3065" s="3">
        <f ca="1">IF(AND(I3065&lt;&gt;I3064,ISNUMBER(SEARCH(Лист2!$B$5,I:I)),G3065=1),MAX($H$3:OFFSET(H3065,-1,0))+1,0)</f>
        <v>0</v>
      </c>
      <c r="I3065" s="3" t="s">
        <v>258</v>
      </c>
      <c r="K3065" s="2">
        <f>IF(ISNUMBER(SEARCH(Лист2!$B$4,F:F)),1,0)</f>
        <v>0</v>
      </c>
      <c r="L3065" s="14">
        <f>IF(ISNUMBER(SEARCH(Лист2!$B$5,I:I)),1,0)+K3065</f>
        <v>0</v>
      </c>
      <c r="M3065" s="3">
        <f ca="1">IF(AND(N3065&lt;&gt;N3064,ISNUMBER(SEARCH(Лист2!$B$6,N:N)),L3065=2),MAX($M$3:OFFSET(M3065,-1,0))+1,0)</f>
        <v>0</v>
      </c>
      <c r="N3065" s="3" t="s">
        <v>1955</v>
      </c>
    </row>
    <row r="3066" spans="1:14" x14ac:dyDescent="0.25">
      <c r="A3066" s="1" t="s">
        <v>11765</v>
      </c>
      <c r="B3066" s="3" t="s">
        <v>6690</v>
      </c>
      <c r="C3066" s="2">
        <f ca="1">IF(ISNUMBER(SEARCH(Лист2!$B$4,D:D)),MAX($C$3:OFFSET(C3066,-1,0))+1,0)</f>
        <v>0</v>
      </c>
      <c r="E3066" s="9" t="str">
        <f t="shared" ca="1" si="59"/>
        <v/>
      </c>
      <c r="F3066" s="4" t="s">
        <v>8</v>
      </c>
      <c r="G3066" s="2">
        <f>IF(ISNUMBER(SEARCH(Лист2!$B$4,F:F)),1,0)</f>
        <v>0</v>
      </c>
      <c r="H3066" s="3">
        <f ca="1">IF(AND(I3066&lt;&gt;I3065,ISNUMBER(SEARCH(Лист2!$B$5,I:I)),G3066=1),MAX($H$3:OFFSET(H3066,-1,0))+1,0)</f>
        <v>0</v>
      </c>
      <c r="I3066" s="3" t="s">
        <v>258</v>
      </c>
      <c r="K3066" s="2">
        <f>IF(ISNUMBER(SEARCH(Лист2!$B$4,F:F)),1,0)</f>
        <v>0</v>
      </c>
      <c r="L3066" s="14">
        <f>IF(ISNUMBER(SEARCH(Лист2!$B$5,I:I)),1,0)+K3066</f>
        <v>0</v>
      </c>
      <c r="M3066" s="3">
        <f ca="1">IF(AND(N3066&lt;&gt;N3065,ISNUMBER(SEARCH(Лист2!$B$6,N:N)),L3066=2),MAX($M$3:OFFSET(M3066,-1,0))+1,0)</f>
        <v>0</v>
      </c>
      <c r="N3066" s="3" t="s">
        <v>1385</v>
      </c>
    </row>
    <row r="3067" spans="1:14" x14ac:dyDescent="0.25">
      <c r="A3067" s="1" t="s">
        <v>11766</v>
      </c>
      <c r="B3067" s="3" t="s">
        <v>6691</v>
      </c>
      <c r="C3067" s="2">
        <f ca="1">IF(ISNUMBER(SEARCH(Лист2!$B$4,D:D)),MAX($C$3:OFFSET(C3067,-1,0))+1,0)</f>
        <v>0</v>
      </c>
      <c r="E3067" s="9" t="str">
        <f t="shared" ca="1" si="59"/>
        <v/>
      </c>
      <c r="F3067" s="4" t="s">
        <v>8</v>
      </c>
      <c r="G3067" s="2">
        <f>IF(ISNUMBER(SEARCH(Лист2!$B$4,F:F)),1,0)</f>
        <v>0</v>
      </c>
      <c r="H3067" s="3">
        <f ca="1">IF(AND(I3067&lt;&gt;I3066,ISNUMBER(SEARCH(Лист2!$B$5,I:I)),G3067=1),MAX($H$3:OFFSET(H3067,-1,0))+1,0)</f>
        <v>0</v>
      </c>
      <c r="I3067" s="3" t="s">
        <v>258</v>
      </c>
      <c r="K3067" s="2">
        <f>IF(ISNUMBER(SEARCH(Лист2!$B$4,F:F)),1,0)</f>
        <v>0</v>
      </c>
      <c r="L3067" s="14">
        <f>IF(ISNUMBER(SEARCH(Лист2!$B$5,I:I)),1,0)+K3067</f>
        <v>0</v>
      </c>
      <c r="M3067" s="3">
        <f ca="1">IF(AND(N3067&lt;&gt;N3066,ISNUMBER(SEARCH(Лист2!$B$6,N:N)),L3067=2),MAX($M$3:OFFSET(M3067,-1,0))+1,0)</f>
        <v>0</v>
      </c>
      <c r="N3067" s="3" t="s">
        <v>602</v>
      </c>
    </row>
    <row r="3068" spans="1:14" x14ac:dyDescent="0.25">
      <c r="A3068" s="1" t="s">
        <v>11767</v>
      </c>
      <c r="B3068" s="3" t="s">
        <v>6692</v>
      </c>
      <c r="C3068" s="2">
        <f ca="1">IF(ISNUMBER(SEARCH(Лист2!$B$4,D:D)),MAX($C$3:OFFSET(C3068,-1,0))+1,0)</f>
        <v>0</v>
      </c>
      <c r="E3068" s="9" t="str">
        <f t="shared" ca="1" si="59"/>
        <v/>
      </c>
      <c r="F3068" s="4" t="s">
        <v>8</v>
      </c>
      <c r="G3068" s="2">
        <f>IF(ISNUMBER(SEARCH(Лист2!$B$4,F:F)),1,0)</f>
        <v>0</v>
      </c>
      <c r="H3068" s="3">
        <f ca="1">IF(AND(I3068&lt;&gt;I3067,ISNUMBER(SEARCH(Лист2!$B$5,I:I)),G3068=1),MAX($H$3:OFFSET(H3068,-1,0))+1,0)</f>
        <v>0</v>
      </c>
      <c r="I3068" s="3" t="s">
        <v>258</v>
      </c>
      <c r="K3068" s="2">
        <f>IF(ISNUMBER(SEARCH(Лист2!$B$4,F:F)),1,0)</f>
        <v>0</v>
      </c>
      <c r="L3068" s="14">
        <f>IF(ISNUMBER(SEARCH(Лист2!$B$5,I:I)),1,0)+K3068</f>
        <v>0</v>
      </c>
      <c r="M3068" s="3">
        <f ca="1">IF(AND(N3068&lt;&gt;N3067,ISNUMBER(SEARCH(Лист2!$B$6,N:N)),L3068=2),MAX($M$3:OFFSET(M3068,-1,0))+1,0)</f>
        <v>0</v>
      </c>
      <c r="N3068" s="3" t="s">
        <v>1956</v>
      </c>
    </row>
    <row r="3069" spans="1:14" x14ac:dyDescent="0.25">
      <c r="A3069" s="1" t="s">
        <v>11768</v>
      </c>
      <c r="B3069" s="3" t="s">
        <v>6693</v>
      </c>
      <c r="C3069" s="2">
        <f ca="1">IF(ISNUMBER(SEARCH(Лист2!$B$4,D:D)),MAX($C$3:OFFSET(C3069,-1,0))+1,0)</f>
        <v>0</v>
      </c>
      <c r="E3069" s="9" t="str">
        <f t="shared" ca="1" si="59"/>
        <v/>
      </c>
      <c r="F3069" s="4" t="s">
        <v>8</v>
      </c>
      <c r="G3069" s="2">
        <f>IF(ISNUMBER(SEARCH(Лист2!$B$4,F:F)),1,0)</f>
        <v>0</v>
      </c>
      <c r="H3069" s="3">
        <f ca="1">IF(AND(I3069&lt;&gt;I3068,ISNUMBER(SEARCH(Лист2!$B$5,I:I)),G3069=1),MAX($H$3:OFFSET(H3069,-1,0))+1,0)</f>
        <v>0</v>
      </c>
      <c r="I3069" s="3" t="s">
        <v>258</v>
      </c>
      <c r="K3069" s="2">
        <f>IF(ISNUMBER(SEARCH(Лист2!$B$4,F:F)),1,0)</f>
        <v>0</v>
      </c>
      <c r="L3069" s="14">
        <f>IF(ISNUMBER(SEARCH(Лист2!$B$5,I:I)),1,0)+K3069</f>
        <v>0</v>
      </c>
      <c r="M3069" s="3">
        <f ca="1">IF(AND(N3069&lt;&gt;N3068,ISNUMBER(SEARCH(Лист2!$B$6,N:N)),L3069=2),MAX($M$3:OFFSET(M3069,-1,0))+1,0)</f>
        <v>0</v>
      </c>
      <c r="N3069" s="3" t="s">
        <v>1957</v>
      </c>
    </row>
    <row r="3070" spans="1:14" x14ac:dyDescent="0.25">
      <c r="A3070" s="1" t="s">
        <v>11769</v>
      </c>
      <c r="B3070" s="3" t="s">
        <v>6694</v>
      </c>
      <c r="C3070" s="2">
        <f ca="1">IF(ISNUMBER(SEARCH(Лист2!$B$4,D:D)),MAX($C$3:OFFSET(C3070,-1,0))+1,0)</f>
        <v>0</v>
      </c>
      <c r="E3070" s="9" t="str">
        <f t="shared" ca="1" si="59"/>
        <v/>
      </c>
      <c r="F3070" s="4" t="s">
        <v>8</v>
      </c>
      <c r="G3070" s="2">
        <f>IF(ISNUMBER(SEARCH(Лист2!$B$4,F:F)),1,0)</f>
        <v>0</v>
      </c>
      <c r="H3070" s="3">
        <f ca="1">IF(AND(I3070&lt;&gt;I3069,ISNUMBER(SEARCH(Лист2!$B$5,I:I)),G3070=1),MAX($H$3:OFFSET(H3070,-1,0))+1,0)</f>
        <v>0</v>
      </c>
      <c r="I3070" s="3" t="s">
        <v>258</v>
      </c>
      <c r="K3070" s="2">
        <f>IF(ISNUMBER(SEARCH(Лист2!$B$4,F:F)),1,0)</f>
        <v>0</v>
      </c>
      <c r="L3070" s="14">
        <f>IF(ISNUMBER(SEARCH(Лист2!$B$5,I:I)),1,0)+K3070</f>
        <v>0</v>
      </c>
      <c r="M3070" s="3">
        <f ca="1">IF(AND(N3070&lt;&gt;N3069,ISNUMBER(SEARCH(Лист2!$B$6,N:N)),L3070=2),MAX($M$3:OFFSET(M3070,-1,0))+1,0)</f>
        <v>0</v>
      </c>
      <c r="N3070" s="3" t="s">
        <v>1958</v>
      </c>
    </row>
    <row r="3071" spans="1:14" x14ac:dyDescent="0.25">
      <c r="A3071" s="1" t="s">
        <v>11887</v>
      </c>
      <c r="B3071" s="3" t="s">
        <v>6695</v>
      </c>
      <c r="C3071" s="2">
        <f ca="1">IF(ISNUMBER(SEARCH(Лист2!$B$4,D:D)),MAX($C$3:OFFSET(C3071,-1,0))+1,0)</f>
        <v>0</v>
      </c>
      <c r="E3071" s="9" t="str">
        <f t="shared" ca="1" si="59"/>
        <v/>
      </c>
      <c r="F3071" s="4" t="s">
        <v>8</v>
      </c>
      <c r="G3071" s="2">
        <f>IF(ISNUMBER(SEARCH(Лист2!$B$4,F:F)),1,0)</f>
        <v>0</v>
      </c>
      <c r="H3071" s="3">
        <f ca="1">IF(AND(I3071&lt;&gt;I3070,ISNUMBER(SEARCH(Лист2!$B$5,I:I)),G3071=1),MAX($H$3:OFFSET(H3071,-1,0))+1,0)</f>
        <v>0</v>
      </c>
      <c r="I3071" s="3" t="s">
        <v>258</v>
      </c>
      <c r="K3071" s="2">
        <f>IF(ISNUMBER(SEARCH(Лист2!$B$4,F:F)),1,0)</f>
        <v>0</v>
      </c>
      <c r="L3071" s="14">
        <f>IF(ISNUMBER(SEARCH(Лист2!$B$5,I:I)),1,0)+K3071</f>
        <v>0</v>
      </c>
      <c r="M3071" s="3">
        <f ca="1">IF(AND(N3071&lt;&gt;N3070,ISNUMBER(SEARCH(Лист2!$B$6,N:N)),L3071=2),MAX($M$3:OFFSET(M3071,-1,0))+1,0)</f>
        <v>0</v>
      </c>
      <c r="N3071" s="3" t="s">
        <v>2017</v>
      </c>
    </row>
    <row r="3072" spans="1:14" x14ac:dyDescent="0.25">
      <c r="A3072" s="1" t="s">
        <v>11888</v>
      </c>
      <c r="B3072" s="3" t="s">
        <v>6696</v>
      </c>
      <c r="C3072" s="2">
        <f ca="1">IF(ISNUMBER(SEARCH(Лист2!$B$4,D:D)),MAX($C$3:OFFSET(C3072,-1,0))+1,0)</f>
        <v>0</v>
      </c>
      <c r="E3072" s="9" t="str">
        <f t="shared" ca="1" si="59"/>
        <v/>
      </c>
      <c r="F3072" s="4" t="s">
        <v>8</v>
      </c>
      <c r="G3072" s="2">
        <f>IF(ISNUMBER(SEARCH(Лист2!$B$4,F:F)),1,0)</f>
        <v>0</v>
      </c>
      <c r="H3072" s="3">
        <f ca="1">IF(AND(I3072&lt;&gt;I3071,ISNUMBER(SEARCH(Лист2!$B$5,I:I)),G3072=1),MAX($H$3:OFFSET(H3072,-1,0))+1,0)</f>
        <v>0</v>
      </c>
      <c r="I3072" s="3" t="s">
        <v>258</v>
      </c>
      <c r="K3072" s="2">
        <f>IF(ISNUMBER(SEARCH(Лист2!$B$4,F:F)),1,0)</f>
        <v>0</v>
      </c>
      <c r="L3072" s="14">
        <f>IF(ISNUMBER(SEARCH(Лист2!$B$5,I:I)),1,0)+K3072</f>
        <v>0</v>
      </c>
      <c r="M3072" s="3">
        <f ca="1">IF(AND(N3072&lt;&gt;N3071,ISNUMBER(SEARCH(Лист2!$B$6,N:N)),L3072=2),MAX($M$3:OFFSET(M3072,-1,0))+1,0)</f>
        <v>0</v>
      </c>
      <c r="N3072" s="3" t="s">
        <v>2018</v>
      </c>
    </row>
    <row r="3073" spans="1:14" x14ac:dyDescent="0.25">
      <c r="A3073" s="1" t="s">
        <v>11889</v>
      </c>
      <c r="B3073" s="3" t="s">
        <v>6697</v>
      </c>
      <c r="C3073" s="2">
        <f ca="1">IF(ISNUMBER(SEARCH(Лист2!$B$4,D:D)),MAX($C$3:OFFSET(C3073,-1,0))+1,0)</f>
        <v>0</v>
      </c>
      <c r="E3073" s="9" t="str">
        <f t="shared" ca="1" si="59"/>
        <v/>
      </c>
      <c r="F3073" s="4" t="s">
        <v>8</v>
      </c>
      <c r="G3073" s="2">
        <f>IF(ISNUMBER(SEARCH(Лист2!$B$4,F:F)),1,0)</f>
        <v>0</v>
      </c>
      <c r="H3073" s="3">
        <f ca="1">IF(AND(I3073&lt;&gt;I3072,ISNUMBER(SEARCH(Лист2!$B$5,I:I)),G3073=1),MAX($H$3:OFFSET(H3073,-1,0))+1,0)</f>
        <v>0</v>
      </c>
      <c r="I3073" s="3" t="s">
        <v>269</v>
      </c>
      <c r="K3073" s="2">
        <f>IF(ISNUMBER(SEARCH(Лист2!$B$4,F:F)),1,0)</f>
        <v>0</v>
      </c>
      <c r="L3073" s="14">
        <f>IF(ISNUMBER(SEARCH(Лист2!$B$5,I:I)),1,0)+K3073</f>
        <v>0</v>
      </c>
      <c r="M3073" s="3">
        <f ca="1">IF(AND(N3073&lt;&gt;N3072,ISNUMBER(SEARCH(Лист2!$B$6,N:N)),L3073=2),MAX($M$3:OFFSET(M3073,-1,0))+1,0)</f>
        <v>0</v>
      </c>
      <c r="N3073" s="3" t="s">
        <v>2019</v>
      </c>
    </row>
    <row r="3074" spans="1:14" x14ac:dyDescent="0.25">
      <c r="A3074" s="1" t="s">
        <v>11889</v>
      </c>
      <c r="B3074" s="3" t="s">
        <v>6698</v>
      </c>
      <c r="C3074" s="2">
        <f ca="1">IF(ISNUMBER(SEARCH(Лист2!$B$4,D:D)),MAX($C$3:OFFSET(C3074,-1,0))+1,0)</f>
        <v>0</v>
      </c>
      <c r="E3074" s="9" t="str">
        <f t="shared" ca="1" si="59"/>
        <v/>
      </c>
      <c r="F3074" s="4" t="s">
        <v>8</v>
      </c>
      <c r="G3074" s="2">
        <f>IF(ISNUMBER(SEARCH(Лист2!$B$4,F:F)),1,0)</f>
        <v>0</v>
      </c>
      <c r="H3074" s="3">
        <f ca="1">IF(AND(I3074&lt;&gt;I3073,ISNUMBER(SEARCH(Лист2!$B$5,I:I)),G3074=1),MAX($H$3:OFFSET(H3074,-1,0))+1,0)</f>
        <v>0</v>
      </c>
      <c r="I3074" s="3" t="s">
        <v>269</v>
      </c>
      <c r="K3074" s="2">
        <f>IF(ISNUMBER(SEARCH(Лист2!$B$4,F:F)),1,0)</f>
        <v>0</v>
      </c>
      <c r="L3074" s="14">
        <f>IF(ISNUMBER(SEARCH(Лист2!$B$5,I:I)),1,0)+K3074</f>
        <v>0</v>
      </c>
      <c r="M3074" s="3">
        <f ca="1">IF(AND(N3074&lt;&gt;N3073,ISNUMBER(SEARCH(Лист2!$B$6,N:N)),L3074=2),MAX($M$3:OFFSET(M3074,-1,0))+1,0)</f>
        <v>0</v>
      </c>
      <c r="N3074" s="3" t="s">
        <v>2019</v>
      </c>
    </row>
    <row r="3075" spans="1:14" x14ac:dyDescent="0.25">
      <c r="A3075" s="1" t="s">
        <v>11889</v>
      </c>
      <c r="B3075" s="3" t="s">
        <v>6699</v>
      </c>
      <c r="C3075" s="2">
        <f ca="1">IF(ISNUMBER(SEARCH(Лист2!$B$4,D:D)),MAX($C$3:OFFSET(C3075,-1,0))+1,0)</f>
        <v>0</v>
      </c>
      <c r="E3075" s="9" t="str">
        <f t="shared" ca="1" si="59"/>
        <v/>
      </c>
      <c r="F3075" s="4" t="s">
        <v>8</v>
      </c>
      <c r="G3075" s="2">
        <f>IF(ISNUMBER(SEARCH(Лист2!$B$4,F:F)),1,0)</f>
        <v>0</v>
      </c>
      <c r="H3075" s="3">
        <f ca="1">IF(AND(I3075&lt;&gt;I3074,ISNUMBER(SEARCH(Лист2!$B$5,I:I)),G3075=1),MAX($H$3:OFFSET(H3075,-1,0))+1,0)</f>
        <v>0</v>
      </c>
      <c r="I3075" s="3" t="s">
        <v>269</v>
      </c>
      <c r="K3075" s="2">
        <f>IF(ISNUMBER(SEARCH(Лист2!$B$4,F:F)),1,0)</f>
        <v>0</v>
      </c>
      <c r="L3075" s="14">
        <f>IF(ISNUMBER(SEARCH(Лист2!$B$5,I:I)),1,0)+K3075</f>
        <v>0</v>
      </c>
      <c r="M3075" s="3">
        <f ca="1">IF(AND(N3075&lt;&gt;N3074,ISNUMBER(SEARCH(Лист2!$B$6,N:N)),L3075=2),MAX($M$3:OFFSET(M3075,-1,0))+1,0)</f>
        <v>0</v>
      </c>
      <c r="N3075" s="3" t="s">
        <v>2019</v>
      </c>
    </row>
    <row r="3076" spans="1:14" x14ac:dyDescent="0.25">
      <c r="A3076" s="1" t="s">
        <v>11890</v>
      </c>
      <c r="B3076" s="3" t="s">
        <v>6700</v>
      </c>
      <c r="C3076" s="2">
        <f ca="1">IF(ISNUMBER(SEARCH(Лист2!$B$4,D:D)),MAX($C$3:OFFSET(C3076,-1,0))+1,0)</f>
        <v>0</v>
      </c>
      <c r="E3076" s="9" t="str">
        <f t="shared" ca="1" si="59"/>
        <v/>
      </c>
      <c r="F3076" s="4" t="s">
        <v>8</v>
      </c>
      <c r="G3076" s="2">
        <f>IF(ISNUMBER(SEARCH(Лист2!$B$4,F:F)),1,0)</f>
        <v>0</v>
      </c>
      <c r="H3076" s="3">
        <f ca="1">IF(AND(I3076&lt;&gt;I3075,ISNUMBER(SEARCH(Лист2!$B$5,I:I)),G3076=1),MAX($H$3:OFFSET(H3076,-1,0))+1,0)</f>
        <v>0</v>
      </c>
      <c r="I3076" s="3" t="s">
        <v>269</v>
      </c>
      <c r="K3076" s="2">
        <f>IF(ISNUMBER(SEARCH(Лист2!$B$4,F:F)),1,0)</f>
        <v>0</v>
      </c>
      <c r="L3076" s="14">
        <f>IF(ISNUMBER(SEARCH(Лист2!$B$5,I:I)),1,0)+K3076</f>
        <v>0</v>
      </c>
      <c r="M3076" s="3">
        <f ca="1">IF(AND(N3076&lt;&gt;N3075,ISNUMBER(SEARCH(Лист2!$B$6,N:N)),L3076=2),MAX($M$3:OFFSET(M3076,-1,0))+1,0)</f>
        <v>0</v>
      </c>
      <c r="N3076" s="3" t="s">
        <v>2020</v>
      </c>
    </row>
    <row r="3077" spans="1:14" x14ac:dyDescent="0.25">
      <c r="A3077" s="1" t="s">
        <v>11891</v>
      </c>
      <c r="B3077" s="3" t="s">
        <v>6701</v>
      </c>
      <c r="C3077" s="2">
        <f ca="1">IF(ISNUMBER(SEARCH(Лист2!$B$4,D:D)),MAX($C$3:OFFSET(C3077,-1,0))+1,0)</f>
        <v>0</v>
      </c>
      <c r="E3077" s="9" t="str">
        <f t="shared" ref="E3077:E3140" ca="1" si="60">IFERROR(INDEX(D:D,MATCH(ROW(E3077)-ROW($E$3),C:C,0)),"")</f>
        <v/>
      </c>
      <c r="F3077" s="4" t="s">
        <v>8</v>
      </c>
      <c r="G3077" s="2">
        <f>IF(ISNUMBER(SEARCH(Лист2!$B$4,F:F)),1,0)</f>
        <v>0</v>
      </c>
      <c r="H3077" s="3">
        <f ca="1">IF(AND(I3077&lt;&gt;I3076,ISNUMBER(SEARCH(Лист2!$B$5,I:I)),G3077=1),MAX($H$3:OFFSET(H3077,-1,0))+1,0)</f>
        <v>0</v>
      </c>
      <c r="I3077" s="3" t="s">
        <v>269</v>
      </c>
      <c r="K3077" s="2">
        <f>IF(ISNUMBER(SEARCH(Лист2!$B$4,F:F)),1,0)</f>
        <v>0</v>
      </c>
      <c r="L3077" s="14">
        <f>IF(ISNUMBER(SEARCH(Лист2!$B$5,I:I)),1,0)+K3077</f>
        <v>0</v>
      </c>
      <c r="M3077" s="3">
        <f ca="1">IF(AND(N3077&lt;&gt;N3076,ISNUMBER(SEARCH(Лист2!$B$6,N:N)),L3077=2),MAX($M$3:OFFSET(M3077,-1,0))+1,0)</f>
        <v>0</v>
      </c>
      <c r="N3077" s="3" t="s">
        <v>1385</v>
      </c>
    </row>
    <row r="3078" spans="1:14" x14ac:dyDescent="0.25">
      <c r="A3078" s="1" t="s">
        <v>11892</v>
      </c>
      <c r="B3078" s="3" t="s">
        <v>6702</v>
      </c>
      <c r="C3078" s="2">
        <f ca="1">IF(ISNUMBER(SEARCH(Лист2!$B$4,D:D)),MAX($C$3:OFFSET(C3078,-1,0))+1,0)</f>
        <v>0</v>
      </c>
      <c r="E3078" s="9" t="str">
        <f t="shared" ca="1" si="60"/>
        <v/>
      </c>
      <c r="F3078" s="4" t="s">
        <v>8</v>
      </c>
      <c r="G3078" s="2">
        <f>IF(ISNUMBER(SEARCH(Лист2!$B$4,F:F)),1,0)</f>
        <v>0</v>
      </c>
      <c r="H3078" s="3">
        <f ca="1">IF(AND(I3078&lt;&gt;I3077,ISNUMBER(SEARCH(Лист2!$B$5,I:I)),G3078=1),MAX($H$3:OFFSET(H3078,-1,0))+1,0)</f>
        <v>0</v>
      </c>
      <c r="I3078" s="3" t="s">
        <v>269</v>
      </c>
      <c r="K3078" s="2">
        <f>IF(ISNUMBER(SEARCH(Лист2!$B$4,F:F)),1,0)</f>
        <v>0</v>
      </c>
      <c r="L3078" s="14">
        <f>IF(ISNUMBER(SEARCH(Лист2!$B$5,I:I)),1,0)+K3078</f>
        <v>0</v>
      </c>
      <c r="M3078" s="3">
        <f ca="1">IF(AND(N3078&lt;&gt;N3077,ISNUMBER(SEARCH(Лист2!$B$6,N:N)),L3078=2),MAX($M$3:OFFSET(M3078,-1,0))+1,0)</f>
        <v>0</v>
      </c>
      <c r="N3078" s="3" t="s">
        <v>602</v>
      </c>
    </row>
    <row r="3079" spans="1:14" x14ac:dyDescent="0.25">
      <c r="A3079" s="1" t="s">
        <v>11893</v>
      </c>
      <c r="B3079" s="3" t="s">
        <v>6703</v>
      </c>
      <c r="C3079" s="2">
        <f ca="1">IF(ISNUMBER(SEARCH(Лист2!$B$4,D:D)),MAX($C$3:OFFSET(C3079,-1,0))+1,0)</f>
        <v>0</v>
      </c>
      <c r="E3079" s="9" t="str">
        <f t="shared" ca="1" si="60"/>
        <v/>
      </c>
      <c r="F3079" s="4" t="s">
        <v>8</v>
      </c>
      <c r="G3079" s="2">
        <f>IF(ISNUMBER(SEARCH(Лист2!$B$4,F:F)),1,0)</f>
        <v>0</v>
      </c>
      <c r="H3079" s="3">
        <f ca="1">IF(AND(I3079&lt;&gt;I3078,ISNUMBER(SEARCH(Лист2!$B$5,I:I)),G3079=1),MAX($H$3:OFFSET(H3079,-1,0))+1,0)</f>
        <v>0</v>
      </c>
      <c r="I3079" s="3" t="s">
        <v>269</v>
      </c>
      <c r="K3079" s="2">
        <f>IF(ISNUMBER(SEARCH(Лист2!$B$4,F:F)),1,0)</f>
        <v>0</v>
      </c>
      <c r="L3079" s="14">
        <f>IF(ISNUMBER(SEARCH(Лист2!$B$5,I:I)),1,0)+K3079</f>
        <v>0</v>
      </c>
      <c r="M3079" s="3">
        <f ca="1">IF(AND(N3079&lt;&gt;N3078,ISNUMBER(SEARCH(Лист2!$B$6,N:N)),L3079=2),MAX($M$3:OFFSET(M3079,-1,0))+1,0)</f>
        <v>0</v>
      </c>
      <c r="N3079" s="3" t="s">
        <v>2021</v>
      </c>
    </row>
    <row r="3080" spans="1:14" x14ac:dyDescent="0.25">
      <c r="A3080" s="1" t="s">
        <v>11894</v>
      </c>
      <c r="B3080" s="3" t="s">
        <v>6704</v>
      </c>
      <c r="C3080" s="2">
        <f ca="1">IF(ISNUMBER(SEARCH(Лист2!$B$4,D:D)),MAX($C$3:OFFSET(C3080,-1,0))+1,0)</f>
        <v>0</v>
      </c>
      <c r="E3080" s="9" t="str">
        <f t="shared" ca="1" si="60"/>
        <v/>
      </c>
      <c r="F3080" s="4" t="s">
        <v>8</v>
      </c>
      <c r="G3080" s="2">
        <f>IF(ISNUMBER(SEARCH(Лист2!$B$4,F:F)),1,0)</f>
        <v>0</v>
      </c>
      <c r="H3080" s="3">
        <f ca="1">IF(AND(I3080&lt;&gt;I3079,ISNUMBER(SEARCH(Лист2!$B$5,I:I)),G3080=1),MAX($H$3:OFFSET(H3080,-1,0))+1,0)</f>
        <v>0</v>
      </c>
      <c r="I3080" s="3" t="s">
        <v>269</v>
      </c>
      <c r="K3080" s="2">
        <f>IF(ISNUMBER(SEARCH(Лист2!$B$4,F:F)),1,0)</f>
        <v>0</v>
      </c>
      <c r="L3080" s="14">
        <f>IF(ISNUMBER(SEARCH(Лист2!$B$5,I:I)),1,0)+K3080</f>
        <v>0</v>
      </c>
      <c r="M3080" s="3">
        <f ca="1">IF(AND(N3080&lt;&gt;N3079,ISNUMBER(SEARCH(Лист2!$B$6,N:N)),L3080=2),MAX($M$3:OFFSET(M3080,-1,0))+1,0)</f>
        <v>0</v>
      </c>
      <c r="N3080" s="3" t="s">
        <v>2022</v>
      </c>
    </row>
    <row r="3081" spans="1:14" x14ac:dyDescent="0.25">
      <c r="A3081" s="1" t="s">
        <v>11895</v>
      </c>
      <c r="B3081" s="3" t="s">
        <v>6705</v>
      </c>
      <c r="C3081" s="2">
        <f ca="1">IF(ISNUMBER(SEARCH(Лист2!$B$4,D:D)),MAX($C$3:OFFSET(C3081,-1,0))+1,0)</f>
        <v>0</v>
      </c>
      <c r="E3081" s="9" t="str">
        <f t="shared" ca="1" si="60"/>
        <v/>
      </c>
      <c r="F3081" s="4" t="s">
        <v>8</v>
      </c>
      <c r="G3081" s="2">
        <f>IF(ISNUMBER(SEARCH(Лист2!$B$4,F:F)),1,0)</f>
        <v>0</v>
      </c>
      <c r="H3081" s="3">
        <f ca="1">IF(AND(I3081&lt;&gt;I3080,ISNUMBER(SEARCH(Лист2!$B$5,I:I)),G3081=1),MAX($H$3:OFFSET(H3081,-1,0))+1,0)</f>
        <v>0</v>
      </c>
      <c r="I3081" s="3" t="s">
        <v>269</v>
      </c>
      <c r="K3081" s="2">
        <f>IF(ISNUMBER(SEARCH(Лист2!$B$4,F:F)),1,0)</f>
        <v>0</v>
      </c>
      <c r="L3081" s="14">
        <f>IF(ISNUMBER(SEARCH(Лист2!$B$5,I:I)),1,0)+K3081</f>
        <v>0</v>
      </c>
      <c r="M3081" s="3">
        <f ca="1">IF(AND(N3081&lt;&gt;N3080,ISNUMBER(SEARCH(Лист2!$B$6,N:N)),L3081=2),MAX($M$3:OFFSET(M3081,-1,0))+1,0)</f>
        <v>0</v>
      </c>
      <c r="N3081" s="3" t="s">
        <v>2023</v>
      </c>
    </row>
    <row r="3082" spans="1:14" x14ac:dyDescent="0.25">
      <c r="A3082" s="1" t="s">
        <v>11896</v>
      </c>
      <c r="B3082" s="3" t="s">
        <v>6706</v>
      </c>
      <c r="C3082" s="2">
        <f ca="1">IF(ISNUMBER(SEARCH(Лист2!$B$4,D:D)),MAX($C$3:OFFSET(C3082,-1,0))+1,0)</f>
        <v>0</v>
      </c>
      <c r="E3082" s="9" t="str">
        <f t="shared" ca="1" si="60"/>
        <v/>
      </c>
      <c r="F3082" s="4" t="s">
        <v>8</v>
      </c>
      <c r="G3082" s="2">
        <f>IF(ISNUMBER(SEARCH(Лист2!$B$4,F:F)),1,0)</f>
        <v>0</v>
      </c>
      <c r="H3082" s="3">
        <f ca="1">IF(AND(I3082&lt;&gt;I3081,ISNUMBER(SEARCH(Лист2!$B$5,I:I)),G3082=1),MAX($H$3:OFFSET(H3082,-1,0))+1,0)</f>
        <v>0</v>
      </c>
      <c r="I3082" s="3" t="s">
        <v>269</v>
      </c>
      <c r="K3082" s="2">
        <f>IF(ISNUMBER(SEARCH(Лист2!$B$4,F:F)),1,0)</f>
        <v>0</v>
      </c>
      <c r="L3082" s="14">
        <f>IF(ISNUMBER(SEARCH(Лист2!$B$5,I:I)),1,0)+K3082</f>
        <v>0</v>
      </c>
      <c r="M3082" s="3">
        <f ca="1">IF(AND(N3082&lt;&gt;N3081,ISNUMBER(SEARCH(Лист2!$B$6,N:N)),L3082=2),MAX($M$3:OFFSET(M3082,-1,0))+1,0)</f>
        <v>0</v>
      </c>
      <c r="N3082" s="3" t="s">
        <v>2024</v>
      </c>
    </row>
    <row r="3083" spans="1:14" x14ac:dyDescent="0.25">
      <c r="A3083" s="1" t="s">
        <v>11897</v>
      </c>
      <c r="B3083" s="3" t="s">
        <v>6707</v>
      </c>
      <c r="C3083" s="2">
        <f ca="1">IF(ISNUMBER(SEARCH(Лист2!$B$4,D:D)),MAX($C$3:OFFSET(C3083,-1,0))+1,0)</f>
        <v>0</v>
      </c>
      <c r="E3083" s="9" t="str">
        <f t="shared" ca="1" si="60"/>
        <v/>
      </c>
      <c r="F3083" s="4" t="s">
        <v>8</v>
      </c>
      <c r="G3083" s="2">
        <f>IF(ISNUMBER(SEARCH(Лист2!$B$4,F:F)),1,0)</f>
        <v>0</v>
      </c>
      <c r="H3083" s="3">
        <f ca="1">IF(AND(I3083&lt;&gt;I3082,ISNUMBER(SEARCH(Лист2!$B$5,I:I)),G3083=1),MAX($H$3:OFFSET(H3083,-1,0))+1,0)</f>
        <v>0</v>
      </c>
      <c r="I3083" s="3" t="s">
        <v>269</v>
      </c>
      <c r="K3083" s="2">
        <f>IF(ISNUMBER(SEARCH(Лист2!$B$4,F:F)),1,0)</f>
        <v>0</v>
      </c>
      <c r="L3083" s="14">
        <f>IF(ISNUMBER(SEARCH(Лист2!$B$5,I:I)),1,0)+K3083</f>
        <v>0</v>
      </c>
      <c r="M3083" s="3">
        <f ca="1">IF(AND(N3083&lt;&gt;N3082,ISNUMBER(SEARCH(Лист2!$B$6,N:N)),L3083=2),MAX($M$3:OFFSET(M3083,-1,0))+1,0)</f>
        <v>0</v>
      </c>
      <c r="N3083" s="3" t="s">
        <v>2025</v>
      </c>
    </row>
    <row r="3084" spans="1:14" x14ac:dyDescent="0.25">
      <c r="A3084" s="1" t="s">
        <v>11898</v>
      </c>
      <c r="B3084" s="3" t="s">
        <v>6708</v>
      </c>
      <c r="C3084" s="2">
        <f ca="1">IF(ISNUMBER(SEARCH(Лист2!$B$4,D:D)),MAX($C$3:OFFSET(C3084,-1,0))+1,0)</f>
        <v>0</v>
      </c>
      <c r="E3084" s="9" t="str">
        <f t="shared" ca="1" si="60"/>
        <v/>
      </c>
      <c r="F3084" s="4" t="s">
        <v>8</v>
      </c>
      <c r="G3084" s="2">
        <f>IF(ISNUMBER(SEARCH(Лист2!$B$4,F:F)),1,0)</f>
        <v>0</v>
      </c>
      <c r="H3084" s="3">
        <f ca="1">IF(AND(I3084&lt;&gt;I3083,ISNUMBER(SEARCH(Лист2!$B$5,I:I)),G3084=1),MAX($H$3:OFFSET(H3084,-1,0))+1,0)</f>
        <v>0</v>
      </c>
      <c r="I3084" s="3" t="s">
        <v>270</v>
      </c>
      <c r="K3084" s="2">
        <f>IF(ISNUMBER(SEARCH(Лист2!$B$4,F:F)),1,0)</f>
        <v>0</v>
      </c>
      <c r="L3084" s="14">
        <f>IF(ISNUMBER(SEARCH(Лист2!$B$5,I:I)),1,0)+K3084</f>
        <v>0</v>
      </c>
      <c r="M3084" s="3">
        <f ca="1">IF(AND(N3084&lt;&gt;N3083,ISNUMBER(SEARCH(Лист2!$B$6,N:N)),L3084=2),MAX($M$3:OFFSET(M3084,-1,0))+1,0)</f>
        <v>0</v>
      </c>
      <c r="N3084" s="3" t="s">
        <v>2019</v>
      </c>
    </row>
    <row r="3085" spans="1:14" x14ac:dyDescent="0.25">
      <c r="A3085" s="1" t="s">
        <v>11899</v>
      </c>
      <c r="B3085" s="3" t="s">
        <v>6709</v>
      </c>
      <c r="C3085" s="2">
        <f ca="1">IF(ISNUMBER(SEARCH(Лист2!$B$4,D:D)),MAX($C$3:OFFSET(C3085,-1,0))+1,0)</f>
        <v>0</v>
      </c>
      <c r="E3085" s="9" t="str">
        <f t="shared" ca="1" si="60"/>
        <v/>
      </c>
      <c r="F3085" s="4" t="s">
        <v>8</v>
      </c>
      <c r="G3085" s="2">
        <f>IF(ISNUMBER(SEARCH(Лист2!$B$4,F:F)),1,0)</f>
        <v>0</v>
      </c>
      <c r="H3085" s="3">
        <f ca="1">IF(AND(I3085&lt;&gt;I3084,ISNUMBER(SEARCH(Лист2!$B$5,I:I)),G3085=1),MAX($H$3:OFFSET(H3085,-1,0))+1,0)</f>
        <v>0</v>
      </c>
      <c r="I3085" s="3" t="s">
        <v>270</v>
      </c>
      <c r="K3085" s="2">
        <f>IF(ISNUMBER(SEARCH(Лист2!$B$4,F:F)),1,0)</f>
        <v>0</v>
      </c>
      <c r="L3085" s="14">
        <f>IF(ISNUMBER(SEARCH(Лист2!$B$5,I:I)),1,0)+K3085</f>
        <v>0</v>
      </c>
      <c r="M3085" s="3">
        <f ca="1">IF(AND(N3085&lt;&gt;N3084,ISNUMBER(SEARCH(Лист2!$B$6,N:N)),L3085=2),MAX($M$3:OFFSET(M3085,-1,0))+1,0)</f>
        <v>0</v>
      </c>
      <c r="N3085" s="3" t="s">
        <v>2020</v>
      </c>
    </row>
    <row r="3086" spans="1:14" x14ac:dyDescent="0.25">
      <c r="A3086" s="1" t="s">
        <v>11900</v>
      </c>
      <c r="B3086" s="3" t="s">
        <v>6710</v>
      </c>
      <c r="C3086" s="2">
        <f ca="1">IF(ISNUMBER(SEARCH(Лист2!$B$4,D:D)),MAX($C$3:OFFSET(C3086,-1,0))+1,0)</f>
        <v>0</v>
      </c>
      <c r="E3086" s="9" t="str">
        <f t="shared" ca="1" si="60"/>
        <v/>
      </c>
      <c r="F3086" s="4" t="s">
        <v>8</v>
      </c>
      <c r="G3086" s="2">
        <f>IF(ISNUMBER(SEARCH(Лист2!$B$4,F:F)),1,0)</f>
        <v>0</v>
      </c>
      <c r="H3086" s="3">
        <f ca="1">IF(AND(I3086&lt;&gt;I3085,ISNUMBER(SEARCH(Лист2!$B$5,I:I)),G3086=1),MAX($H$3:OFFSET(H3086,-1,0))+1,0)</f>
        <v>0</v>
      </c>
      <c r="I3086" s="3" t="s">
        <v>270</v>
      </c>
      <c r="K3086" s="2">
        <f>IF(ISNUMBER(SEARCH(Лист2!$B$4,F:F)),1,0)</f>
        <v>0</v>
      </c>
      <c r="L3086" s="14">
        <f>IF(ISNUMBER(SEARCH(Лист2!$B$5,I:I)),1,0)+K3086</f>
        <v>0</v>
      </c>
      <c r="M3086" s="3">
        <f ca="1">IF(AND(N3086&lt;&gt;N3085,ISNUMBER(SEARCH(Лист2!$B$6,N:N)),L3086=2),MAX($M$3:OFFSET(M3086,-1,0))+1,0)</f>
        <v>0</v>
      </c>
      <c r="N3086" s="3" t="s">
        <v>1385</v>
      </c>
    </row>
    <row r="3087" spans="1:14" x14ac:dyDescent="0.25">
      <c r="A3087" s="1" t="s">
        <v>11901</v>
      </c>
      <c r="B3087" s="3" t="s">
        <v>6711</v>
      </c>
      <c r="C3087" s="2">
        <f ca="1">IF(ISNUMBER(SEARCH(Лист2!$B$4,D:D)),MAX($C$3:OFFSET(C3087,-1,0))+1,0)</f>
        <v>0</v>
      </c>
      <c r="E3087" s="9" t="str">
        <f t="shared" ca="1" si="60"/>
        <v/>
      </c>
      <c r="F3087" s="4" t="s">
        <v>8</v>
      </c>
      <c r="G3087" s="2">
        <f>IF(ISNUMBER(SEARCH(Лист2!$B$4,F:F)),1,0)</f>
        <v>0</v>
      </c>
      <c r="H3087" s="3">
        <f ca="1">IF(AND(I3087&lt;&gt;I3086,ISNUMBER(SEARCH(Лист2!$B$5,I:I)),G3087=1),MAX($H$3:OFFSET(H3087,-1,0))+1,0)</f>
        <v>0</v>
      </c>
      <c r="I3087" s="3" t="s">
        <v>270</v>
      </c>
      <c r="K3087" s="2">
        <f>IF(ISNUMBER(SEARCH(Лист2!$B$4,F:F)),1,0)</f>
        <v>0</v>
      </c>
      <c r="L3087" s="14">
        <f>IF(ISNUMBER(SEARCH(Лист2!$B$5,I:I)),1,0)+K3087</f>
        <v>0</v>
      </c>
      <c r="M3087" s="3">
        <f ca="1">IF(AND(N3087&lt;&gt;N3086,ISNUMBER(SEARCH(Лист2!$B$6,N:N)),L3087=2),MAX($M$3:OFFSET(M3087,-1,0))+1,0)</f>
        <v>0</v>
      </c>
      <c r="N3087" s="3" t="s">
        <v>602</v>
      </c>
    </row>
    <row r="3088" spans="1:14" x14ac:dyDescent="0.25">
      <c r="A3088" s="1" t="s">
        <v>11902</v>
      </c>
      <c r="B3088" s="3" t="s">
        <v>6712</v>
      </c>
      <c r="C3088" s="2">
        <f ca="1">IF(ISNUMBER(SEARCH(Лист2!$B$4,D:D)),MAX($C$3:OFFSET(C3088,-1,0))+1,0)</f>
        <v>0</v>
      </c>
      <c r="E3088" s="9" t="str">
        <f t="shared" ca="1" si="60"/>
        <v/>
      </c>
      <c r="F3088" s="4" t="s">
        <v>8</v>
      </c>
      <c r="G3088" s="2">
        <f>IF(ISNUMBER(SEARCH(Лист2!$B$4,F:F)),1,0)</f>
        <v>0</v>
      </c>
      <c r="H3088" s="3">
        <f ca="1">IF(AND(I3088&lt;&gt;I3087,ISNUMBER(SEARCH(Лист2!$B$5,I:I)),G3088=1),MAX($H$3:OFFSET(H3088,-1,0))+1,0)</f>
        <v>0</v>
      </c>
      <c r="I3088" s="3" t="s">
        <v>270</v>
      </c>
      <c r="K3088" s="2">
        <f>IF(ISNUMBER(SEARCH(Лист2!$B$4,F:F)),1,0)</f>
        <v>0</v>
      </c>
      <c r="L3088" s="14">
        <f>IF(ISNUMBER(SEARCH(Лист2!$B$5,I:I)),1,0)+K3088</f>
        <v>0</v>
      </c>
      <c r="M3088" s="3">
        <f ca="1">IF(AND(N3088&lt;&gt;N3087,ISNUMBER(SEARCH(Лист2!$B$6,N:N)),L3088=2),MAX($M$3:OFFSET(M3088,-1,0))+1,0)</f>
        <v>0</v>
      </c>
      <c r="N3088" s="3" t="s">
        <v>2021</v>
      </c>
    </row>
    <row r="3089" spans="1:14" x14ac:dyDescent="0.25">
      <c r="A3089" s="1" t="s">
        <v>11903</v>
      </c>
      <c r="B3089" s="3" t="s">
        <v>6713</v>
      </c>
      <c r="C3089" s="2">
        <f ca="1">IF(ISNUMBER(SEARCH(Лист2!$B$4,D:D)),MAX($C$3:OFFSET(C3089,-1,0))+1,0)</f>
        <v>0</v>
      </c>
      <c r="E3089" s="9" t="str">
        <f t="shared" ca="1" si="60"/>
        <v/>
      </c>
      <c r="F3089" s="4" t="s">
        <v>8</v>
      </c>
      <c r="G3089" s="2">
        <f>IF(ISNUMBER(SEARCH(Лист2!$B$4,F:F)),1,0)</f>
        <v>0</v>
      </c>
      <c r="H3089" s="3">
        <f ca="1">IF(AND(I3089&lt;&gt;I3088,ISNUMBER(SEARCH(Лист2!$B$5,I:I)),G3089=1),MAX($H$3:OFFSET(H3089,-1,0))+1,0)</f>
        <v>0</v>
      </c>
      <c r="I3089" s="3" t="s">
        <v>270</v>
      </c>
      <c r="K3089" s="2">
        <f>IF(ISNUMBER(SEARCH(Лист2!$B$4,F:F)),1,0)</f>
        <v>0</v>
      </c>
      <c r="L3089" s="14">
        <f>IF(ISNUMBER(SEARCH(Лист2!$B$5,I:I)),1,0)+K3089</f>
        <v>0</v>
      </c>
      <c r="M3089" s="3">
        <f ca="1">IF(AND(N3089&lt;&gt;N3088,ISNUMBER(SEARCH(Лист2!$B$6,N:N)),L3089=2),MAX($M$3:OFFSET(M3089,-1,0))+1,0)</f>
        <v>0</v>
      </c>
      <c r="N3089" s="3" t="s">
        <v>2022</v>
      </c>
    </row>
    <row r="3090" spans="1:14" x14ac:dyDescent="0.25">
      <c r="A3090" s="1" t="s">
        <v>11904</v>
      </c>
      <c r="B3090" s="3" t="s">
        <v>6714</v>
      </c>
      <c r="C3090" s="2">
        <f ca="1">IF(ISNUMBER(SEARCH(Лист2!$B$4,D:D)),MAX($C$3:OFFSET(C3090,-1,0))+1,0)</f>
        <v>0</v>
      </c>
      <c r="E3090" s="9" t="str">
        <f t="shared" ca="1" si="60"/>
        <v/>
      </c>
      <c r="F3090" s="4" t="s">
        <v>8</v>
      </c>
      <c r="G3090" s="2">
        <f>IF(ISNUMBER(SEARCH(Лист2!$B$4,F:F)),1,0)</f>
        <v>0</v>
      </c>
      <c r="H3090" s="3">
        <f ca="1">IF(AND(I3090&lt;&gt;I3089,ISNUMBER(SEARCH(Лист2!$B$5,I:I)),G3090=1),MAX($H$3:OFFSET(H3090,-1,0))+1,0)</f>
        <v>0</v>
      </c>
      <c r="I3090" s="3" t="s">
        <v>270</v>
      </c>
      <c r="K3090" s="2">
        <f>IF(ISNUMBER(SEARCH(Лист2!$B$4,F:F)),1,0)</f>
        <v>0</v>
      </c>
      <c r="L3090" s="14">
        <f>IF(ISNUMBER(SEARCH(Лист2!$B$5,I:I)),1,0)+K3090</f>
        <v>0</v>
      </c>
      <c r="M3090" s="3">
        <f ca="1">IF(AND(N3090&lt;&gt;N3089,ISNUMBER(SEARCH(Лист2!$B$6,N:N)),L3090=2),MAX($M$3:OFFSET(M3090,-1,0))+1,0)</f>
        <v>0</v>
      </c>
      <c r="N3090" s="3" t="s">
        <v>2023</v>
      </c>
    </row>
    <row r="3091" spans="1:14" x14ac:dyDescent="0.25">
      <c r="A3091" s="1" t="s">
        <v>11905</v>
      </c>
      <c r="B3091" s="3" t="s">
        <v>6715</v>
      </c>
      <c r="C3091" s="2">
        <f ca="1">IF(ISNUMBER(SEARCH(Лист2!$B$4,D:D)),MAX($C$3:OFFSET(C3091,-1,0))+1,0)</f>
        <v>0</v>
      </c>
      <c r="E3091" s="9" t="str">
        <f t="shared" ca="1" si="60"/>
        <v/>
      </c>
      <c r="F3091" s="4" t="s">
        <v>8</v>
      </c>
      <c r="G3091" s="2">
        <f>IF(ISNUMBER(SEARCH(Лист2!$B$4,F:F)),1,0)</f>
        <v>0</v>
      </c>
      <c r="H3091" s="3">
        <f ca="1">IF(AND(I3091&lt;&gt;I3090,ISNUMBER(SEARCH(Лист2!$B$5,I:I)),G3091=1),MAX($H$3:OFFSET(H3091,-1,0))+1,0)</f>
        <v>0</v>
      </c>
      <c r="I3091" s="3" t="s">
        <v>270</v>
      </c>
      <c r="K3091" s="2">
        <f>IF(ISNUMBER(SEARCH(Лист2!$B$4,F:F)),1,0)</f>
        <v>0</v>
      </c>
      <c r="L3091" s="14">
        <f>IF(ISNUMBER(SEARCH(Лист2!$B$5,I:I)),1,0)+K3091</f>
        <v>0</v>
      </c>
      <c r="M3091" s="3">
        <f ca="1">IF(AND(N3091&lt;&gt;N3090,ISNUMBER(SEARCH(Лист2!$B$6,N:N)),L3091=2),MAX($M$3:OFFSET(M3091,-1,0))+1,0)</f>
        <v>0</v>
      </c>
      <c r="N3091" s="3" t="s">
        <v>2026</v>
      </c>
    </row>
    <row r="3092" spans="1:14" x14ac:dyDescent="0.25">
      <c r="A3092" s="1" t="s">
        <v>11906</v>
      </c>
      <c r="B3092" s="3" t="s">
        <v>6716</v>
      </c>
      <c r="C3092" s="2">
        <f ca="1">IF(ISNUMBER(SEARCH(Лист2!$B$4,D:D)),MAX($C$3:OFFSET(C3092,-1,0))+1,0)</f>
        <v>0</v>
      </c>
      <c r="E3092" s="9" t="str">
        <f t="shared" ca="1" si="60"/>
        <v/>
      </c>
      <c r="F3092" s="4" t="s">
        <v>8</v>
      </c>
      <c r="G3092" s="2">
        <f>IF(ISNUMBER(SEARCH(Лист2!$B$4,F:F)),1,0)</f>
        <v>0</v>
      </c>
      <c r="H3092" s="3">
        <f ca="1">IF(AND(I3092&lt;&gt;I3091,ISNUMBER(SEARCH(Лист2!$B$5,I:I)),G3092=1),MAX($H$3:OFFSET(H3092,-1,0))+1,0)</f>
        <v>0</v>
      </c>
      <c r="I3092" s="3" t="s">
        <v>270</v>
      </c>
      <c r="K3092" s="2">
        <f>IF(ISNUMBER(SEARCH(Лист2!$B$4,F:F)),1,0)</f>
        <v>0</v>
      </c>
      <c r="L3092" s="14">
        <f>IF(ISNUMBER(SEARCH(Лист2!$B$5,I:I)),1,0)+K3092</f>
        <v>0</v>
      </c>
      <c r="M3092" s="3">
        <f ca="1">IF(AND(N3092&lt;&gt;N3091,ISNUMBER(SEARCH(Лист2!$B$6,N:N)),L3092=2),MAX($M$3:OFFSET(M3092,-1,0))+1,0)</f>
        <v>0</v>
      </c>
      <c r="N3092" s="3" t="s">
        <v>2027</v>
      </c>
    </row>
    <row r="3093" spans="1:14" x14ac:dyDescent="0.25">
      <c r="A3093" s="1" t="s">
        <v>11907</v>
      </c>
      <c r="B3093" s="3" t="s">
        <v>6717</v>
      </c>
      <c r="C3093" s="2">
        <f ca="1">IF(ISNUMBER(SEARCH(Лист2!$B$4,D:D)),MAX($C$3:OFFSET(C3093,-1,0))+1,0)</f>
        <v>0</v>
      </c>
      <c r="E3093" s="9" t="str">
        <f t="shared" ca="1" si="60"/>
        <v/>
      </c>
      <c r="F3093" s="4" t="s">
        <v>8</v>
      </c>
      <c r="G3093" s="2">
        <f>IF(ISNUMBER(SEARCH(Лист2!$B$4,F:F)),1,0)</f>
        <v>0</v>
      </c>
      <c r="H3093" s="3">
        <f ca="1">IF(AND(I3093&lt;&gt;I3092,ISNUMBER(SEARCH(Лист2!$B$5,I:I)),G3093=1),MAX($H$3:OFFSET(H3093,-1,0))+1,0)</f>
        <v>0</v>
      </c>
      <c r="I3093" s="3" t="s">
        <v>270</v>
      </c>
      <c r="K3093" s="2">
        <f>IF(ISNUMBER(SEARCH(Лист2!$B$4,F:F)),1,0)</f>
        <v>0</v>
      </c>
      <c r="L3093" s="14">
        <f>IF(ISNUMBER(SEARCH(Лист2!$B$5,I:I)),1,0)+K3093</f>
        <v>0</v>
      </c>
      <c r="M3093" s="3">
        <f ca="1">IF(AND(N3093&lt;&gt;N3092,ISNUMBER(SEARCH(Лист2!$B$6,N:N)),L3093=2),MAX($M$3:OFFSET(M3093,-1,0))+1,0)</f>
        <v>0</v>
      </c>
      <c r="N3093" s="3" t="s">
        <v>2028</v>
      </c>
    </row>
    <row r="3094" spans="1:14" x14ac:dyDescent="0.25">
      <c r="A3094" s="1" t="s">
        <v>11908</v>
      </c>
      <c r="B3094" s="3" t="s">
        <v>6718</v>
      </c>
      <c r="C3094" s="2">
        <f ca="1">IF(ISNUMBER(SEARCH(Лист2!$B$4,D:D)),MAX($C$3:OFFSET(C3094,-1,0))+1,0)</f>
        <v>0</v>
      </c>
      <c r="E3094" s="9" t="str">
        <f t="shared" ca="1" si="60"/>
        <v/>
      </c>
      <c r="F3094" s="4" t="s">
        <v>8</v>
      </c>
      <c r="G3094" s="2">
        <f>IF(ISNUMBER(SEARCH(Лист2!$B$4,F:F)),1,0)</f>
        <v>0</v>
      </c>
      <c r="H3094" s="3">
        <f ca="1">IF(AND(I3094&lt;&gt;I3093,ISNUMBER(SEARCH(Лист2!$B$5,I:I)),G3094=1),MAX($H$3:OFFSET(H3094,-1,0))+1,0)</f>
        <v>0</v>
      </c>
      <c r="I3094" s="3" t="s">
        <v>271</v>
      </c>
      <c r="K3094" s="2">
        <f>IF(ISNUMBER(SEARCH(Лист2!$B$4,F:F)),1,0)</f>
        <v>0</v>
      </c>
      <c r="L3094" s="14">
        <f>IF(ISNUMBER(SEARCH(Лист2!$B$5,I:I)),1,0)+K3094</f>
        <v>0</v>
      </c>
      <c r="M3094" s="3">
        <f ca="1">IF(AND(N3094&lt;&gt;N3093,ISNUMBER(SEARCH(Лист2!$B$6,N:N)),L3094=2),MAX($M$3:OFFSET(M3094,-1,0))+1,0)</f>
        <v>0</v>
      </c>
      <c r="N3094" s="3" t="s">
        <v>2019</v>
      </c>
    </row>
    <row r="3095" spans="1:14" x14ac:dyDescent="0.25">
      <c r="A3095" s="1" t="s">
        <v>11909</v>
      </c>
      <c r="B3095" s="3" t="s">
        <v>6719</v>
      </c>
      <c r="C3095" s="2">
        <f ca="1">IF(ISNUMBER(SEARCH(Лист2!$B$4,D:D)),MAX($C$3:OFFSET(C3095,-1,0))+1,0)</f>
        <v>0</v>
      </c>
      <c r="E3095" s="9" t="str">
        <f t="shared" ca="1" si="60"/>
        <v/>
      </c>
      <c r="F3095" s="4" t="s">
        <v>8</v>
      </c>
      <c r="G3095" s="2">
        <f>IF(ISNUMBER(SEARCH(Лист2!$B$4,F:F)),1,0)</f>
        <v>0</v>
      </c>
      <c r="H3095" s="3">
        <f ca="1">IF(AND(I3095&lt;&gt;I3094,ISNUMBER(SEARCH(Лист2!$B$5,I:I)),G3095=1),MAX($H$3:OFFSET(H3095,-1,0))+1,0)</f>
        <v>0</v>
      </c>
      <c r="I3095" s="3" t="s">
        <v>271</v>
      </c>
      <c r="K3095" s="2">
        <f>IF(ISNUMBER(SEARCH(Лист2!$B$4,F:F)),1,0)</f>
        <v>0</v>
      </c>
      <c r="L3095" s="14">
        <f>IF(ISNUMBER(SEARCH(Лист2!$B$5,I:I)),1,0)+K3095</f>
        <v>0</v>
      </c>
      <c r="M3095" s="3">
        <f ca="1">IF(AND(N3095&lt;&gt;N3094,ISNUMBER(SEARCH(Лист2!$B$6,N:N)),L3095=2),MAX($M$3:OFFSET(M3095,-1,0))+1,0)</f>
        <v>0</v>
      </c>
      <c r="N3095" s="3" t="s">
        <v>2029</v>
      </c>
    </row>
    <row r="3096" spans="1:14" x14ac:dyDescent="0.25">
      <c r="A3096" s="1" t="s">
        <v>11910</v>
      </c>
      <c r="B3096" s="3" t="s">
        <v>6720</v>
      </c>
      <c r="C3096" s="2">
        <f ca="1">IF(ISNUMBER(SEARCH(Лист2!$B$4,D:D)),MAX($C$3:OFFSET(C3096,-1,0))+1,0)</f>
        <v>0</v>
      </c>
      <c r="E3096" s="9" t="str">
        <f t="shared" ca="1" si="60"/>
        <v/>
      </c>
      <c r="F3096" s="4" t="s">
        <v>8</v>
      </c>
      <c r="G3096" s="2">
        <f>IF(ISNUMBER(SEARCH(Лист2!$B$4,F:F)),1,0)</f>
        <v>0</v>
      </c>
      <c r="H3096" s="3">
        <f ca="1">IF(AND(I3096&lt;&gt;I3095,ISNUMBER(SEARCH(Лист2!$B$5,I:I)),G3096=1),MAX($H$3:OFFSET(H3096,-1,0))+1,0)</f>
        <v>0</v>
      </c>
      <c r="I3096" s="3" t="s">
        <v>271</v>
      </c>
      <c r="K3096" s="2">
        <f>IF(ISNUMBER(SEARCH(Лист2!$B$4,F:F)),1,0)</f>
        <v>0</v>
      </c>
      <c r="L3096" s="14">
        <f>IF(ISNUMBER(SEARCH(Лист2!$B$5,I:I)),1,0)+K3096</f>
        <v>0</v>
      </c>
      <c r="M3096" s="3">
        <f ca="1">IF(AND(N3096&lt;&gt;N3095,ISNUMBER(SEARCH(Лист2!$B$6,N:N)),L3096=2),MAX($M$3:OFFSET(M3096,-1,0))+1,0)</f>
        <v>0</v>
      </c>
      <c r="N3096" s="3" t="s">
        <v>1385</v>
      </c>
    </row>
    <row r="3097" spans="1:14" x14ac:dyDescent="0.25">
      <c r="A3097" s="1" t="s">
        <v>11911</v>
      </c>
      <c r="B3097" s="3" t="s">
        <v>6721</v>
      </c>
      <c r="C3097" s="2">
        <f ca="1">IF(ISNUMBER(SEARCH(Лист2!$B$4,D:D)),MAX($C$3:OFFSET(C3097,-1,0))+1,0)</f>
        <v>0</v>
      </c>
      <c r="E3097" s="9" t="str">
        <f t="shared" ca="1" si="60"/>
        <v/>
      </c>
      <c r="F3097" s="4" t="s">
        <v>8</v>
      </c>
      <c r="G3097" s="2">
        <f>IF(ISNUMBER(SEARCH(Лист2!$B$4,F:F)),1,0)</f>
        <v>0</v>
      </c>
      <c r="H3097" s="3">
        <f ca="1">IF(AND(I3097&lt;&gt;I3096,ISNUMBER(SEARCH(Лист2!$B$5,I:I)),G3097=1),MAX($H$3:OFFSET(H3097,-1,0))+1,0)</f>
        <v>0</v>
      </c>
      <c r="I3097" s="3" t="s">
        <v>271</v>
      </c>
      <c r="K3097" s="2">
        <f>IF(ISNUMBER(SEARCH(Лист2!$B$4,F:F)),1,0)</f>
        <v>0</v>
      </c>
      <c r="L3097" s="14">
        <f>IF(ISNUMBER(SEARCH(Лист2!$B$5,I:I)),1,0)+K3097</f>
        <v>0</v>
      </c>
      <c r="M3097" s="3">
        <f ca="1">IF(AND(N3097&lt;&gt;N3096,ISNUMBER(SEARCH(Лист2!$B$6,N:N)),L3097=2),MAX($M$3:OFFSET(M3097,-1,0))+1,0)</f>
        <v>0</v>
      </c>
      <c r="N3097" s="3" t="s">
        <v>602</v>
      </c>
    </row>
    <row r="3098" spans="1:14" x14ac:dyDescent="0.25">
      <c r="A3098" s="1" t="s">
        <v>11912</v>
      </c>
      <c r="B3098" s="3" t="s">
        <v>6722</v>
      </c>
      <c r="C3098" s="2">
        <f ca="1">IF(ISNUMBER(SEARCH(Лист2!$B$4,D:D)),MAX($C$3:OFFSET(C3098,-1,0))+1,0)</f>
        <v>0</v>
      </c>
      <c r="E3098" s="9" t="str">
        <f t="shared" ca="1" si="60"/>
        <v/>
      </c>
      <c r="F3098" s="4" t="s">
        <v>8</v>
      </c>
      <c r="G3098" s="2">
        <f>IF(ISNUMBER(SEARCH(Лист2!$B$4,F:F)),1,0)</f>
        <v>0</v>
      </c>
      <c r="H3098" s="3">
        <f ca="1">IF(AND(I3098&lt;&gt;I3097,ISNUMBER(SEARCH(Лист2!$B$5,I:I)),G3098=1),MAX($H$3:OFFSET(H3098,-1,0))+1,0)</f>
        <v>0</v>
      </c>
      <c r="I3098" s="3" t="s">
        <v>271</v>
      </c>
      <c r="K3098" s="2">
        <f>IF(ISNUMBER(SEARCH(Лист2!$B$4,F:F)),1,0)</f>
        <v>0</v>
      </c>
      <c r="L3098" s="14">
        <f>IF(ISNUMBER(SEARCH(Лист2!$B$5,I:I)),1,0)+K3098</f>
        <v>0</v>
      </c>
      <c r="M3098" s="3">
        <f ca="1">IF(AND(N3098&lt;&gt;N3097,ISNUMBER(SEARCH(Лист2!$B$6,N:N)),L3098=2),MAX($M$3:OFFSET(M3098,-1,0))+1,0)</f>
        <v>0</v>
      </c>
      <c r="N3098" s="3" t="s">
        <v>2030</v>
      </c>
    </row>
    <row r="3099" spans="1:14" x14ac:dyDescent="0.25">
      <c r="A3099" s="1" t="s">
        <v>11913</v>
      </c>
      <c r="B3099" s="3" t="s">
        <v>6723</v>
      </c>
      <c r="C3099" s="2">
        <f ca="1">IF(ISNUMBER(SEARCH(Лист2!$B$4,D:D)),MAX($C$3:OFFSET(C3099,-1,0))+1,0)</f>
        <v>0</v>
      </c>
      <c r="E3099" s="9" t="str">
        <f t="shared" ca="1" si="60"/>
        <v/>
      </c>
      <c r="F3099" s="4" t="s">
        <v>8</v>
      </c>
      <c r="G3099" s="2">
        <f>IF(ISNUMBER(SEARCH(Лист2!$B$4,F:F)),1,0)</f>
        <v>0</v>
      </c>
      <c r="H3099" s="3">
        <f ca="1">IF(AND(I3099&lt;&gt;I3098,ISNUMBER(SEARCH(Лист2!$B$5,I:I)),G3099=1),MAX($H$3:OFFSET(H3099,-1,0))+1,0)</f>
        <v>0</v>
      </c>
      <c r="I3099" s="3" t="s">
        <v>271</v>
      </c>
      <c r="K3099" s="2">
        <f>IF(ISNUMBER(SEARCH(Лист2!$B$4,F:F)),1,0)</f>
        <v>0</v>
      </c>
      <c r="L3099" s="14">
        <f>IF(ISNUMBER(SEARCH(Лист2!$B$5,I:I)),1,0)+K3099</f>
        <v>0</v>
      </c>
      <c r="M3099" s="3">
        <f ca="1">IF(AND(N3099&lt;&gt;N3098,ISNUMBER(SEARCH(Лист2!$B$6,N:N)),L3099=2),MAX($M$3:OFFSET(M3099,-1,0))+1,0)</f>
        <v>0</v>
      </c>
      <c r="N3099" s="3" t="s">
        <v>2031</v>
      </c>
    </row>
    <row r="3100" spans="1:14" x14ac:dyDescent="0.25">
      <c r="A3100" s="1" t="s">
        <v>11914</v>
      </c>
      <c r="B3100" s="3" t="s">
        <v>6724</v>
      </c>
      <c r="C3100" s="2">
        <f ca="1">IF(ISNUMBER(SEARCH(Лист2!$B$4,D:D)),MAX($C$3:OFFSET(C3100,-1,0))+1,0)</f>
        <v>0</v>
      </c>
      <c r="E3100" s="9" t="str">
        <f t="shared" ca="1" si="60"/>
        <v/>
      </c>
      <c r="F3100" s="4" t="s">
        <v>8</v>
      </c>
      <c r="G3100" s="2">
        <f>IF(ISNUMBER(SEARCH(Лист2!$B$4,F:F)),1,0)</f>
        <v>0</v>
      </c>
      <c r="H3100" s="3">
        <f ca="1">IF(AND(I3100&lt;&gt;I3099,ISNUMBER(SEARCH(Лист2!$B$5,I:I)),G3100=1),MAX($H$3:OFFSET(H3100,-1,0))+1,0)</f>
        <v>0</v>
      </c>
      <c r="I3100" s="3" t="s">
        <v>271</v>
      </c>
      <c r="K3100" s="2">
        <f>IF(ISNUMBER(SEARCH(Лист2!$B$4,F:F)),1,0)</f>
        <v>0</v>
      </c>
      <c r="L3100" s="14">
        <f>IF(ISNUMBER(SEARCH(Лист2!$B$5,I:I)),1,0)+K3100</f>
        <v>0</v>
      </c>
      <c r="M3100" s="3">
        <f ca="1">IF(AND(N3100&lt;&gt;N3099,ISNUMBER(SEARCH(Лист2!$B$6,N:N)),L3100=2),MAX($M$3:OFFSET(M3100,-1,0))+1,0)</f>
        <v>0</v>
      </c>
      <c r="N3100" s="3" t="s">
        <v>2032</v>
      </c>
    </row>
    <row r="3101" spans="1:14" x14ac:dyDescent="0.25">
      <c r="A3101" s="1" t="s">
        <v>11915</v>
      </c>
      <c r="B3101" s="3" t="s">
        <v>6725</v>
      </c>
      <c r="C3101" s="2">
        <f ca="1">IF(ISNUMBER(SEARCH(Лист2!$B$4,D:D)),MAX($C$3:OFFSET(C3101,-1,0))+1,0)</f>
        <v>0</v>
      </c>
      <c r="E3101" s="9" t="str">
        <f t="shared" ca="1" si="60"/>
        <v/>
      </c>
      <c r="F3101" s="4" t="s">
        <v>8</v>
      </c>
      <c r="G3101" s="2">
        <f>IF(ISNUMBER(SEARCH(Лист2!$B$4,F:F)),1,0)</f>
        <v>0</v>
      </c>
      <c r="H3101" s="3">
        <f ca="1">IF(AND(I3101&lt;&gt;I3100,ISNUMBER(SEARCH(Лист2!$B$5,I:I)),G3101=1),MAX($H$3:OFFSET(H3101,-1,0))+1,0)</f>
        <v>0</v>
      </c>
      <c r="I3101" s="3" t="s">
        <v>271</v>
      </c>
      <c r="K3101" s="2">
        <f>IF(ISNUMBER(SEARCH(Лист2!$B$4,F:F)),1,0)</f>
        <v>0</v>
      </c>
      <c r="L3101" s="14">
        <f>IF(ISNUMBER(SEARCH(Лист2!$B$5,I:I)),1,0)+K3101</f>
        <v>0</v>
      </c>
      <c r="M3101" s="3">
        <f ca="1">IF(AND(N3101&lt;&gt;N3100,ISNUMBER(SEARCH(Лист2!$B$6,N:N)),L3101=2),MAX($M$3:OFFSET(M3101,-1,0))+1,0)</f>
        <v>0</v>
      </c>
      <c r="N3101" s="3" t="s">
        <v>2033</v>
      </c>
    </row>
    <row r="3102" spans="1:14" x14ac:dyDescent="0.25">
      <c r="A3102" s="1" t="s">
        <v>11916</v>
      </c>
      <c r="B3102" s="3" t="s">
        <v>6726</v>
      </c>
      <c r="C3102" s="2">
        <f ca="1">IF(ISNUMBER(SEARCH(Лист2!$B$4,D:D)),MAX($C$3:OFFSET(C3102,-1,0))+1,0)</f>
        <v>0</v>
      </c>
      <c r="E3102" s="9" t="str">
        <f t="shared" ca="1" si="60"/>
        <v/>
      </c>
      <c r="F3102" s="4" t="s">
        <v>8</v>
      </c>
      <c r="G3102" s="2">
        <f>IF(ISNUMBER(SEARCH(Лист2!$B$4,F:F)),1,0)</f>
        <v>0</v>
      </c>
      <c r="H3102" s="3">
        <f ca="1">IF(AND(I3102&lt;&gt;I3101,ISNUMBER(SEARCH(Лист2!$B$5,I:I)),G3102=1),MAX($H$3:OFFSET(H3102,-1,0))+1,0)</f>
        <v>0</v>
      </c>
      <c r="I3102" s="3" t="s">
        <v>271</v>
      </c>
      <c r="K3102" s="2">
        <f>IF(ISNUMBER(SEARCH(Лист2!$B$4,F:F)),1,0)</f>
        <v>0</v>
      </c>
      <c r="L3102" s="14">
        <f>IF(ISNUMBER(SEARCH(Лист2!$B$5,I:I)),1,0)+K3102</f>
        <v>0</v>
      </c>
      <c r="M3102" s="3">
        <f ca="1">IF(AND(N3102&lt;&gt;N3101,ISNUMBER(SEARCH(Лист2!$B$6,N:N)),L3102=2),MAX($M$3:OFFSET(M3102,-1,0))+1,0)</f>
        <v>0</v>
      </c>
      <c r="N3102" s="3" t="s">
        <v>2034</v>
      </c>
    </row>
    <row r="3103" spans="1:14" x14ac:dyDescent="0.25">
      <c r="A3103" s="1" t="s">
        <v>11917</v>
      </c>
      <c r="B3103" s="3" t="s">
        <v>6727</v>
      </c>
      <c r="C3103" s="2">
        <f ca="1">IF(ISNUMBER(SEARCH(Лист2!$B$4,D:D)),MAX($C$3:OFFSET(C3103,-1,0))+1,0)</f>
        <v>0</v>
      </c>
      <c r="E3103" s="9" t="str">
        <f t="shared" ca="1" si="60"/>
        <v/>
      </c>
      <c r="F3103" s="4" t="s">
        <v>8</v>
      </c>
      <c r="G3103" s="2">
        <f>IF(ISNUMBER(SEARCH(Лист2!$B$4,F:F)),1,0)</f>
        <v>0</v>
      </c>
      <c r="H3103" s="3">
        <f ca="1">IF(AND(I3103&lt;&gt;I3102,ISNUMBER(SEARCH(Лист2!$B$5,I:I)),G3103=1),MAX($H$3:OFFSET(H3103,-1,0))+1,0)</f>
        <v>0</v>
      </c>
      <c r="I3103" s="3" t="s">
        <v>271</v>
      </c>
      <c r="K3103" s="2">
        <f>IF(ISNUMBER(SEARCH(Лист2!$B$4,F:F)),1,0)</f>
        <v>0</v>
      </c>
      <c r="L3103" s="14">
        <f>IF(ISNUMBER(SEARCH(Лист2!$B$5,I:I)),1,0)+K3103</f>
        <v>0</v>
      </c>
      <c r="M3103" s="3">
        <f ca="1">IF(AND(N3103&lt;&gt;N3102,ISNUMBER(SEARCH(Лист2!$B$6,N:N)),L3103=2),MAX($M$3:OFFSET(M3103,-1,0))+1,0)</f>
        <v>0</v>
      </c>
      <c r="N3103" s="3" t="s">
        <v>2035</v>
      </c>
    </row>
    <row r="3104" spans="1:14" x14ac:dyDescent="0.25">
      <c r="A3104" s="1" t="s">
        <v>11918</v>
      </c>
      <c r="B3104" s="3" t="s">
        <v>6728</v>
      </c>
      <c r="C3104" s="2">
        <f ca="1">IF(ISNUMBER(SEARCH(Лист2!$B$4,D:D)),MAX($C$3:OFFSET(C3104,-1,0))+1,0)</f>
        <v>0</v>
      </c>
      <c r="E3104" s="9" t="str">
        <f t="shared" ca="1" si="60"/>
        <v/>
      </c>
      <c r="F3104" s="4" t="s">
        <v>8</v>
      </c>
      <c r="G3104" s="2">
        <f>IF(ISNUMBER(SEARCH(Лист2!$B$4,F:F)),1,0)</f>
        <v>0</v>
      </c>
      <c r="H3104" s="3">
        <f ca="1">IF(AND(I3104&lt;&gt;I3103,ISNUMBER(SEARCH(Лист2!$B$5,I:I)),G3104=1),MAX($H$3:OFFSET(H3104,-1,0))+1,0)</f>
        <v>0</v>
      </c>
      <c r="I3104" s="3" t="s">
        <v>272</v>
      </c>
      <c r="K3104" s="2">
        <f>IF(ISNUMBER(SEARCH(Лист2!$B$4,F:F)),1,0)</f>
        <v>0</v>
      </c>
      <c r="L3104" s="14">
        <f>IF(ISNUMBER(SEARCH(Лист2!$B$5,I:I)),1,0)+K3104</f>
        <v>0</v>
      </c>
      <c r="M3104" s="3">
        <f ca="1">IF(AND(N3104&lt;&gt;N3103,ISNUMBER(SEARCH(Лист2!$B$6,N:N)),L3104=2),MAX($M$3:OFFSET(M3104,-1,0))+1,0)</f>
        <v>0</v>
      </c>
      <c r="N3104" s="3" t="s">
        <v>2019</v>
      </c>
    </row>
    <row r="3105" spans="1:14" x14ac:dyDescent="0.25">
      <c r="A3105" s="1" t="s">
        <v>11919</v>
      </c>
      <c r="B3105" s="3" t="s">
        <v>6729</v>
      </c>
      <c r="C3105" s="2">
        <f ca="1">IF(ISNUMBER(SEARCH(Лист2!$B$4,D:D)),MAX($C$3:OFFSET(C3105,-1,0))+1,0)</f>
        <v>0</v>
      </c>
      <c r="E3105" s="9" t="str">
        <f t="shared" ca="1" si="60"/>
        <v/>
      </c>
      <c r="F3105" s="4" t="s">
        <v>8</v>
      </c>
      <c r="G3105" s="2">
        <f>IF(ISNUMBER(SEARCH(Лист2!$B$4,F:F)),1,0)</f>
        <v>0</v>
      </c>
      <c r="H3105" s="3">
        <f ca="1">IF(AND(I3105&lt;&gt;I3104,ISNUMBER(SEARCH(Лист2!$B$5,I:I)),G3105=1),MAX($H$3:OFFSET(H3105,-1,0))+1,0)</f>
        <v>0</v>
      </c>
      <c r="I3105" s="3" t="s">
        <v>272</v>
      </c>
      <c r="K3105" s="2">
        <f>IF(ISNUMBER(SEARCH(Лист2!$B$4,F:F)),1,0)</f>
        <v>0</v>
      </c>
      <c r="L3105" s="14">
        <f>IF(ISNUMBER(SEARCH(Лист2!$B$5,I:I)),1,0)+K3105</f>
        <v>0</v>
      </c>
      <c r="M3105" s="3">
        <f ca="1">IF(AND(N3105&lt;&gt;N3104,ISNUMBER(SEARCH(Лист2!$B$6,N:N)),L3105=2),MAX($M$3:OFFSET(M3105,-1,0))+1,0)</f>
        <v>0</v>
      </c>
      <c r="N3105" s="3" t="s">
        <v>2029</v>
      </c>
    </row>
    <row r="3106" spans="1:14" x14ac:dyDescent="0.25">
      <c r="A3106" s="1" t="s">
        <v>11920</v>
      </c>
      <c r="B3106" s="3" t="s">
        <v>6730</v>
      </c>
      <c r="C3106" s="2">
        <f ca="1">IF(ISNUMBER(SEARCH(Лист2!$B$4,D:D)),MAX($C$3:OFFSET(C3106,-1,0))+1,0)</f>
        <v>0</v>
      </c>
      <c r="E3106" s="9" t="str">
        <f t="shared" ca="1" si="60"/>
        <v/>
      </c>
      <c r="F3106" s="4" t="s">
        <v>8</v>
      </c>
      <c r="G3106" s="2">
        <f>IF(ISNUMBER(SEARCH(Лист2!$B$4,F:F)),1,0)</f>
        <v>0</v>
      </c>
      <c r="H3106" s="3">
        <f ca="1">IF(AND(I3106&lt;&gt;I3105,ISNUMBER(SEARCH(Лист2!$B$5,I:I)),G3106=1),MAX($H$3:OFFSET(H3106,-1,0))+1,0)</f>
        <v>0</v>
      </c>
      <c r="I3106" s="3" t="s">
        <v>272</v>
      </c>
      <c r="K3106" s="2">
        <f>IF(ISNUMBER(SEARCH(Лист2!$B$4,F:F)),1,0)</f>
        <v>0</v>
      </c>
      <c r="L3106" s="14">
        <f>IF(ISNUMBER(SEARCH(Лист2!$B$5,I:I)),1,0)+K3106</f>
        <v>0</v>
      </c>
      <c r="M3106" s="3">
        <f ca="1">IF(AND(N3106&lt;&gt;N3105,ISNUMBER(SEARCH(Лист2!$B$6,N:N)),L3106=2),MAX($M$3:OFFSET(M3106,-1,0))+1,0)</f>
        <v>0</v>
      </c>
      <c r="N3106" s="3" t="s">
        <v>1385</v>
      </c>
    </row>
    <row r="3107" spans="1:14" x14ac:dyDescent="0.25">
      <c r="A3107" s="1" t="s">
        <v>11921</v>
      </c>
      <c r="B3107" s="3" t="s">
        <v>6731</v>
      </c>
      <c r="C3107" s="2">
        <f ca="1">IF(ISNUMBER(SEARCH(Лист2!$B$4,D:D)),MAX($C$3:OFFSET(C3107,-1,0))+1,0)</f>
        <v>0</v>
      </c>
      <c r="E3107" s="9" t="str">
        <f t="shared" ca="1" si="60"/>
        <v/>
      </c>
      <c r="F3107" s="4" t="s">
        <v>8</v>
      </c>
      <c r="G3107" s="2">
        <f>IF(ISNUMBER(SEARCH(Лист2!$B$4,F:F)),1,0)</f>
        <v>0</v>
      </c>
      <c r="H3107" s="3">
        <f ca="1">IF(AND(I3107&lt;&gt;I3106,ISNUMBER(SEARCH(Лист2!$B$5,I:I)),G3107=1),MAX($H$3:OFFSET(H3107,-1,0))+1,0)</f>
        <v>0</v>
      </c>
      <c r="I3107" s="3" t="s">
        <v>272</v>
      </c>
      <c r="K3107" s="2">
        <f>IF(ISNUMBER(SEARCH(Лист2!$B$4,F:F)),1,0)</f>
        <v>0</v>
      </c>
      <c r="L3107" s="14">
        <f>IF(ISNUMBER(SEARCH(Лист2!$B$5,I:I)),1,0)+K3107</f>
        <v>0</v>
      </c>
      <c r="M3107" s="3">
        <f ca="1">IF(AND(N3107&lt;&gt;N3106,ISNUMBER(SEARCH(Лист2!$B$6,N:N)),L3107=2),MAX($M$3:OFFSET(M3107,-1,0))+1,0)</f>
        <v>0</v>
      </c>
      <c r="N3107" s="3" t="s">
        <v>602</v>
      </c>
    </row>
    <row r="3108" spans="1:14" x14ac:dyDescent="0.25">
      <c r="A3108" s="1" t="s">
        <v>11922</v>
      </c>
      <c r="B3108" s="3" t="s">
        <v>6732</v>
      </c>
      <c r="C3108" s="2">
        <f ca="1">IF(ISNUMBER(SEARCH(Лист2!$B$4,D:D)),MAX($C$3:OFFSET(C3108,-1,0))+1,0)</f>
        <v>0</v>
      </c>
      <c r="E3108" s="9" t="str">
        <f t="shared" ca="1" si="60"/>
        <v/>
      </c>
      <c r="F3108" s="4" t="s">
        <v>8</v>
      </c>
      <c r="G3108" s="2">
        <f>IF(ISNUMBER(SEARCH(Лист2!$B$4,F:F)),1,0)</f>
        <v>0</v>
      </c>
      <c r="H3108" s="3">
        <f ca="1">IF(AND(I3108&lt;&gt;I3107,ISNUMBER(SEARCH(Лист2!$B$5,I:I)),G3108=1),MAX($H$3:OFFSET(H3108,-1,0))+1,0)</f>
        <v>0</v>
      </c>
      <c r="I3108" s="3" t="s">
        <v>272</v>
      </c>
      <c r="K3108" s="2">
        <f>IF(ISNUMBER(SEARCH(Лист2!$B$4,F:F)),1,0)</f>
        <v>0</v>
      </c>
      <c r="L3108" s="14">
        <f>IF(ISNUMBER(SEARCH(Лист2!$B$5,I:I)),1,0)+K3108</f>
        <v>0</v>
      </c>
      <c r="M3108" s="3">
        <f ca="1">IF(AND(N3108&lt;&gt;N3107,ISNUMBER(SEARCH(Лист2!$B$6,N:N)),L3108=2),MAX($M$3:OFFSET(M3108,-1,0))+1,0)</f>
        <v>0</v>
      </c>
      <c r="N3108" s="3" t="s">
        <v>2030</v>
      </c>
    </row>
    <row r="3109" spans="1:14" x14ac:dyDescent="0.25">
      <c r="A3109" s="1" t="s">
        <v>11923</v>
      </c>
      <c r="B3109" s="3" t="s">
        <v>6733</v>
      </c>
      <c r="C3109" s="2">
        <f ca="1">IF(ISNUMBER(SEARCH(Лист2!$B$4,D:D)),MAX($C$3:OFFSET(C3109,-1,0))+1,0)</f>
        <v>0</v>
      </c>
      <c r="E3109" s="9" t="str">
        <f t="shared" ca="1" si="60"/>
        <v/>
      </c>
      <c r="F3109" s="4" t="s">
        <v>8</v>
      </c>
      <c r="G3109" s="2">
        <f>IF(ISNUMBER(SEARCH(Лист2!$B$4,F:F)),1,0)</f>
        <v>0</v>
      </c>
      <c r="H3109" s="3">
        <f ca="1">IF(AND(I3109&lt;&gt;I3108,ISNUMBER(SEARCH(Лист2!$B$5,I:I)),G3109=1),MAX($H$3:OFFSET(H3109,-1,0))+1,0)</f>
        <v>0</v>
      </c>
      <c r="I3109" s="3" t="s">
        <v>272</v>
      </c>
      <c r="K3109" s="2">
        <f>IF(ISNUMBER(SEARCH(Лист2!$B$4,F:F)),1,0)</f>
        <v>0</v>
      </c>
      <c r="L3109" s="14">
        <f>IF(ISNUMBER(SEARCH(Лист2!$B$5,I:I)),1,0)+K3109</f>
        <v>0</v>
      </c>
      <c r="M3109" s="3">
        <f ca="1">IF(AND(N3109&lt;&gt;N3108,ISNUMBER(SEARCH(Лист2!$B$6,N:N)),L3109=2),MAX($M$3:OFFSET(M3109,-1,0))+1,0)</f>
        <v>0</v>
      </c>
      <c r="N3109" s="3" t="s">
        <v>2031</v>
      </c>
    </row>
    <row r="3110" spans="1:14" x14ac:dyDescent="0.25">
      <c r="A3110" s="1" t="s">
        <v>11924</v>
      </c>
      <c r="B3110" s="3" t="s">
        <v>6734</v>
      </c>
      <c r="C3110" s="2">
        <f ca="1">IF(ISNUMBER(SEARCH(Лист2!$B$4,D:D)),MAX($C$3:OFFSET(C3110,-1,0))+1,0)</f>
        <v>0</v>
      </c>
      <c r="E3110" s="9" t="str">
        <f t="shared" ca="1" si="60"/>
        <v/>
      </c>
      <c r="F3110" s="4" t="s">
        <v>8</v>
      </c>
      <c r="G3110" s="2">
        <f>IF(ISNUMBER(SEARCH(Лист2!$B$4,F:F)),1,0)</f>
        <v>0</v>
      </c>
      <c r="H3110" s="3">
        <f ca="1">IF(AND(I3110&lt;&gt;I3109,ISNUMBER(SEARCH(Лист2!$B$5,I:I)),G3110=1),MAX($H$3:OFFSET(H3110,-1,0))+1,0)</f>
        <v>0</v>
      </c>
      <c r="I3110" s="3" t="s">
        <v>272</v>
      </c>
      <c r="K3110" s="2">
        <f>IF(ISNUMBER(SEARCH(Лист2!$B$4,F:F)),1,0)</f>
        <v>0</v>
      </c>
      <c r="L3110" s="14">
        <f>IF(ISNUMBER(SEARCH(Лист2!$B$5,I:I)),1,0)+K3110</f>
        <v>0</v>
      </c>
      <c r="M3110" s="3">
        <f ca="1">IF(AND(N3110&lt;&gt;N3109,ISNUMBER(SEARCH(Лист2!$B$6,N:N)),L3110=2),MAX($M$3:OFFSET(M3110,-1,0))+1,0)</f>
        <v>0</v>
      </c>
      <c r="N3110" s="3" t="s">
        <v>2032</v>
      </c>
    </row>
    <row r="3111" spans="1:14" x14ac:dyDescent="0.25">
      <c r="A3111" s="1" t="s">
        <v>11925</v>
      </c>
      <c r="B3111" s="3" t="s">
        <v>6735</v>
      </c>
      <c r="C3111" s="2">
        <f ca="1">IF(ISNUMBER(SEARCH(Лист2!$B$4,D:D)),MAX($C$3:OFFSET(C3111,-1,0))+1,0)</f>
        <v>0</v>
      </c>
      <c r="E3111" s="9" t="str">
        <f t="shared" ca="1" si="60"/>
        <v/>
      </c>
      <c r="F3111" s="4" t="s">
        <v>8</v>
      </c>
      <c r="G3111" s="2">
        <f>IF(ISNUMBER(SEARCH(Лист2!$B$4,F:F)),1,0)</f>
        <v>0</v>
      </c>
      <c r="H3111" s="3">
        <f ca="1">IF(AND(I3111&lt;&gt;I3110,ISNUMBER(SEARCH(Лист2!$B$5,I:I)),G3111=1),MAX($H$3:OFFSET(H3111,-1,0))+1,0)</f>
        <v>0</v>
      </c>
      <c r="I3111" s="3" t="s">
        <v>272</v>
      </c>
      <c r="K3111" s="2">
        <f>IF(ISNUMBER(SEARCH(Лист2!$B$4,F:F)),1,0)</f>
        <v>0</v>
      </c>
      <c r="L3111" s="14">
        <f>IF(ISNUMBER(SEARCH(Лист2!$B$5,I:I)),1,0)+K3111</f>
        <v>0</v>
      </c>
      <c r="M3111" s="3">
        <f ca="1">IF(AND(N3111&lt;&gt;N3110,ISNUMBER(SEARCH(Лист2!$B$6,N:N)),L3111=2),MAX($M$3:OFFSET(M3111,-1,0))+1,0)</f>
        <v>0</v>
      </c>
      <c r="N3111" s="3" t="s">
        <v>2036</v>
      </c>
    </row>
    <row r="3112" spans="1:14" x14ac:dyDescent="0.25">
      <c r="A3112" s="1" t="s">
        <v>11926</v>
      </c>
      <c r="B3112" s="3" t="s">
        <v>6736</v>
      </c>
      <c r="C3112" s="2">
        <f ca="1">IF(ISNUMBER(SEARCH(Лист2!$B$4,D:D)),MAX($C$3:OFFSET(C3112,-1,0))+1,0)</f>
        <v>0</v>
      </c>
      <c r="E3112" s="9" t="str">
        <f t="shared" ca="1" si="60"/>
        <v/>
      </c>
      <c r="F3112" s="4" t="s">
        <v>8</v>
      </c>
      <c r="G3112" s="2">
        <f>IF(ISNUMBER(SEARCH(Лист2!$B$4,F:F)),1,0)</f>
        <v>0</v>
      </c>
      <c r="H3112" s="3">
        <f ca="1">IF(AND(I3112&lt;&gt;I3111,ISNUMBER(SEARCH(Лист2!$B$5,I:I)),G3112=1),MAX($H$3:OFFSET(H3112,-1,0))+1,0)</f>
        <v>0</v>
      </c>
      <c r="I3112" s="3" t="s">
        <v>272</v>
      </c>
      <c r="K3112" s="2">
        <f>IF(ISNUMBER(SEARCH(Лист2!$B$4,F:F)),1,0)</f>
        <v>0</v>
      </c>
      <c r="L3112" s="14">
        <f>IF(ISNUMBER(SEARCH(Лист2!$B$5,I:I)),1,0)+K3112</f>
        <v>0</v>
      </c>
      <c r="M3112" s="3">
        <f ca="1">IF(AND(N3112&lt;&gt;N3111,ISNUMBER(SEARCH(Лист2!$B$6,N:N)),L3112=2),MAX($M$3:OFFSET(M3112,-1,0))+1,0)</f>
        <v>0</v>
      </c>
      <c r="N3112" s="3" t="s">
        <v>2037</v>
      </c>
    </row>
    <row r="3113" spans="1:14" x14ac:dyDescent="0.25">
      <c r="A3113" s="1" t="s">
        <v>11927</v>
      </c>
      <c r="B3113" s="3" t="s">
        <v>6737</v>
      </c>
      <c r="C3113" s="2">
        <f ca="1">IF(ISNUMBER(SEARCH(Лист2!$B$4,D:D)),MAX($C$3:OFFSET(C3113,-1,0))+1,0)</f>
        <v>0</v>
      </c>
      <c r="E3113" s="9" t="str">
        <f t="shared" ca="1" si="60"/>
        <v/>
      </c>
      <c r="F3113" s="4" t="s">
        <v>8</v>
      </c>
      <c r="G3113" s="2">
        <f>IF(ISNUMBER(SEARCH(Лист2!$B$4,F:F)),1,0)</f>
        <v>0</v>
      </c>
      <c r="H3113" s="3">
        <f ca="1">IF(AND(I3113&lt;&gt;I3112,ISNUMBER(SEARCH(Лист2!$B$5,I:I)),G3113=1),MAX($H$3:OFFSET(H3113,-1,0))+1,0)</f>
        <v>0</v>
      </c>
      <c r="I3113" s="3" t="s">
        <v>273</v>
      </c>
      <c r="K3113" s="2">
        <f>IF(ISNUMBER(SEARCH(Лист2!$B$4,F:F)),1,0)</f>
        <v>0</v>
      </c>
      <c r="L3113" s="14">
        <f>IF(ISNUMBER(SEARCH(Лист2!$B$5,I:I)),1,0)+K3113</f>
        <v>0</v>
      </c>
      <c r="M3113" s="3">
        <f ca="1">IF(AND(N3113&lt;&gt;N3112,ISNUMBER(SEARCH(Лист2!$B$6,N:N)),L3113=2),MAX($M$3:OFFSET(M3113,-1,0))+1,0)</f>
        <v>0</v>
      </c>
      <c r="N3113" s="3" t="s">
        <v>2038</v>
      </c>
    </row>
    <row r="3114" spans="1:14" x14ac:dyDescent="0.25">
      <c r="A3114" s="1" t="s">
        <v>11927</v>
      </c>
      <c r="B3114" s="3" t="s">
        <v>6738</v>
      </c>
      <c r="C3114" s="2">
        <f ca="1">IF(ISNUMBER(SEARCH(Лист2!$B$4,D:D)),MAX($C$3:OFFSET(C3114,-1,0))+1,0)</f>
        <v>0</v>
      </c>
      <c r="E3114" s="9" t="str">
        <f t="shared" ca="1" si="60"/>
        <v/>
      </c>
      <c r="F3114" s="4" t="s">
        <v>8</v>
      </c>
      <c r="G3114" s="2">
        <f>IF(ISNUMBER(SEARCH(Лист2!$B$4,F:F)),1,0)</f>
        <v>0</v>
      </c>
      <c r="H3114" s="3">
        <f ca="1">IF(AND(I3114&lt;&gt;I3113,ISNUMBER(SEARCH(Лист2!$B$5,I:I)),G3114=1),MAX($H$3:OFFSET(H3114,-1,0))+1,0)</f>
        <v>0</v>
      </c>
      <c r="I3114" s="3" t="s">
        <v>273</v>
      </c>
      <c r="K3114" s="2">
        <f>IF(ISNUMBER(SEARCH(Лист2!$B$4,F:F)),1,0)</f>
        <v>0</v>
      </c>
      <c r="L3114" s="14">
        <f>IF(ISNUMBER(SEARCH(Лист2!$B$5,I:I)),1,0)+K3114</f>
        <v>0</v>
      </c>
      <c r="M3114" s="3">
        <f ca="1">IF(AND(N3114&lt;&gt;N3113,ISNUMBER(SEARCH(Лист2!$B$6,N:N)),L3114=2),MAX($M$3:OFFSET(M3114,-1,0))+1,0)</f>
        <v>0</v>
      </c>
      <c r="N3114" s="3" t="s">
        <v>2038</v>
      </c>
    </row>
    <row r="3115" spans="1:14" x14ac:dyDescent="0.25">
      <c r="A3115" s="1" t="s">
        <v>11927</v>
      </c>
      <c r="B3115" s="3" t="s">
        <v>6739</v>
      </c>
      <c r="C3115" s="2">
        <f ca="1">IF(ISNUMBER(SEARCH(Лист2!$B$4,D:D)),MAX($C$3:OFFSET(C3115,-1,0))+1,0)</f>
        <v>0</v>
      </c>
      <c r="E3115" s="9" t="str">
        <f t="shared" ca="1" si="60"/>
        <v/>
      </c>
      <c r="F3115" s="4" t="s">
        <v>8</v>
      </c>
      <c r="G3115" s="2">
        <f>IF(ISNUMBER(SEARCH(Лист2!$B$4,F:F)),1,0)</f>
        <v>0</v>
      </c>
      <c r="H3115" s="3">
        <f ca="1">IF(AND(I3115&lt;&gt;I3114,ISNUMBER(SEARCH(Лист2!$B$5,I:I)),G3115=1),MAX($H$3:OFFSET(H3115,-1,0))+1,0)</f>
        <v>0</v>
      </c>
      <c r="I3115" s="3" t="s">
        <v>273</v>
      </c>
      <c r="K3115" s="2">
        <f>IF(ISNUMBER(SEARCH(Лист2!$B$4,F:F)),1,0)</f>
        <v>0</v>
      </c>
      <c r="L3115" s="14">
        <f>IF(ISNUMBER(SEARCH(Лист2!$B$5,I:I)),1,0)+K3115</f>
        <v>0</v>
      </c>
      <c r="M3115" s="3">
        <f ca="1">IF(AND(N3115&lt;&gt;N3114,ISNUMBER(SEARCH(Лист2!$B$6,N:N)),L3115=2),MAX($M$3:OFFSET(M3115,-1,0))+1,0)</f>
        <v>0</v>
      </c>
      <c r="N3115" s="3" t="s">
        <v>2038</v>
      </c>
    </row>
    <row r="3116" spans="1:14" x14ac:dyDescent="0.25">
      <c r="A3116" s="1" t="s">
        <v>11928</v>
      </c>
      <c r="B3116" s="3" t="s">
        <v>6740</v>
      </c>
      <c r="C3116" s="2">
        <f ca="1">IF(ISNUMBER(SEARCH(Лист2!$B$4,D:D)),MAX($C$3:OFFSET(C3116,-1,0))+1,0)</f>
        <v>0</v>
      </c>
      <c r="E3116" s="9" t="str">
        <f t="shared" ca="1" si="60"/>
        <v/>
      </c>
      <c r="F3116" s="4" t="s">
        <v>8</v>
      </c>
      <c r="G3116" s="2">
        <f>IF(ISNUMBER(SEARCH(Лист2!$B$4,F:F)),1,0)</f>
        <v>0</v>
      </c>
      <c r="H3116" s="3">
        <f ca="1">IF(AND(I3116&lt;&gt;I3115,ISNUMBER(SEARCH(Лист2!$B$5,I:I)),G3116=1),MAX($H$3:OFFSET(H3116,-1,0))+1,0)</f>
        <v>0</v>
      </c>
      <c r="I3116" s="3" t="s">
        <v>273</v>
      </c>
      <c r="K3116" s="2">
        <f>IF(ISNUMBER(SEARCH(Лист2!$B$4,F:F)),1,0)</f>
        <v>0</v>
      </c>
      <c r="L3116" s="14">
        <f>IF(ISNUMBER(SEARCH(Лист2!$B$5,I:I)),1,0)+K3116</f>
        <v>0</v>
      </c>
      <c r="M3116" s="3">
        <f ca="1">IF(AND(N3116&lt;&gt;N3115,ISNUMBER(SEARCH(Лист2!$B$6,N:N)),L3116=2),MAX($M$3:OFFSET(M3116,-1,0))+1,0)</f>
        <v>0</v>
      </c>
      <c r="N3116" s="3" t="s">
        <v>2039</v>
      </c>
    </row>
    <row r="3117" spans="1:14" x14ac:dyDescent="0.25">
      <c r="A3117" s="1" t="s">
        <v>11928</v>
      </c>
      <c r="B3117" s="3" t="s">
        <v>6741</v>
      </c>
      <c r="C3117" s="2">
        <f ca="1">IF(ISNUMBER(SEARCH(Лист2!$B$4,D:D)),MAX($C$3:OFFSET(C3117,-1,0))+1,0)</f>
        <v>0</v>
      </c>
      <c r="E3117" s="9" t="str">
        <f t="shared" ca="1" si="60"/>
        <v/>
      </c>
      <c r="F3117" s="4" t="s">
        <v>8</v>
      </c>
      <c r="G3117" s="2">
        <f>IF(ISNUMBER(SEARCH(Лист2!$B$4,F:F)),1,0)</f>
        <v>0</v>
      </c>
      <c r="H3117" s="3">
        <f ca="1">IF(AND(I3117&lt;&gt;I3116,ISNUMBER(SEARCH(Лист2!$B$5,I:I)),G3117=1),MAX($H$3:OFFSET(H3117,-1,0))+1,0)</f>
        <v>0</v>
      </c>
      <c r="I3117" s="3" t="s">
        <v>273</v>
      </c>
      <c r="K3117" s="2">
        <f>IF(ISNUMBER(SEARCH(Лист2!$B$4,F:F)),1,0)</f>
        <v>0</v>
      </c>
      <c r="L3117" s="14">
        <f>IF(ISNUMBER(SEARCH(Лист2!$B$5,I:I)),1,0)+K3117</f>
        <v>0</v>
      </c>
      <c r="M3117" s="3">
        <f ca="1">IF(AND(N3117&lt;&gt;N3116,ISNUMBER(SEARCH(Лист2!$B$6,N:N)),L3117=2),MAX($M$3:OFFSET(M3117,-1,0))+1,0)</f>
        <v>0</v>
      </c>
      <c r="N3117" s="3" t="s">
        <v>2039</v>
      </c>
    </row>
    <row r="3118" spans="1:14" x14ac:dyDescent="0.25">
      <c r="A3118" s="1" t="s">
        <v>11928</v>
      </c>
      <c r="B3118" s="3" t="s">
        <v>6742</v>
      </c>
      <c r="C3118" s="2">
        <f ca="1">IF(ISNUMBER(SEARCH(Лист2!$B$4,D:D)),MAX($C$3:OFFSET(C3118,-1,0))+1,0)</f>
        <v>0</v>
      </c>
      <c r="E3118" s="9" t="str">
        <f t="shared" ca="1" si="60"/>
        <v/>
      </c>
      <c r="F3118" s="4" t="s">
        <v>8</v>
      </c>
      <c r="G3118" s="2">
        <f>IF(ISNUMBER(SEARCH(Лист2!$B$4,F:F)),1,0)</f>
        <v>0</v>
      </c>
      <c r="H3118" s="3">
        <f ca="1">IF(AND(I3118&lt;&gt;I3117,ISNUMBER(SEARCH(Лист2!$B$5,I:I)),G3118=1),MAX($H$3:OFFSET(H3118,-1,0))+1,0)</f>
        <v>0</v>
      </c>
      <c r="I3118" s="3" t="s">
        <v>273</v>
      </c>
      <c r="K3118" s="2">
        <f>IF(ISNUMBER(SEARCH(Лист2!$B$4,F:F)),1,0)</f>
        <v>0</v>
      </c>
      <c r="L3118" s="14">
        <f>IF(ISNUMBER(SEARCH(Лист2!$B$5,I:I)),1,0)+K3118</f>
        <v>0</v>
      </c>
      <c r="M3118" s="3">
        <f ca="1">IF(AND(N3118&lt;&gt;N3117,ISNUMBER(SEARCH(Лист2!$B$6,N:N)),L3118=2),MAX($M$3:OFFSET(M3118,-1,0))+1,0)</f>
        <v>0</v>
      </c>
      <c r="N3118" s="3" t="s">
        <v>2039</v>
      </c>
    </row>
    <row r="3119" spans="1:14" x14ac:dyDescent="0.25">
      <c r="A3119" s="1" t="s">
        <v>11929</v>
      </c>
      <c r="B3119" s="3" t="s">
        <v>6743</v>
      </c>
      <c r="C3119" s="2">
        <f ca="1">IF(ISNUMBER(SEARCH(Лист2!$B$4,D:D)),MAX($C$3:OFFSET(C3119,-1,0))+1,0)</f>
        <v>0</v>
      </c>
      <c r="E3119" s="9" t="str">
        <f t="shared" ca="1" si="60"/>
        <v/>
      </c>
      <c r="F3119" s="4" t="s">
        <v>8</v>
      </c>
      <c r="G3119" s="2">
        <f>IF(ISNUMBER(SEARCH(Лист2!$B$4,F:F)),1,0)</f>
        <v>0</v>
      </c>
      <c r="H3119" s="3">
        <f ca="1">IF(AND(I3119&lt;&gt;I3118,ISNUMBER(SEARCH(Лист2!$B$5,I:I)),G3119=1),MAX($H$3:OFFSET(H3119,-1,0))+1,0)</f>
        <v>0</v>
      </c>
      <c r="I3119" s="3" t="s">
        <v>273</v>
      </c>
      <c r="K3119" s="2">
        <f>IF(ISNUMBER(SEARCH(Лист2!$B$4,F:F)),1,0)</f>
        <v>0</v>
      </c>
      <c r="L3119" s="14">
        <f>IF(ISNUMBER(SEARCH(Лист2!$B$5,I:I)),1,0)+K3119</f>
        <v>0</v>
      </c>
      <c r="M3119" s="3">
        <f ca="1">IF(AND(N3119&lt;&gt;N3118,ISNUMBER(SEARCH(Лист2!$B$6,N:N)),L3119=2),MAX($M$3:OFFSET(M3119,-1,0))+1,0)</f>
        <v>0</v>
      </c>
      <c r="N3119" s="3" t="s">
        <v>1385</v>
      </c>
    </row>
    <row r="3120" spans="1:14" x14ac:dyDescent="0.25">
      <c r="A3120" s="1" t="s">
        <v>11930</v>
      </c>
      <c r="B3120" s="3" t="s">
        <v>6744</v>
      </c>
      <c r="C3120" s="2">
        <f ca="1">IF(ISNUMBER(SEARCH(Лист2!$B$4,D:D)),MAX($C$3:OFFSET(C3120,-1,0))+1,0)</f>
        <v>0</v>
      </c>
      <c r="E3120" s="9" t="str">
        <f t="shared" ca="1" si="60"/>
        <v/>
      </c>
      <c r="F3120" s="4" t="s">
        <v>8</v>
      </c>
      <c r="G3120" s="2">
        <f>IF(ISNUMBER(SEARCH(Лист2!$B$4,F:F)),1,0)</f>
        <v>0</v>
      </c>
      <c r="H3120" s="3">
        <f ca="1">IF(AND(I3120&lt;&gt;I3119,ISNUMBER(SEARCH(Лист2!$B$5,I:I)),G3120=1),MAX($H$3:OFFSET(H3120,-1,0))+1,0)</f>
        <v>0</v>
      </c>
      <c r="I3120" s="3" t="s">
        <v>273</v>
      </c>
      <c r="K3120" s="2">
        <f>IF(ISNUMBER(SEARCH(Лист2!$B$4,F:F)),1,0)</f>
        <v>0</v>
      </c>
      <c r="L3120" s="14">
        <f>IF(ISNUMBER(SEARCH(Лист2!$B$5,I:I)),1,0)+K3120</f>
        <v>0</v>
      </c>
      <c r="M3120" s="3">
        <f ca="1">IF(AND(N3120&lt;&gt;N3119,ISNUMBER(SEARCH(Лист2!$B$6,N:N)),L3120=2),MAX($M$3:OFFSET(M3120,-1,0))+1,0)</f>
        <v>0</v>
      </c>
      <c r="N3120" s="3" t="s">
        <v>602</v>
      </c>
    </row>
    <row r="3121" spans="1:14" x14ac:dyDescent="0.25">
      <c r="A3121" s="1" t="s">
        <v>11931</v>
      </c>
      <c r="B3121" s="3" t="s">
        <v>6745</v>
      </c>
      <c r="C3121" s="2">
        <f ca="1">IF(ISNUMBER(SEARCH(Лист2!$B$4,D:D)),MAX($C$3:OFFSET(C3121,-1,0))+1,0)</f>
        <v>0</v>
      </c>
      <c r="E3121" s="9" t="str">
        <f t="shared" ca="1" si="60"/>
        <v/>
      </c>
      <c r="F3121" s="4" t="s">
        <v>8</v>
      </c>
      <c r="G3121" s="2">
        <f>IF(ISNUMBER(SEARCH(Лист2!$B$4,F:F)),1,0)</f>
        <v>0</v>
      </c>
      <c r="H3121" s="3">
        <f ca="1">IF(AND(I3121&lt;&gt;I3120,ISNUMBER(SEARCH(Лист2!$B$5,I:I)),G3121=1),MAX($H$3:OFFSET(H3121,-1,0))+1,0)</f>
        <v>0</v>
      </c>
      <c r="I3121" s="3" t="s">
        <v>273</v>
      </c>
      <c r="K3121" s="2">
        <f>IF(ISNUMBER(SEARCH(Лист2!$B$4,F:F)),1,0)</f>
        <v>0</v>
      </c>
      <c r="L3121" s="14">
        <f>IF(ISNUMBER(SEARCH(Лист2!$B$5,I:I)),1,0)+K3121</f>
        <v>0</v>
      </c>
      <c r="M3121" s="3">
        <f ca="1">IF(AND(N3121&lt;&gt;N3120,ISNUMBER(SEARCH(Лист2!$B$6,N:N)),L3121=2),MAX($M$3:OFFSET(M3121,-1,0))+1,0)</f>
        <v>0</v>
      </c>
      <c r="N3121" s="3" t="s">
        <v>2040</v>
      </c>
    </row>
    <row r="3122" spans="1:14" x14ac:dyDescent="0.25">
      <c r="A3122" s="1" t="s">
        <v>11932</v>
      </c>
      <c r="B3122" s="3" t="s">
        <v>6746</v>
      </c>
      <c r="C3122" s="2">
        <f ca="1">IF(ISNUMBER(SEARCH(Лист2!$B$4,D:D)),MAX($C$3:OFFSET(C3122,-1,0))+1,0)</f>
        <v>0</v>
      </c>
      <c r="E3122" s="9" t="str">
        <f t="shared" ca="1" si="60"/>
        <v/>
      </c>
      <c r="F3122" s="4" t="s">
        <v>8</v>
      </c>
      <c r="G3122" s="2">
        <f>IF(ISNUMBER(SEARCH(Лист2!$B$4,F:F)),1,0)</f>
        <v>0</v>
      </c>
      <c r="H3122" s="3">
        <f ca="1">IF(AND(I3122&lt;&gt;I3121,ISNUMBER(SEARCH(Лист2!$B$5,I:I)),G3122=1),MAX($H$3:OFFSET(H3122,-1,0))+1,0)</f>
        <v>0</v>
      </c>
      <c r="I3122" s="3" t="s">
        <v>273</v>
      </c>
      <c r="K3122" s="2">
        <f>IF(ISNUMBER(SEARCH(Лист2!$B$4,F:F)),1,0)</f>
        <v>0</v>
      </c>
      <c r="L3122" s="14">
        <f>IF(ISNUMBER(SEARCH(Лист2!$B$5,I:I)),1,0)+K3122</f>
        <v>0</v>
      </c>
      <c r="M3122" s="3">
        <f ca="1">IF(AND(N3122&lt;&gt;N3121,ISNUMBER(SEARCH(Лист2!$B$6,N:N)),L3122=2),MAX($M$3:OFFSET(M3122,-1,0))+1,0)</f>
        <v>0</v>
      </c>
      <c r="N3122" s="3" t="s">
        <v>2041</v>
      </c>
    </row>
    <row r="3123" spans="1:14" x14ac:dyDescent="0.25">
      <c r="A3123" s="1" t="s">
        <v>11933</v>
      </c>
      <c r="B3123" s="3" t="s">
        <v>6747</v>
      </c>
      <c r="C3123" s="2">
        <f ca="1">IF(ISNUMBER(SEARCH(Лист2!$B$4,D:D)),MAX($C$3:OFFSET(C3123,-1,0))+1,0)</f>
        <v>0</v>
      </c>
      <c r="E3123" s="9" t="str">
        <f t="shared" ca="1" si="60"/>
        <v/>
      </c>
      <c r="F3123" s="4" t="s">
        <v>8</v>
      </c>
      <c r="G3123" s="2">
        <f>IF(ISNUMBER(SEARCH(Лист2!$B$4,F:F)),1,0)</f>
        <v>0</v>
      </c>
      <c r="H3123" s="3">
        <f ca="1">IF(AND(I3123&lt;&gt;I3122,ISNUMBER(SEARCH(Лист2!$B$5,I:I)),G3123=1),MAX($H$3:OFFSET(H3123,-1,0))+1,0)</f>
        <v>0</v>
      </c>
      <c r="I3123" s="3" t="s">
        <v>273</v>
      </c>
      <c r="K3123" s="2">
        <f>IF(ISNUMBER(SEARCH(Лист2!$B$4,F:F)),1,0)</f>
        <v>0</v>
      </c>
      <c r="L3123" s="14">
        <f>IF(ISNUMBER(SEARCH(Лист2!$B$5,I:I)),1,0)+K3123</f>
        <v>0</v>
      </c>
      <c r="M3123" s="3">
        <f ca="1">IF(AND(N3123&lt;&gt;N3122,ISNUMBER(SEARCH(Лист2!$B$6,N:N)),L3123=2),MAX($M$3:OFFSET(M3123,-1,0))+1,0)</f>
        <v>0</v>
      </c>
      <c r="N3123" s="3" t="s">
        <v>2042</v>
      </c>
    </row>
    <row r="3124" spans="1:14" x14ac:dyDescent="0.25">
      <c r="A3124" s="1" t="s">
        <v>11934</v>
      </c>
      <c r="B3124" s="3" t="s">
        <v>6748</v>
      </c>
      <c r="C3124" s="2">
        <f ca="1">IF(ISNUMBER(SEARCH(Лист2!$B$4,D:D)),MAX($C$3:OFFSET(C3124,-1,0))+1,0)</f>
        <v>0</v>
      </c>
      <c r="E3124" s="9" t="str">
        <f t="shared" ca="1" si="60"/>
        <v/>
      </c>
      <c r="F3124" s="4" t="s">
        <v>8</v>
      </c>
      <c r="G3124" s="2">
        <f>IF(ISNUMBER(SEARCH(Лист2!$B$4,F:F)),1,0)</f>
        <v>0</v>
      </c>
      <c r="H3124" s="3">
        <f ca="1">IF(AND(I3124&lt;&gt;I3123,ISNUMBER(SEARCH(Лист2!$B$5,I:I)),G3124=1),MAX($H$3:OFFSET(H3124,-1,0))+1,0)</f>
        <v>0</v>
      </c>
      <c r="I3124" s="3" t="s">
        <v>273</v>
      </c>
      <c r="K3124" s="2">
        <f>IF(ISNUMBER(SEARCH(Лист2!$B$4,F:F)),1,0)</f>
        <v>0</v>
      </c>
      <c r="L3124" s="14">
        <f>IF(ISNUMBER(SEARCH(Лист2!$B$5,I:I)),1,0)+K3124</f>
        <v>0</v>
      </c>
      <c r="M3124" s="3">
        <f ca="1">IF(AND(N3124&lt;&gt;N3123,ISNUMBER(SEARCH(Лист2!$B$6,N:N)),L3124=2),MAX($M$3:OFFSET(M3124,-1,0))+1,0)</f>
        <v>0</v>
      </c>
      <c r="N3124" s="3" t="s">
        <v>2043</v>
      </c>
    </row>
    <row r="3125" spans="1:14" x14ac:dyDescent="0.25">
      <c r="A3125" s="1" t="s">
        <v>11935</v>
      </c>
      <c r="B3125" s="3" t="s">
        <v>6749</v>
      </c>
      <c r="C3125" s="2">
        <f ca="1">IF(ISNUMBER(SEARCH(Лист2!$B$4,D:D)),MAX($C$3:OFFSET(C3125,-1,0))+1,0)</f>
        <v>0</v>
      </c>
      <c r="E3125" s="9" t="str">
        <f t="shared" ca="1" si="60"/>
        <v/>
      </c>
      <c r="F3125" s="4" t="s">
        <v>8</v>
      </c>
      <c r="G3125" s="2">
        <f>IF(ISNUMBER(SEARCH(Лист2!$B$4,F:F)),1,0)</f>
        <v>0</v>
      </c>
      <c r="H3125" s="3">
        <f ca="1">IF(AND(I3125&lt;&gt;I3124,ISNUMBER(SEARCH(Лист2!$B$5,I:I)),G3125=1),MAX($H$3:OFFSET(H3125,-1,0))+1,0)</f>
        <v>0</v>
      </c>
      <c r="I3125" s="3" t="s">
        <v>273</v>
      </c>
      <c r="K3125" s="2">
        <f>IF(ISNUMBER(SEARCH(Лист2!$B$4,F:F)),1,0)</f>
        <v>0</v>
      </c>
      <c r="L3125" s="14">
        <f>IF(ISNUMBER(SEARCH(Лист2!$B$5,I:I)),1,0)+K3125</f>
        <v>0</v>
      </c>
      <c r="M3125" s="3">
        <f ca="1">IF(AND(N3125&lt;&gt;N3124,ISNUMBER(SEARCH(Лист2!$B$6,N:N)),L3125=2),MAX($M$3:OFFSET(M3125,-1,0))+1,0)</f>
        <v>0</v>
      </c>
      <c r="N3125" s="3" t="s">
        <v>2044</v>
      </c>
    </row>
    <row r="3126" spans="1:14" x14ac:dyDescent="0.25">
      <c r="A3126" s="1" t="s">
        <v>11936</v>
      </c>
      <c r="B3126" s="3" t="s">
        <v>6750</v>
      </c>
      <c r="C3126" s="2">
        <f ca="1">IF(ISNUMBER(SEARCH(Лист2!$B$4,D:D)),MAX($C$3:OFFSET(C3126,-1,0))+1,0)</f>
        <v>0</v>
      </c>
      <c r="E3126" s="9" t="str">
        <f t="shared" ca="1" si="60"/>
        <v/>
      </c>
      <c r="F3126" s="4" t="s">
        <v>8</v>
      </c>
      <c r="G3126" s="2">
        <f>IF(ISNUMBER(SEARCH(Лист2!$B$4,F:F)),1,0)</f>
        <v>0</v>
      </c>
      <c r="H3126" s="3">
        <f ca="1">IF(AND(I3126&lt;&gt;I3125,ISNUMBER(SEARCH(Лист2!$B$5,I:I)),G3126=1),MAX($H$3:OFFSET(H3126,-1,0))+1,0)</f>
        <v>0</v>
      </c>
      <c r="I3126" s="3" t="s">
        <v>274</v>
      </c>
      <c r="K3126" s="2">
        <f>IF(ISNUMBER(SEARCH(Лист2!$B$4,F:F)),1,0)</f>
        <v>0</v>
      </c>
      <c r="L3126" s="14">
        <f>IF(ISNUMBER(SEARCH(Лист2!$B$5,I:I)),1,0)+K3126</f>
        <v>0</v>
      </c>
      <c r="M3126" s="3">
        <f ca="1">IF(AND(N3126&lt;&gt;N3125,ISNUMBER(SEARCH(Лист2!$B$6,N:N)),L3126=2),MAX($M$3:OFFSET(M3126,-1,0))+1,0)</f>
        <v>0</v>
      </c>
      <c r="N3126" s="3" t="s">
        <v>2038</v>
      </c>
    </row>
    <row r="3127" spans="1:14" x14ac:dyDescent="0.25">
      <c r="A3127" s="1" t="s">
        <v>11937</v>
      </c>
      <c r="B3127" s="3" t="s">
        <v>6751</v>
      </c>
      <c r="C3127" s="2">
        <f ca="1">IF(ISNUMBER(SEARCH(Лист2!$B$4,D:D)),MAX($C$3:OFFSET(C3127,-1,0))+1,0)</f>
        <v>0</v>
      </c>
      <c r="E3127" s="9" t="str">
        <f t="shared" ca="1" si="60"/>
        <v/>
      </c>
      <c r="F3127" s="4" t="s">
        <v>8</v>
      </c>
      <c r="G3127" s="2">
        <f>IF(ISNUMBER(SEARCH(Лист2!$B$4,F:F)),1,0)</f>
        <v>0</v>
      </c>
      <c r="H3127" s="3">
        <f ca="1">IF(AND(I3127&lt;&gt;I3126,ISNUMBER(SEARCH(Лист2!$B$5,I:I)),G3127=1),MAX($H$3:OFFSET(H3127,-1,0))+1,0)</f>
        <v>0</v>
      </c>
      <c r="I3127" s="3" t="s">
        <v>274</v>
      </c>
      <c r="K3127" s="2">
        <f>IF(ISNUMBER(SEARCH(Лист2!$B$4,F:F)),1,0)</f>
        <v>0</v>
      </c>
      <c r="L3127" s="14">
        <f>IF(ISNUMBER(SEARCH(Лист2!$B$5,I:I)),1,0)+K3127</f>
        <v>0</v>
      </c>
      <c r="M3127" s="3">
        <f ca="1">IF(AND(N3127&lt;&gt;N3126,ISNUMBER(SEARCH(Лист2!$B$6,N:N)),L3127=2),MAX($M$3:OFFSET(M3127,-1,0))+1,0)</f>
        <v>0</v>
      </c>
      <c r="N3127" s="3" t="s">
        <v>2039</v>
      </c>
    </row>
    <row r="3128" spans="1:14" x14ac:dyDescent="0.25">
      <c r="A3128" s="1" t="s">
        <v>11938</v>
      </c>
      <c r="B3128" s="3" t="s">
        <v>6752</v>
      </c>
      <c r="C3128" s="2">
        <f ca="1">IF(ISNUMBER(SEARCH(Лист2!$B$4,D:D)),MAX($C$3:OFFSET(C3128,-1,0))+1,0)</f>
        <v>0</v>
      </c>
      <c r="E3128" s="9" t="str">
        <f t="shared" ca="1" si="60"/>
        <v/>
      </c>
      <c r="F3128" s="4" t="s">
        <v>8</v>
      </c>
      <c r="G3128" s="2">
        <f>IF(ISNUMBER(SEARCH(Лист2!$B$4,F:F)),1,0)</f>
        <v>0</v>
      </c>
      <c r="H3128" s="3">
        <f ca="1">IF(AND(I3128&lt;&gt;I3127,ISNUMBER(SEARCH(Лист2!$B$5,I:I)),G3128=1),MAX($H$3:OFFSET(H3128,-1,0))+1,0)</f>
        <v>0</v>
      </c>
      <c r="I3128" s="3" t="s">
        <v>274</v>
      </c>
      <c r="K3128" s="2">
        <f>IF(ISNUMBER(SEARCH(Лист2!$B$4,F:F)),1,0)</f>
        <v>0</v>
      </c>
      <c r="L3128" s="14">
        <f>IF(ISNUMBER(SEARCH(Лист2!$B$5,I:I)),1,0)+K3128</f>
        <v>0</v>
      </c>
      <c r="M3128" s="3">
        <f ca="1">IF(AND(N3128&lt;&gt;N3127,ISNUMBER(SEARCH(Лист2!$B$6,N:N)),L3128=2),MAX($M$3:OFFSET(M3128,-1,0))+1,0)</f>
        <v>0</v>
      </c>
      <c r="N3128" s="3" t="s">
        <v>1385</v>
      </c>
    </row>
    <row r="3129" spans="1:14" x14ac:dyDescent="0.25">
      <c r="A3129" s="1" t="s">
        <v>11939</v>
      </c>
      <c r="B3129" s="3" t="s">
        <v>6753</v>
      </c>
      <c r="C3129" s="2">
        <f ca="1">IF(ISNUMBER(SEARCH(Лист2!$B$4,D:D)),MAX($C$3:OFFSET(C3129,-1,0))+1,0)</f>
        <v>0</v>
      </c>
      <c r="E3129" s="9" t="str">
        <f t="shared" ca="1" si="60"/>
        <v/>
      </c>
      <c r="F3129" s="4" t="s">
        <v>8</v>
      </c>
      <c r="G3129" s="2">
        <f>IF(ISNUMBER(SEARCH(Лист2!$B$4,F:F)),1,0)</f>
        <v>0</v>
      </c>
      <c r="H3129" s="3">
        <f ca="1">IF(AND(I3129&lt;&gt;I3128,ISNUMBER(SEARCH(Лист2!$B$5,I:I)),G3129=1),MAX($H$3:OFFSET(H3129,-1,0))+1,0)</f>
        <v>0</v>
      </c>
      <c r="I3129" s="3" t="s">
        <v>274</v>
      </c>
      <c r="K3129" s="2">
        <f>IF(ISNUMBER(SEARCH(Лист2!$B$4,F:F)),1,0)</f>
        <v>0</v>
      </c>
      <c r="L3129" s="14">
        <f>IF(ISNUMBER(SEARCH(Лист2!$B$5,I:I)),1,0)+K3129</f>
        <v>0</v>
      </c>
      <c r="M3129" s="3">
        <f ca="1">IF(AND(N3129&lt;&gt;N3128,ISNUMBER(SEARCH(Лист2!$B$6,N:N)),L3129=2),MAX($M$3:OFFSET(M3129,-1,0))+1,0)</f>
        <v>0</v>
      </c>
      <c r="N3129" s="3" t="s">
        <v>602</v>
      </c>
    </row>
    <row r="3130" spans="1:14" x14ac:dyDescent="0.25">
      <c r="A3130" s="1" t="s">
        <v>11940</v>
      </c>
      <c r="B3130" s="3" t="s">
        <v>6754</v>
      </c>
      <c r="C3130" s="2">
        <f ca="1">IF(ISNUMBER(SEARCH(Лист2!$B$4,D:D)),MAX($C$3:OFFSET(C3130,-1,0))+1,0)</f>
        <v>0</v>
      </c>
      <c r="E3130" s="9" t="str">
        <f t="shared" ca="1" si="60"/>
        <v/>
      </c>
      <c r="F3130" s="4" t="s">
        <v>8</v>
      </c>
      <c r="G3130" s="2">
        <f>IF(ISNUMBER(SEARCH(Лист2!$B$4,F:F)),1,0)</f>
        <v>0</v>
      </c>
      <c r="H3130" s="3">
        <f ca="1">IF(AND(I3130&lt;&gt;I3129,ISNUMBER(SEARCH(Лист2!$B$5,I:I)),G3130=1),MAX($H$3:OFFSET(H3130,-1,0))+1,0)</f>
        <v>0</v>
      </c>
      <c r="I3130" s="3" t="s">
        <v>274</v>
      </c>
      <c r="K3130" s="2">
        <f>IF(ISNUMBER(SEARCH(Лист2!$B$4,F:F)),1,0)</f>
        <v>0</v>
      </c>
      <c r="L3130" s="14">
        <f>IF(ISNUMBER(SEARCH(Лист2!$B$5,I:I)),1,0)+K3130</f>
        <v>0</v>
      </c>
      <c r="M3130" s="3">
        <f ca="1">IF(AND(N3130&lt;&gt;N3129,ISNUMBER(SEARCH(Лист2!$B$6,N:N)),L3130=2),MAX($M$3:OFFSET(M3130,-1,0))+1,0)</f>
        <v>0</v>
      </c>
      <c r="N3130" s="3" t="s">
        <v>2040</v>
      </c>
    </row>
    <row r="3131" spans="1:14" x14ac:dyDescent="0.25">
      <c r="A3131" s="1" t="s">
        <v>11941</v>
      </c>
      <c r="B3131" s="3" t="s">
        <v>6755</v>
      </c>
      <c r="C3131" s="2">
        <f ca="1">IF(ISNUMBER(SEARCH(Лист2!$B$4,D:D)),MAX($C$3:OFFSET(C3131,-1,0))+1,0)</f>
        <v>0</v>
      </c>
      <c r="E3131" s="9" t="str">
        <f t="shared" ca="1" si="60"/>
        <v/>
      </c>
      <c r="F3131" s="4" t="s">
        <v>8</v>
      </c>
      <c r="G3131" s="2">
        <f>IF(ISNUMBER(SEARCH(Лист2!$B$4,F:F)),1,0)</f>
        <v>0</v>
      </c>
      <c r="H3131" s="3">
        <f ca="1">IF(AND(I3131&lt;&gt;I3130,ISNUMBER(SEARCH(Лист2!$B$5,I:I)),G3131=1),MAX($H$3:OFFSET(H3131,-1,0))+1,0)</f>
        <v>0</v>
      </c>
      <c r="I3131" s="3" t="s">
        <v>274</v>
      </c>
      <c r="K3131" s="2">
        <f>IF(ISNUMBER(SEARCH(Лист2!$B$4,F:F)),1,0)</f>
        <v>0</v>
      </c>
      <c r="L3131" s="14">
        <f>IF(ISNUMBER(SEARCH(Лист2!$B$5,I:I)),1,0)+K3131</f>
        <v>0</v>
      </c>
      <c r="M3131" s="3">
        <f ca="1">IF(AND(N3131&lt;&gt;N3130,ISNUMBER(SEARCH(Лист2!$B$6,N:N)),L3131=2),MAX($M$3:OFFSET(M3131,-1,0))+1,0)</f>
        <v>0</v>
      </c>
      <c r="N3131" s="3" t="s">
        <v>2041</v>
      </c>
    </row>
    <row r="3132" spans="1:14" x14ac:dyDescent="0.25">
      <c r="A3132" s="1" t="s">
        <v>11942</v>
      </c>
      <c r="B3132" s="3" t="s">
        <v>6756</v>
      </c>
      <c r="C3132" s="2">
        <f ca="1">IF(ISNUMBER(SEARCH(Лист2!$B$4,D:D)),MAX($C$3:OFFSET(C3132,-1,0))+1,0)</f>
        <v>0</v>
      </c>
      <c r="E3132" s="9" t="str">
        <f t="shared" ca="1" si="60"/>
        <v/>
      </c>
      <c r="F3132" s="4" t="s">
        <v>8</v>
      </c>
      <c r="G3132" s="2">
        <f>IF(ISNUMBER(SEARCH(Лист2!$B$4,F:F)),1,0)</f>
        <v>0</v>
      </c>
      <c r="H3132" s="3">
        <f ca="1">IF(AND(I3132&lt;&gt;I3131,ISNUMBER(SEARCH(Лист2!$B$5,I:I)),G3132=1),MAX($H$3:OFFSET(H3132,-1,0))+1,0)</f>
        <v>0</v>
      </c>
      <c r="I3132" s="3" t="s">
        <v>274</v>
      </c>
      <c r="K3132" s="2">
        <f>IF(ISNUMBER(SEARCH(Лист2!$B$4,F:F)),1,0)</f>
        <v>0</v>
      </c>
      <c r="L3132" s="14">
        <f>IF(ISNUMBER(SEARCH(Лист2!$B$5,I:I)),1,0)+K3132</f>
        <v>0</v>
      </c>
      <c r="M3132" s="3">
        <f ca="1">IF(AND(N3132&lt;&gt;N3131,ISNUMBER(SEARCH(Лист2!$B$6,N:N)),L3132=2),MAX($M$3:OFFSET(M3132,-1,0))+1,0)</f>
        <v>0</v>
      </c>
      <c r="N3132" s="3" t="s">
        <v>2042</v>
      </c>
    </row>
    <row r="3133" spans="1:14" x14ac:dyDescent="0.25">
      <c r="A3133" s="1" t="s">
        <v>11943</v>
      </c>
      <c r="B3133" s="3" t="s">
        <v>6757</v>
      </c>
      <c r="C3133" s="2">
        <f ca="1">IF(ISNUMBER(SEARCH(Лист2!$B$4,D:D)),MAX($C$3:OFFSET(C3133,-1,0))+1,0)</f>
        <v>0</v>
      </c>
      <c r="E3133" s="9" t="str">
        <f t="shared" ca="1" si="60"/>
        <v/>
      </c>
      <c r="F3133" s="4" t="s">
        <v>8</v>
      </c>
      <c r="G3133" s="2">
        <f>IF(ISNUMBER(SEARCH(Лист2!$B$4,F:F)),1,0)</f>
        <v>0</v>
      </c>
      <c r="H3133" s="3">
        <f ca="1">IF(AND(I3133&lt;&gt;I3132,ISNUMBER(SEARCH(Лист2!$B$5,I:I)),G3133=1),MAX($H$3:OFFSET(H3133,-1,0))+1,0)</f>
        <v>0</v>
      </c>
      <c r="I3133" s="3" t="s">
        <v>274</v>
      </c>
      <c r="K3133" s="2">
        <f>IF(ISNUMBER(SEARCH(Лист2!$B$4,F:F)),1,0)</f>
        <v>0</v>
      </c>
      <c r="L3133" s="14">
        <f>IF(ISNUMBER(SEARCH(Лист2!$B$5,I:I)),1,0)+K3133</f>
        <v>0</v>
      </c>
      <c r="M3133" s="3">
        <f ca="1">IF(AND(N3133&lt;&gt;N3132,ISNUMBER(SEARCH(Лист2!$B$6,N:N)),L3133=2),MAX($M$3:OFFSET(M3133,-1,0))+1,0)</f>
        <v>0</v>
      </c>
      <c r="N3133" s="3" t="s">
        <v>2043</v>
      </c>
    </row>
    <row r="3134" spans="1:14" x14ac:dyDescent="0.25">
      <c r="A3134" s="1" t="s">
        <v>11944</v>
      </c>
      <c r="B3134" s="3" t="s">
        <v>6758</v>
      </c>
      <c r="C3134" s="2">
        <f ca="1">IF(ISNUMBER(SEARCH(Лист2!$B$4,D:D)),MAX($C$3:OFFSET(C3134,-1,0))+1,0)</f>
        <v>0</v>
      </c>
      <c r="E3134" s="9" t="str">
        <f t="shared" ca="1" si="60"/>
        <v/>
      </c>
      <c r="F3134" s="4" t="s">
        <v>8</v>
      </c>
      <c r="G3134" s="2">
        <f>IF(ISNUMBER(SEARCH(Лист2!$B$4,F:F)),1,0)</f>
        <v>0</v>
      </c>
      <c r="H3134" s="3">
        <f ca="1">IF(AND(I3134&lt;&gt;I3133,ISNUMBER(SEARCH(Лист2!$B$5,I:I)),G3134=1),MAX($H$3:OFFSET(H3134,-1,0))+1,0)</f>
        <v>0</v>
      </c>
      <c r="I3134" s="3" t="s">
        <v>274</v>
      </c>
      <c r="K3134" s="2">
        <f>IF(ISNUMBER(SEARCH(Лист2!$B$4,F:F)),1,0)</f>
        <v>0</v>
      </c>
      <c r="L3134" s="14">
        <f>IF(ISNUMBER(SEARCH(Лист2!$B$5,I:I)),1,0)+K3134</f>
        <v>0</v>
      </c>
      <c r="M3134" s="3">
        <f ca="1">IF(AND(N3134&lt;&gt;N3133,ISNUMBER(SEARCH(Лист2!$B$6,N:N)),L3134=2),MAX($M$3:OFFSET(M3134,-1,0))+1,0)</f>
        <v>0</v>
      </c>
      <c r="N3134" s="3" t="s">
        <v>2044</v>
      </c>
    </row>
    <row r="3135" spans="1:14" x14ac:dyDescent="0.25">
      <c r="A3135" s="1" t="s">
        <v>11945</v>
      </c>
      <c r="B3135" s="3" t="s">
        <v>6759</v>
      </c>
      <c r="C3135" s="2">
        <f ca="1">IF(ISNUMBER(SEARCH(Лист2!$B$4,D:D)),MAX($C$3:OFFSET(C3135,-1,0))+1,0)</f>
        <v>0</v>
      </c>
      <c r="E3135" s="9" t="str">
        <f t="shared" ca="1" si="60"/>
        <v/>
      </c>
      <c r="F3135" s="4" t="s">
        <v>8</v>
      </c>
      <c r="G3135" s="2">
        <f>IF(ISNUMBER(SEARCH(Лист2!$B$4,F:F)),1,0)</f>
        <v>0</v>
      </c>
      <c r="H3135" s="3">
        <f ca="1">IF(AND(I3135&lt;&gt;I3134,ISNUMBER(SEARCH(Лист2!$B$5,I:I)),G3135=1),MAX($H$3:OFFSET(H3135,-1,0))+1,0)</f>
        <v>0</v>
      </c>
      <c r="I3135" s="3" t="s">
        <v>275</v>
      </c>
      <c r="K3135" s="2">
        <f>IF(ISNUMBER(SEARCH(Лист2!$B$4,F:F)),1,0)</f>
        <v>0</v>
      </c>
      <c r="L3135" s="14">
        <f>IF(ISNUMBER(SEARCH(Лист2!$B$5,I:I)),1,0)+K3135</f>
        <v>0</v>
      </c>
      <c r="M3135" s="3">
        <f ca="1">IF(AND(N3135&lt;&gt;N3134,ISNUMBER(SEARCH(Лист2!$B$6,N:N)),L3135=2),MAX($M$3:OFFSET(M3135,-1,0))+1,0)</f>
        <v>0</v>
      </c>
      <c r="N3135" s="3" t="s">
        <v>724</v>
      </c>
    </row>
    <row r="3136" spans="1:14" x14ac:dyDescent="0.25">
      <c r="A3136" s="1" t="s">
        <v>11946</v>
      </c>
      <c r="B3136" s="3" t="s">
        <v>6760</v>
      </c>
      <c r="C3136" s="2">
        <f ca="1">IF(ISNUMBER(SEARCH(Лист2!$B$4,D:D)),MAX($C$3:OFFSET(C3136,-1,0))+1,0)</f>
        <v>0</v>
      </c>
      <c r="E3136" s="9" t="str">
        <f t="shared" ca="1" si="60"/>
        <v/>
      </c>
      <c r="F3136" s="4" t="s">
        <v>8</v>
      </c>
      <c r="G3136" s="2">
        <f>IF(ISNUMBER(SEARCH(Лист2!$B$4,F:F)),1,0)</f>
        <v>0</v>
      </c>
      <c r="H3136" s="3">
        <f ca="1">IF(AND(I3136&lt;&gt;I3135,ISNUMBER(SEARCH(Лист2!$B$5,I:I)),G3136=1),MAX($H$3:OFFSET(H3136,-1,0))+1,0)</f>
        <v>0</v>
      </c>
      <c r="I3136" s="3" t="s">
        <v>275</v>
      </c>
      <c r="K3136" s="2">
        <f>IF(ISNUMBER(SEARCH(Лист2!$B$4,F:F)),1,0)</f>
        <v>0</v>
      </c>
      <c r="L3136" s="14">
        <f>IF(ISNUMBER(SEARCH(Лист2!$B$5,I:I)),1,0)+K3136</f>
        <v>0</v>
      </c>
      <c r="M3136" s="3">
        <f ca="1">IF(AND(N3136&lt;&gt;N3135,ISNUMBER(SEARCH(Лист2!$B$6,N:N)),L3136=2),MAX($M$3:OFFSET(M3136,-1,0))+1,0)</f>
        <v>0</v>
      </c>
      <c r="N3136" s="3" t="s">
        <v>725</v>
      </c>
    </row>
    <row r="3137" spans="1:14" x14ac:dyDescent="0.25">
      <c r="A3137" s="1" t="s">
        <v>11947</v>
      </c>
      <c r="B3137" s="3" t="s">
        <v>6761</v>
      </c>
      <c r="C3137" s="2">
        <f ca="1">IF(ISNUMBER(SEARCH(Лист2!$B$4,D:D)),MAX($C$3:OFFSET(C3137,-1,0))+1,0)</f>
        <v>0</v>
      </c>
      <c r="E3137" s="9" t="str">
        <f t="shared" ca="1" si="60"/>
        <v/>
      </c>
      <c r="F3137" s="4" t="s">
        <v>8</v>
      </c>
      <c r="G3137" s="2">
        <f>IF(ISNUMBER(SEARCH(Лист2!$B$4,F:F)),1,0)</f>
        <v>0</v>
      </c>
      <c r="H3137" s="3">
        <f ca="1">IF(AND(I3137&lt;&gt;I3136,ISNUMBER(SEARCH(Лист2!$B$5,I:I)),G3137=1),MAX($H$3:OFFSET(H3137,-1,0))+1,0)</f>
        <v>0</v>
      </c>
      <c r="I3137" s="3" t="s">
        <v>275</v>
      </c>
      <c r="K3137" s="2">
        <f>IF(ISNUMBER(SEARCH(Лист2!$B$4,F:F)),1,0)</f>
        <v>0</v>
      </c>
      <c r="L3137" s="14">
        <f>IF(ISNUMBER(SEARCH(Лист2!$B$5,I:I)),1,0)+K3137</f>
        <v>0</v>
      </c>
      <c r="M3137" s="3">
        <f ca="1">IF(AND(N3137&lt;&gt;N3136,ISNUMBER(SEARCH(Лист2!$B$6,N:N)),L3137=2),MAX($M$3:OFFSET(M3137,-1,0))+1,0)</f>
        <v>0</v>
      </c>
      <c r="N3137" s="3" t="s">
        <v>1385</v>
      </c>
    </row>
    <row r="3138" spans="1:14" x14ac:dyDescent="0.25">
      <c r="A3138" s="1" t="s">
        <v>11948</v>
      </c>
      <c r="B3138" s="3" t="s">
        <v>6762</v>
      </c>
      <c r="C3138" s="2">
        <f ca="1">IF(ISNUMBER(SEARCH(Лист2!$B$4,D:D)),MAX($C$3:OFFSET(C3138,-1,0))+1,0)</f>
        <v>0</v>
      </c>
      <c r="E3138" s="9" t="str">
        <f t="shared" ca="1" si="60"/>
        <v/>
      </c>
      <c r="F3138" s="4" t="s">
        <v>8</v>
      </c>
      <c r="G3138" s="2">
        <f>IF(ISNUMBER(SEARCH(Лист2!$B$4,F:F)),1,0)</f>
        <v>0</v>
      </c>
      <c r="H3138" s="3">
        <f ca="1">IF(AND(I3138&lt;&gt;I3137,ISNUMBER(SEARCH(Лист2!$B$5,I:I)),G3138=1),MAX($H$3:OFFSET(H3138,-1,0))+1,0)</f>
        <v>0</v>
      </c>
      <c r="I3138" s="3" t="s">
        <v>275</v>
      </c>
      <c r="K3138" s="2">
        <f>IF(ISNUMBER(SEARCH(Лист2!$B$4,F:F)),1,0)</f>
        <v>0</v>
      </c>
      <c r="L3138" s="14">
        <f>IF(ISNUMBER(SEARCH(Лист2!$B$5,I:I)),1,0)+K3138</f>
        <v>0</v>
      </c>
      <c r="M3138" s="3">
        <f ca="1">IF(AND(N3138&lt;&gt;N3137,ISNUMBER(SEARCH(Лист2!$B$6,N:N)),L3138=2),MAX($M$3:OFFSET(M3138,-1,0))+1,0)</f>
        <v>0</v>
      </c>
      <c r="N3138" s="3" t="s">
        <v>602</v>
      </c>
    </row>
    <row r="3139" spans="1:14" x14ac:dyDescent="0.25">
      <c r="A3139" s="1" t="s">
        <v>11949</v>
      </c>
      <c r="B3139" s="3" t="s">
        <v>6763</v>
      </c>
      <c r="C3139" s="2">
        <f ca="1">IF(ISNUMBER(SEARCH(Лист2!$B$4,D:D)),MAX($C$3:OFFSET(C3139,-1,0))+1,0)</f>
        <v>0</v>
      </c>
      <c r="E3139" s="9" t="str">
        <f t="shared" ca="1" si="60"/>
        <v/>
      </c>
      <c r="F3139" s="4" t="s">
        <v>8</v>
      </c>
      <c r="G3139" s="2">
        <f>IF(ISNUMBER(SEARCH(Лист2!$B$4,F:F)),1,0)</f>
        <v>0</v>
      </c>
      <c r="H3139" s="3">
        <f ca="1">IF(AND(I3139&lt;&gt;I3138,ISNUMBER(SEARCH(Лист2!$B$5,I:I)),G3139=1),MAX($H$3:OFFSET(H3139,-1,0))+1,0)</f>
        <v>0</v>
      </c>
      <c r="I3139" s="3" t="s">
        <v>275</v>
      </c>
      <c r="K3139" s="2">
        <f>IF(ISNUMBER(SEARCH(Лист2!$B$4,F:F)),1,0)</f>
        <v>0</v>
      </c>
      <c r="L3139" s="14">
        <f>IF(ISNUMBER(SEARCH(Лист2!$B$5,I:I)),1,0)+K3139</f>
        <v>0</v>
      </c>
      <c r="M3139" s="3">
        <f ca="1">IF(AND(N3139&lt;&gt;N3138,ISNUMBER(SEARCH(Лист2!$B$6,N:N)),L3139=2),MAX($M$3:OFFSET(M3139,-1,0))+1,0)</f>
        <v>0</v>
      </c>
      <c r="N3139" s="3" t="s">
        <v>726</v>
      </c>
    </row>
    <row r="3140" spans="1:14" x14ac:dyDescent="0.25">
      <c r="A3140" s="1" t="s">
        <v>11950</v>
      </c>
      <c r="B3140" s="3" t="s">
        <v>6764</v>
      </c>
      <c r="C3140" s="2">
        <f ca="1">IF(ISNUMBER(SEARCH(Лист2!$B$4,D:D)),MAX($C$3:OFFSET(C3140,-1,0))+1,0)</f>
        <v>0</v>
      </c>
      <c r="E3140" s="9" t="str">
        <f t="shared" ca="1" si="60"/>
        <v/>
      </c>
      <c r="F3140" s="4" t="s">
        <v>8</v>
      </c>
      <c r="G3140" s="2">
        <f>IF(ISNUMBER(SEARCH(Лист2!$B$4,F:F)),1,0)</f>
        <v>0</v>
      </c>
      <c r="H3140" s="3">
        <f ca="1">IF(AND(I3140&lt;&gt;I3139,ISNUMBER(SEARCH(Лист2!$B$5,I:I)),G3140=1),MAX($H$3:OFFSET(H3140,-1,0))+1,0)</f>
        <v>0</v>
      </c>
      <c r="I3140" s="3" t="s">
        <v>275</v>
      </c>
      <c r="K3140" s="2">
        <f>IF(ISNUMBER(SEARCH(Лист2!$B$4,F:F)),1,0)</f>
        <v>0</v>
      </c>
      <c r="L3140" s="14">
        <f>IF(ISNUMBER(SEARCH(Лист2!$B$5,I:I)),1,0)+K3140</f>
        <v>0</v>
      </c>
      <c r="M3140" s="3">
        <f ca="1">IF(AND(N3140&lt;&gt;N3139,ISNUMBER(SEARCH(Лист2!$B$6,N:N)),L3140=2),MAX($M$3:OFFSET(M3140,-1,0))+1,0)</f>
        <v>0</v>
      </c>
      <c r="N3140" s="3" t="s">
        <v>727</v>
      </c>
    </row>
    <row r="3141" spans="1:14" x14ac:dyDescent="0.25">
      <c r="A3141" s="1" t="s">
        <v>11951</v>
      </c>
      <c r="B3141" s="3" t="s">
        <v>6765</v>
      </c>
      <c r="C3141" s="2">
        <f ca="1">IF(ISNUMBER(SEARCH(Лист2!$B$4,D:D)),MAX($C$3:OFFSET(C3141,-1,0))+1,0)</f>
        <v>0</v>
      </c>
      <c r="E3141" s="9" t="str">
        <f t="shared" ref="E3141:E3204" ca="1" si="61">IFERROR(INDEX(D:D,MATCH(ROW(E3141)-ROW($E$3),C:C,0)),"")</f>
        <v/>
      </c>
      <c r="F3141" s="4" t="s">
        <v>8</v>
      </c>
      <c r="G3141" s="2">
        <f>IF(ISNUMBER(SEARCH(Лист2!$B$4,F:F)),1,0)</f>
        <v>0</v>
      </c>
      <c r="H3141" s="3">
        <f ca="1">IF(AND(I3141&lt;&gt;I3140,ISNUMBER(SEARCH(Лист2!$B$5,I:I)),G3141=1),MAX($H$3:OFFSET(H3141,-1,0))+1,0)</f>
        <v>0</v>
      </c>
      <c r="I3141" s="3" t="s">
        <v>275</v>
      </c>
      <c r="K3141" s="2">
        <f>IF(ISNUMBER(SEARCH(Лист2!$B$4,F:F)),1,0)</f>
        <v>0</v>
      </c>
      <c r="L3141" s="14">
        <f>IF(ISNUMBER(SEARCH(Лист2!$B$5,I:I)),1,0)+K3141</f>
        <v>0</v>
      </c>
      <c r="M3141" s="3">
        <f ca="1">IF(AND(N3141&lt;&gt;N3140,ISNUMBER(SEARCH(Лист2!$B$6,N:N)),L3141=2),MAX($M$3:OFFSET(M3141,-1,0))+1,0)</f>
        <v>0</v>
      </c>
      <c r="N3141" s="3" t="s">
        <v>1980</v>
      </c>
    </row>
    <row r="3142" spans="1:14" x14ac:dyDescent="0.25">
      <c r="A3142" s="1" t="s">
        <v>11952</v>
      </c>
      <c r="B3142" s="3" t="s">
        <v>6766</v>
      </c>
      <c r="C3142" s="2">
        <f ca="1">IF(ISNUMBER(SEARCH(Лист2!$B$4,D:D)),MAX($C$3:OFFSET(C3142,-1,0))+1,0)</f>
        <v>0</v>
      </c>
      <c r="E3142" s="9" t="str">
        <f t="shared" ca="1" si="61"/>
        <v/>
      </c>
      <c r="F3142" s="4" t="s">
        <v>8</v>
      </c>
      <c r="G3142" s="2">
        <f>IF(ISNUMBER(SEARCH(Лист2!$B$4,F:F)),1,0)</f>
        <v>0</v>
      </c>
      <c r="H3142" s="3">
        <f ca="1">IF(AND(I3142&lt;&gt;I3141,ISNUMBER(SEARCH(Лист2!$B$5,I:I)),G3142=1),MAX($H$3:OFFSET(H3142,-1,0))+1,0)</f>
        <v>0</v>
      </c>
      <c r="I3142" s="3" t="s">
        <v>275</v>
      </c>
      <c r="K3142" s="2">
        <f>IF(ISNUMBER(SEARCH(Лист2!$B$4,F:F)),1,0)</f>
        <v>0</v>
      </c>
      <c r="L3142" s="14">
        <f>IF(ISNUMBER(SEARCH(Лист2!$B$5,I:I)),1,0)+K3142</f>
        <v>0</v>
      </c>
      <c r="M3142" s="3">
        <f ca="1">IF(AND(N3142&lt;&gt;N3141,ISNUMBER(SEARCH(Лист2!$B$6,N:N)),L3142=2),MAX($M$3:OFFSET(M3142,-1,0))+1,0)</f>
        <v>0</v>
      </c>
      <c r="N3142" s="3" t="s">
        <v>1966</v>
      </c>
    </row>
    <row r="3143" spans="1:14" x14ac:dyDescent="0.25">
      <c r="A3143" s="1" t="s">
        <v>11953</v>
      </c>
      <c r="B3143" s="3" t="s">
        <v>6767</v>
      </c>
      <c r="C3143" s="2">
        <f ca="1">IF(ISNUMBER(SEARCH(Лист2!$B$4,D:D)),MAX($C$3:OFFSET(C3143,-1,0))+1,0)</f>
        <v>0</v>
      </c>
      <c r="E3143" s="9" t="str">
        <f t="shared" ca="1" si="61"/>
        <v/>
      </c>
      <c r="F3143" s="4" t="s">
        <v>8</v>
      </c>
      <c r="G3143" s="2">
        <f>IF(ISNUMBER(SEARCH(Лист2!$B$4,F:F)),1,0)</f>
        <v>0</v>
      </c>
      <c r="H3143" s="3">
        <f ca="1">IF(AND(I3143&lt;&gt;I3142,ISNUMBER(SEARCH(Лист2!$B$5,I:I)),G3143=1),MAX($H$3:OFFSET(H3143,-1,0))+1,0)</f>
        <v>0</v>
      </c>
      <c r="I3143" s="3" t="s">
        <v>275</v>
      </c>
      <c r="K3143" s="2">
        <f>IF(ISNUMBER(SEARCH(Лист2!$B$4,F:F)),1,0)</f>
        <v>0</v>
      </c>
      <c r="L3143" s="14">
        <f>IF(ISNUMBER(SEARCH(Лист2!$B$5,I:I)),1,0)+K3143</f>
        <v>0</v>
      </c>
      <c r="M3143" s="3">
        <f ca="1">IF(AND(N3143&lt;&gt;N3142,ISNUMBER(SEARCH(Лист2!$B$6,N:N)),L3143=2),MAX($M$3:OFFSET(M3143,-1,0))+1,0)</f>
        <v>0</v>
      </c>
      <c r="N3143" s="3" t="s">
        <v>1967</v>
      </c>
    </row>
    <row r="3144" spans="1:14" x14ac:dyDescent="0.25">
      <c r="A3144" s="1" t="s">
        <v>11954</v>
      </c>
      <c r="B3144" s="3" t="s">
        <v>6768</v>
      </c>
      <c r="C3144" s="2">
        <f ca="1">IF(ISNUMBER(SEARCH(Лист2!$B$4,D:D)),MAX($C$3:OFFSET(C3144,-1,0))+1,0)</f>
        <v>0</v>
      </c>
      <c r="E3144" s="9" t="str">
        <f t="shared" ca="1" si="61"/>
        <v/>
      </c>
      <c r="F3144" s="4" t="s">
        <v>8</v>
      </c>
      <c r="G3144" s="2">
        <f>IF(ISNUMBER(SEARCH(Лист2!$B$4,F:F)),1,0)</f>
        <v>0</v>
      </c>
      <c r="H3144" s="3">
        <f ca="1">IF(AND(I3144&lt;&gt;I3143,ISNUMBER(SEARCH(Лист2!$B$5,I:I)),G3144=1),MAX($H$3:OFFSET(H3144,-1,0))+1,0)</f>
        <v>0</v>
      </c>
      <c r="I3144" s="3" t="s">
        <v>276</v>
      </c>
      <c r="K3144" s="2">
        <f>IF(ISNUMBER(SEARCH(Лист2!$B$4,F:F)),1,0)</f>
        <v>0</v>
      </c>
      <c r="L3144" s="14">
        <f>IF(ISNUMBER(SEARCH(Лист2!$B$5,I:I)),1,0)+K3144</f>
        <v>0</v>
      </c>
      <c r="M3144" s="3">
        <f ca="1">IF(AND(N3144&lt;&gt;N3143,ISNUMBER(SEARCH(Лист2!$B$6,N:N)),L3144=2),MAX($M$3:OFFSET(M3144,-1,0))+1,0)</f>
        <v>0</v>
      </c>
      <c r="N3144" s="3" t="s">
        <v>724</v>
      </c>
    </row>
    <row r="3145" spans="1:14" x14ac:dyDescent="0.25">
      <c r="A3145" s="1" t="s">
        <v>11955</v>
      </c>
      <c r="B3145" s="3" t="s">
        <v>6769</v>
      </c>
      <c r="C3145" s="2">
        <f ca="1">IF(ISNUMBER(SEARCH(Лист2!$B$4,D:D)),MAX($C$3:OFFSET(C3145,-1,0))+1,0)</f>
        <v>0</v>
      </c>
      <c r="E3145" s="9" t="str">
        <f t="shared" ca="1" si="61"/>
        <v/>
      </c>
      <c r="F3145" s="4" t="s">
        <v>8</v>
      </c>
      <c r="G3145" s="2">
        <f>IF(ISNUMBER(SEARCH(Лист2!$B$4,F:F)),1,0)</f>
        <v>0</v>
      </c>
      <c r="H3145" s="3">
        <f ca="1">IF(AND(I3145&lt;&gt;I3144,ISNUMBER(SEARCH(Лист2!$B$5,I:I)),G3145=1),MAX($H$3:OFFSET(H3145,-1,0))+1,0)</f>
        <v>0</v>
      </c>
      <c r="I3145" s="3" t="s">
        <v>276</v>
      </c>
      <c r="K3145" s="2">
        <f>IF(ISNUMBER(SEARCH(Лист2!$B$4,F:F)),1,0)</f>
        <v>0</v>
      </c>
      <c r="L3145" s="14">
        <f>IF(ISNUMBER(SEARCH(Лист2!$B$5,I:I)),1,0)+K3145</f>
        <v>0</v>
      </c>
      <c r="M3145" s="3">
        <f ca="1">IF(AND(N3145&lt;&gt;N3144,ISNUMBER(SEARCH(Лист2!$B$6,N:N)),L3145=2),MAX($M$3:OFFSET(M3145,-1,0))+1,0)</f>
        <v>0</v>
      </c>
      <c r="N3145" s="3" t="s">
        <v>725</v>
      </c>
    </row>
    <row r="3146" spans="1:14" x14ac:dyDescent="0.25">
      <c r="A3146" s="1" t="s">
        <v>11956</v>
      </c>
      <c r="B3146" s="3" t="s">
        <v>6770</v>
      </c>
      <c r="C3146" s="2">
        <f ca="1">IF(ISNUMBER(SEARCH(Лист2!$B$4,D:D)),MAX($C$3:OFFSET(C3146,-1,0))+1,0)</f>
        <v>0</v>
      </c>
      <c r="E3146" s="9" t="str">
        <f t="shared" ca="1" si="61"/>
        <v/>
      </c>
      <c r="F3146" s="4" t="s">
        <v>8</v>
      </c>
      <c r="G3146" s="2">
        <f>IF(ISNUMBER(SEARCH(Лист2!$B$4,F:F)),1,0)</f>
        <v>0</v>
      </c>
      <c r="H3146" s="3">
        <f ca="1">IF(AND(I3146&lt;&gt;I3145,ISNUMBER(SEARCH(Лист2!$B$5,I:I)),G3146=1),MAX($H$3:OFFSET(H3146,-1,0))+1,0)</f>
        <v>0</v>
      </c>
      <c r="I3146" s="3" t="s">
        <v>276</v>
      </c>
      <c r="K3146" s="2">
        <f>IF(ISNUMBER(SEARCH(Лист2!$B$4,F:F)),1,0)</f>
        <v>0</v>
      </c>
      <c r="L3146" s="14">
        <f>IF(ISNUMBER(SEARCH(Лист2!$B$5,I:I)),1,0)+K3146</f>
        <v>0</v>
      </c>
      <c r="M3146" s="3">
        <f ca="1">IF(AND(N3146&lt;&gt;N3145,ISNUMBER(SEARCH(Лист2!$B$6,N:N)),L3146=2),MAX($M$3:OFFSET(M3146,-1,0))+1,0)</f>
        <v>0</v>
      </c>
      <c r="N3146" s="3" t="s">
        <v>1385</v>
      </c>
    </row>
    <row r="3147" spans="1:14" x14ac:dyDescent="0.25">
      <c r="A3147" s="1" t="s">
        <v>11957</v>
      </c>
      <c r="B3147" s="3" t="s">
        <v>6771</v>
      </c>
      <c r="C3147" s="2">
        <f ca="1">IF(ISNUMBER(SEARCH(Лист2!$B$4,D:D)),MAX($C$3:OFFSET(C3147,-1,0))+1,0)</f>
        <v>0</v>
      </c>
      <c r="E3147" s="9" t="str">
        <f t="shared" ca="1" si="61"/>
        <v/>
      </c>
      <c r="F3147" s="4" t="s">
        <v>8</v>
      </c>
      <c r="G3147" s="2">
        <f>IF(ISNUMBER(SEARCH(Лист2!$B$4,F:F)),1,0)</f>
        <v>0</v>
      </c>
      <c r="H3147" s="3">
        <f ca="1">IF(AND(I3147&lt;&gt;I3146,ISNUMBER(SEARCH(Лист2!$B$5,I:I)),G3147=1),MAX($H$3:OFFSET(H3147,-1,0))+1,0)</f>
        <v>0</v>
      </c>
      <c r="I3147" s="3" t="s">
        <v>276</v>
      </c>
      <c r="K3147" s="2">
        <f>IF(ISNUMBER(SEARCH(Лист2!$B$4,F:F)),1,0)</f>
        <v>0</v>
      </c>
      <c r="L3147" s="14">
        <f>IF(ISNUMBER(SEARCH(Лист2!$B$5,I:I)),1,0)+K3147</f>
        <v>0</v>
      </c>
      <c r="M3147" s="3">
        <f ca="1">IF(AND(N3147&lt;&gt;N3146,ISNUMBER(SEARCH(Лист2!$B$6,N:N)),L3147=2),MAX($M$3:OFFSET(M3147,-1,0))+1,0)</f>
        <v>0</v>
      </c>
      <c r="N3147" s="3" t="s">
        <v>602</v>
      </c>
    </row>
    <row r="3148" spans="1:14" x14ac:dyDescent="0.25">
      <c r="A3148" s="1" t="s">
        <v>11958</v>
      </c>
      <c r="B3148" s="3" t="s">
        <v>6772</v>
      </c>
      <c r="C3148" s="2">
        <f ca="1">IF(ISNUMBER(SEARCH(Лист2!$B$4,D:D)),MAX($C$3:OFFSET(C3148,-1,0))+1,0)</f>
        <v>0</v>
      </c>
      <c r="E3148" s="9" t="str">
        <f t="shared" ca="1" si="61"/>
        <v/>
      </c>
      <c r="F3148" s="4" t="s">
        <v>8</v>
      </c>
      <c r="G3148" s="2">
        <f>IF(ISNUMBER(SEARCH(Лист2!$B$4,F:F)),1,0)</f>
        <v>0</v>
      </c>
      <c r="H3148" s="3">
        <f ca="1">IF(AND(I3148&lt;&gt;I3147,ISNUMBER(SEARCH(Лист2!$B$5,I:I)),G3148=1),MAX($H$3:OFFSET(H3148,-1,0))+1,0)</f>
        <v>0</v>
      </c>
      <c r="I3148" s="3" t="s">
        <v>276</v>
      </c>
      <c r="K3148" s="2">
        <f>IF(ISNUMBER(SEARCH(Лист2!$B$4,F:F)),1,0)</f>
        <v>0</v>
      </c>
      <c r="L3148" s="14">
        <f>IF(ISNUMBER(SEARCH(Лист2!$B$5,I:I)),1,0)+K3148</f>
        <v>0</v>
      </c>
      <c r="M3148" s="3">
        <f ca="1">IF(AND(N3148&lt;&gt;N3147,ISNUMBER(SEARCH(Лист2!$B$6,N:N)),L3148=2),MAX($M$3:OFFSET(M3148,-1,0))+1,0)</f>
        <v>0</v>
      </c>
      <c r="N3148" s="3" t="s">
        <v>726</v>
      </c>
    </row>
    <row r="3149" spans="1:14" x14ac:dyDescent="0.25">
      <c r="A3149" s="1" t="s">
        <v>11959</v>
      </c>
      <c r="B3149" s="3" t="s">
        <v>6773</v>
      </c>
      <c r="C3149" s="2">
        <f ca="1">IF(ISNUMBER(SEARCH(Лист2!$B$4,D:D)),MAX($C$3:OFFSET(C3149,-1,0))+1,0)</f>
        <v>0</v>
      </c>
      <c r="E3149" s="9" t="str">
        <f t="shared" ca="1" si="61"/>
        <v/>
      </c>
      <c r="F3149" s="4" t="s">
        <v>8</v>
      </c>
      <c r="G3149" s="2">
        <f>IF(ISNUMBER(SEARCH(Лист2!$B$4,F:F)),1,0)</f>
        <v>0</v>
      </c>
      <c r="H3149" s="3">
        <f ca="1">IF(AND(I3149&lt;&gt;I3148,ISNUMBER(SEARCH(Лист2!$B$5,I:I)),G3149=1),MAX($H$3:OFFSET(H3149,-1,0))+1,0)</f>
        <v>0</v>
      </c>
      <c r="I3149" s="3" t="s">
        <v>276</v>
      </c>
      <c r="K3149" s="2">
        <f>IF(ISNUMBER(SEARCH(Лист2!$B$4,F:F)),1,0)</f>
        <v>0</v>
      </c>
      <c r="L3149" s="14">
        <f>IF(ISNUMBER(SEARCH(Лист2!$B$5,I:I)),1,0)+K3149</f>
        <v>0</v>
      </c>
      <c r="M3149" s="3">
        <f ca="1">IF(AND(N3149&lt;&gt;N3148,ISNUMBER(SEARCH(Лист2!$B$6,N:N)),L3149=2),MAX($M$3:OFFSET(M3149,-1,0))+1,0)</f>
        <v>0</v>
      </c>
      <c r="N3149" s="3" t="s">
        <v>727</v>
      </c>
    </row>
    <row r="3150" spans="1:14" x14ac:dyDescent="0.25">
      <c r="A3150" s="1" t="s">
        <v>11960</v>
      </c>
      <c r="B3150" s="3" t="s">
        <v>6774</v>
      </c>
      <c r="C3150" s="2">
        <f ca="1">IF(ISNUMBER(SEARCH(Лист2!$B$4,D:D)),MAX($C$3:OFFSET(C3150,-1,0))+1,0)</f>
        <v>0</v>
      </c>
      <c r="E3150" s="9" t="str">
        <f t="shared" ca="1" si="61"/>
        <v/>
      </c>
      <c r="F3150" s="4" t="s">
        <v>8</v>
      </c>
      <c r="G3150" s="2">
        <f>IF(ISNUMBER(SEARCH(Лист2!$B$4,F:F)),1,0)</f>
        <v>0</v>
      </c>
      <c r="H3150" s="3">
        <f ca="1">IF(AND(I3150&lt;&gt;I3149,ISNUMBER(SEARCH(Лист2!$B$5,I:I)),G3150=1),MAX($H$3:OFFSET(H3150,-1,0))+1,0)</f>
        <v>0</v>
      </c>
      <c r="I3150" s="3" t="s">
        <v>276</v>
      </c>
      <c r="K3150" s="2">
        <f>IF(ISNUMBER(SEARCH(Лист2!$B$4,F:F)),1,0)</f>
        <v>0</v>
      </c>
      <c r="L3150" s="14">
        <f>IF(ISNUMBER(SEARCH(Лист2!$B$5,I:I)),1,0)+K3150</f>
        <v>0</v>
      </c>
      <c r="M3150" s="3">
        <f ca="1">IF(AND(N3150&lt;&gt;N3149,ISNUMBER(SEARCH(Лист2!$B$6,N:N)),L3150=2),MAX($M$3:OFFSET(M3150,-1,0))+1,0)</f>
        <v>0</v>
      </c>
      <c r="N3150" s="3" t="s">
        <v>1980</v>
      </c>
    </row>
    <row r="3151" spans="1:14" x14ac:dyDescent="0.25">
      <c r="A3151" s="1" t="s">
        <v>11961</v>
      </c>
      <c r="B3151" s="3" t="s">
        <v>6775</v>
      </c>
      <c r="C3151" s="2">
        <f ca="1">IF(ISNUMBER(SEARCH(Лист2!$B$4,D:D)),MAX($C$3:OFFSET(C3151,-1,0))+1,0)</f>
        <v>0</v>
      </c>
      <c r="E3151" s="9" t="str">
        <f t="shared" ca="1" si="61"/>
        <v/>
      </c>
      <c r="F3151" s="4" t="s">
        <v>8</v>
      </c>
      <c r="G3151" s="2">
        <f>IF(ISNUMBER(SEARCH(Лист2!$B$4,F:F)),1,0)</f>
        <v>0</v>
      </c>
      <c r="H3151" s="3">
        <f ca="1">IF(AND(I3151&lt;&gt;I3150,ISNUMBER(SEARCH(Лист2!$B$5,I:I)),G3151=1),MAX($H$3:OFFSET(H3151,-1,0))+1,0)</f>
        <v>0</v>
      </c>
      <c r="I3151" s="3" t="s">
        <v>276</v>
      </c>
      <c r="K3151" s="2">
        <f>IF(ISNUMBER(SEARCH(Лист2!$B$4,F:F)),1,0)</f>
        <v>0</v>
      </c>
      <c r="L3151" s="14">
        <f>IF(ISNUMBER(SEARCH(Лист2!$B$5,I:I)),1,0)+K3151</f>
        <v>0</v>
      </c>
      <c r="M3151" s="3">
        <f ca="1">IF(AND(N3151&lt;&gt;N3150,ISNUMBER(SEARCH(Лист2!$B$6,N:N)),L3151=2),MAX($M$3:OFFSET(M3151,-1,0))+1,0)</f>
        <v>0</v>
      </c>
      <c r="N3151" s="3" t="s">
        <v>1968</v>
      </c>
    </row>
    <row r="3152" spans="1:14" x14ac:dyDescent="0.25">
      <c r="A3152" s="1" t="s">
        <v>11962</v>
      </c>
      <c r="B3152" s="3" t="s">
        <v>6776</v>
      </c>
      <c r="C3152" s="2">
        <f ca="1">IF(ISNUMBER(SEARCH(Лист2!$B$4,D:D)),MAX($C$3:OFFSET(C3152,-1,0))+1,0)</f>
        <v>0</v>
      </c>
      <c r="E3152" s="9" t="str">
        <f t="shared" ca="1" si="61"/>
        <v/>
      </c>
      <c r="F3152" s="4" t="s">
        <v>8</v>
      </c>
      <c r="G3152" s="2">
        <f>IF(ISNUMBER(SEARCH(Лист2!$B$4,F:F)),1,0)</f>
        <v>0</v>
      </c>
      <c r="H3152" s="3">
        <f ca="1">IF(AND(I3152&lt;&gt;I3151,ISNUMBER(SEARCH(Лист2!$B$5,I:I)),G3152=1),MAX($H$3:OFFSET(H3152,-1,0))+1,0)</f>
        <v>0</v>
      </c>
      <c r="I3152" s="3" t="s">
        <v>276</v>
      </c>
      <c r="K3152" s="2">
        <f>IF(ISNUMBER(SEARCH(Лист2!$B$4,F:F)),1,0)</f>
        <v>0</v>
      </c>
      <c r="L3152" s="14">
        <f>IF(ISNUMBER(SEARCH(Лист2!$B$5,I:I)),1,0)+K3152</f>
        <v>0</v>
      </c>
      <c r="M3152" s="3">
        <f ca="1">IF(AND(N3152&lt;&gt;N3151,ISNUMBER(SEARCH(Лист2!$B$6,N:N)),L3152=2),MAX($M$3:OFFSET(M3152,-1,0))+1,0)</f>
        <v>0</v>
      </c>
      <c r="N3152" s="3" t="s">
        <v>1969</v>
      </c>
    </row>
    <row r="3153" spans="1:14" x14ac:dyDescent="0.25">
      <c r="A3153" s="1" t="s">
        <v>11963</v>
      </c>
      <c r="B3153" s="3" t="s">
        <v>6777</v>
      </c>
      <c r="C3153" s="2">
        <f ca="1">IF(ISNUMBER(SEARCH(Лист2!$B$4,D:D)),MAX($C$3:OFFSET(C3153,-1,0))+1,0)</f>
        <v>0</v>
      </c>
      <c r="E3153" s="9" t="str">
        <f t="shared" ca="1" si="61"/>
        <v/>
      </c>
      <c r="F3153" s="4" t="s">
        <v>8</v>
      </c>
      <c r="G3153" s="2">
        <f>IF(ISNUMBER(SEARCH(Лист2!$B$4,F:F)),1,0)</f>
        <v>0</v>
      </c>
      <c r="H3153" s="3">
        <f ca="1">IF(AND(I3153&lt;&gt;I3152,ISNUMBER(SEARCH(Лист2!$B$5,I:I)),G3153=1),MAX($H$3:OFFSET(H3153,-1,0))+1,0)</f>
        <v>0</v>
      </c>
      <c r="I3153" s="3" t="s">
        <v>277</v>
      </c>
      <c r="K3153" s="2">
        <f>IF(ISNUMBER(SEARCH(Лист2!$B$4,F:F)),1,0)</f>
        <v>0</v>
      </c>
      <c r="L3153" s="14">
        <f>IF(ISNUMBER(SEARCH(Лист2!$B$5,I:I)),1,0)+K3153</f>
        <v>0</v>
      </c>
      <c r="M3153" s="3">
        <f ca="1">IF(AND(N3153&lt;&gt;N3152,ISNUMBER(SEARCH(Лист2!$B$6,N:N)),L3153=2),MAX($M$3:OFFSET(M3153,-1,0))+1,0)</f>
        <v>0</v>
      </c>
      <c r="N3153" s="3" t="s">
        <v>2045</v>
      </c>
    </row>
    <row r="3154" spans="1:14" x14ac:dyDescent="0.25">
      <c r="A3154" s="1" t="s">
        <v>11964</v>
      </c>
      <c r="B3154" s="3" t="s">
        <v>6778</v>
      </c>
      <c r="C3154" s="2">
        <f ca="1">IF(ISNUMBER(SEARCH(Лист2!$B$4,D:D)),MAX($C$3:OFFSET(C3154,-1,0))+1,0)</f>
        <v>0</v>
      </c>
      <c r="E3154" s="9" t="str">
        <f t="shared" ca="1" si="61"/>
        <v/>
      </c>
      <c r="F3154" s="4" t="s">
        <v>8</v>
      </c>
      <c r="G3154" s="2">
        <f>IF(ISNUMBER(SEARCH(Лист2!$B$4,F:F)),1,0)</f>
        <v>0</v>
      </c>
      <c r="H3154" s="3">
        <f ca="1">IF(AND(I3154&lt;&gt;I3153,ISNUMBER(SEARCH(Лист2!$B$5,I:I)),G3154=1),MAX($H$3:OFFSET(H3154,-1,0))+1,0)</f>
        <v>0</v>
      </c>
      <c r="I3154" s="3" t="s">
        <v>277</v>
      </c>
      <c r="K3154" s="2">
        <f>IF(ISNUMBER(SEARCH(Лист2!$B$4,F:F)),1,0)</f>
        <v>0</v>
      </c>
      <c r="L3154" s="14">
        <f>IF(ISNUMBER(SEARCH(Лист2!$B$5,I:I)),1,0)+K3154</f>
        <v>0</v>
      </c>
      <c r="M3154" s="3">
        <f ca="1">IF(AND(N3154&lt;&gt;N3153,ISNUMBER(SEARCH(Лист2!$B$6,N:N)),L3154=2),MAX($M$3:OFFSET(M3154,-1,0))+1,0)</f>
        <v>0</v>
      </c>
      <c r="N3154" s="3" t="s">
        <v>2046</v>
      </c>
    </row>
    <row r="3155" spans="1:14" x14ac:dyDescent="0.25">
      <c r="A3155" s="1" t="s">
        <v>11965</v>
      </c>
      <c r="B3155" s="3" t="s">
        <v>6779</v>
      </c>
      <c r="C3155" s="2">
        <f ca="1">IF(ISNUMBER(SEARCH(Лист2!$B$4,D:D)),MAX($C$3:OFFSET(C3155,-1,0))+1,0)</f>
        <v>0</v>
      </c>
      <c r="E3155" s="9" t="str">
        <f t="shared" ca="1" si="61"/>
        <v/>
      </c>
      <c r="F3155" s="4" t="s">
        <v>8</v>
      </c>
      <c r="G3155" s="2">
        <f>IF(ISNUMBER(SEARCH(Лист2!$B$4,F:F)),1,0)</f>
        <v>0</v>
      </c>
      <c r="H3155" s="3">
        <f ca="1">IF(AND(I3155&lt;&gt;I3154,ISNUMBER(SEARCH(Лист2!$B$5,I:I)),G3155=1),MAX($H$3:OFFSET(H3155,-1,0))+1,0)</f>
        <v>0</v>
      </c>
      <c r="I3155" s="3" t="s">
        <v>277</v>
      </c>
      <c r="K3155" s="2">
        <f>IF(ISNUMBER(SEARCH(Лист2!$B$4,F:F)),1,0)</f>
        <v>0</v>
      </c>
      <c r="L3155" s="14">
        <f>IF(ISNUMBER(SEARCH(Лист2!$B$5,I:I)),1,0)+K3155</f>
        <v>0</v>
      </c>
      <c r="M3155" s="3">
        <f ca="1">IF(AND(N3155&lt;&gt;N3154,ISNUMBER(SEARCH(Лист2!$B$6,N:N)),L3155=2),MAX($M$3:OFFSET(M3155,-1,0))+1,0)</f>
        <v>0</v>
      </c>
      <c r="N3155" s="3" t="s">
        <v>2047</v>
      </c>
    </row>
    <row r="3156" spans="1:14" x14ac:dyDescent="0.25">
      <c r="A3156" s="1" t="s">
        <v>11966</v>
      </c>
      <c r="B3156" s="3" t="s">
        <v>6780</v>
      </c>
      <c r="C3156" s="2">
        <f ca="1">IF(ISNUMBER(SEARCH(Лист2!$B$4,D:D)),MAX($C$3:OFFSET(C3156,-1,0))+1,0)</f>
        <v>0</v>
      </c>
      <c r="E3156" s="9" t="str">
        <f t="shared" ca="1" si="61"/>
        <v/>
      </c>
      <c r="F3156" s="4" t="s">
        <v>8</v>
      </c>
      <c r="G3156" s="2">
        <f>IF(ISNUMBER(SEARCH(Лист2!$B$4,F:F)),1,0)</f>
        <v>0</v>
      </c>
      <c r="H3156" s="3">
        <f ca="1">IF(AND(I3156&lt;&gt;I3155,ISNUMBER(SEARCH(Лист2!$B$5,I:I)),G3156=1),MAX($H$3:OFFSET(H3156,-1,0))+1,0)</f>
        <v>0</v>
      </c>
      <c r="I3156" s="3" t="s">
        <v>277</v>
      </c>
      <c r="K3156" s="2">
        <f>IF(ISNUMBER(SEARCH(Лист2!$B$4,F:F)),1,0)</f>
        <v>0</v>
      </c>
      <c r="L3156" s="14">
        <f>IF(ISNUMBER(SEARCH(Лист2!$B$5,I:I)),1,0)+K3156</f>
        <v>0</v>
      </c>
      <c r="M3156" s="3">
        <f ca="1">IF(AND(N3156&lt;&gt;N3155,ISNUMBER(SEARCH(Лист2!$B$6,N:N)),L3156=2),MAX($M$3:OFFSET(M3156,-1,0))+1,0)</f>
        <v>0</v>
      </c>
      <c r="N3156" s="3" t="s">
        <v>2048</v>
      </c>
    </row>
    <row r="3157" spans="1:14" x14ac:dyDescent="0.25">
      <c r="A3157" s="1" t="s">
        <v>11967</v>
      </c>
      <c r="B3157" s="3" t="s">
        <v>6781</v>
      </c>
      <c r="C3157" s="2">
        <f ca="1">IF(ISNUMBER(SEARCH(Лист2!$B$4,D:D)),MAX($C$3:OFFSET(C3157,-1,0))+1,0)</f>
        <v>0</v>
      </c>
      <c r="E3157" s="9" t="str">
        <f t="shared" ca="1" si="61"/>
        <v/>
      </c>
      <c r="F3157" s="4" t="s">
        <v>8</v>
      </c>
      <c r="G3157" s="2">
        <f>IF(ISNUMBER(SEARCH(Лист2!$B$4,F:F)),1,0)</f>
        <v>0</v>
      </c>
      <c r="H3157" s="3">
        <f ca="1">IF(AND(I3157&lt;&gt;I3156,ISNUMBER(SEARCH(Лист2!$B$5,I:I)),G3157=1),MAX($H$3:OFFSET(H3157,-1,0))+1,0)</f>
        <v>0</v>
      </c>
      <c r="I3157" s="3" t="s">
        <v>277</v>
      </c>
      <c r="K3157" s="2">
        <f>IF(ISNUMBER(SEARCH(Лист2!$B$4,F:F)),1,0)</f>
        <v>0</v>
      </c>
      <c r="L3157" s="14">
        <f>IF(ISNUMBER(SEARCH(Лист2!$B$5,I:I)),1,0)+K3157</f>
        <v>0</v>
      </c>
      <c r="M3157" s="3">
        <f ca="1">IF(AND(N3157&lt;&gt;N3156,ISNUMBER(SEARCH(Лист2!$B$6,N:N)),L3157=2),MAX($M$3:OFFSET(M3157,-1,0))+1,0)</f>
        <v>0</v>
      </c>
      <c r="N3157" s="3" t="s">
        <v>2049</v>
      </c>
    </row>
    <row r="3158" spans="1:14" x14ac:dyDescent="0.25">
      <c r="A3158" s="1" t="s">
        <v>11968</v>
      </c>
      <c r="B3158" s="3" t="s">
        <v>6782</v>
      </c>
      <c r="C3158" s="2">
        <f ca="1">IF(ISNUMBER(SEARCH(Лист2!$B$4,D:D)),MAX($C$3:OFFSET(C3158,-1,0))+1,0)</f>
        <v>0</v>
      </c>
      <c r="E3158" s="9" t="str">
        <f t="shared" ca="1" si="61"/>
        <v/>
      </c>
      <c r="F3158" s="4" t="s">
        <v>8</v>
      </c>
      <c r="G3158" s="2">
        <f>IF(ISNUMBER(SEARCH(Лист2!$B$4,F:F)),1,0)</f>
        <v>0</v>
      </c>
      <c r="H3158" s="3">
        <f ca="1">IF(AND(I3158&lt;&gt;I3157,ISNUMBER(SEARCH(Лист2!$B$5,I:I)),G3158=1),MAX($H$3:OFFSET(H3158,-1,0))+1,0)</f>
        <v>0</v>
      </c>
      <c r="I3158" s="3" t="s">
        <v>277</v>
      </c>
      <c r="K3158" s="2">
        <f>IF(ISNUMBER(SEARCH(Лист2!$B$4,F:F)),1,0)</f>
        <v>0</v>
      </c>
      <c r="L3158" s="14">
        <f>IF(ISNUMBER(SEARCH(Лист2!$B$5,I:I)),1,0)+K3158</f>
        <v>0</v>
      </c>
      <c r="M3158" s="3">
        <f ca="1">IF(AND(N3158&lt;&gt;N3157,ISNUMBER(SEARCH(Лист2!$B$6,N:N)),L3158=2),MAX($M$3:OFFSET(M3158,-1,0))+1,0)</f>
        <v>0</v>
      </c>
      <c r="N3158" s="3" t="s">
        <v>1385</v>
      </c>
    </row>
    <row r="3159" spans="1:14" x14ac:dyDescent="0.25">
      <c r="A3159" s="1" t="s">
        <v>11969</v>
      </c>
      <c r="B3159" s="3" t="s">
        <v>6783</v>
      </c>
      <c r="C3159" s="2">
        <f ca="1">IF(ISNUMBER(SEARCH(Лист2!$B$4,D:D)),MAX($C$3:OFFSET(C3159,-1,0))+1,0)</f>
        <v>0</v>
      </c>
      <c r="E3159" s="9" t="str">
        <f t="shared" ca="1" si="61"/>
        <v/>
      </c>
      <c r="F3159" s="4" t="s">
        <v>8</v>
      </c>
      <c r="G3159" s="2">
        <f>IF(ISNUMBER(SEARCH(Лист2!$B$4,F:F)),1,0)</f>
        <v>0</v>
      </c>
      <c r="H3159" s="3">
        <f ca="1">IF(AND(I3159&lt;&gt;I3158,ISNUMBER(SEARCH(Лист2!$B$5,I:I)),G3159=1),MAX($H$3:OFFSET(H3159,-1,0))+1,0)</f>
        <v>0</v>
      </c>
      <c r="I3159" s="3" t="s">
        <v>277</v>
      </c>
      <c r="K3159" s="2">
        <f>IF(ISNUMBER(SEARCH(Лист2!$B$4,F:F)),1,0)</f>
        <v>0</v>
      </c>
      <c r="L3159" s="14">
        <f>IF(ISNUMBER(SEARCH(Лист2!$B$5,I:I)),1,0)+K3159</f>
        <v>0</v>
      </c>
      <c r="M3159" s="3">
        <f ca="1">IF(AND(N3159&lt;&gt;N3158,ISNUMBER(SEARCH(Лист2!$B$6,N:N)),L3159=2),MAX($M$3:OFFSET(M3159,-1,0))+1,0)</f>
        <v>0</v>
      </c>
      <c r="N3159" s="3" t="s">
        <v>602</v>
      </c>
    </row>
    <row r="3160" spans="1:14" x14ac:dyDescent="0.25">
      <c r="A3160" s="1" t="s">
        <v>11970</v>
      </c>
      <c r="B3160" s="3" t="s">
        <v>6784</v>
      </c>
      <c r="C3160" s="2">
        <f ca="1">IF(ISNUMBER(SEARCH(Лист2!$B$4,D:D)),MAX($C$3:OFFSET(C3160,-1,0))+1,0)</f>
        <v>0</v>
      </c>
      <c r="E3160" s="9" t="str">
        <f t="shared" ca="1" si="61"/>
        <v/>
      </c>
      <c r="F3160" s="4" t="s">
        <v>8</v>
      </c>
      <c r="G3160" s="2">
        <f>IF(ISNUMBER(SEARCH(Лист2!$B$4,F:F)),1,0)</f>
        <v>0</v>
      </c>
      <c r="H3160" s="3">
        <f ca="1">IF(AND(I3160&lt;&gt;I3159,ISNUMBER(SEARCH(Лист2!$B$5,I:I)),G3160=1),MAX($H$3:OFFSET(H3160,-1,0))+1,0)</f>
        <v>0</v>
      </c>
      <c r="I3160" s="3" t="s">
        <v>277</v>
      </c>
      <c r="K3160" s="2">
        <f>IF(ISNUMBER(SEARCH(Лист2!$B$4,F:F)),1,0)</f>
        <v>0</v>
      </c>
      <c r="L3160" s="14">
        <f>IF(ISNUMBER(SEARCH(Лист2!$B$5,I:I)),1,0)+K3160</f>
        <v>0</v>
      </c>
      <c r="M3160" s="3">
        <f ca="1">IF(AND(N3160&lt;&gt;N3159,ISNUMBER(SEARCH(Лист2!$B$6,N:N)),L3160=2),MAX($M$3:OFFSET(M3160,-1,0))+1,0)</f>
        <v>0</v>
      </c>
      <c r="N3160" s="3" t="s">
        <v>2050</v>
      </c>
    </row>
    <row r="3161" spans="1:14" x14ac:dyDescent="0.25">
      <c r="A3161" s="1" t="s">
        <v>11971</v>
      </c>
      <c r="B3161" s="3" t="s">
        <v>6785</v>
      </c>
      <c r="C3161" s="2">
        <f ca="1">IF(ISNUMBER(SEARCH(Лист2!$B$4,D:D)),MAX($C$3:OFFSET(C3161,-1,0))+1,0)</f>
        <v>0</v>
      </c>
      <c r="E3161" s="9" t="str">
        <f t="shared" ca="1" si="61"/>
        <v/>
      </c>
      <c r="F3161" s="4" t="s">
        <v>8</v>
      </c>
      <c r="G3161" s="2">
        <f>IF(ISNUMBER(SEARCH(Лист2!$B$4,F:F)),1,0)</f>
        <v>0</v>
      </c>
      <c r="H3161" s="3">
        <f ca="1">IF(AND(I3161&lt;&gt;I3160,ISNUMBER(SEARCH(Лист2!$B$5,I:I)),G3161=1),MAX($H$3:OFFSET(H3161,-1,0))+1,0)</f>
        <v>0</v>
      </c>
      <c r="I3161" s="3" t="s">
        <v>277</v>
      </c>
      <c r="K3161" s="2">
        <f>IF(ISNUMBER(SEARCH(Лист2!$B$4,F:F)),1,0)</f>
        <v>0</v>
      </c>
      <c r="L3161" s="14">
        <f>IF(ISNUMBER(SEARCH(Лист2!$B$5,I:I)),1,0)+K3161</f>
        <v>0</v>
      </c>
      <c r="M3161" s="3">
        <f ca="1">IF(AND(N3161&lt;&gt;N3160,ISNUMBER(SEARCH(Лист2!$B$6,N:N)),L3161=2),MAX($M$3:OFFSET(M3161,-1,0))+1,0)</f>
        <v>0</v>
      </c>
      <c r="N3161" s="3" t="s">
        <v>2051</v>
      </c>
    </row>
    <row r="3162" spans="1:14" x14ac:dyDescent="0.25">
      <c r="A3162" s="1" t="s">
        <v>11972</v>
      </c>
      <c r="B3162" s="3" t="s">
        <v>6786</v>
      </c>
      <c r="C3162" s="2">
        <f ca="1">IF(ISNUMBER(SEARCH(Лист2!$B$4,D:D)),MAX($C$3:OFFSET(C3162,-1,0))+1,0)</f>
        <v>0</v>
      </c>
      <c r="E3162" s="9" t="str">
        <f t="shared" ca="1" si="61"/>
        <v/>
      </c>
      <c r="F3162" s="4" t="s">
        <v>8</v>
      </c>
      <c r="G3162" s="2">
        <f>IF(ISNUMBER(SEARCH(Лист2!$B$4,F:F)),1,0)</f>
        <v>0</v>
      </c>
      <c r="H3162" s="3">
        <f ca="1">IF(AND(I3162&lt;&gt;I3161,ISNUMBER(SEARCH(Лист2!$B$5,I:I)),G3162=1),MAX($H$3:OFFSET(H3162,-1,0))+1,0)</f>
        <v>0</v>
      </c>
      <c r="I3162" s="3" t="s">
        <v>277</v>
      </c>
      <c r="K3162" s="2">
        <f>IF(ISNUMBER(SEARCH(Лист2!$B$4,F:F)),1,0)</f>
        <v>0</v>
      </c>
      <c r="L3162" s="14">
        <f>IF(ISNUMBER(SEARCH(Лист2!$B$5,I:I)),1,0)+K3162</f>
        <v>0</v>
      </c>
      <c r="M3162" s="3">
        <f ca="1">IF(AND(N3162&lt;&gt;N3161,ISNUMBER(SEARCH(Лист2!$B$6,N:N)),L3162=2),MAX($M$3:OFFSET(M3162,-1,0))+1,0)</f>
        <v>0</v>
      </c>
      <c r="N3162" s="3" t="s">
        <v>2052</v>
      </c>
    </row>
    <row r="3163" spans="1:14" x14ac:dyDescent="0.25">
      <c r="A3163" s="1" t="s">
        <v>11973</v>
      </c>
      <c r="B3163" s="3" t="s">
        <v>6787</v>
      </c>
      <c r="C3163" s="2">
        <f ca="1">IF(ISNUMBER(SEARCH(Лист2!$B$4,D:D)),MAX($C$3:OFFSET(C3163,-1,0))+1,0)</f>
        <v>0</v>
      </c>
      <c r="E3163" s="9" t="str">
        <f t="shared" ca="1" si="61"/>
        <v/>
      </c>
      <c r="F3163" s="4" t="s">
        <v>8</v>
      </c>
      <c r="G3163" s="2">
        <f>IF(ISNUMBER(SEARCH(Лист2!$B$4,F:F)),1,0)</f>
        <v>0</v>
      </c>
      <c r="H3163" s="3">
        <f ca="1">IF(AND(I3163&lt;&gt;I3162,ISNUMBER(SEARCH(Лист2!$B$5,I:I)),G3163=1),MAX($H$3:OFFSET(H3163,-1,0))+1,0)</f>
        <v>0</v>
      </c>
      <c r="I3163" s="3" t="s">
        <v>277</v>
      </c>
      <c r="K3163" s="2">
        <f>IF(ISNUMBER(SEARCH(Лист2!$B$4,F:F)),1,0)</f>
        <v>0</v>
      </c>
      <c r="L3163" s="14">
        <f>IF(ISNUMBER(SEARCH(Лист2!$B$5,I:I)),1,0)+K3163</f>
        <v>0</v>
      </c>
      <c r="M3163" s="3">
        <f ca="1">IF(AND(N3163&lt;&gt;N3162,ISNUMBER(SEARCH(Лист2!$B$6,N:N)),L3163=2),MAX($M$3:OFFSET(M3163,-1,0))+1,0)</f>
        <v>0</v>
      </c>
      <c r="N3163" s="3" t="s">
        <v>2053</v>
      </c>
    </row>
    <row r="3164" spans="1:14" x14ac:dyDescent="0.25">
      <c r="A3164" s="1" t="s">
        <v>11974</v>
      </c>
      <c r="B3164" s="3" t="s">
        <v>6788</v>
      </c>
      <c r="C3164" s="2">
        <f ca="1">IF(ISNUMBER(SEARCH(Лист2!$B$4,D:D)),MAX($C$3:OFFSET(C3164,-1,0))+1,0)</f>
        <v>0</v>
      </c>
      <c r="E3164" s="9" t="str">
        <f t="shared" ca="1" si="61"/>
        <v/>
      </c>
      <c r="F3164" s="4" t="s">
        <v>8</v>
      </c>
      <c r="G3164" s="2">
        <f>IF(ISNUMBER(SEARCH(Лист2!$B$4,F:F)),1,0)</f>
        <v>0</v>
      </c>
      <c r="H3164" s="3">
        <f ca="1">IF(AND(I3164&lt;&gt;I3163,ISNUMBER(SEARCH(Лист2!$B$5,I:I)),G3164=1),MAX($H$3:OFFSET(H3164,-1,0))+1,0)</f>
        <v>0</v>
      </c>
      <c r="I3164" s="3" t="s">
        <v>277</v>
      </c>
      <c r="K3164" s="2">
        <f>IF(ISNUMBER(SEARCH(Лист2!$B$4,F:F)),1,0)</f>
        <v>0</v>
      </c>
      <c r="L3164" s="14">
        <f>IF(ISNUMBER(SEARCH(Лист2!$B$5,I:I)),1,0)+K3164</f>
        <v>0</v>
      </c>
      <c r="M3164" s="3">
        <f ca="1">IF(AND(N3164&lt;&gt;N3163,ISNUMBER(SEARCH(Лист2!$B$6,N:N)),L3164=2),MAX($M$3:OFFSET(M3164,-1,0))+1,0)</f>
        <v>0</v>
      </c>
      <c r="N3164" s="3" t="s">
        <v>2054</v>
      </c>
    </row>
    <row r="3165" spans="1:14" x14ac:dyDescent="0.25">
      <c r="A3165" s="1" t="s">
        <v>11975</v>
      </c>
      <c r="B3165" s="3" t="s">
        <v>6789</v>
      </c>
      <c r="C3165" s="2">
        <f ca="1">IF(ISNUMBER(SEARCH(Лист2!$B$4,D:D)),MAX($C$3:OFFSET(C3165,-1,0))+1,0)</f>
        <v>0</v>
      </c>
      <c r="E3165" s="9" t="str">
        <f t="shared" ca="1" si="61"/>
        <v/>
      </c>
      <c r="F3165" s="4" t="s">
        <v>8</v>
      </c>
      <c r="G3165" s="2">
        <f>IF(ISNUMBER(SEARCH(Лист2!$B$4,F:F)),1,0)</f>
        <v>0</v>
      </c>
      <c r="H3165" s="3">
        <f ca="1">IF(AND(I3165&lt;&gt;I3164,ISNUMBER(SEARCH(Лист2!$B$5,I:I)),G3165=1),MAX($H$3:OFFSET(H3165,-1,0))+1,0)</f>
        <v>0</v>
      </c>
      <c r="I3165" s="3" t="s">
        <v>277</v>
      </c>
      <c r="K3165" s="2">
        <f>IF(ISNUMBER(SEARCH(Лист2!$B$4,F:F)),1,0)</f>
        <v>0</v>
      </c>
      <c r="L3165" s="14">
        <f>IF(ISNUMBER(SEARCH(Лист2!$B$5,I:I)),1,0)+K3165</f>
        <v>0</v>
      </c>
      <c r="M3165" s="3">
        <f ca="1">IF(AND(N3165&lt;&gt;N3164,ISNUMBER(SEARCH(Лист2!$B$6,N:N)),L3165=2),MAX($M$3:OFFSET(M3165,-1,0))+1,0)</f>
        <v>0</v>
      </c>
      <c r="N3165" s="3" t="s">
        <v>2055</v>
      </c>
    </row>
    <row r="3166" spans="1:14" x14ac:dyDescent="0.25">
      <c r="A3166" s="1" t="s">
        <v>11976</v>
      </c>
      <c r="B3166" s="3" t="s">
        <v>6790</v>
      </c>
      <c r="C3166" s="2">
        <f ca="1">IF(ISNUMBER(SEARCH(Лист2!$B$4,D:D)),MAX($C$3:OFFSET(C3166,-1,0))+1,0)</f>
        <v>0</v>
      </c>
      <c r="E3166" s="9" t="str">
        <f t="shared" ca="1" si="61"/>
        <v/>
      </c>
      <c r="F3166" s="4" t="s">
        <v>8</v>
      </c>
      <c r="G3166" s="2">
        <f>IF(ISNUMBER(SEARCH(Лист2!$B$4,F:F)),1,0)</f>
        <v>0</v>
      </c>
      <c r="H3166" s="3">
        <f ca="1">IF(AND(I3166&lt;&gt;I3165,ISNUMBER(SEARCH(Лист2!$B$5,I:I)),G3166=1),MAX($H$3:OFFSET(H3166,-1,0))+1,0)</f>
        <v>0</v>
      </c>
      <c r="I3166" s="3" t="s">
        <v>277</v>
      </c>
      <c r="K3166" s="2">
        <f>IF(ISNUMBER(SEARCH(Лист2!$B$4,F:F)),1,0)</f>
        <v>0</v>
      </c>
      <c r="L3166" s="14">
        <f>IF(ISNUMBER(SEARCH(Лист2!$B$5,I:I)),1,0)+K3166</f>
        <v>0</v>
      </c>
      <c r="M3166" s="3">
        <f ca="1">IF(AND(N3166&lt;&gt;N3165,ISNUMBER(SEARCH(Лист2!$B$6,N:N)),L3166=2),MAX($M$3:OFFSET(M3166,-1,0))+1,0)</f>
        <v>0</v>
      </c>
      <c r="N3166" s="3" t="s">
        <v>2056</v>
      </c>
    </row>
    <row r="3167" spans="1:14" x14ac:dyDescent="0.25">
      <c r="A3167" s="1" t="s">
        <v>11977</v>
      </c>
      <c r="B3167" s="3" t="s">
        <v>6791</v>
      </c>
      <c r="C3167" s="2">
        <f ca="1">IF(ISNUMBER(SEARCH(Лист2!$B$4,D:D)),MAX($C$3:OFFSET(C3167,-1,0))+1,0)</f>
        <v>0</v>
      </c>
      <c r="E3167" s="9" t="str">
        <f t="shared" ca="1" si="61"/>
        <v/>
      </c>
      <c r="F3167" s="4" t="s">
        <v>8</v>
      </c>
      <c r="G3167" s="2">
        <f>IF(ISNUMBER(SEARCH(Лист2!$B$4,F:F)),1,0)</f>
        <v>0</v>
      </c>
      <c r="H3167" s="3">
        <f ca="1">IF(AND(I3167&lt;&gt;I3166,ISNUMBER(SEARCH(Лист2!$B$5,I:I)),G3167=1),MAX($H$3:OFFSET(H3167,-1,0))+1,0)</f>
        <v>0</v>
      </c>
      <c r="I3167" s="3" t="s">
        <v>277</v>
      </c>
      <c r="K3167" s="2">
        <f>IF(ISNUMBER(SEARCH(Лист2!$B$4,F:F)),1,0)</f>
        <v>0</v>
      </c>
      <c r="L3167" s="14">
        <f>IF(ISNUMBER(SEARCH(Лист2!$B$5,I:I)),1,0)+K3167</f>
        <v>0</v>
      </c>
      <c r="M3167" s="3">
        <f ca="1">IF(AND(N3167&lt;&gt;N3166,ISNUMBER(SEARCH(Лист2!$B$6,N:N)),L3167=2),MAX($M$3:OFFSET(M3167,-1,0))+1,0)</f>
        <v>0</v>
      </c>
      <c r="N3167" s="3" t="s">
        <v>2057</v>
      </c>
    </row>
    <row r="3168" spans="1:14" x14ac:dyDescent="0.25">
      <c r="A3168" s="1" t="s">
        <v>11978</v>
      </c>
      <c r="B3168" s="3" t="s">
        <v>6792</v>
      </c>
      <c r="C3168" s="2">
        <f ca="1">IF(ISNUMBER(SEARCH(Лист2!$B$4,D:D)),MAX($C$3:OFFSET(C3168,-1,0))+1,0)</f>
        <v>0</v>
      </c>
      <c r="E3168" s="9" t="str">
        <f t="shared" ca="1" si="61"/>
        <v/>
      </c>
      <c r="F3168" s="4" t="s">
        <v>8</v>
      </c>
      <c r="G3168" s="2">
        <f>IF(ISNUMBER(SEARCH(Лист2!$B$4,F:F)),1,0)</f>
        <v>0</v>
      </c>
      <c r="H3168" s="3">
        <f ca="1">IF(AND(I3168&lt;&gt;I3167,ISNUMBER(SEARCH(Лист2!$B$5,I:I)),G3168=1),MAX($H$3:OFFSET(H3168,-1,0))+1,0)</f>
        <v>0</v>
      </c>
      <c r="I3168" s="3" t="s">
        <v>277</v>
      </c>
      <c r="K3168" s="2">
        <f>IF(ISNUMBER(SEARCH(Лист2!$B$4,F:F)),1,0)</f>
        <v>0</v>
      </c>
      <c r="L3168" s="14">
        <f>IF(ISNUMBER(SEARCH(Лист2!$B$5,I:I)),1,0)+K3168</f>
        <v>0</v>
      </c>
      <c r="M3168" s="3">
        <f ca="1">IF(AND(N3168&lt;&gt;N3167,ISNUMBER(SEARCH(Лист2!$B$6,N:N)),L3168=2),MAX($M$3:OFFSET(M3168,-1,0))+1,0)</f>
        <v>0</v>
      </c>
      <c r="N3168" s="3" t="s">
        <v>2058</v>
      </c>
    </row>
    <row r="3169" spans="1:14" x14ac:dyDescent="0.25">
      <c r="A3169" s="1" t="s">
        <v>11979</v>
      </c>
      <c r="B3169" s="3" t="s">
        <v>6793</v>
      </c>
      <c r="C3169" s="2">
        <f ca="1">IF(ISNUMBER(SEARCH(Лист2!$B$4,D:D)),MAX($C$3:OFFSET(C3169,-1,0))+1,0)</f>
        <v>0</v>
      </c>
      <c r="E3169" s="9" t="str">
        <f t="shared" ca="1" si="61"/>
        <v/>
      </c>
      <c r="F3169" s="4" t="s">
        <v>8</v>
      </c>
      <c r="G3169" s="2">
        <f>IF(ISNUMBER(SEARCH(Лист2!$B$4,F:F)),1,0)</f>
        <v>0</v>
      </c>
      <c r="H3169" s="3">
        <f ca="1">IF(AND(I3169&lt;&gt;I3168,ISNUMBER(SEARCH(Лист2!$B$5,I:I)),G3169=1),MAX($H$3:OFFSET(H3169,-1,0))+1,0)</f>
        <v>0</v>
      </c>
      <c r="I3169" s="3" t="s">
        <v>278</v>
      </c>
      <c r="K3169" s="2">
        <f>IF(ISNUMBER(SEARCH(Лист2!$B$4,F:F)),1,0)</f>
        <v>0</v>
      </c>
      <c r="L3169" s="14">
        <f>IF(ISNUMBER(SEARCH(Лист2!$B$5,I:I)),1,0)+K3169</f>
        <v>0</v>
      </c>
      <c r="M3169" s="3">
        <f ca="1">IF(AND(N3169&lt;&gt;N3168,ISNUMBER(SEARCH(Лист2!$B$6,N:N)),L3169=2),MAX($M$3:OFFSET(M3169,-1,0))+1,0)</f>
        <v>0</v>
      </c>
      <c r="N3169" s="3" t="s">
        <v>2045</v>
      </c>
    </row>
    <row r="3170" spans="1:14" x14ac:dyDescent="0.25">
      <c r="A3170" s="1" t="s">
        <v>11980</v>
      </c>
      <c r="B3170" s="3" t="s">
        <v>6794</v>
      </c>
      <c r="C3170" s="2">
        <f ca="1">IF(ISNUMBER(SEARCH(Лист2!$B$4,D:D)),MAX($C$3:OFFSET(C3170,-1,0))+1,0)</f>
        <v>0</v>
      </c>
      <c r="E3170" s="9" t="str">
        <f t="shared" ca="1" si="61"/>
        <v/>
      </c>
      <c r="F3170" s="4" t="s">
        <v>8</v>
      </c>
      <c r="G3170" s="2">
        <f>IF(ISNUMBER(SEARCH(Лист2!$B$4,F:F)),1,0)</f>
        <v>0</v>
      </c>
      <c r="H3170" s="3">
        <f ca="1">IF(AND(I3170&lt;&gt;I3169,ISNUMBER(SEARCH(Лист2!$B$5,I:I)),G3170=1),MAX($H$3:OFFSET(H3170,-1,0))+1,0)</f>
        <v>0</v>
      </c>
      <c r="I3170" s="3" t="s">
        <v>278</v>
      </c>
      <c r="K3170" s="2">
        <f>IF(ISNUMBER(SEARCH(Лист2!$B$4,F:F)),1,0)</f>
        <v>0</v>
      </c>
      <c r="L3170" s="14">
        <f>IF(ISNUMBER(SEARCH(Лист2!$B$5,I:I)),1,0)+K3170</f>
        <v>0</v>
      </c>
      <c r="M3170" s="3">
        <f ca="1">IF(AND(N3170&lt;&gt;N3169,ISNUMBER(SEARCH(Лист2!$B$6,N:N)),L3170=2),MAX($M$3:OFFSET(M3170,-1,0))+1,0)</f>
        <v>0</v>
      </c>
      <c r="N3170" s="3" t="s">
        <v>2046</v>
      </c>
    </row>
    <row r="3171" spans="1:14" x14ac:dyDescent="0.25">
      <c r="A3171" s="1" t="s">
        <v>11981</v>
      </c>
      <c r="B3171" s="3" t="s">
        <v>6795</v>
      </c>
      <c r="C3171" s="2">
        <f ca="1">IF(ISNUMBER(SEARCH(Лист2!$B$4,D:D)),MAX($C$3:OFFSET(C3171,-1,0))+1,0)</f>
        <v>0</v>
      </c>
      <c r="E3171" s="9" t="str">
        <f t="shared" ca="1" si="61"/>
        <v/>
      </c>
      <c r="F3171" s="4" t="s">
        <v>8</v>
      </c>
      <c r="G3171" s="2">
        <f>IF(ISNUMBER(SEARCH(Лист2!$B$4,F:F)),1,0)</f>
        <v>0</v>
      </c>
      <c r="H3171" s="3">
        <f ca="1">IF(AND(I3171&lt;&gt;I3170,ISNUMBER(SEARCH(Лист2!$B$5,I:I)),G3171=1),MAX($H$3:OFFSET(H3171,-1,0))+1,0)</f>
        <v>0</v>
      </c>
      <c r="I3171" s="3" t="s">
        <v>278</v>
      </c>
      <c r="K3171" s="2">
        <f>IF(ISNUMBER(SEARCH(Лист2!$B$4,F:F)),1,0)</f>
        <v>0</v>
      </c>
      <c r="L3171" s="14">
        <f>IF(ISNUMBER(SEARCH(Лист2!$B$5,I:I)),1,0)+K3171</f>
        <v>0</v>
      </c>
      <c r="M3171" s="3">
        <f ca="1">IF(AND(N3171&lt;&gt;N3170,ISNUMBER(SEARCH(Лист2!$B$6,N:N)),L3171=2),MAX($M$3:OFFSET(M3171,-1,0))+1,0)</f>
        <v>0</v>
      </c>
      <c r="N3171" s="3" t="s">
        <v>2047</v>
      </c>
    </row>
    <row r="3172" spans="1:14" x14ac:dyDescent="0.25">
      <c r="A3172" s="1" t="s">
        <v>11982</v>
      </c>
      <c r="B3172" s="3" t="s">
        <v>6796</v>
      </c>
      <c r="C3172" s="2">
        <f ca="1">IF(ISNUMBER(SEARCH(Лист2!$B$4,D:D)),MAX($C$3:OFFSET(C3172,-1,0))+1,0)</f>
        <v>0</v>
      </c>
      <c r="E3172" s="9" t="str">
        <f t="shared" ca="1" si="61"/>
        <v/>
      </c>
      <c r="F3172" s="4" t="s">
        <v>8</v>
      </c>
      <c r="G3172" s="2">
        <f>IF(ISNUMBER(SEARCH(Лист2!$B$4,F:F)),1,0)</f>
        <v>0</v>
      </c>
      <c r="H3172" s="3">
        <f ca="1">IF(AND(I3172&lt;&gt;I3171,ISNUMBER(SEARCH(Лист2!$B$5,I:I)),G3172=1),MAX($H$3:OFFSET(H3172,-1,0))+1,0)</f>
        <v>0</v>
      </c>
      <c r="I3172" s="3" t="s">
        <v>278</v>
      </c>
      <c r="K3172" s="2">
        <f>IF(ISNUMBER(SEARCH(Лист2!$B$4,F:F)),1,0)</f>
        <v>0</v>
      </c>
      <c r="L3172" s="14">
        <f>IF(ISNUMBER(SEARCH(Лист2!$B$5,I:I)),1,0)+K3172</f>
        <v>0</v>
      </c>
      <c r="M3172" s="3">
        <f ca="1">IF(AND(N3172&lt;&gt;N3171,ISNUMBER(SEARCH(Лист2!$B$6,N:N)),L3172=2),MAX($M$3:OFFSET(M3172,-1,0))+1,0)</f>
        <v>0</v>
      </c>
      <c r="N3172" s="3" t="s">
        <v>2048</v>
      </c>
    </row>
    <row r="3173" spans="1:14" x14ac:dyDescent="0.25">
      <c r="A3173" s="1" t="s">
        <v>11983</v>
      </c>
      <c r="B3173" s="3" t="s">
        <v>6797</v>
      </c>
      <c r="C3173" s="2">
        <f ca="1">IF(ISNUMBER(SEARCH(Лист2!$B$4,D:D)),MAX($C$3:OFFSET(C3173,-1,0))+1,0)</f>
        <v>0</v>
      </c>
      <c r="E3173" s="9" t="str">
        <f t="shared" ca="1" si="61"/>
        <v/>
      </c>
      <c r="F3173" s="4" t="s">
        <v>8</v>
      </c>
      <c r="G3173" s="2">
        <f>IF(ISNUMBER(SEARCH(Лист2!$B$4,F:F)),1,0)</f>
        <v>0</v>
      </c>
      <c r="H3173" s="3">
        <f ca="1">IF(AND(I3173&lt;&gt;I3172,ISNUMBER(SEARCH(Лист2!$B$5,I:I)),G3173=1),MAX($H$3:OFFSET(H3173,-1,0))+1,0)</f>
        <v>0</v>
      </c>
      <c r="I3173" s="3" t="s">
        <v>278</v>
      </c>
      <c r="K3173" s="2">
        <f>IF(ISNUMBER(SEARCH(Лист2!$B$4,F:F)),1,0)</f>
        <v>0</v>
      </c>
      <c r="L3173" s="14">
        <f>IF(ISNUMBER(SEARCH(Лист2!$B$5,I:I)),1,0)+K3173</f>
        <v>0</v>
      </c>
      <c r="M3173" s="3">
        <f ca="1">IF(AND(N3173&lt;&gt;N3172,ISNUMBER(SEARCH(Лист2!$B$6,N:N)),L3173=2),MAX($M$3:OFFSET(M3173,-1,0))+1,0)</f>
        <v>0</v>
      </c>
      <c r="N3173" s="3" t="s">
        <v>2049</v>
      </c>
    </row>
    <row r="3174" spans="1:14" x14ac:dyDescent="0.25">
      <c r="A3174" s="1" t="s">
        <v>11984</v>
      </c>
      <c r="B3174" s="3" t="s">
        <v>6798</v>
      </c>
      <c r="C3174" s="2">
        <f ca="1">IF(ISNUMBER(SEARCH(Лист2!$B$4,D:D)),MAX($C$3:OFFSET(C3174,-1,0))+1,0)</f>
        <v>0</v>
      </c>
      <c r="E3174" s="9" t="str">
        <f t="shared" ca="1" si="61"/>
        <v/>
      </c>
      <c r="F3174" s="4" t="s">
        <v>8</v>
      </c>
      <c r="G3174" s="2">
        <f>IF(ISNUMBER(SEARCH(Лист2!$B$4,F:F)),1,0)</f>
        <v>0</v>
      </c>
      <c r="H3174" s="3">
        <f ca="1">IF(AND(I3174&lt;&gt;I3173,ISNUMBER(SEARCH(Лист2!$B$5,I:I)),G3174=1),MAX($H$3:OFFSET(H3174,-1,0))+1,0)</f>
        <v>0</v>
      </c>
      <c r="I3174" s="3" t="s">
        <v>278</v>
      </c>
      <c r="K3174" s="2">
        <f>IF(ISNUMBER(SEARCH(Лист2!$B$4,F:F)),1,0)</f>
        <v>0</v>
      </c>
      <c r="L3174" s="14">
        <f>IF(ISNUMBER(SEARCH(Лист2!$B$5,I:I)),1,0)+K3174</f>
        <v>0</v>
      </c>
      <c r="M3174" s="3">
        <f ca="1">IF(AND(N3174&lt;&gt;N3173,ISNUMBER(SEARCH(Лист2!$B$6,N:N)),L3174=2),MAX($M$3:OFFSET(M3174,-1,0))+1,0)</f>
        <v>0</v>
      </c>
      <c r="N3174" s="3" t="s">
        <v>1385</v>
      </c>
    </row>
    <row r="3175" spans="1:14" x14ac:dyDescent="0.25">
      <c r="A3175" s="1" t="s">
        <v>11985</v>
      </c>
      <c r="B3175" s="3" t="s">
        <v>6799</v>
      </c>
      <c r="C3175" s="2">
        <f ca="1">IF(ISNUMBER(SEARCH(Лист2!$B$4,D:D)),MAX($C$3:OFFSET(C3175,-1,0))+1,0)</f>
        <v>0</v>
      </c>
      <c r="E3175" s="9" t="str">
        <f t="shared" ca="1" si="61"/>
        <v/>
      </c>
      <c r="F3175" s="4" t="s">
        <v>8</v>
      </c>
      <c r="G3175" s="2">
        <f>IF(ISNUMBER(SEARCH(Лист2!$B$4,F:F)),1,0)</f>
        <v>0</v>
      </c>
      <c r="H3175" s="3">
        <f ca="1">IF(AND(I3175&lt;&gt;I3174,ISNUMBER(SEARCH(Лист2!$B$5,I:I)),G3175=1),MAX($H$3:OFFSET(H3175,-1,0))+1,0)</f>
        <v>0</v>
      </c>
      <c r="I3175" s="3" t="s">
        <v>278</v>
      </c>
      <c r="K3175" s="2">
        <f>IF(ISNUMBER(SEARCH(Лист2!$B$4,F:F)),1,0)</f>
        <v>0</v>
      </c>
      <c r="L3175" s="14">
        <f>IF(ISNUMBER(SEARCH(Лист2!$B$5,I:I)),1,0)+K3175</f>
        <v>0</v>
      </c>
      <c r="M3175" s="3">
        <f ca="1">IF(AND(N3175&lt;&gt;N3174,ISNUMBER(SEARCH(Лист2!$B$6,N:N)),L3175=2),MAX($M$3:OFFSET(M3175,-1,0))+1,0)</f>
        <v>0</v>
      </c>
      <c r="N3175" s="3" t="s">
        <v>602</v>
      </c>
    </row>
    <row r="3176" spans="1:14" x14ac:dyDescent="0.25">
      <c r="A3176" s="1" t="s">
        <v>11986</v>
      </c>
      <c r="B3176" s="3" t="s">
        <v>6800</v>
      </c>
      <c r="C3176" s="2">
        <f ca="1">IF(ISNUMBER(SEARCH(Лист2!$B$4,D:D)),MAX($C$3:OFFSET(C3176,-1,0))+1,0)</f>
        <v>0</v>
      </c>
      <c r="E3176" s="9" t="str">
        <f t="shared" ca="1" si="61"/>
        <v/>
      </c>
      <c r="F3176" s="4" t="s">
        <v>8</v>
      </c>
      <c r="G3176" s="2">
        <f>IF(ISNUMBER(SEARCH(Лист2!$B$4,F:F)),1,0)</f>
        <v>0</v>
      </c>
      <c r="H3176" s="3">
        <f ca="1">IF(AND(I3176&lt;&gt;I3175,ISNUMBER(SEARCH(Лист2!$B$5,I:I)),G3176=1),MAX($H$3:OFFSET(H3176,-1,0))+1,0)</f>
        <v>0</v>
      </c>
      <c r="I3176" s="3" t="s">
        <v>278</v>
      </c>
      <c r="K3176" s="2">
        <f>IF(ISNUMBER(SEARCH(Лист2!$B$4,F:F)),1,0)</f>
        <v>0</v>
      </c>
      <c r="L3176" s="14">
        <f>IF(ISNUMBER(SEARCH(Лист2!$B$5,I:I)),1,0)+K3176</f>
        <v>0</v>
      </c>
      <c r="M3176" s="3">
        <f ca="1">IF(AND(N3176&lt;&gt;N3175,ISNUMBER(SEARCH(Лист2!$B$6,N:N)),L3176=2),MAX($M$3:OFFSET(M3176,-1,0))+1,0)</f>
        <v>0</v>
      </c>
      <c r="N3176" s="3" t="s">
        <v>2050</v>
      </c>
    </row>
    <row r="3177" spans="1:14" x14ac:dyDescent="0.25">
      <c r="A3177" s="1" t="s">
        <v>11987</v>
      </c>
      <c r="B3177" s="3" t="s">
        <v>6801</v>
      </c>
      <c r="C3177" s="2">
        <f ca="1">IF(ISNUMBER(SEARCH(Лист2!$B$4,D:D)),MAX($C$3:OFFSET(C3177,-1,0))+1,0)</f>
        <v>0</v>
      </c>
      <c r="E3177" s="9" t="str">
        <f t="shared" ca="1" si="61"/>
        <v/>
      </c>
      <c r="F3177" s="4" t="s">
        <v>8</v>
      </c>
      <c r="G3177" s="2">
        <f>IF(ISNUMBER(SEARCH(Лист2!$B$4,F:F)),1,0)</f>
        <v>0</v>
      </c>
      <c r="H3177" s="3">
        <f ca="1">IF(AND(I3177&lt;&gt;I3176,ISNUMBER(SEARCH(Лист2!$B$5,I:I)),G3177=1),MAX($H$3:OFFSET(H3177,-1,0))+1,0)</f>
        <v>0</v>
      </c>
      <c r="I3177" s="3" t="s">
        <v>278</v>
      </c>
      <c r="K3177" s="2">
        <f>IF(ISNUMBER(SEARCH(Лист2!$B$4,F:F)),1,0)</f>
        <v>0</v>
      </c>
      <c r="L3177" s="14">
        <f>IF(ISNUMBER(SEARCH(Лист2!$B$5,I:I)),1,0)+K3177</f>
        <v>0</v>
      </c>
      <c r="M3177" s="3">
        <f ca="1">IF(AND(N3177&lt;&gt;N3176,ISNUMBER(SEARCH(Лист2!$B$6,N:N)),L3177=2),MAX($M$3:OFFSET(M3177,-1,0))+1,0)</f>
        <v>0</v>
      </c>
      <c r="N3177" s="3" t="s">
        <v>2051</v>
      </c>
    </row>
    <row r="3178" spans="1:14" x14ac:dyDescent="0.25">
      <c r="A3178" s="1" t="s">
        <v>11988</v>
      </c>
      <c r="B3178" s="3" t="s">
        <v>6802</v>
      </c>
      <c r="C3178" s="2">
        <f ca="1">IF(ISNUMBER(SEARCH(Лист2!$B$4,D:D)),MAX($C$3:OFFSET(C3178,-1,0))+1,0)</f>
        <v>0</v>
      </c>
      <c r="E3178" s="9" t="str">
        <f t="shared" ca="1" si="61"/>
        <v/>
      </c>
      <c r="F3178" s="4" t="s">
        <v>8</v>
      </c>
      <c r="G3178" s="2">
        <f>IF(ISNUMBER(SEARCH(Лист2!$B$4,F:F)),1,0)</f>
        <v>0</v>
      </c>
      <c r="H3178" s="3">
        <f ca="1">IF(AND(I3178&lt;&gt;I3177,ISNUMBER(SEARCH(Лист2!$B$5,I:I)),G3178=1),MAX($H$3:OFFSET(H3178,-1,0))+1,0)</f>
        <v>0</v>
      </c>
      <c r="I3178" s="3" t="s">
        <v>278</v>
      </c>
      <c r="K3178" s="2">
        <f>IF(ISNUMBER(SEARCH(Лист2!$B$4,F:F)),1,0)</f>
        <v>0</v>
      </c>
      <c r="L3178" s="14">
        <f>IF(ISNUMBER(SEARCH(Лист2!$B$5,I:I)),1,0)+K3178</f>
        <v>0</v>
      </c>
      <c r="M3178" s="3">
        <f ca="1">IF(AND(N3178&lt;&gt;N3177,ISNUMBER(SEARCH(Лист2!$B$6,N:N)),L3178=2),MAX($M$3:OFFSET(M3178,-1,0))+1,0)</f>
        <v>0</v>
      </c>
      <c r="N3178" s="3" t="s">
        <v>2059</v>
      </c>
    </row>
    <row r="3179" spans="1:14" x14ac:dyDescent="0.25">
      <c r="A3179" s="1" t="s">
        <v>11989</v>
      </c>
      <c r="B3179" s="3" t="s">
        <v>6803</v>
      </c>
      <c r="C3179" s="2">
        <f ca="1">IF(ISNUMBER(SEARCH(Лист2!$B$4,D:D)),MAX($C$3:OFFSET(C3179,-1,0))+1,0)</f>
        <v>0</v>
      </c>
      <c r="E3179" s="9" t="str">
        <f t="shared" ca="1" si="61"/>
        <v/>
      </c>
      <c r="F3179" s="4" t="s">
        <v>8</v>
      </c>
      <c r="G3179" s="2">
        <f>IF(ISNUMBER(SEARCH(Лист2!$B$4,F:F)),1,0)</f>
        <v>0</v>
      </c>
      <c r="H3179" s="3">
        <f ca="1">IF(AND(I3179&lt;&gt;I3178,ISNUMBER(SEARCH(Лист2!$B$5,I:I)),G3179=1),MAX($H$3:OFFSET(H3179,-1,0))+1,0)</f>
        <v>0</v>
      </c>
      <c r="I3179" s="3" t="s">
        <v>278</v>
      </c>
      <c r="K3179" s="2">
        <f>IF(ISNUMBER(SEARCH(Лист2!$B$4,F:F)),1,0)</f>
        <v>0</v>
      </c>
      <c r="L3179" s="14">
        <f>IF(ISNUMBER(SEARCH(Лист2!$B$5,I:I)),1,0)+K3179</f>
        <v>0</v>
      </c>
      <c r="M3179" s="3">
        <f ca="1">IF(AND(N3179&lt;&gt;N3178,ISNUMBER(SEARCH(Лист2!$B$6,N:N)),L3179=2),MAX($M$3:OFFSET(M3179,-1,0))+1,0)</f>
        <v>0</v>
      </c>
      <c r="N3179" s="3" t="s">
        <v>2053</v>
      </c>
    </row>
    <row r="3180" spans="1:14" x14ac:dyDescent="0.25">
      <c r="A3180" s="1" t="s">
        <v>11990</v>
      </c>
      <c r="B3180" s="3" t="s">
        <v>6804</v>
      </c>
      <c r="C3180" s="2">
        <f ca="1">IF(ISNUMBER(SEARCH(Лист2!$B$4,D:D)),MAX($C$3:OFFSET(C3180,-1,0))+1,0)</f>
        <v>0</v>
      </c>
      <c r="E3180" s="9" t="str">
        <f t="shared" ca="1" si="61"/>
        <v/>
      </c>
      <c r="F3180" s="4" t="s">
        <v>8</v>
      </c>
      <c r="G3180" s="2">
        <f>IF(ISNUMBER(SEARCH(Лист2!$B$4,F:F)),1,0)</f>
        <v>0</v>
      </c>
      <c r="H3180" s="3">
        <f ca="1">IF(AND(I3180&lt;&gt;I3179,ISNUMBER(SEARCH(Лист2!$B$5,I:I)),G3180=1),MAX($H$3:OFFSET(H3180,-1,0))+1,0)</f>
        <v>0</v>
      </c>
      <c r="I3180" s="3" t="s">
        <v>278</v>
      </c>
      <c r="K3180" s="2">
        <f>IF(ISNUMBER(SEARCH(Лист2!$B$4,F:F)),1,0)</f>
        <v>0</v>
      </c>
      <c r="L3180" s="14">
        <f>IF(ISNUMBER(SEARCH(Лист2!$B$5,I:I)),1,0)+K3180</f>
        <v>0</v>
      </c>
      <c r="M3180" s="3">
        <f ca="1">IF(AND(N3180&lt;&gt;N3179,ISNUMBER(SEARCH(Лист2!$B$6,N:N)),L3180=2),MAX($M$3:OFFSET(M3180,-1,0))+1,0)</f>
        <v>0</v>
      </c>
      <c r="N3180" s="3" t="s">
        <v>2054</v>
      </c>
    </row>
    <row r="3181" spans="1:14" x14ac:dyDescent="0.25">
      <c r="A3181" s="1" t="s">
        <v>11991</v>
      </c>
      <c r="B3181" s="3" t="s">
        <v>6805</v>
      </c>
      <c r="C3181" s="2">
        <f ca="1">IF(ISNUMBER(SEARCH(Лист2!$B$4,D:D)),MAX($C$3:OFFSET(C3181,-1,0))+1,0)</f>
        <v>0</v>
      </c>
      <c r="E3181" s="9" t="str">
        <f t="shared" ca="1" si="61"/>
        <v/>
      </c>
      <c r="F3181" s="4" t="s">
        <v>8</v>
      </c>
      <c r="G3181" s="2">
        <f>IF(ISNUMBER(SEARCH(Лист2!$B$4,F:F)),1,0)</f>
        <v>0</v>
      </c>
      <c r="H3181" s="3">
        <f ca="1">IF(AND(I3181&lt;&gt;I3180,ISNUMBER(SEARCH(Лист2!$B$5,I:I)),G3181=1),MAX($H$3:OFFSET(H3181,-1,0))+1,0)</f>
        <v>0</v>
      </c>
      <c r="I3181" s="3" t="s">
        <v>278</v>
      </c>
      <c r="K3181" s="2">
        <f>IF(ISNUMBER(SEARCH(Лист2!$B$4,F:F)),1,0)</f>
        <v>0</v>
      </c>
      <c r="L3181" s="14">
        <f>IF(ISNUMBER(SEARCH(Лист2!$B$5,I:I)),1,0)+K3181</f>
        <v>0</v>
      </c>
      <c r="M3181" s="3">
        <f ca="1">IF(AND(N3181&lt;&gt;N3180,ISNUMBER(SEARCH(Лист2!$B$6,N:N)),L3181=2),MAX($M$3:OFFSET(M3181,-1,0))+1,0)</f>
        <v>0</v>
      </c>
      <c r="N3181" s="3" t="s">
        <v>2055</v>
      </c>
    </row>
    <row r="3182" spans="1:14" x14ac:dyDescent="0.25">
      <c r="A3182" s="1" t="s">
        <v>11992</v>
      </c>
      <c r="B3182" s="3" t="s">
        <v>6806</v>
      </c>
      <c r="C3182" s="2">
        <f ca="1">IF(ISNUMBER(SEARCH(Лист2!$B$4,D:D)),MAX($C$3:OFFSET(C3182,-1,0))+1,0)</f>
        <v>0</v>
      </c>
      <c r="E3182" s="9" t="str">
        <f t="shared" ca="1" si="61"/>
        <v/>
      </c>
      <c r="F3182" s="4" t="s">
        <v>8</v>
      </c>
      <c r="G3182" s="2">
        <f>IF(ISNUMBER(SEARCH(Лист2!$B$4,F:F)),1,0)</f>
        <v>0</v>
      </c>
      <c r="H3182" s="3">
        <f ca="1">IF(AND(I3182&lt;&gt;I3181,ISNUMBER(SEARCH(Лист2!$B$5,I:I)),G3182=1),MAX($H$3:OFFSET(H3182,-1,0))+1,0)</f>
        <v>0</v>
      </c>
      <c r="I3182" s="3" t="s">
        <v>278</v>
      </c>
      <c r="K3182" s="2">
        <f>IF(ISNUMBER(SEARCH(Лист2!$B$4,F:F)),1,0)</f>
        <v>0</v>
      </c>
      <c r="L3182" s="14">
        <f>IF(ISNUMBER(SEARCH(Лист2!$B$5,I:I)),1,0)+K3182</f>
        <v>0</v>
      </c>
      <c r="M3182" s="3">
        <f ca="1">IF(AND(N3182&lt;&gt;N3181,ISNUMBER(SEARCH(Лист2!$B$6,N:N)),L3182=2),MAX($M$3:OFFSET(M3182,-1,0))+1,0)</f>
        <v>0</v>
      </c>
      <c r="N3182" s="3" t="s">
        <v>2056</v>
      </c>
    </row>
    <row r="3183" spans="1:14" x14ac:dyDescent="0.25">
      <c r="A3183" s="1" t="s">
        <v>11993</v>
      </c>
      <c r="B3183" s="3" t="s">
        <v>6807</v>
      </c>
      <c r="C3183" s="2">
        <f ca="1">IF(ISNUMBER(SEARCH(Лист2!$B$4,D:D)),MAX($C$3:OFFSET(C3183,-1,0))+1,0)</f>
        <v>0</v>
      </c>
      <c r="E3183" s="9" t="str">
        <f t="shared" ca="1" si="61"/>
        <v/>
      </c>
      <c r="F3183" s="4" t="s">
        <v>8</v>
      </c>
      <c r="G3183" s="2">
        <f>IF(ISNUMBER(SEARCH(Лист2!$B$4,F:F)),1,0)</f>
        <v>0</v>
      </c>
      <c r="H3183" s="3">
        <f ca="1">IF(AND(I3183&lt;&gt;I3182,ISNUMBER(SEARCH(Лист2!$B$5,I:I)),G3183=1),MAX($H$3:OFFSET(H3183,-1,0))+1,0)</f>
        <v>0</v>
      </c>
      <c r="I3183" s="3" t="s">
        <v>278</v>
      </c>
      <c r="K3183" s="2">
        <f>IF(ISNUMBER(SEARCH(Лист2!$B$4,F:F)),1,0)</f>
        <v>0</v>
      </c>
      <c r="L3183" s="14">
        <f>IF(ISNUMBER(SEARCH(Лист2!$B$5,I:I)),1,0)+K3183</f>
        <v>0</v>
      </c>
      <c r="M3183" s="3">
        <f ca="1">IF(AND(N3183&lt;&gt;N3182,ISNUMBER(SEARCH(Лист2!$B$6,N:N)),L3183=2),MAX($M$3:OFFSET(M3183,-1,0))+1,0)</f>
        <v>0</v>
      </c>
      <c r="N3183" s="3" t="s">
        <v>2057</v>
      </c>
    </row>
    <row r="3184" spans="1:14" x14ac:dyDescent="0.25">
      <c r="A3184" s="1" t="s">
        <v>11994</v>
      </c>
      <c r="B3184" s="3" t="s">
        <v>6808</v>
      </c>
      <c r="C3184" s="2">
        <f ca="1">IF(ISNUMBER(SEARCH(Лист2!$B$4,D:D)),MAX($C$3:OFFSET(C3184,-1,0))+1,0)</f>
        <v>0</v>
      </c>
      <c r="E3184" s="9" t="str">
        <f t="shared" ca="1" si="61"/>
        <v/>
      </c>
      <c r="F3184" s="4" t="s">
        <v>8</v>
      </c>
      <c r="G3184" s="2">
        <f>IF(ISNUMBER(SEARCH(Лист2!$B$4,F:F)),1,0)</f>
        <v>0</v>
      </c>
      <c r="H3184" s="3">
        <f ca="1">IF(AND(I3184&lt;&gt;I3183,ISNUMBER(SEARCH(Лист2!$B$5,I:I)),G3184=1),MAX($H$3:OFFSET(H3184,-1,0))+1,0)</f>
        <v>0</v>
      </c>
      <c r="I3184" s="3" t="s">
        <v>278</v>
      </c>
      <c r="K3184" s="2">
        <f>IF(ISNUMBER(SEARCH(Лист2!$B$4,F:F)),1,0)</f>
        <v>0</v>
      </c>
      <c r="L3184" s="14">
        <f>IF(ISNUMBER(SEARCH(Лист2!$B$5,I:I)),1,0)+K3184</f>
        <v>0</v>
      </c>
      <c r="M3184" s="3">
        <f ca="1">IF(AND(N3184&lt;&gt;N3183,ISNUMBER(SEARCH(Лист2!$B$6,N:N)),L3184=2),MAX($M$3:OFFSET(M3184,-1,0))+1,0)</f>
        <v>0</v>
      </c>
      <c r="N3184" s="3" t="s">
        <v>2058</v>
      </c>
    </row>
    <row r="3185" spans="1:14" x14ac:dyDescent="0.25">
      <c r="A3185" s="1" t="s">
        <v>11995</v>
      </c>
      <c r="B3185" s="3" t="s">
        <v>6809</v>
      </c>
      <c r="C3185" s="2">
        <f ca="1">IF(ISNUMBER(SEARCH(Лист2!$B$4,D:D)),MAX($C$3:OFFSET(C3185,-1,0))+1,0)</f>
        <v>0</v>
      </c>
      <c r="E3185" s="9" t="str">
        <f t="shared" ca="1" si="61"/>
        <v/>
      </c>
      <c r="F3185" s="4" t="s">
        <v>8</v>
      </c>
      <c r="G3185" s="2">
        <f>IF(ISNUMBER(SEARCH(Лист2!$B$4,F:F)),1,0)</f>
        <v>0</v>
      </c>
      <c r="H3185" s="3">
        <f ca="1">IF(AND(I3185&lt;&gt;I3184,ISNUMBER(SEARCH(Лист2!$B$5,I:I)),G3185=1),MAX($H$3:OFFSET(H3185,-1,0))+1,0)</f>
        <v>0</v>
      </c>
      <c r="I3185" s="3" t="s">
        <v>278</v>
      </c>
      <c r="K3185" s="2">
        <f>IF(ISNUMBER(SEARCH(Лист2!$B$4,F:F)),1,0)</f>
        <v>0</v>
      </c>
      <c r="L3185" s="14">
        <f>IF(ISNUMBER(SEARCH(Лист2!$B$5,I:I)),1,0)+K3185</f>
        <v>0</v>
      </c>
      <c r="M3185" s="3">
        <f ca="1">IF(AND(N3185&lt;&gt;N3184,ISNUMBER(SEARCH(Лист2!$B$6,N:N)),L3185=2),MAX($M$3:OFFSET(M3185,-1,0))+1,0)</f>
        <v>0</v>
      </c>
      <c r="N3185" s="3" t="s">
        <v>2060</v>
      </c>
    </row>
    <row r="3186" spans="1:14" x14ac:dyDescent="0.25">
      <c r="A3186" s="1" t="s">
        <v>11996</v>
      </c>
      <c r="B3186" s="3" t="s">
        <v>6810</v>
      </c>
      <c r="C3186" s="2">
        <f ca="1">IF(ISNUMBER(SEARCH(Лист2!$B$4,D:D)),MAX($C$3:OFFSET(C3186,-1,0))+1,0)</f>
        <v>0</v>
      </c>
      <c r="E3186" s="9" t="str">
        <f t="shared" ca="1" si="61"/>
        <v/>
      </c>
      <c r="F3186" s="4" t="s">
        <v>8</v>
      </c>
      <c r="G3186" s="2">
        <f>IF(ISNUMBER(SEARCH(Лист2!$B$4,F:F)),1,0)</f>
        <v>0</v>
      </c>
      <c r="H3186" s="3">
        <f ca="1">IF(AND(I3186&lt;&gt;I3185,ISNUMBER(SEARCH(Лист2!$B$5,I:I)),G3186=1),MAX($H$3:OFFSET(H3186,-1,0))+1,0)</f>
        <v>0</v>
      </c>
      <c r="I3186" s="3" t="s">
        <v>279</v>
      </c>
      <c r="K3186" s="2">
        <f>IF(ISNUMBER(SEARCH(Лист2!$B$4,F:F)),1,0)</f>
        <v>0</v>
      </c>
      <c r="L3186" s="14">
        <f>IF(ISNUMBER(SEARCH(Лист2!$B$5,I:I)),1,0)+K3186</f>
        <v>0</v>
      </c>
      <c r="M3186" s="3">
        <f ca="1">IF(AND(N3186&lt;&gt;N3185,ISNUMBER(SEARCH(Лист2!$B$6,N:N)),L3186=2),MAX($M$3:OFFSET(M3186,-1,0))+1,0)</f>
        <v>0</v>
      </c>
      <c r="N3186" s="3" t="s">
        <v>1993</v>
      </c>
    </row>
    <row r="3187" spans="1:14" x14ac:dyDescent="0.25">
      <c r="A3187" s="1" t="s">
        <v>11997</v>
      </c>
      <c r="B3187" s="3" t="s">
        <v>6811</v>
      </c>
      <c r="C3187" s="2">
        <f ca="1">IF(ISNUMBER(SEARCH(Лист2!$B$4,D:D)),MAX($C$3:OFFSET(C3187,-1,0))+1,0)</f>
        <v>0</v>
      </c>
      <c r="E3187" s="9" t="str">
        <f t="shared" ca="1" si="61"/>
        <v/>
      </c>
      <c r="F3187" s="4" t="s">
        <v>8</v>
      </c>
      <c r="G3187" s="2">
        <f>IF(ISNUMBER(SEARCH(Лист2!$B$4,F:F)),1,0)</f>
        <v>0</v>
      </c>
      <c r="H3187" s="3">
        <f ca="1">IF(AND(I3187&lt;&gt;I3186,ISNUMBER(SEARCH(Лист2!$B$5,I:I)),G3187=1),MAX($H$3:OFFSET(H3187,-1,0))+1,0)</f>
        <v>0</v>
      </c>
      <c r="I3187" s="3" t="s">
        <v>279</v>
      </c>
      <c r="K3187" s="2">
        <f>IF(ISNUMBER(SEARCH(Лист2!$B$4,F:F)),1,0)</f>
        <v>0</v>
      </c>
      <c r="L3187" s="14">
        <f>IF(ISNUMBER(SEARCH(Лист2!$B$5,I:I)),1,0)+K3187</f>
        <v>0</v>
      </c>
      <c r="M3187" s="3">
        <f ca="1">IF(AND(N3187&lt;&gt;N3186,ISNUMBER(SEARCH(Лист2!$B$6,N:N)),L3187=2),MAX($M$3:OFFSET(M3187,-1,0))+1,0)</f>
        <v>0</v>
      </c>
      <c r="N3187" s="3" t="s">
        <v>1994</v>
      </c>
    </row>
    <row r="3188" spans="1:14" x14ac:dyDescent="0.25">
      <c r="A3188" s="1" t="s">
        <v>11998</v>
      </c>
      <c r="B3188" s="3" t="s">
        <v>6812</v>
      </c>
      <c r="C3188" s="2">
        <f ca="1">IF(ISNUMBER(SEARCH(Лист2!$B$4,D:D)),MAX($C$3:OFFSET(C3188,-1,0))+1,0)</f>
        <v>0</v>
      </c>
      <c r="E3188" s="9" t="str">
        <f t="shared" ca="1" si="61"/>
        <v/>
      </c>
      <c r="F3188" s="4" t="s">
        <v>8</v>
      </c>
      <c r="G3188" s="2">
        <f>IF(ISNUMBER(SEARCH(Лист2!$B$4,F:F)),1,0)</f>
        <v>0</v>
      </c>
      <c r="H3188" s="3">
        <f ca="1">IF(AND(I3188&lt;&gt;I3187,ISNUMBER(SEARCH(Лист2!$B$5,I:I)),G3188=1),MAX($H$3:OFFSET(H3188,-1,0))+1,0)</f>
        <v>0</v>
      </c>
      <c r="I3188" s="3" t="s">
        <v>279</v>
      </c>
      <c r="K3188" s="2">
        <f>IF(ISNUMBER(SEARCH(Лист2!$B$4,F:F)),1,0)</f>
        <v>0</v>
      </c>
      <c r="L3188" s="14">
        <f>IF(ISNUMBER(SEARCH(Лист2!$B$5,I:I)),1,0)+K3188</f>
        <v>0</v>
      </c>
      <c r="M3188" s="3">
        <f ca="1">IF(AND(N3188&lt;&gt;N3187,ISNUMBER(SEARCH(Лист2!$B$6,N:N)),L3188=2),MAX($M$3:OFFSET(M3188,-1,0))+1,0)</f>
        <v>0</v>
      </c>
      <c r="N3188" s="3" t="s">
        <v>1995</v>
      </c>
    </row>
    <row r="3189" spans="1:14" x14ac:dyDescent="0.25">
      <c r="A3189" s="1" t="s">
        <v>11999</v>
      </c>
      <c r="B3189" s="3" t="s">
        <v>6813</v>
      </c>
      <c r="C3189" s="2">
        <f ca="1">IF(ISNUMBER(SEARCH(Лист2!$B$4,D:D)),MAX($C$3:OFFSET(C3189,-1,0))+1,0)</f>
        <v>0</v>
      </c>
      <c r="E3189" s="9" t="str">
        <f t="shared" ca="1" si="61"/>
        <v/>
      </c>
      <c r="F3189" s="4" t="s">
        <v>8</v>
      </c>
      <c r="G3189" s="2">
        <f>IF(ISNUMBER(SEARCH(Лист2!$B$4,F:F)),1,0)</f>
        <v>0</v>
      </c>
      <c r="H3189" s="3">
        <f ca="1">IF(AND(I3189&lt;&gt;I3188,ISNUMBER(SEARCH(Лист2!$B$5,I:I)),G3189=1),MAX($H$3:OFFSET(H3189,-1,0))+1,0)</f>
        <v>0</v>
      </c>
      <c r="I3189" s="3" t="s">
        <v>279</v>
      </c>
      <c r="K3189" s="2">
        <f>IF(ISNUMBER(SEARCH(Лист2!$B$4,F:F)),1,0)</f>
        <v>0</v>
      </c>
      <c r="L3189" s="14">
        <f>IF(ISNUMBER(SEARCH(Лист2!$B$5,I:I)),1,0)+K3189</f>
        <v>0</v>
      </c>
      <c r="M3189" s="3">
        <f ca="1">IF(AND(N3189&lt;&gt;N3188,ISNUMBER(SEARCH(Лист2!$B$6,N:N)),L3189=2),MAX($M$3:OFFSET(M3189,-1,0))+1,0)</f>
        <v>0</v>
      </c>
      <c r="N3189" s="3" t="s">
        <v>2061</v>
      </c>
    </row>
    <row r="3190" spans="1:14" x14ac:dyDescent="0.25">
      <c r="A3190" s="1" t="s">
        <v>12000</v>
      </c>
      <c r="B3190" s="3" t="s">
        <v>6814</v>
      </c>
      <c r="C3190" s="2">
        <f ca="1">IF(ISNUMBER(SEARCH(Лист2!$B$4,D:D)),MAX($C$3:OFFSET(C3190,-1,0))+1,0)</f>
        <v>0</v>
      </c>
      <c r="E3190" s="9" t="str">
        <f t="shared" ca="1" si="61"/>
        <v/>
      </c>
      <c r="F3190" s="4" t="s">
        <v>8</v>
      </c>
      <c r="G3190" s="2">
        <f>IF(ISNUMBER(SEARCH(Лист2!$B$4,F:F)),1,0)</f>
        <v>0</v>
      </c>
      <c r="H3190" s="3">
        <f ca="1">IF(AND(I3190&lt;&gt;I3189,ISNUMBER(SEARCH(Лист2!$B$5,I:I)),G3190=1),MAX($H$3:OFFSET(H3190,-1,0))+1,0)</f>
        <v>0</v>
      </c>
      <c r="I3190" s="3" t="s">
        <v>279</v>
      </c>
      <c r="K3190" s="2">
        <f>IF(ISNUMBER(SEARCH(Лист2!$B$4,F:F)),1,0)</f>
        <v>0</v>
      </c>
      <c r="L3190" s="14">
        <f>IF(ISNUMBER(SEARCH(Лист2!$B$5,I:I)),1,0)+K3190</f>
        <v>0</v>
      </c>
      <c r="M3190" s="3">
        <f ca="1">IF(AND(N3190&lt;&gt;N3189,ISNUMBER(SEARCH(Лист2!$B$6,N:N)),L3190=2),MAX($M$3:OFFSET(M3190,-1,0))+1,0)</f>
        <v>0</v>
      </c>
      <c r="N3190" s="3" t="s">
        <v>1997</v>
      </c>
    </row>
    <row r="3191" spans="1:14" x14ac:dyDescent="0.25">
      <c r="A3191" s="1" t="s">
        <v>12001</v>
      </c>
      <c r="B3191" s="3" t="s">
        <v>6815</v>
      </c>
      <c r="C3191" s="2">
        <f ca="1">IF(ISNUMBER(SEARCH(Лист2!$B$4,D:D)),MAX($C$3:OFFSET(C3191,-1,0))+1,0)</f>
        <v>0</v>
      </c>
      <c r="E3191" s="9" t="str">
        <f t="shared" ca="1" si="61"/>
        <v/>
      </c>
      <c r="F3191" s="4" t="s">
        <v>8</v>
      </c>
      <c r="G3191" s="2">
        <f>IF(ISNUMBER(SEARCH(Лист2!$B$4,F:F)),1,0)</f>
        <v>0</v>
      </c>
      <c r="H3191" s="3">
        <f ca="1">IF(AND(I3191&lt;&gt;I3190,ISNUMBER(SEARCH(Лист2!$B$5,I:I)),G3191=1),MAX($H$3:OFFSET(H3191,-1,0))+1,0)</f>
        <v>0</v>
      </c>
      <c r="I3191" s="3" t="s">
        <v>279</v>
      </c>
      <c r="K3191" s="2">
        <f>IF(ISNUMBER(SEARCH(Лист2!$B$4,F:F)),1,0)</f>
        <v>0</v>
      </c>
      <c r="L3191" s="14">
        <f>IF(ISNUMBER(SEARCH(Лист2!$B$5,I:I)),1,0)+K3191</f>
        <v>0</v>
      </c>
      <c r="M3191" s="3">
        <f ca="1">IF(AND(N3191&lt;&gt;N3190,ISNUMBER(SEARCH(Лист2!$B$6,N:N)),L3191=2),MAX($M$3:OFFSET(M3191,-1,0))+1,0)</f>
        <v>0</v>
      </c>
      <c r="N3191" s="3" t="s">
        <v>1385</v>
      </c>
    </row>
    <row r="3192" spans="1:14" x14ac:dyDescent="0.25">
      <c r="A3192" s="1" t="s">
        <v>12002</v>
      </c>
      <c r="B3192" s="3" t="s">
        <v>6816</v>
      </c>
      <c r="C3192" s="2">
        <f ca="1">IF(ISNUMBER(SEARCH(Лист2!$B$4,D:D)),MAX($C$3:OFFSET(C3192,-1,0))+1,0)</f>
        <v>0</v>
      </c>
      <c r="E3192" s="9" t="str">
        <f t="shared" ca="1" si="61"/>
        <v/>
      </c>
      <c r="F3192" s="4" t="s">
        <v>8</v>
      </c>
      <c r="G3192" s="2">
        <f>IF(ISNUMBER(SEARCH(Лист2!$B$4,F:F)),1,0)</f>
        <v>0</v>
      </c>
      <c r="H3192" s="3">
        <f ca="1">IF(AND(I3192&lt;&gt;I3191,ISNUMBER(SEARCH(Лист2!$B$5,I:I)),G3192=1),MAX($H$3:OFFSET(H3192,-1,0))+1,0)</f>
        <v>0</v>
      </c>
      <c r="I3192" s="3" t="s">
        <v>279</v>
      </c>
      <c r="K3192" s="2">
        <f>IF(ISNUMBER(SEARCH(Лист2!$B$4,F:F)),1,0)</f>
        <v>0</v>
      </c>
      <c r="L3192" s="14">
        <f>IF(ISNUMBER(SEARCH(Лист2!$B$5,I:I)),1,0)+K3192</f>
        <v>0</v>
      </c>
      <c r="M3192" s="3">
        <f ca="1">IF(AND(N3192&lt;&gt;N3191,ISNUMBER(SEARCH(Лист2!$B$6,N:N)),L3192=2),MAX($M$3:OFFSET(M3192,-1,0))+1,0)</f>
        <v>0</v>
      </c>
      <c r="N3192" s="3" t="s">
        <v>602</v>
      </c>
    </row>
    <row r="3193" spans="1:14" x14ac:dyDescent="0.25">
      <c r="A3193" s="1" t="s">
        <v>12003</v>
      </c>
      <c r="B3193" s="3" t="s">
        <v>6817</v>
      </c>
      <c r="C3193" s="2">
        <f ca="1">IF(ISNUMBER(SEARCH(Лист2!$B$4,D:D)),MAX($C$3:OFFSET(C3193,-1,0))+1,0)</f>
        <v>0</v>
      </c>
      <c r="E3193" s="9" t="str">
        <f t="shared" ca="1" si="61"/>
        <v/>
      </c>
      <c r="F3193" s="4" t="s">
        <v>8</v>
      </c>
      <c r="G3193" s="2">
        <f>IF(ISNUMBER(SEARCH(Лист2!$B$4,F:F)),1,0)</f>
        <v>0</v>
      </c>
      <c r="H3193" s="3">
        <f ca="1">IF(AND(I3193&lt;&gt;I3192,ISNUMBER(SEARCH(Лист2!$B$5,I:I)),G3193=1),MAX($H$3:OFFSET(H3193,-1,0))+1,0)</f>
        <v>0</v>
      </c>
      <c r="I3193" s="3" t="s">
        <v>279</v>
      </c>
      <c r="K3193" s="2">
        <f>IF(ISNUMBER(SEARCH(Лист2!$B$4,F:F)),1,0)</f>
        <v>0</v>
      </c>
      <c r="L3193" s="14">
        <f>IF(ISNUMBER(SEARCH(Лист2!$B$5,I:I)),1,0)+K3193</f>
        <v>0</v>
      </c>
      <c r="M3193" s="3">
        <f ca="1">IF(AND(N3193&lt;&gt;N3192,ISNUMBER(SEARCH(Лист2!$B$6,N:N)),L3193=2),MAX($M$3:OFFSET(M3193,-1,0))+1,0)</f>
        <v>0</v>
      </c>
      <c r="N3193" s="3" t="s">
        <v>2009</v>
      </c>
    </row>
    <row r="3194" spans="1:14" x14ac:dyDescent="0.25">
      <c r="A3194" s="1" t="s">
        <v>12004</v>
      </c>
      <c r="B3194" s="3" t="s">
        <v>6818</v>
      </c>
      <c r="C3194" s="2">
        <f ca="1">IF(ISNUMBER(SEARCH(Лист2!$B$4,D:D)),MAX($C$3:OFFSET(C3194,-1,0))+1,0)</f>
        <v>0</v>
      </c>
      <c r="E3194" s="9" t="str">
        <f t="shared" ca="1" si="61"/>
        <v/>
      </c>
      <c r="F3194" s="4" t="s">
        <v>8</v>
      </c>
      <c r="G3194" s="2">
        <f>IF(ISNUMBER(SEARCH(Лист2!$B$4,F:F)),1,0)</f>
        <v>0</v>
      </c>
      <c r="H3194" s="3">
        <f ca="1">IF(AND(I3194&lt;&gt;I3193,ISNUMBER(SEARCH(Лист2!$B$5,I:I)),G3194=1),MAX($H$3:OFFSET(H3194,-1,0))+1,0)</f>
        <v>0</v>
      </c>
      <c r="I3194" s="3" t="s">
        <v>279</v>
      </c>
      <c r="K3194" s="2">
        <f>IF(ISNUMBER(SEARCH(Лист2!$B$4,F:F)),1,0)</f>
        <v>0</v>
      </c>
      <c r="L3194" s="14">
        <f>IF(ISNUMBER(SEARCH(Лист2!$B$5,I:I)),1,0)+K3194</f>
        <v>0</v>
      </c>
      <c r="M3194" s="3">
        <f ca="1">IF(AND(N3194&lt;&gt;N3193,ISNUMBER(SEARCH(Лист2!$B$6,N:N)),L3194=2),MAX($M$3:OFFSET(M3194,-1,0))+1,0)</f>
        <v>0</v>
      </c>
      <c r="N3194" s="3" t="s">
        <v>1999</v>
      </c>
    </row>
    <row r="3195" spans="1:14" x14ac:dyDescent="0.25">
      <c r="A3195" s="1" t="s">
        <v>12005</v>
      </c>
      <c r="B3195" s="3" t="s">
        <v>6819</v>
      </c>
      <c r="C3195" s="2">
        <f ca="1">IF(ISNUMBER(SEARCH(Лист2!$B$4,D:D)),MAX($C$3:OFFSET(C3195,-1,0))+1,0)</f>
        <v>0</v>
      </c>
      <c r="E3195" s="9" t="str">
        <f t="shared" ca="1" si="61"/>
        <v/>
      </c>
      <c r="F3195" s="4" t="s">
        <v>8</v>
      </c>
      <c r="G3195" s="2">
        <f>IF(ISNUMBER(SEARCH(Лист2!$B$4,F:F)),1,0)</f>
        <v>0</v>
      </c>
      <c r="H3195" s="3">
        <f ca="1">IF(AND(I3195&lt;&gt;I3194,ISNUMBER(SEARCH(Лист2!$B$5,I:I)),G3195=1),MAX($H$3:OFFSET(H3195,-1,0))+1,0)</f>
        <v>0</v>
      </c>
      <c r="I3195" s="3" t="s">
        <v>279</v>
      </c>
      <c r="K3195" s="2">
        <f>IF(ISNUMBER(SEARCH(Лист2!$B$4,F:F)),1,0)</f>
        <v>0</v>
      </c>
      <c r="L3195" s="14">
        <f>IF(ISNUMBER(SEARCH(Лист2!$B$5,I:I)),1,0)+K3195</f>
        <v>0</v>
      </c>
      <c r="M3195" s="3">
        <f ca="1">IF(AND(N3195&lt;&gt;N3194,ISNUMBER(SEARCH(Лист2!$B$6,N:N)),L3195=2),MAX($M$3:OFFSET(M3195,-1,0))+1,0)</f>
        <v>0</v>
      </c>
      <c r="N3195" s="3" t="s">
        <v>2000</v>
      </c>
    </row>
    <row r="3196" spans="1:14" x14ac:dyDescent="0.25">
      <c r="A3196" s="1" t="s">
        <v>12006</v>
      </c>
      <c r="B3196" s="3" t="s">
        <v>6820</v>
      </c>
      <c r="C3196" s="2">
        <f ca="1">IF(ISNUMBER(SEARCH(Лист2!$B$4,D:D)),MAX($C$3:OFFSET(C3196,-1,0))+1,0)</f>
        <v>0</v>
      </c>
      <c r="E3196" s="9" t="str">
        <f t="shared" ca="1" si="61"/>
        <v/>
      </c>
      <c r="F3196" s="4" t="s">
        <v>8</v>
      </c>
      <c r="G3196" s="2">
        <f>IF(ISNUMBER(SEARCH(Лист2!$B$4,F:F)),1,0)</f>
        <v>0</v>
      </c>
      <c r="H3196" s="3">
        <f ca="1">IF(AND(I3196&lt;&gt;I3195,ISNUMBER(SEARCH(Лист2!$B$5,I:I)),G3196=1),MAX($H$3:OFFSET(H3196,-1,0))+1,0)</f>
        <v>0</v>
      </c>
      <c r="I3196" s="3" t="s">
        <v>279</v>
      </c>
      <c r="K3196" s="2">
        <f>IF(ISNUMBER(SEARCH(Лист2!$B$4,F:F)),1,0)</f>
        <v>0</v>
      </c>
      <c r="L3196" s="14">
        <f>IF(ISNUMBER(SEARCH(Лист2!$B$5,I:I)),1,0)+K3196</f>
        <v>0</v>
      </c>
      <c r="M3196" s="3">
        <f ca="1">IF(AND(N3196&lt;&gt;N3195,ISNUMBER(SEARCH(Лист2!$B$6,N:N)),L3196=2),MAX($M$3:OFFSET(M3196,-1,0))+1,0)</f>
        <v>0</v>
      </c>
      <c r="N3196" s="3" t="s">
        <v>2001</v>
      </c>
    </row>
    <row r="3197" spans="1:14" x14ac:dyDescent="0.25">
      <c r="A3197" s="1" t="s">
        <v>12007</v>
      </c>
      <c r="B3197" s="3" t="s">
        <v>6821</v>
      </c>
      <c r="C3197" s="2">
        <f ca="1">IF(ISNUMBER(SEARCH(Лист2!$B$4,D:D)),MAX($C$3:OFFSET(C3197,-1,0))+1,0)</f>
        <v>0</v>
      </c>
      <c r="E3197" s="9" t="str">
        <f t="shared" ca="1" si="61"/>
        <v/>
      </c>
      <c r="F3197" s="4" t="s">
        <v>8</v>
      </c>
      <c r="G3197" s="2">
        <f>IF(ISNUMBER(SEARCH(Лист2!$B$4,F:F)),1,0)</f>
        <v>0</v>
      </c>
      <c r="H3197" s="3">
        <f ca="1">IF(AND(I3197&lt;&gt;I3196,ISNUMBER(SEARCH(Лист2!$B$5,I:I)),G3197=1),MAX($H$3:OFFSET(H3197,-1,0))+1,0)</f>
        <v>0</v>
      </c>
      <c r="I3197" s="3" t="s">
        <v>279</v>
      </c>
      <c r="K3197" s="2">
        <f>IF(ISNUMBER(SEARCH(Лист2!$B$4,F:F)),1,0)</f>
        <v>0</v>
      </c>
      <c r="L3197" s="14">
        <f>IF(ISNUMBER(SEARCH(Лист2!$B$5,I:I)),1,0)+K3197</f>
        <v>0</v>
      </c>
      <c r="M3197" s="3">
        <f ca="1">IF(AND(N3197&lt;&gt;N3196,ISNUMBER(SEARCH(Лист2!$B$6,N:N)),L3197=2),MAX($M$3:OFFSET(M3197,-1,0))+1,0)</f>
        <v>0</v>
      </c>
      <c r="N3197" s="3" t="s">
        <v>2002</v>
      </c>
    </row>
    <row r="3198" spans="1:14" x14ac:dyDescent="0.25">
      <c r="A3198" s="1" t="s">
        <v>12008</v>
      </c>
      <c r="B3198" s="3" t="s">
        <v>6822</v>
      </c>
      <c r="C3198" s="2">
        <f ca="1">IF(ISNUMBER(SEARCH(Лист2!$B$4,D:D)),MAX($C$3:OFFSET(C3198,-1,0))+1,0)</f>
        <v>0</v>
      </c>
      <c r="E3198" s="9" t="str">
        <f t="shared" ca="1" si="61"/>
        <v/>
      </c>
      <c r="F3198" s="4" t="s">
        <v>8</v>
      </c>
      <c r="G3198" s="2">
        <f>IF(ISNUMBER(SEARCH(Лист2!$B$4,F:F)),1,0)</f>
        <v>0</v>
      </c>
      <c r="H3198" s="3">
        <f ca="1">IF(AND(I3198&lt;&gt;I3197,ISNUMBER(SEARCH(Лист2!$B$5,I:I)),G3198=1),MAX($H$3:OFFSET(H3198,-1,0))+1,0)</f>
        <v>0</v>
      </c>
      <c r="I3198" s="3" t="s">
        <v>279</v>
      </c>
      <c r="K3198" s="2">
        <f>IF(ISNUMBER(SEARCH(Лист2!$B$4,F:F)),1,0)</f>
        <v>0</v>
      </c>
      <c r="L3198" s="14">
        <f>IF(ISNUMBER(SEARCH(Лист2!$B$5,I:I)),1,0)+K3198</f>
        <v>0</v>
      </c>
      <c r="M3198" s="3">
        <f ca="1">IF(AND(N3198&lt;&gt;N3197,ISNUMBER(SEARCH(Лист2!$B$6,N:N)),L3198=2),MAX($M$3:OFFSET(M3198,-1,0))+1,0)</f>
        <v>0</v>
      </c>
      <c r="N3198" s="3" t="s">
        <v>2062</v>
      </c>
    </row>
    <row r="3199" spans="1:14" x14ac:dyDescent="0.25">
      <c r="A3199" s="1" t="s">
        <v>12009</v>
      </c>
      <c r="B3199" s="3" t="s">
        <v>6823</v>
      </c>
      <c r="C3199" s="2">
        <f ca="1">IF(ISNUMBER(SEARCH(Лист2!$B$4,D:D)),MAX($C$3:OFFSET(C3199,-1,0))+1,0)</f>
        <v>0</v>
      </c>
      <c r="E3199" s="9" t="str">
        <f t="shared" ca="1" si="61"/>
        <v/>
      </c>
      <c r="F3199" s="4" t="s">
        <v>8</v>
      </c>
      <c r="G3199" s="2">
        <f>IF(ISNUMBER(SEARCH(Лист2!$B$4,F:F)),1,0)</f>
        <v>0</v>
      </c>
      <c r="H3199" s="3">
        <f ca="1">IF(AND(I3199&lt;&gt;I3198,ISNUMBER(SEARCH(Лист2!$B$5,I:I)),G3199=1),MAX($H$3:OFFSET(H3199,-1,0))+1,0)</f>
        <v>0</v>
      </c>
      <c r="I3199" s="3" t="s">
        <v>279</v>
      </c>
      <c r="K3199" s="2">
        <f>IF(ISNUMBER(SEARCH(Лист2!$B$4,F:F)),1,0)</f>
        <v>0</v>
      </c>
      <c r="L3199" s="14">
        <f>IF(ISNUMBER(SEARCH(Лист2!$B$5,I:I)),1,0)+K3199</f>
        <v>0</v>
      </c>
      <c r="M3199" s="3">
        <f ca="1">IF(AND(N3199&lt;&gt;N3198,ISNUMBER(SEARCH(Лист2!$B$6,N:N)),L3199=2),MAX($M$3:OFFSET(M3199,-1,0))+1,0)</f>
        <v>0</v>
      </c>
      <c r="N3199" s="3" t="s">
        <v>2063</v>
      </c>
    </row>
    <row r="3200" spans="1:14" x14ac:dyDescent="0.25">
      <c r="A3200" s="1" t="s">
        <v>12010</v>
      </c>
      <c r="B3200" s="3" t="s">
        <v>6824</v>
      </c>
      <c r="C3200" s="2">
        <f ca="1">IF(ISNUMBER(SEARCH(Лист2!$B$4,D:D)),MAX($C$3:OFFSET(C3200,-1,0))+1,0)</f>
        <v>0</v>
      </c>
      <c r="E3200" s="9" t="str">
        <f t="shared" ca="1" si="61"/>
        <v/>
      </c>
      <c r="F3200" s="4" t="s">
        <v>8</v>
      </c>
      <c r="G3200" s="2">
        <f>IF(ISNUMBER(SEARCH(Лист2!$B$4,F:F)),1,0)</f>
        <v>0</v>
      </c>
      <c r="H3200" s="3">
        <f ca="1">IF(AND(I3200&lt;&gt;I3199,ISNUMBER(SEARCH(Лист2!$B$5,I:I)),G3200=1),MAX($H$3:OFFSET(H3200,-1,0))+1,0)</f>
        <v>0</v>
      </c>
      <c r="I3200" s="3" t="s">
        <v>279</v>
      </c>
      <c r="K3200" s="2">
        <f>IF(ISNUMBER(SEARCH(Лист2!$B$4,F:F)),1,0)</f>
        <v>0</v>
      </c>
      <c r="L3200" s="14">
        <f>IF(ISNUMBER(SEARCH(Лист2!$B$5,I:I)),1,0)+K3200</f>
        <v>0</v>
      </c>
      <c r="M3200" s="3">
        <f ca="1">IF(AND(N3200&lt;&gt;N3199,ISNUMBER(SEARCH(Лист2!$B$6,N:N)),L3200=2),MAX($M$3:OFFSET(M3200,-1,0))+1,0)</f>
        <v>0</v>
      </c>
      <c r="N3200" s="3" t="s">
        <v>2064</v>
      </c>
    </row>
    <row r="3201" spans="1:14" x14ac:dyDescent="0.25">
      <c r="A3201" s="1" t="s">
        <v>12011</v>
      </c>
      <c r="B3201" s="3" t="s">
        <v>6825</v>
      </c>
      <c r="C3201" s="2">
        <f ca="1">IF(ISNUMBER(SEARCH(Лист2!$B$4,D:D)),MAX($C$3:OFFSET(C3201,-1,0))+1,0)</f>
        <v>0</v>
      </c>
      <c r="E3201" s="9" t="str">
        <f t="shared" ca="1" si="61"/>
        <v/>
      </c>
      <c r="F3201" s="4" t="s">
        <v>8</v>
      </c>
      <c r="G3201" s="2">
        <f>IF(ISNUMBER(SEARCH(Лист2!$B$4,F:F)),1,0)</f>
        <v>0</v>
      </c>
      <c r="H3201" s="3">
        <f ca="1">IF(AND(I3201&lt;&gt;I3200,ISNUMBER(SEARCH(Лист2!$B$5,I:I)),G3201=1),MAX($H$3:OFFSET(H3201,-1,0))+1,0)</f>
        <v>0</v>
      </c>
      <c r="I3201" s="3" t="s">
        <v>279</v>
      </c>
      <c r="K3201" s="2">
        <f>IF(ISNUMBER(SEARCH(Лист2!$B$4,F:F)),1,0)</f>
        <v>0</v>
      </c>
      <c r="L3201" s="14">
        <f>IF(ISNUMBER(SEARCH(Лист2!$B$5,I:I)),1,0)+K3201</f>
        <v>0</v>
      </c>
      <c r="M3201" s="3">
        <f ca="1">IF(AND(N3201&lt;&gt;N3200,ISNUMBER(SEARCH(Лист2!$B$6,N:N)),L3201=2),MAX($M$3:OFFSET(M3201,-1,0))+1,0)</f>
        <v>0</v>
      </c>
      <c r="N3201" s="3" t="s">
        <v>2065</v>
      </c>
    </row>
    <row r="3202" spans="1:14" x14ac:dyDescent="0.25">
      <c r="A3202" s="1" t="s">
        <v>12012</v>
      </c>
      <c r="B3202" s="3" t="s">
        <v>6826</v>
      </c>
      <c r="C3202" s="2">
        <f ca="1">IF(ISNUMBER(SEARCH(Лист2!$B$4,D:D)),MAX($C$3:OFFSET(C3202,-1,0))+1,0)</f>
        <v>0</v>
      </c>
      <c r="E3202" s="9" t="str">
        <f t="shared" ca="1" si="61"/>
        <v/>
      </c>
      <c r="F3202" s="4" t="s">
        <v>8</v>
      </c>
      <c r="G3202" s="2">
        <f>IF(ISNUMBER(SEARCH(Лист2!$B$4,F:F)),1,0)</f>
        <v>0</v>
      </c>
      <c r="H3202" s="3">
        <f ca="1">IF(AND(I3202&lt;&gt;I3201,ISNUMBER(SEARCH(Лист2!$B$5,I:I)),G3202=1),MAX($H$3:OFFSET(H3202,-1,0))+1,0)</f>
        <v>0</v>
      </c>
      <c r="I3202" s="3" t="s">
        <v>280</v>
      </c>
      <c r="K3202" s="2">
        <f>IF(ISNUMBER(SEARCH(Лист2!$B$4,F:F)),1,0)</f>
        <v>0</v>
      </c>
      <c r="L3202" s="14">
        <f>IF(ISNUMBER(SEARCH(Лист2!$B$5,I:I)),1,0)+K3202</f>
        <v>0</v>
      </c>
      <c r="M3202" s="3">
        <f ca="1">IF(AND(N3202&lt;&gt;N3201,ISNUMBER(SEARCH(Лист2!$B$6,N:N)),L3202=2),MAX($M$3:OFFSET(M3202,-1,0))+1,0)</f>
        <v>0</v>
      </c>
      <c r="N3202" s="3" t="s">
        <v>1993</v>
      </c>
    </row>
    <row r="3203" spans="1:14" x14ac:dyDescent="0.25">
      <c r="A3203" s="1" t="s">
        <v>12012</v>
      </c>
      <c r="B3203" s="3" t="s">
        <v>6827</v>
      </c>
      <c r="C3203" s="2">
        <f ca="1">IF(ISNUMBER(SEARCH(Лист2!$B$4,D:D)),MAX($C$3:OFFSET(C3203,-1,0))+1,0)</f>
        <v>0</v>
      </c>
      <c r="E3203" s="9" t="str">
        <f t="shared" ca="1" si="61"/>
        <v/>
      </c>
      <c r="F3203" s="4" t="s">
        <v>8</v>
      </c>
      <c r="G3203" s="2">
        <f>IF(ISNUMBER(SEARCH(Лист2!$B$4,F:F)),1,0)</f>
        <v>0</v>
      </c>
      <c r="H3203" s="3">
        <f ca="1">IF(AND(I3203&lt;&gt;I3202,ISNUMBER(SEARCH(Лист2!$B$5,I:I)),G3203=1),MAX($H$3:OFFSET(H3203,-1,0))+1,0)</f>
        <v>0</v>
      </c>
      <c r="I3203" s="3" t="s">
        <v>280</v>
      </c>
      <c r="K3203" s="2">
        <f>IF(ISNUMBER(SEARCH(Лист2!$B$4,F:F)),1,0)</f>
        <v>0</v>
      </c>
      <c r="L3203" s="14">
        <f>IF(ISNUMBER(SEARCH(Лист2!$B$5,I:I)),1,0)+K3203</f>
        <v>0</v>
      </c>
      <c r="M3203" s="3">
        <f ca="1">IF(AND(N3203&lt;&gt;N3202,ISNUMBER(SEARCH(Лист2!$B$6,N:N)),L3203=2),MAX($M$3:OFFSET(M3203,-1,0))+1,0)</f>
        <v>0</v>
      </c>
      <c r="N3203" s="3" t="s">
        <v>1993</v>
      </c>
    </row>
    <row r="3204" spans="1:14" x14ac:dyDescent="0.25">
      <c r="A3204" s="1" t="s">
        <v>12012</v>
      </c>
      <c r="B3204" s="3" t="s">
        <v>6828</v>
      </c>
      <c r="C3204" s="2">
        <f ca="1">IF(ISNUMBER(SEARCH(Лист2!$B$4,D:D)),MAX($C$3:OFFSET(C3204,-1,0))+1,0)</f>
        <v>0</v>
      </c>
      <c r="E3204" s="9" t="str">
        <f t="shared" ca="1" si="61"/>
        <v/>
      </c>
      <c r="F3204" s="4" t="s">
        <v>8</v>
      </c>
      <c r="G3204" s="2">
        <f>IF(ISNUMBER(SEARCH(Лист2!$B$4,F:F)),1,0)</f>
        <v>0</v>
      </c>
      <c r="H3204" s="3">
        <f ca="1">IF(AND(I3204&lt;&gt;I3203,ISNUMBER(SEARCH(Лист2!$B$5,I:I)),G3204=1),MAX($H$3:OFFSET(H3204,-1,0))+1,0)</f>
        <v>0</v>
      </c>
      <c r="I3204" s="3" t="s">
        <v>280</v>
      </c>
      <c r="K3204" s="2">
        <f>IF(ISNUMBER(SEARCH(Лист2!$B$4,F:F)),1,0)</f>
        <v>0</v>
      </c>
      <c r="L3204" s="14">
        <f>IF(ISNUMBER(SEARCH(Лист2!$B$5,I:I)),1,0)+K3204</f>
        <v>0</v>
      </c>
      <c r="M3204" s="3">
        <f ca="1">IF(AND(N3204&lt;&gt;N3203,ISNUMBER(SEARCH(Лист2!$B$6,N:N)),L3204=2),MAX($M$3:OFFSET(M3204,-1,0))+1,0)</f>
        <v>0</v>
      </c>
      <c r="N3204" s="3" t="s">
        <v>1993</v>
      </c>
    </row>
    <row r="3205" spans="1:14" x14ac:dyDescent="0.25">
      <c r="A3205" s="1" t="s">
        <v>12013</v>
      </c>
      <c r="B3205" s="3" t="s">
        <v>6829</v>
      </c>
      <c r="C3205" s="2">
        <f ca="1">IF(ISNUMBER(SEARCH(Лист2!$B$4,D:D)),MAX($C$3:OFFSET(C3205,-1,0))+1,0)</f>
        <v>0</v>
      </c>
      <c r="E3205" s="9" t="str">
        <f t="shared" ref="E3205:E3268" ca="1" si="62">IFERROR(INDEX(D:D,MATCH(ROW(E3205)-ROW($E$3),C:C,0)),"")</f>
        <v/>
      </c>
      <c r="F3205" s="4" t="s">
        <v>8</v>
      </c>
      <c r="G3205" s="2">
        <f>IF(ISNUMBER(SEARCH(Лист2!$B$4,F:F)),1,0)</f>
        <v>0</v>
      </c>
      <c r="H3205" s="3">
        <f ca="1">IF(AND(I3205&lt;&gt;I3204,ISNUMBER(SEARCH(Лист2!$B$5,I:I)),G3205=1),MAX($H$3:OFFSET(H3205,-1,0))+1,0)</f>
        <v>0</v>
      </c>
      <c r="I3205" s="3" t="s">
        <v>280</v>
      </c>
      <c r="K3205" s="2">
        <f>IF(ISNUMBER(SEARCH(Лист2!$B$4,F:F)),1,0)</f>
        <v>0</v>
      </c>
      <c r="L3205" s="14">
        <f>IF(ISNUMBER(SEARCH(Лист2!$B$5,I:I)),1,0)+K3205</f>
        <v>0</v>
      </c>
      <c r="M3205" s="3">
        <f ca="1">IF(AND(N3205&lt;&gt;N3204,ISNUMBER(SEARCH(Лист2!$B$6,N:N)),L3205=2),MAX($M$3:OFFSET(M3205,-1,0))+1,0)</f>
        <v>0</v>
      </c>
      <c r="N3205" s="3" t="s">
        <v>1994</v>
      </c>
    </row>
    <row r="3206" spans="1:14" x14ac:dyDescent="0.25">
      <c r="A3206" s="1" t="s">
        <v>12014</v>
      </c>
      <c r="B3206" s="3" t="s">
        <v>6830</v>
      </c>
      <c r="C3206" s="2">
        <f ca="1">IF(ISNUMBER(SEARCH(Лист2!$B$4,D:D)),MAX($C$3:OFFSET(C3206,-1,0))+1,0)</f>
        <v>0</v>
      </c>
      <c r="E3206" s="9" t="str">
        <f t="shared" ca="1" si="62"/>
        <v/>
      </c>
      <c r="F3206" s="4" t="s">
        <v>8</v>
      </c>
      <c r="G3206" s="2">
        <f>IF(ISNUMBER(SEARCH(Лист2!$B$4,F:F)),1,0)</f>
        <v>0</v>
      </c>
      <c r="H3206" s="3">
        <f ca="1">IF(AND(I3206&lt;&gt;I3205,ISNUMBER(SEARCH(Лист2!$B$5,I:I)),G3206=1),MAX($H$3:OFFSET(H3206,-1,0))+1,0)</f>
        <v>0</v>
      </c>
      <c r="I3206" s="3" t="s">
        <v>280</v>
      </c>
      <c r="K3206" s="2">
        <f>IF(ISNUMBER(SEARCH(Лист2!$B$4,F:F)),1,0)</f>
        <v>0</v>
      </c>
      <c r="L3206" s="14">
        <f>IF(ISNUMBER(SEARCH(Лист2!$B$5,I:I)),1,0)+K3206</f>
        <v>0</v>
      </c>
      <c r="M3206" s="3">
        <f ca="1">IF(AND(N3206&lt;&gt;N3205,ISNUMBER(SEARCH(Лист2!$B$6,N:N)),L3206=2),MAX($M$3:OFFSET(M3206,-1,0))+1,0)</f>
        <v>0</v>
      </c>
      <c r="N3206" s="3" t="s">
        <v>1995</v>
      </c>
    </row>
    <row r="3207" spans="1:14" x14ac:dyDescent="0.25">
      <c r="A3207" s="1" t="s">
        <v>12014</v>
      </c>
      <c r="B3207" s="3" t="s">
        <v>6831</v>
      </c>
      <c r="C3207" s="2">
        <f ca="1">IF(ISNUMBER(SEARCH(Лист2!$B$4,D:D)),MAX($C$3:OFFSET(C3207,-1,0))+1,0)</f>
        <v>0</v>
      </c>
      <c r="E3207" s="9" t="str">
        <f t="shared" ca="1" si="62"/>
        <v/>
      </c>
      <c r="F3207" s="4" t="s">
        <v>8</v>
      </c>
      <c r="G3207" s="2">
        <f>IF(ISNUMBER(SEARCH(Лист2!$B$4,F:F)),1,0)</f>
        <v>0</v>
      </c>
      <c r="H3207" s="3">
        <f ca="1">IF(AND(I3207&lt;&gt;I3206,ISNUMBER(SEARCH(Лист2!$B$5,I:I)),G3207=1),MAX($H$3:OFFSET(H3207,-1,0))+1,0)</f>
        <v>0</v>
      </c>
      <c r="I3207" s="3" t="s">
        <v>280</v>
      </c>
      <c r="K3207" s="2">
        <f>IF(ISNUMBER(SEARCH(Лист2!$B$4,F:F)),1,0)</f>
        <v>0</v>
      </c>
      <c r="L3207" s="14">
        <f>IF(ISNUMBER(SEARCH(Лист2!$B$5,I:I)),1,0)+K3207</f>
        <v>0</v>
      </c>
      <c r="M3207" s="3">
        <f ca="1">IF(AND(N3207&lt;&gt;N3206,ISNUMBER(SEARCH(Лист2!$B$6,N:N)),L3207=2),MAX($M$3:OFFSET(M3207,-1,0))+1,0)</f>
        <v>0</v>
      </c>
      <c r="N3207" s="3" t="s">
        <v>1995</v>
      </c>
    </row>
    <row r="3208" spans="1:14" x14ac:dyDescent="0.25">
      <c r="A3208" s="1" t="s">
        <v>12014</v>
      </c>
      <c r="B3208" s="3" t="s">
        <v>6832</v>
      </c>
      <c r="C3208" s="2">
        <f ca="1">IF(ISNUMBER(SEARCH(Лист2!$B$4,D:D)),MAX($C$3:OFFSET(C3208,-1,0))+1,0)</f>
        <v>0</v>
      </c>
      <c r="E3208" s="9" t="str">
        <f t="shared" ca="1" si="62"/>
        <v/>
      </c>
      <c r="F3208" s="4" t="s">
        <v>8</v>
      </c>
      <c r="G3208" s="2">
        <f>IF(ISNUMBER(SEARCH(Лист2!$B$4,F:F)),1,0)</f>
        <v>0</v>
      </c>
      <c r="H3208" s="3">
        <f ca="1">IF(AND(I3208&lt;&gt;I3207,ISNUMBER(SEARCH(Лист2!$B$5,I:I)),G3208=1),MAX($H$3:OFFSET(H3208,-1,0))+1,0)</f>
        <v>0</v>
      </c>
      <c r="I3208" s="3" t="s">
        <v>280</v>
      </c>
      <c r="K3208" s="2">
        <f>IF(ISNUMBER(SEARCH(Лист2!$B$4,F:F)),1,0)</f>
        <v>0</v>
      </c>
      <c r="L3208" s="14">
        <f>IF(ISNUMBER(SEARCH(Лист2!$B$5,I:I)),1,0)+K3208</f>
        <v>0</v>
      </c>
      <c r="M3208" s="3">
        <f ca="1">IF(AND(N3208&lt;&gt;N3207,ISNUMBER(SEARCH(Лист2!$B$6,N:N)),L3208=2),MAX($M$3:OFFSET(M3208,-1,0))+1,0)</f>
        <v>0</v>
      </c>
      <c r="N3208" s="3" t="s">
        <v>1995</v>
      </c>
    </row>
    <row r="3209" spans="1:14" x14ac:dyDescent="0.25">
      <c r="A3209" s="1" t="s">
        <v>12015</v>
      </c>
      <c r="B3209" s="3" t="s">
        <v>6833</v>
      </c>
      <c r="C3209" s="2">
        <f ca="1">IF(ISNUMBER(SEARCH(Лист2!$B$4,D:D)),MAX($C$3:OFFSET(C3209,-1,0))+1,0)</f>
        <v>0</v>
      </c>
      <c r="E3209" s="9" t="str">
        <f t="shared" ca="1" si="62"/>
        <v/>
      </c>
      <c r="F3209" s="4" t="s">
        <v>8</v>
      </c>
      <c r="G3209" s="2">
        <f>IF(ISNUMBER(SEARCH(Лист2!$B$4,F:F)),1,0)</f>
        <v>0</v>
      </c>
      <c r="H3209" s="3">
        <f ca="1">IF(AND(I3209&lt;&gt;I3208,ISNUMBER(SEARCH(Лист2!$B$5,I:I)),G3209=1),MAX($H$3:OFFSET(H3209,-1,0))+1,0)</f>
        <v>0</v>
      </c>
      <c r="I3209" s="3" t="s">
        <v>280</v>
      </c>
      <c r="K3209" s="2">
        <f>IF(ISNUMBER(SEARCH(Лист2!$B$4,F:F)),1,0)</f>
        <v>0</v>
      </c>
      <c r="L3209" s="14">
        <f>IF(ISNUMBER(SEARCH(Лист2!$B$5,I:I)),1,0)+K3209</f>
        <v>0</v>
      </c>
      <c r="M3209" s="3">
        <f ca="1">IF(AND(N3209&lt;&gt;N3208,ISNUMBER(SEARCH(Лист2!$B$6,N:N)),L3209=2),MAX($M$3:OFFSET(M3209,-1,0))+1,0)</f>
        <v>0</v>
      </c>
      <c r="N3209" s="3" t="s">
        <v>1996</v>
      </c>
    </row>
    <row r="3210" spans="1:14" x14ac:dyDescent="0.25">
      <c r="A3210" s="1" t="s">
        <v>12016</v>
      </c>
      <c r="B3210" s="3" t="s">
        <v>6834</v>
      </c>
      <c r="C3210" s="2">
        <f ca="1">IF(ISNUMBER(SEARCH(Лист2!$B$4,D:D)),MAX($C$3:OFFSET(C3210,-1,0))+1,0)</f>
        <v>0</v>
      </c>
      <c r="E3210" s="9" t="str">
        <f t="shared" ca="1" si="62"/>
        <v/>
      </c>
      <c r="F3210" s="4" t="s">
        <v>8</v>
      </c>
      <c r="G3210" s="2">
        <f>IF(ISNUMBER(SEARCH(Лист2!$B$4,F:F)),1,0)</f>
        <v>0</v>
      </c>
      <c r="H3210" s="3">
        <f ca="1">IF(AND(I3210&lt;&gt;I3209,ISNUMBER(SEARCH(Лист2!$B$5,I:I)),G3210=1),MAX($H$3:OFFSET(H3210,-1,0))+1,0)</f>
        <v>0</v>
      </c>
      <c r="I3210" s="3" t="s">
        <v>280</v>
      </c>
      <c r="K3210" s="2">
        <f>IF(ISNUMBER(SEARCH(Лист2!$B$4,F:F)),1,0)</f>
        <v>0</v>
      </c>
      <c r="L3210" s="14">
        <f>IF(ISNUMBER(SEARCH(Лист2!$B$5,I:I)),1,0)+K3210</f>
        <v>0</v>
      </c>
      <c r="M3210" s="3">
        <f ca="1">IF(AND(N3210&lt;&gt;N3209,ISNUMBER(SEARCH(Лист2!$B$6,N:N)),L3210=2),MAX($M$3:OFFSET(M3210,-1,0))+1,0)</f>
        <v>0</v>
      </c>
      <c r="N3210" s="3" t="s">
        <v>1997</v>
      </c>
    </row>
    <row r="3211" spans="1:14" x14ac:dyDescent="0.25">
      <c r="A3211" s="1" t="s">
        <v>12017</v>
      </c>
      <c r="B3211" s="3" t="s">
        <v>6835</v>
      </c>
      <c r="C3211" s="2">
        <f ca="1">IF(ISNUMBER(SEARCH(Лист2!$B$4,D:D)),MAX($C$3:OFFSET(C3211,-1,0))+1,0)</f>
        <v>0</v>
      </c>
      <c r="E3211" s="9" t="str">
        <f t="shared" ca="1" si="62"/>
        <v/>
      </c>
      <c r="F3211" s="4" t="s">
        <v>8</v>
      </c>
      <c r="G3211" s="2">
        <f>IF(ISNUMBER(SEARCH(Лист2!$B$4,F:F)),1,0)</f>
        <v>0</v>
      </c>
      <c r="H3211" s="3">
        <f ca="1">IF(AND(I3211&lt;&gt;I3210,ISNUMBER(SEARCH(Лист2!$B$5,I:I)),G3211=1),MAX($H$3:OFFSET(H3211,-1,0))+1,0)</f>
        <v>0</v>
      </c>
      <c r="I3211" s="3" t="s">
        <v>280</v>
      </c>
      <c r="K3211" s="2">
        <f>IF(ISNUMBER(SEARCH(Лист2!$B$4,F:F)),1,0)</f>
        <v>0</v>
      </c>
      <c r="L3211" s="14">
        <f>IF(ISNUMBER(SEARCH(Лист2!$B$5,I:I)),1,0)+K3211</f>
        <v>0</v>
      </c>
      <c r="M3211" s="3">
        <f ca="1">IF(AND(N3211&lt;&gt;N3210,ISNUMBER(SEARCH(Лист2!$B$6,N:N)),L3211=2),MAX($M$3:OFFSET(M3211,-1,0))+1,0)</f>
        <v>0</v>
      </c>
      <c r="N3211" s="3" t="s">
        <v>1385</v>
      </c>
    </row>
    <row r="3212" spans="1:14" x14ac:dyDescent="0.25">
      <c r="A3212" s="1" t="s">
        <v>12018</v>
      </c>
      <c r="B3212" s="3" t="s">
        <v>6836</v>
      </c>
      <c r="C3212" s="2">
        <f ca="1">IF(ISNUMBER(SEARCH(Лист2!$B$4,D:D)),MAX($C$3:OFFSET(C3212,-1,0))+1,0)</f>
        <v>0</v>
      </c>
      <c r="E3212" s="9" t="str">
        <f t="shared" ca="1" si="62"/>
        <v/>
      </c>
      <c r="F3212" s="4" t="s">
        <v>8</v>
      </c>
      <c r="G3212" s="2">
        <f>IF(ISNUMBER(SEARCH(Лист2!$B$4,F:F)),1,0)</f>
        <v>0</v>
      </c>
      <c r="H3212" s="3">
        <f ca="1">IF(AND(I3212&lt;&gt;I3211,ISNUMBER(SEARCH(Лист2!$B$5,I:I)),G3212=1),MAX($H$3:OFFSET(H3212,-1,0))+1,0)</f>
        <v>0</v>
      </c>
      <c r="I3212" s="3" t="s">
        <v>280</v>
      </c>
      <c r="K3212" s="2">
        <f>IF(ISNUMBER(SEARCH(Лист2!$B$4,F:F)),1,0)</f>
        <v>0</v>
      </c>
      <c r="L3212" s="14">
        <f>IF(ISNUMBER(SEARCH(Лист2!$B$5,I:I)),1,0)+K3212</f>
        <v>0</v>
      </c>
      <c r="M3212" s="3">
        <f ca="1">IF(AND(N3212&lt;&gt;N3211,ISNUMBER(SEARCH(Лист2!$B$6,N:N)),L3212=2),MAX($M$3:OFFSET(M3212,-1,0))+1,0)</f>
        <v>0</v>
      </c>
      <c r="N3212" s="3" t="s">
        <v>602</v>
      </c>
    </row>
    <row r="3213" spans="1:14" x14ac:dyDescent="0.25">
      <c r="A3213" s="1" t="s">
        <v>12019</v>
      </c>
      <c r="B3213" s="3" t="s">
        <v>6837</v>
      </c>
      <c r="C3213" s="2">
        <f ca="1">IF(ISNUMBER(SEARCH(Лист2!$B$4,D:D)),MAX($C$3:OFFSET(C3213,-1,0))+1,0)</f>
        <v>0</v>
      </c>
      <c r="E3213" s="9" t="str">
        <f t="shared" ca="1" si="62"/>
        <v/>
      </c>
      <c r="F3213" s="4" t="s">
        <v>8</v>
      </c>
      <c r="G3213" s="2">
        <f>IF(ISNUMBER(SEARCH(Лист2!$B$4,F:F)),1,0)</f>
        <v>0</v>
      </c>
      <c r="H3213" s="3">
        <f ca="1">IF(AND(I3213&lt;&gt;I3212,ISNUMBER(SEARCH(Лист2!$B$5,I:I)),G3213=1),MAX($H$3:OFFSET(H3213,-1,0))+1,0)</f>
        <v>0</v>
      </c>
      <c r="I3213" s="3" t="s">
        <v>280</v>
      </c>
      <c r="K3213" s="2">
        <f>IF(ISNUMBER(SEARCH(Лист2!$B$4,F:F)),1,0)</f>
        <v>0</v>
      </c>
      <c r="L3213" s="14">
        <f>IF(ISNUMBER(SEARCH(Лист2!$B$5,I:I)),1,0)+K3213</f>
        <v>0</v>
      </c>
      <c r="M3213" s="3">
        <f ca="1">IF(AND(N3213&lt;&gt;N3212,ISNUMBER(SEARCH(Лист2!$B$6,N:N)),L3213=2),MAX($M$3:OFFSET(M3213,-1,0))+1,0)</f>
        <v>0</v>
      </c>
      <c r="N3213" s="3" t="s">
        <v>2009</v>
      </c>
    </row>
    <row r="3214" spans="1:14" x14ac:dyDescent="0.25">
      <c r="A3214" s="1" t="s">
        <v>12020</v>
      </c>
      <c r="B3214" s="3" t="s">
        <v>6838</v>
      </c>
      <c r="C3214" s="2">
        <f ca="1">IF(ISNUMBER(SEARCH(Лист2!$B$4,D:D)),MAX($C$3:OFFSET(C3214,-1,0))+1,0)</f>
        <v>0</v>
      </c>
      <c r="E3214" s="9" t="str">
        <f t="shared" ca="1" si="62"/>
        <v/>
      </c>
      <c r="F3214" s="4" t="s">
        <v>8</v>
      </c>
      <c r="G3214" s="2">
        <f>IF(ISNUMBER(SEARCH(Лист2!$B$4,F:F)),1,0)</f>
        <v>0</v>
      </c>
      <c r="H3214" s="3">
        <f ca="1">IF(AND(I3214&lt;&gt;I3213,ISNUMBER(SEARCH(Лист2!$B$5,I:I)),G3214=1),MAX($H$3:OFFSET(H3214,-1,0))+1,0)</f>
        <v>0</v>
      </c>
      <c r="I3214" s="3" t="s">
        <v>280</v>
      </c>
      <c r="K3214" s="2">
        <f>IF(ISNUMBER(SEARCH(Лист2!$B$4,F:F)),1,0)</f>
        <v>0</v>
      </c>
      <c r="L3214" s="14">
        <f>IF(ISNUMBER(SEARCH(Лист2!$B$5,I:I)),1,0)+K3214</f>
        <v>0</v>
      </c>
      <c r="M3214" s="3">
        <f ca="1">IF(AND(N3214&lt;&gt;N3213,ISNUMBER(SEARCH(Лист2!$B$6,N:N)),L3214=2),MAX($M$3:OFFSET(M3214,-1,0))+1,0)</f>
        <v>0</v>
      </c>
      <c r="N3214" s="3" t="s">
        <v>1999</v>
      </c>
    </row>
    <row r="3215" spans="1:14" x14ac:dyDescent="0.25">
      <c r="A3215" s="1" t="s">
        <v>12021</v>
      </c>
      <c r="B3215" s="3" t="s">
        <v>6839</v>
      </c>
      <c r="C3215" s="2">
        <f ca="1">IF(ISNUMBER(SEARCH(Лист2!$B$4,D:D)),MAX($C$3:OFFSET(C3215,-1,0))+1,0)</f>
        <v>0</v>
      </c>
      <c r="E3215" s="9" t="str">
        <f t="shared" ca="1" si="62"/>
        <v/>
      </c>
      <c r="F3215" s="4" t="s">
        <v>8</v>
      </c>
      <c r="G3215" s="2">
        <f>IF(ISNUMBER(SEARCH(Лист2!$B$4,F:F)),1,0)</f>
        <v>0</v>
      </c>
      <c r="H3215" s="3">
        <f ca="1">IF(AND(I3215&lt;&gt;I3214,ISNUMBER(SEARCH(Лист2!$B$5,I:I)),G3215=1),MAX($H$3:OFFSET(H3215,-1,0))+1,0)</f>
        <v>0</v>
      </c>
      <c r="I3215" s="3" t="s">
        <v>280</v>
      </c>
      <c r="K3215" s="2">
        <f>IF(ISNUMBER(SEARCH(Лист2!$B$4,F:F)),1,0)</f>
        <v>0</v>
      </c>
      <c r="L3215" s="14">
        <f>IF(ISNUMBER(SEARCH(Лист2!$B$5,I:I)),1,0)+K3215</f>
        <v>0</v>
      </c>
      <c r="M3215" s="3">
        <f ca="1">IF(AND(N3215&lt;&gt;N3214,ISNUMBER(SEARCH(Лист2!$B$6,N:N)),L3215=2),MAX($M$3:OFFSET(M3215,-1,0))+1,0)</f>
        <v>0</v>
      </c>
      <c r="N3215" s="3" t="s">
        <v>2000</v>
      </c>
    </row>
    <row r="3216" spans="1:14" x14ac:dyDescent="0.25">
      <c r="A3216" s="1" t="s">
        <v>12022</v>
      </c>
      <c r="B3216" s="3" t="s">
        <v>6840</v>
      </c>
      <c r="C3216" s="2">
        <f ca="1">IF(ISNUMBER(SEARCH(Лист2!$B$4,D:D)),MAX($C$3:OFFSET(C3216,-1,0))+1,0)</f>
        <v>0</v>
      </c>
      <c r="E3216" s="9" t="str">
        <f t="shared" ca="1" si="62"/>
        <v/>
      </c>
      <c r="F3216" s="4" t="s">
        <v>8</v>
      </c>
      <c r="G3216" s="2">
        <f>IF(ISNUMBER(SEARCH(Лист2!$B$4,F:F)),1,0)</f>
        <v>0</v>
      </c>
      <c r="H3216" s="3">
        <f ca="1">IF(AND(I3216&lt;&gt;I3215,ISNUMBER(SEARCH(Лист2!$B$5,I:I)),G3216=1),MAX($H$3:OFFSET(H3216,-1,0))+1,0)</f>
        <v>0</v>
      </c>
      <c r="I3216" s="3" t="s">
        <v>280</v>
      </c>
      <c r="K3216" s="2">
        <f>IF(ISNUMBER(SEARCH(Лист2!$B$4,F:F)),1,0)</f>
        <v>0</v>
      </c>
      <c r="L3216" s="14">
        <f>IF(ISNUMBER(SEARCH(Лист2!$B$5,I:I)),1,0)+K3216</f>
        <v>0</v>
      </c>
      <c r="M3216" s="3">
        <f ca="1">IF(AND(N3216&lt;&gt;N3215,ISNUMBER(SEARCH(Лист2!$B$6,N:N)),L3216=2),MAX($M$3:OFFSET(M3216,-1,0))+1,0)</f>
        <v>0</v>
      </c>
      <c r="N3216" s="3" t="s">
        <v>2001</v>
      </c>
    </row>
    <row r="3217" spans="1:14" x14ac:dyDescent="0.25">
      <c r="A3217" s="1" t="s">
        <v>12023</v>
      </c>
      <c r="B3217" s="3" t="s">
        <v>6841</v>
      </c>
      <c r="C3217" s="2">
        <f ca="1">IF(ISNUMBER(SEARCH(Лист2!$B$4,D:D)),MAX($C$3:OFFSET(C3217,-1,0))+1,0)</f>
        <v>0</v>
      </c>
      <c r="E3217" s="9" t="str">
        <f t="shared" ca="1" si="62"/>
        <v/>
      </c>
      <c r="F3217" s="4" t="s">
        <v>8</v>
      </c>
      <c r="G3217" s="2">
        <f>IF(ISNUMBER(SEARCH(Лист2!$B$4,F:F)),1,0)</f>
        <v>0</v>
      </c>
      <c r="H3217" s="3">
        <f ca="1">IF(AND(I3217&lt;&gt;I3216,ISNUMBER(SEARCH(Лист2!$B$5,I:I)),G3217=1),MAX($H$3:OFFSET(H3217,-1,0))+1,0)</f>
        <v>0</v>
      </c>
      <c r="I3217" s="3" t="s">
        <v>280</v>
      </c>
      <c r="K3217" s="2">
        <f>IF(ISNUMBER(SEARCH(Лист2!$B$4,F:F)),1,0)</f>
        <v>0</v>
      </c>
      <c r="L3217" s="14">
        <f>IF(ISNUMBER(SEARCH(Лист2!$B$5,I:I)),1,0)+K3217</f>
        <v>0</v>
      </c>
      <c r="M3217" s="3">
        <f ca="1">IF(AND(N3217&lt;&gt;N3216,ISNUMBER(SEARCH(Лист2!$B$6,N:N)),L3217=2),MAX($M$3:OFFSET(M3217,-1,0))+1,0)</f>
        <v>0</v>
      </c>
      <c r="N3217" s="3" t="s">
        <v>2002</v>
      </c>
    </row>
    <row r="3218" spans="1:14" x14ac:dyDescent="0.25">
      <c r="A3218" s="1" t="s">
        <v>12024</v>
      </c>
      <c r="B3218" s="3" t="s">
        <v>6842</v>
      </c>
      <c r="C3218" s="2">
        <f ca="1">IF(ISNUMBER(SEARCH(Лист2!$B$4,D:D)),MAX($C$3:OFFSET(C3218,-1,0))+1,0)</f>
        <v>0</v>
      </c>
      <c r="E3218" s="9" t="str">
        <f t="shared" ca="1" si="62"/>
        <v/>
      </c>
      <c r="F3218" s="4" t="s">
        <v>8</v>
      </c>
      <c r="G3218" s="2">
        <f>IF(ISNUMBER(SEARCH(Лист2!$B$4,F:F)),1,0)</f>
        <v>0</v>
      </c>
      <c r="H3218" s="3">
        <f ca="1">IF(AND(I3218&lt;&gt;I3217,ISNUMBER(SEARCH(Лист2!$B$5,I:I)),G3218=1),MAX($H$3:OFFSET(H3218,-1,0))+1,0)</f>
        <v>0</v>
      </c>
      <c r="I3218" s="3" t="s">
        <v>280</v>
      </c>
      <c r="K3218" s="2">
        <f>IF(ISNUMBER(SEARCH(Лист2!$B$4,F:F)),1,0)</f>
        <v>0</v>
      </c>
      <c r="L3218" s="14">
        <f>IF(ISNUMBER(SEARCH(Лист2!$B$5,I:I)),1,0)+K3218</f>
        <v>0</v>
      </c>
      <c r="M3218" s="3">
        <f ca="1">IF(AND(N3218&lt;&gt;N3217,ISNUMBER(SEARCH(Лист2!$B$6,N:N)),L3218=2),MAX($M$3:OFFSET(M3218,-1,0))+1,0)</f>
        <v>0</v>
      </c>
      <c r="N3218" s="3" t="s">
        <v>2062</v>
      </c>
    </row>
    <row r="3219" spans="1:14" x14ac:dyDescent="0.25">
      <c r="A3219" s="1" t="s">
        <v>12025</v>
      </c>
      <c r="B3219" s="3" t="s">
        <v>6843</v>
      </c>
      <c r="C3219" s="2">
        <f ca="1">IF(ISNUMBER(SEARCH(Лист2!$B$4,D:D)),MAX($C$3:OFFSET(C3219,-1,0))+1,0)</f>
        <v>0</v>
      </c>
      <c r="E3219" s="9" t="str">
        <f t="shared" ca="1" si="62"/>
        <v/>
      </c>
      <c r="F3219" s="4" t="s">
        <v>8</v>
      </c>
      <c r="G3219" s="2">
        <f>IF(ISNUMBER(SEARCH(Лист2!$B$4,F:F)),1,0)</f>
        <v>0</v>
      </c>
      <c r="H3219" s="3">
        <f ca="1">IF(AND(I3219&lt;&gt;I3218,ISNUMBER(SEARCH(Лист2!$B$5,I:I)),G3219=1),MAX($H$3:OFFSET(H3219,-1,0))+1,0)</f>
        <v>0</v>
      </c>
      <c r="I3219" s="3" t="s">
        <v>280</v>
      </c>
      <c r="K3219" s="2">
        <f>IF(ISNUMBER(SEARCH(Лист2!$B$4,F:F)),1,0)</f>
        <v>0</v>
      </c>
      <c r="L3219" s="14">
        <f>IF(ISNUMBER(SEARCH(Лист2!$B$5,I:I)),1,0)+K3219</f>
        <v>0</v>
      </c>
      <c r="M3219" s="3">
        <f ca="1">IF(AND(N3219&lt;&gt;N3218,ISNUMBER(SEARCH(Лист2!$B$6,N:N)),L3219=2),MAX($M$3:OFFSET(M3219,-1,0))+1,0)</f>
        <v>0</v>
      </c>
      <c r="N3219" s="3" t="s">
        <v>2063</v>
      </c>
    </row>
    <row r="3220" spans="1:14" x14ac:dyDescent="0.25">
      <c r="A3220" s="1" t="s">
        <v>12026</v>
      </c>
      <c r="B3220" s="3" t="s">
        <v>6844</v>
      </c>
      <c r="C3220" s="2">
        <f ca="1">IF(ISNUMBER(SEARCH(Лист2!$B$4,D:D)),MAX($C$3:OFFSET(C3220,-1,0))+1,0)</f>
        <v>0</v>
      </c>
      <c r="E3220" s="9" t="str">
        <f t="shared" ca="1" si="62"/>
        <v/>
      </c>
      <c r="F3220" s="4" t="s">
        <v>8</v>
      </c>
      <c r="G3220" s="2">
        <f>IF(ISNUMBER(SEARCH(Лист2!$B$4,F:F)),1,0)</f>
        <v>0</v>
      </c>
      <c r="H3220" s="3">
        <f ca="1">IF(AND(I3220&lt;&gt;I3219,ISNUMBER(SEARCH(Лист2!$B$5,I:I)),G3220=1),MAX($H$3:OFFSET(H3220,-1,0))+1,0)</f>
        <v>0</v>
      </c>
      <c r="I3220" s="3" t="s">
        <v>280</v>
      </c>
      <c r="K3220" s="2">
        <f>IF(ISNUMBER(SEARCH(Лист2!$B$4,F:F)),1,0)</f>
        <v>0</v>
      </c>
      <c r="L3220" s="14">
        <f>IF(ISNUMBER(SEARCH(Лист2!$B$5,I:I)),1,0)+K3220</f>
        <v>0</v>
      </c>
      <c r="M3220" s="3">
        <f ca="1">IF(AND(N3220&lt;&gt;N3219,ISNUMBER(SEARCH(Лист2!$B$6,N:N)),L3220=2),MAX($M$3:OFFSET(M3220,-1,0))+1,0)</f>
        <v>0</v>
      </c>
      <c r="N3220" s="3" t="s">
        <v>2064</v>
      </c>
    </row>
    <row r="3221" spans="1:14" x14ac:dyDescent="0.25">
      <c r="A3221" s="1" t="s">
        <v>12027</v>
      </c>
      <c r="B3221" s="3" t="s">
        <v>6845</v>
      </c>
      <c r="C3221" s="2">
        <f ca="1">IF(ISNUMBER(SEARCH(Лист2!$B$4,D:D)),MAX($C$3:OFFSET(C3221,-1,0))+1,0)</f>
        <v>0</v>
      </c>
      <c r="E3221" s="9" t="str">
        <f t="shared" ca="1" si="62"/>
        <v/>
      </c>
      <c r="F3221" s="4" t="s">
        <v>8</v>
      </c>
      <c r="G3221" s="2">
        <f>IF(ISNUMBER(SEARCH(Лист2!$B$4,F:F)),1,0)</f>
        <v>0</v>
      </c>
      <c r="H3221" s="3">
        <f ca="1">IF(AND(I3221&lt;&gt;I3220,ISNUMBER(SEARCH(Лист2!$B$5,I:I)),G3221=1),MAX($H$3:OFFSET(H3221,-1,0))+1,0)</f>
        <v>0</v>
      </c>
      <c r="I3221" s="3" t="s">
        <v>280</v>
      </c>
      <c r="K3221" s="2">
        <f>IF(ISNUMBER(SEARCH(Лист2!$B$4,F:F)),1,0)</f>
        <v>0</v>
      </c>
      <c r="L3221" s="14">
        <f>IF(ISNUMBER(SEARCH(Лист2!$B$5,I:I)),1,0)+K3221</f>
        <v>0</v>
      </c>
      <c r="M3221" s="3">
        <f ca="1">IF(AND(N3221&lt;&gt;N3220,ISNUMBER(SEARCH(Лист2!$B$6,N:N)),L3221=2),MAX($M$3:OFFSET(M3221,-1,0))+1,0)</f>
        <v>0</v>
      </c>
      <c r="N3221" s="3" t="s">
        <v>2065</v>
      </c>
    </row>
    <row r="3222" spans="1:14" x14ac:dyDescent="0.25">
      <c r="A3222" s="1" t="s">
        <v>12028</v>
      </c>
      <c r="B3222" s="3" t="s">
        <v>6846</v>
      </c>
      <c r="C3222" s="2">
        <f ca="1">IF(ISNUMBER(SEARCH(Лист2!$B$4,D:D)),MAX($C$3:OFFSET(C3222,-1,0))+1,0)</f>
        <v>0</v>
      </c>
      <c r="E3222" s="9" t="str">
        <f t="shared" ca="1" si="62"/>
        <v/>
      </c>
      <c r="F3222" s="4" t="s">
        <v>9</v>
      </c>
      <c r="G3222" s="2">
        <f>IF(ISNUMBER(SEARCH(Лист2!$B$4,F:F)),1,0)</f>
        <v>0</v>
      </c>
      <c r="H3222" s="3">
        <f ca="1">IF(AND(I3222&lt;&gt;I3221,ISNUMBER(SEARCH(Лист2!$B$5,I:I)),G3222=1),MAX($H$3:OFFSET(H3222,-1,0))+1,0)</f>
        <v>0</v>
      </c>
      <c r="I3222" s="3" t="s">
        <v>281</v>
      </c>
      <c r="K3222" s="2">
        <f>IF(ISNUMBER(SEARCH(Лист2!$B$4,F:F)),1,0)</f>
        <v>0</v>
      </c>
      <c r="L3222" s="14">
        <f>IF(ISNUMBER(SEARCH(Лист2!$B$5,I:I)),1,0)+K3222</f>
        <v>0</v>
      </c>
      <c r="M3222" s="3">
        <f ca="1">IF(AND(N3222&lt;&gt;N3221,ISNUMBER(SEARCH(Лист2!$B$6,N:N)),L3222=2),MAX($M$3:OFFSET(M3222,-1,0))+1,0)</f>
        <v>0</v>
      </c>
      <c r="N3222" s="3" t="s">
        <v>2066</v>
      </c>
    </row>
    <row r="3223" spans="1:14" x14ac:dyDescent="0.25">
      <c r="A3223" s="1" t="s">
        <v>12029</v>
      </c>
      <c r="B3223" s="3" t="s">
        <v>6847</v>
      </c>
      <c r="C3223" s="2">
        <f ca="1">IF(ISNUMBER(SEARCH(Лист2!$B$4,D:D)),MAX($C$3:OFFSET(C3223,-1,0))+1,0)</f>
        <v>0</v>
      </c>
      <c r="E3223" s="9" t="str">
        <f t="shared" ca="1" si="62"/>
        <v/>
      </c>
      <c r="F3223" s="4" t="s">
        <v>9</v>
      </c>
      <c r="G3223" s="2">
        <f>IF(ISNUMBER(SEARCH(Лист2!$B$4,F:F)),1,0)</f>
        <v>0</v>
      </c>
      <c r="H3223" s="3">
        <f ca="1">IF(AND(I3223&lt;&gt;I3222,ISNUMBER(SEARCH(Лист2!$B$5,I:I)),G3223=1),MAX($H$3:OFFSET(H3223,-1,0))+1,0)</f>
        <v>0</v>
      </c>
      <c r="I3223" s="3" t="s">
        <v>281</v>
      </c>
      <c r="K3223" s="2">
        <f>IF(ISNUMBER(SEARCH(Лист2!$B$4,F:F)),1,0)</f>
        <v>0</v>
      </c>
      <c r="L3223" s="14">
        <f>IF(ISNUMBER(SEARCH(Лист2!$B$5,I:I)),1,0)+K3223</f>
        <v>0</v>
      </c>
      <c r="M3223" s="3">
        <f ca="1">IF(AND(N3223&lt;&gt;N3222,ISNUMBER(SEARCH(Лист2!$B$6,N:N)),L3223=2),MAX($M$3:OFFSET(M3223,-1,0))+1,0)</f>
        <v>0</v>
      </c>
      <c r="N3223" s="3" t="s">
        <v>2067</v>
      </c>
    </row>
    <row r="3224" spans="1:14" x14ac:dyDescent="0.25">
      <c r="A3224" s="1" t="s">
        <v>12030</v>
      </c>
      <c r="B3224" s="3" t="s">
        <v>6848</v>
      </c>
      <c r="C3224" s="2">
        <f ca="1">IF(ISNUMBER(SEARCH(Лист2!$B$4,D:D)),MAX($C$3:OFFSET(C3224,-1,0))+1,0)</f>
        <v>0</v>
      </c>
      <c r="E3224" s="9" t="str">
        <f t="shared" ca="1" si="62"/>
        <v/>
      </c>
      <c r="F3224" s="4" t="s">
        <v>9</v>
      </c>
      <c r="G3224" s="2">
        <f>IF(ISNUMBER(SEARCH(Лист2!$B$4,F:F)),1,0)</f>
        <v>0</v>
      </c>
      <c r="H3224" s="3">
        <f ca="1">IF(AND(I3224&lt;&gt;I3223,ISNUMBER(SEARCH(Лист2!$B$5,I:I)),G3224=1),MAX($H$3:OFFSET(H3224,-1,0))+1,0)</f>
        <v>0</v>
      </c>
      <c r="I3224" s="3" t="s">
        <v>281</v>
      </c>
      <c r="K3224" s="2">
        <f>IF(ISNUMBER(SEARCH(Лист2!$B$4,F:F)),1,0)</f>
        <v>0</v>
      </c>
      <c r="L3224" s="14">
        <f>IF(ISNUMBER(SEARCH(Лист2!$B$5,I:I)),1,0)+K3224</f>
        <v>0</v>
      </c>
      <c r="M3224" s="3">
        <f ca="1">IF(AND(N3224&lt;&gt;N3223,ISNUMBER(SEARCH(Лист2!$B$6,N:N)),L3224=2),MAX($M$3:OFFSET(M3224,-1,0))+1,0)</f>
        <v>0</v>
      </c>
      <c r="N3224" s="3" t="s">
        <v>2068</v>
      </c>
    </row>
    <row r="3225" spans="1:14" x14ac:dyDescent="0.25">
      <c r="A3225" s="1" t="s">
        <v>12031</v>
      </c>
      <c r="B3225" s="3" t="s">
        <v>6849</v>
      </c>
      <c r="C3225" s="2">
        <f ca="1">IF(ISNUMBER(SEARCH(Лист2!$B$4,D:D)),MAX($C$3:OFFSET(C3225,-1,0))+1,0)</f>
        <v>0</v>
      </c>
      <c r="E3225" s="9" t="str">
        <f t="shared" ca="1" si="62"/>
        <v/>
      </c>
      <c r="F3225" s="4" t="s">
        <v>9</v>
      </c>
      <c r="G3225" s="2">
        <f>IF(ISNUMBER(SEARCH(Лист2!$B$4,F:F)),1,0)</f>
        <v>0</v>
      </c>
      <c r="H3225" s="3">
        <f ca="1">IF(AND(I3225&lt;&gt;I3224,ISNUMBER(SEARCH(Лист2!$B$5,I:I)),G3225=1),MAX($H$3:OFFSET(H3225,-1,0))+1,0)</f>
        <v>0</v>
      </c>
      <c r="I3225" s="3" t="s">
        <v>281</v>
      </c>
      <c r="K3225" s="2">
        <f>IF(ISNUMBER(SEARCH(Лист2!$B$4,F:F)),1,0)</f>
        <v>0</v>
      </c>
      <c r="L3225" s="14">
        <f>IF(ISNUMBER(SEARCH(Лист2!$B$5,I:I)),1,0)+K3225</f>
        <v>0</v>
      </c>
      <c r="M3225" s="3">
        <f ca="1">IF(AND(N3225&lt;&gt;N3224,ISNUMBER(SEARCH(Лист2!$B$6,N:N)),L3225=2),MAX($M$3:OFFSET(M3225,-1,0))+1,0)</f>
        <v>0</v>
      </c>
      <c r="N3225" s="3" t="s">
        <v>2069</v>
      </c>
    </row>
    <row r="3226" spans="1:14" x14ac:dyDescent="0.25">
      <c r="A3226" s="1" t="s">
        <v>12032</v>
      </c>
      <c r="B3226" s="3" t="s">
        <v>6850</v>
      </c>
      <c r="C3226" s="2">
        <f ca="1">IF(ISNUMBER(SEARCH(Лист2!$B$4,D:D)),MAX($C$3:OFFSET(C3226,-1,0))+1,0)</f>
        <v>0</v>
      </c>
      <c r="E3226" s="9" t="str">
        <f t="shared" ca="1" si="62"/>
        <v/>
      </c>
      <c r="F3226" s="4" t="s">
        <v>9</v>
      </c>
      <c r="G3226" s="2">
        <f>IF(ISNUMBER(SEARCH(Лист2!$B$4,F:F)),1,0)</f>
        <v>0</v>
      </c>
      <c r="H3226" s="3">
        <f ca="1">IF(AND(I3226&lt;&gt;I3225,ISNUMBER(SEARCH(Лист2!$B$5,I:I)),G3226=1),MAX($H$3:OFFSET(H3226,-1,0))+1,0)</f>
        <v>0</v>
      </c>
      <c r="I3226" s="3" t="s">
        <v>281</v>
      </c>
      <c r="K3226" s="2">
        <f>IF(ISNUMBER(SEARCH(Лист2!$B$4,F:F)),1,0)</f>
        <v>0</v>
      </c>
      <c r="L3226" s="14">
        <f>IF(ISNUMBER(SEARCH(Лист2!$B$5,I:I)),1,0)+K3226</f>
        <v>0</v>
      </c>
      <c r="M3226" s="3">
        <f ca="1">IF(AND(N3226&lt;&gt;N3225,ISNUMBER(SEARCH(Лист2!$B$6,N:N)),L3226=2),MAX($M$3:OFFSET(M3226,-1,0))+1,0)</f>
        <v>0</v>
      </c>
      <c r="N3226" s="3" t="s">
        <v>2070</v>
      </c>
    </row>
    <row r="3227" spans="1:14" x14ac:dyDescent="0.25">
      <c r="A3227" s="1" t="s">
        <v>12033</v>
      </c>
      <c r="B3227" s="3" t="s">
        <v>6851</v>
      </c>
      <c r="C3227" s="2">
        <f ca="1">IF(ISNUMBER(SEARCH(Лист2!$B$4,D:D)),MAX($C$3:OFFSET(C3227,-1,0))+1,0)</f>
        <v>0</v>
      </c>
      <c r="E3227" s="9" t="str">
        <f t="shared" ca="1" si="62"/>
        <v/>
      </c>
      <c r="F3227" s="4" t="s">
        <v>9</v>
      </c>
      <c r="G3227" s="2">
        <f>IF(ISNUMBER(SEARCH(Лист2!$B$4,F:F)),1,0)</f>
        <v>0</v>
      </c>
      <c r="H3227" s="3">
        <f ca="1">IF(AND(I3227&lt;&gt;I3226,ISNUMBER(SEARCH(Лист2!$B$5,I:I)),G3227=1),MAX($H$3:OFFSET(H3227,-1,0))+1,0)</f>
        <v>0</v>
      </c>
      <c r="I3227" s="3" t="s">
        <v>281</v>
      </c>
      <c r="K3227" s="2">
        <f>IF(ISNUMBER(SEARCH(Лист2!$B$4,F:F)),1,0)</f>
        <v>0</v>
      </c>
      <c r="L3227" s="14">
        <f>IF(ISNUMBER(SEARCH(Лист2!$B$5,I:I)),1,0)+K3227</f>
        <v>0</v>
      </c>
      <c r="M3227" s="3">
        <f ca="1">IF(AND(N3227&lt;&gt;N3226,ISNUMBER(SEARCH(Лист2!$B$6,N:N)),L3227=2),MAX($M$3:OFFSET(M3227,-1,0))+1,0)</f>
        <v>0</v>
      </c>
      <c r="N3227" s="3" t="s">
        <v>602</v>
      </c>
    </row>
    <row r="3228" spans="1:14" x14ac:dyDescent="0.25">
      <c r="A3228" s="1" t="s">
        <v>12034</v>
      </c>
      <c r="B3228" s="3" t="s">
        <v>6852</v>
      </c>
      <c r="C3228" s="2">
        <f ca="1">IF(ISNUMBER(SEARCH(Лист2!$B$4,D:D)),MAX($C$3:OFFSET(C3228,-1,0))+1,0)</f>
        <v>0</v>
      </c>
      <c r="E3228" s="9" t="str">
        <f t="shared" ca="1" si="62"/>
        <v/>
      </c>
      <c r="F3228" s="4" t="s">
        <v>9</v>
      </c>
      <c r="G3228" s="2">
        <f>IF(ISNUMBER(SEARCH(Лист2!$B$4,F:F)),1,0)</f>
        <v>0</v>
      </c>
      <c r="H3228" s="3">
        <f ca="1">IF(AND(I3228&lt;&gt;I3227,ISNUMBER(SEARCH(Лист2!$B$5,I:I)),G3228=1),MAX($H$3:OFFSET(H3228,-1,0))+1,0)</f>
        <v>0</v>
      </c>
      <c r="I3228" s="3" t="s">
        <v>281</v>
      </c>
      <c r="K3228" s="2">
        <f>IF(ISNUMBER(SEARCH(Лист2!$B$4,F:F)),1,0)</f>
        <v>0</v>
      </c>
      <c r="L3228" s="14">
        <f>IF(ISNUMBER(SEARCH(Лист2!$B$5,I:I)),1,0)+K3228</f>
        <v>0</v>
      </c>
      <c r="M3228" s="3">
        <f ca="1">IF(AND(N3228&lt;&gt;N3227,ISNUMBER(SEARCH(Лист2!$B$6,N:N)),L3228=2),MAX($M$3:OFFSET(M3228,-1,0))+1,0)</f>
        <v>0</v>
      </c>
      <c r="N3228" s="3" t="s">
        <v>2071</v>
      </c>
    </row>
    <row r="3229" spans="1:14" x14ac:dyDescent="0.25">
      <c r="A3229" s="1" t="s">
        <v>12035</v>
      </c>
      <c r="B3229" s="3" t="s">
        <v>6853</v>
      </c>
      <c r="C3229" s="2">
        <f ca="1">IF(ISNUMBER(SEARCH(Лист2!$B$4,D:D)),MAX($C$3:OFFSET(C3229,-1,0))+1,0)</f>
        <v>0</v>
      </c>
      <c r="E3229" s="9" t="str">
        <f t="shared" ca="1" si="62"/>
        <v/>
      </c>
      <c r="F3229" s="4" t="s">
        <v>9</v>
      </c>
      <c r="G3229" s="2">
        <f>IF(ISNUMBER(SEARCH(Лист2!$B$4,F:F)),1,0)</f>
        <v>0</v>
      </c>
      <c r="H3229" s="3">
        <f ca="1">IF(AND(I3229&lt;&gt;I3228,ISNUMBER(SEARCH(Лист2!$B$5,I:I)),G3229=1),MAX($H$3:OFFSET(H3229,-1,0))+1,0)</f>
        <v>0</v>
      </c>
      <c r="I3229" s="3" t="s">
        <v>281</v>
      </c>
      <c r="K3229" s="2">
        <f>IF(ISNUMBER(SEARCH(Лист2!$B$4,F:F)),1,0)</f>
        <v>0</v>
      </c>
      <c r="L3229" s="14">
        <f>IF(ISNUMBER(SEARCH(Лист2!$B$5,I:I)),1,0)+K3229</f>
        <v>0</v>
      </c>
      <c r="M3229" s="3">
        <f ca="1">IF(AND(N3229&lt;&gt;N3228,ISNUMBER(SEARCH(Лист2!$B$6,N:N)),L3229=2),MAX($M$3:OFFSET(M3229,-1,0))+1,0)</f>
        <v>0</v>
      </c>
      <c r="N3229" s="3" t="s">
        <v>2072</v>
      </c>
    </row>
    <row r="3230" spans="1:14" x14ac:dyDescent="0.25">
      <c r="A3230" s="1" t="s">
        <v>12036</v>
      </c>
      <c r="B3230" s="3" t="s">
        <v>6854</v>
      </c>
      <c r="C3230" s="2">
        <f ca="1">IF(ISNUMBER(SEARCH(Лист2!$B$4,D:D)),MAX($C$3:OFFSET(C3230,-1,0))+1,0)</f>
        <v>0</v>
      </c>
      <c r="E3230" s="9" t="str">
        <f t="shared" ca="1" si="62"/>
        <v/>
      </c>
      <c r="F3230" s="4" t="s">
        <v>9</v>
      </c>
      <c r="G3230" s="2">
        <f>IF(ISNUMBER(SEARCH(Лист2!$B$4,F:F)),1,0)</f>
        <v>0</v>
      </c>
      <c r="H3230" s="3">
        <f ca="1">IF(AND(I3230&lt;&gt;I3229,ISNUMBER(SEARCH(Лист2!$B$5,I:I)),G3230=1),MAX($H$3:OFFSET(H3230,-1,0))+1,0)</f>
        <v>0</v>
      </c>
      <c r="I3230" s="3" t="s">
        <v>282</v>
      </c>
      <c r="K3230" s="2">
        <f>IF(ISNUMBER(SEARCH(Лист2!$B$4,F:F)),1,0)</f>
        <v>0</v>
      </c>
      <c r="L3230" s="14">
        <f>IF(ISNUMBER(SEARCH(Лист2!$B$5,I:I)),1,0)+K3230</f>
        <v>0</v>
      </c>
      <c r="M3230" s="3">
        <f ca="1">IF(AND(N3230&lt;&gt;N3229,ISNUMBER(SEARCH(Лист2!$B$6,N:N)),L3230=2),MAX($M$3:OFFSET(M3230,-1,0))+1,0)</f>
        <v>0</v>
      </c>
      <c r="N3230" s="3" t="s">
        <v>2066</v>
      </c>
    </row>
    <row r="3231" spans="1:14" x14ac:dyDescent="0.25">
      <c r="A3231" s="1" t="s">
        <v>12037</v>
      </c>
      <c r="B3231" s="3" t="s">
        <v>6855</v>
      </c>
      <c r="C3231" s="2">
        <f ca="1">IF(ISNUMBER(SEARCH(Лист2!$B$4,D:D)),MAX($C$3:OFFSET(C3231,-1,0))+1,0)</f>
        <v>0</v>
      </c>
      <c r="E3231" s="9" t="str">
        <f t="shared" ca="1" si="62"/>
        <v/>
      </c>
      <c r="F3231" s="4" t="s">
        <v>9</v>
      </c>
      <c r="G3231" s="2">
        <f>IF(ISNUMBER(SEARCH(Лист2!$B$4,F:F)),1,0)</f>
        <v>0</v>
      </c>
      <c r="H3231" s="3">
        <f ca="1">IF(AND(I3231&lt;&gt;I3230,ISNUMBER(SEARCH(Лист2!$B$5,I:I)),G3231=1),MAX($H$3:OFFSET(H3231,-1,0))+1,0)</f>
        <v>0</v>
      </c>
      <c r="I3231" s="3" t="s">
        <v>282</v>
      </c>
      <c r="K3231" s="2">
        <f>IF(ISNUMBER(SEARCH(Лист2!$B$4,F:F)),1,0)</f>
        <v>0</v>
      </c>
      <c r="L3231" s="14">
        <f>IF(ISNUMBER(SEARCH(Лист2!$B$5,I:I)),1,0)+K3231</f>
        <v>0</v>
      </c>
      <c r="M3231" s="3">
        <f ca="1">IF(AND(N3231&lt;&gt;N3230,ISNUMBER(SEARCH(Лист2!$B$6,N:N)),L3231=2),MAX($M$3:OFFSET(M3231,-1,0))+1,0)</f>
        <v>0</v>
      </c>
      <c r="N3231" s="3" t="s">
        <v>2073</v>
      </c>
    </row>
    <row r="3232" spans="1:14" x14ac:dyDescent="0.25">
      <c r="A3232" s="1" t="s">
        <v>12038</v>
      </c>
      <c r="B3232" s="3" t="s">
        <v>6856</v>
      </c>
      <c r="C3232" s="2">
        <f ca="1">IF(ISNUMBER(SEARCH(Лист2!$B$4,D:D)),MAX($C$3:OFFSET(C3232,-1,0))+1,0)</f>
        <v>0</v>
      </c>
      <c r="E3232" s="9" t="str">
        <f t="shared" ca="1" si="62"/>
        <v/>
      </c>
      <c r="F3232" s="4" t="s">
        <v>9</v>
      </c>
      <c r="G3232" s="2">
        <f>IF(ISNUMBER(SEARCH(Лист2!$B$4,F:F)),1,0)</f>
        <v>0</v>
      </c>
      <c r="H3232" s="3">
        <f ca="1">IF(AND(I3232&lt;&gt;I3231,ISNUMBER(SEARCH(Лист2!$B$5,I:I)),G3232=1),MAX($H$3:OFFSET(H3232,-1,0))+1,0)</f>
        <v>0</v>
      </c>
      <c r="I3232" s="3" t="s">
        <v>282</v>
      </c>
      <c r="K3232" s="2">
        <f>IF(ISNUMBER(SEARCH(Лист2!$B$4,F:F)),1,0)</f>
        <v>0</v>
      </c>
      <c r="L3232" s="14">
        <f>IF(ISNUMBER(SEARCH(Лист2!$B$5,I:I)),1,0)+K3232</f>
        <v>0</v>
      </c>
      <c r="M3232" s="3">
        <f ca="1">IF(AND(N3232&lt;&gt;N3231,ISNUMBER(SEARCH(Лист2!$B$6,N:N)),L3232=2),MAX($M$3:OFFSET(M3232,-1,0))+1,0)</f>
        <v>0</v>
      </c>
      <c r="N3232" s="3" t="s">
        <v>2074</v>
      </c>
    </row>
    <row r="3233" spans="1:14" x14ac:dyDescent="0.25">
      <c r="A3233" s="1" t="s">
        <v>12039</v>
      </c>
      <c r="B3233" s="3" t="s">
        <v>6857</v>
      </c>
      <c r="C3233" s="2">
        <f ca="1">IF(ISNUMBER(SEARCH(Лист2!$B$4,D:D)),MAX($C$3:OFFSET(C3233,-1,0))+1,0)</f>
        <v>0</v>
      </c>
      <c r="E3233" s="9" t="str">
        <f t="shared" ca="1" si="62"/>
        <v/>
      </c>
      <c r="F3233" s="4" t="s">
        <v>9</v>
      </c>
      <c r="G3233" s="2">
        <f>IF(ISNUMBER(SEARCH(Лист2!$B$4,F:F)),1,0)</f>
        <v>0</v>
      </c>
      <c r="H3233" s="3">
        <f ca="1">IF(AND(I3233&lt;&gt;I3232,ISNUMBER(SEARCH(Лист2!$B$5,I:I)),G3233=1),MAX($H$3:OFFSET(H3233,-1,0))+1,0)</f>
        <v>0</v>
      </c>
      <c r="I3233" s="3" t="s">
        <v>282</v>
      </c>
      <c r="K3233" s="2">
        <f>IF(ISNUMBER(SEARCH(Лист2!$B$4,F:F)),1,0)</f>
        <v>0</v>
      </c>
      <c r="L3233" s="14">
        <f>IF(ISNUMBER(SEARCH(Лист2!$B$5,I:I)),1,0)+K3233</f>
        <v>0</v>
      </c>
      <c r="M3233" s="3">
        <f ca="1">IF(AND(N3233&lt;&gt;N3232,ISNUMBER(SEARCH(Лист2!$B$6,N:N)),L3233=2),MAX($M$3:OFFSET(M3233,-1,0))+1,0)</f>
        <v>0</v>
      </c>
      <c r="N3233" s="3" t="s">
        <v>2075</v>
      </c>
    </row>
    <row r="3234" spans="1:14" x14ac:dyDescent="0.25">
      <c r="A3234" s="1" t="s">
        <v>12040</v>
      </c>
      <c r="B3234" s="3" t="s">
        <v>6858</v>
      </c>
      <c r="C3234" s="2">
        <f ca="1">IF(ISNUMBER(SEARCH(Лист2!$B$4,D:D)),MAX($C$3:OFFSET(C3234,-1,0))+1,0)</f>
        <v>0</v>
      </c>
      <c r="E3234" s="9" t="str">
        <f t="shared" ca="1" si="62"/>
        <v/>
      </c>
      <c r="F3234" s="4" t="s">
        <v>9</v>
      </c>
      <c r="G3234" s="2">
        <f>IF(ISNUMBER(SEARCH(Лист2!$B$4,F:F)),1,0)</f>
        <v>0</v>
      </c>
      <c r="H3234" s="3">
        <f ca="1">IF(AND(I3234&lt;&gt;I3233,ISNUMBER(SEARCH(Лист2!$B$5,I:I)),G3234=1),MAX($H$3:OFFSET(H3234,-1,0))+1,0)</f>
        <v>0</v>
      </c>
      <c r="I3234" s="3" t="s">
        <v>282</v>
      </c>
      <c r="K3234" s="2">
        <f>IF(ISNUMBER(SEARCH(Лист2!$B$4,F:F)),1,0)</f>
        <v>0</v>
      </c>
      <c r="L3234" s="14">
        <f>IF(ISNUMBER(SEARCH(Лист2!$B$5,I:I)),1,0)+K3234</f>
        <v>0</v>
      </c>
      <c r="M3234" s="3">
        <f ca="1">IF(AND(N3234&lt;&gt;N3233,ISNUMBER(SEARCH(Лист2!$B$6,N:N)),L3234=2),MAX($M$3:OFFSET(M3234,-1,0))+1,0)</f>
        <v>0</v>
      </c>
      <c r="N3234" s="3" t="s">
        <v>2076</v>
      </c>
    </row>
    <row r="3235" spans="1:14" x14ac:dyDescent="0.25">
      <c r="A3235" s="1" t="s">
        <v>12041</v>
      </c>
      <c r="B3235" s="3" t="s">
        <v>6859</v>
      </c>
      <c r="C3235" s="2">
        <f ca="1">IF(ISNUMBER(SEARCH(Лист2!$B$4,D:D)),MAX($C$3:OFFSET(C3235,-1,0))+1,0)</f>
        <v>0</v>
      </c>
      <c r="E3235" s="9" t="str">
        <f t="shared" ca="1" si="62"/>
        <v/>
      </c>
      <c r="F3235" s="4" t="s">
        <v>9</v>
      </c>
      <c r="G3235" s="2">
        <f>IF(ISNUMBER(SEARCH(Лист2!$B$4,F:F)),1,0)</f>
        <v>0</v>
      </c>
      <c r="H3235" s="3">
        <f ca="1">IF(AND(I3235&lt;&gt;I3234,ISNUMBER(SEARCH(Лист2!$B$5,I:I)),G3235=1),MAX($H$3:OFFSET(H3235,-1,0))+1,0)</f>
        <v>0</v>
      </c>
      <c r="I3235" s="3" t="s">
        <v>282</v>
      </c>
      <c r="K3235" s="2">
        <f>IF(ISNUMBER(SEARCH(Лист2!$B$4,F:F)),1,0)</f>
        <v>0</v>
      </c>
      <c r="L3235" s="14">
        <f>IF(ISNUMBER(SEARCH(Лист2!$B$5,I:I)),1,0)+K3235</f>
        <v>0</v>
      </c>
      <c r="M3235" s="3">
        <f ca="1">IF(AND(N3235&lt;&gt;N3234,ISNUMBER(SEARCH(Лист2!$B$6,N:N)),L3235=2),MAX($M$3:OFFSET(M3235,-1,0))+1,0)</f>
        <v>0</v>
      </c>
      <c r="N3235" s="3" t="s">
        <v>602</v>
      </c>
    </row>
    <row r="3236" spans="1:14" x14ac:dyDescent="0.25">
      <c r="A3236" s="1" t="s">
        <v>12042</v>
      </c>
      <c r="B3236" s="3" t="s">
        <v>6860</v>
      </c>
      <c r="C3236" s="2">
        <f ca="1">IF(ISNUMBER(SEARCH(Лист2!$B$4,D:D)),MAX($C$3:OFFSET(C3236,-1,0))+1,0)</f>
        <v>0</v>
      </c>
      <c r="E3236" s="9" t="str">
        <f t="shared" ca="1" si="62"/>
        <v/>
      </c>
      <c r="F3236" s="4" t="s">
        <v>9</v>
      </c>
      <c r="G3236" s="2">
        <f>IF(ISNUMBER(SEARCH(Лист2!$B$4,F:F)),1,0)</f>
        <v>0</v>
      </c>
      <c r="H3236" s="3">
        <f ca="1">IF(AND(I3236&lt;&gt;I3235,ISNUMBER(SEARCH(Лист2!$B$5,I:I)),G3236=1),MAX($H$3:OFFSET(H3236,-1,0))+1,0)</f>
        <v>0</v>
      </c>
      <c r="I3236" s="3" t="s">
        <v>282</v>
      </c>
      <c r="K3236" s="2">
        <f>IF(ISNUMBER(SEARCH(Лист2!$B$4,F:F)),1,0)</f>
        <v>0</v>
      </c>
      <c r="L3236" s="14">
        <f>IF(ISNUMBER(SEARCH(Лист2!$B$5,I:I)),1,0)+K3236</f>
        <v>0</v>
      </c>
      <c r="M3236" s="3">
        <f ca="1">IF(AND(N3236&lt;&gt;N3235,ISNUMBER(SEARCH(Лист2!$B$6,N:N)),L3236=2),MAX($M$3:OFFSET(M3236,-1,0))+1,0)</f>
        <v>0</v>
      </c>
      <c r="N3236" s="3" t="s">
        <v>2077</v>
      </c>
    </row>
    <row r="3237" spans="1:14" x14ac:dyDescent="0.25">
      <c r="A3237" s="1" t="s">
        <v>12043</v>
      </c>
      <c r="B3237" s="3" t="s">
        <v>6861</v>
      </c>
      <c r="C3237" s="2">
        <f ca="1">IF(ISNUMBER(SEARCH(Лист2!$B$4,D:D)),MAX($C$3:OFFSET(C3237,-1,0))+1,0)</f>
        <v>0</v>
      </c>
      <c r="E3237" s="9" t="str">
        <f t="shared" ca="1" si="62"/>
        <v/>
      </c>
      <c r="F3237" s="4" t="s">
        <v>9</v>
      </c>
      <c r="G3237" s="2">
        <f>IF(ISNUMBER(SEARCH(Лист2!$B$4,F:F)),1,0)</f>
        <v>0</v>
      </c>
      <c r="H3237" s="3">
        <f ca="1">IF(AND(I3237&lt;&gt;I3236,ISNUMBER(SEARCH(Лист2!$B$5,I:I)),G3237=1),MAX($H$3:OFFSET(H3237,-1,0))+1,0)</f>
        <v>0</v>
      </c>
      <c r="I3237" s="3" t="s">
        <v>282</v>
      </c>
      <c r="K3237" s="2">
        <f>IF(ISNUMBER(SEARCH(Лист2!$B$4,F:F)),1,0)</f>
        <v>0</v>
      </c>
      <c r="L3237" s="14">
        <f>IF(ISNUMBER(SEARCH(Лист2!$B$5,I:I)),1,0)+K3237</f>
        <v>0</v>
      </c>
      <c r="M3237" s="3">
        <f ca="1">IF(AND(N3237&lt;&gt;N3236,ISNUMBER(SEARCH(Лист2!$B$6,N:N)),L3237=2),MAX($M$3:OFFSET(M3237,-1,0))+1,0)</f>
        <v>0</v>
      </c>
      <c r="N3237" s="3" t="s">
        <v>2078</v>
      </c>
    </row>
    <row r="3238" spans="1:14" x14ac:dyDescent="0.25">
      <c r="A3238" s="1" t="s">
        <v>12044</v>
      </c>
      <c r="B3238" s="3" t="s">
        <v>6862</v>
      </c>
      <c r="C3238" s="2">
        <f ca="1">IF(ISNUMBER(SEARCH(Лист2!$B$4,D:D)),MAX($C$3:OFFSET(C3238,-1,0))+1,0)</f>
        <v>0</v>
      </c>
      <c r="E3238" s="9" t="str">
        <f t="shared" ca="1" si="62"/>
        <v/>
      </c>
      <c r="F3238" s="4" t="s">
        <v>9</v>
      </c>
      <c r="G3238" s="2">
        <f>IF(ISNUMBER(SEARCH(Лист2!$B$4,F:F)),1,0)</f>
        <v>0</v>
      </c>
      <c r="H3238" s="3">
        <f ca="1">IF(AND(I3238&lt;&gt;I3237,ISNUMBER(SEARCH(Лист2!$B$5,I:I)),G3238=1),MAX($H$3:OFFSET(H3238,-1,0))+1,0)</f>
        <v>0</v>
      </c>
      <c r="I3238" s="3" t="s">
        <v>283</v>
      </c>
      <c r="K3238" s="2">
        <f>IF(ISNUMBER(SEARCH(Лист2!$B$4,F:F)),1,0)</f>
        <v>0</v>
      </c>
      <c r="L3238" s="14">
        <f>IF(ISNUMBER(SEARCH(Лист2!$B$5,I:I)),1,0)+K3238</f>
        <v>0</v>
      </c>
      <c r="M3238" s="3">
        <f ca="1">IF(AND(N3238&lt;&gt;N3237,ISNUMBER(SEARCH(Лист2!$B$6,N:N)),L3238=2),MAX($M$3:OFFSET(M3238,-1,0))+1,0)</f>
        <v>0</v>
      </c>
      <c r="N3238" s="3" t="s">
        <v>2079</v>
      </c>
    </row>
    <row r="3239" spans="1:14" x14ac:dyDescent="0.25">
      <c r="A3239" s="1" t="s">
        <v>12045</v>
      </c>
      <c r="B3239" s="3" t="s">
        <v>6863</v>
      </c>
      <c r="C3239" s="2">
        <f ca="1">IF(ISNUMBER(SEARCH(Лист2!$B$4,D:D)),MAX($C$3:OFFSET(C3239,-1,0))+1,0)</f>
        <v>0</v>
      </c>
      <c r="E3239" s="9" t="str">
        <f t="shared" ca="1" si="62"/>
        <v/>
      </c>
      <c r="F3239" s="4" t="s">
        <v>9</v>
      </c>
      <c r="G3239" s="2">
        <f>IF(ISNUMBER(SEARCH(Лист2!$B$4,F:F)),1,0)</f>
        <v>0</v>
      </c>
      <c r="H3239" s="3">
        <f ca="1">IF(AND(I3239&lt;&gt;I3238,ISNUMBER(SEARCH(Лист2!$B$5,I:I)),G3239=1),MAX($H$3:OFFSET(H3239,-1,0))+1,0)</f>
        <v>0</v>
      </c>
      <c r="I3239" s="3" t="s">
        <v>283</v>
      </c>
      <c r="K3239" s="2">
        <f>IF(ISNUMBER(SEARCH(Лист2!$B$4,F:F)),1,0)</f>
        <v>0</v>
      </c>
      <c r="L3239" s="14">
        <f>IF(ISNUMBER(SEARCH(Лист2!$B$5,I:I)),1,0)+K3239</f>
        <v>0</v>
      </c>
      <c r="M3239" s="3">
        <f ca="1">IF(AND(N3239&lt;&gt;N3238,ISNUMBER(SEARCH(Лист2!$B$6,N:N)),L3239=2),MAX($M$3:OFFSET(M3239,-1,0))+1,0)</f>
        <v>0</v>
      </c>
      <c r="N3239" s="3" t="s">
        <v>2080</v>
      </c>
    </row>
    <row r="3240" spans="1:14" x14ac:dyDescent="0.25">
      <c r="A3240" s="1" t="s">
        <v>12046</v>
      </c>
      <c r="B3240" s="3" t="s">
        <v>6864</v>
      </c>
      <c r="C3240" s="2">
        <f ca="1">IF(ISNUMBER(SEARCH(Лист2!$B$4,D:D)),MAX($C$3:OFFSET(C3240,-1,0))+1,0)</f>
        <v>0</v>
      </c>
      <c r="E3240" s="9" t="str">
        <f t="shared" ca="1" si="62"/>
        <v/>
      </c>
      <c r="F3240" s="4" t="s">
        <v>9</v>
      </c>
      <c r="G3240" s="2">
        <f>IF(ISNUMBER(SEARCH(Лист2!$B$4,F:F)),1,0)</f>
        <v>0</v>
      </c>
      <c r="H3240" s="3">
        <f ca="1">IF(AND(I3240&lt;&gt;I3239,ISNUMBER(SEARCH(Лист2!$B$5,I:I)),G3240=1),MAX($H$3:OFFSET(H3240,-1,0))+1,0)</f>
        <v>0</v>
      </c>
      <c r="I3240" s="3" t="s">
        <v>283</v>
      </c>
      <c r="K3240" s="2">
        <f>IF(ISNUMBER(SEARCH(Лист2!$B$4,F:F)),1,0)</f>
        <v>0</v>
      </c>
      <c r="L3240" s="14">
        <f>IF(ISNUMBER(SEARCH(Лист2!$B$5,I:I)),1,0)+K3240</f>
        <v>0</v>
      </c>
      <c r="M3240" s="3">
        <f ca="1">IF(AND(N3240&lt;&gt;N3239,ISNUMBER(SEARCH(Лист2!$B$6,N:N)),L3240=2),MAX($M$3:OFFSET(M3240,-1,0))+1,0)</f>
        <v>0</v>
      </c>
      <c r="N3240" s="3" t="s">
        <v>1385</v>
      </c>
    </row>
    <row r="3241" spans="1:14" x14ac:dyDescent="0.25">
      <c r="A3241" s="1" t="s">
        <v>12047</v>
      </c>
      <c r="B3241" s="3" t="s">
        <v>6865</v>
      </c>
      <c r="C3241" s="2">
        <f ca="1">IF(ISNUMBER(SEARCH(Лист2!$B$4,D:D)),MAX($C$3:OFFSET(C3241,-1,0))+1,0)</f>
        <v>0</v>
      </c>
      <c r="E3241" s="9" t="str">
        <f t="shared" ca="1" si="62"/>
        <v/>
      </c>
      <c r="F3241" s="4" t="s">
        <v>9</v>
      </c>
      <c r="G3241" s="2">
        <f>IF(ISNUMBER(SEARCH(Лист2!$B$4,F:F)),1,0)</f>
        <v>0</v>
      </c>
      <c r="H3241" s="3">
        <f ca="1">IF(AND(I3241&lt;&gt;I3240,ISNUMBER(SEARCH(Лист2!$B$5,I:I)),G3241=1),MAX($H$3:OFFSET(H3241,-1,0))+1,0)</f>
        <v>0</v>
      </c>
      <c r="I3241" s="3" t="s">
        <v>283</v>
      </c>
      <c r="K3241" s="2">
        <f>IF(ISNUMBER(SEARCH(Лист2!$B$4,F:F)),1,0)</f>
        <v>0</v>
      </c>
      <c r="L3241" s="14">
        <f>IF(ISNUMBER(SEARCH(Лист2!$B$5,I:I)),1,0)+K3241</f>
        <v>0</v>
      </c>
      <c r="M3241" s="3">
        <f ca="1">IF(AND(N3241&lt;&gt;N3240,ISNUMBER(SEARCH(Лист2!$B$6,N:N)),L3241=2),MAX($M$3:OFFSET(M3241,-1,0))+1,0)</f>
        <v>0</v>
      </c>
      <c r="N3241" s="3" t="s">
        <v>602</v>
      </c>
    </row>
    <row r="3242" spans="1:14" x14ac:dyDescent="0.25">
      <c r="A3242" s="1" t="s">
        <v>12048</v>
      </c>
      <c r="B3242" s="3" t="s">
        <v>6866</v>
      </c>
      <c r="C3242" s="2">
        <f ca="1">IF(ISNUMBER(SEARCH(Лист2!$B$4,D:D)),MAX($C$3:OFFSET(C3242,-1,0))+1,0)</f>
        <v>0</v>
      </c>
      <c r="E3242" s="9" t="str">
        <f t="shared" ca="1" si="62"/>
        <v/>
      </c>
      <c r="F3242" s="4" t="s">
        <v>9</v>
      </c>
      <c r="G3242" s="2">
        <f>IF(ISNUMBER(SEARCH(Лист2!$B$4,F:F)),1,0)</f>
        <v>0</v>
      </c>
      <c r="H3242" s="3">
        <f ca="1">IF(AND(I3242&lt;&gt;I3241,ISNUMBER(SEARCH(Лист2!$B$5,I:I)),G3242=1),MAX($H$3:OFFSET(H3242,-1,0))+1,0)</f>
        <v>0</v>
      </c>
      <c r="I3242" s="3" t="s">
        <v>283</v>
      </c>
      <c r="K3242" s="2">
        <f>IF(ISNUMBER(SEARCH(Лист2!$B$4,F:F)),1,0)</f>
        <v>0</v>
      </c>
      <c r="L3242" s="14">
        <f>IF(ISNUMBER(SEARCH(Лист2!$B$5,I:I)),1,0)+K3242</f>
        <v>0</v>
      </c>
      <c r="M3242" s="3">
        <f ca="1">IF(AND(N3242&lt;&gt;N3241,ISNUMBER(SEARCH(Лист2!$B$6,N:N)),L3242=2),MAX($M$3:OFFSET(M3242,-1,0))+1,0)</f>
        <v>0</v>
      </c>
      <c r="N3242" s="3" t="s">
        <v>2081</v>
      </c>
    </row>
    <row r="3243" spans="1:14" x14ac:dyDescent="0.25">
      <c r="A3243" s="1" t="s">
        <v>12049</v>
      </c>
      <c r="B3243" s="3" t="s">
        <v>6867</v>
      </c>
      <c r="C3243" s="2">
        <f ca="1">IF(ISNUMBER(SEARCH(Лист2!$B$4,D:D)),MAX($C$3:OFFSET(C3243,-1,0))+1,0)</f>
        <v>0</v>
      </c>
      <c r="E3243" s="9" t="str">
        <f t="shared" ca="1" si="62"/>
        <v/>
      </c>
      <c r="F3243" s="4" t="s">
        <v>9</v>
      </c>
      <c r="G3243" s="2">
        <f>IF(ISNUMBER(SEARCH(Лист2!$B$4,F:F)),1,0)</f>
        <v>0</v>
      </c>
      <c r="H3243" s="3">
        <f ca="1">IF(AND(I3243&lt;&gt;I3242,ISNUMBER(SEARCH(Лист2!$B$5,I:I)),G3243=1),MAX($H$3:OFFSET(H3243,-1,0))+1,0)</f>
        <v>0</v>
      </c>
      <c r="I3243" s="3" t="s">
        <v>283</v>
      </c>
      <c r="K3243" s="2">
        <f>IF(ISNUMBER(SEARCH(Лист2!$B$4,F:F)),1,0)</f>
        <v>0</v>
      </c>
      <c r="L3243" s="14">
        <f>IF(ISNUMBER(SEARCH(Лист2!$B$5,I:I)),1,0)+K3243</f>
        <v>0</v>
      </c>
      <c r="M3243" s="3">
        <f ca="1">IF(AND(N3243&lt;&gt;N3242,ISNUMBER(SEARCH(Лист2!$B$6,N:N)),L3243=2),MAX($M$3:OFFSET(M3243,-1,0))+1,0)</f>
        <v>0</v>
      </c>
      <c r="N3243" s="3" t="s">
        <v>2082</v>
      </c>
    </row>
    <row r="3244" spans="1:14" x14ac:dyDescent="0.25">
      <c r="A3244" s="1" t="s">
        <v>12050</v>
      </c>
      <c r="B3244" s="3" t="s">
        <v>6868</v>
      </c>
      <c r="C3244" s="2">
        <f ca="1">IF(ISNUMBER(SEARCH(Лист2!$B$4,D:D)),MAX($C$3:OFFSET(C3244,-1,0))+1,0)</f>
        <v>0</v>
      </c>
      <c r="E3244" s="9" t="str">
        <f t="shared" ca="1" si="62"/>
        <v/>
      </c>
      <c r="F3244" s="4" t="s">
        <v>9</v>
      </c>
      <c r="G3244" s="2">
        <f>IF(ISNUMBER(SEARCH(Лист2!$B$4,F:F)),1,0)</f>
        <v>0</v>
      </c>
      <c r="H3244" s="3">
        <f ca="1">IF(AND(I3244&lt;&gt;I3243,ISNUMBER(SEARCH(Лист2!$B$5,I:I)),G3244=1),MAX($H$3:OFFSET(H3244,-1,0))+1,0)</f>
        <v>0</v>
      </c>
      <c r="I3244" s="3" t="s">
        <v>283</v>
      </c>
      <c r="K3244" s="2">
        <f>IF(ISNUMBER(SEARCH(Лист2!$B$4,F:F)),1,0)</f>
        <v>0</v>
      </c>
      <c r="L3244" s="14">
        <f>IF(ISNUMBER(SEARCH(Лист2!$B$5,I:I)),1,0)+K3244</f>
        <v>0</v>
      </c>
      <c r="M3244" s="3">
        <f ca="1">IF(AND(N3244&lt;&gt;N3243,ISNUMBER(SEARCH(Лист2!$B$6,N:N)),L3244=2),MAX($M$3:OFFSET(M3244,-1,0))+1,0)</f>
        <v>0</v>
      </c>
      <c r="N3244" s="3" t="s">
        <v>2083</v>
      </c>
    </row>
    <row r="3245" spans="1:14" x14ac:dyDescent="0.25">
      <c r="A3245" s="1" t="s">
        <v>12051</v>
      </c>
      <c r="B3245" s="3" t="s">
        <v>6869</v>
      </c>
      <c r="C3245" s="2">
        <f ca="1">IF(ISNUMBER(SEARCH(Лист2!$B$4,D:D)),MAX($C$3:OFFSET(C3245,-1,0))+1,0)</f>
        <v>0</v>
      </c>
      <c r="E3245" s="9" t="str">
        <f t="shared" ca="1" si="62"/>
        <v/>
      </c>
      <c r="F3245" s="4" t="s">
        <v>9</v>
      </c>
      <c r="G3245" s="2">
        <f>IF(ISNUMBER(SEARCH(Лист2!$B$4,F:F)),1,0)</f>
        <v>0</v>
      </c>
      <c r="H3245" s="3">
        <f ca="1">IF(AND(I3245&lt;&gt;I3244,ISNUMBER(SEARCH(Лист2!$B$5,I:I)),G3245=1),MAX($H$3:OFFSET(H3245,-1,0))+1,0)</f>
        <v>0</v>
      </c>
      <c r="I3245" s="3" t="s">
        <v>283</v>
      </c>
      <c r="K3245" s="2">
        <f>IF(ISNUMBER(SEARCH(Лист2!$B$4,F:F)),1,0)</f>
        <v>0</v>
      </c>
      <c r="L3245" s="14">
        <f>IF(ISNUMBER(SEARCH(Лист2!$B$5,I:I)),1,0)+K3245</f>
        <v>0</v>
      </c>
      <c r="M3245" s="3">
        <f ca="1">IF(AND(N3245&lt;&gt;N3244,ISNUMBER(SEARCH(Лист2!$B$6,N:N)),L3245=2),MAX($M$3:OFFSET(M3245,-1,0))+1,0)</f>
        <v>0</v>
      </c>
      <c r="N3245" s="3" t="s">
        <v>2017</v>
      </c>
    </row>
    <row r="3246" spans="1:14" x14ac:dyDescent="0.25">
      <c r="A3246" s="1" t="s">
        <v>12052</v>
      </c>
      <c r="B3246" s="3" t="s">
        <v>6870</v>
      </c>
      <c r="C3246" s="2">
        <f ca="1">IF(ISNUMBER(SEARCH(Лист2!$B$4,D:D)),MAX($C$3:OFFSET(C3246,-1,0))+1,0)</f>
        <v>0</v>
      </c>
      <c r="E3246" s="9" t="str">
        <f t="shared" ca="1" si="62"/>
        <v/>
      </c>
      <c r="F3246" s="4" t="s">
        <v>9</v>
      </c>
      <c r="G3246" s="2">
        <f>IF(ISNUMBER(SEARCH(Лист2!$B$4,F:F)),1,0)</f>
        <v>0</v>
      </c>
      <c r="H3246" s="3">
        <f ca="1">IF(AND(I3246&lt;&gt;I3245,ISNUMBER(SEARCH(Лист2!$B$5,I:I)),G3246=1),MAX($H$3:OFFSET(H3246,-1,0))+1,0)</f>
        <v>0</v>
      </c>
      <c r="I3246" s="3" t="s">
        <v>283</v>
      </c>
      <c r="K3246" s="2">
        <f>IF(ISNUMBER(SEARCH(Лист2!$B$4,F:F)),1,0)</f>
        <v>0</v>
      </c>
      <c r="L3246" s="14">
        <f>IF(ISNUMBER(SEARCH(Лист2!$B$5,I:I)),1,0)+K3246</f>
        <v>0</v>
      </c>
      <c r="M3246" s="3">
        <f ca="1">IF(AND(N3246&lt;&gt;N3245,ISNUMBER(SEARCH(Лист2!$B$6,N:N)),L3246=2),MAX($M$3:OFFSET(M3246,-1,0))+1,0)</f>
        <v>0</v>
      </c>
      <c r="N3246" s="3" t="s">
        <v>2084</v>
      </c>
    </row>
    <row r="3247" spans="1:14" x14ac:dyDescent="0.25">
      <c r="A3247" s="1" t="s">
        <v>12053</v>
      </c>
      <c r="B3247" s="3" t="s">
        <v>6871</v>
      </c>
      <c r="C3247" s="2">
        <f ca="1">IF(ISNUMBER(SEARCH(Лист2!$B$4,D:D)),MAX($C$3:OFFSET(C3247,-1,0))+1,0)</f>
        <v>0</v>
      </c>
      <c r="E3247" s="9" t="str">
        <f t="shared" ca="1" si="62"/>
        <v/>
      </c>
      <c r="F3247" s="4" t="s">
        <v>9</v>
      </c>
      <c r="G3247" s="2">
        <f>IF(ISNUMBER(SEARCH(Лист2!$B$4,F:F)),1,0)</f>
        <v>0</v>
      </c>
      <c r="H3247" s="3">
        <f ca="1">IF(AND(I3247&lt;&gt;I3246,ISNUMBER(SEARCH(Лист2!$B$5,I:I)),G3247=1),MAX($H$3:OFFSET(H3247,-1,0))+1,0)</f>
        <v>0</v>
      </c>
      <c r="I3247" s="3" t="s">
        <v>283</v>
      </c>
      <c r="K3247" s="2">
        <f>IF(ISNUMBER(SEARCH(Лист2!$B$4,F:F)),1,0)</f>
        <v>0</v>
      </c>
      <c r="L3247" s="14">
        <f>IF(ISNUMBER(SEARCH(Лист2!$B$5,I:I)),1,0)+K3247</f>
        <v>0</v>
      </c>
      <c r="M3247" s="3">
        <f ca="1">IF(AND(N3247&lt;&gt;N3246,ISNUMBER(SEARCH(Лист2!$B$6,N:N)),L3247=2),MAX($M$3:OFFSET(M3247,-1,0))+1,0)</f>
        <v>0</v>
      </c>
      <c r="N3247" s="3" t="s">
        <v>2085</v>
      </c>
    </row>
    <row r="3248" spans="1:14" x14ac:dyDescent="0.25">
      <c r="A3248" s="1" t="s">
        <v>12054</v>
      </c>
      <c r="B3248" s="3" t="s">
        <v>6872</v>
      </c>
      <c r="C3248" s="2">
        <f ca="1">IF(ISNUMBER(SEARCH(Лист2!$B$4,D:D)),MAX($C$3:OFFSET(C3248,-1,0))+1,0)</f>
        <v>0</v>
      </c>
      <c r="E3248" s="9" t="str">
        <f t="shared" ca="1" si="62"/>
        <v/>
      </c>
      <c r="F3248" s="4" t="s">
        <v>9</v>
      </c>
      <c r="G3248" s="2">
        <f>IF(ISNUMBER(SEARCH(Лист2!$B$4,F:F)),1,0)</f>
        <v>0</v>
      </c>
      <c r="H3248" s="3">
        <f ca="1">IF(AND(I3248&lt;&gt;I3247,ISNUMBER(SEARCH(Лист2!$B$5,I:I)),G3248=1),MAX($H$3:OFFSET(H3248,-1,0))+1,0)</f>
        <v>0</v>
      </c>
      <c r="I3248" s="3" t="s">
        <v>284</v>
      </c>
      <c r="K3248" s="2">
        <f>IF(ISNUMBER(SEARCH(Лист2!$B$4,F:F)),1,0)</f>
        <v>0</v>
      </c>
      <c r="L3248" s="14">
        <f>IF(ISNUMBER(SEARCH(Лист2!$B$5,I:I)),1,0)+K3248</f>
        <v>0</v>
      </c>
      <c r="M3248" s="3">
        <f ca="1">IF(AND(N3248&lt;&gt;N3247,ISNUMBER(SEARCH(Лист2!$B$6,N:N)),L3248=2),MAX($M$3:OFFSET(M3248,-1,0))+1,0)</f>
        <v>0</v>
      </c>
      <c r="N3248" s="3" t="s">
        <v>2079</v>
      </c>
    </row>
    <row r="3249" spans="1:14" x14ac:dyDescent="0.25">
      <c r="A3249" s="1" t="s">
        <v>12055</v>
      </c>
      <c r="B3249" s="3" t="s">
        <v>6873</v>
      </c>
      <c r="C3249" s="2">
        <f ca="1">IF(ISNUMBER(SEARCH(Лист2!$B$4,D:D)),MAX($C$3:OFFSET(C3249,-1,0))+1,0)</f>
        <v>0</v>
      </c>
      <c r="E3249" s="9" t="str">
        <f t="shared" ca="1" si="62"/>
        <v/>
      </c>
      <c r="F3249" s="4" t="s">
        <v>9</v>
      </c>
      <c r="G3249" s="2">
        <f>IF(ISNUMBER(SEARCH(Лист2!$B$4,F:F)),1,0)</f>
        <v>0</v>
      </c>
      <c r="H3249" s="3">
        <f ca="1">IF(AND(I3249&lt;&gt;I3248,ISNUMBER(SEARCH(Лист2!$B$5,I:I)),G3249=1),MAX($H$3:OFFSET(H3249,-1,0))+1,0)</f>
        <v>0</v>
      </c>
      <c r="I3249" s="3" t="s">
        <v>284</v>
      </c>
      <c r="K3249" s="2">
        <f>IF(ISNUMBER(SEARCH(Лист2!$B$4,F:F)),1,0)</f>
        <v>0</v>
      </c>
      <c r="L3249" s="14">
        <f>IF(ISNUMBER(SEARCH(Лист2!$B$5,I:I)),1,0)+K3249</f>
        <v>0</v>
      </c>
      <c r="M3249" s="3">
        <f ca="1">IF(AND(N3249&lt;&gt;N3248,ISNUMBER(SEARCH(Лист2!$B$6,N:N)),L3249=2),MAX($M$3:OFFSET(M3249,-1,0))+1,0)</f>
        <v>0</v>
      </c>
      <c r="N3249" s="3" t="s">
        <v>2080</v>
      </c>
    </row>
    <row r="3250" spans="1:14" x14ac:dyDescent="0.25">
      <c r="A3250" s="1" t="s">
        <v>12056</v>
      </c>
      <c r="B3250" s="3" t="s">
        <v>6874</v>
      </c>
      <c r="C3250" s="2">
        <f ca="1">IF(ISNUMBER(SEARCH(Лист2!$B$4,D:D)),MAX($C$3:OFFSET(C3250,-1,0))+1,0)</f>
        <v>0</v>
      </c>
      <c r="E3250" s="9" t="str">
        <f t="shared" ca="1" si="62"/>
        <v/>
      </c>
      <c r="F3250" s="4" t="s">
        <v>9</v>
      </c>
      <c r="G3250" s="2">
        <f>IF(ISNUMBER(SEARCH(Лист2!$B$4,F:F)),1,0)</f>
        <v>0</v>
      </c>
      <c r="H3250" s="3">
        <f ca="1">IF(AND(I3250&lt;&gt;I3249,ISNUMBER(SEARCH(Лист2!$B$5,I:I)),G3250=1),MAX($H$3:OFFSET(H3250,-1,0))+1,0)</f>
        <v>0</v>
      </c>
      <c r="I3250" s="3" t="s">
        <v>284</v>
      </c>
      <c r="K3250" s="2">
        <f>IF(ISNUMBER(SEARCH(Лист2!$B$4,F:F)),1,0)</f>
        <v>0</v>
      </c>
      <c r="L3250" s="14">
        <f>IF(ISNUMBER(SEARCH(Лист2!$B$5,I:I)),1,0)+K3250</f>
        <v>0</v>
      </c>
      <c r="M3250" s="3">
        <f ca="1">IF(AND(N3250&lt;&gt;N3249,ISNUMBER(SEARCH(Лист2!$B$6,N:N)),L3250=2),MAX($M$3:OFFSET(M3250,-1,0))+1,0)</f>
        <v>0</v>
      </c>
      <c r="N3250" s="3" t="s">
        <v>1385</v>
      </c>
    </row>
    <row r="3251" spans="1:14" x14ac:dyDescent="0.25">
      <c r="A3251" s="1" t="s">
        <v>12057</v>
      </c>
      <c r="B3251" s="3" t="s">
        <v>6875</v>
      </c>
      <c r="C3251" s="2">
        <f ca="1">IF(ISNUMBER(SEARCH(Лист2!$B$4,D:D)),MAX($C$3:OFFSET(C3251,-1,0))+1,0)</f>
        <v>0</v>
      </c>
      <c r="E3251" s="9" t="str">
        <f t="shared" ca="1" si="62"/>
        <v/>
      </c>
      <c r="F3251" s="4" t="s">
        <v>9</v>
      </c>
      <c r="G3251" s="2">
        <f>IF(ISNUMBER(SEARCH(Лист2!$B$4,F:F)),1,0)</f>
        <v>0</v>
      </c>
      <c r="H3251" s="3">
        <f ca="1">IF(AND(I3251&lt;&gt;I3250,ISNUMBER(SEARCH(Лист2!$B$5,I:I)),G3251=1),MAX($H$3:OFFSET(H3251,-1,0))+1,0)</f>
        <v>0</v>
      </c>
      <c r="I3251" s="3" t="s">
        <v>284</v>
      </c>
      <c r="K3251" s="2">
        <f>IF(ISNUMBER(SEARCH(Лист2!$B$4,F:F)),1,0)</f>
        <v>0</v>
      </c>
      <c r="L3251" s="14">
        <f>IF(ISNUMBER(SEARCH(Лист2!$B$5,I:I)),1,0)+K3251</f>
        <v>0</v>
      </c>
      <c r="M3251" s="3">
        <f ca="1">IF(AND(N3251&lt;&gt;N3250,ISNUMBER(SEARCH(Лист2!$B$6,N:N)),L3251=2),MAX($M$3:OFFSET(M3251,-1,0))+1,0)</f>
        <v>0</v>
      </c>
      <c r="N3251" s="3" t="s">
        <v>602</v>
      </c>
    </row>
    <row r="3252" spans="1:14" x14ac:dyDescent="0.25">
      <c r="A3252" s="1" t="s">
        <v>12058</v>
      </c>
      <c r="B3252" s="3" t="s">
        <v>6876</v>
      </c>
      <c r="C3252" s="2">
        <f ca="1">IF(ISNUMBER(SEARCH(Лист2!$B$4,D:D)),MAX($C$3:OFFSET(C3252,-1,0))+1,0)</f>
        <v>0</v>
      </c>
      <c r="E3252" s="9" t="str">
        <f t="shared" ca="1" si="62"/>
        <v/>
      </c>
      <c r="F3252" s="4" t="s">
        <v>9</v>
      </c>
      <c r="G3252" s="2">
        <f>IF(ISNUMBER(SEARCH(Лист2!$B$4,F:F)),1,0)</f>
        <v>0</v>
      </c>
      <c r="H3252" s="3">
        <f ca="1">IF(AND(I3252&lt;&gt;I3251,ISNUMBER(SEARCH(Лист2!$B$5,I:I)),G3252=1),MAX($H$3:OFFSET(H3252,-1,0))+1,0)</f>
        <v>0</v>
      </c>
      <c r="I3252" s="3" t="s">
        <v>284</v>
      </c>
      <c r="K3252" s="2">
        <f>IF(ISNUMBER(SEARCH(Лист2!$B$4,F:F)),1,0)</f>
        <v>0</v>
      </c>
      <c r="L3252" s="14">
        <f>IF(ISNUMBER(SEARCH(Лист2!$B$5,I:I)),1,0)+K3252</f>
        <v>0</v>
      </c>
      <c r="M3252" s="3">
        <f ca="1">IF(AND(N3252&lt;&gt;N3251,ISNUMBER(SEARCH(Лист2!$B$6,N:N)),L3252=2),MAX($M$3:OFFSET(M3252,-1,0))+1,0)</f>
        <v>0</v>
      </c>
      <c r="N3252" s="3" t="s">
        <v>2081</v>
      </c>
    </row>
    <row r="3253" spans="1:14" x14ac:dyDescent="0.25">
      <c r="A3253" s="1" t="s">
        <v>12059</v>
      </c>
      <c r="B3253" s="3" t="s">
        <v>6877</v>
      </c>
      <c r="C3253" s="2">
        <f ca="1">IF(ISNUMBER(SEARCH(Лист2!$B$4,D:D)),MAX($C$3:OFFSET(C3253,-1,0))+1,0)</f>
        <v>0</v>
      </c>
      <c r="E3253" s="9" t="str">
        <f t="shared" ca="1" si="62"/>
        <v/>
      </c>
      <c r="F3253" s="4" t="s">
        <v>9</v>
      </c>
      <c r="G3253" s="2">
        <f>IF(ISNUMBER(SEARCH(Лист2!$B$4,F:F)),1,0)</f>
        <v>0</v>
      </c>
      <c r="H3253" s="3">
        <f ca="1">IF(AND(I3253&lt;&gt;I3252,ISNUMBER(SEARCH(Лист2!$B$5,I:I)),G3253=1),MAX($H$3:OFFSET(H3253,-1,0))+1,0)</f>
        <v>0</v>
      </c>
      <c r="I3253" s="3" t="s">
        <v>284</v>
      </c>
      <c r="K3253" s="2">
        <f>IF(ISNUMBER(SEARCH(Лист2!$B$4,F:F)),1,0)</f>
        <v>0</v>
      </c>
      <c r="L3253" s="14">
        <f>IF(ISNUMBER(SEARCH(Лист2!$B$5,I:I)),1,0)+K3253</f>
        <v>0</v>
      </c>
      <c r="M3253" s="3">
        <f ca="1">IF(AND(N3253&lt;&gt;N3252,ISNUMBER(SEARCH(Лист2!$B$6,N:N)),L3253=2),MAX($M$3:OFFSET(M3253,-1,0))+1,0)</f>
        <v>0</v>
      </c>
      <c r="N3253" s="3" t="s">
        <v>2082</v>
      </c>
    </row>
    <row r="3254" spans="1:14" x14ac:dyDescent="0.25">
      <c r="A3254" s="1" t="s">
        <v>12060</v>
      </c>
      <c r="B3254" s="3" t="s">
        <v>6878</v>
      </c>
      <c r="C3254" s="2">
        <f ca="1">IF(ISNUMBER(SEARCH(Лист2!$B$4,D:D)),MAX($C$3:OFFSET(C3254,-1,0))+1,0)</f>
        <v>0</v>
      </c>
      <c r="E3254" s="9" t="str">
        <f t="shared" ca="1" si="62"/>
        <v/>
      </c>
      <c r="F3254" s="4" t="s">
        <v>9</v>
      </c>
      <c r="G3254" s="2">
        <f>IF(ISNUMBER(SEARCH(Лист2!$B$4,F:F)),1,0)</f>
        <v>0</v>
      </c>
      <c r="H3254" s="3">
        <f ca="1">IF(AND(I3254&lt;&gt;I3253,ISNUMBER(SEARCH(Лист2!$B$5,I:I)),G3254=1),MAX($H$3:OFFSET(H3254,-1,0))+1,0)</f>
        <v>0</v>
      </c>
      <c r="I3254" s="3" t="s">
        <v>284</v>
      </c>
      <c r="K3254" s="2">
        <f>IF(ISNUMBER(SEARCH(Лист2!$B$4,F:F)),1,0)</f>
        <v>0</v>
      </c>
      <c r="L3254" s="14">
        <f>IF(ISNUMBER(SEARCH(Лист2!$B$5,I:I)),1,0)+K3254</f>
        <v>0</v>
      </c>
      <c r="M3254" s="3">
        <f ca="1">IF(AND(N3254&lt;&gt;N3253,ISNUMBER(SEARCH(Лист2!$B$6,N:N)),L3254=2),MAX($M$3:OFFSET(M3254,-1,0))+1,0)</f>
        <v>0</v>
      </c>
      <c r="N3254" s="3" t="s">
        <v>2083</v>
      </c>
    </row>
    <row r="3255" spans="1:14" x14ac:dyDescent="0.25">
      <c r="A3255" s="1" t="s">
        <v>12061</v>
      </c>
      <c r="B3255" s="3" t="s">
        <v>6879</v>
      </c>
      <c r="C3255" s="2">
        <f ca="1">IF(ISNUMBER(SEARCH(Лист2!$B$4,D:D)),MAX($C$3:OFFSET(C3255,-1,0))+1,0)</f>
        <v>0</v>
      </c>
      <c r="E3255" s="9" t="str">
        <f t="shared" ca="1" si="62"/>
        <v/>
      </c>
      <c r="F3255" s="4" t="s">
        <v>9</v>
      </c>
      <c r="G3255" s="2">
        <f>IF(ISNUMBER(SEARCH(Лист2!$B$4,F:F)),1,0)</f>
        <v>0</v>
      </c>
      <c r="H3255" s="3">
        <f ca="1">IF(AND(I3255&lt;&gt;I3254,ISNUMBER(SEARCH(Лист2!$B$5,I:I)),G3255=1),MAX($H$3:OFFSET(H3255,-1,0))+1,0)</f>
        <v>0</v>
      </c>
      <c r="I3255" s="3" t="s">
        <v>284</v>
      </c>
      <c r="K3255" s="2">
        <f>IF(ISNUMBER(SEARCH(Лист2!$B$4,F:F)),1,0)</f>
        <v>0</v>
      </c>
      <c r="L3255" s="14">
        <f>IF(ISNUMBER(SEARCH(Лист2!$B$5,I:I)),1,0)+K3255</f>
        <v>0</v>
      </c>
      <c r="M3255" s="3">
        <f ca="1">IF(AND(N3255&lt;&gt;N3254,ISNUMBER(SEARCH(Лист2!$B$6,N:N)),L3255=2),MAX($M$3:OFFSET(M3255,-1,0))+1,0)</f>
        <v>0</v>
      </c>
      <c r="N3255" s="3" t="s">
        <v>2086</v>
      </c>
    </row>
    <row r="3256" spans="1:14" x14ac:dyDescent="0.25">
      <c r="A3256" s="1" t="s">
        <v>12062</v>
      </c>
      <c r="B3256" s="3" t="s">
        <v>6880</v>
      </c>
      <c r="C3256" s="2">
        <f ca="1">IF(ISNUMBER(SEARCH(Лист2!$B$4,D:D)),MAX($C$3:OFFSET(C3256,-1,0))+1,0)</f>
        <v>0</v>
      </c>
      <c r="E3256" s="9" t="str">
        <f t="shared" ca="1" si="62"/>
        <v/>
      </c>
      <c r="F3256" s="4" t="s">
        <v>9</v>
      </c>
      <c r="G3256" s="2">
        <f>IF(ISNUMBER(SEARCH(Лист2!$B$4,F:F)),1,0)</f>
        <v>0</v>
      </c>
      <c r="H3256" s="3">
        <f ca="1">IF(AND(I3256&lt;&gt;I3255,ISNUMBER(SEARCH(Лист2!$B$5,I:I)),G3256=1),MAX($H$3:OFFSET(H3256,-1,0))+1,0)</f>
        <v>0</v>
      </c>
      <c r="I3256" s="3" t="s">
        <v>284</v>
      </c>
      <c r="K3256" s="2">
        <f>IF(ISNUMBER(SEARCH(Лист2!$B$4,F:F)),1,0)</f>
        <v>0</v>
      </c>
      <c r="L3256" s="14">
        <f>IF(ISNUMBER(SEARCH(Лист2!$B$5,I:I)),1,0)+K3256</f>
        <v>0</v>
      </c>
      <c r="M3256" s="3">
        <f ca="1">IF(AND(N3256&lt;&gt;N3255,ISNUMBER(SEARCH(Лист2!$B$6,N:N)),L3256=2),MAX($M$3:OFFSET(M3256,-1,0))+1,0)</f>
        <v>0</v>
      </c>
      <c r="N3256" s="3" t="s">
        <v>2087</v>
      </c>
    </row>
    <row r="3257" spans="1:14" x14ac:dyDescent="0.25">
      <c r="A3257" s="1" t="s">
        <v>12063</v>
      </c>
      <c r="B3257" s="3" t="s">
        <v>6881</v>
      </c>
      <c r="C3257" s="2">
        <f ca="1">IF(ISNUMBER(SEARCH(Лист2!$B$4,D:D)),MAX($C$3:OFFSET(C3257,-1,0))+1,0)</f>
        <v>0</v>
      </c>
      <c r="E3257" s="9" t="str">
        <f t="shared" ca="1" si="62"/>
        <v/>
      </c>
      <c r="F3257" s="4" t="s">
        <v>9</v>
      </c>
      <c r="G3257" s="2">
        <f>IF(ISNUMBER(SEARCH(Лист2!$B$4,F:F)),1,0)</f>
        <v>0</v>
      </c>
      <c r="H3257" s="3">
        <f ca="1">IF(AND(I3257&lt;&gt;I3256,ISNUMBER(SEARCH(Лист2!$B$5,I:I)),G3257=1),MAX($H$3:OFFSET(H3257,-1,0))+1,0)</f>
        <v>0</v>
      </c>
      <c r="I3257" s="3" t="s">
        <v>284</v>
      </c>
      <c r="K3257" s="2">
        <f>IF(ISNUMBER(SEARCH(Лист2!$B$4,F:F)),1,0)</f>
        <v>0</v>
      </c>
      <c r="L3257" s="14">
        <f>IF(ISNUMBER(SEARCH(Лист2!$B$5,I:I)),1,0)+K3257</f>
        <v>0</v>
      </c>
      <c r="M3257" s="3">
        <f ca="1">IF(AND(N3257&lt;&gt;N3256,ISNUMBER(SEARCH(Лист2!$B$6,N:N)),L3257=2),MAX($M$3:OFFSET(M3257,-1,0))+1,0)</f>
        <v>0</v>
      </c>
      <c r="N3257" s="3" t="s">
        <v>2088</v>
      </c>
    </row>
    <row r="3258" spans="1:14" x14ac:dyDescent="0.25">
      <c r="A3258" s="1" t="s">
        <v>12064</v>
      </c>
      <c r="B3258" s="3" t="s">
        <v>6882</v>
      </c>
      <c r="C3258" s="2">
        <f ca="1">IF(ISNUMBER(SEARCH(Лист2!$B$4,D:D)),MAX($C$3:OFFSET(C3258,-1,0))+1,0)</f>
        <v>0</v>
      </c>
      <c r="E3258" s="9" t="str">
        <f t="shared" ca="1" si="62"/>
        <v/>
      </c>
      <c r="F3258" s="4" t="s">
        <v>9</v>
      </c>
      <c r="G3258" s="2">
        <f>IF(ISNUMBER(SEARCH(Лист2!$B$4,F:F)),1,0)</f>
        <v>0</v>
      </c>
      <c r="H3258" s="3">
        <f ca="1">IF(AND(I3258&lt;&gt;I3257,ISNUMBER(SEARCH(Лист2!$B$5,I:I)),G3258=1),MAX($H$3:OFFSET(H3258,-1,0))+1,0)</f>
        <v>0</v>
      </c>
      <c r="I3258" s="3" t="s">
        <v>285</v>
      </c>
      <c r="K3258" s="2">
        <f>IF(ISNUMBER(SEARCH(Лист2!$B$4,F:F)),1,0)</f>
        <v>0</v>
      </c>
      <c r="L3258" s="14">
        <f>IF(ISNUMBER(SEARCH(Лист2!$B$5,I:I)),1,0)+K3258</f>
        <v>0</v>
      </c>
      <c r="M3258" s="3">
        <f ca="1">IF(AND(N3258&lt;&gt;N3257,ISNUMBER(SEARCH(Лист2!$B$6,N:N)),L3258=2),MAX($M$3:OFFSET(M3258,-1,0))+1,0)</f>
        <v>0</v>
      </c>
      <c r="N3258" s="3" t="s">
        <v>711</v>
      </c>
    </row>
    <row r="3259" spans="1:14" x14ac:dyDescent="0.25">
      <c r="A3259" s="1" t="s">
        <v>12065</v>
      </c>
      <c r="B3259" s="3" t="s">
        <v>6883</v>
      </c>
      <c r="C3259" s="2">
        <f ca="1">IF(ISNUMBER(SEARCH(Лист2!$B$4,D:D)),MAX($C$3:OFFSET(C3259,-1,0))+1,0)</f>
        <v>0</v>
      </c>
      <c r="E3259" s="9" t="str">
        <f t="shared" ca="1" si="62"/>
        <v/>
      </c>
      <c r="F3259" s="4" t="s">
        <v>9</v>
      </c>
      <c r="G3259" s="2">
        <f>IF(ISNUMBER(SEARCH(Лист2!$B$4,F:F)),1,0)</f>
        <v>0</v>
      </c>
      <c r="H3259" s="3">
        <f ca="1">IF(AND(I3259&lt;&gt;I3258,ISNUMBER(SEARCH(Лист2!$B$5,I:I)),G3259=1),MAX($H$3:OFFSET(H3259,-1,0))+1,0)</f>
        <v>0</v>
      </c>
      <c r="I3259" s="3" t="s">
        <v>285</v>
      </c>
      <c r="K3259" s="2">
        <f>IF(ISNUMBER(SEARCH(Лист2!$B$4,F:F)),1,0)</f>
        <v>0</v>
      </c>
      <c r="L3259" s="14">
        <f>IF(ISNUMBER(SEARCH(Лист2!$B$5,I:I)),1,0)+K3259</f>
        <v>0</v>
      </c>
      <c r="M3259" s="3">
        <f ca="1">IF(AND(N3259&lt;&gt;N3258,ISNUMBER(SEARCH(Лист2!$B$6,N:N)),L3259=2),MAX($M$3:OFFSET(M3259,-1,0))+1,0)</f>
        <v>0</v>
      </c>
      <c r="N3259" s="3" t="s">
        <v>713</v>
      </c>
    </row>
    <row r="3260" spans="1:14" x14ac:dyDescent="0.25">
      <c r="A3260" s="1" t="s">
        <v>12066</v>
      </c>
      <c r="B3260" s="3" t="s">
        <v>6884</v>
      </c>
      <c r="C3260" s="2">
        <f ca="1">IF(ISNUMBER(SEARCH(Лист2!$B$4,D:D)),MAX($C$3:OFFSET(C3260,-1,0))+1,0)</f>
        <v>0</v>
      </c>
      <c r="E3260" s="9" t="str">
        <f t="shared" ca="1" si="62"/>
        <v/>
      </c>
      <c r="F3260" s="4" t="s">
        <v>9</v>
      </c>
      <c r="G3260" s="2">
        <f>IF(ISNUMBER(SEARCH(Лист2!$B$4,F:F)),1,0)</f>
        <v>0</v>
      </c>
      <c r="H3260" s="3">
        <f ca="1">IF(AND(I3260&lt;&gt;I3259,ISNUMBER(SEARCH(Лист2!$B$5,I:I)),G3260=1),MAX($H$3:OFFSET(H3260,-1,0))+1,0)</f>
        <v>0</v>
      </c>
      <c r="I3260" s="3" t="s">
        <v>285</v>
      </c>
      <c r="K3260" s="2">
        <f>IF(ISNUMBER(SEARCH(Лист2!$B$4,F:F)),1,0)</f>
        <v>0</v>
      </c>
      <c r="L3260" s="14">
        <f>IF(ISNUMBER(SEARCH(Лист2!$B$5,I:I)),1,0)+K3260</f>
        <v>0</v>
      </c>
      <c r="M3260" s="3">
        <f ca="1">IF(AND(N3260&lt;&gt;N3259,ISNUMBER(SEARCH(Лист2!$B$6,N:N)),L3260=2),MAX($M$3:OFFSET(M3260,-1,0))+1,0)</f>
        <v>0</v>
      </c>
      <c r="N3260" s="3" t="s">
        <v>1385</v>
      </c>
    </row>
    <row r="3261" spans="1:14" x14ac:dyDescent="0.25">
      <c r="A3261" s="1" t="s">
        <v>12067</v>
      </c>
      <c r="B3261" s="3" t="s">
        <v>6885</v>
      </c>
      <c r="C3261" s="2">
        <f ca="1">IF(ISNUMBER(SEARCH(Лист2!$B$4,D:D)),MAX($C$3:OFFSET(C3261,-1,0))+1,0)</f>
        <v>0</v>
      </c>
      <c r="E3261" s="9" t="str">
        <f t="shared" ca="1" si="62"/>
        <v/>
      </c>
      <c r="F3261" s="4" t="s">
        <v>9</v>
      </c>
      <c r="G3261" s="2">
        <f>IF(ISNUMBER(SEARCH(Лист2!$B$4,F:F)),1,0)</f>
        <v>0</v>
      </c>
      <c r="H3261" s="3">
        <f ca="1">IF(AND(I3261&lt;&gt;I3260,ISNUMBER(SEARCH(Лист2!$B$5,I:I)),G3261=1),MAX($H$3:OFFSET(H3261,-1,0))+1,0)</f>
        <v>0</v>
      </c>
      <c r="I3261" s="3" t="s">
        <v>285</v>
      </c>
      <c r="K3261" s="2">
        <f>IF(ISNUMBER(SEARCH(Лист2!$B$4,F:F)),1,0)</f>
        <v>0</v>
      </c>
      <c r="L3261" s="14">
        <f>IF(ISNUMBER(SEARCH(Лист2!$B$5,I:I)),1,0)+K3261</f>
        <v>0</v>
      </c>
      <c r="M3261" s="3">
        <f ca="1">IF(AND(N3261&lt;&gt;N3260,ISNUMBER(SEARCH(Лист2!$B$6,N:N)),L3261=2),MAX($M$3:OFFSET(M3261,-1,0))+1,0)</f>
        <v>0</v>
      </c>
      <c r="N3261" s="3" t="s">
        <v>602</v>
      </c>
    </row>
    <row r="3262" spans="1:14" x14ac:dyDescent="0.25">
      <c r="A3262" s="1" t="s">
        <v>12068</v>
      </c>
      <c r="B3262" s="3" t="s">
        <v>6886</v>
      </c>
      <c r="C3262" s="2">
        <f ca="1">IF(ISNUMBER(SEARCH(Лист2!$B$4,D:D)),MAX($C$3:OFFSET(C3262,-1,0))+1,0)</f>
        <v>0</v>
      </c>
      <c r="E3262" s="9" t="str">
        <f t="shared" ca="1" si="62"/>
        <v/>
      </c>
      <c r="F3262" s="4" t="s">
        <v>9</v>
      </c>
      <c r="G3262" s="2">
        <f>IF(ISNUMBER(SEARCH(Лист2!$B$4,F:F)),1,0)</f>
        <v>0</v>
      </c>
      <c r="H3262" s="3">
        <f ca="1">IF(AND(I3262&lt;&gt;I3261,ISNUMBER(SEARCH(Лист2!$B$5,I:I)),G3262=1),MAX($H$3:OFFSET(H3262,-1,0))+1,0)</f>
        <v>0</v>
      </c>
      <c r="I3262" s="3" t="s">
        <v>285</v>
      </c>
      <c r="K3262" s="2">
        <f>IF(ISNUMBER(SEARCH(Лист2!$B$4,F:F)),1,0)</f>
        <v>0</v>
      </c>
      <c r="L3262" s="14">
        <f>IF(ISNUMBER(SEARCH(Лист2!$B$5,I:I)),1,0)+K3262</f>
        <v>0</v>
      </c>
      <c r="M3262" s="3">
        <f ca="1">IF(AND(N3262&lt;&gt;N3261,ISNUMBER(SEARCH(Лист2!$B$6,N:N)),L3262=2),MAX($M$3:OFFSET(M3262,-1,0))+1,0)</f>
        <v>0</v>
      </c>
      <c r="N3262" s="3" t="s">
        <v>715</v>
      </c>
    </row>
    <row r="3263" spans="1:14" x14ac:dyDescent="0.25">
      <c r="A3263" s="1" t="s">
        <v>12069</v>
      </c>
      <c r="B3263" s="3" t="s">
        <v>6887</v>
      </c>
      <c r="C3263" s="2">
        <f ca="1">IF(ISNUMBER(SEARCH(Лист2!$B$4,D:D)),MAX($C$3:OFFSET(C3263,-1,0))+1,0)</f>
        <v>0</v>
      </c>
      <c r="E3263" s="9" t="str">
        <f t="shared" ca="1" si="62"/>
        <v/>
      </c>
      <c r="F3263" s="4" t="s">
        <v>9</v>
      </c>
      <c r="G3263" s="2">
        <f>IF(ISNUMBER(SEARCH(Лист2!$B$4,F:F)),1,0)</f>
        <v>0</v>
      </c>
      <c r="H3263" s="3">
        <f ca="1">IF(AND(I3263&lt;&gt;I3262,ISNUMBER(SEARCH(Лист2!$B$5,I:I)),G3263=1),MAX($H$3:OFFSET(H3263,-1,0))+1,0)</f>
        <v>0</v>
      </c>
      <c r="I3263" s="3" t="s">
        <v>285</v>
      </c>
      <c r="K3263" s="2">
        <f>IF(ISNUMBER(SEARCH(Лист2!$B$4,F:F)),1,0)</f>
        <v>0</v>
      </c>
      <c r="L3263" s="14">
        <f>IF(ISNUMBER(SEARCH(Лист2!$B$5,I:I)),1,0)+K3263</f>
        <v>0</v>
      </c>
      <c r="M3263" s="3">
        <f ca="1">IF(AND(N3263&lt;&gt;N3262,ISNUMBER(SEARCH(Лист2!$B$6,N:N)),L3263=2),MAX($M$3:OFFSET(M3263,-1,0))+1,0)</f>
        <v>0</v>
      </c>
      <c r="N3263" s="3" t="s">
        <v>716</v>
      </c>
    </row>
    <row r="3264" spans="1:14" x14ac:dyDescent="0.25">
      <c r="A3264" s="1" t="s">
        <v>12070</v>
      </c>
      <c r="B3264" s="3" t="s">
        <v>6888</v>
      </c>
      <c r="C3264" s="2">
        <f ca="1">IF(ISNUMBER(SEARCH(Лист2!$B$4,D:D)),MAX($C$3:OFFSET(C3264,-1,0))+1,0)</f>
        <v>0</v>
      </c>
      <c r="E3264" s="9" t="str">
        <f t="shared" ca="1" si="62"/>
        <v/>
      </c>
      <c r="F3264" s="4" t="s">
        <v>9</v>
      </c>
      <c r="G3264" s="2">
        <f>IF(ISNUMBER(SEARCH(Лист2!$B$4,F:F)),1,0)</f>
        <v>0</v>
      </c>
      <c r="H3264" s="3">
        <f ca="1">IF(AND(I3264&lt;&gt;I3263,ISNUMBER(SEARCH(Лист2!$B$5,I:I)),G3264=1),MAX($H$3:OFFSET(H3264,-1,0))+1,0)</f>
        <v>0</v>
      </c>
      <c r="I3264" s="3" t="s">
        <v>285</v>
      </c>
      <c r="K3264" s="2">
        <f>IF(ISNUMBER(SEARCH(Лист2!$B$4,F:F)),1,0)</f>
        <v>0</v>
      </c>
      <c r="L3264" s="14">
        <f>IF(ISNUMBER(SEARCH(Лист2!$B$5,I:I)),1,0)+K3264</f>
        <v>0</v>
      </c>
      <c r="M3264" s="3">
        <f ca="1">IF(AND(N3264&lt;&gt;N3263,ISNUMBER(SEARCH(Лист2!$B$6,N:N)),L3264=2),MAX($M$3:OFFSET(M3264,-1,0))+1,0)</f>
        <v>0</v>
      </c>
      <c r="N3264" s="3" t="s">
        <v>2089</v>
      </c>
    </row>
    <row r="3265" spans="1:14" x14ac:dyDescent="0.25">
      <c r="A3265" s="1" t="s">
        <v>12071</v>
      </c>
      <c r="B3265" s="3" t="s">
        <v>6889</v>
      </c>
      <c r="C3265" s="2">
        <f ca="1">IF(ISNUMBER(SEARCH(Лист2!$B$4,D:D)),MAX($C$3:OFFSET(C3265,-1,0))+1,0)</f>
        <v>0</v>
      </c>
      <c r="E3265" s="9" t="str">
        <f t="shared" ca="1" si="62"/>
        <v/>
      </c>
      <c r="F3265" s="4" t="s">
        <v>9</v>
      </c>
      <c r="G3265" s="2">
        <f>IF(ISNUMBER(SEARCH(Лист2!$B$4,F:F)),1,0)</f>
        <v>0</v>
      </c>
      <c r="H3265" s="3">
        <f ca="1">IF(AND(I3265&lt;&gt;I3264,ISNUMBER(SEARCH(Лист2!$B$5,I:I)),G3265=1),MAX($H$3:OFFSET(H3265,-1,0))+1,0)</f>
        <v>0</v>
      </c>
      <c r="I3265" s="3" t="s">
        <v>285</v>
      </c>
      <c r="K3265" s="2">
        <f>IF(ISNUMBER(SEARCH(Лист2!$B$4,F:F)),1,0)</f>
        <v>0</v>
      </c>
      <c r="L3265" s="14">
        <f>IF(ISNUMBER(SEARCH(Лист2!$B$5,I:I)),1,0)+K3265</f>
        <v>0</v>
      </c>
      <c r="M3265" s="3">
        <f ca="1">IF(AND(N3265&lt;&gt;N3264,ISNUMBER(SEARCH(Лист2!$B$6,N:N)),L3265=2),MAX($M$3:OFFSET(M3265,-1,0))+1,0)</f>
        <v>0</v>
      </c>
      <c r="N3265" s="3" t="s">
        <v>2090</v>
      </c>
    </row>
    <row r="3266" spans="1:14" x14ac:dyDescent="0.25">
      <c r="A3266" s="1" t="s">
        <v>12072</v>
      </c>
      <c r="B3266" s="3" t="s">
        <v>6890</v>
      </c>
      <c r="C3266" s="2">
        <f ca="1">IF(ISNUMBER(SEARCH(Лист2!$B$4,D:D)),MAX($C$3:OFFSET(C3266,-1,0))+1,0)</f>
        <v>0</v>
      </c>
      <c r="E3266" s="9" t="str">
        <f t="shared" ca="1" si="62"/>
        <v/>
      </c>
      <c r="F3266" s="4" t="s">
        <v>9</v>
      </c>
      <c r="G3266" s="2">
        <f>IF(ISNUMBER(SEARCH(Лист2!$B$4,F:F)),1,0)</f>
        <v>0</v>
      </c>
      <c r="H3266" s="3">
        <f ca="1">IF(AND(I3266&lt;&gt;I3265,ISNUMBER(SEARCH(Лист2!$B$5,I:I)),G3266=1),MAX($H$3:OFFSET(H3266,-1,0))+1,0)</f>
        <v>0</v>
      </c>
      <c r="I3266" s="3" t="s">
        <v>285</v>
      </c>
      <c r="K3266" s="2">
        <f>IF(ISNUMBER(SEARCH(Лист2!$B$4,F:F)),1,0)</f>
        <v>0</v>
      </c>
      <c r="L3266" s="14">
        <f>IF(ISNUMBER(SEARCH(Лист2!$B$5,I:I)),1,0)+K3266</f>
        <v>0</v>
      </c>
      <c r="M3266" s="3">
        <f ca="1">IF(AND(N3266&lt;&gt;N3265,ISNUMBER(SEARCH(Лист2!$B$6,N:N)),L3266=2),MAX($M$3:OFFSET(M3266,-1,0))+1,0)</f>
        <v>0</v>
      </c>
      <c r="N3266" s="3" t="s">
        <v>2091</v>
      </c>
    </row>
    <row r="3267" spans="1:14" x14ac:dyDescent="0.25">
      <c r="A3267" s="1" t="s">
        <v>12073</v>
      </c>
      <c r="B3267" s="3" t="s">
        <v>6891</v>
      </c>
      <c r="C3267" s="2">
        <f ca="1">IF(ISNUMBER(SEARCH(Лист2!$B$4,D:D)),MAX($C$3:OFFSET(C3267,-1,0))+1,0)</f>
        <v>0</v>
      </c>
      <c r="E3267" s="9" t="str">
        <f t="shared" ca="1" si="62"/>
        <v/>
      </c>
      <c r="F3267" s="4" t="s">
        <v>9</v>
      </c>
      <c r="G3267" s="2">
        <f>IF(ISNUMBER(SEARCH(Лист2!$B$4,F:F)),1,0)</f>
        <v>0</v>
      </c>
      <c r="H3267" s="3">
        <f ca="1">IF(AND(I3267&lt;&gt;I3266,ISNUMBER(SEARCH(Лист2!$B$5,I:I)),G3267=1),MAX($H$3:OFFSET(H3267,-1,0))+1,0)</f>
        <v>0</v>
      </c>
      <c r="I3267" s="3" t="s">
        <v>285</v>
      </c>
      <c r="K3267" s="2">
        <f>IF(ISNUMBER(SEARCH(Лист2!$B$4,F:F)),1,0)</f>
        <v>0</v>
      </c>
      <c r="L3267" s="14">
        <f>IF(ISNUMBER(SEARCH(Лист2!$B$5,I:I)),1,0)+K3267</f>
        <v>0</v>
      </c>
      <c r="M3267" s="3">
        <f ca="1">IF(AND(N3267&lt;&gt;N3266,ISNUMBER(SEARCH(Лист2!$B$6,N:N)),L3267=2),MAX($M$3:OFFSET(M3267,-1,0))+1,0)</f>
        <v>0</v>
      </c>
      <c r="N3267" s="3" t="s">
        <v>2092</v>
      </c>
    </row>
    <row r="3268" spans="1:14" x14ac:dyDescent="0.25">
      <c r="A3268" s="1" t="s">
        <v>12074</v>
      </c>
      <c r="B3268" s="3" t="s">
        <v>6892</v>
      </c>
      <c r="C3268" s="2">
        <f ca="1">IF(ISNUMBER(SEARCH(Лист2!$B$4,D:D)),MAX($C$3:OFFSET(C3268,-1,0))+1,0)</f>
        <v>0</v>
      </c>
      <c r="E3268" s="9" t="str">
        <f t="shared" ca="1" si="62"/>
        <v/>
      </c>
      <c r="F3268" s="4" t="s">
        <v>9</v>
      </c>
      <c r="G3268" s="2">
        <f>IF(ISNUMBER(SEARCH(Лист2!$B$4,F:F)),1,0)</f>
        <v>0</v>
      </c>
      <c r="H3268" s="3">
        <f ca="1">IF(AND(I3268&lt;&gt;I3267,ISNUMBER(SEARCH(Лист2!$B$5,I:I)),G3268=1),MAX($H$3:OFFSET(H3268,-1,0))+1,0)</f>
        <v>0</v>
      </c>
      <c r="I3268" s="3" t="s">
        <v>285</v>
      </c>
      <c r="K3268" s="2">
        <f>IF(ISNUMBER(SEARCH(Лист2!$B$4,F:F)),1,0)</f>
        <v>0</v>
      </c>
      <c r="L3268" s="14">
        <f>IF(ISNUMBER(SEARCH(Лист2!$B$5,I:I)),1,0)+K3268</f>
        <v>0</v>
      </c>
      <c r="M3268" s="3">
        <f ca="1">IF(AND(N3268&lt;&gt;N3267,ISNUMBER(SEARCH(Лист2!$B$6,N:N)),L3268=2),MAX($M$3:OFFSET(M3268,-1,0))+1,0)</f>
        <v>0</v>
      </c>
      <c r="N3268" s="3" t="s">
        <v>2093</v>
      </c>
    </row>
    <row r="3269" spans="1:14" x14ac:dyDescent="0.25">
      <c r="A3269" s="1" t="s">
        <v>12075</v>
      </c>
      <c r="B3269" s="3" t="s">
        <v>6893</v>
      </c>
      <c r="C3269" s="2">
        <f ca="1">IF(ISNUMBER(SEARCH(Лист2!$B$4,D:D)),MAX($C$3:OFFSET(C3269,-1,0))+1,0)</f>
        <v>0</v>
      </c>
      <c r="E3269" s="9" t="str">
        <f t="shared" ref="E3269:E3332" ca="1" si="63">IFERROR(INDEX(D:D,MATCH(ROW(E3269)-ROW($E$3),C:C,0)),"")</f>
        <v/>
      </c>
      <c r="F3269" s="4" t="s">
        <v>9</v>
      </c>
      <c r="G3269" s="2">
        <f>IF(ISNUMBER(SEARCH(Лист2!$B$4,F:F)),1,0)</f>
        <v>0</v>
      </c>
      <c r="H3269" s="3">
        <f ca="1">IF(AND(I3269&lt;&gt;I3268,ISNUMBER(SEARCH(Лист2!$B$5,I:I)),G3269=1),MAX($H$3:OFFSET(H3269,-1,0))+1,0)</f>
        <v>0</v>
      </c>
      <c r="I3269" s="3" t="s">
        <v>286</v>
      </c>
      <c r="K3269" s="2">
        <f>IF(ISNUMBER(SEARCH(Лист2!$B$4,F:F)),1,0)</f>
        <v>0</v>
      </c>
      <c r="L3269" s="14">
        <f>IF(ISNUMBER(SEARCH(Лист2!$B$5,I:I)),1,0)+K3269</f>
        <v>0</v>
      </c>
      <c r="M3269" s="3">
        <f ca="1">IF(AND(N3269&lt;&gt;N3268,ISNUMBER(SEARCH(Лист2!$B$6,N:N)),L3269=2),MAX($M$3:OFFSET(M3269,-1,0))+1,0)</f>
        <v>0</v>
      </c>
      <c r="N3269" s="3" t="s">
        <v>711</v>
      </c>
    </row>
    <row r="3270" spans="1:14" x14ac:dyDescent="0.25">
      <c r="A3270" s="1" t="s">
        <v>12076</v>
      </c>
      <c r="B3270" s="3" t="s">
        <v>6894</v>
      </c>
      <c r="C3270" s="2">
        <f ca="1">IF(ISNUMBER(SEARCH(Лист2!$B$4,D:D)),MAX($C$3:OFFSET(C3270,-1,0))+1,0)</f>
        <v>0</v>
      </c>
      <c r="E3270" s="9" t="str">
        <f t="shared" ca="1" si="63"/>
        <v/>
      </c>
      <c r="F3270" s="4" t="s">
        <v>9</v>
      </c>
      <c r="G3270" s="2">
        <f>IF(ISNUMBER(SEARCH(Лист2!$B$4,F:F)),1,0)</f>
        <v>0</v>
      </c>
      <c r="H3270" s="3">
        <f ca="1">IF(AND(I3270&lt;&gt;I3269,ISNUMBER(SEARCH(Лист2!$B$5,I:I)),G3270=1),MAX($H$3:OFFSET(H3270,-1,0))+1,0)</f>
        <v>0</v>
      </c>
      <c r="I3270" s="3" t="s">
        <v>286</v>
      </c>
      <c r="K3270" s="2">
        <f>IF(ISNUMBER(SEARCH(Лист2!$B$4,F:F)),1,0)</f>
        <v>0</v>
      </c>
      <c r="L3270" s="14">
        <f>IF(ISNUMBER(SEARCH(Лист2!$B$5,I:I)),1,0)+K3270</f>
        <v>0</v>
      </c>
      <c r="M3270" s="3">
        <f ca="1">IF(AND(N3270&lt;&gt;N3269,ISNUMBER(SEARCH(Лист2!$B$6,N:N)),L3270=2),MAX($M$3:OFFSET(M3270,-1,0))+1,0)</f>
        <v>0</v>
      </c>
      <c r="N3270" s="3" t="s">
        <v>713</v>
      </c>
    </row>
    <row r="3271" spans="1:14" x14ac:dyDescent="0.25">
      <c r="A3271" s="1" t="s">
        <v>12077</v>
      </c>
      <c r="B3271" s="3" t="s">
        <v>6895</v>
      </c>
      <c r="C3271" s="2">
        <f ca="1">IF(ISNUMBER(SEARCH(Лист2!$B$4,D:D)),MAX($C$3:OFFSET(C3271,-1,0))+1,0)</f>
        <v>0</v>
      </c>
      <c r="E3271" s="9" t="str">
        <f t="shared" ca="1" si="63"/>
        <v/>
      </c>
      <c r="F3271" s="4" t="s">
        <v>9</v>
      </c>
      <c r="G3271" s="2">
        <f>IF(ISNUMBER(SEARCH(Лист2!$B$4,F:F)),1,0)</f>
        <v>0</v>
      </c>
      <c r="H3271" s="3">
        <f ca="1">IF(AND(I3271&lt;&gt;I3270,ISNUMBER(SEARCH(Лист2!$B$5,I:I)),G3271=1),MAX($H$3:OFFSET(H3271,-1,0))+1,0)</f>
        <v>0</v>
      </c>
      <c r="I3271" s="3" t="s">
        <v>286</v>
      </c>
      <c r="K3271" s="2">
        <f>IF(ISNUMBER(SEARCH(Лист2!$B$4,F:F)),1,0)</f>
        <v>0</v>
      </c>
      <c r="L3271" s="14">
        <f>IF(ISNUMBER(SEARCH(Лист2!$B$5,I:I)),1,0)+K3271</f>
        <v>0</v>
      </c>
      <c r="M3271" s="3">
        <f ca="1">IF(AND(N3271&lt;&gt;N3270,ISNUMBER(SEARCH(Лист2!$B$6,N:N)),L3271=2),MAX($M$3:OFFSET(M3271,-1,0))+1,0)</f>
        <v>0</v>
      </c>
      <c r="N3271" s="3" t="s">
        <v>1385</v>
      </c>
    </row>
    <row r="3272" spans="1:14" x14ac:dyDescent="0.25">
      <c r="A3272" s="1" t="s">
        <v>12078</v>
      </c>
      <c r="B3272" s="3" t="s">
        <v>6896</v>
      </c>
      <c r="C3272" s="2">
        <f ca="1">IF(ISNUMBER(SEARCH(Лист2!$B$4,D:D)),MAX($C$3:OFFSET(C3272,-1,0))+1,0)</f>
        <v>0</v>
      </c>
      <c r="E3272" s="9" t="str">
        <f t="shared" ca="1" si="63"/>
        <v/>
      </c>
      <c r="F3272" s="4" t="s">
        <v>9</v>
      </c>
      <c r="G3272" s="2">
        <f>IF(ISNUMBER(SEARCH(Лист2!$B$4,F:F)),1,0)</f>
        <v>0</v>
      </c>
      <c r="H3272" s="3">
        <f ca="1">IF(AND(I3272&lt;&gt;I3271,ISNUMBER(SEARCH(Лист2!$B$5,I:I)),G3272=1),MAX($H$3:OFFSET(H3272,-1,0))+1,0)</f>
        <v>0</v>
      </c>
      <c r="I3272" s="3" t="s">
        <v>286</v>
      </c>
      <c r="K3272" s="2">
        <f>IF(ISNUMBER(SEARCH(Лист2!$B$4,F:F)),1,0)</f>
        <v>0</v>
      </c>
      <c r="L3272" s="14">
        <f>IF(ISNUMBER(SEARCH(Лист2!$B$5,I:I)),1,0)+K3272</f>
        <v>0</v>
      </c>
      <c r="M3272" s="3">
        <f ca="1">IF(AND(N3272&lt;&gt;N3271,ISNUMBER(SEARCH(Лист2!$B$6,N:N)),L3272=2),MAX($M$3:OFFSET(M3272,-1,0))+1,0)</f>
        <v>0</v>
      </c>
      <c r="N3272" s="3" t="s">
        <v>602</v>
      </c>
    </row>
    <row r="3273" spans="1:14" x14ac:dyDescent="0.25">
      <c r="A3273" s="1" t="s">
        <v>12079</v>
      </c>
      <c r="B3273" s="3" t="s">
        <v>6897</v>
      </c>
      <c r="C3273" s="2">
        <f ca="1">IF(ISNUMBER(SEARCH(Лист2!$B$4,D:D)),MAX($C$3:OFFSET(C3273,-1,0))+1,0)</f>
        <v>0</v>
      </c>
      <c r="E3273" s="9" t="str">
        <f t="shared" ca="1" si="63"/>
        <v/>
      </c>
      <c r="F3273" s="4" t="s">
        <v>9</v>
      </c>
      <c r="G3273" s="2">
        <f>IF(ISNUMBER(SEARCH(Лист2!$B$4,F:F)),1,0)</f>
        <v>0</v>
      </c>
      <c r="H3273" s="3">
        <f ca="1">IF(AND(I3273&lt;&gt;I3272,ISNUMBER(SEARCH(Лист2!$B$5,I:I)),G3273=1),MAX($H$3:OFFSET(H3273,-1,0))+1,0)</f>
        <v>0</v>
      </c>
      <c r="I3273" s="3" t="s">
        <v>286</v>
      </c>
      <c r="K3273" s="2">
        <f>IF(ISNUMBER(SEARCH(Лист2!$B$4,F:F)),1,0)</f>
        <v>0</v>
      </c>
      <c r="L3273" s="14">
        <f>IF(ISNUMBER(SEARCH(Лист2!$B$5,I:I)),1,0)+K3273</f>
        <v>0</v>
      </c>
      <c r="M3273" s="3">
        <f ca="1">IF(AND(N3273&lt;&gt;N3272,ISNUMBER(SEARCH(Лист2!$B$6,N:N)),L3273=2),MAX($M$3:OFFSET(M3273,-1,0))+1,0)</f>
        <v>0</v>
      </c>
      <c r="N3273" s="3" t="s">
        <v>715</v>
      </c>
    </row>
    <row r="3274" spans="1:14" x14ac:dyDescent="0.25">
      <c r="A3274" s="1" t="s">
        <v>12080</v>
      </c>
      <c r="B3274" s="3" t="s">
        <v>6898</v>
      </c>
      <c r="C3274" s="2">
        <f ca="1">IF(ISNUMBER(SEARCH(Лист2!$B$4,D:D)),MAX($C$3:OFFSET(C3274,-1,0))+1,0)</f>
        <v>0</v>
      </c>
      <c r="E3274" s="9" t="str">
        <f t="shared" ca="1" si="63"/>
        <v/>
      </c>
      <c r="F3274" s="4" t="s">
        <v>9</v>
      </c>
      <c r="G3274" s="2">
        <f>IF(ISNUMBER(SEARCH(Лист2!$B$4,F:F)),1,0)</f>
        <v>0</v>
      </c>
      <c r="H3274" s="3">
        <f ca="1">IF(AND(I3274&lt;&gt;I3273,ISNUMBER(SEARCH(Лист2!$B$5,I:I)),G3274=1),MAX($H$3:OFFSET(H3274,-1,0))+1,0)</f>
        <v>0</v>
      </c>
      <c r="I3274" s="3" t="s">
        <v>286</v>
      </c>
      <c r="K3274" s="2">
        <f>IF(ISNUMBER(SEARCH(Лист2!$B$4,F:F)),1,0)</f>
        <v>0</v>
      </c>
      <c r="L3274" s="14">
        <f>IF(ISNUMBER(SEARCH(Лист2!$B$5,I:I)),1,0)+K3274</f>
        <v>0</v>
      </c>
      <c r="M3274" s="3">
        <f ca="1">IF(AND(N3274&lt;&gt;N3273,ISNUMBER(SEARCH(Лист2!$B$6,N:N)),L3274=2),MAX($M$3:OFFSET(M3274,-1,0))+1,0)</f>
        <v>0</v>
      </c>
      <c r="N3274" s="3" t="s">
        <v>716</v>
      </c>
    </row>
    <row r="3275" spans="1:14" x14ac:dyDescent="0.25">
      <c r="A3275" s="1" t="s">
        <v>12081</v>
      </c>
      <c r="B3275" s="3" t="s">
        <v>6899</v>
      </c>
      <c r="C3275" s="2">
        <f ca="1">IF(ISNUMBER(SEARCH(Лист2!$B$4,D:D)),MAX($C$3:OFFSET(C3275,-1,0))+1,0)</f>
        <v>0</v>
      </c>
      <c r="E3275" s="9" t="str">
        <f t="shared" ca="1" si="63"/>
        <v/>
      </c>
      <c r="F3275" s="4" t="s">
        <v>9</v>
      </c>
      <c r="G3275" s="2">
        <f>IF(ISNUMBER(SEARCH(Лист2!$B$4,F:F)),1,0)</f>
        <v>0</v>
      </c>
      <c r="H3275" s="3">
        <f ca="1">IF(AND(I3275&lt;&gt;I3274,ISNUMBER(SEARCH(Лист2!$B$5,I:I)),G3275=1),MAX($H$3:OFFSET(H3275,-1,0))+1,0)</f>
        <v>0</v>
      </c>
      <c r="I3275" s="3" t="s">
        <v>286</v>
      </c>
      <c r="K3275" s="2">
        <f>IF(ISNUMBER(SEARCH(Лист2!$B$4,F:F)),1,0)</f>
        <v>0</v>
      </c>
      <c r="L3275" s="14">
        <f>IF(ISNUMBER(SEARCH(Лист2!$B$5,I:I)),1,0)+K3275</f>
        <v>0</v>
      </c>
      <c r="M3275" s="3">
        <f ca="1">IF(AND(N3275&lt;&gt;N3274,ISNUMBER(SEARCH(Лист2!$B$6,N:N)),L3275=2),MAX($M$3:OFFSET(M3275,-1,0))+1,0)</f>
        <v>0</v>
      </c>
      <c r="N3275" s="3" t="s">
        <v>2089</v>
      </c>
    </row>
    <row r="3276" spans="1:14" x14ac:dyDescent="0.25">
      <c r="A3276" s="1" t="s">
        <v>12082</v>
      </c>
      <c r="B3276" s="3" t="s">
        <v>6900</v>
      </c>
      <c r="C3276" s="2">
        <f ca="1">IF(ISNUMBER(SEARCH(Лист2!$B$4,D:D)),MAX($C$3:OFFSET(C3276,-1,0))+1,0)</f>
        <v>0</v>
      </c>
      <c r="E3276" s="9" t="str">
        <f t="shared" ca="1" si="63"/>
        <v/>
      </c>
      <c r="F3276" s="4" t="s">
        <v>9</v>
      </c>
      <c r="G3276" s="2">
        <f>IF(ISNUMBER(SEARCH(Лист2!$B$4,F:F)),1,0)</f>
        <v>0</v>
      </c>
      <c r="H3276" s="3">
        <f ca="1">IF(AND(I3276&lt;&gt;I3275,ISNUMBER(SEARCH(Лист2!$B$5,I:I)),G3276=1),MAX($H$3:OFFSET(H3276,-1,0))+1,0)</f>
        <v>0</v>
      </c>
      <c r="I3276" s="3" t="s">
        <v>286</v>
      </c>
      <c r="K3276" s="2">
        <f>IF(ISNUMBER(SEARCH(Лист2!$B$4,F:F)),1,0)</f>
        <v>0</v>
      </c>
      <c r="L3276" s="14">
        <f>IF(ISNUMBER(SEARCH(Лист2!$B$5,I:I)),1,0)+K3276</f>
        <v>0</v>
      </c>
      <c r="M3276" s="3">
        <f ca="1">IF(AND(N3276&lt;&gt;N3275,ISNUMBER(SEARCH(Лист2!$B$6,N:N)),L3276=2),MAX($M$3:OFFSET(M3276,-1,0))+1,0)</f>
        <v>0</v>
      </c>
      <c r="N3276" s="3" t="s">
        <v>2094</v>
      </c>
    </row>
    <row r="3277" spans="1:14" x14ac:dyDescent="0.25">
      <c r="A3277" s="1" t="s">
        <v>12083</v>
      </c>
      <c r="B3277" s="3" t="s">
        <v>6901</v>
      </c>
      <c r="C3277" s="2">
        <f ca="1">IF(ISNUMBER(SEARCH(Лист2!$B$4,D:D)),MAX($C$3:OFFSET(C3277,-1,0))+1,0)</f>
        <v>0</v>
      </c>
      <c r="E3277" s="9" t="str">
        <f t="shared" ca="1" si="63"/>
        <v/>
      </c>
      <c r="F3277" s="4" t="s">
        <v>9</v>
      </c>
      <c r="G3277" s="2">
        <f>IF(ISNUMBER(SEARCH(Лист2!$B$4,F:F)),1,0)</f>
        <v>0</v>
      </c>
      <c r="H3277" s="3">
        <f ca="1">IF(AND(I3277&lt;&gt;I3276,ISNUMBER(SEARCH(Лист2!$B$5,I:I)),G3277=1),MAX($H$3:OFFSET(H3277,-1,0))+1,0)</f>
        <v>0</v>
      </c>
      <c r="I3277" s="3" t="s">
        <v>286</v>
      </c>
      <c r="K3277" s="2">
        <f>IF(ISNUMBER(SEARCH(Лист2!$B$4,F:F)),1,0)</f>
        <v>0</v>
      </c>
      <c r="L3277" s="14">
        <f>IF(ISNUMBER(SEARCH(Лист2!$B$5,I:I)),1,0)+K3277</f>
        <v>0</v>
      </c>
      <c r="M3277" s="3">
        <f ca="1">IF(AND(N3277&lt;&gt;N3276,ISNUMBER(SEARCH(Лист2!$B$6,N:N)),L3277=2),MAX($M$3:OFFSET(M3277,-1,0))+1,0)</f>
        <v>0</v>
      </c>
      <c r="N3277" s="3" t="s">
        <v>2095</v>
      </c>
    </row>
    <row r="3278" spans="1:14" x14ac:dyDescent="0.25">
      <c r="A3278" s="1" t="s">
        <v>12084</v>
      </c>
      <c r="B3278" s="3" t="s">
        <v>6902</v>
      </c>
      <c r="C3278" s="2">
        <f ca="1">IF(ISNUMBER(SEARCH(Лист2!$B$4,D:D)),MAX($C$3:OFFSET(C3278,-1,0))+1,0)</f>
        <v>0</v>
      </c>
      <c r="E3278" s="9" t="str">
        <f t="shared" ca="1" si="63"/>
        <v/>
      </c>
      <c r="F3278" s="4" t="s">
        <v>9</v>
      </c>
      <c r="G3278" s="2">
        <f>IF(ISNUMBER(SEARCH(Лист2!$B$4,F:F)),1,0)</f>
        <v>0</v>
      </c>
      <c r="H3278" s="3">
        <f ca="1">IF(AND(I3278&lt;&gt;I3277,ISNUMBER(SEARCH(Лист2!$B$5,I:I)),G3278=1),MAX($H$3:OFFSET(H3278,-1,0))+1,0)</f>
        <v>0</v>
      </c>
      <c r="I3278" s="3" t="s">
        <v>270</v>
      </c>
      <c r="K3278" s="2">
        <f>IF(ISNUMBER(SEARCH(Лист2!$B$4,F:F)),1,0)</f>
        <v>0</v>
      </c>
      <c r="L3278" s="14">
        <f>IF(ISNUMBER(SEARCH(Лист2!$B$5,I:I)),1,0)+K3278</f>
        <v>0</v>
      </c>
      <c r="M3278" s="3">
        <f ca="1">IF(AND(N3278&lt;&gt;N3277,ISNUMBER(SEARCH(Лист2!$B$6,N:N)),L3278=2),MAX($M$3:OFFSET(M3278,-1,0))+1,0)</f>
        <v>0</v>
      </c>
      <c r="N3278" s="3" t="s">
        <v>2019</v>
      </c>
    </row>
    <row r="3279" spans="1:14" x14ac:dyDescent="0.25">
      <c r="A3279" s="1" t="s">
        <v>12085</v>
      </c>
      <c r="B3279" s="3" t="s">
        <v>6903</v>
      </c>
      <c r="C3279" s="2">
        <f ca="1">IF(ISNUMBER(SEARCH(Лист2!$B$4,D:D)),MAX($C$3:OFFSET(C3279,-1,0))+1,0)</f>
        <v>0</v>
      </c>
      <c r="E3279" s="9" t="str">
        <f t="shared" ca="1" si="63"/>
        <v/>
      </c>
      <c r="F3279" s="4" t="s">
        <v>9</v>
      </c>
      <c r="G3279" s="2">
        <f>IF(ISNUMBER(SEARCH(Лист2!$B$4,F:F)),1,0)</f>
        <v>0</v>
      </c>
      <c r="H3279" s="3">
        <f ca="1">IF(AND(I3279&lt;&gt;I3278,ISNUMBER(SEARCH(Лист2!$B$5,I:I)),G3279=1),MAX($H$3:OFFSET(H3279,-1,0))+1,0)</f>
        <v>0</v>
      </c>
      <c r="I3279" s="3" t="s">
        <v>270</v>
      </c>
      <c r="K3279" s="2">
        <f>IF(ISNUMBER(SEARCH(Лист2!$B$4,F:F)),1,0)</f>
        <v>0</v>
      </c>
      <c r="L3279" s="14">
        <f>IF(ISNUMBER(SEARCH(Лист2!$B$5,I:I)),1,0)+K3279</f>
        <v>0</v>
      </c>
      <c r="M3279" s="3">
        <f ca="1">IF(AND(N3279&lt;&gt;N3278,ISNUMBER(SEARCH(Лист2!$B$6,N:N)),L3279=2),MAX($M$3:OFFSET(M3279,-1,0))+1,0)</f>
        <v>0</v>
      </c>
      <c r="N3279" s="3" t="s">
        <v>2020</v>
      </c>
    </row>
    <row r="3280" spans="1:14" x14ac:dyDescent="0.25">
      <c r="A3280" s="1" t="s">
        <v>12086</v>
      </c>
      <c r="B3280" s="3" t="s">
        <v>6904</v>
      </c>
      <c r="C3280" s="2">
        <f ca="1">IF(ISNUMBER(SEARCH(Лист2!$B$4,D:D)),MAX($C$3:OFFSET(C3280,-1,0))+1,0)</f>
        <v>0</v>
      </c>
      <c r="E3280" s="9" t="str">
        <f t="shared" ca="1" si="63"/>
        <v/>
      </c>
      <c r="F3280" s="4" t="s">
        <v>9</v>
      </c>
      <c r="G3280" s="2">
        <f>IF(ISNUMBER(SEARCH(Лист2!$B$4,F:F)),1,0)</f>
        <v>0</v>
      </c>
      <c r="H3280" s="3">
        <f ca="1">IF(AND(I3280&lt;&gt;I3279,ISNUMBER(SEARCH(Лист2!$B$5,I:I)),G3280=1),MAX($H$3:OFFSET(H3280,-1,0))+1,0)</f>
        <v>0</v>
      </c>
      <c r="I3280" s="3" t="s">
        <v>270</v>
      </c>
      <c r="K3280" s="2">
        <f>IF(ISNUMBER(SEARCH(Лист2!$B$4,F:F)),1,0)</f>
        <v>0</v>
      </c>
      <c r="L3280" s="14">
        <f>IF(ISNUMBER(SEARCH(Лист2!$B$5,I:I)),1,0)+K3280</f>
        <v>0</v>
      </c>
      <c r="M3280" s="3">
        <f ca="1">IF(AND(N3280&lt;&gt;N3279,ISNUMBER(SEARCH(Лист2!$B$6,N:N)),L3280=2),MAX($M$3:OFFSET(M3280,-1,0))+1,0)</f>
        <v>0</v>
      </c>
      <c r="N3280" s="3" t="s">
        <v>1385</v>
      </c>
    </row>
    <row r="3281" spans="1:14" x14ac:dyDescent="0.25">
      <c r="A3281" s="1" t="s">
        <v>12087</v>
      </c>
      <c r="B3281" s="3" t="s">
        <v>6905</v>
      </c>
      <c r="C3281" s="2">
        <f ca="1">IF(ISNUMBER(SEARCH(Лист2!$B$4,D:D)),MAX($C$3:OFFSET(C3281,-1,0))+1,0)</f>
        <v>0</v>
      </c>
      <c r="E3281" s="9" t="str">
        <f t="shared" ca="1" si="63"/>
        <v/>
      </c>
      <c r="F3281" s="4" t="s">
        <v>9</v>
      </c>
      <c r="G3281" s="2">
        <f>IF(ISNUMBER(SEARCH(Лист2!$B$4,F:F)),1,0)</f>
        <v>0</v>
      </c>
      <c r="H3281" s="3">
        <f ca="1">IF(AND(I3281&lt;&gt;I3280,ISNUMBER(SEARCH(Лист2!$B$5,I:I)),G3281=1),MAX($H$3:OFFSET(H3281,-1,0))+1,0)</f>
        <v>0</v>
      </c>
      <c r="I3281" s="3" t="s">
        <v>270</v>
      </c>
      <c r="K3281" s="2">
        <f>IF(ISNUMBER(SEARCH(Лист2!$B$4,F:F)),1,0)</f>
        <v>0</v>
      </c>
      <c r="L3281" s="14">
        <f>IF(ISNUMBER(SEARCH(Лист2!$B$5,I:I)),1,0)+K3281</f>
        <v>0</v>
      </c>
      <c r="M3281" s="3">
        <f ca="1">IF(AND(N3281&lt;&gt;N3280,ISNUMBER(SEARCH(Лист2!$B$6,N:N)),L3281=2),MAX($M$3:OFFSET(M3281,-1,0))+1,0)</f>
        <v>0</v>
      </c>
      <c r="N3281" s="3" t="s">
        <v>602</v>
      </c>
    </row>
    <row r="3282" spans="1:14" x14ac:dyDescent="0.25">
      <c r="A3282" s="1" t="s">
        <v>12088</v>
      </c>
      <c r="B3282" s="3" t="s">
        <v>6906</v>
      </c>
      <c r="C3282" s="2">
        <f ca="1">IF(ISNUMBER(SEARCH(Лист2!$B$4,D:D)),MAX($C$3:OFFSET(C3282,-1,0))+1,0)</f>
        <v>0</v>
      </c>
      <c r="E3282" s="9" t="str">
        <f t="shared" ca="1" si="63"/>
        <v/>
      </c>
      <c r="F3282" s="4" t="s">
        <v>9</v>
      </c>
      <c r="G3282" s="2">
        <f>IF(ISNUMBER(SEARCH(Лист2!$B$4,F:F)),1,0)</f>
        <v>0</v>
      </c>
      <c r="H3282" s="3">
        <f ca="1">IF(AND(I3282&lt;&gt;I3281,ISNUMBER(SEARCH(Лист2!$B$5,I:I)),G3282=1),MAX($H$3:OFFSET(H3282,-1,0))+1,0)</f>
        <v>0</v>
      </c>
      <c r="I3282" s="3" t="s">
        <v>270</v>
      </c>
      <c r="K3282" s="2">
        <f>IF(ISNUMBER(SEARCH(Лист2!$B$4,F:F)),1,0)</f>
        <v>0</v>
      </c>
      <c r="L3282" s="14">
        <f>IF(ISNUMBER(SEARCH(Лист2!$B$5,I:I)),1,0)+K3282</f>
        <v>0</v>
      </c>
      <c r="M3282" s="3">
        <f ca="1">IF(AND(N3282&lt;&gt;N3281,ISNUMBER(SEARCH(Лист2!$B$6,N:N)),L3282=2),MAX($M$3:OFFSET(M3282,-1,0))+1,0)</f>
        <v>0</v>
      </c>
      <c r="N3282" s="3" t="s">
        <v>2021</v>
      </c>
    </row>
    <row r="3283" spans="1:14" x14ac:dyDescent="0.25">
      <c r="A3283" s="1" t="s">
        <v>12089</v>
      </c>
      <c r="B3283" s="3" t="s">
        <v>6907</v>
      </c>
      <c r="C3283" s="2">
        <f ca="1">IF(ISNUMBER(SEARCH(Лист2!$B$4,D:D)),MAX($C$3:OFFSET(C3283,-1,0))+1,0)</f>
        <v>0</v>
      </c>
      <c r="E3283" s="9" t="str">
        <f t="shared" ca="1" si="63"/>
        <v/>
      </c>
      <c r="F3283" s="4" t="s">
        <v>9</v>
      </c>
      <c r="G3283" s="2">
        <f>IF(ISNUMBER(SEARCH(Лист2!$B$4,F:F)),1,0)</f>
        <v>0</v>
      </c>
      <c r="H3283" s="3">
        <f ca="1">IF(AND(I3283&lt;&gt;I3282,ISNUMBER(SEARCH(Лист2!$B$5,I:I)),G3283=1),MAX($H$3:OFFSET(H3283,-1,0))+1,0)</f>
        <v>0</v>
      </c>
      <c r="I3283" s="3" t="s">
        <v>270</v>
      </c>
      <c r="K3283" s="2">
        <f>IF(ISNUMBER(SEARCH(Лист2!$B$4,F:F)),1,0)</f>
        <v>0</v>
      </c>
      <c r="L3283" s="14">
        <f>IF(ISNUMBER(SEARCH(Лист2!$B$5,I:I)),1,0)+K3283</f>
        <v>0</v>
      </c>
      <c r="M3283" s="3">
        <f ca="1">IF(AND(N3283&lt;&gt;N3282,ISNUMBER(SEARCH(Лист2!$B$6,N:N)),L3283=2),MAX($M$3:OFFSET(M3283,-1,0))+1,0)</f>
        <v>0</v>
      </c>
      <c r="N3283" s="3" t="s">
        <v>2022</v>
      </c>
    </row>
    <row r="3284" spans="1:14" x14ac:dyDescent="0.25">
      <c r="A3284" s="1" t="s">
        <v>12090</v>
      </c>
      <c r="B3284" s="3" t="s">
        <v>6908</v>
      </c>
      <c r="C3284" s="2">
        <f ca="1">IF(ISNUMBER(SEARCH(Лист2!$B$4,D:D)),MAX($C$3:OFFSET(C3284,-1,0))+1,0)</f>
        <v>0</v>
      </c>
      <c r="E3284" s="9" t="str">
        <f t="shared" ca="1" si="63"/>
        <v/>
      </c>
      <c r="F3284" s="4" t="s">
        <v>9</v>
      </c>
      <c r="G3284" s="2">
        <f>IF(ISNUMBER(SEARCH(Лист2!$B$4,F:F)),1,0)</f>
        <v>0</v>
      </c>
      <c r="H3284" s="3">
        <f ca="1">IF(AND(I3284&lt;&gt;I3283,ISNUMBER(SEARCH(Лист2!$B$5,I:I)),G3284=1),MAX($H$3:OFFSET(H3284,-1,0))+1,0)</f>
        <v>0</v>
      </c>
      <c r="I3284" s="3" t="s">
        <v>270</v>
      </c>
      <c r="K3284" s="2">
        <f>IF(ISNUMBER(SEARCH(Лист2!$B$4,F:F)),1,0)</f>
        <v>0</v>
      </c>
      <c r="L3284" s="14">
        <f>IF(ISNUMBER(SEARCH(Лист2!$B$5,I:I)),1,0)+K3284</f>
        <v>0</v>
      </c>
      <c r="M3284" s="3">
        <f ca="1">IF(AND(N3284&lt;&gt;N3283,ISNUMBER(SEARCH(Лист2!$B$6,N:N)),L3284=2),MAX($M$3:OFFSET(M3284,-1,0))+1,0)</f>
        <v>0</v>
      </c>
      <c r="N3284" s="3" t="s">
        <v>2023</v>
      </c>
    </row>
    <row r="3285" spans="1:14" x14ac:dyDescent="0.25">
      <c r="A3285" s="1" t="s">
        <v>12091</v>
      </c>
      <c r="B3285" s="3" t="s">
        <v>6909</v>
      </c>
      <c r="C3285" s="2">
        <f ca="1">IF(ISNUMBER(SEARCH(Лист2!$B$4,D:D)),MAX($C$3:OFFSET(C3285,-1,0))+1,0)</f>
        <v>0</v>
      </c>
      <c r="E3285" s="9" t="str">
        <f t="shared" ca="1" si="63"/>
        <v/>
      </c>
      <c r="F3285" s="4" t="s">
        <v>9</v>
      </c>
      <c r="G3285" s="2">
        <f>IF(ISNUMBER(SEARCH(Лист2!$B$4,F:F)),1,0)</f>
        <v>0</v>
      </c>
      <c r="H3285" s="3">
        <f ca="1">IF(AND(I3285&lt;&gt;I3284,ISNUMBER(SEARCH(Лист2!$B$5,I:I)),G3285=1),MAX($H$3:OFFSET(H3285,-1,0))+1,0)</f>
        <v>0</v>
      </c>
      <c r="I3285" s="3" t="s">
        <v>270</v>
      </c>
      <c r="K3285" s="2">
        <f>IF(ISNUMBER(SEARCH(Лист2!$B$4,F:F)),1,0)</f>
        <v>0</v>
      </c>
      <c r="L3285" s="14">
        <f>IF(ISNUMBER(SEARCH(Лист2!$B$5,I:I)),1,0)+K3285</f>
        <v>0</v>
      </c>
      <c r="M3285" s="3">
        <f ca="1">IF(AND(N3285&lt;&gt;N3284,ISNUMBER(SEARCH(Лист2!$B$6,N:N)),L3285=2),MAX($M$3:OFFSET(M3285,-1,0))+1,0)</f>
        <v>0</v>
      </c>
      <c r="N3285" s="3" t="s">
        <v>2017</v>
      </c>
    </row>
    <row r="3286" spans="1:14" x14ac:dyDescent="0.25">
      <c r="A3286" s="1" t="s">
        <v>12092</v>
      </c>
      <c r="B3286" s="3" t="s">
        <v>6910</v>
      </c>
      <c r="C3286" s="2">
        <f ca="1">IF(ISNUMBER(SEARCH(Лист2!$B$4,D:D)),MAX($C$3:OFFSET(C3286,-1,0))+1,0)</f>
        <v>0</v>
      </c>
      <c r="E3286" s="9" t="str">
        <f t="shared" ca="1" si="63"/>
        <v/>
      </c>
      <c r="F3286" s="4" t="s">
        <v>9</v>
      </c>
      <c r="G3286" s="2">
        <f>IF(ISNUMBER(SEARCH(Лист2!$B$4,F:F)),1,0)</f>
        <v>0</v>
      </c>
      <c r="H3286" s="3">
        <f ca="1">IF(AND(I3286&lt;&gt;I3285,ISNUMBER(SEARCH(Лист2!$B$5,I:I)),G3286=1),MAX($H$3:OFFSET(H3286,-1,0))+1,0)</f>
        <v>0</v>
      </c>
      <c r="I3286" s="3" t="s">
        <v>270</v>
      </c>
      <c r="K3286" s="2">
        <f>IF(ISNUMBER(SEARCH(Лист2!$B$4,F:F)),1,0)</f>
        <v>0</v>
      </c>
      <c r="L3286" s="14">
        <f>IF(ISNUMBER(SEARCH(Лист2!$B$5,I:I)),1,0)+K3286</f>
        <v>0</v>
      </c>
      <c r="M3286" s="3">
        <f ca="1">IF(AND(N3286&lt;&gt;N3285,ISNUMBER(SEARCH(Лист2!$B$6,N:N)),L3286=2),MAX($M$3:OFFSET(M3286,-1,0))+1,0)</f>
        <v>0</v>
      </c>
      <c r="N3286" s="3" t="s">
        <v>2096</v>
      </c>
    </row>
    <row r="3287" spans="1:14" x14ac:dyDescent="0.25">
      <c r="A3287" s="1" t="s">
        <v>12093</v>
      </c>
      <c r="B3287" s="3" t="s">
        <v>6911</v>
      </c>
      <c r="C3287" s="2">
        <f ca="1">IF(ISNUMBER(SEARCH(Лист2!$B$4,D:D)),MAX($C$3:OFFSET(C3287,-1,0))+1,0)</f>
        <v>0</v>
      </c>
      <c r="E3287" s="9" t="str">
        <f t="shared" ca="1" si="63"/>
        <v/>
      </c>
      <c r="F3287" s="4" t="s">
        <v>9</v>
      </c>
      <c r="G3287" s="2">
        <f>IF(ISNUMBER(SEARCH(Лист2!$B$4,F:F)),1,0)</f>
        <v>0</v>
      </c>
      <c r="H3287" s="3">
        <f ca="1">IF(AND(I3287&lt;&gt;I3286,ISNUMBER(SEARCH(Лист2!$B$5,I:I)),G3287=1),MAX($H$3:OFFSET(H3287,-1,0))+1,0)</f>
        <v>0</v>
      </c>
      <c r="I3287" s="3" t="s">
        <v>270</v>
      </c>
      <c r="K3287" s="2">
        <f>IF(ISNUMBER(SEARCH(Лист2!$B$4,F:F)),1,0)</f>
        <v>0</v>
      </c>
      <c r="L3287" s="14">
        <f>IF(ISNUMBER(SEARCH(Лист2!$B$5,I:I)),1,0)+K3287</f>
        <v>0</v>
      </c>
      <c r="M3287" s="3">
        <f ca="1">IF(AND(N3287&lt;&gt;N3286,ISNUMBER(SEARCH(Лист2!$B$6,N:N)),L3287=2),MAX($M$3:OFFSET(M3287,-1,0))+1,0)</f>
        <v>0</v>
      </c>
      <c r="N3287" s="3" t="s">
        <v>2097</v>
      </c>
    </row>
    <row r="3288" spans="1:14" x14ac:dyDescent="0.25">
      <c r="A3288" s="1" t="s">
        <v>12094</v>
      </c>
      <c r="B3288" s="3" t="s">
        <v>6912</v>
      </c>
      <c r="C3288" s="2">
        <f ca="1">IF(ISNUMBER(SEARCH(Лист2!$B$4,D:D)),MAX($C$3:OFFSET(C3288,-1,0))+1,0)</f>
        <v>0</v>
      </c>
      <c r="E3288" s="9" t="str">
        <f t="shared" ca="1" si="63"/>
        <v/>
      </c>
      <c r="F3288" s="4" t="s">
        <v>9</v>
      </c>
      <c r="G3288" s="2">
        <f>IF(ISNUMBER(SEARCH(Лист2!$B$4,F:F)),1,0)</f>
        <v>0</v>
      </c>
      <c r="H3288" s="3">
        <f ca="1">IF(AND(I3288&lt;&gt;I3287,ISNUMBER(SEARCH(Лист2!$B$5,I:I)),G3288=1),MAX($H$3:OFFSET(H3288,-1,0))+1,0)</f>
        <v>0</v>
      </c>
      <c r="I3288" s="3" t="s">
        <v>287</v>
      </c>
      <c r="K3288" s="2">
        <f>IF(ISNUMBER(SEARCH(Лист2!$B$4,F:F)),1,0)</f>
        <v>0</v>
      </c>
      <c r="L3288" s="14">
        <f>IF(ISNUMBER(SEARCH(Лист2!$B$5,I:I)),1,0)+K3288</f>
        <v>0</v>
      </c>
      <c r="M3288" s="3">
        <f ca="1">IF(AND(N3288&lt;&gt;N3287,ISNUMBER(SEARCH(Лист2!$B$6,N:N)),L3288=2),MAX($M$3:OFFSET(M3288,-1,0))+1,0)</f>
        <v>0</v>
      </c>
      <c r="N3288" s="3" t="s">
        <v>711</v>
      </c>
    </row>
    <row r="3289" spans="1:14" x14ac:dyDescent="0.25">
      <c r="A3289" s="1" t="s">
        <v>12095</v>
      </c>
      <c r="B3289" s="3" t="s">
        <v>6913</v>
      </c>
      <c r="C3289" s="2">
        <f ca="1">IF(ISNUMBER(SEARCH(Лист2!$B$4,D:D)),MAX($C$3:OFFSET(C3289,-1,0))+1,0)</f>
        <v>0</v>
      </c>
      <c r="E3289" s="9" t="str">
        <f t="shared" ca="1" si="63"/>
        <v/>
      </c>
      <c r="F3289" s="4" t="s">
        <v>9</v>
      </c>
      <c r="G3289" s="2">
        <f>IF(ISNUMBER(SEARCH(Лист2!$B$4,F:F)),1,0)</f>
        <v>0</v>
      </c>
      <c r="H3289" s="3">
        <f ca="1">IF(AND(I3289&lt;&gt;I3288,ISNUMBER(SEARCH(Лист2!$B$5,I:I)),G3289=1),MAX($H$3:OFFSET(H3289,-1,0))+1,0)</f>
        <v>0</v>
      </c>
      <c r="I3289" s="3" t="s">
        <v>287</v>
      </c>
      <c r="K3289" s="2">
        <f>IF(ISNUMBER(SEARCH(Лист2!$B$4,F:F)),1,0)</f>
        <v>0</v>
      </c>
      <c r="L3289" s="14">
        <f>IF(ISNUMBER(SEARCH(Лист2!$B$5,I:I)),1,0)+K3289</f>
        <v>0</v>
      </c>
      <c r="M3289" s="3">
        <f ca="1">IF(AND(N3289&lt;&gt;N3288,ISNUMBER(SEARCH(Лист2!$B$6,N:N)),L3289=2),MAX($M$3:OFFSET(M3289,-1,0))+1,0)</f>
        <v>0</v>
      </c>
      <c r="N3289" s="3" t="s">
        <v>713</v>
      </c>
    </row>
    <row r="3290" spans="1:14" x14ac:dyDescent="0.25">
      <c r="A3290" s="1" t="s">
        <v>12096</v>
      </c>
      <c r="B3290" s="3" t="s">
        <v>6914</v>
      </c>
      <c r="C3290" s="2">
        <f ca="1">IF(ISNUMBER(SEARCH(Лист2!$B$4,D:D)),MAX($C$3:OFFSET(C3290,-1,0))+1,0)</f>
        <v>0</v>
      </c>
      <c r="E3290" s="9" t="str">
        <f t="shared" ca="1" si="63"/>
        <v/>
      </c>
      <c r="F3290" s="4" t="s">
        <v>9</v>
      </c>
      <c r="G3290" s="2">
        <f>IF(ISNUMBER(SEARCH(Лист2!$B$4,F:F)),1,0)</f>
        <v>0</v>
      </c>
      <c r="H3290" s="3">
        <f ca="1">IF(AND(I3290&lt;&gt;I3289,ISNUMBER(SEARCH(Лист2!$B$5,I:I)),G3290=1),MAX($H$3:OFFSET(H3290,-1,0))+1,0)</f>
        <v>0</v>
      </c>
      <c r="I3290" s="3" t="s">
        <v>287</v>
      </c>
      <c r="K3290" s="2">
        <f>IF(ISNUMBER(SEARCH(Лист2!$B$4,F:F)),1,0)</f>
        <v>0</v>
      </c>
      <c r="L3290" s="14">
        <f>IF(ISNUMBER(SEARCH(Лист2!$B$5,I:I)),1,0)+K3290</f>
        <v>0</v>
      </c>
      <c r="M3290" s="3">
        <f ca="1">IF(AND(N3290&lt;&gt;N3289,ISNUMBER(SEARCH(Лист2!$B$6,N:N)),L3290=2),MAX($M$3:OFFSET(M3290,-1,0))+1,0)</f>
        <v>0</v>
      </c>
      <c r="N3290" s="3" t="s">
        <v>1385</v>
      </c>
    </row>
    <row r="3291" spans="1:14" x14ac:dyDescent="0.25">
      <c r="A3291" s="1" t="s">
        <v>12097</v>
      </c>
      <c r="B3291" s="3" t="s">
        <v>6915</v>
      </c>
      <c r="C3291" s="2">
        <f ca="1">IF(ISNUMBER(SEARCH(Лист2!$B$4,D:D)),MAX($C$3:OFFSET(C3291,-1,0))+1,0)</f>
        <v>0</v>
      </c>
      <c r="E3291" s="9" t="str">
        <f t="shared" ca="1" si="63"/>
        <v/>
      </c>
      <c r="F3291" s="4" t="s">
        <v>9</v>
      </c>
      <c r="G3291" s="2">
        <f>IF(ISNUMBER(SEARCH(Лист2!$B$4,F:F)),1,0)</f>
        <v>0</v>
      </c>
      <c r="H3291" s="3">
        <f ca="1">IF(AND(I3291&lt;&gt;I3290,ISNUMBER(SEARCH(Лист2!$B$5,I:I)),G3291=1),MAX($H$3:OFFSET(H3291,-1,0))+1,0)</f>
        <v>0</v>
      </c>
      <c r="I3291" s="3" t="s">
        <v>287</v>
      </c>
      <c r="K3291" s="2">
        <f>IF(ISNUMBER(SEARCH(Лист2!$B$4,F:F)),1,0)</f>
        <v>0</v>
      </c>
      <c r="L3291" s="14">
        <f>IF(ISNUMBER(SEARCH(Лист2!$B$5,I:I)),1,0)+K3291</f>
        <v>0</v>
      </c>
      <c r="M3291" s="3">
        <f ca="1">IF(AND(N3291&lt;&gt;N3290,ISNUMBER(SEARCH(Лист2!$B$6,N:N)),L3291=2),MAX($M$3:OFFSET(M3291,-1,0))+1,0)</f>
        <v>0</v>
      </c>
      <c r="N3291" s="3" t="s">
        <v>602</v>
      </c>
    </row>
    <row r="3292" spans="1:14" x14ac:dyDescent="0.25">
      <c r="A3292" s="1" t="s">
        <v>12098</v>
      </c>
      <c r="B3292" s="3" t="s">
        <v>6916</v>
      </c>
      <c r="C3292" s="2">
        <f ca="1">IF(ISNUMBER(SEARCH(Лист2!$B$4,D:D)),MAX($C$3:OFFSET(C3292,-1,0))+1,0)</f>
        <v>0</v>
      </c>
      <c r="E3292" s="9" t="str">
        <f t="shared" ca="1" si="63"/>
        <v/>
      </c>
      <c r="F3292" s="4" t="s">
        <v>9</v>
      </c>
      <c r="G3292" s="2">
        <f>IF(ISNUMBER(SEARCH(Лист2!$B$4,F:F)),1,0)</f>
        <v>0</v>
      </c>
      <c r="H3292" s="3">
        <f ca="1">IF(AND(I3292&lt;&gt;I3291,ISNUMBER(SEARCH(Лист2!$B$5,I:I)),G3292=1),MAX($H$3:OFFSET(H3292,-1,0))+1,0)</f>
        <v>0</v>
      </c>
      <c r="I3292" s="3" t="s">
        <v>287</v>
      </c>
      <c r="K3292" s="2">
        <f>IF(ISNUMBER(SEARCH(Лист2!$B$4,F:F)),1,0)</f>
        <v>0</v>
      </c>
      <c r="L3292" s="14">
        <f>IF(ISNUMBER(SEARCH(Лист2!$B$5,I:I)),1,0)+K3292</f>
        <v>0</v>
      </c>
      <c r="M3292" s="3">
        <f ca="1">IF(AND(N3292&lt;&gt;N3291,ISNUMBER(SEARCH(Лист2!$B$6,N:N)),L3292=2),MAX($M$3:OFFSET(M3292,-1,0))+1,0)</f>
        <v>0</v>
      </c>
      <c r="N3292" s="3" t="s">
        <v>715</v>
      </c>
    </row>
    <row r="3293" spans="1:14" x14ac:dyDescent="0.25">
      <c r="A3293" s="1" t="s">
        <v>12099</v>
      </c>
      <c r="B3293" s="3" t="s">
        <v>6917</v>
      </c>
      <c r="C3293" s="2">
        <f ca="1">IF(ISNUMBER(SEARCH(Лист2!$B$4,D:D)),MAX($C$3:OFFSET(C3293,-1,0))+1,0)</f>
        <v>0</v>
      </c>
      <c r="E3293" s="9" t="str">
        <f t="shared" ca="1" si="63"/>
        <v/>
      </c>
      <c r="F3293" s="4" t="s">
        <v>9</v>
      </c>
      <c r="G3293" s="2">
        <f>IF(ISNUMBER(SEARCH(Лист2!$B$4,F:F)),1,0)</f>
        <v>0</v>
      </c>
      <c r="H3293" s="3">
        <f ca="1">IF(AND(I3293&lt;&gt;I3292,ISNUMBER(SEARCH(Лист2!$B$5,I:I)),G3293=1),MAX($H$3:OFFSET(H3293,-1,0))+1,0)</f>
        <v>0</v>
      </c>
      <c r="I3293" s="3" t="s">
        <v>287</v>
      </c>
      <c r="K3293" s="2">
        <f>IF(ISNUMBER(SEARCH(Лист2!$B$4,F:F)),1,0)</f>
        <v>0</v>
      </c>
      <c r="L3293" s="14">
        <f>IF(ISNUMBER(SEARCH(Лист2!$B$5,I:I)),1,0)+K3293</f>
        <v>0</v>
      </c>
      <c r="M3293" s="3">
        <f ca="1">IF(AND(N3293&lt;&gt;N3292,ISNUMBER(SEARCH(Лист2!$B$6,N:N)),L3293=2),MAX($M$3:OFFSET(M3293,-1,0))+1,0)</f>
        <v>0</v>
      </c>
      <c r="N3293" s="3" t="s">
        <v>716</v>
      </c>
    </row>
    <row r="3294" spans="1:14" x14ac:dyDescent="0.25">
      <c r="A3294" s="1" t="s">
        <v>12100</v>
      </c>
      <c r="B3294" s="3" t="s">
        <v>6918</v>
      </c>
      <c r="C3294" s="2">
        <f ca="1">IF(ISNUMBER(SEARCH(Лист2!$B$4,D:D)),MAX($C$3:OFFSET(C3294,-1,0))+1,0)</f>
        <v>0</v>
      </c>
      <c r="E3294" s="9" t="str">
        <f t="shared" ca="1" si="63"/>
        <v/>
      </c>
      <c r="F3294" s="4" t="s">
        <v>9</v>
      </c>
      <c r="G3294" s="2">
        <f>IF(ISNUMBER(SEARCH(Лист2!$B$4,F:F)),1,0)</f>
        <v>0</v>
      </c>
      <c r="H3294" s="3">
        <f ca="1">IF(AND(I3294&lt;&gt;I3293,ISNUMBER(SEARCH(Лист2!$B$5,I:I)),G3294=1),MAX($H$3:OFFSET(H3294,-1,0))+1,0)</f>
        <v>0</v>
      </c>
      <c r="I3294" s="3" t="s">
        <v>287</v>
      </c>
      <c r="K3294" s="2">
        <f>IF(ISNUMBER(SEARCH(Лист2!$B$4,F:F)),1,0)</f>
        <v>0</v>
      </c>
      <c r="L3294" s="14">
        <f>IF(ISNUMBER(SEARCH(Лист2!$B$5,I:I)),1,0)+K3294</f>
        <v>0</v>
      </c>
      <c r="M3294" s="3">
        <f ca="1">IF(AND(N3294&lt;&gt;N3293,ISNUMBER(SEARCH(Лист2!$B$6,N:N)),L3294=2),MAX($M$3:OFFSET(M3294,-1,0))+1,0)</f>
        <v>0</v>
      </c>
      <c r="N3294" s="3" t="s">
        <v>2089</v>
      </c>
    </row>
    <row r="3295" spans="1:14" x14ac:dyDescent="0.25">
      <c r="A3295" s="1" t="s">
        <v>12101</v>
      </c>
      <c r="B3295" s="3" t="s">
        <v>6919</v>
      </c>
      <c r="C3295" s="2">
        <f ca="1">IF(ISNUMBER(SEARCH(Лист2!$B$4,D:D)),MAX($C$3:OFFSET(C3295,-1,0))+1,0)</f>
        <v>0</v>
      </c>
      <c r="E3295" s="9" t="str">
        <f t="shared" ca="1" si="63"/>
        <v/>
      </c>
      <c r="F3295" s="4" t="s">
        <v>9</v>
      </c>
      <c r="G3295" s="2">
        <f>IF(ISNUMBER(SEARCH(Лист2!$B$4,F:F)),1,0)</f>
        <v>0</v>
      </c>
      <c r="H3295" s="3">
        <f ca="1">IF(AND(I3295&lt;&gt;I3294,ISNUMBER(SEARCH(Лист2!$B$5,I:I)),G3295=1),MAX($H$3:OFFSET(H3295,-1,0))+1,0)</f>
        <v>0</v>
      </c>
      <c r="I3295" s="3" t="s">
        <v>287</v>
      </c>
      <c r="K3295" s="2">
        <f>IF(ISNUMBER(SEARCH(Лист2!$B$4,F:F)),1,0)</f>
        <v>0</v>
      </c>
      <c r="L3295" s="14">
        <f>IF(ISNUMBER(SEARCH(Лист2!$B$5,I:I)),1,0)+K3295</f>
        <v>0</v>
      </c>
      <c r="M3295" s="3">
        <f ca="1">IF(AND(N3295&lt;&gt;N3294,ISNUMBER(SEARCH(Лист2!$B$6,N:N)),L3295=2),MAX($M$3:OFFSET(M3295,-1,0))+1,0)</f>
        <v>0</v>
      </c>
      <c r="N3295" s="3" t="s">
        <v>2098</v>
      </c>
    </row>
    <row r="3296" spans="1:14" x14ac:dyDescent="0.25">
      <c r="A3296" s="1" t="s">
        <v>12102</v>
      </c>
      <c r="B3296" s="3" t="s">
        <v>6920</v>
      </c>
      <c r="C3296" s="2">
        <f ca="1">IF(ISNUMBER(SEARCH(Лист2!$B$4,D:D)),MAX($C$3:OFFSET(C3296,-1,0))+1,0)</f>
        <v>0</v>
      </c>
      <c r="E3296" s="9" t="str">
        <f t="shared" ca="1" si="63"/>
        <v/>
      </c>
      <c r="F3296" s="4" t="s">
        <v>9</v>
      </c>
      <c r="G3296" s="2">
        <f>IF(ISNUMBER(SEARCH(Лист2!$B$4,F:F)),1,0)</f>
        <v>0</v>
      </c>
      <c r="H3296" s="3">
        <f ca="1">IF(AND(I3296&lt;&gt;I3295,ISNUMBER(SEARCH(Лист2!$B$5,I:I)),G3296=1),MAX($H$3:OFFSET(H3296,-1,0))+1,0)</f>
        <v>0</v>
      </c>
      <c r="I3296" s="3" t="s">
        <v>287</v>
      </c>
      <c r="K3296" s="2">
        <f>IF(ISNUMBER(SEARCH(Лист2!$B$4,F:F)),1,0)</f>
        <v>0</v>
      </c>
      <c r="L3296" s="14">
        <f>IF(ISNUMBER(SEARCH(Лист2!$B$5,I:I)),1,0)+K3296</f>
        <v>0</v>
      </c>
      <c r="M3296" s="3">
        <f ca="1">IF(AND(N3296&lt;&gt;N3295,ISNUMBER(SEARCH(Лист2!$B$6,N:N)),L3296=2),MAX($M$3:OFFSET(M3296,-1,0))+1,0)</f>
        <v>0</v>
      </c>
      <c r="N3296" s="3" t="s">
        <v>2099</v>
      </c>
    </row>
    <row r="3297" spans="1:14" x14ac:dyDescent="0.25">
      <c r="A3297" s="1" t="s">
        <v>12103</v>
      </c>
      <c r="B3297" s="3" t="s">
        <v>6921</v>
      </c>
      <c r="C3297" s="2">
        <f ca="1">IF(ISNUMBER(SEARCH(Лист2!$B$4,D:D)),MAX($C$3:OFFSET(C3297,-1,0))+1,0)</f>
        <v>0</v>
      </c>
      <c r="E3297" s="9" t="str">
        <f t="shared" ca="1" si="63"/>
        <v/>
      </c>
      <c r="F3297" s="4" t="s">
        <v>9</v>
      </c>
      <c r="G3297" s="2">
        <f>IF(ISNUMBER(SEARCH(Лист2!$B$4,F:F)),1,0)</f>
        <v>0</v>
      </c>
      <c r="H3297" s="3">
        <f ca="1">IF(AND(I3297&lt;&gt;I3296,ISNUMBER(SEARCH(Лист2!$B$5,I:I)),G3297=1),MAX($H$3:OFFSET(H3297,-1,0))+1,0)</f>
        <v>0</v>
      </c>
      <c r="I3297" s="3" t="s">
        <v>287</v>
      </c>
      <c r="K3297" s="2">
        <f>IF(ISNUMBER(SEARCH(Лист2!$B$4,F:F)),1,0)</f>
        <v>0</v>
      </c>
      <c r="L3297" s="14">
        <f>IF(ISNUMBER(SEARCH(Лист2!$B$5,I:I)),1,0)+K3297</f>
        <v>0</v>
      </c>
      <c r="M3297" s="3">
        <f ca="1">IF(AND(N3297&lt;&gt;N3296,ISNUMBER(SEARCH(Лист2!$B$6,N:N)),L3297=2),MAX($M$3:OFFSET(M3297,-1,0))+1,0)</f>
        <v>0</v>
      </c>
      <c r="N3297" s="3" t="s">
        <v>2100</v>
      </c>
    </row>
    <row r="3298" spans="1:14" x14ac:dyDescent="0.25">
      <c r="A3298" s="1" t="s">
        <v>12104</v>
      </c>
      <c r="B3298" s="3" t="s">
        <v>6922</v>
      </c>
      <c r="C3298" s="2">
        <f ca="1">IF(ISNUMBER(SEARCH(Лист2!$B$4,D:D)),MAX($C$3:OFFSET(C3298,-1,0))+1,0)</f>
        <v>0</v>
      </c>
      <c r="E3298" s="9" t="str">
        <f t="shared" ca="1" si="63"/>
        <v/>
      </c>
      <c r="F3298" s="4" t="s">
        <v>9</v>
      </c>
      <c r="G3298" s="2">
        <f>IF(ISNUMBER(SEARCH(Лист2!$B$4,F:F)),1,0)</f>
        <v>0</v>
      </c>
      <c r="H3298" s="3">
        <f ca="1">IF(AND(I3298&lt;&gt;I3297,ISNUMBER(SEARCH(Лист2!$B$5,I:I)),G3298=1),MAX($H$3:OFFSET(H3298,-1,0))+1,0)</f>
        <v>0</v>
      </c>
      <c r="I3298" s="3" t="s">
        <v>287</v>
      </c>
      <c r="K3298" s="2">
        <f>IF(ISNUMBER(SEARCH(Лист2!$B$4,F:F)),1,0)</f>
        <v>0</v>
      </c>
      <c r="L3298" s="14">
        <f>IF(ISNUMBER(SEARCH(Лист2!$B$5,I:I)),1,0)+K3298</f>
        <v>0</v>
      </c>
      <c r="M3298" s="3">
        <f ca="1">IF(AND(N3298&lt;&gt;N3297,ISNUMBER(SEARCH(Лист2!$B$6,N:N)),L3298=2),MAX($M$3:OFFSET(M3298,-1,0))+1,0)</f>
        <v>0</v>
      </c>
      <c r="N3298" s="3" t="s">
        <v>2101</v>
      </c>
    </row>
    <row r="3299" spans="1:14" x14ac:dyDescent="0.25">
      <c r="A3299" s="1" t="s">
        <v>12105</v>
      </c>
      <c r="B3299" s="3" t="s">
        <v>6923</v>
      </c>
      <c r="C3299" s="2">
        <f ca="1">IF(ISNUMBER(SEARCH(Лист2!$B$4,D:D)),MAX($C$3:OFFSET(C3299,-1,0))+1,0)</f>
        <v>0</v>
      </c>
      <c r="E3299" s="9" t="str">
        <f t="shared" ca="1" si="63"/>
        <v/>
      </c>
      <c r="F3299" s="4" t="s">
        <v>9</v>
      </c>
      <c r="G3299" s="2">
        <f>IF(ISNUMBER(SEARCH(Лист2!$B$4,F:F)),1,0)</f>
        <v>0</v>
      </c>
      <c r="H3299" s="3">
        <f ca="1">IF(AND(I3299&lt;&gt;I3298,ISNUMBER(SEARCH(Лист2!$B$5,I:I)),G3299=1),MAX($H$3:OFFSET(H3299,-1,0))+1,0)</f>
        <v>0</v>
      </c>
      <c r="I3299" s="3" t="s">
        <v>288</v>
      </c>
      <c r="K3299" s="2">
        <f>IF(ISNUMBER(SEARCH(Лист2!$B$4,F:F)),1,0)</f>
        <v>0</v>
      </c>
      <c r="L3299" s="14">
        <f>IF(ISNUMBER(SEARCH(Лист2!$B$5,I:I)),1,0)+K3299</f>
        <v>0</v>
      </c>
      <c r="M3299" s="3">
        <f ca="1">IF(AND(N3299&lt;&gt;N3298,ISNUMBER(SEARCH(Лист2!$B$6,N:N)),L3299=2),MAX($M$3:OFFSET(M3299,-1,0))+1,0)</f>
        <v>0</v>
      </c>
      <c r="N3299" s="3" t="s">
        <v>711</v>
      </c>
    </row>
    <row r="3300" spans="1:14" x14ac:dyDescent="0.25">
      <c r="A3300" s="1" t="s">
        <v>12106</v>
      </c>
      <c r="B3300" s="3" t="s">
        <v>6924</v>
      </c>
      <c r="C3300" s="2">
        <f ca="1">IF(ISNUMBER(SEARCH(Лист2!$B$4,D:D)),MAX($C$3:OFFSET(C3300,-1,0))+1,0)</f>
        <v>0</v>
      </c>
      <c r="E3300" s="9" t="str">
        <f t="shared" ca="1" si="63"/>
        <v/>
      </c>
      <c r="F3300" s="4" t="s">
        <v>9</v>
      </c>
      <c r="G3300" s="2">
        <f>IF(ISNUMBER(SEARCH(Лист2!$B$4,F:F)),1,0)</f>
        <v>0</v>
      </c>
      <c r="H3300" s="3">
        <f ca="1">IF(AND(I3300&lt;&gt;I3299,ISNUMBER(SEARCH(Лист2!$B$5,I:I)),G3300=1),MAX($H$3:OFFSET(H3300,-1,0))+1,0)</f>
        <v>0</v>
      </c>
      <c r="I3300" s="3" t="s">
        <v>288</v>
      </c>
      <c r="K3300" s="2">
        <f>IF(ISNUMBER(SEARCH(Лист2!$B$4,F:F)),1,0)</f>
        <v>0</v>
      </c>
      <c r="L3300" s="14">
        <f>IF(ISNUMBER(SEARCH(Лист2!$B$5,I:I)),1,0)+K3300</f>
        <v>0</v>
      </c>
      <c r="M3300" s="3">
        <f ca="1">IF(AND(N3300&lt;&gt;N3299,ISNUMBER(SEARCH(Лист2!$B$6,N:N)),L3300=2),MAX($M$3:OFFSET(M3300,-1,0))+1,0)</f>
        <v>0</v>
      </c>
      <c r="N3300" s="3" t="s">
        <v>713</v>
      </c>
    </row>
    <row r="3301" spans="1:14" x14ac:dyDescent="0.25">
      <c r="A3301" s="1" t="s">
        <v>12107</v>
      </c>
      <c r="B3301" s="3" t="s">
        <v>6925</v>
      </c>
      <c r="C3301" s="2">
        <f ca="1">IF(ISNUMBER(SEARCH(Лист2!$B$4,D:D)),MAX($C$3:OFFSET(C3301,-1,0))+1,0)</f>
        <v>0</v>
      </c>
      <c r="E3301" s="9" t="str">
        <f t="shared" ca="1" si="63"/>
        <v/>
      </c>
      <c r="F3301" s="4" t="s">
        <v>9</v>
      </c>
      <c r="G3301" s="2">
        <f>IF(ISNUMBER(SEARCH(Лист2!$B$4,F:F)),1,0)</f>
        <v>0</v>
      </c>
      <c r="H3301" s="3">
        <f ca="1">IF(AND(I3301&lt;&gt;I3300,ISNUMBER(SEARCH(Лист2!$B$5,I:I)),G3301=1),MAX($H$3:OFFSET(H3301,-1,0))+1,0)</f>
        <v>0</v>
      </c>
      <c r="I3301" s="3" t="s">
        <v>288</v>
      </c>
      <c r="K3301" s="2">
        <f>IF(ISNUMBER(SEARCH(Лист2!$B$4,F:F)),1,0)</f>
        <v>0</v>
      </c>
      <c r="L3301" s="14">
        <f>IF(ISNUMBER(SEARCH(Лист2!$B$5,I:I)),1,0)+K3301</f>
        <v>0</v>
      </c>
      <c r="M3301" s="3">
        <f ca="1">IF(AND(N3301&lt;&gt;N3300,ISNUMBER(SEARCH(Лист2!$B$6,N:N)),L3301=2),MAX($M$3:OFFSET(M3301,-1,0))+1,0)</f>
        <v>0</v>
      </c>
      <c r="N3301" s="3" t="s">
        <v>1385</v>
      </c>
    </row>
    <row r="3302" spans="1:14" x14ac:dyDescent="0.25">
      <c r="A3302" s="1" t="s">
        <v>12108</v>
      </c>
      <c r="B3302" s="3" t="s">
        <v>6926</v>
      </c>
      <c r="C3302" s="2">
        <f ca="1">IF(ISNUMBER(SEARCH(Лист2!$B$4,D:D)),MAX($C$3:OFFSET(C3302,-1,0))+1,0)</f>
        <v>0</v>
      </c>
      <c r="E3302" s="9" t="str">
        <f t="shared" ca="1" si="63"/>
        <v/>
      </c>
      <c r="F3302" s="4" t="s">
        <v>9</v>
      </c>
      <c r="G3302" s="2">
        <f>IF(ISNUMBER(SEARCH(Лист2!$B$4,F:F)),1,0)</f>
        <v>0</v>
      </c>
      <c r="H3302" s="3">
        <f ca="1">IF(AND(I3302&lt;&gt;I3301,ISNUMBER(SEARCH(Лист2!$B$5,I:I)),G3302=1),MAX($H$3:OFFSET(H3302,-1,0))+1,0)</f>
        <v>0</v>
      </c>
      <c r="I3302" s="3" t="s">
        <v>288</v>
      </c>
      <c r="K3302" s="2">
        <f>IF(ISNUMBER(SEARCH(Лист2!$B$4,F:F)),1,0)</f>
        <v>0</v>
      </c>
      <c r="L3302" s="14">
        <f>IF(ISNUMBER(SEARCH(Лист2!$B$5,I:I)),1,0)+K3302</f>
        <v>0</v>
      </c>
      <c r="M3302" s="3">
        <f ca="1">IF(AND(N3302&lt;&gt;N3301,ISNUMBER(SEARCH(Лист2!$B$6,N:N)),L3302=2),MAX($M$3:OFFSET(M3302,-1,0))+1,0)</f>
        <v>0</v>
      </c>
      <c r="N3302" s="3" t="s">
        <v>602</v>
      </c>
    </row>
    <row r="3303" spans="1:14" x14ac:dyDescent="0.25">
      <c r="A3303" s="1" t="s">
        <v>12109</v>
      </c>
      <c r="B3303" s="3" t="s">
        <v>6927</v>
      </c>
      <c r="C3303" s="2">
        <f ca="1">IF(ISNUMBER(SEARCH(Лист2!$B$4,D:D)),MAX($C$3:OFFSET(C3303,-1,0))+1,0)</f>
        <v>0</v>
      </c>
      <c r="E3303" s="9" t="str">
        <f t="shared" ca="1" si="63"/>
        <v/>
      </c>
      <c r="F3303" s="4" t="s">
        <v>9</v>
      </c>
      <c r="G3303" s="2">
        <f>IF(ISNUMBER(SEARCH(Лист2!$B$4,F:F)),1,0)</f>
        <v>0</v>
      </c>
      <c r="H3303" s="3">
        <f ca="1">IF(AND(I3303&lt;&gt;I3302,ISNUMBER(SEARCH(Лист2!$B$5,I:I)),G3303=1),MAX($H$3:OFFSET(H3303,-1,0))+1,0)</f>
        <v>0</v>
      </c>
      <c r="I3303" s="3" t="s">
        <v>288</v>
      </c>
      <c r="K3303" s="2">
        <f>IF(ISNUMBER(SEARCH(Лист2!$B$4,F:F)),1,0)</f>
        <v>0</v>
      </c>
      <c r="L3303" s="14">
        <f>IF(ISNUMBER(SEARCH(Лист2!$B$5,I:I)),1,0)+K3303</f>
        <v>0</v>
      </c>
      <c r="M3303" s="3">
        <f ca="1">IF(AND(N3303&lt;&gt;N3302,ISNUMBER(SEARCH(Лист2!$B$6,N:N)),L3303=2),MAX($M$3:OFFSET(M3303,-1,0))+1,0)</f>
        <v>0</v>
      </c>
      <c r="N3303" s="3" t="s">
        <v>715</v>
      </c>
    </row>
    <row r="3304" spans="1:14" x14ac:dyDescent="0.25">
      <c r="A3304" s="1" t="s">
        <v>12110</v>
      </c>
      <c r="B3304" s="3" t="s">
        <v>6928</v>
      </c>
      <c r="C3304" s="2">
        <f ca="1">IF(ISNUMBER(SEARCH(Лист2!$B$4,D:D)),MAX($C$3:OFFSET(C3304,-1,0))+1,0)</f>
        <v>0</v>
      </c>
      <c r="E3304" s="9" t="str">
        <f t="shared" ca="1" si="63"/>
        <v/>
      </c>
      <c r="F3304" s="4" t="s">
        <v>9</v>
      </c>
      <c r="G3304" s="2">
        <f>IF(ISNUMBER(SEARCH(Лист2!$B$4,F:F)),1,0)</f>
        <v>0</v>
      </c>
      <c r="H3304" s="3">
        <f ca="1">IF(AND(I3304&lt;&gt;I3303,ISNUMBER(SEARCH(Лист2!$B$5,I:I)),G3304=1),MAX($H$3:OFFSET(H3304,-1,0))+1,0)</f>
        <v>0</v>
      </c>
      <c r="I3304" s="3" t="s">
        <v>288</v>
      </c>
      <c r="K3304" s="2">
        <f>IF(ISNUMBER(SEARCH(Лист2!$B$4,F:F)),1,0)</f>
        <v>0</v>
      </c>
      <c r="L3304" s="14">
        <f>IF(ISNUMBER(SEARCH(Лист2!$B$5,I:I)),1,0)+K3304</f>
        <v>0</v>
      </c>
      <c r="M3304" s="3">
        <f ca="1">IF(AND(N3304&lt;&gt;N3303,ISNUMBER(SEARCH(Лист2!$B$6,N:N)),L3304=2),MAX($M$3:OFFSET(M3304,-1,0))+1,0)</f>
        <v>0</v>
      </c>
      <c r="N3304" s="3" t="s">
        <v>716</v>
      </c>
    </row>
    <row r="3305" spans="1:14" x14ac:dyDescent="0.25">
      <c r="A3305" s="1" t="s">
        <v>12111</v>
      </c>
      <c r="B3305" s="3" t="s">
        <v>6929</v>
      </c>
      <c r="C3305" s="2">
        <f ca="1">IF(ISNUMBER(SEARCH(Лист2!$B$4,D:D)),MAX($C$3:OFFSET(C3305,-1,0))+1,0)</f>
        <v>0</v>
      </c>
      <c r="E3305" s="9" t="str">
        <f t="shared" ca="1" si="63"/>
        <v/>
      </c>
      <c r="F3305" s="4" t="s">
        <v>9</v>
      </c>
      <c r="G3305" s="2">
        <f>IF(ISNUMBER(SEARCH(Лист2!$B$4,F:F)),1,0)</f>
        <v>0</v>
      </c>
      <c r="H3305" s="3">
        <f ca="1">IF(AND(I3305&lt;&gt;I3304,ISNUMBER(SEARCH(Лист2!$B$5,I:I)),G3305=1),MAX($H$3:OFFSET(H3305,-1,0))+1,0)</f>
        <v>0</v>
      </c>
      <c r="I3305" s="3" t="s">
        <v>288</v>
      </c>
      <c r="K3305" s="2">
        <f>IF(ISNUMBER(SEARCH(Лист2!$B$4,F:F)),1,0)</f>
        <v>0</v>
      </c>
      <c r="L3305" s="14">
        <f>IF(ISNUMBER(SEARCH(Лист2!$B$5,I:I)),1,0)+K3305</f>
        <v>0</v>
      </c>
      <c r="M3305" s="3">
        <f ca="1">IF(AND(N3305&lt;&gt;N3304,ISNUMBER(SEARCH(Лист2!$B$6,N:N)),L3305=2),MAX($M$3:OFFSET(M3305,-1,0))+1,0)</f>
        <v>0</v>
      </c>
      <c r="N3305" s="3" t="s">
        <v>2089</v>
      </c>
    </row>
    <row r="3306" spans="1:14" x14ac:dyDescent="0.25">
      <c r="A3306" s="1" t="s">
        <v>12112</v>
      </c>
      <c r="B3306" s="3" t="s">
        <v>6930</v>
      </c>
      <c r="C3306" s="2">
        <f ca="1">IF(ISNUMBER(SEARCH(Лист2!$B$4,D:D)),MAX($C$3:OFFSET(C3306,-1,0))+1,0)</f>
        <v>0</v>
      </c>
      <c r="E3306" s="9" t="str">
        <f t="shared" ca="1" si="63"/>
        <v/>
      </c>
      <c r="F3306" s="4" t="s">
        <v>9</v>
      </c>
      <c r="G3306" s="2">
        <f>IF(ISNUMBER(SEARCH(Лист2!$B$4,F:F)),1,0)</f>
        <v>0</v>
      </c>
      <c r="H3306" s="3">
        <f ca="1">IF(AND(I3306&lt;&gt;I3305,ISNUMBER(SEARCH(Лист2!$B$5,I:I)),G3306=1),MAX($H$3:OFFSET(H3306,-1,0))+1,0)</f>
        <v>0</v>
      </c>
      <c r="I3306" s="3" t="s">
        <v>288</v>
      </c>
      <c r="K3306" s="2">
        <f>IF(ISNUMBER(SEARCH(Лист2!$B$4,F:F)),1,0)</f>
        <v>0</v>
      </c>
      <c r="L3306" s="14">
        <f>IF(ISNUMBER(SEARCH(Лист2!$B$5,I:I)),1,0)+K3306</f>
        <v>0</v>
      </c>
      <c r="M3306" s="3">
        <f ca="1">IF(AND(N3306&lt;&gt;N3305,ISNUMBER(SEARCH(Лист2!$B$6,N:N)),L3306=2),MAX($M$3:OFFSET(M3306,-1,0))+1,0)</f>
        <v>0</v>
      </c>
      <c r="N3306" s="3" t="s">
        <v>2102</v>
      </c>
    </row>
    <row r="3307" spans="1:14" x14ac:dyDescent="0.25">
      <c r="A3307" s="1" t="s">
        <v>12113</v>
      </c>
      <c r="B3307" s="3" t="s">
        <v>6931</v>
      </c>
      <c r="C3307" s="2">
        <f ca="1">IF(ISNUMBER(SEARCH(Лист2!$B$4,D:D)),MAX($C$3:OFFSET(C3307,-1,0))+1,0)</f>
        <v>0</v>
      </c>
      <c r="E3307" s="9" t="str">
        <f t="shared" ca="1" si="63"/>
        <v/>
      </c>
      <c r="F3307" s="4" t="s">
        <v>9</v>
      </c>
      <c r="G3307" s="2">
        <f>IF(ISNUMBER(SEARCH(Лист2!$B$4,F:F)),1,0)</f>
        <v>0</v>
      </c>
      <c r="H3307" s="3">
        <f ca="1">IF(AND(I3307&lt;&gt;I3306,ISNUMBER(SEARCH(Лист2!$B$5,I:I)),G3307=1),MAX($H$3:OFFSET(H3307,-1,0))+1,0)</f>
        <v>0</v>
      </c>
      <c r="I3307" s="3" t="s">
        <v>288</v>
      </c>
      <c r="K3307" s="2">
        <f>IF(ISNUMBER(SEARCH(Лист2!$B$4,F:F)),1,0)</f>
        <v>0</v>
      </c>
      <c r="L3307" s="14">
        <f>IF(ISNUMBER(SEARCH(Лист2!$B$5,I:I)),1,0)+K3307</f>
        <v>0</v>
      </c>
      <c r="M3307" s="3">
        <f ca="1">IF(AND(N3307&lt;&gt;N3306,ISNUMBER(SEARCH(Лист2!$B$6,N:N)),L3307=2),MAX($M$3:OFFSET(M3307,-1,0))+1,0)</f>
        <v>0</v>
      </c>
      <c r="N3307" s="3" t="s">
        <v>2103</v>
      </c>
    </row>
    <row r="3308" spans="1:14" x14ac:dyDescent="0.25">
      <c r="A3308" s="1" t="s">
        <v>12114</v>
      </c>
      <c r="B3308" s="3" t="s">
        <v>6932</v>
      </c>
      <c r="C3308" s="2">
        <f ca="1">IF(ISNUMBER(SEARCH(Лист2!$B$4,D:D)),MAX($C$3:OFFSET(C3308,-1,0))+1,0)</f>
        <v>0</v>
      </c>
      <c r="E3308" s="9" t="str">
        <f t="shared" ca="1" si="63"/>
        <v/>
      </c>
      <c r="F3308" s="4" t="s">
        <v>9</v>
      </c>
      <c r="G3308" s="2">
        <f>IF(ISNUMBER(SEARCH(Лист2!$B$4,F:F)),1,0)</f>
        <v>0</v>
      </c>
      <c r="H3308" s="3">
        <f ca="1">IF(AND(I3308&lt;&gt;I3307,ISNUMBER(SEARCH(Лист2!$B$5,I:I)),G3308=1),MAX($H$3:OFFSET(H3308,-1,0))+1,0)</f>
        <v>0</v>
      </c>
      <c r="I3308" s="3" t="s">
        <v>288</v>
      </c>
      <c r="K3308" s="2">
        <f>IF(ISNUMBER(SEARCH(Лист2!$B$4,F:F)),1,0)</f>
        <v>0</v>
      </c>
      <c r="L3308" s="14">
        <f>IF(ISNUMBER(SEARCH(Лист2!$B$5,I:I)),1,0)+K3308</f>
        <v>0</v>
      </c>
      <c r="M3308" s="3">
        <f ca="1">IF(AND(N3308&lt;&gt;N3307,ISNUMBER(SEARCH(Лист2!$B$6,N:N)),L3308=2),MAX($M$3:OFFSET(M3308,-1,0))+1,0)</f>
        <v>0</v>
      </c>
      <c r="N3308" s="3" t="s">
        <v>2104</v>
      </c>
    </row>
    <row r="3309" spans="1:14" x14ac:dyDescent="0.25">
      <c r="A3309" s="1" t="s">
        <v>12115</v>
      </c>
      <c r="B3309" s="3" t="s">
        <v>6933</v>
      </c>
      <c r="C3309" s="2">
        <f ca="1">IF(ISNUMBER(SEARCH(Лист2!$B$4,D:D)),MAX($C$3:OFFSET(C3309,-1,0))+1,0)</f>
        <v>0</v>
      </c>
      <c r="E3309" s="9" t="str">
        <f t="shared" ca="1" si="63"/>
        <v/>
      </c>
      <c r="F3309" s="4" t="s">
        <v>9</v>
      </c>
      <c r="G3309" s="2">
        <f>IF(ISNUMBER(SEARCH(Лист2!$B$4,F:F)),1,0)</f>
        <v>0</v>
      </c>
      <c r="H3309" s="3">
        <f ca="1">IF(AND(I3309&lt;&gt;I3308,ISNUMBER(SEARCH(Лист2!$B$5,I:I)),G3309=1),MAX($H$3:OFFSET(H3309,-1,0))+1,0)</f>
        <v>0</v>
      </c>
      <c r="I3309" s="3" t="s">
        <v>288</v>
      </c>
      <c r="K3309" s="2">
        <f>IF(ISNUMBER(SEARCH(Лист2!$B$4,F:F)),1,0)</f>
        <v>0</v>
      </c>
      <c r="L3309" s="14">
        <f>IF(ISNUMBER(SEARCH(Лист2!$B$5,I:I)),1,0)+K3309</f>
        <v>0</v>
      </c>
      <c r="M3309" s="3">
        <f ca="1">IF(AND(N3309&lt;&gt;N3308,ISNUMBER(SEARCH(Лист2!$B$6,N:N)),L3309=2),MAX($M$3:OFFSET(M3309,-1,0))+1,0)</f>
        <v>0</v>
      </c>
      <c r="N3309" s="3" t="s">
        <v>2105</v>
      </c>
    </row>
    <row r="3310" spans="1:14" x14ac:dyDescent="0.25">
      <c r="A3310" s="1" t="s">
        <v>12116</v>
      </c>
      <c r="B3310" s="3" t="s">
        <v>6934</v>
      </c>
      <c r="C3310" s="2">
        <f ca="1">IF(ISNUMBER(SEARCH(Лист2!$B$4,D:D)),MAX($C$3:OFFSET(C3310,-1,0))+1,0)</f>
        <v>0</v>
      </c>
      <c r="E3310" s="9" t="str">
        <f t="shared" ca="1" si="63"/>
        <v/>
      </c>
      <c r="F3310" s="4" t="s">
        <v>9</v>
      </c>
      <c r="G3310" s="2">
        <f>IF(ISNUMBER(SEARCH(Лист2!$B$4,F:F)),1,0)</f>
        <v>0</v>
      </c>
      <c r="H3310" s="3">
        <f ca="1">IF(AND(I3310&lt;&gt;I3309,ISNUMBER(SEARCH(Лист2!$B$5,I:I)),G3310=1),MAX($H$3:OFFSET(H3310,-1,0))+1,0)</f>
        <v>0</v>
      </c>
      <c r="I3310" s="3" t="s">
        <v>289</v>
      </c>
      <c r="K3310" s="2">
        <f>IF(ISNUMBER(SEARCH(Лист2!$B$4,F:F)),1,0)</f>
        <v>0</v>
      </c>
      <c r="L3310" s="14">
        <f>IF(ISNUMBER(SEARCH(Лист2!$B$5,I:I)),1,0)+K3310</f>
        <v>0</v>
      </c>
      <c r="M3310" s="3">
        <f ca="1">IF(AND(N3310&lt;&gt;N3309,ISNUMBER(SEARCH(Лист2!$B$6,N:N)),L3310=2),MAX($M$3:OFFSET(M3310,-1,0))+1,0)</f>
        <v>0</v>
      </c>
      <c r="N3310" s="3" t="s">
        <v>711</v>
      </c>
    </row>
    <row r="3311" spans="1:14" x14ac:dyDescent="0.25">
      <c r="A3311" s="1" t="s">
        <v>12117</v>
      </c>
      <c r="B3311" s="3" t="s">
        <v>6935</v>
      </c>
      <c r="C3311" s="2">
        <f ca="1">IF(ISNUMBER(SEARCH(Лист2!$B$4,D:D)),MAX($C$3:OFFSET(C3311,-1,0))+1,0)</f>
        <v>0</v>
      </c>
      <c r="E3311" s="9" t="str">
        <f t="shared" ca="1" si="63"/>
        <v/>
      </c>
      <c r="F3311" s="4" t="s">
        <v>9</v>
      </c>
      <c r="G3311" s="2">
        <f>IF(ISNUMBER(SEARCH(Лист2!$B$4,F:F)),1,0)</f>
        <v>0</v>
      </c>
      <c r="H3311" s="3">
        <f ca="1">IF(AND(I3311&lt;&gt;I3310,ISNUMBER(SEARCH(Лист2!$B$5,I:I)),G3311=1),MAX($H$3:OFFSET(H3311,-1,0))+1,0)</f>
        <v>0</v>
      </c>
      <c r="I3311" s="3" t="s">
        <v>289</v>
      </c>
      <c r="K3311" s="2">
        <f>IF(ISNUMBER(SEARCH(Лист2!$B$4,F:F)),1,0)</f>
        <v>0</v>
      </c>
      <c r="L3311" s="14">
        <f>IF(ISNUMBER(SEARCH(Лист2!$B$5,I:I)),1,0)+K3311</f>
        <v>0</v>
      </c>
      <c r="M3311" s="3">
        <f ca="1">IF(AND(N3311&lt;&gt;N3310,ISNUMBER(SEARCH(Лист2!$B$6,N:N)),L3311=2),MAX($M$3:OFFSET(M3311,-1,0))+1,0)</f>
        <v>0</v>
      </c>
      <c r="N3311" s="3" t="s">
        <v>713</v>
      </c>
    </row>
    <row r="3312" spans="1:14" x14ac:dyDescent="0.25">
      <c r="A3312" s="1" t="s">
        <v>12118</v>
      </c>
      <c r="B3312" s="3" t="s">
        <v>6936</v>
      </c>
      <c r="C3312" s="2">
        <f ca="1">IF(ISNUMBER(SEARCH(Лист2!$B$4,D:D)),MAX($C$3:OFFSET(C3312,-1,0))+1,0)</f>
        <v>0</v>
      </c>
      <c r="E3312" s="9" t="str">
        <f t="shared" ca="1" si="63"/>
        <v/>
      </c>
      <c r="F3312" s="4" t="s">
        <v>9</v>
      </c>
      <c r="G3312" s="2">
        <f>IF(ISNUMBER(SEARCH(Лист2!$B$4,F:F)),1,0)</f>
        <v>0</v>
      </c>
      <c r="H3312" s="3">
        <f ca="1">IF(AND(I3312&lt;&gt;I3311,ISNUMBER(SEARCH(Лист2!$B$5,I:I)),G3312=1),MAX($H$3:OFFSET(H3312,-1,0))+1,0)</f>
        <v>0</v>
      </c>
      <c r="I3312" s="3" t="s">
        <v>289</v>
      </c>
      <c r="K3312" s="2">
        <f>IF(ISNUMBER(SEARCH(Лист2!$B$4,F:F)),1,0)</f>
        <v>0</v>
      </c>
      <c r="L3312" s="14">
        <f>IF(ISNUMBER(SEARCH(Лист2!$B$5,I:I)),1,0)+K3312</f>
        <v>0</v>
      </c>
      <c r="M3312" s="3">
        <f ca="1">IF(AND(N3312&lt;&gt;N3311,ISNUMBER(SEARCH(Лист2!$B$6,N:N)),L3312=2),MAX($M$3:OFFSET(M3312,-1,0))+1,0)</f>
        <v>0</v>
      </c>
      <c r="N3312" s="3" t="s">
        <v>1385</v>
      </c>
    </row>
    <row r="3313" spans="1:14" x14ac:dyDescent="0.25">
      <c r="A3313" s="1" t="s">
        <v>12119</v>
      </c>
      <c r="B3313" s="3" t="s">
        <v>6937</v>
      </c>
      <c r="C3313" s="2">
        <f ca="1">IF(ISNUMBER(SEARCH(Лист2!$B$4,D:D)),MAX($C$3:OFFSET(C3313,-1,0))+1,0)</f>
        <v>0</v>
      </c>
      <c r="E3313" s="9" t="str">
        <f t="shared" ca="1" si="63"/>
        <v/>
      </c>
      <c r="F3313" s="4" t="s">
        <v>9</v>
      </c>
      <c r="G3313" s="2">
        <f>IF(ISNUMBER(SEARCH(Лист2!$B$4,F:F)),1,0)</f>
        <v>0</v>
      </c>
      <c r="H3313" s="3">
        <f ca="1">IF(AND(I3313&lt;&gt;I3312,ISNUMBER(SEARCH(Лист2!$B$5,I:I)),G3313=1),MAX($H$3:OFFSET(H3313,-1,0))+1,0)</f>
        <v>0</v>
      </c>
      <c r="I3313" s="3" t="s">
        <v>289</v>
      </c>
      <c r="K3313" s="2">
        <f>IF(ISNUMBER(SEARCH(Лист2!$B$4,F:F)),1,0)</f>
        <v>0</v>
      </c>
      <c r="L3313" s="14">
        <f>IF(ISNUMBER(SEARCH(Лист2!$B$5,I:I)),1,0)+K3313</f>
        <v>0</v>
      </c>
      <c r="M3313" s="3">
        <f ca="1">IF(AND(N3313&lt;&gt;N3312,ISNUMBER(SEARCH(Лист2!$B$6,N:N)),L3313=2),MAX($M$3:OFFSET(M3313,-1,0))+1,0)</f>
        <v>0</v>
      </c>
      <c r="N3313" s="3" t="s">
        <v>602</v>
      </c>
    </row>
    <row r="3314" spans="1:14" x14ac:dyDescent="0.25">
      <c r="A3314" s="1" t="s">
        <v>12120</v>
      </c>
      <c r="B3314" s="3" t="s">
        <v>6938</v>
      </c>
      <c r="C3314" s="2">
        <f ca="1">IF(ISNUMBER(SEARCH(Лист2!$B$4,D:D)),MAX($C$3:OFFSET(C3314,-1,0))+1,0)</f>
        <v>0</v>
      </c>
      <c r="E3314" s="9" t="str">
        <f t="shared" ca="1" si="63"/>
        <v/>
      </c>
      <c r="F3314" s="4" t="s">
        <v>9</v>
      </c>
      <c r="G3314" s="2">
        <f>IF(ISNUMBER(SEARCH(Лист2!$B$4,F:F)),1,0)</f>
        <v>0</v>
      </c>
      <c r="H3314" s="3">
        <f ca="1">IF(AND(I3314&lt;&gt;I3313,ISNUMBER(SEARCH(Лист2!$B$5,I:I)),G3314=1),MAX($H$3:OFFSET(H3314,-1,0))+1,0)</f>
        <v>0</v>
      </c>
      <c r="I3314" s="3" t="s">
        <v>289</v>
      </c>
      <c r="K3314" s="2">
        <f>IF(ISNUMBER(SEARCH(Лист2!$B$4,F:F)),1,0)</f>
        <v>0</v>
      </c>
      <c r="L3314" s="14">
        <f>IF(ISNUMBER(SEARCH(Лист2!$B$5,I:I)),1,0)+K3314</f>
        <v>0</v>
      </c>
      <c r="M3314" s="3">
        <f ca="1">IF(AND(N3314&lt;&gt;N3313,ISNUMBER(SEARCH(Лист2!$B$6,N:N)),L3314=2),MAX($M$3:OFFSET(M3314,-1,0))+1,0)</f>
        <v>0</v>
      </c>
      <c r="N3314" s="3" t="s">
        <v>715</v>
      </c>
    </row>
    <row r="3315" spans="1:14" x14ac:dyDescent="0.25">
      <c r="A3315" s="1" t="s">
        <v>12121</v>
      </c>
      <c r="B3315" s="3" t="s">
        <v>6939</v>
      </c>
      <c r="C3315" s="2">
        <f ca="1">IF(ISNUMBER(SEARCH(Лист2!$B$4,D:D)),MAX($C$3:OFFSET(C3315,-1,0))+1,0)</f>
        <v>0</v>
      </c>
      <c r="E3315" s="9" t="str">
        <f t="shared" ca="1" si="63"/>
        <v/>
      </c>
      <c r="F3315" s="4" t="s">
        <v>9</v>
      </c>
      <c r="G3315" s="2">
        <f>IF(ISNUMBER(SEARCH(Лист2!$B$4,F:F)),1,0)</f>
        <v>0</v>
      </c>
      <c r="H3315" s="3">
        <f ca="1">IF(AND(I3315&lt;&gt;I3314,ISNUMBER(SEARCH(Лист2!$B$5,I:I)),G3315=1),MAX($H$3:OFFSET(H3315,-1,0))+1,0)</f>
        <v>0</v>
      </c>
      <c r="I3315" s="3" t="s">
        <v>289</v>
      </c>
      <c r="K3315" s="2">
        <f>IF(ISNUMBER(SEARCH(Лист2!$B$4,F:F)),1,0)</f>
        <v>0</v>
      </c>
      <c r="L3315" s="14">
        <f>IF(ISNUMBER(SEARCH(Лист2!$B$5,I:I)),1,0)+K3315</f>
        <v>0</v>
      </c>
      <c r="M3315" s="3">
        <f ca="1">IF(AND(N3315&lt;&gt;N3314,ISNUMBER(SEARCH(Лист2!$B$6,N:N)),L3315=2),MAX($M$3:OFFSET(M3315,-1,0))+1,0)</f>
        <v>0</v>
      </c>
      <c r="N3315" s="3" t="s">
        <v>716</v>
      </c>
    </row>
    <row r="3316" spans="1:14" x14ac:dyDescent="0.25">
      <c r="A3316" s="1" t="s">
        <v>12122</v>
      </c>
      <c r="B3316" s="3" t="s">
        <v>6940</v>
      </c>
      <c r="C3316" s="2">
        <f ca="1">IF(ISNUMBER(SEARCH(Лист2!$B$4,D:D)),MAX($C$3:OFFSET(C3316,-1,0))+1,0)</f>
        <v>0</v>
      </c>
      <c r="E3316" s="9" t="str">
        <f t="shared" ca="1" si="63"/>
        <v/>
      </c>
      <c r="F3316" s="4" t="s">
        <v>9</v>
      </c>
      <c r="G3316" s="2">
        <f>IF(ISNUMBER(SEARCH(Лист2!$B$4,F:F)),1,0)</f>
        <v>0</v>
      </c>
      <c r="H3316" s="3">
        <f ca="1">IF(AND(I3316&lt;&gt;I3315,ISNUMBER(SEARCH(Лист2!$B$5,I:I)),G3316=1),MAX($H$3:OFFSET(H3316,-1,0))+1,0)</f>
        <v>0</v>
      </c>
      <c r="I3316" s="3" t="s">
        <v>289</v>
      </c>
      <c r="K3316" s="2">
        <f>IF(ISNUMBER(SEARCH(Лист2!$B$4,F:F)),1,0)</f>
        <v>0</v>
      </c>
      <c r="L3316" s="14">
        <f>IF(ISNUMBER(SEARCH(Лист2!$B$5,I:I)),1,0)+K3316</f>
        <v>0</v>
      </c>
      <c r="M3316" s="3">
        <f ca="1">IF(AND(N3316&lt;&gt;N3315,ISNUMBER(SEARCH(Лист2!$B$6,N:N)),L3316=2),MAX($M$3:OFFSET(M3316,-1,0))+1,0)</f>
        <v>0</v>
      </c>
      <c r="N3316" s="3" t="s">
        <v>2089</v>
      </c>
    </row>
    <row r="3317" spans="1:14" x14ac:dyDescent="0.25">
      <c r="A3317" s="1" t="s">
        <v>12123</v>
      </c>
      <c r="B3317" s="3" t="s">
        <v>6941</v>
      </c>
      <c r="C3317" s="2">
        <f ca="1">IF(ISNUMBER(SEARCH(Лист2!$B$4,D:D)),MAX($C$3:OFFSET(C3317,-1,0))+1,0)</f>
        <v>0</v>
      </c>
      <c r="E3317" s="9" t="str">
        <f t="shared" ca="1" si="63"/>
        <v/>
      </c>
      <c r="F3317" s="4" t="s">
        <v>9</v>
      </c>
      <c r="G3317" s="2">
        <f>IF(ISNUMBER(SEARCH(Лист2!$B$4,F:F)),1,0)</f>
        <v>0</v>
      </c>
      <c r="H3317" s="3">
        <f ca="1">IF(AND(I3317&lt;&gt;I3316,ISNUMBER(SEARCH(Лист2!$B$5,I:I)),G3317=1),MAX($H$3:OFFSET(H3317,-1,0))+1,0)</f>
        <v>0</v>
      </c>
      <c r="I3317" s="3" t="s">
        <v>289</v>
      </c>
      <c r="K3317" s="2">
        <f>IF(ISNUMBER(SEARCH(Лист2!$B$4,F:F)),1,0)</f>
        <v>0</v>
      </c>
      <c r="L3317" s="14">
        <f>IF(ISNUMBER(SEARCH(Лист2!$B$5,I:I)),1,0)+K3317</f>
        <v>0</v>
      </c>
      <c r="M3317" s="3">
        <f ca="1">IF(AND(N3317&lt;&gt;N3316,ISNUMBER(SEARCH(Лист2!$B$6,N:N)),L3317=2),MAX($M$3:OFFSET(M3317,-1,0))+1,0)</f>
        <v>0</v>
      </c>
      <c r="N3317" s="3" t="s">
        <v>2106</v>
      </c>
    </row>
    <row r="3318" spans="1:14" x14ac:dyDescent="0.25">
      <c r="A3318" s="1" t="s">
        <v>12124</v>
      </c>
      <c r="B3318" s="3" t="s">
        <v>6942</v>
      </c>
      <c r="C3318" s="2">
        <f ca="1">IF(ISNUMBER(SEARCH(Лист2!$B$4,D:D)),MAX($C$3:OFFSET(C3318,-1,0))+1,0)</f>
        <v>0</v>
      </c>
      <c r="E3318" s="9" t="str">
        <f t="shared" ca="1" si="63"/>
        <v/>
      </c>
      <c r="F3318" s="4" t="s">
        <v>9</v>
      </c>
      <c r="G3318" s="2">
        <f>IF(ISNUMBER(SEARCH(Лист2!$B$4,F:F)),1,0)</f>
        <v>0</v>
      </c>
      <c r="H3318" s="3">
        <f ca="1">IF(AND(I3318&lt;&gt;I3317,ISNUMBER(SEARCH(Лист2!$B$5,I:I)),G3318=1),MAX($H$3:OFFSET(H3318,-1,0))+1,0)</f>
        <v>0</v>
      </c>
      <c r="I3318" s="3" t="s">
        <v>289</v>
      </c>
      <c r="K3318" s="2">
        <f>IF(ISNUMBER(SEARCH(Лист2!$B$4,F:F)),1,0)</f>
        <v>0</v>
      </c>
      <c r="L3318" s="14">
        <f>IF(ISNUMBER(SEARCH(Лист2!$B$5,I:I)),1,0)+K3318</f>
        <v>0</v>
      </c>
      <c r="M3318" s="3">
        <f ca="1">IF(AND(N3318&lt;&gt;N3317,ISNUMBER(SEARCH(Лист2!$B$6,N:N)),L3318=2),MAX($M$3:OFFSET(M3318,-1,0))+1,0)</f>
        <v>0</v>
      </c>
      <c r="N3318" s="3" t="s">
        <v>2107</v>
      </c>
    </row>
    <row r="3319" spans="1:14" x14ac:dyDescent="0.25">
      <c r="A3319" s="1" t="s">
        <v>12125</v>
      </c>
      <c r="B3319" s="3" t="s">
        <v>6943</v>
      </c>
      <c r="C3319" s="2">
        <f ca="1">IF(ISNUMBER(SEARCH(Лист2!$B$4,D:D)),MAX($C$3:OFFSET(C3319,-1,0))+1,0)</f>
        <v>0</v>
      </c>
      <c r="E3319" s="9" t="str">
        <f t="shared" ca="1" si="63"/>
        <v/>
      </c>
      <c r="F3319" s="4" t="s">
        <v>9</v>
      </c>
      <c r="G3319" s="2">
        <f>IF(ISNUMBER(SEARCH(Лист2!$B$4,F:F)),1,0)</f>
        <v>0</v>
      </c>
      <c r="H3319" s="3">
        <f ca="1">IF(AND(I3319&lt;&gt;I3318,ISNUMBER(SEARCH(Лист2!$B$5,I:I)),G3319=1),MAX($H$3:OFFSET(H3319,-1,0))+1,0)</f>
        <v>0</v>
      </c>
      <c r="I3319" s="3" t="s">
        <v>289</v>
      </c>
      <c r="K3319" s="2">
        <f>IF(ISNUMBER(SEARCH(Лист2!$B$4,F:F)),1,0)</f>
        <v>0</v>
      </c>
      <c r="L3319" s="14">
        <f>IF(ISNUMBER(SEARCH(Лист2!$B$5,I:I)),1,0)+K3319</f>
        <v>0</v>
      </c>
      <c r="M3319" s="3">
        <f ca="1">IF(AND(N3319&lt;&gt;N3318,ISNUMBER(SEARCH(Лист2!$B$6,N:N)),L3319=2),MAX($M$3:OFFSET(M3319,-1,0))+1,0)</f>
        <v>0</v>
      </c>
      <c r="N3319" s="3" t="s">
        <v>2108</v>
      </c>
    </row>
    <row r="3320" spans="1:14" x14ac:dyDescent="0.25">
      <c r="A3320" s="1" t="s">
        <v>12126</v>
      </c>
      <c r="B3320" s="3" t="s">
        <v>6944</v>
      </c>
      <c r="C3320" s="2">
        <f ca="1">IF(ISNUMBER(SEARCH(Лист2!$B$4,D:D)),MAX($C$3:OFFSET(C3320,-1,0))+1,0)</f>
        <v>0</v>
      </c>
      <c r="E3320" s="9" t="str">
        <f t="shared" ca="1" si="63"/>
        <v/>
      </c>
      <c r="F3320" s="4" t="s">
        <v>9</v>
      </c>
      <c r="G3320" s="2">
        <f>IF(ISNUMBER(SEARCH(Лист2!$B$4,F:F)),1,0)</f>
        <v>0</v>
      </c>
      <c r="H3320" s="3">
        <f ca="1">IF(AND(I3320&lt;&gt;I3319,ISNUMBER(SEARCH(Лист2!$B$5,I:I)),G3320=1),MAX($H$3:OFFSET(H3320,-1,0))+1,0)</f>
        <v>0</v>
      </c>
      <c r="I3320" s="3" t="s">
        <v>289</v>
      </c>
      <c r="K3320" s="2">
        <f>IF(ISNUMBER(SEARCH(Лист2!$B$4,F:F)),1,0)</f>
        <v>0</v>
      </c>
      <c r="L3320" s="14">
        <f>IF(ISNUMBER(SEARCH(Лист2!$B$5,I:I)),1,0)+K3320</f>
        <v>0</v>
      </c>
      <c r="M3320" s="3">
        <f ca="1">IF(AND(N3320&lt;&gt;N3319,ISNUMBER(SEARCH(Лист2!$B$6,N:N)),L3320=2),MAX($M$3:OFFSET(M3320,-1,0))+1,0)</f>
        <v>0</v>
      </c>
      <c r="N3320" s="3" t="s">
        <v>2109</v>
      </c>
    </row>
    <row r="3321" spans="1:14" x14ac:dyDescent="0.25">
      <c r="A3321" s="1" t="s">
        <v>12127</v>
      </c>
      <c r="B3321" s="3" t="s">
        <v>6945</v>
      </c>
      <c r="C3321" s="2">
        <f ca="1">IF(ISNUMBER(SEARCH(Лист2!$B$4,D:D)),MAX($C$3:OFFSET(C3321,-1,0))+1,0)</f>
        <v>0</v>
      </c>
      <c r="E3321" s="9" t="str">
        <f t="shared" ca="1" si="63"/>
        <v/>
      </c>
      <c r="F3321" s="4" t="s">
        <v>9</v>
      </c>
      <c r="G3321" s="2">
        <f>IF(ISNUMBER(SEARCH(Лист2!$B$4,F:F)),1,0)</f>
        <v>0</v>
      </c>
      <c r="H3321" s="3">
        <f ca="1">IF(AND(I3321&lt;&gt;I3320,ISNUMBER(SEARCH(Лист2!$B$5,I:I)),G3321=1),MAX($H$3:OFFSET(H3321,-1,0))+1,0)</f>
        <v>0</v>
      </c>
      <c r="I3321" s="3" t="s">
        <v>290</v>
      </c>
      <c r="K3321" s="2">
        <f>IF(ISNUMBER(SEARCH(Лист2!$B$4,F:F)),1,0)</f>
        <v>0</v>
      </c>
      <c r="L3321" s="14">
        <f>IF(ISNUMBER(SEARCH(Лист2!$B$5,I:I)),1,0)+K3321</f>
        <v>0</v>
      </c>
      <c r="M3321" s="3">
        <f ca="1">IF(AND(N3321&lt;&gt;N3320,ISNUMBER(SEARCH(Лист2!$B$6,N:N)),L3321=2),MAX($M$3:OFFSET(M3321,-1,0))+1,0)</f>
        <v>0</v>
      </c>
      <c r="N3321" s="3" t="s">
        <v>711</v>
      </c>
    </row>
    <row r="3322" spans="1:14" x14ac:dyDescent="0.25">
      <c r="A3322" s="1" t="s">
        <v>12128</v>
      </c>
      <c r="B3322" s="3" t="s">
        <v>6946</v>
      </c>
      <c r="C3322" s="2">
        <f ca="1">IF(ISNUMBER(SEARCH(Лист2!$B$4,D:D)),MAX($C$3:OFFSET(C3322,-1,0))+1,0)</f>
        <v>0</v>
      </c>
      <c r="E3322" s="9" t="str">
        <f t="shared" ca="1" si="63"/>
        <v/>
      </c>
      <c r="F3322" s="4" t="s">
        <v>9</v>
      </c>
      <c r="G3322" s="2">
        <f>IF(ISNUMBER(SEARCH(Лист2!$B$4,F:F)),1,0)</f>
        <v>0</v>
      </c>
      <c r="H3322" s="3">
        <f ca="1">IF(AND(I3322&lt;&gt;I3321,ISNUMBER(SEARCH(Лист2!$B$5,I:I)),G3322=1),MAX($H$3:OFFSET(H3322,-1,0))+1,0)</f>
        <v>0</v>
      </c>
      <c r="I3322" s="3" t="s">
        <v>290</v>
      </c>
      <c r="K3322" s="2">
        <f>IF(ISNUMBER(SEARCH(Лист2!$B$4,F:F)),1,0)</f>
        <v>0</v>
      </c>
      <c r="L3322" s="14">
        <f>IF(ISNUMBER(SEARCH(Лист2!$B$5,I:I)),1,0)+K3322</f>
        <v>0</v>
      </c>
      <c r="M3322" s="3">
        <f ca="1">IF(AND(N3322&lt;&gt;N3321,ISNUMBER(SEARCH(Лист2!$B$6,N:N)),L3322=2),MAX($M$3:OFFSET(M3322,-1,0))+1,0)</f>
        <v>0</v>
      </c>
      <c r="N3322" s="3" t="s">
        <v>713</v>
      </c>
    </row>
    <row r="3323" spans="1:14" x14ac:dyDescent="0.25">
      <c r="A3323" s="1" t="s">
        <v>12129</v>
      </c>
      <c r="B3323" s="3" t="s">
        <v>6947</v>
      </c>
      <c r="C3323" s="2">
        <f ca="1">IF(ISNUMBER(SEARCH(Лист2!$B$4,D:D)),MAX($C$3:OFFSET(C3323,-1,0))+1,0)</f>
        <v>0</v>
      </c>
      <c r="E3323" s="9" t="str">
        <f t="shared" ca="1" si="63"/>
        <v/>
      </c>
      <c r="F3323" s="4" t="s">
        <v>9</v>
      </c>
      <c r="G3323" s="2">
        <f>IF(ISNUMBER(SEARCH(Лист2!$B$4,F:F)),1,0)</f>
        <v>0</v>
      </c>
      <c r="H3323" s="3">
        <f ca="1">IF(AND(I3323&lt;&gt;I3322,ISNUMBER(SEARCH(Лист2!$B$5,I:I)),G3323=1),MAX($H$3:OFFSET(H3323,-1,0))+1,0)</f>
        <v>0</v>
      </c>
      <c r="I3323" s="3" t="s">
        <v>290</v>
      </c>
      <c r="K3323" s="2">
        <f>IF(ISNUMBER(SEARCH(Лист2!$B$4,F:F)),1,0)</f>
        <v>0</v>
      </c>
      <c r="L3323" s="14">
        <f>IF(ISNUMBER(SEARCH(Лист2!$B$5,I:I)),1,0)+K3323</f>
        <v>0</v>
      </c>
      <c r="M3323" s="3">
        <f ca="1">IF(AND(N3323&lt;&gt;N3322,ISNUMBER(SEARCH(Лист2!$B$6,N:N)),L3323=2),MAX($M$3:OFFSET(M3323,-1,0))+1,0)</f>
        <v>0</v>
      </c>
      <c r="N3323" s="3" t="s">
        <v>1385</v>
      </c>
    </row>
    <row r="3324" spans="1:14" x14ac:dyDescent="0.25">
      <c r="A3324" s="1" t="s">
        <v>12130</v>
      </c>
      <c r="B3324" s="3" t="s">
        <v>6948</v>
      </c>
      <c r="C3324" s="2">
        <f ca="1">IF(ISNUMBER(SEARCH(Лист2!$B$4,D:D)),MAX($C$3:OFFSET(C3324,-1,0))+1,0)</f>
        <v>0</v>
      </c>
      <c r="E3324" s="9" t="str">
        <f t="shared" ca="1" si="63"/>
        <v/>
      </c>
      <c r="F3324" s="4" t="s">
        <v>9</v>
      </c>
      <c r="G3324" s="2">
        <f>IF(ISNUMBER(SEARCH(Лист2!$B$4,F:F)),1,0)</f>
        <v>0</v>
      </c>
      <c r="H3324" s="3">
        <f ca="1">IF(AND(I3324&lt;&gt;I3323,ISNUMBER(SEARCH(Лист2!$B$5,I:I)),G3324=1),MAX($H$3:OFFSET(H3324,-1,0))+1,0)</f>
        <v>0</v>
      </c>
      <c r="I3324" s="3" t="s">
        <v>290</v>
      </c>
      <c r="K3324" s="2">
        <f>IF(ISNUMBER(SEARCH(Лист2!$B$4,F:F)),1,0)</f>
        <v>0</v>
      </c>
      <c r="L3324" s="14">
        <f>IF(ISNUMBER(SEARCH(Лист2!$B$5,I:I)),1,0)+K3324</f>
        <v>0</v>
      </c>
      <c r="M3324" s="3">
        <f ca="1">IF(AND(N3324&lt;&gt;N3323,ISNUMBER(SEARCH(Лист2!$B$6,N:N)),L3324=2),MAX($M$3:OFFSET(M3324,-1,0))+1,0)</f>
        <v>0</v>
      </c>
      <c r="N3324" s="3" t="s">
        <v>602</v>
      </c>
    </row>
    <row r="3325" spans="1:14" x14ac:dyDescent="0.25">
      <c r="A3325" s="1" t="s">
        <v>12131</v>
      </c>
      <c r="B3325" s="3" t="s">
        <v>6949</v>
      </c>
      <c r="C3325" s="2">
        <f ca="1">IF(ISNUMBER(SEARCH(Лист2!$B$4,D:D)),MAX($C$3:OFFSET(C3325,-1,0))+1,0)</f>
        <v>0</v>
      </c>
      <c r="E3325" s="9" t="str">
        <f t="shared" ca="1" si="63"/>
        <v/>
      </c>
      <c r="F3325" s="4" t="s">
        <v>9</v>
      </c>
      <c r="G3325" s="2">
        <f>IF(ISNUMBER(SEARCH(Лист2!$B$4,F:F)),1,0)</f>
        <v>0</v>
      </c>
      <c r="H3325" s="3">
        <f ca="1">IF(AND(I3325&lt;&gt;I3324,ISNUMBER(SEARCH(Лист2!$B$5,I:I)),G3325=1),MAX($H$3:OFFSET(H3325,-1,0))+1,0)</f>
        <v>0</v>
      </c>
      <c r="I3325" s="3" t="s">
        <v>290</v>
      </c>
      <c r="K3325" s="2">
        <f>IF(ISNUMBER(SEARCH(Лист2!$B$4,F:F)),1,0)</f>
        <v>0</v>
      </c>
      <c r="L3325" s="14">
        <f>IF(ISNUMBER(SEARCH(Лист2!$B$5,I:I)),1,0)+K3325</f>
        <v>0</v>
      </c>
      <c r="M3325" s="3">
        <f ca="1">IF(AND(N3325&lt;&gt;N3324,ISNUMBER(SEARCH(Лист2!$B$6,N:N)),L3325=2),MAX($M$3:OFFSET(M3325,-1,0))+1,0)</f>
        <v>0</v>
      </c>
      <c r="N3325" s="3" t="s">
        <v>715</v>
      </c>
    </row>
    <row r="3326" spans="1:14" x14ac:dyDescent="0.25">
      <c r="A3326" s="1" t="s">
        <v>12132</v>
      </c>
      <c r="B3326" s="3" t="s">
        <v>6950</v>
      </c>
      <c r="C3326" s="2">
        <f ca="1">IF(ISNUMBER(SEARCH(Лист2!$B$4,D:D)),MAX($C$3:OFFSET(C3326,-1,0))+1,0)</f>
        <v>0</v>
      </c>
      <c r="E3326" s="9" t="str">
        <f t="shared" ca="1" si="63"/>
        <v/>
      </c>
      <c r="F3326" s="4" t="s">
        <v>9</v>
      </c>
      <c r="G3326" s="2">
        <f>IF(ISNUMBER(SEARCH(Лист2!$B$4,F:F)),1,0)</f>
        <v>0</v>
      </c>
      <c r="H3326" s="3">
        <f ca="1">IF(AND(I3326&lt;&gt;I3325,ISNUMBER(SEARCH(Лист2!$B$5,I:I)),G3326=1),MAX($H$3:OFFSET(H3326,-1,0))+1,0)</f>
        <v>0</v>
      </c>
      <c r="I3326" s="3" t="s">
        <v>290</v>
      </c>
      <c r="K3326" s="2">
        <f>IF(ISNUMBER(SEARCH(Лист2!$B$4,F:F)),1,0)</f>
        <v>0</v>
      </c>
      <c r="L3326" s="14">
        <f>IF(ISNUMBER(SEARCH(Лист2!$B$5,I:I)),1,0)+K3326</f>
        <v>0</v>
      </c>
      <c r="M3326" s="3">
        <f ca="1">IF(AND(N3326&lt;&gt;N3325,ISNUMBER(SEARCH(Лист2!$B$6,N:N)),L3326=2),MAX($M$3:OFFSET(M3326,-1,0))+1,0)</f>
        <v>0</v>
      </c>
      <c r="N3326" s="3" t="s">
        <v>716</v>
      </c>
    </row>
    <row r="3327" spans="1:14" x14ac:dyDescent="0.25">
      <c r="A3327" s="1" t="s">
        <v>12133</v>
      </c>
      <c r="B3327" s="3" t="s">
        <v>6951</v>
      </c>
      <c r="C3327" s="2">
        <f ca="1">IF(ISNUMBER(SEARCH(Лист2!$B$4,D:D)),MAX($C$3:OFFSET(C3327,-1,0))+1,0)</f>
        <v>0</v>
      </c>
      <c r="E3327" s="9" t="str">
        <f t="shared" ca="1" si="63"/>
        <v/>
      </c>
      <c r="F3327" s="4" t="s">
        <v>9</v>
      </c>
      <c r="G3327" s="2">
        <f>IF(ISNUMBER(SEARCH(Лист2!$B$4,F:F)),1,0)</f>
        <v>0</v>
      </c>
      <c r="H3327" s="3">
        <f ca="1">IF(AND(I3327&lt;&gt;I3326,ISNUMBER(SEARCH(Лист2!$B$5,I:I)),G3327=1),MAX($H$3:OFFSET(H3327,-1,0))+1,0)</f>
        <v>0</v>
      </c>
      <c r="I3327" s="3" t="s">
        <v>290</v>
      </c>
      <c r="K3327" s="2">
        <f>IF(ISNUMBER(SEARCH(Лист2!$B$4,F:F)),1,0)</f>
        <v>0</v>
      </c>
      <c r="L3327" s="14">
        <f>IF(ISNUMBER(SEARCH(Лист2!$B$5,I:I)),1,0)+K3327</f>
        <v>0</v>
      </c>
      <c r="M3327" s="3">
        <f ca="1">IF(AND(N3327&lt;&gt;N3326,ISNUMBER(SEARCH(Лист2!$B$6,N:N)),L3327=2),MAX($M$3:OFFSET(M3327,-1,0))+1,0)</f>
        <v>0</v>
      </c>
      <c r="N3327" s="3" t="s">
        <v>2089</v>
      </c>
    </row>
    <row r="3328" spans="1:14" x14ac:dyDescent="0.25">
      <c r="A3328" s="1" t="s">
        <v>12134</v>
      </c>
      <c r="B3328" s="3" t="s">
        <v>6952</v>
      </c>
      <c r="C3328" s="2">
        <f ca="1">IF(ISNUMBER(SEARCH(Лист2!$B$4,D:D)),MAX($C$3:OFFSET(C3328,-1,0))+1,0)</f>
        <v>0</v>
      </c>
      <c r="E3328" s="9" t="str">
        <f t="shared" ca="1" si="63"/>
        <v/>
      </c>
      <c r="F3328" s="4" t="s">
        <v>9</v>
      </c>
      <c r="G3328" s="2">
        <f>IF(ISNUMBER(SEARCH(Лист2!$B$4,F:F)),1,0)</f>
        <v>0</v>
      </c>
      <c r="H3328" s="3">
        <f ca="1">IF(AND(I3328&lt;&gt;I3327,ISNUMBER(SEARCH(Лист2!$B$5,I:I)),G3328=1),MAX($H$3:OFFSET(H3328,-1,0))+1,0)</f>
        <v>0</v>
      </c>
      <c r="I3328" s="3" t="s">
        <v>290</v>
      </c>
      <c r="K3328" s="2">
        <f>IF(ISNUMBER(SEARCH(Лист2!$B$4,F:F)),1,0)</f>
        <v>0</v>
      </c>
      <c r="L3328" s="14">
        <f>IF(ISNUMBER(SEARCH(Лист2!$B$5,I:I)),1,0)+K3328</f>
        <v>0</v>
      </c>
      <c r="M3328" s="3">
        <f ca="1">IF(AND(N3328&lt;&gt;N3327,ISNUMBER(SEARCH(Лист2!$B$6,N:N)),L3328=2),MAX($M$3:OFFSET(M3328,-1,0))+1,0)</f>
        <v>0</v>
      </c>
      <c r="N3328" s="3" t="s">
        <v>2110</v>
      </c>
    </row>
    <row r="3329" spans="1:14" x14ac:dyDescent="0.25">
      <c r="A3329" s="1" t="s">
        <v>12135</v>
      </c>
      <c r="B3329" s="3" t="s">
        <v>6953</v>
      </c>
      <c r="C3329" s="2">
        <f ca="1">IF(ISNUMBER(SEARCH(Лист2!$B$4,D:D)),MAX($C$3:OFFSET(C3329,-1,0))+1,0)</f>
        <v>0</v>
      </c>
      <c r="E3329" s="9" t="str">
        <f t="shared" ca="1" si="63"/>
        <v/>
      </c>
      <c r="F3329" s="4" t="s">
        <v>9</v>
      </c>
      <c r="G3329" s="2">
        <f>IF(ISNUMBER(SEARCH(Лист2!$B$4,F:F)),1,0)</f>
        <v>0</v>
      </c>
      <c r="H3329" s="3">
        <f ca="1">IF(AND(I3329&lt;&gt;I3328,ISNUMBER(SEARCH(Лист2!$B$5,I:I)),G3329=1),MAX($H$3:OFFSET(H3329,-1,0))+1,0)</f>
        <v>0</v>
      </c>
      <c r="I3329" s="3" t="s">
        <v>290</v>
      </c>
      <c r="K3329" s="2">
        <f>IF(ISNUMBER(SEARCH(Лист2!$B$4,F:F)),1,0)</f>
        <v>0</v>
      </c>
      <c r="L3329" s="14">
        <f>IF(ISNUMBER(SEARCH(Лист2!$B$5,I:I)),1,0)+K3329</f>
        <v>0</v>
      </c>
      <c r="M3329" s="3">
        <f ca="1">IF(AND(N3329&lt;&gt;N3328,ISNUMBER(SEARCH(Лист2!$B$6,N:N)),L3329=2),MAX($M$3:OFFSET(M3329,-1,0))+1,0)</f>
        <v>0</v>
      </c>
      <c r="N3329" s="3" t="s">
        <v>2111</v>
      </c>
    </row>
    <row r="3330" spans="1:14" x14ac:dyDescent="0.25">
      <c r="A3330" s="1" t="s">
        <v>12136</v>
      </c>
      <c r="B3330" s="3" t="s">
        <v>6954</v>
      </c>
      <c r="C3330" s="2">
        <f ca="1">IF(ISNUMBER(SEARCH(Лист2!$B$4,D:D)),MAX($C$3:OFFSET(C3330,-1,0))+1,0)</f>
        <v>0</v>
      </c>
      <c r="E3330" s="9" t="str">
        <f t="shared" ca="1" si="63"/>
        <v/>
      </c>
      <c r="F3330" s="4" t="s">
        <v>9</v>
      </c>
      <c r="G3330" s="2">
        <f>IF(ISNUMBER(SEARCH(Лист2!$B$4,F:F)),1,0)</f>
        <v>0</v>
      </c>
      <c r="H3330" s="3">
        <f ca="1">IF(AND(I3330&lt;&gt;I3329,ISNUMBER(SEARCH(Лист2!$B$5,I:I)),G3330=1),MAX($H$3:OFFSET(H3330,-1,0))+1,0)</f>
        <v>0</v>
      </c>
      <c r="I3330" s="3" t="s">
        <v>290</v>
      </c>
      <c r="K3330" s="2">
        <f>IF(ISNUMBER(SEARCH(Лист2!$B$4,F:F)),1,0)</f>
        <v>0</v>
      </c>
      <c r="L3330" s="14">
        <f>IF(ISNUMBER(SEARCH(Лист2!$B$5,I:I)),1,0)+K3330</f>
        <v>0</v>
      </c>
      <c r="M3330" s="3">
        <f ca="1">IF(AND(N3330&lt;&gt;N3329,ISNUMBER(SEARCH(Лист2!$B$6,N:N)),L3330=2),MAX($M$3:OFFSET(M3330,-1,0))+1,0)</f>
        <v>0</v>
      </c>
      <c r="N3330" s="3" t="s">
        <v>2112</v>
      </c>
    </row>
    <row r="3331" spans="1:14" x14ac:dyDescent="0.25">
      <c r="A3331" s="1" t="s">
        <v>12137</v>
      </c>
      <c r="B3331" s="3" t="s">
        <v>6955</v>
      </c>
      <c r="C3331" s="2">
        <f ca="1">IF(ISNUMBER(SEARCH(Лист2!$B$4,D:D)),MAX($C$3:OFFSET(C3331,-1,0))+1,0)</f>
        <v>0</v>
      </c>
      <c r="E3331" s="9" t="str">
        <f t="shared" ca="1" si="63"/>
        <v/>
      </c>
      <c r="F3331" s="4" t="s">
        <v>9</v>
      </c>
      <c r="G3331" s="2">
        <f>IF(ISNUMBER(SEARCH(Лист2!$B$4,F:F)),1,0)</f>
        <v>0</v>
      </c>
      <c r="H3331" s="3">
        <f ca="1">IF(AND(I3331&lt;&gt;I3330,ISNUMBER(SEARCH(Лист2!$B$5,I:I)),G3331=1),MAX($H$3:OFFSET(H3331,-1,0))+1,0)</f>
        <v>0</v>
      </c>
      <c r="I3331" s="3" t="s">
        <v>290</v>
      </c>
      <c r="K3331" s="2">
        <f>IF(ISNUMBER(SEARCH(Лист2!$B$4,F:F)),1,0)</f>
        <v>0</v>
      </c>
      <c r="L3331" s="14">
        <f>IF(ISNUMBER(SEARCH(Лист2!$B$5,I:I)),1,0)+K3331</f>
        <v>0</v>
      </c>
      <c r="M3331" s="3">
        <f ca="1">IF(AND(N3331&lt;&gt;N3330,ISNUMBER(SEARCH(Лист2!$B$6,N:N)),L3331=2),MAX($M$3:OFFSET(M3331,-1,0))+1,0)</f>
        <v>0</v>
      </c>
      <c r="N3331" s="3" t="s">
        <v>2113</v>
      </c>
    </row>
    <row r="3332" spans="1:14" x14ac:dyDescent="0.25">
      <c r="A3332" s="1" t="s">
        <v>12138</v>
      </c>
      <c r="B3332" s="3" t="s">
        <v>6956</v>
      </c>
      <c r="C3332" s="2">
        <f ca="1">IF(ISNUMBER(SEARCH(Лист2!$B$4,D:D)),MAX($C$3:OFFSET(C3332,-1,0))+1,0)</f>
        <v>0</v>
      </c>
      <c r="E3332" s="9" t="str">
        <f t="shared" ca="1" si="63"/>
        <v/>
      </c>
      <c r="F3332" s="4" t="s">
        <v>9</v>
      </c>
      <c r="G3332" s="2">
        <f>IF(ISNUMBER(SEARCH(Лист2!$B$4,F:F)),1,0)</f>
        <v>0</v>
      </c>
      <c r="H3332" s="3">
        <f ca="1">IF(AND(I3332&lt;&gt;I3331,ISNUMBER(SEARCH(Лист2!$B$5,I:I)),G3332=1),MAX($H$3:OFFSET(H3332,-1,0))+1,0)</f>
        <v>0</v>
      </c>
      <c r="I3332" s="3" t="s">
        <v>291</v>
      </c>
      <c r="K3332" s="2">
        <f>IF(ISNUMBER(SEARCH(Лист2!$B$4,F:F)),1,0)</f>
        <v>0</v>
      </c>
      <c r="L3332" s="14">
        <f>IF(ISNUMBER(SEARCH(Лист2!$B$5,I:I)),1,0)+K3332</f>
        <v>0</v>
      </c>
      <c r="M3332" s="3">
        <f ca="1">IF(AND(N3332&lt;&gt;N3331,ISNUMBER(SEARCH(Лист2!$B$6,N:N)),L3332=2),MAX($M$3:OFFSET(M3332,-1,0))+1,0)</f>
        <v>0</v>
      </c>
      <c r="N3332" s="3" t="s">
        <v>2114</v>
      </c>
    </row>
    <row r="3333" spans="1:14" x14ac:dyDescent="0.25">
      <c r="A3333" s="1" t="s">
        <v>12139</v>
      </c>
      <c r="B3333" s="3" t="s">
        <v>6957</v>
      </c>
      <c r="C3333" s="2">
        <f ca="1">IF(ISNUMBER(SEARCH(Лист2!$B$4,D:D)),MAX($C$3:OFFSET(C3333,-1,0))+1,0)</f>
        <v>0</v>
      </c>
      <c r="E3333" s="9" t="str">
        <f t="shared" ref="E3333:E3396" ca="1" si="64">IFERROR(INDEX(D:D,MATCH(ROW(E3333)-ROW($E$3),C:C,0)),"")</f>
        <v/>
      </c>
      <c r="F3333" s="4" t="s">
        <v>9</v>
      </c>
      <c r="G3333" s="2">
        <f>IF(ISNUMBER(SEARCH(Лист2!$B$4,F:F)),1,0)</f>
        <v>0</v>
      </c>
      <c r="H3333" s="3">
        <f ca="1">IF(AND(I3333&lt;&gt;I3332,ISNUMBER(SEARCH(Лист2!$B$5,I:I)),G3333=1),MAX($H$3:OFFSET(H3333,-1,0))+1,0)</f>
        <v>0</v>
      </c>
      <c r="I3333" s="3" t="s">
        <v>291</v>
      </c>
      <c r="K3333" s="2">
        <f>IF(ISNUMBER(SEARCH(Лист2!$B$4,F:F)),1,0)</f>
        <v>0</v>
      </c>
      <c r="L3333" s="14">
        <f>IF(ISNUMBER(SEARCH(Лист2!$B$5,I:I)),1,0)+K3333</f>
        <v>0</v>
      </c>
      <c r="M3333" s="3">
        <f ca="1">IF(AND(N3333&lt;&gt;N3332,ISNUMBER(SEARCH(Лист2!$B$6,N:N)),L3333=2),MAX($M$3:OFFSET(M3333,-1,0))+1,0)</f>
        <v>0</v>
      </c>
      <c r="N3333" s="3" t="s">
        <v>2115</v>
      </c>
    </row>
    <row r="3334" spans="1:14" x14ac:dyDescent="0.25">
      <c r="A3334" s="1" t="s">
        <v>12139</v>
      </c>
      <c r="B3334" s="3" t="s">
        <v>6958</v>
      </c>
      <c r="C3334" s="2">
        <f ca="1">IF(ISNUMBER(SEARCH(Лист2!$B$4,D:D)),MAX($C$3:OFFSET(C3334,-1,0))+1,0)</f>
        <v>0</v>
      </c>
      <c r="E3334" s="9" t="str">
        <f t="shared" ca="1" si="64"/>
        <v/>
      </c>
      <c r="F3334" s="4" t="s">
        <v>9</v>
      </c>
      <c r="G3334" s="2">
        <f>IF(ISNUMBER(SEARCH(Лист2!$B$4,F:F)),1,0)</f>
        <v>0</v>
      </c>
      <c r="H3334" s="3">
        <f ca="1">IF(AND(I3334&lt;&gt;I3333,ISNUMBER(SEARCH(Лист2!$B$5,I:I)),G3334=1),MAX($H$3:OFFSET(H3334,-1,0))+1,0)</f>
        <v>0</v>
      </c>
      <c r="I3334" s="3" t="s">
        <v>291</v>
      </c>
      <c r="K3334" s="2">
        <f>IF(ISNUMBER(SEARCH(Лист2!$B$4,F:F)),1,0)</f>
        <v>0</v>
      </c>
      <c r="L3334" s="14">
        <f>IF(ISNUMBER(SEARCH(Лист2!$B$5,I:I)),1,0)+K3334</f>
        <v>0</v>
      </c>
      <c r="M3334" s="3">
        <f ca="1">IF(AND(N3334&lt;&gt;N3333,ISNUMBER(SEARCH(Лист2!$B$6,N:N)),L3334=2),MAX($M$3:OFFSET(M3334,-1,0))+1,0)</f>
        <v>0</v>
      </c>
      <c r="N3334" s="3" t="s">
        <v>2115</v>
      </c>
    </row>
    <row r="3335" spans="1:14" x14ac:dyDescent="0.25">
      <c r="A3335" s="1" t="s">
        <v>12139</v>
      </c>
      <c r="B3335" s="3" t="s">
        <v>6959</v>
      </c>
      <c r="C3335" s="2">
        <f ca="1">IF(ISNUMBER(SEARCH(Лист2!$B$4,D:D)),MAX($C$3:OFFSET(C3335,-1,0))+1,0)</f>
        <v>0</v>
      </c>
      <c r="E3335" s="9" t="str">
        <f t="shared" ca="1" si="64"/>
        <v/>
      </c>
      <c r="F3335" s="4" t="s">
        <v>9</v>
      </c>
      <c r="G3335" s="2">
        <f>IF(ISNUMBER(SEARCH(Лист2!$B$4,F:F)),1,0)</f>
        <v>0</v>
      </c>
      <c r="H3335" s="3">
        <f ca="1">IF(AND(I3335&lt;&gt;I3334,ISNUMBER(SEARCH(Лист2!$B$5,I:I)),G3335=1),MAX($H$3:OFFSET(H3335,-1,0))+1,0)</f>
        <v>0</v>
      </c>
      <c r="I3335" s="3" t="s">
        <v>291</v>
      </c>
      <c r="K3335" s="2">
        <f>IF(ISNUMBER(SEARCH(Лист2!$B$4,F:F)),1,0)</f>
        <v>0</v>
      </c>
      <c r="L3335" s="14">
        <f>IF(ISNUMBER(SEARCH(Лист2!$B$5,I:I)),1,0)+K3335</f>
        <v>0</v>
      </c>
      <c r="M3335" s="3">
        <f ca="1">IF(AND(N3335&lt;&gt;N3334,ISNUMBER(SEARCH(Лист2!$B$6,N:N)),L3335=2),MAX($M$3:OFFSET(M3335,-1,0))+1,0)</f>
        <v>0</v>
      </c>
      <c r="N3335" s="3" t="s">
        <v>2115</v>
      </c>
    </row>
    <row r="3336" spans="1:14" x14ac:dyDescent="0.25">
      <c r="A3336" s="1" t="s">
        <v>12140</v>
      </c>
      <c r="B3336" s="3" t="s">
        <v>6960</v>
      </c>
      <c r="C3336" s="2">
        <f ca="1">IF(ISNUMBER(SEARCH(Лист2!$B$4,D:D)),MAX($C$3:OFFSET(C3336,-1,0))+1,0)</f>
        <v>0</v>
      </c>
      <c r="E3336" s="9" t="str">
        <f t="shared" ca="1" si="64"/>
        <v/>
      </c>
      <c r="F3336" s="4" t="s">
        <v>9</v>
      </c>
      <c r="G3336" s="2">
        <f>IF(ISNUMBER(SEARCH(Лист2!$B$4,F:F)),1,0)</f>
        <v>0</v>
      </c>
      <c r="H3336" s="3">
        <f ca="1">IF(AND(I3336&lt;&gt;I3335,ISNUMBER(SEARCH(Лист2!$B$5,I:I)),G3336=1),MAX($H$3:OFFSET(H3336,-1,0))+1,0)</f>
        <v>0</v>
      </c>
      <c r="I3336" s="3" t="s">
        <v>291</v>
      </c>
      <c r="K3336" s="2">
        <f>IF(ISNUMBER(SEARCH(Лист2!$B$4,F:F)),1,0)</f>
        <v>0</v>
      </c>
      <c r="L3336" s="14">
        <f>IF(ISNUMBER(SEARCH(Лист2!$B$5,I:I)),1,0)+K3336</f>
        <v>0</v>
      </c>
      <c r="M3336" s="3">
        <f ca="1">IF(AND(N3336&lt;&gt;N3335,ISNUMBER(SEARCH(Лист2!$B$6,N:N)),L3336=2),MAX($M$3:OFFSET(M3336,-1,0))+1,0)</f>
        <v>0</v>
      </c>
      <c r="N3336" s="3" t="s">
        <v>2116</v>
      </c>
    </row>
    <row r="3337" spans="1:14" x14ac:dyDescent="0.25">
      <c r="A3337" s="1" t="s">
        <v>12140</v>
      </c>
      <c r="B3337" s="3" t="s">
        <v>6961</v>
      </c>
      <c r="C3337" s="2">
        <f ca="1">IF(ISNUMBER(SEARCH(Лист2!$B$4,D:D)),MAX($C$3:OFFSET(C3337,-1,0))+1,0)</f>
        <v>0</v>
      </c>
      <c r="E3337" s="9" t="str">
        <f t="shared" ca="1" si="64"/>
        <v/>
      </c>
      <c r="F3337" s="4" t="s">
        <v>9</v>
      </c>
      <c r="G3337" s="2">
        <f>IF(ISNUMBER(SEARCH(Лист2!$B$4,F:F)),1,0)</f>
        <v>0</v>
      </c>
      <c r="H3337" s="3">
        <f ca="1">IF(AND(I3337&lt;&gt;I3336,ISNUMBER(SEARCH(Лист2!$B$5,I:I)),G3337=1),MAX($H$3:OFFSET(H3337,-1,0))+1,0)</f>
        <v>0</v>
      </c>
      <c r="I3337" s="3" t="s">
        <v>291</v>
      </c>
      <c r="K3337" s="2">
        <f>IF(ISNUMBER(SEARCH(Лист2!$B$4,F:F)),1,0)</f>
        <v>0</v>
      </c>
      <c r="L3337" s="14">
        <f>IF(ISNUMBER(SEARCH(Лист2!$B$5,I:I)),1,0)+K3337</f>
        <v>0</v>
      </c>
      <c r="M3337" s="3">
        <f ca="1">IF(AND(N3337&lt;&gt;N3336,ISNUMBER(SEARCH(Лист2!$B$6,N:N)),L3337=2),MAX($M$3:OFFSET(M3337,-1,0))+1,0)</f>
        <v>0</v>
      </c>
      <c r="N3337" s="3" t="s">
        <v>2116</v>
      </c>
    </row>
    <row r="3338" spans="1:14" x14ac:dyDescent="0.25">
      <c r="A3338" s="1" t="s">
        <v>12140</v>
      </c>
      <c r="B3338" s="3" t="s">
        <v>6962</v>
      </c>
      <c r="C3338" s="2">
        <f ca="1">IF(ISNUMBER(SEARCH(Лист2!$B$4,D:D)),MAX($C$3:OFFSET(C3338,-1,0))+1,0)</f>
        <v>0</v>
      </c>
      <c r="E3338" s="9" t="str">
        <f t="shared" ca="1" si="64"/>
        <v/>
      </c>
      <c r="F3338" s="4" t="s">
        <v>9</v>
      </c>
      <c r="G3338" s="2">
        <f>IF(ISNUMBER(SEARCH(Лист2!$B$4,F:F)),1,0)</f>
        <v>0</v>
      </c>
      <c r="H3338" s="3">
        <f ca="1">IF(AND(I3338&lt;&gt;I3337,ISNUMBER(SEARCH(Лист2!$B$5,I:I)),G3338=1),MAX($H$3:OFFSET(H3338,-1,0))+1,0)</f>
        <v>0</v>
      </c>
      <c r="I3338" s="3" t="s">
        <v>291</v>
      </c>
      <c r="K3338" s="2">
        <f>IF(ISNUMBER(SEARCH(Лист2!$B$4,F:F)),1,0)</f>
        <v>0</v>
      </c>
      <c r="L3338" s="14">
        <f>IF(ISNUMBER(SEARCH(Лист2!$B$5,I:I)),1,0)+K3338</f>
        <v>0</v>
      </c>
      <c r="M3338" s="3">
        <f ca="1">IF(AND(N3338&lt;&gt;N3337,ISNUMBER(SEARCH(Лист2!$B$6,N:N)),L3338=2),MAX($M$3:OFFSET(M3338,-1,0))+1,0)</f>
        <v>0</v>
      </c>
      <c r="N3338" s="3" t="s">
        <v>2116</v>
      </c>
    </row>
    <row r="3339" spans="1:14" x14ac:dyDescent="0.25">
      <c r="A3339" s="1" t="s">
        <v>12141</v>
      </c>
      <c r="B3339" s="3" t="s">
        <v>6963</v>
      </c>
      <c r="C3339" s="2">
        <f ca="1">IF(ISNUMBER(SEARCH(Лист2!$B$4,D:D)),MAX($C$3:OFFSET(C3339,-1,0))+1,0)</f>
        <v>0</v>
      </c>
      <c r="E3339" s="9" t="str">
        <f t="shared" ca="1" si="64"/>
        <v/>
      </c>
      <c r="F3339" s="4" t="s">
        <v>9</v>
      </c>
      <c r="G3339" s="2">
        <f>IF(ISNUMBER(SEARCH(Лист2!$B$4,F:F)),1,0)</f>
        <v>0</v>
      </c>
      <c r="H3339" s="3">
        <f ca="1">IF(AND(I3339&lt;&gt;I3338,ISNUMBER(SEARCH(Лист2!$B$5,I:I)),G3339=1),MAX($H$3:OFFSET(H3339,-1,0))+1,0)</f>
        <v>0</v>
      </c>
      <c r="I3339" s="3" t="s">
        <v>291</v>
      </c>
      <c r="K3339" s="2">
        <f>IF(ISNUMBER(SEARCH(Лист2!$B$4,F:F)),1,0)</f>
        <v>0</v>
      </c>
      <c r="L3339" s="14">
        <f>IF(ISNUMBER(SEARCH(Лист2!$B$5,I:I)),1,0)+K3339</f>
        <v>0</v>
      </c>
      <c r="M3339" s="3">
        <f ca="1">IF(AND(N3339&lt;&gt;N3338,ISNUMBER(SEARCH(Лист2!$B$6,N:N)),L3339=2),MAX($M$3:OFFSET(M3339,-1,0))+1,0)</f>
        <v>0</v>
      </c>
      <c r="N3339" s="3" t="s">
        <v>2117</v>
      </c>
    </row>
    <row r="3340" spans="1:14" x14ac:dyDescent="0.25">
      <c r="A3340" s="1" t="s">
        <v>12142</v>
      </c>
      <c r="B3340" s="3" t="s">
        <v>6964</v>
      </c>
      <c r="C3340" s="2">
        <f ca="1">IF(ISNUMBER(SEARCH(Лист2!$B$4,D:D)),MAX($C$3:OFFSET(C3340,-1,0))+1,0)</f>
        <v>0</v>
      </c>
      <c r="E3340" s="9" t="str">
        <f t="shared" ca="1" si="64"/>
        <v/>
      </c>
      <c r="F3340" s="4" t="s">
        <v>9</v>
      </c>
      <c r="G3340" s="2">
        <f>IF(ISNUMBER(SEARCH(Лист2!$B$4,F:F)),1,0)</f>
        <v>0</v>
      </c>
      <c r="H3340" s="3">
        <f ca="1">IF(AND(I3340&lt;&gt;I3339,ISNUMBER(SEARCH(Лист2!$B$5,I:I)),G3340=1),MAX($H$3:OFFSET(H3340,-1,0))+1,0)</f>
        <v>0</v>
      </c>
      <c r="I3340" s="3" t="s">
        <v>291</v>
      </c>
      <c r="K3340" s="2">
        <f>IF(ISNUMBER(SEARCH(Лист2!$B$4,F:F)),1,0)</f>
        <v>0</v>
      </c>
      <c r="L3340" s="14">
        <f>IF(ISNUMBER(SEARCH(Лист2!$B$5,I:I)),1,0)+K3340</f>
        <v>0</v>
      </c>
      <c r="M3340" s="3">
        <f ca="1">IF(AND(N3340&lt;&gt;N3339,ISNUMBER(SEARCH(Лист2!$B$6,N:N)),L3340=2),MAX($M$3:OFFSET(M3340,-1,0))+1,0)</f>
        <v>0</v>
      </c>
      <c r="N3340" s="3" t="s">
        <v>2118</v>
      </c>
    </row>
    <row r="3341" spans="1:14" x14ac:dyDescent="0.25">
      <c r="A3341" s="1" t="s">
        <v>12143</v>
      </c>
      <c r="B3341" s="3" t="s">
        <v>6965</v>
      </c>
      <c r="C3341" s="2">
        <f ca="1">IF(ISNUMBER(SEARCH(Лист2!$B$4,D:D)),MAX($C$3:OFFSET(C3341,-1,0))+1,0)</f>
        <v>0</v>
      </c>
      <c r="E3341" s="9" t="str">
        <f t="shared" ca="1" si="64"/>
        <v/>
      </c>
      <c r="F3341" s="4" t="s">
        <v>9</v>
      </c>
      <c r="G3341" s="2">
        <f>IF(ISNUMBER(SEARCH(Лист2!$B$4,F:F)),1,0)</f>
        <v>0</v>
      </c>
      <c r="H3341" s="3">
        <f ca="1">IF(AND(I3341&lt;&gt;I3340,ISNUMBER(SEARCH(Лист2!$B$5,I:I)),G3341=1),MAX($H$3:OFFSET(H3341,-1,0))+1,0)</f>
        <v>0</v>
      </c>
      <c r="I3341" s="3" t="s">
        <v>291</v>
      </c>
      <c r="K3341" s="2">
        <f>IF(ISNUMBER(SEARCH(Лист2!$B$4,F:F)),1,0)</f>
        <v>0</v>
      </c>
      <c r="L3341" s="14">
        <f>IF(ISNUMBER(SEARCH(Лист2!$B$5,I:I)),1,0)+K3341</f>
        <v>0</v>
      </c>
      <c r="M3341" s="3">
        <f ca="1">IF(AND(N3341&lt;&gt;N3340,ISNUMBER(SEARCH(Лист2!$B$6,N:N)),L3341=2),MAX($M$3:OFFSET(M3341,-1,0))+1,0)</f>
        <v>0</v>
      </c>
      <c r="N3341" s="3" t="s">
        <v>1385</v>
      </c>
    </row>
    <row r="3342" spans="1:14" x14ac:dyDescent="0.25">
      <c r="A3342" s="1" t="s">
        <v>12144</v>
      </c>
      <c r="B3342" s="3" t="s">
        <v>6966</v>
      </c>
      <c r="C3342" s="2">
        <f ca="1">IF(ISNUMBER(SEARCH(Лист2!$B$4,D:D)),MAX($C$3:OFFSET(C3342,-1,0))+1,0)</f>
        <v>0</v>
      </c>
      <c r="E3342" s="9" t="str">
        <f t="shared" ca="1" si="64"/>
        <v/>
      </c>
      <c r="F3342" s="4" t="s">
        <v>9</v>
      </c>
      <c r="G3342" s="2">
        <f>IF(ISNUMBER(SEARCH(Лист2!$B$4,F:F)),1,0)</f>
        <v>0</v>
      </c>
      <c r="H3342" s="3">
        <f ca="1">IF(AND(I3342&lt;&gt;I3341,ISNUMBER(SEARCH(Лист2!$B$5,I:I)),G3342=1),MAX($H$3:OFFSET(H3342,-1,0))+1,0)</f>
        <v>0</v>
      </c>
      <c r="I3342" s="3" t="s">
        <v>291</v>
      </c>
      <c r="K3342" s="2">
        <f>IF(ISNUMBER(SEARCH(Лист2!$B$4,F:F)),1,0)</f>
        <v>0</v>
      </c>
      <c r="L3342" s="14">
        <f>IF(ISNUMBER(SEARCH(Лист2!$B$5,I:I)),1,0)+K3342</f>
        <v>0</v>
      </c>
      <c r="M3342" s="3">
        <f ca="1">IF(AND(N3342&lt;&gt;N3341,ISNUMBER(SEARCH(Лист2!$B$6,N:N)),L3342=2),MAX($M$3:OFFSET(M3342,-1,0))+1,0)</f>
        <v>0</v>
      </c>
      <c r="N3342" s="3" t="s">
        <v>602</v>
      </c>
    </row>
    <row r="3343" spans="1:14" x14ac:dyDescent="0.25">
      <c r="A3343" s="1" t="s">
        <v>12145</v>
      </c>
      <c r="B3343" s="3" t="s">
        <v>6967</v>
      </c>
      <c r="C3343" s="2">
        <f ca="1">IF(ISNUMBER(SEARCH(Лист2!$B$4,D:D)),MAX($C$3:OFFSET(C3343,-1,0))+1,0)</f>
        <v>0</v>
      </c>
      <c r="E3343" s="9" t="str">
        <f t="shared" ca="1" si="64"/>
        <v/>
      </c>
      <c r="F3343" s="4" t="s">
        <v>9</v>
      </c>
      <c r="G3343" s="2">
        <f>IF(ISNUMBER(SEARCH(Лист2!$B$4,F:F)),1,0)</f>
        <v>0</v>
      </c>
      <c r="H3343" s="3">
        <f ca="1">IF(AND(I3343&lt;&gt;I3342,ISNUMBER(SEARCH(Лист2!$B$5,I:I)),G3343=1),MAX($H$3:OFFSET(H3343,-1,0))+1,0)</f>
        <v>0</v>
      </c>
      <c r="I3343" s="3" t="s">
        <v>291</v>
      </c>
      <c r="K3343" s="2">
        <f>IF(ISNUMBER(SEARCH(Лист2!$B$4,F:F)),1,0)</f>
        <v>0</v>
      </c>
      <c r="L3343" s="14">
        <f>IF(ISNUMBER(SEARCH(Лист2!$B$5,I:I)),1,0)+K3343</f>
        <v>0</v>
      </c>
      <c r="M3343" s="3">
        <f ca="1">IF(AND(N3343&lt;&gt;N3342,ISNUMBER(SEARCH(Лист2!$B$6,N:N)),L3343=2),MAX($M$3:OFFSET(M3343,-1,0))+1,0)</f>
        <v>0</v>
      </c>
      <c r="N3343" s="3" t="s">
        <v>2119</v>
      </c>
    </row>
    <row r="3344" spans="1:14" x14ac:dyDescent="0.25">
      <c r="A3344" s="1" t="s">
        <v>12146</v>
      </c>
      <c r="B3344" s="3" t="s">
        <v>6968</v>
      </c>
      <c r="C3344" s="2">
        <f ca="1">IF(ISNUMBER(SEARCH(Лист2!$B$4,D:D)),MAX($C$3:OFFSET(C3344,-1,0))+1,0)</f>
        <v>0</v>
      </c>
      <c r="E3344" s="9" t="str">
        <f t="shared" ca="1" si="64"/>
        <v/>
      </c>
      <c r="F3344" s="4" t="s">
        <v>9</v>
      </c>
      <c r="G3344" s="2">
        <f>IF(ISNUMBER(SEARCH(Лист2!$B$4,F:F)),1,0)</f>
        <v>0</v>
      </c>
      <c r="H3344" s="3">
        <f ca="1">IF(AND(I3344&lt;&gt;I3343,ISNUMBER(SEARCH(Лист2!$B$5,I:I)),G3344=1),MAX($H$3:OFFSET(H3344,-1,0))+1,0)</f>
        <v>0</v>
      </c>
      <c r="I3344" s="3" t="s">
        <v>291</v>
      </c>
      <c r="K3344" s="2">
        <f>IF(ISNUMBER(SEARCH(Лист2!$B$4,F:F)),1,0)</f>
        <v>0</v>
      </c>
      <c r="L3344" s="14">
        <f>IF(ISNUMBER(SEARCH(Лист2!$B$5,I:I)),1,0)+K3344</f>
        <v>0</v>
      </c>
      <c r="M3344" s="3">
        <f ca="1">IF(AND(N3344&lt;&gt;N3343,ISNUMBER(SEARCH(Лист2!$B$6,N:N)),L3344=2),MAX($M$3:OFFSET(M3344,-1,0))+1,0)</f>
        <v>0</v>
      </c>
      <c r="N3344" s="3" t="s">
        <v>2120</v>
      </c>
    </row>
    <row r="3345" spans="1:14" x14ac:dyDescent="0.25">
      <c r="A3345" s="1" t="s">
        <v>12147</v>
      </c>
      <c r="B3345" s="3" t="s">
        <v>6969</v>
      </c>
      <c r="C3345" s="2">
        <f ca="1">IF(ISNUMBER(SEARCH(Лист2!$B$4,D:D)),MAX($C$3:OFFSET(C3345,-1,0))+1,0)</f>
        <v>0</v>
      </c>
      <c r="E3345" s="9" t="str">
        <f t="shared" ca="1" si="64"/>
        <v/>
      </c>
      <c r="F3345" s="4" t="s">
        <v>9</v>
      </c>
      <c r="G3345" s="2">
        <f>IF(ISNUMBER(SEARCH(Лист2!$B$4,F:F)),1,0)</f>
        <v>0</v>
      </c>
      <c r="H3345" s="3">
        <f ca="1">IF(AND(I3345&lt;&gt;I3344,ISNUMBER(SEARCH(Лист2!$B$5,I:I)),G3345=1),MAX($H$3:OFFSET(H3345,-1,0))+1,0)</f>
        <v>0</v>
      </c>
      <c r="I3345" s="3" t="s">
        <v>291</v>
      </c>
      <c r="K3345" s="2">
        <f>IF(ISNUMBER(SEARCH(Лист2!$B$4,F:F)),1,0)</f>
        <v>0</v>
      </c>
      <c r="L3345" s="14">
        <f>IF(ISNUMBER(SEARCH(Лист2!$B$5,I:I)),1,0)+K3345</f>
        <v>0</v>
      </c>
      <c r="M3345" s="3">
        <f ca="1">IF(AND(N3345&lt;&gt;N3344,ISNUMBER(SEARCH(Лист2!$B$6,N:N)),L3345=2),MAX($M$3:OFFSET(M3345,-1,0))+1,0)</f>
        <v>0</v>
      </c>
      <c r="N3345" s="3" t="s">
        <v>2121</v>
      </c>
    </row>
    <row r="3346" spans="1:14" x14ac:dyDescent="0.25">
      <c r="A3346" s="1" t="s">
        <v>12148</v>
      </c>
      <c r="B3346" s="3" t="s">
        <v>6970</v>
      </c>
      <c r="C3346" s="2">
        <f ca="1">IF(ISNUMBER(SEARCH(Лист2!$B$4,D:D)),MAX($C$3:OFFSET(C3346,-1,0))+1,0)</f>
        <v>0</v>
      </c>
      <c r="E3346" s="9" t="str">
        <f t="shared" ca="1" si="64"/>
        <v/>
      </c>
      <c r="F3346" s="4" t="s">
        <v>9</v>
      </c>
      <c r="G3346" s="2">
        <f>IF(ISNUMBER(SEARCH(Лист2!$B$4,F:F)),1,0)</f>
        <v>0</v>
      </c>
      <c r="H3346" s="3">
        <f ca="1">IF(AND(I3346&lt;&gt;I3345,ISNUMBER(SEARCH(Лист2!$B$5,I:I)),G3346=1),MAX($H$3:OFFSET(H3346,-1,0))+1,0)</f>
        <v>0</v>
      </c>
      <c r="I3346" s="3" t="s">
        <v>291</v>
      </c>
      <c r="K3346" s="2">
        <f>IF(ISNUMBER(SEARCH(Лист2!$B$4,F:F)),1,0)</f>
        <v>0</v>
      </c>
      <c r="L3346" s="14">
        <f>IF(ISNUMBER(SEARCH(Лист2!$B$5,I:I)),1,0)+K3346</f>
        <v>0</v>
      </c>
      <c r="M3346" s="3">
        <f ca="1">IF(AND(N3346&lt;&gt;N3345,ISNUMBER(SEARCH(Лист2!$B$6,N:N)),L3346=2),MAX($M$3:OFFSET(M3346,-1,0))+1,0)</f>
        <v>0</v>
      </c>
      <c r="N3346" s="3" t="s">
        <v>2122</v>
      </c>
    </row>
    <row r="3347" spans="1:14" x14ac:dyDescent="0.25">
      <c r="A3347" s="1" t="s">
        <v>12149</v>
      </c>
      <c r="B3347" s="3" t="s">
        <v>6971</v>
      </c>
      <c r="C3347" s="2">
        <f ca="1">IF(ISNUMBER(SEARCH(Лист2!$B$4,D:D)),MAX($C$3:OFFSET(C3347,-1,0))+1,0)</f>
        <v>0</v>
      </c>
      <c r="E3347" s="9" t="str">
        <f t="shared" ca="1" si="64"/>
        <v/>
      </c>
      <c r="F3347" s="4" t="s">
        <v>9</v>
      </c>
      <c r="G3347" s="2">
        <f>IF(ISNUMBER(SEARCH(Лист2!$B$4,F:F)),1,0)</f>
        <v>0</v>
      </c>
      <c r="H3347" s="3">
        <f ca="1">IF(AND(I3347&lt;&gt;I3346,ISNUMBER(SEARCH(Лист2!$B$5,I:I)),G3347=1),MAX($H$3:OFFSET(H3347,-1,0))+1,0)</f>
        <v>0</v>
      </c>
      <c r="I3347" s="3" t="s">
        <v>291</v>
      </c>
      <c r="K3347" s="2">
        <f>IF(ISNUMBER(SEARCH(Лист2!$B$4,F:F)),1,0)</f>
        <v>0</v>
      </c>
      <c r="L3347" s="14">
        <f>IF(ISNUMBER(SEARCH(Лист2!$B$5,I:I)),1,0)+K3347</f>
        <v>0</v>
      </c>
      <c r="M3347" s="3">
        <f ca="1">IF(AND(N3347&lt;&gt;N3346,ISNUMBER(SEARCH(Лист2!$B$6,N:N)),L3347=2),MAX($M$3:OFFSET(M3347,-1,0))+1,0)</f>
        <v>0</v>
      </c>
      <c r="N3347" s="3" t="s">
        <v>2054</v>
      </c>
    </row>
    <row r="3348" spans="1:14" x14ac:dyDescent="0.25">
      <c r="A3348" s="1" t="s">
        <v>12150</v>
      </c>
      <c r="B3348" s="3" t="s">
        <v>6972</v>
      </c>
      <c r="C3348" s="2">
        <f ca="1">IF(ISNUMBER(SEARCH(Лист2!$B$4,D:D)),MAX($C$3:OFFSET(C3348,-1,0))+1,0)</f>
        <v>0</v>
      </c>
      <c r="E3348" s="9" t="str">
        <f t="shared" ca="1" si="64"/>
        <v/>
      </c>
      <c r="F3348" s="4" t="s">
        <v>9</v>
      </c>
      <c r="G3348" s="2">
        <f>IF(ISNUMBER(SEARCH(Лист2!$B$4,F:F)),1,0)</f>
        <v>0</v>
      </c>
      <c r="H3348" s="3">
        <f ca="1">IF(AND(I3348&lt;&gt;I3347,ISNUMBER(SEARCH(Лист2!$B$5,I:I)),G3348=1),MAX($H$3:OFFSET(H3348,-1,0))+1,0)</f>
        <v>0</v>
      </c>
      <c r="I3348" s="3" t="s">
        <v>291</v>
      </c>
      <c r="K3348" s="2">
        <f>IF(ISNUMBER(SEARCH(Лист2!$B$4,F:F)),1,0)</f>
        <v>0</v>
      </c>
      <c r="L3348" s="14">
        <f>IF(ISNUMBER(SEARCH(Лист2!$B$5,I:I)),1,0)+K3348</f>
        <v>0</v>
      </c>
      <c r="M3348" s="3">
        <f ca="1">IF(AND(N3348&lt;&gt;N3347,ISNUMBER(SEARCH(Лист2!$B$6,N:N)),L3348=2),MAX($M$3:OFFSET(M3348,-1,0))+1,0)</f>
        <v>0</v>
      </c>
      <c r="N3348" s="3" t="s">
        <v>2123</v>
      </c>
    </row>
    <row r="3349" spans="1:14" x14ac:dyDescent="0.25">
      <c r="A3349" s="1" t="s">
        <v>12151</v>
      </c>
      <c r="B3349" s="3" t="s">
        <v>6973</v>
      </c>
      <c r="C3349" s="2">
        <f ca="1">IF(ISNUMBER(SEARCH(Лист2!$B$4,D:D)),MAX($C$3:OFFSET(C3349,-1,0))+1,0)</f>
        <v>0</v>
      </c>
      <c r="E3349" s="9" t="str">
        <f t="shared" ca="1" si="64"/>
        <v/>
      </c>
      <c r="F3349" s="4" t="s">
        <v>9</v>
      </c>
      <c r="G3349" s="2">
        <f>IF(ISNUMBER(SEARCH(Лист2!$B$4,F:F)),1,0)</f>
        <v>0</v>
      </c>
      <c r="H3349" s="3">
        <f ca="1">IF(AND(I3349&lt;&gt;I3348,ISNUMBER(SEARCH(Лист2!$B$5,I:I)),G3349=1),MAX($H$3:OFFSET(H3349,-1,0))+1,0)</f>
        <v>0</v>
      </c>
      <c r="I3349" s="3" t="s">
        <v>291</v>
      </c>
      <c r="K3349" s="2">
        <f>IF(ISNUMBER(SEARCH(Лист2!$B$4,F:F)),1,0)</f>
        <v>0</v>
      </c>
      <c r="L3349" s="14">
        <f>IF(ISNUMBER(SEARCH(Лист2!$B$5,I:I)),1,0)+K3349</f>
        <v>0</v>
      </c>
      <c r="M3349" s="3">
        <f ca="1">IF(AND(N3349&lt;&gt;N3348,ISNUMBER(SEARCH(Лист2!$B$6,N:N)),L3349=2),MAX($M$3:OFFSET(M3349,-1,0))+1,0)</f>
        <v>0</v>
      </c>
      <c r="N3349" s="3" t="s">
        <v>2124</v>
      </c>
    </row>
    <row r="3350" spans="1:14" x14ac:dyDescent="0.25">
      <c r="A3350" s="1" t="s">
        <v>12152</v>
      </c>
      <c r="B3350" s="3" t="s">
        <v>6974</v>
      </c>
      <c r="C3350" s="2">
        <f ca="1">IF(ISNUMBER(SEARCH(Лист2!$B$4,D:D)),MAX($C$3:OFFSET(C3350,-1,0))+1,0)</f>
        <v>0</v>
      </c>
      <c r="E3350" s="9" t="str">
        <f t="shared" ca="1" si="64"/>
        <v/>
      </c>
      <c r="F3350" s="4" t="s">
        <v>9</v>
      </c>
      <c r="G3350" s="2">
        <f>IF(ISNUMBER(SEARCH(Лист2!$B$4,F:F)),1,0)</f>
        <v>0</v>
      </c>
      <c r="H3350" s="3">
        <f ca="1">IF(AND(I3350&lt;&gt;I3349,ISNUMBER(SEARCH(Лист2!$B$5,I:I)),G3350=1),MAX($H$3:OFFSET(H3350,-1,0))+1,0)</f>
        <v>0</v>
      </c>
      <c r="I3350" s="3" t="s">
        <v>291</v>
      </c>
      <c r="K3350" s="2">
        <f>IF(ISNUMBER(SEARCH(Лист2!$B$4,F:F)),1,0)</f>
        <v>0</v>
      </c>
      <c r="L3350" s="14">
        <f>IF(ISNUMBER(SEARCH(Лист2!$B$5,I:I)),1,0)+K3350</f>
        <v>0</v>
      </c>
      <c r="M3350" s="3">
        <f ca="1">IF(AND(N3350&lt;&gt;N3349,ISNUMBER(SEARCH(Лист2!$B$6,N:N)),L3350=2),MAX($M$3:OFFSET(M3350,-1,0))+1,0)</f>
        <v>0</v>
      </c>
      <c r="N3350" s="3" t="s">
        <v>2125</v>
      </c>
    </row>
    <row r="3351" spans="1:14" x14ac:dyDescent="0.25">
      <c r="A3351" s="1" t="s">
        <v>12153</v>
      </c>
      <c r="B3351" s="3" t="s">
        <v>6975</v>
      </c>
      <c r="C3351" s="2">
        <f ca="1">IF(ISNUMBER(SEARCH(Лист2!$B$4,D:D)),MAX($C$3:OFFSET(C3351,-1,0))+1,0)</f>
        <v>0</v>
      </c>
      <c r="E3351" s="9" t="str">
        <f t="shared" ca="1" si="64"/>
        <v/>
      </c>
      <c r="F3351" s="4" t="s">
        <v>9</v>
      </c>
      <c r="G3351" s="2">
        <f>IF(ISNUMBER(SEARCH(Лист2!$B$4,F:F)),1,0)</f>
        <v>0</v>
      </c>
      <c r="H3351" s="3">
        <f ca="1">IF(AND(I3351&lt;&gt;I3350,ISNUMBER(SEARCH(Лист2!$B$5,I:I)),G3351=1),MAX($H$3:OFFSET(H3351,-1,0))+1,0)</f>
        <v>0</v>
      </c>
      <c r="I3351" s="3" t="s">
        <v>291</v>
      </c>
      <c r="K3351" s="2">
        <f>IF(ISNUMBER(SEARCH(Лист2!$B$4,F:F)),1,0)</f>
        <v>0</v>
      </c>
      <c r="L3351" s="14">
        <f>IF(ISNUMBER(SEARCH(Лист2!$B$5,I:I)),1,0)+K3351</f>
        <v>0</v>
      </c>
      <c r="M3351" s="3">
        <f ca="1">IF(AND(N3351&lt;&gt;N3350,ISNUMBER(SEARCH(Лист2!$B$6,N:N)),L3351=2),MAX($M$3:OFFSET(M3351,-1,0))+1,0)</f>
        <v>0</v>
      </c>
      <c r="N3351" s="3" t="s">
        <v>2126</v>
      </c>
    </row>
    <row r="3352" spans="1:14" x14ac:dyDescent="0.25">
      <c r="A3352" s="1" t="s">
        <v>12154</v>
      </c>
      <c r="B3352" s="3" t="s">
        <v>6976</v>
      </c>
      <c r="C3352" s="2">
        <f ca="1">IF(ISNUMBER(SEARCH(Лист2!$B$4,D:D)),MAX($C$3:OFFSET(C3352,-1,0))+1,0)</f>
        <v>0</v>
      </c>
      <c r="E3352" s="9" t="str">
        <f t="shared" ca="1" si="64"/>
        <v/>
      </c>
      <c r="F3352" s="4" t="s">
        <v>9</v>
      </c>
      <c r="G3352" s="2">
        <f>IF(ISNUMBER(SEARCH(Лист2!$B$4,F:F)),1,0)</f>
        <v>0</v>
      </c>
      <c r="H3352" s="3">
        <f ca="1">IF(AND(I3352&lt;&gt;I3351,ISNUMBER(SEARCH(Лист2!$B$5,I:I)),G3352=1),MAX($H$3:OFFSET(H3352,-1,0))+1,0)</f>
        <v>0</v>
      </c>
      <c r="I3352" s="3" t="s">
        <v>291</v>
      </c>
      <c r="K3352" s="2">
        <f>IF(ISNUMBER(SEARCH(Лист2!$B$4,F:F)),1,0)</f>
        <v>0</v>
      </c>
      <c r="L3352" s="14">
        <f>IF(ISNUMBER(SEARCH(Лист2!$B$5,I:I)),1,0)+K3352</f>
        <v>0</v>
      </c>
      <c r="M3352" s="3">
        <f ca="1">IF(AND(N3352&lt;&gt;N3351,ISNUMBER(SEARCH(Лист2!$B$6,N:N)),L3352=2),MAX($M$3:OFFSET(M3352,-1,0))+1,0)</f>
        <v>0</v>
      </c>
      <c r="N3352" s="3" t="s">
        <v>2127</v>
      </c>
    </row>
    <row r="3353" spans="1:14" x14ac:dyDescent="0.25">
      <c r="A3353" s="1" t="s">
        <v>12155</v>
      </c>
      <c r="B3353" s="3" t="s">
        <v>6977</v>
      </c>
      <c r="C3353" s="2">
        <f ca="1">IF(ISNUMBER(SEARCH(Лист2!$B$4,D:D)),MAX($C$3:OFFSET(C3353,-1,0))+1,0)</f>
        <v>0</v>
      </c>
      <c r="E3353" s="9" t="str">
        <f t="shared" ca="1" si="64"/>
        <v/>
      </c>
      <c r="F3353" s="4" t="s">
        <v>9</v>
      </c>
      <c r="G3353" s="2">
        <f>IF(ISNUMBER(SEARCH(Лист2!$B$4,F:F)),1,0)</f>
        <v>0</v>
      </c>
      <c r="H3353" s="3">
        <f ca="1">IF(AND(I3353&lt;&gt;I3352,ISNUMBER(SEARCH(Лист2!$B$5,I:I)),G3353=1),MAX($H$3:OFFSET(H3353,-1,0))+1,0)</f>
        <v>0</v>
      </c>
      <c r="I3353" s="3" t="s">
        <v>291</v>
      </c>
      <c r="K3353" s="2">
        <f>IF(ISNUMBER(SEARCH(Лист2!$B$4,F:F)),1,0)</f>
        <v>0</v>
      </c>
      <c r="L3353" s="14">
        <f>IF(ISNUMBER(SEARCH(Лист2!$B$5,I:I)),1,0)+K3353</f>
        <v>0</v>
      </c>
      <c r="M3353" s="3">
        <f ca="1">IF(AND(N3353&lt;&gt;N3352,ISNUMBER(SEARCH(Лист2!$B$6,N:N)),L3353=2),MAX($M$3:OFFSET(M3353,-1,0))+1,0)</f>
        <v>0</v>
      </c>
      <c r="N3353" s="3" t="s">
        <v>2128</v>
      </c>
    </row>
    <row r="3354" spans="1:14" x14ac:dyDescent="0.25">
      <c r="A3354" s="1" t="s">
        <v>12156</v>
      </c>
      <c r="B3354" s="3" t="s">
        <v>6978</v>
      </c>
      <c r="C3354" s="2">
        <f ca="1">IF(ISNUMBER(SEARCH(Лист2!$B$4,D:D)),MAX($C$3:OFFSET(C3354,-1,0))+1,0)</f>
        <v>0</v>
      </c>
      <c r="E3354" s="9" t="str">
        <f t="shared" ca="1" si="64"/>
        <v/>
      </c>
      <c r="F3354" s="4" t="s">
        <v>9</v>
      </c>
      <c r="G3354" s="2">
        <f>IF(ISNUMBER(SEARCH(Лист2!$B$4,F:F)),1,0)</f>
        <v>0</v>
      </c>
      <c r="H3354" s="3">
        <f ca="1">IF(AND(I3354&lt;&gt;I3353,ISNUMBER(SEARCH(Лист2!$B$5,I:I)),G3354=1),MAX($H$3:OFFSET(H3354,-1,0))+1,0)</f>
        <v>0</v>
      </c>
      <c r="I3354" s="3" t="s">
        <v>291</v>
      </c>
      <c r="K3354" s="2">
        <f>IF(ISNUMBER(SEARCH(Лист2!$B$4,F:F)),1,0)</f>
        <v>0</v>
      </c>
      <c r="L3354" s="14">
        <f>IF(ISNUMBER(SEARCH(Лист2!$B$5,I:I)),1,0)+K3354</f>
        <v>0</v>
      </c>
      <c r="M3354" s="3">
        <f ca="1">IF(AND(N3354&lt;&gt;N3353,ISNUMBER(SEARCH(Лист2!$B$6,N:N)),L3354=2),MAX($M$3:OFFSET(M3354,-1,0))+1,0)</f>
        <v>0</v>
      </c>
      <c r="N3354" s="3" t="s">
        <v>2129</v>
      </c>
    </row>
    <row r="3355" spans="1:14" x14ac:dyDescent="0.25">
      <c r="A3355" s="1" t="s">
        <v>12157</v>
      </c>
      <c r="B3355" s="3" t="s">
        <v>6979</v>
      </c>
      <c r="C3355" s="2">
        <f ca="1">IF(ISNUMBER(SEARCH(Лист2!$B$4,D:D)),MAX($C$3:OFFSET(C3355,-1,0))+1,0)</f>
        <v>0</v>
      </c>
      <c r="E3355" s="9" t="str">
        <f t="shared" ca="1" si="64"/>
        <v/>
      </c>
      <c r="F3355" s="4" t="s">
        <v>9</v>
      </c>
      <c r="G3355" s="2">
        <f>IF(ISNUMBER(SEARCH(Лист2!$B$4,F:F)),1,0)</f>
        <v>0</v>
      </c>
      <c r="H3355" s="3">
        <f ca="1">IF(AND(I3355&lt;&gt;I3354,ISNUMBER(SEARCH(Лист2!$B$5,I:I)),G3355=1),MAX($H$3:OFFSET(H3355,-1,0))+1,0)</f>
        <v>0</v>
      </c>
      <c r="I3355" s="3" t="s">
        <v>291</v>
      </c>
      <c r="K3355" s="2">
        <f>IF(ISNUMBER(SEARCH(Лист2!$B$4,F:F)),1,0)</f>
        <v>0</v>
      </c>
      <c r="L3355" s="14">
        <f>IF(ISNUMBER(SEARCH(Лист2!$B$5,I:I)),1,0)+K3355</f>
        <v>0</v>
      </c>
      <c r="M3355" s="3">
        <f ca="1">IF(AND(N3355&lt;&gt;N3354,ISNUMBER(SEARCH(Лист2!$B$6,N:N)),L3355=2),MAX($M$3:OFFSET(M3355,-1,0))+1,0)</f>
        <v>0</v>
      </c>
      <c r="N3355" s="3" t="s">
        <v>2130</v>
      </c>
    </row>
    <row r="3356" spans="1:14" x14ac:dyDescent="0.25">
      <c r="A3356" s="1" t="s">
        <v>12158</v>
      </c>
      <c r="B3356" s="3" t="s">
        <v>6980</v>
      </c>
      <c r="C3356" s="2">
        <f ca="1">IF(ISNUMBER(SEARCH(Лист2!$B$4,D:D)),MAX($C$3:OFFSET(C3356,-1,0))+1,0)</f>
        <v>0</v>
      </c>
      <c r="E3356" s="9" t="str">
        <f t="shared" ca="1" si="64"/>
        <v/>
      </c>
      <c r="F3356" s="4" t="s">
        <v>9</v>
      </c>
      <c r="G3356" s="2">
        <f>IF(ISNUMBER(SEARCH(Лист2!$B$4,F:F)),1,0)</f>
        <v>0</v>
      </c>
      <c r="H3356" s="3">
        <f ca="1">IF(AND(I3356&lt;&gt;I3355,ISNUMBER(SEARCH(Лист2!$B$5,I:I)),G3356=1),MAX($H$3:OFFSET(H3356,-1,0))+1,0)</f>
        <v>0</v>
      </c>
      <c r="I3356" s="3" t="s">
        <v>292</v>
      </c>
      <c r="K3356" s="2">
        <f>IF(ISNUMBER(SEARCH(Лист2!$B$4,F:F)),1,0)</f>
        <v>0</v>
      </c>
      <c r="L3356" s="14">
        <f>IF(ISNUMBER(SEARCH(Лист2!$B$5,I:I)),1,0)+K3356</f>
        <v>0</v>
      </c>
      <c r="M3356" s="3">
        <f ca="1">IF(AND(N3356&lt;&gt;N3355,ISNUMBER(SEARCH(Лист2!$B$6,N:N)),L3356=2),MAX($M$3:OFFSET(M3356,-1,0))+1,0)</f>
        <v>0</v>
      </c>
      <c r="N3356" s="3" t="s">
        <v>2114</v>
      </c>
    </row>
    <row r="3357" spans="1:14" x14ac:dyDescent="0.25">
      <c r="A3357" s="1" t="s">
        <v>12159</v>
      </c>
      <c r="B3357" s="3" t="s">
        <v>6981</v>
      </c>
      <c r="C3357" s="2">
        <f ca="1">IF(ISNUMBER(SEARCH(Лист2!$B$4,D:D)),MAX($C$3:OFFSET(C3357,-1,0))+1,0)</f>
        <v>0</v>
      </c>
      <c r="E3357" s="9" t="str">
        <f t="shared" ca="1" si="64"/>
        <v/>
      </c>
      <c r="F3357" s="4" t="s">
        <v>9</v>
      </c>
      <c r="G3357" s="2">
        <f>IF(ISNUMBER(SEARCH(Лист2!$B$4,F:F)),1,0)</f>
        <v>0</v>
      </c>
      <c r="H3357" s="3">
        <f ca="1">IF(AND(I3357&lt;&gt;I3356,ISNUMBER(SEARCH(Лист2!$B$5,I:I)),G3357=1),MAX($H$3:OFFSET(H3357,-1,0))+1,0)</f>
        <v>0</v>
      </c>
      <c r="I3357" s="3" t="s">
        <v>292</v>
      </c>
      <c r="K3357" s="2">
        <f>IF(ISNUMBER(SEARCH(Лист2!$B$4,F:F)),1,0)</f>
        <v>0</v>
      </c>
      <c r="L3357" s="14">
        <f>IF(ISNUMBER(SEARCH(Лист2!$B$5,I:I)),1,0)+K3357</f>
        <v>0</v>
      </c>
      <c r="M3357" s="3">
        <f ca="1">IF(AND(N3357&lt;&gt;N3356,ISNUMBER(SEARCH(Лист2!$B$6,N:N)),L3357=2),MAX($M$3:OFFSET(M3357,-1,0))+1,0)</f>
        <v>0</v>
      </c>
      <c r="N3357" s="3" t="s">
        <v>2115</v>
      </c>
    </row>
    <row r="3358" spans="1:14" x14ac:dyDescent="0.25">
      <c r="A3358" s="1" t="s">
        <v>12160</v>
      </c>
      <c r="B3358" s="3" t="s">
        <v>6982</v>
      </c>
      <c r="C3358" s="2">
        <f ca="1">IF(ISNUMBER(SEARCH(Лист2!$B$4,D:D)),MAX($C$3:OFFSET(C3358,-1,0))+1,0)</f>
        <v>0</v>
      </c>
      <c r="E3358" s="9" t="str">
        <f t="shared" ca="1" si="64"/>
        <v/>
      </c>
      <c r="F3358" s="4" t="s">
        <v>9</v>
      </c>
      <c r="G3358" s="2">
        <f>IF(ISNUMBER(SEARCH(Лист2!$B$4,F:F)),1,0)</f>
        <v>0</v>
      </c>
      <c r="H3358" s="3">
        <f ca="1">IF(AND(I3358&lt;&gt;I3357,ISNUMBER(SEARCH(Лист2!$B$5,I:I)),G3358=1),MAX($H$3:OFFSET(H3358,-1,0))+1,0)</f>
        <v>0</v>
      </c>
      <c r="I3358" s="3" t="s">
        <v>292</v>
      </c>
      <c r="K3358" s="2">
        <f>IF(ISNUMBER(SEARCH(Лист2!$B$4,F:F)),1,0)</f>
        <v>0</v>
      </c>
      <c r="L3358" s="14">
        <f>IF(ISNUMBER(SEARCH(Лист2!$B$5,I:I)),1,0)+K3358</f>
        <v>0</v>
      </c>
      <c r="M3358" s="3">
        <f ca="1">IF(AND(N3358&lt;&gt;N3357,ISNUMBER(SEARCH(Лист2!$B$6,N:N)),L3358=2),MAX($M$3:OFFSET(M3358,-1,0))+1,0)</f>
        <v>0</v>
      </c>
      <c r="N3358" s="3" t="s">
        <v>2116</v>
      </c>
    </row>
    <row r="3359" spans="1:14" x14ac:dyDescent="0.25">
      <c r="A3359" s="1" t="s">
        <v>12161</v>
      </c>
      <c r="B3359" s="3" t="s">
        <v>6983</v>
      </c>
      <c r="C3359" s="2">
        <f ca="1">IF(ISNUMBER(SEARCH(Лист2!$B$4,D:D)),MAX($C$3:OFFSET(C3359,-1,0))+1,0)</f>
        <v>0</v>
      </c>
      <c r="E3359" s="9" t="str">
        <f t="shared" ca="1" si="64"/>
        <v/>
      </c>
      <c r="F3359" s="4" t="s">
        <v>9</v>
      </c>
      <c r="G3359" s="2">
        <f>IF(ISNUMBER(SEARCH(Лист2!$B$4,F:F)),1,0)</f>
        <v>0</v>
      </c>
      <c r="H3359" s="3">
        <f ca="1">IF(AND(I3359&lt;&gt;I3358,ISNUMBER(SEARCH(Лист2!$B$5,I:I)),G3359=1),MAX($H$3:OFFSET(H3359,-1,0))+1,0)</f>
        <v>0</v>
      </c>
      <c r="I3359" s="3" t="s">
        <v>292</v>
      </c>
      <c r="K3359" s="2">
        <f>IF(ISNUMBER(SEARCH(Лист2!$B$4,F:F)),1,0)</f>
        <v>0</v>
      </c>
      <c r="L3359" s="14">
        <f>IF(ISNUMBER(SEARCH(Лист2!$B$5,I:I)),1,0)+K3359</f>
        <v>0</v>
      </c>
      <c r="M3359" s="3">
        <f ca="1">IF(AND(N3359&lt;&gt;N3358,ISNUMBER(SEARCH(Лист2!$B$6,N:N)),L3359=2),MAX($M$3:OFFSET(M3359,-1,0))+1,0)</f>
        <v>0</v>
      </c>
      <c r="N3359" s="3" t="s">
        <v>2117</v>
      </c>
    </row>
    <row r="3360" spans="1:14" x14ac:dyDescent="0.25">
      <c r="A3360" s="1" t="s">
        <v>12162</v>
      </c>
      <c r="B3360" s="3" t="s">
        <v>6984</v>
      </c>
      <c r="C3360" s="2">
        <f ca="1">IF(ISNUMBER(SEARCH(Лист2!$B$4,D:D)),MAX($C$3:OFFSET(C3360,-1,0))+1,0)</f>
        <v>0</v>
      </c>
      <c r="E3360" s="9" t="str">
        <f t="shared" ca="1" si="64"/>
        <v/>
      </c>
      <c r="F3360" s="4" t="s">
        <v>9</v>
      </c>
      <c r="G3360" s="2">
        <f>IF(ISNUMBER(SEARCH(Лист2!$B$4,F:F)),1,0)</f>
        <v>0</v>
      </c>
      <c r="H3360" s="3">
        <f ca="1">IF(AND(I3360&lt;&gt;I3359,ISNUMBER(SEARCH(Лист2!$B$5,I:I)),G3360=1),MAX($H$3:OFFSET(H3360,-1,0))+1,0)</f>
        <v>0</v>
      </c>
      <c r="I3360" s="3" t="s">
        <v>292</v>
      </c>
      <c r="K3360" s="2">
        <f>IF(ISNUMBER(SEARCH(Лист2!$B$4,F:F)),1,0)</f>
        <v>0</v>
      </c>
      <c r="L3360" s="14">
        <f>IF(ISNUMBER(SEARCH(Лист2!$B$5,I:I)),1,0)+K3360</f>
        <v>0</v>
      </c>
      <c r="M3360" s="3">
        <f ca="1">IF(AND(N3360&lt;&gt;N3359,ISNUMBER(SEARCH(Лист2!$B$6,N:N)),L3360=2),MAX($M$3:OFFSET(M3360,-1,0))+1,0)</f>
        <v>0</v>
      </c>
      <c r="N3360" s="3" t="s">
        <v>2131</v>
      </c>
    </row>
    <row r="3361" spans="1:14" x14ac:dyDescent="0.25">
      <c r="A3361" s="1" t="s">
        <v>12163</v>
      </c>
      <c r="B3361" s="3" t="s">
        <v>6985</v>
      </c>
      <c r="C3361" s="2">
        <f ca="1">IF(ISNUMBER(SEARCH(Лист2!$B$4,D:D)),MAX($C$3:OFFSET(C3361,-1,0))+1,0)</f>
        <v>0</v>
      </c>
      <c r="E3361" s="9" t="str">
        <f t="shared" ca="1" si="64"/>
        <v/>
      </c>
      <c r="F3361" s="4" t="s">
        <v>9</v>
      </c>
      <c r="G3361" s="2">
        <f>IF(ISNUMBER(SEARCH(Лист2!$B$4,F:F)),1,0)</f>
        <v>0</v>
      </c>
      <c r="H3361" s="3">
        <f ca="1">IF(AND(I3361&lt;&gt;I3360,ISNUMBER(SEARCH(Лист2!$B$5,I:I)),G3361=1),MAX($H$3:OFFSET(H3361,-1,0))+1,0)</f>
        <v>0</v>
      </c>
      <c r="I3361" s="3" t="s">
        <v>292</v>
      </c>
      <c r="K3361" s="2">
        <f>IF(ISNUMBER(SEARCH(Лист2!$B$4,F:F)),1,0)</f>
        <v>0</v>
      </c>
      <c r="L3361" s="14">
        <f>IF(ISNUMBER(SEARCH(Лист2!$B$5,I:I)),1,0)+K3361</f>
        <v>0</v>
      </c>
      <c r="M3361" s="3">
        <f ca="1">IF(AND(N3361&lt;&gt;N3360,ISNUMBER(SEARCH(Лист2!$B$6,N:N)),L3361=2),MAX($M$3:OFFSET(M3361,-1,0))+1,0)</f>
        <v>0</v>
      </c>
      <c r="N3361" s="3" t="s">
        <v>1385</v>
      </c>
    </row>
    <row r="3362" spans="1:14" x14ac:dyDescent="0.25">
      <c r="A3362" s="1" t="s">
        <v>12164</v>
      </c>
      <c r="B3362" s="3" t="s">
        <v>6986</v>
      </c>
      <c r="C3362" s="2">
        <f ca="1">IF(ISNUMBER(SEARCH(Лист2!$B$4,D:D)),MAX($C$3:OFFSET(C3362,-1,0))+1,0)</f>
        <v>0</v>
      </c>
      <c r="E3362" s="9" t="str">
        <f t="shared" ca="1" si="64"/>
        <v/>
      </c>
      <c r="F3362" s="4" t="s">
        <v>9</v>
      </c>
      <c r="G3362" s="2">
        <f>IF(ISNUMBER(SEARCH(Лист2!$B$4,F:F)),1,0)</f>
        <v>0</v>
      </c>
      <c r="H3362" s="3">
        <f ca="1">IF(AND(I3362&lt;&gt;I3361,ISNUMBER(SEARCH(Лист2!$B$5,I:I)),G3362=1),MAX($H$3:OFFSET(H3362,-1,0))+1,0)</f>
        <v>0</v>
      </c>
      <c r="I3362" s="3" t="s">
        <v>292</v>
      </c>
      <c r="K3362" s="2">
        <f>IF(ISNUMBER(SEARCH(Лист2!$B$4,F:F)),1,0)</f>
        <v>0</v>
      </c>
      <c r="L3362" s="14">
        <f>IF(ISNUMBER(SEARCH(Лист2!$B$5,I:I)),1,0)+K3362</f>
        <v>0</v>
      </c>
      <c r="M3362" s="3">
        <f ca="1">IF(AND(N3362&lt;&gt;N3361,ISNUMBER(SEARCH(Лист2!$B$6,N:N)),L3362=2),MAX($M$3:OFFSET(M3362,-1,0))+1,0)</f>
        <v>0</v>
      </c>
      <c r="N3362" s="3" t="s">
        <v>602</v>
      </c>
    </row>
    <row r="3363" spans="1:14" x14ac:dyDescent="0.25">
      <c r="A3363" s="1" t="s">
        <v>12165</v>
      </c>
      <c r="B3363" s="3" t="s">
        <v>6987</v>
      </c>
      <c r="C3363" s="2">
        <f ca="1">IF(ISNUMBER(SEARCH(Лист2!$B$4,D:D)),MAX($C$3:OFFSET(C3363,-1,0))+1,0)</f>
        <v>0</v>
      </c>
      <c r="E3363" s="9" t="str">
        <f t="shared" ca="1" si="64"/>
        <v/>
      </c>
      <c r="F3363" s="4" t="s">
        <v>9</v>
      </c>
      <c r="G3363" s="2">
        <f>IF(ISNUMBER(SEARCH(Лист2!$B$4,F:F)),1,0)</f>
        <v>0</v>
      </c>
      <c r="H3363" s="3">
        <f ca="1">IF(AND(I3363&lt;&gt;I3362,ISNUMBER(SEARCH(Лист2!$B$5,I:I)),G3363=1),MAX($H$3:OFFSET(H3363,-1,0))+1,0)</f>
        <v>0</v>
      </c>
      <c r="I3363" s="3" t="s">
        <v>292</v>
      </c>
      <c r="K3363" s="2">
        <f>IF(ISNUMBER(SEARCH(Лист2!$B$4,F:F)),1,0)</f>
        <v>0</v>
      </c>
      <c r="L3363" s="14">
        <f>IF(ISNUMBER(SEARCH(Лист2!$B$5,I:I)),1,0)+K3363</f>
        <v>0</v>
      </c>
      <c r="M3363" s="3">
        <f ca="1">IF(AND(N3363&lt;&gt;N3362,ISNUMBER(SEARCH(Лист2!$B$6,N:N)),L3363=2),MAX($M$3:OFFSET(M3363,-1,0))+1,0)</f>
        <v>0</v>
      </c>
      <c r="N3363" s="3" t="s">
        <v>2119</v>
      </c>
    </row>
    <row r="3364" spans="1:14" x14ac:dyDescent="0.25">
      <c r="A3364" s="1" t="s">
        <v>12166</v>
      </c>
      <c r="B3364" s="3" t="s">
        <v>6988</v>
      </c>
      <c r="C3364" s="2">
        <f ca="1">IF(ISNUMBER(SEARCH(Лист2!$B$4,D:D)),MAX($C$3:OFFSET(C3364,-1,0))+1,0)</f>
        <v>0</v>
      </c>
      <c r="E3364" s="9" t="str">
        <f t="shared" ca="1" si="64"/>
        <v/>
      </c>
      <c r="F3364" s="4" t="s">
        <v>9</v>
      </c>
      <c r="G3364" s="2">
        <f>IF(ISNUMBER(SEARCH(Лист2!$B$4,F:F)),1,0)</f>
        <v>0</v>
      </c>
      <c r="H3364" s="3">
        <f ca="1">IF(AND(I3364&lt;&gt;I3363,ISNUMBER(SEARCH(Лист2!$B$5,I:I)),G3364=1),MAX($H$3:OFFSET(H3364,-1,0))+1,0)</f>
        <v>0</v>
      </c>
      <c r="I3364" s="3" t="s">
        <v>292</v>
      </c>
      <c r="K3364" s="2">
        <f>IF(ISNUMBER(SEARCH(Лист2!$B$4,F:F)),1,0)</f>
        <v>0</v>
      </c>
      <c r="L3364" s="14">
        <f>IF(ISNUMBER(SEARCH(Лист2!$B$5,I:I)),1,0)+K3364</f>
        <v>0</v>
      </c>
      <c r="M3364" s="3">
        <f ca="1">IF(AND(N3364&lt;&gt;N3363,ISNUMBER(SEARCH(Лист2!$B$6,N:N)),L3364=2),MAX($M$3:OFFSET(M3364,-1,0))+1,0)</f>
        <v>0</v>
      </c>
      <c r="N3364" s="3" t="s">
        <v>2120</v>
      </c>
    </row>
    <row r="3365" spans="1:14" x14ac:dyDescent="0.25">
      <c r="A3365" s="1" t="s">
        <v>12167</v>
      </c>
      <c r="B3365" s="3" t="s">
        <v>6989</v>
      </c>
      <c r="C3365" s="2">
        <f ca="1">IF(ISNUMBER(SEARCH(Лист2!$B$4,D:D)),MAX($C$3:OFFSET(C3365,-1,0))+1,0)</f>
        <v>0</v>
      </c>
      <c r="E3365" s="9" t="str">
        <f t="shared" ca="1" si="64"/>
        <v/>
      </c>
      <c r="F3365" s="4" t="s">
        <v>9</v>
      </c>
      <c r="G3365" s="2">
        <f>IF(ISNUMBER(SEARCH(Лист2!$B$4,F:F)),1,0)</f>
        <v>0</v>
      </c>
      <c r="H3365" s="3">
        <f ca="1">IF(AND(I3365&lt;&gt;I3364,ISNUMBER(SEARCH(Лист2!$B$5,I:I)),G3365=1),MAX($H$3:OFFSET(H3365,-1,0))+1,0)</f>
        <v>0</v>
      </c>
      <c r="I3365" s="3" t="s">
        <v>292</v>
      </c>
      <c r="K3365" s="2">
        <f>IF(ISNUMBER(SEARCH(Лист2!$B$4,F:F)),1,0)</f>
        <v>0</v>
      </c>
      <c r="L3365" s="14">
        <f>IF(ISNUMBER(SEARCH(Лист2!$B$5,I:I)),1,0)+K3365</f>
        <v>0</v>
      </c>
      <c r="M3365" s="3">
        <f ca="1">IF(AND(N3365&lt;&gt;N3364,ISNUMBER(SEARCH(Лист2!$B$6,N:N)),L3365=2),MAX($M$3:OFFSET(M3365,-1,0))+1,0)</f>
        <v>0</v>
      </c>
      <c r="N3365" s="3" t="s">
        <v>2121</v>
      </c>
    </row>
    <row r="3366" spans="1:14" x14ac:dyDescent="0.25">
      <c r="A3366" s="1" t="s">
        <v>12168</v>
      </c>
      <c r="B3366" s="3" t="s">
        <v>6990</v>
      </c>
      <c r="C3366" s="2">
        <f ca="1">IF(ISNUMBER(SEARCH(Лист2!$B$4,D:D)),MAX($C$3:OFFSET(C3366,-1,0))+1,0)</f>
        <v>0</v>
      </c>
      <c r="E3366" s="9" t="str">
        <f t="shared" ca="1" si="64"/>
        <v/>
      </c>
      <c r="F3366" s="4" t="s">
        <v>9</v>
      </c>
      <c r="G3366" s="2">
        <f>IF(ISNUMBER(SEARCH(Лист2!$B$4,F:F)),1,0)</f>
        <v>0</v>
      </c>
      <c r="H3366" s="3">
        <f ca="1">IF(AND(I3366&lt;&gt;I3365,ISNUMBER(SEARCH(Лист2!$B$5,I:I)),G3366=1),MAX($H$3:OFFSET(H3366,-1,0))+1,0)</f>
        <v>0</v>
      </c>
      <c r="I3366" s="3" t="s">
        <v>292</v>
      </c>
      <c r="K3366" s="2">
        <f>IF(ISNUMBER(SEARCH(Лист2!$B$4,F:F)),1,0)</f>
        <v>0</v>
      </c>
      <c r="L3366" s="14">
        <f>IF(ISNUMBER(SEARCH(Лист2!$B$5,I:I)),1,0)+K3366</f>
        <v>0</v>
      </c>
      <c r="M3366" s="3">
        <f ca="1">IF(AND(N3366&lt;&gt;N3365,ISNUMBER(SEARCH(Лист2!$B$6,N:N)),L3366=2),MAX($M$3:OFFSET(M3366,-1,0))+1,0)</f>
        <v>0</v>
      </c>
      <c r="N3366" s="3" t="s">
        <v>2122</v>
      </c>
    </row>
    <row r="3367" spans="1:14" x14ac:dyDescent="0.25">
      <c r="A3367" s="1" t="s">
        <v>12169</v>
      </c>
      <c r="B3367" s="3" t="s">
        <v>6991</v>
      </c>
      <c r="C3367" s="2">
        <f ca="1">IF(ISNUMBER(SEARCH(Лист2!$B$4,D:D)),MAX($C$3:OFFSET(C3367,-1,0))+1,0)</f>
        <v>0</v>
      </c>
      <c r="E3367" s="9" t="str">
        <f t="shared" ca="1" si="64"/>
        <v/>
      </c>
      <c r="F3367" s="4" t="s">
        <v>9</v>
      </c>
      <c r="G3367" s="2">
        <f>IF(ISNUMBER(SEARCH(Лист2!$B$4,F:F)),1,0)</f>
        <v>0</v>
      </c>
      <c r="H3367" s="3">
        <f ca="1">IF(AND(I3367&lt;&gt;I3366,ISNUMBER(SEARCH(Лист2!$B$5,I:I)),G3367=1),MAX($H$3:OFFSET(H3367,-1,0))+1,0)</f>
        <v>0</v>
      </c>
      <c r="I3367" s="3" t="s">
        <v>292</v>
      </c>
      <c r="K3367" s="2">
        <f>IF(ISNUMBER(SEARCH(Лист2!$B$4,F:F)),1,0)</f>
        <v>0</v>
      </c>
      <c r="L3367" s="14">
        <f>IF(ISNUMBER(SEARCH(Лист2!$B$5,I:I)),1,0)+K3367</f>
        <v>0</v>
      </c>
      <c r="M3367" s="3">
        <f ca="1">IF(AND(N3367&lt;&gt;N3366,ISNUMBER(SEARCH(Лист2!$B$6,N:N)),L3367=2),MAX($M$3:OFFSET(M3367,-1,0))+1,0)</f>
        <v>0</v>
      </c>
      <c r="N3367" s="3" t="s">
        <v>2054</v>
      </c>
    </row>
    <row r="3368" spans="1:14" x14ac:dyDescent="0.25">
      <c r="A3368" s="1" t="s">
        <v>12170</v>
      </c>
      <c r="B3368" s="3" t="s">
        <v>6992</v>
      </c>
      <c r="C3368" s="2">
        <f ca="1">IF(ISNUMBER(SEARCH(Лист2!$B$4,D:D)),MAX($C$3:OFFSET(C3368,-1,0))+1,0)</f>
        <v>0</v>
      </c>
      <c r="E3368" s="9" t="str">
        <f t="shared" ca="1" si="64"/>
        <v/>
      </c>
      <c r="F3368" s="4" t="s">
        <v>9</v>
      </c>
      <c r="G3368" s="2">
        <f>IF(ISNUMBER(SEARCH(Лист2!$B$4,F:F)),1,0)</f>
        <v>0</v>
      </c>
      <c r="H3368" s="3">
        <f ca="1">IF(AND(I3368&lt;&gt;I3367,ISNUMBER(SEARCH(Лист2!$B$5,I:I)),G3368=1),MAX($H$3:OFFSET(H3368,-1,0))+1,0)</f>
        <v>0</v>
      </c>
      <c r="I3368" s="3" t="s">
        <v>292</v>
      </c>
      <c r="K3368" s="2">
        <f>IF(ISNUMBER(SEARCH(Лист2!$B$4,F:F)),1,0)</f>
        <v>0</v>
      </c>
      <c r="L3368" s="14">
        <f>IF(ISNUMBER(SEARCH(Лист2!$B$5,I:I)),1,0)+K3368</f>
        <v>0</v>
      </c>
      <c r="M3368" s="3">
        <f ca="1">IF(AND(N3368&lt;&gt;N3367,ISNUMBER(SEARCH(Лист2!$B$6,N:N)),L3368=2),MAX($M$3:OFFSET(M3368,-1,0))+1,0)</f>
        <v>0</v>
      </c>
      <c r="N3368" s="3" t="s">
        <v>2132</v>
      </c>
    </row>
    <row r="3369" spans="1:14" x14ac:dyDescent="0.25">
      <c r="A3369" s="1" t="s">
        <v>12171</v>
      </c>
      <c r="B3369" s="3" t="s">
        <v>6993</v>
      </c>
      <c r="C3369" s="2">
        <f ca="1">IF(ISNUMBER(SEARCH(Лист2!$B$4,D:D)),MAX($C$3:OFFSET(C3369,-1,0))+1,0)</f>
        <v>0</v>
      </c>
      <c r="E3369" s="9" t="str">
        <f t="shared" ca="1" si="64"/>
        <v/>
      </c>
      <c r="F3369" s="4" t="s">
        <v>9</v>
      </c>
      <c r="G3369" s="2">
        <f>IF(ISNUMBER(SEARCH(Лист2!$B$4,F:F)),1,0)</f>
        <v>0</v>
      </c>
      <c r="H3369" s="3">
        <f ca="1">IF(AND(I3369&lt;&gt;I3368,ISNUMBER(SEARCH(Лист2!$B$5,I:I)),G3369=1),MAX($H$3:OFFSET(H3369,-1,0))+1,0)</f>
        <v>0</v>
      </c>
      <c r="I3369" s="3" t="s">
        <v>292</v>
      </c>
      <c r="K3369" s="2">
        <f>IF(ISNUMBER(SEARCH(Лист2!$B$4,F:F)),1,0)</f>
        <v>0</v>
      </c>
      <c r="L3369" s="14">
        <f>IF(ISNUMBER(SEARCH(Лист2!$B$5,I:I)),1,0)+K3369</f>
        <v>0</v>
      </c>
      <c r="M3369" s="3">
        <f ca="1">IF(AND(N3369&lt;&gt;N3368,ISNUMBER(SEARCH(Лист2!$B$6,N:N)),L3369=2),MAX($M$3:OFFSET(M3369,-1,0))+1,0)</f>
        <v>0</v>
      </c>
      <c r="N3369" s="3" t="s">
        <v>2125</v>
      </c>
    </row>
    <row r="3370" spans="1:14" x14ac:dyDescent="0.25">
      <c r="A3370" s="1" t="s">
        <v>12172</v>
      </c>
      <c r="B3370" s="3" t="s">
        <v>6994</v>
      </c>
      <c r="C3370" s="2">
        <f ca="1">IF(ISNUMBER(SEARCH(Лист2!$B$4,D:D)),MAX($C$3:OFFSET(C3370,-1,0))+1,0)</f>
        <v>0</v>
      </c>
      <c r="E3370" s="9" t="str">
        <f t="shared" ca="1" si="64"/>
        <v/>
      </c>
      <c r="F3370" s="4" t="s">
        <v>9</v>
      </c>
      <c r="G3370" s="2">
        <f>IF(ISNUMBER(SEARCH(Лист2!$B$4,F:F)),1,0)</f>
        <v>0</v>
      </c>
      <c r="H3370" s="3">
        <f ca="1">IF(AND(I3370&lt;&gt;I3369,ISNUMBER(SEARCH(Лист2!$B$5,I:I)),G3370=1),MAX($H$3:OFFSET(H3370,-1,0))+1,0)</f>
        <v>0</v>
      </c>
      <c r="I3370" s="3" t="s">
        <v>292</v>
      </c>
      <c r="K3370" s="2">
        <f>IF(ISNUMBER(SEARCH(Лист2!$B$4,F:F)),1,0)</f>
        <v>0</v>
      </c>
      <c r="L3370" s="14">
        <f>IF(ISNUMBER(SEARCH(Лист2!$B$5,I:I)),1,0)+K3370</f>
        <v>0</v>
      </c>
      <c r="M3370" s="3">
        <f ca="1">IF(AND(N3370&lt;&gt;N3369,ISNUMBER(SEARCH(Лист2!$B$6,N:N)),L3370=2),MAX($M$3:OFFSET(M3370,-1,0))+1,0)</f>
        <v>0</v>
      </c>
      <c r="N3370" s="3" t="s">
        <v>2126</v>
      </c>
    </row>
    <row r="3371" spans="1:14" x14ac:dyDescent="0.25">
      <c r="A3371" s="1" t="s">
        <v>12173</v>
      </c>
      <c r="B3371" s="3" t="s">
        <v>6995</v>
      </c>
      <c r="C3371" s="2">
        <f ca="1">IF(ISNUMBER(SEARCH(Лист2!$B$4,D:D)),MAX($C$3:OFFSET(C3371,-1,0))+1,0)</f>
        <v>0</v>
      </c>
      <c r="E3371" s="9" t="str">
        <f t="shared" ca="1" si="64"/>
        <v/>
      </c>
      <c r="F3371" s="4" t="s">
        <v>9</v>
      </c>
      <c r="G3371" s="2">
        <f>IF(ISNUMBER(SEARCH(Лист2!$B$4,F:F)),1,0)</f>
        <v>0</v>
      </c>
      <c r="H3371" s="3">
        <f ca="1">IF(AND(I3371&lt;&gt;I3370,ISNUMBER(SEARCH(Лист2!$B$5,I:I)),G3371=1),MAX($H$3:OFFSET(H3371,-1,0))+1,0)</f>
        <v>0</v>
      </c>
      <c r="I3371" s="3" t="s">
        <v>292</v>
      </c>
      <c r="K3371" s="2">
        <f>IF(ISNUMBER(SEARCH(Лист2!$B$4,F:F)),1,0)</f>
        <v>0</v>
      </c>
      <c r="L3371" s="14">
        <f>IF(ISNUMBER(SEARCH(Лист2!$B$5,I:I)),1,0)+K3371</f>
        <v>0</v>
      </c>
      <c r="M3371" s="3">
        <f ca="1">IF(AND(N3371&lt;&gt;N3370,ISNUMBER(SEARCH(Лист2!$B$6,N:N)),L3371=2),MAX($M$3:OFFSET(M3371,-1,0))+1,0)</f>
        <v>0</v>
      </c>
      <c r="N3371" s="3" t="s">
        <v>2127</v>
      </c>
    </row>
    <row r="3372" spans="1:14" x14ac:dyDescent="0.25">
      <c r="A3372" s="1" t="s">
        <v>12174</v>
      </c>
      <c r="B3372" s="3" t="s">
        <v>6996</v>
      </c>
      <c r="C3372" s="2">
        <f ca="1">IF(ISNUMBER(SEARCH(Лист2!$B$4,D:D)),MAX($C$3:OFFSET(C3372,-1,0))+1,0)</f>
        <v>0</v>
      </c>
      <c r="E3372" s="9" t="str">
        <f t="shared" ca="1" si="64"/>
        <v/>
      </c>
      <c r="F3372" s="4" t="s">
        <v>9</v>
      </c>
      <c r="G3372" s="2">
        <f>IF(ISNUMBER(SEARCH(Лист2!$B$4,F:F)),1,0)</f>
        <v>0</v>
      </c>
      <c r="H3372" s="3">
        <f ca="1">IF(AND(I3372&lt;&gt;I3371,ISNUMBER(SEARCH(Лист2!$B$5,I:I)),G3372=1),MAX($H$3:OFFSET(H3372,-1,0))+1,0)</f>
        <v>0</v>
      </c>
      <c r="I3372" s="3" t="s">
        <v>292</v>
      </c>
      <c r="K3372" s="2">
        <f>IF(ISNUMBER(SEARCH(Лист2!$B$4,F:F)),1,0)</f>
        <v>0</v>
      </c>
      <c r="L3372" s="14">
        <f>IF(ISNUMBER(SEARCH(Лист2!$B$5,I:I)),1,0)+K3372</f>
        <v>0</v>
      </c>
      <c r="M3372" s="3">
        <f ca="1">IF(AND(N3372&lt;&gt;N3371,ISNUMBER(SEARCH(Лист2!$B$6,N:N)),L3372=2),MAX($M$3:OFFSET(M3372,-1,0))+1,0)</f>
        <v>0</v>
      </c>
      <c r="N3372" s="3" t="s">
        <v>2128</v>
      </c>
    </row>
    <row r="3373" spans="1:14" x14ac:dyDescent="0.25">
      <c r="A3373" s="1" t="s">
        <v>12175</v>
      </c>
      <c r="B3373" s="3" t="s">
        <v>6997</v>
      </c>
      <c r="C3373" s="2">
        <f ca="1">IF(ISNUMBER(SEARCH(Лист2!$B$4,D:D)),MAX($C$3:OFFSET(C3373,-1,0))+1,0)</f>
        <v>0</v>
      </c>
      <c r="E3373" s="9" t="str">
        <f t="shared" ca="1" si="64"/>
        <v/>
      </c>
      <c r="F3373" s="4" t="s">
        <v>9</v>
      </c>
      <c r="G3373" s="2">
        <f>IF(ISNUMBER(SEARCH(Лист2!$B$4,F:F)),1,0)</f>
        <v>0</v>
      </c>
      <c r="H3373" s="3">
        <f ca="1">IF(AND(I3373&lt;&gt;I3372,ISNUMBER(SEARCH(Лист2!$B$5,I:I)),G3373=1),MAX($H$3:OFFSET(H3373,-1,0))+1,0)</f>
        <v>0</v>
      </c>
      <c r="I3373" s="3" t="s">
        <v>292</v>
      </c>
      <c r="K3373" s="2">
        <f>IF(ISNUMBER(SEARCH(Лист2!$B$4,F:F)),1,0)</f>
        <v>0</v>
      </c>
      <c r="L3373" s="14">
        <f>IF(ISNUMBER(SEARCH(Лист2!$B$5,I:I)),1,0)+K3373</f>
        <v>0</v>
      </c>
      <c r="M3373" s="3">
        <f ca="1">IF(AND(N3373&lt;&gt;N3372,ISNUMBER(SEARCH(Лист2!$B$6,N:N)),L3373=2),MAX($M$3:OFFSET(M3373,-1,0))+1,0)</f>
        <v>0</v>
      </c>
      <c r="N3373" s="3" t="s">
        <v>2129</v>
      </c>
    </row>
    <row r="3374" spans="1:14" x14ac:dyDescent="0.25">
      <c r="A3374" s="1" t="s">
        <v>12176</v>
      </c>
      <c r="B3374" s="3" t="s">
        <v>6998</v>
      </c>
      <c r="C3374" s="2">
        <f ca="1">IF(ISNUMBER(SEARCH(Лист2!$B$4,D:D)),MAX($C$3:OFFSET(C3374,-1,0))+1,0)</f>
        <v>0</v>
      </c>
      <c r="E3374" s="9" t="str">
        <f t="shared" ca="1" si="64"/>
        <v/>
      </c>
      <c r="F3374" s="4" t="s">
        <v>9</v>
      </c>
      <c r="G3374" s="2">
        <f>IF(ISNUMBER(SEARCH(Лист2!$B$4,F:F)),1,0)</f>
        <v>0</v>
      </c>
      <c r="H3374" s="3">
        <f ca="1">IF(AND(I3374&lt;&gt;I3373,ISNUMBER(SEARCH(Лист2!$B$5,I:I)),G3374=1),MAX($H$3:OFFSET(H3374,-1,0))+1,0)</f>
        <v>0</v>
      </c>
      <c r="I3374" s="3" t="s">
        <v>293</v>
      </c>
      <c r="K3374" s="2">
        <f>IF(ISNUMBER(SEARCH(Лист2!$B$4,F:F)),1,0)</f>
        <v>0</v>
      </c>
      <c r="L3374" s="14">
        <f>IF(ISNUMBER(SEARCH(Лист2!$B$5,I:I)),1,0)+K3374</f>
        <v>0</v>
      </c>
      <c r="M3374" s="3">
        <f ca="1">IF(AND(N3374&lt;&gt;N3373,ISNUMBER(SEARCH(Лист2!$B$6,N:N)),L3374=2),MAX($M$3:OFFSET(M3374,-1,0))+1,0)</f>
        <v>0</v>
      </c>
      <c r="N3374" s="3" t="s">
        <v>2133</v>
      </c>
    </row>
    <row r="3375" spans="1:14" x14ac:dyDescent="0.25">
      <c r="A3375" s="1" t="s">
        <v>12177</v>
      </c>
      <c r="B3375" s="3" t="s">
        <v>6999</v>
      </c>
      <c r="C3375" s="2">
        <f ca="1">IF(ISNUMBER(SEARCH(Лист2!$B$4,D:D)),MAX($C$3:OFFSET(C3375,-1,0))+1,0)</f>
        <v>0</v>
      </c>
      <c r="E3375" s="9" t="str">
        <f t="shared" ca="1" si="64"/>
        <v/>
      </c>
      <c r="F3375" s="4" t="s">
        <v>9</v>
      </c>
      <c r="G3375" s="2">
        <f>IF(ISNUMBER(SEARCH(Лист2!$B$4,F:F)),1,0)</f>
        <v>0</v>
      </c>
      <c r="H3375" s="3">
        <f ca="1">IF(AND(I3375&lt;&gt;I3374,ISNUMBER(SEARCH(Лист2!$B$5,I:I)),G3375=1),MAX($H$3:OFFSET(H3375,-1,0))+1,0)</f>
        <v>0</v>
      </c>
      <c r="I3375" s="3" t="s">
        <v>293</v>
      </c>
      <c r="K3375" s="2">
        <f>IF(ISNUMBER(SEARCH(Лист2!$B$4,F:F)),1,0)</f>
        <v>0</v>
      </c>
      <c r="L3375" s="14">
        <f>IF(ISNUMBER(SEARCH(Лист2!$B$5,I:I)),1,0)+K3375</f>
        <v>0</v>
      </c>
      <c r="M3375" s="3">
        <f ca="1">IF(AND(N3375&lt;&gt;N3374,ISNUMBER(SEARCH(Лист2!$B$6,N:N)),L3375=2),MAX($M$3:OFFSET(M3375,-1,0))+1,0)</f>
        <v>0</v>
      </c>
      <c r="N3375" s="3" t="s">
        <v>2134</v>
      </c>
    </row>
    <row r="3376" spans="1:14" x14ac:dyDescent="0.25">
      <c r="A3376" s="1" t="s">
        <v>12178</v>
      </c>
      <c r="B3376" s="3" t="s">
        <v>7000</v>
      </c>
      <c r="C3376" s="2">
        <f ca="1">IF(ISNUMBER(SEARCH(Лист2!$B$4,D:D)),MAX($C$3:OFFSET(C3376,-1,0))+1,0)</f>
        <v>0</v>
      </c>
      <c r="E3376" s="9" t="str">
        <f t="shared" ca="1" si="64"/>
        <v/>
      </c>
      <c r="F3376" s="4" t="s">
        <v>9</v>
      </c>
      <c r="G3376" s="2">
        <f>IF(ISNUMBER(SEARCH(Лист2!$B$4,F:F)),1,0)</f>
        <v>0</v>
      </c>
      <c r="H3376" s="3">
        <f ca="1">IF(AND(I3376&lt;&gt;I3375,ISNUMBER(SEARCH(Лист2!$B$5,I:I)),G3376=1),MAX($H$3:OFFSET(H3376,-1,0))+1,0)</f>
        <v>0</v>
      </c>
      <c r="I3376" s="3" t="s">
        <v>293</v>
      </c>
      <c r="K3376" s="2">
        <f>IF(ISNUMBER(SEARCH(Лист2!$B$4,F:F)),1,0)</f>
        <v>0</v>
      </c>
      <c r="L3376" s="14">
        <f>IF(ISNUMBER(SEARCH(Лист2!$B$5,I:I)),1,0)+K3376</f>
        <v>0</v>
      </c>
      <c r="M3376" s="3">
        <f ca="1">IF(AND(N3376&lt;&gt;N3375,ISNUMBER(SEARCH(Лист2!$B$6,N:N)),L3376=2),MAX($M$3:OFFSET(M3376,-1,0))+1,0)</f>
        <v>0</v>
      </c>
      <c r="N3376" s="3" t="s">
        <v>2135</v>
      </c>
    </row>
    <row r="3377" spans="1:14" x14ac:dyDescent="0.25">
      <c r="A3377" s="1" t="s">
        <v>12179</v>
      </c>
      <c r="B3377" s="3" t="s">
        <v>7001</v>
      </c>
      <c r="C3377" s="2">
        <f ca="1">IF(ISNUMBER(SEARCH(Лист2!$B$4,D:D)),MAX($C$3:OFFSET(C3377,-1,0))+1,0)</f>
        <v>0</v>
      </c>
      <c r="E3377" s="9" t="str">
        <f t="shared" ca="1" si="64"/>
        <v/>
      </c>
      <c r="F3377" s="4" t="s">
        <v>9</v>
      </c>
      <c r="G3377" s="2">
        <f>IF(ISNUMBER(SEARCH(Лист2!$B$4,F:F)),1,0)</f>
        <v>0</v>
      </c>
      <c r="H3377" s="3">
        <f ca="1">IF(AND(I3377&lt;&gt;I3376,ISNUMBER(SEARCH(Лист2!$B$5,I:I)),G3377=1),MAX($H$3:OFFSET(H3377,-1,0))+1,0)</f>
        <v>0</v>
      </c>
      <c r="I3377" s="3" t="s">
        <v>293</v>
      </c>
      <c r="K3377" s="2">
        <f>IF(ISNUMBER(SEARCH(Лист2!$B$4,F:F)),1,0)</f>
        <v>0</v>
      </c>
      <c r="L3377" s="14">
        <f>IF(ISNUMBER(SEARCH(Лист2!$B$5,I:I)),1,0)+K3377</f>
        <v>0</v>
      </c>
      <c r="M3377" s="3">
        <f ca="1">IF(AND(N3377&lt;&gt;N3376,ISNUMBER(SEARCH(Лист2!$B$6,N:N)),L3377=2),MAX($M$3:OFFSET(M3377,-1,0))+1,0)</f>
        <v>0</v>
      </c>
      <c r="N3377" s="3" t="s">
        <v>2136</v>
      </c>
    </row>
    <row r="3378" spans="1:14" x14ac:dyDescent="0.25">
      <c r="A3378" s="1" t="s">
        <v>12180</v>
      </c>
      <c r="B3378" s="3" t="s">
        <v>7002</v>
      </c>
      <c r="C3378" s="2">
        <f ca="1">IF(ISNUMBER(SEARCH(Лист2!$B$4,D:D)),MAX($C$3:OFFSET(C3378,-1,0))+1,0)</f>
        <v>0</v>
      </c>
      <c r="E3378" s="9" t="str">
        <f t="shared" ca="1" si="64"/>
        <v/>
      </c>
      <c r="F3378" s="4" t="s">
        <v>9</v>
      </c>
      <c r="G3378" s="2">
        <f>IF(ISNUMBER(SEARCH(Лист2!$B$4,F:F)),1,0)</f>
        <v>0</v>
      </c>
      <c r="H3378" s="3">
        <f ca="1">IF(AND(I3378&lt;&gt;I3377,ISNUMBER(SEARCH(Лист2!$B$5,I:I)),G3378=1),MAX($H$3:OFFSET(H3378,-1,0))+1,0)</f>
        <v>0</v>
      </c>
      <c r="I3378" s="3" t="s">
        <v>293</v>
      </c>
      <c r="K3378" s="2">
        <f>IF(ISNUMBER(SEARCH(Лист2!$B$4,F:F)),1,0)</f>
        <v>0</v>
      </c>
      <c r="L3378" s="14">
        <f>IF(ISNUMBER(SEARCH(Лист2!$B$5,I:I)),1,0)+K3378</f>
        <v>0</v>
      </c>
      <c r="M3378" s="3">
        <f ca="1">IF(AND(N3378&lt;&gt;N3377,ISNUMBER(SEARCH(Лист2!$B$6,N:N)),L3378=2),MAX($M$3:OFFSET(M3378,-1,0))+1,0)</f>
        <v>0</v>
      </c>
      <c r="N3378" s="3" t="s">
        <v>2137</v>
      </c>
    </row>
    <row r="3379" spans="1:14" x14ac:dyDescent="0.25">
      <c r="A3379" s="1" t="s">
        <v>12181</v>
      </c>
      <c r="B3379" s="3" t="s">
        <v>7003</v>
      </c>
      <c r="C3379" s="2">
        <f ca="1">IF(ISNUMBER(SEARCH(Лист2!$B$4,D:D)),MAX($C$3:OFFSET(C3379,-1,0))+1,0)</f>
        <v>0</v>
      </c>
      <c r="E3379" s="9" t="str">
        <f t="shared" ca="1" si="64"/>
        <v/>
      </c>
      <c r="F3379" s="4" t="s">
        <v>9</v>
      </c>
      <c r="G3379" s="2">
        <f>IF(ISNUMBER(SEARCH(Лист2!$B$4,F:F)),1,0)</f>
        <v>0</v>
      </c>
      <c r="H3379" s="3">
        <f ca="1">IF(AND(I3379&lt;&gt;I3378,ISNUMBER(SEARCH(Лист2!$B$5,I:I)),G3379=1),MAX($H$3:OFFSET(H3379,-1,0))+1,0)</f>
        <v>0</v>
      </c>
      <c r="I3379" s="3" t="s">
        <v>293</v>
      </c>
      <c r="K3379" s="2">
        <f>IF(ISNUMBER(SEARCH(Лист2!$B$4,F:F)),1,0)</f>
        <v>0</v>
      </c>
      <c r="L3379" s="14">
        <f>IF(ISNUMBER(SEARCH(Лист2!$B$5,I:I)),1,0)+K3379</f>
        <v>0</v>
      </c>
      <c r="M3379" s="3">
        <f ca="1">IF(AND(N3379&lt;&gt;N3378,ISNUMBER(SEARCH(Лист2!$B$6,N:N)),L3379=2),MAX($M$3:OFFSET(M3379,-1,0))+1,0)</f>
        <v>0</v>
      </c>
      <c r="N3379" s="3" t="s">
        <v>2138</v>
      </c>
    </row>
    <row r="3380" spans="1:14" x14ac:dyDescent="0.25">
      <c r="A3380" s="1" t="s">
        <v>12182</v>
      </c>
      <c r="B3380" s="3" t="s">
        <v>7004</v>
      </c>
      <c r="C3380" s="2">
        <f ca="1">IF(ISNUMBER(SEARCH(Лист2!$B$4,D:D)),MAX($C$3:OFFSET(C3380,-1,0))+1,0)</f>
        <v>0</v>
      </c>
      <c r="E3380" s="9" t="str">
        <f t="shared" ca="1" si="64"/>
        <v/>
      </c>
      <c r="F3380" s="4" t="s">
        <v>9</v>
      </c>
      <c r="G3380" s="2">
        <f>IF(ISNUMBER(SEARCH(Лист2!$B$4,F:F)),1,0)</f>
        <v>0</v>
      </c>
      <c r="H3380" s="3">
        <f ca="1">IF(AND(I3380&lt;&gt;I3379,ISNUMBER(SEARCH(Лист2!$B$5,I:I)),G3380=1),MAX($H$3:OFFSET(H3380,-1,0))+1,0)</f>
        <v>0</v>
      </c>
      <c r="I3380" s="3" t="s">
        <v>293</v>
      </c>
      <c r="K3380" s="2">
        <f>IF(ISNUMBER(SEARCH(Лист2!$B$4,F:F)),1,0)</f>
        <v>0</v>
      </c>
      <c r="L3380" s="14">
        <f>IF(ISNUMBER(SEARCH(Лист2!$B$5,I:I)),1,0)+K3380</f>
        <v>0</v>
      </c>
      <c r="M3380" s="3">
        <f ca="1">IF(AND(N3380&lt;&gt;N3379,ISNUMBER(SEARCH(Лист2!$B$6,N:N)),L3380=2),MAX($M$3:OFFSET(M3380,-1,0))+1,0)</f>
        <v>0</v>
      </c>
      <c r="N3380" s="3" t="s">
        <v>2139</v>
      </c>
    </row>
    <row r="3381" spans="1:14" x14ac:dyDescent="0.25">
      <c r="A3381" s="1" t="s">
        <v>12183</v>
      </c>
      <c r="B3381" s="3" t="s">
        <v>7005</v>
      </c>
      <c r="C3381" s="2">
        <f ca="1">IF(ISNUMBER(SEARCH(Лист2!$B$4,D:D)),MAX($C$3:OFFSET(C3381,-1,0))+1,0)</f>
        <v>0</v>
      </c>
      <c r="E3381" s="9" t="str">
        <f t="shared" ca="1" si="64"/>
        <v/>
      </c>
      <c r="F3381" s="4" t="s">
        <v>9</v>
      </c>
      <c r="G3381" s="2">
        <f>IF(ISNUMBER(SEARCH(Лист2!$B$4,F:F)),1,0)</f>
        <v>0</v>
      </c>
      <c r="H3381" s="3">
        <f ca="1">IF(AND(I3381&lt;&gt;I3380,ISNUMBER(SEARCH(Лист2!$B$5,I:I)),G3381=1),MAX($H$3:OFFSET(H3381,-1,0))+1,0)</f>
        <v>0</v>
      </c>
      <c r="I3381" s="3" t="s">
        <v>293</v>
      </c>
      <c r="K3381" s="2">
        <f>IF(ISNUMBER(SEARCH(Лист2!$B$4,F:F)),1,0)</f>
        <v>0</v>
      </c>
      <c r="L3381" s="14">
        <f>IF(ISNUMBER(SEARCH(Лист2!$B$5,I:I)),1,0)+K3381</f>
        <v>0</v>
      </c>
      <c r="M3381" s="3">
        <f ca="1">IF(AND(N3381&lt;&gt;N3380,ISNUMBER(SEARCH(Лист2!$B$6,N:N)),L3381=2),MAX($M$3:OFFSET(M3381,-1,0))+1,0)</f>
        <v>0</v>
      </c>
      <c r="N3381" s="3" t="s">
        <v>2140</v>
      </c>
    </row>
    <row r="3382" spans="1:14" x14ac:dyDescent="0.25">
      <c r="A3382" s="1" t="s">
        <v>12184</v>
      </c>
      <c r="B3382" s="3" t="s">
        <v>7006</v>
      </c>
      <c r="C3382" s="2">
        <f ca="1">IF(ISNUMBER(SEARCH(Лист2!$B$4,D:D)),MAX($C$3:OFFSET(C3382,-1,0))+1,0)</f>
        <v>0</v>
      </c>
      <c r="E3382" s="9" t="str">
        <f t="shared" ca="1" si="64"/>
        <v/>
      </c>
      <c r="F3382" s="4" t="s">
        <v>9</v>
      </c>
      <c r="G3382" s="2">
        <f>IF(ISNUMBER(SEARCH(Лист2!$B$4,F:F)),1,0)</f>
        <v>0</v>
      </c>
      <c r="H3382" s="3">
        <f ca="1">IF(AND(I3382&lt;&gt;I3381,ISNUMBER(SEARCH(Лист2!$B$5,I:I)),G3382=1),MAX($H$3:OFFSET(H3382,-1,0))+1,0)</f>
        <v>0</v>
      </c>
      <c r="I3382" s="3" t="s">
        <v>293</v>
      </c>
      <c r="K3382" s="2">
        <f>IF(ISNUMBER(SEARCH(Лист2!$B$4,F:F)),1,0)</f>
        <v>0</v>
      </c>
      <c r="L3382" s="14">
        <f>IF(ISNUMBER(SEARCH(Лист2!$B$5,I:I)),1,0)+K3382</f>
        <v>0</v>
      </c>
      <c r="M3382" s="3">
        <f ca="1">IF(AND(N3382&lt;&gt;N3381,ISNUMBER(SEARCH(Лист2!$B$6,N:N)),L3382=2),MAX($M$3:OFFSET(M3382,-1,0))+1,0)</f>
        <v>0</v>
      </c>
      <c r="N3382" s="3" t="s">
        <v>2141</v>
      </c>
    </row>
    <row r="3383" spans="1:14" x14ac:dyDescent="0.25">
      <c r="A3383" s="1" t="s">
        <v>12185</v>
      </c>
      <c r="B3383" s="3" t="s">
        <v>7007</v>
      </c>
      <c r="C3383" s="2">
        <f ca="1">IF(ISNUMBER(SEARCH(Лист2!$B$4,D:D)),MAX($C$3:OFFSET(C3383,-1,0))+1,0)</f>
        <v>0</v>
      </c>
      <c r="E3383" s="9" t="str">
        <f t="shared" ca="1" si="64"/>
        <v/>
      </c>
      <c r="F3383" s="4" t="s">
        <v>9</v>
      </c>
      <c r="G3383" s="2">
        <f>IF(ISNUMBER(SEARCH(Лист2!$B$4,F:F)),1,0)</f>
        <v>0</v>
      </c>
      <c r="H3383" s="3">
        <f ca="1">IF(AND(I3383&lt;&gt;I3382,ISNUMBER(SEARCH(Лист2!$B$5,I:I)),G3383=1),MAX($H$3:OFFSET(H3383,-1,0))+1,0)</f>
        <v>0</v>
      </c>
      <c r="I3383" s="3" t="s">
        <v>293</v>
      </c>
      <c r="K3383" s="2">
        <f>IF(ISNUMBER(SEARCH(Лист2!$B$4,F:F)),1,0)</f>
        <v>0</v>
      </c>
      <c r="L3383" s="14">
        <f>IF(ISNUMBER(SEARCH(Лист2!$B$5,I:I)),1,0)+K3383</f>
        <v>0</v>
      </c>
      <c r="M3383" s="3">
        <f ca="1">IF(AND(N3383&lt;&gt;N3382,ISNUMBER(SEARCH(Лист2!$B$6,N:N)),L3383=2),MAX($M$3:OFFSET(M3383,-1,0))+1,0)</f>
        <v>0</v>
      </c>
      <c r="N3383" s="3" t="s">
        <v>1385</v>
      </c>
    </row>
    <row r="3384" spans="1:14" x14ac:dyDescent="0.25">
      <c r="A3384" s="1" t="s">
        <v>12186</v>
      </c>
      <c r="B3384" s="3" t="s">
        <v>7008</v>
      </c>
      <c r="C3384" s="2">
        <f ca="1">IF(ISNUMBER(SEARCH(Лист2!$B$4,D:D)),MAX($C$3:OFFSET(C3384,-1,0))+1,0)</f>
        <v>0</v>
      </c>
      <c r="E3384" s="9" t="str">
        <f t="shared" ca="1" si="64"/>
        <v/>
      </c>
      <c r="F3384" s="4" t="s">
        <v>9</v>
      </c>
      <c r="G3384" s="2">
        <f>IF(ISNUMBER(SEARCH(Лист2!$B$4,F:F)),1,0)</f>
        <v>0</v>
      </c>
      <c r="H3384" s="3">
        <f ca="1">IF(AND(I3384&lt;&gt;I3383,ISNUMBER(SEARCH(Лист2!$B$5,I:I)),G3384=1),MAX($H$3:OFFSET(H3384,-1,0))+1,0)</f>
        <v>0</v>
      </c>
      <c r="I3384" s="3" t="s">
        <v>293</v>
      </c>
      <c r="K3384" s="2">
        <f>IF(ISNUMBER(SEARCH(Лист2!$B$4,F:F)),1,0)</f>
        <v>0</v>
      </c>
      <c r="L3384" s="14">
        <f>IF(ISNUMBER(SEARCH(Лист2!$B$5,I:I)),1,0)+K3384</f>
        <v>0</v>
      </c>
      <c r="M3384" s="3">
        <f ca="1">IF(AND(N3384&lt;&gt;N3383,ISNUMBER(SEARCH(Лист2!$B$6,N:N)),L3384=2),MAX($M$3:OFFSET(M3384,-1,0))+1,0)</f>
        <v>0</v>
      </c>
      <c r="N3384" s="3" t="s">
        <v>602</v>
      </c>
    </row>
    <row r="3385" spans="1:14" x14ac:dyDescent="0.25">
      <c r="A3385" s="1" t="s">
        <v>12187</v>
      </c>
      <c r="B3385" s="3" t="s">
        <v>7009</v>
      </c>
      <c r="C3385" s="2">
        <f ca="1">IF(ISNUMBER(SEARCH(Лист2!$B$4,D:D)),MAX($C$3:OFFSET(C3385,-1,0))+1,0)</f>
        <v>0</v>
      </c>
      <c r="E3385" s="9" t="str">
        <f t="shared" ca="1" si="64"/>
        <v/>
      </c>
      <c r="F3385" s="4" t="s">
        <v>9</v>
      </c>
      <c r="G3385" s="2">
        <f>IF(ISNUMBER(SEARCH(Лист2!$B$4,F:F)),1,0)</f>
        <v>0</v>
      </c>
      <c r="H3385" s="3">
        <f ca="1">IF(AND(I3385&lt;&gt;I3384,ISNUMBER(SEARCH(Лист2!$B$5,I:I)),G3385=1),MAX($H$3:OFFSET(H3385,-1,0))+1,0)</f>
        <v>0</v>
      </c>
      <c r="I3385" s="3" t="s">
        <v>293</v>
      </c>
      <c r="K3385" s="2">
        <f>IF(ISNUMBER(SEARCH(Лист2!$B$4,F:F)),1,0)</f>
        <v>0</v>
      </c>
      <c r="L3385" s="14">
        <f>IF(ISNUMBER(SEARCH(Лист2!$B$5,I:I)),1,0)+K3385</f>
        <v>0</v>
      </c>
      <c r="M3385" s="3">
        <f ca="1">IF(AND(N3385&lt;&gt;N3384,ISNUMBER(SEARCH(Лист2!$B$6,N:N)),L3385=2),MAX($M$3:OFFSET(M3385,-1,0))+1,0)</f>
        <v>0</v>
      </c>
      <c r="N3385" s="3" t="s">
        <v>2142</v>
      </c>
    </row>
    <row r="3386" spans="1:14" x14ac:dyDescent="0.25">
      <c r="A3386" s="1" t="s">
        <v>12188</v>
      </c>
      <c r="B3386" s="3" t="s">
        <v>7010</v>
      </c>
      <c r="C3386" s="2">
        <f ca="1">IF(ISNUMBER(SEARCH(Лист2!$B$4,D:D)),MAX($C$3:OFFSET(C3386,-1,0))+1,0)</f>
        <v>0</v>
      </c>
      <c r="E3386" s="9" t="str">
        <f t="shared" ca="1" si="64"/>
        <v/>
      </c>
      <c r="F3386" s="4" t="s">
        <v>9</v>
      </c>
      <c r="G3386" s="2">
        <f>IF(ISNUMBER(SEARCH(Лист2!$B$4,F:F)),1,0)</f>
        <v>0</v>
      </c>
      <c r="H3386" s="3">
        <f ca="1">IF(AND(I3386&lt;&gt;I3385,ISNUMBER(SEARCH(Лист2!$B$5,I:I)),G3386=1),MAX($H$3:OFFSET(H3386,-1,0))+1,0)</f>
        <v>0</v>
      </c>
      <c r="I3386" s="3" t="s">
        <v>293</v>
      </c>
      <c r="K3386" s="2">
        <f>IF(ISNUMBER(SEARCH(Лист2!$B$4,F:F)),1,0)</f>
        <v>0</v>
      </c>
      <c r="L3386" s="14">
        <f>IF(ISNUMBER(SEARCH(Лист2!$B$5,I:I)),1,0)+K3386</f>
        <v>0</v>
      </c>
      <c r="M3386" s="3">
        <f ca="1">IF(AND(N3386&lt;&gt;N3385,ISNUMBER(SEARCH(Лист2!$B$6,N:N)),L3386=2),MAX($M$3:OFFSET(M3386,-1,0))+1,0)</f>
        <v>0</v>
      </c>
      <c r="N3386" s="3" t="s">
        <v>2143</v>
      </c>
    </row>
    <row r="3387" spans="1:14" x14ac:dyDescent="0.25">
      <c r="A3387" s="1" t="s">
        <v>12189</v>
      </c>
      <c r="B3387" s="3" t="s">
        <v>7011</v>
      </c>
      <c r="C3387" s="2">
        <f ca="1">IF(ISNUMBER(SEARCH(Лист2!$B$4,D:D)),MAX($C$3:OFFSET(C3387,-1,0))+1,0)</f>
        <v>0</v>
      </c>
      <c r="E3387" s="9" t="str">
        <f t="shared" ca="1" si="64"/>
        <v/>
      </c>
      <c r="F3387" s="4" t="s">
        <v>9</v>
      </c>
      <c r="G3387" s="2">
        <f>IF(ISNUMBER(SEARCH(Лист2!$B$4,F:F)),1,0)</f>
        <v>0</v>
      </c>
      <c r="H3387" s="3">
        <f ca="1">IF(AND(I3387&lt;&gt;I3386,ISNUMBER(SEARCH(Лист2!$B$5,I:I)),G3387=1),MAX($H$3:OFFSET(H3387,-1,0))+1,0)</f>
        <v>0</v>
      </c>
      <c r="I3387" s="3" t="s">
        <v>293</v>
      </c>
      <c r="K3387" s="2">
        <f>IF(ISNUMBER(SEARCH(Лист2!$B$4,F:F)),1,0)</f>
        <v>0</v>
      </c>
      <c r="L3387" s="14">
        <f>IF(ISNUMBER(SEARCH(Лист2!$B$5,I:I)),1,0)+K3387</f>
        <v>0</v>
      </c>
      <c r="M3387" s="3">
        <f ca="1">IF(AND(N3387&lt;&gt;N3386,ISNUMBER(SEARCH(Лист2!$B$6,N:N)),L3387=2),MAX($M$3:OFFSET(M3387,-1,0))+1,0)</f>
        <v>0</v>
      </c>
      <c r="N3387" s="3" t="s">
        <v>2121</v>
      </c>
    </row>
    <row r="3388" spans="1:14" x14ac:dyDescent="0.25">
      <c r="A3388" s="1" t="s">
        <v>12190</v>
      </c>
      <c r="B3388" s="3" t="s">
        <v>7012</v>
      </c>
      <c r="C3388" s="2">
        <f ca="1">IF(ISNUMBER(SEARCH(Лист2!$B$4,D:D)),MAX($C$3:OFFSET(C3388,-1,0))+1,0)</f>
        <v>0</v>
      </c>
      <c r="E3388" s="9" t="str">
        <f t="shared" ca="1" si="64"/>
        <v/>
      </c>
      <c r="F3388" s="4" t="s">
        <v>9</v>
      </c>
      <c r="G3388" s="2">
        <f>IF(ISNUMBER(SEARCH(Лист2!$B$4,F:F)),1,0)</f>
        <v>0</v>
      </c>
      <c r="H3388" s="3">
        <f ca="1">IF(AND(I3388&lt;&gt;I3387,ISNUMBER(SEARCH(Лист2!$B$5,I:I)),G3388=1),MAX($H$3:OFFSET(H3388,-1,0))+1,0)</f>
        <v>0</v>
      </c>
      <c r="I3388" s="3" t="s">
        <v>293</v>
      </c>
      <c r="K3388" s="2">
        <f>IF(ISNUMBER(SEARCH(Лист2!$B$4,F:F)),1,0)</f>
        <v>0</v>
      </c>
      <c r="L3388" s="14">
        <f>IF(ISNUMBER(SEARCH(Лист2!$B$5,I:I)),1,0)+K3388</f>
        <v>0</v>
      </c>
      <c r="M3388" s="3">
        <f ca="1">IF(AND(N3388&lt;&gt;N3387,ISNUMBER(SEARCH(Лист2!$B$6,N:N)),L3388=2),MAX($M$3:OFFSET(M3388,-1,0))+1,0)</f>
        <v>0</v>
      </c>
      <c r="N3388" s="3" t="s">
        <v>2144</v>
      </c>
    </row>
    <row r="3389" spans="1:14" x14ac:dyDescent="0.25">
      <c r="A3389" s="1" t="s">
        <v>12191</v>
      </c>
      <c r="B3389" s="3" t="s">
        <v>7013</v>
      </c>
      <c r="C3389" s="2">
        <f ca="1">IF(ISNUMBER(SEARCH(Лист2!$B$4,D:D)),MAX($C$3:OFFSET(C3389,-1,0))+1,0)</f>
        <v>0</v>
      </c>
      <c r="E3389" s="9" t="str">
        <f t="shared" ca="1" si="64"/>
        <v/>
      </c>
      <c r="F3389" s="4" t="s">
        <v>9</v>
      </c>
      <c r="G3389" s="2">
        <f>IF(ISNUMBER(SEARCH(Лист2!$B$4,F:F)),1,0)</f>
        <v>0</v>
      </c>
      <c r="H3389" s="3">
        <f ca="1">IF(AND(I3389&lt;&gt;I3388,ISNUMBER(SEARCH(Лист2!$B$5,I:I)),G3389=1),MAX($H$3:OFFSET(H3389,-1,0))+1,0)</f>
        <v>0</v>
      </c>
      <c r="I3389" s="3" t="s">
        <v>293</v>
      </c>
      <c r="K3389" s="2">
        <f>IF(ISNUMBER(SEARCH(Лист2!$B$4,F:F)),1,0)</f>
        <v>0</v>
      </c>
      <c r="L3389" s="14">
        <f>IF(ISNUMBER(SEARCH(Лист2!$B$5,I:I)),1,0)+K3389</f>
        <v>0</v>
      </c>
      <c r="M3389" s="3">
        <f ca="1">IF(AND(N3389&lt;&gt;N3388,ISNUMBER(SEARCH(Лист2!$B$6,N:N)),L3389=2),MAX($M$3:OFFSET(M3389,-1,0))+1,0)</f>
        <v>0</v>
      </c>
      <c r="N3389" s="3" t="s">
        <v>2002</v>
      </c>
    </row>
    <row r="3390" spans="1:14" x14ac:dyDescent="0.25">
      <c r="A3390" s="1" t="s">
        <v>12192</v>
      </c>
      <c r="B3390" s="3" t="s">
        <v>7014</v>
      </c>
      <c r="C3390" s="2">
        <f ca="1">IF(ISNUMBER(SEARCH(Лист2!$B$4,D:D)),MAX($C$3:OFFSET(C3390,-1,0))+1,0)</f>
        <v>0</v>
      </c>
      <c r="E3390" s="9" t="str">
        <f t="shared" ca="1" si="64"/>
        <v/>
      </c>
      <c r="F3390" s="4" t="s">
        <v>9</v>
      </c>
      <c r="G3390" s="2">
        <f>IF(ISNUMBER(SEARCH(Лист2!$B$4,F:F)),1,0)</f>
        <v>0</v>
      </c>
      <c r="H3390" s="3">
        <f ca="1">IF(AND(I3390&lt;&gt;I3389,ISNUMBER(SEARCH(Лист2!$B$5,I:I)),G3390=1),MAX($H$3:OFFSET(H3390,-1,0))+1,0)</f>
        <v>0</v>
      </c>
      <c r="I3390" s="3" t="s">
        <v>293</v>
      </c>
      <c r="K3390" s="2">
        <f>IF(ISNUMBER(SEARCH(Лист2!$B$4,F:F)),1,0)</f>
        <v>0</v>
      </c>
      <c r="L3390" s="14">
        <f>IF(ISNUMBER(SEARCH(Лист2!$B$5,I:I)),1,0)+K3390</f>
        <v>0</v>
      </c>
      <c r="M3390" s="3">
        <f ca="1">IF(AND(N3390&lt;&gt;N3389,ISNUMBER(SEARCH(Лист2!$B$6,N:N)),L3390=2),MAX($M$3:OFFSET(M3390,-1,0))+1,0)</f>
        <v>0</v>
      </c>
      <c r="N3390" s="3" t="s">
        <v>2145</v>
      </c>
    </row>
    <row r="3391" spans="1:14" x14ac:dyDescent="0.25">
      <c r="A3391" s="1" t="s">
        <v>12193</v>
      </c>
      <c r="B3391" s="3" t="s">
        <v>7015</v>
      </c>
      <c r="C3391" s="2">
        <f ca="1">IF(ISNUMBER(SEARCH(Лист2!$B$4,D:D)),MAX($C$3:OFFSET(C3391,-1,0))+1,0)</f>
        <v>0</v>
      </c>
      <c r="E3391" s="9" t="str">
        <f t="shared" ca="1" si="64"/>
        <v/>
      </c>
      <c r="F3391" s="4" t="s">
        <v>9</v>
      </c>
      <c r="G3391" s="2">
        <f>IF(ISNUMBER(SEARCH(Лист2!$B$4,F:F)),1,0)</f>
        <v>0</v>
      </c>
      <c r="H3391" s="3">
        <f ca="1">IF(AND(I3391&lt;&gt;I3390,ISNUMBER(SEARCH(Лист2!$B$5,I:I)),G3391=1),MAX($H$3:OFFSET(H3391,-1,0))+1,0)</f>
        <v>0</v>
      </c>
      <c r="I3391" s="3" t="s">
        <v>293</v>
      </c>
      <c r="K3391" s="2">
        <f>IF(ISNUMBER(SEARCH(Лист2!$B$4,F:F)),1,0)</f>
        <v>0</v>
      </c>
      <c r="L3391" s="14">
        <f>IF(ISNUMBER(SEARCH(Лист2!$B$5,I:I)),1,0)+K3391</f>
        <v>0</v>
      </c>
      <c r="M3391" s="3">
        <f ca="1">IF(AND(N3391&lt;&gt;N3390,ISNUMBER(SEARCH(Лист2!$B$6,N:N)),L3391=2),MAX($M$3:OFFSET(M3391,-1,0))+1,0)</f>
        <v>0</v>
      </c>
      <c r="N3391" s="3" t="s">
        <v>2146</v>
      </c>
    </row>
    <row r="3392" spans="1:14" x14ac:dyDescent="0.25">
      <c r="A3392" s="1" t="s">
        <v>12194</v>
      </c>
      <c r="B3392" s="3" t="s">
        <v>7016</v>
      </c>
      <c r="C3392" s="2">
        <f ca="1">IF(ISNUMBER(SEARCH(Лист2!$B$4,D:D)),MAX($C$3:OFFSET(C3392,-1,0))+1,0)</f>
        <v>0</v>
      </c>
      <c r="E3392" s="9" t="str">
        <f t="shared" ca="1" si="64"/>
        <v/>
      </c>
      <c r="F3392" s="4" t="s">
        <v>9</v>
      </c>
      <c r="G3392" s="2">
        <f>IF(ISNUMBER(SEARCH(Лист2!$B$4,F:F)),1,0)</f>
        <v>0</v>
      </c>
      <c r="H3392" s="3">
        <f ca="1">IF(AND(I3392&lt;&gt;I3391,ISNUMBER(SEARCH(Лист2!$B$5,I:I)),G3392=1),MAX($H$3:OFFSET(H3392,-1,0))+1,0)</f>
        <v>0</v>
      </c>
      <c r="I3392" s="3" t="s">
        <v>293</v>
      </c>
      <c r="K3392" s="2">
        <f>IF(ISNUMBER(SEARCH(Лист2!$B$4,F:F)),1,0)</f>
        <v>0</v>
      </c>
      <c r="L3392" s="14">
        <f>IF(ISNUMBER(SEARCH(Лист2!$B$5,I:I)),1,0)+K3392</f>
        <v>0</v>
      </c>
      <c r="M3392" s="3">
        <f ca="1">IF(AND(N3392&lt;&gt;N3391,ISNUMBER(SEARCH(Лист2!$B$6,N:N)),L3392=2),MAX($M$3:OFFSET(M3392,-1,0))+1,0)</f>
        <v>0</v>
      </c>
      <c r="N3392" s="3" t="s">
        <v>2147</v>
      </c>
    </row>
    <row r="3393" spans="1:14" x14ac:dyDescent="0.25">
      <c r="A3393" s="1" t="s">
        <v>12195</v>
      </c>
      <c r="B3393" s="3" t="s">
        <v>7017</v>
      </c>
      <c r="C3393" s="2">
        <f ca="1">IF(ISNUMBER(SEARCH(Лист2!$B$4,D:D)),MAX($C$3:OFFSET(C3393,-1,0))+1,0)</f>
        <v>0</v>
      </c>
      <c r="E3393" s="9" t="str">
        <f t="shared" ca="1" si="64"/>
        <v/>
      </c>
      <c r="F3393" s="4" t="s">
        <v>9</v>
      </c>
      <c r="G3393" s="2">
        <f>IF(ISNUMBER(SEARCH(Лист2!$B$4,F:F)),1,0)</f>
        <v>0</v>
      </c>
      <c r="H3393" s="3">
        <f ca="1">IF(AND(I3393&lt;&gt;I3392,ISNUMBER(SEARCH(Лист2!$B$5,I:I)),G3393=1),MAX($H$3:OFFSET(H3393,-1,0))+1,0)</f>
        <v>0</v>
      </c>
      <c r="I3393" s="3" t="s">
        <v>293</v>
      </c>
      <c r="K3393" s="2">
        <f>IF(ISNUMBER(SEARCH(Лист2!$B$4,F:F)),1,0)</f>
        <v>0</v>
      </c>
      <c r="L3393" s="14">
        <f>IF(ISNUMBER(SEARCH(Лист2!$B$5,I:I)),1,0)+K3393</f>
        <v>0</v>
      </c>
      <c r="M3393" s="3">
        <f ca="1">IF(AND(N3393&lt;&gt;N3392,ISNUMBER(SEARCH(Лист2!$B$6,N:N)),L3393=2),MAX($M$3:OFFSET(M3393,-1,0))+1,0)</f>
        <v>0</v>
      </c>
      <c r="N3393" s="3" t="s">
        <v>2148</v>
      </c>
    </row>
    <row r="3394" spans="1:14" x14ac:dyDescent="0.25">
      <c r="A3394" s="1" t="s">
        <v>12196</v>
      </c>
      <c r="B3394" s="3" t="s">
        <v>7018</v>
      </c>
      <c r="C3394" s="2">
        <f ca="1">IF(ISNUMBER(SEARCH(Лист2!$B$4,D:D)),MAX($C$3:OFFSET(C3394,-1,0))+1,0)</f>
        <v>0</v>
      </c>
      <c r="E3394" s="9" t="str">
        <f t="shared" ca="1" si="64"/>
        <v/>
      </c>
      <c r="F3394" s="4" t="s">
        <v>9</v>
      </c>
      <c r="G3394" s="2">
        <f>IF(ISNUMBER(SEARCH(Лист2!$B$4,F:F)),1,0)</f>
        <v>0</v>
      </c>
      <c r="H3394" s="3">
        <f ca="1">IF(AND(I3394&lt;&gt;I3393,ISNUMBER(SEARCH(Лист2!$B$5,I:I)),G3394=1),MAX($H$3:OFFSET(H3394,-1,0))+1,0)</f>
        <v>0</v>
      </c>
      <c r="I3394" s="3" t="s">
        <v>293</v>
      </c>
      <c r="K3394" s="2">
        <f>IF(ISNUMBER(SEARCH(Лист2!$B$4,F:F)),1,0)</f>
        <v>0</v>
      </c>
      <c r="L3394" s="14">
        <f>IF(ISNUMBER(SEARCH(Лист2!$B$5,I:I)),1,0)+K3394</f>
        <v>0</v>
      </c>
      <c r="M3394" s="3">
        <f ca="1">IF(AND(N3394&lt;&gt;N3393,ISNUMBER(SEARCH(Лист2!$B$6,N:N)),L3394=2),MAX($M$3:OFFSET(M3394,-1,0))+1,0)</f>
        <v>0</v>
      </c>
      <c r="N3394" s="3" t="s">
        <v>2149</v>
      </c>
    </row>
    <row r="3395" spans="1:14" x14ac:dyDescent="0.25">
      <c r="A3395" s="1" t="s">
        <v>12197</v>
      </c>
      <c r="B3395" s="3" t="s">
        <v>7019</v>
      </c>
      <c r="C3395" s="2">
        <f ca="1">IF(ISNUMBER(SEARCH(Лист2!$B$4,D:D)),MAX($C$3:OFFSET(C3395,-1,0))+1,0)</f>
        <v>0</v>
      </c>
      <c r="E3395" s="9" t="str">
        <f t="shared" ca="1" si="64"/>
        <v/>
      </c>
      <c r="F3395" s="4" t="s">
        <v>9</v>
      </c>
      <c r="G3395" s="2">
        <f>IF(ISNUMBER(SEARCH(Лист2!$B$4,F:F)),1,0)</f>
        <v>0</v>
      </c>
      <c r="H3395" s="3">
        <f ca="1">IF(AND(I3395&lt;&gt;I3394,ISNUMBER(SEARCH(Лист2!$B$5,I:I)),G3395=1),MAX($H$3:OFFSET(H3395,-1,0))+1,0)</f>
        <v>0</v>
      </c>
      <c r="I3395" s="3" t="s">
        <v>293</v>
      </c>
      <c r="K3395" s="2">
        <f>IF(ISNUMBER(SEARCH(Лист2!$B$4,F:F)),1,0)</f>
        <v>0</v>
      </c>
      <c r="L3395" s="14">
        <f>IF(ISNUMBER(SEARCH(Лист2!$B$5,I:I)),1,0)+K3395</f>
        <v>0</v>
      </c>
      <c r="M3395" s="3">
        <f ca="1">IF(AND(N3395&lt;&gt;N3394,ISNUMBER(SEARCH(Лист2!$B$6,N:N)),L3395=2),MAX($M$3:OFFSET(M3395,-1,0))+1,0)</f>
        <v>0</v>
      </c>
      <c r="N3395" s="3" t="s">
        <v>2150</v>
      </c>
    </row>
    <row r="3396" spans="1:14" x14ac:dyDescent="0.25">
      <c r="A3396" s="1" t="s">
        <v>12198</v>
      </c>
      <c r="B3396" s="3" t="s">
        <v>7020</v>
      </c>
      <c r="C3396" s="2">
        <f ca="1">IF(ISNUMBER(SEARCH(Лист2!$B$4,D:D)),MAX($C$3:OFFSET(C3396,-1,0))+1,0)</f>
        <v>0</v>
      </c>
      <c r="E3396" s="9" t="str">
        <f t="shared" ca="1" si="64"/>
        <v/>
      </c>
      <c r="F3396" s="4" t="s">
        <v>9</v>
      </c>
      <c r="G3396" s="2">
        <f>IF(ISNUMBER(SEARCH(Лист2!$B$4,F:F)),1,0)</f>
        <v>0</v>
      </c>
      <c r="H3396" s="3">
        <f ca="1">IF(AND(I3396&lt;&gt;I3395,ISNUMBER(SEARCH(Лист2!$B$5,I:I)),G3396=1),MAX($H$3:OFFSET(H3396,-1,0))+1,0)</f>
        <v>0</v>
      </c>
      <c r="I3396" s="3" t="s">
        <v>267</v>
      </c>
      <c r="K3396" s="2">
        <f>IF(ISNUMBER(SEARCH(Лист2!$B$4,F:F)),1,0)</f>
        <v>0</v>
      </c>
      <c r="L3396" s="14">
        <f>IF(ISNUMBER(SEARCH(Лист2!$B$5,I:I)),1,0)+K3396</f>
        <v>0</v>
      </c>
      <c r="M3396" s="3">
        <f ca="1">IF(AND(N3396&lt;&gt;N3395,ISNUMBER(SEARCH(Лист2!$B$6,N:N)),L3396=2),MAX($M$3:OFFSET(M3396,-1,0))+1,0)</f>
        <v>0</v>
      </c>
      <c r="N3396" s="3" t="s">
        <v>2151</v>
      </c>
    </row>
    <row r="3397" spans="1:14" x14ac:dyDescent="0.25">
      <c r="A3397" s="1" t="s">
        <v>12199</v>
      </c>
      <c r="B3397" s="3" t="s">
        <v>7021</v>
      </c>
      <c r="C3397" s="2">
        <f ca="1">IF(ISNUMBER(SEARCH(Лист2!$B$4,D:D)),MAX($C$3:OFFSET(C3397,-1,0))+1,0)</f>
        <v>0</v>
      </c>
      <c r="E3397" s="9" t="str">
        <f t="shared" ref="E3397:E3460" ca="1" si="65">IFERROR(INDEX(D:D,MATCH(ROW(E3397)-ROW($E$3),C:C,0)),"")</f>
        <v/>
      </c>
      <c r="F3397" s="4" t="s">
        <v>9</v>
      </c>
      <c r="G3397" s="2">
        <f>IF(ISNUMBER(SEARCH(Лист2!$B$4,F:F)),1,0)</f>
        <v>0</v>
      </c>
      <c r="H3397" s="3">
        <f ca="1">IF(AND(I3397&lt;&gt;I3396,ISNUMBER(SEARCH(Лист2!$B$5,I:I)),G3397=1),MAX($H$3:OFFSET(H3397,-1,0))+1,0)</f>
        <v>0</v>
      </c>
      <c r="I3397" s="3" t="s">
        <v>267</v>
      </c>
      <c r="K3397" s="2">
        <f>IF(ISNUMBER(SEARCH(Лист2!$B$4,F:F)),1,0)</f>
        <v>0</v>
      </c>
      <c r="L3397" s="14">
        <f>IF(ISNUMBER(SEARCH(Лист2!$B$5,I:I)),1,0)+K3397</f>
        <v>0</v>
      </c>
      <c r="M3397" s="3">
        <f ca="1">IF(AND(N3397&lt;&gt;N3396,ISNUMBER(SEARCH(Лист2!$B$6,N:N)),L3397=2),MAX($M$3:OFFSET(M3397,-1,0))+1,0)</f>
        <v>0</v>
      </c>
      <c r="N3397" s="3" t="s">
        <v>2152</v>
      </c>
    </row>
    <row r="3398" spans="1:14" x14ac:dyDescent="0.25">
      <c r="A3398" s="1" t="s">
        <v>12200</v>
      </c>
      <c r="B3398" s="3" t="s">
        <v>7022</v>
      </c>
      <c r="C3398" s="2">
        <f ca="1">IF(ISNUMBER(SEARCH(Лист2!$B$4,D:D)),MAX($C$3:OFFSET(C3398,-1,0))+1,0)</f>
        <v>0</v>
      </c>
      <c r="E3398" s="9" t="str">
        <f t="shared" ca="1" si="65"/>
        <v/>
      </c>
      <c r="F3398" s="4" t="s">
        <v>9</v>
      </c>
      <c r="G3398" s="2">
        <f>IF(ISNUMBER(SEARCH(Лист2!$B$4,F:F)),1,0)</f>
        <v>0</v>
      </c>
      <c r="H3398" s="3">
        <f ca="1">IF(AND(I3398&lt;&gt;I3397,ISNUMBER(SEARCH(Лист2!$B$5,I:I)),G3398=1),MAX($H$3:OFFSET(H3398,-1,0))+1,0)</f>
        <v>0</v>
      </c>
      <c r="I3398" s="3" t="s">
        <v>267</v>
      </c>
      <c r="K3398" s="2">
        <f>IF(ISNUMBER(SEARCH(Лист2!$B$4,F:F)),1,0)</f>
        <v>0</v>
      </c>
      <c r="L3398" s="14">
        <f>IF(ISNUMBER(SEARCH(Лист2!$B$5,I:I)),1,0)+K3398</f>
        <v>0</v>
      </c>
      <c r="M3398" s="3">
        <f ca="1">IF(AND(N3398&lt;&gt;N3397,ISNUMBER(SEARCH(Лист2!$B$6,N:N)),L3398=2),MAX($M$3:OFFSET(M3398,-1,0))+1,0)</f>
        <v>0</v>
      </c>
      <c r="N3398" s="3" t="s">
        <v>2153</v>
      </c>
    </row>
    <row r="3399" spans="1:14" x14ac:dyDescent="0.25">
      <c r="A3399" s="1" t="s">
        <v>12201</v>
      </c>
      <c r="B3399" s="3" t="s">
        <v>7023</v>
      </c>
      <c r="C3399" s="2">
        <f ca="1">IF(ISNUMBER(SEARCH(Лист2!$B$4,D:D)),MAX($C$3:OFFSET(C3399,-1,0))+1,0)</f>
        <v>0</v>
      </c>
      <c r="E3399" s="9" t="str">
        <f t="shared" ca="1" si="65"/>
        <v/>
      </c>
      <c r="F3399" s="4" t="s">
        <v>9</v>
      </c>
      <c r="G3399" s="2">
        <f>IF(ISNUMBER(SEARCH(Лист2!$B$4,F:F)),1,0)</f>
        <v>0</v>
      </c>
      <c r="H3399" s="3">
        <f ca="1">IF(AND(I3399&lt;&gt;I3398,ISNUMBER(SEARCH(Лист2!$B$5,I:I)),G3399=1),MAX($H$3:OFFSET(H3399,-1,0))+1,0)</f>
        <v>0</v>
      </c>
      <c r="I3399" s="3" t="s">
        <v>267</v>
      </c>
      <c r="K3399" s="2">
        <f>IF(ISNUMBER(SEARCH(Лист2!$B$4,F:F)),1,0)</f>
        <v>0</v>
      </c>
      <c r="L3399" s="14">
        <f>IF(ISNUMBER(SEARCH(Лист2!$B$5,I:I)),1,0)+K3399</f>
        <v>0</v>
      </c>
      <c r="M3399" s="3">
        <f ca="1">IF(AND(N3399&lt;&gt;N3398,ISNUMBER(SEARCH(Лист2!$B$6,N:N)),L3399=2),MAX($M$3:OFFSET(M3399,-1,0))+1,0)</f>
        <v>0</v>
      </c>
      <c r="N3399" s="3" t="s">
        <v>2154</v>
      </c>
    </row>
    <row r="3400" spans="1:14" x14ac:dyDescent="0.25">
      <c r="A3400" s="1" t="s">
        <v>12202</v>
      </c>
      <c r="B3400" s="3" t="s">
        <v>7024</v>
      </c>
      <c r="C3400" s="2">
        <f ca="1">IF(ISNUMBER(SEARCH(Лист2!$B$4,D:D)),MAX($C$3:OFFSET(C3400,-1,0))+1,0)</f>
        <v>0</v>
      </c>
      <c r="E3400" s="9" t="str">
        <f t="shared" ca="1" si="65"/>
        <v/>
      </c>
      <c r="F3400" s="4" t="s">
        <v>9</v>
      </c>
      <c r="G3400" s="2">
        <f>IF(ISNUMBER(SEARCH(Лист2!$B$4,F:F)),1,0)</f>
        <v>0</v>
      </c>
      <c r="H3400" s="3">
        <f ca="1">IF(AND(I3400&lt;&gt;I3399,ISNUMBER(SEARCH(Лист2!$B$5,I:I)),G3400=1),MAX($H$3:OFFSET(H3400,-1,0))+1,0)</f>
        <v>0</v>
      </c>
      <c r="I3400" s="3" t="s">
        <v>267</v>
      </c>
      <c r="K3400" s="2">
        <f>IF(ISNUMBER(SEARCH(Лист2!$B$4,F:F)),1,0)</f>
        <v>0</v>
      </c>
      <c r="L3400" s="14">
        <f>IF(ISNUMBER(SEARCH(Лист2!$B$5,I:I)),1,0)+K3400</f>
        <v>0</v>
      </c>
      <c r="M3400" s="3">
        <f ca="1">IF(AND(N3400&lt;&gt;N3399,ISNUMBER(SEARCH(Лист2!$B$6,N:N)),L3400=2),MAX($M$3:OFFSET(M3400,-1,0))+1,0)</f>
        <v>0</v>
      </c>
      <c r="N3400" s="3" t="s">
        <v>2155</v>
      </c>
    </row>
    <row r="3401" spans="1:14" x14ac:dyDescent="0.25">
      <c r="A3401" s="1" t="s">
        <v>12203</v>
      </c>
      <c r="B3401" s="3" t="s">
        <v>7025</v>
      </c>
      <c r="C3401" s="2">
        <f ca="1">IF(ISNUMBER(SEARCH(Лист2!$B$4,D:D)),MAX($C$3:OFFSET(C3401,-1,0))+1,0)</f>
        <v>0</v>
      </c>
      <c r="E3401" s="9" t="str">
        <f t="shared" ca="1" si="65"/>
        <v/>
      </c>
      <c r="F3401" s="4" t="s">
        <v>9</v>
      </c>
      <c r="G3401" s="2">
        <f>IF(ISNUMBER(SEARCH(Лист2!$B$4,F:F)),1,0)</f>
        <v>0</v>
      </c>
      <c r="H3401" s="3">
        <f ca="1">IF(AND(I3401&lt;&gt;I3400,ISNUMBER(SEARCH(Лист2!$B$5,I:I)),G3401=1),MAX($H$3:OFFSET(H3401,-1,0))+1,0)</f>
        <v>0</v>
      </c>
      <c r="I3401" s="3" t="s">
        <v>267</v>
      </c>
      <c r="K3401" s="2">
        <f>IF(ISNUMBER(SEARCH(Лист2!$B$4,F:F)),1,0)</f>
        <v>0</v>
      </c>
      <c r="L3401" s="14">
        <f>IF(ISNUMBER(SEARCH(Лист2!$B$5,I:I)),1,0)+K3401</f>
        <v>0</v>
      </c>
      <c r="M3401" s="3">
        <f ca="1">IF(AND(N3401&lt;&gt;N3400,ISNUMBER(SEARCH(Лист2!$B$6,N:N)),L3401=2),MAX($M$3:OFFSET(M3401,-1,0))+1,0)</f>
        <v>0</v>
      </c>
      <c r="N3401" s="3" t="s">
        <v>1385</v>
      </c>
    </row>
    <row r="3402" spans="1:14" x14ac:dyDescent="0.25">
      <c r="A3402" s="1" t="s">
        <v>12204</v>
      </c>
      <c r="B3402" s="3" t="s">
        <v>7026</v>
      </c>
      <c r="C3402" s="2">
        <f ca="1">IF(ISNUMBER(SEARCH(Лист2!$B$4,D:D)),MAX($C$3:OFFSET(C3402,-1,0))+1,0)</f>
        <v>0</v>
      </c>
      <c r="E3402" s="9" t="str">
        <f t="shared" ca="1" si="65"/>
        <v/>
      </c>
      <c r="F3402" s="4" t="s">
        <v>9</v>
      </c>
      <c r="G3402" s="2">
        <f>IF(ISNUMBER(SEARCH(Лист2!$B$4,F:F)),1,0)</f>
        <v>0</v>
      </c>
      <c r="H3402" s="3">
        <f ca="1">IF(AND(I3402&lt;&gt;I3401,ISNUMBER(SEARCH(Лист2!$B$5,I:I)),G3402=1),MAX($H$3:OFFSET(H3402,-1,0))+1,0)</f>
        <v>0</v>
      </c>
      <c r="I3402" s="3" t="s">
        <v>267</v>
      </c>
      <c r="K3402" s="2">
        <f>IF(ISNUMBER(SEARCH(Лист2!$B$4,F:F)),1,0)</f>
        <v>0</v>
      </c>
      <c r="L3402" s="14">
        <f>IF(ISNUMBER(SEARCH(Лист2!$B$5,I:I)),1,0)+K3402</f>
        <v>0</v>
      </c>
      <c r="M3402" s="3">
        <f ca="1">IF(AND(N3402&lt;&gt;N3401,ISNUMBER(SEARCH(Лист2!$B$6,N:N)),L3402=2),MAX($M$3:OFFSET(M3402,-1,0))+1,0)</f>
        <v>0</v>
      </c>
      <c r="N3402" s="3" t="s">
        <v>602</v>
      </c>
    </row>
    <row r="3403" spans="1:14" x14ac:dyDescent="0.25">
      <c r="A3403" s="1" t="s">
        <v>12205</v>
      </c>
      <c r="B3403" s="3" t="s">
        <v>7027</v>
      </c>
      <c r="C3403" s="2">
        <f ca="1">IF(ISNUMBER(SEARCH(Лист2!$B$4,D:D)),MAX($C$3:OFFSET(C3403,-1,0))+1,0)</f>
        <v>0</v>
      </c>
      <c r="E3403" s="9" t="str">
        <f t="shared" ca="1" si="65"/>
        <v/>
      </c>
      <c r="F3403" s="4" t="s">
        <v>9</v>
      </c>
      <c r="G3403" s="2">
        <f>IF(ISNUMBER(SEARCH(Лист2!$B$4,F:F)),1,0)</f>
        <v>0</v>
      </c>
      <c r="H3403" s="3">
        <f ca="1">IF(AND(I3403&lt;&gt;I3402,ISNUMBER(SEARCH(Лист2!$B$5,I:I)),G3403=1),MAX($H$3:OFFSET(H3403,-1,0))+1,0)</f>
        <v>0</v>
      </c>
      <c r="I3403" s="3" t="s">
        <v>267</v>
      </c>
      <c r="K3403" s="2">
        <f>IF(ISNUMBER(SEARCH(Лист2!$B$4,F:F)),1,0)</f>
        <v>0</v>
      </c>
      <c r="L3403" s="14">
        <f>IF(ISNUMBER(SEARCH(Лист2!$B$5,I:I)),1,0)+K3403</f>
        <v>0</v>
      </c>
      <c r="M3403" s="3">
        <f ca="1">IF(AND(N3403&lt;&gt;N3402,ISNUMBER(SEARCH(Лист2!$B$6,N:N)),L3403=2),MAX($M$3:OFFSET(M3403,-1,0))+1,0)</f>
        <v>0</v>
      </c>
      <c r="N3403" s="3" t="s">
        <v>2156</v>
      </c>
    </row>
    <row r="3404" spans="1:14" x14ac:dyDescent="0.25">
      <c r="A3404" s="1" t="s">
        <v>12206</v>
      </c>
      <c r="B3404" s="3" t="s">
        <v>7028</v>
      </c>
      <c r="C3404" s="2">
        <f ca="1">IF(ISNUMBER(SEARCH(Лист2!$B$4,D:D)),MAX($C$3:OFFSET(C3404,-1,0))+1,0)</f>
        <v>0</v>
      </c>
      <c r="E3404" s="9" t="str">
        <f t="shared" ca="1" si="65"/>
        <v/>
      </c>
      <c r="F3404" s="4" t="s">
        <v>9</v>
      </c>
      <c r="G3404" s="2">
        <f>IF(ISNUMBER(SEARCH(Лист2!$B$4,F:F)),1,0)</f>
        <v>0</v>
      </c>
      <c r="H3404" s="3">
        <f ca="1">IF(AND(I3404&lt;&gt;I3403,ISNUMBER(SEARCH(Лист2!$B$5,I:I)),G3404=1),MAX($H$3:OFFSET(H3404,-1,0))+1,0)</f>
        <v>0</v>
      </c>
      <c r="I3404" s="3" t="s">
        <v>267</v>
      </c>
      <c r="K3404" s="2">
        <f>IF(ISNUMBER(SEARCH(Лист2!$B$4,F:F)),1,0)</f>
        <v>0</v>
      </c>
      <c r="L3404" s="14">
        <f>IF(ISNUMBER(SEARCH(Лист2!$B$5,I:I)),1,0)+K3404</f>
        <v>0</v>
      </c>
      <c r="M3404" s="3">
        <f ca="1">IF(AND(N3404&lt;&gt;N3403,ISNUMBER(SEARCH(Лист2!$B$6,N:N)),L3404=2),MAX($M$3:OFFSET(M3404,-1,0))+1,0)</f>
        <v>0</v>
      </c>
      <c r="N3404" s="3" t="s">
        <v>2157</v>
      </c>
    </row>
    <row r="3405" spans="1:14" x14ac:dyDescent="0.25">
      <c r="A3405" s="1" t="s">
        <v>12207</v>
      </c>
      <c r="B3405" s="3" t="s">
        <v>7029</v>
      </c>
      <c r="C3405" s="2">
        <f ca="1">IF(ISNUMBER(SEARCH(Лист2!$B$4,D:D)),MAX($C$3:OFFSET(C3405,-1,0))+1,0)</f>
        <v>0</v>
      </c>
      <c r="E3405" s="9" t="str">
        <f t="shared" ca="1" si="65"/>
        <v/>
      </c>
      <c r="F3405" s="4" t="s">
        <v>9</v>
      </c>
      <c r="G3405" s="2">
        <f>IF(ISNUMBER(SEARCH(Лист2!$B$4,F:F)),1,0)</f>
        <v>0</v>
      </c>
      <c r="H3405" s="3">
        <f ca="1">IF(AND(I3405&lt;&gt;I3404,ISNUMBER(SEARCH(Лист2!$B$5,I:I)),G3405=1),MAX($H$3:OFFSET(H3405,-1,0))+1,0)</f>
        <v>0</v>
      </c>
      <c r="I3405" s="3" t="s">
        <v>267</v>
      </c>
      <c r="K3405" s="2">
        <f>IF(ISNUMBER(SEARCH(Лист2!$B$4,F:F)),1,0)</f>
        <v>0</v>
      </c>
      <c r="L3405" s="14">
        <f>IF(ISNUMBER(SEARCH(Лист2!$B$5,I:I)),1,0)+K3405</f>
        <v>0</v>
      </c>
      <c r="M3405" s="3">
        <f ca="1">IF(AND(N3405&lt;&gt;N3404,ISNUMBER(SEARCH(Лист2!$B$6,N:N)),L3405=2),MAX($M$3:OFFSET(M3405,-1,0))+1,0)</f>
        <v>0</v>
      </c>
      <c r="N3405" s="3" t="s">
        <v>2121</v>
      </c>
    </row>
    <row r="3406" spans="1:14" x14ac:dyDescent="0.25">
      <c r="A3406" s="1" t="s">
        <v>12208</v>
      </c>
      <c r="B3406" s="3" t="s">
        <v>7030</v>
      </c>
      <c r="C3406" s="2">
        <f ca="1">IF(ISNUMBER(SEARCH(Лист2!$B$4,D:D)),MAX($C$3:OFFSET(C3406,-1,0))+1,0)</f>
        <v>0</v>
      </c>
      <c r="E3406" s="9" t="str">
        <f t="shared" ca="1" si="65"/>
        <v/>
      </c>
      <c r="F3406" s="4" t="s">
        <v>9</v>
      </c>
      <c r="G3406" s="2">
        <f>IF(ISNUMBER(SEARCH(Лист2!$B$4,F:F)),1,0)</f>
        <v>0</v>
      </c>
      <c r="H3406" s="3">
        <f ca="1">IF(AND(I3406&lt;&gt;I3405,ISNUMBER(SEARCH(Лист2!$B$5,I:I)),G3406=1),MAX($H$3:OFFSET(H3406,-1,0))+1,0)</f>
        <v>0</v>
      </c>
      <c r="I3406" s="3" t="s">
        <v>267</v>
      </c>
      <c r="K3406" s="2">
        <f>IF(ISNUMBER(SEARCH(Лист2!$B$4,F:F)),1,0)</f>
        <v>0</v>
      </c>
      <c r="L3406" s="14">
        <f>IF(ISNUMBER(SEARCH(Лист2!$B$5,I:I)),1,0)+K3406</f>
        <v>0</v>
      </c>
      <c r="M3406" s="3">
        <f ca="1">IF(AND(N3406&lt;&gt;N3405,ISNUMBER(SEARCH(Лист2!$B$6,N:N)),L3406=2),MAX($M$3:OFFSET(M3406,-1,0))+1,0)</f>
        <v>0</v>
      </c>
      <c r="N3406" s="3" t="s">
        <v>2158</v>
      </c>
    </row>
    <row r="3407" spans="1:14" x14ac:dyDescent="0.25">
      <c r="A3407" s="1" t="s">
        <v>12209</v>
      </c>
      <c r="B3407" s="3" t="s">
        <v>7031</v>
      </c>
      <c r="C3407" s="2">
        <f ca="1">IF(ISNUMBER(SEARCH(Лист2!$B$4,D:D)),MAX($C$3:OFFSET(C3407,-1,0))+1,0)</f>
        <v>0</v>
      </c>
      <c r="E3407" s="9" t="str">
        <f t="shared" ca="1" si="65"/>
        <v/>
      </c>
      <c r="F3407" s="4" t="s">
        <v>9</v>
      </c>
      <c r="G3407" s="2">
        <f>IF(ISNUMBER(SEARCH(Лист2!$B$4,F:F)),1,0)</f>
        <v>0</v>
      </c>
      <c r="H3407" s="3">
        <f ca="1">IF(AND(I3407&lt;&gt;I3406,ISNUMBER(SEARCH(Лист2!$B$5,I:I)),G3407=1),MAX($H$3:OFFSET(H3407,-1,0))+1,0)</f>
        <v>0</v>
      </c>
      <c r="I3407" s="3" t="s">
        <v>267</v>
      </c>
      <c r="K3407" s="2">
        <f>IF(ISNUMBER(SEARCH(Лист2!$B$4,F:F)),1,0)</f>
        <v>0</v>
      </c>
      <c r="L3407" s="14">
        <f>IF(ISNUMBER(SEARCH(Лист2!$B$5,I:I)),1,0)+K3407</f>
        <v>0</v>
      </c>
      <c r="M3407" s="3">
        <f ca="1">IF(AND(N3407&lt;&gt;N3406,ISNUMBER(SEARCH(Лист2!$B$6,N:N)),L3407=2),MAX($M$3:OFFSET(M3407,-1,0))+1,0)</f>
        <v>0</v>
      </c>
      <c r="N3407" s="3" t="s">
        <v>2159</v>
      </c>
    </row>
    <row r="3408" spans="1:14" x14ac:dyDescent="0.25">
      <c r="A3408" s="1" t="s">
        <v>12210</v>
      </c>
      <c r="B3408" s="3" t="s">
        <v>7032</v>
      </c>
      <c r="C3408" s="2">
        <f ca="1">IF(ISNUMBER(SEARCH(Лист2!$B$4,D:D)),MAX($C$3:OFFSET(C3408,-1,0))+1,0)</f>
        <v>0</v>
      </c>
      <c r="E3408" s="9" t="str">
        <f t="shared" ca="1" si="65"/>
        <v/>
      </c>
      <c r="F3408" s="4" t="s">
        <v>9</v>
      </c>
      <c r="G3408" s="2">
        <f>IF(ISNUMBER(SEARCH(Лист2!$B$4,F:F)),1,0)</f>
        <v>0</v>
      </c>
      <c r="H3408" s="3">
        <f ca="1">IF(AND(I3408&lt;&gt;I3407,ISNUMBER(SEARCH(Лист2!$B$5,I:I)),G3408=1),MAX($H$3:OFFSET(H3408,-1,0))+1,0)</f>
        <v>0</v>
      </c>
      <c r="I3408" s="3" t="s">
        <v>267</v>
      </c>
      <c r="K3408" s="2">
        <f>IF(ISNUMBER(SEARCH(Лист2!$B$4,F:F)),1,0)</f>
        <v>0</v>
      </c>
      <c r="L3408" s="14">
        <f>IF(ISNUMBER(SEARCH(Лист2!$B$5,I:I)),1,0)+K3408</f>
        <v>0</v>
      </c>
      <c r="M3408" s="3">
        <f ca="1">IF(AND(N3408&lt;&gt;N3407,ISNUMBER(SEARCH(Лист2!$B$6,N:N)),L3408=2),MAX($M$3:OFFSET(M3408,-1,0))+1,0)</f>
        <v>0</v>
      </c>
      <c r="N3408" s="3" t="s">
        <v>2160</v>
      </c>
    </row>
    <row r="3409" spans="1:14" x14ac:dyDescent="0.25">
      <c r="A3409" s="1" t="s">
        <v>12211</v>
      </c>
      <c r="B3409" s="3" t="s">
        <v>7033</v>
      </c>
      <c r="C3409" s="2">
        <f ca="1">IF(ISNUMBER(SEARCH(Лист2!$B$4,D:D)),MAX($C$3:OFFSET(C3409,-1,0))+1,0)</f>
        <v>0</v>
      </c>
      <c r="E3409" s="9" t="str">
        <f t="shared" ca="1" si="65"/>
        <v/>
      </c>
      <c r="F3409" s="4" t="s">
        <v>9</v>
      </c>
      <c r="G3409" s="2">
        <f>IF(ISNUMBER(SEARCH(Лист2!$B$4,F:F)),1,0)</f>
        <v>0</v>
      </c>
      <c r="H3409" s="3">
        <f ca="1">IF(AND(I3409&lt;&gt;I3408,ISNUMBER(SEARCH(Лист2!$B$5,I:I)),G3409=1),MAX($H$3:OFFSET(H3409,-1,0))+1,0)</f>
        <v>0</v>
      </c>
      <c r="I3409" s="3" t="s">
        <v>267</v>
      </c>
      <c r="K3409" s="2">
        <f>IF(ISNUMBER(SEARCH(Лист2!$B$4,F:F)),1,0)</f>
        <v>0</v>
      </c>
      <c r="L3409" s="14">
        <f>IF(ISNUMBER(SEARCH(Лист2!$B$5,I:I)),1,0)+K3409</f>
        <v>0</v>
      </c>
      <c r="M3409" s="3">
        <f ca="1">IF(AND(N3409&lt;&gt;N3408,ISNUMBER(SEARCH(Лист2!$B$6,N:N)),L3409=2),MAX($M$3:OFFSET(M3409,-1,0))+1,0)</f>
        <v>0</v>
      </c>
      <c r="N3409" s="3" t="s">
        <v>2161</v>
      </c>
    </row>
    <row r="3410" spans="1:14" x14ac:dyDescent="0.25">
      <c r="A3410" s="1" t="s">
        <v>12212</v>
      </c>
      <c r="B3410" s="3" t="s">
        <v>7034</v>
      </c>
      <c r="C3410" s="2">
        <f ca="1">IF(ISNUMBER(SEARCH(Лист2!$B$4,D:D)),MAX($C$3:OFFSET(C3410,-1,0))+1,0)</f>
        <v>0</v>
      </c>
      <c r="E3410" s="9" t="str">
        <f t="shared" ca="1" si="65"/>
        <v/>
      </c>
      <c r="F3410" s="4" t="s">
        <v>9</v>
      </c>
      <c r="G3410" s="2">
        <f>IF(ISNUMBER(SEARCH(Лист2!$B$4,F:F)),1,0)</f>
        <v>0</v>
      </c>
      <c r="H3410" s="3">
        <f ca="1">IF(AND(I3410&lt;&gt;I3409,ISNUMBER(SEARCH(Лист2!$B$5,I:I)),G3410=1),MAX($H$3:OFFSET(H3410,-1,0))+1,0)</f>
        <v>0</v>
      </c>
      <c r="I3410" s="3" t="s">
        <v>267</v>
      </c>
      <c r="K3410" s="2">
        <f>IF(ISNUMBER(SEARCH(Лист2!$B$4,F:F)),1,0)</f>
        <v>0</v>
      </c>
      <c r="L3410" s="14">
        <f>IF(ISNUMBER(SEARCH(Лист2!$B$5,I:I)),1,0)+K3410</f>
        <v>0</v>
      </c>
      <c r="M3410" s="3">
        <f ca="1">IF(AND(N3410&lt;&gt;N3409,ISNUMBER(SEARCH(Лист2!$B$6,N:N)),L3410=2),MAX($M$3:OFFSET(M3410,-1,0))+1,0)</f>
        <v>0</v>
      </c>
      <c r="N3410" s="3" t="s">
        <v>2162</v>
      </c>
    </row>
    <row r="3411" spans="1:14" x14ac:dyDescent="0.25">
      <c r="A3411" s="1" t="s">
        <v>12213</v>
      </c>
      <c r="B3411" s="3" t="s">
        <v>7035</v>
      </c>
      <c r="C3411" s="2">
        <f ca="1">IF(ISNUMBER(SEARCH(Лист2!$B$4,D:D)),MAX($C$3:OFFSET(C3411,-1,0))+1,0)</f>
        <v>0</v>
      </c>
      <c r="E3411" s="9" t="str">
        <f t="shared" ca="1" si="65"/>
        <v/>
      </c>
      <c r="F3411" s="4" t="s">
        <v>9</v>
      </c>
      <c r="G3411" s="2">
        <f>IF(ISNUMBER(SEARCH(Лист2!$B$4,F:F)),1,0)</f>
        <v>0</v>
      </c>
      <c r="H3411" s="3">
        <f ca="1">IF(AND(I3411&lt;&gt;I3410,ISNUMBER(SEARCH(Лист2!$B$5,I:I)),G3411=1),MAX($H$3:OFFSET(H3411,-1,0))+1,0)</f>
        <v>0</v>
      </c>
      <c r="I3411" s="3" t="s">
        <v>267</v>
      </c>
      <c r="K3411" s="2">
        <f>IF(ISNUMBER(SEARCH(Лист2!$B$4,F:F)),1,0)</f>
        <v>0</v>
      </c>
      <c r="L3411" s="14">
        <f>IF(ISNUMBER(SEARCH(Лист2!$B$5,I:I)),1,0)+K3411</f>
        <v>0</v>
      </c>
      <c r="M3411" s="3">
        <f ca="1">IF(AND(N3411&lt;&gt;N3410,ISNUMBER(SEARCH(Лист2!$B$6,N:N)),L3411=2),MAX($M$3:OFFSET(M3411,-1,0))+1,0)</f>
        <v>0</v>
      </c>
      <c r="N3411" s="3" t="s">
        <v>2163</v>
      </c>
    </row>
    <row r="3412" spans="1:14" x14ac:dyDescent="0.25">
      <c r="A3412" s="1" t="s">
        <v>12214</v>
      </c>
      <c r="B3412" s="3" t="s">
        <v>7036</v>
      </c>
      <c r="C3412" s="2">
        <f ca="1">IF(ISNUMBER(SEARCH(Лист2!$B$4,D:D)),MAX($C$3:OFFSET(C3412,-1,0))+1,0)</f>
        <v>0</v>
      </c>
      <c r="E3412" s="9" t="str">
        <f t="shared" ca="1" si="65"/>
        <v/>
      </c>
      <c r="F3412" s="4" t="s">
        <v>9</v>
      </c>
      <c r="G3412" s="2">
        <f>IF(ISNUMBER(SEARCH(Лист2!$B$4,F:F)),1,0)</f>
        <v>0</v>
      </c>
      <c r="H3412" s="3">
        <f ca="1">IF(AND(I3412&lt;&gt;I3411,ISNUMBER(SEARCH(Лист2!$B$5,I:I)),G3412=1),MAX($H$3:OFFSET(H3412,-1,0))+1,0)</f>
        <v>0</v>
      </c>
      <c r="I3412" s="3" t="s">
        <v>267</v>
      </c>
      <c r="K3412" s="2">
        <f>IF(ISNUMBER(SEARCH(Лист2!$B$4,F:F)),1,0)</f>
        <v>0</v>
      </c>
      <c r="L3412" s="14">
        <f>IF(ISNUMBER(SEARCH(Лист2!$B$5,I:I)),1,0)+K3412</f>
        <v>0</v>
      </c>
      <c r="M3412" s="3">
        <f ca="1">IF(AND(N3412&lt;&gt;N3411,ISNUMBER(SEARCH(Лист2!$B$6,N:N)),L3412=2),MAX($M$3:OFFSET(M3412,-1,0))+1,0)</f>
        <v>0</v>
      </c>
      <c r="N3412" s="3" t="s">
        <v>2164</v>
      </c>
    </row>
    <row r="3413" spans="1:14" x14ac:dyDescent="0.25">
      <c r="A3413" s="1" t="s">
        <v>12215</v>
      </c>
      <c r="B3413" s="3" t="s">
        <v>7037</v>
      </c>
      <c r="C3413" s="2">
        <f ca="1">IF(ISNUMBER(SEARCH(Лист2!$B$4,D:D)),MAX($C$3:OFFSET(C3413,-1,0))+1,0)</f>
        <v>0</v>
      </c>
      <c r="E3413" s="9" t="str">
        <f t="shared" ca="1" si="65"/>
        <v/>
      </c>
      <c r="F3413" s="4" t="s">
        <v>9</v>
      </c>
      <c r="G3413" s="2">
        <f>IF(ISNUMBER(SEARCH(Лист2!$B$4,F:F)),1,0)</f>
        <v>0</v>
      </c>
      <c r="H3413" s="3">
        <f ca="1">IF(AND(I3413&lt;&gt;I3412,ISNUMBER(SEARCH(Лист2!$B$5,I:I)),G3413=1),MAX($H$3:OFFSET(H3413,-1,0))+1,0)</f>
        <v>0</v>
      </c>
      <c r="I3413" s="3" t="s">
        <v>267</v>
      </c>
      <c r="K3413" s="2">
        <f>IF(ISNUMBER(SEARCH(Лист2!$B$4,F:F)),1,0)</f>
        <v>0</v>
      </c>
      <c r="L3413" s="14">
        <f>IF(ISNUMBER(SEARCH(Лист2!$B$5,I:I)),1,0)+K3413</f>
        <v>0</v>
      </c>
      <c r="M3413" s="3">
        <f ca="1">IF(AND(N3413&lt;&gt;N3412,ISNUMBER(SEARCH(Лист2!$B$6,N:N)),L3413=2),MAX($M$3:OFFSET(M3413,-1,0))+1,0)</f>
        <v>0</v>
      </c>
      <c r="N3413" s="3" t="s">
        <v>2165</v>
      </c>
    </row>
    <row r="3414" spans="1:14" x14ac:dyDescent="0.25">
      <c r="A3414" s="1" t="s">
        <v>12216</v>
      </c>
      <c r="B3414" s="3" t="s">
        <v>7038</v>
      </c>
      <c r="C3414" s="2">
        <f ca="1">IF(ISNUMBER(SEARCH(Лист2!$B$4,D:D)),MAX($C$3:OFFSET(C3414,-1,0))+1,0)</f>
        <v>0</v>
      </c>
      <c r="E3414" s="9" t="str">
        <f t="shared" ca="1" si="65"/>
        <v/>
      </c>
      <c r="F3414" s="4" t="s">
        <v>10</v>
      </c>
      <c r="G3414" s="2">
        <f>IF(ISNUMBER(SEARCH(Лист2!$B$4,F:F)),1,0)</f>
        <v>0</v>
      </c>
      <c r="H3414" s="3">
        <f ca="1">IF(AND(I3414&lt;&gt;I3413,ISNUMBER(SEARCH(Лист2!$B$5,I:I)),G3414=1),MAX($H$3:OFFSET(H3414,-1,0))+1,0)</f>
        <v>0</v>
      </c>
      <c r="I3414" s="3" t="s">
        <v>294</v>
      </c>
      <c r="K3414" s="2">
        <f>IF(ISNUMBER(SEARCH(Лист2!$B$4,F:F)),1,0)</f>
        <v>0</v>
      </c>
      <c r="L3414" s="14">
        <f>IF(ISNUMBER(SEARCH(Лист2!$B$5,I:I)),1,0)+K3414</f>
        <v>0</v>
      </c>
      <c r="M3414" s="3">
        <f ca="1">IF(AND(N3414&lt;&gt;N3413,ISNUMBER(SEARCH(Лист2!$B$6,N:N)),L3414=2),MAX($M$3:OFFSET(M3414,-1,0))+1,0)</f>
        <v>0</v>
      </c>
      <c r="N3414" s="3" t="s">
        <v>2166</v>
      </c>
    </row>
    <row r="3415" spans="1:14" x14ac:dyDescent="0.25">
      <c r="A3415" s="1" t="s">
        <v>12217</v>
      </c>
      <c r="B3415" s="3" t="s">
        <v>7039</v>
      </c>
      <c r="C3415" s="2">
        <f ca="1">IF(ISNUMBER(SEARCH(Лист2!$B$4,D:D)),MAX($C$3:OFFSET(C3415,-1,0))+1,0)</f>
        <v>0</v>
      </c>
      <c r="E3415" s="9" t="str">
        <f t="shared" ca="1" si="65"/>
        <v/>
      </c>
      <c r="F3415" s="4" t="s">
        <v>10</v>
      </c>
      <c r="G3415" s="2">
        <f>IF(ISNUMBER(SEARCH(Лист2!$B$4,F:F)),1,0)</f>
        <v>0</v>
      </c>
      <c r="H3415" s="3">
        <f ca="1">IF(AND(I3415&lt;&gt;I3414,ISNUMBER(SEARCH(Лист2!$B$5,I:I)),G3415=1),MAX($H$3:OFFSET(H3415,-1,0))+1,0)</f>
        <v>0</v>
      </c>
      <c r="I3415" s="3" t="s">
        <v>294</v>
      </c>
      <c r="K3415" s="2">
        <f>IF(ISNUMBER(SEARCH(Лист2!$B$4,F:F)),1,0)</f>
        <v>0</v>
      </c>
      <c r="L3415" s="14">
        <f>IF(ISNUMBER(SEARCH(Лист2!$B$5,I:I)),1,0)+K3415</f>
        <v>0</v>
      </c>
      <c r="M3415" s="3">
        <f ca="1">IF(AND(N3415&lt;&gt;N3414,ISNUMBER(SEARCH(Лист2!$B$6,N:N)),L3415=2),MAX($M$3:OFFSET(M3415,-1,0))+1,0)</f>
        <v>0</v>
      </c>
      <c r="N3415" s="3" t="s">
        <v>2167</v>
      </c>
    </row>
    <row r="3416" spans="1:14" x14ac:dyDescent="0.25">
      <c r="A3416" s="1" t="s">
        <v>12218</v>
      </c>
      <c r="B3416" s="3" t="s">
        <v>7040</v>
      </c>
      <c r="C3416" s="2">
        <f ca="1">IF(ISNUMBER(SEARCH(Лист2!$B$4,D:D)),MAX($C$3:OFFSET(C3416,-1,0))+1,0)</f>
        <v>0</v>
      </c>
      <c r="E3416" s="9" t="str">
        <f t="shared" ca="1" si="65"/>
        <v/>
      </c>
      <c r="F3416" s="4" t="s">
        <v>10</v>
      </c>
      <c r="G3416" s="2">
        <f>IF(ISNUMBER(SEARCH(Лист2!$B$4,F:F)),1,0)</f>
        <v>0</v>
      </c>
      <c r="H3416" s="3">
        <f ca="1">IF(AND(I3416&lt;&gt;I3415,ISNUMBER(SEARCH(Лист2!$B$5,I:I)),G3416=1),MAX($H$3:OFFSET(H3416,-1,0))+1,0)</f>
        <v>0</v>
      </c>
      <c r="I3416" s="3" t="s">
        <v>294</v>
      </c>
      <c r="K3416" s="2">
        <f>IF(ISNUMBER(SEARCH(Лист2!$B$4,F:F)),1,0)</f>
        <v>0</v>
      </c>
      <c r="L3416" s="14">
        <f>IF(ISNUMBER(SEARCH(Лист2!$B$5,I:I)),1,0)+K3416</f>
        <v>0</v>
      </c>
      <c r="M3416" s="3">
        <f ca="1">IF(AND(N3416&lt;&gt;N3415,ISNUMBER(SEARCH(Лист2!$B$6,N:N)),L3416=2),MAX($M$3:OFFSET(M3416,-1,0))+1,0)</f>
        <v>0</v>
      </c>
      <c r="N3416" s="3" t="s">
        <v>2168</v>
      </c>
    </row>
    <row r="3417" spans="1:14" x14ac:dyDescent="0.25">
      <c r="A3417" s="1" t="s">
        <v>12219</v>
      </c>
      <c r="B3417" s="3" t="s">
        <v>7041</v>
      </c>
      <c r="C3417" s="2">
        <f ca="1">IF(ISNUMBER(SEARCH(Лист2!$B$4,D:D)),MAX($C$3:OFFSET(C3417,-1,0))+1,0)</f>
        <v>0</v>
      </c>
      <c r="E3417" s="9" t="str">
        <f t="shared" ca="1" si="65"/>
        <v/>
      </c>
      <c r="F3417" s="4" t="s">
        <v>10</v>
      </c>
      <c r="G3417" s="2">
        <f>IF(ISNUMBER(SEARCH(Лист2!$B$4,F:F)),1,0)</f>
        <v>0</v>
      </c>
      <c r="H3417" s="3">
        <f ca="1">IF(AND(I3417&lt;&gt;I3416,ISNUMBER(SEARCH(Лист2!$B$5,I:I)),G3417=1),MAX($H$3:OFFSET(H3417,-1,0))+1,0)</f>
        <v>0</v>
      </c>
      <c r="I3417" s="3" t="s">
        <v>294</v>
      </c>
      <c r="K3417" s="2">
        <f>IF(ISNUMBER(SEARCH(Лист2!$B$4,F:F)),1,0)</f>
        <v>0</v>
      </c>
      <c r="L3417" s="14">
        <f>IF(ISNUMBER(SEARCH(Лист2!$B$5,I:I)),1,0)+K3417</f>
        <v>0</v>
      </c>
      <c r="M3417" s="3">
        <f ca="1">IF(AND(N3417&lt;&gt;N3416,ISNUMBER(SEARCH(Лист2!$B$6,N:N)),L3417=2),MAX($M$3:OFFSET(M3417,-1,0))+1,0)</f>
        <v>0</v>
      </c>
      <c r="N3417" s="3" t="s">
        <v>2169</v>
      </c>
    </row>
    <row r="3418" spans="1:14" x14ac:dyDescent="0.25">
      <c r="A3418" s="1" t="s">
        <v>12220</v>
      </c>
      <c r="B3418" s="3" t="s">
        <v>7042</v>
      </c>
      <c r="C3418" s="2">
        <f ca="1">IF(ISNUMBER(SEARCH(Лист2!$B$4,D:D)),MAX($C$3:OFFSET(C3418,-1,0))+1,0)</f>
        <v>0</v>
      </c>
      <c r="E3418" s="9" t="str">
        <f t="shared" ca="1" si="65"/>
        <v/>
      </c>
      <c r="F3418" s="4" t="s">
        <v>10</v>
      </c>
      <c r="G3418" s="2">
        <f>IF(ISNUMBER(SEARCH(Лист2!$B$4,F:F)),1,0)</f>
        <v>0</v>
      </c>
      <c r="H3418" s="3">
        <f ca="1">IF(AND(I3418&lt;&gt;I3417,ISNUMBER(SEARCH(Лист2!$B$5,I:I)),G3418=1),MAX($H$3:OFFSET(H3418,-1,0))+1,0)</f>
        <v>0</v>
      </c>
      <c r="I3418" s="3" t="s">
        <v>294</v>
      </c>
      <c r="K3418" s="2">
        <f>IF(ISNUMBER(SEARCH(Лист2!$B$4,F:F)),1,0)</f>
        <v>0</v>
      </c>
      <c r="L3418" s="14">
        <f>IF(ISNUMBER(SEARCH(Лист2!$B$5,I:I)),1,0)+K3418</f>
        <v>0</v>
      </c>
      <c r="M3418" s="3">
        <f ca="1">IF(AND(N3418&lt;&gt;N3417,ISNUMBER(SEARCH(Лист2!$B$6,N:N)),L3418=2),MAX($M$3:OFFSET(M3418,-1,0))+1,0)</f>
        <v>0</v>
      </c>
      <c r="N3418" s="3" t="s">
        <v>2170</v>
      </c>
    </row>
    <row r="3419" spans="1:14" x14ac:dyDescent="0.25">
      <c r="A3419" s="1" t="s">
        <v>12221</v>
      </c>
      <c r="B3419" s="3" t="s">
        <v>7043</v>
      </c>
      <c r="C3419" s="2">
        <f ca="1">IF(ISNUMBER(SEARCH(Лист2!$B$4,D:D)),MAX($C$3:OFFSET(C3419,-1,0))+1,0)</f>
        <v>0</v>
      </c>
      <c r="E3419" s="9" t="str">
        <f t="shared" ca="1" si="65"/>
        <v/>
      </c>
      <c r="F3419" s="4" t="s">
        <v>10</v>
      </c>
      <c r="G3419" s="2">
        <f>IF(ISNUMBER(SEARCH(Лист2!$B$4,F:F)),1,0)</f>
        <v>0</v>
      </c>
      <c r="H3419" s="3">
        <f ca="1">IF(AND(I3419&lt;&gt;I3418,ISNUMBER(SEARCH(Лист2!$B$5,I:I)),G3419=1),MAX($H$3:OFFSET(H3419,-1,0))+1,0)</f>
        <v>0</v>
      </c>
      <c r="I3419" s="3" t="s">
        <v>294</v>
      </c>
      <c r="K3419" s="2">
        <f>IF(ISNUMBER(SEARCH(Лист2!$B$4,F:F)),1,0)</f>
        <v>0</v>
      </c>
      <c r="L3419" s="14">
        <f>IF(ISNUMBER(SEARCH(Лист2!$B$5,I:I)),1,0)+K3419</f>
        <v>0</v>
      </c>
      <c r="M3419" s="3">
        <f ca="1">IF(AND(N3419&lt;&gt;N3418,ISNUMBER(SEARCH(Лист2!$B$6,N:N)),L3419=2),MAX($M$3:OFFSET(M3419,-1,0))+1,0)</f>
        <v>0</v>
      </c>
      <c r="N3419" s="3" t="s">
        <v>2171</v>
      </c>
    </row>
    <row r="3420" spans="1:14" x14ac:dyDescent="0.25">
      <c r="A3420" s="1" t="s">
        <v>12222</v>
      </c>
      <c r="B3420" s="3" t="s">
        <v>7044</v>
      </c>
      <c r="C3420" s="2">
        <f ca="1">IF(ISNUMBER(SEARCH(Лист2!$B$4,D:D)),MAX($C$3:OFFSET(C3420,-1,0))+1,0)</f>
        <v>0</v>
      </c>
      <c r="E3420" s="9" t="str">
        <f t="shared" ca="1" si="65"/>
        <v/>
      </c>
      <c r="F3420" s="4" t="s">
        <v>10</v>
      </c>
      <c r="G3420" s="2">
        <f>IF(ISNUMBER(SEARCH(Лист2!$B$4,F:F)),1,0)</f>
        <v>0</v>
      </c>
      <c r="H3420" s="3">
        <f ca="1">IF(AND(I3420&lt;&gt;I3419,ISNUMBER(SEARCH(Лист2!$B$5,I:I)),G3420=1),MAX($H$3:OFFSET(H3420,-1,0))+1,0)</f>
        <v>0</v>
      </c>
      <c r="I3420" s="3" t="s">
        <v>294</v>
      </c>
      <c r="K3420" s="2">
        <f>IF(ISNUMBER(SEARCH(Лист2!$B$4,F:F)),1,0)</f>
        <v>0</v>
      </c>
      <c r="L3420" s="14">
        <f>IF(ISNUMBER(SEARCH(Лист2!$B$5,I:I)),1,0)+K3420</f>
        <v>0</v>
      </c>
      <c r="M3420" s="3">
        <f ca="1">IF(AND(N3420&lt;&gt;N3419,ISNUMBER(SEARCH(Лист2!$B$6,N:N)),L3420=2),MAX($M$3:OFFSET(M3420,-1,0))+1,0)</f>
        <v>0</v>
      </c>
      <c r="N3420" s="3" t="s">
        <v>2172</v>
      </c>
    </row>
    <row r="3421" spans="1:14" x14ac:dyDescent="0.25">
      <c r="A3421" s="1" t="s">
        <v>12223</v>
      </c>
      <c r="B3421" s="3" t="s">
        <v>7045</v>
      </c>
      <c r="C3421" s="2">
        <f ca="1">IF(ISNUMBER(SEARCH(Лист2!$B$4,D:D)),MAX($C$3:OFFSET(C3421,-1,0))+1,0)</f>
        <v>0</v>
      </c>
      <c r="E3421" s="9" t="str">
        <f t="shared" ca="1" si="65"/>
        <v/>
      </c>
      <c r="F3421" s="4" t="s">
        <v>10</v>
      </c>
      <c r="G3421" s="2">
        <f>IF(ISNUMBER(SEARCH(Лист2!$B$4,F:F)),1,0)</f>
        <v>0</v>
      </c>
      <c r="H3421" s="3">
        <f ca="1">IF(AND(I3421&lt;&gt;I3420,ISNUMBER(SEARCH(Лист2!$B$5,I:I)),G3421=1),MAX($H$3:OFFSET(H3421,-1,0))+1,0)</f>
        <v>0</v>
      </c>
      <c r="I3421" s="3" t="s">
        <v>294</v>
      </c>
      <c r="K3421" s="2">
        <f>IF(ISNUMBER(SEARCH(Лист2!$B$4,F:F)),1,0)</f>
        <v>0</v>
      </c>
      <c r="L3421" s="14">
        <f>IF(ISNUMBER(SEARCH(Лист2!$B$5,I:I)),1,0)+K3421</f>
        <v>0</v>
      </c>
      <c r="M3421" s="3">
        <f ca="1">IF(AND(N3421&lt;&gt;N3420,ISNUMBER(SEARCH(Лист2!$B$6,N:N)),L3421=2),MAX($M$3:OFFSET(M3421,-1,0))+1,0)</f>
        <v>0</v>
      </c>
      <c r="N3421" s="3" t="s">
        <v>602</v>
      </c>
    </row>
    <row r="3422" spans="1:14" x14ac:dyDescent="0.25">
      <c r="A3422" s="1" t="s">
        <v>12224</v>
      </c>
      <c r="B3422" s="3" t="s">
        <v>7046</v>
      </c>
      <c r="C3422" s="2">
        <f ca="1">IF(ISNUMBER(SEARCH(Лист2!$B$4,D:D)),MAX($C$3:OFFSET(C3422,-1,0))+1,0)</f>
        <v>0</v>
      </c>
      <c r="E3422" s="9" t="str">
        <f t="shared" ca="1" si="65"/>
        <v/>
      </c>
      <c r="F3422" s="4" t="s">
        <v>10</v>
      </c>
      <c r="G3422" s="2">
        <f>IF(ISNUMBER(SEARCH(Лист2!$B$4,F:F)),1,0)</f>
        <v>0</v>
      </c>
      <c r="H3422" s="3">
        <f ca="1">IF(AND(I3422&lt;&gt;I3421,ISNUMBER(SEARCH(Лист2!$B$5,I:I)),G3422=1),MAX($H$3:OFFSET(H3422,-1,0))+1,0)</f>
        <v>0</v>
      </c>
      <c r="I3422" s="3" t="s">
        <v>294</v>
      </c>
      <c r="K3422" s="2">
        <f>IF(ISNUMBER(SEARCH(Лист2!$B$4,F:F)),1,0)</f>
        <v>0</v>
      </c>
      <c r="L3422" s="14">
        <f>IF(ISNUMBER(SEARCH(Лист2!$B$5,I:I)),1,0)+K3422</f>
        <v>0</v>
      </c>
      <c r="M3422" s="3">
        <f ca="1">IF(AND(N3422&lt;&gt;N3421,ISNUMBER(SEARCH(Лист2!$B$6,N:N)),L3422=2),MAX($M$3:OFFSET(M3422,-1,0))+1,0)</f>
        <v>0</v>
      </c>
      <c r="N3422" s="3" t="s">
        <v>2173</v>
      </c>
    </row>
    <row r="3423" spans="1:14" x14ac:dyDescent="0.25">
      <c r="A3423" s="1" t="s">
        <v>12225</v>
      </c>
      <c r="B3423" s="3" t="s">
        <v>7047</v>
      </c>
      <c r="C3423" s="2">
        <f ca="1">IF(ISNUMBER(SEARCH(Лист2!$B$4,D:D)),MAX($C$3:OFFSET(C3423,-1,0))+1,0)</f>
        <v>0</v>
      </c>
      <c r="E3423" s="9" t="str">
        <f t="shared" ca="1" si="65"/>
        <v/>
      </c>
      <c r="F3423" s="4" t="s">
        <v>10</v>
      </c>
      <c r="G3423" s="2">
        <f>IF(ISNUMBER(SEARCH(Лист2!$B$4,F:F)),1,0)</f>
        <v>0</v>
      </c>
      <c r="H3423" s="3">
        <f ca="1">IF(AND(I3423&lt;&gt;I3422,ISNUMBER(SEARCH(Лист2!$B$5,I:I)),G3423=1),MAX($H$3:OFFSET(H3423,-1,0))+1,0)</f>
        <v>0</v>
      </c>
      <c r="I3423" s="3" t="s">
        <v>294</v>
      </c>
      <c r="K3423" s="2">
        <f>IF(ISNUMBER(SEARCH(Лист2!$B$4,F:F)),1,0)</f>
        <v>0</v>
      </c>
      <c r="L3423" s="14">
        <f>IF(ISNUMBER(SEARCH(Лист2!$B$5,I:I)),1,0)+K3423</f>
        <v>0</v>
      </c>
      <c r="M3423" s="3">
        <f ca="1">IF(AND(N3423&lt;&gt;N3422,ISNUMBER(SEARCH(Лист2!$B$6,N:N)),L3423=2),MAX($M$3:OFFSET(M3423,-1,0))+1,0)</f>
        <v>0</v>
      </c>
      <c r="N3423" s="3" t="s">
        <v>2174</v>
      </c>
    </row>
    <row r="3424" spans="1:14" x14ac:dyDescent="0.25">
      <c r="A3424" s="1" t="s">
        <v>12226</v>
      </c>
      <c r="B3424" s="3" t="s">
        <v>7048</v>
      </c>
      <c r="C3424" s="2">
        <f ca="1">IF(ISNUMBER(SEARCH(Лист2!$B$4,D:D)),MAX($C$3:OFFSET(C3424,-1,0))+1,0)</f>
        <v>0</v>
      </c>
      <c r="E3424" s="9" t="str">
        <f t="shared" ca="1" si="65"/>
        <v/>
      </c>
      <c r="F3424" s="4" t="s">
        <v>10</v>
      </c>
      <c r="G3424" s="2">
        <f>IF(ISNUMBER(SEARCH(Лист2!$B$4,F:F)),1,0)</f>
        <v>0</v>
      </c>
      <c r="H3424" s="3">
        <f ca="1">IF(AND(I3424&lt;&gt;I3423,ISNUMBER(SEARCH(Лист2!$B$5,I:I)),G3424=1),MAX($H$3:OFFSET(H3424,-1,0))+1,0)</f>
        <v>0</v>
      </c>
      <c r="I3424" s="3" t="s">
        <v>295</v>
      </c>
      <c r="K3424" s="2">
        <f>IF(ISNUMBER(SEARCH(Лист2!$B$4,F:F)),1,0)</f>
        <v>0</v>
      </c>
      <c r="L3424" s="14">
        <f>IF(ISNUMBER(SEARCH(Лист2!$B$5,I:I)),1,0)+K3424</f>
        <v>0</v>
      </c>
      <c r="M3424" s="3">
        <f ca="1">IF(AND(N3424&lt;&gt;N3423,ISNUMBER(SEARCH(Лист2!$B$6,N:N)),L3424=2),MAX($M$3:OFFSET(M3424,-1,0))+1,0)</f>
        <v>0</v>
      </c>
      <c r="N3424" s="3" t="s">
        <v>2175</v>
      </c>
    </row>
    <row r="3425" spans="1:14" x14ac:dyDescent="0.25">
      <c r="A3425" s="1" t="s">
        <v>12227</v>
      </c>
      <c r="B3425" s="3" t="s">
        <v>7049</v>
      </c>
      <c r="C3425" s="2">
        <f ca="1">IF(ISNUMBER(SEARCH(Лист2!$B$4,D:D)),MAX($C$3:OFFSET(C3425,-1,0))+1,0)</f>
        <v>0</v>
      </c>
      <c r="E3425" s="9" t="str">
        <f t="shared" ca="1" si="65"/>
        <v/>
      </c>
      <c r="F3425" s="4" t="s">
        <v>10</v>
      </c>
      <c r="G3425" s="2">
        <f>IF(ISNUMBER(SEARCH(Лист2!$B$4,F:F)),1,0)</f>
        <v>0</v>
      </c>
      <c r="H3425" s="3">
        <f ca="1">IF(AND(I3425&lt;&gt;I3424,ISNUMBER(SEARCH(Лист2!$B$5,I:I)),G3425=1),MAX($H$3:OFFSET(H3425,-1,0))+1,0)</f>
        <v>0</v>
      </c>
      <c r="I3425" s="3" t="s">
        <v>295</v>
      </c>
      <c r="K3425" s="2">
        <f>IF(ISNUMBER(SEARCH(Лист2!$B$4,F:F)),1,0)</f>
        <v>0</v>
      </c>
      <c r="L3425" s="14">
        <f>IF(ISNUMBER(SEARCH(Лист2!$B$5,I:I)),1,0)+K3425</f>
        <v>0</v>
      </c>
      <c r="M3425" s="3">
        <f ca="1">IF(AND(N3425&lt;&gt;N3424,ISNUMBER(SEARCH(Лист2!$B$6,N:N)),L3425=2),MAX($M$3:OFFSET(M3425,-1,0))+1,0)</f>
        <v>0</v>
      </c>
      <c r="N3425" s="3" t="s">
        <v>2176</v>
      </c>
    </row>
    <row r="3426" spans="1:14" x14ac:dyDescent="0.25">
      <c r="A3426" s="1" t="s">
        <v>12228</v>
      </c>
      <c r="B3426" s="3" t="s">
        <v>7050</v>
      </c>
      <c r="C3426" s="2">
        <f ca="1">IF(ISNUMBER(SEARCH(Лист2!$B$4,D:D)),MAX($C$3:OFFSET(C3426,-1,0))+1,0)</f>
        <v>0</v>
      </c>
      <c r="E3426" s="9" t="str">
        <f t="shared" ca="1" si="65"/>
        <v/>
      </c>
      <c r="F3426" s="4" t="s">
        <v>10</v>
      </c>
      <c r="G3426" s="2">
        <f>IF(ISNUMBER(SEARCH(Лист2!$B$4,F:F)),1,0)</f>
        <v>0</v>
      </c>
      <c r="H3426" s="3">
        <f ca="1">IF(AND(I3426&lt;&gt;I3425,ISNUMBER(SEARCH(Лист2!$B$5,I:I)),G3426=1),MAX($H$3:OFFSET(H3426,-1,0))+1,0)</f>
        <v>0</v>
      </c>
      <c r="I3426" s="3" t="s">
        <v>295</v>
      </c>
      <c r="K3426" s="2">
        <f>IF(ISNUMBER(SEARCH(Лист2!$B$4,F:F)),1,0)</f>
        <v>0</v>
      </c>
      <c r="L3426" s="14">
        <f>IF(ISNUMBER(SEARCH(Лист2!$B$5,I:I)),1,0)+K3426</f>
        <v>0</v>
      </c>
      <c r="M3426" s="3">
        <f ca="1">IF(AND(N3426&lt;&gt;N3425,ISNUMBER(SEARCH(Лист2!$B$6,N:N)),L3426=2),MAX($M$3:OFFSET(M3426,-1,0))+1,0)</f>
        <v>0</v>
      </c>
      <c r="N3426" s="3" t="s">
        <v>2177</v>
      </c>
    </row>
    <row r="3427" spans="1:14" x14ac:dyDescent="0.25">
      <c r="A3427" s="1" t="s">
        <v>12229</v>
      </c>
      <c r="B3427" s="3" t="s">
        <v>7051</v>
      </c>
      <c r="C3427" s="2">
        <f ca="1">IF(ISNUMBER(SEARCH(Лист2!$B$4,D:D)),MAX($C$3:OFFSET(C3427,-1,0))+1,0)</f>
        <v>0</v>
      </c>
      <c r="E3427" s="9" t="str">
        <f t="shared" ca="1" si="65"/>
        <v/>
      </c>
      <c r="F3427" s="4" t="s">
        <v>10</v>
      </c>
      <c r="G3427" s="2">
        <f>IF(ISNUMBER(SEARCH(Лист2!$B$4,F:F)),1,0)</f>
        <v>0</v>
      </c>
      <c r="H3427" s="3">
        <f ca="1">IF(AND(I3427&lt;&gt;I3426,ISNUMBER(SEARCH(Лист2!$B$5,I:I)),G3427=1),MAX($H$3:OFFSET(H3427,-1,0))+1,0)</f>
        <v>0</v>
      </c>
      <c r="I3427" s="3" t="s">
        <v>295</v>
      </c>
      <c r="K3427" s="2">
        <f>IF(ISNUMBER(SEARCH(Лист2!$B$4,F:F)),1,0)</f>
        <v>0</v>
      </c>
      <c r="L3427" s="14">
        <f>IF(ISNUMBER(SEARCH(Лист2!$B$5,I:I)),1,0)+K3427</f>
        <v>0</v>
      </c>
      <c r="M3427" s="3">
        <f ca="1">IF(AND(N3427&lt;&gt;N3426,ISNUMBER(SEARCH(Лист2!$B$6,N:N)),L3427=2),MAX($M$3:OFFSET(M3427,-1,0))+1,0)</f>
        <v>0</v>
      </c>
      <c r="N3427" s="3" t="s">
        <v>2178</v>
      </c>
    </row>
    <row r="3428" spans="1:14" x14ac:dyDescent="0.25">
      <c r="A3428" s="1" t="s">
        <v>12230</v>
      </c>
      <c r="B3428" s="3" t="s">
        <v>7052</v>
      </c>
      <c r="C3428" s="2">
        <f ca="1">IF(ISNUMBER(SEARCH(Лист2!$B$4,D:D)),MAX($C$3:OFFSET(C3428,-1,0))+1,0)</f>
        <v>0</v>
      </c>
      <c r="E3428" s="9" t="str">
        <f t="shared" ca="1" si="65"/>
        <v/>
      </c>
      <c r="F3428" s="4" t="s">
        <v>10</v>
      </c>
      <c r="G3428" s="2">
        <f>IF(ISNUMBER(SEARCH(Лист2!$B$4,F:F)),1,0)</f>
        <v>0</v>
      </c>
      <c r="H3428" s="3">
        <f ca="1">IF(AND(I3428&lt;&gt;I3427,ISNUMBER(SEARCH(Лист2!$B$5,I:I)),G3428=1),MAX($H$3:OFFSET(H3428,-1,0))+1,0)</f>
        <v>0</v>
      </c>
      <c r="I3428" s="3" t="s">
        <v>295</v>
      </c>
      <c r="K3428" s="2">
        <f>IF(ISNUMBER(SEARCH(Лист2!$B$4,F:F)),1,0)</f>
        <v>0</v>
      </c>
      <c r="L3428" s="14">
        <f>IF(ISNUMBER(SEARCH(Лист2!$B$5,I:I)),1,0)+K3428</f>
        <v>0</v>
      </c>
      <c r="M3428" s="3">
        <f ca="1">IF(AND(N3428&lt;&gt;N3427,ISNUMBER(SEARCH(Лист2!$B$6,N:N)),L3428=2),MAX($M$3:OFFSET(M3428,-1,0))+1,0)</f>
        <v>0</v>
      </c>
      <c r="N3428" s="3" t="s">
        <v>2170</v>
      </c>
    </row>
    <row r="3429" spans="1:14" x14ac:dyDescent="0.25">
      <c r="A3429" s="1" t="s">
        <v>12231</v>
      </c>
      <c r="B3429" s="3" t="s">
        <v>7053</v>
      </c>
      <c r="C3429" s="2">
        <f ca="1">IF(ISNUMBER(SEARCH(Лист2!$B$4,D:D)),MAX($C$3:OFFSET(C3429,-1,0))+1,0)</f>
        <v>0</v>
      </c>
      <c r="E3429" s="9" t="str">
        <f t="shared" ca="1" si="65"/>
        <v/>
      </c>
      <c r="F3429" s="4" t="s">
        <v>10</v>
      </c>
      <c r="G3429" s="2">
        <f>IF(ISNUMBER(SEARCH(Лист2!$B$4,F:F)),1,0)</f>
        <v>0</v>
      </c>
      <c r="H3429" s="3">
        <f ca="1">IF(AND(I3429&lt;&gt;I3428,ISNUMBER(SEARCH(Лист2!$B$5,I:I)),G3429=1),MAX($H$3:OFFSET(H3429,-1,0))+1,0)</f>
        <v>0</v>
      </c>
      <c r="I3429" s="3" t="s">
        <v>295</v>
      </c>
      <c r="K3429" s="2">
        <f>IF(ISNUMBER(SEARCH(Лист2!$B$4,F:F)),1,0)</f>
        <v>0</v>
      </c>
      <c r="L3429" s="14">
        <f>IF(ISNUMBER(SEARCH(Лист2!$B$5,I:I)),1,0)+K3429</f>
        <v>0</v>
      </c>
      <c r="M3429" s="3">
        <f ca="1">IF(AND(N3429&lt;&gt;N3428,ISNUMBER(SEARCH(Лист2!$B$6,N:N)),L3429=2),MAX($M$3:OFFSET(M3429,-1,0))+1,0)</f>
        <v>0</v>
      </c>
      <c r="N3429" s="3" t="s">
        <v>2179</v>
      </c>
    </row>
    <row r="3430" spans="1:14" x14ac:dyDescent="0.25">
      <c r="A3430" s="1" t="s">
        <v>12232</v>
      </c>
      <c r="B3430" s="3" t="s">
        <v>7054</v>
      </c>
      <c r="C3430" s="2">
        <f ca="1">IF(ISNUMBER(SEARCH(Лист2!$B$4,D:D)),MAX($C$3:OFFSET(C3430,-1,0))+1,0)</f>
        <v>0</v>
      </c>
      <c r="E3430" s="9" t="str">
        <f t="shared" ca="1" si="65"/>
        <v/>
      </c>
      <c r="F3430" s="4" t="s">
        <v>10</v>
      </c>
      <c r="G3430" s="2">
        <f>IF(ISNUMBER(SEARCH(Лист2!$B$4,F:F)),1,0)</f>
        <v>0</v>
      </c>
      <c r="H3430" s="3">
        <f ca="1">IF(AND(I3430&lt;&gt;I3429,ISNUMBER(SEARCH(Лист2!$B$5,I:I)),G3430=1),MAX($H$3:OFFSET(H3430,-1,0))+1,0)</f>
        <v>0</v>
      </c>
      <c r="I3430" s="3" t="s">
        <v>295</v>
      </c>
      <c r="K3430" s="2">
        <f>IF(ISNUMBER(SEARCH(Лист2!$B$4,F:F)),1,0)</f>
        <v>0</v>
      </c>
      <c r="L3430" s="14">
        <f>IF(ISNUMBER(SEARCH(Лист2!$B$5,I:I)),1,0)+K3430</f>
        <v>0</v>
      </c>
      <c r="M3430" s="3">
        <f ca="1">IF(AND(N3430&lt;&gt;N3429,ISNUMBER(SEARCH(Лист2!$B$6,N:N)),L3430=2),MAX($M$3:OFFSET(M3430,-1,0))+1,0)</f>
        <v>0</v>
      </c>
      <c r="N3430" s="3" t="s">
        <v>2180</v>
      </c>
    </row>
    <row r="3431" spans="1:14" x14ac:dyDescent="0.25">
      <c r="A3431" s="1" t="s">
        <v>12233</v>
      </c>
      <c r="B3431" s="3" t="s">
        <v>7055</v>
      </c>
      <c r="C3431" s="2">
        <f ca="1">IF(ISNUMBER(SEARCH(Лист2!$B$4,D:D)),MAX($C$3:OFFSET(C3431,-1,0))+1,0)</f>
        <v>0</v>
      </c>
      <c r="E3431" s="9" t="str">
        <f t="shared" ca="1" si="65"/>
        <v/>
      </c>
      <c r="F3431" s="4" t="s">
        <v>10</v>
      </c>
      <c r="G3431" s="2">
        <f>IF(ISNUMBER(SEARCH(Лист2!$B$4,F:F)),1,0)</f>
        <v>0</v>
      </c>
      <c r="H3431" s="3">
        <f ca="1">IF(AND(I3431&lt;&gt;I3430,ISNUMBER(SEARCH(Лист2!$B$5,I:I)),G3431=1),MAX($H$3:OFFSET(H3431,-1,0))+1,0)</f>
        <v>0</v>
      </c>
      <c r="I3431" s="3" t="s">
        <v>295</v>
      </c>
      <c r="K3431" s="2">
        <f>IF(ISNUMBER(SEARCH(Лист2!$B$4,F:F)),1,0)</f>
        <v>0</v>
      </c>
      <c r="L3431" s="14">
        <f>IF(ISNUMBER(SEARCH(Лист2!$B$5,I:I)),1,0)+K3431</f>
        <v>0</v>
      </c>
      <c r="M3431" s="3">
        <f ca="1">IF(AND(N3431&lt;&gt;N3430,ISNUMBER(SEARCH(Лист2!$B$6,N:N)),L3431=2),MAX($M$3:OFFSET(M3431,-1,0))+1,0)</f>
        <v>0</v>
      </c>
      <c r="N3431" s="3" t="s">
        <v>602</v>
      </c>
    </row>
    <row r="3432" spans="1:14" x14ac:dyDescent="0.25">
      <c r="A3432" s="1" t="s">
        <v>12234</v>
      </c>
      <c r="B3432" s="3" t="s">
        <v>7056</v>
      </c>
      <c r="C3432" s="2">
        <f ca="1">IF(ISNUMBER(SEARCH(Лист2!$B$4,D:D)),MAX($C$3:OFFSET(C3432,-1,0))+1,0)</f>
        <v>0</v>
      </c>
      <c r="E3432" s="9" t="str">
        <f t="shared" ca="1" si="65"/>
        <v/>
      </c>
      <c r="F3432" s="4" t="s">
        <v>10</v>
      </c>
      <c r="G3432" s="2">
        <f>IF(ISNUMBER(SEARCH(Лист2!$B$4,F:F)),1,0)</f>
        <v>0</v>
      </c>
      <c r="H3432" s="3">
        <f ca="1">IF(AND(I3432&lt;&gt;I3431,ISNUMBER(SEARCH(Лист2!$B$5,I:I)),G3432=1),MAX($H$3:OFFSET(H3432,-1,0))+1,0)</f>
        <v>0</v>
      </c>
      <c r="I3432" s="3" t="s">
        <v>295</v>
      </c>
      <c r="K3432" s="2">
        <f>IF(ISNUMBER(SEARCH(Лист2!$B$4,F:F)),1,0)</f>
        <v>0</v>
      </c>
      <c r="L3432" s="14">
        <f>IF(ISNUMBER(SEARCH(Лист2!$B$5,I:I)),1,0)+K3432</f>
        <v>0</v>
      </c>
      <c r="M3432" s="3">
        <f ca="1">IF(AND(N3432&lt;&gt;N3431,ISNUMBER(SEARCH(Лист2!$B$6,N:N)),L3432=2),MAX($M$3:OFFSET(M3432,-1,0))+1,0)</f>
        <v>0</v>
      </c>
      <c r="N3432" s="3" t="s">
        <v>2181</v>
      </c>
    </row>
    <row r="3433" spans="1:14" x14ac:dyDescent="0.25">
      <c r="A3433" s="1" t="s">
        <v>12235</v>
      </c>
      <c r="B3433" s="3" t="s">
        <v>7057</v>
      </c>
      <c r="C3433" s="2">
        <f ca="1">IF(ISNUMBER(SEARCH(Лист2!$B$4,D:D)),MAX($C$3:OFFSET(C3433,-1,0))+1,0)</f>
        <v>0</v>
      </c>
      <c r="E3433" s="9" t="str">
        <f t="shared" ca="1" si="65"/>
        <v/>
      </c>
      <c r="F3433" s="4" t="s">
        <v>10</v>
      </c>
      <c r="G3433" s="2">
        <f>IF(ISNUMBER(SEARCH(Лист2!$B$4,F:F)),1,0)</f>
        <v>0</v>
      </c>
      <c r="H3433" s="3">
        <f ca="1">IF(AND(I3433&lt;&gt;I3432,ISNUMBER(SEARCH(Лист2!$B$5,I:I)),G3433=1),MAX($H$3:OFFSET(H3433,-1,0))+1,0)</f>
        <v>0</v>
      </c>
      <c r="I3433" s="3" t="s">
        <v>295</v>
      </c>
      <c r="K3433" s="2">
        <f>IF(ISNUMBER(SEARCH(Лист2!$B$4,F:F)),1,0)</f>
        <v>0</v>
      </c>
      <c r="L3433" s="14">
        <f>IF(ISNUMBER(SEARCH(Лист2!$B$5,I:I)),1,0)+K3433</f>
        <v>0</v>
      </c>
      <c r="M3433" s="3">
        <f ca="1">IF(AND(N3433&lt;&gt;N3432,ISNUMBER(SEARCH(Лист2!$B$6,N:N)),L3433=2),MAX($M$3:OFFSET(M3433,-1,0))+1,0)</f>
        <v>0</v>
      </c>
      <c r="N3433" s="3" t="s">
        <v>2174</v>
      </c>
    </row>
    <row r="3434" spans="1:14" x14ac:dyDescent="0.25">
      <c r="A3434" s="1" t="s">
        <v>12236</v>
      </c>
      <c r="B3434" s="3" t="s">
        <v>7058</v>
      </c>
      <c r="C3434" s="2">
        <f ca="1">IF(ISNUMBER(SEARCH(Лист2!$B$4,D:D)),MAX($C$3:OFFSET(C3434,-1,0))+1,0)</f>
        <v>0</v>
      </c>
      <c r="E3434" s="9" t="str">
        <f t="shared" ca="1" si="65"/>
        <v/>
      </c>
      <c r="F3434" s="4" t="s">
        <v>10</v>
      </c>
      <c r="G3434" s="2">
        <f>IF(ISNUMBER(SEARCH(Лист2!$B$4,F:F)),1,0)</f>
        <v>0</v>
      </c>
      <c r="H3434" s="3">
        <f ca="1">IF(AND(I3434&lt;&gt;I3433,ISNUMBER(SEARCH(Лист2!$B$5,I:I)),G3434=1),MAX($H$3:OFFSET(H3434,-1,0))+1,0)</f>
        <v>0</v>
      </c>
      <c r="I3434" s="3" t="s">
        <v>296</v>
      </c>
      <c r="K3434" s="2">
        <f>IF(ISNUMBER(SEARCH(Лист2!$B$4,F:F)),1,0)</f>
        <v>0</v>
      </c>
      <c r="L3434" s="14">
        <f>IF(ISNUMBER(SEARCH(Лист2!$B$5,I:I)),1,0)+K3434</f>
        <v>0</v>
      </c>
      <c r="M3434" s="3">
        <f ca="1">IF(AND(N3434&lt;&gt;N3433,ISNUMBER(SEARCH(Лист2!$B$6,N:N)),L3434=2),MAX($M$3:OFFSET(M3434,-1,0))+1,0)</f>
        <v>0</v>
      </c>
      <c r="N3434" s="3" t="s">
        <v>2182</v>
      </c>
    </row>
    <row r="3435" spans="1:14" x14ac:dyDescent="0.25">
      <c r="A3435" s="1" t="s">
        <v>12237</v>
      </c>
      <c r="B3435" s="3" t="s">
        <v>7059</v>
      </c>
      <c r="C3435" s="2">
        <f ca="1">IF(ISNUMBER(SEARCH(Лист2!$B$4,D:D)),MAX($C$3:OFFSET(C3435,-1,0))+1,0)</f>
        <v>0</v>
      </c>
      <c r="E3435" s="9" t="str">
        <f t="shared" ca="1" si="65"/>
        <v/>
      </c>
      <c r="F3435" s="4" t="s">
        <v>10</v>
      </c>
      <c r="G3435" s="2">
        <f>IF(ISNUMBER(SEARCH(Лист2!$B$4,F:F)),1,0)</f>
        <v>0</v>
      </c>
      <c r="H3435" s="3">
        <f ca="1">IF(AND(I3435&lt;&gt;I3434,ISNUMBER(SEARCH(Лист2!$B$5,I:I)),G3435=1),MAX($H$3:OFFSET(H3435,-1,0))+1,0)</f>
        <v>0</v>
      </c>
      <c r="I3435" s="3" t="s">
        <v>296</v>
      </c>
      <c r="K3435" s="2">
        <f>IF(ISNUMBER(SEARCH(Лист2!$B$4,F:F)),1,0)</f>
        <v>0</v>
      </c>
      <c r="L3435" s="14">
        <f>IF(ISNUMBER(SEARCH(Лист2!$B$5,I:I)),1,0)+K3435</f>
        <v>0</v>
      </c>
      <c r="M3435" s="3">
        <f ca="1">IF(AND(N3435&lt;&gt;N3434,ISNUMBER(SEARCH(Лист2!$B$6,N:N)),L3435=2),MAX($M$3:OFFSET(M3435,-1,0))+1,0)</f>
        <v>0</v>
      </c>
      <c r="N3435" s="3" t="s">
        <v>2183</v>
      </c>
    </row>
    <row r="3436" spans="1:14" x14ac:dyDescent="0.25">
      <c r="A3436" s="1" t="s">
        <v>12238</v>
      </c>
      <c r="B3436" s="3" t="s">
        <v>7060</v>
      </c>
      <c r="C3436" s="2">
        <f ca="1">IF(ISNUMBER(SEARCH(Лист2!$B$4,D:D)),MAX($C$3:OFFSET(C3436,-1,0))+1,0)</f>
        <v>0</v>
      </c>
      <c r="E3436" s="9" t="str">
        <f t="shared" ca="1" si="65"/>
        <v/>
      </c>
      <c r="F3436" s="4" t="s">
        <v>10</v>
      </c>
      <c r="G3436" s="2">
        <f>IF(ISNUMBER(SEARCH(Лист2!$B$4,F:F)),1,0)</f>
        <v>0</v>
      </c>
      <c r="H3436" s="3">
        <f ca="1">IF(AND(I3436&lt;&gt;I3435,ISNUMBER(SEARCH(Лист2!$B$5,I:I)),G3436=1),MAX($H$3:OFFSET(H3436,-1,0))+1,0)</f>
        <v>0</v>
      </c>
      <c r="I3436" s="3" t="s">
        <v>296</v>
      </c>
      <c r="K3436" s="2">
        <f>IF(ISNUMBER(SEARCH(Лист2!$B$4,F:F)),1,0)</f>
        <v>0</v>
      </c>
      <c r="L3436" s="14">
        <f>IF(ISNUMBER(SEARCH(Лист2!$B$5,I:I)),1,0)+K3436</f>
        <v>0</v>
      </c>
      <c r="M3436" s="3">
        <f ca="1">IF(AND(N3436&lt;&gt;N3435,ISNUMBER(SEARCH(Лист2!$B$6,N:N)),L3436=2),MAX($M$3:OFFSET(M3436,-1,0))+1,0)</f>
        <v>0</v>
      </c>
      <c r="N3436" s="3" t="s">
        <v>2184</v>
      </c>
    </row>
    <row r="3437" spans="1:14" x14ac:dyDescent="0.25">
      <c r="A3437" s="1" t="s">
        <v>12239</v>
      </c>
      <c r="B3437" s="3" t="s">
        <v>7061</v>
      </c>
      <c r="C3437" s="2">
        <f ca="1">IF(ISNUMBER(SEARCH(Лист2!$B$4,D:D)),MAX($C$3:OFFSET(C3437,-1,0))+1,0)</f>
        <v>0</v>
      </c>
      <c r="E3437" s="9" t="str">
        <f t="shared" ca="1" si="65"/>
        <v/>
      </c>
      <c r="F3437" s="4" t="s">
        <v>10</v>
      </c>
      <c r="G3437" s="2">
        <f>IF(ISNUMBER(SEARCH(Лист2!$B$4,F:F)),1,0)</f>
        <v>0</v>
      </c>
      <c r="H3437" s="3">
        <f ca="1">IF(AND(I3437&lt;&gt;I3436,ISNUMBER(SEARCH(Лист2!$B$5,I:I)),G3437=1),MAX($H$3:OFFSET(H3437,-1,0))+1,0)</f>
        <v>0</v>
      </c>
      <c r="I3437" s="3" t="s">
        <v>296</v>
      </c>
      <c r="K3437" s="2">
        <f>IF(ISNUMBER(SEARCH(Лист2!$B$4,F:F)),1,0)</f>
        <v>0</v>
      </c>
      <c r="L3437" s="14">
        <f>IF(ISNUMBER(SEARCH(Лист2!$B$5,I:I)),1,0)+K3437</f>
        <v>0</v>
      </c>
      <c r="M3437" s="3">
        <f ca="1">IF(AND(N3437&lt;&gt;N3436,ISNUMBER(SEARCH(Лист2!$B$6,N:N)),L3437=2),MAX($M$3:OFFSET(M3437,-1,0))+1,0)</f>
        <v>0</v>
      </c>
      <c r="N3437" s="3" t="s">
        <v>2185</v>
      </c>
    </row>
    <row r="3438" spans="1:14" x14ac:dyDescent="0.25">
      <c r="A3438" s="1" t="s">
        <v>12240</v>
      </c>
      <c r="B3438" s="3" t="s">
        <v>7062</v>
      </c>
      <c r="C3438" s="2">
        <f ca="1">IF(ISNUMBER(SEARCH(Лист2!$B$4,D:D)),MAX($C$3:OFFSET(C3438,-1,0))+1,0)</f>
        <v>0</v>
      </c>
      <c r="E3438" s="9" t="str">
        <f t="shared" ca="1" si="65"/>
        <v/>
      </c>
      <c r="F3438" s="4" t="s">
        <v>10</v>
      </c>
      <c r="G3438" s="2">
        <f>IF(ISNUMBER(SEARCH(Лист2!$B$4,F:F)),1,0)</f>
        <v>0</v>
      </c>
      <c r="H3438" s="3">
        <f ca="1">IF(AND(I3438&lt;&gt;I3437,ISNUMBER(SEARCH(Лист2!$B$5,I:I)),G3438=1),MAX($H$3:OFFSET(H3438,-1,0))+1,0)</f>
        <v>0</v>
      </c>
      <c r="I3438" s="3" t="s">
        <v>296</v>
      </c>
      <c r="K3438" s="2">
        <f>IF(ISNUMBER(SEARCH(Лист2!$B$4,F:F)),1,0)</f>
        <v>0</v>
      </c>
      <c r="L3438" s="14">
        <f>IF(ISNUMBER(SEARCH(Лист2!$B$5,I:I)),1,0)+K3438</f>
        <v>0</v>
      </c>
      <c r="M3438" s="3">
        <f ca="1">IF(AND(N3438&lt;&gt;N3437,ISNUMBER(SEARCH(Лист2!$B$6,N:N)),L3438=2),MAX($M$3:OFFSET(M3438,-1,0))+1,0)</f>
        <v>0</v>
      </c>
      <c r="N3438" s="3" t="s">
        <v>2186</v>
      </c>
    </row>
    <row r="3439" spans="1:14" x14ac:dyDescent="0.25">
      <c r="A3439" s="1" t="s">
        <v>12241</v>
      </c>
      <c r="B3439" s="3" t="s">
        <v>7063</v>
      </c>
      <c r="C3439" s="2">
        <f ca="1">IF(ISNUMBER(SEARCH(Лист2!$B$4,D:D)),MAX($C$3:OFFSET(C3439,-1,0))+1,0)</f>
        <v>0</v>
      </c>
      <c r="E3439" s="9" t="str">
        <f t="shared" ca="1" si="65"/>
        <v/>
      </c>
      <c r="F3439" s="4" t="s">
        <v>10</v>
      </c>
      <c r="G3439" s="2">
        <f>IF(ISNUMBER(SEARCH(Лист2!$B$4,F:F)),1,0)</f>
        <v>0</v>
      </c>
      <c r="H3439" s="3">
        <f ca="1">IF(AND(I3439&lt;&gt;I3438,ISNUMBER(SEARCH(Лист2!$B$5,I:I)),G3439=1),MAX($H$3:OFFSET(H3439,-1,0))+1,0)</f>
        <v>0</v>
      </c>
      <c r="I3439" s="3" t="s">
        <v>296</v>
      </c>
      <c r="K3439" s="2">
        <f>IF(ISNUMBER(SEARCH(Лист2!$B$4,F:F)),1,0)</f>
        <v>0</v>
      </c>
      <c r="L3439" s="14">
        <f>IF(ISNUMBER(SEARCH(Лист2!$B$5,I:I)),1,0)+K3439</f>
        <v>0</v>
      </c>
      <c r="M3439" s="3">
        <f ca="1">IF(AND(N3439&lt;&gt;N3438,ISNUMBER(SEARCH(Лист2!$B$6,N:N)),L3439=2),MAX($M$3:OFFSET(M3439,-1,0))+1,0)</f>
        <v>0</v>
      </c>
      <c r="N3439" s="3" t="s">
        <v>2170</v>
      </c>
    </row>
    <row r="3440" spans="1:14" x14ac:dyDescent="0.25">
      <c r="A3440" s="1" t="s">
        <v>12242</v>
      </c>
      <c r="B3440" s="3" t="s">
        <v>7064</v>
      </c>
      <c r="C3440" s="2">
        <f ca="1">IF(ISNUMBER(SEARCH(Лист2!$B$4,D:D)),MAX($C$3:OFFSET(C3440,-1,0))+1,0)</f>
        <v>0</v>
      </c>
      <c r="E3440" s="9" t="str">
        <f t="shared" ca="1" si="65"/>
        <v/>
      </c>
      <c r="F3440" s="4" t="s">
        <v>10</v>
      </c>
      <c r="G3440" s="2">
        <f>IF(ISNUMBER(SEARCH(Лист2!$B$4,F:F)),1,0)</f>
        <v>0</v>
      </c>
      <c r="H3440" s="3">
        <f ca="1">IF(AND(I3440&lt;&gt;I3439,ISNUMBER(SEARCH(Лист2!$B$5,I:I)),G3440=1),MAX($H$3:OFFSET(H3440,-1,0))+1,0)</f>
        <v>0</v>
      </c>
      <c r="I3440" s="3" t="s">
        <v>296</v>
      </c>
      <c r="K3440" s="2">
        <f>IF(ISNUMBER(SEARCH(Лист2!$B$4,F:F)),1,0)</f>
        <v>0</v>
      </c>
      <c r="L3440" s="14">
        <f>IF(ISNUMBER(SEARCH(Лист2!$B$5,I:I)),1,0)+K3440</f>
        <v>0</v>
      </c>
      <c r="M3440" s="3">
        <f ca="1">IF(AND(N3440&lt;&gt;N3439,ISNUMBER(SEARCH(Лист2!$B$6,N:N)),L3440=2),MAX($M$3:OFFSET(M3440,-1,0))+1,0)</f>
        <v>0</v>
      </c>
      <c r="N3440" s="3" t="s">
        <v>2187</v>
      </c>
    </row>
    <row r="3441" spans="1:14" x14ac:dyDescent="0.25">
      <c r="A3441" s="1" t="s">
        <v>12243</v>
      </c>
      <c r="B3441" s="3" t="s">
        <v>7065</v>
      </c>
      <c r="C3441" s="2">
        <f ca="1">IF(ISNUMBER(SEARCH(Лист2!$B$4,D:D)),MAX($C$3:OFFSET(C3441,-1,0))+1,0)</f>
        <v>0</v>
      </c>
      <c r="E3441" s="9" t="str">
        <f t="shared" ca="1" si="65"/>
        <v/>
      </c>
      <c r="F3441" s="4" t="s">
        <v>10</v>
      </c>
      <c r="G3441" s="2">
        <f>IF(ISNUMBER(SEARCH(Лист2!$B$4,F:F)),1,0)</f>
        <v>0</v>
      </c>
      <c r="H3441" s="3">
        <f ca="1">IF(AND(I3441&lt;&gt;I3440,ISNUMBER(SEARCH(Лист2!$B$5,I:I)),G3441=1),MAX($H$3:OFFSET(H3441,-1,0))+1,0)</f>
        <v>0</v>
      </c>
      <c r="I3441" s="3" t="s">
        <v>296</v>
      </c>
      <c r="K3441" s="2">
        <f>IF(ISNUMBER(SEARCH(Лист2!$B$4,F:F)),1,0)</f>
        <v>0</v>
      </c>
      <c r="L3441" s="14">
        <f>IF(ISNUMBER(SEARCH(Лист2!$B$5,I:I)),1,0)+K3441</f>
        <v>0</v>
      </c>
      <c r="M3441" s="3">
        <f ca="1">IF(AND(N3441&lt;&gt;N3440,ISNUMBER(SEARCH(Лист2!$B$6,N:N)),L3441=2),MAX($M$3:OFFSET(M3441,-1,0))+1,0)</f>
        <v>0</v>
      </c>
      <c r="N3441" s="3" t="s">
        <v>2188</v>
      </c>
    </row>
    <row r="3442" spans="1:14" x14ac:dyDescent="0.25">
      <c r="A3442" s="1" t="s">
        <v>12244</v>
      </c>
      <c r="B3442" s="3" t="s">
        <v>7066</v>
      </c>
      <c r="C3442" s="2">
        <f ca="1">IF(ISNUMBER(SEARCH(Лист2!$B$4,D:D)),MAX($C$3:OFFSET(C3442,-1,0))+1,0)</f>
        <v>0</v>
      </c>
      <c r="E3442" s="9" t="str">
        <f t="shared" ca="1" si="65"/>
        <v/>
      </c>
      <c r="F3442" s="4" t="s">
        <v>10</v>
      </c>
      <c r="G3442" s="2">
        <f>IF(ISNUMBER(SEARCH(Лист2!$B$4,F:F)),1,0)</f>
        <v>0</v>
      </c>
      <c r="H3442" s="3">
        <f ca="1">IF(AND(I3442&lt;&gt;I3441,ISNUMBER(SEARCH(Лист2!$B$5,I:I)),G3442=1),MAX($H$3:OFFSET(H3442,-1,0))+1,0)</f>
        <v>0</v>
      </c>
      <c r="I3442" s="3" t="s">
        <v>296</v>
      </c>
      <c r="K3442" s="2">
        <f>IF(ISNUMBER(SEARCH(Лист2!$B$4,F:F)),1,0)</f>
        <v>0</v>
      </c>
      <c r="L3442" s="14">
        <f>IF(ISNUMBER(SEARCH(Лист2!$B$5,I:I)),1,0)+K3442</f>
        <v>0</v>
      </c>
      <c r="M3442" s="3">
        <f ca="1">IF(AND(N3442&lt;&gt;N3441,ISNUMBER(SEARCH(Лист2!$B$6,N:N)),L3442=2),MAX($M$3:OFFSET(M3442,-1,0))+1,0)</f>
        <v>0</v>
      </c>
      <c r="N3442" s="3" t="s">
        <v>602</v>
      </c>
    </row>
    <row r="3443" spans="1:14" x14ac:dyDescent="0.25">
      <c r="A3443" s="1" t="s">
        <v>12245</v>
      </c>
      <c r="B3443" s="3" t="s">
        <v>7067</v>
      </c>
      <c r="C3443" s="2">
        <f ca="1">IF(ISNUMBER(SEARCH(Лист2!$B$4,D:D)),MAX($C$3:OFFSET(C3443,-1,0))+1,0)</f>
        <v>0</v>
      </c>
      <c r="E3443" s="9" t="str">
        <f t="shared" ca="1" si="65"/>
        <v/>
      </c>
      <c r="F3443" s="4" t="s">
        <v>10</v>
      </c>
      <c r="G3443" s="2">
        <f>IF(ISNUMBER(SEARCH(Лист2!$B$4,F:F)),1,0)</f>
        <v>0</v>
      </c>
      <c r="H3443" s="3">
        <f ca="1">IF(AND(I3443&lt;&gt;I3442,ISNUMBER(SEARCH(Лист2!$B$5,I:I)),G3443=1),MAX($H$3:OFFSET(H3443,-1,0))+1,0)</f>
        <v>0</v>
      </c>
      <c r="I3443" s="3" t="s">
        <v>296</v>
      </c>
      <c r="K3443" s="2">
        <f>IF(ISNUMBER(SEARCH(Лист2!$B$4,F:F)),1,0)</f>
        <v>0</v>
      </c>
      <c r="L3443" s="14">
        <f>IF(ISNUMBER(SEARCH(Лист2!$B$5,I:I)),1,0)+K3443</f>
        <v>0</v>
      </c>
      <c r="M3443" s="3">
        <f ca="1">IF(AND(N3443&lt;&gt;N3442,ISNUMBER(SEARCH(Лист2!$B$6,N:N)),L3443=2),MAX($M$3:OFFSET(M3443,-1,0))+1,0)</f>
        <v>0</v>
      </c>
      <c r="N3443" s="3" t="s">
        <v>2189</v>
      </c>
    </row>
    <row r="3444" spans="1:14" x14ac:dyDescent="0.25">
      <c r="A3444" s="1" t="s">
        <v>12246</v>
      </c>
      <c r="B3444" s="3" t="s">
        <v>7068</v>
      </c>
      <c r="C3444" s="2">
        <f ca="1">IF(ISNUMBER(SEARCH(Лист2!$B$4,D:D)),MAX($C$3:OFFSET(C3444,-1,0))+1,0)</f>
        <v>0</v>
      </c>
      <c r="E3444" s="9" t="str">
        <f t="shared" ca="1" si="65"/>
        <v/>
      </c>
      <c r="F3444" s="4" t="s">
        <v>10</v>
      </c>
      <c r="G3444" s="2">
        <f>IF(ISNUMBER(SEARCH(Лист2!$B$4,F:F)),1,0)</f>
        <v>0</v>
      </c>
      <c r="H3444" s="3">
        <f ca="1">IF(AND(I3444&lt;&gt;I3443,ISNUMBER(SEARCH(Лист2!$B$5,I:I)),G3444=1),MAX($H$3:OFFSET(H3444,-1,0))+1,0)</f>
        <v>0</v>
      </c>
      <c r="I3444" s="3" t="s">
        <v>296</v>
      </c>
      <c r="K3444" s="2">
        <f>IF(ISNUMBER(SEARCH(Лист2!$B$4,F:F)),1,0)</f>
        <v>0</v>
      </c>
      <c r="L3444" s="14">
        <f>IF(ISNUMBER(SEARCH(Лист2!$B$5,I:I)),1,0)+K3444</f>
        <v>0</v>
      </c>
      <c r="M3444" s="3">
        <f ca="1">IF(AND(N3444&lt;&gt;N3443,ISNUMBER(SEARCH(Лист2!$B$6,N:N)),L3444=2),MAX($M$3:OFFSET(M3444,-1,0))+1,0)</f>
        <v>0</v>
      </c>
      <c r="N3444" s="3" t="s">
        <v>2190</v>
      </c>
    </row>
    <row r="3445" spans="1:14" x14ac:dyDescent="0.25">
      <c r="A3445" s="1" t="s">
        <v>12247</v>
      </c>
      <c r="B3445" s="3" t="s">
        <v>7069</v>
      </c>
      <c r="C3445" s="2">
        <f ca="1">IF(ISNUMBER(SEARCH(Лист2!$B$4,D:D)),MAX($C$3:OFFSET(C3445,-1,0))+1,0)</f>
        <v>0</v>
      </c>
      <c r="E3445" s="9" t="str">
        <f t="shared" ca="1" si="65"/>
        <v/>
      </c>
      <c r="F3445" s="4" t="s">
        <v>11</v>
      </c>
      <c r="G3445" s="2">
        <f>IF(ISNUMBER(SEARCH(Лист2!$B$4,F:F)),1,0)</f>
        <v>0</v>
      </c>
      <c r="H3445" s="3">
        <f ca="1">IF(AND(I3445&lt;&gt;I3444,ISNUMBER(SEARCH(Лист2!$B$5,I:I)),G3445=1),MAX($H$3:OFFSET(H3445,-1,0))+1,0)</f>
        <v>0</v>
      </c>
      <c r="I3445" s="3" t="s">
        <v>297</v>
      </c>
      <c r="K3445" s="2">
        <f>IF(ISNUMBER(SEARCH(Лист2!$B$4,F:F)),1,0)</f>
        <v>0</v>
      </c>
      <c r="L3445" s="14">
        <f>IF(ISNUMBER(SEARCH(Лист2!$B$5,I:I)),1,0)+K3445</f>
        <v>0</v>
      </c>
      <c r="M3445" s="3">
        <f ca="1">IF(AND(N3445&lt;&gt;N3444,ISNUMBER(SEARCH(Лист2!$B$6,N:N)),L3445=2),MAX($M$3:OFFSET(M3445,-1,0))+1,0)</f>
        <v>0</v>
      </c>
      <c r="N3445" s="3" t="s">
        <v>2191</v>
      </c>
    </row>
    <row r="3446" spans="1:14" x14ac:dyDescent="0.25">
      <c r="A3446" s="1" t="s">
        <v>12248</v>
      </c>
      <c r="B3446" s="3" t="s">
        <v>7070</v>
      </c>
      <c r="C3446" s="2">
        <f ca="1">IF(ISNUMBER(SEARCH(Лист2!$B$4,D:D)),MAX($C$3:OFFSET(C3446,-1,0))+1,0)</f>
        <v>0</v>
      </c>
      <c r="E3446" s="9" t="str">
        <f t="shared" ca="1" si="65"/>
        <v/>
      </c>
      <c r="F3446" s="4" t="s">
        <v>11</v>
      </c>
      <c r="G3446" s="2">
        <f>IF(ISNUMBER(SEARCH(Лист2!$B$4,F:F)),1,0)</f>
        <v>0</v>
      </c>
      <c r="H3446" s="3">
        <f ca="1">IF(AND(I3446&lt;&gt;I3445,ISNUMBER(SEARCH(Лист2!$B$5,I:I)),G3446=1),MAX($H$3:OFFSET(H3446,-1,0))+1,0)</f>
        <v>0</v>
      </c>
      <c r="I3446" s="3" t="s">
        <v>297</v>
      </c>
      <c r="K3446" s="2">
        <f>IF(ISNUMBER(SEARCH(Лист2!$B$4,F:F)),1,0)</f>
        <v>0</v>
      </c>
      <c r="L3446" s="14">
        <f>IF(ISNUMBER(SEARCH(Лист2!$B$5,I:I)),1,0)+K3446</f>
        <v>0</v>
      </c>
      <c r="M3446" s="3">
        <f ca="1">IF(AND(N3446&lt;&gt;N3445,ISNUMBER(SEARCH(Лист2!$B$6,N:N)),L3446=2),MAX($M$3:OFFSET(M3446,-1,0))+1,0)</f>
        <v>0</v>
      </c>
      <c r="N3446" s="3" t="s">
        <v>2192</v>
      </c>
    </row>
    <row r="3447" spans="1:14" x14ac:dyDescent="0.25">
      <c r="A3447" s="1" t="s">
        <v>12249</v>
      </c>
      <c r="B3447" s="3" t="s">
        <v>7071</v>
      </c>
      <c r="C3447" s="2">
        <f ca="1">IF(ISNUMBER(SEARCH(Лист2!$B$4,D:D)),MAX($C$3:OFFSET(C3447,-1,0))+1,0)</f>
        <v>0</v>
      </c>
      <c r="E3447" s="9" t="str">
        <f t="shared" ca="1" si="65"/>
        <v/>
      </c>
      <c r="F3447" s="4" t="s">
        <v>11</v>
      </c>
      <c r="G3447" s="2">
        <f>IF(ISNUMBER(SEARCH(Лист2!$B$4,F:F)),1,0)</f>
        <v>0</v>
      </c>
      <c r="H3447" s="3">
        <f ca="1">IF(AND(I3447&lt;&gt;I3446,ISNUMBER(SEARCH(Лист2!$B$5,I:I)),G3447=1),MAX($H$3:OFFSET(H3447,-1,0))+1,0)</f>
        <v>0</v>
      </c>
      <c r="I3447" s="3" t="s">
        <v>297</v>
      </c>
      <c r="K3447" s="2">
        <f>IF(ISNUMBER(SEARCH(Лист2!$B$4,F:F)),1,0)</f>
        <v>0</v>
      </c>
      <c r="L3447" s="14">
        <f>IF(ISNUMBER(SEARCH(Лист2!$B$5,I:I)),1,0)+K3447</f>
        <v>0</v>
      </c>
      <c r="M3447" s="3">
        <f ca="1">IF(AND(N3447&lt;&gt;N3446,ISNUMBER(SEARCH(Лист2!$B$6,N:N)),L3447=2),MAX($M$3:OFFSET(M3447,-1,0))+1,0)</f>
        <v>0</v>
      </c>
      <c r="N3447" s="3" t="s">
        <v>2193</v>
      </c>
    </row>
    <row r="3448" spans="1:14" x14ac:dyDescent="0.25">
      <c r="A3448" s="1" t="s">
        <v>12250</v>
      </c>
      <c r="B3448" s="3" t="s">
        <v>7072</v>
      </c>
      <c r="C3448" s="2">
        <f ca="1">IF(ISNUMBER(SEARCH(Лист2!$B$4,D:D)),MAX($C$3:OFFSET(C3448,-1,0))+1,0)</f>
        <v>0</v>
      </c>
      <c r="E3448" s="9" t="str">
        <f t="shared" ca="1" si="65"/>
        <v/>
      </c>
      <c r="F3448" s="4" t="s">
        <v>11</v>
      </c>
      <c r="G3448" s="2">
        <f>IF(ISNUMBER(SEARCH(Лист2!$B$4,F:F)),1,0)</f>
        <v>0</v>
      </c>
      <c r="H3448" s="3">
        <f ca="1">IF(AND(I3448&lt;&gt;I3447,ISNUMBER(SEARCH(Лист2!$B$5,I:I)),G3448=1),MAX($H$3:OFFSET(H3448,-1,0))+1,0)</f>
        <v>0</v>
      </c>
      <c r="I3448" s="3" t="s">
        <v>297</v>
      </c>
      <c r="K3448" s="2">
        <f>IF(ISNUMBER(SEARCH(Лист2!$B$4,F:F)),1,0)</f>
        <v>0</v>
      </c>
      <c r="L3448" s="14">
        <f>IF(ISNUMBER(SEARCH(Лист2!$B$5,I:I)),1,0)+K3448</f>
        <v>0</v>
      </c>
      <c r="M3448" s="3">
        <f ca="1">IF(AND(N3448&lt;&gt;N3447,ISNUMBER(SEARCH(Лист2!$B$6,N:N)),L3448=2),MAX($M$3:OFFSET(M3448,-1,0))+1,0)</f>
        <v>0</v>
      </c>
      <c r="N3448" s="3" t="s">
        <v>2194</v>
      </c>
    </row>
    <row r="3449" spans="1:14" x14ac:dyDescent="0.25">
      <c r="A3449" s="1" t="s">
        <v>12251</v>
      </c>
      <c r="B3449" s="3" t="s">
        <v>7073</v>
      </c>
      <c r="C3449" s="2">
        <f ca="1">IF(ISNUMBER(SEARCH(Лист2!$B$4,D:D)),MAX($C$3:OFFSET(C3449,-1,0))+1,0)</f>
        <v>0</v>
      </c>
      <c r="E3449" s="9" t="str">
        <f t="shared" ca="1" si="65"/>
        <v/>
      </c>
      <c r="F3449" s="4" t="s">
        <v>11</v>
      </c>
      <c r="G3449" s="2">
        <f>IF(ISNUMBER(SEARCH(Лист2!$B$4,F:F)),1,0)</f>
        <v>0</v>
      </c>
      <c r="H3449" s="3">
        <f ca="1">IF(AND(I3449&lt;&gt;I3448,ISNUMBER(SEARCH(Лист2!$B$5,I:I)),G3449=1),MAX($H$3:OFFSET(H3449,-1,0))+1,0)</f>
        <v>0</v>
      </c>
      <c r="I3449" s="3" t="s">
        <v>297</v>
      </c>
      <c r="K3449" s="2">
        <f>IF(ISNUMBER(SEARCH(Лист2!$B$4,F:F)),1,0)</f>
        <v>0</v>
      </c>
      <c r="L3449" s="14">
        <f>IF(ISNUMBER(SEARCH(Лист2!$B$5,I:I)),1,0)+K3449</f>
        <v>0</v>
      </c>
      <c r="M3449" s="3">
        <f ca="1">IF(AND(N3449&lt;&gt;N3448,ISNUMBER(SEARCH(Лист2!$B$6,N:N)),L3449=2),MAX($M$3:OFFSET(M3449,-1,0))+1,0)</f>
        <v>0</v>
      </c>
      <c r="N3449" s="3" t="s">
        <v>2195</v>
      </c>
    </row>
    <row r="3450" spans="1:14" x14ac:dyDescent="0.25">
      <c r="A3450" s="1" t="s">
        <v>12252</v>
      </c>
      <c r="B3450" s="3" t="s">
        <v>7074</v>
      </c>
      <c r="C3450" s="2">
        <f ca="1">IF(ISNUMBER(SEARCH(Лист2!$B$4,D:D)),MAX($C$3:OFFSET(C3450,-1,0))+1,0)</f>
        <v>0</v>
      </c>
      <c r="E3450" s="9" t="str">
        <f t="shared" ca="1" si="65"/>
        <v/>
      </c>
      <c r="F3450" s="4" t="s">
        <v>11</v>
      </c>
      <c r="G3450" s="2">
        <f>IF(ISNUMBER(SEARCH(Лист2!$B$4,F:F)),1,0)</f>
        <v>0</v>
      </c>
      <c r="H3450" s="3">
        <f ca="1">IF(AND(I3450&lt;&gt;I3449,ISNUMBER(SEARCH(Лист2!$B$5,I:I)),G3450=1),MAX($H$3:OFFSET(H3450,-1,0))+1,0)</f>
        <v>0</v>
      </c>
      <c r="I3450" s="3" t="s">
        <v>297</v>
      </c>
      <c r="K3450" s="2">
        <f>IF(ISNUMBER(SEARCH(Лист2!$B$4,F:F)),1,0)</f>
        <v>0</v>
      </c>
      <c r="L3450" s="14">
        <f>IF(ISNUMBER(SEARCH(Лист2!$B$5,I:I)),1,0)+K3450</f>
        <v>0</v>
      </c>
      <c r="M3450" s="3">
        <f ca="1">IF(AND(N3450&lt;&gt;N3449,ISNUMBER(SEARCH(Лист2!$B$6,N:N)),L3450=2),MAX($M$3:OFFSET(M3450,-1,0))+1,0)</f>
        <v>0</v>
      </c>
      <c r="N3450" s="3" t="s">
        <v>602</v>
      </c>
    </row>
    <row r="3451" spans="1:14" x14ac:dyDescent="0.25">
      <c r="A3451" s="1" t="s">
        <v>12253</v>
      </c>
      <c r="B3451" s="3" t="s">
        <v>7075</v>
      </c>
      <c r="C3451" s="2">
        <f ca="1">IF(ISNUMBER(SEARCH(Лист2!$B$4,D:D)),MAX($C$3:OFFSET(C3451,-1,0))+1,0)</f>
        <v>0</v>
      </c>
      <c r="E3451" s="9" t="str">
        <f t="shared" ca="1" si="65"/>
        <v/>
      </c>
      <c r="F3451" s="4" t="s">
        <v>11</v>
      </c>
      <c r="G3451" s="2">
        <f>IF(ISNUMBER(SEARCH(Лист2!$B$4,F:F)),1,0)</f>
        <v>0</v>
      </c>
      <c r="H3451" s="3">
        <f ca="1">IF(AND(I3451&lt;&gt;I3450,ISNUMBER(SEARCH(Лист2!$B$5,I:I)),G3451=1),MAX($H$3:OFFSET(H3451,-1,0))+1,0)</f>
        <v>0</v>
      </c>
      <c r="I3451" s="3" t="s">
        <v>297</v>
      </c>
      <c r="K3451" s="2">
        <f>IF(ISNUMBER(SEARCH(Лист2!$B$4,F:F)),1,0)</f>
        <v>0</v>
      </c>
      <c r="L3451" s="14">
        <f>IF(ISNUMBER(SEARCH(Лист2!$B$5,I:I)),1,0)+K3451</f>
        <v>0</v>
      </c>
      <c r="M3451" s="3">
        <f ca="1">IF(AND(N3451&lt;&gt;N3450,ISNUMBER(SEARCH(Лист2!$B$6,N:N)),L3451=2),MAX($M$3:OFFSET(M3451,-1,0))+1,0)</f>
        <v>0</v>
      </c>
      <c r="N3451" s="3" t="s">
        <v>2196</v>
      </c>
    </row>
    <row r="3452" spans="1:14" x14ac:dyDescent="0.25">
      <c r="A3452" s="1" t="s">
        <v>12254</v>
      </c>
      <c r="B3452" s="3" t="s">
        <v>7076</v>
      </c>
      <c r="C3452" s="2">
        <f ca="1">IF(ISNUMBER(SEARCH(Лист2!$B$4,D:D)),MAX($C$3:OFFSET(C3452,-1,0))+1,0)</f>
        <v>0</v>
      </c>
      <c r="E3452" s="9" t="str">
        <f t="shared" ca="1" si="65"/>
        <v/>
      </c>
      <c r="F3452" s="4" t="s">
        <v>11</v>
      </c>
      <c r="G3452" s="2">
        <f>IF(ISNUMBER(SEARCH(Лист2!$B$4,F:F)),1,0)</f>
        <v>0</v>
      </c>
      <c r="H3452" s="3">
        <f ca="1">IF(AND(I3452&lt;&gt;I3451,ISNUMBER(SEARCH(Лист2!$B$5,I:I)),G3452=1),MAX($H$3:OFFSET(H3452,-1,0))+1,0)</f>
        <v>0</v>
      </c>
      <c r="I3452" s="3" t="s">
        <v>298</v>
      </c>
      <c r="K3452" s="2">
        <f>IF(ISNUMBER(SEARCH(Лист2!$B$4,F:F)),1,0)</f>
        <v>0</v>
      </c>
      <c r="L3452" s="14">
        <f>IF(ISNUMBER(SEARCH(Лист2!$B$5,I:I)),1,0)+K3452</f>
        <v>0</v>
      </c>
      <c r="M3452" s="3">
        <f ca="1">IF(AND(N3452&lt;&gt;N3451,ISNUMBER(SEARCH(Лист2!$B$6,N:N)),L3452=2),MAX($M$3:OFFSET(M3452,-1,0))+1,0)</f>
        <v>0</v>
      </c>
      <c r="N3452" s="3" t="s">
        <v>2197</v>
      </c>
    </row>
    <row r="3453" spans="1:14" x14ac:dyDescent="0.25">
      <c r="A3453" s="1" t="s">
        <v>12255</v>
      </c>
      <c r="B3453" s="3" t="s">
        <v>7077</v>
      </c>
      <c r="C3453" s="2">
        <f ca="1">IF(ISNUMBER(SEARCH(Лист2!$B$4,D:D)),MAX($C$3:OFFSET(C3453,-1,0))+1,0)</f>
        <v>0</v>
      </c>
      <c r="E3453" s="9" t="str">
        <f t="shared" ca="1" si="65"/>
        <v/>
      </c>
      <c r="F3453" s="4" t="s">
        <v>11</v>
      </c>
      <c r="G3453" s="2">
        <f>IF(ISNUMBER(SEARCH(Лист2!$B$4,F:F)),1,0)</f>
        <v>0</v>
      </c>
      <c r="H3453" s="3">
        <f ca="1">IF(AND(I3453&lt;&gt;I3452,ISNUMBER(SEARCH(Лист2!$B$5,I:I)),G3453=1),MAX($H$3:OFFSET(H3453,-1,0))+1,0)</f>
        <v>0</v>
      </c>
      <c r="I3453" s="3" t="s">
        <v>298</v>
      </c>
      <c r="K3453" s="2">
        <f>IF(ISNUMBER(SEARCH(Лист2!$B$4,F:F)),1,0)</f>
        <v>0</v>
      </c>
      <c r="L3453" s="14">
        <f>IF(ISNUMBER(SEARCH(Лист2!$B$5,I:I)),1,0)+K3453</f>
        <v>0</v>
      </c>
      <c r="M3453" s="3">
        <f ca="1">IF(AND(N3453&lt;&gt;N3452,ISNUMBER(SEARCH(Лист2!$B$6,N:N)),L3453=2),MAX($M$3:OFFSET(M3453,-1,0))+1,0)</f>
        <v>0</v>
      </c>
      <c r="N3453" s="3" t="s">
        <v>2198</v>
      </c>
    </row>
    <row r="3454" spans="1:14" x14ac:dyDescent="0.25">
      <c r="A3454" s="1" t="s">
        <v>12256</v>
      </c>
      <c r="B3454" s="3" t="s">
        <v>7078</v>
      </c>
      <c r="C3454" s="2">
        <f ca="1">IF(ISNUMBER(SEARCH(Лист2!$B$4,D:D)),MAX($C$3:OFFSET(C3454,-1,0))+1,0)</f>
        <v>0</v>
      </c>
      <c r="E3454" s="9" t="str">
        <f t="shared" ca="1" si="65"/>
        <v/>
      </c>
      <c r="F3454" s="4" t="s">
        <v>11</v>
      </c>
      <c r="G3454" s="2">
        <f>IF(ISNUMBER(SEARCH(Лист2!$B$4,F:F)),1,0)</f>
        <v>0</v>
      </c>
      <c r="H3454" s="3">
        <f ca="1">IF(AND(I3454&lt;&gt;I3453,ISNUMBER(SEARCH(Лист2!$B$5,I:I)),G3454=1),MAX($H$3:OFFSET(H3454,-1,0))+1,0)</f>
        <v>0</v>
      </c>
      <c r="I3454" s="3" t="s">
        <v>298</v>
      </c>
      <c r="K3454" s="2">
        <f>IF(ISNUMBER(SEARCH(Лист2!$B$4,F:F)),1,0)</f>
        <v>0</v>
      </c>
      <c r="L3454" s="14">
        <f>IF(ISNUMBER(SEARCH(Лист2!$B$5,I:I)),1,0)+K3454</f>
        <v>0</v>
      </c>
      <c r="M3454" s="3">
        <f ca="1">IF(AND(N3454&lt;&gt;N3453,ISNUMBER(SEARCH(Лист2!$B$6,N:N)),L3454=2),MAX($M$3:OFFSET(M3454,-1,0))+1,0)</f>
        <v>0</v>
      </c>
      <c r="N3454" s="3" t="s">
        <v>2199</v>
      </c>
    </row>
    <row r="3455" spans="1:14" x14ac:dyDescent="0.25">
      <c r="A3455" s="1" t="s">
        <v>12257</v>
      </c>
      <c r="B3455" s="3" t="s">
        <v>7079</v>
      </c>
      <c r="C3455" s="2">
        <f ca="1">IF(ISNUMBER(SEARCH(Лист2!$B$4,D:D)),MAX($C$3:OFFSET(C3455,-1,0))+1,0)</f>
        <v>0</v>
      </c>
      <c r="E3455" s="9" t="str">
        <f t="shared" ca="1" si="65"/>
        <v/>
      </c>
      <c r="F3455" s="4" t="s">
        <v>11</v>
      </c>
      <c r="G3455" s="2">
        <f>IF(ISNUMBER(SEARCH(Лист2!$B$4,F:F)),1,0)</f>
        <v>0</v>
      </c>
      <c r="H3455" s="3">
        <f ca="1">IF(AND(I3455&lt;&gt;I3454,ISNUMBER(SEARCH(Лист2!$B$5,I:I)),G3455=1),MAX($H$3:OFFSET(H3455,-1,0))+1,0)</f>
        <v>0</v>
      </c>
      <c r="I3455" s="3" t="s">
        <v>298</v>
      </c>
      <c r="K3455" s="2">
        <f>IF(ISNUMBER(SEARCH(Лист2!$B$4,F:F)),1,0)</f>
        <v>0</v>
      </c>
      <c r="L3455" s="14">
        <f>IF(ISNUMBER(SEARCH(Лист2!$B$5,I:I)),1,0)+K3455</f>
        <v>0</v>
      </c>
      <c r="M3455" s="3">
        <f ca="1">IF(AND(N3455&lt;&gt;N3454,ISNUMBER(SEARCH(Лист2!$B$6,N:N)),L3455=2),MAX($M$3:OFFSET(M3455,-1,0))+1,0)</f>
        <v>0</v>
      </c>
      <c r="N3455" s="3" t="s">
        <v>2200</v>
      </c>
    </row>
    <row r="3456" spans="1:14" x14ac:dyDescent="0.25">
      <c r="A3456" s="1" t="s">
        <v>12258</v>
      </c>
      <c r="B3456" s="3" t="s">
        <v>7080</v>
      </c>
      <c r="C3456" s="2">
        <f ca="1">IF(ISNUMBER(SEARCH(Лист2!$B$4,D:D)),MAX($C$3:OFFSET(C3456,-1,0))+1,0)</f>
        <v>0</v>
      </c>
      <c r="E3456" s="9" t="str">
        <f t="shared" ca="1" si="65"/>
        <v/>
      </c>
      <c r="F3456" s="4" t="s">
        <v>11</v>
      </c>
      <c r="G3456" s="2">
        <f>IF(ISNUMBER(SEARCH(Лист2!$B$4,F:F)),1,0)</f>
        <v>0</v>
      </c>
      <c r="H3456" s="3">
        <f ca="1">IF(AND(I3456&lt;&gt;I3455,ISNUMBER(SEARCH(Лист2!$B$5,I:I)),G3456=1),MAX($H$3:OFFSET(H3456,-1,0))+1,0)</f>
        <v>0</v>
      </c>
      <c r="I3456" s="3" t="s">
        <v>298</v>
      </c>
      <c r="K3456" s="2">
        <f>IF(ISNUMBER(SEARCH(Лист2!$B$4,F:F)),1,0)</f>
        <v>0</v>
      </c>
      <c r="L3456" s="14">
        <f>IF(ISNUMBER(SEARCH(Лист2!$B$5,I:I)),1,0)+K3456</f>
        <v>0</v>
      </c>
      <c r="M3456" s="3">
        <f ca="1">IF(AND(N3456&lt;&gt;N3455,ISNUMBER(SEARCH(Лист2!$B$6,N:N)),L3456=2),MAX($M$3:OFFSET(M3456,-1,0))+1,0)</f>
        <v>0</v>
      </c>
      <c r="N3456" s="3" t="s">
        <v>2201</v>
      </c>
    </row>
    <row r="3457" spans="1:14" x14ac:dyDescent="0.25">
      <c r="A3457" s="1" t="s">
        <v>12259</v>
      </c>
      <c r="B3457" s="3" t="s">
        <v>7081</v>
      </c>
      <c r="C3457" s="2">
        <f ca="1">IF(ISNUMBER(SEARCH(Лист2!$B$4,D:D)),MAX($C$3:OFFSET(C3457,-1,0))+1,0)</f>
        <v>0</v>
      </c>
      <c r="E3457" s="9" t="str">
        <f t="shared" ca="1" si="65"/>
        <v/>
      </c>
      <c r="F3457" s="4" t="s">
        <v>11</v>
      </c>
      <c r="G3457" s="2">
        <f>IF(ISNUMBER(SEARCH(Лист2!$B$4,F:F)),1,0)</f>
        <v>0</v>
      </c>
      <c r="H3457" s="3">
        <f ca="1">IF(AND(I3457&lt;&gt;I3456,ISNUMBER(SEARCH(Лист2!$B$5,I:I)),G3457=1),MAX($H$3:OFFSET(H3457,-1,0))+1,0)</f>
        <v>0</v>
      </c>
      <c r="I3457" s="3" t="s">
        <v>298</v>
      </c>
      <c r="K3457" s="2">
        <f>IF(ISNUMBER(SEARCH(Лист2!$B$4,F:F)),1,0)</f>
        <v>0</v>
      </c>
      <c r="L3457" s="14">
        <f>IF(ISNUMBER(SEARCH(Лист2!$B$5,I:I)),1,0)+K3457</f>
        <v>0</v>
      </c>
      <c r="M3457" s="3">
        <f ca="1">IF(AND(N3457&lt;&gt;N3456,ISNUMBER(SEARCH(Лист2!$B$6,N:N)),L3457=2),MAX($M$3:OFFSET(M3457,-1,0))+1,0)</f>
        <v>0</v>
      </c>
      <c r="N3457" s="3" t="s">
        <v>2170</v>
      </c>
    </row>
    <row r="3458" spans="1:14" x14ac:dyDescent="0.25">
      <c r="A3458" s="1" t="s">
        <v>12260</v>
      </c>
      <c r="B3458" s="3" t="s">
        <v>7082</v>
      </c>
      <c r="C3458" s="2">
        <f ca="1">IF(ISNUMBER(SEARCH(Лист2!$B$4,D:D)),MAX($C$3:OFFSET(C3458,-1,0))+1,0)</f>
        <v>0</v>
      </c>
      <c r="E3458" s="9" t="str">
        <f t="shared" ca="1" si="65"/>
        <v/>
      </c>
      <c r="F3458" s="4" t="s">
        <v>11</v>
      </c>
      <c r="G3458" s="2">
        <f>IF(ISNUMBER(SEARCH(Лист2!$B$4,F:F)),1,0)</f>
        <v>0</v>
      </c>
      <c r="H3458" s="3">
        <f ca="1">IF(AND(I3458&lt;&gt;I3457,ISNUMBER(SEARCH(Лист2!$B$5,I:I)),G3458=1),MAX($H$3:OFFSET(H3458,-1,0))+1,0)</f>
        <v>0</v>
      </c>
      <c r="I3458" s="3" t="s">
        <v>298</v>
      </c>
      <c r="K3458" s="2">
        <f>IF(ISNUMBER(SEARCH(Лист2!$B$4,F:F)),1,0)</f>
        <v>0</v>
      </c>
      <c r="L3458" s="14">
        <f>IF(ISNUMBER(SEARCH(Лист2!$B$5,I:I)),1,0)+K3458</f>
        <v>0</v>
      </c>
      <c r="M3458" s="3">
        <f ca="1">IF(AND(N3458&lt;&gt;N3457,ISNUMBER(SEARCH(Лист2!$B$6,N:N)),L3458=2),MAX($M$3:OFFSET(M3458,-1,0))+1,0)</f>
        <v>0</v>
      </c>
      <c r="N3458" s="3" t="s">
        <v>2202</v>
      </c>
    </row>
    <row r="3459" spans="1:14" x14ac:dyDescent="0.25">
      <c r="A3459" s="1" t="s">
        <v>12261</v>
      </c>
      <c r="B3459" s="3" t="s">
        <v>7083</v>
      </c>
      <c r="C3459" s="2">
        <f ca="1">IF(ISNUMBER(SEARCH(Лист2!$B$4,D:D)),MAX($C$3:OFFSET(C3459,-1,0))+1,0)</f>
        <v>0</v>
      </c>
      <c r="E3459" s="9" t="str">
        <f t="shared" ca="1" si="65"/>
        <v/>
      </c>
      <c r="F3459" s="4" t="s">
        <v>11</v>
      </c>
      <c r="G3459" s="2">
        <f>IF(ISNUMBER(SEARCH(Лист2!$B$4,F:F)),1,0)</f>
        <v>0</v>
      </c>
      <c r="H3459" s="3">
        <f ca="1">IF(AND(I3459&lt;&gt;I3458,ISNUMBER(SEARCH(Лист2!$B$5,I:I)),G3459=1),MAX($H$3:OFFSET(H3459,-1,0))+1,0)</f>
        <v>0</v>
      </c>
      <c r="I3459" s="3" t="s">
        <v>298</v>
      </c>
      <c r="K3459" s="2">
        <f>IF(ISNUMBER(SEARCH(Лист2!$B$4,F:F)),1,0)</f>
        <v>0</v>
      </c>
      <c r="L3459" s="14">
        <f>IF(ISNUMBER(SEARCH(Лист2!$B$5,I:I)),1,0)+K3459</f>
        <v>0</v>
      </c>
      <c r="M3459" s="3">
        <f ca="1">IF(AND(N3459&lt;&gt;N3458,ISNUMBER(SEARCH(Лист2!$B$6,N:N)),L3459=2),MAX($M$3:OFFSET(M3459,-1,0))+1,0)</f>
        <v>0</v>
      </c>
      <c r="N3459" s="3" t="s">
        <v>2203</v>
      </c>
    </row>
    <row r="3460" spans="1:14" x14ac:dyDescent="0.25">
      <c r="A3460" s="1" t="s">
        <v>12262</v>
      </c>
      <c r="B3460" s="3" t="s">
        <v>7084</v>
      </c>
      <c r="C3460" s="2">
        <f ca="1">IF(ISNUMBER(SEARCH(Лист2!$B$4,D:D)),MAX($C$3:OFFSET(C3460,-1,0))+1,0)</f>
        <v>0</v>
      </c>
      <c r="E3460" s="9" t="str">
        <f t="shared" ca="1" si="65"/>
        <v/>
      </c>
      <c r="F3460" s="4" t="s">
        <v>11</v>
      </c>
      <c r="G3460" s="2">
        <f>IF(ISNUMBER(SEARCH(Лист2!$B$4,F:F)),1,0)</f>
        <v>0</v>
      </c>
      <c r="H3460" s="3">
        <f ca="1">IF(AND(I3460&lt;&gt;I3459,ISNUMBER(SEARCH(Лист2!$B$5,I:I)),G3460=1),MAX($H$3:OFFSET(H3460,-1,0))+1,0)</f>
        <v>0</v>
      </c>
      <c r="I3460" s="3" t="s">
        <v>298</v>
      </c>
      <c r="K3460" s="2">
        <f>IF(ISNUMBER(SEARCH(Лист2!$B$4,F:F)),1,0)</f>
        <v>0</v>
      </c>
      <c r="L3460" s="14">
        <f>IF(ISNUMBER(SEARCH(Лист2!$B$5,I:I)),1,0)+K3460</f>
        <v>0</v>
      </c>
      <c r="M3460" s="3">
        <f ca="1">IF(AND(N3460&lt;&gt;N3459,ISNUMBER(SEARCH(Лист2!$B$6,N:N)),L3460=2),MAX($M$3:OFFSET(M3460,-1,0))+1,0)</f>
        <v>0</v>
      </c>
      <c r="N3460" s="3" t="s">
        <v>602</v>
      </c>
    </row>
    <row r="3461" spans="1:14" x14ac:dyDescent="0.25">
      <c r="A3461" s="1" t="s">
        <v>12263</v>
      </c>
      <c r="B3461" s="3" t="s">
        <v>7085</v>
      </c>
      <c r="C3461" s="2">
        <f ca="1">IF(ISNUMBER(SEARCH(Лист2!$B$4,D:D)),MAX($C$3:OFFSET(C3461,-1,0))+1,0)</f>
        <v>0</v>
      </c>
      <c r="E3461" s="9" t="str">
        <f t="shared" ref="E3461:E3524" ca="1" si="66">IFERROR(INDEX(D:D,MATCH(ROW(E3461)-ROW($E$3),C:C,0)),"")</f>
        <v/>
      </c>
      <c r="F3461" s="4" t="s">
        <v>11</v>
      </c>
      <c r="G3461" s="2">
        <f>IF(ISNUMBER(SEARCH(Лист2!$B$4,F:F)),1,0)</f>
        <v>0</v>
      </c>
      <c r="H3461" s="3">
        <f ca="1">IF(AND(I3461&lt;&gt;I3460,ISNUMBER(SEARCH(Лист2!$B$5,I:I)),G3461=1),MAX($H$3:OFFSET(H3461,-1,0))+1,0)</f>
        <v>0</v>
      </c>
      <c r="I3461" s="3" t="s">
        <v>298</v>
      </c>
      <c r="K3461" s="2">
        <f>IF(ISNUMBER(SEARCH(Лист2!$B$4,F:F)),1,0)</f>
        <v>0</v>
      </c>
      <c r="L3461" s="14">
        <f>IF(ISNUMBER(SEARCH(Лист2!$B$5,I:I)),1,0)+K3461</f>
        <v>0</v>
      </c>
      <c r="M3461" s="3">
        <f ca="1">IF(AND(N3461&lt;&gt;N3460,ISNUMBER(SEARCH(Лист2!$B$6,N:N)),L3461=2),MAX($M$3:OFFSET(M3461,-1,0))+1,0)</f>
        <v>0</v>
      </c>
      <c r="N3461" s="3" t="s">
        <v>2204</v>
      </c>
    </row>
    <row r="3462" spans="1:14" x14ac:dyDescent="0.25">
      <c r="A3462" s="1" t="s">
        <v>12264</v>
      </c>
      <c r="B3462" s="3" t="s">
        <v>7086</v>
      </c>
      <c r="C3462" s="2">
        <f ca="1">IF(ISNUMBER(SEARCH(Лист2!$B$4,D:D)),MAX($C$3:OFFSET(C3462,-1,0))+1,0)</f>
        <v>0</v>
      </c>
      <c r="E3462" s="9" t="str">
        <f t="shared" ca="1" si="66"/>
        <v/>
      </c>
      <c r="F3462" s="4" t="s">
        <v>11</v>
      </c>
      <c r="G3462" s="2">
        <f>IF(ISNUMBER(SEARCH(Лист2!$B$4,F:F)),1,0)</f>
        <v>0</v>
      </c>
      <c r="H3462" s="3">
        <f ca="1">IF(AND(I3462&lt;&gt;I3461,ISNUMBER(SEARCH(Лист2!$B$5,I:I)),G3462=1),MAX($H$3:OFFSET(H3462,-1,0))+1,0)</f>
        <v>0</v>
      </c>
      <c r="I3462" s="3" t="s">
        <v>298</v>
      </c>
      <c r="K3462" s="2">
        <f>IF(ISNUMBER(SEARCH(Лист2!$B$4,F:F)),1,0)</f>
        <v>0</v>
      </c>
      <c r="L3462" s="14">
        <f>IF(ISNUMBER(SEARCH(Лист2!$B$5,I:I)),1,0)+K3462</f>
        <v>0</v>
      </c>
      <c r="M3462" s="3">
        <f ca="1">IF(AND(N3462&lt;&gt;N3461,ISNUMBER(SEARCH(Лист2!$B$6,N:N)),L3462=2),MAX($M$3:OFFSET(M3462,-1,0))+1,0)</f>
        <v>0</v>
      </c>
      <c r="N3462" s="3" t="s">
        <v>2205</v>
      </c>
    </row>
    <row r="3463" spans="1:14" x14ac:dyDescent="0.25">
      <c r="A3463" s="1" t="s">
        <v>12265</v>
      </c>
      <c r="B3463" s="3" t="s">
        <v>7087</v>
      </c>
      <c r="C3463" s="2">
        <f ca="1">IF(ISNUMBER(SEARCH(Лист2!$B$4,D:D)),MAX($C$3:OFFSET(C3463,-1,0))+1,0)</f>
        <v>0</v>
      </c>
      <c r="E3463" s="9" t="str">
        <f t="shared" ca="1" si="66"/>
        <v/>
      </c>
      <c r="F3463" s="4" t="s">
        <v>11</v>
      </c>
      <c r="G3463" s="2">
        <f>IF(ISNUMBER(SEARCH(Лист2!$B$4,F:F)),1,0)</f>
        <v>0</v>
      </c>
      <c r="H3463" s="3">
        <f ca="1">IF(AND(I3463&lt;&gt;I3462,ISNUMBER(SEARCH(Лист2!$B$5,I:I)),G3463=1),MAX($H$3:OFFSET(H3463,-1,0))+1,0)</f>
        <v>0</v>
      </c>
      <c r="I3463" s="3" t="s">
        <v>299</v>
      </c>
      <c r="K3463" s="2">
        <f>IF(ISNUMBER(SEARCH(Лист2!$B$4,F:F)),1,0)</f>
        <v>0</v>
      </c>
      <c r="L3463" s="14">
        <f>IF(ISNUMBER(SEARCH(Лист2!$B$5,I:I)),1,0)+K3463</f>
        <v>0</v>
      </c>
      <c r="M3463" s="3">
        <f ca="1">IF(AND(N3463&lt;&gt;N3462,ISNUMBER(SEARCH(Лист2!$B$6,N:N)),L3463=2),MAX($M$3:OFFSET(M3463,-1,0))+1,0)</f>
        <v>0</v>
      </c>
      <c r="N3463" s="3" t="s">
        <v>2079</v>
      </c>
    </row>
    <row r="3464" spans="1:14" x14ac:dyDescent="0.25">
      <c r="A3464" s="1" t="s">
        <v>12266</v>
      </c>
      <c r="B3464" s="3" t="s">
        <v>7088</v>
      </c>
      <c r="C3464" s="2">
        <f ca="1">IF(ISNUMBER(SEARCH(Лист2!$B$4,D:D)),MAX($C$3:OFFSET(C3464,-1,0))+1,0)</f>
        <v>0</v>
      </c>
      <c r="E3464" s="9" t="str">
        <f t="shared" ca="1" si="66"/>
        <v/>
      </c>
      <c r="F3464" s="4" t="s">
        <v>11</v>
      </c>
      <c r="G3464" s="2">
        <f>IF(ISNUMBER(SEARCH(Лист2!$B$4,F:F)),1,0)</f>
        <v>0</v>
      </c>
      <c r="H3464" s="3">
        <f ca="1">IF(AND(I3464&lt;&gt;I3463,ISNUMBER(SEARCH(Лист2!$B$5,I:I)),G3464=1),MAX($H$3:OFFSET(H3464,-1,0))+1,0)</f>
        <v>0</v>
      </c>
      <c r="I3464" s="3" t="s">
        <v>299</v>
      </c>
      <c r="K3464" s="2">
        <f>IF(ISNUMBER(SEARCH(Лист2!$B$4,F:F)),1,0)</f>
        <v>0</v>
      </c>
      <c r="L3464" s="14">
        <f>IF(ISNUMBER(SEARCH(Лист2!$B$5,I:I)),1,0)+K3464</f>
        <v>0</v>
      </c>
      <c r="M3464" s="3">
        <f ca="1">IF(AND(N3464&lt;&gt;N3463,ISNUMBER(SEARCH(Лист2!$B$6,N:N)),L3464=2),MAX($M$3:OFFSET(M3464,-1,0))+1,0)</f>
        <v>0</v>
      </c>
      <c r="N3464" s="3" t="s">
        <v>2080</v>
      </c>
    </row>
    <row r="3465" spans="1:14" x14ac:dyDescent="0.25">
      <c r="A3465" s="1" t="s">
        <v>12267</v>
      </c>
      <c r="B3465" s="3" t="s">
        <v>7089</v>
      </c>
      <c r="C3465" s="2">
        <f ca="1">IF(ISNUMBER(SEARCH(Лист2!$B$4,D:D)),MAX($C$3:OFFSET(C3465,-1,0))+1,0)</f>
        <v>0</v>
      </c>
      <c r="E3465" s="9" t="str">
        <f t="shared" ca="1" si="66"/>
        <v/>
      </c>
      <c r="F3465" s="4" t="s">
        <v>11</v>
      </c>
      <c r="G3465" s="2">
        <f>IF(ISNUMBER(SEARCH(Лист2!$B$4,F:F)),1,0)</f>
        <v>0</v>
      </c>
      <c r="H3465" s="3">
        <f ca="1">IF(AND(I3465&lt;&gt;I3464,ISNUMBER(SEARCH(Лист2!$B$5,I:I)),G3465=1),MAX($H$3:OFFSET(H3465,-1,0))+1,0)</f>
        <v>0</v>
      </c>
      <c r="I3465" s="3" t="s">
        <v>299</v>
      </c>
      <c r="K3465" s="2">
        <f>IF(ISNUMBER(SEARCH(Лист2!$B$4,F:F)),1,0)</f>
        <v>0</v>
      </c>
      <c r="L3465" s="14">
        <f>IF(ISNUMBER(SEARCH(Лист2!$B$5,I:I)),1,0)+K3465</f>
        <v>0</v>
      </c>
      <c r="M3465" s="3">
        <f ca="1">IF(AND(N3465&lt;&gt;N3464,ISNUMBER(SEARCH(Лист2!$B$6,N:N)),L3465=2),MAX($M$3:OFFSET(M3465,-1,0))+1,0)</f>
        <v>0</v>
      </c>
      <c r="N3465" s="3" t="s">
        <v>1385</v>
      </c>
    </row>
    <row r="3466" spans="1:14" x14ac:dyDescent="0.25">
      <c r="A3466" s="1" t="s">
        <v>12268</v>
      </c>
      <c r="B3466" s="3" t="s">
        <v>7090</v>
      </c>
      <c r="C3466" s="2">
        <f ca="1">IF(ISNUMBER(SEARCH(Лист2!$B$4,D:D)),MAX($C$3:OFFSET(C3466,-1,0))+1,0)</f>
        <v>0</v>
      </c>
      <c r="E3466" s="9" t="str">
        <f t="shared" ca="1" si="66"/>
        <v/>
      </c>
      <c r="F3466" s="4" t="s">
        <v>11</v>
      </c>
      <c r="G3466" s="2">
        <f>IF(ISNUMBER(SEARCH(Лист2!$B$4,F:F)),1,0)</f>
        <v>0</v>
      </c>
      <c r="H3466" s="3">
        <f ca="1">IF(AND(I3466&lt;&gt;I3465,ISNUMBER(SEARCH(Лист2!$B$5,I:I)),G3466=1),MAX($H$3:OFFSET(H3466,-1,0))+1,0)</f>
        <v>0</v>
      </c>
      <c r="I3466" s="3" t="s">
        <v>299</v>
      </c>
      <c r="K3466" s="2">
        <f>IF(ISNUMBER(SEARCH(Лист2!$B$4,F:F)),1,0)</f>
        <v>0</v>
      </c>
      <c r="L3466" s="14">
        <f>IF(ISNUMBER(SEARCH(Лист2!$B$5,I:I)),1,0)+K3466</f>
        <v>0</v>
      </c>
      <c r="M3466" s="3">
        <f ca="1">IF(AND(N3466&lt;&gt;N3465,ISNUMBER(SEARCH(Лист2!$B$6,N:N)),L3466=2),MAX($M$3:OFFSET(M3466,-1,0))+1,0)</f>
        <v>0</v>
      </c>
      <c r="N3466" s="3" t="s">
        <v>602</v>
      </c>
    </row>
    <row r="3467" spans="1:14" x14ac:dyDescent="0.25">
      <c r="A3467" s="1" t="s">
        <v>12269</v>
      </c>
      <c r="B3467" s="3" t="s">
        <v>7091</v>
      </c>
      <c r="C3467" s="2">
        <f ca="1">IF(ISNUMBER(SEARCH(Лист2!$B$4,D:D)),MAX($C$3:OFFSET(C3467,-1,0))+1,0)</f>
        <v>0</v>
      </c>
      <c r="E3467" s="9" t="str">
        <f t="shared" ca="1" si="66"/>
        <v/>
      </c>
      <c r="F3467" s="4" t="s">
        <v>11</v>
      </c>
      <c r="G3467" s="2">
        <f>IF(ISNUMBER(SEARCH(Лист2!$B$4,F:F)),1,0)</f>
        <v>0</v>
      </c>
      <c r="H3467" s="3">
        <f ca="1">IF(AND(I3467&lt;&gt;I3466,ISNUMBER(SEARCH(Лист2!$B$5,I:I)),G3467=1),MAX($H$3:OFFSET(H3467,-1,0))+1,0)</f>
        <v>0</v>
      </c>
      <c r="I3467" s="3" t="s">
        <v>299</v>
      </c>
      <c r="K3467" s="2">
        <f>IF(ISNUMBER(SEARCH(Лист2!$B$4,F:F)),1,0)</f>
        <v>0</v>
      </c>
      <c r="L3467" s="14">
        <f>IF(ISNUMBER(SEARCH(Лист2!$B$5,I:I)),1,0)+K3467</f>
        <v>0</v>
      </c>
      <c r="M3467" s="3">
        <f ca="1">IF(AND(N3467&lt;&gt;N3466,ISNUMBER(SEARCH(Лист2!$B$6,N:N)),L3467=2),MAX($M$3:OFFSET(M3467,-1,0))+1,0)</f>
        <v>0</v>
      </c>
      <c r="N3467" s="3" t="s">
        <v>2206</v>
      </c>
    </row>
    <row r="3468" spans="1:14" x14ac:dyDescent="0.25">
      <c r="A3468" s="1" t="s">
        <v>12270</v>
      </c>
      <c r="B3468" s="3" t="s">
        <v>7092</v>
      </c>
      <c r="C3468" s="2">
        <f ca="1">IF(ISNUMBER(SEARCH(Лист2!$B$4,D:D)),MAX($C$3:OFFSET(C3468,-1,0))+1,0)</f>
        <v>0</v>
      </c>
      <c r="E3468" s="9" t="str">
        <f t="shared" ca="1" si="66"/>
        <v/>
      </c>
      <c r="F3468" s="4" t="s">
        <v>11</v>
      </c>
      <c r="G3468" s="2">
        <f>IF(ISNUMBER(SEARCH(Лист2!$B$4,F:F)),1,0)</f>
        <v>0</v>
      </c>
      <c r="H3468" s="3">
        <f ca="1">IF(AND(I3468&lt;&gt;I3467,ISNUMBER(SEARCH(Лист2!$B$5,I:I)),G3468=1),MAX($H$3:OFFSET(H3468,-1,0))+1,0)</f>
        <v>0</v>
      </c>
      <c r="I3468" s="3" t="s">
        <v>299</v>
      </c>
      <c r="K3468" s="2">
        <f>IF(ISNUMBER(SEARCH(Лист2!$B$4,F:F)),1,0)</f>
        <v>0</v>
      </c>
      <c r="L3468" s="14">
        <f>IF(ISNUMBER(SEARCH(Лист2!$B$5,I:I)),1,0)+K3468</f>
        <v>0</v>
      </c>
      <c r="M3468" s="3">
        <f ca="1">IF(AND(N3468&lt;&gt;N3467,ISNUMBER(SEARCH(Лист2!$B$6,N:N)),L3468=2),MAX($M$3:OFFSET(M3468,-1,0))+1,0)</f>
        <v>0</v>
      </c>
      <c r="N3468" s="3" t="s">
        <v>2207</v>
      </c>
    </row>
    <row r="3469" spans="1:14" x14ac:dyDescent="0.25">
      <c r="A3469" s="1" t="s">
        <v>12271</v>
      </c>
      <c r="B3469" s="3" t="s">
        <v>7093</v>
      </c>
      <c r="C3469" s="2">
        <f ca="1">IF(ISNUMBER(SEARCH(Лист2!$B$4,D:D)),MAX($C$3:OFFSET(C3469,-1,0))+1,0)</f>
        <v>0</v>
      </c>
      <c r="E3469" s="9" t="str">
        <f t="shared" ca="1" si="66"/>
        <v/>
      </c>
      <c r="F3469" s="4" t="s">
        <v>11</v>
      </c>
      <c r="G3469" s="2">
        <f>IF(ISNUMBER(SEARCH(Лист2!$B$4,F:F)),1,0)</f>
        <v>0</v>
      </c>
      <c r="H3469" s="3">
        <f ca="1">IF(AND(I3469&lt;&gt;I3468,ISNUMBER(SEARCH(Лист2!$B$5,I:I)),G3469=1),MAX($H$3:OFFSET(H3469,-1,0))+1,0)</f>
        <v>0</v>
      </c>
      <c r="I3469" s="3" t="s">
        <v>299</v>
      </c>
      <c r="K3469" s="2">
        <f>IF(ISNUMBER(SEARCH(Лист2!$B$4,F:F)),1,0)</f>
        <v>0</v>
      </c>
      <c r="L3469" s="14">
        <f>IF(ISNUMBER(SEARCH(Лист2!$B$5,I:I)),1,0)+K3469</f>
        <v>0</v>
      </c>
      <c r="M3469" s="3">
        <f ca="1">IF(AND(N3469&lt;&gt;N3468,ISNUMBER(SEARCH(Лист2!$B$6,N:N)),L3469=2),MAX($M$3:OFFSET(M3469,-1,0))+1,0)</f>
        <v>0</v>
      </c>
      <c r="N3469" s="3" t="s">
        <v>2083</v>
      </c>
    </row>
    <row r="3470" spans="1:14" x14ac:dyDescent="0.25">
      <c r="A3470" s="1" t="s">
        <v>12272</v>
      </c>
      <c r="B3470" s="3" t="s">
        <v>7094</v>
      </c>
      <c r="C3470" s="2">
        <f ca="1">IF(ISNUMBER(SEARCH(Лист2!$B$4,D:D)),MAX($C$3:OFFSET(C3470,-1,0))+1,0)</f>
        <v>0</v>
      </c>
      <c r="E3470" s="9" t="str">
        <f t="shared" ca="1" si="66"/>
        <v/>
      </c>
      <c r="F3470" s="4" t="s">
        <v>11</v>
      </c>
      <c r="G3470" s="2">
        <f>IF(ISNUMBER(SEARCH(Лист2!$B$4,F:F)),1,0)</f>
        <v>0</v>
      </c>
      <c r="H3470" s="3">
        <f ca="1">IF(AND(I3470&lt;&gt;I3469,ISNUMBER(SEARCH(Лист2!$B$5,I:I)),G3470=1),MAX($H$3:OFFSET(H3470,-1,0))+1,0)</f>
        <v>0</v>
      </c>
      <c r="I3470" s="3" t="s">
        <v>299</v>
      </c>
      <c r="K3470" s="2">
        <f>IF(ISNUMBER(SEARCH(Лист2!$B$4,F:F)),1,0)</f>
        <v>0</v>
      </c>
      <c r="L3470" s="14">
        <f>IF(ISNUMBER(SEARCH(Лист2!$B$5,I:I)),1,0)+K3470</f>
        <v>0</v>
      </c>
      <c r="M3470" s="3">
        <f ca="1">IF(AND(N3470&lt;&gt;N3469,ISNUMBER(SEARCH(Лист2!$B$6,N:N)),L3470=2),MAX($M$3:OFFSET(M3470,-1,0))+1,0)</f>
        <v>0</v>
      </c>
      <c r="N3470" s="3" t="s">
        <v>2208</v>
      </c>
    </row>
    <row r="3471" spans="1:14" x14ac:dyDescent="0.25">
      <c r="A3471" s="1" t="s">
        <v>12273</v>
      </c>
      <c r="B3471" s="3" t="s">
        <v>7095</v>
      </c>
      <c r="C3471" s="2">
        <f ca="1">IF(ISNUMBER(SEARCH(Лист2!$B$4,D:D)),MAX($C$3:OFFSET(C3471,-1,0))+1,0)</f>
        <v>0</v>
      </c>
      <c r="E3471" s="9" t="str">
        <f t="shared" ca="1" si="66"/>
        <v/>
      </c>
      <c r="F3471" s="4" t="s">
        <v>11</v>
      </c>
      <c r="G3471" s="2">
        <f>IF(ISNUMBER(SEARCH(Лист2!$B$4,F:F)),1,0)</f>
        <v>0</v>
      </c>
      <c r="H3471" s="3">
        <f ca="1">IF(AND(I3471&lt;&gt;I3470,ISNUMBER(SEARCH(Лист2!$B$5,I:I)),G3471=1),MAX($H$3:OFFSET(H3471,-1,0))+1,0)</f>
        <v>0</v>
      </c>
      <c r="I3471" s="3" t="s">
        <v>299</v>
      </c>
      <c r="K3471" s="2">
        <f>IF(ISNUMBER(SEARCH(Лист2!$B$4,F:F)),1,0)</f>
        <v>0</v>
      </c>
      <c r="L3471" s="14">
        <f>IF(ISNUMBER(SEARCH(Лист2!$B$5,I:I)),1,0)+K3471</f>
        <v>0</v>
      </c>
      <c r="M3471" s="3">
        <f ca="1">IF(AND(N3471&lt;&gt;N3470,ISNUMBER(SEARCH(Лист2!$B$6,N:N)),L3471=2),MAX($M$3:OFFSET(M3471,-1,0))+1,0)</f>
        <v>0</v>
      </c>
      <c r="N3471" s="3" t="s">
        <v>2209</v>
      </c>
    </row>
    <row r="3472" spans="1:14" x14ac:dyDescent="0.25">
      <c r="A3472" s="1" t="s">
        <v>12274</v>
      </c>
      <c r="B3472" s="3" t="s">
        <v>7096</v>
      </c>
      <c r="C3472" s="2">
        <f ca="1">IF(ISNUMBER(SEARCH(Лист2!$B$4,D:D)),MAX($C$3:OFFSET(C3472,-1,0))+1,0)</f>
        <v>0</v>
      </c>
      <c r="E3472" s="9" t="str">
        <f t="shared" ca="1" si="66"/>
        <v/>
      </c>
      <c r="F3472" s="4" t="s">
        <v>11</v>
      </c>
      <c r="G3472" s="2">
        <f>IF(ISNUMBER(SEARCH(Лист2!$B$4,F:F)),1,0)</f>
        <v>0</v>
      </c>
      <c r="H3472" s="3">
        <f ca="1">IF(AND(I3472&lt;&gt;I3471,ISNUMBER(SEARCH(Лист2!$B$5,I:I)),G3472=1),MAX($H$3:OFFSET(H3472,-1,0))+1,0)</f>
        <v>0</v>
      </c>
      <c r="I3472" s="3" t="s">
        <v>300</v>
      </c>
      <c r="K3472" s="2">
        <f>IF(ISNUMBER(SEARCH(Лист2!$B$4,F:F)),1,0)</f>
        <v>0</v>
      </c>
      <c r="L3472" s="14">
        <f>IF(ISNUMBER(SEARCH(Лист2!$B$5,I:I)),1,0)+K3472</f>
        <v>0</v>
      </c>
      <c r="M3472" s="3">
        <f ca="1">IF(AND(N3472&lt;&gt;N3471,ISNUMBER(SEARCH(Лист2!$B$6,N:N)),L3472=2),MAX($M$3:OFFSET(M3472,-1,0))+1,0)</f>
        <v>0</v>
      </c>
      <c r="N3472" s="3" t="s">
        <v>2079</v>
      </c>
    </row>
    <row r="3473" spans="1:14" x14ac:dyDescent="0.25">
      <c r="A3473" s="1" t="s">
        <v>12275</v>
      </c>
      <c r="B3473" s="3" t="s">
        <v>7097</v>
      </c>
      <c r="C3473" s="2">
        <f ca="1">IF(ISNUMBER(SEARCH(Лист2!$B$4,D:D)),MAX($C$3:OFFSET(C3473,-1,0))+1,0)</f>
        <v>0</v>
      </c>
      <c r="E3473" s="9" t="str">
        <f t="shared" ca="1" si="66"/>
        <v/>
      </c>
      <c r="F3473" s="4" t="s">
        <v>11</v>
      </c>
      <c r="G3473" s="2">
        <f>IF(ISNUMBER(SEARCH(Лист2!$B$4,F:F)),1,0)</f>
        <v>0</v>
      </c>
      <c r="H3473" s="3">
        <f ca="1">IF(AND(I3473&lt;&gt;I3472,ISNUMBER(SEARCH(Лист2!$B$5,I:I)),G3473=1),MAX($H$3:OFFSET(H3473,-1,0))+1,0)</f>
        <v>0</v>
      </c>
      <c r="I3473" s="3" t="s">
        <v>300</v>
      </c>
      <c r="K3473" s="2">
        <f>IF(ISNUMBER(SEARCH(Лист2!$B$4,F:F)),1,0)</f>
        <v>0</v>
      </c>
      <c r="L3473" s="14">
        <f>IF(ISNUMBER(SEARCH(Лист2!$B$5,I:I)),1,0)+K3473</f>
        <v>0</v>
      </c>
      <c r="M3473" s="3">
        <f ca="1">IF(AND(N3473&lt;&gt;N3472,ISNUMBER(SEARCH(Лист2!$B$6,N:N)),L3473=2),MAX($M$3:OFFSET(M3473,-1,0))+1,0)</f>
        <v>0</v>
      </c>
      <c r="N3473" s="3" t="s">
        <v>2080</v>
      </c>
    </row>
    <row r="3474" spans="1:14" x14ac:dyDescent="0.25">
      <c r="A3474" s="1" t="s">
        <v>12276</v>
      </c>
      <c r="B3474" s="3" t="s">
        <v>7098</v>
      </c>
      <c r="C3474" s="2">
        <f ca="1">IF(ISNUMBER(SEARCH(Лист2!$B$4,D:D)),MAX($C$3:OFFSET(C3474,-1,0))+1,0)</f>
        <v>0</v>
      </c>
      <c r="E3474" s="9" t="str">
        <f t="shared" ca="1" si="66"/>
        <v/>
      </c>
      <c r="F3474" s="4" t="s">
        <v>11</v>
      </c>
      <c r="G3474" s="2">
        <f>IF(ISNUMBER(SEARCH(Лист2!$B$4,F:F)),1,0)</f>
        <v>0</v>
      </c>
      <c r="H3474" s="3">
        <f ca="1">IF(AND(I3474&lt;&gt;I3473,ISNUMBER(SEARCH(Лист2!$B$5,I:I)),G3474=1),MAX($H$3:OFFSET(H3474,-1,0))+1,0)</f>
        <v>0</v>
      </c>
      <c r="I3474" s="3" t="s">
        <v>300</v>
      </c>
      <c r="K3474" s="2">
        <f>IF(ISNUMBER(SEARCH(Лист2!$B$4,F:F)),1,0)</f>
        <v>0</v>
      </c>
      <c r="L3474" s="14">
        <f>IF(ISNUMBER(SEARCH(Лист2!$B$5,I:I)),1,0)+K3474</f>
        <v>0</v>
      </c>
      <c r="M3474" s="3">
        <f ca="1">IF(AND(N3474&lt;&gt;N3473,ISNUMBER(SEARCH(Лист2!$B$6,N:N)),L3474=2),MAX($M$3:OFFSET(M3474,-1,0))+1,0)</f>
        <v>0</v>
      </c>
      <c r="N3474" s="3" t="s">
        <v>1385</v>
      </c>
    </row>
    <row r="3475" spans="1:14" x14ac:dyDescent="0.25">
      <c r="A3475" s="1" t="s">
        <v>12277</v>
      </c>
      <c r="B3475" s="3" t="s">
        <v>7099</v>
      </c>
      <c r="C3475" s="2">
        <f ca="1">IF(ISNUMBER(SEARCH(Лист2!$B$4,D:D)),MAX($C$3:OFFSET(C3475,-1,0))+1,0)</f>
        <v>0</v>
      </c>
      <c r="E3475" s="9" t="str">
        <f t="shared" ca="1" si="66"/>
        <v/>
      </c>
      <c r="F3475" s="4" t="s">
        <v>11</v>
      </c>
      <c r="G3475" s="2">
        <f>IF(ISNUMBER(SEARCH(Лист2!$B$4,F:F)),1,0)</f>
        <v>0</v>
      </c>
      <c r="H3475" s="3">
        <f ca="1">IF(AND(I3475&lt;&gt;I3474,ISNUMBER(SEARCH(Лист2!$B$5,I:I)),G3475=1),MAX($H$3:OFFSET(H3475,-1,0))+1,0)</f>
        <v>0</v>
      </c>
      <c r="I3475" s="3" t="s">
        <v>300</v>
      </c>
      <c r="K3475" s="2">
        <f>IF(ISNUMBER(SEARCH(Лист2!$B$4,F:F)),1,0)</f>
        <v>0</v>
      </c>
      <c r="L3475" s="14">
        <f>IF(ISNUMBER(SEARCH(Лист2!$B$5,I:I)),1,0)+K3475</f>
        <v>0</v>
      </c>
      <c r="M3475" s="3">
        <f ca="1">IF(AND(N3475&lt;&gt;N3474,ISNUMBER(SEARCH(Лист2!$B$6,N:N)),L3475=2),MAX($M$3:OFFSET(M3475,-1,0))+1,0)</f>
        <v>0</v>
      </c>
      <c r="N3475" s="3" t="s">
        <v>602</v>
      </c>
    </row>
    <row r="3476" spans="1:14" x14ac:dyDescent="0.25">
      <c r="A3476" s="1" t="s">
        <v>12278</v>
      </c>
      <c r="B3476" s="3" t="s">
        <v>7100</v>
      </c>
      <c r="C3476" s="2">
        <f ca="1">IF(ISNUMBER(SEARCH(Лист2!$B$4,D:D)),MAX($C$3:OFFSET(C3476,-1,0))+1,0)</f>
        <v>0</v>
      </c>
      <c r="E3476" s="9" t="str">
        <f t="shared" ca="1" si="66"/>
        <v/>
      </c>
      <c r="F3476" s="4" t="s">
        <v>11</v>
      </c>
      <c r="G3476" s="2">
        <f>IF(ISNUMBER(SEARCH(Лист2!$B$4,F:F)),1,0)</f>
        <v>0</v>
      </c>
      <c r="H3476" s="3">
        <f ca="1">IF(AND(I3476&lt;&gt;I3475,ISNUMBER(SEARCH(Лист2!$B$5,I:I)),G3476=1),MAX($H$3:OFFSET(H3476,-1,0))+1,0)</f>
        <v>0</v>
      </c>
      <c r="I3476" s="3" t="s">
        <v>300</v>
      </c>
      <c r="K3476" s="2">
        <f>IF(ISNUMBER(SEARCH(Лист2!$B$4,F:F)),1,0)</f>
        <v>0</v>
      </c>
      <c r="L3476" s="14">
        <f>IF(ISNUMBER(SEARCH(Лист2!$B$5,I:I)),1,0)+K3476</f>
        <v>0</v>
      </c>
      <c r="M3476" s="3">
        <f ca="1">IF(AND(N3476&lt;&gt;N3475,ISNUMBER(SEARCH(Лист2!$B$6,N:N)),L3476=2),MAX($M$3:OFFSET(M3476,-1,0))+1,0)</f>
        <v>0</v>
      </c>
      <c r="N3476" s="3" t="s">
        <v>2206</v>
      </c>
    </row>
    <row r="3477" spans="1:14" x14ac:dyDescent="0.25">
      <c r="A3477" s="1" t="s">
        <v>12279</v>
      </c>
      <c r="B3477" s="3" t="s">
        <v>7101</v>
      </c>
      <c r="C3477" s="2">
        <f ca="1">IF(ISNUMBER(SEARCH(Лист2!$B$4,D:D)),MAX($C$3:OFFSET(C3477,-1,0))+1,0)</f>
        <v>0</v>
      </c>
      <c r="E3477" s="9" t="str">
        <f t="shared" ca="1" si="66"/>
        <v/>
      </c>
      <c r="F3477" s="4" t="s">
        <v>11</v>
      </c>
      <c r="G3477" s="2">
        <f>IF(ISNUMBER(SEARCH(Лист2!$B$4,F:F)),1,0)</f>
        <v>0</v>
      </c>
      <c r="H3477" s="3">
        <f ca="1">IF(AND(I3477&lt;&gt;I3476,ISNUMBER(SEARCH(Лист2!$B$5,I:I)),G3477=1),MAX($H$3:OFFSET(H3477,-1,0))+1,0)</f>
        <v>0</v>
      </c>
      <c r="I3477" s="3" t="s">
        <v>300</v>
      </c>
      <c r="K3477" s="2">
        <f>IF(ISNUMBER(SEARCH(Лист2!$B$4,F:F)),1,0)</f>
        <v>0</v>
      </c>
      <c r="L3477" s="14">
        <f>IF(ISNUMBER(SEARCH(Лист2!$B$5,I:I)),1,0)+K3477</f>
        <v>0</v>
      </c>
      <c r="M3477" s="3">
        <f ca="1">IF(AND(N3477&lt;&gt;N3476,ISNUMBER(SEARCH(Лист2!$B$6,N:N)),L3477=2),MAX($M$3:OFFSET(M3477,-1,0))+1,0)</f>
        <v>0</v>
      </c>
      <c r="N3477" s="3" t="s">
        <v>2207</v>
      </c>
    </row>
    <row r="3478" spans="1:14" x14ac:dyDescent="0.25">
      <c r="A3478" s="1" t="s">
        <v>12280</v>
      </c>
      <c r="B3478" s="3" t="s">
        <v>7102</v>
      </c>
      <c r="C3478" s="2">
        <f ca="1">IF(ISNUMBER(SEARCH(Лист2!$B$4,D:D)),MAX($C$3:OFFSET(C3478,-1,0))+1,0)</f>
        <v>0</v>
      </c>
      <c r="E3478" s="9" t="str">
        <f t="shared" ca="1" si="66"/>
        <v/>
      </c>
      <c r="F3478" s="4" t="s">
        <v>11</v>
      </c>
      <c r="G3478" s="2">
        <f>IF(ISNUMBER(SEARCH(Лист2!$B$4,F:F)),1,0)</f>
        <v>0</v>
      </c>
      <c r="H3478" s="3">
        <f ca="1">IF(AND(I3478&lt;&gt;I3477,ISNUMBER(SEARCH(Лист2!$B$5,I:I)),G3478=1),MAX($H$3:OFFSET(H3478,-1,0))+1,0)</f>
        <v>0</v>
      </c>
      <c r="I3478" s="3" t="s">
        <v>300</v>
      </c>
      <c r="K3478" s="2">
        <f>IF(ISNUMBER(SEARCH(Лист2!$B$4,F:F)),1,0)</f>
        <v>0</v>
      </c>
      <c r="L3478" s="14">
        <f>IF(ISNUMBER(SEARCH(Лист2!$B$5,I:I)),1,0)+K3478</f>
        <v>0</v>
      </c>
      <c r="M3478" s="3">
        <f ca="1">IF(AND(N3478&lt;&gt;N3477,ISNUMBER(SEARCH(Лист2!$B$6,N:N)),L3478=2),MAX($M$3:OFFSET(M3478,-1,0))+1,0)</f>
        <v>0</v>
      </c>
      <c r="N3478" s="3" t="s">
        <v>2083</v>
      </c>
    </row>
    <row r="3479" spans="1:14" x14ac:dyDescent="0.25">
      <c r="A3479" s="1" t="s">
        <v>12281</v>
      </c>
      <c r="B3479" s="3" t="s">
        <v>7103</v>
      </c>
      <c r="C3479" s="2">
        <f ca="1">IF(ISNUMBER(SEARCH(Лист2!$B$4,D:D)),MAX($C$3:OFFSET(C3479,-1,0))+1,0)</f>
        <v>0</v>
      </c>
      <c r="E3479" s="9" t="str">
        <f t="shared" ca="1" si="66"/>
        <v/>
      </c>
      <c r="F3479" s="4" t="s">
        <v>11</v>
      </c>
      <c r="G3479" s="2">
        <f>IF(ISNUMBER(SEARCH(Лист2!$B$4,F:F)),1,0)</f>
        <v>0</v>
      </c>
      <c r="H3479" s="3">
        <f ca="1">IF(AND(I3479&lt;&gt;I3478,ISNUMBER(SEARCH(Лист2!$B$5,I:I)),G3479=1),MAX($H$3:OFFSET(H3479,-1,0))+1,0)</f>
        <v>0</v>
      </c>
      <c r="I3479" s="3" t="s">
        <v>300</v>
      </c>
      <c r="K3479" s="2">
        <f>IF(ISNUMBER(SEARCH(Лист2!$B$4,F:F)),1,0)</f>
        <v>0</v>
      </c>
      <c r="L3479" s="14">
        <f>IF(ISNUMBER(SEARCH(Лист2!$B$5,I:I)),1,0)+K3479</f>
        <v>0</v>
      </c>
      <c r="M3479" s="3">
        <f ca="1">IF(AND(N3479&lt;&gt;N3478,ISNUMBER(SEARCH(Лист2!$B$6,N:N)),L3479=2),MAX($M$3:OFFSET(M3479,-1,0))+1,0)</f>
        <v>0</v>
      </c>
      <c r="N3479" s="3" t="s">
        <v>2210</v>
      </c>
    </row>
    <row r="3480" spans="1:14" x14ac:dyDescent="0.25">
      <c r="A3480" s="1" t="s">
        <v>12282</v>
      </c>
      <c r="B3480" s="3" t="s">
        <v>7104</v>
      </c>
      <c r="C3480" s="2">
        <f ca="1">IF(ISNUMBER(SEARCH(Лист2!$B$4,D:D)),MAX($C$3:OFFSET(C3480,-1,0))+1,0)</f>
        <v>0</v>
      </c>
      <c r="E3480" s="9" t="str">
        <f t="shared" ca="1" si="66"/>
        <v/>
      </c>
      <c r="F3480" s="4" t="s">
        <v>11</v>
      </c>
      <c r="G3480" s="2">
        <f>IF(ISNUMBER(SEARCH(Лист2!$B$4,F:F)),1,0)</f>
        <v>0</v>
      </c>
      <c r="H3480" s="3">
        <f ca="1">IF(AND(I3480&lt;&gt;I3479,ISNUMBER(SEARCH(Лист2!$B$5,I:I)),G3480=1),MAX($H$3:OFFSET(H3480,-1,0))+1,0)</f>
        <v>0</v>
      </c>
      <c r="I3480" s="3" t="s">
        <v>300</v>
      </c>
      <c r="K3480" s="2">
        <f>IF(ISNUMBER(SEARCH(Лист2!$B$4,F:F)),1,0)</f>
        <v>0</v>
      </c>
      <c r="L3480" s="14">
        <f>IF(ISNUMBER(SEARCH(Лист2!$B$5,I:I)),1,0)+K3480</f>
        <v>0</v>
      </c>
      <c r="M3480" s="3">
        <f ca="1">IF(AND(N3480&lt;&gt;N3479,ISNUMBER(SEARCH(Лист2!$B$6,N:N)),L3480=2),MAX($M$3:OFFSET(M3480,-1,0))+1,0)</f>
        <v>0</v>
      </c>
      <c r="N3480" s="3" t="s">
        <v>2211</v>
      </c>
    </row>
    <row r="3481" spans="1:14" x14ac:dyDescent="0.25">
      <c r="A3481" s="1" t="s">
        <v>12283</v>
      </c>
      <c r="B3481" s="3" t="s">
        <v>7105</v>
      </c>
      <c r="C3481" s="2">
        <f ca="1">IF(ISNUMBER(SEARCH(Лист2!$B$4,D:D)),MAX($C$3:OFFSET(C3481,-1,0))+1,0)</f>
        <v>0</v>
      </c>
      <c r="E3481" s="9" t="str">
        <f t="shared" ca="1" si="66"/>
        <v/>
      </c>
      <c r="F3481" s="4" t="s">
        <v>11</v>
      </c>
      <c r="G3481" s="2">
        <f>IF(ISNUMBER(SEARCH(Лист2!$B$4,F:F)),1,0)</f>
        <v>0</v>
      </c>
      <c r="H3481" s="3">
        <f ca="1">IF(AND(I3481&lt;&gt;I3480,ISNUMBER(SEARCH(Лист2!$B$5,I:I)),G3481=1),MAX($H$3:OFFSET(H3481,-1,0))+1,0)</f>
        <v>0</v>
      </c>
      <c r="I3481" s="3" t="s">
        <v>292</v>
      </c>
      <c r="K3481" s="2">
        <f>IF(ISNUMBER(SEARCH(Лист2!$B$4,F:F)),1,0)</f>
        <v>0</v>
      </c>
      <c r="L3481" s="14">
        <f>IF(ISNUMBER(SEARCH(Лист2!$B$5,I:I)),1,0)+K3481</f>
        <v>0</v>
      </c>
      <c r="M3481" s="3">
        <f ca="1">IF(AND(N3481&lt;&gt;N3480,ISNUMBER(SEARCH(Лист2!$B$6,N:N)),L3481=2),MAX($M$3:OFFSET(M3481,-1,0))+1,0)</f>
        <v>0</v>
      </c>
      <c r="N3481" s="3" t="s">
        <v>2212</v>
      </c>
    </row>
    <row r="3482" spans="1:14" x14ac:dyDescent="0.25">
      <c r="A3482" s="1" t="s">
        <v>12284</v>
      </c>
      <c r="B3482" s="3" t="s">
        <v>7106</v>
      </c>
      <c r="C3482" s="2">
        <f ca="1">IF(ISNUMBER(SEARCH(Лист2!$B$4,D:D)),MAX($C$3:OFFSET(C3482,-1,0))+1,0)</f>
        <v>0</v>
      </c>
      <c r="E3482" s="9" t="str">
        <f t="shared" ca="1" si="66"/>
        <v/>
      </c>
      <c r="F3482" s="4" t="s">
        <v>11</v>
      </c>
      <c r="G3482" s="2">
        <f>IF(ISNUMBER(SEARCH(Лист2!$B$4,F:F)),1,0)</f>
        <v>0</v>
      </c>
      <c r="H3482" s="3">
        <f ca="1">IF(AND(I3482&lt;&gt;I3481,ISNUMBER(SEARCH(Лист2!$B$5,I:I)),G3482=1),MAX($H$3:OFFSET(H3482,-1,0))+1,0)</f>
        <v>0</v>
      </c>
      <c r="I3482" s="3" t="s">
        <v>292</v>
      </c>
      <c r="K3482" s="2">
        <f>IF(ISNUMBER(SEARCH(Лист2!$B$4,F:F)),1,0)</f>
        <v>0</v>
      </c>
      <c r="L3482" s="14">
        <f>IF(ISNUMBER(SEARCH(Лист2!$B$5,I:I)),1,0)+K3482</f>
        <v>0</v>
      </c>
      <c r="M3482" s="3">
        <f ca="1">IF(AND(N3482&lt;&gt;N3481,ISNUMBER(SEARCH(Лист2!$B$6,N:N)),L3482=2),MAX($M$3:OFFSET(M3482,-1,0))+1,0)</f>
        <v>0</v>
      </c>
      <c r="N3482" s="3" t="s">
        <v>2213</v>
      </c>
    </row>
    <row r="3483" spans="1:14" x14ac:dyDescent="0.25">
      <c r="A3483" s="1" t="s">
        <v>12285</v>
      </c>
      <c r="B3483" s="3" t="s">
        <v>7107</v>
      </c>
      <c r="C3483" s="2">
        <f ca="1">IF(ISNUMBER(SEARCH(Лист2!$B$4,D:D)),MAX($C$3:OFFSET(C3483,-1,0))+1,0)</f>
        <v>0</v>
      </c>
      <c r="E3483" s="9" t="str">
        <f t="shared" ca="1" si="66"/>
        <v/>
      </c>
      <c r="F3483" s="4" t="s">
        <v>11</v>
      </c>
      <c r="G3483" s="2">
        <f>IF(ISNUMBER(SEARCH(Лист2!$B$4,F:F)),1,0)</f>
        <v>0</v>
      </c>
      <c r="H3483" s="3">
        <f ca="1">IF(AND(I3483&lt;&gt;I3482,ISNUMBER(SEARCH(Лист2!$B$5,I:I)),G3483=1),MAX($H$3:OFFSET(H3483,-1,0))+1,0)</f>
        <v>0</v>
      </c>
      <c r="I3483" s="3" t="s">
        <v>292</v>
      </c>
      <c r="K3483" s="2">
        <f>IF(ISNUMBER(SEARCH(Лист2!$B$4,F:F)),1,0)</f>
        <v>0</v>
      </c>
      <c r="L3483" s="14">
        <f>IF(ISNUMBER(SEARCH(Лист2!$B$5,I:I)),1,0)+K3483</f>
        <v>0</v>
      </c>
      <c r="M3483" s="3">
        <f ca="1">IF(AND(N3483&lt;&gt;N3482,ISNUMBER(SEARCH(Лист2!$B$6,N:N)),L3483=2),MAX($M$3:OFFSET(M3483,-1,0))+1,0)</f>
        <v>0</v>
      </c>
      <c r="N3483" s="3" t="s">
        <v>2049</v>
      </c>
    </row>
    <row r="3484" spans="1:14" x14ac:dyDescent="0.25">
      <c r="A3484" s="1" t="s">
        <v>12286</v>
      </c>
      <c r="B3484" s="3" t="s">
        <v>7108</v>
      </c>
      <c r="C3484" s="2">
        <f ca="1">IF(ISNUMBER(SEARCH(Лист2!$B$4,D:D)),MAX($C$3:OFFSET(C3484,-1,0))+1,0)</f>
        <v>0</v>
      </c>
      <c r="E3484" s="9" t="str">
        <f t="shared" ca="1" si="66"/>
        <v/>
      </c>
      <c r="F3484" s="4" t="s">
        <v>11</v>
      </c>
      <c r="G3484" s="2">
        <f>IF(ISNUMBER(SEARCH(Лист2!$B$4,F:F)),1,0)</f>
        <v>0</v>
      </c>
      <c r="H3484" s="3">
        <f ca="1">IF(AND(I3484&lt;&gt;I3483,ISNUMBER(SEARCH(Лист2!$B$5,I:I)),G3484=1),MAX($H$3:OFFSET(H3484,-1,0))+1,0)</f>
        <v>0</v>
      </c>
      <c r="I3484" s="3" t="s">
        <v>292</v>
      </c>
      <c r="K3484" s="2">
        <f>IF(ISNUMBER(SEARCH(Лист2!$B$4,F:F)),1,0)</f>
        <v>0</v>
      </c>
      <c r="L3484" s="14">
        <f>IF(ISNUMBER(SEARCH(Лист2!$B$5,I:I)),1,0)+K3484</f>
        <v>0</v>
      </c>
      <c r="M3484" s="3">
        <f ca="1">IF(AND(N3484&lt;&gt;N3483,ISNUMBER(SEARCH(Лист2!$B$6,N:N)),L3484=2),MAX($M$3:OFFSET(M3484,-1,0))+1,0)</f>
        <v>0</v>
      </c>
      <c r="N3484" s="3" t="s">
        <v>1385</v>
      </c>
    </row>
    <row r="3485" spans="1:14" x14ac:dyDescent="0.25">
      <c r="A3485" s="1" t="s">
        <v>12287</v>
      </c>
      <c r="B3485" s="3" t="s">
        <v>7109</v>
      </c>
      <c r="C3485" s="2">
        <f ca="1">IF(ISNUMBER(SEARCH(Лист2!$B$4,D:D)),MAX($C$3:OFFSET(C3485,-1,0))+1,0)</f>
        <v>0</v>
      </c>
      <c r="E3485" s="9" t="str">
        <f t="shared" ca="1" si="66"/>
        <v/>
      </c>
      <c r="F3485" s="4" t="s">
        <v>11</v>
      </c>
      <c r="G3485" s="2">
        <f>IF(ISNUMBER(SEARCH(Лист2!$B$4,F:F)),1,0)</f>
        <v>0</v>
      </c>
      <c r="H3485" s="3">
        <f ca="1">IF(AND(I3485&lt;&gt;I3484,ISNUMBER(SEARCH(Лист2!$B$5,I:I)),G3485=1),MAX($H$3:OFFSET(H3485,-1,0))+1,0)</f>
        <v>0</v>
      </c>
      <c r="I3485" s="3" t="s">
        <v>292</v>
      </c>
      <c r="K3485" s="2">
        <f>IF(ISNUMBER(SEARCH(Лист2!$B$4,F:F)),1,0)</f>
        <v>0</v>
      </c>
      <c r="L3485" s="14">
        <f>IF(ISNUMBER(SEARCH(Лист2!$B$5,I:I)),1,0)+K3485</f>
        <v>0</v>
      </c>
      <c r="M3485" s="3">
        <f ca="1">IF(AND(N3485&lt;&gt;N3484,ISNUMBER(SEARCH(Лист2!$B$6,N:N)),L3485=2),MAX($M$3:OFFSET(M3485,-1,0))+1,0)</f>
        <v>0</v>
      </c>
      <c r="N3485" s="3" t="s">
        <v>602</v>
      </c>
    </row>
    <row r="3486" spans="1:14" x14ac:dyDescent="0.25">
      <c r="A3486" s="1" t="s">
        <v>12288</v>
      </c>
      <c r="B3486" s="3" t="s">
        <v>7110</v>
      </c>
      <c r="C3486" s="2">
        <f ca="1">IF(ISNUMBER(SEARCH(Лист2!$B$4,D:D)),MAX($C$3:OFFSET(C3486,-1,0))+1,0)</f>
        <v>0</v>
      </c>
      <c r="E3486" s="9" t="str">
        <f t="shared" ca="1" si="66"/>
        <v/>
      </c>
      <c r="F3486" s="4" t="s">
        <v>11</v>
      </c>
      <c r="G3486" s="2">
        <f>IF(ISNUMBER(SEARCH(Лист2!$B$4,F:F)),1,0)</f>
        <v>0</v>
      </c>
      <c r="H3486" s="3">
        <f ca="1">IF(AND(I3486&lt;&gt;I3485,ISNUMBER(SEARCH(Лист2!$B$5,I:I)),G3486=1),MAX($H$3:OFFSET(H3486,-1,0))+1,0)</f>
        <v>0</v>
      </c>
      <c r="I3486" s="3" t="s">
        <v>292</v>
      </c>
      <c r="K3486" s="2">
        <f>IF(ISNUMBER(SEARCH(Лист2!$B$4,F:F)),1,0)</f>
        <v>0</v>
      </c>
      <c r="L3486" s="14">
        <f>IF(ISNUMBER(SEARCH(Лист2!$B$5,I:I)),1,0)+K3486</f>
        <v>0</v>
      </c>
      <c r="M3486" s="3">
        <f ca="1">IF(AND(N3486&lt;&gt;N3485,ISNUMBER(SEARCH(Лист2!$B$6,N:N)),L3486=2),MAX($M$3:OFFSET(M3486,-1,0))+1,0)</f>
        <v>0</v>
      </c>
      <c r="N3486" s="3" t="s">
        <v>2214</v>
      </c>
    </row>
    <row r="3487" spans="1:14" x14ac:dyDescent="0.25">
      <c r="A3487" s="1" t="s">
        <v>12289</v>
      </c>
      <c r="B3487" s="3" t="s">
        <v>7111</v>
      </c>
      <c r="C3487" s="2">
        <f ca="1">IF(ISNUMBER(SEARCH(Лист2!$B$4,D:D)),MAX($C$3:OFFSET(C3487,-1,0))+1,0)</f>
        <v>0</v>
      </c>
      <c r="E3487" s="9" t="str">
        <f t="shared" ca="1" si="66"/>
        <v/>
      </c>
      <c r="F3487" s="4" t="s">
        <v>11</v>
      </c>
      <c r="G3487" s="2">
        <f>IF(ISNUMBER(SEARCH(Лист2!$B$4,F:F)),1,0)</f>
        <v>0</v>
      </c>
      <c r="H3487" s="3">
        <f ca="1">IF(AND(I3487&lt;&gt;I3486,ISNUMBER(SEARCH(Лист2!$B$5,I:I)),G3487=1),MAX($H$3:OFFSET(H3487,-1,0))+1,0)</f>
        <v>0</v>
      </c>
      <c r="I3487" s="3" t="s">
        <v>292</v>
      </c>
      <c r="K3487" s="2">
        <f>IF(ISNUMBER(SEARCH(Лист2!$B$4,F:F)),1,0)</f>
        <v>0</v>
      </c>
      <c r="L3487" s="14">
        <f>IF(ISNUMBER(SEARCH(Лист2!$B$5,I:I)),1,0)+K3487</f>
        <v>0</v>
      </c>
      <c r="M3487" s="3">
        <f ca="1">IF(AND(N3487&lt;&gt;N3486,ISNUMBER(SEARCH(Лист2!$B$6,N:N)),L3487=2),MAX($M$3:OFFSET(M3487,-1,0))+1,0)</f>
        <v>0</v>
      </c>
      <c r="N3487" s="3" t="s">
        <v>2052</v>
      </c>
    </row>
    <row r="3488" spans="1:14" x14ac:dyDescent="0.25">
      <c r="A3488" s="1" t="s">
        <v>12290</v>
      </c>
      <c r="B3488" s="3" t="s">
        <v>7112</v>
      </c>
      <c r="C3488" s="2">
        <f ca="1">IF(ISNUMBER(SEARCH(Лист2!$B$4,D:D)),MAX($C$3:OFFSET(C3488,-1,0))+1,0)</f>
        <v>0</v>
      </c>
      <c r="E3488" s="9" t="str">
        <f t="shared" ca="1" si="66"/>
        <v/>
      </c>
      <c r="F3488" s="4" t="s">
        <v>11</v>
      </c>
      <c r="G3488" s="2">
        <f>IF(ISNUMBER(SEARCH(Лист2!$B$4,F:F)),1,0)</f>
        <v>0</v>
      </c>
      <c r="H3488" s="3">
        <f ca="1">IF(AND(I3488&lt;&gt;I3487,ISNUMBER(SEARCH(Лист2!$B$5,I:I)),G3488=1),MAX($H$3:OFFSET(H3488,-1,0))+1,0)</f>
        <v>0</v>
      </c>
      <c r="I3488" s="3" t="s">
        <v>292</v>
      </c>
      <c r="K3488" s="2">
        <f>IF(ISNUMBER(SEARCH(Лист2!$B$4,F:F)),1,0)</f>
        <v>0</v>
      </c>
      <c r="L3488" s="14">
        <f>IF(ISNUMBER(SEARCH(Лист2!$B$5,I:I)),1,0)+K3488</f>
        <v>0</v>
      </c>
      <c r="M3488" s="3">
        <f ca="1">IF(AND(N3488&lt;&gt;N3487,ISNUMBER(SEARCH(Лист2!$B$6,N:N)),L3488=2),MAX($M$3:OFFSET(M3488,-1,0))+1,0)</f>
        <v>0</v>
      </c>
      <c r="N3488" s="3" t="s">
        <v>2054</v>
      </c>
    </row>
    <row r="3489" spans="1:14" x14ac:dyDescent="0.25">
      <c r="A3489" s="1" t="s">
        <v>12291</v>
      </c>
      <c r="B3489" s="3" t="s">
        <v>7113</v>
      </c>
      <c r="C3489" s="2">
        <f ca="1">IF(ISNUMBER(SEARCH(Лист2!$B$4,D:D)),MAX($C$3:OFFSET(C3489,-1,0))+1,0)</f>
        <v>0</v>
      </c>
      <c r="E3489" s="9" t="str">
        <f t="shared" ca="1" si="66"/>
        <v/>
      </c>
      <c r="F3489" s="4" t="s">
        <v>11</v>
      </c>
      <c r="G3489" s="2">
        <f>IF(ISNUMBER(SEARCH(Лист2!$B$4,F:F)),1,0)</f>
        <v>0</v>
      </c>
      <c r="H3489" s="3">
        <f ca="1">IF(AND(I3489&lt;&gt;I3488,ISNUMBER(SEARCH(Лист2!$B$5,I:I)),G3489=1),MAX($H$3:OFFSET(H3489,-1,0))+1,0)</f>
        <v>0</v>
      </c>
      <c r="I3489" s="3" t="s">
        <v>292</v>
      </c>
      <c r="K3489" s="2">
        <f>IF(ISNUMBER(SEARCH(Лист2!$B$4,F:F)),1,0)</f>
        <v>0</v>
      </c>
      <c r="L3489" s="14">
        <f>IF(ISNUMBER(SEARCH(Лист2!$B$5,I:I)),1,0)+K3489</f>
        <v>0</v>
      </c>
      <c r="M3489" s="3">
        <f ca="1">IF(AND(N3489&lt;&gt;N3488,ISNUMBER(SEARCH(Лист2!$B$6,N:N)),L3489=2),MAX($M$3:OFFSET(M3489,-1,0))+1,0)</f>
        <v>0</v>
      </c>
      <c r="N3489" s="3" t="s">
        <v>2215</v>
      </c>
    </row>
    <row r="3490" spans="1:14" x14ac:dyDescent="0.25">
      <c r="A3490" s="1" t="s">
        <v>12292</v>
      </c>
      <c r="B3490" s="3" t="s">
        <v>7114</v>
      </c>
      <c r="C3490" s="2">
        <f ca="1">IF(ISNUMBER(SEARCH(Лист2!$B$4,D:D)),MAX($C$3:OFFSET(C3490,-1,0))+1,0)</f>
        <v>0</v>
      </c>
      <c r="E3490" s="9" t="str">
        <f t="shared" ca="1" si="66"/>
        <v/>
      </c>
      <c r="F3490" s="4" t="s">
        <v>11</v>
      </c>
      <c r="G3490" s="2">
        <f>IF(ISNUMBER(SEARCH(Лист2!$B$4,F:F)),1,0)</f>
        <v>0</v>
      </c>
      <c r="H3490" s="3">
        <f ca="1">IF(AND(I3490&lt;&gt;I3489,ISNUMBER(SEARCH(Лист2!$B$5,I:I)),G3490=1),MAX($H$3:OFFSET(H3490,-1,0))+1,0)</f>
        <v>0</v>
      </c>
      <c r="I3490" s="3" t="s">
        <v>292</v>
      </c>
      <c r="K3490" s="2">
        <f>IF(ISNUMBER(SEARCH(Лист2!$B$4,F:F)),1,0)</f>
        <v>0</v>
      </c>
      <c r="L3490" s="14">
        <f>IF(ISNUMBER(SEARCH(Лист2!$B$5,I:I)),1,0)+K3490</f>
        <v>0</v>
      </c>
      <c r="M3490" s="3">
        <f ca="1">IF(AND(N3490&lt;&gt;N3489,ISNUMBER(SEARCH(Лист2!$B$6,N:N)),L3490=2),MAX($M$3:OFFSET(M3490,-1,0))+1,0)</f>
        <v>0</v>
      </c>
      <c r="N3490" s="3" t="s">
        <v>2216</v>
      </c>
    </row>
    <row r="3491" spans="1:14" x14ac:dyDescent="0.25">
      <c r="A3491" s="1" t="s">
        <v>12293</v>
      </c>
      <c r="B3491" s="3" t="s">
        <v>7115</v>
      </c>
      <c r="C3491" s="2">
        <f ca="1">IF(ISNUMBER(SEARCH(Лист2!$B$4,D:D)),MAX($C$3:OFFSET(C3491,-1,0))+1,0)</f>
        <v>0</v>
      </c>
      <c r="E3491" s="9" t="str">
        <f t="shared" ca="1" si="66"/>
        <v/>
      </c>
      <c r="F3491" s="4" t="s">
        <v>11</v>
      </c>
      <c r="G3491" s="2">
        <f>IF(ISNUMBER(SEARCH(Лист2!$B$4,F:F)),1,0)</f>
        <v>0</v>
      </c>
      <c r="H3491" s="3">
        <f ca="1">IF(AND(I3491&lt;&gt;I3490,ISNUMBER(SEARCH(Лист2!$B$5,I:I)),G3491=1),MAX($H$3:OFFSET(H3491,-1,0))+1,0)</f>
        <v>0</v>
      </c>
      <c r="I3491" s="3" t="s">
        <v>292</v>
      </c>
      <c r="K3491" s="2">
        <f>IF(ISNUMBER(SEARCH(Лист2!$B$4,F:F)),1,0)</f>
        <v>0</v>
      </c>
      <c r="L3491" s="14">
        <f>IF(ISNUMBER(SEARCH(Лист2!$B$5,I:I)),1,0)+K3491</f>
        <v>0</v>
      </c>
      <c r="M3491" s="3">
        <f ca="1">IF(AND(N3491&lt;&gt;N3490,ISNUMBER(SEARCH(Лист2!$B$6,N:N)),L3491=2),MAX($M$3:OFFSET(M3491,-1,0))+1,0)</f>
        <v>0</v>
      </c>
      <c r="N3491" s="3" t="s">
        <v>2217</v>
      </c>
    </row>
    <row r="3492" spans="1:14" x14ac:dyDescent="0.25">
      <c r="A3492" s="1" t="s">
        <v>12294</v>
      </c>
      <c r="B3492" s="3" t="s">
        <v>7116</v>
      </c>
      <c r="C3492" s="2">
        <f ca="1">IF(ISNUMBER(SEARCH(Лист2!$B$4,D:D)),MAX($C$3:OFFSET(C3492,-1,0))+1,0)</f>
        <v>0</v>
      </c>
      <c r="E3492" s="9" t="str">
        <f t="shared" ca="1" si="66"/>
        <v/>
      </c>
      <c r="F3492" s="4" t="s">
        <v>11</v>
      </c>
      <c r="G3492" s="2">
        <f>IF(ISNUMBER(SEARCH(Лист2!$B$4,F:F)),1,0)</f>
        <v>0</v>
      </c>
      <c r="H3492" s="3">
        <f ca="1">IF(AND(I3492&lt;&gt;I3491,ISNUMBER(SEARCH(Лист2!$B$5,I:I)),G3492=1),MAX($H$3:OFFSET(H3492,-1,0))+1,0)</f>
        <v>0</v>
      </c>
      <c r="I3492" s="3" t="s">
        <v>292</v>
      </c>
      <c r="K3492" s="2">
        <f>IF(ISNUMBER(SEARCH(Лист2!$B$4,F:F)),1,0)</f>
        <v>0</v>
      </c>
      <c r="L3492" s="14">
        <f>IF(ISNUMBER(SEARCH(Лист2!$B$5,I:I)),1,0)+K3492</f>
        <v>0</v>
      </c>
      <c r="M3492" s="3">
        <f ca="1">IF(AND(N3492&lt;&gt;N3491,ISNUMBER(SEARCH(Лист2!$B$6,N:N)),L3492=2),MAX($M$3:OFFSET(M3492,-1,0))+1,0)</f>
        <v>0</v>
      </c>
      <c r="N3492" s="3" t="s">
        <v>2218</v>
      </c>
    </row>
    <row r="3493" spans="1:14" x14ac:dyDescent="0.25">
      <c r="A3493" s="1" t="s">
        <v>12295</v>
      </c>
      <c r="B3493" s="3" t="s">
        <v>7117</v>
      </c>
      <c r="C3493" s="2">
        <f ca="1">IF(ISNUMBER(SEARCH(Лист2!$B$4,D:D)),MAX($C$3:OFFSET(C3493,-1,0))+1,0)</f>
        <v>0</v>
      </c>
      <c r="E3493" s="9" t="str">
        <f t="shared" ca="1" si="66"/>
        <v/>
      </c>
      <c r="F3493" s="4" t="s">
        <v>11</v>
      </c>
      <c r="G3493" s="2">
        <f>IF(ISNUMBER(SEARCH(Лист2!$B$4,F:F)),1,0)</f>
        <v>0</v>
      </c>
      <c r="H3493" s="3">
        <f ca="1">IF(AND(I3493&lt;&gt;I3492,ISNUMBER(SEARCH(Лист2!$B$5,I:I)),G3493=1),MAX($H$3:OFFSET(H3493,-1,0))+1,0)</f>
        <v>0</v>
      </c>
      <c r="I3493" s="3" t="s">
        <v>292</v>
      </c>
      <c r="K3493" s="2">
        <f>IF(ISNUMBER(SEARCH(Лист2!$B$4,F:F)),1,0)</f>
        <v>0</v>
      </c>
      <c r="L3493" s="14">
        <f>IF(ISNUMBER(SEARCH(Лист2!$B$5,I:I)),1,0)+K3493</f>
        <v>0</v>
      </c>
      <c r="M3493" s="3">
        <f ca="1">IF(AND(N3493&lt;&gt;N3492,ISNUMBER(SEARCH(Лист2!$B$6,N:N)),L3493=2),MAX($M$3:OFFSET(M3493,-1,0))+1,0)</f>
        <v>0</v>
      </c>
      <c r="N3493" s="3" t="s">
        <v>2219</v>
      </c>
    </row>
    <row r="3494" spans="1:14" x14ac:dyDescent="0.25">
      <c r="A3494" s="1" t="s">
        <v>12296</v>
      </c>
      <c r="B3494" s="3" t="s">
        <v>7118</v>
      </c>
      <c r="C3494" s="2">
        <f ca="1">IF(ISNUMBER(SEARCH(Лист2!$B$4,D:D)),MAX($C$3:OFFSET(C3494,-1,0))+1,0)</f>
        <v>0</v>
      </c>
      <c r="E3494" s="9" t="str">
        <f t="shared" ca="1" si="66"/>
        <v/>
      </c>
      <c r="F3494" s="4" t="s">
        <v>11</v>
      </c>
      <c r="G3494" s="2">
        <f>IF(ISNUMBER(SEARCH(Лист2!$B$4,F:F)),1,0)</f>
        <v>0</v>
      </c>
      <c r="H3494" s="3">
        <f ca="1">IF(AND(I3494&lt;&gt;I3493,ISNUMBER(SEARCH(Лист2!$B$5,I:I)),G3494=1),MAX($H$3:OFFSET(H3494,-1,0))+1,0)</f>
        <v>0</v>
      </c>
      <c r="I3494" s="3" t="s">
        <v>277</v>
      </c>
      <c r="K3494" s="2">
        <f>IF(ISNUMBER(SEARCH(Лист2!$B$4,F:F)),1,0)</f>
        <v>0</v>
      </c>
      <c r="L3494" s="14">
        <f>IF(ISNUMBER(SEARCH(Лист2!$B$5,I:I)),1,0)+K3494</f>
        <v>0</v>
      </c>
      <c r="M3494" s="3">
        <f ca="1">IF(AND(N3494&lt;&gt;N3493,ISNUMBER(SEARCH(Лист2!$B$6,N:N)),L3494=2),MAX($M$3:OFFSET(M3494,-1,0))+1,0)</f>
        <v>0</v>
      </c>
      <c r="N3494" s="3" t="s">
        <v>2220</v>
      </c>
    </row>
    <row r="3495" spans="1:14" x14ac:dyDescent="0.25">
      <c r="A3495" s="1" t="s">
        <v>12297</v>
      </c>
      <c r="B3495" s="3" t="s">
        <v>7119</v>
      </c>
      <c r="C3495" s="2">
        <f ca="1">IF(ISNUMBER(SEARCH(Лист2!$B$4,D:D)),MAX($C$3:OFFSET(C3495,-1,0))+1,0)</f>
        <v>0</v>
      </c>
      <c r="E3495" s="9" t="str">
        <f t="shared" ca="1" si="66"/>
        <v/>
      </c>
      <c r="F3495" s="4" t="s">
        <v>11</v>
      </c>
      <c r="G3495" s="2">
        <f>IF(ISNUMBER(SEARCH(Лист2!$B$4,F:F)),1,0)</f>
        <v>0</v>
      </c>
      <c r="H3495" s="3">
        <f ca="1">IF(AND(I3495&lt;&gt;I3494,ISNUMBER(SEARCH(Лист2!$B$5,I:I)),G3495=1),MAX($H$3:OFFSET(H3495,-1,0))+1,0)</f>
        <v>0</v>
      </c>
      <c r="I3495" s="3" t="s">
        <v>277</v>
      </c>
      <c r="K3495" s="2">
        <f>IF(ISNUMBER(SEARCH(Лист2!$B$4,F:F)),1,0)</f>
        <v>0</v>
      </c>
      <c r="L3495" s="14">
        <f>IF(ISNUMBER(SEARCH(Лист2!$B$5,I:I)),1,0)+K3495</f>
        <v>0</v>
      </c>
      <c r="M3495" s="3">
        <f ca="1">IF(AND(N3495&lt;&gt;N3494,ISNUMBER(SEARCH(Лист2!$B$6,N:N)),L3495=2),MAX($M$3:OFFSET(M3495,-1,0))+1,0)</f>
        <v>0</v>
      </c>
      <c r="N3495" s="3" t="s">
        <v>2221</v>
      </c>
    </row>
    <row r="3496" spans="1:14" x14ac:dyDescent="0.25">
      <c r="A3496" s="1" t="s">
        <v>12298</v>
      </c>
      <c r="B3496" s="3" t="s">
        <v>7120</v>
      </c>
      <c r="C3496" s="2">
        <f ca="1">IF(ISNUMBER(SEARCH(Лист2!$B$4,D:D)),MAX($C$3:OFFSET(C3496,-1,0))+1,0)</f>
        <v>0</v>
      </c>
      <c r="E3496" s="9" t="str">
        <f t="shared" ca="1" si="66"/>
        <v/>
      </c>
      <c r="F3496" s="4" t="s">
        <v>11</v>
      </c>
      <c r="G3496" s="2">
        <f>IF(ISNUMBER(SEARCH(Лист2!$B$4,F:F)),1,0)</f>
        <v>0</v>
      </c>
      <c r="H3496" s="3">
        <f ca="1">IF(AND(I3496&lt;&gt;I3495,ISNUMBER(SEARCH(Лист2!$B$5,I:I)),G3496=1),MAX($H$3:OFFSET(H3496,-1,0))+1,0)</f>
        <v>0</v>
      </c>
      <c r="I3496" s="3" t="s">
        <v>277</v>
      </c>
      <c r="K3496" s="2">
        <f>IF(ISNUMBER(SEARCH(Лист2!$B$4,F:F)),1,0)</f>
        <v>0</v>
      </c>
      <c r="L3496" s="14">
        <f>IF(ISNUMBER(SEARCH(Лист2!$B$5,I:I)),1,0)+K3496</f>
        <v>0</v>
      </c>
      <c r="M3496" s="3">
        <f ca="1">IF(AND(N3496&lt;&gt;N3495,ISNUMBER(SEARCH(Лист2!$B$6,N:N)),L3496=2),MAX($M$3:OFFSET(M3496,-1,0))+1,0)</f>
        <v>0</v>
      </c>
      <c r="N3496" s="3" t="s">
        <v>2222</v>
      </c>
    </row>
    <row r="3497" spans="1:14" x14ac:dyDescent="0.25">
      <c r="A3497" s="1" t="s">
        <v>12299</v>
      </c>
      <c r="B3497" s="3" t="s">
        <v>7121</v>
      </c>
      <c r="C3497" s="2">
        <f ca="1">IF(ISNUMBER(SEARCH(Лист2!$B$4,D:D)),MAX($C$3:OFFSET(C3497,-1,0))+1,0)</f>
        <v>0</v>
      </c>
      <c r="E3497" s="9" t="str">
        <f t="shared" ca="1" si="66"/>
        <v/>
      </c>
      <c r="F3497" s="4" t="s">
        <v>11</v>
      </c>
      <c r="G3497" s="2">
        <f>IF(ISNUMBER(SEARCH(Лист2!$B$4,F:F)),1,0)</f>
        <v>0</v>
      </c>
      <c r="H3497" s="3">
        <f ca="1">IF(AND(I3497&lt;&gt;I3496,ISNUMBER(SEARCH(Лист2!$B$5,I:I)),G3497=1),MAX($H$3:OFFSET(H3497,-1,0))+1,0)</f>
        <v>0</v>
      </c>
      <c r="I3497" s="3" t="s">
        <v>277</v>
      </c>
      <c r="K3497" s="2">
        <f>IF(ISNUMBER(SEARCH(Лист2!$B$4,F:F)),1,0)</f>
        <v>0</v>
      </c>
      <c r="L3497" s="14">
        <f>IF(ISNUMBER(SEARCH(Лист2!$B$5,I:I)),1,0)+K3497</f>
        <v>0</v>
      </c>
      <c r="M3497" s="3">
        <f ca="1">IF(AND(N3497&lt;&gt;N3496,ISNUMBER(SEARCH(Лист2!$B$6,N:N)),L3497=2),MAX($M$3:OFFSET(M3497,-1,0))+1,0)</f>
        <v>0</v>
      </c>
      <c r="N3497" s="3" t="s">
        <v>1385</v>
      </c>
    </row>
    <row r="3498" spans="1:14" x14ac:dyDescent="0.25">
      <c r="A3498" s="1" t="s">
        <v>12300</v>
      </c>
      <c r="B3498" s="3" t="s">
        <v>7122</v>
      </c>
      <c r="C3498" s="2">
        <f ca="1">IF(ISNUMBER(SEARCH(Лист2!$B$4,D:D)),MAX($C$3:OFFSET(C3498,-1,0))+1,0)</f>
        <v>0</v>
      </c>
      <c r="E3498" s="9" t="str">
        <f t="shared" ca="1" si="66"/>
        <v/>
      </c>
      <c r="F3498" s="4" t="s">
        <v>11</v>
      </c>
      <c r="G3498" s="2">
        <f>IF(ISNUMBER(SEARCH(Лист2!$B$4,F:F)),1,0)</f>
        <v>0</v>
      </c>
      <c r="H3498" s="3">
        <f ca="1">IF(AND(I3498&lt;&gt;I3497,ISNUMBER(SEARCH(Лист2!$B$5,I:I)),G3498=1),MAX($H$3:OFFSET(H3498,-1,0))+1,0)</f>
        <v>0</v>
      </c>
      <c r="I3498" s="3" t="s">
        <v>277</v>
      </c>
      <c r="K3498" s="2">
        <f>IF(ISNUMBER(SEARCH(Лист2!$B$4,F:F)),1,0)</f>
        <v>0</v>
      </c>
      <c r="L3498" s="14">
        <f>IF(ISNUMBER(SEARCH(Лист2!$B$5,I:I)),1,0)+K3498</f>
        <v>0</v>
      </c>
      <c r="M3498" s="3">
        <f ca="1">IF(AND(N3498&lt;&gt;N3497,ISNUMBER(SEARCH(Лист2!$B$6,N:N)),L3498=2),MAX($M$3:OFFSET(M3498,-1,0))+1,0)</f>
        <v>0</v>
      </c>
      <c r="N3498" s="3" t="s">
        <v>602</v>
      </c>
    </row>
    <row r="3499" spans="1:14" x14ac:dyDescent="0.25">
      <c r="A3499" s="1" t="s">
        <v>12301</v>
      </c>
      <c r="B3499" s="3" t="s">
        <v>7123</v>
      </c>
      <c r="C3499" s="2">
        <f ca="1">IF(ISNUMBER(SEARCH(Лист2!$B$4,D:D)),MAX($C$3:OFFSET(C3499,-1,0))+1,0)</f>
        <v>0</v>
      </c>
      <c r="E3499" s="9" t="str">
        <f t="shared" ca="1" si="66"/>
        <v/>
      </c>
      <c r="F3499" s="4" t="s">
        <v>11</v>
      </c>
      <c r="G3499" s="2">
        <f>IF(ISNUMBER(SEARCH(Лист2!$B$4,F:F)),1,0)</f>
        <v>0</v>
      </c>
      <c r="H3499" s="3">
        <f ca="1">IF(AND(I3499&lt;&gt;I3498,ISNUMBER(SEARCH(Лист2!$B$5,I:I)),G3499=1),MAX($H$3:OFFSET(H3499,-1,0))+1,0)</f>
        <v>0</v>
      </c>
      <c r="I3499" s="3" t="s">
        <v>277</v>
      </c>
      <c r="K3499" s="2">
        <f>IF(ISNUMBER(SEARCH(Лист2!$B$4,F:F)),1,0)</f>
        <v>0</v>
      </c>
      <c r="L3499" s="14">
        <f>IF(ISNUMBER(SEARCH(Лист2!$B$5,I:I)),1,0)+K3499</f>
        <v>0</v>
      </c>
      <c r="M3499" s="3">
        <f ca="1">IF(AND(N3499&lt;&gt;N3498,ISNUMBER(SEARCH(Лист2!$B$6,N:N)),L3499=2),MAX($M$3:OFFSET(M3499,-1,0))+1,0)</f>
        <v>0</v>
      </c>
      <c r="N3499" s="3" t="s">
        <v>2223</v>
      </c>
    </row>
    <row r="3500" spans="1:14" x14ac:dyDescent="0.25">
      <c r="A3500" s="1" t="s">
        <v>12302</v>
      </c>
      <c r="B3500" s="3" t="s">
        <v>7124</v>
      </c>
      <c r="C3500" s="2">
        <f ca="1">IF(ISNUMBER(SEARCH(Лист2!$B$4,D:D)),MAX($C$3:OFFSET(C3500,-1,0))+1,0)</f>
        <v>0</v>
      </c>
      <c r="E3500" s="9" t="str">
        <f t="shared" ca="1" si="66"/>
        <v/>
      </c>
      <c r="F3500" s="4" t="s">
        <v>11</v>
      </c>
      <c r="G3500" s="2">
        <f>IF(ISNUMBER(SEARCH(Лист2!$B$4,F:F)),1,0)</f>
        <v>0</v>
      </c>
      <c r="H3500" s="3">
        <f ca="1">IF(AND(I3500&lt;&gt;I3499,ISNUMBER(SEARCH(Лист2!$B$5,I:I)),G3500=1),MAX($H$3:OFFSET(H3500,-1,0))+1,0)</f>
        <v>0</v>
      </c>
      <c r="I3500" s="3" t="s">
        <v>277</v>
      </c>
      <c r="K3500" s="2">
        <f>IF(ISNUMBER(SEARCH(Лист2!$B$4,F:F)),1,0)</f>
        <v>0</v>
      </c>
      <c r="L3500" s="14">
        <f>IF(ISNUMBER(SEARCH(Лист2!$B$5,I:I)),1,0)+K3500</f>
        <v>0</v>
      </c>
      <c r="M3500" s="3">
        <f ca="1">IF(AND(N3500&lt;&gt;N3499,ISNUMBER(SEARCH(Лист2!$B$6,N:N)),L3500=2),MAX($M$3:OFFSET(M3500,-1,0))+1,0)</f>
        <v>0</v>
      </c>
      <c r="N3500" s="3" t="s">
        <v>2224</v>
      </c>
    </row>
    <row r="3501" spans="1:14" x14ac:dyDescent="0.25">
      <c r="A3501" s="1" t="s">
        <v>12303</v>
      </c>
      <c r="B3501" s="3" t="s">
        <v>7125</v>
      </c>
      <c r="C3501" s="2">
        <f ca="1">IF(ISNUMBER(SEARCH(Лист2!$B$4,D:D)),MAX($C$3:OFFSET(C3501,-1,0))+1,0)</f>
        <v>0</v>
      </c>
      <c r="E3501" s="9" t="str">
        <f t="shared" ca="1" si="66"/>
        <v/>
      </c>
      <c r="F3501" s="4" t="s">
        <v>11</v>
      </c>
      <c r="G3501" s="2">
        <f>IF(ISNUMBER(SEARCH(Лист2!$B$4,F:F)),1,0)</f>
        <v>0</v>
      </c>
      <c r="H3501" s="3">
        <f ca="1">IF(AND(I3501&lt;&gt;I3500,ISNUMBER(SEARCH(Лист2!$B$5,I:I)),G3501=1),MAX($H$3:OFFSET(H3501,-1,0))+1,0)</f>
        <v>0</v>
      </c>
      <c r="I3501" s="3" t="s">
        <v>277</v>
      </c>
      <c r="K3501" s="2">
        <f>IF(ISNUMBER(SEARCH(Лист2!$B$4,F:F)),1,0)</f>
        <v>0</v>
      </c>
      <c r="L3501" s="14">
        <f>IF(ISNUMBER(SEARCH(Лист2!$B$5,I:I)),1,0)+K3501</f>
        <v>0</v>
      </c>
      <c r="M3501" s="3">
        <f ca="1">IF(AND(N3501&lt;&gt;N3500,ISNUMBER(SEARCH(Лист2!$B$6,N:N)),L3501=2),MAX($M$3:OFFSET(M3501,-1,0))+1,0)</f>
        <v>0</v>
      </c>
      <c r="N3501" s="3" t="s">
        <v>2225</v>
      </c>
    </row>
    <row r="3502" spans="1:14" x14ac:dyDescent="0.25">
      <c r="A3502" s="1" t="s">
        <v>12304</v>
      </c>
      <c r="B3502" s="3" t="s">
        <v>7126</v>
      </c>
      <c r="C3502" s="2">
        <f ca="1">IF(ISNUMBER(SEARCH(Лист2!$B$4,D:D)),MAX($C$3:OFFSET(C3502,-1,0))+1,0)</f>
        <v>0</v>
      </c>
      <c r="E3502" s="9" t="str">
        <f t="shared" ca="1" si="66"/>
        <v/>
      </c>
      <c r="F3502" s="4" t="s">
        <v>11</v>
      </c>
      <c r="G3502" s="2">
        <f>IF(ISNUMBER(SEARCH(Лист2!$B$4,F:F)),1,0)</f>
        <v>0</v>
      </c>
      <c r="H3502" s="3">
        <f ca="1">IF(AND(I3502&lt;&gt;I3501,ISNUMBER(SEARCH(Лист2!$B$5,I:I)),G3502=1),MAX($H$3:OFFSET(H3502,-1,0))+1,0)</f>
        <v>0</v>
      </c>
      <c r="I3502" s="3" t="s">
        <v>277</v>
      </c>
      <c r="K3502" s="2">
        <f>IF(ISNUMBER(SEARCH(Лист2!$B$4,F:F)),1,0)</f>
        <v>0</v>
      </c>
      <c r="L3502" s="14">
        <f>IF(ISNUMBER(SEARCH(Лист2!$B$5,I:I)),1,0)+K3502</f>
        <v>0</v>
      </c>
      <c r="M3502" s="3">
        <f ca="1">IF(AND(N3502&lt;&gt;N3501,ISNUMBER(SEARCH(Лист2!$B$6,N:N)),L3502=2),MAX($M$3:OFFSET(M3502,-1,0))+1,0)</f>
        <v>0</v>
      </c>
      <c r="N3502" s="3" t="s">
        <v>2226</v>
      </c>
    </row>
    <row r="3503" spans="1:14" x14ac:dyDescent="0.25">
      <c r="A3503" s="1" t="s">
        <v>12305</v>
      </c>
      <c r="B3503" s="3" t="s">
        <v>7127</v>
      </c>
      <c r="C3503" s="2">
        <f ca="1">IF(ISNUMBER(SEARCH(Лист2!$B$4,D:D)),MAX($C$3:OFFSET(C3503,-1,0))+1,0)</f>
        <v>0</v>
      </c>
      <c r="E3503" s="9" t="str">
        <f t="shared" ca="1" si="66"/>
        <v/>
      </c>
      <c r="F3503" s="4" t="s">
        <v>11</v>
      </c>
      <c r="G3503" s="2">
        <f>IF(ISNUMBER(SEARCH(Лист2!$B$4,F:F)),1,0)</f>
        <v>0</v>
      </c>
      <c r="H3503" s="3">
        <f ca="1">IF(AND(I3503&lt;&gt;I3502,ISNUMBER(SEARCH(Лист2!$B$5,I:I)),G3503=1),MAX($H$3:OFFSET(H3503,-1,0))+1,0)</f>
        <v>0</v>
      </c>
      <c r="I3503" s="3" t="s">
        <v>277</v>
      </c>
      <c r="K3503" s="2">
        <f>IF(ISNUMBER(SEARCH(Лист2!$B$4,F:F)),1,0)</f>
        <v>0</v>
      </c>
      <c r="L3503" s="14">
        <f>IF(ISNUMBER(SEARCH(Лист2!$B$5,I:I)),1,0)+K3503</f>
        <v>0</v>
      </c>
      <c r="M3503" s="3">
        <f ca="1">IF(AND(N3503&lt;&gt;N3502,ISNUMBER(SEARCH(Лист2!$B$6,N:N)),L3503=2),MAX($M$3:OFFSET(M3503,-1,0))+1,0)</f>
        <v>0</v>
      </c>
      <c r="N3503" s="3" t="s">
        <v>2227</v>
      </c>
    </row>
    <row r="3504" spans="1:14" x14ac:dyDescent="0.25">
      <c r="A3504" s="1" t="s">
        <v>12306</v>
      </c>
      <c r="B3504" s="3" t="s">
        <v>7128</v>
      </c>
      <c r="C3504" s="2">
        <f ca="1">IF(ISNUMBER(SEARCH(Лист2!$B$4,D:D)),MAX($C$3:OFFSET(C3504,-1,0))+1,0)</f>
        <v>0</v>
      </c>
      <c r="E3504" s="9" t="str">
        <f t="shared" ca="1" si="66"/>
        <v/>
      </c>
      <c r="F3504" s="4" t="s">
        <v>11</v>
      </c>
      <c r="G3504" s="2">
        <f>IF(ISNUMBER(SEARCH(Лист2!$B$4,F:F)),1,0)</f>
        <v>0</v>
      </c>
      <c r="H3504" s="3">
        <f ca="1">IF(AND(I3504&lt;&gt;I3503,ISNUMBER(SEARCH(Лист2!$B$5,I:I)),G3504=1),MAX($H$3:OFFSET(H3504,-1,0))+1,0)</f>
        <v>0</v>
      </c>
      <c r="I3504" s="3" t="s">
        <v>277</v>
      </c>
      <c r="K3504" s="2">
        <f>IF(ISNUMBER(SEARCH(Лист2!$B$4,F:F)),1,0)</f>
        <v>0</v>
      </c>
      <c r="L3504" s="14">
        <f>IF(ISNUMBER(SEARCH(Лист2!$B$5,I:I)),1,0)+K3504</f>
        <v>0</v>
      </c>
      <c r="M3504" s="3">
        <f ca="1">IF(AND(N3504&lt;&gt;N3503,ISNUMBER(SEARCH(Лист2!$B$6,N:N)),L3504=2),MAX($M$3:OFFSET(M3504,-1,0))+1,0)</f>
        <v>0</v>
      </c>
      <c r="N3504" s="3" t="s">
        <v>2228</v>
      </c>
    </row>
    <row r="3505" spans="1:14" x14ac:dyDescent="0.25">
      <c r="A3505" s="1" t="s">
        <v>12307</v>
      </c>
      <c r="B3505" s="3" t="s">
        <v>7129</v>
      </c>
      <c r="C3505" s="2">
        <f ca="1">IF(ISNUMBER(SEARCH(Лист2!$B$4,D:D)),MAX($C$3:OFFSET(C3505,-1,0))+1,0)</f>
        <v>0</v>
      </c>
      <c r="E3505" s="9" t="str">
        <f t="shared" ca="1" si="66"/>
        <v/>
      </c>
      <c r="F3505" s="4" t="s">
        <v>11</v>
      </c>
      <c r="G3505" s="2">
        <f>IF(ISNUMBER(SEARCH(Лист2!$B$4,F:F)),1,0)</f>
        <v>0</v>
      </c>
      <c r="H3505" s="3">
        <f ca="1">IF(AND(I3505&lt;&gt;I3504,ISNUMBER(SEARCH(Лист2!$B$5,I:I)),G3505=1),MAX($H$3:OFFSET(H3505,-1,0))+1,0)</f>
        <v>0</v>
      </c>
      <c r="I3505" s="3" t="s">
        <v>277</v>
      </c>
      <c r="K3505" s="2">
        <f>IF(ISNUMBER(SEARCH(Лист2!$B$4,F:F)),1,0)</f>
        <v>0</v>
      </c>
      <c r="L3505" s="14">
        <f>IF(ISNUMBER(SEARCH(Лист2!$B$5,I:I)),1,0)+K3505</f>
        <v>0</v>
      </c>
      <c r="M3505" s="3">
        <f ca="1">IF(AND(N3505&lt;&gt;N3504,ISNUMBER(SEARCH(Лист2!$B$6,N:N)),L3505=2),MAX($M$3:OFFSET(M3505,-1,0))+1,0)</f>
        <v>0</v>
      </c>
      <c r="N3505" s="3" t="s">
        <v>2229</v>
      </c>
    </row>
    <row r="3506" spans="1:14" x14ac:dyDescent="0.25">
      <c r="A3506" s="1" t="s">
        <v>12308</v>
      </c>
      <c r="B3506" s="3" t="s">
        <v>7130</v>
      </c>
      <c r="C3506" s="2">
        <f ca="1">IF(ISNUMBER(SEARCH(Лист2!$B$4,D:D)),MAX($C$3:OFFSET(C3506,-1,0))+1,0)</f>
        <v>0</v>
      </c>
      <c r="E3506" s="9" t="str">
        <f t="shared" ca="1" si="66"/>
        <v/>
      </c>
      <c r="F3506" s="4" t="s">
        <v>11</v>
      </c>
      <c r="G3506" s="2">
        <f>IF(ISNUMBER(SEARCH(Лист2!$B$4,F:F)),1,0)</f>
        <v>0</v>
      </c>
      <c r="H3506" s="3">
        <f ca="1">IF(AND(I3506&lt;&gt;I3505,ISNUMBER(SEARCH(Лист2!$B$5,I:I)),G3506=1),MAX($H$3:OFFSET(H3506,-1,0))+1,0)</f>
        <v>0</v>
      </c>
      <c r="I3506" s="3" t="s">
        <v>277</v>
      </c>
      <c r="K3506" s="2">
        <f>IF(ISNUMBER(SEARCH(Лист2!$B$4,F:F)),1,0)</f>
        <v>0</v>
      </c>
      <c r="L3506" s="14">
        <f>IF(ISNUMBER(SEARCH(Лист2!$B$5,I:I)),1,0)+K3506</f>
        <v>0</v>
      </c>
      <c r="M3506" s="3">
        <f ca="1">IF(AND(N3506&lt;&gt;N3505,ISNUMBER(SEARCH(Лист2!$B$6,N:N)),L3506=2),MAX($M$3:OFFSET(M3506,-1,0))+1,0)</f>
        <v>0</v>
      </c>
      <c r="N3506" s="3" t="s">
        <v>2230</v>
      </c>
    </row>
    <row r="3507" spans="1:14" x14ac:dyDescent="0.25">
      <c r="A3507" s="1" t="s">
        <v>12309</v>
      </c>
      <c r="B3507" s="3" t="s">
        <v>7131</v>
      </c>
      <c r="C3507" s="2">
        <f ca="1">IF(ISNUMBER(SEARCH(Лист2!$B$4,D:D)),MAX($C$3:OFFSET(C3507,-1,0))+1,0)</f>
        <v>0</v>
      </c>
      <c r="E3507" s="9" t="str">
        <f t="shared" ca="1" si="66"/>
        <v/>
      </c>
      <c r="F3507" s="4" t="s">
        <v>12</v>
      </c>
      <c r="G3507" s="2">
        <f>IF(ISNUMBER(SEARCH(Лист2!$B$4,F:F)),1,0)</f>
        <v>0</v>
      </c>
      <c r="H3507" s="3">
        <f ca="1">IF(AND(I3507&lt;&gt;I3506,ISNUMBER(SEARCH(Лист2!$B$5,I:I)),G3507=1),MAX($H$3:OFFSET(H3507,-1,0))+1,0)</f>
        <v>0</v>
      </c>
      <c r="I3507" s="3" t="s">
        <v>301</v>
      </c>
      <c r="K3507" s="2">
        <f>IF(ISNUMBER(SEARCH(Лист2!$B$4,F:F)),1,0)</f>
        <v>0</v>
      </c>
      <c r="L3507" s="14">
        <f>IF(ISNUMBER(SEARCH(Лист2!$B$5,I:I)),1,0)+K3507</f>
        <v>0</v>
      </c>
      <c r="M3507" s="3">
        <f ca="1">IF(AND(N3507&lt;&gt;N3506,ISNUMBER(SEARCH(Лист2!$B$6,N:N)),L3507=2),MAX($M$3:OFFSET(M3507,-1,0))+1,0)</f>
        <v>0</v>
      </c>
      <c r="N3507" s="3" t="s">
        <v>2231</v>
      </c>
    </row>
    <row r="3508" spans="1:14" x14ac:dyDescent="0.25">
      <c r="A3508" s="1" t="s">
        <v>12310</v>
      </c>
      <c r="B3508" s="3" t="s">
        <v>7132</v>
      </c>
      <c r="C3508" s="2">
        <f ca="1">IF(ISNUMBER(SEARCH(Лист2!$B$4,D:D)),MAX($C$3:OFFSET(C3508,-1,0))+1,0)</f>
        <v>0</v>
      </c>
      <c r="E3508" s="9" t="str">
        <f t="shared" ca="1" si="66"/>
        <v/>
      </c>
      <c r="F3508" s="4" t="s">
        <v>12</v>
      </c>
      <c r="G3508" s="2">
        <f>IF(ISNUMBER(SEARCH(Лист2!$B$4,F:F)),1,0)</f>
        <v>0</v>
      </c>
      <c r="H3508" s="3">
        <f ca="1">IF(AND(I3508&lt;&gt;I3507,ISNUMBER(SEARCH(Лист2!$B$5,I:I)),G3508=1),MAX($H$3:OFFSET(H3508,-1,0))+1,0)</f>
        <v>0</v>
      </c>
      <c r="I3508" s="3" t="s">
        <v>301</v>
      </c>
      <c r="K3508" s="2">
        <f>IF(ISNUMBER(SEARCH(Лист2!$B$4,F:F)),1,0)</f>
        <v>0</v>
      </c>
      <c r="L3508" s="14">
        <f>IF(ISNUMBER(SEARCH(Лист2!$B$5,I:I)),1,0)+K3508</f>
        <v>0</v>
      </c>
      <c r="M3508" s="3">
        <f ca="1">IF(AND(N3508&lt;&gt;N3507,ISNUMBER(SEARCH(Лист2!$B$6,N:N)),L3508=2),MAX($M$3:OFFSET(M3508,-1,0))+1,0)</f>
        <v>0</v>
      </c>
      <c r="N3508" s="3" t="s">
        <v>2232</v>
      </c>
    </row>
    <row r="3509" spans="1:14" x14ac:dyDescent="0.25">
      <c r="A3509" s="1" t="s">
        <v>12311</v>
      </c>
      <c r="B3509" s="3" t="s">
        <v>7133</v>
      </c>
      <c r="C3509" s="2">
        <f ca="1">IF(ISNUMBER(SEARCH(Лист2!$B$4,D:D)),MAX($C$3:OFFSET(C3509,-1,0))+1,0)</f>
        <v>0</v>
      </c>
      <c r="E3509" s="9" t="str">
        <f t="shared" ca="1" si="66"/>
        <v/>
      </c>
      <c r="F3509" s="4" t="s">
        <v>12</v>
      </c>
      <c r="G3509" s="2">
        <f>IF(ISNUMBER(SEARCH(Лист2!$B$4,F:F)),1,0)</f>
        <v>0</v>
      </c>
      <c r="H3509" s="3">
        <f ca="1">IF(AND(I3509&lt;&gt;I3508,ISNUMBER(SEARCH(Лист2!$B$5,I:I)),G3509=1),MAX($H$3:OFFSET(H3509,-1,0))+1,0)</f>
        <v>0</v>
      </c>
      <c r="I3509" s="3" t="s">
        <v>301</v>
      </c>
      <c r="K3509" s="2">
        <f>IF(ISNUMBER(SEARCH(Лист2!$B$4,F:F)),1,0)</f>
        <v>0</v>
      </c>
      <c r="L3509" s="14">
        <f>IF(ISNUMBER(SEARCH(Лист2!$B$5,I:I)),1,0)+K3509</f>
        <v>0</v>
      </c>
      <c r="M3509" s="3">
        <f ca="1">IF(AND(N3509&lt;&gt;N3508,ISNUMBER(SEARCH(Лист2!$B$6,N:N)),L3509=2),MAX($M$3:OFFSET(M3509,-1,0))+1,0)</f>
        <v>0</v>
      </c>
      <c r="N3509" s="3" t="s">
        <v>2233</v>
      </c>
    </row>
    <row r="3510" spans="1:14" x14ac:dyDescent="0.25">
      <c r="A3510" s="1" t="s">
        <v>12312</v>
      </c>
      <c r="B3510" s="3" t="s">
        <v>7134</v>
      </c>
      <c r="C3510" s="2">
        <f ca="1">IF(ISNUMBER(SEARCH(Лист2!$B$4,D:D)),MAX($C$3:OFFSET(C3510,-1,0))+1,0)</f>
        <v>0</v>
      </c>
      <c r="E3510" s="9" t="str">
        <f t="shared" ca="1" si="66"/>
        <v/>
      </c>
      <c r="F3510" s="4" t="s">
        <v>12</v>
      </c>
      <c r="G3510" s="2">
        <f>IF(ISNUMBER(SEARCH(Лист2!$B$4,F:F)),1,0)</f>
        <v>0</v>
      </c>
      <c r="H3510" s="3">
        <f ca="1">IF(AND(I3510&lt;&gt;I3509,ISNUMBER(SEARCH(Лист2!$B$5,I:I)),G3510=1),MAX($H$3:OFFSET(H3510,-1,0))+1,0)</f>
        <v>0</v>
      </c>
      <c r="I3510" s="3" t="s">
        <v>301</v>
      </c>
      <c r="K3510" s="2">
        <f>IF(ISNUMBER(SEARCH(Лист2!$B$4,F:F)),1,0)</f>
        <v>0</v>
      </c>
      <c r="L3510" s="14">
        <f>IF(ISNUMBER(SEARCH(Лист2!$B$5,I:I)),1,0)+K3510</f>
        <v>0</v>
      </c>
      <c r="M3510" s="3">
        <f ca="1">IF(AND(N3510&lt;&gt;N3509,ISNUMBER(SEARCH(Лист2!$B$6,N:N)),L3510=2),MAX($M$3:OFFSET(M3510,-1,0))+1,0)</f>
        <v>0</v>
      </c>
      <c r="N3510" s="3" t="s">
        <v>2234</v>
      </c>
    </row>
    <row r="3511" spans="1:14" x14ac:dyDescent="0.25">
      <c r="A3511" s="1" t="s">
        <v>12313</v>
      </c>
      <c r="B3511" s="3" t="s">
        <v>7135</v>
      </c>
      <c r="C3511" s="2">
        <f ca="1">IF(ISNUMBER(SEARCH(Лист2!$B$4,D:D)),MAX($C$3:OFFSET(C3511,-1,0))+1,0)</f>
        <v>0</v>
      </c>
      <c r="E3511" s="9" t="str">
        <f t="shared" ca="1" si="66"/>
        <v/>
      </c>
      <c r="F3511" s="4" t="s">
        <v>12</v>
      </c>
      <c r="G3511" s="2">
        <f>IF(ISNUMBER(SEARCH(Лист2!$B$4,F:F)),1,0)</f>
        <v>0</v>
      </c>
      <c r="H3511" s="3">
        <f ca="1">IF(AND(I3511&lt;&gt;I3510,ISNUMBER(SEARCH(Лист2!$B$5,I:I)),G3511=1),MAX($H$3:OFFSET(H3511,-1,0))+1,0)</f>
        <v>0</v>
      </c>
      <c r="I3511" s="3" t="s">
        <v>301</v>
      </c>
      <c r="K3511" s="2">
        <f>IF(ISNUMBER(SEARCH(Лист2!$B$4,F:F)),1,0)</f>
        <v>0</v>
      </c>
      <c r="L3511" s="14">
        <f>IF(ISNUMBER(SEARCH(Лист2!$B$5,I:I)),1,0)+K3511</f>
        <v>0</v>
      </c>
      <c r="M3511" s="3">
        <f ca="1">IF(AND(N3511&lt;&gt;N3510,ISNUMBER(SEARCH(Лист2!$B$6,N:N)),L3511=2),MAX($M$3:OFFSET(M3511,-1,0))+1,0)</f>
        <v>0</v>
      </c>
      <c r="N3511" s="3" t="s">
        <v>602</v>
      </c>
    </row>
    <row r="3512" spans="1:14" x14ac:dyDescent="0.25">
      <c r="A3512" s="1" t="s">
        <v>12314</v>
      </c>
      <c r="B3512" s="3" t="s">
        <v>7136</v>
      </c>
      <c r="C3512" s="2">
        <f ca="1">IF(ISNUMBER(SEARCH(Лист2!$B$4,D:D)),MAX($C$3:OFFSET(C3512,-1,0))+1,0)</f>
        <v>0</v>
      </c>
      <c r="E3512" s="9" t="str">
        <f t="shared" ca="1" si="66"/>
        <v/>
      </c>
      <c r="F3512" s="4" t="s">
        <v>12</v>
      </c>
      <c r="G3512" s="2">
        <f>IF(ISNUMBER(SEARCH(Лист2!$B$4,F:F)),1,0)</f>
        <v>0</v>
      </c>
      <c r="H3512" s="3">
        <f ca="1">IF(AND(I3512&lt;&gt;I3511,ISNUMBER(SEARCH(Лист2!$B$5,I:I)),G3512=1),MAX($H$3:OFFSET(H3512,-1,0))+1,0)</f>
        <v>0</v>
      </c>
      <c r="I3512" s="3" t="s">
        <v>301</v>
      </c>
      <c r="K3512" s="2">
        <f>IF(ISNUMBER(SEARCH(Лист2!$B$4,F:F)),1,0)</f>
        <v>0</v>
      </c>
      <c r="L3512" s="14">
        <f>IF(ISNUMBER(SEARCH(Лист2!$B$5,I:I)),1,0)+K3512</f>
        <v>0</v>
      </c>
      <c r="M3512" s="3">
        <f ca="1">IF(AND(N3512&lt;&gt;N3511,ISNUMBER(SEARCH(Лист2!$B$6,N:N)),L3512=2),MAX($M$3:OFFSET(M3512,-1,0))+1,0)</f>
        <v>0</v>
      </c>
      <c r="N3512" s="3" t="s">
        <v>2235</v>
      </c>
    </row>
    <row r="3513" spans="1:14" x14ac:dyDescent="0.25">
      <c r="A3513" s="1" t="s">
        <v>12315</v>
      </c>
      <c r="B3513" s="3" t="s">
        <v>7137</v>
      </c>
      <c r="C3513" s="2">
        <f ca="1">IF(ISNUMBER(SEARCH(Лист2!$B$4,D:D)),MAX($C$3:OFFSET(C3513,-1,0))+1,0)</f>
        <v>0</v>
      </c>
      <c r="E3513" s="9" t="str">
        <f t="shared" ca="1" si="66"/>
        <v/>
      </c>
      <c r="F3513" s="4" t="s">
        <v>12</v>
      </c>
      <c r="G3513" s="2">
        <f>IF(ISNUMBER(SEARCH(Лист2!$B$4,F:F)),1,0)</f>
        <v>0</v>
      </c>
      <c r="H3513" s="3">
        <f ca="1">IF(AND(I3513&lt;&gt;I3512,ISNUMBER(SEARCH(Лист2!$B$5,I:I)),G3513=1),MAX($H$3:OFFSET(H3513,-1,0))+1,0)</f>
        <v>0</v>
      </c>
      <c r="I3513" s="3" t="s">
        <v>301</v>
      </c>
      <c r="K3513" s="2">
        <f>IF(ISNUMBER(SEARCH(Лист2!$B$4,F:F)),1,0)</f>
        <v>0</v>
      </c>
      <c r="L3513" s="14">
        <f>IF(ISNUMBER(SEARCH(Лист2!$B$5,I:I)),1,0)+K3513</f>
        <v>0</v>
      </c>
      <c r="M3513" s="3">
        <f ca="1">IF(AND(N3513&lt;&gt;N3512,ISNUMBER(SEARCH(Лист2!$B$6,N:N)),L3513=2),MAX($M$3:OFFSET(M3513,-1,0))+1,0)</f>
        <v>0</v>
      </c>
      <c r="N3513" s="3" t="s">
        <v>2236</v>
      </c>
    </row>
    <row r="3514" spans="1:14" x14ac:dyDescent="0.25">
      <c r="A3514" s="1" t="s">
        <v>12316</v>
      </c>
      <c r="B3514" s="3" t="s">
        <v>7138</v>
      </c>
      <c r="C3514" s="2">
        <f ca="1">IF(ISNUMBER(SEARCH(Лист2!$B$4,D:D)),MAX($C$3:OFFSET(C3514,-1,0))+1,0)</f>
        <v>0</v>
      </c>
      <c r="E3514" s="9" t="str">
        <f t="shared" ca="1" si="66"/>
        <v/>
      </c>
      <c r="F3514" s="4" t="s">
        <v>12</v>
      </c>
      <c r="G3514" s="2">
        <f>IF(ISNUMBER(SEARCH(Лист2!$B$4,F:F)),1,0)</f>
        <v>0</v>
      </c>
      <c r="H3514" s="3">
        <f ca="1">IF(AND(I3514&lt;&gt;I3513,ISNUMBER(SEARCH(Лист2!$B$5,I:I)),G3514=1),MAX($H$3:OFFSET(H3514,-1,0))+1,0)</f>
        <v>0</v>
      </c>
      <c r="I3514" s="3" t="s">
        <v>302</v>
      </c>
      <c r="K3514" s="2">
        <f>IF(ISNUMBER(SEARCH(Лист2!$B$4,F:F)),1,0)</f>
        <v>0</v>
      </c>
      <c r="L3514" s="14">
        <f>IF(ISNUMBER(SEARCH(Лист2!$B$5,I:I)),1,0)+K3514</f>
        <v>0</v>
      </c>
      <c r="M3514" s="3">
        <f ca="1">IF(AND(N3514&lt;&gt;N3513,ISNUMBER(SEARCH(Лист2!$B$6,N:N)),L3514=2),MAX($M$3:OFFSET(M3514,-1,0))+1,0)</f>
        <v>0</v>
      </c>
      <c r="N3514" s="3" t="s">
        <v>2237</v>
      </c>
    </row>
    <row r="3515" spans="1:14" x14ac:dyDescent="0.25">
      <c r="A3515" s="1" t="s">
        <v>12317</v>
      </c>
      <c r="B3515" s="3" t="s">
        <v>7139</v>
      </c>
      <c r="C3515" s="2">
        <f ca="1">IF(ISNUMBER(SEARCH(Лист2!$B$4,D:D)),MAX($C$3:OFFSET(C3515,-1,0))+1,0)</f>
        <v>0</v>
      </c>
      <c r="E3515" s="9" t="str">
        <f t="shared" ca="1" si="66"/>
        <v/>
      </c>
      <c r="F3515" s="4" t="s">
        <v>12</v>
      </c>
      <c r="G3515" s="2">
        <f>IF(ISNUMBER(SEARCH(Лист2!$B$4,F:F)),1,0)</f>
        <v>0</v>
      </c>
      <c r="H3515" s="3">
        <f ca="1">IF(AND(I3515&lt;&gt;I3514,ISNUMBER(SEARCH(Лист2!$B$5,I:I)),G3515=1),MAX($H$3:OFFSET(H3515,-1,0))+1,0)</f>
        <v>0</v>
      </c>
      <c r="I3515" s="3" t="s">
        <v>302</v>
      </c>
      <c r="K3515" s="2">
        <f>IF(ISNUMBER(SEARCH(Лист2!$B$4,F:F)),1,0)</f>
        <v>0</v>
      </c>
      <c r="L3515" s="14">
        <f>IF(ISNUMBER(SEARCH(Лист2!$B$5,I:I)),1,0)+K3515</f>
        <v>0</v>
      </c>
      <c r="M3515" s="3">
        <f ca="1">IF(AND(N3515&lt;&gt;N3514,ISNUMBER(SEARCH(Лист2!$B$6,N:N)),L3515=2),MAX($M$3:OFFSET(M3515,-1,0))+1,0)</f>
        <v>0</v>
      </c>
      <c r="N3515" s="3" t="s">
        <v>2238</v>
      </c>
    </row>
    <row r="3516" spans="1:14" x14ac:dyDescent="0.25">
      <c r="A3516" s="1" t="s">
        <v>12318</v>
      </c>
      <c r="B3516" s="3" t="s">
        <v>7140</v>
      </c>
      <c r="C3516" s="2">
        <f ca="1">IF(ISNUMBER(SEARCH(Лист2!$B$4,D:D)),MAX($C$3:OFFSET(C3516,-1,0))+1,0)</f>
        <v>0</v>
      </c>
      <c r="E3516" s="9" t="str">
        <f t="shared" ca="1" si="66"/>
        <v/>
      </c>
      <c r="F3516" s="4" t="s">
        <v>12</v>
      </c>
      <c r="G3516" s="2">
        <f>IF(ISNUMBER(SEARCH(Лист2!$B$4,F:F)),1,0)</f>
        <v>0</v>
      </c>
      <c r="H3516" s="3">
        <f ca="1">IF(AND(I3516&lt;&gt;I3515,ISNUMBER(SEARCH(Лист2!$B$5,I:I)),G3516=1),MAX($H$3:OFFSET(H3516,-1,0))+1,0)</f>
        <v>0</v>
      </c>
      <c r="I3516" s="3" t="s">
        <v>302</v>
      </c>
      <c r="K3516" s="2">
        <f>IF(ISNUMBER(SEARCH(Лист2!$B$4,F:F)),1,0)</f>
        <v>0</v>
      </c>
      <c r="L3516" s="14">
        <f>IF(ISNUMBER(SEARCH(Лист2!$B$5,I:I)),1,0)+K3516</f>
        <v>0</v>
      </c>
      <c r="M3516" s="3">
        <f ca="1">IF(AND(N3516&lt;&gt;N3515,ISNUMBER(SEARCH(Лист2!$B$6,N:N)),L3516=2),MAX($M$3:OFFSET(M3516,-1,0))+1,0)</f>
        <v>0</v>
      </c>
      <c r="N3516" s="3" t="s">
        <v>1385</v>
      </c>
    </row>
    <row r="3517" spans="1:14" x14ac:dyDescent="0.25">
      <c r="A3517" s="1" t="s">
        <v>12319</v>
      </c>
      <c r="B3517" s="3" t="s">
        <v>7141</v>
      </c>
      <c r="C3517" s="2">
        <f ca="1">IF(ISNUMBER(SEARCH(Лист2!$B$4,D:D)),MAX($C$3:OFFSET(C3517,-1,0))+1,0)</f>
        <v>0</v>
      </c>
      <c r="E3517" s="9" t="str">
        <f t="shared" ca="1" si="66"/>
        <v/>
      </c>
      <c r="F3517" s="4" t="s">
        <v>12</v>
      </c>
      <c r="G3517" s="2">
        <f>IF(ISNUMBER(SEARCH(Лист2!$B$4,F:F)),1,0)</f>
        <v>0</v>
      </c>
      <c r="H3517" s="3">
        <f ca="1">IF(AND(I3517&lt;&gt;I3516,ISNUMBER(SEARCH(Лист2!$B$5,I:I)),G3517=1),MAX($H$3:OFFSET(H3517,-1,0))+1,0)</f>
        <v>0</v>
      </c>
      <c r="I3517" s="3" t="s">
        <v>302</v>
      </c>
      <c r="K3517" s="2">
        <f>IF(ISNUMBER(SEARCH(Лист2!$B$4,F:F)),1,0)</f>
        <v>0</v>
      </c>
      <c r="L3517" s="14">
        <f>IF(ISNUMBER(SEARCH(Лист2!$B$5,I:I)),1,0)+K3517</f>
        <v>0</v>
      </c>
      <c r="M3517" s="3">
        <f ca="1">IF(AND(N3517&lt;&gt;N3516,ISNUMBER(SEARCH(Лист2!$B$6,N:N)),L3517=2),MAX($M$3:OFFSET(M3517,-1,0))+1,0)</f>
        <v>0</v>
      </c>
      <c r="N3517" s="3" t="s">
        <v>602</v>
      </c>
    </row>
    <row r="3518" spans="1:14" x14ac:dyDescent="0.25">
      <c r="A3518" s="1" t="s">
        <v>12320</v>
      </c>
      <c r="B3518" s="3" t="s">
        <v>7142</v>
      </c>
      <c r="C3518" s="2">
        <f ca="1">IF(ISNUMBER(SEARCH(Лист2!$B$4,D:D)),MAX($C$3:OFFSET(C3518,-1,0))+1,0)</f>
        <v>0</v>
      </c>
      <c r="E3518" s="9" t="str">
        <f t="shared" ca="1" si="66"/>
        <v/>
      </c>
      <c r="F3518" s="4" t="s">
        <v>12</v>
      </c>
      <c r="G3518" s="2">
        <f>IF(ISNUMBER(SEARCH(Лист2!$B$4,F:F)),1,0)</f>
        <v>0</v>
      </c>
      <c r="H3518" s="3">
        <f ca="1">IF(AND(I3518&lt;&gt;I3517,ISNUMBER(SEARCH(Лист2!$B$5,I:I)),G3518=1),MAX($H$3:OFFSET(H3518,-1,0))+1,0)</f>
        <v>0</v>
      </c>
      <c r="I3518" s="3" t="s">
        <v>302</v>
      </c>
      <c r="K3518" s="2">
        <f>IF(ISNUMBER(SEARCH(Лист2!$B$4,F:F)),1,0)</f>
        <v>0</v>
      </c>
      <c r="L3518" s="14">
        <f>IF(ISNUMBER(SEARCH(Лист2!$B$5,I:I)),1,0)+K3518</f>
        <v>0</v>
      </c>
      <c r="M3518" s="3">
        <f ca="1">IF(AND(N3518&lt;&gt;N3517,ISNUMBER(SEARCH(Лист2!$B$6,N:N)),L3518=2),MAX($M$3:OFFSET(M3518,-1,0))+1,0)</f>
        <v>0</v>
      </c>
      <c r="N3518" s="3" t="s">
        <v>2239</v>
      </c>
    </row>
    <row r="3519" spans="1:14" x14ac:dyDescent="0.25">
      <c r="A3519" s="1" t="s">
        <v>12321</v>
      </c>
      <c r="B3519" s="3" t="s">
        <v>7143</v>
      </c>
      <c r="C3519" s="2">
        <f ca="1">IF(ISNUMBER(SEARCH(Лист2!$B$4,D:D)),MAX($C$3:OFFSET(C3519,-1,0))+1,0)</f>
        <v>0</v>
      </c>
      <c r="E3519" s="9" t="str">
        <f t="shared" ca="1" si="66"/>
        <v/>
      </c>
      <c r="F3519" s="4" t="s">
        <v>12</v>
      </c>
      <c r="G3519" s="2">
        <f>IF(ISNUMBER(SEARCH(Лист2!$B$4,F:F)),1,0)</f>
        <v>0</v>
      </c>
      <c r="H3519" s="3">
        <f ca="1">IF(AND(I3519&lt;&gt;I3518,ISNUMBER(SEARCH(Лист2!$B$5,I:I)),G3519=1),MAX($H$3:OFFSET(H3519,-1,0))+1,0)</f>
        <v>0</v>
      </c>
      <c r="I3519" s="3" t="s">
        <v>302</v>
      </c>
      <c r="K3519" s="2">
        <f>IF(ISNUMBER(SEARCH(Лист2!$B$4,F:F)),1,0)</f>
        <v>0</v>
      </c>
      <c r="L3519" s="14">
        <f>IF(ISNUMBER(SEARCH(Лист2!$B$5,I:I)),1,0)+K3519</f>
        <v>0</v>
      </c>
      <c r="M3519" s="3">
        <f ca="1">IF(AND(N3519&lt;&gt;N3518,ISNUMBER(SEARCH(Лист2!$B$6,N:N)),L3519=2),MAX($M$3:OFFSET(M3519,-1,0))+1,0)</f>
        <v>0</v>
      </c>
      <c r="N3519" s="3" t="s">
        <v>2240</v>
      </c>
    </row>
    <row r="3520" spans="1:14" x14ac:dyDescent="0.25">
      <c r="A3520" s="1" t="s">
        <v>12322</v>
      </c>
      <c r="B3520" s="3" t="s">
        <v>7144</v>
      </c>
      <c r="C3520" s="2">
        <f ca="1">IF(ISNUMBER(SEARCH(Лист2!$B$4,D:D)),MAX($C$3:OFFSET(C3520,-1,0))+1,0)</f>
        <v>0</v>
      </c>
      <c r="E3520" s="9" t="str">
        <f t="shared" ca="1" si="66"/>
        <v/>
      </c>
      <c r="F3520" s="4" t="s">
        <v>12</v>
      </c>
      <c r="G3520" s="2">
        <f>IF(ISNUMBER(SEARCH(Лист2!$B$4,F:F)),1,0)</f>
        <v>0</v>
      </c>
      <c r="H3520" s="3">
        <f ca="1">IF(AND(I3520&lt;&gt;I3519,ISNUMBER(SEARCH(Лист2!$B$5,I:I)),G3520=1),MAX($H$3:OFFSET(H3520,-1,0))+1,0)</f>
        <v>0</v>
      </c>
      <c r="I3520" s="3" t="s">
        <v>302</v>
      </c>
      <c r="K3520" s="2">
        <f>IF(ISNUMBER(SEARCH(Лист2!$B$4,F:F)),1,0)</f>
        <v>0</v>
      </c>
      <c r="L3520" s="14">
        <f>IF(ISNUMBER(SEARCH(Лист2!$B$5,I:I)),1,0)+K3520</f>
        <v>0</v>
      </c>
      <c r="M3520" s="3">
        <f ca="1">IF(AND(N3520&lt;&gt;N3519,ISNUMBER(SEARCH(Лист2!$B$6,N:N)),L3520=2),MAX($M$3:OFFSET(M3520,-1,0))+1,0)</f>
        <v>0</v>
      </c>
      <c r="N3520" s="3" t="s">
        <v>2241</v>
      </c>
    </row>
    <row r="3521" spans="1:14" x14ac:dyDescent="0.25">
      <c r="A3521" s="1" t="s">
        <v>12323</v>
      </c>
      <c r="B3521" s="3" t="s">
        <v>7145</v>
      </c>
      <c r="C3521" s="2">
        <f ca="1">IF(ISNUMBER(SEARCH(Лист2!$B$4,D:D)),MAX($C$3:OFFSET(C3521,-1,0))+1,0)</f>
        <v>0</v>
      </c>
      <c r="E3521" s="9" t="str">
        <f t="shared" ca="1" si="66"/>
        <v/>
      </c>
      <c r="F3521" s="4" t="s">
        <v>12</v>
      </c>
      <c r="G3521" s="2">
        <f>IF(ISNUMBER(SEARCH(Лист2!$B$4,F:F)),1,0)</f>
        <v>0</v>
      </c>
      <c r="H3521" s="3">
        <f ca="1">IF(AND(I3521&lt;&gt;I3520,ISNUMBER(SEARCH(Лист2!$B$5,I:I)),G3521=1),MAX($H$3:OFFSET(H3521,-1,0))+1,0)</f>
        <v>0</v>
      </c>
      <c r="I3521" s="3" t="s">
        <v>302</v>
      </c>
      <c r="K3521" s="2">
        <f>IF(ISNUMBER(SEARCH(Лист2!$B$4,F:F)),1,0)</f>
        <v>0</v>
      </c>
      <c r="L3521" s="14">
        <f>IF(ISNUMBER(SEARCH(Лист2!$B$5,I:I)),1,0)+K3521</f>
        <v>0</v>
      </c>
      <c r="M3521" s="3">
        <f ca="1">IF(AND(N3521&lt;&gt;N3520,ISNUMBER(SEARCH(Лист2!$B$6,N:N)),L3521=2),MAX($M$3:OFFSET(M3521,-1,0))+1,0)</f>
        <v>0</v>
      </c>
      <c r="N3521" s="3" t="s">
        <v>2017</v>
      </c>
    </row>
    <row r="3522" spans="1:14" x14ac:dyDescent="0.25">
      <c r="A3522" s="1" t="s">
        <v>12324</v>
      </c>
      <c r="B3522" s="3" t="s">
        <v>7146</v>
      </c>
      <c r="C3522" s="2">
        <f ca="1">IF(ISNUMBER(SEARCH(Лист2!$B$4,D:D)),MAX($C$3:OFFSET(C3522,-1,0))+1,0)</f>
        <v>0</v>
      </c>
      <c r="E3522" s="9" t="str">
        <f t="shared" ca="1" si="66"/>
        <v/>
      </c>
      <c r="F3522" s="4" t="s">
        <v>12</v>
      </c>
      <c r="G3522" s="2">
        <f>IF(ISNUMBER(SEARCH(Лист2!$B$4,F:F)),1,0)</f>
        <v>0</v>
      </c>
      <c r="H3522" s="3">
        <f ca="1">IF(AND(I3522&lt;&gt;I3521,ISNUMBER(SEARCH(Лист2!$B$5,I:I)),G3522=1),MAX($H$3:OFFSET(H3522,-1,0))+1,0)</f>
        <v>0</v>
      </c>
      <c r="I3522" s="3" t="s">
        <v>302</v>
      </c>
      <c r="K3522" s="2">
        <f>IF(ISNUMBER(SEARCH(Лист2!$B$4,F:F)),1,0)</f>
        <v>0</v>
      </c>
      <c r="L3522" s="14">
        <f>IF(ISNUMBER(SEARCH(Лист2!$B$5,I:I)),1,0)+K3522</f>
        <v>0</v>
      </c>
      <c r="M3522" s="3">
        <f ca="1">IF(AND(N3522&lt;&gt;N3521,ISNUMBER(SEARCH(Лист2!$B$6,N:N)),L3522=2),MAX($M$3:OFFSET(M3522,-1,0))+1,0)</f>
        <v>0</v>
      </c>
      <c r="N3522" s="3" t="s">
        <v>2242</v>
      </c>
    </row>
    <row r="3523" spans="1:14" x14ac:dyDescent="0.25">
      <c r="A3523" s="1" t="s">
        <v>12325</v>
      </c>
      <c r="B3523" s="3" t="s">
        <v>7147</v>
      </c>
      <c r="C3523" s="2">
        <f ca="1">IF(ISNUMBER(SEARCH(Лист2!$B$4,D:D)),MAX($C$3:OFFSET(C3523,-1,0))+1,0)</f>
        <v>0</v>
      </c>
      <c r="E3523" s="9" t="str">
        <f t="shared" ca="1" si="66"/>
        <v/>
      </c>
      <c r="F3523" s="4" t="s">
        <v>12</v>
      </c>
      <c r="G3523" s="2">
        <f>IF(ISNUMBER(SEARCH(Лист2!$B$4,F:F)),1,0)</f>
        <v>0</v>
      </c>
      <c r="H3523" s="3">
        <f ca="1">IF(AND(I3523&lt;&gt;I3522,ISNUMBER(SEARCH(Лист2!$B$5,I:I)),G3523=1),MAX($H$3:OFFSET(H3523,-1,0))+1,0)</f>
        <v>0</v>
      </c>
      <c r="I3523" s="3" t="s">
        <v>303</v>
      </c>
      <c r="K3523" s="2">
        <f>IF(ISNUMBER(SEARCH(Лист2!$B$4,F:F)),1,0)</f>
        <v>0</v>
      </c>
      <c r="L3523" s="14">
        <f>IF(ISNUMBER(SEARCH(Лист2!$B$5,I:I)),1,0)+K3523</f>
        <v>0</v>
      </c>
      <c r="M3523" s="3">
        <f ca="1">IF(AND(N3523&lt;&gt;N3522,ISNUMBER(SEARCH(Лист2!$B$6,N:N)),L3523=2),MAX($M$3:OFFSET(M3523,-1,0))+1,0)</f>
        <v>0</v>
      </c>
      <c r="N3523" s="3" t="s">
        <v>2237</v>
      </c>
    </row>
    <row r="3524" spans="1:14" x14ac:dyDescent="0.25">
      <c r="A3524" s="1" t="s">
        <v>12326</v>
      </c>
      <c r="B3524" s="3" t="s">
        <v>7148</v>
      </c>
      <c r="C3524" s="2">
        <f ca="1">IF(ISNUMBER(SEARCH(Лист2!$B$4,D:D)),MAX($C$3:OFFSET(C3524,-1,0))+1,0)</f>
        <v>0</v>
      </c>
      <c r="E3524" s="9" t="str">
        <f t="shared" ca="1" si="66"/>
        <v/>
      </c>
      <c r="F3524" s="4" t="s">
        <v>12</v>
      </c>
      <c r="G3524" s="2">
        <f>IF(ISNUMBER(SEARCH(Лист2!$B$4,F:F)),1,0)</f>
        <v>0</v>
      </c>
      <c r="H3524" s="3">
        <f ca="1">IF(AND(I3524&lt;&gt;I3523,ISNUMBER(SEARCH(Лист2!$B$5,I:I)),G3524=1),MAX($H$3:OFFSET(H3524,-1,0))+1,0)</f>
        <v>0</v>
      </c>
      <c r="I3524" s="3" t="s">
        <v>303</v>
      </c>
      <c r="K3524" s="2">
        <f>IF(ISNUMBER(SEARCH(Лист2!$B$4,F:F)),1,0)</f>
        <v>0</v>
      </c>
      <c r="L3524" s="14">
        <f>IF(ISNUMBER(SEARCH(Лист2!$B$5,I:I)),1,0)+K3524</f>
        <v>0</v>
      </c>
      <c r="M3524" s="3">
        <f ca="1">IF(AND(N3524&lt;&gt;N3523,ISNUMBER(SEARCH(Лист2!$B$6,N:N)),L3524=2),MAX($M$3:OFFSET(M3524,-1,0))+1,0)</f>
        <v>0</v>
      </c>
      <c r="N3524" s="3" t="s">
        <v>2238</v>
      </c>
    </row>
    <row r="3525" spans="1:14" x14ac:dyDescent="0.25">
      <c r="A3525" s="1" t="s">
        <v>12327</v>
      </c>
      <c r="B3525" s="3" t="s">
        <v>7149</v>
      </c>
      <c r="C3525" s="2">
        <f ca="1">IF(ISNUMBER(SEARCH(Лист2!$B$4,D:D)),MAX($C$3:OFFSET(C3525,-1,0))+1,0)</f>
        <v>0</v>
      </c>
      <c r="E3525" s="9" t="str">
        <f t="shared" ref="E3525:E3588" ca="1" si="67">IFERROR(INDEX(D:D,MATCH(ROW(E3525)-ROW($E$3),C:C,0)),"")</f>
        <v/>
      </c>
      <c r="F3525" s="4" t="s">
        <v>12</v>
      </c>
      <c r="G3525" s="2">
        <f>IF(ISNUMBER(SEARCH(Лист2!$B$4,F:F)),1,0)</f>
        <v>0</v>
      </c>
      <c r="H3525" s="3">
        <f ca="1">IF(AND(I3525&lt;&gt;I3524,ISNUMBER(SEARCH(Лист2!$B$5,I:I)),G3525=1),MAX($H$3:OFFSET(H3525,-1,0))+1,0)</f>
        <v>0</v>
      </c>
      <c r="I3525" s="3" t="s">
        <v>303</v>
      </c>
      <c r="K3525" s="2">
        <f>IF(ISNUMBER(SEARCH(Лист2!$B$4,F:F)),1,0)</f>
        <v>0</v>
      </c>
      <c r="L3525" s="14">
        <f>IF(ISNUMBER(SEARCH(Лист2!$B$5,I:I)),1,0)+K3525</f>
        <v>0</v>
      </c>
      <c r="M3525" s="3">
        <f ca="1">IF(AND(N3525&lt;&gt;N3524,ISNUMBER(SEARCH(Лист2!$B$6,N:N)),L3525=2),MAX($M$3:OFFSET(M3525,-1,0))+1,0)</f>
        <v>0</v>
      </c>
      <c r="N3525" s="3" t="s">
        <v>1385</v>
      </c>
    </row>
    <row r="3526" spans="1:14" x14ac:dyDescent="0.25">
      <c r="A3526" s="1" t="s">
        <v>12328</v>
      </c>
      <c r="B3526" s="3" t="s">
        <v>7150</v>
      </c>
      <c r="C3526" s="2">
        <f ca="1">IF(ISNUMBER(SEARCH(Лист2!$B$4,D:D)),MAX($C$3:OFFSET(C3526,-1,0))+1,0)</f>
        <v>0</v>
      </c>
      <c r="E3526" s="9" t="str">
        <f t="shared" ca="1" si="67"/>
        <v/>
      </c>
      <c r="F3526" s="4" t="s">
        <v>12</v>
      </c>
      <c r="G3526" s="2">
        <f>IF(ISNUMBER(SEARCH(Лист2!$B$4,F:F)),1,0)</f>
        <v>0</v>
      </c>
      <c r="H3526" s="3">
        <f ca="1">IF(AND(I3526&lt;&gt;I3525,ISNUMBER(SEARCH(Лист2!$B$5,I:I)),G3526=1),MAX($H$3:OFFSET(H3526,-1,0))+1,0)</f>
        <v>0</v>
      </c>
      <c r="I3526" s="3" t="s">
        <v>303</v>
      </c>
      <c r="K3526" s="2">
        <f>IF(ISNUMBER(SEARCH(Лист2!$B$4,F:F)),1,0)</f>
        <v>0</v>
      </c>
      <c r="L3526" s="14">
        <f>IF(ISNUMBER(SEARCH(Лист2!$B$5,I:I)),1,0)+K3526</f>
        <v>0</v>
      </c>
      <c r="M3526" s="3">
        <f ca="1">IF(AND(N3526&lt;&gt;N3525,ISNUMBER(SEARCH(Лист2!$B$6,N:N)),L3526=2),MAX($M$3:OFFSET(M3526,-1,0))+1,0)</f>
        <v>0</v>
      </c>
      <c r="N3526" s="3" t="s">
        <v>602</v>
      </c>
    </row>
    <row r="3527" spans="1:14" x14ac:dyDescent="0.25">
      <c r="A3527" s="1" t="s">
        <v>12329</v>
      </c>
      <c r="B3527" s="3" t="s">
        <v>7151</v>
      </c>
      <c r="C3527" s="2">
        <f ca="1">IF(ISNUMBER(SEARCH(Лист2!$B$4,D:D)),MAX($C$3:OFFSET(C3527,-1,0))+1,0)</f>
        <v>0</v>
      </c>
      <c r="E3527" s="9" t="str">
        <f t="shared" ca="1" si="67"/>
        <v/>
      </c>
      <c r="F3527" s="4" t="s">
        <v>12</v>
      </c>
      <c r="G3527" s="2">
        <f>IF(ISNUMBER(SEARCH(Лист2!$B$4,F:F)),1,0)</f>
        <v>0</v>
      </c>
      <c r="H3527" s="3">
        <f ca="1">IF(AND(I3527&lt;&gt;I3526,ISNUMBER(SEARCH(Лист2!$B$5,I:I)),G3527=1),MAX($H$3:OFFSET(H3527,-1,0))+1,0)</f>
        <v>0</v>
      </c>
      <c r="I3527" s="3" t="s">
        <v>303</v>
      </c>
      <c r="K3527" s="2">
        <f>IF(ISNUMBER(SEARCH(Лист2!$B$4,F:F)),1,0)</f>
        <v>0</v>
      </c>
      <c r="L3527" s="14">
        <f>IF(ISNUMBER(SEARCH(Лист2!$B$5,I:I)),1,0)+K3527</f>
        <v>0</v>
      </c>
      <c r="M3527" s="3">
        <f ca="1">IF(AND(N3527&lt;&gt;N3526,ISNUMBER(SEARCH(Лист2!$B$6,N:N)),L3527=2),MAX($M$3:OFFSET(M3527,-1,0))+1,0)</f>
        <v>0</v>
      </c>
      <c r="N3527" s="3" t="s">
        <v>2239</v>
      </c>
    </row>
    <row r="3528" spans="1:14" x14ac:dyDescent="0.25">
      <c r="A3528" s="1" t="s">
        <v>12330</v>
      </c>
      <c r="B3528" s="3" t="s">
        <v>7152</v>
      </c>
      <c r="C3528" s="2">
        <f ca="1">IF(ISNUMBER(SEARCH(Лист2!$B$4,D:D)),MAX($C$3:OFFSET(C3528,-1,0))+1,0)</f>
        <v>0</v>
      </c>
      <c r="E3528" s="9" t="str">
        <f t="shared" ca="1" si="67"/>
        <v/>
      </c>
      <c r="F3528" s="4" t="s">
        <v>12</v>
      </c>
      <c r="G3528" s="2">
        <f>IF(ISNUMBER(SEARCH(Лист2!$B$4,F:F)),1,0)</f>
        <v>0</v>
      </c>
      <c r="H3528" s="3">
        <f ca="1">IF(AND(I3528&lt;&gt;I3527,ISNUMBER(SEARCH(Лист2!$B$5,I:I)),G3528=1),MAX($H$3:OFFSET(H3528,-1,0))+1,0)</f>
        <v>0</v>
      </c>
      <c r="I3528" s="3" t="s">
        <v>303</v>
      </c>
      <c r="K3528" s="2">
        <f>IF(ISNUMBER(SEARCH(Лист2!$B$4,F:F)),1,0)</f>
        <v>0</v>
      </c>
      <c r="L3528" s="14">
        <f>IF(ISNUMBER(SEARCH(Лист2!$B$5,I:I)),1,0)+K3528</f>
        <v>0</v>
      </c>
      <c r="M3528" s="3">
        <f ca="1">IF(AND(N3528&lt;&gt;N3527,ISNUMBER(SEARCH(Лист2!$B$6,N:N)),L3528=2),MAX($M$3:OFFSET(M3528,-1,0))+1,0)</f>
        <v>0</v>
      </c>
      <c r="N3528" s="3" t="s">
        <v>2240</v>
      </c>
    </row>
    <row r="3529" spans="1:14" x14ac:dyDescent="0.25">
      <c r="A3529" s="1" t="s">
        <v>12331</v>
      </c>
      <c r="B3529" s="3" t="s">
        <v>7153</v>
      </c>
      <c r="C3529" s="2">
        <f ca="1">IF(ISNUMBER(SEARCH(Лист2!$B$4,D:D)),MAX($C$3:OFFSET(C3529,-1,0))+1,0)</f>
        <v>0</v>
      </c>
      <c r="E3529" s="9" t="str">
        <f t="shared" ca="1" si="67"/>
        <v/>
      </c>
      <c r="F3529" s="4" t="s">
        <v>12</v>
      </c>
      <c r="G3529" s="2">
        <f>IF(ISNUMBER(SEARCH(Лист2!$B$4,F:F)),1,0)</f>
        <v>0</v>
      </c>
      <c r="H3529" s="3">
        <f ca="1">IF(AND(I3529&lt;&gt;I3528,ISNUMBER(SEARCH(Лист2!$B$5,I:I)),G3529=1),MAX($H$3:OFFSET(H3529,-1,0))+1,0)</f>
        <v>0</v>
      </c>
      <c r="I3529" s="3" t="s">
        <v>303</v>
      </c>
      <c r="K3529" s="2">
        <f>IF(ISNUMBER(SEARCH(Лист2!$B$4,F:F)),1,0)</f>
        <v>0</v>
      </c>
      <c r="L3529" s="14">
        <f>IF(ISNUMBER(SEARCH(Лист2!$B$5,I:I)),1,0)+K3529</f>
        <v>0</v>
      </c>
      <c r="M3529" s="3">
        <f ca="1">IF(AND(N3529&lt;&gt;N3528,ISNUMBER(SEARCH(Лист2!$B$6,N:N)),L3529=2),MAX($M$3:OFFSET(M3529,-1,0))+1,0)</f>
        <v>0</v>
      </c>
      <c r="N3529" s="3" t="s">
        <v>2241</v>
      </c>
    </row>
    <row r="3530" spans="1:14" x14ac:dyDescent="0.25">
      <c r="A3530" s="1" t="s">
        <v>12332</v>
      </c>
      <c r="B3530" s="3" t="s">
        <v>7154</v>
      </c>
      <c r="C3530" s="2">
        <f ca="1">IF(ISNUMBER(SEARCH(Лист2!$B$4,D:D)),MAX($C$3:OFFSET(C3530,-1,0))+1,0)</f>
        <v>0</v>
      </c>
      <c r="E3530" s="9" t="str">
        <f t="shared" ca="1" si="67"/>
        <v/>
      </c>
      <c r="F3530" s="4" t="s">
        <v>12</v>
      </c>
      <c r="G3530" s="2">
        <f>IF(ISNUMBER(SEARCH(Лист2!$B$4,F:F)),1,0)</f>
        <v>0</v>
      </c>
      <c r="H3530" s="3">
        <f ca="1">IF(AND(I3530&lt;&gt;I3529,ISNUMBER(SEARCH(Лист2!$B$5,I:I)),G3530=1),MAX($H$3:OFFSET(H3530,-1,0))+1,0)</f>
        <v>0</v>
      </c>
      <c r="I3530" s="3" t="s">
        <v>303</v>
      </c>
      <c r="K3530" s="2">
        <f>IF(ISNUMBER(SEARCH(Лист2!$B$4,F:F)),1,0)</f>
        <v>0</v>
      </c>
      <c r="L3530" s="14">
        <f>IF(ISNUMBER(SEARCH(Лист2!$B$5,I:I)),1,0)+K3530</f>
        <v>0</v>
      </c>
      <c r="M3530" s="3">
        <f ca="1">IF(AND(N3530&lt;&gt;N3529,ISNUMBER(SEARCH(Лист2!$B$6,N:N)),L3530=2),MAX($M$3:OFFSET(M3530,-1,0))+1,0)</f>
        <v>0</v>
      </c>
      <c r="N3530" s="3" t="s">
        <v>2017</v>
      </c>
    </row>
    <row r="3531" spans="1:14" x14ac:dyDescent="0.25">
      <c r="A3531" s="1" t="s">
        <v>12333</v>
      </c>
      <c r="B3531" s="3" t="s">
        <v>7155</v>
      </c>
      <c r="C3531" s="2">
        <f ca="1">IF(ISNUMBER(SEARCH(Лист2!$B$4,D:D)),MAX($C$3:OFFSET(C3531,-1,0))+1,0)</f>
        <v>0</v>
      </c>
      <c r="E3531" s="9" t="str">
        <f t="shared" ca="1" si="67"/>
        <v/>
      </c>
      <c r="F3531" s="4" t="s">
        <v>12</v>
      </c>
      <c r="G3531" s="2">
        <f>IF(ISNUMBER(SEARCH(Лист2!$B$4,F:F)),1,0)</f>
        <v>0</v>
      </c>
      <c r="H3531" s="3">
        <f ca="1">IF(AND(I3531&lt;&gt;I3530,ISNUMBER(SEARCH(Лист2!$B$5,I:I)),G3531=1),MAX($H$3:OFFSET(H3531,-1,0))+1,0)</f>
        <v>0</v>
      </c>
      <c r="I3531" s="3" t="s">
        <v>303</v>
      </c>
      <c r="K3531" s="2">
        <f>IF(ISNUMBER(SEARCH(Лист2!$B$4,F:F)),1,0)</f>
        <v>0</v>
      </c>
      <c r="L3531" s="14">
        <f>IF(ISNUMBER(SEARCH(Лист2!$B$5,I:I)),1,0)+K3531</f>
        <v>0</v>
      </c>
      <c r="M3531" s="3">
        <f ca="1">IF(AND(N3531&lt;&gt;N3530,ISNUMBER(SEARCH(Лист2!$B$6,N:N)),L3531=2),MAX($M$3:OFFSET(M3531,-1,0))+1,0)</f>
        <v>0</v>
      </c>
      <c r="N3531" s="3" t="s">
        <v>2243</v>
      </c>
    </row>
    <row r="3532" spans="1:14" x14ac:dyDescent="0.25">
      <c r="A3532" s="1" t="s">
        <v>12334</v>
      </c>
      <c r="B3532" s="3" t="s">
        <v>7156</v>
      </c>
      <c r="C3532" s="2">
        <f ca="1">IF(ISNUMBER(SEARCH(Лист2!$B$4,D:D)),MAX($C$3:OFFSET(C3532,-1,0))+1,0)</f>
        <v>0</v>
      </c>
      <c r="E3532" s="9" t="str">
        <f t="shared" ca="1" si="67"/>
        <v/>
      </c>
      <c r="F3532" s="4" t="s">
        <v>12</v>
      </c>
      <c r="G3532" s="2">
        <f>IF(ISNUMBER(SEARCH(Лист2!$B$4,F:F)),1,0)</f>
        <v>0</v>
      </c>
      <c r="H3532" s="3">
        <f ca="1">IF(AND(I3532&lt;&gt;I3531,ISNUMBER(SEARCH(Лист2!$B$5,I:I)),G3532=1),MAX($H$3:OFFSET(H3532,-1,0))+1,0)</f>
        <v>0</v>
      </c>
      <c r="I3532" s="3" t="s">
        <v>292</v>
      </c>
      <c r="K3532" s="2">
        <f>IF(ISNUMBER(SEARCH(Лист2!$B$4,F:F)),1,0)</f>
        <v>0</v>
      </c>
      <c r="L3532" s="14">
        <f>IF(ISNUMBER(SEARCH(Лист2!$B$5,I:I)),1,0)+K3532</f>
        <v>0</v>
      </c>
      <c r="M3532" s="3">
        <f ca="1">IF(AND(N3532&lt;&gt;N3531,ISNUMBER(SEARCH(Лист2!$B$6,N:N)),L3532=2),MAX($M$3:OFFSET(M3532,-1,0))+1,0)</f>
        <v>0</v>
      </c>
      <c r="N3532" s="3" t="s">
        <v>2212</v>
      </c>
    </row>
    <row r="3533" spans="1:14" x14ac:dyDescent="0.25">
      <c r="A3533" s="1" t="s">
        <v>12335</v>
      </c>
      <c r="B3533" s="3" t="s">
        <v>7157</v>
      </c>
      <c r="C3533" s="2">
        <f ca="1">IF(ISNUMBER(SEARCH(Лист2!$B$4,D:D)),MAX($C$3:OFFSET(C3533,-1,0))+1,0)</f>
        <v>0</v>
      </c>
      <c r="E3533" s="9" t="str">
        <f t="shared" ca="1" si="67"/>
        <v/>
      </c>
      <c r="F3533" s="4" t="s">
        <v>12</v>
      </c>
      <c r="G3533" s="2">
        <f>IF(ISNUMBER(SEARCH(Лист2!$B$4,F:F)),1,0)</f>
        <v>0</v>
      </c>
      <c r="H3533" s="3">
        <f ca="1">IF(AND(I3533&lt;&gt;I3532,ISNUMBER(SEARCH(Лист2!$B$5,I:I)),G3533=1),MAX($H$3:OFFSET(H3533,-1,0))+1,0)</f>
        <v>0</v>
      </c>
      <c r="I3533" s="3" t="s">
        <v>292</v>
      </c>
      <c r="K3533" s="2">
        <f>IF(ISNUMBER(SEARCH(Лист2!$B$4,F:F)),1,0)</f>
        <v>0</v>
      </c>
      <c r="L3533" s="14">
        <f>IF(ISNUMBER(SEARCH(Лист2!$B$5,I:I)),1,0)+K3533</f>
        <v>0</v>
      </c>
      <c r="M3533" s="3">
        <f ca="1">IF(AND(N3533&lt;&gt;N3532,ISNUMBER(SEARCH(Лист2!$B$6,N:N)),L3533=2),MAX($M$3:OFFSET(M3533,-1,0))+1,0)</f>
        <v>0</v>
      </c>
      <c r="N3533" s="3" t="s">
        <v>2213</v>
      </c>
    </row>
    <row r="3534" spans="1:14" x14ac:dyDescent="0.25">
      <c r="A3534" s="1" t="s">
        <v>12336</v>
      </c>
      <c r="B3534" s="3" t="s">
        <v>7158</v>
      </c>
      <c r="C3534" s="2">
        <f ca="1">IF(ISNUMBER(SEARCH(Лист2!$B$4,D:D)),MAX($C$3:OFFSET(C3534,-1,0))+1,0)</f>
        <v>0</v>
      </c>
      <c r="E3534" s="9" t="str">
        <f t="shared" ca="1" si="67"/>
        <v/>
      </c>
      <c r="F3534" s="4" t="s">
        <v>12</v>
      </c>
      <c r="G3534" s="2">
        <f>IF(ISNUMBER(SEARCH(Лист2!$B$4,F:F)),1,0)</f>
        <v>0</v>
      </c>
      <c r="H3534" s="3">
        <f ca="1">IF(AND(I3534&lt;&gt;I3533,ISNUMBER(SEARCH(Лист2!$B$5,I:I)),G3534=1),MAX($H$3:OFFSET(H3534,-1,0))+1,0)</f>
        <v>0</v>
      </c>
      <c r="I3534" s="3" t="s">
        <v>292</v>
      </c>
      <c r="K3534" s="2">
        <f>IF(ISNUMBER(SEARCH(Лист2!$B$4,F:F)),1,0)</f>
        <v>0</v>
      </c>
      <c r="L3534" s="14">
        <f>IF(ISNUMBER(SEARCH(Лист2!$B$5,I:I)),1,0)+K3534</f>
        <v>0</v>
      </c>
      <c r="M3534" s="3">
        <f ca="1">IF(AND(N3534&lt;&gt;N3533,ISNUMBER(SEARCH(Лист2!$B$6,N:N)),L3534=2),MAX($M$3:OFFSET(M3534,-1,0))+1,0)</f>
        <v>0</v>
      </c>
      <c r="N3534" s="3" t="s">
        <v>2049</v>
      </c>
    </row>
    <row r="3535" spans="1:14" x14ac:dyDescent="0.25">
      <c r="A3535" s="1" t="s">
        <v>12337</v>
      </c>
      <c r="B3535" s="3" t="s">
        <v>7159</v>
      </c>
      <c r="C3535" s="2">
        <f ca="1">IF(ISNUMBER(SEARCH(Лист2!$B$4,D:D)),MAX($C$3:OFFSET(C3535,-1,0))+1,0)</f>
        <v>0</v>
      </c>
      <c r="E3535" s="9" t="str">
        <f t="shared" ca="1" si="67"/>
        <v/>
      </c>
      <c r="F3535" s="4" t="s">
        <v>12</v>
      </c>
      <c r="G3535" s="2">
        <f>IF(ISNUMBER(SEARCH(Лист2!$B$4,F:F)),1,0)</f>
        <v>0</v>
      </c>
      <c r="H3535" s="3">
        <f ca="1">IF(AND(I3535&lt;&gt;I3534,ISNUMBER(SEARCH(Лист2!$B$5,I:I)),G3535=1),MAX($H$3:OFFSET(H3535,-1,0))+1,0)</f>
        <v>0</v>
      </c>
      <c r="I3535" s="3" t="s">
        <v>292</v>
      </c>
      <c r="K3535" s="2">
        <f>IF(ISNUMBER(SEARCH(Лист2!$B$4,F:F)),1,0)</f>
        <v>0</v>
      </c>
      <c r="L3535" s="14">
        <f>IF(ISNUMBER(SEARCH(Лист2!$B$5,I:I)),1,0)+K3535</f>
        <v>0</v>
      </c>
      <c r="M3535" s="3">
        <f ca="1">IF(AND(N3535&lt;&gt;N3534,ISNUMBER(SEARCH(Лист2!$B$6,N:N)),L3535=2),MAX($M$3:OFFSET(M3535,-1,0))+1,0)</f>
        <v>0</v>
      </c>
      <c r="N3535" s="3" t="s">
        <v>1385</v>
      </c>
    </row>
    <row r="3536" spans="1:14" x14ac:dyDescent="0.25">
      <c r="A3536" s="1" t="s">
        <v>12338</v>
      </c>
      <c r="B3536" s="3" t="s">
        <v>7160</v>
      </c>
      <c r="C3536" s="2">
        <f ca="1">IF(ISNUMBER(SEARCH(Лист2!$B$4,D:D)),MAX($C$3:OFFSET(C3536,-1,0))+1,0)</f>
        <v>0</v>
      </c>
      <c r="E3536" s="9" t="str">
        <f t="shared" ca="1" si="67"/>
        <v/>
      </c>
      <c r="F3536" s="4" t="s">
        <v>12</v>
      </c>
      <c r="G3536" s="2">
        <f>IF(ISNUMBER(SEARCH(Лист2!$B$4,F:F)),1,0)</f>
        <v>0</v>
      </c>
      <c r="H3536" s="3">
        <f ca="1">IF(AND(I3536&lt;&gt;I3535,ISNUMBER(SEARCH(Лист2!$B$5,I:I)),G3536=1),MAX($H$3:OFFSET(H3536,-1,0))+1,0)</f>
        <v>0</v>
      </c>
      <c r="I3536" s="3" t="s">
        <v>292</v>
      </c>
      <c r="K3536" s="2">
        <f>IF(ISNUMBER(SEARCH(Лист2!$B$4,F:F)),1,0)</f>
        <v>0</v>
      </c>
      <c r="L3536" s="14">
        <f>IF(ISNUMBER(SEARCH(Лист2!$B$5,I:I)),1,0)+K3536</f>
        <v>0</v>
      </c>
      <c r="M3536" s="3">
        <f ca="1">IF(AND(N3536&lt;&gt;N3535,ISNUMBER(SEARCH(Лист2!$B$6,N:N)),L3536=2),MAX($M$3:OFFSET(M3536,-1,0))+1,0)</f>
        <v>0</v>
      </c>
      <c r="N3536" s="3" t="s">
        <v>602</v>
      </c>
    </row>
    <row r="3537" spans="1:14" x14ac:dyDescent="0.25">
      <c r="A3537" s="1" t="s">
        <v>12339</v>
      </c>
      <c r="B3537" s="3" t="s">
        <v>7161</v>
      </c>
      <c r="C3537" s="2">
        <f ca="1">IF(ISNUMBER(SEARCH(Лист2!$B$4,D:D)),MAX($C$3:OFFSET(C3537,-1,0))+1,0)</f>
        <v>0</v>
      </c>
      <c r="E3537" s="9" t="str">
        <f t="shared" ca="1" si="67"/>
        <v/>
      </c>
      <c r="F3537" s="4" t="s">
        <v>12</v>
      </c>
      <c r="G3537" s="2">
        <f>IF(ISNUMBER(SEARCH(Лист2!$B$4,F:F)),1,0)</f>
        <v>0</v>
      </c>
      <c r="H3537" s="3">
        <f ca="1">IF(AND(I3537&lt;&gt;I3536,ISNUMBER(SEARCH(Лист2!$B$5,I:I)),G3537=1),MAX($H$3:OFFSET(H3537,-1,0))+1,0)</f>
        <v>0</v>
      </c>
      <c r="I3537" s="3" t="s">
        <v>292</v>
      </c>
      <c r="K3537" s="2">
        <f>IF(ISNUMBER(SEARCH(Лист2!$B$4,F:F)),1,0)</f>
        <v>0</v>
      </c>
      <c r="L3537" s="14">
        <f>IF(ISNUMBER(SEARCH(Лист2!$B$5,I:I)),1,0)+K3537</f>
        <v>0</v>
      </c>
      <c r="M3537" s="3">
        <f ca="1">IF(AND(N3537&lt;&gt;N3536,ISNUMBER(SEARCH(Лист2!$B$6,N:N)),L3537=2),MAX($M$3:OFFSET(M3537,-1,0))+1,0)</f>
        <v>0</v>
      </c>
      <c r="N3537" s="3" t="s">
        <v>2214</v>
      </c>
    </row>
    <row r="3538" spans="1:14" x14ac:dyDescent="0.25">
      <c r="A3538" s="1" t="s">
        <v>12340</v>
      </c>
      <c r="B3538" s="3" t="s">
        <v>7162</v>
      </c>
      <c r="C3538" s="2">
        <f ca="1">IF(ISNUMBER(SEARCH(Лист2!$B$4,D:D)),MAX($C$3:OFFSET(C3538,-1,0))+1,0)</f>
        <v>0</v>
      </c>
      <c r="E3538" s="9" t="str">
        <f t="shared" ca="1" si="67"/>
        <v/>
      </c>
      <c r="F3538" s="4" t="s">
        <v>12</v>
      </c>
      <c r="G3538" s="2">
        <f>IF(ISNUMBER(SEARCH(Лист2!$B$4,F:F)),1,0)</f>
        <v>0</v>
      </c>
      <c r="H3538" s="3">
        <f ca="1">IF(AND(I3538&lt;&gt;I3537,ISNUMBER(SEARCH(Лист2!$B$5,I:I)),G3538=1),MAX($H$3:OFFSET(H3538,-1,0))+1,0)</f>
        <v>0</v>
      </c>
      <c r="I3538" s="3" t="s">
        <v>292</v>
      </c>
      <c r="K3538" s="2">
        <f>IF(ISNUMBER(SEARCH(Лист2!$B$4,F:F)),1,0)</f>
        <v>0</v>
      </c>
      <c r="L3538" s="14">
        <f>IF(ISNUMBER(SEARCH(Лист2!$B$5,I:I)),1,0)+K3538</f>
        <v>0</v>
      </c>
      <c r="M3538" s="3">
        <f ca="1">IF(AND(N3538&lt;&gt;N3537,ISNUMBER(SEARCH(Лист2!$B$6,N:N)),L3538=2),MAX($M$3:OFFSET(M3538,-1,0))+1,0)</f>
        <v>0</v>
      </c>
      <c r="N3538" s="3" t="s">
        <v>2052</v>
      </c>
    </row>
    <row r="3539" spans="1:14" x14ac:dyDescent="0.25">
      <c r="A3539" s="1" t="s">
        <v>12341</v>
      </c>
      <c r="B3539" s="3" t="s">
        <v>7163</v>
      </c>
      <c r="C3539" s="2">
        <f ca="1">IF(ISNUMBER(SEARCH(Лист2!$B$4,D:D)),MAX($C$3:OFFSET(C3539,-1,0))+1,0)</f>
        <v>0</v>
      </c>
      <c r="E3539" s="9" t="str">
        <f t="shared" ca="1" si="67"/>
        <v/>
      </c>
      <c r="F3539" s="4" t="s">
        <v>12</v>
      </c>
      <c r="G3539" s="2">
        <f>IF(ISNUMBER(SEARCH(Лист2!$B$4,F:F)),1,0)</f>
        <v>0</v>
      </c>
      <c r="H3539" s="3">
        <f ca="1">IF(AND(I3539&lt;&gt;I3538,ISNUMBER(SEARCH(Лист2!$B$5,I:I)),G3539=1),MAX($H$3:OFFSET(H3539,-1,0))+1,0)</f>
        <v>0</v>
      </c>
      <c r="I3539" s="3" t="s">
        <v>292</v>
      </c>
      <c r="K3539" s="2">
        <f>IF(ISNUMBER(SEARCH(Лист2!$B$4,F:F)),1,0)</f>
        <v>0</v>
      </c>
      <c r="L3539" s="14">
        <f>IF(ISNUMBER(SEARCH(Лист2!$B$5,I:I)),1,0)+K3539</f>
        <v>0</v>
      </c>
      <c r="M3539" s="3">
        <f ca="1">IF(AND(N3539&lt;&gt;N3538,ISNUMBER(SEARCH(Лист2!$B$6,N:N)),L3539=2),MAX($M$3:OFFSET(M3539,-1,0))+1,0)</f>
        <v>0</v>
      </c>
      <c r="N3539" s="3" t="s">
        <v>2054</v>
      </c>
    </row>
    <row r="3540" spans="1:14" x14ac:dyDescent="0.25">
      <c r="A3540" s="1" t="s">
        <v>12342</v>
      </c>
      <c r="B3540" s="3" t="s">
        <v>7164</v>
      </c>
      <c r="C3540" s="2">
        <f ca="1">IF(ISNUMBER(SEARCH(Лист2!$B$4,D:D)),MAX($C$3:OFFSET(C3540,-1,0))+1,0)</f>
        <v>0</v>
      </c>
      <c r="E3540" s="9" t="str">
        <f t="shared" ca="1" si="67"/>
        <v/>
      </c>
      <c r="F3540" s="4" t="s">
        <v>12</v>
      </c>
      <c r="G3540" s="2">
        <f>IF(ISNUMBER(SEARCH(Лист2!$B$4,F:F)),1,0)</f>
        <v>0</v>
      </c>
      <c r="H3540" s="3">
        <f ca="1">IF(AND(I3540&lt;&gt;I3539,ISNUMBER(SEARCH(Лист2!$B$5,I:I)),G3540=1),MAX($H$3:OFFSET(H3540,-1,0))+1,0)</f>
        <v>0</v>
      </c>
      <c r="I3540" s="3" t="s">
        <v>292</v>
      </c>
      <c r="K3540" s="2">
        <f>IF(ISNUMBER(SEARCH(Лист2!$B$4,F:F)),1,0)</f>
        <v>0</v>
      </c>
      <c r="L3540" s="14">
        <f>IF(ISNUMBER(SEARCH(Лист2!$B$5,I:I)),1,0)+K3540</f>
        <v>0</v>
      </c>
      <c r="M3540" s="3">
        <f ca="1">IF(AND(N3540&lt;&gt;N3539,ISNUMBER(SEARCH(Лист2!$B$6,N:N)),L3540=2),MAX($M$3:OFFSET(M3540,-1,0))+1,0)</f>
        <v>0</v>
      </c>
      <c r="N3540" s="3" t="s">
        <v>2215</v>
      </c>
    </row>
    <row r="3541" spans="1:14" x14ac:dyDescent="0.25">
      <c r="A3541" s="1" t="s">
        <v>12343</v>
      </c>
      <c r="B3541" s="3" t="s">
        <v>7165</v>
      </c>
      <c r="C3541" s="2">
        <f ca="1">IF(ISNUMBER(SEARCH(Лист2!$B$4,D:D)),MAX($C$3:OFFSET(C3541,-1,0))+1,0)</f>
        <v>0</v>
      </c>
      <c r="E3541" s="9" t="str">
        <f t="shared" ca="1" si="67"/>
        <v/>
      </c>
      <c r="F3541" s="4" t="s">
        <v>12</v>
      </c>
      <c r="G3541" s="2">
        <f>IF(ISNUMBER(SEARCH(Лист2!$B$4,F:F)),1,0)</f>
        <v>0</v>
      </c>
      <c r="H3541" s="3">
        <f ca="1">IF(AND(I3541&lt;&gt;I3540,ISNUMBER(SEARCH(Лист2!$B$5,I:I)),G3541=1),MAX($H$3:OFFSET(H3541,-1,0))+1,0)</f>
        <v>0</v>
      </c>
      <c r="I3541" s="3" t="s">
        <v>292</v>
      </c>
      <c r="K3541" s="2">
        <f>IF(ISNUMBER(SEARCH(Лист2!$B$4,F:F)),1,0)</f>
        <v>0</v>
      </c>
      <c r="L3541" s="14">
        <f>IF(ISNUMBER(SEARCH(Лист2!$B$5,I:I)),1,0)+K3541</f>
        <v>0</v>
      </c>
      <c r="M3541" s="3">
        <f ca="1">IF(AND(N3541&lt;&gt;N3540,ISNUMBER(SEARCH(Лист2!$B$6,N:N)),L3541=2),MAX($M$3:OFFSET(M3541,-1,0))+1,0)</f>
        <v>0</v>
      </c>
      <c r="N3541" s="3" t="s">
        <v>2244</v>
      </c>
    </row>
    <row r="3542" spans="1:14" x14ac:dyDescent="0.25">
      <c r="A3542" s="1" t="s">
        <v>12344</v>
      </c>
      <c r="B3542" s="3" t="s">
        <v>7166</v>
      </c>
      <c r="C3542" s="2">
        <f ca="1">IF(ISNUMBER(SEARCH(Лист2!$B$4,D:D)),MAX($C$3:OFFSET(C3542,-1,0))+1,0)</f>
        <v>0</v>
      </c>
      <c r="E3542" s="9" t="str">
        <f t="shared" ca="1" si="67"/>
        <v/>
      </c>
      <c r="F3542" s="4" t="s">
        <v>12</v>
      </c>
      <c r="G3542" s="2">
        <f>IF(ISNUMBER(SEARCH(Лист2!$B$4,F:F)),1,0)</f>
        <v>0</v>
      </c>
      <c r="H3542" s="3">
        <f ca="1">IF(AND(I3542&lt;&gt;I3541,ISNUMBER(SEARCH(Лист2!$B$5,I:I)),G3542=1),MAX($H$3:OFFSET(H3542,-1,0))+1,0)</f>
        <v>0</v>
      </c>
      <c r="I3542" s="3" t="s">
        <v>292</v>
      </c>
      <c r="K3542" s="2">
        <f>IF(ISNUMBER(SEARCH(Лист2!$B$4,F:F)),1,0)</f>
        <v>0</v>
      </c>
      <c r="L3542" s="14">
        <f>IF(ISNUMBER(SEARCH(Лист2!$B$5,I:I)),1,0)+K3542</f>
        <v>0</v>
      </c>
      <c r="M3542" s="3">
        <f ca="1">IF(AND(N3542&lt;&gt;N3541,ISNUMBER(SEARCH(Лист2!$B$6,N:N)),L3542=2),MAX($M$3:OFFSET(M3542,-1,0))+1,0)</f>
        <v>0</v>
      </c>
      <c r="N3542" s="3" t="s">
        <v>2125</v>
      </c>
    </row>
    <row r="3543" spans="1:14" x14ac:dyDescent="0.25">
      <c r="A3543" s="1" t="s">
        <v>12345</v>
      </c>
      <c r="B3543" s="3" t="s">
        <v>7167</v>
      </c>
      <c r="C3543" s="2">
        <f ca="1">IF(ISNUMBER(SEARCH(Лист2!$B$4,D:D)),MAX($C$3:OFFSET(C3543,-1,0))+1,0)</f>
        <v>0</v>
      </c>
      <c r="E3543" s="9" t="str">
        <f t="shared" ca="1" si="67"/>
        <v/>
      </c>
      <c r="F3543" s="4" t="s">
        <v>12</v>
      </c>
      <c r="G3543" s="2">
        <f>IF(ISNUMBER(SEARCH(Лист2!$B$4,F:F)),1,0)</f>
        <v>0</v>
      </c>
      <c r="H3543" s="3">
        <f ca="1">IF(AND(I3543&lt;&gt;I3542,ISNUMBER(SEARCH(Лист2!$B$5,I:I)),G3543=1),MAX($H$3:OFFSET(H3543,-1,0))+1,0)</f>
        <v>0</v>
      </c>
      <c r="I3543" s="3" t="s">
        <v>292</v>
      </c>
      <c r="K3543" s="2">
        <f>IF(ISNUMBER(SEARCH(Лист2!$B$4,F:F)),1,0)</f>
        <v>0</v>
      </c>
      <c r="L3543" s="14">
        <f>IF(ISNUMBER(SEARCH(Лист2!$B$5,I:I)),1,0)+K3543</f>
        <v>0</v>
      </c>
      <c r="M3543" s="3">
        <f ca="1">IF(AND(N3543&lt;&gt;N3542,ISNUMBER(SEARCH(Лист2!$B$6,N:N)),L3543=2),MAX($M$3:OFFSET(M3543,-1,0))+1,0)</f>
        <v>0</v>
      </c>
      <c r="N3543" s="3" t="s">
        <v>2245</v>
      </c>
    </row>
    <row r="3544" spans="1:14" x14ac:dyDescent="0.25">
      <c r="A3544" s="1" t="s">
        <v>12346</v>
      </c>
      <c r="B3544" s="3" t="s">
        <v>7168</v>
      </c>
      <c r="C3544" s="2">
        <f ca="1">IF(ISNUMBER(SEARCH(Лист2!$B$4,D:D)),MAX($C$3:OFFSET(C3544,-1,0))+1,0)</f>
        <v>0</v>
      </c>
      <c r="E3544" s="9" t="str">
        <f t="shared" ca="1" si="67"/>
        <v/>
      </c>
      <c r="F3544" s="4" t="s">
        <v>12</v>
      </c>
      <c r="G3544" s="2">
        <f>IF(ISNUMBER(SEARCH(Лист2!$B$4,F:F)),1,0)</f>
        <v>0</v>
      </c>
      <c r="H3544" s="3">
        <f ca="1">IF(AND(I3544&lt;&gt;I3543,ISNUMBER(SEARCH(Лист2!$B$5,I:I)),G3544=1),MAX($H$3:OFFSET(H3544,-1,0))+1,0)</f>
        <v>0</v>
      </c>
      <c r="I3544" s="3" t="s">
        <v>277</v>
      </c>
      <c r="K3544" s="2">
        <f>IF(ISNUMBER(SEARCH(Лист2!$B$4,F:F)),1,0)</f>
        <v>0</v>
      </c>
      <c r="L3544" s="14">
        <f>IF(ISNUMBER(SEARCH(Лист2!$B$5,I:I)),1,0)+K3544</f>
        <v>0</v>
      </c>
      <c r="M3544" s="3">
        <f ca="1">IF(AND(N3544&lt;&gt;N3543,ISNUMBER(SEARCH(Лист2!$B$6,N:N)),L3544=2),MAX($M$3:OFFSET(M3544,-1,0))+1,0)</f>
        <v>0</v>
      </c>
      <c r="N3544" s="3" t="s">
        <v>2220</v>
      </c>
    </row>
    <row r="3545" spans="1:14" x14ac:dyDescent="0.25">
      <c r="A3545" s="1" t="s">
        <v>12347</v>
      </c>
      <c r="B3545" s="3" t="s">
        <v>7169</v>
      </c>
      <c r="C3545" s="2">
        <f ca="1">IF(ISNUMBER(SEARCH(Лист2!$B$4,D:D)),MAX($C$3:OFFSET(C3545,-1,0))+1,0)</f>
        <v>0</v>
      </c>
      <c r="E3545" s="9" t="str">
        <f t="shared" ca="1" si="67"/>
        <v/>
      </c>
      <c r="F3545" s="4" t="s">
        <v>12</v>
      </c>
      <c r="G3545" s="2">
        <f>IF(ISNUMBER(SEARCH(Лист2!$B$4,F:F)),1,0)</f>
        <v>0</v>
      </c>
      <c r="H3545" s="3">
        <f ca="1">IF(AND(I3545&lt;&gt;I3544,ISNUMBER(SEARCH(Лист2!$B$5,I:I)),G3545=1),MAX($H$3:OFFSET(H3545,-1,0))+1,0)</f>
        <v>0</v>
      </c>
      <c r="I3545" s="3" t="s">
        <v>277</v>
      </c>
      <c r="K3545" s="2">
        <f>IF(ISNUMBER(SEARCH(Лист2!$B$4,F:F)),1,0)</f>
        <v>0</v>
      </c>
      <c r="L3545" s="14">
        <f>IF(ISNUMBER(SEARCH(Лист2!$B$5,I:I)),1,0)+K3545</f>
        <v>0</v>
      </c>
      <c r="M3545" s="3">
        <f ca="1">IF(AND(N3545&lt;&gt;N3544,ISNUMBER(SEARCH(Лист2!$B$6,N:N)),L3545=2),MAX($M$3:OFFSET(M3545,-1,0))+1,0)</f>
        <v>0</v>
      </c>
      <c r="N3545" s="3" t="s">
        <v>2221</v>
      </c>
    </row>
    <row r="3546" spans="1:14" x14ac:dyDescent="0.25">
      <c r="A3546" s="1" t="s">
        <v>12348</v>
      </c>
      <c r="B3546" s="3" t="s">
        <v>7170</v>
      </c>
      <c r="C3546" s="2">
        <f ca="1">IF(ISNUMBER(SEARCH(Лист2!$B$4,D:D)),MAX($C$3:OFFSET(C3546,-1,0))+1,0)</f>
        <v>0</v>
      </c>
      <c r="E3546" s="9" t="str">
        <f t="shared" ca="1" si="67"/>
        <v/>
      </c>
      <c r="F3546" s="4" t="s">
        <v>12</v>
      </c>
      <c r="G3546" s="2">
        <f>IF(ISNUMBER(SEARCH(Лист2!$B$4,F:F)),1,0)</f>
        <v>0</v>
      </c>
      <c r="H3546" s="3">
        <f ca="1">IF(AND(I3546&lt;&gt;I3545,ISNUMBER(SEARCH(Лист2!$B$5,I:I)),G3546=1),MAX($H$3:OFFSET(H3546,-1,0))+1,0)</f>
        <v>0</v>
      </c>
      <c r="I3546" s="3" t="s">
        <v>277</v>
      </c>
      <c r="K3546" s="2">
        <f>IF(ISNUMBER(SEARCH(Лист2!$B$4,F:F)),1,0)</f>
        <v>0</v>
      </c>
      <c r="L3546" s="14">
        <f>IF(ISNUMBER(SEARCH(Лист2!$B$5,I:I)),1,0)+K3546</f>
        <v>0</v>
      </c>
      <c r="M3546" s="3">
        <f ca="1">IF(AND(N3546&lt;&gt;N3545,ISNUMBER(SEARCH(Лист2!$B$6,N:N)),L3546=2),MAX($M$3:OFFSET(M3546,-1,0))+1,0)</f>
        <v>0</v>
      </c>
      <c r="N3546" s="3" t="s">
        <v>2222</v>
      </c>
    </row>
    <row r="3547" spans="1:14" x14ac:dyDescent="0.25">
      <c r="A3547" s="1" t="s">
        <v>12349</v>
      </c>
      <c r="B3547" s="3" t="s">
        <v>7171</v>
      </c>
      <c r="C3547" s="2">
        <f ca="1">IF(ISNUMBER(SEARCH(Лист2!$B$4,D:D)),MAX($C$3:OFFSET(C3547,-1,0))+1,0)</f>
        <v>0</v>
      </c>
      <c r="E3547" s="9" t="str">
        <f t="shared" ca="1" si="67"/>
        <v/>
      </c>
      <c r="F3547" s="4" t="s">
        <v>12</v>
      </c>
      <c r="G3547" s="2">
        <f>IF(ISNUMBER(SEARCH(Лист2!$B$4,F:F)),1,0)</f>
        <v>0</v>
      </c>
      <c r="H3547" s="3">
        <f ca="1">IF(AND(I3547&lt;&gt;I3546,ISNUMBER(SEARCH(Лист2!$B$5,I:I)),G3547=1),MAX($H$3:OFFSET(H3547,-1,0))+1,0)</f>
        <v>0</v>
      </c>
      <c r="I3547" s="3" t="s">
        <v>277</v>
      </c>
      <c r="K3547" s="2">
        <f>IF(ISNUMBER(SEARCH(Лист2!$B$4,F:F)),1,0)</f>
        <v>0</v>
      </c>
      <c r="L3547" s="14">
        <f>IF(ISNUMBER(SEARCH(Лист2!$B$5,I:I)),1,0)+K3547</f>
        <v>0</v>
      </c>
      <c r="M3547" s="3">
        <f ca="1">IF(AND(N3547&lt;&gt;N3546,ISNUMBER(SEARCH(Лист2!$B$6,N:N)),L3547=2),MAX($M$3:OFFSET(M3547,-1,0))+1,0)</f>
        <v>0</v>
      </c>
      <c r="N3547" s="3" t="s">
        <v>1385</v>
      </c>
    </row>
    <row r="3548" spans="1:14" x14ac:dyDescent="0.25">
      <c r="A3548" s="1" t="s">
        <v>12350</v>
      </c>
      <c r="B3548" s="3" t="s">
        <v>7172</v>
      </c>
      <c r="C3548" s="2">
        <f ca="1">IF(ISNUMBER(SEARCH(Лист2!$B$4,D:D)),MAX($C$3:OFFSET(C3548,-1,0))+1,0)</f>
        <v>0</v>
      </c>
      <c r="E3548" s="9" t="str">
        <f t="shared" ca="1" si="67"/>
        <v/>
      </c>
      <c r="F3548" s="4" t="s">
        <v>12</v>
      </c>
      <c r="G3548" s="2">
        <f>IF(ISNUMBER(SEARCH(Лист2!$B$4,F:F)),1,0)</f>
        <v>0</v>
      </c>
      <c r="H3548" s="3">
        <f ca="1">IF(AND(I3548&lt;&gt;I3547,ISNUMBER(SEARCH(Лист2!$B$5,I:I)),G3548=1),MAX($H$3:OFFSET(H3548,-1,0))+1,0)</f>
        <v>0</v>
      </c>
      <c r="I3548" s="3" t="s">
        <v>277</v>
      </c>
      <c r="K3548" s="2">
        <f>IF(ISNUMBER(SEARCH(Лист2!$B$4,F:F)),1,0)</f>
        <v>0</v>
      </c>
      <c r="L3548" s="14">
        <f>IF(ISNUMBER(SEARCH(Лист2!$B$5,I:I)),1,0)+K3548</f>
        <v>0</v>
      </c>
      <c r="M3548" s="3">
        <f ca="1">IF(AND(N3548&lt;&gt;N3547,ISNUMBER(SEARCH(Лист2!$B$6,N:N)),L3548=2),MAX($M$3:OFFSET(M3548,-1,0))+1,0)</f>
        <v>0</v>
      </c>
      <c r="N3548" s="3" t="s">
        <v>602</v>
      </c>
    </row>
    <row r="3549" spans="1:14" x14ac:dyDescent="0.25">
      <c r="A3549" s="1" t="s">
        <v>12351</v>
      </c>
      <c r="B3549" s="3" t="s">
        <v>7173</v>
      </c>
      <c r="C3549" s="2">
        <f ca="1">IF(ISNUMBER(SEARCH(Лист2!$B$4,D:D)),MAX($C$3:OFFSET(C3549,-1,0))+1,0)</f>
        <v>0</v>
      </c>
      <c r="E3549" s="9" t="str">
        <f t="shared" ca="1" si="67"/>
        <v/>
      </c>
      <c r="F3549" s="4" t="s">
        <v>12</v>
      </c>
      <c r="G3549" s="2">
        <f>IF(ISNUMBER(SEARCH(Лист2!$B$4,F:F)),1,0)</f>
        <v>0</v>
      </c>
      <c r="H3549" s="3">
        <f ca="1">IF(AND(I3549&lt;&gt;I3548,ISNUMBER(SEARCH(Лист2!$B$5,I:I)),G3549=1),MAX($H$3:OFFSET(H3549,-1,0))+1,0)</f>
        <v>0</v>
      </c>
      <c r="I3549" s="3" t="s">
        <v>277</v>
      </c>
      <c r="K3549" s="2">
        <f>IF(ISNUMBER(SEARCH(Лист2!$B$4,F:F)),1,0)</f>
        <v>0</v>
      </c>
      <c r="L3549" s="14">
        <f>IF(ISNUMBER(SEARCH(Лист2!$B$5,I:I)),1,0)+K3549</f>
        <v>0</v>
      </c>
      <c r="M3549" s="3">
        <f ca="1">IF(AND(N3549&lt;&gt;N3548,ISNUMBER(SEARCH(Лист2!$B$6,N:N)),L3549=2),MAX($M$3:OFFSET(M3549,-1,0))+1,0)</f>
        <v>0</v>
      </c>
      <c r="N3549" s="3" t="s">
        <v>2223</v>
      </c>
    </row>
    <row r="3550" spans="1:14" x14ac:dyDescent="0.25">
      <c r="A3550" s="1" t="s">
        <v>12352</v>
      </c>
      <c r="B3550" s="3" t="s">
        <v>7174</v>
      </c>
      <c r="C3550" s="2">
        <f ca="1">IF(ISNUMBER(SEARCH(Лист2!$B$4,D:D)),MAX($C$3:OFFSET(C3550,-1,0))+1,0)</f>
        <v>0</v>
      </c>
      <c r="E3550" s="9" t="str">
        <f t="shared" ca="1" si="67"/>
        <v/>
      </c>
      <c r="F3550" s="4" t="s">
        <v>12</v>
      </c>
      <c r="G3550" s="2">
        <f>IF(ISNUMBER(SEARCH(Лист2!$B$4,F:F)),1,0)</f>
        <v>0</v>
      </c>
      <c r="H3550" s="3">
        <f ca="1">IF(AND(I3550&lt;&gt;I3549,ISNUMBER(SEARCH(Лист2!$B$5,I:I)),G3550=1),MAX($H$3:OFFSET(H3550,-1,0))+1,0)</f>
        <v>0</v>
      </c>
      <c r="I3550" s="3" t="s">
        <v>277</v>
      </c>
      <c r="K3550" s="2">
        <f>IF(ISNUMBER(SEARCH(Лист2!$B$4,F:F)),1,0)</f>
        <v>0</v>
      </c>
      <c r="L3550" s="14">
        <f>IF(ISNUMBER(SEARCH(Лист2!$B$5,I:I)),1,0)+K3550</f>
        <v>0</v>
      </c>
      <c r="M3550" s="3">
        <f ca="1">IF(AND(N3550&lt;&gt;N3549,ISNUMBER(SEARCH(Лист2!$B$6,N:N)),L3550=2),MAX($M$3:OFFSET(M3550,-1,0))+1,0)</f>
        <v>0</v>
      </c>
      <c r="N3550" s="3" t="s">
        <v>2224</v>
      </c>
    </row>
    <row r="3551" spans="1:14" x14ac:dyDescent="0.25">
      <c r="A3551" s="1" t="s">
        <v>12353</v>
      </c>
      <c r="B3551" s="3" t="s">
        <v>7175</v>
      </c>
      <c r="C3551" s="2">
        <f ca="1">IF(ISNUMBER(SEARCH(Лист2!$B$4,D:D)),MAX($C$3:OFFSET(C3551,-1,0))+1,0)</f>
        <v>0</v>
      </c>
      <c r="E3551" s="9" t="str">
        <f t="shared" ca="1" si="67"/>
        <v/>
      </c>
      <c r="F3551" s="4" t="s">
        <v>12</v>
      </c>
      <c r="G3551" s="2">
        <f>IF(ISNUMBER(SEARCH(Лист2!$B$4,F:F)),1,0)</f>
        <v>0</v>
      </c>
      <c r="H3551" s="3">
        <f ca="1">IF(AND(I3551&lt;&gt;I3550,ISNUMBER(SEARCH(Лист2!$B$5,I:I)),G3551=1),MAX($H$3:OFFSET(H3551,-1,0))+1,0)</f>
        <v>0</v>
      </c>
      <c r="I3551" s="3" t="s">
        <v>277</v>
      </c>
      <c r="K3551" s="2">
        <f>IF(ISNUMBER(SEARCH(Лист2!$B$4,F:F)),1,0)</f>
        <v>0</v>
      </c>
      <c r="L3551" s="14">
        <f>IF(ISNUMBER(SEARCH(Лист2!$B$5,I:I)),1,0)+K3551</f>
        <v>0</v>
      </c>
      <c r="M3551" s="3">
        <f ca="1">IF(AND(N3551&lt;&gt;N3550,ISNUMBER(SEARCH(Лист2!$B$6,N:N)),L3551=2),MAX($M$3:OFFSET(M3551,-1,0))+1,0)</f>
        <v>0</v>
      </c>
      <c r="N3551" s="3" t="s">
        <v>2225</v>
      </c>
    </row>
    <row r="3552" spans="1:14" x14ac:dyDescent="0.25">
      <c r="A3552" s="1" t="s">
        <v>12354</v>
      </c>
      <c r="B3552" s="3" t="s">
        <v>7176</v>
      </c>
      <c r="C3552" s="2">
        <f ca="1">IF(ISNUMBER(SEARCH(Лист2!$B$4,D:D)),MAX($C$3:OFFSET(C3552,-1,0))+1,0)</f>
        <v>0</v>
      </c>
      <c r="E3552" s="9" t="str">
        <f t="shared" ca="1" si="67"/>
        <v/>
      </c>
      <c r="F3552" s="4" t="s">
        <v>12</v>
      </c>
      <c r="G3552" s="2">
        <f>IF(ISNUMBER(SEARCH(Лист2!$B$4,F:F)),1,0)</f>
        <v>0</v>
      </c>
      <c r="H3552" s="3">
        <f ca="1">IF(AND(I3552&lt;&gt;I3551,ISNUMBER(SEARCH(Лист2!$B$5,I:I)),G3552=1),MAX($H$3:OFFSET(H3552,-1,0))+1,0)</f>
        <v>0</v>
      </c>
      <c r="I3552" s="3" t="s">
        <v>277</v>
      </c>
      <c r="K3552" s="2">
        <f>IF(ISNUMBER(SEARCH(Лист2!$B$4,F:F)),1,0)</f>
        <v>0</v>
      </c>
      <c r="L3552" s="14">
        <f>IF(ISNUMBER(SEARCH(Лист2!$B$5,I:I)),1,0)+K3552</f>
        <v>0</v>
      </c>
      <c r="M3552" s="3">
        <f ca="1">IF(AND(N3552&lt;&gt;N3551,ISNUMBER(SEARCH(Лист2!$B$6,N:N)),L3552=2),MAX($M$3:OFFSET(M3552,-1,0))+1,0)</f>
        <v>0</v>
      </c>
      <c r="N3552" s="3" t="s">
        <v>2226</v>
      </c>
    </row>
    <row r="3553" spans="1:14" x14ac:dyDescent="0.25">
      <c r="A3553" s="1" t="s">
        <v>12355</v>
      </c>
      <c r="B3553" s="3" t="s">
        <v>7177</v>
      </c>
      <c r="C3553" s="2">
        <f ca="1">IF(ISNUMBER(SEARCH(Лист2!$B$4,D:D)),MAX($C$3:OFFSET(C3553,-1,0))+1,0)</f>
        <v>0</v>
      </c>
      <c r="E3553" s="9" t="str">
        <f t="shared" ca="1" si="67"/>
        <v/>
      </c>
      <c r="F3553" s="4" t="s">
        <v>12</v>
      </c>
      <c r="G3553" s="2">
        <f>IF(ISNUMBER(SEARCH(Лист2!$B$4,F:F)),1,0)</f>
        <v>0</v>
      </c>
      <c r="H3553" s="3">
        <f ca="1">IF(AND(I3553&lt;&gt;I3552,ISNUMBER(SEARCH(Лист2!$B$5,I:I)),G3553=1),MAX($H$3:OFFSET(H3553,-1,0))+1,0)</f>
        <v>0</v>
      </c>
      <c r="I3553" s="3" t="s">
        <v>277</v>
      </c>
      <c r="K3553" s="2">
        <f>IF(ISNUMBER(SEARCH(Лист2!$B$4,F:F)),1,0)</f>
        <v>0</v>
      </c>
      <c r="L3553" s="14">
        <f>IF(ISNUMBER(SEARCH(Лист2!$B$5,I:I)),1,0)+K3553</f>
        <v>0</v>
      </c>
      <c r="M3553" s="3">
        <f ca="1">IF(AND(N3553&lt;&gt;N3552,ISNUMBER(SEARCH(Лист2!$B$6,N:N)),L3553=2),MAX($M$3:OFFSET(M3553,-1,0))+1,0)</f>
        <v>0</v>
      </c>
      <c r="N3553" s="3" t="s">
        <v>2246</v>
      </c>
    </row>
    <row r="3554" spans="1:14" x14ac:dyDescent="0.25">
      <c r="A3554" s="1" t="s">
        <v>12356</v>
      </c>
      <c r="B3554" s="3" t="s">
        <v>7178</v>
      </c>
      <c r="C3554" s="2">
        <f ca="1">IF(ISNUMBER(SEARCH(Лист2!$B$4,D:D)),MAX($C$3:OFFSET(C3554,-1,0))+1,0)</f>
        <v>0</v>
      </c>
      <c r="E3554" s="9" t="str">
        <f t="shared" ca="1" si="67"/>
        <v/>
      </c>
      <c r="F3554" s="4" t="s">
        <v>12</v>
      </c>
      <c r="G3554" s="2">
        <f>IF(ISNUMBER(SEARCH(Лист2!$B$4,F:F)),1,0)</f>
        <v>0</v>
      </c>
      <c r="H3554" s="3">
        <f ca="1">IF(AND(I3554&lt;&gt;I3553,ISNUMBER(SEARCH(Лист2!$B$5,I:I)),G3554=1),MAX($H$3:OFFSET(H3554,-1,0))+1,0)</f>
        <v>0</v>
      </c>
      <c r="I3554" s="3" t="s">
        <v>277</v>
      </c>
      <c r="K3554" s="2">
        <f>IF(ISNUMBER(SEARCH(Лист2!$B$4,F:F)),1,0)</f>
        <v>0</v>
      </c>
      <c r="L3554" s="14">
        <f>IF(ISNUMBER(SEARCH(Лист2!$B$5,I:I)),1,0)+K3554</f>
        <v>0</v>
      </c>
      <c r="M3554" s="3">
        <f ca="1">IF(AND(N3554&lt;&gt;N3553,ISNUMBER(SEARCH(Лист2!$B$6,N:N)),L3554=2),MAX($M$3:OFFSET(M3554,-1,0))+1,0)</f>
        <v>0</v>
      </c>
      <c r="N3554" s="3" t="s">
        <v>2247</v>
      </c>
    </row>
    <row r="3555" spans="1:14" x14ac:dyDescent="0.25">
      <c r="A3555" s="1" t="s">
        <v>12357</v>
      </c>
      <c r="B3555" s="3" t="s">
        <v>7179</v>
      </c>
      <c r="C3555" s="2">
        <f ca="1">IF(ISNUMBER(SEARCH(Лист2!$B$4,D:D)),MAX($C$3:OFFSET(C3555,-1,0))+1,0)</f>
        <v>0</v>
      </c>
      <c r="E3555" s="9" t="str">
        <f t="shared" ca="1" si="67"/>
        <v/>
      </c>
      <c r="F3555" s="4" t="s">
        <v>12</v>
      </c>
      <c r="G3555" s="2">
        <f>IF(ISNUMBER(SEARCH(Лист2!$B$4,F:F)),1,0)</f>
        <v>0</v>
      </c>
      <c r="H3555" s="3">
        <f ca="1">IF(AND(I3555&lt;&gt;I3554,ISNUMBER(SEARCH(Лист2!$B$5,I:I)),G3555=1),MAX($H$3:OFFSET(H3555,-1,0))+1,0)</f>
        <v>0</v>
      </c>
      <c r="I3555" s="3" t="s">
        <v>277</v>
      </c>
      <c r="K3555" s="2">
        <f>IF(ISNUMBER(SEARCH(Лист2!$B$4,F:F)),1,0)</f>
        <v>0</v>
      </c>
      <c r="L3555" s="14">
        <f>IF(ISNUMBER(SEARCH(Лист2!$B$5,I:I)),1,0)+K3555</f>
        <v>0</v>
      </c>
      <c r="M3555" s="3">
        <f ca="1">IF(AND(N3555&lt;&gt;N3554,ISNUMBER(SEARCH(Лист2!$B$6,N:N)),L3555=2),MAX($M$3:OFFSET(M3555,-1,0))+1,0)</f>
        <v>0</v>
      </c>
      <c r="N3555" s="3" t="s">
        <v>2245</v>
      </c>
    </row>
    <row r="3556" spans="1:14" x14ac:dyDescent="0.25">
      <c r="A3556" s="1" t="s">
        <v>12358</v>
      </c>
      <c r="B3556" s="3" t="s">
        <v>7180</v>
      </c>
      <c r="C3556" s="2">
        <f ca="1">IF(ISNUMBER(SEARCH(Лист2!$B$4,D:D)),MAX($C$3:OFFSET(C3556,-1,0))+1,0)</f>
        <v>0</v>
      </c>
      <c r="E3556" s="9" t="str">
        <f t="shared" ca="1" si="67"/>
        <v/>
      </c>
      <c r="F3556" s="4" t="s">
        <v>13</v>
      </c>
      <c r="G3556" s="2">
        <f>IF(ISNUMBER(SEARCH(Лист2!$B$4,F:F)),1,0)</f>
        <v>0</v>
      </c>
      <c r="H3556" s="3">
        <f ca="1">IF(AND(I3556&lt;&gt;I3555,ISNUMBER(SEARCH(Лист2!$B$5,I:I)),G3556=1),MAX($H$3:OFFSET(H3556,-1,0))+1,0)</f>
        <v>0</v>
      </c>
      <c r="I3556" s="3" t="s">
        <v>304</v>
      </c>
      <c r="K3556" s="2">
        <f>IF(ISNUMBER(SEARCH(Лист2!$B$4,F:F)),1,0)</f>
        <v>0</v>
      </c>
      <c r="L3556" s="14">
        <f>IF(ISNUMBER(SEARCH(Лист2!$B$5,I:I)),1,0)+K3556</f>
        <v>0</v>
      </c>
      <c r="M3556" s="3">
        <f ca="1">IF(AND(N3556&lt;&gt;N3555,ISNUMBER(SEARCH(Лист2!$B$6,N:N)),L3556=2),MAX($M$3:OFFSET(M3556,-1,0))+1,0)</f>
        <v>0</v>
      </c>
      <c r="N3556" s="3" t="s">
        <v>2248</v>
      </c>
    </row>
    <row r="3557" spans="1:14" x14ac:dyDescent="0.25">
      <c r="A3557" s="1" t="s">
        <v>12359</v>
      </c>
      <c r="B3557" s="3" t="s">
        <v>7181</v>
      </c>
      <c r="C3557" s="2">
        <f ca="1">IF(ISNUMBER(SEARCH(Лист2!$B$4,D:D)),MAX($C$3:OFFSET(C3557,-1,0))+1,0)</f>
        <v>0</v>
      </c>
      <c r="E3557" s="9" t="str">
        <f t="shared" ca="1" si="67"/>
        <v/>
      </c>
      <c r="F3557" s="4" t="s">
        <v>13</v>
      </c>
      <c r="G3557" s="2">
        <f>IF(ISNUMBER(SEARCH(Лист2!$B$4,F:F)),1,0)</f>
        <v>0</v>
      </c>
      <c r="H3557" s="3">
        <f ca="1">IF(AND(I3557&lt;&gt;I3556,ISNUMBER(SEARCH(Лист2!$B$5,I:I)),G3557=1),MAX($H$3:OFFSET(H3557,-1,0))+1,0)</f>
        <v>0</v>
      </c>
      <c r="I3557" s="3" t="s">
        <v>304</v>
      </c>
      <c r="K3557" s="2">
        <f>IF(ISNUMBER(SEARCH(Лист2!$B$4,F:F)),1,0)</f>
        <v>0</v>
      </c>
      <c r="L3557" s="14">
        <f>IF(ISNUMBER(SEARCH(Лист2!$B$5,I:I)),1,0)+K3557</f>
        <v>0</v>
      </c>
      <c r="M3557" s="3">
        <f ca="1">IF(AND(N3557&lt;&gt;N3556,ISNUMBER(SEARCH(Лист2!$B$6,N:N)),L3557=2),MAX($M$3:OFFSET(M3557,-1,0))+1,0)</f>
        <v>0</v>
      </c>
      <c r="N3557" s="3" t="s">
        <v>2249</v>
      </c>
    </row>
    <row r="3558" spans="1:14" x14ac:dyDescent="0.25">
      <c r="A3558" s="1" t="s">
        <v>12360</v>
      </c>
      <c r="B3558" s="3" t="s">
        <v>7182</v>
      </c>
      <c r="C3558" s="2">
        <f ca="1">IF(ISNUMBER(SEARCH(Лист2!$B$4,D:D)),MAX($C$3:OFFSET(C3558,-1,0))+1,0)</f>
        <v>0</v>
      </c>
      <c r="E3558" s="9" t="str">
        <f t="shared" ca="1" si="67"/>
        <v/>
      </c>
      <c r="F3558" s="4" t="s">
        <v>13</v>
      </c>
      <c r="G3558" s="2">
        <f>IF(ISNUMBER(SEARCH(Лист2!$B$4,F:F)),1,0)</f>
        <v>0</v>
      </c>
      <c r="H3558" s="3">
        <f ca="1">IF(AND(I3558&lt;&gt;I3557,ISNUMBER(SEARCH(Лист2!$B$5,I:I)),G3558=1),MAX($H$3:OFFSET(H3558,-1,0))+1,0)</f>
        <v>0</v>
      </c>
      <c r="I3558" s="3" t="s">
        <v>304</v>
      </c>
      <c r="K3558" s="2">
        <f>IF(ISNUMBER(SEARCH(Лист2!$B$4,F:F)),1,0)</f>
        <v>0</v>
      </c>
      <c r="L3558" s="14">
        <f>IF(ISNUMBER(SEARCH(Лист2!$B$5,I:I)),1,0)+K3558</f>
        <v>0</v>
      </c>
      <c r="M3558" s="3">
        <f ca="1">IF(AND(N3558&lt;&gt;N3557,ISNUMBER(SEARCH(Лист2!$B$6,N:N)),L3558=2),MAX($M$3:OFFSET(M3558,-1,0))+1,0)</f>
        <v>0</v>
      </c>
      <c r="N3558" s="3" t="s">
        <v>2250</v>
      </c>
    </row>
    <row r="3559" spans="1:14" x14ac:dyDescent="0.25">
      <c r="A3559" s="1" t="s">
        <v>12361</v>
      </c>
      <c r="B3559" s="3" t="s">
        <v>7183</v>
      </c>
      <c r="C3559" s="2">
        <f ca="1">IF(ISNUMBER(SEARCH(Лист2!$B$4,D:D)),MAX($C$3:OFFSET(C3559,-1,0))+1,0)</f>
        <v>0</v>
      </c>
      <c r="E3559" s="9" t="str">
        <f t="shared" ca="1" si="67"/>
        <v/>
      </c>
      <c r="F3559" s="4" t="s">
        <v>13</v>
      </c>
      <c r="G3559" s="2">
        <f>IF(ISNUMBER(SEARCH(Лист2!$B$4,F:F)),1,0)</f>
        <v>0</v>
      </c>
      <c r="H3559" s="3">
        <f ca="1">IF(AND(I3559&lt;&gt;I3558,ISNUMBER(SEARCH(Лист2!$B$5,I:I)),G3559=1),MAX($H$3:OFFSET(H3559,-1,0))+1,0)</f>
        <v>0</v>
      </c>
      <c r="I3559" s="3" t="s">
        <v>304</v>
      </c>
      <c r="K3559" s="2">
        <f>IF(ISNUMBER(SEARCH(Лист2!$B$4,F:F)),1,0)</f>
        <v>0</v>
      </c>
      <c r="L3559" s="14">
        <f>IF(ISNUMBER(SEARCH(Лист2!$B$5,I:I)),1,0)+K3559</f>
        <v>0</v>
      </c>
      <c r="M3559" s="3">
        <f ca="1">IF(AND(N3559&lt;&gt;N3558,ISNUMBER(SEARCH(Лист2!$B$6,N:N)),L3559=2),MAX($M$3:OFFSET(M3559,-1,0))+1,0)</f>
        <v>0</v>
      </c>
      <c r="N3559" s="3" t="s">
        <v>2251</v>
      </c>
    </row>
    <row r="3560" spans="1:14" x14ac:dyDescent="0.25">
      <c r="A3560" s="1" t="s">
        <v>12361</v>
      </c>
      <c r="B3560" s="3" t="s">
        <v>7184</v>
      </c>
      <c r="C3560" s="2">
        <f ca="1">IF(ISNUMBER(SEARCH(Лист2!$B$4,D:D)),MAX($C$3:OFFSET(C3560,-1,0))+1,0)</f>
        <v>0</v>
      </c>
      <c r="E3560" s="9" t="str">
        <f t="shared" ca="1" si="67"/>
        <v/>
      </c>
      <c r="F3560" s="4" t="s">
        <v>13</v>
      </c>
      <c r="G3560" s="2">
        <f>IF(ISNUMBER(SEARCH(Лист2!$B$4,F:F)),1,0)</f>
        <v>0</v>
      </c>
      <c r="H3560" s="3">
        <f ca="1">IF(AND(I3560&lt;&gt;I3559,ISNUMBER(SEARCH(Лист2!$B$5,I:I)),G3560=1),MAX($H$3:OFFSET(H3560,-1,0))+1,0)</f>
        <v>0</v>
      </c>
      <c r="I3560" s="3" t="s">
        <v>304</v>
      </c>
      <c r="K3560" s="2">
        <f>IF(ISNUMBER(SEARCH(Лист2!$B$4,F:F)),1,0)</f>
        <v>0</v>
      </c>
      <c r="L3560" s="14">
        <f>IF(ISNUMBER(SEARCH(Лист2!$B$5,I:I)),1,0)+K3560</f>
        <v>0</v>
      </c>
      <c r="M3560" s="3">
        <f ca="1">IF(AND(N3560&lt;&gt;N3559,ISNUMBER(SEARCH(Лист2!$B$6,N:N)),L3560=2),MAX($M$3:OFFSET(M3560,-1,0))+1,0)</f>
        <v>0</v>
      </c>
      <c r="N3560" s="3" t="s">
        <v>2251</v>
      </c>
    </row>
    <row r="3561" spans="1:14" x14ac:dyDescent="0.25">
      <c r="A3561" s="1" t="s">
        <v>12362</v>
      </c>
      <c r="B3561" s="3" t="s">
        <v>7185</v>
      </c>
      <c r="C3561" s="2">
        <f ca="1">IF(ISNUMBER(SEARCH(Лист2!$B$4,D:D)),MAX($C$3:OFFSET(C3561,-1,0))+1,0)</f>
        <v>0</v>
      </c>
      <c r="E3561" s="9" t="str">
        <f t="shared" ca="1" si="67"/>
        <v/>
      </c>
      <c r="F3561" s="4" t="s">
        <v>13</v>
      </c>
      <c r="G3561" s="2">
        <f>IF(ISNUMBER(SEARCH(Лист2!$B$4,F:F)),1,0)</f>
        <v>0</v>
      </c>
      <c r="H3561" s="3">
        <f ca="1">IF(AND(I3561&lt;&gt;I3560,ISNUMBER(SEARCH(Лист2!$B$5,I:I)),G3561=1),MAX($H$3:OFFSET(H3561,-1,0))+1,0)</f>
        <v>0</v>
      </c>
      <c r="I3561" s="3" t="s">
        <v>304</v>
      </c>
      <c r="K3561" s="2">
        <f>IF(ISNUMBER(SEARCH(Лист2!$B$4,F:F)),1,0)</f>
        <v>0</v>
      </c>
      <c r="L3561" s="14">
        <f>IF(ISNUMBER(SEARCH(Лист2!$B$5,I:I)),1,0)+K3561</f>
        <v>0</v>
      </c>
      <c r="M3561" s="3">
        <f ca="1">IF(AND(N3561&lt;&gt;N3560,ISNUMBER(SEARCH(Лист2!$B$6,N:N)),L3561=2),MAX($M$3:OFFSET(M3561,-1,0))+1,0)</f>
        <v>0</v>
      </c>
      <c r="N3561" s="3" t="s">
        <v>2252</v>
      </c>
    </row>
    <row r="3562" spans="1:14" x14ac:dyDescent="0.25">
      <c r="A3562" s="1" t="s">
        <v>12363</v>
      </c>
      <c r="B3562" s="3" t="s">
        <v>7186</v>
      </c>
      <c r="C3562" s="2">
        <f ca="1">IF(ISNUMBER(SEARCH(Лист2!$B$4,D:D)),MAX($C$3:OFFSET(C3562,-1,0))+1,0)</f>
        <v>0</v>
      </c>
      <c r="E3562" s="9" t="str">
        <f t="shared" ca="1" si="67"/>
        <v/>
      </c>
      <c r="F3562" s="4" t="s">
        <v>13</v>
      </c>
      <c r="G3562" s="2">
        <f>IF(ISNUMBER(SEARCH(Лист2!$B$4,F:F)),1,0)</f>
        <v>0</v>
      </c>
      <c r="H3562" s="3">
        <f ca="1">IF(AND(I3562&lt;&gt;I3561,ISNUMBER(SEARCH(Лист2!$B$5,I:I)),G3562=1),MAX($H$3:OFFSET(H3562,-1,0))+1,0)</f>
        <v>0</v>
      </c>
      <c r="I3562" s="3" t="s">
        <v>304</v>
      </c>
      <c r="K3562" s="2">
        <f>IF(ISNUMBER(SEARCH(Лист2!$B$4,F:F)),1,0)</f>
        <v>0</v>
      </c>
      <c r="L3562" s="14">
        <f>IF(ISNUMBER(SEARCH(Лист2!$B$5,I:I)),1,0)+K3562</f>
        <v>0</v>
      </c>
      <c r="M3562" s="3">
        <f ca="1">IF(AND(N3562&lt;&gt;N3561,ISNUMBER(SEARCH(Лист2!$B$6,N:N)),L3562=2),MAX($M$3:OFFSET(M3562,-1,0))+1,0)</f>
        <v>0</v>
      </c>
      <c r="N3562" s="3" t="s">
        <v>2253</v>
      </c>
    </row>
    <row r="3563" spans="1:14" x14ac:dyDescent="0.25">
      <c r="A3563" s="1" t="s">
        <v>12364</v>
      </c>
      <c r="B3563" s="3" t="s">
        <v>7187</v>
      </c>
      <c r="C3563" s="2">
        <f ca="1">IF(ISNUMBER(SEARCH(Лист2!$B$4,D:D)),MAX($C$3:OFFSET(C3563,-1,0))+1,0)</f>
        <v>0</v>
      </c>
      <c r="E3563" s="9" t="str">
        <f t="shared" ca="1" si="67"/>
        <v/>
      </c>
      <c r="F3563" s="4" t="s">
        <v>13</v>
      </c>
      <c r="G3563" s="2">
        <f>IF(ISNUMBER(SEARCH(Лист2!$B$4,F:F)),1,0)</f>
        <v>0</v>
      </c>
      <c r="H3563" s="3">
        <f ca="1">IF(AND(I3563&lt;&gt;I3562,ISNUMBER(SEARCH(Лист2!$B$5,I:I)),G3563=1),MAX($H$3:OFFSET(H3563,-1,0))+1,0)</f>
        <v>0</v>
      </c>
      <c r="I3563" s="3" t="s">
        <v>304</v>
      </c>
      <c r="K3563" s="2">
        <f>IF(ISNUMBER(SEARCH(Лист2!$B$4,F:F)),1,0)</f>
        <v>0</v>
      </c>
      <c r="L3563" s="14">
        <f>IF(ISNUMBER(SEARCH(Лист2!$B$5,I:I)),1,0)+K3563</f>
        <v>0</v>
      </c>
      <c r="M3563" s="3">
        <f ca="1">IF(AND(N3563&lt;&gt;N3562,ISNUMBER(SEARCH(Лист2!$B$6,N:N)),L3563=2),MAX($M$3:OFFSET(M3563,-1,0))+1,0)</f>
        <v>0</v>
      </c>
      <c r="N3563" s="3" t="s">
        <v>602</v>
      </c>
    </row>
    <row r="3564" spans="1:14" x14ac:dyDescent="0.25">
      <c r="A3564" s="1" t="s">
        <v>12365</v>
      </c>
      <c r="B3564" s="3" t="s">
        <v>7188</v>
      </c>
      <c r="C3564" s="2">
        <f ca="1">IF(ISNUMBER(SEARCH(Лист2!$B$4,D:D)),MAX($C$3:OFFSET(C3564,-1,0))+1,0)</f>
        <v>0</v>
      </c>
      <c r="E3564" s="9" t="str">
        <f t="shared" ca="1" si="67"/>
        <v/>
      </c>
      <c r="F3564" s="4" t="s">
        <v>13</v>
      </c>
      <c r="G3564" s="2">
        <f>IF(ISNUMBER(SEARCH(Лист2!$B$4,F:F)),1,0)</f>
        <v>0</v>
      </c>
      <c r="H3564" s="3">
        <f ca="1">IF(AND(I3564&lt;&gt;I3563,ISNUMBER(SEARCH(Лист2!$B$5,I:I)),G3564=1),MAX($H$3:OFFSET(H3564,-1,0))+1,0)</f>
        <v>0</v>
      </c>
      <c r="I3564" s="3" t="s">
        <v>305</v>
      </c>
      <c r="K3564" s="2">
        <f>IF(ISNUMBER(SEARCH(Лист2!$B$4,F:F)),1,0)</f>
        <v>0</v>
      </c>
      <c r="L3564" s="14">
        <f>IF(ISNUMBER(SEARCH(Лист2!$B$5,I:I)),1,0)+K3564</f>
        <v>0</v>
      </c>
      <c r="M3564" s="3">
        <f ca="1">IF(AND(N3564&lt;&gt;N3563,ISNUMBER(SEARCH(Лист2!$B$6,N:N)),L3564=2),MAX($M$3:OFFSET(M3564,-1,0))+1,0)</f>
        <v>0</v>
      </c>
      <c r="N3564" s="3" t="s">
        <v>2254</v>
      </c>
    </row>
    <row r="3565" spans="1:14" x14ac:dyDescent="0.25">
      <c r="A3565" s="1" t="s">
        <v>12366</v>
      </c>
      <c r="B3565" s="3" t="s">
        <v>7189</v>
      </c>
      <c r="C3565" s="2">
        <f ca="1">IF(ISNUMBER(SEARCH(Лист2!$B$4,D:D)),MAX($C$3:OFFSET(C3565,-1,0))+1,0)</f>
        <v>0</v>
      </c>
      <c r="E3565" s="9" t="str">
        <f t="shared" ca="1" si="67"/>
        <v/>
      </c>
      <c r="F3565" s="4" t="s">
        <v>13</v>
      </c>
      <c r="G3565" s="2">
        <f>IF(ISNUMBER(SEARCH(Лист2!$B$4,F:F)),1,0)</f>
        <v>0</v>
      </c>
      <c r="H3565" s="3">
        <f ca="1">IF(AND(I3565&lt;&gt;I3564,ISNUMBER(SEARCH(Лист2!$B$5,I:I)),G3565=1),MAX($H$3:OFFSET(H3565,-1,0))+1,0)</f>
        <v>0</v>
      </c>
      <c r="I3565" s="3" t="s">
        <v>305</v>
      </c>
      <c r="K3565" s="2">
        <f>IF(ISNUMBER(SEARCH(Лист2!$B$4,F:F)),1,0)</f>
        <v>0</v>
      </c>
      <c r="L3565" s="14">
        <f>IF(ISNUMBER(SEARCH(Лист2!$B$5,I:I)),1,0)+K3565</f>
        <v>0</v>
      </c>
      <c r="M3565" s="3">
        <f ca="1">IF(AND(N3565&lt;&gt;N3564,ISNUMBER(SEARCH(Лист2!$B$6,N:N)),L3565=2),MAX($M$3:OFFSET(M3565,-1,0))+1,0)</f>
        <v>0</v>
      </c>
      <c r="N3565" s="3" t="s">
        <v>2255</v>
      </c>
    </row>
    <row r="3566" spans="1:14" x14ac:dyDescent="0.25">
      <c r="A3566" s="1" t="s">
        <v>12367</v>
      </c>
      <c r="B3566" s="3" t="s">
        <v>7190</v>
      </c>
      <c r="C3566" s="2">
        <f ca="1">IF(ISNUMBER(SEARCH(Лист2!$B$4,D:D)),MAX($C$3:OFFSET(C3566,-1,0))+1,0)</f>
        <v>0</v>
      </c>
      <c r="E3566" s="9" t="str">
        <f t="shared" ca="1" si="67"/>
        <v/>
      </c>
      <c r="F3566" s="4" t="s">
        <v>13</v>
      </c>
      <c r="G3566" s="2">
        <f>IF(ISNUMBER(SEARCH(Лист2!$B$4,F:F)),1,0)</f>
        <v>0</v>
      </c>
      <c r="H3566" s="3">
        <f ca="1">IF(AND(I3566&lt;&gt;I3565,ISNUMBER(SEARCH(Лист2!$B$5,I:I)),G3566=1),MAX($H$3:OFFSET(H3566,-1,0))+1,0)</f>
        <v>0</v>
      </c>
      <c r="I3566" s="3" t="s">
        <v>305</v>
      </c>
      <c r="K3566" s="2">
        <f>IF(ISNUMBER(SEARCH(Лист2!$B$4,F:F)),1,0)</f>
        <v>0</v>
      </c>
      <c r="L3566" s="14">
        <f>IF(ISNUMBER(SEARCH(Лист2!$B$5,I:I)),1,0)+K3566</f>
        <v>0</v>
      </c>
      <c r="M3566" s="3">
        <f ca="1">IF(AND(N3566&lt;&gt;N3565,ISNUMBER(SEARCH(Лист2!$B$6,N:N)),L3566=2),MAX($M$3:OFFSET(M3566,-1,0))+1,0)</f>
        <v>0</v>
      </c>
      <c r="N3566" s="3" t="s">
        <v>2256</v>
      </c>
    </row>
    <row r="3567" spans="1:14" x14ac:dyDescent="0.25">
      <c r="A3567" s="1" t="s">
        <v>12368</v>
      </c>
      <c r="B3567" s="3" t="s">
        <v>7191</v>
      </c>
      <c r="C3567" s="2">
        <f ca="1">IF(ISNUMBER(SEARCH(Лист2!$B$4,D:D)),MAX($C$3:OFFSET(C3567,-1,0))+1,0)</f>
        <v>0</v>
      </c>
      <c r="E3567" s="9" t="str">
        <f t="shared" ca="1" si="67"/>
        <v/>
      </c>
      <c r="F3567" s="4" t="s">
        <v>13</v>
      </c>
      <c r="G3567" s="2">
        <f>IF(ISNUMBER(SEARCH(Лист2!$B$4,F:F)),1,0)</f>
        <v>0</v>
      </c>
      <c r="H3567" s="3">
        <f ca="1">IF(AND(I3567&lt;&gt;I3566,ISNUMBER(SEARCH(Лист2!$B$5,I:I)),G3567=1),MAX($H$3:OFFSET(H3567,-1,0))+1,0)</f>
        <v>0</v>
      </c>
      <c r="I3567" s="3" t="s">
        <v>305</v>
      </c>
      <c r="K3567" s="2">
        <f>IF(ISNUMBER(SEARCH(Лист2!$B$4,F:F)),1,0)</f>
        <v>0</v>
      </c>
      <c r="L3567" s="14">
        <f>IF(ISNUMBER(SEARCH(Лист2!$B$5,I:I)),1,0)+K3567</f>
        <v>0</v>
      </c>
      <c r="M3567" s="3">
        <f ca="1">IF(AND(N3567&lt;&gt;N3566,ISNUMBER(SEARCH(Лист2!$B$6,N:N)),L3567=2),MAX($M$3:OFFSET(M3567,-1,0))+1,0)</f>
        <v>0</v>
      </c>
      <c r="N3567" s="3" t="s">
        <v>2257</v>
      </c>
    </row>
    <row r="3568" spans="1:14" x14ac:dyDescent="0.25">
      <c r="A3568" s="1" t="s">
        <v>12369</v>
      </c>
      <c r="B3568" s="3" t="s">
        <v>7192</v>
      </c>
      <c r="C3568" s="2">
        <f ca="1">IF(ISNUMBER(SEARCH(Лист2!$B$4,D:D)),MAX($C$3:OFFSET(C3568,-1,0))+1,0)</f>
        <v>0</v>
      </c>
      <c r="E3568" s="9" t="str">
        <f t="shared" ca="1" si="67"/>
        <v/>
      </c>
      <c r="F3568" s="4" t="s">
        <v>13</v>
      </c>
      <c r="G3568" s="2">
        <f>IF(ISNUMBER(SEARCH(Лист2!$B$4,F:F)),1,0)</f>
        <v>0</v>
      </c>
      <c r="H3568" s="3">
        <f ca="1">IF(AND(I3568&lt;&gt;I3567,ISNUMBER(SEARCH(Лист2!$B$5,I:I)),G3568=1),MAX($H$3:OFFSET(H3568,-1,0))+1,0)</f>
        <v>0</v>
      </c>
      <c r="I3568" s="3" t="s">
        <v>305</v>
      </c>
      <c r="K3568" s="2">
        <f>IF(ISNUMBER(SEARCH(Лист2!$B$4,F:F)),1,0)</f>
        <v>0</v>
      </c>
      <c r="L3568" s="14">
        <f>IF(ISNUMBER(SEARCH(Лист2!$B$5,I:I)),1,0)+K3568</f>
        <v>0</v>
      </c>
      <c r="M3568" s="3">
        <f ca="1">IF(AND(N3568&lt;&gt;N3567,ISNUMBER(SEARCH(Лист2!$B$6,N:N)),L3568=2),MAX($M$3:OFFSET(M3568,-1,0))+1,0)</f>
        <v>0</v>
      </c>
      <c r="N3568" s="3" t="s">
        <v>2258</v>
      </c>
    </row>
    <row r="3569" spans="1:14" x14ac:dyDescent="0.25">
      <c r="A3569" s="1" t="s">
        <v>12370</v>
      </c>
      <c r="B3569" s="3" t="s">
        <v>7193</v>
      </c>
      <c r="C3569" s="2">
        <f ca="1">IF(ISNUMBER(SEARCH(Лист2!$B$4,D:D)),MAX($C$3:OFFSET(C3569,-1,0))+1,0)</f>
        <v>0</v>
      </c>
      <c r="E3569" s="9" t="str">
        <f t="shared" ca="1" si="67"/>
        <v/>
      </c>
      <c r="F3569" s="4" t="s">
        <v>13</v>
      </c>
      <c r="G3569" s="2">
        <f>IF(ISNUMBER(SEARCH(Лист2!$B$4,F:F)),1,0)</f>
        <v>0</v>
      </c>
      <c r="H3569" s="3">
        <f ca="1">IF(AND(I3569&lt;&gt;I3568,ISNUMBER(SEARCH(Лист2!$B$5,I:I)),G3569=1),MAX($H$3:OFFSET(H3569,-1,0))+1,0)</f>
        <v>0</v>
      </c>
      <c r="I3569" s="3" t="s">
        <v>305</v>
      </c>
      <c r="K3569" s="2">
        <f>IF(ISNUMBER(SEARCH(Лист2!$B$4,F:F)),1,0)</f>
        <v>0</v>
      </c>
      <c r="L3569" s="14">
        <f>IF(ISNUMBER(SEARCH(Лист2!$B$5,I:I)),1,0)+K3569</f>
        <v>0</v>
      </c>
      <c r="M3569" s="3">
        <f ca="1">IF(AND(N3569&lt;&gt;N3568,ISNUMBER(SEARCH(Лист2!$B$6,N:N)),L3569=2),MAX($M$3:OFFSET(M3569,-1,0))+1,0)</f>
        <v>0</v>
      </c>
      <c r="N3569" s="3" t="s">
        <v>2259</v>
      </c>
    </row>
    <row r="3570" spans="1:14" x14ac:dyDescent="0.25">
      <c r="A3570" s="1" t="s">
        <v>12371</v>
      </c>
      <c r="B3570" s="3" t="s">
        <v>7194</v>
      </c>
      <c r="C3570" s="2">
        <f ca="1">IF(ISNUMBER(SEARCH(Лист2!$B$4,D:D)),MAX($C$3:OFFSET(C3570,-1,0))+1,0)</f>
        <v>0</v>
      </c>
      <c r="E3570" s="9" t="str">
        <f t="shared" ca="1" si="67"/>
        <v/>
      </c>
      <c r="F3570" s="4" t="s">
        <v>13</v>
      </c>
      <c r="G3570" s="2">
        <f>IF(ISNUMBER(SEARCH(Лист2!$B$4,F:F)),1,0)</f>
        <v>0</v>
      </c>
      <c r="H3570" s="3">
        <f ca="1">IF(AND(I3570&lt;&gt;I3569,ISNUMBER(SEARCH(Лист2!$B$5,I:I)),G3570=1),MAX($H$3:OFFSET(H3570,-1,0))+1,0)</f>
        <v>0</v>
      </c>
      <c r="I3570" s="3" t="s">
        <v>305</v>
      </c>
      <c r="K3570" s="2">
        <f>IF(ISNUMBER(SEARCH(Лист2!$B$4,F:F)),1,0)</f>
        <v>0</v>
      </c>
      <c r="L3570" s="14">
        <f>IF(ISNUMBER(SEARCH(Лист2!$B$5,I:I)),1,0)+K3570</f>
        <v>0</v>
      </c>
      <c r="M3570" s="3">
        <f ca="1">IF(AND(N3570&lt;&gt;N3569,ISNUMBER(SEARCH(Лист2!$B$6,N:N)),L3570=2),MAX($M$3:OFFSET(M3570,-1,0))+1,0)</f>
        <v>0</v>
      </c>
      <c r="N3570" s="3" t="s">
        <v>2260</v>
      </c>
    </row>
    <row r="3571" spans="1:14" x14ac:dyDescent="0.25">
      <c r="A3571" s="1" t="s">
        <v>12372</v>
      </c>
      <c r="B3571" s="3" t="s">
        <v>7195</v>
      </c>
      <c r="C3571" s="2">
        <f ca="1">IF(ISNUMBER(SEARCH(Лист2!$B$4,D:D)),MAX($C$3:OFFSET(C3571,-1,0))+1,0)</f>
        <v>0</v>
      </c>
      <c r="E3571" s="9" t="str">
        <f t="shared" ca="1" si="67"/>
        <v/>
      </c>
      <c r="F3571" s="4" t="s">
        <v>13</v>
      </c>
      <c r="G3571" s="2">
        <f>IF(ISNUMBER(SEARCH(Лист2!$B$4,F:F)),1,0)</f>
        <v>0</v>
      </c>
      <c r="H3571" s="3">
        <f ca="1">IF(AND(I3571&lt;&gt;I3570,ISNUMBER(SEARCH(Лист2!$B$5,I:I)),G3571=1),MAX($H$3:OFFSET(H3571,-1,0))+1,0)</f>
        <v>0</v>
      </c>
      <c r="I3571" s="3" t="s">
        <v>305</v>
      </c>
      <c r="K3571" s="2">
        <f>IF(ISNUMBER(SEARCH(Лист2!$B$4,F:F)),1,0)</f>
        <v>0</v>
      </c>
      <c r="L3571" s="14">
        <f>IF(ISNUMBER(SEARCH(Лист2!$B$5,I:I)),1,0)+K3571</f>
        <v>0</v>
      </c>
      <c r="M3571" s="3">
        <f ca="1">IF(AND(N3571&lt;&gt;N3570,ISNUMBER(SEARCH(Лист2!$B$6,N:N)),L3571=2),MAX($M$3:OFFSET(M3571,-1,0))+1,0)</f>
        <v>0</v>
      </c>
      <c r="N3571" s="3" t="s">
        <v>2261</v>
      </c>
    </row>
    <row r="3572" spans="1:14" x14ac:dyDescent="0.25">
      <c r="A3572" s="1" t="s">
        <v>12373</v>
      </c>
      <c r="B3572" s="3" t="s">
        <v>7196</v>
      </c>
      <c r="C3572" s="2">
        <f ca="1">IF(ISNUMBER(SEARCH(Лист2!$B$4,D:D)),MAX($C$3:OFFSET(C3572,-1,0))+1,0)</f>
        <v>0</v>
      </c>
      <c r="E3572" s="9" t="str">
        <f t="shared" ca="1" si="67"/>
        <v/>
      </c>
      <c r="F3572" s="4" t="s">
        <v>13</v>
      </c>
      <c r="G3572" s="2">
        <f>IF(ISNUMBER(SEARCH(Лист2!$B$4,F:F)),1,0)</f>
        <v>0</v>
      </c>
      <c r="H3572" s="3">
        <f ca="1">IF(AND(I3572&lt;&gt;I3571,ISNUMBER(SEARCH(Лист2!$B$5,I:I)),G3572=1),MAX($H$3:OFFSET(H3572,-1,0))+1,0)</f>
        <v>0</v>
      </c>
      <c r="I3572" s="3" t="s">
        <v>305</v>
      </c>
      <c r="K3572" s="2">
        <f>IF(ISNUMBER(SEARCH(Лист2!$B$4,F:F)),1,0)</f>
        <v>0</v>
      </c>
      <c r="L3572" s="14">
        <f>IF(ISNUMBER(SEARCH(Лист2!$B$5,I:I)),1,0)+K3572</f>
        <v>0</v>
      </c>
      <c r="M3572" s="3">
        <f ca="1">IF(AND(N3572&lt;&gt;N3571,ISNUMBER(SEARCH(Лист2!$B$6,N:N)),L3572=2),MAX($M$3:OFFSET(M3572,-1,0))+1,0)</f>
        <v>0</v>
      </c>
      <c r="N3572" s="3" t="s">
        <v>602</v>
      </c>
    </row>
    <row r="3573" spans="1:14" x14ac:dyDescent="0.25">
      <c r="A3573" s="1" t="s">
        <v>12374</v>
      </c>
      <c r="B3573" s="3" t="s">
        <v>7197</v>
      </c>
      <c r="C3573" s="2">
        <f ca="1">IF(ISNUMBER(SEARCH(Лист2!$B$4,D:D)),MAX($C$3:OFFSET(C3573,-1,0))+1,0)</f>
        <v>0</v>
      </c>
      <c r="E3573" s="9" t="str">
        <f t="shared" ca="1" si="67"/>
        <v/>
      </c>
      <c r="F3573" s="4" t="s">
        <v>13</v>
      </c>
      <c r="G3573" s="2">
        <f>IF(ISNUMBER(SEARCH(Лист2!$B$4,F:F)),1,0)</f>
        <v>0</v>
      </c>
      <c r="H3573" s="3">
        <f ca="1">IF(AND(I3573&lt;&gt;I3572,ISNUMBER(SEARCH(Лист2!$B$5,I:I)),G3573=1),MAX($H$3:OFFSET(H3573,-1,0))+1,0)</f>
        <v>0</v>
      </c>
      <c r="I3573" s="3" t="s">
        <v>306</v>
      </c>
      <c r="K3573" s="2">
        <f>IF(ISNUMBER(SEARCH(Лист2!$B$4,F:F)),1,0)</f>
        <v>0</v>
      </c>
      <c r="L3573" s="14">
        <f>IF(ISNUMBER(SEARCH(Лист2!$B$5,I:I)),1,0)+K3573</f>
        <v>1</v>
      </c>
      <c r="M3573" s="3">
        <f ca="1">IF(AND(N3573&lt;&gt;N3572,ISNUMBER(SEARCH(Лист2!$B$6,N:N)),L3573=2),MAX($M$3:OFFSET(M3573,-1,0))+1,0)</f>
        <v>0</v>
      </c>
      <c r="N3573" s="3" t="s">
        <v>2262</v>
      </c>
    </row>
    <row r="3574" spans="1:14" x14ac:dyDescent="0.25">
      <c r="A3574" s="1" t="s">
        <v>12375</v>
      </c>
      <c r="B3574" s="3" t="s">
        <v>7198</v>
      </c>
      <c r="C3574" s="2">
        <f ca="1">IF(ISNUMBER(SEARCH(Лист2!$B$4,D:D)),MAX($C$3:OFFSET(C3574,-1,0))+1,0)</f>
        <v>0</v>
      </c>
      <c r="E3574" s="9" t="str">
        <f t="shared" ca="1" si="67"/>
        <v/>
      </c>
      <c r="F3574" s="4" t="s">
        <v>13</v>
      </c>
      <c r="G3574" s="2">
        <f>IF(ISNUMBER(SEARCH(Лист2!$B$4,F:F)),1,0)</f>
        <v>0</v>
      </c>
      <c r="H3574" s="3">
        <f ca="1">IF(AND(I3574&lt;&gt;I3573,ISNUMBER(SEARCH(Лист2!$B$5,I:I)),G3574=1),MAX($H$3:OFFSET(H3574,-1,0))+1,0)</f>
        <v>0</v>
      </c>
      <c r="I3574" s="3" t="s">
        <v>306</v>
      </c>
      <c r="K3574" s="2">
        <f>IF(ISNUMBER(SEARCH(Лист2!$B$4,F:F)),1,0)</f>
        <v>0</v>
      </c>
      <c r="L3574" s="14">
        <f>IF(ISNUMBER(SEARCH(Лист2!$B$5,I:I)),1,0)+K3574</f>
        <v>1</v>
      </c>
      <c r="M3574" s="3">
        <f ca="1">IF(AND(N3574&lt;&gt;N3573,ISNUMBER(SEARCH(Лист2!$B$6,N:N)),L3574=2),MAX($M$3:OFFSET(M3574,-1,0))+1,0)</f>
        <v>0</v>
      </c>
      <c r="N3574" s="3" t="s">
        <v>2263</v>
      </c>
    </row>
    <row r="3575" spans="1:14" x14ac:dyDescent="0.25">
      <c r="A3575" s="1" t="s">
        <v>12376</v>
      </c>
      <c r="B3575" s="3" t="s">
        <v>7199</v>
      </c>
      <c r="C3575" s="2">
        <f ca="1">IF(ISNUMBER(SEARCH(Лист2!$B$4,D:D)),MAX($C$3:OFFSET(C3575,-1,0))+1,0)</f>
        <v>0</v>
      </c>
      <c r="E3575" s="9" t="str">
        <f t="shared" ca="1" si="67"/>
        <v/>
      </c>
      <c r="F3575" s="4" t="s">
        <v>13</v>
      </c>
      <c r="G3575" s="2">
        <f>IF(ISNUMBER(SEARCH(Лист2!$B$4,F:F)),1,0)</f>
        <v>0</v>
      </c>
      <c r="H3575" s="3">
        <f ca="1">IF(AND(I3575&lt;&gt;I3574,ISNUMBER(SEARCH(Лист2!$B$5,I:I)),G3575=1),MAX($H$3:OFFSET(H3575,-1,0))+1,0)</f>
        <v>0</v>
      </c>
      <c r="I3575" s="3" t="s">
        <v>306</v>
      </c>
      <c r="K3575" s="2">
        <f>IF(ISNUMBER(SEARCH(Лист2!$B$4,F:F)),1,0)</f>
        <v>0</v>
      </c>
      <c r="L3575" s="14">
        <f>IF(ISNUMBER(SEARCH(Лист2!$B$5,I:I)),1,0)+K3575</f>
        <v>1</v>
      </c>
      <c r="M3575" s="3">
        <f ca="1">IF(AND(N3575&lt;&gt;N3574,ISNUMBER(SEARCH(Лист2!$B$6,N:N)),L3575=2),MAX($M$3:OFFSET(M3575,-1,0))+1,0)</f>
        <v>0</v>
      </c>
      <c r="N3575" s="3" t="s">
        <v>2264</v>
      </c>
    </row>
    <row r="3576" spans="1:14" x14ac:dyDescent="0.25">
      <c r="A3576" s="1" t="s">
        <v>12377</v>
      </c>
      <c r="B3576" s="3" t="s">
        <v>7200</v>
      </c>
      <c r="C3576" s="2">
        <f ca="1">IF(ISNUMBER(SEARCH(Лист2!$B$4,D:D)),MAX($C$3:OFFSET(C3576,-1,0))+1,0)</f>
        <v>0</v>
      </c>
      <c r="E3576" s="9" t="str">
        <f t="shared" ca="1" si="67"/>
        <v/>
      </c>
      <c r="F3576" s="4" t="s">
        <v>13</v>
      </c>
      <c r="G3576" s="2">
        <f>IF(ISNUMBER(SEARCH(Лист2!$B$4,F:F)),1,0)</f>
        <v>0</v>
      </c>
      <c r="H3576" s="3">
        <f ca="1">IF(AND(I3576&lt;&gt;I3575,ISNUMBER(SEARCH(Лист2!$B$5,I:I)),G3576=1),MAX($H$3:OFFSET(H3576,-1,0))+1,0)</f>
        <v>0</v>
      </c>
      <c r="I3576" s="3" t="s">
        <v>306</v>
      </c>
      <c r="K3576" s="2">
        <f>IF(ISNUMBER(SEARCH(Лист2!$B$4,F:F)),1,0)</f>
        <v>0</v>
      </c>
      <c r="L3576" s="14">
        <f>IF(ISNUMBER(SEARCH(Лист2!$B$5,I:I)),1,0)+K3576</f>
        <v>1</v>
      </c>
      <c r="M3576" s="3">
        <f ca="1">IF(AND(N3576&lt;&gt;N3575,ISNUMBER(SEARCH(Лист2!$B$6,N:N)),L3576=2),MAX($M$3:OFFSET(M3576,-1,0))+1,0)</f>
        <v>0</v>
      </c>
      <c r="N3576" s="3" t="s">
        <v>2265</v>
      </c>
    </row>
    <row r="3577" spans="1:14" x14ac:dyDescent="0.25">
      <c r="A3577" s="1" t="s">
        <v>12378</v>
      </c>
      <c r="B3577" s="3" t="s">
        <v>7201</v>
      </c>
      <c r="C3577" s="2">
        <f ca="1">IF(ISNUMBER(SEARCH(Лист2!$B$4,D:D)),MAX($C$3:OFFSET(C3577,-1,0))+1,0)</f>
        <v>0</v>
      </c>
      <c r="E3577" s="9" t="str">
        <f t="shared" ca="1" si="67"/>
        <v/>
      </c>
      <c r="F3577" s="4" t="s">
        <v>13</v>
      </c>
      <c r="G3577" s="2">
        <f>IF(ISNUMBER(SEARCH(Лист2!$B$4,F:F)),1,0)</f>
        <v>0</v>
      </c>
      <c r="H3577" s="3">
        <f ca="1">IF(AND(I3577&lt;&gt;I3576,ISNUMBER(SEARCH(Лист2!$B$5,I:I)),G3577=1),MAX($H$3:OFFSET(H3577,-1,0))+1,0)</f>
        <v>0</v>
      </c>
      <c r="I3577" s="3" t="s">
        <v>306</v>
      </c>
      <c r="K3577" s="2">
        <f>IF(ISNUMBER(SEARCH(Лист2!$B$4,F:F)),1,0)</f>
        <v>0</v>
      </c>
      <c r="L3577" s="14">
        <f>IF(ISNUMBER(SEARCH(Лист2!$B$5,I:I)),1,0)+K3577</f>
        <v>1</v>
      </c>
      <c r="M3577" s="3">
        <f ca="1">IF(AND(N3577&lt;&gt;N3576,ISNUMBER(SEARCH(Лист2!$B$6,N:N)),L3577=2),MAX($M$3:OFFSET(M3577,-1,0))+1,0)</f>
        <v>0</v>
      </c>
      <c r="N3577" s="3" t="s">
        <v>2266</v>
      </c>
    </row>
    <row r="3578" spans="1:14" x14ac:dyDescent="0.25">
      <c r="A3578" s="1" t="s">
        <v>12378</v>
      </c>
      <c r="B3578" s="3" t="s">
        <v>7202</v>
      </c>
      <c r="C3578" s="2">
        <f ca="1">IF(ISNUMBER(SEARCH(Лист2!$B$4,D:D)),MAX($C$3:OFFSET(C3578,-1,0))+1,0)</f>
        <v>0</v>
      </c>
      <c r="E3578" s="9" t="str">
        <f t="shared" ca="1" si="67"/>
        <v/>
      </c>
      <c r="F3578" s="4" t="s">
        <v>13</v>
      </c>
      <c r="G3578" s="2">
        <f>IF(ISNUMBER(SEARCH(Лист2!$B$4,F:F)),1,0)</f>
        <v>0</v>
      </c>
      <c r="H3578" s="3">
        <f ca="1">IF(AND(I3578&lt;&gt;I3577,ISNUMBER(SEARCH(Лист2!$B$5,I:I)),G3578=1),MAX($H$3:OFFSET(H3578,-1,0))+1,0)</f>
        <v>0</v>
      </c>
      <c r="I3578" s="3" t="s">
        <v>306</v>
      </c>
      <c r="K3578" s="2">
        <f>IF(ISNUMBER(SEARCH(Лист2!$B$4,F:F)),1,0)</f>
        <v>0</v>
      </c>
      <c r="L3578" s="14">
        <f>IF(ISNUMBER(SEARCH(Лист2!$B$5,I:I)),1,0)+K3578</f>
        <v>1</v>
      </c>
      <c r="M3578" s="3">
        <f ca="1">IF(AND(N3578&lt;&gt;N3577,ISNUMBER(SEARCH(Лист2!$B$6,N:N)),L3578=2),MAX($M$3:OFFSET(M3578,-1,0))+1,0)</f>
        <v>0</v>
      </c>
      <c r="N3578" s="3" t="s">
        <v>2266</v>
      </c>
    </row>
    <row r="3579" spans="1:14" x14ac:dyDescent="0.25">
      <c r="A3579" s="1" t="s">
        <v>12379</v>
      </c>
      <c r="B3579" s="3" t="s">
        <v>7203</v>
      </c>
      <c r="C3579" s="2">
        <f ca="1">IF(ISNUMBER(SEARCH(Лист2!$B$4,D:D)),MAX($C$3:OFFSET(C3579,-1,0))+1,0)</f>
        <v>0</v>
      </c>
      <c r="E3579" s="9" t="str">
        <f t="shared" ca="1" si="67"/>
        <v/>
      </c>
      <c r="F3579" s="4" t="s">
        <v>13</v>
      </c>
      <c r="G3579" s="2">
        <f>IF(ISNUMBER(SEARCH(Лист2!$B$4,F:F)),1,0)</f>
        <v>0</v>
      </c>
      <c r="H3579" s="3">
        <f ca="1">IF(AND(I3579&lt;&gt;I3578,ISNUMBER(SEARCH(Лист2!$B$5,I:I)),G3579=1),MAX($H$3:OFFSET(H3579,-1,0))+1,0)</f>
        <v>0</v>
      </c>
      <c r="I3579" s="3" t="s">
        <v>306</v>
      </c>
      <c r="K3579" s="2">
        <f>IF(ISNUMBER(SEARCH(Лист2!$B$4,F:F)),1,0)</f>
        <v>0</v>
      </c>
      <c r="L3579" s="14">
        <f>IF(ISNUMBER(SEARCH(Лист2!$B$5,I:I)),1,0)+K3579</f>
        <v>1</v>
      </c>
      <c r="M3579" s="3">
        <f ca="1">IF(AND(N3579&lt;&gt;N3578,ISNUMBER(SEARCH(Лист2!$B$6,N:N)),L3579=2),MAX($M$3:OFFSET(M3579,-1,0))+1,0)</f>
        <v>0</v>
      </c>
      <c r="N3579" s="3" t="s">
        <v>2267</v>
      </c>
    </row>
    <row r="3580" spans="1:14" x14ac:dyDescent="0.25">
      <c r="A3580" s="1" t="s">
        <v>12380</v>
      </c>
      <c r="B3580" s="3" t="s">
        <v>7204</v>
      </c>
      <c r="C3580" s="2">
        <f ca="1">IF(ISNUMBER(SEARCH(Лист2!$B$4,D:D)),MAX($C$3:OFFSET(C3580,-1,0))+1,0)</f>
        <v>0</v>
      </c>
      <c r="E3580" s="9" t="str">
        <f t="shared" ca="1" si="67"/>
        <v/>
      </c>
      <c r="F3580" s="4" t="s">
        <v>13</v>
      </c>
      <c r="G3580" s="2">
        <f>IF(ISNUMBER(SEARCH(Лист2!$B$4,F:F)),1,0)</f>
        <v>0</v>
      </c>
      <c r="H3580" s="3">
        <f ca="1">IF(AND(I3580&lt;&gt;I3579,ISNUMBER(SEARCH(Лист2!$B$5,I:I)),G3580=1),MAX($H$3:OFFSET(H3580,-1,0))+1,0)</f>
        <v>0</v>
      </c>
      <c r="I3580" s="3" t="s">
        <v>306</v>
      </c>
      <c r="K3580" s="2">
        <f>IF(ISNUMBER(SEARCH(Лист2!$B$4,F:F)),1,0)</f>
        <v>0</v>
      </c>
      <c r="L3580" s="14">
        <f>IF(ISNUMBER(SEARCH(Лист2!$B$5,I:I)),1,0)+K3580</f>
        <v>1</v>
      </c>
      <c r="M3580" s="3">
        <f ca="1">IF(AND(N3580&lt;&gt;N3579,ISNUMBER(SEARCH(Лист2!$B$6,N:N)),L3580=2),MAX($M$3:OFFSET(M3580,-1,0))+1,0)</f>
        <v>0</v>
      </c>
      <c r="N3580" s="3" t="s">
        <v>2268</v>
      </c>
    </row>
    <row r="3581" spans="1:14" x14ac:dyDescent="0.25">
      <c r="A3581" s="1" t="s">
        <v>12381</v>
      </c>
      <c r="B3581" s="3" t="s">
        <v>7205</v>
      </c>
      <c r="C3581" s="2">
        <f ca="1">IF(ISNUMBER(SEARCH(Лист2!$B$4,D:D)),MAX($C$3:OFFSET(C3581,-1,0))+1,0)</f>
        <v>0</v>
      </c>
      <c r="E3581" s="9" t="str">
        <f t="shared" ca="1" si="67"/>
        <v/>
      </c>
      <c r="F3581" s="4" t="s">
        <v>13</v>
      </c>
      <c r="G3581" s="2">
        <f>IF(ISNUMBER(SEARCH(Лист2!$B$4,F:F)),1,0)</f>
        <v>0</v>
      </c>
      <c r="H3581" s="3">
        <f ca="1">IF(AND(I3581&lt;&gt;I3580,ISNUMBER(SEARCH(Лист2!$B$5,I:I)),G3581=1),MAX($H$3:OFFSET(H3581,-1,0))+1,0)</f>
        <v>0</v>
      </c>
      <c r="I3581" s="3" t="s">
        <v>306</v>
      </c>
      <c r="K3581" s="2">
        <f>IF(ISNUMBER(SEARCH(Лист2!$B$4,F:F)),1,0)</f>
        <v>0</v>
      </c>
      <c r="L3581" s="14">
        <f>IF(ISNUMBER(SEARCH(Лист2!$B$5,I:I)),1,0)+K3581</f>
        <v>1</v>
      </c>
      <c r="M3581" s="3">
        <f ca="1">IF(AND(N3581&lt;&gt;N3580,ISNUMBER(SEARCH(Лист2!$B$6,N:N)),L3581=2),MAX($M$3:OFFSET(M3581,-1,0))+1,0)</f>
        <v>0</v>
      </c>
      <c r="N3581" s="3" t="s">
        <v>602</v>
      </c>
    </row>
    <row r="3582" spans="1:14" x14ac:dyDescent="0.25">
      <c r="A3582" s="1" t="s">
        <v>12382</v>
      </c>
      <c r="B3582" s="3" t="s">
        <v>7206</v>
      </c>
      <c r="C3582" s="2">
        <f ca="1">IF(ISNUMBER(SEARCH(Лист2!$B$4,D:D)),MAX($C$3:OFFSET(C3582,-1,0))+1,0)</f>
        <v>0</v>
      </c>
      <c r="E3582" s="9" t="str">
        <f t="shared" ca="1" si="67"/>
        <v/>
      </c>
      <c r="F3582" s="4" t="s">
        <v>13</v>
      </c>
      <c r="G3582" s="2">
        <f>IF(ISNUMBER(SEARCH(Лист2!$B$4,F:F)),1,0)</f>
        <v>0</v>
      </c>
      <c r="H3582" s="3">
        <f ca="1">IF(AND(I3582&lt;&gt;I3581,ISNUMBER(SEARCH(Лист2!$B$5,I:I)),G3582=1),MAX($H$3:OFFSET(H3582,-1,0))+1,0)</f>
        <v>0</v>
      </c>
      <c r="I3582" s="3" t="s">
        <v>307</v>
      </c>
      <c r="K3582" s="2">
        <f>IF(ISNUMBER(SEARCH(Лист2!$B$4,F:F)),1,0)</f>
        <v>0</v>
      </c>
      <c r="L3582" s="14">
        <f>IF(ISNUMBER(SEARCH(Лист2!$B$5,I:I)),1,0)+K3582</f>
        <v>0</v>
      </c>
      <c r="M3582" s="3">
        <f ca="1">IF(AND(N3582&lt;&gt;N3581,ISNUMBER(SEARCH(Лист2!$B$6,N:N)),L3582=2),MAX($M$3:OFFSET(M3582,-1,0))+1,0)</f>
        <v>0</v>
      </c>
      <c r="N3582" s="3" t="s">
        <v>2269</v>
      </c>
    </row>
    <row r="3583" spans="1:14" x14ac:dyDescent="0.25">
      <c r="A3583" s="1" t="s">
        <v>12383</v>
      </c>
      <c r="B3583" s="3" t="s">
        <v>7207</v>
      </c>
      <c r="C3583" s="2">
        <f ca="1">IF(ISNUMBER(SEARCH(Лист2!$B$4,D:D)),MAX($C$3:OFFSET(C3583,-1,0))+1,0)</f>
        <v>0</v>
      </c>
      <c r="E3583" s="9" t="str">
        <f t="shared" ca="1" si="67"/>
        <v/>
      </c>
      <c r="F3583" s="4" t="s">
        <v>13</v>
      </c>
      <c r="G3583" s="2">
        <f>IF(ISNUMBER(SEARCH(Лист2!$B$4,F:F)),1,0)</f>
        <v>0</v>
      </c>
      <c r="H3583" s="3">
        <f ca="1">IF(AND(I3583&lt;&gt;I3582,ISNUMBER(SEARCH(Лист2!$B$5,I:I)),G3583=1),MAX($H$3:OFFSET(H3583,-1,0))+1,0)</f>
        <v>0</v>
      </c>
      <c r="I3583" s="3" t="s">
        <v>307</v>
      </c>
      <c r="K3583" s="2">
        <f>IF(ISNUMBER(SEARCH(Лист2!$B$4,F:F)),1,0)</f>
        <v>0</v>
      </c>
      <c r="L3583" s="14">
        <f>IF(ISNUMBER(SEARCH(Лист2!$B$5,I:I)),1,0)+K3583</f>
        <v>0</v>
      </c>
      <c r="M3583" s="3">
        <f ca="1">IF(AND(N3583&lt;&gt;N3582,ISNUMBER(SEARCH(Лист2!$B$6,N:N)),L3583=2),MAX($M$3:OFFSET(M3583,-1,0))+1,0)</f>
        <v>0</v>
      </c>
      <c r="N3583" s="3" t="s">
        <v>2270</v>
      </c>
    </row>
    <row r="3584" spans="1:14" x14ac:dyDescent="0.25">
      <c r="A3584" s="1" t="s">
        <v>12384</v>
      </c>
      <c r="B3584" s="3" t="s">
        <v>7208</v>
      </c>
      <c r="C3584" s="2">
        <f ca="1">IF(ISNUMBER(SEARCH(Лист2!$B$4,D:D)),MAX($C$3:OFFSET(C3584,-1,0))+1,0)</f>
        <v>0</v>
      </c>
      <c r="E3584" s="9" t="str">
        <f t="shared" ca="1" si="67"/>
        <v/>
      </c>
      <c r="F3584" s="4" t="s">
        <v>13</v>
      </c>
      <c r="G3584" s="2">
        <f>IF(ISNUMBER(SEARCH(Лист2!$B$4,F:F)),1,0)</f>
        <v>0</v>
      </c>
      <c r="H3584" s="3">
        <f ca="1">IF(AND(I3584&lt;&gt;I3583,ISNUMBER(SEARCH(Лист2!$B$5,I:I)),G3584=1),MAX($H$3:OFFSET(H3584,-1,0))+1,0)</f>
        <v>0</v>
      </c>
      <c r="I3584" s="3" t="s">
        <v>307</v>
      </c>
      <c r="K3584" s="2">
        <f>IF(ISNUMBER(SEARCH(Лист2!$B$4,F:F)),1,0)</f>
        <v>0</v>
      </c>
      <c r="L3584" s="14">
        <f>IF(ISNUMBER(SEARCH(Лист2!$B$5,I:I)),1,0)+K3584</f>
        <v>0</v>
      </c>
      <c r="M3584" s="3">
        <f ca="1">IF(AND(N3584&lt;&gt;N3583,ISNUMBER(SEARCH(Лист2!$B$6,N:N)),L3584=2),MAX($M$3:OFFSET(M3584,-1,0))+1,0)</f>
        <v>0</v>
      </c>
      <c r="N3584" s="3" t="s">
        <v>2271</v>
      </c>
    </row>
    <row r="3585" spans="1:14" x14ac:dyDescent="0.25">
      <c r="A3585" s="1" t="s">
        <v>12385</v>
      </c>
      <c r="B3585" s="3" t="s">
        <v>7209</v>
      </c>
      <c r="C3585" s="2">
        <f ca="1">IF(ISNUMBER(SEARCH(Лист2!$B$4,D:D)),MAX($C$3:OFFSET(C3585,-1,0))+1,0)</f>
        <v>0</v>
      </c>
      <c r="E3585" s="9" t="str">
        <f t="shared" ca="1" si="67"/>
        <v/>
      </c>
      <c r="F3585" s="4" t="s">
        <v>13</v>
      </c>
      <c r="G3585" s="2">
        <f>IF(ISNUMBER(SEARCH(Лист2!$B$4,F:F)),1,0)</f>
        <v>0</v>
      </c>
      <c r="H3585" s="3">
        <f ca="1">IF(AND(I3585&lt;&gt;I3584,ISNUMBER(SEARCH(Лист2!$B$5,I:I)),G3585=1),MAX($H$3:OFFSET(H3585,-1,0))+1,0)</f>
        <v>0</v>
      </c>
      <c r="I3585" s="3" t="s">
        <v>307</v>
      </c>
      <c r="K3585" s="2">
        <f>IF(ISNUMBER(SEARCH(Лист2!$B$4,F:F)),1,0)</f>
        <v>0</v>
      </c>
      <c r="L3585" s="14">
        <f>IF(ISNUMBER(SEARCH(Лист2!$B$5,I:I)),1,0)+K3585</f>
        <v>0</v>
      </c>
      <c r="M3585" s="3">
        <f ca="1">IF(AND(N3585&lt;&gt;N3584,ISNUMBER(SEARCH(Лист2!$B$6,N:N)),L3585=2),MAX($M$3:OFFSET(M3585,-1,0))+1,0)</f>
        <v>0</v>
      </c>
      <c r="N3585" s="3" t="s">
        <v>2272</v>
      </c>
    </row>
    <row r="3586" spans="1:14" x14ac:dyDescent="0.25">
      <c r="A3586" s="1" t="s">
        <v>12385</v>
      </c>
      <c r="B3586" s="3" t="s">
        <v>7210</v>
      </c>
      <c r="C3586" s="2">
        <f ca="1">IF(ISNUMBER(SEARCH(Лист2!$B$4,D:D)),MAX($C$3:OFFSET(C3586,-1,0))+1,0)</f>
        <v>0</v>
      </c>
      <c r="E3586" s="9" t="str">
        <f t="shared" ca="1" si="67"/>
        <v/>
      </c>
      <c r="F3586" s="4" t="s">
        <v>13</v>
      </c>
      <c r="G3586" s="2">
        <f>IF(ISNUMBER(SEARCH(Лист2!$B$4,F:F)),1,0)</f>
        <v>0</v>
      </c>
      <c r="H3586" s="3">
        <f ca="1">IF(AND(I3586&lt;&gt;I3585,ISNUMBER(SEARCH(Лист2!$B$5,I:I)),G3586=1),MAX($H$3:OFFSET(H3586,-1,0))+1,0)</f>
        <v>0</v>
      </c>
      <c r="I3586" s="3" t="s">
        <v>307</v>
      </c>
      <c r="K3586" s="2">
        <f>IF(ISNUMBER(SEARCH(Лист2!$B$4,F:F)),1,0)</f>
        <v>0</v>
      </c>
      <c r="L3586" s="14">
        <f>IF(ISNUMBER(SEARCH(Лист2!$B$5,I:I)),1,0)+K3586</f>
        <v>0</v>
      </c>
      <c r="M3586" s="3">
        <f ca="1">IF(AND(N3586&lt;&gt;N3585,ISNUMBER(SEARCH(Лист2!$B$6,N:N)),L3586=2),MAX($M$3:OFFSET(M3586,-1,0))+1,0)</f>
        <v>0</v>
      </c>
      <c r="N3586" s="3" t="s">
        <v>2272</v>
      </c>
    </row>
    <row r="3587" spans="1:14" x14ac:dyDescent="0.25">
      <c r="A3587" s="1" t="s">
        <v>12386</v>
      </c>
      <c r="B3587" s="3" t="s">
        <v>7211</v>
      </c>
      <c r="C3587" s="2">
        <f ca="1">IF(ISNUMBER(SEARCH(Лист2!$B$4,D:D)),MAX($C$3:OFFSET(C3587,-1,0))+1,0)</f>
        <v>0</v>
      </c>
      <c r="E3587" s="9" t="str">
        <f t="shared" ca="1" si="67"/>
        <v/>
      </c>
      <c r="F3587" s="4" t="s">
        <v>13</v>
      </c>
      <c r="G3587" s="2">
        <f>IF(ISNUMBER(SEARCH(Лист2!$B$4,F:F)),1,0)</f>
        <v>0</v>
      </c>
      <c r="H3587" s="3">
        <f ca="1">IF(AND(I3587&lt;&gt;I3586,ISNUMBER(SEARCH(Лист2!$B$5,I:I)),G3587=1),MAX($H$3:OFFSET(H3587,-1,0))+1,0)</f>
        <v>0</v>
      </c>
      <c r="I3587" s="3" t="s">
        <v>307</v>
      </c>
      <c r="K3587" s="2">
        <f>IF(ISNUMBER(SEARCH(Лист2!$B$4,F:F)),1,0)</f>
        <v>0</v>
      </c>
      <c r="L3587" s="14">
        <f>IF(ISNUMBER(SEARCH(Лист2!$B$5,I:I)),1,0)+K3587</f>
        <v>0</v>
      </c>
      <c r="M3587" s="3">
        <f ca="1">IF(AND(N3587&lt;&gt;N3586,ISNUMBER(SEARCH(Лист2!$B$6,N:N)),L3587=2),MAX($M$3:OFFSET(M3587,-1,0))+1,0)</f>
        <v>0</v>
      </c>
      <c r="N3587" s="3" t="s">
        <v>2273</v>
      </c>
    </row>
    <row r="3588" spans="1:14" x14ac:dyDescent="0.25">
      <c r="A3588" s="1" t="s">
        <v>12387</v>
      </c>
      <c r="B3588" s="3" t="s">
        <v>7212</v>
      </c>
      <c r="C3588" s="2">
        <f ca="1">IF(ISNUMBER(SEARCH(Лист2!$B$4,D:D)),MAX($C$3:OFFSET(C3588,-1,0))+1,0)</f>
        <v>0</v>
      </c>
      <c r="E3588" s="9" t="str">
        <f t="shared" ca="1" si="67"/>
        <v/>
      </c>
      <c r="F3588" s="4" t="s">
        <v>13</v>
      </c>
      <c r="G3588" s="2">
        <f>IF(ISNUMBER(SEARCH(Лист2!$B$4,F:F)),1,0)</f>
        <v>0</v>
      </c>
      <c r="H3588" s="3">
        <f ca="1">IF(AND(I3588&lt;&gt;I3587,ISNUMBER(SEARCH(Лист2!$B$5,I:I)),G3588=1),MAX($H$3:OFFSET(H3588,-1,0))+1,0)</f>
        <v>0</v>
      </c>
      <c r="I3588" s="3" t="s">
        <v>307</v>
      </c>
      <c r="K3588" s="2">
        <f>IF(ISNUMBER(SEARCH(Лист2!$B$4,F:F)),1,0)</f>
        <v>0</v>
      </c>
      <c r="L3588" s="14">
        <f>IF(ISNUMBER(SEARCH(Лист2!$B$5,I:I)),1,0)+K3588</f>
        <v>0</v>
      </c>
      <c r="M3588" s="3">
        <f ca="1">IF(AND(N3588&lt;&gt;N3587,ISNUMBER(SEARCH(Лист2!$B$6,N:N)),L3588=2),MAX($M$3:OFFSET(M3588,-1,0))+1,0)</f>
        <v>0</v>
      </c>
      <c r="N3588" s="3" t="s">
        <v>2274</v>
      </c>
    </row>
    <row r="3589" spans="1:14" x14ac:dyDescent="0.25">
      <c r="A3589" s="1" t="s">
        <v>12388</v>
      </c>
      <c r="B3589" s="3" t="s">
        <v>7213</v>
      </c>
      <c r="C3589" s="2">
        <f ca="1">IF(ISNUMBER(SEARCH(Лист2!$B$4,D:D)),MAX($C$3:OFFSET(C3589,-1,0))+1,0)</f>
        <v>0</v>
      </c>
      <c r="E3589" s="9" t="str">
        <f t="shared" ref="E3589:E3652" ca="1" si="68">IFERROR(INDEX(D:D,MATCH(ROW(E3589)-ROW($E$3),C:C,0)),"")</f>
        <v/>
      </c>
      <c r="F3589" s="4" t="s">
        <v>13</v>
      </c>
      <c r="G3589" s="2">
        <f>IF(ISNUMBER(SEARCH(Лист2!$B$4,F:F)),1,0)</f>
        <v>0</v>
      </c>
      <c r="H3589" s="3">
        <f ca="1">IF(AND(I3589&lt;&gt;I3588,ISNUMBER(SEARCH(Лист2!$B$5,I:I)),G3589=1),MAX($H$3:OFFSET(H3589,-1,0))+1,0)</f>
        <v>0</v>
      </c>
      <c r="I3589" s="3" t="s">
        <v>307</v>
      </c>
      <c r="K3589" s="2">
        <f>IF(ISNUMBER(SEARCH(Лист2!$B$4,F:F)),1,0)</f>
        <v>0</v>
      </c>
      <c r="L3589" s="14">
        <f>IF(ISNUMBER(SEARCH(Лист2!$B$5,I:I)),1,0)+K3589</f>
        <v>0</v>
      </c>
      <c r="M3589" s="3">
        <f ca="1">IF(AND(N3589&lt;&gt;N3588,ISNUMBER(SEARCH(Лист2!$B$6,N:N)),L3589=2),MAX($M$3:OFFSET(M3589,-1,0))+1,0)</f>
        <v>0</v>
      </c>
      <c r="N3589" s="3" t="s">
        <v>602</v>
      </c>
    </row>
    <row r="3590" spans="1:14" x14ac:dyDescent="0.25">
      <c r="A3590" s="1" t="s">
        <v>12389</v>
      </c>
      <c r="B3590" s="3" t="s">
        <v>7214</v>
      </c>
      <c r="C3590" s="2">
        <f ca="1">IF(ISNUMBER(SEARCH(Лист2!$B$4,D:D)),MAX($C$3:OFFSET(C3590,-1,0))+1,0)</f>
        <v>0</v>
      </c>
      <c r="E3590" s="9" t="str">
        <f t="shared" ca="1" si="68"/>
        <v/>
      </c>
      <c r="F3590" s="4" t="s">
        <v>13</v>
      </c>
      <c r="G3590" s="2">
        <f>IF(ISNUMBER(SEARCH(Лист2!$B$4,F:F)),1,0)</f>
        <v>0</v>
      </c>
      <c r="H3590" s="3">
        <f ca="1">IF(AND(I3590&lt;&gt;I3589,ISNUMBER(SEARCH(Лист2!$B$5,I:I)),G3590=1),MAX($H$3:OFFSET(H3590,-1,0))+1,0)</f>
        <v>0</v>
      </c>
      <c r="I3590" s="3" t="s">
        <v>308</v>
      </c>
      <c r="K3590" s="2">
        <f>IF(ISNUMBER(SEARCH(Лист2!$B$4,F:F)),1,0)</f>
        <v>0</v>
      </c>
      <c r="L3590" s="14">
        <f>IF(ISNUMBER(SEARCH(Лист2!$B$5,I:I)),1,0)+K3590</f>
        <v>0</v>
      </c>
      <c r="M3590" s="3">
        <f ca="1">IF(AND(N3590&lt;&gt;N3589,ISNUMBER(SEARCH(Лист2!$B$6,N:N)),L3590=2),MAX($M$3:OFFSET(M3590,-1,0))+1,0)</f>
        <v>0</v>
      </c>
      <c r="N3590" s="3" t="s">
        <v>2275</v>
      </c>
    </row>
    <row r="3591" spans="1:14" x14ac:dyDescent="0.25">
      <c r="A3591" s="1" t="s">
        <v>12390</v>
      </c>
      <c r="B3591" s="3" t="s">
        <v>7215</v>
      </c>
      <c r="C3591" s="2">
        <f ca="1">IF(ISNUMBER(SEARCH(Лист2!$B$4,D:D)),MAX($C$3:OFFSET(C3591,-1,0))+1,0)</f>
        <v>0</v>
      </c>
      <c r="E3591" s="9" t="str">
        <f t="shared" ca="1" si="68"/>
        <v/>
      </c>
      <c r="F3591" s="4" t="s">
        <v>13</v>
      </c>
      <c r="G3591" s="2">
        <f>IF(ISNUMBER(SEARCH(Лист2!$B$4,F:F)),1,0)</f>
        <v>0</v>
      </c>
      <c r="H3591" s="3">
        <f ca="1">IF(AND(I3591&lt;&gt;I3590,ISNUMBER(SEARCH(Лист2!$B$5,I:I)),G3591=1),MAX($H$3:OFFSET(H3591,-1,0))+1,0)</f>
        <v>0</v>
      </c>
      <c r="I3591" s="3" t="s">
        <v>308</v>
      </c>
      <c r="K3591" s="2">
        <f>IF(ISNUMBER(SEARCH(Лист2!$B$4,F:F)),1,0)</f>
        <v>0</v>
      </c>
      <c r="L3591" s="14">
        <f>IF(ISNUMBER(SEARCH(Лист2!$B$5,I:I)),1,0)+K3591</f>
        <v>0</v>
      </c>
      <c r="M3591" s="3">
        <f ca="1">IF(AND(N3591&lt;&gt;N3590,ISNUMBER(SEARCH(Лист2!$B$6,N:N)),L3591=2),MAX($M$3:OFFSET(M3591,-1,0))+1,0)</f>
        <v>0</v>
      </c>
      <c r="N3591" s="3" t="s">
        <v>2276</v>
      </c>
    </row>
    <row r="3592" spans="1:14" x14ac:dyDescent="0.25">
      <c r="A3592" s="1" t="s">
        <v>12391</v>
      </c>
      <c r="B3592" s="3" t="s">
        <v>7216</v>
      </c>
      <c r="C3592" s="2">
        <f ca="1">IF(ISNUMBER(SEARCH(Лист2!$B$4,D:D)),MAX($C$3:OFFSET(C3592,-1,0))+1,0)</f>
        <v>0</v>
      </c>
      <c r="E3592" s="9" t="str">
        <f t="shared" ca="1" si="68"/>
        <v/>
      </c>
      <c r="F3592" s="4" t="s">
        <v>13</v>
      </c>
      <c r="G3592" s="2">
        <f>IF(ISNUMBER(SEARCH(Лист2!$B$4,F:F)),1,0)</f>
        <v>0</v>
      </c>
      <c r="H3592" s="3">
        <f ca="1">IF(AND(I3592&lt;&gt;I3591,ISNUMBER(SEARCH(Лист2!$B$5,I:I)),G3592=1),MAX($H$3:OFFSET(H3592,-1,0))+1,0)</f>
        <v>0</v>
      </c>
      <c r="I3592" s="3" t="s">
        <v>308</v>
      </c>
      <c r="K3592" s="2">
        <f>IF(ISNUMBER(SEARCH(Лист2!$B$4,F:F)),1,0)</f>
        <v>0</v>
      </c>
      <c r="L3592" s="14">
        <f>IF(ISNUMBER(SEARCH(Лист2!$B$5,I:I)),1,0)+K3592</f>
        <v>0</v>
      </c>
      <c r="M3592" s="3">
        <f ca="1">IF(AND(N3592&lt;&gt;N3591,ISNUMBER(SEARCH(Лист2!$B$6,N:N)),L3592=2),MAX($M$3:OFFSET(M3592,-1,0))+1,0)</f>
        <v>0</v>
      </c>
      <c r="N3592" s="3" t="s">
        <v>2277</v>
      </c>
    </row>
    <row r="3593" spans="1:14" x14ac:dyDescent="0.25">
      <c r="A3593" s="1" t="s">
        <v>12392</v>
      </c>
      <c r="B3593" s="3" t="s">
        <v>7217</v>
      </c>
      <c r="C3593" s="2">
        <f ca="1">IF(ISNUMBER(SEARCH(Лист2!$B$4,D:D)),MAX($C$3:OFFSET(C3593,-1,0))+1,0)</f>
        <v>0</v>
      </c>
      <c r="E3593" s="9" t="str">
        <f t="shared" ca="1" si="68"/>
        <v/>
      </c>
      <c r="F3593" s="4" t="s">
        <v>13</v>
      </c>
      <c r="G3593" s="2">
        <f>IF(ISNUMBER(SEARCH(Лист2!$B$4,F:F)),1,0)</f>
        <v>0</v>
      </c>
      <c r="H3593" s="3">
        <f ca="1">IF(AND(I3593&lt;&gt;I3592,ISNUMBER(SEARCH(Лист2!$B$5,I:I)),G3593=1),MAX($H$3:OFFSET(H3593,-1,0))+1,0)</f>
        <v>0</v>
      </c>
      <c r="I3593" s="3" t="s">
        <v>308</v>
      </c>
      <c r="K3593" s="2">
        <f>IF(ISNUMBER(SEARCH(Лист2!$B$4,F:F)),1,0)</f>
        <v>0</v>
      </c>
      <c r="L3593" s="14">
        <f>IF(ISNUMBER(SEARCH(Лист2!$B$5,I:I)),1,0)+K3593</f>
        <v>0</v>
      </c>
      <c r="M3593" s="3">
        <f ca="1">IF(AND(N3593&lt;&gt;N3592,ISNUMBER(SEARCH(Лист2!$B$6,N:N)),L3593=2),MAX($M$3:OFFSET(M3593,-1,0))+1,0)</f>
        <v>0</v>
      </c>
      <c r="N3593" s="3" t="s">
        <v>2278</v>
      </c>
    </row>
    <row r="3594" spans="1:14" x14ac:dyDescent="0.25">
      <c r="A3594" s="1" t="s">
        <v>12392</v>
      </c>
      <c r="B3594" s="3" t="s">
        <v>7218</v>
      </c>
      <c r="C3594" s="2">
        <f ca="1">IF(ISNUMBER(SEARCH(Лист2!$B$4,D:D)),MAX($C$3:OFFSET(C3594,-1,0))+1,0)</f>
        <v>0</v>
      </c>
      <c r="E3594" s="9" t="str">
        <f t="shared" ca="1" si="68"/>
        <v/>
      </c>
      <c r="F3594" s="4" t="s">
        <v>13</v>
      </c>
      <c r="G3594" s="2">
        <f>IF(ISNUMBER(SEARCH(Лист2!$B$4,F:F)),1,0)</f>
        <v>0</v>
      </c>
      <c r="H3594" s="3">
        <f ca="1">IF(AND(I3594&lt;&gt;I3593,ISNUMBER(SEARCH(Лист2!$B$5,I:I)),G3594=1),MAX($H$3:OFFSET(H3594,-1,0))+1,0)</f>
        <v>0</v>
      </c>
      <c r="I3594" s="3" t="s">
        <v>308</v>
      </c>
      <c r="K3594" s="2">
        <f>IF(ISNUMBER(SEARCH(Лист2!$B$4,F:F)),1,0)</f>
        <v>0</v>
      </c>
      <c r="L3594" s="14">
        <f>IF(ISNUMBER(SEARCH(Лист2!$B$5,I:I)),1,0)+K3594</f>
        <v>0</v>
      </c>
      <c r="M3594" s="3">
        <f ca="1">IF(AND(N3594&lt;&gt;N3593,ISNUMBER(SEARCH(Лист2!$B$6,N:N)),L3594=2),MAX($M$3:OFFSET(M3594,-1,0))+1,0)</f>
        <v>0</v>
      </c>
      <c r="N3594" s="3" t="s">
        <v>2278</v>
      </c>
    </row>
    <row r="3595" spans="1:14" x14ac:dyDescent="0.25">
      <c r="A3595" s="1" t="s">
        <v>12393</v>
      </c>
      <c r="B3595" s="3" t="s">
        <v>7219</v>
      </c>
      <c r="C3595" s="2">
        <f ca="1">IF(ISNUMBER(SEARCH(Лист2!$B$4,D:D)),MAX($C$3:OFFSET(C3595,-1,0))+1,0)</f>
        <v>0</v>
      </c>
      <c r="E3595" s="9" t="str">
        <f t="shared" ca="1" si="68"/>
        <v/>
      </c>
      <c r="F3595" s="4" t="s">
        <v>13</v>
      </c>
      <c r="G3595" s="2">
        <f>IF(ISNUMBER(SEARCH(Лист2!$B$4,F:F)),1,0)</f>
        <v>0</v>
      </c>
      <c r="H3595" s="3">
        <f ca="1">IF(AND(I3595&lt;&gt;I3594,ISNUMBER(SEARCH(Лист2!$B$5,I:I)),G3595=1),MAX($H$3:OFFSET(H3595,-1,0))+1,0)</f>
        <v>0</v>
      </c>
      <c r="I3595" s="3" t="s">
        <v>308</v>
      </c>
      <c r="K3595" s="2">
        <f>IF(ISNUMBER(SEARCH(Лист2!$B$4,F:F)),1,0)</f>
        <v>0</v>
      </c>
      <c r="L3595" s="14">
        <f>IF(ISNUMBER(SEARCH(Лист2!$B$5,I:I)),1,0)+K3595</f>
        <v>0</v>
      </c>
      <c r="M3595" s="3">
        <f ca="1">IF(AND(N3595&lt;&gt;N3594,ISNUMBER(SEARCH(Лист2!$B$6,N:N)),L3595=2),MAX($M$3:OFFSET(M3595,-1,0))+1,0)</f>
        <v>0</v>
      </c>
      <c r="N3595" s="3" t="s">
        <v>2279</v>
      </c>
    </row>
    <row r="3596" spans="1:14" x14ac:dyDescent="0.25">
      <c r="A3596" s="1" t="s">
        <v>12394</v>
      </c>
      <c r="B3596" s="3" t="s">
        <v>7220</v>
      </c>
      <c r="C3596" s="2">
        <f ca="1">IF(ISNUMBER(SEARCH(Лист2!$B$4,D:D)),MAX($C$3:OFFSET(C3596,-1,0))+1,0)</f>
        <v>0</v>
      </c>
      <c r="E3596" s="9" t="str">
        <f t="shared" ca="1" si="68"/>
        <v/>
      </c>
      <c r="F3596" s="4" t="s">
        <v>13</v>
      </c>
      <c r="G3596" s="2">
        <f>IF(ISNUMBER(SEARCH(Лист2!$B$4,F:F)),1,0)</f>
        <v>0</v>
      </c>
      <c r="H3596" s="3">
        <f ca="1">IF(AND(I3596&lt;&gt;I3595,ISNUMBER(SEARCH(Лист2!$B$5,I:I)),G3596=1),MAX($H$3:OFFSET(H3596,-1,0))+1,0)</f>
        <v>0</v>
      </c>
      <c r="I3596" s="3" t="s">
        <v>308</v>
      </c>
      <c r="K3596" s="2">
        <f>IF(ISNUMBER(SEARCH(Лист2!$B$4,F:F)),1,0)</f>
        <v>0</v>
      </c>
      <c r="L3596" s="14">
        <f>IF(ISNUMBER(SEARCH(Лист2!$B$5,I:I)),1,0)+K3596</f>
        <v>0</v>
      </c>
      <c r="M3596" s="3">
        <f ca="1">IF(AND(N3596&lt;&gt;N3595,ISNUMBER(SEARCH(Лист2!$B$6,N:N)),L3596=2),MAX($M$3:OFFSET(M3596,-1,0))+1,0)</f>
        <v>0</v>
      </c>
      <c r="N3596" s="3" t="s">
        <v>2280</v>
      </c>
    </row>
    <row r="3597" spans="1:14" x14ac:dyDescent="0.25">
      <c r="A3597" s="1" t="s">
        <v>12395</v>
      </c>
      <c r="B3597" s="3" t="s">
        <v>7221</v>
      </c>
      <c r="C3597" s="2">
        <f ca="1">IF(ISNUMBER(SEARCH(Лист2!$B$4,D:D)),MAX($C$3:OFFSET(C3597,-1,0))+1,0)</f>
        <v>0</v>
      </c>
      <c r="E3597" s="9" t="str">
        <f t="shared" ca="1" si="68"/>
        <v/>
      </c>
      <c r="F3597" s="4" t="s">
        <v>13</v>
      </c>
      <c r="G3597" s="2">
        <f>IF(ISNUMBER(SEARCH(Лист2!$B$4,F:F)),1,0)</f>
        <v>0</v>
      </c>
      <c r="H3597" s="3">
        <f ca="1">IF(AND(I3597&lt;&gt;I3596,ISNUMBER(SEARCH(Лист2!$B$5,I:I)),G3597=1),MAX($H$3:OFFSET(H3597,-1,0))+1,0)</f>
        <v>0</v>
      </c>
      <c r="I3597" s="3" t="s">
        <v>308</v>
      </c>
      <c r="K3597" s="2">
        <f>IF(ISNUMBER(SEARCH(Лист2!$B$4,F:F)),1,0)</f>
        <v>0</v>
      </c>
      <c r="L3597" s="14">
        <f>IF(ISNUMBER(SEARCH(Лист2!$B$5,I:I)),1,0)+K3597</f>
        <v>0</v>
      </c>
      <c r="M3597" s="3">
        <f ca="1">IF(AND(N3597&lt;&gt;N3596,ISNUMBER(SEARCH(Лист2!$B$6,N:N)),L3597=2),MAX($M$3:OFFSET(M3597,-1,0))+1,0)</f>
        <v>0</v>
      </c>
      <c r="N3597" s="3" t="s">
        <v>602</v>
      </c>
    </row>
    <row r="3598" spans="1:14" x14ac:dyDescent="0.25">
      <c r="A3598" s="1" t="s">
        <v>12396</v>
      </c>
      <c r="B3598" s="3" t="s">
        <v>7222</v>
      </c>
      <c r="C3598" s="2">
        <f ca="1">IF(ISNUMBER(SEARCH(Лист2!$B$4,D:D)),MAX($C$3:OFFSET(C3598,-1,0))+1,0)</f>
        <v>0</v>
      </c>
      <c r="E3598" s="9" t="str">
        <f t="shared" ca="1" si="68"/>
        <v/>
      </c>
      <c r="F3598" s="4" t="s">
        <v>13</v>
      </c>
      <c r="G3598" s="2">
        <f>IF(ISNUMBER(SEARCH(Лист2!$B$4,F:F)),1,0)</f>
        <v>0</v>
      </c>
      <c r="H3598" s="3">
        <f ca="1">IF(AND(I3598&lt;&gt;I3597,ISNUMBER(SEARCH(Лист2!$B$5,I:I)),G3598=1),MAX($H$3:OFFSET(H3598,-1,0))+1,0)</f>
        <v>0</v>
      </c>
      <c r="I3598" s="3" t="s">
        <v>309</v>
      </c>
      <c r="K3598" s="2">
        <f>IF(ISNUMBER(SEARCH(Лист2!$B$4,F:F)),1,0)</f>
        <v>0</v>
      </c>
      <c r="L3598" s="14">
        <f>IF(ISNUMBER(SEARCH(Лист2!$B$5,I:I)),1,0)+K3598</f>
        <v>0</v>
      </c>
      <c r="M3598" s="3">
        <f ca="1">IF(AND(N3598&lt;&gt;N3597,ISNUMBER(SEARCH(Лист2!$B$6,N:N)),L3598=2),MAX($M$3:OFFSET(M3598,-1,0))+1,0)</f>
        <v>0</v>
      </c>
      <c r="N3598" s="3" t="s">
        <v>2281</v>
      </c>
    </row>
    <row r="3599" spans="1:14" x14ac:dyDescent="0.25">
      <c r="A3599" s="1" t="s">
        <v>12397</v>
      </c>
      <c r="B3599" s="3" t="s">
        <v>7223</v>
      </c>
      <c r="C3599" s="2">
        <f ca="1">IF(ISNUMBER(SEARCH(Лист2!$B$4,D:D)),MAX($C$3:OFFSET(C3599,-1,0))+1,0)</f>
        <v>0</v>
      </c>
      <c r="E3599" s="9" t="str">
        <f t="shared" ca="1" si="68"/>
        <v/>
      </c>
      <c r="F3599" s="4" t="s">
        <v>13</v>
      </c>
      <c r="G3599" s="2">
        <f>IF(ISNUMBER(SEARCH(Лист2!$B$4,F:F)),1,0)</f>
        <v>0</v>
      </c>
      <c r="H3599" s="3">
        <f ca="1">IF(AND(I3599&lt;&gt;I3598,ISNUMBER(SEARCH(Лист2!$B$5,I:I)),G3599=1),MAX($H$3:OFFSET(H3599,-1,0))+1,0)</f>
        <v>0</v>
      </c>
      <c r="I3599" s="3" t="s">
        <v>309</v>
      </c>
      <c r="K3599" s="2">
        <f>IF(ISNUMBER(SEARCH(Лист2!$B$4,F:F)),1,0)</f>
        <v>0</v>
      </c>
      <c r="L3599" s="14">
        <f>IF(ISNUMBER(SEARCH(Лист2!$B$5,I:I)),1,0)+K3599</f>
        <v>0</v>
      </c>
      <c r="M3599" s="3">
        <f ca="1">IF(AND(N3599&lt;&gt;N3598,ISNUMBER(SEARCH(Лист2!$B$6,N:N)),L3599=2),MAX($M$3:OFFSET(M3599,-1,0))+1,0)</f>
        <v>0</v>
      </c>
      <c r="N3599" s="3" t="s">
        <v>2282</v>
      </c>
    </row>
    <row r="3600" spans="1:14" x14ac:dyDescent="0.25">
      <c r="A3600" s="1" t="s">
        <v>12398</v>
      </c>
      <c r="B3600" s="3" t="s">
        <v>7224</v>
      </c>
      <c r="C3600" s="2">
        <f ca="1">IF(ISNUMBER(SEARCH(Лист2!$B$4,D:D)),MAX($C$3:OFFSET(C3600,-1,0))+1,0)</f>
        <v>0</v>
      </c>
      <c r="E3600" s="9" t="str">
        <f t="shared" ca="1" si="68"/>
        <v/>
      </c>
      <c r="F3600" s="4" t="s">
        <v>13</v>
      </c>
      <c r="G3600" s="2">
        <f>IF(ISNUMBER(SEARCH(Лист2!$B$4,F:F)),1,0)</f>
        <v>0</v>
      </c>
      <c r="H3600" s="3">
        <f ca="1">IF(AND(I3600&lt;&gt;I3599,ISNUMBER(SEARCH(Лист2!$B$5,I:I)),G3600=1),MAX($H$3:OFFSET(H3600,-1,0))+1,0)</f>
        <v>0</v>
      </c>
      <c r="I3600" s="3" t="s">
        <v>309</v>
      </c>
      <c r="K3600" s="2">
        <f>IF(ISNUMBER(SEARCH(Лист2!$B$4,F:F)),1,0)</f>
        <v>0</v>
      </c>
      <c r="L3600" s="14">
        <f>IF(ISNUMBER(SEARCH(Лист2!$B$5,I:I)),1,0)+K3600</f>
        <v>0</v>
      </c>
      <c r="M3600" s="3">
        <f ca="1">IF(AND(N3600&lt;&gt;N3599,ISNUMBER(SEARCH(Лист2!$B$6,N:N)),L3600=2),MAX($M$3:OFFSET(M3600,-1,0))+1,0)</f>
        <v>0</v>
      </c>
      <c r="N3600" s="3" t="s">
        <v>2283</v>
      </c>
    </row>
    <row r="3601" spans="1:14" x14ac:dyDescent="0.25">
      <c r="A3601" s="1" t="s">
        <v>12399</v>
      </c>
      <c r="B3601" s="3" t="s">
        <v>7225</v>
      </c>
      <c r="C3601" s="2">
        <f ca="1">IF(ISNUMBER(SEARCH(Лист2!$B$4,D:D)),MAX($C$3:OFFSET(C3601,-1,0))+1,0)</f>
        <v>0</v>
      </c>
      <c r="E3601" s="9" t="str">
        <f t="shared" ca="1" si="68"/>
        <v/>
      </c>
      <c r="F3601" s="4" t="s">
        <v>13</v>
      </c>
      <c r="G3601" s="2">
        <f>IF(ISNUMBER(SEARCH(Лист2!$B$4,F:F)),1,0)</f>
        <v>0</v>
      </c>
      <c r="H3601" s="3">
        <f ca="1">IF(AND(I3601&lt;&gt;I3600,ISNUMBER(SEARCH(Лист2!$B$5,I:I)),G3601=1),MAX($H$3:OFFSET(H3601,-1,0))+1,0)</f>
        <v>0</v>
      </c>
      <c r="I3601" s="3" t="s">
        <v>309</v>
      </c>
      <c r="K3601" s="2">
        <f>IF(ISNUMBER(SEARCH(Лист2!$B$4,F:F)),1,0)</f>
        <v>0</v>
      </c>
      <c r="L3601" s="14">
        <f>IF(ISNUMBER(SEARCH(Лист2!$B$5,I:I)),1,0)+K3601</f>
        <v>0</v>
      </c>
      <c r="M3601" s="3">
        <f ca="1">IF(AND(N3601&lt;&gt;N3600,ISNUMBER(SEARCH(Лист2!$B$6,N:N)),L3601=2),MAX($M$3:OFFSET(M3601,-1,0))+1,0)</f>
        <v>0</v>
      </c>
      <c r="N3601" s="3" t="s">
        <v>602</v>
      </c>
    </row>
    <row r="3602" spans="1:14" x14ac:dyDescent="0.25">
      <c r="A3602" s="1" t="s">
        <v>12400</v>
      </c>
      <c r="B3602" s="3" t="s">
        <v>7226</v>
      </c>
      <c r="C3602" s="2">
        <f ca="1">IF(ISNUMBER(SEARCH(Лист2!$B$4,D:D)),MAX($C$3:OFFSET(C3602,-1,0))+1,0)</f>
        <v>0</v>
      </c>
      <c r="E3602" s="9" t="str">
        <f t="shared" ca="1" si="68"/>
        <v/>
      </c>
      <c r="F3602" s="4" t="s">
        <v>13</v>
      </c>
      <c r="G3602" s="2">
        <f>IF(ISNUMBER(SEARCH(Лист2!$B$4,F:F)),1,0)</f>
        <v>0</v>
      </c>
      <c r="H3602" s="3">
        <f ca="1">IF(AND(I3602&lt;&gt;I3601,ISNUMBER(SEARCH(Лист2!$B$5,I:I)),G3602=1),MAX($H$3:OFFSET(H3602,-1,0))+1,0)</f>
        <v>0</v>
      </c>
      <c r="I3602" s="3" t="s">
        <v>309</v>
      </c>
      <c r="K3602" s="2">
        <f>IF(ISNUMBER(SEARCH(Лист2!$B$4,F:F)),1,0)</f>
        <v>0</v>
      </c>
      <c r="L3602" s="14">
        <f>IF(ISNUMBER(SEARCH(Лист2!$B$5,I:I)),1,0)+K3602</f>
        <v>0</v>
      </c>
      <c r="M3602" s="3">
        <f ca="1">IF(AND(N3602&lt;&gt;N3601,ISNUMBER(SEARCH(Лист2!$B$6,N:N)),L3602=2),MAX($M$3:OFFSET(M3602,-1,0))+1,0)</f>
        <v>0</v>
      </c>
      <c r="N3602" s="3" t="s">
        <v>2284</v>
      </c>
    </row>
    <row r="3603" spans="1:14" x14ac:dyDescent="0.25">
      <c r="A3603" s="1" t="s">
        <v>12401</v>
      </c>
      <c r="B3603" s="3" t="s">
        <v>7227</v>
      </c>
      <c r="C3603" s="2">
        <f ca="1">IF(ISNUMBER(SEARCH(Лист2!$B$4,D:D)),MAX($C$3:OFFSET(C3603,-1,0))+1,0)</f>
        <v>0</v>
      </c>
      <c r="E3603" s="9" t="str">
        <f t="shared" ca="1" si="68"/>
        <v/>
      </c>
      <c r="F3603" s="4" t="s">
        <v>13</v>
      </c>
      <c r="G3603" s="2">
        <f>IF(ISNUMBER(SEARCH(Лист2!$B$4,F:F)),1,0)</f>
        <v>0</v>
      </c>
      <c r="H3603" s="3">
        <f ca="1">IF(AND(I3603&lt;&gt;I3602,ISNUMBER(SEARCH(Лист2!$B$5,I:I)),G3603=1),MAX($H$3:OFFSET(H3603,-1,0))+1,0)</f>
        <v>0</v>
      </c>
      <c r="I3603" s="3" t="s">
        <v>309</v>
      </c>
      <c r="K3603" s="2">
        <f>IF(ISNUMBER(SEARCH(Лист2!$B$4,F:F)),1,0)</f>
        <v>0</v>
      </c>
      <c r="L3603" s="14">
        <f>IF(ISNUMBER(SEARCH(Лист2!$B$5,I:I)),1,0)+K3603</f>
        <v>0</v>
      </c>
      <c r="M3603" s="3">
        <f ca="1">IF(AND(N3603&lt;&gt;N3602,ISNUMBER(SEARCH(Лист2!$B$6,N:N)),L3603=2),MAX($M$3:OFFSET(M3603,-1,0))+1,0)</f>
        <v>0</v>
      </c>
      <c r="N3603" s="3" t="s">
        <v>2285</v>
      </c>
    </row>
    <row r="3604" spans="1:14" x14ac:dyDescent="0.25">
      <c r="A3604" s="1" t="s">
        <v>12402</v>
      </c>
      <c r="B3604" s="3" t="s">
        <v>7228</v>
      </c>
      <c r="C3604" s="2">
        <f ca="1">IF(ISNUMBER(SEARCH(Лист2!$B$4,D:D)),MAX($C$3:OFFSET(C3604,-1,0))+1,0)</f>
        <v>0</v>
      </c>
      <c r="E3604" s="9" t="str">
        <f t="shared" ca="1" si="68"/>
        <v/>
      </c>
      <c r="F3604" s="4" t="s">
        <v>13</v>
      </c>
      <c r="G3604" s="2">
        <f>IF(ISNUMBER(SEARCH(Лист2!$B$4,F:F)),1,0)</f>
        <v>0</v>
      </c>
      <c r="H3604" s="3">
        <f ca="1">IF(AND(I3604&lt;&gt;I3603,ISNUMBER(SEARCH(Лист2!$B$5,I:I)),G3604=1),MAX($H$3:OFFSET(H3604,-1,0))+1,0)</f>
        <v>0</v>
      </c>
      <c r="I3604" s="3" t="s">
        <v>309</v>
      </c>
      <c r="K3604" s="2">
        <f>IF(ISNUMBER(SEARCH(Лист2!$B$4,F:F)),1,0)</f>
        <v>0</v>
      </c>
      <c r="L3604" s="14">
        <f>IF(ISNUMBER(SEARCH(Лист2!$B$5,I:I)),1,0)+K3604</f>
        <v>0</v>
      </c>
      <c r="M3604" s="3">
        <f ca="1">IF(AND(N3604&lt;&gt;N3603,ISNUMBER(SEARCH(Лист2!$B$6,N:N)),L3604=2),MAX($M$3:OFFSET(M3604,-1,0))+1,0)</f>
        <v>0</v>
      </c>
      <c r="N3604" s="3" t="s">
        <v>2286</v>
      </c>
    </row>
    <row r="3605" spans="1:14" x14ac:dyDescent="0.25">
      <c r="A3605" s="1" t="s">
        <v>12403</v>
      </c>
      <c r="B3605" s="3" t="s">
        <v>7229</v>
      </c>
      <c r="C3605" s="2">
        <f ca="1">IF(ISNUMBER(SEARCH(Лист2!$B$4,D:D)),MAX($C$3:OFFSET(C3605,-1,0))+1,0)</f>
        <v>0</v>
      </c>
      <c r="E3605" s="9" t="str">
        <f t="shared" ca="1" si="68"/>
        <v/>
      </c>
      <c r="F3605" s="4" t="s">
        <v>13</v>
      </c>
      <c r="G3605" s="2">
        <f>IF(ISNUMBER(SEARCH(Лист2!$B$4,F:F)),1,0)</f>
        <v>0</v>
      </c>
      <c r="H3605" s="3">
        <f ca="1">IF(AND(I3605&lt;&gt;I3604,ISNUMBER(SEARCH(Лист2!$B$5,I:I)),G3605=1),MAX($H$3:OFFSET(H3605,-1,0))+1,0)</f>
        <v>0</v>
      </c>
      <c r="I3605" s="3" t="s">
        <v>309</v>
      </c>
      <c r="K3605" s="2">
        <f>IF(ISNUMBER(SEARCH(Лист2!$B$4,F:F)),1,0)</f>
        <v>0</v>
      </c>
      <c r="L3605" s="14">
        <f>IF(ISNUMBER(SEARCH(Лист2!$B$5,I:I)),1,0)+K3605</f>
        <v>0</v>
      </c>
      <c r="M3605" s="3">
        <f ca="1">IF(AND(N3605&lt;&gt;N3604,ISNUMBER(SEARCH(Лист2!$B$6,N:N)),L3605=2),MAX($M$3:OFFSET(M3605,-1,0))+1,0)</f>
        <v>0</v>
      </c>
      <c r="N3605" s="3" t="s">
        <v>2287</v>
      </c>
    </row>
    <row r="3606" spans="1:14" x14ac:dyDescent="0.25">
      <c r="A3606" s="1" t="s">
        <v>12404</v>
      </c>
      <c r="B3606" s="3" t="s">
        <v>7230</v>
      </c>
      <c r="C3606" s="2">
        <f ca="1">IF(ISNUMBER(SEARCH(Лист2!$B$4,D:D)),MAX($C$3:OFFSET(C3606,-1,0))+1,0)</f>
        <v>0</v>
      </c>
      <c r="E3606" s="9" t="str">
        <f t="shared" ca="1" si="68"/>
        <v/>
      </c>
      <c r="F3606" s="4" t="s">
        <v>13</v>
      </c>
      <c r="G3606" s="2">
        <f>IF(ISNUMBER(SEARCH(Лист2!$B$4,F:F)),1,0)</f>
        <v>0</v>
      </c>
      <c r="H3606" s="3">
        <f ca="1">IF(AND(I3606&lt;&gt;I3605,ISNUMBER(SEARCH(Лист2!$B$5,I:I)),G3606=1),MAX($H$3:OFFSET(H3606,-1,0))+1,0)</f>
        <v>0</v>
      </c>
      <c r="I3606" s="3" t="s">
        <v>309</v>
      </c>
      <c r="K3606" s="2">
        <f>IF(ISNUMBER(SEARCH(Лист2!$B$4,F:F)),1,0)</f>
        <v>0</v>
      </c>
      <c r="L3606" s="14">
        <f>IF(ISNUMBER(SEARCH(Лист2!$B$5,I:I)),1,0)+K3606</f>
        <v>0</v>
      </c>
      <c r="M3606" s="3">
        <f ca="1">IF(AND(N3606&lt;&gt;N3605,ISNUMBER(SEARCH(Лист2!$B$6,N:N)),L3606=2),MAX($M$3:OFFSET(M3606,-1,0))+1,0)</f>
        <v>0</v>
      </c>
      <c r="N3606" s="3" t="s">
        <v>2288</v>
      </c>
    </row>
    <row r="3607" spans="1:14" x14ac:dyDescent="0.25">
      <c r="A3607" s="1" t="s">
        <v>12405</v>
      </c>
      <c r="B3607" s="3" t="s">
        <v>7231</v>
      </c>
      <c r="C3607" s="2">
        <f ca="1">IF(ISNUMBER(SEARCH(Лист2!$B$4,D:D)),MAX($C$3:OFFSET(C3607,-1,0))+1,0)</f>
        <v>0</v>
      </c>
      <c r="E3607" s="9" t="str">
        <f t="shared" ca="1" si="68"/>
        <v/>
      </c>
      <c r="F3607" s="4" t="s">
        <v>13</v>
      </c>
      <c r="G3607" s="2">
        <f>IF(ISNUMBER(SEARCH(Лист2!$B$4,F:F)),1,0)</f>
        <v>0</v>
      </c>
      <c r="H3607" s="3">
        <f ca="1">IF(AND(I3607&lt;&gt;I3606,ISNUMBER(SEARCH(Лист2!$B$5,I:I)),G3607=1),MAX($H$3:OFFSET(H3607,-1,0))+1,0)</f>
        <v>0</v>
      </c>
      <c r="I3607" s="3" t="s">
        <v>310</v>
      </c>
      <c r="K3607" s="2">
        <f>IF(ISNUMBER(SEARCH(Лист2!$B$4,F:F)),1,0)</f>
        <v>0</v>
      </c>
      <c r="L3607" s="14">
        <f>IF(ISNUMBER(SEARCH(Лист2!$B$5,I:I)),1,0)+K3607</f>
        <v>0</v>
      </c>
      <c r="M3607" s="3">
        <f ca="1">IF(AND(N3607&lt;&gt;N3606,ISNUMBER(SEARCH(Лист2!$B$6,N:N)),L3607=2),MAX($M$3:OFFSET(M3607,-1,0))+1,0)</f>
        <v>0</v>
      </c>
      <c r="N3607" s="3" t="s">
        <v>2079</v>
      </c>
    </row>
    <row r="3608" spans="1:14" x14ac:dyDescent="0.25">
      <c r="A3608" s="1" t="s">
        <v>12406</v>
      </c>
      <c r="B3608" s="3" t="s">
        <v>7232</v>
      </c>
      <c r="C3608" s="2">
        <f ca="1">IF(ISNUMBER(SEARCH(Лист2!$B$4,D:D)),MAX($C$3:OFFSET(C3608,-1,0))+1,0)</f>
        <v>0</v>
      </c>
      <c r="E3608" s="9" t="str">
        <f t="shared" ca="1" si="68"/>
        <v/>
      </c>
      <c r="F3608" s="4" t="s">
        <v>13</v>
      </c>
      <c r="G3608" s="2">
        <f>IF(ISNUMBER(SEARCH(Лист2!$B$4,F:F)),1,0)</f>
        <v>0</v>
      </c>
      <c r="H3608" s="3">
        <f ca="1">IF(AND(I3608&lt;&gt;I3607,ISNUMBER(SEARCH(Лист2!$B$5,I:I)),G3608=1),MAX($H$3:OFFSET(H3608,-1,0))+1,0)</f>
        <v>0</v>
      </c>
      <c r="I3608" s="3" t="s">
        <v>310</v>
      </c>
      <c r="K3608" s="2">
        <f>IF(ISNUMBER(SEARCH(Лист2!$B$4,F:F)),1,0)</f>
        <v>0</v>
      </c>
      <c r="L3608" s="14">
        <f>IF(ISNUMBER(SEARCH(Лист2!$B$5,I:I)),1,0)+K3608</f>
        <v>0</v>
      </c>
      <c r="M3608" s="3">
        <f ca="1">IF(AND(N3608&lt;&gt;N3607,ISNUMBER(SEARCH(Лист2!$B$6,N:N)),L3608=2),MAX($M$3:OFFSET(M3608,-1,0))+1,0)</f>
        <v>0</v>
      </c>
      <c r="N3608" s="3" t="s">
        <v>2080</v>
      </c>
    </row>
    <row r="3609" spans="1:14" x14ac:dyDescent="0.25">
      <c r="A3609" s="1" t="s">
        <v>12407</v>
      </c>
      <c r="B3609" s="3" t="s">
        <v>7233</v>
      </c>
      <c r="C3609" s="2">
        <f ca="1">IF(ISNUMBER(SEARCH(Лист2!$B$4,D:D)),MAX($C$3:OFFSET(C3609,-1,0))+1,0)</f>
        <v>0</v>
      </c>
      <c r="E3609" s="9" t="str">
        <f t="shared" ca="1" si="68"/>
        <v/>
      </c>
      <c r="F3609" s="4" t="s">
        <v>13</v>
      </c>
      <c r="G3609" s="2">
        <f>IF(ISNUMBER(SEARCH(Лист2!$B$4,F:F)),1,0)</f>
        <v>0</v>
      </c>
      <c r="H3609" s="3">
        <f ca="1">IF(AND(I3609&lt;&gt;I3608,ISNUMBER(SEARCH(Лист2!$B$5,I:I)),G3609=1),MAX($H$3:OFFSET(H3609,-1,0))+1,0)</f>
        <v>0</v>
      </c>
      <c r="I3609" s="3" t="s">
        <v>310</v>
      </c>
      <c r="K3609" s="2">
        <f>IF(ISNUMBER(SEARCH(Лист2!$B$4,F:F)),1,0)</f>
        <v>0</v>
      </c>
      <c r="L3609" s="14">
        <f>IF(ISNUMBER(SEARCH(Лист2!$B$5,I:I)),1,0)+K3609</f>
        <v>0</v>
      </c>
      <c r="M3609" s="3">
        <f ca="1">IF(AND(N3609&lt;&gt;N3608,ISNUMBER(SEARCH(Лист2!$B$6,N:N)),L3609=2),MAX($M$3:OFFSET(M3609,-1,0))+1,0)</f>
        <v>0</v>
      </c>
      <c r="N3609" s="3" t="s">
        <v>2289</v>
      </c>
    </row>
    <row r="3610" spans="1:14" x14ac:dyDescent="0.25">
      <c r="A3610" s="1" t="s">
        <v>12408</v>
      </c>
      <c r="B3610" s="3" t="s">
        <v>7234</v>
      </c>
      <c r="C3610" s="2">
        <f ca="1">IF(ISNUMBER(SEARCH(Лист2!$B$4,D:D)),MAX($C$3:OFFSET(C3610,-1,0))+1,0)</f>
        <v>0</v>
      </c>
      <c r="E3610" s="9" t="str">
        <f t="shared" ca="1" si="68"/>
        <v/>
      </c>
      <c r="F3610" s="4" t="s">
        <v>13</v>
      </c>
      <c r="G3610" s="2">
        <f>IF(ISNUMBER(SEARCH(Лист2!$B$4,F:F)),1,0)</f>
        <v>0</v>
      </c>
      <c r="H3610" s="3">
        <f ca="1">IF(AND(I3610&lt;&gt;I3609,ISNUMBER(SEARCH(Лист2!$B$5,I:I)),G3610=1),MAX($H$3:OFFSET(H3610,-1,0))+1,0)</f>
        <v>0</v>
      </c>
      <c r="I3610" s="3" t="s">
        <v>310</v>
      </c>
      <c r="K3610" s="2">
        <f>IF(ISNUMBER(SEARCH(Лист2!$B$4,F:F)),1,0)</f>
        <v>0</v>
      </c>
      <c r="L3610" s="14">
        <f>IF(ISNUMBER(SEARCH(Лист2!$B$5,I:I)),1,0)+K3610</f>
        <v>0</v>
      </c>
      <c r="M3610" s="3">
        <f ca="1">IF(AND(N3610&lt;&gt;N3609,ISNUMBER(SEARCH(Лист2!$B$6,N:N)),L3610=2),MAX($M$3:OFFSET(M3610,-1,0))+1,0)</f>
        <v>0</v>
      </c>
      <c r="N3610" s="3" t="s">
        <v>602</v>
      </c>
    </row>
    <row r="3611" spans="1:14" x14ac:dyDescent="0.25">
      <c r="A3611" s="1" t="s">
        <v>12409</v>
      </c>
      <c r="B3611" s="3" t="s">
        <v>7235</v>
      </c>
      <c r="C3611" s="2">
        <f ca="1">IF(ISNUMBER(SEARCH(Лист2!$B$4,D:D)),MAX($C$3:OFFSET(C3611,-1,0))+1,0)</f>
        <v>0</v>
      </c>
      <c r="E3611" s="9" t="str">
        <f t="shared" ca="1" si="68"/>
        <v/>
      </c>
      <c r="F3611" s="4" t="s">
        <v>13</v>
      </c>
      <c r="G3611" s="2">
        <f>IF(ISNUMBER(SEARCH(Лист2!$B$4,F:F)),1,0)</f>
        <v>0</v>
      </c>
      <c r="H3611" s="3">
        <f ca="1">IF(AND(I3611&lt;&gt;I3610,ISNUMBER(SEARCH(Лист2!$B$5,I:I)),G3611=1),MAX($H$3:OFFSET(H3611,-1,0))+1,0)</f>
        <v>0</v>
      </c>
      <c r="I3611" s="3" t="s">
        <v>310</v>
      </c>
      <c r="K3611" s="2">
        <f>IF(ISNUMBER(SEARCH(Лист2!$B$4,F:F)),1,0)</f>
        <v>0</v>
      </c>
      <c r="L3611" s="14">
        <f>IF(ISNUMBER(SEARCH(Лист2!$B$5,I:I)),1,0)+K3611</f>
        <v>0</v>
      </c>
      <c r="M3611" s="3">
        <f ca="1">IF(AND(N3611&lt;&gt;N3610,ISNUMBER(SEARCH(Лист2!$B$6,N:N)),L3611=2),MAX($M$3:OFFSET(M3611,-1,0))+1,0)</f>
        <v>0</v>
      </c>
      <c r="N3611" s="3" t="s">
        <v>2081</v>
      </c>
    </row>
    <row r="3612" spans="1:14" x14ac:dyDescent="0.25">
      <c r="A3612" s="1" t="s">
        <v>12410</v>
      </c>
      <c r="B3612" s="3" t="s">
        <v>7236</v>
      </c>
      <c r="C3612" s="2">
        <f ca="1">IF(ISNUMBER(SEARCH(Лист2!$B$4,D:D)),MAX($C$3:OFFSET(C3612,-1,0))+1,0)</f>
        <v>0</v>
      </c>
      <c r="E3612" s="9" t="str">
        <f t="shared" ca="1" si="68"/>
        <v/>
      </c>
      <c r="F3612" s="4" t="s">
        <v>13</v>
      </c>
      <c r="G3612" s="2">
        <f>IF(ISNUMBER(SEARCH(Лист2!$B$4,F:F)),1,0)</f>
        <v>0</v>
      </c>
      <c r="H3612" s="3">
        <f ca="1">IF(AND(I3612&lt;&gt;I3611,ISNUMBER(SEARCH(Лист2!$B$5,I:I)),G3612=1),MAX($H$3:OFFSET(H3612,-1,0))+1,0)</f>
        <v>0</v>
      </c>
      <c r="I3612" s="3" t="s">
        <v>310</v>
      </c>
      <c r="K3612" s="2">
        <f>IF(ISNUMBER(SEARCH(Лист2!$B$4,F:F)),1,0)</f>
        <v>0</v>
      </c>
      <c r="L3612" s="14">
        <f>IF(ISNUMBER(SEARCH(Лист2!$B$5,I:I)),1,0)+K3612</f>
        <v>0</v>
      </c>
      <c r="M3612" s="3">
        <f ca="1">IF(AND(N3612&lt;&gt;N3611,ISNUMBER(SEARCH(Лист2!$B$6,N:N)),L3612=2),MAX($M$3:OFFSET(M3612,-1,0))+1,0)</f>
        <v>0</v>
      </c>
      <c r="N3612" s="3" t="s">
        <v>2082</v>
      </c>
    </row>
    <row r="3613" spans="1:14" x14ac:dyDescent="0.25">
      <c r="A3613" s="1" t="s">
        <v>12411</v>
      </c>
      <c r="B3613" s="3" t="s">
        <v>7237</v>
      </c>
      <c r="C3613" s="2">
        <f ca="1">IF(ISNUMBER(SEARCH(Лист2!$B$4,D:D)),MAX($C$3:OFFSET(C3613,-1,0))+1,0)</f>
        <v>0</v>
      </c>
      <c r="E3613" s="9" t="str">
        <f t="shared" ca="1" si="68"/>
        <v/>
      </c>
      <c r="F3613" s="4" t="s">
        <v>13</v>
      </c>
      <c r="G3613" s="2">
        <f>IF(ISNUMBER(SEARCH(Лист2!$B$4,F:F)),1,0)</f>
        <v>0</v>
      </c>
      <c r="H3613" s="3">
        <f ca="1">IF(AND(I3613&lt;&gt;I3612,ISNUMBER(SEARCH(Лист2!$B$5,I:I)),G3613=1),MAX($H$3:OFFSET(H3613,-1,0))+1,0)</f>
        <v>0</v>
      </c>
      <c r="I3613" s="3" t="s">
        <v>310</v>
      </c>
      <c r="K3613" s="2">
        <f>IF(ISNUMBER(SEARCH(Лист2!$B$4,F:F)),1,0)</f>
        <v>0</v>
      </c>
      <c r="L3613" s="14">
        <f>IF(ISNUMBER(SEARCH(Лист2!$B$5,I:I)),1,0)+K3613</f>
        <v>0</v>
      </c>
      <c r="M3613" s="3">
        <f ca="1">IF(AND(N3613&lt;&gt;N3612,ISNUMBER(SEARCH(Лист2!$B$6,N:N)),L3613=2),MAX($M$3:OFFSET(M3613,-1,0))+1,0)</f>
        <v>0</v>
      </c>
      <c r="N3613" s="3" t="s">
        <v>2083</v>
      </c>
    </row>
    <row r="3614" spans="1:14" x14ac:dyDescent="0.25">
      <c r="A3614" s="1" t="s">
        <v>12412</v>
      </c>
      <c r="B3614" s="3" t="s">
        <v>7238</v>
      </c>
      <c r="C3614" s="2">
        <f ca="1">IF(ISNUMBER(SEARCH(Лист2!$B$4,D:D)),MAX($C$3:OFFSET(C3614,-1,0))+1,0)</f>
        <v>0</v>
      </c>
      <c r="E3614" s="9" t="str">
        <f t="shared" ca="1" si="68"/>
        <v/>
      </c>
      <c r="F3614" s="4" t="s">
        <v>13</v>
      </c>
      <c r="G3614" s="2">
        <f>IF(ISNUMBER(SEARCH(Лист2!$B$4,F:F)),1,0)</f>
        <v>0</v>
      </c>
      <c r="H3614" s="3">
        <f ca="1">IF(AND(I3614&lt;&gt;I3613,ISNUMBER(SEARCH(Лист2!$B$5,I:I)),G3614=1),MAX($H$3:OFFSET(H3614,-1,0))+1,0)</f>
        <v>0</v>
      </c>
      <c r="I3614" s="3" t="s">
        <v>310</v>
      </c>
      <c r="K3614" s="2">
        <f>IF(ISNUMBER(SEARCH(Лист2!$B$4,F:F)),1,0)</f>
        <v>0</v>
      </c>
      <c r="L3614" s="14">
        <f>IF(ISNUMBER(SEARCH(Лист2!$B$5,I:I)),1,0)+K3614</f>
        <v>0</v>
      </c>
      <c r="M3614" s="3">
        <f ca="1">IF(AND(N3614&lt;&gt;N3613,ISNUMBER(SEARCH(Лист2!$B$6,N:N)),L3614=2),MAX($M$3:OFFSET(M3614,-1,0))+1,0)</f>
        <v>0</v>
      </c>
      <c r="N3614" s="3" t="s">
        <v>2287</v>
      </c>
    </row>
    <row r="3615" spans="1:14" x14ac:dyDescent="0.25">
      <c r="A3615" s="1" t="s">
        <v>12413</v>
      </c>
      <c r="B3615" s="3" t="s">
        <v>7239</v>
      </c>
      <c r="C3615" s="2">
        <f ca="1">IF(ISNUMBER(SEARCH(Лист2!$B$4,D:D)),MAX($C$3:OFFSET(C3615,-1,0))+1,0)</f>
        <v>0</v>
      </c>
      <c r="E3615" s="9" t="str">
        <f t="shared" ca="1" si="68"/>
        <v/>
      </c>
      <c r="F3615" s="4" t="s">
        <v>13</v>
      </c>
      <c r="G3615" s="2">
        <f>IF(ISNUMBER(SEARCH(Лист2!$B$4,F:F)),1,0)</f>
        <v>0</v>
      </c>
      <c r="H3615" s="3">
        <f ca="1">IF(AND(I3615&lt;&gt;I3614,ISNUMBER(SEARCH(Лист2!$B$5,I:I)),G3615=1),MAX($H$3:OFFSET(H3615,-1,0))+1,0)</f>
        <v>0</v>
      </c>
      <c r="I3615" s="3" t="s">
        <v>310</v>
      </c>
      <c r="K3615" s="2">
        <f>IF(ISNUMBER(SEARCH(Лист2!$B$4,F:F)),1,0)</f>
        <v>0</v>
      </c>
      <c r="L3615" s="14">
        <f>IF(ISNUMBER(SEARCH(Лист2!$B$5,I:I)),1,0)+K3615</f>
        <v>0</v>
      </c>
      <c r="M3615" s="3">
        <f ca="1">IF(AND(N3615&lt;&gt;N3614,ISNUMBER(SEARCH(Лист2!$B$6,N:N)),L3615=2),MAX($M$3:OFFSET(M3615,-1,0))+1,0)</f>
        <v>0</v>
      </c>
      <c r="N3615" s="3" t="s">
        <v>2288</v>
      </c>
    </row>
    <row r="3616" spans="1:14" x14ac:dyDescent="0.25">
      <c r="A3616" s="1" t="s">
        <v>12414</v>
      </c>
      <c r="B3616" s="3" t="s">
        <v>7240</v>
      </c>
      <c r="C3616" s="2">
        <f ca="1">IF(ISNUMBER(SEARCH(Лист2!$B$4,D:D)),MAX($C$3:OFFSET(C3616,-1,0))+1,0)</f>
        <v>0</v>
      </c>
      <c r="E3616" s="9" t="str">
        <f t="shared" ca="1" si="68"/>
        <v/>
      </c>
      <c r="F3616" s="4" t="s">
        <v>13</v>
      </c>
      <c r="G3616" s="2">
        <f>IF(ISNUMBER(SEARCH(Лист2!$B$4,F:F)),1,0)</f>
        <v>0</v>
      </c>
      <c r="H3616" s="3">
        <f ca="1">IF(AND(I3616&lt;&gt;I3615,ISNUMBER(SEARCH(Лист2!$B$5,I:I)),G3616=1),MAX($H$3:OFFSET(H3616,-1,0))+1,0)</f>
        <v>0</v>
      </c>
      <c r="I3616" s="3" t="s">
        <v>310</v>
      </c>
      <c r="K3616" s="2">
        <f>IF(ISNUMBER(SEARCH(Лист2!$B$4,F:F)),1,0)</f>
        <v>0</v>
      </c>
      <c r="L3616" s="14">
        <f>IF(ISNUMBER(SEARCH(Лист2!$B$5,I:I)),1,0)+K3616</f>
        <v>0</v>
      </c>
      <c r="M3616" s="3">
        <f ca="1">IF(AND(N3616&lt;&gt;N3615,ISNUMBER(SEARCH(Лист2!$B$6,N:N)),L3616=2),MAX($M$3:OFFSET(M3616,-1,0))+1,0)</f>
        <v>0</v>
      </c>
      <c r="N3616" s="3" t="s">
        <v>2290</v>
      </c>
    </row>
    <row r="3617" spans="1:14" x14ac:dyDescent="0.25">
      <c r="A3617" s="1" t="s">
        <v>12415</v>
      </c>
      <c r="B3617" s="3" t="s">
        <v>7241</v>
      </c>
      <c r="C3617" s="2">
        <f ca="1">IF(ISNUMBER(SEARCH(Лист2!$B$4,D:D)),MAX($C$3:OFFSET(C3617,-1,0))+1,0)</f>
        <v>0</v>
      </c>
      <c r="E3617" s="9" t="str">
        <f t="shared" ca="1" si="68"/>
        <v/>
      </c>
      <c r="F3617" s="4" t="s">
        <v>13</v>
      </c>
      <c r="G3617" s="2">
        <f>IF(ISNUMBER(SEARCH(Лист2!$B$4,F:F)),1,0)</f>
        <v>0</v>
      </c>
      <c r="H3617" s="3">
        <f ca="1">IF(AND(I3617&lt;&gt;I3616,ISNUMBER(SEARCH(Лист2!$B$5,I:I)),G3617=1),MAX($H$3:OFFSET(H3617,-1,0))+1,0)</f>
        <v>0</v>
      </c>
      <c r="I3617" s="3" t="s">
        <v>310</v>
      </c>
      <c r="K3617" s="2">
        <f>IF(ISNUMBER(SEARCH(Лист2!$B$4,F:F)),1,0)</f>
        <v>0</v>
      </c>
      <c r="L3617" s="14">
        <f>IF(ISNUMBER(SEARCH(Лист2!$B$5,I:I)),1,0)+K3617</f>
        <v>0</v>
      </c>
      <c r="M3617" s="3">
        <f ca="1">IF(AND(N3617&lt;&gt;N3616,ISNUMBER(SEARCH(Лист2!$B$6,N:N)),L3617=2),MAX($M$3:OFFSET(M3617,-1,0))+1,0)</f>
        <v>0</v>
      </c>
      <c r="N3617" s="3" t="s">
        <v>2291</v>
      </c>
    </row>
    <row r="3618" spans="1:14" x14ac:dyDescent="0.25">
      <c r="A3618" s="1" t="s">
        <v>12416</v>
      </c>
      <c r="B3618" s="3" t="s">
        <v>7242</v>
      </c>
      <c r="C3618" s="2">
        <f ca="1">IF(ISNUMBER(SEARCH(Лист2!$B$4,D:D)),MAX($C$3:OFFSET(C3618,-1,0))+1,0)</f>
        <v>0</v>
      </c>
      <c r="E3618" s="9" t="str">
        <f t="shared" ca="1" si="68"/>
        <v/>
      </c>
      <c r="F3618" s="4" t="s">
        <v>13</v>
      </c>
      <c r="G3618" s="2">
        <f>IF(ISNUMBER(SEARCH(Лист2!$B$4,F:F)),1,0)</f>
        <v>0</v>
      </c>
      <c r="H3618" s="3">
        <f ca="1">IF(AND(I3618&lt;&gt;I3617,ISNUMBER(SEARCH(Лист2!$B$5,I:I)),G3618=1),MAX($H$3:OFFSET(H3618,-1,0))+1,0)</f>
        <v>0</v>
      </c>
      <c r="I3618" s="3" t="s">
        <v>311</v>
      </c>
      <c r="K3618" s="2">
        <f>IF(ISNUMBER(SEARCH(Лист2!$B$4,F:F)),1,0)</f>
        <v>0</v>
      </c>
      <c r="L3618" s="14">
        <f>IF(ISNUMBER(SEARCH(Лист2!$B$5,I:I)),1,0)+K3618</f>
        <v>0</v>
      </c>
      <c r="M3618" s="3">
        <f ca="1">IF(AND(N3618&lt;&gt;N3617,ISNUMBER(SEARCH(Лист2!$B$6,N:N)),L3618=2),MAX($M$3:OFFSET(M3618,-1,0))+1,0)</f>
        <v>0</v>
      </c>
      <c r="N3618" s="3" t="s">
        <v>1954</v>
      </c>
    </row>
    <row r="3619" spans="1:14" x14ac:dyDescent="0.25">
      <c r="A3619" s="1" t="s">
        <v>12417</v>
      </c>
      <c r="B3619" s="3" t="s">
        <v>7243</v>
      </c>
      <c r="C3619" s="2">
        <f ca="1">IF(ISNUMBER(SEARCH(Лист2!$B$4,D:D)),MAX($C$3:OFFSET(C3619,-1,0))+1,0)</f>
        <v>0</v>
      </c>
      <c r="E3619" s="9" t="str">
        <f t="shared" ca="1" si="68"/>
        <v/>
      </c>
      <c r="F3619" s="4" t="s">
        <v>13</v>
      </c>
      <c r="G3619" s="2">
        <f>IF(ISNUMBER(SEARCH(Лист2!$B$4,F:F)),1,0)</f>
        <v>0</v>
      </c>
      <c r="H3619" s="3">
        <f ca="1">IF(AND(I3619&lt;&gt;I3618,ISNUMBER(SEARCH(Лист2!$B$5,I:I)),G3619=1),MAX($H$3:OFFSET(H3619,-1,0))+1,0)</f>
        <v>0</v>
      </c>
      <c r="I3619" s="3" t="s">
        <v>311</v>
      </c>
      <c r="K3619" s="2">
        <f>IF(ISNUMBER(SEARCH(Лист2!$B$4,F:F)),1,0)</f>
        <v>0</v>
      </c>
      <c r="L3619" s="14">
        <f>IF(ISNUMBER(SEARCH(Лист2!$B$5,I:I)),1,0)+K3619</f>
        <v>0</v>
      </c>
      <c r="M3619" s="3">
        <f ca="1">IF(AND(N3619&lt;&gt;N3618,ISNUMBER(SEARCH(Лист2!$B$6,N:N)),L3619=2),MAX($M$3:OFFSET(M3619,-1,0))+1,0)</f>
        <v>0</v>
      </c>
      <c r="N3619" s="3" t="s">
        <v>1955</v>
      </c>
    </row>
    <row r="3620" spans="1:14" x14ac:dyDescent="0.25">
      <c r="A3620" s="1" t="s">
        <v>12418</v>
      </c>
      <c r="B3620" s="3" t="s">
        <v>7244</v>
      </c>
      <c r="C3620" s="2">
        <f ca="1">IF(ISNUMBER(SEARCH(Лист2!$B$4,D:D)),MAX($C$3:OFFSET(C3620,-1,0))+1,0)</f>
        <v>0</v>
      </c>
      <c r="E3620" s="9" t="str">
        <f t="shared" ca="1" si="68"/>
        <v/>
      </c>
      <c r="F3620" s="4" t="s">
        <v>13</v>
      </c>
      <c r="G3620" s="2">
        <f>IF(ISNUMBER(SEARCH(Лист2!$B$4,F:F)),1,0)</f>
        <v>0</v>
      </c>
      <c r="H3620" s="3">
        <f ca="1">IF(AND(I3620&lt;&gt;I3619,ISNUMBER(SEARCH(Лист2!$B$5,I:I)),G3620=1),MAX($H$3:OFFSET(H3620,-1,0))+1,0)</f>
        <v>0</v>
      </c>
      <c r="I3620" s="3" t="s">
        <v>311</v>
      </c>
      <c r="K3620" s="2">
        <f>IF(ISNUMBER(SEARCH(Лист2!$B$4,F:F)),1,0)</f>
        <v>0</v>
      </c>
      <c r="L3620" s="14">
        <f>IF(ISNUMBER(SEARCH(Лист2!$B$5,I:I)),1,0)+K3620</f>
        <v>0</v>
      </c>
      <c r="M3620" s="3">
        <f ca="1">IF(AND(N3620&lt;&gt;N3619,ISNUMBER(SEARCH(Лист2!$B$6,N:N)),L3620=2),MAX($M$3:OFFSET(M3620,-1,0))+1,0)</f>
        <v>0</v>
      </c>
      <c r="N3620" s="3" t="s">
        <v>2292</v>
      </c>
    </row>
    <row r="3621" spans="1:14" x14ac:dyDescent="0.25">
      <c r="A3621" s="1" t="s">
        <v>12419</v>
      </c>
      <c r="B3621" s="3" t="s">
        <v>7245</v>
      </c>
      <c r="C3621" s="2">
        <f ca="1">IF(ISNUMBER(SEARCH(Лист2!$B$4,D:D)),MAX($C$3:OFFSET(C3621,-1,0))+1,0)</f>
        <v>0</v>
      </c>
      <c r="E3621" s="9" t="str">
        <f t="shared" ca="1" si="68"/>
        <v/>
      </c>
      <c r="F3621" s="4" t="s">
        <v>13</v>
      </c>
      <c r="G3621" s="2">
        <f>IF(ISNUMBER(SEARCH(Лист2!$B$4,F:F)),1,0)</f>
        <v>0</v>
      </c>
      <c r="H3621" s="3">
        <f ca="1">IF(AND(I3621&lt;&gt;I3620,ISNUMBER(SEARCH(Лист2!$B$5,I:I)),G3621=1),MAX($H$3:OFFSET(H3621,-1,0))+1,0)</f>
        <v>0</v>
      </c>
      <c r="I3621" s="3" t="s">
        <v>311</v>
      </c>
      <c r="K3621" s="2">
        <f>IF(ISNUMBER(SEARCH(Лист2!$B$4,F:F)),1,0)</f>
        <v>0</v>
      </c>
      <c r="L3621" s="14">
        <f>IF(ISNUMBER(SEARCH(Лист2!$B$5,I:I)),1,0)+K3621</f>
        <v>0</v>
      </c>
      <c r="M3621" s="3">
        <f ca="1">IF(AND(N3621&lt;&gt;N3620,ISNUMBER(SEARCH(Лист2!$B$6,N:N)),L3621=2),MAX($M$3:OFFSET(M3621,-1,0))+1,0)</f>
        <v>0</v>
      </c>
      <c r="N3621" s="3" t="s">
        <v>602</v>
      </c>
    </row>
    <row r="3622" spans="1:14" x14ac:dyDescent="0.25">
      <c r="A3622" s="1" t="s">
        <v>12420</v>
      </c>
      <c r="B3622" s="3" t="s">
        <v>7246</v>
      </c>
      <c r="C3622" s="2">
        <f ca="1">IF(ISNUMBER(SEARCH(Лист2!$B$4,D:D)),MAX($C$3:OFFSET(C3622,-1,0))+1,0)</f>
        <v>0</v>
      </c>
      <c r="E3622" s="9" t="str">
        <f t="shared" ca="1" si="68"/>
        <v/>
      </c>
      <c r="F3622" s="4" t="s">
        <v>13</v>
      </c>
      <c r="G3622" s="2">
        <f>IF(ISNUMBER(SEARCH(Лист2!$B$4,F:F)),1,0)</f>
        <v>0</v>
      </c>
      <c r="H3622" s="3">
        <f ca="1">IF(AND(I3622&lt;&gt;I3621,ISNUMBER(SEARCH(Лист2!$B$5,I:I)),G3622=1),MAX($H$3:OFFSET(H3622,-1,0))+1,0)</f>
        <v>0</v>
      </c>
      <c r="I3622" s="3" t="s">
        <v>311</v>
      </c>
      <c r="K3622" s="2">
        <f>IF(ISNUMBER(SEARCH(Лист2!$B$4,F:F)),1,0)</f>
        <v>0</v>
      </c>
      <c r="L3622" s="14">
        <f>IF(ISNUMBER(SEARCH(Лист2!$B$5,I:I)),1,0)+K3622</f>
        <v>0</v>
      </c>
      <c r="M3622" s="3">
        <f ca="1">IF(AND(N3622&lt;&gt;N3621,ISNUMBER(SEARCH(Лист2!$B$6,N:N)),L3622=2),MAX($M$3:OFFSET(M3622,-1,0))+1,0)</f>
        <v>0</v>
      </c>
      <c r="N3622" s="3" t="s">
        <v>1956</v>
      </c>
    </row>
    <row r="3623" spans="1:14" x14ac:dyDescent="0.25">
      <c r="A3623" s="1" t="s">
        <v>12421</v>
      </c>
      <c r="B3623" s="3" t="s">
        <v>7247</v>
      </c>
      <c r="C3623" s="2">
        <f ca="1">IF(ISNUMBER(SEARCH(Лист2!$B$4,D:D)),MAX($C$3:OFFSET(C3623,-1,0))+1,0)</f>
        <v>0</v>
      </c>
      <c r="E3623" s="9" t="str">
        <f t="shared" ca="1" si="68"/>
        <v/>
      </c>
      <c r="F3623" s="4" t="s">
        <v>13</v>
      </c>
      <c r="G3623" s="2">
        <f>IF(ISNUMBER(SEARCH(Лист2!$B$4,F:F)),1,0)</f>
        <v>0</v>
      </c>
      <c r="H3623" s="3">
        <f ca="1">IF(AND(I3623&lt;&gt;I3622,ISNUMBER(SEARCH(Лист2!$B$5,I:I)),G3623=1),MAX($H$3:OFFSET(H3623,-1,0))+1,0)</f>
        <v>0</v>
      </c>
      <c r="I3623" s="3" t="s">
        <v>311</v>
      </c>
      <c r="K3623" s="2">
        <f>IF(ISNUMBER(SEARCH(Лист2!$B$4,F:F)),1,0)</f>
        <v>0</v>
      </c>
      <c r="L3623" s="14">
        <f>IF(ISNUMBER(SEARCH(Лист2!$B$5,I:I)),1,0)+K3623</f>
        <v>0</v>
      </c>
      <c r="M3623" s="3">
        <f ca="1">IF(AND(N3623&lt;&gt;N3622,ISNUMBER(SEARCH(Лист2!$B$6,N:N)),L3623=2),MAX($M$3:OFFSET(M3623,-1,0))+1,0)</f>
        <v>0</v>
      </c>
      <c r="N3623" s="3" t="s">
        <v>2293</v>
      </c>
    </row>
    <row r="3624" spans="1:14" x14ac:dyDescent="0.25">
      <c r="A3624" s="1" t="s">
        <v>12422</v>
      </c>
      <c r="B3624" s="3" t="s">
        <v>7248</v>
      </c>
      <c r="C3624" s="2">
        <f ca="1">IF(ISNUMBER(SEARCH(Лист2!$B$4,D:D)),MAX($C$3:OFFSET(C3624,-1,0))+1,0)</f>
        <v>0</v>
      </c>
      <c r="E3624" s="9" t="str">
        <f t="shared" ca="1" si="68"/>
        <v/>
      </c>
      <c r="F3624" s="4" t="s">
        <v>13</v>
      </c>
      <c r="G3624" s="2">
        <f>IF(ISNUMBER(SEARCH(Лист2!$B$4,F:F)),1,0)</f>
        <v>0</v>
      </c>
      <c r="H3624" s="3">
        <f ca="1">IF(AND(I3624&lt;&gt;I3623,ISNUMBER(SEARCH(Лист2!$B$5,I:I)),G3624=1),MAX($H$3:OFFSET(H3624,-1,0))+1,0)</f>
        <v>0</v>
      </c>
      <c r="I3624" s="3" t="s">
        <v>311</v>
      </c>
      <c r="K3624" s="2">
        <f>IF(ISNUMBER(SEARCH(Лист2!$B$4,F:F)),1,0)</f>
        <v>0</v>
      </c>
      <c r="L3624" s="14">
        <f>IF(ISNUMBER(SEARCH(Лист2!$B$5,I:I)),1,0)+K3624</f>
        <v>0</v>
      </c>
      <c r="M3624" s="3">
        <f ca="1">IF(AND(N3624&lt;&gt;N3623,ISNUMBER(SEARCH(Лист2!$B$6,N:N)),L3624=2),MAX($M$3:OFFSET(M3624,-1,0))+1,0)</f>
        <v>0</v>
      </c>
      <c r="N3624" s="3" t="s">
        <v>1958</v>
      </c>
    </row>
    <row r="3625" spans="1:14" x14ac:dyDescent="0.25">
      <c r="A3625" s="1" t="s">
        <v>12423</v>
      </c>
      <c r="B3625" s="3" t="s">
        <v>7249</v>
      </c>
      <c r="C3625" s="2">
        <f ca="1">IF(ISNUMBER(SEARCH(Лист2!$B$4,D:D)),MAX($C$3:OFFSET(C3625,-1,0))+1,0)</f>
        <v>0</v>
      </c>
      <c r="E3625" s="9" t="str">
        <f t="shared" ca="1" si="68"/>
        <v/>
      </c>
      <c r="F3625" s="4" t="s">
        <v>13</v>
      </c>
      <c r="G3625" s="2">
        <f>IF(ISNUMBER(SEARCH(Лист2!$B$4,F:F)),1,0)</f>
        <v>0</v>
      </c>
      <c r="H3625" s="3">
        <f ca="1">IF(AND(I3625&lt;&gt;I3624,ISNUMBER(SEARCH(Лист2!$B$5,I:I)),G3625=1),MAX($H$3:OFFSET(H3625,-1,0))+1,0)</f>
        <v>0</v>
      </c>
      <c r="I3625" s="3" t="s">
        <v>311</v>
      </c>
      <c r="K3625" s="2">
        <f>IF(ISNUMBER(SEARCH(Лист2!$B$4,F:F)),1,0)</f>
        <v>0</v>
      </c>
      <c r="L3625" s="14">
        <f>IF(ISNUMBER(SEARCH(Лист2!$B$5,I:I)),1,0)+K3625</f>
        <v>0</v>
      </c>
      <c r="M3625" s="3">
        <f ca="1">IF(AND(N3625&lt;&gt;N3624,ISNUMBER(SEARCH(Лист2!$B$6,N:N)),L3625=2),MAX($M$3:OFFSET(M3625,-1,0))+1,0)</f>
        <v>0</v>
      </c>
      <c r="N3625" s="3" t="s">
        <v>2294</v>
      </c>
    </row>
    <row r="3626" spans="1:14" x14ac:dyDescent="0.25">
      <c r="A3626" s="1" t="s">
        <v>12424</v>
      </c>
      <c r="B3626" s="3" t="s">
        <v>7250</v>
      </c>
      <c r="C3626" s="2">
        <f ca="1">IF(ISNUMBER(SEARCH(Лист2!$B$4,D:D)),MAX($C$3:OFFSET(C3626,-1,0))+1,0)</f>
        <v>0</v>
      </c>
      <c r="E3626" s="9" t="str">
        <f t="shared" ca="1" si="68"/>
        <v/>
      </c>
      <c r="F3626" s="4" t="s">
        <v>13</v>
      </c>
      <c r="G3626" s="2">
        <f>IF(ISNUMBER(SEARCH(Лист2!$B$4,F:F)),1,0)</f>
        <v>0</v>
      </c>
      <c r="H3626" s="3">
        <f ca="1">IF(AND(I3626&lt;&gt;I3625,ISNUMBER(SEARCH(Лист2!$B$5,I:I)),G3626=1),MAX($H$3:OFFSET(H3626,-1,0))+1,0)</f>
        <v>0</v>
      </c>
      <c r="I3626" s="3" t="s">
        <v>311</v>
      </c>
      <c r="K3626" s="2">
        <f>IF(ISNUMBER(SEARCH(Лист2!$B$4,F:F)),1,0)</f>
        <v>0</v>
      </c>
      <c r="L3626" s="14">
        <f>IF(ISNUMBER(SEARCH(Лист2!$B$5,I:I)),1,0)+K3626</f>
        <v>0</v>
      </c>
      <c r="M3626" s="3">
        <f ca="1">IF(AND(N3626&lt;&gt;N3625,ISNUMBER(SEARCH(Лист2!$B$6,N:N)),L3626=2),MAX($M$3:OFFSET(M3626,-1,0))+1,0)</f>
        <v>0</v>
      </c>
      <c r="N3626" s="3" t="s">
        <v>2295</v>
      </c>
    </row>
    <row r="3627" spans="1:14" x14ac:dyDescent="0.25">
      <c r="A3627" s="1" t="s">
        <v>12425</v>
      </c>
      <c r="B3627" s="3" t="s">
        <v>7251</v>
      </c>
      <c r="C3627" s="2">
        <f ca="1">IF(ISNUMBER(SEARCH(Лист2!$B$4,D:D)),MAX($C$3:OFFSET(C3627,-1,0))+1,0)</f>
        <v>0</v>
      </c>
      <c r="E3627" s="9" t="str">
        <f t="shared" ca="1" si="68"/>
        <v/>
      </c>
      <c r="F3627" s="4" t="s">
        <v>13</v>
      </c>
      <c r="G3627" s="2">
        <f>IF(ISNUMBER(SEARCH(Лист2!$B$4,F:F)),1,0)</f>
        <v>0</v>
      </c>
      <c r="H3627" s="3">
        <f ca="1">IF(AND(I3627&lt;&gt;I3626,ISNUMBER(SEARCH(Лист2!$B$5,I:I)),G3627=1),MAX($H$3:OFFSET(H3627,-1,0))+1,0)</f>
        <v>0</v>
      </c>
      <c r="I3627" s="3" t="s">
        <v>311</v>
      </c>
      <c r="K3627" s="2">
        <f>IF(ISNUMBER(SEARCH(Лист2!$B$4,F:F)),1,0)</f>
        <v>0</v>
      </c>
      <c r="L3627" s="14">
        <f>IF(ISNUMBER(SEARCH(Лист2!$B$5,I:I)),1,0)+K3627</f>
        <v>0</v>
      </c>
      <c r="M3627" s="3">
        <f ca="1">IF(AND(N3627&lt;&gt;N3626,ISNUMBER(SEARCH(Лист2!$B$6,N:N)),L3627=2),MAX($M$3:OFFSET(M3627,-1,0))+1,0)</f>
        <v>0</v>
      </c>
      <c r="N3627" s="3" t="s">
        <v>2291</v>
      </c>
    </row>
    <row r="3628" spans="1:14" x14ac:dyDescent="0.25">
      <c r="A3628" s="1" t="s">
        <v>12426</v>
      </c>
      <c r="B3628" s="3" t="s">
        <v>7252</v>
      </c>
      <c r="C3628" s="2">
        <f ca="1">IF(ISNUMBER(SEARCH(Лист2!$B$4,D:D)),MAX($C$3:OFFSET(C3628,-1,0))+1,0)</f>
        <v>0</v>
      </c>
      <c r="E3628" s="9" t="str">
        <f t="shared" ca="1" si="68"/>
        <v/>
      </c>
      <c r="F3628" s="4" t="s">
        <v>13</v>
      </c>
      <c r="G3628" s="2">
        <f>IF(ISNUMBER(SEARCH(Лист2!$B$4,F:F)),1,0)</f>
        <v>0</v>
      </c>
      <c r="H3628" s="3">
        <f ca="1">IF(AND(I3628&lt;&gt;I3627,ISNUMBER(SEARCH(Лист2!$B$5,I:I)),G3628=1),MAX($H$3:OFFSET(H3628,-1,0))+1,0)</f>
        <v>0</v>
      </c>
      <c r="I3628" s="3" t="s">
        <v>312</v>
      </c>
      <c r="K3628" s="2">
        <f>IF(ISNUMBER(SEARCH(Лист2!$B$4,F:F)),1,0)</f>
        <v>0</v>
      </c>
      <c r="L3628" s="14">
        <f>IF(ISNUMBER(SEARCH(Лист2!$B$5,I:I)),1,0)+K3628</f>
        <v>0</v>
      </c>
      <c r="M3628" s="3">
        <f ca="1">IF(AND(N3628&lt;&gt;N3627,ISNUMBER(SEARCH(Лист2!$B$6,N:N)),L3628=2),MAX($M$3:OFFSET(M3628,-1,0))+1,0)</f>
        <v>0</v>
      </c>
      <c r="N3628" s="3" t="s">
        <v>702</v>
      </c>
    </row>
    <row r="3629" spans="1:14" x14ac:dyDescent="0.25">
      <c r="A3629" s="1" t="s">
        <v>12427</v>
      </c>
      <c r="B3629" s="3" t="s">
        <v>7253</v>
      </c>
      <c r="C3629" s="2">
        <f ca="1">IF(ISNUMBER(SEARCH(Лист2!$B$4,D:D)),MAX($C$3:OFFSET(C3629,-1,0))+1,0)</f>
        <v>0</v>
      </c>
      <c r="E3629" s="9" t="str">
        <f t="shared" ca="1" si="68"/>
        <v/>
      </c>
      <c r="F3629" s="4" t="s">
        <v>13</v>
      </c>
      <c r="G3629" s="2">
        <f>IF(ISNUMBER(SEARCH(Лист2!$B$4,F:F)),1,0)</f>
        <v>0</v>
      </c>
      <c r="H3629" s="3">
        <f ca="1">IF(AND(I3629&lt;&gt;I3628,ISNUMBER(SEARCH(Лист2!$B$5,I:I)),G3629=1),MAX($H$3:OFFSET(H3629,-1,0))+1,0)</f>
        <v>0</v>
      </c>
      <c r="I3629" s="3" t="s">
        <v>312</v>
      </c>
      <c r="K3629" s="2">
        <f>IF(ISNUMBER(SEARCH(Лист2!$B$4,F:F)),1,0)</f>
        <v>0</v>
      </c>
      <c r="L3629" s="14">
        <f>IF(ISNUMBER(SEARCH(Лист2!$B$5,I:I)),1,0)+K3629</f>
        <v>0</v>
      </c>
      <c r="M3629" s="3">
        <f ca="1">IF(AND(N3629&lt;&gt;N3628,ISNUMBER(SEARCH(Лист2!$B$6,N:N)),L3629=2),MAX($M$3:OFFSET(M3629,-1,0))+1,0)</f>
        <v>0</v>
      </c>
      <c r="N3629" s="3" t="s">
        <v>704</v>
      </c>
    </row>
    <row r="3630" spans="1:14" x14ac:dyDescent="0.25">
      <c r="A3630" s="1" t="s">
        <v>12428</v>
      </c>
      <c r="B3630" s="3" t="s">
        <v>7254</v>
      </c>
      <c r="C3630" s="2">
        <f ca="1">IF(ISNUMBER(SEARCH(Лист2!$B$4,D:D)),MAX($C$3:OFFSET(C3630,-1,0))+1,0)</f>
        <v>0</v>
      </c>
      <c r="E3630" s="9" t="str">
        <f t="shared" ca="1" si="68"/>
        <v/>
      </c>
      <c r="F3630" s="4" t="s">
        <v>13</v>
      </c>
      <c r="G3630" s="2">
        <f>IF(ISNUMBER(SEARCH(Лист2!$B$4,F:F)),1,0)</f>
        <v>0</v>
      </c>
      <c r="H3630" s="3">
        <f ca="1">IF(AND(I3630&lt;&gt;I3629,ISNUMBER(SEARCH(Лист2!$B$5,I:I)),G3630=1),MAX($H$3:OFFSET(H3630,-1,0))+1,0)</f>
        <v>0</v>
      </c>
      <c r="I3630" s="3" t="s">
        <v>312</v>
      </c>
      <c r="K3630" s="2">
        <f>IF(ISNUMBER(SEARCH(Лист2!$B$4,F:F)),1,0)</f>
        <v>0</v>
      </c>
      <c r="L3630" s="14">
        <f>IF(ISNUMBER(SEARCH(Лист2!$B$5,I:I)),1,0)+K3630</f>
        <v>0</v>
      </c>
      <c r="M3630" s="3">
        <f ca="1">IF(AND(N3630&lt;&gt;N3629,ISNUMBER(SEARCH(Лист2!$B$6,N:N)),L3630=2),MAX($M$3:OFFSET(M3630,-1,0))+1,0)</f>
        <v>0</v>
      </c>
      <c r="N3630" s="3" t="s">
        <v>2296</v>
      </c>
    </row>
    <row r="3631" spans="1:14" x14ac:dyDescent="0.25">
      <c r="A3631" s="1" t="s">
        <v>12429</v>
      </c>
      <c r="B3631" s="3" t="s">
        <v>7255</v>
      </c>
      <c r="C3631" s="2">
        <f ca="1">IF(ISNUMBER(SEARCH(Лист2!$B$4,D:D)),MAX($C$3:OFFSET(C3631,-1,0))+1,0)</f>
        <v>0</v>
      </c>
      <c r="E3631" s="9" t="str">
        <f t="shared" ca="1" si="68"/>
        <v/>
      </c>
      <c r="F3631" s="4" t="s">
        <v>13</v>
      </c>
      <c r="G3631" s="2">
        <f>IF(ISNUMBER(SEARCH(Лист2!$B$4,F:F)),1,0)</f>
        <v>0</v>
      </c>
      <c r="H3631" s="3">
        <f ca="1">IF(AND(I3631&lt;&gt;I3630,ISNUMBER(SEARCH(Лист2!$B$5,I:I)),G3631=1),MAX($H$3:OFFSET(H3631,-1,0))+1,0)</f>
        <v>0</v>
      </c>
      <c r="I3631" s="3" t="s">
        <v>312</v>
      </c>
      <c r="K3631" s="2">
        <f>IF(ISNUMBER(SEARCH(Лист2!$B$4,F:F)),1,0)</f>
        <v>0</v>
      </c>
      <c r="L3631" s="14">
        <f>IF(ISNUMBER(SEARCH(Лист2!$B$5,I:I)),1,0)+K3631</f>
        <v>0</v>
      </c>
      <c r="M3631" s="3">
        <f ca="1">IF(AND(N3631&lt;&gt;N3630,ISNUMBER(SEARCH(Лист2!$B$6,N:N)),L3631=2),MAX($M$3:OFFSET(M3631,-1,0))+1,0)</f>
        <v>0</v>
      </c>
      <c r="N3631" s="3" t="s">
        <v>602</v>
      </c>
    </row>
    <row r="3632" spans="1:14" x14ac:dyDescent="0.25">
      <c r="A3632" s="1" t="s">
        <v>12430</v>
      </c>
      <c r="B3632" s="3" t="s">
        <v>7256</v>
      </c>
      <c r="C3632" s="2">
        <f ca="1">IF(ISNUMBER(SEARCH(Лист2!$B$4,D:D)),MAX($C$3:OFFSET(C3632,-1,0))+1,0)</f>
        <v>0</v>
      </c>
      <c r="E3632" s="9" t="str">
        <f t="shared" ca="1" si="68"/>
        <v/>
      </c>
      <c r="F3632" s="4" t="s">
        <v>13</v>
      </c>
      <c r="G3632" s="2">
        <f>IF(ISNUMBER(SEARCH(Лист2!$B$4,F:F)),1,0)</f>
        <v>0</v>
      </c>
      <c r="H3632" s="3">
        <f ca="1">IF(AND(I3632&lt;&gt;I3631,ISNUMBER(SEARCH(Лист2!$B$5,I:I)),G3632=1),MAX($H$3:OFFSET(H3632,-1,0))+1,0)</f>
        <v>0</v>
      </c>
      <c r="I3632" s="3" t="s">
        <v>312</v>
      </c>
      <c r="K3632" s="2">
        <f>IF(ISNUMBER(SEARCH(Лист2!$B$4,F:F)),1,0)</f>
        <v>0</v>
      </c>
      <c r="L3632" s="14">
        <f>IF(ISNUMBER(SEARCH(Лист2!$B$5,I:I)),1,0)+K3632</f>
        <v>0</v>
      </c>
      <c r="M3632" s="3">
        <f ca="1">IF(AND(N3632&lt;&gt;N3631,ISNUMBER(SEARCH(Лист2!$B$6,N:N)),L3632=2),MAX($M$3:OFFSET(M3632,-1,0))+1,0)</f>
        <v>0</v>
      </c>
      <c r="N3632" s="3" t="s">
        <v>706</v>
      </c>
    </row>
    <row r="3633" spans="1:14" x14ac:dyDescent="0.25">
      <c r="A3633" s="1" t="s">
        <v>12431</v>
      </c>
      <c r="B3633" s="3" t="s">
        <v>7257</v>
      </c>
      <c r="C3633" s="2">
        <f ca="1">IF(ISNUMBER(SEARCH(Лист2!$B$4,D:D)),MAX($C$3:OFFSET(C3633,-1,0))+1,0)</f>
        <v>0</v>
      </c>
      <c r="E3633" s="9" t="str">
        <f t="shared" ca="1" si="68"/>
        <v/>
      </c>
      <c r="F3633" s="4" t="s">
        <v>13</v>
      </c>
      <c r="G3633" s="2">
        <f>IF(ISNUMBER(SEARCH(Лист2!$B$4,F:F)),1,0)</f>
        <v>0</v>
      </c>
      <c r="H3633" s="3">
        <f ca="1">IF(AND(I3633&lt;&gt;I3632,ISNUMBER(SEARCH(Лист2!$B$5,I:I)),G3633=1),MAX($H$3:OFFSET(H3633,-1,0))+1,0)</f>
        <v>0</v>
      </c>
      <c r="I3633" s="3" t="s">
        <v>312</v>
      </c>
      <c r="K3633" s="2">
        <f>IF(ISNUMBER(SEARCH(Лист2!$B$4,F:F)),1,0)</f>
        <v>0</v>
      </c>
      <c r="L3633" s="14">
        <f>IF(ISNUMBER(SEARCH(Лист2!$B$5,I:I)),1,0)+K3633</f>
        <v>0</v>
      </c>
      <c r="M3633" s="3">
        <f ca="1">IF(AND(N3633&lt;&gt;N3632,ISNUMBER(SEARCH(Лист2!$B$6,N:N)),L3633=2),MAX($M$3:OFFSET(M3633,-1,0))+1,0)</f>
        <v>0</v>
      </c>
      <c r="N3633" s="3" t="s">
        <v>2297</v>
      </c>
    </row>
    <row r="3634" spans="1:14" x14ac:dyDescent="0.25">
      <c r="A3634" s="1" t="s">
        <v>12432</v>
      </c>
      <c r="B3634" s="3" t="s">
        <v>7258</v>
      </c>
      <c r="C3634" s="2">
        <f ca="1">IF(ISNUMBER(SEARCH(Лист2!$B$4,D:D)),MAX($C$3:OFFSET(C3634,-1,0))+1,0)</f>
        <v>0</v>
      </c>
      <c r="E3634" s="9" t="str">
        <f t="shared" ca="1" si="68"/>
        <v/>
      </c>
      <c r="F3634" s="4" t="s">
        <v>13</v>
      </c>
      <c r="G3634" s="2">
        <f>IF(ISNUMBER(SEARCH(Лист2!$B$4,F:F)),1,0)</f>
        <v>0</v>
      </c>
      <c r="H3634" s="3">
        <f ca="1">IF(AND(I3634&lt;&gt;I3633,ISNUMBER(SEARCH(Лист2!$B$5,I:I)),G3634=1),MAX($H$3:OFFSET(H3634,-1,0))+1,0)</f>
        <v>0</v>
      </c>
      <c r="I3634" s="3" t="s">
        <v>312</v>
      </c>
      <c r="K3634" s="2">
        <f>IF(ISNUMBER(SEARCH(Лист2!$B$4,F:F)),1,0)</f>
        <v>0</v>
      </c>
      <c r="L3634" s="14">
        <f>IF(ISNUMBER(SEARCH(Лист2!$B$5,I:I)),1,0)+K3634</f>
        <v>0</v>
      </c>
      <c r="M3634" s="3">
        <f ca="1">IF(AND(N3634&lt;&gt;N3633,ISNUMBER(SEARCH(Лист2!$B$6,N:N)),L3634=2),MAX($M$3:OFFSET(M3634,-1,0))+1,0)</f>
        <v>0</v>
      </c>
      <c r="N3634" s="3" t="s">
        <v>2298</v>
      </c>
    </row>
    <row r="3635" spans="1:14" x14ac:dyDescent="0.25">
      <c r="A3635" s="1" t="s">
        <v>12433</v>
      </c>
      <c r="B3635" s="3" t="s">
        <v>7259</v>
      </c>
      <c r="C3635" s="2">
        <f ca="1">IF(ISNUMBER(SEARCH(Лист2!$B$4,D:D)),MAX($C$3:OFFSET(C3635,-1,0))+1,0)</f>
        <v>0</v>
      </c>
      <c r="E3635" s="9" t="str">
        <f t="shared" ca="1" si="68"/>
        <v/>
      </c>
      <c r="F3635" s="4" t="s">
        <v>13</v>
      </c>
      <c r="G3635" s="2">
        <f>IF(ISNUMBER(SEARCH(Лист2!$B$4,F:F)),1,0)</f>
        <v>0</v>
      </c>
      <c r="H3635" s="3">
        <f ca="1">IF(AND(I3635&lt;&gt;I3634,ISNUMBER(SEARCH(Лист2!$B$5,I:I)),G3635=1),MAX($H$3:OFFSET(H3635,-1,0))+1,0)</f>
        <v>0</v>
      </c>
      <c r="I3635" s="3" t="s">
        <v>312</v>
      </c>
      <c r="K3635" s="2">
        <f>IF(ISNUMBER(SEARCH(Лист2!$B$4,F:F)),1,0)</f>
        <v>0</v>
      </c>
      <c r="L3635" s="14">
        <f>IF(ISNUMBER(SEARCH(Лист2!$B$5,I:I)),1,0)+K3635</f>
        <v>0</v>
      </c>
      <c r="M3635" s="3">
        <f ca="1">IF(AND(N3635&lt;&gt;N3634,ISNUMBER(SEARCH(Лист2!$B$6,N:N)),L3635=2),MAX($M$3:OFFSET(M3635,-1,0))+1,0)</f>
        <v>0</v>
      </c>
      <c r="N3635" s="3" t="s">
        <v>2299</v>
      </c>
    </row>
    <row r="3636" spans="1:14" x14ac:dyDescent="0.25">
      <c r="A3636" s="1" t="s">
        <v>12434</v>
      </c>
      <c r="B3636" s="3" t="s">
        <v>7260</v>
      </c>
      <c r="C3636" s="2">
        <f ca="1">IF(ISNUMBER(SEARCH(Лист2!$B$4,D:D)),MAX($C$3:OFFSET(C3636,-1,0))+1,0)</f>
        <v>0</v>
      </c>
      <c r="E3636" s="9" t="str">
        <f t="shared" ca="1" si="68"/>
        <v/>
      </c>
      <c r="F3636" s="4" t="s">
        <v>13</v>
      </c>
      <c r="G3636" s="2">
        <f>IF(ISNUMBER(SEARCH(Лист2!$B$4,F:F)),1,0)</f>
        <v>0</v>
      </c>
      <c r="H3636" s="3">
        <f ca="1">IF(AND(I3636&lt;&gt;I3635,ISNUMBER(SEARCH(Лист2!$B$5,I:I)),G3636=1),MAX($H$3:OFFSET(H3636,-1,0))+1,0)</f>
        <v>0</v>
      </c>
      <c r="I3636" s="3" t="s">
        <v>312</v>
      </c>
      <c r="K3636" s="2">
        <f>IF(ISNUMBER(SEARCH(Лист2!$B$4,F:F)),1,0)</f>
        <v>0</v>
      </c>
      <c r="L3636" s="14">
        <f>IF(ISNUMBER(SEARCH(Лист2!$B$5,I:I)),1,0)+K3636</f>
        <v>0</v>
      </c>
      <c r="M3636" s="3">
        <f ca="1">IF(AND(N3636&lt;&gt;N3635,ISNUMBER(SEARCH(Лист2!$B$6,N:N)),L3636=2),MAX($M$3:OFFSET(M3636,-1,0))+1,0)</f>
        <v>0</v>
      </c>
      <c r="N3636" s="3" t="s">
        <v>2288</v>
      </c>
    </row>
    <row r="3637" spans="1:14" x14ac:dyDescent="0.25">
      <c r="A3637" s="1" t="s">
        <v>12435</v>
      </c>
      <c r="B3637" s="3" t="s">
        <v>7261</v>
      </c>
      <c r="C3637" s="2">
        <f ca="1">IF(ISNUMBER(SEARCH(Лист2!$B$4,D:D)),MAX($C$3:OFFSET(C3637,-1,0))+1,0)</f>
        <v>0</v>
      </c>
      <c r="E3637" s="9" t="str">
        <f t="shared" ca="1" si="68"/>
        <v/>
      </c>
      <c r="F3637" s="4" t="s">
        <v>13</v>
      </c>
      <c r="G3637" s="2">
        <f>IF(ISNUMBER(SEARCH(Лист2!$B$4,F:F)),1,0)</f>
        <v>0</v>
      </c>
      <c r="H3637" s="3">
        <f ca="1">IF(AND(I3637&lt;&gt;I3636,ISNUMBER(SEARCH(Лист2!$B$5,I:I)),G3637=1),MAX($H$3:OFFSET(H3637,-1,0))+1,0)</f>
        <v>0</v>
      </c>
      <c r="I3637" s="3" t="s">
        <v>312</v>
      </c>
      <c r="K3637" s="2">
        <f>IF(ISNUMBER(SEARCH(Лист2!$B$4,F:F)),1,0)</f>
        <v>0</v>
      </c>
      <c r="L3637" s="14">
        <f>IF(ISNUMBER(SEARCH(Лист2!$B$5,I:I)),1,0)+K3637</f>
        <v>0</v>
      </c>
      <c r="M3637" s="3">
        <f ca="1">IF(AND(N3637&lt;&gt;N3636,ISNUMBER(SEARCH(Лист2!$B$6,N:N)),L3637=2),MAX($M$3:OFFSET(M3637,-1,0))+1,0)</f>
        <v>0</v>
      </c>
      <c r="N3637" s="3" t="s">
        <v>2291</v>
      </c>
    </row>
    <row r="3638" spans="1:14" x14ac:dyDescent="0.25">
      <c r="A3638" s="1" t="s">
        <v>12436</v>
      </c>
      <c r="B3638" s="3" t="s">
        <v>7262</v>
      </c>
      <c r="C3638" s="2">
        <f ca="1">IF(ISNUMBER(SEARCH(Лист2!$B$4,D:D)),MAX($C$3:OFFSET(C3638,-1,0))+1,0)</f>
        <v>0</v>
      </c>
      <c r="E3638" s="9" t="str">
        <f t="shared" ca="1" si="68"/>
        <v/>
      </c>
      <c r="F3638" s="4" t="s">
        <v>13</v>
      </c>
      <c r="G3638" s="2">
        <f>IF(ISNUMBER(SEARCH(Лист2!$B$4,F:F)),1,0)</f>
        <v>0</v>
      </c>
      <c r="H3638" s="3">
        <f ca="1">IF(AND(I3638&lt;&gt;I3637,ISNUMBER(SEARCH(Лист2!$B$5,I:I)),G3638=1),MAX($H$3:OFFSET(H3638,-1,0))+1,0)</f>
        <v>0</v>
      </c>
      <c r="I3638" s="3" t="s">
        <v>313</v>
      </c>
      <c r="K3638" s="2">
        <f>IF(ISNUMBER(SEARCH(Лист2!$B$4,F:F)),1,0)</f>
        <v>0</v>
      </c>
      <c r="L3638" s="14">
        <f>IF(ISNUMBER(SEARCH(Лист2!$B$5,I:I)),1,0)+K3638</f>
        <v>0</v>
      </c>
      <c r="M3638" s="3">
        <f ca="1">IF(AND(N3638&lt;&gt;N3637,ISNUMBER(SEARCH(Лист2!$B$6,N:N)),L3638=2),MAX($M$3:OFFSET(M3638,-1,0))+1,0)</f>
        <v>0</v>
      </c>
      <c r="N3638" s="3" t="s">
        <v>702</v>
      </c>
    </row>
    <row r="3639" spans="1:14" x14ac:dyDescent="0.25">
      <c r="A3639" s="1" t="s">
        <v>12437</v>
      </c>
      <c r="B3639" s="3" t="s">
        <v>7263</v>
      </c>
      <c r="C3639" s="2">
        <f ca="1">IF(ISNUMBER(SEARCH(Лист2!$B$4,D:D)),MAX($C$3:OFFSET(C3639,-1,0))+1,0)</f>
        <v>0</v>
      </c>
      <c r="E3639" s="9" t="str">
        <f t="shared" ca="1" si="68"/>
        <v/>
      </c>
      <c r="F3639" s="4" t="s">
        <v>13</v>
      </c>
      <c r="G3639" s="2">
        <f>IF(ISNUMBER(SEARCH(Лист2!$B$4,F:F)),1,0)</f>
        <v>0</v>
      </c>
      <c r="H3639" s="3">
        <f ca="1">IF(AND(I3639&lt;&gt;I3638,ISNUMBER(SEARCH(Лист2!$B$5,I:I)),G3639=1),MAX($H$3:OFFSET(H3639,-1,0))+1,0)</f>
        <v>0</v>
      </c>
      <c r="I3639" s="3" t="s">
        <v>313</v>
      </c>
      <c r="K3639" s="2">
        <f>IF(ISNUMBER(SEARCH(Лист2!$B$4,F:F)),1,0)</f>
        <v>0</v>
      </c>
      <c r="L3639" s="14">
        <f>IF(ISNUMBER(SEARCH(Лист2!$B$5,I:I)),1,0)+K3639</f>
        <v>0</v>
      </c>
      <c r="M3639" s="3">
        <f ca="1">IF(AND(N3639&lt;&gt;N3638,ISNUMBER(SEARCH(Лист2!$B$6,N:N)),L3639=2),MAX($M$3:OFFSET(M3639,-1,0))+1,0)</f>
        <v>0</v>
      </c>
      <c r="N3639" s="3" t="s">
        <v>704</v>
      </c>
    </row>
    <row r="3640" spans="1:14" x14ac:dyDescent="0.25">
      <c r="A3640" s="1" t="s">
        <v>12438</v>
      </c>
      <c r="B3640" s="3" t="s">
        <v>7264</v>
      </c>
      <c r="C3640" s="2">
        <f ca="1">IF(ISNUMBER(SEARCH(Лист2!$B$4,D:D)),MAX($C$3:OFFSET(C3640,-1,0))+1,0)</f>
        <v>0</v>
      </c>
      <c r="E3640" s="9" t="str">
        <f t="shared" ca="1" si="68"/>
        <v/>
      </c>
      <c r="F3640" s="4" t="s">
        <v>13</v>
      </c>
      <c r="G3640" s="2">
        <f>IF(ISNUMBER(SEARCH(Лист2!$B$4,F:F)),1,0)</f>
        <v>0</v>
      </c>
      <c r="H3640" s="3">
        <f ca="1">IF(AND(I3640&lt;&gt;I3639,ISNUMBER(SEARCH(Лист2!$B$5,I:I)),G3640=1),MAX($H$3:OFFSET(H3640,-1,0))+1,0)</f>
        <v>0</v>
      </c>
      <c r="I3640" s="3" t="s">
        <v>313</v>
      </c>
      <c r="K3640" s="2">
        <f>IF(ISNUMBER(SEARCH(Лист2!$B$4,F:F)),1,0)</f>
        <v>0</v>
      </c>
      <c r="L3640" s="14">
        <f>IF(ISNUMBER(SEARCH(Лист2!$B$5,I:I)),1,0)+K3640</f>
        <v>0</v>
      </c>
      <c r="M3640" s="3">
        <f ca="1">IF(AND(N3640&lt;&gt;N3639,ISNUMBER(SEARCH(Лист2!$B$6,N:N)),L3640=2),MAX($M$3:OFFSET(M3640,-1,0))+1,0)</f>
        <v>0</v>
      </c>
      <c r="N3640" s="3" t="s">
        <v>2296</v>
      </c>
    </row>
    <row r="3641" spans="1:14" x14ac:dyDescent="0.25">
      <c r="A3641" s="1" t="s">
        <v>12439</v>
      </c>
      <c r="B3641" s="3" t="s">
        <v>7265</v>
      </c>
      <c r="C3641" s="2">
        <f ca="1">IF(ISNUMBER(SEARCH(Лист2!$B$4,D:D)),MAX($C$3:OFFSET(C3641,-1,0))+1,0)</f>
        <v>0</v>
      </c>
      <c r="E3641" s="9" t="str">
        <f t="shared" ca="1" si="68"/>
        <v/>
      </c>
      <c r="F3641" s="4" t="s">
        <v>13</v>
      </c>
      <c r="G3641" s="2">
        <f>IF(ISNUMBER(SEARCH(Лист2!$B$4,F:F)),1,0)</f>
        <v>0</v>
      </c>
      <c r="H3641" s="3">
        <f ca="1">IF(AND(I3641&lt;&gt;I3640,ISNUMBER(SEARCH(Лист2!$B$5,I:I)),G3641=1),MAX($H$3:OFFSET(H3641,-1,0))+1,0)</f>
        <v>0</v>
      </c>
      <c r="I3641" s="3" t="s">
        <v>313</v>
      </c>
      <c r="K3641" s="2">
        <f>IF(ISNUMBER(SEARCH(Лист2!$B$4,F:F)),1,0)</f>
        <v>0</v>
      </c>
      <c r="L3641" s="14">
        <f>IF(ISNUMBER(SEARCH(Лист2!$B$5,I:I)),1,0)+K3641</f>
        <v>0</v>
      </c>
      <c r="M3641" s="3">
        <f ca="1">IF(AND(N3641&lt;&gt;N3640,ISNUMBER(SEARCH(Лист2!$B$6,N:N)),L3641=2),MAX($M$3:OFFSET(M3641,-1,0))+1,0)</f>
        <v>0</v>
      </c>
      <c r="N3641" s="3" t="s">
        <v>602</v>
      </c>
    </row>
    <row r="3642" spans="1:14" x14ac:dyDescent="0.25">
      <c r="A3642" s="1" t="s">
        <v>12440</v>
      </c>
      <c r="B3642" s="3" t="s">
        <v>7266</v>
      </c>
      <c r="C3642" s="2">
        <f ca="1">IF(ISNUMBER(SEARCH(Лист2!$B$4,D:D)),MAX($C$3:OFFSET(C3642,-1,0))+1,0)</f>
        <v>0</v>
      </c>
      <c r="E3642" s="9" t="str">
        <f t="shared" ca="1" si="68"/>
        <v/>
      </c>
      <c r="F3642" s="4" t="s">
        <v>13</v>
      </c>
      <c r="G3642" s="2">
        <f>IF(ISNUMBER(SEARCH(Лист2!$B$4,F:F)),1,0)</f>
        <v>0</v>
      </c>
      <c r="H3642" s="3">
        <f ca="1">IF(AND(I3642&lt;&gt;I3641,ISNUMBER(SEARCH(Лист2!$B$5,I:I)),G3642=1),MAX($H$3:OFFSET(H3642,-1,0))+1,0)</f>
        <v>0</v>
      </c>
      <c r="I3642" s="3" t="s">
        <v>313</v>
      </c>
      <c r="K3642" s="2">
        <f>IF(ISNUMBER(SEARCH(Лист2!$B$4,F:F)),1,0)</f>
        <v>0</v>
      </c>
      <c r="L3642" s="14">
        <f>IF(ISNUMBER(SEARCH(Лист2!$B$5,I:I)),1,0)+K3642</f>
        <v>0</v>
      </c>
      <c r="M3642" s="3">
        <f ca="1">IF(AND(N3642&lt;&gt;N3641,ISNUMBER(SEARCH(Лист2!$B$6,N:N)),L3642=2),MAX($M$3:OFFSET(M3642,-1,0))+1,0)</f>
        <v>0</v>
      </c>
      <c r="N3642" s="3" t="s">
        <v>706</v>
      </c>
    </row>
    <row r="3643" spans="1:14" x14ac:dyDescent="0.25">
      <c r="A3643" s="1" t="s">
        <v>12441</v>
      </c>
      <c r="B3643" s="3" t="s">
        <v>7267</v>
      </c>
      <c r="C3643" s="2">
        <f ca="1">IF(ISNUMBER(SEARCH(Лист2!$B$4,D:D)),MAX($C$3:OFFSET(C3643,-1,0))+1,0)</f>
        <v>0</v>
      </c>
      <c r="E3643" s="9" t="str">
        <f t="shared" ca="1" si="68"/>
        <v/>
      </c>
      <c r="F3643" s="4" t="s">
        <v>13</v>
      </c>
      <c r="G3643" s="2">
        <f>IF(ISNUMBER(SEARCH(Лист2!$B$4,F:F)),1,0)</f>
        <v>0</v>
      </c>
      <c r="H3643" s="3">
        <f ca="1">IF(AND(I3643&lt;&gt;I3642,ISNUMBER(SEARCH(Лист2!$B$5,I:I)),G3643=1),MAX($H$3:OFFSET(H3643,-1,0))+1,0)</f>
        <v>0</v>
      </c>
      <c r="I3643" s="3" t="s">
        <v>313</v>
      </c>
      <c r="K3643" s="2">
        <f>IF(ISNUMBER(SEARCH(Лист2!$B$4,F:F)),1,0)</f>
        <v>0</v>
      </c>
      <c r="L3643" s="14">
        <f>IF(ISNUMBER(SEARCH(Лист2!$B$5,I:I)),1,0)+K3643</f>
        <v>0</v>
      </c>
      <c r="M3643" s="3">
        <f ca="1">IF(AND(N3643&lt;&gt;N3642,ISNUMBER(SEARCH(Лист2!$B$6,N:N)),L3643=2),MAX($M$3:OFFSET(M3643,-1,0))+1,0)</f>
        <v>0</v>
      </c>
      <c r="N3643" s="3" t="s">
        <v>2297</v>
      </c>
    </row>
    <row r="3644" spans="1:14" x14ac:dyDescent="0.25">
      <c r="A3644" s="1" t="s">
        <v>12442</v>
      </c>
      <c r="B3644" s="3" t="s">
        <v>7268</v>
      </c>
      <c r="C3644" s="2">
        <f ca="1">IF(ISNUMBER(SEARCH(Лист2!$B$4,D:D)),MAX($C$3:OFFSET(C3644,-1,0))+1,0)</f>
        <v>0</v>
      </c>
      <c r="E3644" s="9" t="str">
        <f t="shared" ca="1" si="68"/>
        <v/>
      </c>
      <c r="F3644" s="4" t="s">
        <v>13</v>
      </c>
      <c r="G3644" s="2">
        <f>IF(ISNUMBER(SEARCH(Лист2!$B$4,F:F)),1,0)</f>
        <v>0</v>
      </c>
      <c r="H3644" s="3">
        <f ca="1">IF(AND(I3644&lt;&gt;I3643,ISNUMBER(SEARCH(Лист2!$B$5,I:I)),G3644=1),MAX($H$3:OFFSET(H3644,-1,0))+1,0)</f>
        <v>0</v>
      </c>
      <c r="I3644" s="3" t="s">
        <v>313</v>
      </c>
      <c r="K3644" s="2">
        <f>IF(ISNUMBER(SEARCH(Лист2!$B$4,F:F)),1,0)</f>
        <v>0</v>
      </c>
      <c r="L3644" s="14">
        <f>IF(ISNUMBER(SEARCH(Лист2!$B$5,I:I)),1,0)+K3644</f>
        <v>0</v>
      </c>
      <c r="M3644" s="3">
        <f ca="1">IF(AND(N3644&lt;&gt;N3643,ISNUMBER(SEARCH(Лист2!$B$6,N:N)),L3644=2),MAX($M$3:OFFSET(M3644,-1,0))+1,0)</f>
        <v>0</v>
      </c>
      <c r="N3644" s="3" t="s">
        <v>2298</v>
      </c>
    </row>
    <row r="3645" spans="1:14" x14ac:dyDescent="0.25">
      <c r="A3645" s="1" t="s">
        <v>12443</v>
      </c>
      <c r="B3645" s="3" t="s">
        <v>7269</v>
      </c>
      <c r="C3645" s="2">
        <f ca="1">IF(ISNUMBER(SEARCH(Лист2!$B$4,D:D)),MAX($C$3:OFFSET(C3645,-1,0))+1,0)</f>
        <v>0</v>
      </c>
      <c r="E3645" s="9" t="str">
        <f t="shared" ca="1" si="68"/>
        <v/>
      </c>
      <c r="F3645" s="4" t="s">
        <v>13</v>
      </c>
      <c r="G3645" s="2">
        <f>IF(ISNUMBER(SEARCH(Лист2!$B$4,F:F)),1,0)</f>
        <v>0</v>
      </c>
      <c r="H3645" s="3">
        <f ca="1">IF(AND(I3645&lt;&gt;I3644,ISNUMBER(SEARCH(Лист2!$B$5,I:I)),G3645=1),MAX($H$3:OFFSET(H3645,-1,0))+1,0)</f>
        <v>0</v>
      </c>
      <c r="I3645" s="3" t="s">
        <v>313</v>
      </c>
      <c r="K3645" s="2">
        <f>IF(ISNUMBER(SEARCH(Лист2!$B$4,F:F)),1,0)</f>
        <v>0</v>
      </c>
      <c r="L3645" s="14">
        <f>IF(ISNUMBER(SEARCH(Лист2!$B$5,I:I)),1,0)+K3645</f>
        <v>0</v>
      </c>
      <c r="M3645" s="3">
        <f ca="1">IF(AND(N3645&lt;&gt;N3644,ISNUMBER(SEARCH(Лист2!$B$6,N:N)),L3645=2),MAX($M$3:OFFSET(M3645,-1,0))+1,0)</f>
        <v>0</v>
      </c>
      <c r="N3645" s="3" t="s">
        <v>2299</v>
      </c>
    </row>
    <row r="3646" spans="1:14" x14ac:dyDescent="0.25">
      <c r="A3646" s="1" t="s">
        <v>12444</v>
      </c>
      <c r="B3646" s="3" t="s">
        <v>7270</v>
      </c>
      <c r="C3646" s="2">
        <f ca="1">IF(ISNUMBER(SEARCH(Лист2!$B$4,D:D)),MAX($C$3:OFFSET(C3646,-1,0))+1,0)</f>
        <v>0</v>
      </c>
      <c r="E3646" s="9" t="str">
        <f t="shared" ca="1" si="68"/>
        <v/>
      </c>
      <c r="F3646" s="4" t="s">
        <v>13</v>
      </c>
      <c r="G3646" s="2">
        <f>IF(ISNUMBER(SEARCH(Лист2!$B$4,F:F)),1,0)</f>
        <v>0</v>
      </c>
      <c r="H3646" s="3">
        <f ca="1">IF(AND(I3646&lt;&gt;I3645,ISNUMBER(SEARCH(Лист2!$B$5,I:I)),G3646=1),MAX($H$3:OFFSET(H3646,-1,0))+1,0)</f>
        <v>0</v>
      </c>
      <c r="I3646" s="3" t="s">
        <v>313</v>
      </c>
      <c r="K3646" s="2">
        <f>IF(ISNUMBER(SEARCH(Лист2!$B$4,F:F)),1,0)</f>
        <v>0</v>
      </c>
      <c r="L3646" s="14">
        <f>IF(ISNUMBER(SEARCH(Лист2!$B$5,I:I)),1,0)+K3646</f>
        <v>0</v>
      </c>
      <c r="M3646" s="3">
        <f ca="1">IF(AND(N3646&lt;&gt;N3645,ISNUMBER(SEARCH(Лист2!$B$6,N:N)),L3646=2),MAX($M$3:OFFSET(M3646,-1,0))+1,0)</f>
        <v>0</v>
      </c>
      <c r="N3646" s="3" t="s">
        <v>2288</v>
      </c>
    </row>
    <row r="3647" spans="1:14" x14ac:dyDescent="0.25">
      <c r="A3647" s="1" t="s">
        <v>12445</v>
      </c>
      <c r="B3647" s="3" t="s">
        <v>7271</v>
      </c>
      <c r="C3647" s="2">
        <f ca="1">IF(ISNUMBER(SEARCH(Лист2!$B$4,D:D)),MAX($C$3:OFFSET(C3647,-1,0))+1,0)</f>
        <v>0</v>
      </c>
      <c r="E3647" s="9" t="str">
        <f t="shared" ca="1" si="68"/>
        <v/>
      </c>
      <c r="F3647" s="4" t="s">
        <v>13</v>
      </c>
      <c r="G3647" s="2">
        <f>IF(ISNUMBER(SEARCH(Лист2!$B$4,F:F)),1,0)</f>
        <v>0</v>
      </c>
      <c r="H3647" s="3">
        <f ca="1">IF(AND(I3647&lt;&gt;I3646,ISNUMBER(SEARCH(Лист2!$B$5,I:I)),G3647=1),MAX($H$3:OFFSET(H3647,-1,0))+1,0)</f>
        <v>0</v>
      </c>
      <c r="I3647" s="3" t="s">
        <v>313</v>
      </c>
      <c r="K3647" s="2">
        <f>IF(ISNUMBER(SEARCH(Лист2!$B$4,F:F)),1,0)</f>
        <v>0</v>
      </c>
      <c r="L3647" s="14">
        <f>IF(ISNUMBER(SEARCH(Лист2!$B$5,I:I)),1,0)+K3647</f>
        <v>0</v>
      </c>
      <c r="M3647" s="3">
        <f ca="1">IF(AND(N3647&lt;&gt;N3646,ISNUMBER(SEARCH(Лист2!$B$6,N:N)),L3647=2),MAX($M$3:OFFSET(M3647,-1,0))+1,0)</f>
        <v>0</v>
      </c>
      <c r="N3647" s="3" t="s">
        <v>2291</v>
      </c>
    </row>
    <row r="3648" spans="1:14" x14ac:dyDescent="0.25">
      <c r="A3648" s="1" t="s">
        <v>12446</v>
      </c>
      <c r="B3648" s="3" t="s">
        <v>7272</v>
      </c>
      <c r="C3648" s="2">
        <f ca="1">IF(ISNUMBER(SEARCH(Лист2!$B$4,D:D)),MAX($C$3:OFFSET(C3648,-1,0))+1,0)</f>
        <v>0</v>
      </c>
      <c r="E3648" s="9" t="str">
        <f t="shared" ca="1" si="68"/>
        <v/>
      </c>
      <c r="F3648" s="4" t="s">
        <v>13</v>
      </c>
      <c r="G3648" s="2">
        <f>IF(ISNUMBER(SEARCH(Лист2!$B$4,F:F)),1,0)</f>
        <v>0</v>
      </c>
      <c r="H3648" s="3">
        <f ca="1">IF(AND(I3648&lt;&gt;I3647,ISNUMBER(SEARCH(Лист2!$B$5,I:I)),G3648=1),MAX($H$3:OFFSET(H3648,-1,0))+1,0)</f>
        <v>0</v>
      </c>
      <c r="I3648" s="3" t="s">
        <v>314</v>
      </c>
      <c r="K3648" s="2">
        <f>IF(ISNUMBER(SEARCH(Лист2!$B$4,F:F)),1,0)</f>
        <v>0</v>
      </c>
      <c r="L3648" s="14">
        <f>IF(ISNUMBER(SEARCH(Лист2!$B$5,I:I)),1,0)+K3648</f>
        <v>0</v>
      </c>
      <c r="M3648" s="3">
        <f ca="1">IF(AND(N3648&lt;&gt;N3647,ISNUMBER(SEARCH(Лист2!$B$6,N:N)),L3648=2),MAX($M$3:OFFSET(M3648,-1,0))+1,0)</f>
        <v>0</v>
      </c>
      <c r="N3648" s="3" t="s">
        <v>702</v>
      </c>
    </row>
    <row r="3649" spans="1:14" x14ac:dyDescent="0.25">
      <c r="A3649" s="1" t="s">
        <v>12447</v>
      </c>
      <c r="B3649" s="3" t="s">
        <v>7273</v>
      </c>
      <c r="C3649" s="2">
        <f ca="1">IF(ISNUMBER(SEARCH(Лист2!$B$4,D:D)),MAX($C$3:OFFSET(C3649,-1,0))+1,0)</f>
        <v>0</v>
      </c>
      <c r="E3649" s="9" t="str">
        <f t="shared" ca="1" si="68"/>
        <v/>
      </c>
      <c r="F3649" s="4" t="s">
        <v>13</v>
      </c>
      <c r="G3649" s="2">
        <f>IF(ISNUMBER(SEARCH(Лист2!$B$4,F:F)),1,0)</f>
        <v>0</v>
      </c>
      <c r="H3649" s="3">
        <f ca="1">IF(AND(I3649&lt;&gt;I3648,ISNUMBER(SEARCH(Лист2!$B$5,I:I)),G3649=1),MAX($H$3:OFFSET(H3649,-1,0))+1,0)</f>
        <v>0</v>
      </c>
      <c r="I3649" s="3" t="s">
        <v>314</v>
      </c>
      <c r="K3649" s="2">
        <f>IF(ISNUMBER(SEARCH(Лист2!$B$4,F:F)),1,0)</f>
        <v>0</v>
      </c>
      <c r="L3649" s="14">
        <f>IF(ISNUMBER(SEARCH(Лист2!$B$5,I:I)),1,0)+K3649</f>
        <v>0</v>
      </c>
      <c r="M3649" s="3">
        <f ca="1">IF(AND(N3649&lt;&gt;N3648,ISNUMBER(SEARCH(Лист2!$B$6,N:N)),L3649=2),MAX($M$3:OFFSET(M3649,-1,0))+1,0)</f>
        <v>0</v>
      </c>
      <c r="N3649" s="3" t="s">
        <v>704</v>
      </c>
    </row>
    <row r="3650" spans="1:14" x14ac:dyDescent="0.25">
      <c r="A3650" s="1" t="s">
        <v>12448</v>
      </c>
      <c r="B3650" s="3" t="s">
        <v>7274</v>
      </c>
      <c r="C3650" s="2">
        <f ca="1">IF(ISNUMBER(SEARCH(Лист2!$B$4,D:D)),MAX($C$3:OFFSET(C3650,-1,0))+1,0)</f>
        <v>0</v>
      </c>
      <c r="E3650" s="9" t="str">
        <f t="shared" ca="1" si="68"/>
        <v/>
      </c>
      <c r="F3650" s="4" t="s">
        <v>13</v>
      </c>
      <c r="G3650" s="2">
        <f>IF(ISNUMBER(SEARCH(Лист2!$B$4,F:F)),1,0)</f>
        <v>0</v>
      </c>
      <c r="H3650" s="3">
        <f ca="1">IF(AND(I3650&lt;&gt;I3649,ISNUMBER(SEARCH(Лист2!$B$5,I:I)),G3650=1),MAX($H$3:OFFSET(H3650,-1,0))+1,0)</f>
        <v>0</v>
      </c>
      <c r="I3650" s="3" t="s">
        <v>314</v>
      </c>
      <c r="K3650" s="2">
        <f>IF(ISNUMBER(SEARCH(Лист2!$B$4,F:F)),1,0)</f>
        <v>0</v>
      </c>
      <c r="L3650" s="14">
        <f>IF(ISNUMBER(SEARCH(Лист2!$B$5,I:I)),1,0)+K3650</f>
        <v>0</v>
      </c>
      <c r="M3650" s="3">
        <f ca="1">IF(AND(N3650&lt;&gt;N3649,ISNUMBER(SEARCH(Лист2!$B$6,N:N)),L3650=2),MAX($M$3:OFFSET(M3650,-1,0))+1,0)</f>
        <v>0</v>
      </c>
      <c r="N3650" s="3" t="s">
        <v>2296</v>
      </c>
    </row>
    <row r="3651" spans="1:14" x14ac:dyDescent="0.25">
      <c r="A3651" s="1" t="s">
        <v>12449</v>
      </c>
      <c r="B3651" s="3" t="s">
        <v>7275</v>
      </c>
      <c r="C3651" s="2">
        <f ca="1">IF(ISNUMBER(SEARCH(Лист2!$B$4,D:D)),MAX($C$3:OFFSET(C3651,-1,0))+1,0)</f>
        <v>0</v>
      </c>
      <c r="E3651" s="9" t="str">
        <f t="shared" ca="1" si="68"/>
        <v/>
      </c>
      <c r="F3651" s="4" t="s">
        <v>13</v>
      </c>
      <c r="G3651" s="2">
        <f>IF(ISNUMBER(SEARCH(Лист2!$B$4,F:F)),1,0)</f>
        <v>0</v>
      </c>
      <c r="H3651" s="3">
        <f ca="1">IF(AND(I3651&lt;&gt;I3650,ISNUMBER(SEARCH(Лист2!$B$5,I:I)),G3651=1),MAX($H$3:OFFSET(H3651,-1,0))+1,0)</f>
        <v>0</v>
      </c>
      <c r="I3651" s="3" t="s">
        <v>314</v>
      </c>
      <c r="K3651" s="2">
        <f>IF(ISNUMBER(SEARCH(Лист2!$B$4,F:F)),1,0)</f>
        <v>0</v>
      </c>
      <c r="L3651" s="14">
        <f>IF(ISNUMBER(SEARCH(Лист2!$B$5,I:I)),1,0)+K3651</f>
        <v>0</v>
      </c>
      <c r="M3651" s="3">
        <f ca="1">IF(AND(N3651&lt;&gt;N3650,ISNUMBER(SEARCH(Лист2!$B$6,N:N)),L3651=2),MAX($M$3:OFFSET(M3651,-1,0))+1,0)</f>
        <v>0</v>
      </c>
      <c r="N3651" s="3" t="s">
        <v>602</v>
      </c>
    </row>
    <row r="3652" spans="1:14" x14ac:dyDescent="0.25">
      <c r="A3652" s="1" t="s">
        <v>12450</v>
      </c>
      <c r="B3652" s="3" t="s">
        <v>7276</v>
      </c>
      <c r="C3652" s="2">
        <f ca="1">IF(ISNUMBER(SEARCH(Лист2!$B$4,D:D)),MAX($C$3:OFFSET(C3652,-1,0))+1,0)</f>
        <v>0</v>
      </c>
      <c r="E3652" s="9" t="str">
        <f t="shared" ca="1" si="68"/>
        <v/>
      </c>
      <c r="F3652" s="4" t="s">
        <v>13</v>
      </c>
      <c r="G3652" s="2">
        <f>IF(ISNUMBER(SEARCH(Лист2!$B$4,F:F)),1,0)</f>
        <v>0</v>
      </c>
      <c r="H3652" s="3">
        <f ca="1">IF(AND(I3652&lt;&gt;I3651,ISNUMBER(SEARCH(Лист2!$B$5,I:I)),G3652=1),MAX($H$3:OFFSET(H3652,-1,0))+1,0)</f>
        <v>0</v>
      </c>
      <c r="I3652" s="3" t="s">
        <v>314</v>
      </c>
      <c r="K3652" s="2">
        <f>IF(ISNUMBER(SEARCH(Лист2!$B$4,F:F)),1,0)</f>
        <v>0</v>
      </c>
      <c r="L3652" s="14">
        <f>IF(ISNUMBER(SEARCH(Лист2!$B$5,I:I)),1,0)+K3652</f>
        <v>0</v>
      </c>
      <c r="M3652" s="3">
        <f ca="1">IF(AND(N3652&lt;&gt;N3651,ISNUMBER(SEARCH(Лист2!$B$6,N:N)),L3652=2),MAX($M$3:OFFSET(M3652,-1,0))+1,0)</f>
        <v>0</v>
      </c>
      <c r="N3652" s="3" t="s">
        <v>706</v>
      </c>
    </row>
    <row r="3653" spans="1:14" x14ac:dyDescent="0.25">
      <c r="A3653" s="1" t="s">
        <v>12451</v>
      </c>
      <c r="B3653" s="3" t="s">
        <v>7277</v>
      </c>
      <c r="C3653" s="2">
        <f ca="1">IF(ISNUMBER(SEARCH(Лист2!$B$4,D:D)),MAX($C$3:OFFSET(C3653,-1,0))+1,0)</f>
        <v>0</v>
      </c>
      <c r="E3653" s="9" t="str">
        <f t="shared" ref="E3653:E3716" ca="1" si="69">IFERROR(INDEX(D:D,MATCH(ROW(E3653)-ROW($E$3),C:C,0)),"")</f>
        <v/>
      </c>
      <c r="F3653" s="4" t="s">
        <v>13</v>
      </c>
      <c r="G3653" s="2">
        <f>IF(ISNUMBER(SEARCH(Лист2!$B$4,F:F)),1,0)</f>
        <v>0</v>
      </c>
      <c r="H3653" s="3">
        <f ca="1">IF(AND(I3653&lt;&gt;I3652,ISNUMBER(SEARCH(Лист2!$B$5,I:I)),G3653=1),MAX($H$3:OFFSET(H3653,-1,0))+1,0)</f>
        <v>0</v>
      </c>
      <c r="I3653" s="3" t="s">
        <v>314</v>
      </c>
      <c r="K3653" s="2">
        <f>IF(ISNUMBER(SEARCH(Лист2!$B$4,F:F)),1,0)</f>
        <v>0</v>
      </c>
      <c r="L3653" s="14">
        <f>IF(ISNUMBER(SEARCH(Лист2!$B$5,I:I)),1,0)+K3653</f>
        <v>0</v>
      </c>
      <c r="M3653" s="3">
        <f ca="1">IF(AND(N3653&lt;&gt;N3652,ISNUMBER(SEARCH(Лист2!$B$6,N:N)),L3653=2),MAX($M$3:OFFSET(M3653,-1,0))+1,0)</f>
        <v>0</v>
      </c>
      <c r="N3653" s="3" t="s">
        <v>2297</v>
      </c>
    </row>
    <row r="3654" spans="1:14" x14ac:dyDescent="0.25">
      <c r="A3654" s="1" t="s">
        <v>12452</v>
      </c>
      <c r="B3654" s="3" t="s">
        <v>7278</v>
      </c>
      <c r="C3654" s="2">
        <f ca="1">IF(ISNUMBER(SEARCH(Лист2!$B$4,D:D)),MAX($C$3:OFFSET(C3654,-1,0))+1,0)</f>
        <v>0</v>
      </c>
      <c r="E3654" s="9" t="str">
        <f t="shared" ca="1" si="69"/>
        <v/>
      </c>
      <c r="F3654" s="4" t="s">
        <v>13</v>
      </c>
      <c r="G3654" s="2">
        <f>IF(ISNUMBER(SEARCH(Лист2!$B$4,F:F)),1,0)</f>
        <v>0</v>
      </c>
      <c r="H3654" s="3">
        <f ca="1">IF(AND(I3654&lt;&gt;I3653,ISNUMBER(SEARCH(Лист2!$B$5,I:I)),G3654=1),MAX($H$3:OFFSET(H3654,-1,0))+1,0)</f>
        <v>0</v>
      </c>
      <c r="I3654" s="3" t="s">
        <v>314</v>
      </c>
      <c r="K3654" s="2">
        <f>IF(ISNUMBER(SEARCH(Лист2!$B$4,F:F)),1,0)</f>
        <v>0</v>
      </c>
      <c r="L3654" s="14">
        <f>IF(ISNUMBER(SEARCH(Лист2!$B$5,I:I)),1,0)+K3654</f>
        <v>0</v>
      </c>
      <c r="M3654" s="3">
        <f ca="1">IF(AND(N3654&lt;&gt;N3653,ISNUMBER(SEARCH(Лист2!$B$6,N:N)),L3654=2),MAX($M$3:OFFSET(M3654,-1,0))+1,0)</f>
        <v>0</v>
      </c>
      <c r="N3654" s="3" t="s">
        <v>2298</v>
      </c>
    </row>
    <row r="3655" spans="1:14" x14ac:dyDescent="0.25">
      <c r="A3655" s="1" t="s">
        <v>12453</v>
      </c>
      <c r="B3655" s="3" t="s">
        <v>7279</v>
      </c>
      <c r="C3655" s="2">
        <f ca="1">IF(ISNUMBER(SEARCH(Лист2!$B$4,D:D)),MAX($C$3:OFFSET(C3655,-1,0))+1,0)</f>
        <v>0</v>
      </c>
      <c r="E3655" s="9" t="str">
        <f t="shared" ca="1" si="69"/>
        <v/>
      </c>
      <c r="F3655" s="4" t="s">
        <v>13</v>
      </c>
      <c r="G3655" s="2">
        <f>IF(ISNUMBER(SEARCH(Лист2!$B$4,F:F)),1,0)</f>
        <v>0</v>
      </c>
      <c r="H3655" s="3">
        <f ca="1">IF(AND(I3655&lt;&gt;I3654,ISNUMBER(SEARCH(Лист2!$B$5,I:I)),G3655=1),MAX($H$3:OFFSET(H3655,-1,0))+1,0)</f>
        <v>0</v>
      </c>
      <c r="I3655" s="3" t="s">
        <v>314</v>
      </c>
      <c r="K3655" s="2">
        <f>IF(ISNUMBER(SEARCH(Лист2!$B$4,F:F)),1,0)</f>
        <v>0</v>
      </c>
      <c r="L3655" s="14">
        <f>IF(ISNUMBER(SEARCH(Лист2!$B$5,I:I)),1,0)+K3655</f>
        <v>0</v>
      </c>
      <c r="M3655" s="3">
        <f ca="1">IF(AND(N3655&lt;&gt;N3654,ISNUMBER(SEARCH(Лист2!$B$6,N:N)),L3655=2),MAX($M$3:OFFSET(M3655,-1,0))+1,0)</f>
        <v>0</v>
      </c>
      <c r="N3655" s="3" t="s">
        <v>2300</v>
      </c>
    </row>
    <row r="3656" spans="1:14" x14ac:dyDescent="0.25">
      <c r="A3656" s="1" t="s">
        <v>12454</v>
      </c>
      <c r="B3656" s="3" t="s">
        <v>7280</v>
      </c>
      <c r="C3656" s="2">
        <f ca="1">IF(ISNUMBER(SEARCH(Лист2!$B$4,D:D)),MAX($C$3:OFFSET(C3656,-1,0))+1,0)</f>
        <v>0</v>
      </c>
      <c r="E3656" s="9" t="str">
        <f t="shared" ca="1" si="69"/>
        <v/>
      </c>
      <c r="F3656" s="4" t="s">
        <v>13</v>
      </c>
      <c r="G3656" s="2">
        <f>IF(ISNUMBER(SEARCH(Лист2!$B$4,F:F)),1,0)</f>
        <v>0</v>
      </c>
      <c r="H3656" s="3">
        <f ca="1">IF(AND(I3656&lt;&gt;I3655,ISNUMBER(SEARCH(Лист2!$B$5,I:I)),G3656=1),MAX($H$3:OFFSET(H3656,-1,0))+1,0)</f>
        <v>0</v>
      </c>
      <c r="I3656" s="3" t="s">
        <v>314</v>
      </c>
      <c r="K3656" s="2">
        <f>IF(ISNUMBER(SEARCH(Лист2!$B$4,F:F)),1,0)</f>
        <v>0</v>
      </c>
      <c r="L3656" s="14">
        <f>IF(ISNUMBER(SEARCH(Лист2!$B$5,I:I)),1,0)+K3656</f>
        <v>0</v>
      </c>
      <c r="M3656" s="3">
        <f ca="1">IF(AND(N3656&lt;&gt;N3655,ISNUMBER(SEARCH(Лист2!$B$6,N:N)),L3656=2),MAX($M$3:OFFSET(M3656,-1,0))+1,0)</f>
        <v>0</v>
      </c>
      <c r="N3656" s="3" t="s">
        <v>2288</v>
      </c>
    </row>
    <row r="3657" spans="1:14" x14ac:dyDescent="0.25">
      <c r="A3657" s="1" t="s">
        <v>12455</v>
      </c>
      <c r="B3657" s="3" t="s">
        <v>7281</v>
      </c>
      <c r="C3657" s="2">
        <f ca="1">IF(ISNUMBER(SEARCH(Лист2!$B$4,D:D)),MAX($C$3:OFFSET(C3657,-1,0))+1,0)</f>
        <v>0</v>
      </c>
      <c r="E3657" s="9" t="str">
        <f t="shared" ca="1" si="69"/>
        <v/>
      </c>
      <c r="F3657" s="4" t="s">
        <v>13</v>
      </c>
      <c r="G3657" s="2">
        <f>IF(ISNUMBER(SEARCH(Лист2!$B$4,F:F)),1,0)</f>
        <v>0</v>
      </c>
      <c r="H3657" s="3">
        <f ca="1">IF(AND(I3657&lt;&gt;I3656,ISNUMBER(SEARCH(Лист2!$B$5,I:I)),G3657=1),MAX($H$3:OFFSET(H3657,-1,0))+1,0)</f>
        <v>0</v>
      </c>
      <c r="I3657" s="3" t="s">
        <v>314</v>
      </c>
      <c r="K3657" s="2">
        <f>IF(ISNUMBER(SEARCH(Лист2!$B$4,F:F)),1,0)</f>
        <v>0</v>
      </c>
      <c r="L3657" s="14">
        <f>IF(ISNUMBER(SEARCH(Лист2!$B$5,I:I)),1,0)+K3657</f>
        <v>0</v>
      </c>
      <c r="M3657" s="3">
        <f ca="1">IF(AND(N3657&lt;&gt;N3656,ISNUMBER(SEARCH(Лист2!$B$6,N:N)),L3657=2),MAX($M$3:OFFSET(M3657,-1,0))+1,0)</f>
        <v>0</v>
      </c>
      <c r="N3657" s="3" t="s">
        <v>2291</v>
      </c>
    </row>
    <row r="3658" spans="1:14" x14ac:dyDescent="0.25">
      <c r="A3658" s="1" t="s">
        <v>12456</v>
      </c>
      <c r="B3658" s="3" t="s">
        <v>7282</v>
      </c>
      <c r="C3658" s="2">
        <f ca="1">IF(ISNUMBER(SEARCH(Лист2!$B$4,D:D)),MAX($C$3:OFFSET(C3658,-1,0))+1,0)</f>
        <v>0</v>
      </c>
      <c r="E3658" s="9" t="str">
        <f t="shared" ca="1" si="69"/>
        <v/>
      </c>
      <c r="F3658" s="4" t="s">
        <v>13</v>
      </c>
      <c r="G3658" s="2">
        <f>IF(ISNUMBER(SEARCH(Лист2!$B$4,F:F)),1,0)</f>
        <v>0</v>
      </c>
      <c r="H3658" s="3">
        <f ca="1">IF(AND(I3658&lt;&gt;I3657,ISNUMBER(SEARCH(Лист2!$B$5,I:I)),G3658=1),MAX($H$3:OFFSET(H3658,-1,0))+1,0)</f>
        <v>0</v>
      </c>
      <c r="I3658" s="3" t="s">
        <v>315</v>
      </c>
      <c r="K3658" s="2">
        <f>IF(ISNUMBER(SEARCH(Лист2!$B$4,F:F)),1,0)</f>
        <v>0</v>
      </c>
      <c r="L3658" s="14">
        <f>IF(ISNUMBER(SEARCH(Лист2!$B$5,I:I)),1,0)+K3658</f>
        <v>0</v>
      </c>
      <c r="M3658" s="3">
        <f ca="1">IF(AND(N3658&lt;&gt;N3657,ISNUMBER(SEARCH(Лист2!$B$6,N:N)),L3658=2),MAX($M$3:OFFSET(M3658,-1,0))+1,0)</f>
        <v>0</v>
      </c>
      <c r="N3658" s="3" t="s">
        <v>702</v>
      </c>
    </row>
    <row r="3659" spans="1:14" x14ac:dyDescent="0.25">
      <c r="A3659" s="1" t="s">
        <v>12457</v>
      </c>
      <c r="B3659" s="3" t="s">
        <v>7283</v>
      </c>
      <c r="C3659" s="2">
        <f ca="1">IF(ISNUMBER(SEARCH(Лист2!$B$4,D:D)),MAX($C$3:OFFSET(C3659,-1,0))+1,0)</f>
        <v>0</v>
      </c>
      <c r="E3659" s="9" t="str">
        <f t="shared" ca="1" si="69"/>
        <v/>
      </c>
      <c r="F3659" s="4" t="s">
        <v>13</v>
      </c>
      <c r="G3659" s="2">
        <f>IF(ISNUMBER(SEARCH(Лист2!$B$4,F:F)),1,0)</f>
        <v>0</v>
      </c>
      <c r="H3659" s="3">
        <f ca="1">IF(AND(I3659&lt;&gt;I3658,ISNUMBER(SEARCH(Лист2!$B$5,I:I)),G3659=1),MAX($H$3:OFFSET(H3659,-1,0))+1,0)</f>
        <v>0</v>
      </c>
      <c r="I3659" s="3" t="s">
        <v>315</v>
      </c>
      <c r="K3659" s="2">
        <f>IF(ISNUMBER(SEARCH(Лист2!$B$4,F:F)),1,0)</f>
        <v>0</v>
      </c>
      <c r="L3659" s="14">
        <f>IF(ISNUMBER(SEARCH(Лист2!$B$5,I:I)),1,0)+K3659</f>
        <v>0</v>
      </c>
      <c r="M3659" s="3">
        <f ca="1">IF(AND(N3659&lt;&gt;N3658,ISNUMBER(SEARCH(Лист2!$B$6,N:N)),L3659=2),MAX($M$3:OFFSET(M3659,-1,0))+1,0)</f>
        <v>0</v>
      </c>
      <c r="N3659" s="3" t="s">
        <v>704</v>
      </c>
    </row>
    <row r="3660" spans="1:14" x14ac:dyDescent="0.25">
      <c r="A3660" s="1" t="s">
        <v>12458</v>
      </c>
      <c r="B3660" s="3" t="s">
        <v>7284</v>
      </c>
      <c r="C3660" s="2">
        <f ca="1">IF(ISNUMBER(SEARCH(Лист2!$B$4,D:D)),MAX($C$3:OFFSET(C3660,-1,0))+1,0)</f>
        <v>0</v>
      </c>
      <c r="E3660" s="9" t="str">
        <f t="shared" ca="1" si="69"/>
        <v/>
      </c>
      <c r="F3660" s="4" t="s">
        <v>13</v>
      </c>
      <c r="G3660" s="2">
        <f>IF(ISNUMBER(SEARCH(Лист2!$B$4,F:F)),1,0)</f>
        <v>0</v>
      </c>
      <c r="H3660" s="3">
        <f ca="1">IF(AND(I3660&lt;&gt;I3659,ISNUMBER(SEARCH(Лист2!$B$5,I:I)),G3660=1),MAX($H$3:OFFSET(H3660,-1,0))+1,0)</f>
        <v>0</v>
      </c>
      <c r="I3660" s="3" t="s">
        <v>315</v>
      </c>
      <c r="K3660" s="2">
        <f>IF(ISNUMBER(SEARCH(Лист2!$B$4,F:F)),1,0)</f>
        <v>0</v>
      </c>
      <c r="L3660" s="14">
        <f>IF(ISNUMBER(SEARCH(Лист2!$B$5,I:I)),1,0)+K3660</f>
        <v>0</v>
      </c>
      <c r="M3660" s="3">
        <f ca="1">IF(AND(N3660&lt;&gt;N3659,ISNUMBER(SEARCH(Лист2!$B$6,N:N)),L3660=2),MAX($M$3:OFFSET(M3660,-1,0))+1,0)</f>
        <v>0</v>
      </c>
      <c r="N3660" s="3" t="s">
        <v>2296</v>
      </c>
    </row>
    <row r="3661" spans="1:14" x14ac:dyDescent="0.25">
      <c r="A3661" s="1" t="s">
        <v>12459</v>
      </c>
      <c r="B3661" s="3" t="s">
        <v>7285</v>
      </c>
      <c r="C3661" s="2">
        <f ca="1">IF(ISNUMBER(SEARCH(Лист2!$B$4,D:D)),MAX($C$3:OFFSET(C3661,-1,0))+1,0)</f>
        <v>0</v>
      </c>
      <c r="E3661" s="9" t="str">
        <f t="shared" ca="1" si="69"/>
        <v/>
      </c>
      <c r="F3661" s="4" t="s">
        <v>13</v>
      </c>
      <c r="G3661" s="2">
        <f>IF(ISNUMBER(SEARCH(Лист2!$B$4,F:F)),1,0)</f>
        <v>0</v>
      </c>
      <c r="H3661" s="3">
        <f ca="1">IF(AND(I3661&lt;&gt;I3660,ISNUMBER(SEARCH(Лист2!$B$5,I:I)),G3661=1),MAX($H$3:OFFSET(H3661,-1,0))+1,0)</f>
        <v>0</v>
      </c>
      <c r="I3661" s="3" t="s">
        <v>315</v>
      </c>
      <c r="K3661" s="2">
        <f>IF(ISNUMBER(SEARCH(Лист2!$B$4,F:F)),1,0)</f>
        <v>0</v>
      </c>
      <c r="L3661" s="14">
        <f>IF(ISNUMBER(SEARCH(Лист2!$B$5,I:I)),1,0)+K3661</f>
        <v>0</v>
      </c>
      <c r="M3661" s="3">
        <f ca="1">IF(AND(N3661&lt;&gt;N3660,ISNUMBER(SEARCH(Лист2!$B$6,N:N)),L3661=2),MAX($M$3:OFFSET(M3661,-1,0))+1,0)</f>
        <v>0</v>
      </c>
      <c r="N3661" s="3" t="s">
        <v>602</v>
      </c>
    </row>
    <row r="3662" spans="1:14" x14ac:dyDescent="0.25">
      <c r="A3662" s="1" t="s">
        <v>12460</v>
      </c>
      <c r="B3662" s="3" t="s">
        <v>7286</v>
      </c>
      <c r="C3662" s="2">
        <f ca="1">IF(ISNUMBER(SEARCH(Лист2!$B$4,D:D)),MAX($C$3:OFFSET(C3662,-1,0))+1,0)</f>
        <v>0</v>
      </c>
      <c r="E3662" s="9" t="str">
        <f t="shared" ca="1" si="69"/>
        <v/>
      </c>
      <c r="F3662" s="4" t="s">
        <v>13</v>
      </c>
      <c r="G3662" s="2">
        <f>IF(ISNUMBER(SEARCH(Лист2!$B$4,F:F)),1,0)</f>
        <v>0</v>
      </c>
      <c r="H3662" s="3">
        <f ca="1">IF(AND(I3662&lt;&gt;I3661,ISNUMBER(SEARCH(Лист2!$B$5,I:I)),G3662=1),MAX($H$3:OFFSET(H3662,-1,0))+1,0)</f>
        <v>0</v>
      </c>
      <c r="I3662" s="3" t="s">
        <v>315</v>
      </c>
      <c r="K3662" s="2">
        <f>IF(ISNUMBER(SEARCH(Лист2!$B$4,F:F)),1,0)</f>
        <v>0</v>
      </c>
      <c r="L3662" s="14">
        <f>IF(ISNUMBER(SEARCH(Лист2!$B$5,I:I)),1,0)+K3662</f>
        <v>0</v>
      </c>
      <c r="M3662" s="3">
        <f ca="1">IF(AND(N3662&lt;&gt;N3661,ISNUMBER(SEARCH(Лист2!$B$6,N:N)),L3662=2),MAX($M$3:OFFSET(M3662,-1,0))+1,0)</f>
        <v>0</v>
      </c>
      <c r="N3662" s="3" t="s">
        <v>706</v>
      </c>
    </row>
    <row r="3663" spans="1:14" x14ac:dyDescent="0.25">
      <c r="A3663" s="1" t="s">
        <v>12461</v>
      </c>
      <c r="B3663" s="3" t="s">
        <v>7287</v>
      </c>
      <c r="C3663" s="2">
        <f ca="1">IF(ISNUMBER(SEARCH(Лист2!$B$4,D:D)),MAX($C$3:OFFSET(C3663,-1,0))+1,0)</f>
        <v>0</v>
      </c>
      <c r="E3663" s="9" t="str">
        <f t="shared" ca="1" si="69"/>
        <v/>
      </c>
      <c r="F3663" s="4" t="s">
        <v>13</v>
      </c>
      <c r="G3663" s="2">
        <f>IF(ISNUMBER(SEARCH(Лист2!$B$4,F:F)),1,0)</f>
        <v>0</v>
      </c>
      <c r="H3663" s="3">
        <f ca="1">IF(AND(I3663&lt;&gt;I3662,ISNUMBER(SEARCH(Лист2!$B$5,I:I)),G3663=1),MAX($H$3:OFFSET(H3663,-1,0))+1,0)</f>
        <v>0</v>
      </c>
      <c r="I3663" s="3" t="s">
        <v>315</v>
      </c>
      <c r="K3663" s="2">
        <f>IF(ISNUMBER(SEARCH(Лист2!$B$4,F:F)),1,0)</f>
        <v>0</v>
      </c>
      <c r="L3663" s="14">
        <f>IF(ISNUMBER(SEARCH(Лист2!$B$5,I:I)),1,0)+K3663</f>
        <v>0</v>
      </c>
      <c r="M3663" s="3">
        <f ca="1">IF(AND(N3663&lt;&gt;N3662,ISNUMBER(SEARCH(Лист2!$B$6,N:N)),L3663=2),MAX($M$3:OFFSET(M3663,-1,0))+1,0)</f>
        <v>0</v>
      </c>
      <c r="N3663" s="3" t="s">
        <v>2297</v>
      </c>
    </row>
    <row r="3664" spans="1:14" x14ac:dyDescent="0.25">
      <c r="A3664" s="1" t="s">
        <v>12462</v>
      </c>
      <c r="B3664" s="3" t="s">
        <v>7288</v>
      </c>
      <c r="C3664" s="2">
        <f ca="1">IF(ISNUMBER(SEARCH(Лист2!$B$4,D:D)),MAX($C$3:OFFSET(C3664,-1,0))+1,0)</f>
        <v>0</v>
      </c>
      <c r="E3664" s="9" t="str">
        <f t="shared" ca="1" si="69"/>
        <v/>
      </c>
      <c r="F3664" s="4" t="s">
        <v>13</v>
      </c>
      <c r="G3664" s="2">
        <f>IF(ISNUMBER(SEARCH(Лист2!$B$4,F:F)),1,0)</f>
        <v>0</v>
      </c>
      <c r="H3664" s="3">
        <f ca="1">IF(AND(I3664&lt;&gt;I3663,ISNUMBER(SEARCH(Лист2!$B$5,I:I)),G3664=1),MAX($H$3:OFFSET(H3664,-1,0))+1,0)</f>
        <v>0</v>
      </c>
      <c r="I3664" s="3" t="s">
        <v>315</v>
      </c>
      <c r="K3664" s="2">
        <f>IF(ISNUMBER(SEARCH(Лист2!$B$4,F:F)),1,0)</f>
        <v>0</v>
      </c>
      <c r="L3664" s="14">
        <f>IF(ISNUMBER(SEARCH(Лист2!$B$5,I:I)),1,0)+K3664</f>
        <v>0</v>
      </c>
      <c r="M3664" s="3">
        <f ca="1">IF(AND(N3664&lt;&gt;N3663,ISNUMBER(SEARCH(Лист2!$B$6,N:N)),L3664=2),MAX($M$3:OFFSET(M3664,-1,0))+1,0)</f>
        <v>0</v>
      </c>
      <c r="N3664" s="3" t="s">
        <v>2298</v>
      </c>
    </row>
    <row r="3665" spans="1:14" x14ac:dyDescent="0.25">
      <c r="A3665" s="1" t="s">
        <v>12463</v>
      </c>
      <c r="B3665" s="3" t="s">
        <v>7289</v>
      </c>
      <c r="C3665" s="2">
        <f ca="1">IF(ISNUMBER(SEARCH(Лист2!$B$4,D:D)),MAX($C$3:OFFSET(C3665,-1,0))+1,0)</f>
        <v>0</v>
      </c>
      <c r="E3665" s="9" t="str">
        <f t="shared" ca="1" si="69"/>
        <v/>
      </c>
      <c r="F3665" s="4" t="s">
        <v>13</v>
      </c>
      <c r="G3665" s="2">
        <f>IF(ISNUMBER(SEARCH(Лист2!$B$4,F:F)),1,0)</f>
        <v>0</v>
      </c>
      <c r="H3665" s="3">
        <f ca="1">IF(AND(I3665&lt;&gt;I3664,ISNUMBER(SEARCH(Лист2!$B$5,I:I)),G3665=1),MAX($H$3:OFFSET(H3665,-1,0))+1,0)</f>
        <v>0</v>
      </c>
      <c r="I3665" s="3" t="s">
        <v>315</v>
      </c>
      <c r="K3665" s="2">
        <f>IF(ISNUMBER(SEARCH(Лист2!$B$4,F:F)),1,0)</f>
        <v>0</v>
      </c>
      <c r="L3665" s="14">
        <f>IF(ISNUMBER(SEARCH(Лист2!$B$5,I:I)),1,0)+K3665</f>
        <v>0</v>
      </c>
      <c r="M3665" s="3">
        <f ca="1">IF(AND(N3665&lt;&gt;N3664,ISNUMBER(SEARCH(Лист2!$B$6,N:N)),L3665=2),MAX($M$3:OFFSET(M3665,-1,0))+1,0)</f>
        <v>0</v>
      </c>
      <c r="N3665" s="3" t="s">
        <v>2287</v>
      </c>
    </row>
    <row r="3666" spans="1:14" x14ac:dyDescent="0.25">
      <c r="A3666" s="1" t="s">
        <v>12464</v>
      </c>
      <c r="B3666" s="3" t="s">
        <v>7290</v>
      </c>
      <c r="C3666" s="2">
        <f ca="1">IF(ISNUMBER(SEARCH(Лист2!$B$4,D:D)),MAX($C$3:OFFSET(C3666,-1,0))+1,0)</f>
        <v>0</v>
      </c>
      <c r="E3666" s="9" t="str">
        <f t="shared" ca="1" si="69"/>
        <v/>
      </c>
      <c r="F3666" s="4" t="s">
        <v>13</v>
      </c>
      <c r="G3666" s="2">
        <f>IF(ISNUMBER(SEARCH(Лист2!$B$4,F:F)),1,0)</f>
        <v>0</v>
      </c>
      <c r="H3666" s="3">
        <f ca="1">IF(AND(I3666&lt;&gt;I3665,ISNUMBER(SEARCH(Лист2!$B$5,I:I)),G3666=1),MAX($H$3:OFFSET(H3666,-1,0))+1,0)</f>
        <v>0</v>
      </c>
      <c r="I3666" s="3" t="s">
        <v>315</v>
      </c>
      <c r="K3666" s="2">
        <f>IF(ISNUMBER(SEARCH(Лист2!$B$4,F:F)),1,0)</f>
        <v>0</v>
      </c>
      <c r="L3666" s="14">
        <f>IF(ISNUMBER(SEARCH(Лист2!$B$5,I:I)),1,0)+K3666</f>
        <v>0</v>
      </c>
      <c r="M3666" s="3">
        <f ca="1">IF(AND(N3666&lt;&gt;N3665,ISNUMBER(SEARCH(Лист2!$B$6,N:N)),L3666=2),MAX($M$3:OFFSET(M3666,-1,0))+1,0)</f>
        <v>0</v>
      </c>
      <c r="N3666" s="3" t="s">
        <v>2288</v>
      </c>
    </row>
    <row r="3667" spans="1:14" x14ac:dyDescent="0.25">
      <c r="A3667" s="1" t="s">
        <v>12465</v>
      </c>
      <c r="B3667" s="3" t="s">
        <v>7291</v>
      </c>
      <c r="C3667" s="2">
        <f ca="1">IF(ISNUMBER(SEARCH(Лист2!$B$4,D:D)),MAX($C$3:OFFSET(C3667,-1,0))+1,0)</f>
        <v>0</v>
      </c>
      <c r="E3667" s="9" t="str">
        <f t="shared" ca="1" si="69"/>
        <v/>
      </c>
      <c r="F3667" s="4" t="s">
        <v>13</v>
      </c>
      <c r="G3667" s="2">
        <f>IF(ISNUMBER(SEARCH(Лист2!$B$4,F:F)),1,0)</f>
        <v>0</v>
      </c>
      <c r="H3667" s="3">
        <f ca="1">IF(AND(I3667&lt;&gt;I3666,ISNUMBER(SEARCH(Лист2!$B$5,I:I)),G3667=1),MAX($H$3:OFFSET(H3667,-1,0))+1,0)</f>
        <v>0</v>
      </c>
      <c r="I3667" s="3" t="s">
        <v>315</v>
      </c>
      <c r="K3667" s="2">
        <f>IF(ISNUMBER(SEARCH(Лист2!$B$4,F:F)),1,0)</f>
        <v>0</v>
      </c>
      <c r="L3667" s="14">
        <f>IF(ISNUMBER(SEARCH(Лист2!$B$5,I:I)),1,0)+K3667</f>
        <v>0</v>
      </c>
      <c r="M3667" s="3">
        <f ca="1">IF(AND(N3667&lt;&gt;N3666,ISNUMBER(SEARCH(Лист2!$B$6,N:N)),L3667=2),MAX($M$3:OFFSET(M3667,-1,0))+1,0)</f>
        <v>0</v>
      </c>
      <c r="N3667" s="3" t="s">
        <v>2291</v>
      </c>
    </row>
    <row r="3668" spans="1:14" x14ac:dyDescent="0.25">
      <c r="A3668" s="1" t="s">
        <v>12466</v>
      </c>
      <c r="B3668" s="3" t="s">
        <v>7292</v>
      </c>
      <c r="C3668" s="2">
        <f ca="1">IF(ISNUMBER(SEARCH(Лист2!$B$4,D:D)),MAX($C$3:OFFSET(C3668,-1,0))+1,0)</f>
        <v>0</v>
      </c>
      <c r="E3668" s="9" t="str">
        <f t="shared" ca="1" si="69"/>
        <v/>
      </c>
      <c r="F3668" s="4" t="s">
        <v>13</v>
      </c>
      <c r="G3668" s="2">
        <f>IF(ISNUMBER(SEARCH(Лист2!$B$4,F:F)),1,0)</f>
        <v>0</v>
      </c>
      <c r="H3668" s="3">
        <f ca="1">IF(AND(I3668&lt;&gt;I3667,ISNUMBER(SEARCH(Лист2!$B$5,I:I)),G3668=1),MAX($H$3:OFFSET(H3668,-1,0))+1,0)</f>
        <v>0</v>
      </c>
      <c r="I3668" s="3" t="s">
        <v>316</v>
      </c>
      <c r="K3668" s="2">
        <f>IF(ISNUMBER(SEARCH(Лист2!$B$4,F:F)),1,0)</f>
        <v>0</v>
      </c>
      <c r="L3668" s="14">
        <f>IF(ISNUMBER(SEARCH(Лист2!$B$5,I:I)),1,0)+K3668</f>
        <v>0</v>
      </c>
      <c r="M3668" s="3">
        <f ca="1">IF(AND(N3668&lt;&gt;N3667,ISNUMBER(SEARCH(Лист2!$B$6,N:N)),L3668=2),MAX($M$3:OFFSET(M3668,-1,0))+1,0)</f>
        <v>0</v>
      </c>
      <c r="N3668" s="3" t="s">
        <v>2237</v>
      </c>
    </row>
    <row r="3669" spans="1:14" x14ac:dyDescent="0.25">
      <c r="A3669" s="1" t="s">
        <v>12467</v>
      </c>
      <c r="B3669" s="3" t="s">
        <v>7293</v>
      </c>
      <c r="C3669" s="2">
        <f ca="1">IF(ISNUMBER(SEARCH(Лист2!$B$4,D:D)),MAX($C$3:OFFSET(C3669,-1,0))+1,0)</f>
        <v>0</v>
      </c>
      <c r="E3669" s="9" t="str">
        <f t="shared" ca="1" si="69"/>
        <v/>
      </c>
      <c r="F3669" s="4" t="s">
        <v>13</v>
      </c>
      <c r="G3669" s="2">
        <f>IF(ISNUMBER(SEARCH(Лист2!$B$4,F:F)),1,0)</f>
        <v>0</v>
      </c>
      <c r="H3669" s="3">
        <f ca="1">IF(AND(I3669&lt;&gt;I3668,ISNUMBER(SEARCH(Лист2!$B$5,I:I)),G3669=1),MAX($H$3:OFFSET(H3669,-1,0))+1,0)</f>
        <v>0</v>
      </c>
      <c r="I3669" s="3" t="s">
        <v>316</v>
      </c>
      <c r="K3669" s="2">
        <f>IF(ISNUMBER(SEARCH(Лист2!$B$4,F:F)),1,0)</f>
        <v>0</v>
      </c>
      <c r="L3669" s="14">
        <f>IF(ISNUMBER(SEARCH(Лист2!$B$5,I:I)),1,0)+K3669</f>
        <v>0</v>
      </c>
      <c r="M3669" s="3">
        <f ca="1">IF(AND(N3669&lt;&gt;N3668,ISNUMBER(SEARCH(Лист2!$B$6,N:N)),L3669=2),MAX($M$3:OFFSET(M3669,-1,0))+1,0)</f>
        <v>0</v>
      </c>
      <c r="N3669" s="3" t="s">
        <v>2238</v>
      </c>
    </row>
    <row r="3670" spans="1:14" x14ac:dyDescent="0.25">
      <c r="A3670" s="1" t="s">
        <v>12468</v>
      </c>
      <c r="B3670" s="3" t="s">
        <v>7294</v>
      </c>
      <c r="C3670" s="2">
        <f ca="1">IF(ISNUMBER(SEARCH(Лист2!$B$4,D:D)),MAX($C$3:OFFSET(C3670,-1,0))+1,0)</f>
        <v>0</v>
      </c>
      <c r="E3670" s="9" t="str">
        <f t="shared" ca="1" si="69"/>
        <v/>
      </c>
      <c r="F3670" s="4" t="s">
        <v>13</v>
      </c>
      <c r="G3670" s="2">
        <f>IF(ISNUMBER(SEARCH(Лист2!$B$4,F:F)),1,0)</f>
        <v>0</v>
      </c>
      <c r="H3670" s="3">
        <f ca="1">IF(AND(I3670&lt;&gt;I3669,ISNUMBER(SEARCH(Лист2!$B$5,I:I)),G3670=1),MAX($H$3:OFFSET(H3670,-1,0))+1,0)</f>
        <v>0</v>
      </c>
      <c r="I3670" s="3" t="s">
        <v>316</v>
      </c>
      <c r="K3670" s="2">
        <f>IF(ISNUMBER(SEARCH(Лист2!$B$4,F:F)),1,0)</f>
        <v>0</v>
      </c>
      <c r="L3670" s="14">
        <f>IF(ISNUMBER(SEARCH(Лист2!$B$5,I:I)),1,0)+K3670</f>
        <v>0</v>
      </c>
      <c r="M3670" s="3">
        <f ca="1">IF(AND(N3670&lt;&gt;N3669,ISNUMBER(SEARCH(Лист2!$B$6,N:N)),L3670=2),MAX($M$3:OFFSET(M3670,-1,0))+1,0)</f>
        <v>0</v>
      </c>
      <c r="N3670" s="3" t="s">
        <v>2301</v>
      </c>
    </row>
    <row r="3671" spans="1:14" x14ac:dyDescent="0.25">
      <c r="A3671" s="1" t="s">
        <v>12469</v>
      </c>
      <c r="B3671" s="3" t="s">
        <v>7295</v>
      </c>
      <c r="C3671" s="2">
        <f ca="1">IF(ISNUMBER(SEARCH(Лист2!$B$4,D:D)),MAX($C$3:OFFSET(C3671,-1,0))+1,0)</f>
        <v>0</v>
      </c>
      <c r="E3671" s="9" t="str">
        <f t="shared" ca="1" si="69"/>
        <v/>
      </c>
      <c r="F3671" s="4" t="s">
        <v>13</v>
      </c>
      <c r="G3671" s="2">
        <f>IF(ISNUMBER(SEARCH(Лист2!$B$4,F:F)),1,0)</f>
        <v>0</v>
      </c>
      <c r="H3671" s="3">
        <f ca="1">IF(AND(I3671&lt;&gt;I3670,ISNUMBER(SEARCH(Лист2!$B$5,I:I)),G3671=1),MAX($H$3:OFFSET(H3671,-1,0))+1,0)</f>
        <v>0</v>
      </c>
      <c r="I3671" s="3" t="s">
        <v>316</v>
      </c>
      <c r="K3671" s="2">
        <f>IF(ISNUMBER(SEARCH(Лист2!$B$4,F:F)),1,0)</f>
        <v>0</v>
      </c>
      <c r="L3671" s="14">
        <f>IF(ISNUMBER(SEARCH(Лист2!$B$5,I:I)),1,0)+K3671</f>
        <v>0</v>
      </c>
      <c r="M3671" s="3">
        <f ca="1">IF(AND(N3671&lt;&gt;N3670,ISNUMBER(SEARCH(Лист2!$B$6,N:N)),L3671=2),MAX($M$3:OFFSET(M3671,-1,0))+1,0)</f>
        <v>0</v>
      </c>
      <c r="N3671" s="3" t="s">
        <v>602</v>
      </c>
    </row>
    <row r="3672" spans="1:14" x14ac:dyDescent="0.25">
      <c r="A3672" s="1" t="s">
        <v>12470</v>
      </c>
      <c r="B3672" s="3" t="s">
        <v>7296</v>
      </c>
      <c r="C3672" s="2">
        <f ca="1">IF(ISNUMBER(SEARCH(Лист2!$B$4,D:D)),MAX($C$3:OFFSET(C3672,-1,0))+1,0)</f>
        <v>0</v>
      </c>
      <c r="E3672" s="9" t="str">
        <f t="shared" ca="1" si="69"/>
        <v/>
      </c>
      <c r="F3672" s="4" t="s">
        <v>13</v>
      </c>
      <c r="G3672" s="2">
        <f>IF(ISNUMBER(SEARCH(Лист2!$B$4,F:F)),1,0)</f>
        <v>0</v>
      </c>
      <c r="H3672" s="3">
        <f ca="1">IF(AND(I3672&lt;&gt;I3671,ISNUMBER(SEARCH(Лист2!$B$5,I:I)),G3672=1),MAX($H$3:OFFSET(H3672,-1,0))+1,0)</f>
        <v>0</v>
      </c>
      <c r="I3672" s="3" t="s">
        <v>316</v>
      </c>
      <c r="K3672" s="2">
        <f>IF(ISNUMBER(SEARCH(Лист2!$B$4,F:F)),1,0)</f>
        <v>0</v>
      </c>
      <c r="L3672" s="14">
        <f>IF(ISNUMBER(SEARCH(Лист2!$B$5,I:I)),1,0)+K3672</f>
        <v>0</v>
      </c>
      <c r="M3672" s="3">
        <f ca="1">IF(AND(N3672&lt;&gt;N3671,ISNUMBER(SEARCH(Лист2!$B$6,N:N)),L3672=2),MAX($M$3:OFFSET(M3672,-1,0))+1,0)</f>
        <v>0</v>
      </c>
      <c r="N3672" s="3" t="s">
        <v>2239</v>
      </c>
    </row>
    <row r="3673" spans="1:14" x14ac:dyDescent="0.25">
      <c r="A3673" s="1" t="s">
        <v>12471</v>
      </c>
      <c r="B3673" s="3" t="s">
        <v>7297</v>
      </c>
      <c r="C3673" s="2">
        <f ca="1">IF(ISNUMBER(SEARCH(Лист2!$B$4,D:D)),MAX($C$3:OFFSET(C3673,-1,0))+1,0)</f>
        <v>0</v>
      </c>
      <c r="E3673" s="9" t="str">
        <f t="shared" ca="1" si="69"/>
        <v/>
      </c>
      <c r="F3673" s="4" t="s">
        <v>13</v>
      </c>
      <c r="G3673" s="2">
        <f>IF(ISNUMBER(SEARCH(Лист2!$B$4,F:F)),1,0)</f>
        <v>0</v>
      </c>
      <c r="H3673" s="3">
        <f ca="1">IF(AND(I3673&lt;&gt;I3672,ISNUMBER(SEARCH(Лист2!$B$5,I:I)),G3673=1),MAX($H$3:OFFSET(H3673,-1,0))+1,0)</f>
        <v>0</v>
      </c>
      <c r="I3673" s="3" t="s">
        <v>316</v>
      </c>
      <c r="K3673" s="2">
        <f>IF(ISNUMBER(SEARCH(Лист2!$B$4,F:F)),1,0)</f>
        <v>0</v>
      </c>
      <c r="L3673" s="14">
        <f>IF(ISNUMBER(SEARCH(Лист2!$B$5,I:I)),1,0)+K3673</f>
        <v>0</v>
      </c>
      <c r="M3673" s="3">
        <f ca="1">IF(AND(N3673&lt;&gt;N3672,ISNUMBER(SEARCH(Лист2!$B$6,N:N)),L3673=2),MAX($M$3:OFFSET(M3673,-1,0))+1,0)</f>
        <v>0</v>
      </c>
      <c r="N3673" s="3" t="s">
        <v>2302</v>
      </c>
    </row>
    <row r="3674" spans="1:14" x14ac:dyDescent="0.25">
      <c r="A3674" s="1" t="s">
        <v>12472</v>
      </c>
      <c r="B3674" s="3" t="s">
        <v>7298</v>
      </c>
      <c r="C3674" s="2">
        <f ca="1">IF(ISNUMBER(SEARCH(Лист2!$B$4,D:D)),MAX($C$3:OFFSET(C3674,-1,0))+1,0)</f>
        <v>0</v>
      </c>
      <c r="E3674" s="9" t="str">
        <f t="shared" ca="1" si="69"/>
        <v/>
      </c>
      <c r="F3674" s="4" t="s">
        <v>13</v>
      </c>
      <c r="G3674" s="2">
        <f>IF(ISNUMBER(SEARCH(Лист2!$B$4,F:F)),1,0)</f>
        <v>0</v>
      </c>
      <c r="H3674" s="3">
        <f ca="1">IF(AND(I3674&lt;&gt;I3673,ISNUMBER(SEARCH(Лист2!$B$5,I:I)),G3674=1),MAX($H$3:OFFSET(H3674,-1,0))+1,0)</f>
        <v>0</v>
      </c>
      <c r="I3674" s="3" t="s">
        <v>316</v>
      </c>
      <c r="K3674" s="2">
        <f>IF(ISNUMBER(SEARCH(Лист2!$B$4,F:F)),1,0)</f>
        <v>0</v>
      </c>
      <c r="L3674" s="14">
        <f>IF(ISNUMBER(SEARCH(Лист2!$B$5,I:I)),1,0)+K3674</f>
        <v>0</v>
      </c>
      <c r="M3674" s="3">
        <f ca="1">IF(AND(N3674&lt;&gt;N3673,ISNUMBER(SEARCH(Лист2!$B$6,N:N)),L3674=2),MAX($M$3:OFFSET(M3674,-1,0))+1,0)</f>
        <v>0</v>
      </c>
      <c r="N3674" s="3" t="s">
        <v>2241</v>
      </c>
    </row>
    <row r="3675" spans="1:14" x14ac:dyDescent="0.25">
      <c r="A3675" s="1" t="s">
        <v>12473</v>
      </c>
      <c r="B3675" s="3" t="s">
        <v>7299</v>
      </c>
      <c r="C3675" s="2">
        <f ca="1">IF(ISNUMBER(SEARCH(Лист2!$B$4,D:D)),MAX($C$3:OFFSET(C3675,-1,0))+1,0)</f>
        <v>0</v>
      </c>
      <c r="E3675" s="9" t="str">
        <f t="shared" ca="1" si="69"/>
        <v/>
      </c>
      <c r="F3675" s="4" t="s">
        <v>13</v>
      </c>
      <c r="G3675" s="2">
        <f>IF(ISNUMBER(SEARCH(Лист2!$B$4,F:F)),1,0)</f>
        <v>0</v>
      </c>
      <c r="H3675" s="3">
        <f ca="1">IF(AND(I3675&lt;&gt;I3674,ISNUMBER(SEARCH(Лист2!$B$5,I:I)),G3675=1),MAX($H$3:OFFSET(H3675,-1,0))+1,0)</f>
        <v>0</v>
      </c>
      <c r="I3675" s="3" t="s">
        <v>316</v>
      </c>
      <c r="K3675" s="2">
        <f>IF(ISNUMBER(SEARCH(Лист2!$B$4,F:F)),1,0)</f>
        <v>0</v>
      </c>
      <c r="L3675" s="14">
        <f>IF(ISNUMBER(SEARCH(Лист2!$B$5,I:I)),1,0)+K3675</f>
        <v>0</v>
      </c>
      <c r="M3675" s="3">
        <f ca="1">IF(AND(N3675&lt;&gt;N3674,ISNUMBER(SEARCH(Лист2!$B$6,N:N)),L3675=2),MAX($M$3:OFFSET(M3675,-1,0))+1,0)</f>
        <v>0</v>
      </c>
      <c r="N3675" s="3" t="s">
        <v>2303</v>
      </c>
    </row>
    <row r="3676" spans="1:14" x14ac:dyDescent="0.25">
      <c r="A3676" s="1" t="s">
        <v>12474</v>
      </c>
      <c r="B3676" s="3" t="s">
        <v>7300</v>
      </c>
      <c r="C3676" s="2">
        <f ca="1">IF(ISNUMBER(SEARCH(Лист2!$B$4,D:D)),MAX($C$3:OFFSET(C3676,-1,0))+1,0)</f>
        <v>0</v>
      </c>
      <c r="E3676" s="9" t="str">
        <f t="shared" ca="1" si="69"/>
        <v/>
      </c>
      <c r="F3676" s="4" t="s">
        <v>13</v>
      </c>
      <c r="G3676" s="2">
        <f>IF(ISNUMBER(SEARCH(Лист2!$B$4,F:F)),1,0)</f>
        <v>0</v>
      </c>
      <c r="H3676" s="3">
        <f ca="1">IF(AND(I3676&lt;&gt;I3675,ISNUMBER(SEARCH(Лист2!$B$5,I:I)),G3676=1),MAX($H$3:OFFSET(H3676,-1,0))+1,0)</f>
        <v>0</v>
      </c>
      <c r="I3676" s="3" t="s">
        <v>316</v>
      </c>
      <c r="K3676" s="2">
        <f>IF(ISNUMBER(SEARCH(Лист2!$B$4,F:F)),1,0)</f>
        <v>0</v>
      </c>
      <c r="L3676" s="14">
        <f>IF(ISNUMBER(SEARCH(Лист2!$B$5,I:I)),1,0)+K3676</f>
        <v>0</v>
      </c>
      <c r="M3676" s="3">
        <f ca="1">IF(AND(N3676&lt;&gt;N3675,ISNUMBER(SEARCH(Лист2!$B$6,N:N)),L3676=2),MAX($M$3:OFFSET(M3676,-1,0))+1,0)</f>
        <v>0</v>
      </c>
      <c r="N3676" s="3" t="s">
        <v>2288</v>
      </c>
    </row>
    <row r="3677" spans="1:14" x14ac:dyDescent="0.25">
      <c r="A3677" s="1" t="s">
        <v>12475</v>
      </c>
      <c r="B3677" s="3" t="s">
        <v>7301</v>
      </c>
      <c r="C3677" s="2">
        <f ca="1">IF(ISNUMBER(SEARCH(Лист2!$B$4,D:D)),MAX($C$3:OFFSET(C3677,-1,0))+1,0)</f>
        <v>0</v>
      </c>
      <c r="E3677" s="9" t="str">
        <f t="shared" ca="1" si="69"/>
        <v/>
      </c>
      <c r="F3677" s="4" t="s">
        <v>13</v>
      </c>
      <c r="G3677" s="2">
        <f>IF(ISNUMBER(SEARCH(Лист2!$B$4,F:F)),1,0)</f>
        <v>0</v>
      </c>
      <c r="H3677" s="3">
        <f ca="1">IF(AND(I3677&lt;&gt;I3676,ISNUMBER(SEARCH(Лист2!$B$5,I:I)),G3677=1),MAX($H$3:OFFSET(H3677,-1,0))+1,0)</f>
        <v>0</v>
      </c>
      <c r="I3677" s="3" t="s">
        <v>317</v>
      </c>
      <c r="K3677" s="2">
        <f>IF(ISNUMBER(SEARCH(Лист2!$B$4,F:F)),1,0)</f>
        <v>0</v>
      </c>
      <c r="L3677" s="14">
        <f>IF(ISNUMBER(SEARCH(Лист2!$B$5,I:I)),1,0)+K3677</f>
        <v>0</v>
      </c>
      <c r="M3677" s="3">
        <f ca="1">IF(AND(N3677&lt;&gt;N3676,ISNUMBER(SEARCH(Лист2!$B$6,N:N)),L3677=2),MAX($M$3:OFFSET(M3677,-1,0))+1,0)</f>
        <v>0</v>
      </c>
      <c r="N3677" s="3" t="s">
        <v>702</v>
      </c>
    </row>
    <row r="3678" spans="1:14" x14ac:dyDescent="0.25">
      <c r="A3678" s="1" t="s">
        <v>12476</v>
      </c>
      <c r="B3678" s="3" t="s">
        <v>7302</v>
      </c>
      <c r="C3678" s="2">
        <f ca="1">IF(ISNUMBER(SEARCH(Лист2!$B$4,D:D)),MAX($C$3:OFFSET(C3678,-1,0))+1,0)</f>
        <v>0</v>
      </c>
      <c r="E3678" s="9" t="str">
        <f t="shared" ca="1" si="69"/>
        <v/>
      </c>
      <c r="F3678" s="4" t="s">
        <v>13</v>
      </c>
      <c r="G3678" s="2">
        <f>IF(ISNUMBER(SEARCH(Лист2!$B$4,F:F)),1,0)</f>
        <v>0</v>
      </c>
      <c r="H3678" s="3">
        <f ca="1">IF(AND(I3678&lt;&gt;I3677,ISNUMBER(SEARCH(Лист2!$B$5,I:I)),G3678=1),MAX($H$3:OFFSET(H3678,-1,0))+1,0)</f>
        <v>0</v>
      </c>
      <c r="I3678" s="3" t="s">
        <v>317</v>
      </c>
      <c r="K3678" s="2">
        <f>IF(ISNUMBER(SEARCH(Лист2!$B$4,F:F)),1,0)</f>
        <v>0</v>
      </c>
      <c r="L3678" s="14">
        <f>IF(ISNUMBER(SEARCH(Лист2!$B$5,I:I)),1,0)+K3678</f>
        <v>0</v>
      </c>
      <c r="M3678" s="3">
        <f ca="1">IF(AND(N3678&lt;&gt;N3677,ISNUMBER(SEARCH(Лист2!$B$6,N:N)),L3678=2),MAX($M$3:OFFSET(M3678,-1,0))+1,0)</f>
        <v>0</v>
      </c>
      <c r="N3678" s="3" t="s">
        <v>704</v>
      </c>
    </row>
    <row r="3679" spans="1:14" x14ac:dyDescent="0.25">
      <c r="A3679" s="1" t="s">
        <v>12477</v>
      </c>
      <c r="B3679" s="3" t="s">
        <v>7303</v>
      </c>
      <c r="C3679" s="2">
        <f ca="1">IF(ISNUMBER(SEARCH(Лист2!$B$4,D:D)),MAX($C$3:OFFSET(C3679,-1,0))+1,0)</f>
        <v>0</v>
      </c>
      <c r="E3679" s="9" t="str">
        <f t="shared" ca="1" si="69"/>
        <v/>
      </c>
      <c r="F3679" s="4" t="s">
        <v>13</v>
      </c>
      <c r="G3679" s="2">
        <f>IF(ISNUMBER(SEARCH(Лист2!$B$4,F:F)),1,0)</f>
        <v>0</v>
      </c>
      <c r="H3679" s="3">
        <f ca="1">IF(AND(I3679&lt;&gt;I3678,ISNUMBER(SEARCH(Лист2!$B$5,I:I)),G3679=1),MAX($H$3:OFFSET(H3679,-1,0))+1,0)</f>
        <v>0</v>
      </c>
      <c r="I3679" s="3" t="s">
        <v>317</v>
      </c>
      <c r="K3679" s="2">
        <f>IF(ISNUMBER(SEARCH(Лист2!$B$4,F:F)),1,0)</f>
        <v>0</v>
      </c>
      <c r="L3679" s="14">
        <f>IF(ISNUMBER(SEARCH(Лист2!$B$5,I:I)),1,0)+K3679</f>
        <v>0</v>
      </c>
      <c r="M3679" s="3">
        <f ca="1">IF(AND(N3679&lt;&gt;N3678,ISNUMBER(SEARCH(Лист2!$B$6,N:N)),L3679=2),MAX($M$3:OFFSET(M3679,-1,0))+1,0)</f>
        <v>0</v>
      </c>
      <c r="N3679" s="3" t="s">
        <v>2296</v>
      </c>
    </row>
    <row r="3680" spans="1:14" x14ac:dyDescent="0.25">
      <c r="A3680" s="1" t="s">
        <v>12478</v>
      </c>
      <c r="B3680" s="3" t="s">
        <v>7304</v>
      </c>
      <c r="C3680" s="2">
        <f ca="1">IF(ISNUMBER(SEARCH(Лист2!$B$4,D:D)),MAX($C$3:OFFSET(C3680,-1,0))+1,0)</f>
        <v>0</v>
      </c>
      <c r="E3680" s="9" t="str">
        <f t="shared" ca="1" si="69"/>
        <v/>
      </c>
      <c r="F3680" s="4" t="s">
        <v>13</v>
      </c>
      <c r="G3680" s="2">
        <f>IF(ISNUMBER(SEARCH(Лист2!$B$4,F:F)),1,0)</f>
        <v>0</v>
      </c>
      <c r="H3680" s="3">
        <f ca="1">IF(AND(I3680&lt;&gt;I3679,ISNUMBER(SEARCH(Лист2!$B$5,I:I)),G3680=1),MAX($H$3:OFFSET(H3680,-1,0))+1,0)</f>
        <v>0</v>
      </c>
      <c r="I3680" s="3" t="s">
        <v>317</v>
      </c>
      <c r="K3680" s="2">
        <f>IF(ISNUMBER(SEARCH(Лист2!$B$4,F:F)),1,0)</f>
        <v>0</v>
      </c>
      <c r="L3680" s="14">
        <f>IF(ISNUMBER(SEARCH(Лист2!$B$5,I:I)),1,0)+K3680</f>
        <v>0</v>
      </c>
      <c r="M3680" s="3">
        <f ca="1">IF(AND(N3680&lt;&gt;N3679,ISNUMBER(SEARCH(Лист2!$B$6,N:N)),L3680=2),MAX($M$3:OFFSET(M3680,-1,0))+1,0)</f>
        <v>0</v>
      </c>
      <c r="N3680" s="3" t="s">
        <v>602</v>
      </c>
    </row>
    <row r="3681" spans="1:14" x14ac:dyDescent="0.25">
      <c r="A3681" s="1" t="s">
        <v>12479</v>
      </c>
      <c r="B3681" s="3" t="s">
        <v>7305</v>
      </c>
      <c r="C3681" s="2">
        <f ca="1">IF(ISNUMBER(SEARCH(Лист2!$B$4,D:D)),MAX($C$3:OFFSET(C3681,-1,0))+1,0)</f>
        <v>0</v>
      </c>
      <c r="E3681" s="9" t="str">
        <f t="shared" ca="1" si="69"/>
        <v/>
      </c>
      <c r="F3681" s="4" t="s">
        <v>13</v>
      </c>
      <c r="G3681" s="2">
        <f>IF(ISNUMBER(SEARCH(Лист2!$B$4,F:F)),1,0)</f>
        <v>0</v>
      </c>
      <c r="H3681" s="3">
        <f ca="1">IF(AND(I3681&lt;&gt;I3680,ISNUMBER(SEARCH(Лист2!$B$5,I:I)),G3681=1),MAX($H$3:OFFSET(H3681,-1,0))+1,0)</f>
        <v>0</v>
      </c>
      <c r="I3681" s="3" t="s">
        <v>317</v>
      </c>
      <c r="K3681" s="2">
        <f>IF(ISNUMBER(SEARCH(Лист2!$B$4,F:F)),1,0)</f>
        <v>0</v>
      </c>
      <c r="L3681" s="14">
        <f>IF(ISNUMBER(SEARCH(Лист2!$B$5,I:I)),1,0)+K3681</f>
        <v>0</v>
      </c>
      <c r="M3681" s="3">
        <f ca="1">IF(AND(N3681&lt;&gt;N3680,ISNUMBER(SEARCH(Лист2!$B$6,N:N)),L3681=2),MAX($M$3:OFFSET(M3681,-1,0))+1,0)</f>
        <v>0</v>
      </c>
      <c r="N3681" s="3" t="s">
        <v>706</v>
      </c>
    </row>
    <row r="3682" spans="1:14" x14ac:dyDescent="0.25">
      <c r="A3682" s="1" t="s">
        <v>12480</v>
      </c>
      <c r="B3682" s="3" t="s">
        <v>7306</v>
      </c>
      <c r="C3682" s="2">
        <f ca="1">IF(ISNUMBER(SEARCH(Лист2!$B$4,D:D)),MAX($C$3:OFFSET(C3682,-1,0))+1,0)</f>
        <v>0</v>
      </c>
      <c r="E3682" s="9" t="str">
        <f t="shared" ca="1" si="69"/>
        <v/>
      </c>
      <c r="F3682" s="4" t="s">
        <v>13</v>
      </c>
      <c r="G3682" s="2">
        <f>IF(ISNUMBER(SEARCH(Лист2!$B$4,F:F)),1,0)</f>
        <v>0</v>
      </c>
      <c r="H3682" s="3">
        <f ca="1">IF(AND(I3682&lt;&gt;I3681,ISNUMBER(SEARCH(Лист2!$B$5,I:I)),G3682=1),MAX($H$3:OFFSET(H3682,-1,0))+1,0)</f>
        <v>0</v>
      </c>
      <c r="I3682" s="3" t="s">
        <v>317</v>
      </c>
      <c r="K3682" s="2">
        <f>IF(ISNUMBER(SEARCH(Лист2!$B$4,F:F)),1,0)</f>
        <v>0</v>
      </c>
      <c r="L3682" s="14">
        <f>IF(ISNUMBER(SEARCH(Лист2!$B$5,I:I)),1,0)+K3682</f>
        <v>0</v>
      </c>
      <c r="M3682" s="3">
        <f ca="1">IF(AND(N3682&lt;&gt;N3681,ISNUMBER(SEARCH(Лист2!$B$6,N:N)),L3682=2),MAX($M$3:OFFSET(M3682,-1,0))+1,0)</f>
        <v>0</v>
      </c>
      <c r="N3682" s="3" t="s">
        <v>2297</v>
      </c>
    </row>
    <row r="3683" spans="1:14" x14ac:dyDescent="0.25">
      <c r="A3683" s="1" t="s">
        <v>12481</v>
      </c>
      <c r="B3683" s="3" t="s">
        <v>7307</v>
      </c>
      <c r="C3683" s="2">
        <f ca="1">IF(ISNUMBER(SEARCH(Лист2!$B$4,D:D)),MAX($C$3:OFFSET(C3683,-1,0))+1,0)</f>
        <v>0</v>
      </c>
      <c r="E3683" s="9" t="str">
        <f t="shared" ca="1" si="69"/>
        <v/>
      </c>
      <c r="F3683" s="4" t="s">
        <v>13</v>
      </c>
      <c r="G3683" s="2">
        <f>IF(ISNUMBER(SEARCH(Лист2!$B$4,F:F)),1,0)</f>
        <v>0</v>
      </c>
      <c r="H3683" s="3">
        <f ca="1">IF(AND(I3683&lt;&gt;I3682,ISNUMBER(SEARCH(Лист2!$B$5,I:I)),G3683=1),MAX($H$3:OFFSET(H3683,-1,0))+1,0)</f>
        <v>0</v>
      </c>
      <c r="I3683" s="3" t="s">
        <v>317</v>
      </c>
      <c r="K3683" s="2">
        <f>IF(ISNUMBER(SEARCH(Лист2!$B$4,F:F)),1,0)</f>
        <v>0</v>
      </c>
      <c r="L3683" s="14">
        <f>IF(ISNUMBER(SEARCH(Лист2!$B$5,I:I)),1,0)+K3683</f>
        <v>0</v>
      </c>
      <c r="M3683" s="3">
        <f ca="1">IF(AND(N3683&lt;&gt;N3682,ISNUMBER(SEARCH(Лист2!$B$6,N:N)),L3683=2),MAX($M$3:OFFSET(M3683,-1,0))+1,0)</f>
        <v>0</v>
      </c>
      <c r="N3683" s="3" t="s">
        <v>2298</v>
      </c>
    </row>
    <row r="3684" spans="1:14" x14ac:dyDescent="0.25">
      <c r="A3684" s="1" t="s">
        <v>12482</v>
      </c>
      <c r="B3684" s="3" t="s">
        <v>7308</v>
      </c>
      <c r="C3684" s="2">
        <f ca="1">IF(ISNUMBER(SEARCH(Лист2!$B$4,D:D)),MAX($C$3:OFFSET(C3684,-1,0))+1,0)</f>
        <v>0</v>
      </c>
      <c r="E3684" s="9" t="str">
        <f t="shared" ca="1" si="69"/>
        <v/>
      </c>
      <c r="F3684" s="4" t="s">
        <v>13</v>
      </c>
      <c r="G3684" s="2">
        <f>IF(ISNUMBER(SEARCH(Лист2!$B$4,F:F)),1,0)</f>
        <v>0</v>
      </c>
      <c r="H3684" s="3">
        <f ca="1">IF(AND(I3684&lt;&gt;I3683,ISNUMBER(SEARCH(Лист2!$B$5,I:I)),G3684=1),MAX($H$3:OFFSET(H3684,-1,0))+1,0)</f>
        <v>0</v>
      </c>
      <c r="I3684" s="3" t="s">
        <v>317</v>
      </c>
      <c r="K3684" s="2">
        <f>IF(ISNUMBER(SEARCH(Лист2!$B$4,F:F)),1,0)</f>
        <v>0</v>
      </c>
      <c r="L3684" s="14">
        <f>IF(ISNUMBER(SEARCH(Лист2!$B$5,I:I)),1,0)+K3684</f>
        <v>0</v>
      </c>
      <c r="M3684" s="3">
        <f ca="1">IF(AND(N3684&lt;&gt;N3683,ISNUMBER(SEARCH(Лист2!$B$6,N:N)),L3684=2),MAX($M$3:OFFSET(M3684,-1,0))+1,0)</f>
        <v>0</v>
      </c>
      <c r="N3684" s="3" t="s">
        <v>2287</v>
      </c>
    </row>
    <row r="3685" spans="1:14" x14ac:dyDescent="0.25">
      <c r="A3685" s="1" t="s">
        <v>12483</v>
      </c>
      <c r="B3685" s="3" t="s">
        <v>7309</v>
      </c>
      <c r="C3685" s="2">
        <f ca="1">IF(ISNUMBER(SEARCH(Лист2!$B$4,D:D)),MAX($C$3:OFFSET(C3685,-1,0))+1,0)</f>
        <v>0</v>
      </c>
      <c r="E3685" s="9" t="str">
        <f t="shared" ca="1" si="69"/>
        <v/>
      </c>
      <c r="F3685" s="4" t="s">
        <v>13</v>
      </c>
      <c r="G3685" s="2">
        <f>IF(ISNUMBER(SEARCH(Лист2!$B$4,F:F)),1,0)</f>
        <v>0</v>
      </c>
      <c r="H3685" s="3">
        <f ca="1">IF(AND(I3685&lt;&gt;I3684,ISNUMBER(SEARCH(Лист2!$B$5,I:I)),G3685=1),MAX($H$3:OFFSET(H3685,-1,0))+1,0)</f>
        <v>0</v>
      </c>
      <c r="I3685" s="3" t="s">
        <v>317</v>
      </c>
      <c r="K3685" s="2">
        <f>IF(ISNUMBER(SEARCH(Лист2!$B$4,F:F)),1,0)</f>
        <v>0</v>
      </c>
      <c r="L3685" s="14">
        <f>IF(ISNUMBER(SEARCH(Лист2!$B$5,I:I)),1,0)+K3685</f>
        <v>0</v>
      </c>
      <c r="M3685" s="3">
        <f ca="1">IF(AND(N3685&lt;&gt;N3684,ISNUMBER(SEARCH(Лист2!$B$6,N:N)),L3685=2),MAX($M$3:OFFSET(M3685,-1,0))+1,0)</f>
        <v>0</v>
      </c>
      <c r="N3685" s="3" t="s">
        <v>2288</v>
      </c>
    </row>
    <row r="3686" spans="1:14" x14ac:dyDescent="0.25">
      <c r="A3686" s="1" t="s">
        <v>12484</v>
      </c>
      <c r="B3686" s="3" t="s">
        <v>7310</v>
      </c>
      <c r="C3686" s="2">
        <f ca="1">IF(ISNUMBER(SEARCH(Лист2!$B$4,D:D)),MAX($C$3:OFFSET(C3686,-1,0))+1,0)</f>
        <v>0</v>
      </c>
      <c r="E3686" s="9" t="str">
        <f t="shared" ca="1" si="69"/>
        <v/>
      </c>
      <c r="F3686" s="4" t="s">
        <v>13</v>
      </c>
      <c r="G3686" s="2">
        <f>IF(ISNUMBER(SEARCH(Лист2!$B$4,F:F)),1,0)</f>
        <v>0</v>
      </c>
      <c r="H3686" s="3">
        <f ca="1">IF(AND(I3686&lt;&gt;I3685,ISNUMBER(SEARCH(Лист2!$B$5,I:I)),G3686=1),MAX($H$3:OFFSET(H3686,-1,0))+1,0)</f>
        <v>0</v>
      </c>
      <c r="I3686" s="3" t="s">
        <v>317</v>
      </c>
      <c r="K3686" s="2">
        <f>IF(ISNUMBER(SEARCH(Лист2!$B$4,F:F)),1,0)</f>
        <v>0</v>
      </c>
      <c r="L3686" s="14">
        <f>IF(ISNUMBER(SEARCH(Лист2!$B$5,I:I)),1,0)+K3686</f>
        <v>0</v>
      </c>
      <c r="M3686" s="3">
        <f ca="1">IF(AND(N3686&lt;&gt;N3685,ISNUMBER(SEARCH(Лист2!$B$6,N:N)),L3686=2),MAX($M$3:OFFSET(M3686,-1,0))+1,0)</f>
        <v>0</v>
      </c>
      <c r="N3686" s="3" t="s">
        <v>2291</v>
      </c>
    </row>
    <row r="3687" spans="1:14" x14ac:dyDescent="0.25">
      <c r="A3687" s="1" t="s">
        <v>12485</v>
      </c>
      <c r="B3687" s="3" t="s">
        <v>7311</v>
      </c>
      <c r="C3687" s="2">
        <f ca="1">IF(ISNUMBER(SEARCH(Лист2!$B$4,D:D)),MAX($C$3:OFFSET(C3687,-1,0))+1,0)</f>
        <v>0</v>
      </c>
      <c r="E3687" s="9" t="str">
        <f t="shared" ca="1" si="69"/>
        <v/>
      </c>
      <c r="F3687" s="4" t="s">
        <v>13</v>
      </c>
      <c r="G3687" s="2">
        <f>IF(ISNUMBER(SEARCH(Лист2!$B$4,F:F)),1,0)</f>
        <v>0</v>
      </c>
      <c r="H3687" s="3">
        <f ca="1">IF(AND(I3687&lt;&gt;I3686,ISNUMBER(SEARCH(Лист2!$B$5,I:I)),G3687=1),MAX($H$3:OFFSET(H3687,-1,0))+1,0)</f>
        <v>0</v>
      </c>
      <c r="I3687" s="3" t="s">
        <v>317</v>
      </c>
      <c r="K3687" s="2">
        <f>IF(ISNUMBER(SEARCH(Лист2!$B$4,F:F)),1,0)</f>
        <v>0</v>
      </c>
      <c r="L3687" s="14">
        <f>IF(ISNUMBER(SEARCH(Лист2!$B$5,I:I)),1,0)+K3687</f>
        <v>0</v>
      </c>
      <c r="M3687" s="3">
        <f ca="1">IF(AND(N3687&lt;&gt;N3686,ISNUMBER(SEARCH(Лист2!$B$6,N:N)),L3687=2),MAX($M$3:OFFSET(M3687,-1,0))+1,0)</f>
        <v>0</v>
      </c>
      <c r="N3687" s="3" t="s">
        <v>2304</v>
      </c>
    </row>
    <row r="3688" spans="1:14" x14ac:dyDescent="0.25">
      <c r="A3688" s="1" t="s">
        <v>12486</v>
      </c>
      <c r="B3688" s="3" t="s">
        <v>7312</v>
      </c>
      <c r="C3688" s="2">
        <f ca="1">IF(ISNUMBER(SEARCH(Лист2!$B$4,D:D)),MAX($C$3:OFFSET(C3688,-1,0))+1,0)</f>
        <v>0</v>
      </c>
      <c r="E3688" s="9" t="str">
        <f t="shared" ca="1" si="69"/>
        <v/>
      </c>
      <c r="F3688" s="4" t="s">
        <v>13</v>
      </c>
      <c r="G3688" s="2">
        <f>IF(ISNUMBER(SEARCH(Лист2!$B$4,F:F)),1,0)</f>
        <v>0</v>
      </c>
      <c r="H3688" s="3">
        <f ca="1">IF(AND(I3688&lt;&gt;I3687,ISNUMBER(SEARCH(Лист2!$B$5,I:I)),G3688=1),MAX($H$3:OFFSET(H3688,-1,0))+1,0)</f>
        <v>0</v>
      </c>
      <c r="I3688" s="3" t="s">
        <v>318</v>
      </c>
      <c r="K3688" s="2">
        <f>IF(ISNUMBER(SEARCH(Лист2!$B$4,F:F)),1,0)</f>
        <v>0</v>
      </c>
      <c r="L3688" s="14">
        <f>IF(ISNUMBER(SEARCH(Лист2!$B$5,I:I)),1,0)+K3688</f>
        <v>0</v>
      </c>
      <c r="M3688" s="3">
        <f ca="1">IF(AND(N3688&lt;&gt;N3687,ISNUMBER(SEARCH(Лист2!$B$6,N:N)),L3688=2),MAX($M$3:OFFSET(M3688,-1,0))+1,0)</f>
        <v>0</v>
      </c>
      <c r="N3688" s="3" t="s">
        <v>702</v>
      </c>
    </row>
    <row r="3689" spans="1:14" x14ac:dyDescent="0.25">
      <c r="A3689" s="1" t="s">
        <v>12487</v>
      </c>
      <c r="B3689" s="3" t="s">
        <v>7313</v>
      </c>
      <c r="C3689" s="2">
        <f ca="1">IF(ISNUMBER(SEARCH(Лист2!$B$4,D:D)),MAX($C$3:OFFSET(C3689,-1,0))+1,0)</f>
        <v>0</v>
      </c>
      <c r="E3689" s="9" t="str">
        <f t="shared" ca="1" si="69"/>
        <v/>
      </c>
      <c r="F3689" s="4" t="s">
        <v>13</v>
      </c>
      <c r="G3689" s="2">
        <f>IF(ISNUMBER(SEARCH(Лист2!$B$4,F:F)),1,0)</f>
        <v>0</v>
      </c>
      <c r="H3689" s="3">
        <f ca="1">IF(AND(I3689&lt;&gt;I3688,ISNUMBER(SEARCH(Лист2!$B$5,I:I)),G3689=1),MAX($H$3:OFFSET(H3689,-1,0))+1,0)</f>
        <v>0</v>
      </c>
      <c r="I3689" s="3" t="s">
        <v>318</v>
      </c>
      <c r="K3689" s="2">
        <f>IF(ISNUMBER(SEARCH(Лист2!$B$4,F:F)),1,0)</f>
        <v>0</v>
      </c>
      <c r="L3689" s="14">
        <f>IF(ISNUMBER(SEARCH(Лист2!$B$5,I:I)),1,0)+K3689</f>
        <v>0</v>
      </c>
      <c r="M3689" s="3">
        <f ca="1">IF(AND(N3689&lt;&gt;N3688,ISNUMBER(SEARCH(Лист2!$B$6,N:N)),L3689=2),MAX($M$3:OFFSET(M3689,-1,0))+1,0)</f>
        <v>0</v>
      </c>
      <c r="N3689" s="3" t="s">
        <v>704</v>
      </c>
    </row>
    <row r="3690" spans="1:14" x14ac:dyDescent="0.25">
      <c r="A3690" s="1" t="s">
        <v>12488</v>
      </c>
      <c r="B3690" s="3" t="s">
        <v>7314</v>
      </c>
      <c r="C3690" s="2">
        <f ca="1">IF(ISNUMBER(SEARCH(Лист2!$B$4,D:D)),MAX($C$3:OFFSET(C3690,-1,0))+1,0)</f>
        <v>0</v>
      </c>
      <c r="E3690" s="9" t="str">
        <f t="shared" ca="1" si="69"/>
        <v/>
      </c>
      <c r="F3690" s="4" t="s">
        <v>13</v>
      </c>
      <c r="G3690" s="2">
        <f>IF(ISNUMBER(SEARCH(Лист2!$B$4,F:F)),1,0)</f>
        <v>0</v>
      </c>
      <c r="H3690" s="3">
        <f ca="1">IF(AND(I3690&lt;&gt;I3689,ISNUMBER(SEARCH(Лист2!$B$5,I:I)),G3690=1),MAX($H$3:OFFSET(H3690,-1,0))+1,0)</f>
        <v>0</v>
      </c>
      <c r="I3690" s="3" t="s">
        <v>318</v>
      </c>
      <c r="K3690" s="2">
        <f>IF(ISNUMBER(SEARCH(Лист2!$B$4,F:F)),1,0)</f>
        <v>0</v>
      </c>
      <c r="L3690" s="14">
        <f>IF(ISNUMBER(SEARCH(Лист2!$B$5,I:I)),1,0)+K3690</f>
        <v>0</v>
      </c>
      <c r="M3690" s="3">
        <f ca="1">IF(AND(N3690&lt;&gt;N3689,ISNUMBER(SEARCH(Лист2!$B$6,N:N)),L3690=2),MAX($M$3:OFFSET(M3690,-1,0))+1,0)</f>
        <v>0</v>
      </c>
      <c r="N3690" s="3" t="s">
        <v>2296</v>
      </c>
    </row>
    <row r="3691" spans="1:14" x14ac:dyDescent="0.25">
      <c r="A3691" s="1" t="s">
        <v>12489</v>
      </c>
      <c r="B3691" s="3" t="s">
        <v>7315</v>
      </c>
      <c r="C3691" s="2">
        <f ca="1">IF(ISNUMBER(SEARCH(Лист2!$B$4,D:D)),MAX($C$3:OFFSET(C3691,-1,0))+1,0)</f>
        <v>0</v>
      </c>
      <c r="E3691" s="9" t="str">
        <f t="shared" ca="1" si="69"/>
        <v/>
      </c>
      <c r="F3691" s="4" t="s">
        <v>13</v>
      </c>
      <c r="G3691" s="2">
        <f>IF(ISNUMBER(SEARCH(Лист2!$B$4,F:F)),1,0)</f>
        <v>0</v>
      </c>
      <c r="H3691" s="3">
        <f ca="1">IF(AND(I3691&lt;&gt;I3690,ISNUMBER(SEARCH(Лист2!$B$5,I:I)),G3691=1),MAX($H$3:OFFSET(H3691,-1,0))+1,0)</f>
        <v>0</v>
      </c>
      <c r="I3691" s="3" t="s">
        <v>318</v>
      </c>
      <c r="K3691" s="2">
        <f>IF(ISNUMBER(SEARCH(Лист2!$B$4,F:F)),1,0)</f>
        <v>0</v>
      </c>
      <c r="L3691" s="14">
        <f>IF(ISNUMBER(SEARCH(Лист2!$B$5,I:I)),1,0)+K3691</f>
        <v>0</v>
      </c>
      <c r="M3691" s="3">
        <f ca="1">IF(AND(N3691&lt;&gt;N3690,ISNUMBER(SEARCH(Лист2!$B$6,N:N)),L3691=2),MAX($M$3:OFFSET(M3691,-1,0))+1,0)</f>
        <v>0</v>
      </c>
      <c r="N3691" s="3" t="s">
        <v>602</v>
      </c>
    </row>
    <row r="3692" spans="1:14" x14ac:dyDescent="0.25">
      <c r="A3692" s="1" t="s">
        <v>12490</v>
      </c>
      <c r="B3692" s="3" t="s">
        <v>7316</v>
      </c>
      <c r="C3692" s="2">
        <f ca="1">IF(ISNUMBER(SEARCH(Лист2!$B$4,D:D)),MAX($C$3:OFFSET(C3692,-1,0))+1,0)</f>
        <v>0</v>
      </c>
      <c r="E3692" s="9" t="str">
        <f t="shared" ca="1" si="69"/>
        <v/>
      </c>
      <c r="F3692" s="4" t="s">
        <v>13</v>
      </c>
      <c r="G3692" s="2">
        <f>IF(ISNUMBER(SEARCH(Лист2!$B$4,F:F)),1,0)</f>
        <v>0</v>
      </c>
      <c r="H3692" s="3">
        <f ca="1">IF(AND(I3692&lt;&gt;I3691,ISNUMBER(SEARCH(Лист2!$B$5,I:I)),G3692=1),MAX($H$3:OFFSET(H3692,-1,0))+1,0)</f>
        <v>0</v>
      </c>
      <c r="I3692" s="3" t="s">
        <v>318</v>
      </c>
      <c r="K3692" s="2">
        <f>IF(ISNUMBER(SEARCH(Лист2!$B$4,F:F)),1,0)</f>
        <v>0</v>
      </c>
      <c r="L3692" s="14">
        <f>IF(ISNUMBER(SEARCH(Лист2!$B$5,I:I)),1,0)+K3692</f>
        <v>0</v>
      </c>
      <c r="M3692" s="3">
        <f ca="1">IF(AND(N3692&lt;&gt;N3691,ISNUMBER(SEARCH(Лист2!$B$6,N:N)),L3692=2),MAX($M$3:OFFSET(M3692,-1,0))+1,0)</f>
        <v>0</v>
      </c>
      <c r="N3692" s="3" t="s">
        <v>706</v>
      </c>
    </row>
    <row r="3693" spans="1:14" x14ac:dyDescent="0.25">
      <c r="A3693" s="1" t="s">
        <v>12491</v>
      </c>
      <c r="B3693" s="3" t="s">
        <v>7317</v>
      </c>
      <c r="C3693" s="2">
        <f ca="1">IF(ISNUMBER(SEARCH(Лист2!$B$4,D:D)),MAX($C$3:OFFSET(C3693,-1,0))+1,0)</f>
        <v>0</v>
      </c>
      <c r="E3693" s="9" t="str">
        <f t="shared" ca="1" si="69"/>
        <v/>
      </c>
      <c r="F3693" s="4" t="s">
        <v>13</v>
      </c>
      <c r="G3693" s="2">
        <f>IF(ISNUMBER(SEARCH(Лист2!$B$4,F:F)),1,0)</f>
        <v>0</v>
      </c>
      <c r="H3693" s="3">
        <f ca="1">IF(AND(I3693&lt;&gt;I3692,ISNUMBER(SEARCH(Лист2!$B$5,I:I)),G3693=1),MAX($H$3:OFFSET(H3693,-1,0))+1,0)</f>
        <v>0</v>
      </c>
      <c r="I3693" s="3" t="s">
        <v>318</v>
      </c>
      <c r="K3693" s="2">
        <f>IF(ISNUMBER(SEARCH(Лист2!$B$4,F:F)),1,0)</f>
        <v>0</v>
      </c>
      <c r="L3693" s="14">
        <f>IF(ISNUMBER(SEARCH(Лист2!$B$5,I:I)),1,0)+K3693</f>
        <v>0</v>
      </c>
      <c r="M3693" s="3">
        <f ca="1">IF(AND(N3693&lt;&gt;N3692,ISNUMBER(SEARCH(Лист2!$B$6,N:N)),L3693=2),MAX($M$3:OFFSET(M3693,-1,0))+1,0)</f>
        <v>0</v>
      </c>
      <c r="N3693" s="3" t="s">
        <v>2297</v>
      </c>
    </row>
    <row r="3694" spans="1:14" x14ac:dyDescent="0.25">
      <c r="A3694" s="1" t="s">
        <v>12492</v>
      </c>
      <c r="B3694" s="3" t="s">
        <v>7318</v>
      </c>
      <c r="C3694" s="2">
        <f ca="1">IF(ISNUMBER(SEARCH(Лист2!$B$4,D:D)),MAX($C$3:OFFSET(C3694,-1,0))+1,0)</f>
        <v>0</v>
      </c>
      <c r="E3694" s="9" t="str">
        <f t="shared" ca="1" si="69"/>
        <v/>
      </c>
      <c r="F3694" s="4" t="s">
        <v>13</v>
      </c>
      <c r="G3694" s="2">
        <f>IF(ISNUMBER(SEARCH(Лист2!$B$4,F:F)),1,0)</f>
        <v>0</v>
      </c>
      <c r="H3694" s="3">
        <f ca="1">IF(AND(I3694&lt;&gt;I3693,ISNUMBER(SEARCH(Лист2!$B$5,I:I)),G3694=1),MAX($H$3:OFFSET(H3694,-1,0))+1,0)</f>
        <v>0</v>
      </c>
      <c r="I3694" s="3" t="s">
        <v>318</v>
      </c>
      <c r="K3694" s="2">
        <f>IF(ISNUMBER(SEARCH(Лист2!$B$4,F:F)),1,0)</f>
        <v>0</v>
      </c>
      <c r="L3694" s="14">
        <f>IF(ISNUMBER(SEARCH(Лист2!$B$5,I:I)),1,0)+K3694</f>
        <v>0</v>
      </c>
      <c r="M3694" s="3">
        <f ca="1">IF(AND(N3694&lt;&gt;N3693,ISNUMBER(SEARCH(Лист2!$B$6,N:N)),L3694=2),MAX($M$3:OFFSET(M3694,-1,0))+1,0)</f>
        <v>0</v>
      </c>
      <c r="N3694" s="3" t="s">
        <v>2298</v>
      </c>
    </row>
    <row r="3695" spans="1:14" x14ac:dyDescent="0.25">
      <c r="A3695" s="1" t="s">
        <v>12493</v>
      </c>
      <c r="B3695" s="3" t="s">
        <v>7319</v>
      </c>
      <c r="C3695" s="2">
        <f ca="1">IF(ISNUMBER(SEARCH(Лист2!$B$4,D:D)),MAX($C$3:OFFSET(C3695,-1,0))+1,0)</f>
        <v>0</v>
      </c>
      <c r="E3695" s="9" t="str">
        <f t="shared" ca="1" si="69"/>
        <v/>
      </c>
      <c r="F3695" s="4" t="s">
        <v>13</v>
      </c>
      <c r="G3695" s="2">
        <f>IF(ISNUMBER(SEARCH(Лист2!$B$4,F:F)),1,0)</f>
        <v>0</v>
      </c>
      <c r="H3695" s="3">
        <f ca="1">IF(AND(I3695&lt;&gt;I3694,ISNUMBER(SEARCH(Лист2!$B$5,I:I)),G3695=1),MAX($H$3:OFFSET(H3695,-1,0))+1,0)</f>
        <v>0</v>
      </c>
      <c r="I3695" s="3" t="s">
        <v>318</v>
      </c>
      <c r="K3695" s="2">
        <f>IF(ISNUMBER(SEARCH(Лист2!$B$4,F:F)),1,0)</f>
        <v>0</v>
      </c>
      <c r="L3695" s="14">
        <f>IF(ISNUMBER(SEARCH(Лист2!$B$5,I:I)),1,0)+K3695</f>
        <v>0</v>
      </c>
      <c r="M3695" s="3">
        <f ca="1">IF(AND(N3695&lt;&gt;N3694,ISNUMBER(SEARCH(Лист2!$B$6,N:N)),L3695=2),MAX($M$3:OFFSET(M3695,-1,0))+1,0)</f>
        <v>0</v>
      </c>
      <c r="N3695" s="3" t="s">
        <v>2287</v>
      </c>
    </row>
    <row r="3696" spans="1:14" x14ac:dyDescent="0.25">
      <c r="A3696" s="1" t="s">
        <v>12494</v>
      </c>
      <c r="B3696" s="3" t="s">
        <v>7320</v>
      </c>
      <c r="C3696" s="2">
        <f ca="1">IF(ISNUMBER(SEARCH(Лист2!$B$4,D:D)),MAX($C$3:OFFSET(C3696,-1,0))+1,0)</f>
        <v>0</v>
      </c>
      <c r="E3696" s="9" t="str">
        <f t="shared" ca="1" si="69"/>
        <v/>
      </c>
      <c r="F3696" s="4" t="s">
        <v>13</v>
      </c>
      <c r="G3696" s="2">
        <f>IF(ISNUMBER(SEARCH(Лист2!$B$4,F:F)),1,0)</f>
        <v>0</v>
      </c>
      <c r="H3696" s="3">
        <f ca="1">IF(AND(I3696&lt;&gt;I3695,ISNUMBER(SEARCH(Лист2!$B$5,I:I)),G3696=1),MAX($H$3:OFFSET(H3696,-1,0))+1,0)</f>
        <v>0</v>
      </c>
      <c r="I3696" s="3" t="s">
        <v>318</v>
      </c>
      <c r="K3696" s="2">
        <f>IF(ISNUMBER(SEARCH(Лист2!$B$4,F:F)),1,0)</f>
        <v>0</v>
      </c>
      <c r="L3696" s="14">
        <f>IF(ISNUMBER(SEARCH(Лист2!$B$5,I:I)),1,0)+K3696</f>
        <v>0</v>
      </c>
      <c r="M3696" s="3">
        <f ca="1">IF(AND(N3696&lt;&gt;N3695,ISNUMBER(SEARCH(Лист2!$B$6,N:N)),L3696=2),MAX($M$3:OFFSET(M3696,-1,0))+1,0)</f>
        <v>0</v>
      </c>
      <c r="N3696" s="3" t="s">
        <v>2288</v>
      </c>
    </row>
    <row r="3697" spans="1:14" x14ac:dyDescent="0.25">
      <c r="A3697" s="1" t="s">
        <v>12495</v>
      </c>
      <c r="B3697" s="3" t="s">
        <v>7321</v>
      </c>
      <c r="C3697" s="2">
        <f ca="1">IF(ISNUMBER(SEARCH(Лист2!$B$4,D:D)),MAX($C$3:OFFSET(C3697,-1,0))+1,0)</f>
        <v>0</v>
      </c>
      <c r="E3697" s="9" t="str">
        <f t="shared" ca="1" si="69"/>
        <v/>
      </c>
      <c r="F3697" s="4" t="s">
        <v>13</v>
      </c>
      <c r="G3697" s="2">
        <f>IF(ISNUMBER(SEARCH(Лист2!$B$4,F:F)),1,0)</f>
        <v>0</v>
      </c>
      <c r="H3697" s="3">
        <f ca="1">IF(AND(I3697&lt;&gt;I3696,ISNUMBER(SEARCH(Лист2!$B$5,I:I)),G3697=1),MAX($H$3:OFFSET(H3697,-1,0))+1,0)</f>
        <v>0</v>
      </c>
      <c r="I3697" s="3" t="s">
        <v>318</v>
      </c>
      <c r="K3697" s="2">
        <f>IF(ISNUMBER(SEARCH(Лист2!$B$4,F:F)),1,0)</f>
        <v>0</v>
      </c>
      <c r="L3697" s="14">
        <f>IF(ISNUMBER(SEARCH(Лист2!$B$5,I:I)),1,0)+K3697</f>
        <v>0</v>
      </c>
      <c r="M3697" s="3">
        <f ca="1">IF(AND(N3697&lt;&gt;N3696,ISNUMBER(SEARCH(Лист2!$B$6,N:N)),L3697=2),MAX($M$3:OFFSET(M3697,-1,0))+1,0)</f>
        <v>0</v>
      </c>
      <c r="N3697" s="3" t="s">
        <v>2291</v>
      </c>
    </row>
    <row r="3698" spans="1:14" x14ac:dyDescent="0.25">
      <c r="A3698" s="1" t="s">
        <v>12496</v>
      </c>
      <c r="B3698" s="3" t="s">
        <v>7322</v>
      </c>
      <c r="C3698" s="2">
        <f ca="1">IF(ISNUMBER(SEARCH(Лист2!$B$4,D:D)),MAX($C$3:OFFSET(C3698,-1,0))+1,0)</f>
        <v>0</v>
      </c>
      <c r="E3698" s="9" t="str">
        <f t="shared" ca="1" si="69"/>
        <v/>
      </c>
      <c r="F3698" s="4" t="s">
        <v>13</v>
      </c>
      <c r="G3698" s="2">
        <f>IF(ISNUMBER(SEARCH(Лист2!$B$4,F:F)),1,0)</f>
        <v>0</v>
      </c>
      <c r="H3698" s="3">
        <f ca="1">IF(AND(I3698&lt;&gt;I3697,ISNUMBER(SEARCH(Лист2!$B$5,I:I)),G3698=1),MAX($H$3:OFFSET(H3698,-1,0))+1,0)</f>
        <v>0</v>
      </c>
      <c r="I3698" s="3" t="s">
        <v>318</v>
      </c>
      <c r="K3698" s="2">
        <f>IF(ISNUMBER(SEARCH(Лист2!$B$4,F:F)),1,0)</f>
        <v>0</v>
      </c>
      <c r="L3698" s="14">
        <f>IF(ISNUMBER(SEARCH(Лист2!$B$5,I:I)),1,0)+K3698</f>
        <v>0</v>
      </c>
      <c r="M3698" s="3">
        <f ca="1">IF(AND(N3698&lt;&gt;N3697,ISNUMBER(SEARCH(Лист2!$B$6,N:N)),L3698=2),MAX($M$3:OFFSET(M3698,-1,0))+1,0)</f>
        <v>0</v>
      </c>
      <c r="N3698" s="3" t="s">
        <v>2304</v>
      </c>
    </row>
    <row r="3699" spans="1:14" x14ac:dyDescent="0.25">
      <c r="A3699" s="1" t="s">
        <v>12497</v>
      </c>
      <c r="B3699" s="3" t="s">
        <v>7323</v>
      </c>
      <c r="C3699" s="2">
        <f ca="1">IF(ISNUMBER(SEARCH(Лист2!$B$4,D:D)),MAX($C$3:OFFSET(C3699,-1,0))+1,0)</f>
        <v>0</v>
      </c>
      <c r="E3699" s="9" t="str">
        <f t="shared" ca="1" si="69"/>
        <v/>
      </c>
      <c r="F3699" s="4" t="s">
        <v>13</v>
      </c>
      <c r="G3699" s="2">
        <f>IF(ISNUMBER(SEARCH(Лист2!$B$4,F:F)),1,0)</f>
        <v>0</v>
      </c>
      <c r="H3699" s="3">
        <f ca="1">IF(AND(I3699&lt;&gt;I3698,ISNUMBER(SEARCH(Лист2!$B$5,I:I)),G3699=1),MAX($H$3:OFFSET(H3699,-1,0))+1,0)</f>
        <v>0</v>
      </c>
      <c r="I3699" s="3" t="s">
        <v>319</v>
      </c>
      <c r="K3699" s="2">
        <f>IF(ISNUMBER(SEARCH(Лист2!$B$4,F:F)),1,0)</f>
        <v>0</v>
      </c>
      <c r="L3699" s="14">
        <f>IF(ISNUMBER(SEARCH(Лист2!$B$5,I:I)),1,0)+K3699</f>
        <v>0</v>
      </c>
      <c r="M3699" s="3">
        <f ca="1">IF(AND(N3699&lt;&gt;N3698,ISNUMBER(SEARCH(Лист2!$B$6,N:N)),L3699=2),MAX($M$3:OFFSET(M3699,-1,0))+1,0)</f>
        <v>0</v>
      </c>
      <c r="N3699" s="3" t="s">
        <v>2305</v>
      </c>
    </row>
    <row r="3700" spans="1:14" x14ac:dyDescent="0.25">
      <c r="A3700" s="1" t="s">
        <v>12498</v>
      </c>
      <c r="B3700" s="3" t="s">
        <v>7324</v>
      </c>
      <c r="C3700" s="2">
        <f ca="1">IF(ISNUMBER(SEARCH(Лист2!$B$4,D:D)),MAX($C$3:OFFSET(C3700,-1,0))+1,0)</f>
        <v>0</v>
      </c>
      <c r="E3700" s="9" t="str">
        <f t="shared" ca="1" si="69"/>
        <v/>
      </c>
      <c r="F3700" s="4" t="s">
        <v>13</v>
      </c>
      <c r="G3700" s="2">
        <f>IF(ISNUMBER(SEARCH(Лист2!$B$4,F:F)),1,0)</f>
        <v>0</v>
      </c>
      <c r="H3700" s="3">
        <f ca="1">IF(AND(I3700&lt;&gt;I3699,ISNUMBER(SEARCH(Лист2!$B$5,I:I)),G3700=1),MAX($H$3:OFFSET(H3700,-1,0))+1,0)</f>
        <v>0</v>
      </c>
      <c r="I3700" s="3" t="s">
        <v>319</v>
      </c>
      <c r="K3700" s="2">
        <f>IF(ISNUMBER(SEARCH(Лист2!$B$4,F:F)),1,0)</f>
        <v>0</v>
      </c>
      <c r="L3700" s="14">
        <f>IF(ISNUMBER(SEARCH(Лист2!$B$5,I:I)),1,0)+K3700</f>
        <v>0</v>
      </c>
      <c r="M3700" s="3">
        <f ca="1">IF(AND(N3700&lt;&gt;N3699,ISNUMBER(SEARCH(Лист2!$B$6,N:N)),L3700=2),MAX($M$3:OFFSET(M3700,-1,0))+1,0)</f>
        <v>0</v>
      </c>
      <c r="N3700" s="3" t="s">
        <v>2306</v>
      </c>
    </row>
    <row r="3701" spans="1:14" x14ac:dyDescent="0.25">
      <c r="A3701" s="1" t="s">
        <v>12499</v>
      </c>
      <c r="B3701" s="3" t="s">
        <v>7325</v>
      </c>
      <c r="C3701" s="2">
        <f ca="1">IF(ISNUMBER(SEARCH(Лист2!$B$4,D:D)),MAX($C$3:OFFSET(C3701,-1,0))+1,0)</f>
        <v>0</v>
      </c>
      <c r="E3701" s="9" t="str">
        <f t="shared" ca="1" si="69"/>
        <v/>
      </c>
      <c r="F3701" s="4" t="s">
        <v>13</v>
      </c>
      <c r="G3701" s="2">
        <f>IF(ISNUMBER(SEARCH(Лист2!$B$4,F:F)),1,0)</f>
        <v>0</v>
      </c>
      <c r="H3701" s="3">
        <f ca="1">IF(AND(I3701&lt;&gt;I3700,ISNUMBER(SEARCH(Лист2!$B$5,I:I)),G3701=1),MAX($H$3:OFFSET(H3701,-1,0))+1,0)</f>
        <v>0</v>
      </c>
      <c r="I3701" s="3" t="s">
        <v>319</v>
      </c>
      <c r="K3701" s="2">
        <f>IF(ISNUMBER(SEARCH(Лист2!$B$4,F:F)),1,0)</f>
        <v>0</v>
      </c>
      <c r="L3701" s="14">
        <f>IF(ISNUMBER(SEARCH(Лист2!$B$5,I:I)),1,0)+K3701</f>
        <v>0</v>
      </c>
      <c r="M3701" s="3">
        <f ca="1">IF(AND(N3701&lt;&gt;N3700,ISNUMBER(SEARCH(Лист2!$B$6,N:N)),L3701=2),MAX($M$3:OFFSET(M3701,-1,0))+1,0)</f>
        <v>0</v>
      </c>
      <c r="N3701" s="3" t="s">
        <v>2307</v>
      </c>
    </row>
    <row r="3702" spans="1:14" x14ac:dyDescent="0.25">
      <c r="A3702" s="1" t="s">
        <v>12500</v>
      </c>
      <c r="B3702" s="3" t="s">
        <v>7326</v>
      </c>
      <c r="C3702" s="2">
        <f ca="1">IF(ISNUMBER(SEARCH(Лист2!$B$4,D:D)),MAX($C$3:OFFSET(C3702,-1,0))+1,0)</f>
        <v>0</v>
      </c>
      <c r="E3702" s="9" t="str">
        <f t="shared" ca="1" si="69"/>
        <v/>
      </c>
      <c r="F3702" s="4" t="s">
        <v>13</v>
      </c>
      <c r="G3702" s="2">
        <f>IF(ISNUMBER(SEARCH(Лист2!$B$4,F:F)),1,0)</f>
        <v>0</v>
      </c>
      <c r="H3702" s="3">
        <f ca="1">IF(AND(I3702&lt;&gt;I3701,ISNUMBER(SEARCH(Лист2!$B$5,I:I)),G3702=1),MAX($H$3:OFFSET(H3702,-1,0))+1,0)</f>
        <v>0</v>
      </c>
      <c r="I3702" s="3" t="s">
        <v>319</v>
      </c>
      <c r="K3702" s="2">
        <f>IF(ISNUMBER(SEARCH(Лист2!$B$4,F:F)),1,0)</f>
        <v>0</v>
      </c>
      <c r="L3702" s="14">
        <f>IF(ISNUMBER(SEARCH(Лист2!$B$5,I:I)),1,0)+K3702</f>
        <v>0</v>
      </c>
      <c r="M3702" s="3">
        <f ca="1">IF(AND(N3702&lt;&gt;N3701,ISNUMBER(SEARCH(Лист2!$B$6,N:N)),L3702=2),MAX($M$3:OFFSET(M3702,-1,0))+1,0)</f>
        <v>0</v>
      </c>
      <c r="N3702" s="3" t="s">
        <v>2308</v>
      </c>
    </row>
    <row r="3703" spans="1:14" x14ac:dyDescent="0.25">
      <c r="A3703" s="1" t="s">
        <v>12501</v>
      </c>
      <c r="B3703" s="3" t="s">
        <v>7327</v>
      </c>
      <c r="C3703" s="2">
        <f ca="1">IF(ISNUMBER(SEARCH(Лист2!$B$4,D:D)),MAX($C$3:OFFSET(C3703,-1,0))+1,0)</f>
        <v>0</v>
      </c>
      <c r="E3703" s="9" t="str">
        <f t="shared" ca="1" si="69"/>
        <v/>
      </c>
      <c r="F3703" s="4" t="s">
        <v>13</v>
      </c>
      <c r="G3703" s="2">
        <f>IF(ISNUMBER(SEARCH(Лист2!$B$4,F:F)),1,0)</f>
        <v>0</v>
      </c>
      <c r="H3703" s="3">
        <f ca="1">IF(AND(I3703&lt;&gt;I3702,ISNUMBER(SEARCH(Лист2!$B$5,I:I)),G3703=1),MAX($H$3:OFFSET(H3703,-1,0))+1,0)</f>
        <v>0</v>
      </c>
      <c r="I3703" s="3" t="s">
        <v>319</v>
      </c>
      <c r="K3703" s="2">
        <f>IF(ISNUMBER(SEARCH(Лист2!$B$4,F:F)),1,0)</f>
        <v>0</v>
      </c>
      <c r="L3703" s="14">
        <f>IF(ISNUMBER(SEARCH(Лист2!$B$5,I:I)),1,0)+K3703</f>
        <v>0</v>
      </c>
      <c r="M3703" s="3">
        <f ca="1">IF(AND(N3703&lt;&gt;N3702,ISNUMBER(SEARCH(Лист2!$B$6,N:N)),L3703=2),MAX($M$3:OFFSET(M3703,-1,0))+1,0)</f>
        <v>0</v>
      </c>
      <c r="N3703" s="3" t="s">
        <v>2309</v>
      </c>
    </row>
    <row r="3704" spans="1:14" x14ac:dyDescent="0.25">
      <c r="A3704" s="1" t="s">
        <v>12502</v>
      </c>
      <c r="B3704" s="3" t="s">
        <v>7328</v>
      </c>
      <c r="C3704" s="2">
        <f ca="1">IF(ISNUMBER(SEARCH(Лист2!$B$4,D:D)),MAX($C$3:OFFSET(C3704,-1,0))+1,0)</f>
        <v>0</v>
      </c>
      <c r="E3704" s="9" t="str">
        <f t="shared" ca="1" si="69"/>
        <v/>
      </c>
      <c r="F3704" s="4" t="s">
        <v>13</v>
      </c>
      <c r="G3704" s="2">
        <f>IF(ISNUMBER(SEARCH(Лист2!$B$4,F:F)),1,0)</f>
        <v>0</v>
      </c>
      <c r="H3704" s="3">
        <f ca="1">IF(AND(I3704&lt;&gt;I3703,ISNUMBER(SEARCH(Лист2!$B$5,I:I)),G3704=1),MAX($H$3:OFFSET(H3704,-1,0))+1,0)</f>
        <v>0</v>
      </c>
      <c r="I3704" s="3" t="s">
        <v>319</v>
      </c>
      <c r="K3704" s="2">
        <f>IF(ISNUMBER(SEARCH(Лист2!$B$4,F:F)),1,0)</f>
        <v>0</v>
      </c>
      <c r="L3704" s="14">
        <f>IF(ISNUMBER(SEARCH(Лист2!$B$5,I:I)),1,0)+K3704</f>
        <v>0</v>
      </c>
      <c r="M3704" s="3">
        <f ca="1">IF(AND(N3704&lt;&gt;N3703,ISNUMBER(SEARCH(Лист2!$B$6,N:N)),L3704=2),MAX($M$3:OFFSET(M3704,-1,0))+1,0)</f>
        <v>0</v>
      </c>
      <c r="N3704" s="3" t="s">
        <v>2289</v>
      </c>
    </row>
    <row r="3705" spans="1:14" x14ac:dyDescent="0.25">
      <c r="A3705" s="1" t="s">
        <v>12503</v>
      </c>
      <c r="B3705" s="3" t="s">
        <v>7329</v>
      </c>
      <c r="C3705" s="2">
        <f ca="1">IF(ISNUMBER(SEARCH(Лист2!$B$4,D:D)),MAX($C$3:OFFSET(C3705,-1,0))+1,0)</f>
        <v>0</v>
      </c>
      <c r="E3705" s="9" t="str">
        <f t="shared" ca="1" si="69"/>
        <v/>
      </c>
      <c r="F3705" s="4" t="s">
        <v>13</v>
      </c>
      <c r="G3705" s="2">
        <f>IF(ISNUMBER(SEARCH(Лист2!$B$4,F:F)),1,0)</f>
        <v>0</v>
      </c>
      <c r="H3705" s="3">
        <f ca="1">IF(AND(I3705&lt;&gt;I3704,ISNUMBER(SEARCH(Лист2!$B$5,I:I)),G3705=1),MAX($H$3:OFFSET(H3705,-1,0))+1,0)</f>
        <v>0</v>
      </c>
      <c r="I3705" s="3" t="s">
        <v>319</v>
      </c>
      <c r="K3705" s="2">
        <f>IF(ISNUMBER(SEARCH(Лист2!$B$4,F:F)),1,0)</f>
        <v>0</v>
      </c>
      <c r="L3705" s="14">
        <f>IF(ISNUMBER(SEARCH(Лист2!$B$5,I:I)),1,0)+K3705</f>
        <v>0</v>
      </c>
      <c r="M3705" s="3">
        <f ca="1">IF(AND(N3705&lt;&gt;N3704,ISNUMBER(SEARCH(Лист2!$B$6,N:N)),L3705=2),MAX($M$3:OFFSET(M3705,-1,0))+1,0)</f>
        <v>0</v>
      </c>
      <c r="N3705" s="3" t="s">
        <v>602</v>
      </c>
    </row>
    <row r="3706" spans="1:14" x14ac:dyDescent="0.25">
      <c r="A3706" s="1" t="s">
        <v>12504</v>
      </c>
      <c r="B3706" s="3" t="s">
        <v>7330</v>
      </c>
      <c r="C3706" s="2">
        <f ca="1">IF(ISNUMBER(SEARCH(Лист2!$B$4,D:D)),MAX($C$3:OFFSET(C3706,-1,0))+1,0)</f>
        <v>0</v>
      </c>
      <c r="E3706" s="9" t="str">
        <f t="shared" ca="1" si="69"/>
        <v/>
      </c>
      <c r="F3706" s="4" t="s">
        <v>13</v>
      </c>
      <c r="G3706" s="2">
        <f>IF(ISNUMBER(SEARCH(Лист2!$B$4,F:F)),1,0)</f>
        <v>0</v>
      </c>
      <c r="H3706" s="3">
        <f ca="1">IF(AND(I3706&lt;&gt;I3705,ISNUMBER(SEARCH(Лист2!$B$5,I:I)),G3706=1),MAX($H$3:OFFSET(H3706,-1,0))+1,0)</f>
        <v>0</v>
      </c>
      <c r="I3706" s="3" t="s">
        <v>319</v>
      </c>
      <c r="K3706" s="2">
        <f>IF(ISNUMBER(SEARCH(Лист2!$B$4,F:F)),1,0)</f>
        <v>0</v>
      </c>
      <c r="L3706" s="14">
        <f>IF(ISNUMBER(SEARCH(Лист2!$B$5,I:I)),1,0)+K3706</f>
        <v>0</v>
      </c>
      <c r="M3706" s="3">
        <f ca="1">IF(AND(N3706&lt;&gt;N3705,ISNUMBER(SEARCH(Лист2!$B$6,N:N)),L3706=2),MAX($M$3:OFFSET(M3706,-1,0))+1,0)</f>
        <v>0</v>
      </c>
      <c r="N3706" s="3" t="s">
        <v>2310</v>
      </c>
    </row>
    <row r="3707" spans="1:14" x14ac:dyDescent="0.25">
      <c r="A3707" s="1" t="s">
        <v>12505</v>
      </c>
      <c r="B3707" s="3" t="s">
        <v>7331</v>
      </c>
      <c r="C3707" s="2">
        <f ca="1">IF(ISNUMBER(SEARCH(Лист2!$B$4,D:D)),MAX($C$3:OFFSET(C3707,-1,0))+1,0)</f>
        <v>0</v>
      </c>
      <c r="E3707" s="9" t="str">
        <f t="shared" ca="1" si="69"/>
        <v/>
      </c>
      <c r="F3707" s="4" t="s">
        <v>13</v>
      </c>
      <c r="G3707" s="2">
        <f>IF(ISNUMBER(SEARCH(Лист2!$B$4,F:F)),1,0)</f>
        <v>0</v>
      </c>
      <c r="H3707" s="3">
        <f ca="1">IF(AND(I3707&lt;&gt;I3706,ISNUMBER(SEARCH(Лист2!$B$5,I:I)),G3707=1),MAX($H$3:OFFSET(H3707,-1,0))+1,0)</f>
        <v>0</v>
      </c>
      <c r="I3707" s="3" t="s">
        <v>319</v>
      </c>
      <c r="K3707" s="2">
        <f>IF(ISNUMBER(SEARCH(Лист2!$B$4,F:F)),1,0)</f>
        <v>0</v>
      </c>
      <c r="L3707" s="14">
        <f>IF(ISNUMBER(SEARCH(Лист2!$B$5,I:I)),1,0)+K3707</f>
        <v>0</v>
      </c>
      <c r="M3707" s="3">
        <f ca="1">IF(AND(N3707&lt;&gt;N3706,ISNUMBER(SEARCH(Лист2!$B$6,N:N)),L3707=2),MAX($M$3:OFFSET(M3707,-1,0))+1,0)</f>
        <v>0</v>
      </c>
      <c r="N3707" s="3" t="s">
        <v>2311</v>
      </c>
    </row>
    <row r="3708" spans="1:14" x14ac:dyDescent="0.25">
      <c r="A3708" s="1" t="s">
        <v>12506</v>
      </c>
      <c r="B3708" s="3" t="s">
        <v>7332</v>
      </c>
      <c r="C3708" s="2">
        <f ca="1">IF(ISNUMBER(SEARCH(Лист2!$B$4,D:D)),MAX($C$3:OFFSET(C3708,-1,0))+1,0)</f>
        <v>0</v>
      </c>
      <c r="E3708" s="9" t="str">
        <f t="shared" ca="1" si="69"/>
        <v/>
      </c>
      <c r="F3708" s="4" t="s">
        <v>13</v>
      </c>
      <c r="G3708" s="2">
        <f>IF(ISNUMBER(SEARCH(Лист2!$B$4,F:F)),1,0)</f>
        <v>0</v>
      </c>
      <c r="H3708" s="3">
        <f ca="1">IF(AND(I3708&lt;&gt;I3707,ISNUMBER(SEARCH(Лист2!$B$5,I:I)),G3708=1),MAX($H$3:OFFSET(H3708,-1,0))+1,0)</f>
        <v>0</v>
      </c>
      <c r="I3708" s="3" t="s">
        <v>319</v>
      </c>
      <c r="K3708" s="2">
        <f>IF(ISNUMBER(SEARCH(Лист2!$B$4,F:F)),1,0)</f>
        <v>0</v>
      </c>
      <c r="L3708" s="14">
        <f>IF(ISNUMBER(SEARCH(Лист2!$B$5,I:I)),1,0)+K3708</f>
        <v>0</v>
      </c>
      <c r="M3708" s="3">
        <f ca="1">IF(AND(N3708&lt;&gt;N3707,ISNUMBER(SEARCH(Лист2!$B$6,N:N)),L3708=2),MAX($M$3:OFFSET(M3708,-1,0))+1,0)</f>
        <v>0</v>
      </c>
      <c r="N3708" s="3" t="s">
        <v>2312</v>
      </c>
    </row>
    <row r="3709" spans="1:14" x14ac:dyDescent="0.25">
      <c r="A3709" s="1" t="s">
        <v>12507</v>
      </c>
      <c r="B3709" s="3" t="s">
        <v>7333</v>
      </c>
      <c r="C3709" s="2">
        <f ca="1">IF(ISNUMBER(SEARCH(Лист2!$B$4,D:D)),MAX($C$3:OFFSET(C3709,-1,0))+1,0)</f>
        <v>0</v>
      </c>
      <c r="E3709" s="9" t="str">
        <f t="shared" ca="1" si="69"/>
        <v/>
      </c>
      <c r="F3709" s="4" t="s">
        <v>13</v>
      </c>
      <c r="G3709" s="2">
        <f>IF(ISNUMBER(SEARCH(Лист2!$B$4,F:F)),1,0)</f>
        <v>0</v>
      </c>
      <c r="H3709" s="3">
        <f ca="1">IF(AND(I3709&lt;&gt;I3708,ISNUMBER(SEARCH(Лист2!$B$5,I:I)),G3709=1),MAX($H$3:OFFSET(H3709,-1,0))+1,0)</f>
        <v>0</v>
      </c>
      <c r="I3709" s="3" t="s">
        <v>319</v>
      </c>
      <c r="K3709" s="2">
        <f>IF(ISNUMBER(SEARCH(Лист2!$B$4,F:F)),1,0)</f>
        <v>0</v>
      </c>
      <c r="L3709" s="14">
        <f>IF(ISNUMBER(SEARCH(Лист2!$B$5,I:I)),1,0)+K3709</f>
        <v>0</v>
      </c>
      <c r="M3709" s="3">
        <f ca="1">IF(AND(N3709&lt;&gt;N3708,ISNUMBER(SEARCH(Лист2!$B$6,N:N)),L3709=2),MAX($M$3:OFFSET(M3709,-1,0))+1,0)</f>
        <v>0</v>
      </c>
      <c r="N3709" s="3" t="s">
        <v>2313</v>
      </c>
    </row>
    <row r="3710" spans="1:14" x14ac:dyDescent="0.25">
      <c r="A3710" s="1" t="s">
        <v>12508</v>
      </c>
      <c r="B3710" s="3" t="s">
        <v>7334</v>
      </c>
      <c r="C3710" s="2">
        <f ca="1">IF(ISNUMBER(SEARCH(Лист2!$B$4,D:D)),MAX($C$3:OFFSET(C3710,-1,0))+1,0)</f>
        <v>0</v>
      </c>
      <c r="E3710" s="9" t="str">
        <f t="shared" ca="1" si="69"/>
        <v/>
      </c>
      <c r="F3710" s="4" t="s">
        <v>13</v>
      </c>
      <c r="G3710" s="2">
        <f>IF(ISNUMBER(SEARCH(Лист2!$B$4,F:F)),1,0)</f>
        <v>0</v>
      </c>
      <c r="H3710" s="3">
        <f ca="1">IF(AND(I3710&lt;&gt;I3709,ISNUMBER(SEARCH(Лист2!$B$5,I:I)),G3710=1),MAX($H$3:OFFSET(H3710,-1,0))+1,0)</f>
        <v>0</v>
      </c>
      <c r="I3710" s="3" t="s">
        <v>319</v>
      </c>
      <c r="K3710" s="2">
        <f>IF(ISNUMBER(SEARCH(Лист2!$B$4,F:F)),1,0)</f>
        <v>0</v>
      </c>
      <c r="L3710" s="14">
        <f>IF(ISNUMBER(SEARCH(Лист2!$B$5,I:I)),1,0)+K3710</f>
        <v>0</v>
      </c>
      <c r="M3710" s="3">
        <f ca="1">IF(AND(N3710&lt;&gt;N3709,ISNUMBER(SEARCH(Лист2!$B$6,N:N)),L3710=2),MAX($M$3:OFFSET(M3710,-1,0))+1,0)</f>
        <v>0</v>
      </c>
      <c r="N3710" s="3" t="s">
        <v>2314</v>
      </c>
    </row>
    <row r="3711" spans="1:14" x14ac:dyDescent="0.25">
      <c r="A3711" s="1" t="s">
        <v>12509</v>
      </c>
      <c r="B3711" s="3" t="s">
        <v>7335</v>
      </c>
      <c r="C3711" s="2">
        <f ca="1">IF(ISNUMBER(SEARCH(Лист2!$B$4,D:D)),MAX($C$3:OFFSET(C3711,-1,0))+1,0)</f>
        <v>0</v>
      </c>
      <c r="E3711" s="9" t="str">
        <f t="shared" ca="1" si="69"/>
        <v/>
      </c>
      <c r="F3711" s="4" t="s">
        <v>13</v>
      </c>
      <c r="G3711" s="2">
        <f>IF(ISNUMBER(SEARCH(Лист2!$B$4,F:F)),1,0)</f>
        <v>0</v>
      </c>
      <c r="H3711" s="3">
        <f ca="1">IF(AND(I3711&lt;&gt;I3710,ISNUMBER(SEARCH(Лист2!$B$5,I:I)),G3711=1),MAX($H$3:OFFSET(H3711,-1,0))+1,0)</f>
        <v>0</v>
      </c>
      <c r="I3711" s="3" t="s">
        <v>319</v>
      </c>
      <c r="K3711" s="2">
        <f>IF(ISNUMBER(SEARCH(Лист2!$B$4,F:F)),1,0)</f>
        <v>0</v>
      </c>
      <c r="L3711" s="14">
        <f>IF(ISNUMBER(SEARCH(Лист2!$B$5,I:I)),1,0)+K3711</f>
        <v>0</v>
      </c>
      <c r="M3711" s="3">
        <f ca="1">IF(AND(N3711&lt;&gt;N3710,ISNUMBER(SEARCH(Лист2!$B$6,N:N)),L3711=2),MAX($M$3:OFFSET(M3711,-1,0))+1,0)</f>
        <v>0</v>
      </c>
      <c r="N3711" s="3" t="s">
        <v>2315</v>
      </c>
    </row>
    <row r="3712" spans="1:14" x14ac:dyDescent="0.25">
      <c r="A3712" s="1" t="s">
        <v>12510</v>
      </c>
      <c r="B3712" s="3" t="s">
        <v>7336</v>
      </c>
      <c r="C3712" s="2">
        <f ca="1">IF(ISNUMBER(SEARCH(Лист2!$B$4,D:D)),MAX($C$3:OFFSET(C3712,-1,0))+1,0)</f>
        <v>0</v>
      </c>
      <c r="E3712" s="9" t="str">
        <f t="shared" ca="1" si="69"/>
        <v/>
      </c>
      <c r="F3712" s="4" t="s">
        <v>13</v>
      </c>
      <c r="G3712" s="2">
        <f>IF(ISNUMBER(SEARCH(Лист2!$B$4,F:F)),1,0)</f>
        <v>0</v>
      </c>
      <c r="H3712" s="3">
        <f ca="1">IF(AND(I3712&lt;&gt;I3711,ISNUMBER(SEARCH(Лист2!$B$5,I:I)),G3712=1),MAX($H$3:OFFSET(H3712,-1,0))+1,0)</f>
        <v>0</v>
      </c>
      <c r="I3712" s="3" t="s">
        <v>319</v>
      </c>
      <c r="K3712" s="2">
        <f>IF(ISNUMBER(SEARCH(Лист2!$B$4,F:F)),1,0)</f>
        <v>0</v>
      </c>
      <c r="L3712" s="14">
        <f>IF(ISNUMBER(SEARCH(Лист2!$B$5,I:I)),1,0)+K3712</f>
        <v>0</v>
      </c>
      <c r="M3712" s="3">
        <f ca="1">IF(AND(N3712&lt;&gt;N3711,ISNUMBER(SEARCH(Лист2!$B$6,N:N)),L3712=2),MAX($M$3:OFFSET(M3712,-1,0))+1,0)</f>
        <v>0</v>
      </c>
      <c r="N3712" s="3" t="s">
        <v>2316</v>
      </c>
    </row>
    <row r="3713" spans="1:14" x14ac:dyDescent="0.25">
      <c r="A3713" s="1" t="s">
        <v>12511</v>
      </c>
      <c r="B3713" s="3" t="s">
        <v>7337</v>
      </c>
      <c r="C3713" s="2">
        <f ca="1">IF(ISNUMBER(SEARCH(Лист2!$B$4,D:D)),MAX($C$3:OFFSET(C3713,-1,0))+1,0)</f>
        <v>0</v>
      </c>
      <c r="E3713" s="9" t="str">
        <f t="shared" ca="1" si="69"/>
        <v/>
      </c>
      <c r="F3713" s="4" t="s">
        <v>13</v>
      </c>
      <c r="G3713" s="2">
        <f>IF(ISNUMBER(SEARCH(Лист2!$B$4,F:F)),1,0)</f>
        <v>0</v>
      </c>
      <c r="H3713" s="3">
        <f ca="1">IF(AND(I3713&lt;&gt;I3712,ISNUMBER(SEARCH(Лист2!$B$5,I:I)),G3713=1),MAX($H$3:OFFSET(H3713,-1,0))+1,0)</f>
        <v>0</v>
      </c>
      <c r="I3713" s="3" t="s">
        <v>319</v>
      </c>
      <c r="K3713" s="2">
        <f>IF(ISNUMBER(SEARCH(Лист2!$B$4,F:F)),1,0)</f>
        <v>0</v>
      </c>
      <c r="L3713" s="14">
        <f>IF(ISNUMBER(SEARCH(Лист2!$B$5,I:I)),1,0)+K3713</f>
        <v>0</v>
      </c>
      <c r="M3713" s="3">
        <f ca="1">IF(AND(N3713&lt;&gt;N3712,ISNUMBER(SEARCH(Лист2!$B$6,N:N)),L3713=2),MAX($M$3:OFFSET(M3713,-1,0))+1,0)</f>
        <v>0</v>
      </c>
      <c r="N3713" s="3" t="s">
        <v>2317</v>
      </c>
    </row>
    <row r="3714" spans="1:14" x14ac:dyDescent="0.25">
      <c r="A3714" s="1" t="s">
        <v>12512</v>
      </c>
      <c r="B3714" s="3" t="s">
        <v>7338</v>
      </c>
      <c r="C3714" s="2">
        <f ca="1">IF(ISNUMBER(SEARCH(Лист2!$B$4,D:D)),MAX($C$3:OFFSET(C3714,-1,0))+1,0)</f>
        <v>0</v>
      </c>
      <c r="E3714" s="9" t="str">
        <f t="shared" ca="1" si="69"/>
        <v/>
      </c>
      <c r="F3714" s="4" t="s">
        <v>13</v>
      </c>
      <c r="G3714" s="2">
        <f>IF(ISNUMBER(SEARCH(Лист2!$B$4,F:F)),1,0)</f>
        <v>0</v>
      </c>
      <c r="H3714" s="3">
        <f ca="1">IF(AND(I3714&lt;&gt;I3713,ISNUMBER(SEARCH(Лист2!$B$5,I:I)),G3714=1),MAX($H$3:OFFSET(H3714,-1,0))+1,0)</f>
        <v>0</v>
      </c>
      <c r="I3714" s="3" t="s">
        <v>319</v>
      </c>
      <c r="K3714" s="2">
        <f>IF(ISNUMBER(SEARCH(Лист2!$B$4,F:F)),1,0)</f>
        <v>0</v>
      </c>
      <c r="L3714" s="14">
        <f>IF(ISNUMBER(SEARCH(Лист2!$B$5,I:I)),1,0)+K3714</f>
        <v>0</v>
      </c>
      <c r="M3714" s="3">
        <f ca="1">IF(AND(N3714&lt;&gt;N3713,ISNUMBER(SEARCH(Лист2!$B$6,N:N)),L3714=2),MAX($M$3:OFFSET(M3714,-1,0))+1,0)</f>
        <v>0</v>
      </c>
      <c r="N3714" s="3" t="s">
        <v>2318</v>
      </c>
    </row>
    <row r="3715" spans="1:14" x14ac:dyDescent="0.25">
      <c r="A3715" s="1" t="s">
        <v>12513</v>
      </c>
      <c r="B3715" s="3" t="s">
        <v>7339</v>
      </c>
      <c r="C3715" s="2">
        <f ca="1">IF(ISNUMBER(SEARCH(Лист2!$B$4,D:D)),MAX($C$3:OFFSET(C3715,-1,0))+1,0)</f>
        <v>0</v>
      </c>
      <c r="E3715" s="9" t="str">
        <f t="shared" ca="1" si="69"/>
        <v/>
      </c>
      <c r="F3715" s="4" t="s">
        <v>13</v>
      </c>
      <c r="G3715" s="2">
        <f>IF(ISNUMBER(SEARCH(Лист2!$B$4,F:F)),1,0)</f>
        <v>0</v>
      </c>
      <c r="H3715" s="3">
        <f ca="1">IF(AND(I3715&lt;&gt;I3714,ISNUMBER(SEARCH(Лист2!$B$5,I:I)),G3715=1),MAX($H$3:OFFSET(H3715,-1,0))+1,0)</f>
        <v>0</v>
      </c>
      <c r="I3715" s="3" t="s">
        <v>320</v>
      </c>
      <c r="K3715" s="2">
        <f>IF(ISNUMBER(SEARCH(Лист2!$B$4,F:F)),1,0)</f>
        <v>0</v>
      </c>
      <c r="L3715" s="14">
        <f>IF(ISNUMBER(SEARCH(Лист2!$B$5,I:I)),1,0)+K3715</f>
        <v>0</v>
      </c>
      <c r="M3715" s="3">
        <f ca="1">IF(AND(N3715&lt;&gt;N3714,ISNUMBER(SEARCH(Лист2!$B$6,N:N)),L3715=2),MAX($M$3:OFFSET(M3715,-1,0))+1,0)</f>
        <v>0</v>
      </c>
      <c r="N3715" s="3" t="s">
        <v>2319</v>
      </c>
    </row>
    <row r="3716" spans="1:14" x14ac:dyDescent="0.25">
      <c r="A3716" s="1" t="s">
        <v>12514</v>
      </c>
      <c r="B3716" s="3" t="s">
        <v>7340</v>
      </c>
      <c r="C3716" s="2">
        <f ca="1">IF(ISNUMBER(SEARCH(Лист2!$B$4,D:D)),MAX($C$3:OFFSET(C3716,-1,0))+1,0)</f>
        <v>0</v>
      </c>
      <c r="E3716" s="9" t="str">
        <f t="shared" ca="1" si="69"/>
        <v/>
      </c>
      <c r="F3716" s="4" t="s">
        <v>13</v>
      </c>
      <c r="G3716" s="2">
        <f>IF(ISNUMBER(SEARCH(Лист2!$B$4,F:F)),1,0)</f>
        <v>0</v>
      </c>
      <c r="H3716" s="3">
        <f ca="1">IF(AND(I3716&lt;&gt;I3715,ISNUMBER(SEARCH(Лист2!$B$5,I:I)),G3716=1),MAX($H$3:OFFSET(H3716,-1,0))+1,0)</f>
        <v>0</v>
      </c>
      <c r="I3716" s="3" t="s">
        <v>320</v>
      </c>
      <c r="K3716" s="2">
        <f>IF(ISNUMBER(SEARCH(Лист2!$B$4,F:F)),1,0)</f>
        <v>0</v>
      </c>
      <c r="L3716" s="14">
        <f>IF(ISNUMBER(SEARCH(Лист2!$B$5,I:I)),1,0)+K3716</f>
        <v>0</v>
      </c>
      <c r="M3716" s="3">
        <f ca="1">IF(AND(N3716&lt;&gt;N3715,ISNUMBER(SEARCH(Лист2!$B$6,N:N)),L3716=2),MAX($M$3:OFFSET(M3716,-1,0))+1,0)</f>
        <v>0</v>
      </c>
      <c r="N3716" s="3" t="s">
        <v>2320</v>
      </c>
    </row>
    <row r="3717" spans="1:14" x14ac:dyDescent="0.25">
      <c r="A3717" s="1" t="s">
        <v>12515</v>
      </c>
      <c r="B3717" s="3" t="s">
        <v>7341</v>
      </c>
      <c r="C3717" s="2">
        <f ca="1">IF(ISNUMBER(SEARCH(Лист2!$B$4,D:D)),MAX($C$3:OFFSET(C3717,-1,0))+1,0)</f>
        <v>0</v>
      </c>
      <c r="E3717" s="9" t="str">
        <f t="shared" ref="E3717:E3780" ca="1" si="70">IFERROR(INDEX(D:D,MATCH(ROW(E3717)-ROW($E$3),C:C,0)),"")</f>
        <v/>
      </c>
      <c r="F3717" s="4" t="s">
        <v>13</v>
      </c>
      <c r="G3717" s="2">
        <f>IF(ISNUMBER(SEARCH(Лист2!$B$4,F:F)),1,0)</f>
        <v>0</v>
      </c>
      <c r="H3717" s="3">
        <f ca="1">IF(AND(I3717&lt;&gt;I3716,ISNUMBER(SEARCH(Лист2!$B$5,I:I)),G3717=1),MAX($H$3:OFFSET(H3717,-1,0))+1,0)</f>
        <v>0</v>
      </c>
      <c r="I3717" s="3" t="s">
        <v>320</v>
      </c>
      <c r="K3717" s="2">
        <f>IF(ISNUMBER(SEARCH(Лист2!$B$4,F:F)),1,0)</f>
        <v>0</v>
      </c>
      <c r="L3717" s="14">
        <f>IF(ISNUMBER(SEARCH(Лист2!$B$5,I:I)),1,0)+K3717</f>
        <v>0</v>
      </c>
      <c r="M3717" s="3">
        <f ca="1">IF(AND(N3717&lt;&gt;N3716,ISNUMBER(SEARCH(Лист2!$B$6,N:N)),L3717=2),MAX($M$3:OFFSET(M3717,-1,0))+1,0)</f>
        <v>0</v>
      </c>
      <c r="N3717" s="3" t="s">
        <v>2321</v>
      </c>
    </row>
    <row r="3718" spans="1:14" x14ac:dyDescent="0.25">
      <c r="A3718" s="1" t="s">
        <v>12516</v>
      </c>
      <c r="B3718" s="3" t="s">
        <v>7342</v>
      </c>
      <c r="C3718" s="2">
        <f ca="1">IF(ISNUMBER(SEARCH(Лист2!$B$4,D:D)),MAX($C$3:OFFSET(C3718,-1,0))+1,0)</f>
        <v>0</v>
      </c>
      <c r="E3718" s="9" t="str">
        <f t="shared" ca="1" si="70"/>
        <v/>
      </c>
      <c r="F3718" s="4" t="s">
        <v>13</v>
      </c>
      <c r="G3718" s="2">
        <f>IF(ISNUMBER(SEARCH(Лист2!$B$4,F:F)),1,0)</f>
        <v>0</v>
      </c>
      <c r="H3718" s="3">
        <f ca="1">IF(AND(I3718&lt;&gt;I3717,ISNUMBER(SEARCH(Лист2!$B$5,I:I)),G3718=1),MAX($H$3:OFFSET(H3718,-1,0))+1,0)</f>
        <v>0</v>
      </c>
      <c r="I3718" s="3" t="s">
        <v>320</v>
      </c>
      <c r="K3718" s="2">
        <f>IF(ISNUMBER(SEARCH(Лист2!$B$4,F:F)),1,0)</f>
        <v>0</v>
      </c>
      <c r="L3718" s="14">
        <f>IF(ISNUMBER(SEARCH(Лист2!$B$5,I:I)),1,0)+K3718</f>
        <v>0</v>
      </c>
      <c r="M3718" s="3">
        <f ca="1">IF(AND(N3718&lt;&gt;N3717,ISNUMBER(SEARCH(Лист2!$B$6,N:N)),L3718=2),MAX($M$3:OFFSET(M3718,-1,0))+1,0)</f>
        <v>0</v>
      </c>
      <c r="N3718" s="3" t="s">
        <v>2322</v>
      </c>
    </row>
    <row r="3719" spans="1:14" x14ac:dyDescent="0.25">
      <c r="A3719" s="1" t="s">
        <v>12517</v>
      </c>
      <c r="B3719" s="3" t="s">
        <v>7343</v>
      </c>
      <c r="C3719" s="2">
        <f ca="1">IF(ISNUMBER(SEARCH(Лист2!$B$4,D:D)),MAX($C$3:OFFSET(C3719,-1,0))+1,0)</f>
        <v>0</v>
      </c>
      <c r="E3719" s="9" t="str">
        <f t="shared" ca="1" si="70"/>
        <v/>
      </c>
      <c r="F3719" s="4" t="s">
        <v>13</v>
      </c>
      <c r="G3719" s="2">
        <f>IF(ISNUMBER(SEARCH(Лист2!$B$4,F:F)),1,0)</f>
        <v>0</v>
      </c>
      <c r="H3719" s="3">
        <f ca="1">IF(AND(I3719&lt;&gt;I3718,ISNUMBER(SEARCH(Лист2!$B$5,I:I)),G3719=1),MAX($H$3:OFFSET(H3719,-1,0))+1,0)</f>
        <v>0</v>
      </c>
      <c r="I3719" s="3" t="s">
        <v>320</v>
      </c>
      <c r="K3719" s="2">
        <f>IF(ISNUMBER(SEARCH(Лист2!$B$4,F:F)),1,0)</f>
        <v>0</v>
      </c>
      <c r="L3719" s="14">
        <f>IF(ISNUMBER(SEARCH(Лист2!$B$5,I:I)),1,0)+K3719</f>
        <v>0</v>
      </c>
      <c r="M3719" s="3">
        <f ca="1">IF(AND(N3719&lt;&gt;N3718,ISNUMBER(SEARCH(Лист2!$B$6,N:N)),L3719=2),MAX($M$3:OFFSET(M3719,-1,0))+1,0)</f>
        <v>0</v>
      </c>
      <c r="N3719" s="3" t="s">
        <v>2323</v>
      </c>
    </row>
    <row r="3720" spans="1:14" x14ac:dyDescent="0.25">
      <c r="A3720" s="1" t="s">
        <v>12518</v>
      </c>
      <c r="B3720" s="3" t="s">
        <v>7344</v>
      </c>
      <c r="C3720" s="2">
        <f ca="1">IF(ISNUMBER(SEARCH(Лист2!$B$4,D:D)),MAX($C$3:OFFSET(C3720,-1,0))+1,0)</f>
        <v>0</v>
      </c>
      <c r="E3720" s="9" t="str">
        <f t="shared" ca="1" si="70"/>
        <v/>
      </c>
      <c r="F3720" s="4" t="s">
        <v>13</v>
      </c>
      <c r="G3720" s="2">
        <f>IF(ISNUMBER(SEARCH(Лист2!$B$4,F:F)),1,0)</f>
        <v>0</v>
      </c>
      <c r="H3720" s="3">
        <f ca="1">IF(AND(I3720&lt;&gt;I3719,ISNUMBER(SEARCH(Лист2!$B$5,I:I)),G3720=1),MAX($H$3:OFFSET(H3720,-1,0))+1,0)</f>
        <v>0</v>
      </c>
      <c r="I3720" s="3" t="s">
        <v>320</v>
      </c>
      <c r="K3720" s="2">
        <f>IF(ISNUMBER(SEARCH(Лист2!$B$4,F:F)),1,0)</f>
        <v>0</v>
      </c>
      <c r="L3720" s="14">
        <f>IF(ISNUMBER(SEARCH(Лист2!$B$5,I:I)),1,0)+K3720</f>
        <v>0</v>
      </c>
      <c r="M3720" s="3">
        <f ca="1">IF(AND(N3720&lt;&gt;N3719,ISNUMBER(SEARCH(Лист2!$B$6,N:N)),L3720=2),MAX($M$3:OFFSET(M3720,-1,0))+1,0)</f>
        <v>0</v>
      </c>
      <c r="N3720" s="3" t="s">
        <v>2324</v>
      </c>
    </row>
    <row r="3721" spans="1:14" x14ac:dyDescent="0.25">
      <c r="A3721" s="1" t="s">
        <v>12519</v>
      </c>
      <c r="B3721" s="3" t="s">
        <v>7345</v>
      </c>
      <c r="C3721" s="2">
        <f ca="1">IF(ISNUMBER(SEARCH(Лист2!$B$4,D:D)),MAX($C$3:OFFSET(C3721,-1,0))+1,0)</f>
        <v>0</v>
      </c>
      <c r="E3721" s="9" t="str">
        <f t="shared" ca="1" si="70"/>
        <v/>
      </c>
      <c r="F3721" s="4" t="s">
        <v>13</v>
      </c>
      <c r="G3721" s="2">
        <f>IF(ISNUMBER(SEARCH(Лист2!$B$4,F:F)),1,0)</f>
        <v>0</v>
      </c>
      <c r="H3721" s="3">
        <f ca="1">IF(AND(I3721&lt;&gt;I3720,ISNUMBER(SEARCH(Лист2!$B$5,I:I)),G3721=1),MAX($H$3:OFFSET(H3721,-1,0))+1,0)</f>
        <v>0</v>
      </c>
      <c r="I3721" s="3" t="s">
        <v>320</v>
      </c>
      <c r="K3721" s="2">
        <f>IF(ISNUMBER(SEARCH(Лист2!$B$4,F:F)),1,0)</f>
        <v>0</v>
      </c>
      <c r="L3721" s="14">
        <f>IF(ISNUMBER(SEARCH(Лист2!$B$5,I:I)),1,0)+K3721</f>
        <v>0</v>
      </c>
      <c r="M3721" s="3">
        <f ca="1">IF(AND(N3721&lt;&gt;N3720,ISNUMBER(SEARCH(Лист2!$B$6,N:N)),L3721=2),MAX($M$3:OFFSET(M3721,-1,0))+1,0)</f>
        <v>0</v>
      </c>
      <c r="N3721" s="3" t="s">
        <v>2325</v>
      </c>
    </row>
    <row r="3722" spans="1:14" x14ac:dyDescent="0.25">
      <c r="A3722" s="1" t="s">
        <v>12520</v>
      </c>
      <c r="B3722" s="3" t="s">
        <v>7346</v>
      </c>
      <c r="C3722" s="2">
        <f ca="1">IF(ISNUMBER(SEARCH(Лист2!$B$4,D:D)),MAX($C$3:OFFSET(C3722,-1,0))+1,0)</f>
        <v>0</v>
      </c>
      <c r="E3722" s="9" t="str">
        <f t="shared" ca="1" si="70"/>
        <v/>
      </c>
      <c r="F3722" s="4" t="s">
        <v>13</v>
      </c>
      <c r="G3722" s="2">
        <f>IF(ISNUMBER(SEARCH(Лист2!$B$4,F:F)),1,0)</f>
        <v>0</v>
      </c>
      <c r="H3722" s="3">
        <f ca="1">IF(AND(I3722&lt;&gt;I3721,ISNUMBER(SEARCH(Лист2!$B$5,I:I)),G3722=1),MAX($H$3:OFFSET(H3722,-1,0))+1,0)</f>
        <v>0</v>
      </c>
      <c r="I3722" s="3" t="s">
        <v>320</v>
      </c>
      <c r="K3722" s="2">
        <f>IF(ISNUMBER(SEARCH(Лист2!$B$4,F:F)),1,0)</f>
        <v>0</v>
      </c>
      <c r="L3722" s="14">
        <f>IF(ISNUMBER(SEARCH(Лист2!$B$5,I:I)),1,0)+K3722</f>
        <v>0</v>
      </c>
      <c r="M3722" s="3">
        <f ca="1">IF(AND(N3722&lt;&gt;N3721,ISNUMBER(SEARCH(Лист2!$B$6,N:N)),L3722=2),MAX($M$3:OFFSET(M3722,-1,0))+1,0)</f>
        <v>0</v>
      </c>
      <c r="N3722" s="3" t="s">
        <v>2326</v>
      </c>
    </row>
    <row r="3723" spans="1:14" x14ac:dyDescent="0.25">
      <c r="A3723" s="1" t="s">
        <v>12521</v>
      </c>
      <c r="B3723" s="3" t="s">
        <v>7347</v>
      </c>
      <c r="C3723" s="2">
        <f ca="1">IF(ISNUMBER(SEARCH(Лист2!$B$4,D:D)),MAX($C$3:OFFSET(C3723,-1,0))+1,0)</f>
        <v>0</v>
      </c>
      <c r="E3723" s="9" t="str">
        <f t="shared" ca="1" si="70"/>
        <v/>
      </c>
      <c r="F3723" s="4" t="s">
        <v>13</v>
      </c>
      <c r="G3723" s="2">
        <f>IF(ISNUMBER(SEARCH(Лист2!$B$4,F:F)),1,0)</f>
        <v>0</v>
      </c>
      <c r="H3723" s="3">
        <f ca="1">IF(AND(I3723&lt;&gt;I3722,ISNUMBER(SEARCH(Лист2!$B$5,I:I)),G3723=1),MAX($H$3:OFFSET(H3723,-1,0))+1,0)</f>
        <v>0</v>
      </c>
      <c r="I3723" s="3" t="s">
        <v>320</v>
      </c>
      <c r="K3723" s="2">
        <f>IF(ISNUMBER(SEARCH(Лист2!$B$4,F:F)),1,0)</f>
        <v>0</v>
      </c>
      <c r="L3723" s="14">
        <f>IF(ISNUMBER(SEARCH(Лист2!$B$5,I:I)),1,0)+K3723</f>
        <v>0</v>
      </c>
      <c r="M3723" s="3">
        <f ca="1">IF(AND(N3723&lt;&gt;N3722,ISNUMBER(SEARCH(Лист2!$B$6,N:N)),L3723=2),MAX($M$3:OFFSET(M3723,-1,0))+1,0)</f>
        <v>0</v>
      </c>
      <c r="N3723" s="3" t="s">
        <v>2327</v>
      </c>
    </row>
    <row r="3724" spans="1:14" x14ac:dyDescent="0.25">
      <c r="A3724" s="1" t="s">
        <v>12522</v>
      </c>
      <c r="B3724" s="3" t="s">
        <v>7348</v>
      </c>
      <c r="C3724" s="2">
        <f ca="1">IF(ISNUMBER(SEARCH(Лист2!$B$4,D:D)),MAX($C$3:OFFSET(C3724,-1,0))+1,0)</f>
        <v>0</v>
      </c>
      <c r="E3724" s="9" t="str">
        <f t="shared" ca="1" si="70"/>
        <v/>
      </c>
      <c r="F3724" s="4" t="s">
        <v>13</v>
      </c>
      <c r="G3724" s="2">
        <f>IF(ISNUMBER(SEARCH(Лист2!$B$4,F:F)),1,0)</f>
        <v>0</v>
      </c>
      <c r="H3724" s="3">
        <f ca="1">IF(AND(I3724&lt;&gt;I3723,ISNUMBER(SEARCH(Лист2!$B$5,I:I)),G3724=1),MAX($H$3:OFFSET(H3724,-1,0))+1,0)</f>
        <v>0</v>
      </c>
      <c r="I3724" s="3" t="s">
        <v>320</v>
      </c>
      <c r="K3724" s="2">
        <f>IF(ISNUMBER(SEARCH(Лист2!$B$4,F:F)),1,0)</f>
        <v>0</v>
      </c>
      <c r="L3724" s="14">
        <f>IF(ISNUMBER(SEARCH(Лист2!$B$5,I:I)),1,0)+K3724</f>
        <v>0</v>
      </c>
      <c r="M3724" s="3">
        <f ca="1">IF(AND(N3724&lt;&gt;N3723,ISNUMBER(SEARCH(Лист2!$B$6,N:N)),L3724=2),MAX($M$3:OFFSET(M3724,-1,0))+1,0)</f>
        <v>0</v>
      </c>
      <c r="N3724" s="3" t="s">
        <v>2328</v>
      </c>
    </row>
    <row r="3725" spans="1:14" x14ac:dyDescent="0.25">
      <c r="A3725" s="1" t="s">
        <v>12523</v>
      </c>
      <c r="B3725" s="3" t="s">
        <v>7349</v>
      </c>
      <c r="C3725" s="2">
        <f ca="1">IF(ISNUMBER(SEARCH(Лист2!$B$4,D:D)),MAX($C$3:OFFSET(C3725,-1,0))+1,0)</f>
        <v>0</v>
      </c>
      <c r="E3725" s="9" t="str">
        <f t="shared" ca="1" si="70"/>
        <v/>
      </c>
      <c r="F3725" s="4" t="s">
        <v>13</v>
      </c>
      <c r="G3725" s="2">
        <f>IF(ISNUMBER(SEARCH(Лист2!$B$4,F:F)),1,0)</f>
        <v>0</v>
      </c>
      <c r="H3725" s="3">
        <f ca="1">IF(AND(I3725&lt;&gt;I3724,ISNUMBER(SEARCH(Лист2!$B$5,I:I)),G3725=1),MAX($H$3:OFFSET(H3725,-1,0))+1,0)</f>
        <v>0</v>
      </c>
      <c r="I3725" s="3" t="s">
        <v>320</v>
      </c>
      <c r="K3725" s="2">
        <f>IF(ISNUMBER(SEARCH(Лист2!$B$4,F:F)),1,0)</f>
        <v>0</v>
      </c>
      <c r="L3725" s="14">
        <f>IF(ISNUMBER(SEARCH(Лист2!$B$5,I:I)),1,0)+K3725</f>
        <v>0</v>
      </c>
      <c r="M3725" s="3">
        <f ca="1">IF(AND(N3725&lt;&gt;N3724,ISNUMBER(SEARCH(Лист2!$B$6,N:N)),L3725=2),MAX($M$3:OFFSET(M3725,-1,0))+1,0)</f>
        <v>0</v>
      </c>
      <c r="N3725" s="3" t="s">
        <v>2289</v>
      </c>
    </row>
    <row r="3726" spans="1:14" x14ac:dyDescent="0.25">
      <c r="A3726" s="1" t="s">
        <v>12524</v>
      </c>
      <c r="B3726" s="3" t="s">
        <v>7350</v>
      </c>
      <c r="C3726" s="2">
        <f ca="1">IF(ISNUMBER(SEARCH(Лист2!$B$4,D:D)),MAX($C$3:OFFSET(C3726,-1,0))+1,0)</f>
        <v>0</v>
      </c>
      <c r="E3726" s="9" t="str">
        <f t="shared" ca="1" si="70"/>
        <v/>
      </c>
      <c r="F3726" s="4" t="s">
        <v>13</v>
      </c>
      <c r="G3726" s="2">
        <f>IF(ISNUMBER(SEARCH(Лист2!$B$4,F:F)),1,0)</f>
        <v>0</v>
      </c>
      <c r="H3726" s="3">
        <f ca="1">IF(AND(I3726&lt;&gt;I3725,ISNUMBER(SEARCH(Лист2!$B$5,I:I)),G3726=1),MAX($H$3:OFFSET(H3726,-1,0))+1,0)</f>
        <v>0</v>
      </c>
      <c r="I3726" s="3" t="s">
        <v>320</v>
      </c>
      <c r="K3726" s="2">
        <f>IF(ISNUMBER(SEARCH(Лист2!$B$4,F:F)),1,0)</f>
        <v>0</v>
      </c>
      <c r="L3726" s="14">
        <f>IF(ISNUMBER(SEARCH(Лист2!$B$5,I:I)),1,0)+K3726</f>
        <v>0</v>
      </c>
      <c r="M3726" s="3">
        <f ca="1">IF(AND(N3726&lt;&gt;N3725,ISNUMBER(SEARCH(Лист2!$B$6,N:N)),L3726=2),MAX($M$3:OFFSET(M3726,-1,0))+1,0)</f>
        <v>0</v>
      </c>
      <c r="N3726" s="3" t="s">
        <v>602</v>
      </c>
    </row>
    <row r="3727" spans="1:14" x14ac:dyDescent="0.25">
      <c r="A3727" s="1" t="s">
        <v>12525</v>
      </c>
      <c r="B3727" s="3" t="s">
        <v>7351</v>
      </c>
      <c r="C3727" s="2">
        <f ca="1">IF(ISNUMBER(SEARCH(Лист2!$B$4,D:D)),MAX($C$3:OFFSET(C3727,-1,0))+1,0)</f>
        <v>0</v>
      </c>
      <c r="E3727" s="9" t="str">
        <f t="shared" ca="1" si="70"/>
        <v/>
      </c>
      <c r="F3727" s="4" t="s">
        <v>13</v>
      </c>
      <c r="G3727" s="2">
        <f>IF(ISNUMBER(SEARCH(Лист2!$B$4,F:F)),1,0)</f>
        <v>0</v>
      </c>
      <c r="H3727" s="3">
        <f ca="1">IF(AND(I3727&lt;&gt;I3726,ISNUMBER(SEARCH(Лист2!$B$5,I:I)),G3727=1),MAX($H$3:OFFSET(H3727,-1,0))+1,0)</f>
        <v>0</v>
      </c>
      <c r="I3727" s="3" t="s">
        <v>320</v>
      </c>
      <c r="K3727" s="2">
        <f>IF(ISNUMBER(SEARCH(Лист2!$B$4,F:F)),1,0)</f>
        <v>0</v>
      </c>
      <c r="L3727" s="14">
        <f>IF(ISNUMBER(SEARCH(Лист2!$B$5,I:I)),1,0)+K3727</f>
        <v>0</v>
      </c>
      <c r="M3727" s="3">
        <f ca="1">IF(AND(N3727&lt;&gt;N3726,ISNUMBER(SEARCH(Лист2!$B$6,N:N)),L3727=2),MAX($M$3:OFFSET(M3727,-1,0))+1,0)</f>
        <v>0</v>
      </c>
      <c r="N3727" s="3" t="s">
        <v>2329</v>
      </c>
    </row>
    <row r="3728" spans="1:14" x14ac:dyDescent="0.25">
      <c r="A3728" s="1" t="s">
        <v>12526</v>
      </c>
      <c r="B3728" s="3" t="s">
        <v>7352</v>
      </c>
      <c r="C3728" s="2">
        <f ca="1">IF(ISNUMBER(SEARCH(Лист2!$B$4,D:D)),MAX($C$3:OFFSET(C3728,-1,0))+1,0)</f>
        <v>0</v>
      </c>
      <c r="E3728" s="9" t="str">
        <f t="shared" ca="1" si="70"/>
        <v/>
      </c>
      <c r="F3728" s="4" t="s">
        <v>13</v>
      </c>
      <c r="G3728" s="2">
        <f>IF(ISNUMBER(SEARCH(Лист2!$B$4,F:F)),1,0)</f>
        <v>0</v>
      </c>
      <c r="H3728" s="3">
        <f ca="1">IF(AND(I3728&lt;&gt;I3727,ISNUMBER(SEARCH(Лист2!$B$5,I:I)),G3728=1),MAX($H$3:OFFSET(H3728,-1,0))+1,0)</f>
        <v>0</v>
      </c>
      <c r="I3728" s="3" t="s">
        <v>320</v>
      </c>
      <c r="K3728" s="2">
        <f>IF(ISNUMBER(SEARCH(Лист2!$B$4,F:F)),1,0)</f>
        <v>0</v>
      </c>
      <c r="L3728" s="14">
        <f>IF(ISNUMBER(SEARCH(Лист2!$B$5,I:I)),1,0)+K3728</f>
        <v>0</v>
      </c>
      <c r="M3728" s="3">
        <f ca="1">IF(AND(N3728&lt;&gt;N3727,ISNUMBER(SEARCH(Лист2!$B$6,N:N)),L3728=2),MAX($M$3:OFFSET(M3728,-1,0))+1,0)</f>
        <v>0</v>
      </c>
      <c r="N3728" s="3" t="s">
        <v>2330</v>
      </c>
    </row>
    <row r="3729" spans="1:14" x14ac:dyDescent="0.25">
      <c r="A3729" s="1" t="s">
        <v>12527</v>
      </c>
      <c r="B3729" s="3" t="s">
        <v>7353</v>
      </c>
      <c r="C3729" s="2">
        <f ca="1">IF(ISNUMBER(SEARCH(Лист2!$B$4,D:D)),MAX($C$3:OFFSET(C3729,-1,0))+1,0)</f>
        <v>0</v>
      </c>
      <c r="E3729" s="9" t="str">
        <f t="shared" ca="1" si="70"/>
        <v/>
      </c>
      <c r="F3729" s="4" t="s">
        <v>13</v>
      </c>
      <c r="G3729" s="2">
        <f>IF(ISNUMBER(SEARCH(Лист2!$B$4,F:F)),1,0)</f>
        <v>0</v>
      </c>
      <c r="H3729" s="3">
        <f ca="1">IF(AND(I3729&lt;&gt;I3728,ISNUMBER(SEARCH(Лист2!$B$5,I:I)),G3729=1),MAX($H$3:OFFSET(H3729,-1,0))+1,0)</f>
        <v>0</v>
      </c>
      <c r="I3729" s="3" t="s">
        <v>320</v>
      </c>
      <c r="K3729" s="2">
        <f>IF(ISNUMBER(SEARCH(Лист2!$B$4,F:F)),1,0)</f>
        <v>0</v>
      </c>
      <c r="L3729" s="14">
        <f>IF(ISNUMBER(SEARCH(Лист2!$B$5,I:I)),1,0)+K3729</f>
        <v>0</v>
      </c>
      <c r="M3729" s="3">
        <f ca="1">IF(AND(N3729&lt;&gt;N3728,ISNUMBER(SEARCH(Лист2!$B$6,N:N)),L3729=2),MAX($M$3:OFFSET(M3729,-1,0))+1,0)</f>
        <v>0</v>
      </c>
      <c r="N3729" s="3" t="s">
        <v>2331</v>
      </c>
    </row>
    <row r="3730" spans="1:14" x14ac:dyDescent="0.25">
      <c r="A3730" s="1" t="s">
        <v>12528</v>
      </c>
      <c r="B3730" s="3" t="s">
        <v>7354</v>
      </c>
      <c r="C3730" s="2">
        <f ca="1">IF(ISNUMBER(SEARCH(Лист2!$B$4,D:D)),MAX($C$3:OFFSET(C3730,-1,0))+1,0)</f>
        <v>0</v>
      </c>
      <c r="E3730" s="9" t="str">
        <f t="shared" ca="1" si="70"/>
        <v/>
      </c>
      <c r="F3730" s="4" t="s">
        <v>13</v>
      </c>
      <c r="G3730" s="2">
        <f>IF(ISNUMBER(SEARCH(Лист2!$B$4,F:F)),1,0)</f>
        <v>0</v>
      </c>
      <c r="H3730" s="3">
        <f ca="1">IF(AND(I3730&lt;&gt;I3729,ISNUMBER(SEARCH(Лист2!$B$5,I:I)),G3730=1),MAX($H$3:OFFSET(H3730,-1,0))+1,0)</f>
        <v>0</v>
      </c>
      <c r="I3730" s="3" t="s">
        <v>320</v>
      </c>
      <c r="K3730" s="2">
        <f>IF(ISNUMBER(SEARCH(Лист2!$B$4,F:F)),1,0)</f>
        <v>0</v>
      </c>
      <c r="L3730" s="14">
        <f>IF(ISNUMBER(SEARCH(Лист2!$B$5,I:I)),1,0)+K3730</f>
        <v>0</v>
      </c>
      <c r="M3730" s="3">
        <f ca="1">IF(AND(N3730&lt;&gt;N3729,ISNUMBER(SEARCH(Лист2!$B$6,N:N)),L3730=2),MAX($M$3:OFFSET(M3730,-1,0))+1,0)</f>
        <v>0</v>
      </c>
      <c r="N3730" s="3" t="s">
        <v>2332</v>
      </c>
    </row>
    <row r="3731" spans="1:14" x14ac:dyDescent="0.25">
      <c r="A3731" s="1" t="s">
        <v>12529</v>
      </c>
      <c r="B3731" s="3" t="s">
        <v>7355</v>
      </c>
      <c r="C3731" s="2">
        <f ca="1">IF(ISNUMBER(SEARCH(Лист2!$B$4,D:D)),MAX($C$3:OFFSET(C3731,-1,0))+1,0)</f>
        <v>0</v>
      </c>
      <c r="E3731" s="9" t="str">
        <f t="shared" ca="1" si="70"/>
        <v/>
      </c>
      <c r="F3731" s="4" t="s">
        <v>13</v>
      </c>
      <c r="G3731" s="2">
        <f>IF(ISNUMBER(SEARCH(Лист2!$B$4,F:F)),1,0)</f>
        <v>0</v>
      </c>
      <c r="H3731" s="3">
        <f ca="1">IF(AND(I3731&lt;&gt;I3730,ISNUMBER(SEARCH(Лист2!$B$5,I:I)),G3731=1),MAX($H$3:OFFSET(H3731,-1,0))+1,0)</f>
        <v>0</v>
      </c>
      <c r="I3731" s="3" t="s">
        <v>320</v>
      </c>
      <c r="K3731" s="2">
        <f>IF(ISNUMBER(SEARCH(Лист2!$B$4,F:F)),1,0)</f>
        <v>0</v>
      </c>
      <c r="L3731" s="14">
        <f>IF(ISNUMBER(SEARCH(Лист2!$B$5,I:I)),1,0)+K3731</f>
        <v>0</v>
      </c>
      <c r="M3731" s="3">
        <f ca="1">IF(AND(N3731&lt;&gt;N3730,ISNUMBER(SEARCH(Лист2!$B$6,N:N)),L3731=2),MAX($M$3:OFFSET(M3731,-1,0))+1,0)</f>
        <v>0</v>
      </c>
      <c r="N3731" s="3" t="s">
        <v>2333</v>
      </c>
    </row>
    <row r="3732" spans="1:14" x14ac:dyDescent="0.25">
      <c r="A3732" s="1" t="s">
        <v>12530</v>
      </c>
      <c r="B3732" s="3" t="s">
        <v>7356</v>
      </c>
      <c r="C3732" s="2">
        <f ca="1">IF(ISNUMBER(SEARCH(Лист2!$B$4,D:D)),MAX($C$3:OFFSET(C3732,-1,0))+1,0)</f>
        <v>0</v>
      </c>
      <c r="E3732" s="9" t="str">
        <f t="shared" ca="1" si="70"/>
        <v/>
      </c>
      <c r="F3732" s="4" t="s">
        <v>13</v>
      </c>
      <c r="G3732" s="2">
        <f>IF(ISNUMBER(SEARCH(Лист2!$B$4,F:F)),1,0)</f>
        <v>0</v>
      </c>
      <c r="H3732" s="3">
        <f ca="1">IF(AND(I3732&lt;&gt;I3731,ISNUMBER(SEARCH(Лист2!$B$5,I:I)),G3732=1),MAX($H$3:OFFSET(H3732,-1,0))+1,0)</f>
        <v>0</v>
      </c>
      <c r="I3732" s="3" t="s">
        <v>320</v>
      </c>
      <c r="K3732" s="2">
        <f>IF(ISNUMBER(SEARCH(Лист2!$B$4,F:F)),1,0)</f>
        <v>0</v>
      </c>
      <c r="L3732" s="14">
        <f>IF(ISNUMBER(SEARCH(Лист2!$B$5,I:I)),1,0)+K3732</f>
        <v>0</v>
      </c>
      <c r="M3732" s="3">
        <f ca="1">IF(AND(N3732&lt;&gt;N3731,ISNUMBER(SEARCH(Лист2!$B$6,N:N)),L3732=2),MAX($M$3:OFFSET(M3732,-1,0))+1,0)</f>
        <v>0</v>
      </c>
      <c r="N3732" s="3" t="s">
        <v>2334</v>
      </c>
    </row>
    <row r="3733" spans="1:14" x14ac:dyDescent="0.25">
      <c r="A3733" s="1" t="s">
        <v>12531</v>
      </c>
      <c r="B3733" s="3" t="s">
        <v>7357</v>
      </c>
      <c r="C3733" s="2">
        <f ca="1">IF(ISNUMBER(SEARCH(Лист2!$B$4,D:D)),MAX($C$3:OFFSET(C3733,-1,0))+1,0)</f>
        <v>0</v>
      </c>
      <c r="E3733" s="9" t="str">
        <f t="shared" ca="1" si="70"/>
        <v/>
      </c>
      <c r="F3733" s="4" t="s">
        <v>13</v>
      </c>
      <c r="G3733" s="2">
        <f>IF(ISNUMBER(SEARCH(Лист2!$B$4,F:F)),1,0)</f>
        <v>0</v>
      </c>
      <c r="H3733" s="3">
        <f ca="1">IF(AND(I3733&lt;&gt;I3732,ISNUMBER(SEARCH(Лист2!$B$5,I:I)),G3733=1),MAX($H$3:OFFSET(H3733,-1,0))+1,0)</f>
        <v>0</v>
      </c>
      <c r="I3733" s="3" t="s">
        <v>320</v>
      </c>
      <c r="K3733" s="2">
        <f>IF(ISNUMBER(SEARCH(Лист2!$B$4,F:F)),1,0)</f>
        <v>0</v>
      </c>
      <c r="L3733" s="14">
        <f>IF(ISNUMBER(SEARCH(Лист2!$B$5,I:I)),1,0)+K3733</f>
        <v>0</v>
      </c>
      <c r="M3733" s="3">
        <f ca="1">IF(AND(N3733&lt;&gt;N3732,ISNUMBER(SEARCH(Лист2!$B$6,N:N)),L3733=2),MAX($M$3:OFFSET(M3733,-1,0))+1,0)</f>
        <v>0</v>
      </c>
      <c r="N3733" s="3" t="s">
        <v>2335</v>
      </c>
    </row>
    <row r="3734" spans="1:14" x14ac:dyDescent="0.25">
      <c r="A3734" s="1" t="s">
        <v>12532</v>
      </c>
      <c r="B3734" s="3" t="s">
        <v>7358</v>
      </c>
      <c r="C3734" s="2">
        <f ca="1">IF(ISNUMBER(SEARCH(Лист2!$B$4,D:D)),MAX($C$3:OFFSET(C3734,-1,0))+1,0)</f>
        <v>0</v>
      </c>
      <c r="E3734" s="9" t="str">
        <f t="shared" ca="1" si="70"/>
        <v/>
      </c>
      <c r="F3734" s="4" t="s">
        <v>13</v>
      </c>
      <c r="G3734" s="2">
        <f>IF(ISNUMBER(SEARCH(Лист2!$B$4,F:F)),1,0)</f>
        <v>0</v>
      </c>
      <c r="H3734" s="3">
        <f ca="1">IF(AND(I3734&lt;&gt;I3733,ISNUMBER(SEARCH(Лист2!$B$5,I:I)),G3734=1),MAX($H$3:OFFSET(H3734,-1,0))+1,0)</f>
        <v>0</v>
      </c>
      <c r="I3734" s="3" t="s">
        <v>320</v>
      </c>
      <c r="K3734" s="2">
        <f>IF(ISNUMBER(SEARCH(Лист2!$B$4,F:F)),1,0)</f>
        <v>0</v>
      </c>
      <c r="L3734" s="14">
        <f>IF(ISNUMBER(SEARCH(Лист2!$B$5,I:I)),1,0)+K3734</f>
        <v>0</v>
      </c>
      <c r="M3734" s="3">
        <f ca="1">IF(AND(N3734&lt;&gt;N3733,ISNUMBER(SEARCH(Лист2!$B$6,N:N)),L3734=2),MAX($M$3:OFFSET(M3734,-1,0))+1,0)</f>
        <v>0</v>
      </c>
      <c r="N3734" s="3" t="s">
        <v>2336</v>
      </c>
    </row>
    <row r="3735" spans="1:14" x14ac:dyDescent="0.25">
      <c r="A3735" s="1" t="s">
        <v>12533</v>
      </c>
      <c r="B3735" s="3" t="s">
        <v>7359</v>
      </c>
      <c r="C3735" s="2">
        <f ca="1">IF(ISNUMBER(SEARCH(Лист2!$B$4,D:D)),MAX($C$3:OFFSET(C3735,-1,0))+1,0)</f>
        <v>0</v>
      </c>
      <c r="E3735" s="9" t="str">
        <f t="shared" ca="1" si="70"/>
        <v/>
      </c>
      <c r="F3735" s="4" t="s">
        <v>13</v>
      </c>
      <c r="G3735" s="2">
        <f>IF(ISNUMBER(SEARCH(Лист2!$B$4,F:F)),1,0)</f>
        <v>0</v>
      </c>
      <c r="H3735" s="3">
        <f ca="1">IF(AND(I3735&lt;&gt;I3734,ISNUMBER(SEARCH(Лист2!$B$5,I:I)),G3735=1),MAX($H$3:OFFSET(H3735,-1,0))+1,0)</f>
        <v>0</v>
      </c>
      <c r="I3735" s="3" t="s">
        <v>320</v>
      </c>
      <c r="K3735" s="2">
        <f>IF(ISNUMBER(SEARCH(Лист2!$B$4,F:F)),1,0)</f>
        <v>0</v>
      </c>
      <c r="L3735" s="14">
        <f>IF(ISNUMBER(SEARCH(Лист2!$B$5,I:I)),1,0)+K3735</f>
        <v>0</v>
      </c>
      <c r="M3735" s="3">
        <f ca="1">IF(AND(N3735&lt;&gt;N3734,ISNUMBER(SEARCH(Лист2!$B$6,N:N)),L3735=2),MAX($M$3:OFFSET(M3735,-1,0))+1,0)</f>
        <v>0</v>
      </c>
      <c r="N3735" s="3" t="s">
        <v>2337</v>
      </c>
    </row>
    <row r="3736" spans="1:14" x14ac:dyDescent="0.25">
      <c r="A3736" s="1" t="s">
        <v>12534</v>
      </c>
      <c r="B3736" s="3" t="s">
        <v>7360</v>
      </c>
      <c r="C3736" s="2">
        <f ca="1">IF(ISNUMBER(SEARCH(Лист2!$B$4,D:D)),MAX($C$3:OFFSET(C3736,-1,0))+1,0)</f>
        <v>0</v>
      </c>
      <c r="E3736" s="9" t="str">
        <f t="shared" ca="1" si="70"/>
        <v/>
      </c>
      <c r="F3736" s="4" t="s">
        <v>13</v>
      </c>
      <c r="G3736" s="2">
        <f>IF(ISNUMBER(SEARCH(Лист2!$B$4,F:F)),1,0)</f>
        <v>0</v>
      </c>
      <c r="H3736" s="3">
        <f ca="1">IF(AND(I3736&lt;&gt;I3735,ISNUMBER(SEARCH(Лист2!$B$5,I:I)),G3736=1),MAX($H$3:OFFSET(H3736,-1,0))+1,0)</f>
        <v>0</v>
      </c>
      <c r="I3736" s="3" t="s">
        <v>321</v>
      </c>
      <c r="K3736" s="2">
        <f>IF(ISNUMBER(SEARCH(Лист2!$B$4,F:F)),1,0)</f>
        <v>0</v>
      </c>
      <c r="L3736" s="14">
        <f>IF(ISNUMBER(SEARCH(Лист2!$B$5,I:I)),1,0)+K3736</f>
        <v>0</v>
      </c>
      <c r="M3736" s="3">
        <f ca="1">IF(AND(N3736&lt;&gt;N3735,ISNUMBER(SEARCH(Лист2!$B$6,N:N)),L3736=2),MAX($M$3:OFFSET(M3736,-1,0))+1,0)</f>
        <v>0</v>
      </c>
      <c r="N3736" s="3" t="s">
        <v>2338</v>
      </c>
    </row>
    <row r="3737" spans="1:14" x14ac:dyDescent="0.25">
      <c r="A3737" s="1" t="s">
        <v>12535</v>
      </c>
      <c r="B3737" s="3" t="s">
        <v>7361</v>
      </c>
      <c r="C3737" s="2">
        <f ca="1">IF(ISNUMBER(SEARCH(Лист2!$B$4,D:D)),MAX($C$3:OFFSET(C3737,-1,0))+1,0)</f>
        <v>0</v>
      </c>
      <c r="E3737" s="9" t="str">
        <f t="shared" ca="1" si="70"/>
        <v/>
      </c>
      <c r="F3737" s="4" t="s">
        <v>13</v>
      </c>
      <c r="G3737" s="2">
        <f>IF(ISNUMBER(SEARCH(Лист2!$B$4,F:F)),1,0)</f>
        <v>0</v>
      </c>
      <c r="H3737" s="3">
        <f ca="1">IF(AND(I3737&lt;&gt;I3736,ISNUMBER(SEARCH(Лист2!$B$5,I:I)),G3737=1),MAX($H$3:OFFSET(H3737,-1,0))+1,0)</f>
        <v>0</v>
      </c>
      <c r="I3737" s="3" t="s">
        <v>321</v>
      </c>
      <c r="K3737" s="2">
        <f>IF(ISNUMBER(SEARCH(Лист2!$B$4,F:F)),1,0)</f>
        <v>0</v>
      </c>
      <c r="L3737" s="14">
        <f>IF(ISNUMBER(SEARCH(Лист2!$B$5,I:I)),1,0)+K3737</f>
        <v>0</v>
      </c>
      <c r="M3737" s="3">
        <f ca="1">IF(AND(N3737&lt;&gt;N3736,ISNUMBER(SEARCH(Лист2!$B$6,N:N)),L3737=2),MAX($M$3:OFFSET(M3737,-1,0))+1,0)</f>
        <v>0</v>
      </c>
      <c r="N3737" s="3" t="s">
        <v>2029</v>
      </c>
    </row>
    <row r="3738" spans="1:14" x14ac:dyDescent="0.25">
      <c r="A3738" s="1" t="s">
        <v>12536</v>
      </c>
      <c r="B3738" s="3" t="s">
        <v>7362</v>
      </c>
      <c r="C3738" s="2">
        <f ca="1">IF(ISNUMBER(SEARCH(Лист2!$B$4,D:D)),MAX($C$3:OFFSET(C3738,-1,0))+1,0)</f>
        <v>0</v>
      </c>
      <c r="E3738" s="9" t="str">
        <f t="shared" ca="1" si="70"/>
        <v/>
      </c>
      <c r="F3738" s="4" t="s">
        <v>13</v>
      </c>
      <c r="G3738" s="2">
        <f>IF(ISNUMBER(SEARCH(Лист2!$B$4,F:F)),1,0)</f>
        <v>0</v>
      </c>
      <c r="H3738" s="3">
        <f ca="1">IF(AND(I3738&lt;&gt;I3737,ISNUMBER(SEARCH(Лист2!$B$5,I:I)),G3738=1),MAX($H$3:OFFSET(H3738,-1,0))+1,0)</f>
        <v>0</v>
      </c>
      <c r="I3738" s="3" t="s">
        <v>321</v>
      </c>
      <c r="K3738" s="2">
        <f>IF(ISNUMBER(SEARCH(Лист2!$B$4,F:F)),1,0)</f>
        <v>0</v>
      </c>
      <c r="L3738" s="14">
        <f>IF(ISNUMBER(SEARCH(Лист2!$B$5,I:I)),1,0)+K3738</f>
        <v>0</v>
      </c>
      <c r="M3738" s="3">
        <f ca="1">IF(AND(N3738&lt;&gt;N3737,ISNUMBER(SEARCH(Лист2!$B$6,N:N)),L3738=2),MAX($M$3:OFFSET(M3738,-1,0))+1,0)</f>
        <v>0</v>
      </c>
      <c r="N3738" s="3" t="s">
        <v>602</v>
      </c>
    </row>
    <row r="3739" spans="1:14" x14ac:dyDescent="0.25">
      <c r="A3739" s="1" t="s">
        <v>12537</v>
      </c>
      <c r="B3739" s="3" t="s">
        <v>7363</v>
      </c>
      <c r="C3739" s="2">
        <f ca="1">IF(ISNUMBER(SEARCH(Лист2!$B$4,D:D)),MAX($C$3:OFFSET(C3739,-1,0))+1,0)</f>
        <v>0</v>
      </c>
      <c r="E3739" s="9" t="str">
        <f t="shared" ca="1" si="70"/>
        <v/>
      </c>
      <c r="F3739" s="4" t="s">
        <v>13</v>
      </c>
      <c r="G3739" s="2">
        <f>IF(ISNUMBER(SEARCH(Лист2!$B$4,F:F)),1,0)</f>
        <v>0</v>
      </c>
      <c r="H3739" s="3">
        <f ca="1">IF(AND(I3739&lt;&gt;I3738,ISNUMBER(SEARCH(Лист2!$B$5,I:I)),G3739=1),MAX($H$3:OFFSET(H3739,-1,0))+1,0)</f>
        <v>0</v>
      </c>
      <c r="I3739" s="3" t="s">
        <v>321</v>
      </c>
      <c r="K3739" s="2">
        <f>IF(ISNUMBER(SEARCH(Лист2!$B$4,F:F)),1,0)</f>
        <v>0</v>
      </c>
      <c r="L3739" s="14">
        <f>IF(ISNUMBER(SEARCH(Лист2!$B$5,I:I)),1,0)+K3739</f>
        <v>0</v>
      </c>
      <c r="M3739" s="3">
        <f ca="1">IF(AND(N3739&lt;&gt;N3738,ISNUMBER(SEARCH(Лист2!$B$6,N:N)),L3739=2),MAX($M$3:OFFSET(M3739,-1,0))+1,0)</f>
        <v>0</v>
      </c>
      <c r="N3739" s="3" t="s">
        <v>2030</v>
      </c>
    </row>
    <row r="3740" spans="1:14" x14ac:dyDescent="0.25">
      <c r="A3740" s="1" t="s">
        <v>12538</v>
      </c>
      <c r="B3740" s="3" t="s">
        <v>7364</v>
      </c>
      <c r="C3740" s="2">
        <f ca="1">IF(ISNUMBER(SEARCH(Лист2!$B$4,D:D)),MAX($C$3:OFFSET(C3740,-1,0))+1,0)</f>
        <v>0</v>
      </c>
      <c r="E3740" s="9" t="str">
        <f t="shared" ca="1" si="70"/>
        <v/>
      </c>
      <c r="F3740" s="4" t="s">
        <v>13</v>
      </c>
      <c r="G3740" s="2">
        <f>IF(ISNUMBER(SEARCH(Лист2!$B$4,F:F)),1,0)</f>
        <v>0</v>
      </c>
      <c r="H3740" s="3">
        <f ca="1">IF(AND(I3740&lt;&gt;I3739,ISNUMBER(SEARCH(Лист2!$B$5,I:I)),G3740=1),MAX($H$3:OFFSET(H3740,-1,0))+1,0)</f>
        <v>0</v>
      </c>
      <c r="I3740" s="3" t="s">
        <v>321</v>
      </c>
      <c r="K3740" s="2">
        <f>IF(ISNUMBER(SEARCH(Лист2!$B$4,F:F)),1,0)</f>
        <v>0</v>
      </c>
      <c r="L3740" s="14">
        <f>IF(ISNUMBER(SEARCH(Лист2!$B$5,I:I)),1,0)+K3740</f>
        <v>0</v>
      </c>
      <c r="M3740" s="3">
        <f ca="1">IF(AND(N3740&lt;&gt;N3739,ISNUMBER(SEARCH(Лист2!$B$6,N:N)),L3740=2),MAX($M$3:OFFSET(M3740,-1,0))+1,0)</f>
        <v>0</v>
      </c>
      <c r="N3740" s="3" t="s">
        <v>2031</v>
      </c>
    </row>
    <row r="3741" spans="1:14" x14ac:dyDescent="0.25">
      <c r="A3741" s="1" t="s">
        <v>12539</v>
      </c>
      <c r="B3741" s="3" t="s">
        <v>7365</v>
      </c>
      <c r="C3741" s="2">
        <f ca="1">IF(ISNUMBER(SEARCH(Лист2!$B$4,D:D)),MAX($C$3:OFFSET(C3741,-1,0))+1,0)</f>
        <v>0</v>
      </c>
      <c r="E3741" s="9" t="str">
        <f t="shared" ca="1" si="70"/>
        <v/>
      </c>
      <c r="F3741" s="4" t="s">
        <v>13</v>
      </c>
      <c r="G3741" s="2">
        <f>IF(ISNUMBER(SEARCH(Лист2!$B$4,F:F)),1,0)</f>
        <v>0</v>
      </c>
      <c r="H3741" s="3">
        <f ca="1">IF(AND(I3741&lt;&gt;I3740,ISNUMBER(SEARCH(Лист2!$B$5,I:I)),G3741=1),MAX($H$3:OFFSET(H3741,-1,0))+1,0)</f>
        <v>0</v>
      </c>
      <c r="I3741" s="3" t="s">
        <v>321</v>
      </c>
      <c r="K3741" s="2">
        <f>IF(ISNUMBER(SEARCH(Лист2!$B$4,F:F)),1,0)</f>
        <v>0</v>
      </c>
      <c r="L3741" s="14">
        <f>IF(ISNUMBER(SEARCH(Лист2!$B$5,I:I)),1,0)+K3741</f>
        <v>0</v>
      </c>
      <c r="M3741" s="3">
        <f ca="1">IF(AND(N3741&lt;&gt;N3740,ISNUMBER(SEARCH(Лист2!$B$6,N:N)),L3741=2),MAX($M$3:OFFSET(M3741,-1,0))+1,0)</f>
        <v>0</v>
      </c>
      <c r="N3741" s="3" t="s">
        <v>2339</v>
      </c>
    </row>
    <row r="3742" spans="1:14" x14ac:dyDescent="0.25">
      <c r="A3742" s="1" t="s">
        <v>12540</v>
      </c>
      <c r="B3742" s="3" t="s">
        <v>7366</v>
      </c>
      <c r="C3742" s="2">
        <f ca="1">IF(ISNUMBER(SEARCH(Лист2!$B$4,D:D)),MAX($C$3:OFFSET(C3742,-1,0))+1,0)</f>
        <v>0</v>
      </c>
      <c r="E3742" s="9" t="str">
        <f t="shared" ca="1" si="70"/>
        <v/>
      </c>
      <c r="F3742" s="4" t="s">
        <v>13</v>
      </c>
      <c r="G3742" s="2">
        <f>IF(ISNUMBER(SEARCH(Лист2!$B$4,F:F)),1,0)</f>
        <v>0</v>
      </c>
      <c r="H3742" s="3">
        <f ca="1">IF(AND(I3742&lt;&gt;I3741,ISNUMBER(SEARCH(Лист2!$B$5,I:I)),G3742=1),MAX($H$3:OFFSET(H3742,-1,0))+1,0)</f>
        <v>0</v>
      </c>
      <c r="I3742" s="3" t="s">
        <v>321</v>
      </c>
      <c r="K3742" s="2">
        <f>IF(ISNUMBER(SEARCH(Лист2!$B$4,F:F)),1,0)</f>
        <v>0</v>
      </c>
      <c r="L3742" s="14">
        <f>IF(ISNUMBER(SEARCH(Лист2!$B$5,I:I)),1,0)+K3742</f>
        <v>0</v>
      </c>
      <c r="M3742" s="3">
        <f ca="1">IF(AND(N3742&lt;&gt;N3741,ISNUMBER(SEARCH(Лист2!$B$6,N:N)),L3742=2),MAX($M$3:OFFSET(M3742,-1,0))+1,0)</f>
        <v>0</v>
      </c>
      <c r="N3742" s="3" t="s">
        <v>2340</v>
      </c>
    </row>
    <row r="3743" spans="1:14" x14ac:dyDescent="0.25">
      <c r="A3743" s="1" t="s">
        <v>12541</v>
      </c>
      <c r="B3743" s="3" t="s">
        <v>7367</v>
      </c>
      <c r="C3743" s="2">
        <f ca="1">IF(ISNUMBER(SEARCH(Лист2!$B$4,D:D)),MAX($C$3:OFFSET(C3743,-1,0))+1,0)</f>
        <v>0</v>
      </c>
      <c r="E3743" s="9" t="str">
        <f t="shared" ca="1" si="70"/>
        <v/>
      </c>
      <c r="F3743" s="4" t="s">
        <v>14</v>
      </c>
      <c r="G3743" s="2">
        <f>IF(ISNUMBER(SEARCH(Лист2!$B$4,F:F)),1,0)</f>
        <v>0</v>
      </c>
      <c r="H3743" s="3">
        <f ca="1">IF(AND(I3743&lt;&gt;I3742,ISNUMBER(SEARCH(Лист2!$B$5,I:I)),G3743=1),MAX($H$3:OFFSET(H3743,-1,0))+1,0)</f>
        <v>0</v>
      </c>
      <c r="I3743" s="3" t="s">
        <v>322</v>
      </c>
      <c r="K3743" s="2">
        <f>IF(ISNUMBER(SEARCH(Лист2!$B$4,F:F)),1,0)</f>
        <v>0</v>
      </c>
      <c r="L3743" s="14">
        <f>IF(ISNUMBER(SEARCH(Лист2!$B$5,I:I)),1,0)+K3743</f>
        <v>0</v>
      </c>
      <c r="M3743" s="3">
        <f ca="1">IF(AND(N3743&lt;&gt;N3742,ISNUMBER(SEARCH(Лист2!$B$6,N:N)),L3743=2),MAX($M$3:OFFSET(M3743,-1,0))+1,0)</f>
        <v>0</v>
      </c>
      <c r="N3743" s="3" t="s">
        <v>2341</v>
      </c>
    </row>
    <row r="3744" spans="1:14" x14ac:dyDescent="0.25">
      <c r="A3744" s="1" t="s">
        <v>12542</v>
      </c>
      <c r="B3744" s="3" t="s">
        <v>7368</v>
      </c>
      <c r="C3744" s="2">
        <f ca="1">IF(ISNUMBER(SEARCH(Лист2!$B$4,D:D)),MAX($C$3:OFFSET(C3744,-1,0))+1,0)</f>
        <v>0</v>
      </c>
      <c r="E3744" s="9" t="str">
        <f t="shared" ca="1" si="70"/>
        <v/>
      </c>
      <c r="F3744" s="4" t="s">
        <v>14</v>
      </c>
      <c r="G3744" s="2">
        <f>IF(ISNUMBER(SEARCH(Лист2!$B$4,F:F)),1,0)</f>
        <v>0</v>
      </c>
      <c r="H3744" s="3">
        <f ca="1">IF(AND(I3744&lt;&gt;I3743,ISNUMBER(SEARCH(Лист2!$B$5,I:I)),G3744=1),MAX($H$3:OFFSET(H3744,-1,0))+1,0)</f>
        <v>0</v>
      </c>
      <c r="I3744" s="3" t="s">
        <v>322</v>
      </c>
      <c r="K3744" s="2">
        <f>IF(ISNUMBER(SEARCH(Лист2!$B$4,F:F)),1,0)</f>
        <v>0</v>
      </c>
      <c r="L3744" s="14">
        <f>IF(ISNUMBER(SEARCH(Лист2!$B$5,I:I)),1,0)+K3744</f>
        <v>0</v>
      </c>
      <c r="M3744" s="3">
        <f ca="1">IF(AND(N3744&lt;&gt;N3743,ISNUMBER(SEARCH(Лист2!$B$6,N:N)),L3744=2),MAX($M$3:OFFSET(M3744,-1,0))+1,0)</f>
        <v>0</v>
      </c>
      <c r="N3744" s="3" t="s">
        <v>2342</v>
      </c>
    </row>
    <row r="3745" spans="1:14" x14ac:dyDescent="0.25">
      <c r="A3745" s="1" t="s">
        <v>12543</v>
      </c>
      <c r="B3745" s="3" t="s">
        <v>7369</v>
      </c>
      <c r="C3745" s="2">
        <f ca="1">IF(ISNUMBER(SEARCH(Лист2!$B$4,D:D)),MAX($C$3:OFFSET(C3745,-1,0))+1,0)</f>
        <v>0</v>
      </c>
      <c r="E3745" s="9" t="str">
        <f t="shared" ca="1" si="70"/>
        <v/>
      </c>
      <c r="F3745" s="4" t="s">
        <v>14</v>
      </c>
      <c r="G3745" s="2">
        <f>IF(ISNUMBER(SEARCH(Лист2!$B$4,F:F)),1,0)</f>
        <v>0</v>
      </c>
      <c r="H3745" s="3">
        <f ca="1">IF(AND(I3745&lt;&gt;I3744,ISNUMBER(SEARCH(Лист2!$B$5,I:I)),G3745=1),MAX($H$3:OFFSET(H3745,-1,0))+1,0)</f>
        <v>0</v>
      </c>
      <c r="I3745" s="3" t="s">
        <v>322</v>
      </c>
      <c r="K3745" s="2">
        <f>IF(ISNUMBER(SEARCH(Лист2!$B$4,F:F)),1,0)</f>
        <v>0</v>
      </c>
      <c r="L3745" s="14">
        <f>IF(ISNUMBER(SEARCH(Лист2!$B$5,I:I)),1,0)+K3745</f>
        <v>0</v>
      </c>
      <c r="M3745" s="3">
        <f ca="1">IF(AND(N3745&lt;&gt;N3744,ISNUMBER(SEARCH(Лист2!$B$6,N:N)),L3745=2),MAX($M$3:OFFSET(M3745,-1,0))+1,0)</f>
        <v>0</v>
      </c>
      <c r="N3745" s="3" t="s">
        <v>2343</v>
      </c>
    </row>
    <row r="3746" spans="1:14" x14ac:dyDescent="0.25">
      <c r="A3746" s="1" t="s">
        <v>12544</v>
      </c>
      <c r="B3746" s="3" t="s">
        <v>7370</v>
      </c>
      <c r="C3746" s="2">
        <f ca="1">IF(ISNUMBER(SEARCH(Лист2!$B$4,D:D)),MAX($C$3:OFFSET(C3746,-1,0))+1,0)</f>
        <v>0</v>
      </c>
      <c r="E3746" s="9" t="str">
        <f t="shared" ca="1" si="70"/>
        <v/>
      </c>
      <c r="F3746" s="4" t="s">
        <v>14</v>
      </c>
      <c r="G3746" s="2">
        <f>IF(ISNUMBER(SEARCH(Лист2!$B$4,F:F)),1,0)</f>
        <v>0</v>
      </c>
      <c r="H3746" s="3">
        <f ca="1">IF(AND(I3746&lt;&gt;I3745,ISNUMBER(SEARCH(Лист2!$B$5,I:I)),G3746=1),MAX($H$3:OFFSET(H3746,-1,0))+1,0)</f>
        <v>0</v>
      </c>
      <c r="I3746" s="3" t="s">
        <v>322</v>
      </c>
      <c r="K3746" s="2">
        <f>IF(ISNUMBER(SEARCH(Лист2!$B$4,F:F)),1,0)</f>
        <v>0</v>
      </c>
      <c r="L3746" s="14">
        <f>IF(ISNUMBER(SEARCH(Лист2!$B$5,I:I)),1,0)+K3746</f>
        <v>0</v>
      </c>
      <c r="M3746" s="3">
        <f ca="1">IF(AND(N3746&lt;&gt;N3745,ISNUMBER(SEARCH(Лист2!$B$6,N:N)),L3746=2),MAX($M$3:OFFSET(M3746,-1,0))+1,0)</f>
        <v>0</v>
      </c>
      <c r="N3746" s="3" t="s">
        <v>2344</v>
      </c>
    </row>
    <row r="3747" spans="1:14" x14ac:dyDescent="0.25">
      <c r="A3747" s="1" t="s">
        <v>12544</v>
      </c>
      <c r="B3747" s="3" t="s">
        <v>7371</v>
      </c>
      <c r="C3747" s="2">
        <f ca="1">IF(ISNUMBER(SEARCH(Лист2!$B$4,D:D)),MAX($C$3:OFFSET(C3747,-1,0))+1,0)</f>
        <v>0</v>
      </c>
      <c r="E3747" s="9" t="str">
        <f t="shared" ca="1" si="70"/>
        <v/>
      </c>
      <c r="F3747" s="4" t="s">
        <v>14</v>
      </c>
      <c r="G3747" s="2">
        <f>IF(ISNUMBER(SEARCH(Лист2!$B$4,F:F)),1,0)</f>
        <v>0</v>
      </c>
      <c r="H3747" s="3">
        <f ca="1">IF(AND(I3747&lt;&gt;I3746,ISNUMBER(SEARCH(Лист2!$B$5,I:I)),G3747=1),MAX($H$3:OFFSET(H3747,-1,0))+1,0)</f>
        <v>0</v>
      </c>
      <c r="I3747" s="3" t="s">
        <v>322</v>
      </c>
      <c r="K3747" s="2">
        <f>IF(ISNUMBER(SEARCH(Лист2!$B$4,F:F)),1,0)</f>
        <v>0</v>
      </c>
      <c r="L3747" s="14">
        <f>IF(ISNUMBER(SEARCH(Лист2!$B$5,I:I)),1,0)+K3747</f>
        <v>0</v>
      </c>
      <c r="M3747" s="3">
        <f ca="1">IF(AND(N3747&lt;&gt;N3746,ISNUMBER(SEARCH(Лист2!$B$6,N:N)),L3747=2),MAX($M$3:OFFSET(M3747,-1,0))+1,0)</f>
        <v>0</v>
      </c>
      <c r="N3747" s="3" t="s">
        <v>2344</v>
      </c>
    </row>
    <row r="3748" spans="1:14" x14ac:dyDescent="0.25">
      <c r="A3748" s="1" t="s">
        <v>12545</v>
      </c>
      <c r="B3748" s="3" t="s">
        <v>7372</v>
      </c>
      <c r="C3748" s="2">
        <f ca="1">IF(ISNUMBER(SEARCH(Лист2!$B$4,D:D)),MAX($C$3:OFFSET(C3748,-1,0))+1,0)</f>
        <v>0</v>
      </c>
      <c r="E3748" s="9" t="str">
        <f t="shared" ca="1" si="70"/>
        <v/>
      </c>
      <c r="F3748" s="4" t="s">
        <v>14</v>
      </c>
      <c r="G3748" s="2">
        <f>IF(ISNUMBER(SEARCH(Лист2!$B$4,F:F)),1,0)</f>
        <v>0</v>
      </c>
      <c r="H3748" s="3">
        <f ca="1">IF(AND(I3748&lt;&gt;I3747,ISNUMBER(SEARCH(Лист2!$B$5,I:I)),G3748=1),MAX($H$3:OFFSET(H3748,-1,0))+1,0)</f>
        <v>0</v>
      </c>
      <c r="I3748" s="3" t="s">
        <v>322</v>
      </c>
      <c r="K3748" s="2">
        <f>IF(ISNUMBER(SEARCH(Лист2!$B$4,F:F)),1,0)</f>
        <v>0</v>
      </c>
      <c r="L3748" s="14">
        <f>IF(ISNUMBER(SEARCH(Лист2!$B$5,I:I)),1,0)+K3748</f>
        <v>0</v>
      </c>
      <c r="M3748" s="3">
        <f ca="1">IF(AND(N3748&lt;&gt;N3747,ISNUMBER(SEARCH(Лист2!$B$6,N:N)),L3748=2),MAX($M$3:OFFSET(M3748,-1,0))+1,0)</f>
        <v>0</v>
      </c>
      <c r="N3748" s="3" t="s">
        <v>2345</v>
      </c>
    </row>
    <row r="3749" spans="1:14" x14ac:dyDescent="0.25">
      <c r="A3749" s="1" t="s">
        <v>12546</v>
      </c>
      <c r="B3749" s="3" t="s">
        <v>7373</v>
      </c>
      <c r="C3749" s="2">
        <f ca="1">IF(ISNUMBER(SEARCH(Лист2!$B$4,D:D)),MAX($C$3:OFFSET(C3749,-1,0))+1,0)</f>
        <v>0</v>
      </c>
      <c r="E3749" s="9" t="str">
        <f t="shared" ca="1" si="70"/>
        <v/>
      </c>
      <c r="F3749" s="4" t="s">
        <v>14</v>
      </c>
      <c r="G3749" s="2">
        <f>IF(ISNUMBER(SEARCH(Лист2!$B$4,F:F)),1,0)</f>
        <v>0</v>
      </c>
      <c r="H3749" s="3">
        <f ca="1">IF(AND(I3749&lt;&gt;I3748,ISNUMBER(SEARCH(Лист2!$B$5,I:I)),G3749=1),MAX($H$3:OFFSET(H3749,-1,0))+1,0)</f>
        <v>0</v>
      </c>
      <c r="I3749" s="3" t="s">
        <v>322</v>
      </c>
      <c r="K3749" s="2">
        <f>IF(ISNUMBER(SEARCH(Лист2!$B$4,F:F)),1,0)</f>
        <v>0</v>
      </c>
      <c r="L3749" s="14">
        <f>IF(ISNUMBER(SEARCH(Лист2!$B$5,I:I)),1,0)+K3749</f>
        <v>0</v>
      </c>
      <c r="M3749" s="3">
        <f ca="1">IF(AND(N3749&lt;&gt;N3748,ISNUMBER(SEARCH(Лист2!$B$6,N:N)),L3749=2),MAX($M$3:OFFSET(M3749,-1,0))+1,0)</f>
        <v>0</v>
      </c>
      <c r="N3749" s="3" t="s">
        <v>2346</v>
      </c>
    </row>
    <row r="3750" spans="1:14" x14ac:dyDescent="0.25">
      <c r="A3750" s="1" t="s">
        <v>12547</v>
      </c>
      <c r="B3750" s="3" t="s">
        <v>7374</v>
      </c>
      <c r="C3750" s="2">
        <f ca="1">IF(ISNUMBER(SEARCH(Лист2!$B$4,D:D)),MAX($C$3:OFFSET(C3750,-1,0))+1,0)</f>
        <v>0</v>
      </c>
      <c r="E3750" s="9" t="str">
        <f t="shared" ca="1" si="70"/>
        <v/>
      </c>
      <c r="F3750" s="4" t="s">
        <v>14</v>
      </c>
      <c r="G3750" s="2">
        <f>IF(ISNUMBER(SEARCH(Лист2!$B$4,F:F)),1,0)</f>
        <v>0</v>
      </c>
      <c r="H3750" s="3">
        <f ca="1">IF(AND(I3750&lt;&gt;I3749,ISNUMBER(SEARCH(Лист2!$B$5,I:I)),G3750=1),MAX($H$3:OFFSET(H3750,-1,0))+1,0)</f>
        <v>0</v>
      </c>
      <c r="I3750" s="3" t="s">
        <v>322</v>
      </c>
      <c r="K3750" s="2">
        <f>IF(ISNUMBER(SEARCH(Лист2!$B$4,F:F)),1,0)</f>
        <v>0</v>
      </c>
      <c r="L3750" s="14">
        <f>IF(ISNUMBER(SEARCH(Лист2!$B$5,I:I)),1,0)+K3750</f>
        <v>0</v>
      </c>
      <c r="M3750" s="3">
        <f ca="1">IF(AND(N3750&lt;&gt;N3749,ISNUMBER(SEARCH(Лист2!$B$6,N:N)),L3750=2),MAX($M$3:OFFSET(M3750,-1,0))+1,0)</f>
        <v>0</v>
      </c>
      <c r="N3750" s="3" t="s">
        <v>602</v>
      </c>
    </row>
    <row r="3751" spans="1:14" x14ac:dyDescent="0.25">
      <c r="A3751" s="1" t="s">
        <v>12548</v>
      </c>
      <c r="B3751" s="3" t="s">
        <v>7375</v>
      </c>
      <c r="C3751" s="2">
        <f ca="1">IF(ISNUMBER(SEARCH(Лист2!$B$4,D:D)),MAX($C$3:OFFSET(C3751,-1,0))+1,0)</f>
        <v>0</v>
      </c>
      <c r="E3751" s="9" t="str">
        <f t="shared" ca="1" si="70"/>
        <v/>
      </c>
      <c r="F3751" s="4" t="s">
        <v>14</v>
      </c>
      <c r="G3751" s="2">
        <f>IF(ISNUMBER(SEARCH(Лист2!$B$4,F:F)),1,0)</f>
        <v>0</v>
      </c>
      <c r="H3751" s="3">
        <f ca="1">IF(AND(I3751&lt;&gt;I3750,ISNUMBER(SEARCH(Лист2!$B$5,I:I)),G3751=1),MAX($H$3:OFFSET(H3751,-1,0))+1,0)</f>
        <v>0</v>
      </c>
      <c r="I3751" s="3" t="s">
        <v>323</v>
      </c>
      <c r="K3751" s="2">
        <f>IF(ISNUMBER(SEARCH(Лист2!$B$4,F:F)),1,0)</f>
        <v>0</v>
      </c>
      <c r="L3751" s="14">
        <f>IF(ISNUMBER(SEARCH(Лист2!$B$5,I:I)),1,0)+K3751</f>
        <v>0</v>
      </c>
      <c r="M3751" s="3">
        <f ca="1">IF(AND(N3751&lt;&gt;N3750,ISNUMBER(SEARCH(Лист2!$B$6,N:N)),L3751=2),MAX($M$3:OFFSET(M3751,-1,0))+1,0)</f>
        <v>0</v>
      </c>
      <c r="N3751" s="3" t="s">
        <v>2347</v>
      </c>
    </row>
    <row r="3752" spans="1:14" x14ac:dyDescent="0.25">
      <c r="A3752" s="1" t="s">
        <v>12549</v>
      </c>
      <c r="B3752" s="3" t="s">
        <v>7376</v>
      </c>
      <c r="C3752" s="2">
        <f ca="1">IF(ISNUMBER(SEARCH(Лист2!$B$4,D:D)),MAX($C$3:OFFSET(C3752,-1,0))+1,0)</f>
        <v>0</v>
      </c>
      <c r="E3752" s="9" t="str">
        <f t="shared" ca="1" si="70"/>
        <v/>
      </c>
      <c r="F3752" s="4" t="s">
        <v>14</v>
      </c>
      <c r="G3752" s="2">
        <f>IF(ISNUMBER(SEARCH(Лист2!$B$4,F:F)),1,0)</f>
        <v>0</v>
      </c>
      <c r="H3752" s="3">
        <f ca="1">IF(AND(I3752&lt;&gt;I3751,ISNUMBER(SEARCH(Лист2!$B$5,I:I)),G3752=1),MAX($H$3:OFFSET(H3752,-1,0))+1,0)</f>
        <v>0</v>
      </c>
      <c r="I3752" s="3" t="s">
        <v>323</v>
      </c>
      <c r="K3752" s="2">
        <f>IF(ISNUMBER(SEARCH(Лист2!$B$4,F:F)),1,0)</f>
        <v>0</v>
      </c>
      <c r="L3752" s="14">
        <f>IF(ISNUMBER(SEARCH(Лист2!$B$5,I:I)),1,0)+K3752</f>
        <v>0</v>
      </c>
      <c r="M3752" s="3">
        <f ca="1">IF(AND(N3752&lt;&gt;N3751,ISNUMBER(SEARCH(Лист2!$B$6,N:N)),L3752=2),MAX($M$3:OFFSET(M3752,-1,0))+1,0)</f>
        <v>0</v>
      </c>
      <c r="N3752" s="3" t="s">
        <v>2348</v>
      </c>
    </row>
    <row r="3753" spans="1:14" x14ac:dyDescent="0.25">
      <c r="A3753" s="1" t="s">
        <v>12550</v>
      </c>
      <c r="B3753" s="3" t="s">
        <v>7377</v>
      </c>
      <c r="C3753" s="2">
        <f ca="1">IF(ISNUMBER(SEARCH(Лист2!$B$4,D:D)),MAX($C$3:OFFSET(C3753,-1,0))+1,0)</f>
        <v>0</v>
      </c>
      <c r="E3753" s="9" t="str">
        <f t="shared" ca="1" si="70"/>
        <v/>
      </c>
      <c r="F3753" s="4" t="s">
        <v>14</v>
      </c>
      <c r="G3753" s="2">
        <f>IF(ISNUMBER(SEARCH(Лист2!$B$4,F:F)),1,0)</f>
        <v>0</v>
      </c>
      <c r="H3753" s="3">
        <f ca="1">IF(AND(I3753&lt;&gt;I3752,ISNUMBER(SEARCH(Лист2!$B$5,I:I)),G3753=1),MAX($H$3:OFFSET(H3753,-1,0))+1,0)</f>
        <v>0</v>
      </c>
      <c r="I3753" s="3" t="s">
        <v>323</v>
      </c>
      <c r="K3753" s="2">
        <f>IF(ISNUMBER(SEARCH(Лист2!$B$4,F:F)),1,0)</f>
        <v>0</v>
      </c>
      <c r="L3753" s="14">
        <f>IF(ISNUMBER(SEARCH(Лист2!$B$5,I:I)),1,0)+K3753</f>
        <v>0</v>
      </c>
      <c r="M3753" s="3">
        <f ca="1">IF(AND(N3753&lt;&gt;N3752,ISNUMBER(SEARCH(Лист2!$B$6,N:N)),L3753=2),MAX($M$3:OFFSET(M3753,-1,0))+1,0)</f>
        <v>0</v>
      </c>
      <c r="N3753" s="3" t="s">
        <v>2349</v>
      </c>
    </row>
    <row r="3754" spans="1:14" x14ac:dyDescent="0.25">
      <c r="A3754" s="1" t="s">
        <v>12551</v>
      </c>
      <c r="B3754" s="3" t="s">
        <v>7378</v>
      </c>
      <c r="C3754" s="2">
        <f ca="1">IF(ISNUMBER(SEARCH(Лист2!$B$4,D:D)),MAX($C$3:OFFSET(C3754,-1,0))+1,0)</f>
        <v>0</v>
      </c>
      <c r="E3754" s="9" t="str">
        <f t="shared" ca="1" si="70"/>
        <v/>
      </c>
      <c r="F3754" s="4" t="s">
        <v>14</v>
      </c>
      <c r="G3754" s="2">
        <f>IF(ISNUMBER(SEARCH(Лист2!$B$4,F:F)),1,0)</f>
        <v>0</v>
      </c>
      <c r="H3754" s="3">
        <f ca="1">IF(AND(I3754&lt;&gt;I3753,ISNUMBER(SEARCH(Лист2!$B$5,I:I)),G3754=1),MAX($H$3:OFFSET(H3754,-1,0))+1,0)</f>
        <v>0</v>
      </c>
      <c r="I3754" s="3" t="s">
        <v>323</v>
      </c>
      <c r="K3754" s="2">
        <f>IF(ISNUMBER(SEARCH(Лист2!$B$4,F:F)),1,0)</f>
        <v>0</v>
      </c>
      <c r="L3754" s="14">
        <f>IF(ISNUMBER(SEARCH(Лист2!$B$5,I:I)),1,0)+K3754</f>
        <v>0</v>
      </c>
      <c r="M3754" s="3">
        <f ca="1">IF(AND(N3754&lt;&gt;N3753,ISNUMBER(SEARCH(Лист2!$B$6,N:N)),L3754=2),MAX($M$3:OFFSET(M3754,-1,0))+1,0)</f>
        <v>0</v>
      </c>
      <c r="N3754" s="3" t="s">
        <v>2350</v>
      </c>
    </row>
    <row r="3755" spans="1:14" x14ac:dyDescent="0.25">
      <c r="A3755" s="1" t="s">
        <v>12552</v>
      </c>
      <c r="B3755" s="3" t="s">
        <v>7379</v>
      </c>
      <c r="C3755" s="2">
        <f ca="1">IF(ISNUMBER(SEARCH(Лист2!$B$4,D:D)),MAX($C$3:OFFSET(C3755,-1,0))+1,0)</f>
        <v>0</v>
      </c>
      <c r="E3755" s="9" t="str">
        <f t="shared" ca="1" si="70"/>
        <v/>
      </c>
      <c r="F3755" s="4" t="s">
        <v>14</v>
      </c>
      <c r="G3755" s="2">
        <f>IF(ISNUMBER(SEARCH(Лист2!$B$4,F:F)),1,0)</f>
        <v>0</v>
      </c>
      <c r="H3755" s="3">
        <f ca="1">IF(AND(I3755&lt;&gt;I3754,ISNUMBER(SEARCH(Лист2!$B$5,I:I)),G3755=1),MAX($H$3:OFFSET(H3755,-1,0))+1,0)</f>
        <v>0</v>
      </c>
      <c r="I3755" s="3" t="s">
        <v>323</v>
      </c>
      <c r="K3755" s="2">
        <f>IF(ISNUMBER(SEARCH(Лист2!$B$4,F:F)),1,0)</f>
        <v>0</v>
      </c>
      <c r="L3755" s="14">
        <f>IF(ISNUMBER(SEARCH(Лист2!$B$5,I:I)),1,0)+K3755</f>
        <v>0</v>
      </c>
      <c r="M3755" s="3">
        <f ca="1">IF(AND(N3755&lt;&gt;N3754,ISNUMBER(SEARCH(Лист2!$B$6,N:N)),L3755=2),MAX($M$3:OFFSET(M3755,-1,0))+1,0)</f>
        <v>0</v>
      </c>
      <c r="N3755" s="3" t="s">
        <v>2351</v>
      </c>
    </row>
    <row r="3756" spans="1:14" x14ac:dyDescent="0.25">
      <c r="A3756" s="1" t="s">
        <v>12553</v>
      </c>
      <c r="B3756" s="3" t="s">
        <v>7380</v>
      </c>
      <c r="C3756" s="2">
        <f ca="1">IF(ISNUMBER(SEARCH(Лист2!$B$4,D:D)),MAX($C$3:OFFSET(C3756,-1,0))+1,0)</f>
        <v>0</v>
      </c>
      <c r="E3756" s="9" t="str">
        <f t="shared" ca="1" si="70"/>
        <v/>
      </c>
      <c r="F3756" s="4" t="s">
        <v>14</v>
      </c>
      <c r="G3756" s="2">
        <f>IF(ISNUMBER(SEARCH(Лист2!$B$4,F:F)),1,0)</f>
        <v>0</v>
      </c>
      <c r="H3756" s="3">
        <f ca="1">IF(AND(I3756&lt;&gt;I3755,ISNUMBER(SEARCH(Лист2!$B$5,I:I)),G3756=1),MAX($H$3:OFFSET(H3756,-1,0))+1,0)</f>
        <v>0</v>
      </c>
      <c r="I3756" s="3" t="s">
        <v>323</v>
      </c>
      <c r="K3756" s="2">
        <f>IF(ISNUMBER(SEARCH(Лист2!$B$4,F:F)),1,0)</f>
        <v>0</v>
      </c>
      <c r="L3756" s="14">
        <f>IF(ISNUMBER(SEARCH(Лист2!$B$5,I:I)),1,0)+K3756</f>
        <v>0</v>
      </c>
      <c r="M3756" s="3">
        <f ca="1">IF(AND(N3756&lt;&gt;N3755,ISNUMBER(SEARCH(Лист2!$B$6,N:N)),L3756=2),MAX($M$3:OFFSET(M3756,-1,0))+1,0)</f>
        <v>0</v>
      </c>
      <c r="N3756" s="3" t="s">
        <v>2352</v>
      </c>
    </row>
    <row r="3757" spans="1:14" x14ac:dyDescent="0.25">
      <c r="A3757" s="1" t="s">
        <v>12554</v>
      </c>
      <c r="B3757" s="3" t="s">
        <v>7381</v>
      </c>
      <c r="C3757" s="2">
        <f ca="1">IF(ISNUMBER(SEARCH(Лист2!$B$4,D:D)),MAX($C$3:OFFSET(C3757,-1,0))+1,0)</f>
        <v>0</v>
      </c>
      <c r="E3757" s="9" t="str">
        <f t="shared" ca="1" si="70"/>
        <v/>
      </c>
      <c r="F3757" s="4" t="s">
        <v>14</v>
      </c>
      <c r="G3757" s="2">
        <f>IF(ISNUMBER(SEARCH(Лист2!$B$4,F:F)),1,0)</f>
        <v>0</v>
      </c>
      <c r="H3757" s="3">
        <f ca="1">IF(AND(I3757&lt;&gt;I3756,ISNUMBER(SEARCH(Лист2!$B$5,I:I)),G3757=1),MAX($H$3:OFFSET(H3757,-1,0))+1,0)</f>
        <v>0</v>
      </c>
      <c r="I3757" s="3" t="s">
        <v>323</v>
      </c>
      <c r="K3757" s="2">
        <f>IF(ISNUMBER(SEARCH(Лист2!$B$4,F:F)),1,0)</f>
        <v>0</v>
      </c>
      <c r="L3757" s="14">
        <f>IF(ISNUMBER(SEARCH(Лист2!$B$5,I:I)),1,0)+K3757</f>
        <v>0</v>
      </c>
      <c r="M3757" s="3">
        <f ca="1">IF(AND(N3757&lt;&gt;N3756,ISNUMBER(SEARCH(Лист2!$B$6,N:N)),L3757=2),MAX($M$3:OFFSET(M3757,-1,0))+1,0)</f>
        <v>0</v>
      </c>
      <c r="N3757" s="3" t="s">
        <v>2353</v>
      </c>
    </row>
    <row r="3758" spans="1:14" x14ac:dyDescent="0.25">
      <c r="A3758" s="1" t="s">
        <v>12555</v>
      </c>
      <c r="B3758" s="3" t="s">
        <v>7382</v>
      </c>
      <c r="C3758" s="2">
        <f ca="1">IF(ISNUMBER(SEARCH(Лист2!$B$4,D:D)),MAX($C$3:OFFSET(C3758,-1,0))+1,0)</f>
        <v>0</v>
      </c>
      <c r="E3758" s="9" t="str">
        <f t="shared" ca="1" si="70"/>
        <v/>
      </c>
      <c r="F3758" s="4" t="s">
        <v>14</v>
      </c>
      <c r="G3758" s="2">
        <f>IF(ISNUMBER(SEARCH(Лист2!$B$4,F:F)),1,0)</f>
        <v>0</v>
      </c>
      <c r="H3758" s="3">
        <f ca="1">IF(AND(I3758&lt;&gt;I3757,ISNUMBER(SEARCH(Лист2!$B$5,I:I)),G3758=1),MAX($H$3:OFFSET(H3758,-1,0))+1,0)</f>
        <v>0</v>
      </c>
      <c r="I3758" s="3" t="s">
        <v>323</v>
      </c>
      <c r="K3758" s="2">
        <f>IF(ISNUMBER(SEARCH(Лист2!$B$4,F:F)),1,0)</f>
        <v>0</v>
      </c>
      <c r="L3758" s="14">
        <f>IF(ISNUMBER(SEARCH(Лист2!$B$5,I:I)),1,0)+K3758</f>
        <v>0</v>
      </c>
      <c r="M3758" s="3">
        <f ca="1">IF(AND(N3758&lt;&gt;N3757,ISNUMBER(SEARCH(Лист2!$B$6,N:N)),L3758=2),MAX($M$3:OFFSET(M3758,-1,0))+1,0)</f>
        <v>0</v>
      </c>
      <c r="N3758" s="3" t="s">
        <v>602</v>
      </c>
    </row>
    <row r="3759" spans="1:14" x14ac:dyDescent="0.25">
      <c r="A3759" s="1" t="s">
        <v>12556</v>
      </c>
      <c r="B3759" s="3" t="s">
        <v>7383</v>
      </c>
      <c r="C3759" s="2">
        <f ca="1">IF(ISNUMBER(SEARCH(Лист2!$B$4,D:D)),MAX($C$3:OFFSET(C3759,-1,0))+1,0)</f>
        <v>0</v>
      </c>
      <c r="E3759" s="9" t="str">
        <f t="shared" ca="1" si="70"/>
        <v/>
      </c>
      <c r="F3759" s="4" t="s">
        <v>14</v>
      </c>
      <c r="G3759" s="2">
        <f>IF(ISNUMBER(SEARCH(Лист2!$B$4,F:F)),1,0)</f>
        <v>0</v>
      </c>
      <c r="H3759" s="3">
        <f ca="1">IF(AND(I3759&lt;&gt;I3758,ISNUMBER(SEARCH(Лист2!$B$5,I:I)),G3759=1),MAX($H$3:OFFSET(H3759,-1,0))+1,0)</f>
        <v>0</v>
      </c>
      <c r="I3759" s="3" t="s">
        <v>324</v>
      </c>
      <c r="K3759" s="2">
        <f>IF(ISNUMBER(SEARCH(Лист2!$B$4,F:F)),1,0)</f>
        <v>0</v>
      </c>
      <c r="L3759" s="14">
        <f>IF(ISNUMBER(SEARCH(Лист2!$B$5,I:I)),1,0)+K3759</f>
        <v>0</v>
      </c>
      <c r="M3759" s="3">
        <f ca="1">IF(AND(N3759&lt;&gt;N3758,ISNUMBER(SEARCH(Лист2!$B$6,N:N)),L3759=2),MAX($M$3:OFFSET(M3759,-1,0))+1,0)</f>
        <v>0</v>
      </c>
      <c r="N3759" s="3" t="s">
        <v>2354</v>
      </c>
    </row>
    <row r="3760" spans="1:14" x14ac:dyDescent="0.25">
      <c r="A3760" s="1" t="s">
        <v>12557</v>
      </c>
      <c r="B3760" s="3" t="s">
        <v>7384</v>
      </c>
      <c r="C3760" s="2">
        <f ca="1">IF(ISNUMBER(SEARCH(Лист2!$B$4,D:D)),MAX($C$3:OFFSET(C3760,-1,0))+1,0)</f>
        <v>0</v>
      </c>
      <c r="E3760" s="9" t="str">
        <f t="shared" ca="1" si="70"/>
        <v/>
      </c>
      <c r="F3760" s="4" t="s">
        <v>14</v>
      </c>
      <c r="G3760" s="2">
        <f>IF(ISNUMBER(SEARCH(Лист2!$B$4,F:F)),1,0)</f>
        <v>0</v>
      </c>
      <c r="H3760" s="3">
        <f ca="1">IF(AND(I3760&lt;&gt;I3759,ISNUMBER(SEARCH(Лист2!$B$5,I:I)),G3760=1),MAX($H$3:OFFSET(H3760,-1,0))+1,0)</f>
        <v>0</v>
      </c>
      <c r="I3760" s="3" t="s">
        <v>324</v>
      </c>
      <c r="K3760" s="2">
        <f>IF(ISNUMBER(SEARCH(Лист2!$B$4,F:F)),1,0)</f>
        <v>0</v>
      </c>
      <c r="L3760" s="14">
        <f>IF(ISNUMBER(SEARCH(Лист2!$B$5,I:I)),1,0)+K3760</f>
        <v>0</v>
      </c>
      <c r="M3760" s="3">
        <f ca="1">IF(AND(N3760&lt;&gt;N3759,ISNUMBER(SEARCH(Лист2!$B$6,N:N)),L3760=2),MAX($M$3:OFFSET(M3760,-1,0))+1,0)</f>
        <v>0</v>
      </c>
      <c r="N3760" s="3" t="s">
        <v>2355</v>
      </c>
    </row>
    <row r="3761" spans="1:14" x14ac:dyDescent="0.25">
      <c r="A3761" s="1" t="s">
        <v>12558</v>
      </c>
      <c r="B3761" s="3" t="s">
        <v>7385</v>
      </c>
      <c r="C3761" s="2">
        <f ca="1">IF(ISNUMBER(SEARCH(Лист2!$B$4,D:D)),MAX($C$3:OFFSET(C3761,-1,0))+1,0)</f>
        <v>0</v>
      </c>
      <c r="E3761" s="9" t="str">
        <f t="shared" ca="1" si="70"/>
        <v/>
      </c>
      <c r="F3761" s="4" t="s">
        <v>14</v>
      </c>
      <c r="G3761" s="2">
        <f>IF(ISNUMBER(SEARCH(Лист2!$B$4,F:F)),1,0)</f>
        <v>0</v>
      </c>
      <c r="H3761" s="3">
        <f ca="1">IF(AND(I3761&lt;&gt;I3760,ISNUMBER(SEARCH(Лист2!$B$5,I:I)),G3761=1),MAX($H$3:OFFSET(H3761,-1,0))+1,0)</f>
        <v>0</v>
      </c>
      <c r="I3761" s="3" t="s">
        <v>324</v>
      </c>
      <c r="K3761" s="2">
        <f>IF(ISNUMBER(SEARCH(Лист2!$B$4,F:F)),1,0)</f>
        <v>0</v>
      </c>
      <c r="L3761" s="14">
        <f>IF(ISNUMBER(SEARCH(Лист2!$B$5,I:I)),1,0)+K3761</f>
        <v>0</v>
      </c>
      <c r="M3761" s="3">
        <f ca="1">IF(AND(N3761&lt;&gt;N3760,ISNUMBER(SEARCH(Лист2!$B$6,N:N)),L3761=2),MAX($M$3:OFFSET(M3761,-1,0))+1,0)</f>
        <v>0</v>
      </c>
      <c r="N3761" s="3" t="s">
        <v>2356</v>
      </c>
    </row>
    <row r="3762" spans="1:14" x14ac:dyDescent="0.25">
      <c r="A3762" s="1" t="s">
        <v>12559</v>
      </c>
      <c r="B3762" s="3" t="s">
        <v>7386</v>
      </c>
      <c r="C3762" s="2">
        <f ca="1">IF(ISNUMBER(SEARCH(Лист2!$B$4,D:D)),MAX($C$3:OFFSET(C3762,-1,0))+1,0)</f>
        <v>0</v>
      </c>
      <c r="E3762" s="9" t="str">
        <f t="shared" ca="1" si="70"/>
        <v/>
      </c>
      <c r="F3762" s="4" t="s">
        <v>14</v>
      </c>
      <c r="G3762" s="2">
        <f>IF(ISNUMBER(SEARCH(Лист2!$B$4,F:F)),1,0)</f>
        <v>0</v>
      </c>
      <c r="H3762" s="3">
        <f ca="1">IF(AND(I3762&lt;&gt;I3761,ISNUMBER(SEARCH(Лист2!$B$5,I:I)),G3762=1),MAX($H$3:OFFSET(H3762,-1,0))+1,0)</f>
        <v>0</v>
      </c>
      <c r="I3762" s="3" t="s">
        <v>324</v>
      </c>
      <c r="K3762" s="2">
        <f>IF(ISNUMBER(SEARCH(Лист2!$B$4,F:F)),1,0)</f>
        <v>0</v>
      </c>
      <c r="L3762" s="14">
        <f>IF(ISNUMBER(SEARCH(Лист2!$B$5,I:I)),1,0)+K3762</f>
        <v>0</v>
      </c>
      <c r="M3762" s="3">
        <f ca="1">IF(AND(N3762&lt;&gt;N3761,ISNUMBER(SEARCH(Лист2!$B$6,N:N)),L3762=2),MAX($M$3:OFFSET(M3762,-1,0))+1,0)</f>
        <v>0</v>
      </c>
      <c r="N3762" s="3" t="s">
        <v>2357</v>
      </c>
    </row>
    <row r="3763" spans="1:14" x14ac:dyDescent="0.25">
      <c r="A3763" s="1" t="s">
        <v>12560</v>
      </c>
      <c r="B3763" s="3" t="s">
        <v>7387</v>
      </c>
      <c r="C3763" s="2">
        <f ca="1">IF(ISNUMBER(SEARCH(Лист2!$B$4,D:D)),MAX($C$3:OFFSET(C3763,-1,0))+1,0)</f>
        <v>0</v>
      </c>
      <c r="E3763" s="9" t="str">
        <f t="shared" ca="1" si="70"/>
        <v/>
      </c>
      <c r="F3763" s="4" t="s">
        <v>14</v>
      </c>
      <c r="G3763" s="2">
        <f>IF(ISNUMBER(SEARCH(Лист2!$B$4,F:F)),1,0)</f>
        <v>0</v>
      </c>
      <c r="H3763" s="3">
        <f ca="1">IF(AND(I3763&lt;&gt;I3762,ISNUMBER(SEARCH(Лист2!$B$5,I:I)),G3763=1),MAX($H$3:OFFSET(H3763,-1,0))+1,0)</f>
        <v>0</v>
      </c>
      <c r="I3763" s="3" t="s">
        <v>324</v>
      </c>
      <c r="K3763" s="2">
        <f>IF(ISNUMBER(SEARCH(Лист2!$B$4,F:F)),1,0)</f>
        <v>0</v>
      </c>
      <c r="L3763" s="14">
        <f>IF(ISNUMBER(SEARCH(Лист2!$B$5,I:I)),1,0)+K3763</f>
        <v>0</v>
      </c>
      <c r="M3763" s="3">
        <f ca="1">IF(AND(N3763&lt;&gt;N3762,ISNUMBER(SEARCH(Лист2!$B$6,N:N)),L3763=2),MAX($M$3:OFFSET(M3763,-1,0))+1,0)</f>
        <v>0</v>
      </c>
      <c r="N3763" s="3" t="s">
        <v>2358</v>
      </c>
    </row>
    <row r="3764" spans="1:14" x14ac:dyDescent="0.25">
      <c r="A3764" s="1" t="s">
        <v>12561</v>
      </c>
      <c r="B3764" s="3" t="s">
        <v>7388</v>
      </c>
      <c r="C3764" s="2">
        <f ca="1">IF(ISNUMBER(SEARCH(Лист2!$B$4,D:D)),MAX($C$3:OFFSET(C3764,-1,0))+1,0)</f>
        <v>0</v>
      </c>
      <c r="E3764" s="9" t="str">
        <f t="shared" ca="1" si="70"/>
        <v/>
      </c>
      <c r="F3764" s="4" t="s">
        <v>14</v>
      </c>
      <c r="G3764" s="2">
        <f>IF(ISNUMBER(SEARCH(Лист2!$B$4,F:F)),1,0)</f>
        <v>0</v>
      </c>
      <c r="H3764" s="3">
        <f ca="1">IF(AND(I3764&lt;&gt;I3763,ISNUMBER(SEARCH(Лист2!$B$5,I:I)),G3764=1),MAX($H$3:OFFSET(H3764,-1,0))+1,0)</f>
        <v>0</v>
      </c>
      <c r="I3764" s="3" t="s">
        <v>324</v>
      </c>
      <c r="K3764" s="2">
        <f>IF(ISNUMBER(SEARCH(Лист2!$B$4,F:F)),1,0)</f>
        <v>0</v>
      </c>
      <c r="L3764" s="14">
        <f>IF(ISNUMBER(SEARCH(Лист2!$B$5,I:I)),1,0)+K3764</f>
        <v>0</v>
      </c>
      <c r="M3764" s="3">
        <f ca="1">IF(AND(N3764&lt;&gt;N3763,ISNUMBER(SEARCH(Лист2!$B$6,N:N)),L3764=2),MAX($M$3:OFFSET(M3764,-1,0))+1,0)</f>
        <v>0</v>
      </c>
      <c r="N3764" s="3" t="s">
        <v>2359</v>
      </c>
    </row>
    <row r="3765" spans="1:14" x14ac:dyDescent="0.25">
      <c r="A3765" s="1" t="s">
        <v>12562</v>
      </c>
      <c r="B3765" s="3" t="s">
        <v>7389</v>
      </c>
      <c r="C3765" s="2">
        <f ca="1">IF(ISNUMBER(SEARCH(Лист2!$B$4,D:D)),MAX($C$3:OFFSET(C3765,-1,0))+1,0)</f>
        <v>0</v>
      </c>
      <c r="E3765" s="9" t="str">
        <f t="shared" ca="1" si="70"/>
        <v/>
      </c>
      <c r="F3765" s="4" t="s">
        <v>14</v>
      </c>
      <c r="G3765" s="2">
        <f>IF(ISNUMBER(SEARCH(Лист2!$B$4,F:F)),1,0)</f>
        <v>0</v>
      </c>
      <c r="H3765" s="3">
        <f ca="1">IF(AND(I3765&lt;&gt;I3764,ISNUMBER(SEARCH(Лист2!$B$5,I:I)),G3765=1),MAX($H$3:OFFSET(H3765,-1,0))+1,0)</f>
        <v>0</v>
      </c>
      <c r="I3765" s="3" t="s">
        <v>324</v>
      </c>
      <c r="K3765" s="2">
        <f>IF(ISNUMBER(SEARCH(Лист2!$B$4,F:F)),1,0)</f>
        <v>0</v>
      </c>
      <c r="L3765" s="14">
        <f>IF(ISNUMBER(SEARCH(Лист2!$B$5,I:I)),1,0)+K3765</f>
        <v>0</v>
      </c>
      <c r="M3765" s="3">
        <f ca="1">IF(AND(N3765&lt;&gt;N3764,ISNUMBER(SEARCH(Лист2!$B$6,N:N)),L3765=2),MAX($M$3:OFFSET(M3765,-1,0))+1,0)</f>
        <v>0</v>
      </c>
      <c r="N3765" s="3" t="s">
        <v>2170</v>
      </c>
    </row>
    <row r="3766" spans="1:14" x14ac:dyDescent="0.25">
      <c r="A3766" s="1" t="s">
        <v>12563</v>
      </c>
      <c r="B3766" s="3" t="s">
        <v>7390</v>
      </c>
      <c r="C3766" s="2">
        <f ca="1">IF(ISNUMBER(SEARCH(Лист2!$B$4,D:D)),MAX($C$3:OFFSET(C3766,-1,0))+1,0)</f>
        <v>0</v>
      </c>
      <c r="E3766" s="9" t="str">
        <f t="shared" ca="1" si="70"/>
        <v/>
      </c>
      <c r="F3766" s="4" t="s">
        <v>14</v>
      </c>
      <c r="G3766" s="2">
        <f>IF(ISNUMBER(SEARCH(Лист2!$B$4,F:F)),1,0)</f>
        <v>0</v>
      </c>
      <c r="H3766" s="3">
        <f ca="1">IF(AND(I3766&lt;&gt;I3765,ISNUMBER(SEARCH(Лист2!$B$5,I:I)),G3766=1),MAX($H$3:OFFSET(H3766,-1,0))+1,0)</f>
        <v>0</v>
      </c>
      <c r="I3766" s="3" t="s">
        <v>324</v>
      </c>
      <c r="K3766" s="2">
        <f>IF(ISNUMBER(SEARCH(Лист2!$B$4,F:F)),1,0)</f>
        <v>0</v>
      </c>
      <c r="L3766" s="14">
        <f>IF(ISNUMBER(SEARCH(Лист2!$B$5,I:I)),1,0)+K3766</f>
        <v>0</v>
      </c>
      <c r="M3766" s="3">
        <f ca="1">IF(AND(N3766&lt;&gt;N3765,ISNUMBER(SEARCH(Лист2!$B$6,N:N)),L3766=2),MAX($M$3:OFFSET(M3766,-1,0))+1,0)</f>
        <v>0</v>
      </c>
      <c r="N3766" s="3" t="s">
        <v>2360</v>
      </c>
    </row>
    <row r="3767" spans="1:14" x14ac:dyDescent="0.25">
      <c r="A3767" s="1" t="s">
        <v>12564</v>
      </c>
      <c r="B3767" s="3" t="s">
        <v>7391</v>
      </c>
      <c r="C3767" s="2">
        <f ca="1">IF(ISNUMBER(SEARCH(Лист2!$B$4,D:D)),MAX($C$3:OFFSET(C3767,-1,0))+1,0)</f>
        <v>0</v>
      </c>
      <c r="E3767" s="9" t="str">
        <f t="shared" ca="1" si="70"/>
        <v/>
      </c>
      <c r="F3767" s="4" t="s">
        <v>14</v>
      </c>
      <c r="G3767" s="2">
        <f>IF(ISNUMBER(SEARCH(Лист2!$B$4,F:F)),1,0)</f>
        <v>0</v>
      </c>
      <c r="H3767" s="3">
        <f ca="1">IF(AND(I3767&lt;&gt;I3766,ISNUMBER(SEARCH(Лист2!$B$5,I:I)),G3767=1),MAX($H$3:OFFSET(H3767,-1,0))+1,0)</f>
        <v>0</v>
      </c>
      <c r="I3767" s="3" t="s">
        <v>324</v>
      </c>
      <c r="K3767" s="2">
        <f>IF(ISNUMBER(SEARCH(Лист2!$B$4,F:F)),1,0)</f>
        <v>0</v>
      </c>
      <c r="L3767" s="14">
        <f>IF(ISNUMBER(SEARCH(Лист2!$B$5,I:I)),1,0)+K3767</f>
        <v>0</v>
      </c>
      <c r="M3767" s="3">
        <f ca="1">IF(AND(N3767&lt;&gt;N3766,ISNUMBER(SEARCH(Лист2!$B$6,N:N)),L3767=2),MAX($M$3:OFFSET(M3767,-1,0))+1,0)</f>
        <v>0</v>
      </c>
      <c r="N3767" s="3" t="s">
        <v>602</v>
      </c>
    </row>
    <row r="3768" spans="1:14" x14ac:dyDescent="0.25">
      <c r="A3768" s="1" t="s">
        <v>12565</v>
      </c>
      <c r="B3768" s="3" t="s">
        <v>7392</v>
      </c>
      <c r="C3768" s="2">
        <f ca="1">IF(ISNUMBER(SEARCH(Лист2!$B$4,D:D)),MAX($C$3:OFFSET(C3768,-1,0))+1,0)</f>
        <v>0</v>
      </c>
      <c r="E3768" s="9" t="str">
        <f t="shared" ca="1" si="70"/>
        <v/>
      </c>
      <c r="F3768" s="4" t="s">
        <v>14</v>
      </c>
      <c r="G3768" s="2">
        <f>IF(ISNUMBER(SEARCH(Лист2!$B$4,F:F)),1,0)</f>
        <v>0</v>
      </c>
      <c r="H3768" s="3">
        <f ca="1">IF(AND(I3768&lt;&gt;I3767,ISNUMBER(SEARCH(Лист2!$B$5,I:I)),G3768=1),MAX($H$3:OFFSET(H3768,-1,0))+1,0)</f>
        <v>0</v>
      </c>
      <c r="I3768" s="3" t="s">
        <v>324</v>
      </c>
      <c r="K3768" s="2">
        <f>IF(ISNUMBER(SEARCH(Лист2!$B$4,F:F)),1,0)</f>
        <v>0</v>
      </c>
      <c r="L3768" s="14">
        <f>IF(ISNUMBER(SEARCH(Лист2!$B$5,I:I)),1,0)+K3768</f>
        <v>0</v>
      </c>
      <c r="M3768" s="3">
        <f ca="1">IF(AND(N3768&lt;&gt;N3767,ISNUMBER(SEARCH(Лист2!$B$6,N:N)),L3768=2),MAX($M$3:OFFSET(M3768,-1,0))+1,0)</f>
        <v>0</v>
      </c>
      <c r="N3768" s="3" t="s">
        <v>2361</v>
      </c>
    </row>
    <row r="3769" spans="1:14" x14ac:dyDescent="0.25">
      <c r="A3769" s="1" t="s">
        <v>12566</v>
      </c>
      <c r="B3769" s="3" t="s">
        <v>7393</v>
      </c>
      <c r="C3769" s="2">
        <f ca="1">IF(ISNUMBER(SEARCH(Лист2!$B$4,D:D)),MAX($C$3:OFFSET(C3769,-1,0))+1,0)</f>
        <v>0</v>
      </c>
      <c r="E3769" s="9" t="str">
        <f t="shared" ca="1" si="70"/>
        <v/>
      </c>
      <c r="F3769" s="4" t="s">
        <v>14</v>
      </c>
      <c r="G3769" s="2">
        <f>IF(ISNUMBER(SEARCH(Лист2!$B$4,F:F)),1,0)</f>
        <v>0</v>
      </c>
      <c r="H3769" s="3">
        <f ca="1">IF(AND(I3769&lt;&gt;I3768,ISNUMBER(SEARCH(Лист2!$B$5,I:I)),G3769=1),MAX($H$3:OFFSET(H3769,-1,0))+1,0)</f>
        <v>0</v>
      </c>
      <c r="I3769" s="3" t="s">
        <v>325</v>
      </c>
      <c r="K3769" s="2">
        <f>IF(ISNUMBER(SEARCH(Лист2!$B$4,F:F)),1,0)</f>
        <v>0</v>
      </c>
      <c r="L3769" s="14">
        <f>IF(ISNUMBER(SEARCH(Лист2!$B$5,I:I)),1,0)+K3769</f>
        <v>0</v>
      </c>
      <c r="M3769" s="3">
        <f ca="1">IF(AND(N3769&lt;&gt;N3768,ISNUMBER(SEARCH(Лист2!$B$6,N:N)),L3769=2),MAX($M$3:OFFSET(M3769,-1,0))+1,0)</f>
        <v>0</v>
      </c>
      <c r="N3769" s="3" t="s">
        <v>2362</v>
      </c>
    </row>
    <row r="3770" spans="1:14" x14ac:dyDescent="0.25">
      <c r="A3770" s="1" t="s">
        <v>12567</v>
      </c>
      <c r="B3770" s="3" t="s">
        <v>7394</v>
      </c>
      <c r="C3770" s="2">
        <f ca="1">IF(ISNUMBER(SEARCH(Лист2!$B$4,D:D)),MAX($C$3:OFFSET(C3770,-1,0))+1,0)</f>
        <v>0</v>
      </c>
      <c r="E3770" s="9" t="str">
        <f t="shared" ca="1" si="70"/>
        <v/>
      </c>
      <c r="F3770" s="4" t="s">
        <v>14</v>
      </c>
      <c r="G3770" s="2">
        <f>IF(ISNUMBER(SEARCH(Лист2!$B$4,F:F)),1,0)</f>
        <v>0</v>
      </c>
      <c r="H3770" s="3">
        <f ca="1">IF(AND(I3770&lt;&gt;I3769,ISNUMBER(SEARCH(Лист2!$B$5,I:I)),G3770=1),MAX($H$3:OFFSET(H3770,-1,0))+1,0)</f>
        <v>0</v>
      </c>
      <c r="I3770" s="3" t="s">
        <v>325</v>
      </c>
      <c r="K3770" s="2">
        <f>IF(ISNUMBER(SEARCH(Лист2!$B$4,F:F)),1,0)</f>
        <v>0</v>
      </c>
      <c r="L3770" s="14">
        <f>IF(ISNUMBER(SEARCH(Лист2!$B$5,I:I)),1,0)+K3770</f>
        <v>0</v>
      </c>
      <c r="M3770" s="3">
        <f ca="1">IF(AND(N3770&lt;&gt;N3769,ISNUMBER(SEARCH(Лист2!$B$6,N:N)),L3770=2),MAX($M$3:OFFSET(M3770,-1,0))+1,0)</f>
        <v>0</v>
      </c>
      <c r="N3770" s="3" t="s">
        <v>2363</v>
      </c>
    </row>
    <row r="3771" spans="1:14" x14ac:dyDescent="0.25">
      <c r="A3771" s="1" t="s">
        <v>12568</v>
      </c>
      <c r="B3771" s="3" t="s">
        <v>7395</v>
      </c>
      <c r="C3771" s="2">
        <f ca="1">IF(ISNUMBER(SEARCH(Лист2!$B$4,D:D)),MAX($C$3:OFFSET(C3771,-1,0))+1,0)</f>
        <v>0</v>
      </c>
      <c r="E3771" s="9" t="str">
        <f t="shared" ca="1" si="70"/>
        <v/>
      </c>
      <c r="F3771" s="4" t="s">
        <v>14</v>
      </c>
      <c r="G3771" s="2">
        <f>IF(ISNUMBER(SEARCH(Лист2!$B$4,F:F)),1,0)</f>
        <v>0</v>
      </c>
      <c r="H3771" s="3">
        <f ca="1">IF(AND(I3771&lt;&gt;I3770,ISNUMBER(SEARCH(Лист2!$B$5,I:I)),G3771=1),MAX($H$3:OFFSET(H3771,-1,0))+1,0)</f>
        <v>0</v>
      </c>
      <c r="I3771" s="3" t="s">
        <v>325</v>
      </c>
      <c r="K3771" s="2">
        <f>IF(ISNUMBER(SEARCH(Лист2!$B$4,F:F)),1,0)</f>
        <v>0</v>
      </c>
      <c r="L3771" s="14">
        <f>IF(ISNUMBER(SEARCH(Лист2!$B$5,I:I)),1,0)+K3771</f>
        <v>0</v>
      </c>
      <c r="M3771" s="3">
        <f ca="1">IF(AND(N3771&lt;&gt;N3770,ISNUMBER(SEARCH(Лист2!$B$6,N:N)),L3771=2),MAX($M$3:OFFSET(M3771,-1,0))+1,0)</f>
        <v>0</v>
      </c>
      <c r="N3771" s="3" t="s">
        <v>2364</v>
      </c>
    </row>
    <row r="3772" spans="1:14" x14ac:dyDescent="0.25">
      <c r="A3772" s="1" t="s">
        <v>12569</v>
      </c>
      <c r="B3772" s="3" t="s">
        <v>7396</v>
      </c>
      <c r="C3772" s="2">
        <f ca="1">IF(ISNUMBER(SEARCH(Лист2!$B$4,D:D)),MAX($C$3:OFFSET(C3772,-1,0))+1,0)</f>
        <v>0</v>
      </c>
      <c r="E3772" s="9" t="str">
        <f t="shared" ca="1" si="70"/>
        <v/>
      </c>
      <c r="F3772" s="4" t="s">
        <v>14</v>
      </c>
      <c r="G3772" s="2">
        <f>IF(ISNUMBER(SEARCH(Лист2!$B$4,F:F)),1,0)</f>
        <v>0</v>
      </c>
      <c r="H3772" s="3">
        <f ca="1">IF(AND(I3772&lt;&gt;I3771,ISNUMBER(SEARCH(Лист2!$B$5,I:I)),G3772=1),MAX($H$3:OFFSET(H3772,-1,0))+1,0)</f>
        <v>0</v>
      </c>
      <c r="I3772" s="3" t="s">
        <v>325</v>
      </c>
      <c r="K3772" s="2">
        <f>IF(ISNUMBER(SEARCH(Лист2!$B$4,F:F)),1,0)</f>
        <v>0</v>
      </c>
      <c r="L3772" s="14">
        <f>IF(ISNUMBER(SEARCH(Лист2!$B$5,I:I)),1,0)+K3772</f>
        <v>0</v>
      </c>
      <c r="M3772" s="3">
        <f ca="1">IF(AND(N3772&lt;&gt;N3771,ISNUMBER(SEARCH(Лист2!$B$6,N:N)),L3772=2),MAX($M$3:OFFSET(M3772,-1,0))+1,0)</f>
        <v>0</v>
      </c>
      <c r="N3772" s="3" t="s">
        <v>2365</v>
      </c>
    </row>
    <row r="3773" spans="1:14" x14ac:dyDescent="0.25">
      <c r="A3773" s="1" t="s">
        <v>12570</v>
      </c>
      <c r="B3773" s="3" t="s">
        <v>7397</v>
      </c>
      <c r="C3773" s="2">
        <f ca="1">IF(ISNUMBER(SEARCH(Лист2!$B$4,D:D)),MAX($C$3:OFFSET(C3773,-1,0))+1,0)</f>
        <v>0</v>
      </c>
      <c r="E3773" s="9" t="str">
        <f t="shared" ca="1" si="70"/>
        <v/>
      </c>
      <c r="F3773" s="4" t="s">
        <v>14</v>
      </c>
      <c r="G3773" s="2">
        <f>IF(ISNUMBER(SEARCH(Лист2!$B$4,F:F)),1,0)</f>
        <v>0</v>
      </c>
      <c r="H3773" s="3">
        <f ca="1">IF(AND(I3773&lt;&gt;I3772,ISNUMBER(SEARCH(Лист2!$B$5,I:I)),G3773=1),MAX($H$3:OFFSET(H3773,-1,0))+1,0)</f>
        <v>0</v>
      </c>
      <c r="I3773" s="3" t="s">
        <v>325</v>
      </c>
      <c r="K3773" s="2">
        <f>IF(ISNUMBER(SEARCH(Лист2!$B$4,F:F)),1,0)</f>
        <v>0</v>
      </c>
      <c r="L3773" s="14">
        <f>IF(ISNUMBER(SEARCH(Лист2!$B$5,I:I)),1,0)+K3773</f>
        <v>0</v>
      </c>
      <c r="M3773" s="3">
        <f ca="1">IF(AND(N3773&lt;&gt;N3772,ISNUMBER(SEARCH(Лист2!$B$6,N:N)),L3773=2),MAX($M$3:OFFSET(M3773,-1,0))+1,0)</f>
        <v>0</v>
      </c>
      <c r="N3773" s="3" t="s">
        <v>2366</v>
      </c>
    </row>
    <row r="3774" spans="1:14" x14ac:dyDescent="0.25">
      <c r="A3774" s="1" t="s">
        <v>12571</v>
      </c>
      <c r="B3774" s="3" t="s">
        <v>7398</v>
      </c>
      <c r="C3774" s="2">
        <f ca="1">IF(ISNUMBER(SEARCH(Лист2!$B$4,D:D)),MAX($C$3:OFFSET(C3774,-1,0))+1,0)</f>
        <v>0</v>
      </c>
      <c r="E3774" s="9" t="str">
        <f t="shared" ca="1" si="70"/>
        <v/>
      </c>
      <c r="F3774" s="4" t="s">
        <v>14</v>
      </c>
      <c r="G3774" s="2">
        <f>IF(ISNUMBER(SEARCH(Лист2!$B$4,F:F)),1,0)</f>
        <v>0</v>
      </c>
      <c r="H3774" s="3">
        <f ca="1">IF(AND(I3774&lt;&gt;I3773,ISNUMBER(SEARCH(Лист2!$B$5,I:I)),G3774=1),MAX($H$3:OFFSET(H3774,-1,0))+1,0)</f>
        <v>0</v>
      </c>
      <c r="I3774" s="3" t="s">
        <v>325</v>
      </c>
      <c r="K3774" s="2">
        <f>IF(ISNUMBER(SEARCH(Лист2!$B$4,F:F)),1,0)</f>
        <v>0</v>
      </c>
      <c r="L3774" s="14">
        <f>IF(ISNUMBER(SEARCH(Лист2!$B$5,I:I)),1,0)+K3774</f>
        <v>0</v>
      </c>
      <c r="M3774" s="3">
        <f ca="1">IF(AND(N3774&lt;&gt;N3773,ISNUMBER(SEARCH(Лист2!$B$6,N:N)),L3774=2),MAX($M$3:OFFSET(M3774,-1,0))+1,0)</f>
        <v>0</v>
      </c>
      <c r="N3774" s="3" t="s">
        <v>2367</v>
      </c>
    </row>
    <row r="3775" spans="1:14" x14ac:dyDescent="0.25">
      <c r="A3775" s="1" t="s">
        <v>12572</v>
      </c>
      <c r="B3775" s="3" t="s">
        <v>7399</v>
      </c>
      <c r="C3775" s="2">
        <f ca="1">IF(ISNUMBER(SEARCH(Лист2!$B$4,D:D)),MAX($C$3:OFFSET(C3775,-1,0))+1,0)</f>
        <v>0</v>
      </c>
      <c r="E3775" s="9" t="str">
        <f t="shared" ca="1" si="70"/>
        <v/>
      </c>
      <c r="F3775" s="4" t="s">
        <v>14</v>
      </c>
      <c r="G3775" s="2">
        <f>IF(ISNUMBER(SEARCH(Лист2!$B$4,F:F)),1,0)</f>
        <v>0</v>
      </c>
      <c r="H3775" s="3">
        <f ca="1">IF(AND(I3775&lt;&gt;I3774,ISNUMBER(SEARCH(Лист2!$B$5,I:I)),G3775=1),MAX($H$3:OFFSET(H3775,-1,0))+1,0)</f>
        <v>0</v>
      </c>
      <c r="I3775" s="3" t="s">
        <v>325</v>
      </c>
      <c r="K3775" s="2">
        <f>IF(ISNUMBER(SEARCH(Лист2!$B$4,F:F)),1,0)</f>
        <v>0</v>
      </c>
      <c r="L3775" s="14">
        <f>IF(ISNUMBER(SEARCH(Лист2!$B$5,I:I)),1,0)+K3775</f>
        <v>0</v>
      </c>
      <c r="M3775" s="3">
        <f ca="1">IF(AND(N3775&lt;&gt;N3774,ISNUMBER(SEARCH(Лист2!$B$6,N:N)),L3775=2),MAX($M$3:OFFSET(M3775,-1,0))+1,0)</f>
        <v>0</v>
      </c>
      <c r="N3775" s="3" t="s">
        <v>2368</v>
      </c>
    </row>
    <row r="3776" spans="1:14" x14ac:dyDescent="0.25">
      <c r="A3776" s="1" t="s">
        <v>12573</v>
      </c>
      <c r="B3776" s="3" t="s">
        <v>7400</v>
      </c>
      <c r="C3776" s="2">
        <f ca="1">IF(ISNUMBER(SEARCH(Лист2!$B$4,D:D)),MAX($C$3:OFFSET(C3776,-1,0))+1,0)</f>
        <v>0</v>
      </c>
      <c r="E3776" s="9" t="str">
        <f t="shared" ca="1" si="70"/>
        <v/>
      </c>
      <c r="F3776" s="4" t="s">
        <v>14</v>
      </c>
      <c r="G3776" s="2">
        <f>IF(ISNUMBER(SEARCH(Лист2!$B$4,F:F)),1,0)</f>
        <v>0</v>
      </c>
      <c r="H3776" s="3">
        <f ca="1">IF(AND(I3776&lt;&gt;I3775,ISNUMBER(SEARCH(Лист2!$B$5,I:I)),G3776=1),MAX($H$3:OFFSET(H3776,-1,0))+1,0)</f>
        <v>0</v>
      </c>
      <c r="I3776" s="3" t="s">
        <v>325</v>
      </c>
      <c r="K3776" s="2">
        <f>IF(ISNUMBER(SEARCH(Лист2!$B$4,F:F)),1,0)</f>
        <v>0</v>
      </c>
      <c r="L3776" s="14">
        <f>IF(ISNUMBER(SEARCH(Лист2!$B$5,I:I)),1,0)+K3776</f>
        <v>0</v>
      </c>
      <c r="M3776" s="3">
        <f ca="1">IF(AND(N3776&lt;&gt;N3775,ISNUMBER(SEARCH(Лист2!$B$6,N:N)),L3776=2),MAX($M$3:OFFSET(M3776,-1,0))+1,0)</f>
        <v>0</v>
      </c>
      <c r="N3776" s="3" t="s">
        <v>2369</v>
      </c>
    </row>
    <row r="3777" spans="1:14" x14ac:dyDescent="0.25">
      <c r="A3777" s="1" t="s">
        <v>12574</v>
      </c>
      <c r="B3777" s="3" t="s">
        <v>7401</v>
      </c>
      <c r="C3777" s="2">
        <f ca="1">IF(ISNUMBER(SEARCH(Лист2!$B$4,D:D)),MAX($C$3:OFFSET(C3777,-1,0))+1,0)</f>
        <v>0</v>
      </c>
      <c r="E3777" s="9" t="str">
        <f t="shared" ca="1" si="70"/>
        <v/>
      </c>
      <c r="F3777" s="4" t="s">
        <v>14</v>
      </c>
      <c r="G3777" s="2">
        <f>IF(ISNUMBER(SEARCH(Лист2!$B$4,F:F)),1,0)</f>
        <v>0</v>
      </c>
      <c r="H3777" s="3">
        <f ca="1">IF(AND(I3777&lt;&gt;I3776,ISNUMBER(SEARCH(Лист2!$B$5,I:I)),G3777=1),MAX($H$3:OFFSET(H3777,-1,0))+1,0)</f>
        <v>0</v>
      </c>
      <c r="I3777" s="3" t="s">
        <v>325</v>
      </c>
      <c r="K3777" s="2">
        <f>IF(ISNUMBER(SEARCH(Лист2!$B$4,F:F)),1,0)</f>
        <v>0</v>
      </c>
      <c r="L3777" s="14">
        <f>IF(ISNUMBER(SEARCH(Лист2!$B$5,I:I)),1,0)+K3777</f>
        <v>0</v>
      </c>
      <c r="M3777" s="3">
        <f ca="1">IF(AND(N3777&lt;&gt;N3776,ISNUMBER(SEARCH(Лист2!$B$6,N:N)),L3777=2),MAX($M$3:OFFSET(M3777,-1,0))+1,0)</f>
        <v>0</v>
      </c>
      <c r="N3777" s="3" t="s">
        <v>2370</v>
      </c>
    </row>
    <row r="3778" spans="1:14" x14ac:dyDescent="0.25">
      <c r="A3778" s="1" t="s">
        <v>12575</v>
      </c>
      <c r="B3778" s="3" t="s">
        <v>7402</v>
      </c>
      <c r="C3778" s="2">
        <f ca="1">IF(ISNUMBER(SEARCH(Лист2!$B$4,D:D)),MAX($C$3:OFFSET(C3778,-1,0))+1,0)</f>
        <v>0</v>
      </c>
      <c r="E3778" s="9" t="str">
        <f t="shared" ca="1" si="70"/>
        <v/>
      </c>
      <c r="F3778" s="4" t="s">
        <v>14</v>
      </c>
      <c r="G3778" s="2">
        <f>IF(ISNUMBER(SEARCH(Лист2!$B$4,F:F)),1,0)</f>
        <v>0</v>
      </c>
      <c r="H3778" s="3">
        <f ca="1">IF(AND(I3778&lt;&gt;I3777,ISNUMBER(SEARCH(Лист2!$B$5,I:I)),G3778=1),MAX($H$3:OFFSET(H3778,-1,0))+1,0)</f>
        <v>0</v>
      </c>
      <c r="I3778" s="3" t="s">
        <v>325</v>
      </c>
      <c r="K3778" s="2">
        <f>IF(ISNUMBER(SEARCH(Лист2!$B$4,F:F)),1,0)</f>
        <v>0</v>
      </c>
      <c r="L3778" s="14">
        <f>IF(ISNUMBER(SEARCH(Лист2!$B$5,I:I)),1,0)+K3778</f>
        <v>0</v>
      </c>
      <c r="M3778" s="3">
        <f ca="1">IF(AND(N3778&lt;&gt;N3777,ISNUMBER(SEARCH(Лист2!$B$6,N:N)),L3778=2),MAX($M$3:OFFSET(M3778,-1,0))+1,0)</f>
        <v>0</v>
      </c>
      <c r="N3778" s="3" t="s">
        <v>2371</v>
      </c>
    </row>
    <row r="3779" spans="1:14" x14ac:dyDescent="0.25">
      <c r="A3779" s="1" t="s">
        <v>12576</v>
      </c>
      <c r="B3779" s="3" t="s">
        <v>7403</v>
      </c>
      <c r="C3779" s="2">
        <f ca="1">IF(ISNUMBER(SEARCH(Лист2!$B$4,D:D)),MAX($C$3:OFFSET(C3779,-1,0))+1,0)</f>
        <v>0</v>
      </c>
      <c r="E3779" s="9" t="str">
        <f t="shared" ca="1" si="70"/>
        <v/>
      </c>
      <c r="F3779" s="4" t="s">
        <v>14</v>
      </c>
      <c r="G3779" s="2">
        <f>IF(ISNUMBER(SEARCH(Лист2!$B$4,F:F)),1,0)</f>
        <v>0</v>
      </c>
      <c r="H3779" s="3">
        <f ca="1">IF(AND(I3779&lt;&gt;I3778,ISNUMBER(SEARCH(Лист2!$B$5,I:I)),G3779=1),MAX($H$3:OFFSET(H3779,-1,0))+1,0)</f>
        <v>0</v>
      </c>
      <c r="I3779" s="3" t="s">
        <v>325</v>
      </c>
      <c r="K3779" s="2">
        <f>IF(ISNUMBER(SEARCH(Лист2!$B$4,F:F)),1,0)</f>
        <v>0</v>
      </c>
      <c r="L3779" s="14">
        <f>IF(ISNUMBER(SEARCH(Лист2!$B$5,I:I)),1,0)+K3779</f>
        <v>0</v>
      </c>
      <c r="M3779" s="3">
        <f ca="1">IF(AND(N3779&lt;&gt;N3778,ISNUMBER(SEARCH(Лист2!$B$6,N:N)),L3779=2),MAX($M$3:OFFSET(M3779,-1,0))+1,0)</f>
        <v>0</v>
      </c>
      <c r="N3779" s="3" t="s">
        <v>2372</v>
      </c>
    </row>
    <row r="3780" spans="1:14" x14ac:dyDescent="0.25">
      <c r="A3780" s="1" t="s">
        <v>12577</v>
      </c>
      <c r="B3780" s="3" t="s">
        <v>7404</v>
      </c>
      <c r="C3780" s="2">
        <f ca="1">IF(ISNUMBER(SEARCH(Лист2!$B$4,D:D)),MAX($C$3:OFFSET(C3780,-1,0))+1,0)</f>
        <v>0</v>
      </c>
      <c r="E3780" s="9" t="str">
        <f t="shared" ca="1" si="70"/>
        <v/>
      </c>
      <c r="F3780" s="4" t="s">
        <v>14</v>
      </c>
      <c r="G3780" s="2">
        <f>IF(ISNUMBER(SEARCH(Лист2!$B$4,F:F)),1,0)</f>
        <v>0</v>
      </c>
      <c r="H3780" s="3">
        <f ca="1">IF(AND(I3780&lt;&gt;I3779,ISNUMBER(SEARCH(Лист2!$B$5,I:I)),G3780=1),MAX($H$3:OFFSET(H3780,-1,0))+1,0)</f>
        <v>0</v>
      </c>
      <c r="I3780" s="3" t="s">
        <v>325</v>
      </c>
      <c r="K3780" s="2">
        <f>IF(ISNUMBER(SEARCH(Лист2!$B$4,F:F)),1,0)</f>
        <v>0</v>
      </c>
      <c r="L3780" s="14">
        <f>IF(ISNUMBER(SEARCH(Лист2!$B$5,I:I)),1,0)+K3780</f>
        <v>0</v>
      </c>
      <c r="M3780" s="3">
        <f ca="1">IF(AND(N3780&lt;&gt;N3779,ISNUMBER(SEARCH(Лист2!$B$6,N:N)),L3780=2),MAX($M$3:OFFSET(M3780,-1,0))+1,0)</f>
        <v>0</v>
      </c>
      <c r="N3780" s="3" t="s">
        <v>2373</v>
      </c>
    </row>
    <row r="3781" spans="1:14" x14ac:dyDescent="0.25">
      <c r="A3781" s="1" t="s">
        <v>12578</v>
      </c>
      <c r="B3781" s="3" t="s">
        <v>7405</v>
      </c>
      <c r="C3781" s="2">
        <f ca="1">IF(ISNUMBER(SEARCH(Лист2!$B$4,D:D)),MAX($C$3:OFFSET(C3781,-1,0))+1,0)</f>
        <v>0</v>
      </c>
      <c r="E3781" s="9" t="str">
        <f t="shared" ref="E3781:E3844" ca="1" si="71">IFERROR(INDEX(D:D,MATCH(ROW(E3781)-ROW($E$3),C:C,0)),"")</f>
        <v/>
      </c>
      <c r="F3781" s="4" t="s">
        <v>14</v>
      </c>
      <c r="G3781" s="2">
        <f>IF(ISNUMBER(SEARCH(Лист2!$B$4,F:F)),1,0)</f>
        <v>0</v>
      </c>
      <c r="H3781" s="3">
        <f ca="1">IF(AND(I3781&lt;&gt;I3780,ISNUMBER(SEARCH(Лист2!$B$5,I:I)),G3781=1),MAX($H$3:OFFSET(H3781,-1,0))+1,0)</f>
        <v>0</v>
      </c>
      <c r="I3781" s="3" t="s">
        <v>325</v>
      </c>
      <c r="K3781" s="2">
        <f>IF(ISNUMBER(SEARCH(Лист2!$B$4,F:F)),1,0)</f>
        <v>0</v>
      </c>
      <c r="L3781" s="14">
        <f>IF(ISNUMBER(SEARCH(Лист2!$B$5,I:I)),1,0)+K3781</f>
        <v>0</v>
      </c>
      <c r="M3781" s="3">
        <f ca="1">IF(AND(N3781&lt;&gt;N3780,ISNUMBER(SEARCH(Лист2!$B$6,N:N)),L3781=2),MAX($M$3:OFFSET(M3781,-1,0))+1,0)</f>
        <v>0</v>
      </c>
      <c r="N3781" s="3" t="s">
        <v>2374</v>
      </c>
    </row>
    <row r="3782" spans="1:14" x14ac:dyDescent="0.25">
      <c r="A3782" s="1" t="s">
        <v>12579</v>
      </c>
      <c r="B3782" s="3" t="s">
        <v>7406</v>
      </c>
      <c r="C3782" s="2">
        <f ca="1">IF(ISNUMBER(SEARCH(Лист2!$B$4,D:D)),MAX($C$3:OFFSET(C3782,-1,0))+1,0)</f>
        <v>0</v>
      </c>
      <c r="E3782" s="9" t="str">
        <f t="shared" ca="1" si="71"/>
        <v/>
      </c>
      <c r="F3782" s="4" t="s">
        <v>14</v>
      </c>
      <c r="G3782" s="2">
        <f>IF(ISNUMBER(SEARCH(Лист2!$B$4,F:F)),1,0)</f>
        <v>0</v>
      </c>
      <c r="H3782" s="3">
        <f ca="1">IF(AND(I3782&lt;&gt;I3781,ISNUMBER(SEARCH(Лист2!$B$5,I:I)),G3782=1),MAX($H$3:OFFSET(H3782,-1,0))+1,0)</f>
        <v>0</v>
      </c>
      <c r="I3782" s="3" t="s">
        <v>325</v>
      </c>
      <c r="K3782" s="2">
        <f>IF(ISNUMBER(SEARCH(Лист2!$B$4,F:F)),1,0)</f>
        <v>0</v>
      </c>
      <c r="L3782" s="14">
        <f>IF(ISNUMBER(SEARCH(Лист2!$B$5,I:I)),1,0)+K3782</f>
        <v>0</v>
      </c>
      <c r="M3782" s="3">
        <f ca="1">IF(AND(N3782&lt;&gt;N3781,ISNUMBER(SEARCH(Лист2!$B$6,N:N)),L3782=2),MAX($M$3:OFFSET(M3782,-1,0))+1,0)</f>
        <v>0</v>
      </c>
      <c r="N3782" s="3" t="s">
        <v>2375</v>
      </c>
    </row>
    <row r="3783" spans="1:14" x14ac:dyDescent="0.25">
      <c r="A3783" s="1" t="s">
        <v>12580</v>
      </c>
      <c r="B3783" s="3" t="s">
        <v>7407</v>
      </c>
      <c r="C3783" s="2">
        <f ca="1">IF(ISNUMBER(SEARCH(Лист2!$B$4,D:D)),MAX($C$3:OFFSET(C3783,-1,0))+1,0)</f>
        <v>0</v>
      </c>
      <c r="E3783" s="9" t="str">
        <f t="shared" ca="1" si="71"/>
        <v/>
      </c>
      <c r="F3783" s="4" t="s">
        <v>14</v>
      </c>
      <c r="G3783" s="2">
        <f>IF(ISNUMBER(SEARCH(Лист2!$B$4,F:F)),1,0)</f>
        <v>0</v>
      </c>
      <c r="H3783" s="3">
        <f ca="1">IF(AND(I3783&lt;&gt;I3782,ISNUMBER(SEARCH(Лист2!$B$5,I:I)),G3783=1),MAX($H$3:OFFSET(H3783,-1,0))+1,0)</f>
        <v>0</v>
      </c>
      <c r="I3783" s="3" t="s">
        <v>325</v>
      </c>
      <c r="K3783" s="2">
        <f>IF(ISNUMBER(SEARCH(Лист2!$B$4,F:F)),1,0)</f>
        <v>0</v>
      </c>
      <c r="L3783" s="14">
        <f>IF(ISNUMBER(SEARCH(Лист2!$B$5,I:I)),1,0)+K3783</f>
        <v>0</v>
      </c>
      <c r="M3783" s="3">
        <f ca="1">IF(AND(N3783&lt;&gt;N3782,ISNUMBER(SEARCH(Лист2!$B$6,N:N)),L3783=2),MAX($M$3:OFFSET(M3783,-1,0))+1,0)</f>
        <v>0</v>
      </c>
      <c r="N3783" s="3" t="s">
        <v>2376</v>
      </c>
    </row>
    <row r="3784" spans="1:14" x14ac:dyDescent="0.25">
      <c r="A3784" s="1" t="s">
        <v>12581</v>
      </c>
      <c r="B3784" s="3" t="s">
        <v>7408</v>
      </c>
      <c r="C3784" s="2">
        <f ca="1">IF(ISNUMBER(SEARCH(Лист2!$B$4,D:D)),MAX($C$3:OFFSET(C3784,-1,0))+1,0)</f>
        <v>0</v>
      </c>
      <c r="E3784" s="9" t="str">
        <f t="shared" ca="1" si="71"/>
        <v/>
      </c>
      <c r="F3784" s="4" t="s">
        <v>14</v>
      </c>
      <c r="G3784" s="2">
        <f>IF(ISNUMBER(SEARCH(Лист2!$B$4,F:F)),1,0)</f>
        <v>0</v>
      </c>
      <c r="H3784" s="3">
        <f ca="1">IF(AND(I3784&lt;&gt;I3783,ISNUMBER(SEARCH(Лист2!$B$5,I:I)),G3784=1),MAX($H$3:OFFSET(H3784,-1,0))+1,0)</f>
        <v>0</v>
      </c>
      <c r="I3784" s="3" t="s">
        <v>325</v>
      </c>
      <c r="K3784" s="2">
        <f>IF(ISNUMBER(SEARCH(Лист2!$B$4,F:F)),1,0)</f>
        <v>0</v>
      </c>
      <c r="L3784" s="14">
        <f>IF(ISNUMBER(SEARCH(Лист2!$B$5,I:I)),1,0)+K3784</f>
        <v>0</v>
      </c>
      <c r="M3784" s="3">
        <f ca="1">IF(AND(N3784&lt;&gt;N3783,ISNUMBER(SEARCH(Лист2!$B$6,N:N)),L3784=2),MAX($M$3:OFFSET(M3784,-1,0))+1,0)</f>
        <v>0</v>
      </c>
      <c r="N3784" s="3" t="s">
        <v>2377</v>
      </c>
    </row>
    <row r="3785" spans="1:14" x14ac:dyDescent="0.25">
      <c r="A3785" s="1" t="s">
        <v>12582</v>
      </c>
      <c r="B3785" s="3" t="s">
        <v>7409</v>
      </c>
      <c r="C3785" s="2">
        <f ca="1">IF(ISNUMBER(SEARCH(Лист2!$B$4,D:D)),MAX($C$3:OFFSET(C3785,-1,0))+1,0)</f>
        <v>0</v>
      </c>
      <c r="E3785" s="9" t="str">
        <f t="shared" ca="1" si="71"/>
        <v/>
      </c>
      <c r="F3785" s="4" t="s">
        <v>14</v>
      </c>
      <c r="G3785" s="2">
        <f>IF(ISNUMBER(SEARCH(Лист2!$B$4,F:F)),1,0)</f>
        <v>0</v>
      </c>
      <c r="H3785" s="3">
        <f ca="1">IF(AND(I3785&lt;&gt;I3784,ISNUMBER(SEARCH(Лист2!$B$5,I:I)),G3785=1),MAX($H$3:OFFSET(H3785,-1,0))+1,0)</f>
        <v>0</v>
      </c>
      <c r="I3785" s="3" t="s">
        <v>325</v>
      </c>
      <c r="K3785" s="2">
        <f>IF(ISNUMBER(SEARCH(Лист2!$B$4,F:F)),1,0)</f>
        <v>0</v>
      </c>
      <c r="L3785" s="14">
        <f>IF(ISNUMBER(SEARCH(Лист2!$B$5,I:I)),1,0)+K3785</f>
        <v>0</v>
      </c>
      <c r="M3785" s="3">
        <f ca="1">IF(AND(N3785&lt;&gt;N3784,ISNUMBER(SEARCH(Лист2!$B$6,N:N)),L3785=2),MAX($M$3:OFFSET(M3785,-1,0))+1,0)</f>
        <v>0</v>
      </c>
      <c r="N3785" s="3" t="s">
        <v>2378</v>
      </c>
    </row>
    <row r="3786" spans="1:14" x14ac:dyDescent="0.25">
      <c r="A3786" s="1" t="s">
        <v>12583</v>
      </c>
      <c r="B3786" s="3" t="s">
        <v>7410</v>
      </c>
      <c r="C3786" s="2">
        <f ca="1">IF(ISNUMBER(SEARCH(Лист2!$B$4,D:D)),MAX($C$3:OFFSET(C3786,-1,0))+1,0)</f>
        <v>0</v>
      </c>
      <c r="E3786" s="9" t="str">
        <f t="shared" ca="1" si="71"/>
        <v/>
      </c>
      <c r="F3786" s="4" t="s">
        <v>14</v>
      </c>
      <c r="G3786" s="2">
        <f>IF(ISNUMBER(SEARCH(Лист2!$B$4,F:F)),1,0)</f>
        <v>0</v>
      </c>
      <c r="H3786" s="3">
        <f ca="1">IF(AND(I3786&lt;&gt;I3785,ISNUMBER(SEARCH(Лист2!$B$5,I:I)),G3786=1),MAX($H$3:OFFSET(H3786,-1,0))+1,0)</f>
        <v>0</v>
      </c>
      <c r="I3786" s="3" t="s">
        <v>325</v>
      </c>
      <c r="K3786" s="2">
        <f>IF(ISNUMBER(SEARCH(Лист2!$B$4,F:F)),1,0)</f>
        <v>0</v>
      </c>
      <c r="L3786" s="14">
        <f>IF(ISNUMBER(SEARCH(Лист2!$B$5,I:I)),1,0)+K3786</f>
        <v>0</v>
      </c>
      <c r="M3786" s="3">
        <f ca="1">IF(AND(N3786&lt;&gt;N3785,ISNUMBER(SEARCH(Лист2!$B$6,N:N)),L3786=2),MAX($M$3:OFFSET(M3786,-1,0))+1,0)</f>
        <v>0</v>
      </c>
      <c r="N3786" s="3" t="s">
        <v>2379</v>
      </c>
    </row>
    <row r="3787" spans="1:14" x14ac:dyDescent="0.25">
      <c r="A3787" s="1" t="s">
        <v>12584</v>
      </c>
      <c r="B3787" s="3" t="s">
        <v>7411</v>
      </c>
      <c r="C3787" s="2">
        <f ca="1">IF(ISNUMBER(SEARCH(Лист2!$B$4,D:D)),MAX($C$3:OFFSET(C3787,-1,0))+1,0)</f>
        <v>0</v>
      </c>
      <c r="E3787" s="9" t="str">
        <f t="shared" ca="1" si="71"/>
        <v/>
      </c>
      <c r="F3787" s="4" t="s">
        <v>14</v>
      </c>
      <c r="G3787" s="2">
        <f>IF(ISNUMBER(SEARCH(Лист2!$B$4,F:F)),1,0)</f>
        <v>0</v>
      </c>
      <c r="H3787" s="3">
        <f ca="1">IF(AND(I3787&lt;&gt;I3786,ISNUMBER(SEARCH(Лист2!$B$5,I:I)),G3787=1),MAX($H$3:OFFSET(H3787,-1,0))+1,0)</f>
        <v>0</v>
      </c>
      <c r="I3787" s="3" t="s">
        <v>325</v>
      </c>
      <c r="K3787" s="2">
        <f>IF(ISNUMBER(SEARCH(Лист2!$B$4,F:F)),1,0)</f>
        <v>0</v>
      </c>
      <c r="L3787" s="14">
        <f>IF(ISNUMBER(SEARCH(Лист2!$B$5,I:I)),1,0)+K3787</f>
        <v>0</v>
      </c>
      <c r="M3787" s="3">
        <f ca="1">IF(AND(N3787&lt;&gt;N3786,ISNUMBER(SEARCH(Лист2!$B$6,N:N)),L3787=2),MAX($M$3:OFFSET(M3787,-1,0))+1,0)</f>
        <v>0</v>
      </c>
      <c r="N3787" s="3" t="s">
        <v>2380</v>
      </c>
    </row>
    <row r="3788" spans="1:14" x14ac:dyDescent="0.25">
      <c r="A3788" s="1" t="s">
        <v>12585</v>
      </c>
      <c r="B3788" s="3" t="s">
        <v>7412</v>
      </c>
      <c r="C3788" s="2">
        <f ca="1">IF(ISNUMBER(SEARCH(Лист2!$B$4,D:D)),MAX($C$3:OFFSET(C3788,-1,0))+1,0)</f>
        <v>0</v>
      </c>
      <c r="E3788" s="9" t="str">
        <f t="shared" ca="1" si="71"/>
        <v/>
      </c>
      <c r="F3788" s="4" t="s">
        <v>14</v>
      </c>
      <c r="G3788" s="2">
        <f>IF(ISNUMBER(SEARCH(Лист2!$B$4,F:F)),1,0)</f>
        <v>0</v>
      </c>
      <c r="H3788" s="3">
        <f ca="1">IF(AND(I3788&lt;&gt;I3787,ISNUMBER(SEARCH(Лист2!$B$5,I:I)),G3788=1),MAX($H$3:OFFSET(H3788,-1,0))+1,0)</f>
        <v>0</v>
      </c>
      <c r="I3788" s="3" t="s">
        <v>325</v>
      </c>
      <c r="K3788" s="2">
        <f>IF(ISNUMBER(SEARCH(Лист2!$B$4,F:F)),1,0)</f>
        <v>0</v>
      </c>
      <c r="L3788" s="14">
        <f>IF(ISNUMBER(SEARCH(Лист2!$B$5,I:I)),1,0)+K3788</f>
        <v>0</v>
      </c>
      <c r="M3788" s="3">
        <f ca="1">IF(AND(N3788&lt;&gt;N3787,ISNUMBER(SEARCH(Лист2!$B$6,N:N)),L3788=2),MAX($M$3:OFFSET(M3788,-1,0))+1,0)</f>
        <v>0</v>
      </c>
      <c r="N3788" s="3" t="s">
        <v>2381</v>
      </c>
    </row>
    <row r="3789" spans="1:14" x14ac:dyDescent="0.25">
      <c r="A3789" s="1" t="s">
        <v>12586</v>
      </c>
      <c r="B3789" s="3" t="s">
        <v>7413</v>
      </c>
      <c r="C3789" s="2">
        <f ca="1">IF(ISNUMBER(SEARCH(Лист2!$B$4,D:D)),MAX($C$3:OFFSET(C3789,-1,0))+1,0)</f>
        <v>0</v>
      </c>
      <c r="E3789" s="9" t="str">
        <f t="shared" ca="1" si="71"/>
        <v/>
      </c>
      <c r="F3789" s="4" t="s">
        <v>14</v>
      </c>
      <c r="G3789" s="2">
        <f>IF(ISNUMBER(SEARCH(Лист2!$B$4,F:F)),1,0)</f>
        <v>0</v>
      </c>
      <c r="H3789" s="3">
        <f ca="1">IF(AND(I3789&lt;&gt;I3788,ISNUMBER(SEARCH(Лист2!$B$5,I:I)),G3789=1),MAX($H$3:OFFSET(H3789,-1,0))+1,0)</f>
        <v>0</v>
      </c>
      <c r="I3789" s="3" t="s">
        <v>325</v>
      </c>
      <c r="K3789" s="2">
        <f>IF(ISNUMBER(SEARCH(Лист2!$B$4,F:F)),1,0)</f>
        <v>0</v>
      </c>
      <c r="L3789" s="14">
        <f>IF(ISNUMBER(SEARCH(Лист2!$B$5,I:I)),1,0)+K3789</f>
        <v>0</v>
      </c>
      <c r="M3789" s="3">
        <f ca="1">IF(AND(N3789&lt;&gt;N3788,ISNUMBER(SEARCH(Лист2!$B$6,N:N)),L3789=2),MAX($M$3:OFFSET(M3789,-1,0))+1,0)</f>
        <v>0</v>
      </c>
      <c r="N3789" s="3" t="s">
        <v>2382</v>
      </c>
    </row>
    <row r="3790" spans="1:14" x14ac:dyDescent="0.25">
      <c r="A3790" s="1" t="s">
        <v>12587</v>
      </c>
      <c r="B3790" s="3" t="s">
        <v>7414</v>
      </c>
      <c r="C3790" s="2">
        <f ca="1">IF(ISNUMBER(SEARCH(Лист2!$B$4,D:D)),MAX($C$3:OFFSET(C3790,-1,0))+1,0)</f>
        <v>0</v>
      </c>
      <c r="E3790" s="9" t="str">
        <f t="shared" ca="1" si="71"/>
        <v/>
      </c>
      <c r="F3790" s="4" t="s">
        <v>14</v>
      </c>
      <c r="G3790" s="2">
        <f>IF(ISNUMBER(SEARCH(Лист2!$B$4,F:F)),1,0)</f>
        <v>0</v>
      </c>
      <c r="H3790" s="3">
        <f ca="1">IF(AND(I3790&lt;&gt;I3789,ISNUMBER(SEARCH(Лист2!$B$5,I:I)),G3790=1),MAX($H$3:OFFSET(H3790,-1,0))+1,0)</f>
        <v>0</v>
      </c>
      <c r="I3790" s="3" t="s">
        <v>325</v>
      </c>
      <c r="K3790" s="2">
        <f>IF(ISNUMBER(SEARCH(Лист2!$B$4,F:F)),1,0)</f>
        <v>0</v>
      </c>
      <c r="L3790" s="14">
        <f>IF(ISNUMBER(SEARCH(Лист2!$B$5,I:I)),1,0)+K3790</f>
        <v>0</v>
      </c>
      <c r="M3790" s="3">
        <f ca="1">IF(AND(N3790&lt;&gt;N3789,ISNUMBER(SEARCH(Лист2!$B$6,N:N)),L3790=2),MAX($M$3:OFFSET(M3790,-1,0))+1,0)</f>
        <v>0</v>
      </c>
      <c r="N3790" s="3" t="s">
        <v>2383</v>
      </c>
    </row>
    <row r="3791" spans="1:14" x14ac:dyDescent="0.25">
      <c r="A3791" s="1" t="s">
        <v>12588</v>
      </c>
      <c r="B3791" s="3" t="s">
        <v>7415</v>
      </c>
      <c r="C3791" s="2">
        <f ca="1">IF(ISNUMBER(SEARCH(Лист2!$B$4,D:D)),MAX($C$3:OFFSET(C3791,-1,0))+1,0)</f>
        <v>0</v>
      </c>
      <c r="E3791" s="9" t="str">
        <f t="shared" ca="1" si="71"/>
        <v/>
      </c>
      <c r="F3791" s="4" t="s">
        <v>14</v>
      </c>
      <c r="G3791" s="2">
        <f>IF(ISNUMBER(SEARCH(Лист2!$B$4,F:F)),1,0)</f>
        <v>0</v>
      </c>
      <c r="H3791" s="3">
        <f ca="1">IF(AND(I3791&lt;&gt;I3790,ISNUMBER(SEARCH(Лист2!$B$5,I:I)),G3791=1),MAX($H$3:OFFSET(H3791,-1,0))+1,0)</f>
        <v>0</v>
      </c>
      <c r="I3791" s="3" t="s">
        <v>325</v>
      </c>
      <c r="K3791" s="2">
        <f>IF(ISNUMBER(SEARCH(Лист2!$B$4,F:F)),1,0)</f>
        <v>0</v>
      </c>
      <c r="L3791" s="14">
        <f>IF(ISNUMBER(SEARCH(Лист2!$B$5,I:I)),1,0)+K3791</f>
        <v>0</v>
      </c>
      <c r="M3791" s="3">
        <f ca="1">IF(AND(N3791&lt;&gt;N3790,ISNUMBER(SEARCH(Лист2!$B$6,N:N)),L3791=2),MAX($M$3:OFFSET(M3791,-1,0))+1,0)</f>
        <v>0</v>
      </c>
      <c r="N3791" s="3" t="s">
        <v>2384</v>
      </c>
    </row>
    <row r="3792" spans="1:14" x14ac:dyDescent="0.25">
      <c r="A3792" s="1" t="s">
        <v>12589</v>
      </c>
      <c r="B3792" s="3" t="s">
        <v>7416</v>
      </c>
      <c r="C3792" s="2">
        <f ca="1">IF(ISNUMBER(SEARCH(Лист2!$B$4,D:D)),MAX($C$3:OFFSET(C3792,-1,0))+1,0)</f>
        <v>0</v>
      </c>
      <c r="E3792" s="9" t="str">
        <f t="shared" ca="1" si="71"/>
        <v/>
      </c>
      <c r="F3792" s="4" t="s">
        <v>14</v>
      </c>
      <c r="G3792" s="2">
        <f>IF(ISNUMBER(SEARCH(Лист2!$B$4,F:F)),1,0)</f>
        <v>0</v>
      </c>
      <c r="H3792" s="3">
        <f ca="1">IF(AND(I3792&lt;&gt;I3791,ISNUMBER(SEARCH(Лист2!$B$5,I:I)),G3792=1),MAX($H$3:OFFSET(H3792,-1,0))+1,0)</f>
        <v>0</v>
      </c>
      <c r="I3792" s="3" t="s">
        <v>325</v>
      </c>
      <c r="K3792" s="2">
        <f>IF(ISNUMBER(SEARCH(Лист2!$B$4,F:F)),1,0)</f>
        <v>0</v>
      </c>
      <c r="L3792" s="14">
        <f>IF(ISNUMBER(SEARCH(Лист2!$B$5,I:I)),1,0)+K3792</f>
        <v>0</v>
      </c>
      <c r="M3792" s="3">
        <f ca="1">IF(AND(N3792&lt;&gt;N3791,ISNUMBER(SEARCH(Лист2!$B$6,N:N)),L3792=2),MAX($M$3:OFFSET(M3792,-1,0))+1,0)</f>
        <v>0</v>
      </c>
      <c r="N3792" s="3" t="s">
        <v>2385</v>
      </c>
    </row>
    <row r="3793" spans="1:14" x14ac:dyDescent="0.25">
      <c r="A3793" s="1" t="s">
        <v>12590</v>
      </c>
      <c r="B3793" s="3" t="s">
        <v>7417</v>
      </c>
      <c r="C3793" s="2">
        <f ca="1">IF(ISNUMBER(SEARCH(Лист2!$B$4,D:D)),MAX($C$3:OFFSET(C3793,-1,0))+1,0)</f>
        <v>0</v>
      </c>
      <c r="E3793" s="9" t="str">
        <f t="shared" ca="1" si="71"/>
        <v/>
      </c>
      <c r="F3793" s="4" t="s">
        <v>14</v>
      </c>
      <c r="G3793" s="2">
        <f>IF(ISNUMBER(SEARCH(Лист2!$B$4,F:F)),1,0)</f>
        <v>0</v>
      </c>
      <c r="H3793" s="3">
        <f ca="1">IF(AND(I3793&lt;&gt;I3792,ISNUMBER(SEARCH(Лист2!$B$5,I:I)),G3793=1),MAX($H$3:OFFSET(H3793,-1,0))+1,0)</f>
        <v>0</v>
      </c>
      <c r="I3793" s="3" t="s">
        <v>325</v>
      </c>
      <c r="K3793" s="2">
        <f>IF(ISNUMBER(SEARCH(Лист2!$B$4,F:F)),1,0)</f>
        <v>0</v>
      </c>
      <c r="L3793" s="14">
        <f>IF(ISNUMBER(SEARCH(Лист2!$B$5,I:I)),1,0)+K3793</f>
        <v>0</v>
      </c>
      <c r="M3793" s="3">
        <f ca="1">IF(AND(N3793&lt;&gt;N3792,ISNUMBER(SEARCH(Лист2!$B$6,N:N)),L3793=2),MAX($M$3:OFFSET(M3793,-1,0))+1,0)</f>
        <v>0</v>
      </c>
      <c r="N3793" s="3" t="s">
        <v>2386</v>
      </c>
    </row>
    <row r="3794" spans="1:14" x14ac:dyDescent="0.25">
      <c r="A3794" s="1" t="s">
        <v>12591</v>
      </c>
      <c r="B3794" s="3" t="s">
        <v>7418</v>
      </c>
      <c r="C3794" s="2">
        <f ca="1">IF(ISNUMBER(SEARCH(Лист2!$B$4,D:D)),MAX($C$3:OFFSET(C3794,-1,0))+1,0)</f>
        <v>0</v>
      </c>
      <c r="E3794" s="9" t="str">
        <f t="shared" ca="1" si="71"/>
        <v/>
      </c>
      <c r="F3794" s="4" t="s">
        <v>14</v>
      </c>
      <c r="G3794" s="2">
        <f>IF(ISNUMBER(SEARCH(Лист2!$B$4,F:F)),1,0)</f>
        <v>0</v>
      </c>
      <c r="H3794" s="3">
        <f ca="1">IF(AND(I3794&lt;&gt;I3793,ISNUMBER(SEARCH(Лист2!$B$5,I:I)),G3794=1),MAX($H$3:OFFSET(H3794,-1,0))+1,0)</f>
        <v>0</v>
      </c>
      <c r="I3794" s="3" t="s">
        <v>325</v>
      </c>
      <c r="K3794" s="2">
        <f>IF(ISNUMBER(SEARCH(Лист2!$B$4,F:F)),1,0)</f>
        <v>0</v>
      </c>
      <c r="L3794" s="14">
        <f>IF(ISNUMBER(SEARCH(Лист2!$B$5,I:I)),1,0)+K3794</f>
        <v>0</v>
      </c>
      <c r="M3794" s="3">
        <f ca="1">IF(AND(N3794&lt;&gt;N3793,ISNUMBER(SEARCH(Лист2!$B$6,N:N)),L3794=2),MAX($M$3:OFFSET(M3794,-1,0))+1,0)</f>
        <v>0</v>
      </c>
      <c r="N3794" s="3" t="s">
        <v>2387</v>
      </c>
    </row>
    <row r="3795" spans="1:14" x14ac:dyDescent="0.25">
      <c r="A3795" s="1" t="s">
        <v>12592</v>
      </c>
      <c r="B3795" s="3" t="s">
        <v>7419</v>
      </c>
      <c r="C3795" s="2">
        <f ca="1">IF(ISNUMBER(SEARCH(Лист2!$B$4,D:D)),MAX($C$3:OFFSET(C3795,-1,0))+1,0)</f>
        <v>0</v>
      </c>
      <c r="E3795" s="9" t="str">
        <f t="shared" ca="1" si="71"/>
        <v/>
      </c>
      <c r="F3795" s="4" t="s">
        <v>14</v>
      </c>
      <c r="G3795" s="2">
        <f>IF(ISNUMBER(SEARCH(Лист2!$B$4,F:F)),1,0)</f>
        <v>0</v>
      </c>
      <c r="H3795" s="3">
        <f ca="1">IF(AND(I3795&lt;&gt;I3794,ISNUMBER(SEARCH(Лист2!$B$5,I:I)),G3795=1),MAX($H$3:OFFSET(H3795,-1,0))+1,0)</f>
        <v>0</v>
      </c>
      <c r="I3795" s="3" t="s">
        <v>325</v>
      </c>
      <c r="K3795" s="2">
        <f>IF(ISNUMBER(SEARCH(Лист2!$B$4,F:F)),1,0)</f>
        <v>0</v>
      </c>
      <c r="L3795" s="14">
        <f>IF(ISNUMBER(SEARCH(Лист2!$B$5,I:I)),1,0)+K3795</f>
        <v>0</v>
      </c>
      <c r="M3795" s="3">
        <f ca="1">IF(AND(N3795&lt;&gt;N3794,ISNUMBER(SEARCH(Лист2!$B$6,N:N)),L3795=2),MAX($M$3:OFFSET(M3795,-1,0))+1,0)</f>
        <v>0</v>
      </c>
      <c r="N3795" s="3" t="s">
        <v>2388</v>
      </c>
    </row>
    <row r="3796" spans="1:14" x14ac:dyDescent="0.25">
      <c r="A3796" s="1" t="s">
        <v>12593</v>
      </c>
      <c r="B3796" s="3" t="s">
        <v>7420</v>
      </c>
      <c r="C3796" s="2">
        <f ca="1">IF(ISNUMBER(SEARCH(Лист2!$B$4,D:D)),MAX($C$3:OFFSET(C3796,-1,0))+1,0)</f>
        <v>0</v>
      </c>
      <c r="E3796" s="9" t="str">
        <f t="shared" ca="1" si="71"/>
        <v/>
      </c>
      <c r="F3796" s="4" t="s">
        <v>14</v>
      </c>
      <c r="G3796" s="2">
        <f>IF(ISNUMBER(SEARCH(Лист2!$B$4,F:F)),1,0)</f>
        <v>0</v>
      </c>
      <c r="H3796" s="3">
        <f ca="1">IF(AND(I3796&lt;&gt;I3795,ISNUMBER(SEARCH(Лист2!$B$5,I:I)),G3796=1),MAX($H$3:OFFSET(H3796,-1,0))+1,0)</f>
        <v>0</v>
      </c>
      <c r="I3796" s="3" t="s">
        <v>325</v>
      </c>
      <c r="K3796" s="2">
        <f>IF(ISNUMBER(SEARCH(Лист2!$B$4,F:F)),1,0)</f>
        <v>0</v>
      </c>
      <c r="L3796" s="14">
        <f>IF(ISNUMBER(SEARCH(Лист2!$B$5,I:I)),1,0)+K3796</f>
        <v>0</v>
      </c>
      <c r="M3796" s="3">
        <f ca="1">IF(AND(N3796&lt;&gt;N3795,ISNUMBER(SEARCH(Лист2!$B$6,N:N)),L3796=2),MAX($M$3:OFFSET(M3796,-1,0))+1,0)</f>
        <v>0</v>
      </c>
      <c r="N3796" s="3" t="s">
        <v>2389</v>
      </c>
    </row>
    <row r="3797" spans="1:14" x14ac:dyDescent="0.25">
      <c r="A3797" s="1" t="s">
        <v>12594</v>
      </c>
      <c r="B3797" s="3" t="s">
        <v>7421</v>
      </c>
      <c r="C3797" s="2">
        <f ca="1">IF(ISNUMBER(SEARCH(Лист2!$B$4,D:D)),MAX($C$3:OFFSET(C3797,-1,0))+1,0)</f>
        <v>0</v>
      </c>
      <c r="E3797" s="9" t="str">
        <f t="shared" ca="1" si="71"/>
        <v/>
      </c>
      <c r="F3797" s="4" t="s">
        <v>14</v>
      </c>
      <c r="G3797" s="2">
        <f>IF(ISNUMBER(SEARCH(Лист2!$B$4,F:F)),1,0)</f>
        <v>0</v>
      </c>
      <c r="H3797" s="3">
        <f ca="1">IF(AND(I3797&lt;&gt;I3796,ISNUMBER(SEARCH(Лист2!$B$5,I:I)),G3797=1),MAX($H$3:OFFSET(H3797,-1,0))+1,0)</f>
        <v>0</v>
      </c>
      <c r="I3797" s="3" t="s">
        <v>325</v>
      </c>
      <c r="K3797" s="2">
        <f>IF(ISNUMBER(SEARCH(Лист2!$B$4,F:F)),1,0)</f>
        <v>0</v>
      </c>
      <c r="L3797" s="14">
        <f>IF(ISNUMBER(SEARCH(Лист2!$B$5,I:I)),1,0)+K3797</f>
        <v>0</v>
      </c>
      <c r="M3797" s="3">
        <f ca="1">IF(AND(N3797&lt;&gt;N3796,ISNUMBER(SEARCH(Лист2!$B$6,N:N)),L3797=2),MAX($M$3:OFFSET(M3797,-1,0))+1,0)</f>
        <v>0</v>
      </c>
      <c r="N3797" s="3" t="s">
        <v>2390</v>
      </c>
    </row>
    <row r="3798" spans="1:14" x14ac:dyDescent="0.25">
      <c r="A3798" s="1" t="s">
        <v>12595</v>
      </c>
      <c r="B3798" s="3" t="s">
        <v>7422</v>
      </c>
      <c r="C3798" s="2">
        <f ca="1">IF(ISNUMBER(SEARCH(Лист2!$B$4,D:D)),MAX($C$3:OFFSET(C3798,-1,0))+1,0)</f>
        <v>0</v>
      </c>
      <c r="E3798" s="9" t="str">
        <f t="shared" ca="1" si="71"/>
        <v/>
      </c>
      <c r="F3798" s="4" t="s">
        <v>14</v>
      </c>
      <c r="G3798" s="2">
        <f>IF(ISNUMBER(SEARCH(Лист2!$B$4,F:F)),1,0)</f>
        <v>0</v>
      </c>
      <c r="H3798" s="3">
        <f ca="1">IF(AND(I3798&lt;&gt;I3797,ISNUMBER(SEARCH(Лист2!$B$5,I:I)),G3798=1),MAX($H$3:OFFSET(H3798,-1,0))+1,0)</f>
        <v>0</v>
      </c>
      <c r="I3798" s="3" t="s">
        <v>325</v>
      </c>
      <c r="K3798" s="2">
        <f>IF(ISNUMBER(SEARCH(Лист2!$B$4,F:F)),1,0)</f>
        <v>0</v>
      </c>
      <c r="L3798" s="14">
        <f>IF(ISNUMBER(SEARCH(Лист2!$B$5,I:I)),1,0)+K3798</f>
        <v>0</v>
      </c>
      <c r="M3798" s="3">
        <f ca="1">IF(AND(N3798&lt;&gt;N3797,ISNUMBER(SEARCH(Лист2!$B$6,N:N)),L3798=2),MAX($M$3:OFFSET(M3798,-1,0))+1,0)</f>
        <v>0</v>
      </c>
      <c r="N3798" s="3" t="s">
        <v>2391</v>
      </c>
    </row>
    <row r="3799" spans="1:14" x14ac:dyDescent="0.25">
      <c r="A3799" s="1" t="s">
        <v>12596</v>
      </c>
      <c r="B3799" s="3" t="s">
        <v>7423</v>
      </c>
      <c r="C3799" s="2">
        <f ca="1">IF(ISNUMBER(SEARCH(Лист2!$B$4,D:D)),MAX($C$3:OFFSET(C3799,-1,0))+1,0)</f>
        <v>0</v>
      </c>
      <c r="E3799" s="9" t="str">
        <f t="shared" ca="1" si="71"/>
        <v/>
      </c>
      <c r="F3799" s="4" t="s">
        <v>14</v>
      </c>
      <c r="G3799" s="2">
        <f>IF(ISNUMBER(SEARCH(Лист2!$B$4,F:F)),1,0)</f>
        <v>0</v>
      </c>
      <c r="H3799" s="3">
        <f ca="1">IF(AND(I3799&lt;&gt;I3798,ISNUMBER(SEARCH(Лист2!$B$5,I:I)),G3799=1),MAX($H$3:OFFSET(H3799,-1,0))+1,0)</f>
        <v>0</v>
      </c>
      <c r="I3799" s="3" t="s">
        <v>325</v>
      </c>
      <c r="K3799" s="2">
        <f>IF(ISNUMBER(SEARCH(Лист2!$B$4,F:F)),1,0)</f>
        <v>0</v>
      </c>
      <c r="L3799" s="14">
        <f>IF(ISNUMBER(SEARCH(Лист2!$B$5,I:I)),1,0)+K3799</f>
        <v>0</v>
      </c>
      <c r="M3799" s="3">
        <f ca="1">IF(AND(N3799&lt;&gt;N3798,ISNUMBER(SEARCH(Лист2!$B$6,N:N)),L3799=2),MAX($M$3:OFFSET(M3799,-1,0))+1,0)</f>
        <v>0</v>
      </c>
      <c r="N3799" s="3" t="s">
        <v>2392</v>
      </c>
    </row>
    <row r="3800" spans="1:14" x14ac:dyDescent="0.25">
      <c r="A3800" s="1" t="s">
        <v>12597</v>
      </c>
      <c r="B3800" s="3" t="s">
        <v>7424</v>
      </c>
      <c r="C3800" s="2">
        <f ca="1">IF(ISNUMBER(SEARCH(Лист2!$B$4,D:D)),MAX($C$3:OFFSET(C3800,-1,0))+1,0)</f>
        <v>0</v>
      </c>
      <c r="E3800" s="9" t="str">
        <f t="shared" ca="1" si="71"/>
        <v/>
      </c>
      <c r="F3800" s="4" t="s">
        <v>14</v>
      </c>
      <c r="G3800" s="2">
        <f>IF(ISNUMBER(SEARCH(Лист2!$B$4,F:F)),1,0)</f>
        <v>0</v>
      </c>
      <c r="H3800" s="3">
        <f ca="1">IF(AND(I3800&lt;&gt;I3799,ISNUMBER(SEARCH(Лист2!$B$5,I:I)),G3800=1),MAX($H$3:OFFSET(H3800,-1,0))+1,0)</f>
        <v>0</v>
      </c>
      <c r="I3800" s="3" t="s">
        <v>325</v>
      </c>
      <c r="K3800" s="2">
        <f>IF(ISNUMBER(SEARCH(Лист2!$B$4,F:F)),1,0)</f>
        <v>0</v>
      </c>
      <c r="L3800" s="14">
        <f>IF(ISNUMBER(SEARCH(Лист2!$B$5,I:I)),1,0)+K3800</f>
        <v>0</v>
      </c>
      <c r="M3800" s="3">
        <f ca="1">IF(AND(N3800&lt;&gt;N3799,ISNUMBER(SEARCH(Лист2!$B$6,N:N)),L3800=2),MAX($M$3:OFFSET(M3800,-1,0))+1,0)</f>
        <v>0</v>
      </c>
      <c r="N3800" s="3" t="s">
        <v>2393</v>
      </c>
    </row>
    <row r="3801" spans="1:14" x14ac:dyDescent="0.25">
      <c r="A3801" s="1" t="s">
        <v>12598</v>
      </c>
      <c r="B3801" s="3" t="s">
        <v>7425</v>
      </c>
      <c r="C3801" s="2">
        <f ca="1">IF(ISNUMBER(SEARCH(Лист2!$B$4,D:D)),MAX($C$3:OFFSET(C3801,-1,0))+1,0)</f>
        <v>0</v>
      </c>
      <c r="E3801" s="9" t="str">
        <f t="shared" ca="1" si="71"/>
        <v/>
      </c>
      <c r="F3801" s="4" t="s">
        <v>14</v>
      </c>
      <c r="G3801" s="2">
        <f>IF(ISNUMBER(SEARCH(Лист2!$B$4,F:F)),1,0)</f>
        <v>0</v>
      </c>
      <c r="H3801" s="3">
        <f ca="1">IF(AND(I3801&lt;&gt;I3800,ISNUMBER(SEARCH(Лист2!$B$5,I:I)),G3801=1),MAX($H$3:OFFSET(H3801,-1,0))+1,0)</f>
        <v>0</v>
      </c>
      <c r="I3801" s="3" t="s">
        <v>325</v>
      </c>
      <c r="K3801" s="2">
        <f>IF(ISNUMBER(SEARCH(Лист2!$B$4,F:F)),1,0)</f>
        <v>0</v>
      </c>
      <c r="L3801" s="14">
        <f>IF(ISNUMBER(SEARCH(Лист2!$B$5,I:I)),1,0)+K3801</f>
        <v>0</v>
      </c>
      <c r="M3801" s="3">
        <f ca="1">IF(AND(N3801&lt;&gt;N3800,ISNUMBER(SEARCH(Лист2!$B$6,N:N)),L3801=2),MAX($M$3:OFFSET(M3801,-1,0))+1,0)</f>
        <v>0</v>
      </c>
      <c r="N3801" s="3" t="s">
        <v>2394</v>
      </c>
    </row>
    <row r="3802" spans="1:14" x14ac:dyDescent="0.25">
      <c r="A3802" s="1" t="s">
        <v>12599</v>
      </c>
      <c r="B3802" s="3" t="s">
        <v>7426</v>
      </c>
      <c r="C3802" s="2">
        <f ca="1">IF(ISNUMBER(SEARCH(Лист2!$B$4,D:D)),MAX($C$3:OFFSET(C3802,-1,0))+1,0)</f>
        <v>0</v>
      </c>
      <c r="E3802" s="9" t="str">
        <f t="shared" ca="1" si="71"/>
        <v/>
      </c>
      <c r="F3802" s="4" t="s">
        <v>14</v>
      </c>
      <c r="G3802" s="2">
        <f>IF(ISNUMBER(SEARCH(Лист2!$B$4,F:F)),1,0)</f>
        <v>0</v>
      </c>
      <c r="H3802" s="3">
        <f ca="1">IF(AND(I3802&lt;&gt;I3801,ISNUMBER(SEARCH(Лист2!$B$5,I:I)),G3802=1),MAX($H$3:OFFSET(H3802,-1,0))+1,0)</f>
        <v>0</v>
      </c>
      <c r="I3802" s="3" t="s">
        <v>325</v>
      </c>
      <c r="K3802" s="2">
        <f>IF(ISNUMBER(SEARCH(Лист2!$B$4,F:F)),1,0)</f>
        <v>0</v>
      </c>
      <c r="L3802" s="14">
        <f>IF(ISNUMBER(SEARCH(Лист2!$B$5,I:I)),1,0)+K3802</f>
        <v>0</v>
      </c>
      <c r="M3802" s="3">
        <f ca="1">IF(AND(N3802&lt;&gt;N3801,ISNUMBER(SEARCH(Лист2!$B$6,N:N)),L3802=2),MAX($M$3:OFFSET(M3802,-1,0))+1,0)</f>
        <v>0</v>
      </c>
      <c r="N3802" s="3" t="s">
        <v>2395</v>
      </c>
    </row>
    <row r="3803" spans="1:14" x14ac:dyDescent="0.25">
      <c r="A3803" s="1" t="s">
        <v>12600</v>
      </c>
      <c r="B3803" s="3" t="s">
        <v>7427</v>
      </c>
      <c r="C3803" s="2">
        <f ca="1">IF(ISNUMBER(SEARCH(Лист2!$B$4,D:D)),MAX($C$3:OFFSET(C3803,-1,0))+1,0)</f>
        <v>0</v>
      </c>
      <c r="E3803" s="9" t="str">
        <f t="shared" ca="1" si="71"/>
        <v/>
      </c>
      <c r="F3803" s="4" t="s">
        <v>14</v>
      </c>
      <c r="G3803" s="2">
        <f>IF(ISNUMBER(SEARCH(Лист2!$B$4,F:F)),1,0)</f>
        <v>0</v>
      </c>
      <c r="H3803" s="3">
        <f ca="1">IF(AND(I3803&lt;&gt;I3802,ISNUMBER(SEARCH(Лист2!$B$5,I:I)),G3803=1),MAX($H$3:OFFSET(H3803,-1,0))+1,0)</f>
        <v>0</v>
      </c>
      <c r="I3803" s="3" t="s">
        <v>325</v>
      </c>
      <c r="K3803" s="2">
        <f>IF(ISNUMBER(SEARCH(Лист2!$B$4,F:F)),1,0)</f>
        <v>0</v>
      </c>
      <c r="L3803" s="14">
        <f>IF(ISNUMBER(SEARCH(Лист2!$B$5,I:I)),1,0)+K3803</f>
        <v>0</v>
      </c>
      <c r="M3803" s="3">
        <f ca="1">IF(AND(N3803&lt;&gt;N3802,ISNUMBER(SEARCH(Лист2!$B$6,N:N)),L3803=2),MAX($M$3:OFFSET(M3803,-1,0))+1,0)</f>
        <v>0</v>
      </c>
      <c r="N3803" s="3" t="s">
        <v>2396</v>
      </c>
    </row>
    <row r="3804" spans="1:14" x14ac:dyDescent="0.25">
      <c r="A3804" s="1" t="s">
        <v>12601</v>
      </c>
      <c r="B3804" s="3" t="s">
        <v>7428</v>
      </c>
      <c r="C3804" s="2">
        <f ca="1">IF(ISNUMBER(SEARCH(Лист2!$B$4,D:D)),MAX($C$3:OFFSET(C3804,-1,0))+1,0)</f>
        <v>0</v>
      </c>
      <c r="E3804" s="9" t="str">
        <f t="shared" ca="1" si="71"/>
        <v/>
      </c>
      <c r="F3804" s="4" t="s">
        <v>14</v>
      </c>
      <c r="G3804" s="2">
        <f>IF(ISNUMBER(SEARCH(Лист2!$B$4,F:F)),1,0)</f>
        <v>0</v>
      </c>
      <c r="H3804" s="3">
        <f ca="1">IF(AND(I3804&lt;&gt;I3803,ISNUMBER(SEARCH(Лист2!$B$5,I:I)),G3804=1),MAX($H$3:OFFSET(H3804,-1,0))+1,0)</f>
        <v>0</v>
      </c>
      <c r="I3804" s="3" t="s">
        <v>325</v>
      </c>
      <c r="K3804" s="2">
        <f>IF(ISNUMBER(SEARCH(Лист2!$B$4,F:F)),1,0)</f>
        <v>0</v>
      </c>
      <c r="L3804" s="14">
        <f>IF(ISNUMBER(SEARCH(Лист2!$B$5,I:I)),1,0)+K3804</f>
        <v>0</v>
      </c>
      <c r="M3804" s="3">
        <f ca="1">IF(AND(N3804&lt;&gt;N3803,ISNUMBER(SEARCH(Лист2!$B$6,N:N)),L3804=2),MAX($M$3:OFFSET(M3804,-1,0))+1,0)</f>
        <v>0</v>
      </c>
      <c r="N3804" s="3" t="s">
        <v>2397</v>
      </c>
    </row>
    <row r="3805" spans="1:14" x14ac:dyDescent="0.25">
      <c r="A3805" s="1" t="s">
        <v>12602</v>
      </c>
      <c r="B3805" s="3" t="s">
        <v>7429</v>
      </c>
      <c r="C3805" s="2">
        <f ca="1">IF(ISNUMBER(SEARCH(Лист2!$B$4,D:D)),MAX($C$3:OFFSET(C3805,-1,0))+1,0)</f>
        <v>0</v>
      </c>
      <c r="E3805" s="9" t="str">
        <f t="shared" ca="1" si="71"/>
        <v/>
      </c>
      <c r="F3805" s="4" t="s">
        <v>14</v>
      </c>
      <c r="G3805" s="2">
        <f>IF(ISNUMBER(SEARCH(Лист2!$B$4,F:F)),1,0)</f>
        <v>0</v>
      </c>
      <c r="H3805" s="3">
        <f ca="1">IF(AND(I3805&lt;&gt;I3804,ISNUMBER(SEARCH(Лист2!$B$5,I:I)),G3805=1),MAX($H$3:OFFSET(H3805,-1,0))+1,0)</f>
        <v>0</v>
      </c>
      <c r="I3805" s="3" t="s">
        <v>326</v>
      </c>
      <c r="K3805" s="2">
        <f>IF(ISNUMBER(SEARCH(Лист2!$B$4,F:F)),1,0)</f>
        <v>0</v>
      </c>
      <c r="L3805" s="14">
        <f>IF(ISNUMBER(SEARCH(Лист2!$B$5,I:I)),1,0)+K3805</f>
        <v>0</v>
      </c>
      <c r="M3805" s="3">
        <f ca="1">IF(AND(N3805&lt;&gt;N3804,ISNUMBER(SEARCH(Лист2!$B$6,N:N)),L3805=2),MAX($M$3:OFFSET(M3805,-1,0))+1,0)</f>
        <v>0</v>
      </c>
      <c r="N3805" s="3" t="s">
        <v>2398</v>
      </c>
    </row>
    <row r="3806" spans="1:14" x14ac:dyDescent="0.25">
      <c r="A3806" s="1" t="s">
        <v>12603</v>
      </c>
      <c r="B3806" s="3" t="s">
        <v>7430</v>
      </c>
      <c r="C3806" s="2">
        <f ca="1">IF(ISNUMBER(SEARCH(Лист2!$B$4,D:D)),MAX($C$3:OFFSET(C3806,-1,0))+1,0)</f>
        <v>0</v>
      </c>
      <c r="E3806" s="9" t="str">
        <f t="shared" ca="1" si="71"/>
        <v/>
      </c>
      <c r="F3806" s="4" t="s">
        <v>14</v>
      </c>
      <c r="G3806" s="2">
        <f>IF(ISNUMBER(SEARCH(Лист2!$B$4,F:F)),1,0)</f>
        <v>0</v>
      </c>
      <c r="H3806" s="3">
        <f ca="1">IF(AND(I3806&lt;&gt;I3805,ISNUMBER(SEARCH(Лист2!$B$5,I:I)),G3806=1),MAX($H$3:OFFSET(H3806,-1,0))+1,0)</f>
        <v>0</v>
      </c>
      <c r="I3806" s="3" t="s">
        <v>326</v>
      </c>
      <c r="K3806" s="2">
        <f>IF(ISNUMBER(SEARCH(Лист2!$B$4,F:F)),1,0)</f>
        <v>0</v>
      </c>
      <c r="L3806" s="14">
        <f>IF(ISNUMBER(SEARCH(Лист2!$B$5,I:I)),1,0)+K3806</f>
        <v>0</v>
      </c>
      <c r="M3806" s="3">
        <f ca="1">IF(AND(N3806&lt;&gt;N3805,ISNUMBER(SEARCH(Лист2!$B$6,N:N)),L3806=2),MAX($M$3:OFFSET(M3806,-1,0))+1,0)</f>
        <v>0</v>
      </c>
      <c r="N3806" s="3" t="s">
        <v>2399</v>
      </c>
    </row>
    <row r="3807" spans="1:14" x14ac:dyDescent="0.25">
      <c r="A3807" s="1" t="s">
        <v>12604</v>
      </c>
      <c r="B3807" s="3" t="s">
        <v>7431</v>
      </c>
      <c r="C3807" s="2">
        <f ca="1">IF(ISNUMBER(SEARCH(Лист2!$B$4,D:D)),MAX($C$3:OFFSET(C3807,-1,0))+1,0)</f>
        <v>0</v>
      </c>
      <c r="E3807" s="9" t="str">
        <f t="shared" ca="1" si="71"/>
        <v/>
      </c>
      <c r="F3807" s="4" t="s">
        <v>14</v>
      </c>
      <c r="G3807" s="2">
        <f>IF(ISNUMBER(SEARCH(Лист2!$B$4,F:F)),1,0)</f>
        <v>0</v>
      </c>
      <c r="H3807" s="3">
        <f ca="1">IF(AND(I3807&lt;&gt;I3806,ISNUMBER(SEARCH(Лист2!$B$5,I:I)),G3807=1),MAX($H$3:OFFSET(H3807,-1,0))+1,0)</f>
        <v>0</v>
      </c>
      <c r="I3807" s="3" t="s">
        <v>326</v>
      </c>
      <c r="K3807" s="2">
        <f>IF(ISNUMBER(SEARCH(Лист2!$B$4,F:F)),1,0)</f>
        <v>0</v>
      </c>
      <c r="L3807" s="14">
        <f>IF(ISNUMBER(SEARCH(Лист2!$B$5,I:I)),1,0)+K3807</f>
        <v>0</v>
      </c>
      <c r="M3807" s="3">
        <f ca="1">IF(AND(N3807&lt;&gt;N3806,ISNUMBER(SEARCH(Лист2!$B$6,N:N)),L3807=2),MAX($M$3:OFFSET(M3807,-1,0))+1,0)</f>
        <v>0</v>
      </c>
      <c r="N3807" s="3" t="s">
        <v>2400</v>
      </c>
    </row>
    <row r="3808" spans="1:14" x14ac:dyDescent="0.25">
      <c r="A3808" s="1" t="s">
        <v>12605</v>
      </c>
      <c r="B3808" s="3" t="s">
        <v>7432</v>
      </c>
      <c r="C3808" s="2">
        <f ca="1">IF(ISNUMBER(SEARCH(Лист2!$B$4,D:D)),MAX($C$3:OFFSET(C3808,-1,0))+1,0)</f>
        <v>0</v>
      </c>
      <c r="E3808" s="9" t="str">
        <f t="shared" ca="1" si="71"/>
        <v/>
      </c>
      <c r="F3808" s="4" t="s">
        <v>14</v>
      </c>
      <c r="G3808" s="2">
        <f>IF(ISNUMBER(SEARCH(Лист2!$B$4,F:F)),1,0)</f>
        <v>0</v>
      </c>
      <c r="H3808" s="3">
        <f ca="1">IF(AND(I3808&lt;&gt;I3807,ISNUMBER(SEARCH(Лист2!$B$5,I:I)),G3808=1),MAX($H$3:OFFSET(H3808,-1,0))+1,0)</f>
        <v>0</v>
      </c>
      <c r="I3808" s="3" t="s">
        <v>326</v>
      </c>
      <c r="K3808" s="2">
        <f>IF(ISNUMBER(SEARCH(Лист2!$B$4,F:F)),1,0)</f>
        <v>0</v>
      </c>
      <c r="L3808" s="14">
        <f>IF(ISNUMBER(SEARCH(Лист2!$B$5,I:I)),1,0)+K3808</f>
        <v>0</v>
      </c>
      <c r="M3808" s="3">
        <f ca="1">IF(AND(N3808&lt;&gt;N3807,ISNUMBER(SEARCH(Лист2!$B$6,N:N)),L3808=2),MAX($M$3:OFFSET(M3808,-1,0))+1,0)</f>
        <v>0</v>
      </c>
      <c r="N3808" s="3" t="s">
        <v>2401</v>
      </c>
    </row>
    <row r="3809" spans="1:14" x14ac:dyDescent="0.25">
      <c r="A3809" s="1" t="s">
        <v>12606</v>
      </c>
      <c r="B3809" s="3" t="s">
        <v>7433</v>
      </c>
      <c r="C3809" s="2">
        <f ca="1">IF(ISNUMBER(SEARCH(Лист2!$B$4,D:D)),MAX($C$3:OFFSET(C3809,-1,0))+1,0)</f>
        <v>0</v>
      </c>
      <c r="E3809" s="9" t="str">
        <f t="shared" ca="1" si="71"/>
        <v/>
      </c>
      <c r="F3809" s="4" t="s">
        <v>14</v>
      </c>
      <c r="G3809" s="2">
        <f>IF(ISNUMBER(SEARCH(Лист2!$B$4,F:F)),1,0)</f>
        <v>0</v>
      </c>
      <c r="H3809" s="3">
        <f ca="1">IF(AND(I3809&lt;&gt;I3808,ISNUMBER(SEARCH(Лист2!$B$5,I:I)),G3809=1),MAX($H$3:OFFSET(H3809,-1,0))+1,0)</f>
        <v>0</v>
      </c>
      <c r="I3809" s="3" t="s">
        <v>326</v>
      </c>
      <c r="K3809" s="2">
        <f>IF(ISNUMBER(SEARCH(Лист2!$B$4,F:F)),1,0)</f>
        <v>0</v>
      </c>
      <c r="L3809" s="14">
        <f>IF(ISNUMBER(SEARCH(Лист2!$B$5,I:I)),1,0)+K3809</f>
        <v>0</v>
      </c>
      <c r="M3809" s="3">
        <f ca="1">IF(AND(N3809&lt;&gt;N3808,ISNUMBER(SEARCH(Лист2!$B$6,N:N)),L3809=2),MAX($M$3:OFFSET(M3809,-1,0))+1,0)</f>
        <v>0</v>
      </c>
      <c r="N3809" s="3" t="s">
        <v>2402</v>
      </c>
    </row>
    <row r="3810" spans="1:14" x14ac:dyDescent="0.25">
      <c r="A3810" s="1" t="s">
        <v>12607</v>
      </c>
      <c r="B3810" s="3" t="s">
        <v>7434</v>
      </c>
      <c r="C3810" s="2">
        <f ca="1">IF(ISNUMBER(SEARCH(Лист2!$B$4,D:D)),MAX($C$3:OFFSET(C3810,-1,0))+1,0)</f>
        <v>0</v>
      </c>
      <c r="E3810" s="9" t="str">
        <f t="shared" ca="1" si="71"/>
        <v/>
      </c>
      <c r="F3810" s="4" t="s">
        <v>14</v>
      </c>
      <c r="G3810" s="2">
        <f>IF(ISNUMBER(SEARCH(Лист2!$B$4,F:F)),1,0)</f>
        <v>0</v>
      </c>
      <c r="H3810" s="3">
        <f ca="1">IF(AND(I3810&lt;&gt;I3809,ISNUMBER(SEARCH(Лист2!$B$5,I:I)),G3810=1),MAX($H$3:OFFSET(H3810,-1,0))+1,0)</f>
        <v>0</v>
      </c>
      <c r="I3810" s="3" t="s">
        <v>326</v>
      </c>
      <c r="K3810" s="2">
        <f>IF(ISNUMBER(SEARCH(Лист2!$B$4,F:F)),1,0)</f>
        <v>0</v>
      </c>
      <c r="L3810" s="14">
        <f>IF(ISNUMBER(SEARCH(Лист2!$B$5,I:I)),1,0)+K3810</f>
        <v>0</v>
      </c>
      <c r="M3810" s="3">
        <f ca="1">IF(AND(N3810&lt;&gt;N3809,ISNUMBER(SEARCH(Лист2!$B$6,N:N)),L3810=2),MAX($M$3:OFFSET(M3810,-1,0))+1,0)</f>
        <v>0</v>
      </c>
      <c r="N3810" s="3" t="s">
        <v>2403</v>
      </c>
    </row>
    <row r="3811" spans="1:14" x14ac:dyDescent="0.25">
      <c r="A3811" s="1" t="s">
        <v>12608</v>
      </c>
      <c r="B3811" s="3" t="s">
        <v>7435</v>
      </c>
      <c r="C3811" s="2">
        <f ca="1">IF(ISNUMBER(SEARCH(Лист2!$B$4,D:D)),MAX($C$3:OFFSET(C3811,-1,0))+1,0)</f>
        <v>0</v>
      </c>
      <c r="E3811" s="9" t="str">
        <f t="shared" ca="1" si="71"/>
        <v/>
      </c>
      <c r="F3811" s="4" t="s">
        <v>14</v>
      </c>
      <c r="G3811" s="2">
        <f>IF(ISNUMBER(SEARCH(Лист2!$B$4,F:F)),1,0)</f>
        <v>0</v>
      </c>
      <c r="H3811" s="3">
        <f ca="1">IF(AND(I3811&lt;&gt;I3810,ISNUMBER(SEARCH(Лист2!$B$5,I:I)),G3811=1),MAX($H$3:OFFSET(H3811,-1,0))+1,0)</f>
        <v>0</v>
      </c>
      <c r="I3811" s="3" t="s">
        <v>326</v>
      </c>
      <c r="K3811" s="2">
        <f>IF(ISNUMBER(SEARCH(Лист2!$B$4,F:F)),1,0)</f>
        <v>0</v>
      </c>
      <c r="L3811" s="14">
        <f>IF(ISNUMBER(SEARCH(Лист2!$B$5,I:I)),1,0)+K3811</f>
        <v>0</v>
      </c>
      <c r="M3811" s="3">
        <f ca="1">IF(AND(N3811&lt;&gt;N3810,ISNUMBER(SEARCH(Лист2!$B$6,N:N)),L3811=2),MAX($M$3:OFFSET(M3811,-1,0))+1,0)</f>
        <v>0</v>
      </c>
      <c r="N3811" s="3" t="s">
        <v>2404</v>
      </c>
    </row>
    <row r="3812" spans="1:14" x14ac:dyDescent="0.25">
      <c r="A3812" s="1" t="s">
        <v>12609</v>
      </c>
      <c r="B3812" s="3" t="s">
        <v>7436</v>
      </c>
      <c r="C3812" s="2">
        <f ca="1">IF(ISNUMBER(SEARCH(Лист2!$B$4,D:D)),MAX($C$3:OFFSET(C3812,-1,0))+1,0)</f>
        <v>0</v>
      </c>
      <c r="E3812" s="9" t="str">
        <f t="shared" ca="1" si="71"/>
        <v/>
      </c>
      <c r="F3812" s="4" t="s">
        <v>14</v>
      </c>
      <c r="G3812" s="2">
        <f>IF(ISNUMBER(SEARCH(Лист2!$B$4,F:F)),1,0)</f>
        <v>0</v>
      </c>
      <c r="H3812" s="3">
        <f ca="1">IF(AND(I3812&lt;&gt;I3811,ISNUMBER(SEARCH(Лист2!$B$5,I:I)),G3812=1),MAX($H$3:OFFSET(H3812,-1,0))+1,0)</f>
        <v>0</v>
      </c>
      <c r="I3812" s="3" t="s">
        <v>326</v>
      </c>
      <c r="K3812" s="2">
        <f>IF(ISNUMBER(SEARCH(Лист2!$B$4,F:F)),1,0)</f>
        <v>0</v>
      </c>
      <c r="L3812" s="14">
        <f>IF(ISNUMBER(SEARCH(Лист2!$B$5,I:I)),1,0)+K3812</f>
        <v>0</v>
      </c>
      <c r="M3812" s="3">
        <f ca="1">IF(AND(N3812&lt;&gt;N3811,ISNUMBER(SEARCH(Лист2!$B$6,N:N)),L3812=2),MAX($M$3:OFFSET(M3812,-1,0))+1,0)</f>
        <v>0</v>
      </c>
      <c r="N3812" s="3" t="s">
        <v>2405</v>
      </c>
    </row>
    <row r="3813" spans="1:14" x14ac:dyDescent="0.25">
      <c r="A3813" s="1" t="s">
        <v>12610</v>
      </c>
      <c r="B3813" s="3" t="s">
        <v>7437</v>
      </c>
      <c r="C3813" s="2">
        <f ca="1">IF(ISNUMBER(SEARCH(Лист2!$B$4,D:D)),MAX($C$3:OFFSET(C3813,-1,0))+1,0)</f>
        <v>0</v>
      </c>
      <c r="E3813" s="9" t="str">
        <f t="shared" ca="1" si="71"/>
        <v/>
      </c>
      <c r="F3813" s="4" t="s">
        <v>14</v>
      </c>
      <c r="G3813" s="2">
        <f>IF(ISNUMBER(SEARCH(Лист2!$B$4,F:F)),1,0)</f>
        <v>0</v>
      </c>
      <c r="H3813" s="3">
        <f ca="1">IF(AND(I3813&lt;&gt;I3812,ISNUMBER(SEARCH(Лист2!$B$5,I:I)),G3813=1),MAX($H$3:OFFSET(H3813,-1,0))+1,0)</f>
        <v>0</v>
      </c>
      <c r="I3813" s="3" t="s">
        <v>326</v>
      </c>
      <c r="K3813" s="2">
        <f>IF(ISNUMBER(SEARCH(Лист2!$B$4,F:F)),1,0)</f>
        <v>0</v>
      </c>
      <c r="L3813" s="14">
        <f>IF(ISNUMBER(SEARCH(Лист2!$B$5,I:I)),1,0)+K3813</f>
        <v>0</v>
      </c>
      <c r="M3813" s="3">
        <f ca="1">IF(AND(N3813&lt;&gt;N3812,ISNUMBER(SEARCH(Лист2!$B$6,N:N)),L3813=2),MAX($M$3:OFFSET(M3813,-1,0))+1,0)</f>
        <v>0</v>
      </c>
      <c r="N3813" s="3" t="s">
        <v>2406</v>
      </c>
    </row>
    <row r="3814" spans="1:14" x14ac:dyDescent="0.25">
      <c r="A3814" s="1" t="s">
        <v>12611</v>
      </c>
      <c r="B3814" s="3" t="s">
        <v>7438</v>
      </c>
      <c r="C3814" s="2">
        <f ca="1">IF(ISNUMBER(SEARCH(Лист2!$B$4,D:D)),MAX($C$3:OFFSET(C3814,-1,0))+1,0)</f>
        <v>0</v>
      </c>
      <c r="E3814" s="9" t="str">
        <f t="shared" ca="1" si="71"/>
        <v/>
      </c>
      <c r="F3814" s="4" t="s">
        <v>14</v>
      </c>
      <c r="G3814" s="2">
        <f>IF(ISNUMBER(SEARCH(Лист2!$B$4,F:F)),1,0)</f>
        <v>0</v>
      </c>
      <c r="H3814" s="3">
        <f ca="1">IF(AND(I3814&lt;&gt;I3813,ISNUMBER(SEARCH(Лист2!$B$5,I:I)),G3814=1),MAX($H$3:OFFSET(H3814,-1,0))+1,0)</f>
        <v>0</v>
      </c>
      <c r="I3814" s="3" t="s">
        <v>326</v>
      </c>
      <c r="K3814" s="2">
        <f>IF(ISNUMBER(SEARCH(Лист2!$B$4,F:F)),1,0)</f>
        <v>0</v>
      </c>
      <c r="L3814" s="14">
        <f>IF(ISNUMBER(SEARCH(Лист2!$B$5,I:I)),1,0)+K3814</f>
        <v>0</v>
      </c>
      <c r="M3814" s="3">
        <f ca="1">IF(AND(N3814&lt;&gt;N3813,ISNUMBER(SEARCH(Лист2!$B$6,N:N)),L3814=2),MAX($M$3:OFFSET(M3814,-1,0))+1,0)</f>
        <v>0</v>
      </c>
      <c r="N3814" s="3" t="s">
        <v>2407</v>
      </c>
    </row>
    <row r="3815" spans="1:14" x14ac:dyDescent="0.25">
      <c r="A3815" s="1" t="s">
        <v>12612</v>
      </c>
      <c r="B3815" s="3" t="s">
        <v>7439</v>
      </c>
      <c r="C3815" s="2">
        <f ca="1">IF(ISNUMBER(SEARCH(Лист2!$B$4,D:D)),MAX($C$3:OFFSET(C3815,-1,0))+1,0)</f>
        <v>0</v>
      </c>
      <c r="E3815" s="9" t="str">
        <f t="shared" ca="1" si="71"/>
        <v/>
      </c>
      <c r="F3815" s="4" t="s">
        <v>14</v>
      </c>
      <c r="G3815" s="2">
        <f>IF(ISNUMBER(SEARCH(Лист2!$B$4,F:F)),1,0)</f>
        <v>0</v>
      </c>
      <c r="H3815" s="3">
        <f ca="1">IF(AND(I3815&lt;&gt;I3814,ISNUMBER(SEARCH(Лист2!$B$5,I:I)),G3815=1),MAX($H$3:OFFSET(H3815,-1,0))+1,0)</f>
        <v>0</v>
      </c>
      <c r="I3815" s="3" t="s">
        <v>326</v>
      </c>
      <c r="K3815" s="2">
        <f>IF(ISNUMBER(SEARCH(Лист2!$B$4,F:F)),1,0)</f>
        <v>0</v>
      </c>
      <c r="L3815" s="14">
        <f>IF(ISNUMBER(SEARCH(Лист2!$B$5,I:I)),1,0)+K3815</f>
        <v>0</v>
      </c>
      <c r="M3815" s="3">
        <f ca="1">IF(AND(N3815&lt;&gt;N3814,ISNUMBER(SEARCH(Лист2!$B$6,N:N)),L3815=2),MAX($M$3:OFFSET(M3815,-1,0))+1,0)</f>
        <v>0</v>
      </c>
      <c r="N3815" s="3" t="s">
        <v>2408</v>
      </c>
    </row>
    <row r="3816" spans="1:14" x14ac:dyDescent="0.25">
      <c r="A3816" s="1" t="s">
        <v>12613</v>
      </c>
      <c r="B3816" s="3" t="s">
        <v>7440</v>
      </c>
      <c r="C3816" s="2">
        <f ca="1">IF(ISNUMBER(SEARCH(Лист2!$B$4,D:D)),MAX($C$3:OFFSET(C3816,-1,0))+1,0)</f>
        <v>0</v>
      </c>
      <c r="E3816" s="9" t="str">
        <f t="shared" ca="1" si="71"/>
        <v/>
      </c>
      <c r="F3816" s="4" t="s">
        <v>14</v>
      </c>
      <c r="G3816" s="2">
        <f>IF(ISNUMBER(SEARCH(Лист2!$B$4,F:F)),1,0)</f>
        <v>0</v>
      </c>
      <c r="H3816" s="3">
        <f ca="1">IF(AND(I3816&lt;&gt;I3815,ISNUMBER(SEARCH(Лист2!$B$5,I:I)),G3816=1),MAX($H$3:OFFSET(H3816,-1,0))+1,0)</f>
        <v>0</v>
      </c>
      <c r="I3816" s="3" t="s">
        <v>326</v>
      </c>
      <c r="K3816" s="2">
        <f>IF(ISNUMBER(SEARCH(Лист2!$B$4,F:F)),1,0)</f>
        <v>0</v>
      </c>
      <c r="L3816" s="14">
        <f>IF(ISNUMBER(SEARCH(Лист2!$B$5,I:I)),1,0)+K3816</f>
        <v>0</v>
      </c>
      <c r="M3816" s="3">
        <f ca="1">IF(AND(N3816&lt;&gt;N3815,ISNUMBER(SEARCH(Лист2!$B$6,N:N)),L3816=2),MAX($M$3:OFFSET(M3816,-1,0))+1,0)</f>
        <v>0</v>
      </c>
      <c r="N3816" s="3" t="s">
        <v>2409</v>
      </c>
    </row>
    <row r="3817" spans="1:14" x14ac:dyDescent="0.25">
      <c r="A3817" s="1" t="s">
        <v>12614</v>
      </c>
      <c r="B3817" s="3" t="s">
        <v>7441</v>
      </c>
      <c r="C3817" s="2">
        <f ca="1">IF(ISNUMBER(SEARCH(Лист2!$B$4,D:D)),MAX($C$3:OFFSET(C3817,-1,0))+1,0)</f>
        <v>0</v>
      </c>
      <c r="E3817" s="9" t="str">
        <f t="shared" ca="1" si="71"/>
        <v/>
      </c>
      <c r="F3817" s="4" t="s">
        <v>14</v>
      </c>
      <c r="G3817" s="2">
        <f>IF(ISNUMBER(SEARCH(Лист2!$B$4,F:F)),1,0)</f>
        <v>0</v>
      </c>
      <c r="H3817" s="3">
        <f ca="1">IF(AND(I3817&lt;&gt;I3816,ISNUMBER(SEARCH(Лист2!$B$5,I:I)),G3817=1),MAX($H$3:OFFSET(H3817,-1,0))+1,0)</f>
        <v>0</v>
      </c>
      <c r="I3817" s="3" t="s">
        <v>326</v>
      </c>
      <c r="K3817" s="2">
        <f>IF(ISNUMBER(SEARCH(Лист2!$B$4,F:F)),1,0)</f>
        <v>0</v>
      </c>
      <c r="L3817" s="14">
        <f>IF(ISNUMBER(SEARCH(Лист2!$B$5,I:I)),1,0)+K3817</f>
        <v>0</v>
      </c>
      <c r="M3817" s="3">
        <f ca="1">IF(AND(N3817&lt;&gt;N3816,ISNUMBER(SEARCH(Лист2!$B$6,N:N)),L3817=2),MAX($M$3:OFFSET(M3817,-1,0))+1,0)</f>
        <v>0</v>
      </c>
      <c r="N3817" s="3" t="s">
        <v>2372</v>
      </c>
    </row>
    <row r="3818" spans="1:14" x14ac:dyDescent="0.25">
      <c r="A3818" s="1" t="s">
        <v>12615</v>
      </c>
      <c r="B3818" s="3" t="s">
        <v>7442</v>
      </c>
      <c r="C3818" s="2">
        <f ca="1">IF(ISNUMBER(SEARCH(Лист2!$B$4,D:D)),MAX($C$3:OFFSET(C3818,-1,0))+1,0)</f>
        <v>0</v>
      </c>
      <c r="E3818" s="9" t="str">
        <f t="shared" ca="1" si="71"/>
        <v/>
      </c>
      <c r="F3818" s="4" t="s">
        <v>14</v>
      </c>
      <c r="G3818" s="2">
        <f>IF(ISNUMBER(SEARCH(Лист2!$B$4,F:F)),1,0)</f>
        <v>0</v>
      </c>
      <c r="H3818" s="3">
        <f ca="1">IF(AND(I3818&lt;&gt;I3817,ISNUMBER(SEARCH(Лист2!$B$5,I:I)),G3818=1),MAX($H$3:OFFSET(H3818,-1,0))+1,0)</f>
        <v>0</v>
      </c>
      <c r="I3818" s="3" t="s">
        <v>326</v>
      </c>
      <c r="K3818" s="2">
        <f>IF(ISNUMBER(SEARCH(Лист2!$B$4,F:F)),1,0)</f>
        <v>0</v>
      </c>
      <c r="L3818" s="14">
        <f>IF(ISNUMBER(SEARCH(Лист2!$B$5,I:I)),1,0)+K3818</f>
        <v>0</v>
      </c>
      <c r="M3818" s="3">
        <f ca="1">IF(AND(N3818&lt;&gt;N3817,ISNUMBER(SEARCH(Лист2!$B$6,N:N)),L3818=2),MAX($M$3:OFFSET(M3818,-1,0))+1,0)</f>
        <v>0</v>
      </c>
      <c r="N3818" s="3" t="s">
        <v>2373</v>
      </c>
    </row>
    <row r="3819" spans="1:14" x14ac:dyDescent="0.25">
      <c r="A3819" s="1" t="s">
        <v>12616</v>
      </c>
      <c r="B3819" s="3" t="s">
        <v>7443</v>
      </c>
      <c r="C3819" s="2">
        <f ca="1">IF(ISNUMBER(SEARCH(Лист2!$B$4,D:D)),MAX($C$3:OFFSET(C3819,-1,0))+1,0)</f>
        <v>0</v>
      </c>
      <c r="E3819" s="9" t="str">
        <f t="shared" ca="1" si="71"/>
        <v/>
      </c>
      <c r="F3819" s="4" t="s">
        <v>14</v>
      </c>
      <c r="G3819" s="2">
        <f>IF(ISNUMBER(SEARCH(Лист2!$B$4,F:F)),1,0)</f>
        <v>0</v>
      </c>
      <c r="H3819" s="3">
        <f ca="1">IF(AND(I3819&lt;&gt;I3818,ISNUMBER(SEARCH(Лист2!$B$5,I:I)),G3819=1),MAX($H$3:OFFSET(H3819,-1,0))+1,0)</f>
        <v>0</v>
      </c>
      <c r="I3819" s="3" t="s">
        <v>326</v>
      </c>
      <c r="K3819" s="2">
        <f>IF(ISNUMBER(SEARCH(Лист2!$B$4,F:F)),1,0)</f>
        <v>0</v>
      </c>
      <c r="L3819" s="14">
        <f>IF(ISNUMBER(SEARCH(Лист2!$B$5,I:I)),1,0)+K3819</f>
        <v>0</v>
      </c>
      <c r="M3819" s="3">
        <f ca="1">IF(AND(N3819&lt;&gt;N3818,ISNUMBER(SEARCH(Лист2!$B$6,N:N)),L3819=2),MAX($M$3:OFFSET(M3819,-1,0))+1,0)</f>
        <v>0</v>
      </c>
      <c r="N3819" s="3" t="s">
        <v>2410</v>
      </c>
    </row>
    <row r="3820" spans="1:14" x14ac:dyDescent="0.25">
      <c r="A3820" s="1" t="s">
        <v>12617</v>
      </c>
      <c r="B3820" s="3" t="s">
        <v>7444</v>
      </c>
      <c r="C3820" s="2">
        <f ca="1">IF(ISNUMBER(SEARCH(Лист2!$B$4,D:D)),MAX($C$3:OFFSET(C3820,-1,0))+1,0)</f>
        <v>0</v>
      </c>
      <c r="E3820" s="9" t="str">
        <f t="shared" ca="1" si="71"/>
        <v/>
      </c>
      <c r="F3820" s="4" t="s">
        <v>14</v>
      </c>
      <c r="G3820" s="2">
        <f>IF(ISNUMBER(SEARCH(Лист2!$B$4,F:F)),1,0)</f>
        <v>0</v>
      </c>
      <c r="H3820" s="3">
        <f ca="1">IF(AND(I3820&lt;&gt;I3819,ISNUMBER(SEARCH(Лист2!$B$5,I:I)),G3820=1),MAX($H$3:OFFSET(H3820,-1,0))+1,0)</f>
        <v>0</v>
      </c>
      <c r="I3820" s="3" t="s">
        <v>326</v>
      </c>
      <c r="K3820" s="2">
        <f>IF(ISNUMBER(SEARCH(Лист2!$B$4,F:F)),1,0)</f>
        <v>0</v>
      </c>
      <c r="L3820" s="14">
        <f>IF(ISNUMBER(SEARCH(Лист2!$B$5,I:I)),1,0)+K3820</f>
        <v>0</v>
      </c>
      <c r="M3820" s="3">
        <f ca="1">IF(AND(N3820&lt;&gt;N3819,ISNUMBER(SEARCH(Лист2!$B$6,N:N)),L3820=2),MAX($M$3:OFFSET(M3820,-1,0))+1,0)</f>
        <v>0</v>
      </c>
      <c r="N3820" s="3" t="s">
        <v>2411</v>
      </c>
    </row>
    <row r="3821" spans="1:14" x14ac:dyDescent="0.25">
      <c r="A3821" s="1" t="s">
        <v>12618</v>
      </c>
      <c r="B3821" s="3" t="s">
        <v>7445</v>
      </c>
      <c r="C3821" s="2">
        <f ca="1">IF(ISNUMBER(SEARCH(Лист2!$B$4,D:D)),MAX($C$3:OFFSET(C3821,-1,0))+1,0)</f>
        <v>0</v>
      </c>
      <c r="E3821" s="9" t="str">
        <f t="shared" ca="1" si="71"/>
        <v/>
      </c>
      <c r="F3821" s="4" t="s">
        <v>14</v>
      </c>
      <c r="G3821" s="2">
        <f>IF(ISNUMBER(SEARCH(Лист2!$B$4,F:F)),1,0)</f>
        <v>0</v>
      </c>
      <c r="H3821" s="3">
        <f ca="1">IF(AND(I3821&lt;&gt;I3820,ISNUMBER(SEARCH(Лист2!$B$5,I:I)),G3821=1),MAX($H$3:OFFSET(H3821,-1,0))+1,0)</f>
        <v>0</v>
      </c>
      <c r="I3821" s="3" t="s">
        <v>326</v>
      </c>
      <c r="K3821" s="2">
        <f>IF(ISNUMBER(SEARCH(Лист2!$B$4,F:F)),1,0)</f>
        <v>0</v>
      </c>
      <c r="L3821" s="14">
        <f>IF(ISNUMBER(SEARCH(Лист2!$B$5,I:I)),1,0)+K3821</f>
        <v>0</v>
      </c>
      <c r="M3821" s="3">
        <f ca="1">IF(AND(N3821&lt;&gt;N3820,ISNUMBER(SEARCH(Лист2!$B$6,N:N)),L3821=2),MAX($M$3:OFFSET(M3821,-1,0))+1,0)</f>
        <v>0</v>
      </c>
      <c r="N3821" s="3" t="s">
        <v>2412</v>
      </c>
    </row>
    <row r="3822" spans="1:14" x14ac:dyDescent="0.25">
      <c r="A3822" s="1" t="s">
        <v>12619</v>
      </c>
      <c r="B3822" s="3" t="s">
        <v>7446</v>
      </c>
      <c r="C3822" s="2">
        <f ca="1">IF(ISNUMBER(SEARCH(Лист2!$B$4,D:D)),MAX($C$3:OFFSET(C3822,-1,0))+1,0)</f>
        <v>0</v>
      </c>
      <c r="E3822" s="9" t="str">
        <f t="shared" ca="1" si="71"/>
        <v/>
      </c>
      <c r="F3822" s="4" t="s">
        <v>14</v>
      </c>
      <c r="G3822" s="2">
        <f>IF(ISNUMBER(SEARCH(Лист2!$B$4,F:F)),1,0)</f>
        <v>0</v>
      </c>
      <c r="H3822" s="3">
        <f ca="1">IF(AND(I3822&lt;&gt;I3821,ISNUMBER(SEARCH(Лист2!$B$5,I:I)),G3822=1),MAX($H$3:OFFSET(H3822,-1,0))+1,0)</f>
        <v>0</v>
      </c>
      <c r="I3822" s="3" t="s">
        <v>326</v>
      </c>
      <c r="K3822" s="2">
        <f>IF(ISNUMBER(SEARCH(Лист2!$B$4,F:F)),1,0)</f>
        <v>0</v>
      </c>
      <c r="L3822" s="14">
        <f>IF(ISNUMBER(SEARCH(Лист2!$B$5,I:I)),1,0)+K3822</f>
        <v>0</v>
      </c>
      <c r="M3822" s="3">
        <f ca="1">IF(AND(N3822&lt;&gt;N3821,ISNUMBER(SEARCH(Лист2!$B$6,N:N)),L3822=2),MAX($M$3:OFFSET(M3822,-1,0))+1,0)</f>
        <v>0</v>
      </c>
      <c r="N3822" s="3" t="s">
        <v>2413</v>
      </c>
    </row>
    <row r="3823" spans="1:14" x14ac:dyDescent="0.25">
      <c r="A3823" s="1" t="s">
        <v>12620</v>
      </c>
      <c r="B3823" s="3" t="s">
        <v>7447</v>
      </c>
      <c r="C3823" s="2">
        <f ca="1">IF(ISNUMBER(SEARCH(Лист2!$B$4,D:D)),MAX($C$3:OFFSET(C3823,-1,0))+1,0)</f>
        <v>0</v>
      </c>
      <c r="E3823" s="9" t="str">
        <f t="shared" ca="1" si="71"/>
        <v/>
      </c>
      <c r="F3823" s="4" t="s">
        <v>14</v>
      </c>
      <c r="G3823" s="2">
        <f>IF(ISNUMBER(SEARCH(Лист2!$B$4,F:F)),1,0)</f>
        <v>0</v>
      </c>
      <c r="H3823" s="3">
        <f ca="1">IF(AND(I3823&lt;&gt;I3822,ISNUMBER(SEARCH(Лист2!$B$5,I:I)),G3823=1),MAX($H$3:OFFSET(H3823,-1,0))+1,0)</f>
        <v>0</v>
      </c>
      <c r="I3823" s="3" t="s">
        <v>326</v>
      </c>
      <c r="K3823" s="2">
        <f>IF(ISNUMBER(SEARCH(Лист2!$B$4,F:F)),1,0)</f>
        <v>0</v>
      </c>
      <c r="L3823" s="14">
        <f>IF(ISNUMBER(SEARCH(Лист2!$B$5,I:I)),1,0)+K3823</f>
        <v>0</v>
      </c>
      <c r="M3823" s="3">
        <f ca="1">IF(AND(N3823&lt;&gt;N3822,ISNUMBER(SEARCH(Лист2!$B$6,N:N)),L3823=2),MAX($M$3:OFFSET(M3823,-1,0))+1,0)</f>
        <v>0</v>
      </c>
      <c r="N3823" s="3" t="s">
        <v>2414</v>
      </c>
    </row>
    <row r="3824" spans="1:14" x14ac:dyDescent="0.25">
      <c r="A3824" s="1" t="s">
        <v>12621</v>
      </c>
      <c r="B3824" s="3" t="s">
        <v>7448</v>
      </c>
      <c r="C3824" s="2">
        <f ca="1">IF(ISNUMBER(SEARCH(Лист2!$B$4,D:D)),MAX($C$3:OFFSET(C3824,-1,0))+1,0)</f>
        <v>0</v>
      </c>
      <c r="E3824" s="9" t="str">
        <f t="shared" ca="1" si="71"/>
        <v/>
      </c>
      <c r="F3824" s="4" t="s">
        <v>14</v>
      </c>
      <c r="G3824" s="2">
        <f>IF(ISNUMBER(SEARCH(Лист2!$B$4,F:F)),1,0)</f>
        <v>0</v>
      </c>
      <c r="H3824" s="3">
        <f ca="1">IF(AND(I3824&lt;&gt;I3823,ISNUMBER(SEARCH(Лист2!$B$5,I:I)),G3824=1),MAX($H$3:OFFSET(H3824,-1,0))+1,0)</f>
        <v>0</v>
      </c>
      <c r="I3824" s="3" t="s">
        <v>326</v>
      </c>
      <c r="K3824" s="2">
        <f>IF(ISNUMBER(SEARCH(Лист2!$B$4,F:F)),1,0)</f>
        <v>0</v>
      </c>
      <c r="L3824" s="14">
        <f>IF(ISNUMBER(SEARCH(Лист2!$B$5,I:I)),1,0)+K3824</f>
        <v>0</v>
      </c>
      <c r="M3824" s="3">
        <f ca="1">IF(AND(N3824&lt;&gt;N3823,ISNUMBER(SEARCH(Лист2!$B$6,N:N)),L3824=2),MAX($M$3:OFFSET(M3824,-1,0))+1,0)</f>
        <v>0</v>
      </c>
      <c r="N3824" s="3" t="s">
        <v>2415</v>
      </c>
    </row>
    <row r="3825" spans="1:14" x14ac:dyDescent="0.25">
      <c r="A3825" s="1" t="s">
        <v>12622</v>
      </c>
      <c r="B3825" s="3" t="s">
        <v>7449</v>
      </c>
      <c r="C3825" s="2">
        <f ca="1">IF(ISNUMBER(SEARCH(Лист2!$B$4,D:D)),MAX($C$3:OFFSET(C3825,-1,0))+1,0)</f>
        <v>0</v>
      </c>
      <c r="E3825" s="9" t="str">
        <f t="shared" ca="1" si="71"/>
        <v/>
      </c>
      <c r="F3825" s="4" t="s">
        <v>14</v>
      </c>
      <c r="G3825" s="2">
        <f>IF(ISNUMBER(SEARCH(Лист2!$B$4,F:F)),1,0)</f>
        <v>0</v>
      </c>
      <c r="H3825" s="3">
        <f ca="1">IF(AND(I3825&lt;&gt;I3824,ISNUMBER(SEARCH(Лист2!$B$5,I:I)),G3825=1),MAX($H$3:OFFSET(H3825,-1,0))+1,0)</f>
        <v>0</v>
      </c>
      <c r="I3825" s="3" t="s">
        <v>326</v>
      </c>
      <c r="K3825" s="2">
        <f>IF(ISNUMBER(SEARCH(Лист2!$B$4,F:F)),1,0)</f>
        <v>0</v>
      </c>
      <c r="L3825" s="14">
        <f>IF(ISNUMBER(SEARCH(Лист2!$B$5,I:I)),1,0)+K3825</f>
        <v>0</v>
      </c>
      <c r="M3825" s="3">
        <f ca="1">IF(AND(N3825&lt;&gt;N3824,ISNUMBER(SEARCH(Лист2!$B$6,N:N)),L3825=2),MAX($M$3:OFFSET(M3825,-1,0))+1,0)</f>
        <v>0</v>
      </c>
      <c r="N3825" s="3" t="s">
        <v>2416</v>
      </c>
    </row>
    <row r="3826" spans="1:14" x14ac:dyDescent="0.25">
      <c r="A3826" s="1" t="s">
        <v>12623</v>
      </c>
      <c r="B3826" s="3" t="s">
        <v>7450</v>
      </c>
      <c r="C3826" s="2">
        <f ca="1">IF(ISNUMBER(SEARCH(Лист2!$B$4,D:D)),MAX($C$3:OFFSET(C3826,-1,0))+1,0)</f>
        <v>0</v>
      </c>
      <c r="E3826" s="9" t="str">
        <f t="shared" ca="1" si="71"/>
        <v/>
      </c>
      <c r="F3826" s="4" t="s">
        <v>14</v>
      </c>
      <c r="G3826" s="2">
        <f>IF(ISNUMBER(SEARCH(Лист2!$B$4,F:F)),1,0)</f>
        <v>0</v>
      </c>
      <c r="H3826" s="3">
        <f ca="1">IF(AND(I3826&lt;&gt;I3825,ISNUMBER(SEARCH(Лист2!$B$5,I:I)),G3826=1),MAX($H$3:OFFSET(H3826,-1,0))+1,0)</f>
        <v>0</v>
      </c>
      <c r="I3826" s="3" t="s">
        <v>326</v>
      </c>
      <c r="K3826" s="2">
        <f>IF(ISNUMBER(SEARCH(Лист2!$B$4,F:F)),1,0)</f>
        <v>0</v>
      </c>
      <c r="L3826" s="14">
        <f>IF(ISNUMBER(SEARCH(Лист2!$B$5,I:I)),1,0)+K3826</f>
        <v>0</v>
      </c>
      <c r="M3826" s="3">
        <f ca="1">IF(AND(N3826&lt;&gt;N3825,ISNUMBER(SEARCH(Лист2!$B$6,N:N)),L3826=2),MAX($M$3:OFFSET(M3826,-1,0))+1,0)</f>
        <v>0</v>
      </c>
      <c r="N3826" s="3" t="s">
        <v>2417</v>
      </c>
    </row>
    <row r="3827" spans="1:14" x14ac:dyDescent="0.25">
      <c r="A3827" s="1" t="s">
        <v>12624</v>
      </c>
      <c r="B3827" s="3" t="s">
        <v>7451</v>
      </c>
      <c r="C3827" s="2">
        <f ca="1">IF(ISNUMBER(SEARCH(Лист2!$B$4,D:D)),MAX($C$3:OFFSET(C3827,-1,0))+1,0)</f>
        <v>0</v>
      </c>
      <c r="E3827" s="9" t="str">
        <f t="shared" ca="1" si="71"/>
        <v/>
      </c>
      <c r="F3827" s="4" t="s">
        <v>14</v>
      </c>
      <c r="G3827" s="2">
        <f>IF(ISNUMBER(SEARCH(Лист2!$B$4,F:F)),1,0)</f>
        <v>0</v>
      </c>
      <c r="H3827" s="3">
        <f ca="1">IF(AND(I3827&lt;&gt;I3826,ISNUMBER(SEARCH(Лист2!$B$5,I:I)),G3827=1),MAX($H$3:OFFSET(H3827,-1,0))+1,0)</f>
        <v>0</v>
      </c>
      <c r="I3827" s="3" t="s">
        <v>326</v>
      </c>
      <c r="K3827" s="2">
        <f>IF(ISNUMBER(SEARCH(Лист2!$B$4,F:F)),1,0)</f>
        <v>0</v>
      </c>
      <c r="L3827" s="14">
        <f>IF(ISNUMBER(SEARCH(Лист2!$B$5,I:I)),1,0)+K3827</f>
        <v>0</v>
      </c>
      <c r="M3827" s="3">
        <f ca="1">IF(AND(N3827&lt;&gt;N3826,ISNUMBER(SEARCH(Лист2!$B$6,N:N)),L3827=2),MAX($M$3:OFFSET(M3827,-1,0))+1,0)</f>
        <v>0</v>
      </c>
      <c r="N3827" s="3" t="s">
        <v>2418</v>
      </c>
    </row>
    <row r="3828" spans="1:14" x14ac:dyDescent="0.25">
      <c r="A3828" s="1" t="s">
        <v>12625</v>
      </c>
      <c r="B3828" s="3" t="s">
        <v>7452</v>
      </c>
      <c r="C3828" s="2">
        <f ca="1">IF(ISNUMBER(SEARCH(Лист2!$B$4,D:D)),MAX($C$3:OFFSET(C3828,-1,0))+1,0)</f>
        <v>0</v>
      </c>
      <c r="E3828" s="9" t="str">
        <f t="shared" ca="1" si="71"/>
        <v/>
      </c>
      <c r="F3828" s="4" t="s">
        <v>14</v>
      </c>
      <c r="G3828" s="2">
        <f>IF(ISNUMBER(SEARCH(Лист2!$B$4,F:F)),1,0)</f>
        <v>0</v>
      </c>
      <c r="H3828" s="3">
        <f ca="1">IF(AND(I3828&lt;&gt;I3827,ISNUMBER(SEARCH(Лист2!$B$5,I:I)),G3828=1),MAX($H$3:OFFSET(H3828,-1,0))+1,0)</f>
        <v>0</v>
      </c>
      <c r="I3828" s="3" t="s">
        <v>326</v>
      </c>
      <c r="K3828" s="2">
        <f>IF(ISNUMBER(SEARCH(Лист2!$B$4,F:F)),1,0)</f>
        <v>0</v>
      </c>
      <c r="L3828" s="14">
        <f>IF(ISNUMBER(SEARCH(Лист2!$B$5,I:I)),1,0)+K3828</f>
        <v>0</v>
      </c>
      <c r="M3828" s="3">
        <f ca="1">IF(AND(N3828&lt;&gt;N3827,ISNUMBER(SEARCH(Лист2!$B$6,N:N)),L3828=2),MAX($M$3:OFFSET(M3828,-1,0))+1,0)</f>
        <v>0</v>
      </c>
      <c r="N3828" s="3" t="s">
        <v>2419</v>
      </c>
    </row>
    <row r="3829" spans="1:14" x14ac:dyDescent="0.25">
      <c r="A3829" s="1" t="s">
        <v>12626</v>
      </c>
      <c r="B3829" s="3" t="s">
        <v>7453</v>
      </c>
      <c r="C3829" s="2">
        <f ca="1">IF(ISNUMBER(SEARCH(Лист2!$B$4,D:D)),MAX($C$3:OFFSET(C3829,-1,0))+1,0)</f>
        <v>0</v>
      </c>
      <c r="E3829" s="9" t="str">
        <f t="shared" ca="1" si="71"/>
        <v/>
      </c>
      <c r="F3829" s="4" t="s">
        <v>14</v>
      </c>
      <c r="G3829" s="2">
        <f>IF(ISNUMBER(SEARCH(Лист2!$B$4,F:F)),1,0)</f>
        <v>0</v>
      </c>
      <c r="H3829" s="3">
        <f ca="1">IF(AND(I3829&lt;&gt;I3828,ISNUMBER(SEARCH(Лист2!$B$5,I:I)),G3829=1),MAX($H$3:OFFSET(H3829,-1,0))+1,0)</f>
        <v>0</v>
      </c>
      <c r="I3829" s="3" t="s">
        <v>326</v>
      </c>
      <c r="K3829" s="2">
        <f>IF(ISNUMBER(SEARCH(Лист2!$B$4,F:F)),1,0)</f>
        <v>0</v>
      </c>
      <c r="L3829" s="14">
        <f>IF(ISNUMBER(SEARCH(Лист2!$B$5,I:I)),1,0)+K3829</f>
        <v>0</v>
      </c>
      <c r="M3829" s="3">
        <f ca="1">IF(AND(N3829&lt;&gt;N3828,ISNUMBER(SEARCH(Лист2!$B$6,N:N)),L3829=2),MAX($M$3:OFFSET(M3829,-1,0))+1,0)</f>
        <v>0</v>
      </c>
      <c r="N3829" s="3" t="s">
        <v>2420</v>
      </c>
    </row>
    <row r="3830" spans="1:14" x14ac:dyDescent="0.25">
      <c r="A3830" s="1" t="s">
        <v>12627</v>
      </c>
      <c r="B3830" s="3" t="s">
        <v>7454</v>
      </c>
      <c r="C3830" s="2">
        <f ca="1">IF(ISNUMBER(SEARCH(Лист2!$B$4,D:D)),MAX($C$3:OFFSET(C3830,-1,0))+1,0)</f>
        <v>0</v>
      </c>
      <c r="E3830" s="9" t="str">
        <f t="shared" ca="1" si="71"/>
        <v/>
      </c>
      <c r="F3830" s="4" t="s">
        <v>14</v>
      </c>
      <c r="G3830" s="2">
        <f>IF(ISNUMBER(SEARCH(Лист2!$B$4,F:F)),1,0)</f>
        <v>0</v>
      </c>
      <c r="H3830" s="3">
        <f ca="1">IF(AND(I3830&lt;&gt;I3829,ISNUMBER(SEARCH(Лист2!$B$5,I:I)),G3830=1),MAX($H$3:OFFSET(H3830,-1,0))+1,0)</f>
        <v>0</v>
      </c>
      <c r="I3830" s="3" t="s">
        <v>326</v>
      </c>
      <c r="K3830" s="2">
        <f>IF(ISNUMBER(SEARCH(Лист2!$B$4,F:F)),1,0)</f>
        <v>0</v>
      </c>
      <c r="L3830" s="14">
        <f>IF(ISNUMBER(SEARCH(Лист2!$B$5,I:I)),1,0)+K3830</f>
        <v>0</v>
      </c>
      <c r="M3830" s="3">
        <f ca="1">IF(AND(N3830&lt;&gt;N3829,ISNUMBER(SEARCH(Лист2!$B$6,N:N)),L3830=2),MAX($M$3:OFFSET(M3830,-1,0))+1,0)</f>
        <v>0</v>
      </c>
      <c r="N3830" s="3" t="s">
        <v>2421</v>
      </c>
    </row>
    <row r="3831" spans="1:14" x14ac:dyDescent="0.25">
      <c r="A3831" s="1" t="s">
        <v>12628</v>
      </c>
      <c r="B3831" s="3" t="s">
        <v>7455</v>
      </c>
      <c r="C3831" s="2">
        <f ca="1">IF(ISNUMBER(SEARCH(Лист2!$B$4,D:D)),MAX($C$3:OFFSET(C3831,-1,0))+1,0)</f>
        <v>0</v>
      </c>
      <c r="E3831" s="9" t="str">
        <f t="shared" ca="1" si="71"/>
        <v/>
      </c>
      <c r="F3831" s="4" t="s">
        <v>14</v>
      </c>
      <c r="G3831" s="2">
        <f>IF(ISNUMBER(SEARCH(Лист2!$B$4,F:F)),1,0)</f>
        <v>0</v>
      </c>
      <c r="H3831" s="3">
        <f ca="1">IF(AND(I3831&lt;&gt;I3830,ISNUMBER(SEARCH(Лист2!$B$5,I:I)),G3831=1),MAX($H$3:OFFSET(H3831,-1,0))+1,0)</f>
        <v>0</v>
      </c>
      <c r="I3831" s="3" t="s">
        <v>326</v>
      </c>
      <c r="K3831" s="2">
        <f>IF(ISNUMBER(SEARCH(Лист2!$B$4,F:F)),1,0)</f>
        <v>0</v>
      </c>
      <c r="L3831" s="14">
        <f>IF(ISNUMBER(SEARCH(Лист2!$B$5,I:I)),1,0)+K3831</f>
        <v>0</v>
      </c>
      <c r="M3831" s="3">
        <f ca="1">IF(AND(N3831&lt;&gt;N3830,ISNUMBER(SEARCH(Лист2!$B$6,N:N)),L3831=2),MAX($M$3:OFFSET(M3831,-1,0))+1,0)</f>
        <v>0</v>
      </c>
      <c r="N3831" s="3" t="s">
        <v>2422</v>
      </c>
    </row>
    <row r="3832" spans="1:14" x14ac:dyDescent="0.25">
      <c r="A3832" s="1" t="s">
        <v>12629</v>
      </c>
      <c r="B3832" s="3" t="s">
        <v>7456</v>
      </c>
      <c r="C3832" s="2">
        <f ca="1">IF(ISNUMBER(SEARCH(Лист2!$B$4,D:D)),MAX($C$3:OFFSET(C3832,-1,0))+1,0)</f>
        <v>0</v>
      </c>
      <c r="E3832" s="9" t="str">
        <f t="shared" ca="1" si="71"/>
        <v/>
      </c>
      <c r="F3832" s="4" t="s">
        <v>14</v>
      </c>
      <c r="G3832" s="2">
        <f>IF(ISNUMBER(SEARCH(Лист2!$B$4,F:F)),1,0)</f>
        <v>0</v>
      </c>
      <c r="H3832" s="3">
        <f ca="1">IF(AND(I3832&lt;&gt;I3831,ISNUMBER(SEARCH(Лист2!$B$5,I:I)),G3832=1),MAX($H$3:OFFSET(H3832,-1,0))+1,0)</f>
        <v>0</v>
      </c>
      <c r="I3832" s="3" t="s">
        <v>326</v>
      </c>
      <c r="K3832" s="2">
        <f>IF(ISNUMBER(SEARCH(Лист2!$B$4,F:F)),1,0)</f>
        <v>0</v>
      </c>
      <c r="L3832" s="14">
        <f>IF(ISNUMBER(SEARCH(Лист2!$B$5,I:I)),1,0)+K3832</f>
        <v>0</v>
      </c>
      <c r="M3832" s="3">
        <f ca="1">IF(AND(N3832&lt;&gt;N3831,ISNUMBER(SEARCH(Лист2!$B$6,N:N)),L3832=2),MAX($M$3:OFFSET(M3832,-1,0))+1,0)</f>
        <v>0</v>
      </c>
      <c r="N3832" s="3" t="s">
        <v>2423</v>
      </c>
    </row>
    <row r="3833" spans="1:14" x14ac:dyDescent="0.25">
      <c r="A3833" s="1" t="s">
        <v>12630</v>
      </c>
      <c r="B3833" s="3" t="s">
        <v>7457</v>
      </c>
      <c r="C3833" s="2">
        <f ca="1">IF(ISNUMBER(SEARCH(Лист2!$B$4,D:D)),MAX($C$3:OFFSET(C3833,-1,0))+1,0)</f>
        <v>0</v>
      </c>
      <c r="E3833" s="9" t="str">
        <f t="shared" ca="1" si="71"/>
        <v/>
      </c>
      <c r="F3833" s="4" t="s">
        <v>14</v>
      </c>
      <c r="G3833" s="2">
        <f>IF(ISNUMBER(SEARCH(Лист2!$B$4,F:F)),1,0)</f>
        <v>0</v>
      </c>
      <c r="H3833" s="3">
        <f ca="1">IF(AND(I3833&lt;&gt;I3832,ISNUMBER(SEARCH(Лист2!$B$5,I:I)),G3833=1),MAX($H$3:OFFSET(H3833,-1,0))+1,0)</f>
        <v>0</v>
      </c>
      <c r="I3833" s="3" t="s">
        <v>326</v>
      </c>
      <c r="K3833" s="2">
        <f>IF(ISNUMBER(SEARCH(Лист2!$B$4,F:F)),1,0)</f>
        <v>0</v>
      </c>
      <c r="L3833" s="14">
        <f>IF(ISNUMBER(SEARCH(Лист2!$B$5,I:I)),1,0)+K3833</f>
        <v>0</v>
      </c>
      <c r="M3833" s="3">
        <f ca="1">IF(AND(N3833&lt;&gt;N3832,ISNUMBER(SEARCH(Лист2!$B$6,N:N)),L3833=2),MAX($M$3:OFFSET(M3833,-1,0))+1,0)</f>
        <v>0</v>
      </c>
      <c r="N3833" s="3" t="s">
        <v>2424</v>
      </c>
    </row>
    <row r="3834" spans="1:14" x14ac:dyDescent="0.25">
      <c r="A3834" s="1" t="s">
        <v>12631</v>
      </c>
      <c r="B3834" s="3" t="s">
        <v>7458</v>
      </c>
      <c r="C3834" s="2">
        <f ca="1">IF(ISNUMBER(SEARCH(Лист2!$B$4,D:D)),MAX($C$3:OFFSET(C3834,-1,0))+1,0)</f>
        <v>0</v>
      </c>
      <c r="E3834" s="9" t="str">
        <f t="shared" ca="1" si="71"/>
        <v/>
      </c>
      <c r="F3834" s="4" t="s">
        <v>14</v>
      </c>
      <c r="G3834" s="2">
        <f>IF(ISNUMBER(SEARCH(Лист2!$B$4,F:F)),1,0)</f>
        <v>0</v>
      </c>
      <c r="H3834" s="3">
        <f ca="1">IF(AND(I3834&lt;&gt;I3833,ISNUMBER(SEARCH(Лист2!$B$5,I:I)),G3834=1),MAX($H$3:OFFSET(H3834,-1,0))+1,0)</f>
        <v>0</v>
      </c>
      <c r="I3834" s="3" t="s">
        <v>326</v>
      </c>
      <c r="K3834" s="2">
        <f>IF(ISNUMBER(SEARCH(Лист2!$B$4,F:F)),1,0)</f>
        <v>0</v>
      </c>
      <c r="L3834" s="14">
        <f>IF(ISNUMBER(SEARCH(Лист2!$B$5,I:I)),1,0)+K3834</f>
        <v>0</v>
      </c>
      <c r="M3834" s="3">
        <f ca="1">IF(AND(N3834&lt;&gt;N3833,ISNUMBER(SEARCH(Лист2!$B$6,N:N)),L3834=2),MAX($M$3:OFFSET(M3834,-1,0))+1,0)</f>
        <v>0</v>
      </c>
      <c r="N3834" s="3" t="s">
        <v>2425</v>
      </c>
    </row>
    <row r="3835" spans="1:14" x14ac:dyDescent="0.25">
      <c r="A3835" s="1" t="s">
        <v>12632</v>
      </c>
      <c r="B3835" s="3" t="s">
        <v>7459</v>
      </c>
      <c r="C3835" s="2">
        <f ca="1">IF(ISNUMBER(SEARCH(Лист2!$B$4,D:D)),MAX($C$3:OFFSET(C3835,-1,0))+1,0)</f>
        <v>0</v>
      </c>
      <c r="E3835" s="9" t="str">
        <f t="shared" ca="1" si="71"/>
        <v/>
      </c>
      <c r="F3835" s="4" t="s">
        <v>14</v>
      </c>
      <c r="G3835" s="2">
        <f>IF(ISNUMBER(SEARCH(Лист2!$B$4,F:F)),1,0)</f>
        <v>0</v>
      </c>
      <c r="H3835" s="3">
        <f ca="1">IF(AND(I3835&lt;&gt;I3834,ISNUMBER(SEARCH(Лист2!$B$5,I:I)),G3835=1),MAX($H$3:OFFSET(H3835,-1,0))+1,0)</f>
        <v>0</v>
      </c>
      <c r="I3835" s="3" t="s">
        <v>326</v>
      </c>
      <c r="K3835" s="2">
        <f>IF(ISNUMBER(SEARCH(Лист2!$B$4,F:F)),1,0)</f>
        <v>0</v>
      </c>
      <c r="L3835" s="14">
        <f>IF(ISNUMBER(SEARCH(Лист2!$B$5,I:I)),1,0)+K3835</f>
        <v>0</v>
      </c>
      <c r="M3835" s="3">
        <f ca="1">IF(AND(N3835&lt;&gt;N3834,ISNUMBER(SEARCH(Лист2!$B$6,N:N)),L3835=2),MAX($M$3:OFFSET(M3835,-1,0))+1,0)</f>
        <v>0</v>
      </c>
      <c r="N3835" s="3" t="s">
        <v>2426</v>
      </c>
    </row>
    <row r="3836" spans="1:14" x14ac:dyDescent="0.25">
      <c r="A3836" s="1" t="s">
        <v>12633</v>
      </c>
      <c r="B3836" s="3" t="s">
        <v>7460</v>
      </c>
      <c r="C3836" s="2">
        <f ca="1">IF(ISNUMBER(SEARCH(Лист2!$B$4,D:D)),MAX($C$3:OFFSET(C3836,-1,0))+1,0)</f>
        <v>0</v>
      </c>
      <c r="E3836" s="9" t="str">
        <f t="shared" ca="1" si="71"/>
        <v/>
      </c>
      <c r="F3836" s="4" t="s">
        <v>14</v>
      </c>
      <c r="G3836" s="2">
        <f>IF(ISNUMBER(SEARCH(Лист2!$B$4,F:F)),1,0)</f>
        <v>0</v>
      </c>
      <c r="H3836" s="3">
        <f ca="1">IF(AND(I3836&lt;&gt;I3835,ISNUMBER(SEARCH(Лист2!$B$5,I:I)),G3836=1),MAX($H$3:OFFSET(H3836,-1,0))+1,0)</f>
        <v>0</v>
      </c>
      <c r="I3836" s="3" t="s">
        <v>326</v>
      </c>
      <c r="K3836" s="2">
        <f>IF(ISNUMBER(SEARCH(Лист2!$B$4,F:F)),1,0)</f>
        <v>0</v>
      </c>
      <c r="L3836" s="14">
        <f>IF(ISNUMBER(SEARCH(Лист2!$B$5,I:I)),1,0)+K3836</f>
        <v>0</v>
      </c>
      <c r="M3836" s="3">
        <f ca="1">IF(AND(N3836&lt;&gt;N3835,ISNUMBER(SEARCH(Лист2!$B$6,N:N)),L3836=2),MAX($M$3:OFFSET(M3836,-1,0))+1,0)</f>
        <v>0</v>
      </c>
      <c r="N3836" s="3" t="s">
        <v>2427</v>
      </c>
    </row>
    <row r="3837" spans="1:14" x14ac:dyDescent="0.25">
      <c r="A3837" s="1" t="s">
        <v>12634</v>
      </c>
      <c r="B3837" s="3" t="s">
        <v>7461</v>
      </c>
      <c r="C3837" s="2">
        <f ca="1">IF(ISNUMBER(SEARCH(Лист2!$B$4,D:D)),MAX($C$3:OFFSET(C3837,-1,0))+1,0)</f>
        <v>0</v>
      </c>
      <c r="E3837" s="9" t="str">
        <f t="shared" ca="1" si="71"/>
        <v/>
      </c>
      <c r="F3837" s="4" t="s">
        <v>14</v>
      </c>
      <c r="G3837" s="2">
        <f>IF(ISNUMBER(SEARCH(Лист2!$B$4,F:F)),1,0)</f>
        <v>0</v>
      </c>
      <c r="H3837" s="3">
        <f ca="1">IF(AND(I3837&lt;&gt;I3836,ISNUMBER(SEARCH(Лист2!$B$5,I:I)),G3837=1),MAX($H$3:OFFSET(H3837,-1,0))+1,0)</f>
        <v>0</v>
      </c>
      <c r="I3837" s="3" t="s">
        <v>326</v>
      </c>
      <c r="K3837" s="2">
        <f>IF(ISNUMBER(SEARCH(Лист2!$B$4,F:F)),1,0)</f>
        <v>0</v>
      </c>
      <c r="L3837" s="14">
        <f>IF(ISNUMBER(SEARCH(Лист2!$B$5,I:I)),1,0)+K3837</f>
        <v>0</v>
      </c>
      <c r="M3837" s="3">
        <f ca="1">IF(AND(N3837&lt;&gt;N3836,ISNUMBER(SEARCH(Лист2!$B$6,N:N)),L3837=2),MAX($M$3:OFFSET(M3837,-1,0))+1,0)</f>
        <v>0</v>
      </c>
      <c r="N3837" s="3" t="s">
        <v>2428</v>
      </c>
    </row>
    <row r="3838" spans="1:14" x14ac:dyDescent="0.25">
      <c r="A3838" s="1" t="s">
        <v>12635</v>
      </c>
      <c r="B3838" s="3" t="s">
        <v>7462</v>
      </c>
      <c r="C3838" s="2">
        <f ca="1">IF(ISNUMBER(SEARCH(Лист2!$B$4,D:D)),MAX($C$3:OFFSET(C3838,-1,0))+1,0)</f>
        <v>0</v>
      </c>
      <c r="E3838" s="9" t="str">
        <f t="shared" ca="1" si="71"/>
        <v/>
      </c>
      <c r="F3838" s="4" t="s">
        <v>14</v>
      </c>
      <c r="G3838" s="2">
        <f>IF(ISNUMBER(SEARCH(Лист2!$B$4,F:F)),1,0)</f>
        <v>0</v>
      </c>
      <c r="H3838" s="3">
        <f ca="1">IF(AND(I3838&lt;&gt;I3837,ISNUMBER(SEARCH(Лист2!$B$5,I:I)),G3838=1),MAX($H$3:OFFSET(H3838,-1,0))+1,0)</f>
        <v>0</v>
      </c>
      <c r="I3838" s="3" t="s">
        <v>326</v>
      </c>
      <c r="K3838" s="2">
        <f>IF(ISNUMBER(SEARCH(Лист2!$B$4,F:F)),1,0)</f>
        <v>0</v>
      </c>
      <c r="L3838" s="14">
        <f>IF(ISNUMBER(SEARCH(Лист2!$B$5,I:I)),1,0)+K3838</f>
        <v>0</v>
      </c>
      <c r="M3838" s="3">
        <f ca="1">IF(AND(N3838&lt;&gt;N3837,ISNUMBER(SEARCH(Лист2!$B$6,N:N)),L3838=2),MAX($M$3:OFFSET(M3838,-1,0))+1,0)</f>
        <v>0</v>
      </c>
      <c r="N3838" s="3" t="s">
        <v>2429</v>
      </c>
    </row>
    <row r="3839" spans="1:14" x14ac:dyDescent="0.25">
      <c r="A3839" s="1" t="s">
        <v>12636</v>
      </c>
      <c r="B3839" s="3" t="s">
        <v>7463</v>
      </c>
      <c r="C3839" s="2">
        <f ca="1">IF(ISNUMBER(SEARCH(Лист2!$B$4,D:D)),MAX($C$3:OFFSET(C3839,-1,0))+1,0)</f>
        <v>0</v>
      </c>
      <c r="E3839" s="9" t="str">
        <f t="shared" ca="1" si="71"/>
        <v/>
      </c>
      <c r="F3839" s="4" t="s">
        <v>14</v>
      </c>
      <c r="G3839" s="2">
        <f>IF(ISNUMBER(SEARCH(Лист2!$B$4,F:F)),1,0)</f>
        <v>0</v>
      </c>
      <c r="H3839" s="3">
        <f ca="1">IF(AND(I3839&lt;&gt;I3838,ISNUMBER(SEARCH(Лист2!$B$5,I:I)),G3839=1),MAX($H$3:OFFSET(H3839,-1,0))+1,0)</f>
        <v>0</v>
      </c>
      <c r="I3839" s="3" t="s">
        <v>326</v>
      </c>
      <c r="K3839" s="2">
        <f>IF(ISNUMBER(SEARCH(Лист2!$B$4,F:F)),1,0)</f>
        <v>0</v>
      </c>
      <c r="L3839" s="14">
        <f>IF(ISNUMBER(SEARCH(Лист2!$B$5,I:I)),1,0)+K3839</f>
        <v>0</v>
      </c>
      <c r="M3839" s="3">
        <f ca="1">IF(AND(N3839&lt;&gt;N3838,ISNUMBER(SEARCH(Лист2!$B$6,N:N)),L3839=2),MAX($M$3:OFFSET(M3839,-1,0))+1,0)</f>
        <v>0</v>
      </c>
      <c r="N3839" s="3" t="s">
        <v>2430</v>
      </c>
    </row>
    <row r="3840" spans="1:14" x14ac:dyDescent="0.25">
      <c r="A3840" s="1" t="s">
        <v>12637</v>
      </c>
      <c r="B3840" s="3" t="s">
        <v>7464</v>
      </c>
      <c r="C3840" s="2">
        <f ca="1">IF(ISNUMBER(SEARCH(Лист2!$B$4,D:D)),MAX($C$3:OFFSET(C3840,-1,0))+1,0)</f>
        <v>0</v>
      </c>
      <c r="E3840" s="9" t="str">
        <f t="shared" ca="1" si="71"/>
        <v/>
      </c>
      <c r="F3840" s="4" t="s">
        <v>14</v>
      </c>
      <c r="G3840" s="2">
        <f>IF(ISNUMBER(SEARCH(Лист2!$B$4,F:F)),1,0)</f>
        <v>0</v>
      </c>
      <c r="H3840" s="3">
        <f ca="1">IF(AND(I3840&lt;&gt;I3839,ISNUMBER(SEARCH(Лист2!$B$5,I:I)),G3840=1),MAX($H$3:OFFSET(H3840,-1,0))+1,0)</f>
        <v>0</v>
      </c>
      <c r="I3840" s="3" t="s">
        <v>326</v>
      </c>
      <c r="K3840" s="2">
        <f>IF(ISNUMBER(SEARCH(Лист2!$B$4,F:F)),1,0)</f>
        <v>0</v>
      </c>
      <c r="L3840" s="14">
        <f>IF(ISNUMBER(SEARCH(Лист2!$B$5,I:I)),1,0)+K3840</f>
        <v>0</v>
      </c>
      <c r="M3840" s="3">
        <f ca="1">IF(AND(N3840&lt;&gt;N3839,ISNUMBER(SEARCH(Лист2!$B$6,N:N)),L3840=2),MAX($M$3:OFFSET(M3840,-1,0))+1,0)</f>
        <v>0</v>
      </c>
      <c r="N3840" s="3" t="s">
        <v>2431</v>
      </c>
    </row>
    <row r="3841" spans="1:14" x14ac:dyDescent="0.25">
      <c r="A3841" s="1" t="s">
        <v>12638</v>
      </c>
      <c r="B3841" s="3" t="s">
        <v>7465</v>
      </c>
      <c r="C3841" s="2">
        <f ca="1">IF(ISNUMBER(SEARCH(Лист2!$B$4,D:D)),MAX($C$3:OFFSET(C3841,-1,0))+1,0)</f>
        <v>0</v>
      </c>
      <c r="E3841" s="9" t="str">
        <f t="shared" ca="1" si="71"/>
        <v/>
      </c>
      <c r="F3841" s="4" t="s">
        <v>14</v>
      </c>
      <c r="G3841" s="2">
        <f>IF(ISNUMBER(SEARCH(Лист2!$B$4,F:F)),1,0)</f>
        <v>0</v>
      </c>
      <c r="H3841" s="3">
        <f ca="1">IF(AND(I3841&lt;&gt;I3840,ISNUMBER(SEARCH(Лист2!$B$5,I:I)),G3841=1),MAX($H$3:OFFSET(H3841,-1,0))+1,0)</f>
        <v>0</v>
      </c>
      <c r="I3841" s="3" t="s">
        <v>327</v>
      </c>
      <c r="K3841" s="2">
        <f>IF(ISNUMBER(SEARCH(Лист2!$B$4,F:F)),1,0)</f>
        <v>0</v>
      </c>
      <c r="L3841" s="14">
        <f>IF(ISNUMBER(SEARCH(Лист2!$B$5,I:I)),1,0)+K3841</f>
        <v>0</v>
      </c>
      <c r="M3841" s="3">
        <f ca="1">IF(AND(N3841&lt;&gt;N3840,ISNUMBER(SEARCH(Лист2!$B$6,N:N)),L3841=2),MAX($M$3:OFFSET(M3841,-1,0))+1,0)</f>
        <v>0</v>
      </c>
      <c r="N3841" s="3" t="s">
        <v>1639</v>
      </c>
    </row>
    <row r="3842" spans="1:14" x14ac:dyDescent="0.25">
      <c r="A3842" s="1" t="s">
        <v>12639</v>
      </c>
      <c r="B3842" s="3" t="s">
        <v>7466</v>
      </c>
      <c r="C3842" s="2">
        <f ca="1">IF(ISNUMBER(SEARCH(Лист2!$B$4,D:D)),MAX($C$3:OFFSET(C3842,-1,0))+1,0)</f>
        <v>0</v>
      </c>
      <c r="E3842" s="9" t="str">
        <f t="shared" ca="1" si="71"/>
        <v/>
      </c>
      <c r="F3842" s="4" t="s">
        <v>14</v>
      </c>
      <c r="G3842" s="2">
        <f>IF(ISNUMBER(SEARCH(Лист2!$B$4,F:F)),1,0)</f>
        <v>0</v>
      </c>
      <c r="H3842" s="3">
        <f ca="1">IF(AND(I3842&lt;&gt;I3841,ISNUMBER(SEARCH(Лист2!$B$5,I:I)),G3842=1),MAX($H$3:OFFSET(H3842,-1,0))+1,0)</f>
        <v>0</v>
      </c>
      <c r="I3842" s="3" t="s">
        <v>327</v>
      </c>
      <c r="K3842" s="2">
        <f>IF(ISNUMBER(SEARCH(Лист2!$B$4,F:F)),1,0)</f>
        <v>0</v>
      </c>
      <c r="L3842" s="14">
        <f>IF(ISNUMBER(SEARCH(Лист2!$B$5,I:I)),1,0)+K3842</f>
        <v>0</v>
      </c>
      <c r="M3842" s="3">
        <f ca="1">IF(AND(N3842&lt;&gt;N3841,ISNUMBER(SEARCH(Лист2!$B$6,N:N)),L3842=2),MAX($M$3:OFFSET(M3842,-1,0))+1,0)</f>
        <v>0</v>
      </c>
      <c r="N3842" s="3" t="s">
        <v>2432</v>
      </c>
    </row>
    <row r="3843" spans="1:14" x14ac:dyDescent="0.25">
      <c r="A3843" s="1" t="s">
        <v>12640</v>
      </c>
      <c r="B3843" s="3" t="s">
        <v>7467</v>
      </c>
      <c r="C3843" s="2">
        <f ca="1">IF(ISNUMBER(SEARCH(Лист2!$B$4,D:D)),MAX($C$3:OFFSET(C3843,-1,0))+1,0)</f>
        <v>0</v>
      </c>
      <c r="E3843" s="9" t="str">
        <f t="shared" ca="1" si="71"/>
        <v/>
      </c>
      <c r="F3843" s="4" t="s">
        <v>14</v>
      </c>
      <c r="G3843" s="2">
        <f>IF(ISNUMBER(SEARCH(Лист2!$B$4,F:F)),1,0)</f>
        <v>0</v>
      </c>
      <c r="H3843" s="3">
        <f ca="1">IF(AND(I3843&lt;&gt;I3842,ISNUMBER(SEARCH(Лист2!$B$5,I:I)),G3843=1),MAX($H$3:OFFSET(H3843,-1,0))+1,0)</f>
        <v>0</v>
      </c>
      <c r="I3843" s="3" t="s">
        <v>327</v>
      </c>
      <c r="K3843" s="2">
        <f>IF(ISNUMBER(SEARCH(Лист2!$B$4,F:F)),1,0)</f>
        <v>0</v>
      </c>
      <c r="L3843" s="14">
        <f>IF(ISNUMBER(SEARCH(Лист2!$B$5,I:I)),1,0)+K3843</f>
        <v>0</v>
      </c>
      <c r="M3843" s="3">
        <f ca="1">IF(AND(N3843&lt;&gt;N3842,ISNUMBER(SEARCH(Лист2!$B$6,N:N)),L3843=2),MAX($M$3:OFFSET(M3843,-1,0))+1,0)</f>
        <v>0</v>
      </c>
      <c r="N3843" s="3" t="s">
        <v>2433</v>
      </c>
    </row>
    <row r="3844" spans="1:14" x14ac:dyDescent="0.25">
      <c r="A3844" s="1" t="s">
        <v>12641</v>
      </c>
      <c r="B3844" s="3" t="s">
        <v>7468</v>
      </c>
      <c r="C3844" s="2">
        <f ca="1">IF(ISNUMBER(SEARCH(Лист2!$B$4,D:D)),MAX($C$3:OFFSET(C3844,-1,0))+1,0)</f>
        <v>0</v>
      </c>
      <c r="E3844" s="9" t="str">
        <f t="shared" ca="1" si="71"/>
        <v/>
      </c>
      <c r="F3844" s="4" t="s">
        <v>14</v>
      </c>
      <c r="G3844" s="2">
        <f>IF(ISNUMBER(SEARCH(Лист2!$B$4,F:F)),1,0)</f>
        <v>0</v>
      </c>
      <c r="H3844" s="3">
        <f ca="1">IF(AND(I3844&lt;&gt;I3843,ISNUMBER(SEARCH(Лист2!$B$5,I:I)),G3844=1),MAX($H$3:OFFSET(H3844,-1,0))+1,0)</f>
        <v>0</v>
      </c>
      <c r="I3844" s="3" t="s">
        <v>327</v>
      </c>
      <c r="K3844" s="2">
        <f>IF(ISNUMBER(SEARCH(Лист2!$B$4,F:F)),1,0)</f>
        <v>0</v>
      </c>
      <c r="L3844" s="14">
        <f>IF(ISNUMBER(SEARCH(Лист2!$B$5,I:I)),1,0)+K3844</f>
        <v>0</v>
      </c>
      <c r="M3844" s="3">
        <f ca="1">IF(AND(N3844&lt;&gt;N3843,ISNUMBER(SEARCH(Лист2!$B$6,N:N)),L3844=2),MAX($M$3:OFFSET(M3844,-1,0))+1,0)</f>
        <v>0</v>
      </c>
      <c r="N3844" s="3" t="s">
        <v>2372</v>
      </c>
    </row>
    <row r="3845" spans="1:14" x14ac:dyDescent="0.25">
      <c r="A3845" s="1" t="s">
        <v>12642</v>
      </c>
      <c r="B3845" s="3" t="s">
        <v>7469</v>
      </c>
      <c r="C3845" s="2">
        <f ca="1">IF(ISNUMBER(SEARCH(Лист2!$B$4,D:D)),MAX($C$3:OFFSET(C3845,-1,0))+1,0)</f>
        <v>0</v>
      </c>
      <c r="E3845" s="9" t="str">
        <f t="shared" ref="E3845:E3908" ca="1" si="72">IFERROR(INDEX(D:D,MATCH(ROW(E3845)-ROW($E$3),C:C,0)),"")</f>
        <v/>
      </c>
      <c r="F3845" s="4" t="s">
        <v>14</v>
      </c>
      <c r="G3845" s="2">
        <f>IF(ISNUMBER(SEARCH(Лист2!$B$4,F:F)),1,0)</f>
        <v>0</v>
      </c>
      <c r="H3845" s="3">
        <f ca="1">IF(AND(I3845&lt;&gt;I3844,ISNUMBER(SEARCH(Лист2!$B$5,I:I)),G3845=1),MAX($H$3:OFFSET(H3845,-1,0))+1,0)</f>
        <v>0</v>
      </c>
      <c r="I3845" s="3" t="s">
        <v>327</v>
      </c>
      <c r="K3845" s="2">
        <f>IF(ISNUMBER(SEARCH(Лист2!$B$4,F:F)),1,0)</f>
        <v>0</v>
      </c>
      <c r="L3845" s="14">
        <f>IF(ISNUMBER(SEARCH(Лист2!$B$5,I:I)),1,0)+K3845</f>
        <v>0</v>
      </c>
      <c r="M3845" s="3">
        <f ca="1">IF(AND(N3845&lt;&gt;N3844,ISNUMBER(SEARCH(Лист2!$B$6,N:N)),L3845=2),MAX($M$3:OFFSET(M3845,-1,0))+1,0)</f>
        <v>0</v>
      </c>
      <c r="N3845" s="3" t="s">
        <v>2373</v>
      </c>
    </row>
    <row r="3846" spans="1:14" x14ac:dyDescent="0.25">
      <c r="A3846" s="1" t="s">
        <v>12643</v>
      </c>
      <c r="B3846" s="3" t="s">
        <v>7470</v>
      </c>
      <c r="C3846" s="2">
        <f ca="1">IF(ISNUMBER(SEARCH(Лист2!$B$4,D:D)),MAX($C$3:OFFSET(C3846,-1,0))+1,0)</f>
        <v>0</v>
      </c>
      <c r="E3846" s="9" t="str">
        <f t="shared" ca="1" si="72"/>
        <v/>
      </c>
      <c r="F3846" s="4" t="s">
        <v>14</v>
      </c>
      <c r="G3846" s="2">
        <f>IF(ISNUMBER(SEARCH(Лист2!$B$4,F:F)),1,0)</f>
        <v>0</v>
      </c>
      <c r="H3846" s="3">
        <f ca="1">IF(AND(I3846&lt;&gt;I3845,ISNUMBER(SEARCH(Лист2!$B$5,I:I)),G3846=1),MAX($H$3:OFFSET(H3846,-1,0))+1,0)</f>
        <v>0</v>
      </c>
      <c r="I3846" s="3" t="s">
        <v>327</v>
      </c>
      <c r="K3846" s="2">
        <f>IF(ISNUMBER(SEARCH(Лист2!$B$4,F:F)),1,0)</f>
        <v>0</v>
      </c>
      <c r="L3846" s="14">
        <f>IF(ISNUMBER(SEARCH(Лист2!$B$5,I:I)),1,0)+K3846</f>
        <v>0</v>
      </c>
      <c r="M3846" s="3">
        <f ca="1">IF(AND(N3846&lt;&gt;N3845,ISNUMBER(SEARCH(Лист2!$B$6,N:N)),L3846=2),MAX($M$3:OFFSET(M3846,-1,0))+1,0)</f>
        <v>0</v>
      </c>
      <c r="N3846" s="3" t="s">
        <v>2434</v>
      </c>
    </row>
    <row r="3847" spans="1:14" x14ac:dyDescent="0.25">
      <c r="A3847" s="1" t="s">
        <v>12644</v>
      </c>
      <c r="B3847" s="3" t="s">
        <v>7471</v>
      </c>
      <c r="C3847" s="2">
        <f ca="1">IF(ISNUMBER(SEARCH(Лист2!$B$4,D:D)),MAX($C$3:OFFSET(C3847,-1,0))+1,0)</f>
        <v>0</v>
      </c>
      <c r="E3847" s="9" t="str">
        <f t="shared" ca="1" si="72"/>
        <v/>
      </c>
      <c r="F3847" s="4" t="s">
        <v>14</v>
      </c>
      <c r="G3847" s="2">
        <f>IF(ISNUMBER(SEARCH(Лист2!$B$4,F:F)),1,0)</f>
        <v>0</v>
      </c>
      <c r="H3847" s="3">
        <f ca="1">IF(AND(I3847&lt;&gt;I3846,ISNUMBER(SEARCH(Лист2!$B$5,I:I)),G3847=1),MAX($H$3:OFFSET(H3847,-1,0))+1,0)</f>
        <v>0</v>
      </c>
      <c r="I3847" s="3" t="s">
        <v>327</v>
      </c>
      <c r="K3847" s="2">
        <f>IF(ISNUMBER(SEARCH(Лист2!$B$4,F:F)),1,0)</f>
        <v>0</v>
      </c>
      <c r="L3847" s="14">
        <f>IF(ISNUMBER(SEARCH(Лист2!$B$5,I:I)),1,0)+K3847</f>
        <v>0</v>
      </c>
      <c r="M3847" s="3">
        <f ca="1">IF(AND(N3847&lt;&gt;N3846,ISNUMBER(SEARCH(Лист2!$B$6,N:N)),L3847=2),MAX($M$3:OFFSET(M3847,-1,0))+1,0)</f>
        <v>0</v>
      </c>
      <c r="N3847" s="3" t="s">
        <v>2435</v>
      </c>
    </row>
    <row r="3848" spans="1:14" x14ac:dyDescent="0.25">
      <c r="A3848" s="1" t="s">
        <v>12645</v>
      </c>
      <c r="B3848" s="3" t="s">
        <v>7472</v>
      </c>
      <c r="C3848" s="2">
        <f ca="1">IF(ISNUMBER(SEARCH(Лист2!$B$4,D:D)),MAX($C$3:OFFSET(C3848,-1,0))+1,0)</f>
        <v>0</v>
      </c>
      <c r="E3848" s="9" t="str">
        <f t="shared" ca="1" si="72"/>
        <v/>
      </c>
      <c r="F3848" s="4" t="s">
        <v>14</v>
      </c>
      <c r="G3848" s="2">
        <f>IF(ISNUMBER(SEARCH(Лист2!$B$4,F:F)),1,0)</f>
        <v>0</v>
      </c>
      <c r="H3848" s="3">
        <f ca="1">IF(AND(I3848&lt;&gt;I3847,ISNUMBER(SEARCH(Лист2!$B$5,I:I)),G3848=1),MAX($H$3:OFFSET(H3848,-1,0))+1,0)</f>
        <v>0</v>
      </c>
      <c r="I3848" s="3" t="s">
        <v>327</v>
      </c>
      <c r="K3848" s="2">
        <f>IF(ISNUMBER(SEARCH(Лист2!$B$4,F:F)),1,0)</f>
        <v>0</v>
      </c>
      <c r="L3848" s="14">
        <f>IF(ISNUMBER(SEARCH(Лист2!$B$5,I:I)),1,0)+K3848</f>
        <v>0</v>
      </c>
      <c r="M3848" s="3">
        <f ca="1">IF(AND(N3848&lt;&gt;N3847,ISNUMBER(SEARCH(Лист2!$B$6,N:N)),L3848=2),MAX($M$3:OFFSET(M3848,-1,0))+1,0)</f>
        <v>0</v>
      </c>
      <c r="N3848" s="3" t="s">
        <v>602</v>
      </c>
    </row>
    <row r="3849" spans="1:14" x14ac:dyDescent="0.25">
      <c r="A3849" s="1" t="s">
        <v>12646</v>
      </c>
      <c r="B3849" s="3" t="s">
        <v>7473</v>
      </c>
      <c r="C3849" s="2">
        <f ca="1">IF(ISNUMBER(SEARCH(Лист2!$B$4,D:D)),MAX($C$3:OFFSET(C3849,-1,0))+1,0)</f>
        <v>0</v>
      </c>
      <c r="E3849" s="9" t="str">
        <f t="shared" ca="1" si="72"/>
        <v/>
      </c>
      <c r="F3849" s="4" t="s">
        <v>14</v>
      </c>
      <c r="G3849" s="2">
        <f>IF(ISNUMBER(SEARCH(Лист2!$B$4,F:F)),1,0)</f>
        <v>0</v>
      </c>
      <c r="H3849" s="3">
        <f ca="1">IF(AND(I3849&lt;&gt;I3848,ISNUMBER(SEARCH(Лист2!$B$5,I:I)),G3849=1),MAX($H$3:OFFSET(H3849,-1,0))+1,0)</f>
        <v>0</v>
      </c>
      <c r="I3849" s="3" t="s">
        <v>327</v>
      </c>
      <c r="K3849" s="2">
        <f>IF(ISNUMBER(SEARCH(Лист2!$B$4,F:F)),1,0)</f>
        <v>0</v>
      </c>
      <c r="L3849" s="14">
        <f>IF(ISNUMBER(SEARCH(Лист2!$B$5,I:I)),1,0)+K3849</f>
        <v>0</v>
      </c>
      <c r="M3849" s="3">
        <f ca="1">IF(AND(N3849&lt;&gt;N3848,ISNUMBER(SEARCH(Лист2!$B$6,N:N)),L3849=2),MAX($M$3:OFFSET(M3849,-1,0))+1,0)</f>
        <v>0</v>
      </c>
      <c r="N3849" s="3" t="s">
        <v>2436</v>
      </c>
    </row>
    <row r="3850" spans="1:14" x14ac:dyDescent="0.25">
      <c r="A3850" s="1" t="s">
        <v>12647</v>
      </c>
      <c r="B3850" s="3" t="s">
        <v>7474</v>
      </c>
      <c r="C3850" s="2">
        <f ca="1">IF(ISNUMBER(SEARCH(Лист2!$B$4,D:D)),MAX($C$3:OFFSET(C3850,-1,0))+1,0)</f>
        <v>0</v>
      </c>
      <c r="E3850" s="9" t="str">
        <f t="shared" ca="1" si="72"/>
        <v/>
      </c>
      <c r="F3850" s="4" t="s">
        <v>14</v>
      </c>
      <c r="G3850" s="2">
        <f>IF(ISNUMBER(SEARCH(Лист2!$B$4,F:F)),1,0)</f>
        <v>0</v>
      </c>
      <c r="H3850" s="3">
        <f ca="1">IF(AND(I3850&lt;&gt;I3849,ISNUMBER(SEARCH(Лист2!$B$5,I:I)),G3850=1),MAX($H$3:OFFSET(H3850,-1,0))+1,0)</f>
        <v>0</v>
      </c>
      <c r="I3850" s="3" t="s">
        <v>327</v>
      </c>
      <c r="K3850" s="2">
        <f>IF(ISNUMBER(SEARCH(Лист2!$B$4,F:F)),1,0)</f>
        <v>0</v>
      </c>
      <c r="L3850" s="14">
        <f>IF(ISNUMBER(SEARCH(Лист2!$B$5,I:I)),1,0)+K3850</f>
        <v>0</v>
      </c>
      <c r="M3850" s="3">
        <f ca="1">IF(AND(N3850&lt;&gt;N3849,ISNUMBER(SEARCH(Лист2!$B$6,N:N)),L3850=2),MAX($M$3:OFFSET(M3850,-1,0))+1,0)</f>
        <v>0</v>
      </c>
      <c r="N3850" s="3" t="s">
        <v>2437</v>
      </c>
    </row>
    <row r="3851" spans="1:14" x14ac:dyDescent="0.25">
      <c r="A3851" s="1" t="s">
        <v>12648</v>
      </c>
      <c r="B3851" s="3" t="s">
        <v>7475</v>
      </c>
      <c r="C3851" s="2">
        <f ca="1">IF(ISNUMBER(SEARCH(Лист2!$B$4,D:D)),MAX($C$3:OFFSET(C3851,-1,0))+1,0)</f>
        <v>0</v>
      </c>
      <c r="E3851" s="9" t="str">
        <f t="shared" ca="1" si="72"/>
        <v/>
      </c>
      <c r="F3851" s="4" t="s">
        <v>14</v>
      </c>
      <c r="G3851" s="2">
        <f>IF(ISNUMBER(SEARCH(Лист2!$B$4,F:F)),1,0)</f>
        <v>0</v>
      </c>
      <c r="H3851" s="3">
        <f ca="1">IF(AND(I3851&lt;&gt;I3850,ISNUMBER(SEARCH(Лист2!$B$5,I:I)),G3851=1),MAX($H$3:OFFSET(H3851,-1,0))+1,0)</f>
        <v>0</v>
      </c>
      <c r="I3851" s="3" t="s">
        <v>327</v>
      </c>
      <c r="K3851" s="2">
        <f>IF(ISNUMBER(SEARCH(Лист2!$B$4,F:F)),1,0)</f>
        <v>0</v>
      </c>
      <c r="L3851" s="14">
        <f>IF(ISNUMBER(SEARCH(Лист2!$B$5,I:I)),1,0)+K3851</f>
        <v>0</v>
      </c>
      <c r="M3851" s="3">
        <f ca="1">IF(AND(N3851&lt;&gt;N3850,ISNUMBER(SEARCH(Лист2!$B$6,N:N)),L3851=2),MAX($M$3:OFFSET(M3851,-1,0))+1,0)</f>
        <v>0</v>
      </c>
      <c r="N3851" s="3" t="s">
        <v>2438</v>
      </c>
    </row>
    <row r="3852" spans="1:14" x14ac:dyDescent="0.25">
      <c r="A3852" s="1" t="s">
        <v>12649</v>
      </c>
      <c r="B3852" s="3" t="s">
        <v>7476</v>
      </c>
      <c r="C3852" s="2">
        <f ca="1">IF(ISNUMBER(SEARCH(Лист2!$B$4,D:D)),MAX($C$3:OFFSET(C3852,-1,0))+1,0)</f>
        <v>0</v>
      </c>
      <c r="E3852" s="9" t="str">
        <f t="shared" ca="1" si="72"/>
        <v/>
      </c>
      <c r="F3852" s="4" t="s">
        <v>14</v>
      </c>
      <c r="G3852" s="2">
        <f>IF(ISNUMBER(SEARCH(Лист2!$B$4,F:F)),1,0)</f>
        <v>0</v>
      </c>
      <c r="H3852" s="3">
        <f ca="1">IF(AND(I3852&lt;&gt;I3851,ISNUMBER(SEARCH(Лист2!$B$5,I:I)),G3852=1),MAX($H$3:OFFSET(H3852,-1,0))+1,0)</f>
        <v>0</v>
      </c>
      <c r="I3852" s="3" t="s">
        <v>328</v>
      </c>
      <c r="K3852" s="2">
        <f>IF(ISNUMBER(SEARCH(Лист2!$B$4,F:F)),1,0)</f>
        <v>0</v>
      </c>
      <c r="L3852" s="14">
        <f>IF(ISNUMBER(SEARCH(Лист2!$B$5,I:I)),1,0)+K3852</f>
        <v>0</v>
      </c>
      <c r="M3852" s="3">
        <f ca="1">IF(AND(N3852&lt;&gt;N3851,ISNUMBER(SEARCH(Лист2!$B$6,N:N)),L3852=2),MAX($M$3:OFFSET(M3852,-1,0))+1,0)</f>
        <v>0</v>
      </c>
      <c r="N3852" s="3" t="s">
        <v>2439</v>
      </c>
    </row>
    <row r="3853" spans="1:14" x14ac:dyDescent="0.25">
      <c r="A3853" s="1" t="s">
        <v>12650</v>
      </c>
      <c r="B3853" s="3" t="s">
        <v>7477</v>
      </c>
      <c r="C3853" s="2">
        <f ca="1">IF(ISNUMBER(SEARCH(Лист2!$B$4,D:D)),MAX($C$3:OFFSET(C3853,-1,0))+1,0)</f>
        <v>0</v>
      </c>
      <c r="E3853" s="9" t="str">
        <f t="shared" ca="1" si="72"/>
        <v/>
      </c>
      <c r="F3853" s="4" t="s">
        <v>14</v>
      </c>
      <c r="G3853" s="2">
        <f>IF(ISNUMBER(SEARCH(Лист2!$B$4,F:F)),1,0)</f>
        <v>0</v>
      </c>
      <c r="H3853" s="3">
        <f ca="1">IF(AND(I3853&lt;&gt;I3852,ISNUMBER(SEARCH(Лист2!$B$5,I:I)),G3853=1),MAX($H$3:OFFSET(H3853,-1,0))+1,0)</f>
        <v>0</v>
      </c>
      <c r="I3853" s="3" t="s">
        <v>328</v>
      </c>
      <c r="K3853" s="2">
        <f>IF(ISNUMBER(SEARCH(Лист2!$B$4,F:F)),1,0)</f>
        <v>0</v>
      </c>
      <c r="L3853" s="14">
        <f>IF(ISNUMBER(SEARCH(Лист2!$B$5,I:I)),1,0)+K3853</f>
        <v>0</v>
      </c>
      <c r="M3853" s="3">
        <f ca="1">IF(AND(N3853&lt;&gt;N3852,ISNUMBER(SEARCH(Лист2!$B$6,N:N)),L3853=2),MAX($M$3:OFFSET(M3853,-1,0))+1,0)</f>
        <v>0</v>
      </c>
      <c r="N3853" s="3" t="s">
        <v>2440</v>
      </c>
    </row>
    <row r="3854" spans="1:14" x14ac:dyDescent="0.25">
      <c r="A3854" s="1" t="s">
        <v>12651</v>
      </c>
      <c r="B3854" s="3" t="s">
        <v>7478</v>
      </c>
      <c r="C3854" s="2">
        <f ca="1">IF(ISNUMBER(SEARCH(Лист2!$B$4,D:D)),MAX($C$3:OFFSET(C3854,-1,0))+1,0)</f>
        <v>0</v>
      </c>
      <c r="E3854" s="9" t="str">
        <f t="shared" ca="1" si="72"/>
        <v/>
      </c>
      <c r="F3854" s="4" t="s">
        <v>14</v>
      </c>
      <c r="G3854" s="2">
        <f>IF(ISNUMBER(SEARCH(Лист2!$B$4,F:F)),1,0)</f>
        <v>0</v>
      </c>
      <c r="H3854" s="3">
        <f ca="1">IF(AND(I3854&lt;&gt;I3853,ISNUMBER(SEARCH(Лист2!$B$5,I:I)),G3854=1),MAX($H$3:OFFSET(H3854,-1,0))+1,0)</f>
        <v>0</v>
      </c>
      <c r="I3854" s="3" t="s">
        <v>328</v>
      </c>
      <c r="K3854" s="2">
        <f>IF(ISNUMBER(SEARCH(Лист2!$B$4,F:F)),1,0)</f>
        <v>0</v>
      </c>
      <c r="L3854" s="14">
        <f>IF(ISNUMBER(SEARCH(Лист2!$B$5,I:I)),1,0)+K3854</f>
        <v>0</v>
      </c>
      <c r="M3854" s="3">
        <f ca="1">IF(AND(N3854&lt;&gt;N3853,ISNUMBER(SEARCH(Лист2!$B$6,N:N)),L3854=2),MAX($M$3:OFFSET(M3854,-1,0))+1,0)</f>
        <v>0</v>
      </c>
      <c r="N3854" s="3" t="s">
        <v>2441</v>
      </c>
    </row>
    <row r="3855" spans="1:14" x14ac:dyDescent="0.25">
      <c r="A3855" s="1" t="s">
        <v>12652</v>
      </c>
      <c r="B3855" s="3" t="s">
        <v>7479</v>
      </c>
      <c r="C3855" s="2">
        <f ca="1">IF(ISNUMBER(SEARCH(Лист2!$B$4,D:D)),MAX($C$3:OFFSET(C3855,-1,0))+1,0)</f>
        <v>0</v>
      </c>
      <c r="E3855" s="9" t="str">
        <f t="shared" ca="1" si="72"/>
        <v/>
      </c>
      <c r="F3855" s="4" t="s">
        <v>14</v>
      </c>
      <c r="G3855" s="2">
        <f>IF(ISNUMBER(SEARCH(Лист2!$B$4,F:F)),1,0)</f>
        <v>0</v>
      </c>
      <c r="H3855" s="3">
        <f ca="1">IF(AND(I3855&lt;&gt;I3854,ISNUMBER(SEARCH(Лист2!$B$5,I:I)),G3855=1),MAX($H$3:OFFSET(H3855,-1,0))+1,0)</f>
        <v>0</v>
      </c>
      <c r="I3855" s="3" t="s">
        <v>328</v>
      </c>
      <c r="K3855" s="2">
        <f>IF(ISNUMBER(SEARCH(Лист2!$B$4,F:F)),1,0)</f>
        <v>0</v>
      </c>
      <c r="L3855" s="14">
        <f>IF(ISNUMBER(SEARCH(Лист2!$B$5,I:I)),1,0)+K3855</f>
        <v>0</v>
      </c>
      <c r="M3855" s="3">
        <f ca="1">IF(AND(N3855&lt;&gt;N3854,ISNUMBER(SEARCH(Лист2!$B$6,N:N)),L3855=2),MAX($M$3:OFFSET(M3855,-1,0))+1,0)</f>
        <v>0</v>
      </c>
      <c r="N3855" s="3" t="s">
        <v>2442</v>
      </c>
    </row>
    <row r="3856" spans="1:14" x14ac:dyDescent="0.25">
      <c r="A3856" s="1" t="s">
        <v>12653</v>
      </c>
      <c r="B3856" s="3" t="s">
        <v>7480</v>
      </c>
      <c r="C3856" s="2">
        <f ca="1">IF(ISNUMBER(SEARCH(Лист2!$B$4,D:D)),MAX($C$3:OFFSET(C3856,-1,0))+1,0)</f>
        <v>0</v>
      </c>
      <c r="E3856" s="9" t="str">
        <f t="shared" ca="1" si="72"/>
        <v/>
      </c>
      <c r="F3856" s="4" t="s">
        <v>14</v>
      </c>
      <c r="G3856" s="2">
        <f>IF(ISNUMBER(SEARCH(Лист2!$B$4,F:F)),1,0)</f>
        <v>0</v>
      </c>
      <c r="H3856" s="3">
        <f ca="1">IF(AND(I3856&lt;&gt;I3855,ISNUMBER(SEARCH(Лист2!$B$5,I:I)),G3856=1),MAX($H$3:OFFSET(H3856,-1,0))+1,0)</f>
        <v>0</v>
      </c>
      <c r="I3856" s="3" t="s">
        <v>328</v>
      </c>
      <c r="K3856" s="2">
        <f>IF(ISNUMBER(SEARCH(Лист2!$B$4,F:F)),1,0)</f>
        <v>0</v>
      </c>
      <c r="L3856" s="14">
        <f>IF(ISNUMBER(SEARCH(Лист2!$B$5,I:I)),1,0)+K3856</f>
        <v>0</v>
      </c>
      <c r="M3856" s="3">
        <f ca="1">IF(AND(N3856&lt;&gt;N3855,ISNUMBER(SEARCH(Лист2!$B$6,N:N)),L3856=2),MAX($M$3:OFFSET(M3856,-1,0))+1,0)</f>
        <v>0</v>
      </c>
      <c r="N3856" s="3" t="s">
        <v>2443</v>
      </c>
    </row>
    <row r="3857" spans="1:14" x14ac:dyDescent="0.25">
      <c r="A3857" s="1" t="s">
        <v>12654</v>
      </c>
      <c r="B3857" s="3" t="s">
        <v>7481</v>
      </c>
      <c r="C3857" s="2">
        <f ca="1">IF(ISNUMBER(SEARCH(Лист2!$B$4,D:D)),MAX($C$3:OFFSET(C3857,-1,0))+1,0)</f>
        <v>0</v>
      </c>
      <c r="E3857" s="9" t="str">
        <f t="shared" ca="1" si="72"/>
        <v/>
      </c>
      <c r="F3857" s="4" t="s">
        <v>14</v>
      </c>
      <c r="G3857" s="2">
        <f>IF(ISNUMBER(SEARCH(Лист2!$B$4,F:F)),1,0)</f>
        <v>0</v>
      </c>
      <c r="H3857" s="3">
        <f ca="1">IF(AND(I3857&lt;&gt;I3856,ISNUMBER(SEARCH(Лист2!$B$5,I:I)),G3857=1),MAX($H$3:OFFSET(H3857,-1,0))+1,0)</f>
        <v>0</v>
      </c>
      <c r="I3857" s="3" t="s">
        <v>328</v>
      </c>
      <c r="K3857" s="2">
        <f>IF(ISNUMBER(SEARCH(Лист2!$B$4,F:F)),1,0)</f>
        <v>0</v>
      </c>
      <c r="L3857" s="14">
        <f>IF(ISNUMBER(SEARCH(Лист2!$B$5,I:I)),1,0)+K3857</f>
        <v>0</v>
      </c>
      <c r="M3857" s="3">
        <f ca="1">IF(AND(N3857&lt;&gt;N3856,ISNUMBER(SEARCH(Лист2!$B$6,N:N)),L3857=2),MAX($M$3:OFFSET(M3857,-1,0))+1,0)</f>
        <v>0</v>
      </c>
      <c r="N3857" s="3" t="s">
        <v>2372</v>
      </c>
    </row>
    <row r="3858" spans="1:14" x14ac:dyDescent="0.25">
      <c r="A3858" s="1" t="s">
        <v>12655</v>
      </c>
      <c r="B3858" s="3" t="s">
        <v>7482</v>
      </c>
      <c r="C3858" s="2">
        <f ca="1">IF(ISNUMBER(SEARCH(Лист2!$B$4,D:D)),MAX($C$3:OFFSET(C3858,-1,0))+1,0)</f>
        <v>0</v>
      </c>
      <c r="E3858" s="9" t="str">
        <f t="shared" ca="1" si="72"/>
        <v/>
      </c>
      <c r="F3858" s="4" t="s">
        <v>14</v>
      </c>
      <c r="G3858" s="2">
        <f>IF(ISNUMBER(SEARCH(Лист2!$B$4,F:F)),1,0)</f>
        <v>0</v>
      </c>
      <c r="H3858" s="3">
        <f ca="1">IF(AND(I3858&lt;&gt;I3857,ISNUMBER(SEARCH(Лист2!$B$5,I:I)),G3858=1),MAX($H$3:OFFSET(H3858,-1,0))+1,0)</f>
        <v>0</v>
      </c>
      <c r="I3858" s="3" t="s">
        <v>328</v>
      </c>
      <c r="K3858" s="2">
        <f>IF(ISNUMBER(SEARCH(Лист2!$B$4,F:F)),1,0)</f>
        <v>0</v>
      </c>
      <c r="L3858" s="14">
        <f>IF(ISNUMBER(SEARCH(Лист2!$B$5,I:I)),1,0)+K3858</f>
        <v>0</v>
      </c>
      <c r="M3858" s="3">
        <f ca="1">IF(AND(N3858&lt;&gt;N3857,ISNUMBER(SEARCH(Лист2!$B$6,N:N)),L3858=2),MAX($M$3:OFFSET(M3858,-1,0))+1,0)</f>
        <v>0</v>
      </c>
      <c r="N3858" s="3" t="s">
        <v>2444</v>
      </c>
    </row>
    <row r="3859" spans="1:14" x14ac:dyDescent="0.25">
      <c r="A3859" s="1" t="s">
        <v>12656</v>
      </c>
      <c r="B3859" s="3" t="s">
        <v>7483</v>
      </c>
      <c r="C3859" s="2">
        <f ca="1">IF(ISNUMBER(SEARCH(Лист2!$B$4,D:D)),MAX($C$3:OFFSET(C3859,-1,0))+1,0)</f>
        <v>0</v>
      </c>
      <c r="E3859" s="9" t="str">
        <f t="shared" ca="1" si="72"/>
        <v/>
      </c>
      <c r="F3859" s="4" t="s">
        <v>14</v>
      </c>
      <c r="G3859" s="2">
        <f>IF(ISNUMBER(SEARCH(Лист2!$B$4,F:F)),1,0)</f>
        <v>0</v>
      </c>
      <c r="H3859" s="3">
        <f ca="1">IF(AND(I3859&lt;&gt;I3858,ISNUMBER(SEARCH(Лист2!$B$5,I:I)),G3859=1),MAX($H$3:OFFSET(H3859,-1,0))+1,0)</f>
        <v>0</v>
      </c>
      <c r="I3859" s="3" t="s">
        <v>328</v>
      </c>
      <c r="K3859" s="2">
        <f>IF(ISNUMBER(SEARCH(Лист2!$B$4,F:F)),1,0)</f>
        <v>0</v>
      </c>
      <c r="L3859" s="14">
        <f>IF(ISNUMBER(SEARCH(Лист2!$B$5,I:I)),1,0)+K3859</f>
        <v>0</v>
      </c>
      <c r="M3859" s="3">
        <f ca="1">IF(AND(N3859&lt;&gt;N3858,ISNUMBER(SEARCH(Лист2!$B$6,N:N)),L3859=2),MAX($M$3:OFFSET(M3859,-1,0))+1,0)</f>
        <v>0</v>
      </c>
      <c r="N3859" s="3" t="s">
        <v>2445</v>
      </c>
    </row>
    <row r="3860" spans="1:14" x14ac:dyDescent="0.25">
      <c r="A3860" s="1" t="s">
        <v>12657</v>
      </c>
      <c r="B3860" s="3" t="s">
        <v>7484</v>
      </c>
      <c r="C3860" s="2">
        <f ca="1">IF(ISNUMBER(SEARCH(Лист2!$B$4,D:D)),MAX($C$3:OFFSET(C3860,-1,0))+1,0)</f>
        <v>0</v>
      </c>
      <c r="E3860" s="9" t="str">
        <f t="shared" ca="1" si="72"/>
        <v/>
      </c>
      <c r="F3860" s="4" t="s">
        <v>14</v>
      </c>
      <c r="G3860" s="2">
        <f>IF(ISNUMBER(SEARCH(Лист2!$B$4,F:F)),1,0)</f>
        <v>0</v>
      </c>
      <c r="H3860" s="3">
        <f ca="1">IF(AND(I3860&lt;&gt;I3859,ISNUMBER(SEARCH(Лист2!$B$5,I:I)),G3860=1),MAX($H$3:OFFSET(H3860,-1,0))+1,0)</f>
        <v>0</v>
      </c>
      <c r="I3860" s="3" t="s">
        <v>328</v>
      </c>
      <c r="K3860" s="2">
        <f>IF(ISNUMBER(SEARCH(Лист2!$B$4,F:F)),1,0)</f>
        <v>0</v>
      </c>
      <c r="L3860" s="14">
        <f>IF(ISNUMBER(SEARCH(Лист2!$B$5,I:I)),1,0)+K3860</f>
        <v>0</v>
      </c>
      <c r="M3860" s="3">
        <f ca="1">IF(AND(N3860&lt;&gt;N3859,ISNUMBER(SEARCH(Лист2!$B$6,N:N)),L3860=2),MAX($M$3:OFFSET(M3860,-1,0))+1,0)</f>
        <v>0</v>
      </c>
      <c r="N3860" s="3" t="s">
        <v>2446</v>
      </c>
    </row>
    <row r="3861" spans="1:14" x14ac:dyDescent="0.25">
      <c r="A3861" s="1" t="s">
        <v>12658</v>
      </c>
      <c r="B3861" s="3" t="s">
        <v>7485</v>
      </c>
      <c r="C3861" s="2">
        <f ca="1">IF(ISNUMBER(SEARCH(Лист2!$B$4,D:D)),MAX($C$3:OFFSET(C3861,-1,0))+1,0)</f>
        <v>0</v>
      </c>
      <c r="E3861" s="9" t="str">
        <f t="shared" ca="1" si="72"/>
        <v/>
      </c>
      <c r="F3861" s="4" t="s">
        <v>14</v>
      </c>
      <c r="G3861" s="2">
        <f>IF(ISNUMBER(SEARCH(Лист2!$B$4,F:F)),1,0)</f>
        <v>0</v>
      </c>
      <c r="H3861" s="3">
        <f ca="1">IF(AND(I3861&lt;&gt;I3860,ISNUMBER(SEARCH(Лист2!$B$5,I:I)),G3861=1),MAX($H$3:OFFSET(H3861,-1,0))+1,0)</f>
        <v>0</v>
      </c>
      <c r="I3861" s="3" t="s">
        <v>328</v>
      </c>
      <c r="K3861" s="2">
        <f>IF(ISNUMBER(SEARCH(Лист2!$B$4,F:F)),1,0)</f>
        <v>0</v>
      </c>
      <c r="L3861" s="14">
        <f>IF(ISNUMBER(SEARCH(Лист2!$B$5,I:I)),1,0)+K3861</f>
        <v>0</v>
      </c>
      <c r="M3861" s="3">
        <f ca="1">IF(AND(N3861&lt;&gt;N3860,ISNUMBER(SEARCH(Лист2!$B$6,N:N)),L3861=2),MAX($M$3:OFFSET(M3861,-1,0))+1,0)</f>
        <v>0</v>
      </c>
      <c r="N3861" s="3" t="s">
        <v>2447</v>
      </c>
    </row>
    <row r="3862" spans="1:14" x14ac:dyDescent="0.25">
      <c r="A3862" s="1" t="s">
        <v>12659</v>
      </c>
      <c r="B3862" s="3" t="s">
        <v>7486</v>
      </c>
      <c r="C3862" s="2">
        <f ca="1">IF(ISNUMBER(SEARCH(Лист2!$B$4,D:D)),MAX($C$3:OFFSET(C3862,-1,0))+1,0)</f>
        <v>0</v>
      </c>
      <c r="E3862" s="9" t="str">
        <f t="shared" ca="1" si="72"/>
        <v/>
      </c>
      <c r="F3862" s="4" t="s">
        <v>14</v>
      </c>
      <c r="G3862" s="2">
        <f>IF(ISNUMBER(SEARCH(Лист2!$B$4,F:F)),1,0)</f>
        <v>0</v>
      </c>
      <c r="H3862" s="3">
        <f ca="1">IF(AND(I3862&lt;&gt;I3861,ISNUMBER(SEARCH(Лист2!$B$5,I:I)),G3862=1),MAX($H$3:OFFSET(H3862,-1,0))+1,0)</f>
        <v>0</v>
      </c>
      <c r="I3862" s="3" t="s">
        <v>328</v>
      </c>
      <c r="K3862" s="2">
        <f>IF(ISNUMBER(SEARCH(Лист2!$B$4,F:F)),1,0)</f>
        <v>0</v>
      </c>
      <c r="L3862" s="14">
        <f>IF(ISNUMBER(SEARCH(Лист2!$B$5,I:I)),1,0)+K3862</f>
        <v>0</v>
      </c>
      <c r="M3862" s="3">
        <f ca="1">IF(AND(N3862&lt;&gt;N3861,ISNUMBER(SEARCH(Лист2!$B$6,N:N)),L3862=2),MAX($M$3:OFFSET(M3862,-1,0))+1,0)</f>
        <v>0</v>
      </c>
      <c r="N3862" s="3" t="s">
        <v>2448</v>
      </c>
    </row>
    <row r="3863" spans="1:14" x14ac:dyDescent="0.25">
      <c r="A3863" s="1" t="s">
        <v>12660</v>
      </c>
      <c r="B3863" s="3" t="s">
        <v>7487</v>
      </c>
      <c r="C3863" s="2">
        <f ca="1">IF(ISNUMBER(SEARCH(Лист2!$B$4,D:D)),MAX($C$3:OFFSET(C3863,-1,0))+1,0)</f>
        <v>0</v>
      </c>
      <c r="E3863" s="9" t="str">
        <f t="shared" ca="1" si="72"/>
        <v/>
      </c>
      <c r="F3863" s="4" t="s">
        <v>14</v>
      </c>
      <c r="G3863" s="2">
        <f>IF(ISNUMBER(SEARCH(Лист2!$B$4,F:F)),1,0)</f>
        <v>0</v>
      </c>
      <c r="H3863" s="3">
        <f ca="1">IF(AND(I3863&lt;&gt;I3862,ISNUMBER(SEARCH(Лист2!$B$5,I:I)),G3863=1),MAX($H$3:OFFSET(H3863,-1,0))+1,0)</f>
        <v>0</v>
      </c>
      <c r="I3863" s="3" t="s">
        <v>328</v>
      </c>
      <c r="K3863" s="2">
        <f>IF(ISNUMBER(SEARCH(Лист2!$B$4,F:F)),1,0)</f>
        <v>0</v>
      </c>
      <c r="L3863" s="14">
        <f>IF(ISNUMBER(SEARCH(Лист2!$B$5,I:I)),1,0)+K3863</f>
        <v>0</v>
      </c>
      <c r="M3863" s="3">
        <f ca="1">IF(AND(N3863&lt;&gt;N3862,ISNUMBER(SEARCH(Лист2!$B$6,N:N)),L3863=2),MAX($M$3:OFFSET(M3863,-1,0))+1,0)</f>
        <v>0</v>
      </c>
      <c r="N3863" s="3" t="s">
        <v>602</v>
      </c>
    </row>
    <row r="3864" spans="1:14" x14ac:dyDescent="0.25">
      <c r="A3864" s="1" t="s">
        <v>12661</v>
      </c>
      <c r="B3864" s="3" t="s">
        <v>7488</v>
      </c>
      <c r="C3864" s="2">
        <f ca="1">IF(ISNUMBER(SEARCH(Лист2!$B$4,D:D)),MAX($C$3:OFFSET(C3864,-1,0))+1,0)</f>
        <v>0</v>
      </c>
      <c r="E3864" s="9" t="str">
        <f t="shared" ca="1" si="72"/>
        <v/>
      </c>
      <c r="F3864" s="4" t="s">
        <v>14</v>
      </c>
      <c r="G3864" s="2">
        <f>IF(ISNUMBER(SEARCH(Лист2!$B$4,F:F)),1,0)</f>
        <v>0</v>
      </c>
      <c r="H3864" s="3">
        <f ca="1">IF(AND(I3864&lt;&gt;I3863,ISNUMBER(SEARCH(Лист2!$B$5,I:I)),G3864=1),MAX($H$3:OFFSET(H3864,-1,0))+1,0)</f>
        <v>0</v>
      </c>
      <c r="I3864" s="3" t="s">
        <v>328</v>
      </c>
      <c r="K3864" s="2">
        <f>IF(ISNUMBER(SEARCH(Лист2!$B$4,F:F)),1,0)</f>
        <v>0</v>
      </c>
      <c r="L3864" s="14">
        <f>IF(ISNUMBER(SEARCH(Лист2!$B$5,I:I)),1,0)+K3864</f>
        <v>0</v>
      </c>
      <c r="M3864" s="3">
        <f ca="1">IF(AND(N3864&lt;&gt;N3863,ISNUMBER(SEARCH(Лист2!$B$6,N:N)),L3864=2),MAX($M$3:OFFSET(M3864,-1,0))+1,0)</f>
        <v>0</v>
      </c>
      <c r="N3864" s="3" t="s">
        <v>2449</v>
      </c>
    </row>
    <row r="3865" spans="1:14" x14ac:dyDescent="0.25">
      <c r="A3865" s="1" t="s">
        <v>12662</v>
      </c>
      <c r="B3865" s="3" t="s">
        <v>7489</v>
      </c>
      <c r="C3865" s="2">
        <f ca="1">IF(ISNUMBER(SEARCH(Лист2!$B$4,D:D)),MAX($C$3:OFFSET(C3865,-1,0))+1,0)</f>
        <v>0</v>
      </c>
      <c r="E3865" s="9" t="str">
        <f t="shared" ca="1" si="72"/>
        <v/>
      </c>
      <c r="F3865" s="4" t="s">
        <v>14</v>
      </c>
      <c r="G3865" s="2">
        <f>IF(ISNUMBER(SEARCH(Лист2!$B$4,F:F)),1,0)</f>
        <v>0</v>
      </c>
      <c r="H3865" s="3">
        <f ca="1">IF(AND(I3865&lt;&gt;I3864,ISNUMBER(SEARCH(Лист2!$B$5,I:I)),G3865=1),MAX($H$3:OFFSET(H3865,-1,0))+1,0)</f>
        <v>0</v>
      </c>
      <c r="I3865" s="3" t="s">
        <v>328</v>
      </c>
      <c r="K3865" s="2">
        <f>IF(ISNUMBER(SEARCH(Лист2!$B$4,F:F)),1,0)</f>
        <v>0</v>
      </c>
      <c r="L3865" s="14">
        <f>IF(ISNUMBER(SEARCH(Лист2!$B$5,I:I)),1,0)+K3865</f>
        <v>0</v>
      </c>
      <c r="M3865" s="3">
        <f ca="1">IF(AND(N3865&lt;&gt;N3864,ISNUMBER(SEARCH(Лист2!$B$6,N:N)),L3865=2),MAX($M$3:OFFSET(M3865,-1,0))+1,0)</f>
        <v>0</v>
      </c>
      <c r="N3865" s="3" t="s">
        <v>2450</v>
      </c>
    </row>
    <row r="3866" spans="1:14" x14ac:dyDescent="0.25">
      <c r="A3866" s="1" t="s">
        <v>12663</v>
      </c>
      <c r="B3866" s="3" t="s">
        <v>7490</v>
      </c>
      <c r="C3866" s="2">
        <f ca="1">IF(ISNUMBER(SEARCH(Лист2!$B$4,D:D)),MAX($C$3:OFFSET(C3866,-1,0))+1,0)</f>
        <v>0</v>
      </c>
      <c r="E3866" s="9" t="str">
        <f t="shared" ca="1" si="72"/>
        <v/>
      </c>
      <c r="F3866" s="4" t="s">
        <v>14</v>
      </c>
      <c r="G3866" s="2">
        <f>IF(ISNUMBER(SEARCH(Лист2!$B$4,F:F)),1,0)</f>
        <v>0</v>
      </c>
      <c r="H3866" s="3">
        <f ca="1">IF(AND(I3866&lt;&gt;I3865,ISNUMBER(SEARCH(Лист2!$B$5,I:I)),G3866=1),MAX($H$3:OFFSET(H3866,-1,0))+1,0)</f>
        <v>0</v>
      </c>
      <c r="I3866" s="3" t="s">
        <v>328</v>
      </c>
      <c r="K3866" s="2">
        <f>IF(ISNUMBER(SEARCH(Лист2!$B$4,F:F)),1,0)</f>
        <v>0</v>
      </c>
      <c r="L3866" s="14">
        <f>IF(ISNUMBER(SEARCH(Лист2!$B$5,I:I)),1,0)+K3866</f>
        <v>0</v>
      </c>
      <c r="M3866" s="3">
        <f ca="1">IF(AND(N3866&lt;&gt;N3865,ISNUMBER(SEARCH(Лист2!$B$6,N:N)),L3866=2),MAX($M$3:OFFSET(M3866,-1,0))+1,0)</f>
        <v>0</v>
      </c>
      <c r="N3866" s="3" t="s">
        <v>2451</v>
      </c>
    </row>
    <row r="3867" spans="1:14" x14ac:dyDescent="0.25">
      <c r="A3867" s="1" t="s">
        <v>12664</v>
      </c>
      <c r="B3867" s="3" t="s">
        <v>7491</v>
      </c>
      <c r="C3867" s="2">
        <f ca="1">IF(ISNUMBER(SEARCH(Лист2!$B$4,D:D)),MAX($C$3:OFFSET(C3867,-1,0))+1,0)</f>
        <v>0</v>
      </c>
      <c r="E3867" s="9" t="str">
        <f t="shared" ca="1" si="72"/>
        <v/>
      </c>
      <c r="F3867" s="4" t="s">
        <v>14</v>
      </c>
      <c r="G3867" s="2">
        <f>IF(ISNUMBER(SEARCH(Лист2!$B$4,F:F)),1,0)</f>
        <v>0</v>
      </c>
      <c r="H3867" s="3">
        <f ca="1">IF(AND(I3867&lt;&gt;I3866,ISNUMBER(SEARCH(Лист2!$B$5,I:I)),G3867=1),MAX($H$3:OFFSET(H3867,-1,0))+1,0)</f>
        <v>0</v>
      </c>
      <c r="I3867" s="3" t="s">
        <v>328</v>
      </c>
      <c r="K3867" s="2">
        <f>IF(ISNUMBER(SEARCH(Лист2!$B$4,F:F)),1,0)</f>
        <v>0</v>
      </c>
      <c r="L3867" s="14">
        <f>IF(ISNUMBER(SEARCH(Лист2!$B$5,I:I)),1,0)+K3867</f>
        <v>0</v>
      </c>
      <c r="M3867" s="3">
        <f ca="1">IF(AND(N3867&lt;&gt;N3866,ISNUMBER(SEARCH(Лист2!$B$6,N:N)),L3867=2),MAX($M$3:OFFSET(M3867,-1,0))+1,0)</f>
        <v>0</v>
      </c>
      <c r="N3867" s="3" t="s">
        <v>2452</v>
      </c>
    </row>
    <row r="3868" spans="1:14" x14ac:dyDescent="0.25">
      <c r="A3868" s="1" t="s">
        <v>12665</v>
      </c>
      <c r="B3868" s="3" t="s">
        <v>7492</v>
      </c>
      <c r="C3868" s="2">
        <f ca="1">IF(ISNUMBER(SEARCH(Лист2!$B$4,D:D)),MAX($C$3:OFFSET(C3868,-1,0))+1,0)</f>
        <v>0</v>
      </c>
      <c r="E3868" s="9" t="str">
        <f t="shared" ca="1" si="72"/>
        <v/>
      </c>
      <c r="F3868" s="4" t="s">
        <v>14</v>
      </c>
      <c r="G3868" s="2">
        <f>IF(ISNUMBER(SEARCH(Лист2!$B$4,F:F)),1,0)</f>
        <v>0</v>
      </c>
      <c r="H3868" s="3">
        <f ca="1">IF(AND(I3868&lt;&gt;I3867,ISNUMBER(SEARCH(Лист2!$B$5,I:I)),G3868=1),MAX($H$3:OFFSET(H3868,-1,0))+1,0)</f>
        <v>0</v>
      </c>
      <c r="I3868" s="3" t="s">
        <v>328</v>
      </c>
      <c r="K3868" s="2">
        <f>IF(ISNUMBER(SEARCH(Лист2!$B$4,F:F)),1,0)</f>
        <v>0</v>
      </c>
      <c r="L3868" s="14">
        <f>IF(ISNUMBER(SEARCH(Лист2!$B$5,I:I)),1,0)+K3868</f>
        <v>0</v>
      </c>
      <c r="M3868" s="3">
        <f ca="1">IF(AND(N3868&lt;&gt;N3867,ISNUMBER(SEARCH(Лист2!$B$6,N:N)),L3868=2),MAX($M$3:OFFSET(M3868,-1,0))+1,0)</f>
        <v>0</v>
      </c>
      <c r="N3868" s="3" t="s">
        <v>2453</v>
      </c>
    </row>
    <row r="3869" spans="1:14" x14ac:dyDescent="0.25">
      <c r="A3869" s="1" t="s">
        <v>12666</v>
      </c>
      <c r="B3869" s="3" t="s">
        <v>7493</v>
      </c>
      <c r="C3869" s="2">
        <f ca="1">IF(ISNUMBER(SEARCH(Лист2!$B$4,D:D)),MAX($C$3:OFFSET(C3869,-1,0))+1,0)</f>
        <v>0</v>
      </c>
      <c r="E3869" s="9" t="str">
        <f t="shared" ca="1" si="72"/>
        <v/>
      </c>
      <c r="F3869" s="4" t="s">
        <v>14</v>
      </c>
      <c r="G3869" s="2">
        <f>IF(ISNUMBER(SEARCH(Лист2!$B$4,F:F)),1,0)</f>
        <v>0</v>
      </c>
      <c r="H3869" s="3">
        <f ca="1">IF(AND(I3869&lt;&gt;I3868,ISNUMBER(SEARCH(Лист2!$B$5,I:I)),G3869=1),MAX($H$3:OFFSET(H3869,-1,0))+1,0)</f>
        <v>0</v>
      </c>
      <c r="I3869" s="3" t="s">
        <v>329</v>
      </c>
      <c r="K3869" s="2">
        <f>IF(ISNUMBER(SEARCH(Лист2!$B$4,F:F)),1,0)</f>
        <v>0</v>
      </c>
      <c r="L3869" s="14">
        <f>IF(ISNUMBER(SEARCH(Лист2!$B$5,I:I)),1,0)+K3869</f>
        <v>0</v>
      </c>
      <c r="M3869" s="3">
        <f ca="1">IF(AND(N3869&lt;&gt;N3868,ISNUMBER(SEARCH(Лист2!$B$6,N:N)),L3869=2),MAX($M$3:OFFSET(M3869,-1,0))+1,0)</f>
        <v>0</v>
      </c>
      <c r="N3869" s="3" t="s">
        <v>2454</v>
      </c>
    </row>
    <row r="3870" spans="1:14" x14ac:dyDescent="0.25">
      <c r="A3870" s="1" t="s">
        <v>12667</v>
      </c>
      <c r="B3870" s="3" t="s">
        <v>7494</v>
      </c>
      <c r="C3870" s="2">
        <f ca="1">IF(ISNUMBER(SEARCH(Лист2!$B$4,D:D)),MAX($C$3:OFFSET(C3870,-1,0))+1,0)</f>
        <v>0</v>
      </c>
      <c r="E3870" s="9" t="str">
        <f t="shared" ca="1" si="72"/>
        <v/>
      </c>
      <c r="F3870" s="4" t="s">
        <v>14</v>
      </c>
      <c r="G3870" s="2">
        <f>IF(ISNUMBER(SEARCH(Лист2!$B$4,F:F)),1,0)</f>
        <v>0</v>
      </c>
      <c r="H3870" s="3">
        <f ca="1">IF(AND(I3870&lt;&gt;I3869,ISNUMBER(SEARCH(Лист2!$B$5,I:I)),G3870=1),MAX($H$3:OFFSET(H3870,-1,0))+1,0)</f>
        <v>0</v>
      </c>
      <c r="I3870" s="3" t="s">
        <v>329</v>
      </c>
      <c r="K3870" s="2">
        <f>IF(ISNUMBER(SEARCH(Лист2!$B$4,F:F)),1,0)</f>
        <v>0</v>
      </c>
      <c r="L3870" s="14">
        <f>IF(ISNUMBER(SEARCH(Лист2!$B$5,I:I)),1,0)+K3870</f>
        <v>0</v>
      </c>
      <c r="M3870" s="3">
        <f ca="1">IF(AND(N3870&lt;&gt;N3869,ISNUMBER(SEARCH(Лист2!$B$6,N:N)),L3870=2),MAX($M$3:OFFSET(M3870,-1,0))+1,0)</f>
        <v>0</v>
      </c>
      <c r="N3870" s="3" t="s">
        <v>2455</v>
      </c>
    </row>
    <row r="3871" spans="1:14" x14ac:dyDescent="0.25">
      <c r="A3871" s="1" t="s">
        <v>12668</v>
      </c>
      <c r="B3871" s="3" t="s">
        <v>7495</v>
      </c>
      <c r="C3871" s="2">
        <f ca="1">IF(ISNUMBER(SEARCH(Лист2!$B$4,D:D)),MAX($C$3:OFFSET(C3871,-1,0))+1,0)</f>
        <v>0</v>
      </c>
      <c r="E3871" s="9" t="str">
        <f t="shared" ca="1" si="72"/>
        <v/>
      </c>
      <c r="F3871" s="4" t="s">
        <v>14</v>
      </c>
      <c r="G3871" s="2">
        <f>IF(ISNUMBER(SEARCH(Лист2!$B$4,F:F)),1,0)</f>
        <v>0</v>
      </c>
      <c r="H3871" s="3">
        <f ca="1">IF(AND(I3871&lt;&gt;I3870,ISNUMBER(SEARCH(Лист2!$B$5,I:I)),G3871=1),MAX($H$3:OFFSET(H3871,-1,0))+1,0)</f>
        <v>0</v>
      </c>
      <c r="I3871" s="3" t="s">
        <v>329</v>
      </c>
      <c r="K3871" s="2">
        <f>IF(ISNUMBER(SEARCH(Лист2!$B$4,F:F)),1,0)</f>
        <v>0</v>
      </c>
      <c r="L3871" s="14">
        <f>IF(ISNUMBER(SEARCH(Лист2!$B$5,I:I)),1,0)+K3871</f>
        <v>0</v>
      </c>
      <c r="M3871" s="3">
        <f ca="1">IF(AND(N3871&lt;&gt;N3870,ISNUMBER(SEARCH(Лист2!$B$6,N:N)),L3871=2),MAX($M$3:OFFSET(M3871,-1,0))+1,0)</f>
        <v>0</v>
      </c>
      <c r="N3871" s="3" t="s">
        <v>2456</v>
      </c>
    </row>
    <row r="3872" spans="1:14" x14ac:dyDescent="0.25">
      <c r="A3872" s="1" t="s">
        <v>12669</v>
      </c>
      <c r="B3872" s="3" t="s">
        <v>7496</v>
      </c>
      <c r="C3872" s="2">
        <f ca="1">IF(ISNUMBER(SEARCH(Лист2!$B$4,D:D)),MAX($C$3:OFFSET(C3872,-1,0))+1,0)</f>
        <v>0</v>
      </c>
      <c r="E3872" s="9" t="str">
        <f t="shared" ca="1" si="72"/>
        <v/>
      </c>
      <c r="F3872" s="4" t="s">
        <v>14</v>
      </c>
      <c r="G3872" s="2">
        <f>IF(ISNUMBER(SEARCH(Лист2!$B$4,F:F)),1,0)</f>
        <v>0</v>
      </c>
      <c r="H3872" s="3">
        <f ca="1">IF(AND(I3872&lt;&gt;I3871,ISNUMBER(SEARCH(Лист2!$B$5,I:I)),G3872=1),MAX($H$3:OFFSET(H3872,-1,0))+1,0)</f>
        <v>0</v>
      </c>
      <c r="I3872" s="3" t="s">
        <v>329</v>
      </c>
      <c r="K3872" s="2">
        <f>IF(ISNUMBER(SEARCH(Лист2!$B$4,F:F)),1,0)</f>
        <v>0</v>
      </c>
      <c r="L3872" s="14">
        <f>IF(ISNUMBER(SEARCH(Лист2!$B$5,I:I)),1,0)+K3872</f>
        <v>0</v>
      </c>
      <c r="M3872" s="3">
        <f ca="1">IF(AND(N3872&lt;&gt;N3871,ISNUMBER(SEARCH(Лист2!$B$6,N:N)),L3872=2),MAX($M$3:OFFSET(M3872,-1,0))+1,0)</f>
        <v>0</v>
      </c>
      <c r="N3872" s="3" t="s">
        <v>2457</v>
      </c>
    </row>
    <row r="3873" spans="1:14" x14ac:dyDescent="0.25">
      <c r="A3873" s="1" t="s">
        <v>12670</v>
      </c>
      <c r="B3873" s="3" t="s">
        <v>7497</v>
      </c>
      <c r="C3873" s="2">
        <f ca="1">IF(ISNUMBER(SEARCH(Лист2!$B$4,D:D)),MAX($C$3:OFFSET(C3873,-1,0))+1,0)</f>
        <v>0</v>
      </c>
      <c r="E3873" s="9" t="str">
        <f t="shared" ca="1" si="72"/>
        <v/>
      </c>
      <c r="F3873" s="4" t="s">
        <v>14</v>
      </c>
      <c r="G3873" s="2">
        <f>IF(ISNUMBER(SEARCH(Лист2!$B$4,F:F)),1,0)</f>
        <v>0</v>
      </c>
      <c r="H3873" s="3">
        <f ca="1">IF(AND(I3873&lt;&gt;I3872,ISNUMBER(SEARCH(Лист2!$B$5,I:I)),G3873=1),MAX($H$3:OFFSET(H3873,-1,0))+1,0)</f>
        <v>0</v>
      </c>
      <c r="I3873" s="3" t="s">
        <v>329</v>
      </c>
      <c r="K3873" s="2">
        <f>IF(ISNUMBER(SEARCH(Лист2!$B$4,F:F)),1,0)</f>
        <v>0</v>
      </c>
      <c r="L3873" s="14">
        <f>IF(ISNUMBER(SEARCH(Лист2!$B$5,I:I)),1,0)+K3873</f>
        <v>0</v>
      </c>
      <c r="M3873" s="3">
        <f ca="1">IF(AND(N3873&lt;&gt;N3872,ISNUMBER(SEARCH(Лист2!$B$6,N:N)),L3873=2),MAX($M$3:OFFSET(M3873,-1,0))+1,0)</f>
        <v>0</v>
      </c>
      <c r="N3873" s="3" t="s">
        <v>2458</v>
      </c>
    </row>
    <row r="3874" spans="1:14" x14ac:dyDescent="0.25">
      <c r="A3874" s="1" t="s">
        <v>12671</v>
      </c>
      <c r="B3874" s="3" t="s">
        <v>7498</v>
      </c>
      <c r="C3874" s="2">
        <f ca="1">IF(ISNUMBER(SEARCH(Лист2!$B$4,D:D)),MAX($C$3:OFFSET(C3874,-1,0))+1,0)</f>
        <v>0</v>
      </c>
      <c r="E3874" s="9" t="str">
        <f t="shared" ca="1" si="72"/>
        <v/>
      </c>
      <c r="F3874" s="4" t="s">
        <v>14</v>
      </c>
      <c r="G3874" s="2">
        <f>IF(ISNUMBER(SEARCH(Лист2!$B$4,F:F)),1,0)</f>
        <v>0</v>
      </c>
      <c r="H3874" s="3">
        <f ca="1">IF(AND(I3874&lt;&gt;I3873,ISNUMBER(SEARCH(Лист2!$B$5,I:I)),G3874=1),MAX($H$3:OFFSET(H3874,-1,0))+1,0)</f>
        <v>0</v>
      </c>
      <c r="I3874" s="3" t="s">
        <v>329</v>
      </c>
      <c r="K3874" s="2">
        <f>IF(ISNUMBER(SEARCH(Лист2!$B$4,F:F)),1,0)</f>
        <v>0</v>
      </c>
      <c r="L3874" s="14">
        <f>IF(ISNUMBER(SEARCH(Лист2!$B$5,I:I)),1,0)+K3874</f>
        <v>0</v>
      </c>
      <c r="M3874" s="3">
        <f ca="1">IF(AND(N3874&lt;&gt;N3873,ISNUMBER(SEARCH(Лист2!$B$6,N:N)),L3874=2),MAX($M$3:OFFSET(M3874,-1,0))+1,0)</f>
        <v>0</v>
      </c>
      <c r="N3874" s="3" t="s">
        <v>2372</v>
      </c>
    </row>
    <row r="3875" spans="1:14" x14ac:dyDescent="0.25">
      <c r="A3875" s="1" t="s">
        <v>12672</v>
      </c>
      <c r="B3875" s="3" t="s">
        <v>7499</v>
      </c>
      <c r="C3875" s="2">
        <f ca="1">IF(ISNUMBER(SEARCH(Лист2!$B$4,D:D)),MAX($C$3:OFFSET(C3875,-1,0))+1,0)</f>
        <v>0</v>
      </c>
      <c r="E3875" s="9" t="str">
        <f t="shared" ca="1" si="72"/>
        <v/>
      </c>
      <c r="F3875" s="4" t="s">
        <v>14</v>
      </c>
      <c r="G3875" s="2">
        <f>IF(ISNUMBER(SEARCH(Лист2!$B$4,F:F)),1,0)</f>
        <v>0</v>
      </c>
      <c r="H3875" s="3">
        <f ca="1">IF(AND(I3875&lt;&gt;I3874,ISNUMBER(SEARCH(Лист2!$B$5,I:I)),G3875=1),MAX($H$3:OFFSET(H3875,-1,0))+1,0)</f>
        <v>0</v>
      </c>
      <c r="I3875" s="3" t="s">
        <v>329</v>
      </c>
      <c r="K3875" s="2">
        <f>IF(ISNUMBER(SEARCH(Лист2!$B$4,F:F)),1,0)</f>
        <v>0</v>
      </c>
      <c r="L3875" s="14">
        <f>IF(ISNUMBER(SEARCH(Лист2!$B$5,I:I)),1,0)+K3875</f>
        <v>0</v>
      </c>
      <c r="M3875" s="3">
        <f ca="1">IF(AND(N3875&lt;&gt;N3874,ISNUMBER(SEARCH(Лист2!$B$6,N:N)),L3875=2),MAX($M$3:OFFSET(M3875,-1,0))+1,0)</f>
        <v>0</v>
      </c>
      <c r="N3875" s="3" t="s">
        <v>2444</v>
      </c>
    </row>
    <row r="3876" spans="1:14" x14ac:dyDescent="0.25">
      <c r="A3876" s="1" t="s">
        <v>12673</v>
      </c>
      <c r="B3876" s="3" t="s">
        <v>7500</v>
      </c>
      <c r="C3876" s="2">
        <f ca="1">IF(ISNUMBER(SEARCH(Лист2!$B$4,D:D)),MAX($C$3:OFFSET(C3876,-1,0))+1,0)</f>
        <v>0</v>
      </c>
      <c r="E3876" s="9" t="str">
        <f t="shared" ca="1" si="72"/>
        <v/>
      </c>
      <c r="F3876" s="4" t="s">
        <v>14</v>
      </c>
      <c r="G3876" s="2">
        <f>IF(ISNUMBER(SEARCH(Лист2!$B$4,F:F)),1,0)</f>
        <v>0</v>
      </c>
      <c r="H3876" s="3">
        <f ca="1">IF(AND(I3876&lt;&gt;I3875,ISNUMBER(SEARCH(Лист2!$B$5,I:I)),G3876=1),MAX($H$3:OFFSET(H3876,-1,0))+1,0)</f>
        <v>0</v>
      </c>
      <c r="I3876" s="3" t="s">
        <v>329</v>
      </c>
      <c r="K3876" s="2">
        <f>IF(ISNUMBER(SEARCH(Лист2!$B$4,F:F)),1,0)</f>
        <v>0</v>
      </c>
      <c r="L3876" s="14">
        <f>IF(ISNUMBER(SEARCH(Лист2!$B$5,I:I)),1,0)+K3876</f>
        <v>0</v>
      </c>
      <c r="M3876" s="3">
        <f ca="1">IF(AND(N3876&lt;&gt;N3875,ISNUMBER(SEARCH(Лист2!$B$6,N:N)),L3876=2),MAX($M$3:OFFSET(M3876,-1,0))+1,0)</f>
        <v>0</v>
      </c>
      <c r="N3876" s="3" t="s">
        <v>2445</v>
      </c>
    </row>
    <row r="3877" spans="1:14" x14ac:dyDescent="0.25">
      <c r="A3877" s="1" t="s">
        <v>12674</v>
      </c>
      <c r="B3877" s="3" t="s">
        <v>7501</v>
      </c>
      <c r="C3877" s="2">
        <f ca="1">IF(ISNUMBER(SEARCH(Лист2!$B$4,D:D)),MAX($C$3:OFFSET(C3877,-1,0))+1,0)</f>
        <v>0</v>
      </c>
      <c r="E3877" s="9" t="str">
        <f t="shared" ca="1" si="72"/>
        <v/>
      </c>
      <c r="F3877" s="4" t="s">
        <v>14</v>
      </c>
      <c r="G3877" s="2">
        <f>IF(ISNUMBER(SEARCH(Лист2!$B$4,F:F)),1,0)</f>
        <v>0</v>
      </c>
      <c r="H3877" s="3">
        <f ca="1">IF(AND(I3877&lt;&gt;I3876,ISNUMBER(SEARCH(Лист2!$B$5,I:I)),G3877=1),MAX($H$3:OFFSET(H3877,-1,0))+1,0)</f>
        <v>0</v>
      </c>
      <c r="I3877" s="3" t="s">
        <v>329</v>
      </c>
      <c r="K3877" s="2">
        <f>IF(ISNUMBER(SEARCH(Лист2!$B$4,F:F)),1,0)</f>
        <v>0</v>
      </c>
      <c r="L3877" s="14">
        <f>IF(ISNUMBER(SEARCH(Лист2!$B$5,I:I)),1,0)+K3877</f>
        <v>0</v>
      </c>
      <c r="M3877" s="3">
        <f ca="1">IF(AND(N3877&lt;&gt;N3876,ISNUMBER(SEARCH(Лист2!$B$6,N:N)),L3877=2),MAX($M$3:OFFSET(M3877,-1,0))+1,0)</f>
        <v>0</v>
      </c>
      <c r="N3877" s="3" t="s">
        <v>2446</v>
      </c>
    </row>
    <row r="3878" spans="1:14" x14ac:dyDescent="0.25">
      <c r="A3878" s="1" t="s">
        <v>12675</v>
      </c>
      <c r="B3878" s="3" t="s">
        <v>7502</v>
      </c>
      <c r="C3878" s="2">
        <f ca="1">IF(ISNUMBER(SEARCH(Лист2!$B$4,D:D)),MAX($C$3:OFFSET(C3878,-1,0))+1,0)</f>
        <v>0</v>
      </c>
      <c r="E3878" s="9" t="str">
        <f t="shared" ca="1" si="72"/>
        <v/>
      </c>
      <c r="F3878" s="4" t="s">
        <v>14</v>
      </c>
      <c r="G3878" s="2">
        <f>IF(ISNUMBER(SEARCH(Лист2!$B$4,F:F)),1,0)</f>
        <v>0</v>
      </c>
      <c r="H3878" s="3">
        <f ca="1">IF(AND(I3878&lt;&gt;I3877,ISNUMBER(SEARCH(Лист2!$B$5,I:I)),G3878=1),MAX($H$3:OFFSET(H3878,-1,0))+1,0)</f>
        <v>0</v>
      </c>
      <c r="I3878" s="3" t="s">
        <v>329</v>
      </c>
      <c r="K3878" s="2">
        <f>IF(ISNUMBER(SEARCH(Лист2!$B$4,F:F)),1,0)</f>
        <v>0</v>
      </c>
      <c r="L3878" s="14">
        <f>IF(ISNUMBER(SEARCH(Лист2!$B$5,I:I)),1,0)+K3878</f>
        <v>0</v>
      </c>
      <c r="M3878" s="3">
        <f ca="1">IF(AND(N3878&lt;&gt;N3877,ISNUMBER(SEARCH(Лист2!$B$6,N:N)),L3878=2),MAX($M$3:OFFSET(M3878,-1,0))+1,0)</f>
        <v>0</v>
      </c>
      <c r="N3878" s="3" t="s">
        <v>2459</v>
      </c>
    </row>
    <row r="3879" spans="1:14" x14ac:dyDescent="0.25">
      <c r="A3879" s="1" t="s">
        <v>12676</v>
      </c>
      <c r="B3879" s="3" t="s">
        <v>7503</v>
      </c>
      <c r="C3879" s="2">
        <f ca="1">IF(ISNUMBER(SEARCH(Лист2!$B$4,D:D)),MAX($C$3:OFFSET(C3879,-1,0))+1,0)</f>
        <v>0</v>
      </c>
      <c r="E3879" s="9" t="str">
        <f t="shared" ca="1" si="72"/>
        <v/>
      </c>
      <c r="F3879" s="4" t="s">
        <v>14</v>
      </c>
      <c r="G3879" s="2">
        <f>IF(ISNUMBER(SEARCH(Лист2!$B$4,F:F)),1,0)</f>
        <v>0</v>
      </c>
      <c r="H3879" s="3">
        <f ca="1">IF(AND(I3879&lt;&gt;I3878,ISNUMBER(SEARCH(Лист2!$B$5,I:I)),G3879=1),MAX($H$3:OFFSET(H3879,-1,0))+1,0)</f>
        <v>0</v>
      </c>
      <c r="I3879" s="3" t="s">
        <v>329</v>
      </c>
      <c r="K3879" s="2">
        <f>IF(ISNUMBER(SEARCH(Лист2!$B$4,F:F)),1,0)</f>
        <v>0</v>
      </c>
      <c r="L3879" s="14">
        <f>IF(ISNUMBER(SEARCH(Лист2!$B$5,I:I)),1,0)+K3879</f>
        <v>0</v>
      </c>
      <c r="M3879" s="3">
        <f ca="1">IF(AND(N3879&lt;&gt;N3878,ISNUMBER(SEARCH(Лист2!$B$6,N:N)),L3879=2),MAX($M$3:OFFSET(M3879,-1,0))+1,0)</f>
        <v>0</v>
      </c>
      <c r="N3879" s="3" t="s">
        <v>2460</v>
      </c>
    </row>
    <row r="3880" spans="1:14" x14ac:dyDescent="0.25">
      <c r="A3880" s="1" t="s">
        <v>12677</v>
      </c>
      <c r="B3880" s="3" t="s">
        <v>7504</v>
      </c>
      <c r="C3880" s="2">
        <f ca="1">IF(ISNUMBER(SEARCH(Лист2!$B$4,D:D)),MAX($C$3:OFFSET(C3880,-1,0))+1,0)</f>
        <v>0</v>
      </c>
      <c r="E3880" s="9" t="str">
        <f t="shared" ca="1" si="72"/>
        <v/>
      </c>
      <c r="F3880" s="4" t="s">
        <v>14</v>
      </c>
      <c r="G3880" s="2">
        <f>IF(ISNUMBER(SEARCH(Лист2!$B$4,F:F)),1,0)</f>
        <v>0</v>
      </c>
      <c r="H3880" s="3">
        <f ca="1">IF(AND(I3880&lt;&gt;I3879,ISNUMBER(SEARCH(Лист2!$B$5,I:I)),G3880=1),MAX($H$3:OFFSET(H3880,-1,0))+1,0)</f>
        <v>0</v>
      </c>
      <c r="I3880" s="3" t="s">
        <v>329</v>
      </c>
      <c r="K3880" s="2">
        <f>IF(ISNUMBER(SEARCH(Лист2!$B$4,F:F)),1,0)</f>
        <v>0</v>
      </c>
      <c r="L3880" s="14">
        <f>IF(ISNUMBER(SEARCH(Лист2!$B$5,I:I)),1,0)+K3880</f>
        <v>0</v>
      </c>
      <c r="M3880" s="3">
        <f ca="1">IF(AND(N3880&lt;&gt;N3879,ISNUMBER(SEARCH(Лист2!$B$6,N:N)),L3880=2),MAX($M$3:OFFSET(M3880,-1,0))+1,0)</f>
        <v>0</v>
      </c>
      <c r="N3880" s="3" t="s">
        <v>602</v>
      </c>
    </row>
    <row r="3881" spans="1:14" x14ac:dyDescent="0.25">
      <c r="A3881" s="1" t="s">
        <v>12678</v>
      </c>
      <c r="B3881" s="3" t="s">
        <v>7505</v>
      </c>
      <c r="C3881" s="2">
        <f ca="1">IF(ISNUMBER(SEARCH(Лист2!$B$4,D:D)),MAX($C$3:OFFSET(C3881,-1,0))+1,0)</f>
        <v>0</v>
      </c>
      <c r="E3881" s="9" t="str">
        <f t="shared" ca="1" si="72"/>
        <v/>
      </c>
      <c r="F3881" s="4" t="s">
        <v>14</v>
      </c>
      <c r="G3881" s="2">
        <f>IF(ISNUMBER(SEARCH(Лист2!$B$4,F:F)),1,0)</f>
        <v>0</v>
      </c>
      <c r="H3881" s="3">
        <f ca="1">IF(AND(I3881&lt;&gt;I3880,ISNUMBER(SEARCH(Лист2!$B$5,I:I)),G3881=1),MAX($H$3:OFFSET(H3881,-1,0))+1,0)</f>
        <v>0</v>
      </c>
      <c r="I3881" s="3" t="s">
        <v>329</v>
      </c>
      <c r="K3881" s="2">
        <f>IF(ISNUMBER(SEARCH(Лист2!$B$4,F:F)),1,0)</f>
        <v>0</v>
      </c>
      <c r="L3881" s="14">
        <f>IF(ISNUMBER(SEARCH(Лист2!$B$5,I:I)),1,0)+K3881</f>
        <v>0</v>
      </c>
      <c r="M3881" s="3">
        <f ca="1">IF(AND(N3881&lt;&gt;N3880,ISNUMBER(SEARCH(Лист2!$B$6,N:N)),L3881=2),MAX($M$3:OFFSET(M3881,-1,0))+1,0)</f>
        <v>0</v>
      </c>
      <c r="N3881" s="3" t="s">
        <v>2461</v>
      </c>
    </row>
    <row r="3882" spans="1:14" x14ac:dyDescent="0.25">
      <c r="A3882" s="1" t="s">
        <v>12679</v>
      </c>
      <c r="B3882" s="3" t="s">
        <v>7506</v>
      </c>
      <c r="C3882" s="2">
        <f ca="1">IF(ISNUMBER(SEARCH(Лист2!$B$4,D:D)),MAX($C$3:OFFSET(C3882,-1,0))+1,0)</f>
        <v>0</v>
      </c>
      <c r="E3882" s="9" t="str">
        <f t="shared" ca="1" si="72"/>
        <v/>
      </c>
      <c r="F3882" s="4" t="s">
        <v>14</v>
      </c>
      <c r="G3882" s="2">
        <f>IF(ISNUMBER(SEARCH(Лист2!$B$4,F:F)),1,0)</f>
        <v>0</v>
      </c>
      <c r="H3882" s="3">
        <f ca="1">IF(AND(I3882&lt;&gt;I3881,ISNUMBER(SEARCH(Лист2!$B$5,I:I)),G3882=1),MAX($H$3:OFFSET(H3882,-1,0))+1,0)</f>
        <v>0</v>
      </c>
      <c r="I3882" s="3" t="s">
        <v>329</v>
      </c>
      <c r="K3882" s="2">
        <f>IF(ISNUMBER(SEARCH(Лист2!$B$4,F:F)),1,0)</f>
        <v>0</v>
      </c>
      <c r="L3882" s="14">
        <f>IF(ISNUMBER(SEARCH(Лист2!$B$5,I:I)),1,0)+K3882</f>
        <v>0</v>
      </c>
      <c r="M3882" s="3">
        <f ca="1">IF(AND(N3882&lt;&gt;N3881,ISNUMBER(SEARCH(Лист2!$B$6,N:N)),L3882=2),MAX($M$3:OFFSET(M3882,-1,0))+1,0)</f>
        <v>0</v>
      </c>
      <c r="N3882" s="3" t="s">
        <v>2462</v>
      </c>
    </row>
    <row r="3883" spans="1:14" x14ac:dyDescent="0.25">
      <c r="A3883" s="1" t="s">
        <v>12680</v>
      </c>
      <c r="B3883" s="3" t="s">
        <v>7507</v>
      </c>
      <c r="C3883" s="2">
        <f ca="1">IF(ISNUMBER(SEARCH(Лист2!$B$4,D:D)),MAX($C$3:OFFSET(C3883,-1,0))+1,0)</f>
        <v>0</v>
      </c>
      <c r="E3883" s="9" t="str">
        <f t="shared" ca="1" si="72"/>
        <v/>
      </c>
      <c r="F3883" s="4" t="s">
        <v>14</v>
      </c>
      <c r="G3883" s="2">
        <f>IF(ISNUMBER(SEARCH(Лист2!$B$4,F:F)),1,0)</f>
        <v>0</v>
      </c>
      <c r="H3883" s="3">
        <f ca="1">IF(AND(I3883&lt;&gt;I3882,ISNUMBER(SEARCH(Лист2!$B$5,I:I)),G3883=1),MAX($H$3:OFFSET(H3883,-1,0))+1,0)</f>
        <v>0</v>
      </c>
      <c r="I3883" s="3" t="s">
        <v>329</v>
      </c>
      <c r="K3883" s="2">
        <f>IF(ISNUMBER(SEARCH(Лист2!$B$4,F:F)),1,0)</f>
        <v>0</v>
      </c>
      <c r="L3883" s="14">
        <f>IF(ISNUMBER(SEARCH(Лист2!$B$5,I:I)),1,0)+K3883</f>
        <v>0</v>
      </c>
      <c r="M3883" s="3">
        <f ca="1">IF(AND(N3883&lt;&gt;N3882,ISNUMBER(SEARCH(Лист2!$B$6,N:N)),L3883=2),MAX($M$3:OFFSET(M3883,-1,0))+1,0)</f>
        <v>0</v>
      </c>
      <c r="N3883" s="3" t="s">
        <v>2463</v>
      </c>
    </row>
    <row r="3884" spans="1:14" x14ac:dyDescent="0.25">
      <c r="A3884" s="1" t="s">
        <v>12681</v>
      </c>
      <c r="B3884" s="3" t="s">
        <v>7508</v>
      </c>
      <c r="C3884" s="2">
        <f ca="1">IF(ISNUMBER(SEARCH(Лист2!$B$4,D:D)),MAX($C$3:OFFSET(C3884,-1,0))+1,0)</f>
        <v>0</v>
      </c>
      <c r="E3884" s="9" t="str">
        <f t="shared" ca="1" si="72"/>
        <v/>
      </c>
      <c r="F3884" s="4" t="s">
        <v>14</v>
      </c>
      <c r="G3884" s="2">
        <f>IF(ISNUMBER(SEARCH(Лист2!$B$4,F:F)),1,0)</f>
        <v>0</v>
      </c>
      <c r="H3884" s="3">
        <f ca="1">IF(AND(I3884&lt;&gt;I3883,ISNUMBER(SEARCH(Лист2!$B$5,I:I)),G3884=1),MAX($H$3:OFFSET(H3884,-1,0))+1,0)</f>
        <v>0</v>
      </c>
      <c r="I3884" s="3" t="s">
        <v>329</v>
      </c>
      <c r="K3884" s="2">
        <f>IF(ISNUMBER(SEARCH(Лист2!$B$4,F:F)),1,0)</f>
        <v>0</v>
      </c>
      <c r="L3884" s="14">
        <f>IF(ISNUMBER(SEARCH(Лист2!$B$5,I:I)),1,0)+K3884</f>
        <v>0</v>
      </c>
      <c r="M3884" s="3">
        <f ca="1">IF(AND(N3884&lt;&gt;N3883,ISNUMBER(SEARCH(Лист2!$B$6,N:N)),L3884=2),MAX($M$3:OFFSET(M3884,-1,0))+1,0)</f>
        <v>0</v>
      </c>
      <c r="N3884" s="3" t="s">
        <v>2464</v>
      </c>
    </row>
    <row r="3885" spans="1:14" x14ac:dyDescent="0.25">
      <c r="A3885" s="1" t="s">
        <v>12682</v>
      </c>
      <c r="B3885" s="3" t="s">
        <v>7509</v>
      </c>
      <c r="C3885" s="2">
        <f ca="1">IF(ISNUMBER(SEARCH(Лист2!$B$4,D:D)),MAX($C$3:OFFSET(C3885,-1,0))+1,0)</f>
        <v>0</v>
      </c>
      <c r="E3885" s="9" t="str">
        <f t="shared" ca="1" si="72"/>
        <v/>
      </c>
      <c r="F3885" s="4" t="s">
        <v>14</v>
      </c>
      <c r="G3885" s="2">
        <f>IF(ISNUMBER(SEARCH(Лист2!$B$4,F:F)),1,0)</f>
        <v>0</v>
      </c>
      <c r="H3885" s="3">
        <f ca="1">IF(AND(I3885&lt;&gt;I3884,ISNUMBER(SEARCH(Лист2!$B$5,I:I)),G3885=1),MAX($H$3:OFFSET(H3885,-1,0))+1,0)</f>
        <v>0</v>
      </c>
      <c r="I3885" s="3" t="s">
        <v>329</v>
      </c>
      <c r="K3885" s="2">
        <f>IF(ISNUMBER(SEARCH(Лист2!$B$4,F:F)),1,0)</f>
        <v>0</v>
      </c>
      <c r="L3885" s="14">
        <f>IF(ISNUMBER(SEARCH(Лист2!$B$5,I:I)),1,0)+K3885</f>
        <v>0</v>
      </c>
      <c r="M3885" s="3">
        <f ca="1">IF(AND(N3885&lt;&gt;N3884,ISNUMBER(SEARCH(Лист2!$B$6,N:N)),L3885=2),MAX($M$3:OFFSET(M3885,-1,0))+1,0)</f>
        <v>0</v>
      </c>
      <c r="N3885" s="3" t="s">
        <v>2465</v>
      </c>
    </row>
    <row r="3886" spans="1:14" x14ac:dyDescent="0.25">
      <c r="A3886" s="1" t="s">
        <v>12683</v>
      </c>
      <c r="B3886" s="3" t="s">
        <v>7510</v>
      </c>
      <c r="C3886" s="2">
        <f ca="1">IF(ISNUMBER(SEARCH(Лист2!$B$4,D:D)),MAX($C$3:OFFSET(C3886,-1,0))+1,0)</f>
        <v>0</v>
      </c>
      <c r="E3886" s="9" t="str">
        <f t="shared" ca="1" si="72"/>
        <v/>
      </c>
      <c r="F3886" s="4" t="s">
        <v>15</v>
      </c>
      <c r="G3886" s="2">
        <f>IF(ISNUMBER(SEARCH(Лист2!$B$4,F:F)),1,0)</f>
        <v>0</v>
      </c>
      <c r="H3886" s="3">
        <f ca="1">IF(AND(I3886&lt;&gt;I3885,ISNUMBER(SEARCH(Лист2!$B$5,I:I)),G3886=1),MAX($H$3:OFFSET(H3886,-1,0))+1,0)</f>
        <v>0</v>
      </c>
      <c r="I3886" s="3" t="s">
        <v>330</v>
      </c>
      <c r="K3886" s="2">
        <f>IF(ISNUMBER(SEARCH(Лист2!$B$4,F:F)),1,0)</f>
        <v>0</v>
      </c>
      <c r="L3886" s="14">
        <f>IF(ISNUMBER(SEARCH(Лист2!$B$5,I:I)),1,0)+K3886</f>
        <v>0</v>
      </c>
      <c r="M3886" s="3">
        <f ca="1">IF(AND(N3886&lt;&gt;N3885,ISNUMBER(SEARCH(Лист2!$B$6,N:N)),L3886=2),MAX($M$3:OFFSET(M3886,-1,0))+1,0)</f>
        <v>0</v>
      </c>
      <c r="N3886" s="3" t="s">
        <v>2466</v>
      </c>
    </row>
    <row r="3887" spans="1:14" x14ac:dyDescent="0.25">
      <c r="A3887" s="1" t="s">
        <v>12684</v>
      </c>
      <c r="B3887" s="3" t="s">
        <v>7511</v>
      </c>
      <c r="C3887" s="2">
        <f ca="1">IF(ISNUMBER(SEARCH(Лист2!$B$4,D:D)),MAX($C$3:OFFSET(C3887,-1,0))+1,0)</f>
        <v>0</v>
      </c>
      <c r="E3887" s="9" t="str">
        <f t="shared" ca="1" si="72"/>
        <v/>
      </c>
      <c r="F3887" s="4" t="s">
        <v>15</v>
      </c>
      <c r="G3887" s="2">
        <f>IF(ISNUMBER(SEARCH(Лист2!$B$4,F:F)),1,0)</f>
        <v>0</v>
      </c>
      <c r="H3887" s="3">
        <f ca="1">IF(AND(I3887&lt;&gt;I3886,ISNUMBER(SEARCH(Лист2!$B$5,I:I)),G3887=1),MAX($H$3:OFFSET(H3887,-1,0))+1,0)</f>
        <v>0</v>
      </c>
      <c r="I3887" s="3" t="s">
        <v>330</v>
      </c>
      <c r="K3887" s="2">
        <f>IF(ISNUMBER(SEARCH(Лист2!$B$4,F:F)),1,0)</f>
        <v>0</v>
      </c>
      <c r="L3887" s="14">
        <f>IF(ISNUMBER(SEARCH(Лист2!$B$5,I:I)),1,0)+K3887</f>
        <v>0</v>
      </c>
      <c r="M3887" s="3">
        <f ca="1">IF(AND(N3887&lt;&gt;N3886,ISNUMBER(SEARCH(Лист2!$B$6,N:N)),L3887=2),MAX($M$3:OFFSET(M3887,-1,0))+1,0)</f>
        <v>0</v>
      </c>
      <c r="N3887" s="3" t="s">
        <v>2467</v>
      </c>
    </row>
    <row r="3888" spans="1:14" x14ac:dyDescent="0.25">
      <c r="A3888" s="1" t="s">
        <v>12685</v>
      </c>
      <c r="B3888" s="3" t="s">
        <v>7512</v>
      </c>
      <c r="C3888" s="2">
        <f ca="1">IF(ISNUMBER(SEARCH(Лист2!$B$4,D:D)),MAX($C$3:OFFSET(C3888,-1,0))+1,0)</f>
        <v>0</v>
      </c>
      <c r="E3888" s="9" t="str">
        <f t="shared" ca="1" si="72"/>
        <v/>
      </c>
      <c r="F3888" s="4" t="s">
        <v>15</v>
      </c>
      <c r="G3888" s="2">
        <f>IF(ISNUMBER(SEARCH(Лист2!$B$4,F:F)),1,0)</f>
        <v>0</v>
      </c>
      <c r="H3888" s="3">
        <f ca="1">IF(AND(I3888&lt;&gt;I3887,ISNUMBER(SEARCH(Лист2!$B$5,I:I)),G3888=1),MAX($H$3:OFFSET(H3888,-1,0))+1,0)</f>
        <v>0</v>
      </c>
      <c r="I3888" s="3" t="s">
        <v>330</v>
      </c>
      <c r="K3888" s="2">
        <f>IF(ISNUMBER(SEARCH(Лист2!$B$4,F:F)),1,0)</f>
        <v>0</v>
      </c>
      <c r="L3888" s="14">
        <f>IF(ISNUMBER(SEARCH(Лист2!$B$5,I:I)),1,0)+K3888</f>
        <v>0</v>
      </c>
      <c r="M3888" s="3">
        <f ca="1">IF(AND(N3888&lt;&gt;N3887,ISNUMBER(SEARCH(Лист2!$B$6,N:N)),L3888=2),MAX($M$3:OFFSET(M3888,-1,0))+1,0)</f>
        <v>0</v>
      </c>
      <c r="N3888" s="3" t="s">
        <v>2468</v>
      </c>
    </row>
    <row r="3889" spans="1:14" x14ac:dyDescent="0.25">
      <c r="A3889" s="1" t="s">
        <v>12686</v>
      </c>
      <c r="B3889" s="3" t="s">
        <v>7513</v>
      </c>
      <c r="C3889" s="2">
        <f ca="1">IF(ISNUMBER(SEARCH(Лист2!$B$4,D:D)),MAX($C$3:OFFSET(C3889,-1,0))+1,0)</f>
        <v>0</v>
      </c>
      <c r="E3889" s="9" t="str">
        <f t="shared" ca="1" si="72"/>
        <v/>
      </c>
      <c r="F3889" s="4" t="s">
        <v>15</v>
      </c>
      <c r="G3889" s="2">
        <f>IF(ISNUMBER(SEARCH(Лист2!$B$4,F:F)),1,0)</f>
        <v>0</v>
      </c>
      <c r="H3889" s="3">
        <f ca="1">IF(AND(I3889&lt;&gt;I3888,ISNUMBER(SEARCH(Лист2!$B$5,I:I)),G3889=1),MAX($H$3:OFFSET(H3889,-1,0))+1,0)</f>
        <v>0</v>
      </c>
      <c r="I3889" s="3" t="s">
        <v>330</v>
      </c>
      <c r="K3889" s="2">
        <f>IF(ISNUMBER(SEARCH(Лист2!$B$4,F:F)),1,0)</f>
        <v>0</v>
      </c>
      <c r="L3889" s="14">
        <f>IF(ISNUMBER(SEARCH(Лист2!$B$5,I:I)),1,0)+K3889</f>
        <v>0</v>
      </c>
      <c r="M3889" s="3">
        <f ca="1">IF(AND(N3889&lt;&gt;N3888,ISNUMBER(SEARCH(Лист2!$B$6,N:N)),L3889=2),MAX($M$3:OFFSET(M3889,-1,0))+1,0)</f>
        <v>0</v>
      </c>
      <c r="N3889" s="3" t="s">
        <v>2469</v>
      </c>
    </row>
    <row r="3890" spans="1:14" x14ac:dyDescent="0.25">
      <c r="A3890" s="1" t="s">
        <v>12687</v>
      </c>
      <c r="B3890" s="3" t="s">
        <v>7514</v>
      </c>
      <c r="C3890" s="2">
        <f ca="1">IF(ISNUMBER(SEARCH(Лист2!$B$4,D:D)),MAX($C$3:OFFSET(C3890,-1,0))+1,0)</f>
        <v>0</v>
      </c>
      <c r="E3890" s="9" t="str">
        <f t="shared" ca="1" si="72"/>
        <v/>
      </c>
      <c r="F3890" s="4" t="s">
        <v>15</v>
      </c>
      <c r="G3890" s="2">
        <f>IF(ISNUMBER(SEARCH(Лист2!$B$4,F:F)),1,0)</f>
        <v>0</v>
      </c>
      <c r="H3890" s="3">
        <f ca="1">IF(AND(I3890&lt;&gt;I3889,ISNUMBER(SEARCH(Лист2!$B$5,I:I)),G3890=1),MAX($H$3:OFFSET(H3890,-1,0))+1,0)</f>
        <v>0</v>
      </c>
      <c r="I3890" s="3" t="s">
        <v>330</v>
      </c>
      <c r="K3890" s="2">
        <f>IF(ISNUMBER(SEARCH(Лист2!$B$4,F:F)),1,0)</f>
        <v>0</v>
      </c>
      <c r="L3890" s="14">
        <f>IF(ISNUMBER(SEARCH(Лист2!$B$5,I:I)),1,0)+K3890</f>
        <v>0</v>
      </c>
      <c r="M3890" s="3">
        <f ca="1">IF(AND(N3890&lt;&gt;N3889,ISNUMBER(SEARCH(Лист2!$B$6,N:N)),L3890=2),MAX($M$3:OFFSET(M3890,-1,0))+1,0)</f>
        <v>0</v>
      </c>
      <c r="N3890" s="3" t="s">
        <v>2470</v>
      </c>
    </row>
    <row r="3891" spans="1:14" x14ac:dyDescent="0.25">
      <c r="A3891" s="1" t="s">
        <v>12688</v>
      </c>
      <c r="B3891" s="3" t="s">
        <v>7515</v>
      </c>
      <c r="C3891" s="2">
        <f ca="1">IF(ISNUMBER(SEARCH(Лист2!$B$4,D:D)),MAX($C$3:OFFSET(C3891,-1,0))+1,0)</f>
        <v>0</v>
      </c>
      <c r="E3891" s="9" t="str">
        <f t="shared" ca="1" si="72"/>
        <v/>
      </c>
      <c r="F3891" s="4" t="s">
        <v>15</v>
      </c>
      <c r="G3891" s="2">
        <f>IF(ISNUMBER(SEARCH(Лист2!$B$4,F:F)),1,0)</f>
        <v>0</v>
      </c>
      <c r="H3891" s="3">
        <f ca="1">IF(AND(I3891&lt;&gt;I3890,ISNUMBER(SEARCH(Лист2!$B$5,I:I)),G3891=1),MAX($H$3:OFFSET(H3891,-1,0))+1,0)</f>
        <v>0</v>
      </c>
      <c r="I3891" s="3" t="s">
        <v>330</v>
      </c>
      <c r="K3891" s="2">
        <f>IF(ISNUMBER(SEARCH(Лист2!$B$4,F:F)),1,0)</f>
        <v>0</v>
      </c>
      <c r="L3891" s="14">
        <f>IF(ISNUMBER(SEARCH(Лист2!$B$5,I:I)),1,0)+K3891</f>
        <v>0</v>
      </c>
      <c r="M3891" s="3">
        <f ca="1">IF(AND(N3891&lt;&gt;N3890,ISNUMBER(SEARCH(Лист2!$B$6,N:N)),L3891=2),MAX($M$3:OFFSET(M3891,-1,0))+1,0)</f>
        <v>0</v>
      </c>
      <c r="N3891" s="3" t="s">
        <v>2471</v>
      </c>
    </row>
    <row r="3892" spans="1:14" x14ac:dyDescent="0.25">
      <c r="A3892" s="1" t="s">
        <v>12689</v>
      </c>
      <c r="B3892" s="3" t="s">
        <v>7516</v>
      </c>
      <c r="C3892" s="2">
        <f ca="1">IF(ISNUMBER(SEARCH(Лист2!$B$4,D:D)),MAX($C$3:OFFSET(C3892,-1,0))+1,0)</f>
        <v>0</v>
      </c>
      <c r="E3892" s="9" t="str">
        <f t="shared" ca="1" si="72"/>
        <v/>
      </c>
      <c r="F3892" s="4" t="s">
        <v>15</v>
      </c>
      <c r="G3892" s="2">
        <f>IF(ISNUMBER(SEARCH(Лист2!$B$4,F:F)),1,0)</f>
        <v>0</v>
      </c>
      <c r="H3892" s="3">
        <f ca="1">IF(AND(I3892&lt;&gt;I3891,ISNUMBER(SEARCH(Лист2!$B$5,I:I)),G3892=1),MAX($H$3:OFFSET(H3892,-1,0))+1,0)</f>
        <v>0</v>
      </c>
      <c r="I3892" s="3" t="s">
        <v>330</v>
      </c>
      <c r="K3892" s="2">
        <f>IF(ISNUMBER(SEARCH(Лист2!$B$4,F:F)),1,0)</f>
        <v>0</v>
      </c>
      <c r="L3892" s="14">
        <f>IF(ISNUMBER(SEARCH(Лист2!$B$5,I:I)),1,0)+K3892</f>
        <v>0</v>
      </c>
      <c r="M3892" s="3">
        <f ca="1">IF(AND(N3892&lt;&gt;N3891,ISNUMBER(SEARCH(Лист2!$B$6,N:N)),L3892=2),MAX($M$3:OFFSET(M3892,-1,0))+1,0)</f>
        <v>0</v>
      </c>
      <c r="N3892" s="3" t="s">
        <v>602</v>
      </c>
    </row>
    <row r="3893" spans="1:14" x14ac:dyDescent="0.25">
      <c r="A3893" s="1" t="s">
        <v>12690</v>
      </c>
      <c r="B3893" s="3" t="s">
        <v>7517</v>
      </c>
      <c r="C3893" s="2">
        <f ca="1">IF(ISNUMBER(SEARCH(Лист2!$B$4,D:D)),MAX($C$3:OFFSET(C3893,-1,0))+1,0)</f>
        <v>0</v>
      </c>
      <c r="E3893" s="9" t="str">
        <f t="shared" ca="1" si="72"/>
        <v/>
      </c>
      <c r="F3893" s="4" t="s">
        <v>15</v>
      </c>
      <c r="G3893" s="2">
        <f>IF(ISNUMBER(SEARCH(Лист2!$B$4,F:F)),1,0)</f>
        <v>0</v>
      </c>
      <c r="H3893" s="3">
        <f ca="1">IF(AND(I3893&lt;&gt;I3892,ISNUMBER(SEARCH(Лист2!$B$5,I:I)),G3893=1),MAX($H$3:OFFSET(H3893,-1,0))+1,0)</f>
        <v>0</v>
      </c>
      <c r="I3893" s="3" t="s">
        <v>323</v>
      </c>
      <c r="K3893" s="2">
        <f>IF(ISNUMBER(SEARCH(Лист2!$B$4,F:F)),1,0)</f>
        <v>0</v>
      </c>
      <c r="L3893" s="14">
        <f>IF(ISNUMBER(SEARCH(Лист2!$B$5,I:I)),1,0)+K3893</f>
        <v>0</v>
      </c>
      <c r="M3893" s="3">
        <f ca="1">IF(AND(N3893&lt;&gt;N3892,ISNUMBER(SEARCH(Лист2!$B$6,N:N)),L3893=2),MAX($M$3:OFFSET(M3893,-1,0))+1,0)</f>
        <v>0</v>
      </c>
      <c r="N3893" s="3" t="s">
        <v>2472</v>
      </c>
    </row>
    <row r="3894" spans="1:14" x14ac:dyDescent="0.25">
      <c r="A3894" s="1" t="s">
        <v>12691</v>
      </c>
      <c r="B3894" s="3" t="s">
        <v>7518</v>
      </c>
      <c r="C3894" s="2">
        <f ca="1">IF(ISNUMBER(SEARCH(Лист2!$B$4,D:D)),MAX($C$3:OFFSET(C3894,-1,0))+1,0)</f>
        <v>0</v>
      </c>
      <c r="E3894" s="9" t="str">
        <f t="shared" ca="1" si="72"/>
        <v/>
      </c>
      <c r="F3894" s="4" t="s">
        <v>15</v>
      </c>
      <c r="G3894" s="2">
        <f>IF(ISNUMBER(SEARCH(Лист2!$B$4,F:F)),1,0)</f>
        <v>0</v>
      </c>
      <c r="H3894" s="3">
        <f ca="1">IF(AND(I3894&lt;&gt;I3893,ISNUMBER(SEARCH(Лист2!$B$5,I:I)),G3894=1),MAX($H$3:OFFSET(H3894,-1,0))+1,0)</f>
        <v>0</v>
      </c>
      <c r="I3894" s="3" t="s">
        <v>323</v>
      </c>
      <c r="K3894" s="2">
        <f>IF(ISNUMBER(SEARCH(Лист2!$B$4,F:F)),1,0)</f>
        <v>0</v>
      </c>
      <c r="L3894" s="14">
        <f>IF(ISNUMBER(SEARCH(Лист2!$B$5,I:I)),1,0)+K3894</f>
        <v>0</v>
      </c>
      <c r="M3894" s="3">
        <f ca="1">IF(AND(N3894&lt;&gt;N3893,ISNUMBER(SEARCH(Лист2!$B$6,N:N)),L3894=2),MAX($M$3:OFFSET(M3894,-1,0))+1,0)</f>
        <v>0</v>
      </c>
      <c r="N3894" s="3" t="s">
        <v>2348</v>
      </c>
    </row>
    <row r="3895" spans="1:14" x14ac:dyDescent="0.25">
      <c r="A3895" s="1" t="s">
        <v>12692</v>
      </c>
      <c r="B3895" s="3" t="s">
        <v>7519</v>
      </c>
      <c r="C3895" s="2">
        <f ca="1">IF(ISNUMBER(SEARCH(Лист2!$B$4,D:D)),MAX($C$3:OFFSET(C3895,-1,0))+1,0)</f>
        <v>0</v>
      </c>
      <c r="E3895" s="9" t="str">
        <f t="shared" ca="1" si="72"/>
        <v/>
      </c>
      <c r="F3895" s="4" t="s">
        <v>15</v>
      </c>
      <c r="G3895" s="2">
        <f>IF(ISNUMBER(SEARCH(Лист2!$B$4,F:F)),1,0)</f>
        <v>0</v>
      </c>
      <c r="H3895" s="3">
        <f ca="1">IF(AND(I3895&lt;&gt;I3894,ISNUMBER(SEARCH(Лист2!$B$5,I:I)),G3895=1),MAX($H$3:OFFSET(H3895,-1,0))+1,0)</f>
        <v>0</v>
      </c>
      <c r="I3895" s="3" t="s">
        <v>323</v>
      </c>
      <c r="K3895" s="2">
        <f>IF(ISNUMBER(SEARCH(Лист2!$B$4,F:F)),1,0)</f>
        <v>0</v>
      </c>
      <c r="L3895" s="14">
        <f>IF(ISNUMBER(SEARCH(Лист2!$B$5,I:I)),1,0)+K3895</f>
        <v>0</v>
      </c>
      <c r="M3895" s="3">
        <f ca="1">IF(AND(N3895&lt;&gt;N3894,ISNUMBER(SEARCH(Лист2!$B$6,N:N)),L3895=2),MAX($M$3:OFFSET(M3895,-1,0))+1,0)</f>
        <v>0</v>
      </c>
      <c r="N3895" s="3" t="s">
        <v>2349</v>
      </c>
    </row>
    <row r="3896" spans="1:14" x14ac:dyDescent="0.25">
      <c r="A3896" s="1" t="s">
        <v>12693</v>
      </c>
      <c r="B3896" s="3" t="s">
        <v>7520</v>
      </c>
      <c r="C3896" s="2">
        <f ca="1">IF(ISNUMBER(SEARCH(Лист2!$B$4,D:D)),MAX($C$3:OFFSET(C3896,-1,0))+1,0)</f>
        <v>0</v>
      </c>
      <c r="E3896" s="9" t="str">
        <f t="shared" ca="1" si="72"/>
        <v/>
      </c>
      <c r="F3896" s="4" t="s">
        <v>15</v>
      </c>
      <c r="G3896" s="2">
        <f>IF(ISNUMBER(SEARCH(Лист2!$B$4,F:F)),1,0)</f>
        <v>0</v>
      </c>
      <c r="H3896" s="3">
        <f ca="1">IF(AND(I3896&lt;&gt;I3895,ISNUMBER(SEARCH(Лист2!$B$5,I:I)),G3896=1),MAX($H$3:OFFSET(H3896,-1,0))+1,0)</f>
        <v>0</v>
      </c>
      <c r="I3896" s="3" t="s">
        <v>323</v>
      </c>
      <c r="K3896" s="2">
        <f>IF(ISNUMBER(SEARCH(Лист2!$B$4,F:F)),1,0)</f>
        <v>0</v>
      </c>
      <c r="L3896" s="14">
        <f>IF(ISNUMBER(SEARCH(Лист2!$B$5,I:I)),1,0)+K3896</f>
        <v>0</v>
      </c>
      <c r="M3896" s="3">
        <f ca="1">IF(AND(N3896&lt;&gt;N3895,ISNUMBER(SEARCH(Лист2!$B$6,N:N)),L3896=2),MAX($M$3:OFFSET(M3896,-1,0))+1,0)</f>
        <v>0</v>
      </c>
      <c r="N3896" s="3" t="s">
        <v>2351</v>
      </c>
    </row>
    <row r="3897" spans="1:14" x14ac:dyDescent="0.25">
      <c r="A3897" s="1" t="s">
        <v>12694</v>
      </c>
      <c r="B3897" s="3" t="s">
        <v>7521</v>
      </c>
      <c r="C3897" s="2">
        <f ca="1">IF(ISNUMBER(SEARCH(Лист2!$B$4,D:D)),MAX($C$3:OFFSET(C3897,-1,0))+1,0)</f>
        <v>0</v>
      </c>
      <c r="E3897" s="9" t="str">
        <f t="shared" ca="1" si="72"/>
        <v/>
      </c>
      <c r="F3897" s="4" t="s">
        <v>15</v>
      </c>
      <c r="G3897" s="2">
        <f>IF(ISNUMBER(SEARCH(Лист2!$B$4,F:F)),1,0)</f>
        <v>0</v>
      </c>
      <c r="H3897" s="3">
        <f ca="1">IF(AND(I3897&lt;&gt;I3896,ISNUMBER(SEARCH(Лист2!$B$5,I:I)),G3897=1),MAX($H$3:OFFSET(H3897,-1,0))+1,0)</f>
        <v>0</v>
      </c>
      <c r="I3897" s="3" t="s">
        <v>323</v>
      </c>
      <c r="K3897" s="2">
        <f>IF(ISNUMBER(SEARCH(Лист2!$B$4,F:F)),1,0)</f>
        <v>0</v>
      </c>
      <c r="L3897" s="14">
        <f>IF(ISNUMBER(SEARCH(Лист2!$B$5,I:I)),1,0)+K3897</f>
        <v>0</v>
      </c>
      <c r="M3897" s="3">
        <f ca="1">IF(AND(N3897&lt;&gt;N3896,ISNUMBER(SEARCH(Лист2!$B$6,N:N)),L3897=2),MAX($M$3:OFFSET(M3897,-1,0))+1,0)</f>
        <v>0</v>
      </c>
      <c r="N3897" s="3" t="s">
        <v>2352</v>
      </c>
    </row>
    <row r="3898" spans="1:14" x14ac:dyDescent="0.25">
      <c r="A3898" s="1" t="s">
        <v>12695</v>
      </c>
      <c r="B3898" s="3" t="s">
        <v>7522</v>
      </c>
      <c r="C3898" s="2">
        <f ca="1">IF(ISNUMBER(SEARCH(Лист2!$B$4,D:D)),MAX($C$3:OFFSET(C3898,-1,0))+1,0)</f>
        <v>0</v>
      </c>
      <c r="E3898" s="9" t="str">
        <f t="shared" ca="1" si="72"/>
        <v/>
      </c>
      <c r="F3898" s="4" t="s">
        <v>15</v>
      </c>
      <c r="G3898" s="2">
        <f>IF(ISNUMBER(SEARCH(Лист2!$B$4,F:F)),1,0)</f>
        <v>0</v>
      </c>
      <c r="H3898" s="3">
        <f ca="1">IF(AND(I3898&lt;&gt;I3897,ISNUMBER(SEARCH(Лист2!$B$5,I:I)),G3898=1),MAX($H$3:OFFSET(H3898,-1,0))+1,0)</f>
        <v>0</v>
      </c>
      <c r="I3898" s="3" t="s">
        <v>323</v>
      </c>
      <c r="K3898" s="2">
        <f>IF(ISNUMBER(SEARCH(Лист2!$B$4,F:F)),1,0)</f>
        <v>0</v>
      </c>
      <c r="L3898" s="14">
        <f>IF(ISNUMBER(SEARCH(Лист2!$B$5,I:I)),1,0)+K3898</f>
        <v>0</v>
      </c>
      <c r="M3898" s="3">
        <f ca="1">IF(AND(N3898&lt;&gt;N3897,ISNUMBER(SEARCH(Лист2!$B$6,N:N)),L3898=2),MAX($M$3:OFFSET(M3898,-1,0))+1,0)</f>
        <v>0</v>
      </c>
      <c r="N3898" s="3" t="s">
        <v>2353</v>
      </c>
    </row>
    <row r="3899" spans="1:14" x14ac:dyDescent="0.25">
      <c r="A3899" s="1" t="s">
        <v>12696</v>
      </c>
      <c r="B3899" s="3" t="s">
        <v>7523</v>
      </c>
      <c r="C3899" s="2">
        <f ca="1">IF(ISNUMBER(SEARCH(Лист2!$B$4,D:D)),MAX($C$3:OFFSET(C3899,-1,0))+1,0)</f>
        <v>0</v>
      </c>
      <c r="E3899" s="9" t="str">
        <f t="shared" ca="1" si="72"/>
        <v/>
      </c>
      <c r="F3899" s="4" t="s">
        <v>15</v>
      </c>
      <c r="G3899" s="2">
        <f>IF(ISNUMBER(SEARCH(Лист2!$B$4,F:F)),1,0)</f>
        <v>0</v>
      </c>
      <c r="H3899" s="3">
        <f ca="1">IF(AND(I3899&lt;&gt;I3898,ISNUMBER(SEARCH(Лист2!$B$5,I:I)),G3899=1),MAX($H$3:OFFSET(H3899,-1,0))+1,0)</f>
        <v>0</v>
      </c>
      <c r="I3899" s="3" t="s">
        <v>323</v>
      </c>
      <c r="K3899" s="2">
        <f>IF(ISNUMBER(SEARCH(Лист2!$B$4,F:F)),1,0)</f>
        <v>0</v>
      </c>
      <c r="L3899" s="14">
        <f>IF(ISNUMBER(SEARCH(Лист2!$B$5,I:I)),1,0)+K3899</f>
        <v>0</v>
      </c>
      <c r="M3899" s="3">
        <f ca="1">IF(AND(N3899&lt;&gt;N3898,ISNUMBER(SEARCH(Лист2!$B$6,N:N)),L3899=2),MAX($M$3:OFFSET(M3899,-1,0))+1,0)</f>
        <v>0</v>
      </c>
      <c r="N3899" s="3" t="s">
        <v>602</v>
      </c>
    </row>
    <row r="3900" spans="1:14" x14ac:dyDescent="0.25">
      <c r="A3900" s="1" t="s">
        <v>12697</v>
      </c>
      <c r="B3900" s="3" t="s">
        <v>7524</v>
      </c>
      <c r="C3900" s="2">
        <f ca="1">IF(ISNUMBER(SEARCH(Лист2!$B$4,D:D)),MAX($C$3:OFFSET(C3900,-1,0))+1,0)</f>
        <v>0</v>
      </c>
      <c r="E3900" s="9" t="str">
        <f t="shared" ca="1" si="72"/>
        <v/>
      </c>
      <c r="F3900" s="4" t="s">
        <v>15</v>
      </c>
      <c r="G3900" s="2">
        <f>IF(ISNUMBER(SEARCH(Лист2!$B$4,F:F)),1,0)</f>
        <v>0</v>
      </c>
      <c r="H3900" s="3">
        <f ca="1">IF(AND(I3900&lt;&gt;I3899,ISNUMBER(SEARCH(Лист2!$B$5,I:I)),G3900=1),MAX($H$3:OFFSET(H3900,-1,0))+1,0)</f>
        <v>0</v>
      </c>
      <c r="I3900" s="3" t="s">
        <v>331</v>
      </c>
      <c r="K3900" s="2">
        <f>IF(ISNUMBER(SEARCH(Лист2!$B$4,F:F)),1,0)</f>
        <v>0</v>
      </c>
      <c r="L3900" s="14">
        <f>IF(ISNUMBER(SEARCH(Лист2!$B$5,I:I)),1,0)+K3900</f>
        <v>1</v>
      </c>
      <c r="M3900" s="3">
        <f ca="1">IF(AND(N3900&lt;&gt;N3899,ISNUMBER(SEARCH(Лист2!$B$6,N:N)),L3900=2),MAX($M$3:OFFSET(M3900,-1,0))+1,0)</f>
        <v>0</v>
      </c>
      <c r="N3900" s="3" t="s">
        <v>2473</v>
      </c>
    </row>
    <row r="3901" spans="1:14" x14ac:dyDescent="0.25">
      <c r="A3901" s="1" t="s">
        <v>12698</v>
      </c>
      <c r="B3901" s="3" t="s">
        <v>7525</v>
      </c>
      <c r="C3901" s="2">
        <f ca="1">IF(ISNUMBER(SEARCH(Лист2!$B$4,D:D)),MAX($C$3:OFFSET(C3901,-1,0))+1,0)</f>
        <v>0</v>
      </c>
      <c r="E3901" s="9" t="str">
        <f t="shared" ca="1" si="72"/>
        <v/>
      </c>
      <c r="F3901" s="4" t="s">
        <v>15</v>
      </c>
      <c r="G3901" s="2">
        <f>IF(ISNUMBER(SEARCH(Лист2!$B$4,F:F)),1,0)</f>
        <v>0</v>
      </c>
      <c r="H3901" s="3">
        <f ca="1">IF(AND(I3901&lt;&gt;I3900,ISNUMBER(SEARCH(Лист2!$B$5,I:I)),G3901=1),MAX($H$3:OFFSET(H3901,-1,0))+1,0)</f>
        <v>0</v>
      </c>
      <c r="I3901" s="3" t="s">
        <v>331</v>
      </c>
      <c r="K3901" s="2">
        <f>IF(ISNUMBER(SEARCH(Лист2!$B$4,F:F)),1,0)</f>
        <v>0</v>
      </c>
      <c r="L3901" s="14">
        <f>IF(ISNUMBER(SEARCH(Лист2!$B$5,I:I)),1,0)+K3901</f>
        <v>1</v>
      </c>
      <c r="M3901" s="3">
        <f ca="1">IF(AND(N3901&lt;&gt;N3900,ISNUMBER(SEARCH(Лист2!$B$6,N:N)),L3901=2),MAX($M$3:OFFSET(M3901,-1,0))+1,0)</f>
        <v>0</v>
      </c>
      <c r="N3901" s="3" t="s">
        <v>2474</v>
      </c>
    </row>
    <row r="3902" spans="1:14" x14ac:dyDescent="0.25">
      <c r="A3902" s="1" t="s">
        <v>12699</v>
      </c>
      <c r="B3902" s="3" t="s">
        <v>7526</v>
      </c>
      <c r="C3902" s="2">
        <f ca="1">IF(ISNUMBER(SEARCH(Лист2!$B$4,D:D)),MAX($C$3:OFFSET(C3902,-1,0))+1,0)</f>
        <v>0</v>
      </c>
      <c r="E3902" s="9" t="str">
        <f t="shared" ca="1" si="72"/>
        <v/>
      </c>
      <c r="F3902" s="4" t="s">
        <v>15</v>
      </c>
      <c r="G3902" s="2">
        <f>IF(ISNUMBER(SEARCH(Лист2!$B$4,F:F)),1,0)</f>
        <v>0</v>
      </c>
      <c r="H3902" s="3">
        <f ca="1">IF(AND(I3902&lt;&gt;I3901,ISNUMBER(SEARCH(Лист2!$B$5,I:I)),G3902=1),MAX($H$3:OFFSET(H3902,-1,0))+1,0)</f>
        <v>0</v>
      </c>
      <c r="I3902" s="3" t="s">
        <v>331</v>
      </c>
      <c r="K3902" s="2">
        <f>IF(ISNUMBER(SEARCH(Лист2!$B$4,F:F)),1,0)</f>
        <v>0</v>
      </c>
      <c r="L3902" s="14">
        <f>IF(ISNUMBER(SEARCH(Лист2!$B$5,I:I)),1,0)+K3902</f>
        <v>1</v>
      </c>
      <c r="M3902" s="3">
        <f ca="1">IF(AND(N3902&lt;&gt;N3901,ISNUMBER(SEARCH(Лист2!$B$6,N:N)),L3902=2),MAX($M$3:OFFSET(M3902,-1,0))+1,0)</f>
        <v>0</v>
      </c>
      <c r="N3902" s="3" t="s">
        <v>2475</v>
      </c>
    </row>
    <row r="3903" spans="1:14" x14ac:dyDescent="0.25">
      <c r="A3903" s="1" t="s">
        <v>12700</v>
      </c>
      <c r="B3903" s="3" t="s">
        <v>7527</v>
      </c>
      <c r="C3903" s="2">
        <f ca="1">IF(ISNUMBER(SEARCH(Лист2!$B$4,D:D)),MAX($C$3:OFFSET(C3903,-1,0))+1,0)</f>
        <v>0</v>
      </c>
      <c r="E3903" s="9" t="str">
        <f t="shared" ca="1" si="72"/>
        <v/>
      </c>
      <c r="F3903" s="4" t="s">
        <v>15</v>
      </c>
      <c r="G3903" s="2">
        <f>IF(ISNUMBER(SEARCH(Лист2!$B$4,F:F)),1,0)</f>
        <v>0</v>
      </c>
      <c r="H3903" s="3">
        <f ca="1">IF(AND(I3903&lt;&gt;I3902,ISNUMBER(SEARCH(Лист2!$B$5,I:I)),G3903=1),MAX($H$3:OFFSET(H3903,-1,0))+1,0)</f>
        <v>0</v>
      </c>
      <c r="I3903" s="3" t="s">
        <v>331</v>
      </c>
      <c r="K3903" s="2">
        <f>IF(ISNUMBER(SEARCH(Лист2!$B$4,F:F)),1,0)</f>
        <v>0</v>
      </c>
      <c r="L3903" s="14">
        <f>IF(ISNUMBER(SEARCH(Лист2!$B$5,I:I)),1,0)+K3903</f>
        <v>1</v>
      </c>
      <c r="M3903" s="3">
        <f ca="1">IF(AND(N3903&lt;&gt;N3902,ISNUMBER(SEARCH(Лист2!$B$6,N:N)),L3903=2),MAX($M$3:OFFSET(M3903,-1,0))+1,0)</f>
        <v>0</v>
      </c>
      <c r="N3903" s="3" t="s">
        <v>2476</v>
      </c>
    </row>
    <row r="3904" spans="1:14" x14ac:dyDescent="0.25">
      <c r="A3904" s="1" t="s">
        <v>12701</v>
      </c>
      <c r="B3904" s="3" t="s">
        <v>7528</v>
      </c>
      <c r="C3904" s="2">
        <f ca="1">IF(ISNUMBER(SEARCH(Лист2!$B$4,D:D)),MAX($C$3:OFFSET(C3904,-1,0))+1,0)</f>
        <v>0</v>
      </c>
      <c r="E3904" s="9" t="str">
        <f t="shared" ca="1" si="72"/>
        <v/>
      </c>
      <c r="F3904" s="4" t="s">
        <v>15</v>
      </c>
      <c r="G3904" s="2">
        <f>IF(ISNUMBER(SEARCH(Лист2!$B$4,F:F)),1,0)</f>
        <v>0</v>
      </c>
      <c r="H3904" s="3">
        <f ca="1">IF(AND(I3904&lt;&gt;I3903,ISNUMBER(SEARCH(Лист2!$B$5,I:I)),G3904=1),MAX($H$3:OFFSET(H3904,-1,0))+1,0)</f>
        <v>0</v>
      </c>
      <c r="I3904" s="3" t="s">
        <v>331</v>
      </c>
      <c r="K3904" s="2">
        <f>IF(ISNUMBER(SEARCH(Лист2!$B$4,F:F)),1,0)</f>
        <v>0</v>
      </c>
      <c r="L3904" s="14">
        <f>IF(ISNUMBER(SEARCH(Лист2!$B$5,I:I)),1,0)+K3904</f>
        <v>1</v>
      </c>
      <c r="M3904" s="3">
        <f ca="1">IF(AND(N3904&lt;&gt;N3903,ISNUMBER(SEARCH(Лист2!$B$6,N:N)),L3904=2),MAX($M$3:OFFSET(M3904,-1,0))+1,0)</f>
        <v>0</v>
      </c>
      <c r="N3904" s="3" t="s">
        <v>2477</v>
      </c>
    </row>
    <row r="3905" spans="1:14" x14ac:dyDescent="0.25">
      <c r="A3905" s="1" t="s">
        <v>12702</v>
      </c>
      <c r="B3905" s="3" t="s">
        <v>7529</v>
      </c>
      <c r="C3905" s="2">
        <f ca="1">IF(ISNUMBER(SEARCH(Лист2!$B$4,D:D)),MAX($C$3:OFFSET(C3905,-1,0))+1,0)</f>
        <v>0</v>
      </c>
      <c r="E3905" s="9" t="str">
        <f t="shared" ca="1" si="72"/>
        <v/>
      </c>
      <c r="F3905" s="4" t="s">
        <v>15</v>
      </c>
      <c r="G3905" s="2">
        <f>IF(ISNUMBER(SEARCH(Лист2!$B$4,F:F)),1,0)</f>
        <v>0</v>
      </c>
      <c r="H3905" s="3">
        <f ca="1">IF(AND(I3905&lt;&gt;I3904,ISNUMBER(SEARCH(Лист2!$B$5,I:I)),G3905=1),MAX($H$3:OFFSET(H3905,-1,0))+1,0)</f>
        <v>0</v>
      </c>
      <c r="I3905" s="3" t="s">
        <v>331</v>
      </c>
      <c r="K3905" s="2">
        <f>IF(ISNUMBER(SEARCH(Лист2!$B$4,F:F)),1,0)</f>
        <v>0</v>
      </c>
      <c r="L3905" s="14">
        <f>IF(ISNUMBER(SEARCH(Лист2!$B$5,I:I)),1,0)+K3905</f>
        <v>1</v>
      </c>
      <c r="M3905" s="3">
        <f ca="1">IF(AND(N3905&lt;&gt;N3904,ISNUMBER(SEARCH(Лист2!$B$6,N:N)),L3905=2),MAX($M$3:OFFSET(M3905,-1,0))+1,0)</f>
        <v>0</v>
      </c>
      <c r="N3905" s="3" t="s">
        <v>2478</v>
      </c>
    </row>
    <row r="3906" spans="1:14" x14ac:dyDescent="0.25">
      <c r="A3906" s="1" t="s">
        <v>12703</v>
      </c>
      <c r="B3906" s="3" t="s">
        <v>7530</v>
      </c>
      <c r="C3906" s="2">
        <f ca="1">IF(ISNUMBER(SEARCH(Лист2!$B$4,D:D)),MAX($C$3:OFFSET(C3906,-1,0))+1,0)</f>
        <v>0</v>
      </c>
      <c r="E3906" s="9" t="str">
        <f t="shared" ca="1" si="72"/>
        <v/>
      </c>
      <c r="F3906" s="4" t="s">
        <v>15</v>
      </c>
      <c r="G3906" s="2">
        <f>IF(ISNUMBER(SEARCH(Лист2!$B$4,F:F)),1,0)</f>
        <v>0</v>
      </c>
      <c r="H3906" s="3">
        <f ca="1">IF(AND(I3906&lt;&gt;I3905,ISNUMBER(SEARCH(Лист2!$B$5,I:I)),G3906=1),MAX($H$3:OFFSET(H3906,-1,0))+1,0)</f>
        <v>0</v>
      </c>
      <c r="I3906" s="3" t="s">
        <v>331</v>
      </c>
      <c r="K3906" s="2">
        <f>IF(ISNUMBER(SEARCH(Лист2!$B$4,F:F)),1,0)</f>
        <v>0</v>
      </c>
      <c r="L3906" s="14">
        <f>IF(ISNUMBER(SEARCH(Лист2!$B$5,I:I)),1,0)+K3906</f>
        <v>1</v>
      </c>
      <c r="M3906" s="3">
        <f ca="1">IF(AND(N3906&lt;&gt;N3905,ISNUMBER(SEARCH(Лист2!$B$6,N:N)),L3906=2),MAX($M$3:OFFSET(M3906,-1,0))+1,0)</f>
        <v>0</v>
      </c>
      <c r="N3906" s="3" t="s">
        <v>2479</v>
      </c>
    </row>
    <row r="3907" spans="1:14" x14ac:dyDescent="0.25">
      <c r="A3907" s="1" t="s">
        <v>12704</v>
      </c>
      <c r="B3907" s="3" t="s">
        <v>7531</v>
      </c>
      <c r="C3907" s="2">
        <f ca="1">IF(ISNUMBER(SEARCH(Лист2!$B$4,D:D)),MAX($C$3:OFFSET(C3907,-1,0))+1,0)</f>
        <v>0</v>
      </c>
      <c r="E3907" s="9" t="str">
        <f t="shared" ca="1" si="72"/>
        <v/>
      </c>
      <c r="F3907" s="4" t="s">
        <v>15</v>
      </c>
      <c r="G3907" s="2">
        <f>IF(ISNUMBER(SEARCH(Лист2!$B$4,F:F)),1,0)</f>
        <v>0</v>
      </c>
      <c r="H3907" s="3">
        <f ca="1">IF(AND(I3907&lt;&gt;I3906,ISNUMBER(SEARCH(Лист2!$B$5,I:I)),G3907=1),MAX($H$3:OFFSET(H3907,-1,0))+1,0)</f>
        <v>0</v>
      </c>
      <c r="I3907" s="3" t="s">
        <v>331</v>
      </c>
      <c r="K3907" s="2">
        <f>IF(ISNUMBER(SEARCH(Лист2!$B$4,F:F)),1,0)</f>
        <v>0</v>
      </c>
      <c r="L3907" s="14">
        <f>IF(ISNUMBER(SEARCH(Лист2!$B$5,I:I)),1,0)+K3907</f>
        <v>1</v>
      </c>
      <c r="M3907" s="3">
        <f ca="1">IF(AND(N3907&lt;&gt;N3906,ISNUMBER(SEARCH(Лист2!$B$6,N:N)),L3907=2),MAX($M$3:OFFSET(M3907,-1,0))+1,0)</f>
        <v>0</v>
      </c>
      <c r="N3907" s="3" t="s">
        <v>602</v>
      </c>
    </row>
    <row r="3908" spans="1:14" x14ac:dyDescent="0.25">
      <c r="A3908" s="1" t="s">
        <v>12705</v>
      </c>
      <c r="B3908" s="3" t="s">
        <v>7532</v>
      </c>
      <c r="C3908" s="2">
        <f ca="1">IF(ISNUMBER(SEARCH(Лист2!$B$4,D:D)),MAX($C$3:OFFSET(C3908,-1,0))+1,0)</f>
        <v>0</v>
      </c>
      <c r="E3908" s="9" t="str">
        <f t="shared" ca="1" si="72"/>
        <v/>
      </c>
      <c r="F3908" s="4" t="s">
        <v>15</v>
      </c>
      <c r="G3908" s="2">
        <f>IF(ISNUMBER(SEARCH(Лист2!$B$4,F:F)),1,0)</f>
        <v>0</v>
      </c>
      <c r="H3908" s="3">
        <f ca="1">IF(AND(I3908&lt;&gt;I3907,ISNUMBER(SEARCH(Лист2!$B$5,I:I)),G3908=1),MAX($H$3:OFFSET(H3908,-1,0))+1,0)</f>
        <v>0</v>
      </c>
      <c r="I3908" s="3" t="s">
        <v>317</v>
      </c>
      <c r="K3908" s="2">
        <f>IF(ISNUMBER(SEARCH(Лист2!$B$4,F:F)),1,0)</f>
        <v>0</v>
      </c>
      <c r="L3908" s="14">
        <f>IF(ISNUMBER(SEARCH(Лист2!$B$5,I:I)),1,0)+K3908</f>
        <v>0</v>
      </c>
      <c r="M3908" s="3">
        <f ca="1">IF(AND(N3908&lt;&gt;N3907,ISNUMBER(SEARCH(Лист2!$B$6,N:N)),L3908=2),MAX($M$3:OFFSET(M3908,-1,0))+1,0)</f>
        <v>0</v>
      </c>
      <c r="N3908" s="3" t="s">
        <v>702</v>
      </c>
    </row>
    <row r="3909" spans="1:14" x14ac:dyDescent="0.25">
      <c r="A3909" s="1" t="s">
        <v>12705</v>
      </c>
      <c r="B3909" s="3" t="s">
        <v>7533</v>
      </c>
      <c r="C3909" s="2">
        <f ca="1">IF(ISNUMBER(SEARCH(Лист2!$B$4,D:D)),MAX($C$3:OFFSET(C3909,-1,0))+1,0)</f>
        <v>0</v>
      </c>
      <c r="E3909" s="9" t="str">
        <f t="shared" ref="E3909:E3972" ca="1" si="73">IFERROR(INDEX(D:D,MATCH(ROW(E3909)-ROW($E$3),C:C,0)),"")</f>
        <v/>
      </c>
      <c r="F3909" s="4" t="s">
        <v>15</v>
      </c>
      <c r="G3909" s="2">
        <f>IF(ISNUMBER(SEARCH(Лист2!$B$4,F:F)),1,0)</f>
        <v>0</v>
      </c>
      <c r="H3909" s="3">
        <f ca="1">IF(AND(I3909&lt;&gt;I3908,ISNUMBER(SEARCH(Лист2!$B$5,I:I)),G3909=1),MAX($H$3:OFFSET(H3909,-1,0))+1,0)</f>
        <v>0</v>
      </c>
      <c r="I3909" s="3" t="s">
        <v>317</v>
      </c>
      <c r="K3909" s="2">
        <f>IF(ISNUMBER(SEARCH(Лист2!$B$4,F:F)),1,0)</f>
        <v>0</v>
      </c>
      <c r="L3909" s="14">
        <f>IF(ISNUMBER(SEARCH(Лист2!$B$5,I:I)),1,0)+K3909</f>
        <v>0</v>
      </c>
      <c r="M3909" s="3">
        <f ca="1">IF(AND(N3909&lt;&gt;N3908,ISNUMBER(SEARCH(Лист2!$B$6,N:N)),L3909=2),MAX($M$3:OFFSET(M3909,-1,0))+1,0)</f>
        <v>0</v>
      </c>
      <c r="N3909" s="3" t="s">
        <v>702</v>
      </c>
    </row>
    <row r="3910" spans="1:14" x14ac:dyDescent="0.25">
      <c r="A3910" s="1" t="s">
        <v>12706</v>
      </c>
      <c r="B3910" s="3" t="s">
        <v>7534</v>
      </c>
      <c r="C3910" s="2">
        <f ca="1">IF(ISNUMBER(SEARCH(Лист2!$B$4,D:D)),MAX($C$3:OFFSET(C3910,-1,0))+1,0)</f>
        <v>0</v>
      </c>
      <c r="E3910" s="9" t="str">
        <f t="shared" ca="1" si="73"/>
        <v/>
      </c>
      <c r="F3910" s="4" t="s">
        <v>15</v>
      </c>
      <c r="G3910" s="2">
        <f>IF(ISNUMBER(SEARCH(Лист2!$B$4,F:F)),1,0)</f>
        <v>0</v>
      </c>
      <c r="H3910" s="3">
        <f ca="1">IF(AND(I3910&lt;&gt;I3909,ISNUMBER(SEARCH(Лист2!$B$5,I:I)),G3910=1),MAX($H$3:OFFSET(H3910,-1,0))+1,0)</f>
        <v>0</v>
      </c>
      <c r="I3910" s="3" t="s">
        <v>317</v>
      </c>
      <c r="K3910" s="2">
        <f>IF(ISNUMBER(SEARCH(Лист2!$B$4,F:F)),1,0)</f>
        <v>0</v>
      </c>
      <c r="L3910" s="14">
        <f>IF(ISNUMBER(SEARCH(Лист2!$B$5,I:I)),1,0)+K3910</f>
        <v>0</v>
      </c>
      <c r="M3910" s="3">
        <f ca="1">IF(AND(N3910&lt;&gt;N3909,ISNUMBER(SEARCH(Лист2!$B$6,N:N)),L3910=2),MAX($M$3:OFFSET(M3910,-1,0))+1,0)</f>
        <v>0</v>
      </c>
      <c r="N3910" s="3" t="s">
        <v>704</v>
      </c>
    </row>
    <row r="3911" spans="1:14" x14ac:dyDescent="0.25">
      <c r="A3911" s="1" t="s">
        <v>12707</v>
      </c>
      <c r="B3911" s="3" t="s">
        <v>7535</v>
      </c>
      <c r="C3911" s="2">
        <f ca="1">IF(ISNUMBER(SEARCH(Лист2!$B$4,D:D)),MAX($C$3:OFFSET(C3911,-1,0))+1,0)</f>
        <v>0</v>
      </c>
      <c r="E3911" s="9" t="str">
        <f t="shared" ca="1" si="73"/>
        <v/>
      </c>
      <c r="F3911" s="4" t="s">
        <v>15</v>
      </c>
      <c r="G3911" s="2">
        <f>IF(ISNUMBER(SEARCH(Лист2!$B$4,F:F)),1,0)</f>
        <v>0</v>
      </c>
      <c r="H3911" s="3">
        <f ca="1">IF(AND(I3911&lt;&gt;I3910,ISNUMBER(SEARCH(Лист2!$B$5,I:I)),G3911=1),MAX($H$3:OFFSET(H3911,-1,0))+1,0)</f>
        <v>0</v>
      </c>
      <c r="I3911" s="3" t="s">
        <v>317</v>
      </c>
      <c r="K3911" s="2">
        <f>IF(ISNUMBER(SEARCH(Лист2!$B$4,F:F)),1,0)</f>
        <v>0</v>
      </c>
      <c r="L3911" s="14">
        <f>IF(ISNUMBER(SEARCH(Лист2!$B$5,I:I)),1,0)+K3911</f>
        <v>0</v>
      </c>
      <c r="M3911" s="3">
        <f ca="1">IF(AND(N3911&lt;&gt;N3910,ISNUMBER(SEARCH(Лист2!$B$6,N:N)),L3911=2),MAX($M$3:OFFSET(M3911,-1,0))+1,0)</f>
        <v>0</v>
      </c>
      <c r="N3911" s="3" t="s">
        <v>2480</v>
      </c>
    </row>
    <row r="3912" spans="1:14" x14ac:dyDescent="0.25">
      <c r="A3912" s="1" t="s">
        <v>12708</v>
      </c>
      <c r="B3912" s="3" t="s">
        <v>7536</v>
      </c>
      <c r="C3912" s="2">
        <f ca="1">IF(ISNUMBER(SEARCH(Лист2!$B$4,D:D)),MAX($C$3:OFFSET(C3912,-1,0))+1,0)</f>
        <v>0</v>
      </c>
      <c r="E3912" s="9" t="str">
        <f t="shared" ca="1" si="73"/>
        <v/>
      </c>
      <c r="F3912" s="4" t="s">
        <v>15</v>
      </c>
      <c r="G3912" s="2">
        <f>IF(ISNUMBER(SEARCH(Лист2!$B$4,F:F)),1,0)</f>
        <v>0</v>
      </c>
      <c r="H3912" s="3">
        <f ca="1">IF(AND(I3912&lt;&gt;I3911,ISNUMBER(SEARCH(Лист2!$B$5,I:I)),G3912=1),MAX($H$3:OFFSET(H3912,-1,0))+1,0)</f>
        <v>0</v>
      </c>
      <c r="I3912" s="3" t="s">
        <v>317</v>
      </c>
      <c r="K3912" s="2">
        <f>IF(ISNUMBER(SEARCH(Лист2!$B$4,F:F)),1,0)</f>
        <v>0</v>
      </c>
      <c r="L3912" s="14">
        <f>IF(ISNUMBER(SEARCH(Лист2!$B$5,I:I)),1,0)+K3912</f>
        <v>0</v>
      </c>
      <c r="M3912" s="3">
        <f ca="1">IF(AND(N3912&lt;&gt;N3911,ISNUMBER(SEARCH(Лист2!$B$6,N:N)),L3912=2),MAX($M$3:OFFSET(M3912,-1,0))+1,0)</f>
        <v>0</v>
      </c>
      <c r="N3912" s="3" t="s">
        <v>602</v>
      </c>
    </row>
    <row r="3913" spans="1:14" x14ac:dyDescent="0.25">
      <c r="A3913" s="1" t="s">
        <v>12709</v>
      </c>
      <c r="B3913" s="3" t="s">
        <v>7537</v>
      </c>
      <c r="C3913" s="2">
        <f ca="1">IF(ISNUMBER(SEARCH(Лист2!$B$4,D:D)),MAX($C$3:OFFSET(C3913,-1,0))+1,0)</f>
        <v>0</v>
      </c>
      <c r="E3913" s="9" t="str">
        <f t="shared" ca="1" si="73"/>
        <v/>
      </c>
      <c r="F3913" s="4" t="s">
        <v>15</v>
      </c>
      <c r="G3913" s="2">
        <f>IF(ISNUMBER(SEARCH(Лист2!$B$4,F:F)),1,0)</f>
        <v>0</v>
      </c>
      <c r="H3913" s="3">
        <f ca="1">IF(AND(I3913&lt;&gt;I3912,ISNUMBER(SEARCH(Лист2!$B$5,I:I)),G3913=1),MAX($H$3:OFFSET(H3913,-1,0))+1,0)</f>
        <v>0</v>
      </c>
      <c r="I3913" s="3" t="s">
        <v>317</v>
      </c>
      <c r="K3913" s="2">
        <f>IF(ISNUMBER(SEARCH(Лист2!$B$4,F:F)),1,0)</f>
        <v>0</v>
      </c>
      <c r="L3913" s="14">
        <f>IF(ISNUMBER(SEARCH(Лист2!$B$5,I:I)),1,0)+K3913</f>
        <v>0</v>
      </c>
      <c r="M3913" s="3">
        <f ca="1">IF(AND(N3913&lt;&gt;N3912,ISNUMBER(SEARCH(Лист2!$B$6,N:N)),L3913=2),MAX($M$3:OFFSET(M3913,-1,0))+1,0)</f>
        <v>0</v>
      </c>
      <c r="N3913" s="3" t="s">
        <v>2481</v>
      </c>
    </row>
    <row r="3914" spans="1:14" x14ac:dyDescent="0.25">
      <c r="A3914" s="1" t="s">
        <v>12710</v>
      </c>
      <c r="B3914" s="3" t="s">
        <v>7538</v>
      </c>
      <c r="C3914" s="2">
        <f ca="1">IF(ISNUMBER(SEARCH(Лист2!$B$4,D:D)),MAX($C$3:OFFSET(C3914,-1,0))+1,0)</f>
        <v>0</v>
      </c>
      <c r="E3914" s="9" t="str">
        <f t="shared" ca="1" si="73"/>
        <v/>
      </c>
      <c r="F3914" s="4" t="s">
        <v>15</v>
      </c>
      <c r="G3914" s="2">
        <f>IF(ISNUMBER(SEARCH(Лист2!$B$4,F:F)),1,0)</f>
        <v>0</v>
      </c>
      <c r="H3914" s="3">
        <f ca="1">IF(AND(I3914&lt;&gt;I3913,ISNUMBER(SEARCH(Лист2!$B$5,I:I)),G3914=1),MAX($H$3:OFFSET(H3914,-1,0))+1,0)</f>
        <v>0</v>
      </c>
      <c r="I3914" s="3" t="s">
        <v>317</v>
      </c>
      <c r="K3914" s="2">
        <f>IF(ISNUMBER(SEARCH(Лист2!$B$4,F:F)),1,0)</f>
        <v>0</v>
      </c>
      <c r="L3914" s="14">
        <f>IF(ISNUMBER(SEARCH(Лист2!$B$5,I:I)),1,0)+K3914</f>
        <v>0</v>
      </c>
      <c r="M3914" s="3">
        <f ca="1">IF(AND(N3914&lt;&gt;N3913,ISNUMBER(SEARCH(Лист2!$B$6,N:N)),L3914=2),MAX($M$3:OFFSET(M3914,-1,0))+1,0)</f>
        <v>0</v>
      </c>
      <c r="N3914" s="3" t="s">
        <v>2297</v>
      </c>
    </row>
    <row r="3915" spans="1:14" x14ac:dyDescent="0.25">
      <c r="A3915" s="1" t="s">
        <v>12711</v>
      </c>
      <c r="B3915" s="3" t="s">
        <v>7539</v>
      </c>
      <c r="C3915" s="2">
        <f ca="1">IF(ISNUMBER(SEARCH(Лист2!$B$4,D:D)),MAX($C$3:OFFSET(C3915,-1,0))+1,0)</f>
        <v>0</v>
      </c>
      <c r="E3915" s="9" t="str">
        <f t="shared" ca="1" si="73"/>
        <v/>
      </c>
      <c r="F3915" s="4" t="s">
        <v>15</v>
      </c>
      <c r="G3915" s="2">
        <f>IF(ISNUMBER(SEARCH(Лист2!$B$4,F:F)),1,0)</f>
        <v>0</v>
      </c>
      <c r="H3915" s="3">
        <f ca="1">IF(AND(I3915&lt;&gt;I3914,ISNUMBER(SEARCH(Лист2!$B$5,I:I)),G3915=1),MAX($H$3:OFFSET(H3915,-1,0))+1,0)</f>
        <v>0</v>
      </c>
      <c r="I3915" s="3" t="s">
        <v>317</v>
      </c>
      <c r="K3915" s="2">
        <f>IF(ISNUMBER(SEARCH(Лист2!$B$4,F:F)),1,0)</f>
        <v>0</v>
      </c>
      <c r="L3915" s="14">
        <f>IF(ISNUMBER(SEARCH(Лист2!$B$5,I:I)),1,0)+K3915</f>
        <v>0</v>
      </c>
      <c r="M3915" s="3">
        <f ca="1">IF(AND(N3915&lt;&gt;N3914,ISNUMBER(SEARCH(Лист2!$B$6,N:N)),L3915=2),MAX($M$3:OFFSET(M3915,-1,0))+1,0)</f>
        <v>0</v>
      </c>
      <c r="N3915" s="3" t="s">
        <v>2298</v>
      </c>
    </row>
    <row r="3916" spans="1:14" x14ac:dyDescent="0.25">
      <c r="A3916" s="1" t="s">
        <v>12712</v>
      </c>
      <c r="B3916" s="3" t="s">
        <v>7540</v>
      </c>
      <c r="C3916" s="2">
        <f ca="1">IF(ISNUMBER(SEARCH(Лист2!$B$4,D:D)),MAX($C$3:OFFSET(C3916,-1,0))+1,0)</f>
        <v>0</v>
      </c>
      <c r="E3916" s="9" t="str">
        <f t="shared" ca="1" si="73"/>
        <v/>
      </c>
      <c r="F3916" s="4" t="s">
        <v>15</v>
      </c>
      <c r="G3916" s="2">
        <f>IF(ISNUMBER(SEARCH(Лист2!$B$4,F:F)),1,0)</f>
        <v>0</v>
      </c>
      <c r="H3916" s="3">
        <f ca="1">IF(AND(I3916&lt;&gt;I3915,ISNUMBER(SEARCH(Лист2!$B$5,I:I)),G3916=1),MAX($H$3:OFFSET(H3916,-1,0))+1,0)</f>
        <v>0</v>
      </c>
      <c r="I3916" s="3" t="s">
        <v>317</v>
      </c>
      <c r="K3916" s="2">
        <f>IF(ISNUMBER(SEARCH(Лист2!$B$4,F:F)),1,0)</f>
        <v>0</v>
      </c>
      <c r="L3916" s="14">
        <f>IF(ISNUMBER(SEARCH(Лист2!$B$5,I:I)),1,0)+K3916</f>
        <v>0</v>
      </c>
      <c r="M3916" s="3">
        <f ca="1">IF(AND(N3916&lt;&gt;N3915,ISNUMBER(SEARCH(Лист2!$B$6,N:N)),L3916=2),MAX($M$3:OFFSET(M3916,-1,0))+1,0)</f>
        <v>0</v>
      </c>
      <c r="N3916" s="3" t="s">
        <v>2482</v>
      </c>
    </row>
    <row r="3917" spans="1:14" x14ac:dyDescent="0.25">
      <c r="A3917" s="1" t="s">
        <v>12713</v>
      </c>
      <c r="B3917" s="3" t="s">
        <v>7541</v>
      </c>
      <c r="C3917" s="2">
        <f ca="1">IF(ISNUMBER(SEARCH(Лист2!$B$4,D:D)),MAX($C$3:OFFSET(C3917,-1,0))+1,0)</f>
        <v>0</v>
      </c>
      <c r="E3917" s="9" t="str">
        <f t="shared" ca="1" si="73"/>
        <v/>
      </c>
      <c r="F3917" s="4" t="s">
        <v>15</v>
      </c>
      <c r="G3917" s="2">
        <f>IF(ISNUMBER(SEARCH(Лист2!$B$4,F:F)),1,0)</f>
        <v>0</v>
      </c>
      <c r="H3917" s="3">
        <f ca="1">IF(AND(I3917&lt;&gt;I3916,ISNUMBER(SEARCH(Лист2!$B$5,I:I)),G3917=1),MAX($H$3:OFFSET(H3917,-1,0))+1,0)</f>
        <v>0</v>
      </c>
      <c r="I3917" s="3" t="s">
        <v>317</v>
      </c>
      <c r="K3917" s="2">
        <f>IF(ISNUMBER(SEARCH(Лист2!$B$4,F:F)),1,0)</f>
        <v>0</v>
      </c>
      <c r="L3917" s="14">
        <f>IF(ISNUMBER(SEARCH(Лист2!$B$5,I:I)),1,0)+K3917</f>
        <v>0</v>
      </c>
      <c r="M3917" s="3">
        <f ca="1">IF(AND(N3917&lt;&gt;N3916,ISNUMBER(SEARCH(Лист2!$B$6,N:N)),L3917=2),MAX($M$3:OFFSET(M3917,-1,0))+1,0)</f>
        <v>0</v>
      </c>
      <c r="N3917" s="3" t="s">
        <v>2483</v>
      </c>
    </row>
    <row r="3918" spans="1:14" x14ac:dyDescent="0.25">
      <c r="A3918" s="1" t="s">
        <v>12714</v>
      </c>
      <c r="B3918" s="3" t="s">
        <v>7542</v>
      </c>
      <c r="C3918" s="2">
        <f ca="1">IF(ISNUMBER(SEARCH(Лист2!$B$4,D:D)),MAX($C$3:OFFSET(C3918,-1,0))+1,0)</f>
        <v>0</v>
      </c>
      <c r="E3918" s="9" t="str">
        <f t="shared" ca="1" si="73"/>
        <v/>
      </c>
      <c r="F3918" s="4" t="s">
        <v>15</v>
      </c>
      <c r="G3918" s="2">
        <f>IF(ISNUMBER(SEARCH(Лист2!$B$4,F:F)),1,0)</f>
        <v>0</v>
      </c>
      <c r="H3918" s="3">
        <f ca="1">IF(AND(I3918&lt;&gt;I3917,ISNUMBER(SEARCH(Лист2!$B$5,I:I)),G3918=1),MAX($H$3:OFFSET(H3918,-1,0))+1,0)</f>
        <v>0</v>
      </c>
      <c r="I3918" s="3" t="s">
        <v>318</v>
      </c>
      <c r="K3918" s="2">
        <f>IF(ISNUMBER(SEARCH(Лист2!$B$4,F:F)),1,0)</f>
        <v>0</v>
      </c>
      <c r="L3918" s="14">
        <f>IF(ISNUMBER(SEARCH(Лист2!$B$5,I:I)),1,0)+K3918</f>
        <v>0</v>
      </c>
      <c r="M3918" s="3">
        <f ca="1">IF(AND(N3918&lt;&gt;N3917,ISNUMBER(SEARCH(Лист2!$B$6,N:N)),L3918=2),MAX($M$3:OFFSET(M3918,-1,0))+1,0)</f>
        <v>0</v>
      </c>
      <c r="N3918" s="3" t="s">
        <v>702</v>
      </c>
    </row>
    <row r="3919" spans="1:14" x14ac:dyDescent="0.25">
      <c r="A3919" s="1" t="s">
        <v>12714</v>
      </c>
      <c r="B3919" s="3" t="s">
        <v>7543</v>
      </c>
      <c r="C3919" s="2">
        <f ca="1">IF(ISNUMBER(SEARCH(Лист2!$B$4,D:D)),MAX($C$3:OFFSET(C3919,-1,0))+1,0)</f>
        <v>0</v>
      </c>
      <c r="E3919" s="9" t="str">
        <f t="shared" ca="1" si="73"/>
        <v/>
      </c>
      <c r="F3919" s="4" t="s">
        <v>15</v>
      </c>
      <c r="G3919" s="2">
        <f>IF(ISNUMBER(SEARCH(Лист2!$B$4,F:F)),1,0)</f>
        <v>0</v>
      </c>
      <c r="H3919" s="3">
        <f ca="1">IF(AND(I3919&lt;&gt;I3918,ISNUMBER(SEARCH(Лист2!$B$5,I:I)),G3919=1),MAX($H$3:OFFSET(H3919,-1,0))+1,0)</f>
        <v>0</v>
      </c>
      <c r="I3919" s="3" t="s">
        <v>318</v>
      </c>
      <c r="K3919" s="2">
        <f>IF(ISNUMBER(SEARCH(Лист2!$B$4,F:F)),1,0)</f>
        <v>0</v>
      </c>
      <c r="L3919" s="14">
        <f>IF(ISNUMBER(SEARCH(Лист2!$B$5,I:I)),1,0)+K3919</f>
        <v>0</v>
      </c>
      <c r="M3919" s="3">
        <f ca="1">IF(AND(N3919&lt;&gt;N3918,ISNUMBER(SEARCH(Лист2!$B$6,N:N)),L3919=2),MAX($M$3:OFFSET(M3919,-1,0))+1,0)</f>
        <v>0</v>
      </c>
      <c r="N3919" s="3" t="s">
        <v>702</v>
      </c>
    </row>
    <row r="3920" spans="1:14" x14ac:dyDescent="0.25">
      <c r="A3920" s="1" t="s">
        <v>12715</v>
      </c>
      <c r="B3920" s="3" t="s">
        <v>7544</v>
      </c>
      <c r="C3920" s="2">
        <f ca="1">IF(ISNUMBER(SEARCH(Лист2!$B$4,D:D)),MAX($C$3:OFFSET(C3920,-1,0))+1,0)</f>
        <v>0</v>
      </c>
      <c r="E3920" s="9" t="str">
        <f t="shared" ca="1" si="73"/>
        <v/>
      </c>
      <c r="F3920" s="4" t="s">
        <v>15</v>
      </c>
      <c r="G3920" s="2">
        <f>IF(ISNUMBER(SEARCH(Лист2!$B$4,F:F)),1,0)</f>
        <v>0</v>
      </c>
      <c r="H3920" s="3">
        <f ca="1">IF(AND(I3920&lt;&gt;I3919,ISNUMBER(SEARCH(Лист2!$B$5,I:I)),G3920=1),MAX($H$3:OFFSET(H3920,-1,0))+1,0)</f>
        <v>0</v>
      </c>
      <c r="I3920" s="3" t="s">
        <v>318</v>
      </c>
      <c r="K3920" s="2">
        <f>IF(ISNUMBER(SEARCH(Лист2!$B$4,F:F)),1,0)</f>
        <v>0</v>
      </c>
      <c r="L3920" s="14">
        <f>IF(ISNUMBER(SEARCH(Лист2!$B$5,I:I)),1,0)+K3920</f>
        <v>0</v>
      </c>
      <c r="M3920" s="3">
        <f ca="1">IF(AND(N3920&lt;&gt;N3919,ISNUMBER(SEARCH(Лист2!$B$6,N:N)),L3920=2),MAX($M$3:OFFSET(M3920,-1,0))+1,0)</f>
        <v>0</v>
      </c>
      <c r="N3920" s="3" t="s">
        <v>704</v>
      </c>
    </row>
    <row r="3921" spans="1:14" x14ac:dyDescent="0.25">
      <c r="A3921" s="1" t="s">
        <v>12716</v>
      </c>
      <c r="B3921" s="3" t="s">
        <v>7545</v>
      </c>
      <c r="C3921" s="2">
        <f ca="1">IF(ISNUMBER(SEARCH(Лист2!$B$4,D:D)),MAX($C$3:OFFSET(C3921,-1,0))+1,0)</f>
        <v>0</v>
      </c>
      <c r="E3921" s="9" t="str">
        <f t="shared" ca="1" si="73"/>
        <v/>
      </c>
      <c r="F3921" s="4" t="s">
        <v>15</v>
      </c>
      <c r="G3921" s="2">
        <f>IF(ISNUMBER(SEARCH(Лист2!$B$4,F:F)),1,0)</f>
        <v>0</v>
      </c>
      <c r="H3921" s="3">
        <f ca="1">IF(AND(I3921&lt;&gt;I3920,ISNUMBER(SEARCH(Лист2!$B$5,I:I)),G3921=1),MAX($H$3:OFFSET(H3921,-1,0))+1,0)</f>
        <v>0</v>
      </c>
      <c r="I3921" s="3" t="s">
        <v>318</v>
      </c>
      <c r="K3921" s="2">
        <f>IF(ISNUMBER(SEARCH(Лист2!$B$4,F:F)),1,0)</f>
        <v>0</v>
      </c>
      <c r="L3921" s="14">
        <f>IF(ISNUMBER(SEARCH(Лист2!$B$5,I:I)),1,0)+K3921</f>
        <v>0</v>
      </c>
      <c r="M3921" s="3">
        <f ca="1">IF(AND(N3921&lt;&gt;N3920,ISNUMBER(SEARCH(Лист2!$B$6,N:N)),L3921=2),MAX($M$3:OFFSET(M3921,-1,0))+1,0)</f>
        <v>0</v>
      </c>
      <c r="N3921" s="3" t="s">
        <v>2484</v>
      </c>
    </row>
    <row r="3922" spans="1:14" x14ac:dyDescent="0.25">
      <c r="A3922" s="1" t="s">
        <v>12717</v>
      </c>
      <c r="B3922" s="3" t="s">
        <v>7546</v>
      </c>
      <c r="C3922" s="2">
        <f ca="1">IF(ISNUMBER(SEARCH(Лист2!$B$4,D:D)),MAX($C$3:OFFSET(C3922,-1,0))+1,0)</f>
        <v>0</v>
      </c>
      <c r="E3922" s="9" t="str">
        <f t="shared" ca="1" si="73"/>
        <v/>
      </c>
      <c r="F3922" s="4" t="s">
        <v>15</v>
      </c>
      <c r="G3922" s="2">
        <f>IF(ISNUMBER(SEARCH(Лист2!$B$4,F:F)),1,0)</f>
        <v>0</v>
      </c>
      <c r="H3922" s="3">
        <f ca="1">IF(AND(I3922&lt;&gt;I3921,ISNUMBER(SEARCH(Лист2!$B$5,I:I)),G3922=1),MAX($H$3:OFFSET(H3922,-1,0))+1,0)</f>
        <v>0</v>
      </c>
      <c r="I3922" s="3" t="s">
        <v>318</v>
      </c>
      <c r="K3922" s="2">
        <f>IF(ISNUMBER(SEARCH(Лист2!$B$4,F:F)),1,0)</f>
        <v>0</v>
      </c>
      <c r="L3922" s="14">
        <f>IF(ISNUMBER(SEARCH(Лист2!$B$5,I:I)),1,0)+K3922</f>
        <v>0</v>
      </c>
      <c r="M3922" s="3">
        <f ca="1">IF(AND(N3922&lt;&gt;N3921,ISNUMBER(SEARCH(Лист2!$B$6,N:N)),L3922=2),MAX($M$3:OFFSET(M3922,-1,0))+1,0)</f>
        <v>0</v>
      </c>
      <c r="N3922" s="3" t="s">
        <v>602</v>
      </c>
    </row>
    <row r="3923" spans="1:14" x14ac:dyDescent="0.25">
      <c r="A3923" s="1" t="s">
        <v>12718</v>
      </c>
      <c r="B3923" s="3" t="s">
        <v>7547</v>
      </c>
      <c r="C3923" s="2">
        <f ca="1">IF(ISNUMBER(SEARCH(Лист2!$B$4,D:D)),MAX($C$3:OFFSET(C3923,-1,0))+1,0)</f>
        <v>0</v>
      </c>
      <c r="E3923" s="9" t="str">
        <f t="shared" ca="1" si="73"/>
        <v/>
      </c>
      <c r="F3923" s="4" t="s">
        <v>15</v>
      </c>
      <c r="G3923" s="2">
        <f>IF(ISNUMBER(SEARCH(Лист2!$B$4,F:F)),1,0)</f>
        <v>0</v>
      </c>
      <c r="H3923" s="3">
        <f ca="1">IF(AND(I3923&lt;&gt;I3922,ISNUMBER(SEARCH(Лист2!$B$5,I:I)),G3923=1),MAX($H$3:OFFSET(H3923,-1,0))+1,0)</f>
        <v>0</v>
      </c>
      <c r="I3923" s="3" t="s">
        <v>318</v>
      </c>
      <c r="K3923" s="2">
        <f>IF(ISNUMBER(SEARCH(Лист2!$B$4,F:F)),1,0)</f>
        <v>0</v>
      </c>
      <c r="L3923" s="14">
        <f>IF(ISNUMBER(SEARCH(Лист2!$B$5,I:I)),1,0)+K3923</f>
        <v>0</v>
      </c>
      <c r="M3923" s="3">
        <f ca="1">IF(AND(N3923&lt;&gt;N3922,ISNUMBER(SEARCH(Лист2!$B$6,N:N)),L3923=2),MAX($M$3:OFFSET(M3923,-1,0))+1,0)</f>
        <v>0</v>
      </c>
      <c r="N3923" s="3" t="s">
        <v>2481</v>
      </c>
    </row>
    <row r="3924" spans="1:14" x14ac:dyDescent="0.25">
      <c r="A3924" s="1" t="s">
        <v>12719</v>
      </c>
      <c r="B3924" s="3" t="s">
        <v>7548</v>
      </c>
      <c r="C3924" s="2">
        <f ca="1">IF(ISNUMBER(SEARCH(Лист2!$B$4,D:D)),MAX($C$3:OFFSET(C3924,-1,0))+1,0)</f>
        <v>0</v>
      </c>
      <c r="E3924" s="9" t="str">
        <f t="shared" ca="1" si="73"/>
        <v/>
      </c>
      <c r="F3924" s="4" t="s">
        <v>15</v>
      </c>
      <c r="G3924" s="2">
        <f>IF(ISNUMBER(SEARCH(Лист2!$B$4,F:F)),1,0)</f>
        <v>0</v>
      </c>
      <c r="H3924" s="3">
        <f ca="1">IF(AND(I3924&lt;&gt;I3923,ISNUMBER(SEARCH(Лист2!$B$5,I:I)),G3924=1),MAX($H$3:OFFSET(H3924,-1,0))+1,0)</f>
        <v>0</v>
      </c>
      <c r="I3924" s="3" t="s">
        <v>318</v>
      </c>
      <c r="K3924" s="2">
        <f>IF(ISNUMBER(SEARCH(Лист2!$B$4,F:F)),1,0)</f>
        <v>0</v>
      </c>
      <c r="L3924" s="14">
        <f>IF(ISNUMBER(SEARCH(Лист2!$B$5,I:I)),1,0)+K3924</f>
        <v>0</v>
      </c>
      <c r="M3924" s="3">
        <f ca="1">IF(AND(N3924&lt;&gt;N3923,ISNUMBER(SEARCH(Лист2!$B$6,N:N)),L3924=2),MAX($M$3:OFFSET(M3924,-1,0))+1,0)</f>
        <v>0</v>
      </c>
      <c r="N3924" s="3" t="s">
        <v>2485</v>
      </c>
    </row>
    <row r="3925" spans="1:14" x14ac:dyDescent="0.25">
      <c r="A3925" s="1" t="s">
        <v>12720</v>
      </c>
      <c r="B3925" s="3" t="s">
        <v>7549</v>
      </c>
      <c r="C3925" s="2">
        <f ca="1">IF(ISNUMBER(SEARCH(Лист2!$B$4,D:D)),MAX($C$3:OFFSET(C3925,-1,0))+1,0)</f>
        <v>0</v>
      </c>
      <c r="E3925" s="9" t="str">
        <f t="shared" ca="1" si="73"/>
        <v/>
      </c>
      <c r="F3925" s="4" t="s">
        <v>15</v>
      </c>
      <c r="G3925" s="2">
        <f>IF(ISNUMBER(SEARCH(Лист2!$B$4,F:F)),1,0)</f>
        <v>0</v>
      </c>
      <c r="H3925" s="3">
        <f ca="1">IF(AND(I3925&lt;&gt;I3924,ISNUMBER(SEARCH(Лист2!$B$5,I:I)),G3925=1),MAX($H$3:OFFSET(H3925,-1,0))+1,0)</f>
        <v>0</v>
      </c>
      <c r="I3925" s="3" t="s">
        <v>318</v>
      </c>
      <c r="K3925" s="2">
        <f>IF(ISNUMBER(SEARCH(Лист2!$B$4,F:F)),1,0)</f>
        <v>0</v>
      </c>
      <c r="L3925" s="14">
        <f>IF(ISNUMBER(SEARCH(Лист2!$B$5,I:I)),1,0)+K3925</f>
        <v>0</v>
      </c>
      <c r="M3925" s="3">
        <f ca="1">IF(AND(N3925&lt;&gt;N3924,ISNUMBER(SEARCH(Лист2!$B$6,N:N)),L3925=2),MAX($M$3:OFFSET(M3925,-1,0))+1,0)</f>
        <v>0</v>
      </c>
      <c r="N3925" s="3" t="s">
        <v>2298</v>
      </c>
    </row>
    <row r="3926" spans="1:14" x14ac:dyDescent="0.25">
      <c r="A3926" s="1" t="s">
        <v>12721</v>
      </c>
      <c r="B3926" s="3" t="s">
        <v>7550</v>
      </c>
      <c r="C3926" s="2">
        <f ca="1">IF(ISNUMBER(SEARCH(Лист2!$B$4,D:D)),MAX($C$3:OFFSET(C3926,-1,0))+1,0)</f>
        <v>0</v>
      </c>
      <c r="E3926" s="9" t="str">
        <f t="shared" ca="1" si="73"/>
        <v/>
      </c>
      <c r="F3926" s="4" t="s">
        <v>15</v>
      </c>
      <c r="G3926" s="2">
        <f>IF(ISNUMBER(SEARCH(Лист2!$B$4,F:F)),1,0)</f>
        <v>0</v>
      </c>
      <c r="H3926" s="3">
        <f ca="1">IF(AND(I3926&lt;&gt;I3925,ISNUMBER(SEARCH(Лист2!$B$5,I:I)),G3926=1),MAX($H$3:OFFSET(H3926,-1,0))+1,0)</f>
        <v>0</v>
      </c>
      <c r="I3926" s="3" t="s">
        <v>318</v>
      </c>
      <c r="K3926" s="2">
        <f>IF(ISNUMBER(SEARCH(Лист2!$B$4,F:F)),1,0)</f>
        <v>0</v>
      </c>
      <c r="L3926" s="14">
        <f>IF(ISNUMBER(SEARCH(Лист2!$B$5,I:I)),1,0)+K3926</f>
        <v>0</v>
      </c>
      <c r="M3926" s="3">
        <f ca="1">IF(AND(N3926&lt;&gt;N3925,ISNUMBER(SEARCH(Лист2!$B$6,N:N)),L3926=2),MAX($M$3:OFFSET(M3926,-1,0))+1,0)</f>
        <v>0</v>
      </c>
      <c r="N3926" s="3" t="s">
        <v>2486</v>
      </c>
    </row>
    <row r="3927" spans="1:14" x14ac:dyDescent="0.25">
      <c r="A3927" s="1" t="s">
        <v>12722</v>
      </c>
      <c r="B3927" s="3" t="s">
        <v>7551</v>
      </c>
      <c r="C3927" s="2">
        <f ca="1">IF(ISNUMBER(SEARCH(Лист2!$B$4,D:D)),MAX($C$3:OFFSET(C3927,-1,0))+1,0)</f>
        <v>0</v>
      </c>
      <c r="E3927" s="9" t="str">
        <f t="shared" ca="1" si="73"/>
        <v/>
      </c>
      <c r="F3927" s="4" t="s">
        <v>15</v>
      </c>
      <c r="G3927" s="2">
        <f>IF(ISNUMBER(SEARCH(Лист2!$B$4,F:F)),1,0)</f>
        <v>0</v>
      </c>
      <c r="H3927" s="3">
        <f ca="1">IF(AND(I3927&lt;&gt;I3926,ISNUMBER(SEARCH(Лист2!$B$5,I:I)),G3927=1),MAX($H$3:OFFSET(H3927,-1,0))+1,0)</f>
        <v>0</v>
      </c>
      <c r="I3927" s="3" t="s">
        <v>318</v>
      </c>
      <c r="K3927" s="2">
        <f>IF(ISNUMBER(SEARCH(Лист2!$B$4,F:F)),1,0)</f>
        <v>0</v>
      </c>
      <c r="L3927" s="14">
        <f>IF(ISNUMBER(SEARCH(Лист2!$B$5,I:I)),1,0)+K3927</f>
        <v>0</v>
      </c>
      <c r="M3927" s="3">
        <f ca="1">IF(AND(N3927&lt;&gt;N3926,ISNUMBER(SEARCH(Лист2!$B$6,N:N)),L3927=2),MAX($M$3:OFFSET(M3927,-1,0))+1,0)</f>
        <v>0</v>
      </c>
      <c r="N3927" s="3" t="s">
        <v>2487</v>
      </c>
    </row>
    <row r="3928" spans="1:14" x14ac:dyDescent="0.25">
      <c r="A3928" s="1" t="s">
        <v>12723</v>
      </c>
      <c r="B3928" s="3" t="s">
        <v>7552</v>
      </c>
      <c r="C3928" s="2">
        <f ca="1">IF(ISNUMBER(SEARCH(Лист2!$B$4,D:D)),MAX($C$3:OFFSET(C3928,-1,0))+1,0)</f>
        <v>0</v>
      </c>
      <c r="E3928" s="9" t="str">
        <f t="shared" ca="1" si="73"/>
        <v/>
      </c>
      <c r="F3928" s="4" t="s">
        <v>15</v>
      </c>
      <c r="G3928" s="2">
        <f>IF(ISNUMBER(SEARCH(Лист2!$B$4,F:F)),1,0)</f>
        <v>0</v>
      </c>
      <c r="H3928" s="3">
        <f ca="1">IF(AND(I3928&lt;&gt;I3927,ISNUMBER(SEARCH(Лист2!$B$5,I:I)),G3928=1),MAX($H$3:OFFSET(H3928,-1,0))+1,0)</f>
        <v>0</v>
      </c>
      <c r="I3928" s="3" t="s">
        <v>332</v>
      </c>
      <c r="K3928" s="2">
        <f>IF(ISNUMBER(SEARCH(Лист2!$B$4,F:F)),1,0)</f>
        <v>0</v>
      </c>
      <c r="L3928" s="14">
        <f>IF(ISNUMBER(SEARCH(Лист2!$B$5,I:I)),1,0)+K3928</f>
        <v>0</v>
      </c>
      <c r="M3928" s="3">
        <f ca="1">IF(AND(N3928&lt;&gt;N3927,ISNUMBER(SEARCH(Лист2!$B$6,N:N)),L3928=2),MAX($M$3:OFFSET(M3928,-1,0))+1,0)</f>
        <v>0</v>
      </c>
      <c r="N3928" s="3" t="s">
        <v>2488</v>
      </c>
    </row>
    <row r="3929" spans="1:14" x14ac:dyDescent="0.25">
      <c r="A3929" s="1" t="s">
        <v>12723</v>
      </c>
      <c r="B3929" s="3" t="s">
        <v>7553</v>
      </c>
      <c r="C3929" s="2">
        <f ca="1">IF(ISNUMBER(SEARCH(Лист2!$B$4,D:D)),MAX($C$3:OFFSET(C3929,-1,0))+1,0)</f>
        <v>0</v>
      </c>
      <c r="E3929" s="9" t="str">
        <f t="shared" ca="1" si="73"/>
        <v/>
      </c>
      <c r="F3929" s="4" t="s">
        <v>15</v>
      </c>
      <c r="G3929" s="2">
        <f>IF(ISNUMBER(SEARCH(Лист2!$B$4,F:F)),1,0)</f>
        <v>0</v>
      </c>
      <c r="H3929" s="3">
        <f ca="1">IF(AND(I3929&lt;&gt;I3928,ISNUMBER(SEARCH(Лист2!$B$5,I:I)),G3929=1),MAX($H$3:OFFSET(H3929,-1,0))+1,0)</f>
        <v>0</v>
      </c>
      <c r="I3929" s="3" t="s">
        <v>332</v>
      </c>
      <c r="K3929" s="2">
        <f>IF(ISNUMBER(SEARCH(Лист2!$B$4,F:F)),1,0)</f>
        <v>0</v>
      </c>
      <c r="L3929" s="14">
        <f>IF(ISNUMBER(SEARCH(Лист2!$B$5,I:I)),1,0)+K3929</f>
        <v>0</v>
      </c>
      <c r="M3929" s="3">
        <f ca="1">IF(AND(N3929&lt;&gt;N3928,ISNUMBER(SEARCH(Лист2!$B$6,N:N)),L3929=2),MAX($M$3:OFFSET(M3929,-1,0))+1,0)</f>
        <v>0</v>
      </c>
      <c r="N3929" s="3" t="s">
        <v>2488</v>
      </c>
    </row>
    <row r="3930" spans="1:14" x14ac:dyDescent="0.25">
      <c r="A3930" s="1" t="s">
        <v>12724</v>
      </c>
      <c r="B3930" s="3" t="s">
        <v>7554</v>
      </c>
      <c r="C3930" s="2">
        <f ca="1">IF(ISNUMBER(SEARCH(Лист2!$B$4,D:D)),MAX($C$3:OFFSET(C3930,-1,0))+1,0)</f>
        <v>0</v>
      </c>
      <c r="E3930" s="9" t="str">
        <f t="shared" ca="1" si="73"/>
        <v/>
      </c>
      <c r="F3930" s="4" t="s">
        <v>15</v>
      </c>
      <c r="G3930" s="2">
        <f>IF(ISNUMBER(SEARCH(Лист2!$B$4,F:F)),1,0)</f>
        <v>0</v>
      </c>
      <c r="H3930" s="3">
        <f ca="1">IF(AND(I3930&lt;&gt;I3929,ISNUMBER(SEARCH(Лист2!$B$5,I:I)),G3930=1),MAX($H$3:OFFSET(H3930,-1,0))+1,0)</f>
        <v>0</v>
      </c>
      <c r="I3930" s="3" t="s">
        <v>332</v>
      </c>
      <c r="K3930" s="2">
        <f>IF(ISNUMBER(SEARCH(Лист2!$B$4,F:F)),1,0)</f>
        <v>0</v>
      </c>
      <c r="L3930" s="14">
        <f>IF(ISNUMBER(SEARCH(Лист2!$B$5,I:I)),1,0)+K3930</f>
        <v>0</v>
      </c>
      <c r="M3930" s="3">
        <f ca="1">IF(AND(N3930&lt;&gt;N3929,ISNUMBER(SEARCH(Лист2!$B$6,N:N)),L3930=2),MAX($M$3:OFFSET(M3930,-1,0))+1,0)</f>
        <v>0</v>
      </c>
      <c r="N3930" s="3" t="s">
        <v>2238</v>
      </c>
    </row>
    <row r="3931" spans="1:14" x14ac:dyDescent="0.25">
      <c r="A3931" s="1" t="s">
        <v>12725</v>
      </c>
      <c r="B3931" s="3" t="s">
        <v>7555</v>
      </c>
      <c r="C3931" s="2">
        <f ca="1">IF(ISNUMBER(SEARCH(Лист2!$B$4,D:D)),MAX($C$3:OFFSET(C3931,-1,0))+1,0)</f>
        <v>0</v>
      </c>
      <c r="E3931" s="9" t="str">
        <f t="shared" ca="1" si="73"/>
        <v/>
      </c>
      <c r="F3931" s="4" t="s">
        <v>15</v>
      </c>
      <c r="G3931" s="2">
        <f>IF(ISNUMBER(SEARCH(Лист2!$B$4,F:F)),1,0)</f>
        <v>0</v>
      </c>
      <c r="H3931" s="3">
        <f ca="1">IF(AND(I3931&lt;&gt;I3930,ISNUMBER(SEARCH(Лист2!$B$5,I:I)),G3931=1),MAX($H$3:OFFSET(H3931,-1,0))+1,0)</f>
        <v>0</v>
      </c>
      <c r="I3931" s="3" t="s">
        <v>332</v>
      </c>
      <c r="K3931" s="2">
        <f>IF(ISNUMBER(SEARCH(Лист2!$B$4,F:F)),1,0)</f>
        <v>0</v>
      </c>
      <c r="L3931" s="14">
        <f>IF(ISNUMBER(SEARCH(Лист2!$B$5,I:I)),1,0)+K3931</f>
        <v>0</v>
      </c>
      <c r="M3931" s="3">
        <f ca="1">IF(AND(N3931&lt;&gt;N3930,ISNUMBER(SEARCH(Лист2!$B$6,N:N)),L3931=2),MAX($M$3:OFFSET(M3931,-1,0))+1,0)</f>
        <v>0</v>
      </c>
      <c r="N3931" s="3" t="s">
        <v>2489</v>
      </c>
    </row>
    <row r="3932" spans="1:14" x14ac:dyDescent="0.25">
      <c r="A3932" s="1" t="s">
        <v>12726</v>
      </c>
      <c r="B3932" s="3" t="s">
        <v>7556</v>
      </c>
      <c r="C3932" s="2">
        <f ca="1">IF(ISNUMBER(SEARCH(Лист2!$B$4,D:D)),MAX($C$3:OFFSET(C3932,-1,0))+1,0)</f>
        <v>0</v>
      </c>
      <c r="E3932" s="9" t="str">
        <f t="shared" ca="1" si="73"/>
        <v/>
      </c>
      <c r="F3932" s="4" t="s">
        <v>15</v>
      </c>
      <c r="G3932" s="2">
        <f>IF(ISNUMBER(SEARCH(Лист2!$B$4,F:F)),1,0)</f>
        <v>0</v>
      </c>
      <c r="H3932" s="3">
        <f ca="1">IF(AND(I3932&lt;&gt;I3931,ISNUMBER(SEARCH(Лист2!$B$5,I:I)),G3932=1),MAX($H$3:OFFSET(H3932,-1,0))+1,0)</f>
        <v>0</v>
      </c>
      <c r="I3932" s="3" t="s">
        <v>332</v>
      </c>
      <c r="K3932" s="2">
        <f>IF(ISNUMBER(SEARCH(Лист2!$B$4,F:F)),1,0)</f>
        <v>0</v>
      </c>
      <c r="L3932" s="14">
        <f>IF(ISNUMBER(SEARCH(Лист2!$B$5,I:I)),1,0)+K3932</f>
        <v>0</v>
      </c>
      <c r="M3932" s="3">
        <f ca="1">IF(AND(N3932&lt;&gt;N3931,ISNUMBER(SEARCH(Лист2!$B$6,N:N)),L3932=2),MAX($M$3:OFFSET(M3932,-1,0))+1,0)</f>
        <v>0</v>
      </c>
      <c r="N3932" s="3" t="s">
        <v>602</v>
      </c>
    </row>
    <row r="3933" spans="1:14" x14ac:dyDescent="0.25">
      <c r="A3933" s="1" t="s">
        <v>12727</v>
      </c>
      <c r="B3933" s="3" t="s">
        <v>7557</v>
      </c>
      <c r="C3933" s="2">
        <f ca="1">IF(ISNUMBER(SEARCH(Лист2!$B$4,D:D)),MAX($C$3:OFFSET(C3933,-1,0))+1,0)</f>
        <v>0</v>
      </c>
      <c r="E3933" s="9" t="str">
        <f t="shared" ca="1" si="73"/>
        <v/>
      </c>
      <c r="F3933" s="4" t="s">
        <v>15</v>
      </c>
      <c r="G3933" s="2">
        <f>IF(ISNUMBER(SEARCH(Лист2!$B$4,F:F)),1,0)</f>
        <v>0</v>
      </c>
      <c r="H3933" s="3">
        <f ca="1">IF(AND(I3933&lt;&gt;I3932,ISNUMBER(SEARCH(Лист2!$B$5,I:I)),G3933=1),MAX($H$3:OFFSET(H3933,-1,0))+1,0)</f>
        <v>0</v>
      </c>
      <c r="I3933" s="3" t="s">
        <v>332</v>
      </c>
      <c r="K3933" s="2">
        <f>IF(ISNUMBER(SEARCH(Лист2!$B$4,F:F)),1,0)</f>
        <v>0</v>
      </c>
      <c r="L3933" s="14">
        <f>IF(ISNUMBER(SEARCH(Лист2!$B$5,I:I)),1,0)+K3933</f>
        <v>0</v>
      </c>
      <c r="M3933" s="3">
        <f ca="1">IF(AND(N3933&lt;&gt;N3932,ISNUMBER(SEARCH(Лист2!$B$6,N:N)),L3933=2),MAX($M$3:OFFSET(M3933,-1,0))+1,0)</f>
        <v>0</v>
      </c>
      <c r="N3933" s="3" t="s">
        <v>2239</v>
      </c>
    </row>
    <row r="3934" spans="1:14" x14ac:dyDescent="0.25">
      <c r="A3934" s="1" t="s">
        <v>12728</v>
      </c>
      <c r="B3934" s="3" t="s">
        <v>7558</v>
      </c>
      <c r="C3934" s="2">
        <f ca="1">IF(ISNUMBER(SEARCH(Лист2!$B$4,D:D)),MAX($C$3:OFFSET(C3934,-1,0))+1,0)</f>
        <v>0</v>
      </c>
      <c r="E3934" s="9" t="str">
        <f t="shared" ca="1" si="73"/>
        <v/>
      </c>
      <c r="F3934" s="4" t="s">
        <v>15</v>
      </c>
      <c r="G3934" s="2">
        <f>IF(ISNUMBER(SEARCH(Лист2!$B$4,F:F)),1,0)</f>
        <v>0</v>
      </c>
      <c r="H3934" s="3">
        <f ca="1">IF(AND(I3934&lt;&gt;I3933,ISNUMBER(SEARCH(Лист2!$B$5,I:I)),G3934=1),MAX($H$3:OFFSET(H3934,-1,0))+1,0)</f>
        <v>0</v>
      </c>
      <c r="I3934" s="3" t="s">
        <v>332</v>
      </c>
      <c r="K3934" s="2">
        <f>IF(ISNUMBER(SEARCH(Лист2!$B$4,F:F)),1,0)</f>
        <v>0</v>
      </c>
      <c r="L3934" s="14">
        <f>IF(ISNUMBER(SEARCH(Лист2!$B$5,I:I)),1,0)+K3934</f>
        <v>0</v>
      </c>
      <c r="M3934" s="3">
        <f ca="1">IF(AND(N3934&lt;&gt;N3933,ISNUMBER(SEARCH(Лист2!$B$6,N:N)),L3934=2),MAX($M$3:OFFSET(M3934,-1,0))+1,0)</f>
        <v>0</v>
      </c>
      <c r="N3934" s="3" t="s">
        <v>2302</v>
      </c>
    </row>
    <row r="3935" spans="1:14" x14ac:dyDescent="0.25">
      <c r="A3935" s="1" t="s">
        <v>12729</v>
      </c>
      <c r="B3935" s="3" t="s">
        <v>7559</v>
      </c>
      <c r="C3935" s="2">
        <f ca="1">IF(ISNUMBER(SEARCH(Лист2!$B$4,D:D)),MAX($C$3:OFFSET(C3935,-1,0))+1,0)</f>
        <v>0</v>
      </c>
      <c r="E3935" s="9" t="str">
        <f t="shared" ca="1" si="73"/>
        <v/>
      </c>
      <c r="F3935" s="4" t="s">
        <v>15</v>
      </c>
      <c r="G3935" s="2">
        <f>IF(ISNUMBER(SEARCH(Лист2!$B$4,F:F)),1,0)</f>
        <v>0</v>
      </c>
      <c r="H3935" s="3">
        <f ca="1">IF(AND(I3935&lt;&gt;I3934,ISNUMBER(SEARCH(Лист2!$B$5,I:I)),G3935=1),MAX($H$3:OFFSET(H3935,-1,0))+1,0)</f>
        <v>0</v>
      </c>
      <c r="I3935" s="3" t="s">
        <v>332</v>
      </c>
      <c r="K3935" s="2">
        <f>IF(ISNUMBER(SEARCH(Лист2!$B$4,F:F)),1,0)</f>
        <v>0</v>
      </c>
      <c r="L3935" s="14">
        <f>IF(ISNUMBER(SEARCH(Лист2!$B$5,I:I)),1,0)+K3935</f>
        <v>0</v>
      </c>
      <c r="M3935" s="3">
        <f ca="1">IF(AND(N3935&lt;&gt;N3934,ISNUMBER(SEARCH(Лист2!$B$6,N:N)),L3935=2),MAX($M$3:OFFSET(M3935,-1,0))+1,0)</f>
        <v>0</v>
      </c>
      <c r="N3935" s="3" t="s">
        <v>2241</v>
      </c>
    </row>
    <row r="3936" spans="1:14" x14ac:dyDescent="0.25">
      <c r="A3936" s="1" t="s">
        <v>12730</v>
      </c>
      <c r="B3936" s="3" t="s">
        <v>7560</v>
      </c>
      <c r="C3936" s="2">
        <f ca="1">IF(ISNUMBER(SEARCH(Лист2!$B$4,D:D)),MAX($C$3:OFFSET(C3936,-1,0))+1,0)</f>
        <v>0</v>
      </c>
      <c r="E3936" s="9" t="str">
        <f t="shared" ca="1" si="73"/>
        <v/>
      </c>
      <c r="F3936" s="4" t="s">
        <v>15</v>
      </c>
      <c r="G3936" s="2">
        <f>IF(ISNUMBER(SEARCH(Лист2!$B$4,F:F)),1,0)</f>
        <v>0</v>
      </c>
      <c r="H3936" s="3">
        <f ca="1">IF(AND(I3936&lt;&gt;I3935,ISNUMBER(SEARCH(Лист2!$B$5,I:I)),G3936=1),MAX($H$3:OFFSET(H3936,-1,0))+1,0)</f>
        <v>0</v>
      </c>
      <c r="I3936" s="3" t="s">
        <v>332</v>
      </c>
      <c r="K3936" s="2">
        <f>IF(ISNUMBER(SEARCH(Лист2!$B$4,F:F)),1,0)</f>
        <v>0</v>
      </c>
      <c r="L3936" s="14">
        <f>IF(ISNUMBER(SEARCH(Лист2!$B$5,I:I)),1,0)+K3936</f>
        <v>0</v>
      </c>
      <c r="M3936" s="3">
        <f ca="1">IF(AND(N3936&lt;&gt;N3935,ISNUMBER(SEARCH(Лист2!$B$6,N:N)),L3936=2),MAX($M$3:OFFSET(M3936,-1,0))+1,0)</f>
        <v>0</v>
      </c>
      <c r="N3936" s="3" t="s">
        <v>2490</v>
      </c>
    </row>
    <row r="3937" spans="1:14" x14ac:dyDescent="0.25">
      <c r="A3937" s="1" t="s">
        <v>12731</v>
      </c>
      <c r="B3937" s="3" t="s">
        <v>7561</v>
      </c>
      <c r="C3937" s="2">
        <f ca="1">IF(ISNUMBER(SEARCH(Лист2!$B$4,D:D)),MAX($C$3:OFFSET(C3937,-1,0))+1,0)</f>
        <v>0</v>
      </c>
      <c r="E3937" s="9" t="str">
        <f t="shared" ca="1" si="73"/>
        <v/>
      </c>
      <c r="F3937" s="4" t="s">
        <v>15</v>
      </c>
      <c r="G3937" s="2">
        <f>IF(ISNUMBER(SEARCH(Лист2!$B$4,F:F)),1,0)</f>
        <v>0</v>
      </c>
      <c r="H3937" s="3">
        <f ca="1">IF(AND(I3937&lt;&gt;I3936,ISNUMBER(SEARCH(Лист2!$B$5,I:I)),G3937=1),MAX($H$3:OFFSET(H3937,-1,0))+1,0)</f>
        <v>0</v>
      </c>
      <c r="I3937" s="3" t="s">
        <v>332</v>
      </c>
      <c r="K3937" s="2">
        <f>IF(ISNUMBER(SEARCH(Лист2!$B$4,F:F)),1,0)</f>
        <v>0</v>
      </c>
      <c r="L3937" s="14">
        <f>IF(ISNUMBER(SEARCH(Лист2!$B$5,I:I)),1,0)+K3937</f>
        <v>0</v>
      </c>
      <c r="M3937" s="3">
        <f ca="1">IF(AND(N3937&lt;&gt;N3936,ISNUMBER(SEARCH(Лист2!$B$6,N:N)),L3937=2),MAX($M$3:OFFSET(M3937,-1,0))+1,0)</f>
        <v>0</v>
      </c>
      <c r="N3937" s="3" t="s">
        <v>2491</v>
      </c>
    </row>
    <row r="3938" spans="1:14" x14ac:dyDescent="0.25">
      <c r="A3938" s="1" t="s">
        <v>12732</v>
      </c>
      <c r="B3938" s="3" t="s">
        <v>7562</v>
      </c>
      <c r="C3938" s="2">
        <f ca="1">IF(ISNUMBER(SEARCH(Лист2!$B$4,D:D)),MAX($C$3:OFFSET(C3938,-1,0))+1,0)</f>
        <v>0</v>
      </c>
      <c r="E3938" s="9" t="str">
        <f t="shared" ca="1" si="73"/>
        <v/>
      </c>
      <c r="F3938" s="4" t="s">
        <v>15</v>
      </c>
      <c r="G3938" s="2">
        <f>IF(ISNUMBER(SEARCH(Лист2!$B$4,F:F)),1,0)</f>
        <v>0</v>
      </c>
      <c r="H3938" s="3">
        <f ca="1">IF(AND(I3938&lt;&gt;I3937,ISNUMBER(SEARCH(Лист2!$B$5,I:I)),G3938=1),MAX($H$3:OFFSET(H3938,-1,0))+1,0)</f>
        <v>0</v>
      </c>
      <c r="I3938" s="3" t="s">
        <v>332</v>
      </c>
      <c r="K3938" s="2">
        <f>IF(ISNUMBER(SEARCH(Лист2!$B$4,F:F)),1,0)</f>
        <v>0</v>
      </c>
      <c r="L3938" s="14">
        <f>IF(ISNUMBER(SEARCH(Лист2!$B$5,I:I)),1,0)+K3938</f>
        <v>0</v>
      </c>
      <c r="M3938" s="3">
        <f ca="1">IF(AND(N3938&lt;&gt;N3937,ISNUMBER(SEARCH(Лист2!$B$6,N:N)),L3938=2),MAX($M$3:OFFSET(M3938,-1,0))+1,0)</f>
        <v>0</v>
      </c>
      <c r="N3938" s="3" t="s">
        <v>2492</v>
      </c>
    </row>
    <row r="3939" spans="1:14" x14ac:dyDescent="0.25">
      <c r="A3939" s="1" t="s">
        <v>12733</v>
      </c>
      <c r="B3939" s="3" t="s">
        <v>7563</v>
      </c>
      <c r="C3939" s="2">
        <f ca="1">IF(ISNUMBER(SEARCH(Лист2!$B$4,D:D)),MAX($C$3:OFFSET(C3939,-1,0))+1,0)</f>
        <v>0</v>
      </c>
      <c r="E3939" s="9" t="str">
        <f t="shared" ca="1" si="73"/>
        <v/>
      </c>
      <c r="F3939" s="4" t="s">
        <v>15</v>
      </c>
      <c r="G3939" s="2">
        <f>IF(ISNUMBER(SEARCH(Лист2!$B$4,F:F)),1,0)</f>
        <v>0</v>
      </c>
      <c r="H3939" s="3">
        <f ca="1">IF(AND(I3939&lt;&gt;I3938,ISNUMBER(SEARCH(Лист2!$B$5,I:I)),G3939=1),MAX($H$3:OFFSET(H3939,-1,0))+1,0)</f>
        <v>0</v>
      </c>
      <c r="I3939" s="3" t="s">
        <v>333</v>
      </c>
      <c r="K3939" s="2">
        <f>IF(ISNUMBER(SEARCH(Лист2!$B$4,F:F)),1,0)</f>
        <v>0</v>
      </c>
      <c r="L3939" s="14">
        <f>IF(ISNUMBER(SEARCH(Лист2!$B$5,I:I)),1,0)+K3939</f>
        <v>0</v>
      </c>
      <c r="M3939" s="3">
        <f ca="1">IF(AND(N3939&lt;&gt;N3938,ISNUMBER(SEARCH(Лист2!$B$6,N:N)),L3939=2),MAX($M$3:OFFSET(M3939,-1,0))+1,0)</f>
        <v>0</v>
      </c>
      <c r="N3939" s="3" t="s">
        <v>2237</v>
      </c>
    </row>
    <row r="3940" spans="1:14" x14ac:dyDescent="0.25">
      <c r="A3940" s="1" t="s">
        <v>12733</v>
      </c>
      <c r="B3940" s="3" t="s">
        <v>7564</v>
      </c>
      <c r="C3940" s="2">
        <f ca="1">IF(ISNUMBER(SEARCH(Лист2!$B$4,D:D)),MAX($C$3:OFFSET(C3940,-1,0))+1,0)</f>
        <v>0</v>
      </c>
      <c r="E3940" s="9" t="str">
        <f t="shared" ca="1" si="73"/>
        <v/>
      </c>
      <c r="F3940" s="4" t="s">
        <v>15</v>
      </c>
      <c r="G3940" s="2">
        <f>IF(ISNUMBER(SEARCH(Лист2!$B$4,F:F)),1,0)</f>
        <v>0</v>
      </c>
      <c r="H3940" s="3">
        <f ca="1">IF(AND(I3940&lt;&gt;I3939,ISNUMBER(SEARCH(Лист2!$B$5,I:I)),G3940=1),MAX($H$3:OFFSET(H3940,-1,0))+1,0)</f>
        <v>0</v>
      </c>
      <c r="I3940" s="3" t="s">
        <v>333</v>
      </c>
      <c r="K3940" s="2">
        <f>IF(ISNUMBER(SEARCH(Лист2!$B$4,F:F)),1,0)</f>
        <v>0</v>
      </c>
      <c r="L3940" s="14">
        <f>IF(ISNUMBER(SEARCH(Лист2!$B$5,I:I)),1,0)+K3940</f>
        <v>0</v>
      </c>
      <c r="M3940" s="3">
        <f ca="1">IF(AND(N3940&lt;&gt;N3939,ISNUMBER(SEARCH(Лист2!$B$6,N:N)),L3940=2),MAX($M$3:OFFSET(M3940,-1,0))+1,0)</f>
        <v>0</v>
      </c>
      <c r="N3940" s="3" t="s">
        <v>2237</v>
      </c>
    </row>
    <row r="3941" spans="1:14" x14ac:dyDescent="0.25">
      <c r="A3941" s="1" t="s">
        <v>12734</v>
      </c>
      <c r="B3941" s="3" t="s">
        <v>7565</v>
      </c>
      <c r="C3941" s="2">
        <f ca="1">IF(ISNUMBER(SEARCH(Лист2!$B$4,D:D)),MAX($C$3:OFFSET(C3941,-1,0))+1,0)</f>
        <v>0</v>
      </c>
      <c r="E3941" s="9" t="str">
        <f t="shared" ca="1" si="73"/>
        <v/>
      </c>
      <c r="F3941" s="4" t="s">
        <v>15</v>
      </c>
      <c r="G3941" s="2">
        <f>IF(ISNUMBER(SEARCH(Лист2!$B$4,F:F)),1,0)</f>
        <v>0</v>
      </c>
      <c r="H3941" s="3">
        <f ca="1">IF(AND(I3941&lt;&gt;I3940,ISNUMBER(SEARCH(Лист2!$B$5,I:I)),G3941=1),MAX($H$3:OFFSET(H3941,-1,0))+1,0)</f>
        <v>0</v>
      </c>
      <c r="I3941" s="3" t="s">
        <v>333</v>
      </c>
      <c r="K3941" s="2">
        <f>IF(ISNUMBER(SEARCH(Лист2!$B$4,F:F)),1,0)</f>
        <v>0</v>
      </c>
      <c r="L3941" s="14">
        <f>IF(ISNUMBER(SEARCH(Лист2!$B$5,I:I)),1,0)+K3941</f>
        <v>0</v>
      </c>
      <c r="M3941" s="3">
        <f ca="1">IF(AND(N3941&lt;&gt;N3940,ISNUMBER(SEARCH(Лист2!$B$6,N:N)),L3941=2),MAX($M$3:OFFSET(M3941,-1,0))+1,0)</f>
        <v>0</v>
      </c>
      <c r="N3941" s="3" t="s">
        <v>2238</v>
      </c>
    </row>
    <row r="3942" spans="1:14" x14ac:dyDescent="0.25">
      <c r="A3942" s="1" t="s">
        <v>12735</v>
      </c>
      <c r="B3942" s="3" t="s">
        <v>7566</v>
      </c>
      <c r="C3942" s="2">
        <f ca="1">IF(ISNUMBER(SEARCH(Лист2!$B$4,D:D)),MAX($C$3:OFFSET(C3942,-1,0))+1,0)</f>
        <v>0</v>
      </c>
      <c r="E3942" s="9" t="str">
        <f t="shared" ca="1" si="73"/>
        <v/>
      </c>
      <c r="F3942" s="4" t="s">
        <v>15</v>
      </c>
      <c r="G3942" s="2">
        <f>IF(ISNUMBER(SEARCH(Лист2!$B$4,F:F)),1,0)</f>
        <v>0</v>
      </c>
      <c r="H3942" s="3">
        <f ca="1">IF(AND(I3942&lt;&gt;I3941,ISNUMBER(SEARCH(Лист2!$B$5,I:I)),G3942=1),MAX($H$3:OFFSET(H3942,-1,0))+1,0)</f>
        <v>0</v>
      </c>
      <c r="I3942" s="3" t="s">
        <v>333</v>
      </c>
      <c r="K3942" s="2">
        <f>IF(ISNUMBER(SEARCH(Лист2!$B$4,F:F)),1,0)</f>
        <v>0</v>
      </c>
      <c r="L3942" s="14">
        <f>IF(ISNUMBER(SEARCH(Лист2!$B$5,I:I)),1,0)+K3942</f>
        <v>0</v>
      </c>
      <c r="M3942" s="3">
        <f ca="1">IF(AND(N3942&lt;&gt;N3941,ISNUMBER(SEARCH(Лист2!$B$6,N:N)),L3942=2),MAX($M$3:OFFSET(M3942,-1,0))+1,0)</f>
        <v>0</v>
      </c>
      <c r="N3942" s="3" t="s">
        <v>2493</v>
      </c>
    </row>
    <row r="3943" spans="1:14" x14ac:dyDescent="0.25">
      <c r="A3943" s="1" t="s">
        <v>12736</v>
      </c>
      <c r="B3943" s="3" t="s">
        <v>7567</v>
      </c>
      <c r="C3943" s="2">
        <f ca="1">IF(ISNUMBER(SEARCH(Лист2!$B$4,D:D)),MAX($C$3:OFFSET(C3943,-1,0))+1,0)</f>
        <v>0</v>
      </c>
      <c r="E3943" s="9" t="str">
        <f t="shared" ca="1" si="73"/>
        <v/>
      </c>
      <c r="F3943" s="4" t="s">
        <v>15</v>
      </c>
      <c r="G3943" s="2">
        <f>IF(ISNUMBER(SEARCH(Лист2!$B$4,F:F)),1,0)</f>
        <v>0</v>
      </c>
      <c r="H3943" s="3">
        <f ca="1">IF(AND(I3943&lt;&gt;I3942,ISNUMBER(SEARCH(Лист2!$B$5,I:I)),G3943=1),MAX($H$3:OFFSET(H3943,-1,0))+1,0)</f>
        <v>0</v>
      </c>
      <c r="I3943" s="3" t="s">
        <v>333</v>
      </c>
      <c r="K3943" s="2">
        <f>IF(ISNUMBER(SEARCH(Лист2!$B$4,F:F)),1,0)</f>
        <v>0</v>
      </c>
      <c r="L3943" s="14">
        <f>IF(ISNUMBER(SEARCH(Лист2!$B$5,I:I)),1,0)+K3943</f>
        <v>0</v>
      </c>
      <c r="M3943" s="3">
        <f ca="1">IF(AND(N3943&lt;&gt;N3942,ISNUMBER(SEARCH(Лист2!$B$6,N:N)),L3943=2),MAX($M$3:OFFSET(M3943,-1,0))+1,0)</f>
        <v>0</v>
      </c>
      <c r="N3943" s="3" t="s">
        <v>602</v>
      </c>
    </row>
    <row r="3944" spans="1:14" x14ac:dyDescent="0.25">
      <c r="A3944" s="1" t="s">
        <v>12737</v>
      </c>
      <c r="B3944" s="3" t="s">
        <v>7568</v>
      </c>
      <c r="C3944" s="2">
        <f ca="1">IF(ISNUMBER(SEARCH(Лист2!$B$4,D:D)),MAX($C$3:OFFSET(C3944,-1,0))+1,0)</f>
        <v>0</v>
      </c>
      <c r="E3944" s="9" t="str">
        <f t="shared" ca="1" si="73"/>
        <v/>
      </c>
      <c r="F3944" s="4" t="s">
        <v>15</v>
      </c>
      <c r="G3944" s="2">
        <f>IF(ISNUMBER(SEARCH(Лист2!$B$4,F:F)),1,0)</f>
        <v>0</v>
      </c>
      <c r="H3944" s="3">
        <f ca="1">IF(AND(I3944&lt;&gt;I3943,ISNUMBER(SEARCH(Лист2!$B$5,I:I)),G3944=1),MAX($H$3:OFFSET(H3944,-1,0))+1,0)</f>
        <v>0</v>
      </c>
      <c r="I3944" s="3" t="s">
        <v>333</v>
      </c>
      <c r="K3944" s="2">
        <f>IF(ISNUMBER(SEARCH(Лист2!$B$4,F:F)),1,0)</f>
        <v>0</v>
      </c>
      <c r="L3944" s="14">
        <f>IF(ISNUMBER(SEARCH(Лист2!$B$5,I:I)),1,0)+K3944</f>
        <v>0</v>
      </c>
      <c r="M3944" s="3">
        <f ca="1">IF(AND(N3944&lt;&gt;N3943,ISNUMBER(SEARCH(Лист2!$B$6,N:N)),L3944=2),MAX($M$3:OFFSET(M3944,-1,0))+1,0)</f>
        <v>0</v>
      </c>
      <c r="N3944" s="3" t="s">
        <v>2239</v>
      </c>
    </row>
    <row r="3945" spans="1:14" x14ac:dyDescent="0.25">
      <c r="A3945" s="1" t="s">
        <v>12738</v>
      </c>
      <c r="B3945" s="3" t="s">
        <v>7569</v>
      </c>
      <c r="C3945" s="2">
        <f ca="1">IF(ISNUMBER(SEARCH(Лист2!$B$4,D:D)),MAX($C$3:OFFSET(C3945,-1,0))+1,0)</f>
        <v>0</v>
      </c>
      <c r="E3945" s="9" t="str">
        <f t="shared" ca="1" si="73"/>
        <v/>
      </c>
      <c r="F3945" s="4" t="s">
        <v>15</v>
      </c>
      <c r="G3945" s="2">
        <f>IF(ISNUMBER(SEARCH(Лист2!$B$4,F:F)),1,0)</f>
        <v>0</v>
      </c>
      <c r="H3945" s="3">
        <f ca="1">IF(AND(I3945&lt;&gt;I3944,ISNUMBER(SEARCH(Лист2!$B$5,I:I)),G3945=1),MAX($H$3:OFFSET(H3945,-1,0))+1,0)</f>
        <v>0</v>
      </c>
      <c r="I3945" s="3" t="s">
        <v>333</v>
      </c>
      <c r="K3945" s="2">
        <f>IF(ISNUMBER(SEARCH(Лист2!$B$4,F:F)),1,0)</f>
        <v>0</v>
      </c>
      <c r="L3945" s="14">
        <f>IF(ISNUMBER(SEARCH(Лист2!$B$5,I:I)),1,0)+K3945</f>
        <v>0</v>
      </c>
      <c r="M3945" s="3">
        <f ca="1">IF(AND(N3945&lt;&gt;N3944,ISNUMBER(SEARCH(Лист2!$B$6,N:N)),L3945=2),MAX($M$3:OFFSET(M3945,-1,0))+1,0)</f>
        <v>0</v>
      </c>
      <c r="N3945" s="3" t="s">
        <v>2302</v>
      </c>
    </row>
    <row r="3946" spans="1:14" x14ac:dyDescent="0.25">
      <c r="A3946" s="1" t="s">
        <v>12739</v>
      </c>
      <c r="B3946" s="3" t="s">
        <v>7570</v>
      </c>
      <c r="C3946" s="2">
        <f ca="1">IF(ISNUMBER(SEARCH(Лист2!$B$4,D:D)),MAX($C$3:OFFSET(C3946,-1,0))+1,0)</f>
        <v>0</v>
      </c>
      <c r="E3946" s="9" t="str">
        <f t="shared" ca="1" si="73"/>
        <v/>
      </c>
      <c r="F3946" s="4" t="s">
        <v>15</v>
      </c>
      <c r="G3946" s="2">
        <f>IF(ISNUMBER(SEARCH(Лист2!$B$4,F:F)),1,0)</f>
        <v>0</v>
      </c>
      <c r="H3946" s="3">
        <f ca="1">IF(AND(I3946&lt;&gt;I3945,ISNUMBER(SEARCH(Лист2!$B$5,I:I)),G3946=1),MAX($H$3:OFFSET(H3946,-1,0))+1,0)</f>
        <v>0</v>
      </c>
      <c r="I3946" s="3" t="s">
        <v>333</v>
      </c>
      <c r="K3946" s="2">
        <f>IF(ISNUMBER(SEARCH(Лист2!$B$4,F:F)),1,0)</f>
        <v>0</v>
      </c>
      <c r="L3946" s="14">
        <f>IF(ISNUMBER(SEARCH(Лист2!$B$5,I:I)),1,0)+K3946</f>
        <v>0</v>
      </c>
      <c r="M3946" s="3">
        <f ca="1">IF(AND(N3946&lt;&gt;N3945,ISNUMBER(SEARCH(Лист2!$B$6,N:N)),L3946=2),MAX($M$3:OFFSET(M3946,-1,0))+1,0)</f>
        <v>0</v>
      </c>
      <c r="N3946" s="3" t="s">
        <v>2241</v>
      </c>
    </row>
    <row r="3947" spans="1:14" x14ac:dyDescent="0.25">
      <c r="A3947" s="1" t="s">
        <v>12740</v>
      </c>
      <c r="B3947" s="3" t="s">
        <v>7571</v>
      </c>
      <c r="C3947" s="2">
        <f ca="1">IF(ISNUMBER(SEARCH(Лист2!$B$4,D:D)),MAX($C$3:OFFSET(C3947,-1,0))+1,0)</f>
        <v>0</v>
      </c>
      <c r="E3947" s="9" t="str">
        <f t="shared" ca="1" si="73"/>
        <v/>
      </c>
      <c r="F3947" s="4" t="s">
        <v>15</v>
      </c>
      <c r="G3947" s="2">
        <f>IF(ISNUMBER(SEARCH(Лист2!$B$4,F:F)),1,0)</f>
        <v>0</v>
      </c>
      <c r="H3947" s="3">
        <f ca="1">IF(AND(I3947&lt;&gt;I3946,ISNUMBER(SEARCH(Лист2!$B$5,I:I)),G3947=1),MAX($H$3:OFFSET(H3947,-1,0))+1,0)</f>
        <v>0</v>
      </c>
      <c r="I3947" s="3" t="s">
        <v>333</v>
      </c>
      <c r="K3947" s="2">
        <f>IF(ISNUMBER(SEARCH(Лист2!$B$4,F:F)),1,0)</f>
        <v>0</v>
      </c>
      <c r="L3947" s="14">
        <f>IF(ISNUMBER(SEARCH(Лист2!$B$5,I:I)),1,0)+K3947</f>
        <v>0</v>
      </c>
      <c r="M3947" s="3">
        <f ca="1">IF(AND(N3947&lt;&gt;N3946,ISNUMBER(SEARCH(Лист2!$B$6,N:N)),L3947=2),MAX($M$3:OFFSET(M3947,-1,0))+1,0)</f>
        <v>0</v>
      </c>
      <c r="N3947" s="3" t="s">
        <v>2494</v>
      </c>
    </row>
    <row r="3948" spans="1:14" x14ac:dyDescent="0.25">
      <c r="A3948" s="1" t="s">
        <v>12741</v>
      </c>
      <c r="B3948" s="3" t="s">
        <v>7572</v>
      </c>
      <c r="C3948" s="2">
        <f ca="1">IF(ISNUMBER(SEARCH(Лист2!$B$4,D:D)),MAX($C$3:OFFSET(C3948,-1,0))+1,0)</f>
        <v>0</v>
      </c>
      <c r="E3948" s="9" t="str">
        <f t="shared" ca="1" si="73"/>
        <v/>
      </c>
      <c r="F3948" s="4" t="s">
        <v>15</v>
      </c>
      <c r="G3948" s="2">
        <f>IF(ISNUMBER(SEARCH(Лист2!$B$4,F:F)),1,0)</f>
        <v>0</v>
      </c>
      <c r="H3948" s="3">
        <f ca="1">IF(AND(I3948&lt;&gt;I3947,ISNUMBER(SEARCH(Лист2!$B$5,I:I)),G3948=1),MAX($H$3:OFFSET(H3948,-1,0))+1,0)</f>
        <v>0</v>
      </c>
      <c r="I3948" s="3" t="s">
        <v>333</v>
      </c>
      <c r="K3948" s="2">
        <f>IF(ISNUMBER(SEARCH(Лист2!$B$4,F:F)),1,0)</f>
        <v>0</v>
      </c>
      <c r="L3948" s="14">
        <f>IF(ISNUMBER(SEARCH(Лист2!$B$5,I:I)),1,0)+K3948</f>
        <v>0</v>
      </c>
      <c r="M3948" s="3">
        <f ca="1">IF(AND(N3948&lt;&gt;N3947,ISNUMBER(SEARCH(Лист2!$B$6,N:N)),L3948=2),MAX($M$3:OFFSET(M3948,-1,0))+1,0)</f>
        <v>0</v>
      </c>
      <c r="N3948" s="3" t="s">
        <v>2495</v>
      </c>
    </row>
    <row r="3949" spans="1:14" x14ac:dyDescent="0.25">
      <c r="A3949" s="1" t="s">
        <v>12742</v>
      </c>
      <c r="B3949" s="3" t="s">
        <v>7573</v>
      </c>
      <c r="C3949" s="2">
        <f ca="1">IF(ISNUMBER(SEARCH(Лист2!$B$4,D:D)),MAX($C$3:OFFSET(C3949,-1,0))+1,0)</f>
        <v>0</v>
      </c>
      <c r="E3949" s="9" t="str">
        <f t="shared" ca="1" si="73"/>
        <v/>
      </c>
      <c r="F3949" s="4" t="s">
        <v>15</v>
      </c>
      <c r="G3949" s="2">
        <f>IF(ISNUMBER(SEARCH(Лист2!$B$4,F:F)),1,0)</f>
        <v>0</v>
      </c>
      <c r="H3949" s="3">
        <f ca="1">IF(AND(I3949&lt;&gt;I3948,ISNUMBER(SEARCH(Лист2!$B$5,I:I)),G3949=1),MAX($H$3:OFFSET(H3949,-1,0))+1,0)</f>
        <v>0</v>
      </c>
      <c r="I3949" s="3" t="s">
        <v>333</v>
      </c>
      <c r="K3949" s="2">
        <f>IF(ISNUMBER(SEARCH(Лист2!$B$4,F:F)),1,0)</f>
        <v>0</v>
      </c>
      <c r="L3949" s="14">
        <f>IF(ISNUMBER(SEARCH(Лист2!$B$5,I:I)),1,0)+K3949</f>
        <v>0</v>
      </c>
      <c r="M3949" s="3">
        <f ca="1">IF(AND(N3949&lt;&gt;N3948,ISNUMBER(SEARCH(Лист2!$B$6,N:N)),L3949=2),MAX($M$3:OFFSET(M3949,-1,0))+1,0)</f>
        <v>0</v>
      </c>
      <c r="N3949" s="3" t="s">
        <v>2496</v>
      </c>
    </row>
    <row r="3950" spans="1:14" x14ac:dyDescent="0.25">
      <c r="A3950" s="1" t="s">
        <v>12743</v>
      </c>
      <c r="B3950" s="3" t="s">
        <v>7574</v>
      </c>
      <c r="C3950" s="2">
        <f ca="1">IF(ISNUMBER(SEARCH(Лист2!$B$4,D:D)),MAX($C$3:OFFSET(C3950,-1,0))+1,0)</f>
        <v>0</v>
      </c>
      <c r="E3950" s="9" t="str">
        <f t="shared" ca="1" si="73"/>
        <v/>
      </c>
      <c r="F3950" s="4" t="s">
        <v>15</v>
      </c>
      <c r="G3950" s="2">
        <f>IF(ISNUMBER(SEARCH(Лист2!$B$4,F:F)),1,0)</f>
        <v>0</v>
      </c>
      <c r="H3950" s="3">
        <f ca="1">IF(AND(I3950&lt;&gt;I3949,ISNUMBER(SEARCH(Лист2!$B$5,I:I)),G3950=1),MAX($H$3:OFFSET(H3950,-1,0))+1,0)</f>
        <v>0</v>
      </c>
      <c r="I3950" s="3" t="s">
        <v>286</v>
      </c>
      <c r="K3950" s="2">
        <f>IF(ISNUMBER(SEARCH(Лист2!$B$4,F:F)),1,0)</f>
        <v>0</v>
      </c>
      <c r="L3950" s="14">
        <f>IF(ISNUMBER(SEARCH(Лист2!$B$5,I:I)),1,0)+K3950</f>
        <v>0</v>
      </c>
      <c r="M3950" s="3">
        <f ca="1">IF(AND(N3950&lt;&gt;N3949,ISNUMBER(SEARCH(Лист2!$B$6,N:N)),L3950=2),MAX($M$3:OFFSET(M3950,-1,0))+1,0)</f>
        <v>0</v>
      </c>
      <c r="N3950" s="3" t="s">
        <v>2497</v>
      </c>
    </row>
    <row r="3951" spans="1:14" x14ac:dyDescent="0.25">
      <c r="A3951" s="1" t="s">
        <v>12743</v>
      </c>
      <c r="B3951" s="3" t="s">
        <v>7575</v>
      </c>
      <c r="C3951" s="2">
        <f ca="1">IF(ISNUMBER(SEARCH(Лист2!$B$4,D:D)),MAX($C$3:OFFSET(C3951,-1,0))+1,0)</f>
        <v>0</v>
      </c>
      <c r="E3951" s="9" t="str">
        <f t="shared" ca="1" si="73"/>
        <v/>
      </c>
      <c r="F3951" s="4" t="s">
        <v>15</v>
      </c>
      <c r="G3951" s="2">
        <f>IF(ISNUMBER(SEARCH(Лист2!$B$4,F:F)),1,0)</f>
        <v>0</v>
      </c>
      <c r="H3951" s="3">
        <f ca="1">IF(AND(I3951&lt;&gt;I3950,ISNUMBER(SEARCH(Лист2!$B$5,I:I)),G3951=1),MAX($H$3:OFFSET(H3951,-1,0))+1,0)</f>
        <v>0</v>
      </c>
      <c r="I3951" s="3" t="s">
        <v>286</v>
      </c>
      <c r="K3951" s="2">
        <f>IF(ISNUMBER(SEARCH(Лист2!$B$4,F:F)),1,0)</f>
        <v>0</v>
      </c>
      <c r="L3951" s="14">
        <f>IF(ISNUMBER(SEARCH(Лист2!$B$5,I:I)),1,0)+K3951</f>
        <v>0</v>
      </c>
      <c r="M3951" s="3">
        <f ca="1">IF(AND(N3951&lt;&gt;N3950,ISNUMBER(SEARCH(Лист2!$B$6,N:N)),L3951=2),MAX($M$3:OFFSET(M3951,-1,0))+1,0)</f>
        <v>0</v>
      </c>
      <c r="N3951" s="3" t="s">
        <v>2497</v>
      </c>
    </row>
    <row r="3952" spans="1:14" x14ac:dyDescent="0.25">
      <c r="A3952" s="1" t="s">
        <v>12744</v>
      </c>
      <c r="B3952" s="3" t="s">
        <v>7576</v>
      </c>
      <c r="C3952" s="2">
        <f ca="1">IF(ISNUMBER(SEARCH(Лист2!$B$4,D:D)),MAX($C$3:OFFSET(C3952,-1,0))+1,0)</f>
        <v>0</v>
      </c>
      <c r="E3952" s="9" t="str">
        <f t="shared" ca="1" si="73"/>
        <v/>
      </c>
      <c r="F3952" s="4" t="s">
        <v>15</v>
      </c>
      <c r="G3952" s="2">
        <f>IF(ISNUMBER(SEARCH(Лист2!$B$4,F:F)),1,0)</f>
        <v>0</v>
      </c>
      <c r="H3952" s="3">
        <f ca="1">IF(AND(I3952&lt;&gt;I3951,ISNUMBER(SEARCH(Лист2!$B$5,I:I)),G3952=1),MAX($H$3:OFFSET(H3952,-1,0))+1,0)</f>
        <v>0</v>
      </c>
      <c r="I3952" s="3" t="s">
        <v>286</v>
      </c>
      <c r="K3952" s="2">
        <f>IF(ISNUMBER(SEARCH(Лист2!$B$4,F:F)),1,0)</f>
        <v>0</v>
      </c>
      <c r="L3952" s="14">
        <f>IF(ISNUMBER(SEARCH(Лист2!$B$5,I:I)),1,0)+K3952</f>
        <v>0</v>
      </c>
      <c r="M3952" s="3">
        <f ca="1">IF(AND(N3952&lt;&gt;N3951,ISNUMBER(SEARCH(Лист2!$B$6,N:N)),L3952=2),MAX($M$3:OFFSET(M3952,-1,0))+1,0)</f>
        <v>0</v>
      </c>
      <c r="N3952" s="3" t="s">
        <v>2498</v>
      </c>
    </row>
    <row r="3953" spans="1:14" x14ac:dyDescent="0.25">
      <c r="A3953" s="1" t="s">
        <v>12745</v>
      </c>
      <c r="B3953" s="3" t="s">
        <v>7577</v>
      </c>
      <c r="C3953" s="2">
        <f ca="1">IF(ISNUMBER(SEARCH(Лист2!$B$4,D:D)),MAX($C$3:OFFSET(C3953,-1,0))+1,0)</f>
        <v>0</v>
      </c>
      <c r="E3953" s="9" t="str">
        <f t="shared" ca="1" si="73"/>
        <v/>
      </c>
      <c r="F3953" s="4" t="s">
        <v>15</v>
      </c>
      <c r="G3953" s="2">
        <f>IF(ISNUMBER(SEARCH(Лист2!$B$4,F:F)),1,0)</f>
        <v>0</v>
      </c>
      <c r="H3953" s="3">
        <f ca="1">IF(AND(I3953&lt;&gt;I3952,ISNUMBER(SEARCH(Лист2!$B$5,I:I)),G3953=1),MAX($H$3:OFFSET(H3953,-1,0))+1,0)</f>
        <v>0</v>
      </c>
      <c r="I3953" s="3" t="s">
        <v>286</v>
      </c>
      <c r="K3953" s="2">
        <f>IF(ISNUMBER(SEARCH(Лист2!$B$4,F:F)),1,0)</f>
        <v>0</v>
      </c>
      <c r="L3953" s="14">
        <f>IF(ISNUMBER(SEARCH(Лист2!$B$5,I:I)),1,0)+K3953</f>
        <v>0</v>
      </c>
      <c r="M3953" s="3">
        <f ca="1">IF(AND(N3953&lt;&gt;N3952,ISNUMBER(SEARCH(Лист2!$B$6,N:N)),L3953=2),MAX($M$3:OFFSET(M3953,-1,0))+1,0)</f>
        <v>0</v>
      </c>
      <c r="N3953" s="3" t="s">
        <v>2493</v>
      </c>
    </row>
    <row r="3954" spans="1:14" x14ac:dyDescent="0.25">
      <c r="A3954" s="1" t="s">
        <v>12746</v>
      </c>
      <c r="B3954" s="3" t="s">
        <v>7578</v>
      </c>
      <c r="C3954" s="2">
        <f ca="1">IF(ISNUMBER(SEARCH(Лист2!$B$4,D:D)),MAX($C$3:OFFSET(C3954,-1,0))+1,0)</f>
        <v>0</v>
      </c>
      <c r="E3954" s="9" t="str">
        <f t="shared" ca="1" si="73"/>
        <v/>
      </c>
      <c r="F3954" s="4" t="s">
        <v>15</v>
      </c>
      <c r="G3954" s="2">
        <f>IF(ISNUMBER(SEARCH(Лист2!$B$4,F:F)),1,0)</f>
        <v>0</v>
      </c>
      <c r="H3954" s="3">
        <f ca="1">IF(AND(I3954&lt;&gt;I3953,ISNUMBER(SEARCH(Лист2!$B$5,I:I)),G3954=1),MAX($H$3:OFFSET(H3954,-1,0))+1,0)</f>
        <v>0</v>
      </c>
      <c r="I3954" s="3" t="s">
        <v>286</v>
      </c>
      <c r="K3954" s="2">
        <f>IF(ISNUMBER(SEARCH(Лист2!$B$4,F:F)),1,0)</f>
        <v>0</v>
      </c>
      <c r="L3954" s="14">
        <f>IF(ISNUMBER(SEARCH(Лист2!$B$5,I:I)),1,0)+K3954</f>
        <v>0</v>
      </c>
      <c r="M3954" s="3">
        <f ca="1">IF(AND(N3954&lt;&gt;N3953,ISNUMBER(SEARCH(Лист2!$B$6,N:N)),L3954=2),MAX($M$3:OFFSET(M3954,-1,0))+1,0)</f>
        <v>0</v>
      </c>
      <c r="N3954" s="3" t="s">
        <v>602</v>
      </c>
    </row>
    <row r="3955" spans="1:14" x14ac:dyDescent="0.25">
      <c r="A3955" s="1" t="s">
        <v>12747</v>
      </c>
      <c r="B3955" s="3" t="s">
        <v>7579</v>
      </c>
      <c r="C3955" s="2">
        <f ca="1">IF(ISNUMBER(SEARCH(Лист2!$B$4,D:D)),MAX($C$3:OFFSET(C3955,-1,0))+1,0)</f>
        <v>0</v>
      </c>
      <c r="E3955" s="9" t="str">
        <f t="shared" ca="1" si="73"/>
        <v/>
      </c>
      <c r="F3955" s="4" t="s">
        <v>15</v>
      </c>
      <c r="G3955" s="2">
        <f>IF(ISNUMBER(SEARCH(Лист2!$B$4,F:F)),1,0)</f>
        <v>0</v>
      </c>
      <c r="H3955" s="3">
        <f ca="1">IF(AND(I3955&lt;&gt;I3954,ISNUMBER(SEARCH(Лист2!$B$5,I:I)),G3955=1),MAX($H$3:OFFSET(H3955,-1,0))+1,0)</f>
        <v>0</v>
      </c>
      <c r="I3955" s="3" t="s">
        <v>286</v>
      </c>
      <c r="K3955" s="2">
        <f>IF(ISNUMBER(SEARCH(Лист2!$B$4,F:F)),1,0)</f>
        <v>0</v>
      </c>
      <c r="L3955" s="14">
        <f>IF(ISNUMBER(SEARCH(Лист2!$B$5,I:I)),1,0)+K3955</f>
        <v>0</v>
      </c>
      <c r="M3955" s="3">
        <f ca="1">IF(AND(N3955&lt;&gt;N3954,ISNUMBER(SEARCH(Лист2!$B$6,N:N)),L3955=2),MAX($M$3:OFFSET(M3955,-1,0))+1,0)</f>
        <v>0</v>
      </c>
      <c r="N3955" s="3" t="s">
        <v>715</v>
      </c>
    </row>
    <row r="3956" spans="1:14" x14ac:dyDescent="0.25">
      <c r="A3956" s="1" t="s">
        <v>12748</v>
      </c>
      <c r="B3956" s="3" t="s">
        <v>7580</v>
      </c>
      <c r="C3956" s="2">
        <f ca="1">IF(ISNUMBER(SEARCH(Лист2!$B$4,D:D)),MAX($C$3:OFFSET(C3956,-1,0))+1,0)</f>
        <v>0</v>
      </c>
      <c r="E3956" s="9" t="str">
        <f t="shared" ca="1" si="73"/>
        <v/>
      </c>
      <c r="F3956" s="4" t="s">
        <v>15</v>
      </c>
      <c r="G3956" s="2">
        <f>IF(ISNUMBER(SEARCH(Лист2!$B$4,F:F)),1,0)</f>
        <v>0</v>
      </c>
      <c r="H3956" s="3">
        <f ca="1">IF(AND(I3956&lt;&gt;I3955,ISNUMBER(SEARCH(Лист2!$B$5,I:I)),G3956=1),MAX($H$3:OFFSET(H3956,-1,0))+1,0)</f>
        <v>0</v>
      </c>
      <c r="I3956" s="3" t="s">
        <v>286</v>
      </c>
      <c r="K3956" s="2">
        <f>IF(ISNUMBER(SEARCH(Лист2!$B$4,F:F)),1,0)</f>
        <v>0</v>
      </c>
      <c r="L3956" s="14">
        <f>IF(ISNUMBER(SEARCH(Лист2!$B$5,I:I)),1,0)+K3956</f>
        <v>0</v>
      </c>
      <c r="M3956" s="3">
        <f ca="1">IF(AND(N3956&lt;&gt;N3955,ISNUMBER(SEARCH(Лист2!$B$6,N:N)),L3956=2),MAX($M$3:OFFSET(M3956,-1,0))+1,0)</f>
        <v>0</v>
      </c>
      <c r="N3956" s="3" t="s">
        <v>2499</v>
      </c>
    </row>
    <row r="3957" spans="1:14" x14ac:dyDescent="0.25">
      <c r="A3957" s="1" t="s">
        <v>12749</v>
      </c>
      <c r="B3957" s="3" t="s">
        <v>7581</v>
      </c>
      <c r="C3957" s="2">
        <f ca="1">IF(ISNUMBER(SEARCH(Лист2!$B$4,D:D)),MAX($C$3:OFFSET(C3957,-1,0))+1,0)</f>
        <v>0</v>
      </c>
      <c r="E3957" s="9" t="str">
        <f t="shared" ca="1" si="73"/>
        <v/>
      </c>
      <c r="F3957" s="4" t="s">
        <v>15</v>
      </c>
      <c r="G3957" s="2">
        <f>IF(ISNUMBER(SEARCH(Лист2!$B$4,F:F)),1,0)</f>
        <v>0</v>
      </c>
      <c r="H3957" s="3">
        <f ca="1">IF(AND(I3957&lt;&gt;I3956,ISNUMBER(SEARCH(Лист2!$B$5,I:I)),G3957=1),MAX($H$3:OFFSET(H3957,-1,0))+1,0)</f>
        <v>0</v>
      </c>
      <c r="I3957" s="3" t="s">
        <v>286</v>
      </c>
      <c r="K3957" s="2">
        <f>IF(ISNUMBER(SEARCH(Лист2!$B$4,F:F)),1,0)</f>
        <v>0</v>
      </c>
      <c r="L3957" s="14">
        <f>IF(ISNUMBER(SEARCH(Лист2!$B$5,I:I)),1,0)+K3957</f>
        <v>0</v>
      </c>
      <c r="M3957" s="3">
        <f ca="1">IF(AND(N3957&lt;&gt;N3956,ISNUMBER(SEARCH(Лист2!$B$6,N:N)),L3957=2),MAX($M$3:OFFSET(M3957,-1,0))+1,0)</f>
        <v>0</v>
      </c>
      <c r="N3957" s="3" t="s">
        <v>2089</v>
      </c>
    </row>
    <row r="3958" spans="1:14" x14ac:dyDescent="0.25">
      <c r="A3958" s="1" t="s">
        <v>12750</v>
      </c>
      <c r="B3958" s="3" t="s">
        <v>7582</v>
      </c>
      <c r="C3958" s="2">
        <f ca="1">IF(ISNUMBER(SEARCH(Лист2!$B$4,D:D)),MAX($C$3:OFFSET(C3958,-1,0))+1,0)</f>
        <v>0</v>
      </c>
      <c r="E3958" s="9" t="str">
        <f t="shared" ca="1" si="73"/>
        <v/>
      </c>
      <c r="F3958" s="4" t="s">
        <v>15</v>
      </c>
      <c r="G3958" s="2">
        <f>IF(ISNUMBER(SEARCH(Лист2!$B$4,F:F)),1,0)</f>
        <v>0</v>
      </c>
      <c r="H3958" s="3">
        <f ca="1">IF(AND(I3958&lt;&gt;I3957,ISNUMBER(SEARCH(Лист2!$B$5,I:I)),G3958=1),MAX($H$3:OFFSET(H3958,-1,0))+1,0)</f>
        <v>0</v>
      </c>
      <c r="I3958" s="3" t="s">
        <v>286</v>
      </c>
      <c r="K3958" s="2">
        <f>IF(ISNUMBER(SEARCH(Лист2!$B$4,F:F)),1,0)</f>
        <v>0</v>
      </c>
      <c r="L3958" s="14">
        <f>IF(ISNUMBER(SEARCH(Лист2!$B$5,I:I)),1,0)+K3958</f>
        <v>0</v>
      </c>
      <c r="M3958" s="3">
        <f ca="1">IF(AND(N3958&lt;&gt;N3957,ISNUMBER(SEARCH(Лист2!$B$6,N:N)),L3958=2),MAX($M$3:OFFSET(M3958,-1,0))+1,0)</f>
        <v>0</v>
      </c>
      <c r="N3958" s="3" t="s">
        <v>2500</v>
      </c>
    </row>
    <row r="3959" spans="1:14" x14ac:dyDescent="0.25">
      <c r="A3959" s="1" t="s">
        <v>12751</v>
      </c>
      <c r="B3959" s="3" t="s">
        <v>7583</v>
      </c>
      <c r="C3959" s="2">
        <f ca="1">IF(ISNUMBER(SEARCH(Лист2!$B$4,D:D)),MAX($C$3:OFFSET(C3959,-1,0))+1,0)</f>
        <v>0</v>
      </c>
      <c r="E3959" s="9" t="str">
        <f t="shared" ca="1" si="73"/>
        <v/>
      </c>
      <c r="F3959" s="4" t="s">
        <v>15</v>
      </c>
      <c r="G3959" s="2">
        <f>IF(ISNUMBER(SEARCH(Лист2!$B$4,F:F)),1,0)</f>
        <v>0</v>
      </c>
      <c r="H3959" s="3">
        <f ca="1">IF(AND(I3959&lt;&gt;I3958,ISNUMBER(SEARCH(Лист2!$B$5,I:I)),G3959=1),MAX($H$3:OFFSET(H3959,-1,0))+1,0)</f>
        <v>0</v>
      </c>
      <c r="I3959" s="3" t="s">
        <v>286</v>
      </c>
      <c r="K3959" s="2">
        <f>IF(ISNUMBER(SEARCH(Лист2!$B$4,F:F)),1,0)</f>
        <v>0</v>
      </c>
      <c r="L3959" s="14">
        <f>IF(ISNUMBER(SEARCH(Лист2!$B$5,I:I)),1,0)+K3959</f>
        <v>0</v>
      </c>
      <c r="M3959" s="3">
        <f ca="1">IF(AND(N3959&lt;&gt;N3958,ISNUMBER(SEARCH(Лист2!$B$6,N:N)),L3959=2),MAX($M$3:OFFSET(M3959,-1,0))+1,0)</f>
        <v>0</v>
      </c>
      <c r="N3959" s="3" t="s">
        <v>2501</v>
      </c>
    </row>
    <row r="3960" spans="1:14" x14ac:dyDescent="0.25">
      <c r="A3960" s="1" t="s">
        <v>12752</v>
      </c>
      <c r="B3960" s="3" t="s">
        <v>7584</v>
      </c>
      <c r="C3960" s="2">
        <f ca="1">IF(ISNUMBER(SEARCH(Лист2!$B$4,D:D)),MAX($C$3:OFFSET(C3960,-1,0))+1,0)</f>
        <v>0</v>
      </c>
      <c r="E3960" s="9" t="str">
        <f t="shared" ca="1" si="73"/>
        <v/>
      </c>
      <c r="F3960" s="4" t="s">
        <v>15</v>
      </c>
      <c r="G3960" s="2">
        <f>IF(ISNUMBER(SEARCH(Лист2!$B$4,F:F)),1,0)</f>
        <v>0</v>
      </c>
      <c r="H3960" s="3">
        <f ca="1">IF(AND(I3960&lt;&gt;I3959,ISNUMBER(SEARCH(Лист2!$B$5,I:I)),G3960=1),MAX($H$3:OFFSET(H3960,-1,0))+1,0)</f>
        <v>0</v>
      </c>
      <c r="I3960" s="3" t="s">
        <v>286</v>
      </c>
      <c r="K3960" s="2">
        <f>IF(ISNUMBER(SEARCH(Лист2!$B$4,F:F)),1,0)</f>
        <v>0</v>
      </c>
      <c r="L3960" s="14">
        <f>IF(ISNUMBER(SEARCH(Лист2!$B$5,I:I)),1,0)+K3960</f>
        <v>0</v>
      </c>
      <c r="M3960" s="3">
        <f ca="1">IF(AND(N3960&lt;&gt;N3959,ISNUMBER(SEARCH(Лист2!$B$6,N:N)),L3960=2),MAX($M$3:OFFSET(M3960,-1,0))+1,0)</f>
        <v>0</v>
      </c>
      <c r="N3960" s="3" t="s">
        <v>2502</v>
      </c>
    </row>
    <row r="3961" spans="1:14" x14ac:dyDescent="0.25">
      <c r="A3961" s="1" t="s">
        <v>12753</v>
      </c>
      <c r="B3961" s="3" t="s">
        <v>7585</v>
      </c>
      <c r="C3961" s="2">
        <f ca="1">IF(ISNUMBER(SEARCH(Лист2!$B$4,D:D)),MAX($C$3:OFFSET(C3961,-1,0))+1,0)</f>
        <v>0</v>
      </c>
      <c r="E3961" s="9" t="str">
        <f t="shared" ca="1" si="73"/>
        <v/>
      </c>
      <c r="F3961" s="4" t="s">
        <v>15</v>
      </c>
      <c r="G3961" s="2">
        <f>IF(ISNUMBER(SEARCH(Лист2!$B$4,F:F)),1,0)</f>
        <v>0</v>
      </c>
      <c r="H3961" s="3">
        <f ca="1">IF(AND(I3961&lt;&gt;I3960,ISNUMBER(SEARCH(Лист2!$B$5,I:I)),G3961=1),MAX($H$3:OFFSET(H3961,-1,0))+1,0)</f>
        <v>0</v>
      </c>
      <c r="I3961" s="3" t="s">
        <v>334</v>
      </c>
      <c r="K3961" s="2">
        <f>IF(ISNUMBER(SEARCH(Лист2!$B$4,F:F)),1,0)</f>
        <v>0</v>
      </c>
      <c r="L3961" s="14">
        <f>IF(ISNUMBER(SEARCH(Лист2!$B$5,I:I)),1,0)+K3961</f>
        <v>0</v>
      </c>
      <c r="M3961" s="3">
        <f ca="1">IF(AND(N3961&lt;&gt;N3960,ISNUMBER(SEARCH(Лист2!$B$6,N:N)),L3961=2),MAX($M$3:OFFSET(M3961,-1,0))+1,0)</f>
        <v>0</v>
      </c>
      <c r="N3961" s="3" t="s">
        <v>711</v>
      </c>
    </row>
    <row r="3962" spans="1:14" x14ac:dyDescent="0.25">
      <c r="A3962" s="1" t="s">
        <v>12753</v>
      </c>
      <c r="B3962" s="3" t="s">
        <v>7586</v>
      </c>
      <c r="C3962" s="2">
        <f ca="1">IF(ISNUMBER(SEARCH(Лист2!$B$4,D:D)),MAX($C$3:OFFSET(C3962,-1,0))+1,0)</f>
        <v>0</v>
      </c>
      <c r="E3962" s="9" t="str">
        <f t="shared" ca="1" si="73"/>
        <v/>
      </c>
      <c r="F3962" s="4" t="s">
        <v>15</v>
      </c>
      <c r="G3962" s="2">
        <f>IF(ISNUMBER(SEARCH(Лист2!$B$4,F:F)),1,0)</f>
        <v>0</v>
      </c>
      <c r="H3962" s="3">
        <f ca="1">IF(AND(I3962&lt;&gt;I3961,ISNUMBER(SEARCH(Лист2!$B$5,I:I)),G3962=1),MAX($H$3:OFFSET(H3962,-1,0))+1,0)</f>
        <v>0</v>
      </c>
      <c r="I3962" s="3" t="s">
        <v>334</v>
      </c>
      <c r="K3962" s="2">
        <f>IF(ISNUMBER(SEARCH(Лист2!$B$4,F:F)),1,0)</f>
        <v>0</v>
      </c>
      <c r="L3962" s="14">
        <f>IF(ISNUMBER(SEARCH(Лист2!$B$5,I:I)),1,0)+K3962</f>
        <v>0</v>
      </c>
      <c r="M3962" s="3">
        <f ca="1">IF(AND(N3962&lt;&gt;N3961,ISNUMBER(SEARCH(Лист2!$B$6,N:N)),L3962=2),MAX($M$3:OFFSET(M3962,-1,0))+1,0)</f>
        <v>0</v>
      </c>
      <c r="N3962" s="3" t="s">
        <v>711</v>
      </c>
    </row>
    <row r="3963" spans="1:14" x14ac:dyDescent="0.25">
      <c r="A3963" s="1" t="s">
        <v>12754</v>
      </c>
      <c r="B3963" s="3" t="s">
        <v>7587</v>
      </c>
      <c r="C3963" s="2">
        <f ca="1">IF(ISNUMBER(SEARCH(Лист2!$B$4,D:D)),MAX($C$3:OFFSET(C3963,-1,0))+1,0)</f>
        <v>0</v>
      </c>
      <c r="E3963" s="9" t="str">
        <f t="shared" ca="1" si="73"/>
        <v/>
      </c>
      <c r="F3963" s="4" t="s">
        <v>15</v>
      </c>
      <c r="G3963" s="2">
        <f>IF(ISNUMBER(SEARCH(Лист2!$B$4,F:F)),1,0)</f>
        <v>0</v>
      </c>
      <c r="H3963" s="3">
        <f ca="1">IF(AND(I3963&lt;&gt;I3962,ISNUMBER(SEARCH(Лист2!$B$5,I:I)),G3963=1),MAX($H$3:OFFSET(H3963,-1,0))+1,0)</f>
        <v>0</v>
      </c>
      <c r="I3963" s="3" t="s">
        <v>334</v>
      </c>
      <c r="K3963" s="2">
        <f>IF(ISNUMBER(SEARCH(Лист2!$B$4,F:F)),1,0)</f>
        <v>0</v>
      </c>
      <c r="L3963" s="14">
        <f>IF(ISNUMBER(SEARCH(Лист2!$B$5,I:I)),1,0)+K3963</f>
        <v>0</v>
      </c>
      <c r="M3963" s="3">
        <f ca="1">IF(AND(N3963&lt;&gt;N3962,ISNUMBER(SEARCH(Лист2!$B$6,N:N)),L3963=2),MAX($M$3:OFFSET(M3963,-1,0))+1,0)</f>
        <v>0</v>
      </c>
      <c r="N3963" s="3" t="s">
        <v>713</v>
      </c>
    </row>
    <row r="3964" spans="1:14" x14ac:dyDescent="0.25">
      <c r="A3964" s="1" t="s">
        <v>12755</v>
      </c>
      <c r="B3964" s="3" t="s">
        <v>7588</v>
      </c>
      <c r="C3964" s="2">
        <f ca="1">IF(ISNUMBER(SEARCH(Лист2!$B$4,D:D)),MAX($C$3:OFFSET(C3964,-1,0))+1,0)</f>
        <v>0</v>
      </c>
      <c r="E3964" s="9" t="str">
        <f t="shared" ca="1" si="73"/>
        <v/>
      </c>
      <c r="F3964" s="4" t="s">
        <v>15</v>
      </c>
      <c r="G3964" s="2">
        <f>IF(ISNUMBER(SEARCH(Лист2!$B$4,F:F)),1,0)</f>
        <v>0</v>
      </c>
      <c r="H3964" s="3">
        <f ca="1">IF(AND(I3964&lt;&gt;I3963,ISNUMBER(SEARCH(Лист2!$B$5,I:I)),G3964=1),MAX($H$3:OFFSET(H3964,-1,0))+1,0)</f>
        <v>0</v>
      </c>
      <c r="I3964" s="3" t="s">
        <v>334</v>
      </c>
      <c r="K3964" s="2">
        <f>IF(ISNUMBER(SEARCH(Лист2!$B$4,F:F)),1,0)</f>
        <v>0</v>
      </c>
      <c r="L3964" s="14">
        <f>IF(ISNUMBER(SEARCH(Лист2!$B$5,I:I)),1,0)+K3964</f>
        <v>0</v>
      </c>
      <c r="M3964" s="3">
        <f ca="1">IF(AND(N3964&lt;&gt;N3963,ISNUMBER(SEARCH(Лист2!$B$6,N:N)),L3964=2),MAX($M$3:OFFSET(M3964,-1,0))+1,0)</f>
        <v>0</v>
      </c>
      <c r="N3964" s="3" t="s">
        <v>2493</v>
      </c>
    </row>
    <row r="3965" spans="1:14" x14ac:dyDescent="0.25">
      <c r="A3965" s="1" t="s">
        <v>12756</v>
      </c>
      <c r="B3965" s="3" t="s">
        <v>7589</v>
      </c>
      <c r="C3965" s="2">
        <f ca="1">IF(ISNUMBER(SEARCH(Лист2!$B$4,D:D)),MAX($C$3:OFFSET(C3965,-1,0))+1,0)</f>
        <v>0</v>
      </c>
      <c r="E3965" s="9" t="str">
        <f t="shared" ca="1" si="73"/>
        <v/>
      </c>
      <c r="F3965" s="4" t="s">
        <v>15</v>
      </c>
      <c r="G3965" s="2">
        <f>IF(ISNUMBER(SEARCH(Лист2!$B$4,F:F)),1,0)</f>
        <v>0</v>
      </c>
      <c r="H3965" s="3">
        <f ca="1">IF(AND(I3965&lt;&gt;I3964,ISNUMBER(SEARCH(Лист2!$B$5,I:I)),G3965=1),MAX($H$3:OFFSET(H3965,-1,0))+1,0)</f>
        <v>0</v>
      </c>
      <c r="I3965" s="3" t="s">
        <v>334</v>
      </c>
      <c r="K3965" s="2">
        <f>IF(ISNUMBER(SEARCH(Лист2!$B$4,F:F)),1,0)</f>
        <v>0</v>
      </c>
      <c r="L3965" s="14">
        <f>IF(ISNUMBER(SEARCH(Лист2!$B$5,I:I)),1,0)+K3965</f>
        <v>0</v>
      </c>
      <c r="M3965" s="3">
        <f ca="1">IF(AND(N3965&lt;&gt;N3964,ISNUMBER(SEARCH(Лист2!$B$6,N:N)),L3965=2),MAX($M$3:OFFSET(M3965,-1,0))+1,0)</f>
        <v>0</v>
      </c>
      <c r="N3965" s="3" t="s">
        <v>602</v>
      </c>
    </row>
    <row r="3966" spans="1:14" x14ac:dyDescent="0.25">
      <c r="A3966" s="1" t="s">
        <v>12757</v>
      </c>
      <c r="B3966" s="3" t="s">
        <v>7590</v>
      </c>
      <c r="C3966" s="2">
        <f ca="1">IF(ISNUMBER(SEARCH(Лист2!$B$4,D:D)),MAX($C$3:OFFSET(C3966,-1,0))+1,0)</f>
        <v>0</v>
      </c>
      <c r="E3966" s="9" t="str">
        <f t="shared" ca="1" si="73"/>
        <v/>
      </c>
      <c r="F3966" s="4" t="s">
        <v>15</v>
      </c>
      <c r="G3966" s="2">
        <f>IF(ISNUMBER(SEARCH(Лист2!$B$4,F:F)),1,0)</f>
        <v>0</v>
      </c>
      <c r="H3966" s="3">
        <f ca="1">IF(AND(I3966&lt;&gt;I3965,ISNUMBER(SEARCH(Лист2!$B$5,I:I)),G3966=1),MAX($H$3:OFFSET(H3966,-1,0))+1,0)</f>
        <v>0</v>
      </c>
      <c r="I3966" s="3" t="s">
        <v>334</v>
      </c>
      <c r="K3966" s="2">
        <f>IF(ISNUMBER(SEARCH(Лист2!$B$4,F:F)),1,0)</f>
        <v>0</v>
      </c>
      <c r="L3966" s="14">
        <f>IF(ISNUMBER(SEARCH(Лист2!$B$5,I:I)),1,0)+K3966</f>
        <v>0</v>
      </c>
      <c r="M3966" s="3">
        <f ca="1">IF(AND(N3966&lt;&gt;N3965,ISNUMBER(SEARCH(Лист2!$B$6,N:N)),L3966=2),MAX($M$3:OFFSET(M3966,-1,0))+1,0)</f>
        <v>0</v>
      </c>
      <c r="N3966" s="3" t="s">
        <v>2503</v>
      </c>
    </row>
    <row r="3967" spans="1:14" x14ac:dyDescent="0.25">
      <c r="A3967" s="1" t="s">
        <v>12758</v>
      </c>
      <c r="B3967" s="3" t="s">
        <v>7591</v>
      </c>
      <c r="C3967" s="2">
        <f ca="1">IF(ISNUMBER(SEARCH(Лист2!$B$4,D:D)),MAX($C$3:OFFSET(C3967,-1,0))+1,0)</f>
        <v>0</v>
      </c>
      <c r="E3967" s="9" t="str">
        <f t="shared" ca="1" si="73"/>
        <v/>
      </c>
      <c r="F3967" s="4" t="s">
        <v>15</v>
      </c>
      <c r="G3967" s="2">
        <f>IF(ISNUMBER(SEARCH(Лист2!$B$4,F:F)),1,0)</f>
        <v>0</v>
      </c>
      <c r="H3967" s="3">
        <f ca="1">IF(AND(I3967&lt;&gt;I3966,ISNUMBER(SEARCH(Лист2!$B$5,I:I)),G3967=1),MAX($H$3:OFFSET(H3967,-1,0))+1,0)</f>
        <v>0</v>
      </c>
      <c r="I3967" s="3" t="s">
        <v>334</v>
      </c>
      <c r="K3967" s="2">
        <f>IF(ISNUMBER(SEARCH(Лист2!$B$4,F:F)),1,0)</f>
        <v>0</v>
      </c>
      <c r="L3967" s="14">
        <f>IF(ISNUMBER(SEARCH(Лист2!$B$5,I:I)),1,0)+K3967</f>
        <v>0</v>
      </c>
      <c r="M3967" s="3">
        <f ca="1">IF(AND(N3967&lt;&gt;N3966,ISNUMBER(SEARCH(Лист2!$B$6,N:N)),L3967=2),MAX($M$3:OFFSET(M3967,-1,0))+1,0)</f>
        <v>0</v>
      </c>
      <c r="N3967" s="3" t="s">
        <v>2499</v>
      </c>
    </row>
    <row r="3968" spans="1:14" x14ac:dyDescent="0.25">
      <c r="A3968" s="1" t="s">
        <v>12759</v>
      </c>
      <c r="B3968" s="3" t="s">
        <v>7592</v>
      </c>
      <c r="C3968" s="2">
        <f ca="1">IF(ISNUMBER(SEARCH(Лист2!$B$4,D:D)),MAX($C$3:OFFSET(C3968,-1,0))+1,0)</f>
        <v>0</v>
      </c>
      <c r="E3968" s="9" t="str">
        <f t="shared" ca="1" si="73"/>
        <v/>
      </c>
      <c r="F3968" s="4" t="s">
        <v>15</v>
      </c>
      <c r="G3968" s="2">
        <f>IF(ISNUMBER(SEARCH(Лист2!$B$4,F:F)),1,0)</f>
        <v>0</v>
      </c>
      <c r="H3968" s="3">
        <f ca="1">IF(AND(I3968&lt;&gt;I3967,ISNUMBER(SEARCH(Лист2!$B$5,I:I)),G3968=1),MAX($H$3:OFFSET(H3968,-1,0))+1,0)</f>
        <v>0</v>
      </c>
      <c r="I3968" s="3" t="s">
        <v>334</v>
      </c>
      <c r="K3968" s="2">
        <f>IF(ISNUMBER(SEARCH(Лист2!$B$4,F:F)),1,0)</f>
        <v>0</v>
      </c>
      <c r="L3968" s="14">
        <f>IF(ISNUMBER(SEARCH(Лист2!$B$5,I:I)),1,0)+K3968</f>
        <v>0</v>
      </c>
      <c r="M3968" s="3">
        <f ca="1">IF(AND(N3968&lt;&gt;N3967,ISNUMBER(SEARCH(Лист2!$B$6,N:N)),L3968=2),MAX($M$3:OFFSET(M3968,-1,0))+1,0)</f>
        <v>0</v>
      </c>
      <c r="N3968" s="3" t="s">
        <v>2089</v>
      </c>
    </row>
    <row r="3969" spans="1:14" x14ac:dyDescent="0.25">
      <c r="A3969" s="1" t="s">
        <v>12760</v>
      </c>
      <c r="B3969" s="3" t="s">
        <v>7593</v>
      </c>
      <c r="C3969" s="2">
        <f ca="1">IF(ISNUMBER(SEARCH(Лист2!$B$4,D:D)),MAX($C$3:OFFSET(C3969,-1,0))+1,0)</f>
        <v>0</v>
      </c>
      <c r="E3969" s="9" t="str">
        <f t="shared" ca="1" si="73"/>
        <v/>
      </c>
      <c r="F3969" s="4" t="s">
        <v>15</v>
      </c>
      <c r="G3969" s="2">
        <f>IF(ISNUMBER(SEARCH(Лист2!$B$4,F:F)),1,0)</f>
        <v>0</v>
      </c>
      <c r="H3969" s="3">
        <f ca="1">IF(AND(I3969&lt;&gt;I3968,ISNUMBER(SEARCH(Лист2!$B$5,I:I)),G3969=1),MAX($H$3:OFFSET(H3969,-1,0))+1,0)</f>
        <v>0</v>
      </c>
      <c r="I3969" s="3" t="s">
        <v>334</v>
      </c>
      <c r="K3969" s="2">
        <f>IF(ISNUMBER(SEARCH(Лист2!$B$4,F:F)),1,0)</f>
        <v>0</v>
      </c>
      <c r="L3969" s="14">
        <f>IF(ISNUMBER(SEARCH(Лист2!$B$5,I:I)),1,0)+K3969</f>
        <v>0</v>
      </c>
      <c r="M3969" s="3">
        <f ca="1">IF(AND(N3969&lt;&gt;N3968,ISNUMBER(SEARCH(Лист2!$B$6,N:N)),L3969=2),MAX($M$3:OFFSET(M3969,-1,0))+1,0)</f>
        <v>0</v>
      </c>
      <c r="N3969" s="3" t="s">
        <v>2504</v>
      </c>
    </row>
    <row r="3970" spans="1:14" x14ac:dyDescent="0.25">
      <c r="A3970" s="1" t="s">
        <v>12761</v>
      </c>
      <c r="B3970" s="3" t="s">
        <v>7594</v>
      </c>
      <c r="C3970" s="2">
        <f ca="1">IF(ISNUMBER(SEARCH(Лист2!$B$4,D:D)),MAX($C$3:OFFSET(C3970,-1,0))+1,0)</f>
        <v>0</v>
      </c>
      <c r="E3970" s="9" t="str">
        <f t="shared" ca="1" si="73"/>
        <v/>
      </c>
      <c r="F3970" s="4" t="s">
        <v>15</v>
      </c>
      <c r="G3970" s="2">
        <f>IF(ISNUMBER(SEARCH(Лист2!$B$4,F:F)),1,0)</f>
        <v>0</v>
      </c>
      <c r="H3970" s="3">
        <f ca="1">IF(AND(I3970&lt;&gt;I3969,ISNUMBER(SEARCH(Лист2!$B$5,I:I)),G3970=1),MAX($H$3:OFFSET(H3970,-1,0))+1,0)</f>
        <v>0</v>
      </c>
      <c r="I3970" s="3" t="s">
        <v>334</v>
      </c>
      <c r="K3970" s="2">
        <f>IF(ISNUMBER(SEARCH(Лист2!$B$4,F:F)),1,0)</f>
        <v>0</v>
      </c>
      <c r="L3970" s="14">
        <f>IF(ISNUMBER(SEARCH(Лист2!$B$5,I:I)),1,0)+K3970</f>
        <v>0</v>
      </c>
      <c r="M3970" s="3">
        <f ca="1">IF(AND(N3970&lt;&gt;N3969,ISNUMBER(SEARCH(Лист2!$B$6,N:N)),L3970=2),MAX($M$3:OFFSET(M3970,-1,0))+1,0)</f>
        <v>0</v>
      </c>
      <c r="N3970" s="3" t="s">
        <v>2505</v>
      </c>
    </row>
    <row r="3971" spans="1:14" x14ac:dyDescent="0.25">
      <c r="A3971" s="1" t="s">
        <v>12762</v>
      </c>
      <c r="B3971" s="3" t="s">
        <v>7595</v>
      </c>
      <c r="C3971" s="2">
        <f ca="1">IF(ISNUMBER(SEARCH(Лист2!$B$4,D:D)),MAX($C$3:OFFSET(C3971,-1,0))+1,0)</f>
        <v>0</v>
      </c>
      <c r="E3971" s="9" t="str">
        <f t="shared" ca="1" si="73"/>
        <v/>
      </c>
      <c r="F3971" s="4" t="s">
        <v>15</v>
      </c>
      <c r="G3971" s="2">
        <f>IF(ISNUMBER(SEARCH(Лист2!$B$4,F:F)),1,0)</f>
        <v>0</v>
      </c>
      <c r="H3971" s="3">
        <f ca="1">IF(AND(I3971&lt;&gt;I3970,ISNUMBER(SEARCH(Лист2!$B$5,I:I)),G3971=1),MAX($H$3:OFFSET(H3971,-1,0))+1,0)</f>
        <v>0</v>
      </c>
      <c r="I3971" s="3" t="s">
        <v>334</v>
      </c>
      <c r="K3971" s="2">
        <f>IF(ISNUMBER(SEARCH(Лист2!$B$4,F:F)),1,0)</f>
        <v>0</v>
      </c>
      <c r="L3971" s="14">
        <f>IF(ISNUMBER(SEARCH(Лист2!$B$5,I:I)),1,0)+K3971</f>
        <v>0</v>
      </c>
      <c r="M3971" s="3">
        <f ca="1">IF(AND(N3971&lt;&gt;N3970,ISNUMBER(SEARCH(Лист2!$B$6,N:N)),L3971=2),MAX($M$3:OFFSET(M3971,-1,0))+1,0)</f>
        <v>0</v>
      </c>
      <c r="N3971" s="3" t="s">
        <v>2506</v>
      </c>
    </row>
    <row r="3972" spans="1:14" x14ac:dyDescent="0.25">
      <c r="A3972" s="1" t="s">
        <v>12763</v>
      </c>
      <c r="B3972" s="3" t="s">
        <v>7596</v>
      </c>
      <c r="C3972" s="2">
        <f ca="1">IF(ISNUMBER(SEARCH(Лист2!$B$4,D:D)),MAX($C$3:OFFSET(C3972,-1,0))+1,0)</f>
        <v>0</v>
      </c>
      <c r="E3972" s="9" t="str">
        <f t="shared" ca="1" si="73"/>
        <v/>
      </c>
      <c r="F3972" s="4" t="s">
        <v>15</v>
      </c>
      <c r="G3972" s="2">
        <f>IF(ISNUMBER(SEARCH(Лист2!$B$4,F:F)),1,0)</f>
        <v>0</v>
      </c>
      <c r="H3972" s="3">
        <f ca="1">IF(AND(I3972&lt;&gt;I3971,ISNUMBER(SEARCH(Лист2!$B$5,I:I)),G3972=1),MAX($H$3:OFFSET(H3972,-1,0))+1,0)</f>
        <v>0</v>
      </c>
      <c r="I3972" s="3" t="s">
        <v>287</v>
      </c>
      <c r="K3972" s="2">
        <f>IF(ISNUMBER(SEARCH(Лист2!$B$4,F:F)),1,0)</f>
        <v>0</v>
      </c>
      <c r="L3972" s="14">
        <f>IF(ISNUMBER(SEARCH(Лист2!$B$5,I:I)),1,0)+K3972</f>
        <v>0</v>
      </c>
      <c r="M3972" s="3">
        <f ca="1">IF(AND(N3972&lt;&gt;N3971,ISNUMBER(SEARCH(Лист2!$B$6,N:N)),L3972=2),MAX($M$3:OFFSET(M3972,-1,0))+1,0)</f>
        <v>0</v>
      </c>
      <c r="N3972" s="3" t="s">
        <v>711</v>
      </c>
    </row>
    <row r="3973" spans="1:14" x14ac:dyDescent="0.25">
      <c r="A3973" s="1" t="s">
        <v>12763</v>
      </c>
      <c r="B3973" s="3" t="s">
        <v>7597</v>
      </c>
      <c r="C3973" s="2">
        <f ca="1">IF(ISNUMBER(SEARCH(Лист2!$B$4,D:D)),MAX($C$3:OFFSET(C3973,-1,0))+1,0)</f>
        <v>0</v>
      </c>
      <c r="E3973" s="9" t="str">
        <f t="shared" ref="E3973:E4036" ca="1" si="74">IFERROR(INDEX(D:D,MATCH(ROW(E3973)-ROW($E$3),C:C,0)),"")</f>
        <v/>
      </c>
      <c r="F3973" s="4" t="s">
        <v>15</v>
      </c>
      <c r="G3973" s="2">
        <f>IF(ISNUMBER(SEARCH(Лист2!$B$4,F:F)),1,0)</f>
        <v>0</v>
      </c>
      <c r="H3973" s="3">
        <f ca="1">IF(AND(I3973&lt;&gt;I3972,ISNUMBER(SEARCH(Лист2!$B$5,I:I)),G3973=1),MAX($H$3:OFFSET(H3973,-1,0))+1,0)</f>
        <v>0</v>
      </c>
      <c r="I3973" s="3" t="s">
        <v>287</v>
      </c>
      <c r="K3973" s="2">
        <f>IF(ISNUMBER(SEARCH(Лист2!$B$4,F:F)),1,0)</f>
        <v>0</v>
      </c>
      <c r="L3973" s="14">
        <f>IF(ISNUMBER(SEARCH(Лист2!$B$5,I:I)),1,0)+K3973</f>
        <v>0</v>
      </c>
      <c r="M3973" s="3">
        <f ca="1">IF(AND(N3973&lt;&gt;N3972,ISNUMBER(SEARCH(Лист2!$B$6,N:N)),L3973=2),MAX($M$3:OFFSET(M3973,-1,0))+1,0)</f>
        <v>0</v>
      </c>
      <c r="N3973" s="3" t="s">
        <v>711</v>
      </c>
    </row>
    <row r="3974" spans="1:14" x14ac:dyDescent="0.25">
      <c r="A3974" s="1" t="s">
        <v>12764</v>
      </c>
      <c r="B3974" s="3" t="s">
        <v>7598</v>
      </c>
      <c r="C3974" s="2">
        <f ca="1">IF(ISNUMBER(SEARCH(Лист2!$B$4,D:D)),MAX($C$3:OFFSET(C3974,-1,0))+1,0)</f>
        <v>0</v>
      </c>
      <c r="E3974" s="9" t="str">
        <f t="shared" ca="1" si="74"/>
        <v/>
      </c>
      <c r="F3974" s="4" t="s">
        <v>15</v>
      </c>
      <c r="G3974" s="2">
        <f>IF(ISNUMBER(SEARCH(Лист2!$B$4,F:F)),1,0)</f>
        <v>0</v>
      </c>
      <c r="H3974" s="3">
        <f ca="1">IF(AND(I3974&lt;&gt;I3973,ISNUMBER(SEARCH(Лист2!$B$5,I:I)),G3974=1),MAX($H$3:OFFSET(H3974,-1,0))+1,0)</f>
        <v>0</v>
      </c>
      <c r="I3974" s="3" t="s">
        <v>287</v>
      </c>
      <c r="K3974" s="2">
        <f>IF(ISNUMBER(SEARCH(Лист2!$B$4,F:F)),1,0)</f>
        <v>0</v>
      </c>
      <c r="L3974" s="14">
        <f>IF(ISNUMBER(SEARCH(Лист2!$B$5,I:I)),1,0)+K3974</f>
        <v>0</v>
      </c>
      <c r="M3974" s="3">
        <f ca="1">IF(AND(N3974&lt;&gt;N3973,ISNUMBER(SEARCH(Лист2!$B$6,N:N)),L3974=2),MAX($M$3:OFFSET(M3974,-1,0))+1,0)</f>
        <v>0</v>
      </c>
      <c r="N3974" s="3" t="s">
        <v>713</v>
      </c>
    </row>
    <row r="3975" spans="1:14" x14ac:dyDescent="0.25">
      <c r="A3975" s="1" t="s">
        <v>12765</v>
      </c>
      <c r="B3975" s="3" t="s">
        <v>7599</v>
      </c>
      <c r="C3975" s="2">
        <f ca="1">IF(ISNUMBER(SEARCH(Лист2!$B$4,D:D)),MAX($C$3:OFFSET(C3975,-1,0))+1,0)</f>
        <v>0</v>
      </c>
      <c r="E3975" s="9" t="str">
        <f t="shared" ca="1" si="74"/>
        <v/>
      </c>
      <c r="F3975" s="4" t="s">
        <v>15</v>
      </c>
      <c r="G3975" s="2">
        <f>IF(ISNUMBER(SEARCH(Лист2!$B$4,F:F)),1,0)</f>
        <v>0</v>
      </c>
      <c r="H3975" s="3">
        <f ca="1">IF(AND(I3975&lt;&gt;I3974,ISNUMBER(SEARCH(Лист2!$B$5,I:I)),G3975=1),MAX($H$3:OFFSET(H3975,-1,0))+1,0)</f>
        <v>0</v>
      </c>
      <c r="I3975" s="3" t="s">
        <v>287</v>
      </c>
      <c r="K3975" s="2">
        <f>IF(ISNUMBER(SEARCH(Лист2!$B$4,F:F)),1,0)</f>
        <v>0</v>
      </c>
      <c r="L3975" s="14">
        <f>IF(ISNUMBER(SEARCH(Лист2!$B$5,I:I)),1,0)+K3975</f>
        <v>0</v>
      </c>
      <c r="M3975" s="3">
        <f ca="1">IF(AND(N3975&lt;&gt;N3974,ISNUMBER(SEARCH(Лист2!$B$6,N:N)),L3975=2),MAX($M$3:OFFSET(M3975,-1,0))+1,0)</f>
        <v>0</v>
      </c>
      <c r="N3975" s="3" t="s">
        <v>2493</v>
      </c>
    </row>
    <row r="3976" spans="1:14" x14ac:dyDescent="0.25">
      <c r="A3976" s="1" t="s">
        <v>12766</v>
      </c>
      <c r="B3976" s="3" t="s">
        <v>7600</v>
      </c>
      <c r="C3976" s="2">
        <f ca="1">IF(ISNUMBER(SEARCH(Лист2!$B$4,D:D)),MAX($C$3:OFFSET(C3976,-1,0))+1,0)</f>
        <v>0</v>
      </c>
      <c r="E3976" s="9" t="str">
        <f t="shared" ca="1" si="74"/>
        <v/>
      </c>
      <c r="F3976" s="4" t="s">
        <v>15</v>
      </c>
      <c r="G3976" s="2">
        <f>IF(ISNUMBER(SEARCH(Лист2!$B$4,F:F)),1,0)</f>
        <v>0</v>
      </c>
      <c r="H3976" s="3">
        <f ca="1">IF(AND(I3976&lt;&gt;I3975,ISNUMBER(SEARCH(Лист2!$B$5,I:I)),G3976=1),MAX($H$3:OFFSET(H3976,-1,0))+1,0)</f>
        <v>0</v>
      </c>
      <c r="I3976" s="3" t="s">
        <v>287</v>
      </c>
      <c r="K3976" s="2">
        <f>IF(ISNUMBER(SEARCH(Лист2!$B$4,F:F)),1,0)</f>
        <v>0</v>
      </c>
      <c r="L3976" s="14">
        <f>IF(ISNUMBER(SEARCH(Лист2!$B$5,I:I)),1,0)+K3976</f>
        <v>0</v>
      </c>
      <c r="M3976" s="3">
        <f ca="1">IF(AND(N3976&lt;&gt;N3975,ISNUMBER(SEARCH(Лист2!$B$6,N:N)),L3976=2),MAX($M$3:OFFSET(M3976,-1,0))+1,0)</f>
        <v>0</v>
      </c>
      <c r="N3976" s="3" t="s">
        <v>602</v>
      </c>
    </row>
    <row r="3977" spans="1:14" x14ac:dyDescent="0.25">
      <c r="A3977" s="1" t="s">
        <v>12767</v>
      </c>
      <c r="B3977" s="3" t="s">
        <v>7601</v>
      </c>
      <c r="C3977" s="2">
        <f ca="1">IF(ISNUMBER(SEARCH(Лист2!$B$4,D:D)),MAX($C$3:OFFSET(C3977,-1,0))+1,0)</f>
        <v>0</v>
      </c>
      <c r="E3977" s="9" t="str">
        <f t="shared" ca="1" si="74"/>
        <v/>
      </c>
      <c r="F3977" s="4" t="s">
        <v>15</v>
      </c>
      <c r="G3977" s="2">
        <f>IF(ISNUMBER(SEARCH(Лист2!$B$4,F:F)),1,0)</f>
        <v>0</v>
      </c>
      <c r="H3977" s="3">
        <f ca="1">IF(AND(I3977&lt;&gt;I3976,ISNUMBER(SEARCH(Лист2!$B$5,I:I)),G3977=1),MAX($H$3:OFFSET(H3977,-1,0))+1,0)</f>
        <v>0</v>
      </c>
      <c r="I3977" s="3" t="s">
        <v>287</v>
      </c>
      <c r="K3977" s="2">
        <f>IF(ISNUMBER(SEARCH(Лист2!$B$4,F:F)),1,0)</f>
        <v>0</v>
      </c>
      <c r="L3977" s="14">
        <f>IF(ISNUMBER(SEARCH(Лист2!$B$5,I:I)),1,0)+K3977</f>
        <v>0</v>
      </c>
      <c r="M3977" s="3">
        <f ca="1">IF(AND(N3977&lt;&gt;N3976,ISNUMBER(SEARCH(Лист2!$B$6,N:N)),L3977=2),MAX($M$3:OFFSET(M3977,-1,0))+1,0)</f>
        <v>0</v>
      </c>
      <c r="N3977" s="3" t="s">
        <v>715</v>
      </c>
    </row>
    <row r="3978" spans="1:14" x14ac:dyDescent="0.25">
      <c r="A3978" s="1" t="s">
        <v>12768</v>
      </c>
      <c r="B3978" s="3" t="s">
        <v>7602</v>
      </c>
      <c r="C3978" s="2">
        <f ca="1">IF(ISNUMBER(SEARCH(Лист2!$B$4,D:D)),MAX($C$3:OFFSET(C3978,-1,0))+1,0)</f>
        <v>0</v>
      </c>
      <c r="E3978" s="9" t="str">
        <f t="shared" ca="1" si="74"/>
        <v/>
      </c>
      <c r="F3978" s="4" t="s">
        <v>15</v>
      </c>
      <c r="G3978" s="2">
        <f>IF(ISNUMBER(SEARCH(Лист2!$B$4,F:F)),1,0)</f>
        <v>0</v>
      </c>
      <c r="H3978" s="3">
        <f ca="1">IF(AND(I3978&lt;&gt;I3977,ISNUMBER(SEARCH(Лист2!$B$5,I:I)),G3978=1),MAX($H$3:OFFSET(H3978,-1,0))+1,0)</f>
        <v>0</v>
      </c>
      <c r="I3978" s="3" t="s">
        <v>287</v>
      </c>
      <c r="K3978" s="2">
        <f>IF(ISNUMBER(SEARCH(Лист2!$B$4,F:F)),1,0)</f>
        <v>0</v>
      </c>
      <c r="L3978" s="14">
        <f>IF(ISNUMBER(SEARCH(Лист2!$B$5,I:I)),1,0)+K3978</f>
        <v>0</v>
      </c>
      <c r="M3978" s="3">
        <f ca="1">IF(AND(N3978&lt;&gt;N3977,ISNUMBER(SEARCH(Лист2!$B$6,N:N)),L3978=2),MAX($M$3:OFFSET(M3978,-1,0))+1,0)</f>
        <v>0</v>
      </c>
      <c r="N3978" s="3" t="s">
        <v>2499</v>
      </c>
    </row>
    <row r="3979" spans="1:14" x14ac:dyDescent="0.25">
      <c r="A3979" s="1" t="s">
        <v>12769</v>
      </c>
      <c r="B3979" s="3" t="s">
        <v>7603</v>
      </c>
      <c r="C3979" s="2">
        <f ca="1">IF(ISNUMBER(SEARCH(Лист2!$B$4,D:D)),MAX($C$3:OFFSET(C3979,-1,0))+1,0)</f>
        <v>0</v>
      </c>
      <c r="E3979" s="9" t="str">
        <f t="shared" ca="1" si="74"/>
        <v/>
      </c>
      <c r="F3979" s="4" t="s">
        <v>15</v>
      </c>
      <c r="G3979" s="2">
        <f>IF(ISNUMBER(SEARCH(Лист2!$B$4,F:F)),1,0)</f>
        <v>0</v>
      </c>
      <c r="H3979" s="3">
        <f ca="1">IF(AND(I3979&lt;&gt;I3978,ISNUMBER(SEARCH(Лист2!$B$5,I:I)),G3979=1),MAX($H$3:OFFSET(H3979,-1,0))+1,0)</f>
        <v>0</v>
      </c>
      <c r="I3979" s="3" t="s">
        <v>287</v>
      </c>
      <c r="K3979" s="2">
        <f>IF(ISNUMBER(SEARCH(Лист2!$B$4,F:F)),1,0)</f>
        <v>0</v>
      </c>
      <c r="L3979" s="14">
        <f>IF(ISNUMBER(SEARCH(Лист2!$B$5,I:I)),1,0)+K3979</f>
        <v>0</v>
      </c>
      <c r="M3979" s="3">
        <f ca="1">IF(AND(N3979&lt;&gt;N3978,ISNUMBER(SEARCH(Лист2!$B$6,N:N)),L3979=2),MAX($M$3:OFFSET(M3979,-1,0))+1,0)</f>
        <v>0</v>
      </c>
      <c r="N3979" s="3" t="s">
        <v>2089</v>
      </c>
    </row>
    <row r="3980" spans="1:14" x14ac:dyDescent="0.25">
      <c r="A3980" s="1" t="s">
        <v>12770</v>
      </c>
      <c r="B3980" s="3" t="s">
        <v>7604</v>
      </c>
      <c r="C3980" s="2">
        <f ca="1">IF(ISNUMBER(SEARCH(Лист2!$B$4,D:D)),MAX($C$3:OFFSET(C3980,-1,0))+1,0)</f>
        <v>0</v>
      </c>
      <c r="E3980" s="9" t="str">
        <f t="shared" ca="1" si="74"/>
        <v/>
      </c>
      <c r="F3980" s="4" t="s">
        <v>15</v>
      </c>
      <c r="G3980" s="2">
        <f>IF(ISNUMBER(SEARCH(Лист2!$B$4,F:F)),1,0)</f>
        <v>0</v>
      </c>
      <c r="H3980" s="3">
        <f ca="1">IF(AND(I3980&lt;&gt;I3979,ISNUMBER(SEARCH(Лист2!$B$5,I:I)),G3980=1),MAX($H$3:OFFSET(H3980,-1,0))+1,0)</f>
        <v>0</v>
      </c>
      <c r="I3980" s="3" t="s">
        <v>287</v>
      </c>
      <c r="K3980" s="2">
        <f>IF(ISNUMBER(SEARCH(Лист2!$B$4,F:F)),1,0)</f>
        <v>0</v>
      </c>
      <c r="L3980" s="14">
        <f>IF(ISNUMBER(SEARCH(Лист2!$B$5,I:I)),1,0)+K3980</f>
        <v>0</v>
      </c>
      <c r="M3980" s="3">
        <f ca="1">IF(AND(N3980&lt;&gt;N3979,ISNUMBER(SEARCH(Лист2!$B$6,N:N)),L3980=2),MAX($M$3:OFFSET(M3980,-1,0))+1,0)</f>
        <v>0</v>
      </c>
      <c r="N3980" s="3" t="s">
        <v>2507</v>
      </c>
    </row>
    <row r="3981" spans="1:14" x14ac:dyDescent="0.25">
      <c r="A3981" s="1" t="s">
        <v>12771</v>
      </c>
      <c r="B3981" s="3" t="s">
        <v>7605</v>
      </c>
      <c r="C3981" s="2">
        <f ca="1">IF(ISNUMBER(SEARCH(Лист2!$B$4,D:D)),MAX($C$3:OFFSET(C3981,-1,0))+1,0)</f>
        <v>0</v>
      </c>
      <c r="E3981" s="9" t="str">
        <f t="shared" ca="1" si="74"/>
        <v/>
      </c>
      <c r="F3981" s="4" t="s">
        <v>15</v>
      </c>
      <c r="G3981" s="2">
        <f>IF(ISNUMBER(SEARCH(Лист2!$B$4,F:F)),1,0)</f>
        <v>0</v>
      </c>
      <c r="H3981" s="3">
        <f ca="1">IF(AND(I3981&lt;&gt;I3980,ISNUMBER(SEARCH(Лист2!$B$5,I:I)),G3981=1),MAX($H$3:OFFSET(H3981,-1,0))+1,0)</f>
        <v>0</v>
      </c>
      <c r="I3981" s="3" t="s">
        <v>287</v>
      </c>
      <c r="K3981" s="2">
        <f>IF(ISNUMBER(SEARCH(Лист2!$B$4,F:F)),1,0)</f>
        <v>0</v>
      </c>
      <c r="L3981" s="14">
        <f>IF(ISNUMBER(SEARCH(Лист2!$B$5,I:I)),1,0)+K3981</f>
        <v>0</v>
      </c>
      <c r="M3981" s="3">
        <f ca="1">IF(AND(N3981&lt;&gt;N3980,ISNUMBER(SEARCH(Лист2!$B$6,N:N)),L3981=2),MAX($M$3:OFFSET(M3981,-1,0))+1,0)</f>
        <v>0</v>
      </c>
      <c r="N3981" s="3" t="s">
        <v>2508</v>
      </c>
    </row>
    <row r="3982" spans="1:14" x14ac:dyDescent="0.25">
      <c r="A3982" s="1" t="s">
        <v>12772</v>
      </c>
      <c r="B3982" s="3" t="s">
        <v>7606</v>
      </c>
      <c r="C3982" s="2">
        <f ca="1">IF(ISNUMBER(SEARCH(Лист2!$B$4,D:D)),MAX($C$3:OFFSET(C3982,-1,0))+1,0)</f>
        <v>0</v>
      </c>
      <c r="E3982" s="9" t="str">
        <f t="shared" ca="1" si="74"/>
        <v/>
      </c>
      <c r="F3982" s="4" t="s">
        <v>15</v>
      </c>
      <c r="G3982" s="2">
        <f>IF(ISNUMBER(SEARCH(Лист2!$B$4,F:F)),1,0)</f>
        <v>0</v>
      </c>
      <c r="H3982" s="3">
        <f ca="1">IF(AND(I3982&lt;&gt;I3981,ISNUMBER(SEARCH(Лист2!$B$5,I:I)),G3982=1),MAX($H$3:OFFSET(H3982,-1,0))+1,0)</f>
        <v>0</v>
      </c>
      <c r="I3982" s="3" t="s">
        <v>287</v>
      </c>
      <c r="K3982" s="2">
        <f>IF(ISNUMBER(SEARCH(Лист2!$B$4,F:F)),1,0)</f>
        <v>0</v>
      </c>
      <c r="L3982" s="14">
        <f>IF(ISNUMBER(SEARCH(Лист2!$B$5,I:I)),1,0)+K3982</f>
        <v>0</v>
      </c>
      <c r="M3982" s="3">
        <f ca="1">IF(AND(N3982&lt;&gt;N3981,ISNUMBER(SEARCH(Лист2!$B$6,N:N)),L3982=2),MAX($M$3:OFFSET(M3982,-1,0))+1,0)</f>
        <v>0</v>
      </c>
      <c r="N3982" s="3" t="s">
        <v>2509</v>
      </c>
    </row>
    <row r="3983" spans="1:14" x14ac:dyDescent="0.25">
      <c r="A3983" s="1" t="s">
        <v>12773</v>
      </c>
      <c r="B3983" s="3" t="s">
        <v>7607</v>
      </c>
      <c r="C3983" s="2">
        <f ca="1">IF(ISNUMBER(SEARCH(Лист2!$B$4,D:D)),MAX($C$3:OFFSET(C3983,-1,0))+1,0)</f>
        <v>0</v>
      </c>
      <c r="E3983" s="9" t="str">
        <f t="shared" ca="1" si="74"/>
        <v/>
      </c>
      <c r="F3983" s="4" t="s">
        <v>15</v>
      </c>
      <c r="G3983" s="2">
        <f>IF(ISNUMBER(SEARCH(Лист2!$B$4,F:F)),1,0)</f>
        <v>0</v>
      </c>
      <c r="H3983" s="3">
        <f ca="1">IF(AND(I3983&lt;&gt;I3982,ISNUMBER(SEARCH(Лист2!$B$5,I:I)),G3983=1),MAX($H$3:OFFSET(H3983,-1,0))+1,0)</f>
        <v>0</v>
      </c>
      <c r="I3983" s="3" t="s">
        <v>288</v>
      </c>
      <c r="K3983" s="2">
        <f>IF(ISNUMBER(SEARCH(Лист2!$B$4,F:F)),1,0)</f>
        <v>0</v>
      </c>
      <c r="L3983" s="14">
        <f>IF(ISNUMBER(SEARCH(Лист2!$B$5,I:I)),1,0)+K3983</f>
        <v>0</v>
      </c>
      <c r="M3983" s="3">
        <f ca="1">IF(AND(N3983&lt;&gt;N3982,ISNUMBER(SEARCH(Лист2!$B$6,N:N)),L3983=2),MAX($M$3:OFFSET(M3983,-1,0))+1,0)</f>
        <v>0</v>
      </c>
      <c r="N3983" s="3" t="s">
        <v>711</v>
      </c>
    </row>
    <row r="3984" spans="1:14" x14ac:dyDescent="0.25">
      <c r="A3984" s="1" t="s">
        <v>12774</v>
      </c>
      <c r="B3984" s="3" t="s">
        <v>7608</v>
      </c>
      <c r="C3984" s="2">
        <f ca="1">IF(ISNUMBER(SEARCH(Лист2!$B$4,D:D)),MAX($C$3:OFFSET(C3984,-1,0))+1,0)</f>
        <v>0</v>
      </c>
      <c r="E3984" s="9" t="str">
        <f t="shared" ca="1" si="74"/>
        <v/>
      </c>
      <c r="F3984" s="4" t="s">
        <v>15</v>
      </c>
      <c r="G3984" s="2">
        <f>IF(ISNUMBER(SEARCH(Лист2!$B$4,F:F)),1,0)</f>
        <v>0</v>
      </c>
      <c r="H3984" s="3">
        <f ca="1">IF(AND(I3984&lt;&gt;I3983,ISNUMBER(SEARCH(Лист2!$B$5,I:I)),G3984=1),MAX($H$3:OFFSET(H3984,-1,0))+1,0)</f>
        <v>0</v>
      </c>
      <c r="I3984" s="3" t="s">
        <v>288</v>
      </c>
      <c r="K3984" s="2">
        <f>IF(ISNUMBER(SEARCH(Лист2!$B$4,F:F)),1,0)</f>
        <v>0</v>
      </c>
      <c r="L3984" s="14">
        <f>IF(ISNUMBER(SEARCH(Лист2!$B$5,I:I)),1,0)+K3984</f>
        <v>0</v>
      </c>
      <c r="M3984" s="3">
        <f ca="1">IF(AND(N3984&lt;&gt;N3983,ISNUMBER(SEARCH(Лист2!$B$6,N:N)),L3984=2),MAX($M$3:OFFSET(M3984,-1,0))+1,0)</f>
        <v>0</v>
      </c>
      <c r="N3984" s="3" t="s">
        <v>713</v>
      </c>
    </row>
    <row r="3985" spans="1:14" x14ac:dyDescent="0.25">
      <c r="A3985" s="1" t="s">
        <v>12775</v>
      </c>
      <c r="B3985" s="3" t="s">
        <v>7609</v>
      </c>
      <c r="C3985" s="2">
        <f ca="1">IF(ISNUMBER(SEARCH(Лист2!$B$4,D:D)),MAX($C$3:OFFSET(C3985,-1,0))+1,0)</f>
        <v>0</v>
      </c>
      <c r="E3985" s="9" t="str">
        <f t="shared" ca="1" si="74"/>
        <v/>
      </c>
      <c r="F3985" s="4" t="s">
        <v>15</v>
      </c>
      <c r="G3985" s="2">
        <f>IF(ISNUMBER(SEARCH(Лист2!$B$4,F:F)),1,0)</f>
        <v>0</v>
      </c>
      <c r="H3985" s="3">
        <f ca="1">IF(AND(I3985&lt;&gt;I3984,ISNUMBER(SEARCH(Лист2!$B$5,I:I)),G3985=1),MAX($H$3:OFFSET(H3985,-1,0))+1,0)</f>
        <v>0</v>
      </c>
      <c r="I3985" s="3" t="s">
        <v>288</v>
      </c>
      <c r="K3985" s="2">
        <f>IF(ISNUMBER(SEARCH(Лист2!$B$4,F:F)),1,0)</f>
        <v>0</v>
      </c>
      <c r="L3985" s="14">
        <f>IF(ISNUMBER(SEARCH(Лист2!$B$5,I:I)),1,0)+K3985</f>
        <v>0</v>
      </c>
      <c r="M3985" s="3">
        <f ca="1">IF(AND(N3985&lt;&gt;N3984,ISNUMBER(SEARCH(Лист2!$B$6,N:N)),L3985=2),MAX($M$3:OFFSET(M3985,-1,0))+1,0)</f>
        <v>0</v>
      </c>
      <c r="N3985" s="3" t="s">
        <v>602</v>
      </c>
    </row>
    <row r="3986" spans="1:14" x14ac:dyDescent="0.25">
      <c r="A3986" s="1" t="s">
        <v>12776</v>
      </c>
      <c r="B3986" s="3" t="s">
        <v>7610</v>
      </c>
      <c r="C3986" s="2">
        <f ca="1">IF(ISNUMBER(SEARCH(Лист2!$B$4,D:D)),MAX($C$3:OFFSET(C3986,-1,0))+1,0)</f>
        <v>0</v>
      </c>
      <c r="E3986" s="9" t="str">
        <f t="shared" ca="1" si="74"/>
        <v/>
      </c>
      <c r="F3986" s="4" t="s">
        <v>15</v>
      </c>
      <c r="G3986" s="2">
        <f>IF(ISNUMBER(SEARCH(Лист2!$B$4,F:F)),1,0)</f>
        <v>0</v>
      </c>
      <c r="H3986" s="3">
        <f ca="1">IF(AND(I3986&lt;&gt;I3985,ISNUMBER(SEARCH(Лист2!$B$5,I:I)),G3986=1),MAX($H$3:OFFSET(H3986,-1,0))+1,0)</f>
        <v>0</v>
      </c>
      <c r="I3986" s="3" t="s">
        <v>288</v>
      </c>
      <c r="K3986" s="2">
        <f>IF(ISNUMBER(SEARCH(Лист2!$B$4,F:F)),1,0)</f>
        <v>0</v>
      </c>
      <c r="L3986" s="14">
        <f>IF(ISNUMBER(SEARCH(Лист2!$B$5,I:I)),1,0)+K3986</f>
        <v>0</v>
      </c>
      <c r="M3986" s="3">
        <f ca="1">IF(AND(N3986&lt;&gt;N3985,ISNUMBER(SEARCH(Лист2!$B$6,N:N)),L3986=2),MAX($M$3:OFFSET(M3986,-1,0))+1,0)</f>
        <v>0</v>
      </c>
      <c r="N3986" s="3" t="s">
        <v>715</v>
      </c>
    </row>
    <row r="3987" spans="1:14" x14ac:dyDescent="0.25">
      <c r="A3987" s="1" t="s">
        <v>12777</v>
      </c>
      <c r="B3987" s="3" t="s">
        <v>7611</v>
      </c>
      <c r="C3987" s="2">
        <f ca="1">IF(ISNUMBER(SEARCH(Лист2!$B$4,D:D)),MAX($C$3:OFFSET(C3987,-1,0))+1,0)</f>
        <v>0</v>
      </c>
      <c r="E3987" s="9" t="str">
        <f t="shared" ca="1" si="74"/>
        <v/>
      </c>
      <c r="F3987" s="4" t="s">
        <v>15</v>
      </c>
      <c r="G3987" s="2">
        <f>IF(ISNUMBER(SEARCH(Лист2!$B$4,F:F)),1,0)</f>
        <v>0</v>
      </c>
      <c r="H3987" s="3">
        <f ca="1">IF(AND(I3987&lt;&gt;I3986,ISNUMBER(SEARCH(Лист2!$B$5,I:I)),G3987=1),MAX($H$3:OFFSET(H3987,-1,0))+1,0)</f>
        <v>0</v>
      </c>
      <c r="I3987" s="3" t="s">
        <v>288</v>
      </c>
      <c r="K3987" s="2">
        <f>IF(ISNUMBER(SEARCH(Лист2!$B$4,F:F)),1,0)</f>
        <v>0</v>
      </c>
      <c r="L3987" s="14">
        <f>IF(ISNUMBER(SEARCH(Лист2!$B$5,I:I)),1,0)+K3987</f>
        <v>0</v>
      </c>
      <c r="M3987" s="3">
        <f ca="1">IF(AND(N3987&lt;&gt;N3986,ISNUMBER(SEARCH(Лист2!$B$6,N:N)),L3987=2),MAX($M$3:OFFSET(M3987,-1,0))+1,0)</f>
        <v>0</v>
      </c>
      <c r="N3987" s="3" t="s">
        <v>2499</v>
      </c>
    </row>
    <row r="3988" spans="1:14" x14ac:dyDescent="0.25">
      <c r="A3988" s="1" t="s">
        <v>12778</v>
      </c>
      <c r="B3988" s="3" t="s">
        <v>7612</v>
      </c>
      <c r="C3988" s="2">
        <f ca="1">IF(ISNUMBER(SEARCH(Лист2!$B$4,D:D)),MAX($C$3:OFFSET(C3988,-1,0))+1,0)</f>
        <v>0</v>
      </c>
      <c r="E3988" s="9" t="str">
        <f t="shared" ca="1" si="74"/>
        <v/>
      </c>
      <c r="F3988" s="4" t="s">
        <v>15</v>
      </c>
      <c r="G3988" s="2">
        <f>IF(ISNUMBER(SEARCH(Лист2!$B$4,F:F)),1,0)</f>
        <v>0</v>
      </c>
      <c r="H3988" s="3">
        <f ca="1">IF(AND(I3988&lt;&gt;I3987,ISNUMBER(SEARCH(Лист2!$B$5,I:I)),G3988=1),MAX($H$3:OFFSET(H3988,-1,0))+1,0)</f>
        <v>0</v>
      </c>
      <c r="I3988" s="3" t="s">
        <v>288</v>
      </c>
      <c r="K3988" s="2">
        <f>IF(ISNUMBER(SEARCH(Лист2!$B$4,F:F)),1,0)</f>
        <v>0</v>
      </c>
      <c r="L3988" s="14">
        <f>IF(ISNUMBER(SEARCH(Лист2!$B$5,I:I)),1,0)+K3988</f>
        <v>0</v>
      </c>
      <c r="M3988" s="3">
        <f ca="1">IF(AND(N3988&lt;&gt;N3987,ISNUMBER(SEARCH(Лист2!$B$6,N:N)),L3988=2),MAX($M$3:OFFSET(M3988,-1,0))+1,0)</f>
        <v>0</v>
      </c>
      <c r="N3988" s="3" t="s">
        <v>2089</v>
      </c>
    </row>
    <row r="3989" spans="1:14" x14ac:dyDescent="0.25">
      <c r="A3989" s="1" t="s">
        <v>12779</v>
      </c>
      <c r="B3989" s="3" t="s">
        <v>7613</v>
      </c>
      <c r="C3989" s="2">
        <f ca="1">IF(ISNUMBER(SEARCH(Лист2!$B$4,D:D)),MAX($C$3:OFFSET(C3989,-1,0))+1,0)</f>
        <v>0</v>
      </c>
      <c r="E3989" s="9" t="str">
        <f t="shared" ca="1" si="74"/>
        <v/>
      </c>
      <c r="F3989" s="4" t="s">
        <v>15</v>
      </c>
      <c r="G3989" s="2">
        <f>IF(ISNUMBER(SEARCH(Лист2!$B$4,F:F)),1,0)</f>
        <v>0</v>
      </c>
      <c r="H3989" s="3">
        <f ca="1">IF(AND(I3989&lt;&gt;I3988,ISNUMBER(SEARCH(Лист2!$B$5,I:I)),G3989=1),MAX($H$3:OFFSET(H3989,-1,0))+1,0)</f>
        <v>0</v>
      </c>
      <c r="I3989" s="3" t="s">
        <v>288</v>
      </c>
      <c r="K3989" s="2">
        <f>IF(ISNUMBER(SEARCH(Лист2!$B$4,F:F)),1,0)</f>
        <v>0</v>
      </c>
      <c r="L3989" s="14">
        <f>IF(ISNUMBER(SEARCH(Лист2!$B$5,I:I)),1,0)+K3989</f>
        <v>0</v>
      </c>
      <c r="M3989" s="3">
        <f ca="1">IF(AND(N3989&lt;&gt;N3988,ISNUMBER(SEARCH(Лист2!$B$6,N:N)),L3989=2),MAX($M$3:OFFSET(M3989,-1,0))+1,0)</f>
        <v>0</v>
      </c>
      <c r="N3989" s="3" t="s">
        <v>2510</v>
      </c>
    </row>
    <row r="3990" spans="1:14" x14ac:dyDescent="0.25">
      <c r="A3990" s="1" t="s">
        <v>12780</v>
      </c>
      <c r="B3990" s="3" t="s">
        <v>7614</v>
      </c>
      <c r="C3990" s="2">
        <f ca="1">IF(ISNUMBER(SEARCH(Лист2!$B$4,D:D)),MAX($C$3:OFFSET(C3990,-1,0))+1,0)</f>
        <v>0</v>
      </c>
      <c r="E3990" s="9" t="str">
        <f t="shared" ca="1" si="74"/>
        <v/>
      </c>
      <c r="F3990" s="4" t="s">
        <v>15</v>
      </c>
      <c r="G3990" s="2">
        <f>IF(ISNUMBER(SEARCH(Лист2!$B$4,F:F)),1,0)</f>
        <v>0</v>
      </c>
      <c r="H3990" s="3">
        <f ca="1">IF(AND(I3990&lt;&gt;I3989,ISNUMBER(SEARCH(Лист2!$B$5,I:I)),G3990=1),MAX($H$3:OFFSET(H3990,-1,0))+1,0)</f>
        <v>0</v>
      </c>
      <c r="I3990" s="3" t="s">
        <v>288</v>
      </c>
      <c r="K3990" s="2">
        <f>IF(ISNUMBER(SEARCH(Лист2!$B$4,F:F)),1,0)</f>
        <v>0</v>
      </c>
      <c r="L3990" s="14">
        <f>IF(ISNUMBER(SEARCH(Лист2!$B$5,I:I)),1,0)+K3990</f>
        <v>0</v>
      </c>
      <c r="M3990" s="3">
        <f ca="1">IF(AND(N3990&lt;&gt;N3989,ISNUMBER(SEARCH(Лист2!$B$6,N:N)),L3990=2),MAX($M$3:OFFSET(M3990,-1,0))+1,0)</f>
        <v>0</v>
      </c>
      <c r="N3990" s="3" t="s">
        <v>2511</v>
      </c>
    </row>
    <row r="3991" spans="1:14" x14ac:dyDescent="0.25">
      <c r="A3991" s="1" t="s">
        <v>12781</v>
      </c>
      <c r="B3991" s="3" t="s">
        <v>7615</v>
      </c>
      <c r="C3991" s="2">
        <f ca="1">IF(ISNUMBER(SEARCH(Лист2!$B$4,D:D)),MAX($C$3:OFFSET(C3991,-1,0))+1,0)</f>
        <v>0</v>
      </c>
      <c r="E3991" s="9" t="str">
        <f t="shared" ca="1" si="74"/>
        <v/>
      </c>
      <c r="F3991" s="4" t="s">
        <v>15</v>
      </c>
      <c r="G3991" s="2">
        <f>IF(ISNUMBER(SEARCH(Лист2!$B$4,F:F)),1,0)</f>
        <v>0</v>
      </c>
      <c r="H3991" s="3">
        <f ca="1">IF(AND(I3991&lt;&gt;I3990,ISNUMBER(SEARCH(Лист2!$B$5,I:I)),G3991=1),MAX($H$3:OFFSET(H3991,-1,0))+1,0)</f>
        <v>0</v>
      </c>
      <c r="I3991" s="3" t="s">
        <v>335</v>
      </c>
      <c r="K3991" s="2">
        <f>IF(ISNUMBER(SEARCH(Лист2!$B$4,F:F)),1,0)</f>
        <v>0</v>
      </c>
      <c r="L3991" s="14">
        <f>IF(ISNUMBER(SEARCH(Лист2!$B$5,I:I)),1,0)+K3991</f>
        <v>0</v>
      </c>
      <c r="M3991" s="3">
        <f ca="1">IF(AND(N3991&lt;&gt;N3990,ISNUMBER(SEARCH(Лист2!$B$6,N:N)),L3991=2),MAX($M$3:OFFSET(M3991,-1,0))+1,0)</f>
        <v>0</v>
      </c>
      <c r="N3991" s="3" t="s">
        <v>2512</v>
      </c>
    </row>
    <row r="3992" spans="1:14" x14ac:dyDescent="0.25">
      <c r="A3992" s="1" t="s">
        <v>12782</v>
      </c>
      <c r="B3992" s="3" t="s">
        <v>7616</v>
      </c>
      <c r="C3992" s="2">
        <f ca="1">IF(ISNUMBER(SEARCH(Лист2!$B$4,D:D)),MAX($C$3:OFFSET(C3992,-1,0))+1,0)</f>
        <v>0</v>
      </c>
      <c r="E3992" s="9" t="str">
        <f t="shared" ca="1" si="74"/>
        <v/>
      </c>
      <c r="F3992" s="4" t="s">
        <v>15</v>
      </c>
      <c r="G3992" s="2">
        <f>IF(ISNUMBER(SEARCH(Лист2!$B$4,F:F)),1,0)</f>
        <v>0</v>
      </c>
      <c r="H3992" s="3">
        <f ca="1">IF(AND(I3992&lt;&gt;I3991,ISNUMBER(SEARCH(Лист2!$B$5,I:I)),G3992=1),MAX($H$3:OFFSET(H3992,-1,0))+1,0)</f>
        <v>0</v>
      </c>
      <c r="I3992" s="3" t="s">
        <v>335</v>
      </c>
      <c r="K3992" s="2">
        <f>IF(ISNUMBER(SEARCH(Лист2!$B$4,F:F)),1,0)</f>
        <v>0</v>
      </c>
      <c r="L3992" s="14">
        <f>IF(ISNUMBER(SEARCH(Лист2!$B$5,I:I)),1,0)+K3992</f>
        <v>0</v>
      </c>
      <c r="M3992" s="3">
        <f ca="1">IF(AND(N3992&lt;&gt;N3991,ISNUMBER(SEARCH(Лист2!$B$6,N:N)),L3992=2),MAX($M$3:OFFSET(M3992,-1,0))+1,0)</f>
        <v>0</v>
      </c>
      <c r="N3992" s="3" t="s">
        <v>2513</v>
      </c>
    </row>
    <row r="3993" spans="1:14" x14ac:dyDescent="0.25">
      <c r="A3993" s="1" t="s">
        <v>12783</v>
      </c>
      <c r="B3993" s="3" t="s">
        <v>7617</v>
      </c>
      <c r="C3993" s="2">
        <f ca="1">IF(ISNUMBER(SEARCH(Лист2!$B$4,D:D)),MAX($C$3:OFFSET(C3993,-1,0))+1,0)</f>
        <v>0</v>
      </c>
      <c r="E3993" s="9" t="str">
        <f t="shared" ca="1" si="74"/>
        <v/>
      </c>
      <c r="F3993" s="4" t="s">
        <v>15</v>
      </c>
      <c r="G3993" s="2">
        <f>IF(ISNUMBER(SEARCH(Лист2!$B$4,F:F)),1,0)</f>
        <v>0</v>
      </c>
      <c r="H3993" s="3">
        <f ca="1">IF(AND(I3993&lt;&gt;I3992,ISNUMBER(SEARCH(Лист2!$B$5,I:I)),G3993=1),MAX($H$3:OFFSET(H3993,-1,0))+1,0)</f>
        <v>0</v>
      </c>
      <c r="I3993" s="3" t="s">
        <v>335</v>
      </c>
      <c r="K3993" s="2">
        <f>IF(ISNUMBER(SEARCH(Лист2!$B$4,F:F)),1,0)</f>
        <v>0</v>
      </c>
      <c r="L3993" s="14">
        <f>IF(ISNUMBER(SEARCH(Лист2!$B$5,I:I)),1,0)+K3993</f>
        <v>0</v>
      </c>
      <c r="M3993" s="3">
        <f ca="1">IF(AND(N3993&lt;&gt;N3992,ISNUMBER(SEARCH(Лист2!$B$6,N:N)),L3993=2),MAX($M$3:OFFSET(M3993,-1,0))+1,0)</f>
        <v>0</v>
      </c>
      <c r="N3993" s="3" t="s">
        <v>602</v>
      </c>
    </row>
    <row r="3994" spans="1:14" x14ac:dyDescent="0.25">
      <c r="A3994" s="1" t="s">
        <v>12784</v>
      </c>
      <c r="B3994" s="3" t="s">
        <v>7618</v>
      </c>
      <c r="C3994" s="2">
        <f ca="1">IF(ISNUMBER(SEARCH(Лист2!$B$4,D:D)),MAX($C$3:OFFSET(C3994,-1,0))+1,0)</f>
        <v>0</v>
      </c>
      <c r="E3994" s="9" t="str">
        <f t="shared" ca="1" si="74"/>
        <v/>
      </c>
      <c r="F3994" s="4" t="s">
        <v>15</v>
      </c>
      <c r="G3994" s="2">
        <f>IF(ISNUMBER(SEARCH(Лист2!$B$4,F:F)),1,0)</f>
        <v>0</v>
      </c>
      <c r="H3994" s="3">
        <f ca="1">IF(AND(I3994&lt;&gt;I3993,ISNUMBER(SEARCH(Лист2!$B$5,I:I)),G3994=1),MAX($H$3:OFFSET(H3994,-1,0))+1,0)</f>
        <v>0</v>
      </c>
      <c r="I3994" s="3" t="s">
        <v>335</v>
      </c>
      <c r="K3994" s="2">
        <f>IF(ISNUMBER(SEARCH(Лист2!$B$4,F:F)),1,0)</f>
        <v>0</v>
      </c>
      <c r="L3994" s="14">
        <f>IF(ISNUMBER(SEARCH(Лист2!$B$5,I:I)),1,0)+K3994</f>
        <v>0</v>
      </c>
      <c r="M3994" s="3">
        <f ca="1">IF(AND(N3994&lt;&gt;N3993,ISNUMBER(SEARCH(Лист2!$B$6,N:N)),L3994=2),MAX($M$3:OFFSET(M3994,-1,0))+1,0)</f>
        <v>0</v>
      </c>
      <c r="N3994" s="3" t="s">
        <v>2514</v>
      </c>
    </row>
    <row r="3995" spans="1:14" x14ac:dyDescent="0.25">
      <c r="A3995" s="1" t="s">
        <v>12785</v>
      </c>
      <c r="B3995" s="3" t="s">
        <v>7619</v>
      </c>
      <c r="C3995" s="2">
        <f ca="1">IF(ISNUMBER(SEARCH(Лист2!$B$4,D:D)),MAX($C$3:OFFSET(C3995,-1,0))+1,0)</f>
        <v>0</v>
      </c>
      <c r="E3995" s="9" t="str">
        <f t="shared" ca="1" si="74"/>
        <v/>
      </c>
      <c r="F3995" s="4" t="s">
        <v>15</v>
      </c>
      <c r="G3995" s="2">
        <f>IF(ISNUMBER(SEARCH(Лист2!$B$4,F:F)),1,0)</f>
        <v>0</v>
      </c>
      <c r="H3995" s="3">
        <f ca="1">IF(AND(I3995&lt;&gt;I3994,ISNUMBER(SEARCH(Лист2!$B$5,I:I)),G3995=1),MAX($H$3:OFFSET(H3995,-1,0))+1,0)</f>
        <v>0</v>
      </c>
      <c r="I3995" s="3" t="s">
        <v>335</v>
      </c>
      <c r="K3995" s="2">
        <f>IF(ISNUMBER(SEARCH(Лист2!$B$4,F:F)),1,0)</f>
        <v>0</v>
      </c>
      <c r="L3995" s="14">
        <f>IF(ISNUMBER(SEARCH(Лист2!$B$5,I:I)),1,0)+K3995</f>
        <v>0</v>
      </c>
      <c r="M3995" s="3">
        <f ca="1">IF(AND(N3995&lt;&gt;N3994,ISNUMBER(SEARCH(Лист2!$B$6,N:N)),L3995=2),MAX($M$3:OFFSET(M3995,-1,0))+1,0)</f>
        <v>0</v>
      </c>
      <c r="N3995" s="3" t="s">
        <v>2515</v>
      </c>
    </row>
    <row r="3996" spans="1:14" x14ac:dyDescent="0.25">
      <c r="A3996" s="1" t="s">
        <v>12786</v>
      </c>
      <c r="B3996" s="3" t="s">
        <v>7620</v>
      </c>
      <c r="C3996" s="2">
        <f ca="1">IF(ISNUMBER(SEARCH(Лист2!$B$4,D:D)),MAX($C$3:OFFSET(C3996,-1,0))+1,0)</f>
        <v>0</v>
      </c>
      <c r="E3996" s="9" t="str">
        <f t="shared" ca="1" si="74"/>
        <v/>
      </c>
      <c r="F3996" s="4" t="s">
        <v>15</v>
      </c>
      <c r="G3996" s="2">
        <f>IF(ISNUMBER(SEARCH(Лист2!$B$4,F:F)),1,0)</f>
        <v>0</v>
      </c>
      <c r="H3996" s="3">
        <f ca="1">IF(AND(I3996&lt;&gt;I3995,ISNUMBER(SEARCH(Лист2!$B$5,I:I)),G3996=1),MAX($H$3:OFFSET(H3996,-1,0))+1,0)</f>
        <v>0</v>
      </c>
      <c r="I3996" s="3" t="s">
        <v>335</v>
      </c>
      <c r="K3996" s="2">
        <f>IF(ISNUMBER(SEARCH(Лист2!$B$4,F:F)),1,0)</f>
        <v>0</v>
      </c>
      <c r="L3996" s="14">
        <f>IF(ISNUMBER(SEARCH(Лист2!$B$5,I:I)),1,0)+K3996</f>
        <v>0</v>
      </c>
      <c r="M3996" s="3">
        <f ca="1">IF(AND(N3996&lt;&gt;N3995,ISNUMBER(SEARCH(Лист2!$B$6,N:N)),L3996=2),MAX($M$3:OFFSET(M3996,-1,0))+1,0)</f>
        <v>0</v>
      </c>
      <c r="N3996" s="3" t="s">
        <v>2516</v>
      </c>
    </row>
    <row r="3997" spans="1:14" x14ac:dyDescent="0.25">
      <c r="A3997" s="1" t="s">
        <v>12787</v>
      </c>
      <c r="B3997" s="3" t="s">
        <v>7621</v>
      </c>
      <c r="C3997" s="2">
        <f ca="1">IF(ISNUMBER(SEARCH(Лист2!$B$4,D:D)),MAX($C$3:OFFSET(C3997,-1,0))+1,0)</f>
        <v>0</v>
      </c>
      <c r="E3997" s="9" t="str">
        <f t="shared" ca="1" si="74"/>
        <v/>
      </c>
      <c r="F3997" s="4" t="s">
        <v>15</v>
      </c>
      <c r="G3997" s="2">
        <f>IF(ISNUMBER(SEARCH(Лист2!$B$4,F:F)),1,0)</f>
        <v>0</v>
      </c>
      <c r="H3997" s="3">
        <f ca="1">IF(AND(I3997&lt;&gt;I3996,ISNUMBER(SEARCH(Лист2!$B$5,I:I)),G3997=1),MAX($H$3:OFFSET(H3997,-1,0))+1,0)</f>
        <v>0</v>
      </c>
      <c r="I3997" s="3" t="s">
        <v>335</v>
      </c>
      <c r="K3997" s="2">
        <f>IF(ISNUMBER(SEARCH(Лист2!$B$4,F:F)),1,0)</f>
        <v>0</v>
      </c>
      <c r="L3997" s="14">
        <f>IF(ISNUMBER(SEARCH(Лист2!$B$5,I:I)),1,0)+K3997</f>
        <v>0</v>
      </c>
      <c r="M3997" s="3">
        <f ca="1">IF(AND(N3997&lt;&gt;N3996,ISNUMBER(SEARCH(Лист2!$B$6,N:N)),L3997=2),MAX($M$3:OFFSET(M3997,-1,0))+1,0)</f>
        <v>0</v>
      </c>
      <c r="N3997" s="3" t="s">
        <v>2517</v>
      </c>
    </row>
    <row r="3998" spans="1:14" x14ac:dyDescent="0.25">
      <c r="A3998" s="1" t="s">
        <v>12788</v>
      </c>
      <c r="B3998" s="3" t="s">
        <v>7622</v>
      </c>
      <c r="C3998" s="2">
        <f ca="1">IF(ISNUMBER(SEARCH(Лист2!$B$4,D:D)),MAX($C$3:OFFSET(C3998,-1,0))+1,0)</f>
        <v>0</v>
      </c>
      <c r="E3998" s="9" t="str">
        <f t="shared" ca="1" si="74"/>
        <v/>
      </c>
      <c r="F3998" s="4" t="s">
        <v>15</v>
      </c>
      <c r="G3998" s="2">
        <f>IF(ISNUMBER(SEARCH(Лист2!$B$4,F:F)),1,0)</f>
        <v>0</v>
      </c>
      <c r="H3998" s="3">
        <f ca="1">IF(AND(I3998&lt;&gt;I3997,ISNUMBER(SEARCH(Лист2!$B$5,I:I)),G3998=1),MAX($H$3:OFFSET(H3998,-1,0))+1,0)</f>
        <v>0</v>
      </c>
      <c r="I3998" s="3" t="s">
        <v>335</v>
      </c>
      <c r="K3998" s="2">
        <f>IF(ISNUMBER(SEARCH(Лист2!$B$4,F:F)),1,0)</f>
        <v>0</v>
      </c>
      <c r="L3998" s="14">
        <f>IF(ISNUMBER(SEARCH(Лист2!$B$5,I:I)),1,0)+K3998</f>
        <v>0</v>
      </c>
      <c r="M3998" s="3">
        <f ca="1">IF(AND(N3998&lt;&gt;N3997,ISNUMBER(SEARCH(Лист2!$B$6,N:N)),L3998=2),MAX($M$3:OFFSET(M3998,-1,0))+1,0)</f>
        <v>0</v>
      </c>
      <c r="N3998" s="3" t="s">
        <v>2518</v>
      </c>
    </row>
    <row r="3999" spans="1:14" x14ac:dyDescent="0.25">
      <c r="A3999" s="1" t="s">
        <v>12789</v>
      </c>
      <c r="B3999" s="3" t="s">
        <v>7623</v>
      </c>
      <c r="C3999" s="2">
        <f ca="1">IF(ISNUMBER(SEARCH(Лист2!$B$4,D:D)),MAX($C$3:OFFSET(C3999,-1,0))+1,0)</f>
        <v>0</v>
      </c>
      <c r="E3999" s="9" t="str">
        <f t="shared" ca="1" si="74"/>
        <v/>
      </c>
      <c r="F3999" s="4" t="s">
        <v>15</v>
      </c>
      <c r="G3999" s="2">
        <f>IF(ISNUMBER(SEARCH(Лист2!$B$4,F:F)),1,0)</f>
        <v>0</v>
      </c>
      <c r="H3999" s="3">
        <f ca="1">IF(AND(I3999&lt;&gt;I3998,ISNUMBER(SEARCH(Лист2!$B$5,I:I)),G3999=1),MAX($H$3:OFFSET(H3999,-1,0))+1,0)</f>
        <v>0</v>
      </c>
      <c r="I3999" s="3" t="s">
        <v>336</v>
      </c>
      <c r="K3999" s="2">
        <f>IF(ISNUMBER(SEARCH(Лист2!$B$4,F:F)),1,0)</f>
        <v>0</v>
      </c>
      <c r="L3999" s="14">
        <f>IF(ISNUMBER(SEARCH(Лист2!$B$5,I:I)),1,0)+K3999</f>
        <v>0</v>
      </c>
      <c r="M3999" s="3">
        <f ca="1">IF(AND(N3999&lt;&gt;N3998,ISNUMBER(SEARCH(Лист2!$B$6,N:N)),L3999=2),MAX($M$3:OFFSET(M3999,-1,0))+1,0)</f>
        <v>0</v>
      </c>
      <c r="N3999" s="3" t="s">
        <v>2512</v>
      </c>
    </row>
    <row r="4000" spans="1:14" x14ac:dyDescent="0.25">
      <c r="A4000" s="1" t="s">
        <v>12790</v>
      </c>
      <c r="B4000" s="3" t="s">
        <v>7624</v>
      </c>
      <c r="C4000" s="2">
        <f ca="1">IF(ISNUMBER(SEARCH(Лист2!$B$4,D:D)),MAX($C$3:OFFSET(C4000,-1,0))+1,0)</f>
        <v>0</v>
      </c>
      <c r="E4000" s="9" t="str">
        <f t="shared" ca="1" si="74"/>
        <v/>
      </c>
      <c r="F4000" s="4" t="s">
        <v>15</v>
      </c>
      <c r="G4000" s="2">
        <f>IF(ISNUMBER(SEARCH(Лист2!$B$4,F:F)),1,0)</f>
        <v>0</v>
      </c>
      <c r="H4000" s="3">
        <f ca="1">IF(AND(I4000&lt;&gt;I3999,ISNUMBER(SEARCH(Лист2!$B$5,I:I)),G4000=1),MAX($H$3:OFFSET(H4000,-1,0))+1,0)</f>
        <v>0</v>
      </c>
      <c r="I4000" s="3" t="s">
        <v>336</v>
      </c>
      <c r="K4000" s="2">
        <f>IF(ISNUMBER(SEARCH(Лист2!$B$4,F:F)),1,0)</f>
        <v>0</v>
      </c>
      <c r="L4000" s="14">
        <f>IF(ISNUMBER(SEARCH(Лист2!$B$5,I:I)),1,0)+K4000</f>
        <v>0</v>
      </c>
      <c r="M4000" s="3">
        <f ca="1">IF(AND(N4000&lt;&gt;N3999,ISNUMBER(SEARCH(Лист2!$B$6,N:N)),L4000=2),MAX($M$3:OFFSET(M4000,-1,0))+1,0)</f>
        <v>0</v>
      </c>
      <c r="N4000" s="3" t="s">
        <v>2513</v>
      </c>
    </row>
    <row r="4001" spans="1:14" x14ac:dyDescent="0.25">
      <c r="A4001" s="1" t="s">
        <v>12791</v>
      </c>
      <c r="B4001" s="3" t="s">
        <v>7625</v>
      </c>
      <c r="C4001" s="2">
        <f ca="1">IF(ISNUMBER(SEARCH(Лист2!$B$4,D:D)),MAX($C$3:OFFSET(C4001,-1,0))+1,0)</f>
        <v>0</v>
      </c>
      <c r="E4001" s="9" t="str">
        <f t="shared" ca="1" si="74"/>
        <v/>
      </c>
      <c r="F4001" s="4" t="s">
        <v>15</v>
      </c>
      <c r="G4001" s="2">
        <f>IF(ISNUMBER(SEARCH(Лист2!$B$4,F:F)),1,0)</f>
        <v>0</v>
      </c>
      <c r="H4001" s="3">
        <f ca="1">IF(AND(I4001&lt;&gt;I4000,ISNUMBER(SEARCH(Лист2!$B$5,I:I)),G4001=1),MAX($H$3:OFFSET(H4001,-1,0))+1,0)</f>
        <v>0</v>
      </c>
      <c r="I4001" s="3" t="s">
        <v>336</v>
      </c>
      <c r="K4001" s="2">
        <f>IF(ISNUMBER(SEARCH(Лист2!$B$4,F:F)),1,0)</f>
        <v>0</v>
      </c>
      <c r="L4001" s="14">
        <f>IF(ISNUMBER(SEARCH(Лист2!$B$5,I:I)),1,0)+K4001</f>
        <v>0</v>
      </c>
      <c r="M4001" s="3">
        <f ca="1">IF(AND(N4001&lt;&gt;N4000,ISNUMBER(SEARCH(Лист2!$B$6,N:N)),L4001=2),MAX($M$3:OFFSET(M4001,-1,0))+1,0)</f>
        <v>0</v>
      </c>
      <c r="N4001" s="3" t="s">
        <v>602</v>
      </c>
    </row>
    <row r="4002" spans="1:14" x14ac:dyDescent="0.25">
      <c r="A4002" s="1" t="s">
        <v>12792</v>
      </c>
      <c r="B4002" s="3" t="s">
        <v>7626</v>
      </c>
      <c r="C4002" s="2">
        <f ca="1">IF(ISNUMBER(SEARCH(Лист2!$B$4,D:D)),MAX($C$3:OFFSET(C4002,-1,0))+1,0)</f>
        <v>0</v>
      </c>
      <c r="E4002" s="9" t="str">
        <f t="shared" ca="1" si="74"/>
        <v/>
      </c>
      <c r="F4002" s="4" t="s">
        <v>15</v>
      </c>
      <c r="G4002" s="2">
        <f>IF(ISNUMBER(SEARCH(Лист2!$B$4,F:F)),1,0)</f>
        <v>0</v>
      </c>
      <c r="H4002" s="3">
        <f ca="1">IF(AND(I4002&lt;&gt;I4001,ISNUMBER(SEARCH(Лист2!$B$5,I:I)),G4002=1),MAX($H$3:OFFSET(H4002,-1,0))+1,0)</f>
        <v>0</v>
      </c>
      <c r="I4002" s="3" t="s">
        <v>336</v>
      </c>
      <c r="K4002" s="2">
        <f>IF(ISNUMBER(SEARCH(Лист2!$B$4,F:F)),1,0)</f>
        <v>0</v>
      </c>
      <c r="L4002" s="14">
        <f>IF(ISNUMBER(SEARCH(Лист2!$B$5,I:I)),1,0)+K4002</f>
        <v>0</v>
      </c>
      <c r="M4002" s="3">
        <f ca="1">IF(AND(N4002&lt;&gt;N4001,ISNUMBER(SEARCH(Лист2!$B$6,N:N)),L4002=2),MAX($M$3:OFFSET(M4002,-1,0))+1,0)</f>
        <v>0</v>
      </c>
      <c r="N4002" s="3" t="s">
        <v>2514</v>
      </c>
    </row>
    <row r="4003" spans="1:14" x14ac:dyDescent="0.25">
      <c r="A4003" s="1" t="s">
        <v>12793</v>
      </c>
      <c r="B4003" s="3" t="s">
        <v>7627</v>
      </c>
      <c r="C4003" s="2">
        <f ca="1">IF(ISNUMBER(SEARCH(Лист2!$B$4,D:D)),MAX($C$3:OFFSET(C4003,-1,0))+1,0)</f>
        <v>0</v>
      </c>
      <c r="E4003" s="9" t="str">
        <f t="shared" ca="1" si="74"/>
        <v/>
      </c>
      <c r="F4003" s="4" t="s">
        <v>15</v>
      </c>
      <c r="G4003" s="2">
        <f>IF(ISNUMBER(SEARCH(Лист2!$B$4,F:F)),1,0)</f>
        <v>0</v>
      </c>
      <c r="H4003" s="3">
        <f ca="1">IF(AND(I4003&lt;&gt;I4002,ISNUMBER(SEARCH(Лист2!$B$5,I:I)),G4003=1),MAX($H$3:OFFSET(H4003,-1,0))+1,0)</f>
        <v>0</v>
      </c>
      <c r="I4003" s="3" t="s">
        <v>336</v>
      </c>
      <c r="K4003" s="2">
        <f>IF(ISNUMBER(SEARCH(Лист2!$B$4,F:F)),1,0)</f>
        <v>0</v>
      </c>
      <c r="L4003" s="14">
        <f>IF(ISNUMBER(SEARCH(Лист2!$B$5,I:I)),1,0)+K4003</f>
        <v>0</v>
      </c>
      <c r="M4003" s="3">
        <f ca="1">IF(AND(N4003&lt;&gt;N4002,ISNUMBER(SEARCH(Лист2!$B$6,N:N)),L4003=2),MAX($M$3:OFFSET(M4003,-1,0))+1,0)</f>
        <v>0</v>
      </c>
      <c r="N4003" s="3" t="s">
        <v>2515</v>
      </c>
    </row>
    <row r="4004" spans="1:14" x14ac:dyDescent="0.25">
      <c r="A4004" s="1" t="s">
        <v>12794</v>
      </c>
      <c r="B4004" s="3" t="s">
        <v>7628</v>
      </c>
      <c r="C4004" s="2">
        <f ca="1">IF(ISNUMBER(SEARCH(Лист2!$B$4,D:D)),MAX($C$3:OFFSET(C4004,-1,0))+1,0)</f>
        <v>0</v>
      </c>
      <c r="E4004" s="9" t="str">
        <f t="shared" ca="1" si="74"/>
        <v/>
      </c>
      <c r="F4004" s="4" t="s">
        <v>15</v>
      </c>
      <c r="G4004" s="2">
        <f>IF(ISNUMBER(SEARCH(Лист2!$B$4,F:F)),1,0)</f>
        <v>0</v>
      </c>
      <c r="H4004" s="3">
        <f ca="1">IF(AND(I4004&lt;&gt;I4003,ISNUMBER(SEARCH(Лист2!$B$5,I:I)),G4004=1),MAX($H$3:OFFSET(H4004,-1,0))+1,0)</f>
        <v>0</v>
      </c>
      <c r="I4004" s="3" t="s">
        <v>336</v>
      </c>
      <c r="K4004" s="2">
        <f>IF(ISNUMBER(SEARCH(Лист2!$B$4,F:F)),1,0)</f>
        <v>0</v>
      </c>
      <c r="L4004" s="14">
        <f>IF(ISNUMBER(SEARCH(Лист2!$B$5,I:I)),1,0)+K4004</f>
        <v>0</v>
      </c>
      <c r="M4004" s="3">
        <f ca="1">IF(AND(N4004&lt;&gt;N4003,ISNUMBER(SEARCH(Лист2!$B$6,N:N)),L4004=2),MAX($M$3:OFFSET(M4004,-1,0))+1,0)</f>
        <v>0</v>
      </c>
      <c r="N4004" s="3" t="s">
        <v>2516</v>
      </c>
    </row>
    <row r="4005" spans="1:14" x14ac:dyDescent="0.25">
      <c r="A4005" s="1" t="s">
        <v>12795</v>
      </c>
      <c r="B4005" s="3" t="s">
        <v>7629</v>
      </c>
      <c r="C4005" s="2">
        <f ca="1">IF(ISNUMBER(SEARCH(Лист2!$B$4,D:D)),MAX($C$3:OFFSET(C4005,-1,0))+1,0)</f>
        <v>0</v>
      </c>
      <c r="E4005" s="9" t="str">
        <f t="shared" ca="1" si="74"/>
        <v/>
      </c>
      <c r="F4005" s="4" t="s">
        <v>15</v>
      </c>
      <c r="G4005" s="2">
        <f>IF(ISNUMBER(SEARCH(Лист2!$B$4,F:F)),1,0)</f>
        <v>0</v>
      </c>
      <c r="H4005" s="3">
        <f ca="1">IF(AND(I4005&lt;&gt;I4004,ISNUMBER(SEARCH(Лист2!$B$5,I:I)),G4005=1),MAX($H$3:OFFSET(H4005,-1,0))+1,0)</f>
        <v>0</v>
      </c>
      <c r="I4005" s="3" t="s">
        <v>336</v>
      </c>
      <c r="K4005" s="2">
        <f>IF(ISNUMBER(SEARCH(Лист2!$B$4,F:F)),1,0)</f>
        <v>0</v>
      </c>
      <c r="L4005" s="14">
        <f>IF(ISNUMBER(SEARCH(Лист2!$B$5,I:I)),1,0)+K4005</f>
        <v>0</v>
      </c>
      <c r="M4005" s="3">
        <f ca="1">IF(AND(N4005&lt;&gt;N4004,ISNUMBER(SEARCH(Лист2!$B$6,N:N)),L4005=2),MAX($M$3:OFFSET(M4005,-1,0))+1,0)</f>
        <v>0</v>
      </c>
      <c r="N4005" s="3" t="s">
        <v>2519</v>
      </c>
    </row>
    <row r="4006" spans="1:14" x14ac:dyDescent="0.25">
      <c r="A4006" s="1" t="s">
        <v>12796</v>
      </c>
      <c r="B4006" s="3" t="s">
        <v>7630</v>
      </c>
      <c r="C4006" s="2">
        <f ca="1">IF(ISNUMBER(SEARCH(Лист2!$B$4,D:D)),MAX($C$3:OFFSET(C4006,-1,0))+1,0)</f>
        <v>0</v>
      </c>
      <c r="E4006" s="9" t="str">
        <f t="shared" ca="1" si="74"/>
        <v/>
      </c>
      <c r="F4006" s="4" t="s">
        <v>15</v>
      </c>
      <c r="G4006" s="2">
        <f>IF(ISNUMBER(SEARCH(Лист2!$B$4,F:F)),1,0)</f>
        <v>0</v>
      </c>
      <c r="H4006" s="3">
        <f ca="1">IF(AND(I4006&lt;&gt;I4005,ISNUMBER(SEARCH(Лист2!$B$5,I:I)),G4006=1),MAX($H$3:OFFSET(H4006,-1,0))+1,0)</f>
        <v>0</v>
      </c>
      <c r="I4006" s="3" t="s">
        <v>336</v>
      </c>
      <c r="K4006" s="2">
        <f>IF(ISNUMBER(SEARCH(Лист2!$B$4,F:F)),1,0)</f>
        <v>0</v>
      </c>
      <c r="L4006" s="14">
        <f>IF(ISNUMBER(SEARCH(Лист2!$B$5,I:I)),1,0)+K4006</f>
        <v>0</v>
      </c>
      <c r="M4006" s="3">
        <f ca="1">IF(AND(N4006&lt;&gt;N4005,ISNUMBER(SEARCH(Лист2!$B$6,N:N)),L4006=2),MAX($M$3:OFFSET(M4006,-1,0))+1,0)</f>
        <v>0</v>
      </c>
      <c r="N4006" s="3" t="s">
        <v>2520</v>
      </c>
    </row>
    <row r="4007" spans="1:14" x14ac:dyDescent="0.25">
      <c r="A4007" s="1" t="s">
        <v>12797</v>
      </c>
      <c r="B4007" s="3" t="s">
        <v>7631</v>
      </c>
      <c r="C4007" s="2">
        <f ca="1">IF(ISNUMBER(SEARCH(Лист2!$B$4,D:D)),MAX($C$3:OFFSET(C4007,-1,0))+1,0)</f>
        <v>0</v>
      </c>
      <c r="E4007" s="9" t="str">
        <f t="shared" ca="1" si="74"/>
        <v/>
      </c>
      <c r="F4007" s="4" t="s">
        <v>15</v>
      </c>
      <c r="G4007" s="2">
        <f>IF(ISNUMBER(SEARCH(Лист2!$B$4,F:F)),1,0)</f>
        <v>0</v>
      </c>
      <c r="H4007" s="3">
        <f ca="1">IF(AND(I4007&lt;&gt;I4006,ISNUMBER(SEARCH(Лист2!$B$5,I:I)),G4007=1),MAX($H$3:OFFSET(H4007,-1,0))+1,0)</f>
        <v>0</v>
      </c>
      <c r="I4007" s="3" t="s">
        <v>337</v>
      </c>
      <c r="K4007" s="2">
        <f>IF(ISNUMBER(SEARCH(Лист2!$B$4,F:F)),1,0)</f>
        <v>0</v>
      </c>
      <c r="L4007" s="14">
        <f>IF(ISNUMBER(SEARCH(Лист2!$B$5,I:I)),1,0)+K4007</f>
        <v>0</v>
      </c>
      <c r="M4007" s="3">
        <f ca="1">IF(AND(N4007&lt;&gt;N4006,ISNUMBER(SEARCH(Лист2!$B$6,N:N)),L4007=2),MAX($M$3:OFFSET(M4007,-1,0))+1,0)</f>
        <v>0</v>
      </c>
      <c r="N4007" s="3" t="s">
        <v>2512</v>
      </c>
    </row>
    <row r="4008" spans="1:14" x14ac:dyDescent="0.25">
      <c r="A4008" s="1" t="s">
        <v>12798</v>
      </c>
      <c r="B4008" s="3" t="s">
        <v>7632</v>
      </c>
      <c r="C4008" s="2">
        <f ca="1">IF(ISNUMBER(SEARCH(Лист2!$B$4,D:D)),MAX($C$3:OFFSET(C4008,-1,0))+1,0)</f>
        <v>0</v>
      </c>
      <c r="E4008" s="9" t="str">
        <f t="shared" ca="1" si="74"/>
        <v/>
      </c>
      <c r="F4008" s="4" t="s">
        <v>15</v>
      </c>
      <c r="G4008" s="2">
        <f>IF(ISNUMBER(SEARCH(Лист2!$B$4,F:F)),1,0)</f>
        <v>0</v>
      </c>
      <c r="H4008" s="3">
        <f ca="1">IF(AND(I4008&lt;&gt;I4007,ISNUMBER(SEARCH(Лист2!$B$5,I:I)),G4008=1),MAX($H$3:OFFSET(H4008,-1,0))+1,0)</f>
        <v>0</v>
      </c>
      <c r="I4008" s="3" t="s">
        <v>337</v>
      </c>
      <c r="K4008" s="2">
        <f>IF(ISNUMBER(SEARCH(Лист2!$B$4,F:F)),1,0)</f>
        <v>0</v>
      </c>
      <c r="L4008" s="14">
        <f>IF(ISNUMBER(SEARCH(Лист2!$B$5,I:I)),1,0)+K4008</f>
        <v>0</v>
      </c>
      <c r="M4008" s="3">
        <f ca="1">IF(AND(N4008&lt;&gt;N4007,ISNUMBER(SEARCH(Лист2!$B$6,N:N)),L4008=2),MAX($M$3:OFFSET(M4008,-1,0))+1,0)</f>
        <v>0</v>
      </c>
      <c r="N4008" s="3" t="s">
        <v>2513</v>
      </c>
    </row>
    <row r="4009" spans="1:14" x14ac:dyDescent="0.25">
      <c r="A4009" s="1" t="s">
        <v>12799</v>
      </c>
      <c r="B4009" s="3" t="s">
        <v>7633</v>
      </c>
      <c r="C4009" s="2">
        <f ca="1">IF(ISNUMBER(SEARCH(Лист2!$B$4,D:D)),MAX($C$3:OFFSET(C4009,-1,0))+1,0)</f>
        <v>0</v>
      </c>
      <c r="E4009" s="9" t="str">
        <f t="shared" ca="1" si="74"/>
        <v/>
      </c>
      <c r="F4009" s="4" t="s">
        <v>15</v>
      </c>
      <c r="G4009" s="2">
        <f>IF(ISNUMBER(SEARCH(Лист2!$B$4,F:F)),1,0)</f>
        <v>0</v>
      </c>
      <c r="H4009" s="3">
        <f ca="1">IF(AND(I4009&lt;&gt;I4008,ISNUMBER(SEARCH(Лист2!$B$5,I:I)),G4009=1),MAX($H$3:OFFSET(H4009,-1,0))+1,0)</f>
        <v>0</v>
      </c>
      <c r="I4009" s="3" t="s">
        <v>337</v>
      </c>
      <c r="K4009" s="2">
        <f>IF(ISNUMBER(SEARCH(Лист2!$B$4,F:F)),1,0)</f>
        <v>0</v>
      </c>
      <c r="L4009" s="14">
        <f>IF(ISNUMBER(SEARCH(Лист2!$B$5,I:I)),1,0)+K4009</f>
        <v>0</v>
      </c>
      <c r="M4009" s="3">
        <f ca="1">IF(AND(N4009&lt;&gt;N4008,ISNUMBER(SEARCH(Лист2!$B$6,N:N)),L4009=2),MAX($M$3:OFFSET(M4009,-1,0))+1,0)</f>
        <v>0</v>
      </c>
      <c r="N4009" s="3" t="s">
        <v>602</v>
      </c>
    </row>
    <row r="4010" spans="1:14" x14ac:dyDescent="0.25">
      <c r="A4010" s="1" t="s">
        <v>12800</v>
      </c>
      <c r="B4010" s="3" t="s">
        <v>7634</v>
      </c>
      <c r="C4010" s="2">
        <f ca="1">IF(ISNUMBER(SEARCH(Лист2!$B$4,D:D)),MAX($C$3:OFFSET(C4010,-1,0))+1,0)</f>
        <v>0</v>
      </c>
      <c r="E4010" s="9" t="str">
        <f t="shared" ca="1" si="74"/>
        <v/>
      </c>
      <c r="F4010" s="4" t="s">
        <v>15</v>
      </c>
      <c r="G4010" s="2">
        <f>IF(ISNUMBER(SEARCH(Лист2!$B$4,F:F)),1,0)</f>
        <v>0</v>
      </c>
      <c r="H4010" s="3">
        <f ca="1">IF(AND(I4010&lt;&gt;I4009,ISNUMBER(SEARCH(Лист2!$B$5,I:I)),G4010=1),MAX($H$3:OFFSET(H4010,-1,0))+1,0)</f>
        <v>0</v>
      </c>
      <c r="I4010" s="3" t="s">
        <v>337</v>
      </c>
      <c r="K4010" s="2">
        <f>IF(ISNUMBER(SEARCH(Лист2!$B$4,F:F)),1,0)</f>
        <v>0</v>
      </c>
      <c r="L4010" s="14">
        <f>IF(ISNUMBER(SEARCH(Лист2!$B$5,I:I)),1,0)+K4010</f>
        <v>0</v>
      </c>
      <c r="M4010" s="3">
        <f ca="1">IF(AND(N4010&lt;&gt;N4009,ISNUMBER(SEARCH(Лист2!$B$6,N:N)),L4010=2),MAX($M$3:OFFSET(M4010,-1,0))+1,0)</f>
        <v>0</v>
      </c>
      <c r="N4010" s="3" t="s">
        <v>2514</v>
      </c>
    </row>
    <row r="4011" spans="1:14" x14ac:dyDescent="0.25">
      <c r="A4011" s="1" t="s">
        <v>12801</v>
      </c>
      <c r="B4011" s="3" t="s">
        <v>7635</v>
      </c>
      <c r="C4011" s="2">
        <f ca="1">IF(ISNUMBER(SEARCH(Лист2!$B$4,D:D)),MAX($C$3:OFFSET(C4011,-1,0))+1,0)</f>
        <v>0</v>
      </c>
      <c r="E4011" s="9" t="str">
        <f t="shared" ca="1" si="74"/>
        <v/>
      </c>
      <c r="F4011" s="4" t="s">
        <v>15</v>
      </c>
      <c r="G4011" s="2">
        <f>IF(ISNUMBER(SEARCH(Лист2!$B$4,F:F)),1,0)</f>
        <v>0</v>
      </c>
      <c r="H4011" s="3">
        <f ca="1">IF(AND(I4011&lt;&gt;I4010,ISNUMBER(SEARCH(Лист2!$B$5,I:I)),G4011=1),MAX($H$3:OFFSET(H4011,-1,0))+1,0)</f>
        <v>0</v>
      </c>
      <c r="I4011" s="3" t="s">
        <v>337</v>
      </c>
      <c r="K4011" s="2">
        <f>IF(ISNUMBER(SEARCH(Лист2!$B$4,F:F)),1,0)</f>
        <v>0</v>
      </c>
      <c r="L4011" s="14">
        <f>IF(ISNUMBER(SEARCH(Лист2!$B$5,I:I)),1,0)+K4011</f>
        <v>0</v>
      </c>
      <c r="M4011" s="3">
        <f ca="1">IF(AND(N4011&lt;&gt;N4010,ISNUMBER(SEARCH(Лист2!$B$6,N:N)),L4011=2),MAX($M$3:OFFSET(M4011,-1,0))+1,0)</f>
        <v>0</v>
      </c>
      <c r="N4011" s="3" t="s">
        <v>2515</v>
      </c>
    </row>
    <row r="4012" spans="1:14" x14ac:dyDescent="0.25">
      <c r="A4012" s="1" t="s">
        <v>12802</v>
      </c>
      <c r="B4012" s="3" t="s">
        <v>7636</v>
      </c>
      <c r="C4012" s="2">
        <f ca="1">IF(ISNUMBER(SEARCH(Лист2!$B$4,D:D)),MAX($C$3:OFFSET(C4012,-1,0))+1,0)</f>
        <v>0</v>
      </c>
      <c r="E4012" s="9" t="str">
        <f t="shared" ca="1" si="74"/>
        <v/>
      </c>
      <c r="F4012" s="4" t="s">
        <v>15</v>
      </c>
      <c r="G4012" s="2">
        <f>IF(ISNUMBER(SEARCH(Лист2!$B$4,F:F)),1,0)</f>
        <v>0</v>
      </c>
      <c r="H4012" s="3">
        <f ca="1">IF(AND(I4012&lt;&gt;I4011,ISNUMBER(SEARCH(Лист2!$B$5,I:I)),G4012=1),MAX($H$3:OFFSET(H4012,-1,0))+1,0)</f>
        <v>0</v>
      </c>
      <c r="I4012" s="3" t="s">
        <v>337</v>
      </c>
      <c r="K4012" s="2">
        <f>IF(ISNUMBER(SEARCH(Лист2!$B$4,F:F)),1,0)</f>
        <v>0</v>
      </c>
      <c r="L4012" s="14">
        <f>IF(ISNUMBER(SEARCH(Лист2!$B$5,I:I)),1,0)+K4012</f>
        <v>0</v>
      </c>
      <c r="M4012" s="3">
        <f ca="1">IF(AND(N4012&lt;&gt;N4011,ISNUMBER(SEARCH(Лист2!$B$6,N:N)),L4012=2),MAX($M$3:OFFSET(M4012,-1,0))+1,0)</f>
        <v>0</v>
      </c>
      <c r="N4012" s="3" t="s">
        <v>2516</v>
      </c>
    </row>
    <row r="4013" spans="1:14" x14ac:dyDescent="0.25">
      <c r="A4013" s="1" t="s">
        <v>12803</v>
      </c>
      <c r="B4013" s="3" t="s">
        <v>7637</v>
      </c>
      <c r="C4013" s="2">
        <f ca="1">IF(ISNUMBER(SEARCH(Лист2!$B$4,D:D)),MAX($C$3:OFFSET(C4013,-1,0))+1,0)</f>
        <v>0</v>
      </c>
      <c r="E4013" s="9" t="str">
        <f t="shared" ca="1" si="74"/>
        <v/>
      </c>
      <c r="F4013" s="4" t="s">
        <v>15</v>
      </c>
      <c r="G4013" s="2">
        <f>IF(ISNUMBER(SEARCH(Лист2!$B$4,F:F)),1,0)</f>
        <v>0</v>
      </c>
      <c r="H4013" s="3">
        <f ca="1">IF(AND(I4013&lt;&gt;I4012,ISNUMBER(SEARCH(Лист2!$B$5,I:I)),G4013=1),MAX($H$3:OFFSET(H4013,-1,0))+1,0)</f>
        <v>0</v>
      </c>
      <c r="I4013" s="3" t="s">
        <v>337</v>
      </c>
      <c r="K4013" s="2">
        <f>IF(ISNUMBER(SEARCH(Лист2!$B$4,F:F)),1,0)</f>
        <v>0</v>
      </c>
      <c r="L4013" s="14">
        <f>IF(ISNUMBER(SEARCH(Лист2!$B$5,I:I)),1,0)+K4013</f>
        <v>0</v>
      </c>
      <c r="M4013" s="3">
        <f ca="1">IF(AND(N4013&lt;&gt;N4012,ISNUMBER(SEARCH(Лист2!$B$6,N:N)),L4013=2),MAX($M$3:OFFSET(M4013,-1,0))+1,0)</f>
        <v>0</v>
      </c>
      <c r="N4013" s="3" t="s">
        <v>2521</v>
      </c>
    </row>
    <row r="4014" spans="1:14" x14ac:dyDescent="0.25">
      <c r="A4014" s="1" t="s">
        <v>12804</v>
      </c>
      <c r="B4014" s="3" t="s">
        <v>7638</v>
      </c>
      <c r="C4014" s="2">
        <f ca="1">IF(ISNUMBER(SEARCH(Лист2!$B$4,D:D)),MAX($C$3:OFFSET(C4014,-1,0))+1,0)</f>
        <v>0</v>
      </c>
      <c r="E4014" s="9" t="str">
        <f t="shared" ca="1" si="74"/>
        <v/>
      </c>
      <c r="F4014" s="4" t="s">
        <v>15</v>
      </c>
      <c r="G4014" s="2">
        <f>IF(ISNUMBER(SEARCH(Лист2!$B$4,F:F)),1,0)</f>
        <v>0</v>
      </c>
      <c r="H4014" s="3">
        <f ca="1">IF(AND(I4014&lt;&gt;I4013,ISNUMBER(SEARCH(Лист2!$B$5,I:I)),G4014=1),MAX($H$3:OFFSET(H4014,-1,0))+1,0)</f>
        <v>0</v>
      </c>
      <c r="I4014" s="3" t="s">
        <v>337</v>
      </c>
      <c r="K4014" s="2">
        <f>IF(ISNUMBER(SEARCH(Лист2!$B$4,F:F)),1,0)</f>
        <v>0</v>
      </c>
      <c r="L4014" s="14">
        <f>IF(ISNUMBER(SEARCH(Лист2!$B$5,I:I)),1,0)+K4014</f>
        <v>0</v>
      </c>
      <c r="M4014" s="3">
        <f ca="1">IF(AND(N4014&lt;&gt;N4013,ISNUMBER(SEARCH(Лист2!$B$6,N:N)),L4014=2),MAX($M$3:OFFSET(M4014,-1,0))+1,0)</f>
        <v>0</v>
      </c>
      <c r="N4014" s="3" t="s">
        <v>2522</v>
      </c>
    </row>
    <row r="4015" spans="1:14" x14ac:dyDescent="0.25">
      <c r="A4015" s="1" t="s">
        <v>12805</v>
      </c>
      <c r="B4015" s="3" t="s">
        <v>7639</v>
      </c>
      <c r="C4015" s="2">
        <f ca="1">IF(ISNUMBER(SEARCH(Лист2!$B$4,D:D)),MAX($C$3:OFFSET(C4015,-1,0))+1,0)</f>
        <v>0</v>
      </c>
      <c r="E4015" s="9" t="str">
        <f t="shared" ca="1" si="74"/>
        <v/>
      </c>
      <c r="F4015" s="4" t="s">
        <v>15</v>
      </c>
      <c r="G4015" s="2">
        <f>IF(ISNUMBER(SEARCH(Лист2!$B$4,F:F)),1,0)</f>
        <v>0</v>
      </c>
      <c r="H4015" s="3">
        <f ca="1">IF(AND(I4015&lt;&gt;I4014,ISNUMBER(SEARCH(Лист2!$B$5,I:I)),G4015=1),MAX($H$3:OFFSET(H4015,-1,0))+1,0)</f>
        <v>0</v>
      </c>
      <c r="I4015" s="3" t="s">
        <v>337</v>
      </c>
      <c r="K4015" s="2">
        <f>IF(ISNUMBER(SEARCH(Лист2!$B$4,F:F)),1,0)</f>
        <v>0</v>
      </c>
      <c r="L4015" s="14">
        <f>IF(ISNUMBER(SEARCH(Лист2!$B$5,I:I)),1,0)+K4015</f>
        <v>0</v>
      </c>
      <c r="M4015" s="3">
        <f ca="1">IF(AND(N4015&lt;&gt;N4014,ISNUMBER(SEARCH(Лист2!$B$6,N:N)),L4015=2),MAX($M$3:OFFSET(M4015,-1,0))+1,0)</f>
        <v>0</v>
      </c>
      <c r="N4015" s="3" t="s">
        <v>2523</v>
      </c>
    </row>
    <row r="4016" spans="1:14" x14ac:dyDescent="0.25">
      <c r="A4016" s="1" t="s">
        <v>12806</v>
      </c>
      <c r="B4016" s="3" t="s">
        <v>7640</v>
      </c>
      <c r="C4016" s="2">
        <f ca="1">IF(ISNUMBER(SEARCH(Лист2!$B$4,D:D)),MAX($C$3:OFFSET(C4016,-1,0))+1,0)</f>
        <v>0</v>
      </c>
      <c r="E4016" s="9" t="str">
        <f t="shared" ca="1" si="74"/>
        <v/>
      </c>
      <c r="F4016" s="4" t="s">
        <v>15</v>
      </c>
      <c r="G4016" s="2">
        <f>IF(ISNUMBER(SEARCH(Лист2!$B$4,F:F)),1,0)</f>
        <v>0</v>
      </c>
      <c r="H4016" s="3">
        <f ca="1">IF(AND(I4016&lt;&gt;I4015,ISNUMBER(SEARCH(Лист2!$B$5,I:I)),G4016=1),MAX($H$3:OFFSET(H4016,-1,0))+1,0)</f>
        <v>0</v>
      </c>
      <c r="I4016" s="3" t="s">
        <v>338</v>
      </c>
      <c r="K4016" s="2">
        <f>IF(ISNUMBER(SEARCH(Лист2!$B$4,F:F)),1,0)</f>
        <v>0</v>
      </c>
      <c r="L4016" s="14">
        <f>IF(ISNUMBER(SEARCH(Лист2!$B$5,I:I)),1,0)+K4016</f>
        <v>0</v>
      </c>
      <c r="M4016" s="3">
        <f ca="1">IF(AND(N4016&lt;&gt;N4015,ISNUMBER(SEARCH(Лист2!$B$6,N:N)),L4016=2),MAX($M$3:OFFSET(M4016,-1,0))+1,0)</f>
        <v>0</v>
      </c>
      <c r="N4016" s="3" t="s">
        <v>2512</v>
      </c>
    </row>
    <row r="4017" spans="1:14" x14ac:dyDescent="0.25">
      <c r="A4017" s="1" t="s">
        <v>12807</v>
      </c>
      <c r="B4017" s="3" t="s">
        <v>7641</v>
      </c>
      <c r="C4017" s="2">
        <f ca="1">IF(ISNUMBER(SEARCH(Лист2!$B$4,D:D)),MAX($C$3:OFFSET(C4017,-1,0))+1,0)</f>
        <v>0</v>
      </c>
      <c r="E4017" s="9" t="str">
        <f t="shared" ca="1" si="74"/>
        <v/>
      </c>
      <c r="F4017" s="4" t="s">
        <v>15</v>
      </c>
      <c r="G4017" s="2">
        <f>IF(ISNUMBER(SEARCH(Лист2!$B$4,F:F)),1,0)</f>
        <v>0</v>
      </c>
      <c r="H4017" s="3">
        <f ca="1">IF(AND(I4017&lt;&gt;I4016,ISNUMBER(SEARCH(Лист2!$B$5,I:I)),G4017=1),MAX($H$3:OFFSET(H4017,-1,0))+1,0)</f>
        <v>0</v>
      </c>
      <c r="I4017" s="3" t="s">
        <v>338</v>
      </c>
      <c r="K4017" s="2">
        <f>IF(ISNUMBER(SEARCH(Лист2!$B$4,F:F)),1,0)</f>
        <v>0</v>
      </c>
      <c r="L4017" s="14">
        <f>IF(ISNUMBER(SEARCH(Лист2!$B$5,I:I)),1,0)+K4017</f>
        <v>0</v>
      </c>
      <c r="M4017" s="3">
        <f ca="1">IF(AND(N4017&lt;&gt;N4016,ISNUMBER(SEARCH(Лист2!$B$6,N:N)),L4017=2),MAX($M$3:OFFSET(M4017,-1,0))+1,0)</f>
        <v>0</v>
      </c>
      <c r="N4017" s="3" t="s">
        <v>2513</v>
      </c>
    </row>
    <row r="4018" spans="1:14" x14ac:dyDescent="0.25">
      <c r="A4018" s="1" t="s">
        <v>12808</v>
      </c>
      <c r="B4018" s="3" t="s">
        <v>7642</v>
      </c>
      <c r="C4018" s="2">
        <f ca="1">IF(ISNUMBER(SEARCH(Лист2!$B$4,D:D)),MAX($C$3:OFFSET(C4018,-1,0))+1,0)</f>
        <v>0</v>
      </c>
      <c r="E4018" s="9" t="str">
        <f t="shared" ca="1" si="74"/>
        <v/>
      </c>
      <c r="F4018" s="4" t="s">
        <v>15</v>
      </c>
      <c r="G4018" s="2">
        <f>IF(ISNUMBER(SEARCH(Лист2!$B$4,F:F)),1,0)</f>
        <v>0</v>
      </c>
      <c r="H4018" s="3">
        <f ca="1">IF(AND(I4018&lt;&gt;I4017,ISNUMBER(SEARCH(Лист2!$B$5,I:I)),G4018=1),MAX($H$3:OFFSET(H4018,-1,0))+1,0)</f>
        <v>0</v>
      </c>
      <c r="I4018" s="3" t="s">
        <v>338</v>
      </c>
      <c r="K4018" s="2">
        <f>IF(ISNUMBER(SEARCH(Лист2!$B$4,F:F)),1,0)</f>
        <v>0</v>
      </c>
      <c r="L4018" s="14">
        <f>IF(ISNUMBER(SEARCH(Лист2!$B$5,I:I)),1,0)+K4018</f>
        <v>0</v>
      </c>
      <c r="M4018" s="3">
        <f ca="1">IF(AND(N4018&lt;&gt;N4017,ISNUMBER(SEARCH(Лист2!$B$6,N:N)),L4018=2),MAX($M$3:OFFSET(M4018,-1,0))+1,0)</f>
        <v>0</v>
      </c>
      <c r="N4018" s="3" t="s">
        <v>602</v>
      </c>
    </row>
    <row r="4019" spans="1:14" x14ac:dyDescent="0.25">
      <c r="A4019" s="1" t="s">
        <v>12809</v>
      </c>
      <c r="B4019" s="3" t="s">
        <v>7643</v>
      </c>
      <c r="C4019" s="2">
        <f ca="1">IF(ISNUMBER(SEARCH(Лист2!$B$4,D:D)),MAX($C$3:OFFSET(C4019,-1,0))+1,0)</f>
        <v>0</v>
      </c>
      <c r="E4019" s="9" t="str">
        <f t="shared" ca="1" si="74"/>
        <v/>
      </c>
      <c r="F4019" s="4" t="s">
        <v>15</v>
      </c>
      <c r="G4019" s="2">
        <f>IF(ISNUMBER(SEARCH(Лист2!$B$4,F:F)),1,0)</f>
        <v>0</v>
      </c>
      <c r="H4019" s="3">
        <f ca="1">IF(AND(I4019&lt;&gt;I4018,ISNUMBER(SEARCH(Лист2!$B$5,I:I)),G4019=1),MAX($H$3:OFFSET(H4019,-1,0))+1,0)</f>
        <v>0</v>
      </c>
      <c r="I4019" s="3" t="s">
        <v>338</v>
      </c>
      <c r="K4019" s="2">
        <f>IF(ISNUMBER(SEARCH(Лист2!$B$4,F:F)),1,0)</f>
        <v>0</v>
      </c>
      <c r="L4019" s="14">
        <f>IF(ISNUMBER(SEARCH(Лист2!$B$5,I:I)),1,0)+K4019</f>
        <v>0</v>
      </c>
      <c r="M4019" s="3">
        <f ca="1">IF(AND(N4019&lt;&gt;N4018,ISNUMBER(SEARCH(Лист2!$B$6,N:N)),L4019=2),MAX($M$3:OFFSET(M4019,-1,0))+1,0)</f>
        <v>0</v>
      </c>
      <c r="N4019" s="3" t="s">
        <v>2514</v>
      </c>
    </row>
    <row r="4020" spans="1:14" x14ac:dyDescent="0.25">
      <c r="A4020" s="1" t="s">
        <v>12810</v>
      </c>
      <c r="B4020" s="3" t="s">
        <v>7644</v>
      </c>
      <c r="C4020" s="2">
        <f ca="1">IF(ISNUMBER(SEARCH(Лист2!$B$4,D:D)),MAX($C$3:OFFSET(C4020,-1,0))+1,0)</f>
        <v>0</v>
      </c>
      <c r="E4020" s="9" t="str">
        <f t="shared" ca="1" si="74"/>
        <v/>
      </c>
      <c r="F4020" s="4" t="s">
        <v>15</v>
      </c>
      <c r="G4020" s="2">
        <f>IF(ISNUMBER(SEARCH(Лист2!$B$4,F:F)),1,0)</f>
        <v>0</v>
      </c>
      <c r="H4020" s="3">
        <f ca="1">IF(AND(I4020&lt;&gt;I4019,ISNUMBER(SEARCH(Лист2!$B$5,I:I)),G4020=1),MAX($H$3:OFFSET(H4020,-1,0))+1,0)</f>
        <v>0</v>
      </c>
      <c r="I4020" s="3" t="s">
        <v>338</v>
      </c>
      <c r="K4020" s="2">
        <f>IF(ISNUMBER(SEARCH(Лист2!$B$4,F:F)),1,0)</f>
        <v>0</v>
      </c>
      <c r="L4020" s="14">
        <f>IF(ISNUMBER(SEARCH(Лист2!$B$5,I:I)),1,0)+K4020</f>
        <v>0</v>
      </c>
      <c r="M4020" s="3">
        <f ca="1">IF(AND(N4020&lt;&gt;N4019,ISNUMBER(SEARCH(Лист2!$B$6,N:N)),L4020=2),MAX($M$3:OFFSET(M4020,-1,0))+1,0)</f>
        <v>0</v>
      </c>
      <c r="N4020" s="3" t="s">
        <v>2515</v>
      </c>
    </row>
    <row r="4021" spans="1:14" x14ac:dyDescent="0.25">
      <c r="A4021" s="1" t="s">
        <v>12811</v>
      </c>
      <c r="B4021" s="3" t="s">
        <v>7645</v>
      </c>
      <c r="C4021" s="2">
        <f ca="1">IF(ISNUMBER(SEARCH(Лист2!$B$4,D:D)),MAX($C$3:OFFSET(C4021,-1,0))+1,0)</f>
        <v>0</v>
      </c>
      <c r="E4021" s="9" t="str">
        <f t="shared" ca="1" si="74"/>
        <v/>
      </c>
      <c r="F4021" s="4" t="s">
        <v>15</v>
      </c>
      <c r="G4021" s="2">
        <f>IF(ISNUMBER(SEARCH(Лист2!$B$4,F:F)),1,0)</f>
        <v>0</v>
      </c>
      <c r="H4021" s="3">
        <f ca="1">IF(AND(I4021&lt;&gt;I4020,ISNUMBER(SEARCH(Лист2!$B$5,I:I)),G4021=1),MAX($H$3:OFFSET(H4021,-1,0))+1,0)</f>
        <v>0</v>
      </c>
      <c r="I4021" s="3" t="s">
        <v>338</v>
      </c>
      <c r="K4021" s="2">
        <f>IF(ISNUMBER(SEARCH(Лист2!$B$4,F:F)),1,0)</f>
        <v>0</v>
      </c>
      <c r="L4021" s="14">
        <f>IF(ISNUMBER(SEARCH(Лист2!$B$5,I:I)),1,0)+K4021</f>
        <v>0</v>
      </c>
      <c r="M4021" s="3">
        <f ca="1">IF(AND(N4021&lt;&gt;N4020,ISNUMBER(SEARCH(Лист2!$B$6,N:N)),L4021=2),MAX($M$3:OFFSET(M4021,-1,0))+1,0)</f>
        <v>0</v>
      </c>
      <c r="N4021" s="3" t="s">
        <v>2516</v>
      </c>
    </row>
    <row r="4022" spans="1:14" x14ac:dyDescent="0.25">
      <c r="A4022" s="1" t="s">
        <v>12812</v>
      </c>
      <c r="B4022" s="3" t="s">
        <v>7646</v>
      </c>
      <c r="C4022" s="2">
        <f ca="1">IF(ISNUMBER(SEARCH(Лист2!$B$4,D:D)),MAX($C$3:OFFSET(C4022,-1,0))+1,0)</f>
        <v>0</v>
      </c>
      <c r="E4022" s="9" t="str">
        <f t="shared" ca="1" si="74"/>
        <v/>
      </c>
      <c r="F4022" s="4" t="s">
        <v>15</v>
      </c>
      <c r="G4022" s="2">
        <f>IF(ISNUMBER(SEARCH(Лист2!$B$4,F:F)),1,0)</f>
        <v>0</v>
      </c>
      <c r="H4022" s="3">
        <f ca="1">IF(AND(I4022&lt;&gt;I4021,ISNUMBER(SEARCH(Лист2!$B$5,I:I)),G4022=1),MAX($H$3:OFFSET(H4022,-1,0))+1,0)</f>
        <v>0</v>
      </c>
      <c r="I4022" s="3" t="s">
        <v>338</v>
      </c>
      <c r="K4022" s="2">
        <f>IF(ISNUMBER(SEARCH(Лист2!$B$4,F:F)),1,0)</f>
        <v>0</v>
      </c>
      <c r="L4022" s="14">
        <f>IF(ISNUMBER(SEARCH(Лист2!$B$5,I:I)),1,0)+K4022</f>
        <v>0</v>
      </c>
      <c r="M4022" s="3">
        <f ca="1">IF(AND(N4022&lt;&gt;N4021,ISNUMBER(SEARCH(Лист2!$B$6,N:N)),L4022=2),MAX($M$3:OFFSET(M4022,-1,0))+1,0)</f>
        <v>0</v>
      </c>
      <c r="N4022" s="3" t="s">
        <v>2524</v>
      </c>
    </row>
    <row r="4023" spans="1:14" x14ac:dyDescent="0.25">
      <c r="A4023" s="1" t="s">
        <v>12813</v>
      </c>
      <c r="B4023" s="3" t="s">
        <v>7647</v>
      </c>
      <c r="C4023" s="2">
        <f ca="1">IF(ISNUMBER(SEARCH(Лист2!$B$4,D:D)),MAX($C$3:OFFSET(C4023,-1,0))+1,0)</f>
        <v>0</v>
      </c>
      <c r="E4023" s="9" t="str">
        <f t="shared" ca="1" si="74"/>
        <v/>
      </c>
      <c r="F4023" s="4" t="s">
        <v>15</v>
      </c>
      <c r="G4023" s="2">
        <f>IF(ISNUMBER(SEARCH(Лист2!$B$4,F:F)),1,0)</f>
        <v>0</v>
      </c>
      <c r="H4023" s="3">
        <f ca="1">IF(AND(I4023&lt;&gt;I4022,ISNUMBER(SEARCH(Лист2!$B$5,I:I)),G4023=1),MAX($H$3:OFFSET(H4023,-1,0))+1,0)</f>
        <v>0</v>
      </c>
      <c r="I4023" s="3" t="s">
        <v>338</v>
      </c>
      <c r="K4023" s="2">
        <f>IF(ISNUMBER(SEARCH(Лист2!$B$4,F:F)),1,0)</f>
        <v>0</v>
      </c>
      <c r="L4023" s="14">
        <f>IF(ISNUMBER(SEARCH(Лист2!$B$5,I:I)),1,0)+K4023</f>
        <v>0</v>
      </c>
      <c r="M4023" s="3">
        <f ca="1">IF(AND(N4023&lt;&gt;N4022,ISNUMBER(SEARCH(Лист2!$B$6,N:N)),L4023=2),MAX($M$3:OFFSET(M4023,-1,0))+1,0)</f>
        <v>0</v>
      </c>
      <c r="N4023" s="3" t="s">
        <v>2525</v>
      </c>
    </row>
    <row r="4024" spans="1:14" x14ac:dyDescent="0.25">
      <c r="A4024" s="1" t="s">
        <v>12814</v>
      </c>
      <c r="B4024" s="3" t="s">
        <v>7648</v>
      </c>
      <c r="C4024" s="2">
        <f ca="1">IF(ISNUMBER(SEARCH(Лист2!$B$4,D:D)),MAX($C$3:OFFSET(C4024,-1,0))+1,0)</f>
        <v>0</v>
      </c>
      <c r="E4024" s="9" t="str">
        <f t="shared" ca="1" si="74"/>
        <v/>
      </c>
      <c r="F4024" s="4" t="s">
        <v>15</v>
      </c>
      <c r="G4024" s="2">
        <f>IF(ISNUMBER(SEARCH(Лист2!$B$4,F:F)),1,0)</f>
        <v>0</v>
      </c>
      <c r="H4024" s="3">
        <f ca="1">IF(AND(I4024&lt;&gt;I4023,ISNUMBER(SEARCH(Лист2!$B$5,I:I)),G4024=1),MAX($H$3:OFFSET(H4024,-1,0))+1,0)</f>
        <v>0</v>
      </c>
      <c r="I4024" s="3" t="s">
        <v>338</v>
      </c>
      <c r="K4024" s="2">
        <f>IF(ISNUMBER(SEARCH(Лист2!$B$4,F:F)),1,0)</f>
        <v>0</v>
      </c>
      <c r="L4024" s="14">
        <f>IF(ISNUMBER(SEARCH(Лист2!$B$5,I:I)),1,0)+K4024</f>
        <v>0</v>
      </c>
      <c r="M4024" s="3">
        <f ca="1">IF(AND(N4024&lt;&gt;N4023,ISNUMBER(SEARCH(Лист2!$B$6,N:N)),L4024=2),MAX($M$3:OFFSET(M4024,-1,0))+1,0)</f>
        <v>0</v>
      </c>
      <c r="N4024" s="3" t="s">
        <v>2526</v>
      </c>
    </row>
    <row r="4025" spans="1:14" x14ac:dyDescent="0.25">
      <c r="A4025" s="1" t="s">
        <v>12815</v>
      </c>
      <c r="B4025" s="3" t="s">
        <v>7649</v>
      </c>
      <c r="C4025" s="2">
        <f ca="1">IF(ISNUMBER(SEARCH(Лист2!$B$4,D:D)),MAX($C$3:OFFSET(C4025,-1,0))+1,0)</f>
        <v>0</v>
      </c>
      <c r="E4025" s="9" t="str">
        <f t="shared" ca="1" si="74"/>
        <v/>
      </c>
      <c r="F4025" s="4" t="s">
        <v>15</v>
      </c>
      <c r="G4025" s="2">
        <f>IF(ISNUMBER(SEARCH(Лист2!$B$4,F:F)),1,0)</f>
        <v>0</v>
      </c>
      <c r="H4025" s="3">
        <f ca="1">IF(AND(I4025&lt;&gt;I4024,ISNUMBER(SEARCH(Лист2!$B$5,I:I)),G4025=1),MAX($H$3:OFFSET(H4025,-1,0))+1,0)</f>
        <v>0</v>
      </c>
      <c r="I4025" s="3" t="s">
        <v>291</v>
      </c>
      <c r="K4025" s="2">
        <f>IF(ISNUMBER(SEARCH(Лист2!$B$4,F:F)),1,0)</f>
        <v>0</v>
      </c>
      <c r="L4025" s="14">
        <f>IF(ISNUMBER(SEARCH(Лист2!$B$5,I:I)),1,0)+K4025</f>
        <v>0</v>
      </c>
      <c r="M4025" s="3">
        <f ca="1">IF(AND(N4025&lt;&gt;N4024,ISNUMBER(SEARCH(Лист2!$B$6,N:N)),L4025=2),MAX($M$3:OFFSET(M4025,-1,0))+1,0)</f>
        <v>0</v>
      </c>
      <c r="N4025" s="3" t="s">
        <v>2527</v>
      </c>
    </row>
    <row r="4026" spans="1:14" x14ac:dyDescent="0.25">
      <c r="A4026" s="1" t="s">
        <v>12816</v>
      </c>
      <c r="B4026" s="3" t="s">
        <v>7650</v>
      </c>
      <c r="C4026" s="2">
        <f ca="1">IF(ISNUMBER(SEARCH(Лист2!$B$4,D:D)),MAX($C$3:OFFSET(C4026,-1,0))+1,0)</f>
        <v>0</v>
      </c>
      <c r="E4026" s="9" t="str">
        <f t="shared" ca="1" si="74"/>
        <v/>
      </c>
      <c r="F4026" s="4" t="s">
        <v>15</v>
      </c>
      <c r="G4026" s="2">
        <f>IF(ISNUMBER(SEARCH(Лист2!$B$4,F:F)),1,0)</f>
        <v>0</v>
      </c>
      <c r="H4026" s="3">
        <f ca="1">IF(AND(I4026&lt;&gt;I4025,ISNUMBER(SEARCH(Лист2!$B$5,I:I)),G4026=1),MAX($H$3:OFFSET(H4026,-1,0))+1,0)</f>
        <v>0</v>
      </c>
      <c r="I4026" s="3" t="s">
        <v>291</v>
      </c>
      <c r="K4026" s="2">
        <f>IF(ISNUMBER(SEARCH(Лист2!$B$4,F:F)),1,0)</f>
        <v>0</v>
      </c>
      <c r="L4026" s="14">
        <f>IF(ISNUMBER(SEARCH(Лист2!$B$5,I:I)),1,0)+K4026</f>
        <v>0</v>
      </c>
      <c r="M4026" s="3">
        <f ca="1">IF(AND(N4026&lt;&gt;N4025,ISNUMBER(SEARCH(Лист2!$B$6,N:N)),L4026=2),MAX($M$3:OFFSET(M4026,-1,0))+1,0)</f>
        <v>0</v>
      </c>
      <c r="N4026" s="3" t="s">
        <v>2528</v>
      </c>
    </row>
    <row r="4027" spans="1:14" x14ac:dyDescent="0.25">
      <c r="A4027" s="1" t="s">
        <v>12817</v>
      </c>
      <c r="B4027" s="3" t="s">
        <v>7651</v>
      </c>
      <c r="C4027" s="2">
        <f ca="1">IF(ISNUMBER(SEARCH(Лист2!$B$4,D:D)),MAX($C$3:OFFSET(C4027,-1,0))+1,0)</f>
        <v>0</v>
      </c>
      <c r="E4027" s="9" t="str">
        <f t="shared" ca="1" si="74"/>
        <v/>
      </c>
      <c r="F4027" s="4" t="s">
        <v>15</v>
      </c>
      <c r="G4027" s="2">
        <f>IF(ISNUMBER(SEARCH(Лист2!$B$4,F:F)),1,0)</f>
        <v>0</v>
      </c>
      <c r="H4027" s="3">
        <f ca="1">IF(AND(I4027&lt;&gt;I4026,ISNUMBER(SEARCH(Лист2!$B$5,I:I)),G4027=1),MAX($H$3:OFFSET(H4027,-1,0))+1,0)</f>
        <v>0</v>
      </c>
      <c r="I4027" s="3" t="s">
        <v>291</v>
      </c>
      <c r="K4027" s="2">
        <f>IF(ISNUMBER(SEARCH(Лист2!$B$4,F:F)),1,0)</f>
        <v>0</v>
      </c>
      <c r="L4027" s="14">
        <f>IF(ISNUMBER(SEARCH(Лист2!$B$5,I:I)),1,0)+K4027</f>
        <v>0</v>
      </c>
      <c r="M4027" s="3">
        <f ca="1">IF(AND(N4027&lt;&gt;N4026,ISNUMBER(SEARCH(Лист2!$B$6,N:N)),L4027=2),MAX($M$3:OFFSET(M4027,-1,0))+1,0)</f>
        <v>0</v>
      </c>
      <c r="N4027" s="3" t="s">
        <v>2529</v>
      </c>
    </row>
    <row r="4028" spans="1:14" x14ac:dyDescent="0.25">
      <c r="A4028" s="1" t="s">
        <v>12818</v>
      </c>
      <c r="B4028" s="3" t="s">
        <v>7652</v>
      </c>
      <c r="C4028" s="2">
        <f ca="1">IF(ISNUMBER(SEARCH(Лист2!$B$4,D:D)),MAX($C$3:OFFSET(C4028,-1,0))+1,0)</f>
        <v>0</v>
      </c>
      <c r="E4028" s="9" t="str">
        <f t="shared" ca="1" si="74"/>
        <v/>
      </c>
      <c r="F4028" s="4" t="s">
        <v>15</v>
      </c>
      <c r="G4028" s="2">
        <f>IF(ISNUMBER(SEARCH(Лист2!$B$4,F:F)),1,0)</f>
        <v>0</v>
      </c>
      <c r="H4028" s="3">
        <f ca="1">IF(AND(I4028&lt;&gt;I4027,ISNUMBER(SEARCH(Лист2!$B$5,I:I)),G4028=1),MAX($H$3:OFFSET(H4028,-1,0))+1,0)</f>
        <v>0</v>
      </c>
      <c r="I4028" s="3" t="s">
        <v>291</v>
      </c>
      <c r="K4028" s="2">
        <f>IF(ISNUMBER(SEARCH(Лист2!$B$4,F:F)),1,0)</f>
        <v>0</v>
      </c>
      <c r="L4028" s="14">
        <f>IF(ISNUMBER(SEARCH(Лист2!$B$5,I:I)),1,0)+K4028</f>
        <v>0</v>
      </c>
      <c r="M4028" s="3">
        <f ca="1">IF(AND(N4028&lt;&gt;N4027,ISNUMBER(SEARCH(Лист2!$B$6,N:N)),L4028=2),MAX($M$3:OFFSET(M4028,-1,0))+1,0)</f>
        <v>0</v>
      </c>
      <c r="N4028" s="3" t="s">
        <v>2530</v>
      </c>
    </row>
    <row r="4029" spans="1:14" x14ac:dyDescent="0.25">
      <c r="A4029" s="1" t="s">
        <v>12819</v>
      </c>
      <c r="B4029" s="3" t="s">
        <v>7653</v>
      </c>
      <c r="C4029" s="2">
        <f ca="1">IF(ISNUMBER(SEARCH(Лист2!$B$4,D:D)),MAX($C$3:OFFSET(C4029,-1,0))+1,0)</f>
        <v>0</v>
      </c>
      <c r="E4029" s="9" t="str">
        <f t="shared" ca="1" si="74"/>
        <v/>
      </c>
      <c r="F4029" s="4" t="s">
        <v>15</v>
      </c>
      <c r="G4029" s="2">
        <f>IF(ISNUMBER(SEARCH(Лист2!$B$4,F:F)),1,0)</f>
        <v>0</v>
      </c>
      <c r="H4029" s="3">
        <f ca="1">IF(AND(I4029&lt;&gt;I4028,ISNUMBER(SEARCH(Лист2!$B$5,I:I)),G4029=1),MAX($H$3:OFFSET(H4029,-1,0))+1,0)</f>
        <v>0</v>
      </c>
      <c r="I4029" s="3" t="s">
        <v>291</v>
      </c>
      <c r="K4029" s="2">
        <f>IF(ISNUMBER(SEARCH(Лист2!$B$4,F:F)),1,0)</f>
        <v>0</v>
      </c>
      <c r="L4029" s="14">
        <f>IF(ISNUMBER(SEARCH(Лист2!$B$5,I:I)),1,0)+K4029</f>
        <v>0</v>
      </c>
      <c r="M4029" s="3">
        <f ca="1">IF(AND(N4029&lt;&gt;N4028,ISNUMBER(SEARCH(Лист2!$B$6,N:N)),L4029=2),MAX($M$3:OFFSET(M4029,-1,0))+1,0)</f>
        <v>0</v>
      </c>
      <c r="N4029" s="3" t="s">
        <v>2531</v>
      </c>
    </row>
    <row r="4030" spans="1:14" x14ac:dyDescent="0.25">
      <c r="A4030" s="1" t="s">
        <v>12820</v>
      </c>
      <c r="B4030" s="3" t="s">
        <v>7654</v>
      </c>
      <c r="C4030" s="2">
        <f ca="1">IF(ISNUMBER(SEARCH(Лист2!$B$4,D:D)),MAX($C$3:OFFSET(C4030,-1,0))+1,0)</f>
        <v>0</v>
      </c>
      <c r="E4030" s="9" t="str">
        <f t="shared" ca="1" si="74"/>
        <v/>
      </c>
      <c r="F4030" s="4" t="s">
        <v>15</v>
      </c>
      <c r="G4030" s="2">
        <f>IF(ISNUMBER(SEARCH(Лист2!$B$4,F:F)),1,0)</f>
        <v>0</v>
      </c>
      <c r="H4030" s="3">
        <f ca="1">IF(AND(I4030&lt;&gt;I4029,ISNUMBER(SEARCH(Лист2!$B$5,I:I)),G4030=1),MAX($H$3:OFFSET(H4030,-1,0))+1,0)</f>
        <v>0</v>
      </c>
      <c r="I4030" s="3" t="s">
        <v>291</v>
      </c>
      <c r="K4030" s="2">
        <f>IF(ISNUMBER(SEARCH(Лист2!$B$4,F:F)),1,0)</f>
        <v>0</v>
      </c>
      <c r="L4030" s="14">
        <f>IF(ISNUMBER(SEARCH(Лист2!$B$5,I:I)),1,0)+K4030</f>
        <v>0</v>
      </c>
      <c r="M4030" s="3">
        <f ca="1">IF(AND(N4030&lt;&gt;N4029,ISNUMBER(SEARCH(Лист2!$B$6,N:N)),L4030=2),MAX($M$3:OFFSET(M4030,-1,0))+1,0)</f>
        <v>0</v>
      </c>
      <c r="N4030" s="3" t="s">
        <v>2489</v>
      </c>
    </row>
    <row r="4031" spans="1:14" x14ac:dyDescent="0.25">
      <c r="A4031" s="1" t="s">
        <v>12821</v>
      </c>
      <c r="B4031" s="3" t="s">
        <v>7655</v>
      </c>
      <c r="C4031" s="2">
        <f ca="1">IF(ISNUMBER(SEARCH(Лист2!$B$4,D:D)),MAX($C$3:OFFSET(C4031,-1,0))+1,0)</f>
        <v>0</v>
      </c>
      <c r="E4031" s="9" t="str">
        <f t="shared" ca="1" si="74"/>
        <v/>
      </c>
      <c r="F4031" s="4" t="s">
        <v>15</v>
      </c>
      <c r="G4031" s="2">
        <f>IF(ISNUMBER(SEARCH(Лист2!$B$4,F:F)),1,0)</f>
        <v>0</v>
      </c>
      <c r="H4031" s="3">
        <f ca="1">IF(AND(I4031&lt;&gt;I4030,ISNUMBER(SEARCH(Лист2!$B$5,I:I)),G4031=1),MAX($H$3:OFFSET(H4031,-1,0))+1,0)</f>
        <v>0</v>
      </c>
      <c r="I4031" s="3" t="s">
        <v>291</v>
      </c>
      <c r="K4031" s="2">
        <f>IF(ISNUMBER(SEARCH(Лист2!$B$4,F:F)),1,0)</f>
        <v>0</v>
      </c>
      <c r="L4031" s="14">
        <f>IF(ISNUMBER(SEARCH(Лист2!$B$5,I:I)),1,0)+K4031</f>
        <v>0</v>
      </c>
      <c r="M4031" s="3">
        <f ca="1">IF(AND(N4031&lt;&gt;N4030,ISNUMBER(SEARCH(Лист2!$B$6,N:N)),L4031=2),MAX($M$3:OFFSET(M4031,-1,0))+1,0)</f>
        <v>0</v>
      </c>
      <c r="N4031" s="3" t="s">
        <v>602</v>
      </c>
    </row>
    <row r="4032" spans="1:14" x14ac:dyDescent="0.25">
      <c r="A4032" s="1" t="s">
        <v>12822</v>
      </c>
      <c r="B4032" s="3" t="s">
        <v>7656</v>
      </c>
      <c r="C4032" s="2">
        <f ca="1">IF(ISNUMBER(SEARCH(Лист2!$B$4,D:D)),MAX($C$3:OFFSET(C4032,-1,0))+1,0)</f>
        <v>0</v>
      </c>
      <c r="E4032" s="9" t="str">
        <f t="shared" ca="1" si="74"/>
        <v/>
      </c>
      <c r="F4032" s="4" t="s">
        <v>15</v>
      </c>
      <c r="G4032" s="2">
        <f>IF(ISNUMBER(SEARCH(Лист2!$B$4,F:F)),1,0)</f>
        <v>0</v>
      </c>
      <c r="H4032" s="3">
        <f ca="1">IF(AND(I4032&lt;&gt;I4031,ISNUMBER(SEARCH(Лист2!$B$5,I:I)),G4032=1),MAX($H$3:OFFSET(H4032,-1,0))+1,0)</f>
        <v>0</v>
      </c>
      <c r="I4032" s="3" t="s">
        <v>291</v>
      </c>
      <c r="K4032" s="2">
        <f>IF(ISNUMBER(SEARCH(Лист2!$B$4,F:F)),1,0)</f>
        <v>0</v>
      </c>
      <c r="L4032" s="14">
        <f>IF(ISNUMBER(SEARCH(Лист2!$B$5,I:I)),1,0)+K4032</f>
        <v>0</v>
      </c>
      <c r="M4032" s="3">
        <f ca="1">IF(AND(N4032&lt;&gt;N4031,ISNUMBER(SEARCH(Лист2!$B$6,N:N)),L4032=2),MAX($M$3:OFFSET(M4032,-1,0))+1,0)</f>
        <v>0</v>
      </c>
      <c r="N4032" s="3" t="s">
        <v>2532</v>
      </c>
    </row>
    <row r="4033" spans="1:14" x14ac:dyDescent="0.25">
      <c r="A4033" s="1" t="s">
        <v>12823</v>
      </c>
      <c r="B4033" s="3" t="s">
        <v>7657</v>
      </c>
      <c r="C4033" s="2">
        <f ca="1">IF(ISNUMBER(SEARCH(Лист2!$B$4,D:D)),MAX($C$3:OFFSET(C4033,-1,0))+1,0)</f>
        <v>0</v>
      </c>
      <c r="E4033" s="9" t="str">
        <f t="shared" ca="1" si="74"/>
        <v/>
      </c>
      <c r="F4033" s="4" t="s">
        <v>15</v>
      </c>
      <c r="G4033" s="2">
        <f>IF(ISNUMBER(SEARCH(Лист2!$B$4,F:F)),1,0)</f>
        <v>0</v>
      </c>
      <c r="H4033" s="3">
        <f ca="1">IF(AND(I4033&lt;&gt;I4032,ISNUMBER(SEARCH(Лист2!$B$5,I:I)),G4033=1),MAX($H$3:OFFSET(H4033,-1,0))+1,0)</f>
        <v>0</v>
      </c>
      <c r="I4033" s="3" t="s">
        <v>291</v>
      </c>
      <c r="K4033" s="2">
        <f>IF(ISNUMBER(SEARCH(Лист2!$B$4,F:F)),1,0)</f>
        <v>0</v>
      </c>
      <c r="L4033" s="14">
        <f>IF(ISNUMBER(SEARCH(Лист2!$B$5,I:I)),1,0)+K4033</f>
        <v>0</v>
      </c>
      <c r="M4033" s="3">
        <f ca="1">IF(AND(N4033&lt;&gt;N4032,ISNUMBER(SEARCH(Лист2!$B$6,N:N)),L4033=2),MAX($M$3:OFFSET(M4033,-1,0))+1,0)</f>
        <v>0</v>
      </c>
      <c r="N4033" s="3" t="s">
        <v>2533</v>
      </c>
    </row>
    <row r="4034" spans="1:14" x14ac:dyDescent="0.25">
      <c r="A4034" s="1" t="s">
        <v>12824</v>
      </c>
      <c r="B4034" s="3" t="s">
        <v>7658</v>
      </c>
      <c r="C4034" s="2">
        <f ca="1">IF(ISNUMBER(SEARCH(Лист2!$B$4,D:D)),MAX($C$3:OFFSET(C4034,-1,0))+1,0)</f>
        <v>0</v>
      </c>
      <c r="E4034" s="9" t="str">
        <f t="shared" ca="1" si="74"/>
        <v/>
      </c>
      <c r="F4034" s="4" t="s">
        <v>15</v>
      </c>
      <c r="G4034" s="2">
        <f>IF(ISNUMBER(SEARCH(Лист2!$B$4,F:F)),1,0)</f>
        <v>0</v>
      </c>
      <c r="H4034" s="3">
        <f ca="1">IF(AND(I4034&lt;&gt;I4033,ISNUMBER(SEARCH(Лист2!$B$5,I:I)),G4034=1),MAX($H$3:OFFSET(H4034,-1,0))+1,0)</f>
        <v>0</v>
      </c>
      <c r="I4034" s="3" t="s">
        <v>291</v>
      </c>
      <c r="K4034" s="2">
        <f>IF(ISNUMBER(SEARCH(Лист2!$B$4,F:F)),1,0)</f>
        <v>0</v>
      </c>
      <c r="L4034" s="14">
        <f>IF(ISNUMBER(SEARCH(Лист2!$B$5,I:I)),1,0)+K4034</f>
        <v>0</v>
      </c>
      <c r="M4034" s="3">
        <f ca="1">IF(AND(N4034&lt;&gt;N4033,ISNUMBER(SEARCH(Лист2!$B$6,N:N)),L4034=2),MAX($M$3:OFFSET(M4034,-1,0))+1,0)</f>
        <v>0</v>
      </c>
      <c r="N4034" s="3" t="s">
        <v>2534</v>
      </c>
    </row>
    <row r="4035" spans="1:14" x14ac:dyDescent="0.25">
      <c r="A4035" s="1" t="s">
        <v>12825</v>
      </c>
      <c r="B4035" s="3" t="s">
        <v>7659</v>
      </c>
      <c r="C4035" s="2">
        <f ca="1">IF(ISNUMBER(SEARCH(Лист2!$B$4,D:D)),MAX($C$3:OFFSET(C4035,-1,0))+1,0)</f>
        <v>0</v>
      </c>
      <c r="E4035" s="9" t="str">
        <f t="shared" ca="1" si="74"/>
        <v/>
      </c>
      <c r="F4035" s="4" t="s">
        <v>15</v>
      </c>
      <c r="G4035" s="2">
        <f>IF(ISNUMBER(SEARCH(Лист2!$B$4,F:F)),1,0)</f>
        <v>0</v>
      </c>
      <c r="H4035" s="3">
        <f ca="1">IF(AND(I4035&lt;&gt;I4034,ISNUMBER(SEARCH(Лист2!$B$5,I:I)),G4035=1),MAX($H$3:OFFSET(H4035,-1,0))+1,0)</f>
        <v>0</v>
      </c>
      <c r="I4035" s="3" t="s">
        <v>291</v>
      </c>
      <c r="K4035" s="2">
        <f>IF(ISNUMBER(SEARCH(Лист2!$B$4,F:F)),1,0)</f>
        <v>0</v>
      </c>
      <c r="L4035" s="14">
        <f>IF(ISNUMBER(SEARCH(Лист2!$B$5,I:I)),1,0)+K4035</f>
        <v>0</v>
      </c>
      <c r="M4035" s="3">
        <f ca="1">IF(AND(N4035&lt;&gt;N4034,ISNUMBER(SEARCH(Лист2!$B$6,N:N)),L4035=2),MAX($M$3:OFFSET(M4035,-1,0))+1,0)</f>
        <v>0</v>
      </c>
      <c r="N4035" s="3" t="s">
        <v>2535</v>
      </c>
    </row>
    <row r="4036" spans="1:14" x14ac:dyDescent="0.25">
      <c r="A4036" s="1" t="s">
        <v>12826</v>
      </c>
      <c r="B4036" s="3" t="s">
        <v>7660</v>
      </c>
      <c r="C4036" s="2">
        <f ca="1">IF(ISNUMBER(SEARCH(Лист2!$B$4,D:D)),MAX($C$3:OFFSET(C4036,-1,0))+1,0)</f>
        <v>0</v>
      </c>
      <c r="E4036" s="9" t="str">
        <f t="shared" ca="1" si="74"/>
        <v/>
      </c>
      <c r="F4036" s="4" t="s">
        <v>15</v>
      </c>
      <c r="G4036" s="2">
        <f>IF(ISNUMBER(SEARCH(Лист2!$B$4,F:F)),1,0)</f>
        <v>0</v>
      </c>
      <c r="H4036" s="3">
        <f ca="1">IF(AND(I4036&lt;&gt;I4035,ISNUMBER(SEARCH(Лист2!$B$5,I:I)),G4036=1),MAX($H$3:OFFSET(H4036,-1,0))+1,0)</f>
        <v>0</v>
      </c>
      <c r="I4036" s="3" t="s">
        <v>291</v>
      </c>
      <c r="K4036" s="2">
        <f>IF(ISNUMBER(SEARCH(Лист2!$B$4,F:F)),1,0)</f>
        <v>0</v>
      </c>
      <c r="L4036" s="14">
        <f>IF(ISNUMBER(SEARCH(Лист2!$B$5,I:I)),1,0)+K4036</f>
        <v>0</v>
      </c>
      <c r="M4036" s="3">
        <f ca="1">IF(AND(N4036&lt;&gt;N4035,ISNUMBER(SEARCH(Лист2!$B$6,N:N)),L4036=2),MAX($M$3:OFFSET(M4036,-1,0))+1,0)</f>
        <v>0</v>
      </c>
      <c r="N4036" s="3" t="s">
        <v>2536</v>
      </c>
    </row>
    <row r="4037" spans="1:14" x14ac:dyDescent="0.25">
      <c r="A4037" s="1" t="s">
        <v>12827</v>
      </c>
      <c r="B4037" s="3" t="s">
        <v>7661</v>
      </c>
      <c r="C4037" s="2">
        <f ca="1">IF(ISNUMBER(SEARCH(Лист2!$B$4,D:D)),MAX($C$3:OFFSET(C4037,-1,0))+1,0)</f>
        <v>0</v>
      </c>
      <c r="E4037" s="9" t="str">
        <f t="shared" ref="E4037:E4100" ca="1" si="75">IFERROR(INDEX(D:D,MATCH(ROW(E4037)-ROW($E$3),C:C,0)),"")</f>
        <v/>
      </c>
      <c r="F4037" s="4" t="s">
        <v>15</v>
      </c>
      <c r="G4037" s="2">
        <f>IF(ISNUMBER(SEARCH(Лист2!$B$4,F:F)),1,0)</f>
        <v>0</v>
      </c>
      <c r="H4037" s="3">
        <f ca="1">IF(AND(I4037&lt;&gt;I4036,ISNUMBER(SEARCH(Лист2!$B$5,I:I)),G4037=1),MAX($H$3:OFFSET(H4037,-1,0))+1,0)</f>
        <v>0</v>
      </c>
      <c r="I4037" s="3" t="s">
        <v>291</v>
      </c>
      <c r="K4037" s="2">
        <f>IF(ISNUMBER(SEARCH(Лист2!$B$4,F:F)),1,0)</f>
        <v>0</v>
      </c>
      <c r="L4037" s="14">
        <f>IF(ISNUMBER(SEARCH(Лист2!$B$5,I:I)),1,0)+K4037</f>
        <v>0</v>
      </c>
      <c r="M4037" s="3">
        <f ca="1">IF(AND(N4037&lt;&gt;N4036,ISNUMBER(SEARCH(Лист2!$B$6,N:N)),L4037=2),MAX($M$3:OFFSET(M4037,-1,0))+1,0)</f>
        <v>0</v>
      </c>
      <c r="N4037" s="3" t="s">
        <v>2537</v>
      </c>
    </row>
    <row r="4038" spans="1:14" x14ac:dyDescent="0.25">
      <c r="A4038" s="1" t="s">
        <v>12828</v>
      </c>
      <c r="B4038" s="3" t="s">
        <v>7662</v>
      </c>
      <c r="C4038" s="2">
        <f ca="1">IF(ISNUMBER(SEARCH(Лист2!$B$4,D:D)),MAX($C$3:OFFSET(C4038,-1,0))+1,0)</f>
        <v>0</v>
      </c>
      <c r="E4038" s="9" t="str">
        <f t="shared" ca="1" si="75"/>
        <v/>
      </c>
      <c r="F4038" s="4" t="s">
        <v>15</v>
      </c>
      <c r="G4038" s="2">
        <f>IF(ISNUMBER(SEARCH(Лист2!$B$4,F:F)),1,0)</f>
        <v>0</v>
      </c>
      <c r="H4038" s="3">
        <f ca="1">IF(AND(I4038&lt;&gt;I4037,ISNUMBER(SEARCH(Лист2!$B$5,I:I)),G4038=1),MAX($H$3:OFFSET(H4038,-1,0))+1,0)</f>
        <v>0</v>
      </c>
      <c r="I4038" s="3" t="s">
        <v>291</v>
      </c>
      <c r="K4038" s="2">
        <f>IF(ISNUMBER(SEARCH(Лист2!$B$4,F:F)),1,0)</f>
        <v>0</v>
      </c>
      <c r="L4038" s="14">
        <f>IF(ISNUMBER(SEARCH(Лист2!$B$5,I:I)),1,0)+K4038</f>
        <v>0</v>
      </c>
      <c r="M4038" s="3">
        <f ca="1">IF(AND(N4038&lt;&gt;N4037,ISNUMBER(SEARCH(Лист2!$B$6,N:N)),L4038=2),MAX($M$3:OFFSET(M4038,-1,0))+1,0)</f>
        <v>0</v>
      </c>
      <c r="N4038" s="3" t="s">
        <v>2538</v>
      </c>
    </row>
    <row r="4039" spans="1:14" x14ac:dyDescent="0.25">
      <c r="A4039" s="1" t="s">
        <v>12829</v>
      </c>
      <c r="B4039" s="3" t="s">
        <v>7663</v>
      </c>
      <c r="C4039" s="2">
        <f ca="1">IF(ISNUMBER(SEARCH(Лист2!$B$4,D:D)),MAX($C$3:OFFSET(C4039,-1,0))+1,0)</f>
        <v>0</v>
      </c>
      <c r="E4039" s="9" t="str">
        <f t="shared" ca="1" si="75"/>
        <v/>
      </c>
      <c r="F4039" s="4" t="s">
        <v>15</v>
      </c>
      <c r="G4039" s="2">
        <f>IF(ISNUMBER(SEARCH(Лист2!$B$4,F:F)),1,0)</f>
        <v>0</v>
      </c>
      <c r="H4039" s="3">
        <f ca="1">IF(AND(I4039&lt;&gt;I4038,ISNUMBER(SEARCH(Лист2!$B$5,I:I)),G4039=1),MAX($H$3:OFFSET(H4039,-1,0))+1,0)</f>
        <v>0</v>
      </c>
      <c r="I4039" s="3" t="s">
        <v>291</v>
      </c>
      <c r="K4039" s="2">
        <f>IF(ISNUMBER(SEARCH(Лист2!$B$4,F:F)),1,0)</f>
        <v>0</v>
      </c>
      <c r="L4039" s="14">
        <f>IF(ISNUMBER(SEARCH(Лист2!$B$5,I:I)),1,0)+K4039</f>
        <v>0</v>
      </c>
      <c r="M4039" s="3">
        <f ca="1">IF(AND(N4039&lt;&gt;N4038,ISNUMBER(SEARCH(Лист2!$B$6,N:N)),L4039=2),MAX($M$3:OFFSET(M4039,-1,0))+1,0)</f>
        <v>0</v>
      </c>
      <c r="N4039" s="3" t="s">
        <v>2539</v>
      </c>
    </row>
    <row r="4040" spans="1:14" x14ac:dyDescent="0.25">
      <c r="A4040" s="1" t="s">
        <v>12830</v>
      </c>
      <c r="B4040" s="3" t="s">
        <v>7664</v>
      </c>
      <c r="C4040" s="2">
        <f ca="1">IF(ISNUMBER(SEARCH(Лист2!$B$4,D:D)),MAX($C$3:OFFSET(C4040,-1,0))+1,0)</f>
        <v>0</v>
      </c>
      <c r="E4040" s="9" t="str">
        <f t="shared" ca="1" si="75"/>
        <v/>
      </c>
      <c r="F4040" s="4" t="s">
        <v>15</v>
      </c>
      <c r="G4040" s="2">
        <f>IF(ISNUMBER(SEARCH(Лист2!$B$4,F:F)),1,0)</f>
        <v>0</v>
      </c>
      <c r="H4040" s="3">
        <f ca="1">IF(AND(I4040&lt;&gt;I4039,ISNUMBER(SEARCH(Лист2!$B$5,I:I)),G4040=1),MAX($H$3:OFFSET(H4040,-1,0))+1,0)</f>
        <v>0</v>
      </c>
      <c r="I4040" s="3" t="s">
        <v>291</v>
      </c>
      <c r="K4040" s="2">
        <f>IF(ISNUMBER(SEARCH(Лист2!$B$4,F:F)),1,0)</f>
        <v>0</v>
      </c>
      <c r="L4040" s="14">
        <f>IF(ISNUMBER(SEARCH(Лист2!$B$5,I:I)),1,0)+K4040</f>
        <v>0</v>
      </c>
      <c r="M4040" s="3">
        <f ca="1">IF(AND(N4040&lt;&gt;N4039,ISNUMBER(SEARCH(Лист2!$B$6,N:N)),L4040=2),MAX($M$3:OFFSET(M4040,-1,0))+1,0)</f>
        <v>0</v>
      </c>
      <c r="N4040" s="3" t="s">
        <v>2540</v>
      </c>
    </row>
    <row r="4041" spans="1:14" x14ac:dyDescent="0.25">
      <c r="A4041" s="1" t="s">
        <v>12831</v>
      </c>
      <c r="B4041" s="3" t="s">
        <v>7665</v>
      </c>
      <c r="C4041" s="2">
        <f ca="1">IF(ISNUMBER(SEARCH(Лист2!$B$4,D:D)),MAX($C$3:OFFSET(C4041,-1,0))+1,0)</f>
        <v>0</v>
      </c>
      <c r="E4041" s="9" t="str">
        <f t="shared" ca="1" si="75"/>
        <v/>
      </c>
      <c r="F4041" s="4" t="s">
        <v>15</v>
      </c>
      <c r="G4041" s="2">
        <f>IF(ISNUMBER(SEARCH(Лист2!$B$4,F:F)),1,0)</f>
        <v>0</v>
      </c>
      <c r="H4041" s="3">
        <f ca="1">IF(AND(I4041&lt;&gt;I4040,ISNUMBER(SEARCH(Лист2!$B$5,I:I)),G4041=1),MAX($H$3:OFFSET(H4041,-1,0))+1,0)</f>
        <v>0</v>
      </c>
      <c r="I4041" s="3" t="s">
        <v>339</v>
      </c>
      <c r="K4041" s="2">
        <f>IF(ISNUMBER(SEARCH(Лист2!$B$4,F:F)),1,0)</f>
        <v>0</v>
      </c>
      <c r="L4041" s="14">
        <f>IF(ISNUMBER(SEARCH(Лист2!$B$5,I:I)),1,0)+K4041</f>
        <v>0</v>
      </c>
      <c r="M4041" s="3">
        <f ca="1">IF(AND(N4041&lt;&gt;N4040,ISNUMBER(SEARCH(Лист2!$B$6,N:N)),L4041=2),MAX($M$3:OFFSET(M4041,-1,0))+1,0)</f>
        <v>0</v>
      </c>
      <c r="N4041" s="3" t="s">
        <v>2541</v>
      </c>
    </row>
    <row r="4042" spans="1:14" x14ac:dyDescent="0.25">
      <c r="A4042" s="1" t="s">
        <v>12832</v>
      </c>
      <c r="B4042" s="3" t="s">
        <v>7666</v>
      </c>
      <c r="C4042" s="2">
        <f ca="1">IF(ISNUMBER(SEARCH(Лист2!$B$4,D:D)),MAX($C$3:OFFSET(C4042,-1,0))+1,0)</f>
        <v>0</v>
      </c>
      <c r="E4042" s="9" t="str">
        <f t="shared" ca="1" si="75"/>
        <v/>
      </c>
      <c r="F4042" s="4" t="s">
        <v>15</v>
      </c>
      <c r="G4042" s="2">
        <f>IF(ISNUMBER(SEARCH(Лист2!$B$4,F:F)),1,0)</f>
        <v>0</v>
      </c>
      <c r="H4042" s="3">
        <f ca="1">IF(AND(I4042&lt;&gt;I4041,ISNUMBER(SEARCH(Лист2!$B$5,I:I)),G4042=1),MAX($H$3:OFFSET(H4042,-1,0))+1,0)</f>
        <v>0</v>
      </c>
      <c r="I4042" s="3" t="s">
        <v>339</v>
      </c>
      <c r="K4042" s="2">
        <f>IF(ISNUMBER(SEARCH(Лист2!$B$4,F:F)),1,0)</f>
        <v>0</v>
      </c>
      <c r="L4042" s="14">
        <f>IF(ISNUMBER(SEARCH(Лист2!$B$5,I:I)),1,0)+K4042</f>
        <v>0</v>
      </c>
      <c r="M4042" s="3">
        <f ca="1">IF(AND(N4042&lt;&gt;N4041,ISNUMBER(SEARCH(Лист2!$B$6,N:N)),L4042=2),MAX($M$3:OFFSET(M4042,-1,0))+1,0)</f>
        <v>0</v>
      </c>
      <c r="N4042" s="3" t="s">
        <v>2542</v>
      </c>
    </row>
    <row r="4043" spans="1:14" x14ac:dyDescent="0.25">
      <c r="A4043" s="1" t="s">
        <v>12833</v>
      </c>
      <c r="B4043" s="3" t="s">
        <v>7667</v>
      </c>
      <c r="C4043" s="2">
        <f ca="1">IF(ISNUMBER(SEARCH(Лист2!$B$4,D:D)),MAX($C$3:OFFSET(C4043,-1,0))+1,0)</f>
        <v>0</v>
      </c>
      <c r="E4043" s="9" t="str">
        <f t="shared" ca="1" si="75"/>
        <v/>
      </c>
      <c r="F4043" s="4" t="s">
        <v>15</v>
      </c>
      <c r="G4043" s="2">
        <f>IF(ISNUMBER(SEARCH(Лист2!$B$4,F:F)),1,0)</f>
        <v>0</v>
      </c>
      <c r="H4043" s="3">
        <f ca="1">IF(AND(I4043&lt;&gt;I4042,ISNUMBER(SEARCH(Лист2!$B$5,I:I)),G4043=1),MAX($H$3:OFFSET(H4043,-1,0))+1,0)</f>
        <v>0</v>
      </c>
      <c r="I4043" s="3" t="s">
        <v>339</v>
      </c>
      <c r="K4043" s="2">
        <f>IF(ISNUMBER(SEARCH(Лист2!$B$4,F:F)),1,0)</f>
        <v>0</v>
      </c>
      <c r="L4043" s="14">
        <f>IF(ISNUMBER(SEARCH(Лист2!$B$5,I:I)),1,0)+K4043</f>
        <v>0</v>
      </c>
      <c r="M4043" s="3">
        <f ca="1">IF(AND(N4043&lt;&gt;N4042,ISNUMBER(SEARCH(Лист2!$B$6,N:N)),L4043=2),MAX($M$3:OFFSET(M4043,-1,0))+1,0)</f>
        <v>0</v>
      </c>
      <c r="N4043" s="3" t="s">
        <v>2543</v>
      </c>
    </row>
    <row r="4044" spans="1:14" x14ac:dyDescent="0.25">
      <c r="A4044" s="1" t="s">
        <v>12834</v>
      </c>
      <c r="B4044" s="3" t="s">
        <v>7668</v>
      </c>
      <c r="C4044" s="2">
        <f ca="1">IF(ISNUMBER(SEARCH(Лист2!$B$4,D:D)),MAX($C$3:OFFSET(C4044,-1,0))+1,0)</f>
        <v>0</v>
      </c>
      <c r="E4044" s="9" t="str">
        <f t="shared" ca="1" si="75"/>
        <v/>
      </c>
      <c r="F4044" s="4" t="s">
        <v>15</v>
      </c>
      <c r="G4044" s="2">
        <f>IF(ISNUMBER(SEARCH(Лист2!$B$4,F:F)),1,0)</f>
        <v>0</v>
      </c>
      <c r="H4044" s="3">
        <f ca="1">IF(AND(I4044&lt;&gt;I4043,ISNUMBER(SEARCH(Лист2!$B$5,I:I)),G4044=1),MAX($H$3:OFFSET(H4044,-1,0))+1,0)</f>
        <v>0</v>
      </c>
      <c r="I4044" s="3" t="s">
        <v>339</v>
      </c>
      <c r="K4044" s="2">
        <f>IF(ISNUMBER(SEARCH(Лист2!$B$4,F:F)),1,0)</f>
        <v>0</v>
      </c>
      <c r="L4044" s="14">
        <f>IF(ISNUMBER(SEARCH(Лист2!$B$5,I:I)),1,0)+K4044</f>
        <v>0</v>
      </c>
      <c r="M4044" s="3">
        <f ca="1">IF(AND(N4044&lt;&gt;N4043,ISNUMBER(SEARCH(Лист2!$B$6,N:N)),L4044=2),MAX($M$3:OFFSET(M4044,-1,0))+1,0)</f>
        <v>0</v>
      </c>
      <c r="N4044" s="3" t="s">
        <v>2544</v>
      </c>
    </row>
    <row r="4045" spans="1:14" x14ac:dyDescent="0.25">
      <c r="A4045" s="1" t="s">
        <v>12835</v>
      </c>
      <c r="B4045" s="3" t="s">
        <v>7669</v>
      </c>
      <c r="C4045" s="2">
        <f ca="1">IF(ISNUMBER(SEARCH(Лист2!$B$4,D:D)),MAX($C$3:OFFSET(C4045,-1,0))+1,0)</f>
        <v>0</v>
      </c>
      <c r="E4045" s="9" t="str">
        <f t="shared" ca="1" si="75"/>
        <v/>
      </c>
      <c r="F4045" s="4" t="s">
        <v>15</v>
      </c>
      <c r="G4045" s="2">
        <f>IF(ISNUMBER(SEARCH(Лист2!$B$4,F:F)),1,0)</f>
        <v>0</v>
      </c>
      <c r="H4045" s="3">
        <f ca="1">IF(AND(I4045&lt;&gt;I4044,ISNUMBER(SEARCH(Лист2!$B$5,I:I)),G4045=1),MAX($H$3:OFFSET(H4045,-1,0))+1,0)</f>
        <v>0</v>
      </c>
      <c r="I4045" s="3" t="s">
        <v>339</v>
      </c>
      <c r="K4045" s="2">
        <f>IF(ISNUMBER(SEARCH(Лист2!$B$4,F:F)),1,0)</f>
        <v>0</v>
      </c>
      <c r="L4045" s="14">
        <f>IF(ISNUMBER(SEARCH(Лист2!$B$5,I:I)),1,0)+K4045</f>
        <v>0</v>
      </c>
      <c r="M4045" s="3">
        <f ca="1">IF(AND(N4045&lt;&gt;N4044,ISNUMBER(SEARCH(Лист2!$B$6,N:N)),L4045=2),MAX($M$3:OFFSET(M4045,-1,0))+1,0)</f>
        <v>0</v>
      </c>
      <c r="N4045" s="3" t="s">
        <v>2545</v>
      </c>
    </row>
    <row r="4046" spans="1:14" x14ac:dyDescent="0.25">
      <c r="A4046" s="1" t="s">
        <v>12836</v>
      </c>
      <c r="B4046" s="3" t="s">
        <v>7670</v>
      </c>
      <c r="C4046" s="2">
        <f ca="1">IF(ISNUMBER(SEARCH(Лист2!$B$4,D:D)),MAX($C$3:OFFSET(C4046,-1,0))+1,0)</f>
        <v>0</v>
      </c>
      <c r="E4046" s="9" t="str">
        <f t="shared" ca="1" si="75"/>
        <v/>
      </c>
      <c r="F4046" s="4" t="s">
        <v>15</v>
      </c>
      <c r="G4046" s="2">
        <f>IF(ISNUMBER(SEARCH(Лист2!$B$4,F:F)),1,0)</f>
        <v>0</v>
      </c>
      <c r="H4046" s="3">
        <f ca="1">IF(AND(I4046&lt;&gt;I4045,ISNUMBER(SEARCH(Лист2!$B$5,I:I)),G4046=1),MAX($H$3:OFFSET(H4046,-1,0))+1,0)</f>
        <v>0</v>
      </c>
      <c r="I4046" s="3" t="s">
        <v>339</v>
      </c>
      <c r="K4046" s="2">
        <f>IF(ISNUMBER(SEARCH(Лист2!$B$4,F:F)),1,0)</f>
        <v>0</v>
      </c>
      <c r="L4046" s="14">
        <f>IF(ISNUMBER(SEARCH(Лист2!$B$5,I:I)),1,0)+K4046</f>
        <v>0</v>
      </c>
      <c r="M4046" s="3">
        <f ca="1">IF(AND(N4046&lt;&gt;N4045,ISNUMBER(SEARCH(Лист2!$B$6,N:N)),L4046=2),MAX($M$3:OFFSET(M4046,-1,0))+1,0)</f>
        <v>0</v>
      </c>
      <c r="N4046" s="3" t="s">
        <v>2489</v>
      </c>
    </row>
    <row r="4047" spans="1:14" x14ac:dyDescent="0.25">
      <c r="A4047" s="1" t="s">
        <v>12837</v>
      </c>
      <c r="B4047" s="3" t="s">
        <v>7671</v>
      </c>
      <c r="C4047" s="2">
        <f ca="1">IF(ISNUMBER(SEARCH(Лист2!$B$4,D:D)),MAX($C$3:OFFSET(C4047,-1,0))+1,0)</f>
        <v>0</v>
      </c>
      <c r="E4047" s="9" t="str">
        <f t="shared" ca="1" si="75"/>
        <v/>
      </c>
      <c r="F4047" s="4" t="s">
        <v>15</v>
      </c>
      <c r="G4047" s="2">
        <f>IF(ISNUMBER(SEARCH(Лист2!$B$4,F:F)),1,0)</f>
        <v>0</v>
      </c>
      <c r="H4047" s="3">
        <f ca="1">IF(AND(I4047&lt;&gt;I4046,ISNUMBER(SEARCH(Лист2!$B$5,I:I)),G4047=1),MAX($H$3:OFFSET(H4047,-1,0))+1,0)</f>
        <v>0</v>
      </c>
      <c r="I4047" s="3" t="s">
        <v>339</v>
      </c>
      <c r="K4047" s="2">
        <f>IF(ISNUMBER(SEARCH(Лист2!$B$4,F:F)),1,0)</f>
        <v>0</v>
      </c>
      <c r="L4047" s="14">
        <f>IF(ISNUMBER(SEARCH(Лист2!$B$5,I:I)),1,0)+K4047</f>
        <v>0</v>
      </c>
      <c r="M4047" s="3">
        <f ca="1">IF(AND(N4047&lt;&gt;N4046,ISNUMBER(SEARCH(Лист2!$B$6,N:N)),L4047=2),MAX($M$3:OFFSET(M4047,-1,0))+1,0)</f>
        <v>0</v>
      </c>
      <c r="N4047" s="3" t="s">
        <v>602</v>
      </c>
    </row>
    <row r="4048" spans="1:14" x14ac:dyDescent="0.25">
      <c r="A4048" s="1" t="s">
        <v>12838</v>
      </c>
      <c r="B4048" s="3" t="s">
        <v>7672</v>
      </c>
      <c r="C4048" s="2">
        <f ca="1">IF(ISNUMBER(SEARCH(Лист2!$B$4,D:D)),MAX($C$3:OFFSET(C4048,-1,0))+1,0)</f>
        <v>0</v>
      </c>
      <c r="E4048" s="9" t="str">
        <f t="shared" ca="1" si="75"/>
        <v/>
      </c>
      <c r="F4048" s="4" t="s">
        <v>15</v>
      </c>
      <c r="G4048" s="2">
        <f>IF(ISNUMBER(SEARCH(Лист2!$B$4,F:F)),1,0)</f>
        <v>0</v>
      </c>
      <c r="H4048" s="3">
        <f ca="1">IF(AND(I4048&lt;&gt;I4047,ISNUMBER(SEARCH(Лист2!$B$5,I:I)),G4048=1),MAX($H$3:OFFSET(H4048,-1,0))+1,0)</f>
        <v>0</v>
      </c>
      <c r="I4048" s="3" t="s">
        <v>339</v>
      </c>
      <c r="K4048" s="2">
        <f>IF(ISNUMBER(SEARCH(Лист2!$B$4,F:F)),1,0)</f>
        <v>0</v>
      </c>
      <c r="L4048" s="14">
        <f>IF(ISNUMBER(SEARCH(Лист2!$B$5,I:I)),1,0)+K4048</f>
        <v>0</v>
      </c>
      <c r="M4048" s="3">
        <f ca="1">IF(AND(N4048&lt;&gt;N4047,ISNUMBER(SEARCH(Лист2!$B$6,N:N)),L4048=2),MAX($M$3:OFFSET(M4048,-1,0))+1,0)</f>
        <v>0</v>
      </c>
      <c r="N4048" s="3" t="s">
        <v>2546</v>
      </c>
    </row>
    <row r="4049" spans="1:14" x14ac:dyDescent="0.25">
      <c r="A4049" s="1" t="s">
        <v>12839</v>
      </c>
      <c r="B4049" s="3" t="s">
        <v>7673</v>
      </c>
      <c r="C4049" s="2">
        <f ca="1">IF(ISNUMBER(SEARCH(Лист2!$B$4,D:D)),MAX($C$3:OFFSET(C4049,-1,0))+1,0)</f>
        <v>0</v>
      </c>
      <c r="E4049" s="9" t="str">
        <f t="shared" ca="1" si="75"/>
        <v/>
      </c>
      <c r="F4049" s="4" t="s">
        <v>15</v>
      </c>
      <c r="G4049" s="2">
        <f>IF(ISNUMBER(SEARCH(Лист2!$B$4,F:F)),1,0)</f>
        <v>0</v>
      </c>
      <c r="H4049" s="3">
        <f ca="1">IF(AND(I4049&lt;&gt;I4048,ISNUMBER(SEARCH(Лист2!$B$5,I:I)),G4049=1),MAX($H$3:OFFSET(H4049,-1,0))+1,0)</f>
        <v>0</v>
      </c>
      <c r="I4049" s="3" t="s">
        <v>339</v>
      </c>
      <c r="K4049" s="2">
        <f>IF(ISNUMBER(SEARCH(Лист2!$B$4,F:F)),1,0)</f>
        <v>0</v>
      </c>
      <c r="L4049" s="14">
        <f>IF(ISNUMBER(SEARCH(Лист2!$B$5,I:I)),1,0)+K4049</f>
        <v>0</v>
      </c>
      <c r="M4049" s="3">
        <f ca="1">IF(AND(N4049&lt;&gt;N4048,ISNUMBER(SEARCH(Лист2!$B$6,N:N)),L4049=2),MAX($M$3:OFFSET(M4049,-1,0))+1,0)</f>
        <v>0</v>
      </c>
      <c r="N4049" s="3" t="s">
        <v>2547</v>
      </c>
    </row>
    <row r="4050" spans="1:14" x14ac:dyDescent="0.25">
      <c r="A4050" s="1" t="s">
        <v>12840</v>
      </c>
      <c r="B4050" s="3" t="s">
        <v>7674</v>
      </c>
      <c r="C4050" s="2">
        <f ca="1">IF(ISNUMBER(SEARCH(Лист2!$B$4,D:D)),MAX($C$3:OFFSET(C4050,-1,0))+1,0)</f>
        <v>0</v>
      </c>
      <c r="E4050" s="9" t="str">
        <f t="shared" ca="1" si="75"/>
        <v/>
      </c>
      <c r="F4050" s="4" t="s">
        <v>15</v>
      </c>
      <c r="G4050" s="2">
        <f>IF(ISNUMBER(SEARCH(Лист2!$B$4,F:F)),1,0)</f>
        <v>0</v>
      </c>
      <c r="H4050" s="3">
        <f ca="1">IF(AND(I4050&lt;&gt;I4049,ISNUMBER(SEARCH(Лист2!$B$5,I:I)),G4050=1),MAX($H$3:OFFSET(H4050,-1,0))+1,0)</f>
        <v>0</v>
      </c>
      <c r="I4050" s="3" t="s">
        <v>339</v>
      </c>
      <c r="K4050" s="2">
        <f>IF(ISNUMBER(SEARCH(Лист2!$B$4,F:F)),1,0)</f>
        <v>0</v>
      </c>
      <c r="L4050" s="14">
        <f>IF(ISNUMBER(SEARCH(Лист2!$B$5,I:I)),1,0)+K4050</f>
        <v>0</v>
      </c>
      <c r="M4050" s="3">
        <f ca="1">IF(AND(N4050&lt;&gt;N4049,ISNUMBER(SEARCH(Лист2!$B$6,N:N)),L4050=2),MAX($M$3:OFFSET(M4050,-1,0))+1,0)</f>
        <v>0</v>
      </c>
      <c r="N4050" s="3" t="s">
        <v>2548</v>
      </c>
    </row>
    <row r="4051" spans="1:14" x14ac:dyDescent="0.25">
      <c r="A4051" s="1" t="s">
        <v>12841</v>
      </c>
      <c r="B4051" s="3" t="s">
        <v>7675</v>
      </c>
      <c r="C4051" s="2">
        <f ca="1">IF(ISNUMBER(SEARCH(Лист2!$B$4,D:D)),MAX($C$3:OFFSET(C4051,-1,0))+1,0)</f>
        <v>0</v>
      </c>
      <c r="E4051" s="9" t="str">
        <f t="shared" ca="1" si="75"/>
        <v/>
      </c>
      <c r="F4051" s="4" t="s">
        <v>15</v>
      </c>
      <c r="G4051" s="2">
        <f>IF(ISNUMBER(SEARCH(Лист2!$B$4,F:F)),1,0)</f>
        <v>0</v>
      </c>
      <c r="H4051" s="3">
        <f ca="1">IF(AND(I4051&lt;&gt;I4050,ISNUMBER(SEARCH(Лист2!$B$5,I:I)),G4051=1),MAX($H$3:OFFSET(H4051,-1,0))+1,0)</f>
        <v>0</v>
      </c>
      <c r="I4051" s="3" t="s">
        <v>339</v>
      </c>
      <c r="K4051" s="2">
        <f>IF(ISNUMBER(SEARCH(Лист2!$B$4,F:F)),1,0)</f>
        <v>0</v>
      </c>
      <c r="L4051" s="14">
        <f>IF(ISNUMBER(SEARCH(Лист2!$B$5,I:I)),1,0)+K4051</f>
        <v>0</v>
      </c>
      <c r="M4051" s="3">
        <f ca="1">IF(AND(N4051&lt;&gt;N4050,ISNUMBER(SEARCH(Лист2!$B$6,N:N)),L4051=2),MAX($M$3:OFFSET(M4051,-1,0))+1,0)</f>
        <v>0</v>
      </c>
      <c r="N4051" s="3" t="s">
        <v>2549</v>
      </c>
    </row>
    <row r="4052" spans="1:14" x14ac:dyDescent="0.25">
      <c r="A4052" s="1" t="s">
        <v>12842</v>
      </c>
      <c r="B4052" s="3" t="s">
        <v>7676</v>
      </c>
      <c r="C4052" s="2">
        <f ca="1">IF(ISNUMBER(SEARCH(Лист2!$B$4,D:D)),MAX($C$3:OFFSET(C4052,-1,0))+1,0)</f>
        <v>0</v>
      </c>
      <c r="E4052" s="9" t="str">
        <f t="shared" ca="1" si="75"/>
        <v/>
      </c>
      <c r="F4052" s="4" t="s">
        <v>15</v>
      </c>
      <c r="G4052" s="2">
        <f>IF(ISNUMBER(SEARCH(Лист2!$B$4,F:F)),1,0)</f>
        <v>0</v>
      </c>
      <c r="H4052" s="3">
        <f ca="1">IF(AND(I4052&lt;&gt;I4051,ISNUMBER(SEARCH(Лист2!$B$5,I:I)),G4052=1),MAX($H$3:OFFSET(H4052,-1,0))+1,0)</f>
        <v>0</v>
      </c>
      <c r="I4052" s="3" t="s">
        <v>339</v>
      </c>
      <c r="K4052" s="2">
        <f>IF(ISNUMBER(SEARCH(Лист2!$B$4,F:F)),1,0)</f>
        <v>0</v>
      </c>
      <c r="L4052" s="14">
        <f>IF(ISNUMBER(SEARCH(Лист2!$B$5,I:I)),1,0)+K4052</f>
        <v>0</v>
      </c>
      <c r="M4052" s="3">
        <f ca="1">IF(AND(N4052&lt;&gt;N4051,ISNUMBER(SEARCH(Лист2!$B$6,N:N)),L4052=2),MAX($M$3:OFFSET(M4052,-1,0))+1,0)</f>
        <v>0</v>
      </c>
      <c r="N4052" s="3" t="s">
        <v>2550</v>
      </c>
    </row>
    <row r="4053" spans="1:14" x14ac:dyDescent="0.25">
      <c r="A4053" s="1" t="s">
        <v>12843</v>
      </c>
      <c r="B4053" s="3" t="s">
        <v>7677</v>
      </c>
      <c r="C4053" s="2">
        <f ca="1">IF(ISNUMBER(SEARCH(Лист2!$B$4,D:D)),MAX($C$3:OFFSET(C4053,-1,0))+1,0)</f>
        <v>0</v>
      </c>
      <c r="E4053" s="9" t="str">
        <f t="shared" ca="1" si="75"/>
        <v/>
      </c>
      <c r="F4053" s="4" t="s">
        <v>15</v>
      </c>
      <c r="G4053" s="2">
        <f>IF(ISNUMBER(SEARCH(Лист2!$B$4,F:F)),1,0)</f>
        <v>0</v>
      </c>
      <c r="H4053" s="3">
        <f ca="1">IF(AND(I4053&lt;&gt;I4052,ISNUMBER(SEARCH(Лист2!$B$5,I:I)),G4053=1),MAX($H$3:OFFSET(H4053,-1,0))+1,0)</f>
        <v>0</v>
      </c>
      <c r="I4053" s="3" t="s">
        <v>339</v>
      </c>
      <c r="K4053" s="2">
        <f>IF(ISNUMBER(SEARCH(Лист2!$B$4,F:F)),1,0)</f>
        <v>0</v>
      </c>
      <c r="L4053" s="14">
        <f>IF(ISNUMBER(SEARCH(Лист2!$B$5,I:I)),1,0)+K4053</f>
        <v>0</v>
      </c>
      <c r="M4053" s="3">
        <f ca="1">IF(AND(N4053&lt;&gt;N4052,ISNUMBER(SEARCH(Лист2!$B$6,N:N)),L4053=2),MAX($M$3:OFFSET(M4053,-1,0))+1,0)</f>
        <v>0</v>
      </c>
      <c r="N4053" s="3" t="s">
        <v>2551</v>
      </c>
    </row>
    <row r="4054" spans="1:14" x14ac:dyDescent="0.25">
      <c r="A4054" s="1" t="s">
        <v>12844</v>
      </c>
      <c r="B4054" s="3" t="s">
        <v>7678</v>
      </c>
      <c r="C4054" s="2">
        <f ca="1">IF(ISNUMBER(SEARCH(Лист2!$B$4,D:D)),MAX($C$3:OFFSET(C4054,-1,0))+1,0)</f>
        <v>0</v>
      </c>
      <c r="E4054" s="9" t="str">
        <f t="shared" ca="1" si="75"/>
        <v/>
      </c>
      <c r="F4054" s="4" t="s">
        <v>15</v>
      </c>
      <c r="G4054" s="2">
        <f>IF(ISNUMBER(SEARCH(Лист2!$B$4,F:F)),1,0)</f>
        <v>0</v>
      </c>
      <c r="H4054" s="3">
        <f ca="1">IF(AND(I4054&lt;&gt;I4053,ISNUMBER(SEARCH(Лист2!$B$5,I:I)),G4054=1),MAX($H$3:OFFSET(H4054,-1,0))+1,0)</f>
        <v>0</v>
      </c>
      <c r="I4054" s="3" t="s">
        <v>339</v>
      </c>
      <c r="K4054" s="2">
        <f>IF(ISNUMBER(SEARCH(Лист2!$B$4,F:F)),1,0)</f>
        <v>0</v>
      </c>
      <c r="L4054" s="14">
        <f>IF(ISNUMBER(SEARCH(Лист2!$B$5,I:I)),1,0)+K4054</f>
        <v>0</v>
      </c>
      <c r="M4054" s="3">
        <f ca="1">IF(AND(N4054&lt;&gt;N4053,ISNUMBER(SEARCH(Лист2!$B$6,N:N)),L4054=2),MAX($M$3:OFFSET(M4054,-1,0))+1,0)</f>
        <v>0</v>
      </c>
      <c r="N4054" s="3" t="s">
        <v>2552</v>
      </c>
    </row>
    <row r="4055" spans="1:14" x14ac:dyDescent="0.25">
      <c r="A4055" s="1" t="s">
        <v>12845</v>
      </c>
      <c r="B4055" s="3" t="s">
        <v>7679</v>
      </c>
      <c r="C4055" s="2">
        <f ca="1">IF(ISNUMBER(SEARCH(Лист2!$B$4,D:D)),MAX($C$3:OFFSET(C4055,-1,0))+1,0)</f>
        <v>0</v>
      </c>
      <c r="E4055" s="9" t="str">
        <f t="shared" ca="1" si="75"/>
        <v/>
      </c>
      <c r="F4055" s="4" t="s">
        <v>15</v>
      </c>
      <c r="G4055" s="2">
        <f>IF(ISNUMBER(SEARCH(Лист2!$B$4,F:F)),1,0)</f>
        <v>0</v>
      </c>
      <c r="H4055" s="3">
        <f ca="1">IF(AND(I4055&lt;&gt;I4054,ISNUMBER(SEARCH(Лист2!$B$5,I:I)),G4055=1),MAX($H$3:OFFSET(H4055,-1,0))+1,0)</f>
        <v>0</v>
      </c>
      <c r="I4055" s="3" t="s">
        <v>339</v>
      </c>
      <c r="K4055" s="2">
        <f>IF(ISNUMBER(SEARCH(Лист2!$B$4,F:F)),1,0)</f>
        <v>0</v>
      </c>
      <c r="L4055" s="14">
        <f>IF(ISNUMBER(SEARCH(Лист2!$B$5,I:I)),1,0)+K4055</f>
        <v>0</v>
      </c>
      <c r="M4055" s="3">
        <f ca="1">IF(AND(N4055&lt;&gt;N4054,ISNUMBER(SEARCH(Лист2!$B$6,N:N)),L4055=2),MAX($M$3:OFFSET(M4055,-1,0))+1,0)</f>
        <v>0</v>
      </c>
      <c r="N4055" s="3" t="s">
        <v>2553</v>
      </c>
    </row>
    <row r="4056" spans="1:14" x14ac:dyDescent="0.25">
      <c r="A4056" s="1" t="s">
        <v>12846</v>
      </c>
      <c r="B4056" s="3" t="s">
        <v>7680</v>
      </c>
      <c r="C4056" s="2">
        <f ca="1">IF(ISNUMBER(SEARCH(Лист2!$B$4,D:D)),MAX($C$3:OFFSET(C4056,-1,0))+1,0)</f>
        <v>0</v>
      </c>
      <c r="E4056" s="9" t="str">
        <f t="shared" ca="1" si="75"/>
        <v/>
      </c>
      <c r="F4056" s="4" t="s">
        <v>15</v>
      </c>
      <c r="G4056" s="2">
        <f>IF(ISNUMBER(SEARCH(Лист2!$B$4,F:F)),1,0)</f>
        <v>0</v>
      </c>
      <c r="H4056" s="3">
        <f ca="1">IF(AND(I4056&lt;&gt;I4055,ISNUMBER(SEARCH(Лист2!$B$5,I:I)),G4056=1),MAX($H$3:OFFSET(H4056,-1,0))+1,0)</f>
        <v>0</v>
      </c>
      <c r="I4056" s="3" t="s">
        <v>339</v>
      </c>
      <c r="K4056" s="2">
        <f>IF(ISNUMBER(SEARCH(Лист2!$B$4,F:F)),1,0)</f>
        <v>0</v>
      </c>
      <c r="L4056" s="14">
        <f>IF(ISNUMBER(SEARCH(Лист2!$B$5,I:I)),1,0)+K4056</f>
        <v>0</v>
      </c>
      <c r="M4056" s="3">
        <f ca="1">IF(AND(N4056&lt;&gt;N4055,ISNUMBER(SEARCH(Лист2!$B$6,N:N)),L4056=2),MAX($M$3:OFFSET(M4056,-1,0))+1,0)</f>
        <v>0</v>
      </c>
      <c r="N4056" s="3" t="s">
        <v>2554</v>
      </c>
    </row>
    <row r="4057" spans="1:14" x14ac:dyDescent="0.25">
      <c r="A4057" s="1" t="s">
        <v>12847</v>
      </c>
      <c r="B4057" s="3" t="s">
        <v>7681</v>
      </c>
      <c r="C4057" s="2">
        <f ca="1">IF(ISNUMBER(SEARCH(Лист2!$B$4,D:D)),MAX($C$3:OFFSET(C4057,-1,0))+1,0)</f>
        <v>0</v>
      </c>
      <c r="E4057" s="9" t="str">
        <f t="shared" ca="1" si="75"/>
        <v/>
      </c>
      <c r="F4057" s="4" t="s">
        <v>16</v>
      </c>
      <c r="G4057" s="2">
        <f>IF(ISNUMBER(SEARCH(Лист2!$B$4,F:F)),1,0)</f>
        <v>0</v>
      </c>
      <c r="H4057" s="3">
        <f ca="1">IF(AND(I4057&lt;&gt;I4056,ISNUMBER(SEARCH(Лист2!$B$5,I:I)),G4057=1),MAX($H$3:OFFSET(H4057,-1,0))+1,0)</f>
        <v>0</v>
      </c>
      <c r="I4057" s="3" t="s">
        <v>46</v>
      </c>
      <c r="K4057" s="2">
        <f>IF(ISNUMBER(SEARCH(Лист2!$B$4,F:F)),1,0)</f>
        <v>0</v>
      </c>
      <c r="L4057" s="14">
        <f>IF(ISNUMBER(SEARCH(Лист2!$B$5,I:I)),1,0)+K4057</f>
        <v>0</v>
      </c>
      <c r="M4057" s="3">
        <f ca="1">IF(AND(N4057&lt;&gt;N4056,ISNUMBER(SEARCH(Лист2!$B$6,N:N)),L4057=2),MAX($M$3:OFFSET(M4057,-1,0))+1,0)</f>
        <v>0</v>
      </c>
      <c r="N4057" s="3" t="s">
        <v>499</v>
      </c>
    </row>
    <row r="4058" spans="1:14" x14ac:dyDescent="0.25">
      <c r="A4058" s="1" t="s">
        <v>12848</v>
      </c>
      <c r="B4058" s="3" t="s">
        <v>7682</v>
      </c>
      <c r="C4058" s="2">
        <f ca="1">IF(ISNUMBER(SEARCH(Лист2!$B$4,D:D)),MAX($C$3:OFFSET(C4058,-1,0))+1,0)</f>
        <v>0</v>
      </c>
      <c r="E4058" s="9" t="str">
        <f t="shared" ca="1" si="75"/>
        <v/>
      </c>
      <c r="F4058" s="4" t="s">
        <v>16</v>
      </c>
      <c r="G4058" s="2">
        <f>IF(ISNUMBER(SEARCH(Лист2!$B$4,F:F)),1,0)</f>
        <v>0</v>
      </c>
      <c r="H4058" s="3">
        <f ca="1">IF(AND(I4058&lt;&gt;I4057,ISNUMBER(SEARCH(Лист2!$B$5,I:I)),G4058=1),MAX($H$3:OFFSET(H4058,-1,0))+1,0)</f>
        <v>0</v>
      </c>
      <c r="I4058" s="3" t="s">
        <v>46</v>
      </c>
      <c r="K4058" s="2">
        <f>IF(ISNUMBER(SEARCH(Лист2!$B$4,F:F)),1,0)</f>
        <v>0</v>
      </c>
      <c r="L4058" s="14">
        <f>IF(ISNUMBER(SEARCH(Лист2!$B$5,I:I)),1,0)+K4058</f>
        <v>0</v>
      </c>
      <c r="M4058" s="3">
        <f ca="1">IF(AND(N4058&lt;&gt;N4057,ISNUMBER(SEARCH(Лист2!$B$6,N:N)),L4058=2),MAX($M$3:OFFSET(M4058,-1,0))+1,0)</f>
        <v>0</v>
      </c>
      <c r="N4058" s="3" t="s">
        <v>500</v>
      </c>
    </row>
    <row r="4059" spans="1:14" x14ac:dyDescent="0.25">
      <c r="A4059" s="1" t="s">
        <v>12849</v>
      </c>
      <c r="B4059" s="3" t="s">
        <v>7683</v>
      </c>
      <c r="C4059" s="2">
        <f ca="1">IF(ISNUMBER(SEARCH(Лист2!$B$4,D:D)),MAX($C$3:OFFSET(C4059,-1,0))+1,0)</f>
        <v>0</v>
      </c>
      <c r="E4059" s="9" t="str">
        <f t="shared" ca="1" si="75"/>
        <v/>
      </c>
      <c r="F4059" s="4" t="s">
        <v>16</v>
      </c>
      <c r="G4059" s="2">
        <f>IF(ISNUMBER(SEARCH(Лист2!$B$4,F:F)),1,0)</f>
        <v>0</v>
      </c>
      <c r="H4059" s="3">
        <f ca="1">IF(AND(I4059&lt;&gt;I4058,ISNUMBER(SEARCH(Лист2!$B$5,I:I)),G4059=1),MAX($H$3:OFFSET(H4059,-1,0))+1,0)</f>
        <v>0</v>
      </c>
      <c r="I4059" s="3" t="s">
        <v>46</v>
      </c>
      <c r="K4059" s="2">
        <f>IF(ISNUMBER(SEARCH(Лист2!$B$4,F:F)),1,0)</f>
        <v>0</v>
      </c>
      <c r="L4059" s="14">
        <f>IF(ISNUMBER(SEARCH(Лист2!$B$5,I:I)),1,0)+K4059</f>
        <v>0</v>
      </c>
      <c r="M4059" s="3">
        <f ca="1">IF(AND(N4059&lt;&gt;N4058,ISNUMBER(SEARCH(Лист2!$B$6,N:N)),L4059=2),MAX($M$3:OFFSET(M4059,-1,0))+1,0)</f>
        <v>0</v>
      </c>
      <c r="N4059" s="3" t="s">
        <v>501</v>
      </c>
    </row>
    <row r="4060" spans="1:14" x14ac:dyDescent="0.25">
      <c r="A4060" s="1" t="s">
        <v>12850</v>
      </c>
      <c r="B4060" s="3" t="s">
        <v>7684</v>
      </c>
      <c r="C4060" s="2">
        <f ca="1">IF(ISNUMBER(SEARCH(Лист2!$B$4,D:D)),MAX($C$3:OFFSET(C4060,-1,0))+1,0)</f>
        <v>0</v>
      </c>
      <c r="E4060" s="9" t="str">
        <f t="shared" ca="1" si="75"/>
        <v/>
      </c>
      <c r="F4060" s="4" t="s">
        <v>16</v>
      </c>
      <c r="G4060" s="2">
        <f>IF(ISNUMBER(SEARCH(Лист2!$B$4,F:F)),1,0)</f>
        <v>0</v>
      </c>
      <c r="H4060" s="3">
        <f ca="1">IF(AND(I4060&lt;&gt;I4059,ISNUMBER(SEARCH(Лист2!$B$5,I:I)),G4060=1),MAX($H$3:OFFSET(H4060,-1,0))+1,0)</f>
        <v>0</v>
      </c>
      <c r="I4060" s="3" t="s">
        <v>46</v>
      </c>
      <c r="K4060" s="2">
        <f>IF(ISNUMBER(SEARCH(Лист2!$B$4,F:F)),1,0)</f>
        <v>0</v>
      </c>
      <c r="L4060" s="14">
        <f>IF(ISNUMBER(SEARCH(Лист2!$B$5,I:I)),1,0)+K4060</f>
        <v>0</v>
      </c>
      <c r="M4060" s="3">
        <f ca="1">IF(AND(N4060&lt;&gt;N4059,ISNUMBER(SEARCH(Лист2!$B$6,N:N)),L4060=2),MAX($M$3:OFFSET(M4060,-1,0))+1,0)</f>
        <v>0</v>
      </c>
      <c r="N4060" s="3" t="s">
        <v>502</v>
      </c>
    </row>
    <row r="4061" spans="1:14" x14ac:dyDescent="0.25">
      <c r="A4061" s="1" t="s">
        <v>12851</v>
      </c>
      <c r="B4061" s="3" t="s">
        <v>7685</v>
      </c>
      <c r="C4061" s="2">
        <f ca="1">IF(ISNUMBER(SEARCH(Лист2!$B$4,D:D)),MAX($C$3:OFFSET(C4061,-1,0))+1,0)</f>
        <v>0</v>
      </c>
      <c r="E4061" s="9" t="str">
        <f t="shared" ca="1" si="75"/>
        <v/>
      </c>
      <c r="F4061" s="4" t="s">
        <v>16</v>
      </c>
      <c r="G4061" s="2">
        <f>IF(ISNUMBER(SEARCH(Лист2!$B$4,F:F)),1,0)</f>
        <v>0</v>
      </c>
      <c r="H4061" s="3">
        <f ca="1">IF(AND(I4061&lt;&gt;I4060,ISNUMBER(SEARCH(Лист2!$B$5,I:I)),G4061=1),MAX($H$3:OFFSET(H4061,-1,0))+1,0)</f>
        <v>0</v>
      </c>
      <c r="I4061" s="3" t="s">
        <v>46</v>
      </c>
      <c r="K4061" s="2">
        <f>IF(ISNUMBER(SEARCH(Лист2!$B$4,F:F)),1,0)</f>
        <v>0</v>
      </c>
      <c r="L4061" s="14">
        <f>IF(ISNUMBER(SEARCH(Лист2!$B$5,I:I)),1,0)+K4061</f>
        <v>0</v>
      </c>
      <c r="M4061" s="3">
        <f ca="1">IF(AND(N4061&lt;&gt;N4060,ISNUMBER(SEARCH(Лист2!$B$6,N:N)),L4061=2),MAX($M$3:OFFSET(M4061,-1,0))+1,0)</f>
        <v>0</v>
      </c>
      <c r="N4061" s="3" t="s">
        <v>503</v>
      </c>
    </row>
    <row r="4062" spans="1:14" x14ac:dyDescent="0.25">
      <c r="A4062" s="1" t="s">
        <v>12852</v>
      </c>
      <c r="B4062" s="3" t="s">
        <v>7686</v>
      </c>
      <c r="C4062" s="2">
        <f ca="1">IF(ISNUMBER(SEARCH(Лист2!$B$4,D:D)),MAX($C$3:OFFSET(C4062,-1,0))+1,0)</f>
        <v>0</v>
      </c>
      <c r="E4062" s="9" t="str">
        <f t="shared" ca="1" si="75"/>
        <v/>
      </c>
      <c r="F4062" s="4" t="s">
        <v>16</v>
      </c>
      <c r="G4062" s="2">
        <f>IF(ISNUMBER(SEARCH(Лист2!$B$4,F:F)),1,0)</f>
        <v>0</v>
      </c>
      <c r="H4062" s="3">
        <f ca="1">IF(AND(I4062&lt;&gt;I4061,ISNUMBER(SEARCH(Лист2!$B$5,I:I)),G4062=1),MAX($H$3:OFFSET(H4062,-1,0))+1,0)</f>
        <v>0</v>
      </c>
      <c r="I4062" s="3" t="s">
        <v>46</v>
      </c>
      <c r="K4062" s="2">
        <f>IF(ISNUMBER(SEARCH(Лист2!$B$4,F:F)),1,0)</f>
        <v>0</v>
      </c>
      <c r="L4062" s="14">
        <f>IF(ISNUMBER(SEARCH(Лист2!$B$5,I:I)),1,0)+K4062</f>
        <v>0</v>
      </c>
      <c r="M4062" s="3">
        <f ca="1">IF(AND(N4062&lt;&gt;N4061,ISNUMBER(SEARCH(Лист2!$B$6,N:N)),L4062=2),MAX($M$3:OFFSET(M4062,-1,0))+1,0)</f>
        <v>0</v>
      </c>
      <c r="N4062" s="3" t="s">
        <v>504</v>
      </c>
    </row>
    <row r="4063" spans="1:14" x14ac:dyDescent="0.25">
      <c r="A4063" s="1" t="s">
        <v>12853</v>
      </c>
      <c r="B4063" s="3" t="s">
        <v>7687</v>
      </c>
      <c r="C4063" s="2">
        <f ca="1">IF(ISNUMBER(SEARCH(Лист2!$B$4,D:D)),MAX($C$3:OFFSET(C4063,-1,0))+1,0)</f>
        <v>0</v>
      </c>
      <c r="E4063" s="9" t="str">
        <f t="shared" ca="1" si="75"/>
        <v/>
      </c>
      <c r="F4063" s="4" t="s">
        <v>16</v>
      </c>
      <c r="G4063" s="2">
        <f>IF(ISNUMBER(SEARCH(Лист2!$B$4,F:F)),1,0)</f>
        <v>0</v>
      </c>
      <c r="H4063" s="3">
        <f ca="1">IF(AND(I4063&lt;&gt;I4062,ISNUMBER(SEARCH(Лист2!$B$5,I:I)),G4063=1),MAX($H$3:OFFSET(H4063,-1,0))+1,0)</f>
        <v>0</v>
      </c>
      <c r="I4063" s="3" t="s">
        <v>46</v>
      </c>
      <c r="K4063" s="2">
        <f>IF(ISNUMBER(SEARCH(Лист2!$B$4,F:F)),1,0)</f>
        <v>0</v>
      </c>
      <c r="L4063" s="14">
        <f>IF(ISNUMBER(SEARCH(Лист2!$B$5,I:I)),1,0)+K4063</f>
        <v>0</v>
      </c>
      <c r="M4063" s="3">
        <f ca="1">IF(AND(N4063&lt;&gt;N4062,ISNUMBER(SEARCH(Лист2!$B$6,N:N)),L4063=2),MAX($M$3:OFFSET(M4063,-1,0))+1,0)</f>
        <v>0</v>
      </c>
      <c r="N4063" s="3" t="s">
        <v>505</v>
      </c>
    </row>
    <row r="4064" spans="1:14" x14ac:dyDescent="0.25">
      <c r="A4064" s="1" t="s">
        <v>12854</v>
      </c>
      <c r="B4064" s="3" t="s">
        <v>7688</v>
      </c>
      <c r="C4064" s="2">
        <f ca="1">IF(ISNUMBER(SEARCH(Лист2!$B$4,D:D)),MAX($C$3:OFFSET(C4064,-1,0))+1,0)</f>
        <v>0</v>
      </c>
      <c r="E4064" s="9" t="str">
        <f t="shared" ca="1" si="75"/>
        <v/>
      </c>
      <c r="F4064" s="4" t="s">
        <v>16</v>
      </c>
      <c r="G4064" s="2">
        <f>IF(ISNUMBER(SEARCH(Лист2!$B$4,F:F)),1,0)</f>
        <v>0</v>
      </c>
      <c r="H4064" s="3">
        <f ca="1">IF(AND(I4064&lt;&gt;I4063,ISNUMBER(SEARCH(Лист2!$B$5,I:I)),G4064=1),MAX($H$3:OFFSET(H4064,-1,0))+1,0)</f>
        <v>0</v>
      </c>
      <c r="I4064" s="3" t="s">
        <v>46</v>
      </c>
      <c r="K4064" s="2">
        <f>IF(ISNUMBER(SEARCH(Лист2!$B$4,F:F)),1,0)</f>
        <v>0</v>
      </c>
      <c r="L4064" s="14">
        <f>IF(ISNUMBER(SEARCH(Лист2!$B$5,I:I)),1,0)+K4064</f>
        <v>0</v>
      </c>
      <c r="M4064" s="3">
        <f ca="1">IF(AND(N4064&lt;&gt;N4063,ISNUMBER(SEARCH(Лист2!$B$6,N:N)),L4064=2),MAX($M$3:OFFSET(M4064,-1,0))+1,0)</f>
        <v>0</v>
      </c>
      <c r="N4064" s="3" t="s">
        <v>506</v>
      </c>
    </row>
    <row r="4065" spans="1:14" x14ac:dyDescent="0.25">
      <c r="A4065" s="1" t="s">
        <v>12855</v>
      </c>
      <c r="B4065" s="3" t="s">
        <v>7689</v>
      </c>
      <c r="C4065" s="2">
        <f ca="1">IF(ISNUMBER(SEARCH(Лист2!$B$4,D:D)),MAX($C$3:OFFSET(C4065,-1,0))+1,0)</f>
        <v>0</v>
      </c>
      <c r="E4065" s="9" t="str">
        <f t="shared" ca="1" si="75"/>
        <v/>
      </c>
      <c r="F4065" s="4" t="s">
        <v>16</v>
      </c>
      <c r="G4065" s="2">
        <f>IF(ISNUMBER(SEARCH(Лист2!$B$4,F:F)),1,0)</f>
        <v>0</v>
      </c>
      <c r="H4065" s="3">
        <f ca="1">IF(AND(I4065&lt;&gt;I4064,ISNUMBER(SEARCH(Лист2!$B$5,I:I)),G4065=1),MAX($H$3:OFFSET(H4065,-1,0))+1,0)</f>
        <v>0</v>
      </c>
      <c r="I4065" s="3" t="s">
        <v>46</v>
      </c>
      <c r="K4065" s="2">
        <f>IF(ISNUMBER(SEARCH(Лист2!$B$4,F:F)),1,0)</f>
        <v>0</v>
      </c>
      <c r="L4065" s="14">
        <f>IF(ISNUMBER(SEARCH(Лист2!$B$5,I:I)),1,0)+K4065</f>
        <v>0</v>
      </c>
      <c r="M4065" s="3">
        <f ca="1">IF(AND(N4065&lt;&gt;N4064,ISNUMBER(SEARCH(Лист2!$B$6,N:N)),L4065=2),MAX($M$3:OFFSET(M4065,-1,0))+1,0)</f>
        <v>0</v>
      </c>
      <c r="N4065" s="3" t="s">
        <v>507</v>
      </c>
    </row>
    <row r="4066" spans="1:14" x14ac:dyDescent="0.25">
      <c r="A4066" s="1" t="s">
        <v>12856</v>
      </c>
      <c r="B4066" s="3" t="s">
        <v>7690</v>
      </c>
      <c r="C4066" s="2">
        <f ca="1">IF(ISNUMBER(SEARCH(Лист2!$B$4,D:D)),MAX($C$3:OFFSET(C4066,-1,0))+1,0)</f>
        <v>0</v>
      </c>
      <c r="E4066" s="9" t="str">
        <f t="shared" ca="1" si="75"/>
        <v/>
      </c>
      <c r="F4066" s="4" t="s">
        <v>16</v>
      </c>
      <c r="G4066" s="2">
        <f>IF(ISNUMBER(SEARCH(Лист2!$B$4,F:F)),1,0)</f>
        <v>0</v>
      </c>
      <c r="H4066" s="3">
        <f ca="1">IF(AND(I4066&lt;&gt;I4065,ISNUMBER(SEARCH(Лист2!$B$5,I:I)),G4066=1),MAX($H$3:OFFSET(H4066,-1,0))+1,0)</f>
        <v>0</v>
      </c>
      <c r="I4066" s="3" t="s">
        <v>46</v>
      </c>
      <c r="K4066" s="2">
        <f>IF(ISNUMBER(SEARCH(Лист2!$B$4,F:F)),1,0)</f>
        <v>0</v>
      </c>
      <c r="L4066" s="14">
        <f>IF(ISNUMBER(SEARCH(Лист2!$B$5,I:I)),1,0)+K4066</f>
        <v>0</v>
      </c>
      <c r="M4066" s="3">
        <f ca="1">IF(AND(N4066&lt;&gt;N4065,ISNUMBER(SEARCH(Лист2!$B$6,N:N)),L4066=2),MAX($M$3:OFFSET(M4066,-1,0))+1,0)</f>
        <v>0</v>
      </c>
      <c r="N4066" s="3" t="s">
        <v>508</v>
      </c>
    </row>
    <row r="4067" spans="1:14" x14ac:dyDescent="0.25">
      <c r="A4067" s="1" t="s">
        <v>12857</v>
      </c>
      <c r="B4067" s="3" t="s">
        <v>7691</v>
      </c>
      <c r="C4067" s="2">
        <f ca="1">IF(ISNUMBER(SEARCH(Лист2!$B$4,D:D)),MAX($C$3:OFFSET(C4067,-1,0))+1,0)</f>
        <v>0</v>
      </c>
      <c r="E4067" s="9" t="str">
        <f t="shared" ca="1" si="75"/>
        <v/>
      </c>
      <c r="F4067" s="4" t="s">
        <v>16</v>
      </c>
      <c r="G4067" s="2">
        <f>IF(ISNUMBER(SEARCH(Лист2!$B$4,F:F)),1,0)</f>
        <v>0</v>
      </c>
      <c r="H4067" s="3">
        <f ca="1">IF(AND(I4067&lt;&gt;I4066,ISNUMBER(SEARCH(Лист2!$B$5,I:I)),G4067=1),MAX($H$3:OFFSET(H4067,-1,0))+1,0)</f>
        <v>0</v>
      </c>
      <c r="I4067" s="3" t="s">
        <v>46</v>
      </c>
      <c r="K4067" s="2">
        <f>IF(ISNUMBER(SEARCH(Лист2!$B$4,F:F)),1,0)</f>
        <v>0</v>
      </c>
      <c r="L4067" s="14">
        <f>IF(ISNUMBER(SEARCH(Лист2!$B$5,I:I)),1,0)+K4067</f>
        <v>0</v>
      </c>
      <c r="M4067" s="3">
        <f ca="1">IF(AND(N4067&lt;&gt;N4066,ISNUMBER(SEARCH(Лист2!$B$6,N:N)),L4067=2),MAX($M$3:OFFSET(M4067,-1,0))+1,0)</f>
        <v>0</v>
      </c>
      <c r="N4067" s="3" t="s">
        <v>509</v>
      </c>
    </row>
    <row r="4068" spans="1:14" x14ac:dyDescent="0.25">
      <c r="A4068" s="1" t="s">
        <v>12858</v>
      </c>
      <c r="B4068" s="3" t="s">
        <v>7692</v>
      </c>
      <c r="C4068" s="2">
        <f ca="1">IF(ISNUMBER(SEARCH(Лист2!$B$4,D:D)),MAX($C$3:OFFSET(C4068,-1,0))+1,0)</f>
        <v>0</v>
      </c>
      <c r="E4068" s="9" t="str">
        <f t="shared" ca="1" si="75"/>
        <v/>
      </c>
      <c r="F4068" s="4" t="s">
        <v>16</v>
      </c>
      <c r="G4068" s="2">
        <f>IF(ISNUMBER(SEARCH(Лист2!$B$4,F:F)),1,0)</f>
        <v>0</v>
      </c>
      <c r="H4068" s="3">
        <f ca="1">IF(AND(I4068&lt;&gt;I4067,ISNUMBER(SEARCH(Лист2!$B$5,I:I)),G4068=1),MAX($H$3:OFFSET(H4068,-1,0))+1,0)</f>
        <v>0</v>
      </c>
      <c r="I4068" s="3" t="s">
        <v>46</v>
      </c>
      <c r="K4068" s="2">
        <f>IF(ISNUMBER(SEARCH(Лист2!$B$4,F:F)),1,0)</f>
        <v>0</v>
      </c>
      <c r="L4068" s="14">
        <f>IF(ISNUMBER(SEARCH(Лист2!$B$5,I:I)),1,0)+K4068</f>
        <v>0</v>
      </c>
      <c r="M4068" s="3">
        <f ca="1">IF(AND(N4068&lt;&gt;N4067,ISNUMBER(SEARCH(Лист2!$B$6,N:N)),L4068=2),MAX($M$3:OFFSET(M4068,-1,0))+1,0)</f>
        <v>0</v>
      </c>
      <c r="N4068" s="3" t="s">
        <v>510</v>
      </c>
    </row>
    <row r="4069" spans="1:14" x14ac:dyDescent="0.25">
      <c r="A4069" s="1" t="s">
        <v>12859</v>
      </c>
      <c r="B4069" s="3" t="s">
        <v>7693</v>
      </c>
      <c r="C4069" s="2">
        <f ca="1">IF(ISNUMBER(SEARCH(Лист2!$B$4,D:D)),MAX($C$3:OFFSET(C4069,-1,0))+1,0)</f>
        <v>0</v>
      </c>
      <c r="E4069" s="9" t="str">
        <f t="shared" ca="1" si="75"/>
        <v/>
      </c>
      <c r="F4069" s="4" t="s">
        <v>16</v>
      </c>
      <c r="G4069" s="2">
        <f>IF(ISNUMBER(SEARCH(Лист2!$B$4,F:F)),1,0)</f>
        <v>0</v>
      </c>
      <c r="H4069" s="3">
        <f ca="1">IF(AND(I4069&lt;&gt;I4068,ISNUMBER(SEARCH(Лист2!$B$5,I:I)),G4069=1),MAX($H$3:OFFSET(H4069,-1,0))+1,0)</f>
        <v>0</v>
      </c>
      <c r="I4069" s="3" t="s">
        <v>46</v>
      </c>
      <c r="K4069" s="2">
        <f>IF(ISNUMBER(SEARCH(Лист2!$B$4,F:F)),1,0)</f>
        <v>0</v>
      </c>
      <c r="L4069" s="14">
        <f>IF(ISNUMBER(SEARCH(Лист2!$B$5,I:I)),1,0)+K4069</f>
        <v>0</v>
      </c>
      <c r="M4069" s="3">
        <f ca="1">IF(AND(N4069&lt;&gt;N4068,ISNUMBER(SEARCH(Лист2!$B$6,N:N)),L4069=2),MAX($M$3:OFFSET(M4069,-1,0))+1,0)</f>
        <v>0</v>
      </c>
      <c r="N4069" s="3" t="s">
        <v>2555</v>
      </c>
    </row>
    <row r="4070" spans="1:14" x14ac:dyDescent="0.25">
      <c r="A4070" s="1" t="s">
        <v>12860</v>
      </c>
      <c r="B4070" s="3" t="s">
        <v>7694</v>
      </c>
      <c r="C4070" s="2">
        <f ca="1">IF(ISNUMBER(SEARCH(Лист2!$B$4,D:D)),MAX($C$3:OFFSET(C4070,-1,0))+1,0)</f>
        <v>0</v>
      </c>
      <c r="E4070" s="9" t="str">
        <f t="shared" ca="1" si="75"/>
        <v/>
      </c>
      <c r="F4070" s="4" t="s">
        <v>16</v>
      </c>
      <c r="G4070" s="2">
        <f>IF(ISNUMBER(SEARCH(Лист2!$B$4,F:F)),1,0)</f>
        <v>0</v>
      </c>
      <c r="H4070" s="3">
        <f ca="1">IF(AND(I4070&lt;&gt;I4069,ISNUMBER(SEARCH(Лист2!$B$5,I:I)),G4070=1),MAX($H$3:OFFSET(H4070,-1,0))+1,0)</f>
        <v>0</v>
      </c>
      <c r="I4070" s="3" t="s">
        <v>46</v>
      </c>
      <c r="K4070" s="2">
        <f>IF(ISNUMBER(SEARCH(Лист2!$B$4,F:F)),1,0)</f>
        <v>0</v>
      </c>
      <c r="L4070" s="14">
        <f>IF(ISNUMBER(SEARCH(Лист2!$B$5,I:I)),1,0)+K4070</f>
        <v>0</v>
      </c>
      <c r="M4070" s="3">
        <f ca="1">IF(AND(N4070&lt;&gt;N4069,ISNUMBER(SEARCH(Лист2!$B$6,N:N)),L4070=2),MAX($M$3:OFFSET(M4070,-1,0))+1,0)</f>
        <v>0</v>
      </c>
      <c r="N4070" s="3" t="s">
        <v>2556</v>
      </c>
    </row>
    <row r="4071" spans="1:14" x14ac:dyDescent="0.25">
      <c r="A4071" s="1" t="s">
        <v>12861</v>
      </c>
      <c r="B4071" s="3" t="s">
        <v>7695</v>
      </c>
      <c r="C4071" s="2">
        <f ca="1">IF(ISNUMBER(SEARCH(Лист2!$B$4,D:D)),MAX($C$3:OFFSET(C4071,-1,0))+1,0)</f>
        <v>0</v>
      </c>
      <c r="E4071" s="9" t="str">
        <f t="shared" ca="1" si="75"/>
        <v/>
      </c>
      <c r="F4071" s="4" t="s">
        <v>17</v>
      </c>
      <c r="G4071" s="2">
        <f>IF(ISNUMBER(SEARCH(Лист2!$B$4,F:F)),1,0)</f>
        <v>0</v>
      </c>
      <c r="H4071" s="3">
        <f ca="1">IF(AND(I4071&lt;&gt;I4070,ISNUMBER(SEARCH(Лист2!$B$5,I:I)),G4071=1),MAX($H$3:OFFSET(H4071,-1,0))+1,0)</f>
        <v>0</v>
      </c>
      <c r="I4071" s="3" t="s">
        <v>322</v>
      </c>
      <c r="K4071" s="2">
        <f>IF(ISNUMBER(SEARCH(Лист2!$B$4,F:F)),1,0)</f>
        <v>0</v>
      </c>
      <c r="L4071" s="14">
        <f>IF(ISNUMBER(SEARCH(Лист2!$B$5,I:I)),1,0)+K4071</f>
        <v>0</v>
      </c>
      <c r="M4071" s="3">
        <f ca="1">IF(AND(N4071&lt;&gt;N4070,ISNUMBER(SEARCH(Лист2!$B$6,N:N)),L4071=2),MAX($M$3:OFFSET(M4071,-1,0))+1,0)</f>
        <v>0</v>
      </c>
      <c r="N4071" s="3" t="s">
        <v>2341</v>
      </c>
    </row>
    <row r="4072" spans="1:14" x14ac:dyDescent="0.25">
      <c r="A4072" s="1" t="s">
        <v>12862</v>
      </c>
      <c r="B4072" s="3" t="s">
        <v>7696</v>
      </c>
      <c r="C4072" s="2">
        <f ca="1">IF(ISNUMBER(SEARCH(Лист2!$B$4,D:D)),MAX($C$3:OFFSET(C4072,-1,0))+1,0)</f>
        <v>0</v>
      </c>
      <c r="E4072" s="9" t="str">
        <f t="shared" ca="1" si="75"/>
        <v/>
      </c>
      <c r="F4072" s="4" t="s">
        <v>17</v>
      </c>
      <c r="G4072" s="2">
        <f>IF(ISNUMBER(SEARCH(Лист2!$B$4,F:F)),1,0)</f>
        <v>0</v>
      </c>
      <c r="H4072" s="3">
        <f ca="1">IF(AND(I4072&lt;&gt;I4071,ISNUMBER(SEARCH(Лист2!$B$5,I:I)),G4072=1),MAX($H$3:OFFSET(H4072,-1,0))+1,0)</f>
        <v>0</v>
      </c>
      <c r="I4072" s="3" t="s">
        <v>322</v>
      </c>
      <c r="K4072" s="2">
        <f>IF(ISNUMBER(SEARCH(Лист2!$B$4,F:F)),1,0)</f>
        <v>0</v>
      </c>
      <c r="L4072" s="14">
        <f>IF(ISNUMBER(SEARCH(Лист2!$B$5,I:I)),1,0)+K4072</f>
        <v>0</v>
      </c>
      <c r="M4072" s="3">
        <f ca="1">IF(AND(N4072&lt;&gt;N4071,ISNUMBER(SEARCH(Лист2!$B$6,N:N)),L4072=2),MAX($M$3:OFFSET(M4072,-1,0))+1,0)</f>
        <v>0</v>
      </c>
      <c r="N4072" s="3" t="s">
        <v>2342</v>
      </c>
    </row>
    <row r="4073" spans="1:14" x14ac:dyDescent="0.25">
      <c r="A4073" s="1" t="s">
        <v>12863</v>
      </c>
      <c r="B4073" s="3" t="s">
        <v>7697</v>
      </c>
      <c r="C4073" s="2">
        <f ca="1">IF(ISNUMBER(SEARCH(Лист2!$B$4,D:D)),MAX($C$3:OFFSET(C4073,-1,0))+1,0)</f>
        <v>0</v>
      </c>
      <c r="E4073" s="9" t="str">
        <f t="shared" ca="1" si="75"/>
        <v/>
      </c>
      <c r="F4073" s="4" t="s">
        <v>17</v>
      </c>
      <c r="G4073" s="2">
        <f>IF(ISNUMBER(SEARCH(Лист2!$B$4,F:F)),1,0)</f>
        <v>0</v>
      </c>
      <c r="H4073" s="3">
        <f ca="1">IF(AND(I4073&lt;&gt;I4072,ISNUMBER(SEARCH(Лист2!$B$5,I:I)),G4073=1),MAX($H$3:OFFSET(H4073,-1,0))+1,0)</f>
        <v>0</v>
      </c>
      <c r="I4073" s="3" t="s">
        <v>322</v>
      </c>
      <c r="K4073" s="2">
        <f>IF(ISNUMBER(SEARCH(Лист2!$B$4,F:F)),1,0)</f>
        <v>0</v>
      </c>
      <c r="L4073" s="14">
        <f>IF(ISNUMBER(SEARCH(Лист2!$B$5,I:I)),1,0)+K4073</f>
        <v>0</v>
      </c>
      <c r="M4073" s="3">
        <f ca="1">IF(AND(N4073&lt;&gt;N4072,ISNUMBER(SEARCH(Лист2!$B$6,N:N)),L4073=2),MAX($M$3:OFFSET(M4073,-1,0))+1,0)</f>
        <v>0</v>
      </c>
      <c r="N4073" s="3" t="s">
        <v>2557</v>
      </c>
    </row>
    <row r="4074" spans="1:14" x14ac:dyDescent="0.25">
      <c r="A4074" s="1" t="s">
        <v>12864</v>
      </c>
      <c r="B4074" s="3" t="s">
        <v>7698</v>
      </c>
      <c r="C4074" s="2">
        <f ca="1">IF(ISNUMBER(SEARCH(Лист2!$B$4,D:D)),MAX($C$3:OFFSET(C4074,-1,0))+1,0)</f>
        <v>0</v>
      </c>
      <c r="E4074" s="9" t="str">
        <f t="shared" ca="1" si="75"/>
        <v/>
      </c>
      <c r="F4074" s="4" t="s">
        <v>17</v>
      </c>
      <c r="G4074" s="2">
        <f>IF(ISNUMBER(SEARCH(Лист2!$B$4,F:F)),1,0)</f>
        <v>0</v>
      </c>
      <c r="H4074" s="3">
        <f ca="1">IF(AND(I4074&lt;&gt;I4073,ISNUMBER(SEARCH(Лист2!$B$5,I:I)),G4074=1),MAX($H$3:OFFSET(H4074,-1,0))+1,0)</f>
        <v>0</v>
      </c>
      <c r="I4074" s="3" t="s">
        <v>322</v>
      </c>
      <c r="K4074" s="2">
        <f>IF(ISNUMBER(SEARCH(Лист2!$B$4,F:F)),1,0)</f>
        <v>0</v>
      </c>
      <c r="L4074" s="14">
        <f>IF(ISNUMBER(SEARCH(Лист2!$B$5,I:I)),1,0)+K4074</f>
        <v>0</v>
      </c>
      <c r="M4074" s="3">
        <f ca="1">IF(AND(N4074&lt;&gt;N4073,ISNUMBER(SEARCH(Лист2!$B$6,N:N)),L4074=2),MAX($M$3:OFFSET(M4074,-1,0))+1,0)</f>
        <v>0</v>
      </c>
      <c r="N4074" s="3" t="s">
        <v>2343</v>
      </c>
    </row>
    <row r="4075" spans="1:14" x14ac:dyDescent="0.25">
      <c r="A4075" s="1" t="s">
        <v>12865</v>
      </c>
      <c r="B4075" s="3" t="s">
        <v>7699</v>
      </c>
      <c r="C4075" s="2">
        <f ca="1">IF(ISNUMBER(SEARCH(Лист2!$B$4,D:D)),MAX($C$3:OFFSET(C4075,-1,0))+1,0)</f>
        <v>0</v>
      </c>
      <c r="E4075" s="9" t="str">
        <f t="shared" ca="1" si="75"/>
        <v/>
      </c>
      <c r="F4075" s="4" t="s">
        <v>17</v>
      </c>
      <c r="G4075" s="2">
        <f>IF(ISNUMBER(SEARCH(Лист2!$B$4,F:F)),1,0)</f>
        <v>0</v>
      </c>
      <c r="H4075" s="3">
        <f ca="1">IF(AND(I4075&lt;&gt;I4074,ISNUMBER(SEARCH(Лист2!$B$5,I:I)),G4075=1),MAX($H$3:OFFSET(H4075,-1,0))+1,0)</f>
        <v>0</v>
      </c>
      <c r="I4075" s="3" t="s">
        <v>322</v>
      </c>
      <c r="K4075" s="2">
        <f>IF(ISNUMBER(SEARCH(Лист2!$B$4,F:F)),1,0)</f>
        <v>0</v>
      </c>
      <c r="L4075" s="14">
        <f>IF(ISNUMBER(SEARCH(Лист2!$B$5,I:I)),1,0)+K4075</f>
        <v>0</v>
      </c>
      <c r="M4075" s="3">
        <f ca="1">IF(AND(N4075&lt;&gt;N4074,ISNUMBER(SEARCH(Лист2!$B$6,N:N)),L4075=2),MAX($M$3:OFFSET(M4075,-1,0))+1,0)</f>
        <v>0</v>
      </c>
      <c r="N4075" s="3" t="s">
        <v>2558</v>
      </c>
    </row>
    <row r="4076" spans="1:14" x14ac:dyDescent="0.25">
      <c r="A4076" s="1" t="s">
        <v>12866</v>
      </c>
      <c r="B4076" s="3" t="s">
        <v>7700</v>
      </c>
      <c r="C4076" s="2">
        <f ca="1">IF(ISNUMBER(SEARCH(Лист2!$B$4,D:D)),MAX($C$3:OFFSET(C4076,-1,0))+1,0)</f>
        <v>0</v>
      </c>
      <c r="E4076" s="9" t="str">
        <f t="shared" ca="1" si="75"/>
        <v/>
      </c>
      <c r="F4076" s="4" t="s">
        <v>17</v>
      </c>
      <c r="G4076" s="2">
        <f>IF(ISNUMBER(SEARCH(Лист2!$B$4,F:F)),1,0)</f>
        <v>0</v>
      </c>
      <c r="H4076" s="3">
        <f ca="1">IF(AND(I4076&lt;&gt;I4075,ISNUMBER(SEARCH(Лист2!$B$5,I:I)),G4076=1),MAX($H$3:OFFSET(H4076,-1,0))+1,0)</f>
        <v>0</v>
      </c>
      <c r="I4076" s="3" t="s">
        <v>322</v>
      </c>
      <c r="K4076" s="2">
        <f>IF(ISNUMBER(SEARCH(Лист2!$B$4,F:F)),1,0)</f>
        <v>0</v>
      </c>
      <c r="L4076" s="14">
        <f>IF(ISNUMBER(SEARCH(Лист2!$B$5,I:I)),1,0)+K4076</f>
        <v>0</v>
      </c>
      <c r="M4076" s="3">
        <f ca="1">IF(AND(N4076&lt;&gt;N4075,ISNUMBER(SEARCH(Лист2!$B$6,N:N)),L4076=2),MAX($M$3:OFFSET(M4076,-1,0))+1,0)</f>
        <v>0</v>
      </c>
      <c r="N4076" s="3" t="s">
        <v>2345</v>
      </c>
    </row>
    <row r="4077" spans="1:14" x14ac:dyDescent="0.25">
      <c r="A4077" s="1" t="s">
        <v>12867</v>
      </c>
      <c r="B4077" s="3" t="s">
        <v>7701</v>
      </c>
      <c r="C4077" s="2">
        <f ca="1">IF(ISNUMBER(SEARCH(Лист2!$B$4,D:D)),MAX($C$3:OFFSET(C4077,-1,0))+1,0)</f>
        <v>0</v>
      </c>
      <c r="E4077" s="9" t="str">
        <f t="shared" ca="1" si="75"/>
        <v/>
      </c>
      <c r="F4077" s="4" t="s">
        <v>17</v>
      </c>
      <c r="G4077" s="2">
        <f>IF(ISNUMBER(SEARCH(Лист2!$B$4,F:F)),1,0)</f>
        <v>0</v>
      </c>
      <c r="H4077" s="3">
        <f ca="1">IF(AND(I4077&lt;&gt;I4076,ISNUMBER(SEARCH(Лист2!$B$5,I:I)),G4077=1),MAX($H$3:OFFSET(H4077,-1,0))+1,0)</f>
        <v>0</v>
      </c>
      <c r="I4077" s="3" t="s">
        <v>322</v>
      </c>
      <c r="K4077" s="2">
        <f>IF(ISNUMBER(SEARCH(Лист2!$B$4,F:F)),1,0)</f>
        <v>0</v>
      </c>
      <c r="L4077" s="14">
        <f>IF(ISNUMBER(SEARCH(Лист2!$B$5,I:I)),1,0)+K4077</f>
        <v>0</v>
      </c>
      <c r="M4077" s="3">
        <f ca="1">IF(AND(N4077&lt;&gt;N4076,ISNUMBER(SEARCH(Лист2!$B$6,N:N)),L4077=2),MAX($M$3:OFFSET(M4077,-1,0))+1,0)</f>
        <v>0</v>
      </c>
      <c r="N4077" s="3" t="s">
        <v>2346</v>
      </c>
    </row>
    <row r="4078" spans="1:14" x14ac:dyDescent="0.25">
      <c r="A4078" s="1" t="s">
        <v>12868</v>
      </c>
      <c r="B4078" s="3" t="s">
        <v>7702</v>
      </c>
      <c r="C4078" s="2">
        <f ca="1">IF(ISNUMBER(SEARCH(Лист2!$B$4,D:D)),MAX($C$3:OFFSET(C4078,-1,0))+1,0)</f>
        <v>0</v>
      </c>
      <c r="E4078" s="9" t="str">
        <f t="shared" ca="1" si="75"/>
        <v/>
      </c>
      <c r="F4078" s="4" t="s">
        <v>17</v>
      </c>
      <c r="G4078" s="2">
        <f>IF(ISNUMBER(SEARCH(Лист2!$B$4,F:F)),1,0)</f>
        <v>0</v>
      </c>
      <c r="H4078" s="3">
        <f ca="1">IF(AND(I4078&lt;&gt;I4077,ISNUMBER(SEARCH(Лист2!$B$5,I:I)),G4078=1),MAX($H$3:OFFSET(H4078,-1,0))+1,0)</f>
        <v>0</v>
      </c>
      <c r="I4078" s="3" t="s">
        <v>322</v>
      </c>
      <c r="K4078" s="2">
        <f>IF(ISNUMBER(SEARCH(Лист2!$B$4,F:F)),1,0)</f>
        <v>0</v>
      </c>
      <c r="L4078" s="14">
        <f>IF(ISNUMBER(SEARCH(Лист2!$B$5,I:I)),1,0)+K4078</f>
        <v>0</v>
      </c>
      <c r="M4078" s="3">
        <f ca="1">IF(AND(N4078&lt;&gt;N4077,ISNUMBER(SEARCH(Лист2!$B$6,N:N)),L4078=2),MAX($M$3:OFFSET(M4078,-1,0))+1,0)</f>
        <v>0</v>
      </c>
      <c r="N4078" s="3" t="s">
        <v>602</v>
      </c>
    </row>
    <row r="4079" spans="1:14" x14ac:dyDescent="0.25">
      <c r="A4079" s="1" t="s">
        <v>12869</v>
      </c>
      <c r="B4079" s="3" t="s">
        <v>7703</v>
      </c>
      <c r="C4079" s="2">
        <f ca="1">IF(ISNUMBER(SEARCH(Лист2!$B$4,D:D)),MAX($C$3:OFFSET(C4079,-1,0))+1,0)</f>
        <v>0</v>
      </c>
      <c r="E4079" s="9" t="str">
        <f t="shared" ca="1" si="75"/>
        <v/>
      </c>
      <c r="F4079" s="4" t="s">
        <v>17</v>
      </c>
      <c r="G4079" s="2">
        <f>IF(ISNUMBER(SEARCH(Лист2!$B$4,F:F)),1,0)</f>
        <v>0</v>
      </c>
      <c r="H4079" s="3">
        <f ca="1">IF(AND(I4079&lt;&gt;I4078,ISNUMBER(SEARCH(Лист2!$B$5,I:I)),G4079=1),MAX($H$3:OFFSET(H4079,-1,0))+1,0)</f>
        <v>0</v>
      </c>
      <c r="I4079" s="3" t="s">
        <v>322</v>
      </c>
      <c r="K4079" s="2">
        <f>IF(ISNUMBER(SEARCH(Лист2!$B$4,F:F)),1,0)</f>
        <v>0</v>
      </c>
      <c r="L4079" s="14">
        <f>IF(ISNUMBER(SEARCH(Лист2!$B$5,I:I)),1,0)+K4079</f>
        <v>0</v>
      </c>
      <c r="M4079" s="3">
        <f ca="1">IF(AND(N4079&lt;&gt;N4078,ISNUMBER(SEARCH(Лист2!$B$6,N:N)),L4079=2),MAX($M$3:OFFSET(M4079,-1,0))+1,0)</f>
        <v>0</v>
      </c>
      <c r="N4079" s="3" t="s">
        <v>2559</v>
      </c>
    </row>
    <row r="4080" spans="1:14" x14ac:dyDescent="0.25">
      <c r="A4080" s="1" t="s">
        <v>12870</v>
      </c>
      <c r="B4080" s="3" t="s">
        <v>7704</v>
      </c>
      <c r="C4080" s="2">
        <f ca="1">IF(ISNUMBER(SEARCH(Лист2!$B$4,D:D)),MAX($C$3:OFFSET(C4080,-1,0))+1,0)</f>
        <v>0</v>
      </c>
      <c r="E4080" s="9" t="str">
        <f t="shared" ca="1" si="75"/>
        <v/>
      </c>
      <c r="F4080" s="4" t="s">
        <v>17</v>
      </c>
      <c r="G4080" s="2">
        <f>IF(ISNUMBER(SEARCH(Лист2!$B$4,F:F)),1,0)</f>
        <v>0</v>
      </c>
      <c r="H4080" s="3">
        <f ca="1">IF(AND(I4080&lt;&gt;I4079,ISNUMBER(SEARCH(Лист2!$B$5,I:I)),G4080=1),MAX($H$3:OFFSET(H4080,-1,0))+1,0)</f>
        <v>0</v>
      </c>
      <c r="I4080" s="3" t="s">
        <v>322</v>
      </c>
      <c r="K4080" s="2">
        <f>IF(ISNUMBER(SEARCH(Лист2!$B$4,F:F)),1,0)</f>
        <v>0</v>
      </c>
      <c r="L4080" s="14">
        <f>IF(ISNUMBER(SEARCH(Лист2!$B$5,I:I)),1,0)+K4080</f>
        <v>0</v>
      </c>
      <c r="M4080" s="3">
        <f ca="1">IF(AND(N4080&lt;&gt;N4079,ISNUMBER(SEARCH(Лист2!$B$6,N:N)),L4080=2),MAX($M$3:OFFSET(M4080,-1,0))+1,0)</f>
        <v>0</v>
      </c>
      <c r="N4080" s="3" t="s">
        <v>2560</v>
      </c>
    </row>
    <row r="4081" spans="1:14" x14ac:dyDescent="0.25">
      <c r="A4081" s="1" t="s">
        <v>12871</v>
      </c>
      <c r="B4081" s="3" t="s">
        <v>7705</v>
      </c>
      <c r="C4081" s="2">
        <f ca="1">IF(ISNUMBER(SEARCH(Лист2!$B$4,D:D)),MAX($C$3:OFFSET(C4081,-1,0))+1,0)</f>
        <v>0</v>
      </c>
      <c r="E4081" s="9" t="str">
        <f t="shared" ca="1" si="75"/>
        <v/>
      </c>
      <c r="F4081" s="4" t="s">
        <v>17</v>
      </c>
      <c r="G4081" s="2">
        <f>IF(ISNUMBER(SEARCH(Лист2!$B$4,F:F)),1,0)</f>
        <v>0</v>
      </c>
      <c r="H4081" s="3">
        <f ca="1">IF(AND(I4081&lt;&gt;I4080,ISNUMBER(SEARCH(Лист2!$B$5,I:I)),G4081=1),MAX($H$3:OFFSET(H4081,-1,0))+1,0)</f>
        <v>0</v>
      </c>
      <c r="I4081" s="3" t="s">
        <v>322</v>
      </c>
      <c r="K4081" s="2">
        <f>IF(ISNUMBER(SEARCH(Лист2!$B$4,F:F)),1,0)</f>
        <v>0</v>
      </c>
      <c r="L4081" s="14">
        <f>IF(ISNUMBER(SEARCH(Лист2!$B$5,I:I)),1,0)+K4081</f>
        <v>0</v>
      </c>
      <c r="M4081" s="3">
        <f ca="1">IF(AND(N4081&lt;&gt;N4080,ISNUMBER(SEARCH(Лист2!$B$6,N:N)),L4081=2),MAX($M$3:OFFSET(M4081,-1,0))+1,0)</f>
        <v>0</v>
      </c>
      <c r="N4081" s="3" t="s">
        <v>2561</v>
      </c>
    </row>
    <row r="4082" spans="1:14" x14ac:dyDescent="0.25">
      <c r="A4082" s="1" t="s">
        <v>12872</v>
      </c>
      <c r="B4082" s="3" t="s">
        <v>7706</v>
      </c>
      <c r="C4082" s="2">
        <f ca="1">IF(ISNUMBER(SEARCH(Лист2!$B$4,D:D)),MAX($C$3:OFFSET(C4082,-1,0))+1,0)</f>
        <v>0</v>
      </c>
      <c r="E4082" s="9" t="str">
        <f t="shared" ca="1" si="75"/>
        <v/>
      </c>
      <c r="F4082" s="4" t="s">
        <v>17</v>
      </c>
      <c r="G4082" s="2">
        <f>IF(ISNUMBER(SEARCH(Лист2!$B$4,F:F)),1,0)</f>
        <v>0</v>
      </c>
      <c r="H4082" s="3">
        <f ca="1">IF(AND(I4082&lt;&gt;I4081,ISNUMBER(SEARCH(Лист2!$B$5,I:I)),G4082=1),MAX($H$3:OFFSET(H4082,-1,0))+1,0)</f>
        <v>0</v>
      </c>
      <c r="I4082" s="3" t="s">
        <v>322</v>
      </c>
      <c r="K4082" s="2">
        <f>IF(ISNUMBER(SEARCH(Лист2!$B$4,F:F)),1,0)</f>
        <v>0</v>
      </c>
      <c r="L4082" s="14">
        <f>IF(ISNUMBER(SEARCH(Лист2!$B$5,I:I)),1,0)+K4082</f>
        <v>0</v>
      </c>
      <c r="M4082" s="3">
        <f ca="1">IF(AND(N4082&lt;&gt;N4081,ISNUMBER(SEARCH(Лист2!$B$6,N:N)),L4082=2),MAX($M$3:OFFSET(M4082,-1,0))+1,0)</f>
        <v>0</v>
      </c>
      <c r="N4082" s="3" t="s">
        <v>2562</v>
      </c>
    </row>
    <row r="4083" spans="1:14" x14ac:dyDescent="0.25">
      <c r="A4083" s="1" t="s">
        <v>12873</v>
      </c>
      <c r="B4083" s="3" t="s">
        <v>7707</v>
      </c>
      <c r="C4083" s="2">
        <f ca="1">IF(ISNUMBER(SEARCH(Лист2!$B$4,D:D)),MAX($C$3:OFFSET(C4083,-1,0))+1,0)</f>
        <v>0</v>
      </c>
      <c r="E4083" s="9" t="str">
        <f t="shared" ca="1" si="75"/>
        <v/>
      </c>
      <c r="F4083" s="4" t="s">
        <v>17</v>
      </c>
      <c r="G4083" s="2">
        <f>IF(ISNUMBER(SEARCH(Лист2!$B$4,F:F)),1,0)</f>
        <v>0</v>
      </c>
      <c r="H4083" s="3">
        <f ca="1">IF(AND(I4083&lt;&gt;I4082,ISNUMBER(SEARCH(Лист2!$B$5,I:I)),G4083=1),MAX($H$3:OFFSET(H4083,-1,0))+1,0)</f>
        <v>0</v>
      </c>
      <c r="I4083" s="3" t="s">
        <v>322</v>
      </c>
      <c r="K4083" s="2">
        <f>IF(ISNUMBER(SEARCH(Лист2!$B$4,F:F)),1,0)</f>
        <v>0</v>
      </c>
      <c r="L4083" s="14">
        <f>IF(ISNUMBER(SEARCH(Лист2!$B$5,I:I)),1,0)+K4083</f>
        <v>0</v>
      </c>
      <c r="M4083" s="3">
        <f ca="1">IF(AND(N4083&lt;&gt;N4082,ISNUMBER(SEARCH(Лист2!$B$6,N:N)),L4083=2),MAX($M$3:OFFSET(M4083,-1,0))+1,0)</f>
        <v>0</v>
      </c>
      <c r="N4083" s="3" t="s">
        <v>2563</v>
      </c>
    </row>
    <row r="4084" spans="1:14" x14ac:dyDescent="0.25">
      <c r="A4084" s="1" t="s">
        <v>12874</v>
      </c>
      <c r="B4084" s="3" t="s">
        <v>7708</v>
      </c>
      <c r="C4084" s="2">
        <f ca="1">IF(ISNUMBER(SEARCH(Лист2!$B$4,D:D)),MAX($C$3:OFFSET(C4084,-1,0))+1,0)</f>
        <v>0</v>
      </c>
      <c r="E4084" s="9" t="str">
        <f t="shared" ca="1" si="75"/>
        <v/>
      </c>
      <c r="F4084" s="4" t="s">
        <v>18</v>
      </c>
      <c r="G4084" s="2">
        <f>IF(ISNUMBER(SEARCH(Лист2!$B$4,F:F)),1,0)</f>
        <v>0</v>
      </c>
      <c r="H4084" s="3">
        <f ca="1">IF(AND(I4084&lt;&gt;I4083,ISNUMBER(SEARCH(Лист2!$B$5,I:I)),G4084=1),MAX($H$3:OFFSET(H4084,-1,0))+1,0)</f>
        <v>0</v>
      </c>
      <c r="I4084" s="3" t="s">
        <v>340</v>
      </c>
      <c r="K4084" s="2">
        <f>IF(ISNUMBER(SEARCH(Лист2!$B$4,F:F)),1,0)</f>
        <v>0</v>
      </c>
      <c r="L4084" s="14">
        <f>IF(ISNUMBER(SEARCH(Лист2!$B$5,I:I)),1,0)+K4084</f>
        <v>0</v>
      </c>
      <c r="M4084" s="3">
        <f ca="1">IF(AND(N4084&lt;&gt;N4083,ISNUMBER(SEARCH(Лист2!$B$6,N:N)),L4084=2),MAX($M$3:OFFSET(M4084,-1,0))+1,0)</f>
        <v>0</v>
      </c>
      <c r="N4084" s="3" t="s">
        <v>499</v>
      </c>
    </row>
    <row r="4085" spans="1:14" x14ac:dyDescent="0.25">
      <c r="A4085" s="1" t="s">
        <v>12875</v>
      </c>
      <c r="B4085" s="3" t="s">
        <v>7709</v>
      </c>
      <c r="C4085" s="2">
        <f ca="1">IF(ISNUMBER(SEARCH(Лист2!$B$4,D:D)),MAX($C$3:OFFSET(C4085,-1,0))+1,0)</f>
        <v>0</v>
      </c>
      <c r="E4085" s="9" t="str">
        <f t="shared" ca="1" si="75"/>
        <v/>
      </c>
      <c r="F4085" s="4" t="s">
        <v>18</v>
      </c>
      <c r="G4085" s="2">
        <f>IF(ISNUMBER(SEARCH(Лист2!$B$4,F:F)),1,0)</f>
        <v>0</v>
      </c>
      <c r="H4085" s="3">
        <f ca="1">IF(AND(I4085&lt;&gt;I4084,ISNUMBER(SEARCH(Лист2!$B$5,I:I)),G4085=1),MAX($H$3:OFFSET(H4085,-1,0))+1,0)</f>
        <v>0</v>
      </c>
      <c r="I4085" s="3" t="s">
        <v>340</v>
      </c>
      <c r="K4085" s="2">
        <f>IF(ISNUMBER(SEARCH(Лист2!$B$4,F:F)),1,0)</f>
        <v>0</v>
      </c>
      <c r="L4085" s="14">
        <f>IF(ISNUMBER(SEARCH(Лист2!$B$5,I:I)),1,0)+K4085</f>
        <v>0</v>
      </c>
      <c r="M4085" s="3">
        <f ca="1">IF(AND(N4085&lt;&gt;N4084,ISNUMBER(SEARCH(Лист2!$B$6,N:N)),L4085=2),MAX($M$3:OFFSET(M4085,-1,0))+1,0)</f>
        <v>0</v>
      </c>
      <c r="N4085" s="3" t="s">
        <v>500</v>
      </c>
    </row>
    <row r="4086" spans="1:14" x14ac:dyDescent="0.25">
      <c r="A4086" s="1" t="s">
        <v>12876</v>
      </c>
      <c r="B4086" s="3" t="s">
        <v>7710</v>
      </c>
      <c r="C4086" s="2">
        <f ca="1">IF(ISNUMBER(SEARCH(Лист2!$B$4,D:D)),MAX($C$3:OFFSET(C4086,-1,0))+1,0)</f>
        <v>0</v>
      </c>
      <c r="E4086" s="9" t="str">
        <f t="shared" ca="1" si="75"/>
        <v/>
      </c>
      <c r="F4086" s="4" t="s">
        <v>18</v>
      </c>
      <c r="G4086" s="2">
        <f>IF(ISNUMBER(SEARCH(Лист2!$B$4,F:F)),1,0)</f>
        <v>0</v>
      </c>
      <c r="H4086" s="3">
        <f ca="1">IF(AND(I4086&lt;&gt;I4085,ISNUMBER(SEARCH(Лист2!$B$5,I:I)),G4086=1),MAX($H$3:OFFSET(H4086,-1,0))+1,0)</f>
        <v>0</v>
      </c>
      <c r="I4086" s="3" t="s">
        <v>340</v>
      </c>
      <c r="K4086" s="2">
        <f>IF(ISNUMBER(SEARCH(Лист2!$B$4,F:F)),1,0)</f>
        <v>0</v>
      </c>
      <c r="L4086" s="14">
        <f>IF(ISNUMBER(SEARCH(Лист2!$B$5,I:I)),1,0)+K4086</f>
        <v>0</v>
      </c>
      <c r="M4086" s="3">
        <f ca="1">IF(AND(N4086&lt;&gt;N4085,ISNUMBER(SEARCH(Лист2!$B$6,N:N)),L4086=2),MAX($M$3:OFFSET(M4086,-1,0))+1,0)</f>
        <v>0</v>
      </c>
      <c r="N4086" s="3" t="s">
        <v>501</v>
      </c>
    </row>
    <row r="4087" spans="1:14" x14ac:dyDescent="0.25">
      <c r="A4087" s="1" t="s">
        <v>12877</v>
      </c>
      <c r="B4087" s="3" t="s">
        <v>7711</v>
      </c>
      <c r="C4087" s="2">
        <f ca="1">IF(ISNUMBER(SEARCH(Лист2!$B$4,D:D)),MAX($C$3:OFFSET(C4087,-1,0))+1,0)</f>
        <v>0</v>
      </c>
      <c r="E4087" s="9" t="str">
        <f t="shared" ca="1" si="75"/>
        <v/>
      </c>
      <c r="F4087" s="4" t="s">
        <v>18</v>
      </c>
      <c r="G4087" s="2">
        <f>IF(ISNUMBER(SEARCH(Лист2!$B$4,F:F)),1,0)</f>
        <v>0</v>
      </c>
      <c r="H4087" s="3">
        <f ca="1">IF(AND(I4087&lt;&gt;I4086,ISNUMBER(SEARCH(Лист2!$B$5,I:I)),G4087=1),MAX($H$3:OFFSET(H4087,-1,0))+1,0)</f>
        <v>0</v>
      </c>
      <c r="I4087" s="3" t="s">
        <v>340</v>
      </c>
      <c r="K4087" s="2">
        <f>IF(ISNUMBER(SEARCH(Лист2!$B$4,F:F)),1,0)</f>
        <v>0</v>
      </c>
      <c r="L4087" s="14">
        <f>IF(ISNUMBER(SEARCH(Лист2!$B$5,I:I)),1,0)+K4087</f>
        <v>0</v>
      </c>
      <c r="M4087" s="3">
        <f ca="1">IF(AND(N4087&lt;&gt;N4086,ISNUMBER(SEARCH(Лист2!$B$6,N:N)),L4087=2),MAX($M$3:OFFSET(M4087,-1,0))+1,0)</f>
        <v>0</v>
      </c>
      <c r="N4087" s="3" t="s">
        <v>502</v>
      </c>
    </row>
    <row r="4088" spans="1:14" x14ac:dyDescent="0.25">
      <c r="A4088" s="1" t="s">
        <v>12878</v>
      </c>
      <c r="B4088" s="3" t="s">
        <v>7712</v>
      </c>
      <c r="C4088" s="2">
        <f ca="1">IF(ISNUMBER(SEARCH(Лист2!$B$4,D:D)),MAX($C$3:OFFSET(C4088,-1,0))+1,0)</f>
        <v>0</v>
      </c>
      <c r="E4088" s="9" t="str">
        <f t="shared" ca="1" si="75"/>
        <v/>
      </c>
      <c r="F4088" s="4" t="s">
        <v>18</v>
      </c>
      <c r="G4088" s="2">
        <f>IF(ISNUMBER(SEARCH(Лист2!$B$4,F:F)),1,0)</f>
        <v>0</v>
      </c>
      <c r="H4088" s="3">
        <f ca="1">IF(AND(I4088&lt;&gt;I4087,ISNUMBER(SEARCH(Лист2!$B$5,I:I)),G4088=1),MAX($H$3:OFFSET(H4088,-1,0))+1,0)</f>
        <v>0</v>
      </c>
      <c r="I4088" s="3" t="s">
        <v>340</v>
      </c>
      <c r="K4088" s="2">
        <f>IF(ISNUMBER(SEARCH(Лист2!$B$4,F:F)),1,0)</f>
        <v>0</v>
      </c>
      <c r="L4088" s="14">
        <f>IF(ISNUMBER(SEARCH(Лист2!$B$5,I:I)),1,0)+K4088</f>
        <v>0</v>
      </c>
      <c r="M4088" s="3">
        <f ca="1">IF(AND(N4088&lt;&gt;N4087,ISNUMBER(SEARCH(Лист2!$B$6,N:N)),L4088=2),MAX($M$3:OFFSET(M4088,-1,0))+1,0)</f>
        <v>0</v>
      </c>
      <c r="N4088" s="3" t="s">
        <v>503</v>
      </c>
    </row>
    <row r="4089" spans="1:14" x14ac:dyDescent="0.25">
      <c r="A4089" s="1" t="s">
        <v>12879</v>
      </c>
      <c r="B4089" s="3" t="s">
        <v>7713</v>
      </c>
      <c r="C4089" s="2">
        <f ca="1">IF(ISNUMBER(SEARCH(Лист2!$B$4,D:D)),MAX($C$3:OFFSET(C4089,-1,0))+1,0)</f>
        <v>0</v>
      </c>
      <c r="E4089" s="9" t="str">
        <f t="shared" ca="1" si="75"/>
        <v/>
      </c>
      <c r="F4089" s="4" t="s">
        <v>18</v>
      </c>
      <c r="G4089" s="2">
        <f>IF(ISNUMBER(SEARCH(Лист2!$B$4,F:F)),1,0)</f>
        <v>0</v>
      </c>
      <c r="H4089" s="3">
        <f ca="1">IF(AND(I4089&lt;&gt;I4088,ISNUMBER(SEARCH(Лист2!$B$5,I:I)),G4089=1),MAX($H$3:OFFSET(H4089,-1,0))+1,0)</f>
        <v>0</v>
      </c>
      <c r="I4089" s="3" t="s">
        <v>340</v>
      </c>
      <c r="K4089" s="2">
        <f>IF(ISNUMBER(SEARCH(Лист2!$B$4,F:F)),1,0)</f>
        <v>0</v>
      </c>
      <c r="L4089" s="14">
        <f>IF(ISNUMBER(SEARCH(Лист2!$B$5,I:I)),1,0)+K4089</f>
        <v>0</v>
      </c>
      <c r="M4089" s="3">
        <f ca="1">IF(AND(N4089&lt;&gt;N4088,ISNUMBER(SEARCH(Лист2!$B$6,N:N)),L4089=2),MAX($M$3:OFFSET(M4089,-1,0))+1,0)</f>
        <v>0</v>
      </c>
      <c r="N4089" s="3" t="s">
        <v>2564</v>
      </c>
    </row>
    <row r="4090" spans="1:14" x14ac:dyDescent="0.25">
      <c r="A4090" s="1" t="s">
        <v>12880</v>
      </c>
      <c r="B4090" s="3" t="s">
        <v>7714</v>
      </c>
      <c r="C4090" s="2">
        <f ca="1">IF(ISNUMBER(SEARCH(Лист2!$B$4,D:D)),MAX($C$3:OFFSET(C4090,-1,0))+1,0)</f>
        <v>0</v>
      </c>
      <c r="E4090" s="9" t="str">
        <f t="shared" ca="1" si="75"/>
        <v/>
      </c>
      <c r="F4090" s="4" t="s">
        <v>18</v>
      </c>
      <c r="G4090" s="2">
        <f>IF(ISNUMBER(SEARCH(Лист2!$B$4,F:F)),1,0)</f>
        <v>0</v>
      </c>
      <c r="H4090" s="3">
        <f ca="1">IF(AND(I4090&lt;&gt;I4089,ISNUMBER(SEARCH(Лист2!$B$5,I:I)),G4090=1),MAX($H$3:OFFSET(H4090,-1,0))+1,0)</f>
        <v>0</v>
      </c>
      <c r="I4090" s="3" t="s">
        <v>340</v>
      </c>
      <c r="K4090" s="2">
        <f>IF(ISNUMBER(SEARCH(Лист2!$B$4,F:F)),1,0)</f>
        <v>0</v>
      </c>
      <c r="L4090" s="14">
        <f>IF(ISNUMBER(SEARCH(Лист2!$B$5,I:I)),1,0)+K4090</f>
        <v>0</v>
      </c>
      <c r="M4090" s="3">
        <f ca="1">IF(AND(N4090&lt;&gt;N4089,ISNUMBER(SEARCH(Лист2!$B$6,N:N)),L4090=2),MAX($M$3:OFFSET(M4090,-1,0))+1,0)</f>
        <v>0</v>
      </c>
      <c r="N4090" s="3" t="s">
        <v>2565</v>
      </c>
    </row>
    <row r="4091" spans="1:14" x14ac:dyDescent="0.25">
      <c r="A4091" s="1" t="s">
        <v>12880</v>
      </c>
      <c r="B4091" s="3" t="s">
        <v>7715</v>
      </c>
      <c r="C4091" s="2">
        <f ca="1">IF(ISNUMBER(SEARCH(Лист2!$B$4,D:D)),MAX($C$3:OFFSET(C4091,-1,0))+1,0)</f>
        <v>0</v>
      </c>
      <c r="E4091" s="9" t="str">
        <f t="shared" ca="1" si="75"/>
        <v/>
      </c>
      <c r="F4091" s="4" t="s">
        <v>18</v>
      </c>
      <c r="G4091" s="2">
        <f>IF(ISNUMBER(SEARCH(Лист2!$B$4,F:F)),1,0)</f>
        <v>0</v>
      </c>
      <c r="H4091" s="3">
        <f ca="1">IF(AND(I4091&lt;&gt;I4090,ISNUMBER(SEARCH(Лист2!$B$5,I:I)),G4091=1),MAX($H$3:OFFSET(H4091,-1,0))+1,0)</f>
        <v>0</v>
      </c>
      <c r="I4091" s="3" t="s">
        <v>340</v>
      </c>
      <c r="K4091" s="2">
        <f>IF(ISNUMBER(SEARCH(Лист2!$B$4,F:F)),1,0)</f>
        <v>0</v>
      </c>
      <c r="L4091" s="14">
        <f>IF(ISNUMBER(SEARCH(Лист2!$B$5,I:I)),1,0)+K4091</f>
        <v>0</v>
      </c>
      <c r="M4091" s="3">
        <f ca="1">IF(AND(N4091&lt;&gt;N4090,ISNUMBER(SEARCH(Лист2!$B$6,N:N)),L4091=2),MAX($M$3:OFFSET(M4091,-1,0))+1,0)</f>
        <v>0</v>
      </c>
      <c r="N4091" s="3" t="s">
        <v>2565</v>
      </c>
    </row>
    <row r="4092" spans="1:14" x14ac:dyDescent="0.25">
      <c r="A4092" s="1" t="s">
        <v>12881</v>
      </c>
      <c r="B4092" s="3" t="s">
        <v>7716</v>
      </c>
      <c r="C4092" s="2">
        <f ca="1">IF(ISNUMBER(SEARCH(Лист2!$B$4,D:D)),MAX($C$3:OFFSET(C4092,-1,0))+1,0)</f>
        <v>0</v>
      </c>
      <c r="E4092" s="9" t="str">
        <f t="shared" ca="1" si="75"/>
        <v/>
      </c>
      <c r="F4092" s="4" t="s">
        <v>18</v>
      </c>
      <c r="G4092" s="2">
        <f>IF(ISNUMBER(SEARCH(Лист2!$B$4,F:F)),1,0)</f>
        <v>0</v>
      </c>
      <c r="H4092" s="3">
        <f ca="1">IF(AND(I4092&lt;&gt;I4091,ISNUMBER(SEARCH(Лист2!$B$5,I:I)),G4092=1),MAX($H$3:OFFSET(H4092,-1,0))+1,0)</f>
        <v>0</v>
      </c>
      <c r="I4092" s="3" t="s">
        <v>340</v>
      </c>
      <c r="K4092" s="2">
        <f>IF(ISNUMBER(SEARCH(Лист2!$B$4,F:F)),1,0)</f>
        <v>0</v>
      </c>
      <c r="L4092" s="14">
        <f>IF(ISNUMBER(SEARCH(Лист2!$B$5,I:I)),1,0)+K4092</f>
        <v>0</v>
      </c>
      <c r="M4092" s="3">
        <f ca="1">IF(AND(N4092&lt;&gt;N4091,ISNUMBER(SEARCH(Лист2!$B$6,N:N)),L4092=2),MAX($M$3:OFFSET(M4092,-1,0))+1,0)</f>
        <v>0</v>
      </c>
      <c r="N4092" s="3" t="s">
        <v>2566</v>
      </c>
    </row>
    <row r="4093" spans="1:14" x14ac:dyDescent="0.25">
      <c r="A4093" s="1" t="s">
        <v>12882</v>
      </c>
      <c r="B4093" s="3" t="s">
        <v>7717</v>
      </c>
      <c r="C4093" s="2">
        <f ca="1">IF(ISNUMBER(SEARCH(Лист2!$B$4,D:D)),MAX($C$3:OFFSET(C4093,-1,0))+1,0)</f>
        <v>0</v>
      </c>
      <c r="E4093" s="9" t="str">
        <f t="shared" ca="1" si="75"/>
        <v/>
      </c>
      <c r="F4093" s="4" t="s">
        <v>18</v>
      </c>
      <c r="G4093" s="2">
        <f>IF(ISNUMBER(SEARCH(Лист2!$B$4,F:F)),1,0)</f>
        <v>0</v>
      </c>
      <c r="H4093" s="3">
        <f ca="1">IF(AND(I4093&lt;&gt;I4092,ISNUMBER(SEARCH(Лист2!$B$5,I:I)),G4093=1),MAX($H$3:OFFSET(H4093,-1,0))+1,0)</f>
        <v>0</v>
      </c>
      <c r="I4093" s="3" t="s">
        <v>340</v>
      </c>
      <c r="K4093" s="2">
        <f>IF(ISNUMBER(SEARCH(Лист2!$B$4,F:F)),1,0)</f>
        <v>0</v>
      </c>
      <c r="L4093" s="14">
        <f>IF(ISNUMBER(SEARCH(Лист2!$B$5,I:I)),1,0)+K4093</f>
        <v>0</v>
      </c>
      <c r="M4093" s="3">
        <f ca="1">IF(AND(N4093&lt;&gt;N4092,ISNUMBER(SEARCH(Лист2!$B$6,N:N)),L4093=2),MAX($M$3:OFFSET(M4093,-1,0))+1,0)</f>
        <v>0</v>
      </c>
      <c r="N4093" s="3" t="s">
        <v>2567</v>
      </c>
    </row>
    <row r="4094" spans="1:14" x14ac:dyDescent="0.25">
      <c r="A4094" s="1" t="s">
        <v>12883</v>
      </c>
      <c r="B4094" s="3" t="s">
        <v>7718</v>
      </c>
      <c r="C4094" s="2">
        <f ca="1">IF(ISNUMBER(SEARCH(Лист2!$B$4,D:D)),MAX($C$3:OFFSET(C4094,-1,0))+1,0)</f>
        <v>0</v>
      </c>
      <c r="E4094" s="9" t="str">
        <f t="shared" ca="1" si="75"/>
        <v/>
      </c>
      <c r="F4094" s="4" t="s">
        <v>18</v>
      </c>
      <c r="G4094" s="2">
        <f>IF(ISNUMBER(SEARCH(Лист2!$B$4,F:F)),1,0)</f>
        <v>0</v>
      </c>
      <c r="H4094" s="3">
        <f ca="1">IF(AND(I4094&lt;&gt;I4093,ISNUMBER(SEARCH(Лист2!$B$5,I:I)),G4094=1),MAX($H$3:OFFSET(H4094,-1,0))+1,0)</f>
        <v>0</v>
      </c>
      <c r="I4094" s="3" t="s">
        <v>340</v>
      </c>
      <c r="K4094" s="2">
        <f>IF(ISNUMBER(SEARCH(Лист2!$B$4,F:F)),1,0)</f>
        <v>0</v>
      </c>
      <c r="L4094" s="14">
        <f>IF(ISNUMBER(SEARCH(Лист2!$B$5,I:I)),1,0)+K4094</f>
        <v>0</v>
      </c>
      <c r="M4094" s="3">
        <f ca="1">IF(AND(N4094&lt;&gt;N4093,ISNUMBER(SEARCH(Лист2!$B$6,N:N)),L4094=2),MAX($M$3:OFFSET(M4094,-1,0))+1,0)</f>
        <v>0</v>
      </c>
      <c r="N4094" s="3" t="s">
        <v>2568</v>
      </c>
    </row>
    <row r="4095" spans="1:14" x14ac:dyDescent="0.25">
      <c r="A4095" s="1" t="s">
        <v>12884</v>
      </c>
      <c r="B4095" s="3" t="s">
        <v>7719</v>
      </c>
      <c r="C4095" s="2">
        <f ca="1">IF(ISNUMBER(SEARCH(Лист2!$B$4,D:D)),MAX($C$3:OFFSET(C4095,-1,0))+1,0)</f>
        <v>0</v>
      </c>
      <c r="E4095" s="9" t="str">
        <f t="shared" ca="1" si="75"/>
        <v/>
      </c>
      <c r="F4095" s="4" t="s">
        <v>18</v>
      </c>
      <c r="G4095" s="2">
        <f>IF(ISNUMBER(SEARCH(Лист2!$B$4,F:F)),1,0)</f>
        <v>0</v>
      </c>
      <c r="H4095" s="3">
        <f ca="1">IF(AND(I4095&lt;&gt;I4094,ISNUMBER(SEARCH(Лист2!$B$5,I:I)),G4095=1),MAX($H$3:OFFSET(H4095,-1,0))+1,0)</f>
        <v>0</v>
      </c>
      <c r="I4095" s="3" t="s">
        <v>340</v>
      </c>
      <c r="K4095" s="2">
        <f>IF(ISNUMBER(SEARCH(Лист2!$B$4,F:F)),1,0)</f>
        <v>0</v>
      </c>
      <c r="L4095" s="14">
        <f>IF(ISNUMBER(SEARCH(Лист2!$B$5,I:I)),1,0)+K4095</f>
        <v>0</v>
      </c>
      <c r="M4095" s="3">
        <f ca="1">IF(AND(N4095&lt;&gt;N4094,ISNUMBER(SEARCH(Лист2!$B$6,N:N)),L4095=2),MAX($M$3:OFFSET(M4095,-1,0))+1,0)</f>
        <v>0</v>
      </c>
      <c r="N4095" s="3" t="s">
        <v>620</v>
      </c>
    </row>
    <row r="4096" spans="1:14" x14ac:dyDescent="0.25">
      <c r="A4096" s="1" t="s">
        <v>12885</v>
      </c>
      <c r="B4096" s="3" t="s">
        <v>7720</v>
      </c>
      <c r="C4096" s="2">
        <f ca="1">IF(ISNUMBER(SEARCH(Лист2!$B$4,D:D)),MAX($C$3:OFFSET(C4096,-1,0))+1,0)</f>
        <v>0</v>
      </c>
      <c r="E4096" s="9" t="str">
        <f t="shared" ca="1" si="75"/>
        <v/>
      </c>
      <c r="F4096" s="4" t="s">
        <v>18</v>
      </c>
      <c r="G4096" s="2">
        <f>IF(ISNUMBER(SEARCH(Лист2!$B$4,F:F)),1,0)</f>
        <v>0</v>
      </c>
      <c r="H4096" s="3">
        <f ca="1">IF(AND(I4096&lt;&gt;I4095,ISNUMBER(SEARCH(Лист2!$B$5,I:I)),G4096=1),MAX($H$3:OFFSET(H4096,-1,0))+1,0)</f>
        <v>0</v>
      </c>
      <c r="I4096" s="3" t="s">
        <v>340</v>
      </c>
      <c r="K4096" s="2">
        <f>IF(ISNUMBER(SEARCH(Лист2!$B$4,F:F)),1,0)</f>
        <v>0</v>
      </c>
      <c r="L4096" s="14">
        <f>IF(ISNUMBER(SEARCH(Лист2!$B$5,I:I)),1,0)+K4096</f>
        <v>0</v>
      </c>
      <c r="M4096" s="3">
        <f ca="1">IF(AND(N4096&lt;&gt;N4095,ISNUMBER(SEARCH(Лист2!$B$6,N:N)),L4096=2),MAX($M$3:OFFSET(M4096,-1,0))+1,0)</f>
        <v>0</v>
      </c>
      <c r="N4096" s="3" t="s">
        <v>621</v>
      </c>
    </row>
    <row r="4097" spans="1:14" x14ac:dyDescent="0.25">
      <c r="A4097" s="1" t="s">
        <v>12886</v>
      </c>
      <c r="B4097" s="3" t="s">
        <v>7721</v>
      </c>
      <c r="C4097" s="2">
        <f ca="1">IF(ISNUMBER(SEARCH(Лист2!$B$4,D:D)),MAX($C$3:OFFSET(C4097,-1,0))+1,0)</f>
        <v>0</v>
      </c>
      <c r="E4097" s="9" t="str">
        <f t="shared" ca="1" si="75"/>
        <v/>
      </c>
      <c r="F4097" s="4" t="s">
        <v>18</v>
      </c>
      <c r="G4097" s="2">
        <f>IF(ISNUMBER(SEARCH(Лист2!$B$4,F:F)),1,0)</f>
        <v>0</v>
      </c>
      <c r="H4097" s="3">
        <f ca="1">IF(AND(I4097&lt;&gt;I4096,ISNUMBER(SEARCH(Лист2!$B$5,I:I)),G4097=1),MAX($H$3:OFFSET(H4097,-1,0))+1,0)</f>
        <v>0</v>
      </c>
      <c r="I4097" s="3" t="s">
        <v>340</v>
      </c>
      <c r="K4097" s="2">
        <f>IF(ISNUMBER(SEARCH(Лист2!$B$4,F:F)),1,0)</f>
        <v>0</v>
      </c>
      <c r="L4097" s="14">
        <f>IF(ISNUMBER(SEARCH(Лист2!$B$5,I:I)),1,0)+K4097</f>
        <v>0</v>
      </c>
      <c r="M4097" s="3">
        <f ca="1">IF(AND(N4097&lt;&gt;N4096,ISNUMBER(SEARCH(Лист2!$B$6,N:N)),L4097=2),MAX($M$3:OFFSET(M4097,-1,0))+1,0)</f>
        <v>0</v>
      </c>
      <c r="N4097" s="3" t="s">
        <v>2569</v>
      </c>
    </row>
    <row r="4098" spans="1:14" x14ac:dyDescent="0.25">
      <c r="A4098" s="1" t="s">
        <v>12887</v>
      </c>
      <c r="B4098" s="3" t="s">
        <v>7722</v>
      </c>
      <c r="C4098" s="2">
        <f ca="1">IF(ISNUMBER(SEARCH(Лист2!$B$4,D:D)),MAX($C$3:OFFSET(C4098,-1,0))+1,0)</f>
        <v>0</v>
      </c>
      <c r="E4098" s="9" t="str">
        <f t="shared" ca="1" si="75"/>
        <v/>
      </c>
      <c r="F4098" s="4" t="s">
        <v>19</v>
      </c>
      <c r="G4098" s="2">
        <f>IF(ISNUMBER(SEARCH(Лист2!$B$4,F:F)),1,0)</f>
        <v>0</v>
      </c>
      <c r="H4098" s="3">
        <f ca="1">IF(AND(I4098&lt;&gt;I4097,ISNUMBER(SEARCH(Лист2!$B$5,I:I)),G4098=1),MAX($H$3:OFFSET(H4098,-1,0))+1,0)</f>
        <v>0</v>
      </c>
      <c r="I4098" s="3" t="s">
        <v>340</v>
      </c>
      <c r="K4098" s="2">
        <f>IF(ISNUMBER(SEARCH(Лист2!$B$4,F:F)),1,0)</f>
        <v>0</v>
      </c>
      <c r="L4098" s="14">
        <f>IF(ISNUMBER(SEARCH(Лист2!$B$5,I:I)),1,0)+K4098</f>
        <v>0</v>
      </c>
      <c r="M4098" s="3">
        <f ca="1">IF(AND(N4098&lt;&gt;N4097,ISNUMBER(SEARCH(Лист2!$B$6,N:N)),L4098=2),MAX($M$3:OFFSET(M4098,-1,0))+1,0)</f>
        <v>0</v>
      </c>
      <c r="N4098" s="3" t="s">
        <v>499</v>
      </c>
    </row>
    <row r="4099" spans="1:14" x14ac:dyDescent="0.25">
      <c r="A4099" s="1" t="s">
        <v>12888</v>
      </c>
      <c r="B4099" s="3" t="s">
        <v>7723</v>
      </c>
      <c r="C4099" s="2">
        <f ca="1">IF(ISNUMBER(SEARCH(Лист2!$B$4,D:D)),MAX($C$3:OFFSET(C4099,-1,0))+1,0)</f>
        <v>0</v>
      </c>
      <c r="E4099" s="9" t="str">
        <f t="shared" ca="1" si="75"/>
        <v/>
      </c>
      <c r="F4099" s="4" t="s">
        <v>19</v>
      </c>
      <c r="G4099" s="2">
        <f>IF(ISNUMBER(SEARCH(Лист2!$B$4,F:F)),1,0)</f>
        <v>0</v>
      </c>
      <c r="H4099" s="3">
        <f ca="1">IF(AND(I4099&lt;&gt;I4098,ISNUMBER(SEARCH(Лист2!$B$5,I:I)),G4099=1),MAX($H$3:OFFSET(H4099,-1,0))+1,0)</f>
        <v>0</v>
      </c>
      <c r="I4099" s="3" t="s">
        <v>340</v>
      </c>
      <c r="K4099" s="2">
        <f>IF(ISNUMBER(SEARCH(Лист2!$B$4,F:F)),1,0)</f>
        <v>0</v>
      </c>
      <c r="L4099" s="14">
        <f>IF(ISNUMBER(SEARCH(Лист2!$B$5,I:I)),1,0)+K4099</f>
        <v>0</v>
      </c>
      <c r="M4099" s="3">
        <f ca="1">IF(AND(N4099&lt;&gt;N4098,ISNUMBER(SEARCH(Лист2!$B$6,N:N)),L4099=2),MAX($M$3:OFFSET(M4099,-1,0))+1,0)</f>
        <v>0</v>
      </c>
      <c r="N4099" s="3" t="s">
        <v>500</v>
      </c>
    </row>
    <row r="4100" spans="1:14" x14ac:dyDescent="0.25">
      <c r="A4100" s="1" t="s">
        <v>12889</v>
      </c>
      <c r="B4100" s="3" t="s">
        <v>7724</v>
      </c>
      <c r="C4100" s="2">
        <f ca="1">IF(ISNUMBER(SEARCH(Лист2!$B$4,D:D)),MAX($C$3:OFFSET(C4100,-1,0))+1,0)</f>
        <v>0</v>
      </c>
      <c r="E4100" s="9" t="str">
        <f t="shared" ca="1" si="75"/>
        <v/>
      </c>
      <c r="F4100" s="4" t="s">
        <v>19</v>
      </c>
      <c r="G4100" s="2">
        <f>IF(ISNUMBER(SEARCH(Лист2!$B$4,F:F)),1,0)</f>
        <v>0</v>
      </c>
      <c r="H4100" s="3">
        <f ca="1">IF(AND(I4100&lt;&gt;I4099,ISNUMBER(SEARCH(Лист2!$B$5,I:I)),G4100=1),MAX($H$3:OFFSET(H4100,-1,0))+1,0)</f>
        <v>0</v>
      </c>
      <c r="I4100" s="3" t="s">
        <v>340</v>
      </c>
      <c r="K4100" s="2">
        <f>IF(ISNUMBER(SEARCH(Лист2!$B$4,F:F)),1,0)</f>
        <v>0</v>
      </c>
      <c r="L4100" s="14">
        <f>IF(ISNUMBER(SEARCH(Лист2!$B$5,I:I)),1,0)+K4100</f>
        <v>0</v>
      </c>
      <c r="M4100" s="3">
        <f ca="1">IF(AND(N4100&lt;&gt;N4099,ISNUMBER(SEARCH(Лист2!$B$6,N:N)),L4100=2),MAX($M$3:OFFSET(M4100,-1,0))+1,0)</f>
        <v>0</v>
      </c>
      <c r="N4100" s="3" t="s">
        <v>501</v>
      </c>
    </row>
    <row r="4101" spans="1:14" x14ac:dyDescent="0.25">
      <c r="A4101" s="1" t="s">
        <v>12890</v>
      </c>
      <c r="B4101" s="3" t="s">
        <v>7725</v>
      </c>
      <c r="C4101" s="2">
        <f ca="1">IF(ISNUMBER(SEARCH(Лист2!$B$4,D:D)),MAX($C$3:OFFSET(C4101,-1,0))+1,0)</f>
        <v>0</v>
      </c>
      <c r="E4101" s="9" t="str">
        <f t="shared" ref="E4101:E4164" ca="1" si="76">IFERROR(INDEX(D:D,MATCH(ROW(E4101)-ROW($E$3),C:C,0)),"")</f>
        <v/>
      </c>
      <c r="F4101" s="4" t="s">
        <v>19</v>
      </c>
      <c r="G4101" s="2">
        <f>IF(ISNUMBER(SEARCH(Лист2!$B$4,F:F)),1,0)</f>
        <v>0</v>
      </c>
      <c r="H4101" s="3">
        <f ca="1">IF(AND(I4101&lt;&gt;I4100,ISNUMBER(SEARCH(Лист2!$B$5,I:I)),G4101=1),MAX($H$3:OFFSET(H4101,-1,0))+1,0)</f>
        <v>0</v>
      </c>
      <c r="I4101" s="3" t="s">
        <v>340</v>
      </c>
      <c r="K4101" s="2">
        <f>IF(ISNUMBER(SEARCH(Лист2!$B$4,F:F)),1,0)</f>
        <v>0</v>
      </c>
      <c r="L4101" s="14">
        <f>IF(ISNUMBER(SEARCH(Лист2!$B$5,I:I)),1,0)+K4101</f>
        <v>0</v>
      </c>
      <c r="M4101" s="3">
        <f ca="1">IF(AND(N4101&lt;&gt;N4100,ISNUMBER(SEARCH(Лист2!$B$6,N:N)),L4101=2),MAX($M$3:OFFSET(M4101,-1,0))+1,0)</f>
        <v>0</v>
      </c>
      <c r="N4101" s="3" t="s">
        <v>502</v>
      </c>
    </row>
    <row r="4102" spans="1:14" x14ac:dyDescent="0.25">
      <c r="A4102" s="1" t="s">
        <v>12891</v>
      </c>
      <c r="B4102" s="3" t="s">
        <v>7726</v>
      </c>
      <c r="C4102" s="2">
        <f ca="1">IF(ISNUMBER(SEARCH(Лист2!$B$4,D:D)),MAX($C$3:OFFSET(C4102,-1,0))+1,0)</f>
        <v>0</v>
      </c>
      <c r="E4102" s="9" t="str">
        <f t="shared" ca="1" si="76"/>
        <v/>
      </c>
      <c r="F4102" s="4" t="s">
        <v>19</v>
      </c>
      <c r="G4102" s="2">
        <f>IF(ISNUMBER(SEARCH(Лист2!$B$4,F:F)),1,0)</f>
        <v>0</v>
      </c>
      <c r="H4102" s="3">
        <f ca="1">IF(AND(I4102&lt;&gt;I4101,ISNUMBER(SEARCH(Лист2!$B$5,I:I)),G4102=1),MAX($H$3:OFFSET(H4102,-1,0))+1,0)</f>
        <v>0</v>
      </c>
      <c r="I4102" s="3" t="s">
        <v>340</v>
      </c>
      <c r="K4102" s="2">
        <f>IF(ISNUMBER(SEARCH(Лист2!$B$4,F:F)),1,0)</f>
        <v>0</v>
      </c>
      <c r="L4102" s="14">
        <f>IF(ISNUMBER(SEARCH(Лист2!$B$5,I:I)),1,0)+K4102</f>
        <v>0</v>
      </c>
      <c r="M4102" s="3">
        <f ca="1">IF(AND(N4102&lt;&gt;N4101,ISNUMBER(SEARCH(Лист2!$B$6,N:N)),L4102=2),MAX($M$3:OFFSET(M4102,-1,0))+1,0)</f>
        <v>0</v>
      </c>
      <c r="N4102" s="3" t="s">
        <v>504</v>
      </c>
    </row>
    <row r="4103" spans="1:14" x14ac:dyDescent="0.25">
      <c r="A4103" s="1" t="s">
        <v>12892</v>
      </c>
      <c r="B4103" s="3" t="s">
        <v>7727</v>
      </c>
      <c r="C4103" s="2">
        <f ca="1">IF(ISNUMBER(SEARCH(Лист2!$B$4,D:D)),MAX($C$3:OFFSET(C4103,-1,0))+1,0)</f>
        <v>0</v>
      </c>
      <c r="E4103" s="9" t="str">
        <f t="shared" ca="1" si="76"/>
        <v/>
      </c>
      <c r="F4103" s="4" t="s">
        <v>19</v>
      </c>
      <c r="G4103" s="2">
        <f>IF(ISNUMBER(SEARCH(Лист2!$B$4,F:F)),1,0)</f>
        <v>0</v>
      </c>
      <c r="H4103" s="3">
        <f ca="1">IF(AND(I4103&lt;&gt;I4102,ISNUMBER(SEARCH(Лист2!$B$5,I:I)),G4103=1),MAX($H$3:OFFSET(H4103,-1,0))+1,0)</f>
        <v>0</v>
      </c>
      <c r="I4103" s="3" t="s">
        <v>340</v>
      </c>
      <c r="K4103" s="2">
        <f>IF(ISNUMBER(SEARCH(Лист2!$B$4,F:F)),1,0)</f>
        <v>0</v>
      </c>
      <c r="L4103" s="14">
        <f>IF(ISNUMBER(SEARCH(Лист2!$B$5,I:I)),1,0)+K4103</f>
        <v>0</v>
      </c>
      <c r="M4103" s="3">
        <f ca="1">IF(AND(N4103&lt;&gt;N4102,ISNUMBER(SEARCH(Лист2!$B$6,N:N)),L4103=2),MAX($M$3:OFFSET(M4103,-1,0))+1,0)</f>
        <v>0</v>
      </c>
      <c r="N4103" s="3" t="s">
        <v>505</v>
      </c>
    </row>
    <row r="4104" spans="1:14" x14ac:dyDescent="0.25">
      <c r="A4104" s="1" t="s">
        <v>12893</v>
      </c>
      <c r="B4104" s="3" t="s">
        <v>7728</v>
      </c>
      <c r="C4104" s="2">
        <f ca="1">IF(ISNUMBER(SEARCH(Лист2!$B$4,D:D)),MAX($C$3:OFFSET(C4104,-1,0))+1,0)</f>
        <v>0</v>
      </c>
      <c r="E4104" s="9" t="str">
        <f t="shared" ca="1" si="76"/>
        <v/>
      </c>
      <c r="F4104" s="4" t="s">
        <v>19</v>
      </c>
      <c r="G4104" s="2">
        <f>IF(ISNUMBER(SEARCH(Лист2!$B$4,F:F)),1,0)</f>
        <v>0</v>
      </c>
      <c r="H4104" s="3">
        <f ca="1">IF(AND(I4104&lt;&gt;I4103,ISNUMBER(SEARCH(Лист2!$B$5,I:I)),G4104=1),MAX($H$3:OFFSET(H4104,-1,0))+1,0)</f>
        <v>0</v>
      </c>
      <c r="I4104" s="3" t="s">
        <v>340</v>
      </c>
      <c r="K4104" s="2">
        <f>IF(ISNUMBER(SEARCH(Лист2!$B$4,F:F)),1,0)</f>
        <v>0</v>
      </c>
      <c r="L4104" s="14">
        <f>IF(ISNUMBER(SEARCH(Лист2!$B$5,I:I)),1,0)+K4104</f>
        <v>0</v>
      </c>
      <c r="M4104" s="3">
        <f ca="1">IF(AND(N4104&lt;&gt;N4103,ISNUMBER(SEARCH(Лист2!$B$6,N:N)),L4104=2),MAX($M$3:OFFSET(M4104,-1,0))+1,0)</f>
        <v>0</v>
      </c>
      <c r="N4104" s="3" t="s">
        <v>2570</v>
      </c>
    </row>
    <row r="4105" spans="1:14" x14ac:dyDescent="0.25">
      <c r="A4105" s="1" t="s">
        <v>12893</v>
      </c>
      <c r="B4105" s="3" t="s">
        <v>7729</v>
      </c>
      <c r="C4105" s="2">
        <f ca="1">IF(ISNUMBER(SEARCH(Лист2!$B$4,D:D)),MAX($C$3:OFFSET(C4105,-1,0))+1,0)</f>
        <v>0</v>
      </c>
      <c r="E4105" s="9" t="str">
        <f t="shared" ca="1" si="76"/>
        <v/>
      </c>
      <c r="F4105" s="4" t="s">
        <v>19</v>
      </c>
      <c r="G4105" s="2">
        <f>IF(ISNUMBER(SEARCH(Лист2!$B$4,F:F)),1,0)</f>
        <v>0</v>
      </c>
      <c r="H4105" s="3">
        <f ca="1">IF(AND(I4105&lt;&gt;I4104,ISNUMBER(SEARCH(Лист2!$B$5,I:I)),G4105=1),MAX($H$3:OFFSET(H4105,-1,0))+1,0)</f>
        <v>0</v>
      </c>
      <c r="I4105" s="3" t="s">
        <v>340</v>
      </c>
      <c r="K4105" s="2">
        <f>IF(ISNUMBER(SEARCH(Лист2!$B$4,F:F)),1,0)</f>
        <v>0</v>
      </c>
      <c r="L4105" s="14">
        <f>IF(ISNUMBER(SEARCH(Лист2!$B$5,I:I)),1,0)+K4105</f>
        <v>0</v>
      </c>
      <c r="M4105" s="3">
        <f ca="1">IF(AND(N4105&lt;&gt;N4104,ISNUMBER(SEARCH(Лист2!$B$6,N:N)),L4105=2),MAX($M$3:OFFSET(M4105,-1,0))+1,0)</f>
        <v>0</v>
      </c>
      <c r="N4105" s="3" t="s">
        <v>2570</v>
      </c>
    </row>
    <row r="4106" spans="1:14" x14ac:dyDescent="0.25">
      <c r="A4106" s="1" t="s">
        <v>12894</v>
      </c>
      <c r="B4106" s="3" t="s">
        <v>7730</v>
      </c>
      <c r="C4106" s="2">
        <f ca="1">IF(ISNUMBER(SEARCH(Лист2!$B$4,D:D)),MAX($C$3:OFFSET(C4106,-1,0))+1,0)</f>
        <v>0</v>
      </c>
      <c r="E4106" s="9" t="str">
        <f t="shared" ca="1" si="76"/>
        <v/>
      </c>
      <c r="F4106" s="4" t="s">
        <v>19</v>
      </c>
      <c r="G4106" s="2">
        <f>IF(ISNUMBER(SEARCH(Лист2!$B$4,F:F)),1,0)</f>
        <v>0</v>
      </c>
      <c r="H4106" s="3">
        <f ca="1">IF(AND(I4106&lt;&gt;I4105,ISNUMBER(SEARCH(Лист2!$B$5,I:I)),G4106=1),MAX($H$3:OFFSET(H4106,-1,0))+1,0)</f>
        <v>0</v>
      </c>
      <c r="I4106" s="3" t="s">
        <v>340</v>
      </c>
      <c r="K4106" s="2">
        <f>IF(ISNUMBER(SEARCH(Лист2!$B$4,F:F)),1,0)</f>
        <v>0</v>
      </c>
      <c r="L4106" s="14">
        <f>IF(ISNUMBER(SEARCH(Лист2!$B$5,I:I)),1,0)+K4106</f>
        <v>0</v>
      </c>
      <c r="M4106" s="3">
        <f ca="1">IF(AND(N4106&lt;&gt;N4105,ISNUMBER(SEARCH(Лист2!$B$6,N:N)),L4106=2),MAX($M$3:OFFSET(M4106,-1,0))+1,0)</f>
        <v>0</v>
      </c>
      <c r="N4106" s="3" t="s">
        <v>510</v>
      </c>
    </row>
    <row r="4107" spans="1:14" x14ac:dyDescent="0.25">
      <c r="A4107" s="1" t="s">
        <v>12895</v>
      </c>
      <c r="B4107" s="3" t="s">
        <v>7731</v>
      </c>
      <c r="C4107" s="2">
        <f ca="1">IF(ISNUMBER(SEARCH(Лист2!$B$4,D:D)),MAX($C$3:OFFSET(C4107,-1,0))+1,0)</f>
        <v>0</v>
      </c>
      <c r="E4107" s="9" t="str">
        <f t="shared" ca="1" si="76"/>
        <v/>
      </c>
      <c r="F4107" s="4" t="s">
        <v>19</v>
      </c>
      <c r="G4107" s="2">
        <f>IF(ISNUMBER(SEARCH(Лист2!$B$4,F:F)),1,0)</f>
        <v>0</v>
      </c>
      <c r="H4107" s="3">
        <f ca="1">IF(AND(I4107&lt;&gt;I4106,ISNUMBER(SEARCH(Лист2!$B$5,I:I)),G4107=1),MAX($H$3:OFFSET(H4107,-1,0))+1,0)</f>
        <v>0</v>
      </c>
      <c r="I4107" s="3" t="s">
        <v>340</v>
      </c>
      <c r="K4107" s="2">
        <f>IF(ISNUMBER(SEARCH(Лист2!$B$4,F:F)),1,0)</f>
        <v>0</v>
      </c>
      <c r="L4107" s="14">
        <f>IF(ISNUMBER(SEARCH(Лист2!$B$5,I:I)),1,0)+K4107</f>
        <v>0</v>
      </c>
      <c r="M4107" s="3">
        <f ca="1">IF(AND(N4107&lt;&gt;N4106,ISNUMBER(SEARCH(Лист2!$B$6,N:N)),L4107=2),MAX($M$3:OFFSET(M4107,-1,0))+1,0)</f>
        <v>0</v>
      </c>
      <c r="N4107" s="3" t="s">
        <v>2556</v>
      </c>
    </row>
    <row r="4108" spans="1:14" x14ac:dyDescent="0.25">
      <c r="A4108" s="1" t="s">
        <v>12896</v>
      </c>
      <c r="B4108" s="3" t="s">
        <v>7732</v>
      </c>
      <c r="C4108" s="2">
        <f ca="1">IF(ISNUMBER(SEARCH(Лист2!$B$4,D:D)),MAX($C$3:OFFSET(C4108,-1,0))+1,0)</f>
        <v>0</v>
      </c>
      <c r="E4108" s="9" t="str">
        <f t="shared" ca="1" si="76"/>
        <v/>
      </c>
      <c r="F4108" s="4" t="s">
        <v>20</v>
      </c>
      <c r="G4108" s="2">
        <f>IF(ISNUMBER(SEARCH(Лист2!$B$4,F:F)),1,0)</f>
        <v>0</v>
      </c>
      <c r="H4108" s="3">
        <f ca="1">IF(AND(I4108&lt;&gt;I4107,ISNUMBER(SEARCH(Лист2!$B$5,I:I)),G4108=1),MAX($H$3:OFFSET(H4108,-1,0))+1,0)</f>
        <v>0</v>
      </c>
      <c r="I4108" s="3" t="s">
        <v>340</v>
      </c>
      <c r="K4108" s="2">
        <f>IF(ISNUMBER(SEARCH(Лист2!$B$4,F:F)),1,0)</f>
        <v>0</v>
      </c>
      <c r="L4108" s="14">
        <f>IF(ISNUMBER(SEARCH(Лист2!$B$5,I:I)),1,0)+K4108</f>
        <v>0</v>
      </c>
      <c r="M4108" s="3">
        <f ca="1">IF(AND(N4108&lt;&gt;N4107,ISNUMBER(SEARCH(Лист2!$B$6,N:N)),L4108=2),MAX($M$3:OFFSET(M4108,-1,0))+1,0)</f>
        <v>0</v>
      </c>
      <c r="N4108" s="3" t="s">
        <v>499</v>
      </c>
    </row>
    <row r="4109" spans="1:14" x14ac:dyDescent="0.25">
      <c r="A4109" s="1" t="s">
        <v>12897</v>
      </c>
      <c r="B4109" s="3" t="s">
        <v>7733</v>
      </c>
      <c r="C4109" s="2">
        <f ca="1">IF(ISNUMBER(SEARCH(Лист2!$B$4,D:D)),MAX($C$3:OFFSET(C4109,-1,0))+1,0)</f>
        <v>0</v>
      </c>
      <c r="E4109" s="9" t="str">
        <f t="shared" ca="1" si="76"/>
        <v/>
      </c>
      <c r="F4109" s="4" t="s">
        <v>20</v>
      </c>
      <c r="G4109" s="2">
        <f>IF(ISNUMBER(SEARCH(Лист2!$B$4,F:F)),1,0)</f>
        <v>0</v>
      </c>
      <c r="H4109" s="3">
        <f ca="1">IF(AND(I4109&lt;&gt;I4108,ISNUMBER(SEARCH(Лист2!$B$5,I:I)),G4109=1),MAX($H$3:OFFSET(H4109,-1,0))+1,0)</f>
        <v>0</v>
      </c>
      <c r="I4109" s="3" t="s">
        <v>340</v>
      </c>
      <c r="K4109" s="2">
        <f>IF(ISNUMBER(SEARCH(Лист2!$B$4,F:F)),1,0)</f>
        <v>0</v>
      </c>
      <c r="L4109" s="14">
        <f>IF(ISNUMBER(SEARCH(Лист2!$B$5,I:I)),1,0)+K4109</f>
        <v>0</v>
      </c>
      <c r="M4109" s="3">
        <f ca="1">IF(AND(N4109&lt;&gt;N4108,ISNUMBER(SEARCH(Лист2!$B$6,N:N)),L4109=2),MAX($M$3:OFFSET(M4109,-1,0))+1,0)</f>
        <v>0</v>
      </c>
      <c r="N4109" s="3" t="s">
        <v>500</v>
      </c>
    </row>
    <row r="4110" spans="1:14" x14ac:dyDescent="0.25">
      <c r="A4110" s="1" t="s">
        <v>12898</v>
      </c>
      <c r="B4110" s="3" t="s">
        <v>7734</v>
      </c>
      <c r="C4110" s="2">
        <f ca="1">IF(ISNUMBER(SEARCH(Лист2!$B$4,D:D)),MAX($C$3:OFFSET(C4110,-1,0))+1,0)</f>
        <v>0</v>
      </c>
      <c r="E4110" s="9" t="str">
        <f t="shared" ca="1" si="76"/>
        <v/>
      </c>
      <c r="F4110" s="4" t="s">
        <v>20</v>
      </c>
      <c r="G4110" s="2">
        <f>IF(ISNUMBER(SEARCH(Лист2!$B$4,F:F)),1,0)</f>
        <v>0</v>
      </c>
      <c r="H4110" s="3">
        <f ca="1">IF(AND(I4110&lt;&gt;I4109,ISNUMBER(SEARCH(Лист2!$B$5,I:I)),G4110=1),MAX($H$3:OFFSET(H4110,-1,0))+1,0)</f>
        <v>0</v>
      </c>
      <c r="I4110" s="3" t="s">
        <v>340</v>
      </c>
      <c r="K4110" s="2">
        <f>IF(ISNUMBER(SEARCH(Лист2!$B$4,F:F)),1,0)</f>
        <v>0</v>
      </c>
      <c r="L4110" s="14">
        <f>IF(ISNUMBER(SEARCH(Лист2!$B$5,I:I)),1,0)+K4110</f>
        <v>0</v>
      </c>
      <c r="M4110" s="3">
        <f ca="1">IF(AND(N4110&lt;&gt;N4109,ISNUMBER(SEARCH(Лист2!$B$6,N:N)),L4110=2),MAX($M$3:OFFSET(M4110,-1,0))+1,0)</f>
        <v>0</v>
      </c>
      <c r="N4110" s="3" t="s">
        <v>501</v>
      </c>
    </row>
    <row r="4111" spans="1:14" x14ac:dyDescent="0.25">
      <c r="A4111" s="1" t="s">
        <v>12899</v>
      </c>
      <c r="B4111" s="3" t="s">
        <v>7735</v>
      </c>
      <c r="C4111" s="2">
        <f ca="1">IF(ISNUMBER(SEARCH(Лист2!$B$4,D:D)),MAX($C$3:OFFSET(C4111,-1,0))+1,0)</f>
        <v>0</v>
      </c>
      <c r="E4111" s="9" t="str">
        <f t="shared" ca="1" si="76"/>
        <v/>
      </c>
      <c r="F4111" s="4" t="s">
        <v>20</v>
      </c>
      <c r="G4111" s="2">
        <f>IF(ISNUMBER(SEARCH(Лист2!$B$4,F:F)),1,0)</f>
        <v>0</v>
      </c>
      <c r="H4111" s="3">
        <f ca="1">IF(AND(I4111&lt;&gt;I4110,ISNUMBER(SEARCH(Лист2!$B$5,I:I)),G4111=1),MAX($H$3:OFFSET(H4111,-1,0))+1,0)</f>
        <v>0</v>
      </c>
      <c r="I4111" s="3" t="s">
        <v>340</v>
      </c>
      <c r="K4111" s="2">
        <f>IF(ISNUMBER(SEARCH(Лист2!$B$4,F:F)),1,0)</f>
        <v>0</v>
      </c>
      <c r="L4111" s="14">
        <f>IF(ISNUMBER(SEARCH(Лист2!$B$5,I:I)),1,0)+K4111</f>
        <v>0</v>
      </c>
      <c r="M4111" s="3">
        <f ca="1">IF(AND(N4111&lt;&gt;N4110,ISNUMBER(SEARCH(Лист2!$B$6,N:N)),L4111=2),MAX($M$3:OFFSET(M4111,-1,0))+1,0)</f>
        <v>0</v>
      </c>
      <c r="N4111" s="3" t="s">
        <v>502</v>
      </c>
    </row>
    <row r="4112" spans="1:14" x14ac:dyDescent="0.25">
      <c r="A4112" s="1" t="s">
        <v>12900</v>
      </c>
      <c r="B4112" s="3" t="s">
        <v>7736</v>
      </c>
      <c r="C4112" s="2">
        <f ca="1">IF(ISNUMBER(SEARCH(Лист2!$B$4,D:D)),MAX($C$3:OFFSET(C4112,-1,0))+1,0)</f>
        <v>0</v>
      </c>
      <c r="E4112" s="9" t="str">
        <f t="shared" ca="1" si="76"/>
        <v/>
      </c>
      <c r="F4112" s="4" t="s">
        <v>20</v>
      </c>
      <c r="G4112" s="2">
        <f>IF(ISNUMBER(SEARCH(Лист2!$B$4,F:F)),1,0)</f>
        <v>0</v>
      </c>
      <c r="H4112" s="3">
        <f ca="1">IF(AND(I4112&lt;&gt;I4111,ISNUMBER(SEARCH(Лист2!$B$5,I:I)),G4112=1),MAX($H$3:OFFSET(H4112,-1,0))+1,0)</f>
        <v>0</v>
      </c>
      <c r="I4112" s="3" t="s">
        <v>340</v>
      </c>
      <c r="K4112" s="2">
        <f>IF(ISNUMBER(SEARCH(Лист2!$B$4,F:F)),1,0)</f>
        <v>0</v>
      </c>
      <c r="L4112" s="14">
        <f>IF(ISNUMBER(SEARCH(Лист2!$B$5,I:I)),1,0)+K4112</f>
        <v>0</v>
      </c>
      <c r="M4112" s="3">
        <f ca="1">IF(AND(N4112&lt;&gt;N4111,ISNUMBER(SEARCH(Лист2!$B$6,N:N)),L4112=2),MAX($M$3:OFFSET(M4112,-1,0))+1,0)</f>
        <v>0</v>
      </c>
      <c r="N4112" s="3" t="s">
        <v>504</v>
      </c>
    </row>
    <row r="4113" spans="1:14" x14ac:dyDescent="0.25">
      <c r="A4113" s="1" t="s">
        <v>12901</v>
      </c>
      <c r="B4113" s="3" t="s">
        <v>7737</v>
      </c>
      <c r="C4113" s="2">
        <f ca="1">IF(ISNUMBER(SEARCH(Лист2!$B$4,D:D)),MAX($C$3:OFFSET(C4113,-1,0))+1,0)</f>
        <v>0</v>
      </c>
      <c r="E4113" s="9" t="str">
        <f t="shared" ca="1" si="76"/>
        <v/>
      </c>
      <c r="F4113" s="4" t="s">
        <v>20</v>
      </c>
      <c r="G4113" s="2">
        <f>IF(ISNUMBER(SEARCH(Лист2!$B$4,F:F)),1,0)</f>
        <v>0</v>
      </c>
      <c r="H4113" s="3">
        <f ca="1">IF(AND(I4113&lt;&gt;I4112,ISNUMBER(SEARCH(Лист2!$B$5,I:I)),G4113=1),MAX($H$3:OFFSET(H4113,-1,0))+1,0)</f>
        <v>0</v>
      </c>
      <c r="I4113" s="3" t="s">
        <v>340</v>
      </c>
      <c r="K4113" s="2">
        <f>IF(ISNUMBER(SEARCH(Лист2!$B$4,F:F)),1,0)</f>
        <v>0</v>
      </c>
      <c r="L4113" s="14">
        <f>IF(ISNUMBER(SEARCH(Лист2!$B$5,I:I)),1,0)+K4113</f>
        <v>0</v>
      </c>
      <c r="M4113" s="3">
        <f ca="1">IF(AND(N4113&lt;&gt;N4112,ISNUMBER(SEARCH(Лист2!$B$6,N:N)),L4113=2),MAX($M$3:OFFSET(M4113,-1,0))+1,0)</f>
        <v>0</v>
      </c>
      <c r="N4113" s="3" t="s">
        <v>505</v>
      </c>
    </row>
    <row r="4114" spans="1:14" x14ac:dyDescent="0.25">
      <c r="A4114" s="1" t="s">
        <v>12902</v>
      </c>
      <c r="B4114" s="3" t="s">
        <v>7738</v>
      </c>
      <c r="C4114" s="2">
        <f ca="1">IF(ISNUMBER(SEARCH(Лист2!$B$4,D:D)),MAX($C$3:OFFSET(C4114,-1,0))+1,0)</f>
        <v>0</v>
      </c>
      <c r="E4114" s="9" t="str">
        <f t="shared" ca="1" si="76"/>
        <v/>
      </c>
      <c r="F4114" s="4" t="s">
        <v>20</v>
      </c>
      <c r="G4114" s="2">
        <f>IF(ISNUMBER(SEARCH(Лист2!$B$4,F:F)),1,0)</f>
        <v>0</v>
      </c>
      <c r="H4114" s="3">
        <f ca="1">IF(AND(I4114&lt;&gt;I4113,ISNUMBER(SEARCH(Лист2!$B$5,I:I)),G4114=1),MAX($H$3:OFFSET(H4114,-1,0))+1,0)</f>
        <v>0</v>
      </c>
      <c r="I4114" s="3" t="s">
        <v>340</v>
      </c>
      <c r="K4114" s="2">
        <f>IF(ISNUMBER(SEARCH(Лист2!$B$4,F:F)),1,0)</f>
        <v>0</v>
      </c>
      <c r="L4114" s="14">
        <f>IF(ISNUMBER(SEARCH(Лист2!$B$5,I:I)),1,0)+K4114</f>
        <v>0</v>
      </c>
      <c r="M4114" s="3">
        <f ca="1">IF(AND(N4114&lt;&gt;N4113,ISNUMBER(SEARCH(Лист2!$B$6,N:N)),L4114=2),MAX($M$3:OFFSET(M4114,-1,0))+1,0)</f>
        <v>0</v>
      </c>
      <c r="N4114" s="3" t="s">
        <v>2570</v>
      </c>
    </row>
    <row r="4115" spans="1:14" x14ac:dyDescent="0.25">
      <c r="A4115" s="1" t="s">
        <v>12902</v>
      </c>
      <c r="B4115" s="3" t="s">
        <v>7739</v>
      </c>
      <c r="C4115" s="2">
        <f ca="1">IF(ISNUMBER(SEARCH(Лист2!$B$4,D:D)),MAX($C$3:OFFSET(C4115,-1,0))+1,0)</f>
        <v>0</v>
      </c>
      <c r="E4115" s="9" t="str">
        <f t="shared" ca="1" si="76"/>
        <v/>
      </c>
      <c r="F4115" s="4" t="s">
        <v>20</v>
      </c>
      <c r="G4115" s="2">
        <f>IF(ISNUMBER(SEARCH(Лист2!$B$4,F:F)),1,0)</f>
        <v>0</v>
      </c>
      <c r="H4115" s="3">
        <f ca="1">IF(AND(I4115&lt;&gt;I4114,ISNUMBER(SEARCH(Лист2!$B$5,I:I)),G4115=1),MAX($H$3:OFFSET(H4115,-1,0))+1,0)</f>
        <v>0</v>
      </c>
      <c r="I4115" s="3" t="s">
        <v>340</v>
      </c>
      <c r="K4115" s="2">
        <f>IF(ISNUMBER(SEARCH(Лист2!$B$4,F:F)),1,0)</f>
        <v>0</v>
      </c>
      <c r="L4115" s="14">
        <f>IF(ISNUMBER(SEARCH(Лист2!$B$5,I:I)),1,0)+K4115</f>
        <v>0</v>
      </c>
      <c r="M4115" s="3">
        <f ca="1">IF(AND(N4115&lt;&gt;N4114,ISNUMBER(SEARCH(Лист2!$B$6,N:N)),L4115=2),MAX($M$3:OFFSET(M4115,-1,0))+1,0)</f>
        <v>0</v>
      </c>
      <c r="N4115" s="3" t="s">
        <v>2570</v>
      </c>
    </row>
    <row r="4116" spans="1:14" x14ac:dyDescent="0.25">
      <c r="A4116" s="1" t="s">
        <v>12903</v>
      </c>
      <c r="B4116" s="3" t="s">
        <v>7740</v>
      </c>
      <c r="C4116" s="2">
        <f ca="1">IF(ISNUMBER(SEARCH(Лист2!$B$4,D:D)),MAX($C$3:OFFSET(C4116,-1,0))+1,0)</f>
        <v>0</v>
      </c>
      <c r="E4116" s="9" t="str">
        <f t="shared" ca="1" si="76"/>
        <v/>
      </c>
      <c r="F4116" s="4" t="s">
        <v>20</v>
      </c>
      <c r="G4116" s="2">
        <f>IF(ISNUMBER(SEARCH(Лист2!$B$4,F:F)),1,0)</f>
        <v>0</v>
      </c>
      <c r="H4116" s="3">
        <f ca="1">IF(AND(I4116&lt;&gt;I4115,ISNUMBER(SEARCH(Лист2!$B$5,I:I)),G4116=1),MAX($H$3:OFFSET(H4116,-1,0))+1,0)</f>
        <v>0</v>
      </c>
      <c r="I4116" s="3" t="s">
        <v>340</v>
      </c>
      <c r="K4116" s="2">
        <f>IF(ISNUMBER(SEARCH(Лист2!$B$4,F:F)),1,0)</f>
        <v>0</v>
      </c>
      <c r="L4116" s="14">
        <f>IF(ISNUMBER(SEARCH(Лист2!$B$5,I:I)),1,0)+K4116</f>
        <v>0</v>
      </c>
      <c r="M4116" s="3">
        <f ca="1">IF(AND(N4116&lt;&gt;N4115,ISNUMBER(SEARCH(Лист2!$B$6,N:N)),L4116=2),MAX($M$3:OFFSET(M4116,-1,0))+1,0)</f>
        <v>0</v>
      </c>
      <c r="N4116" s="3" t="s">
        <v>510</v>
      </c>
    </row>
    <row r="4117" spans="1:14" x14ac:dyDescent="0.25">
      <c r="A4117" s="1" t="s">
        <v>12904</v>
      </c>
      <c r="B4117" s="3" t="s">
        <v>7741</v>
      </c>
      <c r="C4117" s="2">
        <f ca="1">IF(ISNUMBER(SEARCH(Лист2!$B$4,D:D)),MAX($C$3:OFFSET(C4117,-1,0))+1,0)</f>
        <v>0</v>
      </c>
      <c r="E4117" s="9" t="str">
        <f t="shared" ca="1" si="76"/>
        <v/>
      </c>
      <c r="F4117" s="4" t="s">
        <v>20</v>
      </c>
      <c r="G4117" s="2">
        <f>IF(ISNUMBER(SEARCH(Лист2!$B$4,F:F)),1,0)</f>
        <v>0</v>
      </c>
      <c r="H4117" s="3">
        <f ca="1">IF(AND(I4117&lt;&gt;I4116,ISNUMBER(SEARCH(Лист2!$B$5,I:I)),G4117=1),MAX($H$3:OFFSET(H4117,-1,0))+1,0)</f>
        <v>0</v>
      </c>
      <c r="I4117" s="3" t="s">
        <v>340</v>
      </c>
      <c r="K4117" s="2">
        <f>IF(ISNUMBER(SEARCH(Лист2!$B$4,F:F)),1,0)</f>
        <v>0</v>
      </c>
      <c r="L4117" s="14">
        <f>IF(ISNUMBER(SEARCH(Лист2!$B$5,I:I)),1,0)+K4117</f>
        <v>0</v>
      </c>
      <c r="M4117" s="3">
        <f ca="1">IF(AND(N4117&lt;&gt;N4116,ISNUMBER(SEARCH(Лист2!$B$6,N:N)),L4117=2),MAX($M$3:OFFSET(M4117,-1,0))+1,0)</f>
        <v>0</v>
      </c>
      <c r="N4117" s="3" t="s">
        <v>2556</v>
      </c>
    </row>
    <row r="4118" spans="1:14" x14ac:dyDescent="0.25">
      <c r="A4118" s="1" t="s">
        <v>12905</v>
      </c>
      <c r="B4118" s="3" t="s">
        <v>7742</v>
      </c>
      <c r="C4118" s="2">
        <f ca="1">IF(ISNUMBER(SEARCH(Лист2!$B$4,D:D)),MAX($C$3:OFFSET(C4118,-1,0))+1,0)</f>
        <v>0</v>
      </c>
      <c r="E4118" s="9" t="str">
        <f t="shared" ca="1" si="76"/>
        <v/>
      </c>
      <c r="F4118" s="4" t="s">
        <v>21</v>
      </c>
      <c r="G4118" s="2">
        <f>IF(ISNUMBER(SEARCH(Лист2!$B$4,F:F)),1,0)</f>
        <v>0</v>
      </c>
      <c r="H4118" s="3">
        <f ca="1">IF(AND(I4118&lt;&gt;I4117,ISNUMBER(SEARCH(Лист2!$B$5,I:I)),G4118=1),MAX($H$3:OFFSET(H4118,-1,0))+1,0)</f>
        <v>0</v>
      </c>
      <c r="I4118" s="3" t="s">
        <v>340</v>
      </c>
      <c r="K4118" s="2">
        <f>IF(ISNUMBER(SEARCH(Лист2!$B$4,F:F)),1,0)</f>
        <v>0</v>
      </c>
      <c r="L4118" s="14">
        <f>IF(ISNUMBER(SEARCH(Лист2!$B$5,I:I)),1,0)+K4118</f>
        <v>0</v>
      </c>
      <c r="M4118" s="3">
        <f ca="1">IF(AND(N4118&lt;&gt;N4117,ISNUMBER(SEARCH(Лист2!$B$6,N:N)),L4118=2),MAX($M$3:OFFSET(M4118,-1,0))+1,0)</f>
        <v>0</v>
      </c>
      <c r="N4118" s="3" t="s">
        <v>2571</v>
      </c>
    </row>
    <row r="4119" spans="1:14" x14ac:dyDescent="0.25">
      <c r="A4119" s="1" t="s">
        <v>12906</v>
      </c>
      <c r="B4119" s="3" t="s">
        <v>7743</v>
      </c>
      <c r="C4119" s="2">
        <f ca="1">IF(ISNUMBER(SEARCH(Лист2!$B$4,D:D)),MAX($C$3:OFFSET(C4119,-1,0))+1,0)</f>
        <v>0</v>
      </c>
      <c r="E4119" s="9" t="str">
        <f t="shared" ca="1" si="76"/>
        <v/>
      </c>
      <c r="F4119" s="4" t="s">
        <v>21</v>
      </c>
      <c r="G4119" s="2">
        <f>IF(ISNUMBER(SEARCH(Лист2!$B$4,F:F)),1,0)</f>
        <v>0</v>
      </c>
      <c r="H4119" s="3">
        <f ca="1">IF(AND(I4119&lt;&gt;I4118,ISNUMBER(SEARCH(Лист2!$B$5,I:I)),G4119=1),MAX($H$3:OFFSET(H4119,-1,0))+1,0)</f>
        <v>0</v>
      </c>
      <c r="I4119" s="3" t="s">
        <v>340</v>
      </c>
      <c r="K4119" s="2">
        <f>IF(ISNUMBER(SEARCH(Лист2!$B$4,F:F)),1,0)</f>
        <v>0</v>
      </c>
      <c r="L4119" s="14">
        <f>IF(ISNUMBER(SEARCH(Лист2!$B$5,I:I)),1,0)+K4119</f>
        <v>0</v>
      </c>
      <c r="M4119" s="3">
        <f ca="1">IF(AND(N4119&lt;&gt;N4118,ISNUMBER(SEARCH(Лист2!$B$6,N:N)),L4119=2),MAX($M$3:OFFSET(M4119,-1,0))+1,0)</f>
        <v>0</v>
      </c>
      <c r="N4119" s="3" t="s">
        <v>2572</v>
      </c>
    </row>
    <row r="4120" spans="1:14" x14ac:dyDescent="0.25">
      <c r="A4120" s="1" t="s">
        <v>12907</v>
      </c>
      <c r="B4120" s="3" t="s">
        <v>7744</v>
      </c>
      <c r="C4120" s="2">
        <f ca="1">IF(ISNUMBER(SEARCH(Лист2!$B$4,D:D)),MAX($C$3:OFFSET(C4120,-1,0))+1,0)</f>
        <v>0</v>
      </c>
      <c r="E4120" s="9" t="str">
        <f t="shared" ca="1" si="76"/>
        <v/>
      </c>
      <c r="F4120" s="4" t="s">
        <v>21</v>
      </c>
      <c r="G4120" s="2">
        <f>IF(ISNUMBER(SEARCH(Лист2!$B$4,F:F)),1,0)</f>
        <v>0</v>
      </c>
      <c r="H4120" s="3">
        <f ca="1">IF(AND(I4120&lt;&gt;I4119,ISNUMBER(SEARCH(Лист2!$B$5,I:I)),G4120=1),MAX($H$3:OFFSET(H4120,-1,0))+1,0)</f>
        <v>0</v>
      </c>
      <c r="I4120" s="3" t="s">
        <v>340</v>
      </c>
      <c r="K4120" s="2">
        <f>IF(ISNUMBER(SEARCH(Лист2!$B$4,F:F)),1,0)</f>
        <v>0</v>
      </c>
      <c r="L4120" s="14">
        <f>IF(ISNUMBER(SEARCH(Лист2!$B$5,I:I)),1,0)+K4120</f>
        <v>0</v>
      </c>
      <c r="M4120" s="3">
        <f ca="1">IF(AND(N4120&lt;&gt;N4119,ISNUMBER(SEARCH(Лист2!$B$6,N:N)),L4120=2),MAX($M$3:OFFSET(M4120,-1,0))+1,0)</f>
        <v>0</v>
      </c>
      <c r="N4120" s="3" t="s">
        <v>2573</v>
      </c>
    </row>
    <row r="4121" spans="1:14" x14ac:dyDescent="0.25">
      <c r="A4121" s="1" t="s">
        <v>12908</v>
      </c>
      <c r="B4121" s="3" t="s">
        <v>7745</v>
      </c>
      <c r="C4121" s="2">
        <f ca="1">IF(ISNUMBER(SEARCH(Лист2!$B$4,D:D)),MAX($C$3:OFFSET(C4121,-1,0))+1,0)</f>
        <v>0</v>
      </c>
      <c r="E4121" s="9" t="str">
        <f t="shared" ca="1" si="76"/>
        <v/>
      </c>
      <c r="F4121" s="4" t="s">
        <v>21</v>
      </c>
      <c r="G4121" s="2">
        <f>IF(ISNUMBER(SEARCH(Лист2!$B$4,F:F)),1,0)</f>
        <v>0</v>
      </c>
      <c r="H4121" s="3">
        <f ca="1">IF(AND(I4121&lt;&gt;I4120,ISNUMBER(SEARCH(Лист2!$B$5,I:I)),G4121=1),MAX($H$3:OFFSET(H4121,-1,0))+1,0)</f>
        <v>0</v>
      </c>
      <c r="I4121" s="3" t="s">
        <v>340</v>
      </c>
      <c r="K4121" s="2">
        <f>IF(ISNUMBER(SEARCH(Лист2!$B$4,F:F)),1,0)</f>
        <v>0</v>
      </c>
      <c r="L4121" s="14">
        <f>IF(ISNUMBER(SEARCH(Лист2!$B$5,I:I)),1,0)+K4121</f>
        <v>0</v>
      </c>
      <c r="M4121" s="3">
        <f ca="1">IF(AND(N4121&lt;&gt;N4120,ISNUMBER(SEARCH(Лист2!$B$6,N:N)),L4121=2),MAX($M$3:OFFSET(M4121,-1,0))+1,0)</f>
        <v>0</v>
      </c>
      <c r="N4121" s="3" t="s">
        <v>2574</v>
      </c>
    </row>
    <row r="4122" spans="1:14" x14ac:dyDescent="0.25">
      <c r="A4122" s="1" t="s">
        <v>12909</v>
      </c>
      <c r="B4122" s="3" t="s">
        <v>7746</v>
      </c>
      <c r="C4122" s="2">
        <f ca="1">IF(ISNUMBER(SEARCH(Лист2!$B$4,D:D)),MAX($C$3:OFFSET(C4122,-1,0))+1,0)</f>
        <v>0</v>
      </c>
      <c r="E4122" s="9" t="str">
        <f t="shared" ca="1" si="76"/>
        <v/>
      </c>
      <c r="F4122" s="4" t="s">
        <v>21</v>
      </c>
      <c r="G4122" s="2">
        <f>IF(ISNUMBER(SEARCH(Лист2!$B$4,F:F)),1,0)</f>
        <v>0</v>
      </c>
      <c r="H4122" s="3">
        <f ca="1">IF(AND(I4122&lt;&gt;I4121,ISNUMBER(SEARCH(Лист2!$B$5,I:I)),G4122=1),MAX($H$3:OFFSET(H4122,-1,0))+1,0)</f>
        <v>0</v>
      </c>
      <c r="I4122" s="3" t="s">
        <v>340</v>
      </c>
      <c r="K4122" s="2">
        <f>IF(ISNUMBER(SEARCH(Лист2!$B$4,F:F)),1,0)</f>
        <v>0</v>
      </c>
      <c r="L4122" s="14">
        <f>IF(ISNUMBER(SEARCH(Лист2!$B$5,I:I)),1,0)+K4122</f>
        <v>0</v>
      </c>
      <c r="M4122" s="3">
        <f ca="1">IF(AND(N4122&lt;&gt;N4121,ISNUMBER(SEARCH(Лист2!$B$6,N:N)),L4122=2),MAX($M$3:OFFSET(M4122,-1,0))+1,0)</f>
        <v>0</v>
      </c>
      <c r="N4122" s="3" t="s">
        <v>2575</v>
      </c>
    </row>
    <row r="4123" spans="1:14" x14ac:dyDescent="0.25">
      <c r="A4123" s="1" t="s">
        <v>12910</v>
      </c>
      <c r="B4123" s="3" t="s">
        <v>7747</v>
      </c>
      <c r="C4123" s="2">
        <f ca="1">IF(ISNUMBER(SEARCH(Лист2!$B$4,D:D)),MAX($C$3:OFFSET(C4123,-1,0))+1,0)</f>
        <v>0</v>
      </c>
      <c r="E4123" s="9" t="str">
        <f t="shared" ca="1" si="76"/>
        <v/>
      </c>
      <c r="F4123" s="4" t="s">
        <v>21</v>
      </c>
      <c r="G4123" s="2">
        <f>IF(ISNUMBER(SEARCH(Лист2!$B$4,F:F)),1,0)</f>
        <v>0</v>
      </c>
      <c r="H4123" s="3">
        <f ca="1">IF(AND(I4123&lt;&gt;I4122,ISNUMBER(SEARCH(Лист2!$B$5,I:I)),G4123=1),MAX($H$3:OFFSET(H4123,-1,0))+1,0)</f>
        <v>0</v>
      </c>
      <c r="I4123" s="3" t="s">
        <v>340</v>
      </c>
      <c r="K4123" s="2">
        <f>IF(ISNUMBER(SEARCH(Лист2!$B$4,F:F)),1,0)</f>
        <v>0</v>
      </c>
      <c r="L4123" s="14">
        <f>IF(ISNUMBER(SEARCH(Лист2!$B$5,I:I)),1,0)+K4123</f>
        <v>0</v>
      </c>
      <c r="M4123" s="3">
        <f ca="1">IF(AND(N4123&lt;&gt;N4122,ISNUMBER(SEARCH(Лист2!$B$6,N:N)),L4123=2),MAX($M$3:OFFSET(M4123,-1,0))+1,0)</f>
        <v>0</v>
      </c>
      <c r="N4123" s="3" t="s">
        <v>2576</v>
      </c>
    </row>
    <row r="4124" spans="1:14" x14ac:dyDescent="0.25">
      <c r="A4124" s="1" t="s">
        <v>12911</v>
      </c>
      <c r="B4124" s="3" t="s">
        <v>7748</v>
      </c>
      <c r="C4124" s="2">
        <f ca="1">IF(ISNUMBER(SEARCH(Лист2!$B$4,D:D)),MAX($C$3:OFFSET(C4124,-1,0))+1,0)</f>
        <v>0</v>
      </c>
      <c r="E4124" s="9" t="str">
        <f t="shared" ca="1" si="76"/>
        <v/>
      </c>
      <c r="F4124" s="4" t="s">
        <v>21</v>
      </c>
      <c r="G4124" s="2">
        <f>IF(ISNUMBER(SEARCH(Лист2!$B$4,F:F)),1,0)</f>
        <v>0</v>
      </c>
      <c r="H4124" s="3">
        <f ca="1">IF(AND(I4124&lt;&gt;I4123,ISNUMBER(SEARCH(Лист2!$B$5,I:I)),G4124=1),MAX($H$3:OFFSET(H4124,-1,0))+1,0)</f>
        <v>0</v>
      </c>
      <c r="I4124" s="3" t="s">
        <v>340</v>
      </c>
      <c r="K4124" s="2">
        <f>IF(ISNUMBER(SEARCH(Лист2!$B$4,F:F)),1,0)</f>
        <v>0</v>
      </c>
      <c r="L4124" s="14">
        <f>IF(ISNUMBER(SEARCH(Лист2!$B$5,I:I)),1,0)+K4124</f>
        <v>0</v>
      </c>
      <c r="M4124" s="3">
        <f ca="1">IF(AND(N4124&lt;&gt;N4123,ISNUMBER(SEARCH(Лист2!$B$6,N:N)),L4124=2),MAX($M$3:OFFSET(M4124,-1,0))+1,0)</f>
        <v>0</v>
      </c>
      <c r="N4124" s="3" t="s">
        <v>2577</v>
      </c>
    </row>
    <row r="4125" spans="1:14" x14ac:dyDescent="0.25">
      <c r="A4125" s="1" t="s">
        <v>12912</v>
      </c>
      <c r="B4125" s="3" t="s">
        <v>7749</v>
      </c>
      <c r="C4125" s="2">
        <f ca="1">IF(ISNUMBER(SEARCH(Лист2!$B$4,D:D)),MAX($C$3:OFFSET(C4125,-1,0))+1,0)</f>
        <v>0</v>
      </c>
      <c r="E4125" s="9" t="str">
        <f t="shared" ca="1" si="76"/>
        <v/>
      </c>
      <c r="F4125" s="4" t="s">
        <v>21</v>
      </c>
      <c r="G4125" s="2">
        <f>IF(ISNUMBER(SEARCH(Лист2!$B$4,F:F)),1,0)</f>
        <v>0</v>
      </c>
      <c r="H4125" s="3">
        <f ca="1">IF(AND(I4125&lt;&gt;I4124,ISNUMBER(SEARCH(Лист2!$B$5,I:I)),G4125=1),MAX($H$3:OFFSET(H4125,-1,0))+1,0)</f>
        <v>0</v>
      </c>
      <c r="I4125" s="3" t="s">
        <v>340</v>
      </c>
      <c r="K4125" s="2">
        <f>IF(ISNUMBER(SEARCH(Лист2!$B$4,F:F)),1,0)</f>
        <v>0</v>
      </c>
      <c r="L4125" s="14">
        <f>IF(ISNUMBER(SEARCH(Лист2!$B$5,I:I)),1,0)+K4125</f>
        <v>0</v>
      </c>
      <c r="M4125" s="3">
        <f ca="1">IF(AND(N4125&lt;&gt;N4124,ISNUMBER(SEARCH(Лист2!$B$6,N:N)),L4125=2),MAX($M$3:OFFSET(M4125,-1,0))+1,0)</f>
        <v>0</v>
      </c>
      <c r="N4125" s="3" t="s">
        <v>2578</v>
      </c>
    </row>
    <row r="4126" spans="1:14" x14ac:dyDescent="0.25">
      <c r="A4126" s="1" t="s">
        <v>12913</v>
      </c>
      <c r="B4126" s="3" t="s">
        <v>7750</v>
      </c>
      <c r="C4126" s="2">
        <f ca="1">IF(ISNUMBER(SEARCH(Лист2!$B$4,D:D)),MAX($C$3:OFFSET(C4126,-1,0))+1,0)</f>
        <v>0</v>
      </c>
      <c r="E4126" s="9" t="str">
        <f t="shared" ca="1" si="76"/>
        <v/>
      </c>
      <c r="F4126" s="4" t="s">
        <v>21</v>
      </c>
      <c r="G4126" s="2">
        <f>IF(ISNUMBER(SEARCH(Лист2!$B$4,F:F)),1,0)</f>
        <v>0</v>
      </c>
      <c r="H4126" s="3">
        <f ca="1">IF(AND(I4126&lt;&gt;I4125,ISNUMBER(SEARCH(Лист2!$B$5,I:I)),G4126=1),MAX($H$3:OFFSET(H4126,-1,0))+1,0)</f>
        <v>0</v>
      </c>
      <c r="I4126" s="3" t="s">
        <v>340</v>
      </c>
      <c r="K4126" s="2">
        <f>IF(ISNUMBER(SEARCH(Лист2!$B$4,F:F)),1,0)</f>
        <v>0</v>
      </c>
      <c r="L4126" s="14">
        <f>IF(ISNUMBER(SEARCH(Лист2!$B$5,I:I)),1,0)+K4126</f>
        <v>0</v>
      </c>
      <c r="M4126" s="3">
        <f ca="1">IF(AND(N4126&lt;&gt;N4125,ISNUMBER(SEARCH(Лист2!$B$6,N:N)),L4126=2),MAX($M$3:OFFSET(M4126,-1,0))+1,0)</f>
        <v>0</v>
      </c>
      <c r="N4126" s="3" t="s">
        <v>2579</v>
      </c>
    </row>
    <row r="4127" spans="1:14" x14ac:dyDescent="0.25">
      <c r="A4127" s="1" t="s">
        <v>12914</v>
      </c>
      <c r="B4127" s="3" t="s">
        <v>7751</v>
      </c>
      <c r="C4127" s="2">
        <f ca="1">IF(ISNUMBER(SEARCH(Лист2!$B$4,D:D)),MAX($C$3:OFFSET(C4127,-1,0))+1,0)</f>
        <v>0</v>
      </c>
      <c r="E4127" s="9" t="str">
        <f t="shared" ca="1" si="76"/>
        <v/>
      </c>
      <c r="F4127" s="4" t="s">
        <v>21</v>
      </c>
      <c r="G4127" s="2">
        <f>IF(ISNUMBER(SEARCH(Лист2!$B$4,F:F)),1,0)</f>
        <v>0</v>
      </c>
      <c r="H4127" s="3">
        <f ca="1">IF(AND(I4127&lt;&gt;I4126,ISNUMBER(SEARCH(Лист2!$B$5,I:I)),G4127=1),MAX($H$3:OFFSET(H4127,-1,0))+1,0)</f>
        <v>0</v>
      </c>
      <c r="I4127" s="3" t="s">
        <v>340</v>
      </c>
      <c r="K4127" s="2">
        <f>IF(ISNUMBER(SEARCH(Лист2!$B$4,F:F)),1,0)</f>
        <v>0</v>
      </c>
      <c r="L4127" s="14">
        <f>IF(ISNUMBER(SEARCH(Лист2!$B$5,I:I)),1,0)+K4127</f>
        <v>0</v>
      </c>
      <c r="M4127" s="3">
        <f ca="1">IF(AND(N4127&lt;&gt;N4126,ISNUMBER(SEARCH(Лист2!$B$6,N:N)),L4127=2),MAX($M$3:OFFSET(M4127,-1,0))+1,0)</f>
        <v>0</v>
      </c>
      <c r="N4127" s="3" t="s">
        <v>2580</v>
      </c>
    </row>
    <row r="4128" spans="1:14" x14ac:dyDescent="0.25">
      <c r="A4128" s="1" t="s">
        <v>12915</v>
      </c>
      <c r="B4128" s="3" t="s">
        <v>7752</v>
      </c>
      <c r="C4128" s="2">
        <f ca="1">IF(ISNUMBER(SEARCH(Лист2!$B$4,D:D)),MAX($C$3:OFFSET(C4128,-1,0))+1,0)</f>
        <v>0</v>
      </c>
      <c r="E4128" s="9" t="str">
        <f t="shared" ca="1" si="76"/>
        <v/>
      </c>
      <c r="F4128" s="4" t="s">
        <v>21</v>
      </c>
      <c r="G4128" s="2">
        <f>IF(ISNUMBER(SEARCH(Лист2!$B$4,F:F)),1,0)</f>
        <v>0</v>
      </c>
      <c r="H4128" s="3">
        <f ca="1">IF(AND(I4128&lt;&gt;I4127,ISNUMBER(SEARCH(Лист2!$B$5,I:I)),G4128=1),MAX($H$3:OFFSET(H4128,-1,0))+1,0)</f>
        <v>0</v>
      </c>
      <c r="I4128" s="3" t="s">
        <v>340</v>
      </c>
      <c r="K4128" s="2">
        <f>IF(ISNUMBER(SEARCH(Лист2!$B$4,F:F)),1,0)</f>
        <v>0</v>
      </c>
      <c r="L4128" s="14">
        <f>IF(ISNUMBER(SEARCH(Лист2!$B$5,I:I)),1,0)+K4128</f>
        <v>0</v>
      </c>
      <c r="M4128" s="3">
        <f ca="1">IF(AND(N4128&lt;&gt;N4127,ISNUMBER(SEARCH(Лист2!$B$6,N:N)),L4128=2),MAX($M$3:OFFSET(M4128,-1,0))+1,0)</f>
        <v>0</v>
      </c>
      <c r="N4128" s="3" t="s">
        <v>2581</v>
      </c>
    </row>
    <row r="4129" spans="1:14" x14ac:dyDescent="0.25">
      <c r="A4129" s="1" t="s">
        <v>12916</v>
      </c>
      <c r="B4129" s="3" t="s">
        <v>7753</v>
      </c>
      <c r="C4129" s="2">
        <f ca="1">IF(ISNUMBER(SEARCH(Лист2!$B$4,D:D)),MAX($C$3:OFFSET(C4129,-1,0))+1,0)</f>
        <v>0</v>
      </c>
      <c r="E4129" s="9" t="str">
        <f t="shared" ca="1" si="76"/>
        <v/>
      </c>
      <c r="F4129" s="4" t="s">
        <v>21</v>
      </c>
      <c r="G4129" s="2">
        <f>IF(ISNUMBER(SEARCH(Лист2!$B$4,F:F)),1,0)</f>
        <v>0</v>
      </c>
      <c r="H4129" s="3">
        <f ca="1">IF(AND(I4129&lt;&gt;I4128,ISNUMBER(SEARCH(Лист2!$B$5,I:I)),G4129=1),MAX($H$3:OFFSET(H4129,-1,0))+1,0)</f>
        <v>0</v>
      </c>
      <c r="I4129" s="3" t="s">
        <v>340</v>
      </c>
      <c r="K4129" s="2">
        <f>IF(ISNUMBER(SEARCH(Лист2!$B$4,F:F)),1,0)</f>
        <v>0</v>
      </c>
      <c r="L4129" s="14">
        <f>IF(ISNUMBER(SEARCH(Лист2!$B$5,I:I)),1,0)+K4129</f>
        <v>0</v>
      </c>
      <c r="M4129" s="3">
        <f ca="1">IF(AND(N4129&lt;&gt;N4128,ISNUMBER(SEARCH(Лист2!$B$6,N:N)),L4129=2),MAX($M$3:OFFSET(M4129,-1,0))+1,0)</f>
        <v>0</v>
      </c>
      <c r="N4129" s="3" t="s">
        <v>2582</v>
      </c>
    </row>
    <row r="4130" spans="1:14" x14ac:dyDescent="0.25">
      <c r="A4130" s="1" t="s">
        <v>12917</v>
      </c>
      <c r="B4130" s="3" t="s">
        <v>7754</v>
      </c>
      <c r="C4130" s="2">
        <f ca="1">IF(ISNUMBER(SEARCH(Лист2!$B$4,D:D)),MAX($C$3:OFFSET(C4130,-1,0))+1,0)</f>
        <v>0</v>
      </c>
      <c r="E4130" s="9" t="str">
        <f t="shared" ca="1" si="76"/>
        <v/>
      </c>
      <c r="F4130" s="4" t="s">
        <v>21</v>
      </c>
      <c r="G4130" s="2">
        <f>IF(ISNUMBER(SEARCH(Лист2!$B$4,F:F)),1,0)</f>
        <v>0</v>
      </c>
      <c r="H4130" s="3">
        <f ca="1">IF(AND(I4130&lt;&gt;I4129,ISNUMBER(SEARCH(Лист2!$B$5,I:I)),G4130=1),MAX($H$3:OFFSET(H4130,-1,0))+1,0)</f>
        <v>0</v>
      </c>
      <c r="I4130" s="3" t="s">
        <v>340</v>
      </c>
      <c r="K4130" s="2">
        <f>IF(ISNUMBER(SEARCH(Лист2!$B$4,F:F)),1,0)</f>
        <v>0</v>
      </c>
      <c r="L4130" s="14">
        <f>IF(ISNUMBER(SEARCH(Лист2!$B$5,I:I)),1,0)+K4130</f>
        <v>0</v>
      </c>
      <c r="M4130" s="3">
        <f ca="1">IF(AND(N4130&lt;&gt;N4129,ISNUMBER(SEARCH(Лист2!$B$6,N:N)),L4130=2),MAX($M$3:OFFSET(M4130,-1,0))+1,0)</f>
        <v>0</v>
      </c>
      <c r="N4130" s="3" t="s">
        <v>2583</v>
      </c>
    </row>
    <row r="4131" spans="1:14" x14ac:dyDescent="0.25">
      <c r="A4131" s="1" t="s">
        <v>12918</v>
      </c>
      <c r="B4131" s="3" t="s">
        <v>7755</v>
      </c>
      <c r="C4131" s="2">
        <f ca="1">IF(ISNUMBER(SEARCH(Лист2!$B$4,D:D)),MAX($C$3:OFFSET(C4131,-1,0))+1,0)</f>
        <v>0</v>
      </c>
      <c r="E4131" s="9" t="str">
        <f t="shared" ca="1" si="76"/>
        <v/>
      </c>
      <c r="F4131" s="4" t="s">
        <v>21</v>
      </c>
      <c r="G4131" s="2">
        <f>IF(ISNUMBER(SEARCH(Лист2!$B$4,F:F)),1,0)</f>
        <v>0</v>
      </c>
      <c r="H4131" s="3">
        <f ca="1">IF(AND(I4131&lt;&gt;I4130,ISNUMBER(SEARCH(Лист2!$B$5,I:I)),G4131=1),MAX($H$3:OFFSET(H4131,-1,0))+1,0)</f>
        <v>0</v>
      </c>
      <c r="I4131" s="3" t="s">
        <v>340</v>
      </c>
      <c r="K4131" s="2">
        <f>IF(ISNUMBER(SEARCH(Лист2!$B$4,F:F)),1,0)</f>
        <v>0</v>
      </c>
      <c r="L4131" s="14">
        <f>IF(ISNUMBER(SEARCH(Лист2!$B$5,I:I)),1,0)+K4131</f>
        <v>0</v>
      </c>
      <c r="M4131" s="3">
        <f ca="1">IF(AND(N4131&lt;&gt;N4130,ISNUMBER(SEARCH(Лист2!$B$6,N:N)),L4131=2),MAX($M$3:OFFSET(M4131,-1,0))+1,0)</f>
        <v>0</v>
      </c>
      <c r="N4131" s="3" t="s">
        <v>2584</v>
      </c>
    </row>
    <row r="4132" spans="1:14" x14ac:dyDescent="0.25">
      <c r="A4132" s="1" t="s">
        <v>12919</v>
      </c>
      <c r="B4132" s="3" t="s">
        <v>7756</v>
      </c>
      <c r="C4132" s="2">
        <f ca="1">IF(ISNUMBER(SEARCH(Лист2!$B$4,D:D)),MAX($C$3:OFFSET(C4132,-1,0))+1,0)</f>
        <v>0</v>
      </c>
      <c r="E4132" s="9" t="str">
        <f t="shared" ca="1" si="76"/>
        <v/>
      </c>
      <c r="F4132" s="4" t="s">
        <v>21</v>
      </c>
      <c r="G4132" s="2">
        <f>IF(ISNUMBER(SEARCH(Лист2!$B$4,F:F)),1,0)</f>
        <v>0</v>
      </c>
      <c r="H4132" s="3">
        <f ca="1">IF(AND(I4132&lt;&gt;I4131,ISNUMBER(SEARCH(Лист2!$B$5,I:I)),G4132=1),MAX($H$3:OFFSET(H4132,-1,0))+1,0)</f>
        <v>0</v>
      </c>
      <c r="I4132" s="3" t="s">
        <v>340</v>
      </c>
      <c r="K4132" s="2">
        <f>IF(ISNUMBER(SEARCH(Лист2!$B$4,F:F)),1,0)</f>
        <v>0</v>
      </c>
      <c r="L4132" s="14">
        <f>IF(ISNUMBER(SEARCH(Лист2!$B$5,I:I)),1,0)+K4132</f>
        <v>0</v>
      </c>
      <c r="M4132" s="3">
        <f ca="1">IF(AND(N4132&lt;&gt;N4131,ISNUMBER(SEARCH(Лист2!$B$6,N:N)),L4132=2),MAX($M$3:OFFSET(M4132,-1,0))+1,0)</f>
        <v>0</v>
      </c>
      <c r="N4132" s="3" t="s">
        <v>2585</v>
      </c>
    </row>
    <row r="4133" spans="1:14" x14ac:dyDescent="0.25">
      <c r="A4133" s="1" t="s">
        <v>12920</v>
      </c>
      <c r="B4133" s="3" t="s">
        <v>7757</v>
      </c>
      <c r="C4133" s="2">
        <f ca="1">IF(ISNUMBER(SEARCH(Лист2!$B$4,D:D)),MAX($C$3:OFFSET(C4133,-1,0))+1,0)</f>
        <v>0</v>
      </c>
      <c r="E4133" s="9" t="str">
        <f t="shared" ca="1" si="76"/>
        <v/>
      </c>
      <c r="F4133" s="4" t="s">
        <v>21</v>
      </c>
      <c r="G4133" s="2">
        <f>IF(ISNUMBER(SEARCH(Лист2!$B$4,F:F)),1,0)</f>
        <v>0</v>
      </c>
      <c r="H4133" s="3">
        <f ca="1">IF(AND(I4133&lt;&gt;I4132,ISNUMBER(SEARCH(Лист2!$B$5,I:I)),G4133=1),MAX($H$3:OFFSET(H4133,-1,0))+1,0)</f>
        <v>0</v>
      </c>
      <c r="I4133" s="3" t="s">
        <v>340</v>
      </c>
      <c r="K4133" s="2">
        <f>IF(ISNUMBER(SEARCH(Лист2!$B$4,F:F)),1,0)</f>
        <v>0</v>
      </c>
      <c r="L4133" s="14">
        <f>IF(ISNUMBER(SEARCH(Лист2!$B$5,I:I)),1,0)+K4133</f>
        <v>0</v>
      </c>
      <c r="M4133" s="3">
        <f ca="1">IF(AND(N4133&lt;&gt;N4132,ISNUMBER(SEARCH(Лист2!$B$6,N:N)),L4133=2),MAX($M$3:OFFSET(M4133,-1,0))+1,0)</f>
        <v>0</v>
      </c>
      <c r="N4133" s="3" t="s">
        <v>2586</v>
      </c>
    </row>
    <row r="4134" spans="1:14" x14ac:dyDescent="0.25">
      <c r="A4134" s="1" t="s">
        <v>12921</v>
      </c>
      <c r="B4134" s="3" t="s">
        <v>7758</v>
      </c>
      <c r="C4134" s="2">
        <f ca="1">IF(ISNUMBER(SEARCH(Лист2!$B$4,D:D)),MAX($C$3:OFFSET(C4134,-1,0))+1,0)</f>
        <v>0</v>
      </c>
      <c r="E4134" s="9" t="str">
        <f t="shared" ca="1" si="76"/>
        <v/>
      </c>
      <c r="F4134" s="4" t="s">
        <v>21</v>
      </c>
      <c r="G4134" s="2">
        <f>IF(ISNUMBER(SEARCH(Лист2!$B$4,F:F)),1,0)</f>
        <v>0</v>
      </c>
      <c r="H4134" s="3">
        <f ca="1">IF(AND(I4134&lt;&gt;I4133,ISNUMBER(SEARCH(Лист2!$B$5,I:I)),G4134=1),MAX($H$3:OFFSET(H4134,-1,0))+1,0)</f>
        <v>0</v>
      </c>
      <c r="I4134" s="3" t="s">
        <v>340</v>
      </c>
      <c r="K4134" s="2">
        <f>IF(ISNUMBER(SEARCH(Лист2!$B$4,F:F)),1,0)</f>
        <v>0</v>
      </c>
      <c r="L4134" s="14">
        <f>IF(ISNUMBER(SEARCH(Лист2!$B$5,I:I)),1,0)+K4134</f>
        <v>0</v>
      </c>
      <c r="M4134" s="3">
        <f ca="1">IF(AND(N4134&lt;&gt;N4133,ISNUMBER(SEARCH(Лист2!$B$6,N:N)),L4134=2),MAX($M$3:OFFSET(M4134,-1,0))+1,0)</f>
        <v>0</v>
      </c>
      <c r="N4134" s="3" t="s">
        <v>2587</v>
      </c>
    </row>
    <row r="4135" spans="1:14" x14ac:dyDescent="0.25">
      <c r="A4135" s="1" t="s">
        <v>12922</v>
      </c>
      <c r="B4135" s="3" t="s">
        <v>7759</v>
      </c>
      <c r="C4135" s="2">
        <f ca="1">IF(ISNUMBER(SEARCH(Лист2!$B$4,D:D)),MAX($C$3:OFFSET(C4135,-1,0))+1,0)</f>
        <v>0</v>
      </c>
      <c r="E4135" s="9" t="str">
        <f t="shared" ca="1" si="76"/>
        <v/>
      </c>
      <c r="F4135" s="4" t="s">
        <v>21</v>
      </c>
      <c r="G4135" s="2">
        <f>IF(ISNUMBER(SEARCH(Лист2!$B$4,F:F)),1,0)</f>
        <v>0</v>
      </c>
      <c r="H4135" s="3">
        <f ca="1">IF(AND(I4135&lt;&gt;I4134,ISNUMBER(SEARCH(Лист2!$B$5,I:I)),G4135=1),MAX($H$3:OFFSET(H4135,-1,0))+1,0)</f>
        <v>0</v>
      </c>
      <c r="I4135" s="3" t="s">
        <v>340</v>
      </c>
      <c r="K4135" s="2">
        <f>IF(ISNUMBER(SEARCH(Лист2!$B$4,F:F)),1,0)</f>
        <v>0</v>
      </c>
      <c r="L4135" s="14">
        <f>IF(ISNUMBER(SEARCH(Лист2!$B$5,I:I)),1,0)+K4135</f>
        <v>0</v>
      </c>
      <c r="M4135" s="3">
        <f ca="1">IF(AND(N4135&lt;&gt;N4134,ISNUMBER(SEARCH(Лист2!$B$6,N:N)),L4135=2),MAX($M$3:OFFSET(M4135,-1,0))+1,0)</f>
        <v>0</v>
      </c>
      <c r="N4135" s="3" t="s">
        <v>2588</v>
      </c>
    </row>
    <row r="4136" spans="1:14" x14ac:dyDescent="0.25">
      <c r="A4136" s="1" t="s">
        <v>12923</v>
      </c>
      <c r="B4136" s="3" t="s">
        <v>7760</v>
      </c>
      <c r="C4136" s="2">
        <f ca="1">IF(ISNUMBER(SEARCH(Лист2!$B$4,D:D)),MAX($C$3:OFFSET(C4136,-1,0))+1,0)</f>
        <v>0</v>
      </c>
      <c r="E4136" s="9" t="str">
        <f t="shared" ca="1" si="76"/>
        <v/>
      </c>
      <c r="F4136" s="4" t="s">
        <v>21</v>
      </c>
      <c r="G4136" s="2">
        <f>IF(ISNUMBER(SEARCH(Лист2!$B$4,F:F)),1,0)</f>
        <v>0</v>
      </c>
      <c r="H4136" s="3">
        <f ca="1">IF(AND(I4136&lt;&gt;I4135,ISNUMBER(SEARCH(Лист2!$B$5,I:I)),G4136=1),MAX($H$3:OFFSET(H4136,-1,0))+1,0)</f>
        <v>0</v>
      </c>
      <c r="I4136" s="3" t="s">
        <v>340</v>
      </c>
      <c r="K4136" s="2">
        <f>IF(ISNUMBER(SEARCH(Лист2!$B$4,F:F)),1,0)</f>
        <v>0</v>
      </c>
      <c r="L4136" s="14">
        <f>IF(ISNUMBER(SEARCH(Лист2!$B$5,I:I)),1,0)+K4136</f>
        <v>0</v>
      </c>
      <c r="M4136" s="3">
        <f ca="1">IF(AND(N4136&lt;&gt;N4135,ISNUMBER(SEARCH(Лист2!$B$6,N:N)),L4136=2),MAX($M$3:OFFSET(M4136,-1,0))+1,0)</f>
        <v>0</v>
      </c>
      <c r="N4136" s="3" t="s">
        <v>2589</v>
      </c>
    </row>
    <row r="4137" spans="1:14" x14ac:dyDescent="0.25">
      <c r="A4137" s="1" t="s">
        <v>12924</v>
      </c>
      <c r="B4137" s="3" t="s">
        <v>7761</v>
      </c>
      <c r="C4137" s="2">
        <f ca="1">IF(ISNUMBER(SEARCH(Лист2!$B$4,D:D)),MAX($C$3:OFFSET(C4137,-1,0))+1,0)</f>
        <v>0</v>
      </c>
      <c r="E4137" s="9" t="str">
        <f t="shared" ca="1" si="76"/>
        <v/>
      </c>
      <c r="F4137" s="4" t="s">
        <v>21</v>
      </c>
      <c r="G4137" s="2">
        <f>IF(ISNUMBER(SEARCH(Лист2!$B$4,F:F)),1,0)</f>
        <v>0</v>
      </c>
      <c r="H4137" s="3">
        <f ca="1">IF(AND(I4137&lt;&gt;I4136,ISNUMBER(SEARCH(Лист2!$B$5,I:I)),G4137=1),MAX($H$3:OFFSET(H4137,-1,0))+1,0)</f>
        <v>0</v>
      </c>
      <c r="I4137" s="3" t="s">
        <v>340</v>
      </c>
      <c r="K4137" s="2">
        <f>IF(ISNUMBER(SEARCH(Лист2!$B$4,F:F)),1,0)</f>
        <v>0</v>
      </c>
      <c r="L4137" s="14">
        <f>IF(ISNUMBER(SEARCH(Лист2!$B$5,I:I)),1,0)+K4137</f>
        <v>0</v>
      </c>
      <c r="M4137" s="3">
        <f ca="1">IF(AND(N4137&lt;&gt;N4136,ISNUMBER(SEARCH(Лист2!$B$6,N:N)),L4137=2),MAX($M$3:OFFSET(M4137,-1,0))+1,0)</f>
        <v>0</v>
      </c>
      <c r="N4137" s="3" t="s">
        <v>2590</v>
      </c>
    </row>
    <row r="4138" spans="1:14" x14ac:dyDescent="0.25">
      <c r="A4138" s="1" t="s">
        <v>12925</v>
      </c>
      <c r="B4138" s="3" t="s">
        <v>7762</v>
      </c>
      <c r="C4138" s="2">
        <f ca="1">IF(ISNUMBER(SEARCH(Лист2!$B$4,D:D)),MAX($C$3:OFFSET(C4138,-1,0))+1,0)</f>
        <v>0</v>
      </c>
      <c r="E4138" s="9" t="str">
        <f t="shared" ca="1" si="76"/>
        <v/>
      </c>
      <c r="F4138" s="4" t="s">
        <v>21</v>
      </c>
      <c r="G4138" s="2">
        <f>IF(ISNUMBER(SEARCH(Лист2!$B$4,F:F)),1,0)</f>
        <v>0</v>
      </c>
      <c r="H4138" s="3">
        <f ca="1">IF(AND(I4138&lt;&gt;I4137,ISNUMBER(SEARCH(Лист2!$B$5,I:I)),G4138=1),MAX($H$3:OFFSET(H4138,-1,0))+1,0)</f>
        <v>0</v>
      </c>
      <c r="I4138" s="3" t="s">
        <v>340</v>
      </c>
      <c r="K4138" s="2">
        <f>IF(ISNUMBER(SEARCH(Лист2!$B$4,F:F)),1,0)</f>
        <v>0</v>
      </c>
      <c r="L4138" s="14">
        <f>IF(ISNUMBER(SEARCH(Лист2!$B$5,I:I)),1,0)+K4138</f>
        <v>0</v>
      </c>
      <c r="M4138" s="3">
        <f ca="1">IF(AND(N4138&lt;&gt;N4137,ISNUMBER(SEARCH(Лист2!$B$6,N:N)),L4138=2),MAX($M$3:OFFSET(M4138,-1,0))+1,0)</f>
        <v>0</v>
      </c>
      <c r="N4138" s="3" t="s">
        <v>2591</v>
      </c>
    </row>
    <row r="4139" spans="1:14" x14ac:dyDescent="0.25">
      <c r="A4139" s="1" t="s">
        <v>12926</v>
      </c>
      <c r="B4139" s="3" t="s">
        <v>7763</v>
      </c>
      <c r="C4139" s="2">
        <f ca="1">IF(ISNUMBER(SEARCH(Лист2!$B$4,D:D)),MAX($C$3:OFFSET(C4139,-1,0))+1,0)</f>
        <v>0</v>
      </c>
      <c r="E4139" s="9" t="str">
        <f t="shared" ca="1" si="76"/>
        <v/>
      </c>
      <c r="F4139" s="4" t="s">
        <v>21</v>
      </c>
      <c r="G4139" s="2">
        <f>IF(ISNUMBER(SEARCH(Лист2!$B$4,F:F)),1,0)</f>
        <v>0</v>
      </c>
      <c r="H4139" s="3">
        <f ca="1">IF(AND(I4139&lt;&gt;I4138,ISNUMBER(SEARCH(Лист2!$B$5,I:I)),G4139=1),MAX($H$3:OFFSET(H4139,-1,0))+1,0)</f>
        <v>0</v>
      </c>
      <c r="I4139" s="3" t="s">
        <v>341</v>
      </c>
      <c r="K4139" s="2">
        <f>IF(ISNUMBER(SEARCH(Лист2!$B$4,F:F)),1,0)</f>
        <v>0</v>
      </c>
      <c r="L4139" s="14">
        <f>IF(ISNUMBER(SEARCH(Лист2!$B$5,I:I)),1,0)+K4139</f>
        <v>0</v>
      </c>
      <c r="M4139" s="3">
        <f ca="1">IF(AND(N4139&lt;&gt;N4138,ISNUMBER(SEARCH(Лист2!$B$6,N:N)),L4139=2),MAX($M$3:OFFSET(M4139,-1,0))+1,0)</f>
        <v>0</v>
      </c>
      <c r="N4139" s="3" t="s">
        <v>502</v>
      </c>
    </row>
    <row r="4140" spans="1:14" x14ac:dyDescent="0.25">
      <c r="A4140" s="1" t="s">
        <v>12927</v>
      </c>
      <c r="B4140" s="3" t="s">
        <v>7764</v>
      </c>
      <c r="C4140" s="2">
        <f ca="1">IF(ISNUMBER(SEARCH(Лист2!$B$4,D:D)),MAX($C$3:OFFSET(C4140,-1,0))+1,0)</f>
        <v>0</v>
      </c>
      <c r="E4140" s="9" t="str">
        <f t="shared" ca="1" si="76"/>
        <v/>
      </c>
      <c r="F4140" s="4" t="s">
        <v>21</v>
      </c>
      <c r="G4140" s="2">
        <f>IF(ISNUMBER(SEARCH(Лист2!$B$4,F:F)),1,0)</f>
        <v>0</v>
      </c>
      <c r="H4140" s="3">
        <f ca="1">IF(AND(I4140&lt;&gt;I4139,ISNUMBER(SEARCH(Лист2!$B$5,I:I)),G4140=1),MAX($H$3:OFFSET(H4140,-1,0))+1,0)</f>
        <v>0</v>
      </c>
      <c r="I4140" s="3" t="s">
        <v>341</v>
      </c>
      <c r="K4140" s="2">
        <f>IF(ISNUMBER(SEARCH(Лист2!$B$4,F:F)),1,0)</f>
        <v>0</v>
      </c>
      <c r="L4140" s="14">
        <f>IF(ISNUMBER(SEARCH(Лист2!$B$5,I:I)),1,0)+K4140</f>
        <v>0</v>
      </c>
      <c r="M4140" s="3">
        <f ca="1">IF(AND(N4140&lt;&gt;N4139,ISNUMBER(SEARCH(Лист2!$B$6,N:N)),L4140=2),MAX($M$3:OFFSET(M4140,-1,0))+1,0)</f>
        <v>0</v>
      </c>
      <c r="N4140" s="3" t="s">
        <v>2592</v>
      </c>
    </row>
    <row r="4141" spans="1:14" x14ac:dyDescent="0.25">
      <c r="A4141" s="1" t="s">
        <v>12928</v>
      </c>
      <c r="B4141" s="3" t="s">
        <v>7765</v>
      </c>
      <c r="C4141" s="2">
        <f ca="1">IF(ISNUMBER(SEARCH(Лист2!$B$4,D:D)),MAX($C$3:OFFSET(C4141,-1,0))+1,0)</f>
        <v>0</v>
      </c>
      <c r="E4141" s="9" t="str">
        <f t="shared" ca="1" si="76"/>
        <v/>
      </c>
      <c r="F4141" s="4" t="s">
        <v>21</v>
      </c>
      <c r="G4141" s="2">
        <f>IF(ISNUMBER(SEARCH(Лист2!$B$4,F:F)),1,0)</f>
        <v>0</v>
      </c>
      <c r="H4141" s="3">
        <f ca="1">IF(AND(I4141&lt;&gt;I4140,ISNUMBER(SEARCH(Лист2!$B$5,I:I)),G4141=1),MAX($H$3:OFFSET(H4141,-1,0))+1,0)</f>
        <v>0</v>
      </c>
      <c r="I4141" s="3" t="s">
        <v>341</v>
      </c>
      <c r="K4141" s="2">
        <f>IF(ISNUMBER(SEARCH(Лист2!$B$4,F:F)),1,0)</f>
        <v>0</v>
      </c>
      <c r="L4141" s="14">
        <f>IF(ISNUMBER(SEARCH(Лист2!$B$5,I:I)),1,0)+K4141</f>
        <v>0</v>
      </c>
      <c r="M4141" s="3">
        <f ca="1">IF(AND(N4141&lt;&gt;N4140,ISNUMBER(SEARCH(Лист2!$B$6,N:N)),L4141=2),MAX($M$3:OFFSET(M4141,-1,0))+1,0)</f>
        <v>0</v>
      </c>
      <c r="N4141" s="3" t="s">
        <v>2593</v>
      </c>
    </row>
    <row r="4142" spans="1:14" x14ac:dyDescent="0.25">
      <c r="A4142" s="1" t="s">
        <v>12929</v>
      </c>
      <c r="B4142" s="3" t="s">
        <v>7766</v>
      </c>
      <c r="C4142" s="2">
        <f ca="1">IF(ISNUMBER(SEARCH(Лист2!$B$4,D:D)),MAX($C$3:OFFSET(C4142,-1,0))+1,0)</f>
        <v>0</v>
      </c>
      <c r="E4142" s="9" t="str">
        <f t="shared" ca="1" si="76"/>
        <v/>
      </c>
      <c r="F4142" s="4" t="s">
        <v>21</v>
      </c>
      <c r="G4142" s="2">
        <f>IF(ISNUMBER(SEARCH(Лист2!$B$4,F:F)),1,0)</f>
        <v>0</v>
      </c>
      <c r="H4142" s="3">
        <f ca="1">IF(AND(I4142&lt;&gt;I4141,ISNUMBER(SEARCH(Лист2!$B$5,I:I)),G4142=1),MAX($H$3:OFFSET(H4142,-1,0))+1,0)</f>
        <v>0</v>
      </c>
      <c r="I4142" s="3" t="s">
        <v>341</v>
      </c>
      <c r="K4142" s="2">
        <f>IF(ISNUMBER(SEARCH(Лист2!$B$4,F:F)),1,0)</f>
        <v>0</v>
      </c>
      <c r="L4142" s="14">
        <f>IF(ISNUMBER(SEARCH(Лист2!$B$5,I:I)),1,0)+K4142</f>
        <v>0</v>
      </c>
      <c r="M4142" s="3">
        <f ca="1">IF(AND(N4142&lt;&gt;N4141,ISNUMBER(SEARCH(Лист2!$B$6,N:N)),L4142=2),MAX($M$3:OFFSET(M4142,-1,0))+1,0)</f>
        <v>0</v>
      </c>
      <c r="N4142" s="3" t="s">
        <v>2594</v>
      </c>
    </row>
    <row r="4143" spans="1:14" x14ac:dyDescent="0.25">
      <c r="A4143" s="1" t="s">
        <v>12930</v>
      </c>
      <c r="B4143" s="3" t="s">
        <v>7767</v>
      </c>
      <c r="C4143" s="2">
        <f ca="1">IF(ISNUMBER(SEARCH(Лист2!$B$4,D:D)),MAX($C$3:OFFSET(C4143,-1,0))+1,0)</f>
        <v>0</v>
      </c>
      <c r="E4143" s="9" t="str">
        <f t="shared" ca="1" si="76"/>
        <v/>
      </c>
      <c r="F4143" s="4" t="s">
        <v>21</v>
      </c>
      <c r="G4143" s="2">
        <f>IF(ISNUMBER(SEARCH(Лист2!$B$4,F:F)),1,0)</f>
        <v>0</v>
      </c>
      <c r="H4143" s="3">
        <f ca="1">IF(AND(I4143&lt;&gt;I4142,ISNUMBER(SEARCH(Лист2!$B$5,I:I)),G4143=1),MAX($H$3:OFFSET(H4143,-1,0))+1,0)</f>
        <v>0</v>
      </c>
      <c r="I4143" s="3" t="s">
        <v>341</v>
      </c>
      <c r="K4143" s="2">
        <f>IF(ISNUMBER(SEARCH(Лист2!$B$4,F:F)),1,0)</f>
        <v>0</v>
      </c>
      <c r="L4143" s="14">
        <f>IF(ISNUMBER(SEARCH(Лист2!$B$5,I:I)),1,0)+K4143</f>
        <v>0</v>
      </c>
      <c r="M4143" s="3">
        <f ca="1">IF(AND(N4143&lt;&gt;N4142,ISNUMBER(SEARCH(Лист2!$B$6,N:N)),L4143=2),MAX($M$3:OFFSET(M4143,-1,0))+1,0)</f>
        <v>0</v>
      </c>
      <c r="N4143" s="3" t="s">
        <v>2595</v>
      </c>
    </row>
    <row r="4144" spans="1:14" x14ac:dyDescent="0.25">
      <c r="A4144" s="1" t="s">
        <v>12931</v>
      </c>
      <c r="B4144" s="3" t="s">
        <v>7768</v>
      </c>
      <c r="C4144" s="2">
        <f ca="1">IF(ISNUMBER(SEARCH(Лист2!$B$4,D:D)),MAX($C$3:OFFSET(C4144,-1,0))+1,0)</f>
        <v>0</v>
      </c>
      <c r="E4144" s="9" t="str">
        <f t="shared" ca="1" si="76"/>
        <v/>
      </c>
      <c r="F4144" s="4" t="s">
        <v>21</v>
      </c>
      <c r="G4144" s="2">
        <f>IF(ISNUMBER(SEARCH(Лист2!$B$4,F:F)),1,0)</f>
        <v>0</v>
      </c>
      <c r="H4144" s="3">
        <f ca="1">IF(AND(I4144&lt;&gt;I4143,ISNUMBER(SEARCH(Лист2!$B$5,I:I)),G4144=1),MAX($H$3:OFFSET(H4144,-1,0))+1,0)</f>
        <v>0</v>
      </c>
      <c r="I4144" s="3" t="s">
        <v>341</v>
      </c>
      <c r="K4144" s="2">
        <f>IF(ISNUMBER(SEARCH(Лист2!$B$4,F:F)),1,0)</f>
        <v>0</v>
      </c>
      <c r="L4144" s="14">
        <f>IF(ISNUMBER(SEARCH(Лист2!$B$5,I:I)),1,0)+K4144</f>
        <v>0</v>
      </c>
      <c r="M4144" s="3">
        <f ca="1">IF(AND(N4144&lt;&gt;N4143,ISNUMBER(SEARCH(Лист2!$B$6,N:N)),L4144=2),MAX($M$3:OFFSET(M4144,-1,0))+1,0)</f>
        <v>0</v>
      </c>
      <c r="N4144" s="3" t="s">
        <v>602</v>
      </c>
    </row>
    <row r="4145" spans="1:14" x14ac:dyDescent="0.25">
      <c r="A4145" s="1" t="s">
        <v>12932</v>
      </c>
      <c r="B4145" s="3" t="s">
        <v>7769</v>
      </c>
      <c r="C4145" s="2">
        <f ca="1">IF(ISNUMBER(SEARCH(Лист2!$B$4,D:D)),MAX($C$3:OFFSET(C4145,-1,0))+1,0)</f>
        <v>0</v>
      </c>
      <c r="E4145" s="9" t="str">
        <f t="shared" ca="1" si="76"/>
        <v/>
      </c>
      <c r="F4145" s="4" t="s">
        <v>21</v>
      </c>
      <c r="G4145" s="2">
        <f>IF(ISNUMBER(SEARCH(Лист2!$B$4,F:F)),1,0)</f>
        <v>0</v>
      </c>
      <c r="H4145" s="3">
        <f ca="1">IF(AND(I4145&lt;&gt;I4144,ISNUMBER(SEARCH(Лист2!$B$5,I:I)),G4145=1),MAX($H$3:OFFSET(H4145,-1,0))+1,0)</f>
        <v>0</v>
      </c>
      <c r="I4145" s="3" t="s">
        <v>341</v>
      </c>
      <c r="K4145" s="2">
        <f>IF(ISNUMBER(SEARCH(Лист2!$B$4,F:F)),1,0)</f>
        <v>0</v>
      </c>
      <c r="L4145" s="14">
        <f>IF(ISNUMBER(SEARCH(Лист2!$B$5,I:I)),1,0)+K4145</f>
        <v>0</v>
      </c>
      <c r="M4145" s="3">
        <f ca="1">IF(AND(N4145&lt;&gt;N4144,ISNUMBER(SEARCH(Лист2!$B$6,N:N)),L4145=2),MAX($M$3:OFFSET(M4145,-1,0))+1,0)</f>
        <v>0</v>
      </c>
      <c r="N4145" s="3" t="s">
        <v>677</v>
      </c>
    </row>
    <row r="4146" spans="1:14" x14ac:dyDescent="0.25">
      <c r="A4146" s="1" t="s">
        <v>12933</v>
      </c>
      <c r="B4146" s="3" t="s">
        <v>7770</v>
      </c>
      <c r="C4146" s="2">
        <f ca="1">IF(ISNUMBER(SEARCH(Лист2!$B$4,D:D)),MAX($C$3:OFFSET(C4146,-1,0))+1,0)</f>
        <v>0</v>
      </c>
      <c r="E4146" s="9" t="str">
        <f t="shared" ca="1" si="76"/>
        <v/>
      </c>
      <c r="F4146" s="4" t="s">
        <v>21</v>
      </c>
      <c r="G4146" s="2">
        <f>IF(ISNUMBER(SEARCH(Лист2!$B$4,F:F)),1,0)</f>
        <v>0</v>
      </c>
      <c r="H4146" s="3">
        <f ca="1">IF(AND(I4146&lt;&gt;I4145,ISNUMBER(SEARCH(Лист2!$B$5,I:I)),G4146=1),MAX($H$3:OFFSET(H4146,-1,0))+1,0)</f>
        <v>0</v>
      </c>
      <c r="I4146" s="3" t="s">
        <v>341</v>
      </c>
      <c r="K4146" s="2">
        <f>IF(ISNUMBER(SEARCH(Лист2!$B$4,F:F)),1,0)</f>
        <v>0</v>
      </c>
      <c r="L4146" s="14">
        <f>IF(ISNUMBER(SEARCH(Лист2!$B$5,I:I)),1,0)+K4146</f>
        <v>0</v>
      </c>
      <c r="M4146" s="3">
        <f ca="1">IF(AND(N4146&lt;&gt;N4145,ISNUMBER(SEARCH(Лист2!$B$6,N:N)),L4146=2),MAX($M$3:OFFSET(M4146,-1,0))+1,0)</f>
        <v>0</v>
      </c>
      <c r="N4146" s="3" t="s">
        <v>2596</v>
      </c>
    </row>
    <row r="4147" spans="1:14" x14ac:dyDescent="0.25">
      <c r="A4147" s="1" t="s">
        <v>12934</v>
      </c>
      <c r="B4147" s="3" t="s">
        <v>7771</v>
      </c>
      <c r="C4147" s="2">
        <f ca="1">IF(ISNUMBER(SEARCH(Лист2!$B$4,D:D)),MAX($C$3:OFFSET(C4147,-1,0))+1,0)</f>
        <v>0</v>
      </c>
      <c r="E4147" s="9" t="str">
        <f t="shared" ca="1" si="76"/>
        <v/>
      </c>
      <c r="F4147" s="4" t="s">
        <v>21</v>
      </c>
      <c r="G4147" s="2">
        <f>IF(ISNUMBER(SEARCH(Лист2!$B$4,F:F)),1,0)</f>
        <v>0</v>
      </c>
      <c r="H4147" s="3">
        <f ca="1">IF(AND(I4147&lt;&gt;I4146,ISNUMBER(SEARCH(Лист2!$B$5,I:I)),G4147=1),MAX($H$3:OFFSET(H4147,-1,0))+1,0)</f>
        <v>0</v>
      </c>
      <c r="I4147" s="3" t="s">
        <v>341</v>
      </c>
      <c r="K4147" s="2">
        <f>IF(ISNUMBER(SEARCH(Лист2!$B$4,F:F)),1,0)</f>
        <v>0</v>
      </c>
      <c r="L4147" s="14">
        <f>IF(ISNUMBER(SEARCH(Лист2!$B$5,I:I)),1,0)+K4147</f>
        <v>0</v>
      </c>
      <c r="M4147" s="3">
        <f ca="1">IF(AND(N4147&lt;&gt;N4146,ISNUMBER(SEARCH(Лист2!$B$6,N:N)),L4147=2),MAX($M$3:OFFSET(M4147,-1,0))+1,0)</f>
        <v>0</v>
      </c>
      <c r="N4147" s="3" t="s">
        <v>2597</v>
      </c>
    </row>
    <row r="4148" spans="1:14" x14ac:dyDescent="0.25">
      <c r="A4148" s="1" t="s">
        <v>12935</v>
      </c>
      <c r="B4148" s="3" t="s">
        <v>7772</v>
      </c>
      <c r="C4148" s="2">
        <f ca="1">IF(ISNUMBER(SEARCH(Лист2!$B$4,D:D)),MAX($C$3:OFFSET(C4148,-1,0))+1,0)</f>
        <v>0</v>
      </c>
      <c r="E4148" s="9" t="str">
        <f t="shared" ca="1" si="76"/>
        <v/>
      </c>
      <c r="F4148" s="4" t="s">
        <v>22</v>
      </c>
      <c r="G4148" s="2">
        <f>IF(ISNUMBER(SEARCH(Лист2!$B$4,F:F)),1,0)</f>
        <v>0</v>
      </c>
      <c r="H4148" s="3">
        <f ca="1">IF(AND(I4148&lt;&gt;I4147,ISNUMBER(SEARCH(Лист2!$B$5,I:I)),G4148=1),MAX($H$3:OFFSET(H4148,-1,0))+1,0)</f>
        <v>0</v>
      </c>
      <c r="I4148" s="3" t="s">
        <v>145</v>
      </c>
      <c r="K4148" s="2">
        <f>IF(ISNUMBER(SEARCH(Лист2!$B$4,F:F)),1,0)</f>
        <v>0</v>
      </c>
      <c r="L4148" s="14">
        <f>IF(ISNUMBER(SEARCH(Лист2!$B$5,I:I)),1,0)+K4148</f>
        <v>0</v>
      </c>
      <c r="M4148" s="3">
        <f ca="1">IF(AND(N4148&lt;&gt;N4147,ISNUMBER(SEARCH(Лист2!$B$6,N:N)),L4148=2),MAX($M$3:OFFSET(M4148,-1,0))+1,0)</f>
        <v>0</v>
      </c>
      <c r="N4148" s="3" t="s">
        <v>354</v>
      </c>
    </row>
    <row r="4149" spans="1:14" x14ac:dyDescent="0.25">
      <c r="A4149" s="1" t="s">
        <v>12936</v>
      </c>
      <c r="B4149" s="3" t="s">
        <v>7773</v>
      </c>
      <c r="C4149" s="2">
        <f ca="1">IF(ISNUMBER(SEARCH(Лист2!$B$4,D:D)),MAX($C$3:OFFSET(C4149,-1,0))+1,0)</f>
        <v>0</v>
      </c>
      <c r="E4149" s="9" t="str">
        <f t="shared" ca="1" si="76"/>
        <v/>
      </c>
      <c r="F4149" s="4" t="s">
        <v>22</v>
      </c>
      <c r="G4149" s="2">
        <f>IF(ISNUMBER(SEARCH(Лист2!$B$4,F:F)),1,0)</f>
        <v>0</v>
      </c>
      <c r="H4149" s="3">
        <f ca="1">IF(AND(I4149&lt;&gt;I4148,ISNUMBER(SEARCH(Лист2!$B$5,I:I)),G4149=1),MAX($H$3:OFFSET(H4149,-1,0))+1,0)</f>
        <v>0</v>
      </c>
      <c r="I4149" s="3" t="s">
        <v>145</v>
      </c>
      <c r="K4149" s="2">
        <f>IF(ISNUMBER(SEARCH(Лист2!$B$4,F:F)),1,0)</f>
        <v>0</v>
      </c>
      <c r="L4149" s="14">
        <f>IF(ISNUMBER(SEARCH(Лист2!$B$5,I:I)),1,0)+K4149</f>
        <v>0</v>
      </c>
      <c r="M4149" s="3">
        <f ca="1">IF(AND(N4149&lt;&gt;N4148,ISNUMBER(SEARCH(Лист2!$B$6,N:N)),L4149=2),MAX($M$3:OFFSET(M4149,-1,0))+1,0)</f>
        <v>0</v>
      </c>
      <c r="N4149" s="3" t="s">
        <v>2597</v>
      </c>
    </row>
    <row r="4150" spans="1:14" x14ac:dyDescent="0.25">
      <c r="A4150" s="1" t="s">
        <v>12937</v>
      </c>
      <c r="B4150" s="3" t="s">
        <v>7774</v>
      </c>
      <c r="C4150" s="2">
        <f ca="1">IF(ISNUMBER(SEARCH(Лист2!$B$4,D:D)),MAX($C$3:OFFSET(C4150,-1,0))+1,0)</f>
        <v>0</v>
      </c>
      <c r="E4150" s="9" t="str">
        <f t="shared" ca="1" si="76"/>
        <v/>
      </c>
      <c r="F4150" s="4" t="s">
        <v>22</v>
      </c>
      <c r="G4150" s="2">
        <f>IF(ISNUMBER(SEARCH(Лист2!$B$4,F:F)),1,0)</f>
        <v>0</v>
      </c>
      <c r="H4150" s="3">
        <f ca="1">IF(AND(I4150&lt;&gt;I4149,ISNUMBER(SEARCH(Лист2!$B$5,I:I)),G4150=1),MAX($H$3:OFFSET(H4150,-1,0))+1,0)</f>
        <v>0</v>
      </c>
      <c r="I4150" s="3" t="s">
        <v>145</v>
      </c>
      <c r="K4150" s="2">
        <f>IF(ISNUMBER(SEARCH(Лист2!$B$4,F:F)),1,0)</f>
        <v>0</v>
      </c>
      <c r="L4150" s="14">
        <f>IF(ISNUMBER(SEARCH(Лист2!$B$5,I:I)),1,0)+K4150</f>
        <v>0</v>
      </c>
      <c r="M4150" s="3">
        <f ca="1">IF(AND(N4150&lt;&gt;N4149,ISNUMBER(SEARCH(Лист2!$B$6,N:N)),L4150=2),MAX($M$3:OFFSET(M4150,-1,0))+1,0)</f>
        <v>0</v>
      </c>
      <c r="N4150" s="3" t="s">
        <v>594</v>
      </c>
    </row>
    <row r="4151" spans="1:14" x14ac:dyDescent="0.25">
      <c r="A4151" s="1" t="s">
        <v>12938</v>
      </c>
      <c r="B4151" s="3" t="s">
        <v>7775</v>
      </c>
      <c r="C4151" s="2">
        <f ca="1">IF(ISNUMBER(SEARCH(Лист2!$B$4,D:D)),MAX($C$3:OFFSET(C4151,-1,0))+1,0)</f>
        <v>0</v>
      </c>
      <c r="E4151" s="9" t="str">
        <f t="shared" ca="1" si="76"/>
        <v/>
      </c>
      <c r="F4151" s="4" t="s">
        <v>22</v>
      </c>
      <c r="G4151" s="2">
        <f>IF(ISNUMBER(SEARCH(Лист2!$B$4,F:F)),1,0)</f>
        <v>0</v>
      </c>
      <c r="H4151" s="3">
        <f ca="1">IF(AND(I4151&lt;&gt;I4150,ISNUMBER(SEARCH(Лист2!$B$5,I:I)),G4151=1),MAX($H$3:OFFSET(H4151,-1,0))+1,0)</f>
        <v>0</v>
      </c>
      <c r="I4151" s="3" t="s">
        <v>145</v>
      </c>
      <c r="K4151" s="2">
        <f>IF(ISNUMBER(SEARCH(Лист2!$B$4,F:F)),1,0)</f>
        <v>0</v>
      </c>
      <c r="L4151" s="14">
        <f>IF(ISNUMBER(SEARCH(Лист2!$B$5,I:I)),1,0)+K4151</f>
        <v>0</v>
      </c>
      <c r="M4151" s="3">
        <f ca="1">IF(AND(N4151&lt;&gt;N4150,ISNUMBER(SEARCH(Лист2!$B$6,N:N)),L4151=2),MAX($M$3:OFFSET(M4151,-1,0))+1,0)</f>
        <v>0</v>
      </c>
      <c r="N4151" s="3" t="s">
        <v>2598</v>
      </c>
    </row>
    <row r="4152" spans="1:14" x14ac:dyDescent="0.25">
      <c r="A4152" s="1" t="s">
        <v>12939</v>
      </c>
      <c r="B4152" s="3" t="s">
        <v>7776</v>
      </c>
      <c r="C4152" s="2">
        <f ca="1">IF(ISNUMBER(SEARCH(Лист2!$B$4,D:D)),MAX($C$3:OFFSET(C4152,-1,0))+1,0)</f>
        <v>0</v>
      </c>
      <c r="E4152" s="9" t="str">
        <f t="shared" ca="1" si="76"/>
        <v/>
      </c>
      <c r="F4152" s="4" t="s">
        <v>22</v>
      </c>
      <c r="G4152" s="2">
        <f>IF(ISNUMBER(SEARCH(Лист2!$B$4,F:F)),1,0)</f>
        <v>0</v>
      </c>
      <c r="H4152" s="3">
        <f ca="1">IF(AND(I4152&lt;&gt;I4151,ISNUMBER(SEARCH(Лист2!$B$5,I:I)),G4152=1),MAX($H$3:OFFSET(H4152,-1,0))+1,0)</f>
        <v>0</v>
      </c>
      <c r="I4152" s="3" t="s">
        <v>145</v>
      </c>
      <c r="K4152" s="2">
        <f>IF(ISNUMBER(SEARCH(Лист2!$B$4,F:F)),1,0)</f>
        <v>0</v>
      </c>
      <c r="L4152" s="14">
        <f>IF(ISNUMBER(SEARCH(Лист2!$B$5,I:I)),1,0)+K4152</f>
        <v>0</v>
      </c>
      <c r="M4152" s="3">
        <f ca="1">IF(AND(N4152&lt;&gt;N4151,ISNUMBER(SEARCH(Лист2!$B$6,N:N)),L4152=2),MAX($M$3:OFFSET(M4152,-1,0))+1,0)</f>
        <v>0</v>
      </c>
      <c r="N4152" s="3" t="s">
        <v>600</v>
      </c>
    </row>
    <row r="4153" spans="1:14" x14ac:dyDescent="0.25">
      <c r="A4153" s="1" t="s">
        <v>12940</v>
      </c>
      <c r="B4153" s="3" t="s">
        <v>7777</v>
      </c>
      <c r="C4153" s="2">
        <f ca="1">IF(ISNUMBER(SEARCH(Лист2!$B$4,D:D)),MAX($C$3:OFFSET(C4153,-1,0))+1,0)</f>
        <v>0</v>
      </c>
      <c r="E4153" s="9" t="str">
        <f t="shared" ca="1" si="76"/>
        <v/>
      </c>
      <c r="F4153" s="4" t="s">
        <v>22</v>
      </c>
      <c r="G4153" s="2">
        <f>IF(ISNUMBER(SEARCH(Лист2!$B$4,F:F)),1,0)</f>
        <v>0</v>
      </c>
      <c r="H4153" s="3">
        <f ca="1">IF(AND(I4153&lt;&gt;I4152,ISNUMBER(SEARCH(Лист2!$B$5,I:I)),G4153=1),MAX($H$3:OFFSET(H4153,-1,0))+1,0)</f>
        <v>0</v>
      </c>
      <c r="I4153" s="3" t="s">
        <v>145</v>
      </c>
      <c r="K4153" s="2">
        <f>IF(ISNUMBER(SEARCH(Лист2!$B$4,F:F)),1,0)</f>
        <v>0</v>
      </c>
      <c r="L4153" s="14">
        <f>IF(ISNUMBER(SEARCH(Лист2!$B$5,I:I)),1,0)+K4153</f>
        <v>0</v>
      </c>
      <c r="M4153" s="3">
        <f ca="1">IF(AND(N4153&lt;&gt;N4152,ISNUMBER(SEARCH(Лист2!$B$6,N:N)),L4153=2),MAX($M$3:OFFSET(M4153,-1,0))+1,0)</f>
        <v>0</v>
      </c>
      <c r="N4153" s="3" t="s">
        <v>601</v>
      </c>
    </row>
    <row r="4154" spans="1:14" x14ac:dyDescent="0.25">
      <c r="A4154" s="1" t="s">
        <v>12941</v>
      </c>
      <c r="B4154" s="3" t="s">
        <v>7778</v>
      </c>
      <c r="C4154" s="2">
        <f ca="1">IF(ISNUMBER(SEARCH(Лист2!$B$4,D:D)),MAX($C$3:OFFSET(C4154,-1,0))+1,0)</f>
        <v>0</v>
      </c>
      <c r="E4154" s="9" t="str">
        <f t="shared" ca="1" si="76"/>
        <v/>
      </c>
      <c r="F4154" s="4" t="s">
        <v>22</v>
      </c>
      <c r="G4154" s="2">
        <f>IF(ISNUMBER(SEARCH(Лист2!$B$4,F:F)),1,0)</f>
        <v>0</v>
      </c>
      <c r="H4154" s="3">
        <f ca="1">IF(AND(I4154&lt;&gt;I4153,ISNUMBER(SEARCH(Лист2!$B$5,I:I)),G4154=1),MAX($H$3:OFFSET(H4154,-1,0))+1,0)</f>
        <v>0</v>
      </c>
      <c r="I4154" s="3" t="s">
        <v>145</v>
      </c>
      <c r="K4154" s="2">
        <f>IF(ISNUMBER(SEARCH(Лист2!$B$4,F:F)),1,0)</f>
        <v>0</v>
      </c>
      <c r="L4154" s="14">
        <f>IF(ISNUMBER(SEARCH(Лист2!$B$5,I:I)),1,0)+K4154</f>
        <v>0</v>
      </c>
      <c r="M4154" s="3">
        <f ca="1">IF(AND(N4154&lt;&gt;N4153,ISNUMBER(SEARCH(Лист2!$B$6,N:N)),L4154=2),MAX($M$3:OFFSET(M4154,-1,0))+1,0)</f>
        <v>0</v>
      </c>
      <c r="N4154" s="3" t="s">
        <v>677</v>
      </c>
    </row>
    <row r="4155" spans="1:14" x14ac:dyDescent="0.25">
      <c r="A4155" s="1" t="s">
        <v>12942</v>
      </c>
      <c r="B4155" s="3" t="s">
        <v>7779</v>
      </c>
      <c r="C4155" s="2">
        <f ca="1">IF(ISNUMBER(SEARCH(Лист2!$B$4,D:D)),MAX($C$3:OFFSET(C4155,-1,0))+1,0)</f>
        <v>0</v>
      </c>
      <c r="E4155" s="9" t="str">
        <f t="shared" ca="1" si="76"/>
        <v/>
      </c>
      <c r="F4155" s="4" t="s">
        <v>22</v>
      </c>
      <c r="G4155" s="2">
        <f>IF(ISNUMBER(SEARCH(Лист2!$B$4,F:F)),1,0)</f>
        <v>0</v>
      </c>
      <c r="H4155" s="3">
        <f ca="1">IF(AND(I4155&lt;&gt;I4154,ISNUMBER(SEARCH(Лист2!$B$5,I:I)),G4155=1),MAX($H$3:OFFSET(H4155,-1,0))+1,0)</f>
        <v>0</v>
      </c>
      <c r="I4155" s="3" t="s">
        <v>145</v>
      </c>
      <c r="K4155" s="2">
        <f>IF(ISNUMBER(SEARCH(Лист2!$B$4,F:F)),1,0)</f>
        <v>0</v>
      </c>
      <c r="L4155" s="14">
        <f>IF(ISNUMBER(SEARCH(Лист2!$B$5,I:I)),1,0)+K4155</f>
        <v>0</v>
      </c>
      <c r="M4155" s="3">
        <f ca="1">IF(AND(N4155&lt;&gt;N4154,ISNUMBER(SEARCH(Лист2!$B$6,N:N)),L4155=2),MAX($M$3:OFFSET(M4155,-1,0))+1,0)</f>
        <v>0</v>
      </c>
      <c r="N4155" s="3" t="s">
        <v>98</v>
      </c>
    </row>
    <row r="4156" spans="1:14" x14ac:dyDescent="0.25">
      <c r="A4156" s="1" t="s">
        <v>12943</v>
      </c>
      <c r="B4156" s="3" t="s">
        <v>7780</v>
      </c>
      <c r="C4156" s="2">
        <f ca="1">IF(ISNUMBER(SEARCH(Лист2!$B$4,D:D)),MAX($C$3:OFFSET(C4156,-1,0))+1,0)</f>
        <v>0</v>
      </c>
      <c r="E4156" s="9" t="str">
        <f t="shared" ca="1" si="76"/>
        <v/>
      </c>
      <c r="F4156" s="4" t="s">
        <v>22</v>
      </c>
      <c r="G4156" s="2">
        <f>IF(ISNUMBER(SEARCH(Лист2!$B$4,F:F)),1,0)</f>
        <v>0</v>
      </c>
      <c r="H4156" s="3">
        <f ca="1">IF(AND(I4156&lt;&gt;I4155,ISNUMBER(SEARCH(Лист2!$B$5,I:I)),G4156=1),MAX($H$3:OFFSET(H4156,-1,0))+1,0)</f>
        <v>0</v>
      </c>
      <c r="I4156" s="3" t="s">
        <v>145</v>
      </c>
      <c r="K4156" s="2">
        <f>IF(ISNUMBER(SEARCH(Лист2!$B$4,F:F)),1,0)</f>
        <v>0</v>
      </c>
      <c r="L4156" s="14">
        <f>IF(ISNUMBER(SEARCH(Лист2!$B$5,I:I)),1,0)+K4156</f>
        <v>0</v>
      </c>
      <c r="M4156" s="3">
        <f ca="1">IF(AND(N4156&lt;&gt;N4155,ISNUMBER(SEARCH(Лист2!$B$6,N:N)),L4156=2),MAX($M$3:OFFSET(M4156,-1,0))+1,0)</f>
        <v>0</v>
      </c>
      <c r="N4156" s="3" t="s">
        <v>615</v>
      </c>
    </row>
    <row r="4157" spans="1:14" x14ac:dyDescent="0.25">
      <c r="A4157" s="1" t="s">
        <v>12936</v>
      </c>
      <c r="B4157" s="3" t="s">
        <v>7781</v>
      </c>
      <c r="C4157" s="2">
        <f ca="1">IF(ISNUMBER(SEARCH(Лист2!$B$4,D:D)),MAX($C$3:OFFSET(C4157,-1,0))+1,0)</f>
        <v>0</v>
      </c>
      <c r="E4157" s="9" t="str">
        <f t="shared" ca="1" si="76"/>
        <v/>
      </c>
      <c r="F4157" s="4" t="s">
        <v>22</v>
      </c>
      <c r="G4157" s="2">
        <f>IF(ISNUMBER(SEARCH(Лист2!$B$4,F:F)),1,0)</f>
        <v>0</v>
      </c>
      <c r="H4157" s="3">
        <f ca="1">IF(AND(I4157&lt;&gt;I4156,ISNUMBER(SEARCH(Лист2!$B$5,I:I)),G4157=1),MAX($H$3:OFFSET(H4157,-1,0))+1,0)</f>
        <v>0</v>
      </c>
      <c r="I4157" s="3" t="s">
        <v>145</v>
      </c>
      <c r="K4157" s="2">
        <f>IF(ISNUMBER(SEARCH(Лист2!$B$4,F:F)),1,0)</f>
        <v>0</v>
      </c>
      <c r="L4157" s="14">
        <f>IF(ISNUMBER(SEARCH(Лист2!$B$5,I:I)),1,0)+K4157</f>
        <v>0</v>
      </c>
      <c r="M4157" s="3">
        <f ca="1">IF(AND(N4157&lt;&gt;N4156,ISNUMBER(SEARCH(Лист2!$B$6,N:N)),L4157=2),MAX($M$3:OFFSET(M4157,-1,0))+1,0)</f>
        <v>0</v>
      </c>
      <c r="N4157" s="3" t="s">
        <v>2597</v>
      </c>
    </row>
    <row r="4158" spans="1:14" x14ac:dyDescent="0.25">
      <c r="A4158" s="1" t="s">
        <v>12937</v>
      </c>
      <c r="B4158" s="3" t="s">
        <v>7782</v>
      </c>
      <c r="C4158" s="2">
        <f ca="1">IF(ISNUMBER(SEARCH(Лист2!$B$4,D:D)),MAX($C$3:OFFSET(C4158,-1,0))+1,0)</f>
        <v>0</v>
      </c>
      <c r="E4158" s="9" t="str">
        <f t="shared" ca="1" si="76"/>
        <v/>
      </c>
      <c r="F4158" s="4" t="s">
        <v>22</v>
      </c>
      <c r="G4158" s="2">
        <f>IF(ISNUMBER(SEARCH(Лист2!$B$4,F:F)),1,0)</f>
        <v>0</v>
      </c>
      <c r="H4158" s="3">
        <f ca="1">IF(AND(I4158&lt;&gt;I4157,ISNUMBER(SEARCH(Лист2!$B$5,I:I)),G4158=1),MAX($H$3:OFFSET(H4158,-1,0))+1,0)</f>
        <v>0</v>
      </c>
      <c r="I4158" s="3" t="s">
        <v>145</v>
      </c>
      <c r="K4158" s="2">
        <f>IF(ISNUMBER(SEARCH(Лист2!$B$4,F:F)),1,0)</f>
        <v>0</v>
      </c>
      <c r="L4158" s="14">
        <f>IF(ISNUMBER(SEARCH(Лист2!$B$5,I:I)),1,0)+K4158</f>
        <v>0</v>
      </c>
      <c r="M4158" s="3">
        <f ca="1">IF(AND(N4158&lt;&gt;N4157,ISNUMBER(SEARCH(Лист2!$B$6,N:N)),L4158=2),MAX($M$3:OFFSET(M4158,-1,0))+1,0)</f>
        <v>0</v>
      </c>
      <c r="N4158" s="3" t="s">
        <v>594</v>
      </c>
    </row>
    <row r="4159" spans="1:14" x14ac:dyDescent="0.25">
      <c r="A4159" s="1" t="s">
        <v>12938</v>
      </c>
      <c r="B4159" s="3" t="s">
        <v>7783</v>
      </c>
      <c r="C4159" s="2">
        <f ca="1">IF(ISNUMBER(SEARCH(Лист2!$B$4,D:D)),MAX($C$3:OFFSET(C4159,-1,0))+1,0)</f>
        <v>0</v>
      </c>
      <c r="E4159" s="9" t="str">
        <f t="shared" ca="1" si="76"/>
        <v/>
      </c>
      <c r="F4159" s="4" t="s">
        <v>22</v>
      </c>
      <c r="G4159" s="2">
        <f>IF(ISNUMBER(SEARCH(Лист2!$B$4,F:F)),1,0)</f>
        <v>0</v>
      </c>
      <c r="H4159" s="3">
        <f ca="1">IF(AND(I4159&lt;&gt;I4158,ISNUMBER(SEARCH(Лист2!$B$5,I:I)),G4159=1),MAX($H$3:OFFSET(H4159,-1,0))+1,0)</f>
        <v>0</v>
      </c>
      <c r="I4159" s="3" t="s">
        <v>145</v>
      </c>
      <c r="K4159" s="2">
        <f>IF(ISNUMBER(SEARCH(Лист2!$B$4,F:F)),1,0)</f>
        <v>0</v>
      </c>
      <c r="L4159" s="14">
        <f>IF(ISNUMBER(SEARCH(Лист2!$B$5,I:I)),1,0)+K4159</f>
        <v>0</v>
      </c>
      <c r="M4159" s="3">
        <f ca="1">IF(AND(N4159&lt;&gt;N4158,ISNUMBER(SEARCH(Лист2!$B$6,N:N)),L4159=2),MAX($M$3:OFFSET(M4159,-1,0))+1,0)</f>
        <v>0</v>
      </c>
      <c r="N4159" s="3" t="s">
        <v>2598</v>
      </c>
    </row>
    <row r="4160" spans="1:14" x14ac:dyDescent="0.25">
      <c r="A4160" s="1" t="s">
        <v>12944</v>
      </c>
      <c r="B4160" s="3" t="s">
        <v>7784</v>
      </c>
      <c r="C4160" s="2">
        <f ca="1">IF(ISNUMBER(SEARCH(Лист2!$B$4,D:D)),MAX($C$3:OFFSET(C4160,-1,0))+1,0)</f>
        <v>0</v>
      </c>
      <c r="E4160" s="9" t="str">
        <f t="shared" ca="1" si="76"/>
        <v/>
      </c>
      <c r="F4160" s="4" t="s">
        <v>22</v>
      </c>
      <c r="G4160" s="2">
        <f>IF(ISNUMBER(SEARCH(Лист2!$B$4,F:F)),1,0)</f>
        <v>0</v>
      </c>
      <c r="H4160" s="3">
        <f ca="1">IF(AND(I4160&lt;&gt;I4159,ISNUMBER(SEARCH(Лист2!$B$5,I:I)),G4160=1),MAX($H$3:OFFSET(H4160,-1,0))+1,0)</f>
        <v>0</v>
      </c>
      <c r="I4160" s="3" t="s">
        <v>145</v>
      </c>
      <c r="K4160" s="2">
        <f>IF(ISNUMBER(SEARCH(Лист2!$B$4,F:F)),1,0)</f>
        <v>0</v>
      </c>
      <c r="L4160" s="14">
        <f>IF(ISNUMBER(SEARCH(Лист2!$B$5,I:I)),1,0)+K4160</f>
        <v>0</v>
      </c>
      <c r="M4160" s="3">
        <f ca="1">IF(AND(N4160&lt;&gt;N4159,ISNUMBER(SEARCH(Лист2!$B$6,N:N)),L4160=2),MAX($M$3:OFFSET(M4160,-1,0))+1,0)</f>
        <v>0</v>
      </c>
      <c r="N4160" s="3" t="s">
        <v>2599</v>
      </c>
    </row>
    <row r="4161" spans="1:14" x14ac:dyDescent="0.25">
      <c r="A4161" s="1" t="s">
        <v>12945</v>
      </c>
      <c r="B4161" s="3" t="s">
        <v>7785</v>
      </c>
      <c r="C4161" s="2">
        <f ca="1">IF(ISNUMBER(SEARCH(Лист2!$B$4,D:D)),MAX($C$3:OFFSET(C4161,-1,0))+1,0)</f>
        <v>0</v>
      </c>
      <c r="E4161" s="9" t="str">
        <f t="shared" ca="1" si="76"/>
        <v/>
      </c>
      <c r="F4161" s="4" t="s">
        <v>22</v>
      </c>
      <c r="G4161" s="2">
        <f>IF(ISNUMBER(SEARCH(Лист2!$B$4,F:F)),1,0)</f>
        <v>0</v>
      </c>
      <c r="H4161" s="3">
        <f ca="1">IF(AND(I4161&lt;&gt;I4160,ISNUMBER(SEARCH(Лист2!$B$5,I:I)),G4161=1),MAX($H$3:OFFSET(H4161,-1,0))+1,0)</f>
        <v>0</v>
      </c>
      <c r="I4161" s="3" t="s">
        <v>145</v>
      </c>
      <c r="K4161" s="2">
        <f>IF(ISNUMBER(SEARCH(Лист2!$B$4,F:F)),1,0)</f>
        <v>0</v>
      </c>
      <c r="L4161" s="14">
        <f>IF(ISNUMBER(SEARCH(Лист2!$B$5,I:I)),1,0)+K4161</f>
        <v>0</v>
      </c>
      <c r="M4161" s="3">
        <f ca="1">IF(AND(N4161&lt;&gt;N4160,ISNUMBER(SEARCH(Лист2!$B$6,N:N)),L4161=2),MAX($M$3:OFFSET(M4161,-1,0))+1,0)</f>
        <v>0</v>
      </c>
      <c r="N4161" s="3" t="s">
        <v>2600</v>
      </c>
    </row>
    <row r="4162" spans="1:14" x14ac:dyDescent="0.25">
      <c r="A4162" s="1" t="s">
        <v>12946</v>
      </c>
      <c r="B4162" s="3" t="s">
        <v>7786</v>
      </c>
      <c r="C4162" s="2">
        <f ca="1">IF(ISNUMBER(SEARCH(Лист2!$B$4,D:D)),MAX($C$3:OFFSET(C4162,-1,0))+1,0)</f>
        <v>0</v>
      </c>
      <c r="E4162" s="9" t="str">
        <f t="shared" ca="1" si="76"/>
        <v/>
      </c>
      <c r="F4162" s="4" t="s">
        <v>22</v>
      </c>
      <c r="G4162" s="2">
        <f>IF(ISNUMBER(SEARCH(Лист2!$B$4,F:F)),1,0)</f>
        <v>0</v>
      </c>
      <c r="H4162" s="3">
        <f ca="1">IF(AND(I4162&lt;&gt;I4161,ISNUMBER(SEARCH(Лист2!$B$5,I:I)),G4162=1),MAX($H$3:OFFSET(H4162,-1,0))+1,0)</f>
        <v>0</v>
      </c>
      <c r="I4162" s="3" t="s">
        <v>145</v>
      </c>
      <c r="K4162" s="2">
        <f>IF(ISNUMBER(SEARCH(Лист2!$B$4,F:F)),1,0)</f>
        <v>0</v>
      </c>
      <c r="L4162" s="14">
        <f>IF(ISNUMBER(SEARCH(Лист2!$B$5,I:I)),1,0)+K4162</f>
        <v>0</v>
      </c>
      <c r="M4162" s="3">
        <f ca="1">IF(AND(N4162&lt;&gt;N4161,ISNUMBER(SEARCH(Лист2!$B$6,N:N)),L4162=2),MAX($M$3:OFFSET(M4162,-1,0))+1,0)</f>
        <v>0</v>
      </c>
      <c r="N4162" s="3" t="s">
        <v>602</v>
      </c>
    </row>
    <row r="4163" spans="1:14" x14ac:dyDescent="0.25">
      <c r="A4163" s="1" t="s">
        <v>12941</v>
      </c>
      <c r="B4163" s="3" t="s">
        <v>7787</v>
      </c>
      <c r="C4163" s="2">
        <f ca="1">IF(ISNUMBER(SEARCH(Лист2!$B$4,D:D)),MAX($C$3:OFFSET(C4163,-1,0))+1,0)</f>
        <v>0</v>
      </c>
      <c r="E4163" s="9" t="str">
        <f t="shared" ca="1" si="76"/>
        <v/>
      </c>
      <c r="F4163" s="4" t="s">
        <v>22</v>
      </c>
      <c r="G4163" s="2">
        <f>IF(ISNUMBER(SEARCH(Лист2!$B$4,F:F)),1,0)</f>
        <v>0</v>
      </c>
      <c r="H4163" s="3">
        <f ca="1">IF(AND(I4163&lt;&gt;I4162,ISNUMBER(SEARCH(Лист2!$B$5,I:I)),G4163=1),MAX($H$3:OFFSET(H4163,-1,0))+1,0)</f>
        <v>0</v>
      </c>
      <c r="I4163" s="3" t="s">
        <v>145</v>
      </c>
      <c r="K4163" s="2">
        <f>IF(ISNUMBER(SEARCH(Лист2!$B$4,F:F)),1,0)</f>
        <v>0</v>
      </c>
      <c r="L4163" s="14">
        <f>IF(ISNUMBER(SEARCH(Лист2!$B$5,I:I)),1,0)+K4163</f>
        <v>0</v>
      </c>
      <c r="M4163" s="3">
        <f ca="1">IF(AND(N4163&lt;&gt;N4162,ISNUMBER(SEARCH(Лист2!$B$6,N:N)),L4163=2),MAX($M$3:OFFSET(M4163,-1,0))+1,0)</f>
        <v>0</v>
      </c>
      <c r="N4163" s="3" t="s">
        <v>677</v>
      </c>
    </row>
    <row r="4164" spans="1:14" x14ac:dyDescent="0.25">
      <c r="A4164" s="1" t="s">
        <v>12947</v>
      </c>
      <c r="B4164" s="3" t="s">
        <v>7788</v>
      </c>
      <c r="C4164" s="2">
        <f ca="1">IF(ISNUMBER(SEARCH(Лист2!$B$4,D:D)),MAX($C$3:OFFSET(C4164,-1,0))+1,0)</f>
        <v>0</v>
      </c>
      <c r="E4164" s="9" t="str">
        <f t="shared" ca="1" si="76"/>
        <v/>
      </c>
      <c r="F4164" s="4" t="s">
        <v>22</v>
      </c>
      <c r="G4164" s="2">
        <f>IF(ISNUMBER(SEARCH(Лист2!$B$4,F:F)),1,0)</f>
        <v>0</v>
      </c>
      <c r="H4164" s="3">
        <f ca="1">IF(AND(I4164&lt;&gt;I4163,ISNUMBER(SEARCH(Лист2!$B$5,I:I)),G4164=1),MAX($H$3:OFFSET(H4164,-1,0))+1,0)</f>
        <v>0</v>
      </c>
      <c r="I4164" s="3" t="s">
        <v>145</v>
      </c>
      <c r="K4164" s="2">
        <f>IF(ISNUMBER(SEARCH(Лист2!$B$4,F:F)),1,0)</f>
        <v>0</v>
      </c>
      <c r="L4164" s="14">
        <f>IF(ISNUMBER(SEARCH(Лист2!$B$5,I:I)),1,0)+K4164</f>
        <v>0</v>
      </c>
      <c r="M4164" s="3">
        <f ca="1">IF(AND(N4164&lt;&gt;N4163,ISNUMBER(SEARCH(Лист2!$B$6,N:N)),L4164=2),MAX($M$3:OFFSET(M4164,-1,0))+1,0)</f>
        <v>0</v>
      </c>
      <c r="N4164" s="3" t="s">
        <v>2601</v>
      </c>
    </row>
    <row r="4165" spans="1:14" x14ac:dyDescent="0.25">
      <c r="A4165" s="1" t="s">
        <v>12948</v>
      </c>
      <c r="B4165" s="3" t="s">
        <v>7789</v>
      </c>
      <c r="C4165" s="2">
        <f ca="1">IF(ISNUMBER(SEARCH(Лист2!$B$4,D:D)),MAX($C$3:OFFSET(C4165,-1,0))+1,0)</f>
        <v>0</v>
      </c>
      <c r="E4165" s="9" t="str">
        <f t="shared" ref="E4165:E4228" ca="1" si="77">IFERROR(INDEX(D:D,MATCH(ROW(E4165)-ROW($E$3),C:C,0)),"")</f>
        <v/>
      </c>
      <c r="F4165" s="4" t="s">
        <v>22</v>
      </c>
      <c r="G4165" s="2">
        <f>IF(ISNUMBER(SEARCH(Лист2!$B$4,F:F)),1,0)</f>
        <v>0</v>
      </c>
      <c r="H4165" s="3">
        <f ca="1">IF(AND(I4165&lt;&gt;I4164,ISNUMBER(SEARCH(Лист2!$B$5,I:I)),G4165=1),MAX($H$3:OFFSET(H4165,-1,0))+1,0)</f>
        <v>0</v>
      </c>
      <c r="I4165" s="3" t="s">
        <v>145</v>
      </c>
      <c r="K4165" s="2">
        <f>IF(ISNUMBER(SEARCH(Лист2!$B$4,F:F)),1,0)</f>
        <v>0</v>
      </c>
      <c r="L4165" s="14">
        <f>IF(ISNUMBER(SEARCH(Лист2!$B$5,I:I)),1,0)+K4165</f>
        <v>0</v>
      </c>
      <c r="M4165" s="3">
        <f ca="1">IF(AND(N4165&lt;&gt;N4164,ISNUMBER(SEARCH(Лист2!$B$6,N:N)),L4165=2),MAX($M$3:OFFSET(M4165,-1,0))+1,0)</f>
        <v>0</v>
      </c>
      <c r="N4165" s="3" t="s">
        <v>2602</v>
      </c>
    </row>
    <row r="4166" spans="1:14" x14ac:dyDescent="0.25">
      <c r="A4166" s="1" t="s">
        <v>12949</v>
      </c>
      <c r="B4166" s="3" t="s">
        <v>7790</v>
      </c>
      <c r="C4166" s="2">
        <f ca="1">IF(ISNUMBER(SEARCH(Лист2!$B$4,D:D)),MAX($C$3:OFFSET(C4166,-1,0))+1,0)</f>
        <v>0</v>
      </c>
      <c r="E4166" s="9" t="str">
        <f t="shared" ca="1" si="77"/>
        <v/>
      </c>
      <c r="F4166" s="4" t="s">
        <v>22</v>
      </c>
      <c r="G4166" s="2">
        <f>IF(ISNUMBER(SEARCH(Лист2!$B$4,F:F)),1,0)</f>
        <v>0</v>
      </c>
      <c r="H4166" s="3">
        <f ca="1">IF(AND(I4166&lt;&gt;I4165,ISNUMBER(SEARCH(Лист2!$B$5,I:I)),G4166=1),MAX($H$3:OFFSET(H4166,-1,0))+1,0)</f>
        <v>0</v>
      </c>
      <c r="I4166" s="3" t="s">
        <v>145</v>
      </c>
      <c r="K4166" s="2">
        <f>IF(ISNUMBER(SEARCH(Лист2!$B$4,F:F)),1,0)</f>
        <v>0</v>
      </c>
      <c r="L4166" s="14">
        <f>IF(ISNUMBER(SEARCH(Лист2!$B$5,I:I)),1,0)+K4166</f>
        <v>0</v>
      </c>
      <c r="M4166" s="3">
        <f ca="1">IF(AND(N4166&lt;&gt;N4165,ISNUMBER(SEARCH(Лист2!$B$6,N:N)),L4166=2),MAX($M$3:OFFSET(M4166,-1,0))+1,0)</f>
        <v>0</v>
      </c>
      <c r="N4166" s="3" t="s">
        <v>2603</v>
      </c>
    </row>
    <row r="4167" spans="1:14" x14ac:dyDescent="0.25">
      <c r="A4167" s="1" t="s">
        <v>12950</v>
      </c>
      <c r="B4167" s="3" t="s">
        <v>7791</v>
      </c>
      <c r="C4167" s="2">
        <f ca="1">IF(ISNUMBER(SEARCH(Лист2!$B$4,D:D)),MAX($C$3:OFFSET(C4167,-1,0))+1,0)</f>
        <v>0</v>
      </c>
      <c r="E4167" s="9" t="str">
        <f t="shared" ca="1" si="77"/>
        <v/>
      </c>
      <c r="F4167" s="4" t="s">
        <v>22</v>
      </c>
      <c r="G4167" s="2">
        <f>IF(ISNUMBER(SEARCH(Лист2!$B$4,F:F)),1,0)</f>
        <v>0</v>
      </c>
      <c r="H4167" s="3">
        <f ca="1">IF(AND(I4167&lt;&gt;I4166,ISNUMBER(SEARCH(Лист2!$B$5,I:I)),G4167=1),MAX($H$3:OFFSET(H4167,-1,0))+1,0)</f>
        <v>0</v>
      </c>
      <c r="I4167" s="3" t="s">
        <v>342</v>
      </c>
      <c r="K4167" s="2">
        <f>IF(ISNUMBER(SEARCH(Лист2!$B$4,F:F)),1,0)</f>
        <v>0</v>
      </c>
      <c r="L4167" s="14">
        <f>IF(ISNUMBER(SEARCH(Лист2!$B$5,I:I)),1,0)+K4167</f>
        <v>0</v>
      </c>
      <c r="M4167" s="3">
        <f ca="1">IF(AND(N4167&lt;&gt;N4166,ISNUMBER(SEARCH(Лист2!$B$6,N:N)),L4167=2),MAX($M$3:OFFSET(M4167,-1,0))+1,0)</f>
        <v>0</v>
      </c>
      <c r="N4167" s="3" t="s">
        <v>2604</v>
      </c>
    </row>
    <row r="4168" spans="1:14" x14ac:dyDescent="0.25">
      <c r="A4168" s="1" t="s">
        <v>12951</v>
      </c>
      <c r="B4168" s="3" t="s">
        <v>7792</v>
      </c>
      <c r="C4168" s="2">
        <f ca="1">IF(ISNUMBER(SEARCH(Лист2!$B$4,D:D)),MAX($C$3:OFFSET(C4168,-1,0))+1,0)</f>
        <v>0</v>
      </c>
      <c r="E4168" s="9" t="str">
        <f t="shared" ca="1" si="77"/>
        <v/>
      </c>
      <c r="F4168" s="4" t="s">
        <v>22</v>
      </c>
      <c r="G4168" s="2">
        <f>IF(ISNUMBER(SEARCH(Лист2!$B$4,F:F)),1,0)</f>
        <v>0</v>
      </c>
      <c r="H4168" s="3">
        <f ca="1">IF(AND(I4168&lt;&gt;I4167,ISNUMBER(SEARCH(Лист2!$B$5,I:I)),G4168=1),MAX($H$3:OFFSET(H4168,-1,0))+1,0)</f>
        <v>0</v>
      </c>
      <c r="I4168" s="3" t="s">
        <v>342</v>
      </c>
      <c r="K4168" s="2">
        <f>IF(ISNUMBER(SEARCH(Лист2!$B$4,F:F)),1,0)</f>
        <v>0</v>
      </c>
      <c r="L4168" s="14">
        <f>IF(ISNUMBER(SEARCH(Лист2!$B$5,I:I)),1,0)+K4168</f>
        <v>0</v>
      </c>
      <c r="M4168" s="3">
        <f ca="1">IF(AND(N4168&lt;&gt;N4167,ISNUMBER(SEARCH(Лист2!$B$6,N:N)),L4168=2),MAX($M$3:OFFSET(M4168,-1,0))+1,0)</f>
        <v>0</v>
      </c>
      <c r="N4168" s="3" t="s">
        <v>2605</v>
      </c>
    </row>
    <row r="4169" spans="1:14" x14ac:dyDescent="0.25">
      <c r="A4169" s="1" t="s">
        <v>12952</v>
      </c>
      <c r="B4169" s="3" t="s">
        <v>7793</v>
      </c>
      <c r="C4169" s="2">
        <f ca="1">IF(ISNUMBER(SEARCH(Лист2!$B$4,D:D)),MAX($C$3:OFFSET(C4169,-1,0))+1,0)</f>
        <v>0</v>
      </c>
      <c r="E4169" s="9" t="str">
        <f t="shared" ca="1" si="77"/>
        <v/>
      </c>
      <c r="F4169" s="4" t="s">
        <v>22</v>
      </c>
      <c r="G4169" s="2">
        <f>IF(ISNUMBER(SEARCH(Лист2!$B$4,F:F)),1,0)</f>
        <v>0</v>
      </c>
      <c r="H4169" s="3">
        <f ca="1">IF(AND(I4169&lt;&gt;I4168,ISNUMBER(SEARCH(Лист2!$B$5,I:I)),G4169=1),MAX($H$3:OFFSET(H4169,-1,0))+1,0)</f>
        <v>0</v>
      </c>
      <c r="I4169" s="3" t="s">
        <v>342</v>
      </c>
      <c r="K4169" s="2">
        <f>IF(ISNUMBER(SEARCH(Лист2!$B$4,F:F)),1,0)</f>
        <v>0</v>
      </c>
      <c r="L4169" s="14">
        <f>IF(ISNUMBER(SEARCH(Лист2!$B$5,I:I)),1,0)+K4169</f>
        <v>0</v>
      </c>
      <c r="M4169" s="3">
        <f ca="1">IF(AND(N4169&lt;&gt;N4168,ISNUMBER(SEARCH(Лист2!$B$6,N:N)),L4169=2),MAX($M$3:OFFSET(M4169,-1,0))+1,0)</f>
        <v>0</v>
      </c>
      <c r="N4169" s="3" t="s">
        <v>2606</v>
      </c>
    </row>
    <row r="4170" spans="1:14" x14ac:dyDescent="0.25">
      <c r="A4170" s="1" t="s">
        <v>12951</v>
      </c>
      <c r="B4170" s="3" t="s">
        <v>7794</v>
      </c>
      <c r="C4170" s="2">
        <f ca="1">IF(ISNUMBER(SEARCH(Лист2!$B$4,D:D)),MAX($C$3:OFFSET(C4170,-1,0))+1,0)</f>
        <v>0</v>
      </c>
      <c r="E4170" s="9" t="str">
        <f t="shared" ca="1" si="77"/>
        <v/>
      </c>
      <c r="F4170" s="4" t="s">
        <v>22</v>
      </c>
      <c r="G4170" s="2">
        <f>IF(ISNUMBER(SEARCH(Лист2!$B$4,F:F)),1,0)</f>
        <v>0</v>
      </c>
      <c r="H4170" s="3">
        <f ca="1">IF(AND(I4170&lt;&gt;I4169,ISNUMBER(SEARCH(Лист2!$B$5,I:I)),G4170=1),MAX($H$3:OFFSET(H4170,-1,0))+1,0)</f>
        <v>0</v>
      </c>
      <c r="I4170" s="3" t="s">
        <v>342</v>
      </c>
      <c r="K4170" s="2">
        <f>IF(ISNUMBER(SEARCH(Лист2!$B$4,F:F)),1,0)</f>
        <v>0</v>
      </c>
      <c r="L4170" s="14">
        <f>IF(ISNUMBER(SEARCH(Лист2!$B$5,I:I)),1,0)+K4170</f>
        <v>0</v>
      </c>
      <c r="M4170" s="3">
        <f ca="1">IF(AND(N4170&lt;&gt;N4169,ISNUMBER(SEARCH(Лист2!$B$6,N:N)),L4170=2),MAX($M$3:OFFSET(M4170,-1,0))+1,0)</f>
        <v>0</v>
      </c>
      <c r="N4170" s="3" t="s">
        <v>2605</v>
      </c>
    </row>
    <row r="4171" spans="1:14" x14ac:dyDescent="0.25">
      <c r="A4171" s="1" t="s">
        <v>12952</v>
      </c>
      <c r="B4171" s="3" t="s">
        <v>7795</v>
      </c>
      <c r="C4171" s="2">
        <f ca="1">IF(ISNUMBER(SEARCH(Лист2!$B$4,D:D)),MAX($C$3:OFFSET(C4171,-1,0))+1,0)</f>
        <v>0</v>
      </c>
      <c r="E4171" s="9" t="str">
        <f t="shared" ca="1" si="77"/>
        <v/>
      </c>
      <c r="F4171" s="4" t="s">
        <v>22</v>
      </c>
      <c r="G4171" s="2">
        <f>IF(ISNUMBER(SEARCH(Лист2!$B$4,F:F)),1,0)</f>
        <v>0</v>
      </c>
      <c r="H4171" s="3">
        <f ca="1">IF(AND(I4171&lt;&gt;I4170,ISNUMBER(SEARCH(Лист2!$B$5,I:I)),G4171=1),MAX($H$3:OFFSET(H4171,-1,0))+1,0)</f>
        <v>0</v>
      </c>
      <c r="I4171" s="3" t="s">
        <v>342</v>
      </c>
      <c r="K4171" s="2">
        <f>IF(ISNUMBER(SEARCH(Лист2!$B$4,F:F)),1,0)</f>
        <v>0</v>
      </c>
      <c r="L4171" s="14">
        <f>IF(ISNUMBER(SEARCH(Лист2!$B$5,I:I)),1,0)+K4171</f>
        <v>0</v>
      </c>
      <c r="M4171" s="3">
        <f ca="1">IF(AND(N4171&lt;&gt;N4170,ISNUMBER(SEARCH(Лист2!$B$6,N:N)),L4171=2),MAX($M$3:OFFSET(M4171,-1,0))+1,0)</f>
        <v>0</v>
      </c>
      <c r="N4171" s="3" t="s">
        <v>2606</v>
      </c>
    </row>
    <row r="4172" spans="1:14" x14ac:dyDescent="0.25">
      <c r="A4172" s="1" t="s">
        <v>12951</v>
      </c>
      <c r="B4172" s="3" t="s">
        <v>7796</v>
      </c>
      <c r="C4172" s="2">
        <f ca="1">IF(ISNUMBER(SEARCH(Лист2!$B$4,D:D)),MAX($C$3:OFFSET(C4172,-1,0))+1,0)</f>
        <v>0</v>
      </c>
      <c r="E4172" s="9" t="str">
        <f t="shared" ca="1" si="77"/>
        <v/>
      </c>
      <c r="F4172" s="4" t="s">
        <v>22</v>
      </c>
      <c r="G4172" s="2">
        <f>IF(ISNUMBER(SEARCH(Лист2!$B$4,F:F)),1,0)</f>
        <v>0</v>
      </c>
      <c r="H4172" s="3">
        <f ca="1">IF(AND(I4172&lt;&gt;I4171,ISNUMBER(SEARCH(Лист2!$B$5,I:I)),G4172=1),MAX($H$3:OFFSET(H4172,-1,0))+1,0)</f>
        <v>0</v>
      </c>
      <c r="I4172" s="3" t="s">
        <v>342</v>
      </c>
      <c r="K4172" s="2">
        <f>IF(ISNUMBER(SEARCH(Лист2!$B$4,F:F)),1,0)</f>
        <v>0</v>
      </c>
      <c r="L4172" s="14">
        <f>IF(ISNUMBER(SEARCH(Лист2!$B$5,I:I)),1,0)+K4172</f>
        <v>0</v>
      </c>
      <c r="M4172" s="3">
        <f ca="1">IF(AND(N4172&lt;&gt;N4171,ISNUMBER(SEARCH(Лист2!$B$6,N:N)),L4172=2),MAX($M$3:OFFSET(M4172,-1,0))+1,0)</f>
        <v>0</v>
      </c>
      <c r="N4172" s="3" t="s">
        <v>2605</v>
      </c>
    </row>
    <row r="4173" spans="1:14" x14ac:dyDescent="0.25">
      <c r="A4173" s="1" t="s">
        <v>12952</v>
      </c>
      <c r="B4173" s="3" t="s">
        <v>7797</v>
      </c>
      <c r="C4173" s="2">
        <f ca="1">IF(ISNUMBER(SEARCH(Лист2!$B$4,D:D)),MAX($C$3:OFFSET(C4173,-1,0))+1,0)</f>
        <v>0</v>
      </c>
      <c r="E4173" s="9" t="str">
        <f t="shared" ca="1" si="77"/>
        <v/>
      </c>
      <c r="F4173" s="4" t="s">
        <v>22</v>
      </c>
      <c r="G4173" s="2">
        <f>IF(ISNUMBER(SEARCH(Лист2!$B$4,F:F)),1,0)</f>
        <v>0</v>
      </c>
      <c r="H4173" s="3">
        <f ca="1">IF(AND(I4173&lt;&gt;I4172,ISNUMBER(SEARCH(Лист2!$B$5,I:I)),G4173=1),MAX($H$3:OFFSET(H4173,-1,0))+1,0)</f>
        <v>0</v>
      </c>
      <c r="I4173" s="3" t="s">
        <v>342</v>
      </c>
      <c r="K4173" s="2">
        <f>IF(ISNUMBER(SEARCH(Лист2!$B$4,F:F)),1,0)</f>
        <v>0</v>
      </c>
      <c r="L4173" s="14">
        <f>IF(ISNUMBER(SEARCH(Лист2!$B$5,I:I)),1,0)+K4173</f>
        <v>0</v>
      </c>
      <c r="M4173" s="3">
        <f ca="1">IF(AND(N4173&lt;&gt;N4172,ISNUMBER(SEARCH(Лист2!$B$6,N:N)),L4173=2),MAX($M$3:OFFSET(M4173,-1,0))+1,0)</f>
        <v>0</v>
      </c>
      <c r="N4173" s="3" t="s">
        <v>2606</v>
      </c>
    </row>
    <row r="4174" spans="1:14" x14ac:dyDescent="0.25">
      <c r="A4174" s="1" t="s">
        <v>12953</v>
      </c>
      <c r="B4174" s="3" t="s">
        <v>7798</v>
      </c>
      <c r="C4174" s="2">
        <f ca="1">IF(ISNUMBER(SEARCH(Лист2!$B$4,D:D)),MAX($C$3:OFFSET(C4174,-1,0))+1,0)</f>
        <v>0</v>
      </c>
      <c r="E4174" s="9" t="str">
        <f t="shared" ca="1" si="77"/>
        <v/>
      </c>
      <c r="F4174" s="4" t="s">
        <v>22</v>
      </c>
      <c r="G4174" s="2">
        <f>IF(ISNUMBER(SEARCH(Лист2!$B$4,F:F)),1,0)</f>
        <v>0</v>
      </c>
      <c r="H4174" s="3">
        <f ca="1">IF(AND(I4174&lt;&gt;I4173,ISNUMBER(SEARCH(Лист2!$B$5,I:I)),G4174=1),MAX($H$3:OFFSET(H4174,-1,0))+1,0)</f>
        <v>0</v>
      </c>
      <c r="I4174" s="3" t="s">
        <v>342</v>
      </c>
      <c r="K4174" s="2">
        <f>IF(ISNUMBER(SEARCH(Лист2!$B$4,F:F)),1,0)</f>
        <v>0</v>
      </c>
      <c r="L4174" s="14">
        <f>IF(ISNUMBER(SEARCH(Лист2!$B$5,I:I)),1,0)+K4174</f>
        <v>0</v>
      </c>
      <c r="M4174" s="3">
        <f ca="1">IF(AND(N4174&lt;&gt;N4173,ISNUMBER(SEARCH(Лист2!$B$6,N:N)),L4174=2),MAX($M$3:OFFSET(M4174,-1,0))+1,0)</f>
        <v>0</v>
      </c>
      <c r="N4174" s="3" t="s">
        <v>602</v>
      </c>
    </row>
    <row r="4175" spans="1:14" x14ac:dyDescent="0.25">
      <c r="A4175" s="1" t="s">
        <v>12954</v>
      </c>
      <c r="B4175" s="3" t="s">
        <v>7799</v>
      </c>
      <c r="C4175" s="2">
        <f ca="1">IF(ISNUMBER(SEARCH(Лист2!$B$4,D:D)),MAX($C$3:OFFSET(C4175,-1,0))+1,0)</f>
        <v>0</v>
      </c>
      <c r="E4175" s="9" t="str">
        <f t="shared" ca="1" si="77"/>
        <v/>
      </c>
      <c r="F4175" s="4" t="s">
        <v>22</v>
      </c>
      <c r="G4175" s="2">
        <f>IF(ISNUMBER(SEARCH(Лист2!$B$4,F:F)),1,0)</f>
        <v>0</v>
      </c>
      <c r="H4175" s="3">
        <f ca="1">IF(AND(I4175&lt;&gt;I4174,ISNUMBER(SEARCH(Лист2!$B$5,I:I)),G4175=1),MAX($H$3:OFFSET(H4175,-1,0))+1,0)</f>
        <v>0</v>
      </c>
      <c r="I4175" s="3" t="s">
        <v>342</v>
      </c>
      <c r="K4175" s="2">
        <f>IF(ISNUMBER(SEARCH(Лист2!$B$4,F:F)),1,0)</f>
        <v>0</v>
      </c>
      <c r="L4175" s="14">
        <f>IF(ISNUMBER(SEARCH(Лист2!$B$5,I:I)),1,0)+K4175</f>
        <v>0</v>
      </c>
      <c r="M4175" s="3">
        <f ca="1">IF(AND(N4175&lt;&gt;N4174,ISNUMBER(SEARCH(Лист2!$B$6,N:N)),L4175=2),MAX($M$3:OFFSET(M4175,-1,0))+1,0)</f>
        <v>0</v>
      </c>
      <c r="N4175" s="3" t="s">
        <v>2607</v>
      </c>
    </row>
    <row r="4176" spans="1:14" x14ac:dyDescent="0.25">
      <c r="A4176" s="1" t="s">
        <v>12955</v>
      </c>
      <c r="B4176" s="3" t="s">
        <v>7800</v>
      </c>
      <c r="C4176" s="2">
        <f ca="1">IF(ISNUMBER(SEARCH(Лист2!$B$4,D:D)),MAX($C$3:OFFSET(C4176,-1,0))+1,0)</f>
        <v>0</v>
      </c>
      <c r="E4176" s="9" t="str">
        <f t="shared" ca="1" si="77"/>
        <v/>
      </c>
      <c r="F4176" s="4" t="s">
        <v>22</v>
      </c>
      <c r="G4176" s="2">
        <f>IF(ISNUMBER(SEARCH(Лист2!$B$4,F:F)),1,0)</f>
        <v>0</v>
      </c>
      <c r="H4176" s="3">
        <f ca="1">IF(AND(I4176&lt;&gt;I4175,ISNUMBER(SEARCH(Лист2!$B$5,I:I)),G4176=1),MAX($H$3:OFFSET(H4176,-1,0))+1,0)</f>
        <v>0</v>
      </c>
      <c r="I4176" s="3" t="s">
        <v>342</v>
      </c>
      <c r="K4176" s="2">
        <f>IF(ISNUMBER(SEARCH(Лист2!$B$4,F:F)),1,0)</f>
        <v>0</v>
      </c>
      <c r="L4176" s="14">
        <f>IF(ISNUMBER(SEARCH(Лист2!$B$5,I:I)),1,0)+K4176</f>
        <v>0</v>
      </c>
      <c r="M4176" s="3">
        <f ca="1">IF(AND(N4176&lt;&gt;N4175,ISNUMBER(SEARCH(Лист2!$B$6,N:N)),L4176=2),MAX($M$3:OFFSET(M4176,-1,0))+1,0)</f>
        <v>0</v>
      </c>
      <c r="N4176" s="3" t="s">
        <v>2608</v>
      </c>
    </row>
    <row r="4177" spans="1:14" x14ac:dyDescent="0.25">
      <c r="A4177" s="1" t="s">
        <v>12956</v>
      </c>
      <c r="B4177" s="3" t="s">
        <v>7801</v>
      </c>
      <c r="C4177" s="2">
        <f ca="1">IF(ISNUMBER(SEARCH(Лист2!$B$4,D:D)),MAX($C$3:OFFSET(C4177,-1,0))+1,0)</f>
        <v>0</v>
      </c>
      <c r="E4177" s="9" t="str">
        <f t="shared" ca="1" si="77"/>
        <v/>
      </c>
      <c r="F4177" s="4" t="s">
        <v>22</v>
      </c>
      <c r="G4177" s="2">
        <f>IF(ISNUMBER(SEARCH(Лист2!$B$4,F:F)),1,0)</f>
        <v>0</v>
      </c>
      <c r="H4177" s="3">
        <f ca="1">IF(AND(I4177&lt;&gt;I4176,ISNUMBER(SEARCH(Лист2!$B$5,I:I)),G4177=1),MAX($H$3:OFFSET(H4177,-1,0))+1,0)</f>
        <v>0</v>
      </c>
      <c r="I4177" s="3" t="s">
        <v>342</v>
      </c>
      <c r="K4177" s="2">
        <f>IF(ISNUMBER(SEARCH(Лист2!$B$4,F:F)),1,0)</f>
        <v>0</v>
      </c>
      <c r="L4177" s="14">
        <f>IF(ISNUMBER(SEARCH(Лист2!$B$5,I:I)),1,0)+K4177</f>
        <v>0</v>
      </c>
      <c r="M4177" s="3">
        <f ca="1">IF(AND(N4177&lt;&gt;N4176,ISNUMBER(SEARCH(Лист2!$B$6,N:N)),L4177=2),MAX($M$3:OFFSET(M4177,-1,0))+1,0)</f>
        <v>0</v>
      </c>
      <c r="N4177" s="3" t="s">
        <v>2609</v>
      </c>
    </row>
    <row r="4178" spans="1:14" x14ac:dyDescent="0.25">
      <c r="A4178" s="1" t="s">
        <v>12957</v>
      </c>
      <c r="B4178" s="3" t="s">
        <v>7802</v>
      </c>
      <c r="C4178" s="2">
        <f ca="1">IF(ISNUMBER(SEARCH(Лист2!$B$4,D:D)),MAX($C$3:OFFSET(C4178,-1,0))+1,0)</f>
        <v>0</v>
      </c>
      <c r="E4178" s="9" t="str">
        <f t="shared" ca="1" si="77"/>
        <v/>
      </c>
      <c r="F4178" s="4" t="s">
        <v>22</v>
      </c>
      <c r="G4178" s="2">
        <f>IF(ISNUMBER(SEARCH(Лист2!$B$4,F:F)),1,0)</f>
        <v>0</v>
      </c>
      <c r="H4178" s="3">
        <f ca="1">IF(AND(I4178&lt;&gt;I4177,ISNUMBER(SEARCH(Лист2!$B$5,I:I)),G4178=1),MAX($H$3:OFFSET(H4178,-1,0))+1,0)</f>
        <v>0</v>
      </c>
      <c r="I4178" s="3" t="s">
        <v>343</v>
      </c>
      <c r="K4178" s="2">
        <f>IF(ISNUMBER(SEARCH(Лист2!$B$4,F:F)),1,0)</f>
        <v>0</v>
      </c>
      <c r="L4178" s="14">
        <f>IF(ISNUMBER(SEARCH(Лист2!$B$5,I:I)),1,0)+K4178</f>
        <v>0</v>
      </c>
      <c r="M4178" s="3">
        <f ca="1">IF(AND(N4178&lt;&gt;N4177,ISNUMBER(SEARCH(Лист2!$B$6,N:N)),L4178=2),MAX($M$3:OFFSET(M4178,-1,0))+1,0)</f>
        <v>0</v>
      </c>
      <c r="N4178" s="3" t="s">
        <v>2610</v>
      </c>
    </row>
    <row r="4179" spans="1:14" x14ac:dyDescent="0.25">
      <c r="A4179" s="1" t="s">
        <v>12958</v>
      </c>
      <c r="B4179" s="3" t="s">
        <v>7803</v>
      </c>
      <c r="C4179" s="2">
        <f ca="1">IF(ISNUMBER(SEARCH(Лист2!$B$4,D:D)),MAX($C$3:OFFSET(C4179,-1,0))+1,0)</f>
        <v>0</v>
      </c>
      <c r="E4179" s="9" t="str">
        <f t="shared" ca="1" si="77"/>
        <v/>
      </c>
      <c r="F4179" s="4" t="s">
        <v>22</v>
      </c>
      <c r="G4179" s="2">
        <f>IF(ISNUMBER(SEARCH(Лист2!$B$4,F:F)),1,0)</f>
        <v>0</v>
      </c>
      <c r="H4179" s="3">
        <f ca="1">IF(AND(I4179&lt;&gt;I4178,ISNUMBER(SEARCH(Лист2!$B$5,I:I)),G4179=1),MAX($H$3:OFFSET(H4179,-1,0))+1,0)</f>
        <v>0</v>
      </c>
      <c r="I4179" s="3" t="s">
        <v>343</v>
      </c>
      <c r="K4179" s="2">
        <f>IF(ISNUMBER(SEARCH(Лист2!$B$4,F:F)),1,0)</f>
        <v>0</v>
      </c>
      <c r="L4179" s="14">
        <f>IF(ISNUMBER(SEARCH(Лист2!$B$5,I:I)),1,0)+K4179</f>
        <v>0</v>
      </c>
      <c r="M4179" s="3">
        <f ca="1">IF(AND(N4179&lt;&gt;N4178,ISNUMBER(SEARCH(Лист2!$B$6,N:N)),L4179=2),MAX($M$3:OFFSET(M4179,-1,0))+1,0)</f>
        <v>0</v>
      </c>
      <c r="N4179" s="3" t="s">
        <v>2611</v>
      </c>
    </row>
    <row r="4180" spans="1:14" x14ac:dyDescent="0.25">
      <c r="A4180" s="1" t="s">
        <v>12959</v>
      </c>
      <c r="B4180" s="3" t="s">
        <v>7804</v>
      </c>
      <c r="C4180" s="2">
        <f ca="1">IF(ISNUMBER(SEARCH(Лист2!$B$4,D:D)),MAX($C$3:OFFSET(C4180,-1,0))+1,0)</f>
        <v>0</v>
      </c>
      <c r="E4180" s="9" t="str">
        <f t="shared" ca="1" si="77"/>
        <v/>
      </c>
      <c r="F4180" s="4" t="s">
        <v>22</v>
      </c>
      <c r="G4180" s="2">
        <f>IF(ISNUMBER(SEARCH(Лист2!$B$4,F:F)),1,0)</f>
        <v>0</v>
      </c>
      <c r="H4180" s="3">
        <f ca="1">IF(AND(I4180&lt;&gt;I4179,ISNUMBER(SEARCH(Лист2!$B$5,I:I)),G4180=1),MAX($H$3:OFFSET(H4180,-1,0))+1,0)</f>
        <v>0</v>
      </c>
      <c r="I4180" s="3" t="s">
        <v>343</v>
      </c>
      <c r="K4180" s="2">
        <f>IF(ISNUMBER(SEARCH(Лист2!$B$4,F:F)),1,0)</f>
        <v>0</v>
      </c>
      <c r="L4180" s="14">
        <f>IF(ISNUMBER(SEARCH(Лист2!$B$5,I:I)),1,0)+K4180</f>
        <v>0</v>
      </c>
      <c r="M4180" s="3">
        <f ca="1">IF(AND(N4180&lt;&gt;N4179,ISNUMBER(SEARCH(Лист2!$B$6,N:N)),L4180=2),MAX($M$3:OFFSET(M4180,-1,0))+1,0)</f>
        <v>0</v>
      </c>
      <c r="N4180" s="3" t="s">
        <v>2612</v>
      </c>
    </row>
    <row r="4181" spans="1:14" x14ac:dyDescent="0.25">
      <c r="A4181" s="1" t="s">
        <v>12958</v>
      </c>
      <c r="B4181" s="3" t="s">
        <v>7805</v>
      </c>
      <c r="C4181" s="2">
        <f ca="1">IF(ISNUMBER(SEARCH(Лист2!$B$4,D:D)),MAX($C$3:OFFSET(C4181,-1,0))+1,0)</f>
        <v>0</v>
      </c>
      <c r="E4181" s="9" t="str">
        <f t="shared" ca="1" si="77"/>
        <v/>
      </c>
      <c r="F4181" s="4" t="s">
        <v>22</v>
      </c>
      <c r="G4181" s="2">
        <f>IF(ISNUMBER(SEARCH(Лист2!$B$4,F:F)),1,0)</f>
        <v>0</v>
      </c>
      <c r="H4181" s="3">
        <f ca="1">IF(AND(I4181&lt;&gt;I4180,ISNUMBER(SEARCH(Лист2!$B$5,I:I)),G4181=1),MAX($H$3:OFFSET(H4181,-1,0))+1,0)</f>
        <v>0</v>
      </c>
      <c r="I4181" s="3" t="s">
        <v>343</v>
      </c>
      <c r="K4181" s="2">
        <f>IF(ISNUMBER(SEARCH(Лист2!$B$4,F:F)),1,0)</f>
        <v>0</v>
      </c>
      <c r="L4181" s="14">
        <f>IF(ISNUMBER(SEARCH(Лист2!$B$5,I:I)),1,0)+K4181</f>
        <v>0</v>
      </c>
      <c r="M4181" s="3">
        <f ca="1">IF(AND(N4181&lt;&gt;N4180,ISNUMBER(SEARCH(Лист2!$B$6,N:N)),L4181=2),MAX($M$3:OFFSET(M4181,-1,0))+1,0)</f>
        <v>0</v>
      </c>
      <c r="N4181" s="3" t="s">
        <v>2611</v>
      </c>
    </row>
    <row r="4182" spans="1:14" x14ac:dyDescent="0.25">
      <c r="A4182" s="1" t="s">
        <v>12959</v>
      </c>
      <c r="B4182" s="3" t="s">
        <v>7806</v>
      </c>
      <c r="C4182" s="2">
        <f ca="1">IF(ISNUMBER(SEARCH(Лист2!$B$4,D:D)),MAX($C$3:OFFSET(C4182,-1,0))+1,0)</f>
        <v>0</v>
      </c>
      <c r="E4182" s="9" t="str">
        <f t="shared" ca="1" si="77"/>
        <v/>
      </c>
      <c r="F4182" s="4" t="s">
        <v>22</v>
      </c>
      <c r="G4182" s="2">
        <f>IF(ISNUMBER(SEARCH(Лист2!$B$4,F:F)),1,0)</f>
        <v>0</v>
      </c>
      <c r="H4182" s="3">
        <f ca="1">IF(AND(I4182&lt;&gt;I4181,ISNUMBER(SEARCH(Лист2!$B$5,I:I)),G4182=1),MAX($H$3:OFFSET(H4182,-1,0))+1,0)</f>
        <v>0</v>
      </c>
      <c r="I4182" s="3" t="s">
        <v>343</v>
      </c>
      <c r="K4182" s="2">
        <f>IF(ISNUMBER(SEARCH(Лист2!$B$4,F:F)),1,0)</f>
        <v>0</v>
      </c>
      <c r="L4182" s="14">
        <f>IF(ISNUMBER(SEARCH(Лист2!$B$5,I:I)),1,0)+K4182</f>
        <v>0</v>
      </c>
      <c r="M4182" s="3">
        <f ca="1">IF(AND(N4182&lt;&gt;N4181,ISNUMBER(SEARCH(Лист2!$B$6,N:N)),L4182=2),MAX($M$3:OFFSET(M4182,-1,0))+1,0)</f>
        <v>0</v>
      </c>
      <c r="N4182" s="3" t="s">
        <v>2612</v>
      </c>
    </row>
    <row r="4183" spans="1:14" x14ac:dyDescent="0.25">
      <c r="A4183" s="1" t="s">
        <v>12958</v>
      </c>
      <c r="B4183" s="3" t="s">
        <v>7807</v>
      </c>
      <c r="C4183" s="2">
        <f ca="1">IF(ISNUMBER(SEARCH(Лист2!$B$4,D:D)),MAX($C$3:OFFSET(C4183,-1,0))+1,0)</f>
        <v>0</v>
      </c>
      <c r="E4183" s="9" t="str">
        <f t="shared" ca="1" si="77"/>
        <v/>
      </c>
      <c r="F4183" s="4" t="s">
        <v>22</v>
      </c>
      <c r="G4183" s="2">
        <f>IF(ISNUMBER(SEARCH(Лист2!$B$4,F:F)),1,0)</f>
        <v>0</v>
      </c>
      <c r="H4183" s="3">
        <f ca="1">IF(AND(I4183&lt;&gt;I4182,ISNUMBER(SEARCH(Лист2!$B$5,I:I)),G4183=1),MAX($H$3:OFFSET(H4183,-1,0))+1,0)</f>
        <v>0</v>
      </c>
      <c r="I4183" s="3" t="s">
        <v>343</v>
      </c>
      <c r="K4183" s="2">
        <f>IF(ISNUMBER(SEARCH(Лист2!$B$4,F:F)),1,0)</f>
        <v>0</v>
      </c>
      <c r="L4183" s="14">
        <f>IF(ISNUMBER(SEARCH(Лист2!$B$5,I:I)),1,0)+K4183</f>
        <v>0</v>
      </c>
      <c r="M4183" s="3">
        <f ca="1">IF(AND(N4183&lt;&gt;N4182,ISNUMBER(SEARCH(Лист2!$B$6,N:N)),L4183=2),MAX($M$3:OFFSET(M4183,-1,0))+1,0)</f>
        <v>0</v>
      </c>
      <c r="N4183" s="3" t="s">
        <v>2611</v>
      </c>
    </row>
    <row r="4184" spans="1:14" x14ac:dyDescent="0.25">
      <c r="A4184" s="1" t="s">
        <v>12959</v>
      </c>
      <c r="B4184" s="3" t="s">
        <v>7808</v>
      </c>
      <c r="C4184" s="2">
        <f ca="1">IF(ISNUMBER(SEARCH(Лист2!$B$4,D:D)),MAX($C$3:OFFSET(C4184,-1,0))+1,0)</f>
        <v>0</v>
      </c>
      <c r="E4184" s="9" t="str">
        <f t="shared" ca="1" si="77"/>
        <v/>
      </c>
      <c r="F4184" s="4" t="s">
        <v>22</v>
      </c>
      <c r="G4184" s="2">
        <f>IF(ISNUMBER(SEARCH(Лист2!$B$4,F:F)),1,0)</f>
        <v>0</v>
      </c>
      <c r="H4184" s="3">
        <f ca="1">IF(AND(I4184&lt;&gt;I4183,ISNUMBER(SEARCH(Лист2!$B$5,I:I)),G4184=1),MAX($H$3:OFFSET(H4184,-1,0))+1,0)</f>
        <v>0</v>
      </c>
      <c r="I4184" s="3" t="s">
        <v>343</v>
      </c>
      <c r="K4184" s="2">
        <f>IF(ISNUMBER(SEARCH(Лист2!$B$4,F:F)),1,0)</f>
        <v>0</v>
      </c>
      <c r="L4184" s="14">
        <f>IF(ISNUMBER(SEARCH(Лист2!$B$5,I:I)),1,0)+K4184</f>
        <v>0</v>
      </c>
      <c r="M4184" s="3">
        <f ca="1">IF(AND(N4184&lt;&gt;N4183,ISNUMBER(SEARCH(Лист2!$B$6,N:N)),L4184=2),MAX($M$3:OFFSET(M4184,-1,0))+1,0)</f>
        <v>0</v>
      </c>
      <c r="N4184" s="3" t="s">
        <v>2612</v>
      </c>
    </row>
    <row r="4185" spans="1:14" x14ac:dyDescent="0.25">
      <c r="A4185" s="1" t="s">
        <v>12960</v>
      </c>
      <c r="B4185" s="3" t="s">
        <v>7809</v>
      </c>
      <c r="C4185" s="2">
        <f ca="1">IF(ISNUMBER(SEARCH(Лист2!$B$4,D:D)),MAX($C$3:OFFSET(C4185,-1,0))+1,0)</f>
        <v>0</v>
      </c>
      <c r="E4185" s="9" t="str">
        <f t="shared" ca="1" si="77"/>
        <v/>
      </c>
      <c r="F4185" s="4" t="s">
        <v>22</v>
      </c>
      <c r="G4185" s="2">
        <f>IF(ISNUMBER(SEARCH(Лист2!$B$4,F:F)),1,0)</f>
        <v>0</v>
      </c>
      <c r="H4185" s="3">
        <f ca="1">IF(AND(I4185&lt;&gt;I4184,ISNUMBER(SEARCH(Лист2!$B$5,I:I)),G4185=1),MAX($H$3:OFFSET(H4185,-1,0))+1,0)</f>
        <v>0</v>
      </c>
      <c r="I4185" s="3" t="s">
        <v>343</v>
      </c>
      <c r="K4185" s="2">
        <f>IF(ISNUMBER(SEARCH(Лист2!$B$4,F:F)),1,0)</f>
        <v>0</v>
      </c>
      <c r="L4185" s="14">
        <f>IF(ISNUMBER(SEARCH(Лист2!$B$5,I:I)),1,0)+K4185</f>
        <v>0</v>
      </c>
      <c r="M4185" s="3">
        <f ca="1">IF(AND(N4185&lt;&gt;N4184,ISNUMBER(SEARCH(Лист2!$B$6,N:N)),L4185=2),MAX($M$3:OFFSET(M4185,-1,0))+1,0)</f>
        <v>0</v>
      </c>
      <c r="N4185" s="3" t="s">
        <v>602</v>
      </c>
    </row>
    <row r="4186" spans="1:14" x14ac:dyDescent="0.25">
      <c r="A4186" s="1" t="s">
        <v>12961</v>
      </c>
      <c r="B4186" s="3" t="s">
        <v>7810</v>
      </c>
      <c r="C4186" s="2">
        <f ca="1">IF(ISNUMBER(SEARCH(Лист2!$B$4,D:D)),MAX($C$3:OFFSET(C4186,-1,0))+1,0)</f>
        <v>0</v>
      </c>
      <c r="E4186" s="9" t="str">
        <f t="shared" ca="1" si="77"/>
        <v/>
      </c>
      <c r="F4186" s="4" t="s">
        <v>22</v>
      </c>
      <c r="G4186" s="2">
        <f>IF(ISNUMBER(SEARCH(Лист2!$B$4,F:F)),1,0)</f>
        <v>0</v>
      </c>
      <c r="H4186" s="3">
        <f ca="1">IF(AND(I4186&lt;&gt;I4185,ISNUMBER(SEARCH(Лист2!$B$5,I:I)),G4186=1),MAX($H$3:OFFSET(H4186,-1,0))+1,0)</f>
        <v>0</v>
      </c>
      <c r="I4186" s="3" t="s">
        <v>343</v>
      </c>
      <c r="K4186" s="2">
        <f>IF(ISNUMBER(SEARCH(Лист2!$B$4,F:F)),1,0)</f>
        <v>0</v>
      </c>
      <c r="L4186" s="14">
        <f>IF(ISNUMBER(SEARCH(Лист2!$B$5,I:I)),1,0)+K4186</f>
        <v>0</v>
      </c>
      <c r="M4186" s="3">
        <f ca="1">IF(AND(N4186&lt;&gt;N4185,ISNUMBER(SEARCH(Лист2!$B$6,N:N)),L4186=2),MAX($M$3:OFFSET(M4186,-1,0))+1,0)</f>
        <v>0</v>
      </c>
      <c r="N4186" s="3" t="s">
        <v>2613</v>
      </c>
    </row>
    <row r="4187" spans="1:14" x14ac:dyDescent="0.25">
      <c r="A4187" s="1" t="s">
        <v>12962</v>
      </c>
      <c r="B4187" s="3" t="s">
        <v>7811</v>
      </c>
      <c r="C4187" s="2">
        <f ca="1">IF(ISNUMBER(SEARCH(Лист2!$B$4,D:D)),MAX($C$3:OFFSET(C4187,-1,0))+1,0)</f>
        <v>0</v>
      </c>
      <c r="E4187" s="9" t="str">
        <f t="shared" ca="1" si="77"/>
        <v/>
      </c>
      <c r="F4187" s="4" t="s">
        <v>22</v>
      </c>
      <c r="G4187" s="2">
        <f>IF(ISNUMBER(SEARCH(Лист2!$B$4,F:F)),1,0)</f>
        <v>0</v>
      </c>
      <c r="H4187" s="3">
        <f ca="1">IF(AND(I4187&lt;&gt;I4186,ISNUMBER(SEARCH(Лист2!$B$5,I:I)),G4187=1),MAX($H$3:OFFSET(H4187,-1,0))+1,0)</f>
        <v>0</v>
      </c>
      <c r="I4187" s="3" t="s">
        <v>343</v>
      </c>
      <c r="K4187" s="2">
        <f>IF(ISNUMBER(SEARCH(Лист2!$B$4,F:F)),1,0)</f>
        <v>0</v>
      </c>
      <c r="L4187" s="14">
        <f>IF(ISNUMBER(SEARCH(Лист2!$B$5,I:I)),1,0)+K4187</f>
        <v>0</v>
      </c>
      <c r="M4187" s="3">
        <f ca="1">IF(AND(N4187&lt;&gt;N4186,ISNUMBER(SEARCH(Лист2!$B$6,N:N)),L4187=2),MAX($M$3:OFFSET(M4187,-1,0))+1,0)</f>
        <v>0</v>
      </c>
      <c r="N4187" s="3" t="s">
        <v>2614</v>
      </c>
    </row>
    <row r="4188" spans="1:14" x14ac:dyDescent="0.25">
      <c r="A4188" s="1" t="s">
        <v>12963</v>
      </c>
      <c r="B4188" s="3" t="s">
        <v>7812</v>
      </c>
      <c r="C4188" s="2">
        <f ca="1">IF(ISNUMBER(SEARCH(Лист2!$B$4,D:D)),MAX($C$3:OFFSET(C4188,-1,0))+1,0)</f>
        <v>0</v>
      </c>
      <c r="E4188" s="9" t="str">
        <f t="shared" ca="1" si="77"/>
        <v/>
      </c>
      <c r="F4188" s="4" t="s">
        <v>22</v>
      </c>
      <c r="G4188" s="2">
        <f>IF(ISNUMBER(SEARCH(Лист2!$B$4,F:F)),1,0)</f>
        <v>0</v>
      </c>
      <c r="H4188" s="3">
        <f ca="1">IF(AND(I4188&lt;&gt;I4187,ISNUMBER(SEARCH(Лист2!$B$5,I:I)),G4188=1),MAX($H$3:OFFSET(H4188,-1,0))+1,0)</f>
        <v>0</v>
      </c>
      <c r="I4188" s="3" t="s">
        <v>344</v>
      </c>
      <c r="K4188" s="2">
        <f>IF(ISNUMBER(SEARCH(Лист2!$B$4,F:F)),1,0)</f>
        <v>0</v>
      </c>
      <c r="L4188" s="14">
        <f>IF(ISNUMBER(SEARCH(Лист2!$B$5,I:I)),1,0)+K4188</f>
        <v>0</v>
      </c>
      <c r="M4188" s="3">
        <f ca="1">IF(AND(N4188&lt;&gt;N4187,ISNUMBER(SEARCH(Лист2!$B$6,N:N)),L4188=2),MAX($M$3:OFFSET(M4188,-1,0))+1,0)</f>
        <v>0</v>
      </c>
      <c r="N4188" s="3" t="s">
        <v>2615</v>
      </c>
    </row>
    <row r="4189" spans="1:14" x14ac:dyDescent="0.25">
      <c r="A4189" s="1" t="s">
        <v>12964</v>
      </c>
      <c r="B4189" s="3" t="s">
        <v>7813</v>
      </c>
      <c r="C4189" s="2">
        <f ca="1">IF(ISNUMBER(SEARCH(Лист2!$B$4,D:D)),MAX($C$3:OFFSET(C4189,-1,0))+1,0)</f>
        <v>0</v>
      </c>
      <c r="E4189" s="9" t="str">
        <f t="shared" ca="1" si="77"/>
        <v/>
      </c>
      <c r="F4189" s="4" t="s">
        <v>22</v>
      </c>
      <c r="G4189" s="2">
        <f>IF(ISNUMBER(SEARCH(Лист2!$B$4,F:F)),1,0)</f>
        <v>0</v>
      </c>
      <c r="H4189" s="3">
        <f ca="1">IF(AND(I4189&lt;&gt;I4188,ISNUMBER(SEARCH(Лист2!$B$5,I:I)),G4189=1),MAX($H$3:OFFSET(H4189,-1,0))+1,0)</f>
        <v>0</v>
      </c>
      <c r="I4189" s="3" t="s">
        <v>344</v>
      </c>
      <c r="K4189" s="2">
        <f>IF(ISNUMBER(SEARCH(Лист2!$B$4,F:F)),1,0)</f>
        <v>0</v>
      </c>
      <c r="L4189" s="14">
        <f>IF(ISNUMBER(SEARCH(Лист2!$B$5,I:I)),1,0)+K4189</f>
        <v>0</v>
      </c>
      <c r="M4189" s="3">
        <f ca="1">IF(AND(N4189&lt;&gt;N4188,ISNUMBER(SEARCH(Лист2!$B$6,N:N)),L4189=2),MAX($M$3:OFFSET(M4189,-1,0))+1,0)</f>
        <v>0</v>
      </c>
      <c r="N4189" s="3" t="s">
        <v>2616</v>
      </c>
    </row>
    <row r="4190" spans="1:14" x14ac:dyDescent="0.25">
      <c r="A4190" s="1" t="s">
        <v>12965</v>
      </c>
      <c r="B4190" s="3" t="s">
        <v>7814</v>
      </c>
      <c r="C4190" s="2">
        <f ca="1">IF(ISNUMBER(SEARCH(Лист2!$B$4,D:D)),MAX($C$3:OFFSET(C4190,-1,0))+1,0)</f>
        <v>0</v>
      </c>
      <c r="E4190" s="9" t="str">
        <f t="shared" ca="1" si="77"/>
        <v/>
      </c>
      <c r="F4190" s="4" t="s">
        <v>22</v>
      </c>
      <c r="G4190" s="2">
        <f>IF(ISNUMBER(SEARCH(Лист2!$B$4,F:F)),1,0)</f>
        <v>0</v>
      </c>
      <c r="H4190" s="3">
        <f ca="1">IF(AND(I4190&lt;&gt;I4189,ISNUMBER(SEARCH(Лист2!$B$5,I:I)),G4190=1),MAX($H$3:OFFSET(H4190,-1,0))+1,0)</f>
        <v>0</v>
      </c>
      <c r="I4190" s="3" t="s">
        <v>344</v>
      </c>
      <c r="K4190" s="2">
        <f>IF(ISNUMBER(SEARCH(Лист2!$B$4,F:F)),1,0)</f>
        <v>0</v>
      </c>
      <c r="L4190" s="14">
        <f>IF(ISNUMBER(SEARCH(Лист2!$B$5,I:I)),1,0)+K4190</f>
        <v>0</v>
      </c>
      <c r="M4190" s="3">
        <f ca="1">IF(AND(N4190&lt;&gt;N4189,ISNUMBER(SEARCH(Лист2!$B$6,N:N)),L4190=2),MAX($M$3:OFFSET(M4190,-1,0))+1,0)</f>
        <v>0</v>
      </c>
      <c r="N4190" s="3" t="s">
        <v>2617</v>
      </c>
    </row>
    <row r="4191" spans="1:14" x14ac:dyDescent="0.25">
      <c r="A4191" s="1" t="s">
        <v>12964</v>
      </c>
      <c r="B4191" s="3" t="s">
        <v>7815</v>
      </c>
      <c r="C4191" s="2">
        <f ca="1">IF(ISNUMBER(SEARCH(Лист2!$B$4,D:D)),MAX($C$3:OFFSET(C4191,-1,0))+1,0)</f>
        <v>0</v>
      </c>
      <c r="E4191" s="9" t="str">
        <f t="shared" ca="1" si="77"/>
        <v/>
      </c>
      <c r="F4191" s="4" t="s">
        <v>22</v>
      </c>
      <c r="G4191" s="2">
        <f>IF(ISNUMBER(SEARCH(Лист2!$B$4,F:F)),1,0)</f>
        <v>0</v>
      </c>
      <c r="H4191" s="3">
        <f ca="1">IF(AND(I4191&lt;&gt;I4190,ISNUMBER(SEARCH(Лист2!$B$5,I:I)),G4191=1),MAX($H$3:OFFSET(H4191,-1,0))+1,0)</f>
        <v>0</v>
      </c>
      <c r="I4191" s="3" t="s">
        <v>344</v>
      </c>
      <c r="K4191" s="2">
        <f>IF(ISNUMBER(SEARCH(Лист2!$B$4,F:F)),1,0)</f>
        <v>0</v>
      </c>
      <c r="L4191" s="14">
        <f>IF(ISNUMBER(SEARCH(Лист2!$B$5,I:I)),1,0)+K4191</f>
        <v>0</v>
      </c>
      <c r="M4191" s="3">
        <f ca="1">IF(AND(N4191&lt;&gt;N4190,ISNUMBER(SEARCH(Лист2!$B$6,N:N)),L4191=2),MAX($M$3:OFFSET(M4191,-1,0))+1,0)</f>
        <v>0</v>
      </c>
      <c r="N4191" s="3" t="s">
        <v>2616</v>
      </c>
    </row>
    <row r="4192" spans="1:14" x14ac:dyDescent="0.25">
      <c r="A4192" s="1" t="s">
        <v>12966</v>
      </c>
      <c r="B4192" s="3" t="s">
        <v>7816</v>
      </c>
      <c r="C4192" s="2">
        <f ca="1">IF(ISNUMBER(SEARCH(Лист2!$B$4,D:D)),MAX($C$3:OFFSET(C4192,-1,0))+1,0)</f>
        <v>0</v>
      </c>
      <c r="E4192" s="9" t="str">
        <f t="shared" ca="1" si="77"/>
        <v/>
      </c>
      <c r="F4192" s="4" t="s">
        <v>22</v>
      </c>
      <c r="G4192" s="2">
        <f>IF(ISNUMBER(SEARCH(Лист2!$B$4,F:F)),1,0)</f>
        <v>0</v>
      </c>
      <c r="H4192" s="3">
        <f ca="1">IF(AND(I4192&lt;&gt;I4191,ISNUMBER(SEARCH(Лист2!$B$5,I:I)),G4192=1),MAX($H$3:OFFSET(H4192,-1,0))+1,0)</f>
        <v>0</v>
      </c>
      <c r="I4192" s="3" t="s">
        <v>344</v>
      </c>
      <c r="K4192" s="2">
        <f>IF(ISNUMBER(SEARCH(Лист2!$B$4,F:F)),1,0)</f>
        <v>0</v>
      </c>
      <c r="L4192" s="14">
        <f>IF(ISNUMBER(SEARCH(Лист2!$B$5,I:I)),1,0)+K4192</f>
        <v>0</v>
      </c>
      <c r="M4192" s="3">
        <f ca="1">IF(AND(N4192&lt;&gt;N4191,ISNUMBER(SEARCH(Лист2!$B$6,N:N)),L4192=2),MAX($M$3:OFFSET(M4192,-1,0))+1,0)</f>
        <v>0</v>
      </c>
      <c r="N4192" s="3" t="s">
        <v>602</v>
      </c>
    </row>
    <row r="4193" spans="1:14" x14ac:dyDescent="0.25">
      <c r="A4193" s="1" t="s">
        <v>12967</v>
      </c>
      <c r="B4193" s="3" t="s">
        <v>7817</v>
      </c>
      <c r="C4193" s="2">
        <f ca="1">IF(ISNUMBER(SEARCH(Лист2!$B$4,D:D)),MAX($C$3:OFFSET(C4193,-1,0))+1,0)</f>
        <v>0</v>
      </c>
      <c r="E4193" s="9" t="str">
        <f t="shared" ca="1" si="77"/>
        <v/>
      </c>
      <c r="F4193" s="4" t="s">
        <v>22</v>
      </c>
      <c r="G4193" s="2">
        <f>IF(ISNUMBER(SEARCH(Лист2!$B$4,F:F)),1,0)</f>
        <v>0</v>
      </c>
      <c r="H4193" s="3">
        <f ca="1">IF(AND(I4193&lt;&gt;I4192,ISNUMBER(SEARCH(Лист2!$B$5,I:I)),G4193=1),MAX($H$3:OFFSET(H4193,-1,0))+1,0)</f>
        <v>0</v>
      </c>
      <c r="I4193" s="3" t="s">
        <v>344</v>
      </c>
      <c r="K4193" s="2">
        <f>IF(ISNUMBER(SEARCH(Лист2!$B$4,F:F)),1,0)</f>
        <v>0</v>
      </c>
      <c r="L4193" s="14">
        <f>IF(ISNUMBER(SEARCH(Лист2!$B$5,I:I)),1,0)+K4193</f>
        <v>0</v>
      </c>
      <c r="M4193" s="3">
        <f ca="1">IF(AND(N4193&lt;&gt;N4192,ISNUMBER(SEARCH(Лист2!$B$6,N:N)),L4193=2),MAX($M$3:OFFSET(M4193,-1,0))+1,0)</f>
        <v>0</v>
      </c>
      <c r="N4193" s="3" t="s">
        <v>2618</v>
      </c>
    </row>
    <row r="4194" spans="1:14" x14ac:dyDescent="0.25">
      <c r="A4194" s="1" t="s">
        <v>12968</v>
      </c>
      <c r="B4194" s="3" t="s">
        <v>7818</v>
      </c>
      <c r="C4194" s="2">
        <f ca="1">IF(ISNUMBER(SEARCH(Лист2!$B$4,D:D)),MAX($C$3:OFFSET(C4194,-1,0))+1,0)</f>
        <v>0</v>
      </c>
      <c r="E4194" s="9" t="str">
        <f t="shared" ca="1" si="77"/>
        <v/>
      </c>
      <c r="F4194" s="4" t="s">
        <v>22</v>
      </c>
      <c r="G4194" s="2">
        <f>IF(ISNUMBER(SEARCH(Лист2!$B$4,F:F)),1,0)</f>
        <v>0</v>
      </c>
      <c r="H4194" s="3">
        <f ca="1">IF(AND(I4194&lt;&gt;I4193,ISNUMBER(SEARCH(Лист2!$B$5,I:I)),G4194=1),MAX($H$3:OFFSET(H4194,-1,0))+1,0)</f>
        <v>0</v>
      </c>
      <c r="I4194" s="3" t="s">
        <v>344</v>
      </c>
      <c r="K4194" s="2">
        <f>IF(ISNUMBER(SEARCH(Лист2!$B$4,F:F)),1,0)</f>
        <v>0</v>
      </c>
      <c r="L4194" s="14">
        <f>IF(ISNUMBER(SEARCH(Лист2!$B$5,I:I)),1,0)+K4194</f>
        <v>0</v>
      </c>
      <c r="M4194" s="3">
        <f ca="1">IF(AND(N4194&lt;&gt;N4193,ISNUMBER(SEARCH(Лист2!$B$6,N:N)),L4194=2),MAX($M$3:OFFSET(M4194,-1,0))+1,0)</f>
        <v>0</v>
      </c>
      <c r="N4194" s="3" t="s">
        <v>2619</v>
      </c>
    </row>
    <row r="4195" spans="1:14" x14ac:dyDescent="0.25">
      <c r="A4195" s="1" t="s">
        <v>12969</v>
      </c>
      <c r="B4195" s="3" t="s">
        <v>7819</v>
      </c>
      <c r="C4195" s="2">
        <f ca="1">IF(ISNUMBER(SEARCH(Лист2!$B$4,D:D)),MAX($C$3:OFFSET(C4195,-1,0))+1,0)</f>
        <v>0</v>
      </c>
      <c r="E4195" s="9" t="str">
        <f t="shared" ca="1" si="77"/>
        <v/>
      </c>
      <c r="F4195" s="4" t="s">
        <v>22</v>
      </c>
      <c r="G4195" s="2">
        <f>IF(ISNUMBER(SEARCH(Лист2!$B$4,F:F)),1,0)</f>
        <v>0</v>
      </c>
      <c r="H4195" s="3">
        <f ca="1">IF(AND(I4195&lt;&gt;I4194,ISNUMBER(SEARCH(Лист2!$B$5,I:I)),G4195=1),MAX($H$3:OFFSET(H4195,-1,0))+1,0)</f>
        <v>0</v>
      </c>
      <c r="I4195" s="3" t="s">
        <v>345</v>
      </c>
      <c r="K4195" s="2">
        <f>IF(ISNUMBER(SEARCH(Лист2!$B$4,F:F)),1,0)</f>
        <v>0</v>
      </c>
      <c r="L4195" s="14">
        <f>IF(ISNUMBER(SEARCH(Лист2!$B$5,I:I)),1,0)+K4195</f>
        <v>0</v>
      </c>
      <c r="M4195" s="3">
        <f ca="1">IF(AND(N4195&lt;&gt;N4194,ISNUMBER(SEARCH(Лист2!$B$6,N:N)),L4195=2),MAX($M$3:OFFSET(M4195,-1,0))+1,0)</f>
        <v>0</v>
      </c>
      <c r="N4195" s="3" t="s">
        <v>2620</v>
      </c>
    </row>
    <row r="4196" spans="1:14" x14ac:dyDescent="0.25">
      <c r="A4196" s="1" t="s">
        <v>12970</v>
      </c>
      <c r="B4196" s="3" t="s">
        <v>7820</v>
      </c>
      <c r="C4196" s="2">
        <f ca="1">IF(ISNUMBER(SEARCH(Лист2!$B$4,D:D)),MAX($C$3:OFFSET(C4196,-1,0))+1,0)</f>
        <v>0</v>
      </c>
      <c r="E4196" s="9" t="str">
        <f t="shared" ca="1" si="77"/>
        <v/>
      </c>
      <c r="F4196" s="4" t="s">
        <v>22</v>
      </c>
      <c r="G4196" s="2">
        <f>IF(ISNUMBER(SEARCH(Лист2!$B$4,F:F)),1,0)</f>
        <v>0</v>
      </c>
      <c r="H4196" s="3">
        <f ca="1">IF(AND(I4196&lt;&gt;I4195,ISNUMBER(SEARCH(Лист2!$B$5,I:I)),G4196=1),MAX($H$3:OFFSET(H4196,-1,0))+1,0)</f>
        <v>0</v>
      </c>
      <c r="I4196" s="3" t="s">
        <v>345</v>
      </c>
      <c r="K4196" s="2">
        <f>IF(ISNUMBER(SEARCH(Лист2!$B$4,F:F)),1,0)</f>
        <v>0</v>
      </c>
      <c r="L4196" s="14">
        <f>IF(ISNUMBER(SEARCH(Лист2!$B$5,I:I)),1,0)+K4196</f>
        <v>0</v>
      </c>
      <c r="M4196" s="3">
        <f ca="1">IF(AND(N4196&lt;&gt;N4195,ISNUMBER(SEARCH(Лист2!$B$6,N:N)),L4196=2),MAX($M$3:OFFSET(M4196,-1,0))+1,0)</f>
        <v>0</v>
      </c>
      <c r="N4196" s="3" t="s">
        <v>2621</v>
      </c>
    </row>
    <row r="4197" spans="1:14" x14ac:dyDescent="0.25">
      <c r="A4197" s="1" t="s">
        <v>12971</v>
      </c>
      <c r="B4197" s="3" t="s">
        <v>7821</v>
      </c>
      <c r="C4197" s="2">
        <f ca="1">IF(ISNUMBER(SEARCH(Лист2!$B$4,D:D)),MAX($C$3:OFFSET(C4197,-1,0))+1,0)</f>
        <v>0</v>
      </c>
      <c r="E4197" s="9" t="str">
        <f t="shared" ca="1" si="77"/>
        <v/>
      </c>
      <c r="F4197" s="4" t="s">
        <v>22</v>
      </c>
      <c r="G4197" s="2">
        <f>IF(ISNUMBER(SEARCH(Лист2!$B$4,F:F)),1,0)</f>
        <v>0</v>
      </c>
      <c r="H4197" s="3">
        <f ca="1">IF(AND(I4197&lt;&gt;I4196,ISNUMBER(SEARCH(Лист2!$B$5,I:I)),G4197=1),MAX($H$3:OFFSET(H4197,-1,0))+1,0)</f>
        <v>0</v>
      </c>
      <c r="I4197" s="3" t="s">
        <v>345</v>
      </c>
      <c r="K4197" s="2">
        <f>IF(ISNUMBER(SEARCH(Лист2!$B$4,F:F)),1,0)</f>
        <v>0</v>
      </c>
      <c r="L4197" s="14">
        <f>IF(ISNUMBER(SEARCH(Лист2!$B$5,I:I)),1,0)+K4197</f>
        <v>0</v>
      </c>
      <c r="M4197" s="3">
        <f ca="1">IF(AND(N4197&lt;&gt;N4196,ISNUMBER(SEARCH(Лист2!$B$6,N:N)),L4197=2),MAX($M$3:OFFSET(M4197,-1,0))+1,0)</f>
        <v>0</v>
      </c>
      <c r="N4197" s="3" t="s">
        <v>2622</v>
      </c>
    </row>
    <row r="4198" spans="1:14" x14ac:dyDescent="0.25">
      <c r="A4198" s="1" t="s">
        <v>12970</v>
      </c>
      <c r="B4198" s="3" t="s">
        <v>7822</v>
      </c>
      <c r="C4198" s="2">
        <f ca="1">IF(ISNUMBER(SEARCH(Лист2!$B$4,D:D)),MAX($C$3:OFFSET(C4198,-1,0))+1,0)</f>
        <v>0</v>
      </c>
      <c r="E4198" s="9" t="str">
        <f t="shared" ca="1" si="77"/>
        <v/>
      </c>
      <c r="F4198" s="4" t="s">
        <v>22</v>
      </c>
      <c r="G4198" s="2">
        <f>IF(ISNUMBER(SEARCH(Лист2!$B$4,F:F)),1,0)</f>
        <v>0</v>
      </c>
      <c r="H4198" s="3">
        <f ca="1">IF(AND(I4198&lt;&gt;I4197,ISNUMBER(SEARCH(Лист2!$B$5,I:I)),G4198=1),MAX($H$3:OFFSET(H4198,-1,0))+1,0)</f>
        <v>0</v>
      </c>
      <c r="I4198" s="3" t="s">
        <v>345</v>
      </c>
      <c r="K4198" s="2">
        <f>IF(ISNUMBER(SEARCH(Лист2!$B$4,F:F)),1,0)</f>
        <v>0</v>
      </c>
      <c r="L4198" s="14">
        <f>IF(ISNUMBER(SEARCH(Лист2!$B$5,I:I)),1,0)+K4198</f>
        <v>0</v>
      </c>
      <c r="M4198" s="3">
        <f ca="1">IF(AND(N4198&lt;&gt;N4197,ISNUMBER(SEARCH(Лист2!$B$6,N:N)),L4198=2),MAX($M$3:OFFSET(M4198,-1,0))+1,0)</f>
        <v>0</v>
      </c>
      <c r="N4198" s="3" t="s">
        <v>2621</v>
      </c>
    </row>
    <row r="4199" spans="1:14" x14ac:dyDescent="0.25">
      <c r="A4199" s="1" t="s">
        <v>12972</v>
      </c>
      <c r="B4199" s="3" t="s">
        <v>7823</v>
      </c>
      <c r="C4199" s="2">
        <f ca="1">IF(ISNUMBER(SEARCH(Лист2!$B$4,D:D)),MAX($C$3:OFFSET(C4199,-1,0))+1,0)</f>
        <v>0</v>
      </c>
      <c r="E4199" s="9" t="str">
        <f t="shared" ca="1" si="77"/>
        <v/>
      </c>
      <c r="F4199" s="4" t="s">
        <v>22</v>
      </c>
      <c r="G4199" s="2">
        <f>IF(ISNUMBER(SEARCH(Лист2!$B$4,F:F)),1,0)</f>
        <v>0</v>
      </c>
      <c r="H4199" s="3">
        <f ca="1">IF(AND(I4199&lt;&gt;I4198,ISNUMBER(SEARCH(Лист2!$B$5,I:I)),G4199=1),MAX($H$3:OFFSET(H4199,-1,0))+1,0)</f>
        <v>0</v>
      </c>
      <c r="I4199" s="3" t="s">
        <v>345</v>
      </c>
      <c r="K4199" s="2">
        <f>IF(ISNUMBER(SEARCH(Лист2!$B$4,F:F)),1,0)</f>
        <v>0</v>
      </c>
      <c r="L4199" s="14">
        <f>IF(ISNUMBER(SEARCH(Лист2!$B$5,I:I)),1,0)+K4199</f>
        <v>0</v>
      </c>
      <c r="M4199" s="3">
        <f ca="1">IF(AND(N4199&lt;&gt;N4198,ISNUMBER(SEARCH(Лист2!$B$6,N:N)),L4199=2),MAX($M$3:OFFSET(M4199,-1,0))+1,0)</f>
        <v>0</v>
      </c>
      <c r="N4199" s="3" t="s">
        <v>602</v>
      </c>
    </row>
    <row r="4200" spans="1:14" x14ac:dyDescent="0.25">
      <c r="A4200" s="1" t="s">
        <v>12973</v>
      </c>
      <c r="B4200" s="3" t="s">
        <v>7824</v>
      </c>
      <c r="C4200" s="2">
        <f ca="1">IF(ISNUMBER(SEARCH(Лист2!$B$4,D:D)),MAX($C$3:OFFSET(C4200,-1,0))+1,0)</f>
        <v>0</v>
      </c>
      <c r="E4200" s="9" t="str">
        <f t="shared" ca="1" si="77"/>
        <v/>
      </c>
      <c r="F4200" s="4" t="s">
        <v>22</v>
      </c>
      <c r="G4200" s="2">
        <f>IF(ISNUMBER(SEARCH(Лист2!$B$4,F:F)),1,0)</f>
        <v>0</v>
      </c>
      <c r="H4200" s="3">
        <f ca="1">IF(AND(I4200&lt;&gt;I4199,ISNUMBER(SEARCH(Лист2!$B$5,I:I)),G4200=1),MAX($H$3:OFFSET(H4200,-1,0))+1,0)</f>
        <v>0</v>
      </c>
      <c r="I4200" s="3" t="s">
        <v>345</v>
      </c>
      <c r="K4200" s="2">
        <f>IF(ISNUMBER(SEARCH(Лист2!$B$4,F:F)),1,0)</f>
        <v>0</v>
      </c>
      <c r="L4200" s="14">
        <f>IF(ISNUMBER(SEARCH(Лист2!$B$5,I:I)),1,0)+K4200</f>
        <v>0</v>
      </c>
      <c r="M4200" s="3">
        <f ca="1">IF(AND(N4200&lt;&gt;N4199,ISNUMBER(SEARCH(Лист2!$B$6,N:N)),L4200=2),MAX($M$3:OFFSET(M4200,-1,0))+1,0)</f>
        <v>0</v>
      </c>
      <c r="N4200" s="3" t="s">
        <v>2623</v>
      </c>
    </row>
    <row r="4201" spans="1:14" x14ac:dyDescent="0.25">
      <c r="A4201" s="1" t="s">
        <v>12974</v>
      </c>
      <c r="B4201" s="3" t="s">
        <v>7825</v>
      </c>
      <c r="C4201" s="2">
        <f ca="1">IF(ISNUMBER(SEARCH(Лист2!$B$4,D:D)),MAX($C$3:OFFSET(C4201,-1,0))+1,0)</f>
        <v>0</v>
      </c>
      <c r="E4201" s="9" t="str">
        <f t="shared" ca="1" si="77"/>
        <v/>
      </c>
      <c r="F4201" s="4" t="s">
        <v>22</v>
      </c>
      <c r="G4201" s="2">
        <f>IF(ISNUMBER(SEARCH(Лист2!$B$4,F:F)),1,0)</f>
        <v>0</v>
      </c>
      <c r="H4201" s="3">
        <f ca="1">IF(AND(I4201&lt;&gt;I4200,ISNUMBER(SEARCH(Лист2!$B$5,I:I)),G4201=1),MAX($H$3:OFFSET(H4201,-1,0))+1,0)</f>
        <v>0</v>
      </c>
      <c r="I4201" s="3" t="s">
        <v>345</v>
      </c>
      <c r="K4201" s="2">
        <f>IF(ISNUMBER(SEARCH(Лист2!$B$4,F:F)),1,0)</f>
        <v>0</v>
      </c>
      <c r="L4201" s="14">
        <f>IF(ISNUMBER(SEARCH(Лист2!$B$5,I:I)),1,0)+K4201</f>
        <v>0</v>
      </c>
      <c r="M4201" s="3">
        <f ca="1">IF(AND(N4201&lt;&gt;N4200,ISNUMBER(SEARCH(Лист2!$B$6,N:N)),L4201=2),MAX($M$3:OFFSET(M4201,-1,0))+1,0)</f>
        <v>0</v>
      </c>
      <c r="N4201" s="3" t="s">
        <v>2624</v>
      </c>
    </row>
    <row r="4202" spans="1:14" x14ac:dyDescent="0.25">
      <c r="A4202" s="1" t="s">
        <v>12975</v>
      </c>
      <c r="B4202" s="3" t="s">
        <v>7826</v>
      </c>
      <c r="C4202" s="2">
        <f ca="1">IF(ISNUMBER(SEARCH(Лист2!$B$4,D:D)),MAX($C$3:OFFSET(C4202,-1,0))+1,0)</f>
        <v>0</v>
      </c>
      <c r="E4202" s="9" t="str">
        <f t="shared" ca="1" si="77"/>
        <v/>
      </c>
      <c r="F4202" s="4" t="s">
        <v>22</v>
      </c>
      <c r="G4202" s="2">
        <f>IF(ISNUMBER(SEARCH(Лист2!$B$4,F:F)),1,0)</f>
        <v>0</v>
      </c>
      <c r="H4202" s="3">
        <f ca="1">IF(AND(I4202&lt;&gt;I4201,ISNUMBER(SEARCH(Лист2!$B$5,I:I)),G4202=1),MAX($H$3:OFFSET(H4202,-1,0))+1,0)</f>
        <v>0</v>
      </c>
      <c r="I4202" s="3" t="s">
        <v>346</v>
      </c>
      <c r="K4202" s="2">
        <f>IF(ISNUMBER(SEARCH(Лист2!$B$4,F:F)),1,0)</f>
        <v>0</v>
      </c>
      <c r="L4202" s="14">
        <f>IF(ISNUMBER(SEARCH(Лист2!$B$5,I:I)),1,0)+K4202</f>
        <v>0</v>
      </c>
      <c r="M4202" s="3">
        <f ca="1">IF(AND(N4202&lt;&gt;N4201,ISNUMBER(SEARCH(Лист2!$B$6,N:N)),L4202=2),MAX($M$3:OFFSET(M4202,-1,0))+1,0)</f>
        <v>0</v>
      </c>
      <c r="N4202" s="3" t="s">
        <v>2625</v>
      </c>
    </row>
    <row r="4203" spans="1:14" x14ac:dyDescent="0.25">
      <c r="A4203" s="1" t="s">
        <v>12976</v>
      </c>
      <c r="B4203" s="3" t="s">
        <v>7827</v>
      </c>
      <c r="C4203" s="2">
        <f ca="1">IF(ISNUMBER(SEARCH(Лист2!$B$4,D:D)),MAX($C$3:OFFSET(C4203,-1,0))+1,0)</f>
        <v>0</v>
      </c>
      <c r="E4203" s="9" t="str">
        <f t="shared" ca="1" si="77"/>
        <v/>
      </c>
      <c r="F4203" s="4" t="s">
        <v>22</v>
      </c>
      <c r="G4203" s="2">
        <f>IF(ISNUMBER(SEARCH(Лист2!$B$4,F:F)),1,0)</f>
        <v>0</v>
      </c>
      <c r="H4203" s="3">
        <f ca="1">IF(AND(I4203&lt;&gt;I4202,ISNUMBER(SEARCH(Лист2!$B$5,I:I)),G4203=1),MAX($H$3:OFFSET(H4203,-1,0))+1,0)</f>
        <v>0</v>
      </c>
      <c r="I4203" s="3" t="s">
        <v>346</v>
      </c>
      <c r="K4203" s="2">
        <f>IF(ISNUMBER(SEARCH(Лист2!$B$4,F:F)),1,0)</f>
        <v>0</v>
      </c>
      <c r="L4203" s="14">
        <f>IF(ISNUMBER(SEARCH(Лист2!$B$5,I:I)),1,0)+K4203</f>
        <v>0</v>
      </c>
      <c r="M4203" s="3">
        <f ca="1">IF(AND(N4203&lt;&gt;N4202,ISNUMBER(SEARCH(Лист2!$B$6,N:N)),L4203=2),MAX($M$3:OFFSET(M4203,-1,0))+1,0)</f>
        <v>0</v>
      </c>
      <c r="N4203" s="3" t="s">
        <v>2626</v>
      </c>
    </row>
    <row r="4204" spans="1:14" x14ac:dyDescent="0.25">
      <c r="A4204" s="1" t="s">
        <v>12977</v>
      </c>
      <c r="B4204" s="3" t="s">
        <v>7828</v>
      </c>
      <c r="C4204" s="2">
        <f ca="1">IF(ISNUMBER(SEARCH(Лист2!$B$4,D:D)),MAX($C$3:OFFSET(C4204,-1,0))+1,0)</f>
        <v>0</v>
      </c>
      <c r="E4204" s="9" t="str">
        <f t="shared" ca="1" si="77"/>
        <v/>
      </c>
      <c r="F4204" s="4" t="s">
        <v>22</v>
      </c>
      <c r="G4204" s="2">
        <f>IF(ISNUMBER(SEARCH(Лист2!$B$4,F:F)),1,0)</f>
        <v>0</v>
      </c>
      <c r="H4204" s="3">
        <f ca="1">IF(AND(I4204&lt;&gt;I4203,ISNUMBER(SEARCH(Лист2!$B$5,I:I)),G4204=1),MAX($H$3:OFFSET(H4204,-1,0))+1,0)</f>
        <v>0</v>
      </c>
      <c r="I4204" s="3" t="s">
        <v>346</v>
      </c>
      <c r="K4204" s="2">
        <f>IF(ISNUMBER(SEARCH(Лист2!$B$4,F:F)),1,0)</f>
        <v>0</v>
      </c>
      <c r="L4204" s="14">
        <f>IF(ISNUMBER(SEARCH(Лист2!$B$5,I:I)),1,0)+K4204</f>
        <v>0</v>
      </c>
      <c r="M4204" s="3">
        <f ca="1">IF(AND(N4204&lt;&gt;N4203,ISNUMBER(SEARCH(Лист2!$B$6,N:N)),L4204=2),MAX($M$3:OFFSET(M4204,-1,0))+1,0)</f>
        <v>0</v>
      </c>
      <c r="N4204" s="3" t="s">
        <v>2627</v>
      </c>
    </row>
    <row r="4205" spans="1:14" x14ac:dyDescent="0.25">
      <c r="A4205" s="1" t="s">
        <v>12976</v>
      </c>
      <c r="B4205" s="3" t="s">
        <v>7829</v>
      </c>
      <c r="C4205" s="2">
        <f ca="1">IF(ISNUMBER(SEARCH(Лист2!$B$4,D:D)),MAX($C$3:OFFSET(C4205,-1,0))+1,0)</f>
        <v>0</v>
      </c>
      <c r="E4205" s="9" t="str">
        <f t="shared" ca="1" si="77"/>
        <v/>
      </c>
      <c r="F4205" s="4" t="s">
        <v>22</v>
      </c>
      <c r="G4205" s="2">
        <f>IF(ISNUMBER(SEARCH(Лист2!$B$4,F:F)),1,0)</f>
        <v>0</v>
      </c>
      <c r="H4205" s="3">
        <f ca="1">IF(AND(I4205&lt;&gt;I4204,ISNUMBER(SEARCH(Лист2!$B$5,I:I)),G4205=1),MAX($H$3:OFFSET(H4205,-1,0))+1,0)</f>
        <v>0</v>
      </c>
      <c r="I4205" s="3" t="s">
        <v>346</v>
      </c>
      <c r="K4205" s="2">
        <f>IF(ISNUMBER(SEARCH(Лист2!$B$4,F:F)),1,0)</f>
        <v>0</v>
      </c>
      <c r="L4205" s="14">
        <f>IF(ISNUMBER(SEARCH(Лист2!$B$5,I:I)),1,0)+K4205</f>
        <v>0</v>
      </c>
      <c r="M4205" s="3">
        <f ca="1">IF(AND(N4205&lt;&gt;N4204,ISNUMBER(SEARCH(Лист2!$B$6,N:N)),L4205=2),MAX($M$3:OFFSET(M4205,-1,0))+1,0)</f>
        <v>0</v>
      </c>
      <c r="N4205" s="3" t="s">
        <v>2626</v>
      </c>
    </row>
    <row r="4206" spans="1:14" x14ac:dyDescent="0.25">
      <c r="A4206" s="1" t="s">
        <v>12977</v>
      </c>
      <c r="B4206" s="3" t="s">
        <v>7830</v>
      </c>
      <c r="C4206" s="2">
        <f ca="1">IF(ISNUMBER(SEARCH(Лист2!$B$4,D:D)),MAX($C$3:OFFSET(C4206,-1,0))+1,0)</f>
        <v>0</v>
      </c>
      <c r="E4206" s="9" t="str">
        <f t="shared" ca="1" si="77"/>
        <v/>
      </c>
      <c r="F4206" s="4" t="s">
        <v>22</v>
      </c>
      <c r="G4206" s="2">
        <f>IF(ISNUMBER(SEARCH(Лист2!$B$4,F:F)),1,0)</f>
        <v>0</v>
      </c>
      <c r="H4206" s="3">
        <f ca="1">IF(AND(I4206&lt;&gt;I4205,ISNUMBER(SEARCH(Лист2!$B$5,I:I)),G4206=1),MAX($H$3:OFFSET(H4206,-1,0))+1,0)</f>
        <v>0</v>
      </c>
      <c r="I4206" s="3" t="s">
        <v>346</v>
      </c>
      <c r="K4206" s="2">
        <f>IF(ISNUMBER(SEARCH(Лист2!$B$4,F:F)),1,0)</f>
        <v>0</v>
      </c>
      <c r="L4206" s="14">
        <f>IF(ISNUMBER(SEARCH(Лист2!$B$5,I:I)),1,0)+K4206</f>
        <v>0</v>
      </c>
      <c r="M4206" s="3">
        <f ca="1">IF(AND(N4206&lt;&gt;N4205,ISNUMBER(SEARCH(Лист2!$B$6,N:N)),L4206=2),MAX($M$3:OFFSET(M4206,-1,0))+1,0)</f>
        <v>0</v>
      </c>
      <c r="N4206" s="3" t="s">
        <v>2627</v>
      </c>
    </row>
    <row r="4207" spans="1:14" x14ac:dyDescent="0.25">
      <c r="A4207" s="1" t="s">
        <v>12976</v>
      </c>
      <c r="B4207" s="3" t="s">
        <v>7831</v>
      </c>
      <c r="C4207" s="2">
        <f ca="1">IF(ISNUMBER(SEARCH(Лист2!$B$4,D:D)),MAX($C$3:OFFSET(C4207,-1,0))+1,0)</f>
        <v>0</v>
      </c>
      <c r="E4207" s="9" t="str">
        <f t="shared" ca="1" si="77"/>
        <v/>
      </c>
      <c r="F4207" s="4" t="s">
        <v>22</v>
      </c>
      <c r="G4207" s="2">
        <f>IF(ISNUMBER(SEARCH(Лист2!$B$4,F:F)),1,0)</f>
        <v>0</v>
      </c>
      <c r="H4207" s="3">
        <f ca="1">IF(AND(I4207&lt;&gt;I4206,ISNUMBER(SEARCH(Лист2!$B$5,I:I)),G4207=1),MAX($H$3:OFFSET(H4207,-1,0))+1,0)</f>
        <v>0</v>
      </c>
      <c r="I4207" s="3" t="s">
        <v>346</v>
      </c>
      <c r="K4207" s="2">
        <f>IF(ISNUMBER(SEARCH(Лист2!$B$4,F:F)),1,0)</f>
        <v>0</v>
      </c>
      <c r="L4207" s="14">
        <f>IF(ISNUMBER(SEARCH(Лист2!$B$5,I:I)),1,0)+K4207</f>
        <v>0</v>
      </c>
      <c r="M4207" s="3">
        <f ca="1">IF(AND(N4207&lt;&gt;N4206,ISNUMBER(SEARCH(Лист2!$B$6,N:N)),L4207=2),MAX($M$3:OFFSET(M4207,-1,0))+1,0)</f>
        <v>0</v>
      </c>
      <c r="N4207" s="3" t="s">
        <v>2626</v>
      </c>
    </row>
    <row r="4208" spans="1:14" x14ac:dyDescent="0.25">
      <c r="A4208" s="1" t="s">
        <v>12977</v>
      </c>
      <c r="B4208" s="3" t="s">
        <v>7832</v>
      </c>
      <c r="C4208" s="2">
        <f ca="1">IF(ISNUMBER(SEARCH(Лист2!$B$4,D:D)),MAX($C$3:OFFSET(C4208,-1,0))+1,0)</f>
        <v>0</v>
      </c>
      <c r="E4208" s="9" t="str">
        <f t="shared" ca="1" si="77"/>
        <v/>
      </c>
      <c r="F4208" s="4" t="s">
        <v>22</v>
      </c>
      <c r="G4208" s="2">
        <f>IF(ISNUMBER(SEARCH(Лист2!$B$4,F:F)),1,0)</f>
        <v>0</v>
      </c>
      <c r="H4208" s="3">
        <f ca="1">IF(AND(I4208&lt;&gt;I4207,ISNUMBER(SEARCH(Лист2!$B$5,I:I)),G4208=1),MAX($H$3:OFFSET(H4208,-1,0))+1,0)</f>
        <v>0</v>
      </c>
      <c r="I4208" s="3" t="s">
        <v>346</v>
      </c>
      <c r="K4208" s="2">
        <f>IF(ISNUMBER(SEARCH(Лист2!$B$4,F:F)),1,0)</f>
        <v>0</v>
      </c>
      <c r="L4208" s="14">
        <f>IF(ISNUMBER(SEARCH(Лист2!$B$5,I:I)),1,0)+K4208</f>
        <v>0</v>
      </c>
      <c r="M4208" s="3">
        <f ca="1">IF(AND(N4208&lt;&gt;N4207,ISNUMBER(SEARCH(Лист2!$B$6,N:N)),L4208=2),MAX($M$3:OFFSET(M4208,-1,0))+1,0)</f>
        <v>0</v>
      </c>
      <c r="N4208" s="3" t="s">
        <v>2627</v>
      </c>
    </row>
    <row r="4209" spans="1:14" x14ac:dyDescent="0.25">
      <c r="A4209" s="1" t="s">
        <v>12978</v>
      </c>
      <c r="B4209" s="3" t="s">
        <v>7833</v>
      </c>
      <c r="C4209" s="2">
        <f ca="1">IF(ISNUMBER(SEARCH(Лист2!$B$4,D:D)),MAX($C$3:OFFSET(C4209,-1,0))+1,0)</f>
        <v>0</v>
      </c>
      <c r="E4209" s="9" t="str">
        <f t="shared" ca="1" si="77"/>
        <v/>
      </c>
      <c r="F4209" s="4" t="s">
        <v>22</v>
      </c>
      <c r="G4209" s="2">
        <f>IF(ISNUMBER(SEARCH(Лист2!$B$4,F:F)),1,0)</f>
        <v>0</v>
      </c>
      <c r="H4209" s="3">
        <f ca="1">IF(AND(I4209&lt;&gt;I4208,ISNUMBER(SEARCH(Лист2!$B$5,I:I)),G4209=1),MAX($H$3:OFFSET(H4209,-1,0))+1,0)</f>
        <v>0</v>
      </c>
      <c r="I4209" s="3" t="s">
        <v>346</v>
      </c>
      <c r="K4209" s="2">
        <f>IF(ISNUMBER(SEARCH(Лист2!$B$4,F:F)),1,0)</f>
        <v>0</v>
      </c>
      <c r="L4209" s="14">
        <f>IF(ISNUMBER(SEARCH(Лист2!$B$5,I:I)),1,0)+K4209</f>
        <v>0</v>
      </c>
      <c r="M4209" s="3">
        <f ca="1">IF(AND(N4209&lt;&gt;N4208,ISNUMBER(SEARCH(Лист2!$B$6,N:N)),L4209=2),MAX($M$3:OFFSET(M4209,-1,0))+1,0)</f>
        <v>0</v>
      </c>
      <c r="N4209" s="3" t="s">
        <v>602</v>
      </c>
    </row>
    <row r="4210" spans="1:14" x14ac:dyDescent="0.25">
      <c r="A4210" s="1" t="s">
        <v>12979</v>
      </c>
      <c r="B4210" s="3" t="s">
        <v>7834</v>
      </c>
      <c r="C4210" s="2">
        <f ca="1">IF(ISNUMBER(SEARCH(Лист2!$B$4,D:D)),MAX($C$3:OFFSET(C4210,-1,0))+1,0)</f>
        <v>0</v>
      </c>
      <c r="E4210" s="9" t="str">
        <f t="shared" ca="1" si="77"/>
        <v/>
      </c>
      <c r="F4210" s="4" t="s">
        <v>22</v>
      </c>
      <c r="G4210" s="2">
        <f>IF(ISNUMBER(SEARCH(Лист2!$B$4,F:F)),1,0)</f>
        <v>0</v>
      </c>
      <c r="H4210" s="3">
        <f ca="1">IF(AND(I4210&lt;&gt;I4209,ISNUMBER(SEARCH(Лист2!$B$5,I:I)),G4210=1),MAX($H$3:OFFSET(H4210,-1,0))+1,0)</f>
        <v>0</v>
      </c>
      <c r="I4210" s="3" t="s">
        <v>346</v>
      </c>
      <c r="K4210" s="2">
        <f>IF(ISNUMBER(SEARCH(Лист2!$B$4,F:F)),1,0)</f>
        <v>0</v>
      </c>
      <c r="L4210" s="14">
        <f>IF(ISNUMBER(SEARCH(Лист2!$B$5,I:I)),1,0)+K4210</f>
        <v>0</v>
      </c>
      <c r="M4210" s="3">
        <f ca="1">IF(AND(N4210&lt;&gt;N4209,ISNUMBER(SEARCH(Лист2!$B$6,N:N)),L4210=2),MAX($M$3:OFFSET(M4210,-1,0))+1,0)</f>
        <v>0</v>
      </c>
      <c r="N4210" s="3" t="s">
        <v>2628</v>
      </c>
    </row>
    <row r="4211" spans="1:14" x14ac:dyDescent="0.25">
      <c r="A4211" s="1" t="s">
        <v>12980</v>
      </c>
      <c r="B4211" s="3" t="s">
        <v>7835</v>
      </c>
      <c r="C4211" s="2">
        <f ca="1">IF(ISNUMBER(SEARCH(Лист2!$B$4,D:D)),MAX($C$3:OFFSET(C4211,-1,0))+1,0)</f>
        <v>0</v>
      </c>
      <c r="E4211" s="9" t="str">
        <f t="shared" ca="1" si="77"/>
        <v/>
      </c>
      <c r="F4211" s="4" t="s">
        <v>22</v>
      </c>
      <c r="G4211" s="2">
        <f>IF(ISNUMBER(SEARCH(Лист2!$B$4,F:F)),1,0)</f>
        <v>0</v>
      </c>
      <c r="H4211" s="3">
        <f ca="1">IF(AND(I4211&lt;&gt;I4210,ISNUMBER(SEARCH(Лист2!$B$5,I:I)),G4211=1),MAX($H$3:OFFSET(H4211,-1,0))+1,0)</f>
        <v>0</v>
      </c>
      <c r="I4211" s="3" t="s">
        <v>346</v>
      </c>
      <c r="K4211" s="2">
        <f>IF(ISNUMBER(SEARCH(Лист2!$B$4,F:F)),1,0)</f>
        <v>0</v>
      </c>
      <c r="L4211" s="14">
        <f>IF(ISNUMBER(SEARCH(Лист2!$B$5,I:I)),1,0)+K4211</f>
        <v>0</v>
      </c>
      <c r="M4211" s="3">
        <f ca="1">IF(AND(N4211&lt;&gt;N4210,ISNUMBER(SEARCH(Лист2!$B$6,N:N)),L4211=2),MAX($M$3:OFFSET(M4211,-1,0))+1,0)</f>
        <v>0</v>
      </c>
      <c r="N4211" s="3" t="s">
        <v>2629</v>
      </c>
    </row>
    <row r="4212" spans="1:14" x14ac:dyDescent="0.25">
      <c r="A4212" s="1" t="s">
        <v>12981</v>
      </c>
      <c r="B4212" s="3" t="s">
        <v>7836</v>
      </c>
      <c r="C4212" s="2">
        <f ca="1">IF(ISNUMBER(SEARCH(Лист2!$B$4,D:D)),MAX($C$3:OFFSET(C4212,-1,0))+1,0)</f>
        <v>0</v>
      </c>
      <c r="E4212" s="9" t="str">
        <f t="shared" ca="1" si="77"/>
        <v/>
      </c>
      <c r="F4212" s="4" t="s">
        <v>22</v>
      </c>
      <c r="G4212" s="2">
        <f>IF(ISNUMBER(SEARCH(Лист2!$B$4,F:F)),1,0)</f>
        <v>0</v>
      </c>
      <c r="H4212" s="3">
        <f ca="1">IF(AND(I4212&lt;&gt;I4211,ISNUMBER(SEARCH(Лист2!$B$5,I:I)),G4212=1),MAX($H$3:OFFSET(H4212,-1,0))+1,0)</f>
        <v>0</v>
      </c>
      <c r="I4212" s="3" t="s">
        <v>346</v>
      </c>
      <c r="K4212" s="2">
        <f>IF(ISNUMBER(SEARCH(Лист2!$B$4,F:F)),1,0)</f>
        <v>0</v>
      </c>
      <c r="L4212" s="14">
        <f>IF(ISNUMBER(SEARCH(Лист2!$B$5,I:I)),1,0)+K4212</f>
        <v>0</v>
      </c>
      <c r="M4212" s="3">
        <f ca="1">IF(AND(N4212&lt;&gt;N4211,ISNUMBER(SEARCH(Лист2!$B$6,N:N)),L4212=2),MAX($M$3:OFFSET(M4212,-1,0))+1,0)</f>
        <v>0</v>
      </c>
      <c r="N4212" s="3" t="s">
        <v>2630</v>
      </c>
    </row>
    <row r="4213" spans="1:14" x14ac:dyDescent="0.25">
      <c r="A4213" s="1" t="s">
        <v>12982</v>
      </c>
      <c r="B4213" s="3" t="s">
        <v>7837</v>
      </c>
      <c r="C4213" s="2">
        <f ca="1">IF(ISNUMBER(SEARCH(Лист2!$B$4,D:D)),MAX($C$3:OFFSET(C4213,-1,0))+1,0)</f>
        <v>0</v>
      </c>
      <c r="E4213" s="9" t="str">
        <f t="shared" ca="1" si="77"/>
        <v/>
      </c>
      <c r="F4213" s="4" t="s">
        <v>22</v>
      </c>
      <c r="G4213" s="2">
        <f>IF(ISNUMBER(SEARCH(Лист2!$B$4,F:F)),1,0)</f>
        <v>0</v>
      </c>
      <c r="H4213" s="3">
        <f ca="1">IF(AND(I4213&lt;&gt;I4212,ISNUMBER(SEARCH(Лист2!$B$5,I:I)),G4213=1),MAX($H$3:OFFSET(H4213,-1,0))+1,0)</f>
        <v>0</v>
      </c>
      <c r="I4213" s="3" t="s">
        <v>347</v>
      </c>
      <c r="K4213" s="2">
        <f>IF(ISNUMBER(SEARCH(Лист2!$B$4,F:F)),1,0)</f>
        <v>0</v>
      </c>
      <c r="L4213" s="14">
        <f>IF(ISNUMBER(SEARCH(Лист2!$B$5,I:I)),1,0)+K4213</f>
        <v>0</v>
      </c>
      <c r="M4213" s="3">
        <f ca="1">IF(AND(N4213&lt;&gt;N4212,ISNUMBER(SEARCH(Лист2!$B$6,N:N)),L4213=2),MAX($M$3:OFFSET(M4213,-1,0))+1,0)</f>
        <v>0</v>
      </c>
      <c r="N4213" s="3" t="s">
        <v>2631</v>
      </c>
    </row>
    <row r="4214" spans="1:14" x14ac:dyDescent="0.25">
      <c r="A4214" s="1" t="s">
        <v>12983</v>
      </c>
      <c r="B4214" s="3" t="s">
        <v>7838</v>
      </c>
      <c r="C4214" s="2">
        <f ca="1">IF(ISNUMBER(SEARCH(Лист2!$B$4,D:D)),MAX($C$3:OFFSET(C4214,-1,0))+1,0)</f>
        <v>0</v>
      </c>
      <c r="E4214" s="9" t="str">
        <f t="shared" ca="1" si="77"/>
        <v/>
      </c>
      <c r="F4214" s="4" t="s">
        <v>22</v>
      </c>
      <c r="G4214" s="2">
        <f>IF(ISNUMBER(SEARCH(Лист2!$B$4,F:F)),1,0)</f>
        <v>0</v>
      </c>
      <c r="H4214" s="3">
        <f ca="1">IF(AND(I4214&lt;&gt;I4213,ISNUMBER(SEARCH(Лист2!$B$5,I:I)),G4214=1),MAX($H$3:OFFSET(H4214,-1,0))+1,0)</f>
        <v>0</v>
      </c>
      <c r="I4214" s="3" t="s">
        <v>347</v>
      </c>
      <c r="K4214" s="2">
        <f>IF(ISNUMBER(SEARCH(Лист2!$B$4,F:F)),1,0)</f>
        <v>0</v>
      </c>
      <c r="L4214" s="14">
        <f>IF(ISNUMBER(SEARCH(Лист2!$B$5,I:I)),1,0)+K4214</f>
        <v>0</v>
      </c>
      <c r="M4214" s="3">
        <f ca="1">IF(AND(N4214&lt;&gt;N4213,ISNUMBER(SEARCH(Лист2!$B$6,N:N)),L4214=2),MAX($M$3:OFFSET(M4214,-1,0))+1,0)</f>
        <v>0</v>
      </c>
      <c r="N4214" s="3" t="s">
        <v>2632</v>
      </c>
    </row>
    <row r="4215" spans="1:14" x14ac:dyDescent="0.25">
      <c r="A4215" s="1" t="s">
        <v>12984</v>
      </c>
      <c r="B4215" s="3" t="s">
        <v>7839</v>
      </c>
      <c r="C4215" s="2">
        <f ca="1">IF(ISNUMBER(SEARCH(Лист2!$B$4,D:D)),MAX($C$3:OFFSET(C4215,-1,0))+1,0)</f>
        <v>0</v>
      </c>
      <c r="E4215" s="9" t="str">
        <f t="shared" ca="1" si="77"/>
        <v/>
      </c>
      <c r="F4215" s="4" t="s">
        <v>22</v>
      </c>
      <c r="G4215" s="2">
        <f>IF(ISNUMBER(SEARCH(Лист2!$B$4,F:F)),1,0)</f>
        <v>0</v>
      </c>
      <c r="H4215" s="3">
        <f ca="1">IF(AND(I4215&lt;&gt;I4214,ISNUMBER(SEARCH(Лист2!$B$5,I:I)),G4215=1),MAX($H$3:OFFSET(H4215,-1,0))+1,0)</f>
        <v>0</v>
      </c>
      <c r="I4215" s="3" t="s">
        <v>347</v>
      </c>
      <c r="K4215" s="2">
        <f>IF(ISNUMBER(SEARCH(Лист2!$B$4,F:F)),1,0)</f>
        <v>0</v>
      </c>
      <c r="L4215" s="14">
        <f>IF(ISNUMBER(SEARCH(Лист2!$B$5,I:I)),1,0)+K4215</f>
        <v>0</v>
      </c>
      <c r="M4215" s="3">
        <f ca="1">IF(AND(N4215&lt;&gt;N4214,ISNUMBER(SEARCH(Лист2!$B$6,N:N)),L4215=2),MAX($M$3:OFFSET(M4215,-1,0))+1,0)</f>
        <v>0</v>
      </c>
      <c r="N4215" s="3" t="s">
        <v>602</v>
      </c>
    </row>
    <row r="4216" spans="1:14" x14ac:dyDescent="0.25">
      <c r="A4216" s="1" t="s">
        <v>12985</v>
      </c>
      <c r="B4216" s="3" t="s">
        <v>7840</v>
      </c>
      <c r="C4216" s="2">
        <f ca="1">IF(ISNUMBER(SEARCH(Лист2!$B$4,D:D)),MAX($C$3:OFFSET(C4216,-1,0))+1,0)</f>
        <v>0</v>
      </c>
      <c r="E4216" s="9" t="str">
        <f t="shared" ca="1" si="77"/>
        <v/>
      </c>
      <c r="F4216" s="4" t="s">
        <v>22</v>
      </c>
      <c r="G4216" s="2">
        <f>IF(ISNUMBER(SEARCH(Лист2!$B$4,F:F)),1,0)</f>
        <v>0</v>
      </c>
      <c r="H4216" s="3">
        <f ca="1">IF(AND(I4216&lt;&gt;I4215,ISNUMBER(SEARCH(Лист2!$B$5,I:I)),G4216=1),MAX($H$3:OFFSET(H4216,-1,0))+1,0)</f>
        <v>0</v>
      </c>
      <c r="I4216" s="3" t="s">
        <v>347</v>
      </c>
      <c r="K4216" s="2">
        <f>IF(ISNUMBER(SEARCH(Лист2!$B$4,F:F)),1,0)</f>
        <v>0</v>
      </c>
      <c r="L4216" s="14">
        <f>IF(ISNUMBER(SEARCH(Лист2!$B$5,I:I)),1,0)+K4216</f>
        <v>0</v>
      </c>
      <c r="M4216" s="3">
        <f ca="1">IF(AND(N4216&lt;&gt;N4215,ISNUMBER(SEARCH(Лист2!$B$6,N:N)),L4216=2),MAX($M$3:OFFSET(M4216,-1,0))+1,0)</f>
        <v>0</v>
      </c>
      <c r="N4216" s="3" t="s">
        <v>2633</v>
      </c>
    </row>
    <row r="4217" spans="1:14" x14ac:dyDescent="0.25">
      <c r="A4217" s="1" t="s">
        <v>12986</v>
      </c>
      <c r="B4217" s="3" t="s">
        <v>7841</v>
      </c>
      <c r="C4217" s="2">
        <f ca="1">IF(ISNUMBER(SEARCH(Лист2!$B$4,D:D)),MAX($C$3:OFFSET(C4217,-1,0))+1,0)</f>
        <v>0</v>
      </c>
      <c r="E4217" s="9" t="str">
        <f t="shared" ca="1" si="77"/>
        <v/>
      </c>
      <c r="F4217" s="4" t="s">
        <v>22</v>
      </c>
      <c r="G4217" s="2">
        <f>IF(ISNUMBER(SEARCH(Лист2!$B$4,F:F)),1,0)</f>
        <v>0</v>
      </c>
      <c r="H4217" s="3">
        <f ca="1">IF(AND(I4217&lt;&gt;I4216,ISNUMBER(SEARCH(Лист2!$B$5,I:I)),G4217=1),MAX($H$3:OFFSET(H4217,-1,0))+1,0)</f>
        <v>0</v>
      </c>
      <c r="I4217" s="3" t="s">
        <v>347</v>
      </c>
      <c r="K4217" s="2">
        <f>IF(ISNUMBER(SEARCH(Лист2!$B$4,F:F)),1,0)</f>
        <v>0</v>
      </c>
      <c r="L4217" s="14">
        <f>IF(ISNUMBER(SEARCH(Лист2!$B$5,I:I)),1,0)+K4217</f>
        <v>0</v>
      </c>
      <c r="M4217" s="3">
        <f ca="1">IF(AND(N4217&lt;&gt;N4216,ISNUMBER(SEARCH(Лист2!$B$6,N:N)),L4217=2),MAX($M$3:OFFSET(M4217,-1,0))+1,0)</f>
        <v>0</v>
      </c>
      <c r="N4217" s="3" t="s">
        <v>2634</v>
      </c>
    </row>
    <row r="4218" spans="1:14" x14ac:dyDescent="0.25">
      <c r="A4218" s="1" t="s">
        <v>12987</v>
      </c>
      <c r="B4218" s="3" t="s">
        <v>7842</v>
      </c>
      <c r="C4218" s="2">
        <f ca="1">IF(ISNUMBER(SEARCH(Лист2!$B$4,D:D)),MAX($C$3:OFFSET(C4218,-1,0))+1,0)</f>
        <v>0</v>
      </c>
      <c r="E4218" s="9" t="str">
        <f t="shared" ca="1" si="77"/>
        <v/>
      </c>
      <c r="F4218" s="4" t="s">
        <v>22</v>
      </c>
      <c r="G4218" s="2">
        <f>IF(ISNUMBER(SEARCH(Лист2!$B$4,F:F)),1,0)</f>
        <v>0</v>
      </c>
      <c r="H4218" s="3">
        <f ca="1">IF(AND(I4218&lt;&gt;I4217,ISNUMBER(SEARCH(Лист2!$B$5,I:I)),G4218=1),MAX($H$3:OFFSET(H4218,-1,0))+1,0)</f>
        <v>0</v>
      </c>
      <c r="I4218" s="3" t="s">
        <v>347</v>
      </c>
      <c r="K4218" s="2">
        <f>IF(ISNUMBER(SEARCH(Лист2!$B$4,F:F)),1,0)</f>
        <v>0</v>
      </c>
      <c r="L4218" s="14">
        <f>IF(ISNUMBER(SEARCH(Лист2!$B$5,I:I)),1,0)+K4218</f>
        <v>0</v>
      </c>
      <c r="M4218" s="3">
        <f ca="1">IF(AND(N4218&lt;&gt;N4217,ISNUMBER(SEARCH(Лист2!$B$6,N:N)),L4218=2),MAX($M$3:OFFSET(M4218,-1,0))+1,0)</f>
        <v>0</v>
      </c>
      <c r="N4218" s="3" t="s">
        <v>677</v>
      </c>
    </row>
    <row r="4219" spans="1:14" x14ac:dyDescent="0.25">
      <c r="A4219" s="1" t="s">
        <v>12988</v>
      </c>
      <c r="B4219" s="3" t="s">
        <v>7843</v>
      </c>
      <c r="C4219" s="2">
        <f ca="1">IF(ISNUMBER(SEARCH(Лист2!$B$4,D:D)),MAX($C$3:OFFSET(C4219,-1,0))+1,0)</f>
        <v>0</v>
      </c>
      <c r="E4219" s="9" t="str">
        <f t="shared" ca="1" si="77"/>
        <v/>
      </c>
      <c r="F4219" s="4" t="s">
        <v>22</v>
      </c>
      <c r="G4219" s="2">
        <f>IF(ISNUMBER(SEARCH(Лист2!$B$4,F:F)),1,0)</f>
        <v>0</v>
      </c>
      <c r="H4219" s="3">
        <f ca="1">IF(AND(I4219&lt;&gt;I4218,ISNUMBER(SEARCH(Лист2!$B$5,I:I)),G4219=1),MAX($H$3:OFFSET(H4219,-1,0))+1,0)</f>
        <v>0</v>
      </c>
      <c r="I4219" s="3" t="s">
        <v>347</v>
      </c>
      <c r="K4219" s="2">
        <f>IF(ISNUMBER(SEARCH(Лист2!$B$4,F:F)),1,0)</f>
        <v>0</v>
      </c>
      <c r="L4219" s="14">
        <f>IF(ISNUMBER(SEARCH(Лист2!$B$5,I:I)),1,0)+K4219</f>
        <v>0</v>
      </c>
      <c r="M4219" s="3">
        <f ca="1">IF(AND(N4219&lt;&gt;N4218,ISNUMBER(SEARCH(Лист2!$B$6,N:N)),L4219=2),MAX($M$3:OFFSET(M4219,-1,0))+1,0)</f>
        <v>0</v>
      </c>
      <c r="N4219" s="3" t="s">
        <v>2635</v>
      </c>
    </row>
    <row r="4220" spans="1:14" x14ac:dyDescent="0.25">
      <c r="A4220" s="1" t="s">
        <v>12989</v>
      </c>
      <c r="B4220" s="3" t="s">
        <v>7844</v>
      </c>
      <c r="C4220" s="2">
        <f ca="1">IF(ISNUMBER(SEARCH(Лист2!$B$4,D:D)),MAX($C$3:OFFSET(C4220,-1,0))+1,0)</f>
        <v>0</v>
      </c>
      <c r="E4220" s="9" t="str">
        <f t="shared" ca="1" si="77"/>
        <v/>
      </c>
      <c r="F4220" s="4" t="s">
        <v>22</v>
      </c>
      <c r="G4220" s="2">
        <f>IF(ISNUMBER(SEARCH(Лист2!$B$4,F:F)),1,0)</f>
        <v>0</v>
      </c>
      <c r="H4220" s="3">
        <f ca="1">IF(AND(I4220&lt;&gt;I4219,ISNUMBER(SEARCH(Лист2!$B$5,I:I)),G4220=1),MAX($H$3:OFFSET(H4220,-1,0))+1,0)</f>
        <v>0</v>
      </c>
      <c r="I4220" s="3" t="s">
        <v>347</v>
      </c>
      <c r="K4220" s="2">
        <f>IF(ISNUMBER(SEARCH(Лист2!$B$4,F:F)),1,0)</f>
        <v>0</v>
      </c>
      <c r="L4220" s="14">
        <f>IF(ISNUMBER(SEARCH(Лист2!$B$5,I:I)),1,0)+K4220</f>
        <v>0</v>
      </c>
      <c r="M4220" s="3">
        <f ca="1">IF(AND(N4220&lt;&gt;N4219,ISNUMBER(SEARCH(Лист2!$B$6,N:N)),L4220=2),MAX($M$3:OFFSET(M4220,-1,0))+1,0)</f>
        <v>0</v>
      </c>
      <c r="N4220" s="3" t="s">
        <v>2636</v>
      </c>
    </row>
    <row r="4221" spans="1:14" x14ac:dyDescent="0.25">
      <c r="A4221" s="1" t="s">
        <v>12990</v>
      </c>
      <c r="B4221" s="3" t="s">
        <v>7845</v>
      </c>
      <c r="C4221" s="2">
        <f ca="1">IF(ISNUMBER(SEARCH(Лист2!$B$4,D:D)),MAX($C$3:OFFSET(C4221,-1,0))+1,0)</f>
        <v>0</v>
      </c>
      <c r="E4221" s="9" t="str">
        <f t="shared" ca="1" si="77"/>
        <v/>
      </c>
      <c r="F4221" s="4" t="s">
        <v>22</v>
      </c>
      <c r="G4221" s="2">
        <f>IF(ISNUMBER(SEARCH(Лист2!$B$4,F:F)),1,0)</f>
        <v>0</v>
      </c>
      <c r="H4221" s="3">
        <f ca="1">IF(AND(I4221&lt;&gt;I4220,ISNUMBER(SEARCH(Лист2!$B$5,I:I)),G4221=1),MAX($H$3:OFFSET(H4221,-1,0))+1,0)</f>
        <v>0</v>
      </c>
      <c r="I4221" s="3" t="s">
        <v>348</v>
      </c>
      <c r="K4221" s="2">
        <f>IF(ISNUMBER(SEARCH(Лист2!$B$4,F:F)),1,0)</f>
        <v>0</v>
      </c>
      <c r="L4221" s="14">
        <f>IF(ISNUMBER(SEARCH(Лист2!$B$5,I:I)),1,0)+K4221</f>
        <v>0</v>
      </c>
      <c r="M4221" s="3">
        <f ca="1">IF(AND(N4221&lt;&gt;N4220,ISNUMBER(SEARCH(Лист2!$B$6,N:N)),L4221=2),MAX($M$3:OFFSET(M4221,-1,0))+1,0)</f>
        <v>0</v>
      </c>
      <c r="N4221" s="3" t="s">
        <v>2637</v>
      </c>
    </row>
    <row r="4222" spans="1:14" x14ac:dyDescent="0.25">
      <c r="A4222" s="1" t="s">
        <v>12991</v>
      </c>
      <c r="B4222" s="3" t="s">
        <v>7846</v>
      </c>
      <c r="C4222" s="2">
        <f ca="1">IF(ISNUMBER(SEARCH(Лист2!$B$4,D:D)),MAX($C$3:OFFSET(C4222,-1,0))+1,0)</f>
        <v>0</v>
      </c>
      <c r="E4222" s="9" t="str">
        <f t="shared" ca="1" si="77"/>
        <v/>
      </c>
      <c r="F4222" s="4" t="s">
        <v>22</v>
      </c>
      <c r="G4222" s="2">
        <f>IF(ISNUMBER(SEARCH(Лист2!$B$4,F:F)),1,0)</f>
        <v>0</v>
      </c>
      <c r="H4222" s="3">
        <f ca="1">IF(AND(I4222&lt;&gt;I4221,ISNUMBER(SEARCH(Лист2!$B$5,I:I)),G4222=1),MAX($H$3:OFFSET(H4222,-1,0))+1,0)</f>
        <v>0</v>
      </c>
      <c r="I4222" s="3" t="s">
        <v>348</v>
      </c>
      <c r="K4222" s="2">
        <f>IF(ISNUMBER(SEARCH(Лист2!$B$4,F:F)),1,0)</f>
        <v>0</v>
      </c>
      <c r="L4222" s="14">
        <f>IF(ISNUMBER(SEARCH(Лист2!$B$5,I:I)),1,0)+K4222</f>
        <v>0</v>
      </c>
      <c r="M4222" s="3">
        <f ca="1">IF(AND(N4222&lt;&gt;N4221,ISNUMBER(SEARCH(Лист2!$B$6,N:N)),L4222=2),MAX($M$3:OFFSET(M4222,-1,0))+1,0)</f>
        <v>0</v>
      </c>
      <c r="N4222" s="3" t="s">
        <v>2638</v>
      </c>
    </row>
    <row r="4223" spans="1:14" x14ac:dyDescent="0.25">
      <c r="A4223" s="1" t="s">
        <v>12992</v>
      </c>
      <c r="B4223" s="3" t="s">
        <v>7847</v>
      </c>
      <c r="C4223" s="2">
        <f ca="1">IF(ISNUMBER(SEARCH(Лист2!$B$4,D:D)),MAX($C$3:OFFSET(C4223,-1,0))+1,0)</f>
        <v>0</v>
      </c>
      <c r="E4223" s="9" t="str">
        <f t="shared" ca="1" si="77"/>
        <v/>
      </c>
      <c r="F4223" s="4" t="s">
        <v>22</v>
      </c>
      <c r="G4223" s="2">
        <f>IF(ISNUMBER(SEARCH(Лист2!$B$4,F:F)),1,0)</f>
        <v>0</v>
      </c>
      <c r="H4223" s="3">
        <f ca="1">IF(AND(I4223&lt;&gt;I4222,ISNUMBER(SEARCH(Лист2!$B$5,I:I)),G4223=1),MAX($H$3:OFFSET(H4223,-1,0))+1,0)</f>
        <v>0</v>
      </c>
      <c r="I4223" s="3" t="s">
        <v>348</v>
      </c>
      <c r="K4223" s="2">
        <f>IF(ISNUMBER(SEARCH(Лист2!$B$4,F:F)),1,0)</f>
        <v>0</v>
      </c>
      <c r="L4223" s="14">
        <f>IF(ISNUMBER(SEARCH(Лист2!$B$5,I:I)),1,0)+K4223</f>
        <v>0</v>
      </c>
      <c r="M4223" s="3">
        <f ca="1">IF(AND(N4223&lt;&gt;N4222,ISNUMBER(SEARCH(Лист2!$B$6,N:N)),L4223=2),MAX($M$3:OFFSET(M4223,-1,0))+1,0)</f>
        <v>0</v>
      </c>
      <c r="N4223" s="3" t="s">
        <v>2639</v>
      </c>
    </row>
    <row r="4224" spans="1:14" x14ac:dyDescent="0.25">
      <c r="A4224" s="1" t="s">
        <v>12993</v>
      </c>
      <c r="B4224" s="3" t="s">
        <v>7848</v>
      </c>
      <c r="C4224" s="2">
        <f ca="1">IF(ISNUMBER(SEARCH(Лист2!$B$4,D:D)),MAX($C$3:OFFSET(C4224,-1,0))+1,0)</f>
        <v>0</v>
      </c>
      <c r="E4224" s="9" t="str">
        <f t="shared" ca="1" si="77"/>
        <v/>
      </c>
      <c r="F4224" s="4" t="s">
        <v>22</v>
      </c>
      <c r="G4224" s="2">
        <f>IF(ISNUMBER(SEARCH(Лист2!$B$4,F:F)),1,0)</f>
        <v>0</v>
      </c>
      <c r="H4224" s="3">
        <f ca="1">IF(AND(I4224&lt;&gt;I4223,ISNUMBER(SEARCH(Лист2!$B$5,I:I)),G4224=1),MAX($H$3:OFFSET(H4224,-1,0))+1,0)</f>
        <v>0</v>
      </c>
      <c r="I4224" s="3" t="s">
        <v>348</v>
      </c>
      <c r="K4224" s="2">
        <f>IF(ISNUMBER(SEARCH(Лист2!$B$4,F:F)),1,0)</f>
        <v>0</v>
      </c>
      <c r="L4224" s="14">
        <f>IF(ISNUMBER(SEARCH(Лист2!$B$5,I:I)),1,0)+K4224</f>
        <v>0</v>
      </c>
      <c r="M4224" s="3">
        <f ca="1">IF(AND(N4224&lt;&gt;N4223,ISNUMBER(SEARCH(Лист2!$B$6,N:N)),L4224=2),MAX($M$3:OFFSET(M4224,-1,0))+1,0)</f>
        <v>0</v>
      </c>
      <c r="N4224" s="3" t="s">
        <v>2640</v>
      </c>
    </row>
    <row r="4225" spans="1:14" x14ac:dyDescent="0.25">
      <c r="A4225" s="1" t="s">
        <v>12994</v>
      </c>
      <c r="B4225" s="3" t="s">
        <v>7849</v>
      </c>
      <c r="C4225" s="2">
        <f ca="1">IF(ISNUMBER(SEARCH(Лист2!$B$4,D:D)),MAX($C$3:OFFSET(C4225,-1,0))+1,0)</f>
        <v>0</v>
      </c>
      <c r="E4225" s="9" t="str">
        <f t="shared" ca="1" si="77"/>
        <v/>
      </c>
      <c r="F4225" s="4" t="s">
        <v>22</v>
      </c>
      <c r="G4225" s="2">
        <f>IF(ISNUMBER(SEARCH(Лист2!$B$4,F:F)),1,0)</f>
        <v>0</v>
      </c>
      <c r="H4225" s="3">
        <f ca="1">IF(AND(I4225&lt;&gt;I4224,ISNUMBER(SEARCH(Лист2!$B$5,I:I)),G4225=1),MAX($H$3:OFFSET(H4225,-1,0))+1,0)</f>
        <v>0</v>
      </c>
      <c r="I4225" s="3" t="s">
        <v>348</v>
      </c>
      <c r="K4225" s="2">
        <f>IF(ISNUMBER(SEARCH(Лист2!$B$4,F:F)),1,0)</f>
        <v>0</v>
      </c>
      <c r="L4225" s="14">
        <f>IF(ISNUMBER(SEARCH(Лист2!$B$5,I:I)),1,0)+K4225</f>
        <v>0</v>
      </c>
      <c r="M4225" s="3">
        <f ca="1">IF(AND(N4225&lt;&gt;N4224,ISNUMBER(SEARCH(Лист2!$B$6,N:N)),L4225=2),MAX($M$3:OFFSET(M4225,-1,0))+1,0)</f>
        <v>0</v>
      </c>
      <c r="N4225" s="3" t="s">
        <v>602</v>
      </c>
    </row>
    <row r="4226" spans="1:14" x14ac:dyDescent="0.25">
      <c r="A4226" s="1" t="s">
        <v>12995</v>
      </c>
      <c r="B4226" s="3" t="s">
        <v>7850</v>
      </c>
      <c r="C4226" s="2">
        <f ca="1">IF(ISNUMBER(SEARCH(Лист2!$B$4,D:D)),MAX($C$3:OFFSET(C4226,-1,0))+1,0)</f>
        <v>0</v>
      </c>
      <c r="E4226" s="9" t="str">
        <f t="shared" ca="1" si="77"/>
        <v/>
      </c>
      <c r="F4226" s="4" t="s">
        <v>22</v>
      </c>
      <c r="G4226" s="2">
        <f>IF(ISNUMBER(SEARCH(Лист2!$B$4,F:F)),1,0)</f>
        <v>0</v>
      </c>
      <c r="H4226" s="3">
        <f ca="1">IF(AND(I4226&lt;&gt;I4225,ISNUMBER(SEARCH(Лист2!$B$5,I:I)),G4226=1),MAX($H$3:OFFSET(H4226,-1,0))+1,0)</f>
        <v>0</v>
      </c>
      <c r="I4226" s="3" t="s">
        <v>348</v>
      </c>
      <c r="K4226" s="2">
        <f>IF(ISNUMBER(SEARCH(Лист2!$B$4,F:F)),1,0)</f>
        <v>0</v>
      </c>
      <c r="L4226" s="14">
        <f>IF(ISNUMBER(SEARCH(Лист2!$B$5,I:I)),1,0)+K4226</f>
        <v>0</v>
      </c>
      <c r="M4226" s="3">
        <f ca="1">IF(AND(N4226&lt;&gt;N4225,ISNUMBER(SEARCH(Лист2!$B$6,N:N)),L4226=2),MAX($M$3:OFFSET(M4226,-1,0))+1,0)</f>
        <v>0</v>
      </c>
      <c r="N4226" s="3" t="s">
        <v>2641</v>
      </c>
    </row>
    <row r="4227" spans="1:14" x14ac:dyDescent="0.25">
      <c r="A4227" s="1" t="s">
        <v>12996</v>
      </c>
      <c r="B4227" s="3" t="s">
        <v>7851</v>
      </c>
      <c r="C4227" s="2">
        <f ca="1">IF(ISNUMBER(SEARCH(Лист2!$B$4,D:D)),MAX($C$3:OFFSET(C4227,-1,0))+1,0)</f>
        <v>0</v>
      </c>
      <c r="E4227" s="9" t="str">
        <f t="shared" ca="1" si="77"/>
        <v/>
      </c>
      <c r="F4227" s="4" t="s">
        <v>22</v>
      </c>
      <c r="G4227" s="2">
        <f>IF(ISNUMBER(SEARCH(Лист2!$B$4,F:F)),1,0)</f>
        <v>0</v>
      </c>
      <c r="H4227" s="3">
        <f ca="1">IF(AND(I4227&lt;&gt;I4226,ISNUMBER(SEARCH(Лист2!$B$5,I:I)),G4227=1),MAX($H$3:OFFSET(H4227,-1,0))+1,0)</f>
        <v>0</v>
      </c>
      <c r="I4227" s="3" t="s">
        <v>349</v>
      </c>
      <c r="K4227" s="2">
        <f>IF(ISNUMBER(SEARCH(Лист2!$B$4,F:F)),1,0)</f>
        <v>0</v>
      </c>
      <c r="L4227" s="14">
        <f>IF(ISNUMBER(SEARCH(Лист2!$B$5,I:I)),1,0)+K4227</f>
        <v>0</v>
      </c>
      <c r="M4227" s="3">
        <f ca="1">IF(AND(N4227&lt;&gt;N4226,ISNUMBER(SEARCH(Лист2!$B$6,N:N)),L4227=2),MAX($M$3:OFFSET(M4227,-1,0))+1,0)</f>
        <v>0</v>
      </c>
      <c r="N4227" s="3" t="s">
        <v>2642</v>
      </c>
    </row>
    <row r="4228" spans="1:14" x14ac:dyDescent="0.25">
      <c r="A4228" s="1" t="s">
        <v>12997</v>
      </c>
      <c r="B4228" s="3" t="s">
        <v>7852</v>
      </c>
      <c r="C4228" s="2">
        <f ca="1">IF(ISNUMBER(SEARCH(Лист2!$B$4,D:D)),MAX($C$3:OFFSET(C4228,-1,0))+1,0)</f>
        <v>0</v>
      </c>
      <c r="E4228" s="9" t="str">
        <f t="shared" ca="1" si="77"/>
        <v/>
      </c>
      <c r="F4228" s="4" t="s">
        <v>22</v>
      </c>
      <c r="G4228" s="2">
        <f>IF(ISNUMBER(SEARCH(Лист2!$B$4,F:F)),1,0)</f>
        <v>0</v>
      </c>
      <c r="H4228" s="3">
        <f ca="1">IF(AND(I4228&lt;&gt;I4227,ISNUMBER(SEARCH(Лист2!$B$5,I:I)),G4228=1),MAX($H$3:OFFSET(H4228,-1,0))+1,0)</f>
        <v>0</v>
      </c>
      <c r="I4228" s="3" t="s">
        <v>349</v>
      </c>
      <c r="K4228" s="2">
        <f>IF(ISNUMBER(SEARCH(Лист2!$B$4,F:F)),1,0)</f>
        <v>0</v>
      </c>
      <c r="L4228" s="14">
        <f>IF(ISNUMBER(SEARCH(Лист2!$B$5,I:I)),1,0)+K4228</f>
        <v>0</v>
      </c>
      <c r="M4228" s="3">
        <f ca="1">IF(AND(N4228&lt;&gt;N4227,ISNUMBER(SEARCH(Лист2!$B$6,N:N)),L4228=2),MAX($M$3:OFFSET(M4228,-1,0))+1,0)</f>
        <v>0</v>
      </c>
      <c r="N4228" s="3" t="s">
        <v>2643</v>
      </c>
    </row>
    <row r="4229" spans="1:14" x14ac:dyDescent="0.25">
      <c r="A4229" s="1" t="s">
        <v>12998</v>
      </c>
      <c r="B4229" s="3" t="s">
        <v>7853</v>
      </c>
      <c r="C4229" s="2">
        <f ca="1">IF(ISNUMBER(SEARCH(Лист2!$B$4,D:D)),MAX($C$3:OFFSET(C4229,-1,0))+1,0)</f>
        <v>0</v>
      </c>
      <c r="E4229" s="9" t="str">
        <f t="shared" ref="E4229:E4292" ca="1" si="78">IFERROR(INDEX(D:D,MATCH(ROW(E4229)-ROW($E$3),C:C,0)),"")</f>
        <v/>
      </c>
      <c r="F4229" s="4" t="s">
        <v>22</v>
      </c>
      <c r="G4229" s="2">
        <f>IF(ISNUMBER(SEARCH(Лист2!$B$4,F:F)),1,0)</f>
        <v>0</v>
      </c>
      <c r="H4229" s="3">
        <f ca="1">IF(AND(I4229&lt;&gt;I4228,ISNUMBER(SEARCH(Лист2!$B$5,I:I)),G4229=1),MAX($H$3:OFFSET(H4229,-1,0))+1,0)</f>
        <v>0</v>
      </c>
      <c r="I4229" s="3" t="s">
        <v>349</v>
      </c>
      <c r="K4229" s="2">
        <f>IF(ISNUMBER(SEARCH(Лист2!$B$4,F:F)),1,0)</f>
        <v>0</v>
      </c>
      <c r="L4229" s="14">
        <f>IF(ISNUMBER(SEARCH(Лист2!$B$5,I:I)),1,0)+K4229</f>
        <v>0</v>
      </c>
      <c r="M4229" s="3">
        <f ca="1">IF(AND(N4229&lt;&gt;N4228,ISNUMBER(SEARCH(Лист2!$B$6,N:N)),L4229=2),MAX($M$3:OFFSET(M4229,-1,0))+1,0)</f>
        <v>0</v>
      </c>
      <c r="N4229" s="3" t="s">
        <v>2644</v>
      </c>
    </row>
    <row r="4230" spans="1:14" x14ac:dyDescent="0.25">
      <c r="A4230" s="1" t="s">
        <v>12999</v>
      </c>
      <c r="B4230" s="3" t="s">
        <v>7854</v>
      </c>
      <c r="C4230" s="2">
        <f ca="1">IF(ISNUMBER(SEARCH(Лист2!$B$4,D:D)),MAX($C$3:OFFSET(C4230,-1,0))+1,0)</f>
        <v>0</v>
      </c>
      <c r="E4230" s="9" t="str">
        <f t="shared" ca="1" si="78"/>
        <v/>
      </c>
      <c r="F4230" s="4" t="s">
        <v>22</v>
      </c>
      <c r="G4230" s="2">
        <f>IF(ISNUMBER(SEARCH(Лист2!$B$4,F:F)),1,0)</f>
        <v>0</v>
      </c>
      <c r="H4230" s="3">
        <f ca="1">IF(AND(I4230&lt;&gt;I4229,ISNUMBER(SEARCH(Лист2!$B$5,I:I)),G4230=1),MAX($H$3:OFFSET(H4230,-1,0))+1,0)</f>
        <v>0</v>
      </c>
      <c r="I4230" s="3" t="s">
        <v>349</v>
      </c>
      <c r="K4230" s="2">
        <f>IF(ISNUMBER(SEARCH(Лист2!$B$4,F:F)),1,0)</f>
        <v>0</v>
      </c>
      <c r="L4230" s="14">
        <f>IF(ISNUMBER(SEARCH(Лист2!$B$5,I:I)),1,0)+K4230</f>
        <v>0</v>
      </c>
      <c r="M4230" s="3">
        <f ca="1">IF(AND(N4230&lt;&gt;N4229,ISNUMBER(SEARCH(Лист2!$B$6,N:N)),L4230=2),MAX($M$3:OFFSET(M4230,-1,0))+1,0)</f>
        <v>0</v>
      </c>
      <c r="N4230" s="3" t="s">
        <v>2645</v>
      </c>
    </row>
    <row r="4231" spans="1:14" x14ac:dyDescent="0.25">
      <c r="A4231" s="1" t="s">
        <v>13000</v>
      </c>
      <c r="B4231" s="3" t="s">
        <v>7855</v>
      </c>
      <c r="C4231" s="2">
        <f ca="1">IF(ISNUMBER(SEARCH(Лист2!$B$4,D:D)),MAX($C$3:OFFSET(C4231,-1,0))+1,0)</f>
        <v>0</v>
      </c>
      <c r="E4231" s="9" t="str">
        <f t="shared" ca="1" si="78"/>
        <v/>
      </c>
      <c r="F4231" s="4" t="s">
        <v>22</v>
      </c>
      <c r="G4231" s="2">
        <f>IF(ISNUMBER(SEARCH(Лист2!$B$4,F:F)),1,0)</f>
        <v>0</v>
      </c>
      <c r="H4231" s="3">
        <f ca="1">IF(AND(I4231&lt;&gt;I4230,ISNUMBER(SEARCH(Лист2!$B$5,I:I)),G4231=1),MAX($H$3:OFFSET(H4231,-1,0))+1,0)</f>
        <v>0</v>
      </c>
      <c r="I4231" s="3" t="s">
        <v>349</v>
      </c>
      <c r="K4231" s="2">
        <f>IF(ISNUMBER(SEARCH(Лист2!$B$4,F:F)),1,0)</f>
        <v>0</v>
      </c>
      <c r="L4231" s="14">
        <f>IF(ISNUMBER(SEARCH(Лист2!$B$5,I:I)),1,0)+K4231</f>
        <v>0</v>
      </c>
      <c r="M4231" s="3">
        <f ca="1">IF(AND(N4231&lt;&gt;N4230,ISNUMBER(SEARCH(Лист2!$B$6,N:N)),L4231=2),MAX($M$3:OFFSET(M4231,-1,0))+1,0)</f>
        <v>0</v>
      </c>
      <c r="N4231" s="3" t="s">
        <v>2646</v>
      </c>
    </row>
    <row r="4232" spans="1:14" x14ac:dyDescent="0.25">
      <c r="A4232" s="1" t="s">
        <v>13001</v>
      </c>
      <c r="B4232" s="3" t="s">
        <v>7856</v>
      </c>
      <c r="C4232" s="2">
        <f ca="1">IF(ISNUMBER(SEARCH(Лист2!$B$4,D:D)),MAX($C$3:OFFSET(C4232,-1,0))+1,0)</f>
        <v>0</v>
      </c>
      <c r="E4232" s="9" t="str">
        <f t="shared" ca="1" si="78"/>
        <v/>
      </c>
      <c r="F4232" s="4" t="s">
        <v>22</v>
      </c>
      <c r="G4232" s="2">
        <f>IF(ISNUMBER(SEARCH(Лист2!$B$4,F:F)),1,0)</f>
        <v>0</v>
      </c>
      <c r="H4232" s="3">
        <f ca="1">IF(AND(I4232&lt;&gt;I4231,ISNUMBER(SEARCH(Лист2!$B$5,I:I)),G4232=1),MAX($H$3:OFFSET(H4232,-1,0))+1,0)</f>
        <v>0</v>
      </c>
      <c r="I4232" s="3" t="s">
        <v>349</v>
      </c>
      <c r="K4232" s="2">
        <f>IF(ISNUMBER(SEARCH(Лист2!$B$4,F:F)),1,0)</f>
        <v>0</v>
      </c>
      <c r="L4232" s="14">
        <f>IF(ISNUMBER(SEARCH(Лист2!$B$5,I:I)),1,0)+K4232</f>
        <v>0</v>
      </c>
      <c r="M4232" s="3">
        <f ca="1">IF(AND(N4232&lt;&gt;N4231,ISNUMBER(SEARCH(Лист2!$B$6,N:N)),L4232=2),MAX($M$3:OFFSET(M4232,-1,0))+1,0)</f>
        <v>0</v>
      </c>
      <c r="N4232" s="3" t="s">
        <v>2647</v>
      </c>
    </row>
    <row r="4233" spans="1:14" x14ac:dyDescent="0.25">
      <c r="A4233" s="1" t="s">
        <v>13002</v>
      </c>
      <c r="B4233" s="3" t="s">
        <v>7857</v>
      </c>
      <c r="C4233" s="2">
        <f ca="1">IF(ISNUMBER(SEARCH(Лист2!$B$4,D:D)),MAX($C$3:OFFSET(C4233,-1,0))+1,0)</f>
        <v>0</v>
      </c>
      <c r="E4233" s="9" t="str">
        <f t="shared" ca="1" si="78"/>
        <v/>
      </c>
      <c r="F4233" s="4" t="s">
        <v>22</v>
      </c>
      <c r="G4233" s="2">
        <f>IF(ISNUMBER(SEARCH(Лист2!$B$4,F:F)),1,0)</f>
        <v>0</v>
      </c>
      <c r="H4233" s="3">
        <f ca="1">IF(AND(I4233&lt;&gt;I4232,ISNUMBER(SEARCH(Лист2!$B$5,I:I)),G4233=1),MAX($H$3:OFFSET(H4233,-1,0))+1,0)</f>
        <v>0</v>
      </c>
      <c r="I4233" s="3" t="s">
        <v>349</v>
      </c>
      <c r="K4233" s="2">
        <f>IF(ISNUMBER(SEARCH(Лист2!$B$4,F:F)),1,0)</f>
        <v>0</v>
      </c>
      <c r="L4233" s="14">
        <f>IF(ISNUMBER(SEARCH(Лист2!$B$5,I:I)),1,0)+K4233</f>
        <v>0</v>
      </c>
      <c r="M4233" s="3">
        <f ca="1">IF(AND(N4233&lt;&gt;N4232,ISNUMBER(SEARCH(Лист2!$B$6,N:N)),L4233=2),MAX($M$3:OFFSET(M4233,-1,0))+1,0)</f>
        <v>0</v>
      </c>
      <c r="N4233" s="3" t="s">
        <v>2648</v>
      </c>
    </row>
    <row r="4234" spans="1:14" x14ac:dyDescent="0.25">
      <c r="A4234" s="1" t="s">
        <v>13003</v>
      </c>
      <c r="B4234" s="3" t="s">
        <v>7858</v>
      </c>
      <c r="C4234" s="2">
        <f ca="1">IF(ISNUMBER(SEARCH(Лист2!$B$4,D:D)),MAX($C$3:OFFSET(C4234,-1,0))+1,0)</f>
        <v>0</v>
      </c>
      <c r="E4234" s="9" t="str">
        <f t="shared" ca="1" si="78"/>
        <v/>
      </c>
      <c r="F4234" s="4" t="s">
        <v>22</v>
      </c>
      <c r="G4234" s="2">
        <f>IF(ISNUMBER(SEARCH(Лист2!$B$4,F:F)),1,0)</f>
        <v>0</v>
      </c>
      <c r="H4234" s="3">
        <f ca="1">IF(AND(I4234&lt;&gt;I4233,ISNUMBER(SEARCH(Лист2!$B$5,I:I)),G4234=1),MAX($H$3:OFFSET(H4234,-1,0))+1,0)</f>
        <v>0</v>
      </c>
      <c r="I4234" s="3" t="s">
        <v>349</v>
      </c>
      <c r="K4234" s="2">
        <f>IF(ISNUMBER(SEARCH(Лист2!$B$4,F:F)),1,0)</f>
        <v>0</v>
      </c>
      <c r="L4234" s="14">
        <f>IF(ISNUMBER(SEARCH(Лист2!$B$5,I:I)),1,0)+K4234</f>
        <v>0</v>
      </c>
      <c r="M4234" s="3">
        <f ca="1">IF(AND(N4234&lt;&gt;N4233,ISNUMBER(SEARCH(Лист2!$B$6,N:N)),L4234=2),MAX($M$3:OFFSET(M4234,-1,0))+1,0)</f>
        <v>0</v>
      </c>
      <c r="N4234" s="3" t="s">
        <v>2649</v>
      </c>
    </row>
    <row r="4235" spans="1:14" x14ac:dyDescent="0.25">
      <c r="A4235" s="1" t="s">
        <v>13004</v>
      </c>
      <c r="B4235" s="3" t="s">
        <v>7859</v>
      </c>
      <c r="C4235" s="2">
        <f ca="1">IF(ISNUMBER(SEARCH(Лист2!$B$4,D:D)),MAX($C$3:OFFSET(C4235,-1,0))+1,0)</f>
        <v>0</v>
      </c>
      <c r="E4235" s="9" t="str">
        <f t="shared" ca="1" si="78"/>
        <v/>
      </c>
      <c r="F4235" s="4" t="s">
        <v>22</v>
      </c>
      <c r="G4235" s="2">
        <f>IF(ISNUMBER(SEARCH(Лист2!$B$4,F:F)),1,0)</f>
        <v>0</v>
      </c>
      <c r="H4235" s="3">
        <f ca="1">IF(AND(I4235&lt;&gt;I4234,ISNUMBER(SEARCH(Лист2!$B$5,I:I)),G4235=1),MAX($H$3:OFFSET(H4235,-1,0))+1,0)</f>
        <v>0</v>
      </c>
      <c r="I4235" s="3" t="s">
        <v>349</v>
      </c>
      <c r="K4235" s="2">
        <f>IF(ISNUMBER(SEARCH(Лист2!$B$4,F:F)),1,0)</f>
        <v>0</v>
      </c>
      <c r="L4235" s="14">
        <f>IF(ISNUMBER(SEARCH(Лист2!$B$5,I:I)),1,0)+K4235</f>
        <v>0</v>
      </c>
      <c r="M4235" s="3">
        <f ca="1">IF(AND(N4235&lt;&gt;N4234,ISNUMBER(SEARCH(Лист2!$B$6,N:N)),L4235=2),MAX($M$3:OFFSET(M4235,-1,0))+1,0)</f>
        <v>0</v>
      </c>
      <c r="N4235" s="3" t="s">
        <v>2650</v>
      </c>
    </row>
    <row r="4236" spans="1:14" x14ac:dyDescent="0.25">
      <c r="A4236" s="1" t="s">
        <v>13005</v>
      </c>
      <c r="B4236" s="3" t="s">
        <v>7860</v>
      </c>
      <c r="C4236" s="2">
        <f ca="1">IF(ISNUMBER(SEARCH(Лист2!$B$4,D:D)),MAX($C$3:OFFSET(C4236,-1,0))+1,0)</f>
        <v>0</v>
      </c>
      <c r="E4236" s="9" t="str">
        <f t="shared" ca="1" si="78"/>
        <v/>
      </c>
      <c r="F4236" s="4" t="s">
        <v>22</v>
      </c>
      <c r="G4236" s="2">
        <f>IF(ISNUMBER(SEARCH(Лист2!$B$4,F:F)),1,0)</f>
        <v>0</v>
      </c>
      <c r="H4236" s="3">
        <f ca="1">IF(AND(I4236&lt;&gt;I4235,ISNUMBER(SEARCH(Лист2!$B$5,I:I)),G4236=1),MAX($H$3:OFFSET(H4236,-1,0))+1,0)</f>
        <v>0</v>
      </c>
      <c r="I4236" s="3" t="s">
        <v>349</v>
      </c>
      <c r="K4236" s="2">
        <f>IF(ISNUMBER(SEARCH(Лист2!$B$4,F:F)),1,0)</f>
        <v>0</v>
      </c>
      <c r="L4236" s="14">
        <f>IF(ISNUMBER(SEARCH(Лист2!$B$5,I:I)),1,0)+K4236</f>
        <v>0</v>
      </c>
      <c r="M4236" s="3">
        <f ca="1">IF(AND(N4236&lt;&gt;N4235,ISNUMBER(SEARCH(Лист2!$B$6,N:N)),L4236=2),MAX($M$3:OFFSET(M4236,-1,0))+1,0)</f>
        <v>0</v>
      </c>
      <c r="N4236" s="3" t="s">
        <v>496</v>
      </c>
    </row>
    <row r="4237" spans="1:14" x14ac:dyDescent="0.25">
      <c r="A4237" s="1" t="s">
        <v>13006</v>
      </c>
      <c r="B4237" s="3" t="s">
        <v>7861</v>
      </c>
      <c r="C4237" s="2">
        <f ca="1">IF(ISNUMBER(SEARCH(Лист2!$B$4,D:D)),MAX($C$3:OFFSET(C4237,-1,0))+1,0)</f>
        <v>0</v>
      </c>
      <c r="E4237" s="9" t="str">
        <f t="shared" ca="1" si="78"/>
        <v/>
      </c>
      <c r="F4237" s="4" t="s">
        <v>22</v>
      </c>
      <c r="G4237" s="2">
        <f>IF(ISNUMBER(SEARCH(Лист2!$B$4,F:F)),1,0)</f>
        <v>0</v>
      </c>
      <c r="H4237" s="3">
        <f ca="1">IF(AND(I4237&lt;&gt;I4236,ISNUMBER(SEARCH(Лист2!$B$5,I:I)),G4237=1),MAX($H$3:OFFSET(H4237,-1,0))+1,0)</f>
        <v>0</v>
      </c>
      <c r="I4237" s="3" t="s">
        <v>349</v>
      </c>
      <c r="K4237" s="2">
        <f>IF(ISNUMBER(SEARCH(Лист2!$B$4,F:F)),1,0)</f>
        <v>0</v>
      </c>
      <c r="L4237" s="14">
        <f>IF(ISNUMBER(SEARCH(Лист2!$B$5,I:I)),1,0)+K4237</f>
        <v>0</v>
      </c>
      <c r="M4237" s="3">
        <f ca="1">IF(AND(N4237&lt;&gt;N4236,ISNUMBER(SEARCH(Лист2!$B$6,N:N)),L4237=2),MAX($M$3:OFFSET(M4237,-1,0))+1,0)</f>
        <v>0</v>
      </c>
      <c r="N4237" s="3" t="s">
        <v>2651</v>
      </c>
    </row>
    <row r="4238" spans="1:14" x14ac:dyDescent="0.25">
      <c r="A4238" s="1" t="s">
        <v>13007</v>
      </c>
      <c r="B4238" s="3" t="s">
        <v>7862</v>
      </c>
      <c r="C4238" s="2">
        <f ca="1">IF(ISNUMBER(SEARCH(Лист2!$B$4,D:D)),MAX($C$3:OFFSET(C4238,-1,0))+1,0)</f>
        <v>0</v>
      </c>
      <c r="E4238" s="9" t="str">
        <f t="shared" ca="1" si="78"/>
        <v/>
      </c>
      <c r="F4238" s="4" t="s">
        <v>22</v>
      </c>
      <c r="G4238" s="2">
        <f>IF(ISNUMBER(SEARCH(Лист2!$B$4,F:F)),1,0)</f>
        <v>0</v>
      </c>
      <c r="H4238" s="3">
        <f ca="1">IF(AND(I4238&lt;&gt;I4237,ISNUMBER(SEARCH(Лист2!$B$5,I:I)),G4238=1),MAX($H$3:OFFSET(H4238,-1,0))+1,0)</f>
        <v>0</v>
      </c>
      <c r="I4238" s="3" t="s">
        <v>349</v>
      </c>
      <c r="K4238" s="2">
        <f>IF(ISNUMBER(SEARCH(Лист2!$B$4,F:F)),1,0)</f>
        <v>0</v>
      </c>
      <c r="L4238" s="14">
        <f>IF(ISNUMBER(SEARCH(Лист2!$B$5,I:I)),1,0)+K4238</f>
        <v>0</v>
      </c>
      <c r="M4238" s="3">
        <f ca="1">IF(AND(N4238&lt;&gt;N4237,ISNUMBER(SEARCH(Лист2!$B$6,N:N)),L4238=2),MAX($M$3:OFFSET(M4238,-1,0))+1,0)</f>
        <v>0</v>
      </c>
      <c r="N4238" s="3" t="s">
        <v>602</v>
      </c>
    </row>
    <row r="4239" spans="1:14" x14ac:dyDescent="0.25">
      <c r="A4239" s="1" t="s">
        <v>13008</v>
      </c>
      <c r="B4239" s="3" t="s">
        <v>7863</v>
      </c>
      <c r="C4239" s="2">
        <f ca="1">IF(ISNUMBER(SEARCH(Лист2!$B$4,D:D)),MAX($C$3:OFFSET(C4239,-1,0))+1,0)</f>
        <v>0</v>
      </c>
      <c r="E4239" s="9" t="str">
        <f t="shared" ca="1" si="78"/>
        <v/>
      </c>
      <c r="F4239" s="4" t="s">
        <v>22</v>
      </c>
      <c r="G4239" s="2">
        <f>IF(ISNUMBER(SEARCH(Лист2!$B$4,F:F)),1,0)</f>
        <v>0</v>
      </c>
      <c r="H4239" s="3">
        <f ca="1">IF(AND(I4239&lt;&gt;I4238,ISNUMBER(SEARCH(Лист2!$B$5,I:I)),G4239=1),MAX($H$3:OFFSET(H4239,-1,0))+1,0)</f>
        <v>0</v>
      </c>
      <c r="I4239" s="3" t="s">
        <v>349</v>
      </c>
      <c r="K4239" s="2">
        <f>IF(ISNUMBER(SEARCH(Лист2!$B$4,F:F)),1,0)</f>
        <v>0</v>
      </c>
      <c r="L4239" s="14">
        <f>IF(ISNUMBER(SEARCH(Лист2!$B$5,I:I)),1,0)+K4239</f>
        <v>0</v>
      </c>
      <c r="M4239" s="3">
        <f ca="1">IF(AND(N4239&lt;&gt;N4238,ISNUMBER(SEARCH(Лист2!$B$6,N:N)),L4239=2),MAX($M$3:OFFSET(M4239,-1,0))+1,0)</f>
        <v>0</v>
      </c>
      <c r="N4239" s="3" t="s">
        <v>2652</v>
      </c>
    </row>
    <row r="4240" spans="1:14" x14ac:dyDescent="0.25">
      <c r="A4240" s="1" t="s">
        <v>13009</v>
      </c>
      <c r="B4240" s="3" t="s">
        <v>7864</v>
      </c>
      <c r="C4240" s="2">
        <f ca="1">IF(ISNUMBER(SEARCH(Лист2!$B$4,D:D)),MAX($C$3:OFFSET(C4240,-1,0))+1,0)</f>
        <v>0</v>
      </c>
      <c r="E4240" s="9" t="str">
        <f t="shared" ca="1" si="78"/>
        <v/>
      </c>
      <c r="F4240" s="4" t="s">
        <v>22</v>
      </c>
      <c r="G4240" s="2">
        <f>IF(ISNUMBER(SEARCH(Лист2!$B$4,F:F)),1,0)</f>
        <v>0</v>
      </c>
      <c r="H4240" s="3">
        <f ca="1">IF(AND(I4240&lt;&gt;I4239,ISNUMBER(SEARCH(Лист2!$B$5,I:I)),G4240=1),MAX($H$3:OFFSET(H4240,-1,0))+1,0)</f>
        <v>0</v>
      </c>
      <c r="I4240" s="3" t="s">
        <v>350</v>
      </c>
      <c r="K4240" s="2">
        <f>IF(ISNUMBER(SEARCH(Лист2!$B$4,F:F)),1,0)</f>
        <v>0</v>
      </c>
      <c r="L4240" s="14">
        <f>IF(ISNUMBER(SEARCH(Лист2!$B$5,I:I)),1,0)+K4240</f>
        <v>0</v>
      </c>
      <c r="M4240" s="3">
        <f ca="1">IF(AND(N4240&lt;&gt;N4239,ISNUMBER(SEARCH(Лист2!$B$6,N:N)),L4240=2),MAX($M$3:OFFSET(M4240,-1,0))+1,0)</f>
        <v>0</v>
      </c>
      <c r="N4240" s="3" t="s">
        <v>2653</v>
      </c>
    </row>
    <row r="4241" spans="1:14" x14ac:dyDescent="0.25">
      <c r="A4241" s="1" t="s">
        <v>13010</v>
      </c>
      <c r="B4241" s="3" t="s">
        <v>7865</v>
      </c>
      <c r="C4241" s="2">
        <f ca="1">IF(ISNUMBER(SEARCH(Лист2!$B$4,D:D)),MAX($C$3:OFFSET(C4241,-1,0))+1,0)</f>
        <v>0</v>
      </c>
      <c r="E4241" s="9" t="str">
        <f t="shared" ca="1" si="78"/>
        <v/>
      </c>
      <c r="F4241" s="4" t="s">
        <v>22</v>
      </c>
      <c r="G4241" s="2">
        <f>IF(ISNUMBER(SEARCH(Лист2!$B$4,F:F)),1,0)</f>
        <v>0</v>
      </c>
      <c r="H4241" s="3">
        <f ca="1">IF(AND(I4241&lt;&gt;I4240,ISNUMBER(SEARCH(Лист2!$B$5,I:I)),G4241=1),MAX($H$3:OFFSET(H4241,-1,0))+1,0)</f>
        <v>0</v>
      </c>
      <c r="I4241" s="3" t="s">
        <v>350</v>
      </c>
      <c r="K4241" s="2">
        <f>IF(ISNUMBER(SEARCH(Лист2!$B$4,F:F)),1,0)</f>
        <v>0</v>
      </c>
      <c r="L4241" s="14">
        <f>IF(ISNUMBER(SEARCH(Лист2!$B$5,I:I)),1,0)+K4241</f>
        <v>0</v>
      </c>
      <c r="M4241" s="3">
        <f ca="1">IF(AND(N4241&lt;&gt;N4240,ISNUMBER(SEARCH(Лист2!$B$6,N:N)),L4241=2),MAX($M$3:OFFSET(M4241,-1,0))+1,0)</f>
        <v>0</v>
      </c>
      <c r="N4241" s="3" t="s">
        <v>2654</v>
      </c>
    </row>
    <row r="4242" spans="1:14" x14ac:dyDescent="0.25">
      <c r="A4242" s="1" t="s">
        <v>13010</v>
      </c>
      <c r="B4242" s="3" t="s">
        <v>7866</v>
      </c>
      <c r="C4242" s="2">
        <f ca="1">IF(ISNUMBER(SEARCH(Лист2!$B$4,D:D)),MAX($C$3:OFFSET(C4242,-1,0))+1,0)</f>
        <v>0</v>
      </c>
      <c r="E4242" s="9" t="str">
        <f t="shared" ca="1" si="78"/>
        <v/>
      </c>
      <c r="F4242" s="4" t="s">
        <v>22</v>
      </c>
      <c r="G4242" s="2">
        <f>IF(ISNUMBER(SEARCH(Лист2!$B$4,F:F)),1,0)</f>
        <v>0</v>
      </c>
      <c r="H4242" s="3">
        <f ca="1">IF(AND(I4242&lt;&gt;I4241,ISNUMBER(SEARCH(Лист2!$B$5,I:I)),G4242=1),MAX($H$3:OFFSET(H4242,-1,0))+1,0)</f>
        <v>0</v>
      </c>
      <c r="I4242" s="3" t="s">
        <v>350</v>
      </c>
      <c r="K4242" s="2">
        <f>IF(ISNUMBER(SEARCH(Лист2!$B$4,F:F)),1,0)</f>
        <v>0</v>
      </c>
      <c r="L4242" s="14">
        <f>IF(ISNUMBER(SEARCH(Лист2!$B$5,I:I)),1,0)+K4242</f>
        <v>0</v>
      </c>
      <c r="M4242" s="3">
        <f ca="1">IF(AND(N4242&lt;&gt;N4241,ISNUMBER(SEARCH(Лист2!$B$6,N:N)),L4242=2),MAX($M$3:OFFSET(M4242,-1,0))+1,0)</f>
        <v>0</v>
      </c>
      <c r="N4242" s="3" t="s">
        <v>2654</v>
      </c>
    </row>
    <row r="4243" spans="1:14" x14ac:dyDescent="0.25">
      <c r="A4243" s="1" t="s">
        <v>13011</v>
      </c>
      <c r="B4243" s="3" t="s">
        <v>7867</v>
      </c>
      <c r="C4243" s="2">
        <f ca="1">IF(ISNUMBER(SEARCH(Лист2!$B$4,D:D)),MAX($C$3:OFFSET(C4243,-1,0))+1,0)</f>
        <v>0</v>
      </c>
      <c r="E4243" s="9" t="str">
        <f t="shared" ca="1" si="78"/>
        <v/>
      </c>
      <c r="F4243" s="4" t="s">
        <v>22</v>
      </c>
      <c r="G4243" s="2">
        <f>IF(ISNUMBER(SEARCH(Лист2!$B$4,F:F)),1,0)</f>
        <v>0</v>
      </c>
      <c r="H4243" s="3">
        <f ca="1">IF(AND(I4243&lt;&gt;I4242,ISNUMBER(SEARCH(Лист2!$B$5,I:I)),G4243=1),MAX($H$3:OFFSET(H4243,-1,0))+1,0)</f>
        <v>0</v>
      </c>
      <c r="I4243" s="3" t="s">
        <v>350</v>
      </c>
      <c r="K4243" s="2">
        <f>IF(ISNUMBER(SEARCH(Лист2!$B$4,F:F)),1,0)</f>
        <v>0</v>
      </c>
      <c r="L4243" s="14">
        <f>IF(ISNUMBER(SEARCH(Лист2!$B$5,I:I)),1,0)+K4243</f>
        <v>0</v>
      </c>
      <c r="M4243" s="3">
        <f ca="1">IF(AND(N4243&lt;&gt;N4242,ISNUMBER(SEARCH(Лист2!$B$6,N:N)),L4243=2),MAX($M$3:OFFSET(M4243,-1,0))+1,0)</f>
        <v>0</v>
      </c>
      <c r="N4243" s="3" t="s">
        <v>2655</v>
      </c>
    </row>
    <row r="4244" spans="1:14" x14ac:dyDescent="0.25">
      <c r="A4244" s="1" t="s">
        <v>13012</v>
      </c>
      <c r="B4244" s="3" t="s">
        <v>7868</v>
      </c>
      <c r="C4244" s="2">
        <f ca="1">IF(ISNUMBER(SEARCH(Лист2!$B$4,D:D)),MAX($C$3:OFFSET(C4244,-1,0))+1,0)</f>
        <v>0</v>
      </c>
      <c r="E4244" s="9" t="str">
        <f t="shared" ca="1" si="78"/>
        <v/>
      </c>
      <c r="F4244" s="4" t="s">
        <v>22</v>
      </c>
      <c r="G4244" s="2">
        <f>IF(ISNUMBER(SEARCH(Лист2!$B$4,F:F)),1,0)</f>
        <v>0</v>
      </c>
      <c r="H4244" s="3">
        <f ca="1">IF(AND(I4244&lt;&gt;I4243,ISNUMBER(SEARCH(Лист2!$B$5,I:I)),G4244=1),MAX($H$3:OFFSET(H4244,-1,0))+1,0)</f>
        <v>0</v>
      </c>
      <c r="I4244" s="3" t="s">
        <v>350</v>
      </c>
      <c r="K4244" s="2">
        <f>IF(ISNUMBER(SEARCH(Лист2!$B$4,F:F)),1,0)</f>
        <v>0</v>
      </c>
      <c r="L4244" s="14">
        <f>IF(ISNUMBER(SEARCH(Лист2!$B$5,I:I)),1,0)+K4244</f>
        <v>0</v>
      </c>
      <c r="M4244" s="3">
        <f ca="1">IF(AND(N4244&lt;&gt;N4243,ISNUMBER(SEARCH(Лист2!$B$6,N:N)),L4244=2),MAX($M$3:OFFSET(M4244,-1,0))+1,0)</f>
        <v>0</v>
      </c>
      <c r="N4244" s="3" t="s">
        <v>2656</v>
      </c>
    </row>
    <row r="4245" spans="1:14" x14ac:dyDescent="0.25">
      <c r="A4245" s="1" t="s">
        <v>13013</v>
      </c>
      <c r="B4245" s="3" t="s">
        <v>7869</v>
      </c>
      <c r="C4245" s="2">
        <f ca="1">IF(ISNUMBER(SEARCH(Лист2!$B$4,D:D)),MAX($C$3:OFFSET(C4245,-1,0))+1,0)</f>
        <v>0</v>
      </c>
      <c r="E4245" s="9" t="str">
        <f t="shared" ca="1" si="78"/>
        <v/>
      </c>
      <c r="F4245" s="4" t="s">
        <v>22</v>
      </c>
      <c r="G4245" s="2">
        <f>IF(ISNUMBER(SEARCH(Лист2!$B$4,F:F)),1,0)</f>
        <v>0</v>
      </c>
      <c r="H4245" s="3">
        <f ca="1">IF(AND(I4245&lt;&gt;I4244,ISNUMBER(SEARCH(Лист2!$B$5,I:I)),G4245=1),MAX($H$3:OFFSET(H4245,-1,0))+1,0)</f>
        <v>0</v>
      </c>
      <c r="I4245" s="3" t="s">
        <v>350</v>
      </c>
      <c r="K4245" s="2">
        <f>IF(ISNUMBER(SEARCH(Лист2!$B$4,F:F)),1,0)</f>
        <v>0</v>
      </c>
      <c r="L4245" s="14">
        <f>IF(ISNUMBER(SEARCH(Лист2!$B$5,I:I)),1,0)+K4245</f>
        <v>0</v>
      </c>
      <c r="M4245" s="3">
        <f ca="1">IF(AND(N4245&lt;&gt;N4244,ISNUMBER(SEARCH(Лист2!$B$6,N:N)),L4245=2),MAX($M$3:OFFSET(M4245,-1,0))+1,0)</f>
        <v>0</v>
      </c>
      <c r="N4245" s="3" t="s">
        <v>2657</v>
      </c>
    </row>
    <row r="4246" spans="1:14" x14ac:dyDescent="0.25">
      <c r="A4246" s="1" t="s">
        <v>13014</v>
      </c>
      <c r="B4246" s="3" t="s">
        <v>7870</v>
      </c>
      <c r="C4246" s="2">
        <f ca="1">IF(ISNUMBER(SEARCH(Лист2!$B$4,D:D)),MAX($C$3:OFFSET(C4246,-1,0))+1,0)</f>
        <v>0</v>
      </c>
      <c r="E4246" s="9" t="str">
        <f t="shared" ca="1" si="78"/>
        <v/>
      </c>
      <c r="F4246" s="4" t="s">
        <v>22</v>
      </c>
      <c r="G4246" s="2">
        <f>IF(ISNUMBER(SEARCH(Лист2!$B$4,F:F)),1,0)</f>
        <v>0</v>
      </c>
      <c r="H4246" s="3">
        <f ca="1">IF(AND(I4246&lt;&gt;I4245,ISNUMBER(SEARCH(Лист2!$B$5,I:I)),G4246=1),MAX($H$3:OFFSET(H4246,-1,0))+1,0)</f>
        <v>0</v>
      </c>
      <c r="I4246" s="3" t="s">
        <v>350</v>
      </c>
      <c r="K4246" s="2">
        <f>IF(ISNUMBER(SEARCH(Лист2!$B$4,F:F)),1,0)</f>
        <v>0</v>
      </c>
      <c r="L4246" s="14">
        <f>IF(ISNUMBER(SEARCH(Лист2!$B$5,I:I)),1,0)+K4246</f>
        <v>0</v>
      </c>
      <c r="M4246" s="3">
        <f ca="1">IF(AND(N4246&lt;&gt;N4245,ISNUMBER(SEARCH(Лист2!$B$6,N:N)),L4246=2),MAX($M$3:OFFSET(M4246,-1,0))+1,0)</f>
        <v>0</v>
      </c>
      <c r="N4246" s="3" t="s">
        <v>2658</v>
      </c>
    </row>
    <row r="4247" spans="1:14" x14ac:dyDescent="0.25">
      <c r="A4247" s="1" t="s">
        <v>13015</v>
      </c>
      <c r="B4247" s="3" t="s">
        <v>7871</v>
      </c>
      <c r="C4247" s="2">
        <f ca="1">IF(ISNUMBER(SEARCH(Лист2!$B$4,D:D)),MAX($C$3:OFFSET(C4247,-1,0))+1,0)</f>
        <v>0</v>
      </c>
      <c r="E4247" s="9" t="str">
        <f t="shared" ca="1" si="78"/>
        <v/>
      </c>
      <c r="F4247" s="4" t="s">
        <v>22</v>
      </c>
      <c r="G4247" s="2">
        <f>IF(ISNUMBER(SEARCH(Лист2!$B$4,F:F)),1,0)</f>
        <v>0</v>
      </c>
      <c r="H4247" s="3">
        <f ca="1">IF(AND(I4247&lt;&gt;I4246,ISNUMBER(SEARCH(Лист2!$B$5,I:I)),G4247=1),MAX($H$3:OFFSET(H4247,-1,0))+1,0)</f>
        <v>0</v>
      </c>
      <c r="I4247" s="3" t="s">
        <v>350</v>
      </c>
      <c r="K4247" s="2">
        <f>IF(ISNUMBER(SEARCH(Лист2!$B$4,F:F)),1,0)</f>
        <v>0</v>
      </c>
      <c r="L4247" s="14">
        <f>IF(ISNUMBER(SEARCH(Лист2!$B$5,I:I)),1,0)+K4247</f>
        <v>0</v>
      </c>
      <c r="M4247" s="3">
        <f ca="1">IF(AND(N4247&lt;&gt;N4246,ISNUMBER(SEARCH(Лист2!$B$6,N:N)),L4247=2),MAX($M$3:OFFSET(M4247,-1,0))+1,0)</f>
        <v>0</v>
      </c>
      <c r="N4247" s="3" t="s">
        <v>2659</v>
      </c>
    </row>
    <row r="4248" spans="1:14" x14ac:dyDescent="0.25">
      <c r="A4248" s="1" t="s">
        <v>13016</v>
      </c>
      <c r="B4248" s="3" t="s">
        <v>7872</v>
      </c>
      <c r="C4248" s="2">
        <f ca="1">IF(ISNUMBER(SEARCH(Лист2!$B$4,D:D)),MAX($C$3:OFFSET(C4248,-1,0))+1,0)</f>
        <v>0</v>
      </c>
      <c r="E4248" s="9" t="str">
        <f t="shared" ca="1" si="78"/>
        <v/>
      </c>
      <c r="F4248" s="4" t="s">
        <v>22</v>
      </c>
      <c r="G4248" s="2">
        <f>IF(ISNUMBER(SEARCH(Лист2!$B$4,F:F)),1,0)</f>
        <v>0</v>
      </c>
      <c r="H4248" s="3">
        <f ca="1">IF(AND(I4248&lt;&gt;I4247,ISNUMBER(SEARCH(Лист2!$B$5,I:I)),G4248=1),MAX($H$3:OFFSET(H4248,-1,0))+1,0)</f>
        <v>0</v>
      </c>
      <c r="I4248" s="3" t="s">
        <v>350</v>
      </c>
      <c r="K4248" s="2">
        <f>IF(ISNUMBER(SEARCH(Лист2!$B$4,F:F)),1,0)</f>
        <v>0</v>
      </c>
      <c r="L4248" s="14">
        <f>IF(ISNUMBER(SEARCH(Лист2!$B$5,I:I)),1,0)+K4248</f>
        <v>0</v>
      </c>
      <c r="M4248" s="3">
        <f ca="1">IF(AND(N4248&lt;&gt;N4247,ISNUMBER(SEARCH(Лист2!$B$6,N:N)),L4248=2),MAX($M$3:OFFSET(M4248,-1,0))+1,0)</f>
        <v>0</v>
      </c>
      <c r="N4248" s="3" t="s">
        <v>602</v>
      </c>
    </row>
    <row r="4249" spans="1:14" x14ac:dyDescent="0.25">
      <c r="A4249" s="1" t="s">
        <v>13017</v>
      </c>
      <c r="B4249" s="3" t="s">
        <v>7873</v>
      </c>
      <c r="C4249" s="2">
        <f ca="1">IF(ISNUMBER(SEARCH(Лист2!$B$4,D:D)),MAX($C$3:OFFSET(C4249,-1,0))+1,0)</f>
        <v>0</v>
      </c>
      <c r="E4249" s="9" t="str">
        <f t="shared" ca="1" si="78"/>
        <v/>
      </c>
      <c r="F4249" s="4" t="s">
        <v>22</v>
      </c>
      <c r="G4249" s="2">
        <f>IF(ISNUMBER(SEARCH(Лист2!$B$4,F:F)),1,0)</f>
        <v>0</v>
      </c>
      <c r="H4249" s="3">
        <f ca="1">IF(AND(I4249&lt;&gt;I4248,ISNUMBER(SEARCH(Лист2!$B$5,I:I)),G4249=1),MAX($H$3:OFFSET(H4249,-1,0))+1,0)</f>
        <v>0</v>
      </c>
      <c r="I4249" s="3" t="s">
        <v>350</v>
      </c>
      <c r="K4249" s="2">
        <f>IF(ISNUMBER(SEARCH(Лист2!$B$4,F:F)),1,0)</f>
        <v>0</v>
      </c>
      <c r="L4249" s="14">
        <f>IF(ISNUMBER(SEARCH(Лист2!$B$5,I:I)),1,0)+K4249</f>
        <v>0</v>
      </c>
      <c r="M4249" s="3">
        <f ca="1">IF(AND(N4249&lt;&gt;N4248,ISNUMBER(SEARCH(Лист2!$B$6,N:N)),L4249=2),MAX($M$3:OFFSET(M4249,-1,0))+1,0)</f>
        <v>0</v>
      </c>
      <c r="N4249" s="3" t="s">
        <v>2660</v>
      </c>
    </row>
    <row r="4250" spans="1:14" x14ac:dyDescent="0.25">
      <c r="A4250" s="1" t="s">
        <v>13018</v>
      </c>
      <c r="B4250" s="3" t="s">
        <v>7874</v>
      </c>
      <c r="C4250" s="2">
        <f ca="1">IF(ISNUMBER(SEARCH(Лист2!$B$4,D:D)),MAX($C$3:OFFSET(C4250,-1,0))+1,0)</f>
        <v>0</v>
      </c>
      <c r="E4250" s="9" t="str">
        <f t="shared" ca="1" si="78"/>
        <v/>
      </c>
      <c r="F4250" s="4" t="s">
        <v>22</v>
      </c>
      <c r="G4250" s="2">
        <f>IF(ISNUMBER(SEARCH(Лист2!$B$4,F:F)),1,0)</f>
        <v>0</v>
      </c>
      <c r="H4250" s="3">
        <f ca="1">IF(AND(I4250&lt;&gt;I4249,ISNUMBER(SEARCH(Лист2!$B$5,I:I)),G4250=1),MAX($H$3:OFFSET(H4250,-1,0))+1,0)</f>
        <v>0</v>
      </c>
      <c r="I4250" s="3" t="s">
        <v>351</v>
      </c>
      <c r="K4250" s="2">
        <f>IF(ISNUMBER(SEARCH(Лист2!$B$4,F:F)),1,0)</f>
        <v>0</v>
      </c>
      <c r="L4250" s="14">
        <f>IF(ISNUMBER(SEARCH(Лист2!$B$5,I:I)),1,0)+K4250</f>
        <v>0</v>
      </c>
      <c r="M4250" s="3">
        <f ca="1">IF(AND(N4250&lt;&gt;N4249,ISNUMBER(SEARCH(Лист2!$B$6,N:N)),L4250=2),MAX($M$3:OFFSET(M4250,-1,0))+1,0)</f>
        <v>0</v>
      </c>
      <c r="N4250" s="3" t="s">
        <v>2661</v>
      </c>
    </row>
    <row r="4251" spans="1:14" x14ac:dyDescent="0.25">
      <c r="A4251" s="1" t="s">
        <v>13019</v>
      </c>
      <c r="B4251" s="3" t="s">
        <v>7875</v>
      </c>
      <c r="C4251" s="2">
        <f ca="1">IF(ISNUMBER(SEARCH(Лист2!$B$4,D:D)),MAX($C$3:OFFSET(C4251,-1,0))+1,0)</f>
        <v>0</v>
      </c>
      <c r="E4251" s="9" t="str">
        <f t="shared" ca="1" si="78"/>
        <v/>
      </c>
      <c r="F4251" s="4" t="s">
        <v>22</v>
      </c>
      <c r="G4251" s="2">
        <f>IF(ISNUMBER(SEARCH(Лист2!$B$4,F:F)),1,0)</f>
        <v>0</v>
      </c>
      <c r="H4251" s="3">
        <f ca="1">IF(AND(I4251&lt;&gt;I4250,ISNUMBER(SEARCH(Лист2!$B$5,I:I)),G4251=1),MAX($H$3:OFFSET(H4251,-1,0))+1,0)</f>
        <v>0</v>
      </c>
      <c r="I4251" s="3" t="s">
        <v>351</v>
      </c>
      <c r="K4251" s="2">
        <f>IF(ISNUMBER(SEARCH(Лист2!$B$4,F:F)),1,0)</f>
        <v>0</v>
      </c>
      <c r="L4251" s="14">
        <f>IF(ISNUMBER(SEARCH(Лист2!$B$5,I:I)),1,0)+K4251</f>
        <v>0</v>
      </c>
      <c r="M4251" s="3">
        <f ca="1">IF(AND(N4251&lt;&gt;N4250,ISNUMBER(SEARCH(Лист2!$B$6,N:N)),L4251=2),MAX($M$3:OFFSET(M4251,-1,0))+1,0)</f>
        <v>0</v>
      </c>
      <c r="N4251" s="3" t="s">
        <v>495</v>
      </c>
    </row>
    <row r="4252" spans="1:14" x14ac:dyDescent="0.25">
      <c r="A4252" s="1" t="s">
        <v>13020</v>
      </c>
      <c r="B4252" s="3" t="s">
        <v>7876</v>
      </c>
      <c r="C4252" s="2">
        <f ca="1">IF(ISNUMBER(SEARCH(Лист2!$B$4,D:D)),MAX($C$3:OFFSET(C4252,-1,0))+1,0)</f>
        <v>0</v>
      </c>
      <c r="E4252" s="9" t="str">
        <f t="shared" ca="1" si="78"/>
        <v/>
      </c>
      <c r="F4252" s="4" t="s">
        <v>22</v>
      </c>
      <c r="G4252" s="2">
        <f>IF(ISNUMBER(SEARCH(Лист2!$B$4,F:F)),1,0)</f>
        <v>0</v>
      </c>
      <c r="H4252" s="3">
        <f ca="1">IF(AND(I4252&lt;&gt;I4251,ISNUMBER(SEARCH(Лист2!$B$5,I:I)),G4252=1),MAX($H$3:OFFSET(H4252,-1,0))+1,0)</f>
        <v>0</v>
      </c>
      <c r="I4252" s="3" t="s">
        <v>351</v>
      </c>
      <c r="K4252" s="2">
        <f>IF(ISNUMBER(SEARCH(Лист2!$B$4,F:F)),1,0)</f>
        <v>0</v>
      </c>
      <c r="L4252" s="14">
        <f>IF(ISNUMBER(SEARCH(Лист2!$B$5,I:I)),1,0)+K4252</f>
        <v>0</v>
      </c>
      <c r="M4252" s="3">
        <f ca="1">IF(AND(N4252&lt;&gt;N4251,ISNUMBER(SEARCH(Лист2!$B$6,N:N)),L4252=2),MAX($M$3:OFFSET(M4252,-1,0))+1,0)</f>
        <v>0</v>
      </c>
      <c r="N4252" s="3" t="s">
        <v>2662</v>
      </c>
    </row>
    <row r="4253" spans="1:14" x14ac:dyDescent="0.25">
      <c r="A4253" s="1" t="s">
        <v>13021</v>
      </c>
      <c r="B4253" s="3" t="s">
        <v>7877</v>
      </c>
      <c r="C4253" s="2">
        <f ca="1">IF(ISNUMBER(SEARCH(Лист2!$B$4,D:D)),MAX($C$3:OFFSET(C4253,-1,0))+1,0)</f>
        <v>0</v>
      </c>
      <c r="E4253" s="9" t="str">
        <f t="shared" ca="1" si="78"/>
        <v/>
      </c>
      <c r="F4253" s="4" t="s">
        <v>22</v>
      </c>
      <c r="G4253" s="2">
        <f>IF(ISNUMBER(SEARCH(Лист2!$B$4,F:F)),1,0)</f>
        <v>0</v>
      </c>
      <c r="H4253" s="3">
        <f ca="1">IF(AND(I4253&lt;&gt;I4252,ISNUMBER(SEARCH(Лист2!$B$5,I:I)),G4253=1),MAX($H$3:OFFSET(H4253,-1,0))+1,0)</f>
        <v>0</v>
      </c>
      <c r="I4253" s="3" t="s">
        <v>351</v>
      </c>
      <c r="K4253" s="2">
        <f>IF(ISNUMBER(SEARCH(Лист2!$B$4,F:F)),1,0)</f>
        <v>0</v>
      </c>
      <c r="L4253" s="14">
        <f>IF(ISNUMBER(SEARCH(Лист2!$B$5,I:I)),1,0)+K4253</f>
        <v>0</v>
      </c>
      <c r="M4253" s="3">
        <f ca="1">IF(AND(N4253&lt;&gt;N4252,ISNUMBER(SEARCH(Лист2!$B$6,N:N)),L4253=2),MAX($M$3:OFFSET(M4253,-1,0))+1,0)</f>
        <v>0</v>
      </c>
      <c r="N4253" s="3" t="s">
        <v>602</v>
      </c>
    </row>
    <row r="4254" spans="1:14" x14ac:dyDescent="0.25">
      <c r="A4254" s="1" t="s">
        <v>13022</v>
      </c>
      <c r="B4254" s="3" t="s">
        <v>7878</v>
      </c>
      <c r="C4254" s="2">
        <f ca="1">IF(ISNUMBER(SEARCH(Лист2!$B$4,D:D)),MAX($C$3:OFFSET(C4254,-1,0))+1,0)</f>
        <v>0</v>
      </c>
      <c r="E4254" s="9" t="str">
        <f t="shared" ca="1" si="78"/>
        <v/>
      </c>
      <c r="F4254" s="4" t="s">
        <v>22</v>
      </c>
      <c r="G4254" s="2">
        <f>IF(ISNUMBER(SEARCH(Лист2!$B$4,F:F)),1,0)</f>
        <v>0</v>
      </c>
      <c r="H4254" s="3">
        <f ca="1">IF(AND(I4254&lt;&gt;I4253,ISNUMBER(SEARCH(Лист2!$B$5,I:I)),G4254=1),MAX($H$3:OFFSET(H4254,-1,0))+1,0)</f>
        <v>0</v>
      </c>
      <c r="I4254" s="3" t="s">
        <v>351</v>
      </c>
      <c r="K4254" s="2">
        <f>IF(ISNUMBER(SEARCH(Лист2!$B$4,F:F)),1,0)</f>
        <v>0</v>
      </c>
      <c r="L4254" s="14">
        <f>IF(ISNUMBER(SEARCH(Лист2!$B$5,I:I)),1,0)+K4254</f>
        <v>0</v>
      </c>
      <c r="M4254" s="3">
        <f ca="1">IF(AND(N4254&lt;&gt;N4253,ISNUMBER(SEARCH(Лист2!$B$6,N:N)),L4254=2),MAX($M$3:OFFSET(M4254,-1,0))+1,0)</f>
        <v>0</v>
      </c>
      <c r="N4254" s="3" t="s">
        <v>2663</v>
      </c>
    </row>
    <row r="4255" spans="1:14" x14ac:dyDescent="0.25">
      <c r="A4255" s="1" t="s">
        <v>13023</v>
      </c>
      <c r="B4255" s="3" t="s">
        <v>7879</v>
      </c>
      <c r="C4255" s="2">
        <f ca="1">IF(ISNUMBER(SEARCH(Лист2!$B$4,D:D)),MAX($C$3:OFFSET(C4255,-1,0))+1,0)</f>
        <v>0</v>
      </c>
      <c r="E4255" s="9" t="str">
        <f t="shared" ca="1" si="78"/>
        <v/>
      </c>
      <c r="F4255" s="4" t="s">
        <v>22</v>
      </c>
      <c r="G4255" s="2">
        <f>IF(ISNUMBER(SEARCH(Лист2!$B$4,F:F)),1,0)</f>
        <v>0</v>
      </c>
      <c r="H4255" s="3">
        <f ca="1">IF(AND(I4255&lt;&gt;I4254,ISNUMBER(SEARCH(Лист2!$B$5,I:I)),G4255=1),MAX($H$3:OFFSET(H4255,-1,0))+1,0)</f>
        <v>0</v>
      </c>
      <c r="I4255" s="3" t="s">
        <v>351</v>
      </c>
      <c r="K4255" s="2">
        <f>IF(ISNUMBER(SEARCH(Лист2!$B$4,F:F)),1,0)</f>
        <v>0</v>
      </c>
      <c r="L4255" s="14">
        <f>IF(ISNUMBER(SEARCH(Лист2!$B$5,I:I)),1,0)+K4255</f>
        <v>0</v>
      </c>
      <c r="M4255" s="3">
        <f ca="1">IF(AND(N4255&lt;&gt;N4254,ISNUMBER(SEARCH(Лист2!$B$6,N:N)),L4255=2),MAX($M$3:OFFSET(M4255,-1,0))+1,0)</f>
        <v>0</v>
      </c>
      <c r="N4255" s="3" t="s">
        <v>2664</v>
      </c>
    </row>
    <row r="4256" spans="1:14" x14ac:dyDescent="0.25">
      <c r="A4256" s="1" t="s">
        <v>13024</v>
      </c>
      <c r="B4256" s="3" t="s">
        <v>7880</v>
      </c>
      <c r="C4256" s="2">
        <f ca="1">IF(ISNUMBER(SEARCH(Лист2!$B$4,D:D)),MAX($C$3:OFFSET(C4256,-1,0))+1,0)</f>
        <v>0</v>
      </c>
      <c r="E4256" s="9" t="str">
        <f t="shared" ca="1" si="78"/>
        <v/>
      </c>
      <c r="F4256" s="4" t="s">
        <v>22</v>
      </c>
      <c r="G4256" s="2">
        <f>IF(ISNUMBER(SEARCH(Лист2!$B$4,F:F)),1,0)</f>
        <v>0</v>
      </c>
      <c r="H4256" s="3">
        <f ca="1">IF(AND(I4256&lt;&gt;I4255,ISNUMBER(SEARCH(Лист2!$B$5,I:I)),G4256=1),MAX($H$3:OFFSET(H4256,-1,0))+1,0)</f>
        <v>0</v>
      </c>
      <c r="I4256" s="3" t="s">
        <v>351</v>
      </c>
      <c r="K4256" s="2">
        <f>IF(ISNUMBER(SEARCH(Лист2!$B$4,F:F)),1,0)</f>
        <v>0</v>
      </c>
      <c r="L4256" s="14">
        <f>IF(ISNUMBER(SEARCH(Лист2!$B$5,I:I)),1,0)+K4256</f>
        <v>0</v>
      </c>
      <c r="M4256" s="3">
        <f ca="1">IF(AND(N4256&lt;&gt;N4255,ISNUMBER(SEARCH(Лист2!$B$6,N:N)),L4256=2),MAX($M$3:OFFSET(M4256,-1,0))+1,0)</f>
        <v>0</v>
      </c>
      <c r="N4256" s="3" t="s">
        <v>2665</v>
      </c>
    </row>
    <row r="4257" spans="1:14" x14ac:dyDescent="0.25">
      <c r="A4257" s="1" t="s">
        <v>13025</v>
      </c>
      <c r="B4257" s="3" t="s">
        <v>7881</v>
      </c>
      <c r="C4257" s="2">
        <f ca="1">IF(ISNUMBER(SEARCH(Лист2!$B$4,D:D)),MAX($C$3:OFFSET(C4257,-1,0))+1,0)</f>
        <v>0</v>
      </c>
      <c r="E4257" s="9" t="str">
        <f t="shared" ca="1" si="78"/>
        <v/>
      </c>
      <c r="F4257" s="4" t="s">
        <v>22</v>
      </c>
      <c r="G4257" s="2">
        <f>IF(ISNUMBER(SEARCH(Лист2!$B$4,F:F)),1,0)</f>
        <v>0</v>
      </c>
      <c r="H4257" s="3">
        <f ca="1">IF(AND(I4257&lt;&gt;I4256,ISNUMBER(SEARCH(Лист2!$B$5,I:I)),G4257=1),MAX($H$3:OFFSET(H4257,-1,0))+1,0)</f>
        <v>0</v>
      </c>
      <c r="I4257" s="3" t="s">
        <v>351</v>
      </c>
      <c r="K4257" s="2">
        <f>IF(ISNUMBER(SEARCH(Лист2!$B$4,F:F)),1,0)</f>
        <v>0</v>
      </c>
      <c r="L4257" s="14">
        <f>IF(ISNUMBER(SEARCH(Лист2!$B$5,I:I)),1,0)+K4257</f>
        <v>0</v>
      </c>
      <c r="M4257" s="3">
        <f ca="1">IF(AND(N4257&lt;&gt;N4256,ISNUMBER(SEARCH(Лист2!$B$6,N:N)),L4257=2),MAX($M$3:OFFSET(M4257,-1,0))+1,0)</f>
        <v>0</v>
      </c>
      <c r="N4257" s="3" t="s">
        <v>2666</v>
      </c>
    </row>
    <row r="4258" spans="1:14" x14ac:dyDescent="0.25">
      <c r="A4258" s="1" t="s">
        <v>13021</v>
      </c>
      <c r="B4258" s="3" t="s">
        <v>7882</v>
      </c>
      <c r="C4258" s="2">
        <f ca="1">IF(ISNUMBER(SEARCH(Лист2!$B$4,D:D)),MAX($C$3:OFFSET(C4258,-1,0))+1,0)</f>
        <v>0</v>
      </c>
      <c r="E4258" s="9" t="str">
        <f t="shared" ca="1" si="78"/>
        <v/>
      </c>
      <c r="F4258" s="4" t="s">
        <v>22</v>
      </c>
      <c r="G4258" s="2">
        <f>IF(ISNUMBER(SEARCH(Лист2!$B$4,F:F)),1,0)</f>
        <v>0</v>
      </c>
      <c r="H4258" s="3">
        <f ca="1">IF(AND(I4258&lt;&gt;I4257,ISNUMBER(SEARCH(Лист2!$B$5,I:I)),G4258=1),MAX($H$3:OFFSET(H4258,-1,0))+1,0)</f>
        <v>0</v>
      </c>
      <c r="I4258" s="3" t="s">
        <v>351</v>
      </c>
      <c r="K4258" s="2">
        <f>IF(ISNUMBER(SEARCH(Лист2!$B$4,F:F)),1,0)</f>
        <v>0</v>
      </c>
      <c r="L4258" s="14">
        <f>IF(ISNUMBER(SEARCH(Лист2!$B$5,I:I)),1,0)+K4258</f>
        <v>0</v>
      </c>
      <c r="M4258" s="3">
        <f ca="1">IF(AND(N4258&lt;&gt;N4257,ISNUMBER(SEARCH(Лист2!$B$6,N:N)),L4258=2),MAX($M$3:OFFSET(M4258,-1,0))+1,0)</f>
        <v>0</v>
      </c>
      <c r="N4258" s="3" t="s">
        <v>602</v>
      </c>
    </row>
    <row r="4259" spans="1:14" x14ac:dyDescent="0.25">
      <c r="A4259" s="1" t="s">
        <v>13026</v>
      </c>
      <c r="B4259" s="3" t="s">
        <v>7883</v>
      </c>
      <c r="C4259" s="2">
        <f ca="1">IF(ISNUMBER(SEARCH(Лист2!$B$4,D:D)),MAX($C$3:OFFSET(C4259,-1,0))+1,0)</f>
        <v>0</v>
      </c>
      <c r="E4259" s="9" t="str">
        <f t="shared" ca="1" si="78"/>
        <v/>
      </c>
      <c r="F4259" s="4" t="s">
        <v>22</v>
      </c>
      <c r="G4259" s="2">
        <f>IF(ISNUMBER(SEARCH(Лист2!$B$4,F:F)),1,0)</f>
        <v>0</v>
      </c>
      <c r="H4259" s="3">
        <f ca="1">IF(AND(I4259&lt;&gt;I4258,ISNUMBER(SEARCH(Лист2!$B$5,I:I)),G4259=1),MAX($H$3:OFFSET(H4259,-1,0))+1,0)</f>
        <v>0</v>
      </c>
      <c r="I4259" s="3" t="s">
        <v>351</v>
      </c>
      <c r="K4259" s="2">
        <f>IF(ISNUMBER(SEARCH(Лист2!$B$4,F:F)),1,0)</f>
        <v>0</v>
      </c>
      <c r="L4259" s="14">
        <f>IF(ISNUMBER(SEARCH(Лист2!$B$5,I:I)),1,0)+K4259</f>
        <v>0</v>
      </c>
      <c r="M4259" s="3">
        <f ca="1">IF(AND(N4259&lt;&gt;N4258,ISNUMBER(SEARCH(Лист2!$B$6,N:N)),L4259=2),MAX($M$3:OFFSET(M4259,-1,0))+1,0)</f>
        <v>0</v>
      </c>
      <c r="N4259" s="3" t="s">
        <v>2667</v>
      </c>
    </row>
    <row r="4260" spans="1:14" x14ac:dyDescent="0.25">
      <c r="A4260" s="1" t="s">
        <v>13027</v>
      </c>
      <c r="B4260" s="3" t="s">
        <v>7884</v>
      </c>
      <c r="C4260" s="2">
        <f ca="1">IF(ISNUMBER(SEARCH(Лист2!$B$4,D:D)),MAX($C$3:OFFSET(C4260,-1,0))+1,0)</f>
        <v>0</v>
      </c>
      <c r="E4260" s="9" t="str">
        <f t="shared" ca="1" si="78"/>
        <v/>
      </c>
      <c r="F4260" s="4" t="s">
        <v>22</v>
      </c>
      <c r="G4260" s="2">
        <f>IF(ISNUMBER(SEARCH(Лист2!$B$4,F:F)),1,0)</f>
        <v>0</v>
      </c>
      <c r="H4260" s="3">
        <f ca="1">IF(AND(I4260&lt;&gt;I4259,ISNUMBER(SEARCH(Лист2!$B$5,I:I)),G4260=1),MAX($H$3:OFFSET(H4260,-1,0))+1,0)</f>
        <v>0</v>
      </c>
      <c r="I4260" s="3" t="s">
        <v>352</v>
      </c>
      <c r="K4260" s="2">
        <f>IF(ISNUMBER(SEARCH(Лист2!$B$4,F:F)),1,0)</f>
        <v>0</v>
      </c>
      <c r="L4260" s="14">
        <f>IF(ISNUMBER(SEARCH(Лист2!$B$5,I:I)),1,0)+K4260</f>
        <v>0</v>
      </c>
      <c r="M4260" s="3">
        <f ca="1">IF(AND(N4260&lt;&gt;N4259,ISNUMBER(SEARCH(Лист2!$B$6,N:N)),L4260=2),MAX($M$3:OFFSET(M4260,-1,0))+1,0)</f>
        <v>0</v>
      </c>
      <c r="N4260" s="3" t="s">
        <v>2668</v>
      </c>
    </row>
    <row r="4261" spans="1:14" x14ac:dyDescent="0.25">
      <c r="A4261" s="1" t="s">
        <v>13028</v>
      </c>
      <c r="B4261" s="3" t="s">
        <v>7885</v>
      </c>
      <c r="C4261" s="2">
        <f ca="1">IF(ISNUMBER(SEARCH(Лист2!$B$4,D:D)),MAX($C$3:OFFSET(C4261,-1,0))+1,0)</f>
        <v>0</v>
      </c>
      <c r="E4261" s="9" t="str">
        <f t="shared" ca="1" si="78"/>
        <v/>
      </c>
      <c r="F4261" s="4" t="s">
        <v>22</v>
      </c>
      <c r="G4261" s="2">
        <f>IF(ISNUMBER(SEARCH(Лист2!$B$4,F:F)),1,0)</f>
        <v>0</v>
      </c>
      <c r="H4261" s="3">
        <f ca="1">IF(AND(I4261&lt;&gt;I4260,ISNUMBER(SEARCH(Лист2!$B$5,I:I)),G4261=1),MAX($H$3:OFFSET(H4261,-1,0))+1,0)</f>
        <v>0</v>
      </c>
      <c r="I4261" s="3" t="s">
        <v>352</v>
      </c>
      <c r="K4261" s="2">
        <f>IF(ISNUMBER(SEARCH(Лист2!$B$4,F:F)),1,0)</f>
        <v>0</v>
      </c>
      <c r="L4261" s="14">
        <f>IF(ISNUMBER(SEARCH(Лист2!$B$5,I:I)),1,0)+K4261</f>
        <v>0</v>
      </c>
      <c r="M4261" s="3">
        <f ca="1">IF(AND(N4261&lt;&gt;N4260,ISNUMBER(SEARCH(Лист2!$B$6,N:N)),L4261=2),MAX($M$3:OFFSET(M4261,-1,0))+1,0)</f>
        <v>0</v>
      </c>
      <c r="N4261" s="3" t="s">
        <v>2669</v>
      </c>
    </row>
    <row r="4262" spans="1:14" x14ac:dyDescent="0.25">
      <c r="A4262" s="1" t="s">
        <v>13029</v>
      </c>
      <c r="B4262" s="3" t="s">
        <v>7886</v>
      </c>
      <c r="C4262" s="2">
        <f ca="1">IF(ISNUMBER(SEARCH(Лист2!$B$4,D:D)),MAX($C$3:OFFSET(C4262,-1,0))+1,0)</f>
        <v>0</v>
      </c>
      <c r="E4262" s="9" t="str">
        <f t="shared" ca="1" si="78"/>
        <v/>
      </c>
      <c r="F4262" s="4" t="s">
        <v>22</v>
      </c>
      <c r="G4262" s="2">
        <f>IF(ISNUMBER(SEARCH(Лист2!$B$4,F:F)),1,0)</f>
        <v>0</v>
      </c>
      <c r="H4262" s="3">
        <f ca="1">IF(AND(I4262&lt;&gt;I4261,ISNUMBER(SEARCH(Лист2!$B$5,I:I)),G4262=1),MAX($H$3:OFFSET(H4262,-1,0))+1,0)</f>
        <v>0</v>
      </c>
      <c r="I4262" s="3" t="s">
        <v>352</v>
      </c>
      <c r="K4262" s="2">
        <f>IF(ISNUMBER(SEARCH(Лист2!$B$4,F:F)),1,0)</f>
        <v>0</v>
      </c>
      <c r="L4262" s="14">
        <f>IF(ISNUMBER(SEARCH(Лист2!$B$5,I:I)),1,0)+K4262</f>
        <v>0</v>
      </c>
      <c r="M4262" s="3">
        <f ca="1">IF(AND(N4262&lt;&gt;N4261,ISNUMBER(SEARCH(Лист2!$B$6,N:N)),L4262=2),MAX($M$3:OFFSET(M4262,-1,0))+1,0)</f>
        <v>0</v>
      </c>
      <c r="N4262" s="3" t="s">
        <v>2670</v>
      </c>
    </row>
    <row r="4263" spans="1:14" x14ac:dyDescent="0.25">
      <c r="A4263" s="1" t="s">
        <v>13030</v>
      </c>
      <c r="B4263" s="3" t="s">
        <v>7887</v>
      </c>
      <c r="C4263" s="2">
        <f ca="1">IF(ISNUMBER(SEARCH(Лист2!$B$4,D:D)),MAX($C$3:OFFSET(C4263,-1,0))+1,0)</f>
        <v>0</v>
      </c>
      <c r="E4263" s="9" t="str">
        <f t="shared" ca="1" si="78"/>
        <v/>
      </c>
      <c r="F4263" s="4" t="s">
        <v>22</v>
      </c>
      <c r="G4263" s="2">
        <f>IF(ISNUMBER(SEARCH(Лист2!$B$4,F:F)),1,0)</f>
        <v>0</v>
      </c>
      <c r="H4263" s="3">
        <f ca="1">IF(AND(I4263&lt;&gt;I4262,ISNUMBER(SEARCH(Лист2!$B$5,I:I)),G4263=1),MAX($H$3:OFFSET(H4263,-1,0))+1,0)</f>
        <v>0</v>
      </c>
      <c r="I4263" s="3" t="s">
        <v>352</v>
      </c>
      <c r="K4263" s="2">
        <f>IF(ISNUMBER(SEARCH(Лист2!$B$4,F:F)),1,0)</f>
        <v>0</v>
      </c>
      <c r="L4263" s="14">
        <f>IF(ISNUMBER(SEARCH(Лист2!$B$5,I:I)),1,0)+K4263</f>
        <v>0</v>
      </c>
      <c r="M4263" s="3">
        <f ca="1">IF(AND(N4263&lt;&gt;N4262,ISNUMBER(SEARCH(Лист2!$B$6,N:N)),L4263=2),MAX($M$3:OFFSET(M4263,-1,0))+1,0)</f>
        <v>0</v>
      </c>
      <c r="N4263" s="3" t="s">
        <v>602</v>
      </c>
    </row>
    <row r="4264" spans="1:14" x14ac:dyDescent="0.25">
      <c r="A4264" s="1" t="s">
        <v>13031</v>
      </c>
      <c r="B4264" s="3" t="s">
        <v>7888</v>
      </c>
      <c r="C4264" s="2">
        <f ca="1">IF(ISNUMBER(SEARCH(Лист2!$B$4,D:D)),MAX($C$3:OFFSET(C4264,-1,0))+1,0)</f>
        <v>0</v>
      </c>
      <c r="E4264" s="9" t="str">
        <f t="shared" ca="1" si="78"/>
        <v/>
      </c>
      <c r="F4264" s="4" t="s">
        <v>22</v>
      </c>
      <c r="G4264" s="2">
        <f>IF(ISNUMBER(SEARCH(Лист2!$B$4,F:F)),1,0)</f>
        <v>0</v>
      </c>
      <c r="H4264" s="3">
        <f ca="1">IF(AND(I4264&lt;&gt;I4263,ISNUMBER(SEARCH(Лист2!$B$5,I:I)),G4264=1),MAX($H$3:OFFSET(H4264,-1,0))+1,0)</f>
        <v>0</v>
      </c>
      <c r="I4264" s="3" t="s">
        <v>352</v>
      </c>
      <c r="K4264" s="2">
        <f>IF(ISNUMBER(SEARCH(Лист2!$B$4,F:F)),1,0)</f>
        <v>0</v>
      </c>
      <c r="L4264" s="14">
        <f>IF(ISNUMBER(SEARCH(Лист2!$B$5,I:I)),1,0)+K4264</f>
        <v>0</v>
      </c>
      <c r="M4264" s="3">
        <f ca="1">IF(AND(N4264&lt;&gt;N4263,ISNUMBER(SEARCH(Лист2!$B$6,N:N)),L4264=2),MAX($M$3:OFFSET(M4264,-1,0))+1,0)</f>
        <v>0</v>
      </c>
      <c r="N4264" s="3" t="s">
        <v>2671</v>
      </c>
    </row>
    <row r="4265" spans="1:14" x14ac:dyDescent="0.25">
      <c r="A4265" s="1" t="s">
        <v>13030</v>
      </c>
      <c r="B4265" s="3" t="s">
        <v>7889</v>
      </c>
      <c r="C4265" s="2">
        <f ca="1">IF(ISNUMBER(SEARCH(Лист2!$B$4,D:D)),MAX($C$3:OFFSET(C4265,-1,0))+1,0)</f>
        <v>0</v>
      </c>
      <c r="E4265" s="9" t="str">
        <f t="shared" ca="1" si="78"/>
        <v/>
      </c>
      <c r="F4265" s="4" t="s">
        <v>22</v>
      </c>
      <c r="G4265" s="2">
        <f>IF(ISNUMBER(SEARCH(Лист2!$B$4,F:F)),1,0)</f>
        <v>0</v>
      </c>
      <c r="H4265" s="3">
        <f ca="1">IF(AND(I4265&lt;&gt;I4264,ISNUMBER(SEARCH(Лист2!$B$5,I:I)),G4265=1),MAX($H$3:OFFSET(H4265,-1,0))+1,0)</f>
        <v>0</v>
      </c>
      <c r="I4265" s="3" t="s">
        <v>352</v>
      </c>
      <c r="K4265" s="2">
        <f>IF(ISNUMBER(SEARCH(Лист2!$B$4,F:F)),1,0)</f>
        <v>0</v>
      </c>
      <c r="L4265" s="14">
        <f>IF(ISNUMBER(SEARCH(Лист2!$B$5,I:I)),1,0)+K4265</f>
        <v>0</v>
      </c>
      <c r="M4265" s="3">
        <f ca="1">IF(AND(N4265&lt;&gt;N4264,ISNUMBER(SEARCH(Лист2!$B$6,N:N)),L4265=2),MAX($M$3:OFFSET(M4265,-1,0))+1,0)</f>
        <v>0</v>
      </c>
      <c r="N4265" s="3" t="s">
        <v>602</v>
      </c>
    </row>
    <row r="4266" spans="1:14" x14ac:dyDescent="0.25">
      <c r="A4266" s="1" t="s">
        <v>13032</v>
      </c>
      <c r="B4266" s="3" t="s">
        <v>7890</v>
      </c>
      <c r="C4266" s="2">
        <f ca="1">IF(ISNUMBER(SEARCH(Лист2!$B$4,D:D)),MAX($C$3:OFFSET(C4266,-1,0))+1,0)</f>
        <v>0</v>
      </c>
      <c r="E4266" s="9" t="str">
        <f t="shared" ca="1" si="78"/>
        <v/>
      </c>
      <c r="F4266" s="4" t="s">
        <v>22</v>
      </c>
      <c r="G4266" s="2">
        <f>IF(ISNUMBER(SEARCH(Лист2!$B$4,F:F)),1,0)</f>
        <v>0</v>
      </c>
      <c r="H4266" s="3">
        <f ca="1">IF(AND(I4266&lt;&gt;I4265,ISNUMBER(SEARCH(Лист2!$B$5,I:I)),G4266=1),MAX($H$3:OFFSET(H4266,-1,0))+1,0)</f>
        <v>0</v>
      </c>
      <c r="I4266" s="3" t="s">
        <v>352</v>
      </c>
      <c r="K4266" s="2">
        <f>IF(ISNUMBER(SEARCH(Лист2!$B$4,F:F)),1,0)</f>
        <v>0</v>
      </c>
      <c r="L4266" s="14">
        <f>IF(ISNUMBER(SEARCH(Лист2!$B$5,I:I)),1,0)+K4266</f>
        <v>0</v>
      </c>
      <c r="M4266" s="3">
        <f ca="1">IF(AND(N4266&lt;&gt;N4265,ISNUMBER(SEARCH(Лист2!$B$6,N:N)),L4266=2),MAX($M$3:OFFSET(M4266,-1,0))+1,0)</f>
        <v>0</v>
      </c>
      <c r="N4266" s="3" t="s">
        <v>2672</v>
      </c>
    </row>
    <row r="4267" spans="1:14" x14ac:dyDescent="0.25">
      <c r="A4267" s="1" t="s">
        <v>13033</v>
      </c>
      <c r="B4267" s="3" t="s">
        <v>7891</v>
      </c>
      <c r="C4267" s="2">
        <f ca="1">IF(ISNUMBER(SEARCH(Лист2!$B$4,D:D)),MAX($C$3:OFFSET(C4267,-1,0))+1,0)</f>
        <v>0</v>
      </c>
      <c r="E4267" s="9" t="str">
        <f t="shared" ca="1" si="78"/>
        <v/>
      </c>
      <c r="F4267" s="4" t="s">
        <v>22</v>
      </c>
      <c r="G4267" s="2">
        <f>IF(ISNUMBER(SEARCH(Лист2!$B$4,F:F)),1,0)</f>
        <v>0</v>
      </c>
      <c r="H4267" s="3">
        <f ca="1">IF(AND(I4267&lt;&gt;I4266,ISNUMBER(SEARCH(Лист2!$B$5,I:I)),G4267=1),MAX($H$3:OFFSET(H4267,-1,0))+1,0)</f>
        <v>0</v>
      </c>
      <c r="I4267" s="3" t="s">
        <v>352</v>
      </c>
      <c r="K4267" s="2">
        <f>IF(ISNUMBER(SEARCH(Лист2!$B$4,F:F)),1,0)</f>
        <v>0</v>
      </c>
      <c r="L4267" s="14">
        <f>IF(ISNUMBER(SEARCH(Лист2!$B$5,I:I)),1,0)+K4267</f>
        <v>0</v>
      </c>
      <c r="M4267" s="3">
        <f ca="1">IF(AND(N4267&lt;&gt;N4266,ISNUMBER(SEARCH(Лист2!$B$6,N:N)),L4267=2),MAX($M$3:OFFSET(M4267,-1,0))+1,0)</f>
        <v>0</v>
      </c>
      <c r="N4267" s="3" t="s">
        <v>2673</v>
      </c>
    </row>
    <row r="4268" spans="1:14" x14ac:dyDescent="0.25">
      <c r="A4268" s="1" t="s">
        <v>13034</v>
      </c>
      <c r="B4268" s="3" t="s">
        <v>7892</v>
      </c>
      <c r="C4268" s="2">
        <f ca="1">IF(ISNUMBER(SEARCH(Лист2!$B$4,D:D)),MAX($C$3:OFFSET(C4268,-1,0))+1,0)</f>
        <v>0</v>
      </c>
      <c r="E4268" s="9" t="str">
        <f t="shared" ca="1" si="78"/>
        <v/>
      </c>
      <c r="F4268" s="4" t="s">
        <v>22</v>
      </c>
      <c r="G4268" s="2">
        <f>IF(ISNUMBER(SEARCH(Лист2!$B$4,F:F)),1,0)</f>
        <v>0</v>
      </c>
      <c r="H4268" s="3">
        <f ca="1">IF(AND(I4268&lt;&gt;I4267,ISNUMBER(SEARCH(Лист2!$B$5,I:I)),G4268=1),MAX($H$3:OFFSET(H4268,-1,0))+1,0)</f>
        <v>0</v>
      </c>
      <c r="I4268" s="3" t="s">
        <v>353</v>
      </c>
      <c r="K4268" s="2">
        <f>IF(ISNUMBER(SEARCH(Лист2!$B$4,F:F)),1,0)</f>
        <v>0</v>
      </c>
      <c r="L4268" s="14">
        <f>IF(ISNUMBER(SEARCH(Лист2!$B$5,I:I)),1,0)+K4268</f>
        <v>0</v>
      </c>
      <c r="M4268" s="3">
        <f ca="1">IF(AND(N4268&lt;&gt;N4267,ISNUMBER(SEARCH(Лист2!$B$6,N:N)),L4268=2),MAX($M$3:OFFSET(M4268,-1,0))+1,0)</f>
        <v>0</v>
      </c>
      <c r="N4268" s="3" t="s">
        <v>2674</v>
      </c>
    </row>
    <row r="4269" spans="1:14" x14ac:dyDescent="0.25">
      <c r="A4269" s="1" t="s">
        <v>13035</v>
      </c>
      <c r="B4269" s="3" t="s">
        <v>7893</v>
      </c>
      <c r="C4269" s="2">
        <f ca="1">IF(ISNUMBER(SEARCH(Лист2!$B$4,D:D)),MAX($C$3:OFFSET(C4269,-1,0))+1,0)</f>
        <v>0</v>
      </c>
      <c r="E4269" s="9" t="str">
        <f t="shared" ca="1" si="78"/>
        <v/>
      </c>
      <c r="F4269" s="4" t="s">
        <v>22</v>
      </c>
      <c r="G4269" s="2">
        <f>IF(ISNUMBER(SEARCH(Лист2!$B$4,F:F)),1,0)</f>
        <v>0</v>
      </c>
      <c r="H4269" s="3">
        <f ca="1">IF(AND(I4269&lt;&gt;I4268,ISNUMBER(SEARCH(Лист2!$B$5,I:I)),G4269=1),MAX($H$3:OFFSET(H4269,-1,0))+1,0)</f>
        <v>0</v>
      </c>
      <c r="I4269" s="3" t="s">
        <v>353</v>
      </c>
      <c r="K4269" s="2">
        <f>IF(ISNUMBER(SEARCH(Лист2!$B$4,F:F)),1,0)</f>
        <v>0</v>
      </c>
      <c r="L4269" s="14">
        <f>IF(ISNUMBER(SEARCH(Лист2!$B$5,I:I)),1,0)+K4269</f>
        <v>0</v>
      </c>
      <c r="M4269" s="3">
        <f ca="1">IF(AND(N4269&lt;&gt;N4268,ISNUMBER(SEARCH(Лист2!$B$6,N:N)),L4269=2),MAX($M$3:OFFSET(M4269,-1,0))+1,0)</f>
        <v>0</v>
      </c>
      <c r="N4269" s="3" t="s">
        <v>2675</v>
      </c>
    </row>
    <row r="4270" spans="1:14" x14ac:dyDescent="0.25">
      <c r="A4270" s="1" t="s">
        <v>13036</v>
      </c>
      <c r="B4270" s="3" t="s">
        <v>7894</v>
      </c>
      <c r="C4270" s="2">
        <f ca="1">IF(ISNUMBER(SEARCH(Лист2!$B$4,D:D)),MAX($C$3:OFFSET(C4270,-1,0))+1,0)</f>
        <v>0</v>
      </c>
      <c r="E4270" s="9" t="str">
        <f t="shared" ca="1" si="78"/>
        <v/>
      </c>
      <c r="F4270" s="4" t="s">
        <v>22</v>
      </c>
      <c r="G4270" s="2">
        <f>IF(ISNUMBER(SEARCH(Лист2!$B$4,F:F)),1,0)</f>
        <v>0</v>
      </c>
      <c r="H4270" s="3">
        <f ca="1">IF(AND(I4270&lt;&gt;I4269,ISNUMBER(SEARCH(Лист2!$B$5,I:I)),G4270=1),MAX($H$3:OFFSET(H4270,-1,0))+1,0)</f>
        <v>0</v>
      </c>
      <c r="I4270" s="3" t="s">
        <v>353</v>
      </c>
      <c r="K4270" s="2">
        <f>IF(ISNUMBER(SEARCH(Лист2!$B$4,F:F)),1,0)</f>
        <v>0</v>
      </c>
      <c r="L4270" s="14">
        <f>IF(ISNUMBER(SEARCH(Лист2!$B$5,I:I)),1,0)+K4270</f>
        <v>0</v>
      </c>
      <c r="M4270" s="3">
        <f ca="1">IF(AND(N4270&lt;&gt;N4269,ISNUMBER(SEARCH(Лист2!$B$6,N:N)),L4270=2),MAX($M$3:OFFSET(M4270,-1,0))+1,0)</f>
        <v>0</v>
      </c>
      <c r="N4270" s="3" t="s">
        <v>2676</v>
      </c>
    </row>
    <row r="4271" spans="1:14" x14ac:dyDescent="0.25">
      <c r="A4271" s="1" t="s">
        <v>13037</v>
      </c>
      <c r="B4271" s="3" t="s">
        <v>7895</v>
      </c>
      <c r="C4271" s="2">
        <f ca="1">IF(ISNUMBER(SEARCH(Лист2!$B$4,D:D)),MAX($C$3:OFFSET(C4271,-1,0))+1,0)</f>
        <v>0</v>
      </c>
      <c r="E4271" s="9" t="str">
        <f t="shared" ca="1" si="78"/>
        <v/>
      </c>
      <c r="F4271" s="4" t="s">
        <v>22</v>
      </c>
      <c r="G4271" s="2">
        <f>IF(ISNUMBER(SEARCH(Лист2!$B$4,F:F)),1,0)</f>
        <v>0</v>
      </c>
      <c r="H4271" s="3">
        <f ca="1">IF(AND(I4271&lt;&gt;I4270,ISNUMBER(SEARCH(Лист2!$B$5,I:I)),G4271=1),MAX($H$3:OFFSET(H4271,-1,0))+1,0)</f>
        <v>0</v>
      </c>
      <c r="I4271" s="3" t="s">
        <v>353</v>
      </c>
      <c r="K4271" s="2">
        <f>IF(ISNUMBER(SEARCH(Лист2!$B$4,F:F)),1,0)</f>
        <v>0</v>
      </c>
      <c r="L4271" s="14">
        <f>IF(ISNUMBER(SEARCH(Лист2!$B$5,I:I)),1,0)+K4271</f>
        <v>0</v>
      </c>
      <c r="M4271" s="3">
        <f ca="1">IF(AND(N4271&lt;&gt;N4270,ISNUMBER(SEARCH(Лист2!$B$6,N:N)),L4271=2),MAX($M$3:OFFSET(M4271,-1,0))+1,0)</f>
        <v>0</v>
      </c>
      <c r="N4271" s="3" t="s">
        <v>2677</v>
      </c>
    </row>
    <row r="4272" spans="1:14" x14ac:dyDescent="0.25">
      <c r="A4272" s="1" t="s">
        <v>13038</v>
      </c>
      <c r="B4272" s="3" t="s">
        <v>7896</v>
      </c>
      <c r="C4272" s="2">
        <f ca="1">IF(ISNUMBER(SEARCH(Лист2!$B$4,D:D)),MAX($C$3:OFFSET(C4272,-1,0))+1,0)</f>
        <v>0</v>
      </c>
      <c r="E4272" s="9" t="str">
        <f t="shared" ca="1" si="78"/>
        <v/>
      </c>
      <c r="F4272" s="4" t="s">
        <v>22</v>
      </c>
      <c r="G4272" s="2">
        <f>IF(ISNUMBER(SEARCH(Лист2!$B$4,F:F)),1,0)</f>
        <v>0</v>
      </c>
      <c r="H4272" s="3">
        <f ca="1">IF(AND(I4272&lt;&gt;I4271,ISNUMBER(SEARCH(Лист2!$B$5,I:I)),G4272=1),MAX($H$3:OFFSET(H4272,-1,0))+1,0)</f>
        <v>0</v>
      </c>
      <c r="I4272" s="3" t="s">
        <v>353</v>
      </c>
      <c r="K4272" s="2">
        <f>IF(ISNUMBER(SEARCH(Лист2!$B$4,F:F)),1,0)</f>
        <v>0</v>
      </c>
      <c r="L4272" s="14">
        <f>IF(ISNUMBER(SEARCH(Лист2!$B$5,I:I)),1,0)+K4272</f>
        <v>0</v>
      </c>
      <c r="M4272" s="3">
        <f ca="1">IF(AND(N4272&lt;&gt;N4271,ISNUMBER(SEARCH(Лист2!$B$6,N:N)),L4272=2),MAX($M$3:OFFSET(M4272,-1,0))+1,0)</f>
        <v>0</v>
      </c>
      <c r="N4272" s="3" t="s">
        <v>2678</v>
      </c>
    </row>
    <row r="4273" spans="1:14" x14ac:dyDescent="0.25">
      <c r="A4273" s="1" t="s">
        <v>13039</v>
      </c>
      <c r="B4273" s="3" t="s">
        <v>7897</v>
      </c>
      <c r="C4273" s="2">
        <f ca="1">IF(ISNUMBER(SEARCH(Лист2!$B$4,D:D)),MAX($C$3:OFFSET(C4273,-1,0))+1,0)</f>
        <v>0</v>
      </c>
      <c r="E4273" s="9" t="str">
        <f t="shared" ca="1" si="78"/>
        <v/>
      </c>
      <c r="F4273" s="4" t="s">
        <v>22</v>
      </c>
      <c r="G4273" s="2">
        <f>IF(ISNUMBER(SEARCH(Лист2!$B$4,F:F)),1,0)</f>
        <v>0</v>
      </c>
      <c r="H4273" s="3">
        <f ca="1">IF(AND(I4273&lt;&gt;I4272,ISNUMBER(SEARCH(Лист2!$B$5,I:I)),G4273=1),MAX($H$3:OFFSET(H4273,-1,0))+1,0)</f>
        <v>0</v>
      </c>
      <c r="I4273" s="3" t="s">
        <v>353</v>
      </c>
      <c r="K4273" s="2">
        <f>IF(ISNUMBER(SEARCH(Лист2!$B$4,F:F)),1,0)</f>
        <v>0</v>
      </c>
      <c r="L4273" s="14">
        <f>IF(ISNUMBER(SEARCH(Лист2!$B$5,I:I)),1,0)+K4273</f>
        <v>0</v>
      </c>
      <c r="M4273" s="3">
        <f ca="1">IF(AND(N4273&lt;&gt;N4272,ISNUMBER(SEARCH(Лист2!$B$6,N:N)),L4273=2),MAX($M$3:OFFSET(M4273,-1,0))+1,0)</f>
        <v>0</v>
      </c>
      <c r="N4273" s="3" t="s">
        <v>602</v>
      </c>
    </row>
    <row r="4274" spans="1:14" x14ac:dyDescent="0.25">
      <c r="A4274" s="1" t="s">
        <v>13040</v>
      </c>
      <c r="B4274" s="3" t="s">
        <v>7898</v>
      </c>
      <c r="C4274" s="2">
        <f ca="1">IF(ISNUMBER(SEARCH(Лист2!$B$4,D:D)),MAX($C$3:OFFSET(C4274,-1,0))+1,0)</f>
        <v>0</v>
      </c>
      <c r="E4274" s="9" t="str">
        <f t="shared" ca="1" si="78"/>
        <v/>
      </c>
      <c r="F4274" s="4" t="s">
        <v>22</v>
      </c>
      <c r="G4274" s="2">
        <f>IF(ISNUMBER(SEARCH(Лист2!$B$4,F:F)),1,0)</f>
        <v>0</v>
      </c>
      <c r="H4274" s="3">
        <f ca="1">IF(AND(I4274&lt;&gt;I4273,ISNUMBER(SEARCH(Лист2!$B$5,I:I)),G4274=1),MAX($H$3:OFFSET(H4274,-1,0))+1,0)</f>
        <v>0</v>
      </c>
      <c r="I4274" s="3" t="s">
        <v>353</v>
      </c>
      <c r="K4274" s="2">
        <f>IF(ISNUMBER(SEARCH(Лист2!$B$4,F:F)),1,0)</f>
        <v>0</v>
      </c>
      <c r="L4274" s="14">
        <f>IF(ISNUMBER(SEARCH(Лист2!$B$5,I:I)),1,0)+K4274</f>
        <v>0</v>
      </c>
      <c r="M4274" s="3">
        <f ca="1">IF(AND(N4274&lt;&gt;N4273,ISNUMBER(SEARCH(Лист2!$B$6,N:N)),L4274=2),MAX($M$3:OFFSET(M4274,-1,0))+1,0)</f>
        <v>0</v>
      </c>
      <c r="N4274" s="3" t="s">
        <v>2679</v>
      </c>
    </row>
    <row r="4275" spans="1:14" x14ac:dyDescent="0.25">
      <c r="A4275" s="1" t="s">
        <v>13041</v>
      </c>
      <c r="B4275" s="3" t="s">
        <v>7899</v>
      </c>
      <c r="C4275" s="2">
        <f ca="1">IF(ISNUMBER(SEARCH(Лист2!$B$4,D:D)),MAX($C$3:OFFSET(C4275,-1,0))+1,0)</f>
        <v>0</v>
      </c>
      <c r="E4275" s="9" t="str">
        <f t="shared" ca="1" si="78"/>
        <v/>
      </c>
      <c r="F4275" s="4" t="s">
        <v>22</v>
      </c>
      <c r="G4275" s="2">
        <f>IF(ISNUMBER(SEARCH(Лист2!$B$4,F:F)),1,0)</f>
        <v>0</v>
      </c>
      <c r="H4275" s="3">
        <f ca="1">IF(AND(I4275&lt;&gt;I4274,ISNUMBER(SEARCH(Лист2!$B$5,I:I)),G4275=1),MAX($H$3:OFFSET(H4275,-1,0))+1,0)</f>
        <v>0</v>
      </c>
      <c r="I4275" s="3" t="s">
        <v>353</v>
      </c>
      <c r="K4275" s="2">
        <f>IF(ISNUMBER(SEARCH(Лист2!$B$4,F:F)),1,0)</f>
        <v>0</v>
      </c>
      <c r="L4275" s="14">
        <f>IF(ISNUMBER(SEARCH(Лист2!$B$5,I:I)),1,0)+K4275</f>
        <v>0</v>
      </c>
      <c r="M4275" s="3">
        <f ca="1">IF(AND(N4275&lt;&gt;N4274,ISNUMBER(SEARCH(Лист2!$B$6,N:N)),L4275=2),MAX($M$3:OFFSET(M4275,-1,0))+1,0)</f>
        <v>0</v>
      </c>
      <c r="N4275" s="3" t="s">
        <v>2680</v>
      </c>
    </row>
    <row r="4276" spans="1:14" x14ac:dyDescent="0.25">
      <c r="A4276" s="1" t="s">
        <v>13042</v>
      </c>
      <c r="B4276" s="3" t="s">
        <v>7900</v>
      </c>
      <c r="C4276" s="2">
        <f ca="1">IF(ISNUMBER(SEARCH(Лист2!$B$4,D:D)),MAX($C$3:OFFSET(C4276,-1,0))+1,0)</f>
        <v>0</v>
      </c>
      <c r="E4276" s="9" t="str">
        <f t="shared" ca="1" si="78"/>
        <v/>
      </c>
      <c r="F4276" s="4" t="s">
        <v>22</v>
      </c>
      <c r="G4276" s="2">
        <f>IF(ISNUMBER(SEARCH(Лист2!$B$4,F:F)),1,0)</f>
        <v>0</v>
      </c>
      <c r="H4276" s="3">
        <f ca="1">IF(AND(I4276&lt;&gt;I4275,ISNUMBER(SEARCH(Лист2!$B$5,I:I)),G4276=1),MAX($H$3:OFFSET(H4276,-1,0))+1,0)</f>
        <v>0</v>
      </c>
      <c r="I4276" s="3" t="s">
        <v>353</v>
      </c>
      <c r="K4276" s="2">
        <f>IF(ISNUMBER(SEARCH(Лист2!$B$4,F:F)),1,0)</f>
        <v>0</v>
      </c>
      <c r="L4276" s="14">
        <f>IF(ISNUMBER(SEARCH(Лист2!$B$5,I:I)),1,0)+K4276</f>
        <v>0</v>
      </c>
      <c r="M4276" s="3">
        <f ca="1">IF(AND(N4276&lt;&gt;N4275,ISNUMBER(SEARCH(Лист2!$B$6,N:N)),L4276=2),MAX($M$3:OFFSET(M4276,-1,0))+1,0)</f>
        <v>0</v>
      </c>
      <c r="N4276" s="3" t="s">
        <v>2681</v>
      </c>
    </row>
    <row r="4277" spans="1:14" x14ac:dyDescent="0.25">
      <c r="A4277" s="1" t="s">
        <v>13043</v>
      </c>
      <c r="B4277" s="3" t="s">
        <v>7901</v>
      </c>
      <c r="C4277" s="2">
        <f ca="1">IF(ISNUMBER(SEARCH(Лист2!$B$4,D:D)),MAX($C$3:OFFSET(C4277,-1,0))+1,0)</f>
        <v>0</v>
      </c>
      <c r="E4277" s="9" t="str">
        <f t="shared" ca="1" si="78"/>
        <v/>
      </c>
      <c r="F4277" s="4" t="s">
        <v>22</v>
      </c>
      <c r="G4277" s="2">
        <f>IF(ISNUMBER(SEARCH(Лист2!$B$4,F:F)),1,0)</f>
        <v>0</v>
      </c>
      <c r="H4277" s="3">
        <f ca="1">IF(AND(I4277&lt;&gt;I4276,ISNUMBER(SEARCH(Лист2!$B$5,I:I)),G4277=1),MAX($H$3:OFFSET(H4277,-1,0))+1,0)</f>
        <v>0</v>
      </c>
      <c r="I4277" s="3" t="s">
        <v>353</v>
      </c>
      <c r="K4277" s="2">
        <f>IF(ISNUMBER(SEARCH(Лист2!$B$4,F:F)),1,0)</f>
        <v>0</v>
      </c>
      <c r="L4277" s="14">
        <f>IF(ISNUMBER(SEARCH(Лист2!$B$5,I:I)),1,0)+K4277</f>
        <v>0</v>
      </c>
      <c r="M4277" s="3">
        <f ca="1">IF(AND(N4277&lt;&gt;N4276,ISNUMBER(SEARCH(Лист2!$B$6,N:N)),L4277=2),MAX($M$3:OFFSET(M4277,-1,0))+1,0)</f>
        <v>0</v>
      </c>
      <c r="N4277" s="3" t="s">
        <v>2682</v>
      </c>
    </row>
    <row r="4278" spans="1:14" x14ac:dyDescent="0.25">
      <c r="A4278" s="1" t="s">
        <v>13044</v>
      </c>
      <c r="B4278" s="3" t="s">
        <v>7902</v>
      </c>
      <c r="C4278" s="2">
        <f ca="1">IF(ISNUMBER(SEARCH(Лист2!$B$4,D:D)),MAX($C$3:OFFSET(C4278,-1,0))+1,0)</f>
        <v>0</v>
      </c>
      <c r="E4278" s="9" t="str">
        <f t="shared" ca="1" si="78"/>
        <v/>
      </c>
      <c r="F4278" s="4" t="s">
        <v>22</v>
      </c>
      <c r="G4278" s="2">
        <f>IF(ISNUMBER(SEARCH(Лист2!$B$4,F:F)),1,0)</f>
        <v>0</v>
      </c>
      <c r="H4278" s="3">
        <f ca="1">IF(AND(I4278&lt;&gt;I4277,ISNUMBER(SEARCH(Лист2!$B$5,I:I)),G4278=1),MAX($H$3:OFFSET(H4278,-1,0))+1,0)</f>
        <v>0</v>
      </c>
      <c r="I4278" s="3" t="s">
        <v>353</v>
      </c>
      <c r="K4278" s="2">
        <f>IF(ISNUMBER(SEARCH(Лист2!$B$4,F:F)),1,0)</f>
        <v>0</v>
      </c>
      <c r="L4278" s="14">
        <f>IF(ISNUMBER(SEARCH(Лист2!$B$5,I:I)),1,0)+K4278</f>
        <v>0</v>
      </c>
      <c r="M4278" s="3">
        <f ca="1">IF(AND(N4278&lt;&gt;N4277,ISNUMBER(SEARCH(Лист2!$B$6,N:N)),L4278=2),MAX($M$3:OFFSET(M4278,-1,0))+1,0)</f>
        <v>0</v>
      </c>
      <c r="N4278" s="3" t="s">
        <v>2683</v>
      </c>
    </row>
    <row r="4279" spans="1:14" x14ac:dyDescent="0.25">
      <c r="A4279" s="1" t="s">
        <v>13045</v>
      </c>
      <c r="B4279" s="3" t="s">
        <v>7903</v>
      </c>
      <c r="C4279" s="2">
        <f ca="1">IF(ISNUMBER(SEARCH(Лист2!$B$4,D:D)),MAX($C$3:OFFSET(C4279,-1,0))+1,0)</f>
        <v>0</v>
      </c>
      <c r="E4279" s="9" t="str">
        <f t="shared" ca="1" si="78"/>
        <v/>
      </c>
      <c r="F4279" s="4" t="s">
        <v>22</v>
      </c>
      <c r="G4279" s="2">
        <f>IF(ISNUMBER(SEARCH(Лист2!$B$4,F:F)),1,0)</f>
        <v>0</v>
      </c>
      <c r="H4279" s="3">
        <f ca="1">IF(AND(I4279&lt;&gt;I4278,ISNUMBER(SEARCH(Лист2!$B$5,I:I)),G4279=1),MAX($H$3:OFFSET(H4279,-1,0))+1,0)</f>
        <v>0</v>
      </c>
      <c r="I4279" s="3" t="s">
        <v>353</v>
      </c>
      <c r="K4279" s="2">
        <f>IF(ISNUMBER(SEARCH(Лист2!$B$4,F:F)),1,0)</f>
        <v>0</v>
      </c>
      <c r="L4279" s="14">
        <f>IF(ISNUMBER(SEARCH(Лист2!$B$5,I:I)),1,0)+K4279</f>
        <v>0</v>
      </c>
      <c r="M4279" s="3">
        <f ca="1">IF(AND(N4279&lt;&gt;N4278,ISNUMBER(SEARCH(Лист2!$B$6,N:N)),L4279=2),MAX($M$3:OFFSET(M4279,-1,0))+1,0)</f>
        <v>0</v>
      </c>
      <c r="N4279" s="3" t="s">
        <v>2684</v>
      </c>
    </row>
    <row r="4280" spans="1:14" x14ac:dyDescent="0.25">
      <c r="A4280" s="1" t="s">
        <v>13046</v>
      </c>
      <c r="B4280" s="3" t="s">
        <v>7904</v>
      </c>
      <c r="C4280" s="2">
        <f ca="1">IF(ISNUMBER(SEARCH(Лист2!$B$4,D:D)),MAX($C$3:OFFSET(C4280,-1,0))+1,0)</f>
        <v>0</v>
      </c>
      <c r="E4280" s="9" t="str">
        <f t="shared" ca="1" si="78"/>
        <v/>
      </c>
      <c r="F4280" s="4" t="s">
        <v>22</v>
      </c>
      <c r="G4280" s="2">
        <f>IF(ISNUMBER(SEARCH(Лист2!$B$4,F:F)),1,0)</f>
        <v>0</v>
      </c>
      <c r="H4280" s="3">
        <f ca="1">IF(AND(I4280&lt;&gt;I4279,ISNUMBER(SEARCH(Лист2!$B$5,I:I)),G4280=1),MAX($H$3:OFFSET(H4280,-1,0))+1,0)</f>
        <v>0</v>
      </c>
      <c r="I4280" s="3" t="s">
        <v>353</v>
      </c>
      <c r="K4280" s="2">
        <f>IF(ISNUMBER(SEARCH(Лист2!$B$4,F:F)),1,0)</f>
        <v>0</v>
      </c>
      <c r="L4280" s="14">
        <f>IF(ISNUMBER(SEARCH(Лист2!$B$5,I:I)),1,0)+K4280</f>
        <v>0</v>
      </c>
      <c r="M4280" s="3">
        <f ca="1">IF(AND(N4280&lt;&gt;N4279,ISNUMBER(SEARCH(Лист2!$B$6,N:N)),L4280=2),MAX($M$3:OFFSET(M4280,-1,0))+1,0)</f>
        <v>0</v>
      </c>
      <c r="N4280" s="3" t="s">
        <v>2685</v>
      </c>
    </row>
    <row r="4281" spans="1:14" x14ac:dyDescent="0.25">
      <c r="A4281" s="1" t="s">
        <v>13047</v>
      </c>
      <c r="B4281" s="3" t="s">
        <v>7905</v>
      </c>
      <c r="C4281" s="2">
        <f ca="1">IF(ISNUMBER(SEARCH(Лист2!$B$4,D:D)),MAX($C$3:OFFSET(C4281,-1,0))+1,0)</f>
        <v>0</v>
      </c>
      <c r="E4281" s="9" t="str">
        <f t="shared" ca="1" si="78"/>
        <v/>
      </c>
      <c r="F4281" s="4" t="s">
        <v>23</v>
      </c>
      <c r="G4281" s="2">
        <f>IF(ISNUMBER(SEARCH(Лист2!$B$4,F:F)),1,0)</f>
        <v>0</v>
      </c>
      <c r="H4281" s="3">
        <f ca="1">IF(AND(I4281&lt;&gt;I4280,ISNUMBER(SEARCH(Лист2!$B$5,I:I)),G4281=1),MAX($H$3:OFFSET(H4281,-1,0))+1,0)</f>
        <v>0</v>
      </c>
      <c r="I4281" s="3" t="s">
        <v>354</v>
      </c>
      <c r="K4281" s="2">
        <f>IF(ISNUMBER(SEARCH(Лист2!$B$4,F:F)),1,0)</f>
        <v>0</v>
      </c>
      <c r="L4281" s="14">
        <f>IF(ISNUMBER(SEARCH(Лист2!$B$5,I:I)),1,0)+K4281</f>
        <v>0</v>
      </c>
      <c r="M4281" s="3">
        <f ca="1">IF(AND(N4281&lt;&gt;N4280,ISNUMBER(SEARCH(Лист2!$B$6,N:N)),L4281=2),MAX($M$3:OFFSET(M4281,-1,0))+1,0)</f>
        <v>0</v>
      </c>
      <c r="N4281" s="3" t="s">
        <v>594</v>
      </c>
    </row>
    <row r="4282" spans="1:14" x14ac:dyDescent="0.25">
      <c r="A4282" s="1" t="s">
        <v>13048</v>
      </c>
      <c r="B4282" s="3" t="s">
        <v>7906</v>
      </c>
      <c r="C4282" s="2">
        <f ca="1">IF(ISNUMBER(SEARCH(Лист2!$B$4,D:D)),MAX($C$3:OFFSET(C4282,-1,0))+1,0)</f>
        <v>0</v>
      </c>
      <c r="E4282" s="9" t="str">
        <f t="shared" ca="1" si="78"/>
        <v/>
      </c>
      <c r="F4282" s="4" t="s">
        <v>23</v>
      </c>
      <c r="G4282" s="2">
        <f>IF(ISNUMBER(SEARCH(Лист2!$B$4,F:F)),1,0)</f>
        <v>0</v>
      </c>
      <c r="H4282" s="3">
        <f ca="1">IF(AND(I4282&lt;&gt;I4281,ISNUMBER(SEARCH(Лист2!$B$5,I:I)),G4282=1),MAX($H$3:OFFSET(H4282,-1,0))+1,0)</f>
        <v>0</v>
      </c>
      <c r="I4282" s="3" t="s">
        <v>354</v>
      </c>
      <c r="K4282" s="2">
        <f>IF(ISNUMBER(SEARCH(Лист2!$B$4,F:F)),1,0)</f>
        <v>0</v>
      </c>
      <c r="L4282" s="14">
        <f>IF(ISNUMBER(SEARCH(Лист2!$B$5,I:I)),1,0)+K4282</f>
        <v>0</v>
      </c>
      <c r="M4282" s="3">
        <f ca="1">IF(AND(N4282&lt;&gt;N4281,ISNUMBER(SEARCH(Лист2!$B$6,N:N)),L4282=2),MAX($M$3:OFFSET(M4282,-1,0))+1,0)</f>
        <v>0</v>
      </c>
      <c r="N4282" s="3" t="s">
        <v>2598</v>
      </c>
    </row>
    <row r="4283" spans="1:14" x14ac:dyDescent="0.25">
      <c r="A4283" s="1" t="s">
        <v>13049</v>
      </c>
      <c r="B4283" s="3" t="s">
        <v>7907</v>
      </c>
      <c r="C4283" s="2">
        <f ca="1">IF(ISNUMBER(SEARCH(Лист2!$B$4,D:D)),MAX($C$3:OFFSET(C4283,-1,0))+1,0)</f>
        <v>0</v>
      </c>
      <c r="E4283" s="9" t="str">
        <f t="shared" ca="1" si="78"/>
        <v/>
      </c>
      <c r="F4283" s="4" t="s">
        <v>23</v>
      </c>
      <c r="G4283" s="2">
        <f>IF(ISNUMBER(SEARCH(Лист2!$B$4,F:F)),1,0)</f>
        <v>0</v>
      </c>
      <c r="H4283" s="3">
        <f ca="1">IF(AND(I4283&lt;&gt;I4282,ISNUMBER(SEARCH(Лист2!$B$5,I:I)),G4283=1),MAX($H$3:OFFSET(H4283,-1,0))+1,0)</f>
        <v>0</v>
      </c>
      <c r="I4283" s="3" t="s">
        <v>354</v>
      </c>
      <c r="K4283" s="2">
        <f>IF(ISNUMBER(SEARCH(Лист2!$B$4,F:F)),1,0)</f>
        <v>0</v>
      </c>
      <c r="L4283" s="14">
        <f>IF(ISNUMBER(SEARCH(Лист2!$B$5,I:I)),1,0)+K4283</f>
        <v>0</v>
      </c>
      <c r="M4283" s="3">
        <f ca="1">IF(AND(N4283&lt;&gt;N4282,ISNUMBER(SEARCH(Лист2!$B$6,N:N)),L4283=2),MAX($M$3:OFFSET(M4283,-1,0))+1,0)</f>
        <v>0</v>
      </c>
      <c r="N4283" s="3" t="s">
        <v>1535</v>
      </c>
    </row>
    <row r="4284" spans="1:14" x14ac:dyDescent="0.25">
      <c r="A4284" s="1" t="s">
        <v>13050</v>
      </c>
      <c r="B4284" s="3" t="s">
        <v>7908</v>
      </c>
      <c r="C4284" s="2">
        <f ca="1">IF(ISNUMBER(SEARCH(Лист2!$B$4,D:D)),MAX($C$3:OFFSET(C4284,-1,0))+1,0)</f>
        <v>0</v>
      </c>
      <c r="E4284" s="9" t="str">
        <f t="shared" ca="1" si="78"/>
        <v/>
      </c>
      <c r="F4284" s="4" t="s">
        <v>23</v>
      </c>
      <c r="G4284" s="2">
        <f>IF(ISNUMBER(SEARCH(Лист2!$B$4,F:F)),1,0)</f>
        <v>0</v>
      </c>
      <c r="H4284" s="3">
        <f ca="1">IF(AND(I4284&lt;&gt;I4283,ISNUMBER(SEARCH(Лист2!$B$5,I:I)),G4284=1),MAX($H$3:OFFSET(H4284,-1,0))+1,0)</f>
        <v>0</v>
      </c>
      <c r="I4284" s="3" t="s">
        <v>354</v>
      </c>
      <c r="K4284" s="2">
        <f>IF(ISNUMBER(SEARCH(Лист2!$B$4,F:F)),1,0)</f>
        <v>0</v>
      </c>
      <c r="L4284" s="14">
        <f>IF(ISNUMBER(SEARCH(Лист2!$B$5,I:I)),1,0)+K4284</f>
        <v>0</v>
      </c>
      <c r="M4284" s="3">
        <f ca="1">IF(AND(N4284&lt;&gt;N4283,ISNUMBER(SEARCH(Лист2!$B$6,N:N)),L4284=2),MAX($M$3:OFFSET(M4284,-1,0))+1,0)</f>
        <v>0</v>
      </c>
      <c r="N4284" s="3" t="s">
        <v>600</v>
      </c>
    </row>
    <row r="4285" spans="1:14" x14ac:dyDescent="0.25">
      <c r="A4285" s="1" t="s">
        <v>13051</v>
      </c>
      <c r="B4285" s="3" t="s">
        <v>7909</v>
      </c>
      <c r="C4285" s="2">
        <f ca="1">IF(ISNUMBER(SEARCH(Лист2!$B$4,D:D)),MAX($C$3:OFFSET(C4285,-1,0))+1,0)</f>
        <v>0</v>
      </c>
      <c r="E4285" s="9" t="str">
        <f t="shared" ca="1" si="78"/>
        <v/>
      </c>
      <c r="F4285" s="4" t="s">
        <v>23</v>
      </c>
      <c r="G4285" s="2">
        <f>IF(ISNUMBER(SEARCH(Лист2!$B$4,F:F)),1,0)</f>
        <v>0</v>
      </c>
      <c r="H4285" s="3">
        <f ca="1">IF(AND(I4285&lt;&gt;I4284,ISNUMBER(SEARCH(Лист2!$B$5,I:I)),G4285=1),MAX($H$3:OFFSET(H4285,-1,0))+1,0)</f>
        <v>0</v>
      </c>
      <c r="I4285" s="3" t="s">
        <v>354</v>
      </c>
      <c r="K4285" s="2">
        <f>IF(ISNUMBER(SEARCH(Лист2!$B$4,F:F)),1,0)</f>
        <v>0</v>
      </c>
      <c r="L4285" s="14">
        <f>IF(ISNUMBER(SEARCH(Лист2!$B$5,I:I)),1,0)+K4285</f>
        <v>0</v>
      </c>
      <c r="M4285" s="3">
        <f ca="1">IF(AND(N4285&lt;&gt;N4284,ISNUMBER(SEARCH(Лист2!$B$6,N:N)),L4285=2),MAX($M$3:OFFSET(M4285,-1,0))+1,0)</f>
        <v>0</v>
      </c>
      <c r="N4285" s="3" t="s">
        <v>601</v>
      </c>
    </row>
    <row r="4286" spans="1:14" x14ac:dyDescent="0.25">
      <c r="A4286" s="1" t="s">
        <v>13052</v>
      </c>
      <c r="B4286" s="3" t="s">
        <v>7910</v>
      </c>
      <c r="C4286" s="2">
        <f ca="1">IF(ISNUMBER(SEARCH(Лист2!$B$4,D:D)),MAX($C$3:OFFSET(C4286,-1,0))+1,0)</f>
        <v>0</v>
      </c>
      <c r="E4286" s="9" t="str">
        <f t="shared" ca="1" si="78"/>
        <v/>
      </c>
      <c r="F4286" s="4" t="s">
        <v>23</v>
      </c>
      <c r="G4286" s="2">
        <f>IF(ISNUMBER(SEARCH(Лист2!$B$4,F:F)),1,0)</f>
        <v>0</v>
      </c>
      <c r="H4286" s="3">
        <f ca="1">IF(AND(I4286&lt;&gt;I4285,ISNUMBER(SEARCH(Лист2!$B$5,I:I)),G4286=1),MAX($H$3:OFFSET(H4286,-1,0))+1,0)</f>
        <v>0</v>
      </c>
      <c r="I4286" s="3" t="s">
        <v>98</v>
      </c>
      <c r="K4286" s="2">
        <f>IF(ISNUMBER(SEARCH(Лист2!$B$4,F:F)),1,0)</f>
        <v>0</v>
      </c>
      <c r="L4286" s="14">
        <f>IF(ISNUMBER(SEARCH(Лист2!$B$5,I:I)),1,0)+K4286</f>
        <v>0</v>
      </c>
      <c r="M4286" s="3">
        <f ca="1">IF(AND(N4286&lt;&gt;N4285,ISNUMBER(SEARCH(Лист2!$B$6,N:N)),L4286=2),MAX($M$3:OFFSET(M4286,-1,0))+1,0)</f>
        <v>0</v>
      </c>
      <c r="N4286" s="3" t="s">
        <v>2686</v>
      </c>
    </row>
    <row r="4287" spans="1:14" x14ac:dyDescent="0.25">
      <c r="A4287" s="1" t="s">
        <v>13053</v>
      </c>
      <c r="B4287" s="3" t="s">
        <v>7911</v>
      </c>
      <c r="C4287" s="2">
        <f ca="1">IF(ISNUMBER(SEARCH(Лист2!$B$4,D:D)),MAX($C$3:OFFSET(C4287,-1,0))+1,0)</f>
        <v>0</v>
      </c>
      <c r="E4287" s="9" t="str">
        <f t="shared" ca="1" si="78"/>
        <v/>
      </c>
      <c r="F4287" s="4" t="s">
        <v>23</v>
      </c>
      <c r="G4287" s="2">
        <f>IF(ISNUMBER(SEARCH(Лист2!$B$4,F:F)),1,0)</f>
        <v>0</v>
      </c>
      <c r="H4287" s="3">
        <f ca="1">IF(AND(I4287&lt;&gt;I4286,ISNUMBER(SEARCH(Лист2!$B$5,I:I)),G4287=1),MAX($H$3:OFFSET(H4287,-1,0))+1,0)</f>
        <v>0</v>
      </c>
      <c r="I4287" s="3" t="s">
        <v>98</v>
      </c>
      <c r="K4287" s="2">
        <f>IF(ISNUMBER(SEARCH(Лист2!$B$4,F:F)),1,0)</f>
        <v>0</v>
      </c>
      <c r="L4287" s="14">
        <f>IF(ISNUMBER(SEARCH(Лист2!$B$5,I:I)),1,0)+K4287</f>
        <v>0</v>
      </c>
      <c r="M4287" s="3">
        <f ca="1">IF(AND(N4287&lt;&gt;N4286,ISNUMBER(SEARCH(Лист2!$B$6,N:N)),L4287=2),MAX($M$3:OFFSET(M4287,-1,0))+1,0)</f>
        <v>0</v>
      </c>
      <c r="N4287" s="3" t="s">
        <v>2687</v>
      </c>
    </row>
    <row r="4288" spans="1:14" x14ac:dyDescent="0.25">
      <c r="A4288" s="1" t="s">
        <v>13054</v>
      </c>
      <c r="B4288" s="3" t="s">
        <v>7912</v>
      </c>
      <c r="C4288" s="2">
        <f ca="1">IF(ISNUMBER(SEARCH(Лист2!$B$4,D:D)),MAX($C$3:OFFSET(C4288,-1,0))+1,0)</f>
        <v>0</v>
      </c>
      <c r="E4288" s="9" t="str">
        <f t="shared" ca="1" si="78"/>
        <v/>
      </c>
      <c r="F4288" s="4" t="s">
        <v>23</v>
      </c>
      <c r="G4288" s="2">
        <f>IF(ISNUMBER(SEARCH(Лист2!$B$4,F:F)),1,0)</f>
        <v>0</v>
      </c>
      <c r="H4288" s="3">
        <f ca="1">IF(AND(I4288&lt;&gt;I4287,ISNUMBER(SEARCH(Лист2!$B$5,I:I)),G4288=1),MAX($H$3:OFFSET(H4288,-1,0))+1,0)</f>
        <v>0</v>
      </c>
      <c r="I4288" s="3" t="s">
        <v>98</v>
      </c>
      <c r="K4288" s="2">
        <f>IF(ISNUMBER(SEARCH(Лист2!$B$4,F:F)),1,0)</f>
        <v>0</v>
      </c>
      <c r="L4288" s="14">
        <f>IF(ISNUMBER(SEARCH(Лист2!$B$5,I:I)),1,0)+K4288</f>
        <v>0</v>
      </c>
      <c r="M4288" s="3">
        <f ca="1">IF(AND(N4288&lt;&gt;N4287,ISNUMBER(SEARCH(Лист2!$B$6,N:N)),L4288=2),MAX($M$3:OFFSET(M4288,-1,0))+1,0)</f>
        <v>0</v>
      </c>
      <c r="N4288" s="3" t="s">
        <v>2688</v>
      </c>
    </row>
    <row r="4289" spans="1:14" x14ac:dyDescent="0.25">
      <c r="A4289" s="1" t="s">
        <v>13055</v>
      </c>
      <c r="B4289" s="3" t="s">
        <v>7913</v>
      </c>
      <c r="C4289" s="2">
        <f ca="1">IF(ISNUMBER(SEARCH(Лист2!$B$4,D:D)),MAX($C$3:OFFSET(C4289,-1,0))+1,0)</f>
        <v>0</v>
      </c>
      <c r="E4289" s="9" t="str">
        <f t="shared" ca="1" si="78"/>
        <v/>
      </c>
      <c r="F4289" s="4" t="s">
        <v>23</v>
      </c>
      <c r="G4289" s="2">
        <f>IF(ISNUMBER(SEARCH(Лист2!$B$4,F:F)),1,0)</f>
        <v>0</v>
      </c>
      <c r="H4289" s="3">
        <f ca="1">IF(AND(I4289&lt;&gt;I4288,ISNUMBER(SEARCH(Лист2!$B$5,I:I)),G4289=1),MAX($H$3:OFFSET(H4289,-1,0))+1,0)</f>
        <v>0</v>
      </c>
      <c r="I4289" s="3" t="s">
        <v>98</v>
      </c>
      <c r="K4289" s="2">
        <f>IF(ISNUMBER(SEARCH(Лист2!$B$4,F:F)),1,0)</f>
        <v>0</v>
      </c>
      <c r="L4289" s="14">
        <f>IF(ISNUMBER(SEARCH(Лист2!$B$5,I:I)),1,0)+K4289</f>
        <v>0</v>
      </c>
      <c r="M4289" s="3">
        <f ca="1">IF(AND(N4289&lt;&gt;N4288,ISNUMBER(SEARCH(Лист2!$B$6,N:N)),L4289=2),MAX($M$3:OFFSET(M4289,-1,0))+1,0)</f>
        <v>0</v>
      </c>
      <c r="N4289" s="3" t="s">
        <v>2599</v>
      </c>
    </row>
    <row r="4290" spans="1:14" x14ac:dyDescent="0.25">
      <c r="A4290" s="1" t="s">
        <v>13056</v>
      </c>
      <c r="B4290" s="3" t="s">
        <v>7914</v>
      </c>
      <c r="C4290" s="2">
        <f ca="1">IF(ISNUMBER(SEARCH(Лист2!$B$4,D:D)),MAX($C$3:OFFSET(C4290,-1,0))+1,0)</f>
        <v>0</v>
      </c>
      <c r="E4290" s="9" t="str">
        <f t="shared" ca="1" si="78"/>
        <v/>
      </c>
      <c r="F4290" s="4" t="s">
        <v>23</v>
      </c>
      <c r="G4290" s="2">
        <f>IF(ISNUMBER(SEARCH(Лист2!$B$4,F:F)),1,0)</f>
        <v>0</v>
      </c>
      <c r="H4290" s="3">
        <f ca="1">IF(AND(I4290&lt;&gt;I4289,ISNUMBER(SEARCH(Лист2!$B$5,I:I)),G4290=1),MAX($H$3:OFFSET(H4290,-1,0))+1,0)</f>
        <v>0</v>
      </c>
      <c r="I4290" s="3" t="s">
        <v>98</v>
      </c>
      <c r="K4290" s="2">
        <f>IF(ISNUMBER(SEARCH(Лист2!$B$4,F:F)),1,0)</f>
        <v>0</v>
      </c>
      <c r="L4290" s="14">
        <f>IF(ISNUMBER(SEARCH(Лист2!$B$5,I:I)),1,0)+K4290</f>
        <v>0</v>
      </c>
      <c r="M4290" s="3">
        <f ca="1">IF(AND(N4290&lt;&gt;N4289,ISNUMBER(SEARCH(Лист2!$B$6,N:N)),L4290=2),MAX($M$3:OFFSET(M4290,-1,0))+1,0)</f>
        <v>0</v>
      </c>
      <c r="N4290" s="3" t="s">
        <v>2600</v>
      </c>
    </row>
    <row r="4291" spans="1:14" x14ac:dyDescent="0.25">
      <c r="A4291" s="1" t="s">
        <v>13057</v>
      </c>
      <c r="B4291" s="3" t="s">
        <v>7915</v>
      </c>
      <c r="C4291" s="2">
        <f ca="1">IF(ISNUMBER(SEARCH(Лист2!$B$4,D:D)),MAX($C$3:OFFSET(C4291,-1,0))+1,0)</f>
        <v>0</v>
      </c>
      <c r="E4291" s="9" t="str">
        <f t="shared" ca="1" si="78"/>
        <v/>
      </c>
      <c r="F4291" s="4" t="s">
        <v>23</v>
      </c>
      <c r="G4291" s="2">
        <f>IF(ISNUMBER(SEARCH(Лист2!$B$4,F:F)),1,0)</f>
        <v>0</v>
      </c>
      <c r="H4291" s="3">
        <f ca="1">IF(AND(I4291&lt;&gt;I4290,ISNUMBER(SEARCH(Лист2!$B$5,I:I)),G4291=1),MAX($H$3:OFFSET(H4291,-1,0))+1,0)</f>
        <v>0</v>
      </c>
      <c r="I4291" s="3" t="s">
        <v>355</v>
      </c>
      <c r="K4291" s="2">
        <f>IF(ISNUMBER(SEARCH(Лист2!$B$4,F:F)),1,0)</f>
        <v>0</v>
      </c>
      <c r="L4291" s="14">
        <f>IF(ISNUMBER(SEARCH(Лист2!$B$5,I:I)),1,0)+K4291</f>
        <v>0</v>
      </c>
      <c r="M4291" s="3">
        <f ca="1">IF(AND(N4291&lt;&gt;N4290,ISNUMBER(SEARCH(Лист2!$B$6,N:N)),L4291=2),MAX($M$3:OFFSET(M4291,-1,0))+1,0)</f>
        <v>0</v>
      </c>
      <c r="N4291" s="3" t="s">
        <v>2689</v>
      </c>
    </row>
    <row r="4292" spans="1:14" x14ac:dyDescent="0.25">
      <c r="A4292" s="1" t="s">
        <v>13058</v>
      </c>
      <c r="B4292" s="3" t="s">
        <v>7916</v>
      </c>
      <c r="C4292" s="2">
        <f ca="1">IF(ISNUMBER(SEARCH(Лист2!$B$4,D:D)),MAX($C$3:OFFSET(C4292,-1,0))+1,0)</f>
        <v>0</v>
      </c>
      <c r="E4292" s="9" t="str">
        <f t="shared" ca="1" si="78"/>
        <v/>
      </c>
      <c r="F4292" s="4" t="s">
        <v>23</v>
      </c>
      <c r="G4292" s="2">
        <f>IF(ISNUMBER(SEARCH(Лист2!$B$4,F:F)),1,0)</f>
        <v>0</v>
      </c>
      <c r="H4292" s="3">
        <f ca="1">IF(AND(I4292&lt;&gt;I4291,ISNUMBER(SEARCH(Лист2!$B$5,I:I)),G4292=1),MAX($H$3:OFFSET(H4292,-1,0))+1,0)</f>
        <v>0</v>
      </c>
      <c r="I4292" s="3" t="s">
        <v>355</v>
      </c>
      <c r="K4292" s="2">
        <f>IF(ISNUMBER(SEARCH(Лист2!$B$4,F:F)),1,0)</f>
        <v>0</v>
      </c>
      <c r="L4292" s="14">
        <f>IF(ISNUMBER(SEARCH(Лист2!$B$5,I:I)),1,0)+K4292</f>
        <v>0</v>
      </c>
      <c r="M4292" s="3">
        <f ca="1">IF(AND(N4292&lt;&gt;N4291,ISNUMBER(SEARCH(Лист2!$B$6,N:N)),L4292=2),MAX($M$3:OFFSET(M4292,-1,0))+1,0)</f>
        <v>0</v>
      </c>
      <c r="N4292" s="3" t="s">
        <v>2690</v>
      </c>
    </row>
    <row r="4293" spans="1:14" x14ac:dyDescent="0.25">
      <c r="A4293" s="1" t="s">
        <v>13059</v>
      </c>
      <c r="B4293" s="3" t="s">
        <v>7917</v>
      </c>
      <c r="C4293" s="2">
        <f ca="1">IF(ISNUMBER(SEARCH(Лист2!$B$4,D:D)),MAX($C$3:OFFSET(C4293,-1,0))+1,0)</f>
        <v>0</v>
      </c>
      <c r="E4293" s="9" t="str">
        <f t="shared" ref="E4293:E4356" ca="1" si="79">IFERROR(INDEX(D:D,MATCH(ROW(E4293)-ROW($E$3),C:C,0)),"")</f>
        <v/>
      </c>
      <c r="F4293" s="4" t="s">
        <v>23</v>
      </c>
      <c r="G4293" s="2">
        <f>IF(ISNUMBER(SEARCH(Лист2!$B$4,F:F)),1,0)</f>
        <v>0</v>
      </c>
      <c r="H4293" s="3">
        <f ca="1">IF(AND(I4293&lt;&gt;I4292,ISNUMBER(SEARCH(Лист2!$B$5,I:I)),G4293=1),MAX($H$3:OFFSET(H4293,-1,0))+1,0)</f>
        <v>0</v>
      </c>
      <c r="I4293" s="3" t="s">
        <v>355</v>
      </c>
      <c r="K4293" s="2">
        <f>IF(ISNUMBER(SEARCH(Лист2!$B$4,F:F)),1,0)</f>
        <v>0</v>
      </c>
      <c r="L4293" s="14">
        <f>IF(ISNUMBER(SEARCH(Лист2!$B$5,I:I)),1,0)+K4293</f>
        <v>0</v>
      </c>
      <c r="M4293" s="3">
        <f ca="1">IF(AND(N4293&lt;&gt;N4292,ISNUMBER(SEARCH(Лист2!$B$6,N:N)),L4293=2),MAX($M$3:OFFSET(M4293,-1,0))+1,0)</f>
        <v>0</v>
      </c>
      <c r="N4293" s="3" t="s">
        <v>2691</v>
      </c>
    </row>
    <row r="4294" spans="1:14" x14ac:dyDescent="0.25">
      <c r="A4294" s="1" t="s">
        <v>13060</v>
      </c>
      <c r="B4294" s="3" t="s">
        <v>7918</v>
      </c>
      <c r="C4294" s="2">
        <f ca="1">IF(ISNUMBER(SEARCH(Лист2!$B$4,D:D)),MAX($C$3:OFFSET(C4294,-1,0))+1,0)</f>
        <v>0</v>
      </c>
      <c r="E4294" s="9" t="str">
        <f t="shared" ca="1" si="79"/>
        <v/>
      </c>
      <c r="F4294" s="4" t="s">
        <v>23</v>
      </c>
      <c r="G4294" s="2">
        <f>IF(ISNUMBER(SEARCH(Лист2!$B$4,F:F)),1,0)</f>
        <v>0</v>
      </c>
      <c r="H4294" s="3">
        <f ca="1">IF(AND(I4294&lt;&gt;I4293,ISNUMBER(SEARCH(Лист2!$B$5,I:I)),G4294=1),MAX($H$3:OFFSET(H4294,-1,0))+1,0)</f>
        <v>0</v>
      </c>
      <c r="I4294" s="3" t="s">
        <v>355</v>
      </c>
      <c r="K4294" s="2">
        <f>IF(ISNUMBER(SEARCH(Лист2!$B$4,F:F)),1,0)</f>
        <v>0</v>
      </c>
      <c r="L4294" s="14">
        <f>IF(ISNUMBER(SEARCH(Лист2!$B$5,I:I)),1,0)+K4294</f>
        <v>0</v>
      </c>
      <c r="M4294" s="3">
        <f ca="1">IF(AND(N4294&lt;&gt;N4293,ISNUMBER(SEARCH(Лист2!$B$6,N:N)),L4294=2),MAX($M$3:OFFSET(M4294,-1,0))+1,0)</f>
        <v>0</v>
      </c>
      <c r="N4294" s="3" t="s">
        <v>2692</v>
      </c>
    </row>
    <row r="4295" spans="1:14" x14ac:dyDescent="0.25">
      <c r="A4295" s="1" t="s">
        <v>13061</v>
      </c>
      <c r="B4295" s="3" t="s">
        <v>7919</v>
      </c>
      <c r="C4295" s="2">
        <f ca="1">IF(ISNUMBER(SEARCH(Лист2!$B$4,D:D)),MAX($C$3:OFFSET(C4295,-1,0))+1,0)</f>
        <v>0</v>
      </c>
      <c r="E4295" s="9" t="str">
        <f t="shared" ca="1" si="79"/>
        <v/>
      </c>
      <c r="F4295" s="4" t="s">
        <v>23</v>
      </c>
      <c r="G4295" s="2">
        <f>IF(ISNUMBER(SEARCH(Лист2!$B$4,F:F)),1,0)</f>
        <v>0</v>
      </c>
      <c r="H4295" s="3">
        <f ca="1">IF(AND(I4295&lt;&gt;I4294,ISNUMBER(SEARCH(Лист2!$B$5,I:I)),G4295=1),MAX($H$3:OFFSET(H4295,-1,0))+1,0)</f>
        <v>0</v>
      </c>
      <c r="I4295" s="3" t="s">
        <v>355</v>
      </c>
      <c r="K4295" s="2">
        <f>IF(ISNUMBER(SEARCH(Лист2!$B$4,F:F)),1,0)</f>
        <v>0</v>
      </c>
      <c r="L4295" s="14">
        <f>IF(ISNUMBER(SEARCH(Лист2!$B$5,I:I)),1,0)+K4295</f>
        <v>0</v>
      </c>
      <c r="M4295" s="3">
        <f ca="1">IF(AND(N4295&lt;&gt;N4294,ISNUMBER(SEARCH(Лист2!$B$6,N:N)),L4295=2),MAX($M$3:OFFSET(M4295,-1,0))+1,0)</f>
        <v>0</v>
      </c>
      <c r="N4295" s="3" t="s">
        <v>2693</v>
      </c>
    </row>
    <row r="4296" spans="1:14" x14ac:dyDescent="0.25">
      <c r="A4296" s="1" t="s">
        <v>13062</v>
      </c>
      <c r="B4296" s="3" t="s">
        <v>7920</v>
      </c>
      <c r="C4296" s="2">
        <f ca="1">IF(ISNUMBER(SEARCH(Лист2!$B$4,D:D)),MAX($C$3:OFFSET(C4296,-1,0))+1,0)</f>
        <v>0</v>
      </c>
      <c r="E4296" s="9" t="str">
        <f t="shared" ca="1" si="79"/>
        <v/>
      </c>
      <c r="F4296" s="4" t="s">
        <v>23</v>
      </c>
      <c r="G4296" s="2">
        <f>IF(ISNUMBER(SEARCH(Лист2!$B$4,F:F)),1,0)</f>
        <v>0</v>
      </c>
      <c r="H4296" s="3">
        <f ca="1">IF(AND(I4296&lt;&gt;I4295,ISNUMBER(SEARCH(Лист2!$B$5,I:I)),G4296=1),MAX($H$3:OFFSET(H4296,-1,0))+1,0)</f>
        <v>0</v>
      </c>
      <c r="I4296" s="3" t="s">
        <v>355</v>
      </c>
      <c r="K4296" s="2">
        <f>IF(ISNUMBER(SEARCH(Лист2!$B$4,F:F)),1,0)</f>
        <v>0</v>
      </c>
      <c r="L4296" s="14">
        <f>IF(ISNUMBER(SEARCH(Лист2!$B$5,I:I)),1,0)+K4296</f>
        <v>0</v>
      </c>
      <c r="M4296" s="3">
        <f ca="1">IF(AND(N4296&lt;&gt;N4295,ISNUMBER(SEARCH(Лист2!$B$6,N:N)),L4296=2),MAX($M$3:OFFSET(M4296,-1,0))+1,0)</f>
        <v>0</v>
      </c>
      <c r="N4296" s="3" t="s">
        <v>621</v>
      </c>
    </row>
    <row r="4297" spans="1:14" x14ac:dyDescent="0.25">
      <c r="A4297" s="1" t="s">
        <v>13063</v>
      </c>
      <c r="B4297" s="3" t="s">
        <v>7921</v>
      </c>
      <c r="C4297" s="2">
        <f ca="1">IF(ISNUMBER(SEARCH(Лист2!$B$4,D:D)),MAX($C$3:OFFSET(C4297,-1,0))+1,0)</f>
        <v>0</v>
      </c>
      <c r="E4297" s="9" t="str">
        <f t="shared" ca="1" si="79"/>
        <v/>
      </c>
      <c r="F4297" s="4" t="s">
        <v>23</v>
      </c>
      <c r="G4297" s="2">
        <f>IF(ISNUMBER(SEARCH(Лист2!$B$4,F:F)),1,0)</f>
        <v>0</v>
      </c>
      <c r="H4297" s="3">
        <f ca="1">IF(AND(I4297&lt;&gt;I4296,ISNUMBER(SEARCH(Лист2!$B$5,I:I)),G4297=1),MAX($H$3:OFFSET(H4297,-1,0))+1,0)</f>
        <v>0</v>
      </c>
      <c r="I4297" s="3" t="s">
        <v>355</v>
      </c>
      <c r="K4297" s="2">
        <f>IF(ISNUMBER(SEARCH(Лист2!$B$4,F:F)),1,0)</f>
        <v>0</v>
      </c>
      <c r="L4297" s="14">
        <f>IF(ISNUMBER(SEARCH(Лист2!$B$5,I:I)),1,0)+K4297</f>
        <v>0</v>
      </c>
      <c r="M4297" s="3">
        <f ca="1">IF(AND(N4297&lt;&gt;N4296,ISNUMBER(SEARCH(Лист2!$B$6,N:N)),L4297=2),MAX($M$3:OFFSET(M4297,-1,0))+1,0)</f>
        <v>0</v>
      </c>
      <c r="N4297" s="3" t="s">
        <v>620</v>
      </c>
    </row>
    <row r="4298" spans="1:14" x14ac:dyDescent="0.25">
      <c r="A4298" s="1" t="s">
        <v>13064</v>
      </c>
      <c r="B4298" s="3" t="s">
        <v>7922</v>
      </c>
      <c r="C4298" s="2">
        <f ca="1">IF(ISNUMBER(SEARCH(Лист2!$B$4,D:D)),MAX($C$3:OFFSET(C4298,-1,0))+1,0)</f>
        <v>0</v>
      </c>
      <c r="E4298" s="9" t="str">
        <f t="shared" ca="1" si="79"/>
        <v/>
      </c>
      <c r="F4298" s="4" t="s">
        <v>23</v>
      </c>
      <c r="G4298" s="2">
        <f>IF(ISNUMBER(SEARCH(Лист2!$B$4,F:F)),1,0)</f>
        <v>0</v>
      </c>
      <c r="H4298" s="3">
        <f ca="1">IF(AND(I4298&lt;&gt;I4297,ISNUMBER(SEARCH(Лист2!$B$5,I:I)),G4298=1),MAX($H$3:OFFSET(H4298,-1,0))+1,0)</f>
        <v>0</v>
      </c>
      <c r="I4298" s="3" t="s">
        <v>188</v>
      </c>
      <c r="K4298" s="2">
        <f>IF(ISNUMBER(SEARCH(Лист2!$B$4,F:F)),1,0)</f>
        <v>0</v>
      </c>
      <c r="L4298" s="14">
        <f>IF(ISNUMBER(SEARCH(Лист2!$B$5,I:I)),1,0)+K4298</f>
        <v>0</v>
      </c>
      <c r="M4298" s="3">
        <f ca="1">IF(AND(N4298&lt;&gt;N4297,ISNUMBER(SEARCH(Лист2!$B$6,N:N)),L4298=2),MAX($M$3:OFFSET(M4298,-1,0))+1,0)</f>
        <v>0</v>
      </c>
      <c r="N4298" s="3" t="s">
        <v>1402</v>
      </c>
    </row>
    <row r="4299" spans="1:14" x14ac:dyDescent="0.25">
      <c r="A4299" s="1" t="s">
        <v>13065</v>
      </c>
      <c r="B4299" s="3" t="s">
        <v>7923</v>
      </c>
      <c r="C4299" s="2">
        <f ca="1">IF(ISNUMBER(SEARCH(Лист2!$B$4,D:D)),MAX($C$3:OFFSET(C4299,-1,0))+1,0)</f>
        <v>0</v>
      </c>
      <c r="E4299" s="9" t="str">
        <f t="shared" ca="1" si="79"/>
        <v/>
      </c>
      <c r="F4299" s="4" t="s">
        <v>23</v>
      </c>
      <c r="G4299" s="2">
        <f>IF(ISNUMBER(SEARCH(Лист2!$B$4,F:F)),1,0)</f>
        <v>0</v>
      </c>
      <c r="H4299" s="3">
        <f ca="1">IF(AND(I4299&lt;&gt;I4298,ISNUMBER(SEARCH(Лист2!$B$5,I:I)),G4299=1),MAX($H$3:OFFSET(H4299,-1,0))+1,0)</f>
        <v>0</v>
      </c>
      <c r="I4299" s="3" t="s">
        <v>188</v>
      </c>
      <c r="K4299" s="2">
        <f>IF(ISNUMBER(SEARCH(Лист2!$B$4,F:F)),1,0)</f>
        <v>0</v>
      </c>
      <c r="L4299" s="14">
        <f>IF(ISNUMBER(SEARCH(Лист2!$B$5,I:I)),1,0)+K4299</f>
        <v>0</v>
      </c>
      <c r="M4299" s="3">
        <f ca="1">IF(AND(N4299&lt;&gt;N4298,ISNUMBER(SEARCH(Лист2!$B$6,N:N)),L4299=2),MAX($M$3:OFFSET(M4299,-1,0))+1,0)</f>
        <v>0</v>
      </c>
      <c r="N4299" s="3" t="s">
        <v>1403</v>
      </c>
    </row>
    <row r="4300" spans="1:14" x14ac:dyDescent="0.25">
      <c r="A4300" s="1" t="s">
        <v>13066</v>
      </c>
      <c r="B4300" s="3" t="s">
        <v>7924</v>
      </c>
      <c r="C4300" s="2">
        <f ca="1">IF(ISNUMBER(SEARCH(Лист2!$B$4,D:D)),MAX($C$3:OFFSET(C4300,-1,0))+1,0)</f>
        <v>0</v>
      </c>
      <c r="E4300" s="9" t="str">
        <f t="shared" ca="1" si="79"/>
        <v/>
      </c>
      <c r="F4300" s="4" t="s">
        <v>24</v>
      </c>
      <c r="G4300" s="2">
        <f>IF(ISNUMBER(SEARCH(Лист2!$B$4,F:F)),1,0)</f>
        <v>0</v>
      </c>
      <c r="H4300" s="3">
        <f ca="1">IF(AND(I4300&lt;&gt;I4299,ISNUMBER(SEARCH(Лист2!$B$5,I:I)),G4300=1),MAX($H$3:OFFSET(H4300,-1,0))+1,0)</f>
        <v>0</v>
      </c>
      <c r="I4300" s="3" t="s">
        <v>56</v>
      </c>
      <c r="K4300" s="2">
        <f>IF(ISNUMBER(SEARCH(Лист2!$B$4,F:F)),1,0)</f>
        <v>0</v>
      </c>
      <c r="L4300" s="14">
        <f>IF(ISNUMBER(SEARCH(Лист2!$B$5,I:I)),1,0)+K4300</f>
        <v>0</v>
      </c>
      <c r="M4300" s="3">
        <f ca="1">IF(AND(N4300&lt;&gt;N4299,ISNUMBER(SEARCH(Лист2!$B$6,N:N)),L4300=2),MAX($M$3:OFFSET(M4300,-1,0))+1,0)</f>
        <v>0</v>
      </c>
      <c r="N4300" s="3" t="s">
        <v>354</v>
      </c>
    </row>
    <row r="4301" spans="1:14" x14ac:dyDescent="0.25">
      <c r="A4301" s="1" t="s">
        <v>13067</v>
      </c>
      <c r="B4301" s="3" t="s">
        <v>7925</v>
      </c>
      <c r="C4301" s="2">
        <f ca="1">IF(ISNUMBER(SEARCH(Лист2!$B$4,D:D)),MAX($C$3:OFFSET(C4301,-1,0))+1,0)</f>
        <v>0</v>
      </c>
      <c r="E4301" s="9" t="str">
        <f t="shared" ca="1" si="79"/>
        <v/>
      </c>
      <c r="F4301" s="4" t="s">
        <v>24</v>
      </c>
      <c r="G4301" s="2">
        <f>IF(ISNUMBER(SEARCH(Лист2!$B$4,F:F)),1,0)</f>
        <v>0</v>
      </c>
      <c r="H4301" s="3">
        <f ca="1">IF(AND(I4301&lt;&gt;I4300,ISNUMBER(SEARCH(Лист2!$B$5,I:I)),G4301=1),MAX($H$3:OFFSET(H4301,-1,0))+1,0)</f>
        <v>0</v>
      </c>
      <c r="I4301" s="3" t="s">
        <v>56</v>
      </c>
      <c r="K4301" s="2">
        <f>IF(ISNUMBER(SEARCH(Лист2!$B$4,F:F)),1,0)</f>
        <v>0</v>
      </c>
      <c r="L4301" s="14">
        <f>IF(ISNUMBER(SEARCH(Лист2!$B$5,I:I)),1,0)+K4301</f>
        <v>0</v>
      </c>
      <c r="M4301" s="3">
        <f ca="1">IF(AND(N4301&lt;&gt;N4300,ISNUMBER(SEARCH(Лист2!$B$6,N:N)),L4301=2),MAX($M$3:OFFSET(M4301,-1,0))+1,0)</f>
        <v>0</v>
      </c>
      <c r="N4301" s="3" t="s">
        <v>2694</v>
      </c>
    </row>
    <row r="4302" spans="1:14" x14ac:dyDescent="0.25">
      <c r="A4302" s="1" t="s">
        <v>13068</v>
      </c>
      <c r="B4302" s="3" t="s">
        <v>7926</v>
      </c>
      <c r="C4302" s="2">
        <f ca="1">IF(ISNUMBER(SEARCH(Лист2!$B$4,D:D)),MAX($C$3:OFFSET(C4302,-1,0))+1,0)</f>
        <v>0</v>
      </c>
      <c r="E4302" s="9" t="str">
        <f t="shared" ca="1" si="79"/>
        <v/>
      </c>
      <c r="F4302" s="4" t="s">
        <v>24</v>
      </c>
      <c r="G4302" s="2">
        <f>IF(ISNUMBER(SEARCH(Лист2!$B$4,F:F)),1,0)</f>
        <v>0</v>
      </c>
      <c r="H4302" s="3">
        <f ca="1">IF(AND(I4302&lt;&gt;I4301,ISNUMBER(SEARCH(Лист2!$B$5,I:I)),G4302=1),MAX($H$3:OFFSET(H4302,-1,0))+1,0)</f>
        <v>0</v>
      </c>
      <c r="I4302" s="3" t="s">
        <v>56</v>
      </c>
      <c r="K4302" s="2">
        <f>IF(ISNUMBER(SEARCH(Лист2!$B$4,F:F)),1,0)</f>
        <v>0</v>
      </c>
      <c r="L4302" s="14">
        <f>IF(ISNUMBER(SEARCH(Лист2!$B$5,I:I)),1,0)+K4302</f>
        <v>0</v>
      </c>
      <c r="M4302" s="3">
        <f ca="1">IF(AND(N4302&lt;&gt;N4301,ISNUMBER(SEARCH(Лист2!$B$6,N:N)),L4302=2),MAX($M$3:OFFSET(M4302,-1,0))+1,0)</f>
        <v>0</v>
      </c>
      <c r="N4302" s="3" t="s">
        <v>2695</v>
      </c>
    </row>
    <row r="4303" spans="1:14" x14ac:dyDescent="0.25">
      <c r="A4303" s="1" t="s">
        <v>13069</v>
      </c>
      <c r="B4303" s="3" t="s">
        <v>7927</v>
      </c>
      <c r="C4303" s="2">
        <f ca="1">IF(ISNUMBER(SEARCH(Лист2!$B$4,D:D)),MAX($C$3:OFFSET(C4303,-1,0))+1,0)</f>
        <v>0</v>
      </c>
      <c r="E4303" s="9" t="str">
        <f t="shared" ca="1" si="79"/>
        <v/>
      </c>
      <c r="F4303" s="4" t="s">
        <v>24</v>
      </c>
      <c r="G4303" s="2">
        <f>IF(ISNUMBER(SEARCH(Лист2!$B$4,F:F)),1,0)</f>
        <v>0</v>
      </c>
      <c r="H4303" s="3">
        <f ca="1">IF(AND(I4303&lt;&gt;I4302,ISNUMBER(SEARCH(Лист2!$B$5,I:I)),G4303=1),MAX($H$3:OFFSET(H4303,-1,0))+1,0)</f>
        <v>0</v>
      </c>
      <c r="I4303" s="3" t="s">
        <v>56</v>
      </c>
      <c r="K4303" s="2">
        <f>IF(ISNUMBER(SEARCH(Лист2!$B$4,F:F)),1,0)</f>
        <v>0</v>
      </c>
      <c r="L4303" s="14">
        <f>IF(ISNUMBER(SEARCH(Лист2!$B$5,I:I)),1,0)+K4303</f>
        <v>0</v>
      </c>
      <c r="M4303" s="3">
        <f ca="1">IF(AND(N4303&lt;&gt;N4302,ISNUMBER(SEARCH(Лист2!$B$6,N:N)),L4303=2),MAX($M$3:OFFSET(M4303,-1,0))+1,0)</f>
        <v>0</v>
      </c>
      <c r="N4303" s="3" t="s">
        <v>2696</v>
      </c>
    </row>
    <row r="4304" spans="1:14" x14ac:dyDescent="0.25">
      <c r="A4304" s="1" t="s">
        <v>13070</v>
      </c>
      <c r="B4304" s="3" t="s">
        <v>7928</v>
      </c>
      <c r="C4304" s="2">
        <f ca="1">IF(ISNUMBER(SEARCH(Лист2!$B$4,D:D)),MAX($C$3:OFFSET(C4304,-1,0))+1,0)</f>
        <v>0</v>
      </c>
      <c r="E4304" s="9" t="str">
        <f t="shared" ca="1" si="79"/>
        <v/>
      </c>
      <c r="F4304" s="4" t="s">
        <v>24</v>
      </c>
      <c r="G4304" s="2">
        <f>IF(ISNUMBER(SEARCH(Лист2!$B$4,F:F)),1,0)</f>
        <v>0</v>
      </c>
      <c r="H4304" s="3">
        <f ca="1">IF(AND(I4304&lt;&gt;I4303,ISNUMBER(SEARCH(Лист2!$B$5,I:I)),G4304=1),MAX($H$3:OFFSET(H4304,-1,0))+1,0)</f>
        <v>0</v>
      </c>
      <c r="I4304" s="3" t="s">
        <v>56</v>
      </c>
      <c r="K4304" s="2">
        <f>IF(ISNUMBER(SEARCH(Лист2!$B$4,F:F)),1,0)</f>
        <v>0</v>
      </c>
      <c r="L4304" s="14">
        <f>IF(ISNUMBER(SEARCH(Лист2!$B$5,I:I)),1,0)+K4304</f>
        <v>0</v>
      </c>
      <c r="M4304" s="3">
        <f ca="1">IF(AND(N4304&lt;&gt;N4303,ISNUMBER(SEARCH(Лист2!$B$6,N:N)),L4304=2),MAX($M$3:OFFSET(M4304,-1,0))+1,0)</f>
        <v>0</v>
      </c>
      <c r="N4304" s="3" t="s">
        <v>600</v>
      </c>
    </row>
    <row r="4305" spans="1:14" x14ac:dyDescent="0.25">
      <c r="A4305" s="1" t="s">
        <v>13071</v>
      </c>
      <c r="B4305" s="3" t="s">
        <v>7929</v>
      </c>
      <c r="C4305" s="2">
        <f ca="1">IF(ISNUMBER(SEARCH(Лист2!$B$4,D:D)),MAX($C$3:OFFSET(C4305,-1,0))+1,0)</f>
        <v>0</v>
      </c>
      <c r="E4305" s="9" t="str">
        <f t="shared" ca="1" si="79"/>
        <v/>
      </c>
      <c r="F4305" s="4" t="s">
        <v>24</v>
      </c>
      <c r="G4305" s="2">
        <f>IF(ISNUMBER(SEARCH(Лист2!$B$4,F:F)),1,0)</f>
        <v>0</v>
      </c>
      <c r="H4305" s="3">
        <f ca="1">IF(AND(I4305&lt;&gt;I4304,ISNUMBER(SEARCH(Лист2!$B$5,I:I)),G4305=1),MAX($H$3:OFFSET(H4305,-1,0))+1,0)</f>
        <v>0</v>
      </c>
      <c r="I4305" s="3" t="s">
        <v>56</v>
      </c>
      <c r="K4305" s="2">
        <f>IF(ISNUMBER(SEARCH(Лист2!$B$4,F:F)),1,0)</f>
        <v>0</v>
      </c>
      <c r="L4305" s="14">
        <f>IF(ISNUMBER(SEARCH(Лист2!$B$5,I:I)),1,0)+K4305</f>
        <v>0</v>
      </c>
      <c r="M4305" s="3">
        <f ca="1">IF(AND(N4305&lt;&gt;N4304,ISNUMBER(SEARCH(Лист2!$B$6,N:N)),L4305=2),MAX($M$3:OFFSET(M4305,-1,0))+1,0)</f>
        <v>0</v>
      </c>
      <c r="N4305" s="3" t="s">
        <v>601</v>
      </c>
    </row>
    <row r="4306" spans="1:14" x14ac:dyDescent="0.25">
      <c r="A4306" s="1" t="s">
        <v>13072</v>
      </c>
      <c r="B4306" s="3" t="s">
        <v>7930</v>
      </c>
      <c r="C4306" s="2">
        <f ca="1">IF(ISNUMBER(SEARCH(Лист2!$B$4,D:D)),MAX($C$3:OFFSET(C4306,-1,0))+1,0)</f>
        <v>0</v>
      </c>
      <c r="E4306" s="9" t="str">
        <f t="shared" ca="1" si="79"/>
        <v/>
      </c>
      <c r="F4306" s="4" t="s">
        <v>24</v>
      </c>
      <c r="G4306" s="2">
        <f>IF(ISNUMBER(SEARCH(Лист2!$B$4,F:F)),1,0)</f>
        <v>0</v>
      </c>
      <c r="H4306" s="3">
        <f ca="1">IF(AND(I4306&lt;&gt;I4305,ISNUMBER(SEARCH(Лист2!$B$5,I:I)),G4306=1),MAX($H$3:OFFSET(H4306,-1,0))+1,0)</f>
        <v>0</v>
      </c>
      <c r="I4306" s="3" t="s">
        <v>57</v>
      </c>
      <c r="K4306" s="2">
        <f>IF(ISNUMBER(SEARCH(Лист2!$B$4,F:F)),1,0)</f>
        <v>0</v>
      </c>
      <c r="L4306" s="14">
        <f>IF(ISNUMBER(SEARCH(Лист2!$B$5,I:I)),1,0)+K4306</f>
        <v>0</v>
      </c>
      <c r="M4306" s="3">
        <f ca="1">IF(AND(N4306&lt;&gt;N4305,ISNUMBER(SEARCH(Лист2!$B$6,N:N)),L4306=2),MAX($M$3:OFFSET(M4306,-1,0))+1,0)</f>
        <v>0</v>
      </c>
      <c r="N4306" s="3" t="s">
        <v>2687</v>
      </c>
    </row>
    <row r="4307" spans="1:14" x14ac:dyDescent="0.25">
      <c r="A4307" s="1" t="s">
        <v>13073</v>
      </c>
      <c r="B4307" s="3" t="s">
        <v>7931</v>
      </c>
      <c r="C4307" s="2">
        <f ca="1">IF(ISNUMBER(SEARCH(Лист2!$B$4,D:D)),MAX($C$3:OFFSET(C4307,-1,0))+1,0)</f>
        <v>0</v>
      </c>
      <c r="E4307" s="9" t="str">
        <f t="shared" ca="1" si="79"/>
        <v/>
      </c>
      <c r="F4307" s="4" t="s">
        <v>24</v>
      </c>
      <c r="G4307" s="2">
        <f>IF(ISNUMBER(SEARCH(Лист2!$B$4,F:F)),1,0)</f>
        <v>0</v>
      </c>
      <c r="H4307" s="3">
        <f ca="1">IF(AND(I4307&lt;&gt;I4306,ISNUMBER(SEARCH(Лист2!$B$5,I:I)),G4307=1),MAX($H$3:OFFSET(H4307,-1,0))+1,0)</f>
        <v>0</v>
      </c>
      <c r="I4307" s="3" t="s">
        <v>57</v>
      </c>
      <c r="K4307" s="2">
        <f>IF(ISNUMBER(SEARCH(Лист2!$B$4,F:F)),1,0)</f>
        <v>0</v>
      </c>
      <c r="L4307" s="14">
        <f>IF(ISNUMBER(SEARCH(Лист2!$B$5,I:I)),1,0)+K4307</f>
        <v>0</v>
      </c>
      <c r="M4307" s="3">
        <f ca="1">IF(AND(N4307&lt;&gt;N4306,ISNUMBER(SEARCH(Лист2!$B$6,N:N)),L4307=2),MAX($M$3:OFFSET(M4307,-1,0))+1,0)</f>
        <v>0</v>
      </c>
      <c r="N4307" s="3" t="s">
        <v>2697</v>
      </c>
    </row>
    <row r="4308" spans="1:14" x14ac:dyDescent="0.25">
      <c r="A4308" s="1" t="s">
        <v>13074</v>
      </c>
      <c r="B4308" s="3" t="s">
        <v>7932</v>
      </c>
      <c r="C4308" s="2">
        <f ca="1">IF(ISNUMBER(SEARCH(Лист2!$B$4,D:D)),MAX($C$3:OFFSET(C4308,-1,0))+1,0)</f>
        <v>0</v>
      </c>
      <c r="E4308" s="9" t="str">
        <f t="shared" ca="1" si="79"/>
        <v/>
      </c>
      <c r="F4308" s="4" t="s">
        <v>24</v>
      </c>
      <c r="G4308" s="2">
        <f>IF(ISNUMBER(SEARCH(Лист2!$B$4,F:F)),1,0)</f>
        <v>0</v>
      </c>
      <c r="H4308" s="3">
        <f ca="1">IF(AND(I4308&lt;&gt;I4307,ISNUMBER(SEARCH(Лист2!$B$5,I:I)),G4308=1),MAX($H$3:OFFSET(H4308,-1,0))+1,0)</f>
        <v>0</v>
      </c>
      <c r="I4308" s="3" t="s">
        <v>57</v>
      </c>
      <c r="K4308" s="2">
        <f>IF(ISNUMBER(SEARCH(Лист2!$B$4,F:F)),1,0)</f>
        <v>0</v>
      </c>
      <c r="L4308" s="14">
        <f>IF(ISNUMBER(SEARCH(Лист2!$B$5,I:I)),1,0)+K4308</f>
        <v>0</v>
      </c>
      <c r="M4308" s="3">
        <f ca="1">IF(AND(N4308&lt;&gt;N4307,ISNUMBER(SEARCH(Лист2!$B$6,N:N)),L4308=2),MAX($M$3:OFFSET(M4308,-1,0))+1,0)</f>
        <v>0</v>
      </c>
      <c r="N4308" s="3" t="s">
        <v>2599</v>
      </c>
    </row>
    <row r="4309" spans="1:14" x14ac:dyDescent="0.25">
      <c r="A4309" s="1" t="s">
        <v>13075</v>
      </c>
      <c r="B4309" s="3" t="s">
        <v>7933</v>
      </c>
      <c r="C4309" s="2">
        <f ca="1">IF(ISNUMBER(SEARCH(Лист2!$B$4,D:D)),MAX($C$3:OFFSET(C4309,-1,0))+1,0)</f>
        <v>0</v>
      </c>
      <c r="E4309" s="9" t="str">
        <f t="shared" ca="1" si="79"/>
        <v/>
      </c>
      <c r="F4309" s="4" t="s">
        <v>24</v>
      </c>
      <c r="G4309" s="2">
        <f>IF(ISNUMBER(SEARCH(Лист2!$B$4,F:F)),1,0)</f>
        <v>0</v>
      </c>
      <c r="H4309" s="3">
        <f ca="1">IF(AND(I4309&lt;&gt;I4308,ISNUMBER(SEARCH(Лист2!$B$5,I:I)),G4309=1),MAX($H$3:OFFSET(H4309,-1,0))+1,0)</f>
        <v>0</v>
      </c>
      <c r="I4309" s="3" t="s">
        <v>57</v>
      </c>
      <c r="K4309" s="2">
        <f>IF(ISNUMBER(SEARCH(Лист2!$B$4,F:F)),1,0)</f>
        <v>0</v>
      </c>
      <c r="L4309" s="14">
        <f>IF(ISNUMBER(SEARCH(Лист2!$B$5,I:I)),1,0)+K4309</f>
        <v>0</v>
      </c>
      <c r="M4309" s="3">
        <f ca="1">IF(AND(N4309&lt;&gt;N4308,ISNUMBER(SEARCH(Лист2!$B$6,N:N)),L4309=2),MAX($M$3:OFFSET(M4309,-1,0))+1,0)</f>
        <v>0</v>
      </c>
      <c r="N4309" s="3" t="s">
        <v>601</v>
      </c>
    </row>
    <row r="4310" spans="1:14" x14ac:dyDescent="0.25">
      <c r="A4310" s="1" t="s">
        <v>13076</v>
      </c>
      <c r="B4310" s="3" t="s">
        <v>7934</v>
      </c>
      <c r="C4310" s="2">
        <f ca="1">IF(ISNUMBER(SEARCH(Лист2!$B$4,D:D)),MAX($C$3:OFFSET(C4310,-1,0))+1,0)</f>
        <v>0</v>
      </c>
      <c r="E4310" s="9" t="str">
        <f t="shared" ca="1" si="79"/>
        <v/>
      </c>
      <c r="F4310" s="4" t="s">
        <v>24</v>
      </c>
      <c r="G4310" s="2">
        <f>IF(ISNUMBER(SEARCH(Лист2!$B$4,F:F)),1,0)</f>
        <v>0</v>
      </c>
      <c r="H4310" s="3">
        <f ca="1">IF(AND(I4310&lt;&gt;I4309,ISNUMBER(SEARCH(Лист2!$B$5,I:I)),G4310=1),MAX($H$3:OFFSET(H4310,-1,0))+1,0)</f>
        <v>0</v>
      </c>
      <c r="I4310" s="3" t="s">
        <v>356</v>
      </c>
      <c r="K4310" s="2">
        <f>IF(ISNUMBER(SEARCH(Лист2!$B$4,F:F)),1,0)</f>
        <v>0</v>
      </c>
      <c r="L4310" s="14">
        <f>IF(ISNUMBER(SEARCH(Лист2!$B$5,I:I)),1,0)+K4310</f>
        <v>0</v>
      </c>
      <c r="M4310" s="3">
        <f ca="1">IF(AND(N4310&lt;&gt;N4309,ISNUMBER(SEARCH(Лист2!$B$6,N:N)),L4310=2),MAX($M$3:OFFSET(M4310,-1,0))+1,0)</f>
        <v>0</v>
      </c>
      <c r="N4310" s="3" t="s">
        <v>2698</v>
      </c>
    </row>
    <row r="4311" spans="1:14" x14ac:dyDescent="0.25">
      <c r="A4311" s="1" t="s">
        <v>13077</v>
      </c>
      <c r="B4311" s="3" t="s">
        <v>7935</v>
      </c>
      <c r="C4311" s="2">
        <f ca="1">IF(ISNUMBER(SEARCH(Лист2!$B$4,D:D)),MAX($C$3:OFFSET(C4311,-1,0))+1,0)</f>
        <v>0</v>
      </c>
      <c r="E4311" s="9" t="str">
        <f t="shared" ca="1" si="79"/>
        <v/>
      </c>
      <c r="F4311" s="4" t="s">
        <v>24</v>
      </c>
      <c r="G4311" s="2">
        <f>IF(ISNUMBER(SEARCH(Лист2!$B$4,F:F)),1,0)</f>
        <v>0</v>
      </c>
      <c r="H4311" s="3">
        <f ca="1">IF(AND(I4311&lt;&gt;I4310,ISNUMBER(SEARCH(Лист2!$B$5,I:I)),G4311=1),MAX($H$3:OFFSET(H4311,-1,0))+1,0)</f>
        <v>0</v>
      </c>
      <c r="I4311" s="3" t="s">
        <v>356</v>
      </c>
      <c r="K4311" s="2">
        <f>IF(ISNUMBER(SEARCH(Лист2!$B$4,F:F)),1,0)</f>
        <v>0</v>
      </c>
      <c r="L4311" s="14">
        <f>IF(ISNUMBER(SEARCH(Лист2!$B$5,I:I)),1,0)+K4311</f>
        <v>0</v>
      </c>
      <c r="M4311" s="3">
        <f ca="1">IF(AND(N4311&lt;&gt;N4310,ISNUMBER(SEARCH(Лист2!$B$6,N:N)),L4311=2),MAX($M$3:OFFSET(M4311,-1,0))+1,0)</f>
        <v>0</v>
      </c>
      <c r="N4311" s="3" t="s">
        <v>2699</v>
      </c>
    </row>
    <row r="4312" spans="1:14" x14ac:dyDescent="0.25">
      <c r="A4312" s="1" t="s">
        <v>13078</v>
      </c>
      <c r="B4312" s="3" t="s">
        <v>7936</v>
      </c>
      <c r="C4312" s="2">
        <f ca="1">IF(ISNUMBER(SEARCH(Лист2!$B$4,D:D)),MAX($C$3:OFFSET(C4312,-1,0))+1,0)</f>
        <v>0</v>
      </c>
      <c r="E4312" s="9" t="str">
        <f t="shared" ca="1" si="79"/>
        <v/>
      </c>
      <c r="F4312" s="4" t="s">
        <v>24</v>
      </c>
      <c r="G4312" s="2">
        <f>IF(ISNUMBER(SEARCH(Лист2!$B$4,F:F)),1,0)</f>
        <v>0</v>
      </c>
      <c r="H4312" s="3">
        <f ca="1">IF(AND(I4312&lt;&gt;I4311,ISNUMBER(SEARCH(Лист2!$B$5,I:I)),G4312=1),MAX($H$3:OFFSET(H4312,-1,0))+1,0)</f>
        <v>0</v>
      </c>
      <c r="I4312" s="3" t="s">
        <v>356</v>
      </c>
      <c r="K4312" s="2">
        <f>IF(ISNUMBER(SEARCH(Лист2!$B$4,F:F)),1,0)</f>
        <v>0</v>
      </c>
      <c r="L4312" s="14">
        <f>IF(ISNUMBER(SEARCH(Лист2!$B$5,I:I)),1,0)+K4312</f>
        <v>0</v>
      </c>
      <c r="M4312" s="3">
        <f ca="1">IF(AND(N4312&lt;&gt;N4311,ISNUMBER(SEARCH(Лист2!$B$6,N:N)),L4312=2),MAX($M$3:OFFSET(M4312,-1,0))+1,0)</f>
        <v>0</v>
      </c>
      <c r="N4312" s="3" t="s">
        <v>2700</v>
      </c>
    </row>
    <row r="4313" spans="1:14" x14ac:dyDescent="0.25">
      <c r="A4313" s="1" t="s">
        <v>13079</v>
      </c>
      <c r="B4313" s="3" t="s">
        <v>7937</v>
      </c>
      <c r="C4313" s="2">
        <f ca="1">IF(ISNUMBER(SEARCH(Лист2!$B$4,D:D)),MAX($C$3:OFFSET(C4313,-1,0))+1,0)</f>
        <v>0</v>
      </c>
      <c r="E4313" s="9" t="str">
        <f t="shared" ca="1" si="79"/>
        <v/>
      </c>
      <c r="F4313" s="4" t="s">
        <v>24</v>
      </c>
      <c r="G4313" s="2">
        <f>IF(ISNUMBER(SEARCH(Лист2!$B$4,F:F)),1,0)</f>
        <v>0</v>
      </c>
      <c r="H4313" s="3">
        <f ca="1">IF(AND(I4313&lt;&gt;I4312,ISNUMBER(SEARCH(Лист2!$B$5,I:I)),G4313=1),MAX($H$3:OFFSET(H4313,-1,0))+1,0)</f>
        <v>0</v>
      </c>
      <c r="I4313" s="3" t="s">
        <v>356</v>
      </c>
      <c r="K4313" s="2">
        <f>IF(ISNUMBER(SEARCH(Лист2!$B$4,F:F)),1,0)</f>
        <v>0</v>
      </c>
      <c r="L4313" s="14">
        <f>IF(ISNUMBER(SEARCH(Лист2!$B$5,I:I)),1,0)+K4313</f>
        <v>0</v>
      </c>
      <c r="M4313" s="3">
        <f ca="1">IF(AND(N4313&lt;&gt;N4312,ISNUMBER(SEARCH(Лист2!$B$6,N:N)),L4313=2),MAX($M$3:OFFSET(M4313,-1,0))+1,0)</f>
        <v>0</v>
      </c>
      <c r="N4313" s="3" t="s">
        <v>620</v>
      </c>
    </row>
    <row r="4314" spans="1:14" x14ac:dyDescent="0.25">
      <c r="A4314" s="1" t="s">
        <v>13080</v>
      </c>
      <c r="B4314" s="3" t="s">
        <v>7938</v>
      </c>
      <c r="C4314" s="2">
        <f ca="1">IF(ISNUMBER(SEARCH(Лист2!$B$4,D:D)),MAX($C$3:OFFSET(C4314,-1,0))+1,0)</f>
        <v>0</v>
      </c>
      <c r="E4314" s="9" t="str">
        <f t="shared" ca="1" si="79"/>
        <v/>
      </c>
      <c r="F4314" s="4" t="s">
        <v>24</v>
      </c>
      <c r="G4314" s="2">
        <f>IF(ISNUMBER(SEARCH(Лист2!$B$4,F:F)),1,0)</f>
        <v>0</v>
      </c>
      <c r="H4314" s="3">
        <f ca="1">IF(AND(I4314&lt;&gt;I4313,ISNUMBER(SEARCH(Лист2!$B$5,I:I)),G4314=1),MAX($H$3:OFFSET(H4314,-1,0))+1,0)</f>
        <v>0</v>
      </c>
      <c r="I4314" s="3" t="s">
        <v>356</v>
      </c>
      <c r="K4314" s="2">
        <f>IF(ISNUMBER(SEARCH(Лист2!$B$4,F:F)),1,0)</f>
        <v>0</v>
      </c>
      <c r="L4314" s="14">
        <f>IF(ISNUMBER(SEARCH(Лист2!$B$5,I:I)),1,0)+K4314</f>
        <v>0</v>
      </c>
      <c r="M4314" s="3">
        <f ca="1">IF(AND(N4314&lt;&gt;N4313,ISNUMBER(SEARCH(Лист2!$B$6,N:N)),L4314=2),MAX($M$3:OFFSET(M4314,-1,0))+1,0)</f>
        <v>0</v>
      </c>
      <c r="N4314" s="3" t="s">
        <v>2693</v>
      </c>
    </row>
    <row r="4315" spans="1:14" x14ac:dyDescent="0.25">
      <c r="A4315" s="1" t="s">
        <v>13081</v>
      </c>
      <c r="B4315" s="3" t="s">
        <v>7939</v>
      </c>
      <c r="C4315" s="2">
        <f ca="1">IF(ISNUMBER(SEARCH(Лист2!$B$4,D:D)),MAX($C$3:OFFSET(C4315,-1,0))+1,0)</f>
        <v>0</v>
      </c>
      <c r="E4315" s="9" t="str">
        <f t="shared" ca="1" si="79"/>
        <v/>
      </c>
      <c r="F4315" s="4" t="s">
        <v>24</v>
      </c>
      <c r="G4315" s="2">
        <f>IF(ISNUMBER(SEARCH(Лист2!$B$4,F:F)),1,0)</f>
        <v>0</v>
      </c>
      <c r="H4315" s="3">
        <f ca="1">IF(AND(I4315&lt;&gt;I4314,ISNUMBER(SEARCH(Лист2!$B$5,I:I)),G4315=1),MAX($H$3:OFFSET(H4315,-1,0))+1,0)</f>
        <v>0</v>
      </c>
      <c r="I4315" s="3" t="s">
        <v>356</v>
      </c>
      <c r="K4315" s="2">
        <f>IF(ISNUMBER(SEARCH(Лист2!$B$4,F:F)),1,0)</f>
        <v>0</v>
      </c>
      <c r="L4315" s="14">
        <f>IF(ISNUMBER(SEARCH(Лист2!$B$5,I:I)),1,0)+K4315</f>
        <v>0</v>
      </c>
      <c r="M4315" s="3">
        <f ca="1">IF(AND(N4315&lt;&gt;N4314,ISNUMBER(SEARCH(Лист2!$B$6,N:N)),L4315=2),MAX($M$3:OFFSET(M4315,-1,0))+1,0)</f>
        <v>0</v>
      </c>
      <c r="N4315" s="3" t="s">
        <v>621</v>
      </c>
    </row>
    <row r="4316" spans="1:14" x14ac:dyDescent="0.25">
      <c r="A4316" s="1" t="s">
        <v>13082</v>
      </c>
      <c r="B4316" s="3" t="s">
        <v>7940</v>
      </c>
      <c r="C4316" s="2">
        <f ca="1">IF(ISNUMBER(SEARCH(Лист2!$B$4,D:D)),MAX($C$3:OFFSET(C4316,-1,0))+1,0)</f>
        <v>0</v>
      </c>
      <c r="E4316" s="9" t="str">
        <f t="shared" ca="1" si="79"/>
        <v/>
      </c>
      <c r="F4316" s="4" t="s">
        <v>24</v>
      </c>
      <c r="G4316" s="2">
        <f>IF(ISNUMBER(SEARCH(Лист2!$B$4,F:F)),1,0)</f>
        <v>0</v>
      </c>
      <c r="H4316" s="3">
        <f ca="1">IF(AND(I4316&lt;&gt;I4315,ISNUMBER(SEARCH(Лист2!$B$5,I:I)),G4316=1),MAX($H$3:OFFSET(H4316,-1,0))+1,0)</f>
        <v>0</v>
      </c>
      <c r="I4316" s="3" t="s">
        <v>188</v>
      </c>
      <c r="K4316" s="2">
        <f>IF(ISNUMBER(SEARCH(Лист2!$B$4,F:F)),1,0)</f>
        <v>0</v>
      </c>
      <c r="L4316" s="14">
        <f>IF(ISNUMBER(SEARCH(Лист2!$B$5,I:I)),1,0)+K4316</f>
        <v>0</v>
      </c>
      <c r="M4316" s="3">
        <f ca="1">IF(AND(N4316&lt;&gt;N4315,ISNUMBER(SEARCH(Лист2!$B$6,N:N)),L4316=2),MAX($M$3:OFFSET(M4316,-1,0))+1,0)</f>
        <v>0</v>
      </c>
      <c r="N4316" s="3" t="s">
        <v>2701</v>
      </c>
    </row>
    <row r="4317" spans="1:14" x14ac:dyDescent="0.25">
      <c r="A4317" s="1" t="s">
        <v>13083</v>
      </c>
      <c r="B4317" s="3" t="s">
        <v>7941</v>
      </c>
      <c r="C4317" s="2">
        <f ca="1">IF(ISNUMBER(SEARCH(Лист2!$B$4,D:D)),MAX($C$3:OFFSET(C4317,-1,0))+1,0)</f>
        <v>0</v>
      </c>
      <c r="E4317" s="9" t="str">
        <f t="shared" ca="1" si="79"/>
        <v/>
      </c>
      <c r="F4317" s="4" t="s">
        <v>24</v>
      </c>
      <c r="G4317" s="2">
        <f>IF(ISNUMBER(SEARCH(Лист2!$B$4,F:F)),1,0)</f>
        <v>0</v>
      </c>
      <c r="H4317" s="3">
        <f ca="1">IF(AND(I4317&lt;&gt;I4316,ISNUMBER(SEARCH(Лист2!$B$5,I:I)),G4317=1),MAX($H$3:OFFSET(H4317,-1,0))+1,0)</f>
        <v>0</v>
      </c>
      <c r="I4317" s="3" t="s">
        <v>188</v>
      </c>
      <c r="K4317" s="2">
        <f>IF(ISNUMBER(SEARCH(Лист2!$B$4,F:F)),1,0)</f>
        <v>0</v>
      </c>
      <c r="L4317" s="14">
        <f>IF(ISNUMBER(SEARCH(Лист2!$B$5,I:I)),1,0)+K4317</f>
        <v>0</v>
      </c>
      <c r="M4317" s="3">
        <f ca="1">IF(AND(N4317&lt;&gt;N4316,ISNUMBER(SEARCH(Лист2!$B$6,N:N)),L4317=2),MAX($M$3:OFFSET(M4317,-1,0))+1,0)</f>
        <v>0</v>
      </c>
      <c r="N4317" s="3" t="s">
        <v>2702</v>
      </c>
    </row>
    <row r="4318" spans="1:14" x14ac:dyDescent="0.25">
      <c r="A4318" s="1" t="s">
        <v>13084</v>
      </c>
      <c r="B4318" s="3" t="s">
        <v>7942</v>
      </c>
      <c r="C4318" s="2">
        <f ca="1">IF(ISNUMBER(SEARCH(Лист2!$B$4,D:D)),MAX($C$3:OFFSET(C4318,-1,0))+1,0)</f>
        <v>0</v>
      </c>
      <c r="E4318" s="9" t="str">
        <f t="shared" ca="1" si="79"/>
        <v/>
      </c>
      <c r="F4318" s="4" t="s">
        <v>25</v>
      </c>
      <c r="G4318" s="2">
        <f>IF(ISNUMBER(SEARCH(Лист2!$B$4,F:F)),1,0)</f>
        <v>0</v>
      </c>
      <c r="H4318" s="3">
        <f ca="1">IF(AND(I4318&lt;&gt;I4317,ISNUMBER(SEARCH(Лист2!$B$5,I:I)),G4318=1),MAX($H$3:OFFSET(H4318,-1,0))+1,0)</f>
        <v>0</v>
      </c>
      <c r="I4318" s="3" t="s">
        <v>357</v>
      </c>
      <c r="K4318" s="2">
        <f>IF(ISNUMBER(SEARCH(Лист2!$B$4,F:F)),1,0)</f>
        <v>0</v>
      </c>
      <c r="L4318" s="14">
        <f>IF(ISNUMBER(SEARCH(Лист2!$B$5,I:I)),1,0)+K4318</f>
        <v>0</v>
      </c>
      <c r="M4318" s="3">
        <f ca="1">IF(AND(N4318&lt;&gt;N4317,ISNUMBER(SEARCH(Лист2!$B$6,N:N)),L4318=2),MAX($M$3:OFFSET(M4318,-1,0))+1,0)</f>
        <v>0</v>
      </c>
      <c r="N4318" s="3" t="s">
        <v>2703</v>
      </c>
    </row>
    <row r="4319" spans="1:14" x14ac:dyDescent="0.25">
      <c r="A4319" s="1" t="s">
        <v>13085</v>
      </c>
      <c r="B4319" s="3" t="s">
        <v>7943</v>
      </c>
      <c r="C4319" s="2">
        <f ca="1">IF(ISNUMBER(SEARCH(Лист2!$B$4,D:D)),MAX($C$3:OFFSET(C4319,-1,0))+1,0)</f>
        <v>0</v>
      </c>
      <c r="E4319" s="9" t="str">
        <f t="shared" ca="1" si="79"/>
        <v/>
      </c>
      <c r="F4319" s="4" t="s">
        <v>25</v>
      </c>
      <c r="G4319" s="2">
        <f>IF(ISNUMBER(SEARCH(Лист2!$B$4,F:F)),1,0)</f>
        <v>0</v>
      </c>
      <c r="H4319" s="3">
        <f ca="1">IF(AND(I4319&lt;&gt;I4318,ISNUMBER(SEARCH(Лист2!$B$5,I:I)),G4319=1),MAX($H$3:OFFSET(H4319,-1,0))+1,0)</f>
        <v>0</v>
      </c>
      <c r="I4319" s="3" t="s">
        <v>357</v>
      </c>
      <c r="K4319" s="2">
        <f>IF(ISNUMBER(SEARCH(Лист2!$B$4,F:F)),1,0)</f>
        <v>0</v>
      </c>
      <c r="L4319" s="14">
        <f>IF(ISNUMBER(SEARCH(Лист2!$B$5,I:I)),1,0)+K4319</f>
        <v>0</v>
      </c>
      <c r="M4319" s="3">
        <f ca="1">IF(AND(N4319&lt;&gt;N4318,ISNUMBER(SEARCH(Лист2!$B$6,N:N)),L4319=2),MAX($M$3:OFFSET(M4319,-1,0))+1,0)</f>
        <v>0</v>
      </c>
      <c r="N4319" s="3" t="s">
        <v>2704</v>
      </c>
    </row>
    <row r="4320" spans="1:14" x14ac:dyDescent="0.25">
      <c r="A4320" s="1" t="s">
        <v>13086</v>
      </c>
      <c r="B4320" s="3" t="s">
        <v>7944</v>
      </c>
      <c r="C4320" s="2">
        <f ca="1">IF(ISNUMBER(SEARCH(Лист2!$B$4,D:D)),MAX($C$3:OFFSET(C4320,-1,0))+1,0)</f>
        <v>0</v>
      </c>
      <c r="E4320" s="9" t="str">
        <f t="shared" ca="1" si="79"/>
        <v/>
      </c>
      <c r="F4320" s="4" t="s">
        <v>25</v>
      </c>
      <c r="G4320" s="2">
        <f>IF(ISNUMBER(SEARCH(Лист2!$B$4,F:F)),1,0)</f>
        <v>0</v>
      </c>
      <c r="H4320" s="3">
        <f ca="1">IF(AND(I4320&lt;&gt;I4319,ISNUMBER(SEARCH(Лист2!$B$5,I:I)),G4320=1),MAX($H$3:OFFSET(H4320,-1,0))+1,0)</f>
        <v>0</v>
      </c>
      <c r="I4320" s="3" t="s">
        <v>357</v>
      </c>
      <c r="K4320" s="2">
        <f>IF(ISNUMBER(SEARCH(Лист2!$B$4,F:F)),1,0)</f>
        <v>0</v>
      </c>
      <c r="L4320" s="14">
        <f>IF(ISNUMBER(SEARCH(Лист2!$B$5,I:I)),1,0)+K4320</f>
        <v>0</v>
      </c>
      <c r="M4320" s="3">
        <f ca="1">IF(AND(N4320&lt;&gt;N4319,ISNUMBER(SEARCH(Лист2!$B$6,N:N)),L4320=2),MAX($M$3:OFFSET(M4320,-1,0))+1,0)</f>
        <v>0</v>
      </c>
      <c r="N4320" s="3" t="s">
        <v>2705</v>
      </c>
    </row>
    <row r="4321" spans="1:14" x14ac:dyDescent="0.25">
      <c r="A4321" s="1" t="s">
        <v>13087</v>
      </c>
      <c r="B4321" s="3" t="s">
        <v>7945</v>
      </c>
      <c r="C4321" s="2">
        <f ca="1">IF(ISNUMBER(SEARCH(Лист2!$B$4,D:D)),MAX($C$3:OFFSET(C4321,-1,0))+1,0)</f>
        <v>0</v>
      </c>
      <c r="E4321" s="9" t="str">
        <f t="shared" ca="1" si="79"/>
        <v/>
      </c>
      <c r="F4321" s="4" t="s">
        <v>25</v>
      </c>
      <c r="G4321" s="2">
        <f>IF(ISNUMBER(SEARCH(Лист2!$B$4,F:F)),1,0)</f>
        <v>0</v>
      </c>
      <c r="H4321" s="3">
        <f ca="1">IF(AND(I4321&lt;&gt;I4320,ISNUMBER(SEARCH(Лист2!$B$5,I:I)),G4321=1),MAX($H$3:OFFSET(H4321,-1,0))+1,0)</f>
        <v>0</v>
      </c>
      <c r="I4321" s="3" t="s">
        <v>357</v>
      </c>
      <c r="K4321" s="2">
        <f>IF(ISNUMBER(SEARCH(Лист2!$B$4,F:F)),1,0)</f>
        <v>0</v>
      </c>
      <c r="L4321" s="14">
        <f>IF(ISNUMBER(SEARCH(Лист2!$B$5,I:I)),1,0)+K4321</f>
        <v>0</v>
      </c>
      <c r="M4321" s="3">
        <f ca="1">IF(AND(N4321&lt;&gt;N4320,ISNUMBER(SEARCH(Лист2!$B$6,N:N)),L4321=2),MAX($M$3:OFFSET(M4321,-1,0))+1,0)</f>
        <v>0</v>
      </c>
      <c r="N4321" s="3" t="s">
        <v>2706</v>
      </c>
    </row>
    <row r="4322" spans="1:14" x14ac:dyDescent="0.25">
      <c r="A4322" s="1" t="s">
        <v>13088</v>
      </c>
      <c r="B4322" s="3" t="s">
        <v>7946</v>
      </c>
      <c r="C4322" s="2">
        <f ca="1">IF(ISNUMBER(SEARCH(Лист2!$B$4,D:D)),MAX($C$3:OFFSET(C4322,-1,0))+1,0)</f>
        <v>0</v>
      </c>
      <c r="E4322" s="9" t="str">
        <f t="shared" ca="1" si="79"/>
        <v/>
      </c>
      <c r="F4322" s="4" t="s">
        <v>25</v>
      </c>
      <c r="G4322" s="2">
        <f>IF(ISNUMBER(SEARCH(Лист2!$B$4,F:F)),1,0)</f>
        <v>0</v>
      </c>
      <c r="H4322" s="3">
        <f ca="1">IF(AND(I4322&lt;&gt;I4321,ISNUMBER(SEARCH(Лист2!$B$5,I:I)),G4322=1),MAX($H$3:OFFSET(H4322,-1,0))+1,0)</f>
        <v>0</v>
      </c>
      <c r="I4322" s="3" t="s">
        <v>357</v>
      </c>
      <c r="K4322" s="2">
        <f>IF(ISNUMBER(SEARCH(Лист2!$B$4,F:F)),1,0)</f>
        <v>0</v>
      </c>
      <c r="L4322" s="14">
        <f>IF(ISNUMBER(SEARCH(Лист2!$B$5,I:I)),1,0)+K4322</f>
        <v>0</v>
      </c>
      <c r="M4322" s="3">
        <f ca="1">IF(AND(N4322&lt;&gt;N4321,ISNUMBER(SEARCH(Лист2!$B$6,N:N)),L4322=2),MAX($M$3:OFFSET(M4322,-1,0))+1,0)</f>
        <v>0</v>
      </c>
      <c r="N4322" s="3" t="s">
        <v>2707</v>
      </c>
    </row>
    <row r="4323" spans="1:14" x14ac:dyDescent="0.25">
      <c r="A4323" s="1" t="s">
        <v>13089</v>
      </c>
      <c r="B4323" s="3" t="s">
        <v>7947</v>
      </c>
      <c r="C4323" s="2">
        <f ca="1">IF(ISNUMBER(SEARCH(Лист2!$B$4,D:D)),MAX($C$3:OFFSET(C4323,-1,0))+1,0)</f>
        <v>0</v>
      </c>
      <c r="E4323" s="9" t="str">
        <f t="shared" ca="1" si="79"/>
        <v/>
      </c>
      <c r="F4323" s="4" t="s">
        <v>25</v>
      </c>
      <c r="G4323" s="2">
        <f>IF(ISNUMBER(SEARCH(Лист2!$B$4,F:F)),1,0)</f>
        <v>0</v>
      </c>
      <c r="H4323" s="3">
        <f ca="1">IF(AND(I4323&lt;&gt;I4322,ISNUMBER(SEARCH(Лист2!$B$5,I:I)),G4323=1),MAX($H$3:OFFSET(H4323,-1,0))+1,0)</f>
        <v>0</v>
      </c>
      <c r="I4323" s="3" t="s">
        <v>357</v>
      </c>
      <c r="K4323" s="2">
        <f>IF(ISNUMBER(SEARCH(Лист2!$B$4,F:F)),1,0)</f>
        <v>0</v>
      </c>
      <c r="L4323" s="14">
        <f>IF(ISNUMBER(SEARCH(Лист2!$B$5,I:I)),1,0)+K4323</f>
        <v>0</v>
      </c>
      <c r="M4323" s="3">
        <f ca="1">IF(AND(N4323&lt;&gt;N4322,ISNUMBER(SEARCH(Лист2!$B$6,N:N)),L4323=2),MAX($M$3:OFFSET(M4323,-1,0))+1,0)</f>
        <v>0</v>
      </c>
      <c r="N4323" s="3" t="s">
        <v>2708</v>
      </c>
    </row>
    <row r="4324" spans="1:14" x14ac:dyDescent="0.25">
      <c r="A4324" s="1" t="s">
        <v>13090</v>
      </c>
      <c r="B4324" s="3" t="s">
        <v>7948</v>
      </c>
      <c r="C4324" s="2">
        <f ca="1">IF(ISNUMBER(SEARCH(Лист2!$B$4,D:D)),MAX($C$3:OFFSET(C4324,-1,0))+1,0)</f>
        <v>0</v>
      </c>
      <c r="E4324" s="9" t="str">
        <f t="shared" ca="1" si="79"/>
        <v/>
      </c>
      <c r="F4324" s="4" t="s">
        <v>25</v>
      </c>
      <c r="G4324" s="2">
        <f>IF(ISNUMBER(SEARCH(Лист2!$B$4,F:F)),1,0)</f>
        <v>0</v>
      </c>
      <c r="H4324" s="3">
        <f ca="1">IF(AND(I4324&lt;&gt;I4323,ISNUMBER(SEARCH(Лист2!$B$5,I:I)),G4324=1),MAX($H$3:OFFSET(H4324,-1,0))+1,0)</f>
        <v>0</v>
      </c>
      <c r="I4324" s="3" t="s">
        <v>357</v>
      </c>
      <c r="K4324" s="2">
        <f>IF(ISNUMBER(SEARCH(Лист2!$B$4,F:F)),1,0)</f>
        <v>0</v>
      </c>
      <c r="L4324" s="14">
        <f>IF(ISNUMBER(SEARCH(Лист2!$B$5,I:I)),1,0)+K4324</f>
        <v>0</v>
      </c>
      <c r="M4324" s="3">
        <f ca="1">IF(AND(N4324&lt;&gt;N4323,ISNUMBER(SEARCH(Лист2!$B$6,N:N)),L4324=2),MAX($M$3:OFFSET(M4324,-1,0))+1,0)</f>
        <v>0</v>
      </c>
      <c r="N4324" s="3" t="s">
        <v>2709</v>
      </c>
    </row>
    <row r="4325" spans="1:14" x14ac:dyDescent="0.25">
      <c r="A4325" s="1" t="s">
        <v>13091</v>
      </c>
      <c r="B4325" s="3" t="s">
        <v>7949</v>
      </c>
      <c r="C4325" s="2">
        <f ca="1">IF(ISNUMBER(SEARCH(Лист2!$B$4,D:D)),MAX($C$3:OFFSET(C4325,-1,0))+1,0)</f>
        <v>0</v>
      </c>
      <c r="E4325" s="9" t="str">
        <f t="shared" ca="1" si="79"/>
        <v/>
      </c>
      <c r="F4325" s="4" t="s">
        <v>25</v>
      </c>
      <c r="G4325" s="2">
        <f>IF(ISNUMBER(SEARCH(Лист2!$B$4,F:F)),1,0)</f>
        <v>0</v>
      </c>
      <c r="H4325" s="3">
        <f ca="1">IF(AND(I4325&lt;&gt;I4324,ISNUMBER(SEARCH(Лист2!$B$5,I:I)),G4325=1),MAX($H$3:OFFSET(H4325,-1,0))+1,0)</f>
        <v>0</v>
      </c>
      <c r="I4325" s="3" t="s">
        <v>357</v>
      </c>
      <c r="K4325" s="2">
        <f>IF(ISNUMBER(SEARCH(Лист2!$B$4,F:F)),1,0)</f>
        <v>0</v>
      </c>
      <c r="L4325" s="14">
        <f>IF(ISNUMBER(SEARCH(Лист2!$B$5,I:I)),1,0)+K4325</f>
        <v>0</v>
      </c>
      <c r="M4325" s="3">
        <f ca="1">IF(AND(N4325&lt;&gt;N4324,ISNUMBER(SEARCH(Лист2!$B$6,N:N)),L4325=2),MAX($M$3:OFFSET(M4325,-1,0))+1,0)</f>
        <v>0</v>
      </c>
      <c r="N4325" s="3" t="s">
        <v>2710</v>
      </c>
    </row>
    <row r="4326" spans="1:14" x14ac:dyDescent="0.25">
      <c r="A4326" s="1" t="s">
        <v>13092</v>
      </c>
      <c r="B4326" s="3" t="s">
        <v>7950</v>
      </c>
      <c r="C4326" s="2">
        <f ca="1">IF(ISNUMBER(SEARCH(Лист2!$B$4,D:D)),MAX($C$3:OFFSET(C4326,-1,0))+1,0)</f>
        <v>0</v>
      </c>
      <c r="E4326" s="9" t="str">
        <f t="shared" ca="1" si="79"/>
        <v/>
      </c>
      <c r="F4326" s="4" t="s">
        <v>25</v>
      </c>
      <c r="G4326" s="2">
        <f>IF(ISNUMBER(SEARCH(Лист2!$B$4,F:F)),1,0)</f>
        <v>0</v>
      </c>
      <c r="H4326" s="3">
        <f ca="1">IF(AND(I4326&lt;&gt;I4325,ISNUMBER(SEARCH(Лист2!$B$5,I:I)),G4326=1),MAX($H$3:OFFSET(H4326,-1,0))+1,0)</f>
        <v>0</v>
      </c>
      <c r="I4326" s="3" t="s">
        <v>358</v>
      </c>
      <c r="K4326" s="2">
        <f>IF(ISNUMBER(SEARCH(Лист2!$B$4,F:F)),1,0)</f>
        <v>0</v>
      </c>
      <c r="L4326" s="14">
        <f>IF(ISNUMBER(SEARCH(Лист2!$B$5,I:I)),1,0)+K4326</f>
        <v>0</v>
      </c>
      <c r="M4326" s="3">
        <f ca="1">IF(AND(N4326&lt;&gt;N4325,ISNUMBER(SEARCH(Лист2!$B$6,N:N)),L4326=2),MAX($M$3:OFFSET(M4326,-1,0))+1,0)</f>
        <v>0</v>
      </c>
      <c r="N4326" s="3" t="s">
        <v>2703</v>
      </c>
    </row>
    <row r="4327" spans="1:14" x14ac:dyDescent="0.25">
      <c r="A4327" s="1" t="s">
        <v>13093</v>
      </c>
      <c r="B4327" s="3" t="s">
        <v>7951</v>
      </c>
      <c r="C4327" s="2">
        <f ca="1">IF(ISNUMBER(SEARCH(Лист2!$B$4,D:D)),MAX($C$3:OFFSET(C4327,-1,0))+1,0)</f>
        <v>0</v>
      </c>
      <c r="E4327" s="9" t="str">
        <f t="shared" ca="1" si="79"/>
        <v/>
      </c>
      <c r="F4327" s="4" t="s">
        <v>25</v>
      </c>
      <c r="G4327" s="2">
        <f>IF(ISNUMBER(SEARCH(Лист2!$B$4,F:F)),1,0)</f>
        <v>0</v>
      </c>
      <c r="H4327" s="3">
        <f ca="1">IF(AND(I4327&lt;&gt;I4326,ISNUMBER(SEARCH(Лист2!$B$5,I:I)),G4327=1),MAX($H$3:OFFSET(H4327,-1,0))+1,0)</f>
        <v>0</v>
      </c>
      <c r="I4327" s="3" t="s">
        <v>358</v>
      </c>
      <c r="K4327" s="2">
        <f>IF(ISNUMBER(SEARCH(Лист2!$B$4,F:F)),1,0)</f>
        <v>0</v>
      </c>
      <c r="L4327" s="14">
        <f>IF(ISNUMBER(SEARCH(Лист2!$B$5,I:I)),1,0)+K4327</f>
        <v>0</v>
      </c>
      <c r="M4327" s="3">
        <f ca="1">IF(AND(N4327&lt;&gt;N4326,ISNUMBER(SEARCH(Лист2!$B$6,N:N)),L4327=2),MAX($M$3:OFFSET(M4327,-1,0))+1,0)</f>
        <v>0</v>
      </c>
      <c r="N4327" s="3" t="s">
        <v>2704</v>
      </c>
    </row>
    <row r="4328" spans="1:14" x14ac:dyDescent="0.25">
      <c r="A4328" s="1" t="s">
        <v>13094</v>
      </c>
      <c r="B4328" s="3" t="s">
        <v>7952</v>
      </c>
      <c r="C4328" s="2">
        <f ca="1">IF(ISNUMBER(SEARCH(Лист2!$B$4,D:D)),MAX($C$3:OFFSET(C4328,-1,0))+1,0)</f>
        <v>0</v>
      </c>
      <c r="E4328" s="9" t="str">
        <f t="shared" ca="1" si="79"/>
        <v/>
      </c>
      <c r="F4328" s="4" t="s">
        <v>25</v>
      </c>
      <c r="G4328" s="2">
        <f>IF(ISNUMBER(SEARCH(Лист2!$B$4,F:F)),1,0)</f>
        <v>0</v>
      </c>
      <c r="H4328" s="3">
        <f ca="1">IF(AND(I4328&lt;&gt;I4327,ISNUMBER(SEARCH(Лист2!$B$5,I:I)),G4328=1),MAX($H$3:OFFSET(H4328,-1,0))+1,0)</f>
        <v>0</v>
      </c>
      <c r="I4328" s="3" t="s">
        <v>358</v>
      </c>
      <c r="K4328" s="2">
        <f>IF(ISNUMBER(SEARCH(Лист2!$B$4,F:F)),1,0)</f>
        <v>0</v>
      </c>
      <c r="L4328" s="14">
        <f>IF(ISNUMBER(SEARCH(Лист2!$B$5,I:I)),1,0)+K4328</f>
        <v>0</v>
      </c>
      <c r="M4328" s="3">
        <f ca="1">IF(AND(N4328&lt;&gt;N4327,ISNUMBER(SEARCH(Лист2!$B$6,N:N)),L4328=2),MAX($M$3:OFFSET(M4328,-1,0))+1,0)</f>
        <v>0</v>
      </c>
      <c r="N4328" s="3" t="s">
        <v>2705</v>
      </c>
    </row>
    <row r="4329" spans="1:14" x14ac:dyDescent="0.25">
      <c r="A4329" s="1" t="s">
        <v>13095</v>
      </c>
      <c r="B4329" s="3" t="s">
        <v>7953</v>
      </c>
      <c r="C4329" s="2">
        <f ca="1">IF(ISNUMBER(SEARCH(Лист2!$B$4,D:D)),MAX($C$3:OFFSET(C4329,-1,0))+1,0)</f>
        <v>0</v>
      </c>
      <c r="E4329" s="9" t="str">
        <f t="shared" ca="1" si="79"/>
        <v/>
      </c>
      <c r="F4329" s="4" t="s">
        <v>25</v>
      </c>
      <c r="G4329" s="2">
        <f>IF(ISNUMBER(SEARCH(Лист2!$B$4,F:F)),1,0)</f>
        <v>0</v>
      </c>
      <c r="H4329" s="3">
        <f ca="1">IF(AND(I4329&lt;&gt;I4328,ISNUMBER(SEARCH(Лист2!$B$5,I:I)),G4329=1),MAX($H$3:OFFSET(H4329,-1,0))+1,0)</f>
        <v>0</v>
      </c>
      <c r="I4329" s="3" t="s">
        <v>358</v>
      </c>
      <c r="K4329" s="2">
        <f>IF(ISNUMBER(SEARCH(Лист2!$B$4,F:F)),1,0)</f>
        <v>0</v>
      </c>
      <c r="L4329" s="14">
        <f>IF(ISNUMBER(SEARCH(Лист2!$B$5,I:I)),1,0)+K4329</f>
        <v>0</v>
      </c>
      <c r="M4329" s="3">
        <f ca="1">IF(AND(N4329&lt;&gt;N4328,ISNUMBER(SEARCH(Лист2!$B$6,N:N)),L4329=2),MAX($M$3:OFFSET(M4329,-1,0))+1,0)</f>
        <v>0</v>
      </c>
      <c r="N4329" s="3" t="s">
        <v>2711</v>
      </c>
    </row>
    <row r="4330" spans="1:14" x14ac:dyDescent="0.25">
      <c r="A4330" s="1" t="s">
        <v>13096</v>
      </c>
      <c r="B4330" s="3" t="s">
        <v>7954</v>
      </c>
      <c r="C4330" s="2">
        <f ca="1">IF(ISNUMBER(SEARCH(Лист2!$B$4,D:D)),MAX($C$3:OFFSET(C4330,-1,0))+1,0)</f>
        <v>0</v>
      </c>
      <c r="E4330" s="9" t="str">
        <f t="shared" ca="1" si="79"/>
        <v/>
      </c>
      <c r="F4330" s="4" t="s">
        <v>25</v>
      </c>
      <c r="G4330" s="2">
        <f>IF(ISNUMBER(SEARCH(Лист2!$B$4,F:F)),1,0)</f>
        <v>0</v>
      </c>
      <c r="H4330" s="3">
        <f ca="1">IF(AND(I4330&lt;&gt;I4329,ISNUMBER(SEARCH(Лист2!$B$5,I:I)),G4330=1),MAX($H$3:OFFSET(H4330,-1,0))+1,0)</f>
        <v>0</v>
      </c>
      <c r="I4330" s="3" t="s">
        <v>358</v>
      </c>
      <c r="K4330" s="2">
        <f>IF(ISNUMBER(SEARCH(Лист2!$B$4,F:F)),1,0)</f>
        <v>0</v>
      </c>
      <c r="L4330" s="14">
        <f>IF(ISNUMBER(SEARCH(Лист2!$B$5,I:I)),1,0)+K4330</f>
        <v>0</v>
      </c>
      <c r="M4330" s="3">
        <f ca="1">IF(AND(N4330&lt;&gt;N4329,ISNUMBER(SEARCH(Лист2!$B$6,N:N)),L4330=2),MAX($M$3:OFFSET(M4330,-1,0))+1,0)</f>
        <v>0</v>
      </c>
      <c r="N4330" s="3" t="s">
        <v>2712</v>
      </c>
    </row>
    <row r="4331" spans="1:14" x14ac:dyDescent="0.25">
      <c r="A4331" s="1" t="s">
        <v>13097</v>
      </c>
      <c r="B4331" s="3" t="s">
        <v>7955</v>
      </c>
      <c r="C4331" s="2">
        <f ca="1">IF(ISNUMBER(SEARCH(Лист2!$B$4,D:D)),MAX($C$3:OFFSET(C4331,-1,0))+1,0)</f>
        <v>0</v>
      </c>
      <c r="E4331" s="9" t="str">
        <f t="shared" ca="1" si="79"/>
        <v/>
      </c>
      <c r="F4331" s="4" t="s">
        <v>25</v>
      </c>
      <c r="G4331" s="2">
        <f>IF(ISNUMBER(SEARCH(Лист2!$B$4,F:F)),1,0)</f>
        <v>0</v>
      </c>
      <c r="H4331" s="3">
        <f ca="1">IF(AND(I4331&lt;&gt;I4330,ISNUMBER(SEARCH(Лист2!$B$5,I:I)),G4331=1),MAX($H$3:OFFSET(H4331,-1,0))+1,0)</f>
        <v>0</v>
      </c>
      <c r="I4331" s="3" t="s">
        <v>358</v>
      </c>
      <c r="K4331" s="2">
        <f>IF(ISNUMBER(SEARCH(Лист2!$B$4,F:F)),1,0)</f>
        <v>0</v>
      </c>
      <c r="L4331" s="14">
        <f>IF(ISNUMBER(SEARCH(Лист2!$B$5,I:I)),1,0)+K4331</f>
        <v>0</v>
      </c>
      <c r="M4331" s="3">
        <f ca="1">IF(AND(N4331&lt;&gt;N4330,ISNUMBER(SEARCH(Лист2!$B$6,N:N)),L4331=2),MAX($M$3:OFFSET(M4331,-1,0))+1,0)</f>
        <v>0</v>
      </c>
      <c r="N4331" s="3" t="s">
        <v>2713</v>
      </c>
    </row>
    <row r="4332" spans="1:14" x14ac:dyDescent="0.25">
      <c r="A4332" s="1" t="s">
        <v>13098</v>
      </c>
      <c r="B4332" s="3" t="s">
        <v>7956</v>
      </c>
      <c r="C4332" s="2">
        <f ca="1">IF(ISNUMBER(SEARCH(Лист2!$B$4,D:D)),MAX($C$3:OFFSET(C4332,-1,0))+1,0)</f>
        <v>0</v>
      </c>
      <c r="E4332" s="9" t="str">
        <f t="shared" ca="1" si="79"/>
        <v/>
      </c>
      <c r="F4332" s="4" t="s">
        <v>25</v>
      </c>
      <c r="G4332" s="2">
        <f>IF(ISNUMBER(SEARCH(Лист2!$B$4,F:F)),1,0)</f>
        <v>0</v>
      </c>
      <c r="H4332" s="3">
        <f ca="1">IF(AND(I4332&lt;&gt;I4331,ISNUMBER(SEARCH(Лист2!$B$5,I:I)),G4332=1),MAX($H$3:OFFSET(H4332,-1,0))+1,0)</f>
        <v>0</v>
      </c>
      <c r="I4332" s="3" t="s">
        <v>358</v>
      </c>
      <c r="K4332" s="2">
        <f>IF(ISNUMBER(SEARCH(Лист2!$B$4,F:F)),1,0)</f>
        <v>0</v>
      </c>
      <c r="L4332" s="14">
        <f>IF(ISNUMBER(SEARCH(Лист2!$B$5,I:I)),1,0)+K4332</f>
        <v>0</v>
      </c>
      <c r="M4332" s="3">
        <f ca="1">IF(AND(N4332&lt;&gt;N4331,ISNUMBER(SEARCH(Лист2!$B$6,N:N)),L4332=2),MAX($M$3:OFFSET(M4332,-1,0))+1,0)</f>
        <v>0</v>
      </c>
      <c r="N4332" s="3" t="s">
        <v>2714</v>
      </c>
    </row>
    <row r="4333" spans="1:14" x14ac:dyDescent="0.25">
      <c r="A4333" s="1" t="s">
        <v>13099</v>
      </c>
      <c r="B4333" s="3" t="s">
        <v>7957</v>
      </c>
      <c r="C4333" s="2">
        <f ca="1">IF(ISNUMBER(SEARCH(Лист2!$B$4,D:D)),MAX($C$3:OFFSET(C4333,-1,0))+1,0)</f>
        <v>0</v>
      </c>
      <c r="E4333" s="9" t="str">
        <f t="shared" ca="1" si="79"/>
        <v/>
      </c>
      <c r="F4333" s="4" t="s">
        <v>25</v>
      </c>
      <c r="G4333" s="2">
        <f>IF(ISNUMBER(SEARCH(Лист2!$B$4,F:F)),1,0)</f>
        <v>0</v>
      </c>
      <c r="H4333" s="3">
        <f ca="1">IF(AND(I4333&lt;&gt;I4332,ISNUMBER(SEARCH(Лист2!$B$5,I:I)),G4333=1),MAX($H$3:OFFSET(H4333,-1,0))+1,0)</f>
        <v>0</v>
      </c>
      <c r="I4333" s="3" t="s">
        <v>358</v>
      </c>
      <c r="K4333" s="2">
        <f>IF(ISNUMBER(SEARCH(Лист2!$B$4,F:F)),1,0)</f>
        <v>0</v>
      </c>
      <c r="L4333" s="14">
        <f>IF(ISNUMBER(SEARCH(Лист2!$B$5,I:I)),1,0)+K4333</f>
        <v>0</v>
      </c>
      <c r="M4333" s="3">
        <f ca="1">IF(AND(N4333&lt;&gt;N4332,ISNUMBER(SEARCH(Лист2!$B$6,N:N)),L4333=2),MAX($M$3:OFFSET(M4333,-1,0))+1,0)</f>
        <v>0</v>
      </c>
      <c r="N4333" s="3" t="s">
        <v>2715</v>
      </c>
    </row>
    <row r="4334" spans="1:14" x14ac:dyDescent="0.25">
      <c r="A4334" s="1" t="s">
        <v>13100</v>
      </c>
      <c r="B4334" s="3" t="s">
        <v>7958</v>
      </c>
      <c r="C4334" s="2">
        <f ca="1">IF(ISNUMBER(SEARCH(Лист2!$B$4,D:D)),MAX($C$3:OFFSET(C4334,-1,0))+1,0)</f>
        <v>0</v>
      </c>
      <c r="E4334" s="9" t="str">
        <f t="shared" ca="1" si="79"/>
        <v/>
      </c>
      <c r="F4334" s="4" t="s">
        <v>25</v>
      </c>
      <c r="G4334" s="2">
        <f>IF(ISNUMBER(SEARCH(Лист2!$B$4,F:F)),1,0)</f>
        <v>0</v>
      </c>
      <c r="H4334" s="3">
        <f ca="1">IF(AND(I4334&lt;&gt;I4333,ISNUMBER(SEARCH(Лист2!$B$5,I:I)),G4334=1),MAX($H$3:OFFSET(H4334,-1,0))+1,0)</f>
        <v>0</v>
      </c>
      <c r="I4334" s="3" t="s">
        <v>359</v>
      </c>
      <c r="K4334" s="2">
        <f>IF(ISNUMBER(SEARCH(Лист2!$B$4,F:F)),1,0)</f>
        <v>0</v>
      </c>
      <c r="L4334" s="14">
        <f>IF(ISNUMBER(SEARCH(Лист2!$B$5,I:I)),1,0)+K4334</f>
        <v>0</v>
      </c>
      <c r="M4334" s="3">
        <f ca="1">IF(AND(N4334&lt;&gt;N4333,ISNUMBER(SEARCH(Лист2!$B$6,N:N)),L4334=2),MAX($M$3:OFFSET(M4334,-1,0))+1,0)</f>
        <v>0</v>
      </c>
      <c r="N4334" s="3" t="s">
        <v>2716</v>
      </c>
    </row>
    <row r="4335" spans="1:14" x14ac:dyDescent="0.25">
      <c r="A4335" s="1" t="s">
        <v>13101</v>
      </c>
      <c r="B4335" s="3" t="s">
        <v>7959</v>
      </c>
      <c r="C4335" s="2">
        <f ca="1">IF(ISNUMBER(SEARCH(Лист2!$B$4,D:D)),MAX($C$3:OFFSET(C4335,-1,0))+1,0)</f>
        <v>0</v>
      </c>
      <c r="E4335" s="9" t="str">
        <f t="shared" ca="1" si="79"/>
        <v/>
      </c>
      <c r="F4335" s="4" t="s">
        <v>25</v>
      </c>
      <c r="G4335" s="2">
        <f>IF(ISNUMBER(SEARCH(Лист2!$B$4,F:F)),1,0)</f>
        <v>0</v>
      </c>
      <c r="H4335" s="3">
        <f ca="1">IF(AND(I4335&lt;&gt;I4334,ISNUMBER(SEARCH(Лист2!$B$5,I:I)),G4335=1),MAX($H$3:OFFSET(H4335,-1,0))+1,0)</f>
        <v>0</v>
      </c>
      <c r="I4335" s="3" t="s">
        <v>359</v>
      </c>
      <c r="K4335" s="2">
        <f>IF(ISNUMBER(SEARCH(Лист2!$B$4,F:F)),1,0)</f>
        <v>0</v>
      </c>
      <c r="L4335" s="14">
        <f>IF(ISNUMBER(SEARCH(Лист2!$B$5,I:I)),1,0)+K4335</f>
        <v>0</v>
      </c>
      <c r="M4335" s="3">
        <f ca="1">IF(AND(N4335&lt;&gt;N4334,ISNUMBER(SEARCH(Лист2!$B$6,N:N)),L4335=2),MAX($M$3:OFFSET(M4335,-1,0))+1,0)</f>
        <v>0</v>
      </c>
      <c r="N4335" s="3" t="s">
        <v>2705</v>
      </c>
    </row>
    <row r="4336" spans="1:14" x14ac:dyDescent="0.25">
      <c r="A4336" s="1" t="s">
        <v>13102</v>
      </c>
      <c r="B4336" s="3" t="s">
        <v>7960</v>
      </c>
      <c r="C4336" s="2">
        <f ca="1">IF(ISNUMBER(SEARCH(Лист2!$B$4,D:D)),MAX($C$3:OFFSET(C4336,-1,0))+1,0)</f>
        <v>0</v>
      </c>
      <c r="E4336" s="9" t="str">
        <f t="shared" ca="1" si="79"/>
        <v/>
      </c>
      <c r="F4336" s="4" t="s">
        <v>25</v>
      </c>
      <c r="G4336" s="2">
        <f>IF(ISNUMBER(SEARCH(Лист2!$B$4,F:F)),1,0)</f>
        <v>0</v>
      </c>
      <c r="H4336" s="3">
        <f ca="1">IF(AND(I4336&lt;&gt;I4335,ISNUMBER(SEARCH(Лист2!$B$5,I:I)),G4336=1),MAX($H$3:OFFSET(H4336,-1,0))+1,0)</f>
        <v>0</v>
      </c>
      <c r="I4336" s="3" t="s">
        <v>359</v>
      </c>
      <c r="K4336" s="2">
        <f>IF(ISNUMBER(SEARCH(Лист2!$B$4,F:F)),1,0)</f>
        <v>0</v>
      </c>
      <c r="L4336" s="14">
        <f>IF(ISNUMBER(SEARCH(Лист2!$B$5,I:I)),1,0)+K4336</f>
        <v>0</v>
      </c>
      <c r="M4336" s="3">
        <f ca="1">IF(AND(N4336&lt;&gt;N4335,ISNUMBER(SEARCH(Лист2!$B$6,N:N)),L4336=2),MAX($M$3:OFFSET(M4336,-1,0))+1,0)</f>
        <v>0</v>
      </c>
      <c r="N4336" s="3" t="s">
        <v>2717</v>
      </c>
    </row>
    <row r="4337" spans="1:14" x14ac:dyDescent="0.25">
      <c r="A4337" s="1" t="s">
        <v>13103</v>
      </c>
      <c r="B4337" s="3" t="s">
        <v>7961</v>
      </c>
      <c r="C4337" s="2">
        <f ca="1">IF(ISNUMBER(SEARCH(Лист2!$B$4,D:D)),MAX($C$3:OFFSET(C4337,-1,0))+1,0)</f>
        <v>0</v>
      </c>
      <c r="E4337" s="9" t="str">
        <f t="shared" ca="1" si="79"/>
        <v/>
      </c>
      <c r="F4337" s="4" t="s">
        <v>25</v>
      </c>
      <c r="G4337" s="2">
        <f>IF(ISNUMBER(SEARCH(Лист2!$B$4,F:F)),1,0)</f>
        <v>0</v>
      </c>
      <c r="H4337" s="3">
        <f ca="1">IF(AND(I4337&lt;&gt;I4336,ISNUMBER(SEARCH(Лист2!$B$5,I:I)),G4337=1),MAX($H$3:OFFSET(H4337,-1,0))+1,0)</f>
        <v>0</v>
      </c>
      <c r="I4337" s="3" t="s">
        <v>359</v>
      </c>
      <c r="K4337" s="2">
        <f>IF(ISNUMBER(SEARCH(Лист2!$B$4,F:F)),1,0)</f>
        <v>0</v>
      </c>
      <c r="L4337" s="14">
        <f>IF(ISNUMBER(SEARCH(Лист2!$B$5,I:I)),1,0)+K4337</f>
        <v>0</v>
      </c>
      <c r="M4337" s="3">
        <f ca="1">IF(AND(N4337&lt;&gt;N4336,ISNUMBER(SEARCH(Лист2!$B$6,N:N)),L4337=2),MAX($M$3:OFFSET(M4337,-1,0))+1,0)</f>
        <v>0</v>
      </c>
      <c r="N4337" s="3" t="s">
        <v>2718</v>
      </c>
    </row>
    <row r="4338" spans="1:14" x14ac:dyDescent="0.25">
      <c r="A4338" s="1" t="s">
        <v>13104</v>
      </c>
      <c r="B4338" s="3" t="s">
        <v>7962</v>
      </c>
      <c r="C4338" s="2">
        <f ca="1">IF(ISNUMBER(SEARCH(Лист2!$B$4,D:D)),MAX($C$3:OFFSET(C4338,-1,0))+1,0)</f>
        <v>0</v>
      </c>
      <c r="E4338" s="9" t="str">
        <f t="shared" ca="1" si="79"/>
        <v/>
      </c>
      <c r="F4338" s="4" t="s">
        <v>25</v>
      </c>
      <c r="G4338" s="2">
        <f>IF(ISNUMBER(SEARCH(Лист2!$B$4,F:F)),1,0)</f>
        <v>0</v>
      </c>
      <c r="H4338" s="3">
        <f ca="1">IF(AND(I4338&lt;&gt;I4337,ISNUMBER(SEARCH(Лист2!$B$5,I:I)),G4338=1),MAX($H$3:OFFSET(H4338,-1,0))+1,0)</f>
        <v>0</v>
      </c>
      <c r="I4338" s="3" t="s">
        <v>359</v>
      </c>
      <c r="K4338" s="2">
        <f>IF(ISNUMBER(SEARCH(Лист2!$B$4,F:F)),1,0)</f>
        <v>0</v>
      </c>
      <c r="L4338" s="14">
        <f>IF(ISNUMBER(SEARCH(Лист2!$B$5,I:I)),1,0)+K4338</f>
        <v>0</v>
      </c>
      <c r="M4338" s="3">
        <f ca="1">IF(AND(N4338&lt;&gt;N4337,ISNUMBER(SEARCH(Лист2!$B$6,N:N)),L4338=2),MAX($M$3:OFFSET(M4338,-1,0))+1,0)</f>
        <v>0</v>
      </c>
      <c r="N4338" s="3" t="s">
        <v>2719</v>
      </c>
    </row>
    <row r="4339" spans="1:14" x14ac:dyDescent="0.25">
      <c r="A4339" s="1" t="s">
        <v>13105</v>
      </c>
      <c r="B4339" s="3" t="s">
        <v>7963</v>
      </c>
      <c r="C4339" s="2">
        <f ca="1">IF(ISNUMBER(SEARCH(Лист2!$B$4,D:D)),MAX($C$3:OFFSET(C4339,-1,0))+1,0)</f>
        <v>0</v>
      </c>
      <c r="E4339" s="9" t="str">
        <f t="shared" ca="1" si="79"/>
        <v/>
      </c>
      <c r="F4339" s="4" t="s">
        <v>25</v>
      </c>
      <c r="G4339" s="2">
        <f>IF(ISNUMBER(SEARCH(Лист2!$B$4,F:F)),1,0)</f>
        <v>0</v>
      </c>
      <c r="H4339" s="3">
        <f ca="1">IF(AND(I4339&lt;&gt;I4338,ISNUMBER(SEARCH(Лист2!$B$5,I:I)),G4339=1),MAX($H$3:OFFSET(H4339,-1,0))+1,0)</f>
        <v>0</v>
      </c>
      <c r="I4339" s="3" t="s">
        <v>359</v>
      </c>
      <c r="K4339" s="2">
        <f>IF(ISNUMBER(SEARCH(Лист2!$B$4,F:F)),1,0)</f>
        <v>0</v>
      </c>
      <c r="L4339" s="14">
        <f>IF(ISNUMBER(SEARCH(Лист2!$B$5,I:I)),1,0)+K4339</f>
        <v>0</v>
      </c>
      <c r="M4339" s="3">
        <f ca="1">IF(AND(N4339&lt;&gt;N4338,ISNUMBER(SEARCH(Лист2!$B$6,N:N)),L4339=2),MAX($M$3:OFFSET(M4339,-1,0))+1,0)</f>
        <v>0</v>
      </c>
      <c r="N4339" s="3" t="s">
        <v>2720</v>
      </c>
    </row>
    <row r="4340" spans="1:14" x14ac:dyDescent="0.25">
      <c r="A4340" s="1" t="s">
        <v>13106</v>
      </c>
      <c r="B4340" s="3" t="s">
        <v>7964</v>
      </c>
      <c r="C4340" s="2">
        <f ca="1">IF(ISNUMBER(SEARCH(Лист2!$B$4,D:D)),MAX($C$3:OFFSET(C4340,-1,0))+1,0)</f>
        <v>0</v>
      </c>
      <c r="E4340" s="9" t="str">
        <f t="shared" ca="1" si="79"/>
        <v/>
      </c>
      <c r="F4340" s="4" t="s">
        <v>25</v>
      </c>
      <c r="G4340" s="2">
        <f>IF(ISNUMBER(SEARCH(Лист2!$B$4,F:F)),1,0)</f>
        <v>0</v>
      </c>
      <c r="H4340" s="3">
        <f ca="1">IF(AND(I4340&lt;&gt;I4339,ISNUMBER(SEARCH(Лист2!$B$5,I:I)),G4340=1),MAX($H$3:OFFSET(H4340,-1,0))+1,0)</f>
        <v>0</v>
      </c>
      <c r="I4340" s="3" t="s">
        <v>359</v>
      </c>
      <c r="K4340" s="2">
        <f>IF(ISNUMBER(SEARCH(Лист2!$B$4,F:F)),1,0)</f>
        <v>0</v>
      </c>
      <c r="L4340" s="14">
        <f>IF(ISNUMBER(SEARCH(Лист2!$B$5,I:I)),1,0)+K4340</f>
        <v>0</v>
      </c>
      <c r="M4340" s="3">
        <f ca="1">IF(AND(N4340&lt;&gt;N4339,ISNUMBER(SEARCH(Лист2!$B$6,N:N)),L4340=2),MAX($M$3:OFFSET(M4340,-1,0))+1,0)</f>
        <v>0</v>
      </c>
      <c r="N4340" s="3" t="s">
        <v>2721</v>
      </c>
    </row>
    <row r="4341" spans="1:14" x14ac:dyDescent="0.25">
      <c r="A4341" s="1" t="s">
        <v>13107</v>
      </c>
      <c r="B4341" s="3" t="s">
        <v>7965</v>
      </c>
      <c r="C4341" s="2">
        <f ca="1">IF(ISNUMBER(SEARCH(Лист2!$B$4,D:D)),MAX($C$3:OFFSET(C4341,-1,0))+1,0)</f>
        <v>0</v>
      </c>
      <c r="E4341" s="9" t="str">
        <f t="shared" ca="1" si="79"/>
        <v/>
      </c>
      <c r="F4341" s="4" t="s">
        <v>25</v>
      </c>
      <c r="G4341" s="2">
        <f>IF(ISNUMBER(SEARCH(Лист2!$B$4,F:F)),1,0)</f>
        <v>0</v>
      </c>
      <c r="H4341" s="3">
        <f ca="1">IF(AND(I4341&lt;&gt;I4340,ISNUMBER(SEARCH(Лист2!$B$5,I:I)),G4341=1),MAX($H$3:OFFSET(H4341,-1,0))+1,0)</f>
        <v>0</v>
      </c>
      <c r="I4341" s="3" t="s">
        <v>360</v>
      </c>
      <c r="K4341" s="2">
        <f>IF(ISNUMBER(SEARCH(Лист2!$B$4,F:F)),1,0)</f>
        <v>0</v>
      </c>
      <c r="L4341" s="14">
        <f>IF(ISNUMBER(SEARCH(Лист2!$B$5,I:I)),1,0)+K4341</f>
        <v>1</v>
      </c>
      <c r="M4341" s="3">
        <f ca="1">IF(AND(N4341&lt;&gt;N4340,ISNUMBER(SEARCH(Лист2!$B$6,N:N)),L4341=2),MAX($M$3:OFFSET(M4341,-1,0))+1,0)</f>
        <v>0</v>
      </c>
      <c r="N4341" s="3" t="s">
        <v>2716</v>
      </c>
    </row>
    <row r="4342" spans="1:14" x14ac:dyDescent="0.25">
      <c r="A4342" s="1" t="s">
        <v>13108</v>
      </c>
      <c r="B4342" s="3" t="s">
        <v>7966</v>
      </c>
      <c r="C4342" s="2">
        <f ca="1">IF(ISNUMBER(SEARCH(Лист2!$B$4,D:D)),MAX($C$3:OFFSET(C4342,-1,0))+1,0)</f>
        <v>0</v>
      </c>
      <c r="E4342" s="9" t="str">
        <f t="shared" ca="1" si="79"/>
        <v/>
      </c>
      <c r="F4342" s="4" t="s">
        <v>25</v>
      </c>
      <c r="G4342" s="2">
        <f>IF(ISNUMBER(SEARCH(Лист2!$B$4,F:F)),1,0)</f>
        <v>0</v>
      </c>
      <c r="H4342" s="3">
        <f ca="1">IF(AND(I4342&lt;&gt;I4341,ISNUMBER(SEARCH(Лист2!$B$5,I:I)),G4342=1),MAX($H$3:OFFSET(H4342,-1,0))+1,0)</f>
        <v>0</v>
      </c>
      <c r="I4342" s="3" t="s">
        <v>360</v>
      </c>
      <c r="K4342" s="2">
        <f>IF(ISNUMBER(SEARCH(Лист2!$B$4,F:F)),1,0)</f>
        <v>0</v>
      </c>
      <c r="L4342" s="14">
        <f>IF(ISNUMBER(SEARCH(Лист2!$B$5,I:I)),1,0)+K4342</f>
        <v>1</v>
      </c>
      <c r="M4342" s="3">
        <f ca="1">IF(AND(N4342&lt;&gt;N4341,ISNUMBER(SEARCH(Лист2!$B$6,N:N)),L4342=2),MAX($M$3:OFFSET(M4342,-1,0))+1,0)</f>
        <v>0</v>
      </c>
      <c r="N4342" s="3" t="s">
        <v>2705</v>
      </c>
    </row>
    <row r="4343" spans="1:14" x14ac:dyDescent="0.25">
      <c r="A4343" s="1" t="s">
        <v>13109</v>
      </c>
      <c r="B4343" s="3" t="s">
        <v>7967</v>
      </c>
      <c r="C4343" s="2">
        <f ca="1">IF(ISNUMBER(SEARCH(Лист2!$B$4,D:D)),MAX($C$3:OFFSET(C4343,-1,0))+1,0)</f>
        <v>0</v>
      </c>
      <c r="E4343" s="9" t="str">
        <f t="shared" ca="1" si="79"/>
        <v/>
      </c>
      <c r="F4343" s="4" t="s">
        <v>25</v>
      </c>
      <c r="G4343" s="2">
        <f>IF(ISNUMBER(SEARCH(Лист2!$B$4,F:F)),1,0)</f>
        <v>0</v>
      </c>
      <c r="H4343" s="3">
        <f ca="1">IF(AND(I4343&lt;&gt;I4342,ISNUMBER(SEARCH(Лист2!$B$5,I:I)),G4343=1),MAX($H$3:OFFSET(H4343,-1,0))+1,0)</f>
        <v>0</v>
      </c>
      <c r="I4343" s="3" t="s">
        <v>360</v>
      </c>
      <c r="K4343" s="2">
        <f>IF(ISNUMBER(SEARCH(Лист2!$B$4,F:F)),1,0)</f>
        <v>0</v>
      </c>
      <c r="L4343" s="14">
        <f>IF(ISNUMBER(SEARCH(Лист2!$B$5,I:I)),1,0)+K4343</f>
        <v>1</v>
      </c>
      <c r="M4343" s="3">
        <f ca="1">IF(AND(N4343&lt;&gt;N4342,ISNUMBER(SEARCH(Лист2!$B$6,N:N)),L4343=2),MAX($M$3:OFFSET(M4343,-1,0))+1,0)</f>
        <v>0</v>
      </c>
      <c r="N4343" s="3" t="s">
        <v>2722</v>
      </c>
    </row>
    <row r="4344" spans="1:14" x14ac:dyDescent="0.25">
      <c r="A4344" s="1" t="s">
        <v>13110</v>
      </c>
      <c r="B4344" s="3" t="s">
        <v>7968</v>
      </c>
      <c r="C4344" s="2">
        <f ca="1">IF(ISNUMBER(SEARCH(Лист2!$B$4,D:D)),MAX($C$3:OFFSET(C4344,-1,0))+1,0)</f>
        <v>0</v>
      </c>
      <c r="E4344" s="9" t="str">
        <f t="shared" ca="1" si="79"/>
        <v/>
      </c>
      <c r="F4344" s="4" t="s">
        <v>25</v>
      </c>
      <c r="G4344" s="2">
        <f>IF(ISNUMBER(SEARCH(Лист2!$B$4,F:F)),1,0)</f>
        <v>0</v>
      </c>
      <c r="H4344" s="3">
        <f ca="1">IF(AND(I4344&lt;&gt;I4343,ISNUMBER(SEARCH(Лист2!$B$5,I:I)),G4344=1),MAX($H$3:OFFSET(H4344,-1,0))+1,0)</f>
        <v>0</v>
      </c>
      <c r="I4344" s="3" t="s">
        <v>360</v>
      </c>
      <c r="K4344" s="2">
        <f>IF(ISNUMBER(SEARCH(Лист2!$B$4,F:F)),1,0)</f>
        <v>0</v>
      </c>
      <c r="L4344" s="14">
        <f>IF(ISNUMBER(SEARCH(Лист2!$B$5,I:I)),1,0)+K4344</f>
        <v>1</v>
      </c>
      <c r="M4344" s="3">
        <f ca="1">IF(AND(N4344&lt;&gt;N4343,ISNUMBER(SEARCH(Лист2!$B$6,N:N)),L4344=2),MAX($M$3:OFFSET(M4344,-1,0))+1,0)</f>
        <v>0</v>
      </c>
      <c r="N4344" s="3" t="s">
        <v>2723</v>
      </c>
    </row>
    <row r="4345" spans="1:14" x14ac:dyDescent="0.25">
      <c r="A4345" s="1" t="s">
        <v>13111</v>
      </c>
      <c r="B4345" s="3" t="s">
        <v>7969</v>
      </c>
      <c r="C4345" s="2">
        <f ca="1">IF(ISNUMBER(SEARCH(Лист2!$B$4,D:D)),MAX($C$3:OFFSET(C4345,-1,0))+1,0)</f>
        <v>0</v>
      </c>
      <c r="E4345" s="9" t="str">
        <f t="shared" ca="1" si="79"/>
        <v/>
      </c>
      <c r="F4345" s="4" t="s">
        <v>25</v>
      </c>
      <c r="G4345" s="2">
        <f>IF(ISNUMBER(SEARCH(Лист2!$B$4,F:F)),1,0)</f>
        <v>0</v>
      </c>
      <c r="H4345" s="3">
        <f ca="1">IF(AND(I4345&lt;&gt;I4344,ISNUMBER(SEARCH(Лист2!$B$5,I:I)),G4345=1),MAX($H$3:OFFSET(H4345,-1,0))+1,0)</f>
        <v>0</v>
      </c>
      <c r="I4345" s="3" t="s">
        <v>360</v>
      </c>
      <c r="K4345" s="2">
        <f>IF(ISNUMBER(SEARCH(Лист2!$B$4,F:F)),1,0)</f>
        <v>0</v>
      </c>
      <c r="L4345" s="14">
        <f>IF(ISNUMBER(SEARCH(Лист2!$B$5,I:I)),1,0)+K4345</f>
        <v>1</v>
      </c>
      <c r="M4345" s="3">
        <f ca="1">IF(AND(N4345&lt;&gt;N4344,ISNUMBER(SEARCH(Лист2!$B$6,N:N)),L4345=2),MAX($M$3:OFFSET(M4345,-1,0))+1,0)</f>
        <v>0</v>
      </c>
      <c r="N4345" s="3" t="s">
        <v>2724</v>
      </c>
    </row>
    <row r="4346" spans="1:14" x14ac:dyDescent="0.25">
      <c r="A4346" s="1" t="s">
        <v>13112</v>
      </c>
      <c r="B4346" s="3" t="s">
        <v>7970</v>
      </c>
      <c r="C4346" s="2">
        <f ca="1">IF(ISNUMBER(SEARCH(Лист2!$B$4,D:D)),MAX($C$3:OFFSET(C4346,-1,0))+1,0)</f>
        <v>0</v>
      </c>
      <c r="E4346" s="9" t="str">
        <f t="shared" ca="1" si="79"/>
        <v/>
      </c>
      <c r="F4346" s="4" t="s">
        <v>25</v>
      </c>
      <c r="G4346" s="2">
        <f>IF(ISNUMBER(SEARCH(Лист2!$B$4,F:F)),1,0)</f>
        <v>0</v>
      </c>
      <c r="H4346" s="3">
        <f ca="1">IF(AND(I4346&lt;&gt;I4345,ISNUMBER(SEARCH(Лист2!$B$5,I:I)),G4346=1),MAX($H$3:OFFSET(H4346,-1,0))+1,0)</f>
        <v>0</v>
      </c>
      <c r="I4346" s="3" t="s">
        <v>360</v>
      </c>
      <c r="K4346" s="2">
        <f>IF(ISNUMBER(SEARCH(Лист2!$B$4,F:F)),1,0)</f>
        <v>0</v>
      </c>
      <c r="L4346" s="14">
        <f>IF(ISNUMBER(SEARCH(Лист2!$B$5,I:I)),1,0)+K4346</f>
        <v>1</v>
      </c>
      <c r="M4346" s="3">
        <f ca="1">IF(AND(N4346&lt;&gt;N4345,ISNUMBER(SEARCH(Лист2!$B$6,N:N)),L4346=2),MAX($M$3:OFFSET(M4346,-1,0))+1,0)</f>
        <v>0</v>
      </c>
      <c r="N4346" s="3" t="s">
        <v>2725</v>
      </c>
    </row>
    <row r="4347" spans="1:14" x14ac:dyDescent="0.25">
      <c r="A4347" s="1" t="s">
        <v>13113</v>
      </c>
      <c r="B4347" s="3" t="s">
        <v>7971</v>
      </c>
      <c r="C4347" s="2">
        <f ca="1">IF(ISNUMBER(SEARCH(Лист2!$B$4,D:D)),MAX($C$3:OFFSET(C4347,-1,0))+1,0)</f>
        <v>0</v>
      </c>
      <c r="E4347" s="9" t="str">
        <f t="shared" ca="1" si="79"/>
        <v/>
      </c>
      <c r="F4347" s="4" t="s">
        <v>25</v>
      </c>
      <c r="G4347" s="2">
        <f>IF(ISNUMBER(SEARCH(Лист2!$B$4,F:F)),1,0)</f>
        <v>0</v>
      </c>
      <c r="H4347" s="3">
        <f ca="1">IF(AND(I4347&lt;&gt;I4346,ISNUMBER(SEARCH(Лист2!$B$5,I:I)),G4347=1),MAX($H$3:OFFSET(H4347,-1,0))+1,0)</f>
        <v>0</v>
      </c>
      <c r="I4347" s="3" t="s">
        <v>360</v>
      </c>
      <c r="K4347" s="2">
        <f>IF(ISNUMBER(SEARCH(Лист2!$B$4,F:F)),1,0)</f>
        <v>0</v>
      </c>
      <c r="L4347" s="14">
        <f>IF(ISNUMBER(SEARCH(Лист2!$B$5,I:I)),1,0)+K4347</f>
        <v>1</v>
      </c>
      <c r="M4347" s="3">
        <f ca="1">IF(AND(N4347&lt;&gt;N4346,ISNUMBER(SEARCH(Лист2!$B$6,N:N)),L4347=2),MAX($M$3:OFFSET(M4347,-1,0))+1,0)</f>
        <v>0</v>
      </c>
      <c r="N4347" s="3" t="s">
        <v>2726</v>
      </c>
    </row>
    <row r="4348" spans="1:14" x14ac:dyDescent="0.25">
      <c r="A4348" s="1" t="s">
        <v>13114</v>
      </c>
      <c r="B4348" s="3" t="s">
        <v>7972</v>
      </c>
      <c r="C4348" s="2">
        <f ca="1">IF(ISNUMBER(SEARCH(Лист2!$B$4,D:D)),MAX($C$3:OFFSET(C4348,-1,0))+1,0)</f>
        <v>0</v>
      </c>
      <c r="E4348" s="9" t="str">
        <f t="shared" ca="1" si="79"/>
        <v/>
      </c>
      <c r="F4348" s="4" t="s">
        <v>25</v>
      </c>
      <c r="G4348" s="2">
        <f>IF(ISNUMBER(SEARCH(Лист2!$B$4,F:F)),1,0)</f>
        <v>0</v>
      </c>
      <c r="H4348" s="3">
        <f ca="1">IF(AND(I4348&lt;&gt;I4347,ISNUMBER(SEARCH(Лист2!$B$5,I:I)),G4348=1),MAX($H$3:OFFSET(H4348,-1,0))+1,0)</f>
        <v>0</v>
      </c>
      <c r="I4348" s="3" t="s">
        <v>361</v>
      </c>
      <c r="K4348" s="2">
        <f>IF(ISNUMBER(SEARCH(Лист2!$B$4,F:F)),1,0)</f>
        <v>0</v>
      </c>
      <c r="L4348" s="14">
        <f>IF(ISNUMBER(SEARCH(Лист2!$B$5,I:I)),1,0)+K4348</f>
        <v>0</v>
      </c>
      <c r="M4348" s="3">
        <f ca="1">IF(AND(N4348&lt;&gt;N4347,ISNUMBER(SEARCH(Лист2!$B$6,N:N)),L4348=2),MAX($M$3:OFFSET(M4348,-1,0))+1,0)</f>
        <v>0</v>
      </c>
      <c r="N4348" s="3" t="s">
        <v>2705</v>
      </c>
    </row>
    <row r="4349" spans="1:14" x14ac:dyDescent="0.25">
      <c r="A4349" s="1" t="s">
        <v>13115</v>
      </c>
      <c r="B4349" s="3" t="s">
        <v>7973</v>
      </c>
      <c r="C4349" s="2">
        <f ca="1">IF(ISNUMBER(SEARCH(Лист2!$B$4,D:D)),MAX($C$3:OFFSET(C4349,-1,0))+1,0)</f>
        <v>0</v>
      </c>
      <c r="E4349" s="9" t="str">
        <f t="shared" ca="1" si="79"/>
        <v/>
      </c>
      <c r="F4349" s="4" t="s">
        <v>25</v>
      </c>
      <c r="G4349" s="2">
        <f>IF(ISNUMBER(SEARCH(Лист2!$B$4,F:F)),1,0)</f>
        <v>0</v>
      </c>
      <c r="H4349" s="3">
        <f ca="1">IF(AND(I4349&lt;&gt;I4348,ISNUMBER(SEARCH(Лист2!$B$5,I:I)),G4349=1),MAX($H$3:OFFSET(H4349,-1,0))+1,0)</f>
        <v>0</v>
      </c>
      <c r="I4349" s="3" t="s">
        <v>361</v>
      </c>
      <c r="K4349" s="2">
        <f>IF(ISNUMBER(SEARCH(Лист2!$B$4,F:F)),1,0)</f>
        <v>0</v>
      </c>
      <c r="L4349" s="14">
        <f>IF(ISNUMBER(SEARCH(Лист2!$B$5,I:I)),1,0)+K4349</f>
        <v>0</v>
      </c>
      <c r="M4349" s="3">
        <f ca="1">IF(AND(N4349&lt;&gt;N4348,ISNUMBER(SEARCH(Лист2!$B$6,N:N)),L4349=2),MAX($M$3:OFFSET(M4349,-1,0))+1,0)</f>
        <v>0</v>
      </c>
      <c r="N4349" s="3" t="s">
        <v>2727</v>
      </c>
    </row>
    <row r="4350" spans="1:14" x14ac:dyDescent="0.25">
      <c r="A4350" s="1" t="s">
        <v>13116</v>
      </c>
      <c r="B4350" s="3" t="s">
        <v>7974</v>
      </c>
      <c r="C4350" s="2">
        <f ca="1">IF(ISNUMBER(SEARCH(Лист2!$B$4,D:D)),MAX($C$3:OFFSET(C4350,-1,0))+1,0)</f>
        <v>0</v>
      </c>
      <c r="E4350" s="9" t="str">
        <f t="shared" ca="1" si="79"/>
        <v/>
      </c>
      <c r="F4350" s="4" t="s">
        <v>25</v>
      </c>
      <c r="G4350" s="2">
        <f>IF(ISNUMBER(SEARCH(Лист2!$B$4,F:F)),1,0)</f>
        <v>0</v>
      </c>
      <c r="H4350" s="3">
        <f ca="1">IF(AND(I4350&lt;&gt;I4349,ISNUMBER(SEARCH(Лист2!$B$5,I:I)),G4350=1),MAX($H$3:OFFSET(H4350,-1,0))+1,0)</f>
        <v>0</v>
      </c>
      <c r="I4350" s="3" t="s">
        <v>361</v>
      </c>
      <c r="K4350" s="2">
        <f>IF(ISNUMBER(SEARCH(Лист2!$B$4,F:F)),1,0)</f>
        <v>0</v>
      </c>
      <c r="L4350" s="14">
        <f>IF(ISNUMBER(SEARCH(Лист2!$B$5,I:I)),1,0)+K4350</f>
        <v>0</v>
      </c>
      <c r="M4350" s="3">
        <f ca="1">IF(AND(N4350&lt;&gt;N4349,ISNUMBER(SEARCH(Лист2!$B$6,N:N)),L4350=2),MAX($M$3:OFFSET(M4350,-1,0))+1,0)</f>
        <v>0</v>
      </c>
      <c r="N4350" s="3" t="s">
        <v>2728</v>
      </c>
    </row>
    <row r="4351" spans="1:14" x14ac:dyDescent="0.25">
      <c r="A4351" s="1" t="s">
        <v>13116</v>
      </c>
      <c r="B4351" s="3" t="s">
        <v>7975</v>
      </c>
      <c r="C4351" s="2">
        <f ca="1">IF(ISNUMBER(SEARCH(Лист2!$B$4,D:D)),MAX($C$3:OFFSET(C4351,-1,0))+1,0)</f>
        <v>0</v>
      </c>
      <c r="E4351" s="9" t="str">
        <f t="shared" ca="1" si="79"/>
        <v/>
      </c>
      <c r="F4351" s="4" t="s">
        <v>25</v>
      </c>
      <c r="G4351" s="2">
        <f>IF(ISNUMBER(SEARCH(Лист2!$B$4,F:F)),1,0)</f>
        <v>0</v>
      </c>
      <c r="H4351" s="3">
        <f ca="1">IF(AND(I4351&lt;&gt;I4350,ISNUMBER(SEARCH(Лист2!$B$5,I:I)),G4351=1),MAX($H$3:OFFSET(H4351,-1,0))+1,0)</f>
        <v>0</v>
      </c>
      <c r="I4351" s="3" t="s">
        <v>361</v>
      </c>
      <c r="K4351" s="2">
        <f>IF(ISNUMBER(SEARCH(Лист2!$B$4,F:F)),1,0)</f>
        <v>0</v>
      </c>
      <c r="L4351" s="14">
        <f>IF(ISNUMBER(SEARCH(Лист2!$B$5,I:I)),1,0)+K4351</f>
        <v>0</v>
      </c>
      <c r="M4351" s="3">
        <f ca="1">IF(AND(N4351&lt;&gt;N4350,ISNUMBER(SEARCH(Лист2!$B$6,N:N)),L4351=2),MAX($M$3:OFFSET(M4351,-1,0))+1,0)</f>
        <v>0</v>
      </c>
      <c r="N4351" s="3" t="s">
        <v>2728</v>
      </c>
    </row>
    <row r="4352" spans="1:14" x14ac:dyDescent="0.25">
      <c r="A4352" s="1" t="s">
        <v>13117</v>
      </c>
      <c r="B4352" s="3" t="s">
        <v>7976</v>
      </c>
      <c r="C4352" s="2">
        <f ca="1">IF(ISNUMBER(SEARCH(Лист2!$B$4,D:D)),MAX($C$3:OFFSET(C4352,-1,0))+1,0)</f>
        <v>0</v>
      </c>
      <c r="E4352" s="9" t="str">
        <f t="shared" ca="1" si="79"/>
        <v/>
      </c>
      <c r="F4352" s="4" t="s">
        <v>25</v>
      </c>
      <c r="G4352" s="2">
        <f>IF(ISNUMBER(SEARCH(Лист2!$B$4,F:F)),1,0)</f>
        <v>0</v>
      </c>
      <c r="H4352" s="3">
        <f ca="1">IF(AND(I4352&lt;&gt;I4351,ISNUMBER(SEARCH(Лист2!$B$5,I:I)),G4352=1),MAX($H$3:OFFSET(H4352,-1,0))+1,0)</f>
        <v>0</v>
      </c>
      <c r="I4352" s="3" t="s">
        <v>361</v>
      </c>
      <c r="K4352" s="2">
        <f>IF(ISNUMBER(SEARCH(Лист2!$B$4,F:F)),1,0)</f>
        <v>0</v>
      </c>
      <c r="L4352" s="14">
        <f>IF(ISNUMBER(SEARCH(Лист2!$B$5,I:I)),1,0)+K4352</f>
        <v>0</v>
      </c>
      <c r="M4352" s="3">
        <f ca="1">IF(AND(N4352&lt;&gt;N4351,ISNUMBER(SEARCH(Лист2!$B$6,N:N)),L4352=2),MAX($M$3:OFFSET(M4352,-1,0))+1,0)</f>
        <v>0</v>
      </c>
      <c r="N4352" s="3" t="s">
        <v>2729</v>
      </c>
    </row>
    <row r="4353" spans="1:14" x14ac:dyDescent="0.25">
      <c r="A4353" s="1" t="s">
        <v>13118</v>
      </c>
      <c r="B4353" s="3" t="s">
        <v>7977</v>
      </c>
      <c r="C4353" s="2">
        <f ca="1">IF(ISNUMBER(SEARCH(Лист2!$B$4,D:D)),MAX($C$3:OFFSET(C4353,-1,0))+1,0)</f>
        <v>0</v>
      </c>
      <c r="E4353" s="9" t="str">
        <f t="shared" ca="1" si="79"/>
        <v/>
      </c>
      <c r="F4353" s="4" t="s">
        <v>25</v>
      </c>
      <c r="G4353" s="2">
        <f>IF(ISNUMBER(SEARCH(Лист2!$B$4,F:F)),1,0)</f>
        <v>0</v>
      </c>
      <c r="H4353" s="3">
        <f ca="1">IF(AND(I4353&lt;&gt;I4352,ISNUMBER(SEARCH(Лист2!$B$5,I:I)),G4353=1),MAX($H$3:OFFSET(H4353,-1,0))+1,0)</f>
        <v>0</v>
      </c>
      <c r="I4353" s="3" t="s">
        <v>361</v>
      </c>
      <c r="K4353" s="2">
        <f>IF(ISNUMBER(SEARCH(Лист2!$B$4,F:F)),1,0)</f>
        <v>0</v>
      </c>
      <c r="L4353" s="14">
        <f>IF(ISNUMBER(SEARCH(Лист2!$B$5,I:I)),1,0)+K4353</f>
        <v>0</v>
      </c>
      <c r="M4353" s="3">
        <f ca="1">IF(AND(N4353&lt;&gt;N4352,ISNUMBER(SEARCH(Лист2!$B$6,N:N)),L4353=2),MAX($M$3:OFFSET(M4353,-1,0))+1,0)</f>
        <v>0</v>
      </c>
      <c r="N4353" s="3" t="s">
        <v>2730</v>
      </c>
    </row>
    <row r="4354" spans="1:14" x14ac:dyDescent="0.25">
      <c r="A4354" s="1" t="s">
        <v>13119</v>
      </c>
      <c r="B4354" s="3" t="s">
        <v>7978</v>
      </c>
      <c r="C4354" s="2">
        <f ca="1">IF(ISNUMBER(SEARCH(Лист2!$B$4,D:D)),MAX($C$3:OFFSET(C4354,-1,0))+1,0)</f>
        <v>0</v>
      </c>
      <c r="E4354" s="9" t="str">
        <f t="shared" ca="1" si="79"/>
        <v/>
      </c>
      <c r="F4354" s="4" t="s">
        <v>25</v>
      </c>
      <c r="G4354" s="2">
        <f>IF(ISNUMBER(SEARCH(Лист2!$B$4,F:F)),1,0)</f>
        <v>0</v>
      </c>
      <c r="H4354" s="3">
        <f ca="1">IF(AND(I4354&lt;&gt;I4353,ISNUMBER(SEARCH(Лист2!$B$5,I:I)),G4354=1),MAX($H$3:OFFSET(H4354,-1,0))+1,0)</f>
        <v>0</v>
      </c>
      <c r="I4354" s="3" t="s">
        <v>361</v>
      </c>
      <c r="K4354" s="2">
        <f>IF(ISNUMBER(SEARCH(Лист2!$B$4,F:F)),1,0)</f>
        <v>0</v>
      </c>
      <c r="L4354" s="14">
        <f>IF(ISNUMBER(SEARCH(Лист2!$B$5,I:I)),1,0)+K4354</f>
        <v>0</v>
      </c>
      <c r="M4354" s="3">
        <f ca="1">IF(AND(N4354&lt;&gt;N4353,ISNUMBER(SEARCH(Лист2!$B$6,N:N)),L4354=2),MAX($M$3:OFFSET(M4354,-1,0))+1,0)</f>
        <v>0</v>
      </c>
      <c r="N4354" s="3" t="s">
        <v>602</v>
      </c>
    </row>
    <row r="4355" spans="1:14" x14ac:dyDescent="0.25">
      <c r="A4355" s="1" t="s">
        <v>13120</v>
      </c>
      <c r="B4355" s="3" t="s">
        <v>7979</v>
      </c>
      <c r="C4355" s="2">
        <f ca="1">IF(ISNUMBER(SEARCH(Лист2!$B$4,D:D)),MAX($C$3:OFFSET(C4355,-1,0))+1,0)</f>
        <v>0</v>
      </c>
      <c r="E4355" s="9" t="str">
        <f t="shared" ca="1" si="79"/>
        <v/>
      </c>
      <c r="F4355" s="4" t="s">
        <v>25</v>
      </c>
      <c r="G4355" s="2">
        <f>IF(ISNUMBER(SEARCH(Лист2!$B$4,F:F)),1,0)</f>
        <v>0</v>
      </c>
      <c r="H4355" s="3">
        <f ca="1">IF(AND(I4355&lt;&gt;I4354,ISNUMBER(SEARCH(Лист2!$B$5,I:I)),G4355=1),MAX($H$3:OFFSET(H4355,-1,0))+1,0)</f>
        <v>0</v>
      </c>
      <c r="I4355" s="3" t="s">
        <v>361</v>
      </c>
      <c r="K4355" s="2">
        <f>IF(ISNUMBER(SEARCH(Лист2!$B$4,F:F)),1,0)</f>
        <v>0</v>
      </c>
      <c r="L4355" s="14">
        <f>IF(ISNUMBER(SEARCH(Лист2!$B$5,I:I)),1,0)+K4355</f>
        <v>0</v>
      </c>
      <c r="M4355" s="3">
        <f ca="1">IF(AND(N4355&lt;&gt;N4354,ISNUMBER(SEARCH(Лист2!$B$6,N:N)),L4355=2),MAX($M$3:OFFSET(M4355,-1,0))+1,0)</f>
        <v>0</v>
      </c>
      <c r="N4355" s="3" t="s">
        <v>2731</v>
      </c>
    </row>
    <row r="4356" spans="1:14" x14ac:dyDescent="0.25">
      <c r="A4356" s="1" t="s">
        <v>13121</v>
      </c>
      <c r="B4356" s="3" t="s">
        <v>7980</v>
      </c>
      <c r="C4356" s="2">
        <f ca="1">IF(ISNUMBER(SEARCH(Лист2!$B$4,D:D)),MAX($C$3:OFFSET(C4356,-1,0))+1,0)</f>
        <v>0</v>
      </c>
      <c r="E4356" s="9" t="str">
        <f t="shared" ca="1" si="79"/>
        <v/>
      </c>
      <c r="F4356" s="4" t="s">
        <v>25</v>
      </c>
      <c r="G4356" s="2">
        <f>IF(ISNUMBER(SEARCH(Лист2!$B$4,F:F)),1,0)</f>
        <v>0</v>
      </c>
      <c r="H4356" s="3">
        <f ca="1">IF(AND(I4356&lt;&gt;I4355,ISNUMBER(SEARCH(Лист2!$B$5,I:I)),G4356=1),MAX($H$3:OFFSET(H4356,-1,0))+1,0)</f>
        <v>0</v>
      </c>
      <c r="I4356" s="3" t="s">
        <v>361</v>
      </c>
      <c r="K4356" s="2">
        <f>IF(ISNUMBER(SEARCH(Лист2!$B$4,F:F)),1,0)</f>
        <v>0</v>
      </c>
      <c r="L4356" s="14">
        <f>IF(ISNUMBER(SEARCH(Лист2!$B$5,I:I)),1,0)+K4356</f>
        <v>0</v>
      </c>
      <c r="M4356" s="3">
        <f ca="1">IF(AND(N4356&lt;&gt;N4355,ISNUMBER(SEARCH(Лист2!$B$6,N:N)),L4356=2),MAX($M$3:OFFSET(M4356,-1,0))+1,0)</f>
        <v>0</v>
      </c>
      <c r="N4356" s="3" t="s">
        <v>2732</v>
      </c>
    </row>
    <row r="4357" spans="1:14" x14ac:dyDescent="0.25">
      <c r="A4357" s="1" t="s">
        <v>13122</v>
      </c>
      <c r="B4357" s="3" t="s">
        <v>7981</v>
      </c>
      <c r="C4357" s="2">
        <f ca="1">IF(ISNUMBER(SEARCH(Лист2!$B$4,D:D)),MAX($C$3:OFFSET(C4357,-1,0))+1,0)</f>
        <v>0</v>
      </c>
      <c r="E4357" s="9" t="str">
        <f t="shared" ref="E4357:E4420" ca="1" si="80">IFERROR(INDEX(D:D,MATCH(ROW(E4357)-ROW($E$3),C:C,0)),"")</f>
        <v/>
      </c>
      <c r="F4357" s="4" t="s">
        <v>25</v>
      </c>
      <c r="G4357" s="2">
        <f>IF(ISNUMBER(SEARCH(Лист2!$B$4,F:F)),1,0)</f>
        <v>0</v>
      </c>
      <c r="H4357" s="3">
        <f ca="1">IF(AND(I4357&lt;&gt;I4356,ISNUMBER(SEARCH(Лист2!$B$5,I:I)),G4357=1),MAX($H$3:OFFSET(H4357,-1,0))+1,0)</f>
        <v>0</v>
      </c>
      <c r="I4357" s="3" t="s">
        <v>361</v>
      </c>
      <c r="K4357" s="2">
        <f>IF(ISNUMBER(SEARCH(Лист2!$B$4,F:F)),1,0)</f>
        <v>0</v>
      </c>
      <c r="L4357" s="14">
        <f>IF(ISNUMBER(SEARCH(Лист2!$B$5,I:I)),1,0)+K4357</f>
        <v>0</v>
      </c>
      <c r="M4357" s="3">
        <f ca="1">IF(AND(N4357&lt;&gt;N4356,ISNUMBER(SEARCH(Лист2!$B$6,N:N)),L4357=2),MAX($M$3:OFFSET(M4357,-1,0))+1,0)</f>
        <v>0</v>
      </c>
      <c r="N4357" s="3" t="s">
        <v>620</v>
      </c>
    </row>
    <row r="4358" spans="1:14" x14ac:dyDescent="0.25">
      <c r="A4358" s="1" t="s">
        <v>13123</v>
      </c>
      <c r="B4358" s="3" t="s">
        <v>7982</v>
      </c>
      <c r="C4358" s="2">
        <f ca="1">IF(ISNUMBER(SEARCH(Лист2!$B$4,D:D)),MAX($C$3:OFFSET(C4358,-1,0))+1,0)</f>
        <v>0</v>
      </c>
      <c r="E4358" s="9" t="str">
        <f t="shared" ca="1" si="80"/>
        <v/>
      </c>
      <c r="F4358" s="4" t="s">
        <v>25</v>
      </c>
      <c r="G4358" s="2">
        <f>IF(ISNUMBER(SEARCH(Лист2!$B$4,F:F)),1,0)</f>
        <v>0</v>
      </c>
      <c r="H4358" s="3">
        <f ca="1">IF(AND(I4358&lt;&gt;I4357,ISNUMBER(SEARCH(Лист2!$B$5,I:I)),G4358=1),MAX($H$3:OFFSET(H4358,-1,0))+1,0)</f>
        <v>0</v>
      </c>
      <c r="I4358" s="3" t="s">
        <v>362</v>
      </c>
      <c r="K4358" s="2">
        <f>IF(ISNUMBER(SEARCH(Лист2!$B$4,F:F)),1,0)</f>
        <v>0</v>
      </c>
      <c r="L4358" s="14">
        <f>IF(ISNUMBER(SEARCH(Лист2!$B$5,I:I)),1,0)+K4358</f>
        <v>0</v>
      </c>
      <c r="M4358" s="3">
        <f ca="1">IF(AND(N4358&lt;&gt;N4357,ISNUMBER(SEARCH(Лист2!$B$6,N:N)),L4358=2),MAX($M$3:OFFSET(M4358,-1,0))+1,0)</f>
        <v>0</v>
      </c>
      <c r="N4358" s="3" t="s">
        <v>2705</v>
      </c>
    </row>
    <row r="4359" spans="1:14" x14ac:dyDescent="0.25">
      <c r="A4359" s="1" t="s">
        <v>13124</v>
      </c>
      <c r="B4359" s="3" t="s">
        <v>7983</v>
      </c>
      <c r="C4359" s="2">
        <f ca="1">IF(ISNUMBER(SEARCH(Лист2!$B$4,D:D)),MAX($C$3:OFFSET(C4359,-1,0))+1,0)</f>
        <v>0</v>
      </c>
      <c r="E4359" s="9" t="str">
        <f t="shared" ca="1" si="80"/>
        <v/>
      </c>
      <c r="F4359" s="4" t="s">
        <v>25</v>
      </c>
      <c r="G4359" s="2">
        <f>IF(ISNUMBER(SEARCH(Лист2!$B$4,F:F)),1,0)</f>
        <v>0</v>
      </c>
      <c r="H4359" s="3">
        <f ca="1">IF(AND(I4359&lt;&gt;I4358,ISNUMBER(SEARCH(Лист2!$B$5,I:I)),G4359=1),MAX($H$3:OFFSET(H4359,-1,0))+1,0)</f>
        <v>0</v>
      </c>
      <c r="I4359" s="3" t="s">
        <v>362</v>
      </c>
      <c r="K4359" s="2">
        <f>IF(ISNUMBER(SEARCH(Лист2!$B$4,F:F)),1,0)</f>
        <v>0</v>
      </c>
      <c r="L4359" s="14">
        <f>IF(ISNUMBER(SEARCH(Лист2!$B$5,I:I)),1,0)+K4359</f>
        <v>0</v>
      </c>
      <c r="M4359" s="3">
        <f ca="1">IF(AND(N4359&lt;&gt;N4358,ISNUMBER(SEARCH(Лист2!$B$6,N:N)),L4359=2),MAX($M$3:OFFSET(M4359,-1,0))+1,0)</f>
        <v>0</v>
      </c>
      <c r="N4359" s="3" t="s">
        <v>2733</v>
      </c>
    </row>
    <row r="4360" spans="1:14" x14ac:dyDescent="0.25">
      <c r="A4360" s="1" t="s">
        <v>13125</v>
      </c>
      <c r="B4360" s="3" t="s">
        <v>7984</v>
      </c>
      <c r="C4360" s="2">
        <f ca="1">IF(ISNUMBER(SEARCH(Лист2!$B$4,D:D)),MAX($C$3:OFFSET(C4360,-1,0))+1,0)</f>
        <v>0</v>
      </c>
      <c r="E4360" s="9" t="str">
        <f t="shared" ca="1" si="80"/>
        <v/>
      </c>
      <c r="F4360" s="4" t="s">
        <v>25</v>
      </c>
      <c r="G4360" s="2">
        <f>IF(ISNUMBER(SEARCH(Лист2!$B$4,F:F)),1,0)</f>
        <v>0</v>
      </c>
      <c r="H4360" s="3">
        <f ca="1">IF(AND(I4360&lt;&gt;I4359,ISNUMBER(SEARCH(Лист2!$B$5,I:I)),G4360=1),MAX($H$3:OFFSET(H4360,-1,0))+1,0)</f>
        <v>0</v>
      </c>
      <c r="I4360" s="3" t="s">
        <v>362</v>
      </c>
      <c r="K4360" s="2">
        <f>IF(ISNUMBER(SEARCH(Лист2!$B$4,F:F)),1,0)</f>
        <v>0</v>
      </c>
      <c r="L4360" s="14">
        <f>IF(ISNUMBER(SEARCH(Лист2!$B$5,I:I)),1,0)+K4360</f>
        <v>0</v>
      </c>
      <c r="M4360" s="3">
        <f ca="1">IF(AND(N4360&lt;&gt;N4359,ISNUMBER(SEARCH(Лист2!$B$6,N:N)),L4360=2),MAX($M$3:OFFSET(M4360,-1,0))+1,0)</f>
        <v>0</v>
      </c>
      <c r="N4360" s="3" t="s">
        <v>2734</v>
      </c>
    </row>
    <row r="4361" spans="1:14" x14ac:dyDescent="0.25">
      <c r="A4361" s="1" t="s">
        <v>13125</v>
      </c>
      <c r="B4361" s="3" t="s">
        <v>7985</v>
      </c>
      <c r="C4361" s="2">
        <f ca="1">IF(ISNUMBER(SEARCH(Лист2!$B$4,D:D)),MAX($C$3:OFFSET(C4361,-1,0))+1,0)</f>
        <v>0</v>
      </c>
      <c r="E4361" s="9" t="str">
        <f t="shared" ca="1" si="80"/>
        <v/>
      </c>
      <c r="F4361" s="4" t="s">
        <v>25</v>
      </c>
      <c r="G4361" s="2">
        <f>IF(ISNUMBER(SEARCH(Лист2!$B$4,F:F)),1,0)</f>
        <v>0</v>
      </c>
      <c r="H4361" s="3">
        <f ca="1">IF(AND(I4361&lt;&gt;I4360,ISNUMBER(SEARCH(Лист2!$B$5,I:I)),G4361=1),MAX($H$3:OFFSET(H4361,-1,0))+1,0)</f>
        <v>0</v>
      </c>
      <c r="I4361" s="3" t="s">
        <v>362</v>
      </c>
      <c r="K4361" s="2">
        <f>IF(ISNUMBER(SEARCH(Лист2!$B$4,F:F)),1,0)</f>
        <v>0</v>
      </c>
      <c r="L4361" s="14">
        <f>IF(ISNUMBER(SEARCH(Лист2!$B$5,I:I)),1,0)+K4361</f>
        <v>0</v>
      </c>
      <c r="M4361" s="3">
        <f ca="1">IF(AND(N4361&lt;&gt;N4360,ISNUMBER(SEARCH(Лист2!$B$6,N:N)),L4361=2),MAX($M$3:OFFSET(M4361,-1,0))+1,0)</f>
        <v>0</v>
      </c>
      <c r="N4361" s="3" t="s">
        <v>2734</v>
      </c>
    </row>
    <row r="4362" spans="1:14" x14ac:dyDescent="0.25">
      <c r="A4362" s="1" t="s">
        <v>13126</v>
      </c>
      <c r="B4362" s="3" t="s">
        <v>7986</v>
      </c>
      <c r="C4362" s="2">
        <f ca="1">IF(ISNUMBER(SEARCH(Лист2!$B$4,D:D)),MAX($C$3:OFFSET(C4362,-1,0))+1,0)</f>
        <v>0</v>
      </c>
      <c r="E4362" s="9" t="str">
        <f t="shared" ca="1" si="80"/>
        <v/>
      </c>
      <c r="F4362" s="4" t="s">
        <v>25</v>
      </c>
      <c r="G4362" s="2">
        <f>IF(ISNUMBER(SEARCH(Лист2!$B$4,F:F)),1,0)</f>
        <v>0</v>
      </c>
      <c r="H4362" s="3">
        <f ca="1">IF(AND(I4362&lt;&gt;I4361,ISNUMBER(SEARCH(Лист2!$B$5,I:I)),G4362=1),MAX($H$3:OFFSET(H4362,-1,0))+1,0)</f>
        <v>0</v>
      </c>
      <c r="I4362" s="3" t="s">
        <v>362</v>
      </c>
      <c r="K4362" s="2">
        <f>IF(ISNUMBER(SEARCH(Лист2!$B$4,F:F)),1,0)</f>
        <v>0</v>
      </c>
      <c r="L4362" s="14">
        <f>IF(ISNUMBER(SEARCH(Лист2!$B$5,I:I)),1,0)+K4362</f>
        <v>0</v>
      </c>
      <c r="M4362" s="3">
        <f ca="1">IF(AND(N4362&lt;&gt;N4361,ISNUMBER(SEARCH(Лист2!$B$6,N:N)),L4362=2),MAX($M$3:OFFSET(M4362,-1,0))+1,0)</f>
        <v>0</v>
      </c>
      <c r="N4362" s="3" t="s">
        <v>2735</v>
      </c>
    </row>
    <row r="4363" spans="1:14" x14ac:dyDescent="0.25">
      <c r="A4363" s="1" t="s">
        <v>13127</v>
      </c>
      <c r="B4363" s="3" t="s">
        <v>7987</v>
      </c>
      <c r="C4363" s="2">
        <f ca="1">IF(ISNUMBER(SEARCH(Лист2!$B$4,D:D)),MAX($C$3:OFFSET(C4363,-1,0))+1,0)</f>
        <v>0</v>
      </c>
      <c r="E4363" s="9" t="str">
        <f t="shared" ca="1" si="80"/>
        <v/>
      </c>
      <c r="F4363" s="4" t="s">
        <v>25</v>
      </c>
      <c r="G4363" s="2">
        <f>IF(ISNUMBER(SEARCH(Лист2!$B$4,F:F)),1,0)</f>
        <v>0</v>
      </c>
      <c r="H4363" s="3">
        <f ca="1">IF(AND(I4363&lt;&gt;I4362,ISNUMBER(SEARCH(Лист2!$B$5,I:I)),G4363=1),MAX($H$3:OFFSET(H4363,-1,0))+1,0)</f>
        <v>0</v>
      </c>
      <c r="I4363" s="3" t="s">
        <v>362</v>
      </c>
      <c r="K4363" s="2">
        <f>IF(ISNUMBER(SEARCH(Лист2!$B$4,F:F)),1,0)</f>
        <v>0</v>
      </c>
      <c r="L4363" s="14">
        <f>IF(ISNUMBER(SEARCH(Лист2!$B$5,I:I)),1,0)+K4363</f>
        <v>0</v>
      </c>
      <c r="M4363" s="3">
        <f ca="1">IF(AND(N4363&lt;&gt;N4362,ISNUMBER(SEARCH(Лист2!$B$6,N:N)),L4363=2),MAX($M$3:OFFSET(M4363,-1,0))+1,0)</f>
        <v>0</v>
      </c>
      <c r="N4363" s="3" t="s">
        <v>2736</v>
      </c>
    </row>
    <row r="4364" spans="1:14" x14ac:dyDescent="0.25">
      <c r="A4364" s="1" t="s">
        <v>13128</v>
      </c>
      <c r="B4364" s="3" t="s">
        <v>7988</v>
      </c>
      <c r="C4364" s="2">
        <f ca="1">IF(ISNUMBER(SEARCH(Лист2!$B$4,D:D)),MAX($C$3:OFFSET(C4364,-1,0))+1,0)</f>
        <v>0</v>
      </c>
      <c r="E4364" s="9" t="str">
        <f t="shared" ca="1" si="80"/>
        <v/>
      </c>
      <c r="F4364" s="4" t="s">
        <v>25</v>
      </c>
      <c r="G4364" s="2">
        <f>IF(ISNUMBER(SEARCH(Лист2!$B$4,F:F)),1,0)</f>
        <v>0</v>
      </c>
      <c r="H4364" s="3">
        <f ca="1">IF(AND(I4364&lt;&gt;I4363,ISNUMBER(SEARCH(Лист2!$B$5,I:I)),G4364=1),MAX($H$3:OFFSET(H4364,-1,0))+1,0)</f>
        <v>0</v>
      </c>
      <c r="I4364" s="3" t="s">
        <v>362</v>
      </c>
      <c r="K4364" s="2">
        <f>IF(ISNUMBER(SEARCH(Лист2!$B$4,F:F)),1,0)</f>
        <v>0</v>
      </c>
      <c r="L4364" s="14">
        <f>IF(ISNUMBER(SEARCH(Лист2!$B$5,I:I)),1,0)+K4364</f>
        <v>0</v>
      </c>
      <c r="M4364" s="3">
        <f ca="1">IF(AND(N4364&lt;&gt;N4363,ISNUMBER(SEARCH(Лист2!$B$6,N:N)),L4364=2),MAX($M$3:OFFSET(M4364,-1,0))+1,0)</f>
        <v>0</v>
      </c>
      <c r="N4364" s="3" t="s">
        <v>602</v>
      </c>
    </row>
    <row r="4365" spans="1:14" x14ac:dyDescent="0.25">
      <c r="A4365" s="1" t="s">
        <v>13129</v>
      </c>
      <c r="B4365" s="3" t="s">
        <v>7989</v>
      </c>
      <c r="C4365" s="2">
        <f ca="1">IF(ISNUMBER(SEARCH(Лист2!$B$4,D:D)),MAX($C$3:OFFSET(C4365,-1,0))+1,0)</f>
        <v>0</v>
      </c>
      <c r="E4365" s="9" t="str">
        <f t="shared" ca="1" si="80"/>
        <v/>
      </c>
      <c r="F4365" s="4" t="s">
        <v>25</v>
      </c>
      <c r="G4365" s="2">
        <f>IF(ISNUMBER(SEARCH(Лист2!$B$4,F:F)),1,0)</f>
        <v>0</v>
      </c>
      <c r="H4365" s="3">
        <f ca="1">IF(AND(I4365&lt;&gt;I4364,ISNUMBER(SEARCH(Лист2!$B$5,I:I)),G4365=1),MAX($H$3:OFFSET(H4365,-1,0))+1,0)</f>
        <v>0</v>
      </c>
      <c r="I4365" s="3" t="s">
        <v>362</v>
      </c>
      <c r="K4365" s="2">
        <f>IF(ISNUMBER(SEARCH(Лист2!$B$4,F:F)),1,0)</f>
        <v>0</v>
      </c>
      <c r="L4365" s="14">
        <f>IF(ISNUMBER(SEARCH(Лист2!$B$5,I:I)),1,0)+K4365</f>
        <v>0</v>
      </c>
      <c r="M4365" s="3">
        <f ca="1">IF(AND(N4365&lt;&gt;N4364,ISNUMBER(SEARCH(Лист2!$B$6,N:N)),L4365=2),MAX($M$3:OFFSET(M4365,-1,0))+1,0)</f>
        <v>0</v>
      </c>
      <c r="N4365" s="3" t="s">
        <v>2737</v>
      </c>
    </row>
    <row r="4366" spans="1:14" x14ac:dyDescent="0.25">
      <c r="A4366" s="1" t="s">
        <v>13130</v>
      </c>
      <c r="B4366" s="3" t="s">
        <v>7990</v>
      </c>
      <c r="C4366" s="2">
        <f ca="1">IF(ISNUMBER(SEARCH(Лист2!$B$4,D:D)),MAX($C$3:OFFSET(C4366,-1,0))+1,0)</f>
        <v>0</v>
      </c>
      <c r="E4366" s="9" t="str">
        <f t="shared" ca="1" si="80"/>
        <v/>
      </c>
      <c r="F4366" s="4" t="s">
        <v>26</v>
      </c>
      <c r="G4366" s="2">
        <f>IF(ISNUMBER(SEARCH(Лист2!$B$4,F:F)),1,0)</f>
        <v>0</v>
      </c>
      <c r="H4366" s="3">
        <f ca="1">IF(AND(I4366&lt;&gt;I4365,ISNUMBER(SEARCH(Лист2!$B$5,I:I)),G4366=1),MAX($H$3:OFFSET(H4366,-1,0))+1,0)</f>
        <v>0</v>
      </c>
      <c r="I4366" s="3" t="s">
        <v>363</v>
      </c>
      <c r="K4366" s="2">
        <f>IF(ISNUMBER(SEARCH(Лист2!$B$4,F:F)),1,0)</f>
        <v>0</v>
      </c>
      <c r="L4366" s="14">
        <f>IF(ISNUMBER(SEARCH(Лист2!$B$5,I:I)),1,0)+K4366</f>
        <v>0</v>
      </c>
      <c r="M4366" s="3">
        <f ca="1">IF(AND(N4366&lt;&gt;N4365,ISNUMBER(SEARCH(Лист2!$B$6,N:N)),L4366=2),MAX($M$3:OFFSET(M4366,-1,0))+1,0)</f>
        <v>0</v>
      </c>
      <c r="N4366" s="3" t="s">
        <v>2703</v>
      </c>
    </row>
    <row r="4367" spans="1:14" x14ac:dyDescent="0.25">
      <c r="A4367" s="1" t="s">
        <v>13131</v>
      </c>
      <c r="B4367" s="3" t="s">
        <v>7991</v>
      </c>
      <c r="C4367" s="2">
        <f ca="1">IF(ISNUMBER(SEARCH(Лист2!$B$4,D:D)),MAX($C$3:OFFSET(C4367,-1,0))+1,0)</f>
        <v>0</v>
      </c>
      <c r="E4367" s="9" t="str">
        <f t="shared" ca="1" si="80"/>
        <v/>
      </c>
      <c r="F4367" s="4" t="s">
        <v>26</v>
      </c>
      <c r="G4367" s="2">
        <f>IF(ISNUMBER(SEARCH(Лист2!$B$4,F:F)),1,0)</f>
        <v>0</v>
      </c>
      <c r="H4367" s="3">
        <f ca="1">IF(AND(I4367&lt;&gt;I4366,ISNUMBER(SEARCH(Лист2!$B$5,I:I)),G4367=1),MAX($H$3:OFFSET(H4367,-1,0))+1,0)</f>
        <v>0</v>
      </c>
      <c r="I4367" s="3" t="s">
        <v>363</v>
      </c>
      <c r="K4367" s="2">
        <f>IF(ISNUMBER(SEARCH(Лист2!$B$4,F:F)),1,0)</f>
        <v>0</v>
      </c>
      <c r="L4367" s="14">
        <f>IF(ISNUMBER(SEARCH(Лист2!$B$5,I:I)),1,0)+K4367</f>
        <v>0</v>
      </c>
      <c r="M4367" s="3">
        <f ca="1">IF(AND(N4367&lt;&gt;N4366,ISNUMBER(SEARCH(Лист2!$B$6,N:N)),L4367=2),MAX($M$3:OFFSET(M4367,-1,0))+1,0)</f>
        <v>0</v>
      </c>
      <c r="N4367" s="3" t="s">
        <v>2704</v>
      </c>
    </row>
    <row r="4368" spans="1:14" x14ac:dyDescent="0.25">
      <c r="A4368" s="1" t="s">
        <v>13132</v>
      </c>
      <c r="B4368" s="3" t="s">
        <v>7992</v>
      </c>
      <c r="C4368" s="2">
        <f ca="1">IF(ISNUMBER(SEARCH(Лист2!$B$4,D:D)),MAX($C$3:OFFSET(C4368,-1,0))+1,0)</f>
        <v>0</v>
      </c>
      <c r="E4368" s="9" t="str">
        <f t="shared" ca="1" si="80"/>
        <v/>
      </c>
      <c r="F4368" s="4" t="s">
        <v>26</v>
      </c>
      <c r="G4368" s="2">
        <f>IF(ISNUMBER(SEARCH(Лист2!$B$4,F:F)),1,0)</f>
        <v>0</v>
      </c>
      <c r="H4368" s="3">
        <f ca="1">IF(AND(I4368&lt;&gt;I4367,ISNUMBER(SEARCH(Лист2!$B$5,I:I)),G4368=1),MAX($H$3:OFFSET(H4368,-1,0))+1,0)</f>
        <v>0</v>
      </c>
      <c r="I4368" s="3" t="s">
        <v>363</v>
      </c>
      <c r="K4368" s="2">
        <f>IF(ISNUMBER(SEARCH(Лист2!$B$4,F:F)),1,0)</f>
        <v>0</v>
      </c>
      <c r="L4368" s="14">
        <f>IF(ISNUMBER(SEARCH(Лист2!$B$5,I:I)),1,0)+K4368</f>
        <v>0</v>
      </c>
      <c r="M4368" s="3">
        <f ca="1">IF(AND(N4368&lt;&gt;N4367,ISNUMBER(SEARCH(Лист2!$B$6,N:N)),L4368=2),MAX($M$3:OFFSET(M4368,-1,0))+1,0)</f>
        <v>0</v>
      </c>
      <c r="N4368" s="3" t="s">
        <v>2705</v>
      </c>
    </row>
    <row r="4369" spans="1:14" x14ac:dyDescent="0.25">
      <c r="A4369" s="1" t="s">
        <v>13133</v>
      </c>
      <c r="B4369" s="3" t="s">
        <v>7993</v>
      </c>
      <c r="C4369" s="2">
        <f ca="1">IF(ISNUMBER(SEARCH(Лист2!$B$4,D:D)),MAX($C$3:OFFSET(C4369,-1,0))+1,0)</f>
        <v>0</v>
      </c>
      <c r="E4369" s="9" t="str">
        <f t="shared" ca="1" si="80"/>
        <v/>
      </c>
      <c r="F4369" s="4" t="s">
        <v>26</v>
      </c>
      <c r="G4369" s="2">
        <f>IF(ISNUMBER(SEARCH(Лист2!$B$4,F:F)),1,0)</f>
        <v>0</v>
      </c>
      <c r="H4369" s="3">
        <f ca="1">IF(AND(I4369&lt;&gt;I4368,ISNUMBER(SEARCH(Лист2!$B$5,I:I)),G4369=1),MAX($H$3:OFFSET(H4369,-1,0))+1,0)</f>
        <v>0</v>
      </c>
      <c r="I4369" s="3" t="s">
        <v>363</v>
      </c>
      <c r="K4369" s="2">
        <f>IF(ISNUMBER(SEARCH(Лист2!$B$4,F:F)),1,0)</f>
        <v>0</v>
      </c>
      <c r="L4369" s="14">
        <f>IF(ISNUMBER(SEARCH(Лист2!$B$5,I:I)),1,0)+K4369</f>
        <v>0</v>
      </c>
      <c r="M4369" s="3">
        <f ca="1">IF(AND(N4369&lt;&gt;N4368,ISNUMBER(SEARCH(Лист2!$B$6,N:N)),L4369=2),MAX($M$3:OFFSET(M4369,-1,0))+1,0)</f>
        <v>0</v>
      </c>
      <c r="N4369" s="3" t="s">
        <v>2738</v>
      </c>
    </row>
    <row r="4370" spans="1:14" x14ac:dyDescent="0.25">
      <c r="A4370" s="1" t="s">
        <v>13133</v>
      </c>
      <c r="B4370" s="3" t="s">
        <v>7994</v>
      </c>
      <c r="C4370" s="2">
        <f ca="1">IF(ISNUMBER(SEARCH(Лист2!$B$4,D:D)),MAX($C$3:OFFSET(C4370,-1,0))+1,0)</f>
        <v>0</v>
      </c>
      <c r="E4370" s="9" t="str">
        <f t="shared" ca="1" si="80"/>
        <v/>
      </c>
      <c r="F4370" s="4" t="s">
        <v>26</v>
      </c>
      <c r="G4370" s="2">
        <f>IF(ISNUMBER(SEARCH(Лист2!$B$4,F:F)),1,0)</f>
        <v>0</v>
      </c>
      <c r="H4370" s="3">
        <f ca="1">IF(AND(I4370&lt;&gt;I4369,ISNUMBER(SEARCH(Лист2!$B$5,I:I)),G4370=1),MAX($H$3:OFFSET(H4370,-1,0))+1,0)</f>
        <v>0</v>
      </c>
      <c r="I4370" s="3" t="s">
        <v>363</v>
      </c>
      <c r="K4370" s="2">
        <f>IF(ISNUMBER(SEARCH(Лист2!$B$4,F:F)),1,0)</f>
        <v>0</v>
      </c>
      <c r="L4370" s="14">
        <f>IF(ISNUMBER(SEARCH(Лист2!$B$5,I:I)),1,0)+K4370</f>
        <v>0</v>
      </c>
      <c r="M4370" s="3">
        <f ca="1">IF(AND(N4370&lt;&gt;N4369,ISNUMBER(SEARCH(Лист2!$B$6,N:N)),L4370=2),MAX($M$3:OFFSET(M4370,-1,0))+1,0)</f>
        <v>0</v>
      </c>
      <c r="N4370" s="3" t="s">
        <v>2738</v>
      </c>
    </row>
    <row r="4371" spans="1:14" x14ac:dyDescent="0.25">
      <c r="A4371" s="1" t="s">
        <v>13133</v>
      </c>
      <c r="B4371" s="3" t="s">
        <v>7995</v>
      </c>
      <c r="C4371" s="2">
        <f ca="1">IF(ISNUMBER(SEARCH(Лист2!$B$4,D:D)),MAX($C$3:OFFSET(C4371,-1,0))+1,0)</f>
        <v>0</v>
      </c>
      <c r="E4371" s="9" t="str">
        <f t="shared" ca="1" si="80"/>
        <v/>
      </c>
      <c r="F4371" s="4" t="s">
        <v>26</v>
      </c>
      <c r="G4371" s="2">
        <f>IF(ISNUMBER(SEARCH(Лист2!$B$4,F:F)),1,0)</f>
        <v>0</v>
      </c>
      <c r="H4371" s="3">
        <f ca="1">IF(AND(I4371&lt;&gt;I4370,ISNUMBER(SEARCH(Лист2!$B$5,I:I)),G4371=1),MAX($H$3:OFFSET(H4371,-1,0))+1,0)</f>
        <v>0</v>
      </c>
      <c r="I4371" s="3" t="s">
        <v>363</v>
      </c>
      <c r="K4371" s="2">
        <f>IF(ISNUMBER(SEARCH(Лист2!$B$4,F:F)),1,0)</f>
        <v>0</v>
      </c>
      <c r="L4371" s="14">
        <f>IF(ISNUMBER(SEARCH(Лист2!$B$5,I:I)),1,0)+K4371</f>
        <v>0</v>
      </c>
      <c r="M4371" s="3">
        <f ca="1">IF(AND(N4371&lt;&gt;N4370,ISNUMBER(SEARCH(Лист2!$B$6,N:N)),L4371=2),MAX($M$3:OFFSET(M4371,-1,0))+1,0)</f>
        <v>0</v>
      </c>
      <c r="N4371" s="3" t="s">
        <v>2738</v>
      </c>
    </row>
    <row r="4372" spans="1:14" x14ac:dyDescent="0.25">
      <c r="A4372" s="1" t="s">
        <v>13134</v>
      </c>
      <c r="B4372" s="3" t="s">
        <v>7996</v>
      </c>
      <c r="C4372" s="2">
        <f ca="1">IF(ISNUMBER(SEARCH(Лист2!$B$4,D:D)),MAX($C$3:OFFSET(C4372,-1,0))+1,0)</f>
        <v>0</v>
      </c>
      <c r="E4372" s="9" t="str">
        <f t="shared" ca="1" si="80"/>
        <v/>
      </c>
      <c r="F4372" s="4" t="s">
        <v>26</v>
      </c>
      <c r="G4372" s="2">
        <f>IF(ISNUMBER(SEARCH(Лист2!$B$4,F:F)),1,0)</f>
        <v>0</v>
      </c>
      <c r="H4372" s="3">
        <f ca="1">IF(AND(I4372&lt;&gt;I4371,ISNUMBER(SEARCH(Лист2!$B$5,I:I)),G4372=1),MAX($H$3:OFFSET(H4372,-1,0))+1,0)</f>
        <v>0</v>
      </c>
      <c r="I4372" s="3" t="s">
        <v>363</v>
      </c>
      <c r="K4372" s="2">
        <f>IF(ISNUMBER(SEARCH(Лист2!$B$4,F:F)),1,0)</f>
        <v>0</v>
      </c>
      <c r="L4372" s="14">
        <f>IF(ISNUMBER(SEARCH(Лист2!$B$5,I:I)),1,0)+K4372</f>
        <v>0</v>
      </c>
      <c r="M4372" s="3">
        <f ca="1">IF(AND(N4372&lt;&gt;N4371,ISNUMBER(SEARCH(Лист2!$B$6,N:N)),L4372=2),MAX($M$3:OFFSET(M4372,-1,0))+1,0)</f>
        <v>0</v>
      </c>
      <c r="N4372" s="3" t="s">
        <v>2739</v>
      </c>
    </row>
    <row r="4373" spans="1:14" x14ac:dyDescent="0.25">
      <c r="A4373" s="1" t="s">
        <v>13134</v>
      </c>
      <c r="B4373" s="3" t="s">
        <v>7997</v>
      </c>
      <c r="C4373" s="2">
        <f ca="1">IF(ISNUMBER(SEARCH(Лист2!$B$4,D:D)),MAX($C$3:OFFSET(C4373,-1,0))+1,0)</f>
        <v>0</v>
      </c>
      <c r="E4373" s="9" t="str">
        <f t="shared" ca="1" si="80"/>
        <v/>
      </c>
      <c r="F4373" s="4" t="s">
        <v>26</v>
      </c>
      <c r="G4373" s="2">
        <f>IF(ISNUMBER(SEARCH(Лист2!$B$4,F:F)),1,0)</f>
        <v>0</v>
      </c>
      <c r="H4373" s="3">
        <f ca="1">IF(AND(I4373&lt;&gt;I4372,ISNUMBER(SEARCH(Лист2!$B$5,I:I)),G4373=1),MAX($H$3:OFFSET(H4373,-1,0))+1,0)</f>
        <v>0</v>
      </c>
      <c r="I4373" s="3" t="s">
        <v>363</v>
      </c>
      <c r="K4373" s="2">
        <f>IF(ISNUMBER(SEARCH(Лист2!$B$4,F:F)),1,0)</f>
        <v>0</v>
      </c>
      <c r="L4373" s="14">
        <f>IF(ISNUMBER(SEARCH(Лист2!$B$5,I:I)),1,0)+K4373</f>
        <v>0</v>
      </c>
      <c r="M4373" s="3">
        <f ca="1">IF(AND(N4373&lt;&gt;N4372,ISNUMBER(SEARCH(Лист2!$B$6,N:N)),L4373=2),MAX($M$3:OFFSET(M4373,-1,0))+1,0)</f>
        <v>0</v>
      </c>
      <c r="N4373" s="3" t="s">
        <v>2739</v>
      </c>
    </row>
    <row r="4374" spans="1:14" x14ac:dyDescent="0.25">
      <c r="A4374" s="1" t="s">
        <v>13134</v>
      </c>
      <c r="B4374" s="3" t="s">
        <v>7998</v>
      </c>
      <c r="C4374" s="2">
        <f ca="1">IF(ISNUMBER(SEARCH(Лист2!$B$4,D:D)),MAX($C$3:OFFSET(C4374,-1,0))+1,0)</f>
        <v>0</v>
      </c>
      <c r="E4374" s="9" t="str">
        <f t="shared" ca="1" si="80"/>
        <v/>
      </c>
      <c r="F4374" s="4" t="s">
        <v>26</v>
      </c>
      <c r="G4374" s="2">
        <f>IF(ISNUMBER(SEARCH(Лист2!$B$4,F:F)),1,0)</f>
        <v>0</v>
      </c>
      <c r="H4374" s="3">
        <f ca="1">IF(AND(I4374&lt;&gt;I4373,ISNUMBER(SEARCH(Лист2!$B$5,I:I)),G4374=1),MAX($H$3:OFFSET(H4374,-1,0))+1,0)</f>
        <v>0</v>
      </c>
      <c r="I4374" s="3" t="s">
        <v>363</v>
      </c>
      <c r="K4374" s="2">
        <f>IF(ISNUMBER(SEARCH(Лист2!$B$4,F:F)),1,0)</f>
        <v>0</v>
      </c>
      <c r="L4374" s="14">
        <f>IF(ISNUMBER(SEARCH(Лист2!$B$5,I:I)),1,0)+K4374</f>
        <v>0</v>
      </c>
      <c r="M4374" s="3">
        <f ca="1">IF(AND(N4374&lt;&gt;N4373,ISNUMBER(SEARCH(Лист2!$B$6,N:N)),L4374=2),MAX($M$3:OFFSET(M4374,-1,0))+1,0)</f>
        <v>0</v>
      </c>
      <c r="N4374" s="3" t="s">
        <v>2739</v>
      </c>
    </row>
    <row r="4375" spans="1:14" x14ac:dyDescent="0.25">
      <c r="A4375" s="1" t="s">
        <v>13135</v>
      </c>
      <c r="B4375" s="3" t="s">
        <v>7999</v>
      </c>
      <c r="C4375" s="2">
        <f ca="1">IF(ISNUMBER(SEARCH(Лист2!$B$4,D:D)),MAX($C$3:OFFSET(C4375,-1,0))+1,0)</f>
        <v>0</v>
      </c>
      <c r="E4375" s="9" t="str">
        <f t="shared" ca="1" si="80"/>
        <v/>
      </c>
      <c r="F4375" s="4" t="s">
        <v>26</v>
      </c>
      <c r="G4375" s="2">
        <f>IF(ISNUMBER(SEARCH(Лист2!$B$4,F:F)),1,0)</f>
        <v>0</v>
      </c>
      <c r="H4375" s="3">
        <f ca="1">IF(AND(I4375&lt;&gt;I4374,ISNUMBER(SEARCH(Лист2!$B$5,I:I)),G4375=1),MAX($H$3:OFFSET(H4375,-1,0))+1,0)</f>
        <v>0</v>
      </c>
      <c r="I4375" s="3" t="s">
        <v>363</v>
      </c>
      <c r="K4375" s="2">
        <f>IF(ISNUMBER(SEARCH(Лист2!$B$4,F:F)),1,0)</f>
        <v>0</v>
      </c>
      <c r="L4375" s="14">
        <f>IF(ISNUMBER(SEARCH(Лист2!$B$5,I:I)),1,0)+K4375</f>
        <v>0</v>
      </c>
      <c r="M4375" s="3">
        <f ca="1">IF(AND(N4375&lt;&gt;N4374,ISNUMBER(SEARCH(Лист2!$B$6,N:N)),L4375=2),MAX($M$3:OFFSET(M4375,-1,0))+1,0)</f>
        <v>0</v>
      </c>
      <c r="N4375" s="3" t="s">
        <v>2740</v>
      </c>
    </row>
    <row r="4376" spans="1:14" x14ac:dyDescent="0.25">
      <c r="A4376" s="1" t="s">
        <v>13135</v>
      </c>
      <c r="B4376" s="3" t="s">
        <v>8000</v>
      </c>
      <c r="C4376" s="2">
        <f ca="1">IF(ISNUMBER(SEARCH(Лист2!$B$4,D:D)),MAX($C$3:OFFSET(C4376,-1,0))+1,0)</f>
        <v>0</v>
      </c>
      <c r="E4376" s="9" t="str">
        <f t="shared" ca="1" si="80"/>
        <v/>
      </c>
      <c r="F4376" s="4" t="s">
        <v>26</v>
      </c>
      <c r="G4376" s="2">
        <f>IF(ISNUMBER(SEARCH(Лист2!$B$4,F:F)),1,0)</f>
        <v>0</v>
      </c>
      <c r="H4376" s="3">
        <f ca="1">IF(AND(I4376&lt;&gt;I4375,ISNUMBER(SEARCH(Лист2!$B$5,I:I)),G4376=1),MAX($H$3:OFFSET(H4376,-1,0))+1,0)</f>
        <v>0</v>
      </c>
      <c r="I4376" s="3" t="s">
        <v>363</v>
      </c>
      <c r="K4376" s="2">
        <f>IF(ISNUMBER(SEARCH(Лист2!$B$4,F:F)),1,0)</f>
        <v>0</v>
      </c>
      <c r="L4376" s="14">
        <f>IF(ISNUMBER(SEARCH(Лист2!$B$5,I:I)),1,0)+K4376</f>
        <v>0</v>
      </c>
      <c r="M4376" s="3">
        <f ca="1">IF(AND(N4376&lt;&gt;N4375,ISNUMBER(SEARCH(Лист2!$B$6,N:N)),L4376=2),MAX($M$3:OFFSET(M4376,-1,0))+1,0)</f>
        <v>0</v>
      </c>
      <c r="N4376" s="3" t="s">
        <v>2740</v>
      </c>
    </row>
    <row r="4377" spans="1:14" x14ac:dyDescent="0.25">
      <c r="A4377" s="1" t="s">
        <v>13135</v>
      </c>
      <c r="B4377" s="3" t="s">
        <v>8001</v>
      </c>
      <c r="C4377" s="2">
        <f ca="1">IF(ISNUMBER(SEARCH(Лист2!$B$4,D:D)),MAX($C$3:OFFSET(C4377,-1,0))+1,0)</f>
        <v>0</v>
      </c>
      <c r="E4377" s="9" t="str">
        <f t="shared" ca="1" si="80"/>
        <v/>
      </c>
      <c r="F4377" s="4" t="s">
        <v>26</v>
      </c>
      <c r="G4377" s="2">
        <f>IF(ISNUMBER(SEARCH(Лист2!$B$4,F:F)),1,0)</f>
        <v>0</v>
      </c>
      <c r="H4377" s="3">
        <f ca="1">IF(AND(I4377&lt;&gt;I4376,ISNUMBER(SEARCH(Лист2!$B$5,I:I)),G4377=1),MAX($H$3:OFFSET(H4377,-1,0))+1,0)</f>
        <v>0</v>
      </c>
      <c r="I4377" s="3" t="s">
        <v>363</v>
      </c>
      <c r="K4377" s="2">
        <f>IF(ISNUMBER(SEARCH(Лист2!$B$4,F:F)),1,0)</f>
        <v>0</v>
      </c>
      <c r="L4377" s="14">
        <f>IF(ISNUMBER(SEARCH(Лист2!$B$5,I:I)),1,0)+K4377</f>
        <v>0</v>
      </c>
      <c r="M4377" s="3">
        <f ca="1">IF(AND(N4377&lt;&gt;N4376,ISNUMBER(SEARCH(Лист2!$B$6,N:N)),L4377=2),MAX($M$3:OFFSET(M4377,-1,0))+1,0)</f>
        <v>0</v>
      </c>
      <c r="N4377" s="3" t="s">
        <v>2740</v>
      </c>
    </row>
    <row r="4378" spans="1:14" x14ac:dyDescent="0.25">
      <c r="A4378" s="1" t="s">
        <v>13136</v>
      </c>
      <c r="B4378" s="3" t="s">
        <v>8002</v>
      </c>
      <c r="C4378" s="2">
        <f ca="1">IF(ISNUMBER(SEARCH(Лист2!$B$4,D:D)),MAX($C$3:OFFSET(C4378,-1,0))+1,0)</f>
        <v>0</v>
      </c>
      <c r="E4378" s="9" t="str">
        <f t="shared" ca="1" si="80"/>
        <v/>
      </c>
      <c r="F4378" s="4" t="s">
        <v>26</v>
      </c>
      <c r="G4378" s="2">
        <f>IF(ISNUMBER(SEARCH(Лист2!$B$4,F:F)),1,0)</f>
        <v>0</v>
      </c>
      <c r="H4378" s="3">
        <f ca="1">IF(AND(I4378&lt;&gt;I4377,ISNUMBER(SEARCH(Лист2!$B$5,I:I)),G4378=1),MAX($H$3:OFFSET(H4378,-1,0))+1,0)</f>
        <v>0</v>
      </c>
      <c r="I4378" s="3" t="s">
        <v>363</v>
      </c>
      <c r="K4378" s="2">
        <f>IF(ISNUMBER(SEARCH(Лист2!$B$4,F:F)),1,0)</f>
        <v>0</v>
      </c>
      <c r="L4378" s="14">
        <f>IF(ISNUMBER(SEARCH(Лист2!$B$5,I:I)),1,0)+K4378</f>
        <v>0</v>
      </c>
      <c r="M4378" s="3">
        <f ca="1">IF(AND(N4378&lt;&gt;N4377,ISNUMBER(SEARCH(Лист2!$B$6,N:N)),L4378=2),MAX($M$3:OFFSET(M4378,-1,0))+1,0)</f>
        <v>0</v>
      </c>
      <c r="N4378" s="3" t="s">
        <v>2741</v>
      </c>
    </row>
    <row r="4379" spans="1:14" x14ac:dyDescent="0.25">
      <c r="A4379" s="1" t="s">
        <v>13137</v>
      </c>
      <c r="B4379" s="3" t="s">
        <v>8003</v>
      </c>
      <c r="C4379" s="2">
        <f ca="1">IF(ISNUMBER(SEARCH(Лист2!$B$4,D:D)),MAX($C$3:OFFSET(C4379,-1,0))+1,0)</f>
        <v>0</v>
      </c>
      <c r="E4379" s="9" t="str">
        <f t="shared" ca="1" si="80"/>
        <v/>
      </c>
      <c r="F4379" s="4" t="s">
        <v>26</v>
      </c>
      <c r="G4379" s="2">
        <f>IF(ISNUMBER(SEARCH(Лист2!$B$4,F:F)),1,0)</f>
        <v>0</v>
      </c>
      <c r="H4379" s="3">
        <f ca="1">IF(AND(I4379&lt;&gt;I4378,ISNUMBER(SEARCH(Лист2!$B$5,I:I)),G4379=1),MAX($H$3:OFFSET(H4379,-1,0))+1,0)</f>
        <v>0</v>
      </c>
      <c r="I4379" s="3" t="s">
        <v>363</v>
      </c>
      <c r="K4379" s="2">
        <f>IF(ISNUMBER(SEARCH(Лист2!$B$4,F:F)),1,0)</f>
        <v>0</v>
      </c>
      <c r="L4379" s="14">
        <f>IF(ISNUMBER(SEARCH(Лист2!$B$5,I:I)),1,0)+K4379</f>
        <v>0</v>
      </c>
      <c r="M4379" s="3">
        <f ca="1">IF(AND(N4379&lt;&gt;N4378,ISNUMBER(SEARCH(Лист2!$B$6,N:N)),L4379=2),MAX($M$3:OFFSET(M4379,-1,0))+1,0)</f>
        <v>0</v>
      </c>
      <c r="N4379" s="3" t="s">
        <v>2742</v>
      </c>
    </row>
    <row r="4380" spans="1:14" x14ac:dyDescent="0.25">
      <c r="A4380" s="1" t="s">
        <v>13138</v>
      </c>
      <c r="B4380" s="3" t="s">
        <v>8004</v>
      </c>
      <c r="C4380" s="2">
        <f ca="1">IF(ISNUMBER(SEARCH(Лист2!$B$4,D:D)),MAX($C$3:OFFSET(C4380,-1,0))+1,0)</f>
        <v>0</v>
      </c>
      <c r="E4380" s="9" t="str">
        <f t="shared" ca="1" si="80"/>
        <v/>
      </c>
      <c r="F4380" s="4" t="s">
        <v>26</v>
      </c>
      <c r="G4380" s="2">
        <f>IF(ISNUMBER(SEARCH(Лист2!$B$4,F:F)),1,0)</f>
        <v>0</v>
      </c>
      <c r="H4380" s="3">
        <f ca="1">IF(AND(I4380&lt;&gt;I4379,ISNUMBER(SEARCH(Лист2!$B$5,I:I)),G4380=1),MAX($H$3:OFFSET(H4380,-1,0))+1,0)</f>
        <v>0</v>
      </c>
      <c r="I4380" s="3" t="s">
        <v>364</v>
      </c>
      <c r="K4380" s="2">
        <f>IF(ISNUMBER(SEARCH(Лист2!$B$4,F:F)),1,0)</f>
        <v>0</v>
      </c>
      <c r="L4380" s="14">
        <f>IF(ISNUMBER(SEARCH(Лист2!$B$5,I:I)),1,0)+K4380</f>
        <v>0</v>
      </c>
      <c r="M4380" s="3">
        <f ca="1">IF(AND(N4380&lt;&gt;N4379,ISNUMBER(SEARCH(Лист2!$B$6,N:N)),L4380=2),MAX($M$3:OFFSET(M4380,-1,0))+1,0)</f>
        <v>0</v>
      </c>
      <c r="N4380" s="3" t="s">
        <v>2703</v>
      </c>
    </row>
    <row r="4381" spans="1:14" x14ac:dyDescent="0.25">
      <c r="A4381" s="1" t="s">
        <v>13139</v>
      </c>
      <c r="B4381" s="3" t="s">
        <v>8005</v>
      </c>
      <c r="C4381" s="2">
        <f ca="1">IF(ISNUMBER(SEARCH(Лист2!$B$4,D:D)),MAX($C$3:OFFSET(C4381,-1,0))+1,0)</f>
        <v>0</v>
      </c>
      <c r="E4381" s="9" t="str">
        <f t="shared" ca="1" si="80"/>
        <v/>
      </c>
      <c r="F4381" s="4" t="s">
        <v>26</v>
      </c>
      <c r="G4381" s="2">
        <f>IF(ISNUMBER(SEARCH(Лист2!$B$4,F:F)),1,0)</f>
        <v>0</v>
      </c>
      <c r="H4381" s="3">
        <f ca="1">IF(AND(I4381&lt;&gt;I4380,ISNUMBER(SEARCH(Лист2!$B$5,I:I)),G4381=1),MAX($H$3:OFFSET(H4381,-1,0))+1,0)</f>
        <v>0</v>
      </c>
      <c r="I4381" s="3" t="s">
        <v>364</v>
      </c>
      <c r="K4381" s="2">
        <f>IF(ISNUMBER(SEARCH(Лист2!$B$4,F:F)),1,0)</f>
        <v>0</v>
      </c>
      <c r="L4381" s="14">
        <f>IF(ISNUMBER(SEARCH(Лист2!$B$5,I:I)),1,0)+K4381</f>
        <v>0</v>
      </c>
      <c r="M4381" s="3">
        <f ca="1">IF(AND(N4381&lt;&gt;N4380,ISNUMBER(SEARCH(Лист2!$B$6,N:N)),L4381=2),MAX($M$3:OFFSET(M4381,-1,0))+1,0)</f>
        <v>0</v>
      </c>
      <c r="N4381" s="3" t="s">
        <v>2704</v>
      </c>
    </row>
    <row r="4382" spans="1:14" x14ac:dyDescent="0.25">
      <c r="A4382" s="1" t="s">
        <v>13140</v>
      </c>
      <c r="B4382" s="3" t="s">
        <v>8006</v>
      </c>
      <c r="C4382" s="2">
        <f ca="1">IF(ISNUMBER(SEARCH(Лист2!$B$4,D:D)),MAX($C$3:OFFSET(C4382,-1,0))+1,0)</f>
        <v>0</v>
      </c>
      <c r="E4382" s="9" t="str">
        <f t="shared" ca="1" si="80"/>
        <v/>
      </c>
      <c r="F4382" s="4" t="s">
        <v>26</v>
      </c>
      <c r="G4382" s="2">
        <f>IF(ISNUMBER(SEARCH(Лист2!$B$4,F:F)),1,0)</f>
        <v>0</v>
      </c>
      <c r="H4382" s="3">
        <f ca="1">IF(AND(I4382&lt;&gt;I4381,ISNUMBER(SEARCH(Лист2!$B$5,I:I)),G4382=1),MAX($H$3:OFFSET(H4382,-1,0))+1,0)</f>
        <v>0</v>
      </c>
      <c r="I4382" s="3" t="s">
        <v>364</v>
      </c>
      <c r="K4382" s="2">
        <f>IF(ISNUMBER(SEARCH(Лист2!$B$4,F:F)),1,0)</f>
        <v>0</v>
      </c>
      <c r="L4382" s="14">
        <f>IF(ISNUMBER(SEARCH(Лист2!$B$5,I:I)),1,0)+K4382</f>
        <v>0</v>
      </c>
      <c r="M4382" s="3">
        <f ca="1">IF(AND(N4382&lt;&gt;N4381,ISNUMBER(SEARCH(Лист2!$B$6,N:N)),L4382=2),MAX($M$3:OFFSET(M4382,-1,0))+1,0)</f>
        <v>0</v>
      </c>
      <c r="N4382" s="3" t="s">
        <v>2705</v>
      </c>
    </row>
    <row r="4383" spans="1:14" x14ac:dyDescent="0.25">
      <c r="A4383" s="1" t="s">
        <v>13141</v>
      </c>
      <c r="B4383" s="3" t="s">
        <v>8007</v>
      </c>
      <c r="C4383" s="2">
        <f ca="1">IF(ISNUMBER(SEARCH(Лист2!$B$4,D:D)),MAX($C$3:OFFSET(C4383,-1,0))+1,0)</f>
        <v>0</v>
      </c>
      <c r="E4383" s="9" t="str">
        <f t="shared" ca="1" si="80"/>
        <v/>
      </c>
      <c r="F4383" s="4" t="s">
        <v>26</v>
      </c>
      <c r="G4383" s="2">
        <f>IF(ISNUMBER(SEARCH(Лист2!$B$4,F:F)),1,0)</f>
        <v>0</v>
      </c>
      <c r="H4383" s="3">
        <f ca="1">IF(AND(I4383&lt;&gt;I4382,ISNUMBER(SEARCH(Лист2!$B$5,I:I)),G4383=1),MAX($H$3:OFFSET(H4383,-1,0))+1,0)</f>
        <v>0</v>
      </c>
      <c r="I4383" s="3" t="s">
        <v>364</v>
      </c>
      <c r="K4383" s="2">
        <f>IF(ISNUMBER(SEARCH(Лист2!$B$4,F:F)),1,0)</f>
        <v>0</v>
      </c>
      <c r="L4383" s="14">
        <f>IF(ISNUMBER(SEARCH(Лист2!$B$5,I:I)),1,0)+K4383</f>
        <v>0</v>
      </c>
      <c r="M4383" s="3">
        <f ca="1">IF(AND(N4383&lt;&gt;N4382,ISNUMBER(SEARCH(Лист2!$B$6,N:N)),L4383=2),MAX($M$3:OFFSET(M4383,-1,0))+1,0)</f>
        <v>0</v>
      </c>
      <c r="N4383" s="3" t="s">
        <v>2743</v>
      </c>
    </row>
    <row r="4384" spans="1:14" x14ac:dyDescent="0.25">
      <c r="A4384" s="1" t="s">
        <v>13142</v>
      </c>
      <c r="B4384" s="3" t="s">
        <v>8008</v>
      </c>
      <c r="C4384" s="2">
        <f ca="1">IF(ISNUMBER(SEARCH(Лист2!$B$4,D:D)),MAX($C$3:OFFSET(C4384,-1,0))+1,0)</f>
        <v>0</v>
      </c>
      <c r="E4384" s="9" t="str">
        <f t="shared" ca="1" si="80"/>
        <v/>
      </c>
      <c r="F4384" s="4" t="s">
        <v>26</v>
      </c>
      <c r="G4384" s="2">
        <f>IF(ISNUMBER(SEARCH(Лист2!$B$4,F:F)),1,0)</f>
        <v>0</v>
      </c>
      <c r="H4384" s="3">
        <f ca="1">IF(AND(I4384&lt;&gt;I4383,ISNUMBER(SEARCH(Лист2!$B$5,I:I)),G4384=1),MAX($H$3:OFFSET(H4384,-1,0))+1,0)</f>
        <v>0</v>
      </c>
      <c r="I4384" s="3" t="s">
        <v>364</v>
      </c>
      <c r="K4384" s="2">
        <f>IF(ISNUMBER(SEARCH(Лист2!$B$4,F:F)),1,0)</f>
        <v>0</v>
      </c>
      <c r="L4384" s="14">
        <f>IF(ISNUMBER(SEARCH(Лист2!$B$5,I:I)),1,0)+K4384</f>
        <v>0</v>
      </c>
      <c r="M4384" s="3">
        <f ca="1">IF(AND(N4384&lt;&gt;N4383,ISNUMBER(SEARCH(Лист2!$B$6,N:N)),L4384=2),MAX($M$3:OFFSET(M4384,-1,0))+1,0)</f>
        <v>0</v>
      </c>
      <c r="N4384" s="3" t="s">
        <v>2744</v>
      </c>
    </row>
    <row r="4385" spans="1:14" x14ac:dyDescent="0.25">
      <c r="A4385" s="1" t="s">
        <v>13143</v>
      </c>
      <c r="B4385" s="3" t="s">
        <v>8009</v>
      </c>
      <c r="C4385" s="2">
        <f ca="1">IF(ISNUMBER(SEARCH(Лист2!$B$4,D:D)),MAX($C$3:OFFSET(C4385,-1,0))+1,0)</f>
        <v>0</v>
      </c>
      <c r="E4385" s="9" t="str">
        <f t="shared" ca="1" si="80"/>
        <v/>
      </c>
      <c r="F4385" s="4" t="s">
        <v>26</v>
      </c>
      <c r="G4385" s="2">
        <f>IF(ISNUMBER(SEARCH(Лист2!$B$4,F:F)),1,0)</f>
        <v>0</v>
      </c>
      <c r="H4385" s="3">
        <f ca="1">IF(AND(I4385&lt;&gt;I4384,ISNUMBER(SEARCH(Лист2!$B$5,I:I)),G4385=1),MAX($H$3:OFFSET(H4385,-1,0))+1,0)</f>
        <v>0</v>
      </c>
      <c r="I4385" s="3" t="s">
        <v>364</v>
      </c>
      <c r="K4385" s="2">
        <f>IF(ISNUMBER(SEARCH(Лист2!$B$4,F:F)),1,0)</f>
        <v>0</v>
      </c>
      <c r="L4385" s="14">
        <f>IF(ISNUMBER(SEARCH(Лист2!$B$5,I:I)),1,0)+K4385</f>
        <v>0</v>
      </c>
      <c r="M4385" s="3">
        <f ca="1">IF(AND(N4385&lt;&gt;N4384,ISNUMBER(SEARCH(Лист2!$B$6,N:N)),L4385=2),MAX($M$3:OFFSET(M4385,-1,0))+1,0)</f>
        <v>0</v>
      </c>
      <c r="N4385" s="3" t="s">
        <v>2745</v>
      </c>
    </row>
    <row r="4386" spans="1:14" x14ac:dyDescent="0.25">
      <c r="A4386" s="1" t="s">
        <v>13144</v>
      </c>
      <c r="B4386" s="3" t="s">
        <v>8010</v>
      </c>
      <c r="C4386" s="2">
        <f ca="1">IF(ISNUMBER(SEARCH(Лист2!$B$4,D:D)),MAX($C$3:OFFSET(C4386,-1,0))+1,0)</f>
        <v>0</v>
      </c>
      <c r="E4386" s="9" t="str">
        <f t="shared" ca="1" si="80"/>
        <v/>
      </c>
      <c r="F4386" s="4" t="s">
        <v>26</v>
      </c>
      <c r="G4386" s="2">
        <f>IF(ISNUMBER(SEARCH(Лист2!$B$4,F:F)),1,0)</f>
        <v>0</v>
      </c>
      <c r="H4386" s="3">
        <f ca="1">IF(AND(I4386&lt;&gt;I4385,ISNUMBER(SEARCH(Лист2!$B$5,I:I)),G4386=1),MAX($H$3:OFFSET(H4386,-1,0))+1,0)</f>
        <v>0</v>
      </c>
      <c r="I4386" s="3" t="s">
        <v>364</v>
      </c>
      <c r="K4386" s="2">
        <f>IF(ISNUMBER(SEARCH(Лист2!$B$4,F:F)),1,0)</f>
        <v>0</v>
      </c>
      <c r="L4386" s="14">
        <f>IF(ISNUMBER(SEARCH(Лист2!$B$5,I:I)),1,0)+K4386</f>
        <v>0</v>
      </c>
      <c r="M4386" s="3">
        <f ca="1">IF(AND(N4386&lt;&gt;N4385,ISNUMBER(SEARCH(Лист2!$B$6,N:N)),L4386=2),MAX($M$3:OFFSET(M4386,-1,0))+1,0)</f>
        <v>0</v>
      </c>
      <c r="N4386" s="3" t="s">
        <v>2746</v>
      </c>
    </row>
    <row r="4387" spans="1:14" x14ac:dyDescent="0.25">
      <c r="A4387" s="1" t="s">
        <v>13145</v>
      </c>
      <c r="B4387" s="3" t="s">
        <v>8011</v>
      </c>
      <c r="C4387" s="2">
        <f ca="1">IF(ISNUMBER(SEARCH(Лист2!$B$4,D:D)),MAX($C$3:OFFSET(C4387,-1,0))+1,0)</f>
        <v>0</v>
      </c>
      <c r="E4387" s="9" t="str">
        <f t="shared" ca="1" si="80"/>
        <v/>
      </c>
      <c r="F4387" s="4" t="s">
        <v>26</v>
      </c>
      <c r="G4387" s="2">
        <f>IF(ISNUMBER(SEARCH(Лист2!$B$4,F:F)),1,0)</f>
        <v>0</v>
      </c>
      <c r="H4387" s="3">
        <f ca="1">IF(AND(I4387&lt;&gt;I4386,ISNUMBER(SEARCH(Лист2!$B$5,I:I)),G4387=1),MAX($H$3:OFFSET(H4387,-1,0))+1,0)</f>
        <v>0</v>
      </c>
      <c r="I4387" s="3" t="s">
        <v>364</v>
      </c>
      <c r="K4387" s="2">
        <f>IF(ISNUMBER(SEARCH(Лист2!$B$4,F:F)),1,0)</f>
        <v>0</v>
      </c>
      <c r="L4387" s="14">
        <f>IF(ISNUMBER(SEARCH(Лист2!$B$5,I:I)),1,0)+K4387</f>
        <v>0</v>
      </c>
      <c r="M4387" s="3">
        <f ca="1">IF(AND(N4387&lt;&gt;N4386,ISNUMBER(SEARCH(Лист2!$B$6,N:N)),L4387=2),MAX($M$3:OFFSET(M4387,-1,0))+1,0)</f>
        <v>0</v>
      </c>
      <c r="N4387" s="3" t="s">
        <v>2747</v>
      </c>
    </row>
    <row r="4388" spans="1:14" x14ac:dyDescent="0.25">
      <c r="A4388" s="1" t="s">
        <v>13146</v>
      </c>
      <c r="B4388" s="3" t="s">
        <v>8012</v>
      </c>
      <c r="C4388" s="2">
        <f ca="1">IF(ISNUMBER(SEARCH(Лист2!$B$4,D:D)),MAX($C$3:OFFSET(C4388,-1,0))+1,0)</f>
        <v>0</v>
      </c>
      <c r="E4388" s="9" t="str">
        <f t="shared" ca="1" si="80"/>
        <v/>
      </c>
      <c r="F4388" s="4" t="s">
        <v>26</v>
      </c>
      <c r="G4388" s="2">
        <f>IF(ISNUMBER(SEARCH(Лист2!$B$4,F:F)),1,0)</f>
        <v>0</v>
      </c>
      <c r="H4388" s="3">
        <f ca="1">IF(AND(I4388&lt;&gt;I4387,ISNUMBER(SEARCH(Лист2!$B$5,I:I)),G4388=1),MAX($H$3:OFFSET(H4388,-1,0))+1,0)</f>
        <v>0</v>
      </c>
      <c r="I4388" s="3" t="s">
        <v>359</v>
      </c>
      <c r="K4388" s="2">
        <f>IF(ISNUMBER(SEARCH(Лист2!$B$4,F:F)),1,0)</f>
        <v>0</v>
      </c>
      <c r="L4388" s="14">
        <f>IF(ISNUMBER(SEARCH(Лист2!$B$5,I:I)),1,0)+K4388</f>
        <v>0</v>
      </c>
      <c r="M4388" s="3">
        <f ca="1">IF(AND(N4388&lt;&gt;N4387,ISNUMBER(SEARCH(Лист2!$B$6,N:N)),L4388=2),MAX($M$3:OFFSET(M4388,-1,0))+1,0)</f>
        <v>0</v>
      </c>
      <c r="N4388" s="3" t="s">
        <v>2716</v>
      </c>
    </row>
    <row r="4389" spans="1:14" x14ac:dyDescent="0.25">
      <c r="A4389" s="1" t="s">
        <v>13147</v>
      </c>
      <c r="B4389" s="3" t="s">
        <v>8013</v>
      </c>
      <c r="C4389" s="2">
        <f ca="1">IF(ISNUMBER(SEARCH(Лист2!$B$4,D:D)),MAX($C$3:OFFSET(C4389,-1,0))+1,0)</f>
        <v>0</v>
      </c>
      <c r="E4389" s="9" t="str">
        <f t="shared" ca="1" si="80"/>
        <v/>
      </c>
      <c r="F4389" s="4" t="s">
        <v>26</v>
      </c>
      <c r="G4389" s="2">
        <f>IF(ISNUMBER(SEARCH(Лист2!$B$4,F:F)),1,0)</f>
        <v>0</v>
      </c>
      <c r="H4389" s="3">
        <f ca="1">IF(AND(I4389&lt;&gt;I4388,ISNUMBER(SEARCH(Лист2!$B$5,I:I)),G4389=1),MAX($H$3:OFFSET(H4389,-1,0))+1,0)</f>
        <v>0</v>
      </c>
      <c r="I4389" s="3" t="s">
        <v>359</v>
      </c>
      <c r="K4389" s="2">
        <f>IF(ISNUMBER(SEARCH(Лист2!$B$4,F:F)),1,0)</f>
        <v>0</v>
      </c>
      <c r="L4389" s="14">
        <f>IF(ISNUMBER(SEARCH(Лист2!$B$5,I:I)),1,0)+K4389</f>
        <v>0</v>
      </c>
      <c r="M4389" s="3">
        <f ca="1">IF(AND(N4389&lt;&gt;N4388,ISNUMBER(SEARCH(Лист2!$B$6,N:N)),L4389=2),MAX($M$3:OFFSET(M4389,-1,0))+1,0)</f>
        <v>0</v>
      </c>
      <c r="N4389" s="3" t="s">
        <v>2705</v>
      </c>
    </row>
    <row r="4390" spans="1:14" x14ac:dyDescent="0.25">
      <c r="A4390" s="1" t="s">
        <v>13148</v>
      </c>
      <c r="B4390" s="3" t="s">
        <v>8014</v>
      </c>
      <c r="C4390" s="2">
        <f ca="1">IF(ISNUMBER(SEARCH(Лист2!$B$4,D:D)),MAX($C$3:OFFSET(C4390,-1,0))+1,0)</f>
        <v>0</v>
      </c>
      <c r="E4390" s="9" t="str">
        <f t="shared" ca="1" si="80"/>
        <v/>
      </c>
      <c r="F4390" s="4" t="s">
        <v>26</v>
      </c>
      <c r="G4390" s="2">
        <f>IF(ISNUMBER(SEARCH(Лист2!$B$4,F:F)),1,0)</f>
        <v>0</v>
      </c>
      <c r="H4390" s="3">
        <f ca="1">IF(AND(I4390&lt;&gt;I4389,ISNUMBER(SEARCH(Лист2!$B$5,I:I)),G4390=1),MAX($H$3:OFFSET(H4390,-1,0))+1,0)</f>
        <v>0</v>
      </c>
      <c r="I4390" s="3" t="s">
        <v>359</v>
      </c>
      <c r="K4390" s="2">
        <f>IF(ISNUMBER(SEARCH(Лист2!$B$4,F:F)),1,0)</f>
        <v>0</v>
      </c>
      <c r="L4390" s="14">
        <f>IF(ISNUMBER(SEARCH(Лист2!$B$5,I:I)),1,0)+K4390</f>
        <v>0</v>
      </c>
      <c r="M4390" s="3">
        <f ca="1">IF(AND(N4390&lt;&gt;N4389,ISNUMBER(SEARCH(Лист2!$B$6,N:N)),L4390=2),MAX($M$3:OFFSET(M4390,-1,0))+1,0)</f>
        <v>0</v>
      </c>
      <c r="N4390" s="3" t="s">
        <v>2717</v>
      </c>
    </row>
    <row r="4391" spans="1:14" x14ac:dyDescent="0.25">
      <c r="A4391" s="1" t="s">
        <v>13148</v>
      </c>
      <c r="B4391" s="3" t="s">
        <v>8015</v>
      </c>
      <c r="C4391" s="2">
        <f ca="1">IF(ISNUMBER(SEARCH(Лист2!$B$4,D:D)),MAX($C$3:OFFSET(C4391,-1,0))+1,0)</f>
        <v>0</v>
      </c>
      <c r="E4391" s="9" t="str">
        <f t="shared" ca="1" si="80"/>
        <v/>
      </c>
      <c r="F4391" s="4" t="s">
        <v>26</v>
      </c>
      <c r="G4391" s="2">
        <f>IF(ISNUMBER(SEARCH(Лист2!$B$4,F:F)),1,0)</f>
        <v>0</v>
      </c>
      <c r="H4391" s="3">
        <f ca="1">IF(AND(I4391&lt;&gt;I4390,ISNUMBER(SEARCH(Лист2!$B$5,I:I)),G4391=1),MAX($H$3:OFFSET(H4391,-1,0))+1,0)</f>
        <v>0</v>
      </c>
      <c r="I4391" s="3" t="s">
        <v>359</v>
      </c>
      <c r="K4391" s="2">
        <f>IF(ISNUMBER(SEARCH(Лист2!$B$4,F:F)),1,0)</f>
        <v>0</v>
      </c>
      <c r="L4391" s="14">
        <f>IF(ISNUMBER(SEARCH(Лист2!$B$5,I:I)),1,0)+K4391</f>
        <v>0</v>
      </c>
      <c r="M4391" s="3">
        <f ca="1">IF(AND(N4391&lt;&gt;N4390,ISNUMBER(SEARCH(Лист2!$B$6,N:N)),L4391=2),MAX($M$3:OFFSET(M4391,-1,0))+1,0)</f>
        <v>0</v>
      </c>
      <c r="N4391" s="3" t="s">
        <v>2717</v>
      </c>
    </row>
    <row r="4392" spans="1:14" x14ac:dyDescent="0.25">
      <c r="A4392" s="1" t="s">
        <v>13148</v>
      </c>
      <c r="B4392" s="3" t="s">
        <v>8016</v>
      </c>
      <c r="C4392" s="2">
        <f ca="1">IF(ISNUMBER(SEARCH(Лист2!$B$4,D:D)),MAX($C$3:OFFSET(C4392,-1,0))+1,0)</f>
        <v>0</v>
      </c>
      <c r="E4392" s="9" t="str">
        <f t="shared" ca="1" si="80"/>
        <v/>
      </c>
      <c r="F4392" s="4" t="s">
        <v>26</v>
      </c>
      <c r="G4392" s="2">
        <f>IF(ISNUMBER(SEARCH(Лист2!$B$4,F:F)),1,0)</f>
        <v>0</v>
      </c>
      <c r="H4392" s="3">
        <f ca="1">IF(AND(I4392&lt;&gt;I4391,ISNUMBER(SEARCH(Лист2!$B$5,I:I)),G4392=1),MAX($H$3:OFFSET(H4392,-1,0))+1,0)</f>
        <v>0</v>
      </c>
      <c r="I4392" s="3" t="s">
        <v>359</v>
      </c>
      <c r="K4392" s="2">
        <f>IF(ISNUMBER(SEARCH(Лист2!$B$4,F:F)),1,0)</f>
        <v>0</v>
      </c>
      <c r="L4392" s="14">
        <f>IF(ISNUMBER(SEARCH(Лист2!$B$5,I:I)),1,0)+K4392</f>
        <v>0</v>
      </c>
      <c r="M4392" s="3">
        <f ca="1">IF(AND(N4392&lt;&gt;N4391,ISNUMBER(SEARCH(Лист2!$B$6,N:N)),L4392=2),MAX($M$3:OFFSET(M4392,-1,0))+1,0)</f>
        <v>0</v>
      </c>
      <c r="N4392" s="3" t="s">
        <v>2717</v>
      </c>
    </row>
    <row r="4393" spans="1:14" x14ac:dyDescent="0.25">
      <c r="A4393" s="1" t="s">
        <v>13149</v>
      </c>
      <c r="B4393" s="3" t="s">
        <v>8017</v>
      </c>
      <c r="C4393" s="2">
        <f ca="1">IF(ISNUMBER(SEARCH(Лист2!$B$4,D:D)),MAX($C$3:OFFSET(C4393,-1,0))+1,0)</f>
        <v>0</v>
      </c>
      <c r="E4393" s="9" t="str">
        <f t="shared" ca="1" si="80"/>
        <v/>
      </c>
      <c r="F4393" s="4" t="s">
        <v>26</v>
      </c>
      <c r="G4393" s="2">
        <f>IF(ISNUMBER(SEARCH(Лист2!$B$4,F:F)),1,0)</f>
        <v>0</v>
      </c>
      <c r="H4393" s="3">
        <f ca="1">IF(AND(I4393&lt;&gt;I4392,ISNUMBER(SEARCH(Лист2!$B$5,I:I)),G4393=1),MAX($H$3:OFFSET(H4393,-1,0))+1,0)</f>
        <v>0</v>
      </c>
      <c r="I4393" s="3" t="s">
        <v>359</v>
      </c>
      <c r="K4393" s="2">
        <f>IF(ISNUMBER(SEARCH(Лист2!$B$4,F:F)),1,0)</f>
        <v>0</v>
      </c>
      <c r="L4393" s="14">
        <f>IF(ISNUMBER(SEARCH(Лист2!$B$5,I:I)),1,0)+K4393</f>
        <v>0</v>
      </c>
      <c r="M4393" s="3">
        <f ca="1">IF(AND(N4393&lt;&gt;N4392,ISNUMBER(SEARCH(Лист2!$B$6,N:N)),L4393=2),MAX($M$3:OFFSET(M4393,-1,0))+1,0)</f>
        <v>0</v>
      </c>
      <c r="N4393" s="3" t="s">
        <v>2718</v>
      </c>
    </row>
    <row r="4394" spans="1:14" x14ac:dyDescent="0.25">
      <c r="A4394" s="1" t="s">
        <v>13149</v>
      </c>
      <c r="B4394" s="3" t="s">
        <v>8018</v>
      </c>
      <c r="C4394" s="2">
        <f ca="1">IF(ISNUMBER(SEARCH(Лист2!$B$4,D:D)),MAX($C$3:OFFSET(C4394,-1,0))+1,0)</f>
        <v>0</v>
      </c>
      <c r="E4394" s="9" t="str">
        <f t="shared" ca="1" si="80"/>
        <v/>
      </c>
      <c r="F4394" s="4" t="s">
        <v>26</v>
      </c>
      <c r="G4394" s="2">
        <f>IF(ISNUMBER(SEARCH(Лист2!$B$4,F:F)),1,0)</f>
        <v>0</v>
      </c>
      <c r="H4394" s="3">
        <f ca="1">IF(AND(I4394&lt;&gt;I4393,ISNUMBER(SEARCH(Лист2!$B$5,I:I)),G4394=1),MAX($H$3:OFFSET(H4394,-1,0))+1,0)</f>
        <v>0</v>
      </c>
      <c r="I4394" s="3" t="s">
        <v>359</v>
      </c>
      <c r="K4394" s="2">
        <f>IF(ISNUMBER(SEARCH(Лист2!$B$4,F:F)),1,0)</f>
        <v>0</v>
      </c>
      <c r="L4394" s="14">
        <f>IF(ISNUMBER(SEARCH(Лист2!$B$5,I:I)),1,0)+K4394</f>
        <v>0</v>
      </c>
      <c r="M4394" s="3">
        <f ca="1">IF(AND(N4394&lt;&gt;N4393,ISNUMBER(SEARCH(Лист2!$B$6,N:N)),L4394=2),MAX($M$3:OFFSET(M4394,-1,0))+1,0)</f>
        <v>0</v>
      </c>
      <c r="N4394" s="3" t="s">
        <v>2718</v>
      </c>
    </row>
    <row r="4395" spans="1:14" x14ac:dyDescent="0.25">
      <c r="A4395" s="1" t="s">
        <v>13149</v>
      </c>
      <c r="B4395" s="3" t="s">
        <v>8019</v>
      </c>
      <c r="C4395" s="2">
        <f ca="1">IF(ISNUMBER(SEARCH(Лист2!$B$4,D:D)),MAX($C$3:OFFSET(C4395,-1,0))+1,0)</f>
        <v>0</v>
      </c>
      <c r="E4395" s="9" t="str">
        <f t="shared" ca="1" si="80"/>
        <v/>
      </c>
      <c r="F4395" s="4" t="s">
        <v>26</v>
      </c>
      <c r="G4395" s="2">
        <f>IF(ISNUMBER(SEARCH(Лист2!$B$4,F:F)),1,0)</f>
        <v>0</v>
      </c>
      <c r="H4395" s="3">
        <f ca="1">IF(AND(I4395&lt;&gt;I4394,ISNUMBER(SEARCH(Лист2!$B$5,I:I)),G4395=1),MAX($H$3:OFFSET(H4395,-1,0))+1,0)</f>
        <v>0</v>
      </c>
      <c r="I4395" s="3" t="s">
        <v>359</v>
      </c>
      <c r="K4395" s="2">
        <f>IF(ISNUMBER(SEARCH(Лист2!$B$4,F:F)),1,0)</f>
        <v>0</v>
      </c>
      <c r="L4395" s="14">
        <f>IF(ISNUMBER(SEARCH(Лист2!$B$5,I:I)),1,0)+K4395</f>
        <v>0</v>
      </c>
      <c r="M4395" s="3">
        <f ca="1">IF(AND(N4395&lt;&gt;N4394,ISNUMBER(SEARCH(Лист2!$B$6,N:N)),L4395=2),MAX($M$3:OFFSET(M4395,-1,0))+1,0)</f>
        <v>0</v>
      </c>
      <c r="N4395" s="3" t="s">
        <v>2718</v>
      </c>
    </row>
    <row r="4396" spans="1:14" x14ac:dyDescent="0.25">
      <c r="A4396" s="1" t="s">
        <v>13150</v>
      </c>
      <c r="B4396" s="3" t="s">
        <v>8020</v>
      </c>
      <c r="C4396" s="2">
        <f ca="1">IF(ISNUMBER(SEARCH(Лист2!$B$4,D:D)),MAX($C$3:OFFSET(C4396,-1,0))+1,0)</f>
        <v>0</v>
      </c>
      <c r="E4396" s="9" t="str">
        <f t="shared" ca="1" si="80"/>
        <v/>
      </c>
      <c r="F4396" s="4" t="s">
        <v>26</v>
      </c>
      <c r="G4396" s="2">
        <f>IF(ISNUMBER(SEARCH(Лист2!$B$4,F:F)),1,0)</f>
        <v>0</v>
      </c>
      <c r="H4396" s="3">
        <f ca="1">IF(AND(I4396&lt;&gt;I4395,ISNUMBER(SEARCH(Лист2!$B$5,I:I)),G4396=1),MAX($H$3:OFFSET(H4396,-1,0))+1,0)</f>
        <v>0</v>
      </c>
      <c r="I4396" s="3" t="s">
        <v>359</v>
      </c>
      <c r="K4396" s="2">
        <f>IF(ISNUMBER(SEARCH(Лист2!$B$4,F:F)),1,0)</f>
        <v>0</v>
      </c>
      <c r="L4396" s="14">
        <f>IF(ISNUMBER(SEARCH(Лист2!$B$5,I:I)),1,0)+K4396</f>
        <v>0</v>
      </c>
      <c r="M4396" s="3">
        <f ca="1">IF(AND(N4396&lt;&gt;N4395,ISNUMBER(SEARCH(Лист2!$B$6,N:N)),L4396=2),MAX($M$3:OFFSET(M4396,-1,0))+1,0)</f>
        <v>0</v>
      </c>
      <c r="N4396" s="3" t="s">
        <v>2719</v>
      </c>
    </row>
    <row r="4397" spans="1:14" x14ac:dyDescent="0.25">
      <c r="A4397" s="1" t="s">
        <v>13150</v>
      </c>
      <c r="B4397" s="3" t="s">
        <v>8021</v>
      </c>
      <c r="C4397" s="2">
        <f ca="1">IF(ISNUMBER(SEARCH(Лист2!$B$4,D:D)),MAX($C$3:OFFSET(C4397,-1,0))+1,0)</f>
        <v>0</v>
      </c>
      <c r="E4397" s="9" t="str">
        <f t="shared" ca="1" si="80"/>
        <v/>
      </c>
      <c r="F4397" s="4" t="s">
        <v>26</v>
      </c>
      <c r="G4397" s="2">
        <f>IF(ISNUMBER(SEARCH(Лист2!$B$4,F:F)),1,0)</f>
        <v>0</v>
      </c>
      <c r="H4397" s="3">
        <f ca="1">IF(AND(I4397&lt;&gt;I4396,ISNUMBER(SEARCH(Лист2!$B$5,I:I)),G4397=1),MAX($H$3:OFFSET(H4397,-1,0))+1,0)</f>
        <v>0</v>
      </c>
      <c r="I4397" s="3" t="s">
        <v>359</v>
      </c>
      <c r="K4397" s="2">
        <f>IF(ISNUMBER(SEARCH(Лист2!$B$4,F:F)),1,0)</f>
        <v>0</v>
      </c>
      <c r="L4397" s="14">
        <f>IF(ISNUMBER(SEARCH(Лист2!$B$5,I:I)),1,0)+K4397</f>
        <v>0</v>
      </c>
      <c r="M4397" s="3">
        <f ca="1">IF(AND(N4397&lt;&gt;N4396,ISNUMBER(SEARCH(Лист2!$B$6,N:N)),L4397=2),MAX($M$3:OFFSET(M4397,-1,0))+1,0)</f>
        <v>0</v>
      </c>
      <c r="N4397" s="3" t="s">
        <v>2719</v>
      </c>
    </row>
    <row r="4398" spans="1:14" x14ac:dyDescent="0.25">
      <c r="A4398" s="1" t="s">
        <v>13150</v>
      </c>
      <c r="B4398" s="3" t="s">
        <v>8022</v>
      </c>
      <c r="C4398" s="2">
        <f ca="1">IF(ISNUMBER(SEARCH(Лист2!$B$4,D:D)),MAX($C$3:OFFSET(C4398,-1,0))+1,0)</f>
        <v>0</v>
      </c>
      <c r="E4398" s="9" t="str">
        <f t="shared" ca="1" si="80"/>
        <v/>
      </c>
      <c r="F4398" s="4" t="s">
        <v>26</v>
      </c>
      <c r="G4398" s="2">
        <f>IF(ISNUMBER(SEARCH(Лист2!$B$4,F:F)),1,0)</f>
        <v>0</v>
      </c>
      <c r="H4398" s="3">
        <f ca="1">IF(AND(I4398&lt;&gt;I4397,ISNUMBER(SEARCH(Лист2!$B$5,I:I)),G4398=1),MAX($H$3:OFFSET(H4398,-1,0))+1,0)</f>
        <v>0</v>
      </c>
      <c r="I4398" s="3" t="s">
        <v>359</v>
      </c>
      <c r="K4398" s="2">
        <f>IF(ISNUMBER(SEARCH(Лист2!$B$4,F:F)),1,0)</f>
        <v>0</v>
      </c>
      <c r="L4398" s="14">
        <f>IF(ISNUMBER(SEARCH(Лист2!$B$5,I:I)),1,0)+K4398</f>
        <v>0</v>
      </c>
      <c r="M4398" s="3">
        <f ca="1">IF(AND(N4398&lt;&gt;N4397,ISNUMBER(SEARCH(Лист2!$B$6,N:N)),L4398=2),MAX($M$3:OFFSET(M4398,-1,0))+1,0)</f>
        <v>0</v>
      </c>
      <c r="N4398" s="3" t="s">
        <v>2719</v>
      </c>
    </row>
    <row r="4399" spans="1:14" x14ac:dyDescent="0.25">
      <c r="A4399" s="1" t="s">
        <v>13151</v>
      </c>
      <c r="B4399" s="3" t="s">
        <v>8023</v>
      </c>
      <c r="C4399" s="2">
        <f ca="1">IF(ISNUMBER(SEARCH(Лист2!$B$4,D:D)),MAX($C$3:OFFSET(C4399,-1,0))+1,0)</f>
        <v>0</v>
      </c>
      <c r="E4399" s="9" t="str">
        <f t="shared" ca="1" si="80"/>
        <v/>
      </c>
      <c r="F4399" s="4" t="s">
        <v>26</v>
      </c>
      <c r="G4399" s="2">
        <f>IF(ISNUMBER(SEARCH(Лист2!$B$4,F:F)),1,0)</f>
        <v>0</v>
      </c>
      <c r="H4399" s="3">
        <f ca="1">IF(AND(I4399&lt;&gt;I4398,ISNUMBER(SEARCH(Лист2!$B$5,I:I)),G4399=1),MAX($H$3:OFFSET(H4399,-1,0))+1,0)</f>
        <v>0</v>
      </c>
      <c r="I4399" s="3" t="s">
        <v>359</v>
      </c>
      <c r="K4399" s="2">
        <f>IF(ISNUMBER(SEARCH(Лист2!$B$4,F:F)),1,0)</f>
        <v>0</v>
      </c>
      <c r="L4399" s="14">
        <f>IF(ISNUMBER(SEARCH(Лист2!$B$5,I:I)),1,0)+K4399</f>
        <v>0</v>
      </c>
      <c r="M4399" s="3">
        <f ca="1">IF(AND(N4399&lt;&gt;N4398,ISNUMBER(SEARCH(Лист2!$B$6,N:N)),L4399=2),MAX($M$3:OFFSET(M4399,-1,0))+1,0)</f>
        <v>0</v>
      </c>
      <c r="N4399" s="3" t="s">
        <v>2720</v>
      </c>
    </row>
    <row r="4400" spans="1:14" x14ac:dyDescent="0.25">
      <c r="A4400" s="1" t="s">
        <v>13152</v>
      </c>
      <c r="B4400" s="3" t="s">
        <v>8024</v>
      </c>
      <c r="C4400" s="2">
        <f ca="1">IF(ISNUMBER(SEARCH(Лист2!$B$4,D:D)),MAX($C$3:OFFSET(C4400,-1,0))+1,0)</f>
        <v>0</v>
      </c>
      <c r="E4400" s="9" t="str">
        <f t="shared" ca="1" si="80"/>
        <v/>
      </c>
      <c r="F4400" s="4" t="s">
        <v>26</v>
      </c>
      <c r="G4400" s="2">
        <f>IF(ISNUMBER(SEARCH(Лист2!$B$4,F:F)),1,0)</f>
        <v>0</v>
      </c>
      <c r="H4400" s="3">
        <f ca="1">IF(AND(I4400&lt;&gt;I4399,ISNUMBER(SEARCH(Лист2!$B$5,I:I)),G4400=1),MAX($H$3:OFFSET(H4400,-1,0))+1,0)</f>
        <v>0</v>
      </c>
      <c r="I4400" s="3" t="s">
        <v>359</v>
      </c>
      <c r="K4400" s="2">
        <f>IF(ISNUMBER(SEARCH(Лист2!$B$4,F:F)),1,0)</f>
        <v>0</v>
      </c>
      <c r="L4400" s="14">
        <f>IF(ISNUMBER(SEARCH(Лист2!$B$5,I:I)),1,0)+K4400</f>
        <v>0</v>
      </c>
      <c r="M4400" s="3">
        <f ca="1">IF(AND(N4400&lt;&gt;N4399,ISNUMBER(SEARCH(Лист2!$B$6,N:N)),L4400=2),MAX($M$3:OFFSET(M4400,-1,0))+1,0)</f>
        <v>0</v>
      </c>
      <c r="N4400" s="3" t="s">
        <v>2721</v>
      </c>
    </row>
    <row r="4401" spans="1:14" x14ac:dyDescent="0.25">
      <c r="A4401" s="1" t="s">
        <v>13153</v>
      </c>
      <c r="B4401" s="3" t="s">
        <v>8025</v>
      </c>
      <c r="C4401" s="2">
        <f ca="1">IF(ISNUMBER(SEARCH(Лист2!$B$4,D:D)),MAX($C$3:OFFSET(C4401,-1,0))+1,0)</f>
        <v>0</v>
      </c>
      <c r="E4401" s="9" t="str">
        <f t="shared" ca="1" si="80"/>
        <v/>
      </c>
      <c r="F4401" s="4" t="s">
        <v>26</v>
      </c>
      <c r="G4401" s="2">
        <f>IF(ISNUMBER(SEARCH(Лист2!$B$4,F:F)),1,0)</f>
        <v>0</v>
      </c>
      <c r="H4401" s="3">
        <f ca="1">IF(AND(I4401&lt;&gt;I4400,ISNUMBER(SEARCH(Лист2!$B$5,I:I)),G4401=1),MAX($H$3:OFFSET(H4401,-1,0))+1,0)</f>
        <v>0</v>
      </c>
      <c r="I4401" s="3" t="s">
        <v>360</v>
      </c>
      <c r="K4401" s="2">
        <f>IF(ISNUMBER(SEARCH(Лист2!$B$4,F:F)),1,0)</f>
        <v>0</v>
      </c>
      <c r="L4401" s="14">
        <f>IF(ISNUMBER(SEARCH(Лист2!$B$5,I:I)),1,0)+K4401</f>
        <v>1</v>
      </c>
      <c r="M4401" s="3">
        <f ca="1">IF(AND(N4401&lt;&gt;N4400,ISNUMBER(SEARCH(Лист2!$B$6,N:N)),L4401=2),MAX($M$3:OFFSET(M4401,-1,0))+1,0)</f>
        <v>0</v>
      </c>
      <c r="N4401" s="3" t="s">
        <v>2716</v>
      </c>
    </row>
    <row r="4402" spans="1:14" x14ac:dyDescent="0.25">
      <c r="A4402" s="1" t="s">
        <v>13154</v>
      </c>
      <c r="B4402" s="3" t="s">
        <v>8026</v>
      </c>
      <c r="C4402" s="2">
        <f ca="1">IF(ISNUMBER(SEARCH(Лист2!$B$4,D:D)),MAX($C$3:OFFSET(C4402,-1,0))+1,0)</f>
        <v>0</v>
      </c>
      <c r="E4402" s="9" t="str">
        <f t="shared" ca="1" si="80"/>
        <v/>
      </c>
      <c r="F4402" s="4" t="s">
        <v>26</v>
      </c>
      <c r="G4402" s="2">
        <f>IF(ISNUMBER(SEARCH(Лист2!$B$4,F:F)),1,0)</f>
        <v>0</v>
      </c>
      <c r="H4402" s="3">
        <f ca="1">IF(AND(I4402&lt;&gt;I4401,ISNUMBER(SEARCH(Лист2!$B$5,I:I)),G4402=1),MAX($H$3:OFFSET(H4402,-1,0))+1,0)</f>
        <v>0</v>
      </c>
      <c r="I4402" s="3" t="s">
        <v>360</v>
      </c>
      <c r="K4402" s="2">
        <f>IF(ISNUMBER(SEARCH(Лист2!$B$4,F:F)),1,0)</f>
        <v>0</v>
      </c>
      <c r="L4402" s="14">
        <f>IF(ISNUMBER(SEARCH(Лист2!$B$5,I:I)),1,0)+K4402</f>
        <v>1</v>
      </c>
      <c r="M4402" s="3">
        <f ca="1">IF(AND(N4402&lt;&gt;N4401,ISNUMBER(SEARCH(Лист2!$B$6,N:N)),L4402=2),MAX($M$3:OFFSET(M4402,-1,0))+1,0)</f>
        <v>0</v>
      </c>
      <c r="N4402" s="3" t="s">
        <v>2705</v>
      </c>
    </row>
    <row r="4403" spans="1:14" x14ac:dyDescent="0.25">
      <c r="A4403" s="1" t="s">
        <v>13155</v>
      </c>
      <c r="B4403" s="3" t="s">
        <v>8027</v>
      </c>
      <c r="C4403" s="2">
        <f ca="1">IF(ISNUMBER(SEARCH(Лист2!$B$4,D:D)),MAX($C$3:OFFSET(C4403,-1,0))+1,0)</f>
        <v>0</v>
      </c>
      <c r="E4403" s="9" t="str">
        <f t="shared" ca="1" si="80"/>
        <v/>
      </c>
      <c r="F4403" s="4" t="s">
        <v>26</v>
      </c>
      <c r="G4403" s="2">
        <f>IF(ISNUMBER(SEARCH(Лист2!$B$4,F:F)),1,0)</f>
        <v>0</v>
      </c>
      <c r="H4403" s="3">
        <f ca="1">IF(AND(I4403&lt;&gt;I4402,ISNUMBER(SEARCH(Лист2!$B$5,I:I)),G4403=1),MAX($H$3:OFFSET(H4403,-1,0))+1,0)</f>
        <v>0</v>
      </c>
      <c r="I4403" s="3" t="s">
        <v>360</v>
      </c>
      <c r="K4403" s="2">
        <f>IF(ISNUMBER(SEARCH(Лист2!$B$4,F:F)),1,0)</f>
        <v>0</v>
      </c>
      <c r="L4403" s="14">
        <f>IF(ISNUMBER(SEARCH(Лист2!$B$5,I:I)),1,0)+K4403</f>
        <v>1</v>
      </c>
      <c r="M4403" s="3">
        <f ca="1">IF(AND(N4403&lt;&gt;N4402,ISNUMBER(SEARCH(Лист2!$B$6,N:N)),L4403=2),MAX($M$3:OFFSET(M4403,-1,0))+1,0)</f>
        <v>0</v>
      </c>
      <c r="N4403" s="3" t="s">
        <v>2722</v>
      </c>
    </row>
    <row r="4404" spans="1:14" x14ac:dyDescent="0.25">
      <c r="A4404" s="1" t="s">
        <v>13155</v>
      </c>
      <c r="B4404" s="3" t="s">
        <v>8028</v>
      </c>
      <c r="C4404" s="2">
        <f ca="1">IF(ISNUMBER(SEARCH(Лист2!$B$4,D:D)),MAX($C$3:OFFSET(C4404,-1,0))+1,0)</f>
        <v>0</v>
      </c>
      <c r="E4404" s="9" t="str">
        <f t="shared" ca="1" si="80"/>
        <v/>
      </c>
      <c r="F4404" s="4" t="s">
        <v>26</v>
      </c>
      <c r="G4404" s="2">
        <f>IF(ISNUMBER(SEARCH(Лист2!$B$4,F:F)),1,0)</f>
        <v>0</v>
      </c>
      <c r="H4404" s="3">
        <f ca="1">IF(AND(I4404&lt;&gt;I4403,ISNUMBER(SEARCH(Лист2!$B$5,I:I)),G4404=1),MAX($H$3:OFFSET(H4404,-1,0))+1,0)</f>
        <v>0</v>
      </c>
      <c r="I4404" s="3" t="s">
        <v>360</v>
      </c>
      <c r="K4404" s="2">
        <f>IF(ISNUMBER(SEARCH(Лист2!$B$4,F:F)),1,0)</f>
        <v>0</v>
      </c>
      <c r="L4404" s="14">
        <f>IF(ISNUMBER(SEARCH(Лист2!$B$5,I:I)),1,0)+K4404</f>
        <v>1</v>
      </c>
      <c r="M4404" s="3">
        <f ca="1">IF(AND(N4404&lt;&gt;N4403,ISNUMBER(SEARCH(Лист2!$B$6,N:N)),L4404=2),MAX($M$3:OFFSET(M4404,-1,0))+1,0)</f>
        <v>0</v>
      </c>
      <c r="N4404" s="3" t="s">
        <v>2722</v>
      </c>
    </row>
    <row r="4405" spans="1:14" x14ac:dyDescent="0.25">
      <c r="A4405" s="1" t="s">
        <v>13155</v>
      </c>
      <c r="B4405" s="3" t="s">
        <v>8029</v>
      </c>
      <c r="C4405" s="2">
        <f ca="1">IF(ISNUMBER(SEARCH(Лист2!$B$4,D:D)),MAX($C$3:OFFSET(C4405,-1,0))+1,0)</f>
        <v>0</v>
      </c>
      <c r="E4405" s="9" t="str">
        <f t="shared" ca="1" si="80"/>
        <v/>
      </c>
      <c r="F4405" s="4" t="s">
        <v>26</v>
      </c>
      <c r="G4405" s="2">
        <f>IF(ISNUMBER(SEARCH(Лист2!$B$4,F:F)),1,0)</f>
        <v>0</v>
      </c>
      <c r="H4405" s="3">
        <f ca="1">IF(AND(I4405&lt;&gt;I4404,ISNUMBER(SEARCH(Лист2!$B$5,I:I)),G4405=1),MAX($H$3:OFFSET(H4405,-1,0))+1,0)</f>
        <v>0</v>
      </c>
      <c r="I4405" s="3" t="s">
        <v>360</v>
      </c>
      <c r="K4405" s="2">
        <f>IF(ISNUMBER(SEARCH(Лист2!$B$4,F:F)),1,0)</f>
        <v>0</v>
      </c>
      <c r="L4405" s="14">
        <f>IF(ISNUMBER(SEARCH(Лист2!$B$5,I:I)),1,0)+K4405</f>
        <v>1</v>
      </c>
      <c r="M4405" s="3">
        <f ca="1">IF(AND(N4405&lt;&gt;N4404,ISNUMBER(SEARCH(Лист2!$B$6,N:N)),L4405=2),MAX($M$3:OFFSET(M4405,-1,0))+1,0)</f>
        <v>0</v>
      </c>
      <c r="N4405" s="3" t="s">
        <v>2722</v>
      </c>
    </row>
    <row r="4406" spans="1:14" x14ac:dyDescent="0.25">
      <c r="A4406" s="1" t="s">
        <v>13156</v>
      </c>
      <c r="B4406" s="3" t="s">
        <v>8030</v>
      </c>
      <c r="C4406" s="2">
        <f ca="1">IF(ISNUMBER(SEARCH(Лист2!$B$4,D:D)),MAX($C$3:OFFSET(C4406,-1,0))+1,0)</f>
        <v>0</v>
      </c>
      <c r="E4406" s="9" t="str">
        <f t="shared" ca="1" si="80"/>
        <v/>
      </c>
      <c r="F4406" s="4" t="s">
        <v>26</v>
      </c>
      <c r="G4406" s="2">
        <f>IF(ISNUMBER(SEARCH(Лист2!$B$4,F:F)),1,0)</f>
        <v>0</v>
      </c>
      <c r="H4406" s="3">
        <f ca="1">IF(AND(I4406&lt;&gt;I4405,ISNUMBER(SEARCH(Лист2!$B$5,I:I)),G4406=1),MAX($H$3:OFFSET(H4406,-1,0))+1,0)</f>
        <v>0</v>
      </c>
      <c r="I4406" s="3" t="s">
        <v>360</v>
      </c>
      <c r="K4406" s="2">
        <f>IF(ISNUMBER(SEARCH(Лист2!$B$4,F:F)),1,0)</f>
        <v>0</v>
      </c>
      <c r="L4406" s="14">
        <f>IF(ISNUMBER(SEARCH(Лист2!$B$5,I:I)),1,0)+K4406</f>
        <v>1</v>
      </c>
      <c r="M4406" s="3">
        <f ca="1">IF(AND(N4406&lt;&gt;N4405,ISNUMBER(SEARCH(Лист2!$B$6,N:N)),L4406=2),MAX($M$3:OFFSET(M4406,-1,0))+1,0)</f>
        <v>0</v>
      </c>
      <c r="N4406" s="3" t="s">
        <v>2723</v>
      </c>
    </row>
    <row r="4407" spans="1:14" x14ac:dyDescent="0.25">
      <c r="A4407" s="1" t="s">
        <v>13156</v>
      </c>
      <c r="B4407" s="3" t="s">
        <v>8031</v>
      </c>
      <c r="C4407" s="2">
        <f ca="1">IF(ISNUMBER(SEARCH(Лист2!$B$4,D:D)),MAX($C$3:OFFSET(C4407,-1,0))+1,0)</f>
        <v>0</v>
      </c>
      <c r="E4407" s="9" t="str">
        <f t="shared" ca="1" si="80"/>
        <v/>
      </c>
      <c r="F4407" s="4" t="s">
        <v>26</v>
      </c>
      <c r="G4407" s="2">
        <f>IF(ISNUMBER(SEARCH(Лист2!$B$4,F:F)),1,0)</f>
        <v>0</v>
      </c>
      <c r="H4407" s="3">
        <f ca="1">IF(AND(I4407&lt;&gt;I4406,ISNUMBER(SEARCH(Лист2!$B$5,I:I)),G4407=1),MAX($H$3:OFFSET(H4407,-1,0))+1,0)</f>
        <v>0</v>
      </c>
      <c r="I4407" s="3" t="s">
        <v>360</v>
      </c>
      <c r="K4407" s="2">
        <f>IF(ISNUMBER(SEARCH(Лист2!$B$4,F:F)),1,0)</f>
        <v>0</v>
      </c>
      <c r="L4407" s="14">
        <f>IF(ISNUMBER(SEARCH(Лист2!$B$5,I:I)),1,0)+K4407</f>
        <v>1</v>
      </c>
      <c r="M4407" s="3">
        <f ca="1">IF(AND(N4407&lt;&gt;N4406,ISNUMBER(SEARCH(Лист2!$B$6,N:N)),L4407=2),MAX($M$3:OFFSET(M4407,-1,0))+1,0)</f>
        <v>0</v>
      </c>
      <c r="N4407" s="3" t="s">
        <v>2723</v>
      </c>
    </row>
    <row r="4408" spans="1:14" x14ac:dyDescent="0.25">
      <c r="A4408" s="1" t="s">
        <v>13156</v>
      </c>
      <c r="B4408" s="3" t="s">
        <v>8032</v>
      </c>
      <c r="C4408" s="2">
        <f ca="1">IF(ISNUMBER(SEARCH(Лист2!$B$4,D:D)),MAX($C$3:OFFSET(C4408,-1,0))+1,0)</f>
        <v>0</v>
      </c>
      <c r="E4408" s="9" t="str">
        <f t="shared" ca="1" si="80"/>
        <v/>
      </c>
      <c r="F4408" s="4" t="s">
        <v>26</v>
      </c>
      <c r="G4408" s="2">
        <f>IF(ISNUMBER(SEARCH(Лист2!$B$4,F:F)),1,0)</f>
        <v>0</v>
      </c>
      <c r="H4408" s="3">
        <f ca="1">IF(AND(I4408&lt;&gt;I4407,ISNUMBER(SEARCH(Лист2!$B$5,I:I)),G4408=1),MAX($H$3:OFFSET(H4408,-1,0))+1,0)</f>
        <v>0</v>
      </c>
      <c r="I4408" s="3" t="s">
        <v>360</v>
      </c>
      <c r="K4408" s="2">
        <f>IF(ISNUMBER(SEARCH(Лист2!$B$4,F:F)),1,0)</f>
        <v>0</v>
      </c>
      <c r="L4408" s="14">
        <f>IF(ISNUMBER(SEARCH(Лист2!$B$5,I:I)),1,0)+K4408</f>
        <v>1</v>
      </c>
      <c r="M4408" s="3">
        <f ca="1">IF(AND(N4408&lt;&gt;N4407,ISNUMBER(SEARCH(Лист2!$B$6,N:N)),L4408=2),MAX($M$3:OFFSET(M4408,-1,0))+1,0)</f>
        <v>0</v>
      </c>
      <c r="N4408" s="3" t="s">
        <v>2723</v>
      </c>
    </row>
    <row r="4409" spans="1:14" x14ac:dyDescent="0.25">
      <c r="A4409" s="1" t="s">
        <v>13157</v>
      </c>
      <c r="B4409" s="3" t="s">
        <v>8033</v>
      </c>
      <c r="C4409" s="2">
        <f ca="1">IF(ISNUMBER(SEARCH(Лист2!$B$4,D:D)),MAX($C$3:OFFSET(C4409,-1,0))+1,0)</f>
        <v>0</v>
      </c>
      <c r="E4409" s="9" t="str">
        <f t="shared" ca="1" si="80"/>
        <v/>
      </c>
      <c r="F4409" s="4" t="s">
        <v>26</v>
      </c>
      <c r="G4409" s="2">
        <f>IF(ISNUMBER(SEARCH(Лист2!$B$4,F:F)),1,0)</f>
        <v>0</v>
      </c>
      <c r="H4409" s="3">
        <f ca="1">IF(AND(I4409&lt;&gt;I4408,ISNUMBER(SEARCH(Лист2!$B$5,I:I)),G4409=1),MAX($H$3:OFFSET(H4409,-1,0))+1,0)</f>
        <v>0</v>
      </c>
      <c r="I4409" s="3" t="s">
        <v>360</v>
      </c>
      <c r="K4409" s="2">
        <f>IF(ISNUMBER(SEARCH(Лист2!$B$4,F:F)),1,0)</f>
        <v>0</v>
      </c>
      <c r="L4409" s="14">
        <f>IF(ISNUMBER(SEARCH(Лист2!$B$5,I:I)),1,0)+K4409</f>
        <v>1</v>
      </c>
      <c r="M4409" s="3">
        <f ca="1">IF(AND(N4409&lt;&gt;N4408,ISNUMBER(SEARCH(Лист2!$B$6,N:N)),L4409=2),MAX($M$3:OFFSET(M4409,-1,0))+1,0)</f>
        <v>0</v>
      </c>
      <c r="N4409" s="3" t="s">
        <v>2724</v>
      </c>
    </row>
    <row r="4410" spans="1:14" x14ac:dyDescent="0.25">
      <c r="A4410" s="1" t="s">
        <v>13157</v>
      </c>
      <c r="B4410" s="3" t="s">
        <v>8034</v>
      </c>
      <c r="C4410" s="2">
        <f ca="1">IF(ISNUMBER(SEARCH(Лист2!$B$4,D:D)),MAX($C$3:OFFSET(C4410,-1,0))+1,0)</f>
        <v>0</v>
      </c>
      <c r="E4410" s="9" t="str">
        <f t="shared" ca="1" si="80"/>
        <v/>
      </c>
      <c r="F4410" s="4" t="s">
        <v>26</v>
      </c>
      <c r="G4410" s="2">
        <f>IF(ISNUMBER(SEARCH(Лист2!$B$4,F:F)),1,0)</f>
        <v>0</v>
      </c>
      <c r="H4410" s="3">
        <f ca="1">IF(AND(I4410&lt;&gt;I4409,ISNUMBER(SEARCH(Лист2!$B$5,I:I)),G4410=1),MAX($H$3:OFFSET(H4410,-1,0))+1,0)</f>
        <v>0</v>
      </c>
      <c r="I4410" s="3" t="s">
        <v>360</v>
      </c>
      <c r="K4410" s="2">
        <f>IF(ISNUMBER(SEARCH(Лист2!$B$4,F:F)),1,0)</f>
        <v>0</v>
      </c>
      <c r="L4410" s="14">
        <f>IF(ISNUMBER(SEARCH(Лист2!$B$5,I:I)),1,0)+K4410</f>
        <v>1</v>
      </c>
      <c r="M4410" s="3">
        <f ca="1">IF(AND(N4410&lt;&gt;N4409,ISNUMBER(SEARCH(Лист2!$B$6,N:N)),L4410=2),MAX($M$3:OFFSET(M4410,-1,0))+1,0)</f>
        <v>0</v>
      </c>
      <c r="N4410" s="3" t="s">
        <v>2724</v>
      </c>
    </row>
    <row r="4411" spans="1:14" x14ac:dyDescent="0.25">
      <c r="A4411" s="1" t="s">
        <v>13157</v>
      </c>
      <c r="B4411" s="3" t="s">
        <v>8035</v>
      </c>
      <c r="C4411" s="2">
        <f ca="1">IF(ISNUMBER(SEARCH(Лист2!$B$4,D:D)),MAX($C$3:OFFSET(C4411,-1,0))+1,0)</f>
        <v>0</v>
      </c>
      <c r="E4411" s="9" t="str">
        <f t="shared" ca="1" si="80"/>
        <v/>
      </c>
      <c r="F4411" s="4" t="s">
        <v>26</v>
      </c>
      <c r="G4411" s="2">
        <f>IF(ISNUMBER(SEARCH(Лист2!$B$4,F:F)),1,0)</f>
        <v>0</v>
      </c>
      <c r="H4411" s="3">
        <f ca="1">IF(AND(I4411&lt;&gt;I4410,ISNUMBER(SEARCH(Лист2!$B$5,I:I)),G4411=1),MAX($H$3:OFFSET(H4411,-1,0))+1,0)</f>
        <v>0</v>
      </c>
      <c r="I4411" s="3" t="s">
        <v>360</v>
      </c>
      <c r="K4411" s="2">
        <f>IF(ISNUMBER(SEARCH(Лист2!$B$4,F:F)),1,0)</f>
        <v>0</v>
      </c>
      <c r="L4411" s="14">
        <f>IF(ISNUMBER(SEARCH(Лист2!$B$5,I:I)),1,0)+K4411</f>
        <v>1</v>
      </c>
      <c r="M4411" s="3">
        <f ca="1">IF(AND(N4411&lt;&gt;N4410,ISNUMBER(SEARCH(Лист2!$B$6,N:N)),L4411=2),MAX($M$3:OFFSET(M4411,-1,0))+1,0)</f>
        <v>0</v>
      </c>
      <c r="N4411" s="3" t="s">
        <v>2724</v>
      </c>
    </row>
    <row r="4412" spans="1:14" x14ac:dyDescent="0.25">
      <c r="A4412" s="1" t="s">
        <v>13158</v>
      </c>
      <c r="B4412" s="3" t="s">
        <v>8036</v>
      </c>
      <c r="C4412" s="2">
        <f ca="1">IF(ISNUMBER(SEARCH(Лист2!$B$4,D:D)),MAX($C$3:OFFSET(C4412,-1,0))+1,0)</f>
        <v>0</v>
      </c>
      <c r="E4412" s="9" t="str">
        <f t="shared" ca="1" si="80"/>
        <v/>
      </c>
      <c r="F4412" s="4" t="s">
        <v>26</v>
      </c>
      <c r="G4412" s="2">
        <f>IF(ISNUMBER(SEARCH(Лист2!$B$4,F:F)),1,0)</f>
        <v>0</v>
      </c>
      <c r="H4412" s="3">
        <f ca="1">IF(AND(I4412&lt;&gt;I4411,ISNUMBER(SEARCH(Лист2!$B$5,I:I)),G4412=1),MAX($H$3:OFFSET(H4412,-1,0))+1,0)</f>
        <v>0</v>
      </c>
      <c r="I4412" s="3" t="s">
        <v>360</v>
      </c>
      <c r="K4412" s="2">
        <f>IF(ISNUMBER(SEARCH(Лист2!$B$4,F:F)),1,0)</f>
        <v>0</v>
      </c>
      <c r="L4412" s="14">
        <f>IF(ISNUMBER(SEARCH(Лист2!$B$5,I:I)),1,0)+K4412</f>
        <v>1</v>
      </c>
      <c r="M4412" s="3">
        <f ca="1">IF(AND(N4412&lt;&gt;N4411,ISNUMBER(SEARCH(Лист2!$B$6,N:N)),L4412=2),MAX($M$3:OFFSET(M4412,-1,0))+1,0)</f>
        <v>0</v>
      </c>
      <c r="N4412" s="3" t="s">
        <v>2725</v>
      </c>
    </row>
    <row r="4413" spans="1:14" x14ac:dyDescent="0.25">
      <c r="A4413" s="1" t="s">
        <v>13159</v>
      </c>
      <c r="B4413" s="3" t="s">
        <v>8037</v>
      </c>
      <c r="C4413" s="2">
        <f ca="1">IF(ISNUMBER(SEARCH(Лист2!$B$4,D:D)),MAX($C$3:OFFSET(C4413,-1,0))+1,0)</f>
        <v>0</v>
      </c>
      <c r="E4413" s="9" t="str">
        <f t="shared" ca="1" si="80"/>
        <v/>
      </c>
      <c r="F4413" s="4" t="s">
        <v>26</v>
      </c>
      <c r="G4413" s="2">
        <f>IF(ISNUMBER(SEARCH(Лист2!$B$4,F:F)),1,0)</f>
        <v>0</v>
      </c>
      <c r="H4413" s="3">
        <f ca="1">IF(AND(I4413&lt;&gt;I4412,ISNUMBER(SEARCH(Лист2!$B$5,I:I)),G4413=1),MAX($H$3:OFFSET(H4413,-1,0))+1,0)</f>
        <v>0</v>
      </c>
      <c r="I4413" s="3" t="s">
        <v>360</v>
      </c>
      <c r="K4413" s="2">
        <f>IF(ISNUMBER(SEARCH(Лист2!$B$4,F:F)),1,0)</f>
        <v>0</v>
      </c>
      <c r="L4413" s="14">
        <f>IF(ISNUMBER(SEARCH(Лист2!$B$5,I:I)),1,0)+K4413</f>
        <v>1</v>
      </c>
      <c r="M4413" s="3">
        <f ca="1">IF(AND(N4413&lt;&gt;N4412,ISNUMBER(SEARCH(Лист2!$B$6,N:N)),L4413=2),MAX($M$3:OFFSET(M4413,-1,0))+1,0)</f>
        <v>0</v>
      </c>
      <c r="N4413" s="3" t="s">
        <v>2726</v>
      </c>
    </row>
    <row r="4414" spans="1:14" x14ac:dyDescent="0.25">
      <c r="A4414" s="1" t="s">
        <v>13160</v>
      </c>
      <c r="B4414" s="3" t="s">
        <v>8038</v>
      </c>
      <c r="C4414" s="2">
        <f ca="1">IF(ISNUMBER(SEARCH(Лист2!$B$4,D:D)),MAX($C$3:OFFSET(C4414,-1,0))+1,0)</f>
        <v>0</v>
      </c>
      <c r="E4414" s="9" t="str">
        <f t="shared" ca="1" si="80"/>
        <v/>
      </c>
      <c r="F4414" s="4" t="s">
        <v>26</v>
      </c>
      <c r="G4414" s="2">
        <f>IF(ISNUMBER(SEARCH(Лист2!$B$4,F:F)),1,0)</f>
        <v>0</v>
      </c>
      <c r="H4414" s="3">
        <f ca="1">IF(AND(I4414&lt;&gt;I4413,ISNUMBER(SEARCH(Лист2!$B$5,I:I)),G4414=1),MAX($H$3:OFFSET(H4414,-1,0))+1,0)</f>
        <v>0</v>
      </c>
      <c r="I4414" s="3" t="s">
        <v>361</v>
      </c>
      <c r="K4414" s="2">
        <f>IF(ISNUMBER(SEARCH(Лист2!$B$4,F:F)),1,0)</f>
        <v>0</v>
      </c>
      <c r="L4414" s="14">
        <f>IF(ISNUMBER(SEARCH(Лист2!$B$5,I:I)),1,0)+K4414</f>
        <v>0</v>
      </c>
      <c r="M4414" s="3">
        <f ca="1">IF(AND(N4414&lt;&gt;N4413,ISNUMBER(SEARCH(Лист2!$B$6,N:N)),L4414=2),MAX($M$3:OFFSET(M4414,-1,0))+1,0)</f>
        <v>0</v>
      </c>
      <c r="N4414" s="3" t="s">
        <v>2705</v>
      </c>
    </row>
    <row r="4415" spans="1:14" x14ac:dyDescent="0.25">
      <c r="A4415" s="1" t="s">
        <v>13161</v>
      </c>
      <c r="B4415" s="3" t="s">
        <v>8039</v>
      </c>
      <c r="C4415" s="2">
        <f ca="1">IF(ISNUMBER(SEARCH(Лист2!$B$4,D:D)),MAX($C$3:OFFSET(C4415,-1,0))+1,0)</f>
        <v>0</v>
      </c>
      <c r="E4415" s="9" t="str">
        <f t="shared" ca="1" si="80"/>
        <v/>
      </c>
      <c r="F4415" s="4" t="s">
        <v>26</v>
      </c>
      <c r="G4415" s="2">
        <f>IF(ISNUMBER(SEARCH(Лист2!$B$4,F:F)),1,0)</f>
        <v>0</v>
      </c>
      <c r="H4415" s="3">
        <f ca="1">IF(AND(I4415&lt;&gt;I4414,ISNUMBER(SEARCH(Лист2!$B$5,I:I)),G4415=1),MAX($H$3:OFFSET(H4415,-1,0))+1,0)</f>
        <v>0</v>
      </c>
      <c r="I4415" s="3" t="s">
        <v>361</v>
      </c>
      <c r="K4415" s="2">
        <f>IF(ISNUMBER(SEARCH(Лист2!$B$4,F:F)),1,0)</f>
        <v>0</v>
      </c>
      <c r="L4415" s="14">
        <f>IF(ISNUMBER(SEARCH(Лист2!$B$5,I:I)),1,0)+K4415</f>
        <v>0</v>
      </c>
      <c r="M4415" s="3">
        <f ca="1">IF(AND(N4415&lt;&gt;N4414,ISNUMBER(SEARCH(Лист2!$B$6,N:N)),L4415=2),MAX($M$3:OFFSET(M4415,-1,0))+1,0)</f>
        <v>0</v>
      </c>
      <c r="N4415" s="3" t="s">
        <v>2727</v>
      </c>
    </row>
    <row r="4416" spans="1:14" x14ac:dyDescent="0.25">
      <c r="A4416" s="1" t="s">
        <v>13162</v>
      </c>
      <c r="B4416" s="3" t="s">
        <v>8040</v>
      </c>
      <c r="C4416" s="2">
        <f ca="1">IF(ISNUMBER(SEARCH(Лист2!$B$4,D:D)),MAX($C$3:OFFSET(C4416,-1,0))+1,0)</f>
        <v>0</v>
      </c>
      <c r="E4416" s="9" t="str">
        <f t="shared" ca="1" si="80"/>
        <v/>
      </c>
      <c r="F4416" s="4" t="s">
        <v>26</v>
      </c>
      <c r="G4416" s="2">
        <f>IF(ISNUMBER(SEARCH(Лист2!$B$4,F:F)),1,0)</f>
        <v>0</v>
      </c>
      <c r="H4416" s="3">
        <f ca="1">IF(AND(I4416&lt;&gt;I4415,ISNUMBER(SEARCH(Лист2!$B$5,I:I)),G4416=1),MAX($H$3:OFFSET(H4416,-1,0))+1,0)</f>
        <v>0</v>
      </c>
      <c r="I4416" s="3" t="s">
        <v>361</v>
      </c>
      <c r="K4416" s="2">
        <f>IF(ISNUMBER(SEARCH(Лист2!$B$4,F:F)),1,0)</f>
        <v>0</v>
      </c>
      <c r="L4416" s="14">
        <f>IF(ISNUMBER(SEARCH(Лист2!$B$5,I:I)),1,0)+K4416</f>
        <v>0</v>
      </c>
      <c r="M4416" s="3">
        <f ca="1">IF(AND(N4416&lt;&gt;N4415,ISNUMBER(SEARCH(Лист2!$B$6,N:N)),L4416=2),MAX($M$3:OFFSET(M4416,-1,0))+1,0)</f>
        <v>0</v>
      </c>
      <c r="N4416" s="3" t="s">
        <v>2728</v>
      </c>
    </row>
    <row r="4417" spans="1:14" x14ac:dyDescent="0.25">
      <c r="A4417" s="1" t="s">
        <v>13162</v>
      </c>
      <c r="B4417" s="3" t="s">
        <v>8041</v>
      </c>
      <c r="C4417" s="2">
        <f ca="1">IF(ISNUMBER(SEARCH(Лист2!$B$4,D:D)),MAX($C$3:OFFSET(C4417,-1,0))+1,0)</f>
        <v>0</v>
      </c>
      <c r="E4417" s="9" t="str">
        <f t="shared" ca="1" si="80"/>
        <v/>
      </c>
      <c r="F4417" s="4" t="s">
        <v>26</v>
      </c>
      <c r="G4417" s="2">
        <f>IF(ISNUMBER(SEARCH(Лист2!$B$4,F:F)),1,0)</f>
        <v>0</v>
      </c>
      <c r="H4417" s="3">
        <f ca="1">IF(AND(I4417&lt;&gt;I4416,ISNUMBER(SEARCH(Лист2!$B$5,I:I)),G4417=1),MAX($H$3:OFFSET(H4417,-1,0))+1,0)</f>
        <v>0</v>
      </c>
      <c r="I4417" s="3" t="s">
        <v>361</v>
      </c>
      <c r="K4417" s="2">
        <f>IF(ISNUMBER(SEARCH(Лист2!$B$4,F:F)),1,0)</f>
        <v>0</v>
      </c>
      <c r="L4417" s="14">
        <f>IF(ISNUMBER(SEARCH(Лист2!$B$5,I:I)),1,0)+K4417</f>
        <v>0</v>
      </c>
      <c r="M4417" s="3">
        <f ca="1">IF(AND(N4417&lt;&gt;N4416,ISNUMBER(SEARCH(Лист2!$B$6,N:N)),L4417=2),MAX($M$3:OFFSET(M4417,-1,0))+1,0)</f>
        <v>0</v>
      </c>
      <c r="N4417" s="3" t="s">
        <v>2728</v>
      </c>
    </row>
    <row r="4418" spans="1:14" x14ac:dyDescent="0.25">
      <c r="A4418" s="1" t="s">
        <v>13163</v>
      </c>
      <c r="B4418" s="3" t="s">
        <v>8042</v>
      </c>
      <c r="C4418" s="2">
        <f ca="1">IF(ISNUMBER(SEARCH(Лист2!$B$4,D:D)),MAX($C$3:OFFSET(C4418,-1,0))+1,0)</f>
        <v>0</v>
      </c>
      <c r="E4418" s="9" t="str">
        <f t="shared" ca="1" si="80"/>
        <v/>
      </c>
      <c r="F4418" s="4" t="s">
        <v>26</v>
      </c>
      <c r="G4418" s="2">
        <f>IF(ISNUMBER(SEARCH(Лист2!$B$4,F:F)),1,0)</f>
        <v>0</v>
      </c>
      <c r="H4418" s="3">
        <f ca="1">IF(AND(I4418&lt;&gt;I4417,ISNUMBER(SEARCH(Лист2!$B$5,I:I)),G4418=1),MAX($H$3:OFFSET(H4418,-1,0))+1,0)</f>
        <v>0</v>
      </c>
      <c r="I4418" s="3" t="s">
        <v>361</v>
      </c>
      <c r="K4418" s="2">
        <f>IF(ISNUMBER(SEARCH(Лист2!$B$4,F:F)),1,0)</f>
        <v>0</v>
      </c>
      <c r="L4418" s="14">
        <f>IF(ISNUMBER(SEARCH(Лист2!$B$5,I:I)),1,0)+K4418</f>
        <v>0</v>
      </c>
      <c r="M4418" s="3">
        <f ca="1">IF(AND(N4418&lt;&gt;N4417,ISNUMBER(SEARCH(Лист2!$B$6,N:N)),L4418=2),MAX($M$3:OFFSET(M4418,-1,0))+1,0)</f>
        <v>0</v>
      </c>
      <c r="N4418" s="3" t="s">
        <v>2729</v>
      </c>
    </row>
    <row r="4419" spans="1:14" x14ac:dyDescent="0.25">
      <c r="A4419" s="1" t="s">
        <v>13164</v>
      </c>
      <c r="B4419" s="3" t="s">
        <v>8043</v>
      </c>
      <c r="C4419" s="2">
        <f ca="1">IF(ISNUMBER(SEARCH(Лист2!$B$4,D:D)),MAX($C$3:OFFSET(C4419,-1,0))+1,0)</f>
        <v>0</v>
      </c>
      <c r="E4419" s="9" t="str">
        <f t="shared" ca="1" si="80"/>
        <v/>
      </c>
      <c r="F4419" s="4" t="s">
        <v>26</v>
      </c>
      <c r="G4419" s="2">
        <f>IF(ISNUMBER(SEARCH(Лист2!$B$4,F:F)),1,0)</f>
        <v>0</v>
      </c>
      <c r="H4419" s="3">
        <f ca="1">IF(AND(I4419&lt;&gt;I4418,ISNUMBER(SEARCH(Лист2!$B$5,I:I)),G4419=1),MAX($H$3:OFFSET(H4419,-1,0))+1,0)</f>
        <v>0</v>
      </c>
      <c r="I4419" s="3" t="s">
        <v>361</v>
      </c>
      <c r="K4419" s="2">
        <f>IF(ISNUMBER(SEARCH(Лист2!$B$4,F:F)),1,0)</f>
        <v>0</v>
      </c>
      <c r="L4419" s="14">
        <f>IF(ISNUMBER(SEARCH(Лист2!$B$5,I:I)),1,0)+K4419</f>
        <v>0</v>
      </c>
      <c r="M4419" s="3">
        <f ca="1">IF(AND(N4419&lt;&gt;N4418,ISNUMBER(SEARCH(Лист2!$B$6,N:N)),L4419=2),MAX($M$3:OFFSET(M4419,-1,0))+1,0)</f>
        <v>0</v>
      </c>
      <c r="N4419" s="3" t="s">
        <v>2730</v>
      </c>
    </row>
    <row r="4420" spans="1:14" x14ac:dyDescent="0.25">
      <c r="A4420" s="1" t="s">
        <v>13165</v>
      </c>
      <c r="B4420" s="3" t="s">
        <v>8044</v>
      </c>
      <c r="C4420" s="2">
        <f ca="1">IF(ISNUMBER(SEARCH(Лист2!$B$4,D:D)),MAX($C$3:OFFSET(C4420,-1,0))+1,0)</f>
        <v>0</v>
      </c>
      <c r="E4420" s="9" t="str">
        <f t="shared" ca="1" si="80"/>
        <v/>
      </c>
      <c r="F4420" s="4" t="s">
        <v>26</v>
      </c>
      <c r="G4420" s="2">
        <f>IF(ISNUMBER(SEARCH(Лист2!$B$4,F:F)),1,0)</f>
        <v>0</v>
      </c>
      <c r="H4420" s="3">
        <f ca="1">IF(AND(I4420&lt;&gt;I4419,ISNUMBER(SEARCH(Лист2!$B$5,I:I)),G4420=1),MAX($H$3:OFFSET(H4420,-1,0))+1,0)</f>
        <v>0</v>
      </c>
      <c r="I4420" s="3" t="s">
        <v>361</v>
      </c>
      <c r="K4420" s="2">
        <f>IF(ISNUMBER(SEARCH(Лист2!$B$4,F:F)),1,0)</f>
        <v>0</v>
      </c>
      <c r="L4420" s="14">
        <f>IF(ISNUMBER(SEARCH(Лист2!$B$5,I:I)),1,0)+K4420</f>
        <v>0</v>
      </c>
      <c r="M4420" s="3">
        <f ca="1">IF(AND(N4420&lt;&gt;N4419,ISNUMBER(SEARCH(Лист2!$B$6,N:N)),L4420=2),MAX($M$3:OFFSET(M4420,-1,0))+1,0)</f>
        <v>0</v>
      </c>
      <c r="N4420" s="3" t="s">
        <v>602</v>
      </c>
    </row>
    <row r="4421" spans="1:14" x14ac:dyDescent="0.25">
      <c r="A4421" s="1" t="s">
        <v>13166</v>
      </c>
      <c r="B4421" s="3" t="s">
        <v>8045</v>
      </c>
      <c r="C4421" s="2">
        <f ca="1">IF(ISNUMBER(SEARCH(Лист2!$B$4,D:D)),MAX($C$3:OFFSET(C4421,-1,0))+1,0)</f>
        <v>0</v>
      </c>
      <c r="E4421" s="9" t="str">
        <f t="shared" ref="E4421:E4484" ca="1" si="81">IFERROR(INDEX(D:D,MATCH(ROW(E4421)-ROW($E$3),C:C,0)),"")</f>
        <v/>
      </c>
      <c r="F4421" s="4" t="s">
        <v>26</v>
      </c>
      <c r="G4421" s="2">
        <f>IF(ISNUMBER(SEARCH(Лист2!$B$4,F:F)),1,0)</f>
        <v>0</v>
      </c>
      <c r="H4421" s="3">
        <f ca="1">IF(AND(I4421&lt;&gt;I4420,ISNUMBER(SEARCH(Лист2!$B$5,I:I)),G4421=1),MAX($H$3:OFFSET(H4421,-1,0))+1,0)</f>
        <v>0</v>
      </c>
      <c r="I4421" s="3" t="s">
        <v>361</v>
      </c>
      <c r="K4421" s="2">
        <f>IF(ISNUMBER(SEARCH(Лист2!$B$4,F:F)),1,0)</f>
        <v>0</v>
      </c>
      <c r="L4421" s="14">
        <f>IF(ISNUMBER(SEARCH(Лист2!$B$5,I:I)),1,0)+K4421</f>
        <v>0</v>
      </c>
      <c r="M4421" s="3">
        <f ca="1">IF(AND(N4421&lt;&gt;N4420,ISNUMBER(SEARCH(Лист2!$B$6,N:N)),L4421=2),MAX($M$3:OFFSET(M4421,-1,0))+1,0)</f>
        <v>0</v>
      </c>
      <c r="N4421" s="3" t="s">
        <v>2731</v>
      </c>
    </row>
    <row r="4422" spans="1:14" x14ac:dyDescent="0.25">
      <c r="A4422" s="1" t="s">
        <v>13167</v>
      </c>
      <c r="B4422" s="3" t="s">
        <v>8046</v>
      </c>
      <c r="C4422" s="2">
        <f ca="1">IF(ISNUMBER(SEARCH(Лист2!$B$4,D:D)),MAX($C$3:OFFSET(C4422,-1,0))+1,0)</f>
        <v>0</v>
      </c>
      <c r="E4422" s="9" t="str">
        <f t="shared" ca="1" si="81"/>
        <v/>
      </c>
      <c r="F4422" s="4" t="s">
        <v>26</v>
      </c>
      <c r="G4422" s="2">
        <f>IF(ISNUMBER(SEARCH(Лист2!$B$4,F:F)),1,0)</f>
        <v>0</v>
      </c>
      <c r="H4422" s="3">
        <f ca="1">IF(AND(I4422&lt;&gt;I4421,ISNUMBER(SEARCH(Лист2!$B$5,I:I)),G4422=1),MAX($H$3:OFFSET(H4422,-1,0))+1,0)</f>
        <v>0</v>
      </c>
      <c r="I4422" s="3" t="s">
        <v>361</v>
      </c>
      <c r="K4422" s="2">
        <f>IF(ISNUMBER(SEARCH(Лист2!$B$4,F:F)),1,0)</f>
        <v>0</v>
      </c>
      <c r="L4422" s="14">
        <f>IF(ISNUMBER(SEARCH(Лист2!$B$5,I:I)),1,0)+K4422</f>
        <v>0</v>
      </c>
      <c r="M4422" s="3">
        <f ca="1">IF(AND(N4422&lt;&gt;N4421,ISNUMBER(SEARCH(Лист2!$B$6,N:N)),L4422=2),MAX($M$3:OFFSET(M4422,-1,0))+1,0)</f>
        <v>0</v>
      </c>
      <c r="N4422" s="3" t="s">
        <v>2732</v>
      </c>
    </row>
    <row r="4423" spans="1:14" x14ac:dyDescent="0.25">
      <c r="A4423" s="1" t="s">
        <v>13168</v>
      </c>
      <c r="B4423" s="3" t="s">
        <v>8047</v>
      </c>
      <c r="C4423" s="2">
        <f ca="1">IF(ISNUMBER(SEARCH(Лист2!$B$4,D:D)),MAX($C$3:OFFSET(C4423,-1,0))+1,0)</f>
        <v>0</v>
      </c>
      <c r="E4423" s="9" t="str">
        <f t="shared" ca="1" si="81"/>
        <v/>
      </c>
      <c r="F4423" s="4" t="s">
        <v>26</v>
      </c>
      <c r="G4423" s="2">
        <f>IF(ISNUMBER(SEARCH(Лист2!$B$4,F:F)),1,0)</f>
        <v>0</v>
      </c>
      <c r="H4423" s="3">
        <f ca="1">IF(AND(I4423&lt;&gt;I4422,ISNUMBER(SEARCH(Лист2!$B$5,I:I)),G4423=1),MAX($H$3:OFFSET(H4423,-1,0))+1,0)</f>
        <v>0</v>
      </c>
      <c r="I4423" s="3" t="s">
        <v>361</v>
      </c>
      <c r="K4423" s="2">
        <f>IF(ISNUMBER(SEARCH(Лист2!$B$4,F:F)),1,0)</f>
        <v>0</v>
      </c>
      <c r="L4423" s="14">
        <f>IF(ISNUMBER(SEARCH(Лист2!$B$5,I:I)),1,0)+K4423</f>
        <v>0</v>
      </c>
      <c r="M4423" s="3">
        <f ca="1">IF(AND(N4423&lt;&gt;N4422,ISNUMBER(SEARCH(Лист2!$B$6,N:N)),L4423=2),MAX($M$3:OFFSET(M4423,-1,0))+1,0)</f>
        <v>0</v>
      </c>
      <c r="N4423" s="3" t="s">
        <v>620</v>
      </c>
    </row>
    <row r="4424" spans="1:14" x14ac:dyDescent="0.25">
      <c r="A4424" s="1" t="s">
        <v>13169</v>
      </c>
      <c r="B4424" s="3" t="s">
        <v>8048</v>
      </c>
      <c r="C4424" s="2">
        <f ca="1">IF(ISNUMBER(SEARCH(Лист2!$B$4,D:D)),MAX($C$3:OFFSET(C4424,-1,0))+1,0)</f>
        <v>0</v>
      </c>
      <c r="E4424" s="9" t="str">
        <f t="shared" ca="1" si="81"/>
        <v/>
      </c>
      <c r="F4424" s="4" t="s">
        <v>26</v>
      </c>
      <c r="G4424" s="2">
        <f>IF(ISNUMBER(SEARCH(Лист2!$B$4,F:F)),1,0)</f>
        <v>0</v>
      </c>
      <c r="H4424" s="3">
        <f ca="1">IF(AND(I4424&lt;&gt;I4423,ISNUMBER(SEARCH(Лист2!$B$5,I:I)),G4424=1),MAX($H$3:OFFSET(H4424,-1,0))+1,0)</f>
        <v>0</v>
      </c>
      <c r="I4424" s="3" t="s">
        <v>362</v>
      </c>
      <c r="K4424" s="2">
        <f>IF(ISNUMBER(SEARCH(Лист2!$B$4,F:F)),1,0)</f>
        <v>0</v>
      </c>
      <c r="L4424" s="14">
        <f>IF(ISNUMBER(SEARCH(Лист2!$B$5,I:I)),1,0)+K4424</f>
        <v>0</v>
      </c>
      <c r="M4424" s="3">
        <f ca="1">IF(AND(N4424&lt;&gt;N4423,ISNUMBER(SEARCH(Лист2!$B$6,N:N)),L4424=2),MAX($M$3:OFFSET(M4424,-1,0))+1,0)</f>
        <v>0</v>
      </c>
      <c r="N4424" s="3" t="s">
        <v>2705</v>
      </c>
    </row>
    <row r="4425" spans="1:14" x14ac:dyDescent="0.25">
      <c r="A4425" s="1" t="s">
        <v>13170</v>
      </c>
      <c r="B4425" s="3" t="s">
        <v>8049</v>
      </c>
      <c r="C4425" s="2">
        <f ca="1">IF(ISNUMBER(SEARCH(Лист2!$B$4,D:D)),MAX($C$3:OFFSET(C4425,-1,0))+1,0)</f>
        <v>0</v>
      </c>
      <c r="E4425" s="9" t="str">
        <f t="shared" ca="1" si="81"/>
        <v/>
      </c>
      <c r="F4425" s="4" t="s">
        <v>26</v>
      </c>
      <c r="G4425" s="2">
        <f>IF(ISNUMBER(SEARCH(Лист2!$B$4,F:F)),1,0)</f>
        <v>0</v>
      </c>
      <c r="H4425" s="3">
        <f ca="1">IF(AND(I4425&lt;&gt;I4424,ISNUMBER(SEARCH(Лист2!$B$5,I:I)),G4425=1),MAX($H$3:OFFSET(H4425,-1,0))+1,0)</f>
        <v>0</v>
      </c>
      <c r="I4425" s="3" t="s">
        <v>362</v>
      </c>
      <c r="K4425" s="2">
        <f>IF(ISNUMBER(SEARCH(Лист2!$B$4,F:F)),1,0)</f>
        <v>0</v>
      </c>
      <c r="L4425" s="14">
        <f>IF(ISNUMBER(SEARCH(Лист2!$B$5,I:I)),1,0)+K4425</f>
        <v>0</v>
      </c>
      <c r="M4425" s="3">
        <f ca="1">IF(AND(N4425&lt;&gt;N4424,ISNUMBER(SEARCH(Лист2!$B$6,N:N)),L4425=2),MAX($M$3:OFFSET(M4425,-1,0))+1,0)</f>
        <v>0</v>
      </c>
      <c r="N4425" s="3" t="s">
        <v>2733</v>
      </c>
    </row>
    <row r="4426" spans="1:14" x14ac:dyDescent="0.25">
      <c r="A4426" s="1" t="s">
        <v>13171</v>
      </c>
      <c r="B4426" s="3" t="s">
        <v>8050</v>
      </c>
      <c r="C4426" s="2">
        <f ca="1">IF(ISNUMBER(SEARCH(Лист2!$B$4,D:D)),MAX($C$3:OFFSET(C4426,-1,0))+1,0)</f>
        <v>0</v>
      </c>
      <c r="E4426" s="9" t="str">
        <f t="shared" ca="1" si="81"/>
        <v/>
      </c>
      <c r="F4426" s="4" t="s">
        <v>26</v>
      </c>
      <c r="G4426" s="2">
        <f>IF(ISNUMBER(SEARCH(Лист2!$B$4,F:F)),1,0)</f>
        <v>0</v>
      </c>
      <c r="H4426" s="3">
        <f ca="1">IF(AND(I4426&lt;&gt;I4425,ISNUMBER(SEARCH(Лист2!$B$5,I:I)),G4426=1),MAX($H$3:OFFSET(H4426,-1,0))+1,0)</f>
        <v>0</v>
      </c>
      <c r="I4426" s="3" t="s">
        <v>362</v>
      </c>
      <c r="K4426" s="2">
        <f>IF(ISNUMBER(SEARCH(Лист2!$B$4,F:F)),1,0)</f>
        <v>0</v>
      </c>
      <c r="L4426" s="14">
        <f>IF(ISNUMBER(SEARCH(Лист2!$B$5,I:I)),1,0)+K4426</f>
        <v>0</v>
      </c>
      <c r="M4426" s="3">
        <f ca="1">IF(AND(N4426&lt;&gt;N4425,ISNUMBER(SEARCH(Лист2!$B$6,N:N)),L4426=2),MAX($M$3:OFFSET(M4426,-1,0))+1,0)</f>
        <v>0</v>
      </c>
      <c r="N4426" s="3" t="s">
        <v>2734</v>
      </c>
    </row>
    <row r="4427" spans="1:14" x14ac:dyDescent="0.25">
      <c r="A4427" s="1" t="s">
        <v>13171</v>
      </c>
      <c r="B4427" s="3" t="s">
        <v>8051</v>
      </c>
      <c r="C4427" s="2">
        <f ca="1">IF(ISNUMBER(SEARCH(Лист2!$B$4,D:D)),MAX($C$3:OFFSET(C4427,-1,0))+1,0)</f>
        <v>0</v>
      </c>
      <c r="E4427" s="9" t="str">
        <f t="shared" ca="1" si="81"/>
        <v/>
      </c>
      <c r="F4427" s="4" t="s">
        <v>26</v>
      </c>
      <c r="G4427" s="2">
        <f>IF(ISNUMBER(SEARCH(Лист2!$B$4,F:F)),1,0)</f>
        <v>0</v>
      </c>
      <c r="H4427" s="3">
        <f ca="1">IF(AND(I4427&lt;&gt;I4426,ISNUMBER(SEARCH(Лист2!$B$5,I:I)),G4427=1),MAX($H$3:OFFSET(H4427,-1,0))+1,0)</f>
        <v>0</v>
      </c>
      <c r="I4427" s="3" t="s">
        <v>362</v>
      </c>
      <c r="K4427" s="2">
        <f>IF(ISNUMBER(SEARCH(Лист2!$B$4,F:F)),1,0)</f>
        <v>0</v>
      </c>
      <c r="L4427" s="14">
        <f>IF(ISNUMBER(SEARCH(Лист2!$B$5,I:I)),1,0)+K4427</f>
        <v>0</v>
      </c>
      <c r="M4427" s="3">
        <f ca="1">IF(AND(N4427&lt;&gt;N4426,ISNUMBER(SEARCH(Лист2!$B$6,N:N)),L4427=2),MAX($M$3:OFFSET(M4427,-1,0))+1,0)</f>
        <v>0</v>
      </c>
      <c r="N4427" s="3" t="s">
        <v>2734</v>
      </c>
    </row>
    <row r="4428" spans="1:14" x14ac:dyDescent="0.25">
      <c r="A4428" s="1" t="s">
        <v>13172</v>
      </c>
      <c r="B4428" s="3" t="s">
        <v>8052</v>
      </c>
      <c r="C4428" s="2">
        <f ca="1">IF(ISNUMBER(SEARCH(Лист2!$B$4,D:D)),MAX($C$3:OFFSET(C4428,-1,0))+1,0)</f>
        <v>0</v>
      </c>
      <c r="E4428" s="9" t="str">
        <f t="shared" ca="1" si="81"/>
        <v/>
      </c>
      <c r="F4428" s="4" t="s">
        <v>26</v>
      </c>
      <c r="G4428" s="2">
        <f>IF(ISNUMBER(SEARCH(Лист2!$B$4,F:F)),1,0)</f>
        <v>0</v>
      </c>
      <c r="H4428" s="3">
        <f ca="1">IF(AND(I4428&lt;&gt;I4427,ISNUMBER(SEARCH(Лист2!$B$5,I:I)),G4428=1),MAX($H$3:OFFSET(H4428,-1,0))+1,0)</f>
        <v>0</v>
      </c>
      <c r="I4428" s="3" t="s">
        <v>362</v>
      </c>
      <c r="K4428" s="2">
        <f>IF(ISNUMBER(SEARCH(Лист2!$B$4,F:F)),1,0)</f>
        <v>0</v>
      </c>
      <c r="L4428" s="14">
        <f>IF(ISNUMBER(SEARCH(Лист2!$B$5,I:I)),1,0)+K4428</f>
        <v>0</v>
      </c>
      <c r="M4428" s="3">
        <f ca="1">IF(AND(N4428&lt;&gt;N4427,ISNUMBER(SEARCH(Лист2!$B$6,N:N)),L4428=2),MAX($M$3:OFFSET(M4428,-1,0))+1,0)</f>
        <v>0</v>
      </c>
      <c r="N4428" s="3" t="s">
        <v>2735</v>
      </c>
    </row>
    <row r="4429" spans="1:14" x14ac:dyDescent="0.25">
      <c r="A4429" s="1" t="s">
        <v>13173</v>
      </c>
      <c r="B4429" s="3" t="s">
        <v>8053</v>
      </c>
      <c r="C4429" s="2">
        <f ca="1">IF(ISNUMBER(SEARCH(Лист2!$B$4,D:D)),MAX($C$3:OFFSET(C4429,-1,0))+1,0)</f>
        <v>0</v>
      </c>
      <c r="E4429" s="9" t="str">
        <f t="shared" ca="1" si="81"/>
        <v/>
      </c>
      <c r="F4429" s="4" t="s">
        <v>26</v>
      </c>
      <c r="G4429" s="2">
        <f>IF(ISNUMBER(SEARCH(Лист2!$B$4,F:F)),1,0)</f>
        <v>0</v>
      </c>
      <c r="H4429" s="3">
        <f ca="1">IF(AND(I4429&lt;&gt;I4428,ISNUMBER(SEARCH(Лист2!$B$5,I:I)),G4429=1),MAX($H$3:OFFSET(H4429,-1,0))+1,0)</f>
        <v>0</v>
      </c>
      <c r="I4429" s="3" t="s">
        <v>362</v>
      </c>
      <c r="K4429" s="2">
        <f>IF(ISNUMBER(SEARCH(Лист2!$B$4,F:F)),1,0)</f>
        <v>0</v>
      </c>
      <c r="L4429" s="14">
        <f>IF(ISNUMBER(SEARCH(Лист2!$B$5,I:I)),1,0)+K4429</f>
        <v>0</v>
      </c>
      <c r="M4429" s="3">
        <f ca="1">IF(AND(N4429&lt;&gt;N4428,ISNUMBER(SEARCH(Лист2!$B$6,N:N)),L4429=2),MAX($M$3:OFFSET(M4429,-1,0))+1,0)</f>
        <v>0</v>
      </c>
      <c r="N4429" s="3" t="s">
        <v>2736</v>
      </c>
    </row>
    <row r="4430" spans="1:14" x14ac:dyDescent="0.25">
      <c r="A4430" s="1" t="s">
        <v>13174</v>
      </c>
      <c r="B4430" s="3" t="s">
        <v>8054</v>
      </c>
      <c r="C4430" s="2">
        <f ca="1">IF(ISNUMBER(SEARCH(Лист2!$B$4,D:D)),MAX($C$3:OFFSET(C4430,-1,0))+1,0)</f>
        <v>0</v>
      </c>
      <c r="E4430" s="9" t="str">
        <f t="shared" ca="1" si="81"/>
        <v/>
      </c>
      <c r="F4430" s="4" t="s">
        <v>26</v>
      </c>
      <c r="G4430" s="2">
        <f>IF(ISNUMBER(SEARCH(Лист2!$B$4,F:F)),1,0)</f>
        <v>0</v>
      </c>
      <c r="H4430" s="3">
        <f ca="1">IF(AND(I4430&lt;&gt;I4429,ISNUMBER(SEARCH(Лист2!$B$5,I:I)),G4430=1),MAX($H$3:OFFSET(H4430,-1,0))+1,0)</f>
        <v>0</v>
      </c>
      <c r="I4430" s="3" t="s">
        <v>362</v>
      </c>
      <c r="K4430" s="2">
        <f>IF(ISNUMBER(SEARCH(Лист2!$B$4,F:F)),1,0)</f>
        <v>0</v>
      </c>
      <c r="L4430" s="14">
        <f>IF(ISNUMBER(SEARCH(Лист2!$B$5,I:I)),1,0)+K4430</f>
        <v>0</v>
      </c>
      <c r="M4430" s="3">
        <f ca="1">IF(AND(N4430&lt;&gt;N4429,ISNUMBER(SEARCH(Лист2!$B$6,N:N)),L4430=2),MAX($M$3:OFFSET(M4430,-1,0))+1,0)</f>
        <v>0</v>
      </c>
      <c r="N4430" s="3" t="s">
        <v>602</v>
      </c>
    </row>
    <row r="4431" spans="1:14" x14ac:dyDescent="0.25">
      <c r="A4431" s="1" t="s">
        <v>13175</v>
      </c>
      <c r="B4431" s="3" t="s">
        <v>8055</v>
      </c>
      <c r="C4431" s="2">
        <f ca="1">IF(ISNUMBER(SEARCH(Лист2!$B$4,D:D)),MAX($C$3:OFFSET(C4431,-1,0))+1,0)</f>
        <v>0</v>
      </c>
      <c r="E4431" s="9" t="str">
        <f t="shared" ca="1" si="81"/>
        <v/>
      </c>
      <c r="F4431" s="4" t="s">
        <v>26</v>
      </c>
      <c r="G4431" s="2">
        <f>IF(ISNUMBER(SEARCH(Лист2!$B$4,F:F)),1,0)</f>
        <v>0</v>
      </c>
      <c r="H4431" s="3">
        <f ca="1">IF(AND(I4431&lt;&gt;I4430,ISNUMBER(SEARCH(Лист2!$B$5,I:I)),G4431=1),MAX($H$3:OFFSET(H4431,-1,0))+1,0)</f>
        <v>0</v>
      </c>
      <c r="I4431" s="3" t="s">
        <v>362</v>
      </c>
      <c r="K4431" s="2">
        <f>IF(ISNUMBER(SEARCH(Лист2!$B$4,F:F)),1,0)</f>
        <v>0</v>
      </c>
      <c r="L4431" s="14">
        <f>IF(ISNUMBER(SEARCH(Лист2!$B$5,I:I)),1,0)+K4431</f>
        <v>0</v>
      </c>
      <c r="M4431" s="3">
        <f ca="1">IF(AND(N4431&lt;&gt;N4430,ISNUMBER(SEARCH(Лист2!$B$6,N:N)),L4431=2),MAX($M$3:OFFSET(M4431,-1,0))+1,0)</f>
        <v>0</v>
      </c>
      <c r="N4431" s="3" t="s">
        <v>2737</v>
      </c>
    </row>
    <row r="4432" spans="1:14" x14ac:dyDescent="0.25">
      <c r="A4432" s="1" t="s">
        <v>13176</v>
      </c>
      <c r="B4432" s="3" t="s">
        <v>8056</v>
      </c>
      <c r="C4432" s="2">
        <f ca="1">IF(ISNUMBER(SEARCH(Лист2!$B$4,D:D)),MAX($C$3:OFFSET(C4432,-1,0))+1,0)</f>
        <v>0</v>
      </c>
      <c r="E4432" s="9" t="str">
        <f t="shared" ca="1" si="81"/>
        <v/>
      </c>
      <c r="F4432" s="4" t="s">
        <v>35</v>
      </c>
      <c r="G4432" s="2">
        <f>IF(ISNUMBER(SEARCH(Лист2!$B$4,F:F)),1,0)</f>
        <v>0</v>
      </c>
      <c r="H4432" s="3">
        <f ca="1">IF(AND(I4432&lt;&gt;I4431,ISNUMBER(SEARCH(Лист2!$B$5,I:I)),G4432=1),MAX($H$3:OFFSET(H4432,-1,0))+1,0)</f>
        <v>0</v>
      </c>
      <c r="I4432" s="3" t="s">
        <v>365</v>
      </c>
      <c r="K4432" s="2">
        <f>IF(ISNUMBER(SEARCH(Лист2!$B$4,F:F)),1,0)</f>
        <v>0</v>
      </c>
      <c r="L4432" s="14">
        <f>IF(ISNUMBER(SEARCH(Лист2!$B$5,I:I)),1,0)+K4432</f>
        <v>0</v>
      </c>
      <c r="M4432" s="3">
        <f ca="1">IF(AND(N4432&lt;&gt;N4431,ISNUMBER(SEARCH(Лист2!$B$6,N:N)),L4432=2),MAX($M$3:OFFSET(M4432,-1,0))+1,0)</f>
        <v>0</v>
      </c>
      <c r="N4432" s="3" t="s">
        <v>2748</v>
      </c>
    </row>
    <row r="4433" spans="1:14" x14ac:dyDescent="0.25">
      <c r="A4433" s="1" t="s">
        <v>13177</v>
      </c>
      <c r="B4433" s="3" t="s">
        <v>8057</v>
      </c>
      <c r="C4433" s="2">
        <f ca="1">IF(ISNUMBER(SEARCH(Лист2!$B$4,D:D)),MAX($C$3:OFFSET(C4433,-1,0))+1,0)</f>
        <v>0</v>
      </c>
      <c r="E4433" s="9" t="str">
        <f t="shared" ca="1" si="81"/>
        <v/>
      </c>
      <c r="F4433" s="4" t="s">
        <v>35</v>
      </c>
      <c r="G4433" s="2">
        <f>IF(ISNUMBER(SEARCH(Лист2!$B$4,F:F)),1,0)</f>
        <v>0</v>
      </c>
      <c r="H4433" s="3">
        <f ca="1">IF(AND(I4433&lt;&gt;I4432,ISNUMBER(SEARCH(Лист2!$B$5,I:I)),G4433=1),MAX($H$3:OFFSET(H4433,-1,0))+1,0)</f>
        <v>0</v>
      </c>
      <c r="I4433" s="3" t="s">
        <v>365</v>
      </c>
      <c r="K4433" s="2">
        <f>IF(ISNUMBER(SEARCH(Лист2!$B$4,F:F)),1,0)</f>
        <v>0</v>
      </c>
      <c r="L4433" s="14">
        <f>IF(ISNUMBER(SEARCH(Лист2!$B$5,I:I)),1,0)+K4433</f>
        <v>0</v>
      </c>
      <c r="M4433" s="3">
        <f ca="1">IF(AND(N4433&lt;&gt;N4432,ISNUMBER(SEARCH(Лист2!$B$6,N:N)),L4433=2),MAX($M$3:OFFSET(M4433,-1,0))+1,0)</f>
        <v>0</v>
      </c>
      <c r="N4433" s="3" t="s">
        <v>2749</v>
      </c>
    </row>
    <row r="4434" spans="1:14" x14ac:dyDescent="0.25">
      <c r="A4434" s="1" t="s">
        <v>13178</v>
      </c>
      <c r="B4434" s="3" t="s">
        <v>8058</v>
      </c>
      <c r="C4434" s="2">
        <f ca="1">IF(ISNUMBER(SEARCH(Лист2!$B$4,D:D)),MAX($C$3:OFFSET(C4434,-1,0))+1,0)</f>
        <v>0</v>
      </c>
      <c r="E4434" s="9" t="str">
        <f t="shared" ca="1" si="81"/>
        <v/>
      </c>
      <c r="F4434" s="4" t="s">
        <v>35</v>
      </c>
      <c r="G4434" s="2">
        <f>IF(ISNUMBER(SEARCH(Лист2!$B$4,F:F)),1,0)</f>
        <v>0</v>
      </c>
      <c r="H4434" s="3">
        <f ca="1">IF(AND(I4434&lt;&gt;I4433,ISNUMBER(SEARCH(Лист2!$B$5,I:I)),G4434=1),MAX($H$3:OFFSET(H4434,-1,0))+1,0)</f>
        <v>0</v>
      </c>
      <c r="I4434" s="3" t="s">
        <v>365</v>
      </c>
      <c r="K4434" s="2">
        <f>IF(ISNUMBER(SEARCH(Лист2!$B$4,F:F)),1,0)</f>
        <v>0</v>
      </c>
      <c r="L4434" s="14">
        <f>IF(ISNUMBER(SEARCH(Лист2!$B$5,I:I)),1,0)+K4434</f>
        <v>0</v>
      </c>
      <c r="M4434" s="3">
        <f ca="1">IF(AND(N4434&lt;&gt;N4433,ISNUMBER(SEARCH(Лист2!$B$6,N:N)),L4434=2),MAX($M$3:OFFSET(M4434,-1,0))+1,0)</f>
        <v>0</v>
      </c>
      <c r="N4434" s="3" t="s">
        <v>2750</v>
      </c>
    </row>
    <row r="4435" spans="1:14" x14ac:dyDescent="0.25">
      <c r="A4435" s="1" t="s">
        <v>13179</v>
      </c>
      <c r="B4435" s="3" t="s">
        <v>8059</v>
      </c>
      <c r="C4435" s="2">
        <f ca="1">IF(ISNUMBER(SEARCH(Лист2!$B$4,D:D)),MAX($C$3:OFFSET(C4435,-1,0))+1,0)</f>
        <v>0</v>
      </c>
      <c r="E4435" s="9" t="str">
        <f t="shared" ca="1" si="81"/>
        <v/>
      </c>
      <c r="F4435" s="4" t="s">
        <v>35</v>
      </c>
      <c r="G4435" s="2">
        <f>IF(ISNUMBER(SEARCH(Лист2!$B$4,F:F)),1,0)</f>
        <v>0</v>
      </c>
      <c r="H4435" s="3">
        <f ca="1">IF(AND(I4435&lt;&gt;I4434,ISNUMBER(SEARCH(Лист2!$B$5,I:I)),G4435=1),MAX($H$3:OFFSET(H4435,-1,0))+1,0)</f>
        <v>0</v>
      </c>
      <c r="I4435" s="3" t="s">
        <v>365</v>
      </c>
      <c r="K4435" s="2">
        <f>IF(ISNUMBER(SEARCH(Лист2!$B$4,F:F)),1,0)</f>
        <v>0</v>
      </c>
      <c r="L4435" s="14">
        <f>IF(ISNUMBER(SEARCH(Лист2!$B$5,I:I)),1,0)+K4435</f>
        <v>0</v>
      </c>
      <c r="M4435" s="3">
        <f ca="1">IF(AND(N4435&lt;&gt;N4434,ISNUMBER(SEARCH(Лист2!$B$6,N:N)),L4435=2),MAX($M$3:OFFSET(M4435,-1,0))+1,0)</f>
        <v>0</v>
      </c>
      <c r="N4435" s="3" t="s">
        <v>2751</v>
      </c>
    </row>
    <row r="4436" spans="1:14" x14ac:dyDescent="0.25">
      <c r="A4436" s="1" t="s">
        <v>13180</v>
      </c>
      <c r="B4436" s="3" t="s">
        <v>8060</v>
      </c>
      <c r="C4436" s="2">
        <f ca="1">IF(ISNUMBER(SEARCH(Лист2!$B$4,D:D)),MAX($C$3:OFFSET(C4436,-1,0))+1,0)</f>
        <v>0</v>
      </c>
      <c r="E4436" s="9" t="str">
        <f t="shared" ca="1" si="81"/>
        <v/>
      </c>
      <c r="F4436" s="4" t="s">
        <v>35</v>
      </c>
      <c r="G4436" s="2">
        <f>IF(ISNUMBER(SEARCH(Лист2!$B$4,F:F)),1,0)</f>
        <v>0</v>
      </c>
      <c r="H4436" s="3">
        <f ca="1">IF(AND(I4436&lt;&gt;I4435,ISNUMBER(SEARCH(Лист2!$B$5,I:I)),G4436=1),MAX($H$3:OFFSET(H4436,-1,0))+1,0)</f>
        <v>0</v>
      </c>
      <c r="I4436" s="3" t="s">
        <v>365</v>
      </c>
      <c r="K4436" s="2">
        <f>IF(ISNUMBER(SEARCH(Лист2!$B$4,F:F)),1,0)</f>
        <v>0</v>
      </c>
      <c r="L4436" s="14">
        <f>IF(ISNUMBER(SEARCH(Лист2!$B$5,I:I)),1,0)+K4436</f>
        <v>0</v>
      </c>
      <c r="M4436" s="3">
        <f ca="1">IF(AND(N4436&lt;&gt;N4435,ISNUMBER(SEARCH(Лист2!$B$6,N:N)),L4436=2),MAX($M$3:OFFSET(M4436,-1,0))+1,0)</f>
        <v>0</v>
      </c>
      <c r="N4436" s="3" t="s">
        <v>2752</v>
      </c>
    </row>
    <row r="4437" spans="1:14" x14ac:dyDescent="0.25">
      <c r="A4437" s="1" t="s">
        <v>13181</v>
      </c>
      <c r="B4437" s="3" t="s">
        <v>8061</v>
      </c>
      <c r="C4437" s="2">
        <f ca="1">IF(ISNUMBER(SEARCH(Лист2!$B$4,D:D)),MAX($C$3:OFFSET(C4437,-1,0))+1,0)</f>
        <v>0</v>
      </c>
      <c r="E4437" s="9" t="str">
        <f t="shared" ca="1" si="81"/>
        <v/>
      </c>
      <c r="F4437" s="4" t="s">
        <v>35</v>
      </c>
      <c r="G4437" s="2">
        <f>IF(ISNUMBER(SEARCH(Лист2!$B$4,F:F)),1,0)</f>
        <v>0</v>
      </c>
      <c r="H4437" s="3">
        <f ca="1">IF(AND(I4437&lt;&gt;I4436,ISNUMBER(SEARCH(Лист2!$B$5,I:I)),G4437=1),MAX($H$3:OFFSET(H4437,-1,0))+1,0)</f>
        <v>0</v>
      </c>
      <c r="I4437" s="3" t="s">
        <v>365</v>
      </c>
      <c r="K4437" s="2">
        <f>IF(ISNUMBER(SEARCH(Лист2!$B$4,F:F)),1,0)</f>
        <v>0</v>
      </c>
      <c r="L4437" s="14">
        <f>IF(ISNUMBER(SEARCH(Лист2!$B$5,I:I)),1,0)+K4437</f>
        <v>0</v>
      </c>
      <c r="M4437" s="3">
        <f ca="1">IF(AND(N4437&lt;&gt;N4436,ISNUMBER(SEARCH(Лист2!$B$6,N:N)),L4437=2),MAX($M$3:OFFSET(M4437,-1,0))+1,0)</f>
        <v>0</v>
      </c>
      <c r="N4437" s="3" t="s">
        <v>2753</v>
      </c>
    </row>
    <row r="4438" spans="1:14" x14ac:dyDescent="0.25">
      <c r="A4438" s="1" t="s">
        <v>13182</v>
      </c>
      <c r="B4438" s="3" t="s">
        <v>8062</v>
      </c>
      <c r="C4438" s="2">
        <f ca="1">IF(ISNUMBER(SEARCH(Лист2!$B$4,D:D)),MAX($C$3:OFFSET(C4438,-1,0))+1,0)</f>
        <v>0</v>
      </c>
      <c r="E4438" s="9" t="str">
        <f t="shared" ca="1" si="81"/>
        <v/>
      </c>
      <c r="F4438" s="4" t="s">
        <v>35</v>
      </c>
      <c r="G4438" s="2">
        <f>IF(ISNUMBER(SEARCH(Лист2!$B$4,F:F)),1,0)</f>
        <v>0</v>
      </c>
      <c r="H4438" s="3">
        <f ca="1">IF(AND(I4438&lt;&gt;I4437,ISNUMBER(SEARCH(Лист2!$B$5,I:I)),G4438=1),MAX($H$3:OFFSET(H4438,-1,0))+1,0)</f>
        <v>0</v>
      </c>
      <c r="I4438" s="3" t="s">
        <v>365</v>
      </c>
      <c r="K4438" s="2">
        <f>IF(ISNUMBER(SEARCH(Лист2!$B$4,F:F)),1,0)</f>
        <v>0</v>
      </c>
      <c r="L4438" s="14">
        <f>IF(ISNUMBER(SEARCH(Лист2!$B$5,I:I)),1,0)+K4438</f>
        <v>0</v>
      </c>
      <c r="M4438" s="3">
        <f ca="1">IF(AND(N4438&lt;&gt;N4437,ISNUMBER(SEARCH(Лист2!$B$6,N:N)),L4438=2),MAX($M$3:OFFSET(M4438,-1,0))+1,0)</f>
        <v>0</v>
      </c>
      <c r="N4438" s="3" t="s">
        <v>2754</v>
      </c>
    </row>
    <row r="4439" spans="1:14" x14ac:dyDescent="0.25">
      <c r="A4439" s="1" t="s">
        <v>13183</v>
      </c>
      <c r="B4439" s="3" t="s">
        <v>8063</v>
      </c>
      <c r="C4439" s="2">
        <f ca="1">IF(ISNUMBER(SEARCH(Лист2!$B$4,D:D)),MAX($C$3:OFFSET(C4439,-1,0))+1,0)</f>
        <v>0</v>
      </c>
      <c r="E4439" s="9" t="str">
        <f t="shared" ca="1" si="81"/>
        <v/>
      </c>
      <c r="F4439" s="4" t="s">
        <v>35</v>
      </c>
      <c r="G4439" s="2">
        <f>IF(ISNUMBER(SEARCH(Лист2!$B$4,F:F)),1,0)</f>
        <v>0</v>
      </c>
      <c r="H4439" s="3">
        <f ca="1">IF(AND(I4439&lt;&gt;I4438,ISNUMBER(SEARCH(Лист2!$B$5,I:I)),G4439=1),MAX($H$3:OFFSET(H4439,-1,0))+1,0)</f>
        <v>0</v>
      </c>
      <c r="I4439" s="3" t="s">
        <v>365</v>
      </c>
      <c r="K4439" s="2">
        <f>IF(ISNUMBER(SEARCH(Лист2!$B$4,F:F)),1,0)</f>
        <v>0</v>
      </c>
      <c r="L4439" s="14">
        <f>IF(ISNUMBER(SEARCH(Лист2!$B$5,I:I)),1,0)+K4439</f>
        <v>0</v>
      </c>
      <c r="M4439" s="3">
        <f ca="1">IF(AND(N4439&lt;&gt;N4438,ISNUMBER(SEARCH(Лист2!$B$6,N:N)),L4439=2),MAX($M$3:OFFSET(M4439,-1,0))+1,0)</f>
        <v>0</v>
      </c>
      <c r="N4439" s="3" t="s">
        <v>2755</v>
      </c>
    </row>
    <row r="4440" spans="1:14" x14ac:dyDescent="0.25">
      <c r="A4440" s="1" t="s">
        <v>13184</v>
      </c>
      <c r="B4440" s="3" t="s">
        <v>8064</v>
      </c>
      <c r="C4440" s="2">
        <f ca="1">IF(ISNUMBER(SEARCH(Лист2!$B$4,D:D)),MAX($C$3:OFFSET(C4440,-1,0))+1,0)</f>
        <v>0</v>
      </c>
      <c r="E4440" s="9" t="str">
        <f t="shared" ca="1" si="81"/>
        <v/>
      </c>
      <c r="F4440" s="4" t="s">
        <v>35</v>
      </c>
      <c r="G4440" s="2">
        <f>IF(ISNUMBER(SEARCH(Лист2!$B$4,F:F)),1,0)</f>
        <v>0</v>
      </c>
      <c r="H4440" s="3">
        <f ca="1">IF(AND(I4440&lt;&gt;I4439,ISNUMBER(SEARCH(Лист2!$B$5,I:I)),G4440=1),MAX($H$3:OFFSET(H4440,-1,0))+1,0)</f>
        <v>0</v>
      </c>
      <c r="I4440" s="3" t="s">
        <v>365</v>
      </c>
      <c r="K4440" s="2">
        <f>IF(ISNUMBER(SEARCH(Лист2!$B$4,F:F)),1,0)</f>
        <v>0</v>
      </c>
      <c r="L4440" s="14">
        <f>IF(ISNUMBER(SEARCH(Лист2!$B$5,I:I)),1,0)+K4440</f>
        <v>0</v>
      </c>
      <c r="M4440" s="3">
        <f ca="1">IF(AND(N4440&lt;&gt;N4439,ISNUMBER(SEARCH(Лист2!$B$6,N:N)),L4440=2),MAX($M$3:OFFSET(M4440,-1,0))+1,0)</f>
        <v>0</v>
      </c>
      <c r="N4440" s="3" t="s">
        <v>2756</v>
      </c>
    </row>
    <row r="4441" spans="1:14" x14ac:dyDescent="0.25">
      <c r="A4441" s="1" t="s">
        <v>13185</v>
      </c>
      <c r="B4441" s="3" t="s">
        <v>8065</v>
      </c>
      <c r="C4441" s="2">
        <f ca="1">IF(ISNUMBER(SEARCH(Лист2!$B$4,D:D)),MAX($C$3:OFFSET(C4441,-1,0))+1,0)</f>
        <v>0</v>
      </c>
      <c r="E4441" s="9" t="str">
        <f t="shared" ca="1" si="81"/>
        <v/>
      </c>
      <c r="F4441" s="4" t="s">
        <v>35</v>
      </c>
      <c r="G4441" s="2">
        <f>IF(ISNUMBER(SEARCH(Лист2!$B$4,F:F)),1,0)</f>
        <v>0</v>
      </c>
      <c r="H4441" s="3">
        <f ca="1">IF(AND(I4441&lt;&gt;I4440,ISNUMBER(SEARCH(Лист2!$B$5,I:I)),G4441=1),MAX($H$3:OFFSET(H4441,-1,0))+1,0)</f>
        <v>0</v>
      </c>
      <c r="I4441" s="3" t="s">
        <v>365</v>
      </c>
      <c r="K4441" s="2">
        <f>IF(ISNUMBER(SEARCH(Лист2!$B$4,F:F)),1,0)</f>
        <v>0</v>
      </c>
      <c r="L4441" s="14">
        <f>IF(ISNUMBER(SEARCH(Лист2!$B$5,I:I)),1,0)+K4441</f>
        <v>0</v>
      </c>
      <c r="M4441" s="3">
        <f ca="1">IF(AND(N4441&lt;&gt;N4440,ISNUMBER(SEARCH(Лист2!$B$6,N:N)),L4441=2),MAX($M$3:OFFSET(M4441,-1,0))+1,0)</f>
        <v>0</v>
      </c>
      <c r="N4441" s="3" t="s">
        <v>2757</v>
      </c>
    </row>
    <row r="4442" spans="1:14" x14ac:dyDescent="0.25">
      <c r="A4442" s="1" t="s">
        <v>13186</v>
      </c>
      <c r="B4442" s="3" t="s">
        <v>8066</v>
      </c>
      <c r="C4442" s="2">
        <f ca="1">IF(ISNUMBER(SEARCH(Лист2!$B$4,D:D)),MAX($C$3:OFFSET(C4442,-1,0))+1,0)</f>
        <v>0</v>
      </c>
      <c r="E4442" s="9" t="str">
        <f t="shared" ca="1" si="81"/>
        <v/>
      </c>
      <c r="F4442" s="4" t="s">
        <v>35</v>
      </c>
      <c r="G4442" s="2">
        <f>IF(ISNUMBER(SEARCH(Лист2!$B$4,F:F)),1,0)</f>
        <v>0</v>
      </c>
      <c r="H4442" s="3">
        <f ca="1">IF(AND(I4442&lt;&gt;I4441,ISNUMBER(SEARCH(Лист2!$B$5,I:I)),G4442=1),MAX($H$3:OFFSET(H4442,-1,0))+1,0)</f>
        <v>0</v>
      </c>
      <c r="I4442" s="3" t="s">
        <v>365</v>
      </c>
      <c r="K4442" s="2">
        <f>IF(ISNUMBER(SEARCH(Лист2!$B$4,F:F)),1,0)</f>
        <v>0</v>
      </c>
      <c r="L4442" s="14">
        <f>IF(ISNUMBER(SEARCH(Лист2!$B$5,I:I)),1,0)+K4442</f>
        <v>0</v>
      </c>
      <c r="M4442" s="3">
        <f ca="1">IF(AND(N4442&lt;&gt;N4441,ISNUMBER(SEARCH(Лист2!$B$6,N:N)),L4442=2),MAX($M$3:OFFSET(M4442,-1,0))+1,0)</f>
        <v>0</v>
      </c>
      <c r="N4442" s="3" t="s">
        <v>2758</v>
      </c>
    </row>
    <row r="4443" spans="1:14" x14ac:dyDescent="0.25">
      <c r="A4443" s="1" t="s">
        <v>13187</v>
      </c>
      <c r="B4443" s="3" t="s">
        <v>8067</v>
      </c>
      <c r="C4443" s="2">
        <f ca="1">IF(ISNUMBER(SEARCH(Лист2!$B$4,D:D)),MAX($C$3:OFFSET(C4443,-1,0))+1,0)</f>
        <v>0</v>
      </c>
      <c r="E4443" s="9" t="str">
        <f t="shared" ca="1" si="81"/>
        <v/>
      </c>
      <c r="F4443" s="4" t="s">
        <v>35</v>
      </c>
      <c r="G4443" s="2">
        <f>IF(ISNUMBER(SEARCH(Лист2!$B$4,F:F)),1,0)</f>
        <v>0</v>
      </c>
      <c r="H4443" s="3">
        <f ca="1">IF(AND(I4443&lt;&gt;I4442,ISNUMBER(SEARCH(Лист2!$B$5,I:I)),G4443=1),MAX($H$3:OFFSET(H4443,-1,0))+1,0)</f>
        <v>0</v>
      </c>
      <c r="I4443" s="3" t="s">
        <v>365</v>
      </c>
      <c r="K4443" s="2">
        <f>IF(ISNUMBER(SEARCH(Лист2!$B$4,F:F)),1,0)</f>
        <v>0</v>
      </c>
      <c r="L4443" s="14">
        <f>IF(ISNUMBER(SEARCH(Лист2!$B$5,I:I)),1,0)+K4443</f>
        <v>0</v>
      </c>
      <c r="M4443" s="3">
        <f ca="1">IF(AND(N4443&lt;&gt;N4442,ISNUMBER(SEARCH(Лист2!$B$6,N:N)),L4443=2),MAX($M$3:OFFSET(M4443,-1,0))+1,0)</f>
        <v>0</v>
      </c>
      <c r="N4443" s="3" t="s">
        <v>2759</v>
      </c>
    </row>
    <row r="4444" spans="1:14" x14ac:dyDescent="0.25">
      <c r="A4444" s="1" t="s">
        <v>13185</v>
      </c>
      <c r="B4444" s="3" t="s">
        <v>8068</v>
      </c>
      <c r="C4444" s="2">
        <f ca="1">IF(ISNUMBER(SEARCH(Лист2!$B$4,D:D)),MAX($C$3:OFFSET(C4444,-1,0))+1,0)</f>
        <v>0</v>
      </c>
      <c r="E4444" s="9" t="str">
        <f t="shared" ca="1" si="81"/>
        <v/>
      </c>
      <c r="F4444" s="4" t="s">
        <v>35</v>
      </c>
      <c r="G4444" s="2">
        <f>IF(ISNUMBER(SEARCH(Лист2!$B$4,F:F)),1,0)</f>
        <v>0</v>
      </c>
      <c r="H4444" s="3">
        <f ca="1">IF(AND(I4444&lt;&gt;I4443,ISNUMBER(SEARCH(Лист2!$B$5,I:I)),G4444=1),MAX($H$3:OFFSET(H4444,-1,0))+1,0)</f>
        <v>0</v>
      </c>
      <c r="I4444" s="3" t="s">
        <v>365</v>
      </c>
      <c r="K4444" s="2">
        <f>IF(ISNUMBER(SEARCH(Лист2!$B$4,F:F)),1,0)</f>
        <v>0</v>
      </c>
      <c r="L4444" s="14">
        <f>IF(ISNUMBER(SEARCH(Лист2!$B$5,I:I)),1,0)+K4444</f>
        <v>0</v>
      </c>
      <c r="M4444" s="3">
        <f ca="1">IF(AND(N4444&lt;&gt;N4443,ISNUMBER(SEARCH(Лист2!$B$6,N:N)),L4444=2),MAX($M$3:OFFSET(M4444,-1,0))+1,0)</f>
        <v>0</v>
      </c>
      <c r="N4444" s="3" t="s">
        <v>2757</v>
      </c>
    </row>
    <row r="4445" spans="1:14" x14ac:dyDescent="0.25">
      <c r="A4445" s="1" t="s">
        <v>13186</v>
      </c>
      <c r="B4445" s="3" t="s">
        <v>8069</v>
      </c>
      <c r="C4445" s="2">
        <f ca="1">IF(ISNUMBER(SEARCH(Лист2!$B$4,D:D)),MAX($C$3:OFFSET(C4445,-1,0))+1,0)</f>
        <v>0</v>
      </c>
      <c r="E4445" s="9" t="str">
        <f t="shared" ca="1" si="81"/>
        <v/>
      </c>
      <c r="F4445" s="4" t="s">
        <v>35</v>
      </c>
      <c r="G4445" s="2">
        <f>IF(ISNUMBER(SEARCH(Лист2!$B$4,F:F)),1,0)</f>
        <v>0</v>
      </c>
      <c r="H4445" s="3">
        <f ca="1">IF(AND(I4445&lt;&gt;I4444,ISNUMBER(SEARCH(Лист2!$B$5,I:I)),G4445=1),MAX($H$3:OFFSET(H4445,-1,0))+1,0)</f>
        <v>0</v>
      </c>
      <c r="I4445" s="3" t="s">
        <v>365</v>
      </c>
      <c r="K4445" s="2">
        <f>IF(ISNUMBER(SEARCH(Лист2!$B$4,F:F)),1,0)</f>
        <v>0</v>
      </c>
      <c r="L4445" s="14">
        <f>IF(ISNUMBER(SEARCH(Лист2!$B$5,I:I)),1,0)+K4445</f>
        <v>0</v>
      </c>
      <c r="M4445" s="3">
        <f ca="1">IF(AND(N4445&lt;&gt;N4444,ISNUMBER(SEARCH(Лист2!$B$6,N:N)),L4445=2),MAX($M$3:OFFSET(M4445,-1,0))+1,0)</f>
        <v>0</v>
      </c>
      <c r="N4445" s="3" t="s">
        <v>2758</v>
      </c>
    </row>
    <row r="4446" spans="1:14" x14ac:dyDescent="0.25">
      <c r="A4446" s="1" t="s">
        <v>13187</v>
      </c>
      <c r="B4446" s="3" t="s">
        <v>8070</v>
      </c>
      <c r="C4446" s="2">
        <f ca="1">IF(ISNUMBER(SEARCH(Лист2!$B$4,D:D)),MAX($C$3:OFFSET(C4446,-1,0))+1,0)</f>
        <v>0</v>
      </c>
      <c r="E4446" s="9" t="str">
        <f t="shared" ca="1" si="81"/>
        <v/>
      </c>
      <c r="F4446" s="4" t="s">
        <v>35</v>
      </c>
      <c r="G4446" s="2">
        <f>IF(ISNUMBER(SEARCH(Лист2!$B$4,F:F)),1,0)</f>
        <v>0</v>
      </c>
      <c r="H4446" s="3">
        <f ca="1">IF(AND(I4446&lt;&gt;I4445,ISNUMBER(SEARCH(Лист2!$B$5,I:I)),G4446=1),MAX($H$3:OFFSET(H4446,-1,0))+1,0)</f>
        <v>0</v>
      </c>
      <c r="I4446" s="3" t="s">
        <v>365</v>
      </c>
      <c r="K4446" s="2">
        <f>IF(ISNUMBER(SEARCH(Лист2!$B$4,F:F)),1,0)</f>
        <v>0</v>
      </c>
      <c r="L4446" s="14">
        <f>IF(ISNUMBER(SEARCH(Лист2!$B$5,I:I)),1,0)+K4446</f>
        <v>0</v>
      </c>
      <c r="M4446" s="3">
        <f ca="1">IF(AND(N4446&lt;&gt;N4445,ISNUMBER(SEARCH(Лист2!$B$6,N:N)),L4446=2),MAX($M$3:OFFSET(M4446,-1,0))+1,0)</f>
        <v>0</v>
      </c>
      <c r="N4446" s="3" t="s">
        <v>2759</v>
      </c>
    </row>
    <row r="4447" spans="1:14" x14ac:dyDescent="0.25">
      <c r="A4447" s="1" t="s">
        <v>13188</v>
      </c>
      <c r="B4447" s="3" t="s">
        <v>8071</v>
      </c>
      <c r="C4447" s="2">
        <f ca="1">IF(ISNUMBER(SEARCH(Лист2!$B$4,D:D)),MAX($C$3:OFFSET(C4447,-1,0))+1,0)</f>
        <v>0</v>
      </c>
      <c r="E4447" s="9" t="str">
        <f t="shared" ca="1" si="81"/>
        <v/>
      </c>
      <c r="F4447" s="4" t="s">
        <v>35</v>
      </c>
      <c r="G4447" s="2">
        <f>IF(ISNUMBER(SEARCH(Лист2!$B$4,F:F)),1,0)</f>
        <v>0</v>
      </c>
      <c r="H4447" s="3">
        <f ca="1">IF(AND(I4447&lt;&gt;I4446,ISNUMBER(SEARCH(Лист2!$B$5,I:I)),G4447=1),MAX($H$3:OFFSET(H4447,-1,0))+1,0)</f>
        <v>0</v>
      </c>
      <c r="I4447" s="3" t="s">
        <v>365</v>
      </c>
      <c r="K4447" s="2">
        <f>IF(ISNUMBER(SEARCH(Лист2!$B$4,F:F)),1,0)</f>
        <v>0</v>
      </c>
      <c r="L4447" s="14">
        <f>IF(ISNUMBER(SEARCH(Лист2!$B$5,I:I)),1,0)+K4447</f>
        <v>0</v>
      </c>
      <c r="M4447" s="3">
        <f ca="1">IF(AND(N4447&lt;&gt;N4446,ISNUMBER(SEARCH(Лист2!$B$6,N:N)),L4447=2),MAX($M$3:OFFSET(M4447,-1,0))+1,0)</f>
        <v>0</v>
      </c>
      <c r="N4447" s="3" t="s">
        <v>2760</v>
      </c>
    </row>
    <row r="4448" spans="1:14" x14ac:dyDescent="0.25">
      <c r="A4448" s="1" t="s">
        <v>13189</v>
      </c>
      <c r="B4448" s="3" t="s">
        <v>8072</v>
      </c>
      <c r="C4448" s="2">
        <f ca="1">IF(ISNUMBER(SEARCH(Лист2!$B$4,D:D)),MAX($C$3:OFFSET(C4448,-1,0))+1,0)</f>
        <v>0</v>
      </c>
      <c r="E4448" s="9" t="str">
        <f t="shared" ca="1" si="81"/>
        <v/>
      </c>
      <c r="F4448" s="4" t="s">
        <v>35</v>
      </c>
      <c r="G4448" s="2">
        <f>IF(ISNUMBER(SEARCH(Лист2!$B$4,F:F)),1,0)</f>
        <v>0</v>
      </c>
      <c r="H4448" s="3">
        <f ca="1">IF(AND(I4448&lt;&gt;I4447,ISNUMBER(SEARCH(Лист2!$B$5,I:I)),G4448=1),MAX($H$3:OFFSET(H4448,-1,0))+1,0)</f>
        <v>0</v>
      </c>
      <c r="I4448" s="3" t="s">
        <v>365</v>
      </c>
      <c r="K4448" s="2">
        <f>IF(ISNUMBER(SEARCH(Лист2!$B$4,F:F)),1,0)</f>
        <v>0</v>
      </c>
      <c r="L4448" s="14">
        <f>IF(ISNUMBER(SEARCH(Лист2!$B$5,I:I)),1,0)+K4448</f>
        <v>0</v>
      </c>
      <c r="M4448" s="3">
        <f ca="1">IF(AND(N4448&lt;&gt;N4447,ISNUMBER(SEARCH(Лист2!$B$6,N:N)),L4448=2),MAX($M$3:OFFSET(M4448,-1,0))+1,0)</f>
        <v>0</v>
      </c>
      <c r="N4448" s="3" t="s">
        <v>2761</v>
      </c>
    </row>
    <row r="4449" spans="1:14" x14ac:dyDescent="0.25">
      <c r="A4449" s="1" t="s">
        <v>13188</v>
      </c>
      <c r="B4449" s="3" t="s">
        <v>8073</v>
      </c>
      <c r="C4449" s="2">
        <f ca="1">IF(ISNUMBER(SEARCH(Лист2!$B$4,D:D)),MAX($C$3:OFFSET(C4449,-1,0))+1,0)</f>
        <v>0</v>
      </c>
      <c r="E4449" s="9" t="str">
        <f t="shared" ca="1" si="81"/>
        <v/>
      </c>
      <c r="F4449" s="4" t="s">
        <v>35</v>
      </c>
      <c r="G4449" s="2">
        <f>IF(ISNUMBER(SEARCH(Лист2!$B$4,F:F)),1,0)</f>
        <v>0</v>
      </c>
      <c r="H4449" s="3">
        <f ca="1">IF(AND(I4449&lt;&gt;I4448,ISNUMBER(SEARCH(Лист2!$B$5,I:I)),G4449=1),MAX($H$3:OFFSET(H4449,-1,0))+1,0)</f>
        <v>0</v>
      </c>
      <c r="I4449" s="3" t="s">
        <v>365</v>
      </c>
      <c r="K4449" s="2">
        <f>IF(ISNUMBER(SEARCH(Лист2!$B$4,F:F)),1,0)</f>
        <v>0</v>
      </c>
      <c r="L4449" s="14">
        <f>IF(ISNUMBER(SEARCH(Лист2!$B$5,I:I)),1,0)+K4449</f>
        <v>0</v>
      </c>
      <c r="M4449" s="3">
        <f ca="1">IF(AND(N4449&lt;&gt;N4448,ISNUMBER(SEARCH(Лист2!$B$6,N:N)),L4449=2),MAX($M$3:OFFSET(M4449,-1,0))+1,0)</f>
        <v>0</v>
      </c>
      <c r="N4449" s="3" t="s">
        <v>2760</v>
      </c>
    </row>
    <row r="4450" spans="1:14" x14ac:dyDescent="0.25">
      <c r="A4450" s="1" t="s">
        <v>13189</v>
      </c>
      <c r="B4450" s="3" t="s">
        <v>8074</v>
      </c>
      <c r="C4450" s="2">
        <f ca="1">IF(ISNUMBER(SEARCH(Лист2!$B$4,D:D)),MAX($C$3:OFFSET(C4450,-1,0))+1,0)</f>
        <v>0</v>
      </c>
      <c r="E4450" s="9" t="str">
        <f t="shared" ca="1" si="81"/>
        <v/>
      </c>
      <c r="F4450" s="4" t="s">
        <v>35</v>
      </c>
      <c r="G4450" s="2">
        <f>IF(ISNUMBER(SEARCH(Лист2!$B$4,F:F)),1,0)</f>
        <v>0</v>
      </c>
      <c r="H4450" s="3">
        <f ca="1">IF(AND(I4450&lt;&gt;I4449,ISNUMBER(SEARCH(Лист2!$B$5,I:I)),G4450=1),MAX($H$3:OFFSET(H4450,-1,0))+1,0)</f>
        <v>0</v>
      </c>
      <c r="I4450" s="3" t="s">
        <v>365</v>
      </c>
      <c r="K4450" s="2">
        <f>IF(ISNUMBER(SEARCH(Лист2!$B$4,F:F)),1,0)</f>
        <v>0</v>
      </c>
      <c r="L4450" s="14">
        <f>IF(ISNUMBER(SEARCH(Лист2!$B$5,I:I)),1,0)+K4450</f>
        <v>0</v>
      </c>
      <c r="M4450" s="3">
        <f ca="1">IF(AND(N4450&lt;&gt;N4449,ISNUMBER(SEARCH(Лист2!$B$6,N:N)),L4450=2),MAX($M$3:OFFSET(M4450,-1,0))+1,0)</f>
        <v>0</v>
      </c>
      <c r="N4450" s="3" t="s">
        <v>2761</v>
      </c>
    </row>
    <row r="4451" spans="1:14" x14ac:dyDescent="0.25">
      <c r="A4451" s="1" t="s">
        <v>13188</v>
      </c>
      <c r="B4451" s="3" t="s">
        <v>8075</v>
      </c>
      <c r="C4451" s="2">
        <f ca="1">IF(ISNUMBER(SEARCH(Лист2!$B$4,D:D)),MAX($C$3:OFFSET(C4451,-1,0))+1,0)</f>
        <v>0</v>
      </c>
      <c r="E4451" s="9" t="str">
        <f t="shared" ca="1" si="81"/>
        <v/>
      </c>
      <c r="F4451" s="4" t="s">
        <v>35</v>
      </c>
      <c r="G4451" s="2">
        <f>IF(ISNUMBER(SEARCH(Лист2!$B$4,F:F)),1,0)</f>
        <v>0</v>
      </c>
      <c r="H4451" s="3">
        <f ca="1">IF(AND(I4451&lt;&gt;I4450,ISNUMBER(SEARCH(Лист2!$B$5,I:I)),G4451=1),MAX($H$3:OFFSET(H4451,-1,0))+1,0)</f>
        <v>0</v>
      </c>
      <c r="I4451" s="3" t="s">
        <v>365</v>
      </c>
      <c r="K4451" s="2">
        <f>IF(ISNUMBER(SEARCH(Лист2!$B$4,F:F)),1,0)</f>
        <v>0</v>
      </c>
      <c r="L4451" s="14">
        <f>IF(ISNUMBER(SEARCH(Лист2!$B$5,I:I)),1,0)+K4451</f>
        <v>0</v>
      </c>
      <c r="M4451" s="3">
        <f ca="1">IF(AND(N4451&lt;&gt;N4450,ISNUMBER(SEARCH(Лист2!$B$6,N:N)),L4451=2),MAX($M$3:OFFSET(M4451,-1,0))+1,0)</f>
        <v>0</v>
      </c>
      <c r="N4451" s="3" t="s">
        <v>2760</v>
      </c>
    </row>
    <row r="4452" spans="1:14" x14ac:dyDescent="0.25">
      <c r="A4452" s="1" t="s">
        <v>13190</v>
      </c>
      <c r="B4452" s="3" t="s">
        <v>8076</v>
      </c>
      <c r="C4452" s="2">
        <f ca="1">IF(ISNUMBER(SEARCH(Лист2!$B$4,D:D)),MAX($C$3:OFFSET(C4452,-1,0))+1,0)</f>
        <v>0</v>
      </c>
      <c r="E4452" s="9" t="str">
        <f t="shared" ca="1" si="81"/>
        <v/>
      </c>
      <c r="F4452" s="4" t="s">
        <v>35</v>
      </c>
      <c r="G4452" s="2">
        <f>IF(ISNUMBER(SEARCH(Лист2!$B$4,F:F)),1,0)</f>
        <v>0</v>
      </c>
      <c r="H4452" s="3">
        <f ca="1">IF(AND(I4452&lt;&gt;I4451,ISNUMBER(SEARCH(Лист2!$B$5,I:I)),G4452=1),MAX($H$3:OFFSET(H4452,-1,0))+1,0)</f>
        <v>0</v>
      </c>
      <c r="I4452" s="3" t="s">
        <v>365</v>
      </c>
      <c r="K4452" s="2">
        <f>IF(ISNUMBER(SEARCH(Лист2!$B$4,F:F)),1,0)</f>
        <v>0</v>
      </c>
      <c r="L4452" s="14">
        <f>IF(ISNUMBER(SEARCH(Лист2!$B$5,I:I)),1,0)+K4452</f>
        <v>0</v>
      </c>
      <c r="M4452" s="3">
        <f ca="1">IF(AND(N4452&lt;&gt;N4451,ISNUMBER(SEARCH(Лист2!$B$6,N:N)),L4452=2),MAX($M$3:OFFSET(M4452,-1,0))+1,0)</f>
        <v>0</v>
      </c>
      <c r="N4452" s="3" t="s">
        <v>2762</v>
      </c>
    </row>
    <row r="4453" spans="1:14" x14ac:dyDescent="0.25">
      <c r="A4453" s="1" t="s">
        <v>13188</v>
      </c>
      <c r="B4453" s="3" t="s">
        <v>8077</v>
      </c>
      <c r="C4453" s="2">
        <f ca="1">IF(ISNUMBER(SEARCH(Лист2!$B$4,D:D)),MAX($C$3:OFFSET(C4453,-1,0))+1,0)</f>
        <v>0</v>
      </c>
      <c r="E4453" s="9" t="str">
        <f t="shared" ca="1" si="81"/>
        <v/>
      </c>
      <c r="F4453" s="4" t="s">
        <v>35</v>
      </c>
      <c r="G4453" s="2">
        <f>IF(ISNUMBER(SEARCH(Лист2!$B$4,F:F)),1,0)</f>
        <v>0</v>
      </c>
      <c r="H4453" s="3">
        <f ca="1">IF(AND(I4453&lt;&gt;I4452,ISNUMBER(SEARCH(Лист2!$B$5,I:I)),G4453=1),MAX($H$3:OFFSET(H4453,-1,0))+1,0)</f>
        <v>0</v>
      </c>
      <c r="I4453" s="3" t="s">
        <v>365</v>
      </c>
      <c r="K4453" s="2">
        <f>IF(ISNUMBER(SEARCH(Лист2!$B$4,F:F)),1,0)</f>
        <v>0</v>
      </c>
      <c r="L4453" s="14">
        <f>IF(ISNUMBER(SEARCH(Лист2!$B$5,I:I)),1,0)+K4453</f>
        <v>0</v>
      </c>
      <c r="M4453" s="3">
        <f ca="1">IF(AND(N4453&lt;&gt;N4452,ISNUMBER(SEARCH(Лист2!$B$6,N:N)),L4453=2),MAX($M$3:OFFSET(M4453,-1,0))+1,0)</f>
        <v>0</v>
      </c>
      <c r="N4453" s="3" t="s">
        <v>2760</v>
      </c>
    </row>
    <row r="4454" spans="1:14" x14ac:dyDescent="0.25">
      <c r="A4454" s="1" t="s">
        <v>13180</v>
      </c>
      <c r="B4454" s="3" t="s">
        <v>8078</v>
      </c>
      <c r="C4454" s="2">
        <f ca="1">IF(ISNUMBER(SEARCH(Лист2!$B$4,D:D)),MAX($C$3:OFFSET(C4454,-1,0))+1,0)</f>
        <v>0</v>
      </c>
      <c r="E4454" s="9" t="str">
        <f t="shared" ca="1" si="81"/>
        <v/>
      </c>
      <c r="F4454" s="4" t="s">
        <v>35</v>
      </c>
      <c r="G4454" s="2">
        <f>IF(ISNUMBER(SEARCH(Лист2!$B$4,F:F)),1,0)</f>
        <v>0</v>
      </c>
      <c r="H4454" s="3">
        <f ca="1">IF(AND(I4454&lt;&gt;I4453,ISNUMBER(SEARCH(Лист2!$B$5,I:I)),G4454=1),MAX($H$3:OFFSET(H4454,-1,0))+1,0)</f>
        <v>0</v>
      </c>
      <c r="I4454" s="3" t="s">
        <v>365</v>
      </c>
      <c r="K4454" s="2">
        <f>IF(ISNUMBER(SEARCH(Лист2!$B$4,F:F)),1,0)</f>
        <v>0</v>
      </c>
      <c r="L4454" s="14">
        <f>IF(ISNUMBER(SEARCH(Лист2!$B$5,I:I)),1,0)+K4454</f>
        <v>0</v>
      </c>
      <c r="M4454" s="3">
        <f ca="1">IF(AND(N4454&lt;&gt;N4453,ISNUMBER(SEARCH(Лист2!$B$6,N:N)),L4454=2),MAX($M$3:OFFSET(M4454,-1,0))+1,0)</f>
        <v>0</v>
      </c>
      <c r="N4454" s="3" t="s">
        <v>2752</v>
      </c>
    </row>
    <row r="4455" spans="1:14" x14ac:dyDescent="0.25">
      <c r="A4455" s="1" t="s">
        <v>13189</v>
      </c>
      <c r="B4455" s="3" t="s">
        <v>8079</v>
      </c>
      <c r="C4455" s="2">
        <f ca="1">IF(ISNUMBER(SEARCH(Лист2!$B$4,D:D)),MAX($C$3:OFFSET(C4455,-1,0))+1,0)</f>
        <v>0</v>
      </c>
      <c r="E4455" s="9" t="str">
        <f t="shared" ca="1" si="81"/>
        <v/>
      </c>
      <c r="F4455" s="4" t="s">
        <v>35</v>
      </c>
      <c r="G4455" s="2">
        <f>IF(ISNUMBER(SEARCH(Лист2!$B$4,F:F)),1,0)</f>
        <v>0</v>
      </c>
      <c r="H4455" s="3">
        <f ca="1">IF(AND(I4455&lt;&gt;I4454,ISNUMBER(SEARCH(Лист2!$B$5,I:I)),G4455=1),MAX($H$3:OFFSET(H4455,-1,0))+1,0)</f>
        <v>0</v>
      </c>
      <c r="I4455" s="3" t="s">
        <v>365</v>
      </c>
      <c r="K4455" s="2">
        <f>IF(ISNUMBER(SEARCH(Лист2!$B$4,F:F)),1,0)</f>
        <v>0</v>
      </c>
      <c r="L4455" s="14">
        <f>IF(ISNUMBER(SEARCH(Лист2!$B$5,I:I)),1,0)+K4455</f>
        <v>0</v>
      </c>
      <c r="M4455" s="3">
        <f ca="1">IF(AND(N4455&lt;&gt;N4454,ISNUMBER(SEARCH(Лист2!$B$6,N:N)),L4455=2),MAX($M$3:OFFSET(M4455,-1,0))+1,0)</f>
        <v>0</v>
      </c>
      <c r="N4455" s="3" t="s">
        <v>2761</v>
      </c>
    </row>
    <row r="4456" spans="1:14" x14ac:dyDescent="0.25">
      <c r="A4456" s="1" t="s">
        <v>13188</v>
      </c>
      <c r="B4456" s="3" t="s">
        <v>8080</v>
      </c>
      <c r="C4456" s="2">
        <f ca="1">IF(ISNUMBER(SEARCH(Лист2!$B$4,D:D)),MAX($C$3:OFFSET(C4456,-1,0))+1,0)</f>
        <v>0</v>
      </c>
      <c r="E4456" s="9" t="str">
        <f t="shared" ca="1" si="81"/>
        <v/>
      </c>
      <c r="F4456" s="4" t="s">
        <v>35</v>
      </c>
      <c r="G4456" s="2">
        <f>IF(ISNUMBER(SEARCH(Лист2!$B$4,F:F)),1,0)</f>
        <v>0</v>
      </c>
      <c r="H4456" s="3">
        <f ca="1">IF(AND(I4456&lt;&gt;I4455,ISNUMBER(SEARCH(Лист2!$B$5,I:I)),G4456=1),MAX($H$3:OFFSET(H4456,-1,0))+1,0)</f>
        <v>0</v>
      </c>
      <c r="I4456" s="3" t="s">
        <v>365</v>
      </c>
      <c r="K4456" s="2">
        <f>IF(ISNUMBER(SEARCH(Лист2!$B$4,F:F)),1,0)</f>
        <v>0</v>
      </c>
      <c r="L4456" s="14">
        <f>IF(ISNUMBER(SEARCH(Лист2!$B$5,I:I)),1,0)+K4456</f>
        <v>0</v>
      </c>
      <c r="M4456" s="3">
        <f ca="1">IF(AND(N4456&lt;&gt;N4455,ISNUMBER(SEARCH(Лист2!$B$6,N:N)),L4456=2),MAX($M$3:OFFSET(M4456,-1,0))+1,0)</f>
        <v>0</v>
      </c>
      <c r="N4456" s="3" t="s">
        <v>2760</v>
      </c>
    </row>
    <row r="4457" spans="1:14" x14ac:dyDescent="0.25">
      <c r="A4457" s="1" t="s">
        <v>13191</v>
      </c>
      <c r="B4457" s="3" t="s">
        <v>8081</v>
      </c>
      <c r="C4457" s="2">
        <f ca="1">IF(ISNUMBER(SEARCH(Лист2!$B$4,D:D)),MAX($C$3:OFFSET(C4457,-1,0))+1,0)</f>
        <v>0</v>
      </c>
      <c r="E4457" s="9" t="str">
        <f t="shared" ca="1" si="81"/>
        <v/>
      </c>
      <c r="F4457" s="4" t="s">
        <v>35</v>
      </c>
      <c r="G4457" s="2">
        <f>IF(ISNUMBER(SEARCH(Лист2!$B$4,F:F)),1,0)</f>
        <v>0</v>
      </c>
      <c r="H4457" s="3">
        <f ca="1">IF(AND(I4457&lt;&gt;I4456,ISNUMBER(SEARCH(Лист2!$B$5,I:I)),G4457=1),MAX($H$3:OFFSET(H4457,-1,0))+1,0)</f>
        <v>0</v>
      </c>
      <c r="I4457" s="3" t="s">
        <v>365</v>
      </c>
      <c r="K4457" s="2">
        <f>IF(ISNUMBER(SEARCH(Лист2!$B$4,F:F)),1,0)</f>
        <v>0</v>
      </c>
      <c r="L4457" s="14">
        <f>IF(ISNUMBER(SEARCH(Лист2!$B$5,I:I)),1,0)+K4457</f>
        <v>0</v>
      </c>
      <c r="M4457" s="3">
        <f ca="1">IF(AND(N4457&lt;&gt;N4456,ISNUMBER(SEARCH(Лист2!$B$6,N:N)),L4457=2),MAX($M$3:OFFSET(M4457,-1,0))+1,0)</f>
        <v>0</v>
      </c>
      <c r="N4457" s="3" t="s">
        <v>2763</v>
      </c>
    </row>
    <row r="4458" spans="1:14" x14ac:dyDescent="0.25">
      <c r="A4458" s="1" t="s">
        <v>13192</v>
      </c>
      <c r="B4458" s="3" t="s">
        <v>8082</v>
      </c>
      <c r="C4458" s="2">
        <f ca="1">IF(ISNUMBER(SEARCH(Лист2!$B$4,D:D)),MAX($C$3:OFFSET(C4458,-1,0))+1,0)</f>
        <v>0</v>
      </c>
      <c r="E4458" s="9" t="str">
        <f t="shared" ca="1" si="81"/>
        <v/>
      </c>
      <c r="F4458" s="4" t="s">
        <v>35</v>
      </c>
      <c r="G4458" s="2">
        <f>IF(ISNUMBER(SEARCH(Лист2!$B$4,F:F)),1,0)</f>
        <v>0</v>
      </c>
      <c r="H4458" s="3">
        <f ca="1">IF(AND(I4458&lt;&gt;I4457,ISNUMBER(SEARCH(Лист2!$B$5,I:I)),G4458=1),MAX($H$3:OFFSET(H4458,-1,0))+1,0)</f>
        <v>0</v>
      </c>
      <c r="I4458" s="3" t="s">
        <v>365</v>
      </c>
      <c r="K4458" s="2">
        <f>IF(ISNUMBER(SEARCH(Лист2!$B$4,F:F)),1,0)</f>
        <v>0</v>
      </c>
      <c r="L4458" s="14">
        <f>IF(ISNUMBER(SEARCH(Лист2!$B$5,I:I)),1,0)+K4458</f>
        <v>0</v>
      </c>
      <c r="M4458" s="3">
        <f ca="1">IF(AND(N4458&lt;&gt;N4457,ISNUMBER(SEARCH(Лист2!$B$6,N:N)),L4458=2),MAX($M$3:OFFSET(M4458,-1,0))+1,0)</f>
        <v>0</v>
      </c>
      <c r="N4458" s="3" t="s">
        <v>2764</v>
      </c>
    </row>
    <row r="4459" spans="1:14" x14ac:dyDescent="0.25">
      <c r="A4459" s="1" t="s">
        <v>13193</v>
      </c>
      <c r="B4459" s="3" t="s">
        <v>8083</v>
      </c>
      <c r="C4459" s="2">
        <f ca="1">IF(ISNUMBER(SEARCH(Лист2!$B$4,D:D)),MAX($C$3:OFFSET(C4459,-1,0))+1,0)</f>
        <v>0</v>
      </c>
      <c r="E4459" s="9" t="str">
        <f t="shared" ca="1" si="81"/>
        <v/>
      </c>
      <c r="F4459" s="4" t="s">
        <v>35</v>
      </c>
      <c r="G4459" s="2">
        <f>IF(ISNUMBER(SEARCH(Лист2!$B$4,F:F)),1,0)</f>
        <v>0</v>
      </c>
      <c r="H4459" s="3">
        <f ca="1">IF(AND(I4459&lt;&gt;I4458,ISNUMBER(SEARCH(Лист2!$B$5,I:I)),G4459=1),MAX($H$3:OFFSET(H4459,-1,0))+1,0)</f>
        <v>0</v>
      </c>
      <c r="I4459" s="3" t="s">
        <v>365</v>
      </c>
      <c r="K4459" s="2">
        <f>IF(ISNUMBER(SEARCH(Лист2!$B$4,F:F)),1,0)</f>
        <v>0</v>
      </c>
      <c r="L4459" s="14">
        <f>IF(ISNUMBER(SEARCH(Лист2!$B$5,I:I)),1,0)+K4459</f>
        <v>0</v>
      </c>
      <c r="M4459" s="3">
        <f ca="1">IF(AND(N4459&lt;&gt;N4458,ISNUMBER(SEARCH(Лист2!$B$6,N:N)),L4459=2),MAX($M$3:OFFSET(M4459,-1,0))+1,0)</f>
        <v>0</v>
      </c>
      <c r="N4459" s="3" t="s">
        <v>2765</v>
      </c>
    </row>
    <row r="4460" spans="1:14" x14ac:dyDescent="0.25">
      <c r="A4460" s="1" t="s">
        <v>13192</v>
      </c>
      <c r="B4460" s="3" t="s">
        <v>8084</v>
      </c>
      <c r="C4460" s="2">
        <f ca="1">IF(ISNUMBER(SEARCH(Лист2!$B$4,D:D)),MAX($C$3:OFFSET(C4460,-1,0))+1,0)</f>
        <v>0</v>
      </c>
      <c r="E4460" s="9" t="str">
        <f t="shared" ca="1" si="81"/>
        <v/>
      </c>
      <c r="F4460" s="4" t="s">
        <v>35</v>
      </c>
      <c r="G4460" s="2">
        <f>IF(ISNUMBER(SEARCH(Лист2!$B$4,F:F)),1,0)</f>
        <v>0</v>
      </c>
      <c r="H4460" s="3">
        <f ca="1">IF(AND(I4460&lt;&gt;I4459,ISNUMBER(SEARCH(Лист2!$B$5,I:I)),G4460=1),MAX($H$3:OFFSET(H4460,-1,0))+1,0)</f>
        <v>0</v>
      </c>
      <c r="I4460" s="3" t="s">
        <v>365</v>
      </c>
      <c r="K4460" s="2">
        <f>IF(ISNUMBER(SEARCH(Лист2!$B$4,F:F)),1,0)</f>
        <v>0</v>
      </c>
      <c r="L4460" s="14">
        <f>IF(ISNUMBER(SEARCH(Лист2!$B$5,I:I)),1,0)+K4460</f>
        <v>0</v>
      </c>
      <c r="M4460" s="3">
        <f ca="1">IF(AND(N4460&lt;&gt;N4459,ISNUMBER(SEARCH(Лист2!$B$6,N:N)),L4460=2),MAX($M$3:OFFSET(M4460,-1,0))+1,0)</f>
        <v>0</v>
      </c>
      <c r="N4460" s="3" t="s">
        <v>2764</v>
      </c>
    </row>
    <row r="4461" spans="1:14" x14ac:dyDescent="0.25">
      <c r="A4461" s="1" t="s">
        <v>13194</v>
      </c>
      <c r="B4461" s="3" t="s">
        <v>8085</v>
      </c>
      <c r="C4461" s="2">
        <f ca="1">IF(ISNUMBER(SEARCH(Лист2!$B$4,D:D)),MAX($C$3:OFFSET(C4461,-1,0))+1,0)</f>
        <v>0</v>
      </c>
      <c r="E4461" s="9" t="str">
        <f t="shared" ca="1" si="81"/>
        <v/>
      </c>
      <c r="F4461" s="4" t="s">
        <v>35</v>
      </c>
      <c r="G4461" s="2">
        <f>IF(ISNUMBER(SEARCH(Лист2!$B$4,F:F)),1,0)</f>
        <v>0</v>
      </c>
      <c r="H4461" s="3">
        <f ca="1">IF(AND(I4461&lt;&gt;I4460,ISNUMBER(SEARCH(Лист2!$B$5,I:I)),G4461=1),MAX($H$3:OFFSET(H4461,-1,0))+1,0)</f>
        <v>0</v>
      </c>
      <c r="I4461" s="3" t="s">
        <v>365</v>
      </c>
      <c r="K4461" s="2">
        <f>IF(ISNUMBER(SEARCH(Лист2!$B$4,F:F)),1,0)</f>
        <v>0</v>
      </c>
      <c r="L4461" s="14">
        <f>IF(ISNUMBER(SEARCH(Лист2!$B$5,I:I)),1,0)+K4461</f>
        <v>0</v>
      </c>
      <c r="M4461" s="3">
        <f ca="1">IF(AND(N4461&lt;&gt;N4460,ISNUMBER(SEARCH(Лист2!$B$6,N:N)),L4461=2),MAX($M$3:OFFSET(M4461,-1,0))+1,0)</f>
        <v>0</v>
      </c>
      <c r="N4461" s="3" t="s">
        <v>2766</v>
      </c>
    </row>
    <row r="4462" spans="1:14" x14ac:dyDescent="0.25">
      <c r="A4462" s="1" t="s">
        <v>13195</v>
      </c>
      <c r="B4462" s="3" t="s">
        <v>8086</v>
      </c>
      <c r="C4462" s="2">
        <f ca="1">IF(ISNUMBER(SEARCH(Лист2!$B$4,D:D)),MAX($C$3:OFFSET(C4462,-1,0))+1,0)</f>
        <v>0</v>
      </c>
      <c r="E4462" s="9" t="str">
        <f t="shared" ca="1" si="81"/>
        <v/>
      </c>
      <c r="F4462" s="4" t="s">
        <v>35</v>
      </c>
      <c r="G4462" s="2">
        <f>IF(ISNUMBER(SEARCH(Лист2!$B$4,F:F)),1,0)</f>
        <v>0</v>
      </c>
      <c r="H4462" s="3">
        <f ca="1">IF(AND(I4462&lt;&gt;I4461,ISNUMBER(SEARCH(Лист2!$B$5,I:I)),G4462=1),MAX($H$3:OFFSET(H4462,-1,0))+1,0)</f>
        <v>0</v>
      </c>
      <c r="I4462" s="3" t="s">
        <v>365</v>
      </c>
      <c r="K4462" s="2">
        <f>IF(ISNUMBER(SEARCH(Лист2!$B$4,F:F)),1,0)</f>
        <v>0</v>
      </c>
      <c r="L4462" s="14">
        <f>IF(ISNUMBER(SEARCH(Лист2!$B$5,I:I)),1,0)+K4462</f>
        <v>0</v>
      </c>
      <c r="M4462" s="3">
        <f ca="1">IF(AND(N4462&lt;&gt;N4461,ISNUMBER(SEARCH(Лист2!$B$6,N:N)),L4462=2),MAX($M$3:OFFSET(M4462,-1,0))+1,0)</f>
        <v>0</v>
      </c>
      <c r="N4462" s="3" t="s">
        <v>2767</v>
      </c>
    </row>
    <row r="4463" spans="1:14" x14ac:dyDescent="0.25">
      <c r="A4463" s="1" t="s">
        <v>13196</v>
      </c>
      <c r="B4463" s="3" t="s">
        <v>8087</v>
      </c>
      <c r="C4463" s="2">
        <f ca="1">IF(ISNUMBER(SEARCH(Лист2!$B$4,D:D)),MAX($C$3:OFFSET(C4463,-1,0))+1,0)</f>
        <v>0</v>
      </c>
      <c r="E4463" s="9" t="str">
        <f t="shared" ca="1" si="81"/>
        <v/>
      </c>
      <c r="F4463" s="4" t="s">
        <v>35</v>
      </c>
      <c r="G4463" s="2">
        <f>IF(ISNUMBER(SEARCH(Лист2!$B$4,F:F)),1,0)</f>
        <v>0</v>
      </c>
      <c r="H4463" s="3">
        <f ca="1">IF(AND(I4463&lt;&gt;I4462,ISNUMBER(SEARCH(Лист2!$B$5,I:I)),G4463=1),MAX($H$3:OFFSET(H4463,-1,0))+1,0)</f>
        <v>0</v>
      </c>
      <c r="I4463" s="3" t="s">
        <v>365</v>
      </c>
      <c r="K4463" s="2">
        <f>IF(ISNUMBER(SEARCH(Лист2!$B$4,F:F)),1,0)</f>
        <v>0</v>
      </c>
      <c r="L4463" s="14">
        <f>IF(ISNUMBER(SEARCH(Лист2!$B$5,I:I)),1,0)+K4463</f>
        <v>0</v>
      </c>
      <c r="M4463" s="3">
        <f ca="1">IF(AND(N4463&lt;&gt;N4462,ISNUMBER(SEARCH(Лист2!$B$6,N:N)),L4463=2),MAX($M$3:OFFSET(M4463,-1,0))+1,0)</f>
        <v>0</v>
      </c>
      <c r="N4463" s="3" t="s">
        <v>2768</v>
      </c>
    </row>
    <row r="4464" spans="1:14" x14ac:dyDescent="0.25">
      <c r="A4464" s="1" t="s">
        <v>13197</v>
      </c>
      <c r="B4464" s="3" t="s">
        <v>8088</v>
      </c>
      <c r="C4464" s="2">
        <f ca="1">IF(ISNUMBER(SEARCH(Лист2!$B$4,D:D)),MAX($C$3:OFFSET(C4464,-1,0))+1,0)</f>
        <v>0</v>
      </c>
      <c r="E4464" s="9" t="str">
        <f t="shared" ca="1" si="81"/>
        <v/>
      </c>
      <c r="F4464" s="4" t="s">
        <v>35</v>
      </c>
      <c r="G4464" s="2">
        <f>IF(ISNUMBER(SEARCH(Лист2!$B$4,F:F)),1,0)</f>
        <v>0</v>
      </c>
      <c r="H4464" s="3">
        <f ca="1">IF(AND(I4464&lt;&gt;I4463,ISNUMBER(SEARCH(Лист2!$B$5,I:I)),G4464=1),MAX($H$3:OFFSET(H4464,-1,0))+1,0)</f>
        <v>0</v>
      </c>
      <c r="I4464" s="3" t="s">
        <v>365</v>
      </c>
      <c r="K4464" s="2">
        <f>IF(ISNUMBER(SEARCH(Лист2!$B$4,F:F)),1,0)</f>
        <v>0</v>
      </c>
      <c r="L4464" s="14">
        <f>IF(ISNUMBER(SEARCH(Лист2!$B$5,I:I)),1,0)+K4464</f>
        <v>0</v>
      </c>
      <c r="M4464" s="3">
        <f ca="1">IF(AND(N4464&lt;&gt;N4463,ISNUMBER(SEARCH(Лист2!$B$6,N:N)),L4464=2),MAX($M$3:OFFSET(M4464,-1,0))+1,0)</f>
        <v>0</v>
      </c>
      <c r="N4464" s="3" t="s">
        <v>2769</v>
      </c>
    </row>
    <row r="4465" spans="1:14" x14ac:dyDescent="0.25">
      <c r="A4465" s="1" t="s">
        <v>13198</v>
      </c>
      <c r="B4465" s="3" t="s">
        <v>8089</v>
      </c>
      <c r="C4465" s="2">
        <f ca="1">IF(ISNUMBER(SEARCH(Лист2!$B$4,D:D)),MAX($C$3:OFFSET(C4465,-1,0))+1,0)</f>
        <v>0</v>
      </c>
      <c r="E4465" s="9" t="str">
        <f t="shared" ca="1" si="81"/>
        <v/>
      </c>
      <c r="F4465" s="4" t="s">
        <v>35</v>
      </c>
      <c r="G4465" s="2">
        <f>IF(ISNUMBER(SEARCH(Лист2!$B$4,F:F)),1,0)</f>
        <v>0</v>
      </c>
      <c r="H4465" s="3">
        <f ca="1">IF(AND(I4465&lt;&gt;I4464,ISNUMBER(SEARCH(Лист2!$B$5,I:I)),G4465=1),MAX($H$3:OFFSET(H4465,-1,0))+1,0)</f>
        <v>0</v>
      </c>
      <c r="I4465" s="3" t="s">
        <v>365</v>
      </c>
      <c r="K4465" s="2">
        <f>IF(ISNUMBER(SEARCH(Лист2!$B$4,F:F)),1,0)</f>
        <v>0</v>
      </c>
      <c r="L4465" s="14">
        <f>IF(ISNUMBER(SEARCH(Лист2!$B$5,I:I)),1,0)+K4465</f>
        <v>0</v>
      </c>
      <c r="M4465" s="3">
        <f ca="1">IF(AND(N4465&lt;&gt;N4464,ISNUMBER(SEARCH(Лист2!$B$6,N:N)),L4465=2),MAX($M$3:OFFSET(M4465,-1,0))+1,0)</f>
        <v>0</v>
      </c>
      <c r="N4465" s="3" t="s">
        <v>2770</v>
      </c>
    </row>
    <row r="4466" spans="1:14" x14ac:dyDescent="0.25">
      <c r="A4466" s="1" t="s">
        <v>13199</v>
      </c>
      <c r="B4466" s="3" t="s">
        <v>8090</v>
      </c>
      <c r="C4466" s="2">
        <f ca="1">IF(ISNUMBER(SEARCH(Лист2!$B$4,D:D)),MAX($C$3:OFFSET(C4466,-1,0))+1,0)</f>
        <v>0</v>
      </c>
      <c r="E4466" s="9" t="str">
        <f t="shared" ca="1" si="81"/>
        <v/>
      </c>
      <c r="F4466" s="4" t="s">
        <v>35</v>
      </c>
      <c r="G4466" s="2">
        <f>IF(ISNUMBER(SEARCH(Лист2!$B$4,F:F)),1,0)</f>
        <v>0</v>
      </c>
      <c r="H4466" s="3">
        <f ca="1">IF(AND(I4466&lt;&gt;I4465,ISNUMBER(SEARCH(Лист2!$B$5,I:I)),G4466=1),MAX($H$3:OFFSET(H4466,-1,0))+1,0)</f>
        <v>0</v>
      </c>
      <c r="I4466" s="3" t="s">
        <v>365</v>
      </c>
      <c r="K4466" s="2">
        <f>IF(ISNUMBER(SEARCH(Лист2!$B$4,F:F)),1,0)</f>
        <v>0</v>
      </c>
      <c r="L4466" s="14">
        <f>IF(ISNUMBER(SEARCH(Лист2!$B$5,I:I)),1,0)+K4466</f>
        <v>0</v>
      </c>
      <c r="M4466" s="3">
        <f ca="1">IF(AND(N4466&lt;&gt;N4465,ISNUMBER(SEARCH(Лист2!$B$6,N:N)),L4466=2),MAX($M$3:OFFSET(M4466,-1,0))+1,0)</f>
        <v>0</v>
      </c>
      <c r="N4466" s="3" t="s">
        <v>2771</v>
      </c>
    </row>
    <row r="4467" spans="1:14" x14ac:dyDescent="0.25">
      <c r="A4467" s="1" t="s">
        <v>13200</v>
      </c>
      <c r="B4467" s="3" t="s">
        <v>8091</v>
      </c>
      <c r="C4467" s="2">
        <f ca="1">IF(ISNUMBER(SEARCH(Лист2!$B$4,D:D)),MAX($C$3:OFFSET(C4467,-1,0))+1,0)</f>
        <v>0</v>
      </c>
      <c r="E4467" s="9" t="str">
        <f t="shared" ca="1" si="81"/>
        <v/>
      </c>
      <c r="F4467" s="4" t="s">
        <v>35</v>
      </c>
      <c r="G4467" s="2">
        <f>IF(ISNUMBER(SEARCH(Лист2!$B$4,F:F)),1,0)</f>
        <v>0</v>
      </c>
      <c r="H4467" s="3">
        <f ca="1">IF(AND(I4467&lt;&gt;I4466,ISNUMBER(SEARCH(Лист2!$B$5,I:I)),G4467=1),MAX($H$3:OFFSET(H4467,-1,0))+1,0)</f>
        <v>0</v>
      </c>
      <c r="I4467" s="3" t="s">
        <v>365</v>
      </c>
      <c r="K4467" s="2">
        <f>IF(ISNUMBER(SEARCH(Лист2!$B$4,F:F)),1,0)</f>
        <v>0</v>
      </c>
      <c r="L4467" s="14">
        <f>IF(ISNUMBER(SEARCH(Лист2!$B$5,I:I)),1,0)+K4467</f>
        <v>0</v>
      </c>
      <c r="M4467" s="3">
        <f ca="1">IF(AND(N4467&lt;&gt;N4466,ISNUMBER(SEARCH(Лист2!$B$6,N:N)),L4467=2),MAX($M$3:OFFSET(M4467,-1,0))+1,0)</f>
        <v>0</v>
      </c>
      <c r="N4467" s="3" t="s">
        <v>2772</v>
      </c>
    </row>
    <row r="4468" spans="1:14" x14ac:dyDescent="0.25">
      <c r="A4468" s="1" t="s">
        <v>13201</v>
      </c>
      <c r="B4468" s="3" t="s">
        <v>8092</v>
      </c>
      <c r="C4468" s="2">
        <f ca="1">IF(ISNUMBER(SEARCH(Лист2!$B$4,D:D)),MAX($C$3:OFFSET(C4468,-1,0))+1,0)</f>
        <v>0</v>
      </c>
      <c r="E4468" s="9" t="str">
        <f t="shared" ca="1" si="81"/>
        <v/>
      </c>
      <c r="F4468" s="4" t="s">
        <v>35</v>
      </c>
      <c r="G4468" s="2">
        <f>IF(ISNUMBER(SEARCH(Лист2!$B$4,F:F)),1,0)</f>
        <v>0</v>
      </c>
      <c r="H4468" s="3">
        <f ca="1">IF(AND(I4468&lt;&gt;I4467,ISNUMBER(SEARCH(Лист2!$B$5,I:I)),G4468=1),MAX($H$3:OFFSET(H4468,-1,0))+1,0)</f>
        <v>0</v>
      </c>
      <c r="I4468" s="3" t="s">
        <v>365</v>
      </c>
      <c r="K4468" s="2">
        <f>IF(ISNUMBER(SEARCH(Лист2!$B$4,F:F)),1,0)</f>
        <v>0</v>
      </c>
      <c r="L4468" s="14">
        <f>IF(ISNUMBER(SEARCH(Лист2!$B$5,I:I)),1,0)+K4468</f>
        <v>0</v>
      </c>
      <c r="M4468" s="3">
        <f ca="1">IF(AND(N4468&lt;&gt;N4467,ISNUMBER(SEARCH(Лист2!$B$6,N:N)),L4468=2),MAX($M$3:OFFSET(M4468,-1,0))+1,0)</f>
        <v>0</v>
      </c>
      <c r="N4468" s="3" t="s">
        <v>2773</v>
      </c>
    </row>
    <row r="4469" spans="1:14" x14ac:dyDescent="0.25">
      <c r="A4469" s="1" t="s">
        <v>13202</v>
      </c>
      <c r="B4469" s="3" t="s">
        <v>8093</v>
      </c>
      <c r="C4469" s="2">
        <f ca="1">IF(ISNUMBER(SEARCH(Лист2!$B$4,D:D)),MAX($C$3:OFFSET(C4469,-1,0))+1,0)</f>
        <v>0</v>
      </c>
      <c r="E4469" s="9" t="str">
        <f t="shared" ca="1" si="81"/>
        <v/>
      </c>
      <c r="F4469" s="4" t="s">
        <v>35</v>
      </c>
      <c r="G4469" s="2">
        <f>IF(ISNUMBER(SEARCH(Лист2!$B$4,F:F)),1,0)</f>
        <v>0</v>
      </c>
      <c r="H4469" s="3">
        <f ca="1">IF(AND(I4469&lt;&gt;I4468,ISNUMBER(SEARCH(Лист2!$B$5,I:I)),G4469=1),MAX($H$3:OFFSET(H4469,-1,0))+1,0)</f>
        <v>0</v>
      </c>
      <c r="I4469" s="3" t="s">
        <v>365</v>
      </c>
      <c r="K4469" s="2">
        <f>IF(ISNUMBER(SEARCH(Лист2!$B$4,F:F)),1,0)</f>
        <v>0</v>
      </c>
      <c r="L4469" s="14">
        <f>IF(ISNUMBER(SEARCH(Лист2!$B$5,I:I)),1,0)+K4469</f>
        <v>0</v>
      </c>
      <c r="M4469" s="3">
        <f ca="1">IF(AND(N4469&lt;&gt;N4468,ISNUMBER(SEARCH(Лист2!$B$6,N:N)),L4469=2),MAX($M$3:OFFSET(M4469,-1,0))+1,0)</f>
        <v>0</v>
      </c>
      <c r="N4469" s="3" t="s">
        <v>2774</v>
      </c>
    </row>
    <row r="4470" spans="1:14" x14ac:dyDescent="0.25">
      <c r="A4470" s="1" t="s">
        <v>13203</v>
      </c>
      <c r="B4470" s="3" t="s">
        <v>8094</v>
      </c>
      <c r="C4470" s="2">
        <f ca="1">IF(ISNUMBER(SEARCH(Лист2!$B$4,D:D)),MAX($C$3:OFFSET(C4470,-1,0))+1,0)</f>
        <v>0</v>
      </c>
      <c r="E4470" s="9" t="str">
        <f t="shared" ca="1" si="81"/>
        <v/>
      </c>
      <c r="F4470" s="4" t="s">
        <v>35</v>
      </c>
      <c r="G4470" s="2">
        <f>IF(ISNUMBER(SEARCH(Лист2!$B$4,F:F)),1,0)</f>
        <v>0</v>
      </c>
      <c r="H4470" s="3">
        <f ca="1">IF(AND(I4470&lt;&gt;I4469,ISNUMBER(SEARCH(Лист2!$B$5,I:I)),G4470=1),MAX($H$3:OFFSET(H4470,-1,0))+1,0)</f>
        <v>0</v>
      </c>
      <c r="I4470" s="3" t="s">
        <v>365</v>
      </c>
      <c r="K4470" s="2">
        <f>IF(ISNUMBER(SEARCH(Лист2!$B$4,F:F)),1,0)</f>
        <v>0</v>
      </c>
      <c r="L4470" s="14">
        <f>IF(ISNUMBER(SEARCH(Лист2!$B$5,I:I)),1,0)+K4470</f>
        <v>0</v>
      </c>
      <c r="M4470" s="3">
        <f ca="1">IF(AND(N4470&lt;&gt;N4469,ISNUMBER(SEARCH(Лист2!$B$6,N:N)),L4470=2),MAX($M$3:OFFSET(M4470,-1,0))+1,0)</f>
        <v>0</v>
      </c>
      <c r="N4470" s="3" t="s">
        <v>2775</v>
      </c>
    </row>
    <row r="4471" spans="1:14" x14ac:dyDescent="0.25">
      <c r="A4471" s="1" t="s">
        <v>13204</v>
      </c>
      <c r="B4471" s="3" t="s">
        <v>8095</v>
      </c>
      <c r="C4471" s="2">
        <f ca="1">IF(ISNUMBER(SEARCH(Лист2!$B$4,D:D)),MAX($C$3:OFFSET(C4471,-1,0))+1,0)</f>
        <v>0</v>
      </c>
      <c r="E4471" s="9" t="str">
        <f t="shared" ca="1" si="81"/>
        <v/>
      </c>
      <c r="F4471" s="4" t="s">
        <v>35</v>
      </c>
      <c r="G4471" s="2">
        <f>IF(ISNUMBER(SEARCH(Лист2!$B$4,F:F)),1,0)</f>
        <v>0</v>
      </c>
      <c r="H4471" s="3">
        <f ca="1">IF(AND(I4471&lt;&gt;I4470,ISNUMBER(SEARCH(Лист2!$B$5,I:I)),G4471=1),MAX($H$3:OFFSET(H4471,-1,0))+1,0)</f>
        <v>0</v>
      </c>
      <c r="I4471" s="3" t="s">
        <v>365</v>
      </c>
      <c r="K4471" s="2">
        <f>IF(ISNUMBER(SEARCH(Лист2!$B$4,F:F)),1,0)</f>
        <v>0</v>
      </c>
      <c r="L4471" s="14">
        <f>IF(ISNUMBER(SEARCH(Лист2!$B$5,I:I)),1,0)+K4471</f>
        <v>0</v>
      </c>
      <c r="M4471" s="3">
        <f ca="1">IF(AND(N4471&lt;&gt;N4470,ISNUMBER(SEARCH(Лист2!$B$6,N:N)),L4471=2),MAX($M$3:OFFSET(M4471,-1,0))+1,0)</f>
        <v>0</v>
      </c>
      <c r="N4471" s="3" t="s">
        <v>2776</v>
      </c>
    </row>
    <row r="4472" spans="1:14" x14ac:dyDescent="0.25">
      <c r="A4472" s="1" t="s">
        <v>13205</v>
      </c>
      <c r="B4472" s="3" t="s">
        <v>8096</v>
      </c>
      <c r="C4472" s="2">
        <f ca="1">IF(ISNUMBER(SEARCH(Лист2!$B$4,D:D)),MAX($C$3:OFFSET(C4472,-1,0))+1,0)</f>
        <v>0</v>
      </c>
      <c r="E4472" s="9" t="str">
        <f t="shared" ca="1" si="81"/>
        <v/>
      </c>
      <c r="F4472" s="4" t="s">
        <v>35</v>
      </c>
      <c r="G4472" s="2">
        <f>IF(ISNUMBER(SEARCH(Лист2!$B$4,F:F)),1,0)</f>
        <v>0</v>
      </c>
      <c r="H4472" s="3">
        <f ca="1">IF(AND(I4472&lt;&gt;I4471,ISNUMBER(SEARCH(Лист2!$B$5,I:I)),G4472=1),MAX($H$3:OFFSET(H4472,-1,0))+1,0)</f>
        <v>0</v>
      </c>
      <c r="I4472" s="3" t="s">
        <v>365</v>
      </c>
      <c r="K4472" s="2">
        <f>IF(ISNUMBER(SEARCH(Лист2!$B$4,F:F)),1,0)</f>
        <v>0</v>
      </c>
      <c r="L4472" s="14">
        <f>IF(ISNUMBER(SEARCH(Лист2!$B$5,I:I)),1,0)+K4472</f>
        <v>0</v>
      </c>
      <c r="M4472" s="3">
        <f ca="1">IF(AND(N4472&lt;&gt;N4471,ISNUMBER(SEARCH(Лист2!$B$6,N:N)),L4472=2),MAX($M$3:OFFSET(M4472,-1,0))+1,0)</f>
        <v>0</v>
      </c>
      <c r="N4472" s="3" t="s">
        <v>2777</v>
      </c>
    </row>
    <row r="4473" spans="1:14" x14ac:dyDescent="0.25">
      <c r="A4473" s="1" t="s">
        <v>13200</v>
      </c>
      <c r="B4473" s="3" t="s">
        <v>8097</v>
      </c>
      <c r="C4473" s="2">
        <f ca="1">IF(ISNUMBER(SEARCH(Лист2!$B$4,D:D)),MAX($C$3:OFFSET(C4473,-1,0))+1,0)</f>
        <v>0</v>
      </c>
      <c r="E4473" s="9" t="str">
        <f t="shared" ca="1" si="81"/>
        <v/>
      </c>
      <c r="F4473" s="4" t="s">
        <v>35</v>
      </c>
      <c r="G4473" s="2">
        <f>IF(ISNUMBER(SEARCH(Лист2!$B$4,F:F)),1,0)</f>
        <v>0</v>
      </c>
      <c r="H4473" s="3">
        <f ca="1">IF(AND(I4473&lt;&gt;I4472,ISNUMBER(SEARCH(Лист2!$B$5,I:I)),G4473=1),MAX($H$3:OFFSET(H4473,-1,0))+1,0)</f>
        <v>0</v>
      </c>
      <c r="I4473" s="3" t="s">
        <v>365</v>
      </c>
      <c r="K4473" s="2">
        <f>IF(ISNUMBER(SEARCH(Лист2!$B$4,F:F)),1,0)</f>
        <v>0</v>
      </c>
      <c r="L4473" s="14">
        <f>IF(ISNUMBER(SEARCH(Лист2!$B$5,I:I)),1,0)+K4473</f>
        <v>0</v>
      </c>
      <c r="M4473" s="3">
        <f ca="1">IF(AND(N4473&lt;&gt;N4472,ISNUMBER(SEARCH(Лист2!$B$6,N:N)),L4473=2),MAX($M$3:OFFSET(M4473,-1,0))+1,0)</f>
        <v>0</v>
      </c>
      <c r="N4473" s="3" t="s">
        <v>2772</v>
      </c>
    </row>
    <row r="4474" spans="1:14" x14ac:dyDescent="0.25">
      <c r="A4474" s="1" t="s">
        <v>13206</v>
      </c>
      <c r="B4474" s="3" t="s">
        <v>8098</v>
      </c>
      <c r="C4474" s="2">
        <f ca="1">IF(ISNUMBER(SEARCH(Лист2!$B$4,D:D)),MAX($C$3:OFFSET(C4474,-1,0))+1,0)</f>
        <v>0</v>
      </c>
      <c r="E4474" s="9" t="str">
        <f t="shared" ca="1" si="81"/>
        <v/>
      </c>
      <c r="F4474" s="4" t="s">
        <v>35</v>
      </c>
      <c r="G4474" s="2">
        <f>IF(ISNUMBER(SEARCH(Лист2!$B$4,F:F)),1,0)</f>
        <v>0</v>
      </c>
      <c r="H4474" s="3">
        <f ca="1">IF(AND(I4474&lt;&gt;I4473,ISNUMBER(SEARCH(Лист2!$B$5,I:I)),G4474=1),MAX($H$3:OFFSET(H4474,-1,0))+1,0)</f>
        <v>0</v>
      </c>
      <c r="I4474" s="3" t="s">
        <v>365</v>
      </c>
      <c r="K4474" s="2">
        <f>IF(ISNUMBER(SEARCH(Лист2!$B$4,F:F)),1,0)</f>
        <v>0</v>
      </c>
      <c r="L4474" s="14">
        <f>IF(ISNUMBER(SEARCH(Лист2!$B$5,I:I)),1,0)+K4474</f>
        <v>0</v>
      </c>
      <c r="M4474" s="3">
        <f ca="1">IF(AND(N4474&lt;&gt;N4473,ISNUMBER(SEARCH(Лист2!$B$6,N:N)),L4474=2),MAX($M$3:OFFSET(M4474,-1,0))+1,0)</f>
        <v>0</v>
      </c>
      <c r="N4474" s="3" t="s">
        <v>2778</v>
      </c>
    </row>
    <row r="4475" spans="1:14" x14ac:dyDescent="0.25">
      <c r="A4475" s="1" t="s">
        <v>13207</v>
      </c>
      <c r="B4475" s="3" t="s">
        <v>8099</v>
      </c>
      <c r="C4475" s="2">
        <f ca="1">IF(ISNUMBER(SEARCH(Лист2!$B$4,D:D)),MAX($C$3:OFFSET(C4475,-1,0))+1,0)</f>
        <v>0</v>
      </c>
      <c r="E4475" s="9" t="str">
        <f t="shared" ca="1" si="81"/>
        <v/>
      </c>
      <c r="F4475" s="4" t="s">
        <v>35</v>
      </c>
      <c r="G4475" s="2">
        <f>IF(ISNUMBER(SEARCH(Лист2!$B$4,F:F)),1,0)</f>
        <v>0</v>
      </c>
      <c r="H4475" s="3">
        <f ca="1">IF(AND(I4475&lt;&gt;I4474,ISNUMBER(SEARCH(Лист2!$B$5,I:I)),G4475=1),MAX($H$3:OFFSET(H4475,-1,0))+1,0)</f>
        <v>0</v>
      </c>
      <c r="I4475" s="3" t="s">
        <v>365</v>
      </c>
      <c r="K4475" s="2">
        <f>IF(ISNUMBER(SEARCH(Лист2!$B$4,F:F)),1,0)</f>
        <v>0</v>
      </c>
      <c r="L4475" s="14">
        <f>IF(ISNUMBER(SEARCH(Лист2!$B$5,I:I)),1,0)+K4475</f>
        <v>0</v>
      </c>
      <c r="M4475" s="3">
        <f ca="1">IF(AND(N4475&lt;&gt;N4474,ISNUMBER(SEARCH(Лист2!$B$6,N:N)),L4475=2),MAX($M$3:OFFSET(M4475,-1,0))+1,0)</f>
        <v>0</v>
      </c>
      <c r="N4475" s="3" t="s">
        <v>2779</v>
      </c>
    </row>
    <row r="4476" spans="1:14" x14ac:dyDescent="0.25">
      <c r="A4476" s="1" t="s">
        <v>13208</v>
      </c>
      <c r="B4476" s="3" t="s">
        <v>8100</v>
      </c>
      <c r="C4476" s="2">
        <f ca="1">IF(ISNUMBER(SEARCH(Лист2!$B$4,D:D)),MAX($C$3:OFFSET(C4476,-1,0))+1,0)</f>
        <v>0</v>
      </c>
      <c r="E4476" s="9" t="str">
        <f t="shared" ca="1" si="81"/>
        <v/>
      </c>
      <c r="F4476" s="4" t="s">
        <v>35</v>
      </c>
      <c r="G4476" s="2">
        <f>IF(ISNUMBER(SEARCH(Лист2!$B$4,F:F)),1,0)</f>
        <v>0</v>
      </c>
      <c r="H4476" s="3">
        <f ca="1">IF(AND(I4476&lt;&gt;I4475,ISNUMBER(SEARCH(Лист2!$B$5,I:I)),G4476=1),MAX($H$3:OFFSET(H4476,-1,0))+1,0)</f>
        <v>0</v>
      </c>
      <c r="I4476" s="3" t="s">
        <v>365</v>
      </c>
      <c r="K4476" s="2">
        <f>IF(ISNUMBER(SEARCH(Лист2!$B$4,F:F)),1,0)</f>
        <v>0</v>
      </c>
      <c r="L4476" s="14">
        <f>IF(ISNUMBER(SEARCH(Лист2!$B$5,I:I)),1,0)+K4476</f>
        <v>0</v>
      </c>
      <c r="M4476" s="3">
        <f ca="1">IF(AND(N4476&lt;&gt;N4475,ISNUMBER(SEARCH(Лист2!$B$6,N:N)),L4476=2),MAX($M$3:OFFSET(M4476,-1,0))+1,0)</f>
        <v>0</v>
      </c>
      <c r="N4476" s="3" t="s">
        <v>2780</v>
      </c>
    </row>
    <row r="4477" spans="1:14" x14ac:dyDescent="0.25">
      <c r="A4477" s="1" t="s">
        <v>13209</v>
      </c>
      <c r="B4477" s="3" t="s">
        <v>8101</v>
      </c>
      <c r="C4477" s="2">
        <f ca="1">IF(ISNUMBER(SEARCH(Лист2!$B$4,D:D)),MAX($C$3:OFFSET(C4477,-1,0))+1,0)</f>
        <v>0</v>
      </c>
      <c r="E4477" s="9" t="str">
        <f t="shared" ca="1" si="81"/>
        <v/>
      </c>
      <c r="F4477" s="4" t="s">
        <v>35</v>
      </c>
      <c r="G4477" s="2">
        <f>IF(ISNUMBER(SEARCH(Лист2!$B$4,F:F)),1,0)</f>
        <v>0</v>
      </c>
      <c r="H4477" s="3">
        <f ca="1">IF(AND(I4477&lt;&gt;I4476,ISNUMBER(SEARCH(Лист2!$B$5,I:I)),G4477=1),MAX($H$3:OFFSET(H4477,-1,0))+1,0)</f>
        <v>0</v>
      </c>
      <c r="I4477" s="3" t="s">
        <v>365</v>
      </c>
      <c r="K4477" s="2">
        <f>IF(ISNUMBER(SEARCH(Лист2!$B$4,F:F)),1,0)</f>
        <v>0</v>
      </c>
      <c r="L4477" s="14">
        <f>IF(ISNUMBER(SEARCH(Лист2!$B$5,I:I)),1,0)+K4477</f>
        <v>0</v>
      </c>
      <c r="M4477" s="3">
        <f ca="1">IF(AND(N4477&lt;&gt;N4476,ISNUMBER(SEARCH(Лист2!$B$6,N:N)),L4477=2),MAX($M$3:OFFSET(M4477,-1,0))+1,0)</f>
        <v>0</v>
      </c>
      <c r="N4477" s="3" t="s">
        <v>2781</v>
      </c>
    </row>
    <row r="4478" spans="1:14" x14ac:dyDescent="0.25">
      <c r="A4478" s="1" t="s">
        <v>13210</v>
      </c>
      <c r="B4478" s="3" t="s">
        <v>8102</v>
      </c>
      <c r="C4478" s="2">
        <f ca="1">IF(ISNUMBER(SEARCH(Лист2!$B$4,D:D)),MAX($C$3:OFFSET(C4478,-1,0))+1,0)</f>
        <v>0</v>
      </c>
      <c r="E4478" s="9" t="str">
        <f t="shared" ca="1" si="81"/>
        <v/>
      </c>
      <c r="F4478" s="4" t="s">
        <v>35</v>
      </c>
      <c r="G4478" s="2">
        <f>IF(ISNUMBER(SEARCH(Лист2!$B$4,F:F)),1,0)</f>
        <v>0</v>
      </c>
      <c r="H4478" s="3">
        <f ca="1">IF(AND(I4478&lt;&gt;I4477,ISNUMBER(SEARCH(Лист2!$B$5,I:I)),G4478=1),MAX($H$3:OFFSET(H4478,-1,0))+1,0)</f>
        <v>0</v>
      </c>
      <c r="I4478" s="3" t="s">
        <v>366</v>
      </c>
      <c r="K4478" s="2">
        <f>IF(ISNUMBER(SEARCH(Лист2!$B$4,F:F)),1,0)</f>
        <v>0</v>
      </c>
      <c r="L4478" s="14">
        <f>IF(ISNUMBER(SEARCH(Лист2!$B$5,I:I)),1,0)+K4478</f>
        <v>0</v>
      </c>
      <c r="M4478" s="3">
        <f ca="1">IF(AND(N4478&lt;&gt;N4477,ISNUMBER(SEARCH(Лист2!$B$6,N:N)),L4478=2),MAX($M$3:OFFSET(M4478,-1,0))+1,0)</f>
        <v>0</v>
      </c>
      <c r="N4478" s="3" t="s">
        <v>2782</v>
      </c>
    </row>
    <row r="4479" spans="1:14" x14ac:dyDescent="0.25">
      <c r="A4479" s="1" t="s">
        <v>13211</v>
      </c>
      <c r="B4479" s="3" t="s">
        <v>8103</v>
      </c>
      <c r="C4479" s="2">
        <f ca="1">IF(ISNUMBER(SEARCH(Лист2!$B$4,D:D)),MAX($C$3:OFFSET(C4479,-1,0))+1,0)</f>
        <v>0</v>
      </c>
      <c r="E4479" s="9" t="str">
        <f t="shared" ca="1" si="81"/>
        <v/>
      </c>
      <c r="F4479" s="4" t="s">
        <v>35</v>
      </c>
      <c r="G4479" s="2">
        <f>IF(ISNUMBER(SEARCH(Лист2!$B$4,F:F)),1,0)</f>
        <v>0</v>
      </c>
      <c r="H4479" s="3">
        <f ca="1">IF(AND(I4479&lt;&gt;I4478,ISNUMBER(SEARCH(Лист2!$B$5,I:I)),G4479=1),MAX($H$3:OFFSET(H4479,-1,0))+1,0)</f>
        <v>0</v>
      </c>
      <c r="I4479" s="3" t="s">
        <v>366</v>
      </c>
      <c r="K4479" s="2">
        <f>IF(ISNUMBER(SEARCH(Лист2!$B$4,F:F)),1,0)</f>
        <v>0</v>
      </c>
      <c r="L4479" s="14">
        <f>IF(ISNUMBER(SEARCH(Лист2!$B$5,I:I)),1,0)+K4479</f>
        <v>0</v>
      </c>
      <c r="M4479" s="3">
        <f ca="1">IF(AND(N4479&lt;&gt;N4478,ISNUMBER(SEARCH(Лист2!$B$6,N:N)),L4479=2),MAX($M$3:OFFSET(M4479,-1,0))+1,0)</f>
        <v>0</v>
      </c>
      <c r="N4479" s="3" t="s">
        <v>2783</v>
      </c>
    </row>
    <row r="4480" spans="1:14" x14ac:dyDescent="0.25">
      <c r="A4480" s="1" t="s">
        <v>13212</v>
      </c>
      <c r="B4480" s="3" t="s">
        <v>8104</v>
      </c>
      <c r="C4480" s="2">
        <f ca="1">IF(ISNUMBER(SEARCH(Лист2!$B$4,D:D)),MAX($C$3:OFFSET(C4480,-1,0))+1,0)</f>
        <v>0</v>
      </c>
      <c r="E4480" s="9" t="str">
        <f t="shared" ca="1" si="81"/>
        <v/>
      </c>
      <c r="F4480" s="4" t="s">
        <v>35</v>
      </c>
      <c r="G4480" s="2">
        <f>IF(ISNUMBER(SEARCH(Лист2!$B$4,F:F)),1,0)</f>
        <v>0</v>
      </c>
      <c r="H4480" s="3">
        <f ca="1">IF(AND(I4480&lt;&gt;I4479,ISNUMBER(SEARCH(Лист2!$B$5,I:I)),G4480=1),MAX($H$3:OFFSET(H4480,-1,0))+1,0)</f>
        <v>0</v>
      </c>
      <c r="I4480" s="3" t="s">
        <v>366</v>
      </c>
      <c r="K4480" s="2">
        <f>IF(ISNUMBER(SEARCH(Лист2!$B$4,F:F)),1,0)</f>
        <v>0</v>
      </c>
      <c r="L4480" s="14">
        <f>IF(ISNUMBER(SEARCH(Лист2!$B$5,I:I)),1,0)+K4480</f>
        <v>0</v>
      </c>
      <c r="M4480" s="3">
        <f ca="1">IF(AND(N4480&lt;&gt;N4479,ISNUMBER(SEARCH(Лист2!$B$6,N:N)),L4480=2),MAX($M$3:OFFSET(M4480,-1,0))+1,0)</f>
        <v>0</v>
      </c>
      <c r="N4480" s="3" t="s">
        <v>2784</v>
      </c>
    </row>
    <row r="4481" spans="1:14" x14ac:dyDescent="0.25">
      <c r="A4481" s="1" t="s">
        <v>13213</v>
      </c>
      <c r="B4481" s="3" t="s">
        <v>8105</v>
      </c>
      <c r="C4481" s="2">
        <f ca="1">IF(ISNUMBER(SEARCH(Лист2!$B$4,D:D)),MAX($C$3:OFFSET(C4481,-1,0))+1,0)</f>
        <v>0</v>
      </c>
      <c r="E4481" s="9" t="str">
        <f t="shared" ca="1" si="81"/>
        <v/>
      </c>
      <c r="F4481" s="4" t="s">
        <v>35</v>
      </c>
      <c r="G4481" s="2">
        <f>IF(ISNUMBER(SEARCH(Лист2!$B$4,F:F)),1,0)</f>
        <v>0</v>
      </c>
      <c r="H4481" s="3">
        <f ca="1">IF(AND(I4481&lt;&gt;I4480,ISNUMBER(SEARCH(Лист2!$B$5,I:I)),G4481=1),MAX($H$3:OFFSET(H4481,-1,0))+1,0)</f>
        <v>0</v>
      </c>
      <c r="I4481" s="3" t="s">
        <v>366</v>
      </c>
      <c r="K4481" s="2">
        <f>IF(ISNUMBER(SEARCH(Лист2!$B$4,F:F)),1,0)</f>
        <v>0</v>
      </c>
      <c r="L4481" s="14">
        <f>IF(ISNUMBER(SEARCH(Лист2!$B$5,I:I)),1,0)+K4481</f>
        <v>0</v>
      </c>
      <c r="M4481" s="3">
        <f ca="1">IF(AND(N4481&lt;&gt;N4480,ISNUMBER(SEARCH(Лист2!$B$6,N:N)),L4481=2),MAX($M$3:OFFSET(M4481,-1,0))+1,0)</f>
        <v>0</v>
      </c>
      <c r="N4481" s="3" t="s">
        <v>2785</v>
      </c>
    </row>
    <row r="4482" spans="1:14" x14ac:dyDescent="0.25">
      <c r="A4482" s="1" t="s">
        <v>13212</v>
      </c>
      <c r="B4482" s="3" t="s">
        <v>8106</v>
      </c>
      <c r="C4482" s="2">
        <f ca="1">IF(ISNUMBER(SEARCH(Лист2!$B$4,D:D)),MAX($C$3:OFFSET(C4482,-1,0))+1,0)</f>
        <v>0</v>
      </c>
      <c r="E4482" s="9" t="str">
        <f t="shared" ca="1" si="81"/>
        <v/>
      </c>
      <c r="F4482" s="4" t="s">
        <v>35</v>
      </c>
      <c r="G4482" s="2">
        <f>IF(ISNUMBER(SEARCH(Лист2!$B$4,F:F)),1,0)</f>
        <v>0</v>
      </c>
      <c r="H4482" s="3">
        <f ca="1">IF(AND(I4482&lt;&gt;I4481,ISNUMBER(SEARCH(Лист2!$B$5,I:I)),G4482=1),MAX($H$3:OFFSET(H4482,-1,0))+1,0)</f>
        <v>0</v>
      </c>
      <c r="I4482" s="3" t="s">
        <v>366</v>
      </c>
      <c r="K4482" s="2">
        <f>IF(ISNUMBER(SEARCH(Лист2!$B$4,F:F)),1,0)</f>
        <v>0</v>
      </c>
      <c r="L4482" s="14">
        <f>IF(ISNUMBER(SEARCH(Лист2!$B$5,I:I)),1,0)+K4482</f>
        <v>0</v>
      </c>
      <c r="M4482" s="3">
        <f ca="1">IF(AND(N4482&lt;&gt;N4481,ISNUMBER(SEARCH(Лист2!$B$6,N:N)),L4482=2),MAX($M$3:OFFSET(M4482,-1,0))+1,0)</f>
        <v>0</v>
      </c>
      <c r="N4482" s="3" t="s">
        <v>2784</v>
      </c>
    </row>
    <row r="4483" spans="1:14" x14ac:dyDescent="0.25">
      <c r="A4483" s="1" t="s">
        <v>13210</v>
      </c>
      <c r="B4483" s="3" t="s">
        <v>8107</v>
      </c>
      <c r="C4483" s="2">
        <f ca="1">IF(ISNUMBER(SEARCH(Лист2!$B$4,D:D)),MAX($C$3:OFFSET(C4483,-1,0))+1,0)</f>
        <v>0</v>
      </c>
      <c r="E4483" s="9" t="str">
        <f t="shared" ca="1" si="81"/>
        <v/>
      </c>
      <c r="F4483" s="4" t="s">
        <v>35</v>
      </c>
      <c r="G4483" s="2">
        <f>IF(ISNUMBER(SEARCH(Лист2!$B$4,F:F)),1,0)</f>
        <v>0</v>
      </c>
      <c r="H4483" s="3">
        <f ca="1">IF(AND(I4483&lt;&gt;I4482,ISNUMBER(SEARCH(Лист2!$B$5,I:I)),G4483=1),MAX($H$3:OFFSET(H4483,-1,0))+1,0)</f>
        <v>0</v>
      </c>
      <c r="I4483" s="3" t="s">
        <v>366</v>
      </c>
      <c r="K4483" s="2">
        <f>IF(ISNUMBER(SEARCH(Лист2!$B$4,F:F)),1,0)</f>
        <v>0</v>
      </c>
      <c r="L4483" s="14">
        <f>IF(ISNUMBER(SEARCH(Лист2!$B$5,I:I)),1,0)+K4483</f>
        <v>0</v>
      </c>
      <c r="M4483" s="3">
        <f ca="1">IF(AND(N4483&lt;&gt;N4482,ISNUMBER(SEARCH(Лист2!$B$6,N:N)),L4483=2),MAX($M$3:OFFSET(M4483,-1,0))+1,0)</f>
        <v>0</v>
      </c>
      <c r="N4483" s="3" t="s">
        <v>2782</v>
      </c>
    </row>
    <row r="4484" spans="1:14" x14ac:dyDescent="0.25">
      <c r="A4484" s="1" t="s">
        <v>13211</v>
      </c>
      <c r="B4484" s="3" t="s">
        <v>8108</v>
      </c>
      <c r="C4484" s="2">
        <f ca="1">IF(ISNUMBER(SEARCH(Лист2!$B$4,D:D)),MAX($C$3:OFFSET(C4484,-1,0))+1,0)</f>
        <v>0</v>
      </c>
      <c r="E4484" s="9" t="str">
        <f t="shared" ca="1" si="81"/>
        <v/>
      </c>
      <c r="F4484" s="4" t="s">
        <v>35</v>
      </c>
      <c r="G4484" s="2">
        <f>IF(ISNUMBER(SEARCH(Лист2!$B$4,F:F)),1,0)</f>
        <v>0</v>
      </c>
      <c r="H4484" s="3">
        <f ca="1">IF(AND(I4484&lt;&gt;I4483,ISNUMBER(SEARCH(Лист2!$B$5,I:I)),G4484=1),MAX($H$3:OFFSET(H4484,-1,0))+1,0)</f>
        <v>0</v>
      </c>
      <c r="I4484" s="3" t="s">
        <v>366</v>
      </c>
      <c r="K4484" s="2">
        <f>IF(ISNUMBER(SEARCH(Лист2!$B$4,F:F)),1,0)</f>
        <v>0</v>
      </c>
      <c r="L4484" s="14">
        <f>IF(ISNUMBER(SEARCH(Лист2!$B$5,I:I)),1,0)+K4484</f>
        <v>0</v>
      </c>
      <c r="M4484" s="3">
        <f ca="1">IF(AND(N4484&lt;&gt;N4483,ISNUMBER(SEARCH(Лист2!$B$6,N:N)),L4484=2),MAX($M$3:OFFSET(M4484,-1,0))+1,0)</f>
        <v>0</v>
      </c>
      <c r="N4484" s="3" t="s">
        <v>2783</v>
      </c>
    </row>
    <row r="4485" spans="1:14" x14ac:dyDescent="0.25">
      <c r="A4485" s="1" t="s">
        <v>13210</v>
      </c>
      <c r="B4485" s="3" t="s">
        <v>8109</v>
      </c>
      <c r="C4485" s="2">
        <f ca="1">IF(ISNUMBER(SEARCH(Лист2!$B$4,D:D)),MAX($C$3:OFFSET(C4485,-1,0))+1,0)</f>
        <v>0</v>
      </c>
      <c r="E4485" s="9" t="str">
        <f t="shared" ref="E4485:E4548" ca="1" si="82">IFERROR(INDEX(D:D,MATCH(ROW(E4485)-ROW($E$3),C:C,0)),"")</f>
        <v/>
      </c>
      <c r="F4485" s="4" t="s">
        <v>35</v>
      </c>
      <c r="G4485" s="2">
        <f>IF(ISNUMBER(SEARCH(Лист2!$B$4,F:F)),1,0)</f>
        <v>0</v>
      </c>
      <c r="H4485" s="3">
        <f ca="1">IF(AND(I4485&lt;&gt;I4484,ISNUMBER(SEARCH(Лист2!$B$5,I:I)),G4485=1),MAX($H$3:OFFSET(H4485,-1,0))+1,0)</f>
        <v>0</v>
      </c>
      <c r="I4485" s="3" t="s">
        <v>366</v>
      </c>
      <c r="K4485" s="2">
        <f>IF(ISNUMBER(SEARCH(Лист2!$B$4,F:F)),1,0)</f>
        <v>0</v>
      </c>
      <c r="L4485" s="14">
        <f>IF(ISNUMBER(SEARCH(Лист2!$B$5,I:I)),1,0)+K4485</f>
        <v>0</v>
      </c>
      <c r="M4485" s="3">
        <f ca="1">IF(AND(N4485&lt;&gt;N4484,ISNUMBER(SEARCH(Лист2!$B$6,N:N)),L4485=2),MAX($M$3:OFFSET(M4485,-1,0))+1,0)</f>
        <v>0</v>
      </c>
      <c r="N4485" s="3" t="s">
        <v>2782</v>
      </c>
    </row>
    <row r="4486" spans="1:14" x14ac:dyDescent="0.25">
      <c r="A4486" s="1" t="s">
        <v>13211</v>
      </c>
      <c r="B4486" s="3" t="s">
        <v>8110</v>
      </c>
      <c r="C4486" s="2">
        <f ca="1">IF(ISNUMBER(SEARCH(Лист2!$B$4,D:D)),MAX($C$3:OFFSET(C4486,-1,0))+1,0)</f>
        <v>0</v>
      </c>
      <c r="E4486" s="9" t="str">
        <f t="shared" ca="1" si="82"/>
        <v/>
      </c>
      <c r="F4486" s="4" t="s">
        <v>35</v>
      </c>
      <c r="G4486" s="2">
        <f>IF(ISNUMBER(SEARCH(Лист2!$B$4,F:F)),1,0)</f>
        <v>0</v>
      </c>
      <c r="H4486" s="3">
        <f ca="1">IF(AND(I4486&lt;&gt;I4485,ISNUMBER(SEARCH(Лист2!$B$5,I:I)),G4486=1),MAX($H$3:OFFSET(H4486,-1,0))+1,0)</f>
        <v>0</v>
      </c>
      <c r="I4486" s="3" t="s">
        <v>366</v>
      </c>
      <c r="K4486" s="2">
        <f>IF(ISNUMBER(SEARCH(Лист2!$B$4,F:F)),1,0)</f>
        <v>0</v>
      </c>
      <c r="L4486" s="14">
        <f>IF(ISNUMBER(SEARCH(Лист2!$B$5,I:I)),1,0)+K4486</f>
        <v>0</v>
      </c>
      <c r="M4486" s="3">
        <f ca="1">IF(AND(N4486&lt;&gt;N4485,ISNUMBER(SEARCH(Лист2!$B$6,N:N)),L4486=2),MAX($M$3:OFFSET(M4486,-1,0))+1,0)</f>
        <v>0</v>
      </c>
      <c r="N4486" s="3" t="s">
        <v>2783</v>
      </c>
    </row>
    <row r="4487" spans="1:14" x14ac:dyDescent="0.25">
      <c r="A4487" s="1" t="s">
        <v>13214</v>
      </c>
      <c r="B4487" s="3" t="s">
        <v>8111</v>
      </c>
      <c r="C4487" s="2">
        <f ca="1">IF(ISNUMBER(SEARCH(Лист2!$B$4,D:D)),MAX($C$3:OFFSET(C4487,-1,0))+1,0)</f>
        <v>0</v>
      </c>
      <c r="E4487" s="9" t="str">
        <f t="shared" ca="1" si="82"/>
        <v/>
      </c>
      <c r="F4487" s="4" t="s">
        <v>35</v>
      </c>
      <c r="G4487" s="2">
        <f>IF(ISNUMBER(SEARCH(Лист2!$B$4,F:F)),1,0)</f>
        <v>0</v>
      </c>
      <c r="H4487" s="3">
        <f ca="1">IF(AND(I4487&lt;&gt;I4486,ISNUMBER(SEARCH(Лист2!$B$5,I:I)),G4487=1),MAX($H$3:OFFSET(H4487,-1,0))+1,0)</f>
        <v>0</v>
      </c>
      <c r="I4487" s="3" t="s">
        <v>366</v>
      </c>
      <c r="K4487" s="2">
        <f>IF(ISNUMBER(SEARCH(Лист2!$B$4,F:F)),1,0)</f>
        <v>0</v>
      </c>
      <c r="L4487" s="14">
        <f>IF(ISNUMBER(SEARCH(Лист2!$B$5,I:I)),1,0)+K4487</f>
        <v>0</v>
      </c>
      <c r="M4487" s="3">
        <f ca="1">IF(AND(N4487&lt;&gt;N4486,ISNUMBER(SEARCH(Лист2!$B$6,N:N)),L4487=2),MAX($M$3:OFFSET(M4487,-1,0))+1,0)</f>
        <v>0</v>
      </c>
      <c r="N4487" s="3" t="s">
        <v>2786</v>
      </c>
    </row>
    <row r="4488" spans="1:14" x14ac:dyDescent="0.25">
      <c r="A4488" s="1" t="s">
        <v>13215</v>
      </c>
      <c r="B4488" s="3" t="s">
        <v>8112</v>
      </c>
      <c r="C4488" s="2">
        <f ca="1">IF(ISNUMBER(SEARCH(Лист2!$B$4,D:D)),MAX($C$3:OFFSET(C4488,-1,0))+1,0)</f>
        <v>0</v>
      </c>
      <c r="E4488" s="9" t="str">
        <f t="shared" ca="1" si="82"/>
        <v/>
      </c>
      <c r="F4488" s="4" t="s">
        <v>35</v>
      </c>
      <c r="G4488" s="2">
        <f>IF(ISNUMBER(SEARCH(Лист2!$B$4,F:F)),1,0)</f>
        <v>0</v>
      </c>
      <c r="H4488" s="3">
        <f ca="1">IF(AND(I4488&lt;&gt;I4487,ISNUMBER(SEARCH(Лист2!$B$5,I:I)),G4488=1),MAX($H$3:OFFSET(H4488,-1,0))+1,0)</f>
        <v>0</v>
      </c>
      <c r="I4488" s="3" t="s">
        <v>366</v>
      </c>
      <c r="K4488" s="2">
        <f>IF(ISNUMBER(SEARCH(Лист2!$B$4,F:F)),1,0)</f>
        <v>0</v>
      </c>
      <c r="L4488" s="14">
        <f>IF(ISNUMBER(SEARCH(Лист2!$B$5,I:I)),1,0)+K4488</f>
        <v>0</v>
      </c>
      <c r="M4488" s="3">
        <f ca="1">IF(AND(N4488&lt;&gt;N4487,ISNUMBER(SEARCH(Лист2!$B$6,N:N)),L4488=2),MAX($M$3:OFFSET(M4488,-1,0))+1,0)</f>
        <v>0</v>
      </c>
      <c r="N4488" s="3" t="s">
        <v>2787</v>
      </c>
    </row>
    <row r="4489" spans="1:14" x14ac:dyDescent="0.25">
      <c r="A4489" s="1" t="s">
        <v>13216</v>
      </c>
      <c r="B4489" s="3" t="s">
        <v>8113</v>
      </c>
      <c r="C4489" s="2">
        <f ca="1">IF(ISNUMBER(SEARCH(Лист2!$B$4,D:D)),MAX($C$3:OFFSET(C4489,-1,0))+1,0)</f>
        <v>0</v>
      </c>
      <c r="E4489" s="9" t="str">
        <f t="shared" ca="1" si="82"/>
        <v/>
      </c>
      <c r="F4489" s="4" t="s">
        <v>35</v>
      </c>
      <c r="G4489" s="2">
        <f>IF(ISNUMBER(SEARCH(Лист2!$B$4,F:F)),1,0)</f>
        <v>0</v>
      </c>
      <c r="H4489" s="3">
        <f ca="1">IF(AND(I4489&lt;&gt;I4488,ISNUMBER(SEARCH(Лист2!$B$5,I:I)),G4489=1),MAX($H$3:OFFSET(H4489,-1,0))+1,0)</f>
        <v>0</v>
      </c>
      <c r="I4489" s="3" t="s">
        <v>366</v>
      </c>
      <c r="K4489" s="2">
        <f>IF(ISNUMBER(SEARCH(Лист2!$B$4,F:F)),1,0)</f>
        <v>0</v>
      </c>
      <c r="L4489" s="14">
        <f>IF(ISNUMBER(SEARCH(Лист2!$B$5,I:I)),1,0)+K4489</f>
        <v>0</v>
      </c>
      <c r="M4489" s="3">
        <f ca="1">IF(AND(N4489&lt;&gt;N4488,ISNUMBER(SEARCH(Лист2!$B$6,N:N)),L4489=2),MAX($M$3:OFFSET(M4489,-1,0))+1,0)</f>
        <v>0</v>
      </c>
      <c r="N4489" s="3" t="s">
        <v>2788</v>
      </c>
    </row>
    <row r="4490" spans="1:14" x14ac:dyDescent="0.25">
      <c r="A4490" s="1" t="s">
        <v>13217</v>
      </c>
      <c r="B4490" s="3" t="s">
        <v>8114</v>
      </c>
      <c r="C4490" s="2">
        <f ca="1">IF(ISNUMBER(SEARCH(Лист2!$B$4,D:D)),MAX($C$3:OFFSET(C4490,-1,0))+1,0)</f>
        <v>0</v>
      </c>
      <c r="E4490" s="9" t="str">
        <f t="shared" ca="1" si="82"/>
        <v/>
      </c>
      <c r="F4490" s="4" t="s">
        <v>35</v>
      </c>
      <c r="G4490" s="2">
        <f>IF(ISNUMBER(SEARCH(Лист2!$B$4,F:F)),1,0)</f>
        <v>0</v>
      </c>
      <c r="H4490" s="3">
        <f ca="1">IF(AND(I4490&lt;&gt;I4489,ISNUMBER(SEARCH(Лист2!$B$5,I:I)),G4490=1),MAX($H$3:OFFSET(H4490,-1,0))+1,0)</f>
        <v>0</v>
      </c>
      <c r="I4490" s="3" t="s">
        <v>366</v>
      </c>
      <c r="K4490" s="2">
        <f>IF(ISNUMBER(SEARCH(Лист2!$B$4,F:F)),1,0)</f>
        <v>0</v>
      </c>
      <c r="L4490" s="14">
        <f>IF(ISNUMBER(SEARCH(Лист2!$B$5,I:I)),1,0)+K4490</f>
        <v>0</v>
      </c>
      <c r="M4490" s="3">
        <f ca="1">IF(AND(N4490&lt;&gt;N4489,ISNUMBER(SEARCH(Лист2!$B$6,N:N)),L4490=2),MAX($M$3:OFFSET(M4490,-1,0))+1,0)</f>
        <v>0</v>
      </c>
      <c r="N4490" s="3" t="s">
        <v>2789</v>
      </c>
    </row>
    <row r="4491" spans="1:14" x14ac:dyDescent="0.25">
      <c r="A4491" s="1" t="s">
        <v>13218</v>
      </c>
      <c r="B4491" s="3" t="s">
        <v>8115</v>
      </c>
      <c r="C4491" s="2">
        <f ca="1">IF(ISNUMBER(SEARCH(Лист2!$B$4,D:D)),MAX($C$3:OFFSET(C4491,-1,0))+1,0)</f>
        <v>0</v>
      </c>
      <c r="E4491" s="9" t="str">
        <f t="shared" ca="1" si="82"/>
        <v/>
      </c>
      <c r="F4491" s="4" t="s">
        <v>35</v>
      </c>
      <c r="G4491" s="2">
        <f>IF(ISNUMBER(SEARCH(Лист2!$B$4,F:F)),1,0)</f>
        <v>0</v>
      </c>
      <c r="H4491" s="3">
        <f ca="1">IF(AND(I4491&lt;&gt;I4490,ISNUMBER(SEARCH(Лист2!$B$5,I:I)),G4491=1),MAX($H$3:OFFSET(H4491,-1,0))+1,0)</f>
        <v>0</v>
      </c>
      <c r="I4491" s="3" t="s">
        <v>366</v>
      </c>
      <c r="K4491" s="2">
        <f>IF(ISNUMBER(SEARCH(Лист2!$B$4,F:F)),1,0)</f>
        <v>0</v>
      </c>
      <c r="L4491" s="14">
        <f>IF(ISNUMBER(SEARCH(Лист2!$B$5,I:I)),1,0)+K4491</f>
        <v>0</v>
      </c>
      <c r="M4491" s="3">
        <f ca="1">IF(AND(N4491&lt;&gt;N4490,ISNUMBER(SEARCH(Лист2!$B$6,N:N)),L4491=2),MAX($M$3:OFFSET(M4491,-1,0))+1,0)</f>
        <v>0</v>
      </c>
      <c r="N4491" s="3" t="s">
        <v>2790</v>
      </c>
    </row>
    <row r="4492" spans="1:14" x14ac:dyDescent="0.25">
      <c r="A4492" s="1" t="s">
        <v>13219</v>
      </c>
      <c r="B4492" s="3" t="s">
        <v>8116</v>
      </c>
      <c r="C4492" s="2">
        <f ca="1">IF(ISNUMBER(SEARCH(Лист2!$B$4,D:D)),MAX($C$3:OFFSET(C4492,-1,0))+1,0)</f>
        <v>0</v>
      </c>
      <c r="E4492" s="9" t="str">
        <f t="shared" ca="1" si="82"/>
        <v/>
      </c>
      <c r="F4492" s="4" t="s">
        <v>35</v>
      </c>
      <c r="G4492" s="2">
        <f>IF(ISNUMBER(SEARCH(Лист2!$B$4,F:F)),1,0)</f>
        <v>0</v>
      </c>
      <c r="H4492" s="3">
        <f ca="1">IF(AND(I4492&lt;&gt;I4491,ISNUMBER(SEARCH(Лист2!$B$5,I:I)),G4492=1),MAX($H$3:OFFSET(H4492,-1,0))+1,0)</f>
        <v>0</v>
      </c>
      <c r="I4492" s="3" t="s">
        <v>366</v>
      </c>
      <c r="K4492" s="2">
        <f>IF(ISNUMBER(SEARCH(Лист2!$B$4,F:F)),1,0)</f>
        <v>0</v>
      </c>
      <c r="L4492" s="14">
        <f>IF(ISNUMBER(SEARCH(Лист2!$B$5,I:I)),1,0)+K4492</f>
        <v>0</v>
      </c>
      <c r="M4492" s="3">
        <f ca="1">IF(AND(N4492&lt;&gt;N4491,ISNUMBER(SEARCH(Лист2!$B$6,N:N)),L4492=2),MAX($M$3:OFFSET(M4492,-1,0))+1,0)</f>
        <v>0</v>
      </c>
      <c r="N4492" s="3" t="s">
        <v>2791</v>
      </c>
    </row>
    <row r="4493" spans="1:14" x14ac:dyDescent="0.25">
      <c r="A4493" s="1" t="s">
        <v>13220</v>
      </c>
      <c r="B4493" s="3" t="s">
        <v>8117</v>
      </c>
      <c r="C4493" s="2">
        <f ca="1">IF(ISNUMBER(SEARCH(Лист2!$B$4,D:D)),MAX($C$3:OFFSET(C4493,-1,0))+1,0)</f>
        <v>0</v>
      </c>
      <c r="E4493" s="9" t="str">
        <f t="shared" ca="1" si="82"/>
        <v/>
      </c>
      <c r="F4493" s="4" t="s">
        <v>35</v>
      </c>
      <c r="G4493" s="2">
        <f>IF(ISNUMBER(SEARCH(Лист2!$B$4,F:F)),1,0)</f>
        <v>0</v>
      </c>
      <c r="H4493" s="3">
        <f ca="1">IF(AND(I4493&lt;&gt;I4492,ISNUMBER(SEARCH(Лист2!$B$5,I:I)),G4493=1),MAX($H$3:OFFSET(H4493,-1,0))+1,0)</f>
        <v>0</v>
      </c>
      <c r="I4493" s="3" t="s">
        <v>366</v>
      </c>
      <c r="K4493" s="2">
        <f>IF(ISNUMBER(SEARCH(Лист2!$B$4,F:F)),1,0)</f>
        <v>0</v>
      </c>
      <c r="L4493" s="14">
        <f>IF(ISNUMBER(SEARCH(Лист2!$B$5,I:I)),1,0)+K4493</f>
        <v>0</v>
      </c>
      <c r="M4493" s="3">
        <f ca="1">IF(AND(N4493&lt;&gt;N4492,ISNUMBER(SEARCH(Лист2!$B$6,N:N)),L4493=2),MAX($M$3:OFFSET(M4493,-1,0))+1,0)</f>
        <v>0</v>
      </c>
      <c r="N4493" s="3" t="s">
        <v>2792</v>
      </c>
    </row>
    <row r="4494" spans="1:14" x14ac:dyDescent="0.25">
      <c r="A4494" s="1" t="s">
        <v>13221</v>
      </c>
      <c r="B4494" s="3" t="s">
        <v>8118</v>
      </c>
      <c r="C4494" s="2">
        <f ca="1">IF(ISNUMBER(SEARCH(Лист2!$B$4,D:D)),MAX($C$3:OFFSET(C4494,-1,0))+1,0)</f>
        <v>0</v>
      </c>
      <c r="E4494" s="9" t="str">
        <f t="shared" ca="1" si="82"/>
        <v/>
      </c>
      <c r="F4494" s="4" t="s">
        <v>35</v>
      </c>
      <c r="G4494" s="2">
        <f>IF(ISNUMBER(SEARCH(Лист2!$B$4,F:F)),1,0)</f>
        <v>0</v>
      </c>
      <c r="H4494" s="3">
        <f ca="1">IF(AND(I4494&lt;&gt;I4493,ISNUMBER(SEARCH(Лист2!$B$5,I:I)),G4494=1),MAX($H$3:OFFSET(H4494,-1,0))+1,0)</f>
        <v>0</v>
      </c>
      <c r="I4494" s="3" t="s">
        <v>366</v>
      </c>
      <c r="K4494" s="2">
        <f>IF(ISNUMBER(SEARCH(Лист2!$B$4,F:F)),1,0)</f>
        <v>0</v>
      </c>
      <c r="L4494" s="14">
        <f>IF(ISNUMBER(SEARCH(Лист2!$B$5,I:I)),1,0)+K4494</f>
        <v>0</v>
      </c>
      <c r="M4494" s="3">
        <f ca="1">IF(AND(N4494&lt;&gt;N4493,ISNUMBER(SEARCH(Лист2!$B$6,N:N)),L4494=2),MAX($M$3:OFFSET(M4494,-1,0))+1,0)</f>
        <v>0</v>
      </c>
      <c r="N4494" s="3" t="s">
        <v>2793</v>
      </c>
    </row>
    <row r="4495" spans="1:14" x14ac:dyDescent="0.25">
      <c r="A4495" s="1" t="s">
        <v>13222</v>
      </c>
      <c r="B4495" s="3" t="s">
        <v>8119</v>
      </c>
      <c r="C4495" s="2">
        <f ca="1">IF(ISNUMBER(SEARCH(Лист2!$B$4,D:D)),MAX($C$3:OFFSET(C4495,-1,0))+1,0)</f>
        <v>0</v>
      </c>
      <c r="E4495" s="9" t="str">
        <f t="shared" ca="1" si="82"/>
        <v/>
      </c>
      <c r="F4495" s="4" t="s">
        <v>35</v>
      </c>
      <c r="G4495" s="2">
        <f>IF(ISNUMBER(SEARCH(Лист2!$B$4,F:F)),1,0)</f>
        <v>0</v>
      </c>
      <c r="H4495" s="3">
        <f ca="1">IF(AND(I4495&lt;&gt;I4494,ISNUMBER(SEARCH(Лист2!$B$5,I:I)),G4495=1),MAX($H$3:OFFSET(H4495,-1,0))+1,0)</f>
        <v>0</v>
      </c>
      <c r="I4495" s="3" t="s">
        <v>366</v>
      </c>
      <c r="K4495" s="2">
        <f>IF(ISNUMBER(SEARCH(Лист2!$B$4,F:F)),1,0)</f>
        <v>0</v>
      </c>
      <c r="L4495" s="14">
        <f>IF(ISNUMBER(SEARCH(Лист2!$B$5,I:I)),1,0)+K4495</f>
        <v>0</v>
      </c>
      <c r="M4495" s="3">
        <f ca="1">IF(AND(N4495&lt;&gt;N4494,ISNUMBER(SEARCH(Лист2!$B$6,N:N)),L4495=2),MAX($M$3:OFFSET(M4495,-1,0))+1,0)</f>
        <v>0</v>
      </c>
      <c r="N4495" s="3" t="s">
        <v>2794</v>
      </c>
    </row>
    <row r="4496" spans="1:14" x14ac:dyDescent="0.25">
      <c r="A4496" s="1" t="s">
        <v>13223</v>
      </c>
      <c r="B4496" s="3" t="s">
        <v>8120</v>
      </c>
      <c r="C4496" s="2">
        <f ca="1">IF(ISNUMBER(SEARCH(Лист2!$B$4,D:D)),MAX($C$3:OFFSET(C4496,-1,0))+1,0)</f>
        <v>0</v>
      </c>
      <c r="E4496" s="9" t="str">
        <f t="shared" ca="1" si="82"/>
        <v/>
      </c>
      <c r="F4496" s="4" t="s">
        <v>35</v>
      </c>
      <c r="G4496" s="2">
        <f>IF(ISNUMBER(SEARCH(Лист2!$B$4,F:F)),1,0)</f>
        <v>0</v>
      </c>
      <c r="H4496" s="3">
        <f ca="1">IF(AND(I4496&lt;&gt;I4495,ISNUMBER(SEARCH(Лист2!$B$5,I:I)),G4496=1),MAX($H$3:OFFSET(H4496,-1,0))+1,0)</f>
        <v>0</v>
      </c>
      <c r="I4496" s="3" t="s">
        <v>366</v>
      </c>
      <c r="K4496" s="2">
        <f>IF(ISNUMBER(SEARCH(Лист2!$B$4,F:F)),1,0)</f>
        <v>0</v>
      </c>
      <c r="L4496" s="14">
        <f>IF(ISNUMBER(SEARCH(Лист2!$B$5,I:I)),1,0)+K4496</f>
        <v>0</v>
      </c>
      <c r="M4496" s="3">
        <f ca="1">IF(AND(N4496&lt;&gt;N4495,ISNUMBER(SEARCH(Лист2!$B$6,N:N)),L4496=2),MAX($M$3:OFFSET(M4496,-1,0))+1,0)</f>
        <v>0</v>
      </c>
      <c r="N4496" s="3" t="s">
        <v>2795</v>
      </c>
    </row>
    <row r="4497" spans="1:14" x14ac:dyDescent="0.25">
      <c r="A4497" s="1" t="s">
        <v>13224</v>
      </c>
      <c r="B4497" s="3" t="s">
        <v>8121</v>
      </c>
      <c r="C4497" s="2">
        <f ca="1">IF(ISNUMBER(SEARCH(Лист2!$B$4,D:D)),MAX($C$3:OFFSET(C4497,-1,0))+1,0)</f>
        <v>0</v>
      </c>
      <c r="E4497" s="9" t="str">
        <f t="shared" ca="1" si="82"/>
        <v/>
      </c>
      <c r="F4497" s="4" t="s">
        <v>35</v>
      </c>
      <c r="G4497" s="2">
        <f>IF(ISNUMBER(SEARCH(Лист2!$B$4,F:F)),1,0)</f>
        <v>0</v>
      </c>
      <c r="H4497" s="3">
        <f ca="1">IF(AND(I4497&lt;&gt;I4496,ISNUMBER(SEARCH(Лист2!$B$5,I:I)),G4497=1),MAX($H$3:OFFSET(H4497,-1,0))+1,0)</f>
        <v>0</v>
      </c>
      <c r="I4497" s="3" t="s">
        <v>366</v>
      </c>
      <c r="K4497" s="2">
        <f>IF(ISNUMBER(SEARCH(Лист2!$B$4,F:F)),1,0)</f>
        <v>0</v>
      </c>
      <c r="L4497" s="14">
        <f>IF(ISNUMBER(SEARCH(Лист2!$B$5,I:I)),1,0)+K4497</f>
        <v>0</v>
      </c>
      <c r="M4497" s="3">
        <f ca="1">IF(AND(N4497&lt;&gt;N4496,ISNUMBER(SEARCH(Лист2!$B$6,N:N)),L4497=2),MAX($M$3:OFFSET(M4497,-1,0))+1,0)</f>
        <v>0</v>
      </c>
      <c r="N4497" s="3" t="s">
        <v>2796</v>
      </c>
    </row>
    <row r="4498" spans="1:14" x14ac:dyDescent="0.25">
      <c r="A4498" s="1" t="s">
        <v>13225</v>
      </c>
      <c r="B4498" s="3" t="s">
        <v>8122</v>
      </c>
      <c r="C4498" s="2">
        <f ca="1">IF(ISNUMBER(SEARCH(Лист2!$B$4,D:D)),MAX($C$3:OFFSET(C4498,-1,0))+1,0)</f>
        <v>0</v>
      </c>
      <c r="E4498" s="9" t="str">
        <f t="shared" ca="1" si="82"/>
        <v/>
      </c>
      <c r="F4498" s="4" t="s">
        <v>35</v>
      </c>
      <c r="G4498" s="2">
        <f>IF(ISNUMBER(SEARCH(Лист2!$B$4,F:F)),1,0)</f>
        <v>0</v>
      </c>
      <c r="H4498" s="3">
        <f ca="1">IF(AND(I4498&lt;&gt;I4497,ISNUMBER(SEARCH(Лист2!$B$5,I:I)),G4498=1),MAX($H$3:OFFSET(H4498,-1,0))+1,0)</f>
        <v>0</v>
      </c>
      <c r="I4498" s="3" t="s">
        <v>366</v>
      </c>
      <c r="K4498" s="2">
        <f>IF(ISNUMBER(SEARCH(Лист2!$B$4,F:F)),1,0)</f>
        <v>0</v>
      </c>
      <c r="L4498" s="14">
        <f>IF(ISNUMBER(SEARCH(Лист2!$B$5,I:I)),1,0)+K4498</f>
        <v>0</v>
      </c>
      <c r="M4498" s="3">
        <f ca="1">IF(AND(N4498&lt;&gt;N4497,ISNUMBER(SEARCH(Лист2!$B$6,N:N)),L4498=2),MAX($M$3:OFFSET(M4498,-1,0))+1,0)</f>
        <v>0</v>
      </c>
      <c r="N4498" s="3" t="s">
        <v>2797</v>
      </c>
    </row>
    <row r="4499" spans="1:14" x14ac:dyDescent="0.25">
      <c r="A4499" s="1" t="s">
        <v>13226</v>
      </c>
      <c r="B4499" s="3" t="s">
        <v>8123</v>
      </c>
      <c r="C4499" s="2">
        <f ca="1">IF(ISNUMBER(SEARCH(Лист2!$B$4,D:D)),MAX($C$3:OFFSET(C4499,-1,0))+1,0)</f>
        <v>0</v>
      </c>
      <c r="E4499" s="9" t="str">
        <f t="shared" ca="1" si="82"/>
        <v/>
      </c>
      <c r="F4499" s="4" t="s">
        <v>27</v>
      </c>
      <c r="G4499" s="2">
        <f>IF(ISNUMBER(SEARCH(Лист2!$B$4,F:F)),1,0)</f>
        <v>0</v>
      </c>
      <c r="H4499" s="3">
        <f ca="1">IF(AND(I4499&lt;&gt;I4498,ISNUMBER(SEARCH(Лист2!$B$5,I:I)),G4499=1),MAX($H$3:OFFSET(H4499,-1,0))+1,0)</f>
        <v>0</v>
      </c>
      <c r="I4499" s="3" t="s">
        <v>367</v>
      </c>
      <c r="K4499" s="2">
        <f>IF(ISNUMBER(SEARCH(Лист2!$B$4,F:F)),1,0)</f>
        <v>0</v>
      </c>
      <c r="L4499" s="14">
        <f>IF(ISNUMBER(SEARCH(Лист2!$B$5,I:I)),1,0)+K4499</f>
        <v>0</v>
      </c>
      <c r="M4499" s="3">
        <f ca="1">IF(AND(N4499&lt;&gt;N4498,ISNUMBER(SEARCH(Лист2!$B$6,N:N)),L4499=2),MAX($M$3:OFFSET(M4499,-1,0))+1,0)</f>
        <v>0</v>
      </c>
      <c r="N4499" s="3" t="s">
        <v>2798</v>
      </c>
    </row>
    <row r="4500" spans="1:14" x14ac:dyDescent="0.25">
      <c r="A4500" s="1" t="s">
        <v>13227</v>
      </c>
      <c r="B4500" s="3" t="s">
        <v>8124</v>
      </c>
      <c r="C4500" s="2">
        <f ca="1">IF(ISNUMBER(SEARCH(Лист2!$B$4,D:D)),MAX($C$3:OFFSET(C4500,-1,0))+1,0)</f>
        <v>0</v>
      </c>
      <c r="E4500" s="9" t="str">
        <f t="shared" ca="1" si="82"/>
        <v/>
      </c>
      <c r="F4500" s="4" t="s">
        <v>27</v>
      </c>
      <c r="G4500" s="2">
        <f>IF(ISNUMBER(SEARCH(Лист2!$B$4,F:F)),1,0)</f>
        <v>0</v>
      </c>
      <c r="H4500" s="3">
        <f ca="1">IF(AND(I4500&lt;&gt;I4499,ISNUMBER(SEARCH(Лист2!$B$5,I:I)),G4500=1),MAX($H$3:OFFSET(H4500,-1,0))+1,0)</f>
        <v>0</v>
      </c>
      <c r="I4500" s="3" t="s">
        <v>367</v>
      </c>
      <c r="K4500" s="2">
        <f>IF(ISNUMBER(SEARCH(Лист2!$B$4,F:F)),1,0)</f>
        <v>0</v>
      </c>
      <c r="L4500" s="14">
        <f>IF(ISNUMBER(SEARCH(Лист2!$B$5,I:I)),1,0)+K4500</f>
        <v>0</v>
      </c>
      <c r="M4500" s="3">
        <f ca="1">IF(AND(N4500&lt;&gt;N4499,ISNUMBER(SEARCH(Лист2!$B$6,N:N)),L4500=2),MAX($M$3:OFFSET(M4500,-1,0))+1,0)</f>
        <v>0</v>
      </c>
      <c r="N4500" s="3" t="s">
        <v>2799</v>
      </c>
    </row>
    <row r="4501" spans="1:14" x14ac:dyDescent="0.25">
      <c r="A4501" s="1" t="s">
        <v>13228</v>
      </c>
      <c r="B4501" s="3" t="s">
        <v>8125</v>
      </c>
      <c r="C4501" s="2">
        <f ca="1">IF(ISNUMBER(SEARCH(Лист2!$B$4,D:D)),MAX($C$3:OFFSET(C4501,-1,0))+1,0)</f>
        <v>0</v>
      </c>
      <c r="E4501" s="9" t="str">
        <f t="shared" ca="1" si="82"/>
        <v/>
      </c>
      <c r="F4501" s="4" t="s">
        <v>27</v>
      </c>
      <c r="G4501" s="2">
        <f>IF(ISNUMBER(SEARCH(Лист2!$B$4,F:F)),1,0)</f>
        <v>0</v>
      </c>
      <c r="H4501" s="3">
        <f ca="1">IF(AND(I4501&lt;&gt;I4500,ISNUMBER(SEARCH(Лист2!$B$5,I:I)),G4501=1),MAX($H$3:OFFSET(H4501,-1,0))+1,0)</f>
        <v>0</v>
      </c>
      <c r="I4501" s="3" t="s">
        <v>367</v>
      </c>
      <c r="K4501" s="2">
        <f>IF(ISNUMBER(SEARCH(Лист2!$B$4,F:F)),1,0)</f>
        <v>0</v>
      </c>
      <c r="L4501" s="14">
        <f>IF(ISNUMBER(SEARCH(Лист2!$B$5,I:I)),1,0)+K4501</f>
        <v>0</v>
      </c>
      <c r="M4501" s="3">
        <f ca="1">IF(AND(N4501&lt;&gt;N4500,ISNUMBER(SEARCH(Лист2!$B$6,N:N)),L4501=2),MAX($M$3:OFFSET(M4501,-1,0))+1,0)</f>
        <v>0</v>
      </c>
      <c r="N4501" s="3" t="s">
        <v>2800</v>
      </c>
    </row>
    <row r="4502" spans="1:14" x14ac:dyDescent="0.25">
      <c r="A4502" s="1" t="s">
        <v>13227</v>
      </c>
      <c r="B4502" s="3" t="s">
        <v>8126</v>
      </c>
      <c r="C4502" s="2">
        <f ca="1">IF(ISNUMBER(SEARCH(Лист2!$B$4,D:D)),MAX($C$3:OFFSET(C4502,-1,0))+1,0)</f>
        <v>0</v>
      </c>
      <c r="E4502" s="9" t="str">
        <f t="shared" ca="1" si="82"/>
        <v/>
      </c>
      <c r="F4502" s="4" t="s">
        <v>27</v>
      </c>
      <c r="G4502" s="2">
        <f>IF(ISNUMBER(SEARCH(Лист2!$B$4,F:F)),1,0)</f>
        <v>0</v>
      </c>
      <c r="H4502" s="3">
        <f ca="1">IF(AND(I4502&lt;&gt;I4501,ISNUMBER(SEARCH(Лист2!$B$5,I:I)),G4502=1),MAX($H$3:OFFSET(H4502,-1,0))+1,0)</f>
        <v>0</v>
      </c>
      <c r="I4502" s="3" t="s">
        <v>367</v>
      </c>
      <c r="K4502" s="2">
        <f>IF(ISNUMBER(SEARCH(Лист2!$B$4,F:F)),1,0)</f>
        <v>0</v>
      </c>
      <c r="L4502" s="14">
        <f>IF(ISNUMBER(SEARCH(Лист2!$B$5,I:I)),1,0)+K4502</f>
        <v>0</v>
      </c>
      <c r="M4502" s="3">
        <f ca="1">IF(AND(N4502&lt;&gt;N4501,ISNUMBER(SEARCH(Лист2!$B$6,N:N)),L4502=2),MAX($M$3:OFFSET(M4502,-1,0))+1,0)</f>
        <v>0</v>
      </c>
      <c r="N4502" s="3" t="s">
        <v>2799</v>
      </c>
    </row>
    <row r="4503" spans="1:14" x14ac:dyDescent="0.25">
      <c r="A4503" s="1" t="s">
        <v>13229</v>
      </c>
      <c r="B4503" s="3" t="s">
        <v>8127</v>
      </c>
      <c r="C4503" s="2">
        <f ca="1">IF(ISNUMBER(SEARCH(Лист2!$B$4,D:D)),MAX($C$3:OFFSET(C4503,-1,0))+1,0)</f>
        <v>0</v>
      </c>
      <c r="E4503" s="9" t="str">
        <f t="shared" ca="1" si="82"/>
        <v/>
      </c>
      <c r="F4503" s="4" t="s">
        <v>27</v>
      </c>
      <c r="G4503" s="2">
        <f>IF(ISNUMBER(SEARCH(Лист2!$B$4,F:F)),1,0)</f>
        <v>0</v>
      </c>
      <c r="H4503" s="3">
        <f ca="1">IF(AND(I4503&lt;&gt;I4502,ISNUMBER(SEARCH(Лист2!$B$5,I:I)),G4503=1),MAX($H$3:OFFSET(H4503,-1,0))+1,0)</f>
        <v>0</v>
      </c>
      <c r="I4503" s="3" t="s">
        <v>367</v>
      </c>
      <c r="K4503" s="2">
        <f>IF(ISNUMBER(SEARCH(Лист2!$B$4,F:F)),1,0)</f>
        <v>0</v>
      </c>
      <c r="L4503" s="14">
        <f>IF(ISNUMBER(SEARCH(Лист2!$B$5,I:I)),1,0)+K4503</f>
        <v>0</v>
      </c>
      <c r="M4503" s="3">
        <f ca="1">IF(AND(N4503&lt;&gt;N4502,ISNUMBER(SEARCH(Лист2!$B$6,N:N)),L4503=2),MAX($M$3:OFFSET(M4503,-1,0))+1,0)</f>
        <v>0</v>
      </c>
      <c r="N4503" s="3" t="s">
        <v>2801</v>
      </c>
    </row>
    <row r="4504" spans="1:14" x14ac:dyDescent="0.25">
      <c r="A4504" s="1" t="s">
        <v>13230</v>
      </c>
      <c r="B4504" s="3" t="s">
        <v>8128</v>
      </c>
      <c r="C4504" s="2">
        <f ca="1">IF(ISNUMBER(SEARCH(Лист2!$B$4,D:D)),MAX($C$3:OFFSET(C4504,-1,0))+1,0)</f>
        <v>0</v>
      </c>
      <c r="E4504" s="9" t="str">
        <f t="shared" ca="1" si="82"/>
        <v/>
      </c>
      <c r="F4504" s="4" t="s">
        <v>27</v>
      </c>
      <c r="G4504" s="2">
        <f>IF(ISNUMBER(SEARCH(Лист2!$B$4,F:F)),1,0)</f>
        <v>0</v>
      </c>
      <c r="H4504" s="3">
        <f ca="1">IF(AND(I4504&lt;&gt;I4503,ISNUMBER(SEARCH(Лист2!$B$5,I:I)),G4504=1),MAX($H$3:OFFSET(H4504,-1,0))+1,0)</f>
        <v>0</v>
      </c>
      <c r="I4504" s="3" t="s">
        <v>367</v>
      </c>
      <c r="K4504" s="2">
        <f>IF(ISNUMBER(SEARCH(Лист2!$B$4,F:F)),1,0)</f>
        <v>0</v>
      </c>
      <c r="L4504" s="14">
        <f>IF(ISNUMBER(SEARCH(Лист2!$B$5,I:I)),1,0)+K4504</f>
        <v>0</v>
      </c>
      <c r="M4504" s="3">
        <f ca="1">IF(AND(N4504&lt;&gt;N4503,ISNUMBER(SEARCH(Лист2!$B$6,N:N)),L4504=2),MAX($M$3:OFFSET(M4504,-1,0))+1,0)</f>
        <v>0</v>
      </c>
      <c r="N4504" s="3" t="s">
        <v>2802</v>
      </c>
    </row>
    <row r="4505" spans="1:14" x14ac:dyDescent="0.25">
      <c r="A4505" s="1" t="s">
        <v>13230</v>
      </c>
      <c r="B4505" s="3" t="s">
        <v>8129</v>
      </c>
      <c r="C4505" s="2">
        <f ca="1">IF(ISNUMBER(SEARCH(Лист2!$B$4,D:D)),MAX($C$3:OFFSET(C4505,-1,0))+1,0)</f>
        <v>0</v>
      </c>
      <c r="E4505" s="9" t="str">
        <f t="shared" ca="1" si="82"/>
        <v/>
      </c>
      <c r="F4505" s="4" t="s">
        <v>27</v>
      </c>
      <c r="G4505" s="2">
        <f>IF(ISNUMBER(SEARCH(Лист2!$B$4,F:F)),1,0)</f>
        <v>0</v>
      </c>
      <c r="H4505" s="3">
        <f ca="1">IF(AND(I4505&lt;&gt;I4504,ISNUMBER(SEARCH(Лист2!$B$5,I:I)),G4505=1),MAX($H$3:OFFSET(H4505,-1,0))+1,0)</f>
        <v>0</v>
      </c>
      <c r="I4505" s="3" t="s">
        <v>367</v>
      </c>
      <c r="K4505" s="2">
        <f>IF(ISNUMBER(SEARCH(Лист2!$B$4,F:F)),1,0)</f>
        <v>0</v>
      </c>
      <c r="L4505" s="14">
        <f>IF(ISNUMBER(SEARCH(Лист2!$B$5,I:I)),1,0)+K4505</f>
        <v>0</v>
      </c>
      <c r="M4505" s="3">
        <f ca="1">IF(AND(N4505&lt;&gt;N4504,ISNUMBER(SEARCH(Лист2!$B$6,N:N)),L4505=2),MAX($M$3:OFFSET(M4505,-1,0))+1,0)</f>
        <v>0</v>
      </c>
      <c r="N4505" s="3" t="s">
        <v>2802</v>
      </c>
    </row>
    <row r="4506" spans="1:14" x14ac:dyDescent="0.25">
      <c r="A4506" s="1" t="s">
        <v>13231</v>
      </c>
      <c r="B4506" s="3" t="s">
        <v>8130</v>
      </c>
      <c r="C4506" s="2">
        <f ca="1">IF(ISNUMBER(SEARCH(Лист2!$B$4,D:D)),MAX($C$3:OFFSET(C4506,-1,0))+1,0)</f>
        <v>0</v>
      </c>
      <c r="E4506" s="9" t="str">
        <f t="shared" ca="1" si="82"/>
        <v/>
      </c>
      <c r="F4506" s="4" t="s">
        <v>27</v>
      </c>
      <c r="G4506" s="2">
        <f>IF(ISNUMBER(SEARCH(Лист2!$B$4,F:F)),1,0)</f>
        <v>0</v>
      </c>
      <c r="H4506" s="3">
        <f ca="1">IF(AND(I4506&lt;&gt;I4505,ISNUMBER(SEARCH(Лист2!$B$5,I:I)),G4506=1),MAX($H$3:OFFSET(H4506,-1,0))+1,0)</f>
        <v>0</v>
      </c>
      <c r="I4506" s="3" t="s">
        <v>367</v>
      </c>
      <c r="K4506" s="2">
        <f>IF(ISNUMBER(SEARCH(Лист2!$B$4,F:F)),1,0)</f>
        <v>0</v>
      </c>
      <c r="L4506" s="14">
        <f>IF(ISNUMBER(SEARCH(Лист2!$B$5,I:I)),1,0)+K4506</f>
        <v>0</v>
      </c>
      <c r="M4506" s="3">
        <f ca="1">IF(AND(N4506&lt;&gt;N4505,ISNUMBER(SEARCH(Лист2!$B$6,N:N)),L4506=2),MAX($M$3:OFFSET(M4506,-1,0))+1,0)</f>
        <v>0</v>
      </c>
      <c r="N4506" s="3" t="s">
        <v>2803</v>
      </c>
    </row>
    <row r="4507" spans="1:14" x14ac:dyDescent="0.25">
      <c r="A4507" s="1" t="s">
        <v>13232</v>
      </c>
      <c r="B4507" s="3" t="s">
        <v>8131</v>
      </c>
      <c r="C4507" s="2">
        <f ca="1">IF(ISNUMBER(SEARCH(Лист2!$B$4,D:D)),MAX($C$3:OFFSET(C4507,-1,0))+1,0)</f>
        <v>0</v>
      </c>
      <c r="E4507" s="9" t="str">
        <f t="shared" ca="1" si="82"/>
        <v/>
      </c>
      <c r="F4507" s="4" t="s">
        <v>27</v>
      </c>
      <c r="G4507" s="2">
        <f>IF(ISNUMBER(SEARCH(Лист2!$B$4,F:F)),1,0)</f>
        <v>0</v>
      </c>
      <c r="H4507" s="3">
        <f ca="1">IF(AND(I4507&lt;&gt;I4506,ISNUMBER(SEARCH(Лист2!$B$5,I:I)),G4507=1),MAX($H$3:OFFSET(H4507,-1,0))+1,0)</f>
        <v>0</v>
      </c>
      <c r="I4507" s="3" t="s">
        <v>367</v>
      </c>
      <c r="K4507" s="2">
        <f>IF(ISNUMBER(SEARCH(Лист2!$B$4,F:F)),1,0)</f>
        <v>0</v>
      </c>
      <c r="L4507" s="14">
        <f>IF(ISNUMBER(SEARCH(Лист2!$B$5,I:I)),1,0)+K4507</f>
        <v>0</v>
      </c>
      <c r="M4507" s="3">
        <f ca="1">IF(AND(N4507&lt;&gt;N4506,ISNUMBER(SEARCH(Лист2!$B$6,N:N)),L4507=2),MAX($M$3:OFFSET(M4507,-1,0))+1,0)</f>
        <v>0</v>
      </c>
      <c r="N4507" s="3" t="s">
        <v>602</v>
      </c>
    </row>
    <row r="4508" spans="1:14" x14ac:dyDescent="0.25">
      <c r="A4508" s="1" t="s">
        <v>13233</v>
      </c>
      <c r="B4508" s="3" t="s">
        <v>8132</v>
      </c>
      <c r="C4508" s="2">
        <f ca="1">IF(ISNUMBER(SEARCH(Лист2!$B$4,D:D)),MAX($C$3:OFFSET(C4508,-1,0))+1,0)</f>
        <v>0</v>
      </c>
      <c r="E4508" s="9" t="str">
        <f t="shared" ca="1" si="82"/>
        <v/>
      </c>
      <c r="F4508" s="4" t="s">
        <v>27</v>
      </c>
      <c r="G4508" s="2">
        <f>IF(ISNUMBER(SEARCH(Лист2!$B$4,F:F)),1,0)</f>
        <v>0</v>
      </c>
      <c r="H4508" s="3">
        <f ca="1">IF(AND(I4508&lt;&gt;I4507,ISNUMBER(SEARCH(Лист2!$B$5,I:I)),G4508=1),MAX($H$3:OFFSET(H4508,-1,0))+1,0)</f>
        <v>0</v>
      </c>
      <c r="I4508" s="3" t="s">
        <v>367</v>
      </c>
      <c r="K4508" s="2">
        <f>IF(ISNUMBER(SEARCH(Лист2!$B$4,F:F)),1,0)</f>
        <v>0</v>
      </c>
      <c r="L4508" s="14">
        <f>IF(ISNUMBER(SEARCH(Лист2!$B$5,I:I)),1,0)+K4508</f>
        <v>0</v>
      </c>
      <c r="M4508" s="3">
        <f ca="1">IF(AND(N4508&lt;&gt;N4507,ISNUMBER(SEARCH(Лист2!$B$6,N:N)),L4508=2),MAX($M$3:OFFSET(M4508,-1,0))+1,0)</f>
        <v>0</v>
      </c>
      <c r="N4508" s="3" t="s">
        <v>2804</v>
      </c>
    </row>
    <row r="4509" spans="1:14" x14ac:dyDescent="0.25">
      <c r="A4509" s="1" t="s">
        <v>13234</v>
      </c>
      <c r="B4509" s="3" t="s">
        <v>8133</v>
      </c>
      <c r="C4509" s="2">
        <f ca="1">IF(ISNUMBER(SEARCH(Лист2!$B$4,D:D)),MAX($C$3:OFFSET(C4509,-1,0))+1,0)</f>
        <v>0</v>
      </c>
      <c r="E4509" s="9" t="str">
        <f t="shared" ca="1" si="82"/>
        <v/>
      </c>
      <c r="F4509" s="4" t="s">
        <v>27</v>
      </c>
      <c r="G4509" s="2">
        <f>IF(ISNUMBER(SEARCH(Лист2!$B$4,F:F)),1,0)</f>
        <v>0</v>
      </c>
      <c r="H4509" s="3">
        <f ca="1">IF(AND(I4509&lt;&gt;I4508,ISNUMBER(SEARCH(Лист2!$B$5,I:I)),G4509=1),MAX($H$3:OFFSET(H4509,-1,0))+1,0)</f>
        <v>0</v>
      </c>
      <c r="I4509" s="3" t="s">
        <v>367</v>
      </c>
      <c r="K4509" s="2">
        <f>IF(ISNUMBER(SEARCH(Лист2!$B$4,F:F)),1,0)</f>
        <v>0</v>
      </c>
      <c r="L4509" s="14">
        <f>IF(ISNUMBER(SEARCH(Лист2!$B$5,I:I)),1,0)+K4509</f>
        <v>0</v>
      </c>
      <c r="M4509" s="3">
        <f ca="1">IF(AND(N4509&lt;&gt;N4508,ISNUMBER(SEARCH(Лист2!$B$6,N:N)),L4509=2),MAX($M$3:OFFSET(M4509,-1,0))+1,0)</f>
        <v>0</v>
      </c>
      <c r="N4509" s="3" t="s">
        <v>2805</v>
      </c>
    </row>
    <row r="4510" spans="1:14" x14ac:dyDescent="0.25">
      <c r="A4510" s="1" t="s">
        <v>13235</v>
      </c>
      <c r="B4510" s="3" t="s">
        <v>8134</v>
      </c>
      <c r="C4510" s="2">
        <f ca="1">IF(ISNUMBER(SEARCH(Лист2!$B$4,D:D)),MAX($C$3:OFFSET(C4510,-1,0))+1,0)</f>
        <v>0</v>
      </c>
      <c r="E4510" s="9" t="str">
        <f t="shared" ca="1" si="82"/>
        <v/>
      </c>
      <c r="F4510" s="4" t="s">
        <v>27</v>
      </c>
      <c r="G4510" s="2">
        <f>IF(ISNUMBER(SEARCH(Лист2!$B$4,F:F)),1,0)</f>
        <v>0</v>
      </c>
      <c r="H4510" s="3">
        <f ca="1">IF(AND(I4510&lt;&gt;I4509,ISNUMBER(SEARCH(Лист2!$B$5,I:I)),G4510=1),MAX($H$3:OFFSET(H4510,-1,0))+1,0)</f>
        <v>0</v>
      </c>
      <c r="I4510" s="3" t="s">
        <v>368</v>
      </c>
      <c r="K4510" s="2">
        <f>IF(ISNUMBER(SEARCH(Лист2!$B$4,F:F)),1,0)</f>
        <v>0</v>
      </c>
      <c r="L4510" s="14">
        <f>IF(ISNUMBER(SEARCH(Лист2!$B$5,I:I)),1,0)+K4510</f>
        <v>0</v>
      </c>
      <c r="M4510" s="3">
        <f ca="1">IF(AND(N4510&lt;&gt;N4509,ISNUMBER(SEARCH(Лист2!$B$6,N:N)),L4510=2),MAX($M$3:OFFSET(M4510,-1,0))+1,0)</f>
        <v>0</v>
      </c>
      <c r="N4510" s="3" t="s">
        <v>2798</v>
      </c>
    </row>
    <row r="4511" spans="1:14" x14ac:dyDescent="0.25">
      <c r="A4511" s="1" t="s">
        <v>13236</v>
      </c>
      <c r="B4511" s="3" t="s">
        <v>8135</v>
      </c>
      <c r="C4511" s="2">
        <f ca="1">IF(ISNUMBER(SEARCH(Лист2!$B$4,D:D)),MAX($C$3:OFFSET(C4511,-1,0))+1,0)</f>
        <v>0</v>
      </c>
      <c r="E4511" s="9" t="str">
        <f t="shared" ca="1" si="82"/>
        <v/>
      </c>
      <c r="F4511" s="4" t="s">
        <v>27</v>
      </c>
      <c r="G4511" s="2">
        <f>IF(ISNUMBER(SEARCH(Лист2!$B$4,F:F)),1,0)</f>
        <v>0</v>
      </c>
      <c r="H4511" s="3">
        <f ca="1">IF(AND(I4511&lt;&gt;I4510,ISNUMBER(SEARCH(Лист2!$B$5,I:I)),G4511=1),MAX($H$3:OFFSET(H4511,-1,0))+1,0)</f>
        <v>0</v>
      </c>
      <c r="I4511" s="3" t="s">
        <v>368</v>
      </c>
      <c r="K4511" s="2">
        <f>IF(ISNUMBER(SEARCH(Лист2!$B$4,F:F)),1,0)</f>
        <v>0</v>
      </c>
      <c r="L4511" s="14">
        <f>IF(ISNUMBER(SEARCH(Лист2!$B$5,I:I)),1,0)+K4511</f>
        <v>0</v>
      </c>
      <c r="M4511" s="3">
        <f ca="1">IF(AND(N4511&lt;&gt;N4510,ISNUMBER(SEARCH(Лист2!$B$6,N:N)),L4511=2),MAX($M$3:OFFSET(M4511,-1,0))+1,0)</f>
        <v>0</v>
      </c>
      <c r="N4511" s="3" t="s">
        <v>2806</v>
      </c>
    </row>
    <row r="4512" spans="1:14" x14ac:dyDescent="0.25">
      <c r="A4512" s="1" t="s">
        <v>13237</v>
      </c>
      <c r="B4512" s="3" t="s">
        <v>8136</v>
      </c>
      <c r="C4512" s="2">
        <f ca="1">IF(ISNUMBER(SEARCH(Лист2!$B$4,D:D)),MAX($C$3:OFFSET(C4512,-1,0))+1,0)</f>
        <v>0</v>
      </c>
      <c r="E4512" s="9" t="str">
        <f t="shared" ca="1" si="82"/>
        <v/>
      </c>
      <c r="F4512" s="4" t="s">
        <v>27</v>
      </c>
      <c r="G4512" s="2">
        <f>IF(ISNUMBER(SEARCH(Лист2!$B$4,F:F)),1,0)</f>
        <v>0</v>
      </c>
      <c r="H4512" s="3">
        <f ca="1">IF(AND(I4512&lt;&gt;I4511,ISNUMBER(SEARCH(Лист2!$B$5,I:I)),G4512=1),MAX($H$3:OFFSET(H4512,-1,0))+1,0)</f>
        <v>0</v>
      </c>
      <c r="I4512" s="3" t="s">
        <v>368</v>
      </c>
      <c r="K4512" s="2">
        <f>IF(ISNUMBER(SEARCH(Лист2!$B$4,F:F)),1,0)</f>
        <v>0</v>
      </c>
      <c r="L4512" s="14">
        <f>IF(ISNUMBER(SEARCH(Лист2!$B$5,I:I)),1,0)+K4512</f>
        <v>0</v>
      </c>
      <c r="M4512" s="3">
        <f ca="1">IF(AND(N4512&lt;&gt;N4511,ISNUMBER(SEARCH(Лист2!$B$6,N:N)),L4512=2),MAX($M$3:OFFSET(M4512,-1,0))+1,0)</f>
        <v>0</v>
      </c>
      <c r="N4512" s="3" t="s">
        <v>2807</v>
      </c>
    </row>
    <row r="4513" spans="1:14" x14ac:dyDescent="0.25">
      <c r="A4513" s="1" t="s">
        <v>13238</v>
      </c>
      <c r="B4513" s="3" t="s">
        <v>8137</v>
      </c>
      <c r="C4513" s="2">
        <f ca="1">IF(ISNUMBER(SEARCH(Лист2!$B$4,D:D)),MAX($C$3:OFFSET(C4513,-1,0))+1,0)</f>
        <v>0</v>
      </c>
      <c r="E4513" s="9" t="str">
        <f t="shared" ca="1" si="82"/>
        <v/>
      </c>
      <c r="F4513" s="4" t="s">
        <v>27</v>
      </c>
      <c r="G4513" s="2">
        <f>IF(ISNUMBER(SEARCH(Лист2!$B$4,F:F)),1,0)</f>
        <v>0</v>
      </c>
      <c r="H4513" s="3">
        <f ca="1">IF(AND(I4513&lt;&gt;I4512,ISNUMBER(SEARCH(Лист2!$B$5,I:I)),G4513=1),MAX($H$3:OFFSET(H4513,-1,0))+1,0)</f>
        <v>0</v>
      </c>
      <c r="I4513" s="3" t="s">
        <v>368</v>
      </c>
      <c r="K4513" s="2">
        <f>IF(ISNUMBER(SEARCH(Лист2!$B$4,F:F)),1,0)</f>
        <v>0</v>
      </c>
      <c r="L4513" s="14">
        <f>IF(ISNUMBER(SEARCH(Лист2!$B$5,I:I)),1,0)+K4513</f>
        <v>0</v>
      </c>
      <c r="M4513" s="3">
        <f ca="1">IF(AND(N4513&lt;&gt;N4512,ISNUMBER(SEARCH(Лист2!$B$6,N:N)),L4513=2),MAX($M$3:OFFSET(M4513,-1,0))+1,0)</f>
        <v>0</v>
      </c>
      <c r="N4513" s="3" t="s">
        <v>2808</v>
      </c>
    </row>
    <row r="4514" spans="1:14" x14ac:dyDescent="0.25">
      <c r="A4514" s="1" t="s">
        <v>13239</v>
      </c>
      <c r="B4514" s="3" t="s">
        <v>8138</v>
      </c>
      <c r="C4514" s="2">
        <f ca="1">IF(ISNUMBER(SEARCH(Лист2!$B$4,D:D)),MAX($C$3:OFFSET(C4514,-1,0))+1,0)</f>
        <v>0</v>
      </c>
      <c r="E4514" s="9" t="str">
        <f t="shared" ca="1" si="82"/>
        <v/>
      </c>
      <c r="F4514" s="4" t="s">
        <v>27</v>
      </c>
      <c r="G4514" s="2">
        <f>IF(ISNUMBER(SEARCH(Лист2!$B$4,F:F)),1,0)</f>
        <v>0</v>
      </c>
      <c r="H4514" s="3">
        <f ca="1">IF(AND(I4514&lt;&gt;I4513,ISNUMBER(SEARCH(Лист2!$B$5,I:I)),G4514=1),MAX($H$3:OFFSET(H4514,-1,0))+1,0)</f>
        <v>0</v>
      </c>
      <c r="I4514" s="3" t="s">
        <v>368</v>
      </c>
      <c r="K4514" s="2">
        <f>IF(ISNUMBER(SEARCH(Лист2!$B$4,F:F)),1,0)</f>
        <v>0</v>
      </c>
      <c r="L4514" s="14">
        <f>IF(ISNUMBER(SEARCH(Лист2!$B$5,I:I)),1,0)+K4514</f>
        <v>0</v>
      </c>
      <c r="M4514" s="3">
        <f ca="1">IF(AND(N4514&lt;&gt;N4513,ISNUMBER(SEARCH(Лист2!$B$6,N:N)),L4514=2),MAX($M$3:OFFSET(M4514,-1,0))+1,0)</f>
        <v>0</v>
      </c>
      <c r="N4514" s="3" t="s">
        <v>602</v>
      </c>
    </row>
    <row r="4515" spans="1:14" x14ac:dyDescent="0.25">
      <c r="A4515" s="1" t="s">
        <v>13240</v>
      </c>
      <c r="B4515" s="3" t="s">
        <v>8139</v>
      </c>
      <c r="C4515" s="2">
        <f ca="1">IF(ISNUMBER(SEARCH(Лист2!$B$4,D:D)),MAX($C$3:OFFSET(C4515,-1,0))+1,0)</f>
        <v>0</v>
      </c>
      <c r="E4515" s="9" t="str">
        <f t="shared" ca="1" si="82"/>
        <v/>
      </c>
      <c r="F4515" s="4" t="s">
        <v>27</v>
      </c>
      <c r="G4515" s="2">
        <f>IF(ISNUMBER(SEARCH(Лист2!$B$4,F:F)),1,0)</f>
        <v>0</v>
      </c>
      <c r="H4515" s="3">
        <f ca="1">IF(AND(I4515&lt;&gt;I4514,ISNUMBER(SEARCH(Лист2!$B$5,I:I)),G4515=1),MAX($H$3:OFFSET(H4515,-1,0))+1,0)</f>
        <v>0</v>
      </c>
      <c r="I4515" s="3" t="s">
        <v>368</v>
      </c>
      <c r="K4515" s="2">
        <f>IF(ISNUMBER(SEARCH(Лист2!$B$4,F:F)),1,0)</f>
        <v>0</v>
      </c>
      <c r="L4515" s="14">
        <f>IF(ISNUMBER(SEARCH(Лист2!$B$5,I:I)),1,0)+K4515</f>
        <v>0</v>
      </c>
      <c r="M4515" s="3">
        <f ca="1">IF(AND(N4515&lt;&gt;N4514,ISNUMBER(SEARCH(Лист2!$B$6,N:N)),L4515=2),MAX($M$3:OFFSET(M4515,-1,0))+1,0)</f>
        <v>0</v>
      </c>
      <c r="N4515" s="3" t="s">
        <v>2809</v>
      </c>
    </row>
    <row r="4516" spans="1:14" x14ac:dyDescent="0.25">
      <c r="A4516" s="1" t="s">
        <v>13241</v>
      </c>
      <c r="B4516" s="3" t="s">
        <v>8140</v>
      </c>
      <c r="C4516" s="2">
        <f ca="1">IF(ISNUMBER(SEARCH(Лист2!$B$4,D:D)),MAX($C$3:OFFSET(C4516,-1,0))+1,0)</f>
        <v>0</v>
      </c>
      <c r="E4516" s="9" t="str">
        <f t="shared" ca="1" si="82"/>
        <v/>
      </c>
      <c r="F4516" s="4" t="s">
        <v>27</v>
      </c>
      <c r="G4516" s="2">
        <f>IF(ISNUMBER(SEARCH(Лист2!$B$4,F:F)),1,0)</f>
        <v>0</v>
      </c>
      <c r="H4516" s="3">
        <f ca="1">IF(AND(I4516&lt;&gt;I4515,ISNUMBER(SEARCH(Лист2!$B$5,I:I)),G4516=1),MAX($H$3:OFFSET(H4516,-1,0))+1,0)</f>
        <v>0</v>
      </c>
      <c r="I4516" s="3" t="s">
        <v>368</v>
      </c>
      <c r="K4516" s="2">
        <f>IF(ISNUMBER(SEARCH(Лист2!$B$4,F:F)),1,0)</f>
        <v>0</v>
      </c>
      <c r="L4516" s="14">
        <f>IF(ISNUMBER(SEARCH(Лист2!$B$5,I:I)),1,0)+K4516</f>
        <v>0</v>
      </c>
      <c r="M4516" s="3">
        <f ca="1">IF(AND(N4516&lt;&gt;N4515,ISNUMBER(SEARCH(Лист2!$B$6,N:N)),L4516=2),MAX($M$3:OFFSET(M4516,-1,0))+1,0)</f>
        <v>0</v>
      </c>
      <c r="N4516" s="3" t="s">
        <v>2810</v>
      </c>
    </row>
    <row r="4517" spans="1:14" x14ac:dyDescent="0.25">
      <c r="A4517" s="1" t="s">
        <v>13242</v>
      </c>
      <c r="B4517" s="3" t="s">
        <v>8141</v>
      </c>
      <c r="C4517" s="2">
        <f ca="1">IF(ISNUMBER(SEARCH(Лист2!$B$4,D:D)),MAX($C$3:OFFSET(C4517,-1,0))+1,0)</f>
        <v>0</v>
      </c>
      <c r="E4517" s="9" t="str">
        <f t="shared" ca="1" si="82"/>
        <v/>
      </c>
      <c r="F4517" s="4" t="s">
        <v>27</v>
      </c>
      <c r="G4517" s="2">
        <f>IF(ISNUMBER(SEARCH(Лист2!$B$4,F:F)),1,0)</f>
        <v>0</v>
      </c>
      <c r="H4517" s="3">
        <f ca="1">IF(AND(I4517&lt;&gt;I4516,ISNUMBER(SEARCH(Лист2!$B$5,I:I)),G4517=1),MAX($H$3:OFFSET(H4517,-1,0))+1,0)</f>
        <v>0</v>
      </c>
      <c r="I4517" s="3" t="s">
        <v>369</v>
      </c>
      <c r="K4517" s="2">
        <f>IF(ISNUMBER(SEARCH(Лист2!$B$4,F:F)),1,0)</f>
        <v>0</v>
      </c>
      <c r="L4517" s="14">
        <f>IF(ISNUMBER(SEARCH(Лист2!$B$5,I:I)),1,0)+K4517</f>
        <v>0</v>
      </c>
      <c r="M4517" s="3">
        <f ca="1">IF(AND(N4517&lt;&gt;N4516,ISNUMBER(SEARCH(Лист2!$B$6,N:N)),L4517=2),MAX($M$3:OFFSET(M4517,-1,0))+1,0)</f>
        <v>0</v>
      </c>
      <c r="N4517" s="3" t="s">
        <v>2811</v>
      </c>
    </row>
    <row r="4518" spans="1:14" x14ac:dyDescent="0.25">
      <c r="A4518" s="1" t="s">
        <v>13243</v>
      </c>
      <c r="B4518" s="3" t="s">
        <v>8142</v>
      </c>
      <c r="C4518" s="2">
        <f ca="1">IF(ISNUMBER(SEARCH(Лист2!$B$4,D:D)),MAX($C$3:OFFSET(C4518,-1,0))+1,0)</f>
        <v>0</v>
      </c>
      <c r="E4518" s="9" t="str">
        <f t="shared" ca="1" si="82"/>
        <v/>
      </c>
      <c r="F4518" s="4" t="s">
        <v>27</v>
      </c>
      <c r="G4518" s="2">
        <f>IF(ISNUMBER(SEARCH(Лист2!$B$4,F:F)),1,0)</f>
        <v>0</v>
      </c>
      <c r="H4518" s="3">
        <f ca="1">IF(AND(I4518&lt;&gt;I4517,ISNUMBER(SEARCH(Лист2!$B$5,I:I)),G4518=1),MAX($H$3:OFFSET(H4518,-1,0))+1,0)</f>
        <v>0</v>
      </c>
      <c r="I4518" s="3" t="s">
        <v>369</v>
      </c>
      <c r="K4518" s="2">
        <f>IF(ISNUMBER(SEARCH(Лист2!$B$4,F:F)),1,0)</f>
        <v>0</v>
      </c>
      <c r="L4518" s="14">
        <f>IF(ISNUMBER(SEARCH(Лист2!$B$5,I:I)),1,0)+K4518</f>
        <v>0</v>
      </c>
      <c r="M4518" s="3">
        <f ca="1">IF(AND(N4518&lt;&gt;N4517,ISNUMBER(SEARCH(Лист2!$B$6,N:N)),L4518=2),MAX($M$3:OFFSET(M4518,-1,0))+1,0)</f>
        <v>0</v>
      </c>
      <c r="N4518" s="3" t="s">
        <v>2812</v>
      </c>
    </row>
    <row r="4519" spans="1:14" x14ac:dyDescent="0.25">
      <c r="A4519" s="1" t="s">
        <v>13244</v>
      </c>
      <c r="B4519" s="3" t="s">
        <v>8143</v>
      </c>
      <c r="C4519" s="2">
        <f ca="1">IF(ISNUMBER(SEARCH(Лист2!$B$4,D:D)),MAX($C$3:OFFSET(C4519,-1,0))+1,0)</f>
        <v>0</v>
      </c>
      <c r="E4519" s="9" t="str">
        <f t="shared" ca="1" si="82"/>
        <v/>
      </c>
      <c r="F4519" s="4" t="s">
        <v>27</v>
      </c>
      <c r="G4519" s="2">
        <f>IF(ISNUMBER(SEARCH(Лист2!$B$4,F:F)),1,0)</f>
        <v>0</v>
      </c>
      <c r="H4519" s="3">
        <f ca="1">IF(AND(I4519&lt;&gt;I4518,ISNUMBER(SEARCH(Лист2!$B$5,I:I)),G4519=1),MAX($H$3:OFFSET(H4519,-1,0))+1,0)</f>
        <v>0</v>
      </c>
      <c r="I4519" s="3" t="s">
        <v>369</v>
      </c>
      <c r="K4519" s="2">
        <f>IF(ISNUMBER(SEARCH(Лист2!$B$4,F:F)),1,0)</f>
        <v>0</v>
      </c>
      <c r="L4519" s="14">
        <f>IF(ISNUMBER(SEARCH(Лист2!$B$5,I:I)),1,0)+K4519</f>
        <v>0</v>
      </c>
      <c r="M4519" s="3">
        <f ca="1">IF(AND(N4519&lt;&gt;N4518,ISNUMBER(SEARCH(Лист2!$B$6,N:N)),L4519=2),MAX($M$3:OFFSET(M4519,-1,0))+1,0)</f>
        <v>0</v>
      </c>
      <c r="N4519" s="3" t="s">
        <v>2813</v>
      </c>
    </row>
    <row r="4520" spans="1:14" x14ac:dyDescent="0.25">
      <c r="A4520" s="1" t="s">
        <v>13245</v>
      </c>
      <c r="B4520" s="3" t="s">
        <v>8144</v>
      </c>
      <c r="C4520" s="2">
        <f ca="1">IF(ISNUMBER(SEARCH(Лист2!$B$4,D:D)),MAX($C$3:OFFSET(C4520,-1,0))+1,0)</f>
        <v>0</v>
      </c>
      <c r="E4520" s="9" t="str">
        <f t="shared" ca="1" si="82"/>
        <v/>
      </c>
      <c r="F4520" s="4" t="s">
        <v>27</v>
      </c>
      <c r="G4520" s="2">
        <f>IF(ISNUMBER(SEARCH(Лист2!$B$4,F:F)),1,0)</f>
        <v>0</v>
      </c>
      <c r="H4520" s="3">
        <f ca="1">IF(AND(I4520&lt;&gt;I4519,ISNUMBER(SEARCH(Лист2!$B$5,I:I)),G4520=1),MAX($H$3:OFFSET(H4520,-1,0))+1,0)</f>
        <v>0</v>
      </c>
      <c r="I4520" s="3" t="s">
        <v>369</v>
      </c>
      <c r="K4520" s="2">
        <f>IF(ISNUMBER(SEARCH(Лист2!$B$4,F:F)),1,0)</f>
        <v>0</v>
      </c>
      <c r="L4520" s="14">
        <f>IF(ISNUMBER(SEARCH(Лист2!$B$5,I:I)),1,0)+K4520</f>
        <v>0</v>
      </c>
      <c r="M4520" s="3">
        <f ca="1">IF(AND(N4520&lt;&gt;N4519,ISNUMBER(SEARCH(Лист2!$B$6,N:N)),L4520=2),MAX($M$3:OFFSET(M4520,-1,0))+1,0)</f>
        <v>0</v>
      </c>
      <c r="N4520" s="3" t="s">
        <v>2814</v>
      </c>
    </row>
    <row r="4521" spans="1:14" x14ac:dyDescent="0.25">
      <c r="A4521" s="1" t="s">
        <v>13246</v>
      </c>
      <c r="B4521" s="3" t="s">
        <v>8145</v>
      </c>
      <c r="C4521" s="2">
        <f ca="1">IF(ISNUMBER(SEARCH(Лист2!$B$4,D:D)),MAX($C$3:OFFSET(C4521,-1,0))+1,0)</f>
        <v>0</v>
      </c>
      <c r="E4521" s="9" t="str">
        <f t="shared" ca="1" si="82"/>
        <v/>
      </c>
      <c r="F4521" s="4" t="s">
        <v>27</v>
      </c>
      <c r="G4521" s="2">
        <f>IF(ISNUMBER(SEARCH(Лист2!$B$4,F:F)),1,0)</f>
        <v>0</v>
      </c>
      <c r="H4521" s="3">
        <f ca="1">IF(AND(I4521&lt;&gt;I4520,ISNUMBER(SEARCH(Лист2!$B$5,I:I)),G4521=1),MAX($H$3:OFFSET(H4521,-1,0))+1,0)</f>
        <v>0</v>
      </c>
      <c r="I4521" s="3" t="s">
        <v>369</v>
      </c>
      <c r="K4521" s="2">
        <f>IF(ISNUMBER(SEARCH(Лист2!$B$4,F:F)),1,0)</f>
        <v>0</v>
      </c>
      <c r="L4521" s="14">
        <f>IF(ISNUMBER(SEARCH(Лист2!$B$5,I:I)),1,0)+K4521</f>
        <v>0</v>
      </c>
      <c r="M4521" s="3">
        <f ca="1">IF(AND(N4521&lt;&gt;N4520,ISNUMBER(SEARCH(Лист2!$B$6,N:N)),L4521=2),MAX($M$3:OFFSET(M4521,-1,0))+1,0)</f>
        <v>0</v>
      </c>
      <c r="N4521" s="3" t="s">
        <v>602</v>
      </c>
    </row>
    <row r="4522" spans="1:14" x14ac:dyDescent="0.25">
      <c r="A4522" s="1" t="s">
        <v>13247</v>
      </c>
      <c r="B4522" s="3" t="s">
        <v>8146</v>
      </c>
      <c r="C4522" s="2">
        <f ca="1">IF(ISNUMBER(SEARCH(Лист2!$B$4,D:D)),MAX($C$3:OFFSET(C4522,-1,0))+1,0)</f>
        <v>0</v>
      </c>
      <c r="E4522" s="9" t="str">
        <f t="shared" ca="1" si="82"/>
        <v/>
      </c>
      <c r="F4522" s="4" t="s">
        <v>27</v>
      </c>
      <c r="G4522" s="2">
        <f>IF(ISNUMBER(SEARCH(Лист2!$B$4,F:F)),1,0)</f>
        <v>0</v>
      </c>
      <c r="H4522" s="3">
        <f ca="1">IF(AND(I4522&lt;&gt;I4521,ISNUMBER(SEARCH(Лист2!$B$5,I:I)),G4522=1),MAX($H$3:OFFSET(H4522,-1,0))+1,0)</f>
        <v>0</v>
      </c>
      <c r="I4522" s="3" t="s">
        <v>369</v>
      </c>
      <c r="K4522" s="2">
        <f>IF(ISNUMBER(SEARCH(Лист2!$B$4,F:F)),1,0)</f>
        <v>0</v>
      </c>
      <c r="L4522" s="14">
        <f>IF(ISNUMBER(SEARCH(Лист2!$B$5,I:I)),1,0)+K4522</f>
        <v>0</v>
      </c>
      <c r="M4522" s="3">
        <f ca="1">IF(AND(N4522&lt;&gt;N4521,ISNUMBER(SEARCH(Лист2!$B$6,N:N)),L4522=2),MAX($M$3:OFFSET(M4522,-1,0))+1,0)</f>
        <v>0</v>
      </c>
      <c r="N4522" s="3" t="s">
        <v>2815</v>
      </c>
    </row>
    <row r="4523" spans="1:14" x14ac:dyDescent="0.25">
      <c r="A4523" s="1" t="s">
        <v>13248</v>
      </c>
      <c r="B4523" s="3" t="s">
        <v>8147</v>
      </c>
      <c r="C4523" s="2">
        <f ca="1">IF(ISNUMBER(SEARCH(Лист2!$B$4,D:D)),MAX($C$3:OFFSET(C4523,-1,0))+1,0)</f>
        <v>0</v>
      </c>
      <c r="E4523" s="9" t="str">
        <f t="shared" ca="1" si="82"/>
        <v/>
      </c>
      <c r="F4523" s="4" t="s">
        <v>27</v>
      </c>
      <c r="G4523" s="2">
        <f>IF(ISNUMBER(SEARCH(Лист2!$B$4,F:F)),1,0)</f>
        <v>0</v>
      </c>
      <c r="H4523" s="3">
        <f ca="1">IF(AND(I4523&lt;&gt;I4522,ISNUMBER(SEARCH(Лист2!$B$5,I:I)),G4523=1),MAX($H$3:OFFSET(H4523,-1,0))+1,0)</f>
        <v>0</v>
      </c>
      <c r="I4523" s="3" t="s">
        <v>369</v>
      </c>
      <c r="K4523" s="2">
        <f>IF(ISNUMBER(SEARCH(Лист2!$B$4,F:F)),1,0)</f>
        <v>0</v>
      </c>
      <c r="L4523" s="14">
        <f>IF(ISNUMBER(SEARCH(Лист2!$B$5,I:I)),1,0)+K4523</f>
        <v>0</v>
      </c>
      <c r="M4523" s="3">
        <f ca="1">IF(AND(N4523&lt;&gt;N4522,ISNUMBER(SEARCH(Лист2!$B$6,N:N)),L4523=2),MAX($M$3:OFFSET(M4523,-1,0))+1,0)</f>
        <v>0</v>
      </c>
      <c r="N4523" s="3" t="s">
        <v>2816</v>
      </c>
    </row>
    <row r="4524" spans="1:14" x14ac:dyDescent="0.25">
      <c r="A4524" s="1" t="s">
        <v>13249</v>
      </c>
      <c r="B4524" s="3" t="s">
        <v>8148</v>
      </c>
      <c r="C4524" s="2">
        <f ca="1">IF(ISNUMBER(SEARCH(Лист2!$B$4,D:D)),MAX($C$3:OFFSET(C4524,-1,0))+1,0)</f>
        <v>0</v>
      </c>
      <c r="E4524" s="9" t="str">
        <f t="shared" ca="1" si="82"/>
        <v/>
      </c>
      <c r="F4524" s="4" t="s">
        <v>27</v>
      </c>
      <c r="G4524" s="2">
        <f>IF(ISNUMBER(SEARCH(Лист2!$B$4,F:F)),1,0)</f>
        <v>0</v>
      </c>
      <c r="H4524" s="3">
        <f ca="1">IF(AND(I4524&lt;&gt;I4523,ISNUMBER(SEARCH(Лист2!$B$5,I:I)),G4524=1),MAX($H$3:OFFSET(H4524,-1,0))+1,0)</f>
        <v>0</v>
      </c>
      <c r="I4524" s="3" t="s">
        <v>370</v>
      </c>
      <c r="K4524" s="2">
        <f>IF(ISNUMBER(SEARCH(Лист2!$B$4,F:F)),1,0)</f>
        <v>0</v>
      </c>
      <c r="L4524" s="14">
        <f>IF(ISNUMBER(SEARCH(Лист2!$B$5,I:I)),1,0)+K4524</f>
        <v>0</v>
      </c>
      <c r="M4524" s="3">
        <f ca="1">IF(AND(N4524&lt;&gt;N4523,ISNUMBER(SEARCH(Лист2!$B$6,N:N)),L4524=2),MAX($M$3:OFFSET(M4524,-1,0))+1,0)</f>
        <v>0</v>
      </c>
      <c r="N4524" s="3" t="s">
        <v>2817</v>
      </c>
    </row>
    <row r="4525" spans="1:14" x14ac:dyDescent="0.25">
      <c r="A4525" s="1" t="s">
        <v>13250</v>
      </c>
      <c r="B4525" s="3" t="s">
        <v>8149</v>
      </c>
      <c r="C4525" s="2">
        <f ca="1">IF(ISNUMBER(SEARCH(Лист2!$B$4,D:D)),MAX($C$3:OFFSET(C4525,-1,0))+1,0)</f>
        <v>0</v>
      </c>
      <c r="E4525" s="9" t="str">
        <f t="shared" ca="1" si="82"/>
        <v/>
      </c>
      <c r="F4525" s="4" t="s">
        <v>27</v>
      </c>
      <c r="G4525" s="2">
        <f>IF(ISNUMBER(SEARCH(Лист2!$B$4,F:F)),1,0)</f>
        <v>0</v>
      </c>
      <c r="H4525" s="3">
        <f ca="1">IF(AND(I4525&lt;&gt;I4524,ISNUMBER(SEARCH(Лист2!$B$5,I:I)),G4525=1),MAX($H$3:OFFSET(H4525,-1,0))+1,0)</f>
        <v>0</v>
      </c>
      <c r="I4525" s="3" t="s">
        <v>370</v>
      </c>
      <c r="K4525" s="2">
        <f>IF(ISNUMBER(SEARCH(Лист2!$B$4,F:F)),1,0)</f>
        <v>0</v>
      </c>
      <c r="L4525" s="14">
        <f>IF(ISNUMBER(SEARCH(Лист2!$B$5,I:I)),1,0)+K4525</f>
        <v>0</v>
      </c>
      <c r="M4525" s="3">
        <f ca="1">IF(AND(N4525&lt;&gt;N4524,ISNUMBER(SEARCH(Лист2!$B$6,N:N)),L4525=2),MAX($M$3:OFFSET(M4525,-1,0))+1,0)</f>
        <v>0</v>
      </c>
      <c r="N4525" s="3" t="s">
        <v>2818</v>
      </c>
    </row>
    <row r="4526" spans="1:14" x14ac:dyDescent="0.25">
      <c r="A4526" s="1" t="s">
        <v>13251</v>
      </c>
      <c r="B4526" s="3" t="s">
        <v>8150</v>
      </c>
      <c r="C4526" s="2">
        <f ca="1">IF(ISNUMBER(SEARCH(Лист2!$B$4,D:D)),MAX($C$3:OFFSET(C4526,-1,0))+1,0)</f>
        <v>0</v>
      </c>
      <c r="E4526" s="9" t="str">
        <f t="shared" ca="1" si="82"/>
        <v/>
      </c>
      <c r="F4526" s="4" t="s">
        <v>27</v>
      </c>
      <c r="G4526" s="2">
        <f>IF(ISNUMBER(SEARCH(Лист2!$B$4,F:F)),1,0)</f>
        <v>0</v>
      </c>
      <c r="H4526" s="3">
        <f ca="1">IF(AND(I4526&lt;&gt;I4525,ISNUMBER(SEARCH(Лист2!$B$5,I:I)),G4526=1),MAX($H$3:OFFSET(H4526,-1,0))+1,0)</f>
        <v>0</v>
      </c>
      <c r="I4526" s="3" t="s">
        <v>370</v>
      </c>
      <c r="K4526" s="2">
        <f>IF(ISNUMBER(SEARCH(Лист2!$B$4,F:F)),1,0)</f>
        <v>0</v>
      </c>
      <c r="L4526" s="14">
        <f>IF(ISNUMBER(SEARCH(Лист2!$B$5,I:I)),1,0)+K4526</f>
        <v>0</v>
      </c>
      <c r="M4526" s="3">
        <f ca="1">IF(AND(N4526&lt;&gt;N4525,ISNUMBER(SEARCH(Лист2!$B$6,N:N)),L4526=2),MAX($M$3:OFFSET(M4526,-1,0))+1,0)</f>
        <v>0</v>
      </c>
      <c r="N4526" s="3" t="s">
        <v>2819</v>
      </c>
    </row>
    <row r="4527" spans="1:14" x14ac:dyDescent="0.25">
      <c r="A4527" s="1" t="s">
        <v>13252</v>
      </c>
      <c r="B4527" s="3" t="s">
        <v>8151</v>
      </c>
      <c r="C4527" s="2">
        <f ca="1">IF(ISNUMBER(SEARCH(Лист2!$B$4,D:D)),MAX($C$3:OFFSET(C4527,-1,0))+1,0)</f>
        <v>0</v>
      </c>
      <c r="E4527" s="9" t="str">
        <f t="shared" ca="1" si="82"/>
        <v/>
      </c>
      <c r="F4527" s="4" t="s">
        <v>27</v>
      </c>
      <c r="G4527" s="2">
        <f>IF(ISNUMBER(SEARCH(Лист2!$B$4,F:F)),1,0)</f>
        <v>0</v>
      </c>
      <c r="H4527" s="3">
        <f ca="1">IF(AND(I4527&lt;&gt;I4526,ISNUMBER(SEARCH(Лист2!$B$5,I:I)),G4527=1),MAX($H$3:OFFSET(H4527,-1,0))+1,0)</f>
        <v>0</v>
      </c>
      <c r="I4527" s="3" t="s">
        <v>370</v>
      </c>
      <c r="K4527" s="2">
        <f>IF(ISNUMBER(SEARCH(Лист2!$B$4,F:F)),1,0)</f>
        <v>0</v>
      </c>
      <c r="L4527" s="14">
        <f>IF(ISNUMBER(SEARCH(Лист2!$B$5,I:I)),1,0)+K4527</f>
        <v>0</v>
      </c>
      <c r="M4527" s="3">
        <f ca="1">IF(AND(N4527&lt;&gt;N4526,ISNUMBER(SEARCH(Лист2!$B$6,N:N)),L4527=2),MAX($M$3:OFFSET(M4527,-1,0))+1,0)</f>
        <v>0</v>
      </c>
      <c r="N4527" s="3" t="s">
        <v>2820</v>
      </c>
    </row>
    <row r="4528" spans="1:14" x14ac:dyDescent="0.25">
      <c r="A4528" s="1" t="s">
        <v>13253</v>
      </c>
      <c r="B4528" s="3" t="s">
        <v>8152</v>
      </c>
      <c r="C4528" s="2">
        <f ca="1">IF(ISNUMBER(SEARCH(Лист2!$B$4,D:D)),MAX($C$3:OFFSET(C4528,-1,0))+1,0)</f>
        <v>0</v>
      </c>
      <c r="E4528" s="9" t="str">
        <f t="shared" ca="1" si="82"/>
        <v/>
      </c>
      <c r="F4528" s="4" t="s">
        <v>27</v>
      </c>
      <c r="G4528" s="2">
        <f>IF(ISNUMBER(SEARCH(Лист2!$B$4,F:F)),1,0)</f>
        <v>0</v>
      </c>
      <c r="H4528" s="3">
        <f ca="1">IF(AND(I4528&lt;&gt;I4527,ISNUMBER(SEARCH(Лист2!$B$5,I:I)),G4528=1),MAX($H$3:OFFSET(H4528,-1,0))+1,0)</f>
        <v>0</v>
      </c>
      <c r="I4528" s="3" t="s">
        <v>370</v>
      </c>
      <c r="K4528" s="2">
        <f>IF(ISNUMBER(SEARCH(Лист2!$B$4,F:F)),1,0)</f>
        <v>0</v>
      </c>
      <c r="L4528" s="14">
        <f>IF(ISNUMBER(SEARCH(Лист2!$B$5,I:I)),1,0)+K4528</f>
        <v>0</v>
      </c>
      <c r="M4528" s="3">
        <f ca="1">IF(AND(N4528&lt;&gt;N4527,ISNUMBER(SEARCH(Лист2!$B$6,N:N)),L4528=2),MAX($M$3:OFFSET(M4528,-1,0))+1,0)</f>
        <v>0</v>
      </c>
      <c r="N4528" s="3" t="s">
        <v>602</v>
      </c>
    </row>
    <row r="4529" spans="1:14" x14ac:dyDescent="0.25">
      <c r="A4529" s="1" t="s">
        <v>13254</v>
      </c>
      <c r="B4529" s="3" t="s">
        <v>8153</v>
      </c>
      <c r="C4529" s="2">
        <f ca="1">IF(ISNUMBER(SEARCH(Лист2!$B$4,D:D)),MAX($C$3:OFFSET(C4529,-1,0))+1,0)</f>
        <v>0</v>
      </c>
      <c r="E4529" s="9" t="str">
        <f t="shared" ca="1" si="82"/>
        <v/>
      </c>
      <c r="F4529" s="4" t="s">
        <v>27</v>
      </c>
      <c r="G4529" s="2">
        <f>IF(ISNUMBER(SEARCH(Лист2!$B$4,F:F)),1,0)</f>
        <v>0</v>
      </c>
      <c r="H4529" s="3">
        <f ca="1">IF(AND(I4529&lt;&gt;I4528,ISNUMBER(SEARCH(Лист2!$B$5,I:I)),G4529=1),MAX($H$3:OFFSET(H4529,-1,0))+1,0)</f>
        <v>0</v>
      </c>
      <c r="I4529" s="3" t="s">
        <v>370</v>
      </c>
      <c r="K4529" s="2">
        <f>IF(ISNUMBER(SEARCH(Лист2!$B$4,F:F)),1,0)</f>
        <v>0</v>
      </c>
      <c r="L4529" s="14">
        <f>IF(ISNUMBER(SEARCH(Лист2!$B$5,I:I)),1,0)+K4529</f>
        <v>0</v>
      </c>
      <c r="M4529" s="3">
        <f ca="1">IF(AND(N4529&lt;&gt;N4528,ISNUMBER(SEARCH(Лист2!$B$6,N:N)),L4529=2),MAX($M$3:OFFSET(M4529,-1,0))+1,0)</f>
        <v>0</v>
      </c>
      <c r="N4529" s="3" t="s">
        <v>2821</v>
      </c>
    </row>
    <row r="4530" spans="1:14" x14ac:dyDescent="0.25">
      <c r="A4530" s="1" t="s">
        <v>13255</v>
      </c>
      <c r="B4530" s="3" t="s">
        <v>8154</v>
      </c>
      <c r="C4530" s="2">
        <f ca="1">IF(ISNUMBER(SEARCH(Лист2!$B$4,D:D)),MAX($C$3:OFFSET(C4530,-1,0))+1,0)</f>
        <v>0</v>
      </c>
      <c r="E4530" s="9" t="str">
        <f t="shared" ca="1" si="82"/>
        <v/>
      </c>
      <c r="F4530" s="4" t="s">
        <v>27</v>
      </c>
      <c r="G4530" s="2">
        <f>IF(ISNUMBER(SEARCH(Лист2!$B$4,F:F)),1,0)</f>
        <v>0</v>
      </c>
      <c r="H4530" s="3">
        <f ca="1">IF(AND(I4530&lt;&gt;I4529,ISNUMBER(SEARCH(Лист2!$B$5,I:I)),G4530=1),MAX($H$3:OFFSET(H4530,-1,0))+1,0)</f>
        <v>0</v>
      </c>
      <c r="I4530" s="3" t="s">
        <v>370</v>
      </c>
      <c r="K4530" s="2">
        <f>IF(ISNUMBER(SEARCH(Лист2!$B$4,F:F)),1,0)</f>
        <v>0</v>
      </c>
      <c r="L4530" s="14">
        <f>IF(ISNUMBER(SEARCH(Лист2!$B$5,I:I)),1,0)+K4530</f>
        <v>0</v>
      </c>
      <c r="M4530" s="3">
        <f ca="1">IF(AND(N4530&lt;&gt;N4529,ISNUMBER(SEARCH(Лист2!$B$6,N:N)),L4530=2),MAX($M$3:OFFSET(M4530,-1,0))+1,0)</f>
        <v>0</v>
      </c>
      <c r="N4530" s="3" t="s">
        <v>2822</v>
      </c>
    </row>
    <row r="4531" spans="1:14" x14ac:dyDescent="0.25">
      <c r="A4531" s="1" t="s">
        <v>13256</v>
      </c>
      <c r="B4531" s="3" t="s">
        <v>8155</v>
      </c>
      <c r="C4531" s="2">
        <f ca="1">IF(ISNUMBER(SEARCH(Лист2!$B$4,D:D)),MAX($C$3:OFFSET(C4531,-1,0))+1,0)</f>
        <v>0</v>
      </c>
      <c r="E4531" s="9" t="str">
        <f t="shared" ca="1" si="82"/>
        <v/>
      </c>
      <c r="F4531" s="4" t="s">
        <v>27</v>
      </c>
      <c r="G4531" s="2">
        <f>IF(ISNUMBER(SEARCH(Лист2!$B$4,F:F)),1,0)</f>
        <v>0</v>
      </c>
      <c r="H4531" s="3">
        <f ca="1">IF(AND(I4531&lt;&gt;I4530,ISNUMBER(SEARCH(Лист2!$B$5,I:I)),G4531=1),MAX($H$3:OFFSET(H4531,-1,0))+1,0)</f>
        <v>0</v>
      </c>
      <c r="I4531" s="3" t="s">
        <v>51</v>
      </c>
      <c r="K4531" s="2">
        <f>IF(ISNUMBER(SEARCH(Лист2!$B$4,F:F)),1,0)</f>
        <v>0</v>
      </c>
      <c r="L4531" s="14">
        <f>IF(ISNUMBER(SEARCH(Лист2!$B$5,I:I)),1,0)+K4531</f>
        <v>1</v>
      </c>
      <c r="M4531" s="3">
        <f ca="1">IF(AND(N4531&lt;&gt;N4530,ISNUMBER(SEARCH(Лист2!$B$6,N:N)),L4531=2),MAX($M$3:OFFSET(M4531,-1,0))+1,0)</f>
        <v>0</v>
      </c>
      <c r="N4531" s="3" t="s">
        <v>2823</v>
      </c>
    </row>
    <row r="4532" spans="1:14" x14ac:dyDescent="0.25">
      <c r="A4532" s="1" t="s">
        <v>13257</v>
      </c>
      <c r="B4532" s="3" t="s">
        <v>8156</v>
      </c>
      <c r="C4532" s="2">
        <f ca="1">IF(ISNUMBER(SEARCH(Лист2!$B$4,D:D)),MAX($C$3:OFFSET(C4532,-1,0))+1,0)</f>
        <v>0</v>
      </c>
      <c r="E4532" s="9" t="str">
        <f t="shared" ca="1" si="82"/>
        <v/>
      </c>
      <c r="F4532" s="4" t="s">
        <v>27</v>
      </c>
      <c r="G4532" s="2">
        <f>IF(ISNUMBER(SEARCH(Лист2!$B$4,F:F)),1,0)</f>
        <v>0</v>
      </c>
      <c r="H4532" s="3">
        <f ca="1">IF(AND(I4532&lt;&gt;I4531,ISNUMBER(SEARCH(Лист2!$B$5,I:I)),G4532=1),MAX($H$3:OFFSET(H4532,-1,0))+1,0)</f>
        <v>0</v>
      </c>
      <c r="I4532" s="3" t="s">
        <v>51</v>
      </c>
      <c r="K4532" s="2">
        <f>IF(ISNUMBER(SEARCH(Лист2!$B$4,F:F)),1,0)</f>
        <v>0</v>
      </c>
      <c r="L4532" s="14">
        <f>IF(ISNUMBER(SEARCH(Лист2!$B$5,I:I)),1,0)+K4532</f>
        <v>1</v>
      </c>
      <c r="M4532" s="3">
        <f ca="1">IF(AND(N4532&lt;&gt;N4531,ISNUMBER(SEARCH(Лист2!$B$6,N:N)),L4532=2),MAX($M$3:OFFSET(M4532,-1,0))+1,0)</f>
        <v>0</v>
      </c>
      <c r="N4532" s="3" t="s">
        <v>2824</v>
      </c>
    </row>
    <row r="4533" spans="1:14" x14ac:dyDescent="0.25">
      <c r="A4533" s="1" t="s">
        <v>13257</v>
      </c>
      <c r="B4533" s="3" t="s">
        <v>8157</v>
      </c>
      <c r="C4533" s="2">
        <f ca="1">IF(ISNUMBER(SEARCH(Лист2!$B$4,D:D)),MAX($C$3:OFFSET(C4533,-1,0))+1,0)</f>
        <v>0</v>
      </c>
      <c r="E4533" s="9" t="str">
        <f t="shared" ca="1" si="82"/>
        <v/>
      </c>
      <c r="F4533" s="4" t="s">
        <v>27</v>
      </c>
      <c r="G4533" s="2">
        <f>IF(ISNUMBER(SEARCH(Лист2!$B$4,F:F)),1,0)</f>
        <v>0</v>
      </c>
      <c r="H4533" s="3">
        <f ca="1">IF(AND(I4533&lt;&gt;I4532,ISNUMBER(SEARCH(Лист2!$B$5,I:I)),G4533=1),MAX($H$3:OFFSET(H4533,-1,0))+1,0)</f>
        <v>0</v>
      </c>
      <c r="I4533" s="3" t="s">
        <v>51</v>
      </c>
      <c r="K4533" s="2">
        <f>IF(ISNUMBER(SEARCH(Лист2!$B$4,F:F)),1,0)</f>
        <v>0</v>
      </c>
      <c r="L4533" s="14">
        <f>IF(ISNUMBER(SEARCH(Лист2!$B$5,I:I)),1,0)+K4533</f>
        <v>1</v>
      </c>
      <c r="M4533" s="3">
        <f ca="1">IF(AND(N4533&lt;&gt;N4532,ISNUMBER(SEARCH(Лист2!$B$6,N:N)),L4533=2),MAX($M$3:OFFSET(M4533,-1,0))+1,0)</f>
        <v>0</v>
      </c>
      <c r="N4533" s="3" t="s">
        <v>2824</v>
      </c>
    </row>
    <row r="4534" spans="1:14" x14ac:dyDescent="0.25">
      <c r="A4534" s="1" t="s">
        <v>13257</v>
      </c>
      <c r="B4534" s="3" t="s">
        <v>8158</v>
      </c>
      <c r="C4534" s="2">
        <f ca="1">IF(ISNUMBER(SEARCH(Лист2!$B$4,D:D)),MAX($C$3:OFFSET(C4534,-1,0))+1,0)</f>
        <v>0</v>
      </c>
      <c r="E4534" s="9" t="str">
        <f t="shared" ca="1" si="82"/>
        <v/>
      </c>
      <c r="F4534" s="4" t="s">
        <v>27</v>
      </c>
      <c r="G4534" s="2">
        <f>IF(ISNUMBER(SEARCH(Лист2!$B$4,F:F)),1,0)</f>
        <v>0</v>
      </c>
      <c r="H4534" s="3">
        <f ca="1">IF(AND(I4534&lt;&gt;I4533,ISNUMBER(SEARCH(Лист2!$B$5,I:I)),G4534=1),MAX($H$3:OFFSET(H4534,-1,0))+1,0)</f>
        <v>0</v>
      </c>
      <c r="I4534" s="3" t="s">
        <v>51</v>
      </c>
      <c r="K4534" s="2">
        <f>IF(ISNUMBER(SEARCH(Лист2!$B$4,F:F)),1,0)</f>
        <v>0</v>
      </c>
      <c r="L4534" s="14">
        <f>IF(ISNUMBER(SEARCH(Лист2!$B$5,I:I)),1,0)+K4534</f>
        <v>1</v>
      </c>
      <c r="M4534" s="3">
        <f ca="1">IF(AND(N4534&lt;&gt;N4533,ISNUMBER(SEARCH(Лист2!$B$6,N:N)),L4534=2),MAX($M$3:OFFSET(M4534,-1,0))+1,0)</f>
        <v>0</v>
      </c>
      <c r="N4534" s="3" t="s">
        <v>2824</v>
      </c>
    </row>
    <row r="4535" spans="1:14" x14ac:dyDescent="0.25">
      <c r="A4535" s="1" t="s">
        <v>13258</v>
      </c>
      <c r="B4535" s="3" t="s">
        <v>8159</v>
      </c>
      <c r="C4535" s="2">
        <f ca="1">IF(ISNUMBER(SEARCH(Лист2!$B$4,D:D)),MAX($C$3:OFFSET(C4535,-1,0))+1,0)</f>
        <v>0</v>
      </c>
      <c r="E4535" s="9" t="str">
        <f t="shared" ca="1" si="82"/>
        <v/>
      </c>
      <c r="F4535" s="4" t="s">
        <v>27</v>
      </c>
      <c r="G4535" s="2">
        <f>IF(ISNUMBER(SEARCH(Лист2!$B$4,F:F)),1,0)</f>
        <v>0</v>
      </c>
      <c r="H4535" s="3">
        <f ca="1">IF(AND(I4535&lt;&gt;I4534,ISNUMBER(SEARCH(Лист2!$B$5,I:I)),G4535=1),MAX($H$3:OFFSET(H4535,-1,0))+1,0)</f>
        <v>0</v>
      </c>
      <c r="I4535" s="3" t="s">
        <v>51</v>
      </c>
      <c r="K4535" s="2">
        <f>IF(ISNUMBER(SEARCH(Лист2!$B$4,F:F)),1,0)</f>
        <v>0</v>
      </c>
      <c r="L4535" s="14">
        <f>IF(ISNUMBER(SEARCH(Лист2!$B$5,I:I)),1,0)+K4535</f>
        <v>1</v>
      </c>
      <c r="M4535" s="3">
        <f ca="1">IF(AND(N4535&lt;&gt;N4534,ISNUMBER(SEARCH(Лист2!$B$6,N:N)),L4535=2),MAX($M$3:OFFSET(M4535,-1,0))+1,0)</f>
        <v>0</v>
      </c>
      <c r="N4535" s="3" t="s">
        <v>2825</v>
      </c>
    </row>
    <row r="4536" spans="1:14" x14ac:dyDescent="0.25">
      <c r="A4536" s="1" t="s">
        <v>13258</v>
      </c>
      <c r="B4536" s="3" t="s">
        <v>8160</v>
      </c>
      <c r="C4536" s="2">
        <f ca="1">IF(ISNUMBER(SEARCH(Лист2!$B$4,D:D)),MAX($C$3:OFFSET(C4536,-1,0))+1,0)</f>
        <v>0</v>
      </c>
      <c r="E4536" s="9" t="str">
        <f t="shared" ca="1" si="82"/>
        <v/>
      </c>
      <c r="F4536" s="4" t="s">
        <v>27</v>
      </c>
      <c r="G4536" s="2">
        <f>IF(ISNUMBER(SEARCH(Лист2!$B$4,F:F)),1,0)</f>
        <v>0</v>
      </c>
      <c r="H4536" s="3">
        <f ca="1">IF(AND(I4536&lt;&gt;I4535,ISNUMBER(SEARCH(Лист2!$B$5,I:I)),G4536=1),MAX($H$3:OFFSET(H4536,-1,0))+1,0)</f>
        <v>0</v>
      </c>
      <c r="I4536" s="3" t="s">
        <v>51</v>
      </c>
      <c r="K4536" s="2">
        <f>IF(ISNUMBER(SEARCH(Лист2!$B$4,F:F)),1,0)</f>
        <v>0</v>
      </c>
      <c r="L4536" s="14">
        <f>IF(ISNUMBER(SEARCH(Лист2!$B$5,I:I)),1,0)+K4536</f>
        <v>1</v>
      </c>
      <c r="M4536" s="3">
        <f ca="1">IF(AND(N4536&lt;&gt;N4535,ISNUMBER(SEARCH(Лист2!$B$6,N:N)),L4536=2),MAX($M$3:OFFSET(M4536,-1,0))+1,0)</f>
        <v>0</v>
      </c>
      <c r="N4536" s="3" t="s">
        <v>2825</v>
      </c>
    </row>
    <row r="4537" spans="1:14" x14ac:dyDescent="0.25">
      <c r="A4537" s="1" t="s">
        <v>13258</v>
      </c>
      <c r="B4537" s="3" t="s">
        <v>8161</v>
      </c>
      <c r="C4537" s="2">
        <f ca="1">IF(ISNUMBER(SEARCH(Лист2!$B$4,D:D)),MAX($C$3:OFFSET(C4537,-1,0))+1,0)</f>
        <v>0</v>
      </c>
      <c r="E4537" s="9" t="str">
        <f t="shared" ca="1" si="82"/>
        <v/>
      </c>
      <c r="F4537" s="4" t="s">
        <v>27</v>
      </c>
      <c r="G4537" s="2">
        <f>IF(ISNUMBER(SEARCH(Лист2!$B$4,F:F)),1,0)</f>
        <v>0</v>
      </c>
      <c r="H4537" s="3">
        <f ca="1">IF(AND(I4537&lt;&gt;I4536,ISNUMBER(SEARCH(Лист2!$B$5,I:I)),G4537=1),MAX($H$3:OFFSET(H4537,-1,0))+1,0)</f>
        <v>0</v>
      </c>
      <c r="I4537" s="3" t="s">
        <v>51</v>
      </c>
      <c r="K4537" s="2">
        <f>IF(ISNUMBER(SEARCH(Лист2!$B$4,F:F)),1,0)</f>
        <v>0</v>
      </c>
      <c r="L4537" s="14">
        <f>IF(ISNUMBER(SEARCH(Лист2!$B$5,I:I)),1,0)+K4537</f>
        <v>1</v>
      </c>
      <c r="M4537" s="3">
        <f ca="1">IF(AND(N4537&lt;&gt;N4536,ISNUMBER(SEARCH(Лист2!$B$6,N:N)),L4537=2),MAX($M$3:OFFSET(M4537,-1,0))+1,0)</f>
        <v>0</v>
      </c>
      <c r="N4537" s="3" t="s">
        <v>2825</v>
      </c>
    </row>
    <row r="4538" spans="1:14" x14ac:dyDescent="0.25">
      <c r="A4538" s="1" t="s">
        <v>13259</v>
      </c>
      <c r="B4538" s="3" t="s">
        <v>8162</v>
      </c>
      <c r="C4538" s="2">
        <f ca="1">IF(ISNUMBER(SEARCH(Лист2!$B$4,D:D)),MAX($C$3:OFFSET(C4538,-1,0))+1,0)</f>
        <v>0</v>
      </c>
      <c r="E4538" s="9" t="str">
        <f t="shared" ca="1" si="82"/>
        <v/>
      </c>
      <c r="F4538" s="4" t="s">
        <v>27</v>
      </c>
      <c r="G4538" s="2">
        <f>IF(ISNUMBER(SEARCH(Лист2!$B$4,F:F)),1,0)</f>
        <v>0</v>
      </c>
      <c r="H4538" s="3">
        <f ca="1">IF(AND(I4538&lt;&gt;I4537,ISNUMBER(SEARCH(Лист2!$B$5,I:I)),G4538=1),MAX($H$3:OFFSET(H4538,-1,0))+1,0)</f>
        <v>0</v>
      </c>
      <c r="I4538" s="3" t="s">
        <v>51</v>
      </c>
      <c r="K4538" s="2">
        <f>IF(ISNUMBER(SEARCH(Лист2!$B$4,F:F)),1,0)</f>
        <v>0</v>
      </c>
      <c r="L4538" s="14">
        <f>IF(ISNUMBER(SEARCH(Лист2!$B$5,I:I)),1,0)+K4538</f>
        <v>1</v>
      </c>
      <c r="M4538" s="3">
        <f ca="1">IF(AND(N4538&lt;&gt;N4537,ISNUMBER(SEARCH(Лист2!$B$6,N:N)),L4538=2),MAX($M$3:OFFSET(M4538,-1,0))+1,0)</f>
        <v>0</v>
      </c>
      <c r="N4538" s="3" t="s">
        <v>1943</v>
      </c>
    </row>
    <row r="4539" spans="1:14" x14ac:dyDescent="0.25">
      <c r="A4539" s="1" t="s">
        <v>13260</v>
      </c>
      <c r="B4539" s="3" t="s">
        <v>8163</v>
      </c>
      <c r="C4539" s="2">
        <f ca="1">IF(ISNUMBER(SEARCH(Лист2!$B$4,D:D)),MAX($C$3:OFFSET(C4539,-1,0))+1,0)</f>
        <v>0</v>
      </c>
      <c r="E4539" s="9" t="str">
        <f t="shared" ca="1" si="82"/>
        <v/>
      </c>
      <c r="F4539" s="4" t="s">
        <v>27</v>
      </c>
      <c r="G4539" s="2">
        <f>IF(ISNUMBER(SEARCH(Лист2!$B$4,F:F)),1,0)</f>
        <v>0</v>
      </c>
      <c r="H4539" s="3">
        <f ca="1">IF(AND(I4539&lt;&gt;I4538,ISNUMBER(SEARCH(Лист2!$B$5,I:I)),G4539=1),MAX($H$3:OFFSET(H4539,-1,0))+1,0)</f>
        <v>0</v>
      </c>
      <c r="I4539" s="3" t="s">
        <v>51</v>
      </c>
      <c r="K4539" s="2">
        <f>IF(ISNUMBER(SEARCH(Лист2!$B$4,F:F)),1,0)</f>
        <v>0</v>
      </c>
      <c r="L4539" s="14">
        <f>IF(ISNUMBER(SEARCH(Лист2!$B$5,I:I)),1,0)+K4539</f>
        <v>1</v>
      </c>
      <c r="M4539" s="3">
        <f ca="1">IF(AND(N4539&lt;&gt;N4538,ISNUMBER(SEARCH(Лист2!$B$6,N:N)),L4539=2),MAX($M$3:OFFSET(M4539,-1,0))+1,0)</f>
        <v>0</v>
      </c>
      <c r="N4539" s="3" t="s">
        <v>602</v>
      </c>
    </row>
    <row r="4540" spans="1:14" x14ac:dyDescent="0.25">
      <c r="A4540" s="1" t="s">
        <v>13261</v>
      </c>
      <c r="B4540" s="3" t="s">
        <v>8164</v>
      </c>
      <c r="C4540" s="2">
        <f ca="1">IF(ISNUMBER(SEARCH(Лист2!$B$4,D:D)),MAX($C$3:OFFSET(C4540,-1,0))+1,0)</f>
        <v>0</v>
      </c>
      <c r="E4540" s="9" t="str">
        <f t="shared" ca="1" si="82"/>
        <v/>
      </c>
      <c r="F4540" s="4" t="s">
        <v>27</v>
      </c>
      <c r="G4540" s="2">
        <f>IF(ISNUMBER(SEARCH(Лист2!$B$4,F:F)),1,0)</f>
        <v>0</v>
      </c>
      <c r="H4540" s="3">
        <f ca="1">IF(AND(I4540&lt;&gt;I4539,ISNUMBER(SEARCH(Лист2!$B$5,I:I)),G4540=1),MAX($H$3:OFFSET(H4540,-1,0))+1,0)</f>
        <v>0</v>
      </c>
      <c r="I4540" s="3" t="s">
        <v>51</v>
      </c>
      <c r="K4540" s="2">
        <f>IF(ISNUMBER(SEARCH(Лист2!$B$4,F:F)),1,0)</f>
        <v>0</v>
      </c>
      <c r="L4540" s="14">
        <f>IF(ISNUMBER(SEARCH(Лист2!$B$5,I:I)),1,0)+K4540</f>
        <v>1</v>
      </c>
      <c r="M4540" s="3">
        <f ca="1">IF(AND(N4540&lt;&gt;N4539,ISNUMBER(SEARCH(Лист2!$B$6,N:N)),L4540=2),MAX($M$3:OFFSET(M4540,-1,0))+1,0)</f>
        <v>0</v>
      </c>
      <c r="N4540" s="3" t="s">
        <v>548</v>
      </c>
    </row>
    <row r="4541" spans="1:14" x14ac:dyDescent="0.25">
      <c r="A4541" s="1" t="s">
        <v>13262</v>
      </c>
      <c r="B4541" s="3" t="s">
        <v>8165</v>
      </c>
      <c r="C4541" s="2">
        <f ca="1">IF(ISNUMBER(SEARCH(Лист2!$B$4,D:D)),MAX($C$3:OFFSET(C4541,-1,0))+1,0)</f>
        <v>0</v>
      </c>
      <c r="E4541" s="9" t="str">
        <f t="shared" ca="1" si="82"/>
        <v/>
      </c>
      <c r="F4541" s="4" t="s">
        <v>27</v>
      </c>
      <c r="G4541" s="2">
        <f>IF(ISNUMBER(SEARCH(Лист2!$B$4,F:F)),1,0)</f>
        <v>0</v>
      </c>
      <c r="H4541" s="3">
        <f ca="1">IF(AND(I4541&lt;&gt;I4540,ISNUMBER(SEARCH(Лист2!$B$5,I:I)),G4541=1),MAX($H$3:OFFSET(H4541,-1,0))+1,0)</f>
        <v>0</v>
      </c>
      <c r="I4541" s="3" t="s">
        <v>51</v>
      </c>
      <c r="K4541" s="2">
        <f>IF(ISNUMBER(SEARCH(Лист2!$B$4,F:F)),1,0)</f>
        <v>0</v>
      </c>
      <c r="L4541" s="14">
        <f>IF(ISNUMBER(SEARCH(Лист2!$B$5,I:I)),1,0)+K4541</f>
        <v>1</v>
      </c>
      <c r="M4541" s="3">
        <f ca="1">IF(AND(N4541&lt;&gt;N4540,ISNUMBER(SEARCH(Лист2!$B$6,N:N)),L4541=2),MAX($M$3:OFFSET(M4541,-1,0))+1,0)</f>
        <v>0</v>
      </c>
      <c r="N4541" s="3" t="s">
        <v>2826</v>
      </c>
    </row>
    <row r="4542" spans="1:14" x14ac:dyDescent="0.25">
      <c r="A4542" s="1" t="s">
        <v>13263</v>
      </c>
      <c r="B4542" s="3" t="s">
        <v>8166</v>
      </c>
      <c r="C4542" s="2">
        <f ca="1">IF(ISNUMBER(SEARCH(Лист2!$B$4,D:D)),MAX($C$3:OFFSET(C4542,-1,0))+1,0)</f>
        <v>0</v>
      </c>
      <c r="E4542" s="9" t="str">
        <f t="shared" ca="1" si="82"/>
        <v/>
      </c>
      <c r="F4542" s="4" t="s">
        <v>27</v>
      </c>
      <c r="G4542" s="2">
        <f>IF(ISNUMBER(SEARCH(Лист2!$B$4,F:F)),1,0)</f>
        <v>0</v>
      </c>
      <c r="H4542" s="3">
        <f ca="1">IF(AND(I4542&lt;&gt;I4541,ISNUMBER(SEARCH(Лист2!$B$5,I:I)),G4542=1),MAX($H$3:OFFSET(H4542,-1,0))+1,0)</f>
        <v>0</v>
      </c>
      <c r="I4542" s="3" t="s">
        <v>302</v>
      </c>
      <c r="K4542" s="2">
        <f>IF(ISNUMBER(SEARCH(Лист2!$B$4,F:F)),1,0)</f>
        <v>0</v>
      </c>
      <c r="L4542" s="14">
        <f>IF(ISNUMBER(SEARCH(Лист2!$B$5,I:I)),1,0)+K4542</f>
        <v>0</v>
      </c>
      <c r="M4542" s="3">
        <f ca="1">IF(AND(N4542&lt;&gt;N4541,ISNUMBER(SEARCH(Лист2!$B$6,N:N)),L4542=2),MAX($M$3:OFFSET(M4542,-1,0))+1,0)</f>
        <v>0</v>
      </c>
      <c r="N4542" s="3" t="s">
        <v>2237</v>
      </c>
    </row>
    <row r="4543" spans="1:14" x14ac:dyDescent="0.25">
      <c r="A4543" s="1" t="s">
        <v>13264</v>
      </c>
      <c r="B4543" s="3" t="s">
        <v>8167</v>
      </c>
      <c r="C4543" s="2">
        <f ca="1">IF(ISNUMBER(SEARCH(Лист2!$B$4,D:D)),MAX($C$3:OFFSET(C4543,-1,0))+1,0)</f>
        <v>0</v>
      </c>
      <c r="E4543" s="9" t="str">
        <f t="shared" ca="1" si="82"/>
        <v/>
      </c>
      <c r="F4543" s="4" t="s">
        <v>27</v>
      </c>
      <c r="G4543" s="2">
        <f>IF(ISNUMBER(SEARCH(Лист2!$B$4,F:F)),1,0)</f>
        <v>0</v>
      </c>
      <c r="H4543" s="3">
        <f ca="1">IF(AND(I4543&lt;&gt;I4542,ISNUMBER(SEARCH(Лист2!$B$5,I:I)),G4543=1),MAX($H$3:OFFSET(H4543,-1,0))+1,0)</f>
        <v>0</v>
      </c>
      <c r="I4543" s="3" t="s">
        <v>302</v>
      </c>
      <c r="K4543" s="2">
        <f>IF(ISNUMBER(SEARCH(Лист2!$B$4,F:F)),1,0)</f>
        <v>0</v>
      </c>
      <c r="L4543" s="14">
        <f>IF(ISNUMBER(SEARCH(Лист2!$B$5,I:I)),1,0)+K4543</f>
        <v>0</v>
      </c>
      <c r="M4543" s="3">
        <f ca="1">IF(AND(N4543&lt;&gt;N4542,ISNUMBER(SEARCH(Лист2!$B$6,N:N)),L4543=2),MAX($M$3:OFFSET(M4543,-1,0))+1,0)</f>
        <v>0</v>
      </c>
      <c r="N4543" s="3" t="s">
        <v>2827</v>
      </c>
    </row>
    <row r="4544" spans="1:14" x14ac:dyDescent="0.25">
      <c r="A4544" s="1" t="s">
        <v>13264</v>
      </c>
      <c r="B4544" s="3" t="s">
        <v>8168</v>
      </c>
      <c r="C4544" s="2">
        <f ca="1">IF(ISNUMBER(SEARCH(Лист2!$B$4,D:D)),MAX($C$3:OFFSET(C4544,-1,0))+1,0)</f>
        <v>0</v>
      </c>
      <c r="E4544" s="9" t="str">
        <f t="shared" ca="1" si="82"/>
        <v/>
      </c>
      <c r="F4544" s="4" t="s">
        <v>27</v>
      </c>
      <c r="G4544" s="2">
        <f>IF(ISNUMBER(SEARCH(Лист2!$B$4,F:F)),1,0)</f>
        <v>0</v>
      </c>
      <c r="H4544" s="3">
        <f ca="1">IF(AND(I4544&lt;&gt;I4543,ISNUMBER(SEARCH(Лист2!$B$5,I:I)),G4544=1),MAX($H$3:OFFSET(H4544,-1,0))+1,0)</f>
        <v>0</v>
      </c>
      <c r="I4544" s="3" t="s">
        <v>302</v>
      </c>
      <c r="K4544" s="2">
        <f>IF(ISNUMBER(SEARCH(Лист2!$B$4,F:F)),1,0)</f>
        <v>0</v>
      </c>
      <c r="L4544" s="14">
        <f>IF(ISNUMBER(SEARCH(Лист2!$B$5,I:I)),1,0)+K4544</f>
        <v>0</v>
      </c>
      <c r="M4544" s="3">
        <f ca="1">IF(AND(N4544&lt;&gt;N4543,ISNUMBER(SEARCH(Лист2!$B$6,N:N)),L4544=2),MAX($M$3:OFFSET(M4544,-1,0))+1,0)</f>
        <v>0</v>
      </c>
      <c r="N4544" s="3" t="s">
        <v>2827</v>
      </c>
    </row>
    <row r="4545" spans="1:14" x14ac:dyDescent="0.25">
      <c r="A4545" s="1" t="s">
        <v>13265</v>
      </c>
      <c r="B4545" s="3" t="s">
        <v>8169</v>
      </c>
      <c r="C4545" s="2">
        <f ca="1">IF(ISNUMBER(SEARCH(Лист2!$B$4,D:D)),MAX($C$3:OFFSET(C4545,-1,0))+1,0)</f>
        <v>0</v>
      </c>
      <c r="E4545" s="9" t="str">
        <f t="shared" ca="1" si="82"/>
        <v/>
      </c>
      <c r="F4545" s="4" t="s">
        <v>27</v>
      </c>
      <c r="G4545" s="2">
        <f>IF(ISNUMBER(SEARCH(Лист2!$B$4,F:F)),1,0)</f>
        <v>0</v>
      </c>
      <c r="H4545" s="3">
        <f ca="1">IF(AND(I4545&lt;&gt;I4544,ISNUMBER(SEARCH(Лист2!$B$5,I:I)),G4545=1),MAX($H$3:OFFSET(H4545,-1,0))+1,0)</f>
        <v>0</v>
      </c>
      <c r="I4545" s="3" t="s">
        <v>302</v>
      </c>
      <c r="K4545" s="2">
        <f>IF(ISNUMBER(SEARCH(Лист2!$B$4,F:F)),1,0)</f>
        <v>0</v>
      </c>
      <c r="L4545" s="14">
        <f>IF(ISNUMBER(SEARCH(Лист2!$B$5,I:I)),1,0)+K4545</f>
        <v>0</v>
      </c>
      <c r="M4545" s="3">
        <f ca="1">IF(AND(N4545&lt;&gt;N4544,ISNUMBER(SEARCH(Лист2!$B$6,N:N)),L4545=2),MAX($M$3:OFFSET(M4545,-1,0))+1,0)</f>
        <v>0</v>
      </c>
      <c r="N4545" s="3" t="s">
        <v>2238</v>
      </c>
    </row>
    <row r="4546" spans="1:14" x14ac:dyDescent="0.25">
      <c r="A4546" s="1" t="s">
        <v>13266</v>
      </c>
      <c r="B4546" s="3" t="s">
        <v>8170</v>
      </c>
      <c r="C4546" s="2">
        <f ca="1">IF(ISNUMBER(SEARCH(Лист2!$B$4,D:D)),MAX($C$3:OFFSET(C4546,-1,0))+1,0)</f>
        <v>0</v>
      </c>
      <c r="E4546" s="9" t="str">
        <f t="shared" ca="1" si="82"/>
        <v/>
      </c>
      <c r="F4546" s="4" t="s">
        <v>27</v>
      </c>
      <c r="G4546" s="2">
        <f>IF(ISNUMBER(SEARCH(Лист2!$B$4,F:F)),1,0)</f>
        <v>0</v>
      </c>
      <c r="H4546" s="3">
        <f ca="1">IF(AND(I4546&lt;&gt;I4545,ISNUMBER(SEARCH(Лист2!$B$5,I:I)),G4546=1),MAX($H$3:OFFSET(H4546,-1,0))+1,0)</f>
        <v>0</v>
      </c>
      <c r="I4546" s="3" t="s">
        <v>302</v>
      </c>
      <c r="K4546" s="2">
        <f>IF(ISNUMBER(SEARCH(Лист2!$B$4,F:F)),1,0)</f>
        <v>0</v>
      </c>
      <c r="L4546" s="14">
        <f>IF(ISNUMBER(SEARCH(Лист2!$B$5,I:I)),1,0)+K4546</f>
        <v>0</v>
      </c>
      <c r="M4546" s="3">
        <f ca="1">IF(AND(N4546&lt;&gt;N4545,ISNUMBER(SEARCH(Лист2!$B$6,N:N)),L4546=2),MAX($M$3:OFFSET(M4546,-1,0))+1,0)</f>
        <v>0</v>
      </c>
      <c r="N4546" s="3" t="s">
        <v>2828</v>
      </c>
    </row>
    <row r="4547" spans="1:14" x14ac:dyDescent="0.25">
      <c r="A4547" s="1" t="s">
        <v>13266</v>
      </c>
      <c r="B4547" s="3" t="s">
        <v>8171</v>
      </c>
      <c r="C4547" s="2">
        <f ca="1">IF(ISNUMBER(SEARCH(Лист2!$B$4,D:D)),MAX($C$3:OFFSET(C4547,-1,0))+1,0)</f>
        <v>0</v>
      </c>
      <c r="E4547" s="9" t="str">
        <f t="shared" ca="1" si="82"/>
        <v/>
      </c>
      <c r="F4547" s="4" t="s">
        <v>27</v>
      </c>
      <c r="G4547" s="2">
        <f>IF(ISNUMBER(SEARCH(Лист2!$B$4,F:F)),1,0)</f>
        <v>0</v>
      </c>
      <c r="H4547" s="3">
        <f ca="1">IF(AND(I4547&lt;&gt;I4546,ISNUMBER(SEARCH(Лист2!$B$5,I:I)),G4547=1),MAX($H$3:OFFSET(H4547,-1,0))+1,0)</f>
        <v>0</v>
      </c>
      <c r="I4547" s="3" t="s">
        <v>302</v>
      </c>
      <c r="K4547" s="2">
        <f>IF(ISNUMBER(SEARCH(Лист2!$B$4,F:F)),1,0)</f>
        <v>0</v>
      </c>
      <c r="L4547" s="14">
        <f>IF(ISNUMBER(SEARCH(Лист2!$B$5,I:I)),1,0)+K4547</f>
        <v>0</v>
      </c>
      <c r="M4547" s="3">
        <f ca="1">IF(AND(N4547&lt;&gt;N4546,ISNUMBER(SEARCH(Лист2!$B$6,N:N)),L4547=2),MAX($M$3:OFFSET(M4547,-1,0))+1,0)</f>
        <v>0</v>
      </c>
      <c r="N4547" s="3" t="s">
        <v>2828</v>
      </c>
    </row>
    <row r="4548" spans="1:14" x14ac:dyDescent="0.25">
      <c r="A4548" s="1" t="s">
        <v>13267</v>
      </c>
      <c r="B4548" s="3" t="s">
        <v>8172</v>
      </c>
      <c r="C4548" s="2">
        <f ca="1">IF(ISNUMBER(SEARCH(Лист2!$B$4,D:D)),MAX($C$3:OFFSET(C4548,-1,0))+1,0)</f>
        <v>0</v>
      </c>
      <c r="E4548" s="9" t="str">
        <f t="shared" ca="1" si="82"/>
        <v/>
      </c>
      <c r="F4548" s="4" t="s">
        <v>27</v>
      </c>
      <c r="G4548" s="2">
        <f>IF(ISNUMBER(SEARCH(Лист2!$B$4,F:F)),1,0)</f>
        <v>0</v>
      </c>
      <c r="H4548" s="3">
        <f ca="1">IF(AND(I4548&lt;&gt;I4547,ISNUMBER(SEARCH(Лист2!$B$5,I:I)),G4548=1),MAX($H$3:OFFSET(H4548,-1,0))+1,0)</f>
        <v>0</v>
      </c>
      <c r="I4548" s="3" t="s">
        <v>302</v>
      </c>
      <c r="K4548" s="2">
        <f>IF(ISNUMBER(SEARCH(Лист2!$B$4,F:F)),1,0)</f>
        <v>0</v>
      </c>
      <c r="L4548" s="14">
        <f>IF(ISNUMBER(SEARCH(Лист2!$B$5,I:I)),1,0)+K4548</f>
        <v>0</v>
      </c>
      <c r="M4548" s="3">
        <f ca="1">IF(AND(N4548&lt;&gt;N4547,ISNUMBER(SEARCH(Лист2!$B$6,N:N)),L4548=2),MAX($M$3:OFFSET(M4548,-1,0))+1,0)</f>
        <v>0</v>
      </c>
      <c r="N4548" s="3" t="s">
        <v>1385</v>
      </c>
    </row>
    <row r="4549" spans="1:14" x14ac:dyDescent="0.25">
      <c r="A4549" s="1" t="s">
        <v>13268</v>
      </c>
      <c r="B4549" s="3" t="s">
        <v>8173</v>
      </c>
      <c r="C4549" s="2">
        <f ca="1">IF(ISNUMBER(SEARCH(Лист2!$B$4,D:D)),MAX($C$3:OFFSET(C4549,-1,0))+1,0)</f>
        <v>0</v>
      </c>
      <c r="E4549" s="9" t="str">
        <f t="shared" ref="E4549:E4612" ca="1" si="83">IFERROR(INDEX(D:D,MATCH(ROW(E4549)-ROW($E$3),C:C,0)),"")</f>
        <v/>
      </c>
      <c r="F4549" s="4" t="s">
        <v>27</v>
      </c>
      <c r="G4549" s="2">
        <f>IF(ISNUMBER(SEARCH(Лист2!$B$4,F:F)),1,0)</f>
        <v>0</v>
      </c>
      <c r="H4549" s="3">
        <f ca="1">IF(AND(I4549&lt;&gt;I4548,ISNUMBER(SEARCH(Лист2!$B$5,I:I)),G4549=1),MAX($H$3:OFFSET(H4549,-1,0))+1,0)</f>
        <v>0</v>
      </c>
      <c r="I4549" s="3" t="s">
        <v>302</v>
      </c>
      <c r="K4549" s="2">
        <f>IF(ISNUMBER(SEARCH(Лист2!$B$4,F:F)),1,0)</f>
        <v>0</v>
      </c>
      <c r="L4549" s="14">
        <f>IF(ISNUMBER(SEARCH(Лист2!$B$5,I:I)),1,0)+K4549</f>
        <v>0</v>
      </c>
      <c r="M4549" s="3">
        <f ca="1">IF(AND(N4549&lt;&gt;N4548,ISNUMBER(SEARCH(Лист2!$B$6,N:N)),L4549=2),MAX($M$3:OFFSET(M4549,-1,0))+1,0)</f>
        <v>0</v>
      </c>
      <c r="N4549" s="3" t="s">
        <v>602</v>
      </c>
    </row>
    <row r="4550" spans="1:14" x14ac:dyDescent="0.25">
      <c r="A4550" s="1" t="s">
        <v>13269</v>
      </c>
      <c r="B4550" s="3" t="s">
        <v>8174</v>
      </c>
      <c r="C4550" s="2">
        <f ca="1">IF(ISNUMBER(SEARCH(Лист2!$B$4,D:D)),MAX($C$3:OFFSET(C4550,-1,0))+1,0)</f>
        <v>0</v>
      </c>
      <c r="E4550" s="9" t="str">
        <f t="shared" ca="1" si="83"/>
        <v/>
      </c>
      <c r="F4550" s="4" t="s">
        <v>27</v>
      </c>
      <c r="G4550" s="2">
        <f>IF(ISNUMBER(SEARCH(Лист2!$B$4,F:F)),1,0)</f>
        <v>0</v>
      </c>
      <c r="H4550" s="3">
        <f ca="1">IF(AND(I4550&lt;&gt;I4549,ISNUMBER(SEARCH(Лист2!$B$5,I:I)),G4550=1),MAX($H$3:OFFSET(H4550,-1,0))+1,0)</f>
        <v>0</v>
      </c>
      <c r="I4550" s="3" t="s">
        <v>302</v>
      </c>
      <c r="K4550" s="2">
        <f>IF(ISNUMBER(SEARCH(Лист2!$B$4,F:F)),1,0)</f>
        <v>0</v>
      </c>
      <c r="L4550" s="14">
        <f>IF(ISNUMBER(SEARCH(Лист2!$B$5,I:I)),1,0)+K4550</f>
        <v>0</v>
      </c>
      <c r="M4550" s="3">
        <f ca="1">IF(AND(N4550&lt;&gt;N4549,ISNUMBER(SEARCH(Лист2!$B$6,N:N)),L4550=2),MAX($M$3:OFFSET(M4550,-1,0))+1,0)</f>
        <v>0</v>
      </c>
      <c r="N4550" s="3" t="s">
        <v>2829</v>
      </c>
    </row>
    <row r="4551" spans="1:14" x14ac:dyDescent="0.25">
      <c r="A4551" s="1" t="s">
        <v>13270</v>
      </c>
      <c r="B4551" s="3" t="s">
        <v>8175</v>
      </c>
      <c r="C4551" s="2">
        <f ca="1">IF(ISNUMBER(SEARCH(Лист2!$B$4,D:D)),MAX($C$3:OFFSET(C4551,-1,0))+1,0)</f>
        <v>0</v>
      </c>
      <c r="E4551" s="9" t="str">
        <f t="shared" ca="1" si="83"/>
        <v/>
      </c>
      <c r="F4551" s="4" t="s">
        <v>27</v>
      </c>
      <c r="G4551" s="2">
        <f>IF(ISNUMBER(SEARCH(Лист2!$B$4,F:F)),1,0)</f>
        <v>0</v>
      </c>
      <c r="H4551" s="3">
        <f ca="1">IF(AND(I4551&lt;&gt;I4550,ISNUMBER(SEARCH(Лист2!$B$5,I:I)),G4551=1),MAX($H$3:OFFSET(H4551,-1,0))+1,0)</f>
        <v>0</v>
      </c>
      <c r="I4551" s="3" t="s">
        <v>302</v>
      </c>
      <c r="K4551" s="2">
        <f>IF(ISNUMBER(SEARCH(Лист2!$B$4,F:F)),1,0)</f>
        <v>0</v>
      </c>
      <c r="L4551" s="14">
        <f>IF(ISNUMBER(SEARCH(Лист2!$B$5,I:I)),1,0)+K4551</f>
        <v>0</v>
      </c>
      <c r="M4551" s="3">
        <f ca="1">IF(AND(N4551&lt;&gt;N4550,ISNUMBER(SEARCH(Лист2!$B$6,N:N)),L4551=2),MAX($M$3:OFFSET(M4551,-1,0))+1,0)</f>
        <v>0</v>
      </c>
      <c r="N4551" s="3" t="s">
        <v>2302</v>
      </c>
    </row>
    <row r="4552" spans="1:14" x14ac:dyDescent="0.25">
      <c r="A4552" s="1" t="s">
        <v>13271</v>
      </c>
      <c r="B4552" s="3" t="s">
        <v>8176</v>
      </c>
      <c r="C4552" s="2">
        <f ca="1">IF(ISNUMBER(SEARCH(Лист2!$B$4,D:D)),MAX($C$3:OFFSET(C4552,-1,0))+1,0)</f>
        <v>0</v>
      </c>
      <c r="E4552" s="9" t="str">
        <f t="shared" ca="1" si="83"/>
        <v/>
      </c>
      <c r="F4552" s="4" t="s">
        <v>27</v>
      </c>
      <c r="G4552" s="2">
        <f>IF(ISNUMBER(SEARCH(Лист2!$B$4,F:F)),1,0)</f>
        <v>0</v>
      </c>
      <c r="H4552" s="3">
        <f ca="1">IF(AND(I4552&lt;&gt;I4551,ISNUMBER(SEARCH(Лист2!$B$5,I:I)),G4552=1),MAX($H$3:OFFSET(H4552,-1,0))+1,0)</f>
        <v>0</v>
      </c>
      <c r="I4552" s="3" t="s">
        <v>302</v>
      </c>
      <c r="K4552" s="2">
        <f>IF(ISNUMBER(SEARCH(Лист2!$B$4,F:F)),1,0)</f>
        <v>0</v>
      </c>
      <c r="L4552" s="14">
        <f>IF(ISNUMBER(SEARCH(Лист2!$B$5,I:I)),1,0)+K4552</f>
        <v>0</v>
      </c>
      <c r="M4552" s="3">
        <f ca="1">IF(AND(N4552&lt;&gt;N4551,ISNUMBER(SEARCH(Лист2!$B$6,N:N)),L4552=2),MAX($M$3:OFFSET(M4552,-1,0))+1,0)</f>
        <v>0</v>
      </c>
      <c r="N4552" s="3" t="s">
        <v>2241</v>
      </c>
    </row>
    <row r="4553" spans="1:14" x14ac:dyDescent="0.25">
      <c r="A4553" s="1" t="s">
        <v>13272</v>
      </c>
      <c r="B4553" s="3" t="s">
        <v>8177</v>
      </c>
      <c r="C4553" s="2">
        <f ca="1">IF(ISNUMBER(SEARCH(Лист2!$B$4,D:D)),MAX($C$3:OFFSET(C4553,-1,0))+1,0)</f>
        <v>0</v>
      </c>
      <c r="E4553" s="9" t="str">
        <f t="shared" ca="1" si="83"/>
        <v/>
      </c>
      <c r="F4553" s="4" t="s">
        <v>27</v>
      </c>
      <c r="G4553" s="2">
        <f>IF(ISNUMBER(SEARCH(Лист2!$B$4,F:F)),1,0)</f>
        <v>0</v>
      </c>
      <c r="H4553" s="3">
        <f ca="1">IF(AND(I4553&lt;&gt;I4552,ISNUMBER(SEARCH(Лист2!$B$5,I:I)),G4553=1),MAX($H$3:OFFSET(H4553,-1,0))+1,0)</f>
        <v>0</v>
      </c>
      <c r="I4553" s="3" t="s">
        <v>302</v>
      </c>
      <c r="K4553" s="2">
        <f>IF(ISNUMBER(SEARCH(Лист2!$B$4,F:F)),1,0)</f>
        <v>0</v>
      </c>
      <c r="L4553" s="14">
        <f>IF(ISNUMBER(SEARCH(Лист2!$B$5,I:I)),1,0)+K4553</f>
        <v>0</v>
      </c>
      <c r="M4553" s="3">
        <f ca="1">IF(AND(N4553&lt;&gt;N4552,ISNUMBER(SEARCH(Лист2!$B$6,N:N)),L4553=2),MAX($M$3:OFFSET(M4553,-1,0))+1,0)</f>
        <v>0</v>
      </c>
      <c r="N4553" s="3" t="s">
        <v>2830</v>
      </c>
    </row>
    <row r="4554" spans="1:14" x14ac:dyDescent="0.25">
      <c r="A4554" s="1" t="s">
        <v>13273</v>
      </c>
      <c r="B4554" s="3" t="s">
        <v>8178</v>
      </c>
      <c r="C4554" s="2">
        <f ca="1">IF(ISNUMBER(SEARCH(Лист2!$B$4,D:D)),MAX($C$3:OFFSET(C4554,-1,0))+1,0)</f>
        <v>0</v>
      </c>
      <c r="E4554" s="9" t="str">
        <f t="shared" ca="1" si="83"/>
        <v/>
      </c>
      <c r="F4554" s="4" t="s">
        <v>27</v>
      </c>
      <c r="G4554" s="2">
        <f>IF(ISNUMBER(SEARCH(Лист2!$B$4,F:F)),1,0)</f>
        <v>0</v>
      </c>
      <c r="H4554" s="3">
        <f ca="1">IF(AND(I4554&lt;&gt;I4553,ISNUMBER(SEARCH(Лист2!$B$5,I:I)),G4554=1),MAX($H$3:OFFSET(H4554,-1,0))+1,0)</f>
        <v>0</v>
      </c>
      <c r="I4554" s="3" t="s">
        <v>302</v>
      </c>
      <c r="K4554" s="2">
        <f>IF(ISNUMBER(SEARCH(Лист2!$B$4,F:F)),1,0)</f>
        <v>0</v>
      </c>
      <c r="L4554" s="14">
        <f>IF(ISNUMBER(SEARCH(Лист2!$B$5,I:I)),1,0)+K4554</f>
        <v>0</v>
      </c>
      <c r="M4554" s="3">
        <f ca="1">IF(AND(N4554&lt;&gt;N4553,ISNUMBER(SEARCH(Лист2!$B$6,N:N)),L4554=2),MAX($M$3:OFFSET(M4554,-1,0))+1,0)</f>
        <v>0</v>
      </c>
      <c r="N4554" s="3" t="s">
        <v>2243</v>
      </c>
    </row>
    <row r="4555" spans="1:14" x14ac:dyDescent="0.25">
      <c r="A4555" s="1" t="s">
        <v>13274</v>
      </c>
      <c r="B4555" s="3" t="s">
        <v>8179</v>
      </c>
      <c r="C4555" s="2">
        <f ca="1">IF(ISNUMBER(SEARCH(Лист2!$B$4,D:D)),MAX($C$3:OFFSET(C4555,-1,0))+1,0)</f>
        <v>0</v>
      </c>
      <c r="E4555" s="9" t="str">
        <f t="shared" ca="1" si="83"/>
        <v/>
      </c>
      <c r="F4555" s="4" t="s">
        <v>27</v>
      </c>
      <c r="G4555" s="2">
        <f>IF(ISNUMBER(SEARCH(Лист2!$B$4,F:F)),1,0)</f>
        <v>0</v>
      </c>
      <c r="H4555" s="3">
        <f ca="1">IF(AND(I4555&lt;&gt;I4554,ISNUMBER(SEARCH(Лист2!$B$5,I:I)),G4555=1),MAX($H$3:OFFSET(H4555,-1,0))+1,0)</f>
        <v>0</v>
      </c>
      <c r="I4555" s="3" t="s">
        <v>371</v>
      </c>
      <c r="K4555" s="2">
        <f>IF(ISNUMBER(SEARCH(Лист2!$B$4,F:F)),1,0)</f>
        <v>0</v>
      </c>
      <c r="L4555" s="14">
        <f>IF(ISNUMBER(SEARCH(Лист2!$B$5,I:I)),1,0)+K4555</f>
        <v>0</v>
      </c>
      <c r="M4555" s="3">
        <f ca="1">IF(AND(N4555&lt;&gt;N4554,ISNUMBER(SEARCH(Лист2!$B$6,N:N)),L4555=2),MAX($M$3:OFFSET(M4555,-1,0))+1,0)</f>
        <v>0</v>
      </c>
      <c r="N4555" s="3" t="s">
        <v>2831</v>
      </c>
    </row>
    <row r="4556" spans="1:14" x14ac:dyDescent="0.25">
      <c r="A4556" s="1" t="s">
        <v>13274</v>
      </c>
      <c r="B4556" s="3" t="s">
        <v>8180</v>
      </c>
      <c r="C4556" s="2">
        <f ca="1">IF(ISNUMBER(SEARCH(Лист2!$B$4,D:D)),MAX($C$3:OFFSET(C4556,-1,0))+1,0)</f>
        <v>0</v>
      </c>
      <c r="E4556" s="9" t="str">
        <f t="shared" ca="1" si="83"/>
        <v/>
      </c>
      <c r="F4556" s="4" t="s">
        <v>27</v>
      </c>
      <c r="G4556" s="2">
        <f>IF(ISNUMBER(SEARCH(Лист2!$B$4,F:F)),1,0)</f>
        <v>0</v>
      </c>
      <c r="H4556" s="3">
        <f ca="1">IF(AND(I4556&lt;&gt;I4555,ISNUMBER(SEARCH(Лист2!$B$5,I:I)),G4556=1),MAX($H$3:OFFSET(H4556,-1,0))+1,0)</f>
        <v>0</v>
      </c>
      <c r="I4556" s="3" t="s">
        <v>371</v>
      </c>
      <c r="K4556" s="2">
        <f>IF(ISNUMBER(SEARCH(Лист2!$B$4,F:F)),1,0)</f>
        <v>0</v>
      </c>
      <c r="L4556" s="14">
        <f>IF(ISNUMBER(SEARCH(Лист2!$B$5,I:I)),1,0)+K4556</f>
        <v>0</v>
      </c>
      <c r="M4556" s="3">
        <f ca="1">IF(AND(N4556&lt;&gt;N4555,ISNUMBER(SEARCH(Лист2!$B$6,N:N)),L4556=2),MAX($M$3:OFFSET(M4556,-1,0))+1,0)</f>
        <v>0</v>
      </c>
      <c r="N4556" s="3" t="s">
        <v>2831</v>
      </c>
    </row>
    <row r="4557" spans="1:14" x14ac:dyDescent="0.25">
      <c r="A4557" s="1" t="s">
        <v>13274</v>
      </c>
      <c r="B4557" s="3" t="s">
        <v>8181</v>
      </c>
      <c r="C4557" s="2">
        <f ca="1">IF(ISNUMBER(SEARCH(Лист2!$B$4,D:D)),MAX($C$3:OFFSET(C4557,-1,0))+1,0)</f>
        <v>0</v>
      </c>
      <c r="E4557" s="9" t="str">
        <f t="shared" ca="1" si="83"/>
        <v/>
      </c>
      <c r="F4557" s="4" t="s">
        <v>27</v>
      </c>
      <c r="G4557" s="2">
        <f>IF(ISNUMBER(SEARCH(Лист2!$B$4,F:F)),1,0)</f>
        <v>0</v>
      </c>
      <c r="H4557" s="3">
        <f ca="1">IF(AND(I4557&lt;&gt;I4556,ISNUMBER(SEARCH(Лист2!$B$5,I:I)),G4557=1),MAX($H$3:OFFSET(H4557,-1,0))+1,0)</f>
        <v>0</v>
      </c>
      <c r="I4557" s="3" t="s">
        <v>371</v>
      </c>
      <c r="K4557" s="2">
        <f>IF(ISNUMBER(SEARCH(Лист2!$B$4,F:F)),1,0)</f>
        <v>0</v>
      </c>
      <c r="L4557" s="14">
        <f>IF(ISNUMBER(SEARCH(Лист2!$B$5,I:I)),1,0)+K4557</f>
        <v>0</v>
      </c>
      <c r="M4557" s="3">
        <f ca="1">IF(AND(N4557&lt;&gt;N4556,ISNUMBER(SEARCH(Лист2!$B$6,N:N)),L4557=2),MAX($M$3:OFFSET(M4557,-1,0))+1,0)</f>
        <v>0</v>
      </c>
      <c r="N4557" s="3" t="s">
        <v>2831</v>
      </c>
    </row>
    <row r="4558" spans="1:14" x14ac:dyDescent="0.25">
      <c r="A4558" s="1" t="s">
        <v>13275</v>
      </c>
      <c r="B4558" s="3" t="s">
        <v>8182</v>
      </c>
      <c r="C4558" s="2">
        <f ca="1">IF(ISNUMBER(SEARCH(Лист2!$B$4,D:D)),MAX($C$3:OFFSET(C4558,-1,0))+1,0)</f>
        <v>0</v>
      </c>
      <c r="E4558" s="9" t="str">
        <f t="shared" ca="1" si="83"/>
        <v/>
      </c>
      <c r="F4558" s="4" t="s">
        <v>27</v>
      </c>
      <c r="G4558" s="2">
        <f>IF(ISNUMBER(SEARCH(Лист2!$B$4,F:F)),1,0)</f>
        <v>0</v>
      </c>
      <c r="H4558" s="3">
        <f ca="1">IF(AND(I4558&lt;&gt;I4557,ISNUMBER(SEARCH(Лист2!$B$5,I:I)),G4558=1),MAX($H$3:OFFSET(H4558,-1,0))+1,0)</f>
        <v>0</v>
      </c>
      <c r="I4558" s="3" t="s">
        <v>371</v>
      </c>
      <c r="K4558" s="2">
        <f>IF(ISNUMBER(SEARCH(Лист2!$B$4,F:F)),1,0)</f>
        <v>0</v>
      </c>
      <c r="L4558" s="14">
        <f>IF(ISNUMBER(SEARCH(Лист2!$B$5,I:I)),1,0)+K4558</f>
        <v>0</v>
      </c>
      <c r="M4558" s="3">
        <f ca="1">IF(AND(N4558&lt;&gt;N4557,ISNUMBER(SEARCH(Лист2!$B$6,N:N)),L4558=2),MAX($M$3:OFFSET(M4558,-1,0))+1,0)</f>
        <v>0</v>
      </c>
      <c r="N4558" s="3" t="s">
        <v>2832</v>
      </c>
    </row>
    <row r="4559" spans="1:14" x14ac:dyDescent="0.25">
      <c r="A4559" s="1" t="s">
        <v>13275</v>
      </c>
      <c r="B4559" s="3" t="s">
        <v>8183</v>
      </c>
      <c r="C4559" s="2">
        <f ca="1">IF(ISNUMBER(SEARCH(Лист2!$B$4,D:D)),MAX($C$3:OFFSET(C4559,-1,0))+1,0)</f>
        <v>0</v>
      </c>
      <c r="E4559" s="9" t="str">
        <f t="shared" ca="1" si="83"/>
        <v/>
      </c>
      <c r="F4559" s="4" t="s">
        <v>27</v>
      </c>
      <c r="G4559" s="2">
        <f>IF(ISNUMBER(SEARCH(Лист2!$B$4,F:F)),1,0)</f>
        <v>0</v>
      </c>
      <c r="H4559" s="3">
        <f ca="1">IF(AND(I4559&lt;&gt;I4558,ISNUMBER(SEARCH(Лист2!$B$5,I:I)),G4559=1),MAX($H$3:OFFSET(H4559,-1,0))+1,0)</f>
        <v>0</v>
      </c>
      <c r="I4559" s="3" t="s">
        <v>371</v>
      </c>
      <c r="K4559" s="2">
        <f>IF(ISNUMBER(SEARCH(Лист2!$B$4,F:F)),1,0)</f>
        <v>0</v>
      </c>
      <c r="L4559" s="14">
        <f>IF(ISNUMBER(SEARCH(Лист2!$B$5,I:I)),1,0)+K4559</f>
        <v>0</v>
      </c>
      <c r="M4559" s="3">
        <f ca="1">IF(AND(N4559&lt;&gt;N4558,ISNUMBER(SEARCH(Лист2!$B$6,N:N)),L4559=2),MAX($M$3:OFFSET(M4559,-1,0))+1,0)</f>
        <v>0</v>
      </c>
      <c r="N4559" s="3" t="s">
        <v>2832</v>
      </c>
    </row>
    <row r="4560" spans="1:14" x14ac:dyDescent="0.25">
      <c r="A4560" s="1" t="s">
        <v>13275</v>
      </c>
      <c r="B4560" s="3" t="s">
        <v>8184</v>
      </c>
      <c r="C4560" s="2">
        <f ca="1">IF(ISNUMBER(SEARCH(Лист2!$B$4,D:D)),MAX($C$3:OFFSET(C4560,-1,0))+1,0)</f>
        <v>0</v>
      </c>
      <c r="E4560" s="9" t="str">
        <f t="shared" ca="1" si="83"/>
        <v/>
      </c>
      <c r="F4560" s="4" t="s">
        <v>27</v>
      </c>
      <c r="G4560" s="2">
        <f>IF(ISNUMBER(SEARCH(Лист2!$B$4,F:F)),1,0)</f>
        <v>0</v>
      </c>
      <c r="H4560" s="3">
        <f ca="1">IF(AND(I4560&lt;&gt;I4559,ISNUMBER(SEARCH(Лист2!$B$5,I:I)),G4560=1),MAX($H$3:OFFSET(H4560,-1,0))+1,0)</f>
        <v>0</v>
      </c>
      <c r="I4560" s="3" t="s">
        <v>371</v>
      </c>
      <c r="K4560" s="2">
        <f>IF(ISNUMBER(SEARCH(Лист2!$B$4,F:F)),1,0)</f>
        <v>0</v>
      </c>
      <c r="L4560" s="14">
        <f>IF(ISNUMBER(SEARCH(Лист2!$B$5,I:I)),1,0)+K4560</f>
        <v>0</v>
      </c>
      <c r="M4560" s="3">
        <f ca="1">IF(AND(N4560&lt;&gt;N4559,ISNUMBER(SEARCH(Лист2!$B$6,N:N)),L4560=2),MAX($M$3:OFFSET(M4560,-1,0))+1,0)</f>
        <v>0</v>
      </c>
      <c r="N4560" s="3" t="s">
        <v>2832</v>
      </c>
    </row>
    <row r="4561" spans="1:14" x14ac:dyDescent="0.25">
      <c r="A4561" s="1" t="s">
        <v>13276</v>
      </c>
      <c r="B4561" s="3" t="s">
        <v>8185</v>
      </c>
      <c r="C4561" s="2">
        <f ca="1">IF(ISNUMBER(SEARCH(Лист2!$B$4,D:D)),MAX($C$3:OFFSET(C4561,-1,0))+1,0)</f>
        <v>0</v>
      </c>
      <c r="E4561" s="9" t="str">
        <f t="shared" ca="1" si="83"/>
        <v/>
      </c>
      <c r="F4561" s="4" t="s">
        <v>27</v>
      </c>
      <c r="G4561" s="2">
        <f>IF(ISNUMBER(SEARCH(Лист2!$B$4,F:F)),1,0)</f>
        <v>0</v>
      </c>
      <c r="H4561" s="3">
        <f ca="1">IF(AND(I4561&lt;&gt;I4560,ISNUMBER(SEARCH(Лист2!$B$5,I:I)),G4561=1),MAX($H$3:OFFSET(H4561,-1,0))+1,0)</f>
        <v>0</v>
      </c>
      <c r="I4561" s="3" t="s">
        <v>371</v>
      </c>
      <c r="K4561" s="2">
        <f>IF(ISNUMBER(SEARCH(Лист2!$B$4,F:F)),1,0)</f>
        <v>0</v>
      </c>
      <c r="L4561" s="14">
        <f>IF(ISNUMBER(SEARCH(Лист2!$B$5,I:I)),1,0)+K4561</f>
        <v>0</v>
      </c>
      <c r="M4561" s="3">
        <f ca="1">IF(AND(N4561&lt;&gt;N4560,ISNUMBER(SEARCH(Лист2!$B$6,N:N)),L4561=2),MAX($M$3:OFFSET(M4561,-1,0))+1,0)</f>
        <v>0</v>
      </c>
      <c r="N4561" s="3" t="s">
        <v>1385</v>
      </c>
    </row>
    <row r="4562" spans="1:14" x14ac:dyDescent="0.25">
      <c r="A4562" s="1" t="s">
        <v>13277</v>
      </c>
      <c r="B4562" s="3" t="s">
        <v>8186</v>
      </c>
      <c r="C4562" s="2">
        <f ca="1">IF(ISNUMBER(SEARCH(Лист2!$B$4,D:D)),MAX($C$3:OFFSET(C4562,-1,0))+1,0)</f>
        <v>0</v>
      </c>
      <c r="E4562" s="9" t="str">
        <f t="shared" ca="1" si="83"/>
        <v/>
      </c>
      <c r="F4562" s="4" t="s">
        <v>27</v>
      </c>
      <c r="G4562" s="2">
        <f>IF(ISNUMBER(SEARCH(Лист2!$B$4,F:F)),1,0)</f>
        <v>0</v>
      </c>
      <c r="H4562" s="3">
        <f ca="1">IF(AND(I4562&lt;&gt;I4561,ISNUMBER(SEARCH(Лист2!$B$5,I:I)),G4562=1),MAX($H$3:OFFSET(H4562,-1,0))+1,0)</f>
        <v>0</v>
      </c>
      <c r="I4562" s="3" t="s">
        <v>371</v>
      </c>
      <c r="K4562" s="2">
        <f>IF(ISNUMBER(SEARCH(Лист2!$B$4,F:F)),1,0)</f>
        <v>0</v>
      </c>
      <c r="L4562" s="14">
        <f>IF(ISNUMBER(SEARCH(Лист2!$B$5,I:I)),1,0)+K4562</f>
        <v>0</v>
      </c>
      <c r="M4562" s="3">
        <f ca="1">IF(AND(N4562&lt;&gt;N4561,ISNUMBER(SEARCH(Лист2!$B$6,N:N)),L4562=2),MAX($M$3:OFFSET(M4562,-1,0))+1,0)</f>
        <v>0</v>
      </c>
      <c r="N4562" s="3" t="s">
        <v>602</v>
      </c>
    </row>
    <row r="4563" spans="1:14" x14ac:dyDescent="0.25">
      <c r="A4563" s="1" t="s">
        <v>13278</v>
      </c>
      <c r="B4563" s="3" t="s">
        <v>8187</v>
      </c>
      <c r="C4563" s="2">
        <f ca="1">IF(ISNUMBER(SEARCH(Лист2!$B$4,D:D)),MAX($C$3:OFFSET(C4563,-1,0))+1,0)</f>
        <v>0</v>
      </c>
      <c r="E4563" s="9" t="str">
        <f t="shared" ca="1" si="83"/>
        <v/>
      </c>
      <c r="F4563" s="4" t="s">
        <v>27</v>
      </c>
      <c r="G4563" s="2">
        <f>IF(ISNUMBER(SEARCH(Лист2!$B$4,F:F)),1,0)</f>
        <v>0</v>
      </c>
      <c r="H4563" s="3">
        <f ca="1">IF(AND(I4563&lt;&gt;I4562,ISNUMBER(SEARCH(Лист2!$B$5,I:I)),G4563=1),MAX($H$3:OFFSET(H4563,-1,0))+1,0)</f>
        <v>0</v>
      </c>
      <c r="I4563" s="3" t="s">
        <v>371</v>
      </c>
      <c r="K4563" s="2">
        <f>IF(ISNUMBER(SEARCH(Лист2!$B$4,F:F)),1,0)</f>
        <v>0</v>
      </c>
      <c r="L4563" s="14">
        <f>IF(ISNUMBER(SEARCH(Лист2!$B$5,I:I)),1,0)+K4563</f>
        <v>0</v>
      </c>
      <c r="M4563" s="3">
        <f ca="1">IF(AND(N4563&lt;&gt;N4562,ISNUMBER(SEARCH(Лист2!$B$6,N:N)),L4563=2),MAX($M$3:OFFSET(M4563,-1,0))+1,0)</f>
        <v>0</v>
      </c>
      <c r="N4563" s="3" t="s">
        <v>2833</v>
      </c>
    </row>
    <row r="4564" spans="1:14" x14ac:dyDescent="0.25">
      <c r="A4564" s="1" t="s">
        <v>13279</v>
      </c>
      <c r="B4564" s="3" t="s">
        <v>8188</v>
      </c>
      <c r="C4564" s="2">
        <f ca="1">IF(ISNUMBER(SEARCH(Лист2!$B$4,D:D)),MAX($C$3:OFFSET(C4564,-1,0))+1,0)</f>
        <v>0</v>
      </c>
      <c r="E4564" s="9" t="str">
        <f t="shared" ca="1" si="83"/>
        <v/>
      </c>
      <c r="F4564" s="4" t="s">
        <v>27</v>
      </c>
      <c r="G4564" s="2">
        <f>IF(ISNUMBER(SEARCH(Лист2!$B$4,F:F)),1,0)</f>
        <v>0</v>
      </c>
      <c r="H4564" s="3">
        <f ca="1">IF(AND(I4564&lt;&gt;I4563,ISNUMBER(SEARCH(Лист2!$B$5,I:I)),G4564=1),MAX($H$3:OFFSET(H4564,-1,0))+1,0)</f>
        <v>0</v>
      </c>
      <c r="I4564" s="3" t="s">
        <v>371</v>
      </c>
      <c r="K4564" s="2">
        <f>IF(ISNUMBER(SEARCH(Лист2!$B$4,F:F)),1,0)</f>
        <v>0</v>
      </c>
      <c r="L4564" s="14">
        <f>IF(ISNUMBER(SEARCH(Лист2!$B$5,I:I)),1,0)+K4564</f>
        <v>0</v>
      </c>
      <c r="M4564" s="3">
        <f ca="1">IF(AND(N4564&lt;&gt;N4563,ISNUMBER(SEARCH(Лист2!$B$6,N:N)),L4564=2),MAX($M$3:OFFSET(M4564,-1,0))+1,0)</f>
        <v>0</v>
      </c>
      <c r="N4564" s="3" t="s">
        <v>2834</v>
      </c>
    </row>
    <row r="4565" spans="1:14" x14ac:dyDescent="0.25">
      <c r="A4565" s="1" t="s">
        <v>13280</v>
      </c>
      <c r="B4565" s="3" t="s">
        <v>8189</v>
      </c>
      <c r="C4565" s="2">
        <f ca="1">IF(ISNUMBER(SEARCH(Лист2!$B$4,D:D)),MAX($C$3:OFFSET(C4565,-1,0))+1,0)</f>
        <v>0</v>
      </c>
      <c r="E4565" s="9" t="str">
        <f t="shared" ca="1" si="83"/>
        <v/>
      </c>
      <c r="F4565" s="4" t="s">
        <v>27</v>
      </c>
      <c r="G4565" s="2">
        <f>IF(ISNUMBER(SEARCH(Лист2!$B$4,F:F)),1,0)</f>
        <v>0</v>
      </c>
      <c r="H4565" s="3">
        <f ca="1">IF(AND(I4565&lt;&gt;I4564,ISNUMBER(SEARCH(Лист2!$B$5,I:I)),G4565=1),MAX($H$3:OFFSET(H4565,-1,0))+1,0)</f>
        <v>0</v>
      </c>
      <c r="I4565" s="3" t="s">
        <v>371</v>
      </c>
      <c r="K4565" s="2">
        <f>IF(ISNUMBER(SEARCH(Лист2!$B$4,F:F)),1,0)</f>
        <v>0</v>
      </c>
      <c r="L4565" s="14">
        <f>IF(ISNUMBER(SEARCH(Лист2!$B$5,I:I)),1,0)+K4565</f>
        <v>0</v>
      </c>
      <c r="M4565" s="3">
        <f ca="1">IF(AND(N4565&lt;&gt;N4564,ISNUMBER(SEARCH(Лист2!$B$6,N:N)),L4565=2),MAX($M$3:OFFSET(M4565,-1,0))+1,0)</f>
        <v>0</v>
      </c>
      <c r="N4565" s="3" t="s">
        <v>2835</v>
      </c>
    </row>
    <row r="4566" spans="1:14" x14ac:dyDescent="0.25">
      <c r="A4566" s="1" t="s">
        <v>13281</v>
      </c>
      <c r="B4566" s="3" t="s">
        <v>8190</v>
      </c>
      <c r="C4566" s="2">
        <f ca="1">IF(ISNUMBER(SEARCH(Лист2!$B$4,D:D)),MAX($C$3:OFFSET(C4566,-1,0))+1,0)</f>
        <v>0</v>
      </c>
      <c r="E4566" s="9" t="str">
        <f t="shared" ca="1" si="83"/>
        <v/>
      </c>
      <c r="F4566" s="4" t="s">
        <v>27</v>
      </c>
      <c r="G4566" s="2">
        <f>IF(ISNUMBER(SEARCH(Лист2!$B$4,F:F)),1,0)</f>
        <v>0</v>
      </c>
      <c r="H4566" s="3">
        <f ca="1">IF(AND(I4566&lt;&gt;I4565,ISNUMBER(SEARCH(Лист2!$B$5,I:I)),G4566=1),MAX($H$3:OFFSET(H4566,-1,0))+1,0)</f>
        <v>0</v>
      </c>
      <c r="I4566" s="3" t="s">
        <v>371</v>
      </c>
      <c r="K4566" s="2">
        <f>IF(ISNUMBER(SEARCH(Лист2!$B$4,F:F)),1,0)</f>
        <v>0</v>
      </c>
      <c r="L4566" s="14">
        <f>IF(ISNUMBER(SEARCH(Лист2!$B$5,I:I)),1,0)+K4566</f>
        <v>0</v>
      </c>
      <c r="M4566" s="3">
        <f ca="1">IF(AND(N4566&lt;&gt;N4565,ISNUMBER(SEARCH(Лист2!$B$6,N:N)),L4566=2),MAX($M$3:OFFSET(M4566,-1,0))+1,0)</f>
        <v>0</v>
      </c>
      <c r="N4566" s="3" t="s">
        <v>2836</v>
      </c>
    </row>
    <row r="4567" spans="1:14" x14ac:dyDescent="0.25">
      <c r="A4567" s="1" t="s">
        <v>13282</v>
      </c>
      <c r="B4567" s="3" t="s">
        <v>8191</v>
      </c>
      <c r="C4567" s="2">
        <f ca="1">IF(ISNUMBER(SEARCH(Лист2!$B$4,D:D)),MAX($C$3:OFFSET(C4567,-1,0))+1,0)</f>
        <v>0</v>
      </c>
      <c r="E4567" s="9" t="str">
        <f t="shared" ca="1" si="83"/>
        <v/>
      </c>
      <c r="F4567" s="4" t="s">
        <v>27</v>
      </c>
      <c r="G4567" s="2">
        <f>IF(ISNUMBER(SEARCH(Лист2!$B$4,F:F)),1,0)</f>
        <v>0</v>
      </c>
      <c r="H4567" s="3">
        <f ca="1">IF(AND(I4567&lt;&gt;I4566,ISNUMBER(SEARCH(Лист2!$B$5,I:I)),G4567=1),MAX($H$3:OFFSET(H4567,-1,0))+1,0)</f>
        <v>0</v>
      </c>
      <c r="I4567" s="3" t="s">
        <v>371</v>
      </c>
      <c r="K4567" s="2">
        <f>IF(ISNUMBER(SEARCH(Лист2!$B$4,F:F)),1,0)</f>
        <v>0</v>
      </c>
      <c r="L4567" s="14">
        <f>IF(ISNUMBER(SEARCH(Лист2!$B$5,I:I)),1,0)+K4567</f>
        <v>0</v>
      </c>
      <c r="M4567" s="3">
        <f ca="1">IF(AND(N4567&lt;&gt;N4566,ISNUMBER(SEARCH(Лист2!$B$6,N:N)),L4567=2),MAX($M$3:OFFSET(M4567,-1,0))+1,0)</f>
        <v>0</v>
      </c>
      <c r="N4567" s="3" t="s">
        <v>2837</v>
      </c>
    </row>
    <row r="4568" spans="1:14" x14ac:dyDescent="0.25">
      <c r="A4568" s="1" t="s">
        <v>13283</v>
      </c>
      <c r="B4568" s="3" t="s">
        <v>8192</v>
      </c>
      <c r="C4568" s="2">
        <f ca="1">IF(ISNUMBER(SEARCH(Лист2!$B$4,D:D)),MAX($C$3:OFFSET(C4568,-1,0))+1,0)</f>
        <v>0</v>
      </c>
      <c r="E4568" s="9" t="str">
        <f t="shared" ca="1" si="83"/>
        <v/>
      </c>
      <c r="F4568" s="4" t="s">
        <v>27</v>
      </c>
      <c r="G4568" s="2">
        <f>IF(ISNUMBER(SEARCH(Лист2!$B$4,F:F)),1,0)</f>
        <v>0</v>
      </c>
      <c r="H4568" s="3">
        <f ca="1">IF(AND(I4568&lt;&gt;I4567,ISNUMBER(SEARCH(Лист2!$B$5,I:I)),G4568=1),MAX($H$3:OFFSET(H4568,-1,0))+1,0)</f>
        <v>0</v>
      </c>
      <c r="I4568" s="3" t="s">
        <v>332</v>
      </c>
      <c r="K4568" s="2">
        <f>IF(ISNUMBER(SEARCH(Лист2!$B$4,F:F)),1,0)</f>
        <v>0</v>
      </c>
      <c r="L4568" s="14">
        <f>IF(ISNUMBER(SEARCH(Лист2!$B$5,I:I)),1,0)+K4568</f>
        <v>0</v>
      </c>
      <c r="M4568" s="3">
        <f ca="1">IF(AND(N4568&lt;&gt;N4567,ISNUMBER(SEARCH(Лист2!$B$6,N:N)),L4568=2),MAX($M$3:OFFSET(M4568,-1,0))+1,0)</f>
        <v>0</v>
      </c>
      <c r="N4568" s="3" t="s">
        <v>2237</v>
      </c>
    </row>
    <row r="4569" spans="1:14" x14ac:dyDescent="0.25">
      <c r="A4569" s="1" t="s">
        <v>13283</v>
      </c>
      <c r="B4569" s="3" t="s">
        <v>8193</v>
      </c>
      <c r="C4569" s="2">
        <f ca="1">IF(ISNUMBER(SEARCH(Лист2!$B$4,D:D)),MAX($C$3:OFFSET(C4569,-1,0))+1,0)</f>
        <v>0</v>
      </c>
      <c r="E4569" s="9" t="str">
        <f t="shared" ca="1" si="83"/>
        <v/>
      </c>
      <c r="F4569" s="4" t="s">
        <v>27</v>
      </c>
      <c r="G4569" s="2">
        <f>IF(ISNUMBER(SEARCH(Лист2!$B$4,F:F)),1,0)</f>
        <v>0</v>
      </c>
      <c r="H4569" s="3">
        <f ca="1">IF(AND(I4569&lt;&gt;I4568,ISNUMBER(SEARCH(Лист2!$B$5,I:I)),G4569=1),MAX($H$3:OFFSET(H4569,-1,0))+1,0)</f>
        <v>0</v>
      </c>
      <c r="I4569" s="3" t="s">
        <v>332</v>
      </c>
      <c r="K4569" s="2">
        <f>IF(ISNUMBER(SEARCH(Лист2!$B$4,F:F)),1,0)</f>
        <v>0</v>
      </c>
      <c r="L4569" s="14">
        <f>IF(ISNUMBER(SEARCH(Лист2!$B$5,I:I)),1,0)+K4569</f>
        <v>0</v>
      </c>
      <c r="M4569" s="3">
        <f ca="1">IF(AND(N4569&lt;&gt;N4568,ISNUMBER(SEARCH(Лист2!$B$6,N:N)),L4569=2),MAX($M$3:OFFSET(M4569,-1,0))+1,0)</f>
        <v>0</v>
      </c>
      <c r="N4569" s="3" t="s">
        <v>2237</v>
      </c>
    </row>
    <row r="4570" spans="1:14" x14ac:dyDescent="0.25">
      <c r="A4570" s="1" t="s">
        <v>13283</v>
      </c>
      <c r="B4570" s="3" t="s">
        <v>8194</v>
      </c>
      <c r="C4570" s="2">
        <f ca="1">IF(ISNUMBER(SEARCH(Лист2!$B$4,D:D)),MAX($C$3:OFFSET(C4570,-1,0))+1,0)</f>
        <v>0</v>
      </c>
      <c r="E4570" s="9" t="str">
        <f t="shared" ca="1" si="83"/>
        <v/>
      </c>
      <c r="F4570" s="4" t="s">
        <v>27</v>
      </c>
      <c r="G4570" s="2">
        <f>IF(ISNUMBER(SEARCH(Лист2!$B$4,F:F)),1,0)</f>
        <v>0</v>
      </c>
      <c r="H4570" s="3">
        <f ca="1">IF(AND(I4570&lt;&gt;I4569,ISNUMBER(SEARCH(Лист2!$B$5,I:I)),G4570=1),MAX($H$3:OFFSET(H4570,-1,0))+1,0)</f>
        <v>0</v>
      </c>
      <c r="I4570" s="3" t="s">
        <v>332</v>
      </c>
      <c r="K4570" s="2">
        <f>IF(ISNUMBER(SEARCH(Лист2!$B$4,F:F)),1,0)</f>
        <v>0</v>
      </c>
      <c r="L4570" s="14">
        <f>IF(ISNUMBER(SEARCH(Лист2!$B$5,I:I)),1,0)+K4570</f>
        <v>0</v>
      </c>
      <c r="M4570" s="3">
        <f ca="1">IF(AND(N4570&lt;&gt;N4569,ISNUMBER(SEARCH(Лист2!$B$6,N:N)),L4570=2),MAX($M$3:OFFSET(M4570,-1,0))+1,0)</f>
        <v>0</v>
      </c>
      <c r="N4570" s="3" t="s">
        <v>2237</v>
      </c>
    </row>
    <row r="4571" spans="1:14" x14ac:dyDescent="0.25">
      <c r="A4571" s="1" t="s">
        <v>13284</v>
      </c>
      <c r="B4571" s="3" t="s">
        <v>8195</v>
      </c>
      <c r="C4571" s="2">
        <f ca="1">IF(ISNUMBER(SEARCH(Лист2!$B$4,D:D)),MAX($C$3:OFFSET(C4571,-1,0))+1,0)</f>
        <v>0</v>
      </c>
      <c r="E4571" s="9" t="str">
        <f t="shared" ca="1" si="83"/>
        <v/>
      </c>
      <c r="F4571" s="4" t="s">
        <v>27</v>
      </c>
      <c r="G4571" s="2">
        <f>IF(ISNUMBER(SEARCH(Лист2!$B$4,F:F)),1,0)</f>
        <v>0</v>
      </c>
      <c r="H4571" s="3">
        <f ca="1">IF(AND(I4571&lt;&gt;I4570,ISNUMBER(SEARCH(Лист2!$B$5,I:I)),G4571=1),MAX($H$3:OFFSET(H4571,-1,0))+1,0)</f>
        <v>0</v>
      </c>
      <c r="I4571" s="3" t="s">
        <v>332</v>
      </c>
      <c r="K4571" s="2">
        <f>IF(ISNUMBER(SEARCH(Лист2!$B$4,F:F)),1,0)</f>
        <v>0</v>
      </c>
      <c r="L4571" s="14">
        <f>IF(ISNUMBER(SEARCH(Лист2!$B$5,I:I)),1,0)+K4571</f>
        <v>0</v>
      </c>
      <c r="M4571" s="3">
        <f ca="1">IF(AND(N4571&lt;&gt;N4570,ISNUMBER(SEARCH(Лист2!$B$6,N:N)),L4571=2),MAX($M$3:OFFSET(M4571,-1,0))+1,0)</f>
        <v>0</v>
      </c>
      <c r="N4571" s="3" t="s">
        <v>2238</v>
      </c>
    </row>
    <row r="4572" spans="1:14" x14ac:dyDescent="0.25">
      <c r="A4572" s="1" t="s">
        <v>13284</v>
      </c>
      <c r="B4572" s="3" t="s">
        <v>8196</v>
      </c>
      <c r="C4572" s="2">
        <f ca="1">IF(ISNUMBER(SEARCH(Лист2!$B$4,D:D)),MAX($C$3:OFFSET(C4572,-1,0))+1,0)</f>
        <v>0</v>
      </c>
      <c r="E4572" s="9" t="str">
        <f t="shared" ca="1" si="83"/>
        <v/>
      </c>
      <c r="F4572" s="4" t="s">
        <v>27</v>
      </c>
      <c r="G4572" s="2">
        <f>IF(ISNUMBER(SEARCH(Лист2!$B$4,F:F)),1,0)</f>
        <v>0</v>
      </c>
      <c r="H4572" s="3">
        <f ca="1">IF(AND(I4572&lt;&gt;I4571,ISNUMBER(SEARCH(Лист2!$B$5,I:I)),G4572=1),MAX($H$3:OFFSET(H4572,-1,0))+1,0)</f>
        <v>0</v>
      </c>
      <c r="I4572" s="3" t="s">
        <v>332</v>
      </c>
      <c r="K4572" s="2">
        <f>IF(ISNUMBER(SEARCH(Лист2!$B$4,F:F)),1,0)</f>
        <v>0</v>
      </c>
      <c r="L4572" s="14">
        <f>IF(ISNUMBER(SEARCH(Лист2!$B$5,I:I)),1,0)+K4572</f>
        <v>0</v>
      </c>
      <c r="M4572" s="3">
        <f ca="1">IF(AND(N4572&lt;&gt;N4571,ISNUMBER(SEARCH(Лист2!$B$6,N:N)),L4572=2),MAX($M$3:OFFSET(M4572,-1,0))+1,0)</f>
        <v>0</v>
      </c>
      <c r="N4572" s="3" t="s">
        <v>2238</v>
      </c>
    </row>
    <row r="4573" spans="1:14" x14ac:dyDescent="0.25">
      <c r="A4573" s="1" t="s">
        <v>13284</v>
      </c>
      <c r="B4573" s="3" t="s">
        <v>8197</v>
      </c>
      <c r="C4573" s="2">
        <f ca="1">IF(ISNUMBER(SEARCH(Лист2!$B$4,D:D)),MAX($C$3:OFFSET(C4573,-1,0))+1,0)</f>
        <v>0</v>
      </c>
      <c r="E4573" s="9" t="str">
        <f t="shared" ca="1" si="83"/>
        <v/>
      </c>
      <c r="F4573" s="4" t="s">
        <v>27</v>
      </c>
      <c r="G4573" s="2">
        <f>IF(ISNUMBER(SEARCH(Лист2!$B$4,F:F)),1,0)</f>
        <v>0</v>
      </c>
      <c r="H4573" s="3">
        <f ca="1">IF(AND(I4573&lt;&gt;I4572,ISNUMBER(SEARCH(Лист2!$B$5,I:I)),G4573=1),MAX($H$3:OFFSET(H4573,-1,0))+1,0)</f>
        <v>0</v>
      </c>
      <c r="I4573" s="3" t="s">
        <v>332</v>
      </c>
      <c r="K4573" s="2">
        <f>IF(ISNUMBER(SEARCH(Лист2!$B$4,F:F)),1,0)</f>
        <v>0</v>
      </c>
      <c r="L4573" s="14">
        <f>IF(ISNUMBER(SEARCH(Лист2!$B$5,I:I)),1,0)+K4573</f>
        <v>0</v>
      </c>
      <c r="M4573" s="3">
        <f ca="1">IF(AND(N4573&lt;&gt;N4572,ISNUMBER(SEARCH(Лист2!$B$6,N:N)),L4573=2),MAX($M$3:OFFSET(M4573,-1,0))+1,0)</f>
        <v>0</v>
      </c>
      <c r="N4573" s="3" t="s">
        <v>2238</v>
      </c>
    </row>
    <row r="4574" spans="1:14" x14ac:dyDescent="0.25">
      <c r="A4574" s="1" t="s">
        <v>13285</v>
      </c>
      <c r="B4574" s="3" t="s">
        <v>8198</v>
      </c>
      <c r="C4574" s="2">
        <f ca="1">IF(ISNUMBER(SEARCH(Лист2!$B$4,D:D)),MAX($C$3:OFFSET(C4574,-1,0))+1,0)</f>
        <v>0</v>
      </c>
      <c r="E4574" s="9" t="str">
        <f t="shared" ca="1" si="83"/>
        <v/>
      </c>
      <c r="F4574" s="4" t="s">
        <v>27</v>
      </c>
      <c r="G4574" s="2">
        <f>IF(ISNUMBER(SEARCH(Лист2!$B$4,F:F)),1,0)</f>
        <v>0</v>
      </c>
      <c r="H4574" s="3">
        <f ca="1">IF(AND(I4574&lt;&gt;I4573,ISNUMBER(SEARCH(Лист2!$B$5,I:I)),G4574=1),MAX($H$3:OFFSET(H4574,-1,0))+1,0)</f>
        <v>0</v>
      </c>
      <c r="I4574" s="3" t="s">
        <v>332</v>
      </c>
      <c r="K4574" s="2">
        <f>IF(ISNUMBER(SEARCH(Лист2!$B$4,F:F)),1,0)</f>
        <v>0</v>
      </c>
      <c r="L4574" s="14">
        <f>IF(ISNUMBER(SEARCH(Лист2!$B$5,I:I)),1,0)+K4574</f>
        <v>0</v>
      </c>
      <c r="M4574" s="3">
        <f ca="1">IF(AND(N4574&lt;&gt;N4573,ISNUMBER(SEARCH(Лист2!$B$6,N:N)),L4574=2),MAX($M$3:OFFSET(M4574,-1,0))+1,0)</f>
        <v>0</v>
      </c>
      <c r="N4574" s="3" t="s">
        <v>1385</v>
      </c>
    </row>
    <row r="4575" spans="1:14" x14ac:dyDescent="0.25">
      <c r="A4575" s="1" t="s">
        <v>13286</v>
      </c>
      <c r="B4575" s="3" t="s">
        <v>8199</v>
      </c>
      <c r="C4575" s="2">
        <f ca="1">IF(ISNUMBER(SEARCH(Лист2!$B$4,D:D)),MAX($C$3:OFFSET(C4575,-1,0))+1,0)</f>
        <v>0</v>
      </c>
      <c r="E4575" s="9" t="str">
        <f t="shared" ca="1" si="83"/>
        <v/>
      </c>
      <c r="F4575" s="4" t="s">
        <v>27</v>
      </c>
      <c r="G4575" s="2">
        <f>IF(ISNUMBER(SEARCH(Лист2!$B$4,F:F)),1,0)</f>
        <v>0</v>
      </c>
      <c r="H4575" s="3">
        <f ca="1">IF(AND(I4575&lt;&gt;I4574,ISNUMBER(SEARCH(Лист2!$B$5,I:I)),G4575=1),MAX($H$3:OFFSET(H4575,-1,0))+1,0)</f>
        <v>0</v>
      </c>
      <c r="I4575" s="3" t="s">
        <v>332</v>
      </c>
      <c r="K4575" s="2">
        <f>IF(ISNUMBER(SEARCH(Лист2!$B$4,F:F)),1,0)</f>
        <v>0</v>
      </c>
      <c r="L4575" s="14">
        <f>IF(ISNUMBER(SEARCH(Лист2!$B$5,I:I)),1,0)+K4575</f>
        <v>0</v>
      </c>
      <c r="M4575" s="3">
        <f ca="1">IF(AND(N4575&lt;&gt;N4574,ISNUMBER(SEARCH(Лист2!$B$6,N:N)),L4575=2),MAX($M$3:OFFSET(M4575,-1,0))+1,0)</f>
        <v>0</v>
      </c>
      <c r="N4575" s="3" t="s">
        <v>602</v>
      </c>
    </row>
    <row r="4576" spans="1:14" x14ac:dyDescent="0.25">
      <c r="A4576" s="1" t="s">
        <v>13287</v>
      </c>
      <c r="B4576" s="3" t="s">
        <v>8200</v>
      </c>
      <c r="C4576" s="2">
        <f ca="1">IF(ISNUMBER(SEARCH(Лист2!$B$4,D:D)),MAX($C$3:OFFSET(C4576,-1,0))+1,0)</f>
        <v>0</v>
      </c>
      <c r="E4576" s="9" t="str">
        <f t="shared" ca="1" si="83"/>
        <v/>
      </c>
      <c r="F4576" s="4" t="s">
        <v>27</v>
      </c>
      <c r="G4576" s="2">
        <f>IF(ISNUMBER(SEARCH(Лист2!$B$4,F:F)),1,0)</f>
        <v>0</v>
      </c>
      <c r="H4576" s="3">
        <f ca="1">IF(AND(I4576&lt;&gt;I4575,ISNUMBER(SEARCH(Лист2!$B$5,I:I)),G4576=1),MAX($H$3:OFFSET(H4576,-1,0))+1,0)</f>
        <v>0</v>
      </c>
      <c r="I4576" s="3" t="s">
        <v>332</v>
      </c>
      <c r="K4576" s="2">
        <f>IF(ISNUMBER(SEARCH(Лист2!$B$4,F:F)),1,0)</f>
        <v>0</v>
      </c>
      <c r="L4576" s="14">
        <f>IF(ISNUMBER(SEARCH(Лист2!$B$5,I:I)),1,0)+K4576</f>
        <v>0</v>
      </c>
      <c r="M4576" s="3">
        <f ca="1">IF(AND(N4576&lt;&gt;N4575,ISNUMBER(SEARCH(Лист2!$B$6,N:N)),L4576=2),MAX($M$3:OFFSET(M4576,-1,0))+1,0)</f>
        <v>0</v>
      </c>
      <c r="N4576" s="3" t="s">
        <v>2829</v>
      </c>
    </row>
    <row r="4577" spans="1:14" x14ac:dyDescent="0.25">
      <c r="A4577" s="1" t="s">
        <v>13288</v>
      </c>
      <c r="B4577" s="3" t="s">
        <v>8201</v>
      </c>
      <c r="C4577" s="2">
        <f ca="1">IF(ISNUMBER(SEARCH(Лист2!$B$4,D:D)),MAX($C$3:OFFSET(C4577,-1,0))+1,0)</f>
        <v>0</v>
      </c>
      <c r="E4577" s="9" t="str">
        <f t="shared" ca="1" si="83"/>
        <v/>
      </c>
      <c r="F4577" s="4" t="s">
        <v>27</v>
      </c>
      <c r="G4577" s="2">
        <f>IF(ISNUMBER(SEARCH(Лист2!$B$4,F:F)),1,0)</f>
        <v>0</v>
      </c>
      <c r="H4577" s="3">
        <f ca="1">IF(AND(I4577&lt;&gt;I4576,ISNUMBER(SEARCH(Лист2!$B$5,I:I)),G4577=1),MAX($H$3:OFFSET(H4577,-1,0))+1,0)</f>
        <v>0</v>
      </c>
      <c r="I4577" s="3" t="s">
        <v>332</v>
      </c>
      <c r="K4577" s="2">
        <f>IF(ISNUMBER(SEARCH(Лист2!$B$4,F:F)),1,0)</f>
        <v>0</v>
      </c>
      <c r="L4577" s="14">
        <f>IF(ISNUMBER(SEARCH(Лист2!$B$5,I:I)),1,0)+K4577</f>
        <v>0</v>
      </c>
      <c r="M4577" s="3">
        <f ca="1">IF(AND(N4577&lt;&gt;N4576,ISNUMBER(SEARCH(Лист2!$B$6,N:N)),L4577=2),MAX($M$3:OFFSET(M4577,-1,0))+1,0)</f>
        <v>0</v>
      </c>
      <c r="N4577" s="3" t="s">
        <v>2302</v>
      </c>
    </row>
    <row r="4578" spans="1:14" x14ac:dyDescent="0.25">
      <c r="A4578" s="1" t="s">
        <v>13289</v>
      </c>
      <c r="B4578" s="3" t="s">
        <v>8202</v>
      </c>
      <c r="C4578" s="2">
        <f ca="1">IF(ISNUMBER(SEARCH(Лист2!$B$4,D:D)),MAX($C$3:OFFSET(C4578,-1,0))+1,0)</f>
        <v>0</v>
      </c>
      <c r="E4578" s="9" t="str">
        <f t="shared" ca="1" si="83"/>
        <v/>
      </c>
      <c r="F4578" s="4" t="s">
        <v>27</v>
      </c>
      <c r="G4578" s="2">
        <f>IF(ISNUMBER(SEARCH(Лист2!$B$4,F:F)),1,0)</f>
        <v>0</v>
      </c>
      <c r="H4578" s="3">
        <f ca="1">IF(AND(I4578&lt;&gt;I4577,ISNUMBER(SEARCH(Лист2!$B$5,I:I)),G4578=1),MAX($H$3:OFFSET(H4578,-1,0))+1,0)</f>
        <v>0</v>
      </c>
      <c r="I4578" s="3" t="s">
        <v>332</v>
      </c>
      <c r="K4578" s="2">
        <f>IF(ISNUMBER(SEARCH(Лист2!$B$4,F:F)),1,0)</f>
        <v>0</v>
      </c>
      <c r="L4578" s="14">
        <f>IF(ISNUMBER(SEARCH(Лист2!$B$5,I:I)),1,0)+K4578</f>
        <v>0</v>
      </c>
      <c r="M4578" s="3">
        <f ca="1">IF(AND(N4578&lt;&gt;N4577,ISNUMBER(SEARCH(Лист2!$B$6,N:N)),L4578=2),MAX($M$3:OFFSET(M4578,-1,0))+1,0)</f>
        <v>0</v>
      </c>
      <c r="N4578" s="3" t="s">
        <v>2241</v>
      </c>
    </row>
    <row r="4579" spans="1:14" x14ac:dyDescent="0.25">
      <c r="A4579" s="1" t="s">
        <v>13290</v>
      </c>
      <c r="B4579" s="3" t="s">
        <v>8203</v>
      </c>
      <c r="C4579" s="2">
        <f ca="1">IF(ISNUMBER(SEARCH(Лист2!$B$4,D:D)),MAX($C$3:OFFSET(C4579,-1,0))+1,0)</f>
        <v>0</v>
      </c>
      <c r="E4579" s="9" t="str">
        <f t="shared" ca="1" si="83"/>
        <v/>
      </c>
      <c r="F4579" s="4" t="s">
        <v>27</v>
      </c>
      <c r="G4579" s="2">
        <f>IF(ISNUMBER(SEARCH(Лист2!$B$4,F:F)),1,0)</f>
        <v>0</v>
      </c>
      <c r="H4579" s="3">
        <f ca="1">IF(AND(I4579&lt;&gt;I4578,ISNUMBER(SEARCH(Лист2!$B$5,I:I)),G4579=1),MAX($H$3:OFFSET(H4579,-1,0))+1,0)</f>
        <v>0</v>
      </c>
      <c r="I4579" s="3" t="s">
        <v>332</v>
      </c>
      <c r="K4579" s="2">
        <f>IF(ISNUMBER(SEARCH(Лист2!$B$4,F:F)),1,0)</f>
        <v>0</v>
      </c>
      <c r="L4579" s="14">
        <f>IF(ISNUMBER(SEARCH(Лист2!$B$5,I:I)),1,0)+K4579</f>
        <v>0</v>
      </c>
      <c r="M4579" s="3">
        <f ca="1">IF(AND(N4579&lt;&gt;N4578,ISNUMBER(SEARCH(Лист2!$B$6,N:N)),L4579=2),MAX($M$3:OFFSET(M4579,-1,0))+1,0)</f>
        <v>0</v>
      </c>
      <c r="N4579" s="3" t="s">
        <v>2838</v>
      </c>
    </row>
    <row r="4580" spans="1:14" x14ac:dyDescent="0.25">
      <c r="A4580" s="1" t="s">
        <v>13291</v>
      </c>
      <c r="B4580" s="3" t="s">
        <v>8204</v>
      </c>
      <c r="C4580" s="2">
        <f ca="1">IF(ISNUMBER(SEARCH(Лист2!$B$4,D:D)),MAX($C$3:OFFSET(C4580,-1,0))+1,0)</f>
        <v>0</v>
      </c>
      <c r="E4580" s="9" t="str">
        <f t="shared" ca="1" si="83"/>
        <v/>
      </c>
      <c r="F4580" s="4" t="s">
        <v>27</v>
      </c>
      <c r="G4580" s="2">
        <f>IF(ISNUMBER(SEARCH(Лист2!$B$4,F:F)),1,0)</f>
        <v>0</v>
      </c>
      <c r="H4580" s="3">
        <f ca="1">IF(AND(I4580&lt;&gt;I4579,ISNUMBER(SEARCH(Лист2!$B$5,I:I)),G4580=1),MAX($H$3:OFFSET(H4580,-1,0))+1,0)</f>
        <v>0</v>
      </c>
      <c r="I4580" s="3" t="s">
        <v>332</v>
      </c>
      <c r="K4580" s="2">
        <f>IF(ISNUMBER(SEARCH(Лист2!$B$4,F:F)),1,0)</f>
        <v>0</v>
      </c>
      <c r="L4580" s="14">
        <f>IF(ISNUMBER(SEARCH(Лист2!$B$5,I:I)),1,0)+K4580</f>
        <v>0</v>
      </c>
      <c r="M4580" s="3">
        <f ca="1">IF(AND(N4580&lt;&gt;N4579,ISNUMBER(SEARCH(Лист2!$B$6,N:N)),L4580=2),MAX($M$3:OFFSET(M4580,-1,0))+1,0)</f>
        <v>0</v>
      </c>
      <c r="N4580" s="3" t="s">
        <v>2839</v>
      </c>
    </row>
    <row r="4581" spans="1:14" x14ac:dyDescent="0.25">
      <c r="A4581" s="1" t="s">
        <v>13292</v>
      </c>
      <c r="B4581" s="3" t="s">
        <v>8205</v>
      </c>
      <c r="C4581" s="2">
        <f ca="1">IF(ISNUMBER(SEARCH(Лист2!$B$4,D:D)),MAX($C$3:OFFSET(C4581,-1,0))+1,0)</f>
        <v>0</v>
      </c>
      <c r="E4581" s="9" t="str">
        <f t="shared" ca="1" si="83"/>
        <v/>
      </c>
      <c r="F4581" s="4" t="s">
        <v>27</v>
      </c>
      <c r="G4581" s="2">
        <f>IF(ISNUMBER(SEARCH(Лист2!$B$4,F:F)),1,0)</f>
        <v>0</v>
      </c>
      <c r="H4581" s="3">
        <f ca="1">IF(AND(I4581&lt;&gt;I4580,ISNUMBER(SEARCH(Лист2!$B$5,I:I)),G4581=1),MAX($H$3:OFFSET(H4581,-1,0))+1,0)</f>
        <v>0</v>
      </c>
      <c r="I4581" s="3" t="s">
        <v>332</v>
      </c>
      <c r="K4581" s="2">
        <f>IF(ISNUMBER(SEARCH(Лист2!$B$4,F:F)),1,0)</f>
        <v>0</v>
      </c>
      <c r="L4581" s="14">
        <f>IF(ISNUMBER(SEARCH(Лист2!$B$5,I:I)),1,0)+K4581</f>
        <v>0</v>
      </c>
      <c r="M4581" s="3">
        <f ca="1">IF(AND(N4581&lt;&gt;N4580,ISNUMBER(SEARCH(Лист2!$B$6,N:N)),L4581=2),MAX($M$3:OFFSET(M4581,-1,0))+1,0)</f>
        <v>0</v>
      </c>
      <c r="N4581" s="3" t="s">
        <v>2840</v>
      </c>
    </row>
    <row r="4582" spans="1:14" x14ac:dyDescent="0.25">
      <c r="A4582" s="1" t="s">
        <v>13293</v>
      </c>
      <c r="B4582" s="3" t="s">
        <v>8206</v>
      </c>
      <c r="C4582" s="2">
        <f ca="1">IF(ISNUMBER(SEARCH(Лист2!$B$4,D:D)),MAX($C$3:OFFSET(C4582,-1,0))+1,0)</f>
        <v>0</v>
      </c>
      <c r="E4582" s="9" t="str">
        <f t="shared" ca="1" si="83"/>
        <v/>
      </c>
      <c r="F4582" s="4" t="s">
        <v>27</v>
      </c>
      <c r="G4582" s="2">
        <f>IF(ISNUMBER(SEARCH(Лист2!$B$4,F:F)),1,0)</f>
        <v>0</v>
      </c>
      <c r="H4582" s="3">
        <f ca="1">IF(AND(I4582&lt;&gt;I4581,ISNUMBER(SEARCH(Лист2!$B$5,I:I)),G4582=1),MAX($H$3:OFFSET(H4582,-1,0))+1,0)</f>
        <v>0</v>
      </c>
      <c r="I4582" s="3" t="s">
        <v>333</v>
      </c>
      <c r="K4582" s="2">
        <f>IF(ISNUMBER(SEARCH(Лист2!$B$4,F:F)),1,0)</f>
        <v>0</v>
      </c>
      <c r="L4582" s="14">
        <f>IF(ISNUMBER(SEARCH(Лист2!$B$5,I:I)),1,0)+K4582</f>
        <v>0</v>
      </c>
      <c r="M4582" s="3">
        <f ca="1">IF(AND(N4582&lt;&gt;N4581,ISNUMBER(SEARCH(Лист2!$B$6,N:N)),L4582=2),MAX($M$3:OFFSET(M4582,-1,0))+1,0)</f>
        <v>0</v>
      </c>
      <c r="N4582" s="3" t="s">
        <v>2237</v>
      </c>
    </row>
    <row r="4583" spans="1:14" x14ac:dyDescent="0.25">
      <c r="A4583" s="1" t="s">
        <v>13294</v>
      </c>
      <c r="B4583" s="3" t="s">
        <v>8207</v>
      </c>
      <c r="C4583" s="2">
        <f ca="1">IF(ISNUMBER(SEARCH(Лист2!$B$4,D:D)),MAX($C$3:OFFSET(C4583,-1,0))+1,0)</f>
        <v>0</v>
      </c>
      <c r="E4583" s="9" t="str">
        <f t="shared" ca="1" si="83"/>
        <v/>
      </c>
      <c r="F4583" s="4" t="s">
        <v>27</v>
      </c>
      <c r="G4583" s="2">
        <f>IF(ISNUMBER(SEARCH(Лист2!$B$4,F:F)),1,0)</f>
        <v>0</v>
      </c>
      <c r="H4583" s="3">
        <f ca="1">IF(AND(I4583&lt;&gt;I4582,ISNUMBER(SEARCH(Лист2!$B$5,I:I)),G4583=1),MAX($H$3:OFFSET(H4583,-1,0))+1,0)</f>
        <v>0</v>
      </c>
      <c r="I4583" s="3" t="s">
        <v>333</v>
      </c>
      <c r="K4583" s="2">
        <f>IF(ISNUMBER(SEARCH(Лист2!$B$4,F:F)),1,0)</f>
        <v>0</v>
      </c>
      <c r="L4583" s="14">
        <f>IF(ISNUMBER(SEARCH(Лист2!$B$5,I:I)),1,0)+K4583</f>
        <v>0</v>
      </c>
      <c r="M4583" s="3">
        <f ca="1">IF(AND(N4583&lt;&gt;N4582,ISNUMBER(SEARCH(Лист2!$B$6,N:N)),L4583=2),MAX($M$3:OFFSET(M4583,-1,0))+1,0)</f>
        <v>0</v>
      </c>
      <c r="N4583" s="3" t="s">
        <v>2238</v>
      </c>
    </row>
    <row r="4584" spans="1:14" x14ac:dyDescent="0.25">
      <c r="A4584" s="1" t="s">
        <v>13295</v>
      </c>
      <c r="B4584" s="3" t="s">
        <v>8208</v>
      </c>
      <c r="C4584" s="2">
        <f ca="1">IF(ISNUMBER(SEARCH(Лист2!$B$4,D:D)),MAX($C$3:OFFSET(C4584,-1,0))+1,0)</f>
        <v>0</v>
      </c>
      <c r="E4584" s="9" t="str">
        <f t="shared" ca="1" si="83"/>
        <v/>
      </c>
      <c r="F4584" s="4" t="s">
        <v>27</v>
      </c>
      <c r="G4584" s="2">
        <f>IF(ISNUMBER(SEARCH(Лист2!$B$4,F:F)),1,0)</f>
        <v>0</v>
      </c>
      <c r="H4584" s="3">
        <f ca="1">IF(AND(I4584&lt;&gt;I4583,ISNUMBER(SEARCH(Лист2!$B$5,I:I)),G4584=1),MAX($H$3:OFFSET(H4584,-1,0))+1,0)</f>
        <v>0</v>
      </c>
      <c r="I4584" s="3" t="s">
        <v>333</v>
      </c>
      <c r="K4584" s="2">
        <f>IF(ISNUMBER(SEARCH(Лист2!$B$4,F:F)),1,0)</f>
        <v>0</v>
      </c>
      <c r="L4584" s="14">
        <f>IF(ISNUMBER(SEARCH(Лист2!$B$5,I:I)),1,0)+K4584</f>
        <v>0</v>
      </c>
      <c r="M4584" s="3">
        <f ca="1">IF(AND(N4584&lt;&gt;N4583,ISNUMBER(SEARCH(Лист2!$B$6,N:N)),L4584=2),MAX($M$3:OFFSET(M4584,-1,0))+1,0)</f>
        <v>0</v>
      </c>
      <c r="N4584" s="3" t="s">
        <v>1385</v>
      </c>
    </row>
    <row r="4585" spans="1:14" x14ac:dyDescent="0.25">
      <c r="A4585" s="1" t="s">
        <v>13296</v>
      </c>
      <c r="B4585" s="3" t="s">
        <v>8209</v>
      </c>
      <c r="C4585" s="2">
        <f ca="1">IF(ISNUMBER(SEARCH(Лист2!$B$4,D:D)),MAX($C$3:OFFSET(C4585,-1,0))+1,0)</f>
        <v>0</v>
      </c>
      <c r="E4585" s="9" t="str">
        <f t="shared" ca="1" si="83"/>
        <v/>
      </c>
      <c r="F4585" s="4" t="s">
        <v>27</v>
      </c>
      <c r="G4585" s="2">
        <f>IF(ISNUMBER(SEARCH(Лист2!$B$4,F:F)),1,0)</f>
        <v>0</v>
      </c>
      <c r="H4585" s="3">
        <f ca="1">IF(AND(I4585&lt;&gt;I4584,ISNUMBER(SEARCH(Лист2!$B$5,I:I)),G4585=1),MAX($H$3:OFFSET(H4585,-1,0))+1,0)</f>
        <v>0</v>
      </c>
      <c r="I4585" s="3" t="s">
        <v>333</v>
      </c>
      <c r="K4585" s="2">
        <f>IF(ISNUMBER(SEARCH(Лист2!$B$4,F:F)),1,0)</f>
        <v>0</v>
      </c>
      <c r="L4585" s="14">
        <f>IF(ISNUMBER(SEARCH(Лист2!$B$5,I:I)),1,0)+K4585</f>
        <v>0</v>
      </c>
      <c r="M4585" s="3">
        <f ca="1">IF(AND(N4585&lt;&gt;N4584,ISNUMBER(SEARCH(Лист2!$B$6,N:N)),L4585=2),MAX($M$3:OFFSET(M4585,-1,0))+1,0)</f>
        <v>0</v>
      </c>
      <c r="N4585" s="3" t="s">
        <v>602</v>
      </c>
    </row>
    <row r="4586" spans="1:14" x14ac:dyDescent="0.25">
      <c r="A4586" s="1" t="s">
        <v>13297</v>
      </c>
      <c r="B4586" s="3" t="s">
        <v>8210</v>
      </c>
      <c r="C4586" s="2">
        <f ca="1">IF(ISNUMBER(SEARCH(Лист2!$B$4,D:D)),MAX($C$3:OFFSET(C4586,-1,0))+1,0)</f>
        <v>0</v>
      </c>
      <c r="E4586" s="9" t="str">
        <f t="shared" ca="1" si="83"/>
        <v/>
      </c>
      <c r="F4586" s="4" t="s">
        <v>27</v>
      </c>
      <c r="G4586" s="2">
        <f>IF(ISNUMBER(SEARCH(Лист2!$B$4,F:F)),1,0)</f>
        <v>0</v>
      </c>
      <c r="H4586" s="3">
        <f ca="1">IF(AND(I4586&lt;&gt;I4585,ISNUMBER(SEARCH(Лист2!$B$5,I:I)),G4586=1),MAX($H$3:OFFSET(H4586,-1,0))+1,0)</f>
        <v>0</v>
      </c>
      <c r="I4586" s="3" t="s">
        <v>333</v>
      </c>
      <c r="K4586" s="2">
        <f>IF(ISNUMBER(SEARCH(Лист2!$B$4,F:F)),1,0)</f>
        <v>0</v>
      </c>
      <c r="L4586" s="14">
        <f>IF(ISNUMBER(SEARCH(Лист2!$B$5,I:I)),1,0)+K4586</f>
        <v>0</v>
      </c>
      <c r="M4586" s="3">
        <f ca="1">IF(AND(N4586&lt;&gt;N4585,ISNUMBER(SEARCH(Лист2!$B$6,N:N)),L4586=2),MAX($M$3:OFFSET(M4586,-1,0))+1,0)</f>
        <v>0</v>
      </c>
      <c r="N4586" s="3" t="s">
        <v>2829</v>
      </c>
    </row>
    <row r="4587" spans="1:14" x14ac:dyDescent="0.25">
      <c r="A4587" s="1" t="s">
        <v>13298</v>
      </c>
      <c r="B4587" s="3" t="s">
        <v>8211</v>
      </c>
      <c r="C4587" s="2">
        <f ca="1">IF(ISNUMBER(SEARCH(Лист2!$B$4,D:D)),MAX($C$3:OFFSET(C4587,-1,0))+1,0)</f>
        <v>0</v>
      </c>
      <c r="E4587" s="9" t="str">
        <f t="shared" ca="1" si="83"/>
        <v/>
      </c>
      <c r="F4587" s="4" t="s">
        <v>27</v>
      </c>
      <c r="G4587" s="2">
        <f>IF(ISNUMBER(SEARCH(Лист2!$B$4,F:F)),1,0)</f>
        <v>0</v>
      </c>
      <c r="H4587" s="3">
        <f ca="1">IF(AND(I4587&lt;&gt;I4586,ISNUMBER(SEARCH(Лист2!$B$5,I:I)),G4587=1),MAX($H$3:OFFSET(H4587,-1,0))+1,0)</f>
        <v>0</v>
      </c>
      <c r="I4587" s="3" t="s">
        <v>333</v>
      </c>
      <c r="K4587" s="2">
        <f>IF(ISNUMBER(SEARCH(Лист2!$B$4,F:F)),1,0)</f>
        <v>0</v>
      </c>
      <c r="L4587" s="14">
        <f>IF(ISNUMBER(SEARCH(Лист2!$B$5,I:I)),1,0)+K4587</f>
        <v>0</v>
      </c>
      <c r="M4587" s="3">
        <f ca="1">IF(AND(N4587&lt;&gt;N4586,ISNUMBER(SEARCH(Лист2!$B$6,N:N)),L4587=2),MAX($M$3:OFFSET(M4587,-1,0))+1,0)</f>
        <v>0</v>
      </c>
      <c r="N4587" s="3" t="s">
        <v>2302</v>
      </c>
    </row>
    <row r="4588" spans="1:14" x14ac:dyDescent="0.25">
      <c r="A4588" s="1" t="s">
        <v>13299</v>
      </c>
      <c r="B4588" s="3" t="s">
        <v>8212</v>
      </c>
      <c r="C4588" s="2">
        <f ca="1">IF(ISNUMBER(SEARCH(Лист2!$B$4,D:D)),MAX($C$3:OFFSET(C4588,-1,0))+1,0)</f>
        <v>0</v>
      </c>
      <c r="E4588" s="9" t="str">
        <f t="shared" ca="1" si="83"/>
        <v/>
      </c>
      <c r="F4588" s="4" t="s">
        <v>27</v>
      </c>
      <c r="G4588" s="2">
        <f>IF(ISNUMBER(SEARCH(Лист2!$B$4,F:F)),1,0)</f>
        <v>0</v>
      </c>
      <c r="H4588" s="3">
        <f ca="1">IF(AND(I4588&lt;&gt;I4587,ISNUMBER(SEARCH(Лист2!$B$5,I:I)),G4588=1),MAX($H$3:OFFSET(H4588,-1,0))+1,0)</f>
        <v>0</v>
      </c>
      <c r="I4588" s="3" t="s">
        <v>333</v>
      </c>
      <c r="K4588" s="2">
        <f>IF(ISNUMBER(SEARCH(Лист2!$B$4,F:F)),1,0)</f>
        <v>0</v>
      </c>
      <c r="L4588" s="14">
        <f>IF(ISNUMBER(SEARCH(Лист2!$B$5,I:I)),1,0)+K4588</f>
        <v>0</v>
      </c>
      <c r="M4588" s="3">
        <f ca="1">IF(AND(N4588&lt;&gt;N4587,ISNUMBER(SEARCH(Лист2!$B$6,N:N)),L4588=2),MAX($M$3:OFFSET(M4588,-1,0))+1,0)</f>
        <v>0</v>
      </c>
      <c r="N4588" s="3" t="s">
        <v>2241</v>
      </c>
    </row>
    <row r="4589" spans="1:14" x14ac:dyDescent="0.25">
      <c r="A4589" s="1" t="s">
        <v>13300</v>
      </c>
      <c r="B4589" s="3" t="s">
        <v>8213</v>
      </c>
      <c r="C4589" s="2">
        <f ca="1">IF(ISNUMBER(SEARCH(Лист2!$B$4,D:D)),MAX($C$3:OFFSET(C4589,-1,0))+1,0)</f>
        <v>0</v>
      </c>
      <c r="E4589" s="9" t="str">
        <f t="shared" ca="1" si="83"/>
        <v/>
      </c>
      <c r="F4589" s="4" t="s">
        <v>27</v>
      </c>
      <c r="G4589" s="2">
        <f>IF(ISNUMBER(SEARCH(Лист2!$B$4,F:F)),1,0)</f>
        <v>0</v>
      </c>
      <c r="H4589" s="3">
        <f ca="1">IF(AND(I4589&lt;&gt;I4588,ISNUMBER(SEARCH(Лист2!$B$5,I:I)),G4589=1),MAX($H$3:OFFSET(H4589,-1,0))+1,0)</f>
        <v>0</v>
      </c>
      <c r="I4589" s="3" t="s">
        <v>333</v>
      </c>
      <c r="K4589" s="2">
        <f>IF(ISNUMBER(SEARCH(Лист2!$B$4,F:F)),1,0)</f>
        <v>0</v>
      </c>
      <c r="L4589" s="14">
        <f>IF(ISNUMBER(SEARCH(Лист2!$B$5,I:I)),1,0)+K4589</f>
        <v>0</v>
      </c>
      <c r="M4589" s="3">
        <f ca="1">IF(AND(N4589&lt;&gt;N4588,ISNUMBER(SEARCH(Лист2!$B$6,N:N)),L4589=2),MAX($M$3:OFFSET(M4589,-1,0))+1,0)</f>
        <v>0</v>
      </c>
      <c r="N4589" s="3" t="s">
        <v>2841</v>
      </c>
    </row>
    <row r="4590" spans="1:14" x14ac:dyDescent="0.25">
      <c r="A4590" s="1" t="s">
        <v>13301</v>
      </c>
      <c r="B4590" s="3" t="s">
        <v>8214</v>
      </c>
      <c r="C4590" s="2">
        <f ca="1">IF(ISNUMBER(SEARCH(Лист2!$B$4,D:D)),MAX($C$3:OFFSET(C4590,-1,0))+1,0)</f>
        <v>0</v>
      </c>
      <c r="E4590" s="9" t="str">
        <f t="shared" ca="1" si="83"/>
        <v/>
      </c>
      <c r="F4590" s="4" t="s">
        <v>27</v>
      </c>
      <c r="G4590" s="2">
        <f>IF(ISNUMBER(SEARCH(Лист2!$B$4,F:F)),1,0)</f>
        <v>0</v>
      </c>
      <c r="H4590" s="3">
        <f ca="1">IF(AND(I4590&lt;&gt;I4589,ISNUMBER(SEARCH(Лист2!$B$5,I:I)),G4590=1),MAX($H$3:OFFSET(H4590,-1,0))+1,0)</f>
        <v>0</v>
      </c>
      <c r="I4590" s="3" t="s">
        <v>333</v>
      </c>
      <c r="K4590" s="2">
        <f>IF(ISNUMBER(SEARCH(Лист2!$B$4,F:F)),1,0)</f>
        <v>0</v>
      </c>
      <c r="L4590" s="14">
        <f>IF(ISNUMBER(SEARCH(Лист2!$B$5,I:I)),1,0)+K4590</f>
        <v>0</v>
      </c>
      <c r="M4590" s="3">
        <f ca="1">IF(AND(N4590&lt;&gt;N4589,ISNUMBER(SEARCH(Лист2!$B$6,N:N)),L4590=2),MAX($M$3:OFFSET(M4590,-1,0))+1,0)</f>
        <v>0</v>
      </c>
      <c r="N4590" s="3" t="s">
        <v>2842</v>
      </c>
    </row>
    <row r="4591" spans="1:14" x14ac:dyDescent="0.25">
      <c r="A4591" s="1" t="s">
        <v>13302</v>
      </c>
      <c r="B4591" s="3" t="s">
        <v>8215</v>
      </c>
      <c r="C4591" s="2">
        <f ca="1">IF(ISNUMBER(SEARCH(Лист2!$B$4,D:D)),MAX($C$3:OFFSET(C4591,-1,0))+1,0)</f>
        <v>0</v>
      </c>
      <c r="E4591" s="9" t="str">
        <f t="shared" ca="1" si="83"/>
        <v/>
      </c>
      <c r="F4591" s="4" t="s">
        <v>27</v>
      </c>
      <c r="G4591" s="2">
        <f>IF(ISNUMBER(SEARCH(Лист2!$B$4,F:F)),1,0)</f>
        <v>0</v>
      </c>
      <c r="H4591" s="3">
        <f ca="1">IF(AND(I4591&lt;&gt;I4590,ISNUMBER(SEARCH(Лист2!$B$5,I:I)),G4591=1),MAX($H$3:OFFSET(H4591,-1,0))+1,0)</f>
        <v>0</v>
      </c>
      <c r="I4591" s="3" t="s">
        <v>269</v>
      </c>
      <c r="K4591" s="2">
        <f>IF(ISNUMBER(SEARCH(Лист2!$B$4,F:F)),1,0)</f>
        <v>0</v>
      </c>
      <c r="L4591" s="14">
        <f>IF(ISNUMBER(SEARCH(Лист2!$B$5,I:I)),1,0)+K4591</f>
        <v>0</v>
      </c>
      <c r="M4591" s="3">
        <f ca="1">IF(AND(N4591&lt;&gt;N4590,ISNUMBER(SEARCH(Лист2!$B$6,N:N)),L4591=2),MAX($M$3:OFFSET(M4591,-1,0))+1,0)</f>
        <v>0</v>
      </c>
      <c r="N4591" s="3" t="s">
        <v>2019</v>
      </c>
    </row>
    <row r="4592" spans="1:14" x14ac:dyDescent="0.25">
      <c r="A4592" s="1" t="s">
        <v>13303</v>
      </c>
      <c r="B4592" s="3" t="s">
        <v>8216</v>
      </c>
      <c r="C4592" s="2">
        <f ca="1">IF(ISNUMBER(SEARCH(Лист2!$B$4,D:D)),MAX($C$3:OFFSET(C4592,-1,0))+1,0)</f>
        <v>0</v>
      </c>
      <c r="E4592" s="9" t="str">
        <f t="shared" ca="1" si="83"/>
        <v/>
      </c>
      <c r="F4592" s="4" t="s">
        <v>27</v>
      </c>
      <c r="G4592" s="2">
        <f>IF(ISNUMBER(SEARCH(Лист2!$B$4,F:F)),1,0)</f>
        <v>0</v>
      </c>
      <c r="H4592" s="3">
        <f ca="1">IF(AND(I4592&lt;&gt;I4591,ISNUMBER(SEARCH(Лист2!$B$5,I:I)),G4592=1),MAX($H$3:OFFSET(H4592,-1,0))+1,0)</f>
        <v>0</v>
      </c>
      <c r="I4592" s="3" t="s">
        <v>269</v>
      </c>
      <c r="K4592" s="2">
        <f>IF(ISNUMBER(SEARCH(Лист2!$B$4,F:F)),1,0)</f>
        <v>0</v>
      </c>
      <c r="L4592" s="14">
        <f>IF(ISNUMBER(SEARCH(Лист2!$B$5,I:I)),1,0)+K4592</f>
        <v>0</v>
      </c>
      <c r="M4592" s="3">
        <f ca="1">IF(AND(N4592&lt;&gt;N4591,ISNUMBER(SEARCH(Лист2!$B$6,N:N)),L4592=2),MAX($M$3:OFFSET(M4592,-1,0))+1,0)</f>
        <v>0</v>
      </c>
      <c r="N4592" s="3" t="s">
        <v>2020</v>
      </c>
    </row>
    <row r="4593" spans="1:14" x14ac:dyDescent="0.25">
      <c r="A4593" s="1" t="s">
        <v>13304</v>
      </c>
      <c r="B4593" s="3" t="s">
        <v>8217</v>
      </c>
      <c r="C4593" s="2">
        <f ca="1">IF(ISNUMBER(SEARCH(Лист2!$B$4,D:D)),MAX($C$3:OFFSET(C4593,-1,0))+1,0)</f>
        <v>0</v>
      </c>
      <c r="E4593" s="9" t="str">
        <f t="shared" ca="1" si="83"/>
        <v/>
      </c>
      <c r="F4593" s="4" t="s">
        <v>27</v>
      </c>
      <c r="G4593" s="2">
        <f>IF(ISNUMBER(SEARCH(Лист2!$B$4,F:F)),1,0)</f>
        <v>0</v>
      </c>
      <c r="H4593" s="3">
        <f ca="1">IF(AND(I4593&lt;&gt;I4592,ISNUMBER(SEARCH(Лист2!$B$5,I:I)),G4593=1),MAX($H$3:OFFSET(H4593,-1,0))+1,0)</f>
        <v>0</v>
      </c>
      <c r="I4593" s="3" t="s">
        <v>269</v>
      </c>
      <c r="K4593" s="2">
        <f>IF(ISNUMBER(SEARCH(Лист2!$B$4,F:F)),1,0)</f>
        <v>0</v>
      </c>
      <c r="L4593" s="14">
        <f>IF(ISNUMBER(SEARCH(Лист2!$B$5,I:I)),1,0)+K4593</f>
        <v>0</v>
      </c>
      <c r="M4593" s="3">
        <f ca="1">IF(AND(N4593&lt;&gt;N4592,ISNUMBER(SEARCH(Лист2!$B$6,N:N)),L4593=2),MAX($M$3:OFFSET(M4593,-1,0))+1,0)</f>
        <v>0</v>
      </c>
      <c r="N4593" s="3" t="s">
        <v>1385</v>
      </c>
    </row>
    <row r="4594" spans="1:14" x14ac:dyDescent="0.25">
      <c r="A4594" s="1" t="s">
        <v>13305</v>
      </c>
      <c r="B4594" s="3" t="s">
        <v>8218</v>
      </c>
      <c r="C4594" s="2">
        <f ca="1">IF(ISNUMBER(SEARCH(Лист2!$B$4,D:D)),MAX($C$3:OFFSET(C4594,-1,0))+1,0)</f>
        <v>0</v>
      </c>
      <c r="E4594" s="9" t="str">
        <f t="shared" ca="1" si="83"/>
        <v/>
      </c>
      <c r="F4594" s="4" t="s">
        <v>27</v>
      </c>
      <c r="G4594" s="2">
        <f>IF(ISNUMBER(SEARCH(Лист2!$B$4,F:F)),1,0)</f>
        <v>0</v>
      </c>
      <c r="H4594" s="3">
        <f ca="1">IF(AND(I4594&lt;&gt;I4593,ISNUMBER(SEARCH(Лист2!$B$5,I:I)),G4594=1),MAX($H$3:OFFSET(H4594,-1,0))+1,0)</f>
        <v>0</v>
      </c>
      <c r="I4594" s="3" t="s">
        <v>269</v>
      </c>
      <c r="K4594" s="2">
        <f>IF(ISNUMBER(SEARCH(Лист2!$B$4,F:F)),1,0)</f>
        <v>0</v>
      </c>
      <c r="L4594" s="14">
        <f>IF(ISNUMBER(SEARCH(Лист2!$B$5,I:I)),1,0)+K4594</f>
        <v>0</v>
      </c>
      <c r="M4594" s="3">
        <f ca="1">IF(AND(N4594&lt;&gt;N4593,ISNUMBER(SEARCH(Лист2!$B$6,N:N)),L4594=2),MAX($M$3:OFFSET(M4594,-1,0))+1,0)</f>
        <v>0</v>
      </c>
      <c r="N4594" s="3" t="s">
        <v>602</v>
      </c>
    </row>
    <row r="4595" spans="1:14" x14ac:dyDescent="0.25">
      <c r="A4595" s="1" t="s">
        <v>13306</v>
      </c>
      <c r="B4595" s="3" t="s">
        <v>8219</v>
      </c>
      <c r="C4595" s="2">
        <f ca="1">IF(ISNUMBER(SEARCH(Лист2!$B$4,D:D)),MAX($C$3:OFFSET(C4595,-1,0))+1,0)</f>
        <v>0</v>
      </c>
      <c r="E4595" s="9" t="str">
        <f t="shared" ca="1" si="83"/>
        <v/>
      </c>
      <c r="F4595" s="4" t="s">
        <v>27</v>
      </c>
      <c r="G4595" s="2">
        <f>IF(ISNUMBER(SEARCH(Лист2!$B$4,F:F)),1,0)</f>
        <v>0</v>
      </c>
      <c r="H4595" s="3">
        <f ca="1">IF(AND(I4595&lt;&gt;I4594,ISNUMBER(SEARCH(Лист2!$B$5,I:I)),G4595=1),MAX($H$3:OFFSET(H4595,-1,0))+1,0)</f>
        <v>0</v>
      </c>
      <c r="I4595" s="3" t="s">
        <v>269</v>
      </c>
      <c r="K4595" s="2">
        <f>IF(ISNUMBER(SEARCH(Лист2!$B$4,F:F)),1,0)</f>
        <v>0</v>
      </c>
      <c r="L4595" s="14">
        <f>IF(ISNUMBER(SEARCH(Лист2!$B$5,I:I)),1,0)+K4595</f>
        <v>0</v>
      </c>
      <c r="M4595" s="3">
        <f ca="1">IF(AND(N4595&lt;&gt;N4594,ISNUMBER(SEARCH(Лист2!$B$6,N:N)),L4595=2),MAX($M$3:OFFSET(M4595,-1,0))+1,0)</f>
        <v>0</v>
      </c>
      <c r="N4595" s="3" t="s">
        <v>2843</v>
      </c>
    </row>
    <row r="4596" spans="1:14" x14ac:dyDescent="0.25">
      <c r="A4596" s="1" t="s">
        <v>13307</v>
      </c>
      <c r="B4596" s="3" t="s">
        <v>8220</v>
      </c>
      <c r="C4596" s="2">
        <f ca="1">IF(ISNUMBER(SEARCH(Лист2!$B$4,D:D)),MAX($C$3:OFFSET(C4596,-1,0))+1,0)</f>
        <v>0</v>
      </c>
      <c r="E4596" s="9" t="str">
        <f t="shared" ca="1" si="83"/>
        <v/>
      </c>
      <c r="F4596" s="4" t="s">
        <v>27</v>
      </c>
      <c r="G4596" s="2">
        <f>IF(ISNUMBER(SEARCH(Лист2!$B$4,F:F)),1,0)</f>
        <v>0</v>
      </c>
      <c r="H4596" s="3">
        <f ca="1">IF(AND(I4596&lt;&gt;I4595,ISNUMBER(SEARCH(Лист2!$B$5,I:I)),G4596=1),MAX($H$3:OFFSET(H4596,-1,0))+1,0)</f>
        <v>0</v>
      </c>
      <c r="I4596" s="3" t="s">
        <v>269</v>
      </c>
      <c r="K4596" s="2">
        <f>IF(ISNUMBER(SEARCH(Лист2!$B$4,F:F)),1,0)</f>
        <v>0</v>
      </c>
      <c r="L4596" s="14">
        <f>IF(ISNUMBER(SEARCH(Лист2!$B$5,I:I)),1,0)+K4596</f>
        <v>0</v>
      </c>
      <c r="M4596" s="3">
        <f ca="1">IF(AND(N4596&lt;&gt;N4595,ISNUMBER(SEARCH(Лист2!$B$6,N:N)),L4596=2),MAX($M$3:OFFSET(M4596,-1,0))+1,0)</f>
        <v>0</v>
      </c>
      <c r="N4596" s="3" t="s">
        <v>2844</v>
      </c>
    </row>
    <row r="4597" spans="1:14" x14ac:dyDescent="0.25">
      <c r="A4597" s="1" t="s">
        <v>13308</v>
      </c>
      <c r="B4597" s="3" t="s">
        <v>8221</v>
      </c>
      <c r="C4597" s="2">
        <f ca="1">IF(ISNUMBER(SEARCH(Лист2!$B$4,D:D)),MAX($C$3:OFFSET(C4597,-1,0))+1,0)</f>
        <v>0</v>
      </c>
      <c r="E4597" s="9" t="str">
        <f t="shared" ca="1" si="83"/>
        <v/>
      </c>
      <c r="F4597" s="4" t="s">
        <v>27</v>
      </c>
      <c r="G4597" s="2">
        <f>IF(ISNUMBER(SEARCH(Лист2!$B$4,F:F)),1,0)</f>
        <v>0</v>
      </c>
      <c r="H4597" s="3">
        <f ca="1">IF(AND(I4597&lt;&gt;I4596,ISNUMBER(SEARCH(Лист2!$B$5,I:I)),G4597=1),MAX($H$3:OFFSET(H4597,-1,0))+1,0)</f>
        <v>0</v>
      </c>
      <c r="I4597" s="3" t="s">
        <v>269</v>
      </c>
      <c r="K4597" s="2">
        <f>IF(ISNUMBER(SEARCH(Лист2!$B$4,F:F)),1,0)</f>
        <v>0</v>
      </c>
      <c r="L4597" s="14">
        <f>IF(ISNUMBER(SEARCH(Лист2!$B$5,I:I)),1,0)+K4597</f>
        <v>0</v>
      </c>
      <c r="M4597" s="3">
        <f ca="1">IF(AND(N4597&lt;&gt;N4596,ISNUMBER(SEARCH(Лист2!$B$6,N:N)),L4597=2),MAX($M$3:OFFSET(M4597,-1,0))+1,0)</f>
        <v>0</v>
      </c>
      <c r="N4597" s="3" t="s">
        <v>2023</v>
      </c>
    </row>
    <row r="4598" spans="1:14" x14ac:dyDescent="0.25">
      <c r="A4598" s="1" t="s">
        <v>13309</v>
      </c>
      <c r="B4598" s="3" t="s">
        <v>8222</v>
      </c>
      <c r="C4598" s="2">
        <f ca="1">IF(ISNUMBER(SEARCH(Лист2!$B$4,D:D)),MAX($C$3:OFFSET(C4598,-1,0))+1,0)</f>
        <v>0</v>
      </c>
      <c r="E4598" s="9" t="str">
        <f t="shared" ca="1" si="83"/>
        <v/>
      </c>
      <c r="F4598" s="4" t="s">
        <v>27</v>
      </c>
      <c r="G4598" s="2">
        <f>IF(ISNUMBER(SEARCH(Лист2!$B$4,F:F)),1,0)</f>
        <v>0</v>
      </c>
      <c r="H4598" s="3">
        <f ca="1">IF(AND(I4598&lt;&gt;I4597,ISNUMBER(SEARCH(Лист2!$B$5,I:I)),G4598=1),MAX($H$3:OFFSET(H4598,-1,0))+1,0)</f>
        <v>0</v>
      </c>
      <c r="I4598" s="3" t="s">
        <v>269</v>
      </c>
      <c r="K4598" s="2">
        <f>IF(ISNUMBER(SEARCH(Лист2!$B$4,F:F)),1,0)</f>
        <v>0</v>
      </c>
      <c r="L4598" s="14">
        <f>IF(ISNUMBER(SEARCH(Лист2!$B$5,I:I)),1,0)+K4598</f>
        <v>0</v>
      </c>
      <c r="M4598" s="3">
        <f ca="1">IF(AND(N4598&lt;&gt;N4597,ISNUMBER(SEARCH(Лист2!$B$6,N:N)),L4598=2),MAX($M$3:OFFSET(M4598,-1,0))+1,0)</f>
        <v>0</v>
      </c>
      <c r="N4598" s="3" t="s">
        <v>2845</v>
      </c>
    </row>
    <row r="4599" spans="1:14" x14ac:dyDescent="0.25">
      <c r="A4599" s="1" t="s">
        <v>13310</v>
      </c>
      <c r="B4599" s="3" t="s">
        <v>8223</v>
      </c>
      <c r="C4599" s="2">
        <f ca="1">IF(ISNUMBER(SEARCH(Лист2!$B$4,D:D)),MAX($C$3:OFFSET(C4599,-1,0))+1,0)</f>
        <v>0</v>
      </c>
      <c r="E4599" s="9" t="str">
        <f t="shared" ca="1" si="83"/>
        <v/>
      </c>
      <c r="F4599" s="4" t="s">
        <v>27</v>
      </c>
      <c r="G4599" s="2">
        <f>IF(ISNUMBER(SEARCH(Лист2!$B$4,F:F)),1,0)</f>
        <v>0</v>
      </c>
      <c r="H4599" s="3">
        <f ca="1">IF(AND(I4599&lt;&gt;I4598,ISNUMBER(SEARCH(Лист2!$B$5,I:I)),G4599=1),MAX($H$3:OFFSET(H4599,-1,0))+1,0)</f>
        <v>0</v>
      </c>
      <c r="I4599" s="3" t="s">
        <v>269</v>
      </c>
      <c r="K4599" s="2">
        <f>IF(ISNUMBER(SEARCH(Лист2!$B$4,F:F)),1,0)</f>
        <v>0</v>
      </c>
      <c r="L4599" s="14">
        <f>IF(ISNUMBER(SEARCH(Лист2!$B$5,I:I)),1,0)+K4599</f>
        <v>0</v>
      </c>
      <c r="M4599" s="3">
        <f ca="1">IF(AND(N4599&lt;&gt;N4598,ISNUMBER(SEARCH(Лист2!$B$6,N:N)),L4599=2),MAX($M$3:OFFSET(M4599,-1,0))+1,0)</f>
        <v>0</v>
      </c>
      <c r="N4599" s="3" t="s">
        <v>2846</v>
      </c>
    </row>
    <row r="4600" spans="1:14" x14ac:dyDescent="0.25">
      <c r="A4600" s="1" t="s">
        <v>13311</v>
      </c>
      <c r="B4600" s="3" t="s">
        <v>8224</v>
      </c>
      <c r="C4600" s="2">
        <f ca="1">IF(ISNUMBER(SEARCH(Лист2!$B$4,D:D)),MAX($C$3:OFFSET(C4600,-1,0))+1,0)</f>
        <v>0</v>
      </c>
      <c r="E4600" s="9" t="str">
        <f t="shared" ca="1" si="83"/>
        <v/>
      </c>
      <c r="F4600" s="4" t="s">
        <v>27</v>
      </c>
      <c r="G4600" s="2">
        <f>IF(ISNUMBER(SEARCH(Лист2!$B$4,F:F)),1,0)</f>
        <v>0</v>
      </c>
      <c r="H4600" s="3">
        <f ca="1">IF(AND(I4600&lt;&gt;I4599,ISNUMBER(SEARCH(Лист2!$B$5,I:I)),G4600=1),MAX($H$3:OFFSET(H4600,-1,0))+1,0)</f>
        <v>0</v>
      </c>
      <c r="I4600" s="3" t="s">
        <v>372</v>
      </c>
      <c r="K4600" s="2">
        <f>IF(ISNUMBER(SEARCH(Лист2!$B$4,F:F)),1,0)</f>
        <v>0</v>
      </c>
      <c r="L4600" s="14">
        <f>IF(ISNUMBER(SEARCH(Лист2!$B$5,I:I)),1,0)+K4600</f>
        <v>0</v>
      </c>
      <c r="M4600" s="3">
        <f ca="1">IF(AND(N4600&lt;&gt;N4599,ISNUMBER(SEARCH(Лист2!$B$6,N:N)),L4600=2),MAX($M$3:OFFSET(M4600,-1,0))+1,0)</f>
        <v>0</v>
      </c>
      <c r="N4600" s="3" t="s">
        <v>2847</v>
      </c>
    </row>
    <row r="4601" spans="1:14" x14ac:dyDescent="0.25">
      <c r="A4601" s="1" t="s">
        <v>13311</v>
      </c>
      <c r="B4601" s="3" t="s">
        <v>8225</v>
      </c>
      <c r="C4601" s="2">
        <f ca="1">IF(ISNUMBER(SEARCH(Лист2!$B$4,D:D)),MAX($C$3:OFFSET(C4601,-1,0))+1,0)</f>
        <v>0</v>
      </c>
      <c r="E4601" s="9" t="str">
        <f t="shared" ca="1" si="83"/>
        <v/>
      </c>
      <c r="F4601" s="4" t="s">
        <v>27</v>
      </c>
      <c r="G4601" s="2">
        <f>IF(ISNUMBER(SEARCH(Лист2!$B$4,F:F)),1,0)</f>
        <v>0</v>
      </c>
      <c r="H4601" s="3">
        <f ca="1">IF(AND(I4601&lt;&gt;I4600,ISNUMBER(SEARCH(Лист2!$B$5,I:I)),G4601=1),MAX($H$3:OFFSET(H4601,-1,0))+1,0)</f>
        <v>0</v>
      </c>
      <c r="I4601" s="3" t="s">
        <v>372</v>
      </c>
      <c r="K4601" s="2">
        <f>IF(ISNUMBER(SEARCH(Лист2!$B$4,F:F)),1,0)</f>
        <v>0</v>
      </c>
      <c r="L4601" s="14">
        <f>IF(ISNUMBER(SEARCH(Лист2!$B$5,I:I)),1,0)+K4601</f>
        <v>0</v>
      </c>
      <c r="M4601" s="3">
        <f ca="1">IF(AND(N4601&lt;&gt;N4600,ISNUMBER(SEARCH(Лист2!$B$6,N:N)),L4601=2),MAX($M$3:OFFSET(M4601,-1,0))+1,0)</f>
        <v>0</v>
      </c>
      <c r="N4601" s="3" t="s">
        <v>2847</v>
      </c>
    </row>
    <row r="4602" spans="1:14" x14ac:dyDescent="0.25">
      <c r="A4602" s="1" t="s">
        <v>13311</v>
      </c>
      <c r="B4602" s="3" t="s">
        <v>8226</v>
      </c>
      <c r="C4602" s="2">
        <f ca="1">IF(ISNUMBER(SEARCH(Лист2!$B$4,D:D)),MAX($C$3:OFFSET(C4602,-1,0))+1,0)</f>
        <v>0</v>
      </c>
      <c r="E4602" s="9" t="str">
        <f t="shared" ca="1" si="83"/>
        <v/>
      </c>
      <c r="F4602" s="4" t="s">
        <v>27</v>
      </c>
      <c r="G4602" s="2">
        <f>IF(ISNUMBER(SEARCH(Лист2!$B$4,F:F)),1,0)</f>
        <v>0</v>
      </c>
      <c r="H4602" s="3">
        <f ca="1">IF(AND(I4602&lt;&gt;I4601,ISNUMBER(SEARCH(Лист2!$B$5,I:I)),G4602=1),MAX($H$3:OFFSET(H4602,-1,0))+1,0)</f>
        <v>0</v>
      </c>
      <c r="I4602" s="3" t="s">
        <v>372</v>
      </c>
      <c r="K4602" s="2">
        <f>IF(ISNUMBER(SEARCH(Лист2!$B$4,F:F)),1,0)</f>
        <v>0</v>
      </c>
      <c r="L4602" s="14">
        <f>IF(ISNUMBER(SEARCH(Лист2!$B$5,I:I)),1,0)+K4602</f>
        <v>0</v>
      </c>
      <c r="M4602" s="3">
        <f ca="1">IF(AND(N4602&lt;&gt;N4601,ISNUMBER(SEARCH(Лист2!$B$6,N:N)),L4602=2),MAX($M$3:OFFSET(M4602,-1,0))+1,0)</f>
        <v>0</v>
      </c>
      <c r="N4602" s="3" t="s">
        <v>2847</v>
      </c>
    </row>
    <row r="4603" spans="1:14" x14ac:dyDescent="0.25">
      <c r="A4603" s="1" t="s">
        <v>13312</v>
      </c>
      <c r="B4603" s="3" t="s">
        <v>8227</v>
      </c>
      <c r="C4603" s="2">
        <f ca="1">IF(ISNUMBER(SEARCH(Лист2!$B$4,D:D)),MAX($C$3:OFFSET(C4603,-1,0))+1,0)</f>
        <v>0</v>
      </c>
      <c r="E4603" s="9" t="str">
        <f t="shared" ca="1" si="83"/>
        <v/>
      </c>
      <c r="F4603" s="4" t="s">
        <v>27</v>
      </c>
      <c r="G4603" s="2">
        <f>IF(ISNUMBER(SEARCH(Лист2!$B$4,F:F)),1,0)</f>
        <v>0</v>
      </c>
      <c r="H4603" s="3">
        <f ca="1">IF(AND(I4603&lt;&gt;I4602,ISNUMBER(SEARCH(Лист2!$B$5,I:I)),G4603=1),MAX($H$3:OFFSET(H4603,-1,0))+1,0)</f>
        <v>0</v>
      </c>
      <c r="I4603" s="3" t="s">
        <v>372</v>
      </c>
      <c r="K4603" s="2">
        <f>IF(ISNUMBER(SEARCH(Лист2!$B$4,F:F)),1,0)</f>
        <v>0</v>
      </c>
      <c r="L4603" s="14">
        <f>IF(ISNUMBER(SEARCH(Лист2!$B$5,I:I)),1,0)+K4603</f>
        <v>0</v>
      </c>
      <c r="M4603" s="3">
        <f ca="1">IF(AND(N4603&lt;&gt;N4602,ISNUMBER(SEARCH(Лист2!$B$6,N:N)),L4603=2),MAX($M$3:OFFSET(M4603,-1,0))+1,0)</f>
        <v>0</v>
      </c>
      <c r="N4603" s="3" t="s">
        <v>2848</v>
      </c>
    </row>
    <row r="4604" spans="1:14" x14ac:dyDescent="0.25">
      <c r="A4604" s="1" t="s">
        <v>13312</v>
      </c>
      <c r="B4604" s="3" t="s">
        <v>8228</v>
      </c>
      <c r="C4604" s="2">
        <f ca="1">IF(ISNUMBER(SEARCH(Лист2!$B$4,D:D)),MAX($C$3:OFFSET(C4604,-1,0))+1,0)</f>
        <v>0</v>
      </c>
      <c r="E4604" s="9" t="str">
        <f t="shared" ca="1" si="83"/>
        <v/>
      </c>
      <c r="F4604" s="4" t="s">
        <v>27</v>
      </c>
      <c r="G4604" s="2">
        <f>IF(ISNUMBER(SEARCH(Лист2!$B$4,F:F)),1,0)</f>
        <v>0</v>
      </c>
      <c r="H4604" s="3">
        <f ca="1">IF(AND(I4604&lt;&gt;I4603,ISNUMBER(SEARCH(Лист2!$B$5,I:I)),G4604=1),MAX($H$3:OFFSET(H4604,-1,0))+1,0)</f>
        <v>0</v>
      </c>
      <c r="I4604" s="3" t="s">
        <v>372</v>
      </c>
      <c r="K4604" s="2">
        <f>IF(ISNUMBER(SEARCH(Лист2!$B$4,F:F)),1,0)</f>
        <v>0</v>
      </c>
      <c r="L4604" s="14">
        <f>IF(ISNUMBER(SEARCH(Лист2!$B$5,I:I)),1,0)+K4604</f>
        <v>0</v>
      </c>
      <c r="M4604" s="3">
        <f ca="1">IF(AND(N4604&lt;&gt;N4603,ISNUMBER(SEARCH(Лист2!$B$6,N:N)),L4604=2),MAX($M$3:OFFSET(M4604,-1,0))+1,0)</f>
        <v>0</v>
      </c>
      <c r="N4604" s="3" t="s">
        <v>2848</v>
      </c>
    </row>
    <row r="4605" spans="1:14" x14ac:dyDescent="0.25">
      <c r="A4605" s="1" t="s">
        <v>13312</v>
      </c>
      <c r="B4605" s="3" t="s">
        <v>8229</v>
      </c>
      <c r="C4605" s="2">
        <f ca="1">IF(ISNUMBER(SEARCH(Лист2!$B$4,D:D)),MAX($C$3:OFFSET(C4605,-1,0))+1,0)</f>
        <v>0</v>
      </c>
      <c r="E4605" s="9" t="str">
        <f t="shared" ca="1" si="83"/>
        <v/>
      </c>
      <c r="F4605" s="4" t="s">
        <v>27</v>
      </c>
      <c r="G4605" s="2">
        <f>IF(ISNUMBER(SEARCH(Лист2!$B$4,F:F)),1,0)</f>
        <v>0</v>
      </c>
      <c r="H4605" s="3">
        <f ca="1">IF(AND(I4605&lt;&gt;I4604,ISNUMBER(SEARCH(Лист2!$B$5,I:I)),G4605=1),MAX($H$3:OFFSET(H4605,-1,0))+1,0)</f>
        <v>0</v>
      </c>
      <c r="I4605" s="3" t="s">
        <v>372</v>
      </c>
      <c r="K4605" s="2">
        <f>IF(ISNUMBER(SEARCH(Лист2!$B$4,F:F)),1,0)</f>
        <v>0</v>
      </c>
      <c r="L4605" s="14">
        <f>IF(ISNUMBER(SEARCH(Лист2!$B$5,I:I)),1,0)+K4605</f>
        <v>0</v>
      </c>
      <c r="M4605" s="3">
        <f ca="1">IF(AND(N4605&lt;&gt;N4604,ISNUMBER(SEARCH(Лист2!$B$6,N:N)),L4605=2),MAX($M$3:OFFSET(M4605,-1,0))+1,0)</f>
        <v>0</v>
      </c>
      <c r="N4605" s="3" t="s">
        <v>2848</v>
      </c>
    </row>
    <row r="4606" spans="1:14" x14ac:dyDescent="0.25">
      <c r="A4606" s="1" t="s">
        <v>13313</v>
      </c>
      <c r="B4606" s="3" t="s">
        <v>8230</v>
      </c>
      <c r="C4606" s="2">
        <f ca="1">IF(ISNUMBER(SEARCH(Лист2!$B$4,D:D)),MAX($C$3:OFFSET(C4606,-1,0))+1,0)</f>
        <v>0</v>
      </c>
      <c r="E4606" s="9" t="str">
        <f t="shared" ca="1" si="83"/>
        <v/>
      </c>
      <c r="F4606" s="4" t="s">
        <v>27</v>
      </c>
      <c r="G4606" s="2">
        <f>IF(ISNUMBER(SEARCH(Лист2!$B$4,F:F)),1,0)</f>
        <v>0</v>
      </c>
      <c r="H4606" s="3">
        <f ca="1">IF(AND(I4606&lt;&gt;I4605,ISNUMBER(SEARCH(Лист2!$B$5,I:I)),G4606=1),MAX($H$3:OFFSET(H4606,-1,0))+1,0)</f>
        <v>0</v>
      </c>
      <c r="I4606" s="3" t="s">
        <v>372</v>
      </c>
      <c r="K4606" s="2">
        <f>IF(ISNUMBER(SEARCH(Лист2!$B$4,F:F)),1,0)</f>
        <v>0</v>
      </c>
      <c r="L4606" s="14">
        <f>IF(ISNUMBER(SEARCH(Лист2!$B$5,I:I)),1,0)+K4606</f>
        <v>0</v>
      </c>
      <c r="M4606" s="3">
        <f ca="1">IF(AND(N4606&lt;&gt;N4605,ISNUMBER(SEARCH(Лист2!$B$6,N:N)),L4606=2),MAX($M$3:OFFSET(M4606,-1,0))+1,0)</f>
        <v>0</v>
      </c>
      <c r="N4606" s="3" t="s">
        <v>1385</v>
      </c>
    </row>
    <row r="4607" spans="1:14" x14ac:dyDescent="0.25">
      <c r="A4607" s="1" t="s">
        <v>13314</v>
      </c>
      <c r="B4607" s="3" t="s">
        <v>8231</v>
      </c>
      <c r="C4607" s="2">
        <f ca="1">IF(ISNUMBER(SEARCH(Лист2!$B$4,D:D)),MAX($C$3:OFFSET(C4607,-1,0))+1,0)</f>
        <v>0</v>
      </c>
      <c r="E4607" s="9" t="str">
        <f t="shared" ca="1" si="83"/>
        <v/>
      </c>
      <c r="F4607" s="4" t="s">
        <v>27</v>
      </c>
      <c r="G4607" s="2">
        <f>IF(ISNUMBER(SEARCH(Лист2!$B$4,F:F)),1,0)</f>
        <v>0</v>
      </c>
      <c r="H4607" s="3">
        <f ca="1">IF(AND(I4607&lt;&gt;I4606,ISNUMBER(SEARCH(Лист2!$B$5,I:I)),G4607=1),MAX($H$3:OFFSET(H4607,-1,0))+1,0)</f>
        <v>0</v>
      </c>
      <c r="I4607" s="3" t="s">
        <v>372</v>
      </c>
      <c r="K4607" s="2">
        <f>IF(ISNUMBER(SEARCH(Лист2!$B$4,F:F)),1,0)</f>
        <v>0</v>
      </c>
      <c r="L4607" s="14">
        <f>IF(ISNUMBER(SEARCH(Лист2!$B$5,I:I)),1,0)+K4607</f>
        <v>0</v>
      </c>
      <c r="M4607" s="3">
        <f ca="1">IF(AND(N4607&lt;&gt;N4606,ISNUMBER(SEARCH(Лист2!$B$6,N:N)),L4607=2),MAX($M$3:OFFSET(M4607,-1,0))+1,0)</f>
        <v>0</v>
      </c>
      <c r="N4607" s="3" t="s">
        <v>602</v>
      </c>
    </row>
    <row r="4608" spans="1:14" x14ac:dyDescent="0.25">
      <c r="A4608" s="1" t="s">
        <v>13315</v>
      </c>
      <c r="B4608" s="3" t="s">
        <v>8232</v>
      </c>
      <c r="C4608" s="2">
        <f ca="1">IF(ISNUMBER(SEARCH(Лист2!$B$4,D:D)),MAX($C$3:OFFSET(C4608,-1,0))+1,0)</f>
        <v>0</v>
      </c>
      <c r="E4608" s="9" t="str">
        <f t="shared" ca="1" si="83"/>
        <v/>
      </c>
      <c r="F4608" s="4" t="s">
        <v>27</v>
      </c>
      <c r="G4608" s="2">
        <f>IF(ISNUMBER(SEARCH(Лист2!$B$4,F:F)),1,0)</f>
        <v>0</v>
      </c>
      <c r="H4608" s="3">
        <f ca="1">IF(AND(I4608&lt;&gt;I4607,ISNUMBER(SEARCH(Лист2!$B$5,I:I)),G4608=1),MAX($H$3:OFFSET(H4608,-1,0))+1,0)</f>
        <v>0</v>
      </c>
      <c r="I4608" s="3" t="s">
        <v>372</v>
      </c>
      <c r="K4608" s="2">
        <f>IF(ISNUMBER(SEARCH(Лист2!$B$4,F:F)),1,0)</f>
        <v>0</v>
      </c>
      <c r="L4608" s="14">
        <f>IF(ISNUMBER(SEARCH(Лист2!$B$5,I:I)),1,0)+K4608</f>
        <v>0</v>
      </c>
      <c r="M4608" s="3">
        <f ca="1">IF(AND(N4608&lt;&gt;N4607,ISNUMBER(SEARCH(Лист2!$B$6,N:N)),L4608=2),MAX($M$3:OFFSET(M4608,-1,0))+1,0)</f>
        <v>0</v>
      </c>
      <c r="N4608" s="3" t="s">
        <v>2849</v>
      </c>
    </row>
    <row r="4609" spans="1:14" x14ac:dyDescent="0.25">
      <c r="A4609" s="1" t="s">
        <v>13316</v>
      </c>
      <c r="B4609" s="3" t="s">
        <v>8233</v>
      </c>
      <c r="C4609" s="2">
        <f ca="1">IF(ISNUMBER(SEARCH(Лист2!$B$4,D:D)),MAX($C$3:OFFSET(C4609,-1,0))+1,0)</f>
        <v>0</v>
      </c>
      <c r="E4609" s="9" t="str">
        <f t="shared" ca="1" si="83"/>
        <v/>
      </c>
      <c r="F4609" s="4" t="s">
        <v>27</v>
      </c>
      <c r="G4609" s="2">
        <f>IF(ISNUMBER(SEARCH(Лист2!$B$4,F:F)),1,0)</f>
        <v>0</v>
      </c>
      <c r="H4609" s="3">
        <f ca="1">IF(AND(I4609&lt;&gt;I4608,ISNUMBER(SEARCH(Лист2!$B$5,I:I)),G4609=1),MAX($H$3:OFFSET(H4609,-1,0))+1,0)</f>
        <v>0</v>
      </c>
      <c r="I4609" s="3" t="s">
        <v>372</v>
      </c>
      <c r="K4609" s="2">
        <f>IF(ISNUMBER(SEARCH(Лист2!$B$4,F:F)),1,0)</f>
        <v>0</v>
      </c>
      <c r="L4609" s="14">
        <f>IF(ISNUMBER(SEARCH(Лист2!$B$5,I:I)),1,0)+K4609</f>
        <v>0</v>
      </c>
      <c r="M4609" s="3">
        <f ca="1">IF(AND(N4609&lt;&gt;N4608,ISNUMBER(SEARCH(Лист2!$B$6,N:N)),L4609=2),MAX($M$3:OFFSET(M4609,-1,0))+1,0)</f>
        <v>0</v>
      </c>
      <c r="N4609" s="3" t="s">
        <v>2850</v>
      </c>
    </row>
    <row r="4610" spans="1:14" x14ac:dyDescent="0.25">
      <c r="A4610" s="1" t="s">
        <v>13317</v>
      </c>
      <c r="B4610" s="3" t="s">
        <v>8234</v>
      </c>
      <c r="C4610" s="2">
        <f ca="1">IF(ISNUMBER(SEARCH(Лист2!$B$4,D:D)),MAX($C$3:OFFSET(C4610,-1,0))+1,0)</f>
        <v>0</v>
      </c>
      <c r="E4610" s="9" t="str">
        <f t="shared" ca="1" si="83"/>
        <v/>
      </c>
      <c r="F4610" s="4" t="s">
        <v>27</v>
      </c>
      <c r="G4610" s="2">
        <f>IF(ISNUMBER(SEARCH(Лист2!$B$4,F:F)),1,0)</f>
        <v>0</v>
      </c>
      <c r="H4610" s="3">
        <f ca="1">IF(AND(I4610&lt;&gt;I4609,ISNUMBER(SEARCH(Лист2!$B$5,I:I)),G4610=1),MAX($H$3:OFFSET(H4610,-1,0))+1,0)</f>
        <v>0</v>
      </c>
      <c r="I4610" s="3" t="s">
        <v>372</v>
      </c>
      <c r="K4610" s="2">
        <f>IF(ISNUMBER(SEARCH(Лист2!$B$4,F:F)),1,0)</f>
        <v>0</v>
      </c>
      <c r="L4610" s="14">
        <f>IF(ISNUMBER(SEARCH(Лист2!$B$5,I:I)),1,0)+K4610</f>
        <v>0</v>
      </c>
      <c r="M4610" s="3">
        <f ca="1">IF(AND(N4610&lt;&gt;N4609,ISNUMBER(SEARCH(Лист2!$B$6,N:N)),L4610=2),MAX($M$3:OFFSET(M4610,-1,0))+1,0)</f>
        <v>0</v>
      </c>
      <c r="N4610" s="3" t="s">
        <v>2851</v>
      </c>
    </row>
    <row r="4611" spans="1:14" x14ac:dyDescent="0.25">
      <c r="A4611" s="1" t="s">
        <v>13318</v>
      </c>
      <c r="B4611" s="3" t="s">
        <v>8235</v>
      </c>
      <c r="C4611" s="2">
        <f ca="1">IF(ISNUMBER(SEARCH(Лист2!$B$4,D:D)),MAX($C$3:OFFSET(C4611,-1,0))+1,0)</f>
        <v>0</v>
      </c>
      <c r="E4611" s="9" t="str">
        <f t="shared" ca="1" si="83"/>
        <v/>
      </c>
      <c r="F4611" s="4" t="s">
        <v>27</v>
      </c>
      <c r="G4611" s="2">
        <f>IF(ISNUMBER(SEARCH(Лист2!$B$4,F:F)),1,0)</f>
        <v>0</v>
      </c>
      <c r="H4611" s="3">
        <f ca="1">IF(AND(I4611&lt;&gt;I4610,ISNUMBER(SEARCH(Лист2!$B$5,I:I)),G4611=1),MAX($H$3:OFFSET(H4611,-1,0))+1,0)</f>
        <v>0</v>
      </c>
      <c r="I4611" s="3" t="s">
        <v>372</v>
      </c>
      <c r="K4611" s="2">
        <f>IF(ISNUMBER(SEARCH(Лист2!$B$4,F:F)),1,0)</f>
        <v>0</v>
      </c>
      <c r="L4611" s="14">
        <f>IF(ISNUMBER(SEARCH(Лист2!$B$5,I:I)),1,0)+K4611</f>
        <v>0</v>
      </c>
      <c r="M4611" s="3">
        <f ca="1">IF(AND(N4611&lt;&gt;N4610,ISNUMBER(SEARCH(Лист2!$B$6,N:N)),L4611=2),MAX($M$3:OFFSET(M4611,-1,0))+1,0)</f>
        <v>0</v>
      </c>
      <c r="N4611" s="3" t="s">
        <v>2852</v>
      </c>
    </row>
    <row r="4612" spans="1:14" x14ac:dyDescent="0.25">
      <c r="A4612" s="1" t="s">
        <v>13319</v>
      </c>
      <c r="B4612" s="3" t="s">
        <v>8236</v>
      </c>
      <c r="C4612" s="2">
        <f ca="1">IF(ISNUMBER(SEARCH(Лист2!$B$4,D:D)),MAX($C$3:OFFSET(C4612,-1,0))+1,0)</f>
        <v>0</v>
      </c>
      <c r="E4612" s="9" t="str">
        <f t="shared" ca="1" si="83"/>
        <v/>
      </c>
      <c r="F4612" s="4" t="s">
        <v>27</v>
      </c>
      <c r="G4612" s="2">
        <f>IF(ISNUMBER(SEARCH(Лист2!$B$4,F:F)),1,0)</f>
        <v>0</v>
      </c>
      <c r="H4612" s="3">
        <f ca="1">IF(AND(I4612&lt;&gt;I4611,ISNUMBER(SEARCH(Лист2!$B$5,I:I)),G4612=1),MAX($H$3:OFFSET(H4612,-1,0))+1,0)</f>
        <v>0</v>
      </c>
      <c r="I4612" s="3" t="s">
        <v>372</v>
      </c>
      <c r="K4612" s="2">
        <f>IF(ISNUMBER(SEARCH(Лист2!$B$4,F:F)),1,0)</f>
        <v>0</v>
      </c>
      <c r="L4612" s="14">
        <f>IF(ISNUMBER(SEARCH(Лист2!$B$5,I:I)),1,0)+K4612</f>
        <v>0</v>
      </c>
      <c r="M4612" s="3">
        <f ca="1">IF(AND(N4612&lt;&gt;N4611,ISNUMBER(SEARCH(Лист2!$B$6,N:N)),L4612=2),MAX($M$3:OFFSET(M4612,-1,0))+1,0)</f>
        <v>0</v>
      </c>
      <c r="N4612" s="3" t="s">
        <v>2853</v>
      </c>
    </row>
    <row r="4613" spans="1:14" x14ac:dyDescent="0.25">
      <c r="A4613" s="1" t="s">
        <v>13320</v>
      </c>
      <c r="B4613" s="3" t="s">
        <v>8237</v>
      </c>
      <c r="C4613" s="2">
        <f ca="1">IF(ISNUMBER(SEARCH(Лист2!$B$4,D:D)),MAX($C$3:OFFSET(C4613,-1,0))+1,0)</f>
        <v>0</v>
      </c>
      <c r="E4613" s="9" t="str">
        <f t="shared" ref="E4613:E4676" ca="1" si="84">IFERROR(INDEX(D:D,MATCH(ROW(E4613)-ROW($E$3),C:C,0)),"")</f>
        <v/>
      </c>
      <c r="F4613" s="4" t="s">
        <v>27</v>
      </c>
      <c r="G4613" s="2">
        <f>IF(ISNUMBER(SEARCH(Лист2!$B$4,F:F)),1,0)</f>
        <v>0</v>
      </c>
      <c r="H4613" s="3">
        <f ca="1">IF(AND(I4613&lt;&gt;I4612,ISNUMBER(SEARCH(Лист2!$B$5,I:I)),G4613=1),MAX($H$3:OFFSET(H4613,-1,0))+1,0)</f>
        <v>0</v>
      </c>
      <c r="I4613" s="3" t="s">
        <v>287</v>
      </c>
      <c r="K4613" s="2">
        <f>IF(ISNUMBER(SEARCH(Лист2!$B$4,F:F)),1,0)</f>
        <v>0</v>
      </c>
      <c r="L4613" s="14">
        <f>IF(ISNUMBER(SEARCH(Лист2!$B$5,I:I)),1,0)+K4613</f>
        <v>0</v>
      </c>
      <c r="M4613" s="3">
        <f ca="1">IF(AND(N4613&lt;&gt;N4612,ISNUMBER(SEARCH(Лист2!$B$6,N:N)),L4613=2),MAX($M$3:OFFSET(M4613,-1,0))+1,0)</f>
        <v>0</v>
      </c>
      <c r="N4613" s="3" t="s">
        <v>711</v>
      </c>
    </row>
    <row r="4614" spans="1:14" x14ac:dyDescent="0.25">
      <c r="A4614" s="1" t="s">
        <v>13320</v>
      </c>
      <c r="B4614" s="3" t="s">
        <v>8238</v>
      </c>
      <c r="C4614" s="2">
        <f ca="1">IF(ISNUMBER(SEARCH(Лист2!$B$4,D:D)),MAX($C$3:OFFSET(C4614,-1,0))+1,0)</f>
        <v>0</v>
      </c>
      <c r="E4614" s="9" t="str">
        <f t="shared" ca="1" si="84"/>
        <v/>
      </c>
      <c r="F4614" s="4" t="s">
        <v>27</v>
      </c>
      <c r="G4614" s="2">
        <f>IF(ISNUMBER(SEARCH(Лист2!$B$4,F:F)),1,0)</f>
        <v>0</v>
      </c>
      <c r="H4614" s="3">
        <f ca="1">IF(AND(I4614&lt;&gt;I4613,ISNUMBER(SEARCH(Лист2!$B$5,I:I)),G4614=1),MAX($H$3:OFFSET(H4614,-1,0))+1,0)</f>
        <v>0</v>
      </c>
      <c r="I4614" s="3" t="s">
        <v>287</v>
      </c>
      <c r="K4614" s="2">
        <f>IF(ISNUMBER(SEARCH(Лист2!$B$4,F:F)),1,0)</f>
        <v>0</v>
      </c>
      <c r="L4614" s="14">
        <f>IF(ISNUMBER(SEARCH(Лист2!$B$5,I:I)),1,0)+K4614</f>
        <v>0</v>
      </c>
      <c r="M4614" s="3">
        <f ca="1">IF(AND(N4614&lt;&gt;N4613,ISNUMBER(SEARCH(Лист2!$B$6,N:N)),L4614=2),MAX($M$3:OFFSET(M4614,-1,0))+1,0)</f>
        <v>0</v>
      </c>
      <c r="N4614" s="3" t="s">
        <v>711</v>
      </c>
    </row>
    <row r="4615" spans="1:14" x14ac:dyDescent="0.25">
      <c r="A4615" s="1" t="s">
        <v>13320</v>
      </c>
      <c r="B4615" s="3" t="s">
        <v>8239</v>
      </c>
      <c r="C4615" s="2">
        <f ca="1">IF(ISNUMBER(SEARCH(Лист2!$B$4,D:D)),MAX($C$3:OFFSET(C4615,-1,0))+1,0)</f>
        <v>0</v>
      </c>
      <c r="E4615" s="9" t="str">
        <f t="shared" ca="1" si="84"/>
        <v/>
      </c>
      <c r="F4615" s="4" t="s">
        <v>27</v>
      </c>
      <c r="G4615" s="2">
        <f>IF(ISNUMBER(SEARCH(Лист2!$B$4,F:F)),1,0)</f>
        <v>0</v>
      </c>
      <c r="H4615" s="3">
        <f ca="1">IF(AND(I4615&lt;&gt;I4614,ISNUMBER(SEARCH(Лист2!$B$5,I:I)),G4615=1),MAX($H$3:OFFSET(H4615,-1,0))+1,0)</f>
        <v>0</v>
      </c>
      <c r="I4615" s="3" t="s">
        <v>287</v>
      </c>
      <c r="K4615" s="2">
        <f>IF(ISNUMBER(SEARCH(Лист2!$B$4,F:F)),1,0)</f>
        <v>0</v>
      </c>
      <c r="L4615" s="14">
        <f>IF(ISNUMBER(SEARCH(Лист2!$B$5,I:I)),1,0)+K4615</f>
        <v>0</v>
      </c>
      <c r="M4615" s="3">
        <f ca="1">IF(AND(N4615&lt;&gt;N4614,ISNUMBER(SEARCH(Лист2!$B$6,N:N)),L4615=2),MAX($M$3:OFFSET(M4615,-1,0))+1,0)</f>
        <v>0</v>
      </c>
      <c r="N4615" s="3" t="s">
        <v>711</v>
      </c>
    </row>
    <row r="4616" spans="1:14" x14ac:dyDescent="0.25">
      <c r="A4616" s="1" t="s">
        <v>13321</v>
      </c>
      <c r="B4616" s="3" t="s">
        <v>8240</v>
      </c>
      <c r="C4616" s="2">
        <f ca="1">IF(ISNUMBER(SEARCH(Лист2!$B$4,D:D)),MAX($C$3:OFFSET(C4616,-1,0))+1,0)</f>
        <v>0</v>
      </c>
      <c r="E4616" s="9" t="str">
        <f t="shared" ca="1" si="84"/>
        <v/>
      </c>
      <c r="F4616" s="4" t="s">
        <v>27</v>
      </c>
      <c r="G4616" s="2">
        <f>IF(ISNUMBER(SEARCH(Лист2!$B$4,F:F)),1,0)</f>
        <v>0</v>
      </c>
      <c r="H4616" s="3">
        <f ca="1">IF(AND(I4616&lt;&gt;I4615,ISNUMBER(SEARCH(Лист2!$B$5,I:I)),G4616=1),MAX($H$3:OFFSET(H4616,-1,0))+1,0)</f>
        <v>0</v>
      </c>
      <c r="I4616" s="3" t="s">
        <v>287</v>
      </c>
      <c r="K4616" s="2">
        <f>IF(ISNUMBER(SEARCH(Лист2!$B$4,F:F)),1,0)</f>
        <v>0</v>
      </c>
      <c r="L4616" s="14">
        <f>IF(ISNUMBER(SEARCH(Лист2!$B$5,I:I)),1,0)+K4616</f>
        <v>0</v>
      </c>
      <c r="M4616" s="3">
        <f ca="1">IF(AND(N4616&lt;&gt;N4615,ISNUMBER(SEARCH(Лист2!$B$6,N:N)),L4616=2),MAX($M$3:OFFSET(M4616,-1,0))+1,0)</f>
        <v>0</v>
      </c>
      <c r="N4616" s="3" t="s">
        <v>713</v>
      </c>
    </row>
    <row r="4617" spans="1:14" x14ac:dyDescent="0.25">
      <c r="A4617" s="1" t="s">
        <v>13321</v>
      </c>
      <c r="B4617" s="3" t="s">
        <v>8241</v>
      </c>
      <c r="C4617" s="2">
        <f ca="1">IF(ISNUMBER(SEARCH(Лист2!$B$4,D:D)),MAX($C$3:OFFSET(C4617,-1,0))+1,0)</f>
        <v>0</v>
      </c>
      <c r="E4617" s="9" t="str">
        <f t="shared" ca="1" si="84"/>
        <v/>
      </c>
      <c r="F4617" s="4" t="s">
        <v>27</v>
      </c>
      <c r="G4617" s="2">
        <f>IF(ISNUMBER(SEARCH(Лист2!$B$4,F:F)),1,0)</f>
        <v>0</v>
      </c>
      <c r="H4617" s="3">
        <f ca="1">IF(AND(I4617&lt;&gt;I4616,ISNUMBER(SEARCH(Лист2!$B$5,I:I)),G4617=1),MAX($H$3:OFFSET(H4617,-1,0))+1,0)</f>
        <v>0</v>
      </c>
      <c r="I4617" s="3" t="s">
        <v>287</v>
      </c>
      <c r="K4617" s="2">
        <f>IF(ISNUMBER(SEARCH(Лист2!$B$4,F:F)),1,0)</f>
        <v>0</v>
      </c>
      <c r="L4617" s="14">
        <f>IF(ISNUMBER(SEARCH(Лист2!$B$5,I:I)),1,0)+K4617</f>
        <v>0</v>
      </c>
      <c r="M4617" s="3">
        <f ca="1">IF(AND(N4617&lt;&gt;N4616,ISNUMBER(SEARCH(Лист2!$B$6,N:N)),L4617=2),MAX($M$3:OFFSET(M4617,-1,0))+1,0)</f>
        <v>0</v>
      </c>
      <c r="N4617" s="3" t="s">
        <v>713</v>
      </c>
    </row>
    <row r="4618" spans="1:14" x14ac:dyDescent="0.25">
      <c r="A4618" s="1" t="s">
        <v>13321</v>
      </c>
      <c r="B4618" s="3" t="s">
        <v>8242</v>
      </c>
      <c r="C4618" s="2">
        <f ca="1">IF(ISNUMBER(SEARCH(Лист2!$B$4,D:D)),MAX($C$3:OFFSET(C4618,-1,0))+1,0)</f>
        <v>0</v>
      </c>
      <c r="E4618" s="9" t="str">
        <f t="shared" ca="1" si="84"/>
        <v/>
      </c>
      <c r="F4618" s="4" t="s">
        <v>27</v>
      </c>
      <c r="G4618" s="2">
        <f>IF(ISNUMBER(SEARCH(Лист2!$B$4,F:F)),1,0)</f>
        <v>0</v>
      </c>
      <c r="H4618" s="3">
        <f ca="1">IF(AND(I4618&lt;&gt;I4617,ISNUMBER(SEARCH(Лист2!$B$5,I:I)),G4618=1),MAX($H$3:OFFSET(H4618,-1,0))+1,0)</f>
        <v>0</v>
      </c>
      <c r="I4618" s="3" t="s">
        <v>287</v>
      </c>
      <c r="K4618" s="2">
        <f>IF(ISNUMBER(SEARCH(Лист2!$B$4,F:F)),1,0)</f>
        <v>0</v>
      </c>
      <c r="L4618" s="14">
        <f>IF(ISNUMBER(SEARCH(Лист2!$B$5,I:I)),1,0)+K4618</f>
        <v>0</v>
      </c>
      <c r="M4618" s="3">
        <f ca="1">IF(AND(N4618&lt;&gt;N4617,ISNUMBER(SEARCH(Лист2!$B$6,N:N)),L4618=2),MAX($M$3:OFFSET(M4618,-1,0))+1,0)</f>
        <v>0</v>
      </c>
      <c r="N4618" s="3" t="s">
        <v>713</v>
      </c>
    </row>
    <row r="4619" spans="1:14" x14ac:dyDescent="0.25">
      <c r="A4619" s="1" t="s">
        <v>13322</v>
      </c>
      <c r="B4619" s="3" t="s">
        <v>8243</v>
      </c>
      <c r="C4619" s="2">
        <f ca="1">IF(ISNUMBER(SEARCH(Лист2!$B$4,D:D)),MAX($C$3:OFFSET(C4619,-1,0))+1,0)</f>
        <v>0</v>
      </c>
      <c r="E4619" s="9" t="str">
        <f t="shared" ca="1" si="84"/>
        <v/>
      </c>
      <c r="F4619" s="4" t="s">
        <v>27</v>
      </c>
      <c r="G4619" s="2">
        <f>IF(ISNUMBER(SEARCH(Лист2!$B$4,F:F)),1,0)</f>
        <v>0</v>
      </c>
      <c r="H4619" s="3">
        <f ca="1">IF(AND(I4619&lt;&gt;I4618,ISNUMBER(SEARCH(Лист2!$B$5,I:I)),G4619=1),MAX($H$3:OFFSET(H4619,-1,0))+1,0)</f>
        <v>0</v>
      </c>
      <c r="I4619" s="3" t="s">
        <v>287</v>
      </c>
      <c r="K4619" s="2">
        <f>IF(ISNUMBER(SEARCH(Лист2!$B$4,F:F)),1,0)</f>
        <v>0</v>
      </c>
      <c r="L4619" s="14">
        <f>IF(ISNUMBER(SEARCH(Лист2!$B$5,I:I)),1,0)+K4619</f>
        <v>0</v>
      </c>
      <c r="M4619" s="3">
        <f ca="1">IF(AND(N4619&lt;&gt;N4618,ISNUMBER(SEARCH(Лист2!$B$6,N:N)),L4619=2),MAX($M$3:OFFSET(M4619,-1,0))+1,0)</f>
        <v>0</v>
      </c>
      <c r="N4619" s="3" t="s">
        <v>1385</v>
      </c>
    </row>
    <row r="4620" spans="1:14" x14ac:dyDescent="0.25">
      <c r="A4620" s="1" t="s">
        <v>13323</v>
      </c>
      <c r="B4620" s="3" t="s">
        <v>8244</v>
      </c>
      <c r="C4620" s="2">
        <f ca="1">IF(ISNUMBER(SEARCH(Лист2!$B$4,D:D)),MAX($C$3:OFFSET(C4620,-1,0))+1,0)</f>
        <v>0</v>
      </c>
      <c r="E4620" s="9" t="str">
        <f t="shared" ca="1" si="84"/>
        <v/>
      </c>
      <c r="F4620" s="4" t="s">
        <v>27</v>
      </c>
      <c r="G4620" s="2">
        <f>IF(ISNUMBER(SEARCH(Лист2!$B$4,F:F)),1,0)</f>
        <v>0</v>
      </c>
      <c r="H4620" s="3">
        <f ca="1">IF(AND(I4620&lt;&gt;I4619,ISNUMBER(SEARCH(Лист2!$B$5,I:I)),G4620=1),MAX($H$3:OFFSET(H4620,-1,0))+1,0)</f>
        <v>0</v>
      </c>
      <c r="I4620" s="3" t="s">
        <v>287</v>
      </c>
      <c r="K4620" s="2">
        <f>IF(ISNUMBER(SEARCH(Лист2!$B$4,F:F)),1,0)</f>
        <v>0</v>
      </c>
      <c r="L4620" s="14">
        <f>IF(ISNUMBER(SEARCH(Лист2!$B$5,I:I)),1,0)+K4620</f>
        <v>0</v>
      </c>
      <c r="M4620" s="3">
        <f ca="1">IF(AND(N4620&lt;&gt;N4619,ISNUMBER(SEARCH(Лист2!$B$6,N:N)),L4620=2),MAX($M$3:OFFSET(M4620,-1,0))+1,0)</f>
        <v>0</v>
      </c>
      <c r="N4620" s="3" t="s">
        <v>602</v>
      </c>
    </row>
    <row r="4621" spans="1:14" x14ac:dyDescent="0.25">
      <c r="A4621" s="1" t="s">
        <v>13324</v>
      </c>
      <c r="B4621" s="3" t="s">
        <v>8245</v>
      </c>
      <c r="C4621" s="2">
        <f ca="1">IF(ISNUMBER(SEARCH(Лист2!$B$4,D:D)),MAX($C$3:OFFSET(C4621,-1,0))+1,0)</f>
        <v>0</v>
      </c>
      <c r="E4621" s="9" t="str">
        <f t="shared" ca="1" si="84"/>
        <v/>
      </c>
      <c r="F4621" s="4" t="s">
        <v>27</v>
      </c>
      <c r="G4621" s="2">
        <f>IF(ISNUMBER(SEARCH(Лист2!$B$4,F:F)),1,0)</f>
        <v>0</v>
      </c>
      <c r="H4621" s="3">
        <f ca="1">IF(AND(I4621&lt;&gt;I4620,ISNUMBER(SEARCH(Лист2!$B$5,I:I)),G4621=1),MAX($H$3:OFFSET(H4621,-1,0))+1,0)</f>
        <v>0</v>
      </c>
      <c r="I4621" s="3" t="s">
        <v>287</v>
      </c>
      <c r="K4621" s="2">
        <f>IF(ISNUMBER(SEARCH(Лист2!$B$4,F:F)),1,0)</f>
        <v>0</v>
      </c>
      <c r="L4621" s="14">
        <f>IF(ISNUMBER(SEARCH(Лист2!$B$5,I:I)),1,0)+K4621</f>
        <v>0</v>
      </c>
      <c r="M4621" s="3">
        <f ca="1">IF(AND(N4621&lt;&gt;N4620,ISNUMBER(SEARCH(Лист2!$B$6,N:N)),L4621=2),MAX($M$3:OFFSET(M4621,-1,0))+1,0)</f>
        <v>0</v>
      </c>
      <c r="N4621" s="3" t="s">
        <v>2503</v>
      </c>
    </row>
    <row r="4622" spans="1:14" x14ac:dyDescent="0.25">
      <c r="A4622" s="1" t="s">
        <v>13325</v>
      </c>
      <c r="B4622" s="3" t="s">
        <v>8246</v>
      </c>
      <c r="C4622" s="2">
        <f ca="1">IF(ISNUMBER(SEARCH(Лист2!$B$4,D:D)),MAX($C$3:OFFSET(C4622,-1,0))+1,0)</f>
        <v>0</v>
      </c>
      <c r="E4622" s="9" t="str">
        <f t="shared" ca="1" si="84"/>
        <v/>
      </c>
      <c r="F4622" s="4" t="s">
        <v>27</v>
      </c>
      <c r="G4622" s="2">
        <f>IF(ISNUMBER(SEARCH(Лист2!$B$4,F:F)),1,0)</f>
        <v>0</v>
      </c>
      <c r="H4622" s="3">
        <f ca="1">IF(AND(I4622&lt;&gt;I4621,ISNUMBER(SEARCH(Лист2!$B$5,I:I)),G4622=1),MAX($H$3:OFFSET(H4622,-1,0))+1,0)</f>
        <v>0</v>
      </c>
      <c r="I4622" s="3" t="s">
        <v>287</v>
      </c>
      <c r="K4622" s="2">
        <f>IF(ISNUMBER(SEARCH(Лист2!$B$4,F:F)),1,0)</f>
        <v>0</v>
      </c>
      <c r="L4622" s="14">
        <f>IF(ISNUMBER(SEARCH(Лист2!$B$5,I:I)),1,0)+K4622</f>
        <v>0</v>
      </c>
      <c r="M4622" s="3">
        <f ca="1">IF(AND(N4622&lt;&gt;N4621,ISNUMBER(SEARCH(Лист2!$B$6,N:N)),L4622=2),MAX($M$3:OFFSET(M4622,-1,0))+1,0)</f>
        <v>0</v>
      </c>
      <c r="N4622" s="3" t="s">
        <v>2499</v>
      </c>
    </row>
    <row r="4623" spans="1:14" x14ac:dyDescent="0.25">
      <c r="A4623" s="1" t="s">
        <v>13326</v>
      </c>
      <c r="B4623" s="3" t="s">
        <v>8247</v>
      </c>
      <c r="C4623" s="2">
        <f ca="1">IF(ISNUMBER(SEARCH(Лист2!$B$4,D:D)),MAX($C$3:OFFSET(C4623,-1,0))+1,0)</f>
        <v>0</v>
      </c>
      <c r="E4623" s="9" t="str">
        <f t="shared" ca="1" si="84"/>
        <v/>
      </c>
      <c r="F4623" s="4" t="s">
        <v>27</v>
      </c>
      <c r="G4623" s="2">
        <f>IF(ISNUMBER(SEARCH(Лист2!$B$4,F:F)),1,0)</f>
        <v>0</v>
      </c>
      <c r="H4623" s="3">
        <f ca="1">IF(AND(I4623&lt;&gt;I4622,ISNUMBER(SEARCH(Лист2!$B$5,I:I)),G4623=1),MAX($H$3:OFFSET(H4623,-1,0))+1,0)</f>
        <v>0</v>
      </c>
      <c r="I4623" s="3" t="s">
        <v>287</v>
      </c>
      <c r="K4623" s="2">
        <f>IF(ISNUMBER(SEARCH(Лист2!$B$4,F:F)),1,0)</f>
        <v>0</v>
      </c>
      <c r="L4623" s="14">
        <f>IF(ISNUMBER(SEARCH(Лист2!$B$5,I:I)),1,0)+K4623</f>
        <v>0</v>
      </c>
      <c r="M4623" s="3">
        <f ca="1">IF(AND(N4623&lt;&gt;N4622,ISNUMBER(SEARCH(Лист2!$B$6,N:N)),L4623=2),MAX($M$3:OFFSET(M4623,-1,0))+1,0)</f>
        <v>0</v>
      </c>
      <c r="N4623" s="3" t="s">
        <v>2089</v>
      </c>
    </row>
    <row r="4624" spans="1:14" x14ac:dyDescent="0.25">
      <c r="A4624" s="1" t="s">
        <v>13327</v>
      </c>
      <c r="B4624" s="3" t="s">
        <v>8248</v>
      </c>
      <c r="C4624" s="2">
        <f ca="1">IF(ISNUMBER(SEARCH(Лист2!$B$4,D:D)),MAX($C$3:OFFSET(C4624,-1,0))+1,0)</f>
        <v>0</v>
      </c>
      <c r="E4624" s="9" t="str">
        <f t="shared" ca="1" si="84"/>
        <v/>
      </c>
      <c r="F4624" s="4" t="s">
        <v>27</v>
      </c>
      <c r="G4624" s="2">
        <f>IF(ISNUMBER(SEARCH(Лист2!$B$4,F:F)),1,0)</f>
        <v>0</v>
      </c>
      <c r="H4624" s="3">
        <f ca="1">IF(AND(I4624&lt;&gt;I4623,ISNUMBER(SEARCH(Лист2!$B$5,I:I)),G4624=1),MAX($H$3:OFFSET(H4624,-1,0))+1,0)</f>
        <v>0</v>
      </c>
      <c r="I4624" s="3" t="s">
        <v>287</v>
      </c>
      <c r="K4624" s="2">
        <f>IF(ISNUMBER(SEARCH(Лист2!$B$4,F:F)),1,0)</f>
        <v>0</v>
      </c>
      <c r="L4624" s="14">
        <f>IF(ISNUMBER(SEARCH(Лист2!$B$5,I:I)),1,0)+K4624</f>
        <v>0</v>
      </c>
      <c r="M4624" s="3">
        <f ca="1">IF(AND(N4624&lt;&gt;N4623,ISNUMBER(SEARCH(Лист2!$B$6,N:N)),L4624=2),MAX($M$3:OFFSET(M4624,-1,0))+1,0)</f>
        <v>0</v>
      </c>
      <c r="N4624" s="3" t="s">
        <v>2854</v>
      </c>
    </row>
    <row r="4625" spans="1:14" x14ac:dyDescent="0.25">
      <c r="A4625" s="1" t="s">
        <v>13328</v>
      </c>
      <c r="B4625" s="3" t="s">
        <v>8249</v>
      </c>
      <c r="C4625" s="2">
        <f ca="1">IF(ISNUMBER(SEARCH(Лист2!$B$4,D:D)),MAX($C$3:OFFSET(C4625,-1,0))+1,0)</f>
        <v>0</v>
      </c>
      <c r="E4625" s="9" t="str">
        <f t="shared" ca="1" si="84"/>
        <v/>
      </c>
      <c r="F4625" s="4" t="s">
        <v>27</v>
      </c>
      <c r="G4625" s="2">
        <f>IF(ISNUMBER(SEARCH(Лист2!$B$4,F:F)),1,0)</f>
        <v>0</v>
      </c>
      <c r="H4625" s="3">
        <f ca="1">IF(AND(I4625&lt;&gt;I4624,ISNUMBER(SEARCH(Лист2!$B$5,I:I)),G4625=1),MAX($H$3:OFFSET(H4625,-1,0))+1,0)</f>
        <v>0</v>
      </c>
      <c r="I4625" s="3" t="s">
        <v>287</v>
      </c>
      <c r="K4625" s="2">
        <f>IF(ISNUMBER(SEARCH(Лист2!$B$4,F:F)),1,0)</f>
        <v>0</v>
      </c>
      <c r="L4625" s="14">
        <f>IF(ISNUMBER(SEARCH(Лист2!$B$5,I:I)),1,0)+K4625</f>
        <v>0</v>
      </c>
      <c r="M4625" s="3">
        <f ca="1">IF(AND(N4625&lt;&gt;N4624,ISNUMBER(SEARCH(Лист2!$B$6,N:N)),L4625=2),MAX($M$3:OFFSET(M4625,-1,0))+1,0)</f>
        <v>0</v>
      </c>
      <c r="N4625" s="3" t="s">
        <v>2855</v>
      </c>
    </row>
    <row r="4626" spans="1:14" x14ac:dyDescent="0.25">
      <c r="A4626" s="1" t="s">
        <v>13329</v>
      </c>
      <c r="B4626" s="3" t="s">
        <v>8250</v>
      </c>
      <c r="C4626" s="2">
        <f ca="1">IF(ISNUMBER(SEARCH(Лист2!$B$4,D:D)),MAX($C$3:OFFSET(C4626,-1,0))+1,0)</f>
        <v>0</v>
      </c>
      <c r="E4626" s="9" t="str">
        <f t="shared" ca="1" si="84"/>
        <v/>
      </c>
      <c r="F4626" s="4" t="s">
        <v>27</v>
      </c>
      <c r="G4626" s="2">
        <f>IF(ISNUMBER(SEARCH(Лист2!$B$4,F:F)),1,0)</f>
        <v>0</v>
      </c>
      <c r="H4626" s="3">
        <f ca="1">IF(AND(I4626&lt;&gt;I4625,ISNUMBER(SEARCH(Лист2!$B$5,I:I)),G4626=1),MAX($H$3:OFFSET(H4626,-1,0))+1,0)</f>
        <v>0</v>
      </c>
      <c r="I4626" s="3" t="s">
        <v>287</v>
      </c>
      <c r="K4626" s="2">
        <f>IF(ISNUMBER(SEARCH(Лист2!$B$4,F:F)),1,0)</f>
        <v>0</v>
      </c>
      <c r="L4626" s="14">
        <f>IF(ISNUMBER(SEARCH(Лист2!$B$5,I:I)),1,0)+K4626</f>
        <v>0</v>
      </c>
      <c r="M4626" s="3">
        <f ca="1">IF(AND(N4626&lt;&gt;N4625,ISNUMBER(SEARCH(Лист2!$B$6,N:N)),L4626=2),MAX($M$3:OFFSET(M4626,-1,0))+1,0)</f>
        <v>0</v>
      </c>
      <c r="N4626" s="3" t="s">
        <v>2856</v>
      </c>
    </row>
    <row r="4627" spans="1:14" x14ac:dyDescent="0.25">
      <c r="A4627" s="1" t="s">
        <v>13330</v>
      </c>
      <c r="B4627" s="3" t="s">
        <v>8251</v>
      </c>
      <c r="C4627" s="2">
        <f ca="1">IF(ISNUMBER(SEARCH(Лист2!$B$4,D:D)),MAX($C$3:OFFSET(C4627,-1,0))+1,0)</f>
        <v>0</v>
      </c>
      <c r="E4627" s="9" t="str">
        <f t="shared" ca="1" si="84"/>
        <v/>
      </c>
      <c r="F4627" s="4" t="s">
        <v>27</v>
      </c>
      <c r="G4627" s="2">
        <f>IF(ISNUMBER(SEARCH(Лист2!$B$4,F:F)),1,0)</f>
        <v>0</v>
      </c>
      <c r="H4627" s="3">
        <f ca="1">IF(AND(I4627&lt;&gt;I4626,ISNUMBER(SEARCH(Лист2!$B$5,I:I)),G4627=1),MAX($H$3:OFFSET(H4627,-1,0))+1,0)</f>
        <v>0</v>
      </c>
      <c r="I4627" s="3" t="s">
        <v>288</v>
      </c>
      <c r="K4627" s="2">
        <f>IF(ISNUMBER(SEARCH(Лист2!$B$4,F:F)),1,0)</f>
        <v>0</v>
      </c>
      <c r="L4627" s="14">
        <f>IF(ISNUMBER(SEARCH(Лист2!$B$5,I:I)),1,0)+K4627</f>
        <v>0</v>
      </c>
      <c r="M4627" s="3">
        <f ca="1">IF(AND(N4627&lt;&gt;N4626,ISNUMBER(SEARCH(Лист2!$B$6,N:N)),L4627=2),MAX($M$3:OFFSET(M4627,-1,0))+1,0)</f>
        <v>0</v>
      </c>
      <c r="N4627" s="3" t="s">
        <v>711</v>
      </c>
    </row>
    <row r="4628" spans="1:14" x14ac:dyDescent="0.25">
      <c r="A4628" s="1" t="s">
        <v>13331</v>
      </c>
      <c r="B4628" s="3" t="s">
        <v>8252</v>
      </c>
      <c r="C4628" s="2">
        <f ca="1">IF(ISNUMBER(SEARCH(Лист2!$B$4,D:D)),MAX($C$3:OFFSET(C4628,-1,0))+1,0)</f>
        <v>0</v>
      </c>
      <c r="E4628" s="9" t="str">
        <f t="shared" ca="1" si="84"/>
        <v/>
      </c>
      <c r="F4628" s="4" t="s">
        <v>27</v>
      </c>
      <c r="G4628" s="2">
        <f>IF(ISNUMBER(SEARCH(Лист2!$B$4,F:F)),1,0)</f>
        <v>0</v>
      </c>
      <c r="H4628" s="3">
        <f ca="1">IF(AND(I4628&lt;&gt;I4627,ISNUMBER(SEARCH(Лист2!$B$5,I:I)),G4628=1),MAX($H$3:OFFSET(H4628,-1,0))+1,0)</f>
        <v>0</v>
      </c>
      <c r="I4628" s="3" t="s">
        <v>288</v>
      </c>
      <c r="K4628" s="2">
        <f>IF(ISNUMBER(SEARCH(Лист2!$B$4,F:F)),1,0)</f>
        <v>0</v>
      </c>
      <c r="L4628" s="14">
        <f>IF(ISNUMBER(SEARCH(Лист2!$B$5,I:I)),1,0)+K4628</f>
        <v>0</v>
      </c>
      <c r="M4628" s="3">
        <f ca="1">IF(AND(N4628&lt;&gt;N4627,ISNUMBER(SEARCH(Лист2!$B$6,N:N)),L4628=2),MAX($M$3:OFFSET(M4628,-1,0))+1,0)</f>
        <v>0</v>
      </c>
      <c r="N4628" s="3" t="s">
        <v>713</v>
      </c>
    </row>
    <row r="4629" spans="1:14" x14ac:dyDescent="0.25">
      <c r="A4629" s="1" t="s">
        <v>13332</v>
      </c>
      <c r="B4629" s="3" t="s">
        <v>8253</v>
      </c>
      <c r="C4629" s="2">
        <f ca="1">IF(ISNUMBER(SEARCH(Лист2!$B$4,D:D)),MAX($C$3:OFFSET(C4629,-1,0))+1,0)</f>
        <v>0</v>
      </c>
      <c r="E4629" s="9" t="str">
        <f t="shared" ca="1" si="84"/>
        <v/>
      </c>
      <c r="F4629" s="4" t="s">
        <v>27</v>
      </c>
      <c r="G4629" s="2">
        <f>IF(ISNUMBER(SEARCH(Лист2!$B$4,F:F)),1,0)</f>
        <v>0</v>
      </c>
      <c r="H4629" s="3">
        <f ca="1">IF(AND(I4629&lt;&gt;I4628,ISNUMBER(SEARCH(Лист2!$B$5,I:I)),G4629=1),MAX($H$3:OFFSET(H4629,-1,0))+1,0)</f>
        <v>0</v>
      </c>
      <c r="I4629" s="3" t="s">
        <v>288</v>
      </c>
      <c r="K4629" s="2">
        <f>IF(ISNUMBER(SEARCH(Лист2!$B$4,F:F)),1,0)</f>
        <v>0</v>
      </c>
      <c r="L4629" s="14">
        <f>IF(ISNUMBER(SEARCH(Лист2!$B$5,I:I)),1,0)+K4629</f>
        <v>0</v>
      </c>
      <c r="M4629" s="3">
        <f ca="1">IF(AND(N4629&lt;&gt;N4628,ISNUMBER(SEARCH(Лист2!$B$6,N:N)),L4629=2),MAX($M$3:OFFSET(M4629,-1,0))+1,0)</f>
        <v>0</v>
      </c>
      <c r="N4629" s="3" t="s">
        <v>1385</v>
      </c>
    </row>
    <row r="4630" spans="1:14" x14ac:dyDescent="0.25">
      <c r="A4630" s="1" t="s">
        <v>13333</v>
      </c>
      <c r="B4630" s="3" t="s">
        <v>8254</v>
      </c>
      <c r="C4630" s="2">
        <f ca="1">IF(ISNUMBER(SEARCH(Лист2!$B$4,D:D)),MAX($C$3:OFFSET(C4630,-1,0))+1,0)</f>
        <v>0</v>
      </c>
      <c r="E4630" s="9" t="str">
        <f t="shared" ca="1" si="84"/>
        <v/>
      </c>
      <c r="F4630" s="4" t="s">
        <v>27</v>
      </c>
      <c r="G4630" s="2">
        <f>IF(ISNUMBER(SEARCH(Лист2!$B$4,F:F)),1,0)</f>
        <v>0</v>
      </c>
      <c r="H4630" s="3">
        <f ca="1">IF(AND(I4630&lt;&gt;I4629,ISNUMBER(SEARCH(Лист2!$B$5,I:I)),G4630=1),MAX($H$3:OFFSET(H4630,-1,0))+1,0)</f>
        <v>0</v>
      </c>
      <c r="I4630" s="3" t="s">
        <v>288</v>
      </c>
      <c r="K4630" s="2">
        <f>IF(ISNUMBER(SEARCH(Лист2!$B$4,F:F)),1,0)</f>
        <v>0</v>
      </c>
      <c r="L4630" s="14">
        <f>IF(ISNUMBER(SEARCH(Лист2!$B$5,I:I)),1,0)+K4630</f>
        <v>0</v>
      </c>
      <c r="M4630" s="3">
        <f ca="1">IF(AND(N4630&lt;&gt;N4629,ISNUMBER(SEARCH(Лист2!$B$6,N:N)),L4630=2),MAX($M$3:OFFSET(M4630,-1,0))+1,0)</f>
        <v>0</v>
      </c>
      <c r="N4630" s="3" t="s">
        <v>602</v>
      </c>
    </row>
    <row r="4631" spans="1:14" x14ac:dyDescent="0.25">
      <c r="A4631" s="1" t="s">
        <v>13334</v>
      </c>
      <c r="B4631" s="3" t="s">
        <v>8255</v>
      </c>
      <c r="C4631" s="2">
        <f ca="1">IF(ISNUMBER(SEARCH(Лист2!$B$4,D:D)),MAX($C$3:OFFSET(C4631,-1,0))+1,0)</f>
        <v>0</v>
      </c>
      <c r="E4631" s="9" t="str">
        <f t="shared" ca="1" si="84"/>
        <v/>
      </c>
      <c r="F4631" s="4" t="s">
        <v>27</v>
      </c>
      <c r="G4631" s="2">
        <f>IF(ISNUMBER(SEARCH(Лист2!$B$4,F:F)),1,0)</f>
        <v>0</v>
      </c>
      <c r="H4631" s="3">
        <f ca="1">IF(AND(I4631&lt;&gt;I4630,ISNUMBER(SEARCH(Лист2!$B$5,I:I)),G4631=1),MAX($H$3:OFFSET(H4631,-1,0))+1,0)</f>
        <v>0</v>
      </c>
      <c r="I4631" s="3" t="s">
        <v>288</v>
      </c>
      <c r="K4631" s="2">
        <f>IF(ISNUMBER(SEARCH(Лист2!$B$4,F:F)),1,0)</f>
        <v>0</v>
      </c>
      <c r="L4631" s="14">
        <f>IF(ISNUMBER(SEARCH(Лист2!$B$5,I:I)),1,0)+K4631</f>
        <v>0</v>
      </c>
      <c r="M4631" s="3">
        <f ca="1">IF(AND(N4631&lt;&gt;N4630,ISNUMBER(SEARCH(Лист2!$B$6,N:N)),L4631=2),MAX($M$3:OFFSET(M4631,-1,0))+1,0)</f>
        <v>0</v>
      </c>
      <c r="N4631" s="3" t="s">
        <v>2503</v>
      </c>
    </row>
    <row r="4632" spans="1:14" x14ac:dyDescent="0.25">
      <c r="A4632" s="1" t="s">
        <v>13335</v>
      </c>
      <c r="B4632" s="3" t="s">
        <v>8256</v>
      </c>
      <c r="C4632" s="2">
        <f ca="1">IF(ISNUMBER(SEARCH(Лист2!$B$4,D:D)),MAX($C$3:OFFSET(C4632,-1,0))+1,0)</f>
        <v>0</v>
      </c>
      <c r="E4632" s="9" t="str">
        <f t="shared" ca="1" si="84"/>
        <v/>
      </c>
      <c r="F4632" s="4" t="s">
        <v>27</v>
      </c>
      <c r="G4632" s="2">
        <f>IF(ISNUMBER(SEARCH(Лист2!$B$4,F:F)),1,0)</f>
        <v>0</v>
      </c>
      <c r="H4632" s="3">
        <f ca="1">IF(AND(I4632&lt;&gt;I4631,ISNUMBER(SEARCH(Лист2!$B$5,I:I)),G4632=1),MAX($H$3:OFFSET(H4632,-1,0))+1,0)</f>
        <v>0</v>
      </c>
      <c r="I4632" s="3" t="s">
        <v>288</v>
      </c>
      <c r="K4632" s="2">
        <f>IF(ISNUMBER(SEARCH(Лист2!$B$4,F:F)),1,0)</f>
        <v>0</v>
      </c>
      <c r="L4632" s="14">
        <f>IF(ISNUMBER(SEARCH(Лист2!$B$5,I:I)),1,0)+K4632</f>
        <v>0</v>
      </c>
      <c r="M4632" s="3">
        <f ca="1">IF(AND(N4632&lt;&gt;N4631,ISNUMBER(SEARCH(Лист2!$B$6,N:N)),L4632=2),MAX($M$3:OFFSET(M4632,-1,0))+1,0)</f>
        <v>0</v>
      </c>
      <c r="N4632" s="3" t="s">
        <v>2499</v>
      </c>
    </row>
    <row r="4633" spans="1:14" x14ac:dyDescent="0.25">
      <c r="A4633" s="1" t="s">
        <v>13336</v>
      </c>
      <c r="B4633" s="3" t="s">
        <v>8257</v>
      </c>
      <c r="C4633" s="2">
        <f ca="1">IF(ISNUMBER(SEARCH(Лист2!$B$4,D:D)),MAX($C$3:OFFSET(C4633,-1,0))+1,0)</f>
        <v>0</v>
      </c>
      <c r="E4633" s="9" t="str">
        <f t="shared" ca="1" si="84"/>
        <v/>
      </c>
      <c r="F4633" s="4" t="s">
        <v>27</v>
      </c>
      <c r="G4633" s="2">
        <f>IF(ISNUMBER(SEARCH(Лист2!$B$4,F:F)),1,0)</f>
        <v>0</v>
      </c>
      <c r="H4633" s="3">
        <f ca="1">IF(AND(I4633&lt;&gt;I4632,ISNUMBER(SEARCH(Лист2!$B$5,I:I)),G4633=1),MAX($H$3:OFFSET(H4633,-1,0))+1,0)</f>
        <v>0</v>
      </c>
      <c r="I4633" s="3" t="s">
        <v>288</v>
      </c>
      <c r="K4633" s="2">
        <f>IF(ISNUMBER(SEARCH(Лист2!$B$4,F:F)),1,0)</f>
        <v>0</v>
      </c>
      <c r="L4633" s="14">
        <f>IF(ISNUMBER(SEARCH(Лист2!$B$5,I:I)),1,0)+K4633</f>
        <v>0</v>
      </c>
      <c r="M4633" s="3">
        <f ca="1">IF(AND(N4633&lt;&gt;N4632,ISNUMBER(SEARCH(Лист2!$B$6,N:N)),L4633=2),MAX($M$3:OFFSET(M4633,-1,0))+1,0)</f>
        <v>0</v>
      </c>
      <c r="N4633" s="3" t="s">
        <v>2089</v>
      </c>
    </row>
    <row r="4634" spans="1:14" x14ac:dyDescent="0.25">
      <c r="A4634" s="1" t="s">
        <v>13337</v>
      </c>
      <c r="B4634" s="3" t="s">
        <v>8258</v>
      </c>
      <c r="C4634" s="2">
        <f ca="1">IF(ISNUMBER(SEARCH(Лист2!$B$4,D:D)),MAX($C$3:OFFSET(C4634,-1,0))+1,0)</f>
        <v>0</v>
      </c>
      <c r="E4634" s="9" t="str">
        <f t="shared" ca="1" si="84"/>
        <v/>
      </c>
      <c r="F4634" s="4" t="s">
        <v>27</v>
      </c>
      <c r="G4634" s="2">
        <f>IF(ISNUMBER(SEARCH(Лист2!$B$4,F:F)),1,0)</f>
        <v>0</v>
      </c>
      <c r="H4634" s="3">
        <f ca="1">IF(AND(I4634&lt;&gt;I4633,ISNUMBER(SEARCH(Лист2!$B$5,I:I)),G4634=1),MAX($H$3:OFFSET(H4634,-1,0))+1,0)</f>
        <v>0</v>
      </c>
      <c r="I4634" s="3" t="s">
        <v>288</v>
      </c>
      <c r="K4634" s="2">
        <f>IF(ISNUMBER(SEARCH(Лист2!$B$4,F:F)),1,0)</f>
        <v>0</v>
      </c>
      <c r="L4634" s="14">
        <f>IF(ISNUMBER(SEARCH(Лист2!$B$5,I:I)),1,0)+K4634</f>
        <v>0</v>
      </c>
      <c r="M4634" s="3">
        <f ca="1">IF(AND(N4634&lt;&gt;N4633,ISNUMBER(SEARCH(Лист2!$B$6,N:N)),L4634=2),MAX($M$3:OFFSET(M4634,-1,0))+1,0)</f>
        <v>0</v>
      </c>
      <c r="N4634" s="3" t="s">
        <v>2857</v>
      </c>
    </row>
    <row r="4635" spans="1:14" x14ac:dyDescent="0.25">
      <c r="A4635" s="1" t="s">
        <v>13338</v>
      </c>
      <c r="B4635" s="3" t="s">
        <v>8259</v>
      </c>
      <c r="C4635" s="2">
        <f ca="1">IF(ISNUMBER(SEARCH(Лист2!$B$4,D:D)),MAX($C$3:OFFSET(C4635,-1,0))+1,0)</f>
        <v>0</v>
      </c>
      <c r="E4635" s="9" t="str">
        <f t="shared" ca="1" si="84"/>
        <v/>
      </c>
      <c r="F4635" s="4" t="s">
        <v>27</v>
      </c>
      <c r="G4635" s="2">
        <f>IF(ISNUMBER(SEARCH(Лист2!$B$4,F:F)),1,0)</f>
        <v>0</v>
      </c>
      <c r="H4635" s="3">
        <f ca="1">IF(AND(I4635&lt;&gt;I4634,ISNUMBER(SEARCH(Лист2!$B$5,I:I)),G4635=1),MAX($H$3:OFFSET(H4635,-1,0))+1,0)</f>
        <v>0</v>
      </c>
      <c r="I4635" s="3" t="s">
        <v>288</v>
      </c>
      <c r="K4635" s="2">
        <f>IF(ISNUMBER(SEARCH(Лист2!$B$4,F:F)),1,0)</f>
        <v>0</v>
      </c>
      <c r="L4635" s="14">
        <f>IF(ISNUMBER(SEARCH(Лист2!$B$5,I:I)),1,0)+K4635</f>
        <v>0</v>
      </c>
      <c r="M4635" s="3">
        <f ca="1">IF(AND(N4635&lt;&gt;N4634,ISNUMBER(SEARCH(Лист2!$B$6,N:N)),L4635=2),MAX($M$3:OFFSET(M4635,-1,0))+1,0)</f>
        <v>0</v>
      </c>
      <c r="N4635" s="3" t="s">
        <v>2858</v>
      </c>
    </row>
    <row r="4636" spans="1:14" x14ac:dyDescent="0.25">
      <c r="A4636" s="1" t="s">
        <v>13339</v>
      </c>
      <c r="B4636" s="3" t="s">
        <v>8260</v>
      </c>
      <c r="C4636" s="2">
        <f ca="1">IF(ISNUMBER(SEARCH(Лист2!$B$4,D:D)),MAX($C$3:OFFSET(C4636,-1,0))+1,0)</f>
        <v>0</v>
      </c>
      <c r="E4636" s="9" t="str">
        <f t="shared" ca="1" si="84"/>
        <v/>
      </c>
      <c r="F4636" s="4" t="s">
        <v>27</v>
      </c>
      <c r="G4636" s="2">
        <f>IF(ISNUMBER(SEARCH(Лист2!$B$4,F:F)),1,0)</f>
        <v>0</v>
      </c>
      <c r="H4636" s="3">
        <f ca="1">IF(AND(I4636&lt;&gt;I4635,ISNUMBER(SEARCH(Лист2!$B$5,I:I)),G4636=1),MAX($H$3:OFFSET(H4636,-1,0))+1,0)</f>
        <v>0</v>
      </c>
      <c r="I4636" s="3" t="s">
        <v>288</v>
      </c>
      <c r="K4636" s="2">
        <f>IF(ISNUMBER(SEARCH(Лист2!$B$4,F:F)),1,0)</f>
        <v>0</v>
      </c>
      <c r="L4636" s="14">
        <f>IF(ISNUMBER(SEARCH(Лист2!$B$5,I:I)),1,0)+K4636</f>
        <v>0</v>
      </c>
      <c r="M4636" s="3">
        <f ca="1">IF(AND(N4636&lt;&gt;N4635,ISNUMBER(SEARCH(Лист2!$B$6,N:N)),L4636=2),MAX($M$3:OFFSET(M4636,-1,0))+1,0)</f>
        <v>0</v>
      </c>
      <c r="N4636" s="3" t="s">
        <v>2859</v>
      </c>
    </row>
    <row r="4637" spans="1:14" x14ac:dyDescent="0.25">
      <c r="A4637" s="1" t="s">
        <v>13340</v>
      </c>
      <c r="B4637" s="3" t="s">
        <v>8261</v>
      </c>
      <c r="C4637" s="2">
        <f ca="1">IF(ISNUMBER(SEARCH(Лист2!$B$4,D:D)),MAX($C$3:OFFSET(C4637,-1,0))+1,0)</f>
        <v>0</v>
      </c>
      <c r="E4637" s="9" t="str">
        <f t="shared" ca="1" si="84"/>
        <v/>
      </c>
      <c r="F4637" s="4" t="s">
        <v>27</v>
      </c>
      <c r="G4637" s="2">
        <f>IF(ISNUMBER(SEARCH(Лист2!$B$4,F:F)),1,0)</f>
        <v>0</v>
      </c>
      <c r="H4637" s="3">
        <f ca="1">IF(AND(I4637&lt;&gt;I4636,ISNUMBER(SEARCH(Лист2!$B$5,I:I)),G4637=1),MAX($H$3:OFFSET(H4637,-1,0))+1,0)</f>
        <v>0</v>
      </c>
      <c r="I4637" s="3" t="s">
        <v>373</v>
      </c>
      <c r="K4637" s="2">
        <f>IF(ISNUMBER(SEARCH(Лист2!$B$4,F:F)),1,0)</f>
        <v>0</v>
      </c>
      <c r="L4637" s="14">
        <f>IF(ISNUMBER(SEARCH(Лист2!$B$5,I:I)),1,0)+K4637</f>
        <v>0</v>
      </c>
      <c r="M4637" s="3">
        <f ca="1">IF(AND(N4637&lt;&gt;N4636,ISNUMBER(SEARCH(Лист2!$B$6,N:N)),L4637=2),MAX($M$3:OFFSET(M4637,-1,0))+1,0)</f>
        <v>0</v>
      </c>
      <c r="N4637" s="3" t="s">
        <v>2338</v>
      </c>
    </row>
    <row r="4638" spans="1:14" x14ac:dyDescent="0.25">
      <c r="A4638" s="1" t="s">
        <v>13341</v>
      </c>
      <c r="B4638" s="3" t="s">
        <v>8262</v>
      </c>
      <c r="C4638" s="2">
        <f ca="1">IF(ISNUMBER(SEARCH(Лист2!$B$4,D:D)),MAX($C$3:OFFSET(C4638,-1,0))+1,0)</f>
        <v>0</v>
      </c>
      <c r="E4638" s="9" t="str">
        <f t="shared" ca="1" si="84"/>
        <v/>
      </c>
      <c r="F4638" s="4" t="s">
        <v>27</v>
      </c>
      <c r="G4638" s="2">
        <f>IF(ISNUMBER(SEARCH(Лист2!$B$4,F:F)),1,0)</f>
        <v>0</v>
      </c>
      <c r="H4638" s="3">
        <f ca="1">IF(AND(I4638&lt;&gt;I4637,ISNUMBER(SEARCH(Лист2!$B$5,I:I)),G4638=1),MAX($H$3:OFFSET(H4638,-1,0))+1,0)</f>
        <v>0</v>
      </c>
      <c r="I4638" s="3" t="s">
        <v>373</v>
      </c>
      <c r="K4638" s="2">
        <f>IF(ISNUMBER(SEARCH(Лист2!$B$4,F:F)),1,0)</f>
        <v>0</v>
      </c>
      <c r="L4638" s="14">
        <f>IF(ISNUMBER(SEARCH(Лист2!$B$5,I:I)),1,0)+K4638</f>
        <v>0</v>
      </c>
      <c r="M4638" s="3">
        <f ca="1">IF(AND(N4638&lt;&gt;N4637,ISNUMBER(SEARCH(Лист2!$B$6,N:N)),L4638=2),MAX($M$3:OFFSET(M4638,-1,0))+1,0)</f>
        <v>0</v>
      </c>
      <c r="N4638" s="3" t="s">
        <v>2029</v>
      </c>
    </row>
    <row r="4639" spans="1:14" x14ac:dyDescent="0.25">
      <c r="A4639" s="1" t="s">
        <v>13342</v>
      </c>
      <c r="B4639" s="3" t="s">
        <v>8263</v>
      </c>
      <c r="C4639" s="2">
        <f ca="1">IF(ISNUMBER(SEARCH(Лист2!$B$4,D:D)),MAX($C$3:OFFSET(C4639,-1,0))+1,0)</f>
        <v>0</v>
      </c>
      <c r="E4639" s="9" t="str">
        <f t="shared" ca="1" si="84"/>
        <v/>
      </c>
      <c r="F4639" s="4" t="s">
        <v>27</v>
      </c>
      <c r="G4639" s="2">
        <f>IF(ISNUMBER(SEARCH(Лист2!$B$4,F:F)),1,0)</f>
        <v>0</v>
      </c>
      <c r="H4639" s="3">
        <f ca="1">IF(AND(I4639&lt;&gt;I4638,ISNUMBER(SEARCH(Лист2!$B$5,I:I)),G4639=1),MAX($H$3:OFFSET(H4639,-1,0))+1,0)</f>
        <v>0</v>
      </c>
      <c r="I4639" s="3" t="s">
        <v>373</v>
      </c>
      <c r="K4639" s="2">
        <f>IF(ISNUMBER(SEARCH(Лист2!$B$4,F:F)),1,0)</f>
        <v>0</v>
      </c>
      <c r="L4639" s="14">
        <f>IF(ISNUMBER(SEARCH(Лист2!$B$5,I:I)),1,0)+K4639</f>
        <v>0</v>
      </c>
      <c r="M4639" s="3">
        <f ca="1">IF(AND(N4639&lt;&gt;N4638,ISNUMBER(SEARCH(Лист2!$B$6,N:N)),L4639=2),MAX($M$3:OFFSET(M4639,-1,0))+1,0)</f>
        <v>0</v>
      </c>
      <c r="N4639" s="3" t="s">
        <v>1385</v>
      </c>
    </row>
    <row r="4640" spans="1:14" x14ac:dyDescent="0.25">
      <c r="A4640" s="1" t="s">
        <v>13343</v>
      </c>
      <c r="B4640" s="3" t="s">
        <v>8264</v>
      </c>
      <c r="C4640" s="2">
        <f ca="1">IF(ISNUMBER(SEARCH(Лист2!$B$4,D:D)),MAX($C$3:OFFSET(C4640,-1,0))+1,0)</f>
        <v>0</v>
      </c>
      <c r="E4640" s="9" t="str">
        <f t="shared" ca="1" si="84"/>
        <v/>
      </c>
      <c r="F4640" s="4" t="s">
        <v>27</v>
      </c>
      <c r="G4640" s="2">
        <f>IF(ISNUMBER(SEARCH(Лист2!$B$4,F:F)),1,0)</f>
        <v>0</v>
      </c>
      <c r="H4640" s="3">
        <f ca="1">IF(AND(I4640&lt;&gt;I4639,ISNUMBER(SEARCH(Лист2!$B$5,I:I)),G4640=1),MAX($H$3:OFFSET(H4640,-1,0))+1,0)</f>
        <v>0</v>
      </c>
      <c r="I4640" s="3" t="s">
        <v>373</v>
      </c>
      <c r="K4640" s="2">
        <f>IF(ISNUMBER(SEARCH(Лист2!$B$4,F:F)),1,0)</f>
        <v>0</v>
      </c>
      <c r="L4640" s="14">
        <f>IF(ISNUMBER(SEARCH(Лист2!$B$5,I:I)),1,0)+K4640</f>
        <v>0</v>
      </c>
      <c r="M4640" s="3">
        <f ca="1">IF(AND(N4640&lt;&gt;N4639,ISNUMBER(SEARCH(Лист2!$B$6,N:N)),L4640=2),MAX($M$3:OFFSET(M4640,-1,0))+1,0)</f>
        <v>0</v>
      </c>
      <c r="N4640" s="3" t="s">
        <v>602</v>
      </c>
    </row>
    <row r="4641" spans="1:14" x14ac:dyDescent="0.25">
      <c r="A4641" s="1" t="s">
        <v>13344</v>
      </c>
      <c r="B4641" s="3" t="s">
        <v>8265</v>
      </c>
      <c r="C4641" s="2">
        <f ca="1">IF(ISNUMBER(SEARCH(Лист2!$B$4,D:D)),MAX($C$3:OFFSET(C4641,-1,0))+1,0)</f>
        <v>0</v>
      </c>
      <c r="E4641" s="9" t="str">
        <f t="shared" ca="1" si="84"/>
        <v/>
      </c>
      <c r="F4641" s="4" t="s">
        <v>27</v>
      </c>
      <c r="G4641" s="2">
        <f>IF(ISNUMBER(SEARCH(Лист2!$B$4,F:F)),1,0)</f>
        <v>0</v>
      </c>
      <c r="H4641" s="3">
        <f ca="1">IF(AND(I4641&lt;&gt;I4640,ISNUMBER(SEARCH(Лист2!$B$5,I:I)),G4641=1),MAX($H$3:OFFSET(H4641,-1,0))+1,0)</f>
        <v>0</v>
      </c>
      <c r="I4641" s="3" t="s">
        <v>373</v>
      </c>
      <c r="K4641" s="2">
        <f>IF(ISNUMBER(SEARCH(Лист2!$B$4,F:F)),1,0)</f>
        <v>0</v>
      </c>
      <c r="L4641" s="14">
        <f>IF(ISNUMBER(SEARCH(Лист2!$B$5,I:I)),1,0)+K4641</f>
        <v>0</v>
      </c>
      <c r="M4641" s="3">
        <f ca="1">IF(AND(N4641&lt;&gt;N4640,ISNUMBER(SEARCH(Лист2!$B$6,N:N)),L4641=2),MAX($M$3:OFFSET(M4641,-1,0))+1,0)</f>
        <v>0</v>
      </c>
      <c r="N4641" s="3" t="s">
        <v>2860</v>
      </c>
    </row>
    <row r="4642" spans="1:14" x14ac:dyDescent="0.25">
      <c r="A4642" s="1" t="s">
        <v>13345</v>
      </c>
      <c r="B4642" s="3" t="s">
        <v>8266</v>
      </c>
      <c r="C4642" s="2">
        <f ca="1">IF(ISNUMBER(SEARCH(Лист2!$B$4,D:D)),MAX($C$3:OFFSET(C4642,-1,0))+1,0)</f>
        <v>0</v>
      </c>
      <c r="E4642" s="9" t="str">
        <f t="shared" ca="1" si="84"/>
        <v/>
      </c>
      <c r="F4642" s="4" t="s">
        <v>27</v>
      </c>
      <c r="G4642" s="2">
        <f>IF(ISNUMBER(SEARCH(Лист2!$B$4,F:F)),1,0)</f>
        <v>0</v>
      </c>
      <c r="H4642" s="3">
        <f ca="1">IF(AND(I4642&lt;&gt;I4641,ISNUMBER(SEARCH(Лист2!$B$5,I:I)),G4642=1),MAX($H$3:OFFSET(H4642,-1,0))+1,0)</f>
        <v>0</v>
      </c>
      <c r="I4642" s="3" t="s">
        <v>373</v>
      </c>
      <c r="K4642" s="2">
        <f>IF(ISNUMBER(SEARCH(Лист2!$B$4,F:F)),1,0)</f>
        <v>0</v>
      </c>
      <c r="L4642" s="14">
        <f>IF(ISNUMBER(SEARCH(Лист2!$B$5,I:I)),1,0)+K4642</f>
        <v>0</v>
      </c>
      <c r="M4642" s="3">
        <f ca="1">IF(AND(N4642&lt;&gt;N4641,ISNUMBER(SEARCH(Лист2!$B$6,N:N)),L4642=2),MAX($M$3:OFFSET(M4642,-1,0))+1,0)</f>
        <v>0</v>
      </c>
      <c r="N4642" s="3" t="s">
        <v>2861</v>
      </c>
    </row>
    <row r="4643" spans="1:14" x14ac:dyDescent="0.25">
      <c r="A4643" s="1" t="s">
        <v>13346</v>
      </c>
      <c r="B4643" s="3" t="s">
        <v>8267</v>
      </c>
      <c r="C4643" s="2">
        <f ca="1">IF(ISNUMBER(SEARCH(Лист2!$B$4,D:D)),MAX($C$3:OFFSET(C4643,-1,0))+1,0)</f>
        <v>0</v>
      </c>
      <c r="E4643" s="9" t="str">
        <f t="shared" ca="1" si="84"/>
        <v/>
      </c>
      <c r="F4643" s="4" t="s">
        <v>27</v>
      </c>
      <c r="G4643" s="2">
        <f>IF(ISNUMBER(SEARCH(Лист2!$B$4,F:F)),1,0)</f>
        <v>0</v>
      </c>
      <c r="H4643" s="3">
        <f ca="1">IF(AND(I4643&lt;&gt;I4642,ISNUMBER(SEARCH(Лист2!$B$5,I:I)),G4643=1),MAX($H$3:OFFSET(H4643,-1,0))+1,0)</f>
        <v>0</v>
      </c>
      <c r="I4643" s="3" t="s">
        <v>373</v>
      </c>
      <c r="K4643" s="2">
        <f>IF(ISNUMBER(SEARCH(Лист2!$B$4,F:F)),1,0)</f>
        <v>0</v>
      </c>
      <c r="L4643" s="14">
        <f>IF(ISNUMBER(SEARCH(Лист2!$B$5,I:I)),1,0)+K4643</f>
        <v>0</v>
      </c>
      <c r="M4643" s="3">
        <f ca="1">IF(AND(N4643&lt;&gt;N4642,ISNUMBER(SEARCH(Лист2!$B$6,N:N)),L4643=2),MAX($M$3:OFFSET(M4643,-1,0))+1,0)</f>
        <v>0</v>
      </c>
      <c r="N4643" s="3" t="s">
        <v>2032</v>
      </c>
    </row>
    <row r="4644" spans="1:14" x14ac:dyDescent="0.25">
      <c r="A4644" s="1" t="s">
        <v>13347</v>
      </c>
      <c r="B4644" s="3" t="s">
        <v>8268</v>
      </c>
      <c r="C4644" s="2">
        <f ca="1">IF(ISNUMBER(SEARCH(Лист2!$B$4,D:D)),MAX($C$3:OFFSET(C4644,-1,0))+1,0)</f>
        <v>0</v>
      </c>
      <c r="E4644" s="9" t="str">
        <f t="shared" ca="1" si="84"/>
        <v/>
      </c>
      <c r="F4644" s="4" t="s">
        <v>27</v>
      </c>
      <c r="G4644" s="2">
        <f>IF(ISNUMBER(SEARCH(Лист2!$B$4,F:F)),1,0)</f>
        <v>0</v>
      </c>
      <c r="H4644" s="3">
        <f ca="1">IF(AND(I4644&lt;&gt;I4643,ISNUMBER(SEARCH(Лист2!$B$5,I:I)),G4644=1),MAX($H$3:OFFSET(H4644,-1,0))+1,0)</f>
        <v>0</v>
      </c>
      <c r="I4644" s="3" t="s">
        <v>373</v>
      </c>
      <c r="K4644" s="2">
        <f>IF(ISNUMBER(SEARCH(Лист2!$B$4,F:F)),1,0)</f>
        <v>0</v>
      </c>
      <c r="L4644" s="14">
        <f>IF(ISNUMBER(SEARCH(Лист2!$B$5,I:I)),1,0)+K4644</f>
        <v>0</v>
      </c>
      <c r="M4644" s="3">
        <f ca="1">IF(AND(N4644&lt;&gt;N4643,ISNUMBER(SEARCH(Лист2!$B$6,N:N)),L4644=2),MAX($M$3:OFFSET(M4644,-1,0))+1,0)</f>
        <v>0</v>
      </c>
      <c r="N4644" s="3" t="s">
        <v>2862</v>
      </c>
    </row>
    <row r="4645" spans="1:14" x14ac:dyDescent="0.25">
      <c r="A4645" s="1" t="s">
        <v>13348</v>
      </c>
      <c r="B4645" s="3" t="s">
        <v>8269</v>
      </c>
      <c r="C4645" s="2">
        <f ca="1">IF(ISNUMBER(SEARCH(Лист2!$B$4,D:D)),MAX($C$3:OFFSET(C4645,-1,0))+1,0)</f>
        <v>0</v>
      </c>
      <c r="E4645" s="9" t="str">
        <f t="shared" ca="1" si="84"/>
        <v/>
      </c>
      <c r="F4645" s="4" t="s">
        <v>27</v>
      </c>
      <c r="G4645" s="2">
        <f>IF(ISNUMBER(SEARCH(Лист2!$B$4,F:F)),1,0)</f>
        <v>0</v>
      </c>
      <c r="H4645" s="3">
        <f ca="1">IF(AND(I4645&lt;&gt;I4644,ISNUMBER(SEARCH(Лист2!$B$5,I:I)),G4645=1),MAX($H$3:OFFSET(H4645,-1,0))+1,0)</f>
        <v>0</v>
      </c>
      <c r="I4645" s="3" t="s">
        <v>373</v>
      </c>
      <c r="K4645" s="2">
        <f>IF(ISNUMBER(SEARCH(Лист2!$B$4,F:F)),1,0)</f>
        <v>0</v>
      </c>
      <c r="L4645" s="14">
        <f>IF(ISNUMBER(SEARCH(Лист2!$B$5,I:I)),1,0)+K4645</f>
        <v>0</v>
      </c>
      <c r="M4645" s="3">
        <f ca="1">IF(AND(N4645&lt;&gt;N4644,ISNUMBER(SEARCH(Лист2!$B$6,N:N)),L4645=2),MAX($M$3:OFFSET(M4645,-1,0))+1,0)</f>
        <v>0</v>
      </c>
      <c r="N4645" s="3" t="s">
        <v>2863</v>
      </c>
    </row>
    <row r="4646" spans="1:14" x14ac:dyDescent="0.25">
      <c r="A4646" s="1" t="s">
        <v>13349</v>
      </c>
      <c r="B4646" s="3" t="s">
        <v>8270</v>
      </c>
      <c r="C4646" s="2">
        <f ca="1">IF(ISNUMBER(SEARCH(Лист2!$B$4,D:D)),MAX($C$3:OFFSET(C4646,-1,0))+1,0)</f>
        <v>0</v>
      </c>
      <c r="E4646" s="9" t="str">
        <f t="shared" ca="1" si="84"/>
        <v/>
      </c>
      <c r="F4646" s="4" t="s">
        <v>27</v>
      </c>
      <c r="G4646" s="2">
        <f>IF(ISNUMBER(SEARCH(Лист2!$B$4,F:F)),1,0)</f>
        <v>0</v>
      </c>
      <c r="H4646" s="3">
        <f ca="1">IF(AND(I4646&lt;&gt;I4645,ISNUMBER(SEARCH(Лист2!$B$5,I:I)),G4646=1),MAX($H$3:OFFSET(H4646,-1,0))+1,0)</f>
        <v>0</v>
      </c>
      <c r="I4646" s="3" t="s">
        <v>290</v>
      </c>
      <c r="K4646" s="2">
        <f>IF(ISNUMBER(SEARCH(Лист2!$B$4,F:F)),1,0)</f>
        <v>0</v>
      </c>
      <c r="L4646" s="14">
        <f>IF(ISNUMBER(SEARCH(Лист2!$B$5,I:I)),1,0)+K4646</f>
        <v>0</v>
      </c>
      <c r="M4646" s="3">
        <f ca="1">IF(AND(N4646&lt;&gt;N4645,ISNUMBER(SEARCH(Лист2!$B$6,N:N)),L4646=2),MAX($M$3:OFFSET(M4646,-1,0))+1,0)</f>
        <v>0</v>
      </c>
      <c r="N4646" s="3" t="s">
        <v>711</v>
      </c>
    </row>
    <row r="4647" spans="1:14" x14ac:dyDescent="0.25">
      <c r="A4647" s="1" t="s">
        <v>13350</v>
      </c>
      <c r="B4647" s="3" t="s">
        <v>8271</v>
      </c>
      <c r="C4647" s="2">
        <f ca="1">IF(ISNUMBER(SEARCH(Лист2!$B$4,D:D)),MAX($C$3:OFFSET(C4647,-1,0))+1,0)</f>
        <v>0</v>
      </c>
      <c r="E4647" s="9" t="str">
        <f t="shared" ca="1" si="84"/>
        <v/>
      </c>
      <c r="F4647" s="4" t="s">
        <v>27</v>
      </c>
      <c r="G4647" s="2">
        <f>IF(ISNUMBER(SEARCH(Лист2!$B$4,F:F)),1,0)</f>
        <v>0</v>
      </c>
      <c r="H4647" s="3">
        <f ca="1">IF(AND(I4647&lt;&gt;I4646,ISNUMBER(SEARCH(Лист2!$B$5,I:I)),G4647=1),MAX($H$3:OFFSET(H4647,-1,0))+1,0)</f>
        <v>0</v>
      </c>
      <c r="I4647" s="3" t="s">
        <v>290</v>
      </c>
      <c r="K4647" s="2">
        <f>IF(ISNUMBER(SEARCH(Лист2!$B$4,F:F)),1,0)</f>
        <v>0</v>
      </c>
      <c r="L4647" s="14">
        <f>IF(ISNUMBER(SEARCH(Лист2!$B$5,I:I)),1,0)+K4647</f>
        <v>0</v>
      </c>
      <c r="M4647" s="3">
        <f ca="1">IF(AND(N4647&lt;&gt;N4646,ISNUMBER(SEARCH(Лист2!$B$6,N:N)),L4647=2),MAX($M$3:OFFSET(M4647,-1,0))+1,0)</f>
        <v>0</v>
      </c>
      <c r="N4647" s="3" t="s">
        <v>713</v>
      </c>
    </row>
    <row r="4648" spans="1:14" x14ac:dyDescent="0.25">
      <c r="A4648" s="1" t="s">
        <v>13351</v>
      </c>
      <c r="B4648" s="3" t="s">
        <v>8272</v>
      </c>
      <c r="C4648" s="2">
        <f ca="1">IF(ISNUMBER(SEARCH(Лист2!$B$4,D:D)),MAX($C$3:OFFSET(C4648,-1,0))+1,0)</f>
        <v>0</v>
      </c>
      <c r="E4648" s="9" t="str">
        <f t="shared" ca="1" si="84"/>
        <v/>
      </c>
      <c r="F4648" s="4" t="s">
        <v>27</v>
      </c>
      <c r="G4648" s="2">
        <f>IF(ISNUMBER(SEARCH(Лист2!$B$4,F:F)),1,0)</f>
        <v>0</v>
      </c>
      <c r="H4648" s="3">
        <f ca="1">IF(AND(I4648&lt;&gt;I4647,ISNUMBER(SEARCH(Лист2!$B$5,I:I)),G4648=1),MAX($H$3:OFFSET(H4648,-1,0))+1,0)</f>
        <v>0</v>
      </c>
      <c r="I4648" s="3" t="s">
        <v>290</v>
      </c>
      <c r="K4648" s="2">
        <f>IF(ISNUMBER(SEARCH(Лист2!$B$4,F:F)),1,0)</f>
        <v>0</v>
      </c>
      <c r="L4648" s="14">
        <f>IF(ISNUMBER(SEARCH(Лист2!$B$5,I:I)),1,0)+K4648</f>
        <v>0</v>
      </c>
      <c r="M4648" s="3">
        <f ca="1">IF(AND(N4648&lt;&gt;N4647,ISNUMBER(SEARCH(Лист2!$B$6,N:N)),L4648=2),MAX($M$3:OFFSET(M4648,-1,0))+1,0)</f>
        <v>0</v>
      </c>
      <c r="N4648" s="3" t="s">
        <v>1385</v>
      </c>
    </row>
    <row r="4649" spans="1:14" x14ac:dyDescent="0.25">
      <c r="A4649" s="1" t="s">
        <v>13352</v>
      </c>
      <c r="B4649" s="3" t="s">
        <v>8273</v>
      </c>
      <c r="C4649" s="2">
        <f ca="1">IF(ISNUMBER(SEARCH(Лист2!$B$4,D:D)),MAX($C$3:OFFSET(C4649,-1,0))+1,0)</f>
        <v>0</v>
      </c>
      <c r="E4649" s="9" t="str">
        <f t="shared" ca="1" si="84"/>
        <v/>
      </c>
      <c r="F4649" s="4" t="s">
        <v>27</v>
      </c>
      <c r="G4649" s="2">
        <f>IF(ISNUMBER(SEARCH(Лист2!$B$4,F:F)),1,0)</f>
        <v>0</v>
      </c>
      <c r="H4649" s="3">
        <f ca="1">IF(AND(I4649&lt;&gt;I4648,ISNUMBER(SEARCH(Лист2!$B$5,I:I)),G4649=1),MAX($H$3:OFFSET(H4649,-1,0))+1,0)</f>
        <v>0</v>
      </c>
      <c r="I4649" s="3" t="s">
        <v>290</v>
      </c>
      <c r="K4649" s="2">
        <f>IF(ISNUMBER(SEARCH(Лист2!$B$4,F:F)),1,0)</f>
        <v>0</v>
      </c>
      <c r="L4649" s="14">
        <f>IF(ISNUMBER(SEARCH(Лист2!$B$5,I:I)),1,0)+K4649</f>
        <v>0</v>
      </c>
      <c r="M4649" s="3">
        <f ca="1">IF(AND(N4649&lt;&gt;N4648,ISNUMBER(SEARCH(Лист2!$B$6,N:N)),L4649=2),MAX($M$3:OFFSET(M4649,-1,0))+1,0)</f>
        <v>0</v>
      </c>
      <c r="N4649" s="3" t="s">
        <v>602</v>
      </c>
    </row>
    <row r="4650" spans="1:14" x14ac:dyDescent="0.25">
      <c r="A4650" s="1" t="s">
        <v>13353</v>
      </c>
      <c r="B4650" s="3" t="s">
        <v>8274</v>
      </c>
      <c r="C4650" s="2">
        <f ca="1">IF(ISNUMBER(SEARCH(Лист2!$B$4,D:D)),MAX($C$3:OFFSET(C4650,-1,0))+1,0)</f>
        <v>0</v>
      </c>
      <c r="E4650" s="9" t="str">
        <f t="shared" ca="1" si="84"/>
        <v/>
      </c>
      <c r="F4650" s="4" t="s">
        <v>27</v>
      </c>
      <c r="G4650" s="2">
        <f>IF(ISNUMBER(SEARCH(Лист2!$B$4,F:F)),1,0)</f>
        <v>0</v>
      </c>
      <c r="H4650" s="3">
        <f ca="1">IF(AND(I4650&lt;&gt;I4649,ISNUMBER(SEARCH(Лист2!$B$5,I:I)),G4650=1),MAX($H$3:OFFSET(H4650,-1,0))+1,0)</f>
        <v>0</v>
      </c>
      <c r="I4650" s="3" t="s">
        <v>290</v>
      </c>
      <c r="K4650" s="2">
        <f>IF(ISNUMBER(SEARCH(Лист2!$B$4,F:F)),1,0)</f>
        <v>0</v>
      </c>
      <c r="L4650" s="14">
        <f>IF(ISNUMBER(SEARCH(Лист2!$B$5,I:I)),1,0)+K4650</f>
        <v>0</v>
      </c>
      <c r="M4650" s="3">
        <f ca="1">IF(AND(N4650&lt;&gt;N4649,ISNUMBER(SEARCH(Лист2!$B$6,N:N)),L4650=2),MAX($M$3:OFFSET(M4650,-1,0))+1,0)</f>
        <v>0</v>
      </c>
      <c r="N4650" s="3" t="s">
        <v>2503</v>
      </c>
    </row>
    <row r="4651" spans="1:14" x14ac:dyDescent="0.25">
      <c r="A4651" s="1" t="s">
        <v>13354</v>
      </c>
      <c r="B4651" s="3" t="s">
        <v>8275</v>
      </c>
      <c r="C4651" s="2">
        <f ca="1">IF(ISNUMBER(SEARCH(Лист2!$B$4,D:D)),MAX($C$3:OFFSET(C4651,-1,0))+1,0)</f>
        <v>0</v>
      </c>
      <c r="E4651" s="9" t="str">
        <f t="shared" ca="1" si="84"/>
        <v/>
      </c>
      <c r="F4651" s="4" t="s">
        <v>27</v>
      </c>
      <c r="G4651" s="2">
        <f>IF(ISNUMBER(SEARCH(Лист2!$B$4,F:F)),1,0)</f>
        <v>0</v>
      </c>
      <c r="H4651" s="3">
        <f ca="1">IF(AND(I4651&lt;&gt;I4650,ISNUMBER(SEARCH(Лист2!$B$5,I:I)),G4651=1),MAX($H$3:OFFSET(H4651,-1,0))+1,0)</f>
        <v>0</v>
      </c>
      <c r="I4651" s="3" t="s">
        <v>290</v>
      </c>
      <c r="K4651" s="2">
        <f>IF(ISNUMBER(SEARCH(Лист2!$B$4,F:F)),1,0)</f>
        <v>0</v>
      </c>
      <c r="L4651" s="14">
        <f>IF(ISNUMBER(SEARCH(Лист2!$B$5,I:I)),1,0)+K4651</f>
        <v>0</v>
      </c>
      <c r="M4651" s="3">
        <f ca="1">IF(AND(N4651&lt;&gt;N4650,ISNUMBER(SEARCH(Лист2!$B$6,N:N)),L4651=2),MAX($M$3:OFFSET(M4651,-1,0))+1,0)</f>
        <v>0</v>
      </c>
      <c r="N4651" s="3" t="s">
        <v>2499</v>
      </c>
    </row>
    <row r="4652" spans="1:14" x14ac:dyDescent="0.25">
      <c r="A4652" s="1" t="s">
        <v>13355</v>
      </c>
      <c r="B4652" s="3" t="s">
        <v>8276</v>
      </c>
      <c r="C4652" s="2">
        <f ca="1">IF(ISNUMBER(SEARCH(Лист2!$B$4,D:D)),MAX($C$3:OFFSET(C4652,-1,0))+1,0)</f>
        <v>0</v>
      </c>
      <c r="E4652" s="9" t="str">
        <f t="shared" ca="1" si="84"/>
        <v/>
      </c>
      <c r="F4652" s="4" t="s">
        <v>27</v>
      </c>
      <c r="G4652" s="2">
        <f>IF(ISNUMBER(SEARCH(Лист2!$B$4,F:F)),1,0)</f>
        <v>0</v>
      </c>
      <c r="H4652" s="3">
        <f ca="1">IF(AND(I4652&lt;&gt;I4651,ISNUMBER(SEARCH(Лист2!$B$5,I:I)),G4652=1),MAX($H$3:OFFSET(H4652,-1,0))+1,0)</f>
        <v>0</v>
      </c>
      <c r="I4652" s="3" t="s">
        <v>290</v>
      </c>
      <c r="K4652" s="2">
        <f>IF(ISNUMBER(SEARCH(Лист2!$B$4,F:F)),1,0)</f>
        <v>0</v>
      </c>
      <c r="L4652" s="14">
        <f>IF(ISNUMBER(SEARCH(Лист2!$B$5,I:I)),1,0)+K4652</f>
        <v>0</v>
      </c>
      <c r="M4652" s="3">
        <f ca="1">IF(AND(N4652&lt;&gt;N4651,ISNUMBER(SEARCH(Лист2!$B$6,N:N)),L4652=2),MAX($M$3:OFFSET(M4652,-1,0))+1,0)</f>
        <v>0</v>
      </c>
      <c r="N4652" s="3" t="s">
        <v>2089</v>
      </c>
    </row>
    <row r="4653" spans="1:14" x14ac:dyDescent="0.25">
      <c r="A4653" s="1" t="s">
        <v>13356</v>
      </c>
      <c r="B4653" s="3" t="s">
        <v>8277</v>
      </c>
      <c r="C4653" s="2">
        <f ca="1">IF(ISNUMBER(SEARCH(Лист2!$B$4,D:D)),MAX($C$3:OFFSET(C4653,-1,0))+1,0)</f>
        <v>0</v>
      </c>
      <c r="E4653" s="9" t="str">
        <f t="shared" ca="1" si="84"/>
        <v/>
      </c>
      <c r="F4653" s="4" t="s">
        <v>27</v>
      </c>
      <c r="G4653" s="2">
        <f>IF(ISNUMBER(SEARCH(Лист2!$B$4,F:F)),1,0)</f>
        <v>0</v>
      </c>
      <c r="H4653" s="3">
        <f ca="1">IF(AND(I4653&lt;&gt;I4652,ISNUMBER(SEARCH(Лист2!$B$5,I:I)),G4653=1),MAX($H$3:OFFSET(H4653,-1,0))+1,0)</f>
        <v>0</v>
      </c>
      <c r="I4653" s="3" t="s">
        <v>290</v>
      </c>
      <c r="K4653" s="2">
        <f>IF(ISNUMBER(SEARCH(Лист2!$B$4,F:F)),1,0)</f>
        <v>0</v>
      </c>
      <c r="L4653" s="14">
        <f>IF(ISNUMBER(SEARCH(Лист2!$B$5,I:I)),1,0)+K4653</f>
        <v>0</v>
      </c>
      <c r="M4653" s="3">
        <f ca="1">IF(AND(N4653&lt;&gt;N4652,ISNUMBER(SEARCH(Лист2!$B$6,N:N)),L4653=2),MAX($M$3:OFFSET(M4653,-1,0))+1,0)</f>
        <v>0</v>
      </c>
      <c r="N4653" s="3" t="s">
        <v>2862</v>
      </c>
    </row>
    <row r="4654" spans="1:14" x14ac:dyDescent="0.25">
      <c r="A4654" s="1" t="s">
        <v>13357</v>
      </c>
      <c r="B4654" s="3" t="s">
        <v>8278</v>
      </c>
      <c r="C4654" s="2">
        <f ca="1">IF(ISNUMBER(SEARCH(Лист2!$B$4,D:D)),MAX($C$3:OFFSET(C4654,-1,0))+1,0)</f>
        <v>0</v>
      </c>
      <c r="E4654" s="9" t="str">
        <f t="shared" ca="1" si="84"/>
        <v/>
      </c>
      <c r="F4654" s="4" t="s">
        <v>27</v>
      </c>
      <c r="G4654" s="2">
        <f>IF(ISNUMBER(SEARCH(Лист2!$B$4,F:F)),1,0)</f>
        <v>0</v>
      </c>
      <c r="H4654" s="3">
        <f ca="1">IF(AND(I4654&lt;&gt;I4653,ISNUMBER(SEARCH(Лист2!$B$5,I:I)),G4654=1),MAX($H$3:OFFSET(H4654,-1,0))+1,0)</f>
        <v>0</v>
      </c>
      <c r="I4654" s="3" t="s">
        <v>290</v>
      </c>
      <c r="K4654" s="2">
        <f>IF(ISNUMBER(SEARCH(Лист2!$B$4,F:F)),1,0)</f>
        <v>0</v>
      </c>
      <c r="L4654" s="14">
        <f>IF(ISNUMBER(SEARCH(Лист2!$B$5,I:I)),1,0)+K4654</f>
        <v>0</v>
      </c>
      <c r="M4654" s="3">
        <f ca="1">IF(AND(N4654&lt;&gt;N4653,ISNUMBER(SEARCH(Лист2!$B$6,N:N)),L4654=2),MAX($M$3:OFFSET(M4654,-1,0))+1,0)</f>
        <v>0</v>
      </c>
      <c r="N4654" s="3" t="s">
        <v>2864</v>
      </c>
    </row>
    <row r="4655" spans="1:14" x14ac:dyDescent="0.25">
      <c r="A4655" s="1" t="s">
        <v>13358</v>
      </c>
      <c r="B4655" s="3" t="s">
        <v>8279</v>
      </c>
      <c r="C4655" s="2">
        <f ca="1">IF(ISNUMBER(SEARCH(Лист2!$B$4,D:D)),MAX($C$3:OFFSET(C4655,-1,0))+1,0)</f>
        <v>0</v>
      </c>
      <c r="E4655" s="9" t="str">
        <f t="shared" ca="1" si="84"/>
        <v/>
      </c>
      <c r="F4655" s="4" t="s">
        <v>27</v>
      </c>
      <c r="G4655" s="2">
        <f>IF(ISNUMBER(SEARCH(Лист2!$B$4,F:F)),1,0)</f>
        <v>0</v>
      </c>
      <c r="H4655" s="3">
        <f ca="1">IF(AND(I4655&lt;&gt;I4654,ISNUMBER(SEARCH(Лист2!$B$5,I:I)),G4655=1),MAX($H$3:OFFSET(H4655,-1,0))+1,0)</f>
        <v>0</v>
      </c>
      <c r="I4655" s="3" t="s">
        <v>290</v>
      </c>
      <c r="K4655" s="2">
        <f>IF(ISNUMBER(SEARCH(Лист2!$B$4,F:F)),1,0)</f>
        <v>0</v>
      </c>
      <c r="L4655" s="14">
        <f>IF(ISNUMBER(SEARCH(Лист2!$B$5,I:I)),1,0)+K4655</f>
        <v>0</v>
      </c>
      <c r="M4655" s="3">
        <f ca="1">IF(AND(N4655&lt;&gt;N4654,ISNUMBER(SEARCH(Лист2!$B$6,N:N)),L4655=2),MAX($M$3:OFFSET(M4655,-1,0))+1,0)</f>
        <v>0</v>
      </c>
      <c r="N4655" s="3" t="s">
        <v>2865</v>
      </c>
    </row>
    <row r="4656" spans="1:14" x14ac:dyDescent="0.25">
      <c r="A4656" s="1" t="s">
        <v>13359</v>
      </c>
      <c r="B4656" s="3" t="s">
        <v>8280</v>
      </c>
      <c r="C4656" s="2">
        <f ca="1">IF(ISNUMBER(SEARCH(Лист2!$B$4,D:D)),MAX($C$3:OFFSET(C4656,-1,0))+1,0)</f>
        <v>0</v>
      </c>
      <c r="E4656" s="9" t="str">
        <f t="shared" ca="1" si="84"/>
        <v/>
      </c>
      <c r="F4656" s="4" t="s">
        <v>27</v>
      </c>
      <c r="G4656" s="2">
        <f>IF(ISNUMBER(SEARCH(Лист2!$B$4,F:F)),1,0)</f>
        <v>0</v>
      </c>
      <c r="H4656" s="3">
        <f ca="1">IF(AND(I4656&lt;&gt;I4655,ISNUMBER(SEARCH(Лист2!$B$5,I:I)),G4656=1),MAX($H$3:OFFSET(H4656,-1,0))+1,0)</f>
        <v>0</v>
      </c>
      <c r="I4656" s="3" t="s">
        <v>285</v>
      </c>
      <c r="K4656" s="2">
        <f>IF(ISNUMBER(SEARCH(Лист2!$B$4,F:F)),1,0)</f>
        <v>0</v>
      </c>
      <c r="L4656" s="14">
        <f>IF(ISNUMBER(SEARCH(Лист2!$B$5,I:I)),1,0)+K4656</f>
        <v>0</v>
      </c>
      <c r="M4656" s="3">
        <f ca="1">IF(AND(N4656&lt;&gt;N4655,ISNUMBER(SEARCH(Лист2!$B$6,N:N)),L4656=2),MAX($M$3:OFFSET(M4656,-1,0))+1,0)</f>
        <v>0</v>
      </c>
      <c r="N4656" s="3" t="s">
        <v>711</v>
      </c>
    </row>
    <row r="4657" spans="1:14" x14ac:dyDescent="0.25">
      <c r="A4657" s="1" t="s">
        <v>13360</v>
      </c>
      <c r="B4657" s="3" t="s">
        <v>8281</v>
      </c>
      <c r="C4657" s="2">
        <f ca="1">IF(ISNUMBER(SEARCH(Лист2!$B$4,D:D)),MAX($C$3:OFFSET(C4657,-1,0))+1,0)</f>
        <v>0</v>
      </c>
      <c r="E4657" s="9" t="str">
        <f t="shared" ca="1" si="84"/>
        <v/>
      </c>
      <c r="F4657" s="4" t="s">
        <v>27</v>
      </c>
      <c r="G4657" s="2">
        <f>IF(ISNUMBER(SEARCH(Лист2!$B$4,F:F)),1,0)</f>
        <v>0</v>
      </c>
      <c r="H4657" s="3">
        <f ca="1">IF(AND(I4657&lt;&gt;I4656,ISNUMBER(SEARCH(Лист2!$B$5,I:I)),G4657=1),MAX($H$3:OFFSET(H4657,-1,0))+1,0)</f>
        <v>0</v>
      </c>
      <c r="I4657" s="3" t="s">
        <v>285</v>
      </c>
      <c r="K4657" s="2">
        <f>IF(ISNUMBER(SEARCH(Лист2!$B$4,F:F)),1,0)</f>
        <v>0</v>
      </c>
      <c r="L4657" s="14">
        <f>IF(ISNUMBER(SEARCH(Лист2!$B$5,I:I)),1,0)+K4657</f>
        <v>0</v>
      </c>
      <c r="M4657" s="3">
        <f ca="1">IF(AND(N4657&lt;&gt;N4656,ISNUMBER(SEARCH(Лист2!$B$6,N:N)),L4657=2),MAX($M$3:OFFSET(M4657,-1,0))+1,0)</f>
        <v>0</v>
      </c>
      <c r="N4657" s="3" t="s">
        <v>713</v>
      </c>
    </row>
    <row r="4658" spans="1:14" x14ac:dyDescent="0.25">
      <c r="A4658" s="1" t="s">
        <v>13361</v>
      </c>
      <c r="B4658" s="3" t="s">
        <v>8282</v>
      </c>
      <c r="C4658" s="2">
        <f ca="1">IF(ISNUMBER(SEARCH(Лист2!$B$4,D:D)),MAX($C$3:OFFSET(C4658,-1,0))+1,0)</f>
        <v>0</v>
      </c>
      <c r="E4658" s="9" t="str">
        <f t="shared" ca="1" si="84"/>
        <v/>
      </c>
      <c r="F4658" s="4" t="s">
        <v>27</v>
      </c>
      <c r="G4658" s="2">
        <f>IF(ISNUMBER(SEARCH(Лист2!$B$4,F:F)),1,0)</f>
        <v>0</v>
      </c>
      <c r="H4658" s="3">
        <f ca="1">IF(AND(I4658&lt;&gt;I4657,ISNUMBER(SEARCH(Лист2!$B$5,I:I)),G4658=1),MAX($H$3:OFFSET(H4658,-1,0))+1,0)</f>
        <v>0</v>
      </c>
      <c r="I4658" s="3" t="s">
        <v>285</v>
      </c>
      <c r="K4658" s="2">
        <f>IF(ISNUMBER(SEARCH(Лист2!$B$4,F:F)),1,0)</f>
        <v>0</v>
      </c>
      <c r="L4658" s="14">
        <f>IF(ISNUMBER(SEARCH(Лист2!$B$5,I:I)),1,0)+K4658</f>
        <v>0</v>
      </c>
      <c r="M4658" s="3">
        <f ca="1">IF(AND(N4658&lt;&gt;N4657,ISNUMBER(SEARCH(Лист2!$B$6,N:N)),L4658=2),MAX($M$3:OFFSET(M4658,-1,0))+1,0)</f>
        <v>0</v>
      </c>
      <c r="N4658" s="3" t="s">
        <v>1385</v>
      </c>
    </row>
    <row r="4659" spans="1:14" x14ac:dyDescent="0.25">
      <c r="A4659" s="1" t="s">
        <v>13362</v>
      </c>
      <c r="B4659" s="3" t="s">
        <v>8283</v>
      </c>
      <c r="C4659" s="2">
        <f ca="1">IF(ISNUMBER(SEARCH(Лист2!$B$4,D:D)),MAX($C$3:OFFSET(C4659,-1,0))+1,0)</f>
        <v>0</v>
      </c>
      <c r="E4659" s="9" t="str">
        <f t="shared" ca="1" si="84"/>
        <v/>
      </c>
      <c r="F4659" s="4" t="s">
        <v>27</v>
      </c>
      <c r="G4659" s="2">
        <f>IF(ISNUMBER(SEARCH(Лист2!$B$4,F:F)),1,0)</f>
        <v>0</v>
      </c>
      <c r="H4659" s="3">
        <f ca="1">IF(AND(I4659&lt;&gt;I4658,ISNUMBER(SEARCH(Лист2!$B$5,I:I)),G4659=1),MAX($H$3:OFFSET(H4659,-1,0))+1,0)</f>
        <v>0</v>
      </c>
      <c r="I4659" s="3" t="s">
        <v>285</v>
      </c>
      <c r="K4659" s="2">
        <f>IF(ISNUMBER(SEARCH(Лист2!$B$4,F:F)),1,0)</f>
        <v>0</v>
      </c>
      <c r="L4659" s="14">
        <f>IF(ISNUMBER(SEARCH(Лист2!$B$5,I:I)),1,0)+K4659</f>
        <v>0</v>
      </c>
      <c r="M4659" s="3">
        <f ca="1">IF(AND(N4659&lt;&gt;N4658,ISNUMBER(SEARCH(Лист2!$B$6,N:N)),L4659=2),MAX($M$3:OFFSET(M4659,-1,0))+1,0)</f>
        <v>0</v>
      </c>
      <c r="N4659" s="3" t="s">
        <v>602</v>
      </c>
    </row>
    <row r="4660" spans="1:14" x14ac:dyDescent="0.25">
      <c r="A4660" s="1" t="s">
        <v>13363</v>
      </c>
      <c r="B4660" s="3" t="s">
        <v>8284</v>
      </c>
      <c r="C4660" s="2">
        <f ca="1">IF(ISNUMBER(SEARCH(Лист2!$B$4,D:D)),MAX($C$3:OFFSET(C4660,-1,0))+1,0)</f>
        <v>0</v>
      </c>
      <c r="E4660" s="9" t="str">
        <f t="shared" ca="1" si="84"/>
        <v/>
      </c>
      <c r="F4660" s="4" t="s">
        <v>27</v>
      </c>
      <c r="G4660" s="2">
        <f>IF(ISNUMBER(SEARCH(Лист2!$B$4,F:F)),1,0)</f>
        <v>0</v>
      </c>
      <c r="H4660" s="3">
        <f ca="1">IF(AND(I4660&lt;&gt;I4659,ISNUMBER(SEARCH(Лист2!$B$5,I:I)),G4660=1),MAX($H$3:OFFSET(H4660,-1,0))+1,0)</f>
        <v>0</v>
      </c>
      <c r="I4660" s="3" t="s">
        <v>285</v>
      </c>
      <c r="K4660" s="2">
        <f>IF(ISNUMBER(SEARCH(Лист2!$B$4,F:F)),1,0)</f>
        <v>0</v>
      </c>
      <c r="L4660" s="14">
        <f>IF(ISNUMBER(SEARCH(Лист2!$B$5,I:I)),1,0)+K4660</f>
        <v>0</v>
      </c>
      <c r="M4660" s="3">
        <f ca="1">IF(AND(N4660&lt;&gt;N4659,ISNUMBER(SEARCH(Лист2!$B$6,N:N)),L4660=2),MAX($M$3:OFFSET(M4660,-1,0))+1,0)</f>
        <v>0</v>
      </c>
      <c r="N4660" s="3" t="s">
        <v>2503</v>
      </c>
    </row>
    <row r="4661" spans="1:14" x14ac:dyDescent="0.25">
      <c r="A4661" s="1" t="s">
        <v>13364</v>
      </c>
      <c r="B4661" s="3" t="s">
        <v>8285</v>
      </c>
      <c r="C4661" s="2">
        <f ca="1">IF(ISNUMBER(SEARCH(Лист2!$B$4,D:D)),MAX($C$3:OFFSET(C4661,-1,0))+1,0)</f>
        <v>0</v>
      </c>
      <c r="E4661" s="9" t="str">
        <f t="shared" ca="1" si="84"/>
        <v/>
      </c>
      <c r="F4661" s="4" t="s">
        <v>27</v>
      </c>
      <c r="G4661" s="2">
        <f>IF(ISNUMBER(SEARCH(Лист2!$B$4,F:F)),1,0)</f>
        <v>0</v>
      </c>
      <c r="H4661" s="3">
        <f ca="1">IF(AND(I4661&lt;&gt;I4660,ISNUMBER(SEARCH(Лист2!$B$5,I:I)),G4661=1),MAX($H$3:OFFSET(H4661,-1,0))+1,0)</f>
        <v>0</v>
      </c>
      <c r="I4661" s="3" t="s">
        <v>285</v>
      </c>
      <c r="K4661" s="2">
        <f>IF(ISNUMBER(SEARCH(Лист2!$B$4,F:F)),1,0)</f>
        <v>0</v>
      </c>
      <c r="L4661" s="14">
        <f>IF(ISNUMBER(SEARCH(Лист2!$B$5,I:I)),1,0)+K4661</f>
        <v>0</v>
      </c>
      <c r="M4661" s="3">
        <f ca="1">IF(AND(N4661&lt;&gt;N4660,ISNUMBER(SEARCH(Лист2!$B$6,N:N)),L4661=2),MAX($M$3:OFFSET(M4661,-1,0))+1,0)</f>
        <v>0</v>
      </c>
      <c r="N4661" s="3" t="s">
        <v>2499</v>
      </c>
    </row>
    <row r="4662" spans="1:14" x14ac:dyDescent="0.25">
      <c r="A4662" s="1" t="s">
        <v>13365</v>
      </c>
      <c r="B4662" s="3" t="s">
        <v>8286</v>
      </c>
      <c r="C4662" s="2">
        <f ca="1">IF(ISNUMBER(SEARCH(Лист2!$B$4,D:D)),MAX($C$3:OFFSET(C4662,-1,0))+1,0)</f>
        <v>0</v>
      </c>
      <c r="E4662" s="9" t="str">
        <f t="shared" ca="1" si="84"/>
        <v/>
      </c>
      <c r="F4662" s="4" t="s">
        <v>27</v>
      </c>
      <c r="G4662" s="2">
        <f>IF(ISNUMBER(SEARCH(Лист2!$B$4,F:F)),1,0)</f>
        <v>0</v>
      </c>
      <c r="H4662" s="3">
        <f ca="1">IF(AND(I4662&lt;&gt;I4661,ISNUMBER(SEARCH(Лист2!$B$5,I:I)),G4662=1),MAX($H$3:OFFSET(H4662,-1,0))+1,0)</f>
        <v>0</v>
      </c>
      <c r="I4662" s="3" t="s">
        <v>285</v>
      </c>
      <c r="K4662" s="2">
        <f>IF(ISNUMBER(SEARCH(Лист2!$B$4,F:F)),1,0)</f>
        <v>0</v>
      </c>
      <c r="L4662" s="14">
        <f>IF(ISNUMBER(SEARCH(Лист2!$B$5,I:I)),1,0)+K4662</f>
        <v>0</v>
      </c>
      <c r="M4662" s="3">
        <f ca="1">IF(AND(N4662&lt;&gt;N4661,ISNUMBER(SEARCH(Лист2!$B$6,N:N)),L4662=2),MAX($M$3:OFFSET(M4662,-1,0))+1,0)</f>
        <v>0</v>
      </c>
      <c r="N4662" s="3" t="s">
        <v>2089</v>
      </c>
    </row>
    <row r="4663" spans="1:14" x14ac:dyDescent="0.25">
      <c r="A4663" s="1" t="s">
        <v>13366</v>
      </c>
      <c r="B4663" s="3" t="s">
        <v>8287</v>
      </c>
      <c r="C4663" s="2">
        <f ca="1">IF(ISNUMBER(SEARCH(Лист2!$B$4,D:D)),MAX($C$3:OFFSET(C4663,-1,0))+1,0)</f>
        <v>0</v>
      </c>
      <c r="E4663" s="9" t="str">
        <f t="shared" ca="1" si="84"/>
        <v/>
      </c>
      <c r="F4663" s="4" t="s">
        <v>27</v>
      </c>
      <c r="G4663" s="2">
        <f>IF(ISNUMBER(SEARCH(Лист2!$B$4,F:F)),1,0)</f>
        <v>0</v>
      </c>
      <c r="H4663" s="3">
        <f ca="1">IF(AND(I4663&lt;&gt;I4662,ISNUMBER(SEARCH(Лист2!$B$5,I:I)),G4663=1),MAX($H$3:OFFSET(H4663,-1,0))+1,0)</f>
        <v>0</v>
      </c>
      <c r="I4663" s="3" t="s">
        <v>285</v>
      </c>
      <c r="K4663" s="2">
        <f>IF(ISNUMBER(SEARCH(Лист2!$B$4,F:F)),1,0)</f>
        <v>0</v>
      </c>
      <c r="L4663" s="14">
        <f>IF(ISNUMBER(SEARCH(Лист2!$B$5,I:I)),1,0)+K4663</f>
        <v>0</v>
      </c>
      <c r="M4663" s="3">
        <f ca="1">IF(AND(N4663&lt;&gt;N4662,ISNUMBER(SEARCH(Лист2!$B$6,N:N)),L4663=2),MAX($M$3:OFFSET(M4663,-1,0))+1,0)</f>
        <v>0</v>
      </c>
      <c r="N4663" s="3" t="s">
        <v>2866</v>
      </c>
    </row>
    <row r="4664" spans="1:14" x14ac:dyDescent="0.25">
      <c r="A4664" s="1" t="s">
        <v>13367</v>
      </c>
      <c r="B4664" s="3" t="s">
        <v>8288</v>
      </c>
      <c r="C4664" s="2">
        <f ca="1">IF(ISNUMBER(SEARCH(Лист2!$B$4,D:D)),MAX($C$3:OFFSET(C4664,-1,0))+1,0)</f>
        <v>0</v>
      </c>
      <c r="E4664" s="9" t="str">
        <f t="shared" ca="1" si="84"/>
        <v/>
      </c>
      <c r="F4664" s="4" t="s">
        <v>27</v>
      </c>
      <c r="G4664" s="2">
        <f>IF(ISNUMBER(SEARCH(Лист2!$B$4,F:F)),1,0)</f>
        <v>0</v>
      </c>
      <c r="H4664" s="3">
        <f ca="1">IF(AND(I4664&lt;&gt;I4663,ISNUMBER(SEARCH(Лист2!$B$5,I:I)),G4664=1),MAX($H$3:OFFSET(H4664,-1,0))+1,0)</f>
        <v>0</v>
      </c>
      <c r="I4664" s="3" t="s">
        <v>285</v>
      </c>
      <c r="K4664" s="2">
        <f>IF(ISNUMBER(SEARCH(Лист2!$B$4,F:F)),1,0)</f>
        <v>0</v>
      </c>
      <c r="L4664" s="14">
        <f>IF(ISNUMBER(SEARCH(Лист2!$B$5,I:I)),1,0)+K4664</f>
        <v>0</v>
      </c>
      <c r="M4664" s="3">
        <f ca="1">IF(AND(N4664&lt;&gt;N4663,ISNUMBER(SEARCH(Лист2!$B$6,N:N)),L4664=2),MAX($M$3:OFFSET(M4664,-1,0))+1,0)</f>
        <v>0</v>
      </c>
      <c r="N4664" s="3" t="s">
        <v>2867</v>
      </c>
    </row>
    <row r="4665" spans="1:14" x14ac:dyDescent="0.25">
      <c r="A4665" s="1" t="s">
        <v>13368</v>
      </c>
      <c r="B4665" s="3" t="s">
        <v>8289</v>
      </c>
      <c r="C4665" s="2">
        <f ca="1">IF(ISNUMBER(SEARCH(Лист2!$B$4,D:D)),MAX($C$3:OFFSET(C4665,-1,0))+1,0)</f>
        <v>0</v>
      </c>
      <c r="E4665" s="9" t="str">
        <f t="shared" ca="1" si="84"/>
        <v/>
      </c>
      <c r="F4665" s="4" t="s">
        <v>27</v>
      </c>
      <c r="G4665" s="2">
        <f>IF(ISNUMBER(SEARCH(Лист2!$B$4,F:F)),1,0)</f>
        <v>0</v>
      </c>
      <c r="H4665" s="3">
        <f ca="1">IF(AND(I4665&lt;&gt;I4664,ISNUMBER(SEARCH(Лист2!$B$5,I:I)),G4665=1),MAX($H$3:OFFSET(H4665,-1,0))+1,0)</f>
        <v>0</v>
      </c>
      <c r="I4665" s="3" t="s">
        <v>285</v>
      </c>
      <c r="K4665" s="2">
        <f>IF(ISNUMBER(SEARCH(Лист2!$B$4,F:F)),1,0)</f>
        <v>0</v>
      </c>
      <c r="L4665" s="14">
        <f>IF(ISNUMBER(SEARCH(Лист2!$B$5,I:I)),1,0)+K4665</f>
        <v>0</v>
      </c>
      <c r="M4665" s="3">
        <f ca="1">IF(AND(N4665&lt;&gt;N4664,ISNUMBER(SEARCH(Лист2!$B$6,N:N)),L4665=2),MAX($M$3:OFFSET(M4665,-1,0))+1,0)</f>
        <v>0</v>
      </c>
      <c r="N4665" s="3" t="s">
        <v>2868</v>
      </c>
    </row>
    <row r="4666" spans="1:14" x14ac:dyDescent="0.25">
      <c r="A4666" s="1" t="s">
        <v>13369</v>
      </c>
      <c r="B4666" s="3" t="s">
        <v>8290</v>
      </c>
      <c r="C4666" s="2">
        <f ca="1">IF(ISNUMBER(SEARCH(Лист2!$B$4,D:D)),MAX($C$3:OFFSET(C4666,-1,0))+1,0)</f>
        <v>0</v>
      </c>
      <c r="E4666" s="9" t="str">
        <f t="shared" ca="1" si="84"/>
        <v/>
      </c>
      <c r="F4666" s="4" t="s">
        <v>27</v>
      </c>
      <c r="G4666" s="2">
        <f>IF(ISNUMBER(SEARCH(Лист2!$B$4,F:F)),1,0)</f>
        <v>0</v>
      </c>
      <c r="H4666" s="3">
        <f ca="1">IF(AND(I4666&lt;&gt;I4665,ISNUMBER(SEARCH(Лист2!$B$5,I:I)),G4666=1),MAX($H$3:OFFSET(H4666,-1,0))+1,0)</f>
        <v>0</v>
      </c>
      <c r="I4666" s="3" t="s">
        <v>335</v>
      </c>
      <c r="K4666" s="2">
        <f>IF(ISNUMBER(SEARCH(Лист2!$B$4,F:F)),1,0)</f>
        <v>0</v>
      </c>
      <c r="L4666" s="14">
        <f>IF(ISNUMBER(SEARCH(Лист2!$B$5,I:I)),1,0)+K4666</f>
        <v>0</v>
      </c>
      <c r="M4666" s="3">
        <f ca="1">IF(AND(N4666&lt;&gt;N4665,ISNUMBER(SEARCH(Лист2!$B$6,N:N)),L4666=2),MAX($M$3:OFFSET(M4666,-1,0))+1,0)</f>
        <v>0</v>
      </c>
      <c r="N4666" s="3" t="s">
        <v>2512</v>
      </c>
    </row>
    <row r="4667" spans="1:14" x14ac:dyDescent="0.25">
      <c r="A4667" s="1" t="s">
        <v>13369</v>
      </c>
      <c r="B4667" s="3" t="s">
        <v>8291</v>
      </c>
      <c r="C4667" s="2">
        <f ca="1">IF(ISNUMBER(SEARCH(Лист2!$B$4,D:D)),MAX($C$3:OFFSET(C4667,-1,0))+1,0)</f>
        <v>0</v>
      </c>
      <c r="E4667" s="9" t="str">
        <f t="shared" ca="1" si="84"/>
        <v/>
      </c>
      <c r="F4667" s="4" t="s">
        <v>27</v>
      </c>
      <c r="G4667" s="2">
        <f>IF(ISNUMBER(SEARCH(Лист2!$B$4,F:F)),1,0)</f>
        <v>0</v>
      </c>
      <c r="H4667" s="3">
        <f ca="1">IF(AND(I4667&lt;&gt;I4666,ISNUMBER(SEARCH(Лист2!$B$5,I:I)),G4667=1),MAX($H$3:OFFSET(H4667,-1,0))+1,0)</f>
        <v>0</v>
      </c>
      <c r="I4667" s="3" t="s">
        <v>335</v>
      </c>
      <c r="K4667" s="2">
        <f>IF(ISNUMBER(SEARCH(Лист2!$B$4,F:F)),1,0)</f>
        <v>0</v>
      </c>
      <c r="L4667" s="14">
        <f>IF(ISNUMBER(SEARCH(Лист2!$B$5,I:I)),1,0)+K4667</f>
        <v>0</v>
      </c>
      <c r="M4667" s="3">
        <f ca="1">IF(AND(N4667&lt;&gt;N4666,ISNUMBER(SEARCH(Лист2!$B$6,N:N)),L4667=2),MAX($M$3:OFFSET(M4667,-1,0))+1,0)</f>
        <v>0</v>
      </c>
      <c r="N4667" s="3" t="s">
        <v>2512</v>
      </c>
    </row>
    <row r="4668" spans="1:14" x14ac:dyDescent="0.25">
      <c r="A4668" s="1" t="s">
        <v>13369</v>
      </c>
      <c r="B4668" s="3" t="s">
        <v>8292</v>
      </c>
      <c r="C4668" s="2">
        <f ca="1">IF(ISNUMBER(SEARCH(Лист2!$B$4,D:D)),MAX($C$3:OFFSET(C4668,-1,0))+1,0)</f>
        <v>0</v>
      </c>
      <c r="E4668" s="9" t="str">
        <f t="shared" ca="1" si="84"/>
        <v/>
      </c>
      <c r="F4668" s="4" t="s">
        <v>27</v>
      </c>
      <c r="G4668" s="2">
        <f>IF(ISNUMBER(SEARCH(Лист2!$B$4,F:F)),1,0)</f>
        <v>0</v>
      </c>
      <c r="H4668" s="3">
        <f ca="1">IF(AND(I4668&lt;&gt;I4667,ISNUMBER(SEARCH(Лист2!$B$5,I:I)),G4668=1),MAX($H$3:OFFSET(H4668,-1,0))+1,0)</f>
        <v>0</v>
      </c>
      <c r="I4668" s="3" t="s">
        <v>335</v>
      </c>
      <c r="K4668" s="2">
        <f>IF(ISNUMBER(SEARCH(Лист2!$B$4,F:F)),1,0)</f>
        <v>0</v>
      </c>
      <c r="L4668" s="14">
        <f>IF(ISNUMBER(SEARCH(Лист2!$B$5,I:I)),1,0)+K4668</f>
        <v>0</v>
      </c>
      <c r="M4668" s="3">
        <f ca="1">IF(AND(N4668&lt;&gt;N4667,ISNUMBER(SEARCH(Лист2!$B$6,N:N)),L4668=2),MAX($M$3:OFFSET(M4668,-1,0))+1,0)</f>
        <v>0</v>
      </c>
      <c r="N4668" s="3" t="s">
        <v>2512</v>
      </c>
    </row>
    <row r="4669" spans="1:14" x14ac:dyDescent="0.25">
      <c r="A4669" s="1" t="s">
        <v>13370</v>
      </c>
      <c r="B4669" s="3" t="s">
        <v>8293</v>
      </c>
      <c r="C4669" s="2">
        <f ca="1">IF(ISNUMBER(SEARCH(Лист2!$B$4,D:D)),MAX($C$3:OFFSET(C4669,-1,0))+1,0)</f>
        <v>0</v>
      </c>
      <c r="E4669" s="9" t="str">
        <f t="shared" ca="1" si="84"/>
        <v/>
      </c>
      <c r="F4669" s="4" t="s">
        <v>27</v>
      </c>
      <c r="G4669" s="2">
        <f>IF(ISNUMBER(SEARCH(Лист2!$B$4,F:F)),1,0)</f>
        <v>0</v>
      </c>
      <c r="H4669" s="3">
        <f ca="1">IF(AND(I4669&lt;&gt;I4668,ISNUMBER(SEARCH(Лист2!$B$5,I:I)),G4669=1),MAX($H$3:OFFSET(H4669,-1,0))+1,0)</f>
        <v>0</v>
      </c>
      <c r="I4669" s="3" t="s">
        <v>335</v>
      </c>
      <c r="K4669" s="2">
        <f>IF(ISNUMBER(SEARCH(Лист2!$B$4,F:F)),1,0)</f>
        <v>0</v>
      </c>
      <c r="L4669" s="14">
        <f>IF(ISNUMBER(SEARCH(Лист2!$B$5,I:I)),1,0)+K4669</f>
        <v>0</v>
      </c>
      <c r="M4669" s="3">
        <f ca="1">IF(AND(N4669&lt;&gt;N4668,ISNUMBER(SEARCH(Лист2!$B$6,N:N)),L4669=2),MAX($M$3:OFFSET(M4669,-1,0))+1,0)</f>
        <v>0</v>
      </c>
      <c r="N4669" s="3" t="s">
        <v>2513</v>
      </c>
    </row>
    <row r="4670" spans="1:14" x14ac:dyDescent="0.25">
      <c r="A4670" s="1" t="s">
        <v>13370</v>
      </c>
      <c r="B4670" s="3" t="s">
        <v>8294</v>
      </c>
      <c r="C4670" s="2">
        <f ca="1">IF(ISNUMBER(SEARCH(Лист2!$B$4,D:D)),MAX($C$3:OFFSET(C4670,-1,0))+1,0)</f>
        <v>0</v>
      </c>
      <c r="E4670" s="9" t="str">
        <f t="shared" ca="1" si="84"/>
        <v/>
      </c>
      <c r="F4670" s="4" t="s">
        <v>27</v>
      </c>
      <c r="G4670" s="2">
        <f>IF(ISNUMBER(SEARCH(Лист2!$B$4,F:F)),1,0)</f>
        <v>0</v>
      </c>
      <c r="H4670" s="3">
        <f ca="1">IF(AND(I4670&lt;&gt;I4669,ISNUMBER(SEARCH(Лист2!$B$5,I:I)),G4670=1),MAX($H$3:OFFSET(H4670,-1,0))+1,0)</f>
        <v>0</v>
      </c>
      <c r="I4670" s="3" t="s">
        <v>335</v>
      </c>
      <c r="K4670" s="2">
        <f>IF(ISNUMBER(SEARCH(Лист2!$B$4,F:F)),1,0)</f>
        <v>0</v>
      </c>
      <c r="L4670" s="14">
        <f>IF(ISNUMBER(SEARCH(Лист2!$B$5,I:I)),1,0)+K4670</f>
        <v>0</v>
      </c>
      <c r="M4670" s="3">
        <f ca="1">IF(AND(N4670&lt;&gt;N4669,ISNUMBER(SEARCH(Лист2!$B$6,N:N)),L4670=2),MAX($M$3:OFFSET(M4670,-1,0))+1,0)</f>
        <v>0</v>
      </c>
      <c r="N4670" s="3" t="s">
        <v>2513</v>
      </c>
    </row>
    <row r="4671" spans="1:14" x14ac:dyDescent="0.25">
      <c r="A4671" s="1" t="s">
        <v>13370</v>
      </c>
      <c r="B4671" s="3" t="s">
        <v>8295</v>
      </c>
      <c r="C4671" s="2">
        <f ca="1">IF(ISNUMBER(SEARCH(Лист2!$B$4,D:D)),MAX($C$3:OFFSET(C4671,-1,0))+1,0)</f>
        <v>0</v>
      </c>
      <c r="E4671" s="9" t="str">
        <f t="shared" ca="1" si="84"/>
        <v/>
      </c>
      <c r="F4671" s="4" t="s">
        <v>27</v>
      </c>
      <c r="G4671" s="2">
        <f>IF(ISNUMBER(SEARCH(Лист2!$B$4,F:F)),1,0)</f>
        <v>0</v>
      </c>
      <c r="H4671" s="3">
        <f ca="1">IF(AND(I4671&lt;&gt;I4670,ISNUMBER(SEARCH(Лист2!$B$5,I:I)),G4671=1),MAX($H$3:OFFSET(H4671,-1,0))+1,0)</f>
        <v>0</v>
      </c>
      <c r="I4671" s="3" t="s">
        <v>335</v>
      </c>
      <c r="K4671" s="2">
        <f>IF(ISNUMBER(SEARCH(Лист2!$B$4,F:F)),1,0)</f>
        <v>0</v>
      </c>
      <c r="L4671" s="14">
        <f>IF(ISNUMBER(SEARCH(Лист2!$B$5,I:I)),1,0)+K4671</f>
        <v>0</v>
      </c>
      <c r="M4671" s="3">
        <f ca="1">IF(AND(N4671&lt;&gt;N4670,ISNUMBER(SEARCH(Лист2!$B$6,N:N)),L4671=2),MAX($M$3:OFFSET(M4671,-1,0))+1,0)</f>
        <v>0</v>
      </c>
      <c r="N4671" s="3" t="s">
        <v>2513</v>
      </c>
    </row>
    <row r="4672" spans="1:14" x14ac:dyDescent="0.25">
      <c r="A4672" s="1" t="s">
        <v>13371</v>
      </c>
      <c r="B4672" s="3" t="s">
        <v>8296</v>
      </c>
      <c r="C4672" s="2">
        <f ca="1">IF(ISNUMBER(SEARCH(Лист2!$B$4,D:D)),MAX($C$3:OFFSET(C4672,-1,0))+1,0)</f>
        <v>0</v>
      </c>
      <c r="E4672" s="9" t="str">
        <f t="shared" ca="1" si="84"/>
        <v/>
      </c>
      <c r="F4672" s="4" t="s">
        <v>27</v>
      </c>
      <c r="G4672" s="2">
        <f>IF(ISNUMBER(SEARCH(Лист2!$B$4,F:F)),1,0)</f>
        <v>0</v>
      </c>
      <c r="H4672" s="3">
        <f ca="1">IF(AND(I4672&lt;&gt;I4671,ISNUMBER(SEARCH(Лист2!$B$5,I:I)),G4672=1),MAX($H$3:OFFSET(H4672,-1,0))+1,0)</f>
        <v>0</v>
      </c>
      <c r="I4672" s="3" t="s">
        <v>335</v>
      </c>
      <c r="K4672" s="2">
        <f>IF(ISNUMBER(SEARCH(Лист2!$B$4,F:F)),1,0)</f>
        <v>0</v>
      </c>
      <c r="L4672" s="14">
        <f>IF(ISNUMBER(SEARCH(Лист2!$B$5,I:I)),1,0)+K4672</f>
        <v>0</v>
      </c>
      <c r="M4672" s="3">
        <f ca="1">IF(AND(N4672&lt;&gt;N4671,ISNUMBER(SEARCH(Лист2!$B$6,N:N)),L4672=2),MAX($M$3:OFFSET(M4672,-1,0))+1,0)</f>
        <v>0</v>
      </c>
      <c r="N4672" s="3" t="s">
        <v>1385</v>
      </c>
    </row>
    <row r="4673" spans="1:14" x14ac:dyDescent="0.25">
      <c r="A4673" s="1" t="s">
        <v>13372</v>
      </c>
      <c r="B4673" s="3" t="s">
        <v>8297</v>
      </c>
      <c r="C4673" s="2">
        <f ca="1">IF(ISNUMBER(SEARCH(Лист2!$B$4,D:D)),MAX($C$3:OFFSET(C4673,-1,0))+1,0)</f>
        <v>0</v>
      </c>
      <c r="E4673" s="9" t="str">
        <f t="shared" ca="1" si="84"/>
        <v/>
      </c>
      <c r="F4673" s="4" t="s">
        <v>27</v>
      </c>
      <c r="G4673" s="2">
        <f>IF(ISNUMBER(SEARCH(Лист2!$B$4,F:F)),1,0)</f>
        <v>0</v>
      </c>
      <c r="H4673" s="3">
        <f ca="1">IF(AND(I4673&lt;&gt;I4672,ISNUMBER(SEARCH(Лист2!$B$5,I:I)),G4673=1),MAX($H$3:OFFSET(H4673,-1,0))+1,0)</f>
        <v>0</v>
      </c>
      <c r="I4673" s="3" t="s">
        <v>335</v>
      </c>
      <c r="K4673" s="2">
        <f>IF(ISNUMBER(SEARCH(Лист2!$B$4,F:F)),1,0)</f>
        <v>0</v>
      </c>
      <c r="L4673" s="14">
        <f>IF(ISNUMBER(SEARCH(Лист2!$B$5,I:I)),1,0)+K4673</f>
        <v>0</v>
      </c>
      <c r="M4673" s="3">
        <f ca="1">IF(AND(N4673&lt;&gt;N4672,ISNUMBER(SEARCH(Лист2!$B$6,N:N)),L4673=2),MAX($M$3:OFFSET(M4673,-1,0))+1,0)</f>
        <v>0</v>
      </c>
      <c r="N4673" s="3" t="s">
        <v>602</v>
      </c>
    </row>
    <row r="4674" spans="1:14" x14ac:dyDescent="0.25">
      <c r="A4674" s="1" t="s">
        <v>13373</v>
      </c>
      <c r="B4674" s="3" t="s">
        <v>8298</v>
      </c>
      <c r="C4674" s="2">
        <f ca="1">IF(ISNUMBER(SEARCH(Лист2!$B$4,D:D)),MAX($C$3:OFFSET(C4674,-1,0))+1,0)</f>
        <v>0</v>
      </c>
      <c r="E4674" s="9" t="str">
        <f t="shared" ca="1" si="84"/>
        <v/>
      </c>
      <c r="F4674" s="4" t="s">
        <v>27</v>
      </c>
      <c r="G4674" s="2">
        <f>IF(ISNUMBER(SEARCH(Лист2!$B$4,F:F)),1,0)</f>
        <v>0</v>
      </c>
      <c r="H4674" s="3">
        <f ca="1">IF(AND(I4674&lt;&gt;I4673,ISNUMBER(SEARCH(Лист2!$B$5,I:I)),G4674=1),MAX($H$3:OFFSET(H4674,-1,0))+1,0)</f>
        <v>0</v>
      </c>
      <c r="I4674" s="3" t="s">
        <v>335</v>
      </c>
      <c r="K4674" s="2">
        <f>IF(ISNUMBER(SEARCH(Лист2!$B$4,F:F)),1,0)</f>
        <v>0</v>
      </c>
      <c r="L4674" s="14">
        <f>IF(ISNUMBER(SEARCH(Лист2!$B$5,I:I)),1,0)+K4674</f>
        <v>0</v>
      </c>
      <c r="M4674" s="3">
        <f ca="1">IF(AND(N4674&lt;&gt;N4673,ISNUMBER(SEARCH(Лист2!$B$6,N:N)),L4674=2),MAX($M$3:OFFSET(M4674,-1,0))+1,0)</f>
        <v>0</v>
      </c>
      <c r="N4674" s="3" t="s">
        <v>2869</v>
      </c>
    </row>
    <row r="4675" spans="1:14" x14ac:dyDescent="0.25">
      <c r="A4675" s="1" t="s">
        <v>13374</v>
      </c>
      <c r="B4675" s="3" t="s">
        <v>8299</v>
      </c>
      <c r="C4675" s="2">
        <f ca="1">IF(ISNUMBER(SEARCH(Лист2!$B$4,D:D)),MAX($C$3:OFFSET(C4675,-1,0))+1,0)</f>
        <v>0</v>
      </c>
      <c r="E4675" s="9" t="str">
        <f t="shared" ca="1" si="84"/>
        <v/>
      </c>
      <c r="F4675" s="4" t="s">
        <v>27</v>
      </c>
      <c r="G4675" s="2">
        <f>IF(ISNUMBER(SEARCH(Лист2!$B$4,F:F)),1,0)</f>
        <v>0</v>
      </c>
      <c r="H4675" s="3">
        <f ca="1">IF(AND(I4675&lt;&gt;I4674,ISNUMBER(SEARCH(Лист2!$B$5,I:I)),G4675=1),MAX($H$3:OFFSET(H4675,-1,0))+1,0)</f>
        <v>0</v>
      </c>
      <c r="I4675" s="3" t="s">
        <v>335</v>
      </c>
      <c r="K4675" s="2">
        <f>IF(ISNUMBER(SEARCH(Лист2!$B$4,F:F)),1,0)</f>
        <v>0</v>
      </c>
      <c r="L4675" s="14">
        <f>IF(ISNUMBER(SEARCH(Лист2!$B$5,I:I)),1,0)+K4675</f>
        <v>0</v>
      </c>
      <c r="M4675" s="3">
        <f ca="1">IF(AND(N4675&lt;&gt;N4674,ISNUMBER(SEARCH(Лист2!$B$6,N:N)),L4675=2),MAX($M$3:OFFSET(M4675,-1,0))+1,0)</f>
        <v>0</v>
      </c>
      <c r="N4675" s="3" t="s">
        <v>2515</v>
      </c>
    </row>
    <row r="4676" spans="1:14" x14ac:dyDescent="0.25">
      <c r="A4676" s="1" t="s">
        <v>13375</v>
      </c>
      <c r="B4676" s="3" t="s">
        <v>8300</v>
      </c>
      <c r="C4676" s="2">
        <f ca="1">IF(ISNUMBER(SEARCH(Лист2!$B$4,D:D)),MAX($C$3:OFFSET(C4676,-1,0))+1,0)</f>
        <v>0</v>
      </c>
      <c r="E4676" s="9" t="str">
        <f t="shared" ca="1" si="84"/>
        <v/>
      </c>
      <c r="F4676" s="4" t="s">
        <v>27</v>
      </c>
      <c r="G4676" s="2">
        <f>IF(ISNUMBER(SEARCH(Лист2!$B$4,F:F)),1,0)</f>
        <v>0</v>
      </c>
      <c r="H4676" s="3">
        <f ca="1">IF(AND(I4676&lt;&gt;I4675,ISNUMBER(SEARCH(Лист2!$B$5,I:I)),G4676=1),MAX($H$3:OFFSET(H4676,-1,0))+1,0)</f>
        <v>0</v>
      </c>
      <c r="I4676" s="3" t="s">
        <v>335</v>
      </c>
      <c r="K4676" s="2">
        <f>IF(ISNUMBER(SEARCH(Лист2!$B$4,F:F)),1,0)</f>
        <v>0</v>
      </c>
      <c r="L4676" s="14">
        <f>IF(ISNUMBER(SEARCH(Лист2!$B$5,I:I)),1,0)+K4676</f>
        <v>0</v>
      </c>
      <c r="M4676" s="3">
        <f ca="1">IF(AND(N4676&lt;&gt;N4675,ISNUMBER(SEARCH(Лист2!$B$6,N:N)),L4676=2),MAX($M$3:OFFSET(M4676,-1,0))+1,0)</f>
        <v>0</v>
      </c>
      <c r="N4676" s="3" t="s">
        <v>2516</v>
      </c>
    </row>
    <row r="4677" spans="1:14" x14ac:dyDescent="0.25">
      <c r="A4677" s="1" t="s">
        <v>13376</v>
      </c>
      <c r="B4677" s="3" t="s">
        <v>8301</v>
      </c>
      <c r="C4677" s="2">
        <f ca="1">IF(ISNUMBER(SEARCH(Лист2!$B$4,D:D)),MAX($C$3:OFFSET(C4677,-1,0))+1,0)</f>
        <v>0</v>
      </c>
      <c r="E4677" s="9" t="str">
        <f t="shared" ref="E4677:E4740" ca="1" si="85">IFERROR(INDEX(D:D,MATCH(ROW(E4677)-ROW($E$3),C:C,0)),"")</f>
        <v/>
      </c>
      <c r="F4677" s="4" t="s">
        <v>27</v>
      </c>
      <c r="G4677" s="2">
        <f>IF(ISNUMBER(SEARCH(Лист2!$B$4,F:F)),1,0)</f>
        <v>0</v>
      </c>
      <c r="H4677" s="3">
        <f ca="1">IF(AND(I4677&lt;&gt;I4676,ISNUMBER(SEARCH(Лист2!$B$5,I:I)),G4677=1),MAX($H$3:OFFSET(H4677,-1,0))+1,0)</f>
        <v>0</v>
      </c>
      <c r="I4677" s="3" t="s">
        <v>335</v>
      </c>
      <c r="K4677" s="2">
        <f>IF(ISNUMBER(SEARCH(Лист2!$B$4,F:F)),1,0)</f>
        <v>0</v>
      </c>
      <c r="L4677" s="14">
        <f>IF(ISNUMBER(SEARCH(Лист2!$B$5,I:I)),1,0)+K4677</f>
        <v>0</v>
      </c>
      <c r="M4677" s="3">
        <f ca="1">IF(AND(N4677&lt;&gt;N4676,ISNUMBER(SEARCH(Лист2!$B$6,N:N)),L4677=2),MAX($M$3:OFFSET(M4677,-1,0))+1,0)</f>
        <v>0</v>
      </c>
      <c r="N4677" s="3" t="s">
        <v>2870</v>
      </c>
    </row>
    <row r="4678" spans="1:14" x14ac:dyDescent="0.25">
      <c r="A4678" s="1" t="s">
        <v>13377</v>
      </c>
      <c r="B4678" s="3" t="s">
        <v>8302</v>
      </c>
      <c r="C4678" s="2">
        <f ca="1">IF(ISNUMBER(SEARCH(Лист2!$B$4,D:D)),MAX($C$3:OFFSET(C4678,-1,0))+1,0)</f>
        <v>0</v>
      </c>
      <c r="E4678" s="9" t="str">
        <f t="shared" ca="1" si="85"/>
        <v/>
      </c>
      <c r="F4678" s="4" t="s">
        <v>27</v>
      </c>
      <c r="G4678" s="2">
        <f>IF(ISNUMBER(SEARCH(Лист2!$B$4,F:F)),1,0)</f>
        <v>0</v>
      </c>
      <c r="H4678" s="3">
        <f ca="1">IF(AND(I4678&lt;&gt;I4677,ISNUMBER(SEARCH(Лист2!$B$5,I:I)),G4678=1),MAX($H$3:OFFSET(H4678,-1,0))+1,0)</f>
        <v>0</v>
      </c>
      <c r="I4678" s="3" t="s">
        <v>335</v>
      </c>
      <c r="K4678" s="2">
        <f>IF(ISNUMBER(SEARCH(Лист2!$B$4,F:F)),1,0)</f>
        <v>0</v>
      </c>
      <c r="L4678" s="14">
        <f>IF(ISNUMBER(SEARCH(Лист2!$B$5,I:I)),1,0)+K4678</f>
        <v>0</v>
      </c>
      <c r="M4678" s="3">
        <f ca="1">IF(AND(N4678&lt;&gt;N4677,ISNUMBER(SEARCH(Лист2!$B$6,N:N)),L4678=2),MAX($M$3:OFFSET(M4678,-1,0))+1,0)</f>
        <v>0</v>
      </c>
      <c r="N4678" s="3" t="s">
        <v>2871</v>
      </c>
    </row>
    <row r="4679" spans="1:14" x14ac:dyDescent="0.25">
      <c r="A4679" s="1" t="s">
        <v>13378</v>
      </c>
      <c r="B4679" s="3" t="s">
        <v>8303</v>
      </c>
      <c r="C4679" s="2">
        <f ca="1">IF(ISNUMBER(SEARCH(Лист2!$B$4,D:D)),MAX($C$3:OFFSET(C4679,-1,0))+1,0)</f>
        <v>0</v>
      </c>
      <c r="E4679" s="9" t="str">
        <f t="shared" ca="1" si="85"/>
        <v/>
      </c>
      <c r="F4679" s="4" t="s">
        <v>27</v>
      </c>
      <c r="G4679" s="2">
        <f>IF(ISNUMBER(SEARCH(Лист2!$B$4,F:F)),1,0)</f>
        <v>0</v>
      </c>
      <c r="H4679" s="3">
        <f ca="1">IF(AND(I4679&lt;&gt;I4678,ISNUMBER(SEARCH(Лист2!$B$5,I:I)),G4679=1),MAX($H$3:OFFSET(H4679,-1,0))+1,0)</f>
        <v>0</v>
      </c>
      <c r="I4679" s="3" t="s">
        <v>336</v>
      </c>
      <c r="K4679" s="2">
        <f>IF(ISNUMBER(SEARCH(Лист2!$B$4,F:F)),1,0)</f>
        <v>0</v>
      </c>
      <c r="L4679" s="14">
        <f>IF(ISNUMBER(SEARCH(Лист2!$B$5,I:I)),1,0)+K4679</f>
        <v>0</v>
      </c>
      <c r="M4679" s="3">
        <f ca="1">IF(AND(N4679&lt;&gt;N4678,ISNUMBER(SEARCH(Лист2!$B$6,N:N)),L4679=2),MAX($M$3:OFFSET(M4679,-1,0))+1,0)</f>
        <v>0</v>
      </c>
      <c r="N4679" s="3" t="s">
        <v>2512</v>
      </c>
    </row>
    <row r="4680" spans="1:14" x14ac:dyDescent="0.25">
      <c r="A4680" s="1" t="s">
        <v>13378</v>
      </c>
      <c r="B4680" s="3" t="s">
        <v>8304</v>
      </c>
      <c r="C4680" s="2">
        <f ca="1">IF(ISNUMBER(SEARCH(Лист2!$B$4,D:D)),MAX($C$3:OFFSET(C4680,-1,0))+1,0)</f>
        <v>0</v>
      </c>
      <c r="E4680" s="9" t="str">
        <f t="shared" ca="1" si="85"/>
        <v/>
      </c>
      <c r="F4680" s="4" t="s">
        <v>27</v>
      </c>
      <c r="G4680" s="2">
        <f>IF(ISNUMBER(SEARCH(Лист2!$B$4,F:F)),1,0)</f>
        <v>0</v>
      </c>
      <c r="H4680" s="3">
        <f ca="1">IF(AND(I4680&lt;&gt;I4679,ISNUMBER(SEARCH(Лист2!$B$5,I:I)),G4680=1),MAX($H$3:OFFSET(H4680,-1,0))+1,0)</f>
        <v>0</v>
      </c>
      <c r="I4680" s="3" t="s">
        <v>336</v>
      </c>
      <c r="K4680" s="2">
        <f>IF(ISNUMBER(SEARCH(Лист2!$B$4,F:F)),1,0)</f>
        <v>0</v>
      </c>
      <c r="L4680" s="14">
        <f>IF(ISNUMBER(SEARCH(Лист2!$B$5,I:I)),1,0)+K4680</f>
        <v>0</v>
      </c>
      <c r="M4680" s="3">
        <f ca="1">IF(AND(N4680&lt;&gt;N4679,ISNUMBER(SEARCH(Лист2!$B$6,N:N)),L4680=2),MAX($M$3:OFFSET(M4680,-1,0))+1,0)</f>
        <v>0</v>
      </c>
      <c r="N4680" s="3" t="s">
        <v>2512</v>
      </c>
    </row>
    <row r="4681" spans="1:14" x14ac:dyDescent="0.25">
      <c r="A4681" s="1" t="s">
        <v>13378</v>
      </c>
      <c r="B4681" s="3" t="s">
        <v>8305</v>
      </c>
      <c r="C4681" s="2">
        <f ca="1">IF(ISNUMBER(SEARCH(Лист2!$B$4,D:D)),MAX($C$3:OFFSET(C4681,-1,0))+1,0)</f>
        <v>0</v>
      </c>
      <c r="E4681" s="9" t="str">
        <f t="shared" ca="1" si="85"/>
        <v/>
      </c>
      <c r="F4681" s="4" t="s">
        <v>27</v>
      </c>
      <c r="G4681" s="2">
        <f>IF(ISNUMBER(SEARCH(Лист2!$B$4,F:F)),1,0)</f>
        <v>0</v>
      </c>
      <c r="H4681" s="3">
        <f ca="1">IF(AND(I4681&lt;&gt;I4680,ISNUMBER(SEARCH(Лист2!$B$5,I:I)),G4681=1),MAX($H$3:OFFSET(H4681,-1,0))+1,0)</f>
        <v>0</v>
      </c>
      <c r="I4681" s="3" t="s">
        <v>336</v>
      </c>
      <c r="K4681" s="2">
        <f>IF(ISNUMBER(SEARCH(Лист2!$B$4,F:F)),1,0)</f>
        <v>0</v>
      </c>
      <c r="L4681" s="14">
        <f>IF(ISNUMBER(SEARCH(Лист2!$B$5,I:I)),1,0)+K4681</f>
        <v>0</v>
      </c>
      <c r="M4681" s="3">
        <f ca="1">IF(AND(N4681&lt;&gt;N4680,ISNUMBER(SEARCH(Лист2!$B$6,N:N)),L4681=2),MAX($M$3:OFFSET(M4681,-1,0))+1,0)</f>
        <v>0</v>
      </c>
      <c r="N4681" s="3" t="s">
        <v>2512</v>
      </c>
    </row>
    <row r="4682" spans="1:14" x14ac:dyDescent="0.25">
      <c r="A4682" s="1" t="s">
        <v>13379</v>
      </c>
      <c r="B4682" s="3" t="s">
        <v>8306</v>
      </c>
      <c r="C4682" s="2">
        <f ca="1">IF(ISNUMBER(SEARCH(Лист2!$B$4,D:D)),MAX($C$3:OFFSET(C4682,-1,0))+1,0)</f>
        <v>0</v>
      </c>
      <c r="E4682" s="9" t="str">
        <f t="shared" ca="1" si="85"/>
        <v/>
      </c>
      <c r="F4682" s="4" t="s">
        <v>27</v>
      </c>
      <c r="G4682" s="2">
        <f>IF(ISNUMBER(SEARCH(Лист2!$B$4,F:F)),1,0)</f>
        <v>0</v>
      </c>
      <c r="H4682" s="3">
        <f ca="1">IF(AND(I4682&lt;&gt;I4681,ISNUMBER(SEARCH(Лист2!$B$5,I:I)),G4682=1),MAX($H$3:OFFSET(H4682,-1,0))+1,0)</f>
        <v>0</v>
      </c>
      <c r="I4682" s="3" t="s">
        <v>336</v>
      </c>
      <c r="K4682" s="2">
        <f>IF(ISNUMBER(SEARCH(Лист2!$B$4,F:F)),1,0)</f>
        <v>0</v>
      </c>
      <c r="L4682" s="14">
        <f>IF(ISNUMBER(SEARCH(Лист2!$B$5,I:I)),1,0)+K4682</f>
        <v>0</v>
      </c>
      <c r="M4682" s="3">
        <f ca="1">IF(AND(N4682&lt;&gt;N4681,ISNUMBER(SEARCH(Лист2!$B$6,N:N)),L4682=2),MAX($M$3:OFFSET(M4682,-1,0))+1,0)</f>
        <v>0</v>
      </c>
      <c r="N4682" s="3" t="s">
        <v>2513</v>
      </c>
    </row>
    <row r="4683" spans="1:14" x14ac:dyDescent="0.25">
      <c r="A4683" s="1" t="s">
        <v>13379</v>
      </c>
      <c r="B4683" s="3" t="s">
        <v>8307</v>
      </c>
      <c r="C4683" s="2">
        <f ca="1">IF(ISNUMBER(SEARCH(Лист2!$B$4,D:D)),MAX($C$3:OFFSET(C4683,-1,0))+1,0)</f>
        <v>0</v>
      </c>
      <c r="E4683" s="9" t="str">
        <f t="shared" ca="1" si="85"/>
        <v/>
      </c>
      <c r="F4683" s="4" t="s">
        <v>27</v>
      </c>
      <c r="G4683" s="2">
        <f>IF(ISNUMBER(SEARCH(Лист2!$B$4,F:F)),1,0)</f>
        <v>0</v>
      </c>
      <c r="H4683" s="3">
        <f ca="1">IF(AND(I4683&lt;&gt;I4682,ISNUMBER(SEARCH(Лист2!$B$5,I:I)),G4683=1),MAX($H$3:OFFSET(H4683,-1,0))+1,0)</f>
        <v>0</v>
      </c>
      <c r="I4683" s="3" t="s">
        <v>336</v>
      </c>
      <c r="K4683" s="2">
        <f>IF(ISNUMBER(SEARCH(Лист2!$B$4,F:F)),1,0)</f>
        <v>0</v>
      </c>
      <c r="L4683" s="14">
        <f>IF(ISNUMBER(SEARCH(Лист2!$B$5,I:I)),1,0)+K4683</f>
        <v>0</v>
      </c>
      <c r="M4683" s="3">
        <f ca="1">IF(AND(N4683&lt;&gt;N4682,ISNUMBER(SEARCH(Лист2!$B$6,N:N)),L4683=2),MAX($M$3:OFFSET(M4683,-1,0))+1,0)</f>
        <v>0</v>
      </c>
      <c r="N4683" s="3" t="s">
        <v>2513</v>
      </c>
    </row>
    <row r="4684" spans="1:14" x14ac:dyDescent="0.25">
      <c r="A4684" s="1" t="s">
        <v>13379</v>
      </c>
      <c r="B4684" s="3" t="s">
        <v>8308</v>
      </c>
      <c r="C4684" s="2">
        <f ca="1">IF(ISNUMBER(SEARCH(Лист2!$B$4,D:D)),MAX($C$3:OFFSET(C4684,-1,0))+1,0)</f>
        <v>0</v>
      </c>
      <c r="E4684" s="9" t="str">
        <f t="shared" ca="1" si="85"/>
        <v/>
      </c>
      <c r="F4684" s="4" t="s">
        <v>27</v>
      </c>
      <c r="G4684" s="2">
        <f>IF(ISNUMBER(SEARCH(Лист2!$B$4,F:F)),1,0)</f>
        <v>0</v>
      </c>
      <c r="H4684" s="3">
        <f ca="1">IF(AND(I4684&lt;&gt;I4683,ISNUMBER(SEARCH(Лист2!$B$5,I:I)),G4684=1),MAX($H$3:OFFSET(H4684,-1,0))+1,0)</f>
        <v>0</v>
      </c>
      <c r="I4684" s="3" t="s">
        <v>336</v>
      </c>
      <c r="K4684" s="2">
        <f>IF(ISNUMBER(SEARCH(Лист2!$B$4,F:F)),1,0)</f>
        <v>0</v>
      </c>
      <c r="L4684" s="14">
        <f>IF(ISNUMBER(SEARCH(Лист2!$B$5,I:I)),1,0)+K4684</f>
        <v>0</v>
      </c>
      <c r="M4684" s="3">
        <f ca="1">IF(AND(N4684&lt;&gt;N4683,ISNUMBER(SEARCH(Лист2!$B$6,N:N)),L4684=2),MAX($M$3:OFFSET(M4684,-1,0))+1,0)</f>
        <v>0</v>
      </c>
      <c r="N4684" s="3" t="s">
        <v>2513</v>
      </c>
    </row>
    <row r="4685" spans="1:14" x14ac:dyDescent="0.25">
      <c r="A4685" s="1" t="s">
        <v>13380</v>
      </c>
      <c r="B4685" s="3" t="s">
        <v>8309</v>
      </c>
      <c r="C4685" s="2">
        <f ca="1">IF(ISNUMBER(SEARCH(Лист2!$B$4,D:D)),MAX($C$3:OFFSET(C4685,-1,0))+1,0)</f>
        <v>0</v>
      </c>
      <c r="E4685" s="9" t="str">
        <f t="shared" ca="1" si="85"/>
        <v/>
      </c>
      <c r="F4685" s="4" t="s">
        <v>27</v>
      </c>
      <c r="G4685" s="2">
        <f>IF(ISNUMBER(SEARCH(Лист2!$B$4,F:F)),1,0)</f>
        <v>0</v>
      </c>
      <c r="H4685" s="3">
        <f ca="1">IF(AND(I4685&lt;&gt;I4684,ISNUMBER(SEARCH(Лист2!$B$5,I:I)),G4685=1),MAX($H$3:OFFSET(H4685,-1,0))+1,0)</f>
        <v>0</v>
      </c>
      <c r="I4685" s="3" t="s">
        <v>336</v>
      </c>
      <c r="K4685" s="2">
        <f>IF(ISNUMBER(SEARCH(Лист2!$B$4,F:F)),1,0)</f>
        <v>0</v>
      </c>
      <c r="L4685" s="14">
        <f>IF(ISNUMBER(SEARCH(Лист2!$B$5,I:I)),1,0)+K4685</f>
        <v>0</v>
      </c>
      <c r="M4685" s="3">
        <f ca="1">IF(AND(N4685&lt;&gt;N4684,ISNUMBER(SEARCH(Лист2!$B$6,N:N)),L4685=2),MAX($M$3:OFFSET(M4685,-1,0))+1,0)</f>
        <v>0</v>
      </c>
      <c r="N4685" s="3" t="s">
        <v>1385</v>
      </c>
    </row>
    <row r="4686" spans="1:14" x14ac:dyDescent="0.25">
      <c r="A4686" s="1" t="s">
        <v>13381</v>
      </c>
      <c r="B4686" s="3" t="s">
        <v>8310</v>
      </c>
      <c r="C4686" s="2">
        <f ca="1">IF(ISNUMBER(SEARCH(Лист2!$B$4,D:D)),MAX($C$3:OFFSET(C4686,-1,0))+1,0)</f>
        <v>0</v>
      </c>
      <c r="E4686" s="9" t="str">
        <f t="shared" ca="1" si="85"/>
        <v/>
      </c>
      <c r="F4686" s="4" t="s">
        <v>27</v>
      </c>
      <c r="G4686" s="2">
        <f>IF(ISNUMBER(SEARCH(Лист2!$B$4,F:F)),1,0)</f>
        <v>0</v>
      </c>
      <c r="H4686" s="3">
        <f ca="1">IF(AND(I4686&lt;&gt;I4685,ISNUMBER(SEARCH(Лист2!$B$5,I:I)),G4686=1),MAX($H$3:OFFSET(H4686,-1,0))+1,0)</f>
        <v>0</v>
      </c>
      <c r="I4686" s="3" t="s">
        <v>336</v>
      </c>
      <c r="K4686" s="2">
        <f>IF(ISNUMBER(SEARCH(Лист2!$B$4,F:F)),1,0)</f>
        <v>0</v>
      </c>
      <c r="L4686" s="14">
        <f>IF(ISNUMBER(SEARCH(Лист2!$B$5,I:I)),1,0)+K4686</f>
        <v>0</v>
      </c>
      <c r="M4686" s="3">
        <f ca="1">IF(AND(N4686&lt;&gt;N4685,ISNUMBER(SEARCH(Лист2!$B$6,N:N)),L4686=2),MAX($M$3:OFFSET(M4686,-1,0))+1,0)</f>
        <v>0</v>
      </c>
      <c r="N4686" s="3" t="s">
        <v>602</v>
      </c>
    </row>
    <row r="4687" spans="1:14" x14ac:dyDescent="0.25">
      <c r="A4687" s="1" t="s">
        <v>13382</v>
      </c>
      <c r="B4687" s="3" t="s">
        <v>8311</v>
      </c>
      <c r="C4687" s="2">
        <f ca="1">IF(ISNUMBER(SEARCH(Лист2!$B$4,D:D)),MAX($C$3:OFFSET(C4687,-1,0))+1,0)</f>
        <v>0</v>
      </c>
      <c r="E4687" s="9" t="str">
        <f t="shared" ca="1" si="85"/>
        <v/>
      </c>
      <c r="F4687" s="4" t="s">
        <v>27</v>
      </c>
      <c r="G4687" s="2">
        <f>IF(ISNUMBER(SEARCH(Лист2!$B$4,F:F)),1,0)</f>
        <v>0</v>
      </c>
      <c r="H4687" s="3">
        <f ca="1">IF(AND(I4687&lt;&gt;I4686,ISNUMBER(SEARCH(Лист2!$B$5,I:I)),G4687=1),MAX($H$3:OFFSET(H4687,-1,0))+1,0)</f>
        <v>0</v>
      </c>
      <c r="I4687" s="3" t="s">
        <v>336</v>
      </c>
      <c r="K4687" s="2">
        <f>IF(ISNUMBER(SEARCH(Лист2!$B$4,F:F)),1,0)</f>
        <v>0</v>
      </c>
      <c r="L4687" s="14">
        <f>IF(ISNUMBER(SEARCH(Лист2!$B$5,I:I)),1,0)+K4687</f>
        <v>0</v>
      </c>
      <c r="M4687" s="3">
        <f ca="1">IF(AND(N4687&lt;&gt;N4686,ISNUMBER(SEARCH(Лист2!$B$6,N:N)),L4687=2),MAX($M$3:OFFSET(M4687,-1,0))+1,0)</f>
        <v>0</v>
      </c>
      <c r="N4687" s="3" t="s">
        <v>2869</v>
      </c>
    </row>
    <row r="4688" spans="1:14" x14ac:dyDescent="0.25">
      <c r="A4688" s="1" t="s">
        <v>13383</v>
      </c>
      <c r="B4688" s="3" t="s">
        <v>8312</v>
      </c>
      <c r="C4688" s="2">
        <f ca="1">IF(ISNUMBER(SEARCH(Лист2!$B$4,D:D)),MAX($C$3:OFFSET(C4688,-1,0))+1,0)</f>
        <v>0</v>
      </c>
      <c r="E4688" s="9" t="str">
        <f t="shared" ca="1" si="85"/>
        <v/>
      </c>
      <c r="F4688" s="4" t="s">
        <v>27</v>
      </c>
      <c r="G4688" s="2">
        <f>IF(ISNUMBER(SEARCH(Лист2!$B$4,F:F)),1,0)</f>
        <v>0</v>
      </c>
      <c r="H4688" s="3">
        <f ca="1">IF(AND(I4688&lt;&gt;I4687,ISNUMBER(SEARCH(Лист2!$B$5,I:I)),G4688=1),MAX($H$3:OFFSET(H4688,-1,0))+1,0)</f>
        <v>0</v>
      </c>
      <c r="I4688" s="3" t="s">
        <v>336</v>
      </c>
      <c r="K4688" s="2">
        <f>IF(ISNUMBER(SEARCH(Лист2!$B$4,F:F)),1,0)</f>
        <v>0</v>
      </c>
      <c r="L4688" s="14">
        <f>IF(ISNUMBER(SEARCH(Лист2!$B$5,I:I)),1,0)+K4688</f>
        <v>0</v>
      </c>
      <c r="M4688" s="3">
        <f ca="1">IF(AND(N4688&lt;&gt;N4687,ISNUMBER(SEARCH(Лист2!$B$6,N:N)),L4688=2),MAX($M$3:OFFSET(M4688,-1,0))+1,0)</f>
        <v>0</v>
      </c>
      <c r="N4688" s="3" t="s">
        <v>2515</v>
      </c>
    </row>
    <row r="4689" spans="1:14" x14ac:dyDescent="0.25">
      <c r="A4689" s="1" t="s">
        <v>13384</v>
      </c>
      <c r="B4689" s="3" t="s">
        <v>8313</v>
      </c>
      <c r="C4689" s="2">
        <f ca="1">IF(ISNUMBER(SEARCH(Лист2!$B$4,D:D)),MAX($C$3:OFFSET(C4689,-1,0))+1,0)</f>
        <v>0</v>
      </c>
      <c r="E4689" s="9" t="str">
        <f t="shared" ca="1" si="85"/>
        <v/>
      </c>
      <c r="F4689" s="4" t="s">
        <v>27</v>
      </c>
      <c r="G4689" s="2">
        <f>IF(ISNUMBER(SEARCH(Лист2!$B$4,F:F)),1,0)</f>
        <v>0</v>
      </c>
      <c r="H4689" s="3">
        <f ca="1">IF(AND(I4689&lt;&gt;I4688,ISNUMBER(SEARCH(Лист2!$B$5,I:I)),G4689=1),MAX($H$3:OFFSET(H4689,-1,0))+1,0)</f>
        <v>0</v>
      </c>
      <c r="I4689" s="3" t="s">
        <v>336</v>
      </c>
      <c r="K4689" s="2">
        <f>IF(ISNUMBER(SEARCH(Лист2!$B$4,F:F)),1,0)</f>
        <v>0</v>
      </c>
      <c r="L4689" s="14">
        <f>IF(ISNUMBER(SEARCH(Лист2!$B$5,I:I)),1,0)+K4689</f>
        <v>0</v>
      </c>
      <c r="M4689" s="3">
        <f ca="1">IF(AND(N4689&lt;&gt;N4688,ISNUMBER(SEARCH(Лист2!$B$6,N:N)),L4689=2),MAX($M$3:OFFSET(M4689,-1,0))+1,0)</f>
        <v>0</v>
      </c>
      <c r="N4689" s="3" t="s">
        <v>2516</v>
      </c>
    </row>
    <row r="4690" spans="1:14" x14ac:dyDescent="0.25">
      <c r="A4690" s="1" t="s">
        <v>13385</v>
      </c>
      <c r="B4690" s="3" t="s">
        <v>8314</v>
      </c>
      <c r="C4690" s="2">
        <f ca="1">IF(ISNUMBER(SEARCH(Лист2!$B$4,D:D)),MAX($C$3:OFFSET(C4690,-1,0))+1,0)</f>
        <v>0</v>
      </c>
      <c r="E4690" s="9" t="str">
        <f t="shared" ca="1" si="85"/>
        <v/>
      </c>
      <c r="F4690" s="4" t="s">
        <v>27</v>
      </c>
      <c r="G4690" s="2">
        <f>IF(ISNUMBER(SEARCH(Лист2!$B$4,F:F)),1,0)</f>
        <v>0</v>
      </c>
      <c r="H4690" s="3">
        <f ca="1">IF(AND(I4690&lt;&gt;I4689,ISNUMBER(SEARCH(Лист2!$B$5,I:I)),G4690=1),MAX($H$3:OFFSET(H4690,-1,0))+1,0)</f>
        <v>0</v>
      </c>
      <c r="I4690" s="3" t="s">
        <v>336</v>
      </c>
      <c r="K4690" s="2">
        <f>IF(ISNUMBER(SEARCH(Лист2!$B$4,F:F)),1,0)</f>
        <v>0</v>
      </c>
      <c r="L4690" s="14">
        <f>IF(ISNUMBER(SEARCH(Лист2!$B$5,I:I)),1,0)+K4690</f>
        <v>0</v>
      </c>
      <c r="M4690" s="3">
        <f ca="1">IF(AND(N4690&lt;&gt;N4689,ISNUMBER(SEARCH(Лист2!$B$6,N:N)),L4690=2),MAX($M$3:OFFSET(M4690,-1,0))+1,0)</f>
        <v>0</v>
      </c>
      <c r="N4690" s="3" t="s">
        <v>2872</v>
      </c>
    </row>
    <row r="4691" spans="1:14" x14ac:dyDescent="0.25">
      <c r="A4691" s="1" t="s">
        <v>13386</v>
      </c>
      <c r="B4691" s="3" t="s">
        <v>8315</v>
      </c>
      <c r="C4691" s="2">
        <f ca="1">IF(ISNUMBER(SEARCH(Лист2!$B$4,D:D)),MAX($C$3:OFFSET(C4691,-1,0))+1,0)</f>
        <v>0</v>
      </c>
      <c r="E4691" s="9" t="str">
        <f t="shared" ca="1" si="85"/>
        <v/>
      </c>
      <c r="F4691" s="4" t="s">
        <v>27</v>
      </c>
      <c r="G4691" s="2">
        <f>IF(ISNUMBER(SEARCH(Лист2!$B$4,F:F)),1,0)</f>
        <v>0</v>
      </c>
      <c r="H4691" s="3">
        <f ca="1">IF(AND(I4691&lt;&gt;I4690,ISNUMBER(SEARCH(Лист2!$B$5,I:I)),G4691=1),MAX($H$3:OFFSET(H4691,-1,0))+1,0)</f>
        <v>0</v>
      </c>
      <c r="I4691" s="3" t="s">
        <v>336</v>
      </c>
      <c r="K4691" s="2">
        <f>IF(ISNUMBER(SEARCH(Лист2!$B$4,F:F)),1,0)</f>
        <v>0</v>
      </c>
      <c r="L4691" s="14">
        <f>IF(ISNUMBER(SEARCH(Лист2!$B$5,I:I)),1,0)+K4691</f>
        <v>0</v>
      </c>
      <c r="M4691" s="3">
        <f ca="1">IF(AND(N4691&lt;&gt;N4690,ISNUMBER(SEARCH(Лист2!$B$6,N:N)),L4691=2),MAX($M$3:OFFSET(M4691,-1,0))+1,0)</f>
        <v>0</v>
      </c>
      <c r="N4691" s="3" t="s">
        <v>2873</v>
      </c>
    </row>
    <row r="4692" spans="1:14" x14ac:dyDescent="0.25">
      <c r="A4692" s="1" t="s">
        <v>13387</v>
      </c>
      <c r="B4692" s="3" t="s">
        <v>8316</v>
      </c>
      <c r="C4692" s="2">
        <f ca="1">IF(ISNUMBER(SEARCH(Лист2!$B$4,D:D)),MAX($C$3:OFFSET(C4692,-1,0))+1,0)</f>
        <v>0</v>
      </c>
      <c r="E4692" s="9" t="str">
        <f t="shared" ca="1" si="85"/>
        <v/>
      </c>
      <c r="F4692" s="4" t="s">
        <v>27</v>
      </c>
      <c r="G4692" s="2">
        <f>IF(ISNUMBER(SEARCH(Лист2!$B$4,F:F)),1,0)</f>
        <v>0</v>
      </c>
      <c r="H4692" s="3">
        <f ca="1">IF(AND(I4692&lt;&gt;I4691,ISNUMBER(SEARCH(Лист2!$B$5,I:I)),G4692=1),MAX($H$3:OFFSET(H4692,-1,0))+1,0)</f>
        <v>0</v>
      </c>
      <c r="I4692" s="3" t="s">
        <v>337</v>
      </c>
      <c r="K4692" s="2">
        <f>IF(ISNUMBER(SEARCH(Лист2!$B$4,F:F)),1,0)</f>
        <v>0</v>
      </c>
      <c r="L4692" s="14">
        <f>IF(ISNUMBER(SEARCH(Лист2!$B$5,I:I)),1,0)+K4692</f>
        <v>0</v>
      </c>
      <c r="M4692" s="3">
        <f ca="1">IF(AND(N4692&lt;&gt;N4691,ISNUMBER(SEARCH(Лист2!$B$6,N:N)),L4692=2),MAX($M$3:OFFSET(M4692,-1,0))+1,0)</f>
        <v>0</v>
      </c>
      <c r="N4692" s="3" t="s">
        <v>2512</v>
      </c>
    </row>
    <row r="4693" spans="1:14" x14ac:dyDescent="0.25">
      <c r="A4693" s="1" t="s">
        <v>13387</v>
      </c>
      <c r="B4693" s="3" t="s">
        <v>8317</v>
      </c>
      <c r="C4693" s="2">
        <f ca="1">IF(ISNUMBER(SEARCH(Лист2!$B$4,D:D)),MAX($C$3:OFFSET(C4693,-1,0))+1,0)</f>
        <v>0</v>
      </c>
      <c r="E4693" s="9" t="str">
        <f t="shared" ca="1" si="85"/>
        <v/>
      </c>
      <c r="F4693" s="4" t="s">
        <v>27</v>
      </c>
      <c r="G4693" s="2">
        <f>IF(ISNUMBER(SEARCH(Лист2!$B$4,F:F)),1,0)</f>
        <v>0</v>
      </c>
      <c r="H4693" s="3">
        <f ca="1">IF(AND(I4693&lt;&gt;I4692,ISNUMBER(SEARCH(Лист2!$B$5,I:I)),G4693=1),MAX($H$3:OFFSET(H4693,-1,0))+1,0)</f>
        <v>0</v>
      </c>
      <c r="I4693" s="3" t="s">
        <v>337</v>
      </c>
      <c r="K4693" s="2">
        <f>IF(ISNUMBER(SEARCH(Лист2!$B$4,F:F)),1,0)</f>
        <v>0</v>
      </c>
      <c r="L4693" s="14">
        <f>IF(ISNUMBER(SEARCH(Лист2!$B$5,I:I)),1,0)+K4693</f>
        <v>0</v>
      </c>
      <c r="M4693" s="3">
        <f ca="1">IF(AND(N4693&lt;&gt;N4692,ISNUMBER(SEARCH(Лист2!$B$6,N:N)),L4693=2),MAX($M$3:OFFSET(M4693,-1,0))+1,0)</f>
        <v>0</v>
      </c>
      <c r="N4693" s="3" t="s">
        <v>2512</v>
      </c>
    </row>
    <row r="4694" spans="1:14" x14ac:dyDescent="0.25">
      <c r="A4694" s="1" t="s">
        <v>13387</v>
      </c>
      <c r="B4694" s="3" t="s">
        <v>8318</v>
      </c>
      <c r="C4694" s="2">
        <f ca="1">IF(ISNUMBER(SEARCH(Лист2!$B$4,D:D)),MAX($C$3:OFFSET(C4694,-1,0))+1,0)</f>
        <v>0</v>
      </c>
      <c r="E4694" s="9" t="str">
        <f t="shared" ca="1" si="85"/>
        <v/>
      </c>
      <c r="F4694" s="4" t="s">
        <v>27</v>
      </c>
      <c r="G4694" s="2">
        <f>IF(ISNUMBER(SEARCH(Лист2!$B$4,F:F)),1,0)</f>
        <v>0</v>
      </c>
      <c r="H4694" s="3">
        <f ca="1">IF(AND(I4694&lt;&gt;I4693,ISNUMBER(SEARCH(Лист2!$B$5,I:I)),G4694=1),MAX($H$3:OFFSET(H4694,-1,0))+1,0)</f>
        <v>0</v>
      </c>
      <c r="I4694" s="3" t="s">
        <v>337</v>
      </c>
      <c r="K4694" s="2">
        <f>IF(ISNUMBER(SEARCH(Лист2!$B$4,F:F)),1,0)</f>
        <v>0</v>
      </c>
      <c r="L4694" s="14">
        <f>IF(ISNUMBER(SEARCH(Лист2!$B$5,I:I)),1,0)+K4694</f>
        <v>0</v>
      </c>
      <c r="M4694" s="3">
        <f ca="1">IF(AND(N4694&lt;&gt;N4693,ISNUMBER(SEARCH(Лист2!$B$6,N:N)),L4694=2),MAX($M$3:OFFSET(M4694,-1,0))+1,0)</f>
        <v>0</v>
      </c>
      <c r="N4694" s="3" t="s">
        <v>2512</v>
      </c>
    </row>
    <row r="4695" spans="1:14" x14ac:dyDescent="0.25">
      <c r="A4695" s="1" t="s">
        <v>13388</v>
      </c>
      <c r="B4695" s="3" t="s">
        <v>8319</v>
      </c>
      <c r="C4695" s="2">
        <f ca="1">IF(ISNUMBER(SEARCH(Лист2!$B$4,D:D)),MAX($C$3:OFFSET(C4695,-1,0))+1,0)</f>
        <v>0</v>
      </c>
      <c r="E4695" s="9" t="str">
        <f t="shared" ca="1" si="85"/>
        <v/>
      </c>
      <c r="F4695" s="4" t="s">
        <v>27</v>
      </c>
      <c r="G4695" s="2">
        <f>IF(ISNUMBER(SEARCH(Лист2!$B$4,F:F)),1,0)</f>
        <v>0</v>
      </c>
      <c r="H4695" s="3">
        <f ca="1">IF(AND(I4695&lt;&gt;I4694,ISNUMBER(SEARCH(Лист2!$B$5,I:I)),G4695=1),MAX($H$3:OFFSET(H4695,-1,0))+1,0)</f>
        <v>0</v>
      </c>
      <c r="I4695" s="3" t="s">
        <v>337</v>
      </c>
      <c r="K4695" s="2">
        <f>IF(ISNUMBER(SEARCH(Лист2!$B$4,F:F)),1,0)</f>
        <v>0</v>
      </c>
      <c r="L4695" s="14">
        <f>IF(ISNUMBER(SEARCH(Лист2!$B$5,I:I)),1,0)+K4695</f>
        <v>0</v>
      </c>
      <c r="M4695" s="3">
        <f ca="1">IF(AND(N4695&lt;&gt;N4694,ISNUMBER(SEARCH(Лист2!$B$6,N:N)),L4695=2),MAX($M$3:OFFSET(M4695,-1,0))+1,0)</f>
        <v>0</v>
      </c>
      <c r="N4695" s="3" t="s">
        <v>2513</v>
      </c>
    </row>
    <row r="4696" spans="1:14" x14ac:dyDescent="0.25">
      <c r="A4696" s="1" t="s">
        <v>13388</v>
      </c>
      <c r="B4696" s="3" t="s">
        <v>8320</v>
      </c>
      <c r="C4696" s="2">
        <f ca="1">IF(ISNUMBER(SEARCH(Лист2!$B$4,D:D)),MAX($C$3:OFFSET(C4696,-1,0))+1,0)</f>
        <v>0</v>
      </c>
      <c r="E4696" s="9" t="str">
        <f t="shared" ca="1" si="85"/>
        <v/>
      </c>
      <c r="F4696" s="4" t="s">
        <v>27</v>
      </c>
      <c r="G4696" s="2">
        <f>IF(ISNUMBER(SEARCH(Лист2!$B$4,F:F)),1,0)</f>
        <v>0</v>
      </c>
      <c r="H4696" s="3">
        <f ca="1">IF(AND(I4696&lt;&gt;I4695,ISNUMBER(SEARCH(Лист2!$B$5,I:I)),G4696=1),MAX($H$3:OFFSET(H4696,-1,0))+1,0)</f>
        <v>0</v>
      </c>
      <c r="I4696" s="3" t="s">
        <v>337</v>
      </c>
      <c r="K4696" s="2">
        <f>IF(ISNUMBER(SEARCH(Лист2!$B$4,F:F)),1,0)</f>
        <v>0</v>
      </c>
      <c r="L4696" s="14">
        <f>IF(ISNUMBER(SEARCH(Лист2!$B$5,I:I)),1,0)+K4696</f>
        <v>0</v>
      </c>
      <c r="M4696" s="3">
        <f ca="1">IF(AND(N4696&lt;&gt;N4695,ISNUMBER(SEARCH(Лист2!$B$6,N:N)),L4696=2),MAX($M$3:OFFSET(M4696,-1,0))+1,0)</f>
        <v>0</v>
      </c>
      <c r="N4696" s="3" t="s">
        <v>2513</v>
      </c>
    </row>
    <row r="4697" spans="1:14" x14ac:dyDescent="0.25">
      <c r="A4697" s="1" t="s">
        <v>13388</v>
      </c>
      <c r="B4697" s="3" t="s">
        <v>8321</v>
      </c>
      <c r="C4697" s="2">
        <f ca="1">IF(ISNUMBER(SEARCH(Лист2!$B$4,D:D)),MAX($C$3:OFFSET(C4697,-1,0))+1,0)</f>
        <v>0</v>
      </c>
      <c r="E4697" s="9" t="str">
        <f t="shared" ca="1" si="85"/>
        <v/>
      </c>
      <c r="F4697" s="4" t="s">
        <v>27</v>
      </c>
      <c r="G4697" s="2">
        <f>IF(ISNUMBER(SEARCH(Лист2!$B$4,F:F)),1,0)</f>
        <v>0</v>
      </c>
      <c r="H4697" s="3">
        <f ca="1">IF(AND(I4697&lt;&gt;I4696,ISNUMBER(SEARCH(Лист2!$B$5,I:I)),G4697=1),MAX($H$3:OFFSET(H4697,-1,0))+1,0)</f>
        <v>0</v>
      </c>
      <c r="I4697" s="3" t="s">
        <v>337</v>
      </c>
      <c r="K4697" s="2">
        <f>IF(ISNUMBER(SEARCH(Лист2!$B$4,F:F)),1,0)</f>
        <v>0</v>
      </c>
      <c r="L4697" s="14">
        <f>IF(ISNUMBER(SEARCH(Лист2!$B$5,I:I)),1,0)+K4697</f>
        <v>0</v>
      </c>
      <c r="M4697" s="3">
        <f ca="1">IF(AND(N4697&lt;&gt;N4696,ISNUMBER(SEARCH(Лист2!$B$6,N:N)),L4697=2),MAX($M$3:OFFSET(M4697,-1,0))+1,0)</f>
        <v>0</v>
      </c>
      <c r="N4697" s="3" t="s">
        <v>2513</v>
      </c>
    </row>
    <row r="4698" spans="1:14" x14ac:dyDescent="0.25">
      <c r="A4698" s="1" t="s">
        <v>13389</v>
      </c>
      <c r="B4698" s="3" t="s">
        <v>8322</v>
      </c>
      <c r="C4698" s="2">
        <f ca="1">IF(ISNUMBER(SEARCH(Лист2!$B$4,D:D)),MAX($C$3:OFFSET(C4698,-1,0))+1,0)</f>
        <v>0</v>
      </c>
      <c r="E4698" s="9" t="str">
        <f t="shared" ca="1" si="85"/>
        <v/>
      </c>
      <c r="F4698" s="4" t="s">
        <v>27</v>
      </c>
      <c r="G4698" s="2">
        <f>IF(ISNUMBER(SEARCH(Лист2!$B$4,F:F)),1,0)</f>
        <v>0</v>
      </c>
      <c r="H4698" s="3">
        <f ca="1">IF(AND(I4698&lt;&gt;I4697,ISNUMBER(SEARCH(Лист2!$B$5,I:I)),G4698=1),MAX($H$3:OFFSET(H4698,-1,0))+1,0)</f>
        <v>0</v>
      </c>
      <c r="I4698" s="3" t="s">
        <v>337</v>
      </c>
      <c r="K4698" s="2">
        <f>IF(ISNUMBER(SEARCH(Лист2!$B$4,F:F)),1,0)</f>
        <v>0</v>
      </c>
      <c r="L4698" s="14">
        <f>IF(ISNUMBER(SEARCH(Лист2!$B$5,I:I)),1,0)+K4698</f>
        <v>0</v>
      </c>
      <c r="M4698" s="3">
        <f ca="1">IF(AND(N4698&lt;&gt;N4697,ISNUMBER(SEARCH(Лист2!$B$6,N:N)),L4698=2),MAX($M$3:OFFSET(M4698,-1,0))+1,0)</f>
        <v>0</v>
      </c>
      <c r="N4698" s="3" t="s">
        <v>1385</v>
      </c>
    </row>
    <row r="4699" spans="1:14" x14ac:dyDescent="0.25">
      <c r="A4699" s="1" t="s">
        <v>13390</v>
      </c>
      <c r="B4699" s="3" t="s">
        <v>8323</v>
      </c>
      <c r="C4699" s="2">
        <f ca="1">IF(ISNUMBER(SEARCH(Лист2!$B$4,D:D)),MAX($C$3:OFFSET(C4699,-1,0))+1,0)</f>
        <v>0</v>
      </c>
      <c r="E4699" s="9" t="str">
        <f t="shared" ca="1" si="85"/>
        <v/>
      </c>
      <c r="F4699" s="4" t="s">
        <v>27</v>
      </c>
      <c r="G4699" s="2">
        <f>IF(ISNUMBER(SEARCH(Лист2!$B$4,F:F)),1,0)</f>
        <v>0</v>
      </c>
      <c r="H4699" s="3">
        <f ca="1">IF(AND(I4699&lt;&gt;I4698,ISNUMBER(SEARCH(Лист2!$B$5,I:I)),G4699=1),MAX($H$3:OFFSET(H4699,-1,0))+1,0)</f>
        <v>0</v>
      </c>
      <c r="I4699" s="3" t="s">
        <v>337</v>
      </c>
      <c r="K4699" s="2">
        <f>IF(ISNUMBER(SEARCH(Лист2!$B$4,F:F)),1,0)</f>
        <v>0</v>
      </c>
      <c r="L4699" s="14">
        <f>IF(ISNUMBER(SEARCH(Лист2!$B$5,I:I)),1,0)+K4699</f>
        <v>0</v>
      </c>
      <c r="M4699" s="3">
        <f ca="1">IF(AND(N4699&lt;&gt;N4698,ISNUMBER(SEARCH(Лист2!$B$6,N:N)),L4699=2),MAX($M$3:OFFSET(M4699,-1,0))+1,0)</f>
        <v>0</v>
      </c>
      <c r="N4699" s="3" t="s">
        <v>602</v>
      </c>
    </row>
    <row r="4700" spans="1:14" x14ac:dyDescent="0.25">
      <c r="A4700" s="1" t="s">
        <v>13391</v>
      </c>
      <c r="B4700" s="3" t="s">
        <v>8324</v>
      </c>
      <c r="C4700" s="2">
        <f ca="1">IF(ISNUMBER(SEARCH(Лист2!$B$4,D:D)),MAX($C$3:OFFSET(C4700,-1,0))+1,0)</f>
        <v>0</v>
      </c>
      <c r="E4700" s="9" t="str">
        <f t="shared" ca="1" si="85"/>
        <v/>
      </c>
      <c r="F4700" s="4" t="s">
        <v>27</v>
      </c>
      <c r="G4700" s="2">
        <f>IF(ISNUMBER(SEARCH(Лист2!$B$4,F:F)),1,0)</f>
        <v>0</v>
      </c>
      <c r="H4700" s="3">
        <f ca="1">IF(AND(I4700&lt;&gt;I4699,ISNUMBER(SEARCH(Лист2!$B$5,I:I)),G4700=1),MAX($H$3:OFFSET(H4700,-1,0))+1,0)</f>
        <v>0</v>
      </c>
      <c r="I4700" s="3" t="s">
        <v>337</v>
      </c>
      <c r="K4700" s="2">
        <f>IF(ISNUMBER(SEARCH(Лист2!$B$4,F:F)),1,0)</f>
        <v>0</v>
      </c>
      <c r="L4700" s="14">
        <f>IF(ISNUMBER(SEARCH(Лист2!$B$5,I:I)),1,0)+K4700</f>
        <v>0</v>
      </c>
      <c r="M4700" s="3">
        <f ca="1">IF(AND(N4700&lt;&gt;N4699,ISNUMBER(SEARCH(Лист2!$B$6,N:N)),L4700=2),MAX($M$3:OFFSET(M4700,-1,0))+1,0)</f>
        <v>0</v>
      </c>
      <c r="N4700" s="3" t="s">
        <v>2869</v>
      </c>
    </row>
    <row r="4701" spans="1:14" x14ac:dyDescent="0.25">
      <c r="A4701" s="1" t="s">
        <v>13392</v>
      </c>
      <c r="B4701" s="3" t="s">
        <v>8325</v>
      </c>
      <c r="C4701" s="2">
        <f ca="1">IF(ISNUMBER(SEARCH(Лист2!$B$4,D:D)),MAX($C$3:OFFSET(C4701,-1,0))+1,0)</f>
        <v>0</v>
      </c>
      <c r="E4701" s="9" t="str">
        <f t="shared" ca="1" si="85"/>
        <v/>
      </c>
      <c r="F4701" s="4" t="s">
        <v>27</v>
      </c>
      <c r="G4701" s="2">
        <f>IF(ISNUMBER(SEARCH(Лист2!$B$4,F:F)),1,0)</f>
        <v>0</v>
      </c>
      <c r="H4701" s="3">
        <f ca="1">IF(AND(I4701&lt;&gt;I4700,ISNUMBER(SEARCH(Лист2!$B$5,I:I)),G4701=1),MAX($H$3:OFFSET(H4701,-1,0))+1,0)</f>
        <v>0</v>
      </c>
      <c r="I4701" s="3" t="s">
        <v>337</v>
      </c>
      <c r="K4701" s="2">
        <f>IF(ISNUMBER(SEARCH(Лист2!$B$4,F:F)),1,0)</f>
        <v>0</v>
      </c>
      <c r="L4701" s="14">
        <f>IF(ISNUMBER(SEARCH(Лист2!$B$5,I:I)),1,0)+K4701</f>
        <v>0</v>
      </c>
      <c r="M4701" s="3">
        <f ca="1">IF(AND(N4701&lt;&gt;N4700,ISNUMBER(SEARCH(Лист2!$B$6,N:N)),L4701=2),MAX($M$3:OFFSET(M4701,-1,0))+1,0)</f>
        <v>0</v>
      </c>
      <c r="N4701" s="3" t="s">
        <v>2515</v>
      </c>
    </row>
    <row r="4702" spans="1:14" x14ac:dyDescent="0.25">
      <c r="A4702" s="1" t="s">
        <v>13393</v>
      </c>
      <c r="B4702" s="3" t="s">
        <v>8326</v>
      </c>
      <c r="C4702" s="2">
        <f ca="1">IF(ISNUMBER(SEARCH(Лист2!$B$4,D:D)),MAX($C$3:OFFSET(C4702,-1,0))+1,0)</f>
        <v>0</v>
      </c>
      <c r="E4702" s="9" t="str">
        <f t="shared" ca="1" si="85"/>
        <v/>
      </c>
      <c r="F4702" s="4" t="s">
        <v>27</v>
      </c>
      <c r="G4702" s="2">
        <f>IF(ISNUMBER(SEARCH(Лист2!$B$4,F:F)),1,0)</f>
        <v>0</v>
      </c>
      <c r="H4702" s="3">
        <f ca="1">IF(AND(I4702&lt;&gt;I4701,ISNUMBER(SEARCH(Лист2!$B$5,I:I)),G4702=1),MAX($H$3:OFFSET(H4702,-1,0))+1,0)</f>
        <v>0</v>
      </c>
      <c r="I4702" s="3" t="s">
        <v>337</v>
      </c>
      <c r="K4702" s="2">
        <f>IF(ISNUMBER(SEARCH(Лист2!$B$4,F:F)),1,0)</f>
        <v>0</v>
      </c>
      <c r="L4702" s="14">
        <f>IF(ISNUMBER(SEARCH(Лист2!$B$5,I:I)),1,0)+K4702</f>
        <v>0</v>
      </c>
      <c r="M4702" s="3">
        <f ca="1">IF(AND(N4702&lt;&gt;N4701,ISNUMBER(SEARCH(Лист2!$B$6,N:N)),L4702=2),MAX($M$3:OFFSET(M4702,-1,0))+1,0)</f>
        <v>0</v>
      </c>
      <c r="N4702" s="3" t="s">
        <v>2516</v>
      </c>
    </row>
    <row r="4703" spans="1:14" x14ac:dyDescent="0.25">
      <c r="A4703" s="1" t="s">
        <v>13394</v>
      </c>
      <c r="B4703" s="3" t="s">
        <v>8327</v>
      </c>
      <c r="C4703" s="2">
        <f ca="1">IF(ISNUMBER(SEARCH(Лист2!$B$4,D:D)),MAX($C$3:OFFSET(C4703,-1,0))+1,0)</f>
        <v>0</v>
      </c>
      <c r="E4703" s="9" t="str">
        <f t="shared" ca="1" si="85"/>
        <v/>
      </c>
      <c r="F4703" s="4" t="s">
        <v>27</v>
      </c>
      <c r="G4703" s="2">
        <f>IF(ISNUMBER(SEARCH(Лист2!$B$4,F:F)),1,0)</f>
        <v>0</v>
      </c>
      <c r="H4703" s="3">
        <f ca="1">IF(AND(I4703&lt;&gt;I4702,ISNUMBER(SEARCH(Лист2!$B$5,I:I)),G4703=1),MAX($H$3:OFFSET(H4703,-1,0))+1,0)</f>
        <v>0</v>
      </c>
      <c r="I4703" s="3" t="s">
        <v>337</v>
      </c>
      <c r="K4703" s="2">
        <f>IF(ISNUMBER(SEARCH(Лист2!$B$4,F:F)),1,0)</f>
        <v>0</v>
      </c>
      <c r="L4703" s="14">
        <f>IF(ISNUMBER(SEARCH(Лист2!$B$5,I:I)),1,0)+K4703</f>
        <v>0</v>
      </c>
      <c r="M4703" s="3">
        <f ca="1">IF(AND(N4703&lt;&gt;N4702,ISNUMBER(SEARCH(Лист2!$B$6,N:N)),L4703=2),MAX($M$3:OFFSET(M4703,-1,0))+1,0)</f>
        <v>0</v>
      </c>
      <c r="N4703" s="3" t="s">
        <v>2874</v>
      </c>
    </row>
    <row r="4704" spans="1:14" x14ac:dyDescent="0.25">
      <c r="A4704" s="1" t="s">
        <v>13395</v>
      </c>
      <c r="B4704" s="3" t="s">
        <v>8328</v>
      </c>
      <c r="C4704" s="2">
        <f ca="1">IF(ISNUMBER(SEARCH(Лист2!$B$4,D:D)),MAX($C$3:OFFSET(C4704,-1,0))+1,0)</f>
        <v>0</v>
      </c>
      <c r="E4704" s="9" t="str">
        <f t="shared" ca="1" si="85"/>
        <v/>
      </c>
      <c r="F4704" s="4" t="s">
        <v>27</v>
      </c>
      <c r="G4704" s="2">
        <f>IF(ISNUMBER(SEARCH(Лист2!$B$4,F:F)),1,0)</f>
        <v>0</v>
      </c>
      <c r="H4704" s="3">
        <f ca="1">IF(AND(I4704&lt;&gt;I4703,ISNUMBER(SEARCH(Лист2!$B$5,I:I)),G4704=1),MAX($H$3:OFFSET(H4704,-1,0))+1,0)</f>
        <v>0</v>
      </c>
      <c r="I4704" s="3" t="s">
        <v>337</v>
      </c>
      <c r="K4704" s="2">
        <f>IF(ISNUMBER(SEARCH(Лист2!$B$4,F:F)),1,0)</f>
        <v>0</v>
      </c>
      <c r="L4704" s="14">
        <f>IF(ISNUMBER(SEARCH(Лист2!$B$5,I:I)),1,0)+K4704</f>
        <v>0</v>
      </c>
      <c r="M4704" s="3">
        <f ca="1">IF(AND(N4704&lt;&gt;N4703,ISNUMBER(SEARCH(Лист2!$B$6,N:N)),L4704=2),MAX($M$3:OFFSET(M4704,-1,0))+1,0)</f>
        <v>0</v>
      </c>
      <c r="N4704" s="3" t="s">
        <v>2875</v>
      </c>
    </row>
    <row r="4705" spans="1:14" x14ac:dyDescent="0.25">
      <c r="A4705" s="1" t="s">
        <v>13396</v>
      </c>
      <c r="B4705" s="3" t="s">
        <v>8329</v>
      </c>
      <c r="C4705" s="2">
        <f ca="1">IF(ISNUMBER(SEARCH(Лист2!$B$4,D:D)),MAX($C$3:OFFSET(C4705,-1,0))+1,0)</f>
        <v>0</v>
      </c>
      <c r="E4705" s="9" t="str">
        <f t="shared" ca="1" si="85"/>
        <v/>
      </c>
      <c r="F4705" s="4" t="s">
        <v>27</v>
      </c>
      <c r="G4705" s="2">
        <f>IF(ISNUMBER(SEARCH(Лист2!$B$4,F:F)),1,0)</f>
        <v>0</v>
      </c>
      <c r="H4705" s="3">
        <f ca="1">IF(AND(I4705&lt;&gt;I4704,ISNUMBER(SEARCH(Лист2!$B$5,I:I)),G4705=1),MAX($H$3:OFFSET(H4705,-1,0))+1,0)</f>
        <v>0</v>
      </c>
      <c r="I4705" s="3" t="s">
        <v>337</v>
      </c>
      <c r="K4705" s="2">
        <f>IF(ISNUMBER(SEARCH(Лист2!$B$4,F:F)),1,0)</f>
        <v>0</v>
      </c>
      <c r="L4705" s="14">
        <f>IF(ISNUMBER(SEARCH(Лист2!$B$5,I:I)),1,0)+K4705</f>
        <v>0</v>
      </c>
      <c r="M4705" s="3">
        <f ca="1">IF(AND(N4705&lt;&gt;N4704,ISNUMBER(SEARCH(Лист2!$B$6,N:N)),L4705=2),MAX($M$3:OFFSET(M4705,-1,0))+1,0)</f>
        <v>0</v>
      </c>
      <c r="N4705" s="3" t="s">
        <v>2876</v>
      </c>
    </row>
    <row r="4706" spans="1:14" x14ac:dyDescent="0.25">
      <c r="A4706" s="1" t="s">
        <v>13397</v>
      </c>
      <c r="B4706" s="3" t="s">
        <v>8330</v>
      </c>
      <c r="C4706" s="2">
        <f ca="1">IF(ISNUMBER(SEARCH(Лист2!$B$4,D:D)),MAX($C$3:OFFSET(C4706,-1,0))+1,0)</f>
        <v>0</v>
      </c>
      <c r="E4706" s="9" t="str">
        <f t="shared" ca="1" si="85"/>
        <v/>
      </c>
      <c r="F4706" s="4" t="s">
        <v>27</v>
      </c>
      <c r="G4706" s="2">
        <f>IF(ISNUMBER(SEARCH(Лист2!$B$4,F:F)),1,0)</f>
        <v>0</v>
      </c>
      <c r="H4706" s="3">
        <f ca="1">IF(AND(I4706&lt;&gt;I4705,ISNUMBER(SEARCH(Лист2!$B$5,I:I)),G4706=1),MAX($H$3:OFFSET(H4706,-1,0))+1,0)</f>
        <v>0</v>
      </c>
      <c r="I4706" s="3" t="s">
        <v>338</v>
      </c>
      <c r="K4706" s="2">
        <f>IF(ISNUMBER(SEARCH(Лист2!$B$4,F:F)),1,0)</f>
        <v>0</v>
      </c>
      <c r="L4706" s="14">
        <f>IF(ISNUMBER(SEARCH(Лист2!$B$5,I:I)),1,0)+K4706</f>
        <v>0</v>
      </c>
      <c r="M4706" s="3">
        <f ca="1">IF(AND(N4706&lt;&gt;N4705,ISNUMBER(SEARCH(Лист2!$B$6,N:N)),L4706=2),MAX($M$3:OFFSET(M4706,-1,0))+1,0)</f>
        <v>0</v>
      </c>
      <c r="N4706" s="3" t="s">
        <v>2512</v>
      </c>
    </row>
    <row r="4707" spans="1:14" x14ac:dyDescent="0.25">
      <c r="A4707" s="1" t="s">
        <v>13397</v>
      </c>
      <c r="B4707" s="3" t="s">
        <v>8331</v>
      </c>
      <c r="C4707" s="2">
        <f ca="1">IF(ISNUMBER(SEARCH(Лист2!$B$4,D:D)),MAX($C$3:OFFSET(C4707,-1,0))+1,0)</f>
        <v>0</v>
      </c>
      <c r="E4707" s="9" t="str">
        <f t="shared" ca="1" si="85"/>
        <v/>
      </c>
      <c r="F4707" s="4" t="s">
        <v>27</v>
      </c>
      <c r="G4707" s="2">
        <f>IF(ISNUMBER(SEARCH(Лист2!$B$4,F:F)),1,0)</f>
        <v>0</v>
      </c>
      <c r="H4707" s="3">
        <f ca="1">IF(AND(I4707&lt;&gt;I4706,ISNUMBER(SEARCH(Лист2!$B$5,I:I)),G4707=1),MAX($H$3:OFFSET(H4707,-1,0))+1,0)</f>
        <v>0</v>
      </c>
      <c r="I4707" s="3" t="s">
        <v>338</v>
      </c>
      <c r="K4707" s="2">
        <f>IF(ISNUMBER(SEARCH(Лист2!$B$4,F:F)),1,0)</f>
        <v>0</v>
      </c>
      <c r="L4707" s="14">
        <f>IF(ISNUMBER(SEARCH(Лист2!$B$5,I:I)),1,0)+K4707</f>
        <v>0</v>
      </c>
      <c r="M4707" s="3">
        <f ca="1">IF(AND(N4707&lt;&gt;N4706,ISNUMBER(SEARCH(Лист2!$B$6,N:N)),L4707=2),MAX($M$3:OFFSET(M4707,-1,0))+1,0)</f>
        <v>0</v>
      </c>
      <c r="N4707" s="3" t="s">
        <v>2512</v>
      </c>
    </row>
    <row r="4708" spans="1:14" x14ac:dyDescent="0.25">
      <c r="A4708" s="1" t="s">
        <v>13397</v>
      </c>
      <c r="B4708" s="3" t="s">
        <v>8332</v>
      </c>
      <c r="C4708" s="2">
        <f ca="1">IF(ISNUMBER(SEARCH(Лист2!$B$4,D:D)),MAX($C$3:OFFSET(C4708,-1,0))+1,0)</f>
        <v>0</v>
      </c>
      <c r="E4708" s="9" t="str">
        <f t="shared" ca="1" si="85"/>
        <v/>
      </c>
      <c r="F4708" s="4" t="s">
        <v>27</v>
      </c>
      <c r="G4708" s="2">
        <f>IF(ISNUMBER(SEARCH(Лист2!$B$4,F:F)),1,0)</f>
        <v>0</v>
      </c>
      <c r="H4708" s="3">
        <f ca="1">IF(AND(I4708&lt;&gt;I4707,ISNUMBER(SEARCH(Лист2!$B$5,I:I)),G4708=1),MAX($H$3:OFFSET(H4708,-1,0))+1,0)</f>
        <v>0</v>
      </c>
      <c r="I4708" s="3" t="s">
        <v>338</v>
      </c>
      <c r="K4708" s="2">
        <f>IF(ISNUMBER(SEARCH(Лист2!$B$4,F:F)),1,0)</f>
        <v>0</v>
      </c>
      <c r="L4708" s="14">
        <f>IF(ISNUMBER(SEARCH(Лист2!$B$5,I:I)),1,0)+K4708</f>
        <v>0</v>
      </c>
      <c r="M4708" s="3">
        <f ca="1">IF(AND(N4708&lt;&gt;N4707,ISNUMBER(SEARCH(Лист2!$B$6,N:N)),L4708=2),MAX($M$3:OFFSET(M4708,-1,0))+1,0)</f>
        <v>0</v>
      </c>
      <c r="N4708" s="3" t="s">
        <v>2512</v>
      </c>
    </row>
    <row r="4709" spans="1:14" x14ac:dyDescent="0.25">
      <c r="A4709" s="1" t="s">
        <v>13398</v>
      </c>
      <c r="B4709" s="3" t="s">
        <v>8333</v>
      </c>
      <c r="C4709" s="2">
        <f ca="1">IF(ISNUMBER(SEARCH(Лист2!$B$4,D:D)),MAX($C$3:OFFSET(C4709,-1,0))+1,0)</f>
        <v>0</v>
      </c>
      <c r="E4709" s="9" t="str">
        <f t="shared" ca="1" si="85"/>
        <v/>
      </c>
      <c r="F4709" s="4" t="s">
        <v>27</v>
      </c>
      <c r="G4709" s="2">
        <f>IF(ISNUMBER(SEARCH(Лист2!$B$4,F:F)),1,0)</f>
        <v>0</v>
      </c>
      <c r="H4709" s="3">
        <f ca="1">IF(AND(I4709&lt;&gt;I4708,ISNUMBER(SEARCH(Лист2!$B$5,I:I)),G4709=1),MAX($H$3:OFFSET(H4709,-1,0))+1,0)</f>
        <v>0</v>
      </c>
      <c r="I4709" s="3" t="s">
        <v>338</v>
      </c>
      <c r="K4709" s="2">
        <f>IF(ISNUMBER(SEARCH(Лист2!$B$4,F:F)),1,0)</f>
        <v>0</v>
      </c>
      <c r="L4709" s="14">
        <f>IF(ISNUMBER(SEARCH(Лист2!$B$5,I:I)),1,0)+K4709</f>
        <v>0</v>
      </c>
      <c r="M4709" s="3">
        <f ca="1">IF(AND(N4709&lt;&gt;N4708,ISNUMBER(SEARCH(Лист2!$B$6,N:N)),L4709=2),MAX($M$3:OFFSET(M4709,-1,0))+1,0)</f>
        <v>0</v>
      </c>
      <c r="N4709" s="3" t="s">
        <v>2513</v>
      </c>
    </row>
    <row r="4710" spans="1:14" x14ac:dyDescent="0.25">
      <c r="A4710" s="1" t="s">
        <v>13398</v>
      </c>
      <c r="B4710" s="3" t="s">
        <v>8334</v>
      </c>
      <c r="C4710" s="2">
        <f ca="1">IF(ISNUMBER(SEARCH(Лист2!$B$4,D:D)),MAX($C$3:OFFSET(C4710,-1,0))+1,0)</f>
        <v>0</v>
      </c>
      <c r="E4710" s="9" t="str">
        <f t="shared" ca="1" si="85"/>
        <v/>
      </c>
      <c r="F4710" s="4" t="s">
        <v>27</v>
      </c>
      <c r="G4710" s="2">
        <f>IF(ISNUMBER(SEARCH(Лист2!$B$4,F:F)),1,0)</f>
        <v>0</v>
      </c>
      <c r="H4710" s="3">
        <f ca="1">IF(AND(I4710&lt;&gt;I4709,ISNUMBER(SEARCH(Лист2!$B$5,I:I)),G4710=1),MAX($H$3:OFFSET(H4710,-1,0))+1,0)</f>
        <v>0</v>
      </c>
      <c r="I4710" s="3" t="s">
        <v>338</v>
      </c>
      <c r="K4710" s="2">
        <f>IF(ISNUMBER(SEARCH(Лист2!$B$4,F:F)),1,0)</f>
        <v>0</v>
      </c>
      <c r="L4710" s="14">
        <f>IF(ISNUMBER(SEARCH(Лист2!$B$5,I:I)),1,0)+K4710</f>
        <v>0</v>
      </c>
      <c r="M4710" s="3">
        <f ca="1">IF(AND(N4710&lt;&gt;N4709,ISNUMBER(SEARCH(Лист2!$B$6,N:N)),L4710=2),MAX($M$3:OFFSET(M4710,-1,0))+1,0)</f>
        <v>0</v>
      </c>
      <c r="N4710" s="3" t="s">
        <v>2513</v>
      </c>
    </row>
    <row r="4711" spans="1:14" x14ac:dyDescent="0.25">
      <c r="A4711" s="1" t="s">
        <v>13398</v>
      </c>
      <c r="B4711" s="3" t="s">
        <v>8335</v>
      </c>
      <c r="C4711" s="2">
        <f ca="1">IF(ISNUMBER(SEARCH(Лист2!$B$4,D:D)),MAX($C$3:OFFSET(C4711,-1,0))+1,0)</f>
        <v>0</v>
      </c>
      <c r="E4711" s="9" t="str">
        <f t="shared" ca="1" si="85"/>
        <v/>
      </c>
      <c r="F4711" s="4" t="s">
        <v>27</v>
      </c>
      <c r="G4711" s="2">
        <f>IF(ISNUMBER(SEARCH(Лист2!$B$4,F:F)),1,0)</f>
        <v>0</v>
      </c>
      <c r="H4711" s="3">
        <f ca="1">IF(AND(I4711&lt;&gt;I4710,ISNUMBER(SEARCH(Лист2!$B$5,I:I)),G4711=1),MAX($H$3:OFFSET(H4711,-1,0))+1,0)</f>
        <v>0</v>
      </c>
      <c r="I4711" s="3" t="s">
        <v>338</v>
      </c>
      <c r="K4711" s="2">
        <f>IF(ISNUMBER(SEARCH(Лист2!$B$4,F:F)),1,0)</f>
        <v>0</v>
      </c>
      <c r="L4711" s="14">
        <f>IF(ISNUMBER(SEARCH(Лист2!$B$5,I:I)),1,0)+K4711</f>
        <v>0</v>
      </c>
      <c r="M4711" s="3">
        <f ca="1">IF(AND(N4711&lt;&gt;N4710,ISNUMBER(SEARCH(Лист2!$B$6,N:N)),L4711=2),MAX($M$3:OFFSET(M4711,-1,0))+1,0)</f>
        <v>0</v>
      </c>
      <c r="N4711" s="3" t="s">
        <v>2513</v>
      </c>
    </row>
    <row r="4712" spans="1:14" x14ac:dyDescent="0.25">
      <c r="A4712" s="1" t="s">
        <v>13399</v>
      </c>
      <c r="B4712" s="3" t="s">
        <v>8336</v>
      </c>
      <c r="C4712" s="2">
        <f ca="1">IF(ISNUMBER(SEARCH(Лист2!$B$4,D:D)),MAX($C$3:OFFSET(C4712,-1,0))+1,0)</f>
        <v>0</v>
      </c>
      <c r="E4712" s="9" t="str">
        <f t="shared" ca="1" si="85"/>
        <v/>
      </c>
      <c r="F4712" s="4" t="s">
        <v>27</v>
      </c>
      <c r="G4712" s="2">
        <f>IF(ISNUMBER(SEARCH(Лист2!$B$4,F:F)),1,0)</f>
        <v>0</v>
      </c>
      <c r="H4712" s="3">
        <f ca="1">IF(AND(I4712&lt;&gt;I4711,ISNUMBER(SEARCH(Лист2!$B$5,I:I)),G4712=1),MAX($H$3:OFFSET(H4712,-1,0))+1,0)</f>
        <v>0</v>
      </c>
      <c r="I4712" s="3" t="s">
        <v>338</v>
      </c>
      <c r="K4712" s="2">
        <f>IF(ISNUMBER(SEARCH(Лист2!$B$4,F:F)),1,0)</f>
        <v>0</v>
      </c>
      <c r="L4712" s="14">
        <f>IF(ISNUMBER(SEARCH(Лист2!$B$5,I:I)),1,0)+K4712</f>
        <v>0</v>
      </c>
      <c r="M4712" s="3">
        <f ca="1">IF(AND(N4712&lt;&gt;N4711,ISNUMBER(SEARCH(Лист2!$B$6,N:N)),L4712=2),MAX($M$3:OFFSET(M4712,-1,0))+1,0)</f>
        <v>0</v>
      </c>
      <c r="N4712" s="3" t="s">
        <v>1385</v>
      </c>
    </row>
    <row r="4713" spans="1:14" x14ac:dyDescent="0.25">
      <c r="A4713" s="1" t="s">
        <v>13400</v>
      </c>
      <c r="B4713" s="3" t="s">
        <v>8337</v>
      </c>
      <c r="C4713" s="2">
        <f ca="1">IF(ISNUMBER(SEARCH(Лист2!$B$4,D:D)),MAX($C$3:OFFSET(C4713,-1,0))+1,0)</f>
        <v>0</v>
      </c>
      <c r="E4713" s="9" t="str">
        <f t="shared" ca="1" si="85"/>
        <v/>
      </c>
      <c r="F4713" s="4" t="s">
        <v>27</v>
      </c>
      <c r="G4713" s="2">
        <f>IF(ISNUMBER(SEARCH(Лист2!$B$4,F:F)),1,0)</f>
        <v>0</v>
      </c>
      <c r="H4713" s="3">
        <f ca="1">IF(AND(I4713&lt;&gt;I4712,ISNUMBER(SEARCH(Лист2!$B$5,I:I)),G4713=1),MAX($H$3:OFFSET(H4713,-1,0))+1,0)</f>
        <v>0</v>
      </c>
      <c r="I4713" s="3" t="s">
        <v>338</v>
      </c>
      <c r="K4713" s="2">
        <f>IF(ISNUMBER(SEARCH(Лист2!$B$4,F:F)),1,0)</f>
        <v>0</v>
      </c>
      <c r="L4713" s="14">
        <f>IF(ISNUMBER(SEARCH(Лист2!$B$5,I:I)),1,0)+K4713</f>
        <v>0</v>
      </c>
      <c r="M4713" s="3">
        <f ca="1">IF(AND(N4713&lt;&gt;N4712,ISNUMBER(SEARCH(Лист2!$B$6,N:N)),L4713=2),MAX($M$3:OFFSET(M4713,-1,0))+1,0)</f>
        <v>0</v>
      </c>
      <c r="N4713" s="3" t="s">
        <v>602</v>
      </c>
    </row>
    <row r="4714" spans="1:14" x14ac:dyDescent="0.25">
      <c r="A4714" s="1" t="s">
        <v>13401</v>
      </c>
      <c r="B4714" s="3" t="s">
        <v>8338</v>
      </c>
      <c r="C4714" s="2">
        <f ca="1">IF(ISNUMBER(SEARCH(Лист2!$B$4,D:D)),MAX($C$3:OFFSET(C4714,-1,0))+1,0)</f>
        <v>0</v>
      </c>
      <c r="E4714" s="9" t="str">
        <f t="shared" ca="1" si="85"/>
        <v/>
      </c>
      <c r="F4714" s="4" t="s">
        <v>27</v>
      </c>
      <c r="G4714" s="2">
        <f>IF(ISNUMBER(SEARCH(Лист2!$B$4,F:F)),1,0)</f>
        <v>0</v>
      </c>
      <c r="H4714" s="3">
        <f ca="1">IF(AND(I4714&lt;&gt;I4713,ISNUMBER(SEARCH(Лист2!$B$5,I:I)),G4714=1),MAX($H$3:OFFSET(H4714,-1,0))+1,0)</f>
        <v>0</v>
      </c>
      <c r="I4714" s="3" t="s">
        <v>338</v>
      </c>
      <c r="K4714" s="2">
        <f>IF(ISNUMBER(SEARCH(Лист2!$B$4,F:F)),1,0)</f>
        <v>0</v>
      </c>
      <c r="L4714" s="14">
        <f>IF(ISNUMBER(SEARCH(Лист2!$B$5,I:I)),1,0)+K4714</f>
        <v>0</v>
      </c>
      <c r="M4714" s="3">
        <f ca="1">IF(AND(N4714&lt;&gt;N4713,ISNUMBER(SEARCH(Лист2!$B$6,N:N)),L4714=2),MAX($M$3:OFFSET(M4714,-1,0))+1,0)</f>
        <v>0</v>
      </c>
      <c r="N4714" s="3" t="s">
        <v>2869</v>
      </c>
    </row>
    <row r="4715" spans="1:14" x14ac:dyDescent="0.25">
      <c r="A4715" s="1" t="s">
        <v>13402</v>
      </c>
      <c r="B4715" s="3" t="s">
        <v>8339</v>
      </c>
      <c r="C4715" s="2">
        <f ca="1">IF(ISNUMBER(SEARCH(Лист2!$B$4,D:D)),MAX($C$3:OFFSET(C4715,-1,0))+1,0)</f>
        <v>0</v>
      </c>
      <c r="E4715" s="9" t="str">
        <f t="shared" ca="1" si="85"/>
        <v/>
      </c>
      <c r="F4715" s="4" t="s">
        <v>27</v>
      </c>
      <c r="G4715" s="2">
        <f>IF(ISNUMBER(SEARCH(Лист2!$B$4,F:F)),1,0)</f>
        <v>0</v>
      </c>
      <c r="H4715" s="3">
        <f ca="1">IF(AND(I4715&lt;&gt;I4714,ISNUMBER(SEARCH(Лист2!$B$5,I:I)),G4715=1),MAX($H$3:OFFSET(H4715,-1,0))+1,0)</f>
        <v>0</v>
      </c>
      <c r="I4715" s="3" t="s">
        <v>338</v>
      </c>
      <c r="K4715" s="2">
        <f>IF(ISNUMBER(SEARCH(Лист2!$B$4,F:F)),1,0)</f>
        <v>0</v>
      </c>
      <c r="L4715" s="14">
        <f>IF(ISNUMBER(SEARCH(Лист2!$B$5,I:I)),1,0)+K4715</f>
        <v>0</v>
      </c>
      <c r="M4715" s="3">
        <f ca="1">IF(AND(N4715&lt;&gt;N4714,ISNUMBER(SEARCH(Лист2!$B$6,N:N)),L4715=2),MAX($M$3:OFFSET(M4715,-1,0))+1,0)</f>
        <v>0</v>
      </c>
      <c r="N4715" s="3" t="s">
        <v>2515</v>
      </c>
    </row>
    <row r="4716" spans="1:14" x14ac:dyDescent="0.25">
      <c r="A4716" s="1" t="s">
        <v>13403</v>
      </c>
      <c r="B4716" s="3" t="s">
        <v>8340</v>
      </c>
      <c r="C4716" s="2">
        <f ca="1">IF(ISNUMBER(SEARCH(Лист2!$B$4,D:D)),MAX($C$3:OFFSET(C4716,-1,0))+1,0)</f>
        <v>0</v>
      </c>
      <c r="E4716" s="9" t="str">
        <f t="shared" ca="1" si="85"/>
        <v/>
      </c>
      <c r="F4716" s="4" t="s">
        <v>27</v>
      </c>
      <c r="G4716" s="2">
        <f>IF(ISNUMBER(SEARCH(Лист2!$B$4,F:F)),1,0)</f>
        <v>0</v>
      </c>
      <c r="H4716" s="3">
        <f ca="1">IF(AND(I4716&lt;&gt;I4715,ISNUMBER(SEARCH(Лист2!$B$5,I:I)),G4716=1),MAX($H$3:OFFSET(H4716,-1,0))+1,0)</f>
        <v>0</v>
      </c>
      <c r="I4716" s="3" t="s">
        <v>338</v>
      </c>
      <c r="K4716" s="2">
        <f>IF(ISNUMBER(SEARCH(Лист2!$B$4,F:F)),1,0)</f>
        <v>0</v>
      </c>
      <c r="L4716" s="14">
        <f>IF(ISNUMBER(SEARCH(Лист2!$B$5,I:I)),1,0)+K4716</f>
        <v>0</v>
      </c>
      <c r="M4716" s="3">
        <f ca="1">IF(AND(N4716&lt;&gt;N4715,ISNUMBER(SEARCH(Лист2!$B$6,N:N)),L4716=2),MAX($M$3:OFFSET(M4716,-1,0))+1,0)</f>
        <v>0</v>
      </c>
      <c r="N4716" s="3" t="s">
        <v>2516</v>
      </c>
    </row>
    <row r="4717" spans="1:14" x14ac:dyDescent="0.25">
      <c r="A4717" s="1" t="s">
        <v>13404</v>
      </c>
      <c r="B4717" s="3" t="s">
        <v>8341</v>
      </c>
      <c r="C4717" s="2">
        <f ca="1">IF(ISNUMBER(SEARCH(Лист2!$B$4,D:D)),MAX($C$3:OFFSET(C4717,-1,0))+1,0)</f>
        <v>0</v>
      </c>
      <c r="E4717" s="9" t="str">
        <f t="shared" ca="1" si="85"/>
        <v/>
      </c>
      <c r="F4717" s="4" t="s">
        <v>27</v>
      </c>
      <c r="G4717" s="2">
        <f>IF(ISNUMBER(SEARCH(Лист2!$B$4,F:F)),1,0)</f>
        <v>0</v>
      </c>
      <c r="H4717" s="3">
        <f ca="1">IF(AND(I4717&lt;&gt;I4716,ISNUMBER(SEARCH(Лист2!$B$5,I:I)),G4717=1),MAX($H$3:OFFSET(H4717,-1,0))+1,0)</f>
        <v>0</v>
      </c>
      <c r="I4717" s="3" t="s">
        <v>338</v>
      </c>
      <c r="K4717" s="2">
        <f>IF(ISNUMBER(SEARCH(Лист2!$B$4,F:F)),1,0)</f>
        <v>0</v>
      </c>
      <c r="L4717" s="14">
        <f>IF(ISNUMBER(SEARCH(Лист2!$B$5,I:I)),1,0)+K4717</f>
        <v>0</v>
      </c>
      <c r="M4717" s="3">
        <f ca="1">IF(AND(N4717&lt;&gt;N4716,ISNUMBER(SEARCH(Лист2!$B$6,N:N)),L4717=2),MAX($M$3:OFFSET(M4717,-1,0))+1,0)</f>
        <v>0</v>
      </c>
      <c r="N4717" s="3" t="s">
        <v>2877</v>
      </c>
    </row>
    <row r="4718" spans="1:14" x14ac:dyDescent="0.25">
      <c r="A4718" s="1" t="s">
        <v>13405</v>
      </c>
      <c r="B4718" s="3" t="s">
        <v>8342</v>
      </c>
      <c r="C4718" s="2">
        <f ca="1">IF(ISNUMBER(SEARCH(Лист2!$B$4,D:D)),MAX($C$3:OFFSET(C4718,-1,0))+1,0)</f>
        <v>0</v>
      </c>
      <c r="E4718" s="9" t="str">
        <f t="shared" ca="1" si="85"/>
        <v/>
      </c>
      <c r="F4718" s="4" t="s">
        <v>27</v>
      </c>
      <c r="G4718" s="2">
        <f>IF(ISNUMBER(SEARCH(Лист2!$B$4,F:F)),1,0)</f>
        <v>0</v>
      </c>
      <c r="H4718" s="3">
        <f ca="1">IF(AND(I4718&lt;&gt;I4717,ISNUMBER(SEARCH(Лист2!$B$5,I:I)),G4718=1),MAX($H$3:OFFSET(H4718,-1,0))+1,0)</f>
        <v>0</v>
      </c>
      <c r="I4718" s="3" t="s">
        <v>338</v>
      </c>
      <c r="K4718" s="2">
        <f>IF(ISNUMBER(SEARCH(Лист2!$B$4,F:F)),1,0)</f>
        <v>0</v>
      </c>
      <c r="L4718" s="14">
        <f>IF(ISNUMBER(SEARCH(Лист2!$B$5,I:I)),1,0)+K4718</f>
        <v>0</v>
      </c>
      <c r="M4718" s="3">
        <f ca="1">IF(AND(N4718&lt;&gt;N4717,ISNUMBER(SEARCH(Лист2!$B$6,N:N)),L4718=2),MAX($M$3:OFFSET(M4718,-1,0))+1,0)</f>
        <v>0</v>
      </c>
      <c r="N4718" s="3" t="s">
        <v>2878</v>
      </c>
    </row>
    <row r="4719" spans="1:14" x14ac:dyDescent="0.25">
      <c r="A4719" s="1" t="s">
        <v>13406</v>
      </c>
      <c r="B4719" s="3" t="s">
        <v>8343</v>
      </c>
      <c r="C4719" s="2">
        <f ca="1">IF(ISNUMBER(SEARCH(Лист2!$B$4,D:D)),MAX($C$3:OFFSET(C4719,-1,0))+1,0)</f>
        <v>0</v>
      </c>
      <c r="E4719" s="9" t="str">
        <f t="shared" ca="1" si="85"/>
        <v/>
      </c>
      <c r="F4719" s="4" t="s">
        <v>27</v>
      </c>
      <c r="G4719" s="2">
        <f>IF(ISNUMBER(SEARCH(Лист2!$B$4,F:F)),1,0)</f>
        <v>0</v>
      </c>
      <c r="H4719" s="3">
        <f ca="1">IF(AND(I4719&lt;&gt;I4718,ISNUMBER(SEARCH(Лист2!$B$5,I:I)),G4719=1),MAX($H$3:OFFSET(H4719,-1,0))+1,0)</f>
        <v>0</v>
      </c>
      <c r="I4719" s="3" t="s">
        <v>338</v>
      </c>
      <c r="K4719" s="2">
        <f>IF(ISNUMBER(SEARCH(Лист2!$B$4,F:F)),1,0)</f>
        <v>0</v>
      </c>
      <c r="L4719" s="14">
        <f>IF(ISNUMBER(SEARCH(Лист2!$B$5,I:I)),1,0)+K4719</f>
        <v>0</v>
      </c>
      <c r="M4719" s="3">
        <f ca="1">IF(AND(N4719&lt;&gt;N4718,ISNUMBER(SEARCH(Лист2!$B$6,N:N)),L4719=2),MAX($M$3:OFFSET(M4719,-1,0))+1,0)</f>
        <v>0</v>
      </c>
      <c r="N4719" s="3" t="s">
        <v>2879</v>
      </c>
    </row>
    <row r="4720" spans="1:14" x14ac:dyDescent="0.25">
      <c r="A4720" s="1" t="s">
        <v>13407</v>
      </c>
      <c r="B4720" s="3" t="s">
        <v>8344</v>
      </c>
      <c r="C4720" s="2">
        <f ca="1">IF(ISNUMBER(SEARCH(Лист2!$B$4,D:D)),MAX($C$3:OFFSET(C4720,-1,0))+1,0)</f>
        <v>0</v>
      </c>
      <c r="E4720" s="9" t="str">
        <f t="shared" ca="1" si="85"/>
        <v/>
      </c>
      <c r="F4720" s="4" t="s">
        <v>27</v>
      </c>
      <c r="G4720" s="2">
        <f>IF(ISNUMBER(SEARCH(Лист2!$B$4,F:F)),1,0)</f>
        <v>0</v>
      </c>
      <c r="H4720" s="3">
        <f ca="1">IF(AND(I4720&lt;&gt;I4719,ISNUMBER(SEARCH(Лист2!$B$5,I:I)),G4720=1),MAX($H$3:OFFSET(H4720,-1,0))+1,0)</f>
        <v>0</v>
      </c>
      <c r="I4720" s="3" t="s">
        <v>292</v>
      </c>
      <c r="K4720" s="2">
        <f>IF(ISNUMBER(SEARCH(Лист2!$B$4,F:F)),1,0)</f>
        <v>0</v>
      </c>
      <c r="L4720" s="14">
        <f>IF(ISNUMBER(SEARCH(Лист2!$B$5,I:I)),1,0)+K4720</f>
        <v>0</v>
      </c>
      <c r="M4720" s="3">
        <f ca="1">IF(AND(N4720&lt;&gt;N4719,ISNUMBER(SEARCH(Лист2!$B$6,N:N)),L4720=2),MAX($M$3:OFFSET(M4720,-1,0))+1,0)</f>
        <v>0</v>
      </c>
      <c r="N4720" s="3" t="s">
        <v>2212</v>
      </c>
    </row>
    <row r="4721" spans="1:14" x14ac:dyDescent="0.25">
      <c r="A4721" s="1" t="s">
        <v>13408</v>
      </c>
      <c r="B4721" s="3" t="s">
        <v>8345</v>
      </c>
      <c r="C4721" s="2">
        <f ca="1">IF(ISNUMBER(SEARCH(Лист2!$B$4,D:D)),MAX($C$3:OFFSET(C4721,-1,0))+1,0)</f>
        <v>0</v>
      </c>
      <c r="E4721" s="9" t="str">
        <f t="shared" ca="1" si="85"/>
        <v/>
      </c>
      <c r="F4721" s="4" t="s">
        <v>27</v>
      </c>
      <c r="G4721" s="2">
        <f>IF(ISNUMBER(SEARCH(Лист2!$B$4,F:F)),1,0)</f>
        <v>0</v>
      </c>
      <c r="H4721" s="3">
        <f ca="1">IF(AND(I4721&lt;&gt;I4720,ISNUMBER(SEARCH(Лист2!$B$5,I:I)),G4721=1),MAX($H$3:OFFSET(H4721,-1,0))+1,0)</f>
        <v>0</v>
      </c>
      <c r="I4721" s="3" t="s">
        <v>292</v>
      </c>
      <c r="K4721" s="2">
        <f>IF(ISNUMBER(SEARCH(Лист2!$B$4,F:F)),1,0)</f>
        <v>0</v>
      </c>
      <c r="L4721" s="14">
        <f>IF(ISNUMBER(SEARCH(Лист2!$B$5,I:I)),1,0)+K4721</f>
        <v>0</v>
      </c>
      <c r="M4721" s="3">
        <f ca="1">IF(AND(N4721&lt;&gt;N4720,ISNUMBER(SEARCH(Лист2!$B$6,N:N)),L4721=2),MAX($M$3:OFFSET(M4721,-1,0))+1,0)</f>
        <v>0</v>
      </c>
      <c r="N4721" s="3" t="s">
        <v>2213</v>
      </c>
    </row>
    <row r="4722" spans="1:14" x14ac:dyDescent="0.25">
      <c r="A4722" s="1" t="s">
        <v>13409</v>
      </c>
      <c r="B4722" s="3" t="s">
        <v>8346</v>
      </c>
      <c r="C4722" s="2">
        <f ca="1">IF(ISNUMBER(SEARCH(Лист2!$B$4,D:D)),MAX($C$3:OFFSET(C4722,-1,0))+1,0)</f>
        <v>0</v>
      </c>
      <c r="E4722" s="9" t="str">
        <f t="shared" ca="1" si="85"/>
        <v/>
      </c>
      <c r="F4722" s="4" t="s">
        <v>27</v>
      </c>
      <c r="G4722" s="2">
        <f>IF(ISNUMBER(SEARCH(Лист2!$B$4,F:F)),1,0)</f>
        <v>0</v>
      </c>
      <c r="H4722" s="3">
        <f ca="1">IF(AND(I4722&lt;&gt;I4721,ISNUMBER(SEARCH(Лист2!$B$5,I:I)),G4722=1),MAX($H$3:OFFSET(H4722,-1,0))+1,0)</f>
        <v>0</v>
      </c>
      <c r="I4722" s="3" t="s">
        <v>292</v>
      </c>
      <c r="K4722" s="2">
        <f>IF(ISNUMBER(SEARCH(Лист2!$B$4,F:F)),1,0)</f>
        <v>0</v>
      </c>
      <c r="L4722" s="14">
        <f>IF(ISNUMBER(SEARCH(Лист2!$B$5,I:I)),1,0)+K4722</f>
        <v>0</v>
      </c>
      <c r="M4722" s="3">
        <f ca="1">IF(AND(N4722&lt;&gt;N4721,ISNUMBER(SEARCH(Лист2!$B$6,N:N)),L4722=2),MAX($M$3:OFFSET(M4722,-1,0))+1,0)</f>
        <v>0</v>
      </c>
      <c r="N4722" s="3" t="s">
        <v>2049</v>
      </c>
    </row>
    <row r="4723" spans="1:14" x14ac:dyDescent="0.25">
      <c r="A4723" s="1" t="s">
        <v>13408</v>
      </c>
      <c r="B4723" s="3" t="s">
        <v>8347</v>
      </c>
      <c r="C4723" s="2">
        <f ca="1">IF(ISNUMBER(SEARCH(Лист2!$B$4,D:D)),MAX($C$3:OFFSET(C4723,-1,0))+1,0)</f>
        <v>0</v>
      </c>
      <c r="E4723" s="9" t="str">
        <f t="shared" ca="1" si="85"/>
        <v/>
      </c>
      <c r="F4723" s="4" t="s">
        <v>27</v>
      </c>
      <c r="G4723" s="2">
        <f>IF(ISNUMBER(SEARCH(Лист2!$B$4,F:F)),1,0)</f>
        <v>0</v>
      </c>
      <c r="H4723" s="3">
        <f ca="1">IF(AND(I4723&lt;&gt;I4722,ISNUMBER(SEARCH(Лист2!$B$5,I:I)),G4723=1),MAX($H$3:OFFSET(H4723,-1,0))+1,0)</f>
        <v>0</v>
      </c>
      <c r="I4723" s="3" t="s">
        <v>292</v>
      </c>
      <c r="K4723" s="2">
        <f>IF(ISNUMBER(SEARCH(Лист2!$B$4,F:F)),1,0)</f>
        <v>0</v>
      </c>
      <c r="L4723" s="14">
        <f>IF(ISNUMBER(SEARCH(Лист2!$B$5,I:I)),1,0)+K4723</f>
        <v>0</v>
      </c>
      <c r="M4723" s="3">
        <f ca="1">IF(AND(N4723&lt;&gt;N4722,ISNUMBER(SEARCH(Лист2!$B$6,N:N)),L4723=2),MAX($M$3:OFFSET(M4723,-1,0))+1,0)</f>
        <v>0</v>
      </c>
      <c r="N4723" s="3" t="s">
        <v>2213</v>
      </c>
    </row>
    <row r="4724" spans="1:14" x14ac:dyDescent="0.25">
      <c r="A4724" s="1" t="s">
        <v>13410</v>
      </c>
      <c r="B4724" s="3" t="s">
        <v>8348</v>
      </c>
      <c r="C4724" s="2">
        <f ca="1">IF(ISNUMBER(SEARCH(Лист2!$B$4,D:D)),MAX($C$3:OFFSET(C4724,-1,0))+1,0)</f>
        <v>0</v>
      </c>
      <c r="E4724" s="9" t="str">
        <f t="shared" ca="1" si="85"/>
        <v/>
      </c>
      <c r="F4724" s="4" t="s">
        <v>27</v>
      </c>
      <c r="G4724" s="2">
        <f>IF(ISNUMBER(SEARCH(Лист2!$B$4,F:F)),1,0)</f>
        <v>0</v>
      </c>
      <c r="H4724" s="3">
        <f ca="1">IF(AND(I4724&lt;&gt;I4723,ISNUMBER(SEARCH(Лист2!$B$5,I:I)),G4724=1),MAX($H$3:OFFSET(H4724,-1,0))+1,0)</f>
        <v>0</v>
      </c>
      <c r="I4724" s="3" t="s">
        <v>292</v>
      </c>
      <c r="K4724" s="2">
        <f>IF(ISNUMBER(SEARCH(Лист2!$B$4,F:F)),1,0)</f>
        <v>0</v>
      </c>
      <c r="L4724" s="14">
        <f>IF(ISNUMBER(SEARCH(Лист2!$B$5,I:I)),1,0)+K4724</f>
        <v>0</v>
      </c>
      <c r="M4724" s="3">
        <f ca="1">IF(AND(N4724&lt;&gt;N4723,ISNUMBER(SEARCH(Лист2!$B$6,N:N)),L4724=2),MAX($M$3:OFFSET(M4724,-1,0))+1,0)</f>
        <v>0</v>
      </c>
      <c r="N4724" s="3" t="s">
        <v>1385</v>
      </c>
    </row>
    <row r="4725" spans="1:14" x14ac:dyDescent="0.25">
      <c r="A4725" s="1" t="s">
        <v>13411</v>
      </c>
      <c r="B4725" s="3" t="s">
        <v>8349</v>
      </c>
      <c r="C4725" s="2">
        <f ca="1">IF(ISNUMBER(SEARCH(Лист2!$B$4,D:D)),MAX($C$3:OFFSET(C4725,-1,0))+1,0)</f>
        <v>0</v>
      </c>
      <c r="E4725" s="9" t="str">
        <f t="shared" ca="1" si="85"/>
        <v/>
      </c>
      <c r="F4725" s="4" t="s">
        <v>27</v>
      </c>
      <c r="G4725" s="2">
        <f>IF(ISNUMBER(SEARCH(Лист2!$B$4,F:F)),1,0)</f>
        <v>0</v>
      </c>
      <c r="H4725" s="3">
        <f ca="1">IF(AND(I4725&lt;&gt;I4724,ISNUMBER(SEARCH(Лист2!$B$5,I:I)),G4725=1),MAX($H$3:OFFSET(H4725,-1,0))+1,0)</f>
        <v>0</v>
      </c>
      <c r="I4725" s="3" t="s">
        <v>292</v>
      </c>
      <c r="K4725" s="2">
        <f>IF(ISNUMBER(SEARCH(Лист2!$B$4,F:F)),1,0)</f>
        <v>0</v>
      </c>
      <c r="L4725" s="14">
        <f>IF(ISNUMBER(SEARCH(Лист2!$B$5,I:I)),1,0)+K4725</f>
        <v>0</v>
      </c>
      <c r="M4725" s="3">
        <f ca="1">IF(AND(N4725&lt;&gt;N4724,ISNUMBER(SEARCH(Лист2!$B$6,N:N)),L4725=2),MAX($M$3:OFFSET(M4725,-1,0))+1,0)</f>
        <v>0</v>
      </c>
      <c r="N4725" s="3" t="s">
        <v>602</v>
      </c>
    </row>
    <row r="4726" spans="1:14" x14ac:dyDescent="0.25">
      <c r="A4726" s="1" t="s">
        <v>13412</v>
      </c>
      <c r="B4726" s="3" t="s">
        <v>8350</v>
      </c>
      <c r="C4726" s="2">
        <f ca="1">IF(ISNUMBER(SEARCH(Лист2!$B$4,D:D)),MAX($C$3:OFFSET(C4726,-1,0))+1,0)</f>
        <v>0</v>
      </c>
      <c r="E4726" s="9" t="str">
        <f t="shared" ca="1" si="85"/>
        <v/>
      </c>
      <c r="F4726" s="4" t="s">
        <v>27</v>
      </c>
      <c r="G4726" s="2">
        <f>IF(ISNUMBER(SEARCH(Лист2!$B$4,F:F)),1,0)</f>
        <v>0</v>
      </c>
      <c r="H4726" s="3">
        <f ca="1">IF(AND(I4726&lt;&gt;I4725,ISNUMBER(SEARCH(Лист2!$B$5,I:I)),G4726=1),MAX($H$3:OFFSET(H4726,-1,0))+1,0)</f>
        <v>0</v>
      </c>
      <c r="I4726" s="3" t="s">
        <v>292</v>
      </c>
      <c r="K4726" s="2">
        <f>IF(ISNUMBER(SEARCH(Лист2!$B$4,F:F)),1,0)</f>
        <v>0</v>
      </c>
      <c r="L4726" s="14">
        <f>IF(ISNUMBER(SEARCH(Лист2!$B$5,I:I)),1,0)+K4726</f>
        <v>0</v>
      </c>
      <c r="M4726" s="3">
        <f ca="1">IF(AND(N4726&lt;&gt;N4725,ISNUMBER(SEARCH(Лист2!$B$6,N:N)),L4726=2),MAX($M$3:OFFSET(M4726,-1,0))+1,0)</f>
        <v>0</v>
      </c>
      <c r="N4726" s="3" t="s">
        <v>2880</v>
      </c>
    </row>
    <row r="4727" spans="1:14" x14ac:dyDescent="0.25">
      <c r="A4727" s="1" t="s">
        <v>13413</v>
      </c>
      <c r="B4727" s="3" t="s">
        <v>8351</v>
      </c>
      <c r="C4727" s="2">
        <f ca="1">IF(ISNUMBER(SEARCH(Лист2!$B$4,D:D)),MAX($C$3:OFFSET(C4727,-1,0))+1,0)</f>
        <v>0</v>
      </c>
      <c r="E4727" s="9" t="str">
        <f t="shared" ca="1" si="85"/>
        <v/>
      </c>
      <c r="F4727" s="4" t="s">
        <v>27</v>
      </c>
      <c r="G4727" s="2">
        <f>IF(ISNUMBER(SEARCH(Лист2!$B$4,F:F)),1,0)</f>
        <v>0</v>
      </c>
      <c r="H4727" s="3">
        <f ca="1">IF(AND(I4727&lt;&gt;I4726,ISNUMBER(SEARCH(Лист2!$B$5,I:I)),G4727=1),MAX($H$3:OFFSET(H4727,-1,0))+1,0)</f>
        <v>0</v>
      </c>
      <c r="I4727" s="3" t="s">
        <v>292</v>
      </c>
      <c r="K4727" s="2">
        <f>IF(ISNUMBER(SEARCH(Лист2!$B$4,F:F)),1,0)</f>
        <v>0</v>
      </c>
      <c r="L4727" s="14">
        <f>IF(ISNUMBER(SEARCH(Лист2!$B$5,I:I)),1,0)+K4727</f>
        <v>0</v>
      </c>
      <c r="M4727" s="3">
        <f ca="1">IF(AND(N4727&lt;&gt;N4726,ISNUMBER(SEARCH(Лист2!$B$6,N:N)),L4727=2),MAX($M$3:OFFSET(M4727,-1,0))+1,0)</f>
        <v>0</v>
      </c>
      <c r="N4727" s="3" t="s">
        <v>2881</v>
      </c>
    </row>
    <row r="4728" spans="1:14" x14ac:dyDescent="0.25">
      <c r="A4728" s="1" t="s">
        <v>13414</v>
      </c>
      <c r="B4728" s="3" t="s">
        <v>8352</v>
      </c>
      <c r="C4728" s="2">
        <f ca="1">IF(ISNUMBER(SEARCH(Лист2!$B$4,D:D)),MAX($C$3:OFFSET(C4728,-1,0))+1,0)</f>
        <v>0</v>
      </c>
      <c r="E4728" s="9" t="str">
        <f t="shared" ca="1" si="85"/>
        <v/>
      </c>
      <c r="F4728" s="4" t="s">
        <v>27</v>
      </c>
      <c r="G4728" s="2">
        <f>IF(ISNUMBER(SEARCH(Лист2!$B$4,F:F)),1,0)</f>
        <v>0</v>
      </c>
      <c r="H4728" s="3">
        <f ca="1">IF(AND(I4728&lt;&gt;I4727,ISNUMBER(SEARCH(Лист2!$B$5,I:I)),G4728=1),MAX($H$3:OFFSET(H4728,-1,0))+1,0)</f>
        <v>0</v>
      </c>
      <c r="I4728" s="3" t="s">
        <v>292</v>
      </c>
      <c r="K4728" s="2">
        <f>IF(ISNUMBER(SEARCH(Лист2!$B$4,F:F)),1,0)</f>
        <v>0</v>
      </c>
      <c r="L4728" s="14">
        <f>IF(ISNUMBER(SEARCH(Лист2!$B$5,I:I)),1,0)+K4728</f>
        <v>0</v>
      </c>
      <c r="M4728" s="3">
        <f ca="1">IF(AND(N4728&lt;&gt;N4727,ISNUMBER(SEARCH(Лист2!$B$6,N:N)),L4728=2),MAX($M$3:OFFSET(M4728,-1,0))+1,0)</f>
        <v>0</v>
      </c>
      <c r="N4728" s="3" t="s">
        <v>2054</v>
      </c>
    </row>
    <row r="4729" spans="1:14" x14ac:dyDescent="0.25">
      <c r="A4729" s="1" t="s">
        <v>13415</v>
      </c>
      <c r="B4729" s="3" t="s">
        <v>8353</v>
      </c>
      <c r="C4729" s="2">
        <f ca="1">IF(ISNUMBER(SEARCH(Лист2!$B$4,D:D)),MAX($C$3:OFFSET(C4729,-1,0))+1,0)</f>
        <v>0</v>
      </c>
      <c r="E4729" s="9" t="str">
        <f t="shared" ca="1" si="85"/>
        <v/>
      </c>
      <c r="F4729" s="4" t="s">
        <v>27</v>
      </c>
      <c r="G4729" s="2">
        <f>IF(ISNUMBER(SEARCH(Лист2!$B$4,F:F)),1,0)</f>
        <v>0</v>
      </c>
      <c r="H4729" s="3">
        <f ca="1">IF(AND(I4729&lt;&gt;I4728,ISNUMBER(SEARCH(Лист2!$B$5,I:I)),G4729=1),MAX($H$3:OFFSET(H4729,-1,0))+1,0)</f>
        <v>0</v>
      </c>
      <c r="I4729" s="3" t="s">
        <v>292</v>
      </c>
      <c r="K4729" s="2">
        <f>IF(ISNUMBER(SEARCH(Лист2!$B$4,F:F)),1,0)</f>
        <v>0</v>
      </c>
      <c r="L4729" s="14">
        <f>IF(ISNUMBER(SEARCH(Лист2!$B$5,I:I)),1,0)+K4729</f>
        <v>0</v>
      </c>
      <c r="M4729" s="3">
        <f ca="1">IF(AND(N4729&lt;&gt;N4728,ISNUMBER(SEARCH(Лист2!$B$6,N:N)),L4729=2),MAX($M$3:OFFSET(M4729,-1,0))+1,0)</f>
        <v>0</v>
      </c>
      <c r="N4729" s="3" t="s">
        <v>2132</v>
      </c>
    </row>
    <row r="4730" spans="1:14" x14ac:dyDescent="0.25">
      <c r="A4730" s="1" t="s">
        <v>13416</v>
      </c>
      <c r="B4730" s="3" t="s">
        <v>8354</v>
      </c>
      <c r="C4730" s="2">
        <f ca="1">IF(ISNUMBER(SEARCH(Лист2!$B$4,D:D)),MAX($C$3:OFFSET(C4730,-1,0))+1,0)</f>
        <v>0</v>
      </c>
      <c r="E4730" s="9" t="str">
        <f t="shared" ca="1" si="85"/>
        <v/>
      </c>
      <c r="F4730" s="4" t="s">
        <v>27</v>
      </c>
      <c r="G4730" s="2">
        <f>IF(ISNUMBER(SEARCH(Лист2!$B$4,F:F)),1,0)</f>
        <v>0</v>
      </c>
      <c r="H4730" s="3">
        <f ca="1">IF(AND(I4730&lt;&gt;I4729,ISNUMBER(SEARCH(Лист2!$B$5,I:I)),G4730=1),MAX($H$3:OFFSET(H4730,-1,0))+1,0)</f>
        <v>0</v>
      </c>
      <c r="I4730" s="3" t="s">
        <v>292</v>
      </c>
      <c r="K4730" s="2">
        <f>IF(ISNUMBER(SEARCH(Лист2!$B$4,F:F)),1,0)</f>
        <v>0</v>
      </c>
      <c r="L4730" s="14">
        <f>IF(ISNUMBER(SEARCH(Лист2!$B$5,I:I)),1,0)+K4730</f>
        <v>0</v>
      </c>
      <c r="M4730" s="3">
        <f ca="1">IF(AND(N4730&lt;&gt;N4729,ISNUMBER(SEARCH(Лист2!$B$6,N:N)),L4730=2),MAX($M$3:OFFSET(M4730,-1,0))+1,0)</f>
        <v>0</v>
      </c>
      <c r="N4730" s="3" t="s">
        <v>2882</v>
      </c>
    </row>
    <row r="4731" spans="1:14" x14ac:dyDescent="0.25">
      <c r="A4731" s="1" t="s">
        <v>13417</v>
      </c>
      <c r="B4731" s="3" t="s">
        <v>8355</v>
      </c>
      <c r="C4731" s="2">
        <f ca="1">IF(ISNUMBER(SEARCH(Лист2!$B$4,D:D)),MAX($C$3:OFFSET(C4731,-1,0))+1,0)</f>
        <v>0</v>
      </c>
      <c r="E4731" s="9" t="str">
        <f t="shared" ca="1" si="85"/>
        <v/>
      </c>
      <c r="F4731" s="4" t="s">
        <v>27</v>
      </c>
      <c r="G4731" s="2">
        <f>IF(ISNUMBER(SEARCH(Лист2!$B$4,F:F)),1,0)</f>
        <v>0</v>
      </c>
      <c r="H4731" s="3">
        <f ca="1">IF(AND(I4731&lt;&gt;I4730,ISNUMBER(SEARCH(Лист2!$B$5,I:I)),G4731=1),MAX($H$3:OFFSET(H4731,-1,0))+1,0)</f>
        <v>0</v>
      </c>
      <c r="I4731" s="3" t="s">
        <v>292</v>
      </c>
      <c r="K4731" s="2">
        <f>IF(ISNUMBER(SEARCH(Лист2!$B$4,F:F)),1,0)</f>
        <v>0</v>
      </c>
      <c r="L4731" s="14">
        <f>IF(ISNUMBER(SEARCH(Лист2!$B$5,I:I)),1,0)+K4731</f>
        <v>0</v>
      </c>
      <c r="M4731" s="3">
        <f ca="1">IF(AND(N4731&lt;&gt;N4730,ISNUMBER(SEARCH(Лист2!$B$6,N:N)),L4731=2),MAX($M$3:OFFSET(M4731,-1,0))+1,0)</f>
        <v>0</v>
      </c>
      <c r="N4731" s="3" t="s">
        <v>2883</v>
      </c>
    </row>
    <row r="4732" spans="1:14" x14ac:dyDescent="0.25">
      <c r="A4732" s="1" t="s">
        <v>13418</v>
      </c>
      <c r="B4732" s="3" t="s">
        <v>8356</v>
      </c>
      <c r="C4732" s="2">
        <f ca="1">IF(ISNUMBER(SEARCH(Лист2!$B$4,D:D)),MAX($C$3:OFFSET(C4732,-1,0))+1,0)</f>
        <v>0</v>
      </c>
      <c r="E4732" s="9" t="str">
        <f t="shared" ca="1" si="85"/>
        <v/>
      </c>
      <c r="F4732" s="4" t="s">
        <v>27</v>
      </c>
      <c r="G4732" s="2">
        <f>IF(ISNUMBER(SEARCH(Лист2!$B$4,F:F)),1,0)</f>
        <v>0</v>
      </c>
      <c r="H4732" s="3">
        <f ca="1">IF(AND(I4732&lt;&gt;I4731,ISNUMBER(SEARCH(Лист2!$B$5,I:I)),G4732=1),MAX($H$3:OFFSET(H4732,-1,0))+1,0)</f>
        <v>0</v>
      </c>
      <c r="I4732" s="3" t="s">
        <v>292</v>
      </c>
      <c r="K4732" s="2">
        <f>IF(ISNUMBER(SEARCH(Лист2!$B$4,F:F)),1,0)</f>
        <v>0</v>
      </c>
      <c r="L4732" s="14">
        <f>IF(ISNUMBER(SEARCH(Лист2!$B$5,I:I)),1,0)+K4732</f>
        <v>0</v>
      </c>
      <c r="M4732" s="3">
        <f ca="1">IF(AND(N4732&lt;&gt;N4731,ISNUMBER(SEARCH(Лист2!$B$6,N:N)),L4732=2),MAX($M$3:OFFSET(M4732,-1,0))+1,0)</f>
        <v>0</v>
      </c>
      <c r="N4732" s="3" t="s">
        <v>2884</v>
      </c>
    </row>
    <row r="4733" spans="1:14" x14ac:dyDescent="0.25">
      <c r="A4733" s="1" t="s">
        <v>13419</v>
      </c>
      <c r="B4733" s="3" t="s">
        <v>8357</v>
      </c>
      <c r="C4733" s="2">
        <f ca="1">IF(ISNUMBER(SEARCH(Лист2!$B$4,D:D)),MAX($C$3:OFFSET(C4733,-1,0))+1,0)</f>
        <v>0</v>
      </c>
      <c r="E4733" s="9" t="str">
        <f t="shared" ca="1" si="85"/>
        <v/>
      </c>
      <c r="F4733" s="4" t="s">
        <v>27</v>
      </c>
      <c r="G4733" s="2">
        <f>IF(ISNUMBER(SEARCH(Лист2!$B$4,F:F)),1,0)</f>
        <v>0</v>
      </c>
      <c r="H4733" s="3">
        <f ca="1">IF(AND(I4733&lt;&gt;I4732,ISNUMBER(SEARCH(Лист2!$B$5,I:I)),G4733=1),MAX($H$3:OFFSET(H4733,-1,0))+1,0)</f>
        <v>0</v>
      </c>
      <c r="I4733" s="3" t="s">
        <v>277</v>
      </c>
      <c r="K4733" s="2">
        <f>IF(ISNUMBER(SEARCH(Лист2!$B$4,F:F)),1,0)</f>
        <v>0</v>
      </c>
      <c r="L4733" s="14">
        <f>IF(ISNUMBER(SEARCH(Лист2!$B$5,I:I)),1,0)+K4733</f>
        <v>0</v>
      </c>
      <c r="M4733" s="3">
        <f ca="1">IF(AND(N4733&lt;&gt;N4732,ISNUMBER(SEARCH(Лист2!$B$6,N:N)),L4733=2),MAX($M$3:OFFSET(M4733,-1,0))+1,0)</f>
        <v>0</v>
      </c>
      <c r="N4733" s="3" t="s">
        <v>2212</v>
      </c>
    </row>
    <row r="4734" spans="1:14" x14ac:dyDescent="0.25">
      <c r="A4734" s="1" t="s">
        <v>13420</v>
      </c>
      <c r="B4734" s="3" t="s">
        <v>8358</v>
      </c>
      <c r="C4734" s="2">
        <f ca="1">IF(ISNUMBER(SEARCH(Лист2!$B$4,D:D)),MAX($C$3:OFFSET(C4734,-1,0))+1,0)</f>
        <v>0</v>
      </c>
      <c r="E4734" s="9" t="str">
        <f t="shared" ca="1" si="85"/>
        <v/>
      </c>
      <c r="F4734" s="4" t="s">
        <v>27</v>
      </c>
      <c r="G4734" s="2">
        <f>IF(ISNUMBER(SEARCH(Лист2!$B$4,F:F)),1,0)</f>
        <v>0</v>
      </c>
      <c r="H4734" s="3">
        <f ca="1">IF(AND(I4734&lt;&gt;I4733,ISNUMBER(SEARCH(Лист2!$B$5,I:I)),G4734=1),MAX($H$3:OFFSET(H4734,-1,0))+1,0)</f>
        <v>0</v>
      </c>
      <c r="I4734" s="3" t="s">
        <v>277</v>
      </c>
      <c r="K4734" s="2">
        <f>IF(ISNUMBER(SEARCH(Лист2!$B$4,F:F)),1,0)</f>
        <v>0</v>
      </c>
      <c r="L4734" s="14">
        <f>IF(ISNUMBER(SEARCH(Лист2!$B$5,I:I)),1,0)+K4734</f>
        <v>0</v>
      </c>
      <c r="M4734" s="3">
        <f ca="1">IF(AND(N4734&lt;&gt;N4733,ISNUMBER(SEARCH(Лист2!$B$6,N:N)),L4734=2),MAX($M$3:OFFSET(M4734,-1,0))+1,0)</f>
        <v>0</v>
      </c>
      <c r="N4734" s="3" t="s">
        <v>2221</v>
      </c>
    </row>
    <row r="4735" spans="1:14" x14ac:dyDescent="0.25">
      <c r="A4735" s="1" t="s">
        <v>13421</v>
      </c>
      <c r="B4735" s="3" t="s">
        <v>8359</v>
      </c>
      <c r="C4735" s="2">
        <f ca="1">IF(ISNUMBER(SEARCH(Лист2!$B$4,D:D)),MAX($C$3:OFFSET(C4735,-1,0))+1,0)</f>
        <v>0</v>
      </c>
      <c r="E4735" s="9" t="str">
        <f t="shared" ca="1" si="85"/>
        <v/>
      </c>
      <c r="F4735" s="4" t="s">
        <v>27</v>
      </c>
      <c r="G4735" s="2">
        <f>IF(ISNUMBER(SEARCH(Лист2!$B$4,F:F)),1,0)</f>
        <v>0</v>
      </c>
      <c r="H4735" s="3">
        <f ca="1">IF(AND(I4735&lt;&gt;I4734,ISNUMBER(SEARCH(Лист2!$B$5,I:I)),G4735=1),MAX($H$3:OFFSET(H4735,-1,0))+1,0)</f>
        <v>0</v>
      </c>
      <c r="I4735" s="3" t="s">
        <v>277</v>
      </c>
      <c r="K4735" s="2">
        <f>IF(ISNUMBER(SEARCH(Лист2!$B$4,F:F)),1,0)</f>
        <v>0</v>
      </c>
      <c r="L4735" s="14">
        <f>IF(ISNUMBER(SEARCH(Лист2!$B$5,I:I)),1,0)+K4735</f>
        <v>0</v>
      </c>
      <c r="M4735" s="3">
        <f ca="1">IF(AND(N4735&lt;&gt;N4734,ISNUMBER(SEARCH(Лист2!$B$6,N:N)),L4735=2),MAX($M$3:OFFSET(M4735,-1,0))+1,0)</f>
        <v>0</v>
      </c>
      <c r="N4735" s="3" t="s">
        <v>2222</v>
      </c>
    </row>
    <row r="4736" spans="1:14" x14ac:dyDescent="0.25">
      <c r="A4736" s="1" t="s">
        <v>13420</v>
      </c>
      <c r="B4736" s="3" t="s">
        <v>8360</v>
      </c>
      <c r="C4736" s="2">
        <f ca="1">IF(ISNUMBER(SEARCH(Лист2!$B$4,D:D)),MAX($C$3:OFFSET(C4736,-1,0))+1,0)</f>
        <v>0</v>
      </c>
      <c r="E4736" s="9" t="str">
        <f t="shared" ca="1" si="85"/>
        <v/>
      </c>
      <c r="F4736" s="4" t="s">
        <v>27</v>
      </c>
      <c r="G4736" s="2">
        <f>IF(ISNUMBER(SEARCH(Лист2!$B$4,F:F)),1,0)</f>
        <v>0</v>
      </c>
      <c r="H4736" s="3">
        <f ca="1">IF(AND(I4736&lt;&gt;I4735,ISNUMBER(SEARCH(Лист2!$B$5,I:I)),G4736=1),MAX($H$3:OFFSET(H4736,-1,0))+1,0)</f>
        <v>0</v>
      </c>
      <c r="I4736" s="3" t="s">
        <v>277</v>
      </c>
      <c r="K4736" s="2">
        <f>IF(ISNUMBER(SEARCH(Лист2!$B$4,F:F)),1,0)</f>
        <v>0</v>
      </c>
      <c r="L4736" s="14">
        <f>IF(ISNUMBER(SEARCH(Лист2!$B$5,I:I)),1,0)+K4736</f>
        <v>0</v>
      </c>
      <c r="M4736" s="3">
        <f ca="1">IF(AND(N4736&lt;&gt;N4735,ISNUMBER(SEARCH(Лист2!$B$6,N:N)),L4736=2),MAX($M$3:OFFSET(M4736,-1,0))+1,0)</f>
        <v>0</v>
      </c>
      <c r="N4736" s="3" t="s">
        <v>2221</v>
      </c>
    </row>
    <row r="4737" spans="1:14" x14ac:dyDescent="0.25">
      <c r="A4737" s="1" t="s">
        <v>13422</v>
      </c>
      <c r="B4737" s="3" t="s">
        <v>8361</v>
      </c>
      <c r="C4737" s="2">
        <f ca="1">IF(ISNUMBER(SEARCH(Лист2!$B$4,D:D)),MAX($C$3:OFFSET(C4737,-1,0))+1,0)</f>
        <v>0</v>
      </c>
      <c r="E4737" s="9" t="str">
        <f t="shared" ca="1" si="85"/>
        <v/>
      </c>
      <c r="F4737" s="4" t="s">
        <v>27</v>
      </c>
      <c r="G4737" s="2">
        <f>IF(ISNUMBER(SEARCH(Лист2!$B$4,F:F)),1,0)</f>
        <v>0</v>
      </c>
      <c r="H4737" s="3">
        <f ca="1">IF(AND(I4737&lt;&gt;I4736,ISNUMBER(SEARCH(Лист2!$B$5,I:I)),G4737=1),MAX($H$3:OFFSET(H4737,-1,0))+1,0)</f>
        <v>0</v>
      </c>
      <c r="I4737" s="3" t="s">
        <v>277</v>
      </c>
      <c r="K4737" s="2">
        <f>IF(ISNUMBER(SEARCH(Лист2!$B$4,F:F)),1,0)</f>
        <v>0</v>
      </c>
      <c r="L4737" s="14">
        <f>IF(ISNUMBER(SEARCH(Лист2!$B$5,I:I)),1,0)+K4737</f>
        <v>0</v>
      </c>
      <c r="M4737" s="3">
        <f ca="1">IF(AND(N4737&lt;&gt;N4736,ISNUMBER(SEARCH(Лист2!$B$6,N:N)),L4737=2),MAX($M$3:OFFSET(M4737,-1,0))+1,0)</f>
        <v>0</v>
      </c>
      <c r="N4737" s="3" t="s">
        <v>1385</v>
      </c>
    </row>
    <row r="4738" spans="1:14" x14ac:dyDescent="0.25">
      <c r="A4738" s="1" t="s">
        <v>13423</v>
      </c>
      <c r="B4738" s="3" t="s">
        <v>8362</v>
      </c>
      <c r="C4738" s="2">
        <f ca="1">IF(ISNUMBER(SEARCH(Лист2!$B$4,D:D)),MAX($C$3:OFFSET(C4738,-1,0))+1,0)</f>
        <v>0</v>
      </c>
      <c r="E4738" s="9" t="str">
        <f t="shared" ca="1" si="85"/>
        <v/>
      </c>
      <c r="F4738" s="4" t="s">
        <v>27</v>
      </c>
      <c r="G4738" s="2">
        <f>IF(ISNUMBER(SEARCH(Лист2!$B$4,F:F)),1,0)</f>
        <v>0</v>
      </c>
      <c r="H4738" s="3">
        <f ca="1">IF(AND(I4738&lt;&gt;I4737,ISNUMBER(SEARCH(Лист2!$B$5,I:I)),G4738=1),MAX($H$3:OFFSET(H4738,-1,0))+1,0)</f>
        <v>0</v>
      </c>
      <c r="I4738" s="3" t="s">
        <v>277</v>
      </c>
      <c r="K4738" s="2">
        <f>IF(ISNUMBER(SEARCH(Лист2!$B$4,F:F)),1,0)</f>
        <v>0</v>
      </c>
      <c r="L4738" s="14">
        <f>IF(ISNUMBER(SEARCH(Лист2!$B$5,I:I)),1,0)+K4738</f>
        <v>0</v>
      </c>
      <c r="M4738" s="3">
        <f ca="1">IF(AND(N4738&lt;&gt;N4737,ISNUMBER(SEARCH(Лист2!$B$6,N:N)),L4738=2),MAX($M$3:OFFSET(M4738,-1,0))+1,0)</f>
        <v>0</v>
      </c>
      <c r="N4738" s="3" t="s">
        <v>602</v>
      </c>
    </row>
    <row r="4739" spans="1:14" x14ac:dyDescent="0.25">
      <c r="A4739" s="1" t="s">
        <v>13424</v>
      </c>
      <c r="B4739" s="3" t="s">
        <v>8363</v>
      </c>
      <c r="C4739" s="2">
        <f ca="1">IF(ISNUMBER(SEARCH(Лист2!$B$4,D:D)),MAX($C$3:OFFSET(C4739,-1,0))+1,0)</f>
        <v>0</v>
      </c>
      <c r="E4739" s="9" t="str">
        <f t="shared" ca="1" si="85"/>
        <v/>
      </c>
      <c r="F4739" s="4" t="s">
        <v>27</v>
      </c>
      <c r="G4739" s="2">
        <f>IF(ISNUMBER(SEARCH(Лист2!$B$4,F:F)),1,0)</f>
        <v>0</v>
      </c>
      <c r="H4739" s="3">
        <f ca="1">IF(AND(I4739&lt;&gt;I4738,ISNUMBER(SEARCH(Лист2!$B$5,I:I)),G4739=1),MAX($H$3:OFFSET(H4739,-1,0))+1,0)</f>
        <v>0</v>
      </c>
      <c r="I4739" s="3" t="s">
        <v>277</v>
      </c>
      <c r="K4739" s="2">
        <f>IF(ISNUMBER(SEARCH(Лист2!$B$4,F:F)),1,0)</f>
        <v>0</v>
      </c>
      <c r="L4739" s="14">
        <f>IF(ISNUMBER(SEARCH(Лист2!$B$5,I:I)),1,0)+K4739</f>
        <v>0</v>
      </c>
      <c r="M4739" s="3">
        <f ca="1">IF(AND(N4739&lt;&gt;N4738,ISNUMBER(SEARCH(Лист2!$B$6,N:N)),L4739=2),MAX($M$3:OFFSET(M4739,-1,0))+1,0)</f>
        <v>0</v>
      </c>
      <c r="N4739" s="3" t="s">
        <v>2885</v>
      </c>
    </row>
    <row r="4740" spans="1:14" x14ac:dyDescent="0.25">
      <c r="A4740" s="1" t="s">
        <v>13425</v>
      </c>
      <c r="B4740" s="3" t="s">
        <v>8364</v>
      </c>
      <c r="C4740" s="2">
        <f ca="1">IF(ISNUMBER(SEARCH(Лист2!$B$4,D:D)),MAX($C$3:OFFSET(C4740,-1,0))+1,0)</f>
        <v>0</v>
      </c>
      <c r="E4740" s="9" t="str">
        <f t="shared" ca="1" si="85"/>
        <v/>
      </c>
      <c r="F4740" s="4" t="s">
        <v>27</v>
      </c>
      <c r="G4740" s="2">
        <f>IF(ISNUMBER(SEARCH(Лист2!$B$4,F:F)),1,0)</f>
        <v>0</v>
      </c>
      <c r="H4740" s="3">
        <f ca="1">IF(AND(I4740&lt;&gt;I4739,ISNUMBER(SEARCH(Лист2!$B$5,I:I)),G4740=1),MAX($H$3:OFFSET(H4740,-1,0))+1,0)</f>
        <v>0</v>
      </c>
      <c r="I4740" s="3" t="s">
        <v>277</v>
      </c>
      <c r="K4740" s="2">
        <f>IF(ISNUMBER(SEARCH(Лист2!$B$4,F:F)),1,0)</f>
        <v>0</v>
      </c>
      <c r="L4740" s="14">
        <f>IF(ISNUMBER(SEARCH(Лист2!$B$5,I:I)),1,0)+K4740</f>
        <v>0</v>
      </c>
      <c r="M4740" s="3">
        <f ca="1">IF(AND(N4740&lt;&gt;N4739,ISNUMBER(SEARCH(Лист2!$B$6,N:N)),L4740=2),MAX($M$3:OFFSET(M4740,-1,0))+1,0)</f>
        <v>0</v>
      </c>
      <c r="N4740" s="3" t="s">
        <v>2886</v>
      </c>
    </row>
    <row r="4741" spans="1:14" x14ac:dyDescent="0.25">
      <c r="A4741" s="1" t="s">
        <v>13426</v>
      </c>
      <c r="B4741" s="3" t="s">
        <v>8365</v>
      </c>
      <c r="C4741" s="2">
        <f ca="1">IF(ISNUMBER(SEARCH(Лист2!$B$4,D:D)),MAX($C$3:OFFSET(C4741,-1,0))+1,0)</f>
        <v>0</v>
      </c>
      <c r="E4741" s="9" t="str">
        <f t="shared" ref="E4741:E4804" ca="1" si="86">IFERROR(INDEX(D:D,MATCH(ROW(E4741)-ROW($E$3),C:C,0)),"")</f>
        <v/>
      </c>
      <c r="F4741" s="4" t="s">
        <v>27</v>
      </c>
      <c r="G4741" s="2">
        <f>IF(ISNUMBER(SEARCH(Лист2!$B$4,F:F)),1,0)</f>
        <v>0</v>
      </c>
      <c r="H4741" s="3">
        <f ca="1">IF(AND(I4741&lt;&gt;I4740,ISNUMBER(SEARCH(Лист2!$B$5,I:I)),G4741=1),MAX($H$3:OFFSET(H4741,-1,0))+1,0)</f>
        <v>0</v>
      </c>
      <c r="I4741" s="3" t="s">
        <v>277</v>
      </c>
      <c r="K4741" s="2">
        <f>IF(ISNUMBER(SEARCH(Лист2!$B$4,F:F)),1,0)</f>
        <v>0</v>
      </c>
      <c r="L4741" s="14">
        <f>IF(ISNUMBER(SEARCH(Лист2!$B$5,I:I)),1,0)+K4741</f>
        <v>0</v>
      </c>
      <c r="M4741" s="3">
        <f ca="1">IF(AND(N4741&lt;&gt;N4740,ISNUMBER(SEARCH(Лист2!$B$6,N:N)),L4741=2),MAX($M$3:OFFSET(M4741,-1,0))+1,0)</f>
        <v>0</v>
      </c>
      <c r="N4741" s="3" t="s">
        <v>2225</v>
      </c>
    </row>
    <row r="4742" spans="1:14" x14ac:dyDescent="0.25">
      <c r="A4742" s="1" t="s">
        <v>13427</v>
      </c>
      <c r="B4742" s="3" t="s">
        <v>8366</v>
      </c>
      <c r="C4742" s="2">
        <f ca="1">IF(ISNUMBER(SEARCH(Лист2!$B$4,D:D)),MAX($C$3:OFFSET(C4742,-1,0))+1,0)</f>
        <v>0</v>
      </c>
      <c r="E4742" s="9" t="str">
        <f t="shared" ca="1" si="86"/>
        <v/>
      </c>
      <c r="F4742" s="4" t="s">
        <v>27</v>
      </c>
      <c r="G4742" s="2">
        <f>IF(ISNUMBER(SEARCH(Лист2!$B$4,F:F)),1,0)</f>
        <v>0</v>
      </c>
      <c r="H4742" s="3">
        <f ca="1">IF(AND(I4742&lt;&gt;I4741,ISNUMBER(SEARCH(Лист2!$B$5,I:I)),G4742=1),MAX($H$3:OFFSET(H4742,-1,0))+1,0)</f>
        <v>0</v>
      </c>
      <c r="I4742" s="3" t="s">
        <v>277</v>
      </c>
      <c r="K4742" s="2">
        <f>IF(ISNUMBER(SEARCH(Лист2!$B$4,F:F)),1,0)</f>
        <v>0</v>
      </c>
      <c r="L4742" s="14">
        <f>IF(ISNUMBER(SEARCH(Лист2!$B$5,I:I)),1,0)+K4742</f>
        <v>0</v>
      </c>
      <c r="M4742" s="3">
        <f ca="1">IF(AND(N4742&lt;&gt;N4741,ISNUMBER(SEARCH(Лист2!$B$6,N:N)),L4742=2),MAX($M$3:OFFSET(M4742,-1,0))+1,0)</f>
        <v>0</v>
      </c>
      <c r="N4742" s="3" t="s">
        <v>2887</v>
      </c>
    </row>
    <row r="4743" spans="1:14" x14ac:dyDescent="0.25">
      <c r="A4743" s="1" t="s">
        <v>13428</v>
      </c>
      <c r="B4743" s="3" t="s">
        <v>8367</v>
      </c>
      <c r="C4743" s="2">
        <f ca="1">IF(ISNUMBER(SEARCH(Лист2!$B$4,D:D)),MAX($C$3:OFFSET(C4743,-1,0))+1,0)</f>
        <v>0</v>
      </c>
      <c r="E4743" s="9" t="str">
        <f t="shared" ca="1" si="86"/>
        <v/>
      </c>
      <c r="F4743" s="4" t="s">
        <v>27</v>
      </c>
      <c r="G4743" s="2">
        <f>IF(ISNUMBER(SEARCH(Лист2!$B$4,F:F)),1,0)</f>
        <v>0</v>
      </c>
      <c r="H4743" s="3">
        <f ca="1">IF(AND(I4743&lt;&gt;I4742,ISNUMBER(SEARCH(Лист2!$B$5,I:I)),G4743=1),MAX($H$3:OFFSET(H4743,-1,0))+1,0)</f>
        <v>0</v>
      </c>
      <c r="I4743" s="3" t="s">
        <v>277</v>
      </c>
      <c r="K4743" s="2">
        <f>IF(ISNUMBER(SEARCH(Лист2!$B$4,F:F)),1,0)</f>
        <v>0</v>
      </c>
      <c r="L4743" s="14">
        <f>IF(ISNUMBER(SEARCH(Лист2!$B$5,I:I)),1,0)+K4743</f>
        <v>0</v>
      </c>
      <c r="M4743" s="3">
        <f ca="1">IF(AND(N4743&lt;&gt;N4742,ISNUMBER(SEARCH(Лист2!$B$6,N:N)),L4743=2),MAX($M$3:OFFSET(M4743,-1,0))+1,0)</f>
        <v>0</v>
      </c>
      <c r="N4743" s="3" t="s">
        <v>2888</v>
      </c>
    </row>
    <row r="4744" spans="1:14" x14ac:dyDescent="0.25">
      <c r="A4744" s="1" t="s">
        <v>13429</v>
      </c>
      <c r="B4744" s="3" t="s">
        <v>8368</v>
      </c>
      <c r="C4744" s="2">
        <f ca="1">IF(ISNUMBER(SEARCH(Лист2!$B$4,D:D)),MAX($C$3:OFFSET(C4744,-1,0))+1,0)</f>
        <v>0</v>
      </c>
      <c r="E4744" s="9" t="str">
        <f t="shared" ca="1" si="86"/>
        <v/>
      </c>
      <c r="F4744" s="4" t="s">
        <v>27</v>
      </c>
      <c r="G4744" s="2">
        <f>IF(ISNUMBER(SEARCH(Лист2!$B$4,F:F)),1,0)</f>
        <v>0</v>
      </c>
      <c r="H4744" s="3">
        <f ca="1">IF(AND(I4744&lt;&gt;I4743,ISNUMBER(SEARCH(Лист2!$B$5,I:I)),G4744=1),MAX($H$3:OFFSET(H4744,-1,0))+1,0)</f>
        <v>0</v>
      </c>
      <c r="I4744" s="3" t="s">
        <v>277</v>
      </c>
      <c r="K4744" s="2">
        <f>IF(ISNUMBER(SEARCH(Лист2!$B$4,F:F)),1,0)</f>
        <v>0</v>
      </c>
      <c r="L4744" s="14">
        <f>IF(ISNUMBER(SEARCH(Лист2!$B$5,I:I)),1,0)+K4744</f>
        <v>0</v>
      </c>
      <c r="M4744" s="3">
        <f ca="1">IF(AND(N4744&lt;&gt;N4743,ISNUMBER(SEARCH(Лист2!$B$6,N:N)),L4744=2),MAX($M$3:OFFSET(M4744,-1,0))+1,0)</f>
        <v>0</v>
      </c>
      <c r="N4744" s="3" t="s">
        <v>2889</v>
      </c>
    </row>
    <row r="4745" spans="1:14" x14ac:dyDescent="0.25">
      <c r="A4745" s="1" t="s">
        <v>13430</v>
      </c>
      <c r="B4745" s="3" t="s">
        <v>8369</v>
      </c>
      <c r="C4745" s="2">
        <f ca="1">IF(ISNUMBER(SEARCH(Лист2!$B$4,D:D)),MAX($C$3:OFFSET(C4745,-1,0))+1,0)</f>
        <v>0</v>
      </c>
      <c r="E4745" s="9" t="str">
        <f t="shared" ca="1" si="86"/>
        <v/>
      </c>
      <c r="F4745" s="4" t="s">
        <v>27</v>
      </c>
      <c r="G4745" s="2">
        <f>IF(ISNUMBER(SEARCH(Лист2!$B$4,F:F)),1,0)</f>
        <v>0</v>
      </c>
      <c r="H4745" s="3">
        <f ca="1">IF(AND(I4745&lt;&gt;I4744,ISNUMBER(SEARCH(Лист2!$B$5,I:I)),G4745=1),MAX($H$3:OFFSET(H4745,-1,0))+1,0)</f>
        <v>0</v>
      </c>
      <c r="I4745" s="3" t="s">
        <v>277</v>
      </c>
      <c r="K4745" s="2">
        <f>IF(ISNUMBER(SEARCH(Лист2!$B$4,F:F)),1,0)</f>
        <v>0</v>
      </c>
      <c r="L4745" s="14">
        <f>IF(ISNUMBER(SEARCH(Лист2!$B$5,I:I)),1,0)+K4745</f>
        <v>0</v>
      </c>
      <c r="M4745" s="3">
        <f ca="1">IF(AND(N4745&lt;&gt;N4744,ISNUMBER(SEARCH(Лист2!$B$6,N:N)),L4745=2),MAX($M$3:OFFSET(M4745,-1,0))+1,0)</f>
        <v>0</v>
      </c>
      <c r="N4745" s="3" t="s">
        <v>2890</v>
      </c>
    </row>
    <row r="4746" spans="1:14" x14ac:dyDescent="0.25">
      <c r="A4746" s="1" t="s">
        <v>13431</v>
      </c>
      <c r="B4746" s="3" t="s">
        <v>8370</v>
      </c>
      <c r="C4746" s="2">
        <f ca="1">IF(ISNUMBER(SEARCH(Лист2!$B$4,D:D)),MAX($C$3:OFFSET(C4746,-1,0))+1,0)</f>
        <v>0</v>
      </c>
      <c r="E4746" s="9" t="str">
        <f t="shared" ca="1" si="86"/>
        <v/>
      </c>
      <c r="F4746" s="4" t="s">
        <v>27</v>
      </c>
      <c r="G4746" s="2">
        <f>IF(ISNUMBER(SEARCH(Лист2!$B$4,F:F)),1,0)</f>
        <v>0</v>
      </c>
      <c r="H4746" s="3">
        <f ca="1">IF(AND(I4746&lt;&gt;I4745,ISNUMBER(SEARCH(Лист2!$B$5,I:I)),G4746=1),MAX($H$3:OFFSET(H4746,-1,0))+1,0)</f>
        <v>0</v>
      </c>
      <c r="I4746" s="3" t="s">
        <v>293</v>
      </c>
      <c r="K4746" s="2">
        <f>IF(ISNUMBER(SEARCH(Лист2!$B$4,F:F)),1,0)</f>
        <v>0</v>
      </c>
      <c r="L4746" s="14">
        <f>IF(ISNUMBER(SEARCH(Лист2!$B$5,I:I)),1,0)+K4746</f>
        <v>0</v>
      </c>
      <c r="M4746" s="3">
        <f ca="1">IF(AND(N4746&lt;&gt;N4745,ISNUMBER(SEARCH(Лист2!$B$6,N:N)),L4746=2),MAX($M$3:OFFSET(M4746,-1,0))+1,0)</f>
        <v>0</v>
      </c>
      <c r="N4746" s="3" t="s">
        <v>2891</v>
      </c>
    </row>
    <row r="4747" spans="1:14" x14ac:dyDescent="0.25">
      <c r="A4747" s="1" t="s">
        <v>13431</v>
      </c>
      <c r="B4747" s="3" t="s">
        <v>8371</v>
      </c>
      <c r="C4747" s="2">
        <f ca="1">IF(ISNUMBER(SEARCH(Лист2!$B$4,D:D)),MAX($C$3:OFFSET(C4747,-1,0))+1,0)</f>
        <v>0</v>
      </c>
      <c r="E4747" s="9" t="str">
        <f t="shared" ca="1" si="86"/>
        <v/>
      </c>
      <c r="F4747" s="4" t="s">
        <v>27</v>
      </c>
      <c r="G4747" s="2">
        <f>IF(ISNUMBER(SEARCH(Лист2!$B$4,F:F)),1,0)</f>
        <v>0</v>
      </c>
      <c r="H4747" s="3">
        <f ca="1">IF(AND(I4747&lt;&gt;I4746,ISNUMBER(SEARCH(Лист2!$B$5,I:I)),G4747=1),MAX($H$3:OFFSET(H4747,-1,0))+1,0)</f>
        <v>0</v>
      </c>
      <c r="I4747" s="3" t="s">
        <v>293</v>
      </c>
      <c r="K4747" s="2">
        <f>IF(ISNUMBER(SEARCH(Лист2!$B$4,F:F)),1,0)</f>
        <v>0</v>
      </c>
      <c r="L4747" s="14">
        <f>IF(ISNUMBER(SEARCH(Лист2!$B$5,I:I)),1,0)+K4747</f>
        <v>0</v>
      </c>
      <c r="M4747" s="3">
        <f ca="1">IF(AND(N4747&lt;&gt;N4746,ISNUMBER(SEARCH(Лист2!$B$6,N:N)),L4747=2),MAX($M$3:OFFSET(M4747,-1,0))+1,0)</f>
        <v>0</v>
      </c>
      <c r="N4747" s="3" t="s">
        <v>2891</v>
      </c>
    </row>
    <row r="4748" spans="1:14" x14ac:dyDescent="0.25">
      <c r="A4748" s="1" t="s">
        <v>13431</v>
      </c>
      <c r="B4748" s="3" t="s">
        <v>8372</v>
      </c>
      <c r="C4748" s="2">
        <f ca="1">IF(ISNUMBER(SEARCH(Лист2!$B$4,D:D)),MAX($C$3:OFFSET(C4748,-1,0))+1,0)</f>
        <v>0</v>
      </c>
      <c r="E4748" s="9" t="str">
        <f t="shared" ca="1" si="86"/>
        <v/>
      </c>
      <c r="F4748" s="4" t="s">
        <v>27</v>
      </c>
      <c r="G4748" s="2">
        <f>IF(ISNUMBER(SEARCH(Лист2!$B$4,F:F)),1,0)</f>
        <v>0</v>
      </c>
      <c r="H4748" s="3">
        <f ca="1">IF(AND(I4748&lt;&gt;I4747,ISNUMBER(SEARCH(Лист2!$B$5,I:I)),G4748=1),MAX($H$3:OFFSET(H4748,-1,0))+1,0)</f>
        <v>0</v>
      </c>
      <c r="I4748" s="3" t="s">
        <v>293</v>
      </c>
      <c r="K4748" s="2">
        <f>IF(ISNUMBER(SEARCH(Лист2!$B$4,F:F)),1,0)</f>
        <v>0</v>
      </c>
      <c r="L4748" s="14">
        <f>IF(ISNUMBER(SEARCH(Лист2!$B$5,I:I)),1,0)+K4748</f>
        <v>0</v>
      </c>
      <c r="M4748" s="3">
        <f ca="1">IF(AND(N4748&lt;&gt;N4747,ISNUMBER(SEARCH(Лист2!$B$6,N:N)),L4748=2),MAX($M$3:OFFSET(M4748,-1,0))+1,0)</f>
        <v>0</v>
      </c>
      <c r="N4748" s="3" t="s">
        <v>2891</v>
      </c>
    </row>
    <row r="4749" spans="1:14" x14ac:dyDescent="0.25">
      <c r="A4749" s="1" t="s">
        <v>13432</v>
      </c>
      <c r="B4749" s="3" t="s">
        <v>8373</v>
      </c>
      <c r="C4749" s="2">
        <f ca="1">IF(ISNUMBER(SEARCH(Лист2!$B$4,D:D)),MAX($C$3:OFFSET(C4749,-1,0))+1,0)</f>
        <v>0</v>
      </c>
      <c r="E4749" s="9" t="str">
        <f t="shared" ca="1" si="86"/>
        <v/>
      </c>
      <c r="F4749" s="4" t="s">
        <v>27</v>
      </c>
      <c r="G4749" s="2">
        <f>IF(ISNUMBER(SEARCH(Лист2!$B$4,F:F)),1,0)</f>
        <v>0</v>
      </c>
      <c r="H4749" s="3">
        <f ca="1">IF(AND(I4749&lt;&gt;I4748,ISNUMBER(SEARCH(Лист2!$B$5,I:I)),G4749=1),MAX($H$3:OFFSET(H4749,-1,0))+1,0)</f>
        <v>0</v>
      </c>
      <c r="I4749" s="3" t="s">
        <v>293</v>
      </c>
      <c r="K4749" s="2">
        <f>IF(ISNUMBER(SEARCH(Лист2!$B$4,F:F)),1,0)</f>
        <v>0</v>
      </c>
      <c r="L4749" s="14">
        <f>IF(ISNUMBER(SEARCH(Лист2!$B$5,I:I)),1,0)+K4749</f>
        <v>0</v>
      </c>
      <c r="M4749" s="3">
        <f ca="1">IF(AND(N4749&lt;&gt;N4748,ISNUMBER(SEARCH(Лист2!$B$6,N:N)),L4749=2),MAX($M$3:OFFSET(M4749,-1,0))+1,0)</f>
        <v>0</v>
      </c>
      <c r="N4749" s="3" t="s">
        <v>2892</v>
      </c>
    </row>
    <row r="4750" spans="1:14" x14ac:dyDescent="0.25">
      <c r="A4750" s="1" t="s">
        <v>13432</v>
      </c>
      <c r="B4750" s="3" t="s">
        <v>8374</v>
      </c>
      <c r="C4750" s="2">
        <f ca="1">IF(ISNUMBER(SEARCH(Лист2!$B$4,D:D)),MAX($C$3:OFFSET(C4750,-1,0))+1,0)</f>
        <v>0</v>
      </c>
      <c r="E4750" s="9" t="str">
        <f t="shared" ca="1" si="86"/>
        <v/>
      </c>
      <c r="F4750" s="4" t="s">
        <v>27</v>
      </c>
      <c r="G4750" s="2">
        <f>IF(ISNUMBER(SEARCH(Лист2!$B$4,F:F)),1,0)</f>
        <v>0</v>
      </c>
      <c r="H4750" s="3">
        <f ca="1">IF(AND(I4750&lt;&gt;I4749,ISNUMBER(SEARCH(Лист2!$B$5,I:I)),G4750=1),MAX($H$3:OFFSET(H4750,-1,0))+1,0)</f>
        <v>0</v>
      </c>
      <c r="I4750" s="3" t="s">
        <v>293</v>
      </c>
      <c r="K4750" s="2">
        <f>IF(ISNUMBER(SEARCH(Лист2!$B$4,F:F)),1,0)</f>
        <v>0</v>
      </c>
      <c r="L4750" s="14">
        <f>IF(ISNUMBER(SEARCH(Лист2!$B$5,I:I)),1,0)+K4750</f>
        <v>0</v>
      </c>
      <c r="M4750" s="3">
        <f ca="1">IF(AND(N4750&lt;&gt;N4749,ISNUMBER(SEARCH(Лист2!$B$6,N:N)),L4750=2),MAX($M$3:OFFSET(M4750,-1,0))+1,0)</f>
        <v>0</v>
      </c>
      <c r="N4750" s="3" t="s">
        <v>2892</v>
      </c>
    </row>
    <row r="4751" spans="1:14" x14ac:dyDescent="0.25">
      <c r="A4751" s="1" t="s">
        <v>13432</v>
      </c>
      <c r="B4751" s="3" t="s">
        <v>8375</v>
      </c>
      <c r="C4751" s="2">
        <f ca="1">IF(ISNUMBER(SEARCH(Лист2!$B$4,D:D)),MAX($C$3:OFFSET(C4751,-1,0))+1,0)</f>
        <v>0</v>
      </c>
      <c r="E4751" s="9" t="str">
        <f t="shared" ca="1" si="86"/>
        <v/>
      </c>
      <c r="F4751" s="4" t="s">
        <v>27</v>
      </c>
      <c r="G4751" s="2">
        <f>IF(ISNUMBER(SEARCH(Лист2!$B$4,F:F)),1,0)</f>
        <v>0</v>
      </c>
      <c r="H4751" s="3">
        <f ca="1">IF(AND(I4751&lt;&gt;I4750,ISNUMBER(SEARCH(Лист2!$B$5,I:I)),G4751=1),MAX($H$3:OFFSET(H4751,-1,0))+1,0)</f>
        <v>0</v>
      </c>
      <c r="I4751" s="3" t="s">
        <v>293</v>
      </c>
      <c r="K4751" s="2">
        <f>IF(ISNUMBER(SEARCH(Лист2!$B$4,F:F)),1,0)</f>
        <v>0</v>
      </c>
      <c r="L4751" s="14">
        <f>IF(ISNUMBER(SEARCH(Лист2!$B$5,I:I)),1,0)+K4751</f>
        <v>0</v>
      </c>
      <c r="M4751" s="3">
        <f ca="1">IF(AND(N4751&lt;&gt;N4750,ISNUMBER(SEARCH(Лист2!$B$6,N:N)),L4751=2),MAX($M$3:OFFSET(M4751,-1,0))+1,0)</f>
        <v>0</v>
      </c>
      <c r="N4751" s="3" t="s">
        <v>2892</v>
      </c>
    </row>
    <row r="4752" spans="1:14" x14ac:dyDescent="0.25">
      <c r="A4752" s="1" t="s">
        <v>13433</v>
      </c>
      <c r="B4752" s="3" t="s">
        <v>8376</v>
      </c>
      <c r="C4752" s="2">
        <f ca="1">IF(ISNUMBER(SEARCH(Лист2!$B$4,D:D)),MAX($C$3:OFFSET(C4752,-1,0))+1,0)</f>
        <v>0</v>
      </c>
      <c r="E4752" s="9" t="str">
        <f t="shared" ca="1" si="86"/>
        <v/>
      </c>
      <c r="F4752" s="4" t="s">
        <v>27</v>
      </c>
      <c r="G4752" s="2">
        <f>IF(ISNUMBER(SEARCH(Лист2!$B$4,F:F)),1,0)</f>
        <v>0</v>
      </c>
      <c r="H4752" s="3">
        <f ca="1">IF(AND(I4752&lt;&gt;I4751,ISNUMBER(SEARCH(Лист2!$B$5,I:I)),G4752=1),MAX($H$3:OFFSET(H4752,-1,0))+1,0)</f>
        <v>0</v>
      </c>
      <c r="I4752" s="3" t="s">
        <v>293</v>
      </c>
      <c r="K4752" s="2">
        <f>IF(ISNUMBER(SEARCH(Лист2!$B$4,F:F)),1,0)</f>
        <v>0</v>
      </c>
      <c r="L4752" s="14">
        <f>IF(ISNUMBER(SEARCH(Лист2!$B$5,I:I)),1,0)+K4752</f>
        <v>0</v>
      </c>
      <c r="M4752" s="3">
        <f ca="1">IF(AND(N4752&lt;&gt;N4751,ISNUMBER(SEARCH(Лист2!$B$6,N:N)),L4752=2),MAX($M$3:OFFSET(M4752,-1,0))+1,0)</f>
        <v>0</v>
      </c>
      <c r="N4752" s="3" t="s">
        <v>2893</v>
      </c>
    </row>
    <row r="4753" spans="1:14" x14ac:dyDescent="0.25">
      <c r="A4753" s="1" t="s">
        <v>13433</v>
      </c>
      <c r="B4753" s="3" t="s">
        <v>8377</v>
      </c>
      <c r="C4753" s="2">
        <f ca="1">IF(ISNUMBER(SEARCH(Лист2!$B$4,D:D)),MAX($C$3:OFFSET(C4753,-1,0))+1,0)</f>
        <v>0</v>
      </c>
      <c r="E4753" s="9" t="str">
        <f t="shared" ca="1" si="86"/>
        <v/>
      </c>
      <c r="F4753" s="4" t="s">
        <v>27</v>
      </c>
      <c r="G4753" s="2">
        <f>IF(ISNUMBER(SEARCH(Лист2!$B$4,F:F)),1,0)</f>
        <v>0</v>
      </c>
      <c r="H4753" s="3">
        <f ca="1">IF(AND(I4753&lt;&gt;I4752,ISNUMBER(SEARCH(Лист2!$B$5,I:I)),G4753=1),MAX($H$3:OFFSET(H4753,-1,0))+1,0)</f>
        <v>0</v>
      </c>
      <c r="I4753" s="3" t="s">
        <v>293</v>
      </c>
      <c r="K4753" s="2">
        <f>IF(ISNUMBER(SEARCH(Лист2!$B$4,F:F)),1,0)</f>
        <v>0</v>
      </c>
      <c r="L4753" s="14">
        <f>IF(ISNUMBER(SEARCH(Лист2!$B$5,I:I)),1,0)+K4753</f>
        <v>0</v>
      </c>
      <c r="M4753" s="3">
        <f ca="1">IF(AND(N4753&lt;&gt;N4752,ISNUMBER(SEARCH(Лист2!$B$6,N:N)),L4753=2),MAX($M$3:OFFSET(M4753,-1,0))+1,0)</f>
        <v>0</v>
      </c>
      <c r="N4753" s="3" t="s">
        <v>2893</v>
      </c>
    </row>
    <row r="4754" spans="1:14" x14ac:dyDescent="0.25">
      <c r="A4754" s="1" t="s">
        <v>13433</v>
      </c>
      <c r="B4754" s="3" t="s">
        <v>8378</v>
      </c>
      <c r="C4754" s="2">
        <f ca="1">IF(ISNUMBER(SEARCH(Лист2!$B$4,D:D)),MAX($C$3:OFFSET(C4754,-1,0))+1,0)</f>
        <v>0</v>
      </c>
      <c r="E4754" s="9" t="str">
        <f t="shared" ca="1" si="86"/>
        <v/>
      </c>
      <c r="F4754" s="4" t="s">
        <v>27</v>
      </c>
      <c r="G4754" s="2">
        <f>IF(ISNUMBER(SEARCH(Лист2!$B$4,F:F)),1,0)</f>
        <v>0</v>
      </c>
      <c r="H4754" s="3">
        <f ca="1">IF(AND(I4754&lt;&gt;I4753,ISNUMBER(SEARCH(Лист2!$B$5,I:I)),G4754=1),MAX($H$3:OFFSET(H4754,-1,0))+1,0)</f>
        <v>0</v>
      </c>
      <c r="I4754" s="3" t="s">
        <v>293</v>
      </c>
      <c r="K4754" s="2">
        <f>IF(ISNUMBER(SEARCH(Лист2!$B$4,F:F)),1,0)</f>
        <v>0</v>
      </c>
      <c r="L4754" s="14">
        <f>IF(ISNUMBER(SEARCH(Лист2!$B$5,I:I)),1,0)+K4754</f>
        <v>0</v>
      </c>
      <c r="M4754" s="3">
        <f ca="1">IF(AND(N4754&lt;&gt;N4753,ISNUMBER(SEARCH(Лист2!$B$6,N:N)),L4754=2),MAX($M$3:OFFSET(M4754,-1,0))+1,0)</f>
        <v>0</v>
      </c>
      <c r="N4754" s="3" t="s">
        <v>2893</v>
      </c>
    </row>
    <row r="4755" spans="1:14" x14ac:dyDescent="0.25">
      <c r="A4755" s="1" t="s">
        <v>13432</v>
      </c>
      <c r="B4755" s="3" t="s">
        <v>8379</v>
      </c>
      <c r="C4755" s="2">
        <f ca="1">IF(ISNUMBER(SEARCH(Лист2!$B$4,D:D)),MAX($C$3:OFFSET(C4755,-1,0))+1,0)</f>
        <v>0</v>
      </c>
      <c r="E4755" s="9" t="str">
        <f t="shared" ca="1" si="86"/>
        <v/>
      </c>
      <c r="F4755" s="4" t="s">
        <v>27</v>
      </c>
      <c r="G4755" s="2">
        <f>IF(ISNUMBER(SEARCH(Лист2!$B$4,F:F)),1,0)</f>
        <v>0</v>
      </c>
      <c r="H4755" s="3">
        <f ca="1">IF(AND(I4755&lt;&gt;I4754,ISNUMBER(SEARCH(Лист2!$B$5,I:I)),G4755=1),MAX($H$3:OFFSET(H4755,-1,0))+1,0)</f>
        <v>0</v>
      </c>
      <c r="I4755" s="3" t="s">
        <v>293</v>
      </c>
      <c r="K4755" s="2">
        <f>IF(ISNUMBER(SEARCH(Лист2!$B$4,F:F)),1,0)</f>
        <v>0</v>
      </c>
      <c r="L4755" s="14">
        <f>IF(ISNUMBER(SEARCH(Лист2!$B$5,I:I)),1,0)+K4755</f>
        <v>0</v>
      </c>
      <c r="M4755" s="3">
        <f ca="1">IF(AND(N4755&lt;&gt;N4754,ISNUMBER(SEARCH(Лист2!$B$6,N:N)),L4755=2),MAX($M$3:OFFSET(M4755,-1,0))+1,0)</f>
        <v>0</v>
      </c>
      <c r="N4755" s="3" t="s">
        <v>2892</v>
      </c>
    </row>
    <row r="4756" spans="1:14" x14ac:dyDescent="0.25">
      <c r="A4756" s="1" t="s">
        <v>13432</v>
      </c>
      <c r="B4756" s="3" t="s">
        <v>8380</v>
      </c>
      <c r="C4756" s="2">
        <f ca="1">IF(ISNUMBER(SEARCH(Лист2!$B$4,D:D)),MAX($C$3:OFFSET(C4756,-1,0))+1,0)</f>
        <v>0</v>
      </c>
      <c r="E4756" s="9" t="str">
        <f t="shared" ca="1" si="86"/>
        <v/>
      </c>
      <c r="F4756" s="4" t="s">
        <v>27</v>
      </c>
      <c r="G4756" s="2">
        <f>IF(ISNUMBER(SEARCH(Лист2!$B$4,F:F)),1,0)</f>
        <v>0</v>
      </c>
      <c r="H4756" s="3">
        <f ca="1">IF(AND(I4756&lt;&gt;I4755,ISNUMBER(SEARCH(Лист2!$B$5,I:I)),G4756=1),MAX($H$3:OFFSET(H4756,-1,0))+1,0)</f>
        <v>0</v>
      </c>
      <c r="I4756" s="3" t="s">
        <v>293</v>
      </c>
      <c r="K4756" s="2">
        <f>IF(ISNUMBER(SEARCH(Лист2!$B$4,F:F)),1,0)</f>
        <v>0</v>
      </c>
      <c r="L4756" s="14">
        <f>IF(ISNUMBER(SEARCH(Лист2!$B$5,I:I)),1,0)+K4756</f>
        <v>0</v>
      </c>
      <c r="M4756" s="3">
        <f ca="1">IF(AND(N4756&lt;&gt;N4755,ISNUMBER(SEARCH(Лист2!$B$6,N:N)),L4756=2),MAX($M$3:OFFSET(M4756,-1,0))+1,0)</f>
        <v>0</v>
      </c>
      <c r="N4756" s="3" t="s">
        <v>2892</v>
      </c>
    </row>
    <row r="4757" spans="1:14" x14ac:dyDescent="0.25">
      <c r="A4757" s="1" t="s">
        <v>13432</v>
      </c>
      <c r="B4757" s="3" t="s">
        <v>8381</v>
      </c>
      <c r="C4757" s="2">
        <f ca="1">IF(ISNUMBER(SEARCH(Лист2!$B$4,D:D)),MAX($C$3:OFFSET(C4757,-1,0))+1,0)</f>
        <v>0</v>
      </c>
      <c r="E4757" s="9" t="str">
        <f t="shared" ca="1" si="86"/>
        <v/>
      </c>
      <c r="F4757" s="4" t="s">
        <v>27</v>
      </c>
      <c r="G4757" s="2">
        <f>IF(ISNUMBER(SEARCH(Лист2!$B$4,F:F)),1,0)</f>
        <v>0</v>
      </c>
      <c r="H4757" s="3">
        <f ca="1">IF(AND(I4757&lt;&gt;I4756,ISNUMBER(SEARCH(Лист2!$B$5,I:I)),G4757=1),MAX($H$3:OFFSET(H4757,-1,0))+1,0)</f>
        <v>0</v>
      </c>
      <c r="I4757" s="3" t="s">
        <v>293</v>
      </c>
      <c r="K4757" s="2">
        <f>IF(ISNUMBER(SEARCH(Лист2!$B$4,F:F)),1,0)</f>
        <v>0</v>
      </c>
      <c r="L4757" s="14">
        <f>IF(ISNUMBER(SEARCH(Лист2!$B$5,I:I)),1,0)+K4757</f>
        <v>0</v>
      </c>
      <c r="M4757" s="3">
        <f ca="1">IF(AND(N4757&lt;&gt;N4756,ISNUMBER(SEARCH(Лист2!$B$6,N:N)),L4757=2),MAX($M$3:OFFSET(M4757,-1,0))+1,0)</f>
        <v>0</v>
      </c>
      <c r="N4757" s="3" t="s">
        <v>2892</v>
      </c>
    </row>
    <row r="4758" spans="1:14" x14ac:dyDescent="0.25">
      <c r="A4758" s="1" t="s">
        <v>13434</v>
      </c>
      <c r="B4758" s="3" t="s">
        <v>8382</v>
      </c>
      <c r="C4758" s="2">
        <f ca="1">IF(ISNUMBER(SEARCH(Лист2!$B$4,D:D)),MAX($C$3:OFFSET(C4758,-1,0))+1,0)</f>
        <v>0</v>
      </c>
      <c r="E4758" s="9" t="str">
        <f t="shared" ca="1" si="86"/>
        <v/>
      </c>
      <c r="F4758" s="4" t="s">
        <v>27</v>
      </c>
      <c r="G4758" s="2">
        <f>IF(ISNUMBER(SEARCH(Лист2!$B$4,F:F)),1,0)</f>
        <v>0</v>
      </c>
      <c r="H4758" s="3">
        <f ca="1">IF(AND(I4758&lt;&gt;I4757,ISNUMBER(SEARCH(Лист2!$B$5,I:I)),G4758=1),MAX($H$3:OFFSET(H4758,-1,0))+1,0)</f>
        <v>0</v>
      </c>
      <c r="I4758" s="3" t="s">
        <v>293</v>
      </c>
      <c r="K4758" s="2">
        <f>IF(ISNUMBER(SEARCH(Лист2!$B$4,F:F)),1,0)</f>
        <v>0</v>
      </c>
      <c r="L4758" s="14">
        <f>IF(ISNUMBER(SEARCH(Лист2!$B$5,I:I)),1,0)+K4758</f>
        <v>0</v>
      </c>
      <c r="M4758" s="3">
        <f ca="1">IF(AND(N4758&lt;&gt;N4757,ISNUMBER(SEARCH(Лист2!$B$6,N:N)),L4758=2),MAX($M$3:OFFSET(M4758,-1,0))+1,0)</f>
        <v>0</v>
      </c>
      <c r="N4758" s="3" t="s">
        <v>1385</v>
      </c>
    </row>
    <row r="4759" spans="1:14" x14ac:dyDescent="0.25">
      <c r="A4759" s="1" t="s">
        <v>13435</v>
      </c>
      <c r="B4759" s="3" t="s">
        <v>8383</v>
      </c>
      <c r="C4759" s="2">
        <f ca="1">IF(ISNUMBER(SEARCH(Лист2!$B$4,D:D)),MAX($C$3:OFFSET(C4759,-1,0))+1,0)</f>
        <v>0</v>
      </c>
      <c r="E4759" s="9" t="str">
        <f t="shared" ca="1" si="86"/>
        <v/>
      </c>
      <c r="F4759" s="4" t="s">
        <v>27</v>
      </c>
      <c r="G4759" s="2">
        <f>IF(ISNUMBER(SEARCH(Лист2!$B$4,F:F)),1,0)</f>
        <v>0</v>
      </c>
      <c r="H4759" s="3">
        <f ca="1">IF(AND(I4759&lt;&gt;I4758,ISNUMBER(SEARCH(Лист2!$B$5,I:I)),G4759=1),MAX($H$3:OFFSET(H4759,-1,0))+1,0)</f>
        <v>0</v>
      </c>
      <c r="I4759" s="3" t="s">
        <v>293</v>
      </c>
      <c r="K4759" s="2">
        <f>IF(ISNUMBER(SEARCH(Лист2!$B$4,F:F)),1,0)</f>
        <v>0</v>
      </c>
      <c r="L4759" s="14">
        <f>IF(ISNUMBER(SEARCH(Лист2!$B$5,I:I)),1,0)+K4759</f>
        <v>0</v>
      </c>
      <c r="M4759" s="3">
        <f ca="1">IF(AND(N4759&lt;&gt;N4758,ISNUMBER(SEARCH(Лист2!$B$6,N:N)),L4759=2),MAX($M$3:OFFSET(M4759,-1,0))+1,0)</f>
        <v>0</v>
      </c>
      <c r="N4759" s="3" t="s">
        <v>602</v>
      </c>
    </row>
    <row r="4760" spans="1:14" x14ac:dyDescent="0.25">
      <c r="A4760" s="1" t="s">
        <v>13436</v>
      </c>
      <c r="B4760" s="3" t="s">
        <v>8384</v>
      </c>
      <c r="C4760" s="2">
        <f ca="1">IF(ISNUMBER(SEARCH(Лист2!$B$4,D:D)),MAX($C$3:OFFSET(C4760,-1,0))+1,0)</f>
        <v>0</v>
      </c>
      <c r="E4760" s="9" t="str">
        <f t="shared" ca="1" si="86"/>
        <v/>
      </c>
      <c r="F4760" s="4" t="s">
        <v>27</v>
      </c>
      <c r="G4760" s="2">
        <f>IF(ISNUMBER(SEARCH(Лист2!$B$4,F:F)),1,0)</f>
        <v>0</v>
      </c>
      <c r="H4760" s="3">
        <f ca="1">IF(AND(I4760&lt;&gt;I4759,ISNUMBER(SEARCH(Лист2!$B$5,I:I)),G4760=1),MAX($H$3:OFFSET(H4760,-1,0))+1,0)</f>
        <v>0</v>
      </c>
      <c r="I4760" s="3" t="s">
        <v>293</v>
      </c>
      <c r="K4760" s="2">
        <f>IF(ISNUMBER(SEARCH(Лист2!$B$4,F:F)),1,0)</f>
        <v>0</v>
      </c>
      <c r="L4760" s="14">
        <f>IF(ISNUMBER(SEARCH(Лист2!$B$5,I:I)),1,0)+K4760</f>
        <v>0</v>
      </c>
      <c r="M4760" s="3">
        <f ca="1">IF(AND(N4760&lt;&gt;N4759,ISNUMBER(SEARCH(Лист2!$B$6,N:N)),L4760=2),MAX($M$3:OFFSET(M4760,-1,0))+1,0)</f>
        <v>0</v>
      </c>
      <c r="N4760" s="3" t="s">
        <v>2894</v>
      </c>
    </row>
    <row r="4761" spans="1:14" x14ac:dyDescent="0.25">
      <c r="A4761" s="1" t="s">
        <v>13437</v>
      </c>
      <c r="B4761" s="3" t="s">
        <v>8385</v>
      </c>
      <c r="C4761" s="2">
        <f ca="1">IF(ISNUMBER(SEARCH(Лист2!$B$4,D:D)),MAX($C$3:OFFSET(C4761,-1,0))+1,0)</f>
        <v>0</v>
      </c>
      <c r="E4761" s="9" t="str">
        <f t="shared" ca="1" si="86"/>
        <v/>
      </c>
      <c r="F4761" s="4" t="s">
        <v>27</v>
      </c>
      <c r="G4761" s="2">
        <f>IF(ISNUMBER(SEARCH(Лист2!$B$4,F:F)),1,0)</f>
        <v>0</v>
      </c>
      <c r="H4761" s="3">
        <f ca="1">IF(AND(I4761&lt;&gt;I4760,ISNUMBER(SEARCH(Лист2!$B$5,I:I)),G4761=1),MAX($H$3:OFFSET(H4761,-1,0))+1,0)</f>
        <v>0</v>
      </c>
      <c r="I4761" s="3" t="s">
        <v>293</v>
      </c>
      <c r="K4761" s="2">
        <f>IF(ISNUMBER(SEARCH(Лист2!$B$4,F:F)),1,0)</f>
        <v>0</v>
      </c>
      <c r="L4761" s="14">
        <f>IF(ISNUMBER(SEARCH(Лист2!$B$5,I:I)),1,0)+K4761</f>
        <v>0</v>
      </c>
      <c r="M4761" s="3">
        <f ca="1">IF(AND(N4761&lt;&gt;N4760,ISNUMBER(SEARCH(Лист2!$B$6,N:N)),L4761=2),MAX($M$3:OFFSET(M4761,-1,0))+1,0)</f>
        <v>0</v>
      </c>
      <c r="N4761" s="3" t="s">
        <v>2895</v>
      </c>
    </row>
    <row r="4762" spans="1:14" x14ac:dyDescent="0.25">
      <c r="A4762" s="1" t="s">
        <v>13438</v>
      </c>
      <c r="B4762" s="3" t="s">
        <v>8386</v>
      </c>
      <c r="C4762" s="2">
        <f ca="1">IF(ISNUMBER(SEARCH(Лист2!$B$4,D:D)),MAX($C$3:OFFSET(C4762,-1,0))+1,0)</f>
        <v>0</v>
      </c>
      <c r="E4762" s="9" t="str">
        <f t="shared" ca="1" si="86"/>
        <v/>
      </c>
      <c r="F4762" s="4" t="s">
        <v>27</v>
      </c>
      <c r="G4762" s="2">
        <f>IF(ISNUMBER(SEARCH(Лист2!$B$4,F:F)),1,0)</f>
        <v>0</v>
      </c>
      <c r="H4762" s="3">
        <f ca="1">IF(AND(I4762&lt;&gt;I4761,ISNUMBER(SEARCH(Лист2!$B$5,I:I)),G4762=1),MAX($H$3:OFFSET(H4762,-1,0))+1,0)</f>
        <v>0</v>
      </c>
      <c r="I4762" s="3" t="s">
        <v>293</v>
      </c>
      <c r="K4762" s="2">
        <f>IF(ISNUMBER(SEARCH(Лист2!$B$4,F:F)),1,0)</f>
        <v>0</v>
      </c>
      <c r="L4762" s="14">
        <f>IF(ISNUMBER(SEARCH(Лист2!$B$5,I:I)),1,0)+K4762</f>
        <v>0</v>
      </c>
      <c r="M4762" s="3">
        <f ca="1">IF(AND(N4762&lt;&gt;N4761,ISNUMBER(SEARCH(Лист2!$B$6,N:N)),L4762=2),MAX($M$3:OFFSET(M4762,-1,0))+1,0)</f>
        <v>0</v>
      </c>
      <c r="N4762" s="3" t="s">
        <v>2002</v>
      </c>
    </row>
    <row r="4763" spans="1:14" x14ac:dyDescent="0.25">
      <c r="A4763" s="1" t="s">
        <v>13439</v>
      </c>
      <c r="B4763" s="3" t="s">
        <v>8387</v>
      </c>
      <c r="C4763" s="2">
        <f ca="1">IF(ISNUMBER(SEARCH(Лист2!$B$4,D:D)),MAX($C$3:OFFSET(C4763,-1,0))+1,0)</f>
        <v>0</v>
      </c>
      <c r="E4763" s="9" t="str">
        <f t="shared" ca="1" si="86"/>
        <v/>
      </c>
      <c r="F4763" s="4" t="s">
        <v>27</v>
      </c>
      <c r="G4763" s="2">
        <f>IF(ISNUMBER(SEARCH(Лист2!$B$4,F:F)),1,0)</f>
        <v>0</v>
      </c>
      <c r="H4763" s="3">
        <f ca="1">IF(AND(I4763&lt;&gt;I4762,ISNUMBER(SEARCH(Лист2!$B$5,I:I)),G4763=1),MAX($H$3:OFFSET(H4763,-1,0))+1,0)</f>
        <v>0</v>
      </c>
      <c r="I4763" s="3" t="s">
        <v>293</v>
      </c>
      <c r="K4763" s="2">
        <f>IF(ISNUMBER(SEARCH(Лист2!$B$4,F:F)),1,0)</f>
        <v>0</v>
      </c>
      <c r="L4763" s="14">
        <f>IF(ISNUMBER(SEARCH(Лист2!$B$5,I:I)),1,0)+K4763</f>
        <v>0</v>
      </c>
      <c r="M4763" s="3">
        <f ca="1">IF(AND(N4763&lt;&gt;N4762,ISNUMBER(SEARCH(Лист2!$B$6,N:N)),L4763=2),MAX($M$3:OFFSET(M4763,-1,0))+1,0)</f>
        <v>0</v>
      </c>
      <c r="N4763" s="3" t="s">
        <v>2145</v>
      </c>
    </row>
    <row r="4764" spans="1:14" x14ac:dyDescent="0.25">
      <c r="A4764" s="1" t="s">
        <v>13440</v>
      </c>
      <c r="B4764" s="3" t="s">
        <v>8388</v>
      </c>
      <c r="C4764" s="2">
        <f ca="1">IF(ISNUMBER(SEARCH(Лист2!$B$4,D:D)),MAX($C$3:OFFSET(C4764,-1,0))+1,0)</f>
        <v>0</v>
      </c>
      <c r="E4764" s="9" t="str">
        <f t="shared" ca="1" si="86"/>
        <v/>
      </c>
      <c r="F4764" s="4" t="s">
        <v>27</v>
      </c>
      <c r="G4764" s="2">
        <f>IF(ISNUMBER(SEARCH(Лист2!$B$4,F:F)),1,0)</f>
        <v>0</v>
      </c>
      <c r="H4764" s="3">
        <f ca="1">IF(AND(I4764&lt;&gt;I4763,ISNUMBER(SEARCH(Лист2!$B$5,I:I)),G4764=1),MAX($H$3:OFFSET(H4764,-1,0))+1,0)</f>
        <v>0</v>
      </c>
      <c r="I4764" s="3" t="s">
        <v>293</v>
      </c>
      <c r="K4764" s="2">
        <f>IF(ISNUMBER(SEARCH(Лист2!$B$4,F:F)),1,0)</f>
        <v>0</v>
      </c>
      <c r="L4764" s="14">
        <f>IF(ISNUMBER(SEARCH(Лист2!$B$5,I:I)),1,0)+K4764</f>
        <v>0</v>
      </c>
      <c r="M4764" s="3">
        <f ca="1">IF(AND(N4764&lt;&gt;N4763,ISNUMBER(SEARCH(Лист2!$B$6,N:N)),L4764=2),MAX($M$3:OFFSET(M4764,-1,0))+1,0)</f>
        <v>0</v>
      </c>
      <c r="N4764" s="3" t="s">
        <v>2896</v>
      </c>
    </row>
    <row r="4765" spans="1:14" x14ac:dyDescent="0.25">
      <c r="A4765" s="1" t="s">
        <v>13441</v>
      </c>
      <c r="B4765" s="3" t="s">
        <v>8389</v>
      </c>
      <c r="C4765" s="2">
        <f ca="1">IF(ISNUMBER(SEARCH(Лист2!$B$4,D:D)),MAX($C$3:OFFSET(C4765,-1,0))+1,0)</f>
        <v>0</v>
      </c>
      <c r="E4765" s="9" t="str">
        <f t="shared" ca="1" si="86"/>
        <v/>
      </c>
      <c r="F4765" s="4" t="s">
        <v>27</v>
      </c>
      <c r="G4765" s="2">
        <f>IF(ISNUMBER(SEARCH(Лист2!$B$4,F:F)),1,0)</f>
        <v>0</v>
      </c>
      <c r="H4765" s="3">
        <f ca="1">IF(AND(I4765&lt;&gt;I4764,ISNUMBER(SEARCH(Лист2!$B$5,I:I)),G4765=1),MAX($H$3:OFFSET(H4765,-1,0))+1,0)</f>
        <v>0</v>
      </c>
      <c r="I4765" s="3" t="s">
        <v>293</v>
      </c>
      <c r="K4765" s="2">
        <f>IF(ISNUMBER(SEARCH(Лист2!$B$4,F:F)),1,0)</f>
        <v>0</v>
      </c>
      <c r="L4765" s="14">
        <f>IF(ISNUMBER(SEARCH(Лист2!$B$5,I:I)),1,0)+K4765</f>
        <v>0</v>
      </c>
      <c r="M4765" s="3">
        <f ca="1">IF(AND(N4765&lt;&gt;N4764,ISNUMBER(SEARCH(Лист2!$B$6,N:N)),L4765=2),MAX($M$3:OFFSET(M4765,-1,0))+1,0)</f>
        <v>0</v>
      </c>
      <c r="N4765" s="3" t="s">
        <v>2897</v>
      </c>
    </row>
    <row r="4766" spans="1:14" x14ac:dyDescent="0.25">
      <c r="A4766" s="1" t="s">
        <v>13442</v>
      </c>
      <c r="B4766" s="3" t="s">
        <v>8390</v>
      </c>
      <c r="C4766" s="2">
        <f ca="1">IF(ISNUMBER(SEARCH(Лист2!$B$4,D:D)),MAX($C$3:OFFSET(C4766,-1,0))+1,0)</f>
        <v>0</v>
      </c>
      <c r="E4766" s="9" t="str">
        <f t="shared" ca="1" si="86"/>
        <v/>
      </c>
      <c r="F4766" s="4" t="s">
        <v>27</v>
      </c>
      <c r="G4766" s="2">
        <f>IF(ISNUMBER(SEARCH(Лист2!$B$4,F:F)),1,0)</f>
        <v>0</v>
      </c>
      <c r="H4766" s="3">
        <f ca="1">IF(AND(I4766&lt;&gt;I4765,ISNUMBER(SEARCH(Лист2!$B$5,I:I)),G4766=1),MAX($H$3:OFFSET(H4766,-1,0))+1,0)</f>
        <v>0</v>
      </c>
      <c r="I4766" s="3" t="s">
        <v>293</v>
      </c>
      <c r="K4766" s="2">
        <f>IF(ISNUMBER(SEARCH(Лист2!$B$4,F:F)),1,0)</f>
        <v>0</v>
      </c>
      <c r="L4766" s="14">
        <f>IF(ISNUMBER(SEARCH(Лист2!$B$5,I:I)),1,0)+K4766</f>
        <v>0</v>
      </c>
      <c r="M4766" s="3">
        <f ca="1">IF(AND(N4766&lt;&gt;N4765,ISNUMBER(SEARCH(Лист2!$B$6,N:N)),L4766=2),MAX($M$3:OFFSET(M4766,-1,0))+1,0)</f>
        <v>0</v>
      </c>
      <c r="N4766" s="3" t="s">
        <v>2898</v>
      </c>
    </row>
    <row r="4767" spans="1:14" x14ac:dyDescent="0.25">
      <c r="A4767" s="1" t="s">
        <v>13443</v>
      </c>
      <c r="B4767" s="3" t="s">
        <v>8391</v>
      </c>
      <c r="C4767" s="2">
        <f ca="1">IF(ISNUMBER(SEARCH(Лист2!$B$4,D:D)),MAX($C$3:OFFSET(C4767,-1,0))+1,0)</f>
        <v>0</v>
      </c>
      <c r="E4767" s="9" t="str">
        <f t="shared" ca="1" si="86"/>
        <v/>
      </c>
      <c r="F4767" s="4" t="s">
        <v>27</v>
      </c>
      <c r="G4767" s="2">
        <f>IF(ISNUMBER(SEARCH(Лист2!$B$4,F:F)),1,0)</f>
        <v>0</v>
      </c>
      <c r="H4767" s="3">
        <f ca="1">IF(AND(I4767&lt;&gt;I4766,ISNUMBER(SEARCH(Лист2!$B$5,I:I)),G4767=1),MAX($H$3:OFFSET(H4767,-1,0))+1,0)</f>
        <v>0</v>
      </c>
      <c r="I4767" s="3" t="s">
        <v>267</v>
      </c>
      <c r="K4767" s="2">
        <f>IF(ISNUMBER(SEARCH(Лист2!$B$4,F:F)),1,0)</f>
        <v>0</v>
      </c>
      <c r="L4767" s="14">
        <f>IF(ISNUMBER(SEARCH(Лист2!$B$5,I:I)),1,0)+K4767</f>
        <v>0</v>
      </c>
      <c r="M4767" s="3">
        <f ca="1">IF(AND(N4767&lt;&gt;N4766,ISNUMBER(SEARCH(Лист2!$B$6,N:N)),L4767=2),MAX($M$3:OFFSET(M4767,-1,0))+1,0)</f>
        <v>0</v>
      </c>
      <c r="N4767" s="3" t="s">
        <v>2899</v>
      </c>
    </row>
    <row r="4768" spans="1:14" x14ac:dyDescent="0.25">
      <c r="A4768" s="1" t="s">
        <v>13444</v>
      </c>
      <c r="B4768" s="3" t="s">
        <v>8392</v>
      </c>
      <c r="C4768" s="2">
        <f ca="1">IF(ISNUMBER(SEARCH(Лист2!$B$4,D:D)),MAX($C$3:OFFSET(C4768,-1,0))+1,0)</f>
        <v>0</v>
      </c>
      <c r="E4768" s="9" t="str">
        <f t="shared" ca="1" si="86"/>
        <v/>
      </c>
      <c r="F4768" s="4" t="s">
        <v>27</v>
      </c>
      <c r="G4768" s="2">
        <f>IF(ISNUMBER(SEARCH(Лист2!$B$4,F:F)),1,0)</f>
        <v>0</v>
      </c>
      <c r="H4768" s="3">
        <f ca="1">IF(AND(I4768&lt;&gt;I4767,ISNUMBER(SEARCH(Лист2!$B$5,I:I)),G4768=1),MAX($H$3:OFFSET(H4768,-1,0))+1,0)</f>
        <v>0</v>
      </c>
      <c r="I4768" s="3" t="s">
        <v>267</v>
      </c>
      <c r="K4768" s="2">
        <f>IF(ISNUMBER(SEARCH(Лист2!$B$4,F:F)),1,0)</f>
        <v>0</v>
      </c>
      <c r="L4768" s="14">
        <f>IF(ISNUMBER(SEARCH(Лист2!$B$5,I:I)),1,0)+K4768</f>
        <v>0</v>
      </c>
      <c r="M4768" s="3">
        <f ca="1">IF(AND(N4768&lt;&gt;N4767,ISNUMBER(SEARCH(Лист2!$B$6,N:N)),L4768=2),MAX($M$3:OFFSET(M4768,-1,0))+1,0)</f>
        <v>0</v>
      </c>
      <c r="N4768" s="3" t="s">
        <v>2900</v>
      </c>
    </row>
    <row r="4769" spans="1:14" x14ac:dyDescent="0.25">
      <c r="A4769" s="1" t="s">
        <v>13445</v>
      </c>
      <c r="B4769" s="3" t="s">
        <v>8393</v>
      </c>
      <c r="C4769" s="2">
        <f ca="1">IF(ISNUMBER(SEARCH(Лист2!$B$4,D:D)),MAX($C$3:OFFSET(C4769,-1,0))+1,0)</f>
        <v>0</v>
      </c>
      <c r="E4769" s="9" t="str">
        <f t="shared" ca="1" si="86"/>
        <v/>
      </c>
      <c r="F4769" s="4" t="s">
        <v>27</v>
      </c>
      <c r="G4769" s="2">
        <f>IF(ISNUMBER(SEARCH(Лист2!$B$4,F:F)),1,0)</f>
        <v>0</v>
      </c>
      <c r="H4769" s="3">
        <f ca="1">IF(AND(I4769&lt;&gt;I4768,ISNUMBER(SEARCH(Лист2!$B$5,I:I)),G4769=1),MAX($H$3:OFFSET(H4769,-1,0))+1,0)</f>
        <v>0</v>
      </c>
      <c r="I4769" s="3" t="s">
        <v>267</v>
      </c>
      <c r="K4769" s="2">
        <f>IF(ISNUMBER(SEARCH(Лист2!$B$4,F:F)),1,0)</f>
        <v>0</v>
      </c>
      <c r="L4769" s="14">
        <f>IF(ISNUMBER(SEARCH(Лист2!$B$5,I:I)),1,0)+K4769</f>
        <v>0</v>
      </c>
      <c r="M4769" s="3">
        <f ca="1">IF(AND(N4769&lt;&gt;N4768,ISNUMBER(SEARCH(Лист2!$B$6,N:N)),L4769=2),MAX($M$3:OFFSET(M4769,-1,0))+1,0)</f>
        <v>0</v>
      </c>
      <c r="N4769" s="3" t="s">
        <v>2901</v>
      </c>
    </row>
    <row r="4770" spans="1:14" x14ac:dyDescent="0.25">
      <c r="A4770" s="1" t="s">
        <v>13444</v>
      </c>
      <c r="B4770" s="3" t="s">
        <v>8394</v>
      </c>
      <c r="C4770" s="2">
        <f ca="1">IF(ISNUMBER(SEARCH(Лист2!$B$4,D:D)),MAX($C$3:OFFSET(C4770,-1,0))+1,0)</f>
        <v>0</v>
      </c>
      <c r="E4770" s="9" t="str">
        <f t="shared" ca="1" si="86"/>
        <v/>
      </c>
      <c r="F4770" s="4" t="s">
        <v>27</v>
      </c>
      <c r="G4770" s="2">
        <f>IF(ISNUMBER(SEARCH(Лист2!$B$4,F:F)),1,0)</f>
        <v>0</v>
      </c>
      <c r="H4770" s="3">
        <f ca="1">IF(AND(I4770&lt;&gt;I4769,ISNUMBER(SEARCH(Лист2!$B$5,I:I)),G4770=1),MAX($H$3:OFFSET(H4770,-1,0))+1,0)</f>
        <v>0</v>
      </c>
      <c r="I4770" s="3" t="s">
        <v>267</v>
      </c>
      <c r="K4770" s="2">
        <f>IF(ISNUMBER(SEARCH(Лист2!$B$4,F:F)),1,0)</f>
        <v>0</v>
      </c>
      <c r="L4770" s="14">
        <f>IF(ISNUMBER(SEARCH(Лист2!$B$5,I:I)),1,0)+K4770</f>
        <v>0</v>
      </c>
      <c r="M4770" s="3">
        <f ca="1">IF(AND(N4770&lt;&gt;N4769,ISNUMBER(SEARCH(Лист2!$B$6,N:N)),L4770=2),MAX($M$3:OFFSET(M4770,-1,0))+1,0)</f>
        <v>0</v>
      </c>
      <c r="N4770" s="3" t="s">
        <v>2900</v>
      </c>
    </row>
    <row r="4771" spans="1:14" x14ac:dyDescent="0.25">
      <c r="A4771" s="1" t="s">
        <v>13446</v>
      </c>
      <c r="B4771" s="3" t="s">
        <v>8395</v>
      </c>
      <c r="C4771" s="2">
        <f ca="1">IF(ISNUMBER(SEARCH(Лист2!$B$4,D:D)),MAX($C$3:OFFSET(C4771,-1,0))+1,0)</f>
        <v>0</v>
      </c>
      <c r="E4771" s="9" t="str">
        <f t="shared" ca="1" si="86"/>
        <v/>
      </c>
      <c r="F4771" s="4" t="s">
        <v>27</v>
      </c>
      <c r="G4771" s="2">
        <f>IF(ISNUMBER(SEARCH(Лист2!$B$4,F:F)),1,0)</f>
        <v>0</v>
      </c>
      <c r="H4771" s="3">
        <f ca="1">IF(AND(I4771&lt;&gt;I4770,ISNUMBER(SEARCH(Лист2!$B$5,I:I)),G4771=1),MAX($H$3:OFFSET(H4771,-1,0))+1,0)</f>
        <v>0</v>
      </c>
      <c r="I4771" s="3" t="s">
        <v>267</v>
      </c>
      <c r="K4771" s="2">
        <f>IF(ISNUMBER(SEARCH(Лист2!$B$4,F:F)),1,0)</f>
        <v>0</v>
      </c>
      <c r="L4771" s="14">
        <f>IF(ISNUMBER(SEARCH(Лист2!$B$5,I:I)),1,0)+K4771</f>
        <v>0</v>
      </c>
      <c r="M4771" s="3">
        <f ca="1">IF(AND(N4771&lt;&gt;N4770,ISNUMBER(SEARCH(Лист2!$B$6,N:N)),L4771=2),MAX($M$3:OFFSET(M4771,-1,0))+1,0)</f>
        <v>0</v>
      </c>
      <c r="N4771" s="3" t="s">
        <v>1385</v>
      </c>
    </row>
    <row r="4772" spans="1:14" x14ac:dyDescent="0.25">
      <c r="A4772" s="1" t="s">
        <v>13447</v>
      </c>
      <c r="B4772" s="3" t="s">
        <v>8396</v>
      </c>
      <c r="C4772" s="2">
        <f ca="1">IF(ISNUMBER(SEARCH(Лист2!$B$4,D:D)),MAX($C$3:OFFSET(C4772,-1,0))+1,0)</f>
        <v>0</v>
      </c>
      <c r="E4772" s="9" t="str">
        <f t="shared" ca="1" si="86"/>
        <v/>
      </c>
      <c r="F4772" s="4" t="s">
        <v>27</v>
      </c>
      <c r="G4772" s="2">
        <f>IF(ISNUMBER(SEARCH(Лист2!$B$4,F:F)),1,0)</f>
        <v>0</v>
      </c>
      <c r="H4772" s="3">
        <f ca="1">IF(AND(I4772&lt;&gt;I4771,ISNUMBER(SEARCH(Лист2!$B$5,I:I)),G4772=1),MAX($H$3:OFFSET(H4772,-1,0))+1,0)</f>
        <v>0</v>
      </c>
      <c r="I4772" s="3" t="s">
        <v>267</v>
      </c>
      <c r="K4772" s="2">
        <f>IF(ISNUMBER(SEARCH(Лист2!$B$4,F:F)),1,0)</f>
        <v>0</v>
      </c>
      <c r="L4772" s="14">
        <f>IF(ISNUMBER(SEARCH(Лист2!$B$5,I:I)),1,0)+K4772</f>
        <v>0</v>
      </c>
      <c r="M4772" s="3">
        <f ca="1">IF(AND(N4772&lt;&gt;N4771,ISNUMBER(SEARCH(Лист2!$B$6,N:N)),L4772=2),MAX($M$3:OFFSET(M4772,-1,0))+1,0)</f>
        <v>0</v>
      </c>
      <c r="N4772" s="3" t="s">
        <v>602</v>
      </c>
    </row>
    <row r="4773" spans="1:14" x14ac:dyDescent="0.25">
      <c r="A4773" s="1" t="s">
        <v>13448</v>
      </c>
      <c r="B4773" s="3" t="s">
        <v>8397</v>
      </c>
      <c r="C4773" s="2">
        <f ca="1">IF(ISNUMBER(SEARCH(Лист2!$B$4,D:D)),MAX($C$3:OFFSET(C4773,-1,0))+1,0)</f>
        <v>0</v>
      </c>
      <c r="E4773" s="9" t="str">
        <f t="shared" ca="1" si="86"/>
        <v/>
      </c>
      <c r="F4773" s="4" t="s">
        <v>27</v>
      </c>
      <c r="G4773" s="2">
        <f>IF(ISNUMBER(SEARCH(Лист2!$B$4,F:F)),1,0)</f>
        <v>0</v>
      </c>
      <c r="H4773" s="3">
        <f ca="1">IF(AND(I4773&lt;&gt;I4772,ISNUMBER(SEARCH(Лист2!$B$5,I:I)),G4773=1),MAX($H$3:OFFSET(H4773,-1,0))+1,0)</f>
        <v>0</v>
      </c>
      <c r="I4773" s="3" t="s">
        <v>267</v>
      </c>
      <c r="K4773" s="2">
        <f>IF(ISNUMBER(SEARCH(Лист2!$B$4,F:F)),1,0)</f>
        <v>0</v>
      </c>
      <c r="L4773" s="14">
        <f>IF(ISNUMBER(SEARCH(Лист2!$B$5,I:I)),1,0)+K4773</f>
        <v>0</v>
      </c>
      <c r="M4773" s="3">
        <f ca="1">IF(AND(N4773&lt;&gt;N4772,ISNUMBER(SEARCH(Лист2!$B$6,N:N)),L4773=2),MAX($M$3:OFFSET(M4773,-1,0))+1,0)</f>
        <v>0</v>
      </c>
      <c r="N4773" s="3" t="s">
        <v>2902</v>
      </c>
    </row>
    <row r="4774" spans="1:14" x14ac:dyDescent="0.25">
      <c r="A4774" s="1" t="s">
        <v>13449</v>
      </c>
      <c r="B4774" s="3" t="s">
        <v>8398</v>
      </c>
      <c r="C4774" s="2">
        <f ca="1">IF(ISNUMBER(SEARCH(Лист2!$B$4,D:D)),MAX($C$3:OFFSET(C4774,-1,0))+1,0)</f>
        <v>0</v>
      </c>
      <c r="E4774" s="9" t="str">
        <f t="shared" ca="1" si="86"/>
        <v/>
      </c>
      <c r="F4774" s="4" t="s">
        <v>27</v>
      </c>
      <c r="G4774" s="2">
        <f>IF(ISNUMBER(SEARCH(Лист2!$B$4,F:F)),1,0)</f>
        <v>0</v>
      </c>
      <c r="H4774" s="3">
        <f ca="1">IF(AND(I4774&lt;&gt;I4773,ISNUMBER(SEARCH(Лист2!$B$5,I:I)),G4774=1),MAX($H$3:OFFSET(H4774,-1,0))+1,0)</f>
        <v>0</v>
      </c>
      <c r="I4774" s="3" t="s">
        <v>267</v>
      </c>
      <c r="K4774" s="2">
        <f>IF(ISNUMBER(SEARCH(Лист2!$B$4,F:F)),1,0)</f>
        <v>0</v>
      </c>
      <c r="L4774" s="14">
        <f>IF(ISNUMBER(SEARCH(Лист2!$B$5,I:I)),1,0)+K4774</f>
        <v>0</v>
      </c>
      <c r="M4774" s="3">
        <f ca="1">IF(AND(N4774&lt;&gt;N4773,ISNUMBER(SEARCH(Лист2!$B$6,N:N)),L4774=2),MAX($M$3:OFFSET(M4774,-1,0))+1,0)</f>
        <v>0</v>
      </c>
      <c r="N4774" s="3" t="s">
        <v>2903</v>
      </c>
    </row>
    <row r="4775" spans="1:14" x14ac:dyDescent="0.25">
      <c r="A4775" s="1" t="s">
        <v>13450</v>
      </c>
      <c r="B4775" s="3" t="s">
        <v>8399</v>
      </c>
      <c r="C4775" s="2">
        <f ca="1">IF(ISNUMBER(SEARCH(Лист2!$B$4,D:D)),MAX($C$3:OFFSET(C4775,-1,0))+1,0)</f>
        <v>0</v>
      </c>
      <c r="E4775" s="9" t="str">
        <f t="shared" ca="1" si="86"/>
        <v/>
      </c>
      <c r="F4775" s="4" t="s">
        <v>27</v>
      </c>
      <c r="G4775" s="2">
        <f>IF(ISNUMBER(SEARCH(Лист2!$B$4,F:F)),1,0)</f>
        <v>0</v>
      </c>
      <c r="H4775" s="3">
        <f ca="1">IF(AND(I4775&lt;&gt;I4774,ISNUMBER(SEARCH(Лист2!$B$5,I:I)),G4775=1),MAX($H$3:OFFSET(H4775,-1,0))+1,0)</f>
        <v>0</v>
      </c>
      <c r="I4775" s="3" t="s">
        <v>267</v>
      </c>
      <c r="K4775" s="2">
        <f>IF(ISNUMBER(SEARCH(Лист2!$B$4,F:F)),1,0)</f>
        <v>0</v>
      </c>
      <c r="L4775" s="14">
        <f>IF(ISNUMBER(SEARCH(Лист2!$B$5,I:I)),1,0)+K4775</f>
        <v>0</v>
      </c>
      <c r="M4775" s="3">
        <f ca="1">IF(AND(N4775&lt;&gt;N4774,ISNUMBER(SEARCH(Лист2!$B$6,N:N)),L4775=2),MAX($M$3:OFFSET(M4775,-1,0))+1,0)</f>
        <v>0</v>
      </c>
      <c r="N4775" s="3" t="s">
        <v>2159</v>
      </c>
    </row>
    <row r="4776" spans="1:14" x14ac:dyDescent="0.25">
      <c r="A4776" s="1" t="s">
        <v>13451</v>
      </c>
      <c r="B4776" s="3" t="s">
        <v>8400</v>
      </c>
      <c r="C4776" s="2">
        <f ca="1">IF(ISNUMBER(SEARCH(Лист2!$B$4,D:D)),MAX($C$3:OFFSET(C4776,-1,0))+1,0)</f>
        <v>0</v>
      </c>
      <c r="E4776" s="9" t="str">
        <f t="shared" ca="1" si="86"/>
        <v/>
      </c>
      <c r="F4776" s="4" t="s">
        <v>27</v>
      </c>
      <c r="G4776" s="2">
        <f>IF(ISNUMBER(SEARCH(Лист2!$B$4,F:F)),1,0)</f>
        <v>0</v>
      </c>
      <c r="H4776" s="3">
        <f ca="1">IF(AND(I4776&lt;&gt;I4775,ISNUMBER(SEARCH(Лист2!$B$5,I:I)),G4776=1),MAX($H$3:OFFSET(H4776,-1,0))+1,0)</f>
        <v>0</v>
      </c>
      <c r="I4776" s="3" t="s">
        <v>267</v>
      </c>
      <c r="K4776" s="2">
        <f>IF(ISNUMBER(SEARCH(Лист2!$B$4,F:F)),1,0)</f>
        <v>0</v>
      </c>
      <c r="L4776" s="14">
        <f>IF(ISNUMBER(SEARCH(Лист2!$B$5,I:I)),1,0)+K4776</f>
        <v>0</v>
      </c>
      <c r="M4776" s="3">
        <f ca="1">IF(AND(N4776&lt;&gt;N4775,ISNUMBER(SEARCH(Лист2!$B$6,N:N)),L4776=2),MAX($M$3:OFFSET(M4776,-1,0))+1,0)</f>
        <v>0</v>
      </c>
      <c r="N4776" s="3" t="s">
        <v>2160</v>
      </c>
    </row>
    <row r="4777" spans="1:14" x14ac:dyDescent="0.25">
      <c r="A4777" s="1" t="s">
        <v>13452</v>
      </c>
      <c r="B4777" s="3" t="s">
        <v>8401</v>
      </c>
      <c r="C4777" s="2">
        <f ca="1">IF(ISNUMBER(SEARCH(Лист2!$B$4,D:D)),MAX($C$3:OFFSET(C4777,-1,0))+1,0)</f>
        <v>0</v>
      </c>
      <c r="E4777" s="9" t="str">
        <f t="shared" ca="1" si="86"/>
        <v/>
      </c>
      <c r="F4777" s="4" t="s">
        <v>27</v>
      </c>
      <c r="G4777" s="2">
        <f>IF(ISNUMBER(SEARCH(Лист2!$B$4,F:F)),1,0)</f>
        <v>0</v>
      </c>
      <c r="H4777" s="3">
        <f ca="1">IF(AND(I4777&lt;&gt;I4776,ISNUMBER(SEARCH(Лист2!$B$5,I:I)),G4777=1),MAX($H$3:OFFSET(H4777,-1,0))+1,0)</f>
        <v>0</v>
      </c>
      <c r="I4777" s="3" t="s">
        <v>267</v>
      </c>
      <c r="K4777" s="2">
        <f>IF(ISNUMBER(SEARCH(Лист2!$B$4,F:F)),1,0)</f>
        <v>0</v>
      </c>
      <c r="L4777" s="14">
        <f>IF(ISNUMBER(SEARCH(Лист2!$B$5,I:I)),1,0)+K4777</f>
        <v>0</v>
      </c>
      <c r="M4777" s="3">
        <f ca="1">IF(AND(N4777&lt;&gt;N4776,ISNUMBER(SEARCH(Лист2!$B$6,N:N)),L4777=2),MAX($M$3:OFFSET(M4777,-1,0))+1,0)</f>
        <v>0</v>
      </c>
      <c r="N4777" s="3" t="s">
        <v>2904</v>
      </c>
    </row>
    <row r="4778" spans="1:14" x14ac:dyDescent="0.25">
      <c r="A4778" s="1" t="s">
        <v>13453</v>
      </c>
      <c r="B4778" s="3" t="s">
        <v>8402</v>
      </c>
      <c r="C4778" s="2">
        <f ca="1">IF(ISNUMBER(SEARCH(Лист2!$B$4,D:D)),MAX($C$3:OFFSET(C4778,-1,0))+1,0)</f>
        <v>0</v>
      </c>
      <c r="E4778" s="9" t="str">
        <f t="shared" ca="1" si="86"/>
        <v/>
      </c>
      <c r="F4778" s="4" t="s">
        <v>27</v>
      </c>
      <c r="G4778" s="2">
        <f>IF(ISNUMBER(SEARCH(Лист2!$B$4,F:F)),1,0)</f>
        <v>0</v>
      </c>
      <c r="H4778" s="3">
        <f ca="1">IF(AND(I4778&lt;&gt;I4777,ISNUMBER(SEARCH(Лист2!$B$5,I:I)),G4778=1),MAX($H$3:OFFSET(H4778,-1,0))+1,0)</f>
        <v>0</v>
      </c>
      <c r="I4778" s="3" t="s">
        <v>267</v>
      </c>
      <c r="K4778" s="2">
        <f>IF(ISNUMBER(SEARCH(Лист2!$B$4,F:F)),1,0)</f>
        <v>0</v>
      </c>
      <c r="L4778" s="14">
        <f>IF(ISNUMBER(SEARCH(Лист2!$B$5,I:I)),1,0)+K4778</f>
        <v>0</v>
      </c>
      <c r="M4778" s="3">
        <f ca="1">IF(AND(N4778&lt;&gt;N4777,ISNUMBER(SEARCH(Лист2!$B$6,N:N)),L4778=2),MAX($M$3:OFFSET(M4778,-1,0))+1,0)</f>
        <v>0</v>
      </c>
      <c r="N4778" s="3" t="s">
        <v>2905</v>
      </c>
    </row>
    <row r="4779" spans="1:14" x14ac:dyDescent="0.25">
      <c r="A4779" s="1" t="s">
        <v>13454</v>
      </c>
      <c r="B4779" s="3" t="s">
        <v>8403</v>
      </c>
      <c r="C4779" s="2">
        <f ca="1">IF(ISNUMBER(SEARCH(Лист2!$B$4,D:D)),MAX($C$3:OFFSET(C4779,-1,0))+1,0)</f>
        <v>0</v>
      </c>
      <c r="E4779" s="9" t="str">
        <f t="shared" ca="1" si="86"/>
        <v/>
      </c>
      <c r="F4779" s="4" t="s">
        <v>27</v>
      </c>
      <c r="G4779" s="2">
        <f>IF(ISNUMBER(SEARCH(Лист2!$B$4,F:F)),1,0)</f>
        <v>0</v>
      </c>
      <c r="H4779" s="3">
        <f ca="1">IF(AND(I4779&lt;&gt;I4778,ISNUMBER(SEARCH(Лист2!$B$5,I:I)),G4779=1),MAX($H$3:OFFSET(H4779,-1,0))+1,0)</f>
        <v>0</v>
      </c>
      <c r="I4779" s="3" t="s">
        <v>267</v>
      </c>
      <c r="K4779" s="2">
        <f>IF(ISNUMBER(SEARCH(Лист2!$B$4,F:F)),1,0)</f>
        <v>0</v>
      </c>
      <c r="L4779" s="14">
        <f>IF(ISNUMBER(SEARCH(Лист2!$B$5,I:I)),1,0)+K4779</f>
        <v>0</v>
      </c>
      <c r="M4779" s="3">
        <f ca="1">IF(AND(N4779&lt;&gt;N4778,ISNUMBER(SEARCH(Лист2!$B$6,N:N)),L4779=2),MAX($M$3:OFFSET(M4779,-1,0))+1,0)</f>
        <v>0</v>
      </c>
      <c r="N4779" s="3" t="s">
        <v>2906</v>
      </c>
    </row>
    <row r="4780" spans="1:14" x14ac:dyDescent="0.25">
      <c r="A4780" s="1" t="s">
        <v>13455</v>
      </c>
      <c r="B4780" s="3" t="s">
        <v>8404</v>
      </c>
      <c r="C4780" s="2">
        <f ca="1">IF(ISNUMBER(SEARCH(Лист2!$B$4,D:D)),MAX($C$3:OFFSET(C4780,-1,0))+1,0)</f>
        <v>0</v>
      </c>
      <c r="E4780" s="9" t="str">
        <f t="shared" ca="1" si="86"/>
        <v/>
      </c>
      <c r="F4780" s="4" t="s">
        <v>28</v>
      </c>
      <c r="G4780" s="2">
        <f>IF(ISNUMBER(SEARCH(Лист2!$B$4,F:F)),1,0)</f>
        <v>0</v>
      </c>
      <c r="H4780" s="3">
        <f ca="1">IF(AND(I4780&lt;&gt;I4779,ISNUMBER(SEARCH(Лист2!$B$5,I:I)),G4780=1),MAX($H$3:OFFSET(H4780,-1,0))+1,0)</f>
        <v>0</v>
      </c>
      <c r="I4780" s="3" t="s">
        <v>322</v>
      </c>
      <c r="K4780" s="2">
        <f>IF(ISNUMBER(SEARCH(Лист2!$B$4,F:F)),1,0)</f>
        <v>0</v>
      </c>
      <c r="L4780" s="14">
        <f>IF(ISNUMBER(SEARCH(Лист2!$B$5,I:I)),1,0)+K4780</f>
        <v>0</v>
      </c>
      <c r="M4780" s="3">
        <f ca="1">IF(AND(N4780&lt;&gt;N4779,ISNUMBER(SEARCH(Лист2!$B$6,N:N)),L4780=2),MAX($M$3:OFFSET(M4780,-1,0))+1,0)</f>
        <v>0</v>
      </c>
      <c r="N4780" s="3" t="s">
        <v>499</v>
      </c>
    </row>
    <row r="4781" spans="1:14" x14ac:dyDescent="0.25">
      <c r="A4781" s="1" t="s">
        <v>13456</v>
      </c>
      <c r="B4781" s="3" t="s">
        <v>8405</v>
      </c>
      <c r="C4781" s="2">
        <f ca="1">IF(ISNUMBER(SEARCH(Лист2!$B$4,D:D)),MAX($C$3:OFFSET(C4781,-1,0))+1,0)</f>
        <v>0</v>
      </c>
      <c r="E4781" s="9" t="str">
        <f t="shared" ca="1" si="86"/>
        <v/>
      </c>
      <c r="F4781" s="4" t="s">
        <v>28</v>
      </c>
      <c r="G4781" s="2">
        <f>IF(ISNUMBER(SEARCH(Лист2!$B$4,F:F)),1,0)</f>
        <v>0</v>
      </c>
      <c r="H4781" s="3">
        <f ca="1">IF(AND(I4781&lt;&gt;I4780,ISNUMBER(SEARCH(Лист2!$B$5,I:I)),G4781=1),MAX($H$3:OFFSET(H4781,-1,0))+1,0)</f>
        <v>0</v>
      </c>
      <c r="I4781" s="3" t="s">
        <v>322</v>
      </c>
      <c r="K4781" s="2">
        <f>IF(ISNUMBER(SEARCH(Лист2!$B$4,F:F)),1,0)</f>
        <v>0</v>
      </c>
      <c r="L4781" s="14">
        <f>IF(ISNUMBER(SEARCH(Лист2!$B$5,I:I)),1,0)+K4781</f>
        <v>0</v>
      </c>
      <c r="M4781" s="3">
        <f ca="1">IF(AND(N4781&lt;&gt;N4780,ISNUMBER(SEARCH(Лист2!$B$6,N:N)),L4781=2),MAX($M$3:OFFSET(M4781,-1,0))+1,0)</f>
        <v>0</v>
      </c>
      <c r="N4781" s="3" t="s">
        <v>500</v>
      </c>
    </row>
    <row r="4782" spans="1:14" x14ac:dyDescent="0.25">
      <c r="A4782" s="1" t="s">
        <v>13457</v>
      </c>
      <c r="B4782" s="3" t="s">
        <v>8406</v>
      </c>
      <c r="C4782" s="2">
        <f ca="1">IF(ISNUMBER(SEARCH(Лист2!$B$4,D:D)),MAX($C$3:OFFSET(C4782,-1,0))+1,0)</f>
        <v>0</v>
      </c>
      <c r="E4782" s="9" t="str">
        <f t="shared" ca="1" si="86"/>
        <v/>
      </c>
      <c r="F4782" s="4" t="s">
        <v>28</v>
      </c>
      <c r="G4782" s="2">
        <f>IF(ISNUMBER(SEARCH(Лист2!$B$4,F:F)),1,0)</f>
        <v>0</v>
      </c>
      <c r="H4782" s="3">
        <f ca="1">IF(AND(I4782&lt;&gt;I4781,ISNUMBER(SEARCH(Лист2!$B$5,I:I)),G4782=1),MAX($H$3:OFFSET(H4782,-1,0))+1,0)</f>
        <v>0</v>
      </c>
      <c r="I4782" s="3" t="s">
        <v>322</v>
      </c>
      <c r="K4782" s="2">
        <f>IF(ISNUMBER(SEARCH(Лист2!$B$4,F:F)),1,0)</f>
        <v>0</v>
      </c>
      <c r="L4782" s="14">
        <f>IF(ISNUMBER(SEARCH(Лист2!$B$5,I:I)),1,0)+K4782</f>
        <v>0</v>
      </c>
      <c r="M4782" s="3">
        <f ca="1">IF(AND(N4782&lt;&gt;N4781,ISNUMBER(SEARCH(Лист2!$B$6,N:N)),L4782=2),MAX($M$3:OFFSET(M4782,-1,0))+1,0)</f>
        <v>0</v>
      </c>
      <c r="N4782" s="3" t="s">
        <v>2341</v>
      </c>
    </row>
    <row r="4783" spans="1:14" x14ac:dyDescent="0.25">
      <c r="A4783" s="1" t="s">
        <v>13458</v>
      </c>
      <c r="B4783" s="3" t="s">
        <v>8407</v>
      </c>
      <c r="C4783" s="2">
        <f ca="1">IF(ISNUMBER(SEARCH(Лист2!$B$4,D:D)),MAX($C$3:OFFSET(C4783,-1,0))+1,0)</f>
        <v>0</v>
      </c>
      <c r="E4783" s="9" t="str">
        <f t="shared" ca="1" si="86"/>
        <v/>
      </c>
      <c r="F4783" s="4" t="s">
        <v>28</v>
      </c>
      <c r="G4783" s="2">
        <f>IF(ISNUMBER(SEARCH(Лист2!$B$4,F:F)),1,0)</f>
        <v>0</v>
      </c>
      <c r="H4783" s="3">
        <f ca="1">IF(AND(I4783&lt;&gt;I4782,ISNUMBER(SEARCH(Лист2!$B$5,I:I)),G4783=1),MAX($H$3:OFFSET(H4783,-1,0))+1,0)</f>
        <v>0</v>
      </c>
      <c r="I4783" s="3" t="s">
        <v>322</v>
      </c>
      <c r="K4783" s="2">
        <f>IF(ISNUMBER(SEARCH(Лист2!$B$4,F:F)),1,0)</f>
        <v>0</v>
      </c>
      <c r="L4783" s="14">
        <f>IF(ISNUMBER(SEARCH(Лист2!$B$5,I:I)),1,0)+K4783</f>
        <v>0</v>
      </c>
      <c r="M4783" s="3">
        <f ca="1">IF(AND(N4783&lt;&gt;N4782,ISNUMBER(SEARCH(Лист2!$B$6,N:N)),L4783=2),MAX($M$3:OFFSET(M4783,-1,0))+1,0)</f>
        <v>0</v>
      </c>
      <c r="N4783" s="3" t="s">
        <v>2342</v>
      </c>
    </row>
    <row r="4784" spans="1:14" x14ac:dyDescent="0.25">
      <c r="A4784" s="1" t="s">
        <v>13459</v>
      </c>
      <c r="B4784" s="3" t="s">
        <v>8408</v>
      </c>
      <c r="C4784" s="2">
        <f ca="1">IF(ISNUMBER(SEARCH(Лист2!$B$4,D:D)),MAX($C$3:OFFSET(C4784,-1,0))+1,0)</f>
        <v>0</v>
      </c>
      <c r="E4784" s="9" t="str">
        <f t="shared" ca="1" si="86"/>
        <v/>
      </c>
      <c r="F4784" s="4" t="s">
        <v>28</v>
      </c>
      <c r="G4784" s="2">
        <f>IF(ISNUMBER(SEARCH(Лист2!$B$4,F:F)),1,0)</f>
        <v>0</v>
      </c>
      <c r="H4784" s="3">
        <f ca="1">IF(AND(I4784&lt;&gt;I4783,ISNUMBER(SEARCH(Лист2!$B$5,I:I)),G4784=1),MAX($H$3:OFFSET(H4784,-1,0))+1,0)</f>
        <v>0</v>
      </c>
      <c r="I4784" s="3" t="s">
        <v>322</v>
      </c>
      <c r="K4784" s="2">
        <f>IF(ISNUMBER(SEARCH(Лист2!$B$4,F:F)),1,0)</f>
        <v>0</v>
      </c>
      <c r="L4784" s="14">
        <f>IF(ISNUMBER(SEARCH(Лист2!$B$5,I:I)),1,0)+K4784</f>
        <v>0</v>
      </c>
      <c r="M4784" s="3">
        <f ca="1">IF(AND(N4784&lt;&gt;N4783,ISNUMBER(SEARCH(Лист2!$B$6,N:N)),L4784=2),MAX($M$3:OFFSET(M4784,-1,0))+1,0)</f>
        <v>0</v>
      </c>
      <c r="N4784" s="3" t="s">
        <v>2343</v>
      </c>
    </row>
    <row r="4785" spans="1:14" x14ac:dyDescent="0.25">
      <c r="A4785" s="1" t="s">
        <v>13460</v>
      </c>
      <c r="B4785" s="3" t="s">
        <v>8409</v>
      </c>
      <c r="C4785" s="2">
        <f ca="1">IF(ISNUMBER(SEARCH(Лист2!$B$4,D:D)),MAX($C$3:OFFSET(C4785,-1,0))+1,0)</f>
        <v>0</v>
      </c>
      <c r="E4785" s="9" t="str">
        <f t="shared" ca="1" si="86"/>
        <v/>
      </c>
      <c r="F4785" s="4" t="s">
        <v>28</v>
      </c>
      <c r="G4785" s="2">
        <f>IF(ISNUMBER(SEARCH(Лист2!$B$4,F:F)),1,0)</f>
        <v>0</v>
      </c>
      <c r="H4785" s="3">
        <f ca="1">IF(AND(I4785&lt;&gt;I4784,ISNUMBER(SEARCH(Лист2!$B$5,I:I)),G4785=1),MAX($H$3:OFFSET(H4785,-1,0))+1,0)</f>
        <v>0</v>
      </c>
      <c r="I4785" s="3" t="s">
        <v>322</v>
      </c>
      <c r="K4785" s="2">
        <f>IF(ISNUMBER(SEARCH(Лист2!$B$4,F:F)),1,0)</f>
        <v>0</v>
      </c>
      <c r="L4785" s="14">
        <f>IF(ISNUMBER(SEARCH(Лист2!$B$5,I:I)),1,0)+K4785</f>
        <v>0</v>
      </c>
      <c r="M4785" s="3">
        <f ca="1">IF(AND(N4785&lt;&gt;N4784,ISNUMBER(SEARCH(Лист2!$B$6,N:N)),L4785=2),MAX($M$3:OFFSET(M4785,-1,0))+1,0)</f>
        <v>0</v>
      </c>
      <c r="N4785" s="3" t="s">
        <v>2558</v>
      </c>
    </row>
    <row r="4786" spans="1:14" x14ac:dyDescent="0.25">
      <c r="A4786" s="1" t="s">
        <v>13461</v>
      </c>
      <c r="B4786" s="3" t="s">
        <v>8410</v>
      </c>
      <c r="C4786" s="2">
        <f ca="1">IF(ISNUMBER(SEARCH(Лист2!$B$4,D:D)),MAX($C$3:OFFSET(C4786,-1,0))+1,0)</f>
        <v>0</v>
      </c>
      <c r="E4786" s="9" t="str">
        <f t="shared" ca="1" si="86"/>
        <v/>
      </c>
      <c r="F4786" s="4" t="s">
        <v>28</v>
      </c>
      <c r="G4786" s="2">
        <f>IF(ISNUMBER(SEARCH(Лист2!$B$4,F:F)),1,0)</f>
        <v>0</v>
      </c>
      <c r="H4786" s="3">
        <f ca="1">IF(AND(I4786&lt;&gt;I4785,ISNUMBER(SEARCH(Лист2!$B$5,I:I)),G4786=1),MAX($H$3:OFFSET(H4786,-1,0))+1,0)</f>
        <v>0</v>
      </c>
      <c r="I4786" s="3" t="s">
        <v>322</v>
      </c>
      <c r="K4786" s="2">
        <f>IF(ISNUMBER(SEARCH(Лист2!$B$4,F:F)),1,0)</f>
        <v>0</v>
      </c>
      <c r="L4786" s="14">
        <f>IF(ISNUMBER(SEARCH(Лист2!$B$5,I:I)),1,0)+K4786</f>
        <v>0</v>
      </c>
      <c r="M4786" s="3">
        <f ca="1">IF(AND(N4786&lt;&gt;N4785,ISNUMBER(SEARCH(Лист2!$B$6,N:N)),L4786=2),MAX($M$3:OFFSET(M4786,-1,0))+1,0)</f>
        <v>0</v>
      </c>
      <c r="N4786" s="3" t="s">
        <v>2345</v>
      </c>
    </row>
    <row r="4787" spans="1:14" x14ac:dyDescent="0.25">
      <c r="A4787" s="1" t="s">
        <v>13462</v>
      </c>
      <c r="B4787" s="3" t="s">
        <v>8411</v>
      </c>
      <c r="C4787" s="2">
        <f ca="1">IF(ISNUMBER(SEARCH(Лист2!$B$4,D:D)),MAX($C$3:OFFSET(C4787,-1,0))+1,0)</f>
        <v>0</v>
      </c>
      <c r="E4787" s="9" t="str">
        <f t="shared" ca="1" si="86"/>
        <v/>
      </c>
      <c r="F4787" s="4" t="s">
        <v>28</v>
      </c>
      <c r="G4787" s="2">
        <f>IF(ISNUMBER(SEARCH(Лист2!$B$4,F:F)),1,0)</f>
        <v>0</v>
      </c>
      <c r="H4787" s="3">
        <f ca="1">IF(AND(I4787&lt;&gt;I4786,ISNUMBER(SEARCH(Лист2!$B$5,I:I)),G4787=1),MAX($H$3:OFFSET(H4787,-1,0))+1,0)</f>
        <v>0</v>
      </c>
      <c r="I4787" s="3" t="s">
        <v>322</v>
      </c>
      <c r="K4787" s="2">
        <f>IF(ISNUMBER(SEARCH(Лист2!$B$4,F:F)),1,0)</f>
        <v>0</v>
      </c>
      <c r="L4787" s="14">
        <f>IF(ISNUMBER(SEARCH(Лист2!$B$5,I:I)),1,0)+K4787</f>
        <v>0</v>
      </c>
      <c r="M4787" s="3">
        <f ca="1">IF(AND(N4787&lt;&gt;N4786,ISNUMBER(SEARCH(Лист2!$B$6,N:N)),L4787=2),MAX($M$3:OFFSET(M4787,-1,0))+1,0)</f>
        <v>0</v>
      </c>
      <c r="N4787" s="3" t="s">
        <v>2346</v>
      </c>
    </row>
    <row r="4788" spans="1:14" x14ac:dyDescent="0.25">
      <c r="A4788" s="1" t="s">
        <v>13463</v>
      </c>
      <c r="B4788" s="3" t="s">
        <v>8412</v>
      </c>
      <c r="C4788" s="2">
        <f ca="1">IF(ISNUMBER(SEARCH(Лист2!$B$4,D:D)),MAX($C$3:OFFSET(C4788,-1,0))+1,0)</f>
        <v>0</v>
      </c>
      <c r="E4788" s="9" t="str">
        <f t="shared" ca="1" si="86"/>
        <v/>
      </c>
      <c r="F4788" s="4" t="s">
        <v>28</v>
      </c>
      <c r="G4788" s="2">
        <f>IF(ISNUMBER(SEARCH(Лист2!$B$4,F:F)),1,0)</f>
        <v>0</v>
      </c>
      <c r="H4788" s="3">
        <f ca="1">IF(AND(I4788&lt;&gt;I4787,ISNUMBER(SEARCH(Лист2!$B$5,I:I)),G4788=1),MAX($H$3:OFFSET(H4788,-1,0))+1,0)</f>
        <v>0</v>
      </c>
      <c r="I4788" s="3" t="s">
        <v>322</v>
      </c>
      <c r="K4788" s="2">
        <f>IF(ISNUMBER(SEARCH(Лист2!$B$4,F:F)),1,0)</f>
        <v>0</v>
      </c>
      <c r="L4788" s="14">
        <f>IF(ISNUMBER(SEARCH(Лист2!$B$5,I:I)),1,0)+K4788</f>
        <v>0</v>
      </c>
      <c r="M4788" s="3">
        <f ca="1">IF(AND(N4788&lt;&gt;N4787,ISNUMBER(SEARCH(Лист2!$B$6,N:N)),L4788=2),MAX($M$3:OFFSET(M4788,-1,0))+1,0)</f>
        <v>0</v>
      </c>
      <c r="N4788" s="3" t="s">
        <v>602</v>
      </c>
    </row>
    <row r="4789" spans="1:14" x14ac:dyDescent="0.25">
      <c r="A4789" s="1" t="s">
        <v>13464</v>
      </c>
      <c r="B4789" s="3" t="s">
        <v>8413</v>
      </c>
      <c r="C4789" s="2">
        <f ca="1">IF(ISNUMBER(SEARCH(Лист2!$B$4,D:D)),MAX($C$3:OFFSET(C4789,-1,0))+1,0)</f>
        <v>0</v>
      </c>
      <c r="E4789" s="9" t="str">
        <f t="shared" ca="1" si="86"/>
        <v/>
      </c>
      <c r="F4789" s="4" t="s">
        <v>28</v>
      </c>
      <c r="G4789" s="2">
        <f>IF(ISNUMBER(SEARCH(Лист2!$B$4,F:F)),1,0)</f>
        <v>0</v>
      </c>
      <c r="H4789" s="3">
        <f ca="1">IF(AND(I4789&lt;&gt;I4788,ISNUMBER(SEARCH(Лист2!$B$5,I:I)),G4789=1),MAX($H$3:OFFSET(H4789,-1,0))+1,0)</f>
        <v>0</v>
      </c>
      <c r="I4789" s="3" t="s">
        <v>374</v>
      </c>
      <c r="K4789" s="2">
        <f>IF(ISNUMBER(SEARCH(Лист2!$B$4,F:F)),1,0)</f>
        <v>0</v>
      </c>
      <c r="L4789" s="14">
        <f>IF(ISNUMBER(SEARCH(Лист2!$B$5,I:I)),1,0)+K4789</f>
        <v>0</v>
      </c>
      <c r="M4789" s="3">
        <f ca="1">IF(AND(N4789&lt;&gt;N4788,ISNUMBER(SEARCH(Лист2!$B$6,N:N)),L4789=2),MAX($M$3:OFFSET(M4789,-1,0))+1,0)</f>
        <v>0</v>
      </c>
      <c r="N4789" s="3" t="s">
        <v>499</v>
      </c>
    </row>
    <row r="4790" spans="1:14" x14ac:dyDescent="0.25">
      <c r="A4790" s="1" t="s">
        <v>13465</v>
      </c>
      <c r="B4790" s="3" t="s">
        <v>8414</v>
      </c>
      <c r="C4790" s="2">
        <f ca="1">IF(ISNUMBER(SEARCH(Лист2!$B$4,D:D)),MAX($C$3:OFFSET(C4790,-1,0))+1,0)</f>
        <v>0</v>
      </c>
      <c r="E4790" s="9" t="str">
        <f t="shared" ca="1" si="86"/>
        <v/>
      </c>
      <c r="F4790" s="4" t="s">
        <v>28</v>
      </c>
      <c r="G4790" s="2">
        <f>IF(ISNUMBER(SEARCH(Лист2!$B$4,F:F)),1,0)</f>
        <v>0</v>
      </c>
      <c r="H4790" s="3">
        <f ca="1">IF(AND(I4790&lt;&gt;I4789,ISNUMBER(SEARCH(Лист2!$B$5,I:I)),G4790=1),MAX($H$3:OFFSET(H4790,-1,0))+1,0)</f>
        <v>0</v>
      </c>
      <c r="I4790" s="3" t="s">
        <v>374</v>
      </c>
      <c r="K4790" s="2">
        <f>IF(ISNUMBER(SEARCH(Лист2!$B$4,F:F)),1,0)</f>
        <v>0</v>
      </c>
      <c r="L4790" s="14">
        <f>IF(ISNUMBER(SEARCH(Лист2!$B$5,I:I)),1,0)+K4790</f>
        <v>0</v>
      </c>
      <c r="M4790" s="3">
        <f ca="1">IF(AND(N4790&lt;&gt;N4789,ISNUMBER(SEARCH(Лист2!$B$6,N:N)),L4790=2),MAX($M$3:OFFSET(M4790,-1,0))+1,0)</f>
        <v>0</v>
      </c>
      <c r="N4790" s="3" t="s">
        <v>500</v>
      </c>
    </row>
    <row r="4791" spans="1:14" x14ac:dyDescent="0.25">
      <c r="A4791" s="1" t="s">
        <v>13466</v>
      </c>
      <c r="B4791" s="3" t="s">
        <v>8415</v>
      </c>
      <c r="C4791" s="2">
        <f ca="1">IF(ISNUMBER(SEARCH(Лист2!$B$4,D:D)),MAX($C$3:OFFSET(C4791,-1,0))+1,0)</f>
        <v>0</v>
      </c>
      <c r="E4791" s="9" t="str">
        <f t="shared" ca="1" si="86"/>
        <v/>
      </c>
      <c r="F4791" s="4" t="s">
        <v>28</v>
      </c>
      <c r="G4791" s="2">
        <f>IF(ISNUMBER(SEARCH(Лист2!$B$4,F:F)),1,0)</f>
        <v>0</v>
      </c>
      <c r="H4791" s="3">
        <f ca="1">IF(AND(I4791&lt;&gt;I4790,ISNUMBER(SEARCH(Лист2!$B$5,I:I)),G4791=1),MAX($H$3:OFFSET(H4791,-1,0))+1,0)</f>
        <v>0</v>
      </c>
      <c r="I4791" s="3" t="s">
        <v>374</v>
      </c>
      <c r="K4791" s="2">
        <f>IF(ISNUMBER(SEARCH(Лист2!$B$4,F:F)),1,0)</f>
        <v>0</v>
      </c>
      <c r="L4791" s="14">
        <f>IF(ISNUMBER(SEARCH(Лист2!$B$5,I:I)),1,0)+K4791</f>
        <v>0</v>
      </c>
      <c r="M4791" s="3">
        <f ca="1">IF(AND(N4791&lt;&gt;N4790,ISNUMBER(SEARCH(Лист2!$B$6,N:N)),L4791=2),MAX($M$3:OFFSET(M4791,-1,0))+1,0)</f>
        <v>0</v>
      </c>
      <c r="N4791" s="3" t="s">
        <v>2907</v>
      </c>
    </row>
    <row r="4792" spans="1:14" x14ac:dyDescent="0.25">
      <c r="A4792" s="1" t="s">
        <v>13467</v>
      </c>
      <c r="B4792" s="3" t="s">
        <v>8416</v>
      </c>
      <c r="C4792" s="2">
        <f ca="1">IF(ISNUMBER(SEARCH(Лист2!$B$4,D:D)),MAX($C$3:OFFSET(C4792,-1,0))+1,0)</f>
        <v>0</v>
      </c>
      <c r="E4792" s="9" t="str">
        <f t="shared" ca="1" si="86"/>
        <v/>
      </c>
      <c r="F4792" s="4" t="s">
        <v>28</v>
      </c>
      <c r="G4792" s="2">
        <f>IF(ISNUMBER(SEARCH(Лист2!$B$4,F:F)),1,0)</f>
        <v>0</v>
      </c>
      <c r="H4792" s="3">
        <f ca="1">IF(AND(I4792&lt;&gt;I4791,ISNUMBER(SEARCH(Лист2!$B$5,I:I)),G4792=1),MAX($H$3:OFFSET(H4792,-1,0))+1,0)</f>
        <v>0</v>
      </c>
      <c r="I4792" s="3" t="s">
        <v>374</v>
      </c>
      <c r="K4792" s="2">
        <f>IF(ISNUMBER(SEARCH(Лист2!$B$4,F:F)),1,0)</f>
        <v>0</v>
      </c>
      <c r="L4792" s="14">
        <f>IF(ISNUMBER(SEARCH(Лист2!$B$5,I:I)),1,0)+K4792</f>
        <v>0</v>
      </c>
      <c r="M4792" s="3">
        <f ca="1">IF(AND(N4792&lt;&gt;N4791,ISNUMBER(SEARCH(Лист2!$B$6,N:N)),L4792=2),MAX($M$3:OFFSET(M4792,-1,0))+1,0)</f>
        <v>0</v>
      </c>
      <c r="N4792" s="3" t="s">
        <v>2908</v>
      </c>
    </row>
    <row r="4793" spans="1:14" x14ac:dyDescent="0.25">
      <c r="A4793" s="1" t="s">
        <v>13468</v>
      </c>
      <c r="B4793" s="3" t="s">
        <v>8417</v>
      </c>
      <c r="C4793" s="2">
        <f ca="1">IF(ISNUMBER(SEARCH(Лист2!$B$4,D:D)),MAX($C$3:OFFSET(C4793,-1,0))+1,0)</f>
        <v>0</v>
      </c>
      <c r="E4793" s="9" t="str">
        <f t="shared" ca="1" si="86"/>
        <v/>
      </c>
      <c r="F4793" s="4" t="s">
        <v>28</v>
      </c>
      <c r="G4793" s="2">
        <f>IF(ISNUMBER(SEARCH(Лист2!$B$4,F:F)),1,0)</f>
        <v>0</v>
      </c>
      <c r="H4793" s="3">
        <f ca="1">IF(AND(I4793&lt;&gt;I4792,ISNUMBER(SEARCH(Лист2!$B$5,I:I)),G4793=1),MAX($H$3:OFFSET(H4793,-1,0))+1,0)</f>
        <v>0</v>
      </c>
      <c r="I4793" s="3" t="s">
        <v>374</v>
      </c>
      <c r="K4793" s="2">
        <f>IF(ISNUMBER(SEARCH(Лист2!$B$4,F:F)),1,0)</f>
        <v>0</v>
      </c>
      <c r="L4793" s="14">
        <f>IF(ISNUMBER(SEARCH(Лист2!$B$5,I:I)),1,0)+K4793</f>
        <v>0</v>
      </c>
      <c r="M4793" s="3">
        <f ca="1">IF(AND(N4793&lt;&gt;N4792,ISNUMBER(SEARCH(Лист2!$B$6,N:N)),L4793=2),MAX($M$3:OFFSET(M4793,-1,0))+1,0)</f>
        <v>0</v>
      </c>
      <c r="N4793" s="3" t="s">
        <v>2909</v>
      </c>
    </row>
    <row r="4794" spans="1:14" x14ac:dyDescent="0.25">
      <c r="A4794" s="1" t="s">
        <v>13469</v>
      </c>
      <c r="B4794" s="3" t="s">
        <v>8418</v>
      </c>
      <c r="C4794" s="2">
        <f ca="1">IF(ISNUMBER(SEARCH(Лист2!$B$4,D:D)),MAX($C$3:OFFSET(C4794,-1,0))+1,0)</f>
        <v>0</v>
      </c>
      <c r="E4794" s="9" t="str">
        <f t="shared" ca="1" si="86"/>
        <v/>
      </c>
      <c r="F4794" s="4" t="s">
        <v>28</v>
      </c>
      <c r="G4794" s="2">
        <f>IF(ISNUMBER(SEARCH(Лист2!$B$4,F:F)),1,0)</f>
        <v>0</v>
      </c>
      <c r="H4794" s="3">
        <f ca="1">IF(AND(I4794&lt;&gt;I4793,ISNUMBER(SEARCH(Лист2!$B$5,I:I)),G4794=1),MAX($H$3:OFFSET(H4794,-1,0))+1,0)</f>
        <v>0</v>
      </c>
      <c r="I4794" s="3" t="s">
        <v>374</v>
      </c>
      <c r="K4794" s="2">
        <f>IF(ISNUMBER(SEARCH(Лист2!$B$4,F:F)),1,0)</f>
        <v>0</v>
      </c>
      <c r="L4794" s="14">
        <f>IF(ISNUMBER(SEARCH(Лист2!$B$5,I:I)),1,0)+K4794</f>
        <v>0</v>
      </c>
      <c r="M4794" s="3">
        <f ca="1">IF(AND(N4794&lt;&gt;N4793,ISNUMBER(SEARCH(Лист2!$B$6,N:N)),L4794=2),MAX($M$3:OFFSET(M4794,-1,0))+1,0)</f>
        <v>0</v>
      </c>
      <c r="N4794" s="3" t="s">
        <v>2910</v>
      </c>
    </row>
    <row r="4795" spans="1:14" x14ac:dyDescent="0.25">
      <c r="A4795" s="1" t="s">
        <v>13470</v>
      </c>
      <c r="B4795" s="3" t="s">
        <v>8419</v>
      </c>
      <c r="C4795" s="2">
        <f ca="1">IF(ISNUMBER(SEARCH(Лист2!$B$4,D:D)),MAX($C$3:OFFSET(C4795,-1,0))+1,0)</f>
        <v>0</v>
      </c>
      <c r="E4795" s="9" t="str">
        <f t="shared" ca="1" si="86"/>
        <v/>
      </c>
      <c r="F4795" s="4" t="s">
        <v>28</v>
      </c>
      <c r="G4795" s="2">
        <f>IF(ISNUMBER(SEARCH(Лист2!$B$4,F:F)),1,0)</f>
        <v>0</v>
      </c>
      <c r="H4795" s="3">
        <f ca="1">IF(AND(I4795&lt;&gt;I4794,ISNUMBER(SEARCH(Лист2!$B$5,I:I)),G4795=1),MAX($H$3:OFFSET(H4795,-1,0))+1,0)</f>
        <v>0</v>
      </c>
      <c r="I4795" s="3" t="s">
        <v>374</v>
      </c>
      <c r="K4795" s="2">
        <f>IF(ISNUMBER(SEARCH(Лист2!$B$4,F:F)),1,0)</f>
        <v>0</v>
      </c>
      <c r="L4795" s="14">
        <f>IF(ISNUMBER(SEARCH(Лист2!$B$5,I:I)),1,0)+K4795</f>
        <v>0</v>
      </c>
      <c r="M4795" s="3">
        <f ca="1">IF(AND(N4795&lt;&gt;N4794,ISNUMBER(SEARCH(Лист2!$B$6,N:N)),L4795=2),MAX($M$3:OFFSET(M4795,-1,0))+1,0)</f>
        <v>0</v>
      </c>
      <c r="N4795" s="3" t="s">
        <v>2911</v>
      </c>
    </row>
    <row r="4796" spans="1:14" x14ac:dyDescent="0.25">
      <c r="A4796" s="1" t="s">
        <v>13471</v>
      </c>
      <c r="B4796" s="3" t="s">
        <v>8420</v>
      </c>
      <c r="C4796" s="2">
        <f ca="1">IF(ISNUMBER(SEARCH(Лист2!$B$4,D:D)),MAX($C$3:OFFSET(C4796,-1,0))+1,0)</f>
        <v>0</v>
      </c>
      <c r="E4796" s="9" t="str">
        <f t="shared" ca="1" si="86"/>
        <v/>
      </c>
      <c r="F4796" s="4" t="s">
        <v>28</v>
      </c>
      <c r="G4796" s="2">
        <f>IF(ISNUMBER(SEARCH(Лист2!$B$4,F:F)),1,0)</f>
        <v>0</v>
      </c>
      <c r="H4796" s="3">
        <f ca="1">IF(AND(I4796&lt;&gt;I4795,ISNUMBER(SEARCH(Лист2!$B$5,I:I)),G4796=1),MAX($H$3:OFFSET(H4796,-1,0))+1,0)</f>
        <v>0</v>
      </c>
      <c r="I4796" s="3" t="s">
        <v>374</v>
      </c>
      <c r="K4796" s="2">
        <f>IF(ISNUMBER(SEARCH(Лист2!$B$4,F:F)),1,0)</f>
        <v>0</v>
      </c>
      <c r="L4796" s="14">
        <f>IF(ISNUMBER(SEARCH(Лист2!$B$5,I:I)),1,0)+K4796</f>
        <v>0</v>
      </c>
      <c r="M4796" s="3">
        <f ca="1">IF(AND(N4796&lt;&gt;N4795,ISNUMBER(SEARCH(Лист2!$B$6,N:N)),L4796=2),MAX($M$3:OFFSET(M4796,-1,0))+1,0)</f>
        <v>0</v>
      </c>
      <c r="N4796" s="3" t="s">
        <v>2912</v>
      </c>
    </row>
    <row r="4797" spans="1:14" x14ac:dyDescent="0.25">
      <c r="A4797" s="1" t="s">
        <v>13472</v>
      </c>
      <c r="B4797" s="3" t="s">
        <v>8421</v>
      </c>
      <c r="C4797" s="2">
        <f ca="1">IF(ISNUMBER(SEARCH(Лист2!$B$4,D:D)),MAX($C$3:OFFSET(C4797,-1,0))+1,0)</f>
        <v>0</v>
      </c>
      <c r="E4797" s="9" t="str">
        <f t="shared" ca="1" si="86"/>
        <v/>
      </c>
      <c r="F4797" s="4" t="s">
        <v>28</v>
      </c>
      <c r="G4797" s="2">
        <f>IF(ISNUMBER(SEARCH(Лист2!$B$4,F:F)),1,0)</f>
        <v>0</v>
      </c>
      <c r="H4797" s="3">
        <f ca="1">IF(AND(I4797&lt;&gt;I4796,ISNUMBER(SEARCH(Лист2!$B$5,I:I)),G4797=1),MAX($H$3:OFFSET(H4797,-1,0))+1,0)</f>
        <v>0</v>
      </c>
      <c r="I4797" s="3" t="s">
        <v>374</v>
      </c>
      <c r="K4797" s="2">
        <f>IF(ISNUMBER(SEARCH(Лист2!$B$4,F:F)),1,0)</f>
        <v>0</v>
      </c>
      <c r="L4797" s="14">
        <f>IF(ISNUMBER(SEARCH(Лист2!$B$5,I:I)),1,0)+K4797</f>
        <v>0</v>
      </c>
      <c r="M4797" s="3">
        <f ca="1">IF(AND(N4797&lt;&gt;N4796,ISNUMBER(SEARCH(Лист2!$B$6,N:N)),L4797=2),MAX($M$3:OFFSET(M4797,-1,0))+1,0)</f>
        <v>0</v>
      </c>
      <c r="N4797" s="3" t="s">
        <v>602</v>
      </c>
    </row>
    <row r="4798" spans="1:14" x14ac:dyDescent="0.25">
      <c r="A4798" s="1" t="s">
        <v>13473</v>
      </c>
      <c r="B4798" s="3" t="s">
        <v>8422</v>
      </c>
      <c r="C4798" s="2">
        <f ca="1">IF(ISNUMBER(SEARCH(Лист2!$B$4,D:D)),MAX($C$3:OFFSET(C4798,-1,0))+1,0)</f>
        <v>0</v>
      </c>
      <c r="E4798" s="9" t="str">
        <f t="shared" ca="1" si="86"/>
        <v/>
      </c>
      <c r="F4798" s="4" t="s">
        <v>28</v>
      </c>
      <c r="G4798" s="2">
        <f>IF(ISNUMBER(SEARCH(Лист2!$B$4,F:F)),1,0)</f>
        <v>0</v>
      </c>
      <c r="H4798" s="3">
        <f ca="1">IF(AND(I4798&lt;&gt;I4797,ISNUMBER(SEARCH(Лист2!$B$5,I:I)),G4798=1),MAX($H$3:OFFSET(H4798,-1,0))+1,0)</f>
        <v>0</v>
      </c>
      <c r="I4798" s="3" t="s">
        <v>331</v>
      </c>
      <c r="K4798" s="2">
        <f>IF(ISNUMBER(SEARCH(Лист2!$B$4,F:F)),1,0)</f>
        <v>0</v>
      </c>
      <c r="L4798" s="14">
        <f>IF(ISNUMBER(SEARCH(Лист2!$B$5,I:I)),1,0)+K4798</f>
        <v>1</v>
      </c>
      <c r="M4798" s="3">
        <f ca="1">IF(AND(N4798&lt;&gt;N4797,ISNUMBER(SEARCH(Лист2!$B$6,N:N)),L4798=2),MAX($M$3:OFFSET(M4798,-1,0))+1,0)</f>
        <v>0</v>
      </c>
      <c r="N4798" s="3" t="s">
        <v>499</v>
      </c>
    </row>
    <row r="4799" spans="1:14" x14ac:dyDescent="0.25">
      <c r="A4799" s="1" t="s">
        <v>13474</v>
      </c>
      <c r="B4799" s="3" t="s">
        <v>8423</v>
      </c>
      <c r="C4799" s="2">
        <f ca="1">IF(ISNUMBER(SEARCH(Лист2!$B$4,D:D)),MAX($C$3:OFFSET(C4799,-1,0))+1,0)</f>
        <v>0</v>
      </c>
      <c r="E4799" s="9" t="str">
        <f t="shared" ca="1" si="86"/>
        <v/>
      </c>
      <c r="F4799" s="4" t="s">
        <v>28</v>
      </c>
      <c r="G4799" s="2">
        <f>IF(ISNUMBER(SEARCH(Лист2!$B$4,F:F)),1,0)</f>
        <v>0</v>
      </c>
      <c r="H4799" s="3">
        <f ca="1">IF(AND(I4799&lt;&gt;I4798,ISNUMBER(SEARCH(Лист2!$B$5,I:I)),G4799=1),MAX($H$3:OFFSET(H4799,-1,0))+1,0)</f>
        <v>0</v>
      </c>
      <c r="I4799" s="3" t="s">
        <v>331</v>
      </c>
      <c r="K4799" s="2">
        <f>IF(ISNUMBER(SEARCH(Лист2!$B$4,F:F)),1,0)</f>
        <v>0</v>
      </c>
      <c r="L4799" s="14">
        <f>IF(ISNUMBER(SEARCH(Лист2!$B$5,I:I)),1,0)+K4799</f>
        <v>1</v>
      </c>
      <c r="M4799" s="3">
        <f ca="1">IF(AND(N4799&lt;&gt;N4798,ISNUMBER(SEARCH(Лист2!$B$6,N:N)),L4799=2),MAX($M$3:OFFSET(M4799,-1,0))+1,0)</f>
        <v>0</v>
      </c>
      <c r="N4799" s="3" t="s">
        <v>500</v>
      </c>
    </row>
    <row r="4800" spans="1:14" x14ac:dyDescent="0.25">
      <c r="A4800" s="1" t="s">
        <v>13475</v>
      </c>
      <c r="B4800" s="3" t="s">
        <v>8424</v>
      </c>
      <c r="C4800" s="2">
        <f ca="1">IF(ISNUMBER(SEARCH(Лист2!$B$4,D:D)),MAX($C$3:OFFSET(C4800,-1,0))+1,0)</f>
        <v>0</v>
      </c>
      <c r="E4800" s="9" t="str">
        <f t="shared" ca="1" si="86"/>
        <v/>
      </c>
      <c r="F4800" s="4" t="s">
        <v>28</v>
      </c>
      <c r="G4800" s="2">
        <f>IF(ISNUMBER(SEARCH(Лист2!$B$4,F:F)),1,0)</f>
        <v>0</v>
      </c>
      <c r="H4800" s="3">
        <f ca="1">IF(AND(I4800&lt;&gt;I4799,ISNUMBER(SEARCH(Лист2!$B$5,I:I)),G4800=1),MAX($H$3:OFFSET(H4800,-1,0))+1,0)</f>
        <v>0</v>
      </c>
      <c r="I4800" s="3" t="s">
        <v>331</v>
      </c>
      <c r="K4800" s="2">
        <f>IF(ISNUMBER(SEARCH(Лист2!$B$4,F:F)),1,0)</f>
        <v>0</v>
      </c>
      <c r="L4800" s="14">
        <f>IF(ISNUMBER(SEARCH(Лист2!$B$5,I:I)),1,0)+K4800</f>
        <v>1</v>
      </c>
      <c r="M4800" s="3">
        <f ca="1">IF(AND(N4800&lt;&gt;N4799,ISNUMBER(SEARCH(Лист2!$B$6,N:N)),L4800=2),MAX($M$3:OFFSET(M4800,-1,0))+1,0)</f>
        <v>0</v>
      </c>
      <c r="N4800" s="3" t="s">
        <v>2473</v>
      </c>
    </row>
    <row r="4801" spans="1:14" x14ac:dyDescent="0.25">
      <c r="A4801" s="1" t="s">
        <v>13476</v>
      </c>
      <c r="B4801" s="3" t="s">
        <v>8425</v>
      </c>
      <c r="C4801" s="2">
        <f ca="1">IF(ISNUMBER(SEARCH(Лист2!$B$4,D:D)),MAX($C$3:OFFSET(C4801,-1,0))+1,0)</f>
        <v>0</v>
      </c>
      <c r="E4801" s="9" t="str">
        <f t="shared" ca="1" si="86"/>
        <v/>
      </c>
      <c r="F4801" s="4" t="s">
        <v>28</v>
      </c>
      <c r="G4801" s="2">
        <f>IF(ISNUMBER(SEARCH(Лист2!$B$4,F:F)),1,0)</f>
        <v>0</v>
      </c>
      <c r="H4801" s="3">
        <f ca="1">IF(AND(I4801&lt;&gt;I4800,ISNUMBER(SEARCH(Лист2!$B$5,I:I)),G4801=1),MAX($H$3:OFFSET(H4801,-1,0))+1,0)</f>
        <v>0</v>
      </c>
      <c r="I4801" s="3" t="s">
        <v>331</v>
      </c>
      <c r="K4801" s="2">
        <f>IF(ISNUMBER(SEARCH(Лист2!$B$4,F:F)),1,0)</f>
        <v>0</v>
      </c>
      <c r="L4801" s="14">
        <f>IF(ISNUMBER(SEARCH(Лист2!$B$5,I:I)),1,0)+K4801</f>
        <v>1</v>
      </c>
      <c r="M4801" s="3">
        <f ca="1">IF(AND(N4801&lt;&gt;N4800,ISNUMBER(SEARCH(Лист2!$B$6,N:N)),L4801=2),MAX($M$3:OFFSET(M4801,-1,0))+1,0)</f>
        <v>0</v>
      </c>
      <c r="N4801" s="3" t="s">
        <v>2474</v>
      </c>
    </row>
    <row r="4802" spans="1:14" x14ac:dyDescent="0.25">
      <c r="A4802" s="1" t="s">
        <v>13477</v>
      </c>
      <c r="B4802" s="3" t="s">
        <v>8426</v>
      </c>
      <c r="C4802" s="2">
        <f ca="1">IF(ISNUMBER(SEARCH(Лист2!$B$4,D:D)),MAX($C$3:OFFSET(C4802,-1,0))+1,0)</f>
        <v>0</v>
      </c>
      <c r="E4802" s="9" t="str">
        <f t="shared" ca="1" si="86"/>
        <v/>
      </c>
      <c r="F4802" s="4" t="s">
        <v>28</v>
      </c>
      <c r="G4802" s="2">
        <f>IF(ISNUMBER(SEARCH(Лист2!$B$4,F:F)),1,0)</f>
        <v>0</v>
      </c>
      <c r="H4802" s="3">
        <f ca="1">IF(AND(I4802&lt;&gt;I4801,ISNUMBER(SEARCH(Лист2!$B$5,I:I)),G4802=1),MAX($H$3:OFFSET(H4802,-1,0))+1,0)</f>
        <v>0</v>
      </c>
      <c r="I4802" s="3" t="s">
        <v>331</v>
      </c>
      <c r="K4802" s="2">
        <f>IF(ISNUMBER(SEARCH(Лист2!$B$4,F:F)),1,0)</f>
        <v>0</v>
      </c>
      <c r="L4802" s="14">
        <f>IF(ISNUMBER(SEARCH(Лист2!$B$5,I:I)),1,0)+K4802</f>
        <v>1</v>
      </c>
      <c r="M4802" s="3">
        <f ca="1">IF(AND(N4802&lt;&gt;N4801,ISNUMBER(SEARCH(Лист2!$B$6,N:N)),L4802=2),MAX($M$3:OFFSET(M4802,-1,0))+1,0)</f>
        <v>0</v>
      </c>
      <c r="N4802" s="3" t="s">
        <v>2475</v>
      </c>
    </row>
    <row r="4803" spans="1:14" x14ac:dyDescent="0.25">
      <c r="A4803" s="1" t="s">
        <v>13478</v>
      </c>
      <c r="B4803" s="3" t="s">
        <v>8427</v>
      </c>
      <c r="C4803" s="2">
        <f ca="1">IF(ISNUMBER(SEARCH(Лист2!$B$4,D:D)),MAX($C$3:OFFSET(C4803,-1,0))+1,0)</f>
        <v>0</v>
      </c>
      <c r="E4803" s="9" t="str">
        <f t="shared" ca="1" si="86"/>
        <v/>
      </c>
      <c r="F4803" s="4" t="s">
        <v>28</v>
      </c>
      <c r="G4803" s="2">
        <f>IF(ISNUMBER(SEARCH(Лист2!$B$4,F:F)),1,0)</f>
        <v>0</v>
      </c>
      <c r="H4803" s="3">
        <f ca="1">IF(AND(I4803&lt;&gt;I4802,ISNUMBER(SEARCH(Лист2!$B$5,I:I)),G4803=1),MAX($H$3:OFFSET(H4803,-1,0))+1,0)</f>
        <v>0</v>
      </c>
      <c r="I4803" s="3" t="s">
        <v>331</v>
      </c>
      <c r="K4803" s="2">
        <f>IF(ISNUMBER(SEARCH(Лист2!$B$4,F:F)),1,0)</f>
        <v>0</v>
      </c>
      <c r="L4803" s="14">
        <f>IF(ISNUMBER(SEARCH(Лист2!$B$5,I:I)),1,0)+K4803</f>
        <v>1</v>
      </c>
      <c r="M4803" s="3">
        <f ca="1">IF(AND(N4803&lt;&gt;N4802,ISNUMBER(SEARCH(Лист2!$B$6,N:N)),L4803=2),MAX($M$3:OFFSET(M4803,-1,0))+1,0)</f>
        <v>0</v>
      </c>
      <c r="N4803" s="3" t="s">
        <v>2913</v>
      </c>
    </row>
    <row r="4804" spans="1:14" x14ac:dyDescent="0.25">
      <c r="A4804" s="1" t="s">
        <v>13479</v>
      </c>
      <c r="B4804" s="3" t="s">
        <v>8428</v>
      </c>
      <c r="C4804" s="2">
        <f ca="1">IF(ISNUMBER(SEARCH(Лист2!$B$4,D:D)),MAX($C$3:OFFSET(C4804,-1,0))+1,0)</f>
        <v>0</v>
      </c>
      <c r="E4804" s="9" t="str">
        <f t="shared" ca="1" si="86"/>
        <v/>
      </c>
      <c r="F4804" s="4" t="s">
        <v>28</v>
      </c>
      <c r="G4804" s="2">
        <f>IF(ISNUMBER(SEARCH(Лист2!$B$4,F:F)),1,0)</f>
        <v>0</v>
      </c>
      <c r="H4804" s="3">
        <f ca="1">IF(AND(I4804&lt;&gt;I4803,ISNUMBER(SEARCH(Лист2!$B$5,I:I)),G4804=1),MAX($H$3:OFFSET(H4804,-1,0))+1,0)</f>
        <v>0</v>
      </c>
      <c r="I4804" s="3" t="s">
        <v>331</v>
      </c>
      <c r="K4804" s="2">
        <f>IF(ISNUMBER(SEARCH(Лист2!$B$4,F:F)),1,0)</f>
        <v>0</v>
      </c>
      <c r="L4804" s="14">
        <f>IF(ISNUMBER(SEARCH(Лист2!$B$5,I:I)),1,0)+K4804</f>
        <v>1</v>
      </c>
      <c r="M4804" s="3">
        <f ca="1">IF(AND(N4804&lt;&gt;N4803,ISNUMBER(SEARCH(Лист2!$B$6,N:N)),L4804=2),MAX($M$3:OFFSET(M4804,-1,0))+1,0)</f>
        <v>0</v>
      </c>
      <c r="N4804" s="3" t="s">
        <v>2914</v>
      </c>
    </row>
    <row r="4805" spans="1:14" x14ac:dyDescent="0.25">
      <c r="A4805" s="1" t="s">
        <v>13480</v>
      </c>
      <c r="B4805" s="3" t="s">
        <v>8429</v>
      </c>
      <c r="C4805" s="2">
        <f ca="1">IF(ISNUMBER(SEARCH(Лист2!$B$4,D:D)),MAX($C$3:OFFSET(C4805,-1,0))+1,0)</f>
        <v>0</v>
      </c>
      <c r="E4805" s="9" t="str">
        <f t="shared" ref="E4805:E4868" ca="1" si="87">IFERROR(INDEX(D:D,MATCH(ROW(E4805)-ROW($E$3),C:C,0)),"")</f>
        <v/>
      </c>
      <c r="F4805" s="4" t="s">
        <v>28</v>
      </c>
      <c r="G4805" s="2">
        <f>IF(ISNUMBER(SEARCH(Лист2!$B$4,F:F)),1,0)</f>
        <v>0</v>
      </c>
      <c r="H4805" s="3">
        <f ca="1">IF(AND(I4805&lt;&gt;I4804,ISNUMBER(SEARCH(Лист2!$B$5,I:I)),G4805=1),MAX($H$3:OFFSET(H4805,-1,0))+1,0)</f>
        <v>0</v>
      </c>
      <c r="I4805" s="3" t="s">
        <v>331</v>
      </c>
      <c r="K4805" s="2">
        <f>IF(ISNUMBER(SEARCH(Лист2!$B$4,F:F)),1,0)</f>
        <v>0</v>
      </c>
      <c r="L4805" s="14">
        <f>IF(ISNUMBER(SEARCH(Лист2!$B$5,I:I)),1,0)+K4805</f>
        <v>1</v>
      </c>
      <c r="M4805" s="3">
        <f ca="1">IF(AND(N4805&lt;&gt;N4804,ISNUMBER(SEARCH(Лист2!$B$6,N:N)),L4805=2),MAX($M$3:OFFSET(M4805,-1,0))+1,0)</f>
        <v>0</v>
      </c>
      <c r="N4805" s="3" t="s">
        <v>2479</v>
      </c>
    </row>
    <row r="4806" spans="1:14" x14ac:dyDescent="0.25">
      <c r="A4806" s="1" t="s">
        <v>13481</v>
      </c>
      <c r="B4806" s="3" t="s">
        <v>8430</v>
      </c>
      <c r="C4806" s="2">
        <f ca="1">IF(ISNUMBER(SEARCH(Лист2!$B$4,D:D)),MAX($C$3:OFFSET(C4806,-1,0))+1,0)</f>
        <v>0</v>
      </c>
      <c r="E4806" s="9" t="str">
        <f t="shared" ca="1" si="87"/>
        <v/>
      </c>
      <c r="F4806" s="4" t="s">
        <v>28</v>
      </c>
      <c r="G4806" s="2">
        <f>IF(ISNUMBER(SEARCH(Лист2!$B$4,F:F)),1,0)</f>
        <v>0</v>
      </c>
      <c r="H4806" s="3">
        <f ca="1">IF(AND(I4806&lt;&gt;I4805,ISNUMBER(SEARCH(Лист2!$B$5,I:I)),G4806=1),MAX($H$3:OFFSET(H4806,-1,0))+1,0)</f>
        <v>0</v>
      </c>
      <c r="I4806" s="3" t="s">
        <v>331</v>
      </c>
      <c r="K4806" s="2">
        <f>IF(ISNUMBER(SEARCH(Лист2!$B$4,F:F)),1,0)</f>
        <v>0</v>
      </c>
      <c r="L4806" s="14">
        <f>IF(ISNUMBER(SEARCH(Лист2!$B$5,I:I)),1,0)+K4806</f>
        <v>1</v>
      </c>
      <c r="M4806" s="3">
        <f ca="1">IF(AND(N4806&lt;&gt;N4805,ISNUMBER(SEARCH(Лист2!$B$6,N:N)),L4806=2),MAX($M$3:OFFSET(M4806,-1,0))+1,0)</f>
        <v>0</v>
      </c>
      <c r="N4806" s="3" t="s">
        <v>602</v>
      </c>
    </row>
    <row r="4807" spans="1:14" x14ac:dyDescent="0.25">
      <c r="A4807" s="1" t="s">
        <v>13482</v>
      </c>
      <c r="B4807" s="3" t="s">
        <v>8431</v>
      </c>
      <c r="C4807" s="2">
        <f ca="1">IF(ISNUMBER(SEARCH(Лист2!$B$4,D:D)),MAX($C$3:OFFSET(C4807,-1,0))+1,0)</f>
        <v>0</v>
      </c>
      <c r="E4807" s="9" t="str">
        <f t="shared" ca="1" si="87"/>
        <v/>
      </c>
      <c r="F4807" s="4" t="s">
        <v>28</v>
      </c>
      <c r="G4807" s="2">
        <f>IF(ISNUMBER(SEARCH(Лист2!$B$4,F:F)),1,0)</f>
        <v>0</v>
      </c>
      <c r="H4807" s="3">
        <f ca="1">IF(AND(I4807&lt;&gt;I4806,ISNUMBER(SEARCH(Лист2!$B$5,I:I)),G4807=1),MAX($H$3:OFFSET(H4807,-1,0))+1,0)</f>
        <v>0</v>
      </c>
      <c r="I4807" s="3" t="s">
        <v>375</v>
      </c>
      <c r="K4807" s="2">
        <f>IF(ISNUMBER(SEARCH(Лист2!$B$4,F:F)),1,0)</f>
        <v>0</v>
      </c>
      <c r="L4807" s="14">
        <f>IF(ISNUMBER(SEARCH(Лист2!$B$5,I:I)),1,0)+K4807</f>
        <v>0</v>
      </c>
      <c r="M4807" s="3">
        <f ca="1">IF(AND(N4807&lt;&gt;N4806,ISNUMBER(SEARCH(Лист2!$B$6,N:N)),L4807=2),MAX($M$3:OFFSET(M4807,-1,0))+1,0)</f>
        <v>0</v>
      </c>
      <c r="N4807" s="3" t="s">
        <v>499</v>
      </c>
    </row>
    <row r="4808" spans="1:14" x14ac:dyDescent="0.25">
      <c r="A4808" s="1" t="s">
        <v>13483</v>
      </c>
      <c r="B4808" s="3" t="s">
        <v>8432</v>
      </c>
      <c r="C4808" s="2">
        <f ca="1">IF(ISNUMBER(SEARCH(Лист2!$B$4,D:D)),MAX($C$3:OFFSET(C4808,-1,0))+1,0)</f>
        <v>0</v>
      </c>
      <c r="E4808" s="9" t="str">
        <f t="shared" ca="1" si="87"/>
        <v/>
      </c>
      <c r="F4808" s="4" t="s">
        <v>28</v>
      </c>
      <c r="G4808" s="2">
        <f>IF(ISNUMBER(SEARCH(Лист2!$B$4,F:F)),1,0)</f>
        <v>0</v>
      </c>
      <c r="H4808" s="3">
        <f ca="1">IF(AND(I4808&lt;&gt;I4807,ISNUMBER(SEARCH(Лист2!$B$5,I:I)),G4808=1),MAX($H$3:OFFSET(H4808,-1,0))+1,0)</f>
        <v>0</v>
      </c>
      <c r="I4808" s="3" t="s">
        <v>375</v>
      </c>
      <c r="K4808" s="2">
        <f>IF(ISNUMBER(SEARCH(Лист2!$B$4,F:F)),1,0)</f>
        <v>0</v>
      </c>
      <c r="L4808" s="14">
        <f>IF(ISNUMBER(SEARCH(Лист2!$B$5,I:I)),1,0)+K4808</f>
        <v>0</v>
      </c>
      <c r="M4808" s="3">
        <f ca="1">IF(AND(N4808&lt;&gt;N4807,ISNUMBER(SEARCH(Лист2!$B$6,N:N)),L4808=2),MAX($M$3:OFFSET(M4808,-1,0))+1,0)</f>
        <v>0</v>
      </c>
      <c r="N4808" s="3" t="s">
        <v>500</v>
      </c>
    </row>
    <row r="4809" spans="1:14" x14ac:dyDescent="0.25">
      <c r="A4809" s="1" t="s">
        <v>13484</v>
      </c>
      <c r="B4809" s="3" t="s">
        <v>8433</v>
      </c>
      <c r="C4809" s="2">
        <f ca="1">IF(ISNUMBER(SEARCH(Лист2!$B$4,D:D)),MAX($C$3:OFFSET(C4809,-1,0))+1,0)</f>
        <v>0</v>
      </c>
      <c r="E4809" s="9" t="str">
        <f t="shared" ca="1" si="87"/>
        <v/>
      </c>
      <c r="F4809" s="4" t="s">
        <v>28</v>
      </c>
      <c r="G4809" s="2">
        <f>IF(ISNUMBER(SEARCH(Лист2!$B$4,F:F)),1,0)</f>
        <v>0</v>
      </c>
      <c r="H4809" s="3">
        <f ca="1">IF(AND(I4809&lt;&gt;I4808,ISNUMBER(SEARCH(Лист2!$B$5,I:I)),G4809=1),MAX($H$3:OFFSET(H4809,-1,0))+1,0)</f>
        <v>0</v>
      </c>
      <c r="I4809" s="3" t="s">
        <v>375</v>
      </c>
      <c r="K4809" s="2">
        <f>IF(ISNUMBER(SEARCH(Лист2!$B$4,F:F)),1,0)</f>
        <v>0</v>
      </c>
      <c r="L4809" s="14">
        <f>IF(ISNUMBER(SEARCH(Лист2!$B$5,I:I)),1,0)+K4809</f>
        <v>0</v>
      </c>
      <c r="M4809" s="3">
        <f ca="1">IF(AND(N4809&lt;&gt;N4808,ISNUMBER(SEARCH(Лист2!$B$6,N:N)),L4809=2),MAX($M$3:OFFSET(M4809,-1,0))+1,0)</f>
        <v>0</v>
      </c>
      <c r="N4809" s="3" t="s">
        <v>2915</v>
      </c>
    </row>
    <row r="4810" spans="1:14" x14ac:dyDescent="0.25">
      <c r="A4810" s="1" t="s">
        <v>13485</v>
      </c>
      <c r="B4810" s="3" t="s">
        <v>8434</v>
      </c>
      <c r="C4810" s="2">
        <f ca="1">IF(ISNUMBER(SEARCH(Лист2!$B$4,D:D)),MAX($C$3:OFFSET(C4810,-1,0))+1,0)</f>
        <v>0</v>
      </c>
      <c r="E4810" s="9" t="str">
        <f t="shared" ca="1" si="87"/>
        <v/>
      </c>
      <c r="F4810" s="4" t="s">
        <v>28</v>
      </c>
      <c r="G4810" s="2">
        <f>IF(ISNUMBER(SEARCH(Лист2!$B$4,F:F)),1,0)</f>
        <v>0</v>
      </c>
      <c r="H4810" s="3">
        <f ca="1">IF(AND(I4810&lt;&gt;I4809,ISNUMBER(SEARCH(Лист2!$B$5,I:I)),G4810=1),MAX($H$3:OFFSET(H4810,-1,0))+1,0)</f>
        <v>0</v>
      </c>
      <c r="I4810" s="3" t="s">
        <v>375</v>
      </c>
      <c r="K4810" s="2">
        <f>IF(ISNUMBER(SEARCH(Лист2!$B$4,F:F)),1,0)</f>
        <v>0</v>
      </c>
      <c r="L4810" s="14">
        <f>IF(ISNUMBER(SEARCH(Лист2!$B$5,I:I)),1,0)+K4810</f>
        <v>0</v>
      </c>
      <c r="M4810" s="3">
        <f ca="1">IF(AND(N4810&lt;&gt;N4809,ISNUMBER(SEARCH(Лист2!$B$6,N:N)),L4810=2),MAX($M$3:OFFSET(M4810,-1,0))+1,0)</f>
        <v>0</v>
      </c>
      <c r="N4810" s="3" t="s">
        <v>2916</v>
      </c>
    </row>
    <row r="4811" spans="1:14" x14ac:dyDescent="0.25">
      <c r="A4811" s="1" t="s">
        <v>13486</v>
      </c>
      <c r="B4811" s="3" t="s">
        <v>8435</v>
      </c>
      <c r="C4811" s="2">
        <f ca="1">IF(ISNUMBER(SEARCH(Лист2!$B$4,D:D)),MAX($C$3:OFFSET(C4811,-1,0))+1,0)</f>
        <v>0</v>
      </c>
      <c r="E4811" s="9" t="str">
        <f t="shared" ca="1" si="87"/>
        <v/>
      </c>
      <c r="F4811" s="4" t="s">
        <v>28</v>
      </c>
      <c r="G4811" s="2">
        <f>IF(ISNUMBER(SEARCH(Лист2!$B$4,F:F)),1,0)</f>
        <v>0</v>
      </c>
      <c r="H4811" s="3">
        <f ca="1">IF(AND(I4811&lt;&gt;I4810,ISNUMBER(SEARCH(Лист2!$B$5,I:I)),G4811=1),MAX($H$3:OFFSET(H4811,-1,0))+1,0)</f>
        <v>0</v>
      </c>
      <c r="I4811" s="3" t="s">
        <v>375</v>
      </c>
      <c r="K4811" s="2">
        <f>IF(ISNUMBER(SEARCH(Лист2!$B$4,F:F)),1,0)</f>
        <v>0</v>
      </c>
      <c r="L4811" s="14">
        <f>IF(ISNUMBER(SEARCH(Лист2!$B$5,I:I)),1,0)+K4811</f>
        <v>0</v>
      </c>
      <c r="M4811" s="3">
        <f ca="1">IF(AND(N4811&lt;&gt;N4810,ISNUMBER(SEARCH(Лист2!$B$6,N:N)),L4811=2),MAX($M$3:OFFSET(M4811,-1,0))+1,0)</f>
        <v>0</v>
      </c>
      <c r="N4811" s="3" t="s">
        <v>2917</v>
      </c>
    </row>
    <row r="4812" spans="1:14" x14ac:dyDescent="0.25">
      <c r="A4812" s="1" t="s">
        <v>13487</v>
      </c>
      <c r="B4812" s="3" t="s">
        <v>8436</v>
      </c>
      <c r="C4812" s="2">
        <f ca="1">IF(ISNUMBER(SEARCH(Лист2!$B$4,D:D)),MAX($C$3:OFFSET(C4812,-1,0))+1,0)</f>
        <v>0</v>
      </c>
      <c r="E4812" s="9" t="str">
        <f t="shared" ca="1" si="87"/>
        <v/>
      </c>
      <c r="F4812" s="4" t="s">
        <v>28</v>
      </c>
      <c r="G4812" s="2">
        <f>IF(ISNUMBER(SEARCH(Лист2!$B$4,F:F)),1,0)</f>
        <v>0</v>
      </c>
      <c r="H4812" s="3">
        <f ca="1">IF(AND(I4812&lt;&gt;I4811,ISNUMBER(SEARCH(Лист2!$B$5,I:I)),G4812=1),MAX($H$3:OFFSET(H4812,-1,0))+1,0)</f>
        <v>0</v>
      </c>
      <c r="I4812" s="3" t="s">
        <v>375</v>
      </c>
      <c r="K4812" s="2">
        <f>IF(ISNUMBER(SEARCH(Лист2!$B$4,F:F)),1,0)</f>
        <v>0</v>
      </c>
      <c r="L4812" s="14">
        <f>IF(ISNUMBER(SEARCH(Лист2!$B$5,I:I)),1,0)+K4812</f>
        <v>0</v>
      </c>
      <c r="M4812" s="3">
        <f ca="1">IF(AND(N4812&lt;&gt;N4811,ISNUMBER(SEARCH(Лист2!$B$6,N:N)),L4812=2),MAX($M$3:OFFSET(M4812,-1,0))+1,0)</f>
        <v>0</v>
      </c>
      <c r="N4812" s="3" t="s">
        <v>2918</v>
      </c>
    </row>
    <row r="4813" spans="1:14" x14ac:dyDescent="0.25">
      <c r="A4813" s="1" t="s">
        <v>13488</v>
      </c>
      <c r="B4813" s="3" t="s">
        <v>8437</v>
      </c>
      <c r="C4813" s="2">
        <f ca="1">IF(ISNUMBER(SEARCH(Лист2!$B$4,D:D)),MAX($C$3:OFFSET(C4813,-1,0))+1,0)</f>
        <v>0</v>
      </c>
      <c r="E4813" s="9" t="str">
        <f t="shared" ca="1" si="87"/>
        <v/>
      </c>
      <c r="F4813" s="4" t="s">
        <v>28</v>
      </c>
      <c r="G4813" s="2">
        <f>IF(ISNUMBER(SEARCH(Лист2!$B$4,F:F)),1,0)</f>
        <v>0</v>
      </c>
      <c r="H4813" s="3">
        <f ca="1">IF(AND(I4813&lt;&gt;I4812,ISNUMBER(SEARCH(Лист2!$B$5,I:I)),G4813=1),MAX($H$3:OFFSET(H4813,-1,0))+1,0)</f>
        <v>0</v>
      </c>
      <c r="I4813" s="3" t="s">
        <v>375</v>
      </c>
      <c r="K4813" s="2">
        <f>IF(ISNUMBER(SEARCH(Лист2!$B$4,F:F)),1,0)</f>
        <v>0</v>
      </c>
      <c r="L4813" s="14">
        <f>IF(ISNUMBER(SEARCH(Лист2!$B$5,I:I)),1,0)+K4813</f>
        <v>0</v>
      </c>
      <c r="M4813" s="3">
        <f ca="1">IF(AND(N4813&lt;&gt;N4812,ISNUMBER(SEARCH(Лист2!$B$6,N:N)),L4813=2),MAX($M$3:OFFSET(M4813,-1,0))+1,0)</f>
        <v>0</v>
      </c>
      <c r="N4813" s="3" t="s">
        <v>2919</v>
      </c>
    </row>
    <row r="4814" spans="1:14" x14ac:dyDescent="0.25">
      <c r="A4814" s="1" t="s">
        <v>13489</v>
      </c>
      <c r="B4814" s="3" t="s">
        <v>8438</v>
      </c>
      <c r="C4814" s="2">
        <f ca="1">IF(ISNUMBER(SEARCH(Лист2!$B$4,D:D)),MAX($C$3:OFFSET(C4814,-1,0))+1,0)</f>
        <v>0</v>
      </c>
      <c r="E4814" s="9" t="str">
        <f t="shared" ca="1" si="87"/>
        <v/>
      </c>
      <c r="F4814" s="4" t="s">
        <v>28</v>
      </c>
      <c r="G4814" s="2">
        <f>IF(ISNUMBER(SEARCH(Лист2!$B$4,F:F)),1,0)</f>
        <v>0</v>
      </c>
      <c r="H4814" s="3">
        <f ca="1">IF(AND(I4814&lt;&gt;I4813,ISNUMBER(SEARCH(Лист2!$B$5,I:I)),G4814=1),MAX($H$3:OFFSET(H4814,-1,0))+1,0)</f>
        <v>0</v>
      </c>
      <c r="I4814" s="3" t="s">
        <v>375</v>
      </c>
      <c r="K4814" s="2">
        <f>IF(ISNUMBER(SEARCH(Лист2!$B$4,F:F)),1,0)</f>
        <v>0</v>
      </c>
      <c r="L4814" s="14">
        <f>IF(ISNUMBER(SEARCH(Лист2!$B$5,I:I)),1,0)+K4814</f>
        <v>0</v>
      </c>
      <c r="M4814" s="3">
        <f ca="1">IF(AND(N4814&lt;&gt;N4813,ISNUMBER(SEARCH(Лист2!$B$6,N:N)),L4814=2),MAX($M$3:OFFSET(M4814,-1,0))+1,0)</f>
        <v>0</v>
      </c>
      <c r="N4814" s="3" t="s">
        <v>2920</v>
      </c>
    </row>
    <row r="4815" spans="1:14" x14ac:dyDescent="0.25">
      <c r="A4815" s="1" t="s">
        <v>13490</v>
      </c>
      <c r="B4815" s="3" t="s">
        <v>8439</v>
      </c>
      <c r="C4815" s="2">
        <f ca="1">IF(ISNUMBER(SEARCH(Лист2!$B$4,D:D)),MAX($C$3:OFFSET(C4815,-1,0))+1,0)</f>
        <v>0</v>
      </c>
      <c r="E4815" s="9" t="str">
        <f t="shared" ca="1" si="87"/>
        <v/>
      </c>
      <c r="F4815" s="4" t="s">
        <v>28</v>
      </c>
      <c r="G4815" s="2">
        <f>IF(ISNUMBER(SEARCH(Лист2!$B$4,F:F)),1,0)</f>
        <v>0</v>
      </c>
      <c r="H4815" s="3">
        <f ca="1">IF(AND(I4815&lt;&gt;I4814,ISNUMBER(SEARCH(Лист2!$B$5,I:I)),G4815=1),MAX($H$3:OFFSET(H4815,-1,0))+1,0)</f>
        <v>0</v>
      </c>
      <c r="I4815" s="3" t="s">
        <v>375</v>
      </c>
      <c r="K4815" s="2">
        <f>IF(ISNUMBER(SEARCH(Лист2!$B$4,F:F)),1,0)</f>
        <v>0</v>
      </c>
      <c r="L4815" s="14">
        <f>IF(ISNUMBER(SEARCH(Лист2!$B$5,I:I)),1,0)+K4815</f>
        <v>0</v>
      </c>
      <c r="M4815" s="3">
        <f ca="1">IF(AND(N4815&lt;&gt;N4814,ISNUMBER(SEARCH(Лист2!$B$6,N:N)),L4815=2),MAX($M$3:OFFSET(M4815,-1,0))+1,0)</f>
        <v>0</v>
      </c>
      <c r="N4815" s="3" t="s">
        <v>602</v>
      </c>
    </row>
    <row r="4816" spans="1:14" x14ac:dyDescent="0.25">
      <c r="A4816" s="1" t="s">
        <v>13491</v>
      </c>
      <c r="B4816" s="3" t="s">
        <v>8440</v>
      </c>
      <c r="C4816" s="2">
        <f ca="1">IF(ISNUMBER(SEARCH(Лист2!$B$4,D:D)),MAX($C$3:OFFSET(C4816,-1,0))+1,0)</f>
        <v>0</v>
      </c>
      <c r="E4816" s="9" t="str">
        <f t="shared" ca="1" si="87"/>
        <v/>
      </c>
      <c r="F4816" s="4" t="s">
        <v>28</v>
      </c>
      <c r="G4816" s="2">
        <f>IF(ISNUMBER(SEARCH(Лист2!$B$4,F:F)),1,0)</f>
        <v>0</v>
      </c>
      <c r="H4816" s="3">
        <f ca="1">IF(AND(I4816&lt;&gt;I4815,ISNUMBER(SEARCH(Лист2!$B$5,I:I)),G4816=1),MAX($H$3:OFFSET(H4816,-1,0))+1,0)</f>
        <v>0</v>
      </c>
      <c r="I4816" s="3" t="s">
        <v>375</v>
      </c>
      <c r="K4816" s="2">
        <f>IF(ISNUMBER(SEARCH(Лист2!$B$4,F:F)),1,0)</f>
        <v>0</v>
      </c>
      <c r="L4816" s="14">
        <f>IF(ISNUMBER(SEARCH(Лист2!$B$5,I:I)),1,0)+K4816</f>
        <v>0</v>
      </c>
      <c r="M4816" s="3">
        <f ca="1">IF(AND(N4816&lt;&gt;N4815,ISNUMBER(SEARCH(Лист2!$B$6,N:N)),L4816=2),MAX($M$3:OFFSET(M4816,-1,0))+1,0)</f>
        <v>0</v>
      </c>
      <c r="N4816" s="3" t="s">
        <v>1535</v>
      </c>
    </row>
    <row r="4817" spans="1:14" x14ac:dyDescent="0.25">
      <c r="A4817" s="1" t="s">
        <v>13492</v>
      </c>
      <c r="B4817" s="3" t="s">
        <v>8441</v>
      </c>
      <c r="C4817" s="2">
        <f ca="1">IF(ISNUMBER(SEARCH(Лист2!$B$4,D:D)),MAX($C$3:OFFSET(C4817,-1,0))+1,0)</f>
        <v>0</v>
      </c>
      <c r="E4817" s="9" t="str">
        <f t="shared" ca="1" si="87"/>
        <v/>
      </c>
      <c r="F4817" s="4" t="s">
        <v>28</v>
      </c>
      <c r="G4817" s="2">
        <f>IF(ISNUMBER(SEARCH(Лист2!$B$4,F:F)),1,0)</f>
        <v>0</v>
      </c>
      <c r="H4817" s="3">
        <f ca="1">IF(AND(I4817&lt;&gt;I4816,ISNUMBER(SEARCH(Лист2!$B$5,I:I)),G4817=1),MAX($H$3:OFFSET(H4817,-1,0))+1,0)</f>
        <v>0</v>
      </c>
      <c r="I4817" s="3" t="s">
        <v>376</v>
      </c>
      <c r="K4817" s="2">
        <f>IF(ISNUMBER(SEARCH(Лист2!$B$4,F:F)),1,0)</f>
        <v>0</v>
      </c>
      <c r="L4817" s="14">
        <f>IF(ISNUMBER(SEARCH(Лист2!$B$5,I:I)),1,0)+K4817</f>
        <v>0</v>
      </c>
      <c r="M4817" s="3">
        <f ca="1">IF(AND(N4817&lt;&gt;N4816,ISNUMBER(SEARCH(Лист2!$B$6,N:N)),L4817=2),MAX($M$3:OFFSET(M4817,-1,0))+1,0)</f>
        <v>0</v>
      </c>
      <c r="N4817" s="3" t="s">
        <v>2921</v>
      </c>
    </row>
    <row r="4818" spans="1:14" x14ac:dyDescent="0.25">
      <c r="A4818" s="1" t="s">
        <v>13492</v>
      </c>
      <c r="B4818" s="3" t="s">
        <v>8442</v>
      </c>
      <c r="C4818" s="2">
        <f ca="1">IF(ISNUMBER(SEARCH(Лист2!$B$4,D:D)),MAX($C$3:OFFSET(C4818,-1,0))+1,0)</f>
        <v>0</v>
      </c>
      <c r="E4818" s="9" t="str">
        <f t="shared" ca="1" si="87"/>
        <v/>
      </c>
      <c r="F4818" s="4" t="s">
        <v>28</v>
      </c>
      <c r="G4818" s="2">
        <f>IF(ISNUMBER(SEARCH(Лист2!$B$4,F:F)),1,0)</f>
        <v>0</v>
      </c>
      <c r="H4818" s="3">
        <f ca="1">IF(AND(I4818&lt;&gt;I4817,ISNUMBER(SEARCH(Лист2!$B$5,I:I)),G4818=1),MAX($H$3:OFFSET(H4818,-1,0))+1,0)</f>
        <v>0</v>
      </c>
      <c r="I4818" s="3" t="s">
        <v>376</v>
      </c>
      <c r="K4818" s="2">
        <f>IF(ISNUMBER(SEARCH(Лист2!$B$4,F:F)),1,0)</f>
        <v>0</v>
      </c>
      <c r="L4818" s="14">
        <f>IF(ISNUMBER(SEARCH(Лист2!$B$5,I:I)),1,0)+K4818</f>
        <v>0</v>
      </c>
      <c r="M4818" s="3">
        <f ca="1">IF(AND(N4818&lt;&gt;N4817,ISNUMBER(SEARCH(Лист2!$B$6,N:N)),L4818=2),MAX($M$3:OFFSET(M4818,-1,0))+1,0)</f>
        <v>0</v>
      </c>
      <c r="N4818" s="3" t="s">
        <v>2921</v>
      </c>
    </row>
    <row r="4819" spans="1:14" x14ac:dyDescent="0.25">
      <c r="A4819" s="1" t="s">
        <v>13493</v>
      </c>
      <c r="B4819" s="3" t="s">
        <v>8443</v>
      </c>
      <c r="C4819" s="2">
        <f ca="1">IF(ISNUMBER(SEARCH(Лист2!$B$4,D:D)),MAX($C$3:OFFSET(C4819,-1,0))+1,0)</f>
        <v>0</v>
      </c>
      <c r="E4819" s="9" t="str">
        <f t="shared" ca="1" si="87"/>
        <v/>
      </c>
      <c r="F4819" s="4" t="s">
        <v>28</v>
      </c>
      <c r="G4819" s="2">
        <f>IF(ISNUMBER(SEARCH(Лист2!$B$4,F:F)),1,0)</f>
        <v>0</v>
      </c>
      <c r="H4819" s="3">
        <f ca="1">IF(AND(I4819&lt;&gt;I4818,ISNUMBER(SEARCH(Лист2!$B$5,I:I)),G4819=1),MAX($H$3:OFFSET(H4819,-1,0))+1,0)</f>
        <v>0</v>
      </c>
      <c r="I4819" s="3" t="s">
        <v>376</v>
      </c>
      <c r="K4819" s="2">
        <f>IF(ISNUMBER(SEARCH(Лист2!$B$4,F:F)),1,0)</f>
        <v>0</v>
      </c>
      <c r="L4819" s="14">
        <f>IF(ISNUMBER(SEARCH(Лист2!$B$5,I:I)),1,0)+K4819</f>
        <v>0</v>
      </c>
      <c r="M4819" s="3">
        <f ca="1">IF(AND(N4819&lt;&gt;N4818,ISNUMBER(SEARCH(Лист2!$B$6,N:N)),L4819=2),MAX($M$3:OFFSET(M4819,-1,0))+1,0)</f>
        <v>0</v>
      </c>
      <c r="N4819" s="3" t="s">
        <v>2922</v>
      </c>
    </row>
    <row r="4820" spans="1:14" x14ac:dyDescent="0.25">
      <c r="A4820" s="1" t="s">
        <v>13494</v>
      </c>
      <c r="B4820" s="3" t="s">
        <v>8444</v>
      </c>
      <c r="C4820" s="2">
        <f ca="1">IF(ISNUMBER(SEARCH(Лист2!$B$4,D:D)),MAX($C$3:OFFSET(C4820,-1,0))+1,0)</f>
        <v>0</v>
      </c>
      <c r="E4820" s="9" t="str">
        <f t="shared" ca="1" si="87"/>
        <v/>
      </c>
      <c r="F4820" s="4" t="s">
        <v>28</v>
      </c>
      <c r="G4820" s="2">
        <f>IF(ISNUMBER(SEARCH(Лист2!$B$4,F:F)),1,0)</f>
        <v>0</v>
      </c>
      <c r="H4820" s="3">
        <f ca="1">IF(AND(I4820&lt;&gt;I4819,ISNUMBER(SEARCH(Лист2!$B$5,I:I)),G4820=1),MAX($H$3:OFFSET(H4820,-1,0))+1,0)</f>
        <v>0</v>
      </c>
      <c r="I4820" s="3" t="s">
        <v>376</v>
      </c>
      <c r="K4820" s="2">
        <f>IF(ISNUMBER(SEARCH(Лист2!$B$4,F:F)),1,0)</f>
        <v>0</v>
      </c>
      <c r="L4820" s="14">
        <f>IF(ISNUMBER(SEARCH(Лист2!$B$5,I:I)),1,0)+K4820</f>
        <v>0</v>
      </c>
      <c r="M4820" s="3">
        <f ca="1">IF(AND(N4820&lt;&gt;N4819,ISNUMBER(SEARCH(Лист2!$B$6,N:N)),L4820=2),MAX($M$3:OFFSET(M4820,-1,0))+1,0)</f>
        <v>0</v>
      </c>
      <c r="N4820" s="3" t="s">
        <v>2923</v>
      </c>
    </row>
    <row r="4821" spans="1:14" x14ac:dyDescent="0.25">
      <c r="A4821" s="1" t="s">
        <v>13495</v>
      </c>
      <c r="B4821" s="3" t="s">
        <v>8445</v>
      </c>
      <c r="C4821" s="2">
        <f ca="1">IF(ISNUMBER(SEARCH(Лист2!$B$4,D:D)),MAX($C$3:OFFSET(C4821,-1,0))+1,0)</f>
        <v>0</v>
      </c>
      <c r="E4821" s="9" t="str">
        <f t="shared" ca="1" si="87"/>
        <v/>
      </c>
      <c r="F4821" s="4" t="s">
        <v>28</v>
      </c>
      <c r="G4821" s="2">
        <f>IF(ISNUMBER(SEARCH(Лист2!$B$4,F:F)),1,0)</f>
        <v>0</v>
      </c>
      <c r="H4821" s="3">
        <f ca="1">IF(AND(I4821&lt;&gt;I4820,ISNUMBER(SEARCH(Лист2!$B$5,I:I)),G4821=1),MAX($H$3:OFFSET(H4821,-1,0))+1,0)</f>
        <v>0</v>
      </c>
      <c r="I4821" s="3" t="s">
        <v>376</v>
      </c>
      <c r="K4821" s="2">
        <f>IF(ISNUMBER(SEARCH(Лист2!$B$4,F:F)),1,0)</f>
        <v>0</v>
      </c>
      <c r="L4821" s="14">
        <f>IF(ISNUMBER(SEARCH(Лист2!$B$5,I:I)),1,0)+K4821</f>
        <v>0</v>
      </c>
      <c r="M4821" s="3">
        <f ca="1">IF(AND(N4821&lt;&gt;N4820,ISNUMBER(SEARCH(Лист2!$B$6,N:N)),L4821=2),MAX($M$3:OFFSET(M4821,-1,0))+1,0)</f>
        <v>0</v>
      </c>
      <c r="N4821" s="3" t="s">
        <v>2924</v>
      </c>
    </row>
    <row r="4822" spans="1:14" x14ac:dyDescent="0.25">
      <c r="A4822" s="1" t="s">
        <v>13496</v>
      </c>
      <c r="B4822" s="3" t="s">
        <v>8446</v>
      </c>
      <c r="C4822" s="2">
        <f ca="1">IF(ISNUMBER(SEARCH(Лист2!$B$4,D:D)),MAX($C$3:OFFSET(C4822,-1,0))+1,0)</f>
        <v>0</v>
      </c>
      <c r="E4822" s="9" t="str">
        <f t="shared" ca="1" si="87"/>
        <v/>
      </c>
      <c r="F4822" s="4" t="s">
        <v>28</v>
      </c>
      <c r="G4822" s="2">
        <f>IF(ISNUMBER(SEARCH(Лист2!$B$4,F:F)),1,0)</f>
        <v>0</v>
      </c>
      <c r="H4822" s="3">
        <f ca="1">IF(AND(I4822&lt;&gt;I4821,ISNUMBER(SEARCH(Лист2!$B$5,I:I)),G4822=1),MAX($H$3:OFFSET(H4822,-1,0))+1,0)</f>
        <v>0</v>
      </c>
      <c r="I4822" s="3" t="s">
        <v>376</v>
      </c>
      <c r="K4822" s="2">
        <f>IF(ISNUMBER(SEARCH(Лист2!$B$4,F:F)),1,0)</f>
        <v>0</v>
      </c>
      <c r="L4822" s="14">
        <f>IF(ISNUMBER(SEARCH(Лист2!$B$5,I:I)),1,0)+K4822</f>
        <v>0</v>
      </c>
      <c r="M4822" s="3">
        <f ca="1">IF(AND(N4822&lt;&gt;N4821,ISNUMBER(SEARCH(Лист2!$B$6,N:N)),L4822=2),MAX($M$3:OFFSET(M4822,-1,0))+1,0)</f>
        <v>0</v>
      </c>
      <c r="N4822" s="3" t="s">
        <v>2925</v>
      </c>
    </row>
    <row r="4823" spans="1:14" x14ac:dyDescent="0.25">
      <c r="A4823" s="1" t="s">
        <v>13497</v>
      </c>
      <c r="B4823" s="3" t="s">
        <v>8447</v>
      </c>
      <c r="C4823" s="2">
        <f ca="1">IF(ISNUMBER(SEARCH(Лист2!$B$4,D:D)),MAX($C$3:OFFSET(C4823,-1,0))+1,0)</f>
        <v>0</v>
      </c>
      <c r="E4823" s="9" t="str">
        <f t="shared" ca="1" si="87"/>
        <v/>
      </c>
      <c r="F4823" s="4" t="s">
        <v>28</v>
      </c>
      <c r="G4823" s="2">
        <f>IF(ISNUMBER(SEARCH(Лист2!$B$4,F:F)),1,0)</f>
        <v>0</v>
      </c>
      <c r="H4823" s="3">
        <f ca="1">IF(AND(I4823&lt;&gt;I4822,ISNUMBER(SEARCH(Лист2!$B$5,I:I)),G4823=1),MAX($H$3:OFFSET(H4823,-1,0))+1,0)</f>
        <v>0</v>
      </c>
      <c r="I4823" s="3" t="s">
        <v>376</v>
      </c>
      <c r="K4823" s="2">
        <f>IF(ISNUMBER(SEARCH(Лист2!$B$4,F:F)),1,0)</f>
        <v>0</v>
      </c>
      <c r="L4823" s="14">
        <f>IF(ISNUMBER(SEARCH(Лист2!$B$5,I:I)),1,0)+K4823</f>
        <v>0</v>
      </c>
      <c r="M4823" s="3">
        <f ca="1">IF(AND(N4823&lt;&gt;N4822,ISNUMBER(SEARCH(Лист2!$B$6,N:N)),L4823=2),MAX($M$3:OFFSET(M4823,-1,0))+1,0)</f>
        <v>0</v>
      </c>
      <c r="N4823" s="3" t="s">
        <v>2926</v>
      </c>
    </row>
    <row r="4824" spans="1:14" x14ac:dyDescent="0.25">
      <c r="A4824" s="1" t="s">
        <v>13498</v>
      </c>
      <c r="B4824" s="3" t="s">
        <v>8448</v>
      </c>
      <c r="C4824" s="2">
        <f ca="1">IF(ISNUMBER(SEARCH(Лист2!$B$4,D:D)),MAX($C$3:OFFSET(C4824,-1,0))+1,0)</f>
        <v>0</v>
      </c>
      <c r="E4824" s="9" t="str">
        <f t="shared" ca="1" si="87"/>
        <v/>
      </c>
      <c r="F4824" s="4" t="s">
        <v>28</v>
      </c>
      <c r="G4824" s="2">
        <f>IF(ISNUMBER(SEARCH(Лист2!$B$4,F:F)),1,0)</f>
        <v>0</v>
      </c>
      <c r="H4824" s="3">
        <f ca="1">IF(AND(I4824&lt;&gt;I4823,ISNUMBER(SEARCH(Лист2!$B$5,I:I)),G4824=1),MAX($H$3:OFFSET(H4824,-1,0))+1,0)</f>
        <v>0</v>
      </c>
      <c r="I4824" s="3" t="s">
        <v>376</v>
      </c>
      <c r="K4824" s="2">
        <f>IF(ISNUMBER(SEARCH(Лист2!$B$4,F:F)),1,0)</f>
        <v>0</v>
      </c>
      <c r="L4824" s="14">
        <f>IF(ISNUMBER(SEARCH(Лист2!$B$5,I:I)),1,0)+K4824</f>
        <v>0</v>
      </c>
      <c r="M4824" s="3">
        <f ca="1">IF(AND(N4824&lt;&gt;N4823,ISNUMBER(SEARCH(Лист2!$B$6,N:N)),L4824=2),MAX($M$3:OFFSET(M4824,-1,0))+1,0)</f>
        <v>0</v>
      </c>
      <c r="N4824" s="3" t="s">
        <v>602</v>
      </c>
    </row>
    <row r="4825" spans="1:14" x14ac:dyDescent="0.25">
      <c r="A4825" s="1" t="s">
        <v>13499</v>
      </c>
      <c r="B4825" s="3" t="s">
        <v>8449</v>
      </c>
      <c r="C4825" s="2">
        <f ca="1">IF(ISNUMBER(SEARCH(Лист2!$B$4,D:D)),MAX($C$3:OFFSET(C4825,-1,0))+1,0)</f>
        <v>0</v>
      </c>
      <c r="E4825" s="9" t="str">
        <f t="shared" ca="1" si="87"/>
        <v/>
      </c>
      <c r="F4825" s="4" t="s">
        <v>28</v>
      </c>
      <c r="G4825" s="2">
        <f>IF(ISNUMBER(SEARCH(Лист2!$B$4,F:F)),1,0)</f>
        <v>0</v>
      </c>
      <c r="H4825" s="3">
        <f ca="1">IF(AND(I4825&lt;&gt;I4824,ISNUMBER(SEARCH(Лист2!$B$5,I:I)),G4825=1),MAX($H$3:OFFSET(H4825,-1,0))+1,0)</f>
        <v>0</v>
      </c>
      <c r="I4825" s="3" t="s">
        <v>376</v>
      </c>
      <c r="K4825" s="2">
        <f>IF(ISNUMBER(SEARCH(Лист2!$B$4,F:F)),1,0)</f>
        <v>0</v>
      </c>
      <c r="L4825" s="14">
        <f>IF(ISNUMBER(SEARCH(Лист2!$B$5,I:I)),1,0)+K4825</f>
        <v>0</v>
      </c>
      <c r="M4825" s="3">
        <f ca="1">IF(AND(N4825&lt;&gt;N4824,ISNUMBER(SEARCH(Лист2!$B$6,N:N)),L4825=2),MAX($M$3:OFFSET(M4825,-1,0))+1,0)</f>
        <v>0</v>
      </c>
      <c r="N4825" s="3" t="s">
        <v>2927</v>
      </c>
    </row>
    <row r="4826" spans="1:14" x14ac:dyDescent="0.25">
      <c r="A4826" s="1" t="s">
        <v>13500</v>
      </c>
      <c r="B4826" s="3" t="s">
        <v>8450</v>
      </c>
      <c r="C4826" s="2">
        <f ca="1">IF(ISNUMBER(SEARCH(Лист2!$B$4,D:D)),MAX($C$3:OFFSET(C4826,-1,0))+1,0)</f>
        <v>0</v>
      </c>
      <c r="E4826" s="9" t="str">
        <f t="shared" ca="1" si="87"/>
        <v/>
      </c>
      <c r="F4826" s="4" t="s">
        <v>28</v>
      </c>
      <c r="G4826" s="2">
        <f>IF(ISNUMBER(SEARCH(Лист2!$B$4,F:F)),1,0)</f>
        <v>0</v>
      </c>
      <c r="H4826" s="3">
        <f ca="1">IF(AND(I4826&lt;&gt;I4825,ISNUMBER(SEARCH(Лист2!$B$5,I:I)),G4826=1),MAX($H$3:OFFSET(H4826,-1,0))+1,0)</f>
        <v>0</v>
      </c>
      <c r="I4826" s="3" t="s">
        <v>376</v>
      </c>
      <c r="K4826" s="2">
        <f>IF(ISNUMBER(SEARCH(Лист2!$B$4,F:F)),1,0)</f>
        <v>0</v>
      </c>
      <c r="L4826" s="14">
        <f>IF(ISNUMBER(SEARCH(Лист2!$B$5,I:I)),1,0)+K4826</f>
        <v>0</v>
      </c>
      <c r="M4826" s="3">
        <f ca="1">IF(AND(N4826&lt;&gt;N4825,ISNUMBER(SEARCH(Лист2!$B$6,N:N)),L4826=2),MAX($M$3:OFFSET(M4826,-1,0))+1,0)</f>
        <v>0</v>
      </c>
      <c r="N4826" s="3" t="s">
        <v>2928</v>
      </c>
    </row>
    <row r="4827" spans="1:14" x14ac:dyDescent="0.25">
      <c r="A4827" s="1" t="s">
        <v>13501</v>
      </c>
      <c r="B4827" s="3" t="s">
        <v>8451</v>
      </c>
      <c r="C4827" s="2">
        <f ca="1">IF(ISNUMBER(SEARCH(Лист2!$B$4,D:D)),MAX($C$3:OFFSET(C4827,-1,0))+1,0)</f>
        <v>0</v>
      </c>
      <c r="E4827" s="9" t="str">
        <f t="shared" ca="1" si="87"/>
        <v/>
      </c>
      <c r="F4827" s="4" t="s">
        <v>28</v>
      </c>
      <c r="G4827" s="2">
        <f>IF(ISNUMBER(SEARCH(Лист2!$B$4,F:F)),1,0)</f>
        <v>0</v>
      </c>
      <c r="H4827" s="3">
        <f ca="1">IF(AND(I4827&lt;&gt;I4826,ISNUMBER(SEARCH(Лист2!$B$5,I:I)),G4827=1),MAX($H$3:OFFSET(H4827,-1,0))+1,0)</f>
        <v>0</v>
      </c>
      <c r="I4827" s="3" t="s">
        <v>376</v>
      </c>
      <c r="K4827" s="2">
        <f>IF(ISNUMBER(SEARCH(Лист2!$B$4,F:F)),1,0)</f>
        <v>0</v>
      </c>
      <c r="L4827" s="14">
        <f>IF(ISNUMBER(SEARCH(Лист2!$B$5,I:I)),1,0)+K4827</f>
        <v>0</v>
      </c>
      <c r="M4827" s="3">
        <f ca="1">IF(AND(N4827&lt;&gt;N4826,ISNUMBER(SEARCH(Лист2!$B$6,N:N)),L4827=2),MAX($M$3:OFFSET(M4827,-1,0))+1,0)</f>
        <v>0</v>
      </c>
      <c r="N4827" s="3" t="s">
        <v>2929</v>
      </c>
    </row>
    <row r="4828" spans="1:14" x14ac:dyDescent="0.25">
      <c r="A4828" s="1" t="s">
        <v>13502</v>
      </c>
      <c r="B4828" s="3" t="s">
        <v>8452</v>
      </c>
      <c r="C4828" s="2">
        <f ca="1">IF(ISNUMBER(SEARCH(Лист2!$B$4,D:D)),MAX($C$3:OFFSET(C4828,-1,0))+1,0)</f>
        <v>0</v>
      </c>
      <c r="E4828" s="9" t="str">
        <f t="shared" ca="1" si="87"/>
        <v/>
      </c>
      <c r="F4828" s="4" t="s">
        <v>28</v>
      </c>
      <c r="G4828" s="2">
        <f>IF(ISNUMBER(SEARCH(Лист2!$B$4,F:F)),1,0)</f>
        <v>0</v>
      </c>
      <c r="H4828" s="3">
        <f ca="1">IF(AND(I4828&lt;&gt;I4827,ISNUMBER(SEARCH(Лист2!$B$5,I:I)),G4828=1),MAX($H$3:OFFSET(H4828,-1,0))+1,0)</f>
        <v>0</v>
      </c>
      <c r="I4828" s="3" t="s">
        <v>377</v>
      </c>
      <c r="K4828" s="2">
        <f>IF(ISNUMBER(SEARCH(Лист2!$B$4,F:F)),1,0)</f>
        <v>0</v>
      </c>
      <c r="L4828" s="14">
        <f>IF(ISNUMBER(SEARCH(Лист2!$B$5,I:I)),1,0)+K4828</f>
        <v>0</v>
      </c>
      <c r="M4828" s="3">
        <f ca="1">IF(AND(N4828&lt;&gt;N4827,ISNUMBER(SEARCH(Лист2!$B$6,N:N)),L4828=2),MAX($M$3:OFFSET(M4828,-1,0))+1,0)</f>
        <v>0</v>
      </c>
      <c r="N4828" s="3" t="s">
        <v>2930</v>
      </c>
    </row>
    <row r="4829" spans="1:14" x14ac:dyDescent="0.25">
      <c r="A4829" s="1" t="s">
        <v>13503</v>
      </c>
      <c r="B4829" s="3" t="s">
        <v>8453</v>
      </c>
      <c r="C4829" s="2">
        <f ca="1">IF(ISNUMBER(SEARCH(Лист2!$B$4,D:D)),MAX($C$3:OFFSET(C4829,-1,0))+1,0)</f>
        <v>0</v>
      </c>
      <c r="E4829" s="9" t="str">
        <f t="shared" ca="1" si="87"/>
        <v/>
      </c>
      <c r="F4829" s="4" t="s">
        <v>28</v>
      </c>
      <c r="G4829" s="2">
        <f>IF(ISNUMBER(SEARCH(Лист2!$B$4,F:F)),1,0)</f>
        <v>0</v>
      </c>
      <c r="H4829" s="3">
        <f ca="1">IF(AND(I4829&lt;&gt;I4828,ISNUMBER(SEARCH(Лист2!$B$5,I:I)),G4829=1),MAX($H$3:OFFSET(H4829,-1,0))+1,0)</f>
        <v>0</v>
      </c>
      <c r="I4829" s="3" t="s">
        <v>377</v>
      </c>
      <c r="K4829" s="2">
        <f>IF(ISNUMBER(SEARCH(Лист2!$B$4,F:F)),1,0)</f>
        <v>0</v>
      </c>
      <c r="L4829" s="14">
        <f>IF(ISNUMBER(SEARCH(Лист2!$B$5,I:I)),1,0)+K4829</f>
        <v>0</v>
      </c>
      <c r="M4829" s="3">
        <f ca="1">IF(AND(N4829&lt;&gt;N4828,ISNUMBER(SEARCH(Лист2!$B$6,N:N)),L4829=2),MAX($M$3:OFFSET(M4829,-1,0))+1,0)</f>
        <v>0</v>
      </c>
      <c r="N4829" s="3" t="s">
        <v>2931</v>
      </c>
    </row>
    <row r="4830" spans="1:14" x14ac:dyDescent="0.25">
      <c r="A4830" s="1" t="s">
        <v>13504</v>
      </c>
      <c r="B4830" s="3" t="s">
        <v>8454</v>
      </c>
      <c r="C4830" s="2">
        <f ca="1">IF(ISNUMBER(SEARCH(Лист2!$B$4,D:D)),MAX($C$3:OFFSET(C4830,-1,0))+1,0)</f>
        <v>0</v>
      </c>
      <c r="E4830" s="9" t="str">
        <f t="shared" ca="1" si="87"/>
        <v/>
      </c>
      <c r="F4830" s="4" t="s">
        <v>28</v>
      </c>
      <c r="G4830" s="2">
        <f>IF(ISNUMBER(SEARCH(Лист2!$B$4,F:F)),1,0)</f>
        <v>0</v>
      </c>
      <c r="H4830" s="3">
        <f ca="1">IF(AND(I4830&lt;&gt;I4829,ISNUMBER(SEARCH(Лист2!$B$5,I:I)),G4830=1),MAX($H$3:OFFSET(H4830,-1,0))+1,0)</f>
        <v>0</v>
      </c>
      <c r="I4830" s="3" t="s">
        <v>377</v>
      </c>
      <c r="K4830" s="2">
        <f>IF(ISNUMBER(SEARCH(Лист2!$B$4,F:F)),1,0)</f>
        <v>0</v>
      </c>
      <c r="L4830" s="14">
        <f>IF(ISNUMBER(SEARCH(Лист2!$B$5,I:I)),1,0)+K4830</f>
        <v>0</v>
      </c>
      <c r="M4830" s="3">
        <f ca="1">IF(AND(N4830&lt;&gt;N4829,ISNUMBER(SEARCH(Лист2!$B$6,N:N)),L4830=2),MAX($M$3:OFFSET(M4830,-1,0))+1,0)</f>
        <v>0</v>
      </c>
      <c r="N4830" s="3" t="s">
        <v>2923</v>
      </c>
    </row>
    <row r="4831" spans="1:14" x14ac:dyDescent="0.25">
      <c r="A4831" s="1" t="s">
        <v>13505</v>
      </c>
      <c r="B4831" s="3" t="s">
        <v>8455</v>
      </c>
      <c r="C4831" s="2">
        <f ca="1">IF(ISNUMBER(SEARCH(Лист2!$B$4,D:D)),MAX($C$3:OFFSET(C4831,-1,0))+1,0)</f>
        <v>0</v>
      </c>
      <c r="E4831" s="9" t="str">
        <f t="shared" ca="1" si="87"/>
        <v/>
      </c>
      <c r="F4831" s="4" t="s">
        <v>28</v>
      </c>
      <c r="G4831" s="2">
        <f>IF(ISNUMBER(SEARCH(Лист2!$B$4,F:F)),1,0)</f>
        <v>0</v>
      </c>
      <c r="H4831" s="3">
        <f ca="1">IF(AND(I4831&lt;&gt;I4830,ISNUMBER(SEARCH(Лист2!$B$5,I:I)),G4831=1),MAX($H$3:OFFSET(H4831,-1,0))+1,0)</f>
        <v>0</v>
      </c>
      <c r="I4831" s="3" t="s">
        <v>377</v>
      </c>
      <c r="K4831" s="2">
        <f>IF(ISNUMBER(SEARCH(Лист2!$B$4,F:F)),1,0)</f>
        <v>0</v>
      </c>
      <c r="L4831" s="14">
        <f>IF(ISNUMBER(SEARCH(Лист2!$B$5,I:I)),1,0)+K4831</f>
        <v>0</v>
      </c>
      <c r="M4831" s="3">
        <f ca="1">IF(AND(N4831&lt;&gt;N4830,ISNUMBER(SEARCH(Лист2!$B$6,N:N)),L4831=2),MAX($M$3:OFFSET(M4831,-1,0))+1,0)</f>
        <v>0</v>
      </c>
      <c r="N4831" s="3" t="s">
        <v>2924</v>
      </c>
    </row>
    <row r="4832" spans="1:14" x14ac:dyDescent="0.25">
      <c r="A4832" s="1" t="s">
        <v>13506</v>
      </c>
      <c r="B4832" s="3" t="s">
        <v>8456</v>
      </c>
      <c r="C4832" s="2">
        <f ca="1">IF(ISNUMBER(SEARCH(Лист2!$B$4,D:D)),MAX($C$3:OFFSET(C4832,-1,0))+1,0)</f>
        <v>0</v>
      </c>
      <c r="E4832" s="9" t="str">
        <f t="shared" ca="1" si="87"/>
        <v/>
      </c>
      <c r="F4832" s="4" t="s">
        <v>28</v>
      </c>
      <c r="G4832" s="2">
        <f>IF(ISNUMBER(SEARCH(Лист2!$B$4,F:F)),1,0)</f>
        <v>0</v>
      </c>
      <c r="H4832" s="3">
        <f ca="1">IF(AND(I4832&lt;&gt;I4831,ISNUMBER(SEARCH(Лист2!$B$5,I:I)),G4832=1),MAX($H$3:OFFSET(H4832,-1,0))+1,0)</f>
        <v>0</v>
      </c>
      <c r="I4832" s="3" t="s">
        <v>377</v>
      </c>
      <c r="K4832" s="2">
        <f>IF(ISNUMBER(SEARCH(Лист2!$B$4,F:F)),1,0)</f>
        <v>0</v>
      </c>
      <c r="L4832" s="14">
        <f>IF(ISNUMBER(SEARCH(Лист2!$B$5,I:I)),1,0)+K4832</f>
        <v>0</v>
      </c>
      <c r="M4832" s="3">
        <f ca="1">IF(AND(N4832&lt;&gt;N4831,ISNUMBER(SEARCH(Лист2!$B$6,N:N)),L4832=2),MAX($M$3:OFFSET(M4832,-1,0))+1,0)</f>
        <v>0</v>
      </c>
      <c r="N4832" s="3" t="s">
        <v>2925</v>
      </c>
    </row>
    <row r="4833" spans="1:14" x14ac:dyDescent="0.25">
      <c r="A4833" s="1" t="s">
        <v>13507</v>
      </c>
      <c r="B4833" s="3" t="s">
        <v>8457</v>
      </c>
      <c r="C4833" s="2">
        <f ca="1">IF(ISNUMBER(SEARCH(Лист2!$B$4,D:D)),MAX($C$3:OFFSET(C4833,-1,0))+1,0)</f>
        <v>0</v>
      </c>
      <c r="E4833" s="9" t="str">
        <f t="shared" ca="1" si="87"/>
        <v/>
      </c>
      <c r="F4833" s="4" t="s">
        <v>28</v>
      </c>
      <c r="G4833" s="2">
        <f>IF(ISNUMBER(SEARCH(Лист2!$B$4,F:F)),1,0)</f>
        <v>0</v>
      </c>
      <c r="H4833" s="3">
        <f ca="1">IF(AND(I4833&lt;&gt;I4832,ISNUMBER(SEARCH(Лист2!$B$5,I:I)),G4833=1),MAX($H$3:OFFSET(H4833,-1,0))+1,0)</f>
        <v>0</v>
      </c>
      <c r="I4833" s="3" t="s">
        <v>377</v>
      </c>
      <c r="K4833" s="2">
        <f>IF(ISNUMBER(SEARCH(Лист2!$B$4,F:F)),1,0)</f>
        <v>0</v>
      </c>
      <c r="L4833" s="14">
        <f>IF(ISNUMBER(SEARCH(Лист2!$B$5,I:I)),1,0)+K4833</f>
        <v>0</v>
      </c>
      <c r="M4833" s="3">
        <f ca="1">IF(AND(N4833&lt;&gt;N4832,ISNUMBER(SEARCH(Лист2!$B$6,N:N)),L4833=2),MAX($M$3:OFFSET(M4833,-1,0))+1,0)</f>
        <v>0</v>
      </c>
      <c r="N4833" s="3" t="s">
        <v>602</v>
      </c>
    </row>
    <row r="4834" spans="1:14" x14ac:dyDescent="0.25">
      <c r="A4834" s="1" t="s">
        <v>13508</v>
      </c>
      <c r="B4834" s="3" t="s">
        <v>8458</v>
      </c>
      <c r="C4834" s="2">
        <f ca="1">IF(ISNUMBER(SEARCH(Лист2!$B$4,D:D)),MAX($C$3:OFFSET(C4834,-1,0))+1,0)</f>
        <v>0</v>
      </c>
      <c r="E4834" s="9" t="str">
        <f t="shared" ca="1" si="87"/>
        <v/>
      </c>
      <c r="F4834" s="4" t="s">
        <v>28</v>
      </c>
      <c r="G4834" s="2">
        <f>IF(ISNUMBER(SEARCH(Лист2!$B$4,F:F)),1,0)</f>
        <v>0</v>
      </c>
      <c r="H4834" s="3">
        <f ca="1">IF(AND(I4834&lt;&gt;I4833,ISNUMBER(SEARCH(Лист2!$B$5,I:I)),G4834=1),MAX($H$3:OFFSET(H4834,-1,0))+1,0)</f>
        <v>0</v>
      </c>
      <c r="I4834" s="3" t="s">
        <v>377</v>
      </c>
      <c r="K4834" s="2">
        <f>IF(ISNUMBER(SEARCH(Лист2!$B$4,F:F)),1,0)</f>
        <v>0</v>
      </c>
      <c r="L4834" s="14">
        <f>IF(ISNUMBER(SEARCH(Лист2!$B$5,I:I)),1,0)+K4834</f>
        <v>0</v>
      </c>
      <c r="M4834" s="3">
        <f ca="1">IF(AND(N4834&lt;&gt;N4833,ISNUMBER(SEARCH(Лист2!$B$6,N:N)),L4834=2),MAX($M$3:OFFSET(M4834,-1,0))+1,0)</f>
        <v>0</v>
      </c>
      <c r="N4834" s="3" t="s">
        <v>2932</v>
      </c>
    </row>
    <row r="4835" spans="1:14" x14ac:dyDescent="0.25">
      <c r="A4835" s="1" t="s">
        <v>13509</v>
      </c>
      <c r="B4835" s="3" t="s">
        <v>8459</v>
      </c>
      <c r="C4835" s="2">
        <f ca="1">IF(ISNUMBER(SEARCH(Лист2!$B$4,D:D)),MAX($C$3:OFFSET(C4835,-1,0))+1,0)</f>
        <v>0</v>
      </c>
      <c r="E4835" s="9" t="str">
        <f t="shared" ca="1" si="87"/>
        <v/>
      </c>
      <c r="F4835" s="4" t="s">
        <v>28</v>
      </c>
      <c r="G4835" s="2">
        <f>IF(ISNUMBER(SEARCH(Лист2!$B$4,F:F)),1,0)</f>
        <v>0</v>
      </c>
      <c r="H4835" s="3">
        <f ca="1">IF(AND(I4835&lt;&gt;I4834,ISNUMBER(SEARCH(Лист2!$B$5,I:I)),G4835=1),MAX($H$3:OFFSET(H4835,-1,0))+1,0)</f>
        <v>0</v>
      </c>
      <c r="I4835" s="3" t="s">
        <v>377</v>
      </c>
      <c r="K4835" s="2">
        <f>IF(ISNUMBER(SEARCH(Лист2!$B$4,F:F)),1,0)</f>
        <v>0</v>
      </c>
      <c r="L4835" s="14">
        <f>IF(ISNUMBER(SEARCH(Лист2!$B$5,I:I)),1,0)+K4835</f>
        <v>0</v>
      </c>
      <c r="M4835" s="3">
        <f ca="1">IF(AND(N4835&lt;&gt;N4834,ISNUMBER(SEARCH(Лист2!$B$6,N:N)),L4835=2),MAX($M$3:OFFSET(M4835,-1,0))+1,0)</f>
        <v>0</v>
      </c>
      <c r="N4835" s="3" t="s">
        <v>2933</v>
      </c>
    </row>
    <row r="4836" spans="1:14" x14ac:dyDescent="0.25">
      <c r="A4836" s="1" t="s">
        <v>13510</v>
      </c>
      <c r="B4836" s="3" t="s">
        <v>8460</v>
      </c>
      <c r="C4836" s="2">
        <f ca="1">IF(ISNUMBER(SEARCH(Лист2!$B$4,D:D)),MAX($C$3:OFFSET(C4836,-1,0))+1,0)</f>
        <v>0</v>
      </c>
      <c r="E4836" s="9" t="str">
        <f t="shared" ca="1" si="87"/>
        <v/>
      </c>
      <c r="F4836" s="4" t="s">
        <v>28</v>
      </c>
      <c r="G4836" s="2">
        <f>IF(ISNUMBER(SEARCH(Лист2!$B$4,F:F)),1,0)</f>
        <v>0</v>
      </c>
      <c r="H4836" s="3">
        <f ca="1">IF(AND(I4836&lt;&gt;I4835,ISNUMBER(SEARCH(Лист2!$B$5,I:I)),G4836=1),MAX($H$3:OFFSET(H4836,-1,0))+1,0)</f>
        <v>0</v>
      </c>
      <c r="I4836" s="3" t="s">
        <v>377</v>
      </c>
      <c r="K4836" s="2">
        <f>IF(ISNUMBER(SEARCH(Лист2!$B$4,F:F)),1,0)</f>
        <v>0</v>
      </c>
      <c r="L4836" s="14">
        <f>IF(ISNUMBER(SEARCH(Лист2!$B$5,I:I)),1,0)+K4836</f>
        <v>0</v>
      </c>
      <c r="M4836" s="3">
        <f ca="1">IF(AND(N4836&lt;&gt;N4835,ISNUMBER(SEARCH(Лист2!$B$6,N:N)),L4836=2),MAX($M$3:OFFSET(M4836,-1,0))+1,0)</f>
        <v>0</v>
      </c>
      <c r="N4836" s="3" t="s">
        <v>2929</v>
      </c>
    </row>
    <row r="4837" spans="1:14" x14ac:dyDescent="0.25">
      <c r="A4837" s="1" t="s">
        <v>13511</v>
      </c>
      <c r="B4837" s="3" t="s">
        <v>8461</v>
      </c>
      <c r="C4837" s="2">
        <f ca="1">IF(ISNUMBER(SEARCH(Лист2!$B$4,D:D)),MAX($C$3:OFFSET(C4837,-1,0))+1,0)</f>
        <v>0</v>
      </c>
      <c r="E4837" s="9" t="str">
        <f t="shared" ca="1" si="87"/>
        <v/>
      </c>
      <c r="F4837" s="4" t="s">
        <v>28</v>
      </c>
      <c r="G4837" s="2">
        <f>IF(ISNUMBER(SEARCH(Лист2!$B$4,F:F)),1,0)</f>
        <v>0</v>
      </c>
      <c r="H4837" s="3">
        <f ca="1">IF(AND(I4837&lt;&gt;I4836,ISNUMBER(SEARCH(Лист2!$B$5,I:I)),G4837=1),MAX($H$3:OFFSET(H4837,-1,0))+1,0)</f>
        <v>0</v>
      </c>
      <c r="I4837" s="3" t="s">
        <v>378</v>
      </c>
      <c r="K4837" s="2">
        <f>IF(ISNUMBER(SEARCH(Лист2!$B$4,F:F)),1,0)</f>
        <v>0</v>
      </c>
      <c r="L4837" s="14">
        <f>IF(ISNUMBER(SEARCH(Лист2!$B$5,I:I)),1,0)+K4837</f>
        <v>0</v>
      </c>
      <c r="M4837" s="3">
        <f ca="1">IF(AND(N4837&lt;&gt;N4836,ISNUMBER(SEARCH(Лист2!$B$6,N:N)),L4837=2),MAX($M$3:OFFSET(M4837,-1,0))+1,0)</f>
        <v>0</v>
      </c>
      <c r="N4837" s="3" t="s">
        <v>2934</v>
      </c>
    </row>
    <row r="4838" spans="1:14" x14ac:dyDescent="0.25">
      <c r="A4838" s="1" t="s">
        <v>13512</v>
      </c>
      <c r="B4838" s="3" t="s">
        <v>8462</v>
      </c>
      <c r="C4838" s="2">
        <f ca="1">IF(ISNUMBER(SEARCH(Лист2!$B$4,D:D)),MAX($C$3:OFFSET(C4838,-1,0))+1,0)</f>
        <v>0</v>
      </c>
      <c r="E4838" s="9" t="str">
        <f t="shared" ca="1" si="87"/>
        <v/>
      </c>
      <c r="F4838" s="4" t="s">
        <v>28</v>
      </c>
      <c r="G4838" s="2">
        <f>IF(ISNUMBER(SEARCH(Лист2!$B$4,F:F)),1,0)</f>
        <v>0</v>
      </c>
      <c r="H4838" s="3">
        <f ca="1">IF(AND(I4838&lt;&gt;I4837,ISNUMBER(SEARCH(Лист2!$B$5,I:I)),G4838=1),MAX($H$3:OFFSET(H4838,-1,0))+1,0)</f>
        <v>0</v>
      </c>
      <c r="I4838" s="3" t="s">
        <v>378</v>
      </c>
      <c r="K4838" s="2">
        <f>IF(ISNUMBER(SEARCH(Лист2!$B$4,F:F)),1,0)</f>
        <v>0</v>
      </c>
      <c r="L4838" s="14">
        <f>IF(ISNUMBER(SEARCH(Лист2!$B$5,I:I)),1,0)+K4838</f>
        <v>0</v>
      </c>
      <c r="M4838" s="3">
        <f ca="1">IF(AND(N4838&lt;&gt;N4837,ISNUMBER(SEARCH(Лист2!$B$6,N:N)),L4838=2),MAX($M$3:OFFSET(M4838,-1,0))+1,0)</f>
        <v>0</v>
      </c>
      <c r="N4838" s="3" t="s">
        <v>2935</v>
      </c>
    </row>
    <row r="4839" spans="1:14" x14ac:dyDescent="0.25">
      <c r="A4839" s="1" t="s">
        <v>13513</v>
      </c>
      <c r="B4839" s="3" t="s">
        <v>8463</v>
      </c>
      <c r="C4839" s="2">
        <f ca="1">IF(ISNUMBER(SEARCH(Лист2!$B$4,D:D)),MAX($C$3:OFFSET(C4839,-1,0))+1,0)</f>
        <v>0</v>
      </c>
      <c r="E4839" s="9" t="str">
        <f t="shared" ca="1" si="87"/>
        <v/>
      </c>
      <c r="F4839" s="4" t="s">
        <v>28</v>
      </c>
      <c r="G4839" s="2">
        <f>IF(ISNUMBER(SEARCH(Лист2!$B$4,F:F)),1,0)</f>
        <v>0</v>
      </c>
      <c r="H4839" s="3">
        <f ca="1">IF(AND(I4839&lt;&gt;I4838,ISNUMBER(SEARCH(Лист2!$B$5,I:I)),G4839=1),MAX($H$3:OFFSET(H4839,-1,0))+1,0)</f>
        <v>0</v>
      </c>
      <c r="I4839" s="3" t="s">
        <v>378</v>
      </c>
      <c r="K4839" s="2">
        <f>IF(ISNUMBER(SEARCH(Лист2!$B$4,F:F)),1,0)</f>
        <v>0</v>
      </c>
      <c r="L4839" s="14">
        <f>IF(ISNUMBER(SEARCH(Лист2!$B$5,I:I)),1,0)+K4839</f>
        <v>0</v>
      </c>
      <c r="M4839" s="3">
        <f ca="1">IF(AND(N4839&lt;&gt;N4838,ISNUMBER(SEARCH(Лист2!$B$6,N:N)),L4839=2),MAX($M$3:OFFSET(M4839,-1,0))+1,0)</f>
        <v>0</v>
      </c>
      <c r="N4839" s="3" t="s">
        <v>2923</v>
      </c>
    </row>
    <row r="4840" spans="1:14" x14ac:dyDescent="0.25">
      <c r="A4840" s="1" t="s">
        <v>13514</v>
      </c>
      <c r="B4840" s="3" t="s">
        <v>8464</v>
      </c>
      <c r="C4840" s="2">
        <f ca="1">IF(ISNUMBER(SEARCH(Лист2!$B$4,D:D)),MAX($C$3:OFFSET(C4840,-1,0))+1,0)</f>
        <v>0</v>
      </c>
      <c r="E4840" s="9" t="str">
        <f t="shared" ca="1" si="87"/>
        <v/>
      </c>
      <c r="F4840" s="4" t="s">
        <v>28</v>
      </c>
      <c r="G4840" s="2">
        <f>IF(ISNUMBER(SEARCH(Лист2!$B$4,F:F)),1,0)</f>
        <v>0</v>
      </c>
      <c r="H4840" s="3">
        <f ca="1">IF(AND(I4840&lt;&gt;I4839,ISNUMBER(SEARCH(Лист2!$B$5,I:I)),G4840=1),MAX($H$3:OFFSET(H4840,-1,0))+1,0)</f>
        <v>0</v>
      </c>
      <c r="I4840" s="3" t="s">
        <v>378</v>
      </c>
      <c r="K4840" s="2">
        <f>IF(ISNUMBER(SEARCH(Лист2!$B$4,F:F)),1,0)</f>
        <v>0</v>
      </c>
      <c r="L4840" s="14">
        <f>IF(ISNUMBER(SEARCH(Лист2!$B$5,I:I)),1,0)+K4840</f>
        <v>0</v>
      </c>
      <c r="M4840" s="3">
        <f ca="1">IF(AND(N4840&lt;&gt;N4839,ISNUMBER(SEARCH(Лист2!$B$6,N:N)),L4840=2),MAX($M$3:OFFSET(M4840,-1,0))+1,0)</f>
        <v>0</v>
      </c>
      <c r="N4840" s="3" t="s">
        <v>2936</v>
      </c>
    </row>
    <row r="4841" spans="1:14" x14ac:dyDescent="0.25">
      <c r="A4841" s="1" t="s">
        <v>13515</v>
      </c>
      <c r="B4841" s="3" t="s">
        <v>8465</v>
      </c>
      <c r="C4841" s="2">
        <f ca="1">IF(ISNUMBER(SEARCH(Лист2!$B$4,D:D)),MAX($C$3:OFFSET(C4841,-1,0))+1,0)</f>
        <v>0</v>
      </c>
      <c r="E4841" s="9" t="str">
        <f t="shared" ca="1" si="87"/>
        <v/>
      </c>
      <c r="F4841" s="4" t="s">
        <v>28</v>
      </c>
      <c r="G4841" s="2">
        <f>IF(ISNUMBER(SEARCH(Лист2!$B$4,F:F)),1,0)</f>
        <v>0</v>
      </c>
      <c r="H4841" s="3">
        <f ca="1">IF(AND(I4841&lt;&gt;I4840,ISNUMBER(SEARCH(Лист2!$B$5,I:I)),G4841=1),MAX($H$3:OFFSET(H4841,-1,0))+1,0)</f>
        <v>0</v>
      </c>
      <c r="I4841" s="3" t="s">
        <v>378</v>
      </c>
      <c r="K4841" s="2">
        <f>IF(ISNUMBER(SEARCH(Лист2!$B$4,F:F)),1,0)</f>
        <v>0</v>
      </c>
      <c r="L4841" s="14">
        <f>IF(ISNUMBER(SEARCH(Лист2!$B$5,I:I)),1,0)+K4841</f>
        <v>0</v>
      </c>
      <c r="M4841" s="3">
        <f ca="1">IF(AND(N4841&lt;&gt;N4840,ISNUMBER(SEARCH(Лист2!$B$6,N:N)),L4841=2),MAX($M$3:OFFSET(M4841,-1,0))+1,0)</f>
        <v>0</v>
      </c>
      <c r="N4841" s="3" t="s">
        <v>2924</v>
      </c>
    </row>
    <row r="4842" spans="1:14" x14ac:dyDescent="0.25">
      <c r="A4842" s="1" t="s">
        <v>13516</v>
      </c>
      <c r="B4842" s="3" t="s">
        <v>8466</v>
      </c>
      <c r="C4842" s="2">
        <f ca="1">IF(ISNUMBER(SEARCH(Лист2!$B$4,D:D)),MAX($C$3:OFFSET(C4842,-1,0))+1,0)</f>
        <v>0</v>
      </c>
      <c r="E4842" s="9" t="str">
        <f t="shared" ca="1" si="87"/>
        <v/>
      </c>
      <c r="F4842" s="4" t="s">
        <v>28</v>
      </c>
      <c r="G4842" s="2">
        <f>IF(ISNUMBER(SEARCH(Лист2!$B$4,F:F)),1,0)</f>
        <v>0</v>
      </c>
      <c r="H4842" s="3">
        <f ca="1">IF(AND(I4842&lt;&gt;I4841,ISNUMBER(SEARCH(Лист2!$B$5,I:I)),G4842=1),MAX($H$3:OFFSET(H4842,-1,0))+1,0)</f>
        <v>0</v>
      </c>
      <c r="I4842" s="3" t="s">
        <v>378</v>
      </c>
      <c r="K4842" s="2">
        <f>IF(ISNUMBER(SEARCH(Лист2!$B$4,F:F)),1,0)</f>
        <v>0</v>
      </c>
      <c r="L4842" s="14">
        <f>IF(ISNUMBER(SEARCH(Лист2!$B$5,I:I)),1,0)+K4842</f>
        <v>0</v>
      </c>
      <c r="M4842" s="3">
        <f ca="1">IF(AND(N4842&lt;&gt;N4841,ISNUMBER(SEARCH(Лист2!$B$6,N:N)),L4842=2),MAX($M$3:OFFSET(M4842,-1,0))+1,0)</f>
        <v>0</v>
      </c>
      <c r="N4842" s="3" t="s">
        <v>2925</v>
      </c>
    </row>
    <row r="4843" spans="1:14" x14ac:dyDescent="0.25">
      <c r="A4843" s="1" t="s">
        <v>13517</v>
      </c>
      <c r="B4843" s="3" t="s">
        <v>8467</v>
      </c>
      <c r="C4843" s="2">
        <f ca="1">IF(ISNUMBER(SEARCH(Лист2!$B$4,D:D)),MAX($C$3:OFFSET(C4843,-1,0))+1,0)</f>
        <v>0</v>
      </c>
      <c r="E4843" s="9" t="str">
        <f t="shared" ca="1" si="87"/>
        <v/>
      </c>
      <c r="F4843" s="4" t="s">
        <v>28</v>
      </c>
      <c r="G4843" s="2">
        <f>IF(ISNUMBER(SEARCH(Лист2!$B$4,F:F)),1,0)</f>
        <v>0</v>
      </c>
      <c r="H4843" s="3">
        <f ca="1">IF(AND(I4843&lt;&gt;I4842,ISNUMBER(SEARCH(Лист2!$B$5,I:I)),G4843=1),MAX($H$3:OFFSET(H4843,-1,0))+1,0)</f>
        <v>0</v>
      </c>
      <c r="I4843" s="3" t="s">
        <v>378</v>
      </c>
      <c r="K4843" s="2">
        <f>IF(ISNUMBER(SEARCH(Лист2!$B$4,F:F)),1,0)</f>
        <v>0</v>
      </c>
      <c r="L4843" s="14">
        <f>IF(ISNUMBER(SEARCH(Лист2!$B$5,I:I)),1,0)+K4843</f>
        <v>0</v>
      </c>
      <c r="M4843" s="3">
        <f ca="1">IF(AND(N4843&lt;&gt;N4842,ISNUMBER(SEARCH(Лист2!$B$6,N:N)),L4843=2),MAX($M$3:OFFSET(M4843,-1,0))+1,0)</f>
        <v>0</v>
      </c>
      <c r="N4843" s="3" t="s">
        <v>2926</v>
      </c>
    </row>
    <row r="4844" spans="1:14" x14ac:dyDescent="0.25">
      <c r="A4844" s="1" t="s">
        <v>13518</v>
      </c>
      <c r="B4844" s="3" t="s">
        <v>8468</v>
      </c>
      <c r="C4844" s="2">
        <f ca="1">IF(ISNUMBER(SEARCH(Лист2!$B$4,D:D)),MAX($C$3:OFFSET(C4844,-1,0))+1,0)</f>
        <v>0</v>
      </c>
      <c r="E4844" s="9" t="str">
        <f t="shared" ca="1" si="87"/>
        <v/>
      </c>
      <c r="F4844" s="4" t="s">
        <v>28</v>
      </c>
      <c r="G4844" s="2">
        <f>IF(ISNUMBER(SEARCH(Лист2!$B$4,F:F)),1,0)</f>
        <v>0</v>
      </c>
      <c r="H4844" s="3">
        <f ca="1">IF(AND(I4844&lt;&gt;I4843,ISNUMBER(SEARCH(Лист2!$B$5,I:I)),G4844=1),MAX($H$3:OFFSET(H4844,-1,0))+1,0)</f>
        <v>0</v>
      </c>
      <c r="I4844" s="3" t="s">
        <v>378</v>
      </c>
      <c r="K4844" s="2">
        <f>IF(ISNUMBER(SEARCH(Лист2!$B$4,F:F)),1,0)</f>
        <v>0</v>
      </c>
      <c r="L4844" s="14">
        <f>IF(ISNUMBER(SEARCH(Лист2!$B$5,I:I)),1,0)+K4844</f>
        <v>0</v>
      </c>
      <c r="M4844" s="3">
        <f ca="1">IF(AND(N4844&lt;&gt;N4843,ISNUMBER(SEARCH(Лист2!$B$6,N:N)),L4844=2),MAX($M$3:OFFSET(M4844,-1,0))+1,0)</f>
        <v>0</v>
      </c>
      <c r="N4844" s="3" t="s">
        <v>602</v>
      </c>
    </row>
    <row r="4845" spans="1:14" x14ac:dyDescent="0.25">
      <c r="A4845" s="1" t="s">
        <v>13519</v>
      </c>
      <c r="B4845" s="3" t="s">
        <v>8469</v>
      </c>
      <c r="C4845" s="2">
        <f ca="1">IF(ISNUMBER(SEARCH(Лист2!$B$4,D:D)),MAX($C$3:OFFSET(C4845,-1,0))+1,0)</f>
        <v>0</v>
      </c>
      <c r="E4845" s="9" t="str">
        <f t="shared" ca="1" si="87"/>
        <v/>
      </c>
      <c r="F4845" s="4" t="s">
        <v>28</v>
      </c>
      <c r="G4845" s="2">
        <f>IF(ISNUMBER(SEARCH(Лист2!$B$4,F:F)),1,0)</f>
        <v>0</v>
      </c>
      <c r="H4845" s="3">
        <f ca="1">IF(AND(I4845&lt;&gt;I4844,ISNUMBER(SEARCH(Лист2!$B$5,I:I)),G4845=1),MAX($H$3:OFFSET(H4845,-1,0))+1,0)</f>
        <v>0</v>
      </c>
      <c r="I4845" s="3" t="s">
        <v>378</v>
      </c>
      <c r="K4845" s="2">
        <f>IF(ISNUMBER(SEARCH(Лист2!$B$4,F:F)),1,0)</f>
        <v>0</v>
      </c>
      <c r="L4845" s="14">
        <f>IF(ISNUMBER(SEARCH(Лист2!$B$5,I:I)),1,0)+K4845</f>
        <v>0</v>
      </c>
      <c r="M4845" s="3">
        <f ca="1">IF(AND(N4845&lt;&gt;N4844,ISNUMBER(SEARCH(Лист2!$B$6,N:N)),L4845=2),MAX($M$3:OFFSET(M4845,-1,0))+1,0)</f>
        <v>0</v>
      </c>
      <c r="N4845" s="3" t="s">
        <v>2937</v>
      </c>
    </row>
    <row r="4846" spans="1:14" x14ac:dyDescent="0.25">
      <c r="A4846" s="1" t="s">
        <v>13520</v>
      </c>
      <c r="B4846" s="3" t="s">
        <v>8470</v>
      </c>
      <c r="C4846" s="2">
        <f ca="1">IF(ISNUMBER(SEARCH(Лист2!$B$4,D:D)),MAX($C$3:OFFSET(C4846,-1,0))+1,0)</f>
        <v>0</v>
      </c>
      <c r="E4846" s="9" t="str">
        <f t="shared" ca="1" si="87"/>
        <v/>
      </c>
      <c r="F4846" s="4" t="s">
        <v>28</v>
      </c>
      <c r="G4846" s="2">
        <f>IF(ISNUMBER(SEARCH(Лист2!$B$4,F:F)),1,0)</f>
        <v>0</v>
      </c>
      <c r="H4846" s="3">
        <f ca="1">IF(AND(I4846&lt;&gt;I4845,ISNUMBER(SEARCH(Лист2!$B$5,I:I)),G4846=1),MAX($H$3:OFFSET(H4846,-1,0))+1,0)</f>
        <v>0</v>
      </c>
      <c r="I4846" s="3" t="s">
        <v>378</v>
      </c>
      <c r="K4846" s="2">
        <f>IF(ISNUMBER(SEARCH(Лист2!$B$4,F:F)),1,0)</f>
        <v>0</v>
      </c>
      <c r="L4846" s="14">
        <f>IF(ISNUMBER(SEARCH(Лист2!$B$5,I:I)),1,0)+K4846</f>
        <v>0</v>
      </c>
      <c r="M4846" s="3">
        <f ca="1">IF(AND(N4846&lt;&gt;N4845,ISNUMBER(SEARCH(Лист2!$B$6,N:N)),L4846=2),MAX($M$3:OFFSET(M4846,-1,0))+1,0)</f>
        <v>0</v>
      </c>
      <c r="N4846" s="3" t="s">
        <v>2938</v>
      </c>
    </row>
    <row r="4847" spans="1:14" x14ac:dyDescent="0.25">
      <c r="A4847" s="1" t="s">
        <v>13521</v>
      </c>
      <c r="B4847" s="3" t="s">
        <v>8471</v>
      </c>
      <c r="C4847" s="2">
        <f ca="1">IF(ISNUMBER(SEARCH(Лист2!$B$4,D:D)),MAX($C$3:OFFSET(C4847,-1,0))+1,0)</f>
        <v>0</v>
      </c>
      <c r="E4847" s="9" t="str">
        <f t="shared" ca="1" si="87"/>
        <v/>
      </c>
      <c r="F4847" s="4" t="s">
        <v>28</v>
      </c>
      <c r="G4847" s="2">
        <f>IF(ISNUMBER(SEARCH(Лист2!$B$4,F:F)),1,0)</f>
        <v>0</v>
      </c>
      <c r="H4847" s="3">
        <f ca="1">IF(AND(I4847&lt;&gt;I4846,ISNUMBER(SEARCH(Лист2!$B$5,I:I)),G4847=1),MAX($H$3:OFFSET(H4847,-1,0))+1,0)</f>
        <v>0</v>
      </c>
      <c r="I4847" s="3" t="s">
        <v>378</v>
      </c>
      <c r="K4847" s="2">
        <f>IF(ISNUMBER(SEARCH(Лист2!$B$4,F:F)),1,0)</f>
        <v>0</v>
      </c>
      <c r="L4847" s="14">
        <f>IF(ISNUMBER(SEARCH(Лист2!$B$5,I:I)),1,0)+K4847</f>
        <v>0</v>
      </c>
      <c r="M4847" s="3">
        <f ca="1">IF(AND(N4847&lt;&gt;N4846,ISNUMBER(SEARCH(Лист2!$B$6,N:N)),L4847=2),MAX($M$3:OFFSET(M4847,-1,0))+1,0)</f>
        <v>0</v>
      </c>
      <c r="N4847" s="3" t="s">
        <v>2929</v>
      </c>
    </row>
    <row r="4848" spans="1:14" x14ac:dyDescent="0.25">
      <c r="A4848" s="1" t="s">
        <v>13522</v>
      </c>
      <c r="B4848" s="3" t="s">
        <v>8472</v>
      </c>
      <c r="C4848" s="2">
        <f ca="1">IF(ISNUMBER(SEARCH(Лист2!$B$4,D:D)),MAX($C$3:OFFSET(C4848,-1,0))+1,0)</f>
        <v>0</v>
      </c>
      <c r="E4848" s="9" t="str">
        <f t="shared" ca="1" si="87"/>
        <v/>
      </c>
      <c r="F4848" s="4" t="s">
        <v>28</v>
      </c>
      <c r="G4848" s="2">
        <f>IF(ISNUMBER(SEARCH(Лист2!$B$4,F:F)),1,0)</f>
        <v>0</v>
      </c>
      <c r="H4848" s="3">
        <f ca="1">IF(AND(I4848&lt;&gt;I4847,ISNUMBER(SEARCH(Лист2!$B$5,I:I)),G4848=1),MAX($H$3:OFFSET(H4848,-1,0))+1,0)</f>
        <v>0</v>
      </c>
      <c r="I4848" s="3" t="s">
        <v>379</v>
      </c>
      <c r="K4848" s="2">
        <f>IF(ISNUMBER(SEARCH(Лист2!$B$4,F:F)),1,0)</f>
        <v>0</v>
      </c>
      <c r="L4848" s="14">
        <f>IF(ISNUMBER(SEARCH(Лист2!$B$5,I:I)),1,0)+K4848</f>
        <v>0</v>
      </c>
      <c r="M4848" s="3">
        <f ca="1">IF(AND(N4848&lt;&gt;N4847,ISNUMBER(SEARCH(Лист2!$B$6,N:N)),L4848=2),MAX($M$3:OFFSET(M4848,-1,0))+1,0)</f>
        <v>0</v>
      </c>
      <c r="N4848" s="3" t="s">
        <v>2939</v>
      </c>
    </row>
    <row r="4849" spans="1:14" x14ac:dyDescent="0.25">
      <c r="A4849" s="1" t="s">
        <v>13523</v>
      </c>
      <c r="B4849" s="3" t="s">
        <v>8473</v>
      </c>
      <c r="C4849" s="2">
        <f ca="1">IF(ISNUMBER(SEARCH(Лист2!$B$4,D:D)),MAX($C$3:OFFSET(C4849,-1,0))+1,0)</f>
        <v>0</v>
      </c>
      <c r="E4849" s="9" t="str">
        <f t="shared" ca="1" si="87"/>
        <v/>
      </c>
      <c r="F4849" s="4" t="s">
        <v>28</v>
      </c>
      <c r="G4849" s="2">
        <f>IF(ISNUMBER(SEARCH(Лист2!$B$4,F:F)),1,0)</f>
        <v>0</v>
      </c>
      <c r="H4849" s="3">
        <f ca="1">IF(AND(I4849&lt;&gt;I4848,ISNUMBER(SEARCH(Лист2!$B$5,I:I)),G4849=1),MAX($H$3:OFFSET(H4849,-1,0))+1,0)</f>
        <v>0</v>
      </c>
      <c r="I4849" s="3" t="s">
        <v>379</v>
      </c>
      <c r="K4849" s="2">
        <f>IF(ISNUMBER(SEARCH(Лист2!$B$4,F:F)),1,0)</f>
        <v>0</v>
      </c>
      <c r="L4849" s="14">
        <f>IF(ISNUMBER(SEARCH(Лист2!$B$5,I:I)),1,0)+K4849</f>
        <v>0</v>
      </c>
      <c r="M4849" s="3">
        <f ca="1">IF(AND(N4849&lt;&gt;N4848,ISNUMBER(SEARCH(Лист2!$B$6,N:N)),L4849=2),MAX($M$3:OFFSET(M4849,-1,0))+1,0)</f>
        <v>0</v>
      </c>
      <c r="N4849" s="3" t="s">
        <v>2940</v>
      </c>
    </row>
    <row r="4850" spans="1:14" x14ac:dyDescent="0.25">
      <c r="A4850" s="1" t="s">
        <v>13524</v>
      </c>
      <c r="B4850" s="3" t="s">
        <v>8474</v>
      </c>
      <c r="C4850" s="2">
        <f ca="1">IF(ISNUMBER(SEARCH(Лист2!$B$4,D:D)),MAX($C$3:OFFSET(C4850,-1,0))+1,0)</f>
        <v>0</v>
      </c>
      <c r="E4850" s="9" t="str">
        <f t="shared" ca="1" si="87"/>
        <v/>
      </c>
      <c r="F4850" s="4" t="s">
        <v>28</v>
      </c>
      <c r="G4850" s="2">
        <f>IF(ISNUMBER(SEARCH(Лист2!$B$4,F:F)),1,0)</f>
        <v>0</v>
      </c>
      <c r="H4850" s="3">
        <f ca="1">IF(AND(I4850&lt;&gt;I4849,ISNUMBER(SEARCH(Лист2!$B$5,I:I)),G4850=1),MAX($H$3:OFFSET(H4850,-1,0))+1,0)</f>
        <v>0</v>
      </c>
      <c r="I4850" s="3" t="s">
        <v>379</v>
      </c>
      <c r="K4850" s="2">
        <f>IF(ISNUMBER(SEARCH(Лист2!$B$4,F:F)),1,0)</f>
        <v>0</v>
      </c>
      <c r="L4850" s="14">
        <f>IF(ISNUMBER(SEARCH(Лист2!$B$5,I:I)),1,0)+K4850</f>
        <v>0</v>
      </c>
      <c r="M4850" s="3">
        <f ca="1">IF(AND(N4850&lt;&gt;N4849,ISNUMBER(SEARCH(Лист2!$B$6,N:N)),L4850=2),MAX($M$3:OFFSET(M4850,-1,0))+1,0)</f>
        <v>0</v>
      </c>
      <c r="N4850" s="3" t="s">
        <v>2923</v>
      </c>
    </row>
    <row r="4851" spans="1:14" x14ac:dyDescent="0.25">
      <c r="A4851" s="1" t="s">
        <v>13525</v>
      </c>
      <c r="B4851" s="3" t="s">
        <v>8475</v>
      </c>
      <c r="C4851" s="2">
        <f ca="1">IF(ISNUMBER(SEARCH(Лист2!$B$4,D:D)),MAX($C$3:OFFSET(C4851,-1,0))+1,0)</f>
        <v>0</v>
      </c>
      <c r="E4851" s="9" t="str">
        <f t="shared" ca="1" si="87"/>
        <v/>
      </c>
      <c r="F4851" s="4" t="s">
        <v>28</v>
      </c>
      <c r="G4851" s="2">
        <f>IF(ISNUMBER(SEARCH(Лист2!$B$4,F:F)),1,0)</f>
        <v>0</v>
      </c>
      <c r="H4851" s="3">
        <f ca="1">IF(AND(I4851&lt;&gt;I4850,ISNUMBER(SEARCH(Лист2!$B$5,I:I)),G4851=1),MAX($H$3:OFFSET(H4851,-1,0))+1,0)</f>
        <v>0</v>
      </c>
      <c r="I4851" s="3" t="s">
        <v>379</v>
      </c>
      <c r="K4851" s="2">
        <f>IF(ISNUMBER(SEARCH(Лист2!$B$4,F:F)),1,0)</f>
        <v>0</v>
      </c>
      <c r="L4851" s="14">
        <f>IF(ISNUMBER(SEARCH(Лист2!$B$5,I:I)),1,0)+K4851</f>
        <v>0</v>
      </c>
      <c r="M4851" s="3">
        <f ca="1">IF(AND(N4851&lt;&gt;N4850,ISNUMBER(SEARCH(Лист2!$B$6,N:N)),L4851=2),MAX($M$3:OFFSET(M4851,-1,0))+1,0)</f>
        <v>0</v>
      </c>
      <c r="N4851" s="3" t="s">
        <v>2936</v>
      </c>
    </row>
    <row r="4852" spans="1:14" x14ac:dyDescent="0.25">
      <c r="A4852" s="1" t="s">
        <v>13526</v>
      </c>
      <c r="B4852" s="3" t="s">
        <v>8476</v>
      </c>
      <c r="C4852" s="2">
        <f ca="1">IF(ISNUMBER(SEARCH(Лист2!$B$4,D:D)),MAX($C$3:OFFSET(C4852,-1,0))+1,0)</f>
        <v>0</v>
      </c>
      <c r="E4852" s="9" t="str">
        <f t="shared" ca="1" si="87"/>
        <v/>
      </c>
      <c r="F4852" s="4" t="s">
        <v>28</v>
      </c>
      <c r="G4852" s="2">
        <f>IF(ISNUMBER(SEARCH(Лист2!$B$4,F:F)),1,0)</f>
        <v>0</v>
      </c>
      <c r="H4852" s="3">
        <f ca="1">IF(AND(I4852&lt;&gt;I4851,ISNUMBER(SEARCH(Лист2!$B$5,I:I)),G4852=1),MAX($H$3:OFFSET(H4852,-1,0))+1,0)</f>
        <v>0</v>
      </c>
      <c r="I4852" s="3" t="s">
        <v>379</v>
      </c>
      <c r="K4852" s="2">
        <f>IF(ISNUMBER(SEARCH(Лист2!$B$4,F:F)),1,0)</f>
        <v>0</v>
      </c>
      <c r="L4852" s="14">
        <f>IF(ISNUMBER(SEARCH(Лист2!$B$5,I:I)),1,0)+K4852</f>
        <v>0</v>
      </c>
      <c r="M4852" s="3">
        <f ca="1">IF(AND(N4852&lt;&gt;N4851,ISNUMBER(SEARCH(Лист2!$B$6,N:N)),L4852=2),MAX($M$3:OFFSET(M4852,-1,0))+1,0)</f>
        <v>0</v>
      </c>
      <c r="N4852" s="3" t="s">
        <v>2925</v>
      </c>
    </row>
    <row r="4853" spans="1:14" x14ac:dyDescent="0.25">
      <c r="A4853" s="1" t="s">
        <v>13527</v>
      </c>
      <c r="B4853" s="3" t="s">
        <v>8477</v>
      </c>
      <c r="C4853" s="2">
        <f ca="1">IF(ISNUMBER(SEARCH(Лист2!$B$4,D:D)),MAX($C$3:OFFSET(C4853,-1,0))+1,0)</f>
        <v>0</v>
      </c>
      <c r="E4853" s="9" t="str">
        <f t="shared" ca="1" si="87"/>
        <v/>
      </c>
      <c r="F4853" s="4" t="s">
        <v>28</v>
      </c>
      <c r="G4853" s="2">
        <f>IF(ISNUMBER(SEARCH(Лист2!$B$4,F:F)),1,0)</f>
        <v>0</v>
      </c>
      <c r="H4853" s="3">
        <f ca="1">IF(AND(I4853&lt;&gt;I4852,ISNUMBER(SEARCH(Лист2!$B$5,I:I)),G4853=1),MAX($H$3:OFFSET(H4853,-1,0))+1,0)</f>
        <v>0</v>
      </c>
      <c r="I4853" s="3" t="s">
        <v>379</v>
      </c>
      <c r="K4853" s="2">
        <f>IF(ISNUMBER(SEARCH(Лист2!$B$4,F:F)),1,0)</f>
        <v>0</v>
      </c>
      <c r="L4853" s="14">
        <f>IF(ISNUMBER(SEARCH(Лист2!$B$5,I:I)),1,0)+K4853</f>
        <v>0</v>
      </c>
      <c r="M4853" s="3">
        <f ca="1">IF(AND(N4853&lt;&gt;N4852,ISNUMBER(SEARCH(Лист2!$B$6,N:N)),L4853=2),MAX($M$3:OFFSET(M4853,-1,0))+1,0)</f>
        <v>0</v>
      </c>
      <c r="N4853" s="3" t="s">
        <v>602</v>
      </c>
    </row>
    <row r="4854" spans="1:14" x14ac:dyDescent="0.25">
      <c r="A4854" s="1" t="s">
        <v>13528</v>
      </c>
      <c r="B4854" s="3" t="s">
        <v>8478</v>
      </c>
      <c r="C4854" s="2">
        <f ca="1">IF(ISNUMBER(SEARCH(Лист2!$B$4,D:D)),MAX($C$3:OFFSET(C4854,-1,0))+1,0)</f>
        <v>0</v>
      </c>
      <c r="E4854" s="9" t="str">
        <f t="shared" ca="1" si="87"/>
        <v/>
      </c>
      <c r="F4854" s="4" t="s">
        <v>28</v>
      </c>
      <c r="G4854" s="2">
        <f>IF(ISNUMBER(SEARCH(Лист2!$B$4,F:F)),1,0)</f>
        <v>0</v>
      </c>
      <c r="H4854" s="3">
        <f ca="1">IF(AND(I4854&lt;&gt;I4853,ISNUMBER(SEARCH(Лист2!$B$5,I:I)),G4854=1),MAX($H$3:OFFSET(H4854,-1,0))+1,0)</f>
        <v>0</v>
      </c>
      <c r="I4854" s="3" t="s">
        <v>379</v>
      </c>
      <c r="K4854" s="2">
        <f>IF(ISNUMBER(SEARCH(Лист2!$B$4,F:F)),1,0)</f>
        <v>0</v>
      </c>
      <c r="L4854" s="14">
        <f>IF(ISNUMBER(SEARCH(Лист2!$B$5,I:I)),1,0)+K4854</f>
        <v>0</v>
      </c>
      <c r="M4854" s="3">
        <f ca="1">IF(AND(N4854&lt;&gt;N4853,ISNUMBER(SEARCH(Лист2!$B$6,N:N)),L4854=2),MAX($M$3:OFFSET(M4854,-1,0))+1,0)</f>
        <v>0</v>
      </c>
      <c r="N4854" s="3" t="s">
        <v>2941</v>
      </c>
    </row>
    <row r="4855" spans="1:14" x14ac:dyDescent="0.25">
      <c r="A4855" s="1" t="s">
        <v>13529</v>
      </c>
      <c r="B4855" s="3" t="s">
        <v>8479</v>
      </c>
      <c r="C4855" s="2">
        <f ca="1">IF(ISNUMBER(SEARCH(Лист2!$B$4,D:D)),MAX($C$3:OFFSET(C4855,-1,0))+1,0)</f>
        <v>0</v>
      </c>
      <c r="E4855" s="9" t="str">
        <f t="shared" ca="1" si="87"/>
        <v/>
      </c>
      <c r="F4855" s="4" t="s">
        <v>28</v>
      </c>
      <c r="G4855" s="2">
        <f>IF(ISNUMBER(SEARCH(Лист2!$B$4,F:F)),1,0)</f>
        <v>0</v>
      </c>
      <c r="H4855" s="3">
        <f ca="1">IF(AND(I4855&lt;&gt;I4854,ISNUMBER(SEARCH(Лист2!$B$5,I:I)),G4855=1),MAX($H$3:OFFSET(H4855,-1,0))+1,0)</f>
        <v>0</v>
      </c>
      <c r="I4855" s="3" t="s">
        <v>379</v>
      </c>
      <c r="K4855" s="2">
        <f>IF(ISNUMBER(SEARCH(Лист2!$B$4,F:F)),1,0)</f>
        <v>0</v>
      </c>
      <c r="L4855" s="14">
        <f>IF(ISNUMBER(SEARCH(Лист2!$B$5,I:I)),1,0)+K4855</f>
        <v>0</v>
      </c>
      <c r="M4855" s="3">
        <f ca="1">IF(AND(N4855&lt;&gt;N4854,ISNUMBER(SEARCH(Лист2!$B$6,N:N)),L4855=2),MAX($M$3:OFFSET(M4855,-1,0))+1,0)</f>
        <v>0</v>
      </c>
      <c r="N4855" s="3" t="s">
        <v>2942</v>
      </c>
    </row>
    <row r="4856" spans="1:14" x14ac:dyDescent="0.25">
      <c r="A4856" s="1" t="s">
        <v>13530</v>
      </c>
      <c r="B4856" s="3" t="s">
        <v>8480</v>
      </c>
      <c r="C4856" s="2">
        <f ca="1">IF(ISNUMBER(SEARCH(Лист2!$B$4,D:D)),MAX($C$3:OFFSET(C4856,-1,0))+1,0)</f>
        <v>0</v>
      </c>
      <c r="E4856" s="9" t="str">
        <f t="shared" ca="1" si="87"/>
        <v/>
      </c>
      <c r="F4856" s="4" t="s">
        <v>28</v>
      </c>
      <c r="G4856" s="2">
        <f>IF(ISNUMBER(SEARCH(Лист2!$B$4,F:F)),1,0)</f>
        <v>0</v>
      </c>
      <c r="H4856" s="3">
        <f ca="1">IF(AND(I4856&lt;&gt;I4855,ISNUMBER(SEARCH(Лист2!$B$5,I:I)),G4856=1),MAX($H$3:OFFSET(H4856,-1,0))+1,0)</f>
        <v>0</v>
      </c>
      <c r="I4856" s="3" t="s">
        <v>379</v>
      </c>
      <c r="K4856" s="2">
        <f>IF(ISNUMBER(SEARCH(Лист2!$B$4,F:F)),1,0)</f>
        <v>0</v>
      </c>
      <c r="L4856" s="14">
        <f>IF(ISNUMBER(SEARCH(Лист2!$B$5,I:I)),1,0)+K4856</f>
        <v>0</v>
      </c>
      <c r="M4856" s="3">
        <f ca="1">IF(AND(N4856&lt;&gt;N4855,ISNUMBER(SEARCH(Лист2!$B$6,N:N)),L4856=2),MAX($M$3:OFFSET(M4856,-1,0))+1,0)</f>
        <v>0</v>
      </c>
      <c r="N4856" s="3" t="s">
        <v>2929</v>
      </c>
    </row>
    <row r="4857" spans="1:14" x14ac:dyDescent="0.25">
      <c r="A4857" s="1" t="s">
        <v>13531</v>
      </c>
      <c r="B4857" s="3" t="s">
        <v>8481</v>
      </c>
      <c r="C4857" s="2">
        <f ca="1">IF(ISNUMBER(SEARCH(Лист2!$B$4,D:D)),MAX($C$3:OFFSET(C4857,-1,0))+1,0)</f>
        <v>0</v>
      </c>
      <c r="E4857" s="9" t="str">
        <f t="shared" ca="1" si="87"/>
        <v/>
      </c>
      <c r="F4857" s="4" t="s">
        <v>28</v>
      </c>
      <c r="G4857" s="2">
        <f>IF(ISNUMBER(SEARCH(Лист2!$B$4,F:F)),1,0)</f>
        <v>0</v>
      </c>
      <c r="H4857" s="3">
        <f ca="1">IF(AND(I4857&lt;&gt;I4856,ISNUMBER(SEARCH(Лист2!$B$5,I:I)),G4857=1),MAX($H$3:OFFSET(H4857,-1,0))+1,0)</f>
        <v>0</v>
      </c>
      <c r="I4857" s="3" t="s">
        <v>380</v>
      </c>
      <c r="K4857" s="2">
        <f>IF(ISNUMBER(SEARCH(Лист2!$B$4,F:F)),1,0)</f>
        <v>0</v>
      </c>
      <c r="L4857" s="14">
        <f>IF(ISNUMBER(SEARCH(Лист2!$B$5,I:I)),1,0)+K4857</f>
        <v>0</v>
      </c>
      <c r="M4857" s="3">
        <f ca="1">IF(AND(N4857&lt;&gt;N4856,ISNUMBER(SEARCH(Лист2!$B$6,N:N)),L4857=2),MAX($M$3:OFFSET(M4857,-1,0))+1,0)</f>
        <v>0</v>
      </c>
      <c r="N4857" s="3" t="s">
        <v>2943</v>
      </c>
    </row>
    <row r="4858" spans="1:14" x14ac:dyDescent="0.25">
      <c r="A4858" s="1" t="s">
        <v>13532</v>
      </c>
      <c r="B4858" s="3" t="s">
        <v>8482</v>
      </c>
      <c r="C4858" s="2">
        <f ca="1">IF(ISNUMBER(SEARCH(Лист2!$B$4,D:D)),MAX($C$3:OFFSET(C4858,-1,0))+1,0)</f>
        <v>0</v>
      </c>
      <c r="E4858" s="9" t="str">
        <f t="shared" ca="1" si="87"/>
        <v/>
      </c>
      <c r="F4858" s="4" t="s">
        <v>28</v>
      </c>
      <c r="G4858" s="2">
        <f>IF(ISNUMBER(SEARCH(Лист2!$B$4,F:F)),1,0)</f>
        <v>0</v>
      </c>
      <c r="H4858" s="3">
        <f ca="1">IF(AND(I4858&lt;&gt;I4857,ISNUMBER(SEARCH(Лист2!$B$5,I:I)),G4858=1),MAX($H$3:OFFSET(H4858,-1,0))+1,0)</f>
        <v>0</v>
      </c>
      <c r="I4858" s="3" t="s">
        <v>380</v>
      </c>
      <c r="K4858" s="2">
        <f>IF(ISNUMBER(SEARCH(Лист2!$B$4,F:F)),1,0)</f>
        <v>0</v>
      </c>
      <c r="L4858" s="14">
        <f>IF(ISNUMBER(SEARCH(Лист2!$B$5,I:I)),1,0)+K4858</f>
        <v>0</v>
      </c>
      <c r="M4858" s="3">
        <f ca="1">IF(AND(N4858&lt;&gt;N4857,ISNUMBER(SEARCH(Лист2!$B$6,N:N)),L4858=2),MAX($M$3:OFFSET(M4858,-1,0))+1,0)</f>
        <v>0</v>
      </c>
      <c r="N4858" s="3" t="s">
        <v>2944</v>
      </c>
    </row>
    <row r="4859" spans="1:14" x14ac:dyDescent="0.25">
      <c r="A4859" s="1" t="s">
        <v>13533</v>
      </c>
      <c r="B4859" s="3" t="s">
        <v>8483</v>
      </c>
      <c r="C4859" s="2">
        <f ca="1">IF(ISNUMBER(SEARCH(Лист2!$B$4,D:D)),MAX($C$3:OFFSET(C4859,-1,0))+1,0)</f>
        <v>0</v>
      </c>
      <c r="E4859" s="9" t="str">
        <f t="shared" ca="1" si="87"/>
        <v/>
      </c>
      <c r="F4859" s="4" t="s">
        <v>28</v>
      </c>
      <c r="G4859" s="2">
        <f>IF(ISNUMBER(SEARCH(Лист2!$B$4,F:F)),1,0)</f>
        <v>0</v>
      </c>
      <c r="H4859" s="3">
        <f ca="1">IF(AND(I4859&lt;&gt;I4858,ISNUMBER(SEARCH(Лист2!$B$5,I:I)),G4859=1),MAX($H$3:OFFSET(H4859,-1,0))+1,0)</f>
        <v>0</v>
      </c>
      <c r="I4859" s="3" t="s">
        <v>380</v>
      </c>
      <c r="K4859" s="2">
        <f>IF(ISNUMBER(SEARCH(Лист2!$B$4,F:F)),1,0)</f>
        <v>0</v>
      </c>
      <c r="L4859" s="14">
        <f>IF(ISNUMBER(SEARCH(Лист2!$B$5,I:I)),1,0)+K4859</f>
        <v>0</v>
      </c>
      <c r="M4859" s="3">
        <f ca="1">IF(AND(N4859&lt;&gt;N4858,ISNUMBER(SEARCH(Лист2!$B$6,N:N)),L4859=2),MAX($M$3:OFFSET(M4859,-1,0))+1,0)</f>
        <v>0</v>
      </c>
      <c r="N4859" s="3" t="s">
        <v>2923</v>
      </c>
    </row>
    <row r="4860" spans="1:14" x14ac:dyDescent="0.25">
      <c r="A4860" s="1" t="s">
        <v>13534</v>
      </c>
      <c r="B4860" s="3" t="s">
        <v>8484</v>
      </c>
      <c r="C4860" s="2">
        <f ca="1">IF(ISNUMBER(SEARCH(Лист2!$B$4,D:D)),MAX($C$3:OFFSET(C4860,-1,0))+1,0)</f>
        <v>0</v>
      </c>
      <c r="E4860" s="9" t="str">
        <f t="shared" ca="1" si="87"/>
        <v/>
      </c>
      <c r="F4860" s="4" t="s">
        <v>28</v>
      </c>
      <c r="G4860" s="2">
        <f>IF(ISNUMBER(SEARCH(Лист2!$B$4,F:F)),1,0)</f>
        <v>0</v>
      </c>
      <c r="H4860" s="3">
        <f ca="1">IF(AND(I4860&lt;&gt;I4859,ISNUMBER(SEARCH(Лист2!$B$5,I:I)),G4860=1),MAX($H$3:OFFSET(H4860,-1,0))+1,0)</f>
        <v>0</v>
      </c>
      <c r="I4860" s="3" t="s">
        <v>380</v>
      </c>
      <c r="K4860" s="2">
        <f>IF(ISNUMBER(SEARCH(Лист2!$B$4,F:F)),1,0)</f>
        <v>0</v>
      </c>
      <c r="L4860" s="14">
        <f>IF(ISNUMBER(SEARCH(Лист2!$B$5,I:I)),1,0)+K4860</f>
        <v>0</v>
      </c>
      <c r="M4860" s="3">
        <f ca="1">IF(AND(N4860&lt;&gt;N4859,ISNUMBER(SEARCH(Лист2!$B$6,N:N)),L4860=2),MAX($M$3:OFFSET(M4860,-1,0))+1,0)</f>
        <v>0</v>
      </c>
      <c r="N4860" s="3" t="s">
        <v>2936</v>
      </c>
    </row>
    <row r="4861" spans="1:14" x14ac:dyDescent="0.25">
      <c r="A4861" s="1" t="s">
        <v>13535</v>
      </c>
      <c r="B4861" s="3" t="s">
        <v>8485</v>
      </c>
      <c r="C4861" s="2">
        <f ca="1">IF(ISNUMBER(SEARCH(Лист2!$B$4,D:D)),MAX($C$3:OFFSET(C4861,-1,0))+1,0)</f>
        <v>0</v>
      </c>
      <c r="E4861" s="9" t="str">
        <f t="shared" ca="1" si="87"/>
        <v/>
      </c>
      <c r="F4861" s="4" t="s">
        <v>28</v>
      </c>
      <c r="G4861" s="2">
        <f>IF(ISNUMBER(SEARCH(Лист2!$B$4,F:F)),1,0)</f>
        <v>0</v>
      </c>
      <c r="H4861" s="3">
        <f ca="1">IF(AND(I4861&lt;&gt;I4860,ISNUMBER(SEARCH(Лист2!$B$5,I:I)),G4861=1),MAX($H$3:OFFSET(H4861,-1,0))+1,0)</f>
        <v>0</v>
      </c>
      <c r="I4861" s="3" t="s">
        <v>380</v>
      </c>
      <c r="K4861" s="2">
        <f>IF(ISNUMBER(SEARCH(Лист2!$B$4,F:F)),1,0)</f>
        <v>0</v>
      </c>
      <c r="L4861" s="14">
        <f>IF(ISNUMBER(SEARCH(Лист2!$B$5,I:I)),1,0)+K4861</f>
        <v>0</v>
      </c>
      <c r="M4861" s="3">
        <f ca="1">IF(AND(N4861&lt;&gt;N4860,ISNUMBER(SEARCH(Лист2!$B$6,N:N)),L4861=2),MAX($M$3:OFFSET(M4861,-1,0))+1,0)</f>
        <v>0</v>
      </c>
      <c r="N4861" s="3" t="s">
        <v>2925</v>
      </c>
    </row>
    <row r="4862" spans="1:14" x14ac:dyDescent="0.25">
      <c r="A4862" s="1" t="s">
        <v>13536</v>
      </c>
      <c r="B4862" s="3" t="s">
        <v>8486</v>
      </c>
      <c r="C4862" s="2">
        <f ca="1">IF(ISNUMBER(SEARCH(Лист2!$B$4,D:D)),MAX($C$3:OFFSET(C4862,-1,0))+1,0)</f>
        <v>0</v>
      </c>
      <c r="E4862" s="9" t="str">
        <f t="shared" ca="1" si="87"/>
        <v/>
      </c>
      <c r="F4862" s="4" t="s">
        <v>28</v>
      </c>
      <c r="G4862" s="2">
        <f>IF(ISNUMBER(SEARCH(Лист2!$B$4,F:F)),1,0)</f>
        <v>0</v>
      </c>
      <c r="H4862" s="3">
        <f ca="1">IF(AND(I4862&lt;&gt;I4861,ISNUMBER(SEARCH(Лист2!$B$5,I:I)),G4862=1),MAX($H$3:OFFSET(H4862,-1,0))+1,0)</f>
        <v>0</v>
      </c>
      <c r="I4862" s="3" t="s">
        <v>380</v>
      </c>
      <c r="K4862" s="2">
        <f>IF(ISNUMBER(SEARCH(Лист2!$B$4,F:F)),1,0)</f>
        <v>0</v>
      </c>
      <c r="L4862" s="14">
        <f>IF(ISNUMBER(SEARCH(Лист2!$B$5,I:I)),1,0)+K4862</f>
        <v>0</v>
      </c>
      <c r="M4862" s="3">
        <f ca="1">IF(AND(N4862&lt;&gt;N4861,ISNUMBER(SEARCH(Лист2!$B$6,N:N)),L4862=2),MAX($M$3:OFFSET(M4862,-1,0))+1,0)</f>
        <v>0</v>
      </c>
      <c r="N4862" s="3" t="s">
        <v>602</v>
      </c>
    </row>
    <row r="4863" spans="1:14" x14ac:dyDescent="0.25">
      <c r="A4863" s="1" t="s">
        <v>13537</v>
      </c>
      <c r="B4863" s="3" t="s">
        <v>8487</v>
      </c>
      <c r="C4863" s="2">
        <f ca="1">IF(ISNUMBER(SEARCH(Лист2!$B$4,D:D)),MAX($C$3:OFFSET(C4863,-1,0))+1,0)</f>
        <v>0</v>
      </c>
      <c r="E4863" s="9" t="str">
        <f t="shared" ca="1" si="87"/>
        <v/>
      </c>
      <c r="F4863" s="4" t="s">
        <v>28</v>
      </c>
      <c r="G4863" s="2">
        <f>IF(ISNUMBER(SEARCH(Лист2!$B$4,F:F)),1,0)</f>
        <v>0</v>
      </c>
      <c r="H4863" s="3">
        <f ca="1">IF(AND(I4863&lt;&gt;I4862,ISNUMBER(SEARCH(Лист2!$B$5,I:I)),G4863=1),MAX($H$3:OFFSET(H4863,-1,0))+1,0)</f>
        <v>0</v>
      </c>
      <c r="I4863" s="3" t="s">
        <v>380</v>
      </c>
      <c r="K4863" s="2">
        <f>IF(ISNUMBER(SEARCH(Лист2!$B$4,F:F)),1,0)</f>
        <v>0</v>
      </c>
      <c r="L4863" s="14">
        <f>IF(ISNUMBER(SEARCH(Лист2!$B$5,I:I)),1,0)+K4863</f>
        <v>0</v>
      </c>
      <c r="M4863" s="3">
        <f ca="1">IF(AND(N4863&lt;&gt;N4862,ISNUMBER(SEARCH(Лист2!$B$6,N:N)),L4863=2),MAX($M$3:OFFSET(M4863,-1,0))+1,0)</f>
        <v>0</v>
      </c>
      <c r="N4863" s="3" t="s">
        <v>2945</v>
      </c>
    </row>
    <row r="4864" spans="1:14" x14ac:dyDescent="0.25">
      <c r="A4864" s="1" t="s">
        <v>13538</v>
      </c>
      <c r="B4864" s="3" t="s">
        <v>8488</v>
      </c>
      <c r="C4864" s="2">
        <f ca="1">IF(ISNUMBER(SEARCH(Лист2!$B$4,D:D)),MAX($C$3:OFFSET(C4864,-1,0))+1,0)</f>
        <v>0</v>
      </c>
      <c r="E4864" s="9" t="str">
        <f t="shared" ca="1" si="87"/>
        <v/>
      </c>
      <c r="F4864" s="4" t="s">
        <v>28</v>
      </c>
      <c r="G4864" s="2">
        <f>IF(ISNUMBER(SEARCH(Лист2!$B$4,F:F)),1,0)</f>
        <v>0</v>
      </c>
      <c r="H4864" s="3">
        <f ca="1">IF(AND(I4864&lt;&gt;I4863,ISNUMBER(SEARCH(Лист2!$B$5,I:I)),G4864=1),MAX($H$3:OFFSET(H4864,-1,0))+1,0)</f>
        <v>0</v>
      </c>
      <c r="I4864" s="3" t="s">
        <v>380</v>
      </c>
      <c r="K4864" s="2">
        <f>IF(ISNUMBER(SEARCH(Лист2!$B$4,F:F)),1,0)</f>
        <v>0</v>
      </c>
      <c r="L4864" s="14">
        <f>IF(ISNUMBER(SEARCH(Лист2!$B$5,I:I)),1,0)+K4864</f>
        <v>0</v>
      </c>
      <c r="M4864" s="3">
        <f ca="1">IF(AND(N4864&lt;&gt;N4863,ISNUMBER(SEARCH(Лист2!$B$6,N:N)),L4864=2),MAX($M$3:OFFSET(M4864,-1,0))+1,0)</f>
        <v>0</v>
      </c>
      <c r="N4864" s="3" t="s">
        <v>2946</v>
      </c>
    </row>
    <row r="4865" spans="1:14" x14ac:dyDescent="0.25">
      <c r="A4865" s="1" t="s">
        <v>13539</v>
      </c>
      <c r="B4865" s="3" t="s">
        <v>8489</v>
      </c>
      <c r="C4865" s="2">
        <f ca="1">IF(ISNUMBER(SEARCH(Лист2!$B$4,D:D)),MAX($C$3:OFFSET(C4865,-1,0))+1,0)</f>
        <v>0</v>
      </c>
      <c r="E4865" s="9" t="str">
        <f t="shared" ca="1" si="87"/>
        <v/>
      </c>
      <c r="F4865" s="4" t="s">
        <v>28</v>
      </c>
      <c r="G4865" s="2">
        <f>IF(ISNUMBER(SEARCH(Лист2!$B$4,F:F)),1,0)</f>
        <v>0</v>
      </c>
      <c r="H4865" s="3">
        <f ca="1">IF(AND(I4865&lt;&gt;I4864,ISNUMBER(SEARCH(Лист2!$B$5,I:I)),G4865=1),MAX($H$3:OFFSET(H4865,-1,0))+1,0)</f>
        <v>0</v>
      </c>
      <c r="I4865" s="3" t="s">
        <v>380</v>
      </c>
      <c r="K4865" s="2">
        <f>IF(ISNUMBER(SEARCH(Лист2!$B$4,F:F)),1,0)</f>
        <v>0</v>
      </c>
      <c r="L4865" s="14">
        <f>IF(ISNUMBER(SEARCH(Лист2!$B$5,I:I)),1,0)+K4865</f>
        <v>0</v>
      </c>
      <c r="M4865" s="3">
        <f ca="1">IF(AND(N4865&lt;&gt;N4864,ISNUMBER(SEARCH(Лист2!$B$6,N:N)),L4865=2),MAX($M$3:OFFSET(M4865,-1,0))+1,0)</f>
        <v>0</v>
      </c>
      <c r="N4865" s="3" t="s">
        <v>2929</v>
      </c>
    </row>
    <row r="4866" spans="1:14" x14ac:dyDescent="0.25">
      <c r="A4866" s="1" t="s">
        <v>13540</v>
      </c>
      <c r="B4866" s="3" t="s">
        <v>8490</v>
      </c>
      <c r="C4866" s="2">
        <f ca="1">IF(ISNUMBER(SEARCH(Лист2!$B$4,D:D)),MAX($C$3:OFFSET(C4866,-1,0))+1,0)</f>
        <v>0</v>
      </c>
      <c r="E4866" s="9" t="str">
        <f t="shared" ca="1" si="87"/>
        <v/>
      </c>
      <c r="F4866" s="4" t="s">
        <v>28</v>
      </c>
      <c r="G4866" s="2">
        <f>IF(ISNUMBER(SEARCH(Лист2!$B$4,F:F)),1,0)</f>
        <v>0</v>
      </c>
      <c r="H4866" s="3">
        <f ca="1">IF(AND(I4866&lt;&gt;I4865,ISNUMBER(SEARCH(Лист2!$B$5,I:I)),G4866=1),MAX($H$3:OFFSET(H4866,-1,0))+1,0)</f>
        <v>0</v>
      </c>
      <c r="I4866" s="3" t="s">
        <v>381</v>
      </c>
      <c r="K4866" s="2">
        <f>IF(ISNUMBER(SEARCH(Лист2!$B$4,F:F)),1,0)</f>
        <v>0</v>
      </c>
      <c r="L4866" s="14">
        <f>IF(ISNUMBER(SEARCH(Лист2!$B$5,I:I)),1,0)+K4866</f>
        <v>0</v>
      </c>
      <c r="M4866" s="3">
        <f ca="1">IF(AND(N4866&lt;&gt;N4865,ISNUMBER(SEARCH(Лист2!$B$6,N:N)),L4866=2),MAX($M$3:OFFSET(M4866,-1,0))+1,0)</f>
        <v>0</v>
      </c>
      <c r="N4866" s="3" t="s">
        <v>2947</v>
      </c>
    </row>
    <row r="4867" spans="1:14" x14ac:dyDescent="0.25">
      <c r="A4867" s="1" t="s">
        <v>13541</v>
      </c>
      <c r="B4867" s="3" t="s">
        <v>8491</v>
      </c>
      <c r="C4867" s="2">
        <f ca="1">IF(ISNUMBER(SEARCH(Лист2!$B$4,D:D)),MAX($C$3:OFFSET(C4867,-1,0))+1,0)</f>
        <v>0</v>
      </c>
      <c r="E4867" s="9" t="str">
        <f t="shared" ca="1" si="87"/>
        <v/>
      </c>
      <c r="F4867" s="4" t="s">
        <v>28</v>
      </c>
      <c r="G4867" s="2">
        <f>IF(ISNUMBER(SEARCH(Лист2!$B$4,F:F)),1,0)</f>
        <v>0</v>
      </c>
      <c r="H4867" s="3">
        <f ca="1">IF(AND(I4867&lt;&gt;I4866,ISNUMBER(SEARCH(Лист2!$B$5,I:I)),G4867=1),MAX($H$3:OFFSET(H4867,-1,0))+1,0)</f>
        <v>0</v>
      </c>
      <c r="I4867" s="3" t="s">
        <v>381</v>
      </c>
      <c r="K4867" s="2">
        <f>IF(ISNUMBER(SEARCH(Лист2!$B$4,F:F)),1,0)</f>
        <v>0</v>
      </c>
      <c r="L4867" s="14">
        <f>IF(ISNUMBER(SEARCH(Лист2!$B$5,I:I)),1,0)+K4867</f>
        <v>0</v>
      </c>
      <c r="M4867" s="3">
        <f ca="1">IF(AND(N4867&lt;&gt;N4866,ISNUMBER(SEARCH(Лист2!$B$6,N:N)),L4867=2),MAX($M$3:OFFSET(M4867,-1,0))+1,0)</f>
        <v>0</v>
      </c>
      <c r="N4867" s="3" t="s">
        <v>2948</v>
      </c>
    </row>
    <row r="4868" spans="1:14" x14ac:dyDescent="0.25">
      <c r="A4868" s="1" t="s">
        <v>13542</v>
      </c>
      <c r="B4868" s="3" t="s">
        <v>8492</v>
      </c>
      <c r="C4868" s="2">
        <f ca="1">IF(ISNUMBER(SEARCH(Лист2!$B$4,D:D)),MAX($C$3:OFFSET(C4868,-1,0))+1,0)</f>
        <v>0</v>
      </c>
      <c r="E4868" s="9" t="str">
        <f t="shared" ca="1" si="87"/>
        <v/>
      </c>
      <c r="F4868" s="4" t="s">
        <v>28</v>
      </c>
      <c r="G4868" s="2">
        <f>IF(ISNUMBER(SEARCH(Лист2!$B$4,F:F)),1,0)</f>
        <v>0</v>
      </c>
      <c r="H4868" s="3">
        <f ca="1">IF(AND(I4868&lt;&gt;I4867,ISNUMBER(SEARCH(Лист2!$B$5,I:I)),G4868=1),MAX($H$3:OFFSET(H4868,-1,0))+1,0)</f>
        <v>0</v>
      </c>
      <c r="I4868" s="3" t="s">
        <v>381</v>
      </c>
      <c r="K4868" s="2">
        <f>IF(ISNUMBER(SEARCH(Лист2!$B$4,F:F)),1,0)</f>
        <v>0</v>
      </c>
      <c r="L4868" s="14">
        <f>IF(ISNUMBER(SEARCH(Лист2!$B$5,I:I)),1,0)+K4868</f>
        <v>0</v>
      </c>
      <c r="M4868" s="3">
        <f ca="1">IF(AND(N4868&lt;&gt;N4867,ISNUMBER(SEARCH(Лист2!$B$6,N:N)),L4868=2),MAX($M$3:OFFSET(M4868,-1,0))+1,0)</f>
        <v>0</v>
      </c>
      <c r="N4868" s="3" t="s">
        <v>2923</v>
      </c>
    </row>
    <row r="4869" spans="1:14" x14ac:dyDescent="0.25">
      <c r="A4869" s="1" t="s">
        <v>13543</v>
      </c>
      <c r="B4869" s="3" t="s">
        <v>8493</v>
      </c>
      <c r="C4869" s="2">
        <f ca="1">IF(ISNUMBER(SEARCH(Лист2!$B$4,D:D)),MAX($C$3:OFFSET(C4869,-1,0))+1,0)</f>
        <v>0</v>
      </c>
      <c r="E4869" s="9" t="str">
        <f t="shared" ref="E4869:E4932" ca="1" si="88">IFERROR(INDEX(D:D,MATCH(ROW(E4869)-ROW($E$3),C:C,0)),"")</f>
        <v/>
      </c>
      <c r="F4869" s="4" t="s">
        <v>28</v>
      </c>
      <c r="G4869" s="2">
        <f>IF(ISNUMBER(SEARCH(Лист2!$B$4,F:F)),1,0)</f>
        <v>0</v>
      </c>
      <c r="H4869" s="3">
        <f ca="1">IF(AND(I4869&lt;&gt;I4868,ISNUMBER(SEARCH(Лист2!$B$5,I:I)),G4869=1),MAX($H$3:OFFSET(H4869,-1,0))+1,0)</f>
        <v>0</v>
      </c>
      <c r="I4869" s="3" t="s">
        <v>381</v>
      </c>
      <c r="K4869" s="2">
        <f>IF(ISNUMBER(SEARCH(Лист2!$B$4,F:F)),1,0)</f>
        <v>0</v>
      </c>
      <c r="L4869" s="14">
        <f>IF(ISNUMBER(SEARCH(Лист2!$B$5,I:I)),1,0)+K4869</f>
        <v>0</v>
      </c>
      <c r="M4869" s="3">
        <f ca="1">IF(AND(N4869&lt;&gt;N4868,ISNUMBER(SEARCH(Лист2!$B$6,N:N)),L4869=2),MAX($M$3:OFFSET(M4869,-1,0))+1,0)</f>
        <v>0</v>
      </c>
      <c r="N4869" s="3" t="s">
        <v>2924</v>
      </c>
    </row>
    <row r="4870" spans="1:14" x14ac:dyDescent="0.25">
      <c r="A4870" s="1" t="s">
        <v>13544</v>
      </c>
      <c r="B4870" s="3" t="s">
        <v>8494</v>
      </c>
      <c r="C4870" s="2">
        <f ca="1">IF(ISNUMBER(SEARCH(Лист2!$B$4,D:D)),MAX($C$3:OFFSET(C4870,-1,0))+1,0)</f>
        <v>0</v>
      </c>
      <c r="E4870" s="9" t="str">
        <f t="shared" ca="1" si="88"/>
        <v/>
      </c>
      <c r="F4870" s="4" t="s">
        <v>28</v>
      </c>
      <c r="G4870" s="2">
        <f>IF(ISNUMBER(SEARCH(Лист2!$B$4,F:F)),1,0)</f>
        <v>0</v>
      </c>
      <c r="H4870" s="3">
        <f ca="1">IF(AND(I4870&lt;&gt;I4869,ISNUMBER(SEARCH(Лист2!$B$5,I:I)),G4870=1),MAX($H$3:OFFSET(H4870,-1,0))+1,0)</f>
        <v>0</v>
      </c>
      <c r="I4870" s="3" t="s">
        <v>381</v>
      </c>
      <c r="K4870" s="2">
        <f>IF(ISNUMBER(SEARCH(Лист2!$B$4,F:F)),1,0)</f>
        <v>0</v>
      </c>
      <c r="L4870" s="14">
        <f>IF(ISNUMBER(SEARCH(Лист2!$B$5,I:I)),1,0)+K4870</f>
        <v>0</v>
      </c>
      <c r="M4870" s="3">
        <f ca="1">IF(AND(N4870&lt;&gt;N4869,ISNUMBER(SEARCH(Лист2!$B$6,N:N)),L4870=2),MAX($M$3:OFFSET(M4870,-1,0))+1,0)</f>
        <v>0</v>
      </c>
      <c r="N4870" s="3" t="s">
        <v>2925</v>
      </c>
    </row>
    <row r="4871" spans="1:14" x14ac:dyDescent="0.25">
      <c r="A4871" s="1" t="s">
        <v>13545</v>
      </c>
      <c r="B4871" s="3" t="s">
        <v>8495</v>
      </c>
      <c r="C4871" s="2">
        <f ca="1">IF(ISNUMBER(SEARCH(Лист2!$B$4,D:D)),MAX($C$3:OFFSET(C4871,-1,0))+1,0)</f>
        <v>0</v>
      </c>
      <c r="E4871" s="9" t="str">
        <f t="shared" ca="1" si="88"/>
        <v/>
      </c>
      <c r="F4871" s="4" t="s">
        <v>28</v>
      </c>
      <c r="G4871" s="2">
        <f>IF(ISNUMBER(SEARCH(Лист2!$B$4,F:F)),1,0)</f>
        <v>0</v>
      </c>
      <c r="H4871" s="3">
        <f ca="1">IF(AND(I4871&lt;&gt;I4870,ISNUMBER(SEARCH(Лист2!$B$5,I:I)),G4871=1),MAX($H$3:OFFSET(H4871,-1,0))+1,0)</f>
        <v>0</v>
      </c>
      <c r="I4871" s="3" t="s">
        <v>381</v>
      </c>
      <c r="K4871" s="2">
        <f>IF(ISNUMBER(SEARCH(Лист2!$B$4,F:F)),1,0)</f>
        <v>0</v>
      </c>
      <c r="L4871" s="14">
        <f>IF(ISNUMBER(SEARCH(Лист2!$B$5,I:I)),1,0)+K4871</f>
        <v>0</v>
      </c>
      <c r="M4871" s="3">
        <f ca="1">IF(AND(N4871&lt;&gt;N4870,ISNUMBER(SEARCH(Лист2!$B$6,N:N)),L4871=2),MAX($M$3:OFFSET(M4871,-1,0))+1,0)</f>
        <v>0</v>
      </c>
      <c r="N4871" s="3" t="s">
        <v>602</v>
      </c>
    </row>
    <row r="4872" spans="1:14" x14ac:dyDescent="0.25">
      <c r="A4872" s="1" t="s">
        <v>13546</v>
      </c>
      <c r="B4872" s="3" t="s">
        <v>8496</v>
      </c>
      <c r="C4872" s="2">
        <f ca="1">IF(ISNUMBER(SEARCH(Лист2!$B$4,D:D)),MAX($C$3:OFFSET(C4872,-1,0))+1,0)</f>
        <v>0</v>
      </c>
      <c r="E4872" s="9" t="str">
        <f t="shared" ca="1" si="88"/>
        <v/>
      </c>
      <c r="F4872" s="4" t="s">
        <v>28</v>
      </c>
      <c r="G4872" s="2">
        <f>IF(ISNUMBER(SEARCH(Лист2!$B$4,F:F)),1,0)</f>
        <v>0</v>
      </c>
      <c r="H4872" s="3">
        <f ca="1">IF(AND(I4872&lt;&gt;I4871,ISNUMBER(SEARCH(Лист2!$B$5,I:I)),G4872=1),MAX($H$3:OFFSET(H4872,-1,0))+1,0)</f>
        <v>0</v>
      </c>
      <c r="I4872" s="3" t="s">
        <v>381</v>
      </c>
      <c r="K4872" s="2">
        <f>IF(ISNUMBER(SEARCH(Лист2!$B$4,F:F)),1,0)</f>
        <v>0</v>
      </c>
      <c r="L4872" s="14">
        <f>IF(ISNUMBER(SEARCH(Лист2!$B$5,I:I)),1,0)+K4872</f>
        <v>0</v>
      </c>
      <c r="M4872" s="3">
        <f ca="1">IF(AND(N4872&lt;&gt;N4871,ISNUMBER(SEARCH(Лист2!$B$6,N:N)),L4872=2),MAX($M$3:OFFSET(M4872,-1,0))+1,0)</f>
        <v>0</v>
      </c>
      <c r="N4872" s="3" t="s">
        <v>2949</v>
      </c>
    </row>
    <row r="4873" spans="1:14" x14ac:dyDescent="0.25">
      <c r="A4873" s="1" t="s">
        <v>13547</v>
      </c>
      <c r="B4873" s="3" t="s">
        <v>8497</v>
      </c>
      <c r="C4873" s="2">
        <f ca="1">IF(ISNUMBER(SEARCH(Лист2!$B$4,D:D)),MAX($C$3:OFFSET(C4873,-1,0))+1,0)</f>
        <v>0</v>
      </c>
      <c r="E4873" s="9" t="str">
        <f t="shared" ca="1" si="88"/>
        <v/>
      </c>
      <c r="F4873" s="4" t="s">
        <v>28</v>
      </c>
      <c r="G4873" s="2">
        <f>IF(ISNUMBER(SEARCH(Лист2!$B$4,F:F)),1,0)</f>
        <v>0</v>
      </c>
      <c r="H4873" s="3">
        <f ca="1">IF(AND(I4873&lt;&gt;I4872,ISNUMBER(SEARCH(Лист2!$B$5,I:I)),G4873=1),MAX($H$3:OFFSET(H4873,-1,0))+1,0)</f>
        <v>0</v>
      </c>
      <c r="I4873" s="3" t="s">
        <v>381</v>
      </c>
      <c r="K4873" s="2">
        <f>IF(ISNUMBER(SEARCH(Лист2!$B$4,F:F)),1,0)</f>
        <v>0</v>
      </c>
      <c r="L4873" s="14">
        <f>IF(ISNUMBER(SEARCH(Лист2!$B$5,I:I)),1,0)+K4873</f>
        <v>0</v>
      </c>
      <c r="M4873" s="3">
        <f ca="1">IF(AND(N4873&lt;&gt;N4872,ISNUMBER(SEARCH(Лист2!$B$6,N:N)),L4873=2),MAX($M$3:OFFSET(M4873,-1,0))+1,0)</f>
        <v>0</v>
      </c>
      <c r="N4873" s="3" t="s">
        <v>2950</v>
      </c>
    </row>
    <row r="4874" spans="1:14" x14ac:dyDescent="0.25">
      <c r="A4874" s="1" t="s">
        <v>13548</v>
      </c>
      <c r="B4874" s="3" t="s">
        <v>8498</v>
      </c>
      <c r="C4874" s="2">
        <f ca="1">IF(ISNUMBER(SEARCH(Лист2!$B$4,D:D)),MAX($C$3:OFFSET(C4874,-1,0))+1,0)</f>
        <v>0</v>
      </c>
      <c r="E4874" s="9" t="str">
        <f t="shared" ca="1" si="88"/>
        <v/>
      </c>
      <c r="F4874" s="4" t="s">
        <v>28</v>
      </c>
      <c r="G4874" s="2">
        <f>IF(ISNUMBER(SEARCH(Лист2!$B$4,F:F)),1,0)</f>
        <v>0</v>
      </c>
      <c r="H4874" s="3">
        <f ca="1">IF(AND(I4874&lt;&gt;I4873,ISNUMBER(SEARCH(Лист2!$B$5,I:I)),G4874=1),MAX($H$3:OFFSET(H4874,-1,0))+1,0)</f>
        <v>0</v>
      </c>
      <c r="I4874" s="3" t="s">
        <v>381</v>
      </c>
      <c r="K4874" s="2">
        <f>IF(ISNUMBER(SEARCH(Лист2!$B$4,F:F)),1,0)</f>
        <v>0</v>
      </c>
      <c r="L4874" s="14">
        <f>IF(ISNUMBER(SEARCH(Лист2!$B$5,I:I)),1,0)+K4874</f>
        <v>0</v>
      </c>
      <c r="M4874" s="3">
        <f ca="1">IF(AND(N4874&lt;&gt;N4873,ISNUMBER(SEARCH(Лист2!$B$6,N:N)),L4874=2),MAX($M$3:OFFSET(M4874,-1,0))+1,0)</f>
        <v>0</v>
      </c>
      <c r="N4874" s="3" t="s">
        <v>2929</v>
      </c>
    </row>
    <row r="4875" spans="1:14" x14ac:dyDescent="0.25">
      <c r="A4875" s="1" t="s">
        <v>13549</v>
      </c>
      <c r="B4875" s="3" t="s">
        <v>8499</v>
      </c>
      <c r="C4875" s="2">
        <f ca="1">IF(ISNUMBER(SEARCH(Лист2!$B$4,D:D)),MAX($C$3:OFFSET(C4875,-1,0))+1,0)</f>
        <v>0</v>
      </c>
      <c r="E4875" s="9" t="str">
        <f t="shared" ca="1" si="88"/>
        <v/>
      </c>
      <c r="F4875" s="4" t="s">
        <v>28</v>
      </c>
      <c r="G4875" s="2">
        <f>IF(ISNUMBER(SEARCH(Лист2!$B$4,F:F)),1,0)</f>
        <v>0</v>
      </c>
      <c r="H4875" s="3">
        <f ca="1">IF(AND(I4875&lt;&gt;I4874,ISNUMBER(SEARCH(Лист2!$B$5,I:I)),G4875=1),MAX($H$3:OFFSET(H4875,-1,0))+1,0)</f>
        <v>0</v>
      </c>
      <c r="I4875" s="3" t="s">
        <v>382</v>
      </c>
      <c r="K4875" s="2">
        <f>IF(ISNUMBER(SEARCH(Лист2!$B$4,F:F)),1,0)</f>
        <v>0</v>
      </c>
      <c r="L4875" s="14">
        <f>IF(ISNUMBER(SEARCH(Лист2!$B$5,I:I)),1,0)+K4875</f>
        <v>0</v>
      </c>
      <c r="M4875" s="3">
        <f ca="1">IF(AND(N4875&lt;&gt;N4874,ISNUMBER(SEARCH(Лист2!$B$6,N:N)),L4875=2),MAX($M$3:OFFSET(M4875,-1,0))+1,0)</f>
        <v>0</v>
      </c>
      <c r="N4875" s="3" t="s">
        <v>2951</v>
      </c>
    </row>
    <row r="4876" spans="1:14" x14ac:dyDescent="0.25">
      <c r="A4876" s="1" t="s">
        <v>13550</v>
      </c>
      <c r="B4876" s="3" t="s">
        <v>8500</v>
      </c>
      <c r="C4876" s="2">
        <f ca="1">IF(ISNUMBER(SEARCH(Лист2!$B$4,D:D)),MAX($C$3:OFFSET(C4876,-1,0))+1,0)</f>
        <v>0</v>
      </c>
      <c r="E4876" s="9" t="str">
        <f t="shared" ca="1" si="88"/>
        <v/>
      </c>
      <c r="F4876" s="4" t="s">
        <v>28</v>
      </c>
      <c r="G4876" s="2">
        <f>IF(ISNUMBER(SEARCH(Лист2!$B$4,F:F)),1,0)</f>
        <v>0</v>
      </c>
      <c r="H4876" s="3">
        <f ca="1">IF(AND(I4876&lt;&gt;I4875,ISNUMBER(SEARCH(Лист2!$B$5,I:I)),G4876=1),MAX($H$3:OFFSET(H4876,-1,0))+1,0)</f>
        <v>0</v>
      </c>
      <c r="I4876" s="3" t="s">
        <v>382</v>
      </c>
      <c r="K4876" s="2">
        <f>IF(ISNUMBER(SEARCH(Лист2!$B$4,F:F)),1,0)</f>
        <v>0</v>
      </c>
      <c r="L4876" s="14">
        <f>IF(ISNUMBER(SEARCH(Лист2!$B$5,I:I)),1,0)+K4876</f>
        <v>0</v>
      </c>
      <c r="M4876" s="3">
        <f ca="1">IF(AND(N4876&lt;&gt;N4875,ISNUMBER(SEARCH(Лист2!$B$6,N:N)),L4876=2),MAX($M$3:OFFSET(M4876,-1,0))+1,0)</f>
        <v>0</v>
      </c>
      <c r="N4876" s="3" t="s">
        <v>2952</v>
      </c>
    </row>
    <row r="4877" spans="1:14" x14ac:dyDescent="0.25">
      <c r="A4877" s="1" t="s">
        <v>13551</v>
      </c>
      <c r="B4877" s="3" t="s">
        <v>8501</v>
      </c>
      <c r="C4877" s="2">
        <f ca="1">IF(ISNUMBER(SEARCH(Лист2!$B$4,D:D)),MAX($C$3:OFFSET(C4877,-1,0))+1,0)</f>
        <v>0</v>
      </c>
      <c r="E4877" s="9" t="str">
        <f t="shared" ca="1" si="88"/>
        <v/>
      </c>
      <c r="F4877" s="4" t="s">
        <v>28</v>
      </c>
      <c r="G4877" s="2">
        <f>IF(ISNUMBER(SEARCH(Лист2!$B$4,F:F)),1,0)</f>
        <v>0</v>
      </c>
      <c r="H4877" s="3">
        <f ca="1">IF(AND(I4877&lt;&gt;I4876,ISNUMBER(SEARCH(Лист2!$B$5,I:I)),G4877=1),MAX($H$3:OFFSET(H4877,-1,0))+1,0)</f>
        <v>0</v>
      </c>
      <c r="I4877" s="3" t="s">
        <v>382</v>
      </c>
      <c r="K4877" s="2">
        <f>IF(ISNUMBER(SEARCH(Лист2!$B$4,F:F)),1,0)</f>
        <v>0</v>
      </c>
      <c r="L4877" s="14">
        <f>IF(ISNUMBER(SEARCH(Лист2!$B$5,I:I)),1,0)+K4877</f>
        <v>0</v>
      </c>
      <c r="M4877" s="3">
        <f ca="1">IF(AND(N4877&lt;&gt;N4876,ISNUMBER(SEARCH(Лист2!$B$6,N:N)),L4877=2),MAX($M$3:OFFSET(M4877,-1,0))+1,0)</f>
        <v>0</v>
      </c>
      <c r="N4877" s="3" t="s">
        <v>2923</v>
      </c>
    </row>
    <row r="4878" spans="1:14" x14ac:dyDescent="0.25">
      <c r="A4878" s="1" t="s">
        <v>13552</v>
      </c>
      <c r="B4878" s="3" t="s">
        <v>8502</v>
      </c>
      <c r="C4878" s="2">
        <f ca="1">IF(ISNUMBER(SEARCH(Лист2!$B$4,D:D)),MAX($C$3:OFFSET(C4878,-1,0))+1,0)</f>
        <v>0</v>
      </c>
      <c r="E4878" s="9" t="str">
        <f t="shared" ca="1" si="88"/>
        <v/>
      </c>
      <c r="F4878" s="4" t="s">
        <v>28</v>
      </c>
      <c r="G4878" s="2">
        <f>IF(ISNUMBER(SEARCH(Лист2!$B$4,F:F)),1,0)</f>
        <v>0</v>
      </c>
      <c r="H4878" s="3">
        <f ca="1">IF(AND(I4878&lt;&gt;I4877,ISNUMBER(SEARCH(Лист2!$B$5,I:I)),G4878=1),MAX($H$3:OFFSET(H4878,-1,0))+1,0)</f>
        <v>0</v>
      </c>
      <c r="I4878" s="3" t="s">
        <v>382</v>
      </c>
      <c r="K4878" s="2">
        <f>IF(ISNUMBER(SEARCH(Лист2!$B$4,F:F)),1,0)</f>
        <v>0</v>
      </c>
      <c r="L4878" s="14">
        <f>IF(ISNUMBER(SEARCH(Лист2!$B$5,I:I)),1,0)+K4878</f>
        <v>0</v>
      </c>
      <c r="M4878" s="3">
        <f ca="1">IF(AND(N4878&lt;&gt;N4877,ISNUMBER(SEARCH(Лист2!$B$6,N:N)),L4878=2),MAX($M$3:OFFSET(M4878,-1,0))+1,0)</f>
        <v>0</v>
      </c>
      <c r="N4878" s="3" t="s">
        <v>2924</v>
      </c>
    </row>
    <row r="4879" spans="1:14" x14ac:dyDescent="0.25">
      <c r="A4879" s="1" t="s">
        <v>13553</v>
      </c>
      <c r="B4879" s="3" t="s">
        <v>8503</v>
      </c>
      <c r="C4879" s="2">
        <f ca="1">IF(ISNUMBER(SEARCH(Лист2!$B$4,D:D)),MAX($C$3:OFFSET(C4879,-1,0))+1,0)</f>
        <v>0</v>
      </c>
      <c r="E4879" s="9" t="str">
        <f t="shared" ca="1" si="88"/>
        <v/>
      </c>
      <c r="F4879" s="4" t="s">
        <v>28</v>
      </c>
      <c r="G4879" s="2">
        <f>IF(ISNUMBER(SEARCH(Лист2!$B$4,F:F)),1,0)</f>
        <v>0</v>
      </c>
      <c r="H4879" s="3">
        <f ca="1">IF(AND(I4879&lt;&gt;I4878,ISNUMBER(SEARCH(Лист2!$B$5,I:I)),G4879=1),MAX($H$3:OFFSET(H4879,-1,0))+1,0)</f>
        <v>0</v>
      </c>
      <c r="I4879" s="3" t="s">
        <v>382</v>
      </c>
      <c r="K4879" s="2">
        <f>IF(ISNUMBER(SEARCH(Лист2!$B$4,F:F)),1,0)</f>
        <v>0</v>
      </c>
      <c r="L4879" s="14">
        <f>IF(ISNUMBER(SEARCH(Лист2!$B$5,I:I)),1,0)+K4879</f>
        <v>0</v>
      </c>
      <c r="M4879" s="3">
        <f ca="1">IF(AND(N4879&lt;&gt;N4878,ISNUMBER(SEARCH(Лист2!$B$6,N:N)),L4879=2),MAX($M$3:OFFSET(M4879,-1,0))+1,0)</f>
        <v>0</v>
      </c>
      <c r="N4879" s="3" t="s">
        <v>2925</v>
      </c>
    </row>
    <row r="4880" spans="1:14" x14ac:dyDescent="0.25">
      <c r="A4880" s="1" t="s">
        <v>13554</v>
      </c>
      <c r="B4880" s="3" t="s">
        <v>8504</v>
      </c>
      <c r="C4880" s="2">
        <f ca="1">IF(ISNUMBER(SEARCH(Лист2!$B$4,D:D)),MAX($C$3:OFFSET(C4880,-1,0))+1,0)</f>
        <v>0</v>
      </c>
      <c r="E4880" s="9" t="str">
        <f t="shared" ca="1" si="88"/>
        <v/>
      </c>
      <c r="F4880" s="4" t="s">
        <v>28</v>
      </c>
      <c r="G4880" s="2">
        <f>IF(ISNUMBER(SEARCH(Лист2!$B$4,F:F)),1,0)</f>
        <v>0</v>
      </c>
      <c r="H4880" s="3">
        <f ca="1">IF(AND(I4880&lt;&gt;I4879,ISNUMBER(SEARCH(Лист2!$B$5,I:I)),G4880=1),MAX($H$3:OFFSET(H4880,-1,0))+1,0)</f>
        <v>0</v>
      </c>
      <c r="I4880" s="3" t="s">
        <v>382</v>
      </c>
      <c r="K4880" s="2">
        <f>IF(ISNUMBER(SEARCH(Лист2!$B$4,F:F)),1,0)</f>
        <v>0</v>
      </c>
      <c r="L4880" s="14">
        <f>IF(ISNUMBER(SEARCH(Лист2!$B$5,I:I)),1,0)+K4880</f>
        <v>0</v>
      </c>
      <c r="M4880" s="3">
        <f ca="1">IF(AND(N4880&lt;&gt;N4879,ISNUMBER(SEARCH(Лист2!$B$6,N:N)),L4880=2),MAX($M$3:OFFSET(M4880,-1,0))+1,0)</f>
        <v>0</v>
      </c>
      <c r="N4880" s="3" t="s">
        <v>602</v>
      </c>
    </row>
    <row r="4881" spans="1:14" x14ac:dyDescent="0.25">
      <c r="A4881" s="1" t="s">
        <v>13555</v>
      </c>
      <c r="B4881" s="3" t="s">
        <v>8505</v>
      </c>
      <c r="C4881" s="2">
        <f ca="1">IF(ISNUMBER(SEARCH(Лист2!$B$4,D:D)),MAX($C$3:OFFSET(C4881,-1,0))+1,0)</f>
        <v>0</v>
      </c>
      <c r="E4881" s="9" t="str">
        <f t="shared" ca="1" si="88"/>
        <v/>
      </c>
      <c r="F4881" s="4" t="s">
        <v>28</v>
      </c>
      <c r="G4881" s="2">
        <f>IF(ISNUMBER(SEARCH(Лист2!$B$4,F:F)),1,0)</f>
        <v>0</v>
      </c>
      <c r="H4881" s="3">
        <f ca="1">IF(AND(I4881&lt;&gt;I4880,ISNUMBER(SEARCH(Лист2!$B$5,I:I)),G4881=1),MAX($H$3:OFFSET(H4881,-1,0))+1,0)</f>
        <v>0</v>
      </c>
      <c r="I4881" s="3" t="s">
        <v>382</v>
      </c>
      <c r="K4881" s="2">
        <f>IF(ISNUMBER(SEARCH(Лист2!$B$4,F:F)),1,0)</f>
        <v>0</v>
      </c>
      <c r="L4881" s="14">
        <f>IF(ISNUMBER(SEARCH(Лист2!$B$5,I:I)),1,0)+K4881</f>
        <v>0</v>
      </c>
      <c r="M4881" s="3">
        <f ca="1">IF(AND(N4881&lt;&gt;N4880,ISNUMBER(SEARCH(Лист2!$B$6,N:N)),L4881=2),MAX($M$3:OFFSET(M4881,-1,0))+1,0)</f>
        <v>0</v>
      </c>
      <c r="N4881" s="3" t="s">
        <v>2953</v>
      </c>
    </row>
    <row r="4882" spans="1:14" x14ac:dyDescent="0.25">
      <c r="A4882" s="1" t="s">
        <v>13556</v>
      </c>
      <c r="B4882" s="3" t="s">
        <v>8506</v>
      </c>
      <c r="C4882" s="2">
        <f ca="1">IF(ISNUMBER(SEARCH(Лист2!$B$4,D:D)),MAX($C$3:OFFSET(C4882,-1,0))+1,0)</f>
        <v>0</v>
      </c>
      <c r="E4882" s="9" t="str">
        <f t="shared" ca="1" si="88"/>
        <v/>
      </c>
      <c r="F4882" s="4" t="s">
        <v>28</v>
      </c>
      <c r="G4882" s="2">
        <f>IF(ISNUMBER(SEARCH(Лист2!$B$4,F:F)),1,0)</f>
        <v>0</v>
      </c>
      <c r="H4882" s="3">
        <f ca="1">IF(AND(I4882&lt;&gt;I4881,ISNUMBER(SEARCH(Лист2!$B$5,I:I)),G4882=1),MAX($H$3:OFFSET(H4882,-1,0))+1,0)</f>
        <v>0</v>
      </c>
      <c r="I4882" s="3" t="s">
        <v>382</v>
      </c>
      <c r="K4882" s="2">
        <f>IF(ISNUMBER(SEARCH(Лист2!$B$4,F:F)),1,0)</f>
        <v>0</v>
      </c>
      <c r="L4882" s="14">
        <f>IF(ISNUMBER(SEARCH(Лист2!$B$5,I:I)),1,0)+K4882</f>
        <v>0</v>
      </c>
      <c r="M4882" s="3">
        <f ca="1">IF(AND(N4882&lt;&gt;N4881,ISNUMBER(SEARCH(Лист2!$B$6,N:N)),L4882=2),MAX($M$3:OFFSET(M4882,-1,0))+1,0)</f>
        <v>0</v>
      </c>
      <c r="N4882" s="3" t="s">
        <v>2954</v>
      </c>
    </row>
    <row r="4883" spans="1:14" x14ac:dyDescent="0.25">
      <c r="A4883" s="1" t="s">
        <v>13557</v>
      </c>
      <c r="B4883" s="3" t="s">
        <v>8507</v>
      </c>
      <c r="C4883" s="2">
        <f ca="1">IF(ISNUMBER(SEARCH(Лист2!$B$4,D:D)),MAX($C$3:OFFSET(C4883,-1,0))+1,0)</f>
        <v>0</v>
      </c>
      <c r="E4883" s="9" t="str">
        <f t="shared" ca="1" si="88"/>
        <v/>
      </c>
      <c r="F4883" s="4" t="s">
        <v>28</v>
      </c>
      <c r="G4883" s="2">
        <f>IF(ISNUMBER(SEARCH(Лист2!$B$4,F:F)),1,0)</f>
        <v>0</v>
      </c>
      <c r="H4883" s="3">
        <f ca="1">IF(AND(I4883&lt;&gt;I4882,ISNUMBER(SEARCH(Лист2!$B$5,I:I)),G4883=1),MAX($H$3:OFFSET(H4883,-1,0))+1,0)</f>
        <v>0</v>
      </c>
      <c r="I4883" s="3" t="s">
        <v>382</v>
      </c>
      <c r="K4883" s="2">
        <f>IF(ISNUMBER(SEARCH(Лист2!$B$4,F:F)),1,0)</f>
        <v>0</v>
      </c>
      <c r="L4883" s="14">
        <f>IF(ISNUMBER(SEARCH(Лист2!$B$5,I:I)),1,0)+K4883</f>
        <v>0</v>
      </c>
      <c r="M4883" s="3">
        <f ca="1">IF(AND(N4883&lt;&gt;N4882,ISNUMBER(SEARCH(Лист2!$B$6,N:N)),L4883=2),MAX($M$3:OFFSET(M4883,-1,0))+1,0)</f>
        <v>0</v>
      </c>
      <c r="N4883" s="3" t="s">
        <v>2929</v>
      </c>
    </row>
    <row r="4884" spans="1:14" x14ac:dyDescent="0.25">
      <c r="A4884" s="1" t="s">
        <v>13558</v>
      </c>
      <c r="B4884" s="3" t="s">
        <v>8508</v>
      </c>
      <c r="C4884" s="2">
        <f ca="1">IF(ISNUMBER(SEARCH(Лист2!$B$4,D:D)),MAX($C$3:OFFSET(C4884,-1,0))+1,0)</f>
        <v>0</v>
      </c>
      <c r="E4884" s="9" t="str">
        <f t="shared" ca="1" si="88"/>
        <v/>
      </c>
      <c r="F4884" s="4" t="s">
        <v>28</v>
      </c>
      <c r="G4884" s="2">
        <f>IF(ISNUMBER(SEARCH(Лист2!$B$4,F:F)),1,0)</f>
        <v>0</v>
      </c>
      <c r="H4884" s="3">
        <f ca="1">IF(AND(I4884&lt;&gt;I4883,ISNUMBER(SEARCH(Лист2!$B$5,I:I)),G4884=1),MAX($H$3:OFFSET(H4884,-1,0))+1,0)</f>
        <v>0</v>
      </c>
      <c r="I4884" s="3" t="s">
        <v>383</v>
      </c>
      <c r="K4884" s="2">
        <f>IF(ISNUMBER(SEARCH(Лист2!$B$4,F:F)),1,0)</f>
        <v>0</v>
      </c>
      <c r="L4884" s="14">
        <f>IF(ISNUMBER(SEARCH(Лист2!$B$5,I:I)),1,0)+K4884</f>
        <v>0</v>
      </c>
      <c r="M4884" s="3">
        <f ca="1">IF(AND(N4884&lt;&gt;N4883,ISNUMBER(SEARCH(Лист2!$B$6,N:N)),L4884=2),MAX($M$3:OFFSET(M4884,-1,0))+1,0)</f>
        <v>0</v>
      </c>
      <c r="N4884" s="3" t="s">
        <v>2955</v>
      </c>
    </row>
    <row r="4885" spans="1:14" x14ac:dyDescent="0.25">
      <c r="A4885" s="1" t="s">
        <v>13559</v>
      </c>
      <c r="B4885" s="3" t="s">
        <v>8509</v>
      </c>
      <c r="C4885" s="2">
        <f ca="1">IF(ISNUMBER(SEARCH(Лист2!$B$4,D:D)),MAX($C$3:OFFSET(C4885,-1,0))+1,0)</f>
        <v>0</v>
      </c>
      <c r="E4885" s="9" t="str">
        <f t="shared" ca="1" si="88"/>
        <v/>
      </c>
      <c r="F4885" s="4" t="s">
        <v>28</v>
      </c>
      <c r="G4885" s="2">
        <f>IF(ISNUMBER(SEARCH(Лист2!$B$4,F:F)),1,0)</f>
        <v>0</v>
      </c>
      <c r="H4885" s="3">
        <f ca="1">IF(AND(I4885&lt;&gt;I4884,ISNUMBER(SEARCH(Лист2!$B$5,I:I)),G4885=1),MAX($H$3:OFFSET(H4885,-1,0))+1,0)</f>
        <v>0</v>
      </c>
      <c r="I4885" s="3" t="s">
        <v>383</v>
      </c>
      <c r="K4885" s="2">
        <f>IF(ISNUMBER(SEARCH(Лист2!$B$4,F:F)),1,0)</f>
        <v>0</v>
      </c>
      <c r="L4885" s="14">
        <f>IF(ISNUMBER(SEARCH(Лист2!$B$5,I:I)),1,0)+K4885</f>
        <v>0</v>
      </c>
      <c r="M4885" s="3">
        <f ca="1">IF(AND(N4885&lt;&gt;N4884,ISNUMBER(SEARCH(Лист2!$B$6,N:N)),L4885=2),MAX($M$3:OFFSET(M4885,-1,0))+1,0)</f>
        <v>0</v>
      </c>
      <c r="N4885" s="3" t="s">
        <v>2956</v>
      </c>
    </row>
    <row r="4886" spans="1:14" x14ac:dyDescent="0.25">
      <c r="A4886" s="1" t="s">
        <v>13560</v>
      </c>
      <c r="B4886" s="3" t="s">
        <v>8510</v>
      </c>
      <c r="C4886" s="2">
        <f ca="1">IF(ISNUMBER(SEARCH(Лист2!$B$4,D:D)),MAX($C$3:OFFSET(C4886,-1,0))+1,0)</f>
        <v>0</v>
      </c>
      <c r="E4886" s="9" t="str">
        <f t="shared" ca="1" si="88"/>
        <v/>
      </c>
      <c r="F4886" s="4" t="s">
        <v>28</v>
      </c>
      <c r="G4886" s="2">
        <f>IF(ISNUMBER(SEARCH(Лист2!$B$4,F:F)),1,0)</f>
        <v>0</v>
      </c>
      <c r="H4886" s="3">
        <f ca="1">IF(AND(I4886&lt;&gt;I4885,ISNUMBER(SEARCH(Лист2!$B$5,I:I)),G4886=1),MAX($H$3:OFFSET(H4886,-1,0))+1,0)</f>
        <v>0</v>
      </c>
      <c r="I4886" s="3" t="s">
        <v>383</v>
      </c>
      <c r="K4886" s="2">
        <f>IF(ISNUMBER(SEARCH(Лист2!$B$4,F:F)),1,0)</f>
        <v>0</v>
      </c>
      <c r="L4886" s="14">
        <f>IF(ISNUMBER(SEARCH(Лист2!$B$5,I:I)),1,0)+K4886</f>
        <v>0</v>
      </c>
      <c r="M4886" s="3">
        <f ca="1">IF(AND(N4886&lt;&gt;N4885,ISNUMBER(SEARCH(Лист2!$B$6,N:N)),L4886=2),MAX($M$3:OFFSET(M4886,-1,0))+1,0)</f>
        <v>0</v>
      </c>
      <c r="N4886" s="3" t="s">
        <v>2957</v>
      </c>
    </row>
    <row r="4887" spans="1:14" x14ac:dyDescent="0.25">
      <c r="A4887" s="1" t="s">
        <v>13561</v>
      </c>
      <c r="B4887" s="3" t="s">
        <v>8511</v>
      </c>
      <c r="C4887" s="2">
        <f ca="1">IF(ISNUMBER(SEARCH(Лист2!$B$4,D:D)),MAX($C$3:OFFSET(C4887,-1,0))+1,0)</f>
        <v>0</v>
      </c>
      <c r="E4887" s="9" t="str">
        <f t="shared" ca="1" si="88"/>
        <v/>
      </c>
      <c r="F4887" s="4" t="s">
        <v>28</v>
      </c>
      <c r="G4887" s="2">
        <f>IF(ISNUMBER(SEARCH(Лист2!$B$4,F:F)),1,0)</f>
        <v>0</v>
      </c>
      <c r="H4887" s="3">
        <f ca="1">IF(AND(I4887&lt;&gt;I4886,ISNUMBER(SEARCH(Лист2!$B$5,I:I)),G4887=1),MAX($H$3:OFFSET(H4887,-1,0))+1,0)</f>
        <v>0</v>
      </c>
      <c r="I4887" s="3" t="s">
        <v>383</v>
      </c>
      <c r="K4887" s="2">
        <f>IF(ISNUMBER(SEARCH(Лист2!$B$4,F:F)),1,0)</f>
        <v>0</v>
      </c>
      <c r="L4887" s="14">
        <f>IF(ISNUMBER(SEARCH(Лист2!$B$5,I:I)),1,0)+K4887</f>
        <v>0</v>
      </c>
      <c r="M4887" s="3">
        <f ca="1">IF(AND(N4887&lt;&gt;N4886,ISNUMBER(SEARCH(Лист2!$B$6,N:N)),L4887=2),MAX($M$3:OFFSET(M4887,-1,0))+1,0)</f>
        <v>0</v>
      </c>
      <c r="N4887" s="3" t="s">
        <v>2924</v>
      </c>
    </row>
    <row r="4888" spans="1:14" x14ac:dyDescent="0.25">
      <c r="A4888" s="1" t="s">
        <v>13562</v>
      </c>
      <c r="B4888" s="3" t="s">
        <v>8512</v>
      </c>
      <c r="C4888" s="2">
        <f ca="1">IF(ISNUMBER(SEARCH(Лист2!$B$4,D:D)),MAX($C$3:OFFSET(C4888,-1,0))+1,0)</f>
        <v>0</v>
      </c>
      <c r="E4888" s="9" t="str">
        <f t="shared" ca="1" si="88"/>
        <v/>
      </c>
      <c r="F4888" s="4" t="s">
        <v>28</v>
      </c>
      <c r="G4888" s="2">
        <f>IF(ISNUMBER(SEARCH(Лист2!$B$4,F:F)),1,0)</f>
        <v>0</v>
      </c>
      <c r="H4888" s="3">
        <f ca="1">IF(AND(I4888&lt;&gt;I4887,ISNUMBER(SEARCH(Лист2!$B$5,I:I)),G4888=1),MAX($H$3:OFFSET(H4888,-1,0))+1,0)</f>
        <v>0</v>
      </c>
      <c r="I4888" s="3" t="s">
        <v>383</v>
      </c>
      <c r="K4888" s="2">
        <f>IF(ISNUMBER(SEARCH(Лист2!$B$4,F:F)),1,0)</f>
        <v>0</v>
      </c>
      <c r="L4888" s="14">
        <f>IF(ISNUMBER(SEARCH(Лист2!$B$5,I:I)),1,0)+K4888</f>
        <v>0</v>
      </c>
      <c r="M4888" s="3">
        <f ca="1">IF(AND(N4888&lt;&gt;N4887,ISNUMBER(SEARCH(Лист2!$B$6,N:N)),L4888=2),MAX($M$3:OFFSET(M4888,-1,0))+1,0)</f>
        <v>0</v>
      </c>
      <c r="N4888" s="3" t="s">
        <v>2925</v>
      </c>
    </row>
    <row r="4889" spans="1:14" x14ac:dyDescent="0.25">
      <c r="A4889" s="1" t="s">
        <v>13563</v>
      </c>
      <c r="B4889" s="3" t="s">
        <v>8513</v>
      </c>
      <c r="C4889" s="2">
        <f ca="1">IF(ISNUMBER(SEARCH(Лист2!$B$4,D:D)),MAX($C$3:OFFSET(C4889,-1,0))+1,0)</f>
        <v>0</v>
      </c>
      <c r="E4889" s="9" t="str">
        <f t="shared" ca="1" si="88"/>
        <v/>
      </c>
      <c r="F4889" s="4" t="s">
        <v>28</v>
      </c>
      <c r="G4889" s="2">
        <f>IF(ISNUMBER(SEARCH(Лист2!$B$4,F:F)),1,0)</f>
        <v>0</v>
      </c>
      <c r="H4889" s="3">
        <f ca="1">IF(AND(I4889&lt;&gt;I4888,ISNUMBER(SEARCH(Лист2!$B$5,I:I)),G4889=1),MAX($H$3:OFFSET(H4889,-1,0))+1,0)</f>
        <v>0</v>
      </c>
      <c r="I4889" s="3" t="s">
        <v>383</v>
      </c>
      <c r="K4889" s="2">
        <f>IF(ISNUMBER(SEARCH(Лист2!$B$4,F:F)),1,0)</f>
        <v>0</v>
      </c>
      <c r="L4889" s="14">
        <f>IF(ISNUMBER(SEARCH(Лист2!$B$5,I:I)),1,0)+K4889</f>
        <v>0</v>
      </c>
      <c r="M4889" s="3">
        <f ca="1">IF(AND(N4889&lt;&gt;N4888,ISNUMBER(SEARCH(Лист2!$B$6,N:N)),L4889=2),MAX($M$3:OFFSET(M4889,-1,0))+1,0)</f>
        <v>0</v>
      </c>
      <c r="N4889" s="3" t="s">
        <v>602</v>
      </c>
    </row>
    <row r="4890" spans="1:14" x14ac:dyDescent="0.25">
      <c r="A4890" s="1" t="s">
        <v>13564</v>
      </c>
      <c r="B4890" s="3" t="s">
        <v>8514</v>
      </c>
      <c r="C4890" s="2">
        <f ca="1">IF(ISNUMBER(SEARCH(Лист2!$B$4,D:D)),MAX($C$3:OFFSET(C4890,-1,0))+1,0)</f>
        <v>0</v>
      </c>
      <c r="E4890" s="9" t="str">
        <f t="shared" ca="1" si="88"/>
        <v/>
      </c>
      <c r="F4890" s="4" t="s">
        <v>28</v>
      </c>
      <c r="G4890" s="2">
        <f>IF(ISNUMBER(SEARCH(Лист2!$B$4,F:F)),1,0)</f>
        <v>0</v>
      </c>
      <c r="H4890" s="3">
        <f ca="1">IF(AND(I4890&lt;&gt;I4889,ISNUMBER(SEARCH(Лист2!$B$5,I:I)),G4890=1),MAX($H$3:OFFSET(H4890,-1,0))+1,0)</f>
        <v>0</v>
      </c>
      <c r="I4890" s="3" t="s">
        <v>383</v>
      </c>
      <c r="K4890" s="2">
        <f>IF(ISNUMBER(SEARCH(Лист2!$B$4,F:F)),1,0)</f>
        <v>0</v>
      </c>
      <c r="L4890" s="14">
        <f>IF(ISNUMBER(SEARCH(Лист2!$B$5,I:I)),1,0)+K4890</f>
        <v>0</v>
      </c>
      <c r="M4890" s="3">
        <f ca="1">IF(AND(N4890&lt;&gt;N4889,ISNUMBER(SEARCH(Лист2!$B$6,N:N)),L4890=2),MAX($M$3:OFFSET(M4890,-1,0))+1,0)</f>
        <v>0</v>
      </c>
      <c r="N4890" s="3" t="s">
        <v>2958</v>
      </c>
    </row>
    <row r="4891" spans="1:14" x14ac:dyDescent="0.25">
      <c r="A4891" s="1" t="s">
        <v>13565</v>
      </c>
      <c r="B4891" s="3" t="s">
        <v>8515</v>
      </c>
      <c r="C4891" s="2">
        <f ca="1">IF(ISNUMBER(SEARCH(Лист2!$B$4,D:D)),MAX($C$3:OFFSET(C4891,-1,0))+1,0)</f>
        <v>0</v>
      </c>
      <c r="E4891" s="9" t="str">
        <f t="shared" ca="1" si="88"/>
        <v/>
      </c>
      <c r="F4891" s="4" t="s">
        <v>28</v>
      </c>
      <c r="G4891" s="2">
        <f>IF(ISNUMBER(SEARCH(Лист2!$B$4,F:F)),1,0)</f>
        <v>0</v>
      </c>
      <c r="H4891" s="3">
        <f ca="1">IF(AND(I4891&lt;&gt;I4890,ISNUMBER(SEARCH(Лист2!$B$5,I:I)),G4891=1),MAX($H$3:OFFSET(H4891,-1,0))+1,0)</f>
        <v>0</v>
      </c>
      <c r="I4891" s="3" t="s">
        <v>383</v>
      </c>
      <c r="K4891" s="2">
        <f>IF(ISNUMBER(SEARCH(Лист2!$B$4,F:F)),1,0)</f>
        <v>0</v>
      </c>
      <c r="L4891" s="14">
        <f>IF(ISNUMBER(SEARCH(Лист2!$B$5,I:I)),1,0)+K4891</f>
        <v>0</v>
      </c>
      <c r="M4891" s="3">
        <f ca="1">IF(AND(N4891&lt;&gt;N4890,ISNUMBER(SEARCH(Лист2!$B$6,N:N)),L4891=2),MAX($M$3:OFFSET(M4891,-1,0))+1,0)</f>
        <v>0</v>
      </c>
      <c r="N4891" s="3" t="s">
        <v>2959</v>
      </c>
    </row>
    <row r="4892" spans="1:14" x14ac:dyDescent="0.25">
      <c r="A4892" s="1" t="s">
        <v>13566</v>
      </c>
      <c r="B4892" s="3" t="s">
        <v>8516</v>
      </c>
      <c r="C4892" s="2">
        <f ca="1">IF(ISNUMBER(SEARCH(Лист2!$B$4,D:D)),MAX($C$3:OFFSET(C4892,-1,0))+1,0)</f>
        <v>0</v>
      </c>
      <c r="E4892" s="9" t="str">
        <f t="shared" ca="1" si="88"/>
        <v/>
      </c>
      <c r="F4892" s="4" t="s">
        <v>28</v>
      </c>
      <c r="G4892" s="2">
        <f>IF(ISNUMBER(SEARCH(Лист2!$B$4,F:F)),1,0)</f>
        <v>0</v>
      </c>
      <c r="H4892" s="3">
        <f ca="1">IF(AND(I4892&lt;&gt;I4891,ISNUMBER(SEARCH(Лист2!$B$5,I:I)),G4892=1),MAX($H$3:OFFSET(H4892,-1,0))+1,0)</f>
        <v>0</v>
      </c>
      <c r="I4892" s="3" t="s">
        <v>383</v>
      </c>
      <c r="K4892" s="2">
        <f>IF(ISNUMBER(SEARCH(Лист2!$B$4,F:F)),1,0)</f>
        <v>0</v>
      </c>
      <c r="L4892" s="14">
        <f>IF(ISNUMBER(SEARCH(Лист2!$B$5,I:I)),1,0)+K4892</f>
        <v>0</v>
      </c>
      <c r="M4892" s="3">
        <f ca="1">IF(AND(N4892&lt;&gt;N4891,ISNUMBER(SEARCH(Лист2!$B$6,N:N)),L4892=2),MAX($M$3:OFFSET(M4892,-1,0))+1,0)</f>
        <v>0</v>
      </c>
      <c r="N4892" s="3" t="s">
        <v>2929</v>
      </c>
    </row>
    <row r="4893" spans="1:14" x14ac:dyDescent="0.25">
      <c r="A4893" s="1" t="s">
        <v>13567</v>
      </c>
      <c r="B4893" s="3" t="s">
        <v>8517</v>
      </c>
      <c r="C4893" s="2">
        <f ca="1">IF(ISNUMBER(SEARCH(Лист2!$B$4,D:D)),MAX($C$3:OFFSET(C4893,-1,0))+1,0)</f>
        <v>0</v>
      </c>
      <c r="E4893" s="9" t="str">
        <f t="shared" ca="1" si="88"/>
        <v/>
      </c>
      <c r="F4893" s="4" t="s">
        <v>28</v>
      </c>
      <c r="G4893" s="2">
        <f>IF(ISNUMBER(SEARCH(Лист2!$B$4,F:F)),1,0)</f>
        <v>0</v>
      </c>
      <c r="H4893" s="3">
        <f ca="1">IF(AND(I4893&lt;&gt;I4892,ISNUMBER(SEARCH(Лист2!$B$5,I:I)),G4893=1),MAX($H$3:OFFSET(H4893,-1,0))+1,0)</f>
        <v>0</v>
      </c>
      <c r="I4893" s="3" t="s">
        <v>384</v>
      </c>
      <c r="K4893" s="2">
        <f>IF(ISNUMBER(SEARCH(Лист2!$B$4,F:F)),1,0)</f>
        <v>0</v>
      </c>
      <c r="L4893" s="14">
        <f>IF(ISNUMBER(SEARCH(Лист2!$B$5,I:I)),1,0)+K4893</f>
        <v>0</v>
      </c>
      <c r="M4893" s="3">
        <f ca="1">IF(AND(N4893&lt;&gt;N4892,ISNUMBER(SEARCH(Лист2!$B$6,N:N)),L4893=2),MAX($M$3:OFFSET(M4893,-1,0))+1,0)</f>
        <v>0</v>
      </c>
      <c r="N4893" s="3" t="s">
        <v>2960</v>
      </c>
    </row>
    <row r="4894" spans="1:14" x14ac:dyDescent="0.25">
      <c r="A4894" s="1" t="s">
        <v>13568</v>
      </c>
      <c r="B4894" s="3" t="s">
        <v>8518</v>
      </c>
      <c r="C4894" s="2">
        <f ca="1">IF(ISNUMBER(SEARCH(Лист2!$B$4,D:D)),MAX($C$3:OFFSET(C4894,-1,0))+1,0)</f>
        <v>0</v>
      </c>
      <c r="E4894" s="9" t="str">
        <f t="shared" ca="1" si="88"/>
        <v/>
      </c>
      <c r="F4894" s="4" t="s">
        <v>28</v>
      </c>
      <c r="G4894" s="2">
        <f>IF(ISNUMBER(SEARCH(Лист2!$B$4,F:F)),1,0)</f>
        <v>0</v>
      </c>
      <c r="H4894" s="3">
        <f ca="1">IF(AND(I4894&lt;&gt;I4893,ISNUMBER(SEARCH(Лист2!$B$5,I:I)),G4894=1),MAX($H$3:OFFSET(H4894,-1,0))+1,0)</f>
        <v>0</v>
      </c>
      <c r="I4894" s="3" t="s">
        <v>384</v>
      </c>
      <c r="K4894" s="2">
        <f>IF(ISNUMBER(SEARCH(Лист2!$B$4,F:F)),1,0)</f>
        <v>0</v>
      </c>
      <c r="L4894" s="14">
        <f>IF(ISNUMBER(SEARCH(Лист2!$B$5,I:I)),1,0)+K4894</f>
        <v>0</v>
      </c>
      <c r="M4894" s="3">
        <f ca="1">IF(AND(N4894&lt;&gt;N4893,ISNUMBER(SEARCH(Лист2!$B$6,N:N)),L4894=2),MAX($M$3:OFFSET(M4894,-1,0))+1,0)</f>
        <v>0</v>
      </c>
      <c r="N4894" s="3" t="s">
        <v>2961</v>
      </c>
    </row>
    <row r="4895" spans="1:14" x14ac:dyDescent="0.25">
      <c r="A4895" s="1" t="s">
        <v>13569</v>
      </c>
      <c r="B4895" s="3" t="s">
        <v>8519</v>
      </c>
      <c r="C4895" s="2">
        <f ca="1">IF(ISNUMBER(SEARCH(Лист2!$B$4,D:D)),MAX($C$3:OFFSET(C4895,-1,0))+1,0)</f>
        <v>0</v>
      </c>
      <c r="E4895" s="9" t="str">
        <f t="shared" ca="1" si="88"/>
        <v/>
      </c>
      <c r="F4895" s="4" t="s">
        <v>28</v>
      </c>
      <c r="G4895" s="2">
        <f>IF(ISNUMBER(SEARCH(Лист2!$B$4,F:F)),1,0)</f>
        <v>0</v>
      </c>
      <c r="H4895" s="3">
        <f ca="1">IF(AND(I4895&lt;&gt;I4894,ISNUMBER(SEARCH(Лист2!$B$5,I:I)),G4895=1),MAX($H$3:OFFSET(H4895,-1,0))+1,0)</f>
        <v>0</v>
      </c>
      <c r="I4895" s="3" t="s">
        <v>384</v>
      </c>
      <c r="K4895" s="2">
        <f>IF(ISNUMBER(SEARCH(Лист2!$B$4,F:F)),1,0)</f>
        <v>0</v>
      </c>
      <c r="L4895" s="14">
        <f>IF(ISNUMBER(SEARCH(Лист2!$B$5,I:I)),1,0)+K4895</f>
        <v>0</v>
      </c>
      <c r="M4895" s="3">
        <f ca="1">IF(AND(N4895&lt;&gt;N4894,ISNUMBER(SEARCH(Лист2!$B$6,N:N)),L4895=2),MAX($M$3:OFFSET(M4895,-1,0))+1,0)</f>
        <v>0</v>
      </c>
      <c r="N4895" s="3" t="s">
        <v>2957</v>
      </c>
    </row>
    <row r="4896" spans="1:14" x14ac:dyDescent="0.25">
      <c r="A4896" s="1" t="s">
        <v>13570</v>
      </c>
      <c r="B4896" s="3" t="s">
        <v>8520</v>
      </c>
      <c r="C4896" s="2">
        <f ca="1">IF(ISNUMBER(SEARCH(Лист2!$B$4,D:D)),MAX($C$3:OFFSET(C4896,-1,0))+1,0)</f>
        <v>0</v>
      </c>
      <c r="E4896" s="9" t="str">
        <f t="shared" ca="1" si="88"/>
        <v/>
      </c>
      <c r="F4896" s="4" t="s">
        <v>28</v>
      </c>
      <c r="G4896" s="2">
        <f>IF(ISNUMBER(SEARCH(Лист2!$B$4,F:F)),1,0)</f>
        <v>0</v>
      </c>
      <c r="H4896" s="3">
        <f ca="1">IF(AND(I4896&lt;&gt;I4895,ISNUMBER(SEARCH(Лист2!$B$5,I:I)),G4896=1),MAX($H$3:OFFSET(H4896,-1,0))+1,0)</f>
        <v>0</v>
      </c>
      <c r="I4896" s="3" t="s">
        <v>384</v>
      </c>
      <c r="K4896" s="2">
        <f>IF(ISNUMBER(SEARCH(Лист2!$B$4,F:F)),1,0)</f>
        <v>0</v>
      </c>
      <c r="L4896" s="14">
        <f>IF(ISNUMBER(SEARCH(Лист2!$B$5,I:I)),1,0)+K4896</f>
        <v>0</v>
      </c>
      <c r="M4896" s="3">
        <f ca="1">IF(AND(N4896&lt;&gt;N4895,ISNUMBER(SEARCH(Лист2!$B$6,N:N)),L4896=2),MAX($M$3:OFFSET(M4896,-1,0))+1,0)</f>
        <v>0</v>
      </c>
      <c r="N4896" s="3" t="s">
        <v>2924</v>
      </c>
    </row>
    <row r="4897" spans="1:14" x14ac:dyDescent="0.25">
      <c r="A4897" s="1" t="s">
        <v>13571</v>
      </c>
      <c r="B4897" s="3" t="s">
        <v>8521</v>
      </c>
      <c r="C4897" s="2">
        <f ca="1">IF(ISNUMBER(SEARCH(Лист2!$B$4,D:D)),MAX($C$3:OFFSET(C4897,-1,0))+1,0)</f>
        <v>0</v>
      </c>
      <c r="E4897" s="9" t="str">
        <f t="shared" ca="1" si="88"/>
        <v/>
      </c>
      <c r="F4897" s="4" t="s">
        <v>28</v>
      </c>
      <c r="G4897" s="2">
        <f>IF(ISNUMBER(SEARCH(Лист2!$B$4,F:F)),1,0)</f>
        <v>0</v>
      </c>
      <c r="H4897" s="3">
        <f ca="1">IF(AND(I4897&lt;&gt;I4896,ISNUMBER(SEARCH(Лист2!$B$5,I:I)),G4897=1),MAX($H$3:OFFSET(H4897,-1,0))+1,0)</f>
        <v>0</v>
      </c>
      <c r="I4897" s="3" t="s">
        <v>384</v>
      </c>
      <c r="K4897" s="2">
        <f>IF(ISNUMBER(SEARCH(Лист2!$B$4,F:F)),1,0)</f>
        <v>0</v>
      </c>
      <c r="L4897" s="14">
        <f>IF(ISNUMBER(SEARCH(Лист2!$B$5,I:I)),1,0)+K4897</f>
        <v>0</v>
      </c>
      <c r="M4897" s="3">
        <f ca="1">IF(AND(N4897&lt;&gt;N4896,ISNUMBER(SEARCH(Лист2!$B$6,N:N)),L4897=2),MAX($M$3:OFFSET(M4897,-1,0))+1,0)</f>
        <v>0</v>
      </c>
      <c r="N4897" s="3" t="s">
        <v>2925</v>
      </c>
    </row>
    <row r="4898" spans="1:14" x14ac:dyDescent="0.25">
      <c r="A4898" s="1" t="s">
        <v>13572</v>
      </c>
      <c r="B4898" s="3" t="s">
        <v>8522</v>
      </c>
      <c r="C4898" s="2">
        <f ca="1">IF(ISNUMBER(SEARCH(Лист2!$B$4,D:D)),MAX($C$3:OFFSET(C4898,-1,0))+1,0)</f>
        <v>0</v>
      </c>
      <c r="E4898" s="9" t="str">
        <f t="shared" ca="1" si="88"/>
        <v/>
      </c>
      <c r="F4898" s="4" t="s">
        <v>28</v>
      </c>
      <c r="G4898" s="2">
        <f>IF(ISNUMBER(SEARCH(Лист2!$B$4,F:F)),1,0)</f>
        <v>0</v>
      </c>
      <c r="H4898" s="3">
        <f ca="1">IF(AND(I4898&lt;&gt;I4897,ISNUMBER(SEARCH(Лист2!$B$5,I:I)),G4898=1),MAX($H$3:OFFSET(H4898,-1,0))+1,0)</f>
        <v>0</v>
      </c>
      <c r="I4898" s="3" t="s">
        <v>384</v>
      </c>
      <c r="K4898" s="2">
        <f>IF(ISNUMBER(SEARCH(Лист2!$B$4,F:F)),1,0)</f>
        <v>0</v>
      </c>
      <c r="L4898" s="14">
        <f>IF(ISNUMBER(SEARCH(Лист2!$B$5,I:I)),1,0)+K4898</f>
        <v>0</v>
      </c>
      <c r="M4898" s="3">
        <f ca="1">IF(AND(N4898&lt;&gt;N4897,ISNUMBER(SEARCH(Лист2!$B$6,N:N)),L4898=2),MAX($M$3:OFFSET(M4898,-1,0))+1,0)</f>
        <v>0</v>
      </c>
      <c r="N4898" s="3" t="s">
        <v>602</v>
      </c>
    </row>
    <row r="4899" spans="1:14" x14ac:dyDescent="0.25">
      <c r="A4899" s="1" t="s">
        <v>13573</v>
      </c>
      <c r="B4899" s="3" t="s">
        <v>8523</v>
      </c>
      <c r="C4899" s="2">
        <f ca="1">IF(ISNUMBER(SEARCH(Лист2!$B$4,D:D)),MAX($C$3:OFFSET(C4899,-1,0))+1,0)</f>
        <v>0</v>
      </c>
      <c r="E4899" s="9" t="str">
        <f t="shared" ca="1" si="88"/>
        <v/>
      </c>
      <c r="F4899" s="4" t="s">
        <v>28</v>
      </c>
      <c r="G4899" s="2">
        <f>IF(ISNUMBER(SEARCH(Лист2!$B$4,F:F)),1,0)</f>
        <v>0</v>
      </c>
      <c r="H4899" s="3">
        <f ca="1">IF(AND(I4899&lt;&gt;I4898,ISNUMBER(SEARCH(Лист2!$B$5,I:I)),G4899=1),MAX($H$3:OFFSET(H4899,-1,0))+1,0)</f>
        <v>0</v>
      </c>
      <c r="I4899" s="3" t="s">
        <v>384</v>
      </c>
      <c r="K4899" s="2">
        <f>IF(ISNUMBER(SEARCH(Лист2!$B$4,F:F)),1,0)</f>
        <v>0</v>
      </c>
      <c r="L4899" s="14">
        <f>IF(ISNUMBER(SEARCH(Лист2!$B$5,I:I)),1,0)+K4899</f>
        <v>0</v>
      </c>
      <c r="M4899" s="3">
        <f ca="1">IF(AND(N4899&lt;&gt;N4898,ISNUMBER(SEARCH(Лист2!$B$6,N:N)),L4899=2),MAX($M$3:OFFSET(M4899,-1,0))+1,0)</f>
        <v>0</v>
      </c>
      <c r="N4899" s="3" t="s">
        <v>2962</v>
      </c>
    </row>
    <row r="4900" spans="1:14" x14ac:dyDescent="0.25">
      <c r="A4900" s="1" t="s">
        <v>13574</v>
      </c>
      <c r="B4900" s="3" t="s">
        <v>8524</v>
      </c>
      <c r="C4900" s="2">
        <f ca="1">IF(ISNUMBER(SEARCH(Лист2!$B$4,D:D)),MAX($C$3:OFFSET(C4900,-1,0))+1,0)</f>
        <v>0</v>
      </c>
      <c r="E4900" s="9" t="str">
        <f t="shared" ca="1" si="88"/>
        <v/>
      </c>
      <c r="F4900" s="4" t="s">
        <v>28</v>
      </c>
      <c r="G4900" s="2">
        <f>IF(ISNUMBER(SEARCH(Лист2!$B$4,F:F)),1,0)</f>
        <v>0</v>
      </c>
      <c r="H4900" s="3">
        <f ca="1">IF(AND(I4900&lt;&gt;I4899,ISNUMBER(SEARCH(Лист2!$B$5,I:I)),G4900=1),MAX($H$3:OFFSET(H4900,-1,0))+1,0)</f>
        <v>0</v>
      </c>
      <c r="I4900" s="3" t="s">
        <v>384</v>
      </c>
      <c r="K4900" s="2">
        <f>IF(ISNUMBER(SEARCH(Лист2!$B$4,F:F)),1,0)</f>
        <v>0</v>
      </c>
      <c r="L4900" s="14">
        <f>IF(ISNUMBER(SEARCH(Лист2!$B$5,I:I)),1,0)+K4900</f>
        <v>0</v>
      </c>
      <c r="M4900" s="3">
        <f ca="1">IF(AND(N4900&lt;&gt;N4899,ISNUMBER(SEARCH(Лист2!$B$6,N:N)),L4900=2),MAX($M$3:OFFSET(M4900,-1,0))+1,0)</f>
        <v>0</v>
      </c>
      <c r="N4900" s="3" t="s">
        <v>2963</v>
      </c>
    </row>
    <row r="4901" spans="1:14" x14ac:dyDescent="0.25">
      <c r="A4901" s="1" t="s">
        <v>13575</v>
      </c>
      <c r="B4901" s="3" t="s">
        <v>8525</v>
      </c>
      <c r="C4901" s="2">
        <f ca="1">IF(ISNUMBER(SEARCH(Лист2!$B$4,D:D)),MAX($C$3:OFFSET(C4901,-1,0))+1,0)</f>
        <v>0</v>
      </c>
      <c r="E4901" s="9" t="str">
        <f t="shared" ca="1" si="88"/>
        <v/>
      </c>
      <c r="F4901" s="4" t="s">
        <v>28</v>
      </c>
      <c r="G4901" s="2">
        <f>IF(ISNUMBER(SEARCH(Лист2!$B$4,F:F)),1,0)</f>
        <v>0</v>
      </c>
      <c r="H4901" s="3">
        <f ca="1">IF(AND(I4901&lt;&gt;I4900,ISNUMBER(SEARCH(Лист2!$B$5,I:I)),G4901=1),MAX($H$3:OFFSET(H4901,-1,0))+1,0)</f>
        <v>0</v>
      </c>
      <c r="I4901" s="3" t="s">
        <v>384</v>
      </c>
      <c r="K4901" s="2">
        <f>IF(ISNUMBER(SEARCH(Лист2!$B$4,F:F)),1,0)</f>
        <v>0</v>
      </c>
      <c r="L4901" s="14">
        <f>IF(ISNUMBER(SEARCH(Лист2!$B$5,I:I)),1,0)+K4901</f>
        <v>0</v>
      </c>
      <c r="M4901" s="3">
        <f ca="1">IF(AND(N4901&lt;&gt;N4900,ISNUMBER(SEARCH(Лист2!$B$6,N:N)),L4901=2),MAX($M$3:OFFSET(M4901,-1,0))+1,0)</f>
        <v>0</v>
      </c>
      <c r="N4901" s="3" t="s">
        <v>2929</v>
      </c>
    </row>
    <row r="4902" spans="1:14" x14ac:dyDescent="0.25">
      <c r="A4902" s="1" t="s">
        <v>13576</v>
      </c>
      <c r="B4902" s="3" t="s">
        <v>8526</v>
      </c>
      <c r="C4902" s="2">
        <f ca="1">IF(ISNUMBER(SEARCH(Лист2!$B$4,D:D)),MAX($C$3:OFFSET(C4902,-1,0))+1,0)</f>
        <v>0</v>
      </c>
      <c r="E4902" s="9" t="str">
        <f t="shared" ca="1" si="88"/>
        <v/>
      </c>
      <c r="F4902" s="4" t="s">
        <v>28</v>
      </c>
      <c r="G4902" s="2">
        <f>IF(ISNUMBER(SEARCH(Лист2!$B$4,F:F)),1,0)</f>
        <v>0</v>
      </c>
      <c r="H4902" s="3">
        <f ca="1">IF(AND(I4902&lt;&gt;I4901,ISNUMBER(SEARCH(Лист2!$B$5,I:I)),G4902=1),MAX($H$3:OFFSET(H4902,-1,0))+1,0)</f>
        <v>0</v>
      </c>
      <c r="I4902" s="3" t="s">
        <v>385</v>
      </c>
      <c r="K4902" s="2">
        <f>IF(ISNUMBER(SEARCH(Лист2!$B$4,F:F)),1,0)</f>
        <v>0</v>
      </c>
      <c r="L4902" s="14">
        <f>IF(ISNUMBER(SEARCH(Лист2!$B$5,I:I)),1,0)+K4902</f>
        <v>0</v>
      </c>
      <c r="M4902" s="3">
        <f ca="1">IF(AND(N4902&lt;&gt;N4901,ISNUMBER(SEARCH(Лист2!$B$6,N:N)),L4902=2),MAX($M$3:OFFSET(M4902,-1,0))+1,0)</f>
        <v>0</v>
      </c>
      <c r="N4902" s="3" t="s">
        <v>2964</v>
      </c>
    </row>
    <row r="4903" spans="1:14" x14ac:dyDescent="0.25">
      <c r="A4903" s="1" t="s">
        <v>13577</v>
      </c>
      <c r="B4903" s="3" t="s">
        <v>8527</v>
      </c>
      <c r="C4903" s="2">
        <f ca="1">IF(ISNUMBER(SEARCH(Лист2!$B$4,D:D)),MAX($C$3:OFFSET(C4903,-1,0))+1,0)</f>
        <v>0</v>
      </c>
      <c r="E4903" s="9" t="str">
        <f t="shared" ca="1" si="88"/>
        <v/>
      </c>
      <c r="F4903" s="4" t="s">
        <v>28</v>
      </c>
      <c r="G4903" s="2">
        <f>IF(ISNUMBER(SEARCH(Лист2!$B$4,F:F)),1,0)</f>
        <v>0</v>
      </c>
      <c r="H4903" s="3">
        <f ca="1">IF(AND(I4903&lt;&gt;I4902,ISNUMBER(SEARCH(Лист2!$B$5,I:I)),G4903=1),MAX($H$3:OFFSET(H4903,-1,0))+1,0)</f>
        <v>0</v>
      </c>
      <c r="I4903" s="3" t="s">
        <v>385</v>
      </c>
      <c r="K4903" s="2">
        <f>IF(ISNUMBER(SEARCH(Лист2!$B$4,F:F)),1,0)</f>
        <v>0</v>
      </c>
      <c r="L4903" s="14">
        <f>IF(ISNUMBER(SEARCH(Лист2!$B$5,I:I)),1,0)+K4903</f>
        <v>0</v>
      </c>
      <c r="M4903" s="3">
        <f ca="1">IF(AND(N4903&lt;&gt;N4902,ISNUMBER(SEARCH(Лист2!$B$6,N:N)),L4903=2),MAX($M$3:OFFSET(M4903,-1,0))+1,0)</f>
        <v>0</v>
      </c>
      <c r="N4903" s="3" t="s">
        <v>2965</v>
      </c>
    </row>
    <row r="4904" spans="1:14" x14ac:dyDescent="0.25">
      <c r="A4904" s="1" t="s">
        <v>13578</v>
      </c>
      <c r="B4904" s="3" t="s">
        <v>8528</v>
      </c>
      <c r="C4904" s="2">
        <f ca="1">IF(ISNUMBER(SEARCH(Лист2!$B$4,D:D)),MAX($C$3:OFFSET(C4904,-1,0))+1,0)</f>
        <v>0</v>
      </c>
      <c r="E4904" s="9" t="str">
        <f t="shared" ca="1" si="88"/>
        <v/>
      </c>
      <c r="F4904" s="4" t="s">
        <v>28</v>
      </c>
      <c r="G4904" s="2">
        <f>IF(ISNUMBER(SEARCH(Лист2!$B$4,F:F)),1,0)</f>
        <v>0</v>
      </c>
      <c r="H4904" s="3">
        <f ca="1">IF(AND(I4904&lt;&gt;I4903,ISNUMBER(SEARCH(Лист2!$B$5,I:I)),G4904=1),MAX($H$3:OFFSET(H4904,-1,0))+1,0)</f>
        <v>0</v>
      </c>
      <c r="I4904" s="3" t="s">
        <v>385</v>
      </c>
      <c r="K4904" s="2">
        <f>IF(ISNUMBER(SEARCH(Лист2!$B$4,F:F)),1,0)</f>
        <v>0</v>
      </c>
      <c r="L4904" s="14">
        <f>IF(ISNUMBER(SEARCH(Лист2!$B$5,I:I)),1,0)+K4904</f>
        <v>0</v>
      </c>
      <c r="M4904" s="3">
        <f ca="1">IF(AND(N4904&lt;&gt;N4903,ISNUMBER(SEARCH(Лист2!$B$6,N:N)),L4904=2),MAX($M$3:OFFSET(M4904,-1,0))+1,0)</f>
        <v>0</v>
      </c>
      <c r="N4904" s="3" t="s">
        <v>2957</v>
      </c>
    </row>
    <row r="4905" spans="1:14" x14ac:dyDescent="0.25">
      <c r="A4905" s="1" t="s">
        <v>13579</v>
      </c>
      <c r="B4905" s="3" t="s">
        <v>8529</v>
      </c>
      <c r="C4905" s="2">
        <f ca="1">IF(ISNUMBER(SEARCH(Лист2!$B$4,D:D)),MAX($C$3:OFFSET(C4905,-1,0))+1,0)</f>
        <v>0</v>
      </c>
      <c r="E4905" s="9" t="str">
        <f t="shared" ca="1" si="88"/>
        <v/>
      </c>
      <c r="F4905" s="4" t="s">
        <v>28</v>
      </c>
      <c r="G4905" s="2">
        <f>IF(ISNUMBER(SEARCH(Лист2!$B$4,F:F)),1,0)</f>
        <v>0</v>
      </c>
      <c r="H4905" s="3">
        <f ca="1">IF(AND(I4905&lt;&gt;I4904,ISNUMBER(SEARCH(Лист2!$B$5,I:I)),G4905=1),MAX($H$3:OFFSET(H4905,-1,0))+1,0)</f>
        <v>0</v>
      </c>
      <c r="I4905" s="3" t="s">
        <v>385</v>
      </c>
      <c r="K4905" s="2">
        <f>IF(ISNUMBER(SEARCH(Лист2!$B$4,F:F)),1,0)</f>
        <v>0</v>
      </c>
      <c r="L4905" s="14">
        <f>IF(ISNUMBER(SEARCH(Лист2!$B$5,I:I)),1,0)+K4905</f>
        <v>0</v>
      </c>
      <c r="M4905" s="3">
        <f ca="1">IF(AND(N4905&lt;&gt;N4904,ISNUMBER(SEARCH(Лист2!$B$6,N:N)),L4905=2),MAX($M$3:OFFSET(M4905,-1,0))+1,0)</f>
        <v>0</v>
      </c>
      <c r="N4905" s="3" t="s">
        <v>2966</v>
      </c>
    </row>
    <row r="4906" spans="1:14" x14ac:dyDescent="0.25">
      <c r="A4906" s="1" t="s">
        <v>13580</v>
      </c>
      <c r="B4906" s="3" t="s">
        <v>8530</v>
      </c>
      <c r="C4906" s="2">
        <f ca="1">IF(ISNUMBER(SEARCH(Лист2!$B$4,D:D)),MAX($C$3:OFFSET(C4906,-1,0))+1,0)</f>
        <v>0</v>
      </c>
      <c r="E4906" s="9" t="str">
        <f t="shared" ca="1" si="88"/>
        <v/>
      </c>
      <c r="F4906" s="4" t="s">
        <v>28</v>
      </c>
      <c r="G4906" s="2">
        <f>IF(ISNUMBER(SEARCH(Лист2!$B$4,F:F)),1,0)</f>
        <v>0</v>
      </c>
      <c r="H4906" s="3">
        <f ca="1">IF(AND(I4906&lt;&gt;I4905,ISNUMBER(SEARCH(Лист2!$B$5,I:I)),G4906=1),MAX($H$3:OFFSET(H4906,-1,0))+1,0)</f>
        <v>0</v>
      </c>
      <c r="I4906" s="3" t="s">
        <v>385</v>
      </c>
      <c r="K4906" s="2">
        <f>IF(ISNUMBER(SEARCH(Лист2!$B$4,F:F)),1,0)</f>
        <v>0</v>
      </c>
      <c r="L4906" s="14">
        <f>IF(ISNUMBER(SEARCH(Лист2!$B$5,I:I)),1,0)+K4906</f>
        <v>0</v>
      </c>
      <c r="M4906" s="3">
        <f ca="1">IF(AND(N4906&lt;&gt;N4905,ISNUMBER(SEARCH(Лист2!$B$6,N:N)),L4906=2),MAX($M$3:OFFSET(M4906,-1,0))+1,0)</f>
        <v>0</v>
      </c>
      <c r="N4906" s="3" t="s">
        <v>2925</v>
      </c>
    </row>
    <row r="4907" spans="1:14" x14ac:dyDescent="0.25">
      <c r="A4907" s="1" t="s">
        <v>13581</v>
      </c>
      <c r="B4907" s="3" t="s">
        <v>8531</v>
      </c>
      <c r="C4907" s="2">
        <f ca="1">IF(ISNUMBER(SEARCH(Лист2!$B$4,D:D)),MAX($C$3:OFFSET(C4907,-1,0))+1,0)</f>
        <v>0</v>
      </c>
      <c r="E4907" s="9" t="str">
        <f t="shared" ca="1" si="88"/>
        <v/>
      </c>
      <c r="F4907" s="4" t="s">
        <v>28</v>
      </c>
      <c r="G4907" s="2">
        <f>IF(ISNUMBER(SEARCH(Лист2!$B$4,F:F)),1,0)</f>
        <v>0</v>
      </c>
      <c r="H4907" s="3">
        <f ca="1">IF(AND(I4907&lt;&gt;I4906,ISNUMBER(SEARCH(Лист2!$B$5,I:I)),G4907=1),MAX($H$3:OFFSET(H4907,-1,0))+1,0)</f>
        <v>0</v>
      </c>
      <c r="I4907" s="3" t="s">
        <v>385</v>
      </c>
      <c r="K4907" s="2">
        <f>IF(ISNUMBER(SEARCH(Лист2!$B$4,F:F)),1,0)</f>
        <v>0</v>
      </c>
      <c r="L4907" s="14">
        <f>IF(ISNUMBER(SEARCH(Лист2!$B$5,I:I)),1,0)+K4907</f>
        <v>0</v>
      </c>
      <c r="M4907" s="3">
        <f ca="1">IF(AND(N4907&lt;&gt;N4906,ISNUMBER(SEARCH(Лист2!$B$6,N:N)),L4907=2),MAX($M$3:OFFSET(M4907,-1,0))+1,0)</f>
        <v>0</v>
      </c>
      <c r="N4907" s="3" t="s">
        <v>602</v>
      </c>
    </row>
    <row r="4908" spans="1:14" x14ac:dyDescent="0.25">
      <c r="A4908" s="1" t="s">
        <v>13582</v>
      </c>
      <c r="B4908" s="3" t="s">
        <v>8532</v>
      </c>
      <c r="C4908" s="2">
        <f ca="1">IF(ISNUMBER(SEARCH(Лист2!$B$4,D:D)),MAX($C$3:OFFSET(C4908,-1,0))+1,0)</f>
        <v>0</v>
      </c>
      <c r="E4908" s="9" t="str">
        <f t="shared" ca="1" si="88"/>
        <v/>
      </c>
      <c r="F4908" s="4" t="s">
        <v>28</v>
      </c>
      <c r="G4908" s="2">
        <f>IF(ISNUMBER(SEARCH(Лист2!$B$4,F:F)),1,0)</f>
        <v>0</v>
      </c>
      <c r="H4908" s="3">
        <f ca="1">IF(AND(I4908&lt;&gt;I4907,ISNUMBER(SEARCH(Лист2!$B$5,I:I)),G4908=1),MAX($H$3:OFFSET(H4908,-1,0))+1,0)</f>
        <v>0</v>
      </c>
      <c r="I4908" s="3" t="s">
        <v>385</v>
      </c>
      <c r="K4908" s="2">
        <f>IF(ISNUMBER(SEARCH(Лист2!$B$4,F:F)),1,0)</f>
        <v>0</v>
      </c>
      <c r="L4908" s="14">
        <f>IF(ISNUMBER(SEARCH(Лист2!$B$5,I:I)),1,0)+K4908</f>
        <v>0</v>
      </c>
      <c r="M4908" s="3">
        <f ca="1">IF(AND(N4908&lt;&gt;N4907,ISNUMBER(SEARCH(Лист2!$B$6,N:N)),L4908=2),MAX($M$3:OFFSET(M4908,-1,0))+1,0)</f>
        <v>0</v>
      </c>
      <c r="N4908" s="3" t="s">
        <v>2967</v>
      </c>
    </row>
    <row r="4909" spans="1:14" x14ac:dyDescent="0.25">
      <c r="A4909" s="1" t="s">
        <v>13583</v>
      </c>
      <c r="B4909" s="3" t="s">
        <v>8533</v>
      </c>
      <c r="C4909" s="2">
        <f ca="1">IF(ISNUMBER(SEARCH(Лист2!$B$4,D:D)),MAX($C$3:OFFSET(C4909,-1,0))+1,0)</f>
        <v>0</v>
      </c>
      <c r="E4909" s="9" t="str">
        <f t="shared" ca="1" si="88"/>
        <v/>
      </c>
      <c r="F4909" s="4" t="s">
        <v>28</v>
      </c>
      <c r="G4909" s="2">
        <f>IF(ISNUMBER(SEARCH(Лист2!$B$4,F:F)),1,0)</f>
        <v>0</v>
      </c>
      <c r="H4909" s="3">
        <f ca="1">IF(AND(I4909&lt;&gt;I4908,ISNUMBER(SEARCH(Лист2!$B$5,I:I)),G4909=1),MAX($H$3:OFFSET(H4909,-1,0))+1,0)</f>
        <v>0</v>
      </c>
      <c r="I4909" s="3" t="s">
        <v>385</v>
      </c>
      <c r="K4909" s="2">
        <f>IF(ISNUMBER(SEARCH(Лист2!$B$4,F:F)),1,0)</f>
        <v>0</v>
      </c>
      <c r="L4909" s="14">
        <f>IF(ISNUMBER(SEARCH(Лист2!$B$5,I:I)),1,0)+K4909</f>
        <v>0</v>
      </c>
      <c r="M4909" s="3">
        <f ca="1">IF(AND(N4909&lt;&gt;N4908,ISNUMBER(SEARCH(Лист2!$B$6,N:N)),L4909=2),MAX($M$3:OFFSET(M4909,-1,0))+1,0)</f>
        <v>0</v>
      </c>
      <c r="N4909" s="3" t="s">
        <v>2968</v>
      </c>
    </row>
    <row r="4910" spans="1:14" x14ac:dyDescent="0.25">
      <c r="A4910" s="1" t="s">
        <v>13584</v>
      </c>
      <c r="B4910" s="3" t="s">
        <v>8534</v>
      </c>
      <c r="C4910" s="2">
        <f ca="1">IF(ISNUMBER(SEARCH(Лист2!$B$4,D:D)),MAX($C$3:OFFSET(C4910,-1,0))+1,0)</f>
        <v>0</v>
      </c>
      <c r="E4910" s="9" t="str">
        <f t="shared" ca="1" si="88"/>
        <v/>
      </c>
      <c r="F4910" s="4" t="s">
        <v>28</v>
      </c>
      <c r="G4910" s="2">
        <f>IF(ISNUMBER(SEARCH(Лист2!$B$4,F:F)),1,0)</f>
        <v>0</v>
      </c>
      <c r="H4910" s="3">
        <f ca="1">IF(AND(I4910&lt;&gt;I4909,ISNUMBER(SEARCH(Лист2!$B$5,I:I)),G4910=1),MAX($H$3:OFFSET(H4910,-1,0))+1,0)</f>
        <v>0</v>
      </c>
      <c r="I4910" s="3" t="s">
        <v>385</v>
      </c>
      <c r="K4910" s="2">
        <f>IF(ISNUMBER(SEARCH(Лист2!$B$4,F:F)),1,0)</f>
        <v>0</v>
      </c>
      <c r="L4910" s="14">
        <f>IF(ISNUMBER(SEARCH(Лист2!$B$5,I:I)),1,0)+K4910</f>
        <v>0</v>
      </c>
      <c r="M4910" s="3">
        <f ca="1">IF(AND(N4910&lt;&gt;N4909,ISNUMBER(SEARCH(Лист2!$B$6,N:N)),L4910=2),MAX($M$3:OFFSET(M4910,-1,0))+1,0)</f>
        <v>0</v>
      </c>
      <c r="N4910" s="3" t="s">
        <v>2929</v>
      </c>
    </row>
    <row r="4911" spans="1:14" x14ac:dyDescent="0.25">
      <c r="A4911" s="1" t="s">
        <v>13585</v>
      </c>
      <c r="B4911" s="3" t="s">
        <v>8535</v>
      </c>
      <c r="C4911" s="2">
        <f ca="1">IF(ISNUMBER(SEARCH(Лист2!$B$4,D:D)),MAX($C$3:OFFSET(C4911,-1,0))+1,0)</f>
        <v>0</v>
      </c>
      <c r="E4911" s="9" t="str">
        <f t="shared" ca="1" si="88"/>
        <v/>
      </c>
      <c r="F4911" s="4" t="s">
        <v>28</v>
      </c>
      <c r="G4911" s="2">
        <f>IF(ISNUMBER(SEARCH(Лист2!$B$4,F:F)),1,0)</f>
        <v>0</v>
      </c>
      <c r="H4911" s="3">
        <f ca="1">IF(AND(I4911&lt;&gt;I4910,ISNUMBER(SEARCH(Лист2!$B$5,I:I)),G4911=1),MAX($H$3:OFFSET(H4911,-1,0))+1,0)</f>
        <v>0</v>
      </c>
      <c r="I4911" s="3" t="s">
        <v>386</v>
      </c>
      <c r="K4911" s="2">
        <f>IF(ISNUMBER(SEARCH(Лист2!$B$4,F:F)),1,0)</f>
        <v>0</v>
      </c>
      <c r="L4911" s="14">
        <f>IF(ISNUMBER(SEARCH(Лист2!$B$5,I:I)),1,0)+K4911</f>
        <v>0</v>
      </c>
      <c r="M4911" s="3">
        <f ca="1">IF(AND(N4911&lt;&gt;N4910,ISNUMBER(SEARCH(Лист2!$B$6,N:N)),L4911=2),MAX($M$3:OFFSET(M4911,-1,0))+1,0)</f>
        <v>0</v>
      </c>
      <c r="N4911" s="3" t="s">
        <v>2969</v>
      </c>
    </row>
    <row r="4912" spans="1:14" x14ac:dyDescent="0.25">
      <c r="A4912" s="1" t="s">
        <v>13586</v>
      </c>
      <c r="B4912" s="3" t="s">
        <v>8536</v>
      </c>
      <c r="C4912" s="2">
        <f ca="1">IF(ISNUMBER(SEARCH(Лист2!$B$4,D:D)),MAX($C$3:OFFSET(C4912,-1,0))+1,0)</f>
        <v>0</v>
      </c>
      <c r="E4912" s="9" t="str">
        <f t="shared" ca="1" si="88"/>
        <v/>
      </c>
      <c r="F4912" s="4" t="s">
        <v>28</v>
      </c>
      <c r="G4912" s="2">
        <f>IF(ISNUMBER(SEARCH(Лист2!$B$4,F:F)),1,0)</f>
        <v>0</v>
      </c>
      <c r="H4912" s="3">
        <f ca="1">IF(AND(I4912&lt;&gt;I4911,ISNUMBER(SEARCH(Лист2!$B$5,I:I)),G4912=1),MAX($H$3:OFFSET(H4912,-1,0))+1,0)</f>
        <v>0</v>
      </c>
      <c r="I4912" s="3" t="s">
        <v>386</v>
      </c>
      <c r="K4912" s="2">
        <f>IF(ISNUMBER(SEARCH(Лист2!$B$4,F:F)),1,0)</f>
        <v>0</v>
      </c>
      <c r="L4912" s="14">
        <f>IF(ISNUMBER(SEARCH(Лист2!$B$5,I:I)),1,0)+K4912</f>
        <v>0</v>
      </c>
      <c r="M4912" s="3">
        <f ca="1">IF(AND(N4912&lt;&gt;N4911,ISNUMBER(SEARCH(Лист2!$B$6,N:N)),L4912=2),MAX($M$3:OFFSET(M4912,-1,0))+1,0)</f>
        <v>0</v>
      </c>
      <c r="N4912" s="3" t="s">
        <v>2970</v>
      </c>
    </row>
    <row r="4913" spans="1:14" x14ac:dyDescent="0.25">
      <c r="A4913" s="1" t="s">
        <v>13587</v>
      </c>
      <c r="B4913" s="3" t="s">
        <v>8537</v>
      </c>
      <c r="C4913" s="2">
        <f ca="1">IF(ISNUMBER(SEARCH(Лист2!$B$4,D:D)),MAX($C$3:OFFSET(C4913,-1,0))+1,0)</f>
        <v>0</v>
      </c>
      <c r="E4913" s="9" t="str">
        <f t="shared" ca="1" si="88"/>
        <v/>
      </c>
      <c r="F4913" s="4" t="s">
        <v>28</v>
      </c>
      <c r="G4913" s="2">
        <f>IF(ISNUMBER(SEARCH(Лист2!$B$4,F:F)),1,0)</f>
        <v>0</v>
      </c>
      <c r="H4913" s="3">
        <f ca="1">IF(AND(I4913&lt;&gt;I4912,ISNUMBER(SEARCH(Лист2!$B$5,I:I)),G4913=1),MAX($H$3:OFFSET(H4913,-1,0))+1,0)</f>
        <v>0</v>
      </c>
      <c r="I4913" s="3" t="s">
        <v>386</v>
      </c>
      <c r="K4913" s="2">
        <f>IF(ISNUMBER(SEARCH(Лист2!$B$4,F:F)),1,0)</f>
        <v>0</v>
      </c>
      <c r="L4913" s="14">
        <f>IF(ISNUMBER(SEARCH(Лист2!$B$5,I:I)),1,0)+K4913</f>
        <v>0</v>
      </c>
      <c r="M4913" s="3">
        <f ca="1">IF(AND(N4913&lt;&gt;N4912,ISNUMBER(SEARCH(Лист2!$B$6,N:N)),L4913=2),MAX($M$3:OFFSET(M4913,-1,0))+1,0)</f>
        <v>0</v>
      </c>
      <c r="N4913" s="3" t="s">
        <v>2957</v>
      </c>
    </row>
    <row r="4914" spans="1:14" x14ac:dyDescent="0.25">
      <c r="A4914" s="1" t="s">
        <v>13588</v>
      </c>
      <c r="B4914" s="3" t="s">
        <v>8538</v>
      </c>
      <c r="C4914" s="2">
        <f ca="1">IF(ISNUMBER(SEARCH(Лист2!$B$4,D:D)),MAX($C$3:OFFSET(C4914,-1,0))+1,0)</f>
        <v>0</v>
      </c>
      <c r="E4914" s="9" t="str">
        <f t="shared" ca="1" si="88"/>
        <v/>
      </c>
      <c r="F4914" s="4" t="s">
        <v>28</v>
      </c>
      <c r="G4914" s="2">
        <f>IF(ISNUMBER(SEARCH(Лист2!$B$4,F:F)),1,0)</f>
        <v>0</v>
      </c>
      <c r="H4914" s="3">
        <f ca="1">IF(AND(I4914&lt;&gt;I4913,ISNUMBER(SEARCH(Лист2!$B$5,I:I)),G4914=1),MAX($H$3:OFFSET(H4914,-1,0))+1,0)</f>
        <v>0</v>
      </c>
      <c r="I4914" s="3" t="s">
        <v>386</v>
      </c>
      <c r="K4914" s="2">
        <f>IF(ISNUMBER(SEARCH(Лист2!$B$4,F:F)),1,0)</f>
        <v>0</v>
      </c>
      <c r="L4914" s="14">
        <f>IF(ISNUMBER(SEARCH(Лист2!$B$5,I:I)),1,0)+K4914</f>
        <v>0</v>
      </c>
      <c r="M4914" s="3">
        <f ca="1">IF(AND(N4914&lt;&gt;N4913,ISNUMBER(SEARCH(Лист2!$B$6,N:N)),L4914=2),MAX($M$3:OFFSET(M4914,-1,0))+1,0)</f>
        <v>0</v>
      </c>
      <c r="N4914" s="3" t="s">
        <v>2966</v>
      </c>
    </row>
    <row r="4915" spans="1:14" x14ac:dyDescent="0.25">
      <c r="A4915" s="1" t="s">
        <v>13589</v>
      </c>
      <c r="B4915" s="3" t="s">
        <v>8539</v>
      </c>
      <c r="C4915" s="2">
        <f ca="1">IF(ISNUMBER(SEARCH(Лист2!$B$4,D:D)),MAX($C$3:OFFSET(C4915,-1,0))+1,0)</f>
        <v>0</v>
      </c>
      <c r="E4915" s="9" t="str">
        <f t="shared" ca="1" si="88"/>
        <v/>
      </c>
      <c r="F4915" s="4" t="s">
        <v>28</v>
      </c>
      <c r="G4915" s="2">
        <f>IF(ISNUMBER(SEARCH(Лист2!$B$4,F:F)),1,0)</f>
        <v>0</v>
      </c>
      <c r="H4915" s="3">
        <f ca="1">IF(AND(I4915&lt;&gt;I4914,ISNUMBER(SEARCH(Лист2!$B$5,I:I)),G4915=1),MAX($H$3:OFFSET(H4915,-1,0))+1,0)</f>
        <v>0</v>
      </c>
      <c r="I4915" s="3" t="s">
        <v>386</v>
      </c>
      <c r="K4915" s="2">
        <f>IF(ISNUMBER(SEARCH(Лист2!$B$4,F:F)),1,0)</f>
        <v>0</v>
      </c>
      <c r="L4915" s="14">
        <f>IF(ISNUMBER(SEARCH(Лист2!$B$5,I:I)),1,0)+K4915</f>
        <v>0</v>
      </c>
      <c r="M4915" s="3">
        <f ca="1">IF(AND(N4915&lt;&gt;N4914,ISNUMBER(SEARCH(Лист2!$B$6,N:N)),L4915=2),MAX($M$3:OFFSET(M4915,-1,0))+1,0)</f>
        <v>0</v>
      </c>
      <c r="N4915" s="3" t="s">
        <v>2925</v>
      </c>
    </row>
    <row r="4916" spans="1:14" x14ac:dyDescent="0.25">
      <c r="A4916" s="1" t="s">
        <v>13590</v>
      </c>
      <c r="B4916" s="3" t="s">
        <v>8540</v>
      </c>
      <c r="C4916" s="2">
        <f ca="1">IF(ISNUMBER(SEARCH(Лист2!$B$4,D:D)),MAX($C$3:OFFSET(C4916,-1,0))+1,0)</f>
        <v>0</v>
      </c>
      <c r="E4916" s="9" t="str">
        <f t="shared" ca="1" si="88"/>
        <v/>
      </c>
      <c r="F4916" s="4" t="s">
        <v>28</v>
      </c>
      <c r="G4916" s="2">
        <f>IF(ISNUMBER(SEARCH(Лист2!$B$4,F:F)),1,0)</f>
        <v>0</v>
      </c>
      <c r="H4916" s="3">
        <f ca="1">IF(AND(I4916&lt;&gt;I4915,ISNUMBER(SEARCH(Лист2!$B$5,I:I)),G4916=1),MAX($H$3:OFFSET(H4916,-1,0))+1,0)</f>
        <v>0</v>
      </c>
      <c r="I4916" s="3" t="s">
        <v>386</v>
      </c>
      <c r="K4916" s="2">
        <f>IF(ISNUMBER(SEARCH(Лист2!$B$4,F:F)),1,0)</f>
        <v>0</v>
      </c>
      <c r="L4916" s="14">
        <f>IF(ISNUMBER(SEARCH(Лист2!$B$5,I:I)),1,0)+K4916</f>
        <v>0</v>
      </c>
      <c r="M4916" s="3">
        <f ca="1">IF(AND(N4916&lt;&gt;N4915,ISNUMBER(SEARCH(Лист2!$B$6,N:N)),L4916=2),MAX($M$3:OFFSET(M4916,-1,0))+1,0)</f>
        <v>0</v>
      </c>
      <c r="N4916" s="3" t="s">
        <v>602</v>
      </c>
    </row>
    <row r="4917" spans="1:14" x14ac:dyDescent="0.25">
      <c r="A4917" s="1" t="s">
        <v>13591</v>
      </c>
      <c r="B4917" s="3" t="s">
        <v>8541</v>
      </c>
      <c r="C4917" s="2">
        <f ca="1">IF(ISNUMBER(SEARCH(Лист2!$B$4,D:D)),MAX($C$3:OFFSET(C4917,-1,0))+1,0)</f>
        <v>0</v>
      </c>
      <c r="E4917" s="9" t="str">
        <f t="shared" ca="1" si="88"/>
        <v/>
      </c>
      <c r="F4917" s="4" t="s">
        <v>28</v>
      </c>
      <c r="G4917" s="2">
        <f>IF(ISNUMBER(SEARCH(Лист2!$B$4,F:F)),1,0)</f>
        <v>0</v>
      </c>
      <c r="H4917" s="3">
        <f ca="1">IF(AND(I4917&lt;&gt;I4916,ISNUMBER(SEARCH(Лист2!$B$5,I:I)),G4917=1),MAX($H$3:OFFSET(H4917,-1,0))+1,0)</f>
        <v>0</v>
      </c>
      <c r="I4917" s="3" t="s">
        <v>386</v>
      </c>
      <c r="K4917" s="2">
        <f>IF(ISNUMBER(SEARCH(Лист2!$B$4,F:F)),1,0)</f>
        <v>0</v>
      </c>
      <c r="L4917" s="14">
        <f>IF(ISNUMBER(SEARCH(Лист2!$B$5,I:I)),1,0)+K4917</f>
        <v>0</v>
      </c>
      <c r="M4917" s="3">
        <f ca="1">IF(AND(N4917&lt;&gt;N4916,ISNUMBER(SEARCH(Лист2!$B$6,N:N)),L4917=2),MAX($M$3:OFFSET(M4917,-1,0))+1,0)</f>
        <v>0</v>
      </c>
      <c r="N4917" s="3" t="s">
        <v>2971</v>
      </c>
    </row>
    <row r="4918" spans="1:14" x14ac:dyDescent="0.25">
      <c r="A4918" s="1" t="s">
        <v>13592</v>
      </c>
      <c r="B4918" s="3" t="s">
        <v>8542</v>
      </c>
      <c r="C4918" s="2">
        <f ca="1">IF(ISNUMBER(SEARCH(Лист2!$B$4,D:D)),MAX($C$3:OFFSET(C4918,-1,0))+1,0)</f>
        <v>0</v>
      </c>
      <c r="E4918" s="9" t="str">
        <f t="shared" ca="1" si="88"/>
        <v/>
      </c>
      <c r="F4918" s="4" t="s">
        <v>28</v>
      </c>
      <c r="G4918" s="2">
        <f>IF(ISNUMBER(SEARCH(Лист2!$B$4,F:F)),1,0)</f>
        <v>0</v>
      </c>
      <c r="H4918" s="3">
        <f ca="1">IF(AND(I4918&lt;&gt;I4917,ISNUMBER(SEARCH(Лист2!$B$5,I:I)),G4918=1),MAX($H$3:OFFSET(H4918,-1,0))+1,0)</f>
        <v>0</v>
      </c>
      <c r="I4918" s="3" t="s">
        <v>386</v>
      </c>
      <c r="K4918" s="2">
        <f>IF(ISNUMBER(SEARCH(Лист2!$B$4,F:F)),1,0)</f>
        <v>0</v>
      </c>
      <c r="L4918" s="14">
        <f>IF(ISNUMBER(SEARCH(Лист2!$B$5,I:I)),1,0)+K4918</f>
        <v>0</v>
      </c>
      <c r="M4918" s="3">
        <f ca="1">IF(AND(N4918&lt;&gt;N4917,ISNUMBER(SEARCH(Лист2!$B$6,N:N)),L4918=2),MAX($M$3:OFFSET(M4918,-1,0))+1,0)</f>
        <v>0</v>
      </c>
      <c r="N4918" s="3" t="s">
        <v>2972</v>
      </c>
    </row>
    <row r="4919" spans="1:14" x14ac:dyDescent="0.25">
      <c r="A4919" s="1" t="s">
        <v>13593</v>
      </c>
      <c r="B4919" s="3" t="s">
        <v>8543</v>
      </c>
      <c r="C4919" s="2">
        <f ca="1">IF(ISNUMBER(SEARCH(Лист2!$B$4,D:D)),MAX($C$3:OFFSET(C4919,-1,0))+1,0)</f>
        <v>0</v>
      </c>
      <c r="E4919" s="9" t="str">
        <f t="shared" ca="1" si="88"/>
        <v/>
      </c>
      <c r="F4919" s="4" t="s">
        <v>28</v>
      </c>
      <c r="G4919" s="2">
        <f>IF(ISNUMBER(SEARCH(Лист2!$B$4,F:F)),1,0)</f>
        <v>0</v>
      </c>
      <c r="H4919" s="3">
        <f ca="1">IF(AND(I4919&lt;&gt;I4918,ISNUMBER(SEARCH(Лист2!$B$5,I:I)),G4919=1),MAX($H$3:OFFSET(H4919,-1,0))+1,0)</f>
        <v>0</v>
      </c>
      <c r="I4919" s="3" t="s">
        <v>386</v>
      </c>
      <c r="K4919" s="2">
        <f>IF(ISNUMBER(SEARCH(Лист2!$B$4,F:F)),1,0)</f>
        <v>0</v>
      </c>
      <c r="L4919" s="14">
        <f>IF(ISNUMBER(SEARCH(Лист2!$B$5,I:I)),1,0)+K4919</f>
        <v>0</v>
      </c>
      <c r="M4919" s="3">
        <f ca="1">IF(AND(N4919&lt;&gt;N4918,ISNUMBER(SEARCH(Лист2!$B$6,N:N)),L4919=2),MAX($M$3:OFFSET(M4919,-1,0))+1,0)</f>
        <v>0</v>
      </c>
      <c r="N4919" s="3" t="s">
        <v>2929</v>
      </c>
    </row>
    <row r="4920" spans="1:14" x14ac:dyDescent="0.25">
      <c r="A4920" s="1" t="s">
        <v>13594</v>
      </c>
      <c r="B4920" s="3" t="s">
        <v>8544</v>
      </c>
      <c r="C4920" s="2">
        <f ca="1">IF(ISNUMBER(SEARCH(Лист2!$B$4,D:D)),MAX($C$3:OFFSET(C4920,-1,0))+1,0)</f>
        <v>0</v>
      </c>
      <c r="E4920" s="9" t="str">
        <f t="shared" ca="1" si="88"/>
        <v/>
      </c>
      <c r="F4920" s="4" t="s">
        <v>28</v>
      </c>
      <c r="G4920" s="2">
        <f>IF(ISNUMBER(SEARCH(Лист2!$B$4,F:F)),1,0)</f>
        <v>0</v>
      </c>
      <c r="H4920" s="3">
        <f ca="1">IF(AND(I4920&lt;&gt;I4919,ISNUMBER(SEARCH(Лист2!$B$5,I:I)),G4920=1),MAX($H$3:OFFSET(H4920,-1,0))+1,0)</f>
        <v>0</v>
      </c>
      <c r="I4920" s="3" t="s">
        <v>387</v>
      </c>
      <c r="K4920" s="2">
        <f>IF(ISNUMBER(SEARCH(Лист2!$B$4,F:F)),1,0)</f>
        <v>0</v>
      </c>
      <c r="L4920" s="14">
        <f>IF(ISNUMBER(SEARCH(Лист2!$B$5,I:I)),1,0)+K4920</f>
        <v>0</v>
      </c>
      <c r="M4920" s="3">
        <f ca="1">IF(AND(N4920&lt;&gt;N4919,ISNUMBER(SEARCH(Лист2!$B$6,N:N)),L4920=2),MAX($M$3:OFFSET(M4920,-1,0))+1,0)</f>
        <v>0</v>
      </c>
      <c r="N4920" s="3" t="s">
        <v>2973</v>
      </c>
    </row>
    <row r="4921" spans="1:14" x14ac:dyDescent="0.25">
      <c r="A4921" s="1" t="s">
        <v>13595</v>
      </c>
      <c r="B4921" s="3" t="s">
        <v>8545</v>
      </c>
      <c r="C4921" s="2">
        <f ca="1">IF(ISNUMBER(SEARCH(Лист2!$B$4,D:D)),MAX($C$3:OFFSET(C4921,-1,0))+1,0)</f>
        <v>0</v>
      </c>
      <c r="E4921" s="9" t="str">
        <f t="shared" ca="1" si="88"/>
        <v/>
      </c>
      <c r="F4921" s="4" t="s">
        <v>28</v>
      </c>
      <c r="G4921" s="2">
        <f>IF(ISNUMBER(SEARCH(Лист2!$B$4,F:F)),1,0)</f>
        <v>0</v>
      </c>
      <c r="H4921" s="3">
        <f ca="1">IF(AND(I4921&lt;&gt;I4920,ISNUMBER(SEARCH(Лист2!$B$5,I:I)),G4921=1),MAX($H$3:OFFSET(H4921,-1,0))+1,0)</f>
        <v>0</v>
      </c>
      <c r="I4921" s="3" t="s">
        <v>387</v>
      </c>
      <c r="K4921" s="2">
        <f>IF(ISNUMBER(SEARCH(Лист2!$B$4,F:F)),1,0)</f>
        <v>0</v>
      </c>
      <c r="L4921" s="14">
        <f>IF(ISNUMBER(SEARCH(Лист2!$B$5,I:I)),1,0)+K4921</f>
        <v>0</v>
      </c>
      <c r="M4921" s="3">
        <f ca="1">IF(AND(N4921&lt;&gt;N4920,ISNUMBER(SEARCH(Лист2!$B$6,N:N)),L4921=2),MAX($M$3:OFFSET(M4921,-1,0))+1,0)</f>
        <v>0</v>
      </c>
      <c r="N4921" s="3" t="s">
        <v>2974</v>
      </c>
    </row>
    <row r="4922" spans="1:14" x14ac:dyDescent="0.25">
      <c r="A4922" s="1" t="s">
        <v>13595</v>
      </c>
      <c r="B4922" s="3" t="s">
        <v>8546</v>
      </c>
      <c r="C4922" s="2">
        <f ca="1">IF(ISNUMBER(SEARCH(Лист2!$B$4,D:D)),MAX($C$3:OFFSET(C4922,-1,0))+1,0)</f>
        <v>0</v>
      </c>
      <c r="E4922" s="9" t="str">
        <f t="shared" ca="1" si="88"/>
        <v/>
      </c>
      <c r="F4922" s="4" t="s">
        <v>28</v>
      </c>
      <c r="G4922" s="2">
        <f>IF(ISNUMBER(SEARCH(Лист2!$B$4,F:F)),1,0)</f>
        <v>0</v>
      </c>
      <c r="H4922" s="3">
        <f ca="1">IF(AND(I4922&lt;&gt;I4921,ISNUMBER(SEARCH(Лист2!$B$5,I:I)),G4922=1),MAX($H$3:OFFSET(H4922,-1,0))+1,0)</f>
        <v>0</v>
      </c>
      <c r="I4922" s="3" t="s">
        <v>387</v>
      </c>
      <c r="K4922" s="2">
        <f>IF(ISNUMBER(SEARCH(Лист2!$B$4,F:F)),1,0)</f>
        <v>0</v>
      </c>
      <c r="L4922" s="14">
        <f>IF(ISNUMBER(SEARCH(Лист2!$B$5,I:I)),1,0)+K4922</f>
        <v>0</v>
      </c>
      <c r="M4922" s="3">
        <f ca="1">IF(AND(N4922&lt;&gt;N4921,ISNUMBER(SEARCH(Лист2!$B$6,N:N)),L4922=2),MAX($M$3:OFFSET(M4922,-1,0))+1,0)</f>
        <v>0</v>
      </c>
      <c r="N4922" s="3" t="s">
        <v>2974</v>
      </c>
    </row>
    <row r="4923" spans="1:14" x14ac:dyDescent="0.25">
      <c r="A4923" s="1" t="s">
        <v>13596</v>
      </c>
      <c r="B4923" s="3" t="s">
        <v>8547</v>
      </c>
      <c r="C4923" s="2">
        <f ca="1">IF(ISNUMBER(SEARCH(Лист2!$B$4,D:D)),MAX($C$3:OFFSET(C4923,-1,0))+1,0)</f>
        <v>0</v>
      </c>
      <c r="E4923" s="9" t="str">
        <f t="shared" ca="1" si="88"/>
        <v/>
      </c>
      <c r="F4923" s="4" t="s">
        <v>28</v>
      </c>
      <c r="G4923" s="2">
        <f>IF(ISNUMBER(SEARCH(Лист2!$B$4,F:F)),1,0)</f>
        <v>0</v>
      </c>
      <c r="H4923" s="3">
        <f ca="1">IF(AND(I4923&lt;&gt;I4922,ISNUMBER(SEARCH(Лист2!$B$5,I:I)),G4923=1),MAX($H$3:OFFSET(H4923,-1,0))+1,0)</f>
        <v>0</v>
      </c>
      <c r="I4923" s="3" t="s">
        <v>387</v>
      </c>
      <c r="K4923" s="2">
        <f>IF(ISNUMBER(SEARCH(Лист2!$B$4,F:F)),1,0)</f>
        <v>0</v>
      </c>
      <c r="L4923" s="14">
        <f>IF(ISNUMBER(SEARCH(Лист2!$B$5,I:I)),1,0)+K4923</f>
        <v>0</v>
      </c>
      <c r="M4923" s="3">
        <f ca="1">IF(AND(N4923&lt;&gt;N4922,ISNUMBER(SEARCH(Лист2!$B$6,N:N)),L4923=2),MAX($M$3:OFFSET(M4923,-1,0))+1,0)</f>
        <v>0</v>
      </c>
      <c r="N4923" s="3" t="s">
        <v>2957</v>
      </c>
    </row>
    <row r="4924" spans="1:14" x14ac:dyDescent="0.25">
      <c r="A4924" s="1" t="s">
        <v>13597</v>
      </c>
      <c r="B4924" s="3" t="s">
        <v>8548</v>
      </c>
      <c r="C4924" s="2">
        <f ca="1">IF(ISNUMBER(SEARCH(Лист2!$B$4,D:D)),MAX($C$3:OFFSET(C4924,-1,0))+1,0)</f>
        <v>0</v>
      </c>
      <c r="E4924" s="9" t="str">
        <f t="shared" ca="1" si="88"/>
        <v/>
      </c>
      <c r="F4924" s="4" t="s">
        <v>28</v>
      </c>
      <c r="G4924" s="2">
        <f>IF(ISNUMBER(SEARCH(Лист2!$B$4,F:F)),1,0)</f>
        <v>0</v>
      </c>
      <c r="H4924" s="3">
        <f ca="1">IF(AND(I4924&lt;&gt;I4923,ISNUMBER(SEARCH(Лист2!$B$5,I:I)),G4924=1),MAX($H$3:OFFSET(H4924,-1,0))+1,0)</f>
        <v>0</v>
      </c>
      <c r="I4924" s="3" t="s">
        <v>387</v>
      </c>
      <c r="K4924" s="2">
        <f>IF(ISNUMBER(SEARCH(Лист2!$B$4,F:F)),1,0)</f>
        <v>0</v>
      </c>
      <c r="L4924" s="14">
        <f>IF(ISNUMBER(SEARCH(Лист2!$B$5,I:I)),1,0)+K4924</f>
        <v>0</v>
      </c>
      <c r="M4924" s="3">
        <f ca="1">IF(AND(N4924&lt;&gt;N4923,ISNUMBER(SEARCH(Лист2!$B$6,N:N)),L4924=2),MAX($M$3:OFFSET(M4924,-1,0))+1,0)</f>
        <v>0</v>
      </c>
      <c r="N4924" s="3" t="s">
        <v>2936</v>
      </c>
    </row>
    <row r="4925" spans="1:14" x14ac:dyDescent="0.25">
      <c r="A4925" s="1" t="s">
        <v>13598</v>
      </c>
      <c r="B4925" s="3" t="s">
        <v>8549</v>
      </c>
      <c r="C4925" s="2">
        <f ca="1">IF(ISNUMBER(SEARCH(Лист2!$B$4,D:D)),MAX($C$3:OFFSET(C4925,-1,0))+1,0)</f>
        <v>0</v>
      </c>
      <c r="E4925" s="9" t="str">
        <f t="shared" ca="1" si="88"/>
        <v/>
      </c>
      <c r="F4925" s="4" t="s">
        <v>28</v>
      </c>
      <c r="G4925" s="2">
        <f>IF(ISNUMBER(SEARCH(Лист2!$B$4,F:F)),1,0)</f>
        <v>0</v>
      </c>
      <c r="H4925" s="3">
        <f ca="1">IF(AND(I4925&lt;&gt;I4924,ISNUMBER(SEARCH(Лист2!$B$5,I:I)),G4925=1),MAX($H$3:OFFSET(H4925,-1,0))+1,0)</f>
        <v>0</v>
      </c>
      <c r="I4925" s="3" t="s">
        <v>387</v>
      </c>
      <c r="K4925" s="2">
        <f>IF(ISNUMBER(SEARCH(Лист2!$B$4,F:F)),1,0)</f>
        <v>0</v>
      </c>
      <c r="L4925" s="14">
        <f>IF(ISNUMBER(SEARCH(Лист2!$B$5,I:I)),1,0)+K4925</f>
        <v>0</v>
      </c>
      <c r="M4925" s="3">
        <f ca="1">IF(AND(N4925&lt;&gt;N4924,ISNUMBER(SEARCH(Лист2!$B$6,N:N)),L4925=2),MAX($M$3:OFFSET(M4925,-1,0))+1,0)</f>
        <v>0</v>
      </c>
      <c r="N4925" s="3" t="s">
        <v>2924</v>
      </c>
    </row>
    <row r="4926" spans="1:14" x14ac:dyDescent="0.25">
      <c r="A4926" s="1" t="s">
        <v>13599</v>
      </c>
      <c r="B4926" s="3" t="s">
        <v>8550</v>
      </c>
      <c r="C4926" s="2">
        <f ca="1">IF(ISNUMBER(SEARCH(Лист2!$B$4,D:D)),MAX($C$3:OFFSET(C4926,-1,0))+1,0)</f>
        <v>0</v>
      </c>
      <c r="E4926" s="9" t="str">
        <f t="shared" ca="1" si="88"/>
        <v/>
      </c>
      <c r="F4926" s="4" t="s">
        <v>28</v>
      </c>
      <c r="G4926" s="2">
        <f>IF(ISNUMBER(SEARCH(Лист2!$B$4,F:F)),1,0)</f>
        <v>0</v>
      </c>
      <c r="H4926" s="3">
        <f ca="1">IF(AND(I4926&lt;&gt;I4925,ISNUMBER(SEARCH(Лист2!$B$5,I:I)),G4926=1),MAX($H$3:OFFSET(H4926,-1,0))+1,0)</f>
        <v>0</v>
      </c>
      <c r="I4926" s="3" t="s">
        <v>387</v>
      </c>
      <c r="K4926" s="2">
        <f>IF(ISNUMBER(SEARCH(Лист2!$B$4,F:F)),1,0)</f>
        <v>0</v>
      </c>
      <c r="L4926" s="14">
        <f>IF(ISNUMBER(SEARCH(Лист2!$B$5,I:I)),1,0)+K4926</f>
        <v>0</v>
      </c>
      <c r="M4926" s="3">
        <f ca="1">IF(AND(N4926&lt;&gt;N4925,ISNUMBER(SEARCH(Лист2!$B$6,N:N)),L4926=2),MAX($M$3:OFFSET(M4926,-1,0))+1,0)</f>
        <v>0</v>
      </c>
      <c r="N4926" s="3" t="s">
        <v>2925</v>
      </c>
    </row>
    <row r="4927" spans="1:14" x14ac:dyDescent="0.25">
      <c r="A4927" s="1" t="s">
        <v>13600</v>
      </c>
      <c r="B4927" s="3" t="s">
        <v>8551</v>
      </c>
      <c r="C4927" s="2">
        <f ca="1">IF(ISNUMBER(SEARCH(Лист2!$B$4,D:D)),MAX($C$3:OFFSET(C4927,-1,0))+1,0)</f>
        <v>0</v>
      </c>
      <c r="E4927" s="9" t="str">
        <f t="shared" ca="1" si="88"/>
        <v/>
      </c>
      <c r="F4927" s="4" t="s">
        <v>28</v>
      </c>
      <c r="G4927" s="2">
        <f>IF(ISNUMBER(SEARCH(Лист2!$B$4,F:F)),1,0)</f>
        <v>0</v>
      </c>
      <c r="H4927" s="3">
        <f ca="1">IF(AND(I4927&lt;&gt;I4926,ISNUMBER(SEARCH(Лист2!$B$5,I:I)),G4927=1),MAX($H$3:OFFSET(H4927,-1,0))+1,0)</f>
        <v>0</v>
      </c>
      <c r="I4927" s="3" t="s">
        <v>387</v>
      </c>
      <c r="K4927" s="2">
        <f>IF(ISNUMBER(SEARCH(Лист2!$B$4,F:F)),1,0)</f>
        <v>0</v>
      </c>
      <c r="L4927" s="14">
        <f>IF(ISNUMBER(SEARCH(Лист2!$B$5,I:I)),1,0)+K4927</f>
        <v>0</v>
      </c>
      <c r="M4927" s="3">
        <f ca="1">IF(AND(N4927&lt;&gt;N4926,ISNUMBER(SEARCH(Лист2!$B$6,N:N)),L4927=2),MAX($M$3:OFFSET(M4927,-1,0))+1,0)</f>
        <v>0</v>
      </c>
      <c r="N4927" s="3" t="s">
        <v>602</v>
      </c>
    </row>
    <row r="4928" spans="1:14" x14ac:dyDescent="0.25">
      <c r="A4928" s="1" t="s">
        <v>13601</v>
      </c>
      <c r="B4928" s="3" t="s">
        <v>8552</v>
      </c>
      <c r="C4928" s="2">
        <f ca="1">IF(ISNUMBER(SEARCH(Лист2!$B$4,D:D)),MAX($C$3:OFFSET(C4928,-1,0))+1,0)</f>
        <v>0</v>
      </c>
      <c r="E4928" s="9" t="str">
        <f t="shared" ca="1" si="88"/>
        <v/>
      </c>
      <c r="F4928" s="4" t="s">
        <v>28</v>
      </c>
      <c r="G4928" s="2">
        <f>IF(ISNUMBER(SEARCH(Лист2!$B$4,F:F)),1,0)</f>
        <v>0</v>
      </c>
      <c r="H4928" s="3">
        <f ca="1">IF(AND(I4928&lt;&gt;I4927,ISNUMBER(SEARCH(Лист2!$B$5,I:I)),G4928=1),MAX($H$3:OFFSET(H4928,-1,0))+1,0)</f>
        <v>0</v>
      </c>
      <c r="I4928" s="3" t="s">
        <v>387</v>
      </c>
      <c r="K4928" s="2">
        <f>IF(ISNUMBER(SEARCH(Лист2!$B$4,F:F)),1,0)</f>
        <v>0</v>
      </c>
      <c r="L4928" s="14">
        <f>IF(ISNUMBER(SEARCH(Лист2!$B$5,I:I)),1,0)+K4928</f>
        <v>0</v>
      </c>
      <c r="M4928" s="3">
        <f ca="1">IF(AND(N4928&lt;&gt;N4927,ISNUMBER(SEARCH(Лист2!$B$6,N:N)),L4928=2),MAX($M$3:OFFSET(M4928,-1,0))+1,0)</f>
        <v>0</v>
      </c>
      <c r="N4928" s="3" t="s">
        <v>2975</v>
      </c>
    </row>
    <row r="4929" spans="1:14" x14ac:dyDescent="0.25">
      <c r="A4929" s="1" t="s">
        <v>13602</v>
      </c>
      <c r="B4929" s="3" t="s">
        <v>8553</v>
      </c>
      <c r="C4929" s="2">
        <f ca="1">IF(ISNUMBER(SEARCH(Лист2!$B$4,D:D)),MAX($C$3:OFFSET(C4929,-1,0))+1,0)</f>
        <v>0</v>
      </c>
      <c r="E4929" s="9" t="str">
        <f t="shared" ca="1" si="88"/>
        <v/>
      </c>
      <c r="F4929" s="4" t="s">
        <v>28</v>
      </c>
      <c r="G4929" s="2">
        <f>IF(ISNUMBER(SEARCH(Лист2!$B$4,F:F)),1,0)</f>
        <v>0</v>
      </c>
      <c r="H4929" s="3">
        <f ca="1">IF(AND(I4929&lt;&gt;I4928,ISNUMBER(SEARCH(Лист2!$B$5,I:I)),G4929=1),MAX($H$3:OFFSET(H4929,-1,0))+1,0)</f>
        <v>0</v>
      </c>
      <c r="I4929" s="3" t="s">
        <v>387</v>
      </c>
      <c r="K4929" s="2">
        <f>IF(ISNUMBER(SEARCH(Лист2!$B$4,F:F)),1,0)</f>
        <v>0</v>
      </c>
      <c r="L4929" s="14">
        <f>IF(ISNUMBER(SEARCH(Лист2!$B$5,I:I)),1,0)+K4929</f>
        <v>0</v>
      </c>
      <c r="M4929" s="3">
        <f ca="1">IF(AND(N4929&lt;&gt;N4928,ISNUMBER(SEARCH(Лист2!$B$6,N:N)),L4929=2),MAX($M$3:OFFSET(M4929,-1,0))+1,0)</f>
        <v>0</v>
      </c>
      <c r="N4929" s="3" t="s">
        <v>2976</v>
      </c>
    </row>
    <row r="4930" spans="1:14" x14ac:dyDescent="0.25">
      <c r="A4930" s="1" t="s">
        <v>13603</v>
      </c>
      <c r="B4930" s="3" t="s">
        <v>8554</v>
      </c>
      <c r="C4930" s="2">
        <f ca="1">IF(ISNUMBER(SEARCH(Лист2!$B$4,D:D)),MAX($C$3:OFFSET(C4930,-1,0))+1,0)</f>
        <v>0</v>
      </c>
      <c r="E4930" s="9" t="str">
        <f t="shared" ca="1" si="88"/>
        <v/>
      </c>
      <c r="F4930" s="4" t="s">
        <v>28</v>
      </c>
      <c r="G4930" s="2">
        <f>IF(ISNUMBER(SEARCH(Лист2!$B$4,F:F)),1,0)</f>
        <v>0</v>
      </c>
      <c r="H4930" s="3">
        <f ca="1">IF(AND(I4930&lt;&gt;I4929,ISNUMBER(SEARCH(Лист2!$B$5,I:I)),G4930=1),MAX($H$3:OFFSET(H4930,-1,0))+1,0)</f>
        <v>0</v>
      </c>
      <c r="I4930" s="3" t="s">
        <v>387</v>
      </c>
      <c r="K4930" s="2">
        <f>IF(ISNUMBER(SEARCH(Лист2!$B$4,F:F)),1,0)</f>
        <v>0</v>
      </c>
      <c r="L4930" s="14">
        <f>IF(ISNUMBER(SEARCH(Лист2!$B$5,I:I)),1,0)+K4930</f>
        <v>0</v>
      </c>
      <c r="M4930" s="3">
        <f ca="1">IF(AND(N4930&lt;&gt;N4929,ISNUMBER(SEARCH(Лист2!$B$6,N:N)),L4930=2),MAX($M$3:OFFSET(M4930,-1,0))+1,0)</f>
        <v>0</v>
      </c>
      <c r="N4930" s="3" t="s">
        <v>2929</v>
      </c>
    </row>
    <row r="4931" spans="1:14" x14ac:dyDescent="0.25">
      <c r="A4931" s="1" t="s">
        <v>13604</v>
      </c>
      <c r="B4931" s="3" t="s">
        <v>8555</v>
      </c>
      <c r="C4931" s="2">
        <f ca="1">IF(ISNUMBER(SEARCH(Лист2!$B$4,D:D)),MAX($C$3:OFFSET(C4931,-1,0))+1,0)</f>
        <v>0</v>
      </c>
      <c r="E4931" s="9" t="str">
        <f t="shared" ca="1" si="88"/>
        <v/>
      </c>
      <c r="F4931" s="4" t="s">
        <v>28</v>
      </c>
      <c r="G4931" s="2">
        <f>IF(ISNUMBER(SEARCH(Лист2!$B$4,F:F)),1,0)</f>
        <v>0</v>
      </c>
      <c r="H4931" s="3">
        <f ca="1">IF(AND(I4931&lt;&gt;I4930,ISNUMBER(SEARCH(Лист2!$B$5,I:I)),G4931=1),MAX($H$3:OFFSET(H4931,-1,0))+1,0)</f>
        <v>0</v>
      </c>
      <c r="I4931" s="3" t="s">
        <v>388</v>
      </c>
      <c r="K4931" s="2">
        <f>IF(ISNUMBER(SEARCH(Лист2!$B$4,F:F)),1,0)</f>
        <v>0</v>
      </c>
      <c r="L4931" s="14">
        <f>IF(ISNUMBER(SEARCH(Лист2!$B$5,I:I)),1,0)+K4931</f>
        <v>0</v>
      </c>
      <c r="M4931" s="3">
        <f ca="1">IF(AND(N4931&lt;&gt;N4930,ISNUMBER(SEARCH(Лист2!$B$6,N:N)),L4931=2),MAX($M$3:OFFSET(M4931,-1,0))+1,0)</f>
        <v>0</v>
      </c>
      <c r="N4931" s="3" t="s">
        <v>2977</v>
      </c>
    </row>
    <row r="4932" spans="1:14" x14ac:dyDescent="0.25">
      <c r="A4932" s="1" t="s">
        <v>13605</v>
      </c>
      <c r="B4932" s="3" t="s">
        <v>8556</v>
      </c>
      <c r="C4932" s="2">
        <f ca="1">IF(ISNUMBER(SEARCH(Лист2!$B$4,D:D)),MAX($C$3:OFFSET(C4932,-1,0))+1,0)</f>
        <v>0</v>
      </c>
      <c r="E4932" s="9" t="str">
        <f t="shared" ca="1" si="88"/>
        <v/>
      </c>
      <c r="F4932" s="4" t="s">
        <v>28</v>
      </c>
      <c r="G4932" s="2">
        <f>IF(ISNUMBER(SEARCH(Лист2!$B$4,F:F)),1,0)</f>
        <v>0</v>
      </c>
      <c r="H4932" s="3">
        <f ca="1">IF(AND(I4932&lt;&gt;I4931,ISNUMBER(SEARCH(Лист2!$B$5,I:I)),G4932=1),MAX($H$3:OFFSET(H4932,-1,0))+1,0)</f>
        <v>0</v>
      </c>
      <c r="I4932" s="3" t="s">
        <v>388</v>
      </c>
      <c r="K4932" s="2">
        <f>IF(ISNUMBER(SEARCH(Лист2!$B$4,F:F)),1,0)</f>
        <v>0</v>
      </c>
      <c r="L4932" s="14">
        <f>IF(ISNUMBER(SEARCH(Лист2!$B$5,I:I)),1,0)+K4932</f>
        <v>0</v>
      </c>
      <c r="M4932" s="3">
        <f ca="1">IF(AND(N4932&lt;&gt;N4931,ISNUMBER(SEARCH(Лист2!$B$6,N:N)),L4932=2),MAX($M$3:OFFSET(M4932,-1,0))+1,0)</f>
        <v>0</v>
      </c>
      <c r="N4932" s="3" t="s">
        <v>2978</v>
      </c>
    </row>
    <row r="4933" spans="1:14" x14ac:dyDescent="0.25">
      <c r="A4933" s="1" t="s">
        <v>13606</v>
      </c>
      <c r="B4933" s="3" t="s">
        <v>8557</v>
      </c>
      <c r="C4933" s="2">
        <f ca="1">IF(ISNUMBER(SEARCH(Лист2!$B$4,D:D)),MAX($C$3:OFFSET(C4933,-1,0))+1,0)</f>
        <v>0</v>
      </c>
      <c r="E4933" s="9" t="str">
        <f t="shared" ref="E4933:E4996" ca="1" si="89">IFERROR(INDEX(D:D,MATCH(ROW(E4933)-ROW($E$3),C:C,0)),"")</f>
        <v/>
      </c>
      <c r="F4933" s="4" t="s">
        <v>28</v>
      </c>
      <c r="G4933" s="2">
        <f>IF(ISNUMBER(SEARCH(Лист2!$B$4,F:F)),1,0)</f>
        <v>0</v>
      </c>
      <c r="H4933" s="3">
        <f ca="1">IF(AND(I4933&lt;&gt;I4932,ISNUMBER(SEARCH(Лист2!$B$5,I:I)),G4933=1),MAX($H$3:OFFSET(H4933,-1,0))+1,0)</f>
        <v>0</v>
      </c>
      <c r="I4933" s="3" t="s">
        <v>388</v>
      </c>
      <c r="K4933" s="2">
        <f>IF(ISNUMBER(SEARCH(Лист2!$B$4,F:F)),1,0)</f>
        <v>0</v>
      </c>
      <c r="L4933" s="14">
        <f>IF(ISNUMBER(SEARCH(Лист2!$B$5,I:I)),1,0)+K4933</f>
        <v>0</v>
      </c>
      <c r="M4933" s="3">
        <f ca="1">IF(AND(N4933&lt;&gt;N4932,ISNUMBER(SEARCH(Лист2!$B$6,N:N)),L4933=2),MAX($M$3:OFFSET(M4933,-1,0))+1,0)</f>
        <v>0</v>
      </c>
      <c r="N4933" s="3" t="s">
        <v>2957</v>
      </c>
    </row>
    <row r="4934" spans="1:14" x14ac:dyDescent="0.25">
      <c r="A4934" s="1" t="s">
        <v>13607</v>
      </c>
      <c r="B4934" s="3" t="s">
        <v>8558</v>
      </c>
      <c r="C4934" s="2">
        <f ca="1">IF(ISNUMBER(SEARCH(Лист2!$B$4,D:D)),MAX($C$3:OFFSET(C4934,-1,0))+1,0)</f>
        <v>0</v>
      </c>
      <c r="E4934" s="9" t="str">
        <f t="shared" ca="1" si="89"/>
        <v/>
      </c>
      <c r="F4934" s="4" t="s">
        <v>28</v>
      </c>
      <c r="G4934" s="2">
        <f>IF(ISNUMBER(SEARCH(Лист2!$B$4,F:F)),1,0)</f>
        <v>0</v>
      </c>
      <c r="H4934" s="3">
        <f ca="1">IF(AND(I4934&lt;&gt;I4933,ISNUMBER(SEARCH(Лист2!$B$5,I:I)),G4934=1),MAX($H$3:OFFSET(H4934,-1,0))+1,0)</f>
        <v>0</v>
      </c>
      <c r="I4934" s="3" t="s">
        <v>388</v>
      </c>
      <c r="K4934" s="2">
        <f>IF(ISNUMBER(SEARCH(Лист2!$B$4,F:F)),1,0)</f>
        <v>0</v>
      </c>
      <c r="L4934" s="14">
        <f>IF(ISNUMBER(SEARCH(Лист2!$B$5,I:I)),1,0)+K4934</f>
        <v>0</v>
      </c>
      <c r="M4934" s="3">
        <f ca="1">IF(AND(N4934&lt;&gt;N4933,ISNUMBER(SEARCH(Лист2!$B$6,N:N)),L4934=2),MAX($M$3:OFFSET(M4934,-1,0))+1,0)</f>
        <v>0</v>
      </c>
      <c r="N4934" s="3" t="s">
        <v>2979</v>
      </c>
    </row>
    <row r="4935" spans="1:14" x14ac:dyDescent="0.25">
      <c r="A4935" s="1" t="s">
        <v>13608</v>
      </c>
      <c r="B4935" s="3" t="s">
        <v>8559</v>
      </c>
      <c r="C4935" s="2">
        <f ca="1">IF(ISNUMBER(SEARCH(Лист2!$B$4,D:D)),MAX($C$3:OFFSET(C4935,-1,0))+1,0)</f>
        <v>0</v>
      </c>
      <c r="E4935" s="9" t="str">
        <f t="shared" ca="1" si="89"/>
        <v/>
      </c>
      <c r="F4935" s="4" t="s">
        <v>28</v>
      </c>
      <c r="G4935" s="2">
        <f>IF(ISNUMBER(SEARCH(Лист2!$B$4,F:F)),1,0)</f>
        <v>0</v>
      </c>
      <c r="H4935" s="3">
        <f ca="1">IF(AND(I4935&lt;&gt;I4934,ISNUMBER(SEARCH(Лист2!$B$5,I:I)),G4935=1),MAX($H$3:OFFSET(H4935,-1,0))+1,0)</f>
        <v>0</v>
      </c>
      <c r="I4935" s="3" t="s">
        <v>388</v>
      </c>
      <c r="K4935" s="2">
        <f>IF(ISNUMBER(SEARCH(Лист2!$B$4,F:F)),1,0)</f>
        <v>0</v>
      </c>
      <c r="L4935" s="14">
        <f>IF(ISNUMBER(SEARCH(Лист2!$B$5,I:I)),1,0)+K4935</f>
        <v>0</v>
      </c>
      <c r="M4935" s="3">
        <f ca="1">IF(AND(N4935&lt;&gt;N4934,ISNUMBER(SEARCH(Лист2!$B$6,N:N)),L4935=2),MAX($M$3:OFFSET(M4935,-1,0))+1,0)</f>
        <v>0</v>
      </c>
      <c r="N4935" s="3" t="s">
        <v>2936</v>
      </c>
    </row>
    <row r="4936" spans="1:14" x14ac:dyDescent="0.25">
      <c r="A4936" s="1" t="s">
        <v>13609</v>
      </c>
      <c r="B4936" s="3" t="s">
        <v>8560</v>
      </c>
      <c r="C4936" s="2">
        <f ca="1">IF(ISNUMBER(SEARCH(Лист2!$B$4,D:D)),MAX($C$3:OFFSET(C4936,-1,0))+1,0)</f>
        <v>0</v>
      </c>
      <c r="E4936" s="9" t="str">
        <f t="shared" ca="1" si="89"/>
        <v/>
      </c>
      <c r="F4936" s="4" t="s">
        <v>28</v>
      </c>
      <c r="G4936" s="2">
        <f>IF(ISNUMBER(SEARCH(Лист2!$B$4,F:F)),1,0)</f>
        <v>0</v>
      </c>
      <c r="H4936" s="3">
        <f ca="1">IF(AND(I4936&lt;&gt;I4935,ISNUMBER(SEARCH(Лист2!$B$5,I:I)),G4936=1),MAX($H$3:OFFSET(H4936,-1,0))+1,0)</f>
        <v>0</v>
      </c>
      <c r="I4936" s="3" t="s">
        <v>388</v>
      </c>
      <c r="K4936" s="2">
        <f>IF(ISNUMBER(SEARCH(Лист2!$B$4,F:F)),1,0)</f>
        <v>0</v>
      </c>
      <c r="L4936" s="14">
        <f>IF(ISNUMBER(SEARCH(Лист2!$B$5,I:I)),1,0)+K4936</f>
        <v>0</v>
      </c>
      <c r="M4936" s="3">
        <f ca="1">IF(AND(N4936&lt;&gt;N4935,ISNUMBER(SEARCH(Лист2!$B$6,N:N)),L4936=2),MAX($M$3:OFFSET(M4936,-1,0))+1,0)</f>
        <v>0</v>
      </c>
      <c r="N4936" s="3" t="s">
        <v>2924</v>
      </c>
    </row>
    <row r="4937" spans="1:14" x14ac:dyDescent="0.25">
      <c r="A4937" s="1" t="s">
        <v>13610</v>
      </c>
      <c r="B4937" s="3" t="s">
        <v>8561</v>
      </c>
      <c r="C4937" s="2">
        <f ca="1">IF(ISNUMBER(SEARCH(Лист2!$B$4,D:D)),MAX($C$3:OFFSET(C4937,-1,0))+1,0)</f>
        <v>0</v>
      </c>
      <c r="E4937" s="9" t="str">
        <f t="shared" ca="1" si="89"/>
        <v/>
      </c>
      <c r="F4937" s="4" t="s">
        <v>28</v>
      </c>
      <c r="G4937" s="2">
        <f>IF(ISNUMBER(SEARCH(Лист2!$B$4,F:F)),1,0)</f>
        <v>0</v>
      </c>
      <c r="H4937" s="3">
        <f ca="1">IF(AND(I4937&lt;&gt;I4936,ISNUMBER(SEARCH(Лист2!$B$5,I:I)),G4937=1),MAX($H$3:OFFSET(H4937,-1,0))+1,0)</f>
        <v>0</v>
      </c>
      <c r="I4937" s="3" t="s">
        <v>388</v>
      </c>
      <c r="K4937" s="2">
        <f>IF(ISNUMBER(SEARCH(Лист2!$B$4,F:F)),1,0)</f>
        <v>0</v>
      </c>
      <c r="L4937" s="14">
        <f>IF(ISNUMBER(SEARCH(Лист2!$B$5,I:I)),1,0)+K4937</f>
        <v>0</v>
      </c>
      <c r="M4937" s="3">
        <f ca="1">IF(AND(N4937&lt;&gt;N4936,ISNUMBER(SEARCH(Лист2!$B$6,N:N)),L4937=2),MAX($M$3:OFFSET(M4937,-1,0))+1,0)</f>
        <v>0</v>
      </c>
      <c r="N4937" s="3" t="s">
        <v>2925</v>
      </c>
    </row>
    <row r="4938" spans="1:14" x14ac:dyDescent="0.25">
      <c r="A4938" s="1" t="s">
        <v>13611</v>
      </c>
      <c r="B4938" s="3" t="s">
        <v>8562</v>
      </c>
      <c r="C4938" s="2">
        <f ca="1">IF(ISNUMBER(SEARCH(Лист2!$B$4,D:D)),MAX($C$3:OFFSET(C4938,-1,0))+1,0)</f>
        <v>0</v>
      </c>
      <c r="E4938" s="9" t="str">
        <f t="shared" ca="1" si="89"/>
        <v/>
      </c>
      <c r="F4938" s="4" t="s">
        <v>28</v>
      </c>
      <c r="G4938" s="2">
        <f>IF(ISNUMBER(SEARCH(Лист2!$B$4,F:F)),1,0)</f>
        <v>0</v>
      </c>
      <c r="H4938" s="3">
        <f ca="1">IF(AND(I4938&lt;&gt;I4937,ISNUMBER(SEARCH(Лист2!$B$5,I:I)),G4938=1),MAX($H$3:OFFSET(H4938,-1,0))+1,0)</f>
        <v>0</v>
      </c>
      <c r="I4938" s="3" t="s">
        <v>388</v>
      </c>
      <c r="K4938" s="2">
        <f>IF(ISNUMBER(SEARCH(Лист2!$B$4,F:F)),1,0)</f>
        <v>0</v>
      </c>
      <c r="L4938" s="14">
        <f>IF(ISNUMBER(SEARCH(Лист2!$B$5,I:I)),1,0)+K4938</f>
        <v>0</v>
      </c>
      <c r="M4938" s="3">
        <f ca="1">IF(AND(N4938&lt;&gt;N4937,ISNUMBER(SEARCH(Лист2!$B$6,N:N)),L4938=2),MAX($M$3:OFFSET(M4938,-1,0))+1,0)</f>
        <v>0</v>
      </c>
      <c r="N4938" s="3" t="s">
        <v>2926</v>
      </c>
    </row>
    <row r="4939" spans="1:14" x14ac:dyDescent="0.25">
      <c r="A4939" s="1" t="s">
        <v>13612</v>
      </c>
      <c r="B4939" s="3" t="s">
        <v>8563</v>
      </c>
      <c r="C4939" s="2">
        <f ca="1">IF(ISNUMBER(SEARCH(Лист2!$B$4,D:D)),MAX($C$3:OFFSET(C4939,-1,0))+1,0)</f>
        <v>0</v>
      </c>
      <c r="E4939" s="9" t="str">
        <f t="shared" ca="1" si="89"/>
        <v/>
      </c>
      <c r="F4939" s="4" t="s">
        <v>28</v>
      </c>
      <c r="G4939" s="2">
        <f>IF(ISNUMBER(SEARCH(Лист2!$B$4,F:F)),1,0)</f>
        <v>0</v>
      </c>
      <c r="H4939" s="3">
        <f ca="1">IF(AND(I4939&lt;&gt;I4938,ISNUMBER(SEARCH(Лист2!$B$5,I:I)),G4939=1),MAX($H$3:OFFSET(H4939,-1,0))+1,0)</f>
        <v>0</v>
      </c>
      <c r="I4939" s="3" t="s">
        <v>388</v>
      </c>
      <c r="K4939" s="2">
        <f>IF(ISNUMBER(SEARCH(Лист2!$B$4,F:F)),1,0)</f>
        <v>0</v>
      </c>
      <c r="L4939" s="14">
        <f>IF(ISNUMBER(SEARCH(Лист2!$B$5,I:I)),1,0)+K4939</f>
        <v>0</v>
      </c>
      <c r="M4939" s="3">
        <f ca="1">IF(AND(N4939&lt;&gt;N4938,ISNUMBER(SEARCH(Лист2!$B$6,N:N)),L4939=2),MAX($M$3:OFFSET(M4939,-1,0))+1,0)</f>
        <v>0</v>
      </c>
      <c r="N4939" s="3" t="s">
        <v>602</v>
      </c>
    </row>
    <row r="4940" spans="1:14" x14ac:dyDescent="0.25">
      <c r="A4940" s="1" t="s">
        <v>13613</v>
      </c>
      <c r="B4940" s="3" t="s">
        <v>8564</v>
      </c>
      <c r="C4940" s="2">
        <f ca="1">IF(ISNUMBER(SEARCH(Лист2!$B$4,D:D)),MAX($C$3:OFFSET(C4940,-1,0))+1,0)</f>
        <v>0</v>
      </c>
      <c r="E4940" s="9" t="str">
        <f t="shared" ca="1" si="89"/>
        <v/>
      </c>
      <c r="F4940" s="4" t="s">
        <v>28</v>
      </c>
      <c r="G4940" s="2">
        <f>IF(ISNUMBER(SEARCH(Лист2!$B$4,F:F)),1,0)</f>
        <v>0</v>
      </c>
      <c r="H4940" s="3">
        <f ca="1">IF(AND(I4940&lt;&gt;I4939,ISNUMBER(SEARCH(Лист2!$B$5,I:I)),G4940=1),MAX($H$3:OFFSET(H4940,-1,0))+1,0)</f>
        <v>0</v>
      </c>
      <c r="I4940" s="3" t="s">
        <v>388</v>
      </c>
      <c r="K4940" s="2">
        <f>IF(ISNUMBER(SEARCH(Лист2!$B$4,F:F)),1,0)</f>
        <v>0</v>
      </c>
      <c r="L4940" s="14">
        <f>IF(ISNUMBER(SEARCH(Лист2!$B$5,I:I)),1,0)+K4940</f>
        <v>0</v>
      </c>
      <c r="M4940" s="3">
        <f ca="1">IF(AND(N4940&lt;&gt;N4939,ISNUMBER(SEARCH(Лист2!$B$6,N:N)),L4940=2),MAX($M$3:OFFSET(M4940,-1,0))+1,0)</f>
        <v>0</v>
      </c>
      <c r="N4940" s="3" t="s">
        <v>2980</v>
      </c>
    </row>
    <row r="4941" spans="1:14" x14ac:dyDescent="0.25">
      <c r="A4941" s="1" t="s">
        <v>13614</v>
      </c>
      <c r="B4941" s="3" t="s">
        <v>8565</v>
      </c>
      <c r="C4941" s="2">
        <f ca="1">IF(ISNUMBER(SEARCH(Лист2!$B$4,D:D)),MAX($C$3:OFFSET(C4941,-1,0))+1,0)</f>
        <v>0</v>
      </c>
      <c r="E4941" s="9" t="str">
        <f t="shared" ca="1" si="89"/>
        <v/>
      </c>
      <c r="F4941" s="4" t="s">
        <v>28</v>
      </c>
      <c r="G4941" s="2">
        <f>IF(ISNUMBER(SEARCH(Лист2!$B$4,F:F)),1,0)</f>
        <v>0</v>
      </c>
      <c r="H4941" s="3">
        <f ca="1">IF(AND(I4941&lt;&gt;I4940,ISNUMBER(SEARCH(Лист2!$B$5,I:I)),G4941=1),MAX($H$3:OFFSET(H4941,-1,0))+1,0)</f>
        <v>0</v>
      </c>
      <c r="I4941" s="3" t="s">
        <v>388</v>
      </c>
      <c r="K4941" s="2">
        <f>IF(ISNUMBER(SEARCH(Лист2!$B$4,F:F)),1,0)</f>
        <v>0</v>
      </c>
      <c r="L4941" s="14">
        <f>IF(ISNUMBER(SEARCH(Лист2!$B$5,I:I)),1,0)+K4941</f>
        <v>0</v>
      </c>
      <c r="M4941" s="3">
        <f ca="1">IF(AND(N4941&lt;&gt;N4940,ISNUMBER(SEARCH(Лист2!$B$6,N:N)),L4941=2),MAX($M$3:OFFSET(M4941,-1,0))+1,0)</f>
        <v>0</v>
      </c>
      <c r="N4941" s="3" t="s">
        <v>2981</v>
      </c>
    </row>
    <row r="4942" spans="1:14" x14ac:dyDescent="0.25">
      <c r="A4942" s="1" t="s">
        <v>13615</v>
      </c>
      <c r="B4942" s="3" t="s">
        <v>8566</v>
      </c>
      <c r="C4942" s="2">
        <f ca="1">IF(ISNUMBER(SEARCH(Лист2!$B$4,D:D)),MAX($C$3:OFFSET(C4942,-1,0))+1,0)</f>
        <v>0</v>
      </c>
      <c r="E4942" s="9" t="str">
        <f t="shared" ca="1" si="89"/>
        <v/>
      </c>
      <c r="F4942" s="4" t="s">
        <v>28</v>
      </c>
      <c r="G4942" s="2">
        <f>IF(ISNUMBER(SEARCH(Лист2!$B$4,F:F)),1,0)</f>
        <v>0</v>
      </c>
      <c r="H4942" s="3">
        <f ca="1">IF(AND(I4942&lt;&gt;I4941,ISNUMBER(SEARCH(Лист2!$B$5,I:I)),G4942=1),MAX($H$3:OFFSET(H4942,-1,0))+1,0)</f>
        <v>0</v>
      </c>
      <c r="I4942" s="3" t="s">
        <v>388</v>
      </c>
      <c r="K4942" s="2">
        <f>IF(ISNUMBER(SEARCH(Лист2!$B$4,F:F)),1,0)</f>
        <v>0</v>
      </c>
      <c r="L4942" s="14">
        <f>IF(ISNUMBER(SEARCH(Лист2!$B$5,I:I)),1,0)+K4942</f>
        <v>0</v>
      </c>
      <c r="M4942" s="3">
        <f ca="1">IF(AND(N4942&lt;&gt;N4941,ISNUMBER(SEARCH(Лист2!$B$6,N:N)),L4942=2),MAX($M$3:OFFSET(M4942,-1,0))+1,0)</f>
        <v>0</v>
      </c>
      <c r="N4942" s="3" t="s">
        <v>2929</v>
      </c>
    </row>
    <row r="4943" spans="1:14" x14ac:dyDescent="0.25">
      <c r="A4943" s="1" t="s">
        <v>13616</v>
      </c>
      <c r="B4943" s="3" t="s">
        <v>8567</v>
      </c>
      <c r="C4943" s="2">
        <f ca="1">IF(ISNUMBER(SEARCH(Лист2!$B$4,D:D)),MAX($C$3:OFFSET(C4943,-1,0))+1,0)</f>
        <v>0</v>
      </c>
      <c r="E4943" s="9" t="str">
        <f t="shared" ca="1" si="89"/>
        <v/>
      </c>
      <c r="F4943" s="4" t="s">
        <v>28</v>
      </c>
      <c r="G4943" s="2">
        <f>IF(ISNUMBER(SEARCH(Лист2!$B$4,F:F)),1,0)</f>
        <v>0</v>
      </c>
      <c r="H4943" s="3">
        <f ca="1">IF(AND(I4943&lt;&gt;I4942,ISNUMBER(SEARCH(Лист2!$B$5,I:I)),G4943=1),MAX($H$3:OFFSET(H4943,-1,0))+1,0)</f>
        <v>0</v>
      </c>
      <c r="I4943" s="3" t="s">
        <v>389</v>
      </c>
      <c r="K4943" s="2">
        <f>IF(ISNUMBER(SEARCH(Лист2!$B$4,F:F)),1,0)</f>
        <v>0</v>
      </c>
      <c r="L4943" s="14">
        <f>IF(ISNUMBER(SEARCH(Лист2!$B$5,I:I)),1,0)+K4943</f>
        <v>0</v>
      </c>
      <c r="M4943" s="3">
        <f ca="1">IF(AND(N4943&lt;&gt;N4942,ISNUMBER(SEARCH(Лист2!$B$6,N:N)),L4943=2),MAX($M$3:OFFSET(M4943,-1,0))+1,0)</f>
        <v>0</v>
      </c>
      <c r="N4943" s="3" t="s">
        <v>2982</v>
      </c>
    </row>
    <row r="4944" spans="1:14" x14ac:dyDescent="0.25">
      <c r="A4944" s="1" t="s">
        <v>13617</v>
      </c>
      <c r="B4944" s="3" t="s">
        <v>8568</v>
      </c>
      <c r="C4944" s="2">
        <f ca="1">IF(ISNUMBER(SEARCH(Лист2!$B$4,D:D)),MAX($C$3:OFFSET(C4944,-1,0))+1,0)</f>
        <v>0</v>
      </c>
      <c r="E4944" s="9" t="str">
        <f t="shared" ca="1" si="89"/>
        <v/>
      </c>
      <c r="F4944" s="4" t="s">
        <v>28</v>
      </c>
      <c r="G4944" s="2">
        <f>IF(ISNUMBER(SEARCH(Лист2!$B$4,F:F)),1,0)</f>
        <v>0</v>
      </c>
      <c r="H4944" s="3">
        <f ca="1">IF(AND(I4944&lt;&gt;I4943,ISNUMBER(SEARCH(Лист2!$B$5,I:I)),G4944=1),MAX($H$3:OFFSET(H4944,-1,0))+1,0)</f>
        <v>0</v>
      </c>
      <c r="I4944" s="3" t="s">
        <v>389</v>
      </c>
      <c r="K4944" s="2">
        <f>IF(ISNUMBER(SEARCH(Лист2!$B$4,F:F)),1,0)</f>
        <v>0</v>
      </c>
      <c r="L4944" s="14">
        <f>IF(ISNUMBER(SEARCH(Лист2!$B$5,I:I)),1,0)+K4944</f>
        <v>0</v>
      </c>
      <c r="M4944" s="3">
        <f ca="1">IF(AND(N4944&lt;&gt;N4943,ISNUMBER(SEARCH(Лист2!$B$6,N:N)),L4944=2),MAX($M$3:OFFSET(M4944,-1,0))+1,0)</f>
        <v>0</v>
      </c>
      <c r="N4944" s="3" t="s">
        <v>2983</v>
      </c>
    </row>
    <row r="4945" spans="1:14" x14ac:dyDescent="0.25">
      <c r="A4945" s="1" t="s">
        <v>13618</v>
      </c>
      <c r="B4945" s="3" t="s">
        <v>8569</v>
      </c>
      <c r="C4945" s="2">
        <f ca="1">IF(ISNUMBER(SEARCH(Лист2!$B$4,D:D)),MAX($C$3:OFFSET(C4945,-1,0))+1,0)</f>
        <v>0</v>
      </c>
      <c r="E4945" s="9" t="str">
        <f t="shared" ca="1" si="89"/>
        <v/>
      </c>
      <c r="F4945" s="4" t="s">
        <v>28</v>
      </c>
      <c r="G4945" s="2">
        <f>IF(ISNUMBER(SEARCH(Лист2!$B$4,F:F)),1,0)</f>
        <v>0</v>
      </c>
      <c r="H4945" s="3">
        <f ca="1">IF(AND(I4945&lt;&gt;I4944,ISNUMBER(SEARCH(Лист2!$B$5,I:I)),G4945=1),MAX($H$3:OFFSET(H4945,-1,0))+1,0)</f>
        <v>0</v>
      </c>
      <c r="I4945" s="3" t="s">
        <v>389</v>
      </c>
      <c r="K4945" s="2">
        <f>IF(ISNUMBER(SEARCH(Лист2!$B$4,F:F)),1,0)</f>
        <v>0</v>
      </c>
      <c r="L4945" s="14">
        <f>IF(ISNUMBER(SEARCH(Лист2!$B$5,I:I)),1,0)+K4945</f>
        <v>0</v>
      </c>
      <c r="M4945" s="3">
        <f ca="1">IF(AND(N4945&lt;&gt;N4944,ISNUMBER(SEARCH(Лист2!$B$6,N:N)),L4945=2),MAX($M$3:OFFSET(M4945,-1,0))+1,0)</f>
        <v>0</v>
      </c>
      <c r="N4945" s="3" t="s">
        <v>2957</v>
      </c>
    </row>
    <row r="4946" spans="1:14" x14ac:dyDescent="0.25">
      <c r="A4946" s="1" t="s">
        <v>13619</v>
      </c>
      <c r="B4946" s="3" t="s">
        <v>8570</v>
      </c>
      <c r="C4946" s="2">
        <f ca="1">IF(ISNUMBER(SEARCH(Лист2!$B$4,D:D)),MAX($C$3:OFFSET(C4946,-1,0))+1,0)</f>
        <v>0</v>
      </c>
      <c r="E4946" s="9" t="str">
        <f t="shared" ca="1" si="89"/>
        <v/>
      </c>
      <c r="F4946" s="4" t="s">
        <v>28</v>
      </c>
      <c r="G4946" s="2">
        <f>IF(ISNUMBER(SEARCH(Лист2!$B$4,F:F)),1,0)</f>
        <v>0</v>
      </c>
      <c r="H4946" s="3">
        <f ca="1">IF(AND(I4946&lt;&gt;I4945,ISNUMBER(SEARCH(Лист2!$B$5,I:I)),G4946=1),MAX($H$3:OFFSET(H4946,-1,0))+1,0)</f>
        <v>0</v>
      </c>
      <c r="I4946" s="3" t="s">
        <v>389</v>
      </c>
      <c r="K4946" s="2">
        <f>IF(ISNUMBER(SEARCH(Лист2!$B$4,F:F)),1,0)</f>
        <v>0</v>
      </c>
      <c r="L4946" s="14">
        <f>IF(ISNUMBER(SEARCH(Лист2!$B$5,I:I)),1,0)+K4946</f>
        <v>0</v>
      </c>
      <c r="M4946" s="3">
        <f ca="1">IF(AND(N4946&lt;&gt;N4945,ISNUMBER(SEARCH(Лист2!$B$6,N:N)),L4946=2),MAX($M$3:OFFSET(M4946,-1,0))+1,0)</f>
        <v>0</v>
      </c>
      <c r="N4946" s="3" t="s">
        <v>2936</v>
      </c>
    </row>
    <row r="4947" spans="1:14" x14ac:dyDescent="0.25">
      <c r="A4947" s="1" t="s">
        <v>13620</v>
      </c>
      <c r="B4947" s="3" t="s">
        <v>8571</v>
      </c>
      <c r="C4947" s="2">
        <f ca="1">IF(ISNUMBER(SEARCH(Лист2!$B$4,D:D)),MAX($C$3:OFFSET(C4947,-1,0))+1,0)</f>
        <v>0</v>
      </c>
      <c r="E4947" s="9" t="str">
        <f t="shared" ca="1" si="89"/>
        <v/>
      </c>
      <c r="F4947" s="4" t="s">
        <v>28</v>
      </c>
      <c r="G4947" s="2">
        <f>IF(ISNUMBER(SEARCH(Лист2!$B$4,F:F)),1,0)</f>
        <v>0</v>
      </c>
      <c r="H4947" s="3">
        <f ca="1">IF(AND(I4947&lt;&gt;I4946,ISNUMBER(SEARCH(Лист2!$B$5,I:I)),G4947=1),MAX($H$3:OFFSET(H4947,-1,0))+1,0)</f>
        <v>0</v>
      </c>
      <c r="I4947" s="3" t="s">
        <v>389</v>
      </c>
      <c r="K4947" s="2">
        <f>IF(ISNUMBER(SEARCH(Лист2!$B$4,F:F)),1,0)</f>
        <v>0</v>
      </c>
      <c r="L4947" s="14">
        <f>IF(ISNUMBER(SEARCH(Лист2!$B$5,I:I)),1,0)+K4947</f>
        <v>0</v>
      </c>
      <c r="M4947" s="3">
        <f ca="1">IF(AND(N4947&lt;&gt;N4946,ISNUMBER(SEARCH(Лист2!$B$6,N:N)),L4947=2),MAX($M$3:OFFSET(M4947,-1,0))+1,0)</f>
        <v>0</v>
      </c>
      <c r="N4947" s="3" t="s">
        <v>2925</v>
      </c>
    </row>
    <row r="4948" spans="1:14" x14ac:dyDescent="0.25">
      <c r="A4948" s="1" t="s">
        <v>13621</v>
      </c>
      <c r="B4948" s="3" t="s">
        <v>8572</v>
      </c>
      <c r="C4948" s="2">
        <f ca="1">IF(ISNUMBER(SEARCH(Лист2!$B$4,D:D)),MAX($C$3:OFFSET(C4948,-1,0))+1,0)</f>
        <v>0</v>
      </c>
      <c r="E4948" s="9" t="str">
        <f t="shared" ca="1" si="89"/>
        <v/>
      </c>
      <c r="F4948" s="4" t="s">
        <v>28</v>
      </c>
      <c r="G4948" s="2">
        <f>IF(ISNUMBER(SEARCH(Лист2!$B$4,F:F)),1,0)</f>
        <v>0</v>
      </c>
      <c r="H4948" s="3">
        <f ca="1">IF(AND(I4948&lt;&gt;I4947,ISNUMBER(SEARCH(Лист2!$B$5,I:I)),G4948=1),MAX($H$3:OFFSET(H4948,-1,0))+1,0)</f>
        <v>0</v>
      </c>
      <c r="I4948" s="3" t="s">
        <v>389</v>
      </c>
      <c r="K4948" s="2">
        <f>IF(ISNUMBER(SEARCH(Лист2!$B$4,F:F)),1,0)</f>
        <v>0</v>
      </c>
      <c r="L4948" s="14">
        <f>IF(ISNUMBER(SEARCH(Лист2!$B$5,I:I)),1,0)+K4948</f>
        <v>0</v>
      </c>
      <c r="M4948" s="3">
        <f ca="1">IF(AND(N4948&lt;&gt;N4947,ISNUMBER(SEARCH(Лист2!$B$6,N:N)),L4948=2),MAX($M$3:OFFSET(M4948,-1,0))+1,0)</f>
        <v>0</v>
      </c>
      <c r="N4948" s="3" t="s">
        <v>602</v>
      </c>
    </row>
    <row r="4949" spans="1:14" x14ac:dyDescent="0.25">
      <c r="A4949" s="1" t="s">
        <v>13622</v>
      </c>
      <c r="B4949" s="3" t="s">
        <v>8573</v>
      </c>
      <c r="C4949" s="2">
        <f ca="1">IF(ISNUMBER(SEARCH(Лист2!$B$4,D:D)),MAX($C$3:OFFSET(C4949,-1,0))+1,0)</f>
        <v>0</v>
      </c>
      <c r="E4949" s="9" t="str">
        <f t="shared" ca="1" si="89"/>
        <v/>
      </c>
      <c r="F4949" s="4" t="s">
        <v>28</v>
      </c>
      <c r="G4949" s="2">
        <f>IF(ISNUMBER(SEARCH(Лист2!$B$4,F:F)),1,0)</f>
        <v>0</v>
      </c>
      <c r="H4949" s="3">
        <f ca="1">IF(AND(I4949&lt;&gt;I4948,ISNUMBER(SEARCH(Лист2!$B$5,I:I)),G4949=1),MAX($H$3:OFFSET(H4949,-1,0))+1,0)</f>
        <v>0</v>
      </c>
      <c r="I4949" s="3" t="s">
        <v>389</v>
      </c>
      <c r="K4949" s="2">
        <f>IF(ISNUMBER(SEARCH(Лист2!$B$4,F:F)),1,0)</f>
        <v>0</v>
      </c>
      <c r="L4949" s="14">
        <f>IF(ISNUMBER(SEARCH(Лист2!$B$5,I:I)),1,0)+K4949</f>
        <v>0</v>
      </c>
      <c r="M4949" s="3">
        <f ca="1">IF(AND(N4949&lt;&gt;N4948,ISNUMBER(SEARCH(Лист2!$B$6,N:N)),L4949=2),MAX($M$3:OFFSET(M4949,-1,0))+1,0)</f>
        <v>0</v>
      </c>
      <c r="N4949" s="3" t="s">
        <v>2984</v>
      </c>
    </row>
    <row r="4950" spans="1:14" x14ac:dyDescent="0.25">
      <c r="A4950" s="1" t="s">
        <v>13623</v>
      </c>
      <c r="B4950" s="3" t="s">
        <v>8574</v>
      </c>
      <c r="C4950" s="2">
        <f ca="1">IF(ISNUMBER(SEARCH(Лист2!$B$4,D:D)),MAX($C$3:OFFSET(C4950,-1,0))+1,0)</f>
        <v>0</v>
      </c>
      <c r="E4950" s="9" t="str">
        <f t="shared" ca="1" si="89"/>
        <v/>
      </c>
      <c r="F4950" s="4" t="s">
        <v>28</v>
      </c>
      <c r="G4950" s="2">
        <f>IF(ISNUMBER(SEARCH(Лист2!$B$4,F:F)),1,0)</f>
        <v>0</v>
      </c>
      <c r="H4950" s="3">
        <f ca="1">IF(AND(I4950&lt;&gt;I4949,ISNUMBER(SEARCH(Лист2!$B$5,I:I)),G4950=1),MAX($H$3:OFFSET(H4950,-1,0))+1,0)</f>
        <v>0</v>
      </c>
      <c r="I4950" s="3" t="s">
        <v>389</v>
      </c>
      <c r="K4950" s="2">
        <f>IF(ISNUMBER(SEARCH(Лист2!$B$4,F:F)),1,0)</f>
        <v>0</v>
      </c>
      <c r="L4950" s="14">
        <f>IF(ISNUMBER(SEARCH(Лист2!$B$5,I:I)),1,0)+K4950</f>
        <v>0</v>
      </c>
      <c r="M4950" s="3">
        <f ca="1">IF(AND(N4950&lt;&gt;N4949,ISNUMBER(SEARCH(Лист2!$B$6,N:N)),L4950=2),MAX($M$3:OFFSET(M4950,-1,0))+1,0)</f>
        <v>0</v>
      </c>
      <c r="N4950" s="3" t="s">
        <v>2985</v>
      </c>
    </row>
    <row r="4951" spans="1:14" x14ac:dyDescent="0.25">
      <c r="A4951" s="1" t="s">
        <v>13624</v>
      </c>
      <c r="B4951" s="3" t="s">
        <v>8575</v>
      </c>
      <c r="C4951" s="2">
        <f ca="1">IF(ISNUMBER(SEARCH(Лист2!$B$4,D:D)),MAX($C$3:OFFSET(C4951,-1,0))+1,0)</f>
        <v>0</v>
      </c>
      <c r="E4951" s="9" t="str">
        <f t="shared" ca="1" si="89"/>
        <v/>
      </c>
      <c r="F4951" s="4" t="s">
        <v>28</v>
      </c>
      <c r="G4951" s="2">
        <f>IF(ISNUMBER(SEARCH(Лист2!$B$4,F:F)),1,0)</f>
        <v>0</v>
      </c>
      <c r="H4951" s="3">
        <f ca="1">IF(AND(I4951&lt;&gt;I4950,ISNUMBER(SEARCH(Лист2!$B$5,I:I)),G4951=1),MAX($H$3:OFFSET(H4951,-1,0))+1,0)</f>
        <v>0</v>
      </c>
      <c r="I4951" s="3" t="s">
        <v>389</v>
      </c>
      <c r="K4951" s="2">
        <f>IF(ISNUMBER(SEARCH(Лист2!$B$4,F:F)),1,0)</f>
        <v>0</v>
      </c>
      <c r="L4951" s="14">
        <f>IF(ISNUMBER(SEARCH(Лист2!$B$5,I:I)),1,0)+K4951</f>
        <v>0</v>
      </c>
      <c r="M4951" s="3">
        <f ca="1">IF(AND(N4951&lt;&gt;N4950,ISNUMBER(SEARCH(Лист2!$B$6,N:N)),L4951=2),MAX($M$3:OFFSET(M4951,-1,0))+1,0)</f>
        <v>0</v>
      </c>
      <c r="N4951" s="3" t="s">
        <v>2929</v>
      </c>
    </row>
    <row r="4952" spans="1:14" x14ac:dyDescent="0.25">
      <c r="A4952" s="1" t="s">
        <v>13625</v>
      </c>
      <c r="B4952" s="3" t="s">
        <v>8576</v>
      </c>
      <c r="C4952" s="2">
        <f ca="1">IF(ISNUMBER(SEARCH(Лист2!$B$4,D:D)),MAX($C$3:OFFSET(C4952,-1,0))+1,0)</f>
        <v>0</v>
      </c>
      <c r="E4952" s="9" t="str">
        <f t="shared" ca="1" si="89"/>
        <v/>
      </c>
      <c r="F4952" s="4" t="s">
        <v>28</v>
      </c>
      <c r="G4952" s="2">
        <f>IF(ISNUMBER(SEARCH(Лист2!$B$4,F:F)),1,0)</f>
        <v>0</v>
      </c>
      <c r="H4952" s="3">
        <f ca="1">IF(AND(I4952&lt;&gt;I4951,ISNUMBER(SEARCH(Лист2!$B$5,I:I)),G4952=1),MAX($H$3:OFFSET(H4952,-1,0))+1,0)</f>
        <v>0</v>
      </c>
      <c r="I4952" s="3" t="s">
        <v>390</v>
      </c>
      <c r="K4952" s="2">
        <f>IF(ISNUMBER(SEARCH(Лист2!$B$4,F:F)),1,0)</f>
        <v>0</v>
      </c>
      <c r="L4952" s="14">
        <f>IF(ISNUMBER(SEARCH(Лист2!$B$5,I:I)),1,0)+K4952</f>
        <v>0</v>
      </c>
      <c r="M4952" s="3">
        <f ca="1">IF(AND(N4952&lt;&gt;N4951,ISNUMBER(SEARCH(Лист2!$B$6,N:N)),L4952=2),MAX($M$3:OFFSET(M4952,-1,0))+1,0)</f>
        <v>0</v>
      </c>
      <c r="N4952" s="3" t="s">
        <v>2986</v>
      </c>
    </row>
    <row r="4953" spans="1:14" x14ac:dyDescent="0.25">
      <c r="A4953" s="1" t="s">
        <v>13626</v>
      </c>
      <c r="B4953" s="3" t="s">
        <v>8577</v>
      </c>
      <c r="C4953" s="2">
        <f ca="1">IF(ISNUMBER(SEARCH(Лист2!$B$4,D:D)),MAX($C$3:OFFSET(C4953,-1,0))+1,0)</f>
        <v>0</v>
      </c>
      <c r="E4953" s="9" t="str">
        <f t="shared" ca="1" si="89"/>
        <v/>
      </c>
      <c r="F4953" s="4" t="s">
        <v>28</v>
      </c>
      <c r="G4953" s="2">
        <f>IF(ISNUMBER(SEARCH(Лист2!$B$4,F:F)),1,0)</f>
        <v>0</v>
      </c>
      <c r="H4953" s="3">
        <f ca="1">IF(AND(I4953&lt;&gt;I4952,ISNUMBER(SEARCH(Лист2!$B$5,I:I)),G4953=1),MAX($H$3:OFFSET(H4953,-1,0))+1,0)</f>
        <v>0</v>
      </c>
      <c r="I4953" s="3" t="s">
        <v>390</v>
      </c>
      <c r="K4953" s="2">
        <f>IF(ISNUMBER(SEARCH(Лист2!$B$4,F:F)),1,0)</f>
        <v>0</v>
      </c>
      <c r="L4953" s="14">
        <f>IF(ISNUMBER(SEARCH(Лист2!$B$5,I:I)),1,0)+K4953</f>
        <v>0</v>
      </c>
      <c r="M4953" s="3">
        <f ca="1">IF(AND(N4953&lt;&gt;N4952,ISNUMBER(SEARCH(Лист2!$B$6,N:N)),L4953=2),MAX($M$3:OFFSET(M4953,-1,0))+1,0)</f>
        <v>0</v>
      </c>
      <c r="N4953" s="3" t="s">
        <v>2987</v>
      </c>
    </row>
    <row r="4954" spans="1:14" x14ac:dyDescent="0.25">
      <c r="A4954" s="1" t="s">
        <v>13627</v>
      </c>
      <c r="B4954" s="3" t="s">
        <v>8578</v>
      </c>
      <c r="C4954" s="2">
        <f ca="1">IF(ISNUMBER(SEARCH(Лист2!$B$4,D:D)),MAX($C$3:OFFSET(C4954,-1,0))+1,0)</f>
        <v>0</v>
      </c>
      <c r="E4954" s="9" t="str">
        <f t="shared" ca="1" si="89"/>
        <v/>
      </c>
      <c r="F4954" s="4" t="s">
        <v>28</v>
      </c>
      <c r="G4954" s="2">
        <f>IF(ISNUMBER(SEARCH(Лист2!$B$4,F:F)),1,0)</f>
        <v>0</v>
      </c>
      <c r="H4954" s="3">
        <f ca="1">IF(AND(I4954&lt;&gt;I4953,ISNUMBER(SEARCH(Лист2!$B$5,I:I)),G4954=1),MAX($H$3:OFFSET(H4954,-1,0))+1,0)</f>
        <v>0</v>
      </c>
      <c r="I4954" s="3" t="s">
        <v>390</v>
      </c>
      <c r="K4954" s="2">
        <f>IF(ISNUMBER(SEARCH(Лист2!$B$4,F:F)),1,0)</f>
        <v>0</v>
      </c>
      <c r="L4954" s="14">
        <f>IF(ISNUMBER(SEARCH(Лист2!$B$5,I:I)),1,0)+K4954</f>
        <v>0</v>
      </c>
      <c r="M4954" s="3">
        <f ca="1">IF(AND(N4954&lt;&gt;N4953,ISNUMBER(SEARCH(Лист2!$B$6,N:N)),L4954=2),MAX($M$3:OFFSET(M4954,-1,0))+1,0)</f>
        <v>0</v>
      </c>
      <c r="N4954" s="3" t="s">
        <v>2957</v>
      </c>
    </row>
    <row r="4955" spans="1:14" x14ac:dyDescent="0.25">
      <c r="A4955" s="1" t="s">
        <v>13628</v>
      </c>
      <c r="B4955" s="3" t="s">
        <v>8579</v>
      </c>
      <c r="C4955" s="2">
        <f ca="1">IF(ISNUMBER(SEARCH(Лист2!$B$4,D:D)),MAX($C$3:OFFSET(C4955,-1,0))+1,0)</f>
        <v>0</v>
      </c>
      <c r="E4955" s="9" t="str">
        <f t="shared" ca="1" si="89"/>
        <v/>
      </c>
      <c r="F4955" s="4" t="s">
        <v>28</v>
      </c>
      <c r="G4955" s="2">
        <f>IF(ISNUMBER(SEARCH(Лист2!$B$4,F:F)),1,0)</f>
        <v>0</v>
      </c>
      <c r="H4955" s="3">
        <f ca="1">IF(AND(I4955&lt;&gt;I4954,ISNUMBER(SEARCH(Лист2!$B$5,I:I)),G4955=1),MAX($H$3:OFFSET(H4955,-1,0))+1,0)</f>
        <v>0</v>
      </c>
      <c r="I4955" s="3" t="s">
        <v>390</v>
      </c>
      <c r="K4955" s="2">
        <f>IF(ISNUMBER(SEARCH(Лист2!$B$4,F:F)),1,0)</f>
        <v>0</v>
      </c>
      <c r="L4955" s="14">
        <f>IF(ISNUMBER(SEARCH(Лист2!$B$5,I:I)),1,0)+K4955</f>
        <v>0</v>
      </c>
      <c r="M4955" s="3">
        <f ca="1">IF(AND(N4955&lt;&gt;N4954,ISNUMBER(SEARCH(Лист2!$B$6,N:N)),L4955=2),MAX($M$3:OFFSET(M4955,-1,0))+1,0)</f>
        <v>0</v>
      </c>
      <c r="N4955" s="3" t="s">
        <v>2936</v>
      </c>
    </row>
    <row r="4956" spans="1:14" x14ac:dyDescent="0.25">
      <c r="A4956" s="1" t="s">
        <v>13629</v>
      </c>
      <c r="B4956" s="3" t="s">
        <v>8580</v>
      </c>
      <c r="C4956" s="2">
        <f ca="1">IF(ISNUMBER(SEARCH(Лист2!$B$4,D:D)),MAX($C$3:OFFSET(C4956,-1,0))+1,0)</f>
        <v>0</v>
      </c>
      <c r="E4956" s="9" t="str">
        <f t="shared" ca="1" si="89"/>
        <v/>
      </c>
      <c r="F4956" s="4" t="s">
        <v>28</v>
      </c>
      <c r="G4956" s="2">
        <f>IF(ISNUMBER(SEARCH(Лист2!$B$4,F:F)),1,0)</f>
        <v>0</v>
      </c>
      <c r="H4956" s="3">
        <f ca="1">IF(AND(I4956&lt;&gt;I4955,ISNUMBER(SEARCH(Лист2!$B$5,I:I)),G4956=1),MAX($H$3:OFFSET(H4956,-1,0))+1,0)</f>
        <v>0</v>
      </c>
      <c r="I4956" s="3" t="s">
        <v>390</v>
      </c>
      <c r="K4956" s="2">
        <f>IF(ISNUMBER(SEARCH(Лист2!$B$4,F:F)),1,0)</f>
        <v>0</v>
      </c>
      <c r="L4956" s="14">
        <f>IF(ISNUMBER(SEARCH(Лист2!$B$5,I:I)),1,0)+K4956</f>
        <v>0</v>
      </c>
      <c r="M4956" s="3">
        <f ca="1">IF(AND(N4956&lt;&gt;N4955,ISNUMBER(SEARCH(Лист2!$B$6,N:N)),L4956=2),MAX($M$3:OFFSET(M4956,-1,0))+1,0)</f>
        <v>0</v>
      </c>
      <c r="N4956" s="3" t="s">
        <v>2925</v>
      </c>
    </row>
    <row r="4957" spans="1:14" x14ac:dyDescent="0.25">
      <c r="A4957" s="1" t="s">
        <v>13630</v>
      </c>
      <c r="B4957" s="3" t="s">
        <v>8581</v>
      </c>
      <c r="C4957" s="2">
        <f ca="1">IF(ISNUMBER(SEARCH(Лист2!$B$4,D:D)),MAX($C$3:OFFSET(C4957,-1,0))+1,0)</f>
        <v>0</v>
      </c>
      <c r="E4957" s="9" t="str">
        <f t="shared" ca="1" si="89"/>
        <v/>
      </c>
      <c r="F4957" s="4" t="s">
        <v>28</v>
      </c>
      <c r="G4957" s="2">
        <f>IF(ISNUMBER(SEARCH(Лист2!$B$4,F:F)),1,0)</f>
        <v>0</v>
      </c>
      <c r="H4957" s="3">
        <f ca="1">IF(AND(I4957&lt;&gt;I4956,ISNUMBER(SEARCH(Лист2!$B$5,I:I)),G4957=1),MAX($H$3:OFFSET(H4957,-1,0))+1,0)</f>
        <v>0</v>
      </c>
      <c r="I4957" s="3" t="s">
        <v>390</v>
      </c>
      <c r="K4957" s="2">
        <f>IF(ISNUMBER(SEARCH(Лист2!$B$4,F:F)),1,0)</f>
        <v>0</v>
      </c>
      <c r="L4957" s="14">
        <f>IF(ISNUMBER(SEARCH(Лист2!$B$5,I:I)),1,0)+K4957</f>
        <v>0</v>
      </c>
      <c r="M4957" s="3">
        <f ca="1">IF(AND(N4957&lt;&gt;N4956,ISNUMBER(SEARCH(Лист2!$B$6,N:N)),L4957=2),MAX($M$3:OFFSET(M4957,-1,0))+1,0)</f>
        <v>0</v>
      </c>
      <c r="N4957" s="3" t="s">
        <v>602</v>
      </c>
    </row>
    <row r="4958" spans="1:14" x14ac:dyDescent="0.25">
      <c r="A4958" s="1" t="s">
        <v>13631</v>
      </c>
      <c r="B4958" s="3" t="s">
        <v>8582</v>
      </c>
      <c r="C4958" s="2">
        <f ca="1">IF(ISNUMBER(SEARCH(Лист2!$B$4,D:D)),MAX($C$3:OFFSET(C4958,-1,0))+1,0)</f>
        <v>0</v>
      </c>
      <c r="E4958" s="9" t="str">
        <f t="shared" ca="1" si="89"/>
        <v/>
      </c>
      <c r="F4958" s="4" t="s">
        <v>28</v>
      </c>
      <c r="G4958" s="2">
        <f>IF(ISNUMBER(SEARCH(Лист2!$B$4,F:F)),1,0)</f>
        <v>0</v>
      </c>
      <c r="H4958" s="3">
        <f ca="1">IF(AND(I4958&lt;&gt;I4957,ISNUMBER(SEARCH(Лист2!$B$5,I:I)),G4958=1),MAX($H$3:OFFSET(H4958,-1,0))+1,0)</f>
        <v>0</v>
      </c>
      <c r="I4958" s="3" t="s">
        <v>390</v>
      </c>
      <c r="K4958" s="2">
        <f>IF(ISNUMBER(SEARCH(Лист2!$B$4,F:F)),1,0)</f>
        <v>0</v>
      </c>
      <c r="L4958" s="14">
        <f>IF(ISNUMBER(SEARCH(Лист2!$B$5,I:I)),1,0)+K4958</f>
        <v>0</v>
      </c>
      <c r="M4958" s="3">
        <f ca="1">IF(AND(N4958&lt;&gt;N4957,ISNUMBER(SEARCH(Лист2!$B$6,N:N)),L4958=2),MAX($M$3:OFFSET(M4958,-1,0))+1,0)</f>
        <v>0</v>
      </c>
      <c r="N4958" s="3" t="s">
        <v>2988</v>
      </c>
    </row>
    <row r="4959" spans="1:14" x14ac:dyDescent="0.25">
      <c r="A4959" s="1" t="s">
        <v>13632</v>
      </c>
      <c r="B4959" s="3" t="s">
        <v>8583</v>
      </c>
      <c r="C4959" s="2">
        <f ca="1">IF(ISNUMBER(SEARCH(Лист2!$B$4,D:D)),MAX($C$3:OFFSET(C4959,-1,0))+1,0)</f>
        <v>0</v>
      </c>
      <c r="E4959" s="9" t="str">
        <f t="shared" ca="1" si="89"/>
        <v/>
      </c>
      <c r="F4959" s="4" t="s">
        <v>28</v>
      </c>
      <c r="G4959" s="2">
        <f>IF(ISNUMBER(SEARCH(Лист2!$B$4,F:F)),1,0)</f>
        <v>0</v>
      </c>
      <c r="H4959" s="3">
        <f ca="1">IF(AND(I4959&lt;&gt;I4958,ISNUMBER(SEARCH(Лист2!$B$5,I:I)),G4959=1),MAX($H$3:OFFSET(H4959,-1,0))+1,0)</f>
        <v>0</v>
      </c>
      <c r="I4959" s="3" t="s">
        <v>390</v>
      </c>
      <c r="K4959" s="2">
        <f>IF(ISNUMBER(SEARCH(Лист2!$B$4,F:F)),1,0)</f>
        <v>0</v>
      </c>
      <c r="L4959" s="14">
        <f>IF(ISNUMBER(SEARCH(Лист2!$B$5,I:I)),1,0)+K4959</f>
        <v>0</v>
      </c>
      <c r="M4959" s="3">
        <f ca="1">IF(AND(N4959&lt;&gt;N4958,ISNUMBER(SEARCH(Лист2!$B$6,N:N)),L4959=2),MAX($M$3:OFFSET(M4959,-1,0))+1,0)</f>
        <v>0</v>
      </c>
      <c r="N4959" s="3" t="s">
        <v>2989</v>
      </c>
    </row>
    <row r="4960" spans="1:14" x14ac:dyDescent="0.25">
      <c r="A4960" s="1" t="s">
        <v>13633</v>
      </c>
      <c r="B4960" s="3" t="s">
        <v>8584</v>
      </c>
      <c r="C4960" s="2">
        <f ca="1">IF(ISNUMBER(SEARCH(Лист2!$B$4,D:D)),MAX($C$3:OFFSET(C4960,-1,0))+1,0)</f>
        <v>0</v>
      </c>
      <c r="E4960" s="9" t="str">
        <f t="shared" ca="1" si="89"/>
        <v/>
      </c>
      <c r="F4960" s="4" t="s">
        <v>28</v>
      </c>
      <c r="G4960" s="2">
        <f>IF(ISNUMBER(SEARCH(Лист2!$B$4,F:F)),1,0)</f>
        <v>0</v>
      </c>
      <c r="H4960" s="3">
        <f ca="1">IF(AND(I4960&lt;&gt;I4959,ISNUMBER(SEARCH(Лист2!$B$5,I:I)),G4960=1),MAX($H$3:OFFSET(H4960,-1,0))+1,0)</f>
        <v>0</v>
      </c>
      <c r="I4960" s="3" t="s">
        <v>390</v>
      </c>
      <c r="K4960" s="2">
        <f>IF(ISNUMBER(SEARCH(Лист2!$B$4,F:F)),1,0)</f>
        <v>0</v>
      </c>
      <c r="L4960" s="14">
        <f>IF(ISNUMBER(SEARCH(Лист2!$B$5,I:I)),1,0)+K4960</f>
        <v>0</v>
      </c>
      <c r="M4960" s="3">
        <f ca="1">IF(AND(N4960&lt;&gt;N4959,ISNUMBER(SEARCH(Лист2!$B$6,N:N)),L4960=2),MAX($M$3:OFFSET(M4960,-1,0))+1,0)</f>
        <v>0</v>
      </c>
      <c r="N4960" s="3" t="s">
        <v>2929</v>
      </c>
    </row>
    <row r="4961" spans="1:14" x14ac:dyDescent="0.25">
      <c r="A4961" s="1" t="s">
        <v>13634</v>
      </c>
      <c r="B4961" s="3" t="s">
        <v>8585</v>
      </c>
      <c r="C4961" s="2">
        <f ca="1">IF(ISNUMBER(SEARCH(Лист2!$B$4,D:D)),MAX($C$3:OFFSET(C4961,-1,0))+1,0)</f>
        <v>0</v>
      </c>
      <c r="E4961" s="9" t="str">
        <f t="shared" ca="1" si="89"/>
        <v/>
      </c>
      <c r="F4961" s="4" t="s">
        <v>28</v>
      </c>
      <c r="G4961" s="2">
        <f>IF(ISNUMBER(SEARCH(Лист2!$B$4,F:F)),1,0)</f>
        <v>0</v>
      </c>
      <c r="H4961" s="3">
        <f ca="1">IF(AND(I4961&lt;&gt;I4960,ISNUMBER(SEARCH(Лист2!$B$5,I:I)),G4961=1),MAX($H$3:OFFSET(H4961,-1,0))+1,0)</f>
        <v>0</v>
      </c>
      <c r="I4961" s="3" t="s">
        <v>391</v>
      </c>
      <c r="K4961" s="2">
        <f>IF(ISNUMBER(SEARCH(Лист2!$B$4,F:F)),1,0)</f>
        <v>0</v>
      </c>
      <c r="L4961" s="14">
        <f>IF(ISNUMBER(SEARCH(Лист2!$B$5,I:I)),1,0)+K4961</f>
        <v>0</v>
      </c>
      <c r="M4961" s="3">
        <f ca="1">IF(AND(N4961&lt;&gt;N4960,ISNUMBER(SEARCH(Лист2!$B$6,N:N)),L4961=2),MAX($M$3:OFFSET(M4961,-1,0))+1,0)</f>
        <v>0</v>
      </c>
      <c r="N4961" s="3" t="s">
        <v>2990</v>
      </c>
    </row>
    <row r="4962" spans="1:14" x14ac:dyDescent="0.25">
      <c r="A4962" s="1" t="s">
        <v>13635</v>
      </c>
      <c r="B4962" s="3" t="s">
        <v>8586</v>
      </c>
      <c r="C4962" s="2">
        <f ca="1">IF(ISNUMBER(SEARCH(Лист2!$B$4,D:D)),MAX($C$3:OFFSET(C4962,-1,0))+1,0)</f>
        <v>0</v>
      </c>
      <c r="E4962" s="9" t="str">
        <f t="shared" ca="1" si="89"/>
        <v/>
      </c>
      <c r="F4962" s="4" t="s">
        <v>28</v>
      </c>
      <c r="G4962" s="2">
        <f>IF(ISNUMBER(SEARCH(Лист2!$B$4,F:F)),1,0)</f>
        <v>0</v>
      </c>
      <c r="H4962" s="3">
        <f ca="1">IF(AND(I4962&lt;&gt;I4961,ISNUMBER(SEARCH(Лист2!$B$5,I:I)),G4962=1),MAX($H$3:OFFSET(H4962,-1,0))+1,0)</f>
        <v>0</v>
      </c>
      <c r="I4962" s="3" t="s">
        <v>391</v>
      </c>
      <c r="K4962" s="2">
        <f>IF(ISNUMBER(SEARCH(Лист2!$B$4,F:F)),1,0)</f>
        <v>0</v>
      </c>
      <c r="L4962" s="14">
        <f>IF(ISNUMBER(SEARCH(Лист2!$B$5,I:I)),1,0)+K4962</f>
        <v>0</v>
      </c>
      <c r="M4962" s="3">
        <f ca="1">IF(AND(N4962&lt;&gt;N4961,ISNUMBER(SEARCH(Лист2!$B$6,N:N)),L4962=2),MAX($M$3:OFFSET(M4962,-1,0))+1,0)</f>
        <v>0</v>
      </c>
      <c r="N4962" s="3" t="s">
        <v>2991</v>
      </c>
    </row>
    <row r="4963" spans="1:14" x14ac:dyDescent="0.25">
      <c r="A4963" s="1" t="s">
        <v>13636</v>
      </c>
      <c r="B4963" s="3" t="s">
        <v>8587</v>
      </c>
      <c r="C4963" s="2">
        <f ca="1">IF(ISNUMBER(SEARCH(Лист2!$B$4,D:D)),MAX($C$3:OFFSET(C4963,-1,0))+1,0)</f>
        <v>0</v>
      </c>
      <c r="E4963" s="9" t="str">
        <f t="shared" ca="1" si="89"/>
        <v/>
      </c>
      <c r="F4963" s="4" t="s">
        <v>28</v>
      </c>
      <c r="G4963" s="2">
        <f>IF(ISNUMBER(SEARCH(Лист2!$B$4,F:F)),1,0)</f>
        <v>0</v>
      </c>
      <c r="H4963" s="3">
        <f ca="1">IF(AND(I4963&lt;&gt;I4962,ISNUMBER(SEARCH(Лист2!$B$5,I:I)),G4963=1),MAX($H$3:OFFSET(H4963,-1,0))+1,0)</f>
        <v>0</v>
      </c>
      <c r="I4963" s="3" t="s">
        <v>391</v>
      </c>
      <c r="K4963" s="2">
        <f>IF(ISNUMBER(SEARCH(Лист2!$B$4,F:F)),1,0)</f>
        <v>0</v>
      </c>
      <c r="L4963" s="14">
        <f>IF(ISNUMBER(SEARCH(Лист2!$B$5,I:I)),1,0)+K4963</f>
        <v>0</v>
      </c>
      <c r="M4963" s="3">
        <f ca="1">IF(AND(N4963&lt;&gt;N4962,ISNUMBER(SEARCH(Лист2!$B$6,N:N)),L4963=2),MAX($M$3:OFFSET(M4963,-1,0))+1,0)</f>
        <v>0</v>
      </c>
      <c r="N4963" s="3" t="s">
        <v>2957</v>
      </c>
    </row>
    <row r="4964" spans="1:14" x14ac:dyDescent="0.25">
      <c r="A4964" s="1" t="s">
        <v>13637</v>
      </c>
      <c r="B4964" s="3" t="s">
        <v>8588</v>
      </c>
      <c r="C4964" s="2">
        <f ca="1">IF(ISNUMBER(SEARCH(Лист2!$B$4,D:D)),MAX($C$3:OFFSET(C4964,-1,0))+1,0)</f>
        <v>0</v>
      </c>
      <c r="E4964" s="9" t="str">
        <f t="shared" ca="1" si="89"/>
        <v/>
      </c>
      <c r="F4964" s="4" t="s">
        <v>28</v>
      </c>
      <c r="G4964" s="2">
        <f>IF(ISNUMBER(SEARCH(Лист2!$B$4,F:F)),1,0)</f>
        <v>0</v>
      </c>
      <c r="H4964" s="3">
        <f ca="1">IF(AND(I4964&lt;&gt;I4963,ISNUMBER(SEARCH(Лист2!$B$5,I:I)),G4964=1),MAX($H$3:OFFSET(H4964,-1,0))+1,0)</f>
        <v>0</v>
      </c>
      <c r="I4964" s="3" t="s">
        <v>391</v>
      </c>
      <c r="K4964" s="2">
        <f>IF(ISNUMBER(SEARCH(Лист2!$B$4,F:F)),1,0)</f>
        <v>0</v>
      </c>
      <c r="L4964" s="14">
        <f>IF(ISNUMBER(SEARCH(Лист2!$B$5,I:I)),1,0)+K4964</f>
        <v>0</v>
      </c>
      <c r="M4964" s="3">
        <f ca="1">IF(AND(N4964&lt;&gt;N4963,ISNUMBER(SEARCH(Лист2!$B$6,N:N)),L4964=2),MAX($M$3:OFFSET(M4964,-1,0))+1,0)</f>
        <v>0</v>
      </c>
      <c r="N4964" s="3" t="s">
        <v>2924</v>
      </c>
    </row>
    <row r="4965" spans="1:14" x14ac:dyDescent="0.25">
      <c r="A4965" s="1" t="s">
        <v>13638</v>
      </c>
      <c r="B4965" s="3" t="s">
        <v>8589</v>
      </c>
      <c r="C4965" s="2">
        <f ca="1">IF(ISNUMBER(SEARCH(Лист2!$B$4,D:D)),MAX($C$3:OFFSET(C4965,-1,0))+1,0)</f>
        <v>0</v>
      </c>
      <c r="E4965" s="9" t="str">
        <f t="shared" ca="1" si="89"/>
        <v/>
      </c>
      <c r="F4965" s="4" t="s">
        <v>28</v>
      </c>
      <c r="G4965" s="2">
        <f>IF(ISNUMBER(SEARCH(Лист2!$B$4,F:F)),1,0)</f>
        <v>0</v>
      </c>
      <c r="H4965" s="3">
        <f ca="1">IF(AND(I4965&lt;&gt;I4964,ISNUMBER(SEARCH(Лист2!$B$5,I:I)),G4965=1),MAX($H$3:OFFSET(H4965,-1,0))+1,0)</f>
        <v>0</v>
      </c>
      <c r="I4965" s="3" t="s">
        <v>391</v>
      </c>
      <c r="K4965" s="2">
        <f>IF(ISNUMBER(SEARCH(Лист2!$B$4,F:F)),1,0)</f>
        <v>0</v>
      </c>
      <c r="L4965" s="14">
        <f>IF(ISNUMBER(SEARCH(Лист2!$B$5,I:I)),1,0)+K4965</f>
        <v>0</v>
      </c>
      <c r="M4965" s="3">
        <f ca="1">IF(AND(N4965&lt;&gt;N4964,ISNUMBER(SEARCH(Лист2!$B$6,N:N)),L4965=2),MAX($M$3:OFFSET(M4965,-1,0))+1,0)</f>
        <v>0</v>
      </c>
      <c r="N4965" s="3" t="s">
        <v>2925</v>
      </c>
    </row>
    <row r="4966" spans="1:14" x14ac:dyDescent="0.25">
      <c r="A4966" s="1" t="s">
        <v>13639</v>
      </c>
      <c r="B4966" s="3" t="s">
        <v>8590</v>
      </c>
      <c r="C4966" s="2">
        <f ca="1">IF(ISNUMBER(SEARCH(Лист2!$B$4,D:D)),MAX($C$3:OFFSET(C4966,-1,0))+1,0)</f>
        <v>0</v>
      </c>
      <c r="E4966" s="9" t="str">
        <f t="shared" ca="1" si="89"/>
        <v/>
      </c>
      <c r="F4966" s="4" t="s">
        <v>28</v>
      </c>
      <c r="G4966" s="2">
        <f>IF(ISNUMBER(SEARCH(Лист2!$B$4,F:F)),1,0)</f>
        <v>0</v>
      </c>
      <c r="H4966" s="3">
        <f ca="1">IF(AND(I4966&lt;&gt;I4965,ISNUMBER(SEARCH(Лист2!$B$5,I:I)),G4966=1),MAX($H$3:OFFSET(H4966,-1,0))+1,0)</f>
        <v>0</v>
      </c>
      <c r="I4966" s="3" t="s">
        <v>391</v>
      </c>
      <c r="K4966" s="2">
        <f>IF(ISNUMBER(SEARCH(Лист2!$B$4,F:F)),1,0)</f>
        <v>0</v>
      </c>
      <c r="L4966" s="14">
        <f>IF(ISNUMBER(SEARCH(Лист2!$B$5,I:I)),1,0)+K4966</f>
        <v>0</v>
      </c>
      <c r="M4966" s="3">
        <f ca="1">IF(AND(N4966&lt;&gt;N4965,ISNUMBER(SEARCH(Лист2!$B$6,N:N)),L4966=2),MAX($M$3:OFFSET(M4966,-1,0))+1,0)</f>
        <v>0</v>
      </c>
      <c r="N4966" s="3" t="s">
        <v>602</v>
      </c>
    </row>
    <row r="4967" spans="1:14" x14ac:dyDescent="0.25">
      <c r="A4967" s="1" t="s">
        <v>13640</v>
      </c>
      <c r="B4967" s="3" t="s">
        <v>8591</v>
      </c>
      <c r="C4967" s="2">
        <f ca="1">IF(ISNUMBER(SEARCH(Лист2!$B$4,D:D)),MAX($C$3:OFFSET(C4967,-1,0))+1,0)</f>
        <v>0</v>
      </c>
      <c r="E4967" s="9" t="str">
        <f t="shared" ca="1" si="89"/>
        <v/>
      </c>
      <c r="F4967" s="4" t="s">
        <v>28</v>
      </c>
      <c r="G4967" s="2">
        <f>IF(ISNUMBER(SEARCH(Лист2!$B$4,F:F)),1,0)</f>
        <v>0</v>
      </c>
      <c r="H4967" s="3">
        <f ca="1">IF(AND(I4967&lt;&gt;I4966,ISNUMBER(SEARCH(Лист2!$B$5,I:I)),G4967=1),MAX($H$3:OFFSET(H4967,-1,0))+1,0)</f>
        <v>0</v>
      </c>
      <c r="I4967" s="3" t="s">
        <v>391</v>
      </c>
      <c r="K4967" s="2">
        <f>IF(ISNUMBER(SEARCH(Лист2!$B$4,F:F)),1,0)</f>
        <v>0</v>
      </c>
      <c r="L4967" s="14">
        <f>IF(ISNUMBER(SEARCH(Лист2!$B$5,I:I)),1,0)+K4967</f>
        <v>0</v>
      </c>
      <c r="M4967" s="3">
        <f ca="1">IF(AND(N4967&lt;&gt;N4966,ISNUMBER(SEARCH(Лист2!$B$6,N:N)),L4967=2),MAX($M$3:OFFSET(M4967,-1,0))+1,0)</f>
        <v>0</v>
      </c>
      <c r="N4967" s="3" t="s">
        <v>2992</v>
      </c>
    </row>
    <row r="4968" spans="1:14" x14ac:dyDescent="0.25">
      <c r="A4968" s="1" t="s">
        <v>13641</v>
      </c>
      <c r="B4968" s="3" t="s">
        <v>8592</v>
      </c>
      <c r="C4968" s="2">
        <f ca="1">IF(ISNUMBER(SEARCH(Лист2!$B$4,D:D)),MAX($C$3:OFFSET(C4968,-1,0))+1,0)</f>
        <v>0</v>
      </c>
      <c r="E4968" s="9" t="str">
        <f t="shared" ca="1" si="89"/>
        <v/>
      </c>
      <c r="F4968" s="4" t="s">
        <v>28</v>
      </c>
      <c r="G4968" s="2">
        <f>IF(ISNUMBER(SEARCH(Лист2!$B$4,F:F)),1,0)</f>
        <v>0</v>
      </c>
      <c r="H4968" s="3">
        <f ca="1">IF(AND(I4968&lt;&gt;I4967,ISNUMBER(SEARCH(Лист2!$B$5,I:I)),G4968=1),MAX($H$3:OFFSET(H4968,-1,0))+1,0)</f>
        <v>0</v>
      </c>
      <c r="I4968" s="3" t="s">
        <v>391</v>
      </c>
      <c r="K4968" s="2">
        <f>IF(ISNUMBER(SEARCH(Лист2!$B$4,F:F)),1,0)</f>
        <v>0</v>
      </c>
      <c r="L4968" s="14">
        <f>IF(ISNUMBER(SEARCH(Лист2!$B$5,I:I)),1,0)+K4968</f>
        <v>0</v>
      </c>
      <c r="M4968" s="3">
        <f ca="1">IF(AND(N4968&lt;&gt;N4967,ISNUMBER(SEARCH(Лист2!$B$6,N:N)),L4968=2),MAX($M$3:OFFSET(M4968,-1,0))+1,0)</f>
        <v>0</v>
      </c>
      <c r="N4968" s="3" t="s">
        <v>2993</v>
      </c>
    </row>
    <row r="4969" spans="1:14" x14ac:dyDescent="0.25">
      <c r="A4969" s="1" t="s">
        <v>13642</v>
      </c>
      <c r="B4969" s="3" t="s">
        <v>8593</v>
      </c>
      <c r="C4969" s="2">
        <f ca="1">IF(ISNUMBER(SEARCH(Лист2!$B$4,D:D)),MAX($C$3:OFFSET(C4969,-1,0))+1,0)</f>
        <v>0</v>
      </c>
      <c r="E4969" s="9" t="str">
        <f t="shared" ca="1" si="89"/>
        <v/>
      </c>
      <c r="F4969" s="4" t="s">
        <v>28</v>
      </c>
      <c r="G4969" s="2">
        <f>IF(ISNUMBER(SEARCH(Лист2!$B$4,F:F)),1,0)</f>
        <v>0</v>
      </c>
      <c r="H4969" s="3">
        <f ca="1">IF(AND(I4969&lt;&gt;I4968,ISNUMBER(SEARCH(Лист2!$B$5,I:I)),G4969=1),MAX($H$3:OFFSET(H4969,-1,0))+1,0)</f>
        <v>0</v>
      </c>
      <c r="I4969" s="3" t="s">
        <v>391</v>
      </c>
      <c r="K4969" s="2">
        <f>IF(ISNUMBER(SEARCH(Лист2!$B$4,F:F)),1,0)</f>
        <v>0</v>
      </c>
      <c r="L4969" s="14">
        <f>IF(ISNUMBER(SEARCH(Лист2!$B$5,I:I)),1,0)+K4969</f>
        <v>0</v>
      </c>
      <c r="M4969" s="3">
        <f ca="1">IF(AND(N4969&lt;&gt;N4968,ISNUMBER(SEARCH(Лист2!$B$6,N:N)),L4969=2),MAX($M$3:OFFSET(M4969,-1,0))+1,0)</f>
        <v>0</v>
      </c>
      <c r="N4969" s="3" t="s">
        <v>2929</v>
      </c>
    </row>
    <row r="4970" spans="1:14" x14ac:dyDescent="0.25">
      <c r="A4970" s="1" t="s">
        <v>13643</v>
      </c>
      <c r="B4970" s="3" t="s">
        <v>8594</v>
      </c>
      <c r="C4970" s="2">
        <f ca="1">IF(ISNUMBER(SEARCH(Лист2!$B$4,D:D)),MAX($C$3:OFFSET(C4970,-1,0))+1,0)</f>
        <v>0</v>
      </c>
      <c r="E4970" s="9" t="str">
        <f t="shared" ca="1" si="89"/>
        <v/>
      </c>
      <c r="F4970" s="4" t="s">
        <v>28</v>
      </c>
      <c r="G4970" s="2">
        <f>IF(ISNUMBER(SEARCH(Лист2!$B$4,F:F)),1,0)</f>
        <v>0</v>
      </c>
      <c r="H4970" s="3">
        <f ca="1">IF(AND(I4970&lt;&gt;I4969,ISNUMBER(SEARCH(Лист2!$B$5,I:I)),G4970=1),MAX($H$3:OFFSET(H4970,-1,0))+1,0)</f>
        <v>0</v>
      </c>
      <c r="I4970" s="3" t="s">
        <v>392</v>
      </c>
      <c r="K4970" s="2">
        <f>IF(ISNUMBER(SEARCH(Лист2!$B$4,F:F)),1,0)</f>
        <v>0</v>
      </c>
      <c r="L4970" s="14">
        <f>IF(ISNUMBER(SEARCH(Лист2!$B$5,I:I)),1,0)+K4970</f>
        <v>0</v>
      </c>
      <c r="M4970" s="3">
        <f ca="1">IF(AND(N4970&lt;&gt;N4969,ISNUMBER(SEARCH(Лист2!$B$6,N:N)),L4970=2),MAX($M$3:OFFSET(M4970,-1,0))+1,0)</f>
        <v>0</v>
      </c>
      <c r="N4970" s="3" t="s">
        <v>2994</v>
      </c>
    </row>
    <row r="4971" spans="1:14" x14ac:dyDescent="0.25">
      <c r="A4971" s="1" t="s">
        <v>13644</v>
      </c>
      <c r="B4971" s="3" t="s">
        <v>8595</v>
      </c>
      <c r="C4971" s="2">
        <f ca="1">IF(ISNUMBER(SEARCH(Лист2!$B$4,D:D)),MAX($C$3:OFFSET(C4971,-1,0))+1,0)</f>
        <v>0</v>
      </c>
      <c r="E4971" s="9" t="str">
        <f t="shared" ca="1" si="89"/>
        <v/>
      </c>
      <c r="F4971" s="4" t="s">
        <v>28</v>
      </c>
      <c r="G4971" s="2">
        <f>IF(ISNUMBER(SEARCH(Лист2!$B$4,F:F)),1,0)</f>
        <v>0</v>
      </c>
      <c r="H4971" s="3">
        <f ca="1">IF(AND(I4971&lt;&gt;I4970,ISNUMBER(SEARCH(Лист2!$B$5,I:I)),G4971=1),MAX($H$3:OFFSET(H4971,-1,0))+1,0)</f>
        <v>0</v>
      </c>
      <c r="I4971" s="3" t="s">
        <v>392</v>
      </c>
      <c r="K4971" s="2">
        <f>IF(ISNUMBER(SEARCH(Лист2!$B$4,F:F)),1,0)</f>
        <v>0</v>
      </c>
      <c r="L4971" s="14">
        <f>IF(ISNUMBER(SEARCH(Лист2!$B$5,I:I)),1,0)+K4971</f>
        <v>0</v>
      </c>
      <c r="M4971" s="3">
        <f ca="1">IF(AND(N4971&lt;&gt;N4970,ISNUMBER(SEARCH(Лист2!$B$6,N:N)),L4971=2),MAX($M$3:OFFSET(M4971,-1,0))+1,0)</f>
        <v>0</v>
      </c>
      <c r="N4971" s="3" t="s">
        <v>2995</v>
      </c>
    </row>
    <row r="4972" spans="1:14" x14ac:dyDescent="0.25">
      <c r="A4972" s="1" t="s">
        <v>13645</v>
      </c>
      <c r="B4972" s="3" t="s">
        <v>8596</v>
      </c>
      <c r="C4972" s="2">
        <f ca="1">IF(ISNUMBER(SEARCH(Лист2!$B$4,D:D)),MAX($C$3:OFFSET(C4972,-1,0))+1,0)</f>
        <v>0</v>
      </c>
      <c r="E4972" s="9" t="str">
        <f t="shared" ca="1" si="89"/>
        <v/>
      </c>
      <c r="F4972" s="4" t="s">
        <v>28</v>
      </c>
      <c r="G4972" s="2">
        <f>IF(ISNUMBER(SEARCH(Лист2!$B$4,F:F)),1,0)</f>
        <v>0</v>
      </c>
      <c r="H4972" s="3">
        <f ca="1">IF(AND(I4972&lt;&gt;I4971,ISNUMBER(SEARCH(Лист2!$B$5,I:I)),G4972=1),MAX($H$3:OFFSET(H4972,-1,0))+1,0)</f>
        <v>0</v>
      </c>
      <c r="I4972" s="3" t="s">
        <v>392</v>
      </c>
      <c r="K4972" s="2">
        <f>IF(ISNUMBER(SEARCH(Лист2!$B$4,F:F)),1,0)</f>
        <v>0</v>
      </c>
      <c r="L4972" s="14">
        <f>IF(ISNUMBER(SEARCH(Лист2!$B$5,I:I)),1,0)+K4972</f>
        <v>0</v>
      </c>
      <c r="M4972" s="3">
        <f ca="1">IF(AND(N4972&lt;&gt;N4971,ISNUMBER(SEARCH(Лист2!$B$6,N:N)),L4972=2),MAX($M$3:OFFSET(M4972,-1,0))+1,0)</f>
        <v>0</v>
      </c>
      <c r="N4972" s="3" t="s">
        <v>2957</v>
      </c>
    </row>
    <row r="4973" spans="1:14" x14ac:dyDescent="0.25">
      <c r="A4973" s="1" t="s">
        <v>13646</v>
      </c>
      <c r="B4973" s="3" t="s">
        <v>8597</v>
      </c>
      <c r="C4973" s="2">
        <f ca="1">IF(ISNUMBER(SEARCH(Лист2!$B$4,D:D)),MAX($C$3:OFFSET(C4973,-1,0))+1,0)</f>
        <v>0</v>
      </c>
      <c r="E4973" s="9" t="str">
        <f t="shared" ca="1" si="89"/>
        <v/>
      </c>
      <c r="F4973" s="4" t="s">
        <v>28</v>
      </c>
      <c r="G4973" s="2">
        <f>IF(ISNUMBER(SEARCH(Лист2!$B$4,F:F)),1,0)</f>
        <v>0</v>
      </c>
      <c r="H4973" s="3">
        <f ca="1">IF(AND(I4973&lt;&gt;I4972,ISNUMBER(SEARCH(Лист2!$B$5,I:I)),G4973=1),MAX($H$3:OFFSET(H4973,-1,0))+1,0)</f>
        <v>0</v>
      </c>
      <c r="I4973" s="3" t="s">
        <v>392</v>
      </c>
      <c r="K4973" s="2">
        <f>IF(ISNUMBER(SEARCH(Лист2!$B$4,F:F)),1,0)</f>
        <v>0</v>
      </c>
      <c r="L4973" s="14">
        <f>IF(ISNUMBER(SEARCH(Лист2!$B$5,I:I)),1,0)+K4973</f>
        <v>0</v>
      </c>
      <c r="M4973" s="3">
        <f ca="1">IF(AND(N4973&lt;&gt;N4972,ISNUMBER(SEARCH(Лист2!$B$6,N:N)),L4973=2),MAX($M$3:OFFSET(M4973,-1,0))+1,0)</f>
        <v>0</v>
      </c>
      <c r="N4973" s="3" t="s">
        <v>2924</v>
      </c>
    </row>
    <row r="4974" spans="1:14" x14ac:dyDescent="0.25">
      <c r="A4974" s="1" t="s">
        <v>13647</v>
      </c>
      <c r="B4974" s="3" t="s">
        <v>8598</v>
      </c>
      <c r="C4974" s="2">
        <f ca="1">IF(ISNUMBER(SEARCH(Лист2!$B$4,D:D)),MAX($C$3:OFFSET(C4974,-1,0))+1,0)</f>
        <v>0</v>
      </c>
      <c r="E4974" s="9" t="str">
        <f t="shared" ca="1" si="89"/>
        <v/>
      </c>
      <c r="F4974" s="4" t="s">
        <v>28</v>
      </c>
      <c r="G4974" s="2">
        <f>IF(ISNUMBER(SEARCH(Лист2!$B$4,F:F)),1,0)</f>
        <v>0</v>
      </c>
      <c r="H4974" s="3">
        <f ca="1">IF(AND(I4974&lt;&gt;I4973,ISNUMBER(SEARCH(Лист2!$B$5,I:I)),G4974=1),MAX($H$3:OFFSET(H4974,-1,0))+1,0)</f>
        <v>0</v>
      </c>
      <c r="I4974" s="3" t="s">
        <v>392</v>
      </c>
      <c r="K4974" s="2">
        <f>IF(ISNUMBER(SEARCH(Лист2!$B$4,F:F)),1,0)</f>
        <v>0</v>
      </c>
      <c r="L4974" s="14">
        <f>IF(ISNUMBER(SEARCH(Лист2!$B$5,I:I)),1,0)+K4974</f>
        <v>0</v>
      </c>
      <c r="M4974" s="3">
        <f ca="1">IF(AND(N4974&lt;&gt;N4973,ISNUMBER(SEARCH(Лист2!$B$6,N:N)),L4974=2),MAX($M$3:OFFSET(M4974,-1,0))+1,0)</f>
        <v>0</v>
      </c>
      <c r="N4974" s="3" t="s">
        <v>2925</v>
      </c>
    </row>
    <row r="4975" spans="1:14" x14ac:dyDescent="0.25">
      <c r="A4975" s="1" t="s">
        <v>13648</v>
      </c>
      <c r="B4975" s="3" t="s">
        <v>8599</v>
      </c>
      <c r="C4975" s="2">
        <f ca="1">IF(ISNUMBER(SEARCH(Лист2!$B$4,D:D)),MAX($C$3:OFFSET(C4975,-1,0))+1,0)</f>
        <v>0</v>
      </c>
      <c r="E4975" s="9" t="str">
        <f t="shared" ca="1" si="89"/>
        <v/>
      </c>
      <c r="F4975" s="4" t="s">
        <v>28</v>
      </c>
      <c r="G4975" s="2">
        <f>IF(ISNUMBER(SEARCH(Лист2!$B$4,F:F)),1,0)</f>
        <v>0</v>
      </c>
      <c r="H4975" s="3">
        <f ca="1">IF(AND(I4975&lt;&gt;I4974,ISNUMBER(SEARCH(Лист2!$B$5,I:I)),G4975=1),MAX($H$3:OFFSET(H4975,-1,0))+1,0)</f>
        <v>0</v>
      </c>
      <c r="I4975" s="3" t="s">
        <v>392</v>
      </c>
      <c r="K4975" s="2">
        <f>IF(ISNUMBER(SEARCH(Лист2!$B$4,F:F)),1,0)</f>
        <v>0</v>
      </c>
      <c r="L4975" s="14">
        <f>IF(ISNUMBER(SEARCH(Лист2!$B$5,I:I)),1,0)+K4975</f>
        <v>0</v>
      </c>
      <c r="M4975" s="3">
        <f ca="1">IF(AND(N4975&lt;&gt;N4974,ISNUMBER(SEARCH(Лист2!$B$6,N:N)),L4975=2),MAX($M$3:OFFSET(M4975,-1,0))+1,0)</f>
        <v>0</v>
      </c>
      <c r="N4975" s="3" t="s">
        <v>602</v>
      </c>
    </row>
    <row r="4976" spans="1:14" x14ac:dyDescent="0.25">
      <c r="A4976" s="1" t="s">
        <v>13649</v>
      </c>
      <c r="B4976" s="3" t="s">
        <v>8600</v>
      </c>
      <c r="C4976" s="2">
        <f ca="1">IF(ISNUMBER(SEARCH(Лист2!$B$4,D:D)),MAX($C$3:OFFSET(C4976,-1,0))+1,0)</f>
        <v>0</v>
      </c>
      <c r="E4976" s="9" t="str">
        <f t="shared" ca="1" si="89"/>
        <v/>
      </c>
      <c r="F4976" s="4" t="s">
        <v>28</v>
      </c>
      <c r="G4976" s="2">
        <f>IF(ISNUMBER(SEARCH(Лист2!$B$4,F:F)),1,0)</f>
        <v>0</v>
      </c>
      <c r="H4976" s="3">
        <f ca="1">IF(AND(I4976&lt;&gt;I4975,ISNUMBER(SEARCH(Лист2!$B$5,I:I)),G4976=1),MAX($H$3:OFFSET(H4976,-1,0))+1,0)</f>
        <v>0</v>
      </c>
      <c r="I4976" s="3" t="s">
        <v>392</v>
      </c>
      <c r="K4976" s="2">
        <f>IF(ISNUMBER(SEARCH(Лист2!$B$4,F:F)),1,0)</f>
        <v>0</v>
      </c>
      <c r="L4976" s="14">
        <f>IF(ISNUMBER(SEARCH(Лист2!$B$5,I:I)),1,0)+K4976</f>
        <v>0</v>
      </c>
      <c r="M4976" s="3">
        <f ca="1">IF(AND(N4976&lt;&gt;N4975,ISNUMBER(SEARCH(Лист2!$B$6,N:N)),L4976=2),MAX($M$3:OFFSET(M4976,-1,0))+1,0)</f>
        <v>0</v>
      </c>
      <c r="N4976" s="3" t="s">
        <v>2996</v>
      </c>
    </row>
    <row r="4977" spans="1:14" x14ac:dyDescent="0.25">
      <c r="A4977" s="1" t="s">
        <v>13650</v>
      </c>
      <c r="B4977" s="3" t="s">
        <v>8601</v>
      </c>
      <c r="C4977" s="2">
        <f ca="1">IF(ISNUMBER(SEARCH(Лист2!$B$4,D:D)),MAX($C$3:OFFSET(C4977,-1,0))+1,0)</f>
        <v>0</v>
      </c>
      <c r="E4977" s="9" t="str">
        <f t="shared" ca="1" si="89"/>
        <v/>
      </c>
      <c r="F4977" s="4" t="s">
        <v>28</v>
      </c>
      <c r="G4977" s="2">
        <f>IF(ISNUMBER(SEARCH(Лист2!$B$4,F:F)),1,0)</f>
        <v>0</v>
      </c>
      <c r="H4977" s="3">
        <f ca="1">IF(AND(I4977&lt;&gt;I4976,ISNUMBER(SEARCH(Лист2!$B$5,I:I)),G4977=1),MAX($H$3:OFFSET(H4977,-1,0))+1,0)</f>
        <v>0</v>
      </c>
      <c r="I4977" s="3" t="s">
        <v>392</v>
      </c>
      <c r="K4977" s="2">
        <f>IF(ISNUMBER(SEARCH(Лист2!$B$4,F:F)),1,0)</f>
        <v>0</v>
      </c>
      <c r="L4977" s="14">
        <f>IF(ISNUMBER(SEARCH(Лист2!$B$5,I:I)),1,0)+K4977</f>
        <v>0</v>
      </c>
      <c r="M4977" s="3">
        <f ca="1">IF(AND(N4977&lt;&gt;N4976,ISNUMBER(SEARCH(Лист2!$B$6,N:N)),L4977=2),MAX($M$3:OFFSET(M4977,-1,0))+1,0)</f>
        <v>0</v>
      </c>
      <c r="N4977" s="3" t="s">
        <v>2997</v>
      </c>
    </row>
    <row r="4978" spans="1:14" x14ac:dyDescent="0.25">
      <c r="A4978" s="1" t="s">
        <v>13651</v>
      </c>
      <c r="B4978" s="3" t="s">
        <v>8602</v>
      </c>
      <c r="C4978" s="2">
        <f ca="1">IF(ISNUMBER(SEARCH(Лист2!$B$4,D:D)),MAX($C$3:OFFSET(C4978,-1,0))+1,0)</f>
        <v>0</v>
      </c>
      <c r="E4978" s="9" t="str">
        <f t="shared" ca="1" si="89"/>
        <v/>
      </c>
      <c r="F4978" s="4" t="s">
        <v>28</v>
      </c>
      <c r="G4978" s="2">
        <f>IF(ISNUMBER(SEARCH(Лист2!$B$4,F:F)),1,0)</f>
        <v>0</v>
      </c>
      <c r="H4978" s="3">
        <f ca="1">IF(AND(I4978&lt;&gt;I4977,ISNUMBER(SEARCH(Лист2!$B$5,I:I)),G4978=1),MAX($H$3:OFFSET(H4978,-1,0))+1,0)</f>
        <v>0</v>
      </c>
      <c r="I4978" s="3" t="s">
        <v>392</v>
      </c>
      <c r="K4978" s="2">
        <f>IF(ISNUMBER(SEARCH(Лист2!$B$4,F:F)),1,0)</f>
        <v>0</v>
      </c>
      <c r="L4978" s="14">
        <f>IF(ISNUMBER(SEARCH(Лист2!$B$5,I:I)),1,0)+K4978</f>
        <v>0</v>
      </c>
      <c r="M4978" s="3">
        <f ca="1">IF(AND(N4978&lt;&gt;N4977,ISNUMBER(SEARCH(Лист2!$B$6,N:N)),L4978=2),MAX($M$3:OFFSET(M4978,-1,0))+1,0)</f>
        <v>0</v>
      </c>
      <c r="N4978" s="3" t="s">
        <v>2929</v>
      </c>
    </row>
    <row r="4979" spans="1:14" x14ac:dyDescent="0.25">
      <c r="A4979" s="1" t="s">
        <v>13652</v>
      </c>
      <c r="B4979" s="3" t="s">
        <v>8603</v>
      </c>
      <c r="C4979" s="2">
        <f ca="1">IF(ISNUMBER(SEARCH(Лист2!$B$4,D:D)),MAX($C$3:OFFSET(C4979,-1,0))+1,0)</f>
        <v>0</v>
      </c>
      <c r="E4979" s="9" t="str">
        <f t="shared" ca="1" si="89"/>
        <v/>
      </c>
      <c r="F4979" s="4" t="s">
        <v>28</v>
      </c>
      <c r="G4979" s="2">
        <f>IF(ISNUMBER(SEARCH(Лист2!$B$4,F:F)),1,0)</f>
        <v>0</v>
      </c>
      <c r="H4979" s="3">
        <f ca="1">IF(AND(I4979&lt;&gt;I4978,ISNUMBER(SEARCH(Лист2!$B$5,I:I)),G4979=1),MAX($H$3:OFFSET(H4979,-1,0))+1,0)</f>
        <v>0</v>
      </c>
      <c r="I4979" s="3" t="s">
        <v>393</v>
      </c>
      <c r="K4979" s="2">
        <f>IF(ISNUMBER(SEARCH(Лист2!$B$4,F:F)),1,0)</f>
        <v>0</v>
      </c>
      <c r="L4979" s="14">
        <f>IF(ISNUMBER(SEARCH(Лист2!$B$5,I:I)),1,0)+K4979</f>
        <v>0</v>
      </c>
      <c r="M4979" s="3">
        <f ca="1">IF(AND(N4979&lt;&gt;N4978,ISNUMBER(SEARCH(Лист2!$B$6,N:N)),L4979=2),MAX($M$3:OFFSET(M4979,-1,0))+1,0)</f>
        <v>0</v>
      </c>
      <c r="N4979" s="3" t="s">
        <v>2998</v>
      </c>
    </row>
    <row r="4980" spans="1:14" x14ac:dyDescent="0.25">
      <c r="A4980" s="1" t="s">
        <v>13652</v>
      </c>
      <c r="B4980" s="3" t="s">
        <v>8604</v>
      </c>
      <c r="C4980" s="2">
        <f ca="1">IF(ISNUMBER(SEARCH(Лист2!$B$4,D:D)),MAX($C$3:OFFSET(C4980,-1,0))+1,0)</f>
        <v>0</v>
      </c>
      <c r="E4980" s="9" t="str">
        <f t="shared" ca="1" si="89"/>
        <v/>
      </c>
      <c r="F4980" s="4" t="s">
        <v>28</v>
      </c>
      <c r="G4980" s="2">
        <f>IF(ISNUMBER(SEARCH(Лист2!$B$4,F:F)),1,0)</f>
        <v>0</v>
      </c>
      <c r="H4980" s="3">
        <f ca="1">IF(AND(I4980&lt;&gt;I4979,ISNUMBER(SEARCH(Лист2!$B$5,I:I)),G4980=1),MAX($H$3:OFFSET(H4980,-1,0))+1,0)</f>
        <v>0</v>
      </c>
      <c r="I4980" s="3" t="s">
        <v>393</v>
      </c>
      <c r="K4980" s="2">
        <f>IF(ISNUMBER(SEARCH(Лист2!$B$4,F:F)),1,0)</f>
        <v>0</v>
      </c>
      <c r="L4980" s="14">
        <f>IF(ISNUMBER(SEARCH(Лист2!$B$5,I:I)),1,0)+K4980</f>
        <v>0</v>
      </c>
      <c r="M4980" s="3">
        <f ca="1">IF(AND(N4980&lt;&gt;N4979,ISNUMBER(SEARCH(Лист2!$B$6,N:N)),L4980=2),MAX($M$3:OFFSET(M4980,-1,0))+1,0)</f>
        <v>0</v>
      </c>
      <c r="N4980" s="3" t="s">
        <v>2998</v>
      </c>
    </row>
    <row r="4981" spans="1:14" x14ac:dyDescent="0.25">
      <c r="A4981" s="1" t="s">
        <v>13652</v>
      </c>
      <c r="B4981" s="3" t="s">
        <v>8605</v>
      </c>
      <c r="C4981" s="2">
        <f ca="1">IF(ISNUMBER(SEARCH(Лист2!$B$4,D:D)),MAX($C$3:OFFSET(C4981,-1,0))+1,0)</f>
        <v>0</v>
      </c>
      <c r="E4981" s="9" t="str">
        <f t="shared" ca="1" si="89"/>
        <v/>
      </c>
      <c r="F4981" s="4" t="s">
        <v>28</v>
      </c>
      <c r="G4981" s="2">
        <f>IF(ISNUMBER(SEARCH(Лист2!$B$4,F:F)),1,0)</f>
        <v>0</v>
      </c>
      <c r="H4981" s="3">
        <f ca="1">IF(AND(I4981&lt;&gt;I4980,ISNUMBER(SEARCH(Лист2!$B$5,I:I)),G4981=1),MAX($H$3:OFFSET(H4981,-1,0))+1,0)</f>
        <v>0</v>
      </c>
      <c r="I4981" s="3" t="s">
        <v>393</v>
      </c>
      <c r="K4981" s="2">
        <f>IF(ISNUMBER(SEARCH(Лист2!$B$4,F:F)),1,0)</f>
        <v>0</v>
      </c>
      <c r="L4981" s="14">
        <f>IF(ISNUMBER(SEARCH(Лист2!$B$5,I:I)),1,0)+K4981</f>
        <v>0</v>
      </c>
      <c r="M4981" s="3">
        <f ca="1">IF(AND(N4981&lt;&gt;N4980,ISNUMBER(SEARCH(Лист2!$B$6,N:N)),L4981=2),MAX($M$3:OFFSET(M4981,-1,0))+1,0)</f>
        <v>0</v>
      </c>
      <c r="N4981" s="3" t="s">
        <v>2998</v>
      </c>
    </row>
    <row r="4982" spans="1:14" x14ac:dyDescent="0.25">
      <c r="A4982" s="1" t="s">
        <v>13653</v>
      </c>
      <c r="B4982" s="3" t="s">
        <v>8606</v>
      </c>
      <c r="C4982" s="2">
        <f ca="1">IF(ISNUMBER(SEARCH(Лист2!$B$4,D:D)),MAX($C$3:OFFSET(C4982,-1,0))+1,0)</f>
        <v>0</v>
      </c>
      <c r="E4982" s="9" t="str">
        <f t="shared" ca="1" si="89"/>
        <v/>
      </c>
      <c r="F4982" s="4" t="s">
        <v>28</v>
      </c>
      <c r="G4982" s="2">
        <f>IF(ISNUMBER(SEARCH(Лист2!$B$4,F:F)),1,0)</f>
        <v>0</v>
      </c>
      <c r="H4982" s="3">
        <f ca="1">IF(AND(I4982&lt;&gt;I4981,ISNUMBER(SEARCH(Лист2!$B$5,I:I)),G4982=1),MAX($H$3:OFFSET(H4982,-1,0))+1,0)</f>
        <v>0</v>
      </c>
      <c r="I4982" s="3" t="s">
        <v>393</v>
      </c>
      <c r="K4982" s="2">
        <f>IF(ISNUMBER(SEARCH(Лист2!$B$4,F:F)),1,0)</f>
        <v>0</v>
      </c>
      <c r="L4982" s="14">
        <f>IF(ISNUMBER(SEARCH(Лист2!$B$5,I:I)),1,0)+K4982</f>
        <v>0</v>
      </c>
      <c r="M4982" s="3">
        <f ca="1">IF(AND(N4982&lt;&gt;N4981,ISNUMBER(SEARCH(Лист2!$B$6,N:N)),L4982=2),MAX($M$3:OFFSET(M4982,-1,0))+1,0)</f>
        <v>0</v>
      </c>
      <c r="N4982" s="3" t="s">
        <v>2999</v>
      </c>
    </row>
    <row r="4983" spans="1:14" x14ac:dyDescent="0.25">
      <c r="A4983" s="1" t="s">
        <v>13654</v>
      </c>
      <c r="B4983" s="3" t="s">
        <v>8607</v>
      </c>
      <c r="C4983" s="2">
        <f ca="1">IF(ISNUMBER(SEARCH(Лист2!$B$4,D:D)),MAX($C$3:OFFSET(C4983,-1,0))+1,0)</f>
        <v>0</v>
      </c>
      <c r="E4983" s="9" t="str">
        <f t="shared" ca="1" si="89"/>
        <v/>
      </c>
      <c r="F4983" s="4" t="s">
        <v>28</v>
      </c>
      <c r="G4983" s="2">
        <f>IF(ISNUMBER(SEARCH(Лист2!$B$4,F:F)),1,0)</f>
        <v>0</v>
      </c>
      <c r="H4983" s="3">
        <f ca="1">IF(AND(I4983&lt;&gt;I4982,ISNUMBER(SEARCH(Лист2!$B$5,I:I)),G4983=1),MAX($H$3:OFFSET(H4983,-1,0))+1,0)</f>
        <v>0</v>
      </c>
      <c r="I4983" s="3" t="s">
        <v>393</v>
      </c>
      <c r="K4983" s="2">
        <f>IF(ISNUMBER(SEARCH(Лист2!$B$4,F:F)),1,0)</f>
        <v>0</v>
      </c>
      <c r="L4983" s="14">
        <f>IF(ISNUMBER(SEARCH(Лист2!$B$5,I:I)),1,0)+K4983</f>
        <v>0</v>
      </c>
      <c r="M4983" s="3">
        <f ca="1">IF(AND(N4983&lt;&gt;N4982,ISNUMBER(SEARCH(Лист2!$B$6,N:N)),L4983=2),MAX($M$3:OFFSET(M4983,-1,0))+1,0)</f>
        <v>0</v>
      </c>
      <c r="N4983" s="3" t="s">
        <v>3000</v>
      </c>
    </row>
    <row r="4984" spans="1:14" x14ac:dyDescent="0.25">
      <c r="A4984" s="1" t="s">
        <v>13655</v>
      </c>
      <c r="B4984" s="3" t="s">
        <v>8608</v>
      </c>
      <c r="C4984" s="2">
        <f ca="1">IF(ISNUMBER(SEARCH(Лист2!$B$4,D:D)),MAX($C$3:OFFSET(C4984,-1,0))+1,0)</f>
        <v>0</v>
      </c>
      <c r="E4984" s="9" t="str">
        <f t="shared" ca="1" si="89"/>
        <v/>
      </c>
      <c r="F4984" s="4" t="s">
        <v>28</v>
      </c>
      <c r="G4984" s="2">
        <f>IF(ISNUMBER(SEARCH(Лист2!$B$4,F:F)),1,0)</f>
        <v>0</v>
      </c>
      <c r="H4984" s="3">
        <f ca="1">IF(AND(I4984&lt;&gt;I4983,ISNUMBER(SEARCH(Лист2!$B$5,I:I)),G4984=1),MAX($H$3:OFFSET(H4984,-1,0))+1,0)</f>
        <v>0</v>
      </c>
      <c r="I4984" s="3" t="s">
        <v>393</v>
      </c>
      <c r="K4984" s="2">
        <f>IF(ISNUMBER(SEARCH(Лист2!$B$4,F:F)),1,0)</f>
        <v>0</v>
      </c>
      <c r="L4984" s="14">
        <f>IF(ISNUMBER(SEARCH(Лист2!$B$5,I:I)),1,0)+K4984</f>
        <v>0</v>
      </c>
      <c r="M4984" s="3">
        <f ca="1">IF(AND(N4984&lt;&gt;N4983,ISNUMBER(SEARCH(Лист2!$B$6,N:N)),L4984=2),MAX($M$3:OFFSET(M4984,-1,0))+1,0)</f>
        <v>0</v>
      </c>
      <c r="N4984" s="3" t="s">
        <v>2925</v>
      </c>
    </row>
    <row r="4985" spans="1:14" x14ac:dyDescent="0.25">
      <c r="A4985" s="1" t="s">
        <v>13656</v>
      </c>
      <c r="B4985" s="3" t="s">
        <v>8609</v>
      </c>
      <c r="C4985" s="2">
        <f ca="1">IF(ISNUMBER(SEARCH(Лист2!$B$4,D:D)),MAX($C$3:OFFSET(C4985,-1,0))+1,0)</f>
        <v>0</v>
      </c>
      <c r="E4985" s="9" t="str">
        <f t="shared" ca="1" si="89"/>
        <v/>
      </c>
      <c r="F4985" s="4" t="s">
        <v>28</v>
      </c>
      <c r="G4985" s="2">
        <f>IF(ISNUMBER(SEARCH(Лист2!$B$4,F:F)),1,0)</f>
        <v>0</v>
      </c>
      <c r="H4985" s="3">
        <f ca="1">IF(AND(I4985&lt;&gt;I4984,ISNUMBER(SEARCH(Лист2!$B$5,I:I)),G4985=1),MAX($H$3:OFFSET(H4985,-1,0))+1,0)</f>
        <v>0</v>
      </c>
      <c r="I4985" s="3" t="s">
        <v>393</v>
      </c>
      <c r="K4985" s="2">
        <f>IF(ISNUMBER(SEARCH(Лист2!$B$4,F:F)),1,0)</f>
        <v>0</v>
      </c>
      <c r="L4985" s="14">
        <f>IF(ISNUMBER(SEARCH(Лист2!$B$5,I:I)),1,0)+K4985</f>
        <v>0</v>
      </c>
      <c r="M4985" s="3">
        <f ca="1">IF(AND(N4985&lt;&gt;N4984,ISNUMBER(SEARCH(Лист2!$B$6,N:N)),L4985=2),MAX($M$3:OFFSET(M4985,-1,0))+1,0)</f>
        <v>0</v>
      </c>
      <c r="N4985" s="3" t="s">
        <v>602</v>
      </c>
    </row>
    <row r="4986" spans="1:14" x14ac:dyDescent="0.25">
      <c r="A4986" s="1" t="s">
        <v>13657</v>
      </c>
      <c r="B4986" s="3" t="s">
        <v>8610</v>
      </c>
      <c r="C4986" s="2">
        <f ca="1">IF(ISNUMBER(SEARCH(Лист2!$B$4,D:D)),MAX($C$3:OFFSET(C4986,-1,0))+1,0)</f>
        <v>0</v>
      </c>
      <c r="E4986" s="9" t="str">
        <f t="shared" ca="1" si="89"/>
        <v/>
      </c>
      <c r="F4986" s="4" t="s">
        <v>28</v>
      </c>
      <c r="G4986" s="2">
        <f>IF(ISNUMBER(SEARCH(Лист2!$B$4,F:F)),1,0)</f>
        <v>0</v>
      </c>
      <c r="H4986" s="3">
        <f ca="1">IF(AND(I4986&lt;&gt;I4985,ISNUMBER(SEARCH(Лист2!$B$5,I:I)),G4986=1),MAX($H$3:OFFSET(H4986,-1,0))+1,0)</f>
        <v>0</v>
      </c>
      <c r="I4986" s="3" t="s">
        <v>393</v>
      </c>
      <c r="K4986" s="2">
        <f>IF(ISNUMBER(SEARCH(Лист2!$B$4,F:F)),1,0)</f>
        <v>0</v>
      </c>
      <c r="L4986" s="14">
        <f>IF(ISNUMBER(SEARCH(Лист2!$B$5,I:I)),1,0)+K4986</f>
        <v>0</v>
      </c>
      <c r="M4986" s="3">
        <f ca="1">IF(AND(N4986&lt;&gt;N4985,ISNUMBER(SEARCH(Лист2!$B$6,N:N)),L4986=2),MAX($M$3:OFFSET(M4986,-1,0))+1,0)</f>
        <v>0</v>
      </c>
      <c r="N4986" s="3" t="s">
        <v>3001</v>
      </c>
    </row>
    <row r="4987" spans="1:14" x14ac:dyDescent="0.25">
      <c r="A4987" s="1" t="s">
        <v>13658</v>
      </c>
      <c r="B4987" s="3" t="s">
        <v>8611</v>
      </c>
      <c r="C4987" s="2">
        <f ca="1">IF(ISNUMBER(SEARCH(Лист2!$B$4,D:D)),MAX($C$3:OFFSET(C4987,-1,0))+1,0)</f>
        <v>0</v>
      </c>
      <c r="E4987" s="9" t="str">
        <f t="shared" ca="1" si="89"/>
        <v/>
      </c>
      <c r="F4987" s="4" t="s">
        <v>28</v>
      </c>
      <c r="G4987" s="2">
        <f>IF(ISNUMBER(SEARCH(Лист2!$B$4,F:F)),1,0)</f>
        <v>0</v>
      </c>
      <c r="H4987" s="3">
        <f ca="1">IF(AND(I4987&lt;&gt;I4986,ISNUMBER(SEARCH(Лист2!$B$5,I:I)),G4987=1),MAX($H$3:OFFSET(H4987,-1,0))+1,0)</f>
        <v>0</v>
      </c>
      <c r="I4987" s="3" t="s">
        <v>393</v>
      </c>
      <c r="K4987" s="2">
        <f>IF(ISNUMBER(SEARCH(Лист2!$B$4,F:F)),1,0)</f>
        <v>0</v>
      </c>
      <c r="L4987" s="14">
        <f>IF(ISNUMBER(SEARCH(Лист2!$B$5,I:I)),1,0)+K4987</f>
        <v>0</v>
      </c>
      <c r="M4987" s="3">
        <f ca="1">IF(AND(N4987&lt;&gt;N4986,ISNUMBER(SEARCH(Лист2!$B$6,N:N)),L4987=2),MAX($M$3:OFFSET(M4987,-1,0))+1,0)</f>
        <v>0</v>
      </c>
      <c r="N4987" s="3" t="s">
        <v>3002</v>
      </c>
    </row>
    <row r="4988" spans="1:14" x14ac:dyDescent="0.25">
      <c r="A4988" s="1" t="s">
        <v>13659</v>
      </c>
      <c r="B4988" s="3" t="s">
        <v>8612</v>
      </c>
      <c r="C4988" s="2">
        <f ca="1">IF(ISNUMBER(SEARCH(Лист2!$B$4,D:D)),MAX($C$3:OFFSET(C4988,-1,0))+1,0)</f>
        <v>0</v>
      </c>
      <c r="E4988" s="9" t="str">
        <f t="shared" ca="1" si="89"/>
        <v/>
      </c>
      <c r="F4988" s="4" t="s">
        <v>28</v>
      </c>
      <c r="G4988" s="2">
        <f>IF(ISNUMBER(SEARCH(Лист2!$B$4,F:F)),1,0)</f>
        <v>0</v>
      </c>
      <c r="H4988" s="3">
        <f ca="1">IF(AND(I4988&lt;&gt;I4987,ISNUMBER(SEARCH(Лист2!$B$5,I:I)),G4988=1),MAX($H$3:OFFSET(H4988,-1,0))+1,0)</f>
        <v>0</v>
      </c>
      <c r="I4988" s="3" t="s">
        <v>393</v>
      </c>
      <c r="K4988" s="2">
        <f>IF(ISNUMBER(SEARCH(Лист2!$B$4,F:F)),1,0)</f>
        <v>0</v>
      </c>
      <c r="L4988" s="14">
        <f>IF(ISNUMBER(SEARCH(Лист2!$B$5,I:I)),1,0)+K4988</f>
        <v>0</v>
      </c>
      <c r="M4988" s="3">
        <f ca="1">IF(AND(N4988&lt;&gt;N4987,ISNUMBER(SEARCH(Лист2!$B$6,N:N)),L4988=2),MAX($M$3:OFFSET(M4988,-1,0))+1,0)</f>
        <v>0</v>
      </c>
      <c r="N4988" s="3" t="s">
        <v>2929</v>
      </c>
    </row>
    <row r="4989" spans="1:14" x14ac:dyDescent="0.25">
      <c r="A4989" s="1" t="s">
        <v>13660</v>
      </c>
      <c r="B4989" s="3" t="s">
        <v>8613</v>
      </c>
      <c r="C4989" s="2">
        <f ca="1">IF(ISNUMBER(SEARCH(Лист2!$B$4,D:D)),MAX($C$3:OFFSET(C4989,-1,0))+1,0)</f>
        <v>0</v>
      </c>
      <c r="E4989" s="9" t="str">
        <f t="shared" ca="1" si="89"/>
        <v/>
      </c>
      <c r="F4989" s="4" t="s">
        <v>28</v>
      </c>
      <c r="G4989" s="2">
        <f>IF(ISNUMBER(SEARCH(Лист2!$B$4,F:F)),1,0)</f>
        <v>0</v>
      </c>
      <c r="H4989" s="3">
        <f ca="1">IF(AND(I4989&lt;&gt;I4988,ISNUMBER(SEARCH(Лист2!$B$5,I:I)),G4989=1),MAX($H$3:OFFSET(H4989,-1,0))+1,0)</f>
        <v>0</v>
      </c>
      <c r="I4989" s="3" t="s">
        <v>394</v>
      </c>
      <c r="K4989" s="2">
        <f>IF(ISNUMBER(SEARCH(Лист2!$B$4,F:F)),1,0)</f>
        <v>0</v>
      </c>
      <c r="L4989" s="14">
        <f>IF(ISNUMBER(SEARCH(Лист2!$B$5,I:I)),1,0)+K4989</f>
        <v>0</v>
      </c>
      <c r="M4989" s="3">
        <f ca="1">IF(AND(N4989&lt;&gt;N4988,ISNUMBER(SEARCH(Лист2!$B$6,N:N)),L4989=2),MAX($M$3:OFFSET(M4989,-1,0))+1,0)</f>
        <v>0</v>
      </c>
      <c r="N4989" s="3" t="s">
        <v>3003</v>
      </c>
    </row>
    <row r="4990" spans="1:14" x14ac:dyDescent="0.25">
      <c r="A4990" s="1" t="s">
        <v>13661</v>
      </c>
      <c r="B4990" s="3" t="s">
        <v>8614</v>
      </c>
      <c r="C4990" s="2">
        <f ca="1">IF(ISNUMBER(SEARCH(Лист2!$B$4,D:D)),MAX($C$3:OFFSET(C4990,-1,0))+1,0)</f>
        <v>0</v>
      </c>
      <c r="E4990" s="9" t="str">
        <f t="shared" ca="1" si="89"/>
        <v/>
      </c>
      <c r="F4990" s="4" t="s">
        <v>28</v>
      </c>
      <c r="G4990" s="2">
        <f>IF(ISNUMBER(SEARCH(Лист2!$B$4,F:F)),1,0)</f>
        <v>0</v>
      </c>
      <c r="H4990" s="3">
        <f ca="1">IF(AND(I4990&lt;&gt;I4989,ISNUMBER(SEARCH(Лист2!$B$5,I:I)),G4990=1),MAX($H$3:OFFSET(H4990,-1,0))+1,0)</f>
        <v>0</v>
      </c>
      <c r="I4990" s="3" t="s">
        <v>394</v>
      </c>
      <c r="K4990" s="2">
        <f>IF(ISNUMBER(SEARCH(Лист2!$B$4,F:F)),1,0)</f>
        <v>0</v>
      </c>
      <c r="L4990" s="14">
        <f>IF(ISNUMBER(SEARCH(Лист2!$B$5,I:I)),1,0)+K4990</f>
        <v>0</v>
      </c>
      <c r="M4990" s="3">
        <f ca="1">IF(AND(N4990&lt;&gt;N4989,ISNUMBER(SEARCH(Лист2!$B$6,N:N)),L4990=2),MAX($M$3:OFFSET(M4990,-1,0))+1,0)</f>
        <v>0</v>
      </c>
      <c r="N4990" s="3" t="s">
        <v>3004</v>
      </c>
    </row>
    <row r="4991" spans="1:14" x14ac:dyDescent="0.25">
      <c r="A4991" s="1" t="s">
        <v>13662</v>
      </c>
      <c r="B4991" s="3" t="s">
        <v>8615</v>
      </c>
      <c r="C4991" s="2">
        <f ca="1">IF(ISNUMBER(SEARCH(Лист2!$B$4,D:D)),MAX($C$3:OFFSET(C4991,-1,0))+1,0)</f>
        <v>0</v>
      </c>
      <c r="E4991" s="9" t="str">
        <f t="shared" ca="1" si="89"/>
        <v/>
      </c>
      <c r="F4991" s="4" t="s">
        <v>28</v>
      </c>
      <c r="G4991" s="2">
        <f>IF(ISNUMBER(SEARCH(Лист2!$B$4,F:F)),1,0)</f>
        <v>0</v>
      </c>
      <c r="H4991" s="3">
        <f ca="1">IF(AND(I4991&lt;&gt;I4990,ISNUMBER(SEARCH(Лист2!$B$5,I:I)),G4991=1),MAX($H$3:OFFSET(H4991,-1,0))+1,0)</f>
        <v>0</v>
      </c>
      <c r="I4991" s="3" t="s">
        <v>394</v>
      </c>
      <c r="K4991" s="2">
        <f>IF(ISNUMBER(SEARCH(Лист2!$B$4,F:F)),1,0)</f>
        <v>0</v>
      </c>
      <c r="L4991" s="14">
        <f>IF(ISNUMBER(SEARCH(Лист2!$B$5,I:I)),1,0)+K4991</f>
        <v>0</v>
      </c>
      <c r="M4991" s="3">
        <f ca="1">IF(AND(N4991&lt;&gt;N4990,ISNUMBER(SEARCH(Лист2!$B$6,N:N)),L4991=2),MAX($M$3:OFFSET(M4991,-1,0))+1,0)</f>
        <v>0</v>
      </c>
      <c r="N4991" s="3" t="s">
        <v>3000</v>
      </c>
    </row>
    <row r="4992" spans="1:14" x14ac:dyDescent="0.25">
      <c r="A4992" s="1" t="s">
        <v>13663</v>
      </c>
      <c r="B4992" s="3" t="s">
        <v>8616</v>
      </c>
      <c r="C4992" s="2">
        <f ca="1">IF(ISNUMBER(SEARCH(Лист2!$B$4,D:D)),MAX($C$3:OFFSET(C4992,-1,0))+1,0)</f>
        <v>0</v>
      </c>
      <c r="E4992" s="9" t="str">
        <f t="shared" ca="1" si="89"/>
        <v/>
      </c>
      <c r="F4992" s="4" t="s">
        <v>28</v>
      </c>
      <c r="G4992" s="2">
        <f>IF(ISNUMBER(SEARCH(Лист2!$B$4,F:F)),1,0)</f>
        <v>0</v>
      </c>
      <c r="H4992" s="3">
        <f ca="1">IF(AND(I4992&lt;&gt;I4991,ISNUMBER(SEARCH(Лист2!$B$5,I:I)),G4992=1),MAX($H$3:OFFSET(H4992,-1,0))+1,0)</f>
        <v>0</v>
      </c>
      <c r="I4992" s="3" t="s">
        <v>394</v>
      </c>
      <c r="K4992" s="2">
        <f>IF(ISNUMBER(SEARCH(Лист2!$B$4,F:F)),1,0)</f>
        <v>0</v>
      </c>
      <c r="L4992" s="14">
        <f>IF(ISNUMBER(SEARCH(Лист2!$B$5,I:I)),1,0)+K4992</f>
        <v>0</v>
      </c>
      <c r="M4992" s="3">
        <f ca="1">IF(AND(N4992&lt;&gt;N4991,ISNUMBER(SEARCH(Лист2!$B$6,N:N)),L4992=2),MAX($M$3:OFFSET(M4992,-1,0))+1,0)</f>
        <v>0</v>
      </c>
      <c r="N4992" s="3" t="s">
        <v>2925</v>
      </c>
    </row>
    <row r="4993" spans="1:14" x14ac:dyDescent="0.25">
      <c r="A4993" s="1" t="s">
        <v>13664</v>
      </c>
      <c r="B4993" s="3" t="s">
        <v>8617</v>
      </c>
      <c r="C4993" s="2">
        <f ca="1">IF(ISNUMBER(SEARCH(Лист2!$B$4,D:D)),MAX($C$3:OFFSET(C4993,-1,0))+1,0)</f>
        <v>0</v>
      </c>
      <c r="E4993" s="9" t="str">
        <f t="shared" ca="1" si="89"/>
        <v/>
      </c>
      <c r="F4993" s="4" t="s">
        <v>28</v>
      </c>
      <c r="G4993" s="2">
        <f>IF(ISNUMBER(SEARCH(Лист2!$B$4,F:F)),1,0)</f>
        <v>0</v>
      </c>
      <c r="H4993" s="3">
        <f ca="1">IF(AND(I4993&lt;&gt;I4992,ISNUMBER(SEARCH(Лист2!$B$5,I:I)),G4993=1),MAX($H$3:OFFSET(H4993,-1,0))+1,0)</f>
        <v>0</v>
      </c>
      <c r="I4993" s="3" t="s">
        <v>394</v>
      </c>
      <c r="K4993" s="2">
        <f>IF(ISNUMBER(SEARCH(Лист2!$B$4,F:F)),1,0)</f>
        <v>0</v>
      </c>
      <c r="L4993" s="14">
        <f>IF(ISNUMBER(SEARCH(Лист2!$B$5,I:I)),1,0)+K4993</f>
        <v>0</v>
      </c>
      <c r="M4993" s="3">
        <f ca="1">IF(AND(N4993&lt;&gt;N4992,ISNUMBER(SEARCH(Лист2!$B$6,N:N)),L4993=2),MAX($M$3:OFFSET(M4993,-1,0))+1,0)</f>
        <v>0</v>
      </c>
      <c r="N4993" s="3" t="s">
        <v>602</v>
      </c>
    </row>
    <row r="4994" spans="1:14" x14ac:dyDescent="0.25">
      <c r="A4994" s="1" t="s">
        <v>13665</v>
      </c>
      <c r="B4994" s="3" t="s">
        <v>8618</v>
      </c>
      <c r="C4994" s="2">
        <f ca="1">IF(ISNUMBER(SEARCH(Лист2!$B$4,D:D)),MAX($C$3:OFFSET(C4994,-1,0))+1,0)</f>
        <v>0</v>
      </c>
      <c r="E4994" s="9" t="str">
        <f t="shared" ca="1" si="89"/>
        <v/>
      </c>
      <c r="F4994" s="4" t="s">
        <v>28</v>
      </c>
      <c r="G4994" s="2">
        <f>IF(ISNUMBER(SEARCH(Лист2!$B$4,F:F)),1,0)</f>
        <v>0</v>
      </c>
      <c r="H4994" s="3">
        <f ca="1">IF(AND(I4994&lt;&gt;I4993,ISNUMBER(SEARCH(Лист2!$B$5,I:I)),G4994=1),MAX($H$3:OFFSET(H4994,-1,0))+1,0)</f>
        <v>0</v>
      </c>
      <c r="I4994" s="3" t="s">
        <v>394</v>
      </c>
      <c r="K4994" s="2">
        <f>IF(ISNUMBER(SEARCH(Лист2!$B$4,F:F)),1,0)</f>
        <v>0</v>
      </c>
      <c r="L4994" s="14">
        <f>IF(ISNUMBER(SEARCH(Лист2!$B$5,I:I)),1,0)+K4994</f>
        <v>0</v>
      </c>
      <c r="M4994" s="3">
        <f ca="1">IF(AND(N4994&lt;&gt;N4993,ISNUMBER(SEARCH(Лист2!$B$6,N:N)),L4994=2),MAX($M$3:OFFSET(M4994,-1,0))+1,0)</f>
        <v>0</v>
      </c>
      <c r="N4994" s="3" t="s">
        <v>3005</v>
      </c>
    </row>
    <row r="4995" spans="1:14" x14ac:dyDescent="0.25">
      <c r="A4995" s="1" t="s">
        <v>13666</v>
      </c>
      <c r="B4995" s="3" t="s">
        <v>8619</v>
      </c>
      <c r="C4995" s="2">
        <f ca="1">IF(ISNUMBER(SEARCH(Лист2!$B$4,D:D)),MAX($C$3:OFFSET(C4995,-1,0))+1,0)</f>
        <v>0</v>
      </c>
      <c r="E4995" s="9" t="str">
        <f t="shared" ca="1" si="89"/>
        <v/>
      </c>
      <c r="F4995" s="4" t="s">
        <v>28</v>
      </c>
      <c r="G4995" s="2">
        <f>IF(ISNUMBER(SEARCH(Лист2!$B$4,F:F)),1,0)</f>
        <v>0</v>
      </c>
      <c r="H4995" s="3">
        <f ca="1">IF(AND(I4995&lt;&gt;I4994,ISNUMBER(SEARCH(Лист2!$B$5,I:I)),G4995=1),MAX($H$3:OFFSET(H4995,-1,0))+1,0)</f>
        <v>0</v>
      </c>
      <c r="I4995" s="3" t="s">
        <v>394</v>
      </c>
      <c r="K4995" s="2">
        <f>IF(ISNUMBER(SEARCH(Лист2!$B$4,F:F)),1,0)</f>
        <v>0</v>
      </c>
      <c r="L4995" s="14">
        <f>IF(ISNUMBER(SEARCH(Лист2!$B$5,I:I)),1,0)+K4995</f>
        <v>0</v>
      </c>
      <c r="M4995" s="3">
        <f ca="1">IF(AND(N4995&lt;&gt;N4994,ISNUMBER(SEARCH(Лист2!$B$6,N:N)),L4995=2),MAX($M$3:OFFSET(M4995,-1,0))+1,0)</f>
        <v>0</v>
      </c>
      <c r="N4995" s="3" t="s">
        <v>3006</v>
      </c>
    </row>
    <row r="4996" spans="1:14" x14ac:dyDescent="0.25">
      <c r="A4996" s="1" t="s">
        <v>13667</v>
      </c>
      <c r="B4996" s="3" t="s">
        <v>8620</v>
      </c>
      <c r="C4996" s="2">
        <f ca="1">IF(ISNUMBER(SEARCH(Лист2!$B$4,D:D)),MAX($C$3:OFFSET(C4996,-1,0))+1,0)</f>
        <v>0</v>
      </c>
      <c r="E4996" s="9" t="str">
        <f t="shared" ca="1" si="89"/>
        <v/>
      </c>
      <c r="F4996" s="4" t="s">
        <v>28</v>
      </c>
      <c r="G4996" s="2">
        <f>IF(ISNUMBER(SEARCH(Лист2!$B$4,F:F)),1,0)</f>
        <v>0</v>
      </c>
      <c r="H4996" s="3">
        <f ca="1">IF(AND(I4996&lt;&gt;I4995,ISNUMBER(SEARCH(Лист2!$B$5,I:I)),G4996=1),MAX($H$3:OFFSET(H4996,-1,0))+1,0)</f>
        <v>0</v>
      </c>
      <c r="I4996" s="3" t="s">
        <v>394</v>
      </c>
      <c r="K4996" s="2">
        <f>IF(ISNUMBER(SEARCH(Лист2!$B$4,F:F)),1,0)</f>
        <v>0</v>
      </c>
      <c r="L4996" s="14">
        <f>IF(ISNUMBER(SEARCH(Лист2!$B$5,I:I)),1,0)+K4996</f>
        <v>0</v>
      </c>
      <c r="M4996" s="3">
        <f ca="1">IF(AND(N4996&lt;&gt;N4995,ISNUMBER(SEARCH(Лист2!$B$6,N:N)),L4996=2),MAX($M$3:OFFSET(M4996,-1,0))+1,0)</f>
        <v>0</v>
      </c>
      <c r="N4996" s="3" t="s">
        <v>2929</v>
      </c>
    </row>
    <row r="4997" spans="1:14" x14ac:dyDescent="0.25">
      <c r="A4997" s="1" t="s">
        <v>13668</v>
      </c>
      <c r="B4997" s="3" t="s">
        <v>8621</v>
      </c>
      <c r="C4997" s="2">
        <f ca="1">IF(ISNUMBER(SEARCH(Лист2!$B$4,D:D)),MAX($C$3:OFFSET(C4997,-1,0))+1,0)</f>
        <v>0</v>
      </c>
      <c r="E4997" s="9" t="str">
        <f t="shared" ref="E4997:E5060" ca="1" si="90">IFERROR(INDEX(D:D,MATCH(ROW(E4997)-ROW($E$3),C:C,0)),"")</f>
        <v/>
      </c>
      <c r="F4997" s="4" t="s">
        <v>28</v>
      </c>
      <c r="G4997" s="2">
        <f>IF(ISNUMBER(SEARCH(Лист2!$B$4,F:F)),1,0)</f>
        <v>0</v>
      </c>
      <c r="H4997" s="3">
        <f ca="1">IF(AND(I4997&lt;&gt;I4996,ISNUMBER(SEARCH(Лист2!$B$5,I:I)),G4997=1),MAX($H$3:OFFSET(H4997,-1,0))+1,0)</f>
        <v>0</v>
      </c>
      <c r="I4997" s="3" t="s">
        <v>395</v>
      </c>
      <c r="K4997" s="2">
        <f>IF(ISNUMBER(SEARCH(Лист2!$B$4,F:F)),1,0)</f>
        <v>0</v>
      </c>
      <c r="L4997" s="14">
        <f>IF(ISNUMBER(SEARCH(Лист2!$B$5,I:I)),1,0)+K4997</f>
        <v>0</v>
      </c>
      <c r="M4997" s="3">
        <f ca="1">IF(AND(N4997&lt;&gt;N4996,ISNUMBER(SEARCH(Лист2!$B$6,N:N)),L4997=2),MAX($M$3:OFFSET(M4997,-1,0))+1,0)</f>
        <v>0</v>
      </c>
      <c r="N4997" s="3" t="s">
        <v>3007</v>
      </c>
    </row>
    <row r="4998" spans="1:14" x14ac:dyDescent="0.25">
      <c r="A4998" s="1" t="s">
        <v>13669</v>
      </c>
      <c r="B4998" s="3" t="s">
        <v>8622</v>
      </c>
      <c r="C4998" s="2">
        <f ca="1">IF(ISNUMBER(SEARCH(Лист2!$B$4,D:D)),MAX($C$3:OFFSET(C4998,-1,0))+1,0)</f>
        <v>0</v>
      </c>
      <c r="E4998" s="9" t="str">
        <f t="shared" ca="1" si="90"/>
        <v/>
      </c>
      <c r="F4998" s="4" t="s">
        <v>28</v>
      </c>
      <c r="G4998" s="2">
        <f>IF(ISNUMBER(SEARCH(Лист2!$B$4,F:F)),1,0)</f>
        <v>0</v>
      </c>
      <c r="H4998" s="3">
        <f ca="1">IF(AND(I4998&lt;&gt;I4997,ISNUMBER(SEARCH(Лист2!$B$5,I:I)),G4998=1),MAX($H$3:OFFSET(H4998,-1,0))+1,0)</f>
        <v>0</v>
      </c>
      <c r="I4998" s="3" t="s">
        <v>395</v>
      </c>
      <c r="K4998" s="2">
        <f>IF(ISNUMBER(SEARCH(Лист2!$B$4,F:F)),1,0)</f>
        <v>0</v>
      </c>
      <c r="L4998" s="14">
        <f>IF(ISNUMBER(SEARCH(Лист2!$B$5,I:I)),1,0)+K4998</f>
        <v>0</v>
      </c>
      <c r="M4998" s="3">
        <f ca="1">IF(AND(N4998&lt;&gt;N4997,ISNUMBER(SEARCH(Лист2!$B$6,N:N)),L4998=2),MAX($M$3:OFFSET(M4998,-1,0))+1,0)</f>
        <v>0</v>
      </c>
      <c r="N4998" s="3" t="s">
        <v>3008</v>
      </c>
    </row>
    <row r="4999" spans="1:14" x14ac:dyDescent="0.25">
      <c r="A4999" s="1" t="s">
        <v>13669</v>
      </c>
      <c r="B4999" s="3" t="s">
        <v>8623</v>
      </c>
      <c r="C4999" s="2">
        <f ca="1">IF(ISNUMBER(SEARCH(Лист2!$B$4,D:D)),MAX($C$3:OFFSET(C4999,-1,0))+1,0)</f>
        <v>0</v>
      </c>
      <c r="E4999" s="9" t="str">
        <f t="shared" ca="1" si="90"/>
        <v/>
      </c>
      <c r="F4999" s="4" t="s">
        <v>28</v>
      </c>
      <c r="G4999" s="2">
        <f>IF(ISNUMBER(SEARCH(Лист2!$B$4,F:F)),1,0)</f>
        <v>0</v>
      </c>
      <c r="H4999" s="3">
        <f ca="1">IF(AND(I4999&lt;&gt;I4998,ISNUMBER(SEARCH(Лист2!$B$5,I:I)),G4999=1),MAX($H$3:OFFSET(H4999,-1,0))+1,0)</f>
        <v>0</v>
      </c>
      <c r="I4999" s="3" t="s">
        <v>395</v>
      </c>
      <c r="K4999" s="2">
        <f>IF(ISNUMBER(SEARCH(Лист2!$B$4,F:F)),1,0)</f>
        <v>0</v>
      </c>
      <c r="L4999" s="14">
        <f>IF(ISNUMBER(SEARCH(Лист2!$B$5,I:I)),1,0)+K4999</f>
        <v>0</v>
      </c>
      <c r="M4999" s="3">
        <f ca="1">IF(AND(N4999&lt;&gt;N4998,ISNUMBER(SEARCH(Лист2!$B$6,N:N)),L4999=2),MAX($M$3:OFFSET(M4999,-1,0))+1,0)</f>
        <v>0</v>
      </c>
      <c r="N4999" s="3" t="s">
        <v>3008</v>
      </c>
    </row>
    <row r="5000" spans="1:14" x14ac:dyDescent="0.25">
      <c r="A5000" s="1" t="s">
        <v>13670</v>
      </c>
      <c r="B5000" s="3" t="s">
        <v>8624</v>
      </c>
      <c r="C5000" s="2">
        <f ca="1">IF(ISNUMBER(SEARCH(Лист2!$B$4,D:D)),MAX($C$3:OFFSET(C5000,-1,0))+1,0)</f>
        <v>0</v>
      </c>
      <c r="E5000" s="9" t="str">
        <f t="shared" ca="1" si="90"/>
        <v/>
      </c>
      <c r="F5000" s="4" t="s">
        <v>28</v>
      </c>
      <c r="G5000" s="2">
        <f>IF(ISNUMBER(SEARCH(Лист2!$B$4,F:F)),1,0)</f>
        <v>0</v>
      </c>
      <c r="H5000" s="3">
        <f ca="1">IF(AND(I5000&lt;&gt;I4999,ISNUMBER(SEARCH(Лист2!$B$5,I:I)),G5000=1),MAX($H$3:OFFSET(H5000,-1,0))+1,0)</f>
        <v>0</v>
      </c>
      <c r="I5000" s="3" t="s">
        <v>395</v>
      </c>
      <c r="K5000" s="2">
        <f>IF(ISNUMBER(SEARCH(Лист2!$B$4,F:F)),1,0)</f>
        <v>0</v>
      </c>
      <c r="L5000" s="14">
        <f>IF(ISNUMBER(SEARCH(Лист2!$B$5,I:I)),1,0)+K5000</f>
        <v>0</v>
      </c>
      <c r="M5000" s="3">
        <f ca="1">IF(AND(N5000&lt;&gt;N4999,ISNUMBER(SEARCH(Лист2!$B$6,N:N)),L5000=2),MAX($M$3:OFFSET(M5000,-1,0))+1,0)</f>
        <v>0</v>
      </c>
      <c r="N5000" s="3" t="s">
        <v>3000</v>
      </c>
    </row>
    <row r="5001" spans="1:14" x14ac:dyDescent="0.25">
      <c r="A5001" s="1" t="s">
        <v>13671</v>
      </c>
      <c r="B5001" s="3" t="s">
        <v>8625</v>
      </c>
      <c r="C5001" s="2">
        <f ca="1">IF(ISNUMBER(SEARCH(Лист2!$B$4,D:D)),MAX($C$3:OFFSET(C5001,-1,0))+1,0)</f>
        <v>0</v>
      </c>
      <c r="E5001" s="9" t="str">
        <f t="shared" ca="1" si="90"/>
        <v/>
      </c>
      <c r="F5001" s="4" t="s">
        <v>28</v>
      </c>
      <c r="G5001" s="2">
        <f>IF(ISNUMBER(SEARCH(Лист2!$B$4,F:F)),1,0)</f>
        <v>0</v>
      </c>
      <c r="H5001" s="3">
        <f ca="1">IF(AND(I5001&lt;&gt;I5000,ISNUMBER(SEARCH(Лист2!$B$5,I:I)),G5001=1),MAX($H$3:OFFSET(H5001,-1,0))+1,0)</f>
        <v>0</v>
      </c>
      <c r="I5001" s="3" t="s">
        <v>395</v>
      </c>
      <c r="K5001" s="2">
        <f>IF(ISNUMBER(SEARCH(Лист2!$B$4,F:F)),1,0)</f>
        <v>0</v>
      </c>
      <c r="L5001" s="14">
        <f>IF(ISNUMBER(SEARCH(Лист2!$B$5,I:I)),1,0)+K5001</f>
        <v>0</v>
      </c>
      <c r="M5001" s="3">
        <f ca="1">IF(AND(N5001&lt;&gt;N5000,ISNUMBER(SEARCH(Лист2!$B$6,N:N)),L5001=2),MAX($M$3:OFFSET(M5001,-1,0))+1,0)</f>
        <v>0</v>
      </c>
      <c r="N5001" s="3" t="s">
        <v>3009</v>
      </c>
    </row>
    <row r="5002" spans="1:14" x14ac:dyDescent="0.25">
      <c r="A5002" s="1" t="s">
        <v>13672</v>
      </c>
      <c r="B5002" s="3" t="s">
        <v>8626</v>
      </c>
      <c r="C5002" s="2">
        <f ca="1">IF(ISNUMBER(SEARCH(Лист2!$B$4,D:D)),MAX($C$3:OFFSET(C5002,-1,0))+1,0)</f>
        <v>0</v>
      </c>
      <c r="E5002" s="9" t="str">
        <f t="shared" ca="1" si="90"/>
        <v/>
      </c>
      <c r="F5002" s="4" t="s">
        <v>28</v>
      </c>
      <c r="G5002" s="2">
        <f>IF(ISNUMBER(SEARCH(Лист2!$B$4,F:F)),1,0)</f>
        <v>0</v>
      </c>
      <c r="H5002" s="3">
        <f ca="1">IF(AND(I5002&lt;&gt;I5001,ISNUMBER(SEARCH(Лист2!$B$5,I:I)),G5002=1),MAX($H$3:OFFSET(H5002,-1,0))+1,0)</f>
        <v>0</v>
      </c>
      <c r="I5002" s="3" t="s">
        <v>395</v>
      </c>
      <c r="K5002" s="2">
        <f>IF(ISNUMBER(SEARCH(Лист2!$B$4,F:F)),1,0)</f>
        <v>0</v>
      </c>
      <c r="L5002" s="14">
        <f>IF(ISNUMBER(SEARCH(Лист2!$B$5,I:I)),1,0)+K5002</f>
        <v>0</v>
      </c>
      <c r="M5002" s="3">
        <f ca="1">IF(AND(N5002&lt;&gt;N5001,ISNUMBER(SEARCH(Лист2!$B$6,N:N)),L5002=2),MAX($M$3:OFFSET(M5002,-1,0))+1,0)</f>
        <v>0</v>
      </c>
      <c r="N5002" s="3" t="s">
        <v>2925</v>
      </c>
    </row>
    <row r="5003" spans="1:14" x14ac:dyDescent="0.25">
      <c r="A5003" s="1" t="s">
        <v>13673</v>
      </c>
      <c r="B5003" s="3" t="s">
        <v>8627</v>
      </c>
      <c r="C5003" s="2">
        <f ca="1">IF(ISNUMBER(SEARCH(Лист2!$B$4,D:D)),MAX($C$3:OFFSET(C5003,-1,0))+1,0)</f>
        <v>0</v>
      </c>
      <c r="E5003" s="9" t="str">
        <f t="shared" ca="1" si="90"/>
        <v/>
      </c>
      <c r="F5003" s="4" t="s">
        <v>28</v>
      </c>
      <c r="G5003" s="2">
        <f>IF(ISNUMBER(SEARCH(Лист2!$B$4,F:F)),1,0)</f>
        <v>0</v>
      </c>
      <c r="H5003" s="3">
        <f ca="1">IF(AND(I5003&lt;&gt;I5002,ISNUMBER(SEARCH(Лист2!$B$5,I:I)),G5003=1),MAX($H$3:OFFSET(H5003,-1,0))+1,0)</f>
        <v>0</v>
      </c>
      <c r="I5003" s="3" t="s">
        <v>395</v>
      </c>
      <c r="K5003" s="2">
        <f>IF(ISNUMBER(SEARCH(Лист2!$B$4,F:F)),1,0)</f>
        <v>0</v>
      </c>
      <c r="L5003" s="14">
        <f>IF(ISNUMBER(SEARCH(Лист2!$B$5,I:I)),1,0)+K5003</f>
        <v>0</v>
      </c>
      <c r="M5003" s="3">
        <f ca="1">IF(AND(N5003&lt;&gt;N5002,ISNUMBER(SEARCH(Лист2!$B$6,N:N)),L5003=2),MAX($M$3:OFFSET(M5003,-1,0))+1,0)</f>
        <v>0</v>
      </c>
      <c r="N5003" s="3" t="s">
        <v>602</v>
      </c>
    </row>
    <row r="5004" spans="1:14" x14ac:dyDescent="0.25">
      <c r="A5004" s="1" t="s">
        <v>13674</v>
      </c>
      <c r="B5004" s="3" t="s">
        <v>8628</v>
      </c>
      <c r="C5004" s="2">
        <f ca="1">IF(ISNUMBER(SEARCH(Лист2!$B$4,D:D)),MAX($C$3:OFFSET(C5004,-1,0))+1,0)</f>
        <v>0</v>
      </c>
      <c r="E5004" s="9" t="str">
        <f t="shared" ca="1" si="90"/>
        <v/>
      </c>
      <c r="F5004" s="4" t="s">
        <v>28</v>
      </c>
      <c r="G5004" s="2">
        <f>IF(ISNUMBER(SEARCH(Лист2!$B$4,F:F)),1,0)</f>
        <v>0</v>
      </c>
      <c r="H5004" s="3">
        <f ca="1">IF(AND(I5004&lt;&gt;I5003,ISNUMBER(SEARCH(Лист2!$B$5,I:I)),G5004=1),MAX($H$3:OFFSET(H5004,-1,0))+1,0)</f>
        <v>0</v>
      </c>
      <c r="I5004" s="3" t="s">
        <v>395</v>
      </c>
      <c r="K5004" s="2">
        <f>IF(ISNUMBER(SEARCH(Лист2!$B$4,F:F)),1,0)</f>
        <v>0</v>
      </c>
      <c r="L5004" s="14">
        <f>IF(ISNUMBER(SEARCH(Лист2!$B$5,I:I)),1,0)+K5004</f>
        <v>0</v>
      </c>
      <c r="M5004" s="3">
        <f ca="1">IF(AND(N5004&lt;&gt;N5003,ISNUMBER(SEARCH(Лист2!$B$6,N:N)),L5004=2),MAX($M$3:OFFSET(M5004,-1,0))+1,0)</f>
        <v>0</v>
      </c>
      <c r="N5004" s="3" t="s">
        <v>3010</v>
      </c>
    </row>
    <row r="5005" spans="1:14" x14ac:dyDescent="0.25">
      <c r="A5005" s="1" t="s">
        <v>13675</v>
      </c>
      <c r="B5005" s="3" t="s">
        <v>8629</v>
      </c>
      <c r="C5005" s="2">
        <f ca="1">IF(ISNUMBER(SEARCH(Лист2!$B$4,D:D)),MAX($C$3:OFFSET(C5005,-1,0))+1,0)</f>
        <v>0</v>
      </c>
      <c r="E5005" s="9" t="str">
        <f t="shared" ca="1" si="90"/>
        <v/>
      </c>
      <c r="F5005" s="4" t="s">
        <v>28</v>
      </c>
      <c r="G5005" s="2">
        <f>IF(ISNUMBER(SEARCH(Лист2!$B$4,F:F)),1,0)</f>
        <v>0</v>
      </c>
      <c r="H5005" s="3">
        <f ca="1">IF(AND(I5005&lt;&gt;I5004,ISNUMBER(SEARCH(Лист2!$B$5,I:I)),G5005=1),MAX($H$3:OFFSET(H5005,-1,0))+1,0)</f>
        <v>0</v>
      </c>
      <c r="I5005" s="3" t="s">
        <v>395</v>
      </c>
      <c r="K5005" s="2">
        <f>IF(ISNUMBER(SEARCH(Лист2!$B$4,F:F)),1,0)</f>
        <v>0</v>
      </c>
      <c r="L5005" s="14">
        <f>IF(ISNUMBER(SEARCH(Лист2!$B$5,I:I)),1,0)+K5005</f>
        <v>0</v>
      </c>
      <c r="M5005" s="3">
        <f ca="1">IF(AND(N5005&lt;&gt;N5004,ISNUMBER(SEARCH(Лист2!$B$6,N:N)),L5005=2),MAX($M$3:OFFSET(M5005,-1,0))+1,0)</f>
        <v>0</v>
      </c>
      <c r="N5005" s="3" t="s">
        <v>3011</v>
      </c>
    </row>
    <row r="5006" spans="1:14" x14ac:dyDescent="0.25">
      <c r="A5006" s="1" t="s">
        <v>13676</v>
      </c>
      <c r="B5006" s="3" t="s">
        <v>8630</v>
      </c>
      <c r="C5006" s="2">
        <f ca="1">IF(ISNUMBER(SEARCH(Лист2!$B$4,D:D)),MAX($C$3:OFFSET(C5006,-1,0))+1,0)</f>
        <v>0</v>
      </c>
      <c r="E5006" s="9" t="str">
        <f t="shared" ca="1" si="90"/>
        <v/>
      </c>
      <c r="F5006" s="4" t="s">
        <v>28</v>
      </c>
      <c r="G5006" s="2">
        <f>IF(ISNUMBER(SEARCH(Лист2!$B$4,F:F)),1,0)</f>
        <v>0</v>
      </c>
      <c r="H5006" s="3">
        <f ca="1">IF(AND(I5006&lt;&gt;I5005,ISNUMBER(SEARCH(Лист2!$B$5,I:I)),G5006=1),MAX($H$3:OFFSET(H5006,-1,0))+1,0)</f>
        <v>0</v>
      </c>
      <c r="I5006" s="3" t="s">
        <v>395</v>
      </c>
      <c r="K5006" s="2">
        <f>IF(ISNUMBER(SEARCH(Лист2!$B$4,F:F)),1,0)</f>
        <v>0</v>
      </c>
      <c r="L5006" s="14">
        <f>IF(ISNUMBER(SEARCH(Лист2!$B$5,I:I)),1,0)+K5006</f>
        <v>0</v>
      </c>
      <c r="M5006" s="3">
        <f ca="1">IF(AND(N5006&lt;&gt;N5005,ISNUMBER(SEARCH(Лист2!$B$6,N:N)),L5006=2),MAX($M$3:OFFSET(M5006,-1,0))+1,0)</f>
        <v>0</v>
      </c>
      <c r="N5006" s="3" t="s">
        <v>2929</v>
      </c>
    </row>
    <row r="5007" spans="1:14" x14ac:dyDescent="0.25">
      <c r="A5007" s="1" t="s">
        <v>13677</v>
      </c>
      <c r="B5007" s="3" t="s">
        <v>8631</v>
      </c>
      <c r="C5007" s="2">
        <f ca="1">IF(ISNUMBER(SEARCH(Лист2!$B$4,D:D)),MAX($C$3:OFFSET(C5007,-1,0))+1,0)</f>
        <v>0</v>
      </c>
      <c r="E5007" s="9" t="str">
        <f t="shared" ca="1" si="90"/>
        <v/>
      </c>
      <c r="F5007" s="4" t="s">
        <v>28</v>
      </c>
      <c r="G5007" s="2">
        <f>IF(ISNUMBER(SEARCH(Лист2!$B$4,F:F)),1,0)</f>
        <v>0</v>
      </c>
      <c r="H5007" s="3">
        <f ca="1">IF(AND(I5007&lt;&gt;I5006,ISNUMBER(SEARCH(Лист2!$B$5,I:I)),G5007=1),MAX($H$3:OFFSET(H5007,-1,0))+1,0)</f>
        <v>0</v>
      </c>
      <c r="I5007" s="3" t="s">
        <v>396</v>
      </c>
      <c r="K5007" s="2">
        <f>IF(ISNUMBER(SEARCH(Лист2!$B$4,F:F)),1,0)</f>
        <v>0</v>
      </c>
      <c r="L5007" s="14">
        <f>IF(ISNUMBER(SEARCH(Лист2!$B$5,I:I)),1,0)+K5007</f>
        <v>0</v>
      </c>
      <c r="M5007" s="3">
        <f ca="1">IF(AND(N5007&lt;&gt;N5006,ISNUMBER(SEARCH(Лист2!$B$6,N:N)),L5007=2),MAX($M$3:OFFSET(M5007,-1,0))+1,0)</f>
        <v>0</v>
      </c>
      <c r="N5007" s="3" t="s">
        <v>3012</v>
      </c>
    </row>
    <row r="5008" spans="1:14" x14ac:dyDescent="0.25">
      <c r="A5008" s="1" t="s">
        <v>13678</v>
      </c>
      <c r="B5008" s="3" t="s">
        <v>8632</v>
      </c>
      <c r="C5008" s="2">
        <f ca="1">IF(ISNUMBER(SEARCH(Лист2!$B$4,D:D)),MAX($C$3:OFFSET(C5008,-1,0))+1,0)</f>
        <v>0</v>
      </c>
      <c r="E5008" s="9" t="str">
        <f t="shared" ca="1" si="90"/>
        <v/>
      </c>
      <c r="F5008" s="4" t="s">
        <v>28</v>
      </c>
      <c r="G5008" s="2">
        <f>IF(ISNUMBER(SEARCH(Лист2!$B$4,F:F)),1,0)</f>
        <v>0</v>
      </c>
      <c r="H5008" s="3">
        <f ca="1">IF(AND(I5008&lt;&gt;I5007,ISNUMBER(SEARCH(Лист2!$B$5,I:I)),G5008=1),MAX($H$3:OFFSET(H5008,-1,0))+1,0)</f>
        <v>0</v>
      </c>
      <c r="I5008" s="3" t="s">
        <v>396</v>
      </c>
      <c r="K5008" s="2">
        <f>IF(ISNUMBER(SEARCH(Лист2!$B$4,F:F)),1,0)</f>
        <v>0</v>
      </c>
      <c r="L5008" s="14">
        <f>IF(ISNUMBER(SEARCH(Лист2!$B$5,I:I)),1,0)+K5008</f>
        <v>0</v>
      </c>
      <c r="M5008" s="3">
        <f ca="1">IF(AND(N5008&lt;&gt;N5007,ISNUMBER(SEARCH(Лист2!$B$6,N:N)),L5008=2),MAX($M$3:OFFSET(M5008,-1,0))+1,0)</f>
        <v>0</v>
      </c>
      <c r="N5008" s="3" t="s">
        <v>3013</v>
      </c>
    </row>
    <row r="5009" spans="1:14" x14ac:dyDescent="0.25">
      <c r="A5009" s="1" t="s">
        <v>13679</v>
      </c>
      <c r="B5009" s="3" t="s">
        <v>8633</v>
      </c>
      <c r="C5009" s="2">
        <f ca="1">IF(ISNUMBER(SEARCH(Лист2!$B$4,D:D)),MAX($C$3:OFFSET(C5009,-1,0))+1,0)</f>
        <v>0</v>
      </c>
      <c r="E5009" s="9" t="str">
        <f t="shared" ca="1" si="90"/>
        <v/>
      </c>
      <c r="F5009" s="4" t="s">
        <v>28</v>
      </c>
      <c r="G5009" s="2">
        <f>IF(ISNUMBER(SEARCH(Лист2!$B$4,F:F)),1,0)</f>
        <v>0</v>
      </c>
      <c r="H5009" s="3">
        <f ca="1">IF(AND(I5009&lt;&gt;I5008,ISNUMBER(SEARCH(Лист2!$B$5,I:I)),G5009=1),MAX($H$3:OFFSET(H5009,-1,0))+1,0)</f>
        <v>0</v>
      </c>
      <c r="I5009" s="3" t="s">
        <v>396</v>
      </c>
      <c r="K5009" s="2">
        <f>IF(ISNUMBER(SEARCH(Лист2!$B$4,F:F)),1,0)</f>
        <v>0</v>
      </c>
      <c r="L5009" s="14">
        <f>IF(ISNUMBER(SEARCH(Лист2!$B$5,I:I)),1,0)+K5009</f>
        <v>0</v>
      </c>
      <c r="M5009" s="3">
        <f ca="1">IF(AND(N5009&lt;&gt;N5008,ISNUMBER(SEARCH(Лист2!$B$6,N:N)),L5009=2),MAX($M$3:OFFSET(M5009,-1,0))+1,0)</f>
        <v>0</v>
      </c>
      <c r="N5009" s="3" t="s">
        <v>3000</v>
      </c>
    </row>
    <row r="5010" spans="1:14" x14ac:dyDescent="0.25">
      <c r="A5010" s="1" t="s">
        <v>13680</v>
      </c>
      <c r="B5010" s="3" t="s">
        <v>8634</v>
      </c>
      <c r="C5010" s="2">
        <f ca="1">IF(ISNUMBER(SEARCH(Лист2!$B$4,D:D)),MAX($C$3:OFFSET(C5010,-1,0))+1,0)</f>
        <v>0</v>
      </c>
      <c r="E5010" s="9" t="str">
        <f t="shared" ca="1" si="90"/>
        <v/>
      </c>
      <c r="F5010" s="4" t="s">
        <v>28</v>
      </c>
      <c r="G5010" s="2">
        <f>IF(ISNUMBER(SEARCH(Лист2!$B$4,F:F)),1,0)</f>
        <v>0</v>
      </c>
      <c r="H5010" s="3">
        <f ca="1">IF(AND(I5010&lt;&gt;I5009,ISNUMBER(SEARCH(Лист2!$B$5,I:I)),G5010=1),MAX($H$3:OFFSET(H5010,-1,0))+1,0)</f>
        <v>0</v>
      </c>
      <c r="I5010" s="3" t="s">
        <v>396</v>
      </c>
      <c r="K5010" s="2">
        <f>IF(ISNUMBER(SEARCH(Лист2!$B$4,F:F)),1,0)</f>
        <v>0</v>
      </c>
      <c r="L5010" s="14">
        <f>IF(ISNUMBER(SEARCH(Лист2!$B$5,I:I)),1,0)+K5010</f>
        <v>0</v>
      </c>
      <c r="M5010" s="3">
        <f ca="1">IF(AND(N5010&lt;&gt;N5009,ISNUMBER(SEARCH(Лист2!$B$6,N:N)),L5010=2),MAX($M$3:OFFSET(M5010,-1,0))+1,0)</f>
        <v>0</v>
      </c>
      <c r="N5010" s="3" t="s">
        <v>3009</v>
      </c>
    </row>
    <row r="5011" spans="1:14" x14ac:dyDescent="0.25">
      <c r="A5011" s="1" t="s">
        <v>13681</v>
      </c>
      <c r="B5011" s="3" t="s">
        <v>8635</v>
      </c>
      <c r="C5011" s="2">
        <f ca="1">IF(ISNUMBER(SEARCH(Лист2!$B$4,D:D)),MAX($C$3:OFFSET(C5011,-1,0))+1,0)</f>
        <v>0</v>
      </c>
      <c r="E5011" s="9" t="str">
        <f t="shared" ca="1" si="90"/>
        <v/>
      </c>
      <c r="F5011" s="4" t="s">
        <v>28</v>
      </c>
      <c r="G5011" s="2">
        <f>IF(ISNUMBER(SEARCH(Лист2!$B$4,F:F)),1,0)</f>
        <v>0</v>
      </c>
      <c r="H5011" s="3">
        <f ca="1">IF(AND(I5011&lt;&gt;I5010,ISNUMBER(SEARCH(Лист2!$B$5,I:I)),G5011=1),MAX($H$3:OFFSET(H5011,-1,0))+1,0)</f>
        <v>0</v>
      </c>
      <c r="I5011" s="3" t="s">
        <v>396</v>
      </c>
      <c r="K5011" s="2">
        <f>IF(ISNUMBER(SEARCH(Лист2!$B$4,F:F)),1,0)</f>
        <v>0</v>
      </c>
      <c r="L5011" s="14">
        <f>IF(ISNUMBER(SEARCH(Лист2!$B$5,I:I)),1,0)+K5011</f>
        <v>0</v>
      </c>
      <c r="M5011" s="3">
        <f ca="1">IF(AND(N5011&lt;&gt;N5010,ISNUMBER(SEARCH(Лист2!$B$6,N:N)),L5011=2),MAX($M$3:OFFSET(M5011,-1,0))+1,0)</f>
        <v>0</v>
      </c>
      <c r="N5011" s="3" t="s">
        <v>2925</v>
      </c>
    </row>
    <row r="5012" spans="1:14" x14ac:dyDescent="0.25">
      <c r="A5012" s="1" t="s">
        <v>13682</v>
      </c>
      <c r="B5012" s="3" t="s">
        <v>8636</v>
      </c>
      <c r="C5012" s="2">
        <f ca="1">IF(ISNUMBER(SEARCH(Лист2!$B$4,D:D)),MAX($C$3:OFFSET(C5012,-1,0))+1,0)</f>
        <v>0</v>
      </c>
      <c r="E5012" s="9" t="str">
        <f t="shared" ca="1" si="90"/>
        <v/>
      </c>
      <c r="F5012" s="4" t="s">
        <v>28</v>
      </c>
      <c r="G5012" s="2">
        <f>IF(ISNUMBER(SEARCH(Лист2!$B$4,F:F)),1,0)</f>
        <v>0</v>
      </c>
      <c r="H5012" s="3">
        <f ca="1">IF(AND(I5012&lt;&gt;I5011,ISNUMBER(SEARCH(Лист2!$B$5,I:I)),G5012=1),MAX($H$3:OFFSET(H5012,-1,0))+1,0)</f>
        <v>0</v>
      </c>
      <c r="I5012" s="3" t="s">
        <v>396</v>
      </c>
      <c r="K5012" s="2">
        <f>IF(ISNUMBER(SEARCH(Лист2!$B$4,F:F)),1,0)</f>
        <v>0</v>
      </c>
      <c r="L5012" s="14">
        <f>IF(ISNUMBER(SEARCH(Лист2!$B$5,I:I)),1,0)+K5012</f>
        <v>0</v>
      </c>
      <c r="M5012" s="3">
        <f ca="1">IF(AND(N5012&lt;&gt;N5011,ISNUMBER(SEARCH(Лист2!$B$6,N:N)),L5012=2),MAX($M$3:OFFSET(M5012,-1,0))+1,0)</f>
        <v>0</v>
      </c>
      <c r="N5012" s="3" t="s">
        <v>602</v>
      </c>
    </row>
    <row r="5013" spans="1:14" x14ac:dyDescent="0.25">
      <c r="A5013" s="1" t="s">
        <v>13683</v>
      </c>
      <c r="B5013" s="3" t="s">
        <v>8637</v>
      </c>
      <c r="C5013" s="2">
        <f ca="1">IF(ISNUMBER(SEARCH(Лист2!$B$4,D:D)),MAX($C$3:OFFSET(C5013,-1,0))+1,0)</f>
        <v>0</v>
      </c>
      <c r="E5013" s="9" t="str">
        <f t="shared" ca="1" si="90"/>
        <v/>
      </c>
      <c r="F5013" s="4" t="s">
        <v>28</v>
      </c>
      <c r="G5013" s="2">
        <f>IF(ISNUMBER(SEARCH(Лист2!$B$4,F:F)),1,0)</f>
        <v>0</v>
      </c>
      <c r="H5013" s="3">
        <f ca="1">IF(AND(I5013&lt;&gt;I5012,ISNUMBER(SEARCH(Лист2!$B$5,I:I)),G5013=1),MAX($H$3:OFFSET(H5013,-1,0))+1,0)</f>
        <v>0</v>
      </c>
      <c r="I5013" s="3" t="s">
        <v>396</v>
      </c>
      <c r="K5013" s="2">
        <f>IF(ISNUMBER(SEARCH(Лист2!$B$4,F:F)),1,0)</f>
        <v>0</v>
      </c>
      <c r="L5013" s="14">
        <f>IF(ISNUMBER(SEARCH(Лист2!$B$5,I:I)),1,0)+K5013</f>
        <v>0</v>
      </c>
      <c r="M5013" s="3">
        <f ca="1">IF(AND(N5013&lt;&gt;N5012,ISNUMBER(SEARCH(Лист2!$B$6,N:N)),L5013=2),MAX($M$3:OFFSET(M5013,-1,0))+1,0)</f>
        <v>0</v>
      </c>
      <c r="N5013" s="3" t="s">
        <v>3014</v>
      </c>
    </row>
    <row r="5014" spans="1:14" x14ac:dyDescent="0.25">
      <c r="A5014" s="1" t="s">
        <v>13684</v>
      </c>
      <c r="B5014" s="3" t="s">
        <v>8638</v>
      </c>
      <c r="C5014" s="2">
        <f ca="1">IF(ISNUMBER(SEARCH(Лист2!$B$4,D:D)),MAX($C$3:OFFSET(C5014,-1,0))+1,0)</f>
        <v>0</v>
      </c>
      <c r="E5014" s="9" t="str">
        <f t="shared" ca="1" si="90"/>
        <v/>
      </c>
      <c r="F5014" s="4" t="s">
        <v>28</v>
      </c>
      <c r="G5014" s="2">
        <f>IF(ISNUMBER(SEARCH(Лист2!$B$4,F:F)),1,0)</f>
        <v>0</v>
      </c>
      <c r="H5014" s="3">
        <f ca="1">IF(AND(I5014&lt;&gt;I5013,ISNUMBER(SEARCH(Лист2!$B$5,I:I)),G5014=1),MAX($H$3:OFFSET(H5014,-1,0))+1,0)</f>
        <v>0</v>
      </c>
      <c r="I5014" s="3" t="s">
        <v>396</v>
      </c>
      <c r="K5014" s="2">
        <f>IF(ISNUMBER(SEARCH(Лист2!$B$4,F:F)),1,0)</f>
        <v>0</v>
      </c>
      <c r="L5014" s="14">
        <f>IF(ISNUMBER(SEARCH(Лист2!$B$5,I:I)),1,0)+K5014</f>
        <v>0</v>
      </c>
      <c r="M5014" s="3">
        <f ca="1">IF(AND(N5014&lt;&gt;N5013,ISNUMBER(SEARCH(Лист2!$B$6,N:N)),L5014=2),MAX($M$3:OFFSET(M5014,-1,0))+1,0)</f>
        <v>0</v>
      </c>
      <c r="N5014" s="3" t="s">
        <v>3015</v>
      </c>
    </row>
    <row r="5015" spans="1:14" x14ac:dyDescent="0.25">
      <c r="A5015" s="1" t="s">
        <v>13685</v>
      </c>
      <c r="B5015" s="3" t="s">
        <v>8639</v>
      </c>
      <c r="C5015" s="2">
        <f ca="1">IF(ISNUMBER(SEARCH(Лист2!$B$4,D:D)),MAX($C$3:OFFSET(C5015,-1,0))+1,0)</f>
        <v>0</v>
      </c>
      <c r="E5015" s="9" t="str">
        <f t="shared" ca="1" si="90"/>
        <v/>
      </c>
      <c r="F5015" s="4" t="s">
        <v>28</v>
      </c>
      <c r="G5015" s="2">
        <f>IF(ISNUMBER(SEARCH(Лист2!$B$4,F:F)),1,0)</f>
        <v>0</v>
      </c>
      <c r="H5015" s="3">
        <f ca="1">IF(AND(I5015&lt;&gt;I5014,ISNUMBER(SEARCH(Лист2!$B$5,I:I)),G5015=1),MAX($H$3:OFFSET(H5015,-1,0))+1,0)</f>
        <v>0</v>
      </c>
      <c r="I5015" s="3" t="s">
        <v>396</v>
      </c>
      <c r="K5015" s="2">
        <f>IF(ISNUMBER(SEARCH(Лист2!$B$4,F:F)),1,0)</f>
        <v>0</v>
      </c>
      <c r="L5015" s="14">
        <f>IF(ISNUMBER(SEARCH(Лист2!$B$5,I:I)),1,0)+K5015</f>
        <v>0</v>
      </c>
      <c r="M5015" s="3">
        <f ca="1">IF(AND(N5015&lt;&gt;N5014,ISNUMBER(SEARCH(Лист2!$B$6,N:N)),L5015=2),MAX($M$3:OFFSET(M5015,-1,0))+1,0)</f>
        <v>0</v>
      </c>
      <c r="N5015" s="3" t="s">
        <v>2929</v>
      </c>
    </row>
    <row r="5016" spans="1:14" x14ac:dyDescent="0.25">
      <c r="A5016" s="1" t="s">
        <v>13686</v>
      </c>
      <c r="B5016" s="3" t="s">
        <v>8640</v>
      </c>
      <c r="C5016" s="2">
        <f ca="1">IF(ISNUMBER(SEARCH(Лист2!$B$4,D:D)),MAX($C$3:OFFSET(C5016,-1,0))+1,0)</f>
        <v>0</v>
      </c>
      <c r="E5016" s="9" t="str">
        <f t="shared" ca="1" si="90"/>
        <v/>
      </c>
      <c r="F5016" s="4" t="s">
        <v>28</v>
      </c>
      <c r="G5016" s="2">
        <f>IF(ISNUMBER(SEARCH(Лист2!$B$4,F:F)),1,0)</f>
        <v>0</v>
      </c>
      <c r="H5016" s="3">
        <f ca="1">IF(AND(I5016&lt;&gt;I5015,ISNUMBER(SEARCH(Лист2!$B$5,I:I)),G5016=1),MAX($H$3:OFFSET(H5016,-1,0))+1,0)</f>
        <v>0</v>
      </c>
      <c r="I5016" s="3" t="s">
        <v>397</v>
      </c>
      <c r="K5016" s="2">
        <f>IF(ISNUMBER(SEARCH(Лист2!$B$4,F:F)),1,0)</f>
        <v>0</v>
      </c>
      <c r="L5016" s="14">
        <f>IF(ISNUMBER(SEARCH(Лист2!$B$5,I:I)),1,0)+K5016</f>
        <v>0</v>
      </c>
      <c r="M5016" s="3">
        <f ca="1">IF(AND(N5016&lt;&gt;N5015,ISNUMBER(SEARCH(Лист2!$B$6,N:N)),L5016=2),MAX($M$3:OFFSET(M5016,-1,0))+1,0)</f>
        <v>0</v>
      </c>
      <c r="N5016" s="3" t="s">
        <v>3016</v>
      </c>
    </row>
    <row r="5017" spans="1:14" x14ac:dyDescent="0.25">
      <c r="A5017" s="1" t="s">
        <v>13687</v>
      </c>
      <c r="B5017" s="3" t="s">
        <v>8641</v>
      </c>
      <c r="C5017" s="2">
        <f ca="1">IF(ISNUMBER(SEARCH(Лист2!$B$4,D:D)),MAX($C$3:OFFSET(C5017,-1,0))+1,0)</f>
        <v>0</v>
      </c>
      <c r="E5017" s="9" t="str">
        <f t="shared" ca="1" si="90"/>
        <v/>
      </c>
      <c r="F5017" s="4" t="s">
        <v>28</v>
      </c>
      <c r="G5017" s="2">
        <f>IF(ISNUMBER(SEARCH(Лист2!$B$4,F:F)),1,0)</f>
        <v>0</v>
      </c>
      <c r="H5017" s="3">
        <f ca="1">IF(AND(I5017&lt;&gt;I5016,ISNUMBER(SEARCH(Лист2!$B$5,I:I)),G5017=1),MAX($H$3:OFFSET(H5017,-1,0))+1,0)</f>
        <v>0</v>
      </c>
      <c r="I5017" s="3" t="s">
        <v>397</v>
      </c>
      <c r="K5017" s="2">
        <f>IF(ISNUMBER(SEARCH(Лист2!$B$4,F:F)),1,0)</f>
        <v>0</v>
      </c>
      <c r="L5017" s="14">
        <f>IF(ISNUMBER(SEARCH(Лист2!$B$5,I:I)),1,0)+K5017</f>
        <v>0</v>
      </c>
      <c r="M5017" s="3">
        <f ca="1">IF(AND(N5017&lt;&gt;N5016,ISNUMBER(SEARCH(Лист2!$B$6,N:N)),L5017=2),MAX($M$3:OFFSET(M5017,-1,0))+1,0)</f>
        <v>0</v>
      </c>
      <c r="N5017" s="3" t="s">
        <v>3017</v>
      </c>
    </row>
    <row r="5018" spans="1:14" x14ac:dyDescent="0.25">
      <c r="A5018" s="1" t="s">
        <v>13688</v>
      </c>
      <c r="B5018" s="3" t="s">
        <v>8642</v>
      </c>
      <c r="C5018" s="2">
        <f ca="1">IF(ISNUMBER(SEARCH(Лист2!$B$4,D:D)),MAX($C$3:OFFSET(C5018,-1,0))+1,0)</f>
        <v>0</v>
      </c>
      <c r="E5018" s="9" t="str">
        <f t="shared" ca="1" si="90"/>
        <v/>
      </c>
      <c r="F5018" s="4" t="s">
        <v>28</v>
      </c>
      <c r="G5018" s="2">
        <f>IF(ISNUMBER(SEARCH(Лист2!$B$4,F:F)),1,0)</f>
        <v>0</v>
      </c>
      <c r="H5018" s="3">
        <f ca="1">IF(AND(I5018&lt;&gt;I5017,ISNUMBER(SEARCH(Лист2!$B$5,I:I)),G5018=1),MAX($H$3:OFFSET(H5018,-1,0))+1,0)</f>
        <v>0</v>
      </c>
      <c r="I5018" s="3" t="s">
        <v>397</v>
      </c>
      <c r="K5018" s="2">
        <f>IF(ISNUMBER(SEARCH(Лист2!$B$4,F:F)),1,0)</f>
        <v>0</v>
      </c>
      <c r="L5018" s="14">
        <f>IF(ISNUMBER(SEARCH(Лист2!$B$5,I:I)),1,0)+K5018</f>
        <v>0</v>
      </c>
      <c r="M5018" s="3">
        <f ca="1">IF(AND(N5018&lt;&gt;N5017,ISNUMBER(SEARCH(Лист2!$B$6,N:N)),L5018=2),MAX($M$3:OFFSET(M5018,-1,0))+1,0)</f>
        <v>0</v>
      </c>
      <c r="N5018" s="3" t="s">
        <v>3018</v>
      </c>
    </row>
    <row r="5019" spans="1:14" x14ac:dyDescent="0.25">
      <c r="A5019" s="1" t="s">
        <v>13689</v>
      </c>
      <c r="B5019" s="3" t="s">
        <v>8643</v>
      </c>
      <c r="C5019" s="2">
        <f ca="1">IF(ISNUMBER(SEARCH(Лист2!$B$4,D:D)),MAX($C$3:OFFSET(C5019,-1,0))+1,0)</f>
        <v>0</v>
      </c>
      <c r="E5019" s="9" t="str">
        <f t="shared" ca="1" si="90"/>
        <v/>
      </c>
      <c r="F5019" s="4" t="s">
        <v>28</v>
      </c>
      <c r="G5019" s="2">
        <f>IF(ISNUMBER(SEARCH(Лист2!$B$4,F:F)),1,0)</f>
        <v>0</v>
      </c>
      <c r="H5019" s="3">
        <f ca="1">IF(AND(I5019&lt;&gt;I5018,ISNUMBER(SEARCH(Лист2!$B$5,I:I)),G5019=1),MAX($H$3:OFFSET(H5019,-1,0))+1,0)</f>
        <v>0</v>
      </c>
      <c r="I5019" s="3" t="s">
        <v>397</v>
      </c>
      <c r="K5019" s="2">
        <f>IF(ISNUMBER(SEARCH(Лист2!$B$4,F:F)),1,0)</f>
        <v>0</v>
      </c>
      <c r="L5019" s="14">
        <f>IF(ISNUMBER(SEARCH(Лист2!$B$5,I:I)),1,0)+K5019</f>
        <v>0</v>
      </c>
      <c r="M5019" s="3">
        <f ca="1">IF(AND(N5019&lt;&gt;N5018,ISNUMBER(SEARCH(Лист2!$B$6,N:N)),L5019=2),MAX($M$3:OFFSET(M5019,-1,0))+1,0)</f>
        <v>0</v>
      </c>
      <c r="N5019" s="3" t="s">
        <v>2925</v>
      </c>
    </row>
    <row r="5020" spans="1:14" x14ac:dyDescent="0.25">
      <c r="A5020" s="1" t="s">
        <v>13690</v>
      </c>
      <c r="B5020" s="3" t="s">
        <v>8644</v>
      </c>
      <c r="C5020" s="2">
        <f ca="1">IF(ISNUMBER(SEARCH(Лист2!$B$4,D:D)),MAX($C$3:OFFSET(C5020,-1,0))+1,0)</f>
        <v>0</v>
      </c>
      <c r="E5020" s="9" t="str">
        <f t="shared" ca="1" si="90"/>
        <v/>
      </c>
      <c r="F5020" s="4" t="s">
        <v>28</v>
      </c>
      <c r="G5020" s="2">
        <f>IF(ISNUMBER(SEARCH(Лист2!$B$4,F:F)),1,0)</f>
        <v>0</v>
      </c>
      <c r="H5020" s="3">
        <f ca="1">IF(AND(I5020&lt;&gt;I5019,ISNUMBER(SEARCH(Лист2!$B$5,I:I)),G5020=1),MAX($H$3:OFFSET(H5020,-1,0))+1,0)</f>
        <v>0</v>
      </c>
      <c r="I5020" s="3" t="s">
        <v>397</v>
      </c>
      <c r="K5020" s="2">
        <f>IF(ISNUMBER(SEARCH(Лист2!$B$4,F:F)),1,0)</f>
        <v>0</v>
      </c>
      <c r="L5020" s="14">
        <f>IF(ISNUMBER(SEARCH(Лист2!$B$5,I:I)),1,0)+K5020</f>
        <v>0</v>
      </c>
      <c r="M5020" s="3">
        <f ca="1">IF(AND(N5020&lt;&gt;N5019,ISNUMBER(SEARCH(Лист2!$B$6,N:N)),L5020=2),MAX($M$3:OFFSET(M5020,-1,0))+1,0)</f>
        <v>0</v>
      </c>
      <c r="N5020" s="3" t="s">
        <v>3019</v>
      </c>
    </row>
    <row r="5021" spans="1:14" x14ac:dyDescent="0.25">
      <c r="A5021" s="1" t="s">
        <v>13691</v>
      </c>
      <c r="B5021" s="3" t="s">
        <v>8645</v>
      </c>
      <c r="C5021" s="2">
        <f ca="1">IF(ISNUMBER(SEARCH(Лист2!$B$4,D:D)),MAX($C$3:OFFSET(C5021,-1,0))+1,0)</f>
        <v>0</v>
      </c>
      <c r="E5021" s="9" t="str">
        <f t="shared" ca="1" si="90"/>
        <v/>
      </c>
      <c r="F5021" s="4" t="s">
        <v>28</v>
      </c>
      <c r="G5021" s="2">
        <f>IF(ISNUMBER(SEARCH(Лист2!$B$4,F:F)),1,0)</f>
        <v>0</v>
      </c>
      <c r="H5021" s="3">
        <f ca="1">IF(AND(I5021&lt;&gt;I5020,ISNUMBER(SEARCH(Лист2!$B$5,I:I)),G5021=1),MAX($H$3:OFFSET(H5021,-1,0))+1,0)</f>
        <v>0</v>
      </c>
      <c r="I5021" s="3" t="s">
        <v>397</v>
      </c>
      <c r="K5021" s="2">
        <f>IF(ISNUMBER(SEARCH(Лист2!$B$4,F:F)),1,0)</f>
        <v>0</v>
      </c>
      <c r="L5021" s="14">
        <f>IF(ISNUMBER(SEARCH(Лист2!$B$5,I:I)),1,0)+K5021</f>
        <v>0</v>
      </c>
      <c r="M5021" s="3">
        <f ca="1">IF(AND(N5021&lt;&gt;N5020,ISNUMBER(SEARCH(Лист2!$B$6,N:N)),L5021=2),MAX($M$3:OFFSET(M5021,-1,0))+1,0)</f>
        <v>0</v>
      </c>
      <c r="N5021" s="3" t="s">
        <v>602</v>
      </c>
    </row>
    <row r="5022" spans="1:14" x14ac:dyDescent="0.25">
      <c r="A5022" s="1" t="s">
        <v>13692</v>
      </c>
      <c r="B5022" s="3" t="s">
        <v>8646</v>
      </c>
      <c r="C5022" s="2">
        <f ca="1">IF(ISNUMBER(SEARCH(Лист2!$B$4,D:D)),MAX($C$3:OFFSET(C5022,-1,0))+1,0)</f>
        <v>0</v>
      </c>
      <c r="E5022" s="9" t="str">
        <f t="shared" ca="1" si="90"/>
        <v/>
      </c>
      <c r="F5022" s="4" t="s">
        <v>28</v>
      </c>
      <c r="G5022" s="2">
        <f>IF(ISNUMBER(SEARCH(Лист2!$B$4,F:F)),1,0)</f>
        <v>0</v>
      </c>
      <c r="H5022" s="3">
        <f ca="1">IF(AND(I5022&lt;&gt;I5021,ISNUMBER(SEARCH(Лист2!$B$5,I:I)),G5022=1),MAX($H$3:OFFSET(H5022,-1,0))+1,0)</f>
        <v>0</v>
      </c>
      <c r="I5022" s="3" t="s">
        <v>397</v>
      </c>
      <c r="K5022" s="2">
        <f>IF(ISNUMBER(SEARCH(Лист2!$B$4,F:F)),1,0)</f>
        <v>0</v>
      </c>
      <c r="L5022" s="14">
        <f>IF(ISNUMBER(SEARCH(Лист2!$B$5,I:I)),1,0)+K5022</f>
        <v>0</v>
      </c>
      <c r="M5022" s="3">
        <f ca="1">IF(AND(N5022&lt;&gt;N5021,ISNUMBER(SEARCH(Лист2!$B$6,N:N)),L5022=2),MAX($M$3:OFFSET(M5022,-1,0))+1,0)</f>
        <v>0</v>
      </c>
      <c r="N5022" s="3" t="s">
        <v>3020</v>
      </c>
    </row>
    <row r="5023" spans="1:14" x14ac:dyDescent="0.25">
      <c r="A5023" s="1" t="s">
        <v>13693</v>
      </c>
      <c r="B5023" s="3" t="s">
        <v>8647</v>
      </c>
      <c r="C5023" s="2">
        <f ca="1">IF(ISNUMBER(SEARCH(Лист2!$B$4,D:D)),MAX($C$3:OFFSET(C5023,-1,0))+1,0)</f>
        <v>0</v>
      </c>
      <c r="E5023" s="9" t="str">
        <f t="shared" ca="1" si="90"/>
        <v/>
      </c>
      <c r="F5023" s="4" t="s">
        <v>28</v>
      </c>
      <c r="G5023" s="2">
        <f>IF(ISNUMBER(SEARCH(Лист2!$B$4,F:F)),1,0)</f>
        <v>0</v>
      </c>
      <c r="H5023" s="3">
        <f ca="1">IF(AND(I5023&lt;&gt;I5022,ISNUMBER(SEARCH(Лист2!$B$5,I:I)),G5023=1),MAX($H$3:OFFSET(H5023,-1,0))+1,0)</f>
        <v>0</v>
      </c>
      <c r="I5023" s="3" t="s">
        <v>397</v>
      </c>
      <c r="K5023" s="2">
        <f>IF(ISNUMBER(SEARCH(Лист2!$B$4,F:F)),1,0)</f>
        <v>0</v>
      </c>
      <c r="L5023" s="14">
        <f>IF(ISNUMBER(SEARCH(Лист2!$B$5,I:I)),1,0)+K5023</f>
        <v>0</v>
      </c>
      <c r="M5023" s="3">
        <f ca="1">IF(AND(N5023&lt;&gt;N5022,ISNUMBER(SEARCH(Лист2!$B$6,N:N)),L5023=2),MAX($M$3:OFFSET(M5023,-1,0))+1,0)</f>
        <v>0</v>
      </c>
      <c r="N5023" s="3" t="s">
        <v>3021</v>
      </c>
    </row>
    <row r="5024" spans="1:14" x14ac:dyDescent="0.25">
      <c r="A5024" s="1" t="s">
        <v>13694</v>
      </c>
      <c r="B5024" s="3" t="s">
        <v>8648</v>
      </c>
      <c r="C5024" s="2">
        <f ca="1">IF(ISNUMBER(SEARCH(Лист2!$B$4,D:D)),MAX($C$3:OFFSET(C5024,-1,0))+1,0)</f>
        <v>0</v>
      </c>
      <c r="E5024" s="9" t="str">
        <f t="shared" ca="1" si="90"/>
        <v/>
      </c>
      <c r="F5024" s="4" t="s">
        <v>28</v>
      </c>
      <c r="G5024" s="2">
        <f>IF(ISNUMBER(SEARCH(Лист2!$B$4,F:F)),1,0)</f>
        <v>0</v>
      </c>
      <c r="H5024" s="3">
        <f ca="1">IF(AND(I5024&lt;&gt;I5023,ISNUMBER(SEARCH(Лист2!$B$5,I:I)),G5024=1),MAX($H$3:OFFSET(H5024,-1,0))+1,0)</f>
        <v>0</v>
      </c>
      <c r="I5024" s="3" t="s">
        <v>397</v>
      </c>
      <c r="K5024" s="2">
        <f>IF(ISNUMBER(SEARCH(Лист2!$B$4,F:F)),1,0)</f>
        <v>0</v>
      </c>
      <c r="L5024" s="14">
        <f>IF(ISNUMBER(SEARCH(Лист2!$B$5,I:I)),1,0)+K5024</f>
        <v>0</v>
      </c>
      <c r="M5024" s="3">
        <f ca="1">IF(AND(N5024&lt;&gt;N5023,ISNUMBER(SEARCH(Лист2!$B$6,N:N)),L5024=2),MAX($M$3:OFFSET(M5024,-1,0))+1,0)</f>
        <v>0</v>
      </c>
      <c r="N5024" s="3" t="s">
        <v>2929</v>
      </c>
    </row>
    <row r="5025" spans="1:14" x14ac:dyDescent="0.25">
      <c r="A5025" s="1" t="s">
        <v>13695</v>
      </c>
      <c r="B5025" s="3" t="s">
        <v>8649</v>
      </c>
      <c r="C5025" s="2">
        <f ca="1">IF(ISNUMBER(SEARCH(Лист2!$B$4,D:D)),MAX($C$3:OFFSET(C5025,-1,0))+1,0)</f>
        <v>0</v>
      </c>
      <c r="E5025" s="9" t="str">
        <f t="shared" ca="1" si="90"/>
        <v/>
      </c>
      <c r="F5025" s="4" t="s">
        <v>28</v>
      </c>
      <c r="G5025" s="2">
        <f>IF(ISNUMBER(SEARCH(Лист2!$B$4,F:F)),1,0)</f>
        <v>0</v>
      </c>
      <c r="H5025" s="3">
        <f ca="1">IF(AND(I5025&lt;&gt;I5024,ISNUMBER(SEARCH(Лист2!$B$5,I:I)),G5025=1),MAX($H$3:OFFSET(H5025,-1,0))+1,0)</f>
        <v>0</v>
      </c>
      <c r="I5025" s="3" t="s">
        <v>398</v>
      </c>
      <c r="K5025" s="2">
        <f>IF(ISNUMBER(SEARCH(Лист2!$B$4,F:F)),1,0)</f>
        <v>0</v>
      </c>
      <c r="L5025" s="14">
        <f>IF(ISNUMBER(SEARCH(Лист2!$B$5,I:I)),1,0)+K5025</f>
        <v>0</v>
      </c>
      <c r="M5025" s="3">
        <f ca="1">IF(AND(N5025&lt;&gt;N5024,ISNUMBER(SEARCH(Лист2!$B$6,N:N)),L5025=2),MAX($M$3:OFFSET(M5025,-1,0))+1,0)</f>
        <v>0</v>
      </c>
      <c r="N5025" s="3" t="s">
        <v>3022</v>
      </c>
    </row>
    <row r="5026" spans="1:14" x14ac:dyDescent="0.25">
      <c r="A5026" s="1" t="s">
        <v>13696</v>
      </c>
      <c r="B5026" s="3" t="s">
        <v>8650</v>
      </c>
      <c r="C5026" s="2">
        <f ca="1">IF(ISNUMBER(SEARCH(Лист2!$B$4,D:D)),MAX($C$3:OFFSET(C5026,-1,0))+1,0)</f>
        <v>0</v>
      </c>
      <c r="E5026" s="9" t="str">
        <f t="shared" ca="1" si="90"/>
        <v/>
      </c>
      <c r="F5026" s="4" t="s">
        <v>28</v>
      </c>
      <c r="G5026" s="2">
        <f>IF(ISNUMBER(SEARCH(Лист2!$B$4,F:F)),1,0)</f>
        <v>0</v>
      </c>
      <c r="H5026" s="3">
        <f ca="1">IF(AND(I5026&lt;&gt;I5025,ISNUMBER(SEARCH(Лист2!$B$5,I:I)),G5026=1),MAX($H$3:OFFSET(H5026,-1,0))+1,0)</f>
        <v>0</v>
      </c>
      <c r="I5026" s="3" t="s">
        <v>398</v>
      </c>
      <c r="K5026" s="2">
        <f>IF(ISNUMBER(SEARCH(Лист2!$B$4,F:F)),1,0)</f>
        <v>0</v>
      </c>
      <c r="L5026" s="14">
        <f>IF(ISNUMBER(SEARCH(Лист2!$B$5,I:I)),1,0)+K5026</f>
        <v>0</v>
      </c>
      <c r="M5026" s="3">
        <f ca="1">IF(AND(N5026&lt;&gt;N5025,ISNUMBER(SEARCH(Лист2!$B$6,N:N)),L5026=2),MAX($M$3:OFFSET(M5026,-1,0))+1,0)</f>
        <v>0</v>
      </c>
      <c r="N5026" s="3" t="s">
        <v>3023</v>
      </c>
    </row>
    <row r="5027" spans="1:14" x14ac:dyDescent="0.25">
      <c r="A5027" s="1" t="s">
        <v>13697</v>
      </c>
      <c r="B5027" s="3" t="s">
        <v>8651</v>
      </c>
      <c r="C5027" s="2">
        <f ca="1">IF(ISNUMBER(SEARCH(Лист2!$B$4,D:D)),MAX($C$3:OFFSET(C5027,-1,0))+1,0)</f>
        <v>0</v>
      </c>
      <c r="E5027" s="9" t="str">
        <f t="shared" ca="1" si="90"/>
        <v/>
      </c>
      <c r="F5027" s="4" t="s">
        <v>28</v>
      </c>
      <c r="G5027" s="2">
        <f>IF(ISNUMBER(SEARCH(Лист2!$B$4,F:F)),1,0)</f>
        <v>0</v>
      </c>
      <c r="H5027" s="3">
        <f ca="1">IF(AND(I5027&lt;&gt;I5026,ISNUMBER(SEARCH(Лист2!$B$5,I:I)),G5027=1),MAX($H$3:OFFSET(H5027,-1,0))+1,0)</f>
        <v>0</v>
      </c>
      <c r="I5027" s="3" t="s">
        <v>398</v>
      </c>
      <c r="K5027" s="2">
        <f>IF(ISNUMBER(SEARCH(Лист2!$B$4,F:F)),1,0)</f>
        <v>0</v>
      </c>
      <c r="L5027" s="14">
        <f>IF(ISNUMBER(SEARCH(Лист2!$B$5,I:I)),1,0)+K5027</f>
        <v>0</v>
      </c>
      <c r="M5027" s="3">
        <f ca="1">IF(AND(N5027&lt;&gt;N5026,ISNUMBER(SEARCH(Лист2!$B$6,N:N)),L5027=2),MAX($M$3:OFFSET(M5027,-1,0))+1,0)</f>
        <v>0</v>
      </c>
      <c r="N5027" s="3" t="s">
        <v>3018</v>
      </c>
    </row>
    <row r="5028" spans="1:14" x14ac:dyDescent="0.25">
      <c r="A5028" s="1" t="s">
        <v>13698</v>
      </c>
      <c r="B5028" s="3" t="s">
        <v>8652</v>
      </c>
      <c r="C5028" s="2">
        <f ca="1">IF(ISNUMBER(SEARCH(Лист2!$B$4,D:D)),MAX($C$3:OFFSET(C5028,-1,0))+1,0)</f>
        <v>0</v>
      </c>
      <c r="E5028" s="9" t="str">
        <f t="shared" ca="1" si="90"/>
        <v/>
      </c>
      <c r="F5028" s="4" t="s">
        <v>28</v>
      </c>
      <c r="G5028" s="2">
        <f>IF(ISNUMBER(SEARCH(Лист2!$B$4,F:F)),1,0)</f>
        <v>0</v>
      </c>
      <c r="H5028" s="3">
        <f ca="1">IF(AND(I5028&lt;&gt;I5027,ISNUMBER(SEARCH(Лист2!$B$5,I:I)),G5028=1),MAX($H$3:OFFSET(H5028,-1,0))+1,0)</f>
        <v>0</v>
      </c>
      <c r="I5028" s="3" t="s">
        <v>398</v>
      </c>
      <c r="K5028" s="2">
        <f>IF(ISNUMBER(SEARCH(Лист2!$B$4,F:F)),1,0)</f>
        <v>0</v>
      </c>
      <c r="L5028" s="14">
        <f>IF(ISNUMBER(SEARCH(Лист2!$B$5,I:I)),1,0)+K5028</f>
        <v>0</v>
      </c>
      <c r="M5028" s="3">
        <f ca="1">IF(AND(N5028&lt;&gt;N5027,ISNUMBER(SEARCH(Лист2!$B$6,N:N)),L5028=2),MAX($M$3:OFFSET(M5028,-1,0))+1,0)</f>
        <v>0</v>
      </c>
      <c r="N5028" s="3" t="s">
        <v>2925</v>
      </c>
    </row>
    <row r="5029" spans="1:14" x14ac:dyDescent="0.25">
      <c r="A5029" s="1" t="s">
        <v>13699</v>
      </c>
      <c r="B5029" s="3" t="s">
        <v>8653</v>
      </c>
      <c r="C5029" s="2">
        <f ca="1">IF(ISNUMBER(SEARCH(Лист2!$B$4,D:D)),MAX($C$3:OFFSET(C5029,-1,0))+1,0)</f>
        <v>0</v>
      </c>
      <c r="E5029" s="9" t="str">
        <f t="shared" ca="1" si="90"/>
        <v/>
      </c>
      <c r="F5029" s="4" t="s">
        <v>28</v>
      </c>
      <c r="G5029" s="2">
        <f>IF(ISNUMBER(SEARCH(Лист2!$B$4,F:F)),1,0)</f>
        <v>0</v>
      </c>
      <c r="H5029" s="3">
        <f ca="1">IF(AND(I5029&lt;&gt;I5028,ISNUMBER(SEARCH(Лист2!$B$5,I:I)),G5029=1),MAX($H$3:OFFSET(H5029,-1,0))+1,0)</f>
        <v>0</v>
      </c>
      <c r="I5029" s="3" t="s">
        <v>398</v>
      </c>
      <c r="K5029" s="2">
        <f>IF(ISNUMBER(SEARCH(Лист2!$B$4,F:F)),1,0)</f>
        <v>0</v>
      </c>
      <c r="L5029" s="14">
        <f>IF(ISNUMBER(SEARCH(Лист2!$B$5,I:I)),1,0)+K5029</f>
        <v>0</v>
      </c>
      <c r="M5029" s="3">
        <f ca="1">IF(AND(N5029&lt;&gt;N5028,ISNUMBER(SEARCH(Лист2!$B$6,N:N)),L5029=2),MAX($M$3:OFFSET(M5029,-1,0))+1,0)</f>
        <v>0</v>
      </c>
      <c r="N5029" s="3" t="s">
        <v>3019</v>
      </c>
    </row>
    <row r="5030" spans="1:14" x14ac:dyDescent="0.25">
      <c r="A5030" s="1" t="s">
        <v>13700</v>
      </c>
      <c r="B5030" s="3" t="s">
        <v>8654</v>
      </c>
      <c r="C5030" s="2">
        <f ca="1">IF(ISNUMBER(SEARCH(Лист2!$B$4,D:D)),MAX($C$3:OFFSET(C5030,-1,0))+1,0)</f>
        <v>0</v>
      </c>
      <c r="E5030" s="9" t="str">
        <f t="shared" ca="1" si="90"/>
        <v/>
      </c>
      <c r="F5030" s="4" t="s">
        <v>28</v>
      </c>
      <c r="G5030" s="2">
        <f>IF(ISNUMBER(SEARCH(Лист2!$B$4,F:F)),1,0)</f>
        <v>0</v>
      </c>
      <c r="H5030" s="3">
        <f ca="1">IF(AND(I5030&lt;&gt;I5029,ISNUMBER(SEARCH(Лист2!$B$5,I:I)),G5030=1),MAX($H$3:OFFSET(H5030,-1,0))+1,0)</f>
        <v>0</v>
      </c>
      <c r="I5030" s="3" t="s">
        <v>398</v>
      </c>
      <c r="K5030" s="2">
        <f>IF(ISNUMBER(SEARCH(Лист2!$B$4,F:F)),1,0)</f>
        <v>0</v>
      </c>
      <c r="L5030" s="14">
        <f>IF(ISNUMBER(SEARCH(Лист2!$B$5,I:I)),1,0)+K5030</f>
        <v>0</v>
      </c>
      <c r="M5030" s="3">
        <f ca="1">IF(AND(N5030&lt;&gt;N5029,ISNUMBER(SEARCH(Лист2!$B$6,N:N)),L5030=2),MAX($M$3:OFFSET(M5030,-1,0))+1,0)</f>
        <v>0</v>
      </c>
      <c r="N5030" s="3" t="s">
        <v>602</v>
      </c>
    </row>
    <row r="5031" spans="1:14" x14ac:dyDescent="0.25">
      <c r="A5031" s="1" t="s">
        <v>13701</v>
      </c>
      <c r="B5031" s="3" t="s">
        <v>8655</v>
      </c>
      <c r="C5031" s="2">
        <f ca="1">IF(ISNUMBER(SEARCH(Лист2!$B$4,D:D)),MAX($C$3:OFFSET(C5031,-1,0))+1,0)</f>
        <v>0</v>
      </c>
      <c r="E5031" s="9" t="str">
        <f t="shared" ca="1" si="90"/>
        <v/>
      </c>
      <c r="F5031" s="4" t="s">
        <v>28</v>
      </c>
      <c r="G5031" s="2">
        <f>IF(ISNUMBER(SEARCH(Лист2!$B$4,F:F)),1,0)</f>
        <v>0</v>
      </c>
      <c r="H5031" s="3">
        <f ca="1">IF(AND(I5031&lt;&gt;I5030,ISNUMBER(SEARCH(Лист2!$B$5,I:I)),G5031=1),MAX($H$3:OFFSET(H5031,-1,0))+1,0)</f>
        <v>0</v>
      </c>
      <c r="I5031" s="3" t="s">
        <v>398</v>
      </c>
      <c r="K5031" s="2">
        <f>IF(ISNUMBER(SEARCH(Лист2!$B$4,F:F)),1,0)</f>
        <v>0</v>
      </c>
      <c r="L5031" s="14">
        <f>IF(ISNUMBER(SEARCH(Лист2!$B$5,I:I)),1,0)+K5031</f>
        <v>0</v>
      </c>
      <c r="M5031" s="3">
        <f ca="1">IF(AND(N5031&lt;&gt;N5030,ISNUMBER(SEARCH(Лист2!$B$6,N:N)),L5031=2),MAX($M$3:OFFSET(M5031,-1,0))+1,0)</f>
        <v>0</v>
      </c>
      <c r="N5031" s="3" t="s">
        <v>3024</v>
      </c>
    </row>
    <row r="5032" spans="1:14" x14ac:dyDescent="0.25">
      <c r="A5032" s="1" t="s">
        <v>13702</v>
      </c>
      <c r="B5032" s="3" t="s">
        <v>8656</v>
      </c>
      <c r="C5032" s="2">
        <f ca="1">IF(ISNUMBER(SEARCH(Лист2!$B$4,D:D)),MAX($C$3:OFFSET(C5032,-1,0))+1,0)</f>
        <v>0</v>
      </c>
      <c r="E5032" s="9" t="str">
        <f t="shared" ca="1" si="90"/>
        <v/>
      </c>
      <c r="F5032" s="4" t="s">
        <v>28</v>
      </c>
      <c r="G5032" s="2">
        <f>IF(ISNUMBER(SEARCH(Лист2!$B$4,F:F)),1,0)</f>
        <v>0</v>
      </c>
      <c r="H5032" s="3">
        <f ca="1">IF(AND(I5032&lt;&gt;I5031,ISNUMBER(SEARCH(Лист2!$B$5,I:I)),G5032=1),MAX($H$3:OFFSET(H5032,-1,0))+1,0)</f>
        <v>0</v>
      </c>
      <c r="I5032" s="3" t="s">
        <v>398</v>
      </c>
      <c r="K5032" s="2">
        <f>IF(ISNUMBER(SEARCH(Лист2!$B$4,F:F)),1,0)</f>
        <v>0</v>
      </c>
      <c r="L5032" s="14">
        <f>IF(ISNUMBER(SEARCH(Лист2!$B$5,I:I)),1,0)+K5032</f>
        <v>0</v>
      </c>
      <c r="M5032" s="3">
        <f ca="1">IF(AND(N5032&lt;&gt;N5031,ISNUMBER(SEARCH(Лист2!$B$6,N:N)),L5032=2),MAX($M$3:OFFSET(M5032,-1,0))+1,0)</f>
        <v>0</v>
      </c>
      <c r="N5032" s="3" t="s">
        <v>3025</v>
      </c>
    </row>
    <row r="5033" spans="1:14" x14ac:dyDescent="0.25">
      <c r="A5033" s="1" t="s">
        <v>13703</v>
      </c>
      <c r="B5033" s="3" t="s">
        <v>8657</v>
      </c>
      <c r="C5033" s="2">
        <f ca="1">IF(ISNUMBER(SEARCH(Лист2!$B$4,D:D)),MAX($C$3:OFFSET(C5033,-1,0))+1,0)</f>
        <v>0</v>
      </c>
      <c r="E5033" s="9" t="str">
        <f t="shared" ca="1" si="90"/>
        <v/>
      </c>
      <c r="F5033" s="4" t="s">
        <v>28</v>
      </c>
      <c r="G5033" s="2">
        <f>IF(ISNUMBER(SEARCH(Лист2!$B$4,F:F)),1,0)</f>
        <v>0</v>
      </c>
      <c r="H5033" s="3">
        <f ca="1">IF(AND(I5033&lt;&gt;I5032,ISNUMBER(SEARCH(Лист2!$B$5,I:I)),G5033=1),MAX($H$3:OFFSET(H5033,-1,0))+1,0)</f>
        <v>0</v>
      </c>
      <c r="I5033" s="3" t="s">
        <v>398</v>
      </c>
      <c r="K5033" s="2">
        <f>IF(ISNUMBER(SEARCH(Лист2!$B$4,F:F)),1,0)</f>
        <v>0</v>
      </c>
      <c r="L5033" s="14">
        <f>IF(ISNUMBER(SEARCH(Лист2!$B$5,I:I)),1,0)+K5033</f>
        <v>0</v>
      </c>
      <c r="M5033" s="3">
        <f ca="1">IF(AND(N5033&lt;&gt;N5032,ISNUMBER(SEARCH(Лист2!$B$6,N:N)),L5033=2),MAX($M$3:OFFSET(M5033,-1,0))+1,0)</f>
        <v>0</v>
      </c>
      <c r="N5033" s="3" t="s">
        <v>2929</v>
      </c>
    </row>
    <row r="5034" spans="1:14" x14ac:dyDescent="0.25">
      <c r="A5034" s="1" t="s">
        <v>13704</v>
      </c>
      <c r="B5034" s="3" t="s">
        <v>8658</v>
      </c>
      <c r="C5034" s="2">
        <f ca="1">IF(ISNUMBER(SEARCH(Лист2!$B$4,D:D)),MAX($C$3:OFFSET(C5034,-1,0))+1,0)</f>
        <v>0</v>
      </c>
      <c r="E5034" s="9" t="str">
        <f t="shared" ca="1" si="90"/>
        <v/>
      </c>
      <c r="F5034" s="4" t="s">
        <v>28</v>
      </c>
      <c r="G5034" s="2">
        <f>IF(ISNUMBER(SEARCH(Лист2!$B$4,F:F)),1,0)</f>
        <v>0</v>
      </c>
      <c r="H5034" s="3">
        <f ca="1">IF(AND(I5034&lt;&gt;I5033,ISNUMBER(SEARCH(Лист2!$B$5,I:I)),G5034=1),MAX($H$3:OFFSET(H5034,-1,0))+1,0)</f>
        <v>0</v>
      </c>
      <c r="I5034" s="3" t="s">
        <v>399</v>
      </c>
      <c r="K5034" s="2">
        <f>IF(ISNUMBER(SEARCH(Лист2!$B$4,F:F)),1,0)</f>
        <v>0</v>
      </c>
      <c r="L5034" s="14">
        <f>IF(ISNUMBER(SEARCH(Лист2!$B$5,I:I)),1,0)+K5034</f>
        <v>0</v>
      </c>
      <c r="M5034" s="3">
        <f ca="1">IF(AND(N5034&lt;&gt;N5033,ISNUMBER(SEARCH(Лист2!$B$6,N:N)),L5034=2),MAX($M$3:OFFSET(M5034,-1,0))+1,0)</f>
        <v>0</v>
      </c>
      <c r="N5034" s="3" t="s">
        <v>3026</v>
      </c>
    </row>
    <row r="5035" spans="1:14" x14ac:dyDescent="0.25">
      <c r="A5035" s="1" t="s">
        <v>13705</v>
      </c>
      <c r="B5035" s="3" t="s">
        <v>8659</v>
      </c>
      <c r="C5035" s="2">
        <f ca="1">IF(ISNUMBER(SEARCH(Лист2!$B$4,D:D)),MAX($C$3:OFFSET(C5035,-1,0))+1,0)</f>
        <v>0</v>
      </c>
      <c r="E5035" s="9" t="str">
        <f t="shared" ca="1" si="90"/>
        <v/>
      </c>
      <c r="F5035" s="4" t="s">
        <v>28</v>
      </c>
      <c r="G5035" s="2">
        <f>IF(ISNUMBER(SEARCH(Лист2!$B$4,F:F)),1,0)</f>
        <v>0</v>
      </c>
      <c r="H5035" s="3">
        <f ca="1">IF(AND(I5035&lt;&gt;I5034,ISNUMBER(SEARCH(Лист2!$B$5,I:I)),G5035=1),MAX($H$3:OFFSET(H5035,-1,0))+1,0)</f>
        <v>0</v>
      </c>
      <c r="I5035" s="3" t="s">
        <v>399</v>
      </c>
      <c r="K5035" s="2">
        <f>IF(ISNUMBER(SEARCH(Лист2!$B$4,F:F)),1,0)</f>
        <v>0</v>
      </c>
      <c r="L5035" s="14">
        <f>IF(ISNUMBER(SEARCH(Лист2!$B$5,I:I)),1,0)+K5035</f>
        <v>0</v>
      </c>
      <c r="M5035" s="3">
        <f ca="1">IF(AND(N5035&lt;&gt;N5034,ISNUMBER(SEARCH(Лист2!$B$6,N:N)),L5035=2),MAX($M$3:OFFSET(M5035,-1,0))+1,0)</f>
        <v>0</v>
      </c>
      <c r="N5035" s="3" t="s">
        <v>3027</v>
      </c>
    </row>
    <row r="5036" spans="1:14" x14ac:dyDescent="0.25">
      <c r="A5036" s="1" t="s">
        <v>13706</v>
      </c>
      <c r="B5036" s="3" t="s">
        <v>8660</v>
      </c>
      <c r="C5036" s="2">
        <f ca="1">IF(ISNUMBER(SEARCH(Лист2!$B$4,D:D)),MAX($C$3:OFFSET(C5036,-1,0))+1,0)</f>
        <v>0</v>
      </c>
      <c r="E5036" s="9" t="str">
        <f t="shared" ca="1" si="90"/>
        <v/>
      </c>
      <c r="F5036" s="4" t="s">
        <v>28</v>
      </c>
      <c r="G5036" s="2">
        <f>IF(ISNUMBER(SEARCH(Лист2!$B$4,F:F)),1,0)</f>
        <v>0</v>
      </c>
      <c r="H5036" s="3">
        <f ca="1">IF(AND(I5036&lt;&gt;I5035,ISNUMBER(SEARCH(Лист2!$B$5,I:I)),G5036=1),MAX($H$3:OFFSET(H5036,-1,0))+1,0)</f>
        <v>0</v>
      </c>
      <c r="I5036" s="3" t="s">
        <v>399</v>
      </c>
      <c r="K5036" s="2">
        <f>IF(ISNUMBER(SEARCH(Лист2!$B$4,F:F)),1,0)</f>
        <v>0</v>
      </c>
      <c r="L5036" s="14">
        <f>IF(ISNUMBER(SEARCH(Лист2!$B$5,I:I)),1,0)+K5036</f>
        <v>0</v>
      </c>
      <c r="M5036" s="3">
        <f ca="1">IF(AND(N5036&lt;&gt;N5035,ISNUMBER(SEARCH(Лист2!$B$6,N:N)),L5036=2),MAX($M$3:OFFSET(M5036,-1,0))+1,0)</f>
        <v>0</v>
      </c>
      <c r="N5036" s="3" t="s">
        <v>3018</v>
      </c>
    </row>
    <row r="5037" spans="1:14" x14ac:dyDescent="0.25">
      <c r="A5037" s="1" t="s">
        <v>13707</v>
      </c>
      <c r="B5037" s="3" t="s">
        <v>8661</v>
      </c>
      <c r="C5037" s="2">
        <f ca="1">IF(ISNUMBER(SEARCH(Лист2!$B$4,D:D)),MAX($C$3:OFFSET(C5037,-1,0))+1,0)</f>
        <v>0</v>
      </c>
      <c r="E5037" s="9" t="str">
        <f t="shared" ca="1" si="90"/>
        <v/>
      </c>
      <c r="F5037" s="4" t="s">
        <v>28</v>
      </c>
      <c r="G5037" s="2">
        <f>IF(ISNUMBER(SEARCH(Лист2!$B$4,F:F)),1,0)</f>
        <v>0</v>
      </c>
      <c r="H5037" s="3">
        <f ca="1">IF(AND(I5037&lt;&gt;I5036,ISNUMBER(SEARCH(Лист2!$B$5,I:I)),G5037=1),MAX($H$3:OFFSET(H5037,-1,0))+1,0)</f>
        <v>0</v>
      </c>
      <c r="I5037" s="3" t="s">
        <v>399</v>
      </c>
      <c r="K5037" s="2">
        <f>IF(ISNUMBER(SEARCH(Лист2!$B$4,F:F)),1,0)</f>
        <v>0</v>
      </c>
      <c r="L5037" s="14">
        <f>IF(ISNUMBER(SEARCH(Лист2!$B$5,I:I)),1,0)+K5037</f>
        <v>0</v>
      </c>
      <c r="M5037" s="3">
        <f ca="1">IF(AND(N5037&lt;&gt;N5036,ISNUMBER(SEARCH(Лист2!$B$6,N:N)),L5037=2),MAX($M$3:OFFSET(M5037,-1,0))+1,0)</f>
        <v>0</v>
      </c>
      <c r="N5037" s="3" t="s">
        <v>2925</v>
      </c>
    </row>
    <row r="5038" spans="1:14" x14ac:dyDescent="0.25">
      <c r="A5038" s="1" t="s">
        <v>13708</v>
      </c>
      <c r="B5038" s="3" t="s">
        <v>8662</v>
      </c>
      <c r="C5038" s="2">
        <f ca="1">IF(ISNUMBER(SEARCH(Лист2!$B$4,D:D)),MAX($C$3:OFFSET(C5038,-1,0))+1,0)</f>
        <v>0</v>
      </c>
      <c r="E5038" s="9" t="str">
        <f t="shared" ca="1" si="90"/>
        <v/>
      </c>
      <c r="F5038" s="4" t="s">
        <v>28</v>
      </c>
      <c r="G5038" s="2">
        <f>IF(ISNUMBER(SEARCH(Лист2!$B$4,F:F)),1,0)</f>
        <v>0</v>
      </c>
      <c r="H5038" s="3">
        <f ca="1">IF(AND(I5038&lt;&gt;I5037,ISNUMBER(SEARCH(Лист2!$B$5,I:I)),G5038=1),MAX($H$3:OFFSET(H5038,-1,0))+1,0)</f>
        <v>0</v>
      </c>
      <c r="I5038" s="3" t="s">
        <v>399</v>
      </c>
      <c r="K5038" s="2">
        <f>IF(ISNUMBER(SEARCH(Лист2!$B$4,F:F)),1,0)</f>
        <v>0</v>
      </c>
      <c r="L5038" s="14">
        <f>IF(ISNUMBER(SEARCH(Лист2!$B$5,I:I)),1,0)+K5038</f>
        <v>0</v>
      </c>
      <c r="M5038" s="3">
        <f ca="1">IF(AND(N5038&lt;&gt;N5037,ISNUMBER(SEARCH(Лист2!$B$6,N:N)),L5038=2),MAX($M$3:OFFSET(M5038,-1,0))+1,0)</f>
        <v>0</v>
      </c>
      <c r="N5038" s="3" t="s">
        <v>602</v>
      </c>
    </row>
    <row r="5039" spans="1:14" x14ac:dyDescent="0.25">
      <c r="A5039" s="1" t="s">
        <v>13709</v>
      </c>
      <c r="B5039" s="3" t="s">
        <v>8663</v>
      </c>
      <c r="C5039" s="2">
        <f ca="1">IF(ISNUMBER(SEARCH(Лист2!$B$4,D:D)),MAX($C$3:OFFSET(C5039,-1,0))+1,0)</f>
        <v>0</v>
      </c>
      <c r="E5039" s="9" t="str">
        <f t="shared" ca="1" si="90"/>
        <v/>
      </c>
      <c r="F5039" s="4" t="s">
        <v>28</v>
      </c>
      <c r="G5039" s="2">
        <f>IF(ISNUMBER(SEARCH(Лист2!$B$4,F:F)),1,0)</f>
        <v>0</v>
      </c>
      <c r="H5039" s="3">
        <f ca="1">IF(AND(I5039&lt;&gt;I5038,ISNUMBER(SEARCH(Лист2!$B$5,I:I)),G5039=1),MAX($H$3:OFFSET(H5039,-1,0))+1,0)</f>
        <v>0</v>
      </c>
      <c r="I5039" s="3" t="s">
        <v>399</v>
      </c>
      <c r="K5039" s="2">
        <f>IF(ISNUMBER(SEARCH(Лист2!$B$4,F:F)),1,0)</f>
        <v>0</v>
      </c>
      <c r="L5039" s="14">
        <f>IF(ISNUMBER(SEARCH(Лист2!$B$5,I:I)),1,0)+K5039</f>
        <v>0</v>
      </c>
      <c r="M5039" s="3">
        <f ca="1">IF(AND(N5039&lt;&gt;N5038,ISNUMBER(SEARCH(Лист2!$B$6,N:N)),L5039=2),MAX($M$3:OFFSET(M5039,-1,0))+1,0)</f>
        <v>0</v>
      </c>
      <c r="N5039" s="3" t="s">
        <v>3028</v>
      </c>
    </row>
    <row r="5040" spans="1:14" x14ac:dyDescent="0.25">
      <c r="A5040" s="1" t="s">
        <v>13710</v>
      </c>
      <c r="B5040" s="3" t="s">
        <v>8664</v>
      </c>
      <c r="C5040" s="2">
        <f ca="1">IF(ISNUMBER(SEARCH(Лист2!$B$4,D:D)),MAX($C$3:OFFSET(C5040,-1,0))+1,0)</f>
        <v>0</v>
      </c>
      <c r="E5040" s="9" t="str">
        <f t="shared" ca="1" si="90"/>
        <v/>
      </c>
      <c r="F5040" s="4" t="s">
        <v>28</v>
      </c>
      <c r="G5040" s="2">
        <f>IF(ISNUMBER(SEARCH(Лист2!$B$4,F:F)),1,0)</f>
        <v>0</v>
      </c>
      <c r="H5040" s="3">
        <f ca="1">IF(AND(I5040&lt;&gt;I5039,ISNUMBER(SEARCH(Лист2!$B$5,I:I)),G5040=1),MAX($H$3:OFFSET(H5040,-1,0))+1,0)</f>
        <v>0</v>
      </c>
      <c r="I5040" s="3" t="s">
        <v>399</v>
      </c>
      <c r="K5040" s="2">
        <f>IF(ISNUMBER(SEARCH(Лист2!$B$4,F:F)),1,0)</f>
        <v>0</v>
      </c>
      <c r="L5040" s="14">
        <f>IF(ISNUMBER(SEARCH(Лист2!$B$5,I:I)),1,0)+K5040</f>
        <v>0</v>
      </c>
      <c r="M5040" s="3">
        <f ca="1">IF(AND(N5040&lt;&gt;N5039,ISNUMBER(SEARCH(Лист2!$B$6,N:N)),L5040=2),MAX($M$3:OFFSET(M5040,-1,0))+1,0)</f>
        <v>0</v>
      </c>
      <c r="N5040" s="3" t="s">
        <v>3029</v>
      </c>
    </row>
    <row r="5041" spans="1:14" x14ac:dyDescent="0.25">
      <c r="A5041" s="1" t="s">
        <v>13711</v>
      </c>
      <c r="B5041" s="3" t="s">
        <v>8665</v>
      </c>
      <c r="C5041" s="2">
        <f ca="1">IF(ISNUMBER(SEARCH(Лист2!$B$4,D:D)),MAX($C$3:OFFSET(C5041,-1,0))+1,0)</f>
        <v>0</v>
      </c>
      <c r="E5041" s="9" t="str">
        <f t="shared" ca="1" si="90"/>
        <v/>
      </c>
      <c r="F5041" s="4" t="s">
        <v>28</v>
      </c>
      <c r="G5041" s="2">
        <f>IF(ISNUMBER(SEARCH(Лист2!$B$4,F:F)),1,0)</f>
        <v>0</v>
      </c>
      <c r="H5041" s="3">
        <f ca="1">IF(AND(I5041&lt;&gt;I5040,ISNUMBER(SEARCH(Лист2!$B$5,I:I)),G5041=1),MAX($H$3:OFFSET(H5041,-1,0))+1,0)</f>
        <v>0</v>
      </c>
      <c r="I5041" s="3" t="s">
        <v>399</v>
      </c>
      <c r="K5041" s="2">
        <f>IF(ISNUMBER(SEARCH(Лист2!$B$4,F:F)),1,0)</f>
        <v>0</v>
      </c>
      <c r="L5041" s="14">
        <f>IF(ISNUMBER(SEARCH(Лист2!$B$5,I:I)),1,0)+K5041</f>
        <v>0</v>
      </c>
      <c r="M5041" s="3">
        <f ca="1">IF(AND(N5041&lt;&gt;N5040,ISNUMBER(SEARCH(Лист2!$B$6,N:N)),L5041=2),MAX($M$3:OFFSET(M5041,-1,0))+1,0)</f>
        <v>0</v>
      </c>
      <c r="N5041" s="3" t="s">
        <v>2929</v>
      </c>
    </row>
    <row r="5042" spans="1:14" x14ac:dyDescent="0.25">
      <c r="A5042" s="1" t="s">
        <v>13712</v>
      </c>
      <c r="B5042" s="3" t="s">
        <v>8666</v>
      </c>
      <c r="C5042" s="2">
        <f ca="1">IF(ISNUMBER(SEARCH(Лист2!$B$4,D:D)),MAX($C$3:OFFSET(C5042,-1,0))+1,0)</f>
        <v>0</v>
      </c>
      <c r="E5042" s="9" t="str">
        <f t="shared" ca="1" si="90"/>
        <v/>
      </c>
      <c r="F5042" s="4" t="s">
        <v>28</v>
      </c>
      <c r="G5042" s="2">
        <f>IF(ISNUMBER(SEARCH(Лист2!$B$4,F:F)),1,0)</f>
        <v>0</v>
      </c>
      <c r="H5042" s="3">
        <f ca="1">IF(AND(I5042&lt;&gt;I5041,ISNUMBER(SEARCH(Лист2!$B$5,I:I)),G5042=1),MAX($H$3:OFFSET(H5042,-1,0))+1,0)</f>
        <v>0</v>
      </c>
      <c r="I5042" s="3" t="s">
        <v>400</v>
      </c>
      <c r="K5042" s="2">
        <f>IF(ISNUMBER(SEARCH(Лист2!$B$4,F:F)),1,0)</f>
        <v>0</v>
      </c>
      <c r="L5042" s="14">
        <f>IF(ISNUMBER(SEARCH(Лист2!$B$5,I:I)),1,0)+K5042</f>
        <v>0</v>
      </c>
      <c r="M5042" s="3">
        <f ca="1">IF(AND(N5042&lt;&gt;N5041,ISNUMBER(SEARCH(Лист2!$B$6,N:N)),L5042=2),MAX($M$3:OFFSET(M5042,-1,0))+1,0)</f>
        <v>0</v>
      </c>
      <c r="N5042" s="3" t="s">
        <v>3030</v>
      </c>
    </row>
    <row r="5043" spans="1:14" x14ac:dyDescent="0.25">
      <c r="A5043" s="1" t="s">
        <v>13713</v>
      </c>
      <c r="B5043" s="3" t="s">
        <v>8667</v>
      </c>
      <c r="C5043" s="2">
        <f ca="1">IF(ISNUMBER(SEARCH(Лист2!$B$4,D:D)),MAX($C$3:OFFSET(C5043,-1,0))+1,0)</f>
        <v>0</v>
      </c>
      <c r="E5043" s="9" t="str">
        <f t="shared" ca="1" si="90"/>
        <v/>
      </c>
      <c r="F5043" s="4" t="s">
        <v>28</v>
      </c>
      <c r="G5043" s="2">
        <f>IF(ISNUMBER(SEARCH(Лист2!$B$4,F:F)),1,0)</f>
        <v>0</v>
      </c>
      <c r="H5043" s="3">
        <f ca="1">IF(AND(I5043&lt;&gt;I5042,ISNUMBER(SEARCH(Лист2!$B$5,I:I)),G5043=1),MAX($H$3:OFFSET(H5043,-1,0))+1,0)</f>
        <v>0</v>
      </c>
      <c r="I5043" s="3" t="s">
        <v>400</v>
      </c>
      <c r="K5043" s="2">
        <f>IF(ISNUMBER(SEARCH(Лист2!$B$4,F:F)),1,0)</f>
        <v>0</v>
      </c>
      <c r="L5043" s="14">
        <f>IF(ISNUMBER(SEARCH(Лист2!$B$5,I:I)),1,0)+K5043</f>
        <v>0</v>
      </c>
      <c r="M5043" s="3">
        <f ca="1">IF(AND(N5043&lt;&gt;N5042,ISNUMBER(SEARCH(Лист2!$B$6,N:N)),L5043=2),MAX($M$3:OFFSET(M5043,-1,0))+1,0)</f>
        <v>0</v>
      </c>
      <c r="N5043" s="3" t="s">
        <v>3031</v>
      </c>
    </row>
    <row r="5044" spans="1:14" x14ac:dyDescent="0.25">
      <c r="A5044" s="1" t="s">
        <v>13714</v>
      </c>
      <c r="B5044" s="3" t="s">
        <v>8668</v>
      </c>
      <c r="C5044" s="2">
        <f ca="1">IF(ISNUMBER(SEARCH(Лист2!$B$4,D:D)),MAX($C$3:OFFSET(C5044,-1,0))+1,0)</f>
        <v>0</v>
      </c>
      <c r="E5044" s="9" t="str">
        <f t="shared" ca="1" si="90"/>
        <v/>
      </c>
      <c r="F5044" s="4" t="s">
        <v>28</v>
      </c>
      <c r="G5044" s="2">
        <f>IF(ISNUMBER(SEARCH(Лист2!$B$4,F:F)),1,0)</f>
        <v>0</v>
      </c>
      <c r="H5044" s="3">
        <f ca="1">IF(AND(I5044&lt;&gt;I5043,ISNUMBER(SEARCH(Лист2!$B$5,I:I)),G5044=1),MAX($H$3:OFFSET(H5044,-1,0))+1,0)</f>
        <v>0</v>
      </c>
      <c r="I5044" s="3" t="s">
        <v>400</v>
      </c>
      <c r="K5044" s="2">
        <f>IF(ISNUMBER(SEARCH(Лист2!$B$4,F:F)),1,0)</f>
        <v>0</v>
      </c>
      <c r="L5044" s="14">
        <f>IF(ISNUMBER(SEARCH(Лист2!$B$5,I:I)),1,0)+K5044</f>
        <v>0</v>
      </c>
      <c r="M5044" s="3">
        <f ca="1">IF(AND(N5044&lt;&gt;N5043,ISNUMBER(SEARCH(Лист2!$B$6,N:N)),L5044=2),MAX($M$3:OFFSET(M5044,-1,0))+1,0)</f>
        <v>0</v>
      </c>
      <c r="N5044" s="3" t="s">
        <v>3018</v>
      </c>
    </row>
    <row r="5045" spans="1:14" x14ac:dyDescent="0.25">
      <c r="A5045" s="1" t="s">
        <v>13715</v>
      </c>
      <c r="B5045" s="3" t="s">
        <v>8669</v>
      </c>
      <c r="C5045" s="2">
        <f ca="1">IF(ISNUMBER(SEARCH(Лист2!$B$4,D:D)),MAX($C$3:OFFSET(C5045,-1,0))+1,0)</f>
        <v>0</v>
      </c>
      <c r="E5045" s="9" t="str">
        <f t="shared" ca="1" si="90"/>
        <v/>
      </c>
      <c r="F5045" s="4" t="s">
        <v>28</v>
      </c>
      <c r="G5045" s="2">
        <f>IF(ISNUMBER(SEARCH(Лист2!$B$4,F:F)),1,0)</f>
        <v>0</v>
      </c>
      <c r="H5045" s="3">
        <f ca="1">IF(AND(I5045&lt;&gt;I5044,ISNUMBER(SEARCH(Лист2!$B$5,I:I)),G5045=1),MAX($H$3:OFFSET(H5045,-1,0))+1,0)</f>
        <v>0</v>
      </c>
      <c r="I5045" s="3" t="s">
        <v>400</v>
      </c>
      <c r="K5045" s="2">
        <f>IF(ISNUMBER(SEARCH(Лист2!$B$4,F:F)),1,0)</f>
        <v>0</v>
      </c>
      <c r="L5045" s="14">
        <f>IF(ISNUMBER(SEARCH(Лист2!$B$5,I:I)),1,0)+K5045</f>
        <v>0</v>
      </c>
      <c r="M5045" s="3">
        <f ca="1">IF(AND(N5045&lt;&gt;N5044,ISNUMBER(SEARCH(Лист2!$B$6,N:N)),L5045=2),MAX($M$3:OFFSET(M5045,-1,0))+1,0)</f>
        <v>0</v>
      </c>
      <c r="N5045" s="3" t="s">
        <v>2925</v>
      </c>
    </row>
    <row r="5046" spans="1:14" x14ac:dyDescent="0.25">
      <c r="A5046" s="1" t="s">
        <v>13716</v>
      </c>
      <c r="B5046" s="3" t="s">
        <v>8670</v>
      </c>
      <c r="C5046" s="2">
        <f ca="1">IF(ISNUMBER(SEARCH(Лист2!$B$4,D:D)),MAX($C$3:OFFSET(C5046,-1,0))+1,0)</f>
        <v>0</v>
      </c>
      <c r="E5046" s="9" t="str">
        <f t="shared" ca="1" si="90"/>
        <v/>
      </c>
      <c r="F5046" s="4" t="s">
        <v>28</v>
      </c>
      <c r="G5046" s="2">
        <f>IF(ISNUMBER(SEARCH(Лист2!$B$4,F:F)),1,0)</f>
        <v>0</v>
      </c>
      <c r="H5046" s="3">
        <f ca="1">IF(AND(I5046&lt;&gt;I5045,ISNUMBER(SEARCH(Лист2!$B$5,I:I)),G5046=1),MAX($H$3:OFFSET(H5046,-1,0))+1,0)</f>
        <v>0</v>
      </c>
      <c r="I5046" s="3" t="s">
        <v>400</v>
      </c>
      <c r="K5046" s="2">
        <f>IF(ISNUMBER(SEARCH(Лист2!$B$4,F:F)),1,0)</f>
        <v>0</v>
      </c>
      <c r="L5046" s="14">
        <f>IF(ISNUMBER(SEARCH(Лист2!$B$5,I:I)),1,0)+K5046</f>
        <v>0</v>
      </c>
      <c r="M5046" s="3">
        <f ca="1">IF(AND(N5046&lt;&gt;N5045,ISNUMBER(SEARCH(Лист2!$B$6,N:N)),L5046=2),MAX($M$3:OFFSET(M5046,-1,0))+1,0)</f>
        <v>0</v>
      </c>
      <c r="N5046" s="3" t="s">
        <v>602</v>
      </c>
    </row>
    <row r="5047" spans="1:14" x14ac:dyDescent="0.25">
      <c r="A5047" s="1" t="s">
        <v>13717</v>
      </c>
      <c r="B5047" s="3" t="s">
        <v>8671</v>
      </c>
      <c r="C5047" s="2">
        <f ca="1">IF(ISNUMBER(SEARCH(Лист2!$B$4,D:D)),MAX($C$3:OFFSET(C5047,-1,0))+1,0)</f>
        <v>0</v>
      </c>
      <c r="E5047" s="9" t="str">
        <f t="shared" ca="1" si="90"/>
        <v/>
      </c>
      <c r="F5047" s="4" t="s">
        <v>28</v>
      </c>
      <c r="G5047" s="2">
        <f>IF(ISNUMBER(SEARCH(Лист2!$B$4,F:F)),1,0)</f>
        <v>0</v>
      </c>
      <c r="H5047" s="3">
        <f ca="1">IF(AND(I5047&lt;&gt;I5046,ISNUMBER(SEARCH(Лист2!$B$5,I:I)),G5047=1),MAX($H$3:OFFSET(H5047,-1,0))+1,0)</f>
        <v>0</v>
      </c>
      <c r="I5047" s="3" t="s">
        <v>400</v>
      </c>
      <c r="K5047" s="2">
        <f>IF(ISNUMBER(SEARCH(Лист2!$B$4,F:F)),1,0)</f>
        <v>0</v>
      </c>
      <c r="L5047" s="14">
        <f>IF(ISNUMBER(SEARCH(Лист2!$B$5,I:I)),1,0)+K5047</f>
        <v>0</v>
      </c>
      <c r="M5047" s="3">
        <f ca="1">IF(AND(N5047&lt;&gt;N5046,ISNUMBER(SEARCH(Лист2!$B$6,N:N)),L5047=2),MAX($M$3:OFFSET(M5047,-1,0))+1,0)</f>
        <v>0</v>
      </c>
      <c r="N5047" s="3" t="s">
        <v>3032</v>
      </c>
    </row>
    <row r="5048" spans="1:14" x14ac:dyDescent="0.25">
      <c r="A5048" s="1" t="s">
        <v>13718</v>
      </c>
      <c r="B5048" s="3" t="s">
        <v>8672</v>
      </c>
      <c r="C5048" s="2">
        <f ca="1">IF(ISNUMBER(SEARCH(Лист2!$B$4,D:D)),MAX($C$3:OFFSET(C5048,-1,0))+1,0)</f>
        <v>0</v>
      </c>
      <c r="E5048" s="9" t="str">
        <f t="shared" ca="1" si="90"/>
        <v/>
      </c>
      <c r="F5048" s="4" t="s">
        <v>28</v>
      </c>
      <c r="G5048" s="2">
        <f>IF(ISNUMBER(SEARCH(Лист2!$B$4,F:F)),1,0)</f>
        <v>0</v>
      </c>
      <c r="H5048" s="3">
        <f ca="1">IF(AND(I5048&lt;&gt;I5047,ISNUMBER(SEARCH(Лист2!$B$5,I:I)),G5048=1),MAX($H$3:OFFSET(H5048,-1,0))+1,0)</f>
        <v>0</v>
      </c>
      <c r="I5048" s="3" t="s">
        <v>400</v>
      </c>
      <c r="K5048" s="2">
        <f>IF(ISNUMBER(SEARCH(Лист2!$B$4,F:F)),1,0)</f>
        <v>0</v>
      </c>
      <c r="L5048" s="14">
        <f>IF(ISNUMBER(SEARCH(Лист2!$B$5,I:I)),1,0)+K5048</f>
        <v>0</v>
      </c>
      <c r="M5048" s="3">
        <f ca="1">IF(AND(N5048&lt;&gt;N5047,ISNUMBER(SEARCH(Лист2!$B$6,N:N)),L5048=2),MAX($M$3:OFFSET(M5048,-1,0))+1,0)</f>
        <v>0</v>
      </c>
      <c r="N5048" s="3" t="s">
        <v>3033</v>
      </c>
    </row>
    <row r="5049" spans="1:14" x14ac:dyDescent="0.25">
      <c r="A5049" s="1" t="s">
        <v>13719</v>
      </c>
      <c r="B5049" s="3" t="s">
        <v>8673</v>
      </c>
      <c r="C5049" s="2">
        <f ca="1">IF(ISNUMBER(SEARCH(Лист2!$B$4,D:D)),MAX($C$3:OFFSET(C5049,-1,0))+1,0)</f>
        <v>0</v>
      </c>
      <c r="E5049" s="9" t="str">
        <f t="shared" ca="1" si="90"/>
        <v/>
      </c>
      <c r="F5049" s="4" t="s">
        <v>28</v>
      </c>
      <c r="G5049" s="2">
        <f>IF(ISNUMBER(SEARCH(Лист2!$B$4,F:F)),1,0)</f>
        <v>0</v>
      </c>
      <c r="H5049" s="3">
        <f ca="1">IF(AND(I5049&lt;&gt;I5048,ISNUMBER(SEARCH(Лист2!$B$5,I:I)),G5049=1),MAX($H$3:OFFSET(H5049,-1,0))+1,0)</f>
        <v>0</v>
      </c>
      <c r="I5049" s="3" t="s">
        <v>400</v>
      </c>
      <c r="K5049" s="2">
        <f>IF(ISNUMBER(SEARCH(Лист2!$B$4,F:F)),1,0)</f>
        <v>0</v>
      </c>
      <c r="L5049" s="14">
        <f>IF(ISNUMBER(SEARCH(Лист2!$B$5,I:I)),1,0)+K5049</f>
        <v>0</v>
      </c>
      <c r="M5049" s="3">
        <f ca="1">IF(AND(N5049&lt;&gt;N5048,ISNUMBER(SEARCH(Лист2!$B$6,N:N)),L5049=2),MAX($M$3:OFFSET(M5049,-1,0))+1,0)</f>
        <v>0</v>
      </c>
      <c r="N5049" s="3" t="s">
        <v>2929</v>
      </c>
    </row>
    <row r="5050" spans="1:14" x14ac:dyDescent="0.25">
      <c r="A5050" s="1" t="s">
        <v>13720</v>
      </c>
      <c r="B5050" s="3" t="s">
        <v>8674</v>
      </c>
      <c r="C5050" s="2">
        <f ca="1">IF(ISNUMBER(SEARCH(Лист2!$B$4,D:D)),MAX($C$3:OFFSET(C5050,-1,0))+1,0)</f>
        <v>0</v>
      </c>
      <c r="E5050" s="9" t="str">
        <f t="shared" ca="1" si="90"/>
        <v/>
      </c>
      <c r="F5050" s="4" t="s">
        <v>28</v>
      </c>
      <c r="G5050" s="2">
        <f>IF(ISNUMBER(SEARCH(Лист2!$B$4,F:F)),1,0)</f>
        <v>0</v>
      </c>
      <c r="H5050" s="3">
        <f ca="1">IF(AND(I5050&lt;&gt;I5049,ISNUMBER(SEARCH(Лист2!$B$5,I:I)),G5050=1),MAX($H$3:OFFSET(H5050,-1,0))+1,0)</f>
        <v>0</v>
      </c>
      <c r="I5050" s="3" t="s">
        <v>401</v>
      </c>
      <c r="K5050" s="2">
        <f>IF(ISNUMBER(SEARCH(Лист2!$B$4,F:F)),1,0)</f>
        <v>0</v>
      </c>
      <c r="L5050" s="14">
        <f>IF(ISNUMBER(SEARCH(Лист2!$B$5,I:I)),1,0)+K5050</f>
        <v>0</v>
      </c>
      <c r="M5050" s="3">
        <f ca="1">IF(AND(N5050&lt;&gt;N5049,ISNUMBER(SEARCH(Лист2!$B$6,N:N)),L5050=2),MAX($M$3:OFFSET(M5050,-1,0))+1,0)</f>
        <v>0</v>
      </c>
      <c r="N5050" s="3" t="s">
        <v>3034</v>
      </c>
    </row>
    <row r="5051" spans="1:14" x14ac:dyDescent="0.25">
      <c r="A5051" s="1" t="s">
        <v>13721</v>
      </c>
      <c r="B5051" s="3" t="s">
        <v>8675</v>
      </c>
      <c r="C5051" s="2">
        <f ca="1">IF(ISNUMBER(SEARCH(Лист2!$B$4,D:D)),MAX($C$3:OFFSET(C5051,-1,0))+1,0)</f>
        <v>0</v>
      </c>
      <c r="E5051" s="9" t="str">
        <f t="shared" ca="1" si="90"/>
        <v/>
      </c>
      <c r="F5051" s="4" t="s">
        <v>28</v>
      </c>
      <c r="G5051" s="2">
        <f>IF(ISNUMBER(SEARCH(Лист2!$B$4,F:F)),1,0)</f>
        <v>0</v>
      </c>
      <c r="H5051" s="3">
        <f ca="1">IF(AND(I5051&lt;&gt;I5050,ISNUMBER(SEARCH(Лист2!$B$5,I:I)),G5051=1),MAX($H$3:OFFSET(H5051,-1,0))+1,0)</f>
        <v>0</v>
      </c>
      <c r="I5051" s="3" t="s">
        <v>401</v>
      </c>
      <c r="K5051" s="2">
        <f>IF(ISNUMBER(SEARCH(Лист2!$B$4,F:F)),1,0)</f>
        <v>0</v>
      </c>
      <c r="L5051" s="14">
        <f>IF(ISNUMBER(SEARCH(Лист2!$B$5,I:I)),1,0)+K5051</f>
        <v>0</v>
      </c>
      <c r="M5051" s="3">
        <f ca="1">IF(AND(N5051&lt;&gt;N5050,ISNUMBER(SEARCH(Лист2!$B$6,N:N)),L5051=2),MAX($M$3:OFFSET(M5051,-1,0))+1,0)</f>
        <v>0</v>
      </c>
      <c r="N5051" s="3" t="s">
        <v>3035</v>
      </c>
    </row>
    <row r="5052" spans="1:14" x14ac:dyDescent="0.25">
      <c r="A5052" s="1" t="s">
        <v>13722</v>
      </c>
      <c r="B5052" s="3" t="s">
        <v>8676</v>
      </c>
      <c r="C5052" s="2">
        <f ca="1">IF(ISNUMBER(SEARCH(Лист2!$B$4,D:D)),MAX($C$3:OFFSET(C5052,-1,0))+1,0)</f>
        <v>0</v>
      </c>
      <c r="E5052" s="9" t="str">
        <f t="shared" ca="1" si="90"/>
        <v/>
      </c>
      <c r="F5052" s="4" t="s">
        <v>28</v>
      </c>
      <c r="G5052" s="2">
        <f>IF(ISNUMBER(SEARCH(Лист2!$B$4,F:F)),1,0)</f>
        <v>0</v>
      </c>
      <c r="H5052" s="3">
        <f ca="1">IF(AND(I5052&lt;&gt;I5051,ISNUMBER(SEARCH(Лист2!$B$5,I:I)),G5052=1),MAX($H$3:OFFSET(H5052,-1,0))+1,0)</f>
        <v>0</v>
      </c>
      <c r="I5052" s="3" t="s">
        <v>401</v>
      </c>
      <c r="K5052" s="2">
        <f>IF(ISNUMBER(SEARCH(Лист2!$B$4,F:F)),1,0)</f>
        <v>0</v>
      </c>
      <c r="L5052" s="14">
        <f>IF(ISNUMBER(SEARCH(Лист2!$B$5,I:I)),1,0)+K5052</f>
        <v>0</v>
      </c>
      <c r="M5052" s="3">
        <f ca="1">IF(AND(N5052&lt;&gt;N5051,ISNUMBER(SEARCH(Лист2!$B$6,N:N)),L5052=2),MAX($M$3:OFFSET(M5052,-1,0))+1,0)</f>
        <v>0</v>
      </c>
      <c r="N5052" s="3" t="s">
        <v>3036</v>
      </c>
    </row>
    <row r="5053" spans="1:14" x14ac:dyDescent="0.25">
      <c r="A5053" s="1" t="s">
        <v>13723</v>
      </c>
      <c r="B5053" s="3" t="s">
        <v>8677</v>
      </c>
      <c r="C5053" s="2">
        <f ca="1">IF(ISNUMBER(SEARCH(Лист2!$B$4,D:D)),MAX($C$3:OFFSET(C5053,-1,0))+1,0)</f>
        <v>0</v>
      </c>
      <c r="E5053" s="9" t="str">
        <f t="shared" ca="1" si="90"/>
        <v/>
      </c>
      <c r="F5053" s="4" t="s">
        <v>28</v>
      </c>
      <c r="G5053" s="2">
        <f>IF(ISNUMBER(SEARCH(Лист2!$B$4,F:F)),1,0)</f>
        <v>0</v>
      </c>
      <c r="H5053" s="3">
        <f ca="1">IF(AND(I5053&lt;&gt;I5052,ISNUMBER(SEARCH(Лист2!$B$5,I:I)),G5053=1),MAX($H$3:OFFSET(H5053,-1,0))+1,0)</f>
        <v>0</v>
      </c>
      <c r="I5053" s="3" t="s">
        <v>401</v>
      </c>
      <c r="K5053" s="2">
        <f>IF(ISNUMBER(SEARCH(Лист2!$B$4,F:F)),1,0)</f>
        <v>0</v>
      </c>
      <c r="L5053" s="14">
        <f>IF(ISNUMBER(SEARCH(Лист2!$B$5,I:I)),1,0)+K5053</f>
        <v>0</v>
      </c>
      <c r="M5053" s="3">
        <f ca="1">IF(AND(N5053&lt;&gt;N5052,ISNUMBER(SEARCH(Лист2!$B$6,N:N)),L5053=2),MAX($M$3:OFFSET(M5053,-1,0))+1,0)</f>
        <v>0</v>
      </c>
      <c r="N5053" s="3" t="s">
        <v>3037</v>
      </c>
    </row>
    <row r="5054" spans="1:14" x14ac:dyDescent="0.25">
      <c r="A5054" s="1" t="s">
        <v>13723</v>
      </c>
      <c r="B5054" s="3" t="s">
        <v>8678</v>
      </c>
      <c r="C5054" s="2">
        <f ca="1">IF(ISNUMBER(SEARCH(Лист2!$B$4,D:D)),MAX($C$3:OFFSET(C5054,-1,0))+1,0)</f>
        <v>0</v>
      </c>
      <c r="E5054" s="9" t="str">
        <f t="shared" ca="1" si="90"/>
        <v/>
      </c>
      <c r="F5054" s="4" t="s">
        <v>28</v>
      </c>
      <c r="G5054" s="2">
        <f>IF(ISNUMBER(SEARCH(Лист2!$B$4,F:F)),1,0)</f>
        <v>0</v>
      </c>
      <c r="H5054" s="3">
        <f ca="1">IF(AND(I5054&lt;&gt;I5053,ISNUMBER(SEARCH(Лист2!$B$5,I:I)),G5054=1),MAX($H$3:OFFSET(H5054,-1,0))+1,0)</f>
        <v>0</v>
      </c>
      <c r="I5054" s="3" t="s">
        <v>401</v>
      </c>
      <c r="K5054" s="2">
        <f>IF(ISNUMBER(SEARCH(Лист2!$B$4,F:F)),1,0)</f>
        <v>0</v>
      </c>
      <c r="L5054" s="14">
        <f>IF(ISNUMBER(SEARCH(Лист2!$B$5,I:I)),1,0)+K5054</f>
        <v>0</v>
      </c>
      <c r="M5054" s="3">
        <f ca="1">IF(AND(N5054&lt;&gt;N5053,ISNUMBER(SEARCH(Лист2!$B$6,N:N)),L5054=2),MAX($M$3:OFFSET(M5054,-1,0))+1,0)</f>
        <v>0</v>
      </c>
      <c r="N5054" s="3" t="s">
        <v>3037</v>
      </c>
    </row>
    <row r="5055" spans="1:14" x14ac:dyDescent="0.25">
      <c r="A5055" s="1" t="s">
        <v>13723</v>
      </c>
      <c r="B5055" s="3" t="s">
        <v>8679</v>
      </c>
      <c r="C5055" s="2">
        <f ca="1">IF(ISNUMBER(SEARCH(Лист2!$B$4,D:D)),MAX($C$3:OFFSET(C5055,-1,0))+1,0)</f>
        <v>0</v>
      </c>
      <c r="E5055" s="9" t="str">
        <f t="shared" ca="1" si="90"/>
        <v/>
      </c>
      <c r="F5055" s="4" t="s">
        <v>28</v>
      </c>
      <c r="G5055" s="2">
        <f>IF(ISNUMBER(SEARCH(Лист2!$B$4,F:F)),1,0)</f>
        <v>0</v>
      </c>
      <c r="H5055" s="3">
        <f ca="1">IF(AND(I5055&lt;&gt;I5054,ISNUMBER(SEARCH(Лист2!$B$5,I:I)),G5055=1),MAX($H$3:OFFSET(H5055,-1,0))+1,0)</f>
        <v>0</v>
      </c>
      <c r="I5055" s="3" t="s">
        <v>401</v>
      </c>
      <c r="K5055" s="2">
        <f>IF(ISNUMBER(SEARCH(Лист2!$B$4,F:F)),1,0)</f>
        <v>0</v>
      </c>
      <c r="L5055" s="14">
        <f>IF(ISNUMBER(SEARCH(Лист2!$B$5,I:I)),1,0)+K5055</f>
        <v>0</v>
      </c>
      <c r="M5055" s="3">
        <f ca="1">IF(AND(N5055&lt;&gt;N5054,ISNUMBER(SEARCH(Лист2!$B$6,N:N)),L5055=2),MAX($M$3:OFFSET(M5055,-1,0))+1,0)</f>
        <v>0</v>
      </c>
      <c r="N5055" s="3" t="s">
        <v>3037</v>
      </c>
    </row>
    <row r="5056" spans="1:14" x14ac:dyDescent="0.25">
      <c r="A5056" s="1" t="s">
        <v>13724</v>
      </c>
      <c r="B5056" s="3" t="s">
        <v>8680</v>
      </c>
      <c r="C5056" s="2">
        <f ca="1">IF(ISNUMBER(SEARCH(Лист2!$B$4,D:D)),MAX($C$3:OFFSET(C5056,-1,0))+1,0)</f>
        <v>0</v>
      </c>
      <c r="E5056" s="9" t="str">
        <f t="shared" ca="1" si="90"/>
        <v/>
      </c>
      <c r="F5056" s="4" t="s">
        <v>28</v>
      </c>
      <c r="G5056" s="2">
        <f>IF(ISNUMBER(SEARCH(Лист2!$B$4,F:F)),1,0)</f>
        <v>0</v>
      </c>
      <c r="H5056" s="3">
        <f ca="1">IF(AND(I5056&lt;&gt;I5055,ISNUMBER(SEARCH(Лист2!$B$5,I:I)),G5056=1),MAX($H$3:OFFSET(H5056,-1,0))+1,0)</f>
        <v>0</v>
      </c>
      <c r="I5056" s="3" t="s">
        <v>401</v>
      </c>
      <c r="K5056" s="2">
        <f>IF(ISNUMBER(SEARCH(Лист2!$B$4,F:F)),1,0)</f>
        <v>0</v>
      </c>
      <c r="L5056" s="14">
        <f>IF(ISNUMBER(SEARCH(Лист2!$B$5,I:I)),1,0)+K5056</f>
        <v>0</v>
      </c>
      <c r="M5056" s="3">
        <f ca="1">IF(AND(N5056&lt;&gt;N5055,ISNUMBER(SEARCH(Лист2!$B$6,N:N)),L5056=2),MAX($M$3:OFFSET(M5056,-1,0))+1,0)</f>
        <v>0</v>
      </c>
      <c r="N5056" s="3" t="s">
        <v>2979</v>
      </c>
    </row>
    <row r="5057" spans="1:14" x14ac:dyDescent="0.25">
      <c r="A5057" s="1" t="s">
        <v>13725</v>
      </c>
      <c r="B5057" s="3" t="s">
        <v>8681</v>
      </c>
      <c r="C5057" s="2">
        <f ca="1">IF(ISNUMBER(SEARCH(Лист2!$B$4,D:D)),MAX($C$3:OFFSET(C5057,-1,0))+1,0)</f>
        <v>0</v>
      </c>
      <c r="E5057" s="9" t="str">
        <f t="shared" ca="1" si="90"/>
        <v/>
      </c>
      <c r="F5057" s="4" t="s">
        <v>28</v>
      </c>
      <c r="G5057" s="2">
        <f>IF(ISNUMBER(SEARCH(Лист2!$B$4,F:F)),1,0)</f>
        <v>0</v>
      </c>
      <c r="H5057" s="3">
        <f ca="1">IF(AND(I5057&lt;&gt;I5056,ISNUMBER(SEARCH(Лист2!$B$5,I:I)),G5057=1),MAX($H$3:OFFSET(H5057,-1,0))+1,0)</f>
        <v>0</v>
      </c>
      <c r="I5057" s="3" t="s">
        <v>401</v>
      </c>
      <c r="K5057" s="2">
        <f>IF(ISNUMBER(SEARCH(Лист2!$B$4,F:F)),1,0)</f>
        <v>0</v>
      </c>
      <c r="L5057" s="14">
        <f>IF(ISNUMBER(SEARCH(Лист2!$B$5,I:I)),1,0)+K5057</f>
        <v>0</v>
      </c>
      <c r="M5057" s="3">
        <f ca="1">IF(AND(N5057&lt;&gt;N5056,ISNUMBER(SEARCH(Лист2!$B$6,N:N)),L5057=2),MAX($M$3:OFFSET(M5057,-1,0))+1,0)</f>
        <v>0</v>
      </c>
      <c r="N5057" s="3" t="s">
        <v>2925</v>
      </c>
    </row>
    <row r="5058" spans="1:14" x14ac:dyDescent="0.25">
      <c r="A5058" s="1" t="s">
        <v>13726</v>
      </c>
      <c r="B5058" s="3" t="s">
        <v>8682</v>
      </c>
      <c r="C5058" s="2">
        <f ca="1">IF(ISNUMBER(SEARCH(Лист2!$B$4,D:D)),MAX($C$3:OFFSET(C5058,-1,0))+1,0)</f>
        <v>0</v>
      </c>
      <c r="E5058" s="9" t="str">
        <f t="shared" ca="1" si="90"/>
        <v/>
      </c>
      <c r="F5058" s="4" t="s">
        <v>28</v>
      </c>
      <c r="G5058" s="2">
        <f>IF(ISNUMBER(SEARCH(Лист2!$B$4,F:F)),1,0)</f>
        <v>0</v>
      </c>
      <c r="H5058" s="3">
        <f ca="1">IF(AND(I5058&lt;&gt;I5057,ISNUMBER(SEARCH(Лист2!$B$5,I:I)),G5058=1),MAX($H$3:OFFSET(H5058,-1,0))+1,0)</f>
        <v>0</v>
      </c>
      <c r="I5058" s="3" t="s">
        <v>401</v>
      </c>
      <c r="K5058" s="2">
        <f>IF(ISNUMBER(SEARCH(Лист2!$B$4,F:F)),1,0)</f>
        <v>0</v>
      </c>
      <c r="L5058" s="14">
        <f>IF(ISNUMBER(SEARCH(Лист2!$B$5,I:I)),1,0)+K5058</f>
        <v>0</v>
      </c>
      <c r="M5058" s="3">
        <f ca="1">IF(AND(N5058&lt;&gt;N5057,ISNUMBER(SEARCH(Лист2!$B$6,N:N)),L5058=2),MAX($M$3:OFFSET(M5058,-1,0))+1,0)</f>
        <v>0</v>
      </c>
      <c r="N5058" s="3" t="s">
        <v>2923</v>
      </c>
    </row>
    <row r="5059" spans="1:14" x14ac:dyDescent="0.25">
      <c r="A5059" s="1" t="s">
        <v>13727</v>
      </c>
      <c r="B5059" s="3" t="s">
        <v>8683</v>
      </c>
      <c r="C5059" s="2">
        <f ca="1">IF(ISNUMBER(SEARCH(Лист2!$B$4,D:D)),MAX($C$3:OFFSET(C5059,-1,0))+1,0)</f>
        <v>0</v>
      </c>
      <c r="E5059" s="9" t="str">
        <f t="shared" ca="1" si="90"/>
        <v/>
      </c>
      <c r="F5059" s="4" t="s">
        <v>28</v>
      </c>
      <c r="G5059" s="2">
        <f>IF(ISNUMBER(SEARCH(Лист2!$B$4,F:F)),1,0)</f>
        <v>0</v>
      </c>
      <c r="H5059" s="3">
        <f ca="1">IF(AND(I5059&lt;&gt;I5058,ISNUMBER(SEARCH(Лист2!$B$5,I:I)),G5059=1),MAX($H$3:OFFSET(H5059,-1,0))+1,0)</f>
        <v>0</v>
      </c>
      <c r="I5059" s="3" t="s">
        <v>401</v>
      </c>
      <c r="K5059" s="2">
        <f>IF(ISNUMBER(SEARCH(Лист2!$B$4,F:F)),1,0)</f>
        <v>0</v>
      </c>
      <c r="L5059" s="14">
        <f>IF(ISNUMBER(SEARCH(Лист2!$B$5,I:I)),1,0)+K5059</f>
        <v>0</v>
      </c>
      <c r="M5059" s="3">
        <f ca="1">IF(AND(N5059&lt;&gt;N5058,ISNUMBER(SEARCH(Лист2!$B$6,N:N)),L5059=2),MAX($M$3:OFFSET(M5059,-1,0))+1,0)</f>
        <v>0</v>
      </c>
      <c r="N5059" s="3" t="s">
        <v>602</v>
      </c>
    </row>
    <row r="5060" spans="1:14" x14ac:dyDescent="0.25">
      <c r="A5060" s="1" t="s">
        <v>13728</v>
      </c>
      <c r="B5060" s="3" t="s">
        <v>8684</v>
      </c>
      <c r="C5060" s="2">
        <f ca="1">IF(ISNUMBER(SEARCH(Лист2!$B$4,D:D)),MAX($C$3:OFFSET(C5060,-1,0))+1,0)</f>
        <v>0</v>
      </c>
      <c r="E5060" s="9" t="str">
        <f t="shared" ca="1" si="90"/>
        <v/>
      </c>
      <c r="F5060" s="4" t="s">
        <v>28</v>
      </c>
      <c r="G5060" s="2">
        <f>IF(ISNUMBER(SEARCH(Лист2!$B$4,F:F)),1,0)</f>
        <v>0</v>
      </c>
      <c r="H5060" s="3">
        <f ca="1">IF(AND(I5060&lt;&gt;I5059,ISNUMBER(SEARCH(Лист2!$B$5,I:I)),G5060=1),MAX($H$3:OFFSET(H5060,-1,0))+1,0)</f>
        <v>0</v>
      </c>
      <c r="I5060" s="3" t="s">
        <v>401</v>
      </c>
      <c r="K5060" s="2">
        <f>IF(ISNUMBER(SEARCH(Лист2!$B$4,F:F)),1,0)</f>
        <v>0</v>
      </c>
      <c r="L5060" s="14">
        <f>IF(ISNUMBER(SEARCH(Лист2!$B$5,I:I)),1,0)+K5060</f>
        <v>0</v>
      </c>
      <c r="M5060" s="3">
        <f ca="1">IF(AND(N5060&lt;&gt;N5059,ISNUMBER(SEARCH(Лист2!$B$6,N:N)),L5060=2),MAX($M$3:OFFSET(M5060,-1,0))+1,0)</f>
        <v>0</v>
      </c>
      <c r="N5060" s="3" t="s">
        <v>3038</v>
      </c>
    </row>
    <row r="5061" spans="1:14" x14ac:dyDescent="0.25">
      <c r="A5061" s="1" t="s">
        <v>13729</v>
      </c>
      <c r="B5061" s="3" t="s">
        <v>8685</v>
      </c>
      <c r="C5061" s="2">
        <f ca="1">IF(ISNUMBER(SEARCH(Лист2!$B$4,D:D)),MAX($C$3:OFFSET(C5061,-1,0))+1,0)</f>
        <v>0</v>
      </c>
      <c r="E5061" s="9" t="str">
        <f t="shared" ref="E5061:E5124" ca="1" si="91">IFERROR(INDEX(D:D,MATCH(ROW(E5061)-ROW($E$3),C:C,0)),"")</f>
        <v/>
      </c>
      <c r="F5061" s="4" t="s">
        <v>28</v>
      </c>
      <c r="G5061" s="2">
        <f>IF(ISNUMBER(SEARCH(Лист2!$B$4,F:F)),1,0)</f>
        <v>0</v>
      </c>
      <c r="H5061" s="3">
        <f ca="1">IF(AND(I5061&lt;&gt;I5060,ISNUMBER(SEARCH(Лист2!$B$5,I:I)),G5061=1),MAX($H$3:OFFSET(H5061,-1,0))+1,0)</f>
        <v>0</v>
      </c>
      <c r="I5061" s="3" t="s">
        <v>401</v>
      </c>
      <c r="K5061" s="2">
        <f>IF(ISNUMBER(SEARCH(Лист2!$B$4,F:F)),1,0)</f>
        <v>0</v>
      </c>
      <c r="L5061" s="14">
        <f>IF(ISNUMBER(SEARCH(Лист2!$B$5,I:I)),1,0)+K5061</f>
        <v>0</v>
      </c>
      <c r="M5061" s="3">
        <f ca="1">IF(AND(N5061&lt;&gt;N5060,ISNUMBER(SEARCH(Лист2!$B$6,N:N)),L5061=2),MAX($M$3:OFFSET(M5061,-1,0))+1,0)</f>
        <v>0</v>
      </c>
      <c r="N5061" s="3" t="s">
        <v>3039</v>
      </c>
    </row>
    <row r="5062" spans="1:14" x14ac:dyDescent="0.25">
      <c r="A5062" s="1" t="s">
        <v>13730</v>
      </c>
      <c r="B5062" s="3" t="s">
        <v>8686</v>
      </c>
      <c r="C5062" s="2">
        <f ca="1">IF(ISNUMBER(SEARCH(Лист2!$B$4,D:D)),MAX($C$3:OFFSET(C5062,-1,0))+1,0)</f>
        <v>0</v>
      </c>
      <c r="E5062" s="9" t="str">
        <f t="shared" ca="1" si="91"/>
        <v/>
      </c>
      <c r="F5062" s="4" t="s">
        <v>28</v>
      </c>
      <c r="G5062" s="2">
        <f>IF(ISNUMBER(SEARCH(Лист2!$B$4,F:F)),1,0)</f>
        <v>0</v>
      </c>
      <c r="H5062" s="3">
        <f ca="1">IF(AND(I5062&lt;&gt;I5061,ISNUMBER(SEARCH(Лист2!$B$5,I:I)),G5062=1),MAX($H$3:OFFSET(H5062,-1,0))+1,0)</f>
        <v>0</v>
      </c>
      <c r="I5062" s="3" t="s">
        <v>401</v>
      </c>
      <c r="K5062" s="2">
        <f>IF(ISNUMBER(SEARCH(Лист2!$B$4,F:F)),1,0)</f>
        <v>0</v>
      </c>
      <c r="L5062" s="14">
        <f>IF(ISNUMBER(SEARCH(Лист2!$B$5,I:I)),1,0)+K5062</f>
        <v>0</v>
      </c>
      <c r="M5062" s="3">
        <f ca="1">IF(AND(N5062&lt;&gt;N5061,ISNUMBER(SEARCH(Лист2!$B$6,N:N)),L5062=2),MAX($M$3:OFFSET(M5062,-1,0))+1,0)</f>
        <v>0</v>
      </c>
      <c r="N5062" s="3" t="s">
        <v>2929</v>
      </c>
    </row>
    <row r="5063" spans="1:14" x14ac:dyDescent="0.25">
      <c r="A5063" s="1" t="s">
        <v>13731</v>
      </c>
      <c r="B5063" s="3" t="s">
        <v>8687</v>
      </c>
      <c r="C5063" s="2">
        <f ca="1">IF(ISNUMBER(SEARCH(Лист2!$B$4,D:D)),MAX($C$3:OFFSET(C5063,-1,0))+1,0)</f>
        <v>0</v>
      </c>
      <c r="E5063" s="9" t="str">
        <f t="shared" ca="1" si="91"/>
        <v/>
      </c>
      <c r="F5063" s="4" t="s">
        <v>28</v>
      </c>
      <c r="G5063" s="2">
        <f>IF(ISNUMBER(SEARCH(Лист2!$B$4,F:F)),1,0)</f>
        <v>0</v>
      </c>
      <c r="H5063" s="3">
        <f ca="1">IF(AND(I5063&lt;&gt;I5062,ISNUMBER(SEARCH(Лист2!$B$5,I:I)),G5063=1),MAX($H$3:OFFSET(H5063,-1,0))+1,0)</f>
        <v>0</v>
      </c>
      <c r="I5063" s="3" t="s">
        <v>401</v>
      </c>
      <c r="K5063" s="2">
        <f>IF(ISNUMBER(SEARCH(Лист2!$B$4,F:F)),1,0)</f>
        <v>0</v>
      </c>
      <c r="L5063" s="14">
        <f>IF(ISNUMBER(SEARCH(Лист2!$B$5,I:I)),1,0)+K5063</f>
        <v>0</v>
      </c>
      <c r="M5063" s="3">
        <f ca="1">IF(AND(N5063&lt;&gt;N5062,ISNUMBER(SEARCH(Лист2!$B$6,N:N)),L5063=2),MAX($M$3:OFFSET(M5063,-1,0))+1,0)</f>
        <v>0</v>
      </c>
      <c r="N5063" s="3" t="s">
        <v>3040</v>
      </c>
    </row>
    <row r="5064" spans="1:14" x14ac:dyDescent="0.25">
      <c r="A5064" s="1" t="s">
        <v>13732</v>
      </c>
      <c r="B5064" s="3" t="s">
        <v>8688</v>
      </c>
      <c r="C5064" s="2">
        <f ca="1">IF(ISNUMBER(SEARCH(Лист2!$B$4,D:D)),MAX($C$3:OFFSET(C5064,-1,0))+1,0)</f>
        <v>0</v>
      </c>
      <c r="E5064" s="9" t="str">
        <f t="shared" ca="1" si="91"/>
        <v/>
      </c>
      <c r="F5064" s="4" t="s">
        <v>28</v>
      </c>
      <c r="G5064" s="2">
        <f>IF(ISNUMBER(SEARCH(Лист2!$B$4,F:F)),1,0)</f>
        <v>0</v>
      </c>
      <c r="H5064" s="3">
        <f ca="1">IF(AND(I5064&lt;&gt;I5063,ISNUMBER(SEARCH(Лист2!$B$5,I:I)),G5064=1),MAX($H$3:OFFSET(H5064,-1,0))+1,0)</f>
        <v>0</v>
      </c>
      <c r="I5064" s="3" t="s">
        <v>401</v>
      </c>
      <c r="K5064" s="2">
        <f>IF(ISNUMBER(SEARCH(Лист2!$B$4,F:F)),1,0)</f>
        <v>0</v>
      </c>
      <c r="L5064" s="14">
        <f>IF(ISNUMBER(SEARCH(Лист2!$B$5,I:I)),1,0)+K5064</f>
        <v>0</v>
      </c>
      <c r="M5064" s="3">
        <f ca="1">IF(AND(N5064&lt;&gt;N5063,ISNUMBER(SEARCH(Лист2!$B$6,N:N)),L5064=2),MAX($M$3:OFFSET(M5064,-1,0))+1,0)</f>
        <v>0</v>
      </c>
      <c r="N5064" s="3" t="s">
        <v>3041</v>
      </c>
    </row>
    <row r="5065" spans="1:14" x14ac:dyDescent="0.25">
      <c r="A5065" s="1" t="s">
        <v>13732</v>
      </c>
      <c r="B5065" s="3" t="s">
        <v>8689</v>
      </c>
      <c r="C5065" s="2">
        <f ca="1">IF(ISNUMBER(SEARCH(Лист2!$B$4,D:D)),MAX($C$3:OFFSET(C5065,-1,0))+1,0)</f>
        <v>0</v>
      </c>
      <c r="E5065" s="9" t="str">
        <f t="shared" ca="1" si="91"/>
        <v/>
      </c>
      <c r="F5065" s="4" t="s">
        <v>28</v>
      </c>
      <c r="G5065" s="2">
        <f>IF(ISNUMBER(SEARCH(Лист2!$B$4,F:F)),1,0)</f>
        <v>0</v>
      </c>
      <c r="H5065" s="3">
        <f ca="1">IF(AND(I5065&lt;&gt;I5064,ISNUMBER(SEARCH(Лист2!$B$5,I:I)),G5065=1),MAX($H$3:OFFSET(H5065,-1,0))+1,0)</f>
        <v>0</v>
      </c>
      <c r="I5065" s="3" t="s">
        <v>401</v>
      </c>
      <c r="K5065" s="2">
        <f>IF(ISNUMBER(SEARCH(Лист2!$B$4,F:F)),1,0)</f>
        <v>0</v>
      </c>
      <c r="L5065" s="14">
        <f>IF(ISNUMBER(SEARCH(Лист2!$B$5,I:I)),1,0)+K5065</f>
        <v>0</v>
      </c>
      <c r="M5065" s="3">
        <f ca="1">IF(AND(N5065&lt;&gt;N5064,ISNUMBER(SEARCH(Лист2!$B$6,N:N)),L5065=2),MAX($M$3:OFFSET(M5065,-1,0))+1,0)</f>
        <v>0</v>
      </c>
      <c r="N5065" s="3" t="s">
        <v>3041</v>
      </c>
    </row>
    <row r="5066" spans="1:14" x14ac:dyDescent="0.25">
      <c r="A5066" s="1" t="s">
        <v>13732</v>
      </c>
      <c r="B5066" s="3" t="s">
        <v>8690</v>
      </c>
      <c r="C5066" s="2">
        <f ca="1">IF(ISNUMBER(SEARCH(Лист2!$B$4,D:D)),MAX($C$3:OFFSET(C5066,-1,0))+1,0)</f>
        <v>0</v>
      </c>
      <c r="E5066" s="9" t="str">
        <f t="shared" ca="1" si="91"/>
        <v/>
      </c>
      <c r="F5066" s="4" t="s">
        <v>28</v>
      </c>
      <c r="G5066" s="2">
        <f>IF(ISNUMBER(SEARCH(Лист2!$B$4,F:F)),1,0)</f>
        <v>0</v>
      </c>
      <c r="H5066" s="3">
        <f ca="1">IF(AND(I5066&lt;&gt;I5065,ISNUMBER(SEARCH(Лист2!$B$5,I:I)),G5066=1),MAX($H$3:OFFSET(H5066,-1,0))+1,0)</f>
        <v>0</v>
      </c>
      <c r="I5066" s="3" t="s">
        <v>401</v>
      </c>
      <c r="K5066" s="2">
        <f>IF(ISNUMBER(SEARCH(Лист2!$B$4,F:F)),1,0)</f>
        <v>0</v>
      </c>
      <c r="L5066" s="14">
        <f>IF(ISNUMBER(SEARCH(Лист2!$B$5,I:I)),1,0)+K5066</f>
        <v>0</v>
      </c>
      <c r="M5066" s="3">
        <f ca="1">IF(AND(N5066&lt;&gt;N5065,ISNUMBER(SEARCH(Лист2!$B$6,N:N)),L5066=2),MAX($M$3:OFFSET(M5066,-1,0))+1,0)</f>
        <v>0</v>
      </c>
      <c r="N5066" s="3" t="s">
        <v>3041</v>
      </c>
    </row>
    <row r="5067" spans="1:14" x14ac:dyDescent="0.25">
      <c r="A5067" s="1" t="s">
        <v>13733</v>
      </c>
      <c r="B5067" s="3" t="s">
        <v>8691</v>
      </c>
      <c r="C5067" s="2">
        <f ca="1">IF(ISNUMBER(SEARCH(Лист2!$B$4,D:D)),MAX($C$3:OFFSET(C5067,-1,0))+1,0)</f>
        <v>0</v>
      </c>
      <c r="E5067" s="9" t="str">
        <f t="shared" ca="1" si="91"/>
        <v/>
      </c>
      <c r="F5067" s="4" t="s">
        <v>28</v>
      </c>
      <c r="G5067" s="2">
        <f>IF(ISNUMBER(SEARCH(Лист2!$B$4,F:F)),1,0)</f>
        <v>0</v>
      </c>
      <c r="H5067" s="3">
        <f ca="1">IF(AND(I5067&lt;&gt;I5066,ISNUMBER(SEARCH(Лист2!$B$5,I:I)),G5067=1),MAX($H$3:OFFSET(H5067,-1,0))+1,0)</f>
        <v>0</v>
      </c>
      <c r="I5067" s="3" t="s">
        <v>401</v>
      </c>
      <c r="K5067" s="2">
        <f>IF(ISNUMBER(SEARCH(Лист2!$B$4,F:F)),1,0)</f>
        <v>0</v>
      </c>
      <c r="L5067" s="14">
        <f>IF(ISNUMBER(SEARCH(Лист2!$B$5,I:I)),1,0)+K5067</f>
        <v>0</v>
      </c>
      <c r="M5067" s="3">
        <f ca="1">IF(AND(N5067&lt;&gt;N5066,ISNUMBER(SEARCH(Лист2!$B$6,N:N)),L5067=2),MAX($M$3:OFFSET(M5067,-1,0))+1,0)</f>
        <v>0</v>
      </c>
      <c r="N5067" s="3" t="s">
        <v>3042</v>
      </c>
    </row>
    <row r="5068" spans="1:14" x14ac:dyDescent="0.25">
      <c r="A5068" s="1" t="s">
        <v>13733</v>
      </c>
      <c r="B5068" s="3" t="s">
        <v>8692</v>
      </c>
      <c r="C5068" s="2">
        <f ca="1">IF(ISNUMBER(SEARCH(Лист2!$B$4,D:D)),MAX($C$3:OFFSET(C5068,-1,0))+1,0)</f>
        <v>0</v>
      </c>
      <c r="E5068" s="9" t="str">
        <f t="shared" ca="1" si="91"/>
        <v/>
      </c>
      <c r="F5068" s="4" t="s">
        <v>28</v>
      </c>
      <c r="G5068" s="2">
        <f>IF(ISNUMBER(SEARCH(Лист2!$B$4,F:F)),1,0)</f>
        <v>0</v>
      </c>
      <c r="H5068" s="3">
        <f ca="1">IF(AND(I5068&lt;&gt;I5067,ISNUMBER(SEARCH(Лист2!$B$5,I:I)),G5068=1),MAX($H$3:OFFSET(H5068,-1,0))+1,0)</f>
        <v>0</v>
      </c>
      <c r="I5068" s="3" t="s">
        <v>401</v>
      </c>
      <c r="K5068" s="2">
        <f>IF(ISNUMBER(SEARCH(Лист2!$B$4,F:F)),1,0)</f>
        <v>0</v>
      </c>
      <c r="L5068" s="14">
        <f>IF(ISNUMBER(SEARCH(Лист2!$B$5,I:I)),1,0)+K5068</f>
        <v>0</v>
      </c>
      <c r="M5068" s="3">
        <f ca="1">IF(AND(N5068&lt;&gt;N5067,ISNUMBER(SEARCH(Лист2!$B$6,N:N)),L5068=2),MAX($M$3:OFFSET(M5068,-1,0))+1,0)</f>
        <v>0</v>
      </c>
      <c r="N5068" s="3" t="s">
        <v>3042</v>
      </c>
    </row>
    <row r="5069" spans="1:14" x14ac:dyDescent="0.25">
      <c r="A5069" s="1" t="s">
        <v>13734</v>
      </c>
      <c r="B5069" s="3" t="s">
        <v>8693</v>
      </c>
      <c r="C5069" s="2">
        <f ca="1">IF(ISNUMBER(SEARCH(Лист2!$B$4,D:D)),MAX($C$3:OFFSET(C5069,-1,0))+1,0)</f>
        <v>0</v>
      </c>
      <c r="E5069" s="9" t="str">
        <f t="shared" ca="1" si="91"/>
        <v/>
      </c>
      <c r="F5069" s="4" t="s">
        <v>28</v>
      </c>
      <c r="G5069" s="2">
        <f>IF(ISNUMBER(SEARCH(Лист2!$B$4,F:F)),1,0)</f>
        <v>0</v>
      </c>
      <c r="H5069" s="3">
        <f ca="1">IF(AND(I5069&lt;&gt;I5068,ISNUMBER(SEARCH(Лист2!$B$5,I:I)),G5069=1),MAX($H$3:OFFSET(H5069,-1,0))+1,0)</f>
        <v>0</v>
      </c>
      <c r="I5069" s="3" t="s">
        <v>401</v>
      </c>
      <c r="K5069" s="2">
        <f>IF(ISNUMBER(SEARCH(Лист2!$B$4,F:F)),1,0)</f>
        <v>0</v>
      </c>
      <c r="L5069" s="14">
        <f>IF(ISNUMBER(SEARCH(Лист2!$B$5,I:I)),1,0)+K5069</f>
        <v>0</v>
      </c>
      <c r="M5069" s="3">
        <f ca="1">IF(AND(N5069&lt;&gt;N5068,ISNUMBER(SEARCH(Лист2!$B$6,N:N)),L5069=2),MAX($M$3:OFFSET(M5069,-1,0))+1,0)</f>
        <v>0</v>
      </c>
      <c r="N5069" s="3" t="s">
        <v>3043</v>
      </c>
    </row>
    <row r="5070" spans="1:14" x14ac:dyDescent="0.25">
      <c r="A5070" s="1" t="s">
        <v>13735</v>
      </c>
      <c r="B5070" s="3" t="s">
        <v>8694</v>
      </c>
      <c r="C5070" s="2">
        <f ca="1">IF(ISNUMBER(SEARCH(Лист2!$B$4,D:D)),MAX($C$3:OFFSET(C5070,-1,0))+1,0)</f>
        <v>0</v>
      </c>
      <c r="E5070" s="9" t="str">
        <f t="shared" ca="1" si="91"/>
        <v/>
      </c>
      <c r="F5070" s="4" t="s">
        <v>28</v>
      </c>
      <c r="G5070" s="2">
        <f>IF(ISNUMBER(SEARCH(Лист2!$B$4,F:F)),1,0)</f>
        <v>0</v>
      </c>
      <c r="H5070" s="3">
        <f ca="1">IF(AND(I5070&lt;&gt;I5069,ISNUMBER(SEARCH(Лист2!$B$5,I:I)),G5070=1),MAX($H$3:OFFSET(H5070,-1,0))+1,0)</f>
        <v>0</v>
      </c>
      <c r="I5070" s="3" t="s">
        <v>401</v>
      </c>
      <c r="K5070" s="2">
        <f>IF(ISNUMBER(SEARCH(Лист2!$B$4,F:F)),1,0)</f>
        <v>0</v>
      </c>
      <c r="L5070" s="14">
        <f>IF(ISNUMBER(SEARCH(Лист2!$B$5,I:I)),1,0)+K5070</f>
        <v>0</v>
      </c>
      <c r="M5070" s="3">
        <f ca="1">IF(AND(N5070&lt;&gt;N5069,ISNUMBER(SEARCH(Лист2!$B$6,N:N)),L5070=2),MAX($M$3:OFFSET(M5070,-1,0))+1,0)</f>
        <v>0</v>
      </c>
      <c r="N5070" s="3" t="s">
        <v>3044</v>
      </c>
    </row>
    <row r="5071" spans="1:14" x14ac:dyDescent="0.25">
      <c r="A5071" s="1" t="s">
        <v>13736</v>
      </c>
      <c r="B5071" s="3" t="s">
        <v>8695</v>
      </c>
      <c r="C5071" s="2">
        <f ca="1">IF(ISNUMBER(SEARCH(Лист2!$B$4,D:D)),MAX($C$3:OFFSET(C5071,-1,0))+1,0)</f>
        <v>0</v>
      </c>
      <c r="E5071" s="9" t="str">
        <f t="shared" ca="1" si="91"/>
        <v/>
      </c>
      <c r="F5071" s="4" t="s">
        <v>28</v>
      </c>
      <c r="G5071" s="2">
        <f>IF(ISNUMBER(SEARCH(Лист2!$B$4,F:F)),1,0)</f>
        <v>0</v>
      </c>
      <c r="H5071" s="3">
        <f ca="1">IF(AND(I5071&lt;&gt;I5070,ISNUMBER(SEARCH(Лист2!$B$5,I:I)),G5071=1),MAX($H$3:OFFSET(H5071,-1,0))+1,0)</f>
        <v>0</v>
      </c>
      <c r="I5071" s="3" t="s">
        <v>401</v>
      </c>
      <c r="K5071" s="2">
        <f>IF(ISNUMBER(SEARCH(Лист2!$B$4,F:F)),1,0)</f>
        <v>0</v>
      </c>
      <c r="L5071" s="14">
        <f>IF(ISNUMBER(SEARCH(Лист2!$B$5,I:I)),1,0)+K5071</f>
        <v>0</v>
      </c>
      <c r="M5071" s="3">
        <f ca="1">IF(AND(N5071&lt;&gt;N5070,ISNUMBER(SEARCH(Лист2!$B$6,N:N)),L5071=2),MAX($M$3:OFFSET(M5071,-1,0))+1,0)</f>
        <v>0</v>
      </c>
      <c r="N5071" s="3" t="s">
        <v>3045</v>
      </c>
    </row>
    <row r="5072" spans="1:14" x14ac:dyDescent="0.25">
      <c r="A5072" s="1" t="s">
        <v>13737</v>
      </c>
      <c r="B5072" s="3" t="s">
        <v>8696</v>
      </c>
      <c r="C5072" s="2">
        <f ca="1">IF(ISNUMBER(SEARCH(Лист2!$B$4,D:D)),MAX($C$3:OFFSET(C5072,-1,0))+1,0)</f>
        <v>0</v>
      </c>
      <c r="E5072" s="9" t="str">
        <f t="shared" ca="1" si="91"/>
        <v/>
      </c>
      <c r="F5072" s="4" t="s">
        <v>28</v>
      </c>
      <c r="G5072" s="2">
        <f>IF(ISNUMBER(SEARCH(Лист2!$B$4,F:F)),1,0)</f>
        <v>0</v>
      </c>
      <c r="H5072" s="3">
        <f ca="1">IF(AND(I5072&lt;&gt;I5071,ISNUMBER(SEARCH(Лист2!$B$5,I:I)),G5072=1),MAX($H$3:OFFSET(H5072,-1,0))+1,0)</f>
        <v>0</v>
      </c>
      <c r="I5072" s="3" t="s">
        <v>401</v>
      </c>
      <c r="K5072" s="2">
        <f>IF(ISNUMBER(SEARCH(Лист2!$B$4,F:F)),1,0)</f>
        <v>0</v>
      </c>
      <c r="L5072" s="14">
        <f>IF(ISNUMBER(SEARCH(Лист2!$B$5,I:I)),1,0)+K5072</f>
        <v>0</v>
      </c>
      <c r="M5072" s="3">
        <f ca="1">IF(AND(N5072&lt;&gt;N5071,ISNUMBER(SEARCH(Лист2!$B$6,N:N)),L5072=2),MAX($M$3:OFFSET(M5072,-1,0))+1,0)</f>
        <v>0</v>
      </c>
      <c r="N5072" s="3" t="s">
        <v>3046</v>
      </c>
    </row>
    <row r="5073" spans="1:14" x14ac:dyDescent="0.25">
      <c r="A5073" s="1" t="s">
        <v>13738</v>
      </c>
      <c r="B5073" s="3" t="s">
        <v>8697</v>
      </c>
      <c r="C5073" s="2">
        <f ca="1">IF(ISNUMBER(SEARCH(Лист2!$B$4,D:D)),MAX($C$3:OFFSET(C5073,-1,0))+1,0)</f>
        <v>0</v>
      </c>
      <c r="E5073" s="9" t="str">
        <f t="shared" ca="1" si="91"/>
        <v/>
      </c>
      <c r="F5073" s="4" t="s">
        <v>28</v>
      </c>
      <c r="G5073" s="2">
        <f>IF(ISNUMBER(SEARCH(Лист2!$B$4,F:F)),1,0)</f>
        <v>0</v>
      </c>
      <c r="H5073" s="3">
        <f ca="1">IF(AND(I5073&lt;&gt;I5072,ISNUMBER(SEARCH(Лист2!$B$5,I:I)),G5073=1),MAX($H$3:OFFSET(H5073,-1,0))+1,0)</f>
        <v>0</v>
      </c>
      <c r="I5073" s="3" t="s">
        <v>402</v>
      </c>
      <c r="K5073" s="2">
        <f>IF(ISNUMBER(SEARCH(Лист2!$B$4,F:F)),1,0)</f>
        <v>0</v>
      </c>
      <c r="L5073" s="14">
        <f>IF(ISNUMBER(SEARCH(Лист2!$B$5,I:I)),1,0)+K5073</f>
        <v>0</v>
      </c>
      <c r="M5073" s="3">
        <f ca="1">IF(AND(N5073&lt;&gt;N5072,ISNUMBER(SEARCH(Лист2!$B$6,N:N)),L5073=2),MAX($M$3:OFFSET(M5073,-1,0))+1,0)</f>
        <v>0</v>
      </c>
      <c r="N5073" s="3" t="s">
        <v>3047</v>
      </c>
    </row>
    <row r="5074" spans="1:14" x14ac:dyDescent="0.25">
      <c r="A5074" s="1" t="s">
        <v>13738</v>
      </c>
      <c r="B5074" s="3" t="s">
        <v>8698</v>
      </c>
      <c r="C5074" s="2">
        <f ca="1">IF(ISNUMBER(SEARCH(Лист2!$B$4,D:D)),MAX($C$3:OFFSET(C5074,-1,0))+1,0)</f>
        <v>0</v>
      </c>
      <c r="E5074" s="9" t="str">
        <f t="shared" ca="1" si="91"/>
        <v/>
      </c>
      <c r="F5074" s="4" t="s">
        <v>28</v>
      </c>
      <c r="G5074" s="2">
        <f>IF(ISNUMBER(SEARCH(Лист2!$B$4,F:F)),1,0)</f>
        <v>0</v>
      </c>
      <c r="H5074" s="3">
        <f ca="1">IF(AND(I5074&lt;&gt;I5073,ISNUMBER(SEARCH(Лист2!$B$5,I:I)),G5074=1),MAX($H$3:OFFSET(H5074,-1,0))+1,0)</f>
        <v>0</v>
      </c>
      <c r="I5074" s="3" t="s">
        <v>402</v>
      </c>
      <c r="K5074" s="2">
        <f>IF(ISNUMBER(SEARCH(Лист2!$B$4,F:F)),1,0)</f>
        <v>0</v>
      </c>
      <c r="L5074" s="14">
        <f>IF(ISNUMBER(SEARCH(Лист2!$B$5,I:I)),1,0)+K5074</f>
        <v>0</v>
      </c>
      <c r="M5074" s="3">
        <f ca="1">IF(AND(N5074&lt;&gt;N5073,ISNUMBER(SEARCH(Лист2!$B$6,N:N)),L5074=2),MAX($M$3:OFFSET(M5074,-1,0))+1,0)</f>
        <v>0</v>
      </c>
      <c r="N5074" s="3" t="s">
        <v>3047</v>
      </c>
    </row>
    <row r="5075" spans="1:14" x14ac:dyDescent="0.25">
      <c r="A5075" s="1" t="s">
        <v>13738</v>
      </c>
      <c r="B5075" s="3" t="s">
        <v>8699</v>
      </c>
      <c r="C5075" s="2">
        <f ca="1">IF(ISNUMBER(SEARCH(Лист2!$B$4,D:D)),MAX($C$3:OFFSET(C5075,-1,0))+1,0)</f>
        <v>0</v>
      </c>
      <c r="E5075" s="9" t="str">
        <f t="shared" ca="1" si="91"/>
        <v/>
      </c>
      <c r="F5075" s="4" t="s">
        <v>28</v>
      </c>
      <c r="G5075" s="2">
        <f>IF(ISNUMBER(SEARCH(Лист2!$B$4,F:F)),1,0)</f>
        <v>0</v>
      </c>
      <c r="H5075" s="3">
        <f ca="1">IF(AND(I5075&lt;&gt;I5074,ISNUMBER(SEARCH(Лист2!$B$5,I:I)),G5075=1),MAX($H$3:OFFSET(H5075,-1,0))+1,0)</f>
        <v>0</v>
      </c>
      <c r="I5075" s="3" t="s">
        <v>402</v>
      </c>
      <c r="K5075" s="2">
        <f>IF(ISNUMBER(SEARCH(Лист2!$B$4,F:F)),1,0)</f>
        <v>0</v>
      </c>
      <c r="L5075" s="14">
        <f>IF(ISNUMBER(SEARCH(Лист2!$B$5,I:I)),1,0)+K5075</f>
        <v>0</v>
      </c>
      <c r="M5075" s="3">
        <f ca="1">IF(AND(N5075&lt;&gt;N5074,ISNUMBER(SEARCH(Лист2!$B$6,N:N)),L5075=2),MAX($M$3:OFFSET(M5075,-1,0))+1,0)</f>
        <v>0</v>
      </c>
      <c r="N5075" s="3" t="s">
        <v>3047</v>
      </c>
    </row>
    <row r="5076" spans="1:14" x14ac:dyDescent="0.25">
      <c r="A5076" s="1" t="s">
        <v>13739</v>
      </c>
      <c r="B5076" s="3" t="s">
        <v>8700</v>
      </c>
      <c r="C5076" s="2">
        <f ca="1">IF(ISNUMBER(SEARCH(Лист2!$B$4,D:D)),MAX($C$3:OFFSET(C5076,-1,0))+1,0)</f>
        <v>0</v>
      </c>
      <c r="E5076" s="9" t="str">
        <f t="shared" ca="1" si="91"/>
        <v/>
      </c>
      <c r="F5076" s="4" t="s">
        <v>28</v>
      </c>
      <c r="G5076" s="2">
        <f>IF(ISNUMBER(SEARCH(Лист2!$B$4,F:F)),1,0)</f>
        <v>0</v>
      </c>
      <c r="H5076" s="3">
        <f ca="1">IF(AND(I5076&lt;&gt;I5075,ISNUMBER(SEARCH(Лист2!$B$5,I:I)),G5076=1),MAX($H$3:OFFSET(H5076,-1,0))+1,0)</f>
        <v>0</v>
      </c>
      <c r="I5076" s="3" t="s">
        <v>402</v>
      </c>
      <c r="K5076" s="2">
        <f>IF(ISNUMBER(SEARCH(Лист2!$B$4,F:F)),1,0)</f>
        <v>0</v>
      </c>
      <c r="L5076" s="14">
        <f>IF(ISNUMBER(SEARCH(Лист2!$B$5,I:I)),1,0)+K5076</f>
        <v>0</v>
      </c>
      <c r="M5076" s="3">
        <f ca="1">IF(AND(N5076&lt;&gt;N5075,ISNUMBER(SEARCH(Лист2!$B$6,N:N)),L5076=2),MAX($M$3:OFFSET(M5076,-1,0))+1,0)</f>
        <v>0</v>
      </c>
      <c r="N5076" s="3" t="s">
        <v>3048</v>
      </c>
    </row>
    <row r="5077" spans="1:14" x14ac:dyDescent="0.25">
      <c r="A5077" s="1" t="s">
        <v>13739</v>
      </c>
      <c r="B5077" s="3" t="s">
        <v>8701</v>
      </c>
      <c r="C5077" s="2">
        <f ca="1">IF(ISNUMBER(SEARCH(Лист2!$B$4,D:D)),MAX($C$3:OFFSET(C5077,-1,0))+1,0)</f>
        <v>0</v>
      </c>
      <c r="E5077" s="9" t="str">
        <f t="shared" ca="1" si="91"/>
        <v/>
      </c>
      <c r="F5077" s="4" t="s">
        <v>28</v>
      </c>
      <c r="G5077" s="2">
        <f>IF(ISNUMBER(SEARCH(Лист2!$B$4,F:F)),1,0)</f>
        <v>0</v>
      </c>
      <c r="H5077" s="3">
        <f ca="1">IF(AND(I5077&lt;&gt;I5076,ISNUMBER(SEARCH(Лист2!$B$5,I:I)),G5077=1),MAX($H$3:OFFSET(H5077,-1,0))+1,0)</f>
        <v>0</v>
      </c>
      <c r="I5077" s="3" t="s">
        <v>402</v>
      </c>
      <c r="K5077" s="2">
        <f>IF(ISNUMBER(SEARCH(Лист2!$B$4,F:F)),1,0)</f>
        <v>0</v>
      </c>
      <c r="L5077" s="14">
        <f>IF(ISNUMBER(SEARCH(Лист2!$B$5,I:I)),1,0)+K5077</f>
        <v>0</v>
      </c>
      <c r="M5077" s="3">
        <f ca="1">IF(AND(N5077&lt;&gt;N5076,ISNUMBER(SEARCH(Лист2!$B$6,N:N)),L5077=2),MAX($M$3:OFFSET(M5077,-1,0))+1,0)</f>
        <v>0</v>
      </c>
      <c r="N5077" s="3" t="s">
        <v>3048</v>
      </c>
    </row>
    <row r="5078" spans="1:14" x14ac:dyDescent="0.25">
      <c r="A5078" s="1" t="s">
        <v>13739</v>
      </c>
      <c r="B5078" s="3" t="s">
        <v>8702</v>
      </c>
      <c r="C5078" s="2">
        <f ca="1">IF(ISNUMBER(SEARCH(Лист2!$B$4,D:D)),MAX($C$3:OFFSET(C5078,-1,0))+1,0)</f>
        <v>0</v>
      </c>
      <c r="E5078" s="9" t="str">
        <f t="shared" ca="1" si="91"/>
        <v/>
      </c>
      <c r="F5078" s="4" t="s">
        <v>28</v>
      </c>
      <c r="G5078" s="2">
        <f>IF(ISNUMBER(SEARCH(Лист2!$B$4,F:F)),1,0)</f>
        <v>0</v>
      </c>
      <c r="H5078" s="3">
        <f ca="1">IF(AND(I5078&lt;&gt;I5077,ISNUMBER(SEARCH(Лист2!$B$5,I:I)),G5078=1),MAX($H$3:OFFSET(H5078,-1,0))+1,0)</f>
        <v>0</v>
      </c>
      <c r="I5078" s="3" t="s">
        <v>402</v>
      </c>
      <c r="K5078" s="2">
        <f>IF(ISNUMBER(SEARCH(Лист2!$B$4,F:F)),1,0)</f>
        <v>0</v>
      </c>
      <c r="L5078" s="14">
        <f>IF(ISNUMBER(SEARCH(Лист2!$B$5,I:I)),1,0)+K5078</f>
        <v>0</v>
      </c>
      <c r="M5078" s="3">
        <f ca="1">IF(AND(N5078&lt;&gt;N5077,ISNUMBER(SEARCH(Лист2!$B$6,N:N)),L5078=2),MAX($M$3:OFFSET(M5078,-1,0))+1,0)</f>
        <v>0</v>
      </c>
      <c r="N5078" s="3" t="s">
        <v>3048</v>
      </c>
    </row>
    <row r="5079" spans="1:14" x14ac:dyDescent="0.25">
      <c r="A5079" s="1" t="s">
        <v>13740</v>
      </c>
      <c r="B5079" s="3" t="s">
        <v>8703</v>
      </c>
      <c r="C5079" s="2">
        <f ca="1">IF(ISNUMBER(SEARCH(Лист2!$B$4,D:D)),MAX($C$3:OFFSET(C5079,-1,0))+1,0)</f>
        <v>0</v>
      </c>
      <c r="E5079" s="9" t="str">
        <f t="shared" ca="1" si="91"/>
        <v/>
      </c>
      <c r="F5079" s="4" t="s">
        <v>28</v>
      </c>
      <c r="G5079" s="2">
        <f>IF(ISNUMBER(SEARCH(Лист2!$B$4,F:F)),1,0)</f>
        <v>0</v>
      </c>
      <c r="H5079" s="3">
        <f ca="1">IF(AND(I5079&lt;&gt;I5078,ISNUMBER(SEARCH(Лист2!$B$5,I:I)),G5079=1),MAX($H$3:OFFSET(H5079,-1,0))+1,0)</f>
        <v>0</v>
      </c>
      <c r="I5079" s="3" t="s">
        <v>402</v>
      </c>
      <c r="K5079" s="2">
        <f>IF(ISNUMBER(SEARCH(Лист2!$B$4,F:F)),1,0)</f>
        <v>0</v>
      </c>
      <c r="L5079" s="14">
        <f>IF(ISNUMBER(SEARCH(Лист2!$B$5,I:I)),1,0)+K5079</f>
        <v>0</v>
      </c>
      <c r="M5079" s="3">
        <f ca="1">IF(AND(N5079&lt;&gt;N5078,ISNUMBER(SEARCH(Лист2!$B$6,N:N)),L5079=2),MAX($M$3:OFFSET(M5079,-1,0))+1,0)</f>
        <v>0</v>
      </c>
      <c r="N5079" s="3" t="s">
        <v>2979</v>
      </c>
    </row>
    <row r="5080" spans="1:14" x14ac:dyDescent="0.25">
      <c r="A5080" s="1" t="s">
        <v>13741</v>
      </c>
      <c r="B5080" s="3" t="s">
        <v>8704</v>
      </c>
      <c r="C5080" s="2">
        <f ca="1">IF(ISNUMBER(SEARCH(Лист2!$B$4,D:D)),MAX($C$3:OFFSET(C5080,-1,0))+1,0)</f>
        <v>0</v>
      </c>
      <c r="E5080" s="9" t="str">
        <f t="shared" ca="1" si="91"/>
        <v/>
      </c>
      <c r="F5080" s="4" t="s">
        <v>28</v>
      </c>
      <c r="G5080" s="2">
        <f>IF(ISNUMBER(SEARCH(Лист2!$B$4,F:F)),1,0)</f>
        <v>0</v>
      </c>
      <c r="H5080" s="3">
        <f ca="1">IF(AND(I5080&lt;&gt;I5079,ISNUMBER(SEARCH(Лист2!$B$5,I:I)),G5080=1),MAX($H$3:OFFSET(H5080,-1,0))+1,0)</f>
        <v>0</v>
      </c>
      <c r="I5080" s="3" t="s">
        <v>402</v>
      </c>
      <c r="K5080" s="2">
        <f>IF(ISNUMBER(SEARCH(Лист2!$B$4,F:F)),1,0)</f>
        <v>0</v>
      </c>
      <c r="L5080" s="14">
        <f>IF(ISNUMBER(SEARCH(Лист2!$B$5,I:I)),1,0)+K5080</f>
        <v>0</v>
      </c>
      <c r="M5080" s="3">
        <f ca="1">IF(AND(N5080&lt;&gt;N5079,ISNUMBER(SEARCH(Лист2!$B$6,N:N)),L5080=2),MAX($M$3:OFFSET(M5080,-1,0))+1,0)</f>
        <v>0</v>
      </c>
      <c r="N5080" s="3" t="s">
        <v>2925</v>
      </c>
    </row>
    <row r="5081" spans="1:14" x14ac:dyDescent="0.25">
      <c r="A5081" s="1" t="s">
        <v>13742</v>
      </c>
      <c r="B5081" s="3" t="s">
        <v>8705</v>
      </c>
      <c r="C5081" s="2">
        <f ca="1">IF(ISNUMBER(SEARCH(Лист2!$B$4,D:D)),MAX($C$3:OFFSET(C5081,-1,0))+1,0)</f>
        <v>0</v>
      </c>
      <c r="E5081" s="9" t="str">
        <f t="shared" ca="1" si="91"/>
        <v/>
      </c>
      <c r="F5081" s="4" t="s">
        <v>28</v>
      </c>
      <c r="G5081" s="2">
        <f>IF(ISNUMBER(SEARCH(Лист2!$B$4,F:F)),1,0)</f>
        <v>0</v>
      </c>
      <c r="H5081" s="3">
        <f ca="1">IF(AND(I5081&lt;&gt;I5080,ISNUMBER(SEARCH(Лист2!$B$5,I:I)),G5081=1),MAX($H$3:OFFSET(H5081,-1,0))+1,0)</f>
        <v>0</v>
      </c>
      <c r="I5081" s="3" t="s">
        <v>402</v>
      </c>
      <c r="K5081" s="2">
        <f>IF(ISNUMBER(SEARCH(Лист2!$B$4,F:F)),1,0)</f>
        <v>0</v>
      </c>
      <c r="L5081" s="14">
        <f>IF(ISNUMBER(SEARCH(Лист2!$B$5,I:I)),1,0)+K5081</f>
        <v>0</v>
      </c>
      <c r="M5081" s="3">
        <f ca="1">IF(AND(N5081&lt;&gt;N5080,ISNUMBER(SEARCH(Лист2!$B$6,N:N)),L5081=2),MAX($M$3:OFFSET(M5081,-1,0))+1,0)</f>
        <v>0</v>
      </c>
      <c r="N5081" s="3" t="s">
        <v>2923</v>
      </c>
    </row>
    <row r="5082" spans="1:14" x14ac:dyDescent="0.25">
      <c r="A5082" s="1" t="s">
        <v>13743</v>
      </c>
      <c r="B5082" s="3" t="s">
        <v>8706</v>
      </c>
      <c r="C5082" s="2">
        <f ca="1">IF(ISNUMBER(SEARCH(Лист2!$B$4,D:D)),MAX($C$3:OFFSET(C5082,-1,0))+1,0)</f>
        <v>0</v>
      </c>
      <c r="E5082" s="9" t="str">
        <f t="shared" ca="1" si="91"/>
        <v/>
      </c>
      <c r="F5082" s="4" t="s">
        <v>28</v>
      </c>
      <c r="G5082" s="2">
        <f>IF(ISNUMBER(SEARCH(Лист2!$B$4,F:F)),1,0)</f>
        <v>0</v>
      </c>
      <c r="H5082" s="3">
        <f ca="1">IF(AND(I5082&lt;&gt;I5081,ISNUMBER(SEARCH(Лист2!$B$5,I:I)),G5082=1),MAX($H$3:OFFSET(H5082,-1,0))+1,0)</f>
        <v>0</v>
      </c>
      <c r="I5082" s="3" t="s">
        <v>402</v>
      </c>
      <c r="K5082" s="2">
        <f>IF(ISNUMBER(SEARCH(Лист2!$B$4,F:F)),1,0)</f>
        <v>0</v>
      </c>
      <c r="L5082" s="14">
        <f>IF(ISNUMBER(SEARCH(Лист2!$B$5,I:I)),1,0)+K5082</f>
        <v>0</v>
      </c>
      <c r="M5082" s="3">
        <f ca="1">IF(AND(N5082&lt;&gt;N5081,ISNUMBER(SEARCH(Лист2!$B$6,N:N)),L5082=2),MAX($M$3:OFFSET(M5082,-1,0))+1,0)</f>
        <v>0</v>
      </c>
      <c r="N5082" s="3" t="s">
        <v>602</v>
      </c>
    </row>
    <row r="5083" spans="1:14" x14ac:dyDescent="0.25">
      <c r="A5083" s="1" t="s">
        <v>13744</v>
      </c>
      <c r="B5083" s="3" t="s">
        <v>8707</v>
      </c>
      <c r="C5083" s="2">
        <f ca="1">IF(ISNUMBER(SEARCH(Лист2!$B$4,D:D)),MAX($C$3:OFFSET(C5083,-1,0))+1,0)</f>
        <v>0</v>
      </c>
      <c r="E5083" s="9" t="str">
        <f t="shared" ca="1" si="91"/>
        <v/>
      </c>
      <c r="F5083" s="4" t="s">
        <v>28</v>
      </c>
      <c r="G5083" s="2">
        <f>IF(ISNUMBER(SEARCH(Лист2!$B$4,F:F)),1,0)</f>
        <v>0</v>
      </c>
      <c r="H5083" s="3">
        <f ca="1">IF(AND(I5083&lt;&gt;I5082,ISNUMBER(SEARCH(Лист2!$B$5,I:I)),G5083=1),MAX($H$3:OFFSET(H5083,-1,0))+1,0)</f>
        <v>0</v>
      </c>
      <c r="I5083" s="3" t="s">
        <v>402</v>
      </c>
      <c r="K5083" s="2">
        <f>IF(ISNUMBER(SEARCH(Лист2!$B$4,F:F)),1,0)</f>
        <v>0</v>
      </c>
      <c r="L5083" s="14">
        <f>IF(ISNUMBER(SEARCH(Лист2!$B$5,I:I)),1,0)+K5083</f>
        <v>0</v>
      </c>
      <c r="M5083" s="3">
        <f ca="1">IF(AND(N5083&lt;&gt;N5082,ISNUMBER(SEARCH(Лист2!$B$6,N:N)),L5083=2),MAX($M$3:OFFSET(M5083,-1,0))+1,0)</f>
        <v>0</v>
      </c>
      <c r="N5083" s="3" t="s">
        <v>3049</v>
      </c>
    </row>
    <row r="5084" spans="1:14" x14ac:dyDescent="0.25">
      <c r="A5084" s="1" t="s">
        <v>13745</v>
      </c>
      <c r="B5084" s="3" t="s">
        <v>8708</v>
      </c>
      <c r="C5084" s="2">
        <f ca="1">IF(ISNUMBER(SEARCH(Лист2!$B$4,D:D)),MAX($C$3:OFFSET(C5084,-1,0))+1,0)</f>
        <v>0</v>
      </c>
      <c r="E5084" s="9" t="str">
        <f t="shared" ca="1" si="91"/>
        <v/>
      </c>
      <c r="F5084" s="4" t="s">
        <v>28</v>
      </c>
      <c r="G5084" s="2">
        <f>IF(ISNUMBER(SEARCH(Лист2!$B$4,F:F)),1,0)</f>
        <v>0</v>
      </c>
      <c r="H5084" s="3">
        <f ca="1">IF(AND(I5084&lt;&gt;I5083,ISNUMBER(SEARCH(Лист2!$B$5,I:I)),G5084=1),MAX($H$3:OFFSET(H5084,-1,0))+1,0)</f>
        <v>0</v>
      </c>
      <c r="I5084" s="3" t="s">
        <v>402</v>
      </c>
      <c r="K5084" s="2">
        <f>IF(ISNUMBER(SEARCH(Лист2!$B$4,F:F)),1,0)</f>
        <v>0</v>
      </c>
      <c r="L5084" s="14">
        <f>IF(ISNUMBER(SEARCH(Лист2!$B$5,I:I)),1,0)+K5084</f>
        <v>0</v>
      </c>
      <c r="M5084" s="3">
        <f ca="1">IF(AND(N5084&lt;&gt;N5083,ISNUMBER(SEARCH(Лист2!$B$6,N:N)),L5084=2),MAX($M$3:OFFSET(M5084,-1,0))+1,0)</f>
        <v>0</v>
      </c>
      <c r="N5084" s="3" t="s">
        <v>3050</v>
      </c>
    </row>
    <row r="5085" spans="1:14" x14ac:dyDescent="0.25">
      <c r="A5085" s="1" t="s">
        <v>13746</v>
      </c>
      <c r="B5085" s="3" t="s">
        <v>8709</v>
      </c>
      <c r="C5085" s="2">
        <f ca="1">IF(ISNUMBER(SEARCH(Лист2!$B$4,D:D)),MAX($C$3:OFFSET(C5085,-1,0))+1,0)</f>
        <v>0</v>
      </c>
      <c r="E5085" s="9" t="str">
        <f t="shared" ca="1" si="91"/>
        <v/>
      </c>
      <c r="F5085" s="4" t="s">
        <v>28</v>
      </c>
      <c r="G5085" s="2">
        <f>IF(ISNUMBER(SEARCH(Лист2!$B$4,F:F)),1,0)</f>
        <v>0</v>
      </c>
      <c r="H5085" s="3">
        <f ca="1">IF(AND(I5085&lt;&gt;I5084,ISNUMBER(SEARCH(Лист2!$B$5,I:I)),G5085=1),MAX($H$3:OFFSET(H5085,-1,0))+1,0)</f>
        <v>0</v>
      </c>
      <c r="I5085" s="3" t="s">
        <v>402</v>
      </c>
      <c r="K5085" s="2">
        <f>IF(ISNUMBER(SEARCH(Лист2!$B$4,F:F)),1,0)</f>
        <v>0</v>
      </c>
      <c r="L5085" s="14">
        <f>IF(ISNUMBER(SEARCH(Лист2!$B$5,I:I)),1,0)+K5085</f>
        <v>0</v>
      </c>
      <c r="M5085" s="3">
        <f ca="1">IF(AND(N5085&lt;&gt;N5084,ISNUMBER(SEARCH(Лист2!$B$6,N:N)),L5085=2),MAX($M$3:OFFSET(M5085,-1,0))+1,0)</f>
        <v>0</v>
      </c>
      <c r="N5085" s="3" t="s">
        <v>2929</v>
      </c>
    </row>
    <row r="5086" spans="1:14" x14ac:dyDescent="0.25">
      <c r="A5086" s="1" t="s">
        <v>13747</v>
      </c>
      <c r="B5086" s="3" t="s">
        <v>8710</v>
      </c>
      <c r="C5086" s="2">
        <f ca="1">IF(ISNUMBER(SEARCH(Лист2!$B$4,D:D)),MAX($C$3:OFFSET(C5086,-1,0))+1,0)</f>
        <v>0</v>
      </c>
      <c r="E5086" s="9" t="str">
        <f t="shared" ca="1" si="91"/>
        <v/>
      </c>
      <c r="F5086" s="4" t="s">
        <v>28</v>
      </c>
      <c r="G5086" s="2">
        <f>IF(ISNUMBER(SEARCH(Лист2!$B$4,F:F)),1,0)</f>
        <v>0</v>
      </c>
      <c r="H5086" s="3">
        <f ca="1">IF(AND(I5086&lt;&gt;I5085,ISNUMBER(SEARCH(Лист2!$B$5,I:I)),G5086=1),MAX($H$3:OFFSET(H5086,-1,0))+1,0)</f>
        <v>0</v>
      </c>
      <c r="I5086" s="3" t="s">
        <v>402</v>
      </c>
      <c r="K5086" s="2">
        <f>IF(ISNUMBER(SEARCH(Лист2!$B$4,F:F)),1,0)</f>
        <v>0</v>
      </c>
      <c r="L5086" s="14">
        <f>IF(ISNUMBER(SEARCH(Лист2!$B$5,I:I)),1,0)+K5086</f>
        <v>0</v>
      </c>
      <c r="M5086" s="3">
        <f ca="1">IF(AND(N5086&lt;&gt;N5085,ISNUMBER(SEARCH(Лист2!$B$6,N:N)),L5086=2),MAX($M$3:OFFSET(M5086,-1,0))+1,0)</f>
        <v>0</v>
      </c>
      <c r="N5086" s="3" t="s">
        <v>3051</v>
      </c>
    </row>
    <row r="5087" spans="1:14" x14ac:dyDescent="0.25">
      <c r="A5087" s="1" t="s">
        <v>13748</v>
      </c>
      <c r="B5087" s="3" t="s">
        <v>8711</v>
      </c>
      <c r="C5087" s="2">
        <f ca="1">IF(ISNUMBER(SEARCH(Лист2!$B$4,D:D)),MAX($C$3:OFFSET(C5087,-1,0))+1,0)</f>
        <v>0</v>
      </c>
      <c r="E5087" s="9" t="str">
        <f t="shared" ca="1" si="91"/>
        <v/>
      </c>
      <c r="F5087" s="4" t="s">
        <v>28</v>
      </c>
      <c r="G5087" s="2">
        <f>IF(ISNUMBER(SEARCH(Лист2!$B$4,F:F)),1,0)</f>
        <v>0</v>
      </c>
      <c r="H5087" s="3">
        <f ca="1">IF(AND(I5087&lt;&gt;I5086,ISNUMBER(SEARCH(Лист2!$B$5,I:I)),G5087=1),MAX($H$3:OFFSET(H5087,-1,0))+1,0)</f>
        <v>0</v>
      </c>
      <c r="I5087" s="3" t="s">
        <v>402</v>
      </c>
      <c r="K5087" s="2">
        <f>IF(ISNUMBER(SEARCH(Лист2!$B$4,F:F)),1,0)</f>
        <v>0</v>
      </c>
      <c r="L5087" s="14">
        <f>IF(ISNUMBER(SEARCH(Лист2!$B$5,I:I)),1,0)+K5087</f>
        <v>0</v>
      </c>
      <c r="M5087" s="3">
        <f ca="1">IF(AND(N5087&lt;&gt;N5086,ISNUMBER(SEARCH(Лист2!$B$6,N:N)),L5087=2),MAX($M$3:OFFSET(M5087,-1,0))+1,0)</f>
        <v>0</v>
      </c>
      <c r="N5087" s="3" t="s">
        <v>3052</v>
      </c>
    </row>
    <row r="5088" spans="1:14" x14ac:dyDescent="0.25">
      <c r="A5088" s="1" t="s">
        <v>13748</v>
      </c>
      <c r="B5088" s="3" t="s">
        <v>8712</v>
      </c>
      <c r="C5088" s="2">
        <f ca="1">IF(ISNUMBER(SEARCH(Лист2!$B$4,D:D)),MAX($C$3:OFFSET(C5088,-1,0))+1,0)</f>
        <v>0</v>
      </c>
      <c r="E5088" s="9" t="str">
        <f t="shared" ca="1" si="91"/>
        <v/>
      </c>
      <c r="F5088" s="4" t="s">
        <v>28</v>
      </c>
      <c r="G5088" s="2">
        <f>IF(ISNUMBER(SEARCH(Лист2!$B$4,F:F)),1,0)</f>
        <v>0</v>
      </c>
      <c r="H5088" s="3">
        <f ca="1">IF(AND(I5088&lt;&gt;I5087,ISNUMBER(SEARCH(Лист2!$B$5,I:I)),G5088=1),MAX($H$3:OFFSET(H5088,-1,0))+1,0)</f>
        <v>0</v>
      </c>
      <c r="I5088" s="3" t="s">
        <v>402</v>
      </c>
      <c r="K5088" s="2">
        <f>IF(ISNUMBER(SEARCH(Лист2!$B$4,F:F)),1,0)</f>
        <v>0</v>
      </c>
      <c r="L5088" s="14">
        <f>IF(ISNUMBER(SEARCH(Лист2!$B$5,I:I)),1,0)+K5088</f>
        <v>0</v>
      </c>
      <c r="M5088" s="3">
        <f ca="1">IF(AND(N5088&lt;&gt;N5087,ISNUMBER(SEARCH(Лист2!$B$6,N:N)),L5088=2),MAX($M$3:OFFSET(M5088,-1,0))+1,0)</f>
        <v>0</v>
      </c>
      <c r="N5088" s="3" t="s">
        <v>3052</v>
      </c>
    </row>
    <row r="5089" spans="1:14" x14ac:dyDescent="0.25">
      <c r="A5089" s="1" t="s">
        <v>13749</v>
      </c>
      <c r="B5089" s="3" t="s">
        <v>8713</v>
      </c>
      <c r="C5089" s="2">
        <f ca="1">IF(ISNUMBER(SEARCH(Лист2!$B$4,D:D)),MAX($C$3:OFFSET(C5089,-1,0))+1,0)</f>
        <v>0</v>
      </c>
      <c r="E5089" s="9" t="str">
        <f t="shared" ca="1" si="91"/>
        <v/>
      </c>
      <c r="F5089" s="4" t="s">
        <v>28</v>
      </c>
      <c r="G5089" s="2">
        <f>IF(ISNUMBER(SEARCH(Лист2!$B$4,F:F)),1,0)</f>
        <v>0</v>
      </c>
      <c r="H5089" s="3">
        <f ca="1">IF(AND(I5089&lt;&gt;I5088,ISNUMBER(SEARCH(Лист2!$B$5,I:I)),G5089=1),MAX($H$3:OFFSET(H5089,-1,0))+1,0)</f>
        <v>0</v>
      </c>
      <c r="I5089" s="3" t="s">
        <v>402</v>
      </c>
      <c r="K5089" s="2">
        <f>IF(ISNUMBER(SEARCH(Лист2!$B$4,F:F)),1,0)</f>
        <v>0</v>
      </c>
      <c r="L5089" s="14">
        <f>IF(ISNUMBER(SEARCH(Лист2!$B$5,I:I)),1,0)+K5089</f>
        <v>0</v>
      </c>
      <c r="M5089" s="3">
        <f ca="1">IF(AND(N5089&lt;&gt;N5088,ISNUMBER(SEARCH(Лист2!$B$6,N:N)),L5089=2),MAX($M$3:OFFSET(M5089,-1,0))+1,0)</f>
        <v>0</v>
      </c>
      <c r="N5089" s="3" t="s">
        <v>3053</v>
      </c>
    </row>
    <row r="5090" spans="1:14" x14ac:dyDescent="0.25">
      <c r="A5090" s="1" t="s">
        <v>13750</v>
      </c>
      <c r="B5090" s="3" t="s">
        <v>8714</v>
      </c>
      <c r="C5090" s="2">
        <f ca="1">IF(ISNUMBER(SEARCH(Лист2!$B$4,D:D)),MAX($C$3:OFFSET(C5090,-1,0))+1,0)</f>
        <v>0</v>
      </c>
      <c r="E5090" s="9" t="str">
        <f t="shared" ca="1" si="91"/>
        <v/>
      </c>
      <c r="F5090" s="4" t="s">
        <v>28</v>
      </c>
      <c r="G5090" s="2">
        <f>IF(ISNUMBER(SEARCH(Лист2!$B$4,F:F)),1,0)</f>
        <v>0</v>
      </c>
      <c r="H5090" s="3">
        <f ca="1">IF(AND(I5090&lt;&gt;I5089,ISNUMBER(SEARCH(Лист2!$B$5,I:I)),G5090=1),MAX($H$3:OFFSET(H5090,-1,0))+1,0)</f>
        <v>0</v>
      </c>
      <c r="I5090" s="3" t="s">
        <v>402</v>
      </c>
      <c r="K5090" s="2">
        <f>IF(ISNUMBER(SEARCH(Лист2!$B$4,F:F)),1,0)</f>
        <v>0</v>
      </c>
      <c r="L5090" s="14">
        <f>IF(ISNUMBER(SEARCH(Лист2!$B$5,I:I)),1,0)+K5090</f>
        <v>0</v>
      </c>
      <c r="M5090" s="3">
        <f ca="1">IF(AND(N5090&lt;&gt;N5089,ISNUMBER(SEARCH(Лист2!$B$6,N:N)),L5090=2),MAX($M$3:OFFSET(M5090,-1,0))+1,0)</f>
        <v>0</v>
      </c>
      <c r="N5090" s="3" t="s">
        <v>3043</v>
      </c>
    </row>
    <row r="5091" spans="1:14" x14ac:dyDescent="0.25">
      <c r="A5091" s="1" t="s">
        <v>13751</v>
      </c>
      <c r="B5091" s="3" t="s">
        <v>8715</v>
      </c>
      <c r="C5091" s="2">
        <f ca="1">IF(ISNUMBER(SEARCH(Лист2!$B$4,D:D)),MAX($C$3:OFFSET(C5091,-1,0))+1,0)</f>
        <v>0</v>
      </c>
      <c r="E5091" s="9" t="str">
        <f t="shared" ca="1" si="91"/>
        <v/>
      </c>
      <c r="F5091" s="4" t="s">
        <v>28</v>
      </c>
      <c r="G5091" s="2">
        <f>IF(ISNUMBER(SEARCH(Лист2!$B$4,F:F)),1,0)</f>
        <v>0</v>
      </c>
      <c r="H5091" s="3">
        <f ca="1">IF(AND(I5091&lt;&gt;I5090,ISNUMBER(SEARCH(Лист2!$B$5,I:I)),G5091=1),MAX($H$3:OFFSET(H5091,-1,0))+1,0)</f>
        <v>0</v>
      </c>
      <c r="I5091" s="3" t="s">
        <v>402</v>
      </c>
      <c r="K5091" s="2">
        <f>IF(ISNUMBER(SEARCH(Лист2!$B$4,F:F)),1,0)</f>
        <v>0</v>
      </c>
      <c r="L5091" s="14">
        <f>IF(ISNUMBER(SEARCH(Лист2!$B$5,I:I)),1,0)+K5091</f>
        <v>0</v>
      </c>
      <c r="M5091" s="3">
        <f ca="1">IF(AND(N5091&lt;&gt;N5090,ISNUMBER(SEARCH(Лист2!$B$6,N:N)),L5091=2),MAX($M$3:OFFSET(M5091,-1,0))+1,0)</f>
        <v>0</v>
      </c>
      <c r="N5091" s="3" t="s">
        <v>3044</v>
      </c>
    </row>
    <row r="5092" spans="1:14" x14ac:dyDescent="0.25">
      <c r="A5092" s="1" t="s">
        <v>13752</v>
      </c>
      <c r="B5092" s="3" t="s">
        <v>8716</v>
      </c>
      <c r="C5092" s="2">
        <f ca="1">IF(ISNUMBER(SEARCH(Лист2!$B$4,D:D)),MAX($C$3:OFFSET(C5092,-1,0))+1,0)</f>
        <v>0</v>
      </c>
      <c r="E5092" s="9" t="str">
        <f t="shared" ca="1" si="91"/>
        <v/>
      </c>
      <c r="F5092" s="4" t="s">
        <v>28</v>
      </c>
      <c r="G5092" s="2">
        <f>IF(ISNUMBER(SEARCH(Лист2!$B$4,F:F)),1,0)</f>
        <v>0</v>
      </c>
      <c r="H5092" s="3">
        <f ca="1">IF(AND(I5092&lt;&gt;I5091,ISNUMBER(SEARCH(Лист2!$B$5,I:I)),G5092=1),MAX($H$3:OFFSET(H5092,-1,0))+1,0)</f>
        <v>0</v>
      </c>
      <c r="I5092" s="3" t="s">
        <v>402</v>
      </c>
      <c r="K5092" s="2">
        <f>IF(ISNUMBER(SEARCH(Лист2!$B$4,F:F)),1,0)</f>
        <v>0</v>
      </c>
      <c r="L5092" s="14">
        <f>IF(ISNUMBER(SEARCH(Лист2!$B$5,I:I)),1,0)+K5092</f>
        <v>0</v>
      </c>
      <c r="M5092" s="3">
        <f ca="1">IF(AND(N5092&lt;&gt;N5091,ISNUMBER(SEARCH(Лист2!$B$6,N:N)),L5092=2),MAX($M$3:OFFSET(M5092,-1,0))+1,0)</f>
        <v>0</v>
      </c>
      <c r="N5092" s="3" t="s">
        <v>3054</v>
      </c>
    </row>
    <row r="5093" spans="1:14" x14ac:dyDescent="0.25">
      <c r="A5093" s="1" t="s">
        <v>13753</v>
      </c>
      <c r="B5093" s="3" t="s">
        <v>8717</v>
      </c>
      <c r="C5093" s="2">
        <f ca="1">IF(ISNUMBER(SEARCH(Лист2!$B$4,D:D)),MAX($C$3:OFFSET(C5093,-1,0))+1,0)</f>
        <v>0</v>
      </c>
      <c r="E5093" s="9" t="str">
        <f t="shared" ca="1" si="91"/>
        <v/>
      </c>
      <c r="F5093" s="4" t="s">
        <v>28</v>
      </c>
      <c r="G5093" s="2">
        <f>IF(ISNUMBER(SEARCH(Лист2!$B$4,F:F)),1,0)</f>
        <v>0</v>
      </c>
      <c r="H5093" s="3">
        <f ca="1">IF(AND(I5093&lt;&gt;I5092,ISNUMBER(SEARCH(Лист2!$B$5,I:I)),G5093=1),MAX($H$3:OFFSET(H5093,-1,0))+1,0)</f>
        <v>0</v>
      </c>
      <c r="I5093" s="3" t="s">
        <v>402</v>
      </c>
      <c r="K5093" s="2">
        <f>IF(ISNUMBER(SEARCH(Лист2!$B$4,F:F)),1,0)</f>
        <v>0</v>
      </c>
      <c r="L5093" s="14">
        <f>IF(ISNUMBER(SEARCH(Лист2!$B$5,I:I)),1,0)+K5093</f>
        <v>0</v>
      </c>
      <c r="M5093" s="3">
        <f ca="1">IF(AND(N5093&lt;&gt;N5092,ISNUMBER(SEARCH(Лист2!$B$6,N:N)),L5093=2),MAX($M$3:OFFSET(M5093,-1,0))+1,0)</f>
        <v>0</v>
      </c>
      <c r="N5093" s="3" t="s">
        <v>3055</v>
      </c>
    </row>
    <row r="5094" spans="1:14" x14ac:dyDescent="0.25">
      <c r="A5094" s="1" t="s">
        <v>13754</v>
      </c>
      <c r="B5094" s="3" t="s">
        <v>8718</v>
      </c>
      <c r="C5094" s="2">
        <f ca="1">IF(ISNUMBER(SEARCH(Лист2!$B$4,D:D)),MAX($C$3:OFFSET(C5094,-1,0))+1,0)</f>
        <v>0</v>
      </c>
      <c r="E5094" s="9" t="str">
        <f t="shared" ca="1" si="91"/>
        <v/>
      </c>
      <c r="F5094" s="4" t="s">
        <v>28</v>
      </c>
      <c r="G5094" s="2">
        <f>IF(ISNUMBER(SEARCH(Лист2!$B$4,F:F)),1,0)</f>
        <v>0</v>
      </c>
      <c r="H5094" s="3">
        <f ca="1">IF(AND(I5094&lt;&gt;I5093,ISNUMBER(SEARCH(Лист2!$B$5,I:I)),G5094=1),MAX($H$3:OFFSET(H5094,-1,0))+1,0)</f>
        <v>0</v>
      </c>
      <c r="I5094" s="3" t="s">
        <v>403</v>
      </c>
      <c r="K5094" s="2">
        <f>IF(ISNUMBER(SEARCH(Лист2!$B$4,F:F)),1,0)</f>
        <v>0</v>
      </c>
      <c r="L5094" s="14">
        <f>IF(ISNUMBER(SEARCH(Лист2!$B$5,I:I)),1,0)+K5094</f>
        <v>0</v>
      </c>
      <c r="M5094" s="3">
        <f ca="1">IF(AND(N5094&lt;&gt;N5093,ISNUMBER(SEARCH(Лист2!$B$6,N:N)),L5094=2),MAX($M$3:OFFSET(M5094,-1,0))+1,0)</f>
        <v>0</v>
      </c>
      <c r="N5094" s="3" t="s">
        <v>3056</v>
      </c>
    </row>
    <row r="5095" spans="1:14" x14ac:dyDescent="0.25">
      <c r="A5095" s="1" t="s">
        <v>13755</v>
      </c>
      <c r="B5095" s="3" t="s">
        <v>8719</v>
      </c>
      <c r="C5095" s="2">
        <f ca="1">IF(ISNUMBER(SEARCH(Лист2!$B$4,D:D)),MAX($C$3:OFFSET(C5095,-1,0))+1,0)</f>
        <v>0</v>
      </c>
      <c r="E5095" s="9" t="str">
        <f t="shared" ca="1" si="91"/>
        <v/>
      </c>
      <c r="F5095" s="4" t="s">
        <v>28</v>
      </c>
      <c r="G5095" s="2">
        <f>IF(ISNUMBER(SEARCH(Лист2!$B$4,F:F)),1,0)</f>
        <v>0</v>
      </c>
      <c r="H5095" s="3">
        <f ca="1">IF(AND(I5095&lt;&gt;I5094,ISNUMBER(SEARCH(Лист2!$B$5,I:I)),G5095=1),MAX($H$3:OFFSET(H5095,-1,0))+1,0)</f>
        <v>0</v>
      </c>
      <c r="I5095" s="3" t="s">
        <v>403</v>
      </c>
      <c r="K5095" s="2">
        <f>IF(ISNUMBER(SEARCH(Лист2!$B$4,F:F)),1,0)</f>
        <v>0</v>
      </c>
      <c r="L5095" s="14">
        <f>IF(ISNUMBER(SEARCH(Лист2!$B$5,I:I)),1,0)+K5095</f>
        <v>0</v>
      </c>
      <c r="M5095" s="3">
        <f ca="1">IF(AND(N5095&lt;&gt;N5094,ISNUMBER(SEARCH(Лист2!$B$6,N:N)),L5095=2),MAX($M$3:OFFSET(M5095,-1,0))+1,0)</f>
        <v>0</v>
      </c>
      <c r="N5095" s="3" t="s">
        <v>3057</v>
      </c>
    </row>
    <row r="5096" spans="1:14" x14ac:dyDescent="0.25">
      <c r="A5096" s="1" t="s">
        <v>13756</v>
      </c>
      <c r="B5096" s="3" t="s">
        <v>8720</v>
      </c>
      <c r="C5096" s="2">
        <f ca="1">IF(ISNUMBER(SEARCH(Лист2!$B$4,D:D)),MAX($C$3:OFFSET(C5096,-1,0))+1,0)</f>
        <v>0</v>
      </c>
      <c r="E5096" s="9" t="str">
        <f t="shared" ca="1" si="91"/>
        <v/>
      </c>
      <c r="F5096" s="4" t="s">
        <v>28</v>
      </c>
      <c r="G5096" s="2">
        <f>IF(ISNUMBER(SEARCH(Лист2!$B$4,F:F)),1,0)</f>
        <v>0</v>
      </c>
      <c r="H5096" s="3">
        <f ca="1">IF(AND(I5096&lt;&gt;I5095,ISNUMBER(SEARCH(Лист2!$B$5,I:I)),G5096=1),MAX($H$3:OFFSET(H5096,-1,0))+1,0)</f>
        <v>0</v>
      </c>
      <c r="I5096" s="3" t="s">
        <v>403</v>
      </c>
      <c r="K5096" s="2">
        <f>IF(ISNUMBER(SEARCH(Лист2!$B$4,F:F)),1,0)</f>
        <v>0</v>
      </c>
      <c r="L5096" s="14">
        <f>IF(ISNUMBER(SEARCH(Лист2!$B$5,I:I)),1,0)+K5096</f>
        <v>0</v>
      </c>
      <c r="M5096" s="3">
        <f ca="1">IF(AND(N5096&lt;&gt;N5095,ISNUMBER(SEARCH(Лист2!$B$6,N:N)),L5096=2),MAX($M$3:OFFSET(M5096,-1,0))+1,0)</f>
        <v>0</v>
      </c>
      <c r="N5096" s="3" t="s">
        <v>2979</v>
      </c>
    </row>
    <row r="5097" spans="1:14" x14ac:dyDescent="0.25">
      <c r="A5097" s="1" t="s">
        <v>13757</v>
      </c>
      <c r="B5097" s="3" t="s">
        <v>8721</v>
      </c>
      <c r="C5097" s="2">
        <f ca="1">IF(ISNUMBER(SEARCH(Лист2!$B$4,D:D)),MAX($C$3:OFFSET(C5097,-1,0))+1,0)</f>
        <v>0</v>
      </c>
      <c r="E5097" s="9" t="str">
        <f t="shared" ca="1" si="91"/>
        <v/>
      </c>
      <c r="F5097" s="4" t="s">
        <v>28</v>
      </c>
      <c r="G5097" s="2">
        <f>IF(ISNUMBER(SEARCH(Лист2!$B$4,F:F)),1,0)</f>
        <v>0</v>
      </c>
      <c r="H5097" s="3">
        <f ca="1">IF(AND(I5097&lt;&gt;I5096,ISNUMBER(SEARCH(Лист2!$B$5,I:I)),G5097=1),MAX($H$3:OFFSET(H5097,-1,0))+1,0)</f>
        <v>0</v>
      </c>
      <c r="I5097" s="3" t="s">
        <v>403</v>
      </c>
      <c r="K5097" s="2">
        <f>IF(ISNUMBER(SEARCH(Лист2!$B$4,F:F)),1,0)</f>
        <v>0</v>
      </c>
      <c r="L5097" s="14">
        <f>IF(ISNUMBER(SEARCH(Лист2!$B$5,I:I)),1,0)+K5097</f>
        <v>0</v>
      </c>
      <c r="M5097" s="3">
        <f ca="1">IF(AND(N5097&lt;&gt;N5096,ISNUMBER(SEARCH(Лист2!$B$6,N:N)),L5097=2),MAX($M$3:OFFSET(M5097,-1,0))+1,0)</f>
        <v>0</v>
      </c>
      <c r="N5097" s="3" t="s">
        <v>2925</v>
      </c>
    </row>
    <row r="5098" spans="1:14" x14ac:dyDescent="0.25">
      <c r="A5098" s="1" t="s">
        <v>13758</v>
      </c>
      <c r="B5098" s="3" t="s">
        <v>8722</v>
      </c>
      <c r="C5098" s="2">
        <f ca="1">IF(ISNUMBER(SEARCH(Лист2!$B$4,D:D)),MAX($C$3:OFFSET(C5098,-1,0))+1,0)</f>
        <v>0</v>
      </c>
      <c r="E5098" s="9" t="str">
        <f t="shared" ca="1" si="91"/>
        <v/>
      </c>
      <c r="F5098" s="4" t="s">
        <v>28</v>
      </c>
      <c r="G5098" s="2">
        <f>IF(ISNUMBER(SEARCH(Лист2!$B$4,F:F)),1,0)</f>
        <v>0</v>
      </c>
      <c r="H5098" s="3">
        <f ca="1">IF(AND(I5098&lt;&gt;I5097,ISNUMBER(SEARCH(Лист2!$B$5,I:I)),G5098=1),MAX($H$3:OFFSET(H5098,-1,0))+1,0)</f>
        <v>0</v>
      </c>
      <c r="I5098" s="3" t="s">
        <v>403</v>
      </c>
      <c r="K5098" s="2">
        <f>IF(ISNUMBER(SEARCH(Лист2!$B$4,F:F)),1,0)</f>
        <v>0</v>
      </c>
      <c r="L5098" s="14">
        <f>IF(ISNUMBER(SEARCH(Лист2!$B$5,I:I)),1,0)+K5098</f>
        <v>0</v>
      </c>
      <c r="M5098" s="3">
        <f ca="1">IF(AND(N5098&lt;&gt;N5097,ISNUMBER(SEARCH(Лист2!$B$6,N:N)),L5098=2),MAX($M$3:OFFSET(M5098,-1,0))+1,0)</f>
        <v>0</v>
      </c>
      <c r="N5098" s="3" t="s">
        <v>2957</v>
      </c>
    </row>
    <row r="5099" spans="1:14" x14ac:dyDescent="0.25">
      <c r="A5099" s="1" t="s">
        <v>13759</v>
      </c>
      <c r="B5099" s="3" t="s">
        <v>8723</v>
      </c>
      <c r="C5099" s="2">
        <f ca="1">IF(ISNUMBER(SEARCH(Лист2!$B$4,D:D)),MAX($C$3:OFFSET(C5099,-1,0))+1,0)</f>
        <v>0</v>
      </c>
      <c r="E5099" s="9" t="str">
        <f t="shared" ca="1" si="91"/>
        <v/>
      </c>
      <c r="F5099" s="4" t="s">
        <v>28</v>
      </c>
      <c r="G5099" s="2">
        <f>IF(ISNUMBER(SEARCH(Лист2!$B$4,F:F)),1,0)</f>
        <v>0</v>
      </c>
      <c r="H5099" s="3">
        <f ca="1">IF(AND(I5099&lt;&gt;I5098,ISNUMBER(SEARCH(Лист2!$B$5,I:I)),G5099=1),MAX($H$3:OFFSET(H5099,-1,0))+1,0)</f>
        <v>0</v>
      </c>
      <c r="I5099" s="3" t="s">
        <v>403</v>
      </c>
      <c r="K5099" s="2">
        <f>IF(ISNUMBER(SEARCH(Лист2!$B$4,F:F)),1,0)</f>
        <v>0</v>
      </c>
      <c r="L5099" s="14">
        <f>IF(ISNUMBER(SEARCH(Лист2!$B$5,I:I)),1,0)+K5099</f>
        <v>0</v>
      </c>
      <c r="M5099" s="3">
        <f ca="1">IF(AND(N5099&lt;&gt;N5098,ISNUMBER(SEARCH(Лист2!$B$6,N:N)),L5099=2),MAX($M$3:OFFSET(M5099,-1,0))+1,0)</f>
        <v>0</v>
      </c>
      <c r="N5099" s="3" t="s">
        <v>602</v>
      </c>
    </row>
    <row r="5100" spans="1:14" x14ac:dyDescent="0.25">
      <c r="A5100" s="1" t="s">
        <v>13760</v>
      </c>
      <c r="B5100" s="3" t="s">
        <v>8724</v>
      </c>
      <c r="C5100" s="2">
        <f ca="1">IF(ISNUMBER(SEARCH(Лист2!$B$4,D:D)),MAX($C$3:OFFSET(C5100,-1,0))+1,0)</f>
        <v>0</v>
      </c>
      <c r="E5100" s="9" t="str">
        <f t="shared" ca="1" si="91"/>
        <v/>
      </c>
      <c r="F5100" s="4" t="s">
        <v>28</v>
      </c>
      <c r="G5100" s="2">
        <f>IF(ISNUMBER(SEARCH(Лист2!$B$4,F:F)),1,0)</f>
        <v>0</v>
      </c>
      <c r="H5100" s="3">
        <f ca="1">IF(AND(I5100&lt;&gt;I5099,ISNUMBER(SEARCH(Лист2!$B$5,I:I)),G5100=1),MAX($H$3:OFFSET(H5100,-1,0))+1,0)</f>
        <v>0</v>
      </c>
      <c r="I5100" s="3" t="s">
        <v>403</v>
      </c>
      <c r="K5100" s="2">
        <f>IF(ISNUMBER(SEARCH(Лист2!$B$4,F:F)),1,0)</f>
        <v>0</v>
      </c>
      <c r="L5100" s="14">
        <f>IF(ISNUMBER(SEARCH(Лист2!$B$5,I:I)),1,0)+K5100</f>
        <v>0</v>
      </c>
      <c r="M5100" s="3">
        <f ca="1">IF(AND(N5100&lt;&gt;N5099,ISNUMBER(SEARCH(Лист2!$B$6,N:N)),L5100=2),MAX($M$3:OFFSET(M5100,-1,0))+1,0)</f>
        <v>0</v>
      </c>
      <c r="N5100" s="3" t="s">
        <v>3058</v>
      </c>
    </row>
    <row r="5101" spans="1:14" x14ac:dyDescent="0.25">
      <c r="A5101" s="1" t="s">
        <v>13761</v>
      </c>
      <c r="B5101" s="3" t="s">
        <v>8725</v>
      </c>
      <c r="C5101" s="2">
        <f ca="1">IF(ISNUMBER(SEARCH(Лист2!$B$4,D:D)),MAX($C$3:OFFSET(C5101,-1,0))+1,0)</f>
        <v>0</v>
      </c>
      <c r="E5101" s="9" t="str">
        <f t="shared" ca="1" si="91"/>
        <v/>
      </c>
      <c r="F5101" s="4" t="s">
        <v>28</v>
      </c>
      <c r="G5101" s="2">
        <f>IF(ISNUMBER(SEARCH(Лист2!$B$4,F:F)),1,0)</f>
        <v>0</v>
      </c>
      <c r="H5101" s="3">
        <f ca="1">IF(AND(I5101&lt;&gt;I5100,ISNUMBER(SEARCH(Лист2!$B$5,I:I)),G5101=1),MAX($H$3:OFFSET(H5101,-1,0))+1,0)</f>
        <v>0</v>
      </c>
      <c r="I5101" s="3" t="s">
        <v>403</v>
      </c>
      <c r="K5101" s="2">
        <f>IF(ISNUMBER(SEARCH(Лист2!$B$4,F:F)),1,0)</f>
        <v>0</v>
      </c>
      <c r="L5101" s="14">
        <f>IF(ISNUMBER(SEARCH(Лист2!$B$5,I:I)),1,0)+K5101</f>
        <v>0</v>
      </c>
      <c r="M5101" s="3">
        <f ca="1">IF(AND(N5101&lt;&gt;N5100,ISNUMBER(SEARCH(Лист2!$B$6,N:N)),L5101=2),MAX($M$3:OFFSET(M5101,-1,0))+1,0)</f>
        <v>0</v>
      </c>
      <c r="N5101" s="3" t="s">
        <v>3059</v>
      </c>
    </row>
    <row r="5102" spans="1:14" x14ac:dyDescent="0.25">
      <c r="A5102" s="1" t="s">
        <v>13762</v>
      </c>
      <c r="B5102" s="3" t="s">
        <v>8726</v>
      </c>
      <c r="C5102" s="2">
        <f ca="1">IF(ISNUMBER(SEARCH(Лист2!$B$4,D:D)),MAX($C$3:OFFSET(C5102,-1,0))+1,0)</f>
        <v>0</v>
      </c>
      <c r="E5102" s="9" t="str">
        <f t="shared" ca="1" si="91"/>
        <v/>
      </c>
      <c r="F5102" s="4" t="s">
        <v>28</v>
      </c>
      <c r="G5102" s="2">
        <f>IF(ISNUMBER(SEARCH(Лист2!$B$4,F:F)),1,0)</f>
        <v>0</v>
      </c>
      <c r="H5102" s="3">
        <f ca="1">IF(AND(I5102&lt;&gt;I5101,ISNUMBER(SEARCH(Лист2!$B$5,I:I)),G5102=1),MAX($H$3:OFFSET(H5102,-1,0))+1,0)</f>
        <v>0</v>
      </c>
      <c r="I5102" s="3" t="s">
        <v>403</v>
      </c>
      <c r="K5102" s="2">
        <f>IF(ISNUMBER(SEARCH(Лист2!$B$4,F:F)),1,0)</f>
        <v>0</v>
      </c>
      <c r="L5102" s="14">
        <f>IF(ISNUMBER(SEARCH(Лист2!$B$5,I:I)),1,0)+K5102</f>
        <v>0</v>
      </c>
      <c r="M5102" s="3">
        <f ca="1">IF(AND(N5102&lt;&gt;N5101,ISNUMBER(SEARCH(Лист2!$B$6,N:N)),L5102=2),MAX($M$3:OFFSET(M5102,-1,0))+1,0)</f>
        <v>0</v>
      </c>
      <c r="N5102" s="3" t="s">
        <v>2929</v>
      </c>
    </row>
    <row r="5103" spans="1:14" x14ac:dyDescent="0.25">
      <c r="A5103" s="1" t="s">
        <v>13763</v>
      </c>
      <c r="B5103" s="3" t="s">
        <v>8727</v>
      </c>
      <c r="C5103" s="2">
        <f ca="1">IF(ISNUMBER(SEARCH(Лист2!$B$4,D:D)),MAX($C$3:OFFSET(C5103,-1,0))+1,0)</f>
        <v>0</v>
      </c>
      <c r="E5103" s="9" t="str">
        <f t="shared" ca="1" si="91"/>
        <v/>
      </c>
      <c r="F5103" s="4" t="s">
        <v>28</v>
      </c>
      <c r="G5103" s="2">
        <f>IF(ISNUMBER(SEARCH(Лист2!$B$4,F:F)),1,0)</f>
        <v>0</v>
      </c>
      <c r="H5103" s="3">
        <f ca="1">IF(AND(I5103&lt;&gt;I5102,ISNUMBER(SEARCH(Лист2!$B$5,I:I)),G5103=1),MAX($H$3:OFFSET(H5103,-1,0))+1,0)</f>
        <v>0</v>
      </c>
      <c r="I5103" s="3" t="s">
        <v>403</v>
      </c>
      <c r="K5103" s="2">
        <f>IF(ISNUMBER(SEARCH(Лист2!$B$4,F:F)),1,0)</f>
        <v>0</v>
      </c>
      <c r="L5103" s="14">
        <f>IF(ISNUMBER(SEARCH(Лист2!$B$5,I:I)),1,0)+K5103</f>
        <v>0</v>
      </c>
      <c r="M5103" s="3">
        <f ca="1">IF(AND(N5103&lt;&gt;N5102,ISNUMBER(SEARCH(Лист2!$B$6,N:N)),L5103=2),MAX($M$3:OFFSET(M5103,-1,0))+1,0)</f>
        <v>0</v>
      </c>
      <c r="N5103" s="3" t="s">
        <v>3060</v>
      </c>
    </row>
    <row r="5104" spans="1:14" x14ac:dyDescent="0.25">
      <c r="A5104" s="1" t="s">
        <v>13764</v>
      </c>
      <c r="B5104" s="3" t="s">
        <v>8728</v>
      </c>
      <c r="C5104" s="2">
        <f ca="1">IF(ISNUMBER(SEARCH(Лист2!$B$4,D:D)),MAX($C$3:OFFSET(C5104,-1,0))+1,0)</f>
        <v>0</v>
      </c>
      <c r="E5104" s="9" t="str">
        <f t="shared" ca="1" si="91"/>
        <v/>
      </c>
      <c r="F5104" s="4" t="s">
        <v>28</v>
      </c>
      <c r="G5104" s="2">
        <f>IF(ISNUMBER(SEARCH(Лист2!$B$4,F:F)),1,0)</f>
        <v>0</v>
      </c>
      <c r="H5104" s="3">
        <f ca="1">IF(AND(I5104&lt;&gt;I5103,ISNUMBER(SEARCH(Лист2!$B$5,I:I)),G5104=1),MAX($H$3:OFFSET(H5104,-1,0))+1,0)</f>
        <v>0</v>
      </c>
      <c r="I5104" s="3" t="s">
        <v>403</v>
      </c>
      <c r="K5104" s="2">
        <f>IF(ISNUMBER(SEARCH(Лист2!$B$4,F:F)),1,0)</f>
        <v>0</v>
      </c>
      <c r="L5104" s="14">
        <f>IF(ISNUMBER(SEARCH(Лист2!$B$5,I:I)),1,0)+K5104</f>
        <v>0</v>
      </c>
      <c r="M5104" s="3">
        <f ca="1">IF(AND(N5104&lt;&gt;N5103,ISNUMBER(SEARCH(Лист2!$B$6,N:N)),L5104=2),MAX($M$3:OFFSET(M5104,-1,0))+1,0)</f>
        <v>0</v>
      </c>
      <c r="N5104" s="3" t="s">
        <v>3061</v>
      </c>
    </row>
    <row r="5105" spans="1:14" x14ac:dyDescent="0.25">
      <c r="A5105" s="1" t="s">
        <v>13765</v>
      </c>
      <c r="B5105" s="3" t="s">
        <v>8729</v>
      </c>
      <c r="C5105" s="2">
        <f ca="1">IF(ISNUMBER(SEARCH(Лист2!$B$4,D:D)),MAX($C$3:OFFSET(C5105,-1,0))+1,0)</f>
        <v>0</v>
      </c>
      <c r="E5105" s="9" t="str">
        <f t="shared" ca="1" si="91"/>
        <v/>
      </c>
      <c r="F5105" s="4" t="s">
        <v>28</v>
      </c>
      <c r="G5105" s="2">
        <f>IF(ISNUMBER(SEARCH(Лист2!$B$4,F:F)),1,0)</f>
        <v>0</v>
      </c>
      <c r="H5105" s="3">
        <f ca="1">IF(AND(I5105&lt;&gt;I5104,ISNUMBER(SEARCH(Лист2!$B$5,I:I)),G5105=1),MAX($H$3:OFFSET(H5105,-1,0))+1,0)</f>
        <v>0</v>
      </c>
      <c r="I5105" s="3" t="s">
        <v>403</v>
      </c>
      <c r="K5105" s="2">
        <f>IF(ISNUMBER(SEARCH(Лист2!$B$4,F:F)),1,0)</f>
        <v>0</v>
      </c>
      <c r="L5105" s="14">
        <f>IF(ISNUMBER(SEARCH(Лист2!$B$5,I:I)),1,0)+K5105</f>
        <v>0</v>
      </c>
      <c r="M5105" s="3">
        <f ca="1">IF(AND(N5105&lt;&gt;N5104,ISNUMBER(SEARCH(Лист2!$B$6,N:N)),L5105=2),MAX($M$3:OFFSET(M5105,-1,0))+1,0)</f>
        <v>0</v>
      </c>
      <c r="N5105" s="3" t="s">
        <v>3062</v>
      </c>
    </row>
    <row r="5106" spans="1:14" x14ac:dyDescent="0.25">
      <c r="A5106" s="1" t="s">
        <v>13766</v>
      </c>
      <c r="B5106" s="3" t="s">
        <v>8730</v>
      </c>
      <c r="C5106" s="2">
        <f ca="1">IF(ISNUMBER(SEARCH(Лист2!$B$4,D:D)),MAX($C$3:OFFSET(C5106,-1,0))+1,0)</f>
        <v>0</v>
      </c>
      <c r="E5106" s="9" t="str">
        <f t="shared" ca="1" si="91"/>
        <v/>
      </c>
      <c r="F5106" s="4" t="s">
        <v>28</v>
      </c>
      <c r="G5106" s="2">
        <f>IF(ISNUMBER(SEARCH(Лист2!$B$4,F:F)),1,0)</f>
        <v>0</v>
      </c>
      <c r="H5106" s="3">
        <f ca="1">IF(AND(I5106&lt;&gt;I5105,ISNUMBER(SEARCH(Лист2!$B$5,I:I)),G5106=1),MAX($H$3:OFFSET(H5106,-1,0))+1,0)</f>
        <v>0</v>
      </c>
      <c r="I5106" s="3" t="s">
        <v>403</v>
      </c>
      <c r="K5106" s="2">
        <f>IF(ISNUMBER(SEARCH(Лист2!$B$4,F:F)),1,0)</f>
        <v>0</v>
      </c>
      <c r="L5106" s="14">
        <f>IF(ISNUMBER(SEARCH(Лист2!$B$5,I:I)),1,0)+K5106</f>
        <v>0</v>
      </c>
      <c r="M5106" s="3">
        <f ca="1">IF(AND(N5106&lt;&gt;N5105,ISNUMBER(SEARCH(Лист2!$B$6,N:N)),L5106=2),MAX($M$3:OFFSET(M5106,-1,0))+1,0)</f>
        <v>0</v>
      </c>
      <c r="N5106" s="3" t="s">
        <v>3043</v>
      </c>
    </row>
    <row r="5107" spans="1:14" x14ac:dyDescent="0.25">
      <c r="A5107" s="1" t="s">
        <v>13767</v>
      </c>
      <c r="B5107" s="3" t="s">
        <v>8731</v>
      </c>
      <c r="C5107" s="2">
        <f ca="1">IF(ISNUMBER(SEARCH(Лист2!$B$4,D:D)),MAX($C$3:OFFSET(C5107,-1,0))+1,0)</f>
        <v>0</v>
      </c>
      <c r="E5107" s="9" t="str">
        <f t="shared" ca="1" si="91"/>
        <v/>
      </c>
      <c r="F5107" s="4" t="s">
        <v>28</v>
      </c>
      <c r="G5107" s="2">
        <f>IF(ISNUMBER(SEARCH(Лист2!$B$4,F:F)),1,0)</f>
        <v>0</v>
      </c>
      <c r="H5107" s="3">
        <f ca="1">IF(AND(I5107&lt;&gt;I5106,ISNUMBER(SEARCH(Лист2!$B$5,I:I)),G5107=1),MAX($H$3:OFFSET(H5107,-1,0))+1,0)</f>
        <v>0</v>
      </c>
      <c r="I5107" s="3" t="s">
        <v>403</v>
      </c>
      <c r="K5107" s="2">
        <f>IF(ISNUMBER(SEARCH(Лист2!$B$4,F:F)),1,0)</f>
        <v>0</v>
      </c>
      <c r="L5107" s="14">
        <f>IF(ISNUMBER(SEARCH(Лист2!$B$5,I:I)),1,0)+K5107</f>
        <v>0</v>
      </c>
      <c r="M5107" s="3">
        <f ca="1">IF(AND(N5107&lt;&gt;N5106,ISNUMBER(SEARCH(Лист2!$B$6,N:N)),L5107=2),MAX($M$3:OFFSET(M5107,-1,0))+1,0)</f>
        <v>0</v>
      </c>
      <c r="N5107" s="3" t="s">
        <v>3044</v>
      </c>
    </row>
    <row r="5108" spans="1:14" x14ac:dyDescent="0.25">
      <c r="A5108" s="1" t="s">
        <v>13768</v>
      </c>
      <c r="B5108" s="3" t="s">
        <v>8732</v>
      </c>
      <c r="C5108" s="2">
        <f ca="1">IF(ISNUMBER(SEARCH(Лист2!$B$4,D:D)),MAX($C$3:OFFSET(C5108,-1,0))+1,0)</f>
        <v>0</v>
      </c>
      <c r="E5108" s="9" t="str">
        <f t="shared" ca="1" si="91"/>
        <v/>
      </c>
      <c r="F5108" s="4" t="s">
        <v>28</v>
      </c>
      <c r="G5108" s="2">
        <f>IF(ISNUMBER(SEARCH(Лист2!$B$4,F:F)),1,0)</f>
        <v>0</v>
      </c>
      <c r="H5108" s="3">
        <f ca="1">IF(AND(I5108&lt;&gt;I5107,ISNUMBER(SEARCH(Лист2!$B$5,I:I)),G5108=1),MAX($H$3:OFFSET(H5108,-1,0))+1,0)</f>
        <v>0</v>
      </c>
      <c r="I5108" s="3" t="s">
        <v>403</v>
      </c>
      <c r="K5108" s="2">
        <f>IF(ISNUMBER(SEARCH(Лист2!$B$4,F:F)),1,0)</f>
        <v>0</v>
      </c>
      <c r="L5108" s="14">
        <f>IF(ISNUMBER(SEARCH(Лист2!$B$5,I:I)),1,0)+K5108</f>
        <v>0</v>
      </c>
      <c r="M5108" s="3">
        <f ca="1">IF(AND(N5108&lt;&gt;N5107,ISNUMBER(SEARCH(Лист2!$B$6,N:N)),L5108=2),MAX($M$3:OFFSET(M5108,-1,0))+1,0)</f>
        <v>0</v>
      </c>
      <c r="N5108" s="3" t="s">
        <v>3063</v>
      </c>
    </row>
    <row r="5109" spans="1:14" x14ac:dyDescent="0.25">
      <c r="A5109" s="1" t="s">
        <v>13769</v>
      </c>
      <c r="B5109" s="3" t="s">
        <v>8733</v>
      </c>
      <c r="C5109" s="2">
        <f ca="1">IF(ISNUMBER(SEARCH(Лист2!$B$4,D:D)),MAX($C$3:OFFSET(C5109,-1,0))+1,0)</f>
        <v>0</v>
      </c>
      <c r="E5109" s="9" t="str">
        <f t="shared" ca="1" si="91"/>
        <v/>
      </c>
      <c r="F5109" s="4" t="s">
        <v>28</v>
      </c>
      <c r="G5109" s="2">
        <f>IF(ISNUMBER(SEARCH(Лист2!$B$4,F:F)),1,0)</f>
        <v>0</v>
      </c>
      <c r="H5109" s="3">
        <f ca="1">IF(AND(I5109&lt;&gt;I5108,ISNUMBER(SEARCH(Лист2!$B$5,I:I)),G5109=1),MAX($H$3:OFFSET(H5109,-1,0))+1,0)</f>
        <v>0</v>
      </c>
      <c r="I5109" s="3" t="s">
        <v>403</v>
      </c>
      <c r="K5109" s="2">
        <f>IF(ISNUMBER(SEARCH(Лист2!$B$4,F:F)),1,0)</f>
        <v>0</v>
      </c>
      <c r="L5109" s="14">
        <f>IF(ISNUMBER(SEARCH(Лист2!$B$5,I:I)),1,0)+K5109</f>
        <v>0</v>
      </c>
      <c r="M5109" s="3">
        <f ca="1">IF(AND(N5109&lt;&gt;N5108,ISNUMBER(SEARCH(Лист2!$B$6,N:N)),L5109=2),MAX($M$3:OFFSET(M5109,-1,0))+1,0)</f>
        <v>0</v>
      </c>
      <c r="N5109" s="3" t="s">
        <v>3064</v>
      </c>
    </row>
    <row r="5110" spans="1:14" x14ac:dyDescent="0.25">
      <c r="A5110" s="1" t="s">
        <v>13770</v>
      </c>
      <c r="B5110" s="3" t="s">
        <v>8734</v>
      </c>
      <c r="C5110" s="2">
        <f ca="1">IF(ISNUMBER(SEARCH(Лист2!$B$4,D:D)),MAX($C$3:OFFSET(C5110,-1,0))+1,0)</f>
        <v>0</v>
      </c>
      <c r="E5110" s="9" t="str">
        <f t="shared" ca="1" si="91"/>
        <v/>
      </c>
      <c r="F5110" s="4" t="s">
        <v>28</v>
      </c>
      <c r="G5110" s="2">
        <f>IF(ISNUMBER(SEARCH(Лист2!$B$4,F:F)),1,0)</f>
        <v>0</v>
      </c>
      <c r="H5110" s="3">
        <f ca="1">IF(AND(I5110&lt;&gt;I5109,ISNUMBER(SEARCH(Лист2!$B$5,I:I)),G5110=1),MAX($H$3:OFFSET(H5110,-1,0))+1,0)</f>
        <v>0</v>
      </c>
      <c r="I5110" s="3" t="s">
        <v>404</v>
      </c>
      <c r="K5110" s="2">
        <f>IF(ISNUMBER(SEARCH(Лист2!$B$4,F:F)),1,0)</f>
        <v>0</v>
      </c>
      <c r="L5110" s="14">
        <f>IF(ISNUMBER(SEARCH(Лист2!$B$5,I:I)),1,0)+K5110</f>
        <v>0</v>
      </c>
      <c r="M5110" s="3">
        <f ca="1">IF(AND(N5110&lt;&gt;N5109,ISNUMBER(SEARCH(Лист2!$B$6,N:N)),L5110=2),MAX($M$3:OFFSET(M5110,-1,0))+1,0)</f>
        <v>0</v>
      </c>
      <c r="N5110" s="3" t="s">
        <v>3065</v>
      </c>
    </row>
    <row r="5111" spans="1:14" x14ac:dyDescent="0.25">
      <c r="A5111" s="1" t="s">
        <v>13771</v>
      </c>
      <c r="B5111" s="3" t="s">
        <v>8735</v>
      </c>
      <c r="C5111" s="2">
        <f ca="1">IF(ISNUMBER(SEARCH(Лист2!$B$4,D:D)),MAX($C$3:OFFSET(C5111,-1,0))+1,0)</f>
        <v>0</v>
      </c>
      <c r="E5111" s="9" t="str">
        <f t="shared" ca="1" si="91"/>
        <v/>
      </c>
      <c r="F5111" s="4" t="s">
        <v>28</v>
      </c>
      <c r="G5111" s="2">
        <f>IF(ISNUMBER(SEARCH(Лист2!$B$4,F:F)),1,0)</f>
        <v>0</v>
      </c>
      <c r="H5111" s="3">
        <f ca="1">IF(AND(I5111&lt;&gt;I5110,ISNUMBER(SEARCH(Лист2!$B$5,I:I)),G5111=1),MAX($H$3:OFFSET(H5111,-1,0))+1,0)</f>
        <v>0</v>
      </c>
      <c r="I5111" s="3" t="s">
        <v>404</v>
      </c>
      <c r="K5111" s="2">
        <f>IF(ISNUMBER(SEARCH(Лист2!$B$4,F:F)),1,0)</f>
        <v>0</v>
      </c>
      <c r="L5111" s="14">
        <f>IF(ISNUMBER(SEARCH(Лист2!$B$5,I:I)),1,0)+K5111</f>
        <v>0</v>
      </c>
      <c r="M5111" s="3">
        <f ca="1">IF(AND(N5111&lt;&gt;N5110,ISNUMBER(SEARCH(Лист2!$B$6,N:N)),L5111=2),MAX($M$3:OFFSET(M5111,-1,0))+1,0)</f>
        <v>0</v>
      </c>
      <c r="N5111" s="3" t="s">
        <v>3066</v>
      </c>
    </row>
    <row r="5112" spans="1:14" x14ac:dyDescent="0.25">
      <c r="A5112" s="1" t="s">
        <v>13772</v>
      </c>
      <c r="B5112" s="3" t="s">
        <v>8736</v>
      </c>
      <c r="C5112" s="2">
        <f ca="1">IF(ISNUMBER(SEARCH(Лист2!$B$4,D:D)),MAX($C$3:OFFSET(C5112,-1,0))+1,0)</f>
        <v>0</v>
      </c>
      <c r="E5112" s="9" t="str">
        <f t="shared" ca="1" si="91"/>
        <v/>
      </c>
      <c r="F5112" s="4" t="s">
        <v>28</v>
      </c>
      <c r="G5112" s="2">
        <f>IF(ISNUMBER(SEARCH(Лист2!$B$4,F:F)),1,0)</f>
        <v>0</v>
      </c>
      <c r="H5112" s="3">
        <f ca="1">IF(AND(I5112&lt;&gt;I5111,ISNUMBER(SEARCH(Лист2!$B$5,I:I)),G5112=1),MAX($H$3:OFFSET(H5112,-1,0))+1,0)</f>
        <v>0</v>
      </c>
      <c r="I5112" s="3" t="s">
        <v>404</v>
      </c>
      <c r="K5112" s="2">
        <f>IF(ISNUMBER(SEARCH(Лист2!$B$4,F:F)),1,0)</f>
        <v>0</v>
      </c>
      <c r="L5112" s="14">
        <f>IF(ISNUMBER(SEARCH(Лист2!$B$5,I:I)),1,0)+K5112</f>
        <v>0</v>
      </c>
      <c r="M5112" s="3">
        <f ca="1">IF(AND(N5112&lt;&gt;N5111,ISNUMBER(SEARCH(Лист2!$B$6,N:N)),L5112=2),MAX($M$3:OFFSET(M5112,-1,0))+1,0)</f>
        <v>0</v>
      </c>
      <c r="N5112" s="3" t="s">
        <v>2979</v>
      </c>
    </row>
    <row r="5113" spans="1:14" x14ac:dyDescent="0.25">
      <c r="A5113" s="1" t="s">
        <v>13773</v>
      </c>
      <c r="B5113" s="3" t="s">
        <v>8737</v>
      </c>
      <c r="C5113" s="2">
        <f ca="1">IF(ISNUMBER(SEARCH(Лист2!$B$4,D:D)),MAX($C$3:OFFSET(C5113,-1,0))+1,0)</f>
        <v>0</v>
      </c>
      <c r="E5113" s="9" t="str">
        <f t="shared" ca="1" si="91"/>
        <v/>
      </c>
      <c r="F5113" s="4" t="s">
        <v>28</v>
      </c>
      <c r="G5113" s="2">
        <f>IF(ISNUMBER(SEARCH(Лист2!$B$4,F:F)),1,0)</f>
        <v>0</v>
      </c>
      <c r="H5113" s="3">
        <f ca="1">IF(AND(I5113&lt;&gt;I5112,ISNUMBER(SEARCH(Лист2!$B$5,I:I)),G5113=1),MAX($H$3:OFFSET(H5113,-1,0))+1,0)</f>
        <v>0</v>
      </c>
      <c r="I5113" s="3" t="s">
        <v>404</v>
      </c>
      <c r="K5113" s="2">
        <f>IF(ISNUMBER(SEARCH(Лист2!$B$4,F:F)),1,0)</f>
        <v>0</v>
      </c>
      <c r="L5113" s="14">
        <f>IF(ISNUMBER(SEARCH(Лист2!$B$5,I:I)),1,0)+K5113</f>
        <v>0</v>
      </c>
      <c r="M5113" s="3">
        <f ca="1">IF(AND(N5113&lt;&gt;N5112,ISNUMBER(SEARCH(Лист2!$B$6,N:N)),L5113=2),MAX($M$3:OFFSET(M5113,-1,0))+1,0)</f>
        <v>0</v>
      </c>
      <c r="N5113" s="3" t="s">
        <v>2925</v>
      </c>
    </row>
    <row r="5114" spans="1:14" x14ac:dyDescent="0.25">
      <c r="A5114" s="1" t="s">
        <v>13774</v>
      </c>
      <c r="B5114" s="3" t="s">
        <v>8738</v>
      </c>
      <c r="C5114" s="2">
        <f ca="1">IF(ISNUMBER(SEARCH(Лист2!$B$4,D:D)),MAX($C$3:OFFSET(C5114,-1,0))+1,0)</f>
        <v>0</v>
      </c>
      <c r="E5114" s="9" t="str">
        <f t="shared" ca="1" si="91"/>
        <v/>
      </c>
      <c r="F5114" s="4" t="s">
        <v>28</v>
      </c>
      <c r="G5114" s="2">
        <f>IF(ISNUMBER(SEARCH(Лист2!$B$4,F:F)),1,0)</f>
        <v>0</v>
      </c>
      <c r="H5114" s="3">
        <f ca="1">IF(AND(I5114&lt;&gt;I5113,ISNUMBER(SEARCH(Лист2!$B$5,I:I)),G5114=1),MAX($H$3:OFFSET(H5114,-1,0))+1,0)</f>
        <v>0</v>
      </c>
      <c r="I5114" s="3" t="s">
        <v>404</v>
      </c>
      <c r="K5114" s="2">
        <f>IF(ISNUMBER(SEARCH(Лист2!$B$4,F:F)),1,0)</f>
        <v>0</v>
      </c>
      <c r="L5114" s="14">
        <f>IF(ISNUMBER(SEARCH(Лист2!$B$5,I:I)),1,0)+K5114</f>
        <v>0</v>
      </c>
      <c r="M5114" s="3">
        <f ca="1">IF(AND(N5114&lt;&gt;N5113,ISNUMBER(SEARCH(Лист2!$B$6,N:N)),L5114=2),MAX($M$3:OFFSET(M5114,-1,0))+1,0)</f>
        <v>0</v>
      </c>
      <c r="N5114" s="3" t="s">
        <v>2926</v>
      </c>
    </row>
    <row r="5115" spans="1:14" x14ac:dyDescent="0.25">
      <c r="A5115" s="1" t="s">
        <v>13775</v>
      </c>
      <c r="B5115" s="3" t="s">
        <v>8739</v>
      </c>
      <c r="C5115" s="2">
        <f ca="1">IF(ISNUMBER(SEARCH(Лист2!$B$4,D:D)),MAX($C$3:OFFSET(C5115,-1,0))+1,0)</f>
        <v>0</v>
      </c>
      <c r="E5115" s="9" t="str">
        <f t="shared" ca="1" si="91"/>
        <v/>
      </c>
      <c r="F5115" s="4" t="s">
        <v>28</v>
      </c>
      <c r="G5115" s="2">
        <f>IF(ISNUMBER(SEARCH(Лист2!$B$4,F:F)),1,0)</f>
        <v>0</v>
      </c>
      <c r="H5115" s="3">
        <f ca="1">IF(AND(I5115&lt;&gt;I5114,ISNUMBER(SEARCH(Лист2!$B$5,I:I)),G5115=1),MAX($H$3:OFFSET(H5115,-1,0))+1,0)</f>
        <v>0</v>
      </c>
      <c r="I5115" s="3" t="s">
        <v>404</v>
      </c>
      <c r="K5115" s="2">
        <f>IF(ISNUMBER(SEARCH(Лист2!$B$4,F:F)),1,0)</f>
        <v>0</v>
      </c>
      <c r="L5115" s="14">
        <f>IF(ISNUMBER(SEARCH(Лист2!$B$5,I:I)),1,0)+K5115</f>
        <v>0</v>
      </c>
      <c r="M5115" s="3">
        <f ca="1">IF(AND(N5115&lt;&gt;N5114,ISNUMBER(SEARCH(Лист2!$B$6,N:N)),L5115=2),MAX($M$3:OFFSET(M5115,-1,0))+1,0)</f>
        <v>0</v>
      </c>
      <c r="N5115" s="3" t="s">
        <v>2957</v>
      </c>
    </row>
    <row r="5116" spans="1:14" x14ac:dyDescent="0.25">
      <c r="A5116" s="1" t="s">
        <v>13776</v>
      </c>
      <c r="B5116" s="3" t="s">
        <v>8740</v>
      </c>
      <c r="C5116" s="2">
        <f ca="1">IF(ISNUMBER(SEARCH(Лист2!$B$4,D:D)),MAX($C$3:OFFSET(C5116,-1,0))+1,0)</f>
        <v>0</v>
      </c>
      <c r="E5116" s="9" t="str">
        <f t="shared" ca="1" si="91"/>
        <v/>
      </c>
      <c r="F5116" s="4" t="s">
        <v>28</v>
      </c>
      <c r="G5116" s="2">
        <f>IF(ISNUMBER(SEARCH(Лист2!$B$4,F:F)),1,0)</f>
        <v>0</v>
      </c>
      <c r="H5116" s="3">
        <f ca="1">IF(AND(I5116&lt;&gt;I5115,ISNUMBER(SEARCH(Лист2!$B$5,I:I)),G5116=1),MAX($H$3:OFFSET(H5116,-1,0))+1,0)</f>
        <v>0</v>
      </c>
      <c r="I5116" s="3" t="s">
        <v>404</v>
      </c>
      <c r="K5116" s="2">
        <f>IF(ISNUMBER(SEARCH(Лист2!$B$4,F:F)),1,0)</f>
        <v>0</v>
      </c>
      <c r="L5116" s="14">
        <f>IF(ISNUMBER(SEARCH(Лист2!$B$5,I:I)),1,0)+K5116</f>
        <v>0</v>
      </c>
      <c r="M5116" s="3">
        <f ca="1">IF(AND(N5116&lt;&gt;N5115,ISNUMBER(SEARCH(Лист2!$B$6,N:N)),L5116=2),MAX($M$3:OFFSET(M5116,-1,0))+1,0)</f>
        <v>0</v>
      </c>
      <c r="N5116" s="3" t="s">
        <v>602</v>
      </c>
    </row>
    <row r="5117" spans="1:14" x14ac:dyDescent="0.25">
      <c r="A5117" s="1" t="s">
        <v>13777</v>
      </c>
      <c r="B5117" s="3" t="s">
        <v>8741</v>
      </c>
      <c r="C5117" s="2">
        <f ca="1">IF(ISNUMBER(SEARCH(Лист2!$B$4,D:D)),MAX($C$3:OFFSET(C5117,-1,0))+1,0)</f>
        <v>0</v>
      </c>
      <c r="E5117" s="9" t="str">
        <f t="shared" ca="1" si="91"/>
        <v/>
      </c>
      <c r="F5117" s="4" t="s">
        <v>28</v>
      </c>
      <c r="G5117" s="2">
        <f>IF(ISNUMBER(SEARCH(Лист2!$B$4,F:F)),1,0)</f>
        <v>0</v>
      </c>
      <c r="H5117" s="3">
        <f ca="1">IF(AND(I5117&lt;&gt;I5116,ISNUMBER(SEARCH(Лист2!$B$5,I:I)),G5117=1),MAX($H$3:OFFSET(H5117,-1,0))+1,0)</f>
        <v>0</v>
      </c>
      <c r="I5117" s="3" t="s">
        <v>404</v>
      </c>
      <c r="K5117" s="2">
        <f>IF(ISNUMBER(SEARCH(Лист2!$B$4,F:F)),1,0)</f>
        <v>0</v>
      </c>
      <c r="L5117" s="14">
        <f>IF(ISNUMBER(SEARCH(Лист2!$B$5,I:I)),1,0)+K5117</f>
        <v>0</v>
      </c>
      <c r="M5117" s="3">
        <f ca="1">IF(AND(N5117&lt;&gt;N5116,ISNUMBER(SEARCH(Лист2!$B$6,N:N)),L5117=2),MAX($M$3:OFFSET(M5117,-1,0))+1,0)</f>
        <v>0</v>
      </c>
      <c r="N5117" s="3" t="s">
        <v>3067</v>
      </c>
    </row>
    <row r="5118" spans="1:14" x14ac:dyDescent="0.25">
      <c r="A5118" s="1" t="s">
        <v>13778</v>
      </c>
      <c r="B5118" s="3" t="s">
        <v>8742</v>
      </c>
      <c r="C5118" s="2">
        <f ca="1">IF(ISNUMBER(SEARCH(Лист2!$B$4,D:D)),MAX($C$3:OFFSET(C5118,-1,0))+1,0)</f>
        <v>0</v>
      </c>
      <c r="E5118" s="9" t="str">
        <f t="shared" ca="1" si="91"/>
        <v/>
      </c>
      <c r="F5118" s="4" t="s">
        <v>28</v>
      </c>
      <c r="G5118" s="2">
        <f>IF(ISNUMBER(SEARCH(Лист2!$B$4,F:F)),1,0)</f>
        <v>0</v>
      </c>
      <c r="H5118" s="3">
        <f ca="1">IF(AND(I5118&lt;&gt;I5117,ISNUMBER(SEARCH(Лист2!$B$5,I:I)),G5118=1),MAX($H$3:OFFSET(H5118,-1,0))+1,0)</f>
        <v>0</v>
      </c>
      <c r="I5118" s="3" t="s">
        <v>404</v>
      </c>
      <c r="K5118" s="2">
        <f>IF(ISNUMBER(SEARCH(Лист2!$B$4,F:F)),1,0)</f>
        <v>0</v>
      </c>
      <c r="L5118" s="14">
        <f>IF(ISNUMBER(SEARCH(Лист2!$B$5,I:I)),1,0)+K5118</f>
        <v>0</v>
      </c>
      <c r="M5118" s="3">
        <f ca="1">IF(AND(N5118&lt;&gt;N5117,ISNUMBER(SEARCH(Лист2!$B$6,N:N)),L5118=2),MAX($M$3:OFFSET(M5118,-1,0))+1,0)</f>
        <v>0</v>
      </c>
      <c r="N5118" s="3" t="s">
        <v>3068</v>
      </c>
    </row>
    <row r="5119" spans="1:14" x14ac:dyDescent="0.25">
      <c r="A5119" s="1" t="s">
        <v>13779</v>
      </c>
      <c r="B5119" s="3" t="s">
        <v>8743</v>
      </c>
      <c r="C5119" s="2">
        <f ca="1">IF(ISNUMBER(SEARCH(Лист2!$B$4,D:D)),MAX($C$3:OFFSET(C5119,-1,0))+1,0)</f>
        <v>0</v>
      </c>
      <c r="E5119" s="9" t="str">
        <f t="shared" ca="1" si="91"/>
        <v/>
      </c>
      <c r="F5119" s="4" t="s">
        <v>28</v>
      </c>
      <c r="G5119" s="2">
        <f>IF(ISNUMBER(SEARCH(Лист2!$B$4,F:F)),1,0)</f>
        <v>0</v>
      </c>
      <c r="H5119" s="3">
        <f ca="1">IF(AND(I5119&lt;&gt;I5118,ISNUMBER(SEARCH(Лист2!$B$5,I:I)),G5119=1),MAX($H$3:OFFSET(H5119,-1,0))+1,0)</f>
        <v>0</v>
      </c>
      <c r="I5119" s="3" t="s">
        <v>404</v>
      </c>
      <c r="K5119" s="2">
        <f>IF(ISNUMBER(SEARCH(Лист2!$B$4,F:F)),1,0)</f>
        <v>0</v>
      </c>
      <c r="L5119" s="14">
        <f>IF(ISNUMBER(SEARCH(Лист2!$B$5,I:I)),1,0)+K5119</f>
        <v>0</v>
      </c>
      <c r="M5119" s="3">
        <f ca="1">IF(AND(N5119&lt;&gt;N5118,ISNUMBER(SEARCH(Лист2!$B$6,N:N)),L5119=2),MAX($M$3:OFFSET(M5119,-1,0))+1,0)</f>
        <v>0</v>
      </c>
      <c r="N5119" s="3" t="s">
        <v>2929</v>
      </c>
    </row>
    <row r="5120" spans="1:14" x14ac:dyDescent="0.25">
      <c r="A5120" s="1" t="s">
        <v>13780</v>
      </c>
      <c r="B5120" s="3" t="s">
        <v>8744</v>
      </c>
      <c r="C5120" s="2">
        <f ca="1">IF(ISNUMBER(SEARCH(Лист2!$B$4,D:D)),MAX($C$3:OFFSET(C5120,-1,0))+1,0)</f>
        <v>0</v>
      </c>
      <c r="E5120" s="9" t="str">
        <f t="shared" ca="1" si="91"/>
        <v/>
      </c>
      <c r="F5120" s="4" t="s">
        <v>28</v>
      </c>
      <c r="G5120" s="2">
        <f>IF(ISNUMBER(SEARCH(Лист2!$B$4,F:F)),1,0)</f>
        <v>0</v>
      </c>
      <c r="H5120" s="3">
        <f ca="1">IF(AND(I5120&lt;&gt;I5119,ISNUMBER(SEARCH(Лист2!$B$5,I:I)),G5120=1),MAX($H$3:OFFSET(H5120,-1,0))+1,0)</f>
        <v>0</v>
      </c>
      <c r="I5120" s="3" t="s">
        <v>404</v>
      </c>
      <c r="K5120" s="2">
        <f>IF(ISNUMBER(SEARCH(Лист2!$B$4,F:F)),1,0)</f>
        <v>0</v>
      </c>
      <c r="L5120" s="14">
        <f>IF(ISNUMBER(SEARCH(Лист2!$B$5,I:I)),1,0)+K5120</f>
        <v>0</v>
      </c>
      <c r="M5120" s="3">
        <f ca="1">IF(AND(N5120&lt;&gt;N5119,ISNUMBER(SEARCH(Лист2!$B$6,N:N)),L5120=2),MAX($M$3:OFFSET(M5120,-1,0))+1,0)</f>
        <v>0</v>
      </c>
      <c r="N5120" s="3" t="s">
        <v>3069</v>
      </c>
    </row>
    <row r="5121" spans="1:14" x14ac:dyDescent="0.25">
      <c r="A5121" s="1" t="s">
        <v>13781</v>
      </c>
      <c r="B5121" s="3" t="s">
        <v>8745</v>
      </c>
      <c r="C5121" s="2">
        <f ca="1">IF(ISNUMBER(SEARCH(Лист2!$B$4,D:D)),MAX($C$3:OFFSET(C5121,-1,0))+1,0)</f>
        <v>0</v>
      </c>
      <c r="E5121" s="9" t="str">
        <f t="shared" ca="1" si="91"/>
        <v/>
      </c>
      <c r="F5121" s="4" t="s">
        <v>28</v>
      </c>
      <c r="G5121" s="2">
        <f>IF(ISNUMBER(SEARCH(Лист2!$B$4,F:F)),1,0)</f>
        <v>0</v>
      </c>
      <c r="H5121" s="3">
        <f ca="1">IF(AND(I5121&lt;&gt;I5120,ISNUMBER(SEARCH(Лист2!$B$5,I:I)),G5121=1),MAX($H$3:OFFSET(H5121,-1,0))+1,0)</f>
        <v>0</v>
      </c>
      <c r="I5121" s="3" t="s">
        <v>404</v>
      </c>
      <c r="K5121" s="2">
        <f>IF(ISNUMBER(SEARCH(Лист2!$B$4,F:F)),1,0)</f>
        <v>0</v>
      </c>
      <c r="L5121" s="14">
        <f>IF(ISNUMBER(SEARCH(Лист2!$B$5,I:I)),1,0)+K5121</f>
        <v>0</v>
      </c>
      <c r="M5121" s="3">
        <f ca="1">IF(AND(N5121&lt;&gt;N5120,ISNUMBER(SEARCH(Лист2!$B$6,N:N)),L5121=2),MAX($M$3:OFFSET(M5121,-1,0))+1,0)</f>
        <v>0</v>
      </c>
      <c r="N5121" s="3" t="s">
        <v>3070</v>
      </c>
    </row>
    <row r="5122" spans="1:14" x14ac:dyDescent="0.25">
      <c r="A5122" s="1" t="s">
        <v>13782</v>
      </c>
      <c r="B5122" s="3" t="s">
        <v>8746</v>
      </c>
      <c r="C5122" s="2">
        <f ca="1">IF(ISNUMBER(SEARCH(Лист2!$B$4,D:D)),MAX($C$3:OFFSET(C5122,-1,0))+1,0)</f>
        <v>0</v>
      </c>
      <c r="E5122" s="9" t="str">
        <f t="shared" ca="1" si="91"/>
        <v/>
      </c>
      <c r="F5122" s="4" t="s">
        <v>28</v>
      </c>
      <c r="G5122" s="2">
        <f>IF(ISNUMBER(SEARCH(Лист2!$B$4,F:F)),1,0)</f>
        <v>0</v>
      </c>
      <c r="H5122" s="3">
        <f ca="1">IF(AND(I5122&lt;&gt;I5121,ISNUMBER(SEARCH(Лист2!$B$5,I:I)),G5122=1),MAX($H$3:OFFSET(H5122,-1,0))+1,0)</f>
        <v>0</v>
      </c>
      <c r="I5122" s="3" t="s">
        <v>404</v>
      </c>
      <c r="K5122" s="2">
        <f>IF(ISNUMBER(SEARCH(Лист2!$B$4,F:F)),1,0)</f>
        <v>0</v>
      </c>
      <c r="L5122" s="14">
        <f>IF(ISNUMBER(SEARCH(Лист2!$B$5,I:I)),1,0)+K5122</f>
        <v>0</v>
      </c>
      <c r="M5122" s="3">
        <f ca="1">IF(AND(N5122&lt;&gt;N5121,ISNUMBER(SEARCH(Лист2!$B$6,N:N)),L5122=2),MAX($M$3:OFFSET(M5122,-1,0))+1,0)</f>
        <v>0</v>
      </c>
      <c r="N5122" s="3" t="s">
        <v>3071</v>
      </c>
    </row>
    <row r="5123" spans="1:14" x14ac:dyDescent="0.25">
      <c r="A5123" s="1" t="s">
        <v>13783</v>
      </c>
      <c r="B5123" s="3" t="s">
        <v>8747</v>
      </c>
      <c r="C5123" s="2">
        <f ca="1">IF(ISNUMBER(SEARCH(Лист2!$B$4,D:D)),MAX($C$3:OFFSET(C5123,-1,0))+1,0)</f>
        <v>0</v>
      </c>
      <c r="E5123" s="9" t="str">
        <f t="shared" ca="1" si="91"/>
        <v/>
      </c>
      <c r="F5123" s="4" t="s">
        <v>28</v>
      </c>
      <c r="G5123" s="2">
        <f>IF(ISNUMBER(SEARCH(Лист2!$B$4,F:F)),1,0)</f>
        <v>0</v>
      </c>
      <c r="H5123" s="3">
        <f ca="1">IF(AND(I5123&lt;&gt;I5122,ISNUMBER(SEARCH(Лист2!$B$5,I:I)),G5123=1),MAX($H$3:OFFSET(H5123,-1,0))+1,0)</f>
        <v>0</v>
      </c>
      <c r="I5123" s="3" t="s">
        <v>404</v>
      </c>
      <c r="K5123" s="2">
        <f>IF(ISNUMBER(SEARCH(Лист2!$B$4,F:F)),1,0)</f>
        <v>0</v>
      </c>
      <c r="L5123" s="14">
        <f>IF(ISNUMBER(SEARCH(Лист2!$B$5,I:I)),1,0)+K5123</f>
        <v>0</v>
      </c>
      <c r="M5123" s="3">
        <f ca="1">IF(AND(N5123&lt;&gt;N5122,ISNUMBER(SEARCH(Лист2!$B$6,N:N)),L5123=2),MAX($M$3:OFFSET(M5123,-1,0))+1,0)</f>
        <v>0</v>
      </c>
      <c r="N5123" s="3" t="s">
        <v>3043</v>
      </c>
    </row>
    <row r="5124" spans="1:14" x14ac:dyDescent="0.25">
      <c r="A5124" s="1" t="s">
        <v>13784</v>
      </c>
      <c r="B5124" s="3" t="s">
        <v>8748</v>
      </c>
      <c r="C5124" s="2">
        <f ca="1">IF(ISNUMBER(SEARCH(Лист2!$B$4,D:D)),MAX($C$3:OFFSET(C5124,-1,0))+1,0)</f>
        <v>0</v>
      </c>
      <c r="E5124" s="9" t="str">
        <f t="shared" ca="1" si="91"/>
        <v/>
      </c>
      <c r="F5124" s="4" t="s">
        <v>28</v>
      </c>
      <c r="G5124" s="2">
        <f>IF(ISNUMBER(SEARCH(Лист2!$B$4,F:F)),1,0)</f>
        <v>0</v>
      </c>
      <c r="H5124" s="3">
        <f ca="1">IF(AND(I5124&lt;&gt;I5123,ISNUMBER(SEARCH(Лист2!$B$5,I:I)),G5124=1),MAX($H$3:OFFSET(H5124,-1,0))+1,0)</f>
        <v>0</v>
      </c>
      <c r="I5124" s="3" t="s">
        <v>404</v>
      </c>
      <c r="K5124" s="2">
        <f>IF(ISNUMBER(SEARCH(Лист2!$B$4,F:F)),1,0)</f>
        <v>0</v>
      </c>
      <c r="L5124" s="14">
        <f>IF(ISNUMBER(SEARCH(Лист2!$B$5,I:I)),1,0)+K5124</f>
        <v>0</v>
      </c>
      <c r="M5124" s="3">
        <f ca="1">IF(AND(N5124&lt;&gt;N5123,ISNUMBER(SEARCH(Лист2!$B$6,N:N)),L5124=2),MAX($M$3:OFFSET(M5124,-1,0))+1,0)</f>
        <v>0</v>
      </c>
      <c r="N5124" s="3" t="s">
        <v>3044</v>
      </c>
    </row>
    <row r="5125" spans="1:14" x14ac:dyDescent="0.25">
      <c r="A5125" s="1" t="s">
        <v>13785</v>
      </c>
      <c r="B5125" s="3" t="s">
        <v>8749</v>
      </c>
      <c r="C5125" s="2">
        <f ca="1">IF(ISNUMBER(SEARCH(Лист2!$B$4,D:D)),MAX($C$3:OFFSET(C5125,-1,0))+1,0)</f>
        <v>0</v>
      </c>
      <c r="E5125" s="9" t="str">
        <f t="shared" ref="E5125:E5188" ca="1" si="92">IFERROR(INDEX(D:D,MATCH(ROW(E5125)-ROW($E$3),C:C,0)),"")</f>
        <v/>
      </c>
      <c r="F5125" s="4" t="s">
        <v>28</v>
      </c>
      <c r="G5125" s="2">
        <f>IF(ISNUMBER(SEARCH(Лист2!$B$4,F:F)),1,0)</f>
        <v>0</v>
      </c>
      <c r="H5125" s="3">
        <f ca="1">IF(AND(I5125&lt;&gt;I5124,ISNUMBER(SEARCH(Лист2!$B$5,I:I)),G5125=1),MAX($H$3:OFFSET(H5125,-1,0))+1,0)</f>
        <v>0</v>
      </c>
      <c r="I5125" s="3" t="s">
        <v>404</v>
      </c>
      <c r="K5125" s="2">
        <f>IF(ISNUMBER(SEARCH(Лист2!$B$4,F:F)),1,0)</f>
        <v>0</v>
      </c>
      <c r="L5125" s="14">
        <f>IF(ISNUMBER(SEARCH(Лист2!$B$5,I:I)),1,0)+K5125</f>
        <v>0</v>
      </c>
      <c r="M5125" s="3">
        <f ca="1">IF(AND(N5125&lt;&gt;N5124,ISNUMBER(SEARCH(Лист2!$B$6,N:N)),L5125=2),MAX($M$3:OFFSET(M5125,-1,0))+1,0)</f>
        <v>0</v>
      </c>
      <c r="N5125" s="3" t="s">
        <v>3072</v>
      </c>
    </row>
    <row r="5126" spans="1:14" x14ac:dyDescent="0.25">
      <c r="A5126" s="1" t="s">
        <v>13786</v>
      </c>
      <c r="B5126" s="3" t="s">
        <v>8750</v>
      </c>
      <c r="C5126" s="2">
        <f ca="1">IF(ISNUMBER(SEARCH(Лист2!$B$4,D:D)),MAX($C$3:OFFSET(C5126,-1,0))+1,0)</f>
        <v>0</v>
      </c>
      <c r="E5126" s="9" t="str">
        <f t="shared" ca="1" si="92"/>
        <v/>
      </c>
      <c r="F5126" s="4" t="s">
        <v>28</v>
      </c>
      <c r="G5126" s="2">
        <f>IF(ISNUMBER(SEARCH(Лист2!$B$4,F:F)),1,0)</f>
        <v>0</v>
      </c>
      <c r="H5126" s="3">
        <f ca="1">IF(AND(I5126&lt;&gt;I5125,ISNUMBER(SEARCH(Лист2!$B$5,I:I)),G5126=1),MAX($H$3:OFFSET(H5126,-1,0))+1,0)</f>
        <v>0</v>
      </c>
      <c r="I5126" s="3" t="s">
        <v>404</v>
      </c>
      <c r="K5126" s="2">
        <f>IF(ISNUMBER(SEARCH(Лист2!$B$4,F:F)),1,0)</f>
        <v>0</v>
      </c>
      <c r="L5126" s="14">
        <f>IF(ISNUMBER(SEARCH(Лист2!$B$5,I:I)),1,0)+K5126</f>
        <v>0</v>
      </c>
      <c r="M5126" s="3">
        <f ca="1">IF(AND(N5126&lt;&gt;N5125,ISNUMBER(SEARCH(Лист2!$B$6,N:N)),L5126=2),MAX($M$3:OFFSET(M5126,-1,0))+1,0)</f>
        <v>0</v>
      </c>
      <c r="N5126" s="3" t="s">
        <v>3073</v>
      </c>
    </row>
    <row r="5127" spans="1:14" x14ac:dyDescent="0.25">
      <c r="A5127" s="1" t="s">
        <v>13787</v>
      </c>
      <c r="B5127" s="3" t="s">
        <v>8751</v>
      </c>
      <c r="C5127" s="2">
        <f ca="1">IF(ISNUMBER(SEARCH(Лист2!$B$4,D:D)),MAX($C$3:OFFSET(C5127,-1,0))+1,0)</f>
        <v>0</v>
      </c>
      <c r="E5127" s="9" t="str">
        <f t="shared" ca="1" si="92"/>
        <v/>
      </c>
      <c r="F5127" s="4" t="s">
        <v>28</v>
      </c>
      <c r="G5127" s="2">
        <f>IF(ISNUMBER(SEARCH(Лист2!$B$4,F:F)),1,0)</f>
        <v>0</v>
      </c>
      <c r="H5127" s="3">
        <f ca="1">IF(AND(I5127&lt;&gt;I5126,ISNUMBER(SEARCH(Лист2!$B$5,I:I)),G5127=1),MAX($H$3:OFFSET(H5127,-1,0))+1,0)</f>
        <v>0</v>
      </c>
      <c r="I5127" s="3" t="s">
        <v>405</v>
      </c>
      <c r="K5127" s="2">
        <f>IF(ISNUMBER(SEARCH(Лист2!$B$4,F:F)),1,0)</f>
        <v>0</v>
      </c>
      <c r="L5127" s="14">
        <f>IF(ISNUMBER(SEARCH(Лист2!$B$5,I:I)),1,0)+K5127</f>
        <v>0</v>
      </c>
      <c r="M5127" s="3">
        <f ca="1">IF(AND(N5127&lt;&gt;N5126,ISNUMBER(SEARCH(Лист2!$B$6,N:N)),L5127=2),MAX($M$3:OFFSET(M5127,-1,0))+1,0)</f>
        <v>0</v>
      </c>
      <c r="N5127" s="3" t="s">
        <v>3074</v>
      </c>
    </row>
    <row r="5128" spans="1:14" x14ac:dyDescent="0.25">
      <c r="A5128" s="1" t="s">
        <v>13787</v>
      </c>
      <c r="B5128" s="3" t="s">
        <v>8752</v>
      </c>
      <c r="C5128" s="2">
        <f ca="1">IF(ISNUMBER(SEARCH(Лист2!$B$4,D:D)),MAX($C$3:OFFSET(C5128,-1,0))+1,0)</f>
        <v>0</v>
      </c>
      <c r="E5128" s="9" t="str">
        <f t="shared" ca="1" si="92"/>
        <v/>
      </c>
      <c r="F5128" s="4" t="s">
        <v>28</v>
      </c>
      <c r="G5128" s="2">
        <f>IF(ISNUMBER(SEARCH(Лист2!$B$4,F:F)),1,0)</f>
        <v>0</v>
      </c>
      <c r="H5128" s="3">
        <f ca="1">IF(AND(I5128&lt;&gt;I5127,ISNUMBER(SEARCH(Лист2!$B$5,I:I)),G5128=1),MAX($H$3:OFFSET(H5128,-1,0))+1,0)</f>
        <v>0</v>
      </c>
      <c r="I5128" s="3" t="s">
        <v>405</v>
      </c>
      <c r="K5128" s="2">
        <f>IF(ISNUMBER(SEARCH(Лист2!$B$4,F:F)),1,0)</f>
        <v>0</v>
      </c>
      <c r="L5128" s="14">
        <f>IF(ISNUMBER(SEARCH(Лист2!$B$5,I:I)),1,0)+K5128</f>
        <v>0</v>
      </c>
      <c r="M5128" s="3">
        <f ca="1">IF(AND(N5128&lt;&gt;N5127,ISNUMBER(SEARCH(Лист2!$B$6,N:N)),L5128=2),MAX($M$3:OFFSET(M5128,-1,0))+1,0)</f>
        <v>0</v>
      </c>
      <c r="N5128" s="3" t="s">
        <v>3074</v>
      </c>
    </row>
    <row r="5129" spans="1:14" x14ac:dyDescent="0.25">
      <c r="A5129" s="1" t="s">
        <v>13787</v>
      </c>
      <c r="B5129" s="3" t="s">
        <v>8753</v>
      </c>
      <c r="C5129" s="2">
        <f ca="1">IF(ISNUMBER(SEARCH(Лист2!$B$4,D:D)),MAX($C$3:OFFSET(C5129,-1,0))+1,0)</f>
        <v>0</v>
      </c>
      <c r="E5129" s="9" t="str">
        <f t="shared" ca="1" si="92"/>
        <v/>
      </c>
      <c r="F5129" s="4" t="s">
        <v>28</v>
      </c>
      <c r="G5129" s="2">
        <f>IF(ISNUMBER(SEARCH(Лист2!$B$4,F:F)),1,0)</f>
        <v>0</v>
      </c>
      <c r="H5129" s="3">
        <f ca="1">IF(AND(I5129&lt;&gt;I5128,ISNUMBER(SEARCH(Лист2!$B$5,I:I)),G5129=1),MAX($H$3:OFFSET(H5129,-1,0))+1,0)</f>
        <v>0</v>
      </c>
      <c r="I5129" s="3" t="s">
        <v>405</v>
      </c>
      <c r="K5129" s="2">
        <f>IF(ISNUMBER(SEARCH(Лист2!$B$4,F:F)),1,0)</f>
        <v>0</v>
      </c>
      <c r="L5129" s="14">
        <f>IF(ISNUMBER(SEARCH(Лист2!$B$5,I:I)),1,0)+K5129</f>
        <v>0</v>
      </c>
      <c r="M5129" s="3">
        <f ca="1">IF(AND(N5129&lt;&gt;N5128,ISNUMBER(SEARCH(Лист2!$B$6,N:N)),L5129=2),MAX($M$3:OFFSET(M5129,-1,0))+1,0)</f>
        <v>0</v>
      </c>
      <c r="N5129" s="3" t="s">
        <v>3074</v>
      </c>
    </row>
    <row r="5130" spans="1:14" x14ac:dyDescent="0.25">
      <c r="A5130" s="1" t="s">
        <v>13788</v>
      </c>
      <c r="B5130" s="3" t="s">
        <v>8754</v>
      </c>
      <c r="C5130" s="2">
        <f ca="1">IF(ISNUMBER(SEARCH(Лист2!$B$4,D:D)),MAX($C$3:OFFSET(C5130,-1,0))+1,0)</f>
        <v>0</v>
      </c>
      <c r="E5130" s="9" t="str">
        <f t="shared" ca="1" si="92"/>
        <v/>
      </c>
      <c r="F5130" s="4" t="s">
        <v>28</v>
      </c>
      <c r="G5130" s="2">
        <f>IF(ISNUMBER(SEARCH(Лист2!$B$4,F:F)),1,0)</f>
        <v>0</v>
      </c>
      <c r="H5130" s="3">
        <f ca="1">IF(AND(I5130&lt;&gt;I5129,ISNUMBER(SEARCH(Лист2!$B$5,I:I)),G5130=1),MAX($H$3:OFFSET(H5130,-1,0))+1,0)</f>
        <v>0</v>
      </c>
      <c r="I5130" s="3" t="s">
        <v>405</v>
      </c>
      <c r="K5130" s="2">
        <f>IF(ISNUMBER(SEARCH(Лист2!$B$4,F:F)),1,0)</f>
        <v>0</v>
      </c>
      <c r="L5130" s="14">
        <f>IF(ISNUMBER(SEARCH(Лист2!$B$5,I:I)),1,0)+K5130</f>
        <v>0</v>
      </c>
      <c r="M5130" s="3">
        <f ca="1">IF(AND(N5130&lt;&gt;N5129,ISNUMBER(SEARCH(Лист2!$B$6,N:N)),L5130=2),MAX($M$3:OFFSET(M5130,-1,0))+1,0)</f>
        <v>0</v>
      </c>
      <c r="N5130" s="3" t="s">
        <v>3075</v>
      </c>
    </row>
    <row r="5131" spans="1:14" x14ac:dyDescent="0.25">
      <c r="A5131" s="1" t="s">
        <v>13788</v>
      </c>
      <c r="B5131" s="3" t="s">
        <v>8755</v>
      </c>
      <c r="C5131" s="2">
        <f ca="1">IF(ISNUMBER(SEARCH(Лист2!$B$4,D:D)),MAX($C$3:OFFSET(C5131,-1,0))+1,0)</f>
        <v>0</v>
      </c>
      <c r="E5131" s="9" t="str">
        <f t="shared" ca="1" si="92"/>
        <v/>
      </c>
      <c r="F5131" s="4" t="s">
        <v>28</v>
      </c>
      <c r="G5131" s="2">
        <f>IF(ISNUMBER(SEARCH(Лист2!$B$4,F:F)),1,0)</f>
        <v>0</v>
      </c>
      <c r="H5131" s="3">
        <f ca="1">IF(AND(I5131&lt;&gt;I5130,ISNUMBER(SEARCH(Лист2!$B$5,I:I)),G5131=1),MAX($H$3:OFFSET(H5131,-1,0))+1,0)</f>
        <v>0</v>
      </c>
      <c r="I5131" s="3" t="s">
        <v>405</v>
      </c>
      <c r="K5131" s="2">
        <f>IF(ISNUMBER(SEARCH(Лист2!$B$4,F:F)),1,0)</f>
        <v>0</v>
      </c>
      <c r="L5131" s="14">
        <f>IF(ISNUMBER(SEARCH(Лист2!$B$5,I:I)),1,0)+K5131</f>
        <v>0</v>
      </c>
      <c r="M5131" s="3">
        <f ca="1">IF(AND(N5131&lt;&gt;N5130,ISNUMBER(SEARCH(Лист2!$B$6,N:N)),L5131=2),MAX($M$3:OFFSET(M5131,-1,0))+1,0)</f>
        <v>0</v>
      </c>
      <c r="N5131" s="3" t="s">
        <v>3075</v>
      </c>
    </row>
    <row r="5132" spans="1:14" x14ac:dyDescent="0.25">
      <c r="A5132" s="1" t="s">
        <v>13789</v>
      </c>
      <c r="B5132" s="3" t="s">
        <v>8756</v>
      </c>
      <c r="C5132" s="2">
        <f ca="1">IF(ISNUMBER(SEARCH(Лист2!$B$4,D:D)),MAX($C$3:OFFSET(C5132,-1,0))+1,0)</f>
        <v>0</v>
      </c>
      <c r="E5132" s="9" t="str">
        <f t="shared" ca="1" si="92"/>
        <v/>
      </c>
      <c r="F5132" s="4" t="s">
        <v>28</v>
      </c>
      <c r="G5132" s="2">
        <f>IF(ISNUMBER(SEARCH(Лист2!$B$4,F:F)),1,0)</f>
        <v>0</v>
      </c>
      <c r="H5132" s="3">
        <f ca="1">IF(AND(I5132&lt;&gt;I5131,ISNUMBER(SEARCH(Лист2!$B$5,I:I)),G5132=1),MAX($H$3:OFFSET(H5132,-1,0))+1,0)</f>
        <v>0</v>
      </c>
      <c r="I5132" s="3" t="s">
        <v>405</v>
      </c>
      <c r="K5132" s="2">
        <f>IF(ISNUMBER(SEARCH(Лист2!$B$4,F:F)),1,0)</f>
        <v>0</v>
      </c>
      <c r="L5132" s="14">
        <f>IF(ISNUMBER(SEARCH(Лист2!$B$5,I:I)),1,0)+K5132</f>
        <v>0</v>
      </c>
      <c r="M5132" s="3">
        <f ca="1">IF(AND(N5132&lt;&gt;N5131,ISNUMBER(SEARCH(Лист2!$B$6,N:N)),L5132=2),MAX($M$3:OFFSET(M5132,-1,0))+1,0)</f>
        <v>0</v>
      </c>
      <c r="N5132" s="3" t="s">
        <v>3076</v>
      </c>
    </row>
    <row r="5133" spans="1:14" x14ac:dyDescent="0.25">
      <c r="A5133" s="1" t="s">
        <v>13790</v>
      </c>
      <c r="B5133" s="3" t="s">
        <v>8757</v>
      </c>
      <c r="C5133" s="2">
        <f ca="1">IF(ISNUMBER(SEARCH(Лист2!$B$4,D:D)),MAX($C$3:OFFSET(C5133,-1,0))+1,0)</f>
        <v>0</v>
      </c>
      <c r="E5133" s="9" t="str">
        <f t="shared" ca="1" si="92"/>
        <v/>
      </c>
      <c r="F5133" s="4" t="s">
        <v>28</v>
      </c>
      <c r="G5133" s="2">
        <f>IF(ISNUMBER(SEARCH(Лист2!$B$4,F:F)),1,0)</f>
        <v>0</v>
      </c>
      <c r="H5133" s="3">
        <f ca="1">IF(AND(I5133&lt;&gt;I5132,ISNUMBER(SEARCH(Лист2!$B$5,I:I)),G5133=1),MAX($H$3:OFFSET(H5133,-1,0))+1,0)</f>
        <v>0</v>
      </c>
      <c r="I5133" s="3" t="s">
        <v>405</v>
      </c>
      <c r="K5133" s="2">
        <f>IF(ISNUMBER(SEARCH(Лист2!$B$4,F:F)),1,0)</f>
        <v>0</v>
      </c>
      <c r="L5133" s="14">
        <f>IF(ISNUMBER(SEARCH(Лист2!$B$5,I:I)),1,0)+K5133</f>
        <v>0</v>
      </c>
      <c r="M5133" s="3">
        <f ca="1">IF(AND(N5133&lt;&gt;N5132,ISNUMBER(SEARCH(Лист2!$B$6,N:N)),L5133=2),MAX($M$3:OFFSET(M5133,-1,0))+1,0)</f>
        <v>0</v>
      </c>
      <c r="N5133" s="3" t="s">
        <v>2925</v>
      </c>
    </row>
    <row r="5134" spans="1:14" x14ac:dyDescent="0.25">
      <c r="A5134" s="1" t="s">
        <v>13791</v>
      </c>
      <c r="B5134" s="3" t="s">
        <v>8758</v>
      </c>
      <c r="C5134" s="2">
        <f ca="1">IF(ISNUMBER(SEARCH(Лист2!$B$4,D:D)),MAX($C$3:OFFSET(C5134,-1,0))+1,0)</f>
        <v>0</v>
      </c>
      <c r="E5134" s="9" t="str">
        <f t="shared" ca="1" si="92"/>
        <v/>
      </c>
      <c r="F5134" s="4" t="s">
        <v>28</v>
      </c>
      <c r="G5134" s="2">
        <f>IF(ISNUMBER(SEARCH(Лист2!$B$4,F:F)),1,0)</f>
        <v>0</v>
      </c>
      <c r="H5134" s="3">
        <f ca="1">IF(AND(I5134&lt;&gt;I5133,ISNUMBER(SEARCH(Лист2!$B$5,I:I)),G5134=1),MAX($H$3:OFFSET(H5134,-1,0))+1,0)</f>
        <v>0</v>
      </c>
      <c r="I5134" s="3" t="s">
        <v>405</v>
      </c>
      <c r="K5134" s="2">
        <f>IF(ISNUMBER(SEARCH(Лист2!$B$4,F:F)),1,0)</f>
        <v>0</v>
      </c>
      <c r="L5134" s="14">
        <f>IF(ISNUMBER(SEARCH(Лист2!$B$5,I:I)),1,0)+K5134</f>
        <v>0</v>
      </c>
      <c r="M5134" s="3">
        <f ca="1">IF(AND(N5134&lt;&gt;N5133,ISNUMBER(SEARCH(Лист2!$B$6,N:N)),L5134=2),MAX($M$3:OFFSET(M5134,-1,0))+1,0)</f>
        <v>0</v>
      </c>
      <c r="N5134" s="3" t="s">
        <v>3000</v>
      </c>
    </row>
    <row r="5135" spans="1:14" x14ac:dyDescent="0.25">
      <c r="A5135" s="1" t="s">
        <v>13792</v>
      </c>
      <c r="B5135" s="3" t="s">
        <v>8759</v>
      </c>
      <c r="C5135" s="2">
        <f ca="1">IF(ISNUMBER(SEARCH(Лист2!$B$4,D:D)),MAX($C$3:OFFSET(C5135,-1,0))+1,0)</f>
        <v>0</v>
      </c>
      <c r="E5135" s="9" t="str">
        <f t="shared" ca="1" si="92"/>
        <v/>
      </c>
      <c r="F5135" s="4" t="s">
        <v>28</v>
      </c>
      <c r="G5135" s="2">
        <f>IF(ISNUMBER(SEARCH(Лист2!$B$4,F:F)),1,0)</f>
        <v>0</v>
      </c>
      <c r="H5135" s="3">
        <f ca="1">IF(AND(I5135&lt;&gt;I5134,ISNUMBER(SEARCH(Лист2!$B$5,I:I)),G5135=1),MAX($H$3:OFFSET(H5135,-1,0))+1,0)</f>
        <v>0</v>
      </c>
      <c r="I5135" s="3" t="s">
        <v>405</v>
      </c>
      <c r="K5135" s="2">
        <f>IF(ISNUMBER(SEARCH(Лист2!$B$4,F:F)),1,0)</f>
        <v>0</v>
      </c>
      <c r="L5135" s="14">
        <f>IF(ISNUMBER(SEARCH(Лист2!$B$5,I:I)),1,0)+K5135</f>
        <v>0</v>
      </c>
      <c r="M5135" s="3">
        <f ca="1">IF(AND(N5135&lt;&gt;N5134,ISNUMBER(SEARCH(Лист2!$B$6,N:N)),L5135=2),MAX($M$3:OFFSET(M5135,-1,0))+1,0)</f>
        <v>0</v>
      </c>
      <c r="N5135" s="3" t="s">
        <v>602</v>
      </c>
    </row>
    <row r="5136" spans="1:14" x14ac:dyDescent="0.25">
      <c r="A5136" s="1" t="s">
        <v>13793</v>
      </c>
      <c r="B5136" s="3" t="s">
        <v>8760</v>
      </c>
      <c r="C5136" s="2">
        <f ca="1">IF(ISNUMBER(SEARCH(Лист2!$B$4,D:D)),MAX($C$3:OFFSET(C5136,-1,0))+1,0)</f>
        <v>0</v>
      </c>
      <c r="E5136" s="9" t="str">
        <f t="shared" ca="1" si="92"/>
        <v/>
      </c>
      <c r="F5136" s="4" t="s">
        <v>28</v>
      </c>
      <c r="G5136" s="2">
        <f>IF(ISNUMBER(SEARCH(Лист2!$B$4,F:F)),1,0)</f>
        <v>0</v>
      </c>
      <c r="H5136" s="3">
        <f ca="1">IF(AND(I5136&lt;&gt;I5135,ISNUMBER(SEARCH(Лист2!$B$5,I:I)),G5136=1),MAX($H$3:OFFSET(H5136,-1,0))+1,0)</f>
        <v>0</v>
      </c>
      <c r="I5136" s="3" t="s">
        <v>405</v>
      </c>
      <c r="K5136" s="2">
        <f>IF(ISNUMBER(SEARCH(Лист2!$B$4,F:F)),1,0)</f>
        <v>0</v>
      </c>
      <c r="L5136" s="14">
        <f>IF(ISNUMBER(SEARCH(Лист2!$B$5,I:I)),1,0)+K5136</f>
        <v>0</v>
      </c>
      <c r="M5136" s="3">
        <f ca="1">IF(AND(N5136&lt;&gt;N5135,ISNUMBER(SEARCH(Лист2!$B$6,N:N)),L5136=2),MAX($M$3:OFFSET(M5136,-1,0))+1,0)</f>
        <v>0</v>
      </c>
      <c r="N5136" s="3" t="s">
        <v>3077</v>
      </c>
    </row>
    <row r="5137" spans="1:14" x14ac:dyDescent="0.25">
      <c r="A5137" s="1" t="s">
        <v>13794</v>
      </c>
      <c r="B5137" s="3" t="s">
        <v>8761</v>
      </c>
      <c r="C5137" s="2">
        <f ca="1">IF(ISNUMBER(SEARCH(Лист2!$B$4,D:D)),MAX($C$3:OFFSET(C5137,-1,0))+1,0)</f>
        <v>0</v>
      </c>
      <c r="E5137" s="9" t="str">
        <f t="shared" ca="1" si="92"/>
        <v/>
      </c>
      <c r="F5137" s="4" t="s">
        <v>28</v>
      </c>
      <c r="G5137" s="2">
        <f>IF(ISNUMBER(SEARCH(Лист2!$B$4,F:F)),1,0)</f>
        <v>0</v>
      </c>
      <c r="H5137" s="3">
        <f ca="1">IF(AND(I5137&lt;&gt;I5136,ISNUMBER(SEARCH(Лист2!$B$5,I:I)),G5137=1),MAX($H$3:OFFSET(H5137,-1,0))+1,0)</f>
        <v>0</v>
      </c>
      <c r="I5137" s="3" t="s">
        <v>405</v>
      </c>
      <c r="K5137" s="2">
        <f>IF(ISNUMBER(SEARCH(Лист2!$B$4,F:F)),1,0)</f>
        <v>0</v>
      </c>
      <c r="L5137" s="14">
        <f>IF(ISNUMBER(SEARCH(Лист2!$B$5,I:I)),1,0)+K5137</f>
        <v>0</v>
      </c>
      <c r="M5137" s="3">
        <f ca="1">IF(AND(N5137&lt;&gt;N5136,ISNUMBER(SEARCH(Лист2!$B$6,N:N)),L5137=2),MAX($M$3:OFFSET(M5137,-1,0))+1,0)</f>
        <v>0</v>
      </c>
      <c r="N5137" s="3" t="s">
        <v>3078</v>
      </c>
    </row>
    <row r="5138" spans="1:14" x14ac:dyDescent="0.25">
      <c r="A5138" s="1" t="s">
        <v>13795</v>
      </c>
      <c r="B5138" s="3" t="s">
        <v>8762</v>
      </c>
      <c r="C5138" s="2">
        <f ca="1">IF(ISNUMBER(SEARCH(Лист2!$B$4,D:D)),MAX($C$3:OFFSET(C5138,-1,0))+1,0)</f>
        <v>0</v>
      </c>
      <c r="E5138" s="9" t="str">
        <f t="shared" ca="1" si="92"/>
        <v/>
      </c>
      <c r="F5138" s="4" t="s">
        <v>28</v>
      </c>
      <c r="G5138" s="2">
        <f>IF(ISNUMBER(SEARCH(Лист2!$B$4,F:F)),1,0)</f>
        <v>0</v>
      </c>
      <c r="H5138" s="3">
        <f ca="1">IF(AND(I5138&lt;&gt;I5137,ISNUMBER(SEARCH(Лист2!$B$5,I:I)),G5138=1),MAX($H$3:OFFSET(H5138,-1,0))+1,0)</f>
        <v>0</v>
      </c>
      <c r="I5138" s="3" t="s">
        <v>405</v>
      </c>
      <c r="K5138" s="2">
        <f>IF(ISNUMBER(SEARCH(Лист2!$B$4,F:F)),1,0)</f>
        <v>0</v>
      </c>
      <c r="L5138" s="14">
        <f>IF(ISNUMBER(SEARCH(Лист2!$B$5,I:I)),1,0)+K5138</f>
        <v>0</v>
      </c>
      <c r="M5138" s="3">
        <f ca="1">IF(AND(N5138&lt;&gt;N5137,ISNUMBER(SEARCH(Лист2!$B$6,N:N)),L5138=2),MAX($M$3:OFFSET(M5138,-1,0))+1,0)</f>
        <v>0</v>
      </c>
      <c r="N5138" s="3" t="s">
        <v>2929</v>
      </c>
    </row>
    <row r="5139" spans="1:14" x14ac:dyDescent="0.25">
      <c r="A5139" s="1" t="s">
        <v>13796</v>
      </c>
      <c r="B5139" s="3" t="s">
        <v>8763</v>
      </c>
      <c r="C5139" s="2">
        <f ca="1">IF(ISNUMBER(SEARCH(Лист2!$B$4,D:D)),MAX($C$3:OFFSET(C5139,-1,0))+1,0)</f>
        <v>0</v>
      </c>
      <c r="E5139" s="9" t="str">
        <f t="shared" ca="1" si="92"/>
        <v/>
      </c>
      <c r="F5139" s="4" t="s">
        <v>28</v>
      </c>
      <c r="G5139" s="2">
        <f>IF(ISNUMBER(SEARCH(Лист2!$B$4,F:F)),1,0)</f>
        <v>0</v>
      </c>
      <c r="H5139" s="3">
        <f ca="1">IF(AND(I5139&lt;&gt;I5138,ISNUMBER(SEARCH(Лист2!$B$5,I:I)),G5139=1),MAX($H$3:OFFSET(H5139,-1,0))+1,0)</f>
        <v>0</v>
      </c>
      <c r="I5139" s="3" t="s">
        <v>405</v>
      </c>
      <c r="K5139" s="2">
        <f>IF(ISNUMBER(SEARCH(Лист2!$B$4,F:F)),1,0)</f>
        <v>0</v>
      </c>
      <c r="L5139" s="14">
        <f>IF(ISNUMBER(SEARCH(Лист2!$B$5,I:I)),1,0)+K5139</f>
        <v>0</v>
      </c>
      <c r="M5139" s="3">
        <f ca="1">IF(AND(N5139&lt;&gt;N5138,ISNUMBER(SEARCH(Лист2!$B$6,N:N)),L5139=2),MAX($M$3:OFFSET(M5139,-1,0))+1,0)</f>
        <v>0</v>
      </c>
      <c r="N5139" s="3" t="s">
        <v>3079</v>
      </c>
    </row>
    <row r="5140" spans="1:14" x14ac:dyDescent="0.25">
      <c r="A5140" s="1" t="s">
        <v>13797</v>
      </c>
      <c r="B5140" s="3" t="s">
        <v>8764</v>
      </c>
      <c r="C5140" s="2">
        <f ca="1">IF(ISNUMBER(SEARCH(Лист2!$B$4,D:D)),MAX($C$3:OFFSET(C5140,-1,0))+1,0)</f>
        <v>0</v>
      </c>
      <c r="E5140" s="9" t="str">
        <f t="shared" ca="1" si="92"/>
        <v/>
      </c>
      <c r="F5140" s="4" t="s">
        <v>28</v>
      </c>
      <c r="G5140" s="2">
        <f>IF(ISNUMBER(SEARCH(Лист2!$B$4,F:F)),1,0)</f>
        <v>0</v>
      </c>
      <c r="H5140" s="3">
        <f ca="1">IF(AND(I5140&lt;&gt;I5139,ISNUMBER(SEARCH(Лист2!$B$5,I:I)),G5140=1),MAX($H$3:OFFSET(H5140,-1,0))+1,0)</f>
        <v>0</v>
      </c>
      <c r="I5140" s="3" t="s">
        <v>405</v>
      </c>
      <c r="K5140" s="2">
        <f>IF(ISNUMBER(SEARCH(Лист2!$B$4,F:F)),1,0)</f>
        <v>0</v>
      </c>
      <c r="L5140" s="14">
        <f>IF(ISNUMBER(SEARCH(Лист2!$B$5,I:I)),1,0)+K5140</f>
        <v>0</v>
      </c>
      <c r="M5140" s="3">
        <f ca="1">IF(AND(N5140&lt;&gt;N5139,ISNUMBER(SEARCH(Лист2!$B$6,N:N)),L5140=2),MAX($M$3:OFFSET(M5140,-1,0))+1,0)</f>
        <v>0</v>
      </c>
      <c r="N5140" s="3" t="s">
        <v>3080</v>
      </c>
    </row>
    <row r="5141" spans="1:14" x14ac:dyDescent="0.25">
      <c r="A5141" s="1" t="s">
        <v>13797</v>
      </c>
      <c r="B5141" s="3" t="s">
        <v>8765</v>
      </c>
      <c r="C5141" s="2">
        <f ca="1">IF(ISNUMBER(SEARCH(Лист2!$B$4,D:D)),MAX($C$3:OFFSET(C5141,-1,0))+1,0)</f>
        <v>0</v>
      </c>
      <c r="E5141" s="9" t="str">
        <f t="shared" ca="1" si="92"/>
        <v/>
      </c>
      <c r="F5141" s="4" t="s">
        <v>28</v>
      </c>
      <c r="G5141" s="2">
        <f>IF(ISNUMBER(SEARCH(Лист2!$B$4,F:F)),1,0)</f>
        <v>0</v>
      </c>
      <c r="H5141" s="3">
        <f ca="1">IF(AND(I5141&lt;&gt;I5140,ISNUMBER(SEARCH(Лист2!$B$5,I:I)),G5141=1),MAX($H$3:OFFSET(H5141,-1,0))+1,0)</f>
        <v>0</v>
      </c>
      <c r="I5141" s="3" t="s">
        <v>405</v>
      </c>
      <c r="K5141" s="2">
        <f>IF(ISNUMBER(SEARCH(Лист2!$B$4,F:F)),1,0)</f>
        <v>0</v>
      </c>
      <c r="L5141" s="14">
        <f>IF(ISNUMBER(SEARCH(Лист2!$B$5,I:I)),1,0)+K5141</f>
        <v>0</v>
      </c>
      <c r="M5141" s="3">
        <f ca="1">IF(AND(N5141&lt;&gt;N5140,ISNUMBER(SEARCH(Лист2!$B$6,N:N)),L5141=2),MAX($M$3:OFFSET(M5141,-1,0))+1,0)</f>
        <v>0</v>
      </c>
      <c r="N5141" s="3" t="s">
        <v>3080</v>
      </c>
    </row>
    <row r="5142" spans="1:14" x14ac:dyDescent="0.25">
      <c r="A5142" s="1" t="s">
        <v>13797</v>
      </c>
      <c r="B5142" s="3" t="s">
        <v>8766</v>
      </c>
      <c r="C5142" s="2">
        <f ca="1">IF(ISNUMBER(SEARCH(Лист2!$B$4,D:D)),MAX($C$3:OFFSET(C5142,-1,0))+1,0)</f>
        <v>0</v>
      </c>
      <c r="E5142" s="9" t="str">
        <f t="shared" ca="1" si="92"/>
        <v/>
      </c>
      <c r="F5142" s="4" t="s">
        <v>28</v>
      </c>
      <c r="G5142" s="2">
        <f>IF(ISNUMBER(SEARCH(Лист2!$B$4,F:F)),1,0)</f>
        <v>0</v>
      </c>
      <c r="H5142" s="3">
        <f ca="1">IF(AND(I5142&lt;&gt;I5141,ISNUMBER(SEARCH(Лист2!$B$5,I:I)),G5142=1),MAX($H$3:OFFSET(H5142,-1,0))+1,0)</f>
        <v>0</v>
      </c>
      <c r="I5142" s="3" t="s">
        <v>405</v>
      </c>
      <c r="K5142" s="2">
        <f>IF(ISNUMBER(SEARCH(Лист2!$B$4,F:F)),1,0)</f>
        <v>0</v>
      </c>
      <c r="L5142" s="14">
        <f>IF(ISNUMBER(SEARCH(Лист2!$B$5,I:I)),1,0)+K5142</f>
        <v>0</v>
      </c>
      <c r="M5142" s="3">
        <f ca="1">IF(AND(N5142&lt;&gt;N5141,ISNUMBER(SEARCH(Лист2!$B$6,N:N)),L5142=2),MAX($M$3:OFFSET(M5142,-1,0))+1,0)</f>
        <v>0</v>
      </c>
      <c r="N5142" s="3" t="s">
        <v>3080</v>
      </c>
    </row>
    <row r="5143" spans="1:14" x14ac:dyDescent="0.25">
      <c r="A5143" s="1" t="s">
        <v>13798</v>
      </c>
      <c r="B5143" s="3" t="s">
        <v>8767</v>
      </c>
      <c r="C5143" s="2">
        <f ca="1">IF(ISNUMBER(SEARCH(Лист2!$B$4,D:D)),MAX($C$3:OFFSET(C5143,-1,0))+1,0)</f>
        <v>0</v>
      </c>
      <c r="E5143" s="9" t="str">
        <f t="shared" ca="1" si="92"/>
        <v/>
      </c>
      <c r="F5143" s="4" t="s">
        <v>28</v>
      </c>
      <c r="G5143" s="2">
        <f>IF(ISNUMBER(SEARCH(Лист2!$B$4,F:F)),1,0)</f>
        <v>0</v>
      </c>
      <c r="H5143" s="3">
        <f ca="1">IF(AND(I5143&lt;&gt;I5142,ISNUMBER(SEARCH(Лист2!$B$5,I:I)),G5143=1),MAX($H$3:OFFSET(H5143,-1,0))+1,0)</f>
        <v>0</v>
      </c>
      <c r="I5143" s="3" t="s">
        <v>405</v>
      </c>
      <c r="K5143" s="2">
        <f>IF(ISNUMBER(SEARCH(Лист2!$B$4,F:F)),1,0)</f>
        <v>0</v>
      </c>
      <c r="L5143" s="14">
        <f>IF(ISNUMBER(SEARCH(Лист2!$B$5,I:I)),1,0)+K5143</f>
        <v>0</v>
      </c>
      <c r="M5143" s="3">
        <f ca="1">IF(AND(N5143&lt;&gt;N5142,ISNUMBER(SEARCH(Лист2!$B$6,N:N)),L5143=2),MAX($M$3:OFFSET(M5143,-1,0))+1,0)</f>
        <v>0</v>
      </c>
      <c r="N5143" s="3" t="s">
        <v>3081</v>
      </c>
    </row>
    <row r="5144" spans="1:14" x14ac:dyDescent="0.25">
      <c r="A5144" s="1" t="s">
        <v>13799</v>
      </c>
      <c r="B5144" s="3" t="s">
        <v>8768</v>
      </c>
      <c r="C5144" s="2">
        <f ca="1">IF(ISNUMBER(SEARCH(Лист2!$B$4,D:D)),MAX($C$3:OFFSET(C5144,-1,0))+1,0)</f>
        <v>0</v>
      </c>
      <c r="E5144" s="9" t="str">
        <f t="shared" ca="1" si="92"/>
        <v/>
      </c>
      <c r="F5144" s="4" t="s">
        <v>28</v>
      </c>
      <c r="G5144" s="2">
        <f>IF(ISNUMBER(SEARCH(Лист2!$B$4,F:F)),1,0)</f>
        <v>0</v>
      </c>
      <c r="H5144" s="3">
        <f ca="1">IF(AND(I5144&lt;&gt;I5143,ISNUMBER(SEARCH(Лист2!$B$5,I:I)),G5144=1),MAX($H$3:OFFSET(H5144,-1,0))+1,0)</f>
        <v>0</v>
      </c>
      <c r="I5144" s="3" t="s">
        <v>405</v>
      </c>
      <c r="K5144" s="2">
        <f>IF(ISNUMBER(SEARCH(Лист2!$B$4,F:F)),1,0)</f>
        <v>0</v>
      </c>
      <c r="L5144" s="14">
        <f>IF(ISNUMBER(SEARCH(Лист2!$B$5,I:I)),1,0)+K5144</f>
        <v>0</v>
      </c>
      <c r="M5144" s="3">
        <f ca="1">IF(AND(N5144&lt;&gt;N5143,ISNUMBER(SEARCH(Лист2!$B$6,N:N)),L5144=2),MAX($M$3:OFFSET(M5144,-1,0))+1,0)</f>
        <v>0</v>
      </c>
      <c r="N5144" s="3" t="s">
        <v>3043</v>
      </c>
    </row>
    <row r="5145" spans="1:14" x14ac:dyDescent="0.25">
      <c r="A5145" s="1" t="s">
        <v>13800</v>
      </c>
      <c r="B5145" s="3" t="s">
        <v>8769</v>
      </c>
      <c r="C5145" s="2">
        <f ca="1">IF(ISNUMBER(SEARCH(Лист2!$B$4,D:D)),MAX($C$3:OFFSET(C5145,-1,0))+1,0)</f>
        <v>0</v>
      </c>
      <c r="E5145" s="9" t="str">
        <f t="shared" ca="1" si="92"/>
        <v/>
      </c>
      <c r="F5145" s="4" t="s">
        <v>28</v>
      </c>
      <c r="G5145" s="2">
        <f>IF(ISNUMBER(SEARCH(Лист2!$B$4,F:F)),1,0)</f>
        <v>0</v>
      </c>
      <c r="H5145" s="3">
        <f ca="1">IF(AND(I5145&lt;&gt;I5144,ISNUMBER(SEARCH(Лист2!$B$5,I:I)),G5145=1),MAX($H$3:OFFSET(H5145,-1,0))+1,0)</f>
        <v>0</v>
      </c>
      <c r="I5145" s="3" t="s">
        <v>405</v>
      </c>
      <c r="K5145" s="2">
        <f>IF(ISNUMBER(SEARCH(Лист2!$B$4,F:F)),1,0)</f>
        <v>0</v>
      </c>
      <c r="L5145" s="14">
        <f>IF(ISNUMBER(SEARCH(Лист2!$B$5,I:I)),1,0)+K5145</f>
        <v>0</v>
      </c>
      <c r="M5145" s="3">
        <f ca="1">IF(AND(N5145&lt;&gt;N5144,ISNUMBER(SEARCH(Лист2!$B$6,N:N)),L5145=2),MAX($M$3:OFFSET(M5145,-1,0))+1,0)</f>
        <v>0</v>
      </c>
      <c r="N5145" s="3" t="s">
        <v>3044</v>
      </c>
    </row>
    <row r="5146" spans="1:14" x14ac:dyDescent="0.25">
      <c r="A5146" s="1" t="s">
        <v>13801</v>
      </c>
      <c r="B5146" s="3" t="s">
        <v>8770</v>
      </c>
      <c r="C5146" s="2">
        <f ca="1">IF(ISNUMBER(SEARCH(Лист2!$B$4,D:D)),MAX($C$3:OFFSET(C5146,-1,0))+1,0)</f>
        <v>0</v>
      </c>
      <c r="E5146" s="9" t="str">
        <f t="shared" ca="1" si="92"/>
        <v/>
      </c>
      <c r="F5146" s="4" t="s">
        <v>28</v>
      </c>
      <c r="G5146" s="2">
        <f>IF(ISNUMBER(SEARCH(Лист2!$B$4,F:F)),1,0)</f>
        <v>0</v>
      </c>
      <c r="H5146" s="3">
        <f ca="1">IF(AND(I5146&lt;&gt;I5145,ISNUMBER(SEARCH(Лист2!$B$5,I:I)),G5146=1),MAX($H$3:OFFSET(H5146,-1,0))+1,0)</f>
        <v>0</v>
      </c>
      <c r="I5146" s="3" t="s">
        <v>405</v>
      </c>
      <c r="K5146" s="2">
        <f>IF(ISNUMBER(SEARCH(Лист2!$B$4,F:F)),1,0)</f>
        <v>0</v>
      </c>
      <c r="L5146" s="14">
        <f>IF(ISNUMBER(SEARCH(Лист2!$B$5,I:I)),1,0)+K5146</f>
        <v>0</v>
      </c>
      <c r="M5146" s="3">
        <f ca="1">IF(AND(N5146&lt;&gt;N5145,ISNUMBER(SEARCH(Лист2!$B$6,N:N)),L5146=2),MAX($M$3:OFFSET(M5146,-1,0))+1,0)</f>
        <v>0</v>
      </c>
      <c r="N5146" s="3" t="s">
        <v>3082</v>
      </c>
    </row>
    <row r="5147" spans="1:14" x14ac:dyDescent="0.25">
      <c r="A5147" s="1" t="s">
        <v>13802</v>
      </c>
      <c r="B5147" s="3" t="s">
        <v>8771</v>
      </c>
      <c r="C5147" s="2">
        <f ca="1">IF(ISNUMBER(SEARCH(Лист2!$B$4,D:D)),MAX($C$3:OFFSET(C5147,-1,0))+1,0)</f>
        <v>0</v>
      </c>
      <c r="E5147" s="9" t="str">
        <f t="shared" ca="1" si="92"/>
        <v/>
      </c>
      <c r="F5147" s="4" t="s">
        <v>28</v>
      </c>
      <c r="G5147" s="2">
        <f>IF(ISNUMBER(SEARCH(Лист2!$B$4,F:F)),1,0)</f>
        <v>0</v>
      </c>
      <c r="H5147" s="3">
        <f ca="1">IF(AND(I5147&lt;&gt;I5146,ISNUMBER(SEARCH(Лист2!$B$5,I:I)),G5147=1),MAX($H$3:OFFSET(H5147,-1,0))+1,0)</f>
        <v>0</v>
      </c>
      <c r="I5147" s="3" t="s">
        <v>405</v>
      </c>
      <c r="K5147" s="2">
        <f>IF(ISNUMBER(SEARCH(Лист2!$B$4,F:F)),1,0)</f>
        <v>0</v>
      </c>
      <c r="L5147" s="14">
        <f>IF(ISNUMBER(SEARCH(Лист2!$B$5,I:I)),1,0)+K5147</f>
        <v>0</v>
      </c>
      <c r="M5147" s="3">
        <f ca="1">IF(AND(N5147&lt;&gt;N5146,ISNUMBER(SEARCH(Лист2!$B$6,N:N)),L5147=2),MAX($M$3:OFFSET(M5147,-1,0))+1,0)</f>
        <v>0</v>
      </c>
      <c r="N5147" s="3" t="s">
        <v>3083</v>
      </c>
    </row>
    <row r="5148" spans="1:14" x14ac:dyDescent="0.25">
      <c r="A5148" s="1" t="s">
        <v>13803</v>
      </c>
      <c r="B5148" s="3" t="s">
        <v>8772</v>
      </c>
      <c r="C5148" s="2">
        <f ca="1">IF(ISNUMBER(SEARCH(Лист2!$B$4,D:D)),MAX($C$3:OFFSET(C5148,-1,0))+1,0)</f>
        <v>0</v>
      </c>
      <c r="E5148" s="9" t="str">
        <f t="shared" ca="1" si="92"/>
        <v/>
      </c>
      <c r="F5148" s="4" t="s">
        <v>28</v>
      </c>
      <c r="G5148" s="2">
        <f>IF(ISNUMBER(SEARCH(Лист2!$B$4,F:F)),1,0)</f>
        <v>0</v>
      </c>
      <c r="H5148" s="3">
        <f ca="1">IF(AND(I5148&lt;&gt;I5147,ISNUMBER(SEARCH(Лист2!$B$5,I:I)),G5148=1),MAX($H$3:OFFSET(H5148,-1,0))+1,0)</f>
        <v>0</v>
      </c>
      <c r="I5148" s="3" t="s">
        <v>406</v>
      </c>
      <c r="K5148" s="2">
        <f>IF(ISNUMBER(SEARCH(Лист2!$B$4,F:F)),1,0)</f>
        <v>0</v>
      </c>
      <c r="L5148" s="14">
        <f>IF(ISNUMBER(SEARCH(Лист2!$B$5,I:I)),1,0)+K5148</f>
        <v>0</v>
      </c>
      <c r="M5148" s="3">
        <f ca="1">IF(AND(N5148&lt;&gt;N5147,ISNUMBER(SEARCH(Лист2!$B$6,N:N)),L5148=2),MAX($M$3:OFFSET(M5148,-1,0))+1,0)</f>
        <v>0</v>
      </c>
      <c r="N5148" s="3" t="s">
        <v>3084</v>
      </c>
    </row>
    <row r="5149" spans="1:14" x14ac:dyDescent="0.25">
      <c r="A5149" s="1" t="s">
        <v>13803</v>
      </c>
      <c r="B5149" s="3" t="s">
        <v>8773</v>
      </c>
      <c r="C5149" s="2">
        <f ca="1">IF(ISNUMBER(SEARCH(Лист2!$B$4,D:D)),MAX($C$3:OFFSET(C5149,-1,0))+1,0)</f>
        <v>0</v>
      </c>
      <c r="E5149" s="9" t="str">
        <f t="shared" ca="1" si="92"/>
        <v/>
      </c>
      <c r="F5149" s="4" t="s">
        <v>28</v>
      </c>
      <c r="G5149" s="2">
        <f>IF(ISNUMBER(SEARCH(Лист2!$B$4,F:F)),1,0)</f>
        <v>0</v>
      </c>
      <c r="H5149" s="3">
        <f ca="1">IF(AND(I5149&lt;&gt;I5148,ISNUMBER(SEARCH(Лист2!$B$5,I:I)),G5149=1),MAX($H$3:OFFSET(H5149,-1,0))+1,0)</f>
        <v>0</v>
      </c>
      <c r="I5149" s="3" t="s">
        <v>406</v>
      </c>
      <c r="K5149" s="2">
        <f>IF(ISNUMBER(SEARCH(Лист2!$B$4,F:F)),1,0)</f>
        <v>0</v>
      </c>
      <c r="L5149" s="14">
        <f>IF(ISNUMBER(SEARCH(Лист2!$B$5,I:I)),1,0)+K5149</f>
        <v>0</v>
      </c>
      <c r="M5149" s="3">
        <f ca="1">IF(AND(N5149&lt;&gt;N5148,ISNUMBER(SEARCH(Лист2!$B$6,N:N)),L5149=2),MAX($M$3:OFFSET(M5149,-1,0))+1,0)</f>
        <v>0</v>
      </c>
      <c r="N5149" s="3" t="s">
        <v>3084</v>
      </c>
    </row>
    <row r="5150" spans="1:14" x14ac:dyDescent="0.25">
      <c r="A5150" s="1" t="s">
        <v>13803</v>
      </c>
      <c r="B5150" s="3" t="s">
        <v>8774</v>
      </c>
      <c r="C5150" s="2">
        <f ca="1">IF(ISNUMBER(SEARCH(Лист2!$B$4,D:D)),MAX($C$3:OFFSET(C5150,-1,0))+1,0)</f>
        <v>0</v>
      </c>
      <c r="E5150" s="9" t="str">
        <f t="shared" ca="1" si="92"/>
        <v/>
      </c>
      <c r="F5150" s="4" t="s">
        <v>28</v>
      </c>
      <c r="G5150" s="2">
        <f>IF(ISNUMBER(SEARCH(Лист2!$B$4,F:F)),1,0)</f>
        <v>0</v>
      </c>
      <c r="H5150" s="3">
        <f ca="1">IF(AND(I5150&lt;&gt;I5149,ISNUMBER(SEARCH(Лист2!$B$5,I:I)),G5150=1),MAX($H$3:OFFSET(H5150,-1,0))+1,0)</f>
        <v>0</v>
      </c>
      <c r="I5150" s="3" t="s">
        <v>406</v>
      </c>
      <c r="K5150" s="2">
        <f>IF(ISNUMBER(SEARCH(Лист2!$B$4,F:F)),1,0)</f>
        <v>0</v>
      </c>
      <c r="L5150" s="14">
        <f>IF(ISNUMBER(SEARCH(Лист2!$B$5,I:I)),1,0)+K5150</f>
        <v>0</v>
      </c>
      <c r="M5150" s="3">
        <f ca="1">IF(AND(N5150&lt;&gt;N5149,ISNUMBER(SEARCH(Лист2!$B$6,N:N)),L5150=2),MAX($M$3:OFFSET(M5150,-1,0))+1,0)</f>
        <v>0</v>
      </c>
      <c r="N5150" s="3" t="s">
        <v>3084</v>
      </c>
    </row>
    <row r="5151" spans="1:14" x14ac:dyDescent="0.25">
      <c r="A5151" s="1" t="s">
        <v>13804</v>
      </c>
      <c r="B5151" s="3" t="s">
        <v>8775</v>
      </c>
      <c r="C5151" s="2">
        <f ca="1">IF(ISNUMBER(SEARCH(Лист2!$B$4,D:D)),MAX($C$3:OFFSET(C5151,-1,0))+1,0)</f>
        <v>0</v>
      </c>
      <c r="E5151" s="9" t="str">
        <f t="shared" ca="1" si="92"/>
        <v/>
      </c>
      <c r="F5151" s="4" t="s">
        <v>28</v>
      </c>
      <c r="G5151" s="2">
        <f>IF(ISNUMBER(SEARCH(Лист2!$B$4,F:F)),1,0)</f>
        <v>0</v>
      </c>
      <c r="H5151" s="3">
        <f ca="1">IF(AND(I5151&lt;&gt;I5150,ISNUMBER(SEARCH(Лист2!$B$5,I:I)),G5151=1),MAX($H$3:OFFSET(H5151,-1,0))+1,0)</f>
        <v>0</v>
      </c>
      <c r="I5151" s="3" t="s">
        <v>406</v>
      </c>
      <c r="K5151" s="2">
        <f>IF(ISNUMBER(SEARCH(Лист2!$B$4,F:F)),1,0)</f>
        <v>0</v>
      </c>
      <c r="L5151" s="14">
        <f>IF(ISNUMBER(SEARCH(Лист2!$B$5,I:I)),1,0)+K5151</f>
        <v>0</v>
      </c>
      <c r="M5151" s="3">
        <f ca="1">IF(AND(N5151&lt;&gt;N5150,ISNUMBER(SEARCH(Лист2!$B$6,N:N)),L5151=2),MAX($M$3:OFFSET(M5151,-1,0))+1,0)</f>
        <v>0</v>
      </c>
      <c r="N5151" s="3" t="s">
        <v>3085</v>
      </c>
    </row>
    <row r="5152" spans="1:14" x14ac:dyDescent="0.25">
      <c r="A5152" s="1" t="s">
        <v>13804</v>
      </c>
      <c r="B5152" s="3" t="s">
        <v>8776</v>
      </c>
      <c r="C5152" s="2">
        <f ca="1">IF(ISNUMBER(SEARCH(Лист2!$B$4,D:D)),MAX($C$3:OFFSET(C5152,-1,0))+1,0)</f>
        <v>0</v>
      </c>
      <c r="E5152" s="9" t="str">
        <f t="shared" ca="1" si="92"/>
        <v/>
      </c>
      <c r="F5152" s="4" t="s">
        <v>28</v>
      </c>
      <c r="G5152" s="2">
        <f>IF(ISNUMBER(SEARCH(Лист2!$B$4,F:F)),1,0)</f>
        <v>0</v>
      </c>
      <c r="H5152" s="3">
        <f ca="1">IF(AND(I5152&lt;&gt;I5151,ISNUMBER(SEARCH(Лист2!$B$5,I:I)),G5152=1),MAX($H$3:OFFSET(H5152,-1,0))+1,0)</f>
        <v>0</v>
      </c>
      <c r="I5152" s="3" t="s">
        <v>406</v>
      </c>
      <c r="K5152" s="2">
        <f>IF(ISNUMBER(SEARCH(Лист2!$B$4,F:F)),1,0)</f>
        <v>0</v>
      </c>
      <c r="L5152" s="14">
        <f>IF(ISNUMBER(SEARCH(Лист2!$B$5,I:I)),1,0)+K5152</f>
        <v>0</v>
      </c>
      <c r="M5152" s="3">
        <f ca="1">IF(AND(N5152&lt;&gt;N5151,ISNUMBER(SEARCH(Лист2!$B$6,N:N)),L5152=2),MAX($M$3:OFFSET(M5152,-1,0))+1,0)</f>
        <v>0</v>
      </c>
      <c r="N5152" s="3" t="s">
        <v>3085</v>
      </c>
    </row>
    <row r="5153" spans="1:14" x14ac:dyDescent="0.25">
      <c r="A5153" s="1" t="s">
        <v>13805</v>
      </c>
      <c r="B5153" s="3" t="s">
        <v>8777</v>
      </c>
      <c r="C5153" s="2">
        <f ca="1">IF(ISNUMBER(SEARCH(Лист2!$B$4,D:D)),MAX($C$3:OFFSET(C5153,-1,0))+1,0)</f>
        <v>0</v>
      </c>
      <c r="E5153" s="9" t="str">
        <f t="shared" ca="1" si="92"/>
        <v/>
      </c>
      <c r="F5153" s="4" t="s">
        <v>28</v>
      </c>
      <c r="G5153" s="2">
        <f>IF(ISNUMBER(SEARCH(Лист2!$B$4,F:F)),1,0)</f>
        <v>0</v>
      </c>
      <c r="H5153" s="3">
        <f ca="1">IF(AND(I5153&lt;&gt;I5152,ISNUMBER(SEARCH(Лист2!$B$5,I:I)),G5153=1),MAX($H$3:OFFSET(H5153,-1,0))+1,0)</f>
        <v>0</v>
      </c>
      <c r="I5153" s="3" t="s">
        <v>406</v>
      </c>
      <c r="K5153" s="2">
        <f>IF(ISNUMBER(SEARCH(Лист2!$B$4,F:F)),1,0)</f>
        <v>0</v>
      </c>
      <c r="L5153" s="14">
        <f>IF(ISNUMBER(SEARCH(Лист2!$B$5,I:I)),1,0)+K5153</f>
        <v>0</v>
      </c>
      <c r="M5153" s="3">
        <f ca="1">IF(AND(N5153&lt;&gt;N5152,ISNUMBER(SEARCH(Лист2!$B$6,N:N)),L5153=2),MAX($M$3:OFFSET(M5153,-1,0))+1,0)</f>
        <v>0</v>
      </c>
      <c r="N5153" s="3" t="s">
        <v>3086</v>
      </c>
    </row>
    <row r="5154" spans="1:14" x14ac:dyDescent="0.25">
      <c r="A5154" s="1" t="s">
        <v>13806</v>
      </c>
      <c r="B5154" s="3" t="s">
        <v>8778</v>
      </c>
      <c r="C5154" s="2">
        <f ca="1">IF(ISNUMBER(SEARCH(Лист2!$B$4,D:D)),MAX($C$3:OFFSET(C5154,-1,0))+1,0)</f>
        <v>0</v>
      </c>
      <c r="E5154" s="9" t="str">
        <f t="shared" ca="1" si="92"/>
        <v/>
      </c>
      <c r="F5154" s="4" t="s">
        <v>28</v>
      </c>
      <c r="G5154" s="2">
        <f>IF(ISNUMBER(SEARCH(Лист2!$B$4,F:F)),1,0)</f>
        <v>0</v>
      </c>
      <c r="H5154" s="3">
        <f ca="1">IF(AND(I5154&lt;&gt;I5153,ISNUMBER(SEARCH(Лист2!$B$5,I:I)),G5154=1),MAX($H$3:OFFSET(H5154,-1,0))+1,0)</f>
        <v>0</v>
      </c>
      <c r="I5154" s="3" t="s">
        <v>406</v>
      </c>
      <c r="K5154" s="2">
        <f>IF(ISNUMBER(SEARCH(Лист2!$B$4,F:F)),1,0)</f>
        <v>0</v>
      </c>
      <c r="L5154" s="14">
        <f>IF(ISNUMBER(SEARCH(Лист2!$B$5,I:I)),1,0)+K5154</f>
        <v>0</v>
      </c>
      <c r="M5154" s="3">
        <f ca="1">IF(AND(N5154&lt;&gt;N5153,ISNUMBER(SEARCH(Лист2!$B$6,N:N)),L5154=2),MAX($M$3:OFFSET(M5154,-1,0))+1,0)</f>
        <v>0</v>
      </c>
      <c r="N5154" s="3" t="s">
        <v>2925</v>
      </c>
    </row>
    <row r="5155" spans="1:14" x14ac:dyDescent="0.25">
      <c r="A5155" s="1" t="s">
        <v>13807</v>
      </c>
      <c r="B5155" s="3" t="s">
        <v>8779</v>
      </c>
      <c r="C5155" s="2">
        <f ca="1">IF(ISNUMBER(SEARCH(Лист2!$B$4,D:D)),MAX($C$3:OFFSET(C5155,-1,0))+1,0)</f>
        <v>0</v>
      </c>
      <c r="E5155" s="9" t="str">
        <f t="shared" ca="1" si="92"/>
        <v/>
      </c>
      <c r="F5155" s="4" t="s">
        <v>28</v>
      </c>
      <c r="G5155" s="2">
        <f>IF(ISNUMBER(SEARCH(Лист2!$B$4,F:F)),1,0)</f>
        <v>0</v>
      </c>
      <c r="H5155" s="3">
        <f ca="1">IF(AND(I5155&lt;&gt;I5154,ISNUMBER(SEARCH(Лист2!$B$5,I:I)),G5155=1),MAX($H$3:OFFSET(H5155,-1,0))+1,0)</f>
        <v>0</v>
      </c>
      <c r="I5155" s="3" t="s">
        <v>406</v>
      </c>
      <c r="K5155" s="2">
        <f>IF(ISNUMBER(SEARCH(Лист2!$B$4,F:F)),1,0)</f>
        <v>0</v>
      </c>
      <c r="L5155" s="14">
        <f>IF(ISNUMBER(SEARCH(Лист2!$B$5,I:I)),1,0)+K5155</f>
        <v>0</v>
      </c>
      <c r="M5155" s="3">
        <f ca="1">IF(AND(N5155&lt;&gt;N5154,ISNUMBER(SEARCH(Лист2!$B$6,N:N)),L5155=2),MAX($M$3:OFFSET(M5155,-1,0))+1,0)</f>
        <v>0</v>
      </c>
      <c r="N5155" s="3" t="s">
        <v>3009</v>
      </c>
    </row>
    <row r="5156" spans="1:14" x14ac:dyDescent="0.25">
      <c r="A5156" s="1" t="s">
        <v>13808</v>
      </c>
      <c r="B5156" s="3" t="s">
        <v>8780</v>
      </c>
      <c r="C5156" s="2">
        <f ca="1">IF(ISNUMBER(SEARCH(Лист2!$B$4,D:D)),MAX($C$3:OFFSET(C5156,-1,0))+1,0)</f>
        <v>0</v>
      </c>
      <c r="E5156" s="9" t="str">
        <f t="shared" ca="1" si="92"/>
        <v/>
      </c>
      <c r="F5156" s="4" t="s">
        <v>28</v>
      </c>
      <c r="G5156" s="2">
        <f>IF(ISNUMBER(SEARCH(Лист2!$B$4,F:F)),1,0)</f>
        <v>0</v>
      </c>
      <c r="H5156" s="3">
        <f ca="1">IF(AND(I5156&lt;&gt;I5155,ISNUMBER(SEARCH(Лист2!$B$5,I:I)),G5156=1),MAX($H$3:OFFSET(H5156,-1,0))+1,0)</f>
        <v>0</v>
      </c>
      <c r="I5156" s="3" t="s">
        <v>406</v>
      </c>
      <c r="K5156" s="2">
        <f>IF(ISNUMBER(SEARCH(Лист2!$B$4,F:F)),1,0)</f>
        <v>0</v>
      </c>
      <c r="L5156" s="14">
        <f>IF(ISNUMBER(SEARCH(Лист2!$B$5,I:I)),1,0)+K5156</f>
        <v>0</v>
      </c>
      <c r="M5156" s="3">
        <f ca="1">IF(AND(N5156&lt;&gt;N5155,ISNUMBER(SEARCH(Лист2!$B$6,N:N)),L5156=2),MAX($M$3:OFFSET(M5156,-1,0))+1,0)</f>
        <v>0</v>
      </c>
      <c r="N5156" s="3" t="s">
        <v>3000</v>
      </c>
    </row>
    <row r="5157" spans="1:14" x14ac:dyDescent="0.25">
      <c r="A5157" s="1" t="s">
        <v>13809</v>
      </c>
      <c r="B5157" s="3" t="s">
        <v>8781</v>
      </c>
      <c r="C5157" s="2">
        <f ca="1">IF(ISNUMBER(SEARCH(Лист2!$B$4,D:D)),MAX($C$3:OFFSET(C5157,-1,0))+1,0)</f>
        <v>0</v>
      </c>
      <c r="E5157" s="9" t="str">
        <f t="shared" ca="1" si="92"/>
        <v/>
      </c>
      <c r="F5157" s="4" t="s">
        <v>28</v>
      </c>
      <c r="G5157" s="2">
        <f>IF(ISNUMBER(SEARCH(Лист2!$B$4,F:F)),1,0)</f>
        <v>0</v>
      </c>
      <c r="H5157" s="3">
        <f ca="1">IF(AND(I5157&lt;&gt;I5156,ISNUMBER(SEARCH(Лист2!$B$5,I:I)),G5157=1),MAX($H$3:OFFSET(H5157,-1,0))+1,0)</f>
        <v>0</v>
      </c>
      <c r="I5157" s="3" t="s">
        <v>406</v>
      </c>
      <c r="K5157" s="2">
        <f>IF(ISNUMBER(SEARCH(Лист2!$B$4,F:F)),1,0)</f>
        <v>0</v>
      </c>
      <c r="L5157" s="14">
        <f>IF(ISNUMBER(SEARCH(Лист2!$B$5,I:I)),1,0)+K5157</f>
        <v>0</v>
      </c>
      <c r="M5157" s="3">
        <f ca="1">IF(AND(N5157&lt;&gt;N5156,ISNUMBER(SEARCH(Лист2!$B$6,N:N)),L5157=2),MAX($M$3:OFFSET(M5157,-1,0))+1,0)</f>
        <v>0</v>
      </c>
      <c r="N5157" s="3" t="s">
        <v>602</v>
      </c>
    </row>
    <row r="5158" spans="1:14" x14ac:dyDescent="0.25">
      <c r="A5158" s="1" t="s">
        <v>13810</v>
      </c>
      <c r="B5158" s="3" t="s">
        <v>8782</v>
      </c>
      <c r="C5158" s="2">
        <f ca="1">IF(ISNUMBER(SEARCH(Лист2!$B$4,D:D)),MAX($C$3:OFFSET(C5158,-1,0))+1,0)</f>
        <v>0</v>
      </c>
      <c r="E5158" s="9" t="str">
        <f t="shared" ca="1" si="92"/>
        <v/>
      </c>
      <c r="F5158" s="4" t="s">
        <v>28</v>
      </c>
      <c r="G5158" s="2">
        <f>IF(ISNUMBER(SEARCH(Лист2!$B$4,F:F)),1,0)</f>
        <v>0</v>
      </c>
      <c r="H5158" s="3">
        <f ca="1">IF(AND(I5158&lt;&gt;I5157,ISNUMBER(SEARCH(Лист2!$B$5,I:I)),G5158=1),MAX($H$3:OFFSET(H5158,-1,0))+1,0)</f>
        <v>0</v>
      </c>
      <c r="I5158" s="3" t="s">
        <v>406</v>
      </c>
      <c r="K5158" s="2">
        <f>IF(ISNUMBER(SEARCH(Лист2!$B$4,F:F)),1,0)</f>
        <v>0</v>
      </c>
      <c r="L5158" s="14">
        <f>IF(ISNUMBER(SEARCH(Лист2!$B$5,I:I)),1,0)+K5158</f>
        <v>0</v>
      </c>
      <c r="M5158" s="3">
        <f ca="1">IF(AND(N5158&lt;&gt;N5157,ISNUMBER(SEARCH(Лист2!$B$6,N:N)),L5158=2),MAX($M$3:OFFSET(M5158,-1,0))+1,0)</f>
        <v>0</v>
      </c>
      <c r="N5158" s="3" t="s">
        <v>3087</v>
      </c>
    </row>
    <row r="5159" spans="1:14" x14ac:dyDescent="0.25">
      <c r="A5159" s="1" t="s">
        <v>13811</v>
      </c>
      <c r="B5159" s="3" t="s">
        <v>8783</v>
      </c>
      <c r="C5159" s="2">
        <f ca="1">IF(ISNUMBER(SEARCH(Лист2!$B$4,D:D)),MAX($C$3:OFFSET(C5159,-1,0))+1,0)</f>
        <v>0</v>
      </c>
      <c r="E5159" s="9" t="str">
        <f t="shared" ca="1" si="92"/>
        <v/>
      </c>
      <c r="F5159" s="4" t="s">
        <v>28</v>
      </c>
      <c r="G5159" s="2">
        <f>IF(ISNUMBER(SEARCH(Лист2!$B$4,F:F)),1,0)</f>
        <v>0</v>
      </c>
      <c r="H5159" s="3">
        <f ca="1">IF(AND(I5159&lt;&gt;I5158,ISNUMBER(SEARCH(Лист2!$B$5,I:I)),G5159=1),MAX($H$3:OFFSET(H5159,-1,0))+1,0)</f>
        <v>0</v>
      </c>
      <c r="I5159" s="3" t="s">
        <v>406</v>
      </c>
      <c r="K5159" s="2">
        <f>IF(ISNUMBER(SEARCH(Лист2!$B$4,F:F)),1,0)</f>
        <v>0</v>
      </c>
      <c r="L5159" s="14">
        <f>IF(ISNUMBER(SEARCH(Лист2!$B$5,I:I)),1,0)+K5159</f>
        <v>0</v>
      </c>
      <c r="M5159" s="3">
        <f ca="1">IF(AND(N5159&lt;&gt;N5158,ISNUMBER(SEARCH(Лист2!$B$6,N:N)),L5159=2),MAX($M$3:OFFSET(M5159,-1,0))+1,0)</f>
        <v>0</v>
      </c>
      <c r="N5159" s="3" t="s">
        <v>3088</v>
      </c>
    </row>
    <row r="5160" spans="1:14" x14ac:dyDescent="0.25">
      <c r="A5160" s="1" t="s">
        <v>13812</v>
      </c>
      <c r="B5160" s="3" t="s">
        <v>8784</v>
      </c>
      <c r="C5160" s="2">
        <f ca="1">IF(ISNUMBER(SEARCH(Лист2!$B$4,D:D)),MAX($C$3:OFFSET(C5160,-1,0))+1,0)</f>
        <v>0</v>
      </c>
      <c r="E5160" s="9" t="str">
        <f t="shared" ca="1" si="92"/>
        <v/>
      </c>
      <c r="F5160" s="4" t="s">
        <v>28</v>
      </c>
      <c r="G5160" s="2">
        <f>IF(ISNUMBER(SEARCH(Лист2!$B$4,F:F)),1,0)</f>
        <v>0</v>
      </c>
      <c r="H5160" s="3">
        <f ca="1">IF(AND(I5160&lt;&gt;I5159,ISNUMBER(SEARCH(Лист2!$B$5,I:I)),G5160=1),MAX($H$3:OFFSET(H5160,-1,0))+1,0)</f>
        <v>0</v>
      </c>
      <c r="I5160" s="3" t="s">
        <v>406</v>
      </c>
      <c r="K5160" s="2">
        <f>IF(ISNUMBER(SEARCH(Лист2!$B$4,F:F)),1,0)</f>
        <v>0</v>
      </c>
      <c r="L5160" s="14">
        <f>IF(ISNUMBER(SEARCH(Лист2!$B$5,I:I)),1,0)+K5160</f>
        <v>0</v>
      </c>
      <c r="M5160" s="3">
        <f ca="1">IF(AND(N5160&lt;&gt;N5159,ISNUMBER(SEARCH(Лист2!$B$6,N:N)),L5160=2),MAX($M$3:OFFSET(M5160,-1,0))+1,0)</f>
        <v>0</v>
      </c>
      <c r="N5160" s="3" t="s">
        <v>2929</v>
      </c>
    </row>
    <row r="5161" spans="1:14" x14ac:dyDescent="0.25">
      <c r="A5161" s="1" t="s">
        <v>13813</v>
      </c>
      <c r="B5161" s="3" t="s">
        <v>8785</v>
      </c>
      <c r="C5161" s="2">
        <f ca="1">IF(ISNUMBER(SEARCH(Лист2!$B$4,D:D)),MAX($C$3:OFFSET(C5161,-1,0))+1,0)</f>
        <v>0</v>
      </c>
      <c r="E5161" s="9" t="str">
        <f t="shared" ca="1" si="92"/>
        <v/>
      </c>
      <c r="F5161" s="4" t="s">
        <v>28</v>
      </c>
      <c r="G5161" s="2">
        <f>IF(ISNUMBER(SEARCH(Лист2!$B$4,F:F)),1,0)</f>
        <v>0</v>
      </c>
      <c r="H5161" s="3">
        <f ca="1">IF(AND(I5161&lt;&gt;I5160,ISNUMBER(SEARCH(Лист2!$B$5,I:I)),G5161=1),MAX($H$3:OFFSET(H5161,-1,0))+1,0)</f>
        <v>0</v>
      </c>
      <c r="I5161" s="3" t="s">
        <v>406</v>
      </c>
      <c r="K5161" s="2">
        <f>IF(ISNUMBER(SEARCH(Лист2!$B$4,F:F)),1,0)</f>
        <v>0</v>
      </c>
      <c r="L5161" s="14">
        <f>IF(ISNUMBER(SEARCH(Лист2!$B$5,I:I)),1,0)+K5161</f>
        <v>0</v>
      </c>
      <c r="M5161" s="3">
        <f ca="1">IF(AND(N5161&lt;&gt;N5160,ISNUMBER(SEARCH(Лист2!$B$6,N:N)),L5161=2),MAX($M$3:OFFSET(M5161,-1,0))+1,0)</f>
        <v>0</v>
      </c>
      <c r="N5161" s="3" t="s">
        <v>3089</v>
      </c>
    </row>
    <row r="5162" spans="1:14" x14ac:dyDescent="0.25">
      <c r="A5162" s="1" t="s">
        <v>13814</v>
      </c>
      <c r="B5162" s="3" t="s">
        <v>8786</v>
      </c>
      <c r="C5162" s="2">
        <f ca="1">IF(ISNUMBER(SEARCH(Лист2!$B$4,D:D)),MAX($C$3:OFFSET(C5162,-1,0))+1,0)</f>
        <v>0</v>
      </c>
      <c r="E5162" s="9" t="str">
        <f t="shared" ca="1" si="92"/>
        <v/>
      </c>
      <c r="F5162" s="4" t="s">
        <v>28</v>
      </c>
      <c r="G5162" s="2">
        <f>IF(ISNUMBER(SEARCH(Лист2!$B$4,F:F)),1,0)</f>
        <v>0</v>
      </c>
      <c r="H5162" s="3">
        <f ca="1">IF(AND(I5162&lt;&gt;I5161,ISNUMBER(SEARCH(Лист2!$B$5,I:I)),G5162=1),MAX($H$3:OFFSET(H5162,-1,0))+1,0)</f>
        <v>0</v>
      </c>
      <c r="I5162" s="3" t="s">
        <v>406</v>
      </c>
      <c r="K5162" s="2">
        <f>IF(ISNUMBER(SEARCH(Лист2!$B$4,F:F)),1,0)</f>
        <v>0</v>
      </c>
      <c r="L5162" s="14">
        <f>IF(ISNUMBER(SEARCH(Лист2!$B$5,I:I)),1,0)+K5162</f>
        <v>0</v>
      </c>
      <c r="M5162" s="3">
        <f ca="1">IF(AND(N5162&lt;&gt;N5161,ISNUMBER(SEARCH(Лист2!$B$6,N:N)),L5162=2),MAX($M$3:OFFSET(M5162,-1,0))+1,0)</f>
        <v>0</v>
      </c>
      <c r="N5162" s="3" t="s">
        <v>3090</v>
      </c>
    </row>
    <row r="5163" spans="1:14" x14ac:dyDescent="0.25">
      <c r="A5163" s="1" t="s">
        <v>13815</v>
      </c>
      <c r="B5163" s="3" t="s">
        <v>8787</v>
      </c>
      <c r="C5163" s="2">
        <f ca="1">IF(ISNUMBER(SEARCH(Лист2!$B$4,D:D)),MAX($C$3:OFFSET(C5163,-1,0))+1,0)</f>
        <v>0</v>
      </c>
      <c r="E5163" s="9" t="str">
        <f t="shared" ca="1" si="92"/>
        <v/>
      </c>
      <c r="F5163" s="4" t="s">
        <v>28</v>
      </c>
      <c r="G5163" s="2">
        <f>IF(ISNUMBER(SEARCH(Лист2!$B$4,F:F)),1,0)</f>
        <v>0</v>
      </c>
      <c r="H5163" s="3">
        <f ca="1">IF(AND(I5163&lt;&gt;I5162,ISNUMBER(SEARCH(Лист2!$B$5,I:I)),G5163=1),MAX($H$3:OFFSET(H5163,-1,0))+1,0)</f>
        <v>0</v>
      </c>
      <c r="I5163" s="3" t="s">
        <v>406</v>
      </c>
      <c r="K5163" s="2">
        <f>IF(ISNUMBER(SEARCH(Лист2!$B$4,F:F)),1,0)</f>
        <v>0</v>
      </c>
      <c r="L5163" s="14">
        <f>IF(ISNUMBER(SEARCH(Лист2!$B$5,I:I)),1,0)+K5163</f>
        <v>0</v>
      </c>
      <c r="M5163" s="3">
        <f ca="1">IF(AND(N5163&lt;&gt;N5162,ISNUMBER(SEARCH(Лист2!$B$6,N:N)),L5163=2),MAX($M$3:OFFSET(M5163,-1,0))+1,0)</f>
        <v>0</v>
      </c>
      <c r="N5163" s="3" t="s">
        <v>3091</v>
      </c>
    </row>
    <row r="5164" spans="1:14" x14ac:dyDescent="0.25">
      <c r="A5164" s="1" t="s">
        <v>13816</v>
      </c>
      <c r="B5164" s="3" t="s">
        <v>8788</v>
      </c>
      <c r="C5164" s="2">
        <f ca="1">IF(ISNUMBER(SEARCH(Лист2!$B$4,D:D)),MAX($C$3:OFFSET(C5164,-1,0))+1,0)</f>
        <v>0</v>
      </c>
      <c r="E5164" s="9" t="str">
        <f t="shared" ca="1" si="92"/>
        <v/>
      </c>
      <c r="F5164" s="4" t="s">
        <v>28</v>
      </c>
      <c r="G5164" s="2">
        <f>IF(ISNUMBER(SEARCH(Лист2!$B$4,F:F)),1,0)</f>
        <v>0</v>
      </c>
      <c r="H5164" s="3">
        <f ca="1">IF(AND(I5164&lt;&gt;I5163,ISNUMBER(SEARCH(Лист2!$B$5,I:I)),G5164=1),MAX($H$3:OFFSET(H5164,-1,0))+1,0)</f>
        <v>0</v>
      </c>
      <c r="I5164" s="3" t="s">
        <v>406</v>
      </c>
      <c r="K5164" s="2">
        <f>IF(ISNUMBER(SEARCH(Лист2!$B$4,F:F)),1,0)</f>
        <v>0</v>
      </c>
      <c r="L5164" s="14">
        <f>IF(ISNUMBER(SEARCH(Лист2!$B$5,I:I)),1,0)+K5164</f>
        <v>0</v>
      </c>
      <c r="M5164" s="3">
        <f ca="1">IF(AND(N5164&lt;&gt;N5163,ISNUMBER(SEARCH(Лист2!$B$6,N:N)),L5164=2),MAX($M$3:OFFSET(M5164,-1,0))+1,0)</f>
        <v>0</v>
      </c>
      <c r="N5164" s="3" t="s">
        <v>3043</v>
      </c>
    </row>
    <row r="5165" spans="1:14" x14ac:dyDescent="0.25">
      <c r="A5165" s="1" t="s">
        <v>13817</v>
      </c>
      <c r="B5165" s="3" t="s">
        <v>8789</v>
      </c>
      <c r="C5165" s="2">
        <f ca="1">IF(ISNUMBER(SEARCH(Лист2!$B$4,D:D)),MAX($C$3:OFFSET(C5165,-1,0))+1,0)</f>
        <v>0</v>
      </c>
      <c r="E5165" s="9" t="str">
        <f t="shared" ca="1" si="92"/>
        <v/>
      </c>
      <c r="F5165" s="4" t="s">
        <v>28</v>
      </c>
      <c r="G5165" s="2">
        <f>IF(ISNUMBER(SEARCH(Лист2!$B$4,F:F)),1,0)</f>
        <v>0</v>
      </c>
      <c r="H5165" s="3">
        <f ca="1">IF(AND(I5165&lt;&gt;I5164,ISNUMBER(SEARCH(Лист2!$B$5,I:I)),G5165=1),MAX($H$3:OFFSET(H5165,-1,0))+1,0)</f>
        <v>0</v>
      </c>
      <c r="I5165" s="3" t="s">
        <v>406</v>
      </c>
      <c r="K5165" s="2">
        <f>IF(ISNUMBER(SEARCH(Лист2!$B$4,F:F)),1,0)</f>
        <v>0</v>
      </c>
      <c r="L5165" s="14">
        <f>IF(ISNUMBER(SEARCH(Лист2!$B$5,I:I)),1,0)+K5165</f>
        <v>0</v>
      </c>
      <c r="M5165" s="3">
        <f ca="1">IF(AND(N5165&lt;&gt;N5164,ISNUMBER(SEARCH(Лист2!$B$6,N:N)),L5165=2),MAX($M$3:OFFSET(M5165,-1,0))+1,0)</f>
        <v>0</v>
      </c>
      <c r="N5165" s="3" t="s">
        <v>3044</v>
      </c>
    </row>
    <row r="5166" spans="1:14" x14ac:dyDescent="0.25">
      <c r="A5166" s="1" t="s">
        <v>13818</v>
      </c>
      <c r="B5166" s="3" t="s">
        <v>8790</v>
      </c>
      <c r="C5166" s="2">
        <f ca="1">IF(ISNUMBER(SEARCH(Лист2!$B$4,D:D)),MAX($C$3:OFFSET(C5166,-1,0))+1,0)</f>
        <v>0</v>
      </c>
      <c r="E5166" s="9" t="str">
        <f t="shared" ca="1" si="92"/>
        <v/>
      </c>
      <c r="F5166" s="4" t="s">
        <v>28</v>
      </c>
      <c r="G5166" s="2">
        <f>IF(ISNUMBER(SEARCH(Лист2!$B$4,F:F)),1,0)</f>
        <v>0</v>
      </c>
      <c r="H5166" s="3">
        <f ca="1">IF(AND(I5166&lt;&gt;I5165,ISNUMBER(SEARCH(Лист2!$B$5,I:I)),G5166=1),MAX($H$3:OFFSET(H5166,-1,0))+1,0)</f>
        <v>0</v>
      </c>
      <c r="I5166" s="3" t="s">
        <v>406</v>
      </c>
      <c r="K5166" s="2">
        <f>IF(ISNUMBER(SEARCH(Лист2!$B$4,F:F)),1,0)</f>
        <v>0</v>
      </c>
      <c r="L5166" s="14">
        <f>IF(ISNUMBER(SEARCH(Лист2!$B$5,I:I)),1,0)+K5166</f>
        <v>0</v>
      </c>
      <c r="M5166" s="3">
        <f ca="1">IF(AND(N5166&lt;&gt;N5165,ISNUMBER(SEARCH(Лист2!$B$6,N:N)),L5166=2),MAX($M$3:OFFSET(M5166,-1,0))+1,0)</f>
        <v>0</v>
      </c>
      <c r="N5166" s="3" t="s">
        <v>3092</v>
      </c>
    </row>
    <row r="5167" spans="1:14" x14ac:dyDescent="0.25">
      <c r="A5167" s="1" t="s">
        <v>13819</v>
      </c>
      <c r="B5167" s="3" t="s">
        <v>8791</v>
      </c>
      <c r="C5167" s="2">
        <f ca="1">IF(ISNUMBER(SEARCH(Лист2!$B$4,D:D)),MAX($C$3:OFFSET(C5167,-1,0))+1,0)</f>
        <v>0</v>
      </c>
      <c r="E5167" s="9" t="str">
        <f t="shared" ca="1" si="92"/>
        <v/>
      </c>
      <c r="F5167" s="4" t="s">
        <v>28</v>
      </c>
      <c r="G5167" s="2">
        <f>IF(ISNUMBER(SEARCH(Лист2!$B$4,F:F)),1,0)</f>
        <v>0</v>
      </c>
      <c r="H5167" s="3">
        <f ca="1">IF(AND(I5167&lt;&gt;I5166,ISNUMBER(SEARCH(Лист2!$B$5,I:I)),G5167=1),MAX($H$3:OFFSET(H5167,-1,0))+1,0)</f>
        <v>0</v>
      </c>
      <c r="I5167" s="3" t="s">
        <v>406</v>
      </c>
      <c r="K5167" s="2">
        <f>IF(ISNUMBER(SEARCH(Лист2!$B$4,F:F)),1,0)</f>
        <v>0</v>
      </c>
      <c r="L5167" s="14">
        <f>IF(ISNUMBER(SEARCH(Лист2!$B$5,I:I)),1,0)+K5167</f>
        <v>0</v>
      </c>
      <c r="M5167" s="3">
        <f ca="1">IF(AND(N5167&lt;&gt;N5166,ISNUMBER(SEARCH(Лист2!$B$6,N:N)),L5167=2),MAX($M$3:OFFSET(M5167,-1,0))+1,0)</f>
        <v>0</v>
      </c>
      <c r="N5167" s="3" t="s">
        <v>3093</v>
      </c>
    </row>
    <row r="5168" spans="1:14" x14ac:dyDescent="0.25">
      <c r="A5168" s="1" t="s">
        <v>13820</v>
      </c>
      <c r="B5168" s="3" t="s">
        <v>8792</v>
      </c>
      <c r="C5168" s="2">
        <f ca="1">IF(ISNUMBER(SEARCH(Лист2!$B$4,D:D)),MAX($C$3:OFFSET(C5168,-1,0))+1,0)</f>
        <v>0</v>
      </c>
      <c r="E5168" s="9" t="str">
        <f t="shared" ca="1" si="92"/>
        <v/>
      </c>
      <c r="F5168" s="4" t="s">
        <v>29</v>
      </c>
      <c r="G5168" s="2">
        <f>IF(ISNUMBER(SEARCH(Лист2!$B$4,F:F)),1,0)</f>
        <v>0</v>
      </c>
      <c r="H5168" s="3">
        <f ca="1">IF(AND(I5168&lt;&gt;I5167,ISNUMBER(SEARCH(Лист2!$B$5,I:I)),G5168=1),MAX($H$3:OFFSET(H5168,-1,0))+1,0)</f>
        <v>0</v>
      </c>
      <c r="I5168" s="3" t="s">
        <v>407</v>
      </c>
      <c r="K5168" s="2">
        <f>IF(ISNUMBER(SEARCH(Лист2!$B$4,F:F)),1,0)</f>
        <v>0</v>
      </c>
      <c r="L5168" s="14">
        <f>IF(ISNUMBER(SEARCH(Лист2!$B$5,I:I)),1,0)+K5168</f>
        <v>0</v>
      </c>
      <c r="M5168" s="3">
        <f ca="1">IF(AND(N5168&lt;&gt;N5167,ISNUMBER(SEARCH(Лист2!$B$6,N:N)),L5168=2),MAX($M$3:OFFSET(M5168,-1,0))+1,0)</f>
        <v>0</v>
      </c>
      <c r="N5168" s="3" t="s">
        <v>3094</v>
      </c>
    </row>
    <row r="5169" spans="1:14" x14ac:dyDescent="0.25">
      <c r="A5169" s="1" t="s">
        <v>13821</v>
      </c>
      <c r="B5169" s="3" t="s">
        <v>8793</v>
      </c>
      <c r="C5169" s="2">
        <f ca="1">IF(ISNUMBER(SEARCH(Лист2!$B$4,D:D)),MAX($C$3:OFFSET(C5169,-1,0))+1,0)</f>
        <v>0</v>
      </c>
      <c r="E5169" s="9" t="str">
        <f t="shared" ca="1" si="92"/>
        <v/>
      </c>
      <c r="F5169" s="4" t="s">
        <v>29</v>
      </c>
      <c r="G5169" s="2">
        <f>IF(ISNUMBER(SEARCH(Лист2!$B$4,F:F)),1,0)</f>
        <v>0</v>
      </c>
      <c r="H5169" s="3">
        <f ca="1">IF(AND(I5169&lt;&gt;I5168,ISNUMBER(SEARCH(Лист2!$B$5,I:I)),G5169=1),MAX($H$3:OFFSET(H5169,-1,0))+1,0)</f>
        <v>0</v>
      </c>
      <c r="I5169" s="3" t="s">
        <v>407</v>
      </c>
      <c r="K5169" s="2">
        <f>IF(ISNUMBER(SEARCH(Лист2!$B$4,F:F)),1,0)</f>
        <v>0</v>
      </c>
      <c r="L5169" s="14">
        <f>IF(ISNUMBER(SEARCH(Лист2!$B$5,I:I)),1,0)+K5169</f>
        <v>0</v>
      </c>
      <c r="M5169" s="3">
        <f ca="1">IF(AND(N5169&lt;&gt;N5168,ISNUMBER(SEARCH(Лист2!$B$6,N:N)),L5169=2),MAX($M$3:OFFSET(M5169,-1,0))+1,0)</f>
        <v>0</v>
      </c>
      <c r="N5169" s="3" t="s">
        <v>3095</v>
      </c>
    </row>
    <row r="5170" spans="1:14" x14ac:dyDescent="0.25">
      <c r="A5170" s="1" t="s">
        <v>13822</v>
      </c>
      <c r="B5170" s="3" t="s">
        <v>8794</v>
      </c>
      <c r="C5170" s="2">
        <f ca="1">IF(ISNUMBER(SEARCH(Лист2!$B$4,D:D)),MAX($C$3:OFFSET(C5170,-1,0))+1,0)</f>
        <v>0</v>
      </c>
      <c r="E5170" s="9" t="str">
        <f t="shared" ca="1" si="92"/>
        <v/>
      </c>
      <c r="F5170" s="4" t="s">
        <v>29</v>
      </c>
      <c r="G5170" s="2">
        <f>IF(ISNUMBER(SEARCH(Лист2!$B$4,F:F)),1,0)</f>
        <v>0</v>
      </c>
      <c r="H5170" s="3">
        <f ca="1">IF(AND(I5170&lt;&gt;I5169,ISNUMBER(SEARCH(Лист2!$B$5,I:I)),G5170=1),MAX($H$3:OFFSET(H5170,-1,0))+1,0)</f>
        <v>0</v>
      </c>
      <c r="I5170" s="3" t="s">
        <v>407</v>
      </c>
      <c r="K5170" s="2">
        <f>IF(ISNUMBER(SEARCH(Лист2!$B$4,F:F)),1,0)</f>
        <v>0</v>
      </c>
      <c r="L5170" s="14">
        <f>IF(ISNUMBER(SEARCH(Лист2!$B$5,I:I)),1,0)+K5170</f>
        <v>0</v>
      </c>
      <c r="M5170" s="3">
        <f ca="1">IF(AND(N5170&lt;&gt;N5169,ISNUMBER(SEARCH(Лист2!$B$6,N:N)),L5170=2),MAX($M$3:OFFSET(M5170,-1,0))+1,0)</f>
        <v>0</v>
      </c>
      <c r="N5170" s="3" t="s">
        <v>3096</v>
      </c>
    </row>
    <row r="5171" spans="1:14" x14ac:dyDescent="0.25">
      <c r="A5171" s="1" t="s">
        <v>13823</v>
      </c>
      <c r="B5171" s="3" t="s">
        <v>8795</v>
      </c>
      <c r="C5171" s="2">
        <f ca="1">IF(ISNUMBER(SEARCH(Лист2!$B$4,D:D)),MAX($C$3:OFFSET(C5171,-1,0))+1,0)</f>
        <v>0</v>
      </c>
      <c r="E5171" s="9" t="str">
        <f t="shared" ca="1" si="92"/>
        <v/>
      </c>
      <c r="F5171" s="4" t="s">
        <v>29</v>
      </c>
      <c r="G5171" s="2">
        <f>IF(ISNUMBER(SEARCH(Лист2!$B$4,F:F)),1,0)</f>
        <v>0</v>
      </c>
      <c r="H5171" s="3">
        <f ca="1">IF(AND(I5171&lt;&gt;I5170,ISNUMBER(SEARCH(Лист2!$B$5,I:I)),G5171=1),MAX($H$3:OFFSET(H5171,-1,0))+1,0)</f>
        <v>0</v>
      </c>
      <c r="I5171" s="3" t="s">
        <v>407</v>
      </c>
      <c r="K5171" s="2">
        <f>IF(ISNUMBER(SEARCH(Лист2!$B$4,F:F)),1,0)</f>
        <v>0</v>
      </c>
      <c r="L5171" s="14">
        <f>IF(ISNUMBER(SEARCH(Лист2!$B$5,I:I)),1,0)+K5171</f>
        <v>0</v>
      </c>
      <c r="M5171" s="3">
        <f ca="1">IF(AND(N5171&lt;&gt;N5170,ISNUMBER(SEARCH(Лист2!$B$6,N:N)),L5171=2),MAX($M$3:OFFSET(M5171,-1,0))+1,0)</f>
        <v>0</v>
      </c>
      <c r="N5171" s="3" t="s">
        <v>3097</v>
      </c>
    </row>
    <row r="5172" spans="1:14" x14ac:dyDescent="0.25">
      <c r="A5172" s="1" t="s">
        <v>13824</v>
      </c>
      <c r="B5172" s="3" t="s">
        <v>8796</v>
      </c>
      <c r="C5172" s="2">
        <f ca="1">IF(ISNUMBER(SEARCH(Лист2!$B$4,D:D)),MAX($C$3:OFFSET(C5172,-1,0))+1,0)</f>
        <v>0</v>
      </c>
      <c r="E5172" s="9" t="str">
        <f t="shared" ca="1" si="92"/>
        <v/>
      </c>
      <c r="F5172" s="4" t="s">
        <v>29</v>
      </c>
      <c r="G5172" s="2">
        <f>IF(ISNUMBER(SEARCH(Лист2!$B$4,F:F)),1,0)</f>
        <v>0</v>
      </c>
      <c r="H5172" s="3">
        <f ca="1">IF(AND(I5172&lt;&gt;I5171,ISNUMBER(SEARCH(Лист2!$B$5,I:I)),G5172=1),MAX($H$3:OFFSET(H5172,-1,0))+1,0)</f>
        <v>0</v>
      </c>
      <c r="I5172" s="3" t="s">
        <v>407</v>
      </c>
      <c r="K5172" s="2">
        <f>IF(ISNUMBER(SEARCH(Лист2!$B$4,F:F)),1,0)</f>
        <v>0</v>
      </c>
      <c r="L5172" s="14">
        <f>IF(ISNUMBER(SEARCH(Лист2!$B$5,I:I)),1,0)+K5172</f>
        <v>0</v>
      </c>
      <c r="M5172" s="3">
        <f ca="1">IF(AND(N5172&lt;&gt;N5171,ISNUMBER(SEARCH(Лист2!$B$6,N:N)),L5172=2),MAX($M$3:OFFSET(M5172,-1,0))+1,0)</f>
        <v>0</v>
      </c>
      <c r="N5172" s="3" t="s">
        <v>3098</v>
      </c>
    </row>
    <row r="5173" spans="1:14" x14ac:dyDescent="0.25">
      <c r="A5173" s="1" t="s">
        <v>13825</v>
      </c>
      <c r="B5173" s="3" t="s">
        <v>8797</v>
      </c>
      <c r="C5173" s="2">
        <f ca="1">IF(ISNUMBER(SEARCH(Лист2!$B$4,D:D)),MAX($C$3:OFFSET(C5173,-1,0))+1,0)</f>
        <v>0</v>
      </c>
      <c r="E5173" s="9" t="str">
        <f t="shared" ca="1" si="92"/>
        <v/>
      </c>
      <c r="F5173" s="4" t="s">
        <v>29</v>
      </c>
      <c r="G5173" s="2">
        <f>IF(ISNUMBER(SEARCH(Лист2!$B$4,F:F)),1,0)</f>
        <v>0</v>
      </c>
      <c r="H5173" s="3">
        <f ca="1">IF(AND(I5173&lt;&gt;I5172,ISNUMBER(SEARCH(Лист2!$B$5,I:I)),G5173=1),MAX($H$3:OFFSET(H5173,-1,0))+1,0)</f>
        <v>0</v>
      </c>
      <c r="I5173" s="3" t="s">
        <v>407</v>
      </c>
      <c r="K5173" s="2">
        <f>IF(ISNUMBER(SEARCH(Лист2!$B$4,F:F)),1,0)</f>
        <v>0</v>
      </c>
      <c r="L5173" s="14">
        <f>IF(ISNUMBER(SEARCH(Лист2!$B$5,I:I)),1,0)+K5173</f>
        <v>0</v>
      </c>
      <c r="M5173" s="3">
        <f ca="1">IF(AND(N5173&lt;&gt;N5172,ISNUMBER(SEARCH(Лист2!$B$6,N:N)),L5173=2),MAX($M$3:OFFSET(M5173,-1,0))+1,0)</f>
        <v>0</v>
      </c>
      <c r="N5173" s="3" t="s">
        <v>3099</v>
      </c>
    </row>
    <row r="5174" spans="1:14" x14ac:dyDescent="0.25">
      <c r="A5174" s="1" t="s">
        <v>13826</v>
      </c>
      <c r="B5174" s="3" t="s">
        <v>8798</v>
      </c>
      <c r="C5174" s="2">
        <f ca="1">IF(ISNUMBER(SEARCH(Лист2!$B$4,D:D)),MAX($C$3:OFFSET(C5174,-1,0))+1,0)</f>
        <v>0</v>
      </c>
      <c r="E5174" s="9" t="str">
        <f t="shared" ca="1" si="92"/>
        <v/>
      </c>
      <c r="F5174" s="4" t="s">
        <v>29</v>
      </c>
      <c r="G5174" s="2">
        <f>IF(ISNUMBER(SEARCH(Лист2!$B$4,F:F)),1,0)</f>
        <v>0</v>
      </c>
      <c r="H5174" s="3">
        <f ca="1">IF(AND(I5174&lt;&gt;I5173,ISNUMBER(SEARCH(Лист2!$B$5,I:I)),G5174=1),MAX($H$3:OFFSET(H5174,-1,0))+1,0)</f>
        <v>0</v>
      </c>
      <c r="I5174" s="3" t="s">
        <v>407</v>
      </c>
      <c r="K5174" s="2">
        <f>IF(ISNUMBER(SEARCH(Лист2!$B$4,F:F)),1,0)</f>
        <v>0</v>
      </c>
      <c r="L5174" s="14">
        <f>IF(ISNUMBER(SEARCH(Лист2!$B$5,I:I)),1,0)+K5174</f>
        <v>0</v>
      </c>
      <c r="M5174" s="3">
        <f ca="1">IF(AND(N5174&lt;&gt;N5173,ISNUMBER(SEARCH(Лист2!$B$6,N:N)),L5174=2),MAX($M$3:OFFSET(M5174,-1,0))+1,0)</f>
        <v>0</v>
      </c>
      <c r="N5174" s="3" t="s">
        <v>3100</v>
      </c>
    </row>
    <row r="5175" spans="1:14" x14ac:dyDescent="0.25">
      <c r="A5175" s="1" t="s">
        <v>13827</v>
      </c>
      <c r="B5175" s="3" t="s">
        <v>8799</v>
      </c>
      <c r="C5175" s="2">
        <f ca="1">IF(ISNUMBER(SEARCH(Лист2!$B$4,D:D)),MAX($C$3:OFFSET(C5175,-1,0))+1,0)</f>
        <v>0</v>
      </c>
      <c r="E5175" s="9" t="str">
        <f t="shared" ca="1" si="92"/>
        <v/>
      </c>
      <c r="F5175" s="4" t="s">
        <v>29</v>
      </c>
      <c r="G5175" s="2">
        <f>IF(ISNUMBER(SEARCH(Лист2!$B$4,F:F)),1,0)</f>
        <v>0</v>
      </c>
      <c r="H5175" s="3">
        <f ca="1">IF(AND(I5175&lt;&gt;I5174,ISNUMBER(SEARCH(Лист2!$B$5,I:I)),G5175=1),MAX($H$3:OFFSET(H5175,-1,0))+1,0)</f>
        <v>0</v>
      </c>
      <c r="I5175" s="3" t="s">
        <v>407</v>
      </c>
      <c r="K5175" s="2">
        <f>IF(ISNUMBER(SEARCH(Лист2!$B$4,F:F)),1,0)</f>
        <v>0</v>
      </c>
      <c r="L5175" s="14">
        <f>IF(ISNUMBER(SEARCH(Лист2!$B$5,I:I)),1,0)+K5175</f>
        <v>0</v>
      </c>
      <c r="M5175" s="3">
        <f ca="1">IF(AND(N5175&lt;&gt;N5174,ISNUMBER(SEARCH(Лист2!$B$6,N:N)),L5175=2),MAX($M$3:OFFSET(M5175,-1,0))+1,0)</f>
        <v>0</v>
      </c>
      <c r="N5175" s="3" t="s">
        <v>602</v>
      </c>
    </row>
    <row r="5176" spans="1:14" x14ac:dyDescent="0.25">
      <c r="A5176" s="1" t="s">
        <v>13828</v>
      </c>
      <c r="B5176" s="3" t="s">
        <v>8800</v>
      </c>
      <c r="C5176" s="2">
        <f ca="1">IF(ISNUMBER(SEARCH(Лист2!$B$4,D:D)),MAX($C$3:OFFSET(C5176,-1,0))+1,0)</f>
        <v>0</v>
      </c>
      <c r="E5176" s="9" t="str">
        <f t="shared" ca="1" si="92"/>
        <v/>
      </c>
      <c r="F5176" s="4" t="s">
        <v>29</v>
      </c>
      <c r="G5176" s="2">
        <f>IF(ISNUMBER(SEARCH(Лист2!$B$4,F:F)),1,0)</f>
        <v>0</v>
      </c>
      <c r="H5176" s="3">
        <f ca="1">IF(AND(I5176&lt;&gt;I5175,ISNUMBER(SEARCH(Лист2!$B$5,I:I)),G5176=1),MAX($H$3:OFFSET(H5176,-1,0))+1,0)</f>
        <v>0</v>
      </c>
      <c r="I5176" s="3" t="s">
        <v>407</v>
      </c>
      <c r="K5176" s="2">
        <f>IF(ISNUMBER(SEARCH(Лист2!$B$4,F:F)),1,0)</f>
        <v>0</v>
      </c>
      <c r="L5176" s="14">
        <f>IF(ISNUMBER(SEARCH(Лист2!$B$5,I:I)),1,0)+K5176</f>
        <v>0</v>
      </c>
      <c r="M5176" s="3">
        <f ca="1">IF(AND(N5176&lt;&gt;N5175,ISNUMBER(SEARCH(Лист2!$B$6,N:N)),L5176=2),MAX($M$3:OFFSET(M5176,-1,0))+1,0)</f>
        <v>0</v>
      </c>
      <c r="N5176" s="3" t="s">
        <v>3101</v>
      </c>
    </row>
    <row r="5177" spans="1:14" x14ac:dyDescent="0.25">
      <c r="A5177" s="1" t="s">
        <v>13829</v>
      </c>
      <c r="B5177" s="3" t="s">
        <v>8801</v>
      </c>
      <c r="C5177" s="2">
        <f ca="1">IF(ISNUMBER(SEARCH(Лист2!$B$4,D:D)),MAX($C$3:OFFSET(C5177,-1,0))+1,0)</f>
        <v>0</v>
      </c>
      <c r="E5177" s="9" t="str">
        <f t="shared" ca="1" si="92"/>
        <v/>
      </c>
      <c r="F5177" s="4" t="s">
        <v>29</v>
      </c>
      <c r="G5177" s="2">
        <f>IF(ISNUMBER(SEARCH(Лист2!$B$4,F:F)),1,0)</f>
        <v>0</v>
      </c>
      <c r="H5177" s="3">
        <f ca="1">IF(AND(I5177&lt;&gt;I5176,ISNUMBER(SEARCH(Лист2!$B$5,I:I)),G5177=1),MAX($H$3:OFFSET(H5177,-1,0))+1,0)</f>
        <v>0</v>
      </c>
      <c r="I5177" s="3" t="s">
        <v>408</v>
      </c>
      <c r="K5177" s="2">
        <f>IF(ISNUMBER(SEARCH(Лист2!$B$4,F:F)),1,0)</f>
        <v>0</v>
      </c>
      <c r="L5177" s="14">
        <f>IF(ISNUMBER(SEARCH(Лист2!$B$5,I:I)),1,0)+K5177</f>
        <v>0</v>
      </c>
      <c r="M5177" s="3">
        <f ca="1">IF(AND(N5177&lt;&gt;N5176,ISNUMBER(SEARCH(Лист2!$B$6,N:N)),L5177=2),MAX($M$3:OFFSET(M5177,-1,0))+1,0)</f>
        <v>0</v>
      </c>
      <c r="N5177" s="3" t="s">
        <v>3102</v>
      </c>
    </row>
    <row r="5178" spans="1:14" x14ac:dyDescent="0.25">
      <c r="A5178" s="1" t="s">
        <v>13830</v>
      </c>
      <c r="B5178" s="3" t="s">
        <v>8802</v>
      </c>
      <c r="C5178" s="2">
        <f ca="1">IF(ISNUMBER(SEARCH(Лист2!$B$4,D:D)),MAX($C$3:OFFSET(C5178,-1,0))+1,0)</f>
        <v>0</v>
      </c>
      <c r="E5178" s="9" t="str">
        <f t="shared" ca="1" si="92"/>
        <v/>
      </c>
      <c r="F5178" s="4" t="s">
        <v>29</v>
      </c>
      <c r="G5178" s="2">
        <f>IF(ISNUMBER(SEARCH(Лист2!$B$4,F:F)),1,0)</f>
        <v>0</v>
      </c>
      <c r="H5178" s="3">
        <f ca="1">IF(AND(I5178&lt;&gt;I5177,ISNUMBER(SEARCH(Лист2!$B$5,I:I)),G5178=1),MAX($H$3:OFFSET(H5178,-1,0))+1,0)</f>
        <v>0</v>
      </c>
      <c r="I5178" s="3" t="s">
        <v>408</v>
      </c>
      <c r="K5178" s="2">
        <f>IF(ISNUMBER(SEARCH(Лист2!$B$4,F:F)),1,0)</f>
        <v>0</v>
      </c>
      <c r="L5178" s="14">
        <f>IF(ISNUMBER(SEARCH(Лист2!$B$5,I:I)),1,0)+K5178</f>
        <v>0</v>
      </c>
      <c r="M5178" s="3">
        <f ca="1">IF(AND(N5178&lt;&gt;N5177,ISNUMBER(SEARCH(Лист2!$B$6,N:N)),L5178=2),MAX($M$3:OFFSET(M5178,-1,0))+1,0)</f>
        <v>0</v>
      </c>
      <c r="N5178" s="3" t="s">
        <v>3103</v>
      </c>
    </row>
    <row r="5179" spans="1:14" x14ac:dyDescent="0.25">
      <c r="A5179" s="1" t="s">
        <v>13831</v>
      </c>
      <c r="B5179" s="3" t="s">
        <v>8803</v>
      </c>
      <c r="C5179" s="2">
        <f ca="1">IF(ISNUMBER(SEARCH(Лист2!$B$4,D:D)),MAX($C$3:OFFSET(C5179,-1,0))+1,0)</f>
        <v>0</v>
      </c>
      <c r="E5179" s="9" t="str">
        <f t="shared" ca="1" si="92"/>
        <v/>
      </c>
      <c r="F5179" s="4" t="s">
        <v>29</v>
      </c>
      <c r="G5179" s="2">
        <f>IF(ISNUMBER(SEARCH(Лист2!$B$4,F:F)),1,0)</f>
        <v>0</v>
      </c>
      <c r="H5179" s="3">
        <f ca="1">IF(AND(I5179&lt;&gt;I5178,ISNUMBER(SEARCH(Лист2!$B$5,I:I)),G5179=1),MAX($H$3:OFFSET(H5179,-1,0))+1,0)</f>
        <v>0</v>
      </c>
      <c r="I5179" s="3" t="s">
        <v>408</v>
      </c>
      <c r="K5179" s="2">
        <f>IF(ISNUMBER(SEARCH(Лист2!$B$4,F:F)),1,0)</f>
        <v>0</v>
      </c>
      <c r="L5179" s="14">
        <f>IF(ISNUMBER(SEARCH(Лист2!$B$5,I:I)),1,0)+K5179</f>
        <v>0</v>
      </c>
      <c r="M5179" s="3">
        <f ca="1">IF(AND(N5179&lt;&gt;N5178,ISNUMBER(SEARCH(Лист2!$B$6,N:N)),L5179=2),MAX($M$3:OFFSET(M5179,-1,0))+1,0)</f>
        <v>0</v>
      </c>
      <c r="N5179" s="3" t="s">
        <v>3104</v>
      </c>
    </row>
    <row r="5180" spans="1:14" x14ac:dyDescent="0.25">
      <c r="A5180" s="1" t="s">
        <v>13832</v>
      </c>
      <c r="B5180" s="3" t="s">
        <v>8804</v>
      </c>
      <c r="C5180" s="2">
        <f ca="1">IF(ISNUMBER(SEARCH(Лист2!$B$4,D:D)),MAX($C$3:OFFSET(C5180,-1,0))+1,0)</f>
        <v>0</v>
      </c>
      <c r="E5180" s="9" t="str">
        <f t="shared" ca="1" si="92"/>
        <v/>
      </c>
      <c r="F5180" s="4" t="s">
        <v>29</v>
      </c>
      <c r="G5180" s="2">
        <f>IF(ISNUMBER(SEARCH(Лист2!$B$4,F:F)),1,0)</f>
        <v>0</v>
      </c>
      <c r="H5180" s="3">
        <f ca="1">IF(AND(I5180&lt;&gt;I5179,ISNUMBER(SEARCH(Лист2!$B$5,I:I)),G5180=1),MAX($H$3:OFFSET(H5180,-1,0))+1,0)</f>
        <v>0</v>
      </c>
      <c r="I5180" s="3" t="s">
        <v>408</v>
      </c>
      <c r="K5180" s="2">
        <f>IF(ISNUMBER(SEARCH(Лист2!$B$4,F:F)),1,0)</f>
        <v>0</v>
      </c>
      <c r="L5180" s="14">
        <f>IF(ISNUMBER(SEARCH(Лист2!$B$5,I:I)),1,0)+K5180</f>
        <v>0</v>
      </c>
      <c r="M5180" s="3">
        <f ca="1">IF(AND(N5180&lt;&gt;N5179,ISNUMBER(SEARCH(Лист2!$B$6,N:N)),L5180=2),MAX($M$3:OFFSET(M5180,-1,0))+1,0)</f>
        <v>0</v>
      </c>
      <c r="N5180" s="3" t="s">
        <v>3105</v>
      </c>
    </row>
    <row r="5181" spans="1:14" x14ac:dyDescent="0.25">
      <c r="A5181" s="1" t="s">
        <v>13833</v>
      </c>
      <c r="B5181" s="3" t="s">
        <v>8805</v>
      </c>
      <c r="C5181" s="2">
        <f ca="1">IF(ISNUMBER(SEARCH(Лист2!$B$4,D:D)),MAX($C$3:OFFSET(C5181,-1,0))+1,0)</f>
        <v>0</v>
      </c>
      <c r="E5181" s="9" t="str">
        <f t="shared" ca="1" si="92"/>
        <v/>
      </c>
      <c r="F5181" s="4" t="s">
        <v>29</v>
      </c>
      <c r="G5181" s="2">
        <f>IF(ISNUMBER(SEARCH(Лист2!$B$4,F:F)),1,0)</f>
        <v>0</v>
      </c>
      <c r="H5181" s="3">
        <f ca="1">IF(AND(I5181&lt;&gt;I5180,ISNUMBER(SEARCH(Лист2!$B$5,I:I)),G5181=1),MAX($H$3:OFFSET(H5181,-1,0))+1,0)</f>
        <v>0</v>
      </c>
      <c r="I5181" s="3" t="s">
        <v>408</v>
      </c>
      <c r="K5181" s="2">
        <f>IF(ISNUMBER(SEARCH(Лист2!$B$4,F:F)),1,0)</f>
        <v>0</v>
      </c>
      <c r="L5181" s="14">
        <f>IF(ISNUMBER(SEARCH(Лист2!$B$5,I:I)),1,0)+K5181</f>
        <v>0</v>
      </c>
      <c r="M5181" s="3">
        <f ca="1">IF(AND(N5181&lt;&gt;N5180,ISNUMBER(SEARCH(Лист2!$B$6,N:N)),L5181=2),MAX($M$3:OFFSET(M5181,-1,0))+1,0)</f>
        <v>0</v>
      </c>
      <c r="N5181" s="3" t="s">
        <v>2170</v>
      </c>
    </row>
    <row r="5182" spans="1:14" x14ac:dyDescent="0.25">
      <c r="A5182" s="1" t="s">
        <v>13834</v>
      </c>
      <c r="B5182" s="3" t="s">
        <v>8806</v>
      </c>
      <c r="C5182" s="2">
        <f ca="1">IF(ISNUMBER(SEARCH(Лист2!$B$4,D:D)),MAX($C$3:OFFSET(C5182,-1,0))+1,0)</f>
        <v>0</v>
      </c>
      <c r="E5182" s="9" t="str">
        <f t="shared" ca="1" si="92"/>
        <v/>
      </c>
      <c r="F5182" s="4" t="s">
        <v>29</v>
      </c>
      <c r="G5182" s="2">
        <f>IF(ISNUMBER(SEARCH(Лист2!$B$4,F:F)),1,0)</f>
        <v>0</v>
      </c>
      <c r="H5182" s="3">
        <f ca="1">IF(AND(I5182&lt;&gt;I5181,ISNUMBER(SEARCH(Лист2!$B$5,I:I)),G5182=1),MAX($H$3:OFFSET(H5182,-1,0))+1,0)</f>
        <v>0</v>
      </c>
      <c r="I5182" s="3" t="s">
        <v>408</v>
      </c>
      <c r="K5182" s="2">
        <f>IF(ISNUMBER(SEARCH(Лист2!$B$4,F:F)),1,0)</f>
        <v>0</v>
      </c>
      <c r="L5182" s="14">
        <f>IF(ISNUMBER(SEARCH(Лист2!$B$5,I:I)),1,0)+K5182</f>
        <v>0</v>
      </c>
      <c r="M5182" s="3">
        <f ca="1">IF(AND(N5182&lt;&gt;N5181,ISNUMBER(SEARCH(Лист2!$B$6,N:N)),L5182=2),MAX($M$3:OFFSET(M5182,-1,0))+1,0)</f>
        <v>0</v>
      </c>
      <c r="N5182" s="3" t="s">
        <v>3106</v>
      </c>
    </row>
    <row r="5183" spans="1:14" x14ac:dyDescent="0.25">
      <c r="A5183" s="1" t="s">
        <v>13835</v>
      </c>
      <c r="B5183" s="3" t="s">
        <v>8807</v>
      </c>
      <c r="C5183" s="2">
        <f ca="1">IF(ISNUMBER(SEARCH(Лист2!$B$4,D:D)),MAX($C$3:OFFSET(C5183,-1,0))+1,0)</f>
        <v>0</v>
      </c>
      <c r="E5183" s="9" t="str">
        <f t="shared" ca="1" si="92"/>
        <v/>
      </c>
      <c r="F5183" s="4" t="s">
        <v>29</v>
      </c>
      <c r="G5183" s="2">
        <f>IF(ISNUMBER(SEARCH(Лист2!$B$4,F:F)),1,0)</f>
        <v>0</v>
      </c>
      <c r="H5183" s="3">
        <f ca="1">IF(AND(I5183&lt;&gt;I5182,ISNUMBER(SEARCH(Лист2!$B$5,I:I)),G5183=1),MAX($H$3:OFFSET(H5183,-1,0))+1,0)</f>
        <v>0</v>
      </c>
      <c r="I5183" s="3" t="s">
        <v>408</v>
      </c>
      <c r="K5183" s="2">
        <f>IF(ISNUMBER(SEARCH(Лист2!$B$4,F:F)),1,0)</f>
        <v>0</v>
      </c>
      <c r="L5183" s="14">
        <f>IF(ISNUMBER(SEARCH(Лист2!$B$5,I:I)),1,0)+K5183</f>
        <v>0</v>
      </c>
      <c r="M5183" s="3">
        <f ca="1">IF(AND(N5183&lt;&gt;N5182,ISNUMBER(SEARCH(Лист2!$B$6,N:N)),L5183=2),MAX($M$3:OFFSET(M5183,-1,0))+1,0)</f>
        <v>0</v>
      </c>
      <c r="N5183" s="3" t="s">
        <v>3107</v>
      </c>
    </row>
    <row r="5184" spans="1:14" x14ac:dyDescent="0.25">
      <c r="A5184" s="1" t="s">
        <v>13836</v>
      </c>
      <c r="B5184" s="3" t="s">
        <v>8808</v>
      </c>
      <c r="C5184" s="2">
        <f ca="1">IF(ISNUMBER(SEARCH(Лист2!$B$4,D:D)),MAX($C$3:OFFSET(C5184,-1,0))+1,0)</f>
        <v>0</v>
      </c>
      <c r="E5184" s="9" t="str">
        <f t="shared" ca="1" si="92"/>
        <v/>
      </c>
      <c r="F5184" s="4" t="s">
        <v>29</v>
      </c>
      <c r="G5184" s="2">
        <f>IF(ISNUMBER(SEARCH(Лист2!$B$4,F:F)),1,0)</f>
        <v>0</v>
      </c>
      <c r="H5184" s="3">
        <f ca="1">IF(AND(I5184&lt;&gt;I5183,ISNUMBER(SEARCH(Лист2!$B$5,I:I)),G5184=1),MAX($H$3:OFFSET(H5184,-1,0))+1,0)</f>
        <v>0</v>
      </c>
      <c r="I5184" s="3" t="s">
        <v>408</v>
      </c>
      <c r="K5184" s="2">
        <f>IF(ISNUMBER(SEARCH(Лист2!$B$4,F:F)),1,0)</f>
        <v>0</v>
      </c>
      <c r="L5184" s="14">
        <f>IF(ISNUMBER(SEARCH(Лист2!$B$5,I:I)),1,0)+K5184</f>
        <v>0</v>
      </c>
      <c r="M5184" s="3">
        <f ca="1">IF(AND(N5184&lt;&gt;N5183,ISNUMBER(SEARCH(Лист2!$B$6,N:N)),L5184=2),MAX($M$3:OFFSET(M5184,-1,0))+1,0)</f>
        <v>0</v>
      </c>
      <c r="N5184" s="3" t="s">
        <v>3108</v>
      </c>
    </row>
    <row r="5185" spans="1:14" x14ac:dyDescent="0.25">
      <c r="A5185" s="1" t="s">
        <v>13837</v>
      </c>
      <c r="B5185" s="3" t="s">
        <v>8809</v>
      </c>
      <c r="C5185" s="2">
        <f ca="1">IF(ISNUMBER(SEARCH(Лист2!$B$4,D:D)),MAX($C$3:OFFSET(C5185,-1,0))+1,0)</f>
        <v>0</v>
      </c>
      <c r="E5185" s="9" t="str">
        <f t="shared" ca="1" si="92"/>
        <v/>
      </c>
      <c r="F5185" s="4" t="s">
        <v>29</v>
      </c>
      <c r="G5185" s="2">
        <f>IF(ISNUMBER(SEARCH(Лист2!$B$4,F:F)),1,0)</f>
        <v>0</v>
      </c>
      <c r="H5185" s="3">
        <f ca="1">IF(AND(I5185&lt;&gt;I5184,ISNUMBER(SEARCH(Лист2!$B$5,I:I)),G5185=1),MAX($H$3:OFFSET(H5185,-1,0))+1,0)</f>
        <v>0</v>
      </c>
      <c r="I5185" s="3" t="s">
        <v>408</v>
      </c>
      <c r="K5185" s="2">
        <f>IF(ISNUMBER(SEARCH(Лист2!$B$4,F:F)),1,0)</f>
        <v>0</v>
      </c>
      <c r="L5185" s="14">
        <f>IF(ISNUMBER(SEARCH(Лист2!$B$5,I:I)),1,0)+K5185</f>
        <v>0</v>
      </c>
      <c r="M5185" s="3">
        <f ca="1">IF(AND(N5185&lt;&gt;N5184,ISNUMBER(SEARCH(Лист2!$B$6,N:N)),L5185=2),MAX($M$3:OFFSET(M5185,-1,0))+1,0)</f>
        <v>0</v>
      </c>
      <c r="N5185" s="3" t="s">
        <v>602</v>
      </c>
    </row>
    <row r="5186" spans="1:14" x14ac:dyDescent="0.25">
      <c r="A5186" s="1" t="s">
        <v>13838</v>
      </c>
      <c r="B5186" s="3" t="s">
        <v>8810</v>
      </c>
      <c r="C5186" s="2">
        <f ca="1">IF(ISNUMBER(SEARCH(Лист2!$B$4,D:D)),MAX($C$3:OFFSET(C5186,-1,0))+1,0)</f>
        <v>0</v>
      </c>
      <c r="E5186" s="9" t="str">
        <f t="shared" ca="1" si="92"/>
        <v/>
      </c>
      <c r="F5186" s="4" t="s">
        <v>29</v>
      </c>
      <c r="G5186" s="2">
        <f>IF(ISNUMBER(SEARCH(Лист2!$B$4,F:F)),1,0)</f>
        <v>0</v>
      </c>
      <c r="H5186" s="3">
        <f ca="1">IF(AND(I5186&lt;&gt;I5185,ISNUMBER(SEARCH(Лист2!$B$5,I:I)),G5186=1),MAX($H$3:OFFSET(H5186,-1,0))+1,0)</f>
        <v>0</v>
      </c>
      <c r="I5186" s="3" t="s">
        <v>408</v>
      </c>
      <c r="K5186" s="2">
        <f>IF(ISNUMBER(SEARCH(Лист2!$B$4,F:F)),1,0)</f>
        <v>0</v>
      </c>
      <c r="L5186" s="14">
        <f>IF(ISNUMBER(SEARCH(Лист2!$B$5,I:I)),1,0)+K5186</f>
        <v>0</v>
      </c>
      <c r="M5186" s="3">
        <f ca="1">IF(AND(N5186&lt;&gt;N5185,ISNUMBER(SEARCH(Лист2!$B$6,N:N)),L5186=2),MAX($M$3:OFFSET(M5186,-1,0))+1,0)</f>
        <v>0</v>
      </c>
      <c r="N5186" s="3" t="s">
        <v>3109</v>
      </c>
    </row>
    <row r="5187" spans="1:14" x14ac:dyDescent="0.25">
      <c r="A5187" s="1" t="s">
        <v>13839</v>
      </c>
      <c r="B5187" s="3" t="s">
        <v>8811</v>
      </c>
      <c r="C5187" s="2">
        <f ca="1">IF(ISNUMBER(SEARCH(Лист2!$B$4,D:D)),MAX($C$3:OFFSET(C5187,-1,0))+1,0)</f>
        <v>0</v>
      </c>
      <c r="E5187" s="9" t="str">
        <f t="shared" ca="1" si="92"/>
        <v/>
      </c>
      <c r="F5187" s="4" t="s">
        <v>29</v>
      </c>
      <c r="G5187" s="2">
        <f>IF(ISNUMBER(SEARCH(Лист2!$B$4,F:F)),1,0)</f>
        <v>0</v>
      </c>
      <c r="H5187" s="3">
        <f ca="1">IF(AND(I5187&lt;&gt;I5186,ISNUMBER(SEARCH(Лист2!$B$5,I:I)),G5187=1),MAX($H$3:OFFSET(H5187,-1,0))+1,0)</f>
        <v>0</v>
      </c>
      <c r="I5187" s="3" t="s">
        <v>408</v>
      </c>
      <c r="K5187" s="2">
        <f>IF(ISNUMBER(SEARCH(Лист2!$B$4,F:F)),1,0)</f>
        <v>0</v>
      </c>
      <c r="L5187" s="14">
        <f>IF(ISNUMBER(SEARCH(Лист2!$B$5,I:I)),1,0)+K5187</f>
        <v>0</v>
      </c>
      <c r="M5187" s="3">
        <f ca="1">IF(AND(N5187&lt;&gt;N5186,ISNUMBER(SEARCH(Лист2!$B$6,N:N)),L5187=2),MAX($M$3:OFFSET(M5187,-1,0))+1,0)</f>
        <v>0</v>
      </c>
      <c r="N5187" s="3" t="s">
        <v>2174</v>
      </c>
    </row>
    <row r="5188" spans="1:14" x14ac:dyDescent="0.25">
      <c r="A5188" s="1" t="s">
        <v>13840</v>
      </c>
      <c r="B5188" s="3" t="s">
        <v>8812</v>
      </c>
      <c r="C5188" s="2">
        <f ca="1">IF(ISNUMBER(SEARCH(Лист2!$B$4,D:D)),MAX($C$3:OFFSET(C5188,-1,0))+1,0)</f>
        <v>0</v>
      </c>
      <c r="E5188" s="9" t="str">
        <f t="shared" ca="1" si="92"/>
        <v/>
      </c>
      <c r="F5188" s="4" t="s">
        <v>29</v>
      </c>
      <c r="G5188" s="2">
        <f>IF(ISNUMBER(SEARCH(Лист2!$B$4,F:F)),1,0)</f>
        <v>0</v>
      </c>
      <c r="H5188" s="3">
        <f ca="1">IF(AND(I5188&lt;&gt;I5187,ISNUMBER(SEARCH(Лист2!$B$5,I:I)),G5188=1),MAX($H$3:OFFSET(H5188,-1,0))+1,0)</f>
        <v>0</v>
      </c>
      <c r="I5188" s="3" t="s">
        <v>409</v>
      </c>
      <c r="K5188" s="2">
        <f>IF(ISNUMBER(SEARCH(Лист2!$B$4,F:F)),1,0)</f>
        <v>0</v>
      </c>
      <c r="L5188" s="14">
        <f>IF(ISNUMBER(SEARCH(Лист2!$B$5,I:I)),1,0)+K5188</f>
        <v>0</v>
      </c>
      <c r="M5188" s="3">
        <f ca="1">IF(AND(N5188&lt;&gt;N5187,ISNUMBER(SEARCH(Лист2!$B$6,N:N)),L5188=2),MAX($M$3:OFFSET(M5188,-1,0))+1,0)</f>
        <v>0</v>
      </c>
      <c r="N5188" s="3" t="s">
        <v>3110</v>
      </c>
    </row>
    <row r="5189" spans="1:14" x14ac:dyDescent="0.25">
      <c r="A5189" s="1" t="s">
        <v>13841</v>
      </c>
      <c r="B5189" s="3" t="s">
        <v>8813</v>
      </c>
      <c r="C5189" s="2">
        <f ca="1">IF(ISNUMBER(SEARCH(Лист2!$B$4,D:D)),MAX($C$3:OFFSET(C5189,-1,0))+1,0)</f>
        <v>0</v>
      </c>
      <c r="E5189" s="9" t="str">
        <f t="shared" ref="E5189:E5252" ca="1" si="93">IFERROR(INDEX(D:D,MATCH(ROW(E5189)-ROW($E$3),C:C,0)),"")</f>
        <v/>
      </c>
      <c r="F5189" s="4" t="s">
        <v>29</v>
      </c>
      <c r="G5189" s="2">
        <f>IF(ISNUMBER(SEARCH(Лист2!$B$4,F:F)),1,0)</f>
        <v>0</v>
      </c>
      <c r="H5189" s="3">
        <f ca="1">IF(AND(I5189&lt;&gt;I5188,ISNUMBER(SEARCH(Лист2!$B$5,I:I)),G5189=1),MAX($H$3:OFFSET(H5189,-1,0))+1,0)</f>
        <v>0</v>
      </c>
      <c r="I5189" s="3" t="s">
        <v>409</v>
      </c>
      <c r="K5189" s="2">
        <f>IF(ISNUMBER(SEARCH(Лист2!$B$4,F:F)),1,0)</f>
        <v>0</v>
      </c>
      <c r="L5189" s="14">
        <f>IF(ISNUMBER(SEARCH(Лист2!$B$5,I:I)),1,0)+K5189</f>
        <v>0</v>
      </c>
      <c r="M5189" s="3">
        <f ca="1">IF(AND(N5189&lt;&gt;N5188,ISNUMBER(SEARCH(Лист2!$B$6,N:N)),L5189=2),MAX($M$3:OFFSET(M5189,-1,0))+1,0)</f>
        <v>0</v>
      </c>
      <c r="N5189" s="3" t="s">
        <v>3111</v>
      </c>
    </row>
    <row r="5190" spans="1:14" x14ac:dyDescent="0.25">
      <c r="A5190" s="1" t="s">
        <v>13842</v>
      </c>
      <c r="B5190" s="3" t="s">
        <v>8814</v>
      </c>
      <c r="C5190" s="2">
        <f ca="1">IF(ISNUMBER(SEARCH(Лист2!$B$4,D:D)),MAX($C$3:OFFSET(C5190,-1,0))+1,0)</f>
        <v>0</v>
      </c>
      <c r="E5190" s="9" t="str">
        <f t="shared" ca="1" si="93"/>
        <v/>
      </c>
      <c r="F5190" s="4" t="s">
        <v>29</v>
      </c>
      <c r="G5190" s="2">
        <f>IF(ISNUMBER(SEARCH(Лист2!$B$4,F:F)),1,0)</f>
        <v>0</v>
      </c>
      <c r="H5190" s="3">
        <f ca="1">IF(AND(I5190&lt;&gt;I5189,ISNUMBER(SEARCH(Лист2!$B$5,I:I)),G5190=1),MAX($H$3:OFFSET(H5190,-1,0))+1,0)</f>
        <v>0</v>
      </c>
      <c r="I5190" s="3" t="s">
        <v>409</v>
      </c>
      <c r="K5190" s="2">
        <f>IF(ISNUMBER(SEARCH(Лист2!$B$4,F:F)),1,0)</f>
        <v>0</v>
      </c>
      <c r="L5190" s="14">
        <f>IF(ISNUMBER(SEARCH(Лист2!$B$5,I:I)),1,0)+K5190</f>
        <v>0</v>
      </c>
      <c r="M5190" s="3">
        <f ca="1">IF(AND(N5190&lt;&gt;N5189,ISNUMBER(SEARCH(Лист2!$B$6,N:N)),L5190=2),MAX($M$3:OFFSET(M5190,-1,0))+1,0)</f>
        <v>0</v>
      </c>
      <c r="N5190" s="3" t="s">
        <v>3112</v>
      </c>
    </row>
    <row r="5191" spans="1:14" x14ac:dyDescent="0.25">
      <c r="A5191" s="1" t="s">
        <v>13843</v>
      </c>
      <c r="B5191" s="3" t="s">
        <v>8815</v>
      </c>
      <c r="C5191" s="2">
        <f ca="1">IF(ISNUMBER(SEARCH(Лист2!$B$4,D:D)),MAX($C$3:OFFSET(C5191,-1,0))+1,0)</f>
        <v>0</v>
      </c>
      <c r="E5191" s="9" t="str">
        <f t="shared" ca="1" si="93"/>
        <v/>
      </c>
      <c r="F5191" s="4" t="s">
        <v>29</v>
      </c>
      <c r="G5191" s="2">
        <f>IF(ISNUMBER(SEARCH(Лист2!$B$4,F:F)),1,0)</f>
        <v>0</v>
      </c>
      <c r="H5191" s="3">
        <f ca="1">IF(AND(I5191&lt;&gt;I5190,ISNUMBER(SEARCH(Лист2!$B$5,I:I)),G5191=1),MAX($H$3:OFFSET(H5191,-1,0))+1,0)</f>
        <v>0</v>
      </c>
      <c r="I5191" s="3" t="s">
        <v>409</v>
      </c>
      <c r="K5191" s="2">
        <f>IF(ISNUMBER(SEARCH(Лист2!$B$4,F:F)),1,0)</f>
        <v>0</v>
      </c>
      <c r="L5191" s="14">
        <f>IF(ISNUMBER(SEARCH(Лист2!$B$5,I:I)),1,0)+K5191</f>
        <v>0</v>
      </c>
      <c r="M5191" s="3">
        <f ca="1">IF(AND(N5191&lt;&gt;N5190,ISNUMBER(SEARCH(Лист2!$B$6,N:N)),L5191=2),MAX($M$3:OFFSET(M5191,-1,0))+1,0)</f>
        <v>0</v>
      </c>
      <c r="N5191" s="3" t="s">
        <v>3113</v>
      </c>
    </row>
    <row r="5192" spans="1:14" x14ac:dyDescent="0.25">
      <c r="A5192" s="1" t="s">
        <v>13844</v>
      </c>
      <c r="B5192" s="3" t="s">
        <v>8816</v>
      </c>
      <c r="C5192" s="2">
        <f ca="1">IF(ISNUMBER(SEARCH(Лист2!$B$4,D:D)),MAX($C$3:OFFSET(C5192,-1,0))+1,0)</f>
        <v>0</v>
      </c>
      <c r="E5192" s="9" t="str">
        <f t="shared" ca="1" si="93"/>
        <v/>
      </c>
      <c r="F5192" s="4" t="s">
        <v>29</v>
      </c>
      <c r="G5192" s="2">
        <f>IF(ISNUMBER(SEARCH(Лист2!$B$4,F:F)),1,0)</f>
        <v>0</v>
      </c>
      <c r="H5192" s="3">
        <f ca="1">IF(AND(I5192&lt;&gt;I5191,ISNUMBER(SEARCH(Лист2!$B$5,I:I)),G5192=1),MAX($H$3:OFFSET(H5192,-1,0))+1,0)</f>
        <v>0</v>
      </c>
      <c r="I5192" s="3" t="s">
        <v>409</v>
      </c>
      <c r="K5192" s="2">
        <f>IF(ISNUMBER(SEARCH(Лист2!$B$4,F:F)),1,0)</f>
        <v>0</v>
      </c>
      <c r="L5192" s="14">
        <f>IF(ISNUMBER(SEARCH(Лист2!$B$5,I:I)),1,0)+K5192</f>
        <v>0</v>
      </c>
      <c r="M5192" s="3">
        <f ca="1">IF(AND(N5192&lt;&gt;N5191,ISNUMBER(SEARCH(Лист2!$B$6,N:N)),L5192=2),MAX($M$3:OFFSET(M5192,-1,0))+1,0)</f>
        <v>0</v>
      </c>
      <c r="N5192" s="3" t="s">
        <v>3114</v>
      </c>
    </row>
    <row r="5193" spans="1:14" x14ac:dyDescent="0.25">
      <c r="A5193" s="1" t="s">
        <v>13845</v>
      </c>
      <c r="B5193" s="3" t="s">
        <v>8817</v>
      </c>
      <c r="C5193" s="2">
        <f ca="1">IF(ISNUMBER(SEARCH(Лист2!$B$4,D:D)),MAX($C$3:OFFSET(C5193,-1,0))+1,0)</f>
        <v>0</v>
      </c>
      <c r="E5193" s="9" t="str">
        <f t="shared" ca="1" si="93"/>
        <v/>
      </c>
      <c r="F5193" s="4" t="s">
        <v>29</v>
      </c>
      <c r="G5193" s="2">
        <f>IF(ISNUMBER(SEARCH(Лист2!$B$4,F:F)),1,0)</f>
        <v>0</v>
      </c>
      <c r="H5193" s="3">
        <f ca="1">IF(AND(I5193&lt;&gt;I5192,ISNUMBER(SEARCH(Лист2!$B$5,I:I)),G5193=1),MAX($H$3:OFFSET(H5193,-1,0))+1,0)</f>
        <v>0</v>
      </c>
      <c r="I5193" s="3" t="s">
        <v>409</v>
      </c>
      <c r="K5193" s="2">
        <f>IF(ISNUMBER(SEARCH(Лист2!$B$4,F:F)),1,0)</f>
        <v>0</v>
      </c>
      <c r="L5193" s="14">
        <f>IF(ISNUMBER(SEARCH(Лист2!$B$5,I:I)),1,0)+K5193</f>
        <v>0</v>
      </c>
      <c r="M5193" s="3">
        <f ca="1">IF(AND(N5193&lt;&gt;N5192,ISNUMBER(SEARCH(Лист2!$B$6,N:N)),L5193=2),MAX($M$3:OFFSET(M5193,-1,0))+1,0)</f>
        <v>0</v>
      </c>
      <c r="N5193" s="3" t="s">
        <v>2170</v>
      </c>
    </row>
    <row r="5194" spans="1:14" x14ac:dyDescent="0.25">
      <c r="A5194" s="1" t="s">
        <v>13846</v>
      </c>
      <c r="B5194" s="3" t="s">
        <v>8818</v>
      </c>
      <c r="C5194" s="2">
        <f ca="1">IF(ISNUMBER(SEARCH(Лист2!$B$4,D:D)),MAX($C$3:OFFSET(C5194,-1,0))+1,0)</f>
        <v>0</v>
      </c>
      <c r="E5194" s="9" t="str">
        <f t="shared" ca="1" si="93"/>
        <v/>
      </c>
      <c r="F5194" s="4" t="s">
        <v>29</v>
      </c>
      <c r="G5194" s="2">
        <f>IF(ISNUMBER(SEARCH(Лист2!$B$4,F:F)),1,0)</f>
        <v>0</v>
      </c>
      <c r="H5194" s="3">
        <f ca="1">IF(AND(I5194&lt;&gt;I5193,ISNUMBER(SEARCH(Лист2!$B$5,I:I)),G5194=1),MAX($H$3:OFFSET(H5194,-1,0))+1,0)</f>
        <v>0</v>
      </c>
      <c r="I5194" s="3" t="s">
        <v>409</v>
      </c>
      <c r="K5194" s="2">
        <f>IF(ISNUMBER(SEARCH(Лист2!$B$4,F:F)),1,0)</f>
        <v>0</v>
      </c>
      <c r="L5194" s="14">
        <f>IF(ISNUMBER(SEARCH(Лист2!$B$5,I:I)),1,0)+K5194</f>
        <v>0</v>
      </c>
      <c r="M5194" s="3">
        <f ca="1">IF(AND(N5194&lt;&gt;N5193,ISNUMBER(SEARCH(Лист2!$B$6,N:N)),L5194=2),MAX($M$3:OFFSET(M5194,-1,0))+1,0)</f>
        <v>0</v>
      </c>
      <c r="N5194" s="3" t="s">
        <v>3115</v>
      </c>
    </row>
    <row r="5195" spans="1:14" x14ac:dyDescent="0.25">
      <c r="A5195" s="1" t="s">
        <v>13847</v>
      </c>
      <c r="B5195" s="3" t="s">
        <v>8819</v>
      </c>
      <c r="C5195" s="2">
        <f ca="1">IF(ISNUMBER(SEARCH(Лист2!$B$4,D:D)),MAX($C$3:OFFSET(C5195,-1,0))+1,0)</f>
        <v>0</v>
      </c>
      <c r="E5195" s="9" t="str">
        <f t="shared" ca="1" si="93"/>
        <v/>
      </c>
      <c r="F5195" s="4" t="s">
        <v>29</v>
      </c>
      <c r="G5195" s="2">
        <f>IF(ISNUMBER(SEARCH(Лист2!$B$4,F:F)),1,0)</f>
        <v>0</v>
      </c>
      <c r="H5195" s="3">
        <f ca="1">IF(AND(I5195&lt;&gt;I5194,ISNUMBER(SEARCH(Лист2!$B$5,I:I)),G5195=1),MAX($H$3:OFFSET(H5195,-1,0))+1,0)</f>
        <v>0</v>
      </c>
      <c r="I5195" s="3" t="s">
        <v>409</v>
      </c>
      <c r="K5195" s="2">
        <f>IF(ISNUMBER(SEARCH(Лист2!$B$4,F:F)),1,0)</f>
        <v>0</v>
      </c>
      <c r="L5195" s="14">
        <f>IF(ISNUMBER(SEARCH(Лист2!$B$5,I:I)),1,0)+K5195</f>
        <v>0</v>
      </c>
      <c r="M5195" s="3">
        <f ca="1">IF(AND(N5195&lt;&gt;N5194,ISNUMBER(SEARCH(Лист2!$B$6,N:N)),L5195=2),MAX($M$3:OFFSET(M5195,-1,0))+1,0)</f>
        <v>0</v>
      </c>
      <c r="N5195" s="3" t="s">
        <v>3116</v>
      </c>
    </row>
    <row r="5196" spans="1:14" x14ac:dyDescent="0.25">
      <c r="A5196" s="1" t="s">
        <v>13848</v>
      </c>
      <c r="B5196" s="3" t="s">
        <v>8820</v>
      </c>
      <c r="C5196" s="2">
        <f ca="1">IF(ISNUMBER(SEARCH(Лист2!$B$4,D:D)),MAX($C$3:OFFSET(C5196,-1,0))+1,0)</f>
        <v>0</v>
      </c>
      <c r="E5196" s="9" t="str">
        <f t="shared" ca="1" si="93"/>
        <v/>
      </c>
      <c r="F5196" s="4" t="s">
        <v>29</v>
      </c>
      <c r="G5196" s="2">
        <f>IF(ISNUMBER(SEARCH(Лист2!$B$4,F:F)),1,0)</f>
        <v>0</v>
      </c>
      <c r="H5196" s="3">
        <f ca="1">IF(AND(I5196&lt;&gt;I5195,ISNUMBER(SEARCH(Лист2!$B$5,I:I)),G5196=1),MAX($H$3:OFFSET(H5196,-1,0))+1,0)</f>
        <v>0</v>
      </c>
      <c r="I5196" s="3" t="s">
        <v>409</v>
      </c>
      <c r="K5196" s="2">
        <f>IF(ISNUMBER(SEARCH(Лист2!$B$4,F:F)),1,0)</f>
        <v>0</v>
      </c>
      <c r="L5196" s="14">
        <f>IF(ISNUMBER(SEARCH(Лист2!$B$5,I:I)),1,0)+K5196</f>
        <v>0</v>
      </c>
      <c r="M5196" s="3">
        <f ca="1">IF(AND(N5196&lt;&gt;N5195,ISNUMBER(SEARCH(Лист2!$B$6,N:N)),L5196=2),MAX($M$3:OFFSET(M5196,-1,0))+1,0)</f>
        <v>0</v>
      </c>
      <c r="N5196" s="3" t="s">
        <v>602</v>
      </c>
    </row>
    <row r="5197" spans="1:14" x14ac:dyDescent="0.25">
      <c r="A5197" s="1" t="s">
        <v>13849</v>
      </c>
      <c r="B5197" s="3" t="s">
        <v>8821</v>
      </c>
      <c r="C5197" s="2">
        <f ca="1">IF(ISNUMBER(SEARCH(Лист2!$B$4,D:D)),MAX($C$3:OFFSET(C5197,-1,0))+1,0)</f>
        <v>0</v>
      </c>
      <c r="E5197" s="9" t="str">
        <f t="shared" ca="1" si="93"/>
        <v/>
      </c>
      <c r="F5197" s="4" t="s">
        <v>29</v>
      </c>
      <c r="G5197" s="2">
        <f>IF(ISNUMBER(SEARCH(Лист2!$B$4,F:F)),1,0)</f>
        <v>0</v>
      </c>
      <c r="H5197" s="3">
        <f ca="1">IF(AND(I5197&lt;&gt;I5196,ISNUMBER(SEARCH(Лист2!$B$5,I:I)),G5197=1),MAX($H$3:OFFSET(H5197,-1,0))+1,0)</f>
        <v>0</v>
      </c>
      <c r="I5197" s="3" t="s">
        <v>409</v>
      </c>
      <c r="K5197" s="2">
        <f>IF(ISNUMBER(SEARCH(Лист2!$B$4,F:F)),1,0)</f>
        <v>0</v>
      </c>
      <c r="L5197" s="14">
        <f>IF(ISNUMBER(SEARCH(Лист2!$B$5,I:I)),1,0)+K5197</f>
        <v>0</v>
      </c>
      <c r="M5197" s="3">
        <f ca="1">IF(AND(N5197&lt;&gt;N5196,ISNUMBER(SEARCH(Лист2!$B$6,N:N)),L5197=2),MAX($M$3:OFFSET(M5197,-1,0))+1,0)</f>
        <v>0</v>
      </c>
      <c r="N5197" s="3" t="s">
        <v>3117</v>
      </c>
    </row>
    <row r="5198" spans="1:14" x14ac:dyDescent="0.25">
      <c r="A5198" s="1" t="s">
        <v>13850</v>
      </c>
      <c r="B5198" s="3" t="s">
        <v>8822</v>
      </c>
      <c r="C5198" s="2">
        <f ca="1">IF(ISNUMBER(SEARCH(Лист2!$B$4,D:D)),MAX($C$3:OFFSET(C5198,-1,0))+1,0)</f>
        <v>0</v>
      </c>
      <c r="E5198" s="9" t="str">
        <f t="shared" ca="1" si="93"/>
        <v/>
      </c>
      <c r="F5198" s="4" t="s">
        <v>29</v>
      </c>
      <c r="G5198" s="2">
        <f>IF(ISNUMBER(SEARCH(Лист2!$B$4,F:F)),1,0)</f>
        <v>0</v>
      </c>
      <c r="H5198" s="3">
        <f ca="1">IF(AND(I5198&lt;&gt;I5197,ISNUMBER(SEARCH(Лист2!$B$5,I:I)),G5198=1),MAX($H$3:OFFSET(H5198,-1,0))+1,0)</f>
        <v>0</v>
      </c>
      <c r="I5198" s="3" t="s">
        <v>409</v>
      </c>
      <c r="K5198" s="2">
        <f>IF(ISNUMBER(SEARCH(Лист2!$B$4,F:F)),1,0)</f>
        <v>0</v>
      </c>
      <c r="L5198" s="14">
        <f>IF(ISNUMBER(SEARCH(Лист2!$B$5,I:I)),1,0)+K5198</f>
        <v>0</v>
      </c>
      <c r="M5198" s="3">
        <f ca="1">IF(AND(N5198&lt;&gt;N5197,ISNUMBER(SEARCH(Лист2!$B$6,N:N)),L5198=2),MAX($M$3:OFFSET(M5198,-1,0))+1,0)</f>
        <v>0</v>
      </c>
      <c r="N5198" s="3" t="s">
        <v>3118</v>
      </c>
    </row>
    <row r="5199" spans="1:14" x14ac:dyDescent="0.25">
      <c r="A5199" s="1" t="s">
        <v>13851</v>
      </c>
      <c r="B5199" s="3" t="s">
        <v>8823</v>
      </c>
      <c r="C5199" s="2">
        <f ca="1">IF(ISNUMBER(SEARCH(Лист2!$B$4,D:D)),MAX($C$3:OFFSET(C5199,-1,0))+1,0)</f>
        <v>0</v>
      </c>
      <c r="E5199" s="9" t="str">
        <f t="shared" ca="1" si="93"/>
        <v/>
      </c>
      <c r="F5199" s="4" t="s">
        <v>30</v>
      </c>
      <c r="G5199" s="2">
        <f>IF(ISNUMBER(SEARCH(Лист2!$B$4,F:F)),1,0)</f>
        <v>0</v>
      </c>
      <c r="H5199" s="3">
        <f ca="1">IF(AND(I5199&lt;&gt;I5198,ISNUMBER(SEARCH(Лист2!$B$5,I:I)),G5199=1),MAX($H$3:OFFSET(H5199,-1,0))+1,0)</f>
        <v>0</v>
      </c>
      <c r="I5199" s="3" t="s">
        <v>410</v>
      </c>
      <c r="K5199" s="2">
        <f>IF(ISNUMBER(SEARCH(Лист2!$B$4,F:F)),1,0)</f>
        <v>0</v>
      </c>
      <c r="L5199" s="14">
        <f>IF(ISNUMBER(SEARCH(Лист2!$B$5,I:I)),1,0)+K5199</f>
        <v>0</v>
      </c>
      <c r="M5199" s="3">
        <f ca="1">IF(AND(N5199&lt;&gt;N5198,ISNUMBER(SEARCH(Лист2!$B$6,N:N)),L5199=2),MAX($M$3:OFFSET(M5199,-1,0))+1,0)</f>
        <v>0</v>
      </c>
      <c r="N5199" s="3" t="s">
        <v>2705</v>
      </c>
    </row>
    <row r="5200" spans="1:14" x14ac:dyDescent="0.25">
      <c r="A5200" s="1" t="s">
        <v>13852</v>
      </c>
      <c r="B5200" s="3" t="s">
        <v>8824</v>
      </c>
      <c r="C5200" s="2">
        <f ca="1">IF(ISNUMBER(SEARCH(Лист2!$B$4,D:D)),MAX($C$3:OFFSET(C5200,-1,0))+1,0)</f>
        <v>0</v>
      </c>
      <c r="E5200" s="9" t="str">
        <f t="shared" ca="1" si="93"/>
        <v/>
      </c>
      <c r="F5200" s="4" t="s">
        <v>30</v>
      </c>
      <c r="G5200" s="2">
        <f>IF(ISNUMBER(SEARCH(Лист2!$B$4,F:F)),1,0)</f>
        <v>0</v>
      </c>
      <c r="H5200" s="3">
        <f ca="1">IF(AND(I5200&lt;&gt;I5199,ISNUMBER(SEARCH(Лист2!$B$5,I:I)),G5200=1),MAX($H$3:OFFSET(H5200,-1,0))+1,0)</f>
        <v>0</v>
      </c>
      <c r="I5200" s="3" t="s">
        <v>410</v>
      </c>
      <c r="K5200" s="2">
        <f>IF(ISNUMBER(SEARCH(Лист2!$B$4,F:F)),1,0)</f>
        <v>0</v>
      </c>
      <c r="L5200" s="14">
        <f>IF(ISNUMBER(SEARCH(Лист2!$B$5,I:I)),1,0)+K5200</f>
        <v>0</v>
      </c>
      <c r="M5200" s="3">
        <f ca="1">IF(AND(N5200&lt;&gt;N5199,ISNUMBER(SEARCH(Лист2!$B$6,N:N)),L5200=2),MAX($M$3:OFFSET(M5200,-1,0))+1,0)</f>
        <v>0</v>
      </c>
      <c r="N5200" s="3" t="s">
        <v>3119</v>
      </c>
    </row>
    <row r="5201" spans="1:14" x14ac:dyDescent="0.25">
      <c r="A5201" s="1" t="s">
        <v>13853</v>
      </c>
      <c r="B5201" s="3" t="s">
        <v>8825</v>
      </c>
      <c r="C5201" s="2">
        <f ca="1">IF(ISNUMBER(SEARCH(Лист2!$B$4,D:D)),MAX($C$3:OFFSET(C5201,-1,0))+1,0)</f>
        <v>0</v>
      </c>
      <c r="E5201" s="9" t="str">
        <f t="shared" ca="1" si="93"/>
        <v/>
      </c>
      <c r="F5201" s="4" t="s">
        <v>30</v>
      </c>
      <c r="G5201" s="2">
        <f>IF(ISNUMBER(SEARCH(Лист2!$B$4,F:F)),1,0)</f>
        <v>0</v>
      </c>
      <c r="H5201" s="3">
        <f ca="1">IF(AND(I5201&lt;&gt;I5200,ISNUMBER(SEARCH(Лист2!$B$5,I:I)),G5201=1),MAX($H$3:OFFSET(H5201,-1,0))+1,0)</f>
        <v>0</v>
      </c>
      <c r="I5201" s="3" t="s">
        <v>410</v>
      </c>
      <c r="K5201" s="2">
        <f>IF(ISNUMBER(SEARCH(Лист2!$B$4,F:F)),1,0)</f>
        <v>0</v>
      </c>
      <c r="L5201" s="14">
        <f>IF(ISNUMBER(SEARCH(Лист2!$B$5,I:I)),1,0)+K5201</f>
        <v>0</v>
      </c>
      <c r="M5201" s="3">
        <f ca="1">IF(AND(N5201&lt;&gt;N5200,ISNUMBER(SEARCH(Лист2!$B$6,N:N)),L5201=2),MAX($M$3:OFFSET(M5201,-1,0))+1,0)</f>
        <v>0</v>
      </c>
      <c r="N5201" s="3" t="s">
        <v>3120</v>
      </c>
    </row>
    <row r="5202" spans="1:14" x14ac:dyDescent="0.25">
      <c r="A5202" s="1" t="s">
        <v>13854</v>
      </c>
      <c r="B5202" s="3" t="s">
        <v>8826</v>
      </c>
      <c r="C5202" s="2">
        <f ca="1">IF(ISNUMBER(SEARCH(Лист2!$B$4,D:D)),MAX($C$3:OFFSET(C5202,-1,0))+1,0)</f>
        <v>0</v>
      </c>
      <c r="E5202" s="9" t="str">
        <f t="shared" ca="1" si="93"/>
        <v/>
      </c>
      <c r="F5202" s="4" t="s">
        <v>30</v>
      </c>
      <c r="G5202" s="2">
        <f>IF(ISNUMBER(SEARCH(Лист2!$B$4,F:F)),1,0)</f>
        <v>0</v>
      </c>
      <c r="H5202" s="3">
        <f ca="1">IF(AND(I5202&lt;&gt;I5201,ISNUMBER(SEARCH(Лист2!$B$5,I:I)),G5202=1),MAX($H$3:OFFSET(H5202,-1,0))+1,0)</f>
        <v>0</v>
      </c>
      <c r="I5202" s="3" t="s">
        <v>410</v>
      </c>
      <c r="K5202" s="2">
        <f>IF(ISNUMBER(SEARCH(Лист2!$B$4,F:F)),1,0)</f>
        <v>0</v>
      </c>
      <c r="L5202" s="14">
        <f>IF(ISNUMBER(SEARCH(Лист2!$B$5,I:I)),1,0)+K5202</f>
        <v>0</v>
      </c>
      <c r="M5202" s="3">
        <f ca="1">IF(AND(N5202&lt;&gt;N5201,ISNUMBER(SEARCH(Лист2!$B$6,N:N)),L5202=2),MAX($M$3:OFFSET(M5202,-1,0))+1,0)</f>
        <v>0</v>
      </c>
      <c r="N5202" s="3" t="s">
        <v>3121</v>
      </c>
    </row>
    <row r="5203" spans="1:14" x14ac:dyDescent="0.25">
      <c r="A5203" s="1" t="s">
        <v>13855</v>
      </c>
      <c r="B5203" s="3" t="s">
        <v>8827</v>
      </c>
      <c r="C5203" s="2">
        <f ca="1">IF(ISNUMBER(SEARCH(Лист2!$B$4,D:D)),MAX($C$3:OFFSET(C5203,-1,0))+1,0)</f>
        <v>0</v>
      </c>
      <c r="E5203" s="9" t="str">
        <f t="shared" ca="1" si="93"/>
        <v/>
      </c>
      <c r="F5203" s="4" t="s">
        <v>30</v>
      </c>
      <c r="G5203" s="2">
        <f>IF(ISNUMBER(SEARCH(Лист2!$B$4,F:F)),1,0)</f>
        <v>0</v>
      </c>
      <c r="H5203" s="3">
        <f ca="1">IF(AND(I5203&lt;&gt;I5202,ISNUMBER(SEARCH(Лист2!$B$5,I:I)),G5203=1),MAX($H$3:OFFSET(H5203,-1,0))+1,0)</f>
        <v>0</v>
      </c>
      <c r="I5203" s="3" t="s">
        <v>410</v>
      </c>
      <c r="K5203" s="2">
        <f>IF(ISNUMBER(SEARCH(Лист2!$B$4,F:F)),1,0)</f>
        <v>0</v>
      </c>
      <c r="L5203" s="14">
        <f>IF(ISNUMBER(SEARCH(Лист2!$B$5,I:I)),1,0)+K5203</f>
        <v>0</v>
      </c>
      <c r="M5203" s="3">
        <f ca="1">IF(AND(N5203&lt;&gt;N5202,ISNUMBER(SEARCH(Лист2!$B$6,N:N)),L5203=2),MAX($M$3:OFFSET(M5203,-1,0))+1,0)</f>
        <v>0</v>
      </c>
      <c r="N5203" s="3" t="s">
        <v>3122</v>
      </c>
    </row>
    <row r="5204" spans="1:14" x14ac:dyDescent="0.25">
      <c r="A5204" s="1" t="s">
        <v>13856</v>
      </c>
      <c r="B5204" s="3" t="s">
        <v>8828</v>
      </c>
      <c r="C5204" s="2">
        <f ca="1">IF(ISNUMBER(SEARCH(Лист2!$B$4,D:D)),MAX($C$3:OFFSET(C5204,-1,0))+1,0)</f>
        <v>0</v>
      </c>
      <c r="E5204" s="9" t="str">
        <f t="shared" ca="1" si="93"/>
        <v/>
      </c>
      <c r="F5204" s="4" t="s">
        <v>30</v>
      </c>
      <c r="G5204" s="2">
        <f>IF(ISNUMBER(SEARCH(Лист2!$B$4,F:F)),1,0)</f>
        <v>0</v>
      </c>
      <c r="H5204" s="3">
        <f ca="1">IF(AND(I5204&lt;&gt;I5203,ISNUMBER(SEARCH(Лист2!$B$5,I:I)),G5204=1),MAX($H$3:OFFSET(H5204,-1,0))+1,0)</f>
        <v>0</v>
      </c>
      <c r="I5204" s="3" t="s">
        <v>410</v>
      </c>
      <c r="K5204" s="2">
        <f>IF(ISNUMBER(SEARCH(Лист2!$B$4,F:F)),1,0)</f>
        <v>0</v>
      </c>
      <c r="L5204" s="14">
        <f>IF(ISNUMBER(SEARCH(Лист2!$B$5,I:I)),1,0)+K5204</f>
        <v>0</v>
      </c>
      <c r="M5204" s="3">
        <f ca="1">IF(AND(N5204&lt;&gt;N5203,ISNUMBER(SEARCH(Лист2!$B$6,N:N)),L5204=2),MAX($M$3:OFFSET(M5204,-1,0))+1,0)</f>
        <v>0</v>
      </c>
      <c r="N5204" s="3" t="s">
        <v>3123</v>
      </c>
    </row>
    <row r="5205" spans="1:14" x14ac:dyDescent="0.25">
      <c r="A5205" s="1" t="s">
        <v>13857</v>
      </c>
      <c r="B5205" s="3" t="s">
        <v>8829</v>
      </c>
      <c r="C5205" s="2">
        <f ca="1">IF(ISNUMBER(SEARCH(Лист2!$B$4,D:D)),MAX($C$3:OFFSET(C5205,-1,0))+1,0)</f>
        <v>0</v>
      </c>
      <c r="E5205" s="9" t="str">
        <f t="shared" ca="1" si="93"/>
        <v/>
      </c>
      <c r="F5205" s="4" t="s">
        <v>30</v>
      </c>
      <c r="G5205" s="2">
        <f>IF(ISNUMBER(SEARCH(Лист2!$B$4,F:F)),1,0)</f>
        <v>0</v>
      </c>
      <c r="H5205" s="3">
        <f ca="1">IF(AND(I5205&lt;&gt;I5204,ISNUMBER(SEARCH(Лист2!$B$5,I:I)),G5205=1),MAX($H$3:OFFSET(H5205,-1,0))+1,0)</f>
        <v>0</v>
      </c>
      <c r="I5205" s="3" t="s">
        <v>410</v>
      </c>
      <c r="K5205" s="2">
        <f>IF(ISNUMBER(SEARCH(Лист2!$B$4,F:F)),1,0)</f>
        <v>0</v>
      </c>
      <c r="L5205" s="14">
        <f>IF(ISNUMBER(SEARCH(Лист2!$B$5,I:I)),1,0)+K5205</f>
        <v>0</v>
      </c>
      <c r="M5205" s="3">
        <f ca="1">IF(AND(N5205&lt;&gt;N5204,ISNUMBER(SEARCH(Лист2!$B$6,N:N)),L5205=2),MAX($M$3:OFFSET(M5205,-1,0))+1,0)</f>
        <v>0</v>
      </c>
      <c r="N5205" s="3" t="s">
        <v>602</v>
      </c>
    </row>
    <row r="5206" spans="1:14" x14ac:dyDescent="0.25">
      <c r="A5206" s="1" t="s">
        <v>13858</v>
      </c>
      <c r="B5206" s="3" t="s">
        <v>8830</v>
      </c>
      <c r="C5206" s="2">
        <f ca="1">IF(ISNUMBER(SEARCH(Лист2!$B$4,D:D)),MAX($C$3:OFFSET(C5206,-1,0))+1,0)</f>
        <v>0</v>
      </c>
      <c r="E5206" s="9" t="str">
        <f t="shared" ca="1" si="93"/>
        <v/>
      </c>
      <c r="F5206" s="4" t="s">
        <v>30</v>
      </c>
      <c r="G5206" s="2">
        <f>IF(ISNUMBER(SEARCH(Лист2!$B$4,F:F)),1,0)</f>
        <v>0</v>
      </c>
      <c r="H5206" s="3">
        <f ca="1">IF(AND(I5206&lt;&gt;I5205,ISNUMBER(SEARCH(Лист2!$B$5,I:I)),G5206=1),MAX($H$3:OFFSET(H5206,-1,0))+1,0)</f>
        <v>0</v>
      </c>
      <c r="I5206" s="3" t="s">
        <v>411</v>
      </c>
      <c r="K5206" s="2">
        <f>IF(ISNUMBER(SEARCH(Лист2!$B$4,F:F)),1,0)</f>
        <v>0</v>
      </c>
      <c r="L5206" s="14">
        <f>IF(ISNUMBER(SEARCH(Лист2!$B$5,I:I)),1,0)+K5206</f>
        <v>0</v>
      </c>
      <c r="M5206" s="3">
        <f ca="1">IF(AND(N5206&lt;&gt;N5205,ISNUMBER(SEARCH(Лист2!$B$6,N:N)),L5206=2),MAX($M$3:OFFSET(M5206,-1,0))+1,0)</f>
        <v>0</v>
      </c>
      <c r="N5206" s="3" t="s">
        <v>2705</v>
      </c>
    </row>
    <row r="5207" spans="1:14" x14ac:dyDescent="0.25">
      <c r="A5207" s="1" t="s">
        <v>13859</v>
      </c>
      <c r="B5207" s="3" t="s">
        <v>8831</v>
      </c>
      <c r="C5207" s="2">
        <f ca="1">IF(ISNUMBER(SEARCH(Лист2!$B$4,D:D)),MAX($C$3:OFFSET(C5207,-1,0))+1,0)</f>
        <v>0</v>
      </c>
      <c r="E5207" s="9" t="str">
        <f t="shared" ca="1" si="93"/>
        <v/>
      </c>
      <c r="F5207" s="4" t="s">
        <v>30</v>
      </c>
      <c r="G5207" s="2">
        <f>IF(ISNUMBER(SEARCH(Лист2!$B$4,F:F)),1,0)</f>
        <v>0</v>
      </c>
      <c r="H5207" s="3">
        <f ca="1">IF(AND(I5207&lt;&gt;I5206,ISNUMBER(SEARCH(Лист2!$B$5,I:I)),G5207=1),MAX($H$3:OFFSET(H5207,-1,0))+1,0)</f>
        <v>0</v>
      </c>
      <c r="I5207" s="3" t="s">
        <v>411</v>
      </c>
      <c r="K5207" s="2">
        <f>IF(ISNUMBER(SEARCH(Лист2!$B$4,F:F)),1,0)</f>
        <v>0</v>
      </c>
      <c r="L5207" s="14">
        <f>IF(ISNUMBER(SEARCH(Лист2!$B$5,I:I)),1,0)+K5207</f>
        <v>0</v>
      </c>
      <c r="M5207" s="3">
        <f ca="1">IF(AND(N5207&lt;&gt;N5206,ISNUMBER(SEARCH(Лист2!$B$6,N:N)),L5207=2),MAX($M$3:OFFSET(M5207,-1,0))+1,0)</f>
        <v>0</v>
      </c>
      <c r="N5207" s="3" t="s">
        <v>3124</v>
      </c>
    </row>
    <row r="5208" spans="1:14" x14ac:dyDescent="0.25">
      <c r="A5208" s="1" t="s">
        <v>13860</v>
      </c>
      <c r="B5208" s="3" t="s">
        <v>8832</v>
      </c>
      <c r="C5208" s="2">
        <f ca="1">IF(ISNUMBER(SEARCH(Лист2!$B$4,D:D)),MAX($C$3:OFFSET(C5208,-1,0))+1,0)</f>
        <v>0</v>
      </c>
      <c r="E5208" s="9" t="str">
        <f t="shared" ca="1" si="93"/>
        <v/>
      </c>
      <c r="F5208" s="4" t="s">
        <v>30</v>
      </c>
      <c r="G5208" s="2">
        <f>IF(ISNUMBER(SEARCH(Лист2!$B$4,F:F)),1,0)</f>
        <v>0</v>
      </c>
      <c r="H5208" s="3">
        <f ca="1">IF(AND(I5208&lt;&gt;I5207,ISNUMBER(SEARCH(Лист2!$B$5,I:I)),G5208=1),MAX($H$3:OFFSET(H5208,-1,0))+1,0)</f>
        <v>0</v>
      </c>
      <c r="I5208" s="3" t="s">
        <v>411</v>
      </c>
      <c r="K5208" s="2">
        <f>IF(ISNUMBER(SEARCH(Лист2!$B$4,F:F)),1,0)</f>
        <v>0</v>
      </c>
      <c r="L5208" s="14">
        <f>IF(ISNUMBER(SEARCH(Лист2!$B$5,I:I)),1,0)+K5208</f>
        <v>0</v>
      </c>
      <c r="M5208" s="3">
        <f ca="1">IF(AND(N5208&lt;&gt;N5207,ISNUMBER(SEARCH(Лист2!$B$6,N:N)),L5208=2),MAX($M$3:OFFSET(M5208,-1,0))+1,0)</f>
        <v>0</v>
      </c>
      <c r="N5208" s="3" t="s">
        <v>3125</v>
      </c>
    </row>
    <row r="5209" spans="1:14" x14ac:dyDescent="0.25">
      <c r="A5209" s="1" t="s">
        <v>13861</v>
      </c>
      <c r="B5209" s="3" t="s">
        <v>8833</v>
      </c>
      <c r="C5209" s="2">
        <f ca="1">IF(ISNUMBER(SEARCH(Лист2!$B$4,D:D)),MAX($C$3:OFFSET(C5209,-1,0))+1,0)</f>
        <v>0</v>
      </c>
      <c r="E5209" s="9" t="str">
        <f t="shared" ca="1" si="93"/>
        <v/>
      </c>
      <c r="F5209" s="4" t="s">
        <v>30</v>
      </c>
      <c r="G5209" s="2">
        <f>IF(ISNUMBER(SEARCH(Лист2!$B$4,F:F)),1,0)</f>
        <v>0</v>
      </c>
      <c r="H5209" s="3">
        <f ca="1">IF(AND(I5209&lt;&gt;I5208,ISNUMBER(SEARCH(Лист2!$B$5,I:I)),G5209=1),MAX($H$3:OFFSET(H5209,-1,0))+1,0)</f>
        <v>0</v>
      </c>
      <c r="I5209" s="3" t="s">
        <v>411</v>
      </c>
      <c r="K5209" s="2">
        <f>IF(ISNUMBER(SEARCH(Лист2!$B$4,F:F)),1,0)</f>
        <v>0</v>
      </c>
      <c r="L5209" s="14">
        <f>IF(ISNUMBER(SEARCH(Лист2!$B$5,I:I)),1,0)+K5209</f>
        <v>0</v>
      </c>
      <c r="M5209" s="3">
        <f ca="1">IF(AND(N5209&lt;&gt;N5208,ISNUMBER(SEARCH(Лист2!$B$6,N:N)),L5209=2),MAX($M$3:OFFSET(M5209,-1,0))+1,0)</f>
        <v>0</v>
      </c>
      <c r="N5209" s="3" t="s">
        <v>3126</v>
      </c>
    </row>
    <row r="5210" spans="1:14" x14ac:dyDescent="0.25">
      <c r="A5210" s="1" t="s">
        <v>13862</v>
      </c>
      <c r="B5210" s="3" t="s">
        <v>8834</v>
      </c>
      <c r="C5210" s="2">
        <f ca="1">IF(ISNUMBER(SEARCH(Лист2!$B$4,D:D)),MAX($C$3:OFFSET(C5210,-1,0))+1,0)</f>
        <v>0</v>
      </c>
      <c r="E5210" s="9" t="str">
        <f t="shared" ca="1" si="93"/>
        <v/>
      </c>
      <c r="F5210" s="4" t="s">
        <v>30</v>
      </c>
      <c r="G5210" s="2">
        <f>IF(ISNUMBER(SEARCH(Лист2!$B$4,F:F)),1,0)</f>
        <v>0</v>
      </c>
      <c r="H5210" s="3">
        <f ca="1">IF(AND(I5210&lt;&gt;I5209,ISNUMBER(SEARCH(Лист2!$B$5,I:I)),G5210=1),MAX($H$3:OFFSET(H5210,-1,0))+1,0)</f>
        <v>0</v>
      </c>
      <c r="I5210" s="3" t="s">
        <v>411</v>
      </c>
      <c r="K5210" s="2">
        <f>IF(ISNUMBER(SEARCH(Лист2!$B$4,F:F)),1,0)</f>
        <v>0</v>
      </c>
      <c r="L5210" s="14">
        <f>IF(ISNUMBER(SEARCH(Лист2!$B$5,I:I)),1,0)+K5210</f>
        <v>0</v>
      </c>
      <c r="M5210" s="3">
        <f ca="1">IF(AND(N5210&lt;&gt;N5209,ISNUMBER(SEARCH(Лист2!$B$6,N:N)),L5210=2),MAX($M$3:OFFSET(M5210,-1,0))+1,0)</f>
        <v>0</v>
      </c>
      <c r="N5210" s="3" t="s">
        <v>3127</v>
      </c>
    </row>
    <row r="5211" spans="1:14" x14ac:dyDescent="0.25">
      <c r="A5211" s="1" t="s">
        <v>13863</v>
      </c>
      <c r="B5211" s="3" t="s">
        <v>8835</v>
      </c>
      <c r="C5211" s="2">
        <f ca="1">IF(ISNUMBER(SEARCH(Лист2!$B$4,D:D)),MAX($C$3:OFFSET(C5211,-1,0))+1,0)</f>
        <v>0</v>
      </c>
      <c r="E5211" s="9" t="str">
        <f t="shared" ca="1" si="93"/>
        <v/>
      </c>
      <c r="F5211" s="4" t="s">
        <v>30</v>
      </c>
      <c r="G5211" s="2">
        <f>IF(ISNUMBER(SEARCH(Лист2!$B$4,F:F)),1,0)</f>
        <v>0</v>
      </c>
      <c r="H5211" s="3">
        <f ca="1">IF(AND(I5211&lt;&gt;I5210,ISNUMBER(SEARCH(Лист2!$B$5,I:I)),G5211=1),MAX($H$3:OFFSET(H5211,-1,0))+1,0)</f>
        <v>0</v>
      </c>
      <c r="I5211" s="3" t="s">
        <v>411</v>
      </c>
      <c r="K5211" s="2">
        <f>IF(ISNUMBER(SEARCH(Лист2!$B$4,F:F)),1,0)</f>
        <v>0</v>
      </c>
      <c r="L5211" s="14">
        <f>IF(ISNUMBER(SEARCH(Лист2!$B$5,I:I)),1,0)+K5211</f>
        <v>0</v>
      </c>
      <c r="M5211" s="3">
        <f ca="1">IF(AND(N5211&lt;&gt;N5210,ISNUMBER(SEARCH(Лист2!$B$6,N:N)),L5211=2),MAX($M$3:OFFSET(M5211,-1,0))+1,0)</f>
        <v>0</v>
      </c>
      <c r="N5211" s="3" t="s">
        <v>3128</v>
      </c>
    </row>
    <row r="5212" spans="1:14" x14ac:dyDescent="0.25">
      <c r="A5212" s="1" t="s">
        <v>13864</v>
      </c>
      <c r="B5212" s="3" t="s">
        <v>8836</v>
      </c>
      <c r="C5212" s="2">
        <f ca="1">IF(ISNUMBER(SEARCH(Лист2!$B$4,D:D)),MAX($C$3:OFFSET(C5212,-1,0))+1,0)</f>
        <v>0</v>
      </c>
      <c r="E5212" s="9" t="str">
        <f t="shared" ca="1" si="93"/>
        <v/>
      </c>
      <c r="F5212" s="4" t="s">
        <v>30</v>
      </c>
      <c r="G5212" s="2">
        <f>IF(ISNUMBER(SEARCH(Лист2!$B$4,F:F)),1,0)</f>
        <v>0</v>
      </c>
      <c r="H5212" s="3">
        <f ca="1">IF(AND(I5212&lt;&gt;I5211,ISNUMBER(SEARCH(Лист2!$B$5,I:I)),G5212=1),MAX($H$3:OFFSET(H5212,-1,0))+1,0)</f>
        <v>0</v>
      </c>
      <c r="I5212" s="3" t="s">
        <v>411</v>
      </c>
      <c r="K5212" s="2">
        <f>IF(ISNUMBER(SEARCH(Лист2!$B$4,F:F)),1,0)</f>
        <v>0</v>
      </c>
      <c r="L5212" s="14">
        <f>IF(ISNUMBER(SEARCH(Лист2!$B$5,I:I)),1,0)+K5212</f>
        <v>0</v>
      </c>
      <c r="M5212" s="3">
        <f ca="1">IF(AND(N5212&lt;&gt;N5211,ISNUMBER(SEARCH(Лист2!$B$6,N:N)),L5212=2),MAX($M$3:OFFSET(M5212,-1,0))+1,0)</f>
        <v>0</v>
      </c>
      <c r="N5212" s="3" t="s">
        <v>602</v>
      </c>
    </row>
    <row r="5213" spans="1:14" x14ac:dyDescent="0.25">
      <c r="A5213" s="1" t="s">
        <v>13865</v>
      </c>
      <c r="B5213" s="3" t="s">
        <v>8837</v>
      </c>
      <c r="C5213" s="2">
        <f ca="1">IF(ISNUMBER(SEARCH(Лист2!$B$4,D:D)),MAX($C$3:OFFSET(C5213,-1,0))+1,0)</f>
        <v>0</v>
      </c>
      <c r="E5213" s="9" t="str">
        <f t="shared" ca="1" si="93"/>
        <v/>
      </c>
      <c r="F5213" s="4" t="s">
        <v>30</v>
      </c>
      <c r="G5213" s="2">
        <f>IF(ISNUMBER(SEARCH(Лист2!$B$4,F:F)),1,0)</f>
        <v>0</v>
      </c>
      <c r="H5213" s="3">
        <f ca="1">IF(AND(I5213&lt;&gt;I5212,ISNUMBER(SEARCH(Лист2!$B$5,I:I)),G5213=1),MAX($H$3:OFFSET(H5213,-1,0))+1,0)</f>
        <v>0</v>
      </c>
      <c r="I5213" s="3" t="s">
        <v>412</v>
      </c>
      <c r="K5213" s="2">
        <f>IF(ISNUMBER(SEARCH(Лист2!$B$4,F:F)),1,0)</f>
        <v>0</v>
      </c>
      <c r="L5213" s="14">
        <f>IF(ISNUMBER(SEARCH(Лист2!$B$5,I:I)),1,0)+K5213</f>
        <v>1</v>
      </c>
      <c r="M5213" s="3">
        <f ca="1">IF(AND(N5213&lt;&gt;N5212,ISNUMBER(SEARCH(Лист2!$B$6,N:N)),L5213=2),MAX($M$3:OFFSET(M5213,-1,0))+1,0)</f>
        <v>0</v>
      </c>
      <c r="N5213" s="3" t="s">
        <v>2705</v>
      </c>
    </row>
    <row r="5214" spans="1:14" x14ac:dyDescent="0.25">
      <c r="A5214" s="1" t="s">
        <v>13866</v>
      </c>
      <c r="B5214" s="3" t="s">
        <v>8838</v>
      </c>
      <c r="C5214" s="2">
        <f ca="1">IF(ISNUMBER(SEARCH(Лист2!$B$4,D:D)),MAX($C$3:OFFSET(C5214,-1,0))+1,0)</f>
        <v>0</v>
      </c>
      <c r="E5214" s="9" t="str">
        <f t="shared" ca="1" si="93"/>
        <v/>
      </c>
      <c r="F5214" s="4" t="s">
        <v>30</v>
      </c>
      <c r="G5214" s="2">
        <f>IF(ISNUMBER(SEARCH(Лист2!$B$4,F:F)),1,0)</f>
        <v>0</v>
      </c>
      <c r="H5214" s="3">
        <f ca="1">IF(AND(I5214&lt;&gt;I5213,ISNUMBER(SEARCH(Лист2!$B$5,I:I)),G5214=1),MAX($H$3:OFFSET(H5214,-1,0))+1,0)</f>
        <v>0</v>
      </c>
      <c r="I5214" s="3" t="s">
        <v>412</v>
      </c>
      <c r="K5214" s="2">
        <f>IF(ISNUMBER(SEARCH(Лист2!$B$4,F:F)),1,0)</f>
        <v>0</v>
      </c>
      <c r="L5214" s="14">
        <f>IF(ISNUMBER(SEARCH(Лист2!$B$5,I:I)),1,0)+K5214</f>
        <v>1</v>
      </c>
      <c r="M5214" s="3">
        <f ca="1">IF(AND(N5214&lt;&gt;N5213,ISNUMBER(SEARCH(Лист2!$B$6,N:N)),L5214=2),MAX($M$3:OFFSET(M5214,-1,0))+1,0)</f>
        <v>0</v>
      </c>
      <c r="N5214" s="3" t="s">
        <v>3129</v>
      </c>
    </row>
    <row r="5215" spans="1:14" x14ac:dyDescent="0.25">
      <c r="A5215" s="1" t="s">
        <v>13866</v>
      </c>
      <c r="B5215" s="3" t="s">
        <v>8839</v>
      </c>
      <c r="C5215" s="2">
        <f ca="1">IF(ISNUMBER(SEARCH(Лист2!$B$4,D:D)),MAX($C$3:OFFSET(C5215,-1,0))+1,0)</f>
        <v>0</v>
      </c>
      <c r="E5215" s="9" t="str">
        <f t="shared" ca="1" si="93"/>
        <v/>
      </c>
      <c r="F5215" s="4" t="s">
        <v>30</v>
      </c>
      <c r="G5215" s="2">
        <f>IF(ISNUMBER(SEARCH(Лист2!$B$4,F:F)),1,0)</f>
        <v>0</v>
      </c>
      <c r="H5215" s="3">
        <f ca="1">IF(AND(I5215&lt;&gt;I5214,ISNUMBER(SEARCH(Лист2!$B$5,I:I)),G5215=1),MAX($H$3:OFFSET(H5215,-1,0))+1,0)</f>
        <v>0</v>
      </c>
      <c r="I5215" s="3" t="s">
        <v>412</v>
      </c>
      <c r="K5215" s="2">
        <f>IF(ISNUMBER(SEARCH(Лист2!$B$4,F:F)),1,0)</f>
        <v>0</v>
      </c>
      <c r="L5215" s="14">
        <f>IF(ISNUMBER(SEARCH(Лист2!$B$5,I:I)),1,0)+K5215</f>
        <v>1</v>
      </c>
      <c r="M5215" s="3">
        <f ca="1">IF(AND(N5215&lt;&gt;N5214,ISNUMBER(SEARCH(Лист2!$B$6,N:N)),L5215=2),MAX($M$3:OFFSET(M5215,-1,0))+1,0)</f>
        <v>0</v>
      </c>
      <c r="N5215" s="3" t="s">
        <v>3129</v>
      </c>
    </row>
    <row r="5216" spans="1:14" x14ac:dyDescent="0.25">
      <c r="A5216" s="1" t="s">
        <v>13867</v>
      </c>
      <c r="B5216" s="3" t="s">
        <v>8840</v>
      </c>
      <c r="C5216" s="2">
        <f ca="1">IF(ISNUMBER(SEARCH(Лист2!$B$4,D:D)),MAX($C$3:OFFSET(C5216,-1,0))+1,0)</f>
        <v>0</v>
      </c>
      <c r="E5216" s="9" t="str">
        <f t="shared" ca="1" si="93"/>
        <v/>
      </c>
      <c r="F5216" s="4" t="s">
        <v>30</v>
      </c>
      <c r="G5216" s="2">
        <f>IF(ISNUMBER(SEARCH(Лист2!$B$4,F:F)),1,0)</f>
        <v>0</v>
      </c>
      <c r="H5216" s="3">
        <f ca="1">IF(AND(I5216&lt;&gt;I5215,ISNUMBER(SEARCH(Лист2!$B$5,I:I)),G5216=1),MAX($H$3:OFFSET(H5216,-1,0))+1,0)</f>
        <v>0</v>
      </c>
      <c r="I5216" s="3" t="s">
        <v>412</v>
      </c>
      <c r="K5216" s="2">
        <f>IF(ISNUMBER(SEARCH(Лист2!$B$4,F:F)),1,0)</f>
        <v>0</v>
      </c>
      <c r="L5216" s="14">
        <f>IF(ISNUMBER(SEARCH(Лист2!$B$5,I:I)),1,0)+K5216</f>
        <v>1</v>
      </c>
      <c r="M5216" s="3">
        <f ca="1">IF(AND(N5216&lt;&gt;N5215,ISNUMBER(SEARCH(Лист2!$B$6,N:N)),L5216=2),MAX($M$3:OFFSET(M5216,-1,0))+1,0)</f>
        <v>0</v>
      </c>
      <c r="N5216" s="3" t="s">
        <v>3130</v>
      </c>
    </row>
    <row r="5217" spans="1:14" x14ac:dyDescent="0.25">
      <c r="A5217" s="1" t="s">
        <v>13868</v>
      </c>
      <c r="B5217" s="3" t="s">
        <v>8841</v>
      </c>
      <c r="C5217" s="2">
        <f ca="1">IF(ISNUMBER(SEARCH(Лист2!$B$4,D:D)),MAX($C$3:OFFSET(C5217,-1,0))+1,0)</f>
        <v>0</v>
      </c>
      <c r="E5217" s="9" t="str">
        <f t="shared" ca="1" si="93"/>
        <v/>
      </c>
      <c r="F5217" s="4" t="s">
        <v>30</v>
      </c>
      <c r="G5217" s="2">
        <f>IF(ISNUMBER(SEARCH(Лист2!$B$4,F:F)),1,0)</f>
        <v>0</v>
      </c>
      <c r="H5217" s="3">
        <f ca="1">IF(AND(I5217&lt;&gt;I5216,ISNUMBER(SEARCH(Лист2!$B$5,I:I)),G5217=1),MAX($H$3:OFFSET(H5217,-1,0))+1,0)</f>
        <v>0</v>
      </c>
      <c r="I5217" s="3" t="s">
        <v>412</v>
      </c>
      <c r="K5217" s="2">
        <f>IF(ISNUMBER(SEARCH(Лист2!$B$4,F:F)),1,0)</f>
        <v>0</v>
      </c>
      <c r="L5217" s="14">
        <f>IF(ISNUMBER(SEARCH(Лист2!$B$5,I:I)),1,0)+K5217</f>
        <v>1</v>
      </c>
      <c r="M5217" s="3">
        <f ca="1">IF(AND(N5217&lt;&gt;N5216,ISNUMBER(SEARCH(Лист2!$B$6,N:N)),L5217=2),MAX($M$3:OFFSET(M5217,-1,0))+1,0)</f>
        <v>0</v>
      </c>
      <c r="N5217" s="3" t="s">
        <v>3131</v>
      </c>
    </row>
    <row r="5218" spans="1:14" x14ac:dyDescent="0.25">
      <c r="A5218" s="1" t="s">
        <v>13869</v>
      </c>
      <c r="B5218" s="3" t="s">
        <v>8842</v>
      </c>
      <c r="C5218" s="2">
        <f ca="1">IF(ISNUMBER(SEARCH(Лист2!$B$4,D:D)),MAX($C$3:OFFSET(C5218,-1,0))+1,0)</f>
        <v>0</v>
      </c>
      <c r="E5218" s="9" t="str">
        <f t="shared" ca="1" si="93"/>
        <v/>
      </c>
      <c r="F5218" s="4" t="s">
        <v>30</v>
      </c>
      <c r="G5218" s="2">
        <f>IF(ISNUMBER(SEARCH(Лист2!$B$4,F:F)),1,0)</f>
        <v>0</v>
      </c>
      <c r="H5218" s="3">
        <f ca="1">IF(AND(I5218&lt;&gt;I5217,ISNUMBER(SEARCH(Лист2!$B$5,I:I)),G5218=1),MAX($H$3:OFFSET(H5218,-1,0))+1,0)</f>
        <v>0</v>
      </c>
      <c r="I5218" s="3" t="s">
        <v>412</v>
      </c>
      <c r="K5218" s="2">
        <f>IF(ISNUMBER(SEARCH(Лист2!$B$4,F:F)),1,0)</f>
        <v>0</v>
      </c>
      <c r="L5218" s="14">
        <f>IF(ISNUMBER(SEARCH(Лист2!$B$5,I:I)),1,0)+K5218</f>
        <v>1</v>
      </c>
      <c r="M5218" s="3">
        <f ca="1">IF(AND(N5218&lt;&gt;N5217,ISNUMBER(SEARCH(Лист2!$B$6,N:N)),L5218=2),MAX($M$3:OFFSET(M5218,-1,0))+1,0)</f>
        <v>0</v>
      </c>
      <c r="N5218" s="3" t="s">
        <v>3132</v>
      </c>
    </row>
    <row r="5219" spans="1:14" x14ac:dyDescent="0.25">
      <c r="A5219" s="1" t="s">
        <v>13870</v>
      </c>
      <c r="B5219" s="3" t="s">
        <v>8843</v>
      </c>
      <c r="C5219" s="2">
        <f ca="1">IF(ISNUMBER(SEARCH(Лист2!$B$4,D:D)),MAX($C$3:OFFSET(C5219,-1,0))+1,0)</f>
        <v>0</v>
      </c>
      <c r="E5219" s="9" t="str">
        <f t="shared" ca="1" si="93"/>
        <v/>
      </c>
      <c r="F5219" s="4" t="s">
        <v>30</v>
      </c>
      <c r="G5219" s="2">
        <f>IF(ISNUMBER(SEARCH(Лист2!$B$4,F:F)),1,0)</f>
        <v>0</v>
      </c>
      <c r="H5219" s="3">
        <f ca="1">IF(AND(I5219&lt;&gt;I5218,ISNUMBER(SEARCH(Лист2!$B$5,I:I)),G5219=1),MAX($H$3:OFFSET(H5219,-1,0))+1,0)</f>
        <v>0</v>
      </c>
      <c r="I5219" s="3" t="s">
        <v>412</v>
      </c>
      <c r="K5219" s="2">
        <f>IF(ISNUMBER(SEARCH(Лист2!$B$4,F:F)),1,0)</f>
        <v>0</v>
      </c>
      <c r="L5219" s="14">
        <f>IF(ISNUMBER(SEARCH(Лист2!$B$5,I:I)),1,0)+K5219</f>
        <v>1</v>
      </c>
      <c r="M5219" s="3">
        <f ca="1">IF(AND(N5219&lt;&gt;N5218,ISNUMBER(SEARCH(Лист2!$B$6,N:N)),L5219=2),MAX($M$3:OFFSET(M5219,-1,0))+1,0)</f>
        <v>0</v>
      </c>
      <c r="N5219" s="3" t="s">
        <v>3133</v>
      </c>
    </row>
    <row r="5220" spans="1:14" x14ac:dyDescent="0.25">
      <c r="A5220" s="1" t="s">
        <v>13871</v>
      </c>
      <c r="B5220" s="3" t="s">
        <v>8844</v>
      </c>
      <c r="C5220" s="2">
        <f ca="1">IF(ISNUMBER(SEARCH(Лист2!$B$4,D:D)),MAX($C$3:OFFSET(C5220,-1,0))+1,0)</f>
        <v>0</v>
      </c>
      <c r="E5220" s="9" t="str">
        <f t="shared" ca="1" si="93"/>
        <v/>
      </c>
      <c r="F5220" s="4" t="s">
        <v>30</v>
      </c>
      <c r="G5220" s="2">
        <f>IF(ISNUMBER(SEARCH(Лист2!$B$4,F:F)),1,0)</f>
        <v>0</v>
      </c>
      <c r="H5220" s="3">
        <f ca="1">IF(AND(I5220&lt;&gt;I5219,ISNUMBER(SEARCH(Лист2!$B$5,I:I)),G5220=1),MAX($H$3:OFFSET(H5220,-1,0))+1,0)</f>
        <v>0</v>
      </c>
      <c r="I5220" s="3" t="s">
        <v>412</v>
      </c>
      <c r="K5220" s="2">
        <f>IF(ISNUMBER(SEARCH(Лист2!$B$4,F:F)),1,0)</f>
        <v>0</v>
      </c>
      <c r="L5220" s="14">
        <f>IF(ISNUMBER(SEARCH(Лист2!$B$5,I:I)),1,0)+K5220</f>
        <v>1</v>
      </c>
      <c r="M5220" s="3">
        <f ca="1">IF(AND(N5220&lt;&gt;N5219,ISNUMBER(SEARCH(Лист2!$B$6,N:N)),L5220=2),MAX($M$3:OFFSET(M5220,-1,0))+1,0)</f>
        <v>0</v>
      </c>
      <c r="N5220" s="3" t="s">
        <v>3134</v>
      </c>
    </row>
    <row r="5221" spans="1:14" x14ac:dyDescent="0.25">
      <c r="A5221" s="1" t="s">
        <v>13872</v>
      </c>
      <c r="B5221" s="3" t="s">
        <v>8845</v>
      </c>
      <c r="C5221" s="2">
        <f ca="1">IF(ISNUMBER(SEARCH(Лист2!$B$4,D:D)),MAX($C$3:OFFSET(C5221,-1,0))+1,0)</f>
        <v>0</v>
      </c>
      <c r="E5221" s="9" t="str">
        <f t="shared" ca="1" si="93"/>
        <v/>
      </c>
      <c r="F5221" s="4" t="s">
        <v>30</v>
      </c>
      <c r="G5221" s="2">
        <f>IF(ISNUMBER(SEARCH(Лист2!$B$4,F:F)),1,0)</f>
        <v>0</v>
      </c>
      <c r="H5221" s="3">
        <f ca="1">IF(AND(I5221&lt;&gt;I5220,ISNUMBER(SEARCH(Лист2!$B$5,I:I)),G5221=1),MAX($H$3:OFFSET(H5221,-1,0))+1,0)</f>
        <v>0</v>
      </c>
      <c r="I5221" s="3" t="s">
        <v>412</v>
      </c>
      <c r="K5221" s="2">
        <f>IF(ISNUMBER(SEARCH(Лист2!$B$4,F:F)),1,0)</f>
        <v>0</v>
      </c>
      <c r="L5221" s="14">
        <f>IF(ISNUMBER(SEARCH(Лист2!$B$5,I:I)),1,0)+K5221</f>
        <v>1</v>
      </c>
      <c r="M5221" s="3">
        <f ca="1">IF(AND(N5221&lt;&gt;N5220,ISNUMBER(SEARCH(Лист2!$B$6,N:N)),L5221=2),MAX($M$3:OFFSET(M5221,-1,0))+1,0)</f>
        <v>0</v>
      </c>
      <c r="N5221" s="3" t="s">
        <v>3135</v>
      </c>
    </row>
    <row r="5222" spans="1:14" x14ac:dyDescent="0.25">
      <c r="A5222" s="1" t="s">
        <v>13873</v>
      </c>
      <c r="B5222" s="3" t="s">
        <v>8846</v>
      </c>
      <c r="C5222" s="2">
        <f ca="1">IF(ISNUMBER(SEARCH(Лист2!$B$4,D:D)),MAX($C$3:OFFSET(C5222,-1,0))+1,0)</f>
        <v>0</v>
      </c>
      <c r="E5222" s="9" t="str">
        <f t="shared" ca="1" si="93"/>
        <v/>
      </c>
      <c r="F5222" s="4" t="s">
        <v>30</v>
      </c>
      <c r="G5222" s="2">
        <f>IF(ISNUMBER(SEARCH(Лист2!$B$4,F:F)),1,0)</f>
        <v>0</v>
      </c>
      <c r="H5222" s="3">
        <f ca="1">IF(AND(I5222&lt;&gt;I5221,ISNUMBER(SEARCH(Лист2!$B$5,I:I)),G5222=1),MAX($H$3:OFFSET(H5222,-1,0))+1,0)</f>
        <v>0</v>
      </c>
      <c r="I5222" s="3" t="s">
        <v>412</v>
      </c>
      <c r="K5222" s="2">
        <f>IF(ISNUMBER(SEARCH(Лист2!$B$4,F:F)),1,0)</f>
        <v>0</v>
      </c>
      <c r="L5222" s="14">
        <f>IF(ISNUMBER(SEARCH(Лист2!$B$5,I:I)),1,0)+K5222</f>
        <v>1</v>
      </c>
      <c r="M5222" s="3">
        <f ca="1">IF(AND(N5222&lt;&gt;N5221,ISNUMBER(SEARCH(Лист2!$B$6,N:N)),L5222=2),MAX($M$3:OFFSET(M5222,-1,0))+1,0)</f>
        <v>0</v>
      </c>
      <c r="N5222" s="3" t="s">
        <v>602</v>
      </c>
    </row>
    <row r="5223" spans="1:14" x14ac:dyDescent="0.25">
      <c r="A5223" s="1" t="s">
        <v>13874</v>
      </c>
      <c r="B5223" s="3" t="s">
        <v>8847</v>
      </c>
      <c r="C5223" s="2">
        <f ca="1">IF(ISNUMBER(SEARCH(Лист2!$B$4,D:D)),MAX($C$3:OFFSET(C5223,-1,0))+1,0)</f>
        <v>0</v>
      </c>
      <c r="E5223" s="9" t="str">
        <f t="shared" ca="1" si="93"/>
        <v/>
      </c>
      <c r="F5223" s="4" t="s">
        <v>30</v>
      </c>
      <c r="G5223" s="2">
        <f>IF(ISNUMBER(SEARCH(Лист2!$B$4,F:F)),1,0)</f>
        <v>0</v>
      </c>
      <c r="H5223" s="3">
        <f ca="1">IF(AND(I5223&lt;&gt;I5222,ISNUMBER(SEARCH(Лист2!$B$5,I:I)),G5223=1),MAX($H$3:OFFSET(H5223,-1,0))+1,0)</f>
        <v>0</v>
      </c>
      <c r="I5223" s="3" t="s">
        <v>413</v>
      </c>
      <c r="K5223" s="2">
        <f>IF(ISNUMBER(SEARCH(Лист2!$B$4,F:F)),1,0)</f>
        <v>0</v>
      </c>
      <c r="L5223" s="14">
        <f>IF(ISNUMBER(SEARCH(Лист2!$B$5,I:I)),1,0)+K5223</f>
        <v>0</v>
      </c>
      <c r="M5223" s="3">
        <f ca="1">IF(AND(N5223&lt;&gt;N5222,ISNUMBER(SEARCH(Лист2!$B$6,N:N)),L5223=2),MAX($M$3:OFFSET(M5223,-1,0))+1,0)</f>
        <v>0</v>
      </c>
      <c r="N5223" s="3" t="s">
        <v>2705</v>
      </c>
    </row>
    <row r="5224" spans="1:14" x14ac:dyDescent="0.25">
      <c r="A5224" s="1" t="s">
        <v>13875</v>
      </c>
      <c r="B5224" s="3" t="s">
        <v>8848</v>
      </c>
      <c r="C5224" s="2">
        <f ca="1">IF(ISNUMBER(SEARCH(Лист2!$B$4,D:D)),MAX($C$3:OFFSET(C5224,-1,0))+1,0)</f>
        <v>0</v>
      </c>
      <c r="E5224" s="9" t="str">
        <f t="shared" ca="1" si="93"/>
        <v/>
      </c>
      <c r="F5224" s="4" t="s">
        <v>30</v>
      </c>
      <c r="G5224" s="2">
        <f>IF(ISNUMBER(SEARCH(Лист2!$B$4,F:F)),1,0)</f>
        <v>0</v>
      </c>
      <c r="H5224" s="3">
        <f ca="1">IF(AND(I5224&lt;&gt;I5223,ISNUMBER(SEARCH(Лист2!$B$5,I:I)),G5224=1),MAX($H$3:OFFSET(H5224,-1,0))+1,0)</f>
        <v>0</v>
      </c>
      <c r="I5224" s="3" t="s">
        <v>413</v>
      </c>
      <c r="K5224" s="2">
        <f>IF(ISNUMBER(SEARCH(Лист2!$B$4,F:F)),1,0)</f>
        <v>0</v>
      </c>
      <c r="L5224" s="14">
        <f>IF(ISNUMBER(SEARCH(Лист2!$B$5,I:I)),1,0)+K5224</f>
        <v>0</v>
      </c>
      <c r="M5224" s="3">
        <f ca="1">IF(AND(N5224&lt;&gt;N5223,ISNUMBER(SEARCH(Лист2!$B$6,N:N)),L5224=2),MAX($M$3:OFFSET(M5224,-1,0))+1,0)</f>
        <v>0</v>
      </c>
      <c r="N5224" s="3" t="s">
        <v>2727</v>
      </c>
    </row>
    <row r="5225" spans="1:14" x14ac:dyDescent="0.25">
      <c r="A5225" s="1" t="s">
        <v>13876</v>
      </c>
      <c r="B5225" s="3" t="s">
        <v>8849</v>
      </c>
      <c r="C5225" s="2">
        <f ca="1">IF(ISNUMBER(SEARCH(Лист2!$B$4,D:D)),MAX($C$3:OFFSET(C5225,-1,0))+1,0)</f>
        <v>0</v>
      </c>
      <c r="E5225" s="9" t="str">
        <f t="shared" ca="1" si="93"/>
        <v/>
      </c>
      <c r="F5225" s="4" t="s">
        <v>30</v>
      </c>
      <c r="G5225" s="2">
        <f>IF(ISNUMBER(SEARCH(Лист2!$B$4,F:F)),1,0)</f>
        <v>0</v>
      </c>
      <c r="H5225" s="3">
        <f ca="1">IF(AND(I5225&lt;&gt;I5224,ISNUMBER(SEARCH(Лист2!$B$5,I:I)),G5225=1),MAX($H$3:OFFSET(H5225,-1,0))+1,0)</f>
        <v>0</v>
      </c>
      <c r="I5225" s="3" t="s">
        <v>413</v>
      </c>
      <c r="K5225" s="2">
        <f>IF(ISNUMBER(SEARCH(Лист2!$B$4,F:F)),1,0)</f>
        <v>0</v>
      </c>
      <c r="L5225" s="14">
        <f>IF(ISNUMBER(SEARCH(Лист2!$B$5,I:I)),1,0)+K5225</f>
        <v>0</v>
      </c>
      <c r="M5225" s="3">
        <f ca="1">IF(AND(N5225&lt;&gt;N5224,ISNUMBER(SEARCH(Лист2!$B$6,N:N)),L5225=2),MAX($M$3:OFFSET(M5225,-1,0))+1,0)</f>
        <v>0</v>
      </c>
      <c r="N5225" s="3" t="s">
        <v>3136</v>
      </c>
    </row>
    <row r="5226" spans="1:14" x14ac:dyDescent="0.25">
      <c r="A5226" s="1" t="s">
        <v>13877</v>
      </c>
      <c r="B5226" s="3" t="s">
        <v>8850</v>
      </c>
      <c r="C5226" s="2">
        <f ca="1">IF(ISNUMBER(SEARCH(Лист2!$B$4,D:D)),MAX($C$3:OFFSET(C5226,-1,0))+1,0)</f>
        <v>0</v>
      </c>
      <c r="E5226" s="9" t="str">
        <f t="shared" ca="1" si="93"/>
        <v/>
      </c>
      <c r="F5226" s="4" t="s">
        <v>30</v>
      </c>
      <c r="G5226" s="2">
        <f>IF(ISNUMBER(SEARCH(Лист2!$B$4,F:F)),1,0)</f>
        <v>0</v>
      </c>
      <c r="H5226" s="3">
        <f ca="1">IF(AND(I5226&lt;&gt;I5225,ISNUMBER(SEARCH(Лист2!$B$5,I:I)),G5226=1),MAX($H$3:OFFSET(H5226,-1,0))+1,0)</f>
        <v>0</v>
      </c>
      <c r="I5226" s="3" t="s">
        <v>413</v>
      </c>
      <c r="K5226" s="2">
        <f>IF(ISNUMBER(SEARCH(Лист2!$B$4,F:F)),1,0)</f>
        <v>0</v>
      </c>
      <c r="L5226" s="14">
        <f>IF(ISNUMBER(SEARCH(Лист2!$B$5,I:I)),1,0)+K5226</f>
        <v>0</v>
      </c>
      <c r="M5226" s="3">
        <f ca="1">IF(AND(N5226&lt;&gt;N5225,ISNUMBER(SEARCH(Лист2!$B$6,N:N)),L5226=2),MAX($M$3:OFFSET(M5226,-1,0))+1,0)</f>
        <v>0</v>
      </c>
      <c r="N5226" s="3" t="s">
        <v>2728</v>
      </c>
    </row>
    <row r="5227" spans="1:14" x14ac:dyDescent="0.25">
      <c r="A5227" s="1" t="s">
        <v>13878</v>
      </c>
      <c r="B5227" s="3" t="s">
        <v>8851</v>
      </c>
      <c r="C5227" s="2">
        <f ca="1">IF(ISNUMBER(SEARCH(Лист2!$B$4,D:D)),MAX($C$3:OFFSET(C5227,-1,0))+1,0)</f>
        <v>0</v>
      </c>
      <c r="E5227" s="9" t="str">
        <f t="shared" ca="1" si="93"/>
        <v/>
      </c>
      <c r="F5227" s="4" t="s">
        <v>30</v>
      </c>
      <c r="G5227" s="2">
        <f>IF(ISNUMBER(SEARCH(Лист2!$B$4,F:F)),1,0)</f>
        <v>0</v>
      </c>
      <c r="H5227" s="3">
        <f ca="1">IF(AND(I5227&lt;&gt;I5226,ISNUMBER(SEARCH(Лист2!$B$5,I:I)),G5227=1),MAX($H$3:OFFSET(H5227,-1,0))+1,0)</f>
        <v>0</v>
      </c>
      <c r="I5227" s="3" t="s">
        <v>413</v>
      </c>
      <c r="K5227" s="2">
        <f>IF(ISNUMBER(SEARCH(Лист2!$B$4,F:F)),1,0)</f>
        <v>0</v>
      </c>
      <c r="L5227" s="14">
        <f>IF(ISNUMBER(SEARCH(Лист2!$B$5,I:I)),1,0)+K5227</f>
        <v>0</v>
      </c>
      <c r="M5227" s="3">
        <f ca="1">IF(AND(N5227&lt;&gt;N5226,ISNUMBER(SEARCH(Лист2!$B$6,N:N)),L5227=2),MAX($M$3:OFFSET(M5227,-1,0))+1,0)</f>
        <v>0</v>
      </c>
      <c r="N5227" s="3" t="s">
        <v>3137</v>
      </c>
    </row>
    <row r="5228" spans="1:14" x14ac:dyDescent="0.25">
      <c r="A5228" s="1" t="s">
        <v>13879</v>
      </c>
      <c r="B5228" s="3" t="s">
        <v>8852</v>
      </c>
      <c r="C5228" s="2">
        <f ca="1">IF(ISNUMBER(SEARCH(Лист2!$B$4,D:D)),MAX($C$3:OFFSET(C5228,-1,0))+1,0)</f>
        <v>0</v>
      </c>
      <c r="E5228" s="9" t="str">
        <f t="shared" ca="1" si="93"/>
        <v/>
      </c>
      <c r="F5228" s="4" t="s">
        <v>30</v>
      </c>
      <c r="G5228" s="2">
        <f>IF(ISNUMBER(SEARCH(Лист2!$B$4,F:F)),1,0)</f>
        <v>0</v>
      </c>
      <c r="H5228" s="3">
        <f ca="1">IF(AND(I5228&lt;&gt;I5227,ISNUMBER(SEARCH(Лист2!$B$5,I:I)),G5228=1),MAX($H$3:OFFSET(H5228,-1,0))+1,0)</f>
        <v>0</v>
      </c>
      <c r="I5228" s="3" t="s">
        <v>413</v>
      </c>
      <c r="K5228" s="2">
        <f>IF(ISNUMBER(SEARCH(Лист2!$B$4,F:F)),1,0)</f>
        <v>0</v>
      </c>
      <c r="L5228" s="14">
        <f>IF(ISNUMBER(SEARCH(Лист2!$B$5,I:I)),1,0)+K5228</f>
        <v>0</v>
      </c>
      <c r="M5228" s="3">
        <f ca="1">IF(AND(N5228&lt;&gt;N5227,ISNUMBER(SEARCH(Лист2!$B$6,N:N)),L5228=2),MAX($M$3:OFFSET(M5228,-1,0))+1,0)</f>
        <v>0</v>
      </c>
      <c r="N5228" s="3" t="s">
        <v>2729</v>
      </c>
    </row>
    <row r="5229" spans="1:14" x14ac:dyDescent="0.25">
      <c r="A5229" s="1" t="s">
        <v>13880</v>
      </c>
      <c r="B5229" s="3" t="s">
        <v>8853</v>
      </c>
      <c r="C5229" s="2">
        <f ca="1">IF(ISNUMBER(SEARCH(Лист2!$B$4,D:D)),MAX($C$3:OFFSET(C5229,-1,0))+1,0)</f>
        <v>0</v>
      </c>
      <c r="E5229" s="9" t="str">
        <f t="shared" ca="1" si="93"/>
        <v/>
      </c>
      <c r="F5229" s="4" t="s">
        <v>30</v>
      </c>
      <c r="G5229" s="2">
        <f>IF(ISNUMBER(SEARCH(Лист2!$B$4,F:F)),1,0)</f>
        <v>0</v>
      </c>
      <c r="H5229" s="3">
        <f ca="1">IF(AND(I5229&lt;&gt;I5228,ISNUMBER(SEARCH(Лист2!$B$5,I:I)),G5229=1),MAX($H$3:OFFSET(H5229,-1,0))+1,0)</f>
        <v>0</v>
      </c>
      <c r="I5229" s="3" t="s">
        <v>413</v>
      </c>
      <c r="K5229" s="2">
        <f>IF(ISNUMBER(SEARCH(Лист2!$B$4,F:F)),1,0)</f>
        <v>0</v>
      </c>
      <c r="L5229" s="14">
        <f>IF(ISNUMBER(SEARCH(Лист2!$B$5,I:I)),1,0)+K5229</f>
        <v>0</v>
      </c>
      <c r="M5229" s="3">
        <f ca="1">IF(AND(N5229&lt;&gt;N5228,ISNUMBER(SEARCH(Лист2!$B$6,N:N)),L5229=2),MAX($M$3:OFFSET(M5229,-1,0))+1,0)</f>
        <v>0</v>
      </c>
      <c r="N5229" s="3" t="s">
        <v>2730</v>
      </c>
    </row>
    <row r="5230" spans="1:14" x14ac:dyDescent="0.25">
      <c r="A5230" s="1" t="s">
        <v>13881</v>
      </c>
      <c r="B5230" s="3" t="s">
        <v>8854</v>
      </c>
      <c r="C5230" s="2">
        <f ca="1">IF(ISNUMBER(SEARCH(Лист2!$B$4,D:D)),MAX($C$3:OFFSET(C5230,-1,0))+1,0)</f>
        <v>0</v>
      </c>
      <c r="E5230" s="9" t="str">
        <f t="shared" ca="1" si="93"/>
        <v/>
      </c>
      <c r="F5230" s="4" t="s">
        <v>30</v>
      </c>
      <c r="G5230" s="2">
        <f>IF(ISNUMBER(SEARCH(Лист2!$B$4,F:F)),1,0)</f>
        <v>0</v>
      </c>
      <c r="H5230" s="3">
        <f ca="1">IF(AND(I5230&lt;&gt;I5229,ISNUMBER(SEARCH(Лист2!$B$5,I:I)),G5230=1),MAX($H$3:OFFSET(H5230,-1,0))+1,0)</f>
        <v>0</v>
      </c>
      <c r="I5230" s="3" t="s">
        <v>413</v>
      </c>
      <c r="K5230" s="2">
        <f>IF(ISNUMBER(SEARCH(Лист2!$B$4,F:F)),1,0)</f>
        <v>0</v>
      </c>
      <c r="L5230" s="14">
        <f>IF(ISNUMBER(SEARCH(Лист2!$B$5,I:I)),1,0)+K5230</f>
        <v>0</v>
      </c>
      <c r="M5230" s="3">
        <f ca="1">IF(AND(N5230&lt;&gt;N5229,ISNUMBER(SEARCH(Лист2!$B$6,N:N)),L5230=2),MAX($M$3:OFFSET(M5230,-1,0))+1,0)</f>
        <v>0</v>
      </c>
      <c r="N5230" s="3" t="s">
        <v>2731</v>
      </c>
    </row>
    <row r="5231" spans="1:14" x14ac:dyDescent="0.25">
      <c r="A5231" s="1" t="s">
        <v>13882</v>
      </c>
      <c r="B5231" s="3" t="s">
        <v>8855</v>
      </c>
      <c r="C5231" s="2">
        <f ca="1">IF(ISNUMBER(SEARCH(Лист2!$B$4,D:D)),MAX($C$3:OFFSET(C5231,-1,0))+1,0)</f>
        <v>0</v>
      </c>
      <c r="E5231" s="9" t="str">
        <f t="shared" ca="1" si="93"/>
        <v/>
      </c>
      <c r="F5231" s="4" t="s">
        <v>30</v>
      </c>
      <c r="G5231" s="2">
        <f>IF(ISNUMBER(SEARCH(Лист2!$B$4,F:F)),1,0)</f>
        <v>0</v>
      </c>
      <c r="H5231" s="3">
        <f ca="1">IF(AND(I5231&lt;&gt;I5230,ISNUMBER(SEARCH(Лист2!$B$5,I:I)),G5231=1),MAX($H$3:OFFSET(H5231,-1,0))+1,0)</f>
        <v>0</v>
      </c>
      <c r="I5231" s="3" t="s">
        <v>413</v>
      </c>
      <c r="K5231" s="2">
        <f>IF(ISNUMBER(SEARCH(Лист2!$B$4,F:F)),1,0)</f>
        <v>0</v>
      </c>
      <c r="L5231" s="14">
        <f>IF(ISNUMBER(SEARCH(Лист2!$B$5,I:I)),1,0)+K5231</f>
        <v>0</v>
      </c>
      <c r="M5231" s="3">
        <f ca="1">IF(AND(N5231&lt;&gt;N5230,ISNUMBER(SEARCH(Лист2!$B$6,N:N)),L5231=2),MAX($M$3:OFFSET(M5231,-1,0))+1,0)</f>
        <v>0</v>
      </c>
      <c r="N5231" s="3" t="s">
        <v>602</v>
      </c>
    </row>
    <row r="5232" spans="1:14" x14ac:dyDescent="0.25">
      <c r="A5232" s="1" t="s">
        <v>13883</v>
      </c>
      <c r="B5232" s="3" t="s">
        <v>8856</v>
      </c>
      <c r="C5232" s="2">
        <f ca="1">IF(ISNUMBER(SEARCH(Лист2!$B$4,D:D)),MAX($C$3:OFFSET(C5232,-1,0))+1,0)</f>
        <v>0</v>
      </c>
      <c r="E5232" s="9" t="str">
        <f t="shared" ca="1" si="93"/>
        <v/>
      </c>
      <c r="F5232" s="4" t="s">
        <v>30</v>
      </c>
      <c r="G5232" s="2">
        <f>IF(ISNUMBER(SEARCH(Лист2!$B$4,F:F)),1,0)</f>
        <v>0</v>
      </c>
      <c r="H5232" s="3">
        <f ca="1">IF(AND(I5232&lt;&gt;I5231,ISNUMBER(SEARCH(Лист2!$B$5,I:I)),G5232=1),MAX($H$3:OFFSET(H5232,-1,0))+1,0)</f>
        <v>0</v>
      </c>
      <c r="I5232" s="3" t="s">
        <v>413</v>
      </c>
      <c r="K5232" s="2">
        <f>IF(ISNUMBER(SEARCH(Лист2!$B$4,F:F)),1,0)</f>
        <v>0</v>
      </c>
      <c r="L5232" s="14">
        <f>IF(ISNUMBER(SEARCH(Лист2!$B$5,I:I)),1,0)+K5232</f>
        <v>0</v>
      </c>
      <c r="M5232" s="3">
        <f ca="1">IF(AND(N5232&lt;&gt;N5231,ISNUMBER(SEARCH(Лист2!$B$6,N:N)),L5232=2),MAX($M$3:OFFSET(M5232,-1,0))+1,0)</f>
        <v>0</v>
      </c>
      <c r="N5232" s="3" t="s">
        <v>3138</v>
      </c>
    </row>
    <row r="5233" spans="1:14" x14ac:dyDescent="0.25">
      <c r="A5233" s="1" t="s">
        <v>13884</v>
      </c>
      <c r="B5233" s="3" t="s">
        <v>8857</v>
      </c>
      <c r="C5233" s="2">
        <f ca="1">IF(ISNUMBER(SEARCH(Лист2!$B$4,D:D)),MAX($C$3:OFFSET(C5233,-1,0))+1,0)</f>
        <v>0</v>
      </c>
      <c r="E5233" s="9" t="str">
        <f t="shared" ca="1" si="93"/>
        <v/>
      </c>
      <c r="F5233" s="4" t="s">
        <v>30</v>
      </c>
      <c r="G5233" s="2">
        <f>IF(ISNUMBER(SEARCH(Лист2!$B$4,F:F)),1,0)</f>
        <v>0</v>
      </c>
      <c r="H5233" s="3">
        <f ca="1">IF(AND(I5233&lt;&gt;I5232,ISNUMBER(SEARCH(Лист2!$B$5,I:I)),G5233=1),MAX($H$3:OFFSET(H5233,-1,0))+1,0)</f>
        <v>0</v>
      </c>
      <c r="I5233" s="3" t="s">
        <v>362</v>
      </c>
      <c r="K5233" s="2">
        <f>IF(ISNUMBER(SEARCH(Лист2!$B$4,F:F)),1,0)</f>
        <v>0</v>
      </c>
      <c r="L5233" s="14">
        <f>IF(ISNUMBER(SEARCH(Лист2!$B$5,I:I)),1,0)+K5233</f>
        <v>0</v>
      </c>
      <c r="M5233" s="3">
        <f ca="1">IF(AND(N5233&lt;&gt;N5232,ISNUMBER(SEARCH(Лист2!$B$6,N:N)),L5233=2),MAX($M$3:OFFSET(M5233,-1,0))+1,0)</f>
        <v>0</v>
      </c>
      <c r="N5233" s="3" t="s">
        <v>2705</v>
      </c>
    </row>
    <row r="5234" spans="1:14" x14ac:dyDescent="0.25">
      <c r="A5234" s="1" t="s">
        <v>13885</v>
      </c>
      <c r="B5234" s="3" t="s">
        <v>8858</v>
      </c>
      <c r="C5234" s="2">
        <f ca="1">IF(ISNUMBER(SEARCH(Лист2!$B$4,D:D)),MAX($C$3:OFFSET(C5234,-1,0))+1,0)</f>
        <v>0</v>
      </c>
      <c r="E5234" s="9" t="str">
        <f t="shared" ca="1" si="93"/>
        <v/>
      </c>
      <c r="F5234" s="4" t="s">
        <v>30</v>
      </c>
      <c r="G5234" s="2">
        <f>IF(ISNUMBER(SEARCH(Лист2!$B$4,F:F)),1,0)</f>
        <v>0</v>
      </c>
      <c r="H5234" s="3">
        <f ca="1">IF(AND(I5234&lt;&gt;I5233,ISNUMBER(SEARCH(Лист2!$B$5,I:I)),G5234=1),MAX($H$3:OFFSET(H5234,-1,0))+1,0)</f>
        <v>0</v>
      </c>
      <c r="I5234" s="3" t="s">
        <v>362</v>
      </c>
      <c r="K5234" s="2">
        <f>IF(ISNUMBER(SEARCH(Лист2!$B$4,F:F)),1,0)</f>
        <v>0</v>
      </c>
      <c r="L5234" s="14">
        <f>IF(ISNUMBER(SEARCH(Лист2!$B$5,I:I)),1,0)+K5234</f>
        <v>0</v>
      </c>
      <c r="M5234" s="3">
        <f ca="1">IF(AND(N5234&lt;&gt;N5233,ISNUMBER(SEARCH(Лист2!$B$6,N:N)),L5234=2),MAX($M$3:OFFSET(M5234,-1,0))+1,0)</f>
        <v>0</v>
      </c>
      <c r="N5234" s="3" t="s">
        <v>2733</v>
      </c>
    </row>
    <row r="5235" spans="1:14" x14ac:dyDescent="0.25">
      <c r="A5235" s="1" t="s">
        <v>13886</v>
      </c>
      <c r="B5235" s="3" t="s">
        <v>8859</v>
      </c>
      <c r="C5235" s="2">
        <f ca="1">IF(ISNUMBER(SEARCH(Лист2!$B$4,D:D)),MAX($C$3:OFFSET(C5235,-1,0))+1,0)</f>
        <v>0</v>
      </c>
      <c r="E5235" s="9" t="str">
        <f t="shared" ca="1" si="93"/>
        <v/>
      </c>
      <c r="F5235" s="4" t="s">
        <v>30</v>
      </c>
      <c r="G5235" s="2">
        <f>IF(ISNUMBER(SEARCH(Лист2!$B$4,F:F)),1,0)</f>
        <v>0</v>
      </c>
      <c r="H5235" s="3">
        <f ca="1">IF(AND(I5235&lt;&gt;I5234,ISNUMBER(SEARCH(Лист2!$B$5,I:I)),G5235=1),MAX($H$3:OFFSET(H5235,-1,0))+1,0)</f>
        <v>0</v>
      </c>
      <c r="I5235" s="3" t="s">
        <v>362</v>
      </c>
      <c r="K5235" s="2">
        <f>IF(ISNUMBER(SEARCH(Лист2!$B$4,F:F)),1,0)</f>
        <v>0</v>
      </c>
      <c r="L5235" s="14">
        <f>IF(ISNUMBER(SEARCH(Лист2!$B$5,I:I)),1,0)+K5235</f>
        <v>0</v>
      </c>
      <c r="M5235" s="3">
        <f ca="1">IF(AND(N5235&lt;&gt;N5234,ISNUMBER(SEARCH(Лист2!$B$6,N:N)),L5235=2),MAX($M$3:OFFSET(M5235,-1,0))+1,0)</f>
        <v>0</v>
      </c>
      <c r="N5235" s="3" t="s">
        <v>3139</v>
      </c>
    </row>
    <row r="5236" spans="1:14" x14ac:dyDescent="0.25">
      <c r="A5236" s="1" t="s">
        <v>13887</v>
      </c>
      <c r="B5236" s="3" t="s">
        <v>8860</v>
      </c>
      <c r="C5236" s="2">
        <f ca="1">IF(ISNUMBER(SEARCH(Лист2!$B$4,D:D)),MAX($C$3:OFFSET(C5236,-1,0))+1,0)</f>
        <v>0</v>
      </c>
      <c r="E5236" s="9" t="str">
        <f t="shared" ca="1" si="93"/>
        <v/>
      </c>
      <c r="F5236" s="4" t="s">
        <v>30</v>
      </c>
      <c r="G5236" s="2">
        <f>IF(ISNUMBER(SEARCH(Лист2!$B$4,F:F)),1,0)</f>
        <v>0</v>
      </c>
      <c r="H5236" s="3">
        <f ca="1">IF(AND(I5236&lt;&gt;I5235,ISNUMBER(SEARCH(Лист2!$B$5,I:I)),G5236=1),MAX($H$3:OFFSET(H5236,-1,0))+1,0)</f>
        <v>0</v>
      </c>
      <c r="I5236" s="3" t="s">
        <v>362</v>
      </c>
      <c r="K5236" s="2">
        <f>IF(ISNUMBER(SEARCH(Лист2!$B$4,F:F)),1,0)</f>
        <v>0</v>
      </c>
      <c r="L5236" s="14">
        <f>IF(ISNUMBER(SEARCH(Лист2!$B$5,I:I)),1,0)+K5236</f>
        <v>0</v>
      </c>
      <c r="M5236" s="3">
        <f ca="1">IF(AND(N5236&lt;&gt;N5235,ISNUMBER(SEARCH(Лист2!$B$6,N:N)),L5236=2),MAX($M$3:OFFSET(M5236,-1,0))+1,0)</f>
        <v>0</v>
      </c>
      <c r="N5236" s="3" t="s">
        <v>2734</v>
      </c>
    </row>
    <row r="5237" spans="1:14" x14ac:dyDescent="0.25">
      <c r="A5237" s="1" t="s">
        <v>13888</v>
      </c>
      <c r="B5237" s="3" t="s">
        <v>8861</v>
      </c>
      <c r="C5237" s="2">
        <f ca="1">IF(ISNUMBER(SEARCH(Лист2!$B$4,D:D)),MAX($C$3:OFFSET(C5237,-1,0))+1,0)</f>
        <v>0</v>
      </c>
      <c r="E5237" s="9" t="str">
        <f t="shared" ca="1" si="93"/>
        <v/>
      </c>
      <c r="F5237" s="4" t="s">
        <v>30</v>
      </c>
      <c r="G5237" s="2">
        <f>IF(ISNUMBER(SEARCH(Лист2!$B$4,F:F)),1,0)</f>
        <v>0</v>
      </c>
      <c r="H5237" s="3">
        <f ca="1">IF(AND(I5237&lt;&gt;I5236,ISNUMBER(SEARCH(Лист2!$B$5,I:I)),G5237=1),MAX($H$3:OFFSET(H5237,-1,0))+1,0)</f>
        <v>0</v>
      </c>
      <c r="I5237" s="3" t="s">
        <v>362</v>
      </c>
      <c r="K5237" s="2">
        <f>IF(ISNUMBER(SEARCH(Лист2!$B$4,F:F)),1,0)</f>
        <v>0</v>
      </c>
      <c r="L5237" s="14">
        <f>IF(ISNUMBER(SEARCH(Лист2!$B$5,I:I)),1,0)+K5237</f>
        <v>0</v>
      </c>
      <c r="M5237" s="3">
        <f ca="1">IF(AND(N5237&lt;&gt;N5236,ISNUMBER(SEARCH(Лист2!$B$6,N:N)),L5237=2),MAX($M$3:OFFSET(M5237,-1,0))+1,0)</f>
        <v>0</v>
      </c>
      <c r="N5237" s="3" t="s">
        <v>3140</v>
      </c>
    </row>
    <row r="5238" spans="1:14" x14ac:dyDescent="0.25">
      <c r="A5238" s="1" t="s">
        <v>13889</v>
      </c>
      <c r="B5238" s="3" t="s">
        <v>8862</v>
      </c>
      <c r="C5238" s="2">
        <f ca="1">IF(ISNUMBER(SEARCH(Лист2!$B$4,D:D)),MAX($C$3:OFFSET(C5238,-1,0))+1,0)</f>
        <v>0</v>
      </c>
      <c r="E5238" s="9" t="str">
        <f t="shared" ca="1" si="93"/>
        <v/>
      </c>
      <c r="F5238" s="4" t="s">
        <v>30</v>
      </c>
      <c r="G5238" s="2">
        <f>IF(ISNUMBER(SEARCH(Лист2!$B$4,F:F)),1,0)</f>
        <v>0</v>
      </c>
      <c r="H5238" s="3">
        <f ca="1">IF(AND(I5238&lt;&gt;I5237,ISNUMBER(SEARCH(Лист2!$B$5,I:I)),G5238=1),MAX($H$3:OFFSET(H5238,-1,0))+1,0)</f>
        <v>0</v>
      </c>
      <c r="I5238" s="3" t="s">
        <v>362</v>
      </c>
      <c r="K5238" s="2">
        <f>IF(ISNUMBER(SEARCH(Лист2!$B$4,F:F)),1,0)</f>
        <v>0</v>
      </c>
      <c r="L5238" s="14">
        <f>IF(ISNUMBER(SEARCH(Лист2!$B$5,I:I)),1,0)+K5238</f>
        <v>0</v>
      </c>
      <c r="M5238" s="3">
        <f ca="1">IF(AND(N5238&lt;&gt;N5237,ISNUMBER(SEARCH(Лист2!$B$6,N:N)),L5238=2),MAX($M$3:OFFSET(M5238,-1,0))+1,0)</f>
        <v>0</v>
      </c>
      <c r="N5238" s="3" t="s">
        <v>2735</v>
      </c>
    </row>
    <row r="5239" spans="1:14" x14ac:dyDescent="0.25">
      <c r="A5239" s="1" t="s">
        <v>13890</v>
      </c>
      <c r="B5239" s="3" t="s">
        <v>8863</v>
      </c>
      <c r="C5239" s="2">
        <f ca="1">IF(ISNUMBER(SEARCH(Лист2!$B$4,D:D)),MAX($C$3:OFFSET(C5239,-1,0))+1,0)</f>
        <v>0</v>
      </c>
      <c r="E5239" s="9" t="str">
        <f t="shared" ca="1" si="93"/>
        <v/>
      </c>
      <c r="F5239" s="4" t="s">
        <v>30</v>
      </c>
      <c r="G5239" s="2">
        <f>IF(ISNUMBER(SEARCH(Лист2!$B$4,F:F)),1,0)</f>
        <v>0</v>
      </c>
      <c r="H5239" s="3">
        <f ca="1">IF(AND(I5239&lt;&gt;I5238,ISNUMBER(SEARCH(Лист2!$B$5,I:I)),G5239=1),MAX($H$3:OFFSET(H5239,-1,0))+1,0)</f>
        <v>0</v>
      </c>
      <c r="I5239" s="3" t="s">
        <v>362</v>
      </c>
      <c r="K5239" s="2">
        <f>IF(ISNUMBER(SEARCH(Лист2!$B$4,F:F)),1,0)</f>
        <v>0</v>
      </c>
      <c r="L5239" s="14">
        <f>IF(ISNUMBER(SEARCH(Лист2!$B$5,I:I)),1,0)+K5239</f>
        <v>0</v>
      </c>
      <c r="M5239" s="3">
        <f ca="1">IF(AND(N5239&lt;&gt;N5238,ISNUMBER(SEARCH(Лист2!$B$6,N:N)),L5239=2),MAX($M$3:OFFSET(M5239,-1,0))+1,0)</f>
        <v>0</v>
      </c>
      <c r="N5239" s="3" t="s">
        <v>2736</v>
      </c>
    </row>
    <row r="5240" spans="1:14" x14ac:dyDescent="0.25">
      <c r="A5240" s="1" t="s">
        <v>13891</v>
      </c>
      <c r="B5240" s="3" t="s">
        <v>8864</v>
      </c>
      <c r="C5240" s="2">
        <f ca="1">IF(ISNUMBER(SEARCH(Лист2!$B$4,D:D)),MAX($C$3:OFFSET(C5240,-1,0))+1,0)</f>
        <v>0</v>
      </c>
      <c r="E5240" s="9" t="str">
        <f t="shared" ca="1" si="93"/>
        <v/>
      </c>
      <c r="F5240" s="4" t="s">
        <v>30</v>
      </c>
      <c r="G5240" s="2">
        <f>IF(ISNUMBER(SEARCH(Лист2!$B$4,F:F)),1,0)</f>
        <v>0</v>
      </c>
      <c r="H5240" s="3">
        <f ca="1">IF(AND(I5240&lt;&gt;I5239,ISNUMBER(SEARCH(Лист2!$B$5,I:I)),G5240=1),MAX($H$3:OFFSET(H5240,-1,0))+1,0)</f>
        <v>0</v>
      </c>
      <c r="I5240" s="3" t="s">
        <v>362</v>
      </c>
      <c r="K5240" s="2">
        <f>IF(ISNUMBER(SEARCH(Лист2!$B$4,F:F)),1,0)</f>
        <v>0</v>
      </c>
      <c r="L5240" s="14">
        <f>IF(ISNUMBER(SEARCH(Лист2!$B$5,I:I)),1,0)+K5240</f>
        <v>0</v>
      </c>
      <c r="M5240" s="3">
        <f ca="1">IF(AND(N5240&lt;&gt;N5239,ISNUMBER(SEARCH(Лист2!$B$6,N:N)),L5240=2),MAX($M$3:OFFSET(M5240,-1,0))+1,0)</f>
        <v>0</v>
      </c>
      <c r="N5240" s="3" t="s">
        <v>2737</v>
      </c>
    </row>
    <row r="5241" spans="1:14" x14ac:dyDescent="0.25">
      <c r="A5241" s="1" t="s">
        <v>13892</v>
      </c>
      <c r="B5241" s="3" t="s">
        <v>8865</v>
      </c>
      <c r="C5241" s="2">
        <f ca="1">IF(ISNUMBER(SEARCH(Лист2!$B$4,D:D)),MAX($C$3:OFFSET(C5241,-1,0))+1,0)</f>
        <v>0</v>
      </c>
      <c r="E5241" s="9" t="str">
        <f t="shared" ca="1" si="93"/>
        <v/>
      </c>
      <c r="F5241" s="4" t="s">
        <v>30</v>
      </c>
      <c r="G5241" s="2">
        <f>IF(ISNUMBER(SEARCH(Лист2!$B$4,F:F)),1,0)</f>
        <v>0</v>
      </c>
      <c r="H5241" s="3">
        <f ca="1">IF(AND(I5241&lt;&gt;I5240,ISNUMBER(SEARCH(Лист2!$B$5,I:I)),G5241=1),MAX($H$3:OFFSET(H5241,-1,0))+1,0)</f>
        <v>0</v>
      </c>
      <c r="I5241" s="3" t="s">
        <v>362</v>
      </c>
      <c r="K5241" s="2">
        <f>IF(ISNUMBER(SEARCH(Лист2!$B$4,F:F)),1,0)</f>
        <v>0</v>
      </c>
      <c r="L5241" s="14">
        <f>IF(ISNUMBER(SEARCH(Лист2!$B$5,I:I)),1,0)+K5241</f>
        <v>0</v>
      </c>
      <c r="M5241" s="3">
        <f ca="1">IF(AND(N5241&lt;&gt;N5240,ISNUMBER(SEARCH(Лист2!$B$6,N:N)),L5241=2),MAX($M$3:OFFSET(M5241,-1,0))+1,0)</f>
        <v>0</v>
      </c>
      <c r="N5241" s="3" t="s">
        <v>602</v>
      </c>
    </row>
    <row r="5242" spans="1:14" x14ac:dyDescent="0.25">
      <c r="A5242" s="1" t="s">
        <v>13893</v>
      </c>
      <c r="B5242" s="3" t="s">
        <v>8866</v>
      </c>
      <c r="C5242" s="2">
        <f ca="1">IF(ISNUMBER(SEARCH(Лист2!$B$4,D:D)),MAX($C$3:OFFSET(C5242,-1,0))+1,0)</f>
        <v>0</v>
      </c>
      <c r="E5242" s="9" t="str">
        <f t="shared" ca="1" si="93"/>
        <v/>
      </c>
      <c r="F5242" s="4" t="s">
        <v>30</v>
      </c>
      <c r="G5242" s="2">
        <f>IF(ISNUMBER(SEARCH(Лист2!$B$4,F:F)),1,0)</f>
        <v>0</v>
      </c>
      <c r="H5242" s="3">
        <f ca="1">IF(AND(I5242&lt;&gt;I5241,ISNUMBER(SEARCH(Лист2!$B$5,I:I)),G5242=1),MAX($H$3:OFFSET(H5242,-1,0))+1,0)</f>
        <v>0</v>
      </c>
      <c r="I5242" s="3" t="s">
        <v>414</v>
      </c>
      <c r="K5242" s="2">
        <f>IF(ISNUMBER(SEARCH(Лист2!$B$4,F:F)),1,0)</f>
        <v>0</v>
      </c>
      <c r="L5242" s="14">
        <f>IF(ISNUMBER(SEARCH(Лист2!$B$5,I:I)),1,0)+K5242</f>
        <v>0</v>
      </c>
      <c r="M5242" s="3">
        <f ca="1">IF(AND(N5242&lt;&gt;N5241,ISNUMBER(SEARCH(Лист2!$B$6,N:N)),L5242=2),MAX($M$3:OFFSET(M5242,-1,0))+1,0)</f>
        <v>0</v>
      </c>
      <c r="N5242" s="3" t="s">
        <v>2705</v>
      </c>
    </row>
    <row r="5243" spans="1:14" x14ac:dyDescent="0.25">
      <c r="A5243" s="1" t="s">
        <v>13894</v>
      </c>
      <c r="B5243" s="3" t="s">
        <v>8867</v>
      </c>
      <c r="C5243" s="2">
        <f ca="1">IF(ISNUMBER(SEARCH(Лист2!$B$4,D:D)),MAX($C$3:OFFSET(C5243,-1,0))+1,0)</f>
        <v>0</v>
      </c>
      <c r="E5243" s="9" t="str">
        <f t="shared" ca="1" si="93"/>
        <v/>
      </c>
      <c r="F5243" s="4" t="s">
        <v>30</v>
      </c>
      <c r="G5243" s="2">
        <f>IF(ISNUMBER(SEARCH(Лист2!$B$4,F:F)),1,0)</f>
        <v>0</v>
      </c>
      <c r="H5243" s="3">
        <f ca="1">IF(AND(I5243&lt;&gt;I5242,ISNUMBER(SEARCH(Лист2!$B$5,I:I)),G5243=1),MAX($H$3:OFFSET(H5243,-1,0))+1,0)</f>
        <v>0</v>
      </c>
      <c r="I5243" s="3" t="s">
        <v>414</v>
      </c>
      <c r="K5243" s="2">
        <f>IF(ISNUMBER(SEARCH(Лист2!$B$4,F:F)),1,0)</f>
        <v>0</v>
      </c>
      <c r="L5243" s="14">
        <f>IF(ISNUMBER(SEARCH(Лист2!$B$5,I:I)),1,0)+K5243</f>
        <v>0</v>
      </c>
      <c r="M5243" s="3">
        <f ca="1">IF(AND(N5243&lt;&gt;N5242,ISNUMBER(SEARCH(Лист2!$B$6,N:N)),L5243=2),MAX($M$3:OFFSET(M5243,-1,0))+1,0)</f>
        <v>0</v>
      </c>
      <c r="N5243" s="3" t="s">
        <v>3141</v>
      </c>
    </row>
    <row r="5244" spans="1:14" x14ac:dyDescent="0.25">
      <c r="A5244" s="1" t="s">
        <v>13895</v>
      </c>
      <c r="B5244" s="3" t="s">
        <v>8868</v>
      </c>
      <c r="C5244" s="2">
        <f ca="1">IF(ISNUMBER(SEARCH(Лист2!$B$4,D:D)),MAX($C$3:OFFSET(C5244,-1,0))+1,0)</f>
        <v>0</v>
      </c>
      <c r="E5244" s="9" t="str">
        <f t="shared" ca="1" si="93"/>
        <v/>
      </c>
      <c r="F5244" s="4" t="s">
        <v>30</v>
      </c>
      <c r="G5244" s="2">
        <f>IF(ISNUMBER(SEARCH(Лист2!$B$4,F:F)),1,0)</f>
        <v>0</v>
      </c>
      <c r="H5244" s="3">
        <f ca="1">IF(AND(I5244&lt;&gt;I5243,ISNUMBER(SEARCH(Лист2!$B$5,I:I)),G5244=1),MAX($H$3:OFFSET(H5244,-1,0))+1,0)</f>
        <v>0</v>
      </c>
      <c r="I5244" s="3" t="s">
        <v>414</v>
      </c>
      <c r="K5244" s="2">
        <f>IF(ISNUMBER(SEARCH(Лист2!$B$4,F:F)),1,0)</f>
        <v>0</v>
      </c>
      <c r="L5244" s="14">
        <f>IF(ISNUMBER(SEARCH(Лист2!$B$5,I:I)),1,0)+K5244</f>
        <v>0</v>
      </c>
      <c r="M5244" s="3">
        <f ca="1">IF(AND(N5244&lt;&gt;N5243,ISNUMBER(SEARCH(Лист2!$B$6,N:N)),L5244=2),MAX($M$3:OFFSET(M5244,-1,0))+1,0)</f>
        <v>0</v>
      </c>
      <c r="N5244" s="3" t="s">
        <v>3142</v>
      </c>
    </row>
    <row r="5245" spans="1:14" x14ac:dyDescent="0.25">
      <c r="A5245" s="1" t="s">
        <v>13896</v>
      </c>
      <c r="B5245" s="3" t="s">
        <v>8869</v>
      </c>
      <c r="C5245" s="2">
        <f ca="1">IF(ISNUMBER(SEARCH(Лист2!$B$4,D:D)),MAX($C$3:OFFSET(C5245,-1,0))+1,0)</f>
        <v>0</v>
      </c>
      <c r="E5245" s="9" t="str">
        <f t="shared" ca="1" si="93"/>
        <v/>
      </c>
      <c r="F5245" s="4" t="s">
        <v>30</v>
      </c>
      <c r="G5245" s="2">
        <f>IF(ISNUMBER(SEARCH(Лист2!$B$4,F:F)),1,0)</f>
        <v>0</v>
      </c>
      <c r="H5245" s="3">
        <f ca="1">IF(AND(I5245&lt;&gt;I5244,ISNUMBER(SEARCH(Лист2!$B$5,I:I)),G5245=1),MAX($H$3:OFFSET(H5245,-1,0))+1,0)</f>
        <v>0</v>
      </c>
      <c r="I5245" s="3" t="s">
        <v>414</v>
      </c>
      <c r="K5245" s="2">
        <f>IF(ISNUMBER(SEARCH(Лист2!$B$4,F:F)),1,0)</f>
        <v>0</v>
      </c>
      <c r="L5245" s="14">
        <f>IF(ISNUMBER(SEARCH(Лист2!$B$5,I:I)),1,0)+K5245</f>
        <v>0</v>
      </c>
      <c r="M5245" s="3">
        <f ca="1">IF(AND(N5245&lt;&gt;N5244,ISNUMBER(SEARCH(Лист2!$B$6,N:N)),L5245=2),MAX($M$3:OFFSET(M5245,-1,0))+1,0)</f>
        <v>0</v>
      </c>
      <c r="N5245" s="3" t="s">
        <v>3143</v>
      </c>
    </row>
    <row r="5246" spans="1:14" x14ac:dyDescent="0.25">
      <c r="A5246" s="1" t="s">
        <v>13897</v>
      </c>
      <c r="B5246" s="3" t="s">
        <v>8870</v>
      </c>
      <c r="C5246" s="2">
        <f ca="1">IF(ISNUMBER(SEARCH(Лист2!$B$4,D:D)),MAX($C$3:OFFSET(C5246,-1,0))+1,0)</f>
        <v>0</v>
      </c>
      <c r="E5246" s="9" t="str">
        <f t="shared" ca="1" si="93"/>
        <v/>
      </c>
      <c r="F5246" s="4" t="s">
        <v>30</v>
      </c>
      <c r="G5246" s="2">
        <f>IF(ISNUMBER(SEARCH(Лист2!$B$4,F:F)),1,0)</f>
        <v>0</v>
      </c>
      <c r="H5246" s="3">
        <f ca="1">IF(AND(I5246&lt;&gt;I5245,ISNUMBER(SEARCH(Лист2!$B$5,I:I)),G5246=1),MAX($H$3:OFFSET(H5246,-1,0))+1,0)</f>
        <v>0</v>
      </c>
      <c r="I5246" s="3" t="s">
        <v>414</v>
      </c>
      <c r="K5246" s="2">
        <f>IF(ISNUMBER(SEARCH(Лист2!$B$4,F:F)),1,0)</f>
        <v>0</v>
      </c>
      <c r="L5246" s="14">
        <f>IF(ISNUMBER(SEARCH(Лист2!$B$5,I:I)),1,0)+K5246</f>
        <v>0</v>
      </c>
      <c r="M5246" s="3">
        <f ca="1">IF(AND(N5246&lt;&gt;N5245,ISNUMBER(SEARCH(Лист2!$B$6,N:N)),L5246=2),MAX($M$3:OFFSET(M5246,-1,0))+1,0)</f>
        <v>0</v>
      </c>
      <c r="N5246" s="3" t="s">
        <v>3144</v>
      </c>
    </row>
    <row r="5247" spans="1:14" x14ac:dyDescent="0.25">
      <c r="A5247" s="1" t="s">
        <v>13898</v>
      </c>
      <c r="B5247" s="3" t="s">
        <v>8871</v>
      </c>
      <c r="C5247" s="2">
        <f ca="1">IF(ISNUMBER(SEARCH(Лист2!$B$4,D:D)),MAX($C$3:OFFSET(C5247,-1,0))+1,0)</f>
        <v>0</v>
      </c>
      <c r="E5247" s="9" t="str">
        <f t="shared" ca="1" si="93"/>
        <v/>
      </c>
      <c r="F5247" s="4" t="s">
        <v>30</v>
      </c>
      <c r="G5247" s="2">
        <f>IF(ISNUMBER(SEARCH(Лист2!$B$4,F:F)),1,0)</f>
        <v>0</v>
      </c>
      <c r="H5247" s="3">
        <f ca="1">IF(AND(I5247&lt;&gt;I5246,ISNUMBER(SEARCH(Лист2!$B$5,I:I)),G5247=1),MAX($H$3:OFFSET(H5247,-1,0))+1,0)</f>
        <v>0</v>
      </c>
      <c r="I5247" s="3" t="s">
        <v>414</v>
      </c>
      <c r="K5247" s="2">
        <f>IF(ISNUMBER(SEARCH(Лист2!$B$4,F:F)),1,0)</f>
        <v>0</v>
      </c>
      <c r="L5247" s="14">
        <f>IF(ISNUMBER(SEARCH(Лист2!$B$5,I:I)),1,0)+K5247</f>
        <v>0</v>
      </c>
      <c r="M5247" s="3">
        <f ca="1">IF(AND(N5247&lt;&gt;N5246,ISNUMBER(SEARCH(Лист2!$B$6,N:N)),L5247=2),MAX($M$3:OFFSET(M5247,-1,0))+1,0)</f>
        <v>0</v>
      </c>
      <c r="N5247" s="3" t="s">
        <v>3145</v>
      </c>
    </row>
    <row r="5248" spans="1:14" x14ac:dyDescent="0.25">
      <c r="A5248" s="1" t="s">
        <v>13899</v>
      </c>
      <c r="B5248" s="3" t="s">
        <v>8872</v>
      </c>
      <c r="C5248" s="2">
        <f ca="1">IF(ISNUMBER(SEARCH(Лист2!$B$4,D:D)),MAX($C$3:OFFSET(C5248,-1,0))+1,0)</f>
        <v>0</v>
      </c>
      <c r="E5248" s="9" t="str">
        <f t="shared" ca="1" si="93"/>
        <v/>
      </c>
      <c r="F5248" s="4" t="s">
        <v>30</v>
      </c>
      <c r="G5248" s="2">
        <f>IF(ISNUMBER(SEARCH(Лист2!$B$4,F:F)),1,0)</f>
        <v>0</v>
      </c>
      <c r="H5248" s="3">
        <f ca="1">IF(AND(I5248&lt;&gt;I5247,ISNUMBER(SEARCH(Лист2!$B$5,I:I)),G5248=1),MAX($H$3:OFFSET(H5248,-1,0))+1,0)</f>
        <v>0</v>
      </c>
      <c r="I5248" s="3" t="s">
        <v>414</v>
      </c>
      <c r="K5248" s="2">
        <f>IF(ISNUMBER(SEARCH(Лист2!$B$4,F:F)),1,0)</f>
        <v>0</v>
      </c>
      <c r="L5248" s="14">
        <f>IF(ISNUMBER(SEARCH(Лист2!$B$5,I:I)),1,0)+K5248</f>
        <v>0</v>
      </c>
      <c r="M5248" s="3">
        <f ca="1">IF(AND(N5248&lt;&gt;N5247,ISNUMBER(SEARCH(Лист2!$B$6,N:N)),L5248=2),MAX($M$3:OFFSET(M5248,-1,0))+1,0)</f>
        <v>0</v>
      </c>
      <c r="N5248" s="3" t="s">
        <v>3146</v>
      </c>
    </row>
    <row r="5249" spans="1:14" x14ac:dyDescent="0.25">
      <c r="A5249" s="1" t="s">
        <v>13900</v>
      </c>
      <c r="B5249" s="3" t="s">
        <v>8873</v>
      </c>
      <c r="C5249" s="2">
        <f ca="1">IF(ISNUMBER(SEARCH(Лист2!$B$4,D:D)),MAX($C$3:OFFSET(C5249,-1,0))+1,0)</f>
        <v>0</v>
      </c>
      <c r="E5249" s="9" t="str">
        <f t="shared" ca="1" si="93"/>
        <v/>
      </c>
      <c r="F5249" s="4" t="s">
        <v>30</v>
      </c>
      <c r="G5249" s="2">
        <f>IF(ISNUMBER(SEARCH(Лист2!$B$4,F:F)),1,0)</f>
        <v>0</v>
      </c>
      <c r="H5249" s="3">
        <f ca="1">IF(AND(I5249&lt;&gt;I5248,ISNUMBER(SEARCH(Лист2!$B$5,I:I)),G5249=1),MAX($H$3:OFFSET(H5249,-1,0))+1,0)</f>
        <v>0</v>
      </c>
      <c r="I5249" s="3" t="s">
        <v>414</v>
      </c>
      <c r="K5249" s="2">
        <f>IF(ISNUMBER(SEARCH(Лист2!$B$4,F:F)),1,0)</f>
        <v>0</v>
      </c>
      <c r="L5249" s="14">
        <f>IF(ISNUMBER(SEARCH(Лист2!$B$5,I:I)),1,0)+K5249</f>
        <v>0</v>
      </c>
      <c r="M5249" s="3">
        <f ca="1">IF(AND(N5249&lt;&gt;N5248,ISNUMBER(SEARCH(Лист2!$B$6,N:N)),L5249=2),MAX($M$3:OFFSET(M5249,-1,0))+1,0)</f>
        <v>0</v>
      </c>
      <c r="N5249" s="3" t="s">
        <v>3147</v>
      </c>
    </row>
    <row r="5250" spans="1:14" x14ac:dyDescent="0.25">
      <c r="A5250" s="1" t="s">
        <v>13901</v>
      </c>
      <c r="B5250" s="3" t="s">
        <v>8874</v>
      </c>
      <c r="C5250" s="2">
        <f ca="1">IF(ISNUMBER(SEARCH(Лист2!$B$4,D:D)),MAX($C$3:OFFSET(C5250,-1,0))+1,0)</f>
        <v>0</v>
      </c>
      <c r="E5250" s="9" t="str">
        <f t="shared" ca="1" si="93"/>
        <v/>
      </c>
      <c r="F5250" s="4" t="s">
        <v>30</v>
      </c>
      <c r="G5250" s="2">
        <f>IF(ISNUMBER(SEARCH(Лист2!$B$4,F:F)),1,0)</f>
        <v>0</v>
      </c>
      <c r="H5250" s="3">
        <f ca="1">IF(AND(I5250&lt;&gt;I5249,ISNUMBER(SEARCH(Лист2!$B$5,I:I)),G5250=1),MAX($H$3:OFFSET(H5250,-1,0))+1,0)</f>
        <v>0</v>
      </c>
      <c r="I5250" s="3" t="s">
        <v>414</v>
      </c>
      <c r="K5250" s="2">
        <f>IF(ISNUMBER(SEARCH(Лист2!$B$4,F:F)),1,0)</f>
        <v>0</v>
      </c>
      <c r="L5250" s="14">
        <f>IF(ISNUMBER(SEARCH(Лист2!$B$5,I:I)),1,0)+K5250</f>
        <v>0</v>
      </c>
      <c r="M5250" s="3">
        <f ca="1">IF(AND(N5250&lt;&gt;N5249,ISNUMBER(SEARCH(Лист2!$B$6,N:N)),L5250=2),MAX($M$3:OFFSET(M5250,-1,0))+1,0)</f>
        <v>0</v>
      </c>
      <c r="N5250" s="3" t="s">
        <v>602</v>
      </c>
    </row>
    <row r="5251" spans="1:14" x14ac:dyDescent="0.25">
      <c r="A5251" s="1" t="s">
        <v>13902</v>
      </c>
      <c r="B5251" s="3" t="s">
        <v>8875</v>
      </c>
      <c r="C5251" s="2">
        <f ca="1">IF(ISNUMBER(SEARCH(Лист2!$B$4,D:D)),MAX($C$3:OFFSET(C5251,-1,0))+1,0)</f>
        <v>0</v>
      </c>
      <c r="E5251" s="9" t="str">
        <f t="shared" ca="1" si="93"/>
        <v/>
      </c>
      <c r="F5251" s="4" t="s">
        <v>30</v>
      </c>
      <c r="G5251" s="2">
        <f>IF(ISNUMBER(SEARCH(Лист2!$B$4,F:F)),1,0)</f>
        <v>0</v>
      </c>
      <c r="H5251" s="3">
        <f ca="1">IF(AND(I5251&lt;&gt;I5250,ISNUMBER(SEARCH(Лист2!$B$5,I:I)),G5251=1),MAX($H$3:OFFSET(H5251,-1,0))+1,0)</f>
        <v>0</v>
      </c>
      <c r="I5251" s="3" t="s">
        <v>414</v>
      </c>
      <c r="K5251" s="2">
        <f>IF(ISNUMBER(SEARCH(Лист2!$B$4,F:F)),1,0)</f>
        <v>0</v>
      </c>
      <c r="L5251" s="14">
        <f>IF(ISNUMBER(SEARCH(Лист2!$B$5,I:I)),1,0)+K5251</f>
        <v>0</v>
      </c>
      <c r="M5251" s="3">
        <f ca="1">IF(AND(N5251&lt;&gt;N5250,ISNUMBER(SEARCH(Лист2!$B$6,N:N)),L5251=2),MAX($M$3:OFFSET(M5251,-1,0))+1,0)</f>
        <v>0</v>
      </c>
      <c r="N5251" s="3" t="s">
        <v>3138</v>
      </c>
    </row>
    <row r="5252" spans="1:14" x14ac:dyDescent="0.25">
      <c r="A5252" s="1" t="s">
        <v>13903</v>
      </c>
      <c r="B5252" s="3" t="s">
        <v>8876</v>
      </c>
      <c r="C5252" s="2">
        <f ca="1">IF(ISNUMBER(SEARCH(Лист2!$B$4,D:D)),MAX($C$3:OFFSET(C5252,-1,0))+1,0)</f>
        <v>0</v>
      </c>
      <c r="E5252" s="9" t="str">
        <f t="shared" ca="1" si="93"/>
        <v/>
      </c>
      <c r="F5252" s="4" t="s">
        <v>30</v>
      </c>
      <c r="G5252" s="2">
        <f>IF(ISNUMBER(SEARCH(Лист2!$B$4,F:F)),1,0)</f>
        <v>0</v>
      </c>
      <c r="H5252" s="3">
        <f ca="1">IF(AND(I5252&lt;&gt;I5251,ISNUMBER(SEARCH(Лист2!$B$5,I:I)),G5252=1),MAX($H$3:OFFSET(H5252,-1,0))+1,0)</f>
        <v>0</v>
      </c>
      <c r="I5252" s="3" t="s">
        <v>415</v>
      </c>
      <c r="K5252" s="2">
        <f>IF(ISNUMBER(SEARCH(Лист2!$B$4,F:F)),1,0)</f>
        <v>0</v>
      </c>
      <c r="L5252" s="14">
        <f>IF(ISNUMBER(SEARCH(Лист2!$B$5,I:I)),1,0)+K5252</f>
        <v>0</v>
      </c>
      <c r="M5252" s="3">
        <f ca="1">IF(AND(N5252&lt;&gt;N5251,ISNUMBER(SEARCH(Лист2!$B$6,N:N)),L5252=2),MAX($M$3:OFFSET(M5252,-1,0))+1,0)</f>
        <v>0</v>
      </c>
      <c r="N5252" s="3" t="s">
        <v>3148</v>
      </c>
    </row>
    <row r="5253" spans="1:14" x14ac:dyDescent="0.25">
      <c r="A5253" s="1" t="s">
        <v>13904</v>
      </c>
      <c r="B5253" s="3" t="s">
        <v>8877</v>
      </c>
      <c r="C5253" s="2">
        <f ca="1">IF(ISNUMBER(SEARCH(Лист2!$B$4,D:D)),MAX($C$3:OFFSET(C5253,-1,0))+1,0)</f>
        <v>0</v>
      </c>
      <c r="E5253" s="9" t="str">
        <f t="shared" ref="E5253:E5316" ca="1" si="94">IFERROR(INDEX(D:D,MATCH(ROW(E5253)-ROW($E$3),C:C,0)),"")</f>
        <v/>
      </c>
      <c r="F5253" s="4" t="s">
        <v>30</v>
      </c>
      <c r="G5253" s="2">
        <f>IF(ISNUMBER(SEARCH(Лист2!$B$4,F:F)),1,0)</f>
        <v>0</v>
      </c>
      <c r="H5253" s="3">
        <f ca="1">IF(AND(I5253&lt;&gt;I5252,ISNUMBER(SEARCH(Лист2!$B$5,I:I)),G5253=1),MAX($H$3:OFFSET(H5253,-1,0))+1,0)</f>
        <v>0</v>
      </c>
      <c r="I5253" s="3" t="s">
        <v>415</v>
      </c>
      <c r="K5253" s="2">
        <f>IF(ISNUMBER(SEARCH(Лист2!$B$4,F:F)),1,0)</f>
        <v>0</v>
      </c>
      <c r="L5253" s="14">
        <f>IF(ISNUMBER(SEARCH(Лист2!$B$5,I:I)),1,0)+K5253</f>
        <v>0</v>
      </c>
      <c r="M5253" s="3">
        <f ca="1">IF(AND(N5253&lt;&gt;N5252,ISNUMBER(SEARCH(Лист2!$B$6,N:N)),L5253=2),MAX($M$3:OFFSET(M5253,-1,0))+1,0)</f>
        <v>0</v>
      </c>
      <c r="N5253" s="3" t="s">
        <v>3149</v>
      </c>
    </row>
    <row r="5254" spans="1:14" x14ac:dyDescent="0.25">
      <c r="A5254" s="1" t="s">
        <v>13905</v>
      </c>
      <c r="B5254" s="3" t="s">
        <v>8878</v>
      </c>
      <c r="C5254" s="2">
        <f ca="1">IF(ISNUMBER(SEARCH(Лист2!$B$4,D:D)),MAX($C$3:OFFSET(C5254,-1,0))+1,0)</f>
        <v>0</v>
      </c>
      <c r="E5254" s="9" t="str">
        <f t="shared" ca="1" si="94"/>
        <v/>
      </c>
      <c r="F5254" s="4" t="s">
        <v>30</v>
      </c>
      <c r="G5254" s="2">
        <f>IF(ISNUMBER(SEARCH(Лист2!$B$4,F:F)),1,0)</f>
        <v>0</v>
      </c>
      <c r="H5254" s="3">
        <f ca="1">IF(AND(I5254&lt;&gt;I5253,ISNUMBER(SEARCH(Лист2!$B$5,I:I)),G5254=1),MAX($H$3:OFFSET(H5254,-1,0))+1,0)</f>
        <v>0</v>
      </c>
      <c r="I5254" s="3" t="s">
        <v>416</v>
      </c>
      <c r="K5254" s="2">
        <f>IF(ISNUMBER(SEARCH(Лист2!$B$4,F:F)),1,0)</f>
        <v>0</v>
      </c>
      <c r="L5254" s="14">
        <f>IF(ISNUMBER(SEARCH(Лист2!$B$5,I:I)),1,0)+K5254</f>
        <v>0</v>
      </c>
      <c r="M5254" s="3">
        <f ca="1">IF(AND(N5254&lt;&gt;N5253,ISNUMBER(SEARCH(Лист2!$B$6,N:N)),L5254=2),MAX($M$3:OFFSET(M5254,-1,0))+1,0)</f>
        <v>0</v>
      </c>
      <c r="N5254" s="3" t="s">
        <v>3150</v>
      </c>
    </row>
    <row r="5255" spans="1:14" x14ac:dyDescent="0.25">
      <c r="A5255" s="1" t="s">
        <v>13906</v>
      </c>
      <c r="B5255" s="3" t="s">
        <v>8879</v>
      </c>
      <c r="C5255" s="2">
        <f ca="1">IF(ISNUMBER(SEARCH(Лист2!$B$4,D:D)),MAX($C$3:OFFSET(C5255,-1,0))+1,0)</f>
        <v>0</v>
      </c>
      <c r="E5255" s="9" t="str">
        <f t="shared" ca="1" si="94"/>
        <v/>
      </c>
      <c r="F5255" s="4" t="s">
        <v>30</v>
      </c>
      <c r="G5255" s="2">
        <f>IF(ISNUMBER(SEARCH(Лист2!$B$4,F:F)),1,0)</f>
        <v>0</v>
      </c>
      <c r="H5255" s="3">
        <f ca="1">IF(AND(I5255&lt;&gt;I5254,ISNUMBER(SEARCH(Лист2!$B$5,I:I)),G5255=1),MAX($H$3:OFFSET(H5255,-1,0))+1,0)</f>
        <v>0</v>
      </c>
      <c r="I5255" s="3" t="s">
        <v>416</v>
      </c>
      <c r="K5255" s="2">
        <f>IF(ISNUMBER(SEARCH(Лист2!$B$4,F:F)),1,0)</f>
        <v>0</v>
      </c>
      <c r="L5255" s="14">
        <f>IF(ISNUMBER(SEARCH(Лист2!$B$5,I:I)),1,0)+K5255</f>
        <v>0</v>
      </c>
      <c r="M5255" s="3">
        <f ca="1">IF(AND(N5255&lt;&gt;N5254,ISNUMBER(SEARCH(Лист2!$B$6,N:N)),L5255=2),MAX($M$3:OFFSET(M5255,-1,0))+1,0)</f>
        <v>0</v>
      </c>
      <c r="N5255" s="3" t="s">
        <v>3151</v>
      </c>
    </row>
    <row r="5256" spans="1:14" x14ac:dyDescent="0.25">
      <c r="A5256" s="1" t="s">
        <v>13907</v>
      </c>
      <c r="B5256" s="3" t="s">
        <v>8880</v>
      </c>
      <c r="C5256" s="2">
        <f ca="1">IF(ISNUMBER(SEARCH(Лист2!$B$4,D:D)),MAX($C$3:OFFSET(C5256,-1,0))+1,0)</f>
        <v>0</v>
      </c>
      <c r="E5256" s="9" t="str">
        <f t="shared" ca="1" si="94"/>
        <v/>
      </c>
      <c r="F5256" s="4" t="s">
        <v>30</v>
      </c>
      <c r="G5256" s="2">
        <f>IF(ISNUMBER(SEARCH(Лист2!$B$4,F:F)),1,0)</f>
        <v>0</v>
      </c>
      <c r="H5256" s="3">
        <f ca="1">IF(AND(I5256&lt;&gt;I5255,ISNUMBER(SEARCH(Лист2!$B$5,I:I)),G5256=1),MAX($H$3:OFFSET(H5256,-1,0))+1,0)</f>
        <v>0</v>
      </c>
      <c r="I5256" s="3" t="s">
        <v>417</v>
      </c>
      <c r="K5256" s="2">
        <f>IF(ISNUMBER(SEARCH(Лист2!$B$4,F:F)),1,0)</f>
        <v>0</v>
      </c>
      <c r="L5256" s="14">
        <f>IF(ISNUMBER(SEARCH(Лист2!$B$5,I:I)),1,0)+K5256</f>
        <v>0</v>
      </c>
      <c r="M5256" s="3">
        <f ca="1">IF(AND(N5256&lt;&gt;N5255,ISNUMBER(SEARCH(Лист2!$B$6,N:N)),L5256=2),MAX($M$3:OFFSET(M5256,-1,0))+1,0)</f>
        <v>0</v>
      </c>
      <c r="N5256" s="3" t="s">
        <v>2237</v>
      </c>
    </row>
    <row r="5257" spans="1:14" x14ac:dyDescent="0.25">
      <c r="A5257" s="1" t="s">
        <v>13908</v>
      </c>
      <c r="B5257" s="3" t="s">
        <v>8881</v>
      </c>
      <c r="C5257" s="2">
        <f ca="1">IF(ISNUMBER(SEARCH(Лист2!$B$4,D:D)),MAX($C$3:OFFSET(C5257,-1,0))+1,0)</f>
        <v>0</v>
      </c>
      <c r="E5257" s="9" t="str">
        <f t="shared" ca="1" si="94"/>
        <v/>
      </c>
      <c r="F5257" s="4" t="s">
        <v>30</v>
      </c>
      <c r="G5257" s="2">
        <f>IF(ISNUMBER(SEARCH(Лист2!$B$4,F:F)),1,0)</f>
        <v>0</v>
      </c>
      <c r="H5257" s="3">
        <f ca="1">IF(AND(I5257&lt;&gt;I5256,ISNUMBER(SEARCH(Лист2!$B$5,I:I)),G5257=1),MAX($H$3:OFFSET(H5257,-1,0))+1,0)</f>
        <v>0</v>
      </c>
      <c r="I5257" s="3" t="s">
        <v>417</v>
      </c>
      <c r="K5257" s="2">
        <f>IF(ISNUMBER(SEARCH(Лист2!$B$4,F:F)),1,0)</f>
        <v>0</v>
      </c>
      <c r="L5257" s="14">
        <f>IF(ISNUMBER(SEARCH(Лист2!$B$5,I:I)),1,0)+K5257</f>
        <v>0</v>
      </c>
      <c r="M5257" s="3">
        <f ca="1">IF(AND(N5257&lt;&gt;N5256,ISNUMBER(SEARCH(Лист2!$B$6,N:N)),L5257=2),MAX($M$3:OFFSET(M5257,-1,0))+1,0)</f>
        <v>0</v>
      </c>
      <c r="N5257" s="3" t="s">
        <v>2238</v>
      </c>
    </row>
    <row r="5258" spans="1:14" x14ac:dyDescent="0.25">
      <c r="A5258" s="1" t="s">
        <v>13909</v>
      </c>
      <c r="B5258" s="3" t="s">
        <v>8882</v>
      </c>
      <c r="C5258" s="2">
        <f ca="1">IF(ISNUMBER(SEARCH(Лист2!$B$4,D:D)),MAX($C$3:OFFSET(C5258,-1,0))+1,0)</f>
        <v>0</v>
      </c>
      <c r="E5258" s="9" t="str">
        <f t="shared" ca="1" si="94"/>
        <v/>
      </c>
      <c r="F5258" s="4" t="s">
        <v>30</v>
      </c>
      <c r="G5258" s="2">
        <f>IF(ISNUMBER(SEARCH(Лист2!$B$4,F:F)),1,0)</f>
        <v>0</v>
      </c>
      <c r="H5258" s="3">
        <f ca="1">IF(AND(I5258&lt;&gt;I5257,ISNUMBER(SEARCH(Лист2!$B$5,I:I)),G5258=1),MAX($H$3:OFFSET(H5258,-1,0))+1,0)</f>
        <v>0</v>
      </c>
      <c r="I5258" s="3" t="s">
        <v>417</v>
      </c>
      <c r="K5258" s="2">
        <f>IF(ISNUMBER(SEARCH(Лист2!$B$4,F:F)),1,0)</f>
        <v>0</v>
      </c>
      <c r="L5258" s="14">
        <f>IF(ISNUMBER(SEARCH(Лист2!$B$5,I:I)),1,0)+K5258</f>
        <v>0</v>
      </c>
      <c r="M5258" s="3">
        <f ca="1">IF(AND(N5258&lt;&gt;N5257,ISNUMBER(SEARCH(Лист2!$B$6,N:N)),L5258=2),MAX($M$3:OFFSET(M5258,-1,0))+1,0)</f>
        <v>0</v>
      </c>
      <c r="N5258" s="3" t="s">
        <v>1385</v>
      </c>
    </row>
    <row r="5259" spans="1:14" x14ac:dyDescent="0.25">
      <c r="A5259" s="1" t="s">
        <v>13910</v>
      </c>
      <c r="B5259" s="3" t="s">
        <v>8883</v>
      </c>
      <c r="C5259" s="2">
        <f ca="1">IF(ISNUMBER(SEARCH(Лист2!$B$4,D:D)),MAX($C$3:OFFSET(C5259,-1,0))+1,0)</f>
        <v>0</v>
      </c>
      <c r="E5259" s="9" t="str">
        <f t="shared" ca="1" si="94"/>
        <v/>
      </c>
      <c r="F5259" s="4" t="s">
        <v>30</v>
      </c>
      <c r="G5259" s="2">
        <f>IF(ISNUMBER(SEARCH(Лист2!$B$4,F:F)),1,0)</f>
        <v>0</v>
      </c>
      <c r="H5259" s="3">
        <f ca="1">IF(AND(I5259&lt;&gt;I5258,ISNUMBER(SEARCH(Лист2!$B$5,I:I)),G5259=1),MAX($H$3:OFFSET(H5259,-1,0))+1,0)</f>
        <v>0</v>
      </c>
      <c r="I5259" s="3" t="s">
        <v>417</v>
      </c>
      <c r="K5259" s="2">
        <f>IF(ISNUMBER(SEARCH(Лист2!$B$4,F:F)),1,0)</f>
        <v>0</v>
      </c>
      <c r="L5259" s="14">
        <f>IF(ISNUMBER(SEARCH(Лист2!$B$5,I:I)),1,0)+K5259</f>
        <v>0</v>
      </c>
      <c r="M5259" s="3">
        <f ca="1">IF(AND(N5259&lt;&gt;N5258,ISNUMBER(SEARCH(Лист2!$B$6,N:N)),L5259=2),MAX($M$3:OFFSET(M5259,-1,0))+1,0)</f>
        <v>0</v>
      </c>
      <c r="N5259" s="3" t="s">
        <v>2239</v>
      </c>
    </row>
    <row r="5260" spans="1:14" x14ac:dyDescent="0.25">
      <c r="A5260" s="1" t="s">
        <v>13911</v>
      </c>
      <c r="B5260" s="3" t="s">
        <v>8884</v>
      </c>
      <c r="C5260" s="2">
        <f ca="1">IF(ISNUMBER(SEARCH(Лист2!$B$4,D:D)),MAX($C$3:OFFSET(C5260,-1,0))+1,0)</f>
        <v>0</v>
      </c>
      <c r="E5260" s="9" t="str">
        <f t="shared" ca="1" si="94"/>
        <v/>
      </c>
      <c r="F5260" s="4" t="s">
        <v>30</v>
      </c>
      <c r="G5260" s="2">
        <f>IF(ISNUMBER(SEARCH(Лист2!$B$4,F:F)),1,0)</f>
        <v>0</v>
      </c>
      <c r="H5260" s="3">
        <f ca="1">IF(AND(I5260&lt;&gt;I5259,ISNUMBER(SEARCH(Лист2!$B$5,I:I)),G5260=1),MAX($H$3:OFFSET(H5260,-1,0))+1,0)</f>
        <v>0</v>
      </c>
      <c r="I5260" s="3" t="s">
        <v>417</v>
      </c>
      <c r="K5260" s="2">
        <f>IF(ISNUMBER(SEARCH(Лист2!$B$4,F:F)),1,0)</f>
        <v>0</v>
      </c>
      <c r="L5260" s="14">
        <f>IF(ISNUMBER(SEARCH(Лист2!$B$5,I:I)),1,0)+K5260</f>
        <v>0</v>
      </c>
      <c r="M5260" s="3">
        <f ca="1">IF(AND(N5260&lt;&gt;N5259,ISNUMBER(SEARCH(Лист2!$B$6,N:N)),L5260=2),MAX($M$3:OFFSET(M5260,-1,0))+1,0)</f>
        <v>0</v>
      </c>
      <c r="N5260" s="3" t="s">
        <v>2240</v>
      </c>
    </row>
    <row r="5261" spans="1:14" x14ac:dyDescent="0.25">
      <c r="A5261" s="1" t="s">
        <v>13912</v>
      </c>
      <c r="B5261" s="3" t="s">
        <v>8885</v>
      </c>
      <c r="C5261" s="2">
        <f ca="1">IF(ISNUMBER(SEARCH(Лист2!$B$4,D:D)),MAX($C$3:OFFSET(C5261,-1,0))+1,0)</f>
        <v>0</v>
      </c>
      <c r="E5261" s="9" t="str">
        <f t="shared" ca="1" si="94"/>
        <v/>
      </c>
      <c r="F5261" s="4" t="s">
        <v>30</v>
      </c>
      <c r="G5261" s="2">
        <f>IF(ISNUMBER(SEARCH(Лист2!$B$4,F:F)),1,0)</f>
        <v>0</v>
      </c>
      <c r="H5261" s="3">
        <f ca="1">IF(AND(I5261&lt;&gt;I5260,ISNUMBER(SEARCH(Лист2!$B$5,I:I)),G5261=1),MAX($H$3:OFFSET(H5261,-1,0))+1,0)</f>
        <v>0</v>
      </c>
      <c r="I5261" s="3" t="s">
        <v>417</v>
      </c>
      <c r="K5261" s="2">
        <f>IF(ISNUMBER(SEARCH(Лист2!$B$4,F:F)),1,0)</f>
        <v>0</v>
      </c>
      <c r="L5261" s="14">
        <f>IF(ISNUMBER(SEARCH(Лист2!$B$5,I:I)),1,0)+K5261</f>
        <v>0</v>
      </c>
      <c r="M5261" s="3">
        <f ca="1">IF(AND(N5261&lt;&gt;N5260,ISNUMBER(SEARCH(Лист2!$B$6,N:N)),L5261=2),MAX($M$3:OFFSET(M5261,-1,0))+1,0)</f>
        <v>0</v>
      </c>
      <c r="N5261" s="3" t="s">
        <v>2241</v>
      </c>
    </row>
    <row r="5262" spans="1:14" x14ac:dyDescent="0.25">
      <c r="A5262" s="1" t="s">
        <v>13913</v>
      </c>
      <c r="B5262" s="3" t="s">
        <v>8886</v>
      </c>
      <c r="C5262" s="2">
        <f ca="1">IF(ISNUMBER(SEARCH(Лист2!$B$4,D:D)),MAX($C$3:OFFSET(C5262,-1,0))+1,0)</f>
        <v>0</v>
      </c>
      <c r="E5262" s="9" t="str">
        <f t="shared" ca="1" si="94"/>
        <v/>
      </c>
      <c r="F5262" s="4" t="s">
        <v>30</v>
      </c>
      <c r="G5262" s="2">
        <f>IF(ISNUMBER(SEARCH(Лист2!$B$4,F:F)),1,0)</f>
        <v>0</v>
      </c>
      <c r="H5262" s="3">
        <f ca="1">IF(AND(I5262&lt;&gt;I5261,ISNUMBER(SEARCH(Лист2!$B$5,I:I)),G5262=1),MAX($H$3:OFFSET(H5262,-1,0))+1,0)</f>
        <v>0</v>
      </c>
      <c r="I5262" s="3" t="s">
        <v>417</v>
      </c>
      <c r="K5262" s="2">
        <f>IF(ISNUMBER(SEARCH(Лист2!$B$4,F:F)),1,0)</f>
        <v>0</v>
      </c>
      <c r="L5262" s="14">
        <f>IF(ISNUMBER(SEARCH(Лист2!$B$5,I:I)),1,0)+K5262</f>
        <v>0</v>
      </c>
      <c r="M5262" s="3">
        <f ca="1">IF(AND(N5262&lt;&gt;N5261,ISNUMBER(SEARCH(Лист2!$B$6,N:N)),L5262=2),MAX($M$3:OFFSET(M5262,-1,0))+1,0)</f>
        <v>0</v>
      </c>
      <c r="N5262" s="3" t="s">
        <v>3152</v>
      </c>
    </row>
    <row r="5263" spans="1:14" x14ac:dyDescent="0.25">
      <c r="A5263" s="1" t="s">
        <v>13914</v>
      </c>
      <c r="B5263" s="3" t="s">
        <v>8887</v>
      </c>
      <c r="C5263" s="2">
        <f ca="1">IF(ISNUMBER(SEARCH(Лист2!$B$4,D:D)),MAX($C$3:OFFSET(C5263,-1,0))+1,0)</f>
        <v>0</v>
      </c>
      <c r="E5263" s="9" t="str">
        <f t="shared" ca="1" si="94"/>
        <v/>
      </c>
      <c r="F5263" s="4" t="s">
        <v>30</v>
      </c>
      <c r="G5263" s="2">
        <f>IF(ISNUMBER(SEARCH(Лист2!$B$4,F:F)),1,0)</f>
        <v>0</v>
      </c>
      <c r="H5263" s="3">
        <f ca="1">IF(AND(I5263&lt;&gt;I5262,ISNUMBER(SEARCH(Лист2!$B$5,I:I)),G5263=1),MAX($H$3:OFFSET(H5263,-1,0))+1,0)</f>
        <v>0</v>
      </c>
      <c r="I5263" s="3" t="s">
        <v>417</v>
      </c>
      <c r="K5263" s="2">
        <f>IF(ISNUMBER(SEARCH(Лист2!$B$4,F:F)),1,0)</f>
        <v>0</v>
      </c>
      <c r="L5263" s="14">
        <f>IF(ISNUMBER(SEARCH(Лист2!$B$5,I:I)),1,0)+K5263</f>
        <v>0</v>
      </c>
      <c r="M5263" s="3">
        <f ca="1">IF(AND(N5263&lt;&gt;N5262,ISNUMBER(SEARCH(Лист2!$B$6,N:N)),L5263=2),MAX($M$3:OFFSET(M5263,-1,0))+1,0)</f>
        <v>0</v>
      </c>
      <c r="N5263" s="3" t="s">
        <v>3153</v>
      </c>
    </row>
    <row r="5264" spans="1:14" x14ac:dyDescent="0.25">
      <c r="A5264" s="1" t="s">
        <v>13915</v>
      </c>
      <c r="B5264" s="3" t="s">
        <v>8888</v>
      </c>
      <c r="C5264" s="2">
        <f ca="1">IF(ISNUMBER(SEARCH(Лист2!$B$4,D:D)),MAX($C$3:OFFSET(C5264,-1,0))+1,0)</f>
        <v>0</v>
      </c>
      <c r="E5264" s="9" t="str">
        <f t="shared" ca="1" si="94"/>
        <v/>
      </c>
      <c r="F5264" s="4" t="s">
        <v>30</v>
      </c>
      <c r="G5264" s="2">
        <f>IF(ISNUMBER(SEARCH(Лист2!$B$4,F:F)),1,0)</f>
        <v>0</v>
      </c>
      <c r="H5264" s="3">
        <f ca="1">IF(AND(I5264&lt;&gt;I5263,ISNUMBER(SEARCH(Лист2!$B$5,I:I)),G5264=1),MAX($H$3:OFFSET(H5264,-1,0))+1,0)</f>
        <v>0</v>
      </c>
      <c r="I5264" s="3" t="s">
        <v>418</v>
      </c>
      <c r="K5264" s="2">
        <f>IF(ISNUMBER(SEARCH(Лист2!$B$4,F:F)),1,0)</f>
        <v>0</v>
      </c>
      <c r="L5264" s="14">
        <f>IF(ISNUMBER(SEARCH(Лист2!$B$5,I:I)),1,0)+K5264</f>
        <v>0</v>
      </c>
      <c r="M5264" s="3">
        <f ca="1">IF(AND(N5264&lt;&gt;N5263,ISNUMBER(SEARCH(Лист2!$B$6,N:N)),L5264=2),MAX($M$3:OFFSET(M5264,-1,0))+1,0)</f>
        <v>0</v>
      </c>
      <c r="N5264" s="3" t="s">
        <v>3154</v>
      </c>
    </row>
    <row r="5265" spans="1:14" x14ac:dyDescent="0.25">
      <c r="A5265" s="1" t="s">
        <v>13916</v>
      </c>
      <c r="B5265" s="3" t="s">
        <v>8889</v>
      </c>
      <c r="C5265" s="2">
        <f ca="1">IF(ISNUMBER(SEARCH(Лист2!$B$4,D:D)),MAX($C$3:OFFSET(C5265,-1,0))+1,0)</f>
        <v>0</v>
      </c>
      <c r="E5265" s="9" t="str">
        <f t="shared" ca="1" si="94"/>
        <v/>
      </c>
      <c r="F5265" s="4" t="s">
        <v>30</v>
      </c>
      <c r="G5265" s="2">
        <f>IF(ISNUMBER(SEARCH(Лист2!$B$4,F:F)),1,0)</f>
        <v>0</v>
      </c>
      <c r="H5265" s="3">
        <f ca="1">IF(AND(I5265&lt;&gt;I5264,ISNUMBER(SEARCH(Лист2!$B$5,I:I)),G5265=1),MAX($H$3:OFFSET(H5265,-1,0))+1,0)</f>
        <v>0</v>
      </c>
      <c r="I5265" s="3" t="s">
        <v>418</v>
      </c>
      <c r="K5265" s="2">
        <f>IF(ISNUMBER(SEARCH(Лист2!$B$4,F:F)),1,0)</f>
        <v>0</v>
      </c>
      <c r="L5265" s="14">
        <f>IF(ISNUMBER(SEARCH(Лист2!$B$5,I:I)),1,0)+K5265</f>
        <v>0</v>
      </c>
      <c r="M5265" s="3">
        <f ca="1">IF(AND(N5265&lt;&gt;N5264,ISNUMBER(SEARCH(Лист2!$B$6,N:N)),L5265=2),MAX($M$3:OFFSET(M5265,-1,0))+1,0)</f>
        <v>0</v>
      </c>
      <c r="N5265" s="3" t="s">
        <v>3155</v>
      </c>
    </row>
    <row r="5266" spans="1:14" x14ac:dyDescent="0.25">
      <c r="A5266" s="1" t="s">
        <v>13917</v>
      </c>
      <c r="B5266" s="3" t="s">
        <v>8890</v>
      </c>
      <c r="C5266" s="2">
        <f ca="1">IF(ISNUMBER(SEARCH(Лист2!$B$4,D:D)),MAX($C$3:OFFSET(C5266,-1,0))+1,0)</f>
        <v>0</v>
      </c>
      <c r="E5266" s="9" t="str">
        <f t="shared" ca="1" si="94"/>
        <v/>
      </c>
      <c r="F5266" s="4" t="s">
        <v>30</v>
      </c>
      <c r="G5266" s="2">
        <f>IF(ISNUMBER(SEARCH(Лист2!$B$4,F:F)),1,0)</f>
        <v>0</v>
      </c>
      <c r="H5266" s="3">
        <f ca="1">IF(AND(I5266&lt;&gt;I5265,ISNUMBER(SEARCH(Лист2!$B$5,I:I)),G5266=1),MAX($H$3:OFFSET(H5266,-1,0))+1,0)</f>
        <v>0</v>
      </c>
      <c r="I5266" s="3" t="s">
        <v>418</v>
      </c>
      <c r="K5266" s="2">
        <f>IF(ISNUMBER(SEARCH(Лист2!$B$4,F:F)),1,0)</f>
        <v>0</v>
      </c>
      <c r="L5266" s="14">
        <f>IF(ISNUMBER(SEARCH(Лист2!$B$5,I:I)),1,0)+K5266</f>
        <v>0</v>
      </c>
      <c r="M5266" s="3">
        <f ca="1">IF(AND(N5266&lt;&gt;N5265,ISNUMBER(SEARCH(Лист2!$B$6,N:N)),L5266=2),MAX($M$3:OFFSET(M5266,-1,0))+1,0)</f>
        <v>0</v>
      </c>
      <c r="N5266" s="3" t="s">
        <v>1385</v>
      </c>
    </row>
    <row r="5267" spans="1:14" x14ac:dyDescent="0.25">
      <c r="A5267" s="1" t="s">
        <v>13918</v>
      </c>
      <c r="B5267" s="3" t="s">
        <v>8891</v>
      </c>
      <c r="C5267" s="2">
        <f ca="1">IF(ISNUMBER(SEARCH(Лист2!$B$4,D:D)),MAX($C$3:OFFSET(C5267,-1,0))+1,0)</f>
        <v>0</v>
      </c>
      <c r="E5267" s="9" t="str">
        <f t="shared" ca="1" si="94"/>
        <v/>
      </c>
      <c r="F5267" s="4" t="s">
        <v>30</v>
      </c>
      <c r="G5267" s="2">
        <f>IF(ISNUMBER(SEARCH(Лист2!$B$4,F:F)),1,0)</f>
        <v>0</v>
      </c>
      <c r="H5267" s="3">
        <f ca="1">IF(AND(I5267&lt;&gt;I5266,ISNUMBER(SEARCH(Лист2!$B$5,I:I)),G5267=1),MAX($H$3:OFFSET(H5267,-1,0))+1,0)</f>
        <v>0</v>
      </c>
      <c r="I5267" s="3" t="s">
        <v>418</v>
      </c>
      <c r="K5267" s="2">
        <f>IF(ISNUMBER(SEARCH(Лист2!$B$4,F:F)),1,0)</f>
        <v>0</v>
      </c>
      <c r="L5267" s="14">
        <f>IF(ISNUMBER(SEARCH(Лист2!$B$5,I:I)),1,0)+K5267</f>
        <v>0</v>
      </c>
      <c r="M5267" s="3">
        <f ca="1">IF(AND(N5267&lt;&gt;N5266,ISNUMBER(SEARCH(Лист2!$B$6,N:N)),L5267=2),MAX($M$3:OFFSET(M5267,-1,0))+1,0)</f>
        <v>0</v>
      </c>
      <c r="N5267" s="3" t="s">
        <v>3156</v>
      </c>
    </row>
    <row r="5268" spans="1:14" x14ac:dyDescent="0.25">
      <c r="A5268" s="1" t="s">
        <v>13919</v>
      </c>
      <c r="B5268" s="3" t="s">
        <v>8892</v>
      </c>
      <c r="C5268" s="2">
        <f ca="1">IF(ISNUMBER(SEARCH(Лист2!$B$4,D:D)),MAX($C$3:OFFSET(C5268,-1,0))+1,0)</f>
        <v>0</v>
      </c>
      <c r="E5268" s="9" t="str">
        <f t="shared" ca="1" si="94"/>
        <v/>
      </c>
      <c r="F5268" s="4" t="s">
        <v>30</v>
      </c>
      <c r="G5268" s="2">
        <f>IF(ISNUMBER(SEARCH(Лист2!$B$4,F:F)),1,0)</f>
        <v>0</v>
      </c>
      <c r="H5268" s="3">
        <f ca="1">IF(AND(I5268&lt;&gt;I5267,ISNUMBER(SEARCH(Лист2!$B$5,I:I)),G5268=1),MAX($H$3:OFFSET(H5268,-1,0))+1,0)</f>
        <v>0</v>
      </c>
      <c r="I5268" s="3" t="s">
        <v>418</v>
      </c>
      <c r="K5268" s="2">
        <f>IF(ISNUMBER(SEARCH(Лист2!$B$4,F:F)),1,0)</f>
        <v>0</v>
      </c>
      <c r="L5268" s="14">
        <f>IF(ISNUMBER(SEARCH(Лист2!$B$5,I:I)),1,0)+K5268</f>
        <v>0</v>
      </c>
      <c r="M5268" s="3">
        <f ca="1">IF(AND(N5268&lt;&gt;N5267,ISNUMBER(SEARCH(Лист2!$B$6,N:N)),L5268=2),MAX($M$3:OFFSET(M5268,-1,0))+1,0)</f>
        <v>0</v>
      </c>
      <c r="N5268" s="3" t="s">
        <v>3157</v>
      </c>
    </row>
    <row r="5269" spans="1:14" x14ac:dyDescent="0.25">
      <c r="A5269" s="1" t="s">
        <v>13920</v>
      </c>
      <c r="B5269" s="3" t="s">
        <v>8893</v>
      </c>
      <c r="C5269" s="2">
        <f ca="1">IF(ISNUMBER(SEARCH(Лист2!$B$4,D:D)),MAX($C$3:OFFSET(C5269,-1,0))+1,0)</f>
        <v>0</v>
      </c>
      <c r="E5269" s="9" t="str">
        <f t="shared" ca="1" si="94"/>
        <v/>
      </c>
      <c r="F5269" s="4" t="s">
        <v>30</v>
      </c>
      <c r="G5269" s="2">
        <f>IF(ISNUMBER(SEARCH(Лист2!$B$4,F:F)),1,0)</f>
        <v>0</v>
      </c>
      <c r="H5269" s="3">
        <f ca="1">IF(AND(I5269&lt;&gt;I5268,ISNUMBER(SEARCH(Лист2!$B$5,I:I)),G5269=1),MAX($H$3:OFFSET(H5269,-1,0))+1,0)</f>
        <v>0</v>
      </c>
      <c r="I5269" s="3" t="s">
        <v>418</v>
      </c>
      <c r="K5269" s="2">
        <f>IF(ISNUMBER(SEARCH(Лист2!$B$4,F:F)),1,0)</f>
        <v>0</v>
      </c>
      <c r="L5269" s="14">
        <f>IF(ISNUMBER(SEARCH(Лист2!$B$5,I:I)),1,0)+K5269</f>
        <v>0</v>
      </c>
      <c r="M5269" s="3">
        <f ca="1">IF(AND(N5269&lt;&gt;N5268,ISNUMBER(SEARCH(Лист2!$B$6,N:N)),L5269=2),MAX($M$3:OFFSET(M5269,-1,0))+1,0)</f>
        <v>0</v>
      </c>
      <c r="N5269" s="3" t="s">
        <v>3158</v>
      </c>
    </row>
    <row r="5270" spans="1:14" x14ac:dyDescent="0.25">
      <c r="A5270" s="1" t="s">
        <v>13921</v>
      </c>
      <c r="B5270" s="3" t="s">
        <v>8894</v>
      </c>
      <c r="C5270" s="2">
        <f ca="1">IF(ISNUMBER(SEARCH(Лист2!$B$4,D:D)),MAX($C$3:OFFSET(C5270,-1,0))+1,0)</f>
        <v>0</v>
      </c>
      <c r="E5270" s="9" t="str">
        <f t="shared" ca="1" si="94"/>
        <v/>
      </c>
      <c r="F5270" s="4" t="s">
        <v>30</v>
      </c>
      <c r="G5270" s="2">
        <f>IF(ISNUMBER(SEARCH(Лист2!$B$4,F:F)),1,0)</f>
        <v>0</v>
      </c>
      <c r="H5270" s="3">
        <f ca="1">IF(AND(I5270&lt;&gt;I5269,ISNUMBER(SEARCH(Лист2!$B$5,I:I)),G5270=1),MAX($H$3:OFFSET(H5270,-1,0))+1,0)</f>
        <v>0</v>
      </c>
      <c r="I5270" s="3" t="s">
        <v>418</v>
      </c>
      <c r="K5270" s="2">
        <f>IF(ISNUMBER(SEARCH(Лист2!$B$4,F:F)),1,0)</f>
        <v>0</v>
      </c>
      <c r="L5270" s="14">
        <f>IF(ISNUMBER(SEARCH(Лист2!$B$5,I:I)),1,0)+K5270</f>
        <v>0</v>
      </c>
      <c r="M5270" s="3">
        <f ca="1">IF(AND(N5270&lt;&gt;N5269,ISNUMBER(SEARCH(Лист2!$B$6,N:N)),L5270=2),MAX($M$3:OFFSET(M5270,-1,0))+1,0)</f>
        <v>0</v>
      </c>
      <c r="N5270" s="3" t="s">
        <v>3159</v>
      </c>
    </row>
    <row r="5271" spans="1:14" x14ac:dyDescent="0.25">
      <c r="A5271" s="1" t="s">
        <v>13922</v>
      </c>
      <c r="B5271" s="3" t="s">
        <v>8895</v>
      </c>
      <c r="C5271" s="2">
        <f ca="1">IF(ISNUMBER(SEARCH(Лист2!$B$4,D:D)),MAX($C$3:OFFSET(C5271,-1,0))+1,0)</f>
        <v>0</v>
      </c>
      <c r="E5271" s="9" t="str">
        <f t="shared" ca="1" si="94"/>
        <v/>
      </c>
      <c r="F5271" s="4" t="s">
        <v>30</v>
      </c>
      <c r="G5271" s="2">
        <f>IF(ISNUMBER(SEARCH(Лист2!$B$4,F:F)),1,0)</f>
        <v>0</v>
      </c>
      <c r="H5271" s="3">
        <f ca="1">IF(AND(I5271&lt;&gt;I5270,ISNUMBER(SEARCH(Лист2!$B$5,I:I)),G5271=1),MAX($H$3:OFFSET(H5271,-1,0))+1,0)</f>
        <v>0</v>
      </c>
      <c r="I5271" s="3" t="s">
        <v>418</v>
      </c>
      <c r="K5271" s="2">
        <f>IF(ISNUMBER(SEARCH(Лист2!$B$4,F:F)),1,0)</f>
        <v>0</v>
      </c>
      <c r="L5271" s="14">
        <f>IF(ISNUMBER(SEARCH(Лист2!$B$5,I:I)),1,0)+K5271</f>
        <v>0</v>
      </c>
      <c r="M5271" s="3">
        <f ca="1">IF(AND(N5271&lt;&gt;N5270,ISNUMBER(SEARCH(Лист2!$B$6,N:N)),L5271=2),MAX($M$3:OFFSET(M5271,-1,0))+1,0)</f>
        <v>0</v>
      </c>
      <c r="N5271" s="3" t="s">
        <v>3160</v>
      </c>
    </row>
    <row r="5272" spans="1:14" x14ac:dyDescent="0.25">
      <c r="A5272" s="1" t="s">
        <v>13923</v>
      </c>
      <c r="B5272" s="3" t="s">
        <v>8896</v>
      </c>
      <c r="C5272" s="2">
        <f ca="1">IF(ISNUMBER(SEARCH(Лист2!$B$4,D:D)),MAX($C$3:OFFSET(C5272,-1,0))+1,0)</f>
        <v>0</v>
      </c>
      <c r="E5272" s="9" t="str">
        <f t="shared" ca="1" si="94"/>
        <v/>
      </c>
      <c r="F5272" s="4" t="s">
        <v>30</v>
      </c>
      <c r="G5272" s="2">
        <f>IF(ISNUMBER(SEARCH(Лист2!$B$4,F:F)),1,0)</f>
        <v>0</v>
      </c>
      <c r="H5272" s="3">
        <f ca="1">IF(AND(I5272&lt;&gt;I5271,ISNUMBER(SEARCH(Лист2!$B$5,I:I)),G5272=1),MAX($H$3:OFFSET(H5272,-1,0))+1,0)</f>
        <v>0</v>
      </c>
      <c r="I5272" s="3" t="s">
        <v>418</v>
      </c>
      <c r="K5272" s="2">
        <f>IF(ISNUMBER(SEARCH(Лист2!$B$4,F:F)),1,0)</f>
        <v>0</v>
      </c>
      <c r="L5272" s="14">
        <f>IF(ISNUMBER(SEARCH(Лист2!$B$5,I:I)),1,0)+K5272</f>
        <v>0</v>
      </c>
      <c r="M5272" s="3">
        <f ca="1">IF(AND(N5272&lt;&gt;N5271,ISNUMBER(SEARCH(Лист2!$B$6,N:N)),L5272=2),MAX($M$3:OFFSET(M5272,-1,0))+1,0)</f>
        <v>0</v>
      </c>
      <c r="N5272" s="3" t="s">
        <v>3153</v>
      </c>
    </row>
    <row r="5273" spans="1:14" x14ac:dyDescent="0.25">
      <c r="A5273" s="1" t="s">
        <v>13924</v>
      </c>
      <c r="B5273" s="3" t="s">
        <v>8897</v>
      </c>
      <c r="C5273" s="2">
        <f ca="1">IF(ISNUMBER(SEARCH(Лист2!$B$4,D:D)),MAX($C$3:OFFSET(C5273,-1,0))+1,0)</f>
        <v>0</v>
      </c>
      <c r="E5273" s="9" t="str">
        <f t="shared" ca="1" si="94"/>
        <v/>
      </c>
      <c r="F5273" s="4" t="s">
        <v>30</v>
      </c>
      <c r="G5273" s="2">
        <f>IF(ISNUMBER(SEARCH(Лист2!$B$4,F:F)),1,0)</f>
        <v>0</v>
      </c>
      <c r="H5273" s="3">
        <f ca="1">IF(AND(I5273&lt;&gt;I5272,ISNUMBER(SEARCH(Лист2!$B$5,I:I)),G5273=1),MAX($H$3:OFFSET(H5273,-1,0))+1,0)</f>
        <v>0</v>
      </c>
      <c r="I5273" s="3" t="s">
        <v>292</v>
      </c>
      <c r="K5273" s="2">
        <f>IF(ISNUMBER(SEARCH(Лист2!$B$4,F:F)),1,0)</f>
        <v>0</v>
      </c>
      <c r="L5273" s="14">
        <f>IF(ISNUMBER(SEARCH(Лист2!$B$5,I:I)),1,0)+K5273</f>
        <v>0</v>
      </c>
      <c r="M5273" s="3">
        <f ca="1">IF(AND(N5273&lt;&gt;N5272,ISNUMBER(SEARCH(Лист2!$B$6,N:N)),L5273=2),MAX($M$3:OFFSET(M5273,-1,0))+1,0)</f>
        <v>0</v>
      </c>
      <c r="N5273" s="3" t="s">
        <v>2114</v>
      </c>
    </row>
    <row r="5274" spans="1:14" x14ac:dyDescent="0.25">
      <c r="A5274" s="1" t="s">
        <v>13925</v>
      </c>
      <c r="B5274" s="3" t="s">
        <v>8898</v>
      </c>
      <c r="C5274" s="2">
        <f ca="1">IF(ISNUMBER(SEARCH(Лист2!$B$4,D:D)),MAX($C$3:OFFSET(C5274,-1,0))+1,0)</f>
        <v>0</v>
      </c>
      <c r="E5274" s="9" t="str">
        <f t="shared" ca="1" si="94"/>
        <v/>
      </c>
      <c r="F5274" s="4" t="s">
        <v>30</v>
      </c>
      <c r="G5274" s="2">
        <f>IF(ISNUMBER(SEARCH(Лист2!$B$4,F:F)),1,0)</f>
        <v>0</v>
      </c>
      <c r="H5274" s="3">
        <f ca="1">IF(AND(I5274&lt;&gt;I5273,ISNUMBER(SEARCH(Лист2!$B$5,I:I)),G5274=1),MAX($H$3:OFFSET(H5274,-1,0))+1,0)</f>
        <v>0</v>
      </c>
      <c r="I5274" s="3" t="s">
        <v>292</v>
      </c>
      <c r="K5274" s="2">
        <f>IF(ISNUMBER(SEARCH(Лист2!$B$4,F:F)),1,0)</f>
        <v>0</v>
      </c>
      <c r="L5274" s="14">
        <f>IF(ISNUMBER(SEARCH(Лист2!$B$5,I:I)),1,0)+K5274</f>
        <v>0</v>
      </c>
      <c r="M5274" s="3">
        <f ca="1">IF(AND(N5274&lt;&gt;N5273,ISNUMBER(SEARCH(Лист2!$B$6,N:N)),L5274=2),MAX($M$3:OFFSET(M5274,-1,0))+1,0)</f>
        <v>0</v>
      </c>
      <c r="N5274" s="3" t="s">
        <v>2115</v>
      </c>
    </row>
    <row r="5275" spans="1:14" x14ac:dyDescent="0.25">
      <c r="A5275" s="1" t="s">
        <v>13926</v>
      </c>
      <c r="B5275" s="3" t="s">
        <v>8899</v>
      </c>
      <c r="C5275" s="2">
        <f ca="1">IF(ISNUMBER(SEARCH(Лист2!$B$4,D:D)),MAX($C$3:OFFSET(C5275,-1,0))+1,0)</f>
        <v>0</v>
      </c>
      <c r="E5275" s="9" t="str">
        <f t="shared" ca="1" si="94"/>
        <v/>
      </c>
      <c r="F5275" s="4" t="s">
        <v>30</v>
      </c>
      <c r="G5275" s="2">
        <f>IF(ISNUMBER(SEARCH(Лист2!$B$4,F:F)),1,0)</f>
        <v>0</v>
      </c>
      <c r="H5275" s="3">
        <f ca="1">IF(AND(I5275&lt;&gt;I5274,ISNUMBER(SEARCH(Лист2!$B$5,I:I)),G5275=1),MAX($H$3:OFFSET(H5275,-1,0))+1,0)</f>
        <v>0</v>
      </c>
      <c r="I5275" s="3" t="s">
        <v>292</v>
      </c>
      <c r="K5275" s="2">
        <f>IF(ISNUMBER(SEARCH(Лист2!$B$4,F:F)),1,0)</f>
        <v>0</v>
      </c>
      <c r="L5275" s="14">
        <f>IF(ISNUMBER(SEARCH(Лист2!$B$5,I:I)),1,0)+K5275</f>
        <v>0</v>
      </c>
      <c r="M5275" s="3">
        <f ca="1">IF(AND(N5275&lt;&gt;N5274,ISNUMBER(SEARCH(Лист2!$B$6,N:N)),L5275=2),MAX($M$3:OFFSET(M5275,-1,0))+1,0)</f>
        <v>0</v>
      </c>
      <c r="N5275" s="3" t="s">
        <v>2116</v>
      </c>
    </row>
    <row r="5276" spans="1:14" x14ac:dyDescent="0.25">
      <c r="A5276" s="1" t="s">
        <v>13927</v>
      </c>
      <c r="B5276" s="3" t="s">
        <v>8900</v>
      </c>
      <c r="C5276" s="2">
        <f ca="1">IF(ISNUMBER(SEARCH(Лист2!$B$4,D:D)),MAX($C$3:OFFSET(C5276,-1,0))+1,0)</f>
        <v>0</v>
      </c>
      <c r="E5276" s="9" t="str">
        <f t="shared" ca="1" si="94"/>
        <v/>
      </c>
      <c r="F5276" s="4" t="s">
        <v>30</v>
      </c>
      <c r="G5276" s="2">
        <f>IF(ISNUMBER(SEARCH(Лист2!$B$4,F:F)),1,0)</f>
        <v>0</v>
      </c>
      <c r="H5276" s="3">
        <f ca="1">IF(AND(I5276&lt;&gt;I5275,ISNUMBER(SEARCH(Лист2!$B$5,I:I)),G5276=1),MAX($H$3:OFFSET(H5276,-1,0))+1,0)</f>
        <v>0</v>
      </c>
      <c r="I5276" s="3" t="s">
        <v>292</v>
      </c>
      <c r="K5276" s="2">
        <f>IF(ISNUMBER(SEARCH(Лист2!$B$4,F:F)),1,0)</f>
        <v>0</v>
      </c>
      <c r="L5276" s="14">
        <f>IF(ISNUMBER(SEARCH(Лист2!$B$5,I:I)),1,0)+K5276</f>
        <v>0</v>
      </c>
      <c r="M5276" s="3">
        <f ca="1">IF(AND(N5276&lt;&gt;N5275,ISNUMBER(SEARCH(Лист2!$B$6,N:N)),L5276=2),MAX($M$3:OFFSET(M5276,-1,0))+1,0)</f>
        <v>0</v>
      </c>
      <c r="N5276" s="3" t="s">
        <v>3161</v>
      </c>
    </row>
    <row r="5277" spans="1:14" x14ac:dyDescent="0.25">
      <c r="A5277" s="1" t="s">
        <v>13928</v>
      </c>
      <c r="B5277" s="3" t="s">
        <v>8901</v>
      </c>
      <c r="C5277" s="2">
        <f ca="1">IF(ISNUMBER(SEARCH(Лист2!$B$4,D:D)),MAX($C$3:OFFSET(C5277,-1,0))+1,0)</f>
        <v>0</v>
      </c>
      <c r="E5277" s="9" t="str">
        <f t="shared" ca="1" si="94"/>
        <v/>
      </c>
      <c r="F5277" s="4" t="s">
        <v>30</v>
      </c>
      <c r="G5277" s="2">
        <f>IF(ISNUMBER(SEARCH(Лист2!$B$4,F:F)),1,0)</f>
        <v>0</v>
      </c>
      <c r="H5277" s="3">
        <f ca="1">IF(AND(I5277&lt;&gt;I5276,ISNUMBER(SEARCH(Лист2!$B$5,I:I)),G5277=1),MAX($H$3:OFFSET(H5277,-1,0))+1,0)</f>
        <v>0</v>
      </c>
      <c r="I5277" s="3" t="s">
        <v>292</v>
      </c>
      <c r="K5277" s="2">
        <f>IF(ISNUMBER(SEARCH(Лист2!$B$4,F:F)),1,0)</f>
        <v>0</v>
      </c>
      <c r="L5277" s="14">
        <f>IF(ISNUMBER(SEARCH(Лист2!$B$5,I:I)),1,0)+K5277</f>
        <v>0</v>
      </c>
      <c r="M5277" s="3">
        <f ca="1">IF(AND(N5277&lt;&gt;N5276,ISNUMBER(SEARCH(Лист2!$B$6,N:N)),L5277=2),MAX($M$3:OFFSET(M5277,-1,0))+1,0)</f>
        <v>0</v>
      </c>
      <c r="N5277" s="3" t="s">
        <v>3162</v>
      </c>
    </row>
    <row r="5278" spans="1:14" x14ac:dyDescent="0.25">
      <c r="A5278" s="1" t="s">
        <v>13929</v>
      </c>
      <c r="B5278" s="3" t="s">
        <v>8902</v>
      </c>
      <c r="C5278" s="2">
        <f ca="1">IF(ISNUMBER(SEARCH(Лист2!$B$4,D:D)),MAX($C$3:OFFSET(C5278,-1,0))+1,0)</f>
        <v>0</v>
      </c>
      <c r="E5278" s="9" t="str">
        <f t="shared" ca="1" si="94"/>
        <v/>
      </c>
      <c r="F5278" s="4" t="s">
        <v>30</v>
      </c>
      <c r="G5278" s="2">
        <f>IF(ISNUMBER(SEARCH(Лист2!$B$4,F:F)),1,0)</f>
        <v>0</v>
      </c>
      <c r="H5278" s="3">
        <f ca="1">IF(AND(I5278&lt;&gt;I5277,ISNUMBER(SEARCH(Лист2!$B$5,I:I)),G5278=1),MAX($H$3:OFFSET(H5278,-1,0))+1,0)</f>
        <v>0</v>
      </c>
      <c r="I5278" s="3" t="s">
        <v>292</v>
      </c>
      <c r="K5278" s="2">
        <f>IF(ISNUMBER(SEARCH(Лист2!$B$4,F:F)),1,0)</f>
        <v>0</v>
      </c>
      <c r="L5278" s="14">
        <f>IF(ISNUMBER(SEARCH(Лист2!$B$5,I:I)),1,0)+K5278</f>
        <v>0</v>
      </c>
      <c r="M5278" s="3">
        <f ca="1">IF(AND(N5278&lt;&gt;N5277,ISNUMBER(SEARCH(Лист2!$B$6,N:N)),L5278=2),MAX($M$3:OFFSET(M5278,-1,0))+1,0)</f>
        <v>0</v>
      </c>
      <c r="N5278" s="3" t="s">
        <v>1385</v>
      </c>
    </row>
    <row r="5279" spans="1:14" x14ac:dyDescent="0.25">
      <c r="A5279" s="1" t="s">
        <v>13930</v>
      </c>
      <c r="B5279" s="3" t="s">
        <v>8903</v>
      </c>
      <c r="C5279" s="2">
        <f ca="1">IF(ISNUMBER(SEARCH(Лист2!$B$4,D:D)),MAX($C$3:OFFSET(C5279,-1,0))+1,0)</f>
        <v>0</v>
      </c>
      <c r="E5279" s="9" t="str">
        <f t="shared" ca="1" si="94"/>
        <v/>
      </c>
      <c r="F5279" s="4" t="s">
        <v>30</v>
      </c>
      <c r="G5279" s="2">
        <f>IF(ISNUMBER(SEARCH(Лист2!$B$4,F:F)),1,0)</f>
        <v>0</v>
      </c>
      <c r="H5279" s="3">
        <f ca="1">IF(AND(I5279&lt;&gt;I5278,ISNUMBER(SEARCH(Лист2!$B$5,I:I)),G5279=1),MAX($H$3:OFFSET(H5279,-1,0))+1,0)</f>
        <v>0</v>
      </c>
      <c r="I5279" s="3" t="s">
        <v>292</v>
      </c>
      <c r="K5279" s="2">
        <f>IF(ISNUMBER(SEARCH(Лист2!$B$4,F:F)),1,0)</f>
        <v>0</v>
      </c>
      <c r="L5279" s="14">
        <f>IF(ISNUMBER(SEARCH(Лист2!$B$5,I:I)),1,0)+K5279</f>
        <v>0</v>
      </c>
      <c r="M5279" s="3">
        <f ca="1">IF(AND(N5279&lt;&gt;N5278,ISNUMBER(SEARCH(Лист2!$B$6,N:N)),L5279=2),MAX($M$3:OFFSET(M5279,-1,0))+1,0)</f>
        <v>0</v>
      </c>
      <c r="N5279" s="3" t="s">
        <v>602</v>
      </c>
    </row>
    <row r="5280" spans="1:14" x14ac:dyDescent="0.25">
      <c r="A5280" s="1" t="s">
        <v>13931</v>
      </c>
      <c r="B5280" s="3" t="s">
        <v>8904</v>
      </c>
      <c r="C5280" s="2">
        <f ca="1">IF(ISNUMBER(SEARCH(Лист2!$B$4,D:D)),MAX($C$3:OFFSET(C5280,-1,0))+1,0)</f>
        <v>0</v>
      </c>
      <c r="E5280" s="9" t="str">
        <f t="shared" ca="1" si="94"/>
        <v/>
      </c>
      <c r="F5280" s="4" t="s">
        <v>30</v>
      </c>
      <c r="G5280" s="2">
        <f>IF(ISNUMBER(SEARCH(Лист2!$B$4,F:F)),1,0)</f>
        <v>0</v>
      </c>
      <c r="H5280" s="3">
        <f ca="1">IF(AND(I5280&lt;&gt;I5279,ISNUMBER(SEARCH(Лист2!$B$5,I:I)),G5280=1),MAX($H$3:OFFSET(H5280,-1,0))+1,0)</f>
        <v>0</v>
      </c>
      <c r="I5280" s="3" t="s">
        <v>292</v>
      </c>
      <c r="K5280" s="2">
        <f>IF(ISNUMBER(SEARCH(Лист2!$B$4,F:F)),1,0)</f>
        <v>0</v>
      </c>
      <c r="L5280" s="14">
        <f>IF(ISNUMBER(SEARCH(Лист2!$B$5,I:I)),1,0)+K5280</f>
        <v>0</v>
      </c>
      <c r="M5280" s="3">
        <f ca="1">IF(AND(N5280&lt;&gt;N5279,ISNUMBER(SEARCH(Лист2!$B$6,N:N)),L5280=2),MAX($M$3:OFFSET(M5280,-1,0))+1,0)</f>
        <v>0</v>
      </c>
      <c r="N5280" s="3" t="s">
        <v>3163</v>
      </c>
    </row>
    <row r="5281" spans="1:14" x14ac:dyDescent="0.25">
      <c r="A5281" s="1" t="s">
        <v>13932</v>
      </c>
      <c r="B5281" s="3" t="s">
        <v>8905</v>
      </c>
      <c r="C5281" s="2">
        <f ca="1">IF(ISNUMBER(SEARCH(Лист2!$B$4,D:D)),MAX($C$3:OFFSET(C5281,-1,0))+1,0)</f>
        <v>0</v>
      </c>
      <c r="E5281" s="9" t="str">
        <f t="shared" ca="1" si="94"/>
        <v/>
      </c>
      <c r="F5281" s="4" t="s">
        <v>30</v>
      </c>
      <c r="G5281" s="2">
        <f>IF(ISNUMBER(SEARCH(Лист2!$B$4,F:F)),1,0)</f>
        <v>0</v>
      </c>
      <c r="H5281" s="3">
        <f ca="1">IF(AND(I5281&lt;&gt;I5280,ISNUMBER(SEARCH(Лист2!$B$5,I:I)),G5281=1),MAX($H$3:OFFSET(H5281,-1,0))+1,0)</f>
        <v>0</v>
      </c>
      <c r="I5281" s="3" t="s">
        <v>292</v>
      </c>
      <c r="K5281" s="2">
        <f>IF(ISNUMBER(SEARCH(Лист2!$B$4,F:F)),1,0)</f>
        <v>0</v>
      </c>
      <c r="L5281" s="14">
        <f>IF(ISNUMBER(SEARCH(Лист2!$B$5,I:I)),1,0)+K5281</f>
        <v>0</v>
      </c>
      <c r="M5281" s="3">
        <f ca="1">IF(AND(N5281&lt;&gt;N5280,ISNUMBER(SEARCH(Лист2!$B$6,N:N)),L5281=2),MAX($M$3:OFFSET(M5281,-1,0))+1,0)</f>
        <v>0</v>
      </c>
      <c r="N5281" s="3" t="s">
        <v>3164</v>
      </c>
    </row>
    <row r="5282" spans="1:14" x14ac:dyDescent="0.25">
      <c r="A5282" s="1" t="s">
        <v>13933</v>
      </c>
      <c r="B5282" s="3" t="s">
        <v>8906</v>
      </c>
      <c r="C5282" s="2">
        <f ca="1">IF(ISNUMBER(SEARCH(Лист2!$B$4,D:D)),MAX($C$3:OFFSET(C5282,-1,0))+1,0)</f>
        <v>0</v>
      </c>
      <c r="E5282" s="9" t="str">
        <f t="shared" ca="1" si="94"/>
        <v/>
      </c>
      <c r="F5282" s="4" t="s">
        <v>30</v>
      </c>
      <c r="G5282" s="2">
        <f>IF(ISNUMBER(SEARCH(Лист2!$B$4,F:F)),1,0)</f>
        <v>0</v>
      </c>
      <c r="H5282" s="3">
        <f ca="1">IF(AND(I5282&lt;&gt;I5281,ISNUMBER(SEARCH(Лист2!$B$5,I:I)),G5282=1),MAX($H$3:OFFSET(H5282,-1,0))+1,0)</f>
        <v>0</v>
      </c>
      <c r="I5282" s="3" t="s">
        <v>292</v>
      </c>
      <c r="K5282" s="2">
        <f>IF(ISNUMBER(SEARCH(Лист2!$B$4,F:F)),1,0)</f>
        <v>0</v>
      </c>
      <c r="L5282" s="14">
        <f>IF(ISNUMBER(SEARCH(Лист2!$B$5,I:I)),1,0)+K5282</f>
        <v>0</v>
      </c>
      <c r="M5282" s="3">
        <f ca="1">IF(AND(N5282&lt;&gt;N5281,ISNUMBER(SEARCH(Лист2!$B$6,N:N)),L5282=2),MAX($M$3:OFFSET(M5282,-1,0))+1,0)</f>
        <v>0</v>
      </c>
      <c r="N5282" s="3" t="s">
        <v>3165</v>
      </c>
    </row>
    <row r="5283" spans="1:14" x14ac:dyDescent="0.25">
      <c r="A5283" s="1" t="s">
        <v>13934</v>
      </c>
      <c r="B5283" s="3" t="s">
        <v>8907</v>
      </c>
      <c r="C5283" s="2">
        <f ca="1">IF(ISNUMBER(SEARCH(Лист2!$B$4,D:D)),MAX($C$3:OFFSET(C5283,-1,0))+1,0)</f>
        <v>0</v>
      </c>
      <c r="E5283" s="9" t="str">
        <f t="shared" ca="1" si="94"/>
        <v/>
      </c>
      <c r="F5283" s="4" t="s">
        <v>30</v>
      </c>
      <c r="G5283" s="2">
        <f>IF(ISNUMBER(SEARCH(Лист2!$B$4,F:F)),1,0)</f>
        <v>0</v>
      </c>
      <c r="H5283" s="3">
        <f ca="1">IF(AND(I5283&lt;&gt;I5282,ISNUMBER(SEARCH(Лист2!$B$5,I:I)),G5283=1),MAX($H$3:OFFSET(H5283,-1,0))+1,0)</f>
        <v>0</v>
      </c>
      <c r="I5283" s="3" t="s">
        <v>292</v>
      </c>
      <c r="K5283" s="2">
        <f>IF(ISNUMBER(SEARCH(Лист2!$B$4,F:F)),1,0)</f>
        <v>0</v>
      </c>
      <c r="L5283" s="14">
        <f>IF(ISNUMBER(SEARCH(Лист2!$B$5,I:I)),1,0)+K5283</f>
        <v>0</v>
      </c>
      <c r="M5283" s="3">
        <f ca="1">IF(AND(N5283&lt;&gt;N5282,ISNUMBER(SEARCH(Лист2!$B$6,N:N)),L5283=2),MAX($M$3:OFFSET(M5283,-1,0))+1,0)</f>
        <v>0</v>
      </c>
      <c r="N5283" s="3" t="s">
        <v>2122</v>
      </c>
    </row>
    <row r="5284" spans="1:14" x14ac:dyDescent="0.25">
      <c r="A5284" s="1" t="s">
        <v>13935</v>
      </c>
      <c r="B5284" s="3" t="s">
        <v>8908</v>
      </c>
      <c r="C5284" s="2">
        <f ca="1">IF(ISNUMBER(SEARCH(Лист2!$B$4,D:D)),MAX($C$3:OFFSET(C5284,-1,0))+1,0)</f>
        <v>0</v>
      </c>
      <c r="E5284" s="9" t="str">
        <f t="shared" ca="1" si="94"/>
        <v/>
      </c>
      <c r="F5284" s="4" t="s">
        <v>30</v>
      </c>
      <c r="G5284" s="2">
        <f>IF(ISNUMBER(SEARCH(Лист2!$B$4,F:F)),1,0)</f>
        <v>0</v>
      </c>
      <c r="H5284" s="3">
        <f ca="1">IF(AND(I5284&lt;&gt;I5283,ISNUMBER(SEARCH(Лист2!$B$5,I:I)),G5284=1),MAX($H$3:OFFSET(H5284,-1,0))+1,0)</f>
        <v>0</v>
      </c>
      <c r="I5284" s="3" t="s">
        <v>292</v>
      </c>
      <c r="K5284" s="2">
        <f>IF(ISNUMBER(SEARCH(Лист2!$B$4,F:F)),1,0)</f>
        <v>0</v>
      </c>
      <c r="L5284" s="14">
        <f>IF(ISNUMBER(SEARCH(Лист2!$B$5,I:I)),1,0)+K5284</f>
        <v>0</v>
      </c>
      <c r="M5284" s="3">
        <f ca="1">IF(AND(N5284&lt;&gt;N5283,ISNUMBER(SEARCH(Лист2!$B$6,N:N)),L5284=2),MAX($M$3:OFFSET(M5284,-1,0))+1,0)</f>
        <v>0</v>
      </c>
      <c r="N5284" s="3" t="s">
        <v>2054</v>
      </c>
    </row>
    <row r="5285" spans="1:14" x14ac:dyDescent="0.25">
      <c r="A5285" s="1" t="s">
        <v>13936</v>
      </c>
      <c r="B5285" s="3" t="s">
        <v>8909</v>
      </c>
      <c r="C5285" s="2">
        <f ca="1">IF(ISNUMBER(SEARCH(Лист2!$B$4,D:D)),MAX($C$3:OFFSET(C5285,-1,0))+1,0)</f>
        <v>0</v>
      </c>
      <c r="E5285" s="9" t="str">
        <f t="shared" ca="1" si="94"/>
        <v/>
      </c>
      <c r="F5285" s="4" t="s">
        <v>30</v>
      </c>
      <c r="G5285" s="2">
        <f>IF(ISNUMBER(SEARCH(Лист2!$B$4,F:F)),1,0)</f>
        <v>0</v>
      </c>
      <c r="H5285" s="3">
        <f ca="1">IF(AND(I5285&lt;&gt;I5284,ISNUMBER(SEARCH(Лист2!$B$5,I:I)),G5285=1),MAX($H$3:OFFSET(H5285,-1,0))+1,0)</f>
        <v>0</v>
      </c>
      <c r="I5285" s="3" t="s">
        <v>292</v>
      </c>
      <c r="K5285" s="2">
        <f>IF(ISNUMBER(SEARCH(Лист2!$B$4,F:F)),1,0)</f>
        <v>0</v>
      </c>
      <c r="L5285" s="14">
        <f>IF(ISNUMBER(SEARCH(Лист2!$B$5,I:I)),1,0)+K5285</f>
        <v>0</v>
      </c>
      <c r="M5285" s="3">
        <f ca="1">IF(AND(N5285&lt;&gt;N5284,ISNUMBER(SEARCH(Лист2!$B$6,N:N)),L5285=2),MAX($M$3:OFFSET(M5285,-1,0))+1,0)</f>
        <v>0</v>
      </c>
      <c r="N5285" s="3" t="s">
        <v>3166</v>
      </c>
    </row>
    <row r="5286" spans="1:14" x14ac:dyDescent="0.25">
      <c r="A5286" s="1" t="s">
        <v>13937</v>
      </c>
      <c r="B5286" s="3" t="s">
        <v>8910</v>
      </c>
      <c r="C5286" s="2">
        <f ca="1">IF(ISNUMBER(SEARCH(Лист2!$B$4,D:D)),MAX($C$3:OFFSET(C5286,-1,0))+1,0)</f>
        <v>0</v>
      </c>
      <c r="E5286" s="9" t="str">
        <f t="shared" ca="1" si="94"/>
        <v/>
      </c>
      <c r="F5286" s="4" t="s">
        <v>30</v>
      </c>
      <c r="G5286" s="2">
        <f>IF(ISNUMBER(SEARCH(Лист2!$B$4,F:F)),1,0)</f>
        <v>0</v>
      </c>
      <c r="H5286" s="3">
        <f ca="1">IF(AND(I5286&lt;&gt;I5285,ISNUMBER(SEARCH(Лист2!$B$5,I:I)),G5286=1),MAX($H$3:OFFSET(H5286,-1,0))+1,0)</f>
        <v>0</v>
      </c>
      <c r="I5286" s="3" t="s">
        <v>277</v>
      </c>
      <c r="K5286" s="2">
        <f>IF(ISNUMBER(SEARCH(Лист2!$B$4,F:F)),1,0)</f>
        <v>0</v>
      </c>
      <c r="L5286" s="14">
        <f>IF(ISNUMBER(SEARCH(Лист2!$B$5,I:I)),1,0)+K5286</f>
        <v>0</v>
      </c>
      <c r="M5286" s="3">
        <f ca="1">IF(AND(N5286&lt;&gt;N5285,ISNUMBER(SEARCH(Лист2!$B$6,N:N)),L5286=2),MAX($M$3:OFFSET(M5286,-1,0))+1,0)</f>
        <v>0</v>
      </c>
      <c r="N5286" s="3" t="s">
        <v>3167</v>
      </c>
    </row>
    <row r="5287" spans="1:14" x14ac:dyDescent="0.25">
      <c r="A5287" s="1" t="s">
        <v>13938</v>
      </c>
      <c r="B5287" s="3" t="s">
        <v>8911</v>
      </c>
      <c r="C5287" s="2">
        <f ca="1">IF(ISNUMBER(SEARCH(Лист2!$B$4,D:D)),MAX($C$3:OFFSET(C5287,-1,0))+1,0)</f>
        <v>0</v>
      </c>
      <c r="E5287" s="9" t="str">
        <f t="shared" ca="1" si="94"/>
        <v/>
      </c>
      <c r="F5287" s="4" t="s">
        <v>30</v>
      </c>
      <c r="G5287" s="2">
        <f>IF(ISNUMBER(SEARCH(Лист2!$B$4,F:F)),1,0)</f>
        <v>0</v>
      </c>
      <c r="H5287" s="3">
        <f ca="1">IF(AND(I5287&lt;&gt;I5286,ISNUMBER(SEARCH(Лист2!$B$5,I:I)),G5287=1),MAX($H$3:OFFSET(H5287,-1,0))+1,0)</f>
        <v>0</v>
      </c>
      <c r="I5287" s="3" t="s">
        <v>277</v>
      </c>
      <c r="K5287" s="2">
        <f>IF(ISNUMBER(SEARCH(Лист2!$B$4,F:F)),1,0)</f>
        <v>0</v>
      </c>
      <c r="L5287" s="14">
        <f>IF(ISNUMBER(SEARCH(Лист2!$B$5,I:I)),1,0)+K5287</f>
        <v>0</v>
      </c>
      <c r="M5287" s="3">
        <f ca="1">IF(AND(N5287&lt;&gt;N5286,ISNUMBER(SEARCH(Лист2!$B$6,N:N)),L5287=2),MAX($M$3:OFFSET(M5287,-1,0))+1,0)</f>
        <v>0</v>
      </c>
      <c r="N5287" s="3" t="s">
        <v>3168</v>
      </c>
    </row>
    <row r="5288" spans="1:14" x14ac:dyDescent="0.25">
      <c r="A5288" s="1" t="s">
        <v>13939</v>
      </c>
      <c r="B5288" s="3" t="s">
        <v>8912</v>
      </c>
      <c r="C5288" s="2">
        <f ca="1">IF(ISNUMBER(SEARCH(Лист2!$B$4,D:D)),MAX($C$3:OFFSET(C5288,-1,0))+1,0)</f>
        <v>0</v>
      </c>
      <c r="E5288" s="9" t="str">
        <f t="shared" ca="1" si="94"/>
        <v/>
      </c>
      <c r="F5288" s="4" t="s">
        <v>30</v>
      </c>
      <c r="G5288" s="2">
        <f>IF(ISNUMBER(SEARCH(Лист2!$B$4,F:F)),1,0)</f>
        <v>0</v>
      </c>
      <c r="H5288" s="3">
        <f ca="1">IF(AND(I5288&lt;&gt;I5287,ISNUMBER(SEARCH(Лист2!$B$5,I:I)),G5288=1),MAX($H$3:OFFSET(H5288,-1,0))+1,0)</f>
        <v>0</v>
      </c>
      <c r="I5288" s="3" t="s">
        <v>277</v>
      </c>
      <c r="K5288" s="2">
        <f>IF(ISNUMBER(SEARCH(Лист2!$B$4,F:F)),1,0)</f>
        <v>0</v>
      </c>
      <c r="L5288" s="14">
        <f>IF(ISNUMBER(SEARCH(Лист2!$B$5,I:I)),1,0)+K5288</f>
        <v>0</v>
      </c>
      <c r="M5288" s="3">
        <f ca="1">IF(AND(N5288&lt;&gt;N5287,ISNUMBER(SEARCH(Лист2!$B$6,N:N)),L5288=2),MAX($M$3:OFFSET(M5288,-1,0))+1,0)</f>
        <v>0</v>
      </c>
      <c r="N5288" s="3" t="s">
        <v>3169</v>
      </c>
    </row>
    <row r="5289" spans="1:14" x14ac:dyDescent="0.25">
      <c r="A5289" s="1" t="s">
        <v>13940</v>
      </c>
      <c r="B5289" s="3" t="s">
        <v>8913</v>
      </c>
      <c r="C5289" s="2">
        <f ca="1">IF(ISNUMBER(SEARCH(Лист2!$B$4,D:D)),MAX($C$3:OFFSET(C5289,-1,0))+1,0)</f>
        <v>0</v>
      </c>
      <c r="E5289" s="9" t="str">
        <f t="shared" ca="1" si="94"/>
        <v/>
      </c>
      <c r="F5289" s="4" t="s">
        <v>30</v>
      </c>
      <c r="G5289" s="2">
        <f>IF(ISNUMBER(SEARCH(Лист2!$B$4,F:F)),1,0)</f>
        <v>0</v>
      </c>
      <c r="H5289" s="3">
        <f ca="1">IF(AND(I5289&lt;&gt;I5288,ISNUMBER(SEARCH(Лист2!$B$5,I:I)),G5289=1),MAX($H$3:OFFSET(H5289,-1,0))+1,0)</f>
        <v>0</v>
      </c>
      <c r="I5289" s="3" t="s">
        <v>277</v>
      </c>
      <c r="K5289" s="2">
        <f>IF(ISNUMBER(SEARCH(Лист2!$B$4,F:F)),1,0)</f>
        <v>0</v>
      </c>
      <c r="L5289" s="14">
        <f>IF(ISNUMBER(SEARCH(Лист2!$B$5,I:I)),1,0)+K5289</f>
        <v>0</v>
      </c>
      <c r="M5289" s="3">
        <f ca="1">IF(AND(N5289&lt;&gt;N5288,ISNUMBER(SEARCH(Лист2!$B$6,N:N)),L5289=2),MAX($M$3:OFFSET(M5289,-1,0))+1,0)</f>
        <v>0</v>
      </c>
      <c r="N5289" s="3" t="s">
        <v>3170</v>
      </c>
    </row>
    <row r="5290" spans="1:14" x14ac:dyDescent="0.25">
      <c r="A5290" s="1" t="s">
        <v>13941</v>
      </c>
      <c r="B5290" s="3" t="s">
        <v>8914</v>
      </c>
      <c r="C5290" s="2">
        <f ca="1">IF(ISNUMBER(SEARCH(Лист2!$B$4,D:D)),MAX($C$3:OFFSET(C5290,-1,0))+1,0)</f>
        <v>0</v>
      </c>
      <c r="E5290" s="9" t="str">
        <f t="shared" ca="1" si="94"/>
        <v/>
      </c>
      <c r="F5290" s="4" t="s">
        <v>30</v>
      </c>
      <c r="G5290" s="2">
        <f>IF(ISNUMBER(SEARCH(Лист2!$B$4,F:F)),1,0)</f>
        <v>0</v>
      </c>
      <c r="H5290" s="3">
        <f ca="1">IF(AND(I5290&lt;&gt;I5289,ISNUMBER(SEARCH(Лист2!$B$5,I:I)),G5290=1),MAX($H$3:OFFSET(H5290,-1,0))+1,0)</f>
        <v>0</v>
      </c>
      <c r="I5290" s="3" t="s">
        <v>277</v>
      </c>
      <c r="K5290" s="2">
        <f>IF(ISNUMBER(SEARCH(Лист2!$B$4,F:F)),1,0)</f>
        <v>0</v>
      </c>
      <c r="L5290" s="14">
        <f>IF(ISNUMBER(SEARCH(Лист2!$B$5,I:I)),1,0)+K5290</f>
        <v>0</v>
      </c>
      <c r="M5290" s="3">
        <f ca="1">IF(AND(N5290&lt;&gt;N5289,ISNUMBER(SEARCH(Лист2!$B$6,N:N)),L5290=2),MAX($M$3:OFFSET(M5290,-1,0))+1,0)</f>
        <v>0</v>
      </c>
      <c r="N5290" s="3" t="s">
        <v>3171</v>
      </c>
    </row>
    <row r="5291" spans="1:14" x14ac:dyDescent="0.25">
      <c r="A5291" s="1" t="s">
        <v>13942</v>
      </c>
      <c r="B5291" s="3" t="s">
        <v>8915</v>
      </c>
      <c r="C5291" s="2">
        <f ca="1">IF(ISNUMBER(SEARCH(Лист2!$B$4,D:D)),MAX($C$3:OFFSET(C5291,-1,0))+1,0)</f>
        <v>0</v>
      </c>
      <c r="E5291" s="9" t="str">
        <f t="shared" ca="1" si="94"/>
        <v/>
      </c>
      <c r="F5291" s="4" t="s">
        <v>30</v>
      </c>
      <c r="G5291" s="2">
        <f>IF(ISNUMBER(SEARCH(Лист2!$B$4,F:F)),1,0)</f>
        <v>0</v>
      </c>
      <c r="H5291" s="3">
        <f ca="1">IF(AND(I5291&lt;&gt;I5290,ISNUMBER(SEARCH(Лист2!$B$5,I:I)),G5291=1),MAX($H$3:OFFSET(H5291,-1,0))+1,0)</f>
        <v>0</v>
      </c>
      <c r="I5291" s="3" t="s">
        <v>277</v>
      </c>
      <c r="K5291" s="2">
        <f>IF(ISNUMBER(SEARCH(Лист2!$B$4,F:F)),1,0)</f>
        <v>0</v>
      </c>
      <c r="L5291" s="14">
        <f>IF(ISNUMBER(SEARCH(Лист2!$B$5,I:I)),1,0)+K5291</f>
        <v>0</v>
      </c>
      <c r="M5291" s="3">
        <f ca="1">IF(AND(N5291&lt;&gt;N5290,ISNUMBER(SEARCH(Лист2!$B$6,N:N)),L5291=2),MAX($M$3:OFFSET(M5291,-1,0))+1,0)</f>
        <v>0</v>
      </c>
      <c r="N5291" s="3" t="s">
        <v>1385</v>
      </c>
    </row>
    <row r="5292" spans="1:14" x14ac:dyDescent="0.25">
      <c r="A5292" s="1" t="s">
        <v>13943</v>
      </c>
      <c r="B5292" s="3" t="s">
        <v>8916</v>
      </c>
      <c r="C5292" s="2">
        <f ca="1">IF(ISNUMBER(SEARCH(Лист2!$B$4,D:D)),MAX($C$3:OFFSET(C5292,-1,0))+1,0)</f>
        <v>0</v>
      </c>
      <c r="E5292" s="9" t="str">
        <f t="shared" ca="1" si="94"/>
        <v/>
      </c>
      <c r="F5292" s="4" t="s">
        <v>30</v>
      </c>
      <c r="G5292" s="2">
        <f>IF(ISNUMBER(SEARCH(Лист2!$B$4,F:F)),1,0)</f>
        <v>0</v>
      </c>
      <c r="H5292" s="3">
        <f ca="1">IF(AND(I5292&lt;&gt;I5291,ISNUMBER(SEARCH(Лист2!$B$5,I:I)),G5292=1),MAX($H$3:OFFSET(H5292,-1,0))+1,0)</f>
        <v>0</v>
      </c>
      <c r="I5292" s="3" t="s">
        <v>277</v>
      </c>
      <c r="K5292" s="2">
        <f>IF(ISNUMBER(SEARCH(Лист2!$B$4,F:F)),1,0)</f>
        <v>0</v>
      </c>
      <c r="L5292" s="14">
        <f>IF(ISNUMBER(SEARCH(Лист2!$B$5,I:I)),1,0)+K5292</f>
        <v>0</v>
      </c>
      <c r="M5292" s="3">
        <f ca="1">IF(AND(N5292&lt;&gt;N5291,ISNUMBER(SEARCH(Лист2!$B$6,N:N)),L5292=2),MAX($M$3:OFFSET(M5292,-1,0))+1,0)</f>
        <v>0</v>
      </c>
      <c r="N5292" s="3" t="s">
        <v>602</v>
      </c>
    </row>
    <row r="5293" spans="1:14" x14ac:dyDescent="0.25">
      <c r="A5293" s="1" t="s">
        <v>13944</v>
      </c>
      <c r="B5293" s="3" t="s">
        <v>8917</v>
      </c>
      <c r="C5293" s="2">
        <f ca="1">IF(ISNUMBER(SEARCH(Лист2!$B$4,D:D)),MAX($C$3:OFFSET(C5293,-1,0))+1,0)</f>
        <v>0</v>
      </c>
      <c r="E5293" s="9" t="str">
        <f t="shared" ca="1" si="94"/>
        <v/>
      </c>
      <c r="F5293" s="4" t="s">
        <v>30</v>
      </c>
      <c r="G5293" s="2">
        <f>IF(ISNUMBER(SEARCH(Лист2!$B$4,F:F)),1,0)</f>
        <v>0</v>
      </c>
      <c r="H5293" s="3">
        <f ca="1">IF(AND(I5293&lt;&gt;I5292,ISNUMBER(SEARCH(Лист2!$B$5,I:I)),G5293=1),MAX($H$3:OFFSET(H5293,-1,0))+1,0)</f>
        <v>0</v>
      </c>
      <c r="I5293" s="3" t="s">
        <v>277</v>
      </c>
      <c r="K5293" s="2">
        <f>IF(ISNUMBER(SEARCH(Лист2!$B$4,F:F)),1,0)</f>
        <v>0</v>
      </c>
      <c r="L5293" s="14">
        <f>IF(ISNUMBER(SEARCH(Лист2!$B$5,I:I)),1,0)+K5293</f>
        <v>0</v>
      </c>
      <c r="M5293" s="3">
        <f ca="1">IF(AND(N5293&lt;&gt;N5292,ISNUMBER(SEARCH(Лист2!$B$6,N:N)),L5293=2),MAX($M$3:OFFSET(M5293,-1,0))+1,0)</f>
        <v>0</v>
      </c>
      <c r="N5293" s="3" t="s">
        <v>3172</v>
      </c>
    </row>
    <row r="5294" spans="1:14" x14ac:dyDescent="0.25">
      <c r="A5294" s="1" t="s">
        <v>13945</v>
      </c>
      <c r="B5294" s="3" t="s">
        <v>8918</v>
      </c>
      <c r="C5294" s="2">
        <f ca="1">IF(ISNUMBER(SEARCH(Лист2!$B$4,D:D)),MAX($C$3:OFFSET(C5294,-1,0))+1,0)</f>
        <v>0</v>
      </c>
      <c r="E5294" s="9" t="str">
        <f t="shared" ca="1" si="94"/>
        <v/>
      </c>
      <c r="F5294" s="4" t="s">
        <v>30</v>
      </c>
      <c r="G5294" s="2">
        <f>IF(ISNUMBER(SEARCH(Лист2!$B$4,F:F)),1,0)</f>
        <v>0</v>
      </c>
      <c r="H5294" s="3">
        <f ca="1">IF(AND(I5294&lt;&gt;I5293,ISNUMBER(SEARCH(Лист2!$B$5,I:I)),G5294=1),MAX($H$3:OFFSET(H5294,-1,0))+1,0)</f>
        <v>0</v>
      </c>
      <c r="I5294" s="3" t="s">
        <v>277</v>
      </c>
      <c r="K5294" s="2">
        <f>IF(ISNUMBER(SEARCH(Лист2!$B$4,F:F)),1,0)</f>
        <v>0</v>
      </c>
      <c r="L5294" s="14">
        <f>IF(ISNUMBER(SEARCH(Лист2!$B$5,I:I)),1,0)+K5294</f>
        <v>0</v>
      </c>
      <c r="M5294" s="3">
        <f ca="1">IF(AND(N5294&lt;&gt;N5293,ISNUMBER(SEARCH(Лист2!$B$6,N:N)),L5294=2),MAX($M$3:OFFSET(M5294,-1,0))+1,0)</f>
        <v>0</v>
      </c>
      <c r="N5294" s="3" t="s">
        <v>3173</v>
      </c>
    </row>
    <row r="5295" spans="1:14" x14ac:dyDescent="0.25">
      <c r="A5295" s="1" t="s">
        <v>13946</v>
      </c>
      <c r="B5295" s="3" t="s">
        <v>8919</v>
      </c>
      <c r="C5295" s="2">
        <f ca="1">IF(ISNUMBER(SEARCH(Лист2!$B$4,D:D)),MAX($C$3:OFFSET(C5295,-1,0))+1,0)</f>
        <v>0</v>
      </c>
      <c r="E5295" s="9" t="str">
        <f t="shared" ca="1" si="94"/>
        <v/>
      </c>
      <c r="F5295" s="4" t="s">
        <v>30</v>
      </c>
      <c r="G5295" s="2">
        <f>IF(ISNUMBER(SEARCH(Лист2!$B$4,F:F)),1,0)</f>
        <v>0</v>
      </c>
      <c r="H5295" s="3">
        <f ca="1">IF(AND(I5295&lt;&gt;I5294,ISNUMBER(SEARCH(Лист2!$B$5,I:I)),G5295=1),MAX($H$3:OFFSET(H5295,-1,0))+1,0)</f>
        <v>0</v>
      </c>
      <c r="I5295" s="3" t="s">
        <v>277</v>
      </c>
      <c r="K5295" s="2">
        <f>IF(ISNUMBER(SEARCH(Лист2!$B$4,F:F)),1,0)</f>
        <v>0</v>
      </c>
      <c r="L5295" s="14">
        <f>IF(ISNUMBER(SEARCH(Лист2!$B$5,I:I)),1,0)+K5295</f>
        <v>0</v>
      </c>
      <c r="M5295" s="3">
        <f ca="1">IF(AND(N5295&lt;&gt;N5294,ISNUMBER(SEARCH(Лист2!$B$6,N:N)),L5295=2),MAX($M$3:OFFSET(M5295,-1,0))+1,0)</f>
        <v>0</v>
      </c>
      <c r="N5295" s="3" t="s">
        <v>3174</v>
      </c>
    </row>
    <row r="5296" spans="1:14" x14ac:dyDescent="0.25">
      <c r="A5296" s="1" t="s">
        <v>13947</v>
      </c>
      <c r="B5296" s="3" t="s">
        <v>8920</v>
      </c>
      <c r="C5296" s="2">
        <f ca="1">IF(ISNUMBER(SEARCH(Лист2!$B$4,D:D)),MAX($C$3:OFFSET(C5296,-1,0))+1,0)</f>
        <v>0</v>
      </c>
      <c r="E5296" s="9" t="str">
        <f t="shared" ca="1" si="94"/>
        <v/>
      </c>
      <c r="F5296" s="4" t="s">
        <v>30</v>
      </c>
      <c r="G5296" s="2">
        <f>IF(ISNUMBER(SEARCH(Лист2!$B$4,F:F)),1,0)</f>
        <v>0</v>
      </c>
      <c r="H5296" s="3">
        <f ca="1">IF(AND(I5296&lt;&gt;I5295,ISNUMBER(SEARCH(Лист2!$B$5,I:I)),G5296=1),MAX($H$3:OFFSET(H5296,-1,0))+1,0)</f>
        <v>0</v>
      </c>
      <c r="I5296" s="3" t="s">
        <v>277</v>
      </c>
      <c r="K5296" s="2">
        <f>IF(ISNUMBER(SEARCH(Лист2!$B$4,F:F)),1,0)</f>
        <v>0</v>
      </c>
      <c r="L5296" s="14">
        <f>IF(ISNUMBER(SEARCH(Лист2!$B$5,I:I)),1,0)+K5296</f>
        <v>0</v>
      </c>
      <c r="M5296" s="3">
        <f ca="1">IF(AND(N5296&lt;&gt;N5295,ISNUMBER(SEARCH(Лист2!$B$6,N:N)),L5296=2),MAX($M$3:OFFSET(M5296,-1,0))+1,0)</f>
        <v>0</v>
      </c>
      <c r="N5296" s="3" t="s">
        <v>3175</v>
      </c>
    </row>
    <row r="5297" spans="1:14" x14ac:dyDescent="0.25">
      <c r="A5297" s="1" t="s">
        <v>13948</v>
      </c>
      <c r="B5297" s="3" t="s">
        <v>8921</v>
      </c>
      <c r="C5297" s="2">
        <f ca="1">IF(ISNUMBER(SEARCH(Лист2!$B$4,D:D)),MAX($C$3:OFFSET(C5297,-1,0))+1,0)</f>
        <v>0</v>
      </c>
      <c r="E5297" s="9" t="str">
        <f t="shared" ca="1" si="94"/>
        <v/>
      </c>
      <c r="F5297" s="4" t="s">
        <v>30</v>
      </c>
      <c r="G5297" s="2">
        <f>IF(ISNUMBER(SEARCH(Лист2!$B$4,F:F)),1,0)</f>
        <v>0</v>
      </c>
      <c r="H5297" s="3">
        <f ca="1">IF(AND(I5297&lt;&gt;I5296,ISNUMBER(SEARCH(Лист2!$B$5,I:I)),G5297=1),MAX($H$3:OFFSET(H5297,-1,0))+1,0)</f>
        <v>0</v>
      </c>
      <c r="I5297" s="3" t="s">
        <v>277</v>
      </c>
      <c r="K5297" s="2">
        <f>IF(ISNUMBER(SEARCH(Лист2!$B$4,F:F)),1,0)</f>
        <v>0</v>
      </c>
      <c r="L5297" s="14">
        <f>IF(ISNUMBER(SEARCH(Лист2!$B$5,I:I)),1,0)+K5297</f>
        <v>0</v>
      </c>
      <c r="M5297" s="3">
        <f ca="1">IF(AND(N5297&lt;&gt;N5296,ISNUMBER(SEARCH(Лист2!$B$6,N:N)),L5297=2),MAX($M$3:OFFSET(M5297,-1,0))+1,0)</f>
        <v>0</v>
      </c>
      <c r="N5297" s="3" t="s">
        <v>2225</v>
      </c>
    </row>
    <row r="5298" spans="1:14" x14ac:dyDescent="0.25">
      <c r="A5298" s="1" t="s">
        <v>13949</v>
      </c>
      <c r="B5298" s="3" t="s">
        <v>8922</v>
      </c>
      <c r="C5298" s="2">
        <f ca="1">IF(ISNUMBER(SEARCH(Лист2!$B$4,D:D)),MAX($C$3:OFFSET(C5298,-1,0))+1,0)</f>
        <v>0</v>
      </c>
      <c r="E5298" s="9" t="str">
        <f t="shared" ca="1" si="94"/>
        <v/>
      </c>
      <c r="F5298" s="4" t="s">
        <v>30</v>
      </c>
      <c r="G5298" s="2">
        <f>IF(ISNUMBER(SEARCH(Лист2!$B$4,F:F)),1,0)</f>
        <v>0</v>
      </c>
      <c r="H5298" s="3">
        <f ca="1">IF(AND(I5298&lt;&gt;I5297,ISNUMBER(SEARCH(Лист2!$B$5,I:I)),G5298=1),MAX($H$3:OFFSET(H5298,-1,0))+1,0)</f>
        <v>0</v>
      </c>
      <c r="I5298" s="3" t="s">
        <v>277</v>
      </c>
      <c r="K5298" s="2">
        <f>IF(ISNUMBER(SEARCH(Лист2!$B$4,F:F)),1,0)</f>
        <v>0</v>
      </c>
      <c r="L5298" s="14">
        <f>IF(ISNUMBER(SEARCH(Лист2!$B$5,I:I)),1,0)+K5298</f>
        <v>0</v>
      </c>
      <c r="M5298" s="3">
        <f ca="1">IF(AND(N5298&lt;&gt;N5297,ISNUMBER(SEARCH(Лист2!$B$6,N:N)),L5298=2),MAX($M$3:OFFSET(M5298,-1,0))+1,0)</f>
        <v>0</v>
      </c>
      <c r="N5298" s="3" t="s">
        <v>3152</v>
      </c>
    </row>
    <row r="5299" spans="1:14" x14ac:dyDescent="0.25">
      <c r="A5299" s="1" t="s">
        <v>13950</v>
      </c>
      <c r="B5299" s="3" t="s">
        <v>8923</v>
      </c>
      <c r="C5299" s="2">
        <f ca="1">IF(ISNUMBER(SEARCH(Лист2!$B$4,D:D)),MAX($C$3:OFFSET(C5299,-1,0))+1,0)</f>
        <v>0</v>
      </c>
      <c r="E5299" s="9" t="str">
        <f t="shared" ca="1" si="94"/>
        <v/>
      </c>
      <c r="F5299" s="4" t="s">
        <v>30</v>
      </c>
      <c r="G5299" s="2">
        <f>IF(ISNUMBER(SEARCH(Лист2!$B$4,F:F)),1,0)</f>
        <v>0</v>
      </c>
      <c r="H5299" s="3">
        <f ca="1">IF(AND(I5299&lt;&gt;I5298,ISNUMBER(SEARCH(Лист2!$B$5,I:I)),G5299=1),MAX($H$3:OFFSET(H5299,-1,0))+1,0)</f>
        <v>0</v>
      </c>
      <c r="I5299" s="3" t="s">
        <v>277</v>
      </c>
      <c r="K5299" s="2">
        <f>IF(ISNUMBER(SEARCH(Лист2!$B$4,F:F)),1,0)</f>
        <v>0</v>
      </c>
      <c r="L5299" s="14">
        <f>IF(ISNUMBER(SEARCH(Лист2!$B$5,I:I)),1,0)+K5299</f>
        <v>0</v>
      </c>
      <c r="M5299" s="3">
        <f ca="1">IF(AND(N5299&lt;&gt;N5298,ISNUMBER(SEARCH(Лист2!$B$6,N:N)),L5299=2),MAX($M$3:OFFSET(M5299,-1,0))+1,0)</f>
        <v>0</v>
      </c>
      <c r="N5299" s="3" t="s">
        <v>3166</v>
      </c>
    </row>
    <row r="5300" spans="1:14" x14ac:dyDescent="0.25">
      <c r="A5300" s="1" t="s">
        <v>13951</v>
      </c>
      <c r="B5300" s="3" t="s">
        <v>8924</v>
      </c>
      <c r="C5300" s="2">
        <f ca="1">IF(ISNUMBER(SEARCH(Лист2!$B$4,D:D)),MAX($C$3:OFFSET(C5300,-1,0))+1,0)</f>
        <v>0</v>
      </c>
      <c r="E5300" s="9" t="str">
        <f t="shared" ca="1" si="94"/>
        <v/>
      </c>
      <c r="F5300" s="4" t="s">
        <v>31</v>
      </c>
      <c r="G5300" s="2">
        <f>IF(ISNUMBER(SEARCH(Лист2!$B$4,F:F)),1,0)</f>
        <v>0</v>
      </c>
      <c r="H5300" s="3">
        <f ca="1">IF(AND(I5300&lt;&gt;I5299,ISNUMBER(SEARCH(Лист2!$B$5,I:I)),G5300=1),MAX($H$3:OFFSET(H5300,-1,0))+1,0)</f>
        <v>0</v>
      </c>
      <c r="I5300" s="3" t="s">
        <v>419</v>
      </c>
      <c r="K5300" s="2">
        <f>IF(ISNUMBER(SEARCH(Лист2!$B$4,F:F)),1,0)</f>
        <v>0</v>
      </c>
      <c r="L5300" s="14">
        <f>IF(ISNUMBER(SEARCH(Лист2!$B$5,I:I)),1,0)+K5300</f>
        <v>0</v>
      </c>
      <c r="M5300" s="3">
        <f ca="1">IF(AND(N5300&lt;&gt;N5299,ISNUMBER(SEARCH(Лист2!$B$6,N:N)),L5300=2),MAX($M$3:OFFSET(M5300,-1,0))+1,0)</f>
        <v>0</v>
      </c>
      <c r="N5300" s="3" t="s">
        <v>499</v>
      </c>
    </row>
    <row r="5301" spans="1:14" x14ac:dyDescent="0.25">
      <c r="A5301" s="1" t="s">
        <v>13952</v>
      </c>
      <c r="B5301" s="3" t="s">
        <v>8925</v>
      </c>
      <c r="C5301" s="2">
        <f ca="1">IF(ISNUMBER(SEARCH(Лист2!$B$4,D:D)),MAX($C$3:OFFSET(C5301,-1,0))+1,0)</f>
        <v>0</v>
      </c>
      <c r="E5301" s="9" t="str">
        <f t="shared" ca="1" si="94"/>
        <v/>
      </c>
      <c r="F5301" s="4" t="s">
        <v>31</v>
      </c>
      <c r="G5301" s="2">
        <f>IF(ISNUMBER(SEARCH(Лист2!$B$4,F:F)),1,0)</f>
        <v>0</v>
      </c>
      <c r="H5301" s="3">
        <f ca="1">IF(AND(I5301&lt;&gt;I5300,ISNUMBER(SEARCH(Лист2!$B$5,I:I)),G5301=1),MAX($H$3:OFFSET(H5301,-1,0))+1,0)</f>
        <v>0</v>
      </c>
      <c r="I5301" s="3" t="s">
        <v>419</v>
      </c>
      <c r="K5301" s="2">
        <f>IF(ISNUMBER(SEARCH(Лист2!$B$4,F:F)),1,0)</f>
        <v>0</v>
      </c>
      <c r="L5301" s="14">
        <f>IF(ISNUMBER(SEARCH(Лист2!$B$5,I:I)),1,0)+K5301</f>
        <v>0</v>
      </c>
      <c r="M5301" s="3">
        <f ca="1">IF(AND(N5301&lt;&gt;N5300,ISNUMBER(SEARCH(Лист2!$B$6,N:N)),L5301=2),MAX($M$3:OFFSET(M5301,-1,0))+1,0)</f>
        <v>0</v>
      </c>
      <c r="N5301" s="3" t="s">
        <v>500</v>
      </c>
    </row>
    <row r="5302" spans="1:14" x14ac:dyDescent="0.25">
      <c r="A5302" s="1" t="s">
        <v>13953</v>
      </c>
      <c r="B5302" s="3" t="s">
        <v>8926</v>
      </c>
      <c r="C5302" s="2">
        <f ca="1">IF(ISNUMBER(SEARCH(Лист2!$B$4,D:D)),MAX($C$3:OFFSET(C5302,-1,0))+1,0)</f>
        <v>0</v>
      </c>
      <c r="E5302" s="9" t="str">
        <f t="shared" ca="1" si="94"/>
        <v/>
      </c>
      <c r="F5302" s="4" t="s">
        <v>31</v>
      </c>
      <c r="G5302" s="2">
        <f>IF(ISNUMBER(SEARCH(Лист2!$B$4,F:F)),1,0)</f>
        <v>0</v>
      </c>
      <c r="H5302" s="3">
        <f ca="1">IF(AND(I5302&lt;&gt;I5301,ISNUMBER(SEARCH(Лист2!$B$5,I:I)),G5302=1),MAX($H$3:OFFSET(H5302,-1,0))+1,0)</f>
        <v>0</v>
      </c>
      <c r="I5302" s="3" t="s">
        <v>419</v>
      </c>
      <c r="K5302" s="2">
        <f>IF(ISNUMBER(SEARCH(Лист2!$B$4,F:F)),1,0)</f>
        <v>0</v>
      </c>
      <c r="L5302" s="14">
        <f>IF(ISNUMBER(SEARCH(Лист2!$B$5,I:I)),1,0)+K5302</f>
        <v>0</v>
      </c>
      <c r="M5302" s="3">
        <f ca="1">IF(AND(N5302&lt;&gt;N5301,ISNUMBER(SEARCH(Лист2!$B$6,N:N)),L5302=2),MAX($M$3:OFFSET(M5302,-1,0))+1,0)</f>
        <v>0</v>
      </c>
      <c r="N5302" s="3" t="s">
        <v>3176</v>
      </c>
    </row>
    <row r="5303" spans="1:14" x14ac:dyDescent="0.25">
      <c r="A5303" s="1" t="s">
        <v>13954</v>
      </c>
      <c r="B5303" s="3" t="s">
        <v>8927</v>
      </c>
      <c r="C5303" s="2">
        <f ca="1">IF(ISNUMBER(SEARCH(Лист2!$B$4,D:D)),MAX($C$3:OFFSET(C5303,-1,0))+1,0)</f>
        <v>0</v>
      </c>
      <c r="E5303" s="9" t="str">
        <f t="shared" ca="1" si="94"/>
        <v/>
      </c>
      <c r="F5303" s="4" t="s">
        <v>31</v>
      </c>
      <c r="G5303" s="2">
        <f>IF(ISNUMBER(SEARCH(Лист2!$B$4,F:F)),1,0)</f>
        <v>0</v>
      </c>
      <c r="H5303" s="3">
        <f ca="1">IF(AND(I5303&lt;&gt;I5302,ISNUMBER(SEARCH(Лист2!$B$5,I:I)),G5303=1),MAX($H$3:OFFSET(H5303,-1,0))+1,0)</f>
        <v>0</v>
      </c>
      <c r="I5303" s="3" t="s">
        <v>419</v>
      </c>
      <c r="K5303" s="2">
        <f>IF(ISNUMBER(SEARCH(Лист2!$B$4,F:F)),1,0)</f>
        <v>0</v>
      </c>
      <c r="L5303" s="14">
        <f>IF(ISNUMBER(SEARCH(Лист2!$B$5,I:I)),1,0)+K5303</f>
        <v>0</v>
      </c>
      <c r="M5303" s="3">
        <f ca="1">IF(AND(N5303&lt;&gt;N5302,ISNUMBER(SEARCH(Лист2!$B$6,N:N)),L5303=2),MAX($M$3:OFFSET(M5303,-1,0))+1,0)</f>
        <v>0</v>
      </c>
      <c r="N5303" s="3" t="s">
        <v>3177</v>
      </c>
    </row>
    <row r="5304" spans="1:14" x14ac:dyDescent="0.25">
      <c r="A5304" s="1" t="s">
        <v>13955</v>
      </c>
      <c r="B5304" s="3" t="s">
        <v>8928</v>
      </c>
      <c r="C5304" s="2">
        <f ca="1">IF(ISNUMBER(SEARCH(Лист2!$B$4,D:D)),MAX($C$3:OFFSET(C5304,-1,0))+1,0)</f>
        <v>0</v>
      </c>
      <c r="E5304" s="9" t="str">
        <f t="shared" ca="1" si="94"/>
        <v/>
      </c>
      <c r="F5304" s="4" t="s">
        <v>31</v>
      </c>
      <c r="G5304" s="2">
        <f>IF(ISNUMBER(SEARCH(Лист2!$B$4,F:F)),1,0)</f>
        <v>0</v>
      </c>
      <c r="H5304" s="3">
        <f ca="1">IF(AND(I5304&lt;&gt;I5303,ISNUMBER(SEARCH(Лист2!$B$5,I:I)),G5304=1),MAX($H$3:OFFSET(H5304,-1,0))+1,0)</f>
        <v>0</v>
      </c>
      <c r="I5304" s="3" t="s">
        <v>419</v>
      </c>
      <c r="K5304" s="2">
        <f>IF(ISNUMBER(SEARCH(Лист2!$B$4,F:F)),1,0)</f>
        <v>0</v>
      </c>
      <c r="L5304" s="14">
        <f>IF(ISNUMBER(SEARCH(Лист2!$B$5,I:I)),1,0)+K5304</f>
        <v>0</v>
      </c>
      <c r="M5304" s="3">
        <f ca="1">IF(AND(N5304&lt;&gt;N5303,ISNUMBER(SEARCH(Лист2!$B$6,N:N)),L5304=2),MAX($M$3:OFFSET(M5304,-1,0))+1,0)</f>
        <v>0</v>
      </c>
      <c r="N5304" s="3" t="s">
        <v>3178</v>
      </c>
    </row>
    <row r="5305" spans="1:14" x14ac:dyDescent="0.25">
      <c r="A5305" s="1" t="s">
        <v>13956</v>
      </c>
      <c r="B5305" s="3" t="s">
        <v>8929</v>
      </c>
      <c r="C5305" s="2">
        <f ca="1">IF(ISNUMBER(SEARCH(Лист2!$B$4,D:D)),MAX($C$3:OFFSET(C5305,-1,0))+1,0)</f>
        <v>0</v>
      </c>
      <c r="E5305" s="9" t="str">
        <f t="shared" ca="1" si="94"/>
        <v/>
      </c>
      <c r="F5305" s="4" t="s">
        <v>31</v>
      </c>
      <c r="G5305" s="2">
        <f>IF(ISNUMBER(SEARCH(Лист2!$B$4,F:F)),1,0)</f>
        <v>0</v>
      </c>
      <c r="H5305" s="3">
        <f ca="1">IF(AND(I5305&lt;&gt;I5304,ISNUMBER(SEARCH(Лист2!$B$5,I:I)),G5305=1),MAX($H$3:OFFSET(H5305,-1,0))+1,0)</f>
        <v>0</v>
      </c>
      <c r="I5305" s="3" t="s">
        <v>419</v>
      </c>
      <c r="K5305" s="2">
        <f>IF(ISNUMBER(SEARCH(Лист2!$B$4,F:F)),1,0)</f>
        <v>0</v>
      </c>
      <c r="L5305" s="14">
        <f>IF(ISNUMBER(SEARCH(Лист2!$B$5,I:I)),1,0)+K5305</f>
        <v>0</v>
      </c>
      <c r="M5305" s="3">
        <f ca="1">IF(AND(N5305&lt;&gt;N5304,ISNUMBER(SEARCH(Лист2!$B$6,N:N)),L5305=2),MAX($M$3:OFFSET(M5305,-1,0))+1,0)</f>
        <v>0</v>
      </c>
      <c r="N5305" s="3" t="s">
        <v>3179</v>
      </c>
    </row>
    <row r="5306" spans="1:14" x14ac:dyDescent="0.25">
      <c r="A5306" s="1" t="s">
        <v>13957</v>
      </c>
      <c r="B5306" s="3" t="s">
        <v>8930</v>
      </c>
      <c r="C5306" s="2">
        <f ca="1">IF(ISNUMBER(SEARCH(Лист2!$B$4,D:D)),MAX($C$3:OFFSET(C5306,-1,0))+1,0)</f>
        <v>0</v>
      </c>
      <c r="E5306" s="9" t="str">
        <f t="shared" ca="1" si="94"/>
        <v/>
      </c>
      <c r="F5306" s="4" t="s">
        <v>31</v>
      </c>
      <c r="G5306" s="2">
        <f>IF(ISNUMBER(SEARCH(Лист2!$B$4,F:F)),1,0)</f>
        <v>0</v>
      </c>
      <c r="H5306" s="3">
        <f ca="1">IF(AND(I5306&lt;&gt;I5305,ISNUMBER(SEARCH(Лист2!$B$5,I:I)),G5306=1),MAX($H$3:OFFSET(H5306,-1,0))+1,0)</f>
        <v>0</v>
      </c>
      <c r="I5306" s="3" t="s">
        <v>419</v>
      </c>
      <c r="K5306" s="2">
        <f>IF(ISNUMBER(SEARCH(Лист2!$B$4,F:F)),1,0)</f>
        <v>0</v>
      </c>
      <c r="L5306" s="14">
        <f>IF(ISNUMBER(SEARCH(Лист2!$B$5,I:I)),1,0)+K5306</f>
        <v>0</v>
      </c>
      <c r="M5306" s="3">
        <f ca="1">IF(AND(N5306&lt;&gt;N5305,ISNUMBER(SEARCH(Лист2!$B$6,N:N)),L5306=2),MAX($M$3:OFFSET(M5306,-1,0))+1,0)</f>
        <v>0</v>
      </c>
      <c r="N5306" s="3" t="s">
        <v>3180</v>
      </c>
    </row>
    <row r="5307" spans="1:14" x14ac:dyDescent="0.25">
      <c r="A5307" s="1" t="s">
        <v>13958</v>
      </c>
      <c r="B5307" s="3" t="s">
        <v>8931</v>
      </c>
      <c r="C5307" s="2">
        <f ca="1">IF(ISNUMBER(SEARCH(Лист2!$B$4,D:D)),MAX($C$3:OFFSET(C5307,-1,0))+1,0)</f>
        <v>0</v>
      </c>
      <c r="E5307" s="9" t="str">
        <f t="shared" ca="1" si="94"/>
        <v/>
      </c>
      <c r="F5307" s="4" t="s">
        <v>31</v>
      </c>
      <c r="G5307" s="2">
        <f>IF(ISNUMBER(SEARCH(Лист2!$B$4,F:F)),1,0)</f>
        <v>0</v>
      </c>
      <c r="H5307" s="3">
        <f ca="1">IF(AND(I5307&lt;&gt;I5306,ISNUMBER(SEARCH(Лист2!$B$5,I:I)),G5307=1),MAX($H$3:OFFSET(H5307,-1,0))+1,0)</f>
        <v>0</v>
      </c>
      <c r="I5307" s="3" t="s">
        <v>419</v>
      </c>
      <c r="K5307" s="2">
        <f>IF(ISNUMBER(SEARCH(Лист2!$B$4,F:F)),1,0)</f>
        <v>0</v>
      </c>
      <c r="L5307" s="14">
        <f>IF(ISNUMBER(SEARCH(Лист2!$B$5,I:I)),1,0)+K5307</f>
        <v>0</v>
      </c>
      <c r="M5307" s="3">
        <f ca="1">IF(AND(N5307&lt;&gt;N5306,ISNUMBER(SEARCH(Лист2!$B$6,N:N)),L5307=2),MAX($M$3:OFFSET(M5307,-1,0))+1,0)</f>
        <v>0</v>
      </c>
      <c r="N5307" s="3" t="s">
        <v>3181</v>
      </c>
    </row>
    <row r="5308" spans="1:14" x14ac:dyDescent="0.25">
      <c r="A5308" s="1" t="s">
        <v>13959</v>
      </c>
      <c r="B5308" s="3" t="s">
        <v>8932</v>
      </c>
      <c r="C5308" s="2">
        <f ca="1">IF(ISNUMBER(SEARCH(Лист2!$B$4,D:D)),MAX($C$3:OFFSET(C5308,-1,0))+1,0)</f>
        <v>0</v>
      </c>
      <c r="E5308" s="9" t="str">
        <f t="shared" ca="1" si="94"/>
        <v/>
      </c>
      <c r="F5308" s="4" t="s">
        <v>31</v>
      </c>
      <c r="G5308" s="2">
        <f>IF(ISNUMBER(SEARCH(Лист2!$B$4,F:F)),1,0)</f>
        <v>0</v>
      </c>
      <c r="H5308" s="3">
        <f ca="1">IF(AND(I5308&lt;&gt;I5307,ISNUMBER(SEARCH(Лист2!$B$5,I:I)),G5308=1),MAX($H$3:OFFSET(H5308,-1,0))+1,0)</f>
        <v>0</v>
      </c>
      <c r="I5308" s="3" t="s">
        <v>419</v>
      </c>
      <c r="K5308" s="2">
        <f>IF(ISNUMBER(SEARCH(Лист2!$B$4,F:F)),1,0)</f>
        <v>0</v>
      </c>
      <c r="L5308" s="14">
        <f>IF(ISNUMBER(SEARCH(Лист2!$B$5,I:I)),1,0)+K5308</f>
        <v>0</v>
      </c>
      <c r="M5308" s="3">
        <f ca="1">IF(AND(N5308&lt;&gt;N5307,ISNUMBER(SEARCH(Лист2!$B$6,N:N)),L5308=2),MAX($M$3:OFFSET(M5308,-1,0))+1,0)</f>
        <v>0</v>
      </c>
      <c r="N5308" s="3" t="s">
        <v>3182</v>
      </c>
    </row>
    <row r="5309" spans="1:14" x14ac:dyDescent="0.25">
      <c r="A5309" s="1" t="s">
        <v>13960</v>
      </c>
      <c r="B5309" s="3" t="s">
        <v>8933</v>
      </c>
      <c r="C5309" s="2">
        <f ca="1">IF(ISNUMBER(SEARCH(Лист2!$B$4,D:D)),MAX($C$3:OFFSET(C5309,-1,0))+1,0)</f>
        <v>0</v>
      </c>
      <c r="E5309" s="9" t="str">
        <f t="shared" ca="1" si="94"/>
        <v/>
      </c>
      <c r="F5309" s="4" t="s">
        <v>31</v>
      </c>
      <c r="G5309" s="2">
        <f>IF(ISNUMBER(SEARCH(Лист2!$B$4,F:F)),1,0)</f>
        <v>0</v>
      </c>
      <c r="H5309" s="3">
        <f ca="1">IF(AND(I5309&lt;&gt;I5308,ISNUMBER(SEARCH(Лист2!$B$5,I:I)),G5309=1),MAX($H$3:OFFSET(H5309,-1,0))+1,0)</f>
        <v>0</v>
      </c>
      <c r="I5309" s="3" t="s">
        <v>419</v>
      </c>
      <c r="K5309" s="2">
        <f>IF(ISNUMBER(SEARCH(Лист2!$B$4,F:F)),1,0)</f>
        <v>0</v>
      </c>
      <c r="L5309" s="14">
        <f>IF(ISNUMBER(SEARCH(Лист2!$B$5,I:I)),1,0)+K5309</f>
        <v>0</v>
      </c>
      <c r="M5309" s="3">
        <f ca="1">IF(AND(N5309&lt;&gt;N5308,ISNUMBER(SEARCH(Лист2!$B$6,N:N)),L5309=2),MAX($M$3:OFFSET(M5309,-1,0))+1,0)</f>
        <v>0</v>
      </c>
      <c r="N5309" s="3" t="s">
        <v>602</v>
      </c>
    </row>
    <row r="5310" spans="1:14" x14ac:dyDescent="0.25">
      <c r="A5310" s="1" t="s">
        <v>13961</v>
      </c>
      <c r="B5310" s="3" t="s">
        <v>8934</v>
      </c>
      <c r="C5310" s="2">
        <f ca="1">IF(ISNUMBER(SEARCH(Лист2!$B$4,D:D)),MAX($C$3:OFFSET(C5310,-1,0))+1,0)</f>
        <v>0</v>
      </c>
      <c r="E5310" s="9" t="str">
        <f t="shared" ca="1" si="94"/>
        <v/>
      </c>
      <c r="F5310" s="4" t="s">
        <v>31</v>
      </c>
      <c r="G5310" s="2">
        <f>IF(ISNUMBER(SEARCH(Лист2!$B$4,F:F)),1,0)</f>
        <v>0</v>
      </c>
      <c r="H5310" s="3">
        <f ca="1">IF(AND(I5310&lt;&gt;I5309,ISNUMBER(SEARCH(Лист2!$B$5,I:I)),G5310=1),MAX($H$3:OFFSET(H5310,-1,0))+1,0)</f>
        <v>0</v>
      </c>
      <c r="I5310" s="3" t="s">
        <v>419</v>
      </c>
      <c r="K5310" s="2">
        <f>IF(ISNUMBER(SEARCH(Лист2!$B$4,F:F)),1,0)</f>
        <v>0</v>
      </c>
      <c r="L5310" s="14">
        <f>IF(ISNUMBER(SEARCH(Лист2!$B$5,I:I)),1,0)+K5310</f>
        <v>0</v>
      </c>
      <c r="M5310" s="3">
        <f ca="1">IF(AND(N5310&lt;&gt;N5309,ISNUMBER(SEARCH(Лист2!$B$6,N:N)),L5310=2),MAX($M$3:OFFSET(M5310,-1,0))+1,0)</f>
        <v>0</v>
      </c>
      <c r="N5310" s="3" t="s">
        <v>1385</v>
      </c>
    </row>
    <row r="5311" spans="1:14" x14ac:dyDescent="0.25">
      <c r="A5311" s="1" t="s">
        <v>13962</v>
      </c>
      <c r="B5311" s="3" t="s">
        <v>8935</v>
      </c>
      <c r="C5311" s="2">
        <f ca="1">IF(ISNUMBER(SEARCH(Лист2!$B$4,D:D)),MAX($C$3:OFFSET(C5311,-1,0))+1,0)</f>
        <v>0</v>
      </c>
      <c r="E5311" s="9" t="str">
        <f t="shared" ca="1" si="94"/>
        <v/>
      </c>
      <c r="F5311" s="4" t="s">
        <v>31</v>
      </c>
      <c r="G5311" s="2">
        <f>IF(ISNUMBER(SEARCH(Лист2!$B$4,F:F)),1,0)</f>
        <v>0</v>
      </c>
      <c r="H5311" s="3">
        <f ca="1">IF(AND(I5311&lt;&gt;I5310,ISNUMBER(SEARCH(Лист2!$B$5,I:I)),G5311=1),MAX($H$3:OFFSET(H5311,-1,0))+1,0)</f>
        <v>0</v>
      </c>
      <c r="I5311" s="3" t="s">
        <v>419</v>
      </c>
      <c r="K5311" s="2">
        <f>IF(ISNUMBER(SEARCH(Лист2!$B$4,F:F)),1,0)</f>
        <v>0</v>
      </c>
      <c r="L5311" s="14">
        <f>IF(ISNUMBER(SEARCH(Лист2!$B$5,I:I)),1,0)+K5311</f>
        <v>0</v>
      </c>
      <c r="M5311" s="3">
        <f ca="1">IF(AND(N5311&lt;&gt;N5310,ISNUMBER(SEARCH(Лист2!$B$6,N:N)),L5311=2),MAX($M$3:OFFSET(M5311,-1,0))+1,0)</f>
        <v>0</v>
      </c>
      <c r="N5311" s="3" t="s">
        <v>3183</v>
      </c>
    </row>
    <row r="5312" spans="1:14" x14ac:dyDescent="0.25">
      <c r="A5312" s="1" t="s">
        <v>13963</v>
      </c>
      <c r="B5312" s="3" t="s">
        <v>8936</v>
      </c>
      <c r="C5312" s="2">
        <f ca="1">IF(ISNUMBER(SEARCH(Лист2!$B$4,D:D)),MAX($C$3:OFFSET(C5312,-1,0))+1,0)</f>
        <v>0</v>
      </c>
      <c r="E5312" s="9" t="str">
        <f t="shared" ca="1" si="94"/>
        <v/>
      </c>
      <c r="F5312" s="4" t="s">
        <v>32</v>
      </c>
      <c r="G5312" s="2">
        <f>IF(ISNUMBER(SEARCH(Лист2!$B$4,F:F)),1,0)</f>
        <v>0</v>
      </c>
      <c r="H5312" s="3">
        <f ca="1">IF(AND(I5312&lt;&gt;I5311,ISNUMBER(SEARCH(Лист2!$B$5,I:I)),G5312=1),MAX($H$3:OFFSET(H5312,-1,0))+1,0)</f>
        <v>0</v>
      </c>
      <c r="I5312" s="3" t="s">
        <v>420</v>
      </c>
      <c r="K5312" s="2">
        <f>IF(ISNUMBER(SEARCH(Лист2!$B$4,F:F)),1,0)</f>
        <v>0</v>
      </c>
      <c r="L5312" s="14">
        <f>IF(ISNUMBER(SEARCH(Лист2!$B$5,I:I)),1,0)+K5312</f>
        <v>0</v>
      </c>
      <c r="M5312" s="3">
        <f ca="1">IF(AND(N5312&lt;&gt;N5311,ISNUMBER(SEARCH(Лист2!$B$6,N:N)),L5312=2),MAX($M$3:OFFSET(M5312,-1,0))+1,0)</f>
        <v>0</v>
      </c>
      <c r="N5312" s="3" t="s">
        <v>3184</v>
      </c>
    </row>
    <row r="5313" spans="1:14" x14ac:dyDescent="0.25">
      <c r="A5313" s="1" t="s">
        <v>13964</v>
      </c>
      <c r="B5313" s="3" t="s">
        <v>8937</v>
      </c>
      <c r="C5313" s="2">
        <f ca="1">IF(ISNUMBER(SEARCH(Лист2!$B$4,D:D)),MAX($C$3:OFFSET(C5313,-1,0))+1,0)</f>
        <v>0</v>
      </c>
      <c r="E5313" s="9" t="str">
        <f t="shared" ca="1" si="94"/>
        <v/>
      </c>
      <c r="F5313" s="4" t="s">
        <v>32</v>
      </c>
      <c r="G5313" s="2">
        <f>IF(ISNUMBER(SEARCH(Лист2!$B$4,F:F)),1,0)</f>
        <v>0</v>
      </c>
      <c r="H5313" s="3">
        <f ca="1">IF(AND(I5313&lt;&gt;I5312,ISNUMBER(SEARCH(Лист2!$B$5,I:I)),G5313=1),MAX($H$3:OFFSET(H5313,-1,0))+1,0)</f>
        <v>0</v>
      </c>
      <c r="I5313" s="3" t="s">
        <v>420</v>
      </c>
      <c r="K5313" s="2">
        <f>IF(ISNUMBER(SEARCH(Лист2!$B$4,F:F)),1,0)</f>
        <v>0</v>
      </c>
      <c r="L5313" s="14">
        <f>IF(ISNUMBER(SEARCH(Лист2!$B$5,I:I)),1,0)+K5313</f>
        <v>0</v>
      </c>
      <c r="M5313" s="3">
        <f ca="1">IF(AND(N5313&lt;&gt;N5312,ISNUMBER(SEARCH(Лист2!$B$6,N:N)),L5313=2),MAX($M$3:OFFSET(M5313,-1,0))+1,0)</f>
        <v>0</v>
      </c>
      <c r="N5313" s="3" t="s">
        <v>3185</v>
      </c>
    </row>
    <row r="5314" spans="1:14" x14ac:dyDescent="0.25">
      <c r="A5314" s="1" t="s">
        <v>13965</v>
      </c>
      <c r="B5314" s="3" t="s">
        <v>8938</v>
      </c>
      <c r="C5314" s="2">
        <f ca="1">IF(ISNUMBER(SEARCH(Лист2!$B$4,D:D)),MAX($C$3:OFFSET(C5314,-1,0))+1,0)</f>
        <v>0</v>
      </c>
      <c r="E5314" s="9" t="str">
        <f t="shared" ca="1" si="94"/>
        <v/>
      </c>
      <c r="F5314" s="4" t="s">
        <v>32</v>
      </c>
      <c r="G5314" s="2">
        <f>IF(ISNUMBER(SEARCH(Лист2!$B$4,F:F)),1,0)</f>
        <v>0</v>
      </c>
      <c r="H5314" s="3">
        <f ca="1">IF(AND(I5314&lt;&gt;I5313,ISNUMBER(SEARCH(Лист2!$B$5,I:I)),G5314=1),MAX($H$3:OFFSET(H5314,-1,0))+1,0)</f>
        <v>0</v>
      </c>
      <c r="I5314" s="3" t="s">
        <v>420</v>
      </c>
      <c r="K5314" s="2">
        <f>IF(ISNUMBER(SEARCH(Лист2!$B$4,F:F)),1,0)</f>
        <v>0</v>
      </c>
      <c r="L5314" s="14">
        <f>IF(ISNUMBER(SEARCH(Лист2!$B$5,I:I)),1,0)+K5314</f>
        <v>0</v>
      </c>
      <c r="M5314" s="3">
        <f ca="1">IF(AND(N5314&lt;&gt;N5313,ISNUMBER(SEARCH(Лист2!$B$6,N:N)),L5314=2),MAX($M$3:OFFSET(M5314,-1,0))+1,0)</f>
        <v>0</v>
      </c>
      <c r="N5314" s="3" t="s">
        <v>3186</v>
      </c>
    </row>
    <row r="5315" spans="1:14" x14ac:dyDescent="0.25">
      <c r="A5315" s="1" t="s">
        <v>13966</v>
      </c>
      <c r="B5315" s="3" t="s">
        <v>8939</v>
      </c>
      <c r="C5315" s="2">
        <f ca="1">IF(ISNUMBER(SEARCH(Лист2!$B$4,D:D)),MAX($C$3:OFFSET(C5315,-1,0))+1,0)</f>
        <v>0</v>
      </c>
      <c r="E5315" s="9" t="str">
        <f t="shared" ca="1" si="94"/>
        <v/>
      </c>
      <c r="F5315" s="4" t="s">
        <v>32</v>
      </c>
      <c r="G5315" s="2">
        <f>IF(ISNUMBER(SEARCH(Лист2!$B$4,F:F)),1,0)</f>
        <v>0</v>
      </c>
      <c r="H5315" s="3">
        <f ca="1">IF(AND(I5315&lt;&gt;I5314,ISNUMBER(SEARCH(Лист2!$B$5,I:I)),G5315=1),MAX($H$3:OFFSET(H5315,-1,0))+1,0)</f>
        <v>0</v>
      </c>
      <c r="I5315" s="3" t="s">
        <v>420</v>
      </c>
      <c r="K5315" s="2">
        <f>IF(ISNUMBER(SEARCH(Лист2!$B$4,F:F)),1,0)</f>
        <v>0</v>
      </c>
      <c r="L5315" s="14">
        <f>IF(ISNUMBER(SEARCH(Лист2!$B$5,I:I)),1,0)+K5315</f>
        <v>0</v>
      </c>
      <c r="M5315" s="3">
        <f ca="1">IF(AND(N5315&lt;&gt;N5314,ISNUMBER(SEARCH(Лист2!$B$6,N:N)),L5315=2),MAX($M$3:OFFSET(M5315,-1,0))+1,0)</f>
        <v>0</v>
      </c>
      <c r="N5315" s="3" t="s">
        <v>3187</v>
      </c>
    </row>
    <row r="5316" spans="1:14" x14ac:dyDescent="0.25">
      <c r="A5316" s="1" t="s">
        <v>13967</v>
      </c>
      <c r="B5316" s="3" t="s">
        <v>8940</v>
      </c>
      <c r="C5316" s="2">
        <f ca="1">IF(ISNUMBER(SEARCH(Лист2!$B$4,D:D)),MAX($C$3:OFFSET(C5316,-1,0))+1,0)</f>
        <v>0</v>
      </c>
      <c r="E5316" s="9" t="str">
        <f t="shared" ca="1" si="94"/>
        <v/>
      </c>
      <c r="F5316" s="4" t="s">
        <v>32</v>
      </c>
      <c r="G5316" s="2">
        <f>IF(ISNUMBER(SEARCH(Лист2!$B$4,F:F)),1,0)</f>
        <v>0</v>
      </c>
      <c r="H5316" s="3">
        <f ca="1">IF(AND(I5316&lt;&gt;I5315,ISNUMBER(SEARCH(Лист2!$B$5,I:I)),G5316=1),MAX($H$3:OFFSET(H5316,-1,0))+1,0)</f>
        <v>0</v>
      </c>
      <c r="I5316" s="3" t="s">
        <v>420</v>
      </c>
      <c r="K5316" s="2">
        <f>IF(ISNUMBER(SEARCH(Лист2!$B$4,F:F)),1,0)</f>
        <v>0</v>
      </c>
      <c r="L5316" s="14">
        <f>IF(ISNUMBER(SEARCH(Лист2!$B$5,I:I)),1,0)+K5316</f>
        <v>0</v>
      </c>
      <c r="M5316" s="3">
        <f ca="1">IF(AND(N5316&lt;&gt;N5315,ISNUMBER(SEARCH(Лист2!$B$6,N:N)),L5316=2),MAX($M$3:OFFSET(M5316,-1,0))+1,0)</f>
        <v>0</v>
      </c>
      <c r="N5316" s="3" t="s">
        <v>3188</v>
      </c>
    </row>
    <row r="5317" spans="1:14" x14ac:dyDescent="0.25">
      <c r="A5317" s="1" t="s">
        <v>13968</v>
      </c>
      <c r="B5317" s="3" t="s">
        <v>8941</v>
      </c>
      <c r="C5317" s="2">
        <f ca="1">IF(ISNUMBER(SEARCH(Лист2!$B$4,D:D)),MAX($C$3:OFFSET(C5317,-1,0))+1,0)</f>
        <v>0</v>
      </c>
      <c r="E5317" s="9" t="str">
        <f t="shared" ref="E5317:E5380" ca="1" si="95">IFERROR(INDEX(D:D,MATCH(ROW(E5317)-ROW($E$3),C:C,0)),"")</f>
        <v/>
      </c>
      <c r="F5317" s="4" t="s">
        <v>32</v>
      </c>
      <c r="G5317" s="2">
        <f>IF(ISNUMBER(SEARCH(Лист2!$B$4,F:F)),1,0)</f>
        <v>0</v>
      </c>
      <c r="H5317" s="3">
        <f ca="1">IF(AND(I5317&lt;&gt;I5316,ISNUMBER(SEARCH(Лист2!$B$5,I:I)),G5317=1),MAX($H$3:OFFSET(H5317,-1,0))+1,0)</f>
        <v>0</v>
      </c>
      <c r="I5317" s="3" t="s">
        <v>420</v>
      </c>
      <c r="K5317" s="2">
        <f>IF(ISNUMBER(SEARCH(Лист2!$B$4,F:F)),1,0)</f>
        <v>0</v>
      </c>
      <c r="L5317" s="14">
        <f>IF(ISNUMBER(SEARCH(Лист2!$B$5,I:I)),1,0)+K5317</f>
        <v>0</v>
      </c>
      <c r="M5317" s="3">
        <f ca="1">IF(AND(N5317&lt;&gt;N5316,ISNUMBER(SEARCH(Лист2!$B$6,N:N)),L5317=2),MAX($M$3:OFFSET(M5317,-1,0))+1,0)</f>
        <v>0</v>
      </c>
      <c r="N5317" s="3" t="s">
        <v>3189</v>
      </c>
    </row>
    <row r="5318" spans="1:14" x14ac:dyDescent="0.25">
      <c r="A5318" s="1" t="s">
        <v>13969</v>
      </c>
      <c r="B5318" s="3" t="s">
        <v>8942</v>
      </c>
      <c r="C5318" s="2">
        <f ca="1">IF(ISNUMBER(SEARCH(Лист2!$B$4,D:D)),MAX($C$3:OFFSET(C5318,-1,0))+1,0)</f>
        <v>0</v>
      </c>
      <c r="E5318" s="9" t="str">
        <f t="shared" ca="1" si="95"/>
        <v/>
      </c>
      <c r="F5318" s="4" t="s">
        <v>32</v>
      </c>
      <c r="G5318" s="2">
        <f>IF(ISNUMBER(SEARCH(Лист2!$B$4,F:F)),1,0)</f>
        <v>0</v>
      </c>
      <c r="H5318" s="3">
        <f ca="1">IF(AND(I5318&lt;&gt;I5317,ISNUMBER(SEARCH(Лист2!$B$5,I:I)),G5318=1),MAX($H$3:OFFSET(H5318,-1,0))+1,0)</f>
        <v>0</v>
      </c>
      <c r="I5318" s="3" t="s">
        <v>421</v>
      </c>
      <c r="K5318" s="2">
        <f>IF(ISNUMBER(SEARCH(Лист2!$B$4,F:F)),1,0)</f>
        <v>0</v>
      </c>
      <c r="L5318" s="14">
        <f>IF(ISNUMBER(SEARCH(Лист2!$B$5,I:I)),1,0)+K5318</f>
        <v>0</v>
      </c>
      <c r="M5318" s="3">
        <f ca="1">IF(AND(N5318&lt;&gt;N5317,ISNUMBER(SEARCH(Лист2!$B$6,N:N)),L5318=2),MAX($M$3:OFFSET(M5318,-1,0))+1,0)</f>
        <v>0</v>
      </c>
      <c r="N5318" s="3" t="s">
        <v>3190</v>
      </c>
    </row>
    <row r="5319" spans="1:14" x14ac:dyDescent="0.25">
      <c r="A5319" s="1" t="s">
        <v>13970</v>
      </c>
      <c r="B5319" s="3" t="s">
        <v>8943</v>
      </c>
      <c r="C5319" s="2">
        <f ca="1">IF(ISNUMBER(SEARCH(Лист2!$B$4,D:D)),MAX($C$3:OFFSET(C5319,-1,0))+1,0)</f>
        <v>0</v>
      </c>
      <c r="E5319" s="9" t="str">
        <f t="shared" ca="1" si="95"/>
        <v/>
      </c>
      <c r="F5319" s="4" t="s">
        <v>32</v>
      </c>
      <c r="G5319" s="2">
        <f>IF(ISNUMBER(SEARCH(Лист2!$B$4,F:F)),1,0)</f>
        <v>0</v>
      </c>
      <c r="H5319" s="3">
        <f ca="1">IF(AND(I5319&lt;&gt;I5318,ISNUMBER(SEARCH(Лист2!$B$5,I:I)),G5319=1),MAX($H$3:OFFSET(H5319,-1,0))+1,0)</f>
        <v>0</v>
      </c>
      <c r="I5319" s="3" t="s">
        <v>421</v>
      </c>
      <c r="K5319" s="2">
        <f>IF(ISNUMBER(SEARCH(Лист2!$B$4,F:F)),1,0)</f>
        <v>0</v>
      </c>
      <c r="L5319" s="14">
        <f>IF(ISNUMBER(SEARCH(Лист2!$B$5,I:I)),1,0)+K5319</f>
        <v>0</v>
      </c>
      <c r="M5319" s="3">
        <f ca="1">IF(AND(N5319&lt;&gt;N5318,ISNUMBER(SEARCH(Лист2!$B$6,N:N)),L5319=2),MAX($M$3:OFFSET(M5319,-1,0))+1,0)</f>
        <v>0</v>
      </c>
      <c r="N5319" s="3" t="s">
        <v>3191</v>
      </c>
    </row>
    <row r="5320" spans="1:14" x14ac:dyDescent="0.25">
      <c r="A5320" s="1" t="s">
        <v>13971</v>
      </c>
      <c r="B5320" s="3" t="s">
        <v>8944</v>
      </c>
      <c r="C5320" s="2">
        <f ca="1">IF(ISNUMBER(SEARCH(Лист2!$B$4,D:D)),MAX($C$3:OFFSET(C5320,-1,0))+1,0)</f>
        <v>0</v>
      </c>
      <c r="E5320" s="9" t="str">
        <f t="shared" ca="1" si="95"/>
        <v/>
      </c>
      <c r="F5320" s="4" t="s">
        <v>32</v>
      </c>
      <c r="G5320" s="2">
        <f>IF(ISNUMBER(SEARCH(Лист2!$B$4,F:F)),1,0)</f>
        <v>0</v>
      </c>
      <c r="H5320" s="3">
        <f ca="1">IF(AND(I5320&lt;&gt;I5319,ISNUMBER(SEARCH(Лист2!$B$5,I:I)),G5320=1),MAX($H$3:OFFSET(H5320,-1,0))+1,0)</f>
        <v>0</v>
      </c>
      <c r="I5320" s="3" t="s">
        <v>421</v>
      </c>
      <c r="K5320" s="2">
        <f>IF(ISNUMBER(SEARCH(Лист2!$B$4,F:F)),1,0)</f>
        <v>0</v>
      </c>
      <c r="L5320" s="14">
        <f>IF(ISNUMBER(SEARCH(Лист2!$B$5,I:I)),1,0)+K5320</f>
        <v>0</v>
      </c>
      <c r="M5320" s="3">
        <f ca="1">IF(AND(N5320&lt;&gt;N5319,ISNUMBER(SEARCH(Лист2!$B$6,N:N)),L5320=2),MAX($M$3:OFFSET(M5320,-1,0))+1,0)</f>
        <v>0</v>
      </c>
      <c r="N5320" s="3" t="s">
        <v>3192</v>
      </c>
    </row>
    <row r="5321" spans="1:14" x14ac:dyDescent="0.25">
      <c r="A5321" s="1" t="s">
        <v>13972</v>
      </c>
      <c r="B5321" s="3" t="s">
        <v>8945</v>
      </c>
      <c r="C5321" s="2">
        <f ca="1">IF(ISNUMBER(SEARCH(Лист2!$B$4,D:D)),MAX($C$3:OFFSET(C5321,-1,0))+1,0)</f>
        <v>0</v>
      </c>
      <c r="E5321" s="9" t="str">
        <f t="shared" ca="1" si="95"/>
        <v/>
      </c>
      <c r="F5321" s="4" t="s">
        <v>32</v>
      </c>
      <c r="G5321" s="2">
        <f>IF(ISNUMBER(SEARCH(Лист2!$B$4,F:F)),1,0)</f>
        <v>0</v>
      </c>
      <c r="H5321" s="3">
        <f ca="1">IF(AND(I5321&lt;&gt;I5320,ISNUMBER(SEARCH(Лист2!$B$5,I:I)),G5321=1),MAX($H$3:OFFSET(H5321,-1,0))+1,0)</f>
        <v>0</v>
      </c>
      <c r="I5321" s="3" t="s">
        <v>421</v>
      </c>
      <c r="K5321" s="2">
        <f>IF(ISNUMBER(SEARCH(Лист2!$B$4,F:F)),1,0)</f>
        <v>0</v>
      </c>
      <c r="L5321" s="14">
        <f>IF(ISNUMBER(SEARCH(Лист2!$B$5,I:I)),1,0)+K5321</f>
        <v>0</v>
      </c>
      <c r="M5321" s="3">
        <f ca="1">IF(AND(N5321&lt;&gt;N5320,ISNUMBER(SEARCH(Лист2!$B$6,N:N)),L5321=2),MAX($M$3:OFFSET(M5321,-1,0))+1,0)</f>
        <v>0</v>
      </c>
      <c r="N5321" s="3" t="s">
        <v>3193</v>
      </c>
    </row>
    <row r="5322" spans="1:14" x14ac:dyDescent="0.25">
      <c r="A5322" s="1" t="s">
        <v>13973</v>
      </c>
      <c r="B5322" s="3" t="s">
        <v>8946</v>
      </c>
      <c r="C5322" s="2">
        <f ca="1">IF(ISNUMBER(SEARCH(Лист2!$B$4,D:D)),MAX($C$3:OFFSET(C5322,-1,0))+1,0)</f>
        <v>0</v>
      </c>
      <c r="E5322" s="9" t="str">
        <f t="shared" ca="1" si="95"/>
        <v/>
      </c>
      <c r="F5322" s="4" t="s">
        <v>32</v>
      </c>
      <c r="G5322" s="2">
        <f>IF(ISNUMBER(SEARCH(Лист2!$B$4,F:F)),1,0)</f>
        <v>0</v>
      </c>
      <c r="H5322" s="3">
        <f ca="1">IF(AND(I5322&lt;&gt;I5321,ISNUMBER(SEARCH(Лист2!$B$5,I:I)),G5322=1),MAX($H$3:OFFSET(H5322,-1,0))+1,0)</f>
        <v>0</v>
      </c>
      <c r="I5322" s="3" t="s">
        <v>421</v>
      </c>
      <c r="K5322" s="2">
        <f>IF(ISNUMBER(SEARCH(Лист2!$B$4,F:F)),1,0)</f>
        <v>0</v>
      </c>
      <c r="L5322" s="14">
        <f>IF(ISNUMBER(SEARCH(Лист2!$B$5,I:I)),1,0)+K5322</f>
        <v>0</v>
      </c>
      <c r="M5322" s="3">
        <f ca="1">IF(AND(N5322&lt;&gt;N5321,ISNUMBER(SEARCH(Лист2!$B$6,N:N)),L5322=2),MAX($M$3:OFFSET(M5322,-1,0))+1,0)</f>
        <v>0</v>
      </c>
      <c r="N5322" s="3" t="s">
        <v>3194</v>
      </c>
    </row>
    <row r="5323" spans="1:14" x14ac:dyDescent="0.25">
      <c r="A5323" s="1" t="s">
        <v>13974</v>
      </c>
      <c r="B5323" s="3" t="s">
        <v>8947</v>
      </c>
      <c r="C5323" s="2">
        <f ca="1">IF(ISNUMBER(SEARCH(Лист2!$B$4,D:D)),MAX($C$3:OFFSET(C5323,-1,0))+1,0)</f>
        <v>0</v>
      </c>
      <c r="E5323" s="9" t="str">
        <f t="shared" ca="1" si="95"/>
        <v/>
      </c>
      <c r="F5323" s="4" t="s">
        <v>32</v>
      </c>
      <c r="G5323" s="2">
        <f>IF(ISNUMBER(SEARCH(Лист2!$B$4,F:F)),1,0)</f>
        <v>0</v>
      </c>
      <c r="H5323" s="3">
        <f ca="1">IF(AND(I5323&lt;&gt;I5322,ISNUMBER(SEARCH(Лист2!$B$5,I:I)),G5323=1),MAX($H$3:OFFSET(H5323,-1,0))+1,0)</f>
        <v>0</v>
      </c>
      <c r="I5323" s="3" t="s">
        <v>421</v>
      </c>
      <c r="K5323" s="2">
        <f>IF(ISNUMBER(SEARCH(Лист2!$B$4,F:F)),1,0)</f>
        <v>0</v>
      </c>
      <c r="L5323" s="14">
        <f>IF(ISNUMBER(SEARCH(Лист2!$B$5,I:I)),1,0)+K5323</f>
        <v>0</v>
      </c>
      <c r="M5323" s="3">
        <f ca="1">IF(AND(N5323&lt;&gt;N5322,ISNUMBER(SEARCH(Лист2!$B$6,N:N)),L5323=2),MAX($M$3:OFFSET(M5323,-1,0))+1,0)</f>
        <v>0</v>
      </c>
      <c r="N5323" s="3" t="s">
        <v>3195</v>
      </c>
    </row>
    <row r="5324" spans="1:14" x14ac:dyDescent="0.25">
      <c r="A5324" s="1" t="s">
        <v>13975</v>
      </c>
      <c r="B5324" s="3" t="s">
        <v>8948</v>
      </c>
      <c r="C5324" s="2">
        <f ca="1">IF(ISNUMBER(SEARCH(Лист2!$B$4,D:D)),MAX($C$3:OFFSET(C5324,-1,0))+1,0)</f>
        <v>0</v>
      </c>
      <c r="E5324" s="9" t="str">
        <f t="shared" ca="1" si="95"/>
        <v/>
      </c>
      <c r="F5324" s="4" t="s">
        <v>32</v>
      </c>
      <c r="G5324" s="2">
        <f>IF(ISNUMBER(SEARCH(Лист2!$B$4,F:F)),1,0)</f>
        <v>0</v>
      </c>
      <c r="H5324" s="3">
        <f ca="1">IF(AND(I5324&lt;&gt;I5323,ISNUMBER(SEARCH(Лист2!$B$5,I:I)),G5324=1),MAX($H$3:OFFSET(H5324,-1,0))+1,0)</f>
        <v>0</v>
      </c>
      <c r="I5324" s="3" t="s">
        <v>421</v>
      </c>
      <c r="K5324" s="2">
        <f>IF(ISNUMBER(SEARCH(Лист2!$B$4,F:F)),1,0)</f>
        <v>0</v>
      </c>
      <c r="L5324" s="14">
        <f>IF(ISNUMBER(SEARCH(Лист2!$B$5,I:I)),1,0)+K5324</f>
        <v>0</v>
      </c>
      <c r="M5324" s="3">
        <f ca="1">IF(AND(N5324&lt;&gt;N5323,ISNUMBER(SEARCH(Лист2!$B$6,N:N)),L5324=2),MAX($M$3:OFFSET(M5324,-1,0))+1,0)</f>
        <v>0</v>
      </c>
      <c r="N5324" s="3" t="s">
        <v>3196</v>
      </c>
    </row>
    <row r="5325" spans="1:14" x14ac:dyDescent="0.25">
      <c r="A5325" s="1" t="s">
        <v>13976</v>
      </c>
      <c r="B5325" s="3" t="s">
        <v>8949</v>
      </c>
      <c r="C5325" s="2">
        <f ca="1">IF(ISNUMBER(SEARCH(Лист2!$B$4,D:D)),MAX($C$3:OFFSET(C5325,-1,0))+1,0)</f>
        <v>0</v>
      </c>
      <c r="E5325" s="9" t="str">
        <f t="shared" ca="1" si="95"/>
        <v/>
      </c>
      <c r="F5325" s="4" t="s">
        <v>32</v>
      </c>
      <c r="G5325" s="2">
        <f>IF(ISNUMBER(SEARCH(Лист2!$B$4,F:F)),1,0)</f>
        <v>0</v>
      </c>
      <c r="H5325" s="3">
        <f ca="1">IF(AND(I5325&lt;&gt;I5324,ISNUMBER(SEARCH(Лист2!$B$5,I:I)),G5325=1),MAX($H$3:OFFSET(H5325,-1,0))+1,0)</f>
        <v>0</v>
      </c>
      <c r="I5325" s="3" t="s">
        <v>421</v>
      </c>
      <c r="K5325" s="2">
        <f>IF(ISNUMBER(SEARCH(Лист2!$B$4,F:F)),1,0)</f>
        <v>0</v>
      </c>
      <c r="L5325" s="14">
        <f>IF(ISNUMBER(SEARCH(Лист2!$B$5,I:I)),1,0)+K5325</f>
        <v>0</v>
      </c>
      <c r="M5325" s="3">
        <f ca="1">IF(AND(N5325&lt;&gt;N5324,ISNUMBER(SEARCH(Лист2!$B$6,N:N)),L5325=2),MAX($M$3:OFFSET(M5325,-1,0))+1,0)</f>
        <v>0</v>
      </c>
      <c r="N5325" s="3" t="s">
        <v>3197</v>
      </c>
    </row>
    <row r="5326" spans="1:14" x14ac:dyDescent="0.25">
      <c r="A5326" s="1" t="s">
        <v>13977</v>
      </c>
      <c r="B5326" s="3" t="s">
        <v>8950</v>
      </c>
      <c r="C5326" s="2">
        <f ca="1">IF(ISNUMBER(SEARCH(Лист2!$B$4,D:D)),MAX($C$3:OFFSET(C5326,-1,0))+1,0)</f>
        <v>0</v>
      </c>
      <c r="E5326" s="9" t="str">
        <f t="shared" ca="1" si="95"/>
        <v/>
      </c>
      <c r="F5326" s="4" t="s">
        <v>32</v>
      </c>
      <c r="G5326" s="2">
        <f>IF(ISNUMBER(SEARCH(Лист2!$B$4,F:F)),1,0)</f>
        <v>0</v>
      </c>
      <c r="H5326" s="3">
        <f ca="1">IF(AND(I5326&lt;&gt;I5325,ISNUMBER(SEARCH(Лист2!$B$5,I:I)),G5326=1),MAX($H$3:OFFSET(H5326,-1,0))+1,0)</f>
        <v>0</v>
      </c>
      <c r="I5326" s="3" t="s">
        <v>421</v>
      </c>
      <c r="K5326" s="2">
        <f>IF(ISNUMBER(SEARCH(Лист2!$B$4,F:F)),1,0)</f>
        <v>0</v>
      </c>
      <c r="L5326" s="14">
        <f>IF(ISNUMBER(SEARCH(Лист2!$B$5,I:I)),1,0)+K5326</f>
        <v>0</v>
      </c>
      <c r="M5326" s="3">
        <f ca="1">IF(AND(N5326&lt;&gt;N5325,ISNUMBER(SEARCH(Лист2!$B$6,N:N)),L5326=2),MAX($M$3:OFFSET(M5326,-1,0))+1,0)</f>
        <v>0</v>
      </c>
      <c r="N5326" s="3" t="s">
        <v>3198</v>
      </c>
    </row>
    <row r="5327" spans="1:14" x14ac:dyDescent="0.25">
      <c r="A5327" s="1" t="s">
        <v>13978</v>
      </c>
      <c r="B5327" s="3" t="s">
        <v>8951</v>
      </c>
      <c r="C5327" s="2">
        <f ca="1">IF(ISNUMBER(SEARCH(Лист2!$B$4,D:D)),MAX($C$3:OFFSET(C5327,-1,0))+1,0)</f>
        <v>0</v>
      </c>
      <c r="E5327" s="9" t="str">
        <f t="shared" ca="1" si="95"/>
        <v/>
      </c>
      <c r="F5327" s="4" t="s">
        <v>32</v>
      </c>
      <c r="G5327" s="2">
        <f>IF(ISNUMBER(SEARCH(Лист2!$B$4,F:F)),1,0)</f>
        <v>0</v>
      </c>
      <c r="H5327" s="3">
        <f ca="1">IF(AND(I5327&lt;&gt;I5326,ISNUMBER(SEARCH(Лист2!$B$5,I:I)),G5327=1),MAX($H$3:OFFSET(H5327,-1,0))+1,0)</f>
        <v>0</v>
      </c>
      <c r="I5327" s="3" t="s">
        <v>421</v>
      </c>
      <c r="K5327" s="2">
        <f>IF(ISNUMBER(SEARCH(Лист2!$B$4,F:F)),1,0)</f>
        <v>0</v>
      </c>
      <c r="L5327" s="14">
        <f>IF(ISNUMBER(SEARCH(Лист2!$B$5,I:I)),1,0)+K5327</f>
        <v>0</v>
      </c>
      <c r="M5327" s="3">
        <f ca="1">IF(AND(N5327&lt;&gt;N5326,ISNUMBER(SEARCH(Лист2!$B$6,N:N)),L5327=2),MAX($M$3:OFFSET(M5327,-1,0))+1,0)</f>
        <v>0</v>
      </c>
      <c r="N5327" s="3" t="s">
        <v>3199</v>
      </c>
    </row>
    <row r="5328" spans="1:14" x14ac:dyDescent="0.25">
      <c r="A5328" s="1" t="s">
        <v>13979</v>
      </c>
      <c r="B5328" s="3" t="s">
        <v>8952</v>
      </c>
      <c r="C5328" s="2">
        <f ca="1">IF(ISNUMBER(SEARCH(Лист2!$B$4,D:D)),MAX($C$3:OFFSET(C5328,-1,0))+1,0)</f>
        <v>0</v>
      </c>
      <c r="E5328" s="9" t="str">
        <f t="shared" ca="1" si="95"/>
        <v/>
      </c>
      <c r="F5328" s="4" t="s">
        <v>32</v>
      </c>
      <c r="G5328" s="2">
        <f>IF(ISNUMBER(SEARCH(Лист2!$B$4,F:F)),1,0)</f>
        <v>0</v>
      </c>
      <c r="H5328" s="3">
        <f ca="1">IF(AND(I5328&lt;&gt;I5327,ISNUMBER(SEARCH(Лист2!$B$5,I:I)),G5328=1),MAX($H$3:OFFSET(H5328,-1,0))+1,0)</f>
        <v>0</v>
      </c>
      <c r="I5328" s="3" t="s">
        <v>421</v>
      </c>
      <c r="K5328" s="2">
        <f>IF(ISNUMBER(SEARCH(Лист2!$B$4,F:F)),1,0)</f>
        <v>0</v>
      </c>
      <c r="L5328" s="14">
        <f>IF(ISNUMBER(SEARCH(Лист2!$B$5,I:I)),1,0)+K5328</f>
        <v>0</v>
      </c>
      <c r="M5328" s="3">
        <f ca="1">IF(AND(N5328&lt;&gt;N5327,ISNUMBER(SEARCH(Лист2!$B$6,N:N)),L5328=2),MAX($M$3:OFFSET(M5328,-1,0))+1,0)</f>
        <v>0</v>
      </c>
      <c r="N5328" s="3" t="s">
        <v>3200</v>
      </c>
    </row>
    <row r="5329" spans="1:14" x14ac:dyDescent="0.25">
      <c r="A5329" s="1" t="s">
        <v>13980</v>
      </c>
      <c r="B5329" s="3" t="s">
        <v>8953</v>
      </c>
      <c r="C5329" s="2">
        <f ca="1">IF(ISNUMBER(SEARCH(Лист2!$B$4,D:D)),MAX($C$3:OFFSET(C5329,-1,0))+1,0)</f>
        <v>0</v>
      </c>
      <c r="E5329" s="9" t="str">
        <f t="shared" ca="1" si="95"/>
        <v/>
      </c>
      <c r="F5329" s="4" t="s">
        <v>32</v>
      </c>
      <c r="G5329" s="2">
        <f>IF(ISNUMBER(SEARCH(Лист2!$B$4,F:F)),1,0)</f>
        <v>0</v>
      </c>
      <c r="H5329" s="3">
        <f ca="1">IF(AND(I5329&lt;&gt;I5328,ISNUMBER(SEARCH(Лист2!$B$5,I:I)),G5329=1),MAX($H$3:OFFSET(H5329,-1,0))+1,0)</f>
        <v>0</v>
      </c>
      <c r="I5329" s="3" t="s">
        <v>421</v>
      </c>
      <c r="K5329" s="2">
        <f>IF(ISNUMBER(SEARCH(Лист2!$B$4,F:F)),1,0)</f>
        <v>0</v>
      </c>
      <c r="L5329" s="14">
        <f>IF(ISNUMBER(SEARCH(Лист2!$B$5,I:I)),1,0)+K5329</f>
        <v>0</v>
      </c>
      <c r="M5329" s="3">
        <f ca="1">IF(AND(N5329&lt;&gt;N5328,ISNUMBER(SEARCH(Лист2!$B$6,N:N)),L5329=2),MAX($M$3:OFFSET(M5329,-1,0))+1,0)</f>
        <v>0</v>
      </c>
      <c r="N5329" s="3" t="s">
        <v>3201</v>
      </c>
    </row>
    <row r="5330" spans="1:14" x14ac:dyDescent="0.25">
      <c r="A5330" s="1" t="s">
        <v>13981</v>
      </c>
      <c r="B5330" s="3" t="s">
        <v>8954</v>
      </c>
      <c r="C5330" s="2">
        <f ca="1">IF(ISNUMBER(SEARCH(Лист2!$B$4,D:D)),MAX($C$3:OFFSET(C5330,-1,0))+1,0)</f>
        <v>0</v>
      </c>
      <c r="E5330" s="9" t="str">
        <f t="shared" ca="1" si="95"/>
        <v/>
      </c>
      <c r="F5330" s="4" t="s">
        <v>32</v>
      </c>
      <c r="G5330" s="2">
        <f>IF(ISNUMBER(SEARCH(Лист2!$B$4,F:F)),1,0)</f>
        <v>0</v>
      </c>
      <c r="H5330" s="3">
        <f ca="1">IF(AND(I5330&lt;&gt;I5329,ISNUMBER(SEARCH(Лист2!$B$5,I:I)),G5330=1),MAX($H$3:OFFSET(H5330,-1,0))+1,0)</f>
        <v>0</v>
      </c>
      <c r="I5330" s="3" t="s">
        <v>421</v>
      </c>
      <c r="K5330" s="2">
        <f>IF(ISNUMBER(SEARCH(Лист2!$B$4,F:F)),1,0)</f>
        <v>0</v>
      </c>
      <c r="L5330" s="14">
        <f>IF(ISNUMBER(SEARCH(Лист2!$B$5,I:I)),1,0)+K5330</f>
        <v>0</v>
      </c>
      <c r="M5330" s="3">
        <f ca="1">IF(AND(N5330&lt;&gt;N5329,ISNUMBER(SEARCH(Лист2!$B$6,N:N)),L5330=2),MAX($M$3:OFFSET(M5330,-1,0))+1,0)</f>
        <v>0</v>
      </c>
      <c r="N5330" s="3" t="s">
        <v>3202</v>
      </c>
    </row>
    <row r="5331" spans="1:14" x14ac:dyDescent="0.25">
      <c r="A5331" s="1" t="s">
        <v>13982</v>
      </c>
      <c r="B5331" s="3" t="s">
        <v>8955</v>
      </c>
      <c r="C5331" s="2">
        <f ca="1">IF(ISNUMBER(SEARCH(Лист2!$B$4,D:D)),MAX($C$3:OFFSET(C5331,-1,0))+1,0)</f>
        <v>0</v>
      </c>
      <c r="E5331" s="9" t="str">
        <f t="shared" ca="1" si="95"/>
        <v/>
      </c>
      <c r="F5331" s="4" t="s">
        <v>33</v>
      </c>
      <c r="G5331" s="2">
        <f>IF(ISNUMBER(SEARCH(Лист2!$B$4,F:F)),1,0)</f>
        <v>0</v>
      </c>
      <c r="H5331" s="3">
        <f ca="1">IF(AND(I5331&lt;&gt;I5330,ISNUMBER(SEARCH(Лист2!$B$5,I:I)),G5331=1),MAX($H$3:OFFSET(H5331,-1,0))+1,0)</f>
        <v>0</v>
      </c>
      <c r="I5331" s="3" t="s">
        <v>422</v>
      </c>
      <c r="K5331" s="2">
        <f>IF(ISNUMBER(SEARCH(Лист2!$B$4,F:F)),1,0)</f>
        <v>0</v>
      </c>
      <c r="L5331" s="14">
        <f>IF(ISNUMBER(SEARCH(Лист2!$B$5,I:I)),1,0)+K5331</f>
        <v>0</v>
      </c>
      <c r="M5331" s="3">
        <f ca="1">IF(AND(N5331&lt;&gt;N5330,ISNUMBER(SEARCH(Лист2!$B$6,N:N)),L5331=2),MAX($M$3:OFFSET(M5331,-1,0))+1,0)</f>
        <v>0</v>
      </c>
      <c r="N5331" s="3" t="s">
        <v>499</v>
      </c>
    </row>
    <row r="5332" spans="1:14" x14ac:dyDescent="0.25">
      <c r="A5332" s="1" t="s">
        <v>13983</v>
      </c>
      <c r="B5332" s="3" t="s">
        <v>8956</v>
      </c>
      <c r="C5332" s="2">
        <f ca="1">IF(ISNUMBER(SEARCH(Лист2!$B$4,D:D)),MAX($C$3:OFFSET(C5332,-1,0))+1,0)</f>
        <v>0</v>
      </c>
      <c r="E5332" s="9" t="str">
        <f t="shared" ca="1" si="95"/>
        <v/>
      </c>
      <c r="F5332" s="4" t="s">
        <v>33</v>
      </c>
      <c r="G5332" s="2">
        <f>IF(ISNUMBER(SEARCH(Лист2!$B$4,F:F)),1,0)</f>
        <v>0</v>
      </c>
      <c r="H5332" s="3">
        <f ca="1">IF(AND(I5332&lt;&gt;I5331,ISNUMBER(SEARCH(Лист2!$B$5,I:I)),G5332=1),MAX($H$3:OFFSET(H5332,-1,0))+1,0)</f>
        <v>0</v>
      </c>
      <c r="I5332" s="3" t="s">
        <v>422</v>
      </c>
      <c r="K5332" s="2">
        <f>IF(ISNUMBER(SEARCH(Лист2!$B$4,F:F)),1,0)</f>
        <v>0</v>
      </c>
      <c r="L5332" s="14">
        <f>IF(ISNUMBER(SEARCH(Лист2!$B$5,I:I)),1,0)+K5332</f>
        <v>0</v>
      </c>
      <c r="M5332" s="3">
        <f ca="1">IF(AND(N5332&lt;&gt;N5331,ISNUMBER(SEARCH(Лист2!$B$6,N:N)),L5332=2),MAX($M$3:OFFSET(M5332,-1,0))+1,0)</f>
        <v>0</v>
      </c>
      <c r="N5332" s="3" t="s">
        <v>500</v>
      </c>
    </row>
    <row r="5333" spans="1:14" x14ac:dyDescent="0.25">
      <c r="A5333" s="1" t="s">
        <v>13984</v>
      </c>
      <c r="B5333" s="3" t="s">
        <v>8957</v>
      </c>
      <c r="C5333" s="2">
        <f ca="1">IF(ISNUMBER(SEARCH(Лист2!$B$4,D:D)),MAX($C$3:OFFSET(C5333,-1,0))+1,0)</f>
        <v>0</v>
      </c>
      <c r="E5333" s="9" t="str">
        <f t="shared" ca="1" si="95"/>
        <v/>
      </c>
      <c r="F5333" s="4" t="s">
        <v>33</v>
      </c>
      <c r="G5333" s="2">
        <f>IF(ISNUMBER(SEARCH(Лист2!$B$4,F:F)),1,0)</f>
        <v>0</v>
      </c>
      <c r="H5333" s="3">
        <f ca="1">IF(AND(I5333&lt;&gt;I5332,ISNUMBER(SEARCH(Лист2!$B$5,I:I)),G5333=1),MAX($H$3:OFFSET(H5333,-1,0))+1,0)</f>
        <v>0</v>
      </c>
      <c r="I5333" s="3" t="s">
        <v>422</v>
      </c>
      <c r="K5333" s="2">
        <f>IF(ISNUMBER(SEARCH(Лист2!$B$4,F:F)),1,0)</f>
        <v>0</v>
      </c>
      <c r="L5333" s="14">
        <f>IF(ISNUMBER(SEARCH(Лист2!$B$5,I:I)),1,0)+K5333</f>
        <v>0</v>
      </c>
      <c r="M5333" s="3">
        <f ca="1">IF(AND(N5333&lt;&gt;N5332,ISNUMBER(SEARCH(Лист2!$B$6,N:N)),L5333=2),MAX($M$3:OFFSET(M5333,-1,0))+1,0)</f>
        <v>0</v>
      </c>
      <c r="N5333" s="3" t="s">
        <v>501</v>
      </c>
    </row>
    <row r="5334" spans="1:14" x14ac:dyDescent="0.25">
      <c r="A5334" s="1" t="s">
        <v>13985</v>
      </c>
      <c r="B5334" s="3" t="s">
        <v>8958</v>
      </c>
      <c r="C5334" s="2">
        <f ca="1">IF(ISNUMBER(SEARCH(Лист2!$B$4,D:D)),MAX($C$3:OFFSET(C5334,-1,0))+1,0)</f>
        <v>0</v>
      </c>
      <c r="E5334" s="9" t="str">
        <f t="shared" ca="1" si="95"/>
        <v/>
      </c>
      <c r="F5334" s="4" t="s">
        <v>33</v>
      </c>
      <c r="G5334" s="2">
        <f>IF(ISNUMBER(SEARCH(Лист2!$B$4,F:F)),1,0)</f>
        <v>0</v>
      </c>
      <c r="H5334" s="3">
        <f ca="1">IF(AND(I5334&lt;&gt;I5333,ISNUMBER(SEARCH(Лист2!$B$5,I:I)),G5334=1),MAX($H$3:OFFSET(H5334,-1,0))+1,0)</f>
        <v>0</v>
      </c>
      <c r="I5334" s="3" t="s">
        <v>422</v>
      </c>
      <c r="K5334" s="2">
        <f>IF(ISNUMBER(SEARCH(Лист2!$B$4,F:F)),1,0)</f>
        <v>0</v>
      </c>
      <c r="L5334" s="14">
        <f>IF(ISNUMBER(SEARCH(Лист2!$B$5,I:I)),1,0)+K5334</f>
        <v>0</v>
      </c>
      <c r="M5334" s="3">
        <f ca="1">IF(AND(N5334&lt;&gt;N5333,ISNUMBER(SEARCH(Лист2!$B$6,N:N)),L5334=2),MAX($M$3:OFFSET(M5334,-1,0))+1,0)</f>
        <v>0</v>
      </c>
      <c r="N5334" s="3" t="s">
        <v>502</v>
      </c>
    </row>
    <row r="5335" spans="1:14" x14ac:dyDescent="0.25">
      <c r="A5335" s="1" t="s">
        <v>13986</v>
      </c>
      <c r="B5335" s="3" t="s">
        <v>8959</v>
      </c>
      <c r="C5335" s="2">
        <f ca="1">IF(ISNUMBER(SEARCH(Лист2!$B$4,D:D)),MAX($C$3:OFFSET(C5335,-1,0))+1,0)</f>
        <v>0</v>
      </c>
      <c r="E5335" s="9" t="str">
        <f t="shared" ca="1" si="95"/>
        <v/>
      </c>
      <c r="F5335" s="4" t="s">
        <v>33</v>
      </c>
      <c r="G5335" s="2">
        <f>IF(ISNUMBER(SEARCH(Лист2!$B$4,F:F)),1,0)</f>
        <v>0</v>
      </c>
      <c r="H5335" s="3">
        <f ca="1">IF(AND(I5335&lt;&gt;I5334,ISNUMBER(SEARCH(Лист2!$B$5,I:I)),G5335=1),MAX($H$3:OFFSET(H5335,-1,0))+1,0)</f>
        <v>0</v>
      </c>
      <c r="I5335" s="3" t="s">
        <v>422</v>
      </c>
      <c r="K5335" s="2">
        <f>IF(ISNUMBER(SEARCH(Лист2!$B$4,F:F)),1,0)</f>
        <v>0</v>
      </c>
      <c r="L5335" s="14">
        <f>IF(ISNUMBER(SEARCH(Лист2!$B$5,I:I)),1,0)+K5335</f>
        <v>0</v>
      </c>
      <c r="M5335" s="3">
        <f ca="1">IF(AND(N5335&lt;&gt;N5334,ISNUMBER(SEARCH(Лист2!$B$6,N:N)),L5335=2),MAX($M$3:OFFSET(M5335,-1,0))+1,0)</f>
        <v>0</v>
      </c>
      <c r="N5335" s="3" t="s">
        <v>3203</v>
      </c>
    </row>
    <row r="5336" spans="1:14" x14ac:dyDescent="0.25">
      <c r="A5336" s="1" t="s">
        <v>13987</v>
      </c>
      <c r="B5336" s="3" t="s">
        <v>8960</v>
      </c>
      <c r="C5336" s="2">
        <f ca="1">IF(ISNUMBER(SEARCH(Лист2!$B$4,D:D)),MAX($C$3:OFFSET(C5336,-1,0))+1,0)</f>
        <v>0</v>
      </c>
      <c r="E5336" s="9" t="str">
        <f t="shared" ca="1" si="95"/>
        <v/>
      </c>
      <c r="F5336" s="4" t="s">
        <v>33</v>
      </c>
      <c r="G5336" s="2">
        <f>IF(ISNUMBER(SEARCH(Лист2!$B$4,F:F)),1,0)</f>
        <v>0</v>
      </c>
      <c r="H5336" s="3">
        <f ca="1">IF(AND(I5336&lt;&gt;I5335,ISNUMBER(SEARCH(Лист2!$B$5,I:I)),G5336=1),MAX($H$3:OFFSET(H5336,-1,0))+1,0)</f>
        <v>0</v>
      </c>
      <c r="I5336" s="3" t="s">
        <v>422</v>
      </c>
      <c r="K5336" s="2">
        <f>IF(ISNUMBER(SEARCH(Лист2!$B$4,F:F)),1,0)</f>
        <v>0</v>
      </c>
      <c r="L5336" s="14">
        <f>IF(ISNUMBER(SEARCH(Лист2!$B$5,I:I)),1,0)+K5336</f>
        <v>0</v>
      </c>
      <c r="M5336" s="3">
        <f ca="1">IF(AND(N5336&lt;&gt;N5335,ISNUMBER(SEARCH(Лист2!$B$6,N:N)),L5336=2),MAX($M$3:OFFSET(M5336,-1,0))+1,0)</f>
        <v>0</v>
      </c>
      <c r="N5336" s="3" t="s">
        <v>3204</v>
      </c>
    </row>
    <row r="5337" spans="1:14" x14ac:dyDescent="0.25">
      <c r="A5337" s="1" t="s">
        <v>13988</v>
      </c>
      <c r="B5337" s="3" t="s">
        <v>8961</v>
      </c>
      <c r="C5337" s="2">
        <f ca="1">IF(ISNUMBER(SEARCH(Лист2!$B$4,D:D)),MAX($C$3:OFFSET(C5337,-1,0))+1,0)</f>
        <v>0</v>
      </c>
      <c r="E5337" s="9" t="str">
        <f t="shared" ca="1" si="95"/>
        <v/>
      </c>
      <c r="F5337" s="4" t="s">
        <v>33</v>
      </c>
      <c r="G5337" s="2">
        <f>IF(ISNUMBER(SEARCH(Лист2!$B$4,F:F)),1,0)</f>
        <v>0</v>
      </c>
      <c r="H5337" s="3">
        <f ca="1">IF(AND(I5337&lt;&gt;I5336,ISNUMBER(SEARCH(Лист2!$B$5,I:I)),G5337=1),MAX($H$3:OFFSET(H5337,-1,0))+1,0)</f>
        <v>0</v>
      </c>
      <c r="I5337" s="3" t="s">
        <v>422</v>
      </c>
      <c r="K5337" s="2">
        <f>IF(ISNUMBER(SEARCH(Лист2!$B$4,F:F)),1,0)</f>
        <v>0</v>
      </c>
      <c r="L5337" s="14">
        <f>IF(ISNUMBER(SEARCH(Лист2!$B$5,I:I)),1,0)+K5337</f>
        <v>0</v>
      </c>
      <c r="M5337" s="3">
        <f ca="1">IF(AND(N5337&lt;&gt;N5336,ISNUMBER(SEARCH(Лист2!$B$6,N:N)),L5337=2),MAX($M$3:OFFSET(M5337,-1,0))+1,0)</f>
        <v>0</v>
      </c>
      <c r="N5337" s="3" t="s">
        <v>3205</v>
      </c>
    </row>
    <row r="5338" spans="1:14" x14ac:dyDescent="0.25">
      <c r="A5338" s="1" t="s">
        <v>13988</v>
      </c>
      <c r="B5338" s="3" t="s">
        <v>8962</v>
      </c>
      <c r="C5338" s="2">
        <f ca="1">IF(ISNUMBER(SEARCH(Лист2!$B$4,D:D)),MAX($C$3:OFFSET(C5338,-1,0))+1,0)</f>
        <v>0</v>
      </c>
      <c r="E5338" s="9" t="str">
        <f t="shared" ca="1" si="95"/>
        <v/>
      </c>
      <c r="F5338" s="4" t="s">
        <v>33</v>
      </c>
      <c r="G5338" s="2">
        <f>IF(ISNUMBER(SEARCH(Лист2!$B$4,F:F)),1,0)</f>
        <v>0</v>
      </c>
      <c r="H5338" s="3">
        <f ca="1">IF(AND(I5338&lt;&gt;I5337,ISNUMBER(SEARCH(Лист2!$B$5,I:I)),G5338=1),MAX($H$3:OFFSET(H5338,-1,0))+1,0)</f>
        <v>0</v>
      </c>
      <c r="I5338" s="3" t="s">
        <v>422</v>
      </c>
      <c r="K5338" s="2">
        <f>IF(ISNUMBER(SEARCH(Лист2!$B$4,F:F)),1,0)</f>
        <v>0</v>
      </c>
      <c r="L5338" s="14">
        <f>IF(ISNUMBER(SEARCH(Лист2!$B$5,I:I)),1,0)+K5338</f>
        <v>0</v>
      </c>
      <c r="M5338" s="3">
        <f ca="1">IF(AND(N5338&lt;&gt;N5337,ISNUMBER(SEARCH(Лист2!$B$6,N:N)),L5338=2),MAX($M$3:OFFSET(M5338,-1,0))+1,0)</f>
        <v>0</v>
      </c>
      <c r="N5338" s="3" t="s">
        <v>3205</v>
      </c>
    </row>
    <row r="5339" spans="1:14" x14ac:dyDescent="0.25">
      <c r="A5339" s="1" t="s">
        <v>13989</v>
      </c>
      <c r="B5339" s="3" t="s">
        <v>8963</v>
      </c>
      <c r="C5339" s="2">
        <f ca="1">IF(ISNUMBER(SEARCH(Лист2!$B$4,D:D)),MAX($C$3:OFFSET(C5339,-1,0))+1,0)</f>
        <v>0</v>
      </c>
      <c r="E5339" s="9" t="str">
        <f t="shared" ca="1" si="95"/>
        <v/>
      </c>
      <c r="F5339" s="4" t="s">
        <v>33</v>
      </c>
      <c r="G5339" s="2">
        <f>IF(ISNUMBER(SEARCH(Лист2!$B$4,F:F)),1,0)</f>
        <v>0</v>
      </c>
      <c r="H5339" s="3">
        <f ca="1">IF(AND(I5339&lt;&gt;I5338,ISNUMBER(SEARCH(Лист2!$B$5,I:I)),G5339=1),MAX($H$3:OFFSET(H5339,-1,0))+1,0)</f>
        <v>0</v>
      </c>
      <c r="I5339" s="3" t="s">
        <v>422</v>
      </c>
      <c r="K5339" s="2">
        <f>IF(ISNUMBER(SEARCH(Лист2!$B$4,F:F)),1,0)</f>
        <v>0</v>
      </c>
      <c r="L5339" s="14">
        <f>IF(ISNUMBER(SEARCH(Лист2!$B$5,I:I)),1,0)+K5339</f>
        <v>0</v>
      </c>
      <c r="M5339" s="3">
        <f ca="1">IF(AND(N5339&lt;&gt;N5338,ISNUMBER(SEARCH(Лист2!$B$6,N:N)),L5339=2),MAX($M$3:OFFSET(M5339,-1,0))+1,0)</f>
        <v>0</v>
      </c>
      <c r="N5339" s="3" t="s">
        <v>3206</v>
      </c>
    </row>
    <row r="5340" spans="1:14" x14ac:dyDescent="0.25">
      <c r="A5340" s="1" t="s">
        <v>13990</v>
      </c>
      <c r="B5340" s="3" t="s">
        <v>8964</v>
      </c>
      <c r="C5340" s="2">
        <f ca="1">IF(ISNUMBER(SEARCH(Лист2!$B$4,D:D)),MAX($C$3:OFFSET(C5340,-1,0))+1,0)</f>
        <v>0</v>
      </c>
      <c r="E5340" s="9" t="str">
        <f t="shared" ca="1" si="95"/>
        <v/>
      </c>
      <c r="F5340" s="4" t="s">
        <v>33</v>
      </c>
      <c r="G5340" s="2">
        <f>IF(ISNUMBER(SEARCH(Лист2!$B$4,F:F)),1,0)</f>
        <v>0</v>
      </c>
      <c r="H5340" s="3">
        <f ca="1">IF(AND(I5340&lt;&gt;I5339,ISNUMBER(SEARCH(Лист2!$B$5,I:I)),G5340=1),MAX($H$3:OFFSET(H5340,-1,0))+1,0)</f>
        <v>0</v>
      </c>
      <c r="I5340" s="3" t="s">
        <v>422</v>
      </c>
      <c r="K5340" s="2">
        <f>IF(ISNUMBER(SEARCH(Лист2!$B$4,F:F)),1,0)</f>
        <v>0</v>
      </c>
      <c r="L5340" s="14">
        <f>IF(ISNUMBER(SEARCH(Лист2!$B$5,I:I)),1,0)+K5340</f>
        <v>0</v>
      </c>
      <c r="M5340" s="3">
        <f ca="1">IF(AND(N5340&lt;&gt;N5339,ISNUMBER(SEARCH(Лист2!$B$6,N:N)),L5340=2),MAX($M$3:OFFSET(M5340,-1,0))+1,0)</f>
        <v>0</v>
      </c>
      <c r="N5340" s="3" t="s">
        <v>2568</v>
      </c>
    </row>
    <row r="5341" spans="1:14" x14ac:dyDescent="0.25">
      <c r="A5341" s="1" t="s">
        <v>13991</v>
      </c>
      <c r="B5341" s="3" t="s">
        <v>8965</v>
      </c>
      <c r="C5341" s="2">
        <f ca="1">IF(ISNUMBER(SEARCH(Лист2!$B$4,D:D)),MAX($C$3:OFFSET(C5341,-1,0))+1,0)</f>
        <v>0</v>
      </c>
      <c r="E5341" s="9" t="str">
        <f t="shared" ca="1" si="95"/>
        <v/>
      </c>
      <c r="F5341" s="4" t="s">
        <v>33</v>
      </c>
      <c r="G5341" s="2">
        <f>IF(ISNUMBER(SEARCH(Лист2!$B$4,F:F)),1,0)</f>
        <v>0</v>
      </c>
      <c r="H5341" s="3">
        <f ca="1">IF(AND(I5341&lt;&gt;I5340,ISNUMBER(SEARCH(Лист2!$B$5,I:I)),G5341=1),MAX($H$3:OFFSET(H5341,-1,0))+1,0)</f>
        <v>0</v>
      </c>
      <c r="I5341" s="3" t="s">
        <v>422</v>
      </c>
      <c r="K5341" s="2">
        <f>IF(ISNUMBER(SEARCH(Лист2!$B$4,F:F)),1,0)</f>
        <v>0</v>
      </c>
      <c r="L5341" s="14">
        <f>IF(ISNUMBER(SEARCH(Лист2!$B$5,I:I)),1,0)+K5341</f>
        <v>0</v>
      </c>
      <c r="M5341" s="3">
        <f ca="1">IF(AND(N5341&lt;&gt;N5340,ISNUMBER(SEARCH(Лист2!$B$6,N:N)),L5341=2),MAX($M$3:OFFSET(M5341,-1,0))+1,0)</f>
        <v>0</v>
      </c>
      <c r="N5341" s="3" t="s">
        <v>3207</v>
      </c>
    </row>
    <row r="5342" spans="1:14" x14ac:dyDescent="0.25">
      <c r="A5342" s="1" t="s">
        <v>13992</v>
      </c>
      <c r="B5342" s="3" t="s">
        <v>8966</v>
      </c>
      <c r="C5342" s="2">
        <f ca="1">IF(ISNUMBER(SEARCH(Лист2!$B$4,D:D)),MAX($C$3:OFFSET(C5342,-1,0))+1,0)</f>
        <v>0</v>
      </c>
      <c r="E5342" s="9" t="str">
        <f t="shared" ca="1" si="95"/>
        <v/>
      </c>
      <c r="F5342" s="4" t="s">
        <v>33</v>
      </c>
      <c r="G5342" s="2">
        <f>IF(ISNUMBER(SEARCH(Лист2!$B$4,F:F)),1,0)</f>
        <v>0</v>
      </c>
      <c r="H5342" s="3">
        <f ca="1">IF(AND(I5342&lt;&gt;I5341,ISNUMBER(SEARCH(Лист2!$B$5,I:I)),G5342=1),MAX($H$3:OFFSET(H5342,-1,0))+1,0)</f>
        <v>0</v>
      </c>
      <c r="I5342" s="3" t="s">
        <v>422</v>
      </c>
      <c r="K5342" s="2">
        <f>IF(ISNUMBER(SEARCH(Лист2!$B$4,F:F)),1,0)</f>
        <v>0</v>
      </c>
      <c r="L5342" s="14">
        <f>IF(ISNUMBER(SEARCH(Лист2!$B$5,I:I)),1,0)+K5342</f>
        <v>0</v>
      </c>
      <c r="M5342" s="3">
        <f ca="1">IF(AND(N5342&lt;&gt;N5341,ISNUMBER(SEARCH(Лист2!$B$6,N:N)),L5342=2),MAX($M$3:OFFSET(M5342,-1,0))+1,0)</f>
        <v>0</v>
      </c>
      <c r="N5342" s="3" t="s">
        <v>3208</v>
      </c>
    </row>
    <row r="5343" spans="1:14" x14ac:dyDescent="0.25">
      <c r="A5343" s="1" t="s">
        <v>13993</v>
      </c>
      <c r="B5343" s="3" t="s">
        <v>8967</v>
      </c>
      <c r="C5343" s="2">
        <f ca="1">IF(ISNUMBER(SEARCH(Лист2!$B$4,D:D)),MAX($C$3:OFFSET(C5343,-1,0))+1,0)</f>
        <v>0</v>
      </c>
      <c r="E5343" s="9" t="str">
        <f t="shared" ca="1" si="95"/>
        <v/>
      </c>
      <c r="F5343" s="4" t="s">
        <v>33</v>
      </c>
      <c r="G5343" s="2">
        <f>IF(ISNUMBER(SEARCH(Лист2!$B$4,F:F)),1,0)</f>
        <v>0</v>
      </c>
      <c r="H5343" s="3">
        <f ca="1">IF(AND(I5343&lt;&gt;I5342,ISNUMBER(SEARCH(Лист2!$B$5,I:I)),G5343=1),MAX($H$3:OFFSET(H5343,-1,0))+1,0)</f>
        <v>0</v>
      </c>
      <c r="I5343" s="3" t="s">
        <v>422</v>
      </c>
      <c r="K5343" s="2">
        <f>IF(ISNUMBER(SEARCH(Лист2!$B$4,F:F)),1,0)</f>
        <v>0</v>
      </c>
      <c r="L5343" s="14">
        <f>IF(ISNUMBER(SEARCH(Лист2!$B$5,I:I)),1,0)+K5343</f>
        <v>0</v>
      </c>
      <c r="M5343" s="3">
        <f ca="1">IF(AND(N5343&lt;&gt;N5342,ISNUMBER(SEARCH(Лист2!$B$6,N:N)),L5343=2),MAX($M$3:OFFSET(M5343,-1,0))+1,0)</f>
        <v>0</v>
      </c>
      <c r="N5343" s="3" t="s">
        <v>3209</v>
      </c>
    </row>
    <row r="5344" spans="1:14" x14ac:dyDescent="0.25">
      <c r="A5344" s="1" t="s">
        <v>13994</v>
      </c>
      <c r="B5344" s="3" t="s">
        <v>8968</v>
      </c>
      <c r="C5344" s="2">
        <f ca="1">IF(ISNUMBER(SEARCH(Лист2!$B$4,D:D)),MAX($C$3:OFFSET(C5344,-1,0))+1,0)</f>
        <v>0</v>
      </c>
      <c r="E5344" s="9" t="str">
        <f t="shared" ca="1" si="95"/>
        <v/>
      </c>
      <c r="F5344" s="4" t="s">
        <v>33</v>
      </c>
      <c r="G5344" s="2">
        <f>IF(ISNUMBER(SEARCH(Лист2!$B$4,F:F)),1,0)</f>
        <v>0</v>
      </c>
      <c r="H5344" s="3">
        <f ca="1">IF(AND(I5344&lt;&gt;I5343,ISNUMBER(SEARCH(Лист2!$B$5,I:I)),G5344=1),MAX($H$3:OFFSET(H5344,-1,0))+1,0)</f>
        <v>0</v>
      </c>
      <c r="I5344" s="3" t="s">
        <v>422</v>
      </c>
      <c r="K5344" s="2">
        <f>IF(ISNUMBER(SEARCH(Лист2!$B$4,F:F)),1,0)</f>
        <v>0</v>
      </c>
      <c r="L5344" s="14">
        <f>IF(ISNUMBER(SEARCH(Лист2!$B$5,I:I)),1,0)+K5344</f>
        <v>0</v>
      </c>
      <c r="M5344" s="3">
        <f ca="1">IF(AND(N5344&lt;&gt;N5343,ISNUMBER(SEARCH(Лист2!$B$6,N:N)),L5344=2),MAX($M$3:OFFSET(M5344,-1,0))+1,0)</f>
        <v>0</v>
      </c>
      <c r="N5344" s="3" t="s">
        <v>3210</v>
      </c>
    </row>
    <row r="5345" spans="1:14" x14ac:dyDescent="0.25">
      <c r="A5345" s="1" t="s">
        <v>13995</v>
      </c>
      <c r="B5345" s="3" t="s">
        <v>8969</v>
      </c>
      <c r="C5345" s="2">
        <f ca="1">IF(ISNUMBER(SEARCH(Лист2!$B$4,D:D)),MAX($C$3:OFFSET(C5345,-1,0))+1,0)</f>
        <v>0</v>
      </c>
      <c r="E5345" s="9" t="str">
        <f t="shared" ca="1" si="95"/>
        <v/>
      </c>
      <c r="F5345" s="4" t="s">
        <v>33</v>
      </c>
      <c r="G5345" s="2">
        <f>IF(ISNUMBER(SEARCH(Лист2!$B$4,F:F)),1,0)</f>
        <v>0</v>
      </c>
      <c r="H5345" s="3">
        <f ca="1">IF(AND(I5345&lt;&gt;I5344,ISNUMBER(SEARCH(Лист2!$B$5,I:I)),G5345=1),MAX($H$3:OFFSET(H5345,-1,0))+1,0)</f>
        <v>0</v>
      </c>
      <c r="I5345" s="3" t="s">
        <v>422</v>
      </c>
      <c r="K5345" s="2">
        <f>IF(ISNUMBER(SEARCH(Лист2!$B$4,F:F)),1,0)</f>
        <v>0</v>
      </c>
      <c r="L5345" s="14">
        <f>IF(ISNUMBER(SEARCH(Лист2!$B$5,I:I)),1,0)+K5345</f>
        <v>0</v>
      </c>
      <c r="M5345" s="3">
        <f ca="1">IF(AND(N5345&lt;&gt;N5344,ISNUMBER(SEARCH(Лист2!$B$6,N:N)),L5345=2),MAX($M$3:OFFSET(M5345,-1,0))+1,0)</f>
        <v>0</v>
      </c>
      <c r="N5345" s="3" t="s">
        <v>2569</v>
      </c>
    </row>
    <row r="5346" spans="1:14" x14ac:dyDescent="0.25">
      <c r="A5346" s="1" t="s">
        <v>13989</v>
      </c>
      <c r="B5346" s="3" t="s">
        <v>8970</v>
      </c>
      <c r="C5346" s="2">
        <f ca="1">IF(ISNUMBER(SEARCH(Лист2!$B$4,D:D)),MAX($C$3:OFFSET(C5346,-1,0))+1,0)</f>
        <v>0</v>
      </c>
      <c r="E5346" s="9" t="str">
        <f t="shared" ca="1" si="95"/>
        <v/>
      </c>
      <c r="F5346" s="4" t="s">
        <v>33</v>
      </c>
      <c r="G5346" s="2">
        <f>IF(ISNUMBER(SEARCH(Лист2!$B$4,F:F)),1,0)</f>
        <v>0</v>
      </c>
      <c r="H5346" s="3">
        <f ca="1">IF(AND(I5346&lt;&gt;I5345,ISNUMBER(SEARCH(Лист2!$B$5,I:I)),G5346=1),MAX($H$3:OFFSET(H5346,-1,0))+1,0)</f>
        <v>0</v>
      </c>
      <c r="I5346" s="3" t="s">
        <v>422</v>
      </c>
      <c r="K5346" s="2">
        <f>IF(ISNUMBER(SEARCH(Лист2!$B$4,F:F)),1,0)</f>
        <v>0</v>
      </c>
      <c r="L5346" s="14">
        <f>IF(ISNUMBER(SEARCH(Лист2!$B$5,I:I)),1,0)+K5346</f>
        <v>0</v>
      </c>
      <c r="M5346" s="3">
        <f ca="1">IF(AND(N5346&lt;&gt;N5345,ISNUMBER(SEARCH(Лист2!$B$6,N:N)),L5346=2),MAX($M$3:OFFSET(M5346,-1,0))+1,0)</f>
        <v>0</v>
      </c>
      <c r="N5346" s="3" t="s">
        <v>3206</v>
      </c>
    </row>
    <row r="5347" spans="1:14" x14ac:dyDescent="0.25">
      <c r="A5347" s="1" t="s">
        <v>13988</v>
      </c>
      <c r="B5347" s="3" t="s">
        <v>8971</v>
      </c>
      <c r="C5347" s="2">
        <f ca="1">IF(ISNUMBER(SEARCH(Лист2!$B$4,D:D)),MAX($C$3:OFFSET(C5347,-1,0))+1,0)</f>
        <v>0</v>
      </c>
      <c r="E5347" s="9" t="str">
        <f t="shared" ca="1" si="95"/>
        <v/>
      </c>
      <c r="F5347" s="4" t="s">
        <v>33</v>
      </c>
      <c r="G5347" s="2">
        <f>IF(ISNUMBER(SEARCH(Лист2!$B$4,F:F)),1,0)</f>
        <v>0</v>
      </c>
      <c r="H5347" s="3">
        <f ca="1">IF(AND(I5347&lt;&gt;I5346,ISNUMBER(SEARCH(Лист2!$B$5,I:I)),G5347=1),MAX($H$3:OFFSET(H5347,-1,0))+1,0)</f>
        <v>0</v>
      </c>
      <c r="I5347" s="3" t="s">
        <v>422</v>
      </c>
      <c r="K5347" s="2">
        <f>IF(ISNUMBER(SEARCH(Лист2!$B$4,F:F)),1,0)</f>
        <v>0</v>
      </c>
      <c r="L5347" s="14">
        <f>IF(ISNUMBER(SEARCH(Лист2!$B$5,I:I)),1,0)+K5347</f>
        <v>0</v>
      </c>
      <c r="M5347" s="3">
        <f ca="1">IF(AND(N5347&lt;&gt;N5346,ISNUMBER(SEARCH(Лист2!$B$6,N:N)),L5347=2),MAX($M$3:OFFSET(M5347,-1,0))+1,0)</f>
        <v>0</v>
      </c>
      <c r="N5347" s="3" t="s">
        <v>3205</v>
      </c>
    </row>
    <row r="5348" spans="1:14" x14ac:dyDescent="0.25">
      <c r="A5348" s="1" t="s">
        <v>13996</v>
      </c>
      <c r="B5348" s="3" t="s">
        <v>8972</v>
      </c>
      <c r="C5348" s="2">
        <f ca="1">IF(ISNUMBER(SEARCH(Лист2!$B$4,D:D)),MAX($C$3:OFFSET(C5348,-1,0))+1,0)</f>
        <v>0</v>
      </c>
      <c r="E5348" s="9" t="str">
        <f t="shared" ca="1" si="95"/>
        <v/>
      </c>
      <c r="F5348" s="4" t="s">
        <v>33</v>
      </c>
      <c r="G5348" s="2">
        <f>IF(ISNUMBER(SEARCH(Лист2!$B$4,F:F)),1,0)</f>
        <v>0</v>
      </c>
      <c r="H5348" s="3">
        <f ca="1">IF(AND(I5348&lt;&gt;I5347,ISNUMBER(SEARCH(Лист2!$B$5,I:I)),G5348=1),MAX($H$3:OFFSET(H5348,-1,0))+1,0)</f>
        <v>0</v>
      </c>
      <c r="I5348" s="3" t="s">
        <v>422</v>
      </c>
      <c r="K5348" s="2">
        <f>IF(ISNUMBER(SEARCH(Лист2!$B$4,F:F)),1,0)</f>
        <v>0</v>
      </c>
      <c r="L5348" s="14">
        <f>IF(ISNUMBER(SEARCH(Лист2!$B$5,I:I)),1,0)+K5348</f>
        <v>0</v>
      </c>
      <c r="M5348" s="3">
        <f ca="1">IF(AND(N5348&lt;&gt;N5347,ISNUMBER(SEARCH(Лист2!$B$6,N:N)),L5348=2),MAX($M$3:OFFSET(M5348,-1,0))+1,0)</f>
        <v>0</v>
      </c>
      <c r="N5348" s="3" t="s">
        <v>3211</v>
      </c>
    </row>
    <row r="5349" spans="1:14" x14ac:dyDescent="0.25">
      <c r="A5349" s="1" t="s">
        <v>13997</v>
      </c>
      <c r="B5349" s="3" t="s">
        <v>8973</v>
      </c>
      <c r="C5349" s="2">
        <f ca="1">IF(ISNUMBER(SEARCH(Лист2!$B$4,D:D)),MAX($C$3:OFFSET(C5349,-1,0))+1,0)</f>
        <v>0</v>
      </c>
      <c r="E5349" s="9" t="str">
        <f t="shared" ca="1" si="95"/>
        <v/>
      </c>
      <c r="F5349" s="4" t="s">
        <v>33</v>
      </c>
      <c r="G5349" s="2">
        <f>IF(ISNUMBER(SEARCH(Лист2!$B$4,F:F)),1,0)</f>
        <v>0</v>
      </c>
      <c r="H5349" s="3">
        <f ca="1">IF(AND(I5349&lt;&gt;I5348,ISNUMBER(SEARCH(Лист2!$B$5,I:I)),G5349=1),MAX($H$3:OFFSET(H5349,-1,0))+1,0)</f>
        <v>0</v>
      </c>
      <c r="I5349" s="3" t="s">
        <v>423</v>
      </c>
      <c r="K5349" s="2">
        <f>IF(ISNUMBER(SEARCH(Лист2!$B$4,F:F)),1,0)</f>
        <v>0</v>
      </c>
      <c r="L5349" s="14">
        <f>IF(ISNUMBER(SEARCH(Лист2!$B$5,I:I)),1,0)+K5349</f>
        <v>0</v>
      </c>
      <c r="M5349" s="3">
        <f ca="1">IF(AND(N5349&lt;&gt;N5348,ISNUMBER(SEARCH(Лист2!$B$6,N:N)),L5349=2),MAX($M$3:OFFSET(M5349,-1,0))+1,0)</f>
        <v>0</v>
      </c>
      <c r="N5349" s="3" t="s">
        <v>2705</v>
      </c>
    </row>
    <row r="5350" spans="1:14" x14ac:dyDescent="0.25">
      <c r="A5350" s="1" t="s">
        <v>13998</v>
      </c>
      <c r="B5350" s="3" t="s">
        <v>8974</v>
      </c>
      <c r="C5350" s="2">
        <f ca="1">IF(ISNUMBER(SEARCH(Лист2!$B$4,D:D)),MAX($C$3:OFFSET(C5350,-1,0))+1,0)</f>
        <v>0</v>
      </c>
      <c r="E5350" s="9" t="str">
        <f t="shared" ca="1" si="95"/>
        <v/>
      </c>
      <c r="F5350" s="4" t="s">
        <v>33</v>
      </c>
      <c r="G5350" s="2">
        <f>IF(ISNUMBER(SEARCH(Лист2!$B$4,F:F)),1,0)</f>
        <v>0</v>
      </c>
      <c r="H5350" s="3">
        <f ca="1">IF(AND(I5350&lt;&gt;I5349,ISNUMBER(SEARCH(Лист2!$B$5,I:I)),G5350=1),MAX($H$3:OFFSET(H5350,-1,0))+1,0)</f>
        <v>0</v>
      </c>
      <c r="I5350" s="3" t="s">
        <v>423</v>
      </c>
      <c r="K5350" s="2">
        <f>IF(ISNUMBER(SEARCH(Лист2!$B$4,F:F)),1,0)</f>
        <v>0</v>
      </c>
      <c r="L5350" s="14">
        <f>IF(ISNUMBER(SEARCH(Лист2!$B$5,I:I)),1,0)+K5350</f>
        <v>0</v>
      </c>
      <c r="M5350" s="3">
        <f ca="1">IF(AND(N5350&lt;&gt;N5349,ISNUMBER(SEARCH(Лист2!$B$6,N:N)),L5350=2),MAX($M$3:OFFSET(M5350,-1,0))+1,0)</f>
        <v>0</v>
      </c>
      <c r="N5350" s="3" t="s">
        <v>3119</v>
      </c>
    </row>
    <row r="5351" spans="1:14" x14ac:dyDescent="0.25">
      <c r="A5351" s="1" t="s">
        <v>13999</v>
      </c>
      <c r="B5351" s="3" t="s">
        <v>8975</v>
      </c>
      <c r="C5351" s="2">
        <f ca="1">IF(ISNUMBER(SEARCH(Лист2!$B$4,D:D)),MAX($C$3:OFFSET(C5351,-1,0))+1,0)</f>
        <v>0</v>
      </c>
      <c r="E5351" s="9" t="str">
        <f t="shared" ca="1" si="95"/>
        <v/>
      </c>
      <c r="F5351" s="4" t="s">
        <v>33</v>
      </c>
      <c r="G5351" s="2">
        <f>IF(ISNUMBER(SEARCH(Лист2!$B$4,F:F)),1,0)</f>
        <v>0</v>
      </c>
      <c r="H5351" s="3">
        <f ca="1">IF(AND(I5351&lt;&gt;I5350,ISNUMBER(SEARCH(Лист2!$B$5,I:I)),G5351=1),MAX($H$3:OFFSET(H5351,-1,0))+1,0)</f>
        <v>0</v>
      </c>
      <c r="I5351" s="3" t="s">
        <v>423</v>
      </c>
      <c r="K5351" s="2">
        <f>IF(ISNUMBER(SEARCH(Лист2!$B$4,F:F)),1,0)</f>
        <v>0</v>
      </c>
      <c r="L5351" s="14">
        <f>IF(ISNUMBER(SEARCH(Лист2!$B$5,I:I)),1,0)+K5351</f>
        <v>0</v>
      </c>
      <c r="M5351" s="3">
        <f ca="1">IF(AND(N5351&lt;&gt;N5350,ISNUMBER(SEARCH(Лист2!$B$6,N:N)),L5351=2),MAX($M$3:OFFSET(M5351,-1,0))+1,0)</f>
        <v>0</v>
      </c>
      <c r="N5351" s="3" t="s">
        <v>3120</v>
      </c>
    </row>
    <row r="5352" spans="1:14" x14ac:dyDescent="0.25">
      <c r="A5352" s="1" t="s">
        <v>14000</v>
      </c>
      <c r="B5352" s="3" t="s">
        <v>8976</v>
      </c>
      <c r="C5352" s="2">
        <f ca="1">IF(ISNUMBER(SEARCH(Лист2!$B$4,D:D)),MAX($C$3:OFFSET(C5352,-1,0))+1,0)</f>
        <v>0</v>
      </c>
      <c r="E5352" s="9" t="str">
        <f t="shared" ca="1" si="95"/>
        <v/>
      </c>
      <c r="F5352" s="4" t="s">
        <v>33</v>
      </c>
      <c r="G5352" s="2">
        <f>IF(ISNUMBER(SEARCH(Лист2!$B$4,F:F)),1,0)</f>
        <v>0</v>
      </c>
      <c r="H5352" s="3">
        <f ca="1">IF(AND(I5352&lt;&gt;I5351,ISNUMBER(SEARCH(Лист2!$B$5,I:I)),G5352=1),MAX($H$3:OFFSET(H5352,-1,0))+1,0)</f>
        <v>0</v>
      </c>
      <c r="I5352" s="3" t="s">
        <v>423</v>
      </c>
      <c r="K5352" s="2">
        <f>IF(ISNUMBER(SEARCH(Лист2!$B$4,F:F)),1,0)</f>
        <v>0</v>
      </c>
      <c r="L5352" s="14">
        <f>IF(ISNUMBER(SEARCH(Лист2!$B$5,I:I)),1,0)+K5352</f>
        <v>0</v>
      </c>
      <c r="M5352" s="3">
        <f ca="1">IF(AND(N5352&lt;&gt;N5351,ISNUMBER(SEARCH(Лист2!$B$6,N:N)),L5352=2),MAX($M$3:OFFSET(M5352,-1,0))+1,0)</f>
        <v>0</v>
      </c>
      <c r="N5352" s="3" t="s">
        <v>3212</v>
      </c>
    </row>
    <row r="5353" spans="1:14" x14ac:dyDescent="0.25">
      <c r="A5353" s="1" t="s">
        <v>14001</v>
      </c>
      <c r="B5353" s="3" t="s">
        <v>8977</v>
      </c>
      <c r="C5353" s="2">
        <f ca="1">IF(ISNUMBER(SEARCH(Лист2!$B$4,D:D)),MAX($C$3:OFFSET(C5353,-1,0))+1,0)</f>
        <v>0</v>
      </c>
      <c r="E5353" s="9" t="str">
        <f t="shared" ca="1" si="95"/>
        <v/>
      </c>
      <c r="F5353" s="4" t="s">
        <v>33</v>
      </c>
      <c r="G5353" s="2">
        <f>IF(ISNUMBER(SEARCH(Лист2!$B$4,F:F)),1,0)</f>
        <v>0</v>
      </c>
      <c r="H5353" s="3">
        <f ca="1">IF(AND(I5353&lt;&gt;I5352,ISNUMBER(SEARCH(Лист2!$B$5,I:I)),G5353=1),MAX($H$3:OFFSET(H5353,-1,0))+1,0)</f>
        <v>0</v>
      </c>
      <c r="I5353" s="3" t="s">
        <v>423</v>
      </c>
      <c r="K5353" s="2">
        <f>IF(ISNUMBER(SEARCH(Лист2!$B$4,F:F)),1,0)</f>
        <v>0</v>
      </c>
      <c r="L5353" s="14">
        <f>IF(ISNUMBER(SEARCH(Лист2!$B$5,I:I)),1,0)+K5353</f>
        <v>0</v>
      </c>
      <c r="M5353" s="3">
        <f ca="1">IF(AND(N5353&lt;&gt;N5352,ISNUMBER(SEARCH(Лист2!$B$6,N:N)),L5353=2),MAX($M$3:OFFSET(M5353,-1,0))+1,0)</f>
        <v>0</v>
      </c>
      <c r="N5353" s="3" t="s">
        <v>3213</v>
      </c>
    </row>
    <row r="5354" spans="1:14" x14ac:dyDescent="0.25">
      <c r="A5354" s="1" t="s">
        <v>14002</v>
      </c>
      <c r="B5354" s="3" t="s">
        <v>8978</v>
      </c>
      <c r="C5354" s="2">
        <f ca="1">IF(ISNUMBER(SEARCH(Лист2!$B$4,D:D)),MAX($C$3:OFFSET(C5354,-1,0))+1,0)</f>
        <v>0</v>
      </c>
      <c r="E5354" s="9" t="str">
        <f t="shared" ca="1" si="95"/>
        <v/>
      </c>
      <c r="F5354" s="4" t="s">
        <v>33</v>
      </c>
      <c r="G5354" s="2">
        <f>IF(ISNUMBER(SEARCH(Лист2!$B$4,F:F)),1,0)</f>
        <v>0</v>
      </c>
      <c r="H5354" s="3">
        <f ca="1">IF(AND(I5354&lt;&gt;I5353,ISNUMBER(SEARCH(Лист2!$B$5,I:I)),G5354=1),MAX($H$3:OFFSET(H5354,-1,0))+1,0)</f>
        <v>0</v>
      </c>
      <c r="I5354" s="3" t="s">
        <v>423</v>
      </c>
      <c r="K5354" s="2">
        <f>IF(ISNUMBER(SEARCH(Лист2!$B$4,F:F)),1,0)</f>
        <v>0</v>
      </c>
      <c r="L5354" s="14">
        <f>IF(ISNUMBER(SEARCH(Лист2!$B$5,I:I)),1,0)+K5354</f>
        <v>0</v>
      </c>
      <c r="M5354" s="3">
        <f ca="1">IF(AND(N5354&lt;&gt;N5353,ISNUMBER(SEARCH(Лист2!$B$6,N:N)),L5354=2),MAX($M$3:OFFSET(M5354,-1,0))+1,0)</f>
        <v>0</v>
      </c>
      <c r="N5354" s="3" t="s">
        <v>3214</v>
      </c>
    </row>
    <row r="5355" spans="1:14" x14ac:dyDescent="0.25">
      <c r="A5355" s="1" t="s">
        <v>14003</v>
      </c>
      <c r="B5355" s="3" t="s">
        <v>8979</v>
      </c>
      <c r="C5355" s="2">
        <f ca="1">IF(ISNUMBER(SEARCH(Лист2!$B$4,D:D)),MAX($C$3:OFFSET(C5355,-1,0))+1,0)</f>
        <v>0</v>
      </c>
      <c r="E5355" s="9" t="str">
        <f t="shared" ca="1" si="95"/>
        <v/>
      </c>
      <c r="F5355" s="4" t="s">
        <v>33</v>
      </c>
      <c r="G5355" s="2">
        <f>IF(ISNUMBER(SEARCH(Лист2!$B$4,F:F)),1,0)</f>
        <v>0</v>
      </c>
      <c r="H5355" s="3">
        <f ca="1">IF(AND(I5355&lt;&gt;I5354,ISNUMBER(SEARCH(Лист2!$B$5,I:I)),G5355=1),MAX($H$3:OFFSET(H5355,-1,0))+1,0)</f>
        <v>0</v>
      </c>
      <c r="I5355" s="3" t="s">
        <v>423</v>
      </c>
      <c r="K5355" s="2">
        <f>IF(ISNUMBER(SEARCH(Лист2!$B$4,F:F)),1,0)</f>
        <v>0</v>
      </c>
      <c r="L5355" s="14">
        <f>IF(ISNUMBER(SEARCH(Лист2!$B$5,I:I)),1,0)+K5355</f>
        <v>0</v>
      </c>
      <c r="M5355" s="3">
        <f ca="1">IF(AND(N5355&lt;&gt;N5354,ISNUMBER(SEARCH(Лист2!$B$6,N:N)),L5355=2),MAX($M$3:OFFSET(M5355,-1,0))+1,0)</f>
        <v>0</v>
      </c>
      <c r="N5355" s="3" t="s">
        <v>3215</v>
      </c>
    </row>
    <row r="5356" spans="1:14" x14ac:dyDescent="0.25">
      <c r="A5356" s="1" t="s">
        <v>14004</v>
      </c>
      <c r="B5356" s="3" t="s">
        <v>8980</v>
      </c>
      <c r="C5356" s="2">
        <f ca="1">IF(ISNUMBER(SEARCH(Лист2!$B$4,D:D)),MAX($C$3:OFFSET(C5356,-1,0))+1,0)</f>
        <v>0</v>
      </c>
      <c r="E5356" s="9" t="str">
        <f t="shared" ca="1" si="95"/>
        <v/>
      </c>
      <c r="F5356" s="4" t="s">
        <v>33</v>
      </c>
      <c r="G5356" s="2">
        <f>IF(ISNUMBER(SEARCH(Лист2!$B$4,F:F)),1,0)</f>
        <v>0</v>
      </c>
      <c r="H5356" s="3">
        <f ca="1">IF(AND(I5356&lt;&gt;I5355,ISNUMBER(SEARCH(Лист2!$B$5,I:I)),G5356=1),MAX($H$3:OFFSET(H5356,-1,0))+1,0)</f>
        <v>0</v>
      </c>
      <c r="I5356" s="3" t="s">
        <v>423</v>
      </c>
      <c r="K5356" s="2">
        <f>IF(ISNUMBER(SEARCH(Лист2!$B$4,F:F)),1,0)</f>
        <v>0</v>
      </c>
      <c r="L5356" s="14">
        <f>IF(ISNUMBER(SEARCH(Лист2!$B$5,I:I)),1,0)+K5356</f>
        <v>0</v>
      </c>
      <c r="M5356" s="3">
        <f ca="1">IF(AND(N5356&lt;&gt;N5355,ISNUMBER(SEARCH(Лист2!$B$6,N:N)),L5356=2),MAX($M$3:OFFSET(M5356,-1,0))+1,0)</f>
        <v>0</v>
      </c>
      <c r="N5356" s="3" t="s">
        <v>3216</v>
      </c>
    </row>
    <row r="5357" spans="1:14" x14ac:dyDescent="0.25">
      <c r="A5357" s="1" t="s">
        <v>14005</v>
      </c>
      <c r="B5357" s="3" t="s">
        <v>8981</v>
      </c>
      <c r="C5357" s="2">
        <f ca="1">IF(ISNUMBER(SEARCH(Лист2!$B$4,D:D)),MAX($C$3:OFFSET(C5357,-1,0))+1,0)</f>
        <v>0</v>
      </c>
      <c r="E5357" s="9" t="str">
        <f t="shared" ca="1" si="95"/>
        <v/>
      </c>
      <c r="F5357" s="4" t="s">
        <v>33</v>
      </c>
      <c r="G5357" s="2">
        <f>IF(ISNUMBER(SEARCH(Лист2!$B$4,F:F)),1,0)</f>
        <v>0</v>
      </c>
      <c r="H5357" s="3">
        <f ca="1">IF(AND(I5357&lt;&gt;I5356,ISNUMBER(SEARCH(Лист2!$B$5,I:I)),G5357=1),MAX($H$3:OFFSET(H5357,-1,0))+1,0)</f>
        <v>0</v>
      </c>
      <c r="I5357" s="3" t="s">
        <v>424</v>
      </c>
      <c r="K5357" s="2">
        <f>IF(ISNUMBER(SEARCH(Лист2!$B$4,F:F)),1,0)</f>
        <v>0</v>
      </c>
      <c r="L5357" s="14">
        <f>IF(ISNUMBER(SEARCH(Лист2!$B$5,I:I)),1,0)+K5357</f>
        <v>0</v>
      </c>
      <c r="M5357" s="3">
        <f ca="1">IF(AND(N5357&lt;&gt;N5356,ISNUMBER(SEARCH(Лист2!$B$6,N:N)),L5357=2),MAX($M$3:OFFSET(M5357,-1,0))+1,0)</f>
        <v>0</v>
      </c>
      <c r="N5357" s="3" t="s">
        <v>2705</v>
      </c>
    </row>
    <row r="5358" spans="1:14" x14ac:dyDescent="0.25">
      <c r="A5358" s="1" t="s">
        <v>14006</v>
      </c>
      <c r="B5358" s="3" t="s">
        <v>8982</v>
      </c>
      <c r="C5358" s="2">
        <f ca="1">IF(ISNUMBER(SEARCH(Лист2!$B$4,D:D)),MAX($C$3:OFFSET(C5358,-1,0))+1,0)</f>
        <v>0</v>
      </c>
      <c r="E5358" s="9" t="str">
        <f t="shared" ca="1" si="95"/>
        <v/>
      </c>
      <c r="F5358" s="4" t="s">
        <v>33</v>
      </c>
      <c r="G5358" s="2">
        <f>IF(ISNUMBER(SEARCH(Лист2!$B$4,F:F)),1,0)</f>
        <v>0</v>
      </c>
      <c r="H5358" s="3">
        <f ca="1">IF(AND(I5358&lt;&gt;I5357,ISNUMBER(SEARCH(Лист2!$B$5,I:I)),G5358=1),MAX($H$3:OFFSET(H5358,-1,0))+1,0)</f>
        <v>0</v>
      </c>
      <c r="I5358" s="3" t="s">
        <v>424</v>
      </c>
      <c r="K5358" s="2">
        <f>IF(ISNUMBER(SEARCH(Лист2!$B$4,F:F)),1,0)</f>
        <v>0</v>
      </c>
      <c r="L5358" s="14">
        <f>IF(ISNUMBER(SEARCH(Лист2!$B$5,I:I)),1,0)+K5358</f>
        <v>0</v>
      </c>
      <c r="M5358" s="3">
        <f ca="1">IF(AND(N5358&lt;&gt;N5357,ISNUMBER(SEARCH(Лист2!$B$6,N:N)),L5358=2),MAX($M$3:OFFSET(M5358,-1,0))+1,0)</f>
        <v>0</v>
      </c>
      <c r="N5358" s="3" t="s">
        <v>3124</v>
      </c>
    </row>
    <row r="5359" spans="1:14" x14ac:dyDescent="0.25">
      <c r="A5359" s="1" t="s">
        <v>14007</v>
      </c>
      <c r="B5359" s="3" t="s">
        <v>8983</v>
      </c>
      <c r="C5359" s="2">
        <f ca="1">IF(ISNUMBER(SEARCH(Лист2!$B$4,D:D)),MAX($C$3:OFFSET(C5359,-1,0))+1,0)</f>
        <v>0</v>
      </c>
      <c r="E5359" s="9" t="str">
        <f t="shared" ca="1" si="95"/>
        <v/>
      </c>
      <c r="F5359" s="4" t="s">
        <v>33</v>
      </c>
      <c r="G5359" s="2">
        <f>IF(ISNUMBER(SEARCH(Лист2!$B$4,F:F)),1,0)</f>
        <v>0</v>
      </c>
      <c r="H5359" s="3">
        <f ca="1">IF(AND(I5359&lt;&gt;I5358,ISNUMBER(SEARCH(Лист2!$B$5,I:I)),G5359=1),MAX($H$3:OFFSET(H5359,-1,0))+1,0)</f>
        <v>0</v>
      </c>
      <c r="I5359" s="3" t="s">
        <v>424</v>
      </c>
      <c r="K5359" s="2">
        <f>IF(ISNUMBER(SEARCH(Лист2!$B$4,F:F)),1,0)</f>
        <v>0</v>
      </c>
      <c r="L5359" s="14">
        <f>IF(ISNUMBER(SEARCH(Лист2!$B$5,I:I)),1,0)+K5359</f>
        <v>0</v>
      </c>
      <c r="M5359" s="3">
        <f ca="1">IF(AND(N5359&lt;&gt;N5358,ISNUMBER(SEARCH(Лист2!$B$6,N:N)),L5359=2),MAX($M$3:OFFSET(M5359,-1,0))+1,0)</f>
        <v>0</v>
      </c>
      <c r="N5359" s="3" t="s">
        <v>3125</v>
      </c>
    </row>
    <row r="5360" spans="1:14" x14ac:dyDescent="0.25">
      <c r="A5360" s="1" t="s">
        <v>14008</v>
      </c>
      <c r="B5360" s="3" t="s">
        <v>8984</v>
      </c>
      <c r="C5360" s="2">
        <f ca="1">IF(ISNUMBER(SEARCH(Лист2!$B$4,D:D)),MAX($C$3:OFFSET(C5360,-1,0))+1,0)</f>
        <v>0</v>
      </c>
      <c r="E5360" s="9" t="str">
        <f t="shared" ca="1" si="95"/>
        <v/>
      </c>
      <c r="F5360" s="4" t="s">
        <v>33</v>
      </c>
      <c r="G5360" s="2">
        <f>IF(ISNUMBER(SEARCH(Лист2!$B$4,F:F)),1,0)</f>
        <v>0</v>
      </c>
      <c r="H5360" s="3">
        <f ca="1">IF(AND(I5360&lt;&gt;I5359,ISNUMBER(SEARCH(Лист2!$B$5,I:I)),G5360=1),MAX($H$3:OFFSET(H5360,-1,0))+1,0)</f>
        <v>0</v>
      </c>
      <c r="I5360" s="3" t="s">
        <v>424</v>
      </c>
      <c r="K5360" s="2">
        <f>IF(ISNUMBER(SEARCH(Лист2!$B$4,F:F)),1,0)</f>
        <v>0</v>
      </c>
      <c r="L5360" s="14">
        <f>IF(ISNUMBER(SEARCH(Лист2!$B$5,I:I)),1,0)+K5360</f>
        <v>0</v>
      </c>
      <c r="M5360" s="3">
        <f ca="1">IF(AND(N5360&lt;&gt;N5359,ISNUMBER(SEARCH(Лист2!$B$6,N:N)),L5360=2),MAX($M$3:OFFSET(M5360,-1,0))+1,0)</f>
        <v>0</v>
      </c>
      <c r="N5360" s="3" t="s">
        <v>3217</v>
      </c>
    </row>
    <row r="5361" spans="1:14" x14ac:dyDescent="0.25">
      <c r="A5361" s="1" t="s">
        <v>14009</v>
      </c>
      <c r="B5361" s="3" t="s">
        <v>8985</v>
      </c>
      <c r="C5361" s="2">
        <f ca="1">IF(ISNUMBER(SEARCH(Лист2!$B$4,D:D)),MAX($C$3:OFFSET(C5361,-1,0))+1,0)</f>
        <v>0</v>
      </c>
      <c r="E5361" s="9" t="str">
        <f t="shared" ca="1" si="95"/>
        <v/>
      </c>
      <c r="F5361" s="4" t="s">
        <v>33</v>
      </c>
      <c r="G5361" s="2">
        <f>IF(ISNUMBER(SEARCH(Лист2!$B$4,F:F)),1,0)</f>
        <v>0</v>
      </c>
      <c r="H5361" s="3">
        <f ca="1">IF(AND(I5361&lt;&gt;I5360,ISNUMBER(SEARCH(Лист2!$B$5,I:I)),G5361=1),MAX($H$3:OFFSET(H5361,-1,0))+1,0)</f>
        <v>0</v>
      </c>
      <c r="I5361" s="3" t="s">
        <v>424</v>
      </c>
      <c r="K5361" s="2">
        <f>IF(ISNUMBER(SEARCH(Лист2!$B$4,F:F)),1,0)</f>
        <v>0</v>
      </c>
      <c r="L5361" s="14">
        <f>IF(ISNUMBER(SEARCH(Лист2!$B$5,I:I)),1,0)+K5361</f>
        <v>0</v>
      </c>
      <c r="M5361" s="3">
        <f ca="1">IF(AND(N5361&lt;&gt;N5360,ISNUMBER(SEARCH(Лист2!$B$6,N:N)),L5361=2),MAX($M$3:OFFSET(M5361,-1,0))+1,0)</f>
        <v>0</v>
      </c>
      <c r="N5361" s="3" t="s">
        <v>3218</v>
      </c>
    </row>
    <row r="5362" spans="1:14" x14ac:dyDescent="0.25">
      <c r="A5362" s="1" t="s">
        <v>14010</v>
      </c>
      <c r="B5362" s="3" t="s">
        <v>8986</v>
      </c>
      <c r="C5362" s="2">
        <f ca="1">IF(ISNUMBER(SEARCH(Лист2!$B$4,D:D)),MAX($C$3:OFFSET(C5362,-1,0))+1,0)</f>
        <v>0</v>
      </c>
      <c r="E5362" s="9" t="str">
        <f t="shared" ca="1" si="95"/>
        <v/>
      </c>
      <c r="F5362" s="4" t="s">
        <v>33</v>
      </c>
      <c r="G5362" s="2">
        <f>IF(ISNUMBER(SEARCH(Лист2!$B$4,F:F)),1,0)</f>
        <v>0</v>
      </c>
      <c r="H5362" s="3">
        <f ca="1">IF(AND(I5362&lt;&gt;I5361,ISNUMBER(SEARCH(Лист2!$B$5,I:I)),G5362=1),MAX($H$3:OFFSET(H5362,-1,0))+1,0)</f>
        <v>0</v>
      </c>
      <c r="I5362" s="3" t="s">
        <v>424</v>
      </c>
      <c r="K5362" s="2">
        <f>IF(ISNUMBER(SEARCH(Лист2!$B$4,F:F)),1,0)</f>
        <v>0</v>
      </c>
      <c r="L5362" s="14">
        <f>IF(ISNUMBER(SEARCH(Лист2!$B$5,I:I)),1,0)+K5362</f>
        <v>0</v>
      </c>
      <c r="M5362" s="3">
        <f ca="1">IF(AND(N5362&lt;&gt;N5361,ISNUMBER(SEARCH(Лист2!$B$6,N:N)),L5362=2),MAX($M$3:OFFSET(M5362,-1,0))+1,0)</f>
        <v>0</v>
      </c>
      <c r="N5362" s="3" t="s">
        <v>3212</v>
      </c>
    </row>
    <row r="5363" spans="1:14" x14ac:dyDescent="0.25">
      <c r="A5363" s="1" t="s">
        <v>14011</v>
      </c>
      <c r="B5363" s="3" t="s">
        <v>8987</v>
      </c>
      <c r="C5363" s="2">
        <f ca="1">IF(ISNUMBER(SEARCH(Лист2!$B$4,D:D)),MAX($C$3:OFFSET(C5363,-1,0))+1,0)</f>
        <v>0</v>
      </c>
      <c r="E5363" s="9" t="str">
        <f t="shared" ca="1" si="95"/>
        <v/>
      </c>
      <c r="F5363" s="4" t="s">
        <v>33</v>
      </c>
      <c r="G5363" s="2">
        <f>IF(ISNUMBER(SEARCH(Лист2!$B$4,F:F)),1,0)</f>
        <v>0</v>
      </c>
      <c r="H5363" s="3">
        <f ca="1">IF(AND(I5363&lt;&gt;I5362,ISNUMBER(SEARCH(Лист2!$B$5,I:I)),G5363=1),MAX($H$3:OFFSET(H5363,-1,0))+1,0)</f>
        <v>0</v>
      </c>
      <c r="I5363" s="3" t="s">
        <v>424</v>
      </c>
      <c r="K5363" s="2">
        <f>IF(ISNUMBER(SEARCH(Лист2!$B$4,F:F)),1,0)</f>
        <v>0</v>
      </c>
      <c r="L5363" s="14">
        <f>IF(ISNUMBER(SEARCH(Лист2!$B$5,I:I)),1,0)+K5363</f>
        <v>0</v>
      </c>
      <c r="M5363" s="3">
        <f ca="1">IF(AND(N5363&lt;&gt;N5362,ISNUMBER(SEARCH(Лист2!$B$6,N:N)),L5363=2),MAX($M$3:OFFSET(M5363,-1,0))+1,0)</f>
        <v>0</v>
      </c>
      <c r="N5363" s="3" t="s">
        <v>3219</v>
      </c>
    </row>
    <row r="5364" spans="1:14" x14ac:dyDescent="0.25">
      <c r="A5364" s="1" t="s">
        <v>14012</v>
      </c>
      <c r="B5364" s="3" t="s">
        <v>8988</v>
      </c>
      <c r="C5364" s="2">
        <f ca="1">IF(ISNUMBER(SEARCH(Лист2!$B$4,D:D)),MAX($C$3:OFFSET(C5364,-1,0))+1,0)</f>
        <v>0</v>
      </c>
      <c r="E5364" s="9" t="str">
        <f t="shared" ca="1" si="95"/>
        <v/>
      </c>
      <c r="F5364" s="4" t="s">
        <v>33</v>
      </c>
      <c r="G5364" s="2">
        <f>IF(ISNUMBER(SEARCH(Лист2!$B$4,F:F)),1,0)</f>
        <v>0</v>
      </c>
      <c r="H5364" s="3">
        <f ca="1">IF(AND(I5364&lt;&gt;I5363,ISNUMBER(SEARCH(Лист2!$B$5,I:I)),G5364=1),MAX($H$3:OFFSET(H5364,-1,0))+1,0)</f>
        <v>0</v>
      </c>
      <c r="I5364" s="3" t="s">
        <v>424</v>
      </c>
      <c r="K5364" s="2">
        <f>IF(ISNUMBER(SEARCH(Лист2!$B$4,F:F)),1,0)</f>
        <v>0</v>
      </c>
      <c r="L5364" s="14">
        <f>IF(ISNUMBER(SEARCH(Лист2!$B$5,I:I)),1,0)+K5364</f>
        <v>0</v>
      </c>
      <c r="M5364" s="3">
        <f ca="1">IF(AND(N5364&lt;&gt;N5363,ISNUMBER(SEARCH(Лист2!$B$6,N:N)),L5364=2),MAX($M$3:OFFSET(M5364,-1,0))+1,0)</f>
        <v>0</v>
      </c>
      <c r="N5364" s="3" t="s">
        <v>3220</v>
      </c>
    </row>
    <row r="5365" spans="1:14" x14ac:dyDescent="0.25">
      <c r="A5365" s="1" t="s">
        <v>14013</v>
      </c>
      <c r="B5365" s="3" t="s">
        <v>8989</v>
      </c>
      <c r="C5365" s="2">
        <f ca="1">IF(ISNUMBER(SEARCH(Лист2!$B$4,D:D)),MAX($C$3:OFFSET(C5365,-1,0))+1,0)</f>
        <v>0</v>
      </c>
      <c r="E5365" s="9" t="str">
        <f t="shared" ca="1" si="95"/>
        <v/>
      </c>
      <c r="F5365" s="4" t="s">
        <v>33</v>
      </c>
      <c r="G5365" s="2">
        <f>IF(ISNUMBER(SEARCH(Лист2!$B$4,F:F)),1,0)</f>
        <v>0</v>
      </c>
      <c r="H5365" s="3">
        <f ca="1">IF(AND(I5365&lt;&gt;I5364,ISNUMBER(SEARCH(Лист2!$B$5,I:I)),G5365=1),MAX($H$3:OFFSET(H5365,-1,0))+1,0)</f>
        <v>0</v>
      </c>
      <c r="I5365" s="3" t="s">
        <v>424</v>
      </c>
      <c r="K5365" s="2">
        <f>IF(ISNUMBER(SEARCH(Лист2!$B$4,F:F)),1,0)</f>
        <v>0</v>
      </c>
      <c r="L5365" s="14">
        <f>IF(ISNUMBER(SEARCH(Лист2!$B$5,I:I)),1,0)+K5365</f>
        <v>0</v>
      </c>
      <c r="M5365" s="3">
        <f ca="1">IF(AND(N5365&lt;&gt;N5364,ISNUMBER(SEARCH(Лист2!$B$6,N:N)),L5365=2),MAX($M$3:OFFSET(M5365,-1,0))+1,0)</f>
        <v>0</v>
      </c>
      <c r="N5365" s="3" t="s">
        <v>3216</v>
      </c>
    </row>
    <row r="5366" spans="1:14" x14ac:dyDescent="0.25">
      <c r="A5366" s="1" t="s">
        <v>14014</v>
      </c>
      <c r="B5366" s="3" t="s">
        <v>8990</v>
      </c>
      <c r="C5366" s="2">
        <f ca="1">IF(ISNUMBER(SEARCH(Лист2!$B$4,D:D)),MAX($C$3:OFFSET(C5366,-1,0))+1,0)</f>
        <v>0</v>
      </c>
      <c r="E5366" s="9" t="str">
        <f t="shared" ca="1" si="95"/>
        <v/>
      </c>
      <c r="F5366" s="4" t="s">
        <v>33</v>
      </c>
      <c r="G5366" s="2">
        <f>IF(ISNUMBER(SEARCH(Лист2!$B$4,F:F)),1,0)</f>
        <v>0</v>
      </c>
      <c r="H5366" s="3">
        <f ca="1">IF(AND(I5366&lt;&gt;I5365,ISNUMBER(SEARCH(Лист2!$B$5,I:I)),G5366=1),MAX($H$3:OFFSET(H5366,-1,0))+1,0)</f>
        <v>0</v>
      </c>
      <c r="I5366" s="3" t="s">
        <v>425</v>
      </c>
      <c r="K5366" s="2">
        <f>IF(ISNUMBER(SEARCH(Лист2!$B$4,F:F)),1,0)</f>
        <v>0</v>
      </c>
      <c r="L5366" s="14">
        <f>IF(ISNUMBER(SEARCH(Лист2!$B$5,I:I)),1,0)+K5366</f>
        <v>0</v>
      </c>
      <c r="M5366" s="3">
        <f ca="1">IF(AND(N5366&lt;&gt;N5365,ISNUMBER(SEARCH(Лист2!$B$6,N:N)),L5366=2),MAX($M$3:OFFSET(M5366,-1,0))+1,0)</f>
        <v>0</v>
      </c>
      <c r="N5366" s="3" t="s">
        <v>2705</v>
      </c>
    </row>
    <row r="5367" spans="1:14" x14ac:dyDescent="0.25">
      <c r="A5367" s="1" t="s">
        <v>14015</v>
      </c>
      <c r="B5367" s="3" t="s">
        <v>8991</v>
      </c>
      <c r="C5367" s="2">
        <f ca="1">IF(ISNUMBER(SEARCH(Лист2!$B$4,D:D)),MAX($C$3:OFFSET(C5367,-1,0))+1,0)</f>
        <v>0</v>
      </c>
      <c r="E5367" s="9" t="str">
        <f t="shared" ca="1" si="95"/>
        <v/>
      </c>
      <c r="F5367" s="4" t="s">
        <v>33</v>
      </c>
      <c r="G5367" s="2">
        <f>IF(ISNUMBER(SEARCH(Лист2!$B$4,F:F)),1,0)</f>
        <v>0</v>
      </c>
      <c r="H5367" s="3">
        <f ca="1">IF(AND(I5367&lt;&gt;I5366,ISNUMBER(SEARCH(Лист2!$B$5,I:I)),G5367=1),MAX($H$3:OFFSET(H5367,-1,0))+1,0)</f>
        <v>0</v>
      </c>
      <c r="I5367" s="3" t="s">
        <v>425</v>
      </c>
      <c r="K5367" s="2">
        <f>IF(ISNUMBER(SEARCH(Лист2!$B$4,F:F)),1,0)</f>
        <v>0</v>
      </c>
      <c r="L5367" s="14">
        <f>IF(ISNUMBER(SEARCH(Лист2!$B$5,I:I)),1,0)+K5367</f>
        <v>0</v>
      </c>
      <c r="M5367" s="3">
        <f ca="1">IF(AND(N5367&lt;&gt;N5366,ISNUMBER(SEARCH(Лист2!$B$6,N:N)),L5367=2),MAX($M$3:OFFSET(M5367,-1,0))+1,0)</f>
        <v>0</v>
      </c>
      <c r="N5367" s="3" t="s">
        <v>3221</v>
      </c>
    </row>
    <row r="5368" spans="1:14" x14ac:dyDescent="0.25">
      <c r="A5368" s="1" t="s">
        <v>14016</v>
      </c>
      <c r="B5368" s="3" t="s">
        <v>8992</v>
      </c>
      <c r="C5368" s="2">
        <f ca="1">IF(ISNUMBER(SEARCH(Лист2!$B$4,D:D)),MAX($C$3:OFFSET(C5368,-1,0))+1,0)</f>
        <v>0</v>
      </c>
      <c r="E5368" s="9" t="str">
        <f t="shared" ca="1" si="95"/>
        <v/>
      </c>
      <c r="F5368" s="4" t="s">
        <v>33</v>
      </c>
      <c r="G5368" s="2">
        <f>IF(ISNUMBER(SEARCH(Лист2!$B$4,F:F)),1,0)</f>
        <v>0</v>
      </c>
      <c r="H5368" s="3">
        <f ca="1">IF(AND(I5368&lt;&gt;I5367,ISNUMBER(SEARCH(Лист2!$B$5,I:I)),G5368=1),MAX($H$3:OFFSET(H5368,-1,0))+1,0)</f>
        <v>0</v>
      </c>
      <c r="I5368" s="3" t="s">
        <v>425</v>
      </c>
      <c r="K5368" s="2">
        <f>IF(ISNUMBER(SEARCH(Лист2!$B$4,F:F)),1,0)</f>
        <v>0</v>
      </c>
      <c r="L5368" s="14">
        <f>IF(ISNUMBER(SEARCH(Лист2!$B$5,I:I)),1,0)+K5368</f>
        <v>0</v>
      </c>
      <c r="M5368" s="3">
        <f ca="1">IF(AND(N5368&lt;&gt;N5367,ISNUMBER(SEARCH(Лист2!$B$6,N:N)),L5368=2),MAX($M$3:OFFSET(M5368,-1,0))+1,0)</f>
        <v>0</v>
      </c>
      <c r="N5368" s="3" t="s">
        <v>3136</v>
      </c>
    </row>
    <row r="5369" spans="1:14" x14ac:dyDescent="0.25">
      <c r="A5369" s="1" t="s">
        <v>14017</v>
      </c>
      <c r="B5369" s="3" t="s">
        <v>8993</v>
      </c>
      <c r="C5369" s="2">
        <f ca="1">IF(ISNUMBER(SEARCH(Лист2!$B$4,D:D)),MAX($C$3:OFFSET(C5369,-1,0))+1,0)</f>
        <v>0</v>
      </c>
      <c r="E5369" s="9" t="str">
        <f t="shared" ca="1" si="95"/>
        <v/>
      </c>
      <c r="F5369" s="4" t="s">
        <v>33</v>
      </c>
      <c r="G5369" s="2">
        <f>IF(ISNUMBER(SEARCH(Лист2!$B$4,F:F)),1,0)</f>
        <v>0</v>
      </c>
      <c r="H5369" s="3">
        <f ca="1">IF(AND(I5369&lt;&gt;I5368,ISNUMBER(SEARCH(Лист2!$B$5,I:I)),G5369=1),MAX($H$3:OFFSET(H5369,-1,0))+1,0)</f>
        <v>0</v>
      </c>
      <c r="I5369" s="3" t="s">
        <v>425</v>
      </c>
      <c r="K5369" s="2">
        <f>IF(ISNUMBER(SEARCH(Лист2!$B$4,F:F)),1,0)</f>
        <v>0</v>
      </c>
      <c r="L5369" s="14">
        <f>IF(ISNUMBER(SEARCH(Лист2!$B$5,I:I)),1,0)+K5369</f>
        <v>0</v>
      </c>
      <c r="M5369" s="3">
        <f ca="1">IF(AND(N5369&lt;&gt;N5368,ISNUMBER(SEARCH(Лист2!$B$6,N:N)),L5369=2),MAX($M$3:OFFSET(M5369,-1,0))+1,0)</f>
        <v>0</v>
      </c>
      <c r="N5369" s="3" t="s">
        <v>2728</v>
      </c>
    </row>
    <row r="5370" spans="1:14" x14ac:dyDescent="0.25">
      <c r="A5370" s="1" t="s">
        <v>14018</v>
      </c>
      <c r="B5370" s="3" t="s">
        <v>8994</v>
      </c>
      <c r="C5370" s="2">
        <f ca="1">IF(ISNUMBER(SEARCH(Лист2!$B$4,D:D)),MAX($C$3:OFFSET(C5370,-1,0))+1,0)</f>
        <v>0</v>
      </c>
      <c r="E5370" s="9" t="str">
        <f t="shared" ca="1" si="95"/>
        <v/>
      </c>
      <c r="F5370" s="4" t="s">
        <v>33</v>
      </c>
      <c r="G5370" s="2">
        <f>IF(ISNUMBER(SEARCH(Лист2!$B$4,F:F)),1,0)</f>
        <v>0</v>
      </c>
      <c r="H5370" s="3">
        <f ca="1">IF(AND(I5370&lt;&gt;I5369,ISNUMBER(SEARCH(Лист2!$B$5,I:I)),G5370=1),MAX($H$3:OFFSET(H5370,-1,0))+1,0)</f>
        <v>0</v>
      </c>
      <c r="I5370" s="3" t="s">
        <v>425</v>
      </c>
      <c r="K5370" s="2">
        <f>IF(ISNUMBER(SEARCH(Лист2!$B$4,F:F)),1,0)</f>
        <v>0</v>
      </c>
      <c r="L5370" s="14">
        <f>IF(ISNUMBER(SEARCH(Лист2!$B$5,I:I)),1,0)+K5370</f>
        <v>0</v>
      </c>
      <c r="M5370" s="3">
        <f ca="1">IF(AND(N5370&lt;&gt;N5369,ISNUMBER(SEARCH(Лист2!$B$6,N:N)),L5370=2),MAX($M$3:OFFSET(M5370,-1,0))+1,0)</f>
        <v>0</v>
      </c>
      <c r="N5370" s="3" t="s">
        <v>3222</v>
      </c>
    </row>
    <row r="5371" spans="1:14" x14ac:dyDescent="0.25">
      <c r="A5371" s="1" t="s">
        <v>14019</v>
      </c>
      <c r="B5371" s="3" t="s">
        <v>8995</v>
      </c>
      <c r="C5371" s="2">
        <f ca="1">IF(ISNUMBER(SEARCH(Лист2!$B$4,D:D)),MAX($C$3:OFFSET(C5371,-1,0))+1,0)</f>
        <v>0</v>
      </c>
      <c r="E5371" s="9" t="str">
        <f t="shared" ca="1" si="95"/>
        <v/>
      </c>
      <c r="F5371" s="4" t="s">
        <v>33</v>
      </c>
      <c r="G5371" s="2">
        <f>IF(ISNUMBER(SEARCH(Лист2!$B$4,F:F)),1,0)</f>
        <v>0</v>
      </c>
      <c r="H5371" s="3">
        <f ca="1">IF(AND(I5371&lt;&gt;I5370,ISNUMBER(SEARCH(Лист2!$B$5,I:I)),G5371=1),MAX($H$3:OFFSET(H5371,-1,0))+1,0)</f>
        <v>0</v>
      </c>
      <c r="I5371" s="3" t="s">
        <v>425</v>
      </c>
      <c r="K5371" s="2">
        <f>IF(ISNUMBER(SEARCH(Лист2!$B$4,F:F)),1,0)</f>
        <v>0</v>
      </c>
      <c r="L5371" s="14">
        <f>IF(ISNUMBER(SEARCH(Лист2!$B$5,I:I)),1,0)+K5371</f>
        <v>0</v>
      </c>
      <c r="M5371" s="3">
        <f ca="1">IF(AND(N5371&lt;&gt;N5370,ISNUMBER(SEARCH(Лист2!$B$6,N:N)),L5371=2),MAX($M$3:OFFSET(M5371,-1,0))+1,0)</f>
        <v>0</v>
      </c>
      <c r="N5371" s="3" t="s">
        <v>3223</v>
      </c>
    </row>
    <row r="5372" spans="1:14" x14ac:dyDescent="0.25">
      <c r="A5372" s="1" t="s">
        <v>14020</v>
      </c>
      <c r="B5372" s="3" t="s">
        <v>8996</v>
      </c>
      <c r="C5372" s="2">
        <f ca="1">IF(ISNUMBER(SEARCH(Лист2!$B$4,D:D)),MAX($C$3:OFFSET(C5372,-1,0))+1,0)</f>
        <v>0</v>
      </c>
      <c r="E5372" s="9" t="str">
        <f t="shared" ca="1" si="95"/>
        <v/>
      </c>
      <c r="F5372" s="4" t="s">
        <v>33</v>
      </c>
      <c r="G5372" s="2">
        <f>IF(ISNUMBER(SEARCH(Лист2!$B$4,F:F)),1,0)</f>
        <v>0</v>
      </c>
      <c r="H5372" s="3">
        <f ca="1">IF(AND(I5372&lt;&gt;I5371,ISNUMBER(SEARCH(Лист2!$B$5,I:I)),G5372=1),MAX($H$3:OFFSET(H5372,-1,0))+1,0)</f>
        <v>0</v>
      </c>
      <c r="I5372" s="3" t="s">
        <v>425</v>
      </c>
      <c r="K5372" s="2">
        <f>IF(ISNUMBER(SEARCH(Лист2!$B$4,F:F)),1,0)</f>
        <v>0</v>
      </c>
      <c r="L5372" s="14">
        <f>IF(ISNUMBER(SEARCH(Лист2!$B$5,I:I)),1,0)+K5372</f>
        <v>0</v>
      </c>
      <c r="M5372" s="3">
        <f ca="1">IF(AND(N5372&lt;&gt;N5371,ISNUMBER(SEARCH(Лист2!$B$6,N:N)),L5372=2),MAX($M$3:OFFSET(M5372,-1,0))+1,0)</f>
        <v>0</v>
      </c>
      <c r="N5372" s="3" t="s">
        <v>602</v>
      </c>
    </row>
    <row r="5373" spans="1:14" x14ac:dyDescent="0.25">
      <c r="A5373" s="1" t="s">
        <v>14021</v>
      </c>
      <c r="B5373" s="3" t="s">
        <v>8997</v>
      </c>
      <c r="C5373" s="2">
        <f ca="1">IF(ISNUMBER(SEARCH(Лист2!$B$4,D:D)),MAX($C$3:OFFSET(C5373,-1,0))+1,0)</f>
        <v>0</v>
      </c>
      <c r="E5373" s="9" t="str">
        <f t="shared" ca="1" si="95"/>
        <v/>
      </c>
      <c r="F5373" s="4" t="s">
        <v>33</v>
      </c>
      <c r="G5373" s="2">
        <f>IF(ISNUMBER(SEARCH(Лист2!$B$4,F:F)),1,0)</f>
        <v>0</v>
      </c>
      <c r="H5373" s="3">
        <f ca="1">IF(AND(I5373&lt;&gt;I5372,ISNUMBER(SEARCH(Лист2!$B$5,I:I)),G5373=1),MAX($H$3:OFFSET(H5373,-1,0))+1,0)</f>
        <v>0</v>
      </c>
      <c r="I5373" s="3" t="s">
        <v>425</v>
      </c>
      <c r="K5373" s="2">
        <f>IF(ISNUMBER(SEARCH(Лист2!$B$4,F:F)),1,0)</f>
        <v>0</v>
      </c>
      <c r="L5373" s="14">
        <f>IF(ISNUMBER(SEARCH(Лист2!$B$5,I:I)),1,0)+K5373</f>
        <v>0</v>
      </c>
      <c r="M5373" s="3">
        <f ca="1">IF(AND(N5373&lt;&gt;N5372,ISNUMBER(SEARCH(Лист2!$B$6,N:N)),L5373=2),MAX($M$3:OFFSET(M5373,-1,0))+1,0)</f>
        <v>0</v>
      </c>
      <c r="N5373" s="3" t="s">
        <v>3224</v>
      </c>
    </row>
    <row r="5374" spans="1:14" x14ac:dyDescent="0.25">
      <c r="A5374" s="1" t="s">
        <v>14022</v>
      </c>
      <c r="B5374" s="3" t="s">
        <v>8998</v>
      </c>
      <c r="C5374" s="2">
        <f ca="1">IF(ISNUMBER(SEARCH(Лист2!$B$4,D:D)),MAX($C$3:OFFSET(C5374,-1,0))+1,0)</f>
        <v>0</v>
      </c>
      <c r="E5374" s="9" t="str">
        <f t="shared" ca="1" si="95"/>
        <v/>
      </c>
      <c r="F5374" s="4" t="s">
        <v>33</v>
      </c>
      <c r="G5374" s="2">
        <f>IF(ISNUMBER(SEARCH(Лист2!$B$4,F:F)),1,0)</f>
        <v>0</v>
      </c>
      <c r="H5374" s="3">
        <f ca="1">IF(AND(I5374&lt;&gt;I5373,ISNUMBER(SEARCH(Лист2!$B$5,I:I)),G5374=1),MAX($H$3:OFFSET(H5374,-1,0))+1,0)</f>
        <v>0</v>
      </c>
      <c r="I5374" s="3" t="s">
        <v>426</v>
      </c>
      <c r="K5374" s="2">
        <f>IF(ISNUMBER(SEARCH(Лист2!$B$4,F:F)),1,0)</f>
        <v>0</v>
      </c>
      <c r="L5374" s="14">
        <f>IF(ISNUMBER(SEARCH(Лист2!$B$5,I:I)),1,0)+K5374</f>
        <v>0</v>
      </c>
      <c r="M5374" s="3">
        <f ca="1">IF(AND(N5374&lt;&gt;N5373,ISNUMBER(SEARCH(Лист2!$B$6,N:N)),L5374=2),MAX($M$3:OFFSET(M5374,-1,0))+1,0)</f>
        <v>0</v>
      </c>
      <c r="N5374" s="3" t="s">
        <v>2705</v>
      </c>
    </row>
    <row r="5375" spans="1:14" x14ac:dyDescent="0.25">
      <c r="A5375" s="1" t="s">
        <v>14023</v>
      </c>
      <c r="B5375" s="3" t="s">
        <v>8999</v>
      </c>
      <c r="C5375" s="2">
        <f ca="1">IF(ISNUMBER(SEARCH(Лист2!$B$4,D:D)),MAX($C$3:OFFSET(C5375,-1,0))+1,0)</f>
        <v>0</v>
      </c>
      <c r="E5375" s="9" t="str">
        <f t="shared" ca="1" si="95"/>
        <v/>
      </c>
      <c r="F5375" s="4" t="s">
        <v>33</v>
      </c>
      <c r="G5375" s="2">
        <f>IF(ISNUMBER(SEARCH(Лист2!$B$4,F:F)),1,0)</f>
        <v>0</v>
      </c>
      <c r="H5375" s="3">
        <f ca="1">IF(AND(I5375&lt;&gt;I5374,ISNUMBER(SEARCH(Лист2!$B$5,I:I)),G5375=1),MAX($H$3:OFFSET(H5375,-1,0))+1,0)</f>
        <v>0</v>
      </c>
      <c r="I5375" s="3" t="s">
        <v>426</v>
      </c>
      <c r="K5375" s="2">
        <f>IF(ISNUMBER(SEARCH(Лист2!$B$4,F:F)),1,0)</f>
        <v>0</v>
      </c>
      <c r="L5375" s="14">
        <f>IF(ISNUMBER(SEARCH(Лист2!$B$5,I:I)),1,0)+K5375</f>
        <v>0</v>
      </c>
      <c r="M5375" s="3">
        <f ca="1">IF(AND(N5375&lt;&gt;N5374,ISNUMBER(SEARCH(Лист2!$B$6,N:N)),L5375=2),MAX($M$3:OFFSET(M5375,-1,0))+1,0)</f>
        <v>0</v>
      </c>
      <c r="N5375" s="3" t="s">
        <v>3225</v>
      </c>
    </row>
    <row r="5376" spans="1:14" x14ac:dyDescent="0.25">
      <c r="A5376" s="1" t="s">
        <v>14024</v>
      </c>
      <c r="B5376" s="3" t="s">
        <v>9000</v>
      </c>
      <c r="C5376" s="2">
        <f ca="1">IF(ISNUMBER(SEARCH(Лист2!$B$4,D:D)),MAX($C$3:OFFSET(C5376,-1,0))+1,0)</f>
        <v>0</v>
      </c>
      <c r="E5376" s="9" t="str">
        <f t="shared" ca="1" si="95"/>
        <v/>
      </c>
      <c r="F5376" s="4" t="s">
        <v>33</v>
      </c>
      <c r="G5376" s="2">
        <f>IF(ISNUMBER(SEARCH(Лист2!$B$4,F:F)),1,0)</f>
        <v>0</v>
      </c>
      <c r="H5376" s="3">
        <f ca="1">IF(AND(I5376&lt;&gt;I5375,ISNUMBER(SEARCH(Лист2!$B$5,I:I)),G5376=1),MAX($H$3:OFFSET(H5376,-1,0))+1,0)</f>
        <v>0</v>
      </c>
      <c r="I5376" s="3" t="s">
        <v>426</v>
      </c>
      <c r="K5376" s="2">
        <f>IF(ISNUMBER(SEARCH(Лист2!$B$4,F:F)),1,0)</f>
        <v>0</v>
      </c>
      <c r="L5376" s="14">
        <f>IF(ISNUMBER(SEARCH(Лист2!$B$5,I:I)),1,0)+K5376</f>
        <v>0</v>
      </c>
      <c r="M5376" s="3">
        <f ca="1">IF(AND(N5376&lt;&gt;N5375,ISNUMBER(SEARCH(Лист2!$B$6,N:N)),L5376=2),MAX($M$3:OFFSET(M5376,-1,0))+1,0)</f>
        <v>0</v>
      </c>
      <c r="N5376" s="3" t="s">
        <v>3139</v>
      </c>
    </row>
    <row r="5377" spans="1:14" x14ac:dyDescent="0.25">
      <c r="A5377" s="1" t="s">
        <v>14025</v>
      </c>
      <c r="B5377" s="3" t="s">
        <v>9001</v>
      </c>
      <c r="C5377" s="2">
        <f ca="1">IF(ISNUMBER(SEARCH(Лист2!$B$4,D:D)),MAX($C$3:OFFSET(C5377,-1,0))+1,0)</f>
        <v>0</v>
      </c>
      <c r="E5377" s="9" t="str">
        <f t="shared" ca="1" si="95"/>
        <v/>
      </c>
      <c r="F5377" s="4" t="s">
        <v>33</v>
      </c>
      <c r="G5377" s="2">
        <f>IF(ISNUMBER(SEARCH(Лист2!$B$4,F:F)),1,0)</f>
        <v>0</v>
      </c>
      <c r="H5377" s="3">
        <f ca="1">IF(AND(I5377&lt;&gt;I5376,ISNUMBER(SEARCH(Лист2!$B$5,I:I)),G5377=1),MAX($H$3:OFFSET(H5377,-1,0))+1,0)</f>
        <v>0</v>
      </c>
      <c r="I5377" s="3" t="s">
        <v>426</v>
      </c>
      <c r="K5377" s="2">
        <f>IF(ISNUMBER(SEARCH(Лист2!$B$4,F:F)),1,0)</f>
        <v>0</v>
      </c>
      <c r="L5377" s="14">
        <f>IF(ISNUMBER(SEARCH(Лист2!$B$5,I:I)),1,0)+K5377</f>
        <v>0</v>
      </c>
      <c r="M5377" s="3">
        <f ca="1">IF(AND(N5377&lt;&gt;N5376,ISNUMBER(SEARCH(Лист2!$B$6,N:N)),L5377=2),MAX($M$3:OFFSET(M5377,-1,0))+1,0)</f>
        <v>0</v>
      </c>
      <c r="N5377" s="3" t="s">
        <v>2734</v>
      </c>
    </row>
    <row r="5378" spans="1:14" x14ac:dyDescent="0.25">
      <c r="A5378" s="1" t="s">
        <v>14026</v>
      </c>
      <c r="B5378" s="3" t="s">
        <v>9002</v>
      </c>
      <c r="C5378" s="2">
        <f ca="1">IF(ISNUMBER(SEARCH(Лист2!$B$4,D:D)),MAX($C$3:OFFSET(C5378,-1,0))+1,0)</f>
        <v>0</v>
      </c>
      <c r="E5378" s="9" t="str">
        <f t="shared" ca="1" si="95"/>
        <v/>
      </c>
      <c r="F5378" s="4" t="s">
        <v>33</v>
      </c>
      <c r="G5378" s="2">
        <f>IF(ISNUMBER(SEARCH(Лист2!$B$4,F:F)),1,0)</f>
        <v>0</v>
      </c>
      <c r="H5378" s="3">
        <f ca="1">IF(AND(I5378&lt;&gt;I5377,ISNUMBER(SEARCH(Лист2!$B$5,I:I)),G5378=1),MAX($H$3:OFFSET(H5378,-1,0))+1,0)</f>
        <v>0</v>
      </c>
      <c r="I5378" s="3" t="s">
        <v>426</v>
      </c>
      <c r="K5378" s="2">
        <f>IF(ISNUMBER(SEARCH(Лист2!$B$4,F:F)),1,0)</f>
        <v>0</v>
      </c>
      <c r="L5378" s="14">
        <f>IF(ISNUMBER(SEARCH(Лист2!$B$5,I:I)),1,0)+K5378</f>
        <v>0</v>
      </c>
      <c r="M5378" s="3">
        <f ca="1">IF(AND(N5378&lt;&gt;N5377,ISNUMBER(SEARCH(Лист2!$B$6,N:N)),L5378=2),MAX($M$3:OFFSET(M5378,-1,0))+1,0)</f>
        <v>0</v>
      </c>
      <c r="N5378" s="3" t="s">
        <v>3226</v>
      </c>
    </row>
    <row r="5379" spans="1:14" x14ac:dyDescent="0.25">
      <c r="A5379" s="1" t="s">
        <v>14027</v>
      </c>
      <c r="B5379" s="3" t="s">
        <v>9003</v>
      </c>
      <c r="C5379" s="2">
        <f ca="1">IF(ISNUMBER(SEARCH(Лист2!$B$4,D:D)),MAX($C$3:OFFSET(C5379,-1,0))+1,0)</f>
        <v>0</v>
      </c>
      <c r="E5379" s="9" t="str">
        <f t="shared" ca="1" si="95"/>
        <v/>
      </c>
      <c r="F5379" s="4" t="s">
        <v>33</v>
      </c>
      <c r="G5379" s="2">
        <f>IF(ISNUMBER(SEARCH(Лист2!$B$4,F:F)),1,0)</f>
        <v>0</v>
      </c>
      <c r="H5379" s="3">
        <f ca="1">IF(AND(I5379&lt;&gt;I5378,ISNUMBER(SEARCH(Лист2!$B$5,I:I)),G5379=1),MAX($H$3:OFFSET(H5379,-1,0))+1,0)</f>
        <v>0</v>
      </c>
      <c r="I5379" s="3" t="s">
        <v>426</v>
      </c>
      <c r="K5379" s="2">
        <f>IF(ISNUMBER(SEARCH(Лист2!$B$4,F:F)),1,0)</f>
        <v>0</v>
      </c>
      <c r="L5379" s="14">
        <f>IF(ISNUMBER(SEARCH(Лист2!$B$5,I:I)),1,0)+K5379</f>
        <v>0</v>
      </c>
      <c r="M5379" s="3">
        <f ca="1">IF(AND(N5379&lt;&gt;N5378,ISNUMBER(SEARCH(Лист2!$B$6,N:N)),L5379=2),MAX($M$3:OFFSET(M5379,-1,0))+1,0)</f>
        <v>0</v>
      </c>
      <c r="N5379" s="3" t="s">
        <v>2737</v>
      </c>
    </row>
    <row r="5380" spans="1:14" x14ac:dyDescent="0.25">
      <c r="A5380" s="1" t="s">
        <v>14028</v>
      </c>
      <c r="B5380" s="3" t="s">
        <v>9004</v>
      </c>
      <c r="C5380" s="2">
        <f ca="1">IF(ISNUMBER(SEARCH(Лист2!$B$4,D:D)),MAX($C$3:OFFSET(C5380,-1,0))+1,0)</f>
        <v>0</v>
      </c>
      <c r="E5380" s="9" t="str">
        <f t="shared" ca="1" si="95"/>
        <v/>
      </c>
      <c r="F5380" s="4" t="s">
        <v>36</v>
      </c>
      <c r="G5380" s="2">
        <f>IF(ISNUMBER(SEARCH(Лист2!$B$4,F:F)),1,0)</f>
        <v>0</v>
      </c>
      <c r="H5380" s="3">
        <f ca="1">IF(AND(I5380&lt;&gt;I5379,ISNUMBER(SEARCH(Лист2!$B$5,I:I)),G5380=1),MAX($H$3:OFFSET(H5380,-1,0))+1,0)</f>
        <v>0</v>
      </c>
      <c r="I5380" s="3" t="s">
        <v>426</v>
      </c>
      <c r="K5380" s="2">
        <f>IF(ISNUMBER(SEARCH(Лист2!$B$4,F:F)),1,0)</f>
        <v>0</v>
      </c>
      <c r="L5380" s="14">
        <f>IF(ISNUMBER(SEARCH(Лист2!$B$5,I:I)),1,0)+K5380</f>
        <v>0</v>
      </c>
      <c r="M5380" s="3">
        <f ca="1">IF(AND(N5380&lt;&gt;N5379,ISNUMBER(SEARCH(Лист2!$B$6,N:N)),L5380=2),MAX($M$3:OFFSET(M5380,-1,0))+1,0)</f>
        <v>0</v>
      </c>
      <c r="N5380" s="3" t="s">
        <v>497</v>
      </c>
    </row>
    <row r="5381" spans="1:14" x14ac:dyDescent="0.25">
      <c r="A5381" s="1" t="s">
        <v>14029</v>
      </c>
      <c r="B5381" s="3" t="s">
        <v>9005</v>
      </c>
      <c r="C5381" s="2">
        <f ca="1">IF(ISNUMBER(SEARCH(Лист2!$B$4,D:D)),MAX($C$3:OFFSET(C5381,-1,0))+1,0)</f>
        <v>0</v>
      </c>
      <c r="E5381" s="9" t="str">
        <f t="shared" ref="E5381:E5444" ca="1" si="96">IFERROR(INDEX(D:D,MATCH(ROW(E5381)-ROW($E$3),C:C,0)),"")</f>
        <v/>
      </c>
      <c r="F5381" s="4" t="s">
        <v>36</v>
      </c>
      <c r="G5381" s="2">
        <f>IF(ISNUMBER(SEARCH(Лист2!$B$4,F:F)),1,0)</f>
        <v>0</v>
      </c>
      <c r="H5381" s="3">
        <f ca="1">IF(AND(I5381&lt;&gt;I5380,ISNUMBER(SEARCH(Лист2!$B$5,I:I)),G5381=1),MAX($H$3:OFFSET(H5381,-1,0))+1,0)</f>
        <v>0</v>
      </c>
      <c r="I5381" s="3" t="s">
        <v>426</v>
      </c>
      <c r="K5381" s="2">
        <f>IF(ISNUMBER(SEARCH(Лист2!$B$4,F:F)),1,0)</f>
        <v>0</v>
      </c>
      <c r="L5381" s="14">
        <f>IF(ISNUMBER(SEARCH(Лист2!$B$5,I:I)),1,0)+K5381</f>
        <v>0</v>
      </c>
      <c r="M5381" s="3">
        <f ca="1">IF(AND(N5381&lt;&gt;N5380,ISNUMBER(SEARCH(Лист2!$B$6,N:N)),L5381=2),MAX($M$3:OFFSET(M5381,-1,0))+1,0)</f>
        <v>0</v>
      </c>
      <c r="N5381" s="3" t="s">
        <v>3227</v>
      </c>
    </row>
    <row r="5382" spans="1:14" x14ac:dyDescent="0.25">
      <c r="A5382" s="1" t="s">
        <v>14030</v>
      </c>
      <c r="B5382" s="3" t="s">
        <v>9006</v>
      </c>
      <c r="C5382" s="2">
        <f ca="1">IF(ISNUMBER(SEARCH(Лист2!$B$4,D:D)),MAX($C$3:OFFSET(C5382,-1,0))+1,0)</f>
        <v>0</v>
      </c>
      <c r="E5382" s="9" t="str">
        <f t="shared" ca="1" si="96"/>
        <v/>
      </c>
      <c r="F5382" s="4" t="s">
        <v>36</v>
      </c>
      <c r="G5382" s="2">
        <f>IF(ISNUMBER(SEARCH(Лист2!$B$4,F:F)),1,0)</f>
        <v>0</v>
      </c>
      <c r="H5382" s="3">
        <f ca="1">IF(AND(I5382&lt;&gt;I5381,ISNUMBER(SEARCH(Лист2!$B$5,I:I)),G5382=1),MAX($H$3:OFFSET(H5382,-1,0))+1,0)</f>
        <v>0</v>
      </c>
      <c r="I5382" s="3" t="s">
        <v>426</v>
      </c>
      <c r="K5382" s="2">
        <f>IF(ISNUMBER(SEARCH(Лист2!$B$4,F:F)),1,0)</f>
        <v>0</v>
      </c>
      <c r="L5382" s="14">
        <f>IF(ISNUMBER(SEARCH(Лист2!$B$5,I:I)),1,0)+K5382</f>
        <v>0</v>
      </c>
      <c r="M5382" s="3">
        <f ca="1">IF(AND(N5382&lt;&gt;N5381,ISNUMBER(SEARCH(Лист2!$B$6,N:N)),L5382=2),MAX($M$3:OFFSET(M5382,-1,0))+1,0)</f>
        <v>0</v>
      </c>
      <c r="N5382" s="3" t="s">
        <v>3228</v>
      </c>
    </row>
    <row r="5383" spans="1:14" x14ac:dyDescent="0.25">
      <c r="A5383" s="1" t="s">
        <v>14031</v>
      </c>
      <c r="B5383" s="3" t="s">
        <v>9007</v>
      </c>
      <c r="C5383" s="2">
        <f ca="1">IF(ISNUMBER(SEARCH(Лист2!$B$4,D:D)),MAX($C$3:OFFSET(C5383,-1,0))+1,0)</f>
        <v>0</v>
      </c>
      <c r="E5383" s="9" t="str">
        <f t="shared" ca="1" si="96"/>
        <v/>
      </c>
      <c r="F5383" s="4" t="s">
        <v>34</v>
      </c>
      <c r="G5383" s="2">
        <f>IF(ISNUMBER(SEARCH(Лист2!$B$4,F:F)),1,0)</f>
        <v>0</v>
      </c>
      <c r="H5383" s="3">
        <f ca="1">IF(AND(I5383&lt;&gt;I5382,ISNUMBER(SEARCH(Лист2!$B$5,I:I)),G5383=1),MAX($H$3:OFFSET(H5383,-1,0))+1,0)</f>
        <v>0</v>
      </c>
      <c r="I5383" s="3" t="s">
        <v>427</v>
      </c>
      <c r="K5383" s="2">
        <f>IF(ISNUMBER(SEARCH(Лист2!$B$4,F:F)),1,0)</f>
        <v>0</v>
      </c>
      <c r="L5383" s="14">
        <f>IF(ISNUMBER(SEARCH(Лист2!$B$5,I:I)),1,0)+K5383</f>
        <v>0</v>
      </c>
      <c r="M5383" s="3">
        <f ca="1">IF(AND(N5383&lt;&gt;N5382,ISNUMBER(SEARCH(Лист2!$B$6,N:N)),L5383=2),MAX($M$3:OFFSET(M5383,-1,0))+1,0)</f>
        <v>0</v>
      </c>
      <c r="N5383" s="3" t="s">
        <v>3229</v>
      </c>
    </row>
    <row r="5384" spans="1:14" x14ac:dyDescent="0.25">
      <c r="A5384" s="1" t="s">
        <v>14032</v>
      </c>
      <c r="B5384" s="3" t="s">
        <v>9008</v>
      </c>
      <c r="C5384" s="2">
        <f ca="1">IF(ISNUMBER(SEARCH(Лист2!$B$4,D:D)),MAX($C$3:OFFSET(C5384,-1,0))+1,0)</f>
        <v>0</v>
      </c>
      <c r="E5384" s="9" t="str">
        <f t="shared" ca="1" si="96"/>
        <v/>
      </c>
      <c r="F5384" s="4" t="s">
        <v>34</v>
      </c>
      <c r="G5384" s="2">
        <f>IF(ISNUMBER(SEARCH(Лист2!$B$4,F:F)),1,0)</f>
        <v>0</v>
      </c>
      <c r="H5384" s="3">
        <f ca="1">IF(AND(I5384&lt;&gt;I5383,ISNUMBER(SEARCH(Лист2!$B$5,I:I)),G5384=1),MAX($H$3:OFFSET(H5384,-1,0))+1,0)</f>
        <v>0</v>
      </c>
      <c r="I5384" s="3" t="s">
        <v>427</v>
      </c>
      <c r="K5384" s="2">
        <f>IF(ISNUMBER(SEARCH(Лист2!$B$4,F:F)),1,0)</f>
        <v>0</v>
      </c>
      <c r="L5384" s="14">
        <f>IF(ISNUMBER(SEARCH(Лист2!$B$5,I:I)),1,0)+K5384</f>
        <v>0</v>
      </c>
      <c r="M5384" s="3">
        <f ca="1">IF(AND(N5384&lt;&gt;N5383,ISNUMBER(SEARCH(Лист2!$B$6,N:N)),L5384=2),MAX($M$3:OFFSET(M5384,-1,0))+1,0)</f>
        <v>0</v>
      </c>
      <c r="N5384" s="3" t="s">
        <v>3230</v>
      </c>
    </row>
    <row r="5385" spans="1:14" x14ac:dyDescent="0.25">
      <c r="A5385" s="1" t="s">
        <v>14032</v>
      </c>
      <c r="B5385" s="3" t="s">
        <v>9009</v>
      </c>
      <c r="C5385" s="2">
        <f ca="1">IF(ISNUMBER(SEARCH(Лист2!$B$4,D:D)),MAX($C$3:OFFSET(C5385,-1,0))+1,0)</f>
        <v>0</v>
      </c>
      <c r="E5385" s="9" t="str">
        <f t="shared" ca="1" si="96"/>
        <v/>
      </c>
      <c r="F5385" s="4" t="s">
        <v>34</v>
      </c>
      <c r="G5385" s="2">
        <f>IF(ISNUMBER(SEARCH(Лист2!$B$4,F:F)),1,0)</f>
        <v>0</v>
      </c>
      <c r="H5385" s="3">
        <f ca="1">IF(AND(I5385&lt;&gt;I5384,ISNUMBER(SEARCH(Лист2!$B$5,I:I)),G5385=1),MAX($H$3:OFFSET(H5385,-1,0))+1,0)</f>
        <v>0</v>
      </c>
      <c r="I5385" s="3" t="s">
        <v>427</v>
      </c>
      <c r="K5385" s="2">
        <f>IF(ISNUMBER(SEARCH(Лист2!$B$4,F:F)),1,0)</f>
        <v>0</v>
      </c>
      <c r="L5385" s="14">
        <f>IF(ISNUMBER(SEARCH(Лист2!$B$5,I:I)),1,0)+K5385</f>
        <v>0</v>
      </c>
      <c r="M5385" s="3">
        <f ca="1">IF(AND(N5385&lt;&gt;N5384,ISNUMBER(SEARCH(Лист2!$B$6,N:N)),L5385=2),MAX($M$3:OFFSET(M5385,-1,0))+1,0)</f>
        <v>0</v>
      </c>
      <c r="N5385" s="3" t="s">
        <v>3230</v>
      </c>
    </row>
    <row r="5386" spans="1:14" x14ac:dyDescent="0.25">
      <c r="A5386" s="1" t="s">
        <v>14032</v>
      </c>
      <c r="B5386" s="3" t="s">
        <v>9010</v>
      </c>
      <c r="C5386" s="2">
        <f ca="1">IF(ISNUMBER(SEARCH(Лист2!$B$4,D:D)),MAX($C$3:OFFSET(C5386,-1,0))+1,0)</f>
        <v>0</v>
      </c>
      <c r="E5386" s="9" t="str">
        <f t="shared" ca="1" si="96"/>
        <v/>
      </c>
      <c r="F5386" s="4" t="s">
        <v>34</v>
      </c>
      <c r="G5386" s="2">
        <f>IF(ISNUMBER(SEARCH(Лист2!$B$4,F:F)),1,0)</f>
        <v>0</v>
      </c>
      <c r="H5386" s="3">
        <f ca="1">IF(AND(I5386&lt;&gt;I5385,ISNUMBER(SEARCH(Лист2!$B$5,I:I)),G5386=1),MAX($H$3:OFFSET(H5386,-1,0))+1,0)</f>
        <v>0</v>
      </c>
      <c r="I5386" s="3" t="s">
        <v>427</v>
      </c>
      <c r="K5386" s="2">
        <f>IF(ISNUMBER(SEARCH(Лист2!$B$4,F:F)),1,0)</f>
        <v>0</v>
      </c>
      <c r="L5386" s="14">
        <f>IF(ISNUMBER(SEARCH(Лист2!$B$5,I:I)),1,0)+K5386</f>
        <v>0</v>
      </c>
      <c r="M5386" s="3">
        <f ca="1">IF(AND(N5386&lt;&gt;N5385,ISNUMBER(SEARCH(Лист2!$B$6,N:N)),L5386=2),MAX($M$3:OFFSET(M5386,-1,0))+1,0)</f>
        <v>0</v>
      </c>
      <c r="N5386" s="3" t="s">
        <v>3230</v>
      </c>
    </row>
    <row r="5387" spans="1:14" x14ac:dyDescent="0.25">
      <c r="A5387" s="1" t="s">
        <v>14033</v>
      </c>
      <c r="B5387" s="3" t="s">
        <v>9011</v>
      </c>
      <c r="C5387" s="2">
        <f ca="1">IF(ISNUMBER(SEARCH(Лист2!$B$4,D:D)),MAX($C$3:OFFSET(C5387,-1,0))+1,0)</f>
        <v>0</v>
      </c>
      <c r="E5387" s="9" t="str">
        <f t="shared" ca="1" si="96"/>
        <v/>
      </c>
      <c r="F5387" s="4" t="s">
        <v>34</v>
      </c>
      <c r="G5387" s="2">
        <f>IF(ISNUMBER(SEARCH(Лист2!$B$4,F:F)),1,0)</f>
        <v>0</v>
      </c>
      <c r="H5387" s="3">
        <f ca="1">IF(AND(I5387&lt;&gt;I5386,ISNUMBER(SEARCH(Лист2!$B$5,I:I)),G5387=1),MAX($H$3:OFFSET(H5387,-1,0))+1,0)</f>
        <v>0</v>
      </c>
      <c r="I5387" s="3" t="s">
        <v>427</v>
      </c>
      <c r="K5387" s="2">
        <f>IF(ISNUMBER(SEARCH(Лист2!$B$4,F:F)),1,0)</f>
        <v>0</v>
      </c>
      <c r="L5387" s="14">
        <f>IF(ISNUMBER(SEARCH(Лист2!$B$5,I:I)),1,0)+K5387</f>
        <v>0</v>
      </c>
      <c r="M5387" s="3">
        <f ca="1">IF(AND(N5387&lt;&gt;N5386,ISNUMBER(SEARCH(Лист2!$B$6,N:N)),L5387=2),MAX($M$3:OFFSET(M5387,-1,0))+1,0)</f>
        <v>0</v>
      </c>
      <c r="N5387" s="3" t="s">
        <v>3231</v>
      </c>
    </row>
    <row r="5388" spans="1:14" x14ac:dyDescent="0.25">
      <c r="A5388" s="1" t="s">
        <v>14033</v>
      </c>
      <c r="B5388" s="3" t="s">
        <v>9012</v>
      </c>
      <c r="C5388" s="2">
        <f ca="1">IF(ISNUMBER(SEARCH(Лист2!$B$4,D:D)),MAX($C$3:OFFSET(C5388,-1,0))+1,0)</f>
        <v>0</v>
      </c>
      <c r="E5388" s="9" t="str">
        <f t="shared" ca="1" si="96"/>
        <v/>
      </c>
      <c r="F5388" s="4" t="s">
        <v>34</v>
      </c>
      <c r="G5388" s="2">
        <f>IF(ISNUMBER(SEARCH(Лист2!$B$4,F:F)),1,0)</f>
        <v>0</v>
      </c>
      <c r="H5388" s="3">
        <f ca="1">IF(AND(I5388&lt;&gt;I5387,ISNUMBER(SEARCH(Лист2!$B$5,I:I)),G5388=1),MAX($H$3:OFFSET(H5388,-1,0))+1,0)</f>
        <v>0</v>
      </c>
      <c r="I5388" s="3" t="s">
        <v>427</v>
      </c>
      <c r="K5388" s="2">
        <f>IF(ISNUMBER(SEARCH(Лист2!$B$4,F:F)),1,0)</f>
        <v>0</v>
      </c>
      <c r="L5388" s="14">
        <f>IF(ISNUMBER(SEARCH(Лист2!$B$5,I:I)),1,0)+K5388</f>
        <v>0</v>
      </c>
      <c r="M5388" s="3">
        <f ca="1">IF(AND(N5388&lt;&gt;N5387,ISNUMBER(SEARCH(Лист2!$B$6,N:N)),L5388=2),MAX($M$3:OFFSET(M5388,-1,0))+1,0)</f>
        <v>0</v>
      </c>
      <c r="N5388" s="3" t="s">
        <v>3231</v>
      </c>
    </row>
    <row r="5389" spans="1:14" x14ac:dyDescent="0.25">
      <c r="A5389" s="1" t="s">
        <v>14033</v>
      </c>
      <c r="B5389" s="3" t="s">
        <v>9013</v>
      </c>
      <c r="C5389" s="2">
        <f ca="1">IF(ISNUMBER(SEARCH(Лист2!$B$4,D:D)),MAX($C$3:OFFSET(C5389,-1,0))+1,0)</f>
        <v>0</v>
      </c>
      <c r="E5389" s="9" t="str">
        <f t="shared" ca="1" si="96"/>
        <v/>
      </c>
      <c r="F5389" s="4" t="s">
        <v>34</v>
      </c>
      <c r="G5389" s="2">
        <f>IF(ISNUMBER(SEARCH(Лист2!$B$4,F:F)),1,0)</f>
        <v>0</v>
      </c>
      <c r="H5389" s="3">
        <f ca="1">IF(AND(I5389&lt;&gt;I5388,ISNUMBER(SEARCH(Лист2!$B$5,I:I)),G5389=1),MAX($H$3:OFFSET(H5389,-1,0))+1,0)</f>
        <v>0</v>
      </c>
      <c r="I5389" s="3" t="s">
        <v>427</v>
      </c>
      <c r="K5389" s="2">
        <f>IF(ISNUMBER(SEARCH(Лист2!$B$4,F:F)),1,0)</f>
        <v>0</v>
      </c>
      <c r="L5389" s="14">
        <f>IF(ISNUMBER(SEARCH(Лист2!$B$5,I:I)),1,0)+K5389</f>
        <v>0</v>
      </c>
      <c r="M5389" s="3">
        <f ca="1">IF(AND(N5389&lt;&gt;N5388,ISNUMBER(SEARCH(Лист2!$B$6,N:N)),L5389=2),MAX($M$3:OFFSET(M5389,-1,0))+1,0)</f>
        <v>0</v>
      </c>
      <c r="N5389" s="3" t="s">
        <v>3231</v>
      </c>
    </row>
    <row r="5390" spans="1:14" x14ac:dyDescent="0.25">
      <c r="A5390" s="1" t="s">
        <v>14034</v>
      </c>
      <c r="B5390" s="3" t="s">
        <v>9014</v>
      </c>
      <c r="C5390" s="2">
        <f ca="1">IF(ISNUMBER(SEARCH(Лист2!$B$4,D:D)),MAX($C$3:OFFSET(C5390,-1,0))+1,0)</f>
        <v>0</v>
      </c>
      <c r="E5390" s="9" t="str">
        <f t="shared" ca="1" si="96"/>
        <v/>
      </c>
      <c r="F5390" s="4" t="s">
        <v>34</v>
      </c>
      <c r="G5390" s="2">
        <f>IF(ISNUMBER(SEARCH(Лист2!$B$4,F:F)),1,0)</f>
        <v>0</v>
      </c>
      <c r="H5390" s="3">
        <f ca="1">IF(AND(I5390&lt;&gt;I5389,ISNUMBER(SEARCH(Лист2!$B$5,I:I)),G5390=1),MAX($H$3:OFFSET(H5390,-1,0))+1,0)</f>
        <v>0</v>
      </c>
      <c r="I5390" s="3" t="s">
        <v>427</v>
      </c>
      <c r="K5390" s="2">
        <f>IF(ISNUMBER(SEARCH(Лист2!$B$4,F:F)),1,0)</f>
        <v>0</v>
      </c>
      <c r="L5390" s="14">
        <f>IF(ISNUMBER(SEARCH(Лист2!$B$5,I:I)),1,0)+K5390</f>
        <v>0</v>
      </c>
      <c r="M5390" s="3">
        <f ca="1">IF(AND(N5390&lt;&gt;N5389,ISNUMBER(SEARCH(Лист2!$B$6,N:N)),L5390=2),MAX($M$3:OFFSET(M5390,-1,0))+1,0)</f>
        <v>0</v>
      </c>
      <c r="N5390" s="3" t="s">
        <v>3232</v>
      </c>
    </row>
    <row r="5391" spans="1:14" x14ac:dyDescent="0.25">
      <c r="A5391" s="1" t="s">
        <v>14035</v>
      </c>
      <c r="B5391" s="3" t="s">
        <v>9015</v>
      </c>
      <c r="C5391" s="2">
        <f ca="1">IF(ISNUMBER(SEARCH(Лист2!$B$4,D:D)),MAX($C$3:OFFSET(C5391,-1,0))+1,0)</f>
        <v>0</v>
      </c>
      <c r="E5391" s="9" t="str">
        <f t="shared" ca="1" si="96"/>
        <v/>
      </c>
      <c r="F5391" s="4" t="s">
        <v>34</v>
      </c>
      <c r="G5391" s="2">
        <f>IF(ISNUMBER(SEARCH(Лист2!$B$4,F:F)),1,0)</f>
        <v>0</v>
      </c>
      <c r="H5391" s="3">
        <f ca="1">IF(AND(I5391&lt;&gt;I5390,ISNUMBER(SEARCH(Лист2!$B$5,I:I)),G5391=1),MAX($H$3:OFFSET(H5391,-1,0))+1,0)</f>
        <v>0</v>
      </c>
      <c r="I5391" s="3" t="s">
        <v>427</v>
      </c>
      <c r="K5391" s="2">
        <f>IF(ISNUMBER(SEARCH(Лист2!$B$4,F:F)),1,0)</f>
        <v>0</v>
      </c>
      <c r="L5391" s="14">
        <f>IF(ISNUMBER(SEARCH(Лист2!$B$5,I:I)),1,0)+K5391</f>
        <v>0</v>
      </c>
      <c r="M5391" s="3">
        <f ca="1">IF(AND(N5391&lt;&gt;N5390,ISNUMBER(SEARCH(Лист2!$B$6,N:N)),L5391=2),MAX($M$3:OFFSET(M5391,-1,0))+1,0)</f>
        <v>0</v>
      </c>
      <c r="N5391" s="3" t="s">
        <v>3233</v>
      </c>
    </row>
    <row r="5392" spans="1:14" x14ac:dyDescent="0.25">
      <c r="A5392" s="1" t="s">
        <v>14036</v>
      </c>
      <c r="B5392" s="3" t="s">
        <v>9016</v>
      </c>
      <c r="C5392" s="2">
        <f ca="1">IF(ISNUMBER(SEARCH(Лист2!$B$4,D:D)),MAX($C$3:OFFSET(C5392,-1,0))+1,0)</f>
        <v>0</v>
      </c>
      <c r="E5392" s="9" t="str">
        <f t="shared" ca="1" si="96"/>
        <v/>
      </c>
      <c r="F5392" s="4" t="s">
        <v>34</v>
      </c>
      <c r="G5392" s="2">
        <f>IF(ISNUMBER(SEARCH(Лист2!$B$4,F:F)),1,0)</f>
        <v>0</v>
      </c>
      <c r="H5392" s="3">
        <f ca="1">IF(AND(I5392&lt;&gt;I5391,ISNUMBER(SEARCH(Лист2!$B$5,I:I)),G5392=1),MAX($H$3:OFFSET(H5392,-1,0))+1,0)</f>
        <v>0</v>
      </c>
      <c r="I5392" s="3" t="s">
        <v>427</v>
      </c>
      <c r="K5392" s="2">
        <f>IF(ISNUMBER(SEARCH(Лист2!$B$4,F:F)),1,0)</f>
        <v>0</v>
      </c>
      <c r="L5392" s="14">
        <f>IF(ISNUMBER(SEARCH(Лист2!$B$5,I:I)),1,0)+K5392</f>
        <v>0</v>
      </c>
      <c r="M5392" s="3">
        <f ca="1">IF(AND(N5392&lt;&gt;N5391,ISNUMBER(SEARCH(Лист2!$B$6,N:N)),L5392=2),MAX($M$3:OFFSET(M5392,-1,0))+1,0)</f>
        <v>0</v>
      </c>
      <c r="N5392" s="3" t="s">
        <v>523</v>
      </c>
    </row>
    <row r="5393" spans="1:14" x14ac:dyDescent="0.25">
      <c r="A5393" s="1" t="s">
        <v>14037</v>
      </c>
      <c r="B5393" s="3" t="s">
        <v>9017</v>
      </c>
      <c r="C5393" s="2">
        <f ca="1">IF(ISNUMBER(SEARCH(Лист2!$B$4,D:D)),MAX($C$3:OFFSET(C5393,-1,0))+1,0)</f>
        <v>0</v>
      </c>
      <c r="E5393" s="9" t="str">
        <f t="shared" ca="1" si="96"/>
        <v/>
      </c>
      <c r="F5393" s="4" t="s">
        <v>34</v>
      </c>
      <c r="G5393" s="2">
        <f>IF(ISNUMBER(SEARCH(Лист2!$B$4,F:F)),1,0)</f>
        <v>0</v>
      </c>
      <c r="H5393" s="3">
        <f ca="1">IF(AND(I5393&lt;&gt;I5392,ISNUMBER(SEARCH(Лист2!$B$5,I:I)),G5393=1),MAX($H$3:OFFSET(H5393,-1,0))+1,0)</f>
        <v>0</v>
      </c>
      <c r="I5393" s="3" t="s">
        <v>427</v>
      </c>
      <c r="K5393" s="2">
        <f>IF(ISNUMBER(SEARCH(Лист2!$B$4,F:F)),1,0)</f>
        <v>0</v>
      </c>
      <c r="L5393" s="14">
        <f>IF(ISNUMBER(SEARCH(Лист2!$B$5,I:I)),1,0)+K5393</f>
        <v>0</v>
      </c>
      <c r="M5393" s="3">
        <f ca="1">IF(AND(N5393&lt;&gt;N5392,ISNUMBER(SEARCH(Лист2!$B$6,N:N)),L5393=2),MAX($M$3:OFFSET(M5393,-1,0))+1,0)</f>
        <v>0</v>
      </c>
      <c r="N5393" s="3" t="s">
        <v>3234</v>
      </c>
    </row>
    <row r="5394" spans="1:14" x14ac:dyDescent="0.25">
      <c r="A5394" s="1" t="s">
        <v>14038</v>
      </c>
      <c r="B5394" s="3" t="s">
        <v>9018</v>
      </c>
      <c r="C5394" s="2">
        <f ca="1">IF(ISNUMBER(SEARCH(Лист2!$B$4,D:D)),MAX($C$3:OFFSET(C5394,-1,0))+1,0)</f>
        <v>0</v>
      </c>
      <c r="E5394" s="9" t="str">
        <f t="shared" ca="1" si="96"/>
        <v/>
      </c>
      <c r="F5394" s="4" t="s">
        <v>34</v>
      </c>
      <c r="G5394" s="2">
        <f>IF(ISNUMBER(SEARCH(Лист2!$B$4,F:F)),1,0)</f>
        <v>0</v>
      </c>
      <c r="H5394" s="3">
        <f ca="1">IF(AND(I5394&lt;&gt;I5393,ISNUMBER(SEARCH(Лист2!$B$5,I:I)),G5394=1),MAX($H$3:OFFSET(H5394,-1,0))+1,0)</f>
        <v>0</v>
      </c>
      <c r="I5394" s="3" t="s">
        <v>49</v>
      </c>
      <c r="K5394" s="2">
        <f>IF(ISNUMBER(SEARCH(Лист2!$B$4,F:F)),1,0)</f>
        <v>0</v>
      </c>
      <c r="L5394" s="14">
        <f>IF(ISNUMBER(SEARCH(Лист2!$B$5,I:I)),1,0)+K5394</f>
        <v>0</v>
      </c>
      <c r="M5394" s="3">
        <f ca="1">IF(AND(N5394&lt;&gt;N5393,ISNUMBER(SEARCH(Лист2!$B$6,N:N)),L5394=2),MAX($M$3:OFFSET(M5394,-1,0))+1,0)</f>
        <v>0</v>
      </c>
      <c r="N5394" s="3" t="s">
        <v>3235</v>
      </c>
    </row>
    <row r="5395" spans="1:14" x14ac:dyDescent="0.25">
      <c r="A5395" s="1" t="s">
        <v>14039</v>
      </c>
      <c r="B5395" s="3" t="s">
        <v>9019</v>
      </c>
      <c r="C5395" s="2">
        <f ca="1">IF(ISNUMBER(SEARCH(Лист2!$B$4,D:D)),MAX($C$3:OFFSET(C5395,-1,0))+1,0)</f>
        <v>0</v>
      </c>
      <c r="E5395" s="9" t="str">
        <f t="shared" ca="1" si="96"/>
        <v/>
      </c>
      <c r="F5395" s="4" t="s">
        <v>34</v>
      </c>
      <c r="G5395" s="2">
        <f>IF(ISNUMBER(SEARCH(Лист2!$B$4,F:F)),1,0)</f>
        <v>0</v>
      </c>
      <c r="H5395" s="3">
        <f ca="1">IF(AND(I5395&lt;&gt;I5394,ISNUMBER(SEARCH(Лист2!$B$5,I:I)),G5395=1),MAX($H$3:OFFSET(H5395,-1,0))+1,0)</f>
        <v>0</v>
      </c>
      <c r="I5395" s="3" t="s">
        <v>49</v>
      </c>
      <c r="K5395" s="2">
        <f>IF(ISNUMBER(SEARCH(Лист2!$B$4,F:F)),1,0)</f>
        <v>0</v>
      </c>
      <c r="L5395" s="14">
        <f>IF(ISNUMBER(SEARCH(Лист2!$B$5,I:I)),1,0)+K5395</f>
        <v>0</v>
      </c>
      <c r="M5395" s="3">
        <f ca="1">IF(AND(N5395&lt;&gt;N5394,ISNUMBER(SEARCH(Лист2!$B$6,N:N)),L5395=2),MAX($M$3:OFFSET(M5395,-1,0))+1,0)</f>
        <v>0</v>
      </c>
      <c r="N5395" s="3" t="s">
        <v>532</v>
      </c>
    </row>
    <row r="5396" spans="1:14" x14ac:dyDescent="0.25">
      <c r="A5396" s="1" t="s">
        <v>14039</v>
      </c>
      <c r="B5396" s="3" t="s">
        <v>9020</v>
      </c>
      <c r="C5396" s="2">
        <f ca="1">IF(ISNUMBER(SEARCH(Лист2!$B$4,D:D)),MAX($C$3:OFFSET(C5396,-1,0))+1,0)</f>
        <v>0</v>
      </c>
      <c r="E5396" s="9" t="str">
        <f t="shared" ca="1" si="96"/>
        <v/>
      </c>
      <c r="F5396" s="4" t="s">
        <v>34</v>
      </c>
      <c r="G5396" s="2">
        <f>IF(ISNUMBER(SEARCH(Лист2!$B$4,F:F)),1,0)</f>
        <v>0</v>
      </c>
      <c r="H5396" s="3">
        <f ca="1">IF(AND(I5396&lt;&gt;I5395,ISNUMBER(SEARCH(Лист2!$B$5,I:I)),G5396=1),MAX($H$3:OFFSET(H5396,-1,0))+1,0)</f>
        <v>0</v>
      </c>
      <c r="I5396" s="3" t="s">
        <v>49</v>
      </c>
      <c r="K5396" s="2">
        <f>IF(ISNUMBER(SEARCH(Лист2!$B$4,F:F)),1,0)</f>
        <v>0</v>
      </c>
      <c r="L5396" s="14">
        <f>IF(ISNUMBER(SEARCH(Лист2!$B$5,I:I)),1,0)+K5396</f>
        <v>0</v>
      </c>
      <c r="M5396" s="3">
        <f ca="1">IF(AND(N5396&lt;&gt;N5395,ISNUMBER(SEARCH(Лист2!$B$6,N:N)),L5396=2),MAX($M$3:OFFSET(M5396,-1,0))+1,0)</f>
        <v>0</v>
      </c>
      <c r="N5396" s="3" t="s">
        <v>532</v>
      </c>
    </row>
    <row r="5397" spans="1:14" x14ac:dyDescent="0.25">
      <c r="A5397" s="1" t="s">
        <v>14039</v>
      </c>
      <c r="B5397" s="3" t="s">
        <v>9021</v>
      </c>
      <c r="C5397" s="2">
        <f ca="1">IF(ISNUMBER(SEARCH(Лист2!$B$4,D:D)),MAX($C$3:OFFSET(C5397,-1,0))+1,0)</f>
        <v>0</v>
      </c>
      <c r="E5397" s="9" t="str">
        <f t="shared" ca="1" si="96"/>
        <v/>
      </c>
      <c r="F5397" s="4" t="s">
        <v>34</v>
      </c>
      <c r="G5397" s="2">
        <f>IF(ISNUMBER(SEARCH(Лист2!$B$4,F:F)),1,0)</f>
        <v>0</v>
      </c>
      <c r="H5397" s="3">
        <f ca="1">IF(AND(I5397&lt;&gt;I5396,ISNUMBER(SEARCH(Лист2!$B$5,I:I)),G5397=1),MAX($H$3:OFFSET(H5397,-1,0))+1,0)</f>
        <v>0</v>
      </c>
      <c r="I5397" s="3" t="s">
        <v>49</v>
      </c>
      <c r="K5397" s="2">
        <f>IF(ISNUMBER(SEARCH(Лист2!$B$4,F:F)),1,0)</f>
        <v>0</v>
      </c>
      <c r="L5397" s="14">
        <f>IF(ISNUMBER(SEARCH(Лист2!$B$5,I:I)),1,0)+K5397</f>
        <v>0</v>
      </c>
      <c r="M5397" s="3">
        <f ca="1">IF(AND(N5397&lt;&gt;N5396,ISNUMBER(SEARCH(Лист2!$B$6,N:N)),L5397=2),MAX($M$3:OFFSET(M5397,-1,0))+1,0)</f>
        <v>0</v>
      </c>
      <c r="N5397" s="3" t="s">
        <v>532</v>
      </c>
    </row>
    <row r="5398" spans="1:14" x14ac:dyDescent="0.25">
      <c r="A5398" s="1" t="s">
        <v>14040</v>
      </c>
      <c r="B5398" s="3" t="s">
        <v>9022</v>
      </c>
      <c r="C5398" s="2">
        <f ca="1">IF(ISNUMBER(SEARCH(Лист2!$B$4,D:D)),MAX($C$3:OFFSET(C5398,-1,0))+1,0)</f>
        <v>0</v>
      </c>
      <c r="E5398" s="9" t="str">
        <f t="shared" ca="1" si="96"/>
        <v/>
      </c>
      <c r="F5398" s="4" t="s">
        <v>34</v>
      </c>
      <c r="G5398" s="2">
        <f>IF(ISNUMBER(SEARCH(Лист2!$B$4,F:F)),1,0)</f>
        <v>0</v>
      </c>
      <c r="H5398" s="3">
        <f ca="1">IF(AND(I5398&lt;&gt;I5397,ISNUMBER(SEARCH(Лист2!$B$5,I:I)),G5398=1),MAX($H$3:OFFSET(H5398,-1,0))+1,0)</f>
        <v>0</v>
      </c>
      <c r="I5398" s="3" t="s">
        <v>49</v>
      </c>
      <c r="K5398" s="2">
        <f>IF(ISNUMBER(SEARCH(Лист2!$B$4,F:F)),1,0)</f>
        <v>0</v>
      </c>
      <c r="L5398" s="14">
        <f>IF(ISNUMBER(SEARCH(Лист2!$B$5,I:I)),1,0)+K5398</f>
        <v>0</v>
      </c>
      <c r="M5398" s="3">
        <f ca="1">IF(AND(N5398&lt;&gt;N5397,ISNUMBER(SEARCH(Лист2!$B$6,N:N)),L5398=2),MAX($M$3:OFFSET(M5398,-1,0))+1,0)</f>
        <v>0</v>
      </c>
      <c r="N5398" s="3" t="s">
        <v>3236</v>
      </c>
    </row>
    <row r="5399" spans="1:14" x14ac:dyDescent="0.25">
      <c r="A5399" s="1" t="s">
        <v>14040</v>
      </c>
      <c r="B5399" s="3" t="s">
        <v>9023</v>
      </c>
      <c r="C5399" s="2">
        <f ca="1">IF(ISNUMBER(SEARCH(Лист2!$B$4,D:D)),MAX($C$3:OFFSET(C5399,-1,0))+1,0)</f>
        <v>0</v>
      </c>
      <c r="E5399" s="9" t="str">
        <f t="shared" ca="1" si="96"/>
        <v/>
      </c>
      <c r="F5399" s="4" t="s">
        <v>34</v>
      </c>
      <c r="G5399" s="2">
        <f>IF(ISNUMBER(SEARCH(Лист2!$B$4,F:F)),1,0)</f>
        <v>0</v>
      </c>
      <c r="H5399" s="3">
        <f ca="1">IF(AND(I5399&lt;&gt;I5398,ISNUMBER(SEARCH(Лист2!$B$5,I:I)),G5399=1),MAX($H$3:OFFSET(H5399,-1,0))+1,0)</f>
        <v>0</v>
      </c>
      <c r="I5399" s="3" t="s">
        <v>49</v>
      </c>
      <c r="K5399" s="2">
        <f>IF(ISNUMBER(SEARCH(Лист2!$B$4,F:F)),1,0)</f>
        <v>0</v>
      </c>
      <c r="L5399" s="14">
        <f>IF(ISNUMBER(SEARCH(Лист2!$B$5,I:I)),1,0)+K5399</f>
        <v>0</v>
      </c>
      <c r="M5399" s="3">
        <f ca="1">IF(AND(N5399&lt;&gt;N5398,ISNUMBER(SEARCH(Лист2!$B$6,N:N)),L5399=2),MAX($M$3:OFFSET(M5399,-1,0))+1,0)</f>
        <v>0</v>
      </c>
      <c r="N5399" s="3" t="s">
        <v>3236</v>
      </c>
    </row>
    <row r="5400" spans="1:14" x14ac:dyDescent="0.25">
      <c r="A5400" s="1" t="s">
        <v>14040</v>
      </c>
      <c r="B5400" s="3" t="s">
        <v>9024</v>
      </c>
      <c r="C5400" s="2">
        <f ca="1">IF(ISNUMBER(SEARCH(Лист2!$B$4,D:D)),MAX($C$3:OFFSET(C5400,-1,0))+1,0)</f>
        <v>0</v>
      </c>
      <c r="E5400" s="9" t="str">
        <f t="shared" ca="1" si="96"/>
        <v/>
      </c>
      <c r="F5400" s="4" t="s">
        <v>34</v>
      </c>
      <c r="G5400" s="2">
        <f>IF(ISNUMBER(SEARCH(Лист2!$B$4,F:F)),1,0)</f>
        <v>0</v>
      </c>
      <c r="H5400" s="3">
        <f ca="1">IF(AND(I5400&lt;&gt;I5399,ISNUMBER(SEARCH(Лист2!$B$5,I:I)),G5400=1),MAX($H$3:OFFSET(H5400,-1,0))+1,0)</f>
        <v>0</v>
      </c>
      <c r="I5400" s="3" t="s">
        <v>49</v>
      </c>
      <c r="K5400" s="2">
        <f>IF(ISNUMBER(SEARCH(Лист2!$B$4,F:F)),1,0)</f>
        <v>0</v>
      </c>
      <c r="L5400" s="14">
        <f>IF(ISNUMBER(SEARCH(Лист2!$B$5,I:I)),1,0)+K5400</f>
        <v>0</v>
      </c>
      <c r="M5400" s="3">
        <f ca="1">IF(AND(N5400&lt;&gt;N5399,ISNUMBER(SEARCH(Лист2!$B$6,N:N)),L5400=2),MAX($M$3:OFFSET(M5400,-1,0))+1,0)</f>
        <v>0</v>
      </c>
      <c r="N5400" s="3" t="s">
        <v>3236</v>
      </c>
    </row>
    <row r="5401" spans="1:14" x14ac:dyDescent="0.25">
      <c r="A5401" s="1" t="s">
        <v>14041</v>
      </c>
      <c r="B5401" s="3" t="s">
        <v>9025</v>
      </c>
      <c r="C5401" s="2">
        <f ca="1">IF(ISNUMBER(SEARCH(Лист2!$B$4,D:D)),MAX($C$3:OFFSET(C5401,-1,0))+1,0)</f>
        <v>0</v>
      </c>
      <c r="E5401" s="9" t="str">
        <f t="shared" ca="1" si="96"/>
        <v/>
      </c>
      <c r="F5401" s="4" t="s">
        <v>34</v>
      </c>
      <c r="G5401" s="2">
        <f>IF(ISNUMBER(SEARCH(Лист2!$B$4,F:F)),1,0)</f>
        <v>0</v>
      </c>
      <c r="H5401" s="3">
        <f ca="1">IF(AND(I5401&lt;&gt;I5400,ISNUMBER(SEARCH(Лист2!$B$5,I:I)),G5401=1),MAX($H$3:OFFSET(H5401,-1,0))+1,0)</f>
        <v>0</v>
      </c>
      <c r="I5401" s="3" t="s">
        <v>49</v>
      </c>
      <c r="K5401" s="2">
        <f>IF(ISNUMBER(SEARCH(Лист2!$B$4,F:F)),1,0)</f>
        <v>0</v>
      </c>
      <c r="L5401" s="14">
        <f>IF(ISNUMBER(SEARCH(Лист2!$B$5,I:I)),1,0)+K5401</f>
        <v>0</v>
      </c>
      <c r="M5401" s="3">
        <f ca="1">IF(AND(N5401&lt;&gt;N5400,ISNUMBER(SEARCH(Лист2!$B$6,N:N)),L5401=2),MAX($M$3:OFFSET(M5401,-1,0))+1,0)</f>
        <v>0</v>
      </c>
      <c r="N5401" s="3" t="s">
        <v>534</v>
      </c>
    </row>
    <row r="5402" spans="1:14" x14ac:dyDescent="0.25">
      <c r="A5402" s="1" t="s">
        <v>14041</v>
      </c>
      <c r="B5402" s="3" t="s">
        <v>9026</v>
      </c>
      <c r="C5402" s="2">
        <f ca="1">IF(ISNUMBER(SEARCH(Лист2!$B$4,D:D)),MAX($C$3:OFFSET(C5402,-1,0))+1,0)</f>
        <v>0</v>
      </c>
      <c r="E5402" s="9" t="str">
        <f t="shared" ca="1" si="96"/>
        <v/>
      </c>
      <c r="F5402" s="4" t="s">
        <v>34</v>
      </c>
      <c r="G5402" s="2">
        <f>IF(ISNUMBER(SEARCH(Лист2!$B$4,F:F)),1,0)</f>
        <v>0</v>
      </c>
      <c r="H5402" s="3">
        <f ca="1">IF(AND(I5402&lt;&gt;I5401,ISNUMBER(SEARCH(Лист2!$B$5,I:I)),G5402=1),MAX($H$3:OFFSET(H5402,-1,0))+1,0)</f>
        <v>0</v>
      </c>
      <c r="I5402" s="3" t="s">
        <v>49</v>
      </c>
      <c r="K5402" s="2">
        <f>IF(ISNUMBER(SEARCH(Лист2!$B$4,F:F)),1,0)</f>
        <v>0</v>
      </c>
      <c r="L5402" s="14">
        <f>IF(ISNUMBER(SEARCH(Лист2!$B$5,I:I)),1,0)+K5402</f>
        <v>0</v>
      </c>
      <c r="M5402" s="3">
        <f ca="1">IF(AND(N5402&lt;&gt;N5401,ISNUMBER(SEARCH(Лист2!$B$6,N:N)),L5402=2),MAX($M$3:OFFSET(M5402,-1,0))+1,0)</f>
        <v>0</v>
      </c>
      <c r="N5402" s="3" t="s">
        <v>534</v>
      </c>
    </row>
    <row r="5403" spans="1:14" x14ac:dyDescent="0.25">
      <c r="A5403" s="1" t="s">
        <v>14041</v>
      </c>
      <c r="B5403" s="3" t="s">
        <v>9027</v>
      </c>
      <c r="C5403" s="2">
        <f ca="1">IF(ISNUMBER(SEARCH(Лист2!$B$4,D:D)),MAX($C$3:OFFSET(C5403,-1,0))+1,0)</f>
        <v>0</v>
      </c>
      <c r="E5403" s="9" t="str">
        <f t="shared" ca="1" si="96"/>
        <v/>
      </c>
      <c r="F5403" s="4" t="s">
        <v>34</v>
      </c>
      <c r="G5403" s="2">
        <f>IF(ISNUMBER(SEARCH(Лист2!$B$4,F:F)),1,0)</f>
        <v>0</v>
      </c>
      <c r="H5403" s="3">
        <f ca="1">IF(AND(I5403&lt;&gt;I5402,ISNUMBER(SEARCH(Лист2!$B$5,I:I)),G5403=1),MAX($H$3:OFFSET(H5403,-1,0))+1,0)</f>
        <v>0</v>
      </c>
      <c r="I5403" s="3" t="s">
        <v>49</v>
      </c>
      <c r="K5403" s="2">
        <f>IF(ISNUMBER(SEARCH(Лист2!$B$4,F:F)),1,0)</f>
        <v>0</v>
      </c>
      <c r="L5403" s="14">
        <f>IF(ISNUMBER(SEARCH(Лист2!$B$5,I:I)),1,0)+K5403</f>
        <v>0</v>
      </c>
      <c r="M5403" s="3">
        <f ca="1">IF(AND(N5403&lt;&gt;N5402,ISNUMBER(SEARCH(Лист2!$B$6,N:N)),L5403=2),MAX($M$3:OFFSET(M5403,-1,0))+1,0)</f>
        <v>0</v>
      </c>
      <c r="N5403" s="3" t="s">
        <v>534</v>
      </c>
    </row>
    <row r="5404" spans="1:14" x14ac:dyDescent="0.25">
      <c r="A5404" s="1" t="s">
        <v>14042</v>
      </c>
      <c r="B5404" s="3" t="s">
        <v>9028</v>
      </c>
      <c r="C5404" s="2">
        <f ca="1">IF(ISNUMBER(SEARCH(Лист2!$B$4,D:D)),MAX($C$3:OFFSET(C5404,-1,0))+1,0)</f>
        <v>0</v>
      </c>
      <c r="E5404" s="9" t="str">
        <f t="shared" ca="1" si="96"/>
        <v/>
      </c>
      <c r="F5404" s="4" t="s">
        <v>34</v>
      </c>
      <c r="G5404" s="2">
        <f>IF(ISNUMBER(SEARCH(Лист2!$B$4,F:F)),1,0)</f>
        <v>0</v>
      </c>
      <c r="H5404" s="3">
        <f ca="1">IF(AND(I5404&lt;&gt;I5403,ISNUMBER(SEARCH(Лист2!$B$5,I:I)),G5404=1),MAX($H$3:OFFSET(H5404,-1,0))+1,0)</f>
        <v>0</v>
      </c>
      <c r="I5404" s="3" t="s">
        <v>49</v>
      </c>
      <c r="K5404" s="2">
        <f>IF(ISNUMBER(SEARCH(Лист2!$B$4,F:F)),1,0)</f>
        <v>0</v>
      </c>
      <c r="L5404" s="14">
        <f>IF(ISNUMBER(SEARCH(Лист2!$B$5,I:I)),1,0)+K5404</f>
        <v>0</v>
      </c>
      <c r="M5404" s="3">
        <f ca="1">IF(AND(N5404&lt;&gt;N5403,ISNUMBER(SEARCH(Лист2!$B$6,N:N)),L5404=2),MAX($M$3:OFFSET(M5404,-1,0))+1,0)</f>
        <v>0</v>
      </c>
      <c r="N5404" s="3" t="s">
        <v>3237</v>
      </c>
    </row>
    <row r="5405" spans="1:14" x14ac:dyDescent="0.25">
      <c r="A5405" s="1" t="s">
        <v>14043</v>
      </c>
      <c r="B5405" s="3" t="s">
        <v>9029</v>
      </c>
      <c r="C5405" s="2">
        <f ca="1">IF(ISNUMBER(SEARCH(Лист2!$B$4,D:D)),MAX($C$3:OFFSET(C5405,-1,0))+1,0)</f>
        <v>0</v>
      </c>
      <c r="E5405" s="9" t="str">
        <f t="shared" ca="1" si="96"/>
        <v/>
      </c>
      <c r="F5405" s="4" t="s">
        <v>34</v>
      </c>
      <c r="G5405" s="2">
        <f>IF(ISNUMBER(SEARCH(Лист2!$B$4,F:F)),1,0)</f>
        <v>0</v>
      </c>
      <c r="H5405" s="3">
        <f ca="1">IF(AND(I5405&lt;&gt;I5404,ISNUMBER(SEARCH(Лист2!$B$5,I:I)),G5405=1),MAX($H$3:OFFSET(H5405,-1,0))+1,0)</f>
        <v>0</v>
      </c>
      <c r="I5405" s="3" t="s">
        <v>49</v>
      </c>
      <c r="K5405" s="2">
        <f>IF(ISNUMBER(SEARCH(Лист2!$B$4,F:F)),1,0)</f>
        <v>0</v>
      </c>
      <c r="L5405" s="14">
        <f>IF(ISNUMBER(SEARCH(Лист2!$B$5,I:I)),1,0)+K5405</f>
        <v>0</v>
      </c>
      <c r="M5405" s="3">
        <f ca="1">IF(AND(N5405&lt;&gt;N5404,ISNUMBER(SEARCH(Лист2!$B$6,N:N)),L5405=2),MAX($M$3:OFFSET(M5405,-1,0))+1,0)</f>
        <v>0</v>
      </c>
      <c r="N5405" s="3" t="s">
        <v>537</v>
      </c>
    </row>
    <row r="5406" spans="1:14" x14ac:dyDescent="0.25">
      <c r="A5406" s="1" t="s">
        <v>14044</v>
      </c>
      <c r="B5406" s="3" t="s">
        <v>9030</v>
      </c>
      <c r="C5406" s="2">
        <f ca="1">IF(ISNUMBER(SEARCH(Лист2!$B$4,D:D)),MAX($C$3:OFFSET(C5406,-1,0))+1,0)</f>
        <v>0</v>
      </c>
      <c r="E5406" s="9" t="str">
        <f t="shared" ca="1" si="96"/>
        <v/>
      </c>
      <c r="F5406" s="4" t="s">
        <v>34</v>
      </c>
      <c r="G5406" s="2">
        <f>IF(ISNUMBER(SEARCH(Лист2!$B$4,F:F)),1,0)</f>
        <v>0</v>
      </c>
      <c r="H5406" s="3">
        <f ca="1">IF(AND(I5406&lt;&gt;I5405,ISNUMBER(SEARCH(Лист2!$B$5,I:I)),G5406=1),MAX($H$3:OFFSET(H5406,-1,0))+1,0)</f>
        <v>0</v>
      </c>
      <c r="I5406" s="3" t="s">
        <v>49</v>
      </c>
      <c r="K5406" s="2">
        <f>IF(ISNUMBER(SEARCH(Лист2!$B$4,F:F)),1,0)</f>
        <v>0</v>
      </c>
      <c r="L5406" s="14">
        <f>IF(ISNUMBER(SEARCH(Лист2!$B$5,I:I)),1,0)+K5406</f>
        <v>0</v>
      </c>
      <c r="M5406" s="3">
        <f ca="1">IF(AND(N5406&lt;&gt;N5405,ISNUMBER(SEARCH(Лист2!$B$6,N:N)),L5406=2),MAX($M$3:OFFSET(M5406,-1,0))+1,0)</f>
        <v>0</v>
      </c>
      <c r="N5406" s="3" t="s">
        <v>3234</v>
      </c>
    </row>
    <row r="5407" spans="1:14" x14ac:dyDescent="0.25">
      <c r="A5407" s="1" t="s">
        <v>14045</v>
      </c>
      <c r="B5407" s="3" t="s">
        <v>9031</v>
      </c>
      <c r="C5407" s="2">
        <f ca="1">IF(ISNUMBER(SEARCH(Лист2!$B$4,D:D)),MAX($C$3:OFFSET(C5407,-1,0))+1,0)</f>
        <v>0</v>
      </c>
      <c r="E5407" s="9" t="str">
        <f t="shared" ca="1" si="96"/>
        <v/>
      </c>
      <c r="F5407" s="4" t="s">
        <v>34</v>
      </c>
      <c r="G5407" s="2">
        <f>IF(ISNUMBER(SEARCH(Лист2!$B$4,F:F)),1,0)</f>
        <v>0</v>
      </c>
      <c r="H5407" s="3">
        <f ca="1">IF(AND(I5407&lt;&gt;I5406,ISNUMBER(SEARCH(Лист2!$B$5,I:I)),G5407=1),MAX($H$3:OFFSET(H5407,-1,0))+1,0)</f>
        <v>0</v>
      </c>
      <c r="I5407" s="3" t="s">
        <v>428</v>
      </c>
      <c r="K5407" s="2">
        <f>IF(ISNUMBER(SEARCH(Лист2!$B$4,F:F)),1,0)</f>
        <v>0</v>
      </c>
      <c r="L5407" s="14">
        <f>IF(ISNUMBER(SEARCH(Лист2!$B$5,I:I)),1,0)+K5407</f>
        <v>1</v>
      </c>
      <c r="M5407" s="3">
        <f ca="1">IF(AND(N5407&lt;&gt;N5406,ISNUMBER(SEARCH(Лист2!$B$6,N:N)),L5407=2),MAX($M$3:OFFSET(M5407,-1,0))+1,0)</f>
        <v>0</v>
      </c>
      <c r="N5407" s="3" t="s">
        <v>3238</v>
      </c>
    </row>
    <row r="5408" spans="1:14" x14ac:dyDescent="0.25">
      <c r="A5408" s="1" t="s">
        <v>14046</v>
      </c>
      <c r="B5408" s="3" t="s">
        <v>9032</v>
      </c>
      <c r="C5408" s="2">
        <f ca="1">IF(ISNUMBER(SEARCH(Лист2!$B$4,D:D)),MAX($C$3:OFFSET(C5408,-1,0))+1,0)</f>
        <v>0</v>
      </c>
      <c r="E5408" s="9" t="str">
        <f t="shared" ca="1" si="96"/>
        <v/>
      </c>
      <c r="F5408" s="4" t="s">
        <v>34</v>
      </c>
      <c r="G5408" s="2">
        <f>IF(ISNUMBER(SEARCH(Лист2!$B$4,F:F)),1,0)</f>
        <v>0</v>
      </c>
      <c r="H5408" s="3">
        <f ca="1">IF(AND(I5408&lt;&gt;I5407,ISNUMBER(SEARCH(Лист2!$B$5,I:I)),G5408=1),MAX($H$3:OFFSET(H5408,-1,0))+1,0)</f>
        <v>0</v>
      </c>
      <c r="I5408" s="3" t="s">
        <v>428</v>
      </c>
      <c r="K5408" s="2">
        <f>IF(ISNUMBER(SEARCH(Лист2!$B$4,F:F)),1,0)</f>
        <v>0</v>
      </c>
      <c r="L5408" s="14">
        <f>IF(ISNUMBER(SEARCH(Лист2!$B$5,I:I)),1,0)+K5408</f>
        <v>1</v>
      </c>
      <c r="M5408" s="3">
        <f ca="1">IF(AND(N5408&lt;&gt;N5407,ISNUMBER(SEARCH(Лист2!$B$6,N:N)),L5408=2),MAX($M$3:OFFSET(M5408,-1,0))+1,0)</f>
        <v>0</v>
      </c>
      <c r="N5408" s="3" t="s">
        <v>3239</v>
      </c>
    </row>
    <row r="5409" spans="1:14" x14ac:dyDescent="0.25">
      <c r="A5409" s="1" t="s">
        <v>14047</v>
      </c>
      <c r="B5409" s="3" t="s">
        <v>9033</v>
      </c>
      <c r="C5409" s="2">
        <f ca="1">IF(ISNUMBER(SEARCH(Лист2!$B$4,D:D)),MAX($C$3:OFFSET(C5409,-1,0))+1,0)</f>
        <v>0</v>
      </c>
      <c r="E5409" s="9" t="str">
        <f t="shared" ca="1" si="96"/>
        <v/>
      </c>
      <c r="F5409" s="4" t="s">
        <v>34</v>
      </c>
      <c r="G5409" s="2">
        <f>IF(ISNUMBER(SEARCH(Лист2!$B$4,F:F)),1,0)</f>
        <v>0</v>
      </c>
      <c r="H5409" s="3">
        <f ca="1">IF(AND(I5409&lt;&gt;I5408,ISNUMBER(SEARCH(Лист2!$B$5,I:I)),G5409=1),MAX($H$3:OFFSET(H5409,-1,0))+1,0)</f>
        <v>0</v>
      </c>
      <c r="I5409" s="3" t="s">
        <v>428</v>
      </c>
      <c r="K5409" s="2">
        <f>IF(ISNUMBER(SEARCH(Лист2!$B$4,F:F)),1,0)</f>
        <v>0</v>
      </c>
      <c r="L5409" s="14">
        <f>IF(ISNUMBER(SEARCH(Лист2!$B$5,I:I)),1,0)+K5409</f>
        <v>1</v>
      </c>
      <c r="M5409" s="3">
        <f ca="1">IF(AND(N5409&lt;&gt;N5408,ISNUMBER(SEARCH(Лист2!$B$6,N:N)),L5409=2),MAX($M$3:OFFSET(M5409,-1,0))+1,0)</f>
        <v>0</v>
      </c>
      <c r="N5409" s="3" t="s">
        <v>3240</v>
      </c>
    </row>
    <row r="5410" spans="1:14" x14ac:dyDescent="0.25">
      <c r="A5410" s="1" t="s">
        <v>14048</v>
      </c>
      <c r="B5410" s="3" t="s">
        <v>9034</v>
      </c>
      <c r="C5410" s="2">
        <f ca="1">IF(ISNUMBER(SEARCH(Лист2!$B$4,D:D)),MAX($C$3:OFFSET(C5410,-1,0))+1,0)</f>
        <v>0</v>
      </c>
      <c r="E5410" s="9" t="str">
        <f t="shared" ca="1" si="96"/>
        <v/>
      </c>
      <c r="F5410" s="4" t="s">
        <v>34</v>
      </c>
      <c r="G5410" s="2">
        <f>IF(ISNUMBER(SEARCH(Лист2!$B$4,F:F)),1,0)</f>
        <v>0</v>
      </c>
      <c r="H5410" s="3">
        <f ca="1">IF(AND(I5410&lt;&gt;I5409,ISNUMBER(SEARCH(Лист2!$B$5,I:I)),G5410=1),MAX($H$3:OFFSET(H5410,-1,0))+1,0)</f>
        <v>0</v>
      </c>
      <c r="I5410" s="3" t="s">
        <v>428</v>
      </c>
      <c r="K5410" s="2">
        <f>IF(ISNUMBER(SEARCH(Лист2!$B$4,F:F)),1,0)</f>
        <v>0</v>
      </c>
      <c r="L5410" s="14">
        <f>IF(ISNUMBER(SEARCH(Лист2!$B$5,I:I)),1,0)+K5410</f>
        <v>1</v>
      </c>
      <c r="M5410" s="3">
        <f ca="1">IF(AND(N5410&lt;&gt;N5409,ISNUMBER(SEARCH(Лист2!$B$6,N:N)),L5410=2),MAX($M$3:OFFSET(M5410,-1,0))+1,0)</f>
        <v>0</v>
      </c>
      <c r="N5410" s="3" t="s">
        <v>3241</v>
      </c>
    </row>
    <row r="5411" spans="1:14" x14ac:dyDescent="0.25">
      <c r="A5411" s="1" t="s">
        <v>14049</v>
      </c>
      <c r="B5411" s="3" t="s">
        <v>9035</v>
      </c>
      <c r="C5411" s="2">
        <f ca="1">IF(ISNUMBER(SEARCH(Лист2!$B$4,D:D)),MAX($C$3:OFFSET(C5411,-1,0))+1,0)</f>
        <v>0</v>
      </c>
      <c r="E5411" s="9" t="str">
        <f t="shared" ca="1" si="96"/>
        <v/>
      </c>
      <c r="F5411" s="4" t="s">
        <v>34</v>
      </c>
      <c r="G5411" s="2">
        <f>IF(ISNUMBER(SEARCH(Лист2!$B$4,F:F)),1,0)</f>
        <v>0</v>
      </c>
      <c r="H5411" s="3">
        <f ca="1">IF(AND(I5411&lt;&gt;I5410,ISNUMBER(SEARCH(Лист2!$B$5,I:I)),G5411=1),MAX($H$3:OFFSET(H5411,-1,0))+1,0)</f>
        <v>0</v>
      </c>
      <c r="I5411" s="3" t="s">
        <v>428</v>
      </c>
      <c r="K5411" s="2">
        <f>IF(ISNUMBER(SEARCH(Лист2!$B$4,F:F)),1,0)</f>
        <v>0</v>
      </c>
      <c r="L5411" s="14">
        <f>IF(ISNUMBER(SEARCH(Лист2!$B$5,I:I)),1,0)+K5411</f>
        <v>1</v>
      </c>
      <c r="M5411" s="3">
        <f ca="1">IF(AND(N5411&lt;&gt;N5410,ISNUMBER(SEARCH(Лист2!$B$6,N:N)),L5411=2),MAX($M$3:OFFSET(M5411,-1,0))+1,0)</f>
        <v>0</v>
      </c>
      <c r="N5411" s="3" t="s">
        <v>3242</v>
      </c>
    </row>
    <row r="5412" spans="1:14" x14ac:dyDescent="0.25">
      <c r="A5412" s="1" t="s">
        <v>14050</v>
      </c>
      <c r="B5412" s="3" t="s">
        <v>9036</v>
      </c>
      <c r="C5412" s="2">
        <f ca="1">IF(ISNUMBER(SEARCH(Лист2!$B$4,D:D)),MAX($C$3:OFFSET(C5412,-1,0))+1,0)</f>
        <v>0</v>
      </c>
      <c r="E5412" s="9" t="str">
        <f t="shared" ca="1" si="96"/>
        <v/>
      </c>
      <c r="F5412" s="4" t="s">
        <v>34</v>
      </c>
      <c r="G5412" s="2">
        <f>IF(ISNUMBER(SEARCH(Лист2!$B$4,F:F)),1,0)</f>
        <v>0</v>
      </c>
      <c r="H5412" s="3">
        <f ca="1">IF(AND(I5412&lt;&gt;I5411,ISNUMBER(SEARCH(Лист2!$B$5,I:I)),G5412=1),MAX($H$3:OFFSET(H5412,-1,0))+1,0)</f>
        <v>0</v>
      </c>
      <c r="I5412" s="3" t="s">
        <v>428</v>
      </c>
      <c r="K5412" s="2">
        <f>IF(ISNUMBER(SEARCH(Лист2!$B$4,F:F)),1,0)</f>
        <v>0</v>
      </c>
      <c r="L5412" s="14">
        <f>IF(ISNUMBER(SEARCH(Лист2!$B$5,I:I)),1,0)+K5412</f>
        <v>1</v>
      </c>
      <c r="M5412" s="3">
        <f ca="1">IF(AND(N5412&lt;&gt;N5411,ISNUMBER(SEARCH(Лист2!$B$6,N:N)),L5412=2),MAX($M$3:OFFSET(M5412,-1,0))+1,0)</f>
        <v>0</v>
      </c>
      <c r="N5412" s="3" t="s">
        <v>549</v>
      </c>
    </row>
    <row r="5413" spans="1:14" x14ac:dyDescent="0.25">
      <c r="A5413" s="1" t="s">
        <v>14051</v>
      </c>
      <c r="B5413" s="3" t="s">
        <v>9037</v>
      </c>
      <c r="C5413" s="2">
        <f ca="1">IF(ISNUMBER(SEARCH(Лист2!$B$4,D:D)),MAX($C$3:OFFSET(C5413,-1,0))+1,0)</f>
        <v>0</v>
      </c>
      <c r="E5413" s="9" t="str">
        <f t="shared" ca="1" si="96"/>
        <v/>
      </c>
      <c r="F5413" s="4" t="s">
        <v>34</v>
      </c>
      <c r="G5413" s="2">
        <f>IF(ISNUMBER(SEARCH(Лист2!$B$4,F:F)),1,0)</f>
        <v>0</v>
      </c>
      <c r="H5413" s="3">
        <f ca="1">IF(AND(I5413&lt;&gt;I5412,ISNUMBER(SEARCH(Лист2!$B$5,I:I)),G5413=1),MAX($H$3:OFFSET(H5413,-1,0))+1,0)</f>
        <v>0</v>
      </c>
      <c r="I5413" s="3" t="s">
        <v>428</v>
      </c>
      <c r="K5413" s="2">
        <f>IF(ISNUMBER(SEARCH(Лист2!$B$4,F:F)),1,0)</f>
        <v>0</v>
      </c>
      <c r="L5413" s="14">
        <f>IF(ISNUMBER(SEARCH(Лист2!$B$5,I:I)),1,0)+K5413</f>
        <v>1</v>
      </c>
      <c r="M5413" s="3">
        <f ca="1">IF(AND(N5413&lt;&gt;N5412,ISNUMBER(SEARCH(Лист2!$B$6,N:N)),L5413=2),MAX($M$3:OFFSET(M5413,-1,0))+1,0)</f>
        <v>0</v>
      </c>
      <c r="N5413" s="3" t="s">
        <v>3234</v>
      </c>
    </row>
    <row r="5414" spans="1:14" x14ac:dyDescent="0.25">
      <c r="A5414" s="1" t="s">
        <v>14052</v>
      </c>
      <c r="B5414" s="3" t="s">
        <v>9038</v>
      </c>
      <c r="C5414" s="2">
        <f ca="1">IF(ISNUMBER(SEARCH(Лист2!$B$4,D:D)),MAX($C$3:OFFSET(C5414,-1,0))+1,0)</f>
        <v>0</v>
      </c>
      <c r="E5414" s="9" t="str">
        <f t="shared" ca="1" si="96"/>
        <v/>
      </c>
      <c r="F5414" s="4" t="s">
        <v>34</v>
      </c>
      <c r="G5414" s="2">
        <f>IF(ISNUMBER(SEARCH(Лист2!$B$4,F:F)),1,0)</f>
        <v>0</v>
      </c>
      <c r="H5414" s="3">
        <f ca="1">IF(AND(I5414&lt;&gt;I5413,ISNUMBER(SEARCH(Лист2!$B$5,I:I)),G5414=1),MAX($H$3:OFFSET(H5414,-1,0))+1,0)</f>
        <v>0</v>
      </c>
      <c r="I5414" s="3" t="s">
        <v>429</v>
      </c>
      <c r="K5414" s="2">
        <f>IF(ISNUMBER(SEARCH(Лист2!$B$4,F:F)),1,0)</f>
        <v>0</v>
      </c>
      <c r="L5414" s="14">
        <f>IF(ISNUMBER(SEARCH(Лист2!$B$5,I:I)),1,0)+K5414</f>
        <v>0</v>
      </c>
      <c r="M5414" s="3">
        <f ca="1">IF(AND(N5414&lt;&gt;N5413,ISNUMBER(SEARCH(Лист2!$B$6,N:N)),L5414=2),MAX($M$3:OFFSET(M5414,-1,0))+1,0)</f>
        <v>0</v>
      </c>
      <c r="N5414" s="3" t="s">
        <v>3243</v>
      </c>
    </row>
    <row r="5415" spans="1:14" x14ac:dyDescent="0.25">
      <c r="A5415" s="1" t="s">
        <v>14053</v>
      </c>
      <c r="B5415" s="3" t="s">
        <v>9039</v>
      </c>
      <c r="C5415" s="2">
        <f ca="1">IF(ISNUMBER(SEARCH(Лист2!$B$4,D:D)),MAX($C$3:OFFSET(C5415,-1,0))+1,0)</f>
        <v>0</v>
      </c>
      <c r="E5415" s="9" t="str">
        <f t="shared" ca="1" si="96"/>
        <v/>
      </c>
      <c r="F5415" s="4" t="s">
        <v>34</v>
      </c>
      <c r="G5415" s="2">
        <f>IF(ISNUMBER(SEARCH(Лист2!$B$4,F:F)),1,0)</f>
        <v>0</v>
      </c>
      <c r="H5415" s="3">
        <f ca="1">IF(AND(I5415&lt;&gt;I5414,ISNUMBER(SEARCH(Лист2!$B$5,I:I)),G5415=1),MAX($H$3:OFFSET(H5415,-1,0))+1,0)</f>
        <v>0</v>
      </c>
      <c r="I5415" s="3" t="s">
        <v>429</v>
      </c>
      <c r="K5415" s="2">
        <f>IF(ISNUMBER(SEARCH(Лист2!$B$4,F:F)),1,0)</f>
        <v>0</v>
      </c>
      <c r="L5415" s="14">
        <f>IF(ISNUMBER(SEARCH(Лист2!$B$5,I:I)),1,0)+K5415</f>
        <v>0</v>
      </c>
      <c r="M5415" s="3">
        <f ca="1">IF(AND(N5415&lt;&gt;N5414,ISNUMBER(SEARCH(Лист2!$B$6,N:N)),L5415=2),MAX($M$3:OFFSET(M5415,-1,0))+1,0)</f>
        <v>0</v>
      </c>
      <c r="N5415" s="3" t="s">
        <v>3244</v>
      </c>
    </row>
    <row r="5416" spans="1:14" x14ac:dyDescent="0.25">
      <c r="A5416" s="1" t="s">
        <v>14053</v>
      </c>
      <c r="B5416" s="3" t="s">
        <v>9040</v>
      </c>
      <c r="C5416" s="2">
        <f ca="1">IF(ISNUMBER(SEARCH(Лист2!$B$4,D:D)),MAX($C$3:OFFSET(C5416,-1,0))+1,0)</f>
        <v>0</v>
      </c>
      <c r="E5416" s="9" t="str">
        <f t="shared" ca="1" si="96"/>
        <v/>
      </c>
      <c r="F5416" s="4" t="s">
        <v>34</v>
      </c>
      <c r="G5416" s="2">
        <f>IF(ISNUMBER(SEARCH(Лист2!$B$4,F:F)),1,0)</f>
        <v>0</v>
      </c>
      <c r="H5416" s="3">
        <f ca="1">IF(AND(I5416&lt;&gt;I5415,ISNUMBER(SEARCH(Лист2!$B$5,I:I)),G5416=1),MAX($H$3:OFFSET(H5416,-1,0))+1,0)</f>
        <v>0</v>
      </c>
      <c r="I5416" s="3" t="s">
        <v>429</v>
      </c>
      <c r="K5416" s="2">
        <f>IF(ISNUMBER(SEARCH(Лист2!$B$4,F:F)),1,0)</f>
        <v>0</v>
      </c>
      <c r="L5416" s="14">
        <f>IF(ISNUMBER(SEARCH(Лист2!$B$5,I:I)),1,0)+K5416</f>
        <v>0</v>
      </c>
      <c r="M5416" s="3">
        <f ca="1">IF(AND(N5416&lt;&gt;N5415,ISNUMBER(SEARCH(Лист2!$B$6,N:N)),L5416=2),MAX($M$3:OFFSET(M5416,-1,0))+1,0)</f>
        <v>0</v>
      </c>
      <c r="N5416" s="3" t="s">
        <v>3244</v>
      </c>
    </row>
    <row r="5417" spans="1:14" x14ac:dyDescent="0.25">
      <c r="A5417" s="1" t="s">
        <v>14053</v>
      </c>
      <c r="B5417" s="3" t="s">
        <v>9041</v>
      </c>
      <c r="C5417" s="2">
        <f ca="1">IF(ISNUMBER(SEARCH(Лист2!$B$4,D:D)),MAX($C$3:OFFSET(C5417,-1,0))+1,0)</f>
        <v>0</v>
      </c>
      <c r="E5417" s="9" t="str">
        <f t="shared" ca="1" si="96"/>
        <v/>
      </c>
      <c r="F5417" s="4" t="s">
        <v>34</v>
      </c>
      <c r="G5417" s="2">
        <f>IF(ISNUMBER(SEARCH(Лист2!$B$4,F:F)),1,0)</f>
        <v>0</v>
      </c>
      <c r="H5417" s="3">
        <f ca="1">IF(AND(I5417&lt;&gt;I5416,ISNUMBER(SEARCH(Лист2!$B$5,I:I)),G5417=1),MAX($H$3:OFFSET(H5417,-1,0))+1,0)</f>
        <v>0</v>
      </c>
      <c r="I5417" s="3" t="s">
        <v>429</v>
      </c>
      <c r="K5417" s="2">
        <f>IF(ISNUMBER(SEARCH(Лист2!$B$4,F:F)),1,0)</f>
        <v>0</v>
      </c>
      <c r="L5417" s="14">
        <f>IF(ISNUMBER(SEARCH(Лист2!$B$5,I:I)),1,0)+K5417</f>
        <v>0</v>
      </c>
      <c r="M5417" s="3">
        <f ca="1">IF(AND(N5417&lt;&gt;N5416,ISNUMBER(SEARCH(Лист2!$B$6,N:N)),L5417=2),MAX($M$3:OFFSET(M5417,-1,0))+1,0)</f>
        <v>0</v>
      </c>
      <c r="N5417" s="3" t="s">
        <v>3244</v>
      </c>
    </row>
    <row r="5418" spans="1:14" x14ac:dyDescent="0.25">
      <c r="A5418" s="1" t="s">
        <v>14054</v>
      </c>
      <c r="B5418" s="3" t="s">
        <v>9042</v>
      </c>
      <c r="C5418" s="2">
        <f ca="1">IF(ISNUMBER(SEARCH(Лист2!$B$4,D:D)),MAX($C$3:OFFSET(C5418,-1,0))+1,0)</f>
        <v>0</v>
      </c>
      <c r="E5418" s="9" t="str">
        <f t="shared" ca="1" si="96"/>
        <v/>
      </c>
      <c r="F5418" s="4" t="s">
        <v>34</v>
      </c>
      <c r="G5418" s="2">
        <f>IF(ISNUMBER(SEARCH(Лист2!$B$4,F:F)),1,0)</f>
        <v>0</v>
      </c>
      <c r="H5418" s="3">
        <f ca="1">IF(AND(I5418&lt;&gt;I5417,ISNUMBER(SEARCH(Лист2!$B$5,I:I)),G5418=1),MAX($H$3:OFFSET(H5418,-1,0))+1,0)</f>
        <v>0</v>
      </c>
      <c r="I5418" s="3" t="s">
        <v>429</v>
      </c>
      <c r="K5418" s="2">
        <f>IF(ISNUMBER(SEARCH(Лист2!$B$4,F:F)),1,0)</f>
        <v>0</v>
      </c>
      <c r="L5418" s="14">
        <f>IF(ISNUMBER(SEARCH(Лист2!$B$5,I:I)),1,0)+K5418</f>
        <v>0</v>
      </c>
      <c r="M5418" s="3">
        <f ca="1">IF(AND(N5418&lt;&gt;N5417,ISNUMBER(SEARCH(Лист2!$B$6,N:N)),L5418=2),MAX($M$3:OFFSET(M5418,-1,0))+1,0)</f>
        <v>0</v>
      </c>
      <c r="N5418" s="3" t="s">
        <v>3245</v>
      </c>
    </row>
    <row r="5419" spans="1:14" x14ac:dyDescent="0.25">
      <c r="A5419" s="1" t="s">
        <v>14054</v>
      </c>
      <c r="B5419" s="3" t="s">
        <v>9043</v>
      </c>
      <c r="C5419" s="2">
        <f ca="1">IF(ISNUMBER(SEARCH(Лист2!$B$4,D:D)),MAX($C$3:OFFSET(C5419,-1,0))+1,0)</f>
        <v>0</v>
      </c>
      <c r="E5419" s="9" t="str">
        <f t="shared" ca="1" si="96"/>
        <v/>
      </c>
      <c r="F5419" s="4" t="s">
        <v>34</v>
      </c>
      <c r="G5419" s="2">
        <f>IF(ISNUMBER(SEARCH(Лист2!$B$4,F:F)),1,0)</f>
        <v>0</v>
      </c>
      <c r="H5419" s="3">
        <f ca="1">IF(AND(I5419&lt;&gt;I5418,ISNUMBER(SEARCH(Лист2!$B$5,I:I)),G5419=1),MAX($H$3:OFFSET(H5419,-1,0))+1,0)</f>
        <v>0</v>
      </c>
      <c r="I5419" s="3" t="s">
        <v>429</v>
      </c>
      <c r="K5419" s="2">
        <f>IF(ISNUMBER(SEARCH(Лист2!$B$4,F:F)),1,0)</f>
        <v>0</v>
      </c>
      <c r="L5419" s="14">
        <f>IF(ISNUMBER(SEARCH(Лист2!$B$5,I:I)),1,0)+K5419</f>
        <v>0</v>
      </c>
      <c r="M5419" s="3">
        <f ca="1">IF(AND(N5419&lt;&gt;N5418,ISNUMBER(SEARCH(Лист2!$B$6,N:N)),L5419=2),MAX($M$3:OFFSET(M5419,-1,0))+1,0)</f>
        <v>0</v>
      </c>
      <c r="N5419" s="3" t="s">
        <v>3245</v>
      </c>
    </row>
    <row r="5420" spans="1:14" x14ac:dyDescent="0.25">
      <c r="A5420" s="1" t="s">
        <v>14054</v>
      </c>
      <c r="B5420" s="3" t="s">
        <v>9044</v>
      </c>
      <c r="C5420" s="2">
        <f ca="1">IF(ISNUMBER(SEARCH(Лист2!$B$4,D:D)),MAX($C$3:OFFSET(C5420,-1,0))+1,0)</f>
        <v>0</v>
      </c>
      <c r="E5420" s="9" t="str">
        <f t="shared" ca="1" si="96"/>
        <v/>
      </c>
      <c r="F5420" s="4" t="s">
        <v>34</v>
      </c>
      <c r="G5420" s="2">
        <f>IF(ISNUMBER(SEARCH(Лист2!$B$4,F:F)),1,0)</f>
        <v>0</v>
      </c>
      <c r="H5420" s="3">
        <f ca="1">IF(AND(I5420&lt;&gt;I5419,ISNUMBER(SEARCH(Лист2!$B$5,I:I)),G5420=1),MAX($H$3:OFFSET(H5420,-1,0))+1,0)</f>
        <v>0</v>
      </c>
      <c r="I5420" s="3" t="s">
        <v>429</v>
      </c>
      <c r="K5420" s="2">
        <f>IF(ISNUMBER(SEARCH(Лист2!$B$4,F:F)),1,0)</f>
        <v>0</v>
      </c>
      <c r="L5420" s="14">
        <f>IF(ISNUMBER(SEARCH(Лист2!$B$5,I:I)),1,0)+K5420</f>
        <v>0</v>
      </c>
      <c r="M5420" s="3">
        <f ca="1">IF(AND(N5420&lt;&gt;N5419,ISNUMBER(SEARCH(Лист2!$B$6,N:N)),L5420=2),MAX($M$3:OFFSET(M5420,-1,0))+1,0)</f>
        <v>0</v>
      </c>
      <c r="N5420" s="3" t="s">
        <v>3245</v>
      </c>
    </row>
    <row r="5421" spans="1:14" x14ac:dyDescent="0.25">
      <c r="A5421" s="1" t="s">
        <v>14055</v>
      </c>
      <c r="B5421" s="3" t="s">
        <v>9045</v>
      </c>
      <c r="C5421" s="2">
        <f ca="1">IF(ISNUMBER(SEARCH(Лист2!$B$4,D:D)),MAX($C$3:OFFSET(C5421,-1,0))+1,0)</f>
        <v>0</v>
      </c>
      <c r="E5421" s="9" t="str">
        <f t="shared" ca="1" si="96"/>
        <v/>
      </c>
      <c r="F5421" s="4" t="s">
        <v>34</v>
      </c>
      <c r="G5421" s="2">
        <f>IF(ISNUMBER(SEARCH(Лист2!$B$4,F:F)),1,0)</f>
        <v>0</v>
      </c>
      <c r="H5421" s="3">
        <f ca="1">IF(AND(I5421&lt;&gt;I5420,ISNUMBER(SEARCH(Лист2!$B$5,I:I)),G5421=1),MAX($H$3:OFFSET(H5421,-1,0))+1,0)</f>
        <v>0</v>
      </c>
      <c r="I5421" s="3" t="s">
        <v>429</v>
      </c>
      <c r="K5421" s="2">
        <f>IF(ISNUMBER(SEARCH(Лист2!$B$4,F:F)),1,0)</f>
        <v>0</v>
      </c>
      <c r="L5421" s="14">
        <f>IF(ISNUMBER(SEARCH(Лист2!$B$5,I:I)),1,0)+K5421</f>
        <v>0</v>
      </c>
      <c r="M5421" s="3">
        <f ca="1">IF(AND(N5421&lt;&gt;N5420,ISNUMBER(SEARCH(Лист2!$B$6,N:N)),L5421=2),MAX($M$3:OFFSET(M5421,-1,0))+1,0)</f>
        <v>0</v>
      </c>
      <c r="N5421" s="3" t="s">
        <v>3246</v>
      </c>
    </row>
    <row r="5422" spans="1:14" x14ac:dyDescent="0.25">
      <c r="A5422" s="1" t="s">
        <v>14056</v>
      </c>
      <c r="B5422" s="3" t="s">
        <v>9046</v>
      </c>
      <c r="C5422" s="2">
        <f ca="1">IF(ISNUMBER(SEARCH(Лист2!$B$4,D:D)),MAX($C$3:OFFSET(C5422,-1,0))+1,0)</f>
        <v>0</v>
      </c>
      <c r="E5422" s="9" t="str">
        <f t="shared" ca="1" si="96"/>
        <v/>
      </c>
      <c r="F5422" s="4" t="s">
        <v>34</v>
      </c>
      <c r="G5422" s="2">
        <f>IF(ISNUMBER(SEARCH(Лист2!$B$4,F:F)),1,0)</f>
        <v>0</v>
      </c>
      <c r="H5422" s="3">
        <f ca="1">IF(AND(I5422&lt;&gt;I5421,ISNUMBER(SEARCH(Лист2!$B$5,I:I)),G5422=1),MAX($H$3:OFFSET(H5422,-1,0))+1,0)</f>
        <v>0</v>
      </c>
      <c r="I5422" s="3" t="s">
        <v>429</v>
      </c>
      <c r="K5422" s="2">
        <f>IF(ISNUMBER(SEARCH(Лист2!$B$4,F:F)),1,0)</f>
        <v>0</v>
      </c>
      <c r="L5422" s="14">
        <f>IF(ISNUMBER(SEARCH(Лист2!$B$5,I:I)),1,0)+K5422</f>
        <v>0</v>
      </c>
      <c r="M5422" s="3">
        <f ca="1">IF(AND(N5422&lt;&gt;N5421,ISNUMBER(SEARCH(Лист2!$B$6,N:N)),L5422=2),MAX($M$3:OFFSET(M5422,-1,0))+1,0)</f>
        <v>0</v>
      </c>
      <c r="N5422" s="3" t="s">
        <v>3247</v>
      </c>
    </row>
    <row r="5423" spans="1:14" x14ac:dyDescent="0.25">
      <c r="A5423" s="1" t="s">
        <v>14057</v>
      </c>
      <c r="B5423" s="3" t="s">
        <v>9047</v>
      </c>
      <c r="C5423" s="2">
        <f ca="1">IF(ISNUMBER(SEARCH(Лист2!$B$4,D:D)),MAX($C$3:OFFSET(C5423,-1,0))+1,0)</f>
        <v>0</v>
      </c>
      <c r="E5423" s="9" t="str">
        <f t="shared" ca="1" si="96"/>
        <v/>
      </c>
      <c r="F5423" s="4" t="s">
        <v>34</v>
      </c>
      <c r="G5423" s="2">
        <f>IF(ISNUMBER(SEARCH(Лист2!$B$4,F:F)),1,0)</f>
        <v>0</v>
      </c>
      <c r="H5423" s="3">
        <f ca="1">IF(AND(I5423&lt;&gt;I5422,ISNUMBER(SEARCH(Лист2!$B$5,I:I)),G5423=1),MAX($H$3:OFFSET(H5423,-1,0))+1,0)</f>
        <v>0</v>
      </c>
      <c r="I5423" s="3" t="s">
        <v>429</v>
      </c>
      <c r="K5423" s="2">
        <f>IF(ISNUMBER(SEARCH(Лист2!$B$4,F:F)),1,0)</f>
        <v>0</v>
      </c>
      <c r="L5423" s="14">
        <f>IF(ISNUMBER(SEARCH(Лист2!$B$5,I:I)),1,0)+K5423</f>
        <v>0</v>
      </c>
      <c r="M5423" s="3">
        <f ca="1">IF(AND(N5423&lt;&gt;N5422,ISNUMBER(SEARCH(Лист2!$B$6,N:N)),L5423=2),MAX($M$3:OFFSET(M5423,-1,0))+1,0)</f>
        <v>0</v>
      </c>
      <c r="N5423" s="3" t="s">
        <v>2170</v>
      </c>
    </row>
    <row r="5424" spans="1:14" x14ac:dyDescent="0.25">
      <c r="A5424" s="1" t="s">
        <v>14058</v>
      </c>
      <c r="B5424" s="3" t="s">
        <v>9048</v>
      </c>
      <c r="C5424" s="2">
        <f ca="1">IF(ISNUMBER(SEARCH(Лист2!$B$4,D:D)),MAX($C$3:OFFSET(C5424,-1,0))+1,0)</f>
        <v>0</v>
      </c>
      <c r="E5424" s="9" t="str">
        <f t="shared" ca="1" si="96"/>
        <v/>
      </c>
      <c r="F5424" s="4" t="s">
        <v>34</v>
      </c>
      <c r="G5424" s="2">
        <f>IF(ISNUMBER(SEARCH(Лист2!$B$4,F:F)),1,0)</f>
        <v>0</v>
      </c>
      <c r="H5424" s="3">
        <f ca="1">IF(AND(I5424&lt;&gt;I5423,ISNUMBER(SEARCH(Лист2!$B$5,I:I)),G5424=1),MAX($H$3:OFFSET(H5424,-1,0))+1,0)</f>
        <v>0</v>
      </c>
      <c r="I5424" s="3" t="s">
        <v>429</v>
      </c>
      <c r="K5424" s="2">
        <f>IF(ISNUMBER(SEARCH(Лист2!$B$4,F:F)),1,0)</f>
        <v>0</v>
      </c>
      <c r="L5424" s="14">
        <f>IF(ISNUMBER(SEARCH(Лист2!$B$5,I:I)),1,0)+K5424</f>
        <v>0</v>
      </c>
      <c r="M5424" s="3">
        <f ca="1">IF(AND(N5424&lt;&gt;N5423,ISNUMBER(SEARCH(Лист2!$B$6,N:N)),L5424=2),MAX($M$3:OFFSET(M5424,-1,0))+1,0)</f>
        <v>0</v>
      </c>
      <c r="N5424" s="3" t="s">
        <v>3248</v>
      </c>
    </row>
    <row r="5425" spans="1:14" x14ac:dyDescent="0.25">
      <c r="A5425" s="1" t="s">
        <v>14059</v>
      </c>
      <c r="B5425" s="3" t="s">
        <v>9049</v>
      </c>
      <c r="C5425" s="2">
        <f ca="1">IF(ISNUMBER(SEARCH(Лист2!$B$4,D:D)),MAX($C$3:OFFSET(C5425,-1,0))+1,0)</f>
        <v>0</v>
      </c>
      <c r="E5425" s="9" t="str">
        <f t="shared" ca="1" si="96"/>
        <v/>
      </c>
      <c r="F5425" s="4" t="s">
        <v>34</v>
      </c>
      <c r="G5425" s="2">
        <f>IF(ISNUMBER(SEARCH(Лист2!$B$4,F:F)),1,0)</f>
        <v>0</v>
      </c>
      <c r="H5425" s="3">
        <f ca="1">IF(AND(I5425&lt;&gt;I5424,ISNUMBER(SEARCH(Лист2!$B$5,I:I)),G5425=1),MAX($H$3:OFFSET(H5425,-1,0))+1,0)</f>
        <v>0</v>
      </c>
      <c r="I5425" s="3" t="s">
        <v>429</v>
      </c>
      <c r="K5425" s="2">
        <f>IF(ISNUMBER(SEARCH(Лист2!$B$4,F:F)),1,0)</f>
        <v>0</v>
      </c>
      <c r="L5425" s="14">
        <f>IF(ISNUMBER(SEARCH(Лист2!$B$5,I:I)),1,0)+K5425</f>
        <v>0</v>
      </c>
      <c r="M5425" s="3">
        <f ca="1">IF(AND(N5425&lt;&gt;N5424,ISNUMBER(SEARCH(Лист2!$B$6,N:N)),L5425=2),MAX($M$3:OFFSET(M5425,-1,0))+1,0)</f>
        <v>0</v>
      </c>
      <c r="N5425" s="3" t="s">
        <v>3249</v>
      </c>
    </row>
    <row r="5426" spans="1:14" x14ac:dyDescent="0.25">
      <c r="A5426" s="1" t="s">
        <v>14060</v>
      </c>
      <c r="B5426" s="3" t="s">
        <v>9050</v>
      </c>
      <c r="C5426" s="2">
        <f ca="1">IF(ISNUMBER(SEARCH(Лист2!$B$4,D:D)),MAX($C$3:OFFSET(C5426,-1,0))+1,0)</f>
        <v>0</v>
      </c>
      <c r="E5426" s="9" t="str">
        <f t="shared" ca="1" si="96"/>
        <v/>
      </c>
      <c r="F5426" s="4" t="s">
        <v>34</v>
      </c>
      <c r="G5426" s="2">
        <f>IF(ISNUMBER(SEARCH(Лист2!$B$4,F:F)),1,0)</f>
        <v>0</v>
      </c>
      <c r="H5426" s="3">
        <f ca="1">IF(AND(I5426&lt;&gt;I5425,ISNUMBER(SEARCH(Лист2!$B$5,I:I)),G5426=1),MAX($H$3:OFFSET(H5426,-1,0))+1,0)</f>
        <v>0</v>
      </c>
      <c r="I5426" s="3" t="s">
        <v>429</v>
      </c>
      <c r="K5426" s="2">
        <f>IF(ISNUMBER(SEARCH(Лист2!$B$4,F:F)),1,0)</f>
        <v>0</v>
      </c>
      <c r="L5426" s="14">
        <f>IF(ISNUMBER(SEARCH(Лист2!$B$5,I:I)),1,0)+K5426</f>
        <v>0</v>
      </c>
      <c r="M5426" s="3">
        <f ca="1">IF(AND(N5426&lt;&gt;N5425,ISNUMBER(SEARCH(Лист2!$B$6,N:N)),L5426=2),MAX($M$3:OFFSET(M5426,-1,0))+1,0)</f>
        <v>0</v>
      </c>
      <c r="N5426" s="3" t="s">
        <v>3234</v>
      </c>
    </row>
    <row r="5427" spans="1:14" x14ac:dyDescent="0.25">
      <c r="A5427" s="1" t="s">
        <v>14061</v>
      </c>
      <c r="B5427" s="3" t="s">
        <v>9051</v>
      </c>
      <c r="C5427" s="2">
        <f ca="1">IF(ISNUMBER(SEARCH(Лист2!$B$4,D:D)),MAX($C$3:OFFSET(C5427,-1,0))+1,0)</f>
        <v>0</v>
      </c>
      <c r="E5427" s="9" t="str">
        <f t="shared" ca="1" si="96"/>
        <v/>
      </c>
      <c r="F5427" s="4" t="s">
        <v>34</v>
      </c>
      <c r="G5427" s="2">
        <f>IF(ISNUMBER(SEARCH(Лист2!$B$4,F:F)),1,0)</f>
        <v>0</v>
      </c>
      <c r="H5427" s="3">
        <f ca="1">IF(AND(I5427&lt;&gt;I5426,ISNUMBER(SEARCH(Лист2!$B$5,I:I)),G5427=1),MAX($H$3:OFFSET(H5427,-1,0))+1,0)</f>
        <v>0</v>
      </c>
      <c r="I5427" s="3" t="s">
        <v>430</v>
      </c>
      <c r="K5427" s="2">
        <f>IF(ISNUMBER(SEARCH(Лист2!$B$4,F:F)),1,0)</f>
        <v>0</v>
      </c>
      <c r="L5427" s="14">
        <f>IF(ISNUMBER(SEARCH(Лист2!$B$5,I:I)),1,0)+K5427</f>
        <v>0</v>
      </c>
      <c r="M5427" s="3">
        <f ca="1">IF(AND(N5427&lt;&gt;N5426,ISNUMBER(SEARCH(Лист2!$B$6,N:N)),L5427=2),MAX($M$3:OFFSET(M5427,-1,0))+1,0)</f>
        <v>0</v>
      </c>
      <c r="N5427" s="3" t="s">
        <v>3250</v>
      </c>
    </row>
    <row r="5428" spans="1:14" x14ac:dyDescent="0.25">
      <c r="A5428" s="1" t="s">
        <v>14062</v>
      </c>
      <c r="B5428" s="3" t="s">
        <v>9052</v>
      </c>
      <c r="C5428" s="2">
        <f ca="1">IF(ISNUMBER(SEARCH(Лист2!$B$4,D:D)),MAX($C$3:OFFSET(C5428,-1,0))+1,0)</f>
        <v>0</v>
      </c>
      <c r="E5428" s="9" t="str">
        <f t="shared" ca="1" si="96"/>
        <v/>
      </c>
      <c r="F5428" s="4" t="s">
        <v>34</v>
      </c>
      <c r="G5428" s="2">
        <f>IF(ISNUMBER(SEARCH(Лист2!$B$4,F:F)),1,0)</f>
        <v>0</v>
      </c>
      <c r="H5428" s="3">
        <f ca="1">IF(AND(I5428&lt;&gt;I5427,ISNUMBER(SEARCH(Лист2!$B$5,I:I)),G5428=1),MAX($H$3:OFFSET(H5428,-1,0))+1,0)</f>
        <v>0</v>
      </c>
      <c r="I5428" s="3" t="s">
        <v>430</v>
      </c>
      <c r="K5428" s="2">
        <f>IF(ISNUMBER(SEARCH(Лист2!$B$4,F:F)),1,0)</f>
        <v>0</v>
      </c>
      <c r="L5428" s="14">
        <f>IF(ISNUMBER(SEARCH(Лист2!$B$5,I:I)),1,0)+K5428</f>
        <v>0</v>
      </c>
      <c r="M5428" s="3">
        <f ca="1">IF(AND(N5428&lt;&gt;N5427,ISNUMBER(SEARCH(Лист2!$B$6,N:N)),L5428=2),MAX($M$3:OFFSET(M5428,-1,0))+1,0)</f>
        <v>0</v>
      </c>
      <c r="N5428" s="3" t="s">
        <v>3251</v>
      </c>
    </row>
    <row r="5429" spans="1:14" x14ac:dyDescent="0.25">
      <c r="A5429" s="1" t="s">
        <v>14063</v>
      </c>
      <c r="B5429" s="3" t="s">
        <v>9053</v>
      </c>
      <c r="C5429" s="2">
        <f ca="1">IF(ISNUMBER(SEARCH(Лист2!$B$4,D:D)),MAX($C$3:OFFSET(C5429,-1,0))+1,0)</f>
        <v>0</v>
      </c>
      <c r="E5429" s="9" t="str">
        <f t="shared" ca="1" si="96"/>
        <v/>
      </c>
      <c r="F5429" s="4" t="s">
        <v>34</v>
      </c>
      <c r="G5429" s="2">
        <f>IF(ISNUMBER(SEARCH(Лист2!$B$4,F:F)),1,0)</f>
        <v>0</v>
      </c>
      <c r="H5429" s="3">
        <f ca="1">IF(AND(I5429&lt;&gt;I5428,ISNUMBER(SEARCH(Лист2!$B$5,I:I)),G5429=1),MAX($H$3:OFFSET(H5429,-1,0))+1,0)</f>
        <v>0</v>
      </c>
      <c r="I5429" s="3" t="s">
        <v>430</v>
      </c>
      <c r="K5429" s="2">
        <f>IF(ISNUMBER(SEARCH(Лист2!$B$4,F:F)),1,0)</f>
        <v>0</v>
      </c>
      <c r="L5429" s="14">
        <f>IF(ISNUMBER(SEARCH(Лист2!$B$5,I:I)),1,0)+K5429</f>
        <v>0</v>
      </c>
      <c r="M5429" s="3">
        <f ca="1">IF(AND(N5429&lt;&gt;N5428,ISNUMBER(SEARCH(Лист2!$B$6,N:N)),L5429=2),MAX($M$3:OFFSET(M5429,-1,0))+1,0)</f>
        <v>0</v>
      </c>
      <c r="N5429" s="3" t="s">
        <v>3199</v>
      </c>
    </row>
    <row r="5430" spans="1:14" x14ac:dyDescent="0.25">
      <c r="A5430" s="1" t="s">
        <v>14064</v>
      </c>
      <c r="B5430" s="3" t="s">
        <v>9054</v>
      </c>
      <c r="C5430" s="2">
        <f ca="1">IF(ISNUMBER(SEARCH(Лист2!$B$4,D:D)),MAX($C$3:OFFSET(C5430,-1,0))+1,0)</f>
        <v>0</v>
      </c>
      <c r="E5430" s="9" t="str">
        <f t="shared" ca="1" si="96"/>
        <v/>
      </c>
      <c r="F5430" s="4" t="s">
        <v>34</v>
      </c>
      <c r="G5430" s="2">
        <f>IF(ISNUMBER(SEARCH(Лист2!$B$4,F:F)),1,0)</f>
        <v>0</v>
      </c>
      <c r="H5430" s="3">
        <f ca="1">IF(AND(I5430&lt;&gt;I5429,ISNUMBER(SEARCH(Лист2!$B$5,I:I)),G5430=1),MAX($H$3:OFFSET(H5430,-1,0))+1,0)</f>
        <v>0</v>
      </c>
      <c r="I5430" s="3" t="s">
        <v>430</v>
      </c>
      <c r="K5430" s="2">
        <f>IF(ISNUMBER(SEARCH(Лист2!$B$4,F:F)),1,0)</f>
        <v>0</v>
      </c>
      <c r="L5430" s="14">
        <f>IF(ISNUMBER(SEARCH(Лист2!$B$5,I:I)),1,0)+K5430</f>
        <v>0</v>
      </c>
      <c r="M5430" s="3">
        <f ca="1">IF(AND(N5430&lt;&gt;N5429,ISNUMBER(SEARCH(Лист2!$B$6,N:N)),L5430=2),MAX($M$3:OFFSET(M5430,-1,0))+1,0)</f>
        <v>0</v>
      </c>
      <c r="N5430" s="3" t="s">
        <v>3252</v>
      </c>
    </row>
    <row r="5431" spans="1:14" x14ac:dyDescent="0.25">
      <c r="A5431" s="1" t="s">
        <v>14065</v>
      </c>
      <c r="B5431" s="3" t="s">
        <v>9055</v>
      </c>
      <c r="C5431" s="2">
        <f ca="1">IF(ISNUMBER(SEARCH(Лист2!$B$4,D:D)),MAX($C$3:OFFSET(C5431,-1,0))+1,0)</f>
        <v>0</v>
      </c>
      <c r="E5431" s="9" t="str">
        <f t="shared" ca="1" si="96"/>
        <v/>
      </c>
      <c r="F5431" s="4" t="s">
        <v>34</v>
      </c>
      <c r="G5431" s="2">
        <f>IF(ISNUMBER(SEARCH(Лист2!$B$4,F:F)),1,0)</f>
        <v>0</v>
      </c>
      <c r="H5431" s="3">
        <f ca="1">IF(AND(I5431&lt;&gt;I5430,ISNUMBER(SEARCH(Лист2!$B$5,I:I)),G5431=1),MAX($H$3:OFFSET(H5431,-1,0))+1,0)</f>
        <v>0</v>
      </c>
      <c r="I5431" s="3" t="s">
        <v>430</v>
      </c>
      <c r="K5431" s="2">
        <f>IF(ISNUMBER(SEARCH(Лист2!$B$4,F:F)),1,0)</f>
        <v>0</v>
      </c>
      <c r="L5431" s="14">
        <f>IF(ISNUMBER(SEARCH(Лист2!$B$5,I:I)),1,0)+K5431</f>
        <v>0</v>
      </c>
      <c r="M5431" s="3">
        <f ca="1">IF(AND(N5431&lt;&gt;N5430,ISNUMBER(SEARCH(Лист2!$B$6,N:N)),L5431=2),MAX($M$3:OFFSET(M5431,-1,0))+1,0)</f>
        <v>0</v>
      </c>
      <c r="N5431" s="3" t="s">
        <v>3253</v>
      </c>
    </row>
    <row r="5432" spans="1:14" x14ac:dyDescent="0.25">
      <c r="A5432" s="1" t="s">
        <v>14066</v>
      </c>
      <c r="B5432" s="3" t="s">
        <v>9056</v>
      </c>
      <c r="C5432" s="2">
        <f ca="1">IF(ISNUMBER(SEARCH(Лист2!$B$4,D:D)),MAX($C$3:OFFSET(C5432,-1,0))+1,0)</f>
        <v>0</v>
      </c>
      <c r="E5432" s="9" t="str">
        <f t="shared" ca="1" si="96"/>
        <v/>
      </c>
      <c r="F5432" s="4" t="s">
        <v>34</v>
      </c>
      <c r="G5432" s="2">
        <f>IF(ISNUMBER(SEARCH(Лист2!$B$4,F:F)),1,0)</f>
        <v>0</v>
      </c>
      <c r="H5432" s="3">
        <f ca="1">IF(AND(I5432&lt;&gt;I5431,ISNUMBER(SEARCH(Лист2!$B$5,I:I)),G5432=1),MAX($H$3:OFFSET(H5432,-1,0))+1,0)</f>
        <v>0</v>
      </c>
      <c r="I5432" s="3" t="s">
        <v>430</v>
      </c>
      <c r="K5432" s="2">
        <f>IF(ISNUMBER(SEARCH(Лист2!$B$4,F:F)),1,0)</f>
        <v>0</v>
      </c>
      <c r="L5432" s="14">
        <f>IF(ISNUMBER(SEARCH(Лист2!$B$5,I:I)),1,0)+K5432</f>
        <v>0</v>
      </c>
      <c r="M5432" s="3">
        <f ca="1">IF(AND(N5432&lt;&gt;N5431,ISNUMBER(SEARCH(Лист2!$B$6,N:N)),L5432=2),MAX($M$3:OFFSET(M5432,-1,0))+1,0)</f>
        <v>0</v>
      </c>
      <c r="N5432" s="3" t="s">
        <v>3254</v>
      </c>
    </row>
    <row r="5433" spans="1:14" x14ac:dyDescent="0.25">
      <c r="A5433" s="1" t="s">
        <v>9783</v>
      </c>
      <c r="B5433" s="3" t="s">
        <v>9057</v>
      </c>
      <c r="C5433" s="2">
        <f ca="1">IF(ISNUMBER(SEARCH(Лист2!$B$4,D:D)),MAX($C$3:OFFSET(C5433,-1,0))+1,0)</f>
        <v>0</v>
      </c>
      <c r="E5433" s="9" t="str">
        <f t="shared" ca="1" si="96"/>
        <v/>
      </c>
      <c r="G5433" s="2">
        <f>IF(ISNUMBER(SEARCH(Лист2!$B$4,F:F)),1,0)</f>
        <v>0</v>
      </c>
      <c r="H5433" s="3">
        <f ca="1">IF(AND(I5433&lt;&gt;I5432,ISNUMBER(SEARCH(Лист2!$B$5,I:I)),G5433=1),MAX($H$3:OFFSET(H5433,-1,0))+1,0)</f>
        <v>0</v>
      </c>
      <c r="K5433" s="2">
        <f>IF(ISNUMBER(SEARCH(Лист2!$B$4,F:F)),1,0)</f>
        <v>0</v>
      </c>
      <c r="L5433" s="14">
        <f>IF(ISNUMBER(SEARCH(Лист2!$B$5,I:I)),1,0)+K5433</f>
        <v>0</v>
      </c>
      <c r="M5433" s="3">
        <f ca="1">IF(AND(N5433&lt;&gt;N5432,ISNUMBER(SEARCH(Лист2!$B$6,N:N)),L5433=2),MAX($M$3:OFFSET(M5433,-1,0))+1,0)</f>
        <v>0</v>
      </c>
      <c r="N5433" s="3" t="s">
        <v>9783</v>
      </c>
    </row>
    <row r="5434" spans="1:14" x14ac:dyDescent="0.25">
      <c r="A5434" s="1" t="s">
        <v>14085</v>
      </c>
      <c r="B5434" s="3" t="s">
        <v>9058</v>
      </c>
      <c r="C5434" s="2">
        <f ca="1">IF(ISNUMBER(SEARCH(Лист2!$B$4,D:D)),MAX($C$3:OFFSET(C5434,-1,0))+1,0)</f>
        <v>0</v>
      </c>
      <c r="E5434" s="9" t="str">
        <f t="shared" ca="1" si="96"/>
        <v/>
      </c>
      <c r="G5434" s="2">
        <f>IF(ISNUMBER(SEARCH(Лист2!$B$4,F:F)),1,0)</f>
        <v>0</v>
      </c>
      <c r="H5434" s="3">
        <f ca="1">IF(AND(I5434&lt;&gt;I5433,ISNUMBER(SEARCH(Лист2!$B$5,I:I)),G5434=1),MAX($H$3:OFFSET(H5434,-1,0))+1,0)</f>
        <v>0</v>
      </c>
      <c r="I5434" s="3" t="s">
        <v>431</v>
      </c>
      <c r="K5434" s="2">
        <f>IF(ISNUMBER(SEARCH(Лист2!$B$4,F:F)),1,0)</f>
        <v>0</v>
      </c>
      <c r="L5434" s="14">
        <f>IF(ISNUMBER(SEARCH(Лист2!$B$5,I:I)),1,0)+K5434</f>
        <v>0</v>
      </c>
      <c r="M5434" s="3">
        <f ca="1">IF(AND(N5434&lt;&gt;N5433,ISNUMBER(SEARCH(Лист2!$B$6,N:N)),L5434=2),MAX($M$3:OFFSET(M5434,-1,0))+1,0)</f>
        <v>0</v>
      </c>
      <c r="N5434" s="3" t="s">
        <v>431</v>
      </c>
    </row>
    <row r="5435" spans="1:14" x14ac:dyDescent="0.25">
      <c r="A5435" s="1" t="s">
        <v>14086</v>
      </c>
      <c r="B5435" s="3" t="s">
        <v>9059</v>
      </c>
      <c r="C5435" s="2">
        <f ca="1">IF(ISNUMBER(SEARCH(Лист2!$B$4,D:D)),MAX($C$3:OFFSET(C5435,-1,0))+1,0)</f>
        <v>0</v>
      </c>
      <c r="E5435" s="9" t="str">
        <f t="shared" ca="1" si="96"/>
        <v/>
      </c>
      <c r="F5435" s="4" t="s">
        <v>7</v>
      </c>
      <c r="G5435" s="2">
        <f>IF(ISNUMBER(SEARCH(Лист2!$B$4,F:F)),1,0)</f>
        <v>0</v>
      </c>
      <c r="H5435" s="3">
        <f ca="1">IF(AND(I5435&lt;&gt;I5434,ISNUMBER(SEARCH(Лист2!$B$5,I:I)),G5435=1),MAX($H$3:OFFSET(H5435,-1,0))+1,0)</f>
        <v>0</v>
      </c>
      <c r="K5435" s="2">
        <f>IF(ISNUMBER(SEARCH(Лист2!$B$4,F:F)),1,0)</f>
        <v>0</v>
      </c>
      <c r="L5435" s="14">
        <f>IF(ISNUMBER(SEARCH(Лист2!$B$5,I:I)),1,0)+K5435</f>
        <v>0</v>
      </c>
      <c r="M5435" s="3">
        <f ca="1">IF(AND(N5435&lt;&gt;N5434,ISNUMBER(SEARCH(Лист2!$B$6,N:N)),L5435=2),MAX($M$3:OFFSET(M5435,-1,0))+1,0)</f>
        <v>0</v>
      </c>
      <c r="N5435" s="3" t="s">
        <v>3255</v>
      </c>
    </row>
    <row r="5436" spans="1:14" x14ac:dyDescent="0.25">
      <c r="A5436" s="1" t="s">
        <v>14087</v>
      </c>
      <c r="B5436" s="3" t="s">
        <v>9060</v>
      </c>
      <c r="C5436" s="2">
        <f ca="1">IF(ISNUMBER(SEARCH(Лист2!$B$4,D:D)),MAX($C$3:OFFSET(C5436,-1,0))+1,0)</f>
        <v>0</v>
      </c>
      <c r="E5436" s="9" t="str">
        <f t="shared" ca="1" si="96"/>
        <v/>
      </c>
      <c r="F5436" s="4" t="s">
        <v>37</v>
      </c>
      <c r="G5436" s="2">
        <f>IF(ISNUMBER(SEARCH(Лист2!$B$4,F:F)),1,0)</f>
        <v>1</v>
      </c>
      <c r="H5436" s="3">
        <f ca="1">IF(AND(I5436&lt;&gt;I5435,ISNUMBER(SEARCH(Лист2!$B$5,I:I)),G5436=1),MAX($H$3:OFFSET(H5436,-1,0))+1,0)</f>
        <v>0</v>
      </c>
      <c r="K5436" s="2">
        <f>IF(ISNUMBER(SEARCH(Лист2!$B$4,F:F)),1,0)</f>
        <v>1</v>
      </c>
      <c r="L5436" s="14">
        <f>IF(ISNUMBER(SEARCH(Лист2!$B$5,I:I)),1,0)+K5436</f>
        <v>1</v>
      </c>
      <c r="M5436" s="3">
        <f ca="1">IF(AND(N5436&lt;&gt;N5435,ISNUMBER(SEARCH(Лист2!$B$6,N:N)),L5436=2),MAX($M$3:OFFSET(M5436,-1,0))+1,0)</f>
        <v>0</v>
      </c>
      <c r="N5436" s="3" t="s">
        <v>3255</v>
      </c>
    </row>
    <row r="5437" spans="1:14" x14ac:dyDescent="0.25">
      <c r="A5437" s="1" t="s">
        <v>14088</v>
      </c>
      <c r="B5437" s="3" t="s">
        <v>9061</v>
      </c>
      <c r="C5437" s="2">
        <f ca="1">IF(ISNUMBER(SEARCH(Лист2!$B$4,D:D)),MAX($C$3:OFFSET(C5437,-1,0))+1,0)</f>
        <v>0</v>
      </c>
      <c r="E5437" s="9" t="str">
        <f t="shared" ca="1" si="96"/>
        <v/>
      </c>
      <c r="F5437" s="4" t="s">
        <v>38</v>
      </c>
      <c r="G5437" s="2">
        <f>IF(ISNUMBER(SEARCH(Лист2!$B$4,F:F)),1,0)</f>
        <v>0</v>
      </c>
      <c r="H5437" s="3">
        <f ca="1">IF(AND(I5437&lt;&gt;I5436,ISNUMBER(SEARCH(Лист2!$B$5,I:I)),G5437=1),MAX($H$3:OFFSET(H5437,-1,0))+1,0)</f>
        <v>0</v>
      </c>
      <c r="K5437" s="2">
        <f>IF(ISNUMBER(SEARCH(Лист2!$B$4,F:F)),1,0)</f>
        <v>0</v>
      </c>
      <c r="L5437" s="14">
        <f>IF(ISNUMBER(SEARCH(Лист2!$B$5,I:I)),1,0)+K5437</f>
        <v>0</v>
      </c>
      <c r="M5437" s="3">
        <f ca="1">IF(AND(N5437&lt;&gt;N5436,ISNUMBER(SEARCH(Лист2!$B$6,N:N)),L5437=2),MAX($M$3:OFFSET(M5437,-1,0))+1,0)</f>
        <v>0</v>
      </c>
      <c r="N5437" s="3" t="s">
        <v>3255</v>
      </c>
    </row>
    <row r="5438" spans="1:14" x14ac:dyDescent="0.25">
      <c r="A5438" s="1" t="s">
        <v>14070</v>
      </c>
      <c r="B5438" s="3" t="s">
        <v>9062</v>
      </c>
      <c r="C5438" s="2">
        <f ca="1">IF(ISNUMBER(SEARCH(Лист2!$B$4,D:D)),MAX($C$3:OFFSET(C5438,-1,0))+1,0)</f>
        <v>0</v>
      </c>
      <c r="E5438" s="9" t="str">
        <f t="shared" ca="1" si="96"/>
        <v/>
      </c>
      <c r="F5438" s="4" t="s">
        <v>16</v>
      </c>
      <c r="G5438" s="2">
        <f>IF(ISNUMBER(SEARCH(Лист2!$B$4,F:F)),1,0)</f>
        <v>0</v>
      </c>
      <c r="H5438" s="3">
        <f ca="1">IF(AND(I5438&lt;&gt;I5437,ISNUMBER(SEARCH(Лист2!$B$5,I:I)),G5438=1),MAX($H$3:OFFSET(H5438,-1,0))+1,0)</f>
        <v>0</v>
      </c>
      <c r="K5438" s="2">
        <f>IF(ISNUMBER(SEARCH(Лист2!$B$4,F:F)),1,0)</f>
        <v>0</v>
      </c>
      <c r="L5438" s="14">
        <f>IF(ISNUMBER(SEARCH(Лист2!$B$5,I:I)),1,0)+K5438</f>
        <v>0</v>
      </c>
      <c r="M5438" s="3">
        <f ca="1">IF(AND(N5438&lt;&gt;N5437,ISNUMBER(SEARCH(Лист2!$B$6,N:N)),L5438=2),MAX($M$3:OFFSET(M5438,-1,0))+1,0)</f>
        <v>0</v>
      </c>
      <c r="N5438" s="3" t="s">
        <v>3255</v>
      </c>
    </row>
    <row r="5439" spans="1:14" x14ac:dyDescent="0.25">
      <c r="A5439" s="1" t="s">
        <v>14089</v>
      </c>
      <c r="B5439" s="3" t="s">
        <v>9063</v>
      </c>
      <c r="C5439" s="2">
        <f ca="1">IF(ISNUMBER(SEARCH(Лист2!$B$4,D:D)),MAX($C$3:OFFSET(C5439,-1,0))+1,0)</f>
        <v>0</v>
      </c>
      <c r="E5439" s="9" t="str">
        <f t="shared" ca="1" si="96"/>
        <v/>
      </c>
      <c r="F5439" s="4" t="s">
        <v>0</v>
      </c>
      <c r="G5439" s="2">
        <f>IF(ISNUMBER(SEARCH(Лист2!$B$4,F:F)),1,0)</f>
        <v>0</v>
      </c>
      <c r="H5439" s="3">
        <f ca="1">IF(AND(I5439&lt;&gt;I5438,ISNUMBER(SEARCH(Лист2!$B$5,I:I)),G5439=1),MAX($H$3:OFFSET(H5439,-1,0))+1,0)</f>
        <v>0</v>
      </c>
      <c r="K5439" s="2">
        <f>IF(ISNUMBER(SEARCH(Лист2!$B$4,F:F)),1,0)</f>
        <v>0</v>
      </c>
      <c r="L5439" s="14">
        <f>IF(ISNUMBER(SEARCH(Лист2!$B$5,I:I)),1,0)+K5439</f>
        <v>0</v>
      </c>
      <c r="M5439" s="3">
        <f ca="1">IF(AND(N5439&lt;&gt;N5438,ISNUMBER(SEARCH(Лист2!$B$6,N:N)),L5439=2),MAX($M$3:OFFSET(M5439,-1,0))+1,0)</f>
        <v>0</v>
      </c>
      <c r="N5439" s="3" t="s">
        <v>3256</v>
      </c>
    </row>
    <row r="5440" spans="1:14" x14ac:dyDescent="0.25">
      <c r="A5440" s="1" t="s">
        <v>14090</v>
      </c>
      <c r="B5440" s="3" t="s">
        <v>9064</v>
      </c>
      <c r="C5440" s="2">
        <f ca="1">IF(ISNUMBER(SEARCH(Лист2!$B$4,D:D)),MAX($C$3:OFFSET(C5440,-1,0))+1,0)</f>
        <v>0</v>
      </c>
      <c r="E5440" s="9" t="str">
        <f t="shared" ca="1" si="96"/>
        <v/>
      </c>
      <c r="F5440" s="4" t="s">
        <v>1</v>
      </c>
      <c r="G5440" s="2">
        <f>IF(ISNUMBER(SEARCH(Лист2!$B$4,F:F)),1,0)</f>
        <v>0</v>
      </c>
      <c r="H5440" s="3">
        <f ca="1">IF(AND(I5440&lt;&gt;I5439,ISNUMBER(SEARCH(Лист2!$B$5,I:I)),G5440=1),MAX($H$3:OFFSET(H5440,-1,0))+1,0)</f>
        <v>0</v>
      </c>
      <c r="K5440" s="2">
        <f>IF(ISNUMBER(SEARCH(Лист2!$B$4,F:F)),1,0)</f>
        <v>0</v>
      </c>
      <c r="L5440" s="14">
        <f>IF(ISNUMBER(SEARCH(Лист2!$B$5,I:I)),1,0)+K5440</f>
        <v>0</v>
      </c>
      <c r="M5440" s="3">
        <f ca="1">IF(AND(N5440&lt;&gt;N5439,ISNUMBER(SEARCH(Лист2!$B$6,N:N)),L5440=2),MAX($M$3:OFFSET(M5440,-1,0))+1,0)</f>
        <v>0</v>
      </c>
      <c r="N5440" s="3" t="s">
        <v>3255</v>
      </c>
    </row>
    <row r="5441" spans="1:14" x14ac:dyDescent="0.25">
      <c r="A5441" s="1" t="s">
        <v>14091</v>
      </c>
      <c r="B5441" s="3" t="s">
        <v>9065</v>
      </c>
      <c r="C5441" s="2">
        <f ca="1">IF(ISNUMBER(SEARCH(Лист2!$B$4,D:D)),MAX($C$3:OFFSET(C5441,-1,0))+1,0)</f>
        <v>0</v>
      </c>
      <c r="E5441" s="9" t="str">
        <f t="shared" ca="1" si="96"/>
        <v/>
      </c>
      <c r="F5441" s="4" t="s">
        <v>28</v>
      </c>
      <c r="G5441" s="2">
        <f>IF(ISNUMBER(SEARCH(Лист2!$B$4,F:F)),1,0)</f>
        <v>0</v>
      </c>
      <c r="H5441" s="3">
        <f ca="1">IF(AND(I5441&lt;&gt;I5440,ISNUMBER(SEARCH(Лист2!$B$5,I:I)),G5441=1),MAX($H$3:OFFSET(H5441,-1,0))+1,0)</f>
        <v>0</v>
      </c>
      <c r="K5441" s="2">
        <f>IF(ISNUMBER(SEARCH(Лист2!$B$4,F:F)),1,0)</f>
        <v>0</v>
      </c>
      <c r="L5441" s="14">
        <f>IF(ISNUMBER(SEARCH(Лист2!$B$5,I:I)),1,0)+K5441</f>
        <v>0</v>
      </c>
      <c r="M5441" s="3">
        <f ca="1">IF(AND(N5441&lt;&gt;N5440,ISNUMBER(SEARCH(Лист2!$B$6,N:N)),L5441=2),MAX($M$3:OFFSET(M5441,-1,0))+1,0)</f>
        <v>0</v>
      </c>
      <c r="N5441" s="3" t="s">
        <v>3255</v>
      </c>
    </row>
    <row r="5442" spans="1:14" x14ac:dyDescent="0.25">
      <c r="A5442" s="1" t="s">
        <v>14092</v>
      </c>
      <c r="B5442" s="3" t="s">
        <v>9066</v>
      </c>
      <c r="C5442" s="2">
        <f ca="1">IF(ISNUMBER(SEARCH(Лист2!$B$4,D:D)),MAX($C$3:OFFSET(C5442,-1,0))+1,0)</f>
        <v>0</v>
      </c>
      <c r="E5442" s="9" t="str">
        <f t="shared" ca="1" si="96"/>
        <v/>
      </c>
      <c r="F5442" s="4" t="s">
        <v>3</v>
      </c>
      <c r="G5442" s="2">
        <f>IF(ISNUMBER(SEARCH(Лист2!$B$4,F:F)),1,0)</f>
        <v>0</v>
      </c>
      <c r="H5442" s="3">
        <f ca="1">IF(AND(I5442&lt;&gt;I5441,ISNUMBER(SEARCH(Лист2!$B$5,I:I)),G5442=1),MAX($H$3:OFFSET(H5442,-1,0))+1,0)</f>
        <v>0</v>
      </c>
      <c r="K5442" s="2">
        <f>IF(ISNUMBER(SEARCH(Лист2!$B$4,F:F)),1,0)</f>
        <v>0</v>
      </c>
      <c r="L5442" s="14">
        <f>IF(ISNUMBER(SEARCH(Лист2!$B$5,I:I)),1,0)+K5442</f>
        <v>0</v>
      </c>
      <c r="M5442" s="3">
        <f ca="1">IF(AND(N5442&lt;&gt;N5441,ISNUMBER(SEARCH(Лист2!$B$6,N:N)),L5442=2),MAX($M$3:OFFSET(M5442,-1,0))+1,0)</f>
        <v>0</v>
      </c>
      <c r="N5442" s="3" t="s">
        <v>3255</v>
      </c>
    </row>
    <row r="5443" spans="1:14" x14ac:dyDescent="0.25">
      <c r="A5443" s="1" t="s">
        <v>14093</v>
      </c>
      <c r="B5443" s="3" t="s">
        <v>9067</v>
      </c>
      <c r="C5443" s="2">
        <f ca="1">IF(ISNUMBER(SEARCH(Лист2!$B$4,D:D)),MAX($C$3:OFFSET(C5443,-1,0))+1,0)</f>
        <v>0</v>
      </c>
      <c r="E5443" s="9" t="str">
        <f t="shared" ca="1" si="96"/>
        <v/>
      </c>
      <c r="F5443" s="4" t="s">
        <v>4</v>
      </c>
      <c r="G5443" s="2">
        <f>IF(ISNUMBER(SEARCH(Лист2!$B$4,F:F)),1,0)</f>
        <v>0</v>
      </c>
      <c r="H5443" s="3">
        <f ca="1">IF(AND(I5443&lt;&gt;I5442,ISNUMBER(SEARCH(Лист2!$B$5,I:I)),G5443=1),MAX($H$3:OFFSET(H5443,-1,0))+1,0)</f>
        <v>0</v>
      </c>
      <c r="K5443" s="2">
        <f>IF(ISNUMBER(SEARCH(Лист2!$B$4,F:F)),1,0)</f>
        <v>0</v>
      </c>
      <c r="L5443" s="14">
        <f>IF(ISNUMBER(SEARCH(Лист2!$B$5,I:I)),1,0)+K5443</f>
        <v>0</v>
      </c>
      <c r="M5443" s="3">
        <f ca="1">IF(AND(N5443&lt;&gt;N5442,ISNUMBER(SEARCH(Лист2!$B$6,N:N)),L5443=2),MAX($M$3:OFFSET(M5443,-1,0))+1,0)</f>
        <v>0</v>
      </c>
      <c r="N5443" s="3" t="s">
        <v>3255</v>
      </c>
    </row>
    <row r="5444" spans="1:14" x14ac:dyDescent="0.25">
      <c r="A5444" s="1" t="s">
        <v>14094</v>
      </c>
      <c r="B5444" s="3" t="s">
        <v>9068</v>
      </c>
      <c r="C5444" s="2">
        <f ca="1">IF(ISNUMBER(SEARCH(Лист2!$B$4,D:D)),MAX($C$3:OFFSET(C5444,-1,0))+1,0)</f>
        <v>0</v>
      </c>
      <c r="E5444" s="9" t="str">
        <f t="shared" ca="1" si="96"/>
        <v/>
      </c>
      <c r="F5444" s="4" t="s">
        <v>15</v>
      </c>
      <c r="G5444" s="2">
        <f>IF(ISNUMBER(SEARCH(Лист2!$B$4,F:F)),1,0)</f>
        <v>0</v>
      </c>
      <c r="H5444" s="3">
        <f ca="1">IF(AND(I5444&lt;&gt;I5443,ISNUMBER(SEARCH(Лист2!$B$5,I:I)),G5444=1),MAX($H$3:OFFSET(H5444,-1,0))+1,0)</f>
        <v>0</v>
      </c>
      <c r="K5444" s="2">
        <f>IF(ISNUMBER(SEARCH(Лист2!$B$4,F:F)),1,0)</f>
        <v>0</v>
      </c>
      <c r="L5444" s="14">
        <f>IF(ISNUMBER(SEARCH(Лист2!$B$5,I:I)),1,0)+K5444</f>
        <v>0</v>
      </c>
      <c r="M5444" s="3">
        <f ca="1">IF(AND(N5444&lt;&gt;N5443,ISNUMBER(SEARCH(Лист2!$B$6,N:N)),L5444=2),MAX($M$3:OFFSET(M5444,-1,0))+1,0)</f>
        <v>0</v>
      </c>
      <c r="N5444" s="3" t="s">
        <v>3255</v>
      </c>
    </row>
    <row r="5445" spans="1:14" x14ac:dyDescent="0.25">
      <c r="A5445" s="1" t="s">
        <v>14095</v>
      </c>
      <c r="B5445" s="3" t="s">
        <v>9069</v>
      </c>
      <c r="C5445" s="2">
        <f ca="1">IF(ISNUMBER(SEARCH(Лист2!$B$4,D:D)),MAX($C$3:OFFSET(C5445,-1,0))+1,0)</f>
        <v>0</v>
      </c>
      <c r="E5445" s="9" t="str">
        <f t="shared" ref="E5445:E5508" ca="1" si="97">IFERROR(INDEX(D:D,MATCH(ROW(E5445)-ROW($E$3),C:C,0)),"")</f>
        <v/>
      </c>
      <c r="F5445" s="4" t="s">
        <v>13</v>
      </c>
      <c r="G5445" s="2">
        <f>IF(ISNUMBER(SEARCH(Лист2!$B$4,F:F)),1,0)</f>
        <v>0</v>
      </c>
      <c r="H5445" s="3">
        <f ca="1">IF(AND(I5445&lt;&gt;I5444,ISNUMBER(SEARCH(Лист2!$B$5,I:I)),G5445=1),MAX($H$3:OFFSET(H5445,-1,0))+1,0)</f>
        <v>0</v>
      </c>
      <c r="K5445" s="2">
        <f>IF(ISNUMBER(SEARCH(Лист2!$B$4,F:F)),1,0)</f>
        <v>0</v>
      </c>
      <c r="L5445" s="14">
        <f>IF(ISNUMBER(SEARCH(Лист2!$B$5,I:I)),1,0)+K5445</f>
        <v>0</v>
      </c>
      <c r="M5445" s="3">
        <f ca="1">IF(AND(N5445&lt;&gt;N5444,ISNUMBER(SEARCH(Лист2!$B$6,N:N)),L5445=2),MAX($M$3:OFFSET(M5445,-1,0))+1,0)</f>
        <v>0</v>
      </c>
      <c r="N5445" s="3" t="s">
        <v>3255</v>
      </c>
    </row>
    <row r="5446" spans="1:14" x14ac:dyDescent="0.25">
      <c r="A5446" s="1" t="s">
        <v>14096</v>
      </c>
      <c r="B5446" s="3" t="s">
        <v>9070</v>
      </c>
      <c r="C5446" s="2">
        <f ca="1">IF(ISNUMBER(SEARCH(Лист2!$B$4,D:D)),MAX($C$3:OFFSET(C5446,-1,0))+1,0)</f>
        <v>0</v>
      </c>
      <c r="E5446" s="9" t="str">
        <f t="shared" ca="1" si="97"/>
        <v/>
      </c>
      <c r="F5446" s="4" t="s">
        <v>14</v>
      </c>
      <c r="G5446" s="2">
        <f>IF(ISNUMBER(SEARCH(Лист2!$B$4,F:F)),1,0)</f>
        <v>0</v>
      </c>
      <c r="H5446" s="3">
        <f ca="1">IF(AND(I5446&lt;&gt;I5445,ISNUMBER(SEARCH(Лист2!$B$5,I:I)),G5446=1),MAX($H$3:OFFSET(H5446,-1,0))+1,0)</f>
        <v>0</v>
      </c>
      <c r="K5446" s="2">
        <f>IF(ISNUMBER(SEARCH(Лист2!$B$4,F:F)),1,0)</f>
        <v>0</v>
      </c>
      <c r="L5446" s="14">
        <f>IF(ISNUMBER(SEARCH(Лист2!$B$5,I:I)),1,0)+K5446</f>
        <v>0</v>
      </c>
      <c r="M5446" s="3">
        <f ca="1">IF(AND(N5446&lt;&gt;N5445,ISNUMBER(SEARCH(Лист2!$B$6,N:N)),L5446=2),MAX($M$3:OFFSET(M5446,-1,0))+1,0)</f>
        <v>0</v>
      </c>
      <c r="N5446" s="3" t="s">
        <v>3255</v>
      </c>
    </row>
    <row r="5447" spans="1:14" x14ac:dyDescent="0.25">
      <c r="A5447" s="1" t="s">
        <v>14072</v>
      </c>
      <c r="B5447" s="3" t="s">
        <v>9071</v>
      </c>
      <c r="C5447" s="2">
        <f ca="1">IF(ISNUMBER(SEARCH(Лист2!$B$4,D:D)),MAX($C$3:OFFSET(C5447,-1,0))+1,0)</f>
        <v>0</v>
      </c>
      <c r="E5447" s="9" t="str">
        <f t="shared" ca="1" si="97"/>
        <v/>
      </c>
      <c r="F5447" s="4" t="s">
        <v>21</v>
      </c>
      <c r="G5447" s="2">
        <f>IF(ISNUMBER(SEARCH(Лист2!$B$4,F:F)),1,0)</f>
        <v>0</v>
      </c>
      <c r="H5447" s="3">
        <f ca="1">IF(AND(I5447&lt;&gt;I5446,ISNUMBER(SEARCH(Лист2!$B$5,I:I)),G5447=1),MAX($H$3:OFFSET(H5447,-1,0))+1,0)</f>
        <v>0</v>
      </c>
      <c r="K5447" s="2">
        <f>IF(ISNUMBER(SEARCH(Лист2!$B$4,F:F)),1,0)</f>
        <v>0</v>
      </c>
      <c r="L5447" s="14">
        <f>IF(ISNUMBER(SEARCH(Лист2!$B$5,I:I)),1,0)+K5447</f>
        <v>0</v>
      </c>
      <c r="M5447" s="3">
        <f ca="1">IF(AND(N5447&lt;&gt;N5446,ISNUMBER(SEARCH(Лист2!$B$6,N:N)),L5447=2),MAX($M$3:OFFSET(M5447,-1,0))+1,0)</f>
        <v>0</v>
      </c>
      <c r="N5447" s="3" t="s">
        <v>3255</v>
      </c>
    </row>
    <row r="5448" spans="1:14" x14ac:dyDescent="0.25">
      <c r="A5448" s="1" t="s">
        <v>14075</v>
      </c>
      <c r="B5448" s="3" t="s">
        <v>9072</v>
      </c>
      <c r="C5448" s="2">
        <f ca="1">IF(ISNUMBER(SEARCH(Лист2!$B$4,D:D)),MAX($C$3:OFFSET(C5448,-1,0))+1,0)</f>
        <v>0</v>
      </c>
      <c r="E5448" s="9" t="str">
        <f t="shared" ca="1" si="97"/>
        <v/>
      </c>
      <c r="F5448" s="4" t="s">
        <v>22</v>
      </c>
      <c r="G5448" s="2">
        <f>IF(ISNUMBER(SEARCH(Лист2!$B$4,F:F)),1,0)</f>
        <v>0</v>
      </c>
      <c r="H5448" s="3">
        <f ca="1">IF(AND(I5448&lt;&gt;I5447,ISNUMBER(SEARCH(Лист2!$B$5,I:I)),G5448=1),MAX($H$3:OFFSET(H5448,-1,0))+1,0)</f>
        <v>0</v>
      </c>
      <c r="K5448" s="2">
        <f>IF(ISNUMBER(SEARCH(Лист2!$B$4,F:F)),1,0)</f>
        <v>0</v>
      </c>
      <c r="L5448" s="14">
        <f>IF(ISNUMBER(SEARCH(Лист2!$B$5,I:I)),1,0)+K5448</f>
        <v>0</v>
      </c>
      <c r="M5448" s="3">
        <f ca="1">IF(AND(N5448&lt;&gt;N5447,ISNUMBER(SEARCH(Лист2!$B$6,N:N)),L5448=2),MAX($M$3:OFFSET(M5448,-1,0))+1,0)</f>
        <v>0</v>
      </c>
      <c r="N5448" s="3" t="s">
        <v>3255</v>
      </c>
    </row>
    <row r="5449" spans="1:14" x14ac:dyDescent="0.25">
      <c r="A5449" s="1" t="s">
        <v>14097</v>
      </c>
      <c r="B5449" s="3" t="s">
        <v>9073</v>
      </c>
      <c r="C5449" s="2">
        <f ca="1">IF(ISNUMBER(SEARCH(Лист2!$B$4,D:D)),MAX($C$3:OFFSET(C5449,-1,0))+1,0)</f>
        <v>0</v>
      </c>
      <c r="E5449" s="9" t="str">
        <f t="shared" ca="1" si="97"/>
        <v/>
      </c>
      <c r="F5449" s="4" t="s">
        <v>8</v>
      </c>
      <c r="G5449" s="2">
        <f>IF(ISNUMBER(SEARCH(Лист2!$B$4,F:F)),1,0)</f>
        <v>0</v>
      </c>
      <c r="H5449" s="3">
        <f ca="1">IF(AND(I5449&lt;&gt;I5448,ISNUMBER(SEARCH(Лист2!$B$5,I:I)),G5449=1),MAX($H$3:OFFSET(H5449,-1,0))+1,0)</f>
        <v>0</v>
      </c>
      <c r="K5449" s="2">
        <f>IF(ISNUMBER(SEARCH(Лист2!$B$4,F:F)),1,0)</f>
        <v>0</v>
      </c>
      <c r="L5449" s="14">
        <f>IF(ISNUMBER(SEARCH(Лист2!$B$5,I:I)),1,0)+K5449</f>
        <v>0</v>
      </c>
      <c r="M5449" s="3">
        <f ca="1">IF(AND(N5449&lt;&gt;N5448,ISNUMBER(SEARCH(Лист2!$B$6,N:N)),L5449=2),MAX($M$3:OFFSET(M5449,-1,0))+1,0)</f>
        <v>0</v>
      </c>
      <c r="N5449" s="3" t="s">
        <v>3255</v>
      </c>
    </row>
    <row r="5450" spans="1:14" x14ac:dyDescent="0.25">
      <c r="A5450" s="1" t="s">
        <v>14098</v>
      </c>
      <c r="B5450" s="3" t="s">
        <v>9074</v>
      </c>
      <c r="C5450" s="2">
        <f ca="1">IF(ISNUMBER(SEARCH(Лист2!$B$4,D:D)),MAX($C$3:OFFSET(C5450,-1,0))+1,0)</f>
        <v>0</v>
      </c>
      <c r="E5450" s="9" t="str">
        <f t="shared" ca="1" si="97"/>
        <v/>
      </c>
      <c r="F5450" s="4" t="s">
        <v>9</v>
      </c>
      <c r="G5450" s="2">
        <f>IF(ISNUMBER(SEARCH(Лист2!$B$4,F:F)),1,0)</f>
        <v>0</v>
      </c>
      <c r="H5450" s="3">
        <f ca="1">IF(AND(I5450&lt;&gt;I5449,ISNUMBER(SEARCH(Лист2!$B$5,I:I)),G5450=1),MAX($H$3:OFFSET(H5450,-1,0))+1,0)</f>
        <v>0</v>
      </c>
      <c r="K5450" s="2">
        <f>IF(ISNUMBER(SEARCH(Лист2!$B$4,F:F)),1,0)</f>
        <v>0</v>
      </c>
      <c r="L5450" s="14">
        <f>IF(ISNUMBER(SEARCH(Лист2!$B$5,I:I)),1,0)+K5450</f>
        <v>0</v>
      </c>
      <c r="M5450" s="3">
        <f ca="1">IF(AND(N5450&lt;&gt;N5449,ISNUMBER(SEARCH(Лист2!$B$6,N:N)),L5450=2),MAX($M$3:OFFSET(M5450,-1,0))+1,0)</f>
        <v>0</v>
      </c>
      <c r="N5450" s="3" t="s">
        <v>3255</v>
      </c>
    </row>
    <row r="5451" spans="1:14" x14ac:dyDescent="0.25">
      <c r="A5451" s="1" t="s">
        <v>14099</v>
      </c>
      <c r="B5451" s="3" t="s">
        <v>9075</v>
      </c>
      <c r="C5451" s="2">
        <f ca="1">IF(ISNUMBER(SEARCH(Лист2!$B$4,D:D)),MAX($C$3:OFFSET(C5451,-1,0))+1,0)</f>
        <v>0</v>
      </c>
      <c r="E5451" s="9" t="str">
        <f t="shared" ca="1" si="97"/>
        <v/>
      </c>
      <c r="F5451" s="4" t="s">
        <v>11</v>
      </c>
      <c r="G5451" s="2">
        <f>IF(ISNUMBER(SEARCH(Лист2!$B$4,F:F)),1,0)</f>
        <v>0</v>
      </c>
      <c r="H5451" s="3">
        <f ca="1">IF(AND(I5451&lt;&gt;I5450,ISNUMBER(SEARCH(Лист2!$B$5,I:I)),G5451=1),MAX($H$3:OFFSET(H5451,-1,0))+1,0)</f>
        <v>0</v>
      </c>
      <c r="K5451" s="2">
        <f>IF(ISNUMBER(SEARCH(Лист2!$B$4,F:F)),1,0)</f>
        <v>0</v>
      </c>
      <c r="L5451" s="14">
        <f>IF(ISNUMBER(SEARCH(Лист2!$B$5,I:I)),1,0)+K5451</f>
        <v>0</v>
      </c>
      <c r="M5451" s="3">
        <f ca="1">IF(AND(N5451&lt;&gt;N5450,ISNUMBER(SEARCH(Лист2!$B$6,N:N)),L5451=2),MAX($M$3:OFFSET(M5451,-1,0))+1,0)</f>
        <v>0</v>
      </c>
      <c r="N5451" s="3" t="s">
        <v>3255</v>
      </c>
    </row>
    <row r="5452" spans="1:14" x14ac:dyDescent="0.25">
      <c r="A5452" s="1" t="s">
        <v>14100</v>
      </c>
      <c r="B5452" s="3" t="s">
        <v>9076</v>
      </c>
      <c r="C5452" s="2">
        <f ca="1">IF(ISNUMBER(SEARCH(Лист2!$B$4,D:D)),MAX($C$3:OFFSET(C5452,-1,0))+1,0)</f>
        <v>0</v>
      </c>
      <c r="E5452" s="9" t="str">
        <f t="shared" ca="1" si="97"/>
        <v/>
      </c>
      <c r="F5452" s="4" t="s">
        <v>39</v>
      </c>
      <c r="G5452" s="2">
        <f>IF(ISNUMBER(SEARCH(Лист2!$B$4,F:F)),1,0)</f>
        <v>0</v>
      </c>
      <c r="H5452" s="3">
        <f ca="1">IF(AND(I5452&lt;&gt;I5451,ISNUMBER(SEARCH(Лист2!$B$5,I:I)),G5452=1),MAX($H$3:OFFSET(H5452,-1,0))+1,0)</f>
        <v>0</v>
      </c>
      <c r="K5452" s="2">
        <f>IF(ISNUMBER(SEARCH(Лист2!$B$4,F:F)),1,0)</f>
        <v>0</v>
      </c>
      <c r="L5452" s="14">
        <f>IF(ISNUMBER(SEARCH(Лист2!$B$5,I:I)),1,0)+K5452</f>
        <v>0</v>
      </c>
      <c r="M5452" s="3">
        <f ca="1">IF(AND(N5452&lt;&gt;N5451,ISNUMBER(SEARCH(Лист2!$B$6,N:N)),L5452=2),MAX($M$3:OFFSET(M5452,-1,0))+1,0)</f>
        <v>0</v>
      </c>
      <c r="N5452" s="3" t="s">
        <v>3255</v>
      </c>
    </row>
    <row r="5453" spans="1:14" x14ac:dyDescent="0.25">
      <c r="A5453" s="1" t="s">
        <v>14101</v>
      </c>
      <c r="B5453" s="3" t="s">
        <v>9077</v>
      </c>
      <c r="C5453" s="2">
        <f ca="1">IF(ISNUMBER(SEARCH(Лист2!$B$4,D:D)),MAX($C$3:OFFSET(C5453,-1,0))+1,0)</f>
        <v>0</v>
      </c>
      <c r="E5453" s="9" t="str">
        <f t="shared" ca="1" si="97"/>
        <v/>
      </c>
      <c r="F5453" s="4" t="s">
        <v>40</v>
      </c>
      <c r="G5453" s="2">
        <f>IF(ISNUMBER(SEARCH(Лист2!$B$4,F:F)),1,0)</f>
        <v>0</v>
      </c>
      <c r="H5453" s="3">
        <f ca="1">IF(AND(I5453&lt;&gt;I5452,ISNUMBER(SEARCH(Лист2!$B$5,I:I)),G5453=1),MAX($H$3:OFFSET(H5453,-1,0))+1,0)</f>
        <v>0</v>
      </c>
      <c r="K5453" s="2">
        <f>IF(ISNUMBER(SEARCH(Лист2!$B$4,F:F)),1,0)</f>
        <v>0</v>
      </c>
      <c r="L5453" s="14">
        <f>IF(ISNUMBER(SEARCH(Лист2!$B$5,I:I)),1,0)+K5453</f>
        <v>0</v>
      </c>
      <c r="M5453" s="3">
        <f ca="1">IF(AND(N5453&lt;&gt;N5452,ISNUMBER(SEARCH(Лист2!$B$6,N:N)),L5453=2),MAX($M$3:OFFSET(M5453,-1,0))+1,0)</f>
        <v>0</v>
      </c>
      <c r="N5453" s="3" t="s">
        <v>3255</v>
      </c>
    </row>
    <row r="5454" spans="1:14" x14ac:dyDescent="0.25">
      <c r="A5454" s="1" t="s">
        <v>14102</v>
      </c>
      <c r="B5454" s="3" t="s">
        <v>9078</v>
      </c>
      <c r="C5454" s="2">
        <f ca="1">IF(ISNUMBER(SEARCH(Лист2!$B$4,D:D)),MAX($C$3:OFFSET(C5454,-1,0))+1,0)</f>
        <v>0</v>
      </c>
      <c r="E5454" s="9" t="str">
        <f t="shared" ca="1" si="97"/>
        <v/>
      </c>
      <c r="F5454" s="4" t="s">
        <v>27</v>
      </c>
      <c r="G5454" s="2">
        <f>IF(ISNUMBER(SEARCH(Лист2!$B$4,F:F)),1,0)</f>
        <v>0</v>
      </c>
      <c r="H5454" s="3">
        <f ca="1">IF(AND(I5454&lt;&gt;I5453,ISNUMBER(SEARCH(Лист2!$B$5,I:I)),G5454=1),MAX($H$3:OFFSET(H5454,-1,0))+1,0)</f>
        <v>0</v>
      </c>
      <c r="K5454" s="2">
        <f>IF(ISNUMBER(SEARCH(Лист2!$B$4,F:F)),1,0)</f>
        <v>0</v>
      </c>
      <c r="L5454" s="14">
        <f>IF(ISNUMBER(SEARCH(Лист2!$B$5,I:I)),1,0)+K5454</f>
        <v>0</v>
      </c>
      <c r="M5454" s="3">
        <f ca="1">IF(AND(N5454&lt;&gt;N5453,ISNUMBER(SEARCH(Лист2!$B$6,N:N)),L5454=2),MAX($M$3:OFFSET(M5454,-1,0))+1,0)</f>
        <v>0</v>
      </c>
      <c r="N5454" s="3" t="s">
        <v>3255</v>
      </c>
    </row>
    <row r="5455" spans="1:14" x14ac:dyDescent="0.25">
      <c r="A5455" s="1" t="s">
        <v>14079</v>
      </c>
      <c r="B5455" s="3" t="s">
        <v>9079</v>
      </c>
      <c r="C5455" s="2">
        <f ca="1">IF(ISNUMBER(SEARCH(Лист2!$B$4,D:D)),MAX($C$3:OFFSET(C5455,-1,0))+1,0)</f>
        <v>0</v>
      </c>
      <c r="E5455" s="9" t="str">
        <f t="shared" ca="1" si="97"/>
        <v/>
      </c>
      <c r="F5455" s="4" t="s">
        <v>41</v>
      </c>
      <c r="G5455" s="2">
        <f>IF(ISNUMBER(SEARCH(Лист2!$B$4,F:F)),1,0)</f>
        <v>0</v>
      </c>
      <c r="H5455" s="3">
        <f ca="1">IF(AND(I5455&lt;&gt;I5454,ISNUMBER(SEARCH(Лист2!$B$5,I:I)),G5455=1),MAX($H$3:OFFSET(H5455,-1,0))+1,0)</f>
        <v>0</v>
      </c>
      <c r="K5455" s="2">
        <f>IF(ISNUMBER(SEARCH(Лист2!$B$4,F:F)),1,0)</f>
        <v>0</v>
      </c>
      <c r="L5455" s="14">
        <f>IF(ISNUMBER(SEARCH(Лист2!$B$5,I:I)),1,0)+K5455</f>
        <v>0</v>
      </c>
      <c r="M5455" s="3">
        <f ca="1">IF(AND(N5455&lt;&gt;N5454,ISNUMBER(SEARCH(Лист2!$B$6,N:N)),L5455=2),MAX($M$3:OFFSET(M5455,-1,0))+1,0)</f>
        <v>0</v>
      </c>
      <c r="N5455" s="3" t="s">
        <v>3255</v>
      </c>
    </row>
    <row r="5456" spans="1:14" x14ac:dyDescent="0.25">
      <c r="A5456" s="1" t="s">
        <v>14068</v>
      </c>
      <c r="B5456" s="3" t="s">
        <v>9080</v>
      </c>
      <c r="C5456" s="2">
        <f ca="1">IF(ISNUMBER(SEARCH(Лист2!$B$4,D:D)),MAX($C$3:OFFSET(C5456,-1,0))+1,0)</f>
        <v>0</v>
      </c>
      <c r="E5456" s="9" t="str">
        <f t="shared" ca="1" si="97"/>
        <v/>
      </c>
      <c r="F5456" s="4" t="s">
        <v>34</v>
      </c>
      <c r="G5456" s="2">
        <f>IF(ISNUMBER(SEARCH(Лист2!$B$4,F:F)),1,0)</f>
        <v>0</v>
      </c>
      <c r="H5456" s="3">
        <f ca="1">IF(AND(I5456&lt;&gt;I5455,ISNUMBER(SEARCH(Лист2!$B$5,I:I)),G5456=1),MAX($H$3:OFFSET(H5456,-1,0))+1,0)</f>
        <v>0</v>
      </c>
      <c r="K5456" s="2">
        <f>IF(ISNUMBER(SEARCH(Лист2!$B$4,F:F)),1,0)</f>
        <v>0</v>
      </c>
      <c r="L5456" s="14">
        <f>IF(ISNUMBER(SEARCH(Лист2!$B$5,I:I)),1,0)+K5456</f>
        <v>0</v>
      </c>
      <c r="M5456" s="3">
        <f ca="1">IF(AND(N5456&lt;&gt;N5455,ISNUMBER(SEARCH(Лист2!$B$6,N:N)),L5456=2),MAX($M$3:OFFSET(M5456,-1,0))+1,0)</f>
        <v>0</v>
      </c>
      <c r="N5456" s="3" t="s">
        <v>3255</v>
      </c>
    </row>
    <row r="5457" spans="1:14" x14ac:dyDescent="0.25">
      <c r="A5457" s="1" t="s">
        <v>14103</v>
      </c>
      <c r="B5457" s="3" t="s">
        <v>9081</v>
      </c>
      <c r="C5457" s="2">
        <f ca="1">IF(ISNUMBER(SEARCH(Лист2!$B$4,D:D)),MAX($C$3:OFFSET(C5457,-1,0))+1,0)</f>
        <v>0</v>
      </c>
      <c r="E5457" s="9" t="str">
        <f t="shared" ca="1" si="97"/>
        <v/>
      </c>
      <c r="F5457" s="4" t="s">
        <v>32</v>
      </c>
      <c r="G5457" s="2">
        <f>IF(ISNUMBER(SEARCH(Лист2!$B$4,F:F)),1,0)</f>
        <v>0</v>
      </c>
      <c r="H5457" s="3">
        <f ca="1">IF(AND(I5457&lt;&gt;I5456,ISNUMBER(SEARCH(Лист2!$B$5,I:I)),G5457=1),MAX($H$3:OFFSET(H5457,-1,0))+1,0)</f>
        <v>0</v>
      </c>
      <c r="K5457" s="2">
        <f>IF(ISNUMBER(SEARCH(Лист2!$B$4,F:F)),1,0)</f>
        <v>0</v>
      </c>
      <c r="L5457" s="14">
        <f>IF(ISNUMBER(SEARCH(Лист2!$B$5,I:I)),1,0)+K5457</f>
        <v>0</v>
      </c>
      <c r="M5457" s="3">
        <f ca="1">IF(AND(N5457&lt;&gt;N5456,ISNUMBER(SEARCH(Лист2!$B$6,N:N)),L5457=2),MAX($M$3:OFFSET(M5457,-1,0))+1,0)</f>
        <v>0</v>
      </c>
      <c r="N5457" s="3" t="s">
        <v>3255</v>
      </c>
    </row>
    <row r="5458" spans="1:14" x14ac:dyDescent="0.25">
      <c r="A5458" s="1" t="s">
        <v>14104</v>
      </c>
      <c r="B5458" s="3" t="s">
        <v>9082</v>
      </c>
      <c r="C5458" s="2">
        <f ca="1">IF(ISNUMBER(SEARCH(Лист2!$B$4,D:D)),MAX($C$3:OFFSET(C5458,-1,0))+1,0)</f>
        <v>0</v>
      </c>
      <c r="E5458" s="9" t="str">
        <f t="shared" ca="1" si="97"/>
        <v/>
      </c>
      <c r="F5458" s="4" t="s">
        <v>5</v>
      </c>
      <c r="G5458" s="2">
        <f>IF(ISNUMBER(SEARCH(Лист2!$B$4,F:F)),1,0)</f>
        <v>0</v>
      </c>
      <c r="H5458" s="3">
        <f ca="1">IF(AND(I5458&lt;&gt;I5457,ISNUMBER(SEARCH(Лист2!$B$5,I:I)),G5458=1),MAX($H$3:OFFSET(H5458,-1,0))+1,0)</f>
        <v>0</v>
      </c>
      <c r="K5458" s="2">
        <f>IF(ISNUMBER(SEARCH(Лист2!$B$4,F:F)),1,0)</f>
        <v>0</v>
      </c>
      <c r="L5458" s="14">
        <f>IF(ISNUMBER(SEARCH(Лист2!$B$5,I:I)),1,0)+K5458</f>
        <v>0</v>
      </c>
      <c r="M5458" s="3">
        <f ca="1">IF(AND(N5458&lt;&gt;N5457,ISNUMBER(SEARCH(Лист2!$B$6,N:N)),L5458=2),MAX($M$3:OFFSET(M5458,-1,0))+1,0)</f>
        <v>0</v>
      </c>
      <c r="N5458" s="3" t="s">
        <v>3255</v>
      </c>
    </row>
    <row r="5459" spans="1:14" x14ac:dyDescent="0.25">
      <c r="A5459" s="1" t="s">
        <v>14067</v>
      </c>
      <c r="B5459" s="3" t="s">
        <v>9083</v>
      </c>
      <c r="C5459" s="2">
        <f ca="1">IF(ISNUMBER(SEARCH(Лист2!$B$4,D:D)),MAX($C$3:OFFSET(C5459,-1,0))+1,0)</f>
        <v>0</v>
      </c>
      <c r="E5459" s="9" t="str">
        <f t="shared" ca="1" si="97"/>
        <v/>
      </c>
      <c r="F5459" s="4" t="s">
        <v>42</v>
      </c>
      <c r="G5459" s="2">
        <f>IF(ISNUMBER(SEARCH(Лист2!$B$4,F:F)),1,0)</f>
        <v>0</v>
      </c>
      <c r="H5459" s="3">
        <f ca="1">IF(AND(I5459&lt;&gt;I5458,ISNUMBER(SEARCH(Лист2!$B$5,I:I)),G5459=1),MAX($H$3:OFFSET(H5459,-1,0))+1,0)</f>
        <v>0</v>
      </c>
      <c r="K5459" s="2">
        <f>IF(ISNUMBER(SEARCH(Лист2!$B$4,F:F)),1,0)</f>
        <v>0</v>
      </c>
      <c r="L5459" s="14">
        <f>IF(ISNUMBER(SEARCH(Лист2!$B$5,I:I)),1,0)+K5459</f>
        <v>0</v>
      </c>
      <c r="M5459" s="3">
        <f ca="1">IF(AND(N5459&lt;&gt;N5458,ISNUMBER(SEARCH(Лист2!$B$6,N:N)),L5459=2),MAX($M$3:OFFSET(M5459,-1,0))+1,0)</f>
        <v>0</v>
      </c>
      <c r="N5459" s="3" t="s">
        <v>3255</v>
      </c>
    </row>
    <row r="5460" spans="1:14" x14ac:dyDescent="0.25">
      <c r="A5460" s="1" t="s">
        <v>14105</v>
      </c>
      <c r="B5460" s="3" t="s">
        <v>9084</v>
      </c>
      <c r="C5460" s="2">
        <f ca="1">IF(ISNUMBER(SEARCH(Лист2!$B$4,D:D)),MAX($C$3:OFFSET(C5460,-1,0))+1,0)</f>
        <v>0</v>
      </c>
      <c r="E5460" s="9" t="str">
        <f t="shared" ca="1" si="97"/>
        <v/>
      </c>
      <c r="F5460" s="4" t="s">
        <v>43</v>
      </c>
      <c r="G5460" s="2">
        <f>IF(ISNUMBER(SEARCH(Лист2!$B$4,F:F)),1,0)</f>
        <v>0</v>
      </c>
      <c r="H5460" s="3">
        <f ca="1">IF(AND(I5460&lt;&gt;I5459,ISNUMBER(SEARCH(Лист2!$B$5,I:I)),G5460=1),MAX($H$3:OFFSET(H5460,-1,0))+1,0)</f>
        <v>0</v>
      </c>
      <c r="K5460" s="2">
        <f>IF(ISNUMBER(SEARCH(Лист2!$B$4,F:F)),1,0)</f>
        <v>0</v>
      </c>
      <c r="L5460" s="14">
        <f>IF(ISNUMBER(SEARCH(Лист2!$B$5,I:I)),1,0)+K5460</f>
        <v>0</v>
      </c>
      <c r="M5460" s="3">
        <f ca="1">IF(AND(N5460&lt;&gt;N5459,ISNUMBER(SEARCH(Лист2!$B$6,N:N)),L5460=2),MAX($M$3:OFFSET(M5460,-1,0))+1,0)</f>
        <v>0</v>
      </c>
      <c r="N5460" s="3" t="s">
        <v>3255</v>
      </c>
    </row>
    <row r="5461" spans="1:14" x14ac:dyDescent="0.25">
      <c r="A5461" s="1" t="s">
        <v>14106</v>
      </c>
      <c r="B5461" s="3" t="s">
        <v>9085</v>
      </c>
      <c r="C5461" s="2">
        <f ca="1">IF(ISNUMBER(SEARCH(Лист2!$B$4,D:D)),MAX($C$3:OFFSET(C5461,-1,0))+1,0)</f>
        <v>0</v>
      </c>
      <c r="E5461" s="9" t="str">
        <f t="shared" ca="1" si="97"/>
        <v/>
      </c>
      <c r="F5461" s="4" t="s">
        <v>26</v>
      </c>
      <c r="G5461" s="2">
        <f>IF(ISNUMBER(SEARCH(Лист2!$B$4,F:F)),1,0)</f>
        <v>0</v>
      </c>
      <c r="H5461" s="3">
        <f ca="1">IF(AND(I5461&lt;&gt;I5460,ISNUMBER(SEARCH(Лист2!$B$5,I:I)),G5461=1),MAX($H$3:OFFSET(H5461,-1,0))+1,0)</f>
        <v>0</v>
      </c>
      <c r="K5461" s="2">
        <f>IF(ISNUMBER(SEARCH(Лист2!$B$4,F:F)),1,0)</f>
        <v>0</v>
      </c>
      <c r="L5461" s="14">
        <f>IF(ISNUMBER(SEARCH(Лист2!$B$5,I:I)),1,0)+K5461</f>
        <v>0</v>
      </c>
      <c r="M5461" s="3">
        <f ca="1">IF(AND(N5461&lt;&gt;N5460,ISNUMBER(SEARCH(Лист2!$B$6,N:N)),L5461=2),MAX($M$3:OFFSET(M5461,-1,0))+1,0)</f>
        <v>0</v>
      </c>
      <c r="N5461" s="3" t="s">
        <v>3255</v>
      </c>
    </row>
    <row r="5462" spans="1:14" x14ac:dyDescent="0.25">
      <c r="A5462" s="1" t="s">
        <v>14071</v>
      </c>
      <c r="B5462" s="3" t="s">
        <v>9086</v>
      </c>
      <c r="C5462" s="2">
        <f ca="1">IF(ISNUMBER(SEARCH(Лист2!$B$4,D:D)),MAX($C$3:OFFSET(C5462,-1,0))+1,0)</f>
        <v>0</v>
      </c>
      <c r="E5462" s="9" t="str">
        <f t="shared" ca="1" si="97"/>
        <v/>
      </c>
      <c r="F5462" s="4" t="s">
        <v>44</v>
      </c>
      <c r="G5462" s="2">
        <f>IF(ISNUMBER(SEARCH(Лист2!$B$4,F:F)),1,0)</f>
        <v>0</v>
      </c>
      <c r="H5462" s="3">
        <f ca="1">IF(AND(I5462&lt;&gt;I5461,ISNUMBER(SEARCH(Лист2!$B$5,I:I)),G5462=1),MAX($H$3:OFFSET(H5462,-1,0))+1,0)</f>
        <v>0</v>
      </c>
      <c r="K5462" s="2">
        <f>IF(ISNUMBER(SEARCH(Лист2!$B$4,F:F)),1,0)</f>
        <v>0</v>
      </c>
      <c r="L5462" s="14">
        <f>IF(ISNUMBER(SEARCH(Лист2!$B$5,I:I)),1,0)+K5462</f>
        <v>0</v>
      </c>
      <c r="M5462" s="3">
        <f ca="1">IF(AND(N5462&lt;&gt;N5461,ISNUMBER(SEARCH(Лист2!$B$6,N:N)),L5462=2),MAX($M$3:OFFSET(M5462,-1,0))+1,0)</f>
        <v>0</v>
      </c>
      <c r="N5462" s="3" t="s">
        <v>3255</v>
      </c>
    </row>
    <row r="5463" spans="1:14" x14ac:dyDescent="0.25">
      <c r="A5463" s="1" t="s">
        <v>14107</v>
      </c>
      <c r="B5463" s="3" t="s">
        <v>9087</v>
      </c>
      <c r="C5463" s="2">
        <f ca="1">IF(ISNUMBER(SEARCH(Лист2!$B$4,D:D)),MAX($C$3:OFFSET(C5463,-1,0))+1,0)</f>
        <v>0</v>
      </c>
      <c r="E5463" s="9" t="str">
        <f t="shared" ca="1" si="97"/>
        <v/>
      </c>
      <c r="F5463" s="4" t="s">
        <v>15</v>
      </c>
      <c r="G5463" s="2">
        <f>IF(ISNUMBER(SEARCH(Лист2!$B$4,F:F)),1,0)</f>
        <v>0</v>
      </c>
      <c r="H5463" s="3">
        <f ca="1">IF(AND(I5463&lt;&gt;I5462,ISNUMBER(SEARCH(Лист2!$B$5,I:I)),G5463=1),MAX($H$3:OFFSET(H5463,-1,0))+1,0)</f>
        <v>0</v>
      </c>
      <c r="K5463" s="2">
        <f>IF(ISNUMBER(SEARCH(Лист2!$B$4,F:F)),1,0)</f>
        <v>0</v>
      </c>
      <c r="L5463" s="14">
        <f>IF(ISNUMBER(SEARCH(Лист2!$B$5,I:I)),1,0)+K5463</f>
        <v>0</v>
      </c>
      <c r="M5463" s="3">
        <f ca="1">IF(AND(N5463&lt;&gt;N5462,ISNUMBER(SEARCH(Лист2!$B$6,N:N)),L5463=2),MAX($M$3:OFFSET(M5463,-1,0))+1,0)</f>
        <v>0</v>
      </c>
      <c r="N5463" s="3" t="s">
        <v>3257</v>
      </c>
    </row>
    <row r="5464" spans="1:14" x14ac:dyDescent="0.25">
      <c r="A5464" s="1" t="s">
        <v>14108</v>
      </c>
      <c r="B5464" s="3" t="s">
        <v>9088</v>
      </c>
      <c r="C5464" s="2">
        <f ca="1">IF(ISNUMBER(SEARCH(Лист2!$B$4,D:D)),MAX($C$3:OFFSET(C5464,-1,0))+1,0)</f>
        <v>0</v>
      </c>
      <c r="E5464" s="9" t="str">
        <f t="shared" ca="1" si="97"/>
        <v/>
      </c>
      <c r="F5464" s="4" t="s">
        <v>13</v>
      </c>
      <c r="G5464" s="2">
        <f>IF(ISNUMBER(SEARCH(Лист2!$B$4,F:F)),1,0)</f>
        <v>0</v>
      </c>
      <c r="H5464" s="3">
        <f ca="1">IF(AND(I5464&lt;&gt;I5463,ISNUMBER(SEARCH(Лист2!$B$5,I:I)),G5464=1),MAX($H$3:OFFSET(H5464,-1,0))+1,0)</f>
        <v>0</v>
      </c>
      <c r="K5464" s="2">
        <f>IF(ISNUMBER(SEARCH(Лист2!$B$4,F:F)),1,0)</f>
        <v>0</v>
      </c>
      <c r="L5464" s="14">
        <f>IF(ISNUMBER(SEARCH(Лист2!$B$5,I:I)),1,0)+K5464</f>
        <v>0</v>
      </c>
      <c r="M5464" s="3">
        <f ca="1">IF(AND(N5464&lt;&gt;N5463,ISNUMBER(SEARCH(Лист2!$B$6,N:N)),L5464=2),MAX($M$3:OFFSET(M5464,-1,0))+1,0)</f>
        <v>0</v>
      </c>
      <c r="N5464" s="3" t="s">
        <v>3257</v>
      </c>
    </row>
    <row r="5465" spans="1:14" x14ac:dyDescent="0.25">
      <c r="A5465" s="1" t="s">
        <v>14109</v>
      </c>
      <c r="B5465" s="3" t="s">
        <v>9089</v>
      </c>
      <c r="C5465" s="2">
        <f ca="1">IF(ISNUMBER(SEARCH(Лист2!$B$4,D:D)),MAX($C$3:OFFSET(C5465,-1,0))+1,0)</f>
        <v>0</v>
      </c>
      <c r="E5465" s="9" t="str">
        <f t="shared" ca="1" si="97"/>
        <v/>
      </c>
      <c r="F5465" s="4" t="s">
        <v>14</v>
      </c>
      <c r="G5465" s="2">
        <f>IF(ISNUMBER(SEARCH(Лист2!$B$4,F:F)),1,0)</f>
        <v>0</v>
      </c>
      <c r="H5465" s="3">
        <f ca="1">IF(AND(I5465&lt;&gt;I5464,ISNUMBER(SEARCH(Лист2!$B$5,I:I)),G5465=1),MAX($H$3:OFFSET(H5465,-1,0))+1,0)</f>
        <v>0</v>
      </c>
      <c r="K5465" s="2">
        <f>IF(ISNUMBER(SEARCH(Лист2!$B$4,F:F)),1,0)</f>
        <v>0</v>
      </c>
      <c r="L5465" s="14">
        <f>IF(ISNUMBER(SEARCH(Лист2!$B$5,I:I)),1,0)+K5465</f>
        <v>0</v>
      </c>
      <c r="M5465" s="3">
        <f ca="1">IF(AND(N5465&lt;&gt;N5464,ISNUMBER(SEARCH(Лист2!$B$6,N:N)),L5465=2),MAX($M$3:OFFSET(M5465,-1,0))+1,0)</f>
        <v>0</v>
      </c>
      <c r="N5465" s="3" t="s">
        <v>3257</v>
      </c>
    </row>
    <row r="5466" spans="1:14" x14ac:dyDescent="0.25">
      <c r="A5466" s="1" t="s">
        <v>14110</v>
      </c>
      <c r="B5466" s="3" t="s">
        <v>9090</v>
      </c>
      <c r="C5466" s="2">
        <f ca="1">IF(ISNUMBER(SEARCH(Лист2!$B$4,D:D)),MAX($C$3:OFFSET(C5466,-1,0))+1,0)</f>
        <v>0</v>
      </c>
      <c r="E5466" s="9" t="str">
        <f t="shared" ca="1" si="97"/>
        <v/>
      </c>
      <c r="F5466" s="4" t="s">
        <v>3</v>
      </c>
      <c r="G5466" s="2">
        <f>IF(ISNUMBER(SEARCH(Лист2!$B$4,F:F)),1,0)</f>
        <v>0</v>
      </c>
      <c r="H5466" s="3">
        <f ca="1">IF(AND(I5466&lt;&gt;I5465,ISNUMBER(SEARCH(Лист2!$B$5,I:I)),G5466=1),MAX($H$3:OFFSET(H5466,-1,0))+1,0)</f>
        <v>0</v>
      </c>
      <c r="K5466" s="2">
        <f>IF(ISNUMBER(SEARCH(Лист2!$B$4,F:F)),1,0)</f>
        <v>0</v>
      </c>
      <c r="L5466" s="14">
        <f>IF(ISNUMBER(SEARCH(Лист2!$B$5,I:I)),1,0)+K5466</f>
        <v>0</v>
      </c>
      <c r="M5466" s="3">
        <f ca="1">IF(AND(N5466&lt;&gt;N5465,ISNUMBER(SEARCH(Лист2!$B$6,N:N)),L5466=2),MAX($M$3:OFFSET(M5466,-1,0))+1,0)</f>
        <v>0</v>
      </c>
      <c r="N5466" s="3" t="s">
        <v>3257</v>
      </c>
    </row>
    <row r="5467" spans="1:14" x14ac:dyDescent="0.25">
      <c r="A5467" s="1" t="s">
        <v>14111</v>
      </c>
      <c r="B5467" s="3" t="s">
        <v>9091</v>
      </c>
      <c r="C5467" s="2">
        <f ca="1">IF(ISNUMBER(SEARCH(Лист2!$B$4,D:D)),MAX($C$3:OFFSET(C5467,-1,0))+1,0)</f>
        <v>0</v>
      </c>
      <c r="E5467" s="9" t="str">
        <f t="shared" ca="1" si="97"/>
        <v/>
      </c>
      <c r="F5467" s="4" t="s">
        <v>4</v>
      </c>
      <c r="G5467" s="2">
        <f>IF(ISNUMBER(SEARCH(Лист2!$B$4,F:F)),1,0)</f>
        <v>0</v>
      </c>
      <c r="H5467" s="3">
        <f ca="1">IF(AND(I5467&lt;&gt;I5466,ISNUMBER(SEARCH(Лист2!$B$5,I:I)),G5467=1),MAX($H$3:OFFSET(H5467,-1,0))+1,0)</f>
        <v>0</v>
      </c>
      <c r="K5467" s="2">
        <f>IF(ISNUMBER(SEARCH(Лист2!$B$4,F:F)),1,0)</f>
        <v>0</v>
      </c>
      <c r="L5467" s="14">
        <f>IF(ISNUMBER(SEARCH(Лист2!$B$5,I:I)),1,0)+K5467</f>
        <v>0</v>
      </c>
      <c r="M5467" s="3">
        <f ca="1">IF(AND(N5467&lt;&gt;N5466,ISNUMBER(SEARCH(Лист2!$B$6,N:N)),L5467=2),MAX($M$3:OFFSET(M5467,-1,0))+1,0)</f>
        <v>0</v>
      </c>
      <c r="N5467" s="3" t="s">
        <v>3257</v>
      </c>
    </row>
    <row r="5468" spans="1:14" x14ac:dyDescent="0.25">
      <c r="A5468" s="1" t="s">
        <v>14112</v>
      </c>
      <c r="B5468" s="3" t="s">
        <v>9092</v>
      </c>
      <c r="C5468" s="2">
        <f ca="1">IF(ISNUMBER(SEARCH(Лист2!$B$4,D:D)),MAX($C$3:OFFSET(C5468,-1,0))+1,0)</f>
        <v>0</v>
      </c>
      <c r="E5468" s="9" t="str">
        <f t="shared" ca="1" si="97"/>
        <v/>
      </c>
      <c r="F5468" s="4" t="s">
        <v>28</v>
      </c>
      <c r="G5468" s="2">
        <f>IF(ISNUMBER(SEARCH(Лист2!$B$4,F:F)),1,0)</f>
        <v>0</v>
      </c>
      <c r="H5468" s="3">
        <f ca="1">IF(AND(I5468&lt;&gt;I5467,ISNUMBER(SEARCH(Лист2!$B$5,I:I)),G5468=1),MAX($H$3:OFFSET(H5468,-1,0))+1,0)</f>
        <v>0</v>
      </c>
      <c r="K5468" s="2">
        <f>IF(ISNUMBER(SEARCH(Лист2!$B$4,F:F)),1,0)</f>
        <v>0</v>
      </c>
      <c r="L5468" s="14">
        <f>IF(ISNUMBER(SEARCH(Лист2!$B$5,I:I)),1,0)+K5468</f>
        <v>0</v>
      </c>
      <c r="M5468" s="3">
        <f ca="1">IF(AND(N5468&lt;&gt;N5467,ISNUMBER(SEARCH(Лист2!$B$6,N:N)),L5468=2),MAX($M$3:OFFSET(M5468,-1,0))+1,0)</f>
        <v>0</v>
      </c>
      <c r="N5468" s="3" t="s">
        <v>3257</v>
      </c>
    </row>
    <row r="5469" spans="1:14" x14ac:dyDescent="0.25">
      <c r="A5469" s="1" t="s">
        <v>14074</v>
      </c>
      <c r="B5469" s="3" t="s">
        <v>9093</v>
      </c>
      <c r="C5469" s="2">
        <f ca="1">IF(ISNUMBER(SEARCH(Лист2!$B$4,D:D)),MAX($C$3:OFFSET(C5469,-1,0))+1,0)</f>
        <v>0</v>
      </c>
      <c r="E5469" s="9" t="str">
        <f t="shared" ca="1" si="97"/>
        <v/>
      </c>
      <c r="F5469" s="4" t="s">
        <v>22</v>
      </c>
      <c r="G5469" s="2">
        <f>IF(ISNUMBER(SEARCH(Лист2!$B$4,F:F)),1,0)</f>
        <v>0</v>
      </c>
      <c r="H5469" s="3">
        <f ca="1">IF(AND(I5469&lt;&gt;I5468,ISNUMBER(SEARCH(Лист2!$B$5,I:I)),G5469=1),MAX($H$3:OFFSET(H5469,-1,0))+1,0)</f>
        <v>0</v>
      </c>
      <c r="K5469" s="2">
        <f>IF(ISNUMBER(SEARCH(Лист2!$B$4,F:F)),1,0)</f>
        <v>0</v>
      </c>
      <c r="L5469" s="14">
        <f>IF(ISNUMBER(SEARCH(Лист2!$B$5,I:I)),1,0)+K5469</f>
        <v>0</v>
      </c>
      <c r="M5469" s="3">
        <f ca="1">IF(AND(N5469&lt;&gt;N5468,ISNUMBER(SEARCH(Лист2!$B$6,N:N)),L5469=2),MAX($M$3:OFFSET(M5469,-1,0))+1,0)</f>
        <v>0</v>
      </c>
      <c r="N5469" s="3" t="s">
        <v>3257</v>
      </c>
    </row>
    <row r="5470" spans="1:14" x14ac:dyDescent="0.25">
      <c r="A5470" s="1" t="s">
        <v>14113</v>
      </c>
      <c r="B5470" s="3" t="s">
        <v>9094</v>
      </c>
      <c r="C5470" s="2">
        <f ca="1">IF(ISNUMBER(SEARCH(Лист2!$B$4,D:D)),MAX($C$3:OFFSET(C5470,-1,0))+1,0)</f>
        <v>0</v>
      </c>
      <c r="E5470" s="9" t="str">
        <f t="shared" ca="1" si="97"/>
        <v/>
      </c>
      <c r="F5470" s="4" t="s">
        <v>7</v>
      </c>
      <c r="G5470" s="2">
        <f>IF(ISNUMBER(SEARCH(Лист2!$B$4,F:F)),1,0)</f>
        <v>0</v>
      </c>
      <c r="H5470" s="3">
        <f ca="1">IF(AND(I5470&lt;&gt;I5469,ISNUMBER(SEARCH(Лист2!$B$5,I:I)),G5470=1),MAX($H$3:OFFSET(H5470,-1,0))+1,0)</f>
        <v>0</v>
      </c>
      <c r="K5470" s="2">
        <f>IF(ISNUMBER(SEARCH(Лист2!$B$4,F:F)),1,0)</f>
        <v>0</v>
      </c>
      <c r="L5470" s="14">
        <f>IF(ISNUMBER(SEARCH(Лист2!$B$5,I:I)),1,0)+K5470</f>
        <v>0</v>
      </c>
      <c r="M5470" s="3">
        <f ca="1">IF(AND(N5470&lt;&gt;N5469,ISNUMBER(SEARCH(Лист2!$B$6,N:N)),L5470=2),MAX($M$3:OFFSET(M5470,-1,0))+1,0)</f>
        <v>0</v>
      </c>
      <c r="N5470" s="3" t="s">
        <v>3257</v>
      </c>
    </row>
    <row r="5471" spans="1:14" x14ac:dyDescent="0.25">
      <c r="A5471" s="1" t="s">
        <v>14114</v>
      </c>
      <c r="B5471" s="3" t="s">
        <v>9095</v>
      </c>
      <c r="C5471" s="2">
        <f ca="1">IF(ISNUMBER(SEARCH(Лист2!$B$4,D:D)),MAX($C$3:OFFSET(C5471,-1,0))+1,0)</f>
        <v>0</v>
      </c>
      <c r="E5471" s="9" t="str">
        <f t="shared" ca="1" si="97"/>
        <v/>
      </c>
      <c r="F5471" s="4" t="s">
        <v>8</v>
      </c>
      <c r="G5471" s="2">
        <f>IF(ISNUMBER(SEARCH(Лист2!$B$4,F:F)),1,0)</f>
        <v>0</v>
      </c>
      <c r="H5471" s="3">
        <f ca="1">IF(AND(I5471&lt;&gt;I5470,ISNUMBER(SEARCH(Лист2!$B$5,I:I)),G5471=1),MAX($H$3:OFFSET(H5471,-1,0))+1,0)</f>
        <v>0</v>
      </c>
      <c r="K5471" s="2">
        <f>IF(ISNUMBER(SEARCH(Лист2!$B$4,F:F)),1,0)</f>
        <v>0</v>
      </c>
      <c r="L5471" s="14">
        <f>IF(ISNUMBER(SEARCH(Лист2!$B$5,I:I)),1,0)+K5471</f>
        <v>0</v>
      </c>
      <c r="M5471" s="3">
        <f ca="1">IF(AND(N5471&lt;&gt;N5470,ISNUMBER(SEARCH(Лист2!$B$6,N:N)),L5471=2),MAX($M$3:OFFSET(M5471,-1,0))+1,0)</f>
        <v>0</v>
      </c>
      <c r="N5471" s="3" t="s">
        <v>3257</v>
      </c>
    </row>
    <row r="5472" spans="1:14" x14ac:dyDescent="0.25">
      <c r="A5472" s="1" t="s">
        <v>14115</v>
      </c>
      <c r="B5472" s="3" t="s">
        <v>9096</v>
      </c>
      <c r="C5472" s="2">
        <f ca="1">IF(ISNUMBER(SEARCH(Лист2!$B$4,D:D)),MAX($C$3:OFFSET(C5472,-1,0))+1,0)</f>
        <v>0</v>
      </c>
      <c r="E5472" s="9" t="str">
        <f t="shared" ca="1" si="97"/>
        <v/>
      </c>
      <c r="F5472" s="4" t="s">
        <v>9</v>
      </c>
      <c r="G5472" s="2">
        <f>IF(ISNUMBER(SEARCH(Лист2!$B$4,F:F)),1,0)</f>
        <v>0</v>
      </c>
      <c r="H5472" s="3">
        <f ca="1">IF(AND(I5472&lt;&gt;I5471,ISNUMBER(SEARCH(Лист2!$B$5,I:I)),G5472=1),MAX($H$3:OFFSET(H5472,-1,0))+1,0)</f>
        <v>0</v>
      </c>
      <c r="K5472" s="2">
        <f>IF(ISNUMBER(SEARCH(Лист2!$B$4,F:F)),1,0)</f>
        <v>0</v>
      </c>
      <c r="L5472" s="14">
        <f>IF(ISNUMBER(SEARCH(Лист2!$B$5,I:I)),1,0)+K5472</f>
        <v>0</v>
      </c>
      <c r="M5472" s="3">
        <f ca="1">IF(AND(N5472&lt;&gt;N5471,ISNUMBER(SEARCH(Лист2!$B$6,N:N)),L5472=2),MAX($M$3:OFFSET(M5472,-1,0))+1,0)</f>
        <v>0</v>
      </c>
      <c r="N5472" s="3" t="s">
        <v>3257</v>
      </c>
    </row>
    <row r="5473" spans="1:14" x14ac:dyDescent="0.25">
      <c r="A5473" s="1" t="s">
        <v>14116</v>
      </c>
      <c r="B5473" s="3" t="s">
        <v>9097</v>
      </c>
      <c r="C5473" s="2">
        <f ca="1">IF(ISNUMBER(SEARCH(Лист2!$B$4,D:D)),MAX($C$3:OFFSET(C5473,-1,0))+1,0)</f>
        <v>0</v>
      </c>
      <c r="E5473" s="9" t="str">
        <f t="shared" ca="1" si="97"/>
        <v/>
      </c>
      <c r="F5473" s="4" t="s">
        <v>32</v>
      </c>
      <c r="G5473" s="2">
        <f>IF(ISNUMBER(SEARCH(Лист2!$B$4,F:F)),1,0)</f>
        <v>0</v>
      </c>
      <c r="H5473" s="3">
        <f ca="1">IF(AND(I5473&lt;&gt;I5472,ISNUMBER(SEARCH(Лист2!$B$5,I:I)),G5473=1),MAX($H$3:OFFSET(H5473,-1,0))+1,0)</f>
        <v>0</v>
      </c>
      <c r="K5473" s="2">
        <f>IF(ISNUMBER(SEARCH(Лист2!$B$4,F:F)),1,0)</f>
        <v>0</v>
      </c>
      <c r="L5473" s="14">
        <f>IF(ISNUMBER(SEARCH(Лист2!$B$5,I:I)),1,0)+K5473</f>
        <v>0</v>
      </c>
      <c r="M5473" s="3">
        <f ca="1">IF(AND(N5473&lt;&gt;N5472,ISNUMBER(SEARCH(Лист2!$B$6,N:N)),L5473=2),MAX($M$3:OFFSET(M5473,-1,0))+1,0)</f>
        <v>0</v>
      </c>
      <c r="N5473" s="3" t="s">
        <v>3257</v>
      </c>
    </row>
    <row r="5474" spans="1:14" x14ac:dyDescent="0.25">
      <c r="A5474" s="1" t="s">
        <v>14117</v>
      </c>
      <c r="B5474" s="3" t="s">
        <v>9098</v>
      </c>
      <c r="C5474" s="2">
        <f ca="1">IF(ISNUMBER(SEARCH(Лист2!$B$4,D:D)),MAX($C$3:OFFSET(C5474,-1,0))+1,0)</f>
        <v>0</v>
      </c>
      <c r="E5474" s="9" t="str">
        <f t="shared" ca="1" si="97"/>
        <v/>
      </c>
      <c r="F5474" s="4" t="s">
        <v>27</v>
      </c>
      <c r="G5474" s="2">
        <f>IF(ISNUMBER(SEARCH(Лист2!$B$4,F:F)),1,0)</f>
        <v>0</v>
      </c>
      <c r="H5474" s="3">
        <f ca="1">IF(AND(I5474&lt;&gt;I5473,ISNUMBER(SEARCH(Лист2!$B$5,I:I)),G5474=1),MAX($H$3:OFFSET(H5474,-1,0))+1,0)</f>
        <v>0</v>
      </c>
      <c r="K5474" s="2">
        <f>IF(ISNUMBER(SEARCH(Лист2!$B$4,F:F)),1,0)</f>
        <v>0</v>
      </c>
      <c r="L5474" s="14">
        <f>IF(ISNUMBER(SEARCH(Лист2!$B$5,I:I)),1,0)+K5474</f>
        <v>0</v>
      </c>
      <c r="M5474" s="3">
        <f ca="1">IF(AND(N5474&lt;&gt;N5473,ISNUMBER(SEARCH(Лист2!$B$6,N:N)),L5474=2),MAX($M$3:OFFSET(M5474,-1,0))+1,0)</f>
        <v>0</v>
      </c>
      <c r="N5474" s="3" t="s">
        <v>3257</v>
      </c>
    </row>
    <row r="5475" spans="1:14" x14ac:dyDescent="0.25">
      <c r="A5475" s="1" t="s">
        <v>14073</v>
      </c>
      <c r="B5475" s="3" t="s">
        <v>9099</v>
      </c>
      <c r="C5475" s="2">
        <f ca="1">IF(ISNUMBER(SEARCH(Лист2!$B$4,D:D)),MAX($C$3:OFFSET(C5475,-1,0))+1,0)</f>
        <v>0</v>
      </c>
      <c r="E5475" s="9" t="str">
        <f t="shared" ca="1" si="97"/>
        <v/>
      </c>
      <c r="F5475" s="4" t="s">
        <v>21</v>
      </c>
      <c r="G5475" s="2">
        <f>IF(ISNUMBER(SEARCH(Лист2!$B$4,F:F)),1,0)</f>
        <v>0</v>
      </c>
      <c r="H5475" s="3">
        <f ca="1">IF(AND(I5475&lt;&gt;I5474,ISNUMBER(SEARCH(Лист2!$B$5,I:I)),G5475=1),MAX($H$3:OFFSET(H5475,-1,0))+1,0)</f>
        <v>0</v>
      </c>
      <c r="K5475" s="2">
        <f>IF(ISNUMBER(SEARCH(Лист2!$B$4,F:F)),1,0)</f>
        <v>0</v>
      </c>
      <c r="L5475" s="14">
        <f>IF(ISNUMBER(SEARCH(Лист2!$B$5,I:I)),1,0)+K5475</f>
        <v>0</v>
      </c>
      <c r="M5475" s="3">
        <f ca="1">IF(AND(N5475&lt;&gt;N5474,ISNUMBER(SEARCH(Лист2!$B$6,N:N)),L5475=2),MAX($M$3:OFFSET(M5475,-1,0))+1,0)</f>
        <v>0</v>
      </c>
      <c r="N5475" s="3" t="s">
        <v>3258</v>
      </c>
    </row>
    <row r="5476" spans="1:14" x14ac:dyDescent="0.25">
      <c r="A5476" s="1" t="s">
        <v>14076</v>
      </c>
      <c r="B5476" s="3" t="s">
        <v>9100</v>
      </c>
      <c r="C5476" s="2">
        <f ca="1">IF(ISNUMBER(SEARCH(Лист2!$B$4,D:D)),MAX($C$3:OFFSET(C5476,-1,0))+1,0)</f>
        <v>0</v>
      </c>
      <c r="E5476" s="9" t="str">
        <f t="shared" ca="1" si="97"/>
        <v/>
      </c>
      <c r="F5476" s="4" t="s">
        <v>22</v>
      </c>
      <c r="G5476" s="2">
        <f>IF(ISNUMBER(SEARCH(Лист2!$B$4,F:F)),1,0)</f>
        <v>0</v>
      </c>
      <c r="H5476" s="3">
        <f ca="1">IF(AND(I5476&lt;&gt;I5475,ISNUMBER(SEARCH(Лист2!$B$5,I:I)),G5476=1),MAX($H$3:OFFSET(H5476,-1,0))+1,0)</f>
        <v>0</v>
      </c>
      <c r="K5476" s="2">
        <f>IF(ISNUMBER(SEARCH(Лист2!$B$4,F:F)),1,0)</f>
        <v>0</v>
      </c>
      <c r="L5476" s="14">
        <f>IF(ISNUMBER(SEARCH(Лист2!$B$5,I:I)),1,0)+K5476</f>
        <v>0</v>
      </c>
      <c r="M5476" s="3">
        <f ca="1">IF(AND(N5476&lt;&gt;N5475,ISNUMBER(SEARCH(Лист2!$B$6,N:N)),L5476=2),MAX($M$3:OFFSET(M5476,-1,0))+1,0)</f>
        <v>0</v>
      </c>
      <c r="N5476" s="3" t="s">
        <v>3258</v>
      </c>
    </row>
    <row r="5477" spans="1:14" x14ac:dyDescent="0.25">
      <c r="A5477" s="1" t="s">
        <v>14118</v>
      </c>
      <c r="B5477" s="3" t="s">
        <v>9101</v>
      </c>
      <c r="C5477" s="2">
        <f ca="1">IF(ISNUMBER(SEARCH(Лист2!$B$4,D:D)),MAX($C$3:OFFSET(C5477,-1,0))+1,0)</f>
        <v>0</v>
      </c>
      <c r="E5477" s="9" t="str">
        <f t="shared" ca="1" si="97"/>
        <v/>
      </c>
      <c r="F5477" s="4" t="s">
        <v>4</v>
      </c>
      <c r="G5477" s="2">
        <f>IF(ISNUMBER(SEARCH(Лист2!$B$4,F:F)),1,0)</f>
        <v>0</v>
      </c>
      <c r="H5477" s="3">
        <f ca="1">IF(AND(I5477&lt;&gt;I5476,ISNUMBER(SEARCH(Лист2!$B$5,I:I)),G5477=1),MAX($H$3:OFFSET(H5477,-1,0))+1,0)</f>
        <v>0</v>
      </c>
      <c r="I5477" s="3" t="s">
        <v>143</v>
      </c>
      <c r="K5477" s="2">
        <f>IF(ISNUMBER(SEARCH(Лист2!$B$4,F:F)),1,0)</f>
        <v>0</v>
      </c>
      <c r="L5477" s="14">
        <f>IF(ISNUMBER(SEARCH(Лист2!$B$5,I:I)),1,0)+K5477</f>
        <v>0</v>
      </c>
      <c r="M5477" s="3">
        <f ca="1">IF(AND(N5477&lt;&gt;N5476,ISNUMBER(SEARCH(Лист2!$B$6,N:N)),L5477=2),MAX($M$3:OFFSET(M5477,-1,0))+1,0)</f>
        <v>0</v>
      </c>
      <c r="N5477" s="3" t="s">
        <v>3259</v>
      </c>
    </row>
    <row r="5478" spans="1:14" x14ac:dyDescent="0.25">
      <c r="A5478" s="1" t="s">
        <v>14119</v>
      </c>
      <c r="B5478" s="3" t="s">
        <v>9102</v>
      </c>
      <c r="C5478" s="2">
        <f ca="1">IF(ISNUMBER(SEARCH(Лист2!$B$4,D:D)),MAX($C$3:OFFSET(C5478,-1,0))+1,0)</f>
        <v>0</v>
      </c>
      <c r="E5478" s="9" t="str">
        <f t="shared" ca="1" si="97"/>
        <v/>
      </c>
      <c r="F5478" s="4" t="s">
        <v>4</v>
      </c>
      <c r="G5478" s="2">
        <f>IF(ISNUMBER(SEARCH(Лист2!$B$4,F:F)),1,0)</f>
        <v>0</v>
      </c>
      <c r="H5478" s="3">
        <f ca="1">IF(AND(I5478&lt;&gt;I5477,ISNUMBER(SEARCH(Лист2!$B$5,I:I)),G5478=1),MAX($H$3:OFFSET(H5478,-1,0))+1,0)</f>
        <v>0</v>
      </c>
      <c r="I5478" s="3" t="s">
        <v>143</v>
      </c>
      <c r="K5478" s="2">
        <f>IF(ISNUMBER(SEARCH(Лист2!$B$4,F:F)),1,0)</f>
        <v>0</v>
      </c>
      <c r="L5478" s="14">
        <f>IF(ISNUMBER(SEARCH(Лист2!$B$5,I:I)),1,0)+K5478</f>
        <v>0</v>
      </c>
      <c r="M5478" s="3">
        <f ca="1">IF(AND(N5478&lt;&gt;N5477,ISNUMBER(SEARCH(Лист2!$B$6,N:N)),L5478=2),MAX($M$3:OFFSET(M5478,-1,0))+1,0)</f>
        <v>0</v>
      </c>
      <c r="N5478" s="3" t="s">
        <v>3260</v>
      </c>
    </row>
    <row r="5479" spans="1:14" x14ac:dyDescent="0.25">
      <c r="A5479" s="1" t="s">
        <v>14078</v>
      </c>
      <c r="B5479" s="3" t="s">
        <v>9103</v>
      </c>
      <c r="C5479" s="2">
        <f ca="1">IF(ISNUMBER(SEARCH(Лист2!$B$4,D:D)),MAX($C$3:OFFSET(C5479,-1,0))+1,0)</f>
        <v>0</v>
      </c>
      <c r="E5479" s="9" t="str">
        <f t="shared" ca="1" si="97"/>
        <v/>
      </c>
      <c r="F5479" s="4" t="s">
        <v>45</v>
      </c>
      <c r="G5479" s="2">
        <f>IF(ISNUMBER(SEARCH(Лист2!$B$4,F:F)),1,0)</f>
        <v>0</v>
      </c>
      <c r="H5479" s="3">
        <f ca="1">IF(AND(I5479&lt;&gt;I5478,ISNUMBER(SEARCH(Лист2!$B$5,I:I)),G5479=1),MAX($H$3:OFFSET(H5479,-1,0))+1,0)</f>
        <v>0</v>
      </c>
      <c r="K5479" s="2">
        <f>IF(ISNUMBER(SEARCH(Лист2!$B$4,F:F)),1,0)</f>
        <v>0</v>
      </c>
      <c r="L5479" s="14">
        <f>IF(ISNUMBER(SEARCH(Лист2!$B$5,I:I)),1,0)+K5479</f>
        <v>0</v>
      </c>
      <c r="M5479" s="3">
        <f ca="1">IF(AND(N5479&lt;&gt;N5478,ISNUMBER(SEARCH(Лист2!$B$6,N:N)),L5479=2),MAX($M$3:OFFSET(M5479,-1,0))+1,0)</f>
        <v>0</v>
      </c>
      <c r="N5479" s="3" t="s">
        <v>3261</v>
      </c>
    </row>
    <row r="5480" spans="1:14" x14ac:dyDescent="0.25">
      <c r="A5480" s="1" t="s">
        <v>14120</v>
      </c>
      <c r="B5480" s="3" t="s">
        <v>9104</v>
      </c>
      <c r="C5480" s="2">
        <f ca="1">IF(ISNUMBER(SEARCH(Лист2!$B$4,D:D)),MAX($C$3:OFFSET(C5480,-1,0))+1,0)</f>
        <v>0</v>
      </c>
      <c r="E5480" s="9" t="str">
        <f t="shared" ca="1" si="97"/>
        <v/>
      </c>
      <c r="F5480" s="4" t="s">
        <v>32</v>
      </c>
      <c r="G5480" s="2">
        <f>IF(ISNUMBER(SEARCH(Лист2!$B$4,F:F)),1,0)</f>
        <v>0</v>
      </c>
      <c r="H5480" s="3">
        <f ca="1">IF(AND(I5480&lt;&gt;I5479,ISNUMBER(SEARCH(Лист2!$B$5,I:I)),G5480=1),MAX($H$3:OFFSET(H5480,-1,0))+1,0)</f>
        <v>0</v>
      </c>
      <c r="I5480" s="3" t="s">
        <v>432</v>
      </c>
      <c r="K5480" s="2">
        <f>IF(ISNUMBER(SEARCH(Лист2!$B$4,F:F)),1,0)</f>
        <v>0</v>
      </c>
      <c r="L5480" s="14">
        <f>IF(ISNUMBER(SEARCH(Лист2!$B$5,I:I)),1,0)+K5480</f>
        <v>0</v>
      </c>
      <c r="M5480" s="3">
        <f ca="1">IF(AND(N5480&lt;&gt;N5479,ISNUMBER(SEARCH(Лист2!$B$6,N:N)),L5480=2),MAX($M$3:OFFSET(M5480,-1,0))+1,0)</f>
        <v>0</v>
      </c>
      <c r="N5480" s="3" t="s">
        <v>3262</v>
      </c>
    </row>
    <row r="5481" spans="1:14" x14ac:dyDescent="0.25">
      <c r="A5481" s="1" t="s">
        <v>14121</v>
      </c>
      <c r="B5481" s="3" t="s">
        <v>9105</v>
      </c>
      <c r="C5481" s="2">
        <f ca="1">IF(ISNUMBER(SEARCH(Лист2!$B$4,D:D)),MAX($C$3:OFFSET(C5481,-1,0))+1,0)</f>
        <v>0</v>
      </c>
      <c r="E5481" s="9" t="str">
        <f t="shared" ca="1" si="97"/>
        <v/>
      </c>
      <c r="F5481" s="4" t="s">
        <v>28</v>
      </c>
      <c r="G5481" s="2">
        <f>IF(ISNUMBER(SEARCH(Лист2!$B$4,F:F)),1,0)</f>
        <v>0</v>
      </c>
      <c r="H5481" s="3">
        <f ca="1">IF(AND(I5481&lt;&gt;I5480,ISNUMBER(SEARCH(Лист2!$B$5,I:I)),G5481=1),MAX($H$3:OFFSET(H5481,-1,0))+1,0)</f>
        <v>0</v>
      </c>
      <c r="I5481" s="3" t="s">
        <v>433</v>
      </c>
      <c r="K5481" s="2">
        <f>IF(ISNUMBER(SEARCH(Лист2!$B$4,F:F)),1,0)</f>
        <v>0</v>
      </c>
      <c r="L5481" s="14">
        <f>IF(ISNUMBER(SEARCH(Лист2!$B$5,I:I)),1,0)+K5481</f>
        <v>0</v>
      </c>
      <c r="M5481" s="3">
        <f ca="1">IF(AND(N5481&lt;&gt;N5480,ISNUMBER(SEARCH(Лист2!$B$6,N:N)),L5481=2),MAX($M$3:OFFSET(M5481,-1,0))+1,0)</f>
        <v>0</v>
      </c>
      <c r="N5481" s="3" t="s">
        <v>3263</v>
      </c>
    </row>
    <row r="5482" spans="1:14" x14ac:dyDescent="0.25">
      <c r="A5482" s="1" t="s">
        <v>14122</v>
      </c>
      <c r="B5482" s="3" t="s">
        <v>9106</v>
      </c>
      <c r="C5482" s="2">
        <f ca="1">IF(ISNUMBER(SEARCH(Лист2!$B$4,D:D)),MAX($C$3:OFFSET(C5482,-1,0))+1,0)</f>
        <v>0</v>
      </c>
      <c r="E5482" s="9" t="str">
        <f t="shared" ca="1" si="97"/>
        <v/>
      </c>
      <c r="F5482" s="4" t="s">
        <v>28</v>
      </c>
      <c r="G5482" s="2">
        <f>IF(ISNUMBER(SEARCH(Лист2!$B$4,F:F)),1,0)</f>
        <v>0</v>
      </c>
      <c r="H5482" s="3">
        <f ca="1">IF(AND(I5482&lt;&gt;I5481,ISNUMBER(SEARCH(Лист2!$B$5,I:I)),G5482=1),MAX($H$3:OFFSET(H5482,-1,0))+1,0)</f>
        <v>0</v>
      </c>
      <c r="I5482" s="3" t="s">
        <v>433</v>
      </c>
      <c r="K5482" s="2">
        <f>IF(ISNUMBER(SEARCH(Лист2!$B$4,F:F)),1,0)</f>
        <v>0</v>
      </c>
      <c r="L5482" s="14">
        <f>IF(ISNUMBER(SEARCH(Лист2!$B$5,I:I)),1,0)+K5482</f>
        <v>0</v>
      </c>
      <c r="M5482" s="3">
        <f ca="1">IF(AND(N5482&lt;&gt;N5481,ISNUMBER(SEARCH(Лист2!$B$6,N:N)),L5482=2),MAX($M$3:OFFSET(M5482,-1,0))+1,0)</f>
        <v>0</v>
      </c>
      <c r="N5482" s="3" t="s">
        <v>3264</v>
      </c>
    </row>
    <row r="5483" spans="1:14" x14ac:dyDescent="0.25">
      <c r="A5483" s="1" t="s">
        <v>14123</v>
      </c>
      <c r="B5483" s="3" t="s">
        <v>9107</v>
      </c>
      <c r="C5483" s="2">
        <f ca="1">IF(ISNUMBER(SEARCH(Лист2!$B$4,D:D)),MAX($C$3:OFFSET(C5483,-1,0))+1,0)</f>
        <v>0</v>
      </c>
      <c r="E5483" s="9" t="str">
        <f t="shared" ca="1" si="97"/>
        <v/>
      </c>
      <c r="F5483" s="4" t="s">
        <v>22</v>
      </c>
      <c r="G5483" s="2">
        <f>IF(ISNUMBER(SEARCH(Лист2!$B$4,F:F)),1,0)</f>
        <v>0</v>
      </c>
      <c r="H5483" s="3">
        <f ca="1">IF(AND(I5483&lt;&gt;I5482,ISNUMBER(SEARCH(Лист2!$B$5,I:I)),G5483=1),MAX($H$3:OFFSET(H5483,-1,0))+1,0)</f>
        <v>0</v>
      </c>
      <c r="I5483" s="3" t="s">
        <v>434</v>
      </c>
      <c r="K5483" s="2">
        <f>IF(ISNUMBER(SEARCH(Лист2!$B$4,F:F)),1,0)</f>
        <v>0</v>
      </c>
      <c r="L5483" s="14">
        <f>IF(ISNUMBER(SEARCH(Лист2!$B$5,I:I)),1,0)+K5483</f>
        <v>0</v>
      </c>
      <c r="M5483" s="3">
        <f ca="1">IF(AND(N5483&lt;&gt;N5482,ISNUMBER(SEARCH(Лист2!$B$6,N:N)),L5483=2),MAX($M$3:OFFSET(M5483,-1,0))+1,0)</f>
        <v>0</v>
      </c>
      <c r="N5483" s="3" t="s">
        <v>3265</v>
      </c>
    </row>
    <row r="5484" spans="1:14" x14ac:dyDescent="0.25">
      <c r="A5484" s="1" t="s">
        <v>14124</v>
      </c>
      <c r="B5484" s="3" t="s">
        <v>9108</v>
      </c>
      <c r="C5484" s="2">
        <f ca="1">IF(ISNUMBER(SEARCH(Лист2!$B$4,D:D)),MAX($C$3:OFFSET(C5484,-1,0))+1,0)</f>
        <v>0</v>
      </c>
      <c r="E5484" s="9" t="str">
        <f t="shared" ca="1" si="97"/>
        <v/>
      </c>
      <c r="F5484" s="4" t="s">
        <v>15</v>
      </c>
      <c r="G5484" s="2">
        <f>IF(ISNUMBER(SEARCH(Лист2!$B$4,F:F)),1,0)</f>
        <v>0</v>
      </c>
      <c r="H5484" s="3">
        <f ca="1">IF(AND(I5484&lt;&gt;I5483,ISNUMBER(SEARCH(Лист2!$B$5,I:I)),G5484=1),MAX($H$3:OFFSET(H5484,-1,0))+1,0)</f>
        <v>0</v>
      </c>
      <c r="I5484" s="3" t="s">
        <v>435</v>
      </c>
      <c r="K5484" s="2">
        <f>IF(ISNUMBER(SEARCH(Лист2!$B$4,F:F)),1,0)</f>
        <v>0</v>
      </c>
      <c r="L5484" s="14">
        <f>IF(ISNUMBER(SEARCH(Лист2!$B$5,I:I)),1,0)+K5484</f>
        <v>0</v>
      </c>
      <c r="M5484" s="3">
        <f ca="1">IF(AND(N5484&lt;&gt;N5483,ISNUMBER(SEARCH(Лист2!$B$6,N:N)),L5484=2),MAX($M$3:OFFSET(M5484,-1,0))+1,0)</f>
        <v>0</v>
      </c>
      <c r="N5484" s="3" t="s">
        <v>3266</v>
      </c>
    </row>
    <row r="5485" spans="1:14" x14ac:dyDescent="0.25">
      <c r="A5485" s="1" t="s">
        <v>14125</v>
      </c>
      <c r="B5485" s="3" t="s">
        <v>9109</v>
      </c>
      <c r="C5485" s="2">
        <f ca="1">IF(ISNUMBER(SEARCH(Лист2!$B$4,D:D)),MAX($C$3:OFFSET(C5485,-1,0))+1,0)</f>
        <v>0</v>
      </c>
      <c r="E5485" s="9" t="str">
        <f t="shared" ca="1" si="97"/>
        <v/>
      </c>
      <c r="F5485" s="4" t="s">
        <v>15</v>
      </c>
      <c r="G5485" s="2">
        <f>IF(ISNUMBER(SEARCH(Лист2!$B$4,F:F)),1,0)</f>
        <v>0</v>
      </c>
      <c r="H5485" s="3">
        <f ca="1">IF(AND(I5485&lt;&gt;I5484,ISNUMBER(SEARCH(Лист2!$B$5,I:I)),G5485=1),MAX($H$3:OFFSET(H5485,-1,0))+1,0)</f>
        <v>0</v>
      </c>
      <c r="I5485" s="3" t="s">
        <v>435</v>
      </c>
      <c r="K5485" s="2">
        <f>IF(ISNUMBER(SEARCH(Лист2!$B$4,F:F)),1,0)</f>
        <v>0</v>
      </c>
      <c r="L5485" s="14">
        <f>IF(ISNUMBER(SEARCH(Лист2!$B$5,I:I)),1,0)+K5485</f>
        <v>0</v>
      </c>
      <c r="M5485" s="3">
        <f ca="1">IF(AND(N5485&lt;&gt;N5484,ISNUMBER(SEARCH(Лист2!$B$6,N:N)),L5485=2),MAX($M$3:OFFSET(M5485,-1,0))+1,0)</f>
        <v>0</v>
      </c>
      <c r="N5485" s="3" t="s">
        <v>3267</v>
      </c>
    </row>
    <row r="5486" spans="1:14" x14ac:dyDescent="0.25">
      <c r="A5486" s="1" t="s">
        <v>14126</v>
      </c>
      <c r="B5486" s="3" t="s">
        <v>9110</v>
      </c>
      <c r="C5486" s="2">
        <f ca="1">IF(ISNUMBER(SEARCH(Лист2!$B$4,D:D)),MAX($C$3:OFFSET(C5486,-1,0))+1,0)</f>
        <v>0</v>
      </c>
      <c r="E5486" s="9" t="str">
        <f t="shared" ca="1" si="97"/>
        <v/>
      </c>
      <c r="F5486" s="4" t="s">
        <v>28</v>
      </c>
      <c r="G5486" s="2">
        <f>IF(ISNUMBER(SEARCH(Лист2!$B$4,F:F)),1,0)</f>
        <v>0</v>
      </c>
      <c r="H5486" s="3">
        <f ca="1">IF(AND(I5486&lt;&gt;I5485,ISNUMBER(SEARCH(Лист2!$B$5,I:I)),G5486=1),MAX($H$3:OFFSET(H5486,-1,0))+1,0)</f>
        <v>0</v>
      </c>
      <c r="I5486" s="3" t="s">
        <v>436</v>
      </c>
      <c r="K5486" s="2">
        <f>IF(ISNUMBER(SEARCH(Лист2!$B$4,F:F)),1,0)</f>
        <v>0</v>
      </c>
      <c r="L5486" s="14">
        <f>IF(ISNUMBER(SEARCH(Лист2!$B$5,I:I)),1,0)+K5486</f>
        <v>0</v>
      </c>
      <c r="M5486" s="3">
        <f ca="1">IF(AND(N5486&lt;&gt;N5485,ISNUMBER(SEARCH(Лист2!$B$6,N:N)),L5486=2),MAX($M$3:OFFSET(M5486,-1,0))+1,0)</f>
        <v>0</v>
      </c>
      <c r="N5486" s="3" t="s">
        <v>3266</v>
      </c>
    </row>
    <row r="5487" spans="1:14" x14ac:dyDescent="0.25">
      <c r="A5487" s="1" t="s">
        <v>14127</v>
      </c>
      <c r="B5487" s="3" t="s">
        <v>9111</v>
      </c>
      <c r="C5487" s="2">
        <f ca="1">IF(ISNUMBER(SEARCH(Лист2!$B$4,D:D)),MAX($C$3:OFFSET(C5487,-1,0))+1,0)</f>
        <v>0</v>
      </c>
      <c r="E5487" s="9" t="str">
        <f t="shared" ca="1" si="97"/>
        <v/>
      </c>
      <c r="F5487" s="4" t="s">
        <v>28</v>
      </c>
      <c r="G5487" s="2">
        <f>IF(ISNUMBER(SEARCH(Лист2!$B$4,F:F)),1,0)</f>
        <v>0</v>
      </c>
      <c r="H5487" s="3">
        <f ca="1">IF(AND(I5487&lt;&gt;I5486,ISNUMBER(SEARCH(Лист2!$B$5,I:I)),G5487=1),MAX($H$3:OFFSET(H5487,-1,0))+1,0)</f>
        <v>0</v>
      </c>
      <c r="I5487" s="3" t="s">
        <v>436</v>
      </c>
      <c r="K5487" s="2">
        <f>IF(ISNUMBER(SEARCH(Лист2!$B$4,F:F)),1,0)</f>
        <v>0</v>
      </c>
      <c r="L5487" s="14">
        <f>IF(ISNUMBER(SEARCH(Лист2!$B$5,I:I)),1,0)+K5487</f>
        <v>0</v>
      </c>
      <c r="M5487" s="3">
        <f ca="1">IF(AND(N5487&lt;&gt;N5486,ISNUMBER(SEARCH(Лист2!$B$6,N:N)),L5487=2),MAX($M$3:OFFSET(M5487,-1,0))+1,0)</f>
        <v>0</v>
      </c>
      <c r="N5487" s="3" t="s">
        <v>3268</v>
      </c>
    </row>
    <row r="5488" spans="1:14" x14ac:dyDescent="0.25">
      <c r="A5488" s="1" t="s">
        <v>14128</v>
      </c>
      <c r="B5488" s="3" t="s">
        <v>9112</v>
      </c>
      <c r="C5488" s="2">
        <f ca="1">IF(ISNUMBER(SEARCH(Лист2!$B$4,D:D)),MAX($C$3:OFFSET(C5488,-1,0))+1,0)</f>
        <v>0</v>
      </c>
      <c r="E5488" s="9" t="str">
        <f t="shared" ca="1" si="97"/>
        <v/>
      </c>
      <c r="F5488" s="4" t="s">
        <v>28</v>
      </c>
      <c r="G5488" s="2">
        <f>IF(ISNUMBER(SEARCH(Лист2!$B$4,F:F)),1,0)</f>
        <v>0</v>
      </c>
      <c r="H5488" s="3">
        <f ca="1">IF(AND(I5488&lt;&gt;I5487,ISNUMBER(SEARCH(Лист2!$B$5,I:I)),G5488=1),MAX($H$3:OFFSET(H5488,-1,0))+1,0)</f>
        <v>0</v>
      </c>
      <c r="I5488" s="3" t="s">
        <v>436</v>
      </c>
      <c r="K5488" s="2">
        <f>IF(ISNUMBER(SEARCH(Лист2!$B$4,F:F)),1,0)</f>
        <v>0</v>
      </c>
      <c r="L5488" s="14">
        <f>IF(ISNUMBER(SEARCH(Лист2!$B$5,I:I)),1,0)+K5488</f>
        <v>0</v>
      </c>
      <c r="M5488" s="3">
        <f ca="1">IF(AND(N5488&lt;&gt;N5487,ISNUMBER(SEARCH(Лист2!$B$6,N:N)),L5488=2),MAX($M$3:OFFSET(M5488,-1,0))+1,0)</f>
        <v>0</v>
      </c>
      <c r="N5488" s="3" t="s">
        <v>3267</v>
      </c>
    </row>
    <row r="5489" spans="1:14" x14ac:dyDescent="0.25">
      <c r="A5489" s="1" t="s">
        <v>14129</v>
      </c>
      <c r="B5489" s="3" t="s">
        <v>9113</v>
      </c>
      <c r="C5489" s="2">
        <f ca="1">IF(ISNUMBER(SEARCH(Лист2!$B$4,D:D)),MAX($C$3:OFFSET(C5489,-1,0))+1,0)</f>
        <v>0</v>
      </c>
      <c r="E5489" s="9" t="str">
        <f t="shared" ca="1" si="97"/>
        <v/>
      </c>
      <c r="F5489" s="4" t="s">
        <v>28</v>
      </c>
      <c r="G5489" s="2">
        <f>IF(ISNUMBER(SEARCH(Лист2!$B$4,F:F)),1,0)</f>
        <v>0</v>
      </c>
      <c r="H5489" s="3">
        <f ca="1">IF(AND(I5489&lt;&gt;I5488,ISNUMBER(SEARCH(Лист2!$B$5,I:I)),G5489=1),MAX($H$3:OFFSET(H5489,-1,0))+1,0)</f>
        <v>0</v>
      </c>
      <c r="I5489" s="3" t="s">
        <v>436</v>
      </c>
      <c r="K5489" s="2">
        <f>IF(ISNUMBER(SEARCH(Лист2!$B$4,F:F)),1,0)</f>
        <v>0</v>
      </c>
      <c r="L5489" s="14">
        <f>IF(ISNUMBER(SEARCH(Лист2!$B$5,I:I)),1,0)+K5489</f>
        <v>0</v>
      </c>
      <c r="M5489" s="3">
        <f ca="1">IF(AND(N5489&lt;&gt;N5488,ISNUMBER(SEARCH(Лист2!$B$6,N:N)),L5489=2),MAX($M$3:OFFSET(M5489,-1,0))+1,0)</f>
        <v>0</v>
      </c>
      <c r="N5489" s="3" t="s">
        <v>3269</v>
      </c>
    </row>
    <row r="5490" spans="1:14" x14ac:dyDescent="0.25">
      <c r="A5490" s="1" t="s">
        <v>14130</v>
      </c>
      <c r="B5490" s="3" t="s">
        <v>9114</v>
      </c>
      <c r="C5490" s="2">
        <f ca="1">IF(ISNUMBER(SEARCH(Лист2!$B$4,D:D)),MAX($C$3:OFFSET(C5490,-1,0))+1,0)</f>
        <v>0</v>
      </c>
      <c r="E5490" s="9" t="str">
        <f t="shared" ca="1" si="97"/>
        <v/>
      </c>
      <c r="F5490" s="4" t="s">
        <v>28</v>
      </c>
      <c r="G5490" s="2">
        <f>IF(ISNUMBER(SEARCH(Лист2!$B$4,F:F)),1,0)</f>
        <v>0</v>
      </c>
      <c r="H5490" s="3">
        <f ca="1">IF(AND(I5490&lt;&gt;I5489,ISNUMBER(SEARCH(Лист2!$B$5,I:I)),G5490=1),MAX($H$3:OFFSET(H5490,-1,0))+1,0)</f>
        <v>0</v>
      </c>
      <c r="I5490" s="3" t="s">
        <v>436</v>
      </c>
      <c r="K5490" s="2">
        <f>IF(ISNUMBER(SEARCH(Лист2!$B$4,F:F)),1,0)</f>
        <v>0</v>
      </c>
      <c r="L5490" s="14">
        <f>IF(ISNUMBER(SEARCH(Лист2!$B$5,I:I)),1,0)+K5490</f>
        <v>0</v>
      </c>
      <c r="M5490" s="3">
        <f ca="1">IF(AND(N5490&lt;&gt;N5489,ISNUMBER(SEARCH(Лист2!$B$6,N:N)),L5490=2),MAX($M$3:OFFSET(M5490,-1,0))+1,0)</f>
        <v>0</v>
      </c>
      <c r="N5490" s="3" t="s">
        <v>3270</v>
      </c>
    </row>
    <row r="5491" spans="1:14" x14ac:dyDescent="0.25">
      <c r="A5491" s="1" t="s">
        <v>14131</v>
      </c>
      <c r="B5491" s="3" t="s">
        <v>9115</v>
      </c>
      <c r="C5491" s="2">
        <f ca="1">IF(ISNUMBER(SEARCH(Лист2!$B$4,D:D)),MAX($C$3:OFFSET(C5491,-1,0))+1,0)</f>
        <v>0</v>
      </c>
      <c r="E5491" s="9" t="str">
        <f t="shared" ca="1" si="97"/>
        <v/>
      </c>
      <c r="F5491" s="4" t="s">
        <v>28</v>
      </c>
      <c r="G5491" s="2">
        <f>IF(ISNUMBER(SEARCH(Лист2!$B$4,F:F)),1,0)</f>
        <v>0</v>
      </c>
      <c r="H5491" s="3">
        <f ca="1">IF(AND(I5491&lt;&gt;I5490,ISNUMBER(SEARCH(Лист2!$B$5,I:I)),G5491=1),MAX($H$3:OFFSET(H5491,-1,0))+1,0)</f>
        <v>0</v>
      </c>
      <c r="I5491" s="3" t="s">
        <v>436</v>
      </c>
      <c r="K5491" s="2">
        <f>IF(ISNUMBER(SEARCH(Лист2!$B$4,F:F)),1,0)</f>
        <v>0</v>
      </c>
      <c r="L5491" s="14">
        <f>IF(ISNUMBER(SEARCH(Лист2!$B$5,I:I)),1,0)+K5491</f>
        <v>0</v>
      </c>
      <c r="M5491" s="3">
        <f ca="1">IF(AND(N5491&lt;&gt;N5490,ISNUMBER(SEARCH(Лист2!$B$6,N:N)),L5491=2),MAX($M$3:OFFSET(M5491,-1,0))+1,0)</f>
        <v>0</v>
      </c>
      <c r="N5491" s="3" t="s">
        <v>3271</v>
      </c>
    </row>
    <row r="5492" spans="1:14" x14ac:dyDescent="0.25">
      <c r="A5492" s="1" t="s">
        <v>14132</v>
      </c>
      <c r="B5492" s="3" t="s">
        <v>9116</v>
      </c>
      <c r="C5492" s="2">
        <f ca="1">IF(ISNUMBER(SEARCH(Лист2!$B$4,D:D)),MAX($C$3:OFFSET(C5492,-1,0))+1,0)</f>
        <v>0</v>
      </c>
      <c r="E5492" s="9" t="str">
        <f t="shared" ca="1" si="97"/>
        <v/>
      </c>
      <c r="F5492" s="4" t="s">
        <v>8</v>
      </c>
      <c r="G5492" s="2">
        <f>IF(ISNUMBER(SEARCH(Лист2!$B$4,F:F)),1,0)</f>
        <v>0</v>
      </c>
      <c r="H5492" s="3">
        <f ca="1">IF(AND(I5492&lt;&gt;I5491,ISNUMBER(SEARCH(Лист2!$B$5,I:I)),G5492=1),MAX($H$3:OFFSET(H5492,-1,0))+1,0)</f>
        <v>0</v>
      </c>
      <c r="I5492" s="3" t="s">
        <v>436</v>
      </c>
      <c r="K5492" s="2">
        <f>IF(ISNUMBER(SEARCH(Лист2!$B$4,F:F)),1,0)</f>
        <v>0</v>
      </c>
      <c r="L5492" s="14">
        <f>IF(ISNUMBER(SEARCH(Лист2!$B$5,I:I)),1,0)+K5492</f>
        <v>0</v>
      </c>
      <c r="M5492" s="3">
        <f ca="1">IF(AND(N5492&lt;&gt;N5491,ISNUMBER(SEARCH(Лист2!$B$6,N:N)),L5492=2),MAX($M$3:OFFSET(M5492,-1,0))+1,0)</f>
        <v>0</v>
      </c>
      <c r="N5492" s="3" t="s">
        <v>3266</v>
      </c>
    </row>
    <row r="5493" spans="1:14" x14ac:dyDescent="0.25">
      <c r="A5493" s="1" t="s">
        <v>14133</v>
      </c>
      <c r="B5493" s="3" t="s">
        <v>9117</v>
      </c>
      <c r="C5493" s="2">
        <f ca="1">IF(ISNUMBER(SEARCH(Лист2!$B$4,D:D)),MAX($C$3:OFFSET(C5493,-1,0))+1,0)</f>
        <v>0</v>
      </c>
      <c r="E5493" s="9" t="str">
        <f t="shared" ca="1" si="97"/>
        <v/>
      </c>
      <c r="F5493" s="4" t="s">
        <v>8</v>
      </c>
      <c r="G5493" s="2">
        <f>IF(ISNUMBER(SEARCH(Лист2!$B$4,F:F)),1,0)</f>
        <v>0</v>
      </c>
      <c r="H5493" s="3">
        <f ca="1">IF(AND(I5493&lt;&gt;I5492,ISNUMBER(SEARCH(Лист2!$B$5,I:I)),G5493=1),MAX($H$3:OFFSET(H5493,-1,0))+1,0)</f>
        <v>0</v>
      </c>
      <c r="I5493" s="3" t="s">
        <v>436</v>
      </c>
      <c r="K5493" s="2">
        <f>IF(ISNUMBER(SEARCH(Лист2!$B$4,F:F)),1,0)</f>
        <v>0</v>
      </c>
      <c r="L5493" s="14">
        <f>IF(ISNUMBER(SEARCH(Лист2!$B$5,I:I)),1,0)+K5493</f>
        <v>0</v>
      </c>
      <c r="M5493" s="3">
        <f ca="1">IF(AND(N5493&lt;&gt;N5492,ISNUMBER(SEARCH(Лист2!$B$6,N:N)),L5493=2),MAX($M$3:OFFSET(M5493,-1,0))+1,0)</f>
        <v>0</v>
      </c>
      <c r="N5493" s="3" t="s">
        <v>3268</v>
      </c>
    </row>
    <row r="5494" spans="1:14" x14ac:dyDescent="0.25">
      <c r="A5494" s="1" t="s">
        <v>14134</v>
      </c>
      <c r="B5494" s="3" t="s">
        <v>9118</v>
      </c>
      <c r="C5494" s="2">
        <f ca="1">IF(ISNUMBER(SEARCH(Лист2!$B$4,D:D)),MAX($C$3:OFFSET(C5494,-1,0))+1,0)</f>
        <v>0</v>
      </c>
      <c r="E5494" s="9" t="str">
        <f t="shared" ca="1" si="97"/>
        <v/>
      </c>
      <c r="F5494" s="4" t="s">
        <v>8</v>
      </c>
      <c r="G5494" s="2">
        <f>IF(ISNUMBER(SEARCH(Лист2!$B$4,F:F)),1,0)</f>
        <v>0</v>
      </c>
      <c r="H5494" s="3">
        <f ca="1">IF(AND(I5494&lt;&gt;I5493,ISNUMBER(SEARCH(Лист2!$B$5,I:I)),G5494=1),MAX($H$3:OFFSET(H5494,-1,0))+1,0)</f>
        <v>0</v>
      </c>
      <c r="I5494" s="3" t="s">
        <v>436</v>
      </c>
      <c r="K5494" s="2">
        <f>IF(ISNUMBER(SEARCH(Лист2!$B$4,F:F)),1,0)</f>
        <v>0</v>
      </c>
      <c r="L5494" s="14">
        <f>IF(ISNUMBER(SEARCH(Лист2!$B$5,I:I)),1,0)+K5494</f>
        <v>0</v>
      </c>
      <c r="M5494" s="3">
        <f ca="1">IF(AND(N5494&lt;&gt;N5493,ISNUMBER(SEARCH(Лист2!$B$6,N:N)),L5494=2),MAX($M$3:OFFSET(M5494,-1,0))+1,0)</f>
        <v>0</v>
      </c>
      <c r="N5494" s="3" t="s">
        <v>3267</v>
      </c>
    </row>
    <row r="5495" spans="1:14" x14ac:dyDescent="0.25">
      <c r="A5495" s="1" t="s">
        <v>14135</v>
      </c>
      <c r="B5495" s="3" t="s">
        <v>9119</v>
      </c>
      <c r="C5495" s="2">
        <f ca="1">IF(ISNUMBER(SEARCH(Лист2!$B$4,D:D)),MAX($C$3:OFFSET(C5495,-1,0))+1,0)</f>
        <v>0</v>
      </c>
      <c r="E5495" s="9" t="str">
        <f t="shared" ca="1" si="97"/>
        <v/>
      </c>
      <c r="F5495" s="4" t="s">
        <v>8</v>
      </c>
      <c r="G5495" s="2">
        <f>IF(ISNUMBER(SEARCH(Лист2!$B$4,F:F)),1,0)</f>
        <v>0</v>
      </c>
      <c r="H5495" s="3">
        <f ca="1">IF(AND(I5495&lt;&gt;I5494,ISNUMBER(SEARCH(Лист2!$B$5,I:I)),G5495=1),MAX($H$3:OFFSET(H5495,-1,0))+1,0)</f>
        <v>0</v>
      </c>
      <c r="I5495" s="3" t="s">
        <v>436</v>
      </c>
      <c r="K5495" s="2">
        <f>IF(ISNUMBER(SEARCH(Лист2!$B$4,F:F)),1,0)</f>
        <v>0</v>
      </c>
      <c r="L5495" s="14">
        <f>IF(ISNUMBER(SEARCH(Лист2!$B$5,I:I)),1,0)+K5495</f>
        <v>0</v>
      </c>
      <c r="M5495" s="3">
        <f ca="1">IF(AND(N5495&lt;&gt;N5494,ISNUMBER(SEARCH(Лист2!$B$6,N:N)),L5495=2),MAX($M$3:OFFSET(M5495,-1,0))+1,0)</f>
        <v>0</v>
      </c>
      <c r="N5495" s="3" t="s">
        <v>3269</v>
      </c>
    </row>
    <row r="5496" spans="1:14" x14ac:dyDescent="0.25">
      <c r="A5496" s="1" t="s">
        <v>14136</v>
      </c>
      <c r="B5496" s="3" t="s">
        <v>9120</v>
      </c>
      <c r="C5496" s="2">
        <f ca="1">IF(ISNUMBER(SEARCH(Лист2!$B$4,D:D)),MAX($C$3:OFFSET(C5496,-1,0))+1,0)</f>
        <v>0</v>
      </c>
      <c r="E5496" s="9" t="str">
        <f t="shared" ca="1" si="97"/>
        <v/>
      </c>
      <c r="F5496" s="4" t="s">
        <v>8</v>
      </c>
      <c r="G5496" s="2">
        <f>IF(ISNUMBER(SEARCH(Лист2!$B$4,F:F)),1,0)</f>
        <v>0</v>
      </c>
      <c r="H5496" s="3">
        <f ca="1">IF(AND(I5496&lt;&gt;I5495,ISNUMBER(SEARCH(Лист2!$B$5,I:I)),G5496=1),MAX($H$3:OFFSET(H5496,-1,0))+1,0)</f>
        <v>0</v>
      </c>
      <c r="I5496" s="3" t="s">
        <v>436</v>
      </c>
      <c r="K5496" s="2">
        <f>IF(ISNUMBER(SEARCH(Лист2!$B$4,F:F)),1,0)</f>
        <v>0</v>
      </c>
      <c r="L5496" s="14">
        <f>IF(ISNUMBER(SEARCH(Лист2!$B$5,I:I)),1,0)+K5496</f>
        <v>0</v>
      </c>
      <c r="M5496" s="3">
        <f ca="1">IF(AND(N5496&lt;&gt;N5495,ISNUMBER(SEARCH(Лист2!$B$6,N:N)),L5496=2),MAX($M$3:OFFSET(M5496,-1,0))+1,0)</f>
        <v>0</v>
      </c>
      <c r="N5496" s="3" t="s">
        <v>3272</v>
      </c>
    </row>
    <row r="5497" spans="1:14" x14ac:dyDescent="0.25">
      <c r="A5497" s="1" t="s">
        <v>14137</v>
      </c>
      <c r="B5497" s="3" t="s">
        <v>9121</v>
      </c>
      <c r="C5497" s="2">
        <f ca="1">IF(ISNUMBER(SEARCH(Лист2!$B$4,D:D)),MAX($C$3:OFFSET(C5497,-1,0))+1,0)</f>
        <v>0</v>
      </c>
      <c r="E5497" s="9" t="str">
        <f t="shared" ca="1" si="97"/>
        <v/>
      </c>
      <c r="F5497" s="4" t="s">
        <v>8</v>
      </c>
      <c r="G5497" s="2">
        <f>IF(ISNUMBER(SEARCH(Лист2!$B$4,F:F)),1,0)</f>
        <v>0</v>
      </c>
      <c r="H5497" s="3">
        <f ca="1">IF(AND(I5497&lt;&gt;I5496,ISNUMBER(SEARCH(Лист2!$B$5,I:I)),G5497=1),MAX($H$3:OFFSET(H5497,-1,0))+1,0)</f>
        <v>0</v>
      </c>
      <c r="I5497" s="3" t="s">
        <v>436</v>
      </c>
      <c r="K5497" s="2">
        <f>IF(ISNUMBER(SEARCH(Лист2!$B$4,F:F)),1,0)</f>
        <v>0</v>
      </c>
      <c r="L5497" s="14">
        <f>IF(ISNUMBER(SEARCH(Лист2!$B$5,I:I)),1,0)+K5497</f>
        <v>0</v>
      </c>
      <c r="M5497" s="3">
        <f ca="1">IF(AND(N5497&lt;&gt;N5496,ISNUMBER(SEARCH(Лист2!$B$6,N:N)),L5497=2),MAX($M$3:OFFSET(M5497,-1,0))+1,0)</f>
        <v>0</v>
      </c>
      <c r="N5497" s="3" t="s">
        <v>3273</v>
      </c>
    </row>
    <row r="5498" spans="1:14" x14ac:dyDescent="0.25">
      <c r="A5498" s="1" t="s">
        <v>14138</v>
      </c>
      <c r="B5498" s="3" t="s">
        <v>9122</v>
      </c>
      <c r="C5498" s="2">
        <f ca="1">IF(ISNUMBER(SEARCH(Лист2!$B$4,D:D)),MAX($C$3:OFFSET(C5498,-1,0))+1,0)</f>
        <v>0</v>
      </c>
      <c r="E5498" s="9" t="str">
        <f t="shared" ca="1" si="97"/>
        <v/>
      </c>
      <c r="F5498" s="4" t="s">
        <v>34</v>
      </c>
      <c r="G5498" s="2">
        <f>IF(ISNUMBER(SEARCH(Лист2!$B$4,F:F)),1,0)</f>
        <v>0</v>
      </c>
      <c r="H5498" s="3">
        <f ca="1">IF(AND(I5498&lt;&gt;I5497,ISNUMBER(SEARCH(Лист2!$B$5,I:I)),G5498=1),MAX($H$3:OFFSET(H5498,-1,0))+1,0)</f>
        <v>0</v>
      </c>
      <c r="I5498" s="3" t="s">
        <v>437</v>
      </c>
      <c r="K5498" s="2">
        <f>IF(ISNUMBER(SEARCH(Лист2!$B$4,F:F)),1,0)</f>
        <v>0</v>
      </c>
      <c r="L5498" s="14">
        <f>IF(ISNUMBER(SEARCH(Лист2!$B$5,I:I)),1,0)+K5498</f>
        <v>0</v>
      </c>
      <c r="M5498" s="3">
        <f ca="1">IF(AND(N5498&lt;&gt;N5497,ISNUMBER(SEARCH(Лист2!$B$6,N:N)),L5498=2),MAX($M$3:OFFSET(M5498,-1,0))+1,0)</f>
        <v>0</v>
      </c>
      <c r="N5498" s="3" t="s">
        <v>3266</v>
      </c>
    </row>
    <row r="5499" spans="1:14" x14ac:dyDescent="0.25">
      <c r="A5499" s="1" t="s">
        <v>14139</v>
      </c>
      <c r="B5499" s="3" t="s">
        <v>9123</v>
      </c>
      <c r="C5499" s="2">
        <f ca="1">IF(ISNUMBER(SEARCH(Лист2!$B$4,D:D)),MAX($C$3:OFFSET(C5499,-1,0))+1,0)</f>
        <v>0</v>
      </c>
      <c r="E5499" s="9" t="str">
        <f t="shared" ca="1" si="97"/>
        <v/>
      </c>
      <c r="F5499" s="4" t="s">
        <v>34</v>
      </c>
      <c r="G5499" s="2">
        <f>IF(ISNUMBER(SEARCH(Лист2!$B$4,F:F)),1,0)</f>
        <v>0</v>
      </c>
      <c r="H5499" s="3">
        <f ca="1">IF(AND(I5499&lt;&gt;I5498,ISNUMBER(SEARCH(Лист2!$B$5,I:I)),G5499=1),MAX($H$3:OFFSET(H5499,-1,0))+1,0)</f>
        <v>0</v>
      </c>
      <c r="I5499" s="3" t="s">
        <v>437</v>
      </c>
      <c r="K5499" s="2">
        <f>IF(ISNUMBER(SEARCH(Лист2!$B$4,F:F)),1,0)</f>
        <v>0</v>
      </c>
      <c r="L5499" s="14">
        <f>IF(ISNUMBER(SEARCH(Лист2!$B$5,I:I)),1,0)+K5499</f>
        <v>0</v>
      </c>
      <c r="M5499" s="3">
        <f ca="1">IF(AND(N5499&lt;&gt;N5498,ISNUMBER(SEARCH(Лист2!$B$6,N:N)),L5499=2),MAX($M$3:OFFSET(M5499,-1,0))+1,0)</f>
        <v>0</v>
      </c>
      <c r="N5499" s="3" t="s">
        <v>3268</v>
      </c>
    </row>
    <row r="5500" spans="1:14" x14ac:dyDescent="0.25">
      <c r="A5500" s="1" t="s">
        <v>14140</v>
      </c>
      <c r="B5500" s="3" t="s">
        <v>9124</v>
      </c>
      <c r="C5500" s="2">
        <f ca="1">IF(ISNUMBER(SEARCH(Лист2!$B$4,D:D)),MAX($C$3:OFFSET(C5500,-1,0))+1,0)</f>
        <v>0</v>
      </c>
      <c r="E5500" s="9" t="str">
        <f t="shared" ca="1" si="97"/>
        <v/>
      </c>
      <c r="F5500" s="4" t="s">
        <v>34</v>
      </c>
      <c r="G5500" s="2">
        <f>IF(ISNUMBER(SEARCH(Лист2!$B$4,F:F)),1,0)</f>
        <v>0</v>
      </c>
      <c r="H5500" s="3">
        <f ca="1">IF(AND(I5500&lt;&gt;I5499,ISNUMBER(SEARCH(Лист2!$B$5,I:I)),G5500=1),MAX($H$3:OFFSET(H5500,-1,0))+1,0)</f>
        <v>0</v>
      </c>
      <c r="I5500" s="3" t="s">
        <v>437</v>
      </c>
      <c r="K5500" s="2">
        <f>IF(ISNUMBER(SEARCH(Лист2!$B$4,F:F)),1,0)</f>
        <v>0</v>
      </c>
      <c r="L5500" s="14">
        <f>IF(ISNUMBER(SEARCH(Лист2!$B$5,I:I)),1,0)+K5500</f>
        <v>0</v>
      </c>
      <c r="M5500" s="3">
        <f ca="1">IF(AND(N5500&lt;&gt;N5499,ISNUMBER(SEARCH(Лист2!$B$6,N:N)),L5500=2),MAX($M$3:OFFSET(M5500,-1,0))+1,0)</f>
        <v>0</v>
      </c>
      <c r="N5500" s="3" t="s">
        <v>3269</v>
      </c>
    </row>
    <row r="5501" spans="1:14" x14ac:dyDescent="0.25">
      <c r="A5501" s="1" t="s">
        <v>14141</v>
      </c>
      <c r="B5501" s="3" t="s">
        <v>9125</v>
      </c>
      <c r="C5501" s="2">
        <f ca="1">IF(ISNUMBER(SEARCH(Лист2!$B$4,D:D)),MAX($C$3:OFFSET(C5501,-1,0))+1,0)</f>
        <v>0</v>
      </c>
      <c r="E5501" s="9" t="str">
        <f t="shared" ca="1" si="97"/>
        <v/>
      </c>
      <c r="F5501" s="4" t="s">
        <v>4</v>
      </c>
      <c r="G5501" s="2">
        <f>IF(ISNUMBER(SEARCH(Лист2!$B$4,F:F)),1,0)</f>
        <v>0</v>
      </c>
      <c r="H5501" s="3">
        <f ca="1">IF(AND(I5501&lt;&gt;I5500,ISNUMBER(SEARCH(Лист2!$B$5,I:I)),G5501=1),MAX($H$3:OFFSET(H5501,-1,0))+1,0)</f>
        <v>0</v>
      </c>
      <c r="I5501" s="3" t="s">
        <v>438</v>
      </c>
      <c r="K5501" s="2">
        <f>IF(ISNUMBER(SEARCH(Лист2!$B$4,F:F)),1,0)</f>
        <v>0</v>
      </c>
      <c r="L5501" s="14">
        <f>IF(ISNUMBER(SEARCH(Лист2!$B$5,I:I)),1,0)+K5501</f>
        <v>0</v>
      </c>
      <c r="M5501" s="3">
        <f ca="1">IF(AND(N5501&lt;&gt;N5500,ISNUMBER(SEARCH(Лист2!$B$6,N:N)),L5501=2),MAX($M$3:OFFSET(M5501,-1,0))+1,0)</f>
        <v>0</v>
      </c>
      <c r="N5501" s="3" t="s">
        <v>3274</v>
      </c>
    </row>
    <row r="5502" spans="1:14" x14ac:dyDescent="0.25">
      <c r="A5502" s="1" t="s">
        <v>14142</v>
      </c>
      <c r="B5502" s="3" t="s">
        <v>9126</v>
      </c>
      <c r="C5502" s="2">
        <f ca="1">IF(ISNUMBER(SEARCH(Лист2!$B$4,D:D)),MAX($C$3:OFFSET(C5502,-1,0))+1,0)</f>
        <v>0</v>
      </c>
      <c r="E5502" s="9" t="str">
        <f t="shared" ca="1" si="97"/>
        <v/>
      </c>
      <c r="F5502" s="4" t="s">
        <v>4</v>
      </c>
      <c r="G5502" s="2">
        <f>IF(ISNUMBER(SEARCH(Лист2!$B$4,F:F)),1,0)</f>
        <v>0</v>
      </c>
      <c r="H5502" s="3">
        <f ca="1">IF(AND(I5502&lt;&gt;I5501,ISNUMBER(SEARCH(Лист2!$B$5,I:I)),G5502=1),MAX($H$3:OFFSET(H5502,-1,0))+1,0)</f>
        <v>0</v>
      </c>
      <c r="I5502" s="3" t="s">
        <v>439</v>
      </c>
      <c r="K5502" s="2">
        <f>IF(ISNUMBER(SEARCH(Лист2!$B$4,F:F)),1,0)</f>
        <v>0</v>
      </c>
      <c r="L5502" s="14">
        <f>IF(ISNUMBER(SEARCH(Лист2!$B$5,I:I)),1,0)+K5502</f>
        <v>1</v>
      </c>
      <c r="M5502" s="3">
        <f ca="1">IF(AND(N5502&lt;&gt;N5501,ISNUMBER(SEARCH(Лист2!$B$6,N:N)),L5502=2),MAX($M$3:OFFSET(M5502,-1,0))+1,0)</f>
        <v>0</v>
      </c>
      <c r="N5502" s="3" t="s">
        <v>3274</v>
      </c>
    </row>
    <row r="5503" spans="1:14" x14ac:dyDescent="0.25">
      <c r="A5503" s="1" t="s">
        <v>14143</v>
      </c>
      <c r="B5503" s="3" t="s">
        <v>9127</v>
      </c>
      <c r="C5503" s="2">
        <f ca="1">IF(ISNUMBER(SEARCH(Лист2!$B$4,D:D)),MAX($C$3:OFFSET(C5503,-1,0))+1,0)</f>
        <v>0</v>
      </c>
      <c r="E5503" s="9" t="str">
        <f t="shared" ca="1" si="97"/>
        <v/>
      </c>
      <c r="F5503" s="4" t="s">
        <v>34</v>
      </c>
      <c r="G5503" s="2">
        <f>IF(ISNUMBER(SEARCH(Лист2!$B$4,F:F)),1,0)</f>
        <v>0</v>
      </c>
      <c r="H5503" s="3">
        <f ca="1">IF(AND(I5503&lt;&gt;I5502,ISNUMBER(SEARCH(Лист2!$B$5,I:I)),G5503=1),MAX($H$3:OFFSET(H5503,-1,0))+1,0)</f>
        <v>0</v>
      </c>
      <c r="I5503" s="3" t="s">
        <v>440</v>
      </c>
      <c r="K5503" s="2">
        <f>IF(ISNUMBER(SEARCH(Лист2!$B$4,F:F)),1,0)</f>
        <v>0</v>
      </c>
      <c r="L5503" s="14">
        <f>IF(ISNUMBER(SEARCH(Лист2!$B$5,I:I)),1,0)+K5503</f>
        <v>0</v>
      </c>
      <c r="M5503" s="3">
        <f ca="1">IF(AND(N5503&lt;&gt;N5502,ISNUMBER(SEARCH(Лист2!$B$6,N:N)),L5503=2),MAX($M$3:OFFSET(M5503,-1,0))+1,0)</f>
        <v>0</v>
      </c>
      <c r="N5503" s="3" t="s">
        <v>3274</v>
      </c>
    </row>
    <row r="5504" spans="1:14" x14ac:dyDescent="0.25">
      <c r="A5504" s="1" t="s">
        <v>14144</v>
      </c>
      <c r="B5504" s="3" t="s">
        <v>9128</v>
      </c>
      <c r="C5504" s="2">
        <f ca="1">IF(ISNUMBER(SEARCH(Лист2!$B$4,D:D)),MAX($C$3:OFFSET(C5504,-1,0))+1,0)</f>
        <v>0</v>
      </c>
      <c r="E5504" s="9" t="str">
        <f t="shared" ca="1" si="97"/>
        <v/>
      </c>
      <c r="F5504" s="4" t="s">
        <v>3</v>
      </c>
      <c r="G5504" s="2">
        <f>IF(ISNUMBER(SEARCH(Лист2!$B$4,F:F)),1,0)</f>
        <v>0</v>
      </c>
      <c r="H5504" s="3">
        <f ca="1">IF(AND(I5504&lt;&gt;I5503,ISNUMBER(SEARCH(Лист2!$B$5,I:I)),G5504=1),MAX($H$3:OFFSET(H5504,-1,0))+1,0)</f>
        <v>0</v>
      </c>
      <c r="I5504" s="3" t="s">
        <v>54</v>
      </c>
      <c r="K5504" s="2">
        <f>IF(ISNUMBER(SEARCH(Лист2!$B$4,F:F)),1,0)</f>
        <v>0</v>
      </c>
      <c r="L5504" s="14">
        <f>IF(ISNUMBER(SEARCH(Лист2!$B$5,I:I)),1,0)+K5504</f>
        <v>0</v>
      </c>
      <c r="M5504" s="3">
        <f ca="1">IF(AND(N5504&lt;&gt;N5503,ISNUMBER(SEARCH(Лист2!$B$6,N:N)),L5504=2),MAX($M$3:OFFSET(M5504,-1,0))+1,0)</f>
        <v>0</v>
      </c>
      <c r="N5504" s="3" t="s">
        <v>3274</v>
      </c>
    </row>
    <row r="5505" spans="1:14" x14ac:dyDescent="0.25">
      <c r="A5505" s="1" t="s">
        <v>14145</v>
      </c>
      <c r="B5505" s="3" t="s">
        <v>9129</v>
      </c>
      <c r="C5505" s="2">
        <f ca="1">IF(ISNUMBER(SEARCH(Лист2!$B$4,D:D)),MAX($C$3:OFFSET(C5505,-1,0))+1,0)</f>
        <v>0</v>
      </c>
      <c r="E5505" s="9" t="str">
        <f t="shared" ca="1" si="97"/>
        <v/>
      </c>
      <c r="F5505" s="4" t="s">
        <v>3</v>
      </c>
      <c r="G5505" s="2">
        <f>IF(ISNUMBER(SEARCH(Лист2!$B$4,F:F)),1,0)</f>
        <v>0</v>
      </c>
      <c r="H5505" s="3">
        <f ca="1">IF(AND(I5505&lt;&gt;I5504,ISNUMBER(SEARCH(Лист2!$B$5,I:I)),G5505=1),MAX($H$3:OFFSET(H5505,-1,0))+1,0)</f>
        <v>0</v>
      </c>
      <c r="I5505" s="3" t="s">
        <v>55</v>
      </c>
      <c r="K5505" s="2">
        <f>IF(ISNUMBER(SEARCH(Лист2!$B$4,F:F)),1,0)</f>
        <v>0</v>
      </c>
      <c r="L5505" s="14">
        <f>IF(ISNUMBER(SEARCH(Лист2!$B$5,I:I)),1,0)+K5505</f>
        <v>0</v>
      </c>
      <c r="M5505" s="3">
        <f ca="1">IF(AND(N5505&lt;&gt;N5504,ISNUMBER(SEARCH(Лист2!$B$6,N:N)),L5505=2),MAX($M$3:OFFSET(M5505,-1,0))+1,0)</f>
        <v>0</v>
      </c>
      <c r="N5505" s="3" t="s">
        <v>3274</v>
      </c>
    </row>
    <row r="5506" spans="1:14" x14ac:dyDescent="0.25">
      <c r="A5506" s="1" t="s">
        <v>14146</v>
      </c>
      <c r="B5506" s="3" t="s">
        <v>9130</v>
      </c>
      <c r="C5506" s="2">
        <f ca="1">IF(ISNUMBER(SEARCH(Лист2!$B$4,D:D)),MAX($C$3:OFFSET(C5506,-1,0))+1,0)</f>
        <v>0</v>
      </c>
      <c r="E5506" s="9" t="str">
        <f t="shared" ca="1" si="97"/>
        <v/>
      </c>
      <c r="F5506" s="4" t="s">
        <v>7</v>
      </c>
      <c r="G5506" s="2">
        <f>IF(ISNUMBER(SEARCH(Лист2!$B$4,F:F)),1,0)</f>
        <v>0</v>
      </c>
      <c r="H5506" s="3">
        <f ca="1">IF(AND(I5506&lt;&gt;I5505,ISNUMBER(SEARCH(Лист2!$B$5,I:I)),G5506=1),MAX($H$3:OFFSET(H5506,-1,0))+1,0)</f>
        <v>0</v>
      </c>
      <c r="I5506" s="3" t="s">
        <v>438</v>
      </c>
      <c r="K5506" s="2">
        <f>IF(ISNUMBER(SEARCH(Лист2!$B$4,F:F)),1,0)</f>
        <v>0</v>
      </c>
      <c r="L5506" s="14">
        <f>IF(ISNUMBER(SEARCH(Лист2!$B$5,I:I)),1,0)+K5506</f>
        <v>0</v>
      </c>
      <c r="M5506" s="3">
        <f ca="1">IF(AND(N5506&lt;&gt;N5505,ISNUMBER(SEARCH(Лист2!$B$6,N:N)),L5506=2),MAX($M$3:OFFSET(M5506,-1,0))+1,0)</f>
        <v>0</v>
      </c>
      <c r="N5506" s="3" t="s">
        <v>3274</v>
      </c>
    </row>
    <row r="5507" spans="1:14" x14ac:dyDescent="0.25">
      <c r="A5507" s="1" t="s">
        <v>14147</v>
      </c>
      <c r="B5507" s="3" t="s">
        <v>9131</v>
      </c>
      <c r="C5507" s="2">
        <f ca="1">IF(ISNUMBER(SEARCH(Лист2!$B$4,D:D)),MAX($C$3:OFFSET(C5507,-1,0))+1,0)</f>
        <v>0</v>
      </c>
      <c r="E5507" s="9" t="str">
        <f t="shared" ca="1" si="97"/>
        <v/>
      </c>
      <c r="F5507" s="4" t="s">
        <v>4</v>
      </c>
      <c r="G5507" s="2">
        <f>IF(ISNUMBER(SEARCH(Лист2!$B$4,F:F)),1,0)</f>
        <v>0</v>
      </c>
      <c r="H5507" s="3">
        <f ca="1">IF(AND(I5507&lt;&gt;I5506,ISNUMBER(SEARCH(Лист2!$B$5,I:I)),G5507=1),MAX($H$3:OFFSET(H5507,-1,0))+1,0)</f>
        <v>0</v>
      </c>
      <c r="I5507" s="3" t="s">
        <v>441</v>
      </c>
      <c r="K5507" s="2">
        <f>IF(ISNUMBER(SEARCH(Лист2!$B$4,F:F)),1,0)</f>
        <v>0</v>
      </c>
      <c r="L5507" s="14">
        <f>IF(ISNUMBER(SEARCH(Лист2!$B$5,I:I)),1,0)+K5507</f>
        <v>0</v>
      </c>
      <c r="M5507" s="3">
        <f ca="1">IF(AND(N5507&lt;&gt;N5506,ISNUMBER(SEARCH(Лист2!$B$6,N:N)),L5507=2),MAX($M$3:OFFSET(M5507,-1,0))+1,0)</f>
        <v>0</v>
      </c>
      <c r="N5507" s="3" t="s">
        <v>3275</v>
      </c>
    </row>
    <row r="5508" spans="1:14" x14ac:dyDescent="0.25">
      <c r="A5508" s="1" t="s">
        <v>14148</v>
      </c>
      <c r="B5508" s="3" t="s">
        <v>9132</v>
      </c>
      <c r="C5508" s="2">
        <f ca="1">IF(ISNUMBER(SEARCH(Лист2!$B$4,D:D)),MAX($C$3:OFFSET(C5508,-1,0))+1,0)</f>
        <v>0</v>
      </c>
      <c r="E5508" s="9" t="str">
        <f t="shared" ca="1" si="97"/>
        <v/>
      </c>
      <c r="F5508" s="4" t="s">
        <v>4</v>
      </c>
      <c r="G5508" s="2">
        <f>IF(ISNUMBER(SEARCH(Лист2!$B$4,F:F)),1,0)</f>
        <v>0</v>
      </c>
      <c r="H5508" s="3">
        <f ca="1">IF(AND(I5508&lt;&gt;I5507,ISNUMBER(SEARCH(Лист2!$B$5,I:I)),G5508=1),MAX($H$3:OFFSET(H5508,-1,0))+1,0)</f>
        <v>0</v>
      </c>
      <c r="I5508" s="3" t="s">
        <v>442</v>
      </c>
      <c r="K5508" s="2">
        <f>IF(ISNUMBER(SEARCH(Лист2!$B$4,F:F)),1,0)</f>
        <v>0</v>
      </c>
      <c r="L5508" s="14">
        <f>IF(ISNUMBER(SEARCH(Лист2!$B$5,I:I)),1,0)+K5508</f>
        <v>0</v>
      </c>
      <c r="M5508" s="3">
        <f ca="1">IF(AND(N5508&lt;&gt;N5507,ISNUMBER(SEARCH(Лист2!$B$6,N:N)),L5508=2),MAX($M$3:OFFSET(M5508,-1,0))+1,0)</f>
        <v>0</v>
      </c>
      <c r="N5508" s="3" t="s">
        <v>3276</v>
      </c>
    </row>
    <row r="5509" spans="1:14" x14ac:dyDescent="0.25">
      <c r="A5509" s="1" t="s">
        <v>14149</v>
      </c>
      <c r="B5509" s="3" t="s">
        <v>9133</v>
      </c>
      <c r="C5509" s="2">
        <f ca="1">IF(ISNUMBER(SEARCH(Лист2!$B$4,D:D)),MAX($C$3:OFFSET(C5509,-1,0))+1,0)</f>
        <v>0</v>
      </c>
      <c r="E5509" s="9" t="str">
        <f t="shared" ref="E5509:E5572" ca="1" si="98">IFERROR(INDEX(D:D,MATCH(ROW(E5509)-ROW($E$3),C:C,0)),"")</f>
        <v/>
      </c>
      <c r="F5509" s="4" t="s">
        <v>16</v>
      </c>
      <c r="G5509" s="2">
        <f>IF(ISNUMBER(SEARCH(Лист2!$B$4,F:F)),1,0)</f>
        <v>0</v>
      </c>
      <c r="H5509" s="3">
        <f ca="1">IF(AND(I5509&lt;&gt;I5508,ISNUMBER(SEARCH(Лист2!$B$5,I:I)),G5509=1),MAX($H$3:OFFSET(H5509,-1,0))+1,0)</f>
        <v>0</v>
      </c>
      <c r="I5509" s="3" t="s">
        <v>443</v>
      </c>
      <c r="K5509" s="2">
        <f>IF(ISNUMBER(SEARCH(Лист2!$B$4,F:F)),1,0)</f>
        <v>0</v>
      </c>
      <c r="L5509" s="14">
        <f>IF(ISNUMBER(SEARCH(Лист2!$B$5,I:I)),1,0)+K5509</f>
        <v>0</v>
      </c>
      <c r="M5509" s="3">
        <f ca="1">IF(AND(N5509&lt;&gt;N5508,ISNUMBER(SEARCH(Лист2!$B$6,N:N)),L5509=2),MAX($M$3:OFFSET(M5509,-1,0))+1,0)</f>
        <v>0</v>
      </c>
      <c r="N5509" s="3" t="s">
        <v>443</v>
      </c>
    </row>
    <row r="5510" spans="1:14" x14ac:dyDescent="0.25">
      <c r="A5510" s="1" t="s">
        <v>14150</v>
      </c>
      <c r="B5510" s="3" t="s">
        <v>9134</v>
      </c>
      <c r="C5510" s="2">
        <f ca="1">IF(ISNUMBER(SEARCH(Лист2!$B$4,D:D)),MAX($C$3:OFFSET(C5510,-1,0))+1,0)</f>
        <v>0</v>
      </c>
      <c r="E5510" s="9" t="str">
        <f t="shared" ca="1" si="98"/>
        <v/>
      </c>
      <c r="F5510" s="4" t="s">
        <v>22</v>
      </c>
      <c r="G5510" s="2">
        <f>IF(ISNUMBER(SEARCH(Лист2!$B$4,F:F)),1,0)</f>
        <v>0</v>
      </c>
      <c r="H5510" s="3">
        <f ca="1">IF(AND(I5510&lt;&gt;I5509,ISNUMBER(SEARCH(Лист2!$B$5,I:I)),G5510=1),MAX($H$3:OFFSET(H5510,-1,0))+1,0)</f>
        <v>0</v>
      </c>
      <c r="I5510" s="3" t="s">
        <v>442</v>
      </c>
      <c r="K5510" s="2">
        <f>IF(ISNUMBER(SEARCH(Лист2!$B$4,F:F)),1,0)</f>
        <v>0</v>
      </c>
      <c r="L5510" s="14">
        <f>IF(ISNUMBER(SEARCH(Лист2!$B$5,I:I)),1,0)+K5510</f>
        <v>0</v>
      </c>
      <c r="M5510" s="3">
        <f ca="1">IF(AND(N5510&lt;&gt;N5509,ISNUMBER(SEARCH(Лист2!$B$6,N:N)),L5510=2),MAX($M$3:OFFSET(M5510,-1,0))+1,0)</f>
        <v>0</v>
      </c>
      <c r="N5510" s="3" t="s">
        <v>3276</v>
      </c>
    </row>
    <row r="5511" spans="1:14" x14ac:dyDescent="0.25">
      <c r="A5511" s="1" t="s">
        <v>14151</v>
      </c>
      <c r="B5511" s="3" t="s">
        <v>9135</v>
      </c>
      <c r="C5511" s="2">
        <f ca="1">IF(ISNUMBER(SEARCH(Лист2!$B$4,D:D)),MAX($C$3:OFFSET(C5511,-1,0))+1,0)</f>
        <v>0</v>
      </c>
      <c r="E5511" s="9" t="str">
        <f t="shared" ca="1" si="98"/>
        <v/>
      </c>
      <c r="F5511" s="4" t="s">
        <v>22</v>
      </c>
      <c r="G5511" s="2">
        <f>IF(ISNUMBER(SEARCH(Лист2!$B$4,F:F)),1,0)</f>
        <v>0</v>
      </c>
      <c r="H5511" s="3">
        <f ca="1">IF(AND(I5511&lt;&gt;I5510,ISNUMBER(SEARCH(Лист2!$B$5,I:I)),G5511=1),MAX($H$3:OFFSET(H5511,-1,0))+1,0)</f>
        <v>0</v>
      </c>
      <c r="I5511" s="3" t="s">
        <v>444</v>
      </c>
      <c r="K5511" s="2">
        <f>IF(ISNUMBER(SEARCH(Лист2!$B$4,F:F)),1,0)</f>
        <v>0</v>
      </c>
      <c r="L5511" s="14">
        <f>IF(ISNUMBER(SEARCH(Лист2!$B$5,I:I)),1,0)+K5511</f>
        <v>0</v>
      </c>
      <c r="M5511" s="3">
        <f ca="1">IF(AND(N5511&lt;&gt;N5510,ISNUMBER(SEARCH(Лист2!$B$6,N:N)),L5511=2),MAX($M$3:OFFSET(M5511,-1,0))+1,0)</f>
        <v>0</v>
      </c>
      <c r="N5511" s="3" t="s">
        <v>3276</v>
      </c>
    </row>
    <row r="5512" spans="1:14" x14ac:dyDescent="0.25">
      <c r="A5512" s="1" t="s">
        <v>14152</v>
      </c>
      <c r="B5512" s="3" t="s">
        <v>9136</v>
      </c>
      <c r="C5512" s="2">
        <f ca="1">IF(ISNUMBER(SEARCH(Лист2!$B$4,D:D)),MAX($C$3:OFFSET(C5512,-1,0))+1,0)</f>
        <v>0</v>
      </c>
      <c r="E5512" s="9" t="str">
        <f t="shared" ca="1" si="98"/>
        <v/>
      </c>
      <c r="F5512" s="4" t="s">
        <v>3</v>
      </c>
      <c r="G5512" s="2">
        <f>IF(ISNUMBER(SEARCH(Лист2!$B$4,F:F)),1,0)</f>
        <v>0</v>
      </c>
      <c r="H5512" s="3">
        <f ca="1">IF(AND(I5512&lt;&gt;I5511,ISNUMBER(SEARCH(Лист2!$B$5,I:I)),G5512=1),MAX($H$3:OFFSET(H5512,-1,0))+1,0)</f>
        <v>0</v>
      </c>
      <c r="I5512" s="3" t="s">
        <v>445</v>
      </c>
      <c r="K5512" s="2">
        <f>IF(ISNUMBER(SEARCH(Лист2!$B$4,F:F)),1,0)</f>
        <v>0</v>
      </c>
      <c r="L5512" s="14">
        <f>IF(ISNUMBER(SEARCH(Лист2!$B$5,I:I)),1,0)+K5512</f>
        <v>0</v>
      </c>
      <c r="M5512" s="3">
        <f ca="1">IF(AND(N5512&lt;&gt;N5511,ISNUMBER(SEARCH(Лист2!$B$6,N:N)),L5512=2),MAX($M$3:OFFSET(M5512,-1,0))+1,0)</f>
        <v>0</v>
      </c>
      <c r="N5512" s="3" t="s">
        <v>3255</v>
      </c>
    </row>
    <row r="5513" spans="1:14" x14ac:dyDescent="0.25">
      <c r="A5513" s="1" t="s">
        <v>14153</v>
      </c>
      <c r="B5513" s="3" t="s">
        <v>9137</v>
      </c>
      <c r="C5513" s="2">
        <f ca="1">IF(ISNUMBER(SEARCH(Лист2!$B$4,D:D)),MAX($C$3:OFFSET(C5513,-1,0))+1,0)</f>
        <v>0</v>
      </c>
      <c r="E5513" s="9" t="str">
        <f t="shared" ca="1" si="98"/>
        <v/>
      </c>
      <c r="F5513" s="4" t="s">
        <v>3</v>
      </c>
      <c r="G5513" s="2">
        <f>IF(ISNUMBER(SEARCH(Лист2!$B$4,F:F)),1,0)</f>
        <v>0</v>
      </c>
      <c r="H5513" s="3">
        <f ca="1">IF(AND(I5513&lt;&gt;I5512,ISNUMBER(SEARCH(Лист2!$B$5,I:I)),G5513=1),MAX($H$3:OFFSET(H5513,-1,0))+1,0)</f>
        <v>0</v>
      </c>
      <c r="I5513" s="3" t="s">
        <v>445</v>
      </c>
      <c r="K5513" s="2">
        <f>IF(ISNUMBER(SEARCH(Лист2!$B$4,F:F)),1,0)</f>
        <v>0</v>
      </c>
      <c r="L5513" s="14">
        <f>IF(ISNUMBER(SEARCH(Лист2!$B$5,I:I)),1,0)+K5513</f>
        <v>0</v>
      </c>
      <c r="M5513" s="3">
        <f ca="1">IF(AND(N5513&lt;&gt;N5512,ISNUMBER(SEARCH(Лист2!$B$6,N:N)),L5513=2),MAX($M$3:OFFSET(M5513,-1,0))+1,0)</f>
        <v>0</v>
      </c>
      <c r="N5513" s="3" t="s">
        <v>3277</v>
      </c>
    </row>
    <row r="5514" spans="1:14" x14ac:dyDescent="0.25">
      <c r="A5514" s="1" t="s">
        <v>14154</v>
      </c>
      <c r="B5514" s="3" t="s">
        <v>9138</v>
      </c>
      <c r="C5514" s="2">
        <f ca="1">IF(ISNUMBER(SEARCH(Лист2!$B$4,D:D)),MAX($C$3:OFFSET(C5514,-1,0))+1,0)</f>
        <v>0</v>
      </c>
      <c r="E5514" s="9" t="str">
        <f t="shared" ca="1" si="98"/>
        <v/>
      </c>
      <c r="F5514" s="4" t="s">
        <v>3</v>
      </c>
      <c r="G5514" s="2">
        <f>IF(ISNUMBER(SEARCH(Лист2!$B$4,F:F)),1,0)</f>
        <v>0</v>
      </c>
      <c r="H5514" s="3">
        <f ca="1">IF(AND(I5514&lt;&gt;I5513,ISNUMBER(SEARCH(Лист2!$B$5,I:I)),G5514=1),MAX($H$3:OFFSET(H5514,-1,0))+1,0)</f>
        <v>0</v>
      </c>
      <c r="I5514" s="3" t="s">
        <v>445</v>
      </c>
      <c r="K5514" s="2">
        <f>IF(ISNUMBER(SEARCH(Лист2!$B$4,F:F)),1,0)</f>
        <v>0</v>
      </c>
      <c r="L5514" s="14">
        <f>IF(ISNUMBER(SEARCH(Лист2!$B$5,I:I)),1,0)+K5514</f>
        <v>0</v>
      </c>
      <c r="M5514" s="3">
        <f ca="1">IF(AND(N5514&lt;&gt;N5513,ISNUMBER(SEARCH(Лист2!$B$6,N:N)),L5514=2),MAX($M$3:OFFSET(M5514,-1,0))+1,0)</f>
        <v>0</v>
      </c>
      <c r="N5514" s="3" t="s">
        <v>3278</v>
      </c>
    </row>
    <row r="5515" spans="1:14" x14ac:dyDescent="0.25">
      <c r="A5515" s="1" t="s">
        <v>14155</v>
      </c>
      <c r="B5515" s="3" t="s">
        <v>9139</v>
      </c>
      <c r="C5515" s="2">
        <f ca="1">IF(ISNUMBER(SEARCH(Лист2!$B$4,D:D)),MAX($C$3:OFFSET(C5515,-1,0))+1,0)</f>
        <v>0</v>
      </c>
      <c r="E5515" s="9" t="str">
        <f t="shared" ca="1" si="98"/>
        <v/>
      </c>
      <c r="F5515" s="4" t="s">
        <v>3</v>
      </c>
      <c r="G5515" s="2">
        <f>IF(ISNUMBER(SEARCH(Лист2!$B$4,F:F)),1,0)</f>
        <v>0</v>
      </c>
      <c r="H5515" s="3">
        <f ca="1">IF(AND(I5515&lt;&gt;I5514,ISNUMBER(SEARCH(Лист2!$B$5,I:I)),G5515=1),MAX($H$3:OFFSET(H5515,-1,0))+1,0)</f>
        <v>0</v>
      </c>
      <c r="I5515" s="3" t="s">
        <v>445</v>
      </c>
      <c r="K5515" s="2">
        <f>IF(ISNUMBER(SEARCH(Лист2!$B$4,F:F)),1,0)</f>
        <v>0</v>
      </c>
      <c r="L5515" s="14">
        <f>IF(ISNUMBER(SEARCH(Лист2!$B$5,I:I)),1,0)+K5515</f>
        <v>0</v>
      </c>
      <c r="M5515" s="3">
        <f ca="1">IF(AND(N5515&lt;&gt;N5514,ISNUMBER(SEARCH(Лист2!$B$6,N:N)),L5515=2),MAX($M$3:OFFSET(M5515,-1,0))+1,0)</f>
        <v>0</v>
      </c>
      <c r="N5515" s="3" t="s">
        <v>3279</v>
      </c>
    </row>
    <row r="5516" spans="1:14" x14ac:dyDescent="0.25">
      <c r="A5516" s="1" t="s">
        <v>14156</v>
      </c>
      <c r="B5516" s="3" t="s">
        <v>9140</v>
      </c>
      <c r="C5516" s="2">
        <f ca="1">IF(ISNUMBER(SEARCH(Лист2!$B$4,D:D)),MAX($C$3:OFFSET(C5516,-1,0))+1,0)</f>
        <v>0</v>
      </c>
      <c r="E5516" s="9" t="str">
        <f t="shared" ca="1" si="98"/>
        <v/>
      </c>
      <c r="F5516" s="4" t="s">
        <v>15</v>
      </c>
      <c r="G5516" s="2">
        <f>IF(ISNUMBER(SEARCH(Лист2!$B$4,F:F)),1,0)</f>
        <v>0</v>
      </c>
      <c r="H5516" s="3">
        <f ca="1">IF(AND(I5516&lt;&gt;I5515,ISNUMBER(SEARCH(Лист2!$B$5,I:I)),G5516=1),MAX($H$3:OFFSET(H5516,-1,0))+1,0)</f>
        <v>0</v>
      </c>
      <c r="I5516" s="3" t="s">
        <v>445</v>
      </c>
      <c r="K5516" s="2">
        <f>IF(ISNUMBER(SEARCH(Лист2!$B$4,F:F)),1,0)</f>
        <v>0</v>
      </c>
      <c r="L5516" s="14">
        <f>IF(ISNUMBER(SEARCH(Лист2!$B$5,I:I)),1,0)+K5516</f>
        <v>0</v>
      </c>
      <c r="M5516" s="3">
        <f ca="1">IF(AND(N5516&lt;&gt;N5515,ISNUMBER(SEARCH(Лист2!$B$6,N:N)),L5516=2),MAX($M$3:OFFSET(M5516,-1,0))+1,0)</f>
        <v>0</v>
      </c>
      <c r="N5516" s="3" t="s">
        <v>3277</v>
      </c>
    </row>
    <row r="5517" spans="1:14" x14ac:dyDescent="0.25">
      <c r="A5517" s="1" t="s">
        <v>14157</v>
      </c>
      <c r="B5517" s="3" t="s">
        <v>9141</v>
      </c>
      <c r="C5517" s="2">
        <f ca="1">IF(ISNUMBER(SEARCH(Лист2!$B$4,D:D)),MAX($C$3:OFFSET(C5517,-1,0))+1,0)</f>
        <v>0</v>
      </c>
      <c r="E5517" s="9" t="str">
        <f t="shared" ca="1" si="98"/>
        <v/>
      </c>
      <c r="F5517" s="4" t="s">
        <v>15</v>
      </c>
      <c r="G5517" s="2">
        <f>IF(ISNUMBER(SEARCH(Лист2!$B$4,F:F)),1,0)</f>
        <v>0</v>
      </c>
      <c r="H5517" s="3">
        <f ca="1">IF(AND(I5517&lt;&gt;I5516,ISNUMBER(SEARCH(Лист2!$B$5,I:I)),G5517=1),MAX($H$3:OFFSET(H5517,-1,0))+1,0)</f>
        <v>0</v>
      </c>
      <c r="I5517" s="3" t="s">
        <v>445</v>
      </c>
      <c r="K5517" s="2">
        <f>IF(ISNUMBER(SEARCH(Лист2!$B$4,F:F)),1,0)</f>
        <v>0</v>
      </c>
      <c r="L5517" s="14">
        <f>IF(ISNUMBER(SEARCH(Лист2!$B$5,I:I)),1,0)+K5517</f>
        <v>0</v>
      </c>
      <c r="M5517" s="3">
        <f ca="1">IF(AND(N5517&lt;&gt;N5516,ISNUMBER(SEARCH(Лист2!$B$6,N:N)),L5517=2),MAX($M$3:OFFSET(M5517,-1,0))+1,0)</f>
        <v>0</v>
      </c>
      <c r="N5517" s="3" t="s">
        <v>3279</v>
      </c>
    </row>
    <row r="5518" spans="1:14" x14ac:dyDescent="0.25">
      <c r="A5518" s="1" t="s">
        <v>14158</v>
      </c>
      <c r="B5518" s="3" t="s">
        <v>9142</v>
      </c>
      <c r="C5518" s="2">
        <f ca="1">IF(ISNUMBER(SEARCH(Лист2!$B$4,D:D)),MAX($C$3:OFFSET(C5518,-1,0))+1,0)</f>
        <v>0</v>
      </c>
      <c r="E5518" s="9" t="str">
        <f t="shared" ca="1" si="98"/>
        <v/>
      </c>
      <c r="F5518" s="4" t="s">
        <v>13</v>
      </c>
      <c r="G5518" s="2">
        <f>IF(ISNUMBER(SEARCH(Лист2!$B$4,F:F)),1,0)</f>
        <v>0</v>
      </c>
      <c r="H5518" s="3">
        <f ca="1">IF(AND(I5518&lt;&gt;I5517,ISNUMBER(SEARCH(Лист2!$B$5,I:I)),G5518=1),MAX($H$3:OFFSET(H5518,-1,0))+1,0)</f>
        <v>0</v>
      </c>
      <c r="I5518" s="3" t="s">
        <v>445</v>
      </c>
      <c r="K5518" s="2">
        <f>IF(ISNUMBER(SEARCH(Лист2!$B$4,F:F)),1,0)</f>
        <v>0</v>
      </c>
      <c r="L5518" s="14">
        <f>IF(ISNUMBER(SEARCH(Лист2!$B$5,I:I)),1,0)+K5518</f>
        <v>0</v>
      </c>
      <c r="M5518" s="3">
        <f ca="1">IF(AND(N5518&lt;&gt;N5517,ISNUMBER(SEARCH(Лист2!$B$6,N:N)),L5518=2),MAX($M$3:OFFSET(M5518,-1,0))+1,0)</f>
        <v>0</v>
      </c>
      <c r="N5518" s="3" t="s">
        <v>3277</v>
      </c>
    </row>
    <row r="5519" spans="1:14" x14ac:dyDescent="0.25">
      <c r="A5519" s="1" t="s">
        <v>14159</v>
      </c>
      <c r="B5519" s="3" t="s">
        <v>9143</v>
      </c>
      <c r="C5519" s="2">
        <f ca="1">IF(ISNUMBER(SEARCH(Лист2!$B$4,D:D)),MAX($C$3:OFFSET(C5519,-1,0))+1,0)</f>
        <v>0</v>
      </c>
      <c r="E5519" s="9" t="str">
        <f t="shared" ca="1" si="98"/>
        <v/>
      </c>
      <c r="F5519" s="4" t="s">
        <v>13</v>
      </c>
      <c r="G5519" s="2">
        <f>IF(ISNUMBER(SEARCH(Лист2!$B$4,F:F)),1,0)</f>
        <v>0</v>
      </c>
      <c r="H5519" s="3">
        <f ca="1">IF(AND(I5519&lt;&gt;I5518,ISNUMBER(SEARCH(Лист2!$B$5,I:I)),G5519=1),MAX($H$3:OFFSET(H5519,-1,0))+1,0)</f>
        <v>0</v>
      </c>
      <c r="I5519" s="3" t="s">
        <v>445</v>
      </c>
      <c r="K5519" s="2">
        <f>IF(ISNUMBER(SEARCH(Лист2!$B$4,F:F)),1,0)</f>
        <v>0</v>
      </c>
      <c r="L5519" s="14">
        <f>IF(ISNUMBER(SEARCH(Лист2!$B$5,I:I)),1,0)+K5519</f>
        <v>0</v>
      </c>
      <c r="M5519" s="3">
        <f ca="1">IF(AND(N5519&lt;&gt;N5518,ISNUMBER(SEARCH(Лист2!$B$6,N:N)),L5519=2),MAX($M$3:OFFSET(M5519,-1,0))+1,0)</f>
        <v>0</v>
      </c>
      <c r="N5519" s="3" t="s">
        <v>3279</v>
      </c>
    </row>
    <row r="5520" spans="1:14" x14ac:dyDescent="0.25">
      <c r="A5520" s="1" t="s">
        <v>14160</v>
      </c>
      <c r="B5520" s="3" t="s">
        <v>9144</v>
      </c>
      <c r="C5520" s="2">
        <f ca="1">IF(ISNUMBER(SEARCH(Лист2!$B$4,D:D)),MAX($C$3:OFFSET(C5520,-1,0))+1,0)</f>
        <v>0</v>
      </c>
      <c r="E5520" s="9" t="str">
        <f t="shared" ca="1" si="98"/>
        <v/>
      </c>
      <c r="F5520" s="4" t="s">
        <v>14</v>
      </c>
      <c r="G5520" s="2">
        <f>IF(ISNUMBER(SEARCH(Лист2!$B$4,F:F)),1,0)</f>
        <v>0</v>
      </c>
      <c r="H5520" s="3">
        <f ca="1">IF(AND(I5520&lt;&gt;I5519,ISNUMBER(SEARCH(Лист2!$B$5,I:I)),G5520=1),MAX($H$3:OFFSET(H5520,-1,0))+1,0)</f>
        <v>0</v>
      </c>
      <c r="I5520" s="3" t="s">
        <v>445</v>
      </c>
      <c r="K5520" s="2">
        <f>IF(ISNUMBER(SEARCH(Лист2!$B$4,F:F)),1,0)</f>
        <v>0</v>
      </c>
      <c r="L5520" s="14">
        <f>IF(ISNUMBER(SEARCH(Лист2!$B$5,I:I)),1,0)+K5520</f>
        <v>0</v>
      </c>
      <c r="M5520" s="3">
        <f ca="1">IF(AND(N5520&lt;&gt;N5519,ISNUMBER(SEARCH(Лист2!$B$6,N:N)),L5520=2),MAX($M$3:OFFSET(M5520,-1,0))+1,0)</f>
        <v>0</v>
      </c>
      <c r="N5520" s="3" t="s">
        <v>3255</v>
      </c>
    </row>
    <row r="5521" spans="1:14" x14ac:dyDescent="0.25">
      <c r="A5521" s="1" t="s">
        <v>14161</v>
      </c>
      <c r="B5521" s="3" t="s">
        <v>9145</v>
      </c>
      <c r="C5521" s="2">
        <f ca="1">IF(ISNUMBER(SEARCH(Лист2!$B$4,D:D)),MAX($C$3:OFFSET(C5521,-1,0))+1,0)</f>
        <v>0</v>
      </c>
      <c r="E5521" s="9" t="str">
        <f t="shared" ca="1" si="98"/>
        <v/>
      </c>
      <c r="F5521" s="4" t="s">
        <v>14</v>
      </c>
      <c r="G5521" s="2">
        <f>IF(ISNUMBER(SEARCH(Лист2!$B$4,F:F)),1,0)</f>
        <v>0</v>
      </c>
      <c r="H5521" s="3">
        <f ca="1">IF(AND(I5521&lt;&gt;I5520,ISNUMBER(SEARCH(Лист2!$B$5,I:I)),G5521=1),MAX($H$3:OFFSET(H5521,-1,0))+1,0)</f>
        <v>0</v>
      </c>
      <c r="I5521" s="3" t="s">
        <v>445</v>
      </c>
      <c r="K5521" s="2">
        <f>IF(ISNUMBER(SEARCH(Лист2!$B$4,F:F)),1,0)</f>
        <v>0</v>
      </c>
      <c r="L5521" s="14">
        <f>IF(ISNUMBER(SEARCH(Лист2!$B$5,I:I)),1,0)+K5521</f>
        <v>0</v>
      </c>
      <c r="M5521" s="3">
        <f ca="1">IF(AND(N5521&lt;&gt;N5520,ISNUMBER(SEARCH(Лист2!$B$6,N:N)),L5521=2),MAX($M$3:OFFSET(M5521,-1,0))+1,0)</f>
        <v>0</v>
      </c>
      <c r="N5521" s="3" t="s">
        <v>3277</v>
      </c>
    </row>
    <row r="5522" spans="1:14" x14ac:dyDescent="0.25">
      <c r="A5522" s="1" t="s">
        <v>14162</v>
      </c>
      <c r="B5522" s="3" t="s">
        <v>9146</v>
      </c>
      <c r="C5522" s="2">
        <f ca="1">IF(ISNUMBER(SEARCH(Лист2!$B$4,D:D)),MAX($C$3:OFFSET(C5522,-1,0))+1,0)</f>
        <v>0</v>
      </c>
      <c r="E5522" s="9" t="str">
        <f t="shared" ca="1" si="98"/>
        <v/>
      </c>
      <c r="F5522" s="4" t="s">
        <v>14</v>
      </c>
      <c r="G5522" s="2">
        <f>IF(ISNUMBER(SEARCH(Лист2!$B$4,F:F)),1,0)</f>
        <v>0</v>
      </c>
      <c r="H5522" s="3">
        <f ca="1">IF(AND(I5522&lt;&gt;I5521,ISNUMBER(SEARCH(Лист2!$B$5,I:I)),G5522=1),MAX($H$3:OFFSET(H5522,-1,0))+1,0)</f>
        <v>0</v>
      </c>
      <c r="I5522" s="3" t="s">
        <v>445</v>
      </c>
      <c r="K5522" s="2">
        <f>IF(ISNUMBER(SEARCH(Лист2!$B$4,F:F)),1,0)</f>
        <v>0</v>
      </c>
      <c r="L5522" s="14">
        <f>IF(ISNUMBER(SEARCH(Лист2!$B$5,I:I)),1,0)+K5522</f>
        <v>0</v>
      </c>
      <c r="M5522" s="3">
        <f ca="1">IF(AND(N5522&lt;&gt;N5521,ISNUMBER(SEARCH(Лист2!$B$6,N:N)),L5522=2),MAX($M$3:OFFSET(M5522,-1,0))+1,0)</f>
        <v>0</v>
      </c>
      <c r="N5522" s="3" t="s">
        <v>3279</v>
      </c>
    </row>
    <row r="5523" spans="1:14" x14ac:dyDescent="0.25">
      <c r="A5523" s="1" t="s">
        <v>14163</v>
      </c>
      <c r="B5523" s="3" t="s">
        <v>9147</v>
      </c>
      <c r="C5523" s="2">
        <f ca="1">IF(ISNUMBER(SEARCH(Лист2!$B$4,D:D)),MAX($C$3:OFFSET(C5523,-1,0))+1,0)</f>
        <v>0</v>
      </c>
      <c r="E5523" s="9" t="str">
        <f t="shared" ca="1" si="98"/>
        <v/>
      </c>
      <c r="F5523" s="4" t="s">
        <v>32</v>
      </c>
      <c r="G5523" s="2">
        <f>IF(ISNUMBER(SEARCH(Лист2!$B$4,F:F)),1,0)</f>
        <v>0</v>
      </c>
      <c r="H5523" s="3">
        <f ca="1">IF(AND(I5523&lt;&gt;I5522,ISNUMBER(SEARCH(Лист2!$B$5,I:I)),G5523=1),MAX($H$3:OFFSET(H5523,-1,0))+1,0)</f>
        <v>0</v>
      </c>
      <c r="I5523" s="3" t="s">
        <v>445</v>
      </c>
      <c r="K5523" s="2">
        <f>IF(ISNUMBER(SEARCH(Лист2!$B$4,F:F)),1,0)</f>
        <v>0</v>
      </c>
      <c r="L5523" s="14">
        <f>IF(ISNUMBER(SEARCH(Лист2!$B$5,I:I)),1,0)+K5523</f>
        <v>0</v>
      </c>
      <c r="M5523" s="3">
        <f ca="1">IF(AND(N5523&lt;&gt;N5522,ISNUMBER(SEARCH(Лист2!$B$6,N:N)),L5523=2),MAX($M$3:OFFSET(M5523,-1,0))+1,0)</f>
        <v>0</v>
      </c>
      <c r="N5523" s="3" t="s">
        <v>3255</v>
      </c>
    </row>
    <row r="5524" spans="1:14" x14ac:dyDescent="0.25">
      <c r="A5524" s="1" t="s">
        <v>14164</v>
      </c>
      <c r="B5524" s="3" t="s">
        <v>9148</v>
      </c>
      <c r="C5524" s="2">
        <f ca="1">IF(ISNUMBER(SEARCH(Лист2!$B$4,D:D)),MAX($C$3:OFFSET(C5524,-1,0))+1,0)</f>
        <v>0</v>
      </c>
      <c r="E5524" s="9" t="str">
        <f t="shared" ca="1" si="98"/>
        <v/>
      </c>
      <c r="F5524" s="4" t="s">
        <v>32</v>
      </c>
      <c r="G5524" s="2">
        <f>IF(ISNUMBER(SEARCH(Лист2!$B$4,F:F)),1,0)</f>
        <v>0</v>
      </c>
      <c r="H5524" s="3">
        <f ca="1">IF(AND(I5524&lt;&gt;I5523,ISNUMBER(SEARCH(Лист2!$B$5,I:I)),G5524=1),MAX($H$3:OFFSET(H5524,-1,0))+1,0)</f>
        <v>0</v>
      </c>
      <c r="I5524" s="3" t="s">
        <v>445</v>
      </c>
      <c r="K5524" s="2">
        <f>IF(ISNUMBER(SEARCH(Лист2!$B$4,F:F)),1,0)</f>
        <v>0</v>
      </c>
      <c r="L5524" s="14">
        <f>IF(ISNUMBER(SEARCH(Лист2!$B$5,I:I)),1,0)+K5524</f>
        <v>0</v>
      </c>
      <c r="M5524" s="3">
        <f ca="1">IF(AND(N5524&lt;&gt;N5523,ISNUMBER(SEARCH(Лист2!$B$6,N:N)),L5524=2),MAX($M$3:OFFSET(M5524,-1,0))+1,0)</f>
        <v>0</v>
      </c>
      <c r="N5524" s="3" t="s">
        <v>3277</v>
      </c>
    </row>
    <row r="5525" spans="1:14" x14ac:dyDescent="0.25">
      <c r="A5525" s="1" t="s">
        <v>14165</v>
      </c>
      <c r="B5525" s="3" t="s">
        <v>9149</v>
      </c>
      <c r="C5525" s="2">
        <f ca="1">IF(ISNUMBER(SEARCH(Лист2!$B$4,D:D)),MAX($C$3:OFFSET(C5525,-1,0))+1,0)</f>
        <v>0</v>
      </c>
      <c r="E5525" s="9" t="str">
        <f t="shared" ca="1" si="98"/>
        <v/>
      </c>
      <c r="F5525" s="4" t="s">
        <v>32</v>
      </c>
      <c r="G5525" s="2">
        <f>IF(ISNUMBER(SEARCH(Лист2!$B$4,F:F)),1,0)</f>
        <v>0</v>
      </c>
      <c r="H5525" s="3">
        <f ca="1">IF(AND(I5525&lt;&gt;I5524,ISNUMBER(SEARCH(Лист2!$B$5,I:I)),G5525=1),MAX($H$3:OFFSET(H5525,-1,0))+1,0)</f>
        <v>0</v>
      </c>
      <c r="I5525" s="3" t="s">
        <v>445</v>
      </c>
      <c r="K5525" s="2">
        <f>IF(ISNUMBER(SEARCH(Лист2!$B$4,F:F)),1,0)</f>
        <v>0</v>
      </c>
      <c r="L5525" s="14">
        <f>IF(ISNUMBER(SEARCH(Лист2!$B$5,I:I)),1,0)+K5525</f>
        <v>0</v>
      </c>
      <c r="M5525" s="3">
        <f ca="1">IF(AND(N5525&lt;&gt;N5524,ISNUMBER(SEARCH(Лист2!$B$6,N:N)),L5525=2),MAX($M$3:OFFSET(M5525,-1,0))+1,0)</f>
        <v>0</v>
      </c>
      <c r="N5525" s="3" t="s">
        <v>3278</v>
      </c>
    </row>
    <row r="5526" spans="1:14" x14ac:dyDescent="0.25">
      <c r="A5526" s="1" t="s">
        <v>14166</v>
      </c>
      <c r="B5526" s="3" t="s">
        <v>9150</v>
      </c>
      <c r="C5526" s="2">
        <f ca="1">IF(ISNUMBER(SEARCH(Лист2!$B$4,D:D)),MAX($C$3:OFFSET(C5526,-1,0))+1,0)</f>
        <v>0</v>
      </c>
      <c r="E5526" s="9" t="str">
        <f t="shared" ca="1" si="98"/>
        <v/>
      </c>
      <c r="F5526" s="4" t="s">
        <v>32</v>
      </c>
      <c r="G5526" s="2">
        <f>IF(ISNUMBER(SEARCH(Лист2!$B$4,F:F)),1,0)</f>
        <v>0</v>
      </c>
      <c r="H5526" s="3">
        <f ca="1">IF(AND(I5526&lt;&gt;I5525,ISNUMBER(SEARCH(Лист2!$B$5,I:I)),G5526=1),MAX($H$3:OFFSET(H5526,-1,0))+1,0)</f>
        <v>0</v>
      </c>
      <c r="I5526" s="3" t="s">
        <v>445</v>
      </c>
      <c r="K5526" s="2">
        <f>IF(ISNUMBER(SEARCH(Лист2!$B$4,F:F)),1,0)</f>
        <v>0</v>
      </c>
      <c r="L5526" s="14">
        <f>IF(ISNUMBER(SEARCH(Лист2!$B$5,I:I)),1,0)+K5526</f>
        <v>0</v>
      </c>
      <c r="M5526" s="3">
        <f ca="1">IF(AND(N5526&lt;&gt;N5525,ISNUMBER(SEARCH(Лист2!$B$6,N:N)),L5526=2),MAX($M$3:OFFSET(M5526,-1,0))+1,0)</f>
        <v>0</v>
      </c>
      <c r="N5526" s="3" t="s">
        <v>3279</v>
      </c>
    </row>
    <row r="5527" spans="1:14" x14ac:dyDescent="0.25">
      <c r="A5527" s="1" t="s">
        <v>14167</v>
      </c>
      <c r="B5527" s="3" t="s">
        <v>9151</v>
      </c>
      <c r="C5527" s="2">
        <f ca="1">IF(ISNUMBER(SEARCH(Лист2!$B$4,D:D)),MAX($C$3:OFFSET(C5527,-1,0))+1,0)</f>
        <v>0</v>
      </c>
      <c r="E5527" s="9" t="str">
        <f t="shared" ca="1" si="98"/>
        <v/>
      </c>
      <c r="F5527" s="4" t="s">
        <v>4</v>
      </c>
      <c r="G5527" s="2">
        <f>IF(ISNUMBER(SEARCH(Лист2!$B$4,F:F)),1,0)</f>
        <v>0</v>
      </c>
      <c r="H5527" s="3">
        <f ca="1">IF(AND(I5527&lt;&gt;I5526,ISNUMBER(SEARCH(Лист2!$B$5,I:I)),G5527=1),MAX($H$3:OFFSET(H5527,-1,0))+1,0)</f>
        <v>0</v>
      </c>
      <c r="I5527" s="3" t="s">
        <v>445</v>
      </c>
      <c r="K5527" s="2">
        <f>IF(ISNUMBER(SEARCH(Лист2!$B$4,F:F)),1,0)</f>
        <v>0</v>
      </c>
      <c r="L5527" s="14">
        <f>IF(ISNUMBER(SEARCH(Лист2!$B$5,I:I)),1,0)+K5527</f>
        <v>0</v>
      </c>
      <c r="M5527" s="3">
        <f ca="1">IF(AND(N5527&lt;&gt;N5526,ISNUMBER(SEARCH(Лист2!$B$6,N:N)),L5527=2),MAX($M$3:OFFSET(M5527,-1,0))+1,0)</f>
        <v>0</v>
      </c>
      <c r="N5527" s="3" t="s">
        <v>3255</v>
      </c>
    </row>
    <row r="5528" spans="1:14" x14ac:dyDescent="0.25">
      <c r="A5528" s="1" t="s">
        <v>14168</v>
      </c>
      <c r="B5528" s="3" t="s">
        <v>9152</v>
      </c>
      <c r="C5528" s="2">
        <f ca="1">IF(ISNUMBER(SEARCH(Лист2!$B$4,D:D)),MAX($C$3:OFFSET(C5528,-1,0))+1,0)</f>
        <v>0</v>
      </c>
      <c r="E5528" s="9" t="str">
        <f t="shared" ca="1" si="98"/>
        <v/>
      </c>
      <c r="F5528" s="4" t="s">
        <v>4</v>
      </c>
      <c r="G5528" s="2">
        <f>IF(ISNUMBER(SEARCH(Лист2!$B$4,F:F)),1,0)</f>
        <v>0</v>
      </c>
      <c r="H5528" s="3">
        <f ca="1">IF(AND(I5528&lt;&gt;I5527,ISNUMBER(SEARCH(Лист2!$B$5,I:I)),G5528=1),MAX($H$3:OFFSET(H5528,-1,0))+1,0)</f>
        <v>0</v>
      </c>
      <c r="I5528" s="3" t="s">
        <v>445</v>
      </c>
      <c r="K5528" s="2">
        <f>IF(ISNUMBER(SEARCH(Лист2!$B$4,F:F)),1,0)</f>
        <v>0</v>
      </c>
      <c r="L5528" s="14">
        <f>IF(ISNUMBER(SEARCH(Лист2!$B$5,I:I)),1,0)+K5528</f>
        <v>0</v>
      </c>
      <c r="M5528" s="3">
        <f ca="1">IF(AND(N5528&lt;&gt;N5527,ISNUMBER(SEARCH(Лист2!$B$6,N:N)),L5528=2),MAX($M$3:OFFSET(M5528,-1,0))+1,0)</f>
        <v>0</v>
      </c>
      <c r="N5528" s="3" t="s">
        <v>3278</v>
      </c>
    </row>
    <row r="5529" spans="1:14" x14ac:dyDescent="0.25">
      <c r="A5529" s="1" t="s">
        <v>14169</v>
      </c>
      <c r="B5529" s="3" t="s">
        <v>9153</v>
      </c>
      <c r="C5529" s="2">
        <f ca="1">IF(ISNUMBER(SEARCH(Лист2!$B$4,D:D)),MAX($C$3:OFFSET(C5529,-1,0))+1,0)</f>
        <v>0</v>
      </c>
      <c r="E5529" s="9" t="str">
        <f t="shared" ca="1" si="98"/>
        <v/>
      </c>
      <c r="F5529" s="4" t="s">
        <v>4</v>
      </c>
      <c r="G5529" s="2">
        <f>IF(ISNUMBER(SEARCH(Лист2!$B$4,F:F)),1,0)</f>
        <v>0</v>
      </c>
      <c r="H5529" s="3">
        <f ca="1">IF(AND(I5529&lt;&gt;I5528,ISNUMBER(SEARCH(Лист2!$B$5,I:I)),G5529=1),MAX($H$3:OFFSET(H5529,-1,0))+1,0)</f>
        <v>0</v>
      </c>
      <c r="I5529" s="3" t="s">
        <v>445</v>
      </c>
      <c r="K5529" s="2">
        <f>IF(ISNUMBER(SEARCH(Лист2!$B$4,F:F)),1,0)</f>
        <v>0</v>
      </c>
      <c r="L5529" s="14">
        <f>IF(ISNUMBER(SEARCH(Лист2!$B$5,I:I)),1,0)+K5529</f>
        <v>0</v>
      </c>
      <c r="M5529" s="3">
        <f ca="1">IF(AND(N5529&lt;&gt;N5528,ISNUMBER(SEARCH(Лист2!$B$6,N:N)),L5529=2),MAX($M$3:OFFSET(M5529,-1,0))+1,0)</f>
        <v>0</v>
      </c>
      <c r="N5529" s="3" t="s">
        <v>3280</v>
      </c>
    </row>
    <row r="5530" spans="1:14" x14ac:dyDescent="0.25">
      <c r="A5530" s="1" t="s">
        <v>14170</v>
      </c>
      <c r="B5530" s="3" t="s">
        <v>9154</v>
      </c>
      <c r="C5530" s="2">
        <f ca="1">IF(ISNUMBER(SEARCH(Лист2!$B$4,D:D)),MAX($C$3:OFFSET(C5530,-1,0))+1,0)</f>
        <v>0</v>
      </c>
      <c r="E5530" s="9" t="str">
        <f t="shared" ca="1" si="98"/>
        <v/>
      </c>
      <c r="F5530" s="4" t="s">
        <v>4</v>
      </c>
      <c r="G5530" s="2">
        <f>IF(ISNUMBER(SEARCH(Лист2!$B$4,F:F)),1,0)</f>
        <v>0</v>
      </c>
      <c r="H5530" s="3">
        <f ca="1">IF(AND(I5530&lt;&gt;I5529,ISNUMBER(SEARCH(Лист2!$B$5,I:I)),G5530=1),MAX($H$3:OFFSET(H5530,-1,0))+1,0)</f>
        <v>0</v>
      </c>
      <c r="I5530" s="3" t="s">
        <v>445</v>
      </c>
      <c r="K5530" s="2">
        <f>IF(ISNUMBER(SEARCH(Лист2!$B$4,F:F)),1,0)</f>
        <v>0</v>
      </c>
      <c r="L5530" s="14">
        <f>IF(ISNUMBER(SEARCH(Лист2!$B$5,I:I)),1,0)+K5530</f>
        <v>0</v>
      </c>
      <c r="M5530" s="3">
        <f ca="1">IF(AND(N5530&lt;&gt;N5529,ISNUMBER(SEARCH(Лист2!$B$6,N:N)),L5530=2),MAX($M$3:OFFSET(M5530,-1,0))+1,0)</f>
        <v>0</v>
      </c>
      <c r="N5530" s="3" t="s">
        <v>3279</v>
      </c>
    </row>
    <row r="5531" spans="1:14" x14ac:dyDescent="0.25">
      <c r="A5531" s="1" t="s">
        <v>14171</v>
      </c>
      <c r="B5531" s="3" t="s">
        <v>9155</v>
      </c>
      <c r="C5531" s="2">
        <f ca="1">IF(ISNUMBER(SEARCH(Лист2!$B$4,D:D)),MAX($C$3:OFFSET(C5531,-1,0))+1,0)</f>
        <v>0</v>
      </c>
      <c r="E5531" s="9" t="str">
        <f t="shared" ca="1" si="98"/>
        <v/>
      </c>
      <c r="F5531" s="4" t="s">
        <v>28</v>
      </c>
      <c r="G5531" s="2">
        <f>IF(ISNUMBER(SEARCH(Лист2!$B$4,F:F)),1,0)</f>
        <v>0</v>
      </c>
      <c r="H5531" s="3">
        <f ca="1">IF(AND(I5531&lt;&gt;I5530,ISNUMBER(SEARCH(Лист2!$B$5,I:I)),G5531=1),MAX($H$3:OFFSET(H5531,-1,0))+1,0)</f>
        <v>0</v>
      </c>
      <c r="I5531" s="3" t="s">
        <v>445</v>
      </c>
      <c r="K5531" s="2">
        <f>IF(ISNUMBER(SEARCH(Лист2!$B$4,F:F)),1,0)</f>
        <v>0</v>
      </c>
      <c r="L5531" s="14">
        <f>IF(ISNUMBER(SEARCH(Лист2!$B$5,I:I)),1,0)+K5531</f>
        <v>0</v>
      </c>
      <c r="M5531" s="3">
        <f ca="1">IF(AND(N5531&lt;&gt;N5530,ISNUMBER(SEARCH(Лист2!$B$6,N:N)),L5531=2),MAX($M$3:OFFSET(M5531,-1,0))+1,0)</f>
        <v>0</v>
      </c>
      <c r="N5531" s="3" t="s">
        <v>3281</v>
      </c>
    </row>
    <row r="5532" spans="1:14" x14ac:dyDescent="0.25">
      <c r="A5532" s="1" t="s">
        <v>14172</v>
      </c>
      <c r="B5532" s="3" t="s">
        <v>9156</v>
      </c>
      <c r="C5532" s="2">
        <f ca="1">IF(ISNUMBER(SEARCH(Лист2!$B$4,D:D)),MAX($C$3:OFFSET(C5532,-1,0))+1,0)</f>
        <v>0</v>
      </c>
      <c r="E5532" s="9" t="str">
        <f t="shared" ca="1" si="98"/>
        <v/>
      </c>
      <c r="F5532" s="4" t="s">
        <v>28</v>
      </c>
      <c r="G5532" s="2">
        <f>IF(ISNUMBER(SEARCH(Лист2!$B$4,F:F)),1,0)</f>
        <v>0</v>
      </c>
      <c r="H5532" s="3">
        <f ca="1">IF(AND(I5532&lt;&gt;I5531,ISNUMBER(SEARCH(Лист2!$B$5,I:I)),G5532=1),MAX($H$3:OFFSET(H5532,-1,0))+1,0)</f>
        <v>0</v>
      </c>
      <c r="I5532" s="3" t="s">
        <v>445</v>
      </c>
      <c r="K5532" s="2">
        <f>IF(ISNUMBER(SEARCH(Лист2!$B$4,F:F)),1,0)</f>
        <v>0</v>
      </c>
      <c r="L5532" s="14">
        <f>IF(ISNUMBER(SEARCH(Лист2!$B$5,I:I)),1,0)+K5532</f>
        <v>0</v>
      </c>
      <c r="M5532" s="3">
        <f ca="1">IF(AND(N5532&lt;&gt;N5531,ISNUMBER(SEARCH(Лист2!$B$6,N:N)),L5532=2),MAX($M$3:OFFSET(M5532,-1,0))+1,0)</f>
        <v>0</v>
      </c>
      <c r="N5532" s="3" t="s">
        <v>3282</v>
      </c>
    </row>
    <row r="5533" spans="1:14" x14ac:dyDescent="0.25">
      <c r="A5533" s="1" t="s">
        <v>14173</v>
      </c>
      <c r="B5533" s="3" t="s">
        <v>9157</v>
      </c>
      <c r="C5533" s="2">
        <f ca="1">IF(ISNUMBER(SEARCH(Лист2!$B$4,D:D)),MAX($C$3:OFFSET(C5533,-1,0))+1,0)</f>
        <v>0</v>
      </c>
      <c r="E5533" s="9" t="str">
        <f t="shared" ca="1" si="98"/>
        <v/>
      </c>
      <c r="F5533" s="4" t="s">
        <v>7</v>
      </c>
      <c r="G5533" s="2">
        <f>IF(ISNUMBER(SEARCH(Лист2!$B$4,F:F)),1,0)</f>
        <v>0</v>
      </c>
      <c r="H5533" s="3">
        <f ca="1">IF(AND(I5533&lt;&gt;I5532,ISNUMBER(SEARCH(Лист2!$B$5,I:I)),G5533=1),MAX($H$3:OFFSET(H5533,-1,0))+1,0)</f>
        <v>0</v>
      </c>
      <c r="I5533" s="3" t="s">
        <v>445</v>
      </c>
      <c r="K5533" s="2">
        <f>IF(ISNUMBER(SEARCH(Лист2!$B$4,F:F)),1,0)</f>
        <v>0</v>
      </c>
      <c r="L5533" s="14">
        <f>IF(ISNUMBER(SEARCH(Лист2!$B$5,I:I)),1,0)+K5533</f>
        <v>0</v>
      </c>
      <c r="M5533" s="3">
        <f ca="1">IF(AND(N5533&lt;&gt;N5532,ISNUMBER(SEARCH(Лист2!$B$6,N:N)),L5533=2),MAX($M$3:OFFSET(M5533,-1,0))+1,0)</f>
        <v>0</v>
      </c>
      <c r="N5533" s="3" t="s">
        <v>3281</v>
      </c>
    </row>
    <row r="5534" spans="1:14" x14ac:dyDescent="0.25">
      <c r="A5534" s="1" t="s">
        <v>14174</v>
      </c>
      <c r="B5534" s="3" t="s">
        <v>9158</v>
      </c>
      <c r="C5534" s="2">
        <f ca="1">IF(ISNUMBER(SEARCH(Лист2!$B$4,D:D)),MAX($C$3:OFFSET(C5534,-1,0))+1,0)</f>
        <v>0</v>
      </c>
      <c r="E5534" s="9" t="str">
        <f t="shared" ca="1" si="98"/>
        <v/>
      </c>
      <c r="F5534" s="4" t="s">
        <v>7</v>
      </c>
      <c r="G5534" s="2">
        <f>IF(ISNUMBER(SEARCH(Лист2!$B$4,F:F)),1,0)</f>
        <v>0</v>
      </c>
      <c r="H5534" s="3">
        <f ca="1">IF(AND(I5534&lt;&gt;I5533,ISNUMBER(SEARCH(Лист2!$B$5,I:I)),G5534=1),MAX($H$3:OFFSET(H5534,-1,0))+1,0)</f>
        <v>0</v>
      </c>
      <c r="I5534" s="3" t="s">
        <v>445</v>
      </c>
      <c r="K5534" s="2">
        <f>IF(ISNUMBER(SEARCH(Лист2!$B$4,F:F)),1,0)</f>
        <v>0</v>
      </c>
      <c r="L5534" s="14">
        <f>IF(ISNUMBER(SEARCH(Лист2!$B$5,I:I)),1,0)+K5534</f>
        <v>0</v>
      </c>
      <c r="M5534" s="3">
        <f ca="1">IF(AND(N5534&lt;&gt;N5533,ISNUMBER(SEARCH(Лист2!$B$6,N:N)),L5534=2),MAX($M$3:OFFSET(M5534,-1,0))+1,0)</f>
        <v>0</v>
      </c>
      <c r="N5534" s="3" t="s">
        <v>3282</v>
      </c>
    </row>
    <row r="5535" spans="1:14" x14ac:dyDescent="0.25">
      <c r="A5535" s="1" t="s">
        <v>14175</v>
      </c>
      <c r="B5535" s="3" t="s">
        <v>9159</v>
      </c>
      <c r="C5535" s="2">
        <f ca="1">IF(ISNUMBER(SEARCH(Лист2!$B$4,D:D)),MAX($C$3:OFFSET(C5535,-1,0))+1,0)</f>
        <v>0</v>
      </c>
      <c r="E5535" s="9" t="str">
        <f t="shared" ca="1" si="98"/>
        <v/>
      </c>
      <c r="F5535" s="4" t="s">
        <v>16</v>
      </c>
      <c r="G5535" s="2">
        <f>IF(ISNUMBER(SEARCH(Лист2!$B$4,F:F)),1,0)</f>
        <v>0</v>
      </c>
      <c r="H5535" s="3">
        <f ca="1">IF(AND(I5535&lt;&gt;I5534,ISNUMBER(SEARCH(Лист2!$B$5,I:I)),G5535=1),MAX($H$3:OFFSET(H5535,-1,0))+1,0)</f>
        <v>0</v>
      </c>
      <c r="I5535" s="3" t="s">
        <v>445</v>
      </c>
      <c r="K5535" s="2">
        <f>IF(ISNUMBER(SEARCH(Лист2!$B$4,F:F)),1,0)</f>
        <v>0</v>
      </c>
      <c r="L5535" s="14">
        <f>IF(ISNUMBER(SEARCH(Лист2!$B$5,I:I)),1,0)+K5535</f>
        <v>0</v>
      </c>
      <c r="M5535" s="3">
        <f ca="1">IF(AND(N5535&lt;&gt;N5534,ISNUMBER(SEARCH(Лист2!$B$6,N:N)),L5535=2),MAX($M$3:OFFSET(M5535,-1,0))+1,0)</f>
        <v>0</v>
      </c>
      <c r="N5535" s="3" t="s">
        <v>3277</v>
      </c>
    </row>
    <row r="5536" spans="1:14" x14ac:dyDescent="0.25">
      <c r="A5536" s="1" t="s">
        <v>14176</v>
      </c>
      <c r="B5536" s="3" t="s">
        <v>9160</v>
      </c>
      <c r="C5536" s="2">
        <f ca="1">IF(ISNUMBER(SEARCH(Лист2!$B$4,D:D)),MAX($C$3:OFFSET(C5536,-1,0))+1,0)</f>
        <v>0</v>
      </c>
      <c r="E5536" s="9" t="str">
        <f t="shared" ca="1" si="98"/>
        <v/>
      </c>
      <c r="F5536" s="4" t="s">
        <v>16</v>
      </c>
      <c r="G5536" s="2">
        <f>IF(ISNUMBER(SEARCH(Лист2!$B$4,F:F)),1,0)</f>
        <v>0</v>
      </c>
      <c r="H5536" s="3">
        <f ca="1">IF(AND(I5536&lt;&gt;I5535,ISNUMBER(SEARCH(Лист2!$B$5,I:I)),G5536=1),MAX($H$3:OFFSET(H5536,-1,0))+1,0)</f>
        <v>0</v>
      </c>
      <c r="I5536" s="3" t="s">
        <v>445</v>
      </c>
      <c r="K5536" s="2">
        <f>IF(ISNUMBER(SEARCH(Лист2!$B$4,F:F)),1,0)</f>
        <v>0</v>
      </c>
      <c r="L5536" s="14">
        <f>IF(ISNUMBER(SEARCH(Лист2!$B$5,I:I)),1,0)+K5536</f>
        <v>0</v>
      </c>
      <c r="M5536" s="3">
        <f ca="1">IF(AND(N5536&lt;&gt;N5535,ISNUMBER(SEARCH(Лист2!$B$6,N:N)),L5536=2),MAX($M$3:OFFSET(M5536,-1,0))+1,0)</f>
        <v>0</v>
      </c>
      <c r="N5536" s="3" t="s">
        <v>3282</v>
      </c>
    </row>
    <row r="5537" spans="1:14" x14ac:dyDescent="0.25">
      <c r="A5537" s="1" t="s">
        <v>14177</v>
      </c>
      <c r="B5537" s="3" t="s">
        <v>9161</v>
      </c>
      <c r="C5537" s="2">
        <f ca="1">IF(ISNUMBER(SEARCH(Лист2!$B$4,D:D)),MAX($C$3:OFFSET(C5537,-1,0))+1,0)</f>
        <v>0</v>
      </c>
      <c r="E5537" s="9" t="str">
        <f t="shared" ca="1" si="98"/>
        <v/>
      </c>
      <c r="F5537" s="4" t="s">
        <v>0</v>
      </c>
      <c r="G5537" s="2">
        <f>IF(ISNUMBER(SEARCH(Лист2!$B$4,F:F)),1,0)</f>
        <v>0</v>
      </c>
      <c r="H5537" s="3">
        <f ca="1">IF(AND(I5537&lt;&gt;I5536,ISNUMBER(SEARCH(Лист2!$B$5,I:I)),G5537=1),MAX($H$3:OFFSET(H5537,-1,0))+1,0)</f>
        <v>0</v>
      </c>
      <c r="I5537" s="3" t="s">
        <v>445</v>
      </c>
      <c r="K5537" s="2">
        <f>IF(ISNUMBER(SEARCH(Лист2!$B$4,F:F)),1,0)</f>
        <v>0</v>
      </c>
      <c r="L5537" s="14">
        <f>IF(ISNUMBER(SEARCH(Лист2!$B$5,I:I)),1,0)+K5537</f>
        <v>0</v>
      </c>
      <c r="M5537" s="3">
        <f ca="1">IF(AND(N5537&lt;&gt;N5536,ISNUMBER(SEARCH(Лист2!$B$6,N:N)),L5537=2),MAX($M$3:OFFSET(M5537,-1,0))+1,0)</f>
        <v>0</v>
      </c>
      <c r="N5537" s="3" t="s">
        <v>3282</v>
      </c>
    </row>
    <row r="5538" spans="1:14" x14ac:dyDescent="0.25">
      <c r="A5538" s="1" t="s">
        <v>14178</v>
      </c>
      <c r="B5538" s="3" t="s">
        <v>9162</v>
      </c>
      <c r="C5538" s="2">
        <f ca="1">IF(ISNUMBER(SEARCH(Лист2!$B$4,D:D)),MAX($C$3:OFFSET(C5538,-1,0))+1,0)</f>
        <v>0</v>
      </c>
      <c r="E5538" s="9" t="str">
        <f t="shared" ca="1" si="98"/>
        <v/>
      </c>
      <c r="F5538" s="4" t="s">
        <v>1</v>
      </c>
      <c r="G5538" s="2">
        <f>IF(ISNUMBER(SEARCH(Лист2!$B$4,F:F)),1,0)</f>
        <v>0</v>
      </c>
      <c r="H5538" s="3">
        <f ca="1">IF(AND(I5538&lt;&gt;I5537,ISNUMBER(SEARCH(Лист2!$B$5,I:I)),G5538=1),MAX($H$3:OFFSET(H5538,-1,0))+1,0)</f>
        <v>0</v>
      </c>
      <c r="I5538" s="3" t="s">
        <v>445</v>
      </c>
      <c r="K5538" s="2">
        <f>IF(ISNUMBER(SEARCH(Лист2!$B$4,F:F)),1,0)</f>
        <v>0</v>
      </c>
      <c r="L5538" s="14">
        <f>IF(ISNUMBER(SEARCH(Лист2!$B$5,I:I)),1,0)+K5538</f>
        <v>0</v>
      </c>
      <c r="M5538" s="3">
        <f ca="1">IF(AND(N5538&lt;&gt;N5537,ISNUMBER(SEARCH(Лист2!$B$6,N:N)),L5538=2),MAX($M$3:OFFSET(M5538,-1,0))+1,0)</f>
        <v>0</v>
      </c>
      <c r="N5538" s="3" t="s">
        <v>3282</v>
      </c>
    </row>
    <row r="5539" spans="1:14" x14ac:dyDescent="0.25">
      <c r="A5539" s="1" t="s">
        <v>14179</v>
      </c>
      <c r="B5539" s="3" t="s">
        <v>9163</v>
      </c>
      <c r="C5539" s="2">
        <f ca="1">IF(ISNUMBER(SEARCH(Лист2!$B$4,D:D)),MAX($C$3:OFFSET(C5539,-1,0))+1,0)</f>
        <v>0</v>
      </c>
      <c r="E5539" s="9" t="str">
        <f t="shared" ca="1" si="98"/>
        <v/>
      </c>
      <c r="F5539" s="4" t="s">
        <v>2</v>
      </c>
      <c r="G5539" s="2">
        <f>IF(ISNUMBER(SEARCH(Лист2!$B$4,F:F)),1,0)</f>
        <v>0</v>
      </c>
      <c r="H5539" s="3">
        <f ca="1">IF(AND(I5539&lt;&gt;I5538,ISNUMBER(SEARCH(Лист2!$B$5,I:I)),G5539=1),MAX($H$3:OFFSET(H5539,-1,0))+1,0)</f>
        <v>0</v>
      </c>
      <c r="I5539" s="3" t="s">
        <v>445</v>
      </c>
      <c r="K5539" s="2">
        <f>IF(ISNUMBER(SEARCH(Лист2!$B$4,F:F)),1,0)</f>
        <v>0</v>
      </c>
      <c r="L5539" s="14">
        <f>IF(ISNUMBER(SEARCH(Лист2!$B$5,I:I)),1,0)+K5539</f>
        <v>0</v>
      </c>
      <c r="M5539" s="3">
        <f ca="1">IF(AND(N5539&lt;&gt;N5538,ISNUMBER(SEARCH(Лист2!$B$6,N:N)),L5539=2),MAX($M$3:OFFSET(M5539,-1,0))+1,0)</f>
        <v>0</v>
      </c>
      <c r="N5539" s="3" t="s">
        <v>3282</v>
      </c>
    </row>
    <row r="5540" spans="1:14" x14ac:dyDescent="0.25">
      <c r="A5540" s="1" t="s">
        <v>14180</v>
      </c>
      <c r="B5540" s="3" t="s">
        <v>9164</v>
      </c>
      <c r="C5540" s="2">
        <f ca="1">IF(ISNUMBER(SEARCH(Лист2!$B$4,D:D)),MAX($C$3:OFFSET(C5540,-1,0))+1,0)</f>
        <v>0</v>
      </c>
      <c r="E5540" s="9" t="str">
        <f t="shared" ca="1" si="98"/>
        <v/>
      </c>
      <c r="F5540" s="4" t="s">
        <v>22</v>
      </c>
      <c r="G5540" s="2">
        <f>IF(ISNUMBER(SEARCH(Лист2!$B$4,F:F)),1,0)</f>
        <v>0</v>
      </c>
      <c r="H5540" s="3">
        <f ca="1">IF(AND(I5540&lt;&gt;I5539,ISNUMBER(SEARCH(Лист2!$B$5,I:I)),G5540=1),MAX($H$3:OFFSET(H5540,-1,0))+1,0)</f>
        <v>0</v>
      </c>
      <c r="I5540" s="3" t="s">
        <v>445</v>
      </c>
      <c r="K5540" s="2">
        <f>IF(ISNUMBER(SEARCH(Лист2!$B$4,F:F)),1,0)</f>
        <v>0</v>
      </c>
      <c r="L5540" s="14">
        <f>IF(ISNUMBER(SEARCH(Лист2!$B$5,I:I)),1,0)+K5540</f>
        <v>0</v>
      </c>
      <c r="M5540" s="3">
        <f ca="1">IF(AND(N5540&lt;&gt;N5539,ISNUMBER(SEARCH(Лист2!$B$6,N:N)),L5540=2),MAX($M$3:OFFSET(M5540,-1,0))+1,0)</f>
        <v>0</v>
      </c>
      <c r="N5540" s="3" t="s">
        <v>3283</v>
      </c>
    </row>
    <row r="5541" spans="1:14" x14ac:dyDescent="0.25">
      <c r="A5541" s="1" t="s">
        <v>14181</v>
      </c>
      <c r="B5541" s="3" t="s">
        <v>9165</v>
      </c>
      <c r="C5541" s="2">
        <f ca="1">IF(ISNUMBER(SEARCH(Лист2!$B$4,D:D)),MAX($C$3:OFFSET(C5541,-1,0))+1,0)</f>
        <v>0</v>
      </c>
      <c r="E5541" s="9" t="str">
        <f t="shared" ca="1" si="98"/>
        <v/>
      </c>
      <c r="F5541" s="4" t="s">
        <v>1</v>
      </c>
      <c r="G5541" s="2">
        <f>IF(ISNUMBER(SEARCH(Лист2!$B$4,F:F)),1,0)</f>
        <v>0</v>
      </c>
      <c r="H5541" s="3">
        <f ca="1">IF(AND(I5541&lt;&gt;I5540,ISNUMBER(SEARCH(Лист2!$B$5,I:I)),G5541=1),MAX($H$3:OFFSET(H5541,-1,0))+1,0)</f>
        <v>0</v>
      </c>
      <c r="I5541" s="3" t="s">
        <v>446</v>
      </c>
      <c r="K5541" s="2">
        <f>IF(ISNUMBER(SEARCH(Лист2!$B$4,F:F)),1,0)</f>
        <v>0</v>
      </c>
      <c r="L5541" s="14">
        <f>IF(ISNUMBER(SEARCH(Лист2!$B$5,I:I)),1,0)+K5541</f>
        <v>0</v>
      </c>
      <c r="M5541" s="3">
        <f ca="1">IF(AND(N5541&lt;&gt;N5540,ISNUMBER(SEARCH(Лист2!$B$6,N:N)),L5541=2),MAX($M$3:OFFSET(M5541,-1,0))+1,0)</f>
        <v>0</v>
      </c>
      <c r="N5541" s="3" t="s">
        <v>3284</v>
      </c>
    </row>
    <row r="5542" spans="1:14" x14ac:dyDescent="0.25">
      <c r="A5542" s="1" t="s">
        <v>14182</v>
      </c>
      <c r="B5542" s="3" t="s">
        <v>9166</v>
      </c>
      <c r="C5542" s="2">
        <f ca="1">IF(ISNUMBER(SEARCH(Лист2!$B$4,D:D)),MAX($C$3:OFFSET(C5542,-1,0))+1,0)</f>
        <v>0</v>
      </c>
      <c r="E5542" s="9" t="str">
        <f t="shared" ca="1" si="98"/>
        <v/>
      </c>
      <c r="F5542" s="4" t="s">
        <v>1</v>
      </c>
      <c r="G5542" s="2">
        <f>IF(ISNUMBER(SEARCH(Лист2!$B$4,F:F)),1,0)</f>
        <v>0</v>
      </c>
      <c r="H5542" s="3">
        <f ca="1">IF(AND(I5542&lt;&gt;I5541,ISNUMBER(SEARCH(Лист2!$B$5,I:I)),G5542=1),MAX($H$3:OFFSET(H5542,-1,0))+1,0)</f>
        <v>0</v>
      </c>
      <c r="I5542" s="3" t="s">
        <v>446</v>
      </c>
      <c r="K5542" s="2">
        <f>IF(ISNUMBER(SEARCH(Лист2!$B$4,F:F)),1,0)</f>
        <v>0</v>
      </c>
      <c r="L5542" s="14">
        <f>IF(ISNUMBER(SEARCH(Лист2!$B$5,I:I)),1,0)+K5542</f>
        <v>0</v>
      </c>
      <c r="M5542" s="3">
        <f ca="1">IF(AND(N5542&lt;&gt;N5541,ISNUMBER(SEARCH(Лист2!$B$6,N:N)),L5542=2),MAX($M$3:OFFSET(M5542,-1,0))+1,0)</f>
        <v>0</v>
      </c>
      <c r="N5542" s="3" t="s">
        <v>3285</v>
      </c>
    </row>
    <row r="5543" spans="1:14" x14ac:dyDescent="0.25">
      <c r="A5543" s="1" t="s">
        <v>14183</v>
      </c>
      <c r="B5543" s="3" t="s">
        <v>9167</v>
      </c>
      <c r="C5543" s="2">
        <f ca="1">IF(ISNUMBER(SEARCH(Лист2!$B$4,D:D)),MAX($C$3:OFFSET(C5543,-1,0))+1,0)</f>
        <v>0</v>
      </c>
      <c r="E5543" s="9" t="str">
        <f t="shared" ca="1" si="98"/>
        <v/>
      </c>
      <c r="F5543" s="4" t="s">
        <v>1</v>
      </c>
      <c r="G5543" s="2">
        <f>IF(ISNUMBER(SEARCH(Лист2!$B$4,F:F)),1,0)</f>
        <v>0</v>
      </c>
      <c r="H5543" s="3">
        <f ca="1">IF(AND(I5543&lt;&gt;I5542,ISNUMBER(SEARCH(Лист2!$B$5,I:I)),G5543=1),MAX($H$3:OFFSET(H5543,-1,0))+1,0)</f>
        <v>0</v>
      </c>
      <c r="I5543" s="3" t="s">
        <v>446</v>
      </c>
      <c r="K5543" s="2">
        <f>IF(ISNUMBER(SEARCH(Лист2!$B$4,F:F)),1,0)</f>
        <v>0</v>
      </c>
      <c r="L5543" s="14">
        <f>IF(ISNUMBER(SEARCH(Лист2!$B$5,I:I)),1,0)+K5543</f>
        <v>0</v>
      </c>
      <c r="M5543" s="3">
        <f ca="1">IF(AND(N5543&lt;&gt;N5542,ISNUMBER(SEARCH(Лист2!$B$6,N:N)),L5543=2),MAX($M$3:OFFSET(M5543,-1,0))+1,0)</f>
        <v>0</v>
      </c>
      <c r="N5543" s="3" t="s">
        <v>3286</v>
      </c>
    </row>
    <row r="5544" spans="1:14" x14ac:dyDescent="0.25">
      <c r="A5544" s="1" t="s">
        <v>14184</v>
      </c>
      <c r="B5544" s="3" t="s">
        <v>9168</v>
      </c>
      <c r="C5544" s="2">
        <f ca="1">IF(ISNUMBER(SEARCH(Лист2!$B$4,D:D)),MAX($C$3:OFFSET(C5544,-1,0))+1,0)</f>
        <v>0</v>
      </c>
      <c r="E5544" s="9" t="str">
        <f t="shared" ca="1" si="98"/>
        <v/>
      </c>
      <c r="F5544" s="4" t="s">
        <v>1</v>
      </c>
      <c r="G5544" s="2">
        <f>IF(ISNUMBER(SEARCH(Лист2!$B$4,F:F)),1,0)</f>
        <v>0</v>
      </c>
      <c r="H5544" s="3">
        <f ca="1">IF(AND(I5544&lt;&gt;I5543,ISNUMBER(SEARCH(Лист2!$B$5,I:I)),G5544=1),MAX($H$3:OFFSET(H5544,-1,0))+1,0)</f>
        <v>0</v>
      </c>
      <c r="I5544" s="3" t="s">
        <v>446</v>
      </c>
      <c r="K5544" s="2">
        <f>IF(ISNUMBER(SEARCH(Лист2!$B$4,F:F)),1,0)</f>
        <v>0</v>
      </c>
      <c r="L5544" s="14">
        <f>IF(ISNUMBER(SEARCH(Лист2!$B$5,I:I)),1,0)+K5544</f>
        <v>0</v>
      </c>
      <c r="M5544" s="3">
        <f ca="1">IF(AND(N5544&lt;&gt;N5543,ISNUMBER(SEARCH(Лист2!$B$6,N:N)),L5544=2),MAX($M$3:OFFSET(M5544,-1,0))+1,0)</f>
        <v>0</v>
      </c>
      <c r="N5544" s="3" t="s">
        <v>3287</v>
      </c>
    </row>
    <row r="5545" spans="1:14" x14ac:dyDescent="0.25">
      <c r="A5545" s="1" t="s">
        <v>14185</v>
      </c>
      <c r="B5545" s="3" t="s">
        <v>9169</v>
      </c>
      <c r="C5545" s="2">
        <f ca="1">IF(ISNUMBER(SEARCH(Лист2!$B$4,D:D)),MAX($C$3:OFFSET(C5545,-1,0))+1,0)</f>
        <v>0</v>
      </c>
      <c r="E5545" s="9" t="str">
        <f t="shared" ca="1" si="98"/>
        <v/>
      </c>
      <c r="F5545" s="4" t="s">
        <v>2</v>
      </c>
      <c r="G5545" s="2">
        <f>IF(ISNUMBER(SEARCH(Лист2!$B$4,F:F)),1,0)</f>
        <v>0</v>
      </c>
      <c r="H5545" s="3">
        <f ca="1">IF(AND(I5545&lt;&gt;I5544,ISNUMBER(SEARCH(Лист2!$B$5,I:I)),G5545=1),MAX($H$3:OFFSET(H5545,-1,0))+1,0)</f>
        <v>0</v>
      </c>
      <c r="I5545" s="3" t="s">
        <v>446</v>
      </c>
      <c r="K5545" s="2">
        <f>IF(ISNUMBER(SEARCH(Лист2!$B$4,F:F)),1,0)</f>
        <v>0</v>
      </c>
      <c r="L5545" s="14">
        <f>IF(ISNUMBER(SEARCH(Лист2!$B$5,I:I)),1,0)+K5545</f>
        <v>0</v>
      </c>
      <c r="M5545" s="3">
        <f ca="1">IF(AND(N5545&lt;&gt;N5544,ISNUMBER(SEARCH(Лист2!$B$6,N:N)),L5545=2),MAX($M$3:OFFSET(M5545,-1,0))+1,0)</f>
        <v>0</v>
      </c>
      <c r="N5545" s="3" t="s">
        <v>446</v>
      </c>
    </row>
    <row r="5546" spans="1:14" x14ac:dyDescent="0.25">
      <c r="A5546" s="1" t="s">
        <v>14186</v>
      </c>
      <c r="B5546" s="3" t="s">
        <v>9170</v>
      </c>
      <c r="C5546" s="2">
        <f ca="1">IF(ISNUMBER(SEARCH(Лист2!$B$4,D:D)),MAX($C$3:OFFSET(C5546,-1,0))+1,0)</f>
        <v>0</v>
      </c>
      <c r="E5546" s="9" t="str">
        <f t="shared" ca="1" si="98"/>
        <v/>
      </c>
      <c r="F5546" s="4" t="s">
        <v>2</v>
      </c>
      <c r="G5546" s="2">
        <f>IF(ISNUMBER(SEARCH(Лист2!$B$4,F:F)),1,0)</f>
        <v>0</v>
      </c>
      <c r="H5546" s="3">
        <f ca="1">IF(AND(I5546&lt;&gt;I5545,ISNUMBER(SEARCH(Лист2!$B$5,I:I)),G5546=1),MAX($H$3:OFFSET(H5546,-1,0))+1,0)</f>
        <v>0</v>
      </c>
      <c r="I5546" s="3" t="s">
        <v>446</v>
      </c>
      <c r="K5546" s="2">
        <f>IF(ISNUMBER(SEARCH(Лист2!$B$4,F:F)),1,0)</f>
        <v>0</v>
      </c>
      <c r="L5546" s="14">
        <f>IF(ISNUMBER(SEARCH(Лист2!$B$5,I:I)),1,0)+K5546</f>
        <v>0</v>
      </c>
      <c r="M5546" s="3">
        <f ca="1">IF(AND(N5546&lt;&gt;N5545,ISNUMBER(SEARCH(Лист2!$B$6,N:N)),L5546=2),MAX($M$3:OFFSET(M5546,-1,0))+1,0)</f>
        <v>0</v>
      </c>
      <c r="N5546" s="3" t="s">
        <v>3288</v>
      </c>
    </row>
    <row r="5547" spans="1:14" x14ac:dyDescent="0.25">
      <c r="A5547" s="1" t="s">
        <v>14187</v>
      </c>
      <c r="B5547" s="3" t="s">
        <v>9171</v>
      </c>
      <c r="C5547" s="2">
        <f ca="1">IF(ISNUMBER(SEARCH(Лист2!$B$4,D:D)),MAX($C$3:OFFSET(C5547,-1,0))+1,0)</f>
        <v>0</v>
      </c>
      <c r="E5547" s="9" t="str">
        <f t="shared" ca="1" si="98"/>
        <v/>
      </c>
      <c r="F5547" s="4" t="s">
        <v>2</v>
      </c>
      <c r="G5547" s="2">
        <f>IF(ISNUMBER(SEARCH(Лист2!$B$4,F:F)),1,0)</f>
        <v>0</v>
      </c>
      <c r="H5547" s="3">
        <f ca="1">IF(AND(I5547&lt;&gt;I5546,ISNUMBER(SEARCH(Лист2!$B$5,I:I)),G5547=1),MAX($H$3:OFFSET(H5547,-1,0))+1,0)</f>
        <v>0</v>
      </c>
      <c r="I5547" s="3" t="s">
        <v>446</v>
      </c>
      <c r="K5547" s="2">
        <f>IF(ISNUMBER(SEARCH(Лист2!$B$4,F:F)),1,0)</f>
        <v>0</v>
      </c>
      <c r="L5547" s="14">
        <f>IF(ISNUMBER(SEARCH(Лист2!$B$5,I:I)),1,0)+K5547</f>
        <v>0</v>
      </c>
      <c r="M5547" s="3">
        <f ca="1">IF(AND(N5547&lt;&gt;N5546,ISNUMBER(SEARCH(Лист2!$B$6,N:N)),L5547=2),MAX($M$3:OFFSET(M5547,-1,0))+1,0)</f>
        <v>0</v>
      </c>
      <c r="N5547" s="3" t="s">
        <v>3289</v>
      </c>
    </row>
    <row r="5548" spans="1:14" x14ac:dyDescent="0.25">
      <c r="A5548" s="1" t="s">
        <v>14188</v>
      </c>
      <c r="B5548" s="3" t="s">
        <v>9172</v>
      </c>
      <c r="C5548" s="2">
        <f ca="1">IF(ISNUMBER(SEARCH(Лист2!$B$4,D:D)),MAX($C$3:OFFSET(C5548,-1,0))+1,0)</f>
        <v>0</v>
      </c>
      <c r="E5548" s="9" t="str">
        <f t="shared" ca="1" si="98"/>
        <v/>
      </c>
      <c r="F5548" s="4" t="s">
        <v>2</v>
      </c>
      <c r="G5548" s="2">
        <f>IF(ISNUMBER(SEARCH(Лист2!$B$4,F:F)),1,0)</f>
        <v>0</v>
      </c>
      <c r="H5548" s="3">
        <f ca="1">IF(AND(I5548&lt;&gt;I5547,ISNUMBER(SEARCH(Лист2!$B$5,I:I)),G5548=1),MAX($H$3:OFFSET(H5548,-1,0))+1,0)</f>
        <v>0</v>
      </c>
      <c r="I5548" s="3" t="s">
        <v>446</v>
      </c>
      <c r="K5548" s="2">
        <f>IF(ISNUMBER(SEARCH(Лист2!$B$4,F:F)),1,0)</f>
        <v>0</v>
      </c>
      <c r="L5548" s="14">
        <f>IF(ISNUMBER(SEARCH(Лист2!$B$5,I:I)),1,0)+K5548</f>
        <v>0</v>
      </c>
      <c r="M5548" s="3">
        <f ca="1">IF(AND(N5548&lt;&gt;N5547,ISNUMBER(SEARCH(Лист2!$B$6,N:N)),L5548=2),MAX($M$3:OFFSET(M5548,-1,0))+1,0)</f>
        <v>0</v>
      </c>
      <c r="N5548" s="3" t="s">
        <v>3286</v>
      </c>
    </row>
    <row r="5549" spans="1:14" x14ac:dyDescent="0.25">
      <c r="A5549" s="1" t="s">
        <v>14189</v>
      </c>
      <c r="B5549" s="3" t="s">
        <v>9173</v>
      </c>
      <c r="C5549" s="2">
        <f ca="1">IF(ISNUMBER(SEARCH(Лист2!$B$4,D:D)),MAX($C$3:OFFSET(C5549,-1,0))+1,0)</f>
        <v>0</v>
      </c>
      <c r="E5549" s="9" t="str">
        <f t="shared" ca="1" si="98"/>
        <v/>
      </c>
      <c r="F5549" s="4" t="s">
        <v>2</v>
      </c>
      <c r="G5549" s="2">
        <f>IF(ISNUMBER(SEARCH(Лист2!$B$4,F:F)),1,0)</f>
        <v>0</v>
      </c>
      <c r="H5549" s="3">
        <f ca="1">IF(AND(I5549&lt;&gt;I5548,ISNUMBER(SEARCH(Лист2!$B$5,I:I)),G5549=1),MAX($H$3:OFFSET(H5549,-1,0))+1,0)</f>
        <v>0</v>
      </c>
      <c r="I5549" s="3" t="s">
        <v>446</v>
      </c>
      <c r="K5549" s="2">
        <f>IF(ISNUMBER(SEARCH(Лист2!$B$4,F:F)),1,0)</f>
        <v>0</v>
      </c>
      <c r="L5549" s="14">
        <f>IF(ISNUMBER(SEARCH(Лист2!$B$5,I:I)),1,0)+K5549</f>
        <v>0</v>
      </c>
      <c r="M5549" s="3">
        <f ca="1">IF(AND(N5549&lt;&gt;N5548,ISNUMBER(SEARCH(Лист2!$B$6,N:N)),L5549=2),MAX($M$3:OFFSET(M5549,-1,0))+1,0)</f>
        <v>0</v>
      </c>
      <c r="N5549" s="3" t="s">
        <v>3287</v>
      </c>
    </row>
    <row r="5550" spans="1:14" x14ac:dyDescent="0.25">
      <c r="A5550" s="1" t="s">
        <v>14077</v>
      </c>
      <c r="B5550" s="3" t="s">
        <v>9174</v>
      </c>
      <c r="C5550" s="2">
        <f ca="1">IF(ISNUMBER(SEARCH(Лист2!$B$4,D:D)),MAX($C$3:OFFSET(C5550,-1,0))+1,0)</f>
        <v>0</v>
      </c>
      <c r="E5550" s="9" t="str">
        <f t="shared" ca="1" si="98"/>
        <v/>
      </c>
      <c r="F5550" s="4" t="s">
        <v>22</v>
      </c>
      <c r="G5550" s="2">
        <f>IF(ISNUMBER(SEARCH(Лист2!$B$4,F:F)),1,0)</f>
        <v>0</v>
      </c>
      <c r="H5550" s="3">
        <f ca="1">IF(AND(I5550&lt;&gt;I5549,ISNUMBER(SEARCH(Лист2!$B$5,I:I)),G5550=1),MAX($H$3:OFFSET(H5550,-1,0))+1,0)</f>
        <v>0</v>
      </c>
      <c r="K5550" s="2">
        <f>IF(ISNUMBER(SEARCH(Лист2!$B$4,F:F)),1,0)</f>
        <v>0</v>
      </c>
      <c r="L5550" s="14">
        <f>IF(ISNUMBER(SEARCH(Лист2!$B$5,I:I)),1,0)+K5550</f>
        <v>0</v>
      </c>
      <c r="M5550" s="3">
        <f ca="1">IF(AND(N5550&lt;&gt;N5549,ISNUMBER(SEARCH(Лист2!$B$6,N:N)),L5550=2),MAX($M$3:OFFSET(M5550,-1,0))+1,0)</f>
        <v>0</v>
      </c>
      <c r="N5550" s="3" t="s">
        <v>3290</v>
      </c>
    </row>
    <row r="5551" spans="1:14" x14ac:dyDescent="0.25">
      <c r="A5551" s="1" t="s">
        <v>14190</v>
      </c>
      <c r="B5551" s="3" t="s">
        <v>9175</v>
      </c>
      <c r="C5551" s="2">
        <f ca="1">IF(ISNUMBER(SEARCH(Лист2!$B$4,D:D)),MAX($C$3:OFFSET(C5551,-1,0))+1,0)</f>
        <v>0</v>
      </c>
      <c r="E5551" s="9" t="str">
        <f t="shared" ca="1" si="98"/>
        <v/>
      </c>
      <c r="F5551" s="4" t="s">
        <v>4</v>
      </c>
      <c r="G5551" s="2">
        <f>IF(ISNUMBER(SEARCH(Лист2!$B$4,F:F)),1,0)</f>
        <v>0</v>
      </c>
      <c r="H5551" s="3">
        <f ca="1">IF(AND(I5551&lt;&gt;I5550,ISNUMBER(SEARCH(Лист2!$B$5,I:I)),G5551=1),MAX($H$3:OFFSET(H5551,-1,0))+1,0)</f>
        <v>0</v>
      </c>
      <c r="I5551" s="3" t="s">
        <v>445</v>
      </c>
      <c r="K5551" s="2">
        <f>IF(ISNUMBER(SEARCH(Лист2!$B$4,F:F)),1,0)</f>
        <v>0</v>
      </c>
      <c r="L5551" s="14">
        <f>IF(ISNUMBER(SEARCH(Лист2!$B$5,I:I)),1,0)+K5551</f>
        <v>0</v>
      </c>
      <c r="M5551" s="3">
        <f ca="1">IF(AND(N5551&lt;&gt;N5550,ISNUMBER(SEARCH(Лист2!$B$6,N:N)),L5551=2),MAX($M$3:OFFSET(M5551,-1,0))+1,0)</f>
        <v>0</v>
      </c>
      <c r="N5551" s="3" t="s">
        <v>3282</v>
      </c>
    </row>
    <row r="5552" spans="1:14" x14ac:dyDescent="0.25">
      <c r="A5552" s="1" t="s">
        <v>14191</v>
      </c>
      <c r="B5552" s="3" t="s">
        <v>9176</v>
      </c>
      <c r="C5552" s="2">
        <f ca="1">IF(ISNUMBER(SEARCH(Лист2!$B$4,D:D)),MAX($C$3:OFFSET(C5552,-1,0))+1,0)</f>
        <v>0</v>
      </c>
      <c r="E5552" s="9" t="str">
        <f t="shared" ca="1" si="98"/>
        <v/>
      </c>
      <c r="G5552" s="2">
        <f>IF(ISNUMBER(SEARCH(Лист2!$B$4,F:F)),1,0)</f>
        <v>0</v>
      </c>
      <c r="H5552" s="3">
        <f ca="1">IF(AND(I5552&lt;&gt;I5551,ISNUMBER(SEARCH(Лист2!$B$5,I:I)),G5552=1),MAX($H$3:OFFSET(H5552,-1,0))+1,0)</f>
        <v>0</v>
      </c>
      <c r="I5552" s="3" t="s">
        <v>447</v>
      </c>
      <c r="K5552" s="2">
        <f>IF(ISNUMBER(SEARCH(Лист2!$B$4,F:F)),1,0)</f>
        <v>0</v>
      </c>
      <c r="L5552" s="14">
        <f>IF(ISNUMBER(SEARCH(Лист2!$B$5,I:I)),1,0)+K5552</f>
        <v>0</v>
      </c>
      <c r="M5552" s="3">
        <f ca="1">IF(AND(N5552&lt;&gt;N5551,ISNUMBER(SEARCH(Лист2!$B$6,N:N)),L5552=2),MAX($M$3:OFFSET(M5552,-1,0))+1,0)</f>
        <v>0</v>
      </c>
      <c r="N5552" s="3" t="s">
        <v>3266</v>
      </c>
    </row>
    <row r="5553" spans="1:14" x14ac:dyDescent="0.25">
      <c r="A5553" s="1" t="s">
        <v>14192</v>
      </c>
      <c r="B5553" s="3" t="s">
        <v>9177</v>
      </c>
      <c r="C5553" s="2">
        <f ca="1">IF(ISNUMBER(SEARCH(Лист2!$B$4,D:D)),MAX($C$3:OFFSET(C5553,-1,0))+1,0)</f>
        <v>0</v>
      </c>
      <c r="E5553" s="9" t="str">
        <f t="shared" ca="1" si="98"/>
        <v/>
      </c>
      <c r="G5553" s="2">
        <f>IF(ISNUMBER(SEARCH(Лист2!$B$4,F:F)),1,0)</f>
        <v>0</v>
      </c>
      <c r="H5553" s="3">
        <f ca="1">IF(AND(I5553&lt;&gt;I5552,ISNUMBER(SEARCH(Лист2!$B$5,I:I)),G5553=1),MAX($H$3:OFFSET(H5553,-1,0))+1,0)</f>
        <v>0</v>
      </c>
      <c r="I5553" s="3" t="s">
        <v>447</v>
      </c>
      <c r="K5553" s="2">
        <f>IF(ISNUMBER(SEARCH(Лист2!$B$4,F:F)),1,0)</f>
        <v>0</v>
      </c>
      <c r="L5553" s="14">
        <f>IF(ISNUMBER(SEARCH(Лист2!$B$5,I:I)),1,0)+K5553</f>
        <v>0</v>
      </c>
      <c r="M5553" s="3">
        <f ca="1">IF(AND(N5553&lt;&gt;N5552,ISNUMBER(SEARCH(Лист2!$B$6,N:N)),L5553=2),MAX($M$3:OFFSET(M5553,-1,0))+1,0)</f>
        <v>0</v>
      </c>
      <c r="N5553" s="3" t="s">
        <v>3268</v>
      </c>
    </row>
    <row r="5554" spans="1:14" x14ac:dyDescent="0.25">
      <c r="A5554" s="1" t="s">
        <v>14193</v>
      </c>
      <c r="B5554" s="3" t="s">
        <v>9178</v>
      </c>
      <c r="C5554" s="2">
        <f ca="1">IF(ISNUMBER(SEARCH(Лист2!$B$4,D:D)),MAX($C$3:OFFSET(C5554,-1,0))+1,0)</f>
        <v>0</v>
      </c>
      <c r="E5554" s="9" t="str">
        <f t="shared" ca="1" si="98"/>
        <v/>
      </c>
      <c r="G5554" s="2">
        <f>IF(ISNUMBER(SEARCH(Лист2!$B$4,F:F)),1,0)</f>
        <v>0</v>
      </c>
      <c r="H5554" s="3">
        <f ca="1">IF(AND(I5554&lt;&gt;I5553,ISNUMBER(SEARCH(Лист2!$B$5,I:I)),G5554=1),MAX($H$3:OFFSET(H5554,-1,0))+1,0)</f>
        <v>0</v>
      </c>
      <c r="I5554" s="3" t="s">
        <v>448</v>
      </c>
      <c r="K5554" s="2">
        <f>IF(ISNUMBER(SEARCH(Лист2!$B$4,F:F)),1,0)</f>
        <v>0</v>
      </c>
      <c r="L5554" s="14">
        <f>IF(ISNUMBER(SEARCH(Лист2!$B$5,I:I)),1,0)+K5554</f>
        <v>0</v>
      </c>
      <c r="M5554" s="3">
        <f ca="1">IF(AND(N5554&lt;&gt;N5553,ISNUMBER(SEARCH(Лист2!$B$6,N:N)),L5554=2),MAX($M$3:OFFSET(M5554,-1,0))+1,0)</f>
        <v>0</v>
      </c>
      <c r="N5554" s="3" t="s">
        <v>3255</v>
      </c>
    </row>
    <row r="5555" spans="1:14" x14ac:dyDescent="0.25">
      <c r="A5555" s="1" t="s">
        <v>14194</v>
      </c>
      <c r="B5555" s="3" t="s">
        <v>9179</v>
      </c>
      <c r="C5555" s="2">
        <f ca="1">IF(ISNUMBER(SEARCH(Лист2!$B$4,D:D)),MAX($C$3:OFFSET(C5555,-1,0))+1,0)</f>
        <v>0</v>
      </c>
      <c r="E5555" s="9" t="str">
        <f t="shared" ca="1" si="98"/>
        <v/>
      </c>
      <c r="G5555" s="2">
        <f>IF(ISNUMBER(SEARCH(Лист2!$B$4,F:F)),1,0)</f>
        <v>0</v>
      </c>
      <c r="H5555" s="3">
        <f ca="1">IF(AND(I5555&lt;&gt;I5554,ISNUMBER(SEARCH(Лист2!$B$5,I:I)),G5555=1),MAX($H$3:OFFSET(H5555,-1,0))+1,0)</f>
        <v>0</v>
      </c>
      <c r="I5555" s="3" t="s">
        <v>448</v>
      </c>
      <c r="K5555" s="2">
        <f>IF(ISNUMBER(SEARCH(Лист2!$B$4,F:F)),1,0)</f>
        <v>0</v>
      </c>
      <c r="L5555" s="14">
        <f>IF(ISNUMBER(SEARCH(Лист2!$B$5,I:I)),1,0)+K5555</f>
        <v>0</v>
      </c>
      <c r="M5555" s="3">
        <f ca="1">IF(AND(N5555&lt;&gt;N5554,ISNUMBER(SEARCH(Лист2!$B$6,N:N)),L5555=2),MAX($M$3:OFFSET(M5555,-1,0))+1,0)</f>
        <v>0</v>
      </c>
      <c r="N5555" s="3" t="s">
        <v>3269</v>
      </c>
    </row>
    <row r="5556" spans="1:14" x14ac:dyDescent="0.25">
      <c r="A5556" s="1" t="s">
        <v>14195</v>
      </c>
      <c r="B5556" s="3" t="s">
        <v>9180</v>
      </c>
      <c r="C5556" s="2">
        <f ca="1">IF(ISNUMBER(SEARCH(Лист2!$B$4,D:D)),MAX($C$3:OFFSET(C5556,-1,0))+1,0)</f>
        <v>0</v>
      </c>
      <c r="E5556" s="9" t="str">
        <f t="shared" ca="1" si="98"/>
        <v/>
      </c>
      <c r="G5556" s="2">
        <f>IF(ISNUMBER(SEARCH(Лист2!$B$4,F:F)),1,0)</f>
        <v>0</v>
      </c>
      <c r="H5556" s="3">
        <f ca="1">IF(AND(I5556&lt;&gt;I5555,ISNUMBER(SEARCH(Лист2!$B$5,I:I)),G5556=1),MAX($H$3:OFFSET(H5556,-1,0))+1,0)</f>
        <v>0</v>
      </c>
      <c r="I5556" s="3" t="s">
        <v>448</v>
      </c>
      <c r="K5556" s="2">
        <f>IF(ISNUMBER(SEARCH(Лист2!$B$4,F:F)),1,0)</f>
        <v>0</v>
      </c>
      <c r="L5556" s="14">
        <f>IF(ISNUMBER(SEARCH(Лист2!$B$5,I:I)),1,0)+K5556</f>
        <v>0</v>
      </c>
      <c r="M5556" s="3">
        <f ca="1">IF(AND(N5556&lt;&gt;N5555,ISNUMBER(SEARCH(Лист2!$B$6,N:N)),L5556=2),MAX($M$3:OFFSET(M5556,-1,0))+1,0)</f>
        <v>0</v>
      </c>
      <c r="N5556" s="3" t="s">
        <v>3291</v>
      </c>
    </row>
    <row r="5557" spans="1:14" x14ac:dyDescent="0.25">
      <c r="A5557" s="1" t="s">
        <v>3292</v>
      </c>
      <c r="B5557" s="3" t="s">
        <v>9181</v>
      </c>
      <c r="C5557" s="2">
        <f ca="1">IF(ISNUMBER(SEARCH(Лист2!$B$4,D:D)),MAX($C$3:OFFSET(C5557,-1,0))+1,0)</f>
        <v>0</v>
      </c>
      <c r="E5557" s="9" t="str">
        <f t="shared" ca="1" si="98"/>
        <v/>
      </c>
      <c r="G5557" s="2">
        <f>IF(ISNUMBER(SEARCH(Лист2!$B$4,F:F)),1,0)</f>
        <v>0</v>
      </c>
      <c r="H5557" s="3">
        <f ca="1">IF(AND(I5557&lt;&gt;I5556,ISNUMBER(SEARCH(Лист2!$B$5,I:I)),G5557=1),MAX($H$3:OFFSET(H5557,-1,0))+1,0)</f>
        <v>0</v>
      </c>
      <c r="K5557" s="2">
        <f>IF(ISNUMBER(SEARCH(Лист2!$B$4,F:F)),1,0)</f>
        <v>0</v>
      </c>
      <c r="L5557" s="14">
        <f>IF(ISNUMBER(SEARCH(Лист2!$B$5,I:I)),1,0)+K5557</f>
        <v>0</v>
      </c>
      <c r="M5557" s="3">
        <f ca="1">IF(AND(N5557&lt;&gt;N5556,ISNUMBER(SEARCH(Лист2!$B$6,N:N)),L5557=2),MAX($M$3:OFFSET(M5557,-1,0))+1,0)</f>
        <v>0</v>
      </c>
      <c r="N5557" s="3" t="s">
        <v>3292</v>
      </c>
    </row>
    <row r="5558" spans="1:14" x14ac:dyDescent="0.25">
      <c r="A5558" s="1" t="s">
        <v>3293</v>
      </c>
      <c r="B5558" s="3" t="s">
        <v>9182</v>
      </c>
      <c r="C5558" s="2">
        <f ca="1">IF(ISNUMBER(SEARCH(Лист2!$B$4,D:D)),MAX($C$3:OFFSET(C5558,-1,0))+1,0)</f>
        <v>0</v>
      </c>
      <c r="E5558" s="9" t="str">
        <f t="shared" ca="1" si="98"/>
        <v/>
      </c>
      <c r="G5558" s="2">
        <f>IF(ISNUMBER(SEARCH(Лист2!$B$4,F:F)),1,0)</f>
        <v>0</v>
      </c>
      <c r="H5558" s="3">
        <f ca="1">IF(AND(I5558&lt;&gt;I5557,ISNUMBER(SEARCH(Лист2!$B$5,I:I)),G5558=1),MAX($H$3:OFFSET(H5558,-1,0))+1,0)</f>
        <v>0</v>
      </c>
      <c r="K5558" s="2">
        <f>IF(ISNUMBER(SEARCH(Лист2!$B$4,F:F)),1,0)</f>
        <v>0</v>
      </c>
      <c r="L5558" s="14">
        <f>IF(ISNUMBER(SEARCH(Лист2!$B$5,I:I)),1,0)+K5558</f>
        <v>0</v>
      </c>
      <c r="M5558" s="3">
        <f ca="1">IF(AND(N5558&lt;&gt;N5557,ISNUMBER(SEARCH(Лист2!$B$6,N:N)),L5558=2),MAX($M$3:OFFSET(M5558,-1,0))+1,0)</f>
        <v>0</v>
      </c>
      <c r="N5558" s="3" t="s">
        <v>3293</v>
      </c>
    </row>
    <row r="5559" spans="1:14" x14ac:dyDescent="0.25">
      <c r="A5559" s="1" t="s">
        <v>3294</v>
      </c>
      <c r="B5559" s="3" t="s">
        <v>9183</v>
      </c>
      <c r="C5559" s="2">
        <f ca="1">IF(ISNUMBER(SEARCH(Лист2!$B$4,D:D)),MAX($C$3:OFFSET(C5559,-1,0))+1,0)</f>
        <v>0</v>
      </c>
      <c r="E5559" s="9" t="str">
        <f t="shared" ca="1" si="98"/>
        <v/>
      </c>
      <c r="G5559" s="2">
        <f>IF(ISNUMBER(SEARCH(Лист2!$B$4,F:F)),1,0)</f>
        <v>0</v>
      </c>
      <c r="H5559" s="3">
        <f ca="1">IF(AND(I5559&lt;&gt;I5558,ISNUMBER(SEARCH(Лист2!$B$5,I:I)),G5559=1),MAX($H$3:OFFSET(H5559,-1,0))+1,0)</f>
        <v>0</v>
      </c>
      <c r="K5559" s="2">
        <f>IF(ISNUMBER(SEARCH(Лист2!$B$4,F:F)),1,0)</f>
        <v>0</v>
      </c>
      <c r="L5559" s="14">
        <f>IF(ISNUMBER(SEARCH(Лист2!$B$5,I:I)),1,0)+K5559</f>
        <v>0</v>
      </c>
      <c r="M5559" s="3">
        <f ca="1">IF(AND(N5559&lt;&gt;N5558,ISNUMBER(SEARCH(Лист2!$B$6,N:N)),L5559=2),MAX($M$3:OFFSET(M5559,-1,0))+1,0)</f>
        <v>0</v>
      </c>
      <c r="N5559" s="3" t="s">
        <v>3294</v>
      </c>
    </row>
    <row r="5560" spans="1:14" x14ac:dyDescent="0.25">
      <c r="A5560" s="1" t="s">
        <v>3295</v>
      </c>
      <c r="B5560" s="3" t="s">
        <v>9184</v>
      </c>
      <c r="C5560" s="2">
        <f ca="1">IF(ISNUMBER(SEARCH(Лист2!$B$4,D:D)),MAX($C$3:OFFSET(C5560,-1,0))+1,0)</f>
        <v>0</v>
      </c>
      <c r="E5560" s="9" t="str">
        <f t="shared" ca="1" si="98"/>
        <v/>
      </c>
      <c r="G5560" s="2">
        <f>IF(ISNUMBER(SEARCH(Лист2!$B$4,F:F)),1,0)</f>
        <v>0</v>
      </c>
      <c r="H5560" s="3">
        <f ca="1">IF(AND(I5560&lt;&gt;I5559,ISNUMBER(SEARCH(Лист2!$B$5,I:I)),G5560=1),MAX($H$3:OFFSET(H5560,-1,0))+1,0)</f>
        <v>0</v>
      </c>
      <c r="K5560" s="2">
        <f>IF(ISNUMBER(SEARCH(Лист2!$B$4,F:F)),1,0)</f>
        <v>0</v>
      </c>
      <c r="L5560" s="14">
        <f>IF(ISNUMBER(SEARCH(Лист2!$B$5,I:I)),1,0)+K5560</f>
        <v>0</v>
      </c>
      <c r="M5560" s="3">
        <f ca="1">IF(AND(N5560&lt;&gt;N5559,ISNUMBER(SEARCH(Лист2!$B$6,N:N)),L5560=2),MAX($M$3:OFFSET(M5560,-1,0))+1,0)</f>
        <v>0</v>
      </c>
      <c r="N5560" s="3" t="s">
        <v>3295</v>
      </c>
    </row>
    <row r="5561" spans="1:14" x14ac:dyDescent="0.25">
      <c r="A5561" s="1" t="s">
        <v>3296</v>
      </c>
      <c r="B5561" s="3" t="s">
        <v>9185</v>
      </c>
      <c r="C5561" s="2">
        <f ca="1">IF(ISNUMBER(SEARCH(Лист2!$B$4,D:D)),MAX($C$3:OFFSET(C5561,-1,0))+1,0)</f>
        <v>0</v>
      </c>
      <c r="E5561" s="9" t="str">
        <f t="shared" ca="1" si="98"/>
        <v/>
      </c>
      <c r="G5561" s="2">
        <f>IF(ISNUMBER(SEARCH(Лист2!$B$4,F:F)),1,0)</f>
        <v>0</v>
      </c>
      <c r="H5561" s="3">
        <f ca="1">IF(AND(I5561&lt;&gt;I5560,ISNUMBER(SEARCH(Лист2!$B$5,I:I)),G5561=1),MAX($H$3:OFFSET(H5561,-1,0))+1,0)</f>
        <v>0</v>
      </c>
      <c r="K5561" s="2">
        <f>IF(ISNUMBER(SEARCH(Лист2!$B$4,F:F)),1,0)</f>
        <v>0</v>
      </c>
      <c r="L5561" s="14">
        <f>IF(ISNUMBER(SEARCH(Лист2!$B$5,I:I)),1,0)+K5561</f>
        <v>0</v>
      </c>
      <c r="M5561" s="3">
        <f ca="1">IF(AND(N5561&lt;&gt;N5560,ISNUMBER(SEARCH(Лист2!$B$6,N:N)),L5561=2),MAX($M$3:OFFSET(M5561,-1,0))+1,0)</f>
        <v>0</v>
      </c>
      <c r="N5561" s="3" t="s">
        <v>3296</v>
      </c>
    </row>
    <row r="5562" spans="1:14" x14ac:dyDescent="0.25">
      <c r="A5562" s="1" t="s">
        <v>14196</v>
      </c>
      <c r="B5562" s="3" t="s">
        <v>9186</v>
      </c>
      <c r="C5562" s="2">
        <f ca="1">IF(ISNUMBER(SEARCH(Лист2!$B$4,D:D)),MAX($C$3:OFFSET(C5562,-1,0))+1,0)</f>
        <v>0</v>
      </c>
      <c r="E5562" s="9" t="str">
        <f t="shared" ca="1" si="98"/>
        <v/>
      </c>
      <c r="G5562" s="2">
        <f>IF(ISNUMBER(SEARCH(Лист2!$B$4,F:F)),1,0)</f>
        <v>0</v>
      </c>
      <c r="H5562" s="3">
        <f ca="1">IF(AND(I5562&lt;&gt;I5561,ISNUMBER(SEARCH(Лист2!$B$5,I:I)),G5562=1),MAX($H$3:OFFSET(H5562,-1,0))+1,0)</f>
        <v>0</v>
      </c>
      <c r="I5562" s="3" t="s">
        <v>449</v>
      </c>
      <c r="K5562" s="2">
        <f>IF(ISNUMBER(SEARCH(Лист2!$B$4,F:F)),1,0)</f>
        <v>0</v>
      </c>
      <c r="L5562" s="14">
        <f>IF(ISNUMBER(SEARCH(Лист2!$B$5,I:I)),1,0)+K5562</f>
        <v>0</v>
      </c>
      <c r="M5562" s="3">
        <f ca="1">IF(AND(N5562&lt;&gt;N5561,ISNUMBER(SEARCH(Лист2!$B$6,N:N)),L5562=2),MAX($M$3:OFFSET(M5562,-1,0))+1,0)</f>
        <v>0</v>
      </c>
      <c r="N5562" s="3" t="s">
        <v>3297</v>
      </c>
    </row>
    <row r="5563" spans="1:14" x14ac:dyDescent="0.25">
      <c r="A5563" s="1" t="s">
        <v>14197</v>
      </c>
      <c r="B5563" s="3" t="s">
        <v>9187</v>
      </c>
      <c r="C5563" s="2">
        <f ca="1">IF(ISNUMBER(SEARCH(Лист2!$B$4,D:D)),MAX($C$3:OFFSET(C5563,-1,0))+1,0)</f>
        <v>0</v>
      </c>
      <c r="E5563" s="9" t="str">
        <f t="shared" ca="1" si="98"/>
        <v/>
      </c>
      <c r="G5563" s="2">
        <f>IF(ISNUMBER(SEARCH(Лист2!$B$4,F:F)),1,0)</f>
        <v>0</v>
      </c>
      <c r="H5563" s="3">
        <f ca="1">IF(AND(I5563&lt;&gt;I5562,ISNUMBER(SEARCH(Лист2!$B$5,I:I)),G5563=1),MAX($H$3:OFFSET(H5563,-1,0))+1,0)</f>
        <v>0</v>
      </c>
      <c r="I5563" s="3" t="s">
        <v>449</v>
      </c>
      <c r="K5563" s="2">
        <f>IF(ISNUMBER(SEARCH(Лист2!$B$4,F:F)),1,0)</f>
        <v>0</v>
      </c>
      <c r="L5563" s="14">
        <f>IF(ISNUMBER(SEARCH(Лист2!$B$5,I:I)),1,0)+K5563</f>
        <v>0</v>
      </c>
      <c r="M5563" s="3">
        <f ca="1">IF(AND(N5563&lt;&gt;N5562,ISNUMBER(SEARCH(Лист2!$B$6,N:N)),L5563=2),MAX($M$3:OFFSET(M5563,-1,0))+1,0)</f>
        <v>0</v>
      </c>
      <c r="N5563" s="3" t="s">
        <v>3298</v>
      </c>
    </row>
    <row r="5564" spans="1:14" x14ac:dyDescent="0.25">
      <c r="A5564" s="1" t="s">
        <v>14198</v>
      </c>
      <c r="B5564" s="3" t="s">
        <v>9188</v>
      </c>
      <c r="C5564" s="2">
        <f ca="1">IF(ISNUMBER(SEARCH(Лист2!$B$4,D:D)),MAX($C$3:OFFSET(C5564,-1,0))+1,0)</f>
        <v>0</v>
      </c>
      <c r="E5564" s="9" t="str">
        <f t="shared" ca="1" si="98"/>
        <v/>
      </c>
      <c r="F5564" s="4" t="s">
        <v>37</v>
      </c>
      <c r="G5564" s="2">
        <f>IF(ISNUMBER(SEARCH(Лист2!$B$4,F:F)),1,0)</f>
        <v>1</v>
      </c>
      <c r="H5564" s="3">
        <f ca="1">IF(AND(I5564&lt;&gt;I5563,ISNUMBER(SEARCH(Лист2!$B$5,I:I)),G5564=1),MAX($H$3:OFFSET(H5564,-1,0))+1,0)</f>
        <v>0</v>
      </c>
      <c r="I5564" s="3" t="s">
        <v>450</v>
      </c>
      <c r="K5564" s="2">
        <f>IF(ISNUMBER(SEARCH(Лист2!$B$4,F:F)),1,0)</f>
        <v>1</v>
      </c>
      <c r="L5564" s="14">
        <f>IF(ISNUMBER(SEARCH(Лист2!$B$5,I:I)),1,0)+K5564</f>
        <v>1</v>
      </c>
      <c r="M5564" s="3">
        <f ca="1">IF(AND(N5564&lt;&gt;N5563,ISNUMBER(SEARCH(Лист2!$B$6,N:N)),L5564=2),MAX($M$3:OFFSET(M5564,-1,0))+1,0)</f>
        <v>0</v>
      </c>
      <c r="N5564" s="3" t="s">
        <v>450</v>
      </c>
    </row>
    <row r="5565" spans="1:14" x14ac:dyDescent="0.25">
      <c r="A5565" s="1" t="s">
        <v>14199</v>
      </c>
      <c r="B5565" s="3" t="s">
        <v>9189</v>
      </c>
      <c r="C5565" s="2">
        <f ca="1">IF(ISNUMBER(SEARCH(Лист2!$B$4,D:D)),MAX($C$3:OFFSET(C5565,-1,0))+1,0)</f>
        <v>0</v>
      </c>
      <c r="E5565" s="9" t="str">
        <f t="shared" ca="1" si="98"/>
        <v/>
      </c>
      <c r="G5565" s="2">
        <f>IF(ISNUMBER(SEARCH(Лист2!$B$4,F:F)),1,0)</f>
        <v>0</v>
      </c>
      <c r="H5565" s="3">
        <f ca="1">IF(AND(I5565&lt;&gt;I5564,ISNUMBER(SEARCH(Лист2!$B$5,I:I)),G5565=1),MAX($H$3:OFFSET(H5565,-1,0))+1,0)</f>
        <v>0</v>
      </c>
      <c r="I5565" s="3" t="s">
        <v>451</v>
      </c>
      <c r="K5565" s="2">
        <f>IF(ISNUMBER(SEARCH(Лист2!$B$4,F:F)),1,0)</f>
        <v>0</v>
      </c>
      <c r="L5565" s="14">
        <f>IF(ISNUMBER(SEARCH(Лист2!$B$5,I:I)),1,0)+K5565</f>
        <v>0</v>
      </c>
      <c r="M5565" s="3">
        <f ca="1">IF(AND(N5565&lt;&gt;N5564,ISNUMBER(SEARCH(Лист2!$B$6,N:N)),L5565=2),MAX($M$3:OFFSET(M5565,-1,0))+1,0)</f>
        <v>0</v>
      </c>
      <c r="N5565" s="3" t="s">
        <v>3299</v>
      </c>
    </row>
    <row r="5566" spans="1:14" x14ac:dyDescent="0.25">
      <c r="A5566" s="1" t="s">
        <v>3300</v>
      </c>
      <c r="B5566" s="3" t="s">
        <v>9190</v>
      </c>
      <c r="C5566" s="2">
        <f ca="1">IF(ISNUMBER(SEARCH(Лист2!$B$4,D:D)),MAX($C$3:OFFSET(C5566,-1,0))+1,0)</f>
        <v>0</v>
      </c>
      <c r="E5566" s="9" t="str">
        <f t="shared" ca="1" si="98"/>
        <v/>
      </c>
      <c r="G5566" s="2">
        <f>IF(ISNUMBER(SEARCH(Лист2!$B$4,F:F)),1,0)</f>
        <v>0</v>
      </c>
      <c r="H5566" s="3">
        <f ca="1">IF(AND(I5566&lt;&gt;I5565,ISNUMBER(SEARCH(Лист2!$B$5,I:I)),G5566=1),MAX($H$3:OFFSET(H5566,-1,0))+1,0)</f>
        <v>0</v>
      </c>
      <c r="K5566" s="2">
        <f>IF(ISNUMBER(SEARCH(Лист2!$B$4,F:F)),1,0)</f>
        <v>0</v>
      </c>
      <c r="L5566" s="14">
        <f>IF(ISNUMBER(SEARCH(Лист2!$B$5,I:I)),1,0)+K5566</f>
        <v>0</v>
      </c>
      <c r="M5566" s="3">
        <f ca="1">IF(AND(N5566&lt;&gt;N5565,ISNUMBER(SEARCH(Лист2!$B$6,N:N)),L5566=2),MAX($M$3:OFFSET(M5566,-1,0))+1,0)</f>
        <v>0</v>
      </c>
      <c r="N5566" s="3" t="s">
        <v>3300</v>
      </c>
    </row>
    <row r="5567" spans="1:14" x14ac:dyDescent="0.25">
      <c r="A5567" s="1" t="s">
        <v>3301</v>
      </c>
      <c r="B5567" s="3" t="s">
        <v>9191</v>
      </c>
      <c r="C5567" s="2">
        <f ca="1">IF(ISNUMBER(SEARCH(Лист2!$B$4,D:D)),MAX($C$3:OFFSET(C5567,-1,0))+1,0)</f>
        <v>0</v>
      </c>
      <c r="E5567" s="9" t="str">
        <f t="shared" ca="1" si="98"/>
        <v/>
      </c>
      <c r="G5567" s="2">
        <f>IF(ISNUMBER(SEARCH(Лист2!$B$4,F:F)),1,0)</f>
        <v>0</v>
      </c>
      <c r="H5567" s="3">
        <f ca="1">IF(AND(I5567&lt;&gt;I5566,ISNUMBER(SEARCH(Лист2!$B$5,I:I)),G5567=1),MAX($H$3:OFFSET(H5567,-1,0))+1,0)</f>
        <v>0</v>
      </c>
      <c r="K5567" s="2">
        <f>IF(ISNUMBER(SEARCH(Лист2!$B$4,F:F)),1,0)</f>
        <v>0</v>
      </c>
      <c r="L5567" s="14">
        <f>IF(ISNUMBER(SEARCH(Лист2!$B$5,I:I)),1,0)+K5567</f>
        <v>0</v>
      </c>
      <c r="M5567" s="3">
        <f ca="1">IF(AND(N5567&lt;&gt;N5566,ISNUMBER(SEARCH(Лист2!$B$6,N:N)),L5567=2),MAX($M$3:OFFSET(M5567,-1,0))+1,0)</f>
        <v>0</v>
      </c>
      <c r="N5567" s="3" t="s">
        <v>3301</v>
      </c>
    </row>
    <row r="5568" spans="1:14" x14ac:dyDescent="0.25">
      <c r="A5568" s="1" t="s">
        <v>3302</v>
      </c>
      <c r="B5568" s="3" t="s">
        <v>9192</v>
      </c>
      <c r="C5568" s="2">
        <f ca="1">IF(ISNUMBER(SEARCH(Лист2!$B$4,D:D)),MAX($C$3:OFFSET(C5568,-1,0))+1,0)</f>
        <v>0</v>
      </c>
      <c r="E5568" s="9" t="str">
        <f t="shared" ca="1" si="98"/>
        <v/>
      </c>
      <c r="G5568" s="2">
        <f>IF(ISNUMBER(SEARCH(Лист2!$B$4,F:F)),1,0)</f>
        <v>0</v>
      </c>
      <c r="H5568" s="3">
        <f ca="1">IF(AND(I5568&lt;&gt;I5567,ISNUMBER(SEARCH(Лист2!$B$5,I:I)),G5568=1),MAX($H$3:OFFSET(H5568,-1,0))+1,0)</f>
        <v>0</v>
      </c>
      <c r="K5568" s="2">
        <f>IF(ISNUMBER(SEARCH(Лист2!$B$4,F:F)),1,0)</f>
        <v>0</v>
      </c>
      <c r="L5568" s="14">
        <f>IF(ISNUMBER(SEARCH(Лист2!$B$5,I:I)),1,0)+K5568</f>
        <v>0</v>
      </c>
      <c r="M5568" s="3">
        <f ca="1">IF(AND(N5568&lt;&gt;N5567,ISNUMBER(SEARCH(Лист2!$B$6,N:N)),L5568=2),MAX($M$3:OFFSET(M5568,-1,0))+1,0)</f>
        <v>0</v>
      </c>
      <c r="N5568" s="3" t="s">
        <v>3302</v>
      </c>
    </row>
    <row r="5569" spans="1:14" x14ac:dyDescent="0.25">
      <c r="A5569" s="1" t="s">
        <v>9781</v>
      </c>
      <c r="B5569" s="3" t="s">
        <v>9193</v>
      </c>
      <c r="C5569" s="2">
        <f ca="1">IF(ISNUMBER(SEARCH(Лист2!$B$4,D:D)),MAX($C$3:OFFSET(C5569,-1,0))+1,0)</f>
        <v>0</v>
      </c>
      <c r="E5569" s="9" t="str">
        <f t="shared" ca="1" si="98"/>
        <v/>
      </c>
      <c r="G5569" s="2">
        <f>IF(ISNUMBER(SEARCH(Лист2!$B$4,F:F)),1,0)</f>
        <v>0</v>
      </c>
      <c r="H5569" s="3">
        <f ca="1">IF(AND(I5569&lt;&gt;I5568,ISNUMBER(SEARCH(Лист2!$B$5,I:I)),G5569=1),MAX($H$3:OFFSET(H5569,-1,0))+1,0)</f>
        <v>0</v>
      </c>
      <c r="K5569" s="2">
        <f>IF(ISNUMBER(SEARCH(Лист2!$B$4,F:F)),1,0)</f>
        <v>0</v>
      </c>
      <c r="L5569" s="14">
        <f>IF(ISNUMBER(SEARCH(Лист2!$B$5,I:I)),1,0)+K5569</f>
        <v>0</v>
      </c>
      <c r="M5569" s="3">
        <f ca="1">IF(AND(N5569&lt;&gt;N5568,ISNUMBER(SEARCH(Лист2!$B$6,N:N)),L5569=2),MAX($M$3:OFFSET(M5569,-1,0))+1,0)</f>
        <v>0</v>
      </c>
      <c r="N5569" s="3" t="s">
        <v>9781</v>
      </c>
    </row>
    <row r="5570" spans="1:14" x14ac:dyDescent="0.25">
      <c r="A5570" s="1" t="s">
        <v>14200</v>
      </c>
      <c r="B5570" s="3" t="s">
        <v>9194</v>
      </c>
      <c r="C5570" s="2">
        <f ca="1">IF(ISNUMBER(SEARCH(Лист2!$B$4,D:D)),MAX($C$3:OFFSET(C5570,-1,0))+1,0)</f>
        <v>0</v>
      </c>
      <c r="E5570" s="9" t="str">
        <f t="shared" ca="1" si="98"/>
        <v/>
      </c>
      <c r="F5570" s="4" t="s">
        <v>22</v>
      </c>
      <c r="G5570" s="2">
        <f>IF(ISNUMBER(SEARCH(Лист2!$B$4,F:F)),1,0)</f>
        <v>0</v>
      </c>
      <c r="H5570" s="3">
        <f ca="1">IF(AND(I5570&lt;&gt;I5569,ISNUMBER(SEARCH(Лист2!$B$5,I:I)),G5570=1),MAX($H$3:OFFSET(H5570,-1,0))+1,0)</f>
        <v>0</v>
      </c>
      <c r="I5570" s="3" t="s">
        <v>444</v>
      </c>
      <c r="K5570" s="2">
        <f>IF(ISNUMBER(SEARCH(Лист2!$B$4,F:F)),1,0)</f>
        <v>0</v>
      </c>
      <c r="L5570" s="14">
        <f>IF(ISNUMBER(SEARCH(Лист2!$B$5,I:I)),1,0)+K5570</f>
        <v>0</v>
      </c>
      <c r="M5570" s="3">
        <f ca="1">IF(AND(N5570&lt;&gt;N5569,ISNUMBER(SEARCH(Лист2!$B$6,N:N)),L5570=2),MAX($M$3:OFFSET(M5570,-1,0))+1,0)</f>
        <v>0</v>
      </c>
      <c r="N5570" s="3" t="s">
        <v>2636</v>
      </c>
    </row>
    <row r="5571" spans="1:14" x14ac:dyDescent="0.25">
      <c r="A5571" s="1" t="s">
        <v>14201</v>
      </c>
      <c r="B5571" s="3" t="s">
        <v>9195</v>
      </c>
      <c r="C5571" s="2">
        <f ca="1">IF(ISNUMBER(SEARCH(Лист2!$B$4,D:D)),MAX($C$3:OFFSET(C5571,-1,0))+1,0)</f>
        <v>0</v>
      </c>
      <c r="E5571" s="9" t="str">
        <f t="shared" ca="1" si="98"/>
        <v/>
      </c>
      <c r="F5571" s="4" t="s">
        <v>22</v>
      </c>
      <c r="G5571" s="2">
        <f>IF(ISNUMBER(SEARCH(Лист2!$B$4,F:F)),1,0)</f>
        <v>0</v>
      </c>
      <c r="H5571" s="3">
        <f ca="1">IF(AND(I5571&lt;&gt;I5570,ISNUMBER(SEARCH(Лист2!$B$5,I:I)),G5571=1),MAX($H$3:OFFSET(H5571,-1,0))+1,0)</f>
        <v>0</v>
      </c>
      <c r="I5571" s="3" t="s">
        <v>353</v>
      </c>
      <c r="K5571" s="2">
        <f>IF(ISNUMBER(SEARCH(Лист2!$B$4,F:F)),1,0)</f>
        <v>0</v>
      </c>
      <c r="L5571" s="14">
        <f>IF(ISNUMBER(SEARCH(Лист2!$B$5,I:I)),1,0)+K5571</f>
        <v>0</v>
      </c>
      <c r="M5571" s="3">
        <f ca="1">IF(AND(N5571&lt;&gt;N5570,ISNUMBER(SEARCH(Лист2!$B$6,N:N)),L5571=2),MAX($M$3:OFFSET(M5571,-1,0))+1,0)</f>
        <v>0</v>
      </c>
      <c r="N5571" s="3" t="s">
        <v>3303</v>
      </c>
    </row>
    <row r="5572" spans="1:14" x14ac:dyDescent="0.25">
      <c r="A5572" s="1" t="s">
        <v>14080</v>
      </c>
      <c r="C5572" s="2">
        <f ca="1">IF(ISNUMBER(SEARCH(Лист2!$B$4,D:D)),MAX($C$3:OFFSET(C5572,-1,0))+1,0)</f>
        <v>0</v>
      </c>
      <c r="E5572" s="9" t="str">
        <f t="shared" ca="1" si="98"/>
        <v/>
      </c>
      <c r="G5572" s="2">
        <f>IF(ISNUMBER(SEARCH(Лист2!$B$4,F:F)),1,0)</f>
        <v>0</v>
      </c>
      <c r="H5572" s="3">
        <f ca="1">IF(AND(I5572&lt;&gt;I5571,ISNUMBER(SEARCH(Лист2!$B$5,I:I)),G5572=1),MAX($H$3:OFFSET(H5572,-1,0))+1,0)</f>
        <v>0</v>
      </c>
      <c r="K5572" s="2">
        <f>IF(ISNUMBER(SEARCH(Лист2!$B$4,F:F)),1,0)</f>
        <v>0</v>
      </c>
      <c r="L5572" s="14">
        <f>IF(ISNUMBER(SEARCH(Лист2!$B$5,I:I)),1,0)+K5572</f>
        <v>0</v>
      </c>
      <c r="M5572" s="3">
        <f ca="1">IF(AND(N5572&lt;&gt;N5571,ISNUMBER(SEARCH(Лист2!$B$6,N:N)),L5572=2),MAX($M$3:OFFSET(M5572,-1,0))+1,0)</f>
        <v>0</v>
      </c>
    </row>
    <row r="5573" spans="1:14" x14ac:dyDescent="0.25">
      <c r="A5573" s="1" t="s">
        <v>14202</v>
      </c>
      <c r="B5573" s="3" t="s">
        <v>9196</v>
      </c>
      <c r="C5573" s="2">
        <f ca="1">IF(ISNUMBER(SEARCH(Лист2!$B$4,D:D)),MAX($C$3:OFFSET(C5573,-1,0))+1,0)</f>
        <v>0</v>
      </c>
      <c r="E5573" s="9" t="str">
        <f t="shared" ref="E5573:E5636" ca="1" si="99">IFERROR(INDEX(D:D,MATCH(ROW(E5573)-ROW($E$3),C:C,0)),"")</f>
        <v/>
      </c>
      <c r="F5573" s="4" t="s">
        <v>4</v>
      </c>
      <c r="G5573" s="2">
        <f>IF(ISNUMBER(SEARCH(Лист2!$B$4,F:F)),1,0)</f>
        <v>0</v>
      </c>
      <c r="H5573" s="3">
        <f ca="1">IF(AND(I5573&lt;&gt;I5572,ISNUMBER(SEARCH(Лист2!$B$5,I:I)),G5573=1),MAX($H$3:OFFSET(H5573,-1,0))+1,0)</f>
        <v>0</v>
      </c>
      <c r="I5573" s="3" t="s">
        <v>146</v>
      </c>
      <c r="K5573" s="2">
        <f>IF(ISNUMBER(SEARCH(Лист2!$B$4,F:F)),1,0)</f>
        <v>0</v>
      </c>
      <c r="L5573" s="14">
        <f>IF(ISNUMBER(SEARCH(Лист2!$B$5,I:I)),1,0)+K5573</f>
        <v>0</v>
      </c>
      <c r="M5573" s="3">
        <f ca="1">IF(AND(N5573&lt;&gt;N5572,ISNUMBER(SEARCH(Лист2!$B$6,N:N)),L5573=2),MAX($M$3:OFFSET(M5573,-1,0))+1,0)</f>
        <v>0</v>
      </c>
      <c r="N5573" s="3" t="s">
        <v>3304</v>
      </c>
    </row>
    <row r="5574" spans="1:14" x14ac:dyDescent="0.25">
      <c r="A5574" s="1" t="s">
        <v>14203</v>
      </c>
      <c r="B5574" s="3" t="s">
        <v>9197</v>
      </c>
      <c r="C5574" s="2">
        <f ca="1">IF(ISNUMBER(SEARCH(Лист2!$B$4,D:D)),MAX($C$3:OFFSET(C5574,-1,0))+1,0)</f>
        <v>0</v>
      </c>
      <c r="E5574" s="9" t="str">
        <f t="shared" ca="1" si="99"/>
        <v/>
      </c>
      <c r="F5574" s="4" t="s">
        <v>4</v>
      </c>
      <c r="G5574" s="2">
        <f>IF(ISNUMBER(SEARCH(Лист2!$B$4,F:F)),1,0)</f>
        <v>0</v>
      </c>
      <c r="H5574" s="3">
        <f ca="1">IF(AND(I5574&lt;&gt;I5573,ISNUMBER(SEARCH(Лист2!$B$5,I:I)),G5574=1),MAX($H$3:OFFSET(H5574,-1,0))+1,0)</f>
        <v>0</v>
      </c>
      <c r="I5574" s="3" t="s">
        <v>146</v>
      </c>
      <c r="K5574" s="2">
        <f>IF(ISNUMBER(SEARCH(Лист2!$B$4,F:F)),1,0)</f>
        <v>0</v>
      </c>
      <c r="L5574" s="14">
        <f>IF(ISNUMBER(SEARCH(Лист2!$B$5,I:I)),1,0)+K5574</f>
        <v>0</v>
      </c>
      <c r="M5574" s="3">
        <f ca="1">IF(AND(N5574&lt;&gt;N5573,ISNUMBER(SEARCH(Лист2!$B$6,N:N)),L5574=2),MAX($M$3:OFFSET(M5574,-1,0))+1,0)</f>
        <v>0</v>
      </c>
      <c r="N5574" s="3" t="s">
        <v>3305</v>
      </c>
    </row>
    <row r="5575" spans="1:14" x14ac:dyDescent="0.25">
      <c r="A5575" s="1" t="s">
        <v>14204</v>
      </c>
      <c r="B5575" s="3" t="s">
        <v>9198</v>
      </c>
      <c r="C5575" s="2">
        <f ca="1">IF(ISNUMBER(SEARCH(Лист2!$B$4,D:D)),MAX($C$3:OFFSET(C5575,-1,0))+1,0)</f>
        <v>0</v>
      </c>
      <c r="E5575" s="9" t="str">
        <f t="shared" ca="1" si="99"/>
        <v/>
      </c>
      <c r="F5575" s="4" t="s">
        <v>4</v>
      </c>
      <c r="G5575" s="2">
        <f>IF(ISNUMBER(SEARCH(Лист2!$B$4,F:F)),1,0)</f>
        <v>0</v>
      </c>
      <c r="H5575" s="3">
        <f ca="1">IF(AND(I5575&lt;&gt;I5574,ISNUMBER(SEARCH(Лист2!$B$5,I:I)),G5575=1),MAX($H$3:OFFSET(H5575,-1,0))+1,0)</f>
        <v>0</v>
      </c>
      <c r="I5575" s="3" t="s">
        <v>147</v>
      </c>
      <c r="K5575" s="2">
        <f>IF(ISNUMBER(SEARCH(Лист2!$B$4,F:F)),1,0)</f>
        <v>0</v>
      </c>
      <c r="L5575" s="14">
        <f>IF(ISNUMBER(SEARCH(Лист2!$B$5,I:I)),1,0)+K5575</f>
        <v>0</v>
      </c>
      <c r="M5575" s="3">
        <f ca="1">IF(AND(N5575&lt;&gt;N5574,ISNUMBER(SEARCH(Лист2!$B$6,N:N)),L5575=2),MAX($M$3:OFFSET(M5575,-1,0))+1,0)</f>
        <v>0</v>
      </c>
      <c r="N5575" s="3" t="s">
        <v>3306</v>
      </c>
    </row>
    <row r="5576" spans="1:14" x14ac:dyDescent="0.25">
      <c r="A5576" s="1" t="s">
        <v>14205</v>
      </c>
      <c r="B5576" s="3" t="s">
        <v>9199</v>
      </c>
      <c r="C5576" s="2">
        <f ca="1">IF(ISNUMBER(SEARCH(Лист2!$B$4,D:D)),MAX($C$3:OFFSET(C5576,-1,0))+1,0)</f>
        <v>0</v>
      </c>
      <c r="E5576" s="9" t="str">
        <f t="shared" ca="1" si="99"/>
        <v/>
      </c>
      <c r="F5576" s="4" t="s">
        <v>4</v>
      </c>
      <c r="G5576" s="2">
        <f>IF(ISNUMBER(SEARCH(Лист2!$B$4,F:F)),1,0)</f>
        <v>0</v>
      </c>
      <c r="H5576" s="3">
        <f ca="1">IF(AND(I5576&lt;&gt;I5575,ISNUMBER(SEARCH(Лист2!$B$5,I:I)),G5576=1),MAX($H$3:OFFSET(H5576,-1,0))+1,0)</f>
        <v>0</v>
      </c>
      <c r="I5576" s="3" t="s">
        <v>147</v>
      </c>
      <c r="K5576" s="2">
        <f>IF(ISNUMBER(SEARCH(Лист2!$B$4,F:F)),1,0)</f>
        <v>0</v>
      </c>
      <c r="L5576" s="14">
        <f>IF(ISNUMBER(SEARCH(Лист2!$B$5,I:I)),1,0)+K5576</f>
        <v>0</v>
      </c>
      <c r="M5576" s="3">
        <f ca="1">IF(AND(N5576&lt;&gt;N5575,ISNUMBER(SEARCH(Лист2!$B$6,N:N)),L5576=2),MAX($M$3:OFFSET(M5576,-1,0))+1,0)</f>
        <v>0</v>
      </c>
      <c r="N5576" s="3" t="s">
        <v>3307</v>
      </c>
    </row>
    <row r="5577" spans="1:14" x14ac:dyDescent="0.25">
      <c r="A5577" s="1" t="s">
        <v>14206</v>
      </c>
      <c r="B5577" s="3" t="s">
        <v>9200</v>
      </c>
      <c r="C5577" s="2">
        <f ca="1">IF(ISNUMBER(SEARCH(Лист2!$B$4,D:D)),MAX($C$3:OFFSET(C5577,-1,0))+1,0)</f>
        <v>0</v>
      </c>
      <c r="E5577" s="9" t="str">
        <f t="shared" ca="1" si="99"/>
        <v/>
      </c>
      <c r="F5577" s="4" t="s">
        <v>4</v>
      </c>
      <c r="G5577" s="2">
        <f>IF(ISNUMBER(SEARCH(Лист2!$B$4,F:F)),1,0)</f>
        <v>0</v>
      </c>
      <c r="H5577" s="3">
        <f ca="1">IF(AND(I5577&lt;&gt;I5576,ISNUMBER(SEARCH(Лист2!$B$5,I:I)),G5577=1),MAX($H$3:OFFSET(H5577,-1,0))+1,0)</f>
        <v>0</v>
      </c>
      <c r="I5577" s="3" t="s">
        <v>102</v>
      </c>
      <c r="K5577" s="2">
        <f>IF(ISNUMBER(SEARCH(Лист2!$B$4,F:F)),1,0)</f>
        <v>0</v>
      </c>
      <c r="L5577" s="14">
        <f>IF(ISNUMBER(SEARCH(Лист2!$B$5,I:I)),1,0)+K5577</f>
        <v>0</v>
      </c>
      <c r="M5577" s="3">
        <f ca="1">IF(AND(N5577&lt;&gt;N5576,ISNUMBER(SEARCH(Лист2!$B$6,N:N)),L5577=2),MAX($M$3:OFFSET(M5577,-1,0))+1,0)</f>
        <v>0</v>
      </c>
      <c r="N5577" s="3" t="s">
        <v>3308</v>
      </c>
    </row>
    <row r="5578" spans="1:14" x14ac:dyDescent="0.25">
      <c r="A5578" s="1" t="s">
        <v>14207</v>
      </c>
      <c r="B5578" s="3" t="s">
        <v>9201</v>
      </c>
      <c r="C5578" s="2">
        <f ca="1">IF(ISNUMBER(SEARCH(Лист2!$B$4,D:D)),MAX($C$3:OFFSET(C5578,-1,0))+1,0)</f>
        <v>0</v>
      </c>
      <c r="E5578" s="9" t="str">
        <f t="shared" ca="1" si="99"/>
        <v/>
      </c>
      <c r="F5578" s="4" t="s">
        <v>4</v>
      </c>
      <c r="G5578" s="2">
        <f>IF(ISNUMBER(SEARCH(Лист2!$B$4,F:F)),1,0)</f>
        <v>0</v>
      </c>
      <c r="H5578" s="3">
        <f ca="1">IF(AND(I5578&lt;&gt;I5577,ISNUMBER(SEARCH(Лист2!$B$5,I:I)),G5578=1),MAX($H$3:OFFSET(H5578,-1,0))+1,0)</f>
        <v>0</v>
      </c>
      <c r="I5578" s="3" t="s">
        <v>103</v>
      </c>
      <c r="K5578" s="2">
        <f>IF(ISNUMBER(SEARCH(Лист2!$B$4,F:F)),1,0)</f>
        <v>0</v>
      </c>
      <c r="L5578" s="14">
        <f>IF(ISNUMBER(SEARCH(Лист2!$B$5,I:I)),1,0)+K5578</f>
        <v>0</v>
      </c>
      <c r="M5578" s="3">
        <f ca="1">IF(AND(N5578&lt;&gt;N5577,ISNUMBER(SEARCH(Лист2!$B$6,N:N)),L5578=2),MAX($M$3:OFFSET(M5578,-1,0))+1,0)</f>
        <v>0</v>
      </c>
      <c r="N5578" s="3" t="s">
        <v>3308</v>
      </c>
    </row>
    <row r="5579" spans="1:14" x14ac:dyDescent="0.25">
      <c r="A5579" s="1" t="s">
        <v>14208</v>
      </c>
      <c r="B5579" s="3" t="s">
        <v>9202</v>
      </c>
      <c r="C5579" s="2">
        <f ca="1">IF(ISNUMBER(SEARCH(Лист2!$B$4,D:D)),MAX($C$3:OFFSET(C5579,-1,0))+1,0)</f>
        <v>0</v>
      </c>
      <c r="E5579" s="9" t="str">
        <f t="shared" ca="1" si="99"/>
        <v/>
      </c>
      <c r="F5579" s="4" t="s">
        <v>4</v>
      </c>
      <c r="G5579" s="2">
        <f>IF(ISNUMBER(SEARCH(Лист2!$B$4,F:F)),1,0)</f>
        <v>0</v>
      </c>
      <c r="H5579" s="3">
        <f ca="1">IF(AND(I5579&lt;&gt;I5578,ISNUMBER(SEARCH(Лист2!$B$5,I:I)),G5579=1),MAX($H$3:OFFSET(H5579,-1,0))+1,0)</f>
        <v>0</v>
      </c>
      <c r="I5579" s="3" t="s">
        <v>143</v>
      </c>
      <c r="K5579" s="2">
        <f>IF(ISNUMBER(SEARCH(Лист2!$B$4,F:F)),1,0)</f>
        <v>0</v>
      </c>
      <c r="L5579" s="14">
        <f>IF(ISNUMBER(SEARCH(Лист2!$B$5,I:I)),1,0)+K5579</f>
        <v>0</v>
      </c>
      <c r="M5579" s="3">
        <f ca="1">IF(AND(N5579&lt;&gt;N5578,ISNUMBER(SEARCH(Лист2!$B$6,N:N)),L5579=2),MAX($M$3:OFFSET(M5579,-1,0))+1,0)</f>
        <v>0</v>
      </c>
      <c r="N5579" s="3" t="s">
        <v>3309</v>
      </c>
    </row>
    <row r="5580" spans="1:14" x14ac:dyDescent="0.25">
      <c r="A5580" s="1" t="s">
        <v>14209</v>
      </c>
      <c r="B5580" s="3" t="s">
        <v>9203</v>
      </c>
      <c r="C5580" s="2">
        <f ca="1">IF(ISNUMBER(SEARCH(Лист2!$B$4,D:D)),MAX($C$3:OFFSET(C5580,-1,0))+1,0)</f>
        <v>0</v>
      </c>
      <c r="E5580" s="9" t="str">
        <f t="shared" ca="1" si="99"/>
        <v/>
      </c>
      <c r="F5580" s="4" t="s">
        <v>4</v>
      </c>
      <c r="G5580" s="2">
        <f>IF(ISNUMBER(SEARCH(Лист2!$B$4,F:F)),1,0)</f>
        <v>0</v>
      </c>
      <c r="H5580" s="3">
        <f ca="1">IF(AND(I5580&lt;&gt;I5579,ISNUMBER(SEARCH(Лист2!$B$5,I:I)),G5580=1),MAX($H$3:OFFSET(H5580,-1,0))+1,0)</f>
        <v>0</v>
      </c>
      <c r="I5580" s="3" t="s">
        <v>142</v>
      </c>
      <c r="K5580" s="2">
        <f>IF(ISNUMBER(SEARCH(Лист2!$B$4,F:F)),1,0)</f>
        <v>0</v>
      </c>
      <c r="L5580" s="14">
        <f>IF(ISNUMBER(SEARCH(Лист2!$B$5,I:I)),1,0)+K5580</f>
        <v>0</v>
      </c>
      <c r="M5580" s="3">
        <f ca="1">IF(AND(N5580&lt;&gt;N5579,ISNUMBER(SEARCH(Лист2!$B$6,N:N)),L5580=2),MAX($M$3:OFFSET(M5580,-1,0))+1,0)</f>
        <v>0</v>
      </c>
      <c r="N5580" s="3" t="s">
        <v>3310</v>
      </c>
    </row>
    <row r="5581" spans="1:14" x14ac:dyDescent="0.25">
      <c r="A5581" s="1" t="s">
        <v>14210</v>
      </c>
      <c r="B5581" s="3" t="s">
        <v>9204</v>
      </c>
      <c r="C5581" s="2">
        <f ca="1">IF(ISNUMBER(SEARCH(Лист2!$B$4,D:D)),MAX($C$3:OFFSET(C5581,-1,0))+1,0)</f>
        <v>0</v>
      </c>
      <c r="E5581" s="9" t="str">
        <f t="shared" ca="1" si="99"/>
        <v/>
      </c>
      <c r="F5581" s="4" t="s">
        <v>4</v>
      </c>
      <c r="G5581" s="2">
        <f>IF(ISNUMBER(SEARCH(Лист2!$B$4,F:F)),1,0)</f>
        <v>0</v>
      </c>
      <c r="H5581" s="3">
        <f ca="1">IF(AND(I5581&lt;&gt;I5580,ISNUMBER(SEARCH(Лист2!$B$5,I:I)),G5581=1),MAX($H$3:OFFSET(H5581,-1,0))+1,0)</f>
        <v>0</v>
      </c>
      <c r="I5581" s="3" t="s">
        <v>143</v>
      </c>
      <c r="K5581" s="2">
        <f>IF(ISNUMBER(SEARCH(Лист2!$B$4,F:F)),1,0)</f>
        <v>0</v>
      </c>
      <c r="L5581" s="14">
        <f>IF(ISNUMBER(SEARCH(Лист2!$B$5,I:I)),1,0)+K5581</f>
        <v>0</v>
      </c>
      <c r="M5581" s="3">
        <f ca="1">IF(AND(N5581&lt;&gt;N5580,ISNUMBER(SEARCH(Лист2!$B$6,N:N)),L5581=2),MAX($M$3:OFFSET(M5581,-1,0))+1,0)</f>
        <v>0</v>
      </c>
      <c r="N5581" s="3" t="s">
        <v>3310</v>
      </c>
    </row>
    <row r="5582" spans="1:14" x14ac:dyDescent="0.25">
      <c r="A5582" s="1" t="s">
        <v>14211</v>
      </c>
      <c r="B5582" s="3" t="s">
        <v>9205</v>
      </c>
      <c r="C5582" s="2">
        <f ca="1">IF(ISNUMBER(SEARCH(Лист2!$B$4,D:D)),MAX($C$3:OFFSET(C5582,-1,0))+1,0)</f>
        <v>0</v>
      </c>
      <c r="E5582" s="9" t="str">
        <f t="shared" ca="1" si="99"/>
        <v/>
      </c>
      <c r="F5582" s="4" t="s">
        <v>4</v>
      </c>
      <c r="G5582" s="2">
        <f>IF(ISNUMBER(SEARCH(Лист2!$B$4,F:F)),1,0)</f>
        <v>0</v>
      </c>
      <c r="H5582" s="3">
        <f ca="1">IF(AND(I5582&lt;&gt;I5581,ISNUMBER(SEARCH(Лист2!$B$5,I:I)),G5582=1),MAX($H$3:OFFSET(H5582,-1,0))+1,0)</f>
        <v>0</v>
      </c>
      <c r="I5582" s="3" t="s">
        <v>144</v>
      </c>
      <c r="K5582" s="2">
        <f>IF(ISNUMBER(SEARCH(Лист2!$B$4,F:F)),1,0)</f>
        <v>0</v>
      </c>
      <c r="L5582" s="14">
        <f>IF(ISNUMBER(SEARCH(Лист2!$B$5,I:I)),1,0)+K5582</f>
        <v>1</v>
      </c>
      <c r="M5582" s="3">
        <f ca="1">IF(AND(N5582&lt;&gt;N5581,ISNUMBER(SEARCH(Лист2!$B$6,N:N)),L5582=2),MAX($M$3:OFFSET(M5582,-1,0))+1,0)</f>
        <v>0</v>
      </c>
      <c r="N5582" s="3" t="s">
        <v>3310</v>
      </c>
    </row>
    <row r="5583" spans="1:14" x14ac:dyDescent="0.25">
      <c r="A5583" s="1" t="s">
        <v>14212</v>
      </c>
      <c r="B5583" s="3" t="s">
        <v>9206</v>
      </c>
      <c r="C5583" s="2">
        <f ca="1">IF(ISNUMBER(SEARCH(Лист2!$B$4,D:D)),MAX($C$3:OFFSET(C5583,-1,0))+1,0)</f>
        <v>0</v>
      </c>
      <c r="E5583" s="9" t="str">
        <f t="shared" ca="1" si="99"/>
        <v/>
      </c>
      <c r="F5583" s="4" t="s">
        <v>4</v>
      </c>
      <c r="G5583" s="2">
        <f>IF(ISNUMBER(SEARCH(Лист2!$B$4,F:F)),1,0)</f>
        <v>0</v>
      </c>
      <c r="H5583" s="3">
        <f ca="1">IF(AND(I5583&lt;&gt;I5582,ISNUMBER(SEARCH(Лист2!$B$5,I:I)),G5583=1),MAX($H$3:OFFSET(H5583,-1,0))+1,0)</f>
        <v>0</v>
      </c>
      <c r="I5583" s="3" t="s">
        <v>142</v>
      </c>
      <c r="K5583" s="2">
        <f>IF(ISNUMBER(SEARCH(Лист2!$B$4,F:F)),1,0)</f>
        <v>0</v>
      </c>
      <c r="L5583" s="14">
        <f>IF(ISNUMBER(SEARCH(Лист2!$B$5,I:I)),1,0)+K5583</f>
        <v>0</v>
      </c>
      <c r="M5583" s="3">
        <f ca="1">IF(AND(N5583&lt;&gt;N5582,ISNUMBER(SEARCH(Лист2!$B$6,N:N)),L5583=2),MAX($M$3:OFFSET(M5583,-1,0))+1,0)</f>
        <v>0</v>
      </c>
      <c r="N5583" s="3" t="s">
        <v>564</v>
      </c>
    </row>
    <row r="5584" spans="1:14" x14ac:dyDescent="0.25">
      <c r="A5584" s="1" t="s">
        <v>14213</v>
      </c>
      <c r="B5584" s="3" t="s">
        <v>9207</v>
      </c>
      <c r="C5584" s="2">
        <f ca="1">IF(ISNUMBER(SEARCH(Лист2!$B$4,D:D)),MAX($C$3:OFFSET(C5584,-1,0))+1,0)</f>
        <v>0</v>
      </c>
      <c r="E5584" s="9" t="str">
        <f t="shared" ca="1" si="99"/>
        <v/>
      </c>
      <c r="F5584" s="4" t="s">
        <v>4</v>
      </c>
      <c r="G5584" s="2">
        <f>IF(ISNUMBER(SEARCH(Лист2!$B$4,F:F)),1,0)</f>
        <v>0</v>
      </c>
      <c r="H5584" s="3">
        <f ca="1">IF(AND(I5584&lt;&gt;I5583,ISNUMBER(SEARCH(Лист2!$B$5,I:I)),G5584=1),MAX($H$3:OFFSET(H5584,-1,0))+1,0)</f>
        <v>0</v>
      </c>
      <c r="I5584" s="3" t="s">
        <v>143</v>
      </c>
      <c r="K5584" s="2">
        <f>IF(ISNUMBER(SEARCH(Лист2!$B$4,F:F)),1,0)</f>
        <v>0</v>
      </c>
      <c r="L5584" s="14">
        <f>IF(ISNUMBER(SEARCH(Лист2!$B$5,I:I)),1,0)+K5584</f>
        <v>0</v>
      </c>
      <c r="M5584" s="3">
        <f ca="1">IF(AND(N5584&lt;&gt;N5583,ISNUMBER(SEARCH(Лист2!$B$6,N:N)),L5584=2),MAX($M$3:OFFSET(M5584,-1,0))+1,0)</f>
        <v>0</v>
      </c>
      <c r="N5584" s="3" t="s">
        <v>564</v>
      </c>
    </row>
    <row r="5585" spans="1:14" x14ac:dyDescent="0.25">
      <c r="A5585" s="1" t="s">
        <v>14214</v>
      </c>
      <c r="B5585" s="3" t="s">
        <v>9208</v>
      </c>
      <c r="C5585" s="2">
        <f ca="1">IF(ISNUMBER(SEARCH(Лист2!$B$4,D:D)),MAX($C$3:OFFSET(C5585,-1,0))+1,0)</f>
        <v>0</v>
      </c>
      <c r="E5585" s="9" t="str">
        <f t="shared" ca="1" si="99"/>
        <v/>
      </c>
      <c r="F5585" s="4" t="s">
        <v>4</v>
      </c>
      <c r="G5585" s="2">
        <f>IF(ISNUMBER(SEARCH(Лист2!$B$4,F:F)),1,0)</f>
        <v>0</v>
      </c>
      <c r="H5585" s="3">
        <f ca="1">IF(AND(I5585&lt;&gt;I5584,ISNUMBER(SEARCH(Лист2!$B$5,I:I)),G5585=1),MAX($H$3:OFFSET(H5585,-1,0))+1,0)</f>
        <v>0</v>
      </c>
      <c r="I5585" s="3" t="s">
        <v>144</v>
      </c>
      <c r="K5585" s="2">
        <f>IF(ISNUMBER(SEARCH(Лист2!$B$4,F:F)),1,0)</f>
        <v>0</v>
      </c>
      <c r="L5585" s="14">
        <f>IF(ISNUMBER(SEARCH(Лист2!$B$5,I:I)),1,0)+K5585</f>
        <v>1</v>
      </c>
      <c r="M5585" s="3">
        <f ca="1">IF(AND(N5585&lt;&gt;N5584,ISNUMBER(SEARCH(Лист2!$B$6,N:N)),L5585=2),MAX($M$3:OFFSET(M5585,-1,0))+1,0)</f>
        <v>0</v>
      </c>
      <c r="N5585" s="3" t="s">
        <v>564</v>
      </c>
    </row>
    <row r="5586" spans="1:14" x14ac:dyDescent="0.25">
      <c r="A5586" s="1" t="s">
        <v>14215</v>
      </c>
      <c r="B5586" s="3" t="s">
        <v>9209</v>
      </c>
      <c r="C5586" s="2">
        <f ca="1">IF(ISNUMBER(SEARCH(Лист2!$B$4,D:D)),MAX($C$3:OFFSET(C5586,-1,0))+1,0)</f>
        <v>0</v>
      </c>
      <c r="E5586" s="9" t="str">
        <f t="shared" ca="1" si="99"/>
        <v/>
      </c>
      <c r="F5586" s="4" t="s">
        <v>4</v>
      </c>
      <c r="G5586" s="2">
        <f>IF(ISNUMBER(SEARCH(Лист2!$B$4,F:F)),1,0)</f>
        <v>0</v>
      </c>
      <c r="H5586" s="3">
        <f ca="1">IF(AND(I5586&lt;&gt;I5585,ISNUMBER(SEARCH(Лист2!$B$5,I:I)),G5586=1),MAX($H$3:OFFSET(H5586,-1,0))+1,0)</f>
        <v>0</v>
      </c>
      <c r="I5586" s="3" t="s">
        <v>99</v>
      </c>
      <c r="K5586" s="2">
        <f>IF(ISNUMBER(SEARCH(Лист2!$B$4,F:F)),1,0)</f>
        <v>0</v>
      </c>
      <c r="L5586" s="14">
        <f>IF(ISNUMBER(SEARCH(Лист2!$B$5,I:I)),1,0)+K5586</f>
        <v>0</v>
      </c>
      <c r="M5586" s="3">
        <f ca="1">IF(AND(N5586&lt;&gt;N5585,ISNUMBER(SEARCH(Лист2!$B$6,N:N)),L5586=2),MAX($M$3:OFFSET(M5586,-1,0))+1,0)</f>
        <v>0</v>
      </c>
      <c r="N5586" s="3" t="s">
        <v>3311</v>
      </c>
    </row>
    <row r="5587" spans="1:14" x14ac:dyDescent="0.25">
      <c r="A5587" s="1" t="s">
        <v>14216</v>
      </c>
      <c r="B5587" s="3" t="s">
        <v>9210</v>
      </c>
      <c r="C5587" s="2">
        <f ca="1">IF(ISNUMBER(SEARCH(Лист2!$B$4,D:D)),MAX($C$3:OFFSET(C5587,-1,0))+1,0)</f>
        <v>0</v>
      </c>
      <c r="E5587" s="9" t="str">
        <f t="shared" ca="1" si="99"/>
        <v/>
      </c>
      <c r="F5587" s="4" t="s">
        <v>4</v>
      </c>
      <c r="G5587" s="2">
        <f>IF(ISNUMBER(SEARCH(Лист2!$B$4,F:F)),1,0)</f>
        <v>0</v>
      </c>
      <c r="H5587" s="3">
        <f ca="1">IF(AND(I5587&lt;&gt;I5586,ISNUMBER(SEARCH(Лист2!$B$5,I:I)),G5587=1),MAX($H$3:OFFSET(H5587,-1,0))+1,0)</f>
        <v>0</v>
      </c>
      <c r="I5587" s="3" t="s">
        <v>452</v>
      </c>
      <c r="K5587" s="2">
        <f>IF(ISNUMBER(SEARCH(Лист2!$B$4,F:F)),1,0)</f>
        <v>0</v>
      </c>
      <c r="L5587" s="14">
        <f>IF(ISNUMBER(SEARCH(Лист2!$B$5,I:I)),1,0)+K5587</f>
        <v>0</v>
      </c>
      <c r="M5587" s="3">
        <f ca="1">IF(AND(N5587&lt;&gt;N5586,ISNUMBER(SEARCH(Лист2!$B$6,N:N)),L5587=2),MAX($M$3:OFFSET(M5587,-1,0))+1,0)</f>
        <v>0</v>
      </c>
      <c r="N5587" s="3" t="s">
        <v>3312</v>
      </c>
    </row>
    <row r="5588" spans="1:14" x14ac:dyDescent="0.25">
      <c r="A5588" s="1" t="s">
        <v>14080</v>
      </c>
      <c r="C5588" s="2">
        <f ca="1">IF(ISNUMBER(SEARCH(Лист2!$B$4,D:D)),MAX($C$3:OFFSET(C5588,-1,0))+1,0)</f>
        <v>0</v>
      </c>
      <c r="E5588" s="9" t="str">
        <f t="shared" ca="1" si="99"/>
        <v/>
      </c>
      <c r="G5588" s="2">
        <f>IF(ISNUMBER(SEARCH(Лист2!$B$4,F:F)),1,0)</f>
        <v>0</v>
      </c>
      <c r="H5588" s="3">
        <f ca="1">IF(AND(I5588&lt;&gt;I5587,ISNUMBER(SEARCH(Лист2!$B$5,I:I)),G5588=1),MAX($H$3:OFFSET(H5588,-1,0))+1,0)</f>
        <v>0</v>
      </c>
      <c r="K5588" s="2">
        <f>IF(ISNUMBER(SEARCH(Лист2!$B$4,F:F)),1,0)</f>
        <v>0</v>
      </c>
      <c r="L5588" s="14">
        <f>IF(ISNUMBER(SEARCH(Лист2!$B$5,I:I)),1,0)+K5588</f>
        <v>0</v>
      </c>
      <c r="M5588" s="3">
        <f ca="1">IF(AND(N5588&lt;&gt;N5587,ISNUMBER(SEARCH(Лист2!$B$6,N:N)),L5588=2),MAX($M$3:OFFSET(M5588,-1,0))+1,0)</f>
        <v>0</v>
      </c>
    </row>
    <row r="5589" spans="1:14" x14ac:dyDescent="0.25">
      <c r="A5589" s="1" t="s">
        <v>14217</v>
      </c>
      <c r="B5589" s="3" t="s">
        <v>9211</v>
      </c>
      <c r="C5589" s="2">
        <f ca="1">IF(ISNUMBER(SEARCH(Лист2!$B$4,D:D)),MAX($C$3:OFFSET(C5589,-1,0))+1,0)</f>
        <v>0</v>
      </c>
      <c r="E5589" s="9" t="str">
        <f t="shared" ca="1" si="99"/>
        <v/>
      </c>
      <c r="F5589" s="4" t="s">
        <v>34</v>
      </c>
      <c r="G5589" s="2">
        <f>IF(ISNUMBER(SEARCH(Лист2!$B$4,F:F)),1,0)</f>
        <v>0</v>
      </c>
      <c r="H5589" s="3">
        <f ca="1">IF(AND(I5589&lt;&gt;I5588,ISNUMBER(SEARCH(Лист2!$B$5,I:I)),G5589=1),MAX($H$3:OFFSET(H5589,-1,0))+1,0)</f>
        <v>0</v>
      </c>
      <c r="I5589" s="3" t="s">
        <v>453</v>
      </c>
      <c r="K5589" s="2">
        <f>IF(ISNUMBER(SEARCH(Лист2!$B$4,F:F)),1,0)</f>
        <v>0</v>
      </c>
      <c r="L5589" s="14">
        <f>IF(ISNUMBER(SEARCH(Лист2!$B$5,I:I)),1,0)+K5589</f>
        <v>0</v>
      </c>
      <c r="M5589" s="3">
        <f ca="1">IF(AND(N5589&lt;&gt;N5588,ISNUMBER(SEARCH(Лист2!$B$6,N:N)),L5589=2),MAX($M$3:OFFSET(M5589,-1,0))+1,0)</f>
        <v>0</v>
      </c>
      <c r="N5589" s="3" t="s">
        <v>3313</v>
      </c>
    </row>
    <row r="5590" spans="1:14" x14ac:dyDescent="0.25">
      <c r="A5590" s="1" t="s">
        <v>14218</v>
      </c>
      <c r="B5590" s="3" t="s">
        <v>9212</v>
      </c>
      <c r="C5590" s="2">
        <f ca="1">IF(ISNUMBER(SEARCH(Лист2!$B$4,D:D)),MAX($C$3:OFFSET(C5590,-1,0))+1,0)</f>
        <v>0</v>
      </c>
      <c r="E5590" s="9" t="str">
        <f t="shared" ca="1" si="99"/>
        <v/>
      </c>
      <c r="F5590" s="4" t="s">
        <v>34</v>
      </c>
      <c r="G5590" s="2">
        <f>IF(ISNUMBER(SEARCH(Лист2!$B$4,F:F)),1,0)</f>
        <v>0</v>
      </c>
      <c r="H5590" s="3">
        <f ca="1">IF(AND(I5590&lt;&gt;I5589,ISNUMBER(SEARCH(Лист2!$B$5,I:I)),G5590=1),MAX($H$3:OFFSET(H5590,-1,0))+1,0)</f>
        <v>0</v>
      </c>
      <c r="I5590" s="3" t="s">
        <v>453</v>
      </c>
      <c r="K5590" s="2">
        <f>IF(ISNUMBER(SEARCH(Лист2!$B$4,F:F)),1,0)</f>
        <v>0</v>
      </c>
      <c r="L5590" s="14">
        <f>IF(ISNUMBER(SEARCH(Лист2!$B$5,I:I)),1,0)+K5590</f>
        <v>0</v>
      </c>
      <c r="M5590" s="3">
        <f ca="1">IF(AND(N5590&lt;&gt;N5589,ISNUMBER(SEARCH(Лист2!$B$6,N:N)),L5590=2),MAX($M$3:OFFSET(M5590,-1,0))+1,0)</f>
        <v>0</v>
      </c>
      <c r="N5590" s="3" t="s">
        <v>3314</v>
      </c>
    </row>
    <row r="5591" spans="1:14" x14ac:dyDescent="0.25">
      <c r="A5591" s="1" t="s">
        <v>14069</v>
      </c>
      <c r="B5591" s="3" t="s">
        <v>9213</v>
      </c>
      <c r="C5591" s="2">
        <f ca="1">IF(ISNUMBER(SEARCH(Лист2!$B$4,D:D)),MAX($C$3:OFFSET(C5591,-1,0))+1,0)</f>
        <v>0</v>
      </c>
      <c r="E5591" s="9" t="str">
        <f t="shared" ca="1" si="99"/>
        <v/>
      </c>
      <c r="F5591" s="4" t="s">
        <v>34</v>
      </c>
      <c r="G5591" s="2">
        <f>IF(ISNUMBER(SEARCH(Лист2!$B$4,F:F)),1,0)</f>
        <v>0</v>
      </c>
      <c r="H5591" s="3">
        <f ca="1">IF(AND(I5591&lt;&gt;I5590,ISNUMBER(SEARCH(Лист2!$B$5,I:I)),G5591=1),MAX($H$3:OFFSET(H5591,-1,0))+1,0)</f>
        <v>0</v>
      </c>
      <c r="K5591" s="2">
        <f>IF(ISNUMBER(SEARCH(Лист2!$B$4,F:F)),1,0)</f>
        <v>0</v>
      </c>
      <c r="L5591" s="14">
        <f>IF(ISNUMBER(SEARCH(Лист2!$B$5,I:I)),1,0)+K5591</f>
        <v>0</v>
      </c>
      <c r="M5591" s="3">
        <f ca="1">IF(AND(N5591&lt;&gt;N5590,ISNUMBER(SEARCH(Лист2!$B$6,N:N)),L5591=2),MAX($M$3:OFFSET(M5591,-1,0))+1,0)</f>
        <v>0</v>
      </c>
      <c r="N5591" s="3" t="s">
        <v>3315</v>
      </c>
    </row>
    <row r="5592" spans="1:14" x14ac:dyDescent="0.25">
      <c r="A5592" s="1" t="s">
        <v>14219</v>
      </c>
      <c r="B5592" s="3" t="s">
        <v>9214</v>
      </c>
      <c r="C5592" s="2">
        <f ca="1">IF(ISNUMBER(SEARCH(Лист2!$B$4,D:D)),MAX($C$3:OFFSET(C5592,-1,0))+1,0)</f>
        <v>0</v>
      </c>
      <c r="E5592" s="9" t="str">
        <f t="shared" ca="1" si="99"/>
        <v/>
      </c>
      <c r="F5592" s="4" t="s">
        <v>34</v>
      </c>
      <c r="G5592" s="2">
        <f>IF(ISNUMBER(SEARCH(Лист2!$B$4,F:F)),1,0)</f>
        <v>0</v>
      </c>
      <c r="H5592" s="3">
        <f ca="1">IF(AND(I5592&lt;&gt;I5591,ISNUMBER(SEARCH(Лист2!$B$5,I:I)),G5592=1),MAX($H$3:OFFSET(H5592,-1,0))+1,0)</f>
        <v>0</v>
      </c>
      <c r="I5592" s="3" t="s">
        <v>454</v>
      </c>
      <c r="K5592" s="2">
        <f>IF(ISNUMBER(SEARCH(Лист2!$B$4,F:F)),1,0)</f>
        <v>0</v>
      </c>
      <c r="L5592" s="14">
        <f>IF(ISNUMBER(SEARCH(Лист2!$B$5,I:I)),1,0)+K5592</f>
        <v>0</v>
      </c>
      <c r="M5592" s="3">
        <f ca="1">IF(AND(N5592&lt;&gt;N5591,ISNUMBER(SEARCH(Лист2!$B$6,N:N)),L5592=2),MAX($M$3:OFFSET(M5592,-1,0))+1,0)</f>
        <v>0</v>
      </c>
      <c r="N5592" s="3" t="s">
        <v>3316</v>
      </c>
    </row>
    <row r="5593" spans="1:14" x14ac:dyDescent="0.25">
      <c r="A5593" s="1" t="s">
        <v>14220</v>
      </c>
      <c r="B5593" s="3" t="s">
        <v>9215</v>
      </c>
      <c r="C5593" s="2">
        <f ca="1">IF(ISNUMBER(SEARCH(Лист2!$B$4,D:D)),MAX($C$3:OFFSET(C5593,-1,0))+1,0)</f>
        <v>0</v>
      </c>
      <c r="E5593" s="9" t="str">
        <f t="shared" ca="1" si="99"/>
        <v/>
      </c>
      <c r="F5593" s="4" t="s">
        <v>34</v>
      </c>
      <c r="G5593" s="2">
        <f>IF(ISNUMBER(SEARCH(Лист2!$B$4,F:F)),1,0)</f>
        <v>0</v>
      </c>
      <c r="H5593" s="3">
        <f ca="1">IF(AND(I5593&lt;&gt;I5592,ISNUMBER(SEARCH(Лист2!$B$5,I:I)),G5593=1),MAX($H$3:OFFSET(H5593,-1,0))+1,0)</f>
        <v>0</v>
      </c>
      <c r="I5593" s="3" t="s">
        <v>454</v>
      </c>
      <c r="K5593" s="2">
        <f>IF(ISNUMBER(SEARCH(Лист2!$B$4,F:F)),1,0)</f>
        <v>0</v>
      </c>
      <c r="L5593" s="14">
        <f>IF(ISNUMBER(SEARCH(Лист2!$B$5,I:I)),1,0)+K5593</f>
        <v>0</v>
      </c>
      <c r="M5593" s="3">
        <f ca="1">IF(AND(N5593&lt;&gt;N5592,ISNUMBER(SEARCH(Лист2!$B$6,N:N)),L5593=2),MAX($M$3:OFFSET(M5593,-1,0))+1,0)</f>
        <v>0</v>
      </c>
      <c r="N5593" s="3" t="s">
        <v>3317</v>
      </c>
    </row>
    <row r="5594" spans="1:14" x14ac:dyDescent="0.25">
      <c r="A5594" s="1" t="s">
        <v>14221</v>
      </c>
      <c r="B5594" s="3" t="s">
        <v>9216</v>
      </c>
      <c r="C5594" s="2">
        <f ca="1">IF(ISNUMBER(SEARCH(Лист2!$B$4,D:D)),MAX($C$3:OFFSET(C5594,-1,0))+1,0)</f>
        <v>0</v>
      </c>
      <c r="E5594" s="9" t="str">
        <f t="shared" ca="1" si="99"/>
        <v/>
      </c>
      <c r="F5594" s="4" t="s">
        <v>34</v>
      </c>
      <c r="G5594" s="2">
        <f>IF(ISNUMBER(SEARCH(Лист2!$B$4,F:F)),1,0)</f>
        <v>0</v>
      </c>
      <c r="H5594" s="3">
        <f ca="1">IF(AND(I5594&lt;&gt;I5593,ISNUMBER(SEARCH(Лист2!$B$5,I:I)),G5594=1),MAX($H$3:OFFSET(H5594,-1,0))+1,0)</f>
        <v>0</v>
      </c>
      <c r="I5594" s="3" t="s">
        <v>454</v>
      </c>
      <c r="K5594" s="2">
        <f>IF(ISNUMBER(SEARCH(Лист2!$B$4,F:F)),1,0)</f>
        <v>0</v>
      </c>
      <c r="L5594" s="14">
        <f>IF(ISNUMBER(SEARCH(Лист2!$B$5,I:I)),1,0)+K5594</f>
        <v>0</v>
      </c>
      <c r="M5594" s="3">
        <f ca="1">IF(AND(N5594&lt;&gt;N5593,ISNUMBER(SEARCH(Лист2!$B$6,N:N)),L5594=2),MAX($M$3:OFFSET(M5594,-1,0))+1,0)</f>
        <v>0</v>
      </c>
      <c r="N5594" s="3" t="s">
        <v>3318</v>
      </c>
    </row>
    <row r="5595" spans="1:14" x14ac:dyDescent="0.25">
      <c r="A5595" s="1" t="s">
        <v>14080</v>
      </c>
      <c r="C5595" s="2">
        <f ca="1">IF(ISNUMBER(SEARCH(Лист2!$B$4,D:D)),MAX($C$3:OFFSET(C5595,-1,0))+1,0)</f>
        <v>0</v>
      </c>
      <c r="E5595" s="9" t="str">
        <f t="shared" ca="1" si="99"/>
        <v/>
      </c>
      <c r="G5595" s="2">
        <f>IF(ISNUMBER(SEARCH(Лист2!$B$4,F:F)),1,0)</f>
        <v>0</v>
      </c>
      <c r="H5595" s="3">
        <f ca="1">IF(AND(I5595&lt;&gt;I5594,ISNUMBER(SEARCH(Лист2!$B$5,I:I)),G5595=1),MAX($H$3:OFFSET(H5595,-1,0))+1,0)</f>
        <v>0</v>
      </c>
      <c r="K5595" s="2">
        <f>IF(ISNUMBER(SEARCH(Лист2!$B$4,F:F)),1,0)</f>
        <v>0</v>
      </c>
      <c r="L5595" s="14">
        <f>IF(ISNUMBER(SEARCH(Лист2!$B$5,I:I)),1,0)+K5595</f>
        <v>0</v>
      </c>
      <c r="M5595" s="3">
        <f ca="1">IF(AND(N5595&lt;&gt;N5594,ISNUMBER(SEARCH(Лист2!$B$6,N:N)),L5595=2),MAX($M$3:OFFSET(M5595,-1,0))+1,0)</f>
        <v>0</v>
      </c>
    </row>
    <row r="5596" spans="1:14" x14ac:dyDescent="0.25">
      <c r="A5596" s="1" t="s">
        <v>14222</v>
      </c>
      <c r="B5596" s="3" t="s">
        <v>9217</v>
      </c>
      <c r="C5596" s="2">
        <f ca="1">IF(ISNUMBER(SEARCH(Лист2!$B$4,D:D)),MAX($C$3:OFFSET(C5596,-1,0))+1,0)</f>
        <v>0</v>
      </c>
      <c r="E5596" s="9" t="str">
        <f t="shared" ca="1" si="99"/>
        <v/>
      </c>
      <c r="F5596" s="4" t="s">
        <v>3</v>
      </c>
      <c r="G5596" s="2">
        <f>IF(ISNUMBER(SEARCH(Лист2!$B$4,F:F)),1,0)</f>
        <v>0</v>
      </c>
      <c r="H5596" s="3">
        <f ca="1">IF(AND(I5596&lt;&gt;I5595,ISNUMBER(SEARCH(Лист2!$B$5,I:I)),G5596=1),MAX($H$3:OFFSET(H5596,-1,0))+1,0)</f>
        <v>0</v>
      </c>
      <c r="I5596" s="3" t="s">
        <v>455</v>
      </c>
      <c r="K5596" s="2">
        <f>IF(ISNUMBER(SEARCH(Лист2!$B$4,F:F)),1,0)</f>
        <v>0</v>
      </c>
      <c r="L5596" s="14">
        <f>IF(ISNUMBER(SEARCH(Лист2!$B$5,I:I)),1,0)+K5596</f>
        <v>0</v>
      </c>
      <c r="M5596" s="3">
        <f ca="1">IF(AND(N5596&lt;&gt;N5595,ISNUMBER(SEARCH(Лист2!$B$6,N:N)),L5596=2),MAX($M$3:OFFSET(M5596,-1,0))+1,0)</f>
        <v>0</v>
      </c>
      <c r="N5596" s="3" t="s">
        <v>3319</v>
      </c>
    </row>
    <row r="5597" spans="1:14" x14ac:dyDescent="0.25">
      <c r="A5597" s="1" t="s">
        <v>14223</v>
      </c>
      <c r="B5597" s="3" t="s">
        <v>9218</v>
      </c>
      <c r="C5597" s="2">
        <f ca="1">IF(ISNUMBER(SEARCH(Лист2!$B$4,D:D)),MAX($C$3:OFFSET(C5597,-1,0))+1,0)</f>
        <v>0</v>
      </c>
      <c r="E5597" s="9" t="str">
        <f t="shared" ca="1" si="99"/>
        <v/>
      </c>
      <c r="F5597" s="4" t="s">
        <v>3</v>
      </c>
      <c r="G5597" s="2">
        <f>IF(ISNUMBER(SEARCH(Лист2!$B$4,F:F)),1,0)</f>
        <v>0</v>
      </c>
      <c r="H5597" s="3">
        <f ca="1">IF(AND(I5597&lt;&gt;I5596,ISNUMBER(SEARCH(Лист2!$B$5,I:I)),G5597=1),MAX($H$3:OFFSET(H5597,-1,0))+1,0)</f>
        <v>0</v>
      </c>
      <c r="I5597" s="3" t="s">
        <v>455</v>
      </c>
      <c r="K5597" s="2">
        <f>IF(ISNUMBER(SEARCH(Лист2!$B$4,F:F)),1,0)</f>
        <v>0</v>
      </c>
      <c r="L5597" s="14">
        <f>IF(ISNUMBER(SEARCH(Лист2!$B$5,I:I)),1,0)+K5597</f>
        <v>0</v>
      </c>
      <c r="M5597" s="3">
        <f ca="1">IF(AND(N5597&lt;&gt;N5596,ISNUMBER(SEARCH(Лист2!$B$6,N:N)),L5597=2),MAX($M$3:OFFSET(M5597,-1,0))+1,0)</f>
        <v>0</v>
      </c>
      <c r="N5597" s="3" t="s">
        <v>816</v>
      </c>
    </row>
    <row r="5598" spans="1:14" x14ac:dyDescent="0.25">
      <c r="A5598" s="1" t="s">
        <v>14080</v>
      </c>
      <c r="C5598" s="2">
        <f ca="1">IF(ISNUMBER(SEARCH(Лист2!$B$4,D:D)),MAX($C$3:OFFSET(C5598,-1,0))+1,0)</f>
        <v>0</v>
      </c>
      <c r="E5598" s="9" t="str">
        <f t="shared" ca="1" si="99"/>
        <v/>
      </c>
      <c r="G5598" s="2">
        <f>IF(ISNUMBER(SEARCH(Лист2!$B$4,F:F)),1,0)</f>
        <v>0</v>
      </c>
      <c r="H5598" s="3">
        <f ca="1">IF(AND(I5598&lt;&gt;I5597,ISNUMBER(SEARCH(Лист2!$B$5,I:I)),G5598=1),MAX($H$3:OFFSET(H5598,-1,0))+1,0)</f>
        <v>0</v>
      </c>
      <c r="K5598" s="2">
        <f>IF(ISNUMBER(SEARCH(Лист2!$B$4,F:F)),1,0)</f>
        <v>0</v>
      </c>
      <c r="L5598" s="14">
        <f>IF(ISNUMBER(SEARCH(Лист2!$B$5,I:I)),1,0)+K5598</f>
        <v>0</v>
      </c>
      <c r="M5598" s="3">
        <f ca="1">IF(AND(N5598&lt;&gt;N5597,ISNUMBER(SEARCH(Лист2!$B$6,N:N)),L5598=2),MAX($M$3:OFFSET(M5598,-1,0))+1,0)</f>
        <v>0</v>
      </c>
    </row>
    <row r="5599" spans="1:14" x14ac:dyDescent="0.25">
      <c r="A5599" s="1" t="s">
        <v>14080</v>
      </c>
      <c r="C5599" s="2">
        <f ca="1">IF(ISNUMBER(SEARCH(Лист2!$B$4,D:D)),MAX($C$3:OFFSET(C5599,-1,0))+1,0)</f>
        <v>0</v>
      </c>
      <c r="E5599" s="9" t="str">
        <f t="shared" ca="1" si="99"/>
        <v/>
      </c>
      <c r="G5599" s="2">
        <f>IF(ISNUMBER(SEARCH(Лист2!$B$4,F:F)),1,0)</f>
        <v>0</v>
      </c>
      <c r="H5599" s="3">
        <f ca="1">IF(AND(I5599&lt;&gt;I5598,ISNUMBER(SEARCH(Лист2!$B$5,I:I)),G5599=1),MAX($H$3:OFFSET(H5599,-1,0))+1,0)</f>
        <v>0</v>
      </c>
      <c r="K5599" s="2">
        <f>IF(ISNUMBER(SEARCH(Лист2!$B$4,F:F)),1,0)</f>
        <v>0</v>
      </c>
      <c r="L5599" s="14">
        <f>IF(ISNUMBER(SEARCH(Лист2!$B$5,I:I)),1,0)+K5599</f>
        <v>0</v>
      </c>
      <c r="M5599" s="3">
        <f ca="1">IF(AND(N5599&lt;&gt;N5598,ISNUMBER(SEARCH(Лист2!$B$6,N:N)),L5599=2),MAX($M$3:OFFSET(M5599,-1,0))+1,0)</f>
        <v>0</v>
      </c>
    </row>
    <row r="5600" spans="1:14" x14ac:dyDescent="0.25">
      <c r="A5600" s="1" t="s">
        <v>14224</v>
      </c>
      <c r="B5600" s="3" t="s">
        <v>9219</v>
      </c>
      <c r="C5600" s="2">
        <f ca="1">IF(ISNUMBER(SEARCH(Лист2!$B$4,D:D)),MAX($C$3:OFFSET(C5600,-1,0))+1,0)</f>
        <v>0</v>
      </c>
      <c r="E5600" s="9" t="str">
        <f t="shared" ca="1" si="99"/>
        <v/>
      </c>
      <c r="F5600" s="4" t="s">
        <v>10</v>
      </c>
      <c r="G5600" s="2">
        <f>IF(ISNUMBER(SEARCH(Лист2!$B$4,F:F)),1,0)</f>
        <v>0</v>
      </c>
      <c r="H5600" s="3">
        <f ca="1">IF(AND(I5600&lt;&gt;I5599,ISNUMBER(SEARCH(Лист2!$B$5,I:I)),G5600=1),MAX($H$3:OFFSET(H5600,-1,0))+1,0)</f>
        <v>0</v>
      </c>
      <c r="I5600" s="3" t="s">
        <v>456</v>
      </c>
      <c r="K5600" s="2">
        <f>IF(ISNUMBER(SEARCH(Лист2!$B$4,F:F)),1,0)</f>
        <v>0</v>
      </c>
      <c r="L5600" s="14">
        <f>IF(ISNUMBER(SEARCH(Лист2!$B$5,I:I)),1,0)+K5600</f>
        <v>0</v>
      </c>
      <c r="M5600" s="3">
        <f ca="1">IF(AND(N5600&lt;&gt;N5599,ISNUMBER(SEARCH(Лист2!$B$6,N:N)),L5600=2),MAX($M$3:OFFSET(M5600,-1,0))+1,0)</f>
        <v>0</v>
      </c>
      <c r="N5600" s="3" t="s">
        <v>3266</v>
      </c>
    </row>
    <row r="5601" spans="1:14" x14ac:dyDescent="0.25">
      <c r="A5601" s="1" t="s">
        <v>14225</v>
      </c>
      <c r="B5601" s="3" t="s">
        <v>9220</v>
      </c>
      <c r="C5601" s="2">
        <f ca="1">IF(ISNUMBER(SEARCH(Лист2!$B$4,D:D)),MAX($C$3:OFFSET(C5601,-1,0))+1,0)</f>
        <v>0</v>
      </c>
      <c r="E5601" s="9" t="str">
        <f t="shared" ca="1" si="99"/>
        <v/>
      </c>
      <c r="F5601" s="4" t="s">
        <v>10</v>
      </c>
      <c r="G5601" s="2">
        <f>IF(ISNUMBER(SEARCH(Лист2!$B$4,F:F)),1,0)</f>
        <v>0</v>
      </c>
      <c r="H5601" s="3">
        <f ca="1">IF(AND(I5601&lt;&gt;I5600,ISNUMBER(SEARCH(Лист2!$B$5,I:I)),G5601=1),MAX($H$3:OFFSET(H5601,-1,0))+1,0)</f>
        <v>0</v>
      </c>
      <c r="I5601" s="3" t="s">
        <v>456</v>
      </c>
      <c r="K5601" s="2">
        <f>IF(ISNUMBER(SEARCH(Лист2!$B$4,F:F)),1,0)</f>
        <v>0</v>
      </c>
      <c r="L5601" s="14">
        <f>IF(ISNUMBER(SEARCH(Лист2!$B$5,I:I)),1,0)+K5601</f>
        <v>0</v>
      </c>
      <c r="M5601" s="3">
        <f ca="1">IF(AND(N5601&lt;&gt;N5600,ISNUMBER(SEARCH(Лист2!$B$6,N:N)),L5601=2),MAX($M$3:OFFSET(M5601,-1,0))+1,0)</f>
        <v>0</v>
      </c>
      <c r="N5601" s="3" t="s">
        <v>3268</v>
      </c>
    </row>
    <row r="5602" spans="1:14" x14ac:dyDescent="0.25">
      <c r="A5602" s="1" t="s">
        <v>14226</v>
      </c>
      <c r="B5602" s="3" t="s">
        <v>9221</v>
      </c>
      <c r="C5602" s="2">
        <f ca="1">IF(ISNUMBER(SEARCH(Лист2!$B$4,D:D)),MAX($C$3:OFFSET(C5602,-1,0))+1,0)</f>
        <v>0</v>
      </c>
      <c r="E5602" s="9" t="str">
        <f t="shared" ca="1" si="99"/>
        <v/>
      </c>
      <c r="F5602" s="4" t="s">
        <v>10</v>
      </c>
      <c r="G5602" s="2">
        <f>IF(ISNUMBER(SEARCH(Лист2!$B$4,F:F)),1,0)</f>
        <v>0</v>
      </c>
      <c r="H5602" s="3">
        <f ca="1">IF(AND(I5602&lt;&gt;I5601,ISNUMBER(SEARCH(Лист2!$B$5,I:I)),G5602=1),MAX($H$3:OFFSET(H5602,-1,0))+1,0)</f>
        <v>0</v>
      </c>
      <c r="I5602" s="3" t="s">
        <v>456</v>
      </c>
      <c r="K5602" s="2">
        <f>IF(ISNUMBER(SEARCH(Лист2!$B$4,F:F)),1,0)</f>
        <v>0</v>
      </c>
      <c r="L5602" s="14">
        <f>IF(ISNUMBER(SEARCH(Лист2!$B$5,I:I)),1,0)+K5602</f>
        <v>0</v>
      </c>
      <c r="M5602" s="3">
        <f ca="1">IF(AND(N5602&lt;&gt;N5601,ISNUMBER(SEARCH(Лист2!$B$6,N:N)),L5602=2),MAX($M$3:OFFSET(M5602,-1,0))+1,0)</f>
        <v>0</v>
      </c>
      <c r="N5602" s="3" t="s">
        <v>3267</v>
      </c>
    </row>
    <row r="5603" spans="1:14" x14ac:dyDescent="0.25">
      <c r="A5603" s="1" t="s">
        <v>14227</v>
      </c>
      <c r="B5603" s="3" t="s">
        <v>9222</v>
      </c>
      <c r="C5603" s="2">
        <f ca="1">IF(ISNUMBER(SEARCH(Лист2!$B$4,D:D)),MAX($C$3:OFFSET(C5603,-1,0))+1,0)</f>
        <v>0</v>
      </c>
      <c r="E5603" s="9" t="str">
        <f t="shared" ca="1" si="99"/>
        <v/>
      </c>
      <c r="F5603" s="4" t="s">
        <v>10</v>
      </c>
      <c r="G5603" s="2">
        <f>IF(ISNUMBER(SEARCH(Лист2!$B$4,F:F)),1,0)</f>
        <v>0</v>
      </c>
      <c r="H5603" s="3">
        <f ca="1">IF(AND(I5603&lt;&gt;I5602,ISNUMBER(SEARCH(Лист2!$B$5,I:I)),G5603=1),MAX($H$3:OFFSET(H5603,-1,0))+1,0)</f>
        <v>0</v>
      </c>
      <c r="I5603" s="3" t="s">
        <v>456</v>
      </c>
      <c r="K5603" s="2">
        <f>IF(ISNUMBER(SEARCH(Лист2!$B$4,F:F)),1,0)</f>
        <v>0</v>
      </c>
      <c r="L5603" s="14">
        <f>IF(ISNUMBER(SEARCH(Лист2!$B$5,I:I)),1,0)+K5603</f>
        <v>0</v>
      </c>
      <c r="M5603" s="3">
        <f ca="1">IF(AND(N5603&lt;&gt;N5602,ISNUMBER(SEARCH(Лист2!$B$6,N:N)),L5603=2),MAX($M$3:OFFSET(M5603,-1,0))+1,0)</f>
        <v>0</v>
      </c>
      <c r="N5603" s="3" t="s">
        <v>3269</v>
      </c>
    </row>
    <row r="5604" spans="1:14" x14ac:dyDescent="0.25">
      <c r="A5604" s="1" t="s">
        <v>14228</v>
      </c>
      <c r="B5604" s="3" t="s">
        <v>9223</v>
      </c>
      <c r="C5604" s="2">
        <f ca="1">IF(ISNUMBER(SEARCH(Лист2!$B$4,D:D)),MAX($C$3:OFFSET(C5604,-1,0))+1,0)</f>
        <v>0</v>
      </c>
      <c r="E5604" s="9" t="str">
        <f t="shared" ca="1" si="99"/>
        <v/>
      </c>
      <c r="F5604" s="4" t="s">
        <v>10</v>
      </c>
      <c r="G5604" s="2">
        <f>IF(ISNUMBER(SEARCH(Лист2!$B$4,F:F)),1,0)</f>
        <v>0</v>
      </c>
      <c r="H5604" s="3">
        <f ca="1">IF(AND(I5604&lt;&gt;I5603,ISNUMBER(SEARCH(Лист2!$B$5,I:I)),G5604=1),MAX($H$3:OFFSET(H5604,-1,0))+1,0)</f>
        <v>0</v>
      </c>
      <c r="I5604" s="3" t="s">
        <v>457</v>
      </c>
      <c r="K5604" s="2">
        <f>IF(ISNUMBER(SEARCH(Лист2!$B$4,F:F)),1,0)</f>
        <v>0</v>
      </c>
      <c r="L5604" s="14">
        <f>IF(ISNUMBER(SEARCH(Лист2!$B$5,I:I)),1,0)+K5604</f>
        <v>0</v>
      </c>
      <c r="M5604" s="3">
        <f ca="1">IF(AND(N5604&lt;&gt;N5603,ISNUMBER(SEARCH(Лист2!$B$6,N:N)),L5604=2),MAX($M$3:OFFSET(M5604,-1,0))+1,0)</f>
        <v>0</v>
      </c>
      <c r="N5604" s="3" t="s">
        <v>3268</v>
      </c>
    </row>
    <row r="5605" spans="1:14" x14ac:dyDescent="0.25">
      <c r="A5605" s="1" t="s">
        <v>14229</v>
      </c>
      <c r="B5605" s="3" t="s">
        <v>9224</v>
      </c>
      <c r="C5605" s="2">
        <f ca="1">IF(ISNUMBER(SEARCH(Лист2!$B$4,D:D)),MAX($C$3:OFFSET(C5605,-1,0))+1,0)</f>
        <v>0</v>
      </c>
      <c r="E5605" s="9" t="str">
        <f t="shared" ca="1" si="99"/>
        <v/>
      </c>
      <c r="F5605" s="4" t="s">
        <v>10</v>
      </c>
      <c r="G5605" s="2">
        <f>IF(ISNUMBER(SEARCH(Лист2!$B$4,F:F)),1,0)</f>
        <v>0</v>
      </c>
      <c r="H5605" s="3">
        <f ca="1">IF(AND(I5605&lt;&gt;I5604,ISNUMBER(SEARCH(Лист2!$B$5,I:I)),G5605=1),MAX($H$3:OFFSET(H5605,-1,0))+1,0)</f>
        <v>0</v>
      </c>
      <c r="I5605" s="3" t="s">
        <v>457</v>
      </c>
      <c r="K5605" s="2">
        <f>IF(ISNUMBER(SEARCH(Лист2!$B$4,F:F)),1,0)</f>
        <v>0</v>
      </c>
      <c r="L5605" s="14">
        <f>IF(ISNUMBER(SEARCH(Лист2!$B$5,I:I)),1,0)+K5605</f>
        <v>0</v>
      </c>
      <c r="M5605" s="3">
        <f ca="1">IF(AND(N5605&lt;&gt;N5604,ISNUMBER(SEARCH(Лист2!$B$6,N:N)),L5605=2),MAX($M$3:OFFSET(M5605,-1,0))+1,0)</f>
        <v>0</v>
      </c>
      <c r="N5605" s="3" t="s">
        <v>3269</v>
      </c>
    </row>
    <row r="5606" spans="1:14" x14ac:dyDescent="0.25">
      <c r="A5606" s="1" t="s">
        <v>14230</v>
      </c>
      <c r="B5606" s="3" t="s">
        <v>9225</v>
      </c>
      <c r="C5606" s="2">
        <f ca="1">IF(ISNUMBER(SEARCH(Лист2!$B$4,D:D)),MAX($C$3:OFFSET(C5606,-1,0))+1,0)</f>
        <v>0</v>
      </c>
      <c r="E5606" s="9" t="str">
        <f t="shared" ca="1" si="99"/>
        <v/>
      </c>
      <c r="F5606" s="4" t="s">
        <v>10</v>
      </c>
      <c r="G5606" s="2">
        <f>IF(ISNUMBER(SEARCH(Лист2!$B$4,F:F)),1,0)</f>
        <v>0</v>
      </c>
      <c r="H5606" s="3">
        <f ca="1">IF(AND(I5606&lt;&gt;I5605,ISNUMBER(SEARCH(Лист2!$B$5,I:I)),G5606=1),MAX($H$3:OFFSET(H5606,-1,0))+1,0)</f>
        <v>0</v>
      </c>
      <c r="I5606" s="3" t="s">
        <v>458</v>
      </c>
      <c r="K5606" s="2">
        <f>IF(ISNUMBER(SEARCH(Лист2!$B$4,F:F)),1,0)</f>
        <v>0</v>
      </c>
      <c r="L5606" s="14">
        <f>IF(ISNUMBER(SEARCH(Лист2!$B$5,I:I)),1,0)+K5606</f>
        <v>0</v>
      </c>
      <c r="M5606" s="3">
        <f ca="1">IF(AND(N5606&lt;&gt;N5605,ISNUMBER(SEARCH(Лист2!$B$6,N:N)),L5606=2),MAX($M$3:OFFSET(M5606,-1,0))+1,0)</f>
        <v>0</v>
      </c>
      <c r="N5606" s="3" t="s">
        <v>3266</v>
      </c>
    </row>
    <row r="5607" spans="1:14" x14ac:dyDescent="0.25">
      <c r="A5607" s="1" t="s">
        <v>14231</v>
      </c>
      <c r="B5607" s="3" t="s">
        <v>9226</v>
      </c>
      <c r="C5607" s="2">
        <f ca="1">IF(ISNUMBER(SEARCH(Лист2!$B$4,D:D)),MAX($C$3:OFFSET(C5607,-1,0))+1,0)</f>
        <v>0</v>
      </c>
      <c r="E5607" s="9" t="str">
        <f t="shared" ca="1" si="99"/>
        <v/>
      </c>
      <c r="F5607" s="4" t="s">
        <v>10</v>
      </c>
      <c r="G5607" s="2">
        <f>IF(ISNUMBER(SEARCH(Лист2!$B$4,F:F)),1,0)</f>
        <v>0</v>
      </c>
      <c r="H5607" s="3">
        <f ca="1">IF(AND(I5607&lt;&gt;I5606,ISNUMBER(SEARCH(Лист2!$B$5,I:I)),G5607=1),MAX($H$3:OFFSET(H5607,-1,0))+1,0)</f>
        <v>0</v>
      </c>
      <c r="I5607" s="3" t="s">
        <v>458</v>
      </c>
      <c r="K5607" s="2">
        <f>IF(ISNUMBER(SEARCH(Лист2!$B$4,F:F)),1,0)</f>
        <v>0</v>
      </c>
      <c r="L5607" s="14">
        <f>IF(ISNUMBER(SEARCH(Лист2!$B$5,I:I)),1,0)+K5607</f>
        <v>0</v>
      </c>
      <c r="M5607" s="3">
        <f ca="1">IF(AND(N5607&lt;&gt;N5606,ISNUMBER(SEARCH(Лист2!$B$6,N:N)),L5607=2),MAX($M$3:OFFSET(M5607,-1,0))+1,0)</f>
        <v>0</v>
      </c>
      <c r="N5607" s="3" t="s">
        <v>3268</v>
      </c>
    </row>
    <row r="5608" spans="1:14" x14ac:dyDescent="0.25">
      <c r="A5608" s="1" t="s">
        <v>14232</v>
      </c>
      <c r="B5608" s="3" t="s">
        <v>9227</v>
      </c>
      <c r="C5608" s="2">
        <f ca="1">IF(ISNUMBER(SEARCH(Лист2!$B$4,D:D)),MAX($C$3:OFFSET(C5608,-1,0))+1,0)</f>
        <v>0</v>
      </c>
      <c r="E5608" s="9" t="str">
        <f t="shared" ca="1" si="99"/>
        <v/>
      </c>
      <c r="F5608" s="4" t="s">
        <v>10</v>
      </c>
      <c r="G5608" s="2">
        <f>IF(ISNUMBER(SEARCH(Лист2!$B$4,F:F)),1,0)</f>
        <v>0</v>
      </c>
      <c r="H5608" s="3">
        <f ca="1">IF(AND(I5608&lt;&gt;I5607,ISNUMBER(SEARCH(Лист2!$B$5,I:I)),G5608=1),MAX($H$3:OFFSET(H5608,-1,0))+1,0)</f>
        <v>0</v>
      </c>
      <c r="I5608" s="3" t="s">
        <v>458</v>
      </c>
      <c r="K5608" s="2">
        <f>IF(ISNUMBER(SEARCH(Лист2!$B$4,F:F)),1,0)</f>
        <v>0</v>
      </c>
      <c r="L5608" s="14">
        <f>IF(ISNUMBER(SEARCH(Лист2!$B$5,I:I)),1,0)+K5608</f>
        <v>0</v>
      </c>
      <c r="M5608" s="3">
        <f ca="1">IF(AND(N5608&lt;&gt;N5607,ISNUMBER(SEARCH(Лист2!$B$6,N:N)),L5608=2),MAX($M$3:OFFSET(M5608,-1,0))+1,0)</f>
        <v>0</v>
      </c>
      <c r="N5608" s="3" t="s">
        <v>3267</v>
      </c>
    </row>
    <row r="5609" spans="1:14" x14ac:dyDescent="0.25">
      <c r="A5609" s="1" t="s">
        <v>14233</v>
      </c>
      <c r="B5609" s="3" t="s">
        <v>9228</v>
      </c>
      <c r="C5609" s="2">
        <f ca="1">IF(ISNUMBER(SEARCH(Лист2!$B$4,D:D)),MAX($C$3:OFFSET(C5609,-1,0))+1,0)</f>
        <v>0</v>
      </c>
      <c r="E5609" s="9" t="str">
        <f t="shared" ca="1" si="99"/>
        <v/>
      </c>
      <c r="F5609" s="4" t="s">
        <v>10</v>
      </c>
      <c r="G5609" s="2">
        <f>IF(ISNUMBER(SEARCH(Лист2!$B$4,F:F)),1,0)</f>
        <v>0</v>
      </c>
      <c r="H5609" s="3">
        <f ca="1">IF(AND(I5609&lt;&gt;I5608,ISNUMBER(SEARCH(Лист2!$B$5,I:I)),G5609=1),MAX($H$3:OFFSET(H5609,-1,0))+1,0)</f>
        <v>0</v>
      </c>
      <c r="I5609" s="3" t="s">
        <v>458</v>
      </c>
      <c r="K5609" s="2">
        <f>IF(ISNUMBER(SEARCH(Лист2!$B$4,F:F)),1,0)</f>
        <v>0</v>
      </c>
      <c r="L5609" s="14">
        <f>IF(ISNUMBER(SEARCH(Лист2!$B$5,I:I)),1,0)+K5609</f>
        <v>0</v>
      </c>
      <c r="M5609" s="3">
        <f ca="1">IF(AND(N5609&lt;&gt;N5608,ISNUMBER(SEARCH(Лист2!$B$6,N:N)),L5609=2),MAX($M$3:OFFSET(M5609,-1,0))+1,0)</f>
        <v>0</v>
      </c>
      <c r="N5609" s="3" t="s">
        <v>3269</v>
      </c>
    </row>
    <row r="5610" spans="1:14" x14ac:dyDescent="0.25">
      <c r="A5610" s="1" t="s">
        <v>9784</v>
      </c>
      <c r="B5610" s="3" t="s">
        <v>9229</v>
      </c>
      <c r="C5610" s="2">
        <f ca="1">IF(ISNUMBER(SEARCH(Лист2!$B$4,D:D)),MAX($C$3:OFFSET(C5610,-1,0))+1,0)</f>
        <v>0</v>
      </c>
      <c r="E5610" s="9" t="str">
        <f t="shared" ca="1" si="99"/>
        <v/>
      </c>
      <c r="G5610" s="2">
        <f>IF(ISNUMBER(SEARCH(Лист2!$B$4,F:F)),1,0)</f>
        <v>0</v>
      </c>
      <c r="H5610" s="3">
        <f ca="1">IF(AND(I5610&lt;&gt;I5609,ISNUMBER(SEARCH(Лист2!$B$5,I:I)),G5610=1),MAX($H$3:OFFSET(H5610,-1,0))+1,0)</f>
        <v>0</v>
      </c>
      <c r="K5610" s="2">
        <f>IF(ISNUMBER(SEARCH(Лист2!$B$4,F:F)),1,0)</f>
        <v>0</v>
      </c>
      <c r="L5610" s="14">
        <f>IF(ISNUMBER(SEARCH(Лист2!$B$5,I:I)),1,0)+K5610</f>
        <v>0</v>
      </c>
      <c r="M5610" s="3">
        <f ca="1">IF(AND(N5610&lt;&gt;N5609,ISNUMBER(SEARCH(Лист2!$B$6,N:N)),L5610=2),MAX($M$3:OFFSET(M5610,-1,0))+1,0)</f>
        <v>0</v>
      </c>
      <c r="N5610" s="3" t="s">
        <v>9784</v>
      </c>
    </row>
    <row r="5611" spans="1:14" x14ac:dyDescent="0.25">
      <c r="A5611" s="1" t="s">
        <v>14234</v>
      </c>
      <c r="B5611" s="3" t="s">
        <v>9230</v>
      </c>
      <c r="C5611" s="2">
        <f ca="1">IF(ISNUMBER(SEARCH(Лист2!$B$4,D:D)),MAX($C$3:OFFSET(C5611,-1,0))+1,0)</f>
        <v>0</v>
      </c>
      <c r="E5611" s="9" t="str">
        <f t="shared" ca="1" si="99"/>
        <v/>
      </c>
      <c r="F5611" s="4" t="s">
        <v>459</v>
      </c>
      <c r="G5611" s="2">
        <f>IF(ISNUMBER(SEARCH(Лист2!$B$4,F:F)),1,0)</f>
        <v>0</v>
      </c>
      <c r="H5611" s="3">
        <f ca="1">IF(AND(I5611&lt;&gt;I5610,ISNUMBER(SEARCH(Лист2!$B$5,I:I)),G5611=1),MAX($H$3:OFFSET(H5611,-1,0))+1,0)</f>
        <v>0</v>
      </c>
      <c r="I5611" s="3" t="s">
        <v>47</v>
      </c>
      <c r="K5611" s="2">
        <f>IF(ISNUMBER(SEARCH(Лист2!$B$4,F:F)),1,0)</f>
        <v>0</v>
      </c>
      <c r="L5611" s="14">
        <f>IF(ISNUMBER(SEARCH(Лист2!$B$5,I:I)),1,0)+K5611</f>
        <v>0</v>
      </c>
      <c r="M5611" s="3">
        <f ca="1">IF(AND(N5611&lt;&gt;N5610,ISNUMBER(SEARCH(Лист2!$B$6,N:N)),L5611=2),MAX($M$3:OFFSET(M5611,-1,0))+1,0)</f>
        <v>0</v>
      </c>
      <c r="N5611" s="3" t="s">
        <v>3320</v>
      </c>
    </row>
    <row r="5612" spans="1:14" x14ac:dyDescent="0.25">
      <c r="A5612" s="1" t="s">
        <v>14235</v>
      </c>
      <c r="B5612" s="3" t="s">
        <v>9231</v>
      </c>
      <c r="C5612" s="2">
        <f ca="1">IF(ISNUMBER(SEARCH(Лист2!$B$4,D:D)),MAX($C$3:OFFSET(C5612,-1,0))+1,0)</f>
        <v>0</v>
      </c>
      <c r="E5612" s="9" t="str">
        <f t="shared" ca="1" si="99"/>
        <v/>
      </c>
      <c r="F5612" s="4" t="s">
        <v>459</v>
      </c>
      <c r="G5612" s="2">
        <f>IF(ISNUMBER(SEARCH(Лист2!$B$4,F:F)),1,0)</f>
        <v>0</v>
      </c>
      <c r="H5612" s="3">
        <f ca="1">IF(AND(I5612&lt;&gt;I5611,ISNUMBER(SEARCH(Лист2!$B$5,I:I)),G5612=1),MAX($H$3:OFFSET(H5612,-1,0))+1,0)</f>
        <v>0</v>
      </c>
      <c r="I5612" s="3" t="s">
        <v>47</v>
      </c>
      <c r="K5612" s="2">
        <f>IF(ISNUMBER(SEARCH(Лист2!$B$4,F:F)),1,0)</f>
        <v>0</v>
      </c>
      <c r="L5612" s="14">
        <f>IF(ISNUMBER(SEARCH(Лист2!$B$5,I:I)),1,0)+K5612</f>
        <v>0</v>
      </c>
      <c r="M5612" s="3">
        <f ca="1">IF(AND(N5612&lt;&gt;N5611,ISNUMBER(SEARCH(Лист2!$B$6,N:N)),L5612=2),MAX($M$3:OFFSET(M5612,-1,0))+1,0)</f>
        <v>0</v>
      </c>
      <c r="N5612" s="3" t="s">
        <v>3321</v>
      </c>
    </row>
    <row r="5613" spans="1:14" x14ac:dyDescent="0.25">
      <c r="A5613" s="1" t="s">
        <v>14236</v>
      </c>
      <c r="B5613" s="3" t="s">
        <v>9232</v>
      </c>
      <c r="C5613" s="2">
        <f ca="1">IF(ISNUMBER(SEARCH(Лист2!$B$4,D:D)),MAX($C$3:OFFSET(C5613,-1,0))+1,0)</f>
        <v>0</v>
      </c>
      <c r="E5613" s="9" t="str">
        <f t="shared" ca="1" si="99"/>
        <v/>
      </c>
      <c r="F5613" s="4" t="s">
        <v>459</v>
      </c>
      <c r="G5613" s="2">
        <f>IF(ISNUMBER(SEARCH(Лист2!$B$4,F:F)),1,0)</f>
        <v>0</v>
      </c>
      <c r="H5613" s="3">
        <f ca="1">IF(AND(I5613&lt;&gt;I5612,ISNUMBER(SEARCH(Лист2!$B$5,I:I)),G5613=1),MAX($H$3:OFFSET(H5613,-1,0))+1,0)</f>
        <v>0</v>
      </c>
      <c r="I5613" s="3" t="s">
        <v>47</v>
      </c>
      <c r="K5613" s="2">
        <f>IF(ISNUMBER(SEARCH(Лист2!$B$4,F:F)),1,0)</f>
        <v>0</v>
      </c>
      <c r="L5613" s="14">
        <f>IF(ISNUMBER(SEARCH(Лист2!$B$5,I:I)),1,0)+K5613</f>
        <v>0</v>
      </c>
      <c r="M5613" s="3">
        <f ca="1">IF(AND(N5613&lt;&gt;N5612,ISNUMBER(SEARCH(Лист2!$B$6,N:N)),L5613=2),MAX($M$3:OFFSET(M5613,-1,0))+1,0)</f>
        <v>0</v>
      </c>
      <c r="N5613" s="3" t="s">
        <v>3322</v>
      </c>
    </row>
    <row r="5614" spans="1:14" x14ac:dyDescent="0.25">
      <c r="A5614" s="1" t="s">
        <v>14237</v>
      </c>
      <c r="B5614" s="3" t="s">
        <v>9233</v>
      </c>
      <c r="C5614" s="2">
        <f ca="1">IF(ISNUMBER(SEARCH(Лист2!$B$4,D:D)),MAX($C$3:OFFSET(C5614,-1,0))+1,0)</f>
        <v>0</v>
      </c>
      <c r="E5614" s="9" t="str">
        <f t="shared" ca="1" si="99"/>
        <v/>
      </c>
      <c r="F5614" s="4" t="s">
        <v>459</v>
      </c>
      <c r="G5614" s="2">
        <f>IF(ISNUMBER(SEARCH(Лист2!$B$4,F:F)),1,0)</f>
        <v>0</v>
      </c>
      <c r="H5614" s="3">
        <f ca="1">IF(AND(I5614&lt;&gt;I5613,ISNUMBER(SEARCH(Лист2!$B$5,I:I)),G5614=1),MAX($H$3:OFFSET(H5614,-1,0))+1,0)</f>
        <v>0</v>
      </c>
      <c r="I5614" s="3" t="s">
        <v>47</v>
      </c>
      <c r="K5614" s="2">
        <f>IF(ISNUMBER(SEARCH(Лист2!$B$4,F:F)),1,0)</f>
        <v>0</v>
      </c>
      <c r="L5614" s="14">
        <f>IF(ISNUMBER(SEARCH(Лист2!$B$5,I:I)),1,0)+K5614</f>
        <v>0</v>
      </c>
      <c r="M5614" s="3">
        <f ca="1">IF(AND(N5614&lt;&gt;N5613,ISNUMBER(SEARCH(Лист2!$B$6,N:N)),L5614=2),MAX($M$3:OFFSET(M5614,-1,0))+1,0)</f>
        <v>0</v>
      </c>
      <c r="N5614" s="3" t="s">
        <v>3323</v>
      </c>
    </row>
    <row r="5615" spans="1:14" x14ac:dyDescent="0.25">
      <c r="A5615" s="1" t="s">
        <v>14237</v>
      </c>
      <c r="B5615" s="3" t="s">
        <v>9234</v>
      </c>
      <c r="C5615" s="2">
        <f ca="1">IF(ISNUMBER(SEARCH(Лист2!$B$4,D:D)),MAX($C$3:OFFSET(C5615,-1,0))+1,0)</f>
        <v>0</v>
      </c>
      <c r="E5615" s="9" t="str">
        <f t="shared" ca="1" si="99"/>
        <v/>
      </c>
      <c r="F5615" s="4" t="s">
        <v>459</v>
      </c>
      <c r="G5615" s="2">
        <f>IF(ISNUMBER(SEARCH(Лист2!$B$4,F:F)),1,0)</f>
        <v>0</v>
      </c>
      <c r="H5615" s="3">
        <f ca="1">IF(AND(I5615&lt;&gt;I5614,ISNUMBER(SEARCH(Лист2!$B$5,I:I)),G5615=1),MAX($H$3:OFFSET(H5615,-1,0))+1,0)</f>
        <v>0</v>
      </c>
      <c r="I5615" s="3" t="s">
        <v>47</v>
      </c>
      <c r="K5615" s="2">
        <f>IF(ISNUMBER(SEARCH(Лист2!$B$4,F:F)),1,0)</f>
        <v>0</v>
      </c>
      <c r="L5615" s="14">
        <f>IF(ISNUMBER(SEARCH(Лист2!$B$5,I:I)),1,0)+K5615</f>
        <v>0</v>
      </c>
      <c r="M5615" s="3">
        <f ca="1">IF(AND(N5615&lt;&gt;N5614,ISNUMBER(SEARCH(Лист2!$B$6,N:N)),L5615=2),MAX($M$3:OFFSET(M5615,-1,0))+1,0)</f>
        <v>0</v>
      </c>
      <c r="N5615" s="3" t="s">
        <v>3323</v>
      </c>
    </row>
    <row r="5616" spans="1:14" x14ac:dyDescent="0.25">
      <c r="A5616" s="1" t="s">
        <v>14237</v>
      </c>
      <c r="B5616" s="3" t="s">
        <v>9235</v>
      </c>
      <c r="C5616" s="2">
        <f ca="1">IF(ISNUMBER(SEARCH(Лист2!$B$4,D:D)),MAX($C$3:OFFSET(C5616,-1,0))+1,0)</f>
        <v>0</v>
      </c>
      <c r="E5616" s="9" t="str">
        <f t="shared" ca="1" si="99"/>
        <v/>
      </c>
      <c r="F5616" s="4" t="s">
        <v>459</v>
      </c>
      <c r="G5616" s="2">
        <f>IF(ISNUMBER(SEARCH(Лист2!$B$4,F:F)),1,0)</f>
        <v>0</v>
      </c>
      <c r="H5616" s="3">
        <f ca="1">IF(AND(I5616&lt;&gt;I5615,ISNUMBER(SEARCH(Лист2!$B$5,I:I)),G5616=1),MAX($H$3:OFFSET(H5616,-1,0))+1,0)</f>
        <v>0</v>
      </c>
      <c r="I5616" s="3" t="s">
        <v>47</v>
      </c>
      <c r="K5616" s="2">
        <f>IF(ISNUMBER(SEARCH(Лист2!$B$4,F:F)),1,0)</f>
        <v>0</v>
      </c>
      <c r="L5616" s="14">
        <f>IF(ISNUMBER(SEARCH(Лист2!$B$5,I:I)),1,0)+K5616</f>
        <v>0</v>
      </c>
      <c r="M5616" s="3">
        <f ca="1">IF(AND(N5616&lt;&gt;N5615,ISNUMBER(SEARCH(Лист2!$B$6,N:N)),L5616=2),MAX($M$3:OFFSET(M5616,-1,0))+1,0)</f>
        <v>0</v>
      </c>
      <c r="N5616" s="3" t="s">
        <v>3323</v>
      </c>
    </row>
    <row r="5617" spans="1:14" x14ac:dyDescent="0.25">
      <c r="A5617" s="1" t="s">
        <v>14238</v>
      </c>
      <c r="B5617" s="3" t="s">
        <v>9236</v>
      </c>
      <c r="C5617" s="2">
        <f ca="1">IF(ISNUMBER(SEARCH(Лист2!$B$4,D:D)),MAX($C$3:OFFSET(C5617,-1,0))+1,0)</f>
        <v>0</v>
      </c>
      <c r="E5617" s="9" t="str">
        <f t="shared" ca="1" si="99"/>
        <v/>
      </c>
      <c r="F5617" s="4" t="s">
        <v>459</v>
      </c>
      <c r="G5617" s="2">
        <f>IF(ISNUMBER(SEARCH(Лист2!$B$4,F:F)),1,0)</f>
        <v>0</v>
      </c>
      <c r="H5617" s="3">
        <f ca="1">IF(AND(I5617&lt;&gt;I5616,ISNUMBER(SEARCH(Лист2!$B$5,I:I)),G5617=1),MAX($H$3:OFFSET(H5617,-1,0))+1,0)</f>
        <v>0</v>
      </c>
      <c r="I5617" s="3" t="s">
        <v>47</v>
      </c>
      <c r="K5617" s="2">
        <f>IF(ISNUMBER(SEARCH(Лист2!$B$4,F:F)),1,0)</f>
        <v>0</v>
      </c>
      <c r="L5617" s="14">
        <f>IF(ISNUMBER(SEARCH(Лист2!$B$5,I:I)),1,0)+K5617</f>
        <v>0</v>
      </c>
      <c r="M5617" s="3">
        <f ca="1">IF(AND(N5617&lt;&gt;N5616,ISNUMBER(SEARCH(Лист2!$B$6,N:N)),L5617=2),MAX($M$3:OFFSET(M5617,-1,0))+1,0)</f>
        <v>0</v>
      </c>
      <c r="N5617" s="3" t="s">
        <v>3324</v>
      </c>
    </row>
    <row r="5618" spans="1:14" x14ac:dyDescent="0.25">
      <c r="A5618" s="1" t="s">
        <v>14238</v>
      </c>
      <c r="B5618" s="3" t="s">
        <v>9237</v>
      </c>
      <c r="C5618" s="2">
        <f ca="1">IF(ISNUMBER(SEARCH(Лист2!$B$4,D:D)),MAX($C$3:OFFSET(C5618,-1,0))+1,0)</f>
        <v>0</v>
      </c>
      <c r="E5618" s="9" t="str">
        <f t="shared" ca="1" si="99"/>
        <v/>
      </c>
      <c r="F5618" s="4" t="s">
        <v>459</v>
      </c>
      <c r="G5618" s="2">
        <f>IF(ISNUMBER(SEARCH(Лист2!$B$4,F:F)),1,0)</f>
        <v>0</v>
      </c>
      <c r="H5618" s="3">
        <f ca="1">IF(AND(I5618&lt;&gt;I5617,ISNUMBER(SEARCH(Лист2!$B$5,I:I)),G5618=1),MAX($H$3:OFFSET(H5618,-1,0))+1,0)</f>
        <v>0</v>
      </c>
      <c r="I5618" s="3" t="s">
        <v>47</v>
      </c>
      <c r="K5618" s="2">
        <f>IF(ISNUMBER(SEARCH(Лист2!$B$4,F:F)),1,0)</f>
        <v>0</v>
      </c>
      <c r="L5618" s="14">
        <f>IF(ISNUMBER(SEARCH(Лист2!$B$5,I:I)),1,0)+K5618</f>
        <v>0</v>
      </c>
      <c r="M5618" s="3">
        <f ca="1">IF(AND(N5618&lt;&gt;N5617,ISNUMBER(SEARCH(Лист2!$B$6,N:N)),L5618=2),MAX($M$3:OFFSET(M5618,-1,0))+1,0)</f>
        <v>0</v>
      </c>
      <c r="N5618" s="3" t="s">
        <v>3324</v>
      </c>
    </row>
    <row r="5619" spans="1:14" x14ac:dyDescent="0.25">
      <c r="A5619" s="1" t="s">
        <v>14239</v>
      </c>
      <c r="B5619" s="3" t="s">
        <v>9238</v>
      </c>
      <c r="C5619" s="2">
        <f ca="1">IF(ISNUMBER(SEARCH(Лист2!$B$4,D:D)),MAX($C$3:OFFSET(C5619,-1,0))+1,0)</f>
        <v>0</v>
      </c>
      <c r="E5619" s="9" t="str">
        <f t="shared" ca="1" si="99"/>
        <v/>
      </c>
      <c r="F5619" s="4" t="s">
        <v>459</v>
      </c>
      <c r="G5619" s="2">
        <f>IF(ISNUMBER(SEARCH(Лист2!$B$4,F:F)),1,0)</f>
        <v>0</v>
      </c>
      <c r="H5619" s="3">
        <f ca="1">IF(AND(I5619&lt;&gt;I5618,ISNUMBER(SEARCH(Лист2!$B$5,I:I)),G5619=1),MAX($H$3:OFFSET(H5619,-1,0))+1,0)</f>
        <v>0</v>
      </c>
      <c r="I5619" s="3" t="s">
        <v>47</v>
      </c>
      <c r="K5619" s="2">
        <f>IF(ISNUMBER(SEARCH(Лист2!$B$4,F:F)),1,0)</f>
        <v>0</v>
      </c>
      <c r="L5619" s="14">
        <f>IF(ISNUMBER(SEARCH(Лист2!$B$5,I:I)),1,0)+K5619</f>
        <v>0</v>
      </c>
      <c r="M5619" s="3">
        <f ca="1">IF(AND(N5619&lt;&gt;N5618,ISNUMBER(SEARCH(Лист2!$B$6,N:N)),L5619=2),MAX($M$3:OFFSET(M5619,-1,0))+1,0)</f>
        <v>0</v>
      </c>
      <c r="N5619" s="3" t="s">
        <v>3325</v>
      </c>
    </row>
    <row r="5620" spans="1:14" x14ac:dyDescent="0.25">
      <c r="A5620" s="1" t="s">
        <v>14239</v>
      </c>
      <c r="B5620" s="3" t="s">
        <v>9239</v>
      </c>
      <c r="C5620" s="2">
        <f ca="1">IF(ISNUMBER(SEARCH(Лист2!$B$4,D:D)),MAX($C$3:OFFSET(C5620,-1,0))+1,0)</f>
        <v>0</v>
      </c>
      <c r="E5620" s="9" t="str">
        <f t="shared" ca="1" si="99"/>
        <v/>
      </c>
      <c r="F5620" s="4" t="s">
        <v>459</v>
      </c>
      <c r="G5620" s="2">
        <f>IF(ISNUMBER(SEARCH(Лист2!$B$4,F:F)),1,0)</f>
        <v>0</v>
      </c>
      <c r="H5620" s="3">
        <f ca="1">IF(AND(I5620&lt;&gt;I5619,ISNUMBER(SEARCH(Лист2!$B$5,I:I)),G5620=1),MAX($H$3:OFFSET(H5620,-1,0))+1,0)</f>
        <v>0</v>
      </c>
      <c r="I5620" s="3" t="s">
        <v>47</v>
      </c>
      <c r="K5620" s="2">
        <f>IF(ISNUMBER(SEARCH(Лист2!$B$4,F:F)),1,0)</f>
        <v>0</v>
      </c>
      <c r="L5620" s="14">
        <f>IF(ISNUMBER(SEARCH(Лист2!$B$5,I:I)),1,0)+K5620</f>
        <v>0</v>
      </c>
      <c r="M5620" s="3">
        <f ca="1">IF(AND(N5620&lt;&gt;N5619,ISNUMBER(SEARCH(Лист2!$B$6,N:N)),L5620=2),MAX($M$3:OFFSET(M5620,-1,0))+1,0)</f>
        <v>0</v>
      </c>
      <c r="N5620" s="3" t="s">
        <v>3325</v>
      </c>
    </row>
    <row r="5621" spans="1:14" x14ac:dyDescent="0.25">
      <c r="A5621" s="1" t="s">
        <v>14239</v>
      </c>
      <c r="B5621" s="3" t="s">
        <v>9240</v>
      </c>
      <c r="C5621" s="2">
        <f ca="1">IF(ISNUMBER(SEARCH(Лист2!$B$4,D:D)),MAX($C$3:OFFSET(C5621,-1,0))+1,0)</f>
        <v>0</v>
      </c>
      <c r="E5621" s="9" t="str">
        <f t="shared" ca="1" si="99"/>
        <v/>
      </c>
      <c r="F5621" s="4" t="s">
        <v>459</v>
      </c>
      <c r="G5621" s="2">
        <f>IF(ISNUMBER(SEARCH(Лист2!$B$4,F:F)),1,0)</f>
        <v>0</v>
      </c>
      <c r="H5621" s="3">
        <f ca="1">IF(AND(I5621&lt;&gt;I5620,ISNUMBER(SEARCH(Лист2!$B$5,I:I)),G5621=1),MAX($H$3:OFFSET(H5621,-1,0))+1,0)</f>
        <v>0</v>
      </c>
      <c r="I5621" s="3" t="s">
        <v>47</v>
      </c>
      <c r="K5621" s="2">
        <f>IF(ISNUMBER(SEARCH(Лист2!$B$4,F:F)),1,0)</f>
        <v>0</v>
      </c>
      <c r="L5621" s="14">
        <f>IF(ISNUMBER(SEARCH(Лист2!$B$5,I:I)),1,0)+K5621</f>
        <v>0</v>
      </c>
      <c r="M5621" s="3">
        <f ca="1">IF(AND(N5621&lt;&gt;N5620,ISNUMBER(SEARCH(Лист2!$B$6,N:N)),L5621=2),MAX($M$3:OFFSET(M5621,-1,0))+1,0)</f>
        <v>0</v>
      </c>
      <c r="N5621" s="3" t="s">
        <v>3325</v>
      </c>
    </row>
    <row r="5622" spans="1:14" x14ac:dyDescent="0.25">
      <c r="A5622" s="1" t="s">
        <v>14240</v>
      </c>
      <c r="B5622" s="3" t="s">
        <v>9241</v>
      </c>
      <c r="C5622" s="2">
        <f ca="1">IF(ISNUMBER(SEARCH(Лист2!$B$4,D:D)),MAX($C$3:OFFSET(C5622,-1,0))+1,0)</f>
        <v>0</v>
      </c>
      <c r="E5622" s="9" t="str">
        <f t="shared" ca="1" si="99"/>
        <v/>
      </c>
      <c r="F5622" s="4" t="s">
        <v>459</v>
      </c>
      <c r="G5622" s="2">
        <f>IF(ISNUMBER(SEARCH(Лист2!$B$4,F:F)),1,0)</f>
        <v>0</v>
      </c>
      <c r="H5622" s="3">
        <f ca="1">IF(AND(I5622&lt;&gt;I5621,ISNUMBER(SEARCH(Лист2!$B$5,I:I)),G5622=1),MAX($H$3:OFFSET(H5622,-1,0))+1,0)</f>
        <v>0</v>
      </c>
      <c r="I5622" s="3" t="s">
        <v>47</v>
      </c>
      <c r="K5622" s="2">
        <f>IF(ISNUMBER(SEARCH(Лист2!$B$4,F:F)),1,0)</f>
        <v>0</v>
      </c>
      <c r="L5622" s="14">
        <f>IF(ISNUMBER(SEARCH(Лист2!$B$5,I:I)),1,0)+K5622</f>
        <v>0</v>
      </c>
      <c r="M5622" s="3">
        <f ca="1">IF(AND(N5622&lt;&gt;N5621,ISNUMBER(SEARCH(Лист2!$B$6,N:N)),L5622=2),MAX($M$3:OFFSET(M5622,-1,0))+1,0)</f>
        <v>0</v>
      </c>
      <c r="N5622" s="3" t="s">
        <v>3326</v>
      </c>
    </row>
    <row r="5623" spans="1:14" x14ac:dyDescent="0.25">
      <c r="A5623" s="1" t="s">
        <v>14240</v>
      </c>
      <c r="B5623" s="3" t="s">
        <v>9242</v>
      </c>
      <c r="C5623" s="2">
        <f ca="1">IF(ISNUMBER(SEARCH(Лист2!$B$4,D:D)),MAX($C$3:OFFSET(C5623,-1,0))+1,0)</f>
        <v>0</v>
      </c>
      <c r="E5623" s="9" t="str">
        <f t="shared" ca="1" si="99"/>
        <v/>
      </c>
      <c r="F5623" s="4" t="s">
        <v>459</v>
      </c>
      <c r="G5623" s="2">
        <f>IF(ISNUMBER(SEARCH(Лист2!$B$4,F:F)),1,0)</f>
        <v>0</v>
      </c>
      <c r="H5623" s="3">
        <f ca="1">IF(AND(I5623&lt;&gt;I5622,ISNUMBER(SEARCH(Лист2!$B$5,I:I)),G5623=1),MAX($H$3:OFFSET(H5623,-1,0))+1,0)</f>
        <v>0</v>
      </c>
      <c r="I5623" s="3" t="s">
        <v>47</v>
      </c>
      <c r="K5623" s="2">
        <f>IF(ISNUMBER(SEARCH(Лист2!$B$4,F:F)),1,0)</f>
        <v>0</v>
      </c>
      <c r="L5623" s="14">
        <f>IF(ISNUMBER(SEARCH(Лист2!$B$5,I:I)),1,0)+K5623</f>
        <v>0</v>
      </c>
      <c r="M5623" s="3">
        <f ca="1">IF(AND(N5623&lt;&gt;N5622,ISNUMBER(SEARCH(Лист2!$B$6,N:N)),L5623=2),MAX($M$3:OFFSET(M5623,-1,0))+1,0)</f>
        <v>0</v>
      </c>
      <c r="N5623" s="3" t="s">
        <v>3326</v>
      </c>
    </row>
    <row r="5624" spans="1:14" x14ac:dyDescent="0.25">
      <c r="A5624" s="1" t="s">
        <v>14240</v>
      </c>
      <c r="B5624" s="3" t="s">
        <v>9243</v>
      </c>
      <c r="C5624" s="2">
        <f ca="1">IF(ISNUMBER(SEARCH(Лист2!$B$4,D:D)),MAX($C$3:OFFSET(C5624,-1,0))+1,0)</f>
        <v>0</v>
      </c>
      <c r="E5624" s="9" t="str">
        <f t="shared" ca="1" si="99"/>
        <v/>
      </c>
      <c r="F5624" s="4" t="s">
        <v>459</v>
      </c>
      <c r="G5624" s="2">
        <f>IF(ISNUMBER(SEARCH(Лист2!$B$4,F:F)),1,0)</f>
        <v>0</v>
      </c>
      <c r="H5624" s="3">
        <f ca="1">IF(AND(I5624&lt;&gt;I5623,ISNUMBER(SEARCH(Лист2!$B$5,I:I)),G5624=1),MAX($H$3:OFFSET(H5624,-1,0))+1,0)</f>
        <v>0</v>
      </c>
      <c r="I5624" s="3" t="s">
        <v>47</v>
      </c>
      <c r="K5624" s="2">
        <f>IF(ISNUMBER(SEARCH(Лист2!$B$4,F:F)),1,0)</f>
        <v>0</v>
      </c>
      <c r="L5624" s="14">
        <f>IF(ISNUMBER(SEARCH(Лист2!$B$5,I:I)),1,0)+K5624</f>
        <v>0</v>
      </c>
      <c r="M5624" s="3">
        <f ca="1">IF(AND(N5624&lt;&gt;N5623,ISNUMBER(SEARCH(Лист2!$B$6,N:N)),L5624=2),MAX($M$3:OFFSET(M5624,-1,0))+1,0)</f>
        <v>0</v>
      </c>
      <c r="N5624" s="3" t="s">
        <v>3326</v>
      </c>
    </row>
    <row r="5625" spans="1:14" x14ac:dyDescent="0.25">
      <c r="A5625" s="1" t="s">
        <v>14241</v>
      </c>
      <c r="B5625" s="3" t="s">
        <v>9244</v>
      </c>
      <c r="C5625" s="2">
        <f ca="1">IF(ISNUMBER(SEARCH(Лист2!$B$4,D:D)),MAX($C$3:OFFSET(C5625,-1,0))+1,0)</f>
        <v>0</v>
      </c>
      <c r="E5625" s="9" t="str">
        <f t="shared" ca="1" si="99"/>
        <v/>
      </c>
      <c r="F5625" s="4" t="s">
        <v>459</v>
      </c>
      <c r="G5625" s="2">
        <f>IF(ISNUMBER(SEARCH(Лист2!$B$4,F:F)),1,0)</f>
        <v>0</v>
      </c>
      <c r="H5625" s="3">
        <f ca="1">IF(AND(I5625&lt;&gt;I5624,ISNUMBER(SEARCH(Лист2!$B$5,I:I)),G5625=1),MAX($H$3:OFFSET(H5625,-1,0))+1,0)</f>
        <v>0</v>
      </c>
      <c r="I5625" s="3" t="s">
        <v>47</v>
      </c>
      <c r="K5625" s="2">
        <f>IF(ISNUMBER(SEARCH(Лист2!$B$4,F:F)),1,0)</f>
        <v>0</v>
      </c>
      <c r="L5625" s="14">
        <f>IF(ISNUMBER(SEARCH(Лист2!$B$5,I:I)),1,0)+K5625</f>
        <v>0</v>
      </c>
      <c r="M5625" s="3">
        <f ca="1">IF(AND(N5625&lt;&gt;N5624,ISNUMBER(SEARCH(Лист2!$B$6,N:N)),L5625=2),MAX($M$3:OFFSET(M5625,-1,0))+1,0)</f>
        <v>0</v>
      </c>
      <c r="N5625" s="3" t="s">
        <v>3327</v>
      </c>
    </row>
    <row r="5626" spans="1:14" x14ac:dyDescent="0.25">
      <c r="A5626" s="1" t="s">
        <v>14241</v>
      </c>
      <c r="B5626" s="3" t="s">
        <v>9245</v>
      </c>
      <c r="C5626" s="2">
        <f ca="1">IF(ISNUMBER(SEARCH(Лист2!$B$4,D:D)),MAX($C$3:OFFSET(C5626,-1,0))+1,0)</f>
        <v>0</v>
      </c>
      <c r="E5626" s="9" t="str">
        <f t="shared" ca="1" si="99"/>
        <v/>
      </c>
      <c r="F5626" s="4" t="s">
        <v>459</v>
      </c>
      <c r="G5626" s="2">
        <f>IF(ISNUMBER(SEARCH(Лист2!$B$4,F:F)),1,0)</f>
        <v>0</v>
      </c>
      <c r="H5626" s="3">
        <f ca="1">IF(AND(I5626&lt;&gt;I5625,ISNUMBER(SEARCH(Лист2!$B$5,I:I)),G5626=1),MAX($H$3:OFFSET(H5626,-1,0))+1,0)</f>
        <v>0</v>
      </c>
      <c r="I5626" s="3" t="s">
        <v>47</v>
      </c>
      <c r="K5626" s="2">
        <f>IF(ISNUMBER(SEARCH(Лист2!$B$4,F:F)),1,0)</f>
        <v>0</v>
      </c>
      <c r="L5626" s="14">
        <f>IF(ISNUMBER(SEARCH(Лист2!$B$5,I:I)),1,0)+K5626</f>
        <v>0</v>
      </c>
      <c r="M5626" s="3">
        <f ca="1">IF(AND(N5626&lt;&gt;N5625,ISNUMBER(SEARCH(Лист2!$B$6,N:N)),L5626=2),MAX($M$3:OFFSET(M5626,-1,0))+1,0)</f>
        <v>0</v>
      </c>
      <c r="N5626" s="3" t="s">
        <v>3327</v>
      </c>
    </row>
    <row r="5627" spans="1:14" x14ac:dyDescent="0.25">
      <c r="A5627" s="1" t="s">
        <v>14241</v>
      </c>
      <c r="B5627" s="3" t="s">
        <v>9246</v>
      </c>
      <c r="C5627" s="2">
        <f ca="1">IF(ISNUMBER(SEARCH(Лист2!$B$4,D:D)),MAX($C$3:OFFSET(C5627,-1,0))+1,0)</f>
        <v>0</v>
      </c>
      <c r="E5627" s="9" t="str">
        <f t="shared" ca="1" si="99"/>
        <v/>
      </c>
      <c r="F5627" s="4" t="s">
        <v>459</v>
      </c>
      <c r="G5627" s="2">
        <f>IF(ISNUMBER(SEARCH(Лист2!$B$4,F:F)),1,0)</f>
        <v>0</v>
      </c>
      <c r="H5627" s="3">
        <f ca="1">IF(AND(I5627&lt;&gt;I5626,ISNUMBER(SEARCH(Лист2!$B$5,I:I)),G5627=1),MAX($H$3:OFFSET(H5627,-1,0))+1,0)</f>
        <v>0</v>
      </c>
      <c r="I5627" s="3" t="s">
        <v>47</v>
      </c>
      <c r="K5627" s="2">
        <f>IF(ISNUMBER(SEARCH(Лист2!$B$4,F:F)),1,0)</f>
        <v>0</v>
      </c>
      <c r="L5627" s="14">
        <f>IF(ISNUMBER(SEARCH(Лист2!$B$5,I:I)),1,0)+K5627</f>
        <v>0</v>
      </c>
      <c r="M5627" s="3">
        <f ca="1">IF(AND(N5627&lt;&gt;N5626,ISNUMBER(SEARCH(Лист2!$B$6,N:N)),L5627=2),MAX($M$3:OFFSET(M5627,-1,0))+1,0)</f>
        <v>0</v>
      </c>
      <c r="N5627" s="3" t="s">
        <v>3327</v>
      </c>
    </row>
    <row r="5628" spans="1:14" x14ac:dyDescent="0.25">
      <c r="A5628" s="1" t="s">
        <v>14242</v>
      </c>
      <c r="B5628" s="3" t="s">
        <v>9247</v>
      </c>
      <c r="C5628" s="2">
        <f ca="1">IF(ISNUMBER(SEARCH(Лист2!$B$4,D:D)),MAX($C$3:OFFSET(C5628,-1,0))+1,0)</f>
        <v>0</v>
      </c>
      <c r="E5628" s="9" t="str">
        <f t="shared" ca="1" si="99"/>
        <v/>
      </c>
      <c r="F5628" s="4" t="s">
        <v>459</v>
      </c>
      <c r="G5628" s="2">
        <f>IF(ISNUMBER(SEARCH(Лист2!$B$4,F:F)),1,0)</f>
        <v>0</v>
      </c>
      <c r="H5628" s="3">
        <f ca="1">IF(AND(I5628&lt;&gt;I5627,ISNUMBER(SEARCH(Лист2!$B$5,I:I)),G5628=1),MAX($H$3:OFFSET(H5628,-1,0))+1,0)</f>
        <v>0</v>
      </c>
      <c r="I5628" s="3" t="s">
        <v>47</v>
      </c>
      <c r="K5628" s="2">
        <f>IF(ISNUMBER(SEARCH(Лист2!$B$4,F:F)),1,0)</f>
        <v>0</v>
      </c>
      <c r="L5628" s="14">
        <f>IF(ISNUMBER(SEARCH(Лист2!$B$5,I:I)),1,0)+K5628</f>
        <v>0</v>
      </c>
      <c r="M5628" s="3">
        <f ca="1">IF(AND(N5628&lt;&gt;N5627,ISNUMBER(SEARCH(Лист2!$B$6,N:N)),L5628=2),MAX($M$3:OFFSET(M5628,-1,0))+1,0)</f>
        <v>0</v>
      </c>
      <c r="N5628" s="3" t="s">
        <v>3328</v>
      </c>
    </row>
    <row r="5629" spans="1:14" x14ac:dyDescent="0.25">
      <c r="A5629" s="1" t="s">
        <v>14242</v>
      </c>
      <c r="B5629" s="3" t="s">
        <v>9248</v>
      </c>
      <c r="C5629" s="2">
        <f ca="1">IF(ISNUMBER(SEARCH(Лист2!$B$4,D:D)),MAX($C$3:OFFSET(C5629,-1,0))+1,0)</f>
        <v>0</v>
      </c>
      <c r="E5629" s="9" t="str">
        <f t="shared" ca="1" si="99"/>
        <v/>
      </c>
      <c r="F5629" s="4" t="s">
        <v>459</v>
      </c>
      <c r="G5629" s="2">
        <f>IF(ISNUMBER(SEARCH(Лист2!$B$4,F:F)),1,0)</f>
        <v>0</v>
      </c>
      <c r="H5629" s="3">
        <f ca="1">IF(AND(I5629&lt;&gt;I5628,ISNUMBER(SEARCH(Лист2!$B$5,I:I)),G5629=1),MAX($H$3:OFFSET(H5629,-1,0))+1,0)</f>
        <v>0</v>
      </c>
      <c r="I5629" s="3" t="s">
        <v>47</v>
      </c>
      <c r="K5629" s="2">
        <f>IF(ISNUMBER(SEARCH(Лист2!$B$4,F:F)),1,0)</f>
        <v>0</v>
      </c>
      <c r="L5629" s="14">
        <f>IF(ISNUMBER(SEARCH(Лист2!$B$5,I:I)),1,0)+K5629</f>
        <v>0</v>
      </c>
      <c r="M5629" s="3">
        <f ca="1">IF(AND(N5629&lt;&gt;N5628,ISNUMBER(SEARCH(Лист2!$B$6,N:N)),L5629=2),MAX($M$3:OFFSET(M5629,-1,0))+1,0)</f>
        <v>0</v>
      </c>
      <c r="N5629" s="3" t="s">
        <v>3328</v>
      </c>
    </row>
    <row r="5630" spans="1:14" x14ac:dyDescent="0.25">
      <c r="A5630" s="1" t="s">
        <v>14242</v>
      </c>
      <c r="B5630" s="3" t="s">
        <v>9249</v>
      </c>
      <c r="C5630" s="2">
        <f ca="1">IF(ISNUMBER(SEARCH(Лист2!$B$4,D:D)),MAX($C$3:OFFSET(C5630,-1,0))+1,0)</f>
        <v>0</v>
      </c>
      <c r="E5630" s="9" t="str">
        <f t="shared" ca="1" si="99"/>
        <v/>
      </c>
      <c r="F5630" s="4" t="s">
        <v>459</v>
      </c>
      <c r="G5630" s="2">
        <f>IF(ISNUMBER(SEARCH(Лист2!$B$4,F:F)),1,0)</f>
        <v>0</v>
      </c>
      <c r="H5630" s="3">
        <f ca="1">IF(AND(I5630&lt;&gt;I5629,ISNUMBER(SEARCH(Лист2!$B$5,I:I)),G5630=1),MAX($H$3:OFFSET(H5630,-1,0))+1,0)</f>
        <v>0</v>
      </c>
      <c r="I5630" s="3" t="s">
        <v>47</v>
      </c>
      <c r="K5630" s="2">
        <f>IF(ISNUMBER(SEARCH(Лист2!$B$4,F:F)),1,0)</f>
        <v>0</v>
      </c>
      <c r="L5630" s="14">
        <f>IF(ISNUMBER(SEARCH(Лист2!$B$5,I:I)),1,0)+K5630</f>
        <v>0</v>
      </c>
      <c r="M5630" s="3">
        <f ca="1">IF(AND(N5630&lt;&gt;N5629,ISNUMBER(SEARCH(Лист2!$B$6,N:N)),L5630=2),MAX($M$3:OFFSET(M5630,-1,0))+1,0)</f>
        <v>0</v>
      </c>
      <c r="N5630" s="3" t="s">
        <v>3328</v>
      </c>
    </row>
    <row r="5631" spans="1:14" x14ac:dyDescent="0.25">
      <c r="A5631" s="1" t="s">
        <v>14243</v>
      </c>
      <c r="B5631" s="3" t="s">
        <v>9250</v>
      </c>
      <c r="C5631" s="2">
        <f ca="1">IF(ISNUMBER(SEARCH(Лист2!$B$4,D:D)),MAX($C$3:OFFSET(C5631,-1,0))+1,0)</f>
        <v>0</v>
      </c>
      <c r="E5631" s="9" t="str">
        <f t="shared" ca="1" si="99"/>
        <v/>
      </c>
      <c r="F5631" s="4" t="s">
        <v>459</v>
      </c>
      <c r="G5631" s="2">
        <f>IF(ISNUMBER(SEARCH(Лист2!$B$4,F:F)),1,0)</f>
        <v>0</v>
      </c>
      <c r="H5631" s="3">
        <f ca="1">IF(AND(I5631&lt;&gt;I5630,ISNUMBER(SEARCH(Лист2!$B$5,I:I)),G5631=1),MAX($H$3:OFFSET(H5631,-1,0))+1,0)</f>
        <v>0</v>
      </c>
      <c r="I5631" s="3" t="s">
        <v>47</v>
      </c>
      <c r="K5631" s="2">
        <f>IF(ISNUMBER(SEARCH(Лист2!$B$4,F:F)),1,0)</f>
        <v>0</v>
      </c>
      <c r="L5631" s="14">
        <f>IF(ISNUMBER(SEARCH(Лист2!$B$5,I:I)),1,0)+K5631</f>
        <v>0</v>
      </c>
      <c r="M5631" s="3">
        <f ca="1">IF(AND(N5631&lt;&gt;N5630,ISNUMBER(SEARCH(Лист2!$B$6,N:N)),L5631=2),MAX($M$3:OFFSET(M5631,-1,0))+1,0)</f>
        <v>0</v>
      </c>
      <c r="N5631" s="3" t="s">
        <v>3329</v>
      </c>
    </row>
    <row r="5632" spans="1:14" x14ac:dyDescent="0.25">
      <c r="A5632" s="1" t="s">
        <v>14243</v>
      </c>
      <c r="B5632" s="3" t="s">
        <v>9251</v>
      </c>
      <c r="C5632" s="2">
        <f ca="1">IF(ISNUMBER(SEARCH(Лист2!$B$4,D:D)),MAX($C$3:OFFSET(C5632,-1,0))+1,0)</f>
        <v>0</v>
      </c>
      <c r="E5632" s="9" t="str">
        <f t="shared" ca="1" si="99"/>
        <v/>
      </c>
      <c r="F5632" s="4" t="s">
        <v>459</v>
      </c>
      <c r="G5632" s="2">
        <f>IF(ISNUMBER(SEARCH(Лист2!$B$4,F:F)),1,0)</f>
        <v>0</v>
      </c>
      <c r="H5632" s="3">
        <f ca="1">IF(AND(I5632&lt;&gt;I5631,ISNUMBER(SEARCH(Лист2!$B$5,I:I)),G5632=1),MAX($H$3:OFFSET(H5632,-1,0))+1,0)</f>
        <v>0</v>
      </c>
      <c r="I5632" s="3" t="s">
        <v>47</v>
      </c>
      <c r="K5632" s="2">
        <f>IF(ISNUMBER(SEARCH(Лист2!$B$4,F:F)),1,0)</f>
        <v>0</v>
      </c>
      <c r="L5632" s="14">
        <f>IF(ISNUMBER(SEARCH(Лист2!$B$5,I:I)),1,0)+K5632</f>
        <v>0</v>
      </c>
      <c r="M5632" s="3">
        <f ca="1">IF(AND(N5632&lt;&gt;N5631,ISNUMBER(SEARCH(Лист2!$B$6,N:N)),L5632=2),MAX($M$3:OFFSET(M5632,-1,0))+1,0)</f>
        <v>0</v>
      </c>
      <c r="N5632" s="3" t="s">
        <v>3329</v>
      </c>
    </row>
    <row r="5633" spans="1:14" x14ac:dyDescent="0.25">
      <c r="A5633" s="1" t="s">
        <v>14243</v>
      </c>
      <c r="B5633" s="3" t="s">
        <v>9252</v>
      </c>
      <c r="C5633" s="2">
        <f ca="1">IF(ISNUMBER(SEARCH(Лист2!$B$4,D:D)),MAX($C$3:OFFSET(C5633,-1,0))+1,0)</f>
        <v>0</v>
      </c>
      <c r="E5633" s="9" t="str">
        <f t="shared" ca="1" si="99"/>
        <v/>
      </c>
      <c r="F5633" s="4" t="s">
        <v>459</v>
      </c>
      <c r="G5633" s="2">
        <f>IF(ISNUMBER(SEARCH(Лист2!$B$4,F:F)),1,0)</f>
        <v>0</v>
      </c>
      <c r="H5633" s="3">
        <f ca="1">IF(AND(I5633&lt;&gt;I5632,ISNUMBER(SEARCH(Лист2!$B$5,I:I)),G5633=1),MAX($H$3:OFFSET(H5633,-1,0))+1,0)</f>
        <v>0</v>
      </c>
      <c r="I5633" s="3" t="s">
        <v>47</v>
      </c>
      <c r="K5633" s="2">
        <f>IF(ISNUMBER(SEARCH(Лист2!$B$4,F:F)),1,0)</f>
        <v>0</v>
      </c>
      <c r="L5633" s="14">
        <f>IF(ISNUMBER(SEARCH(Лист2!$B$5,I:I)),1,0)+K5633</f>
        <v>0</v>
      </c>
      <c r="M5633" s="3">
        <f ca="1">IF(AND(N5633&lt;&gt;N5632,ISNUMBER(SEARCH(Лист2!$B$6,N:N)),L5633=2),MAX($M$3:OFFSET(M5633,-1,0))+1,0)</f>
        <v>0</v>
      </c>
      <c r="N5633" s="3" t="s">
        <v>3329</v>
      </c>
    </row>
    <row r="5634" spans="1:14" x14ac:dyDescent="0.25">
      <c r="A5634" s="1" t="s">
        <v>14244</v>
      </c>
      <c r="B5634" s="3" t="s">
        <v>9253</v>
      </c>
      <c r="C5634" s="2">
        <f ca="1">IF(ISNUMBER(SEARCH(Лист2!$B$4,D:D)),MAX($C$3:OFFSET(C5634,-1,0))+1,0)</f>
        <v>0</v>
      </c>
      <c r="E5634" s="9" t="str">
        <f t="shared" ca="1" si="99"/>
        <v/>
      </c>
      <c r="F5634" s="4" t="s">
        <v>459</v>
      </c>
      <c r="G5634" s="2">
        <f>IF(ISNUMBER(SEARCH(Лист2!$B$4,F:F)),1,0)</f>
        <v>0</v>
      </c>
      <c r="H5634" s="3">
        <f ca="1">IF(AND(I5634&lt;&gt;I5633,ISNUMBER(SEARCH(Лист2!$B$5,I:I)),G5634=1),MAX($H$3:OFFSET(H5634,-1,0))+1,0)</f>
        <v>0</v>
      </c>
      <c r="I5634" s="3" t="s">
        <v>47</v>
      </c>
      <c r="K5634" s="2">
        <f>IF(ISNUMBER(SEARCH(Лист2!$B$4,F:F)),1,0)</f>
        <v>0</v>
      </c>
      <c r="L5634" s="14">
        <f>IF(ISNUMBER(SEARCH(Лист2!$B$5,I:I)),1,0)+K5634</f>
        <v>0</v>
      </c>
      <c r="M5634" s="3">
        <f ca="1">IF(AND(N5634&lt;&gt;N5633,ISNUMBER(SEARCH(Лист2!$B$6,N:N)),L5634=2),MAX($M$3:OFFSET(M5634,-1,0))+1,0)</f>
        <v>0</v>
      </c>
      <c r="N5634" s="3" t="s">
        <v>3330</v>
      </c>
    </row>
    <row r="5635" spans="1:14" x14ac:dyDescent="0.25">
      <c r="A5635" s="1" t="s">
        <v>14244</v>
      </c>
      <c r="B5635" s="3" t="s">
        <v>9254</v>
      </c>
      <c r="C5635" s="2">
        <f ca="1">IF(ISNUMBER(SEARCH(Лист2!$B$4,D:D)),MAX($C$3:OFFSET(C5635,-1,0))+1,0)</f>
        <v>0</v>
      </c>
      <c r="E5635" s="9" t="str">
        <f t="shared" ca="1" si="99"/>
        <v/>
      </c>
      <c r="F5635" s="4" t="s">
        <v>459</v>
      </c>
      <c r="G5635" s="2">
        <f>IF(ISNUMBER(SEARCH(Лист2!$B$4,F:F)),1,0)</f>
        <v>0</v>
      </c>
      <c r="H5635" s="3">
        <f ca="1">IF(AND(I5635&lt;&gt;I5634,ISNUMBER(SEARCH(Лист2!$B$5,I:I)),G5635=1),MAX($H$3:OFFSET(H5635,-1,0))+1,0)</f>
        <v>0</v>
      </c>
      <c r="I5635" s="3" t="s">
        <v>47</v>
      </c>
      <c r="K5635" s="2">
        <f>IF(ISNUMBER(SEARCH(Лист2!$B$4,F:F)),1,0)</f>
        <v>0</v>
      </c>
      <c r="L5635" s="14">
        <f>IF(ISNUMBER(SEARCH(Лист2!$B$5,I:I)),1,0)+K5635</f>
        <v>0</v>
      </c>
      <c r="M5635" s="3">
        <f ca="1">IF(AND(N5635&lt;&gt;N5634,ISNUMBER(SEARCH(Лист2!$B$6,N:N)),L5635=2),MAX($M$3:OFFSET(M5635,-1,0))+1,0)</f>
        <v>0</v>
      </c>
      <c r="N5635" s="3" t="s">
        <v>3330</v>
      </c>
    </row>
    <row r="5636" spans="1:14" x14ac:dyDescent="0.25">
      <c r="A5636" s="1" t="s">
        <v>14244</v>
      </c>
      <c r="B5636" s="3" t="s">
        <v>9255</v>
      </c>
      <c r="C5636" s="2">
        <f ca="1">IF(ISNUMBER(SEARCH(Лист2!$B$4,D:D)),MAX($C$3:OFFSET(C5636,-1,0))+1,0)</f>
        <v>0</v>
      </c>
      <c r="E5636" s="9" t="str">
        <f t="shared" ca="1" si="99"/>
        <v/>
      </c>
      <c r="F5636" s="4" t="s">
        <v>459</v>
      </c>
      <c r="G5636" s="2">
        <f>IF(ISNUMBER(SEARCH(Лист2!$B$4,F:F)),1,0)</f>
        <v>0</v>
      </c>
      <c r="H5636" s="3">
        <f ca="1">IF(AND(I5636&lt;&gt;I5635,ISNUMBER(SEARCH(Лист2!$B$5,I:I)),G5636=1),MAX($H$3:OFFSET(H5636,-1,0))+1,0)</f>
        <v>0</v>
      </c>
      <c r="I5636" s="3" t="s">
        <v>47</v>
      </c>
      <c r="K5636" s="2">
        <f>IF(ISNUMBER(SEARCH(Лист2!$B$4,F:F)),1,0)</f>
        <v>0</v>
      </c>
      <c r="L5636" s="14">
        <f>IF(ISNUMBER(SEARCH(Лист2!$B$5,I:I)),1,0)+K5636</f>
        <v>0</v>
      </c>
      <c r="M5636" s="3">
        <f ca="1">IF(AND(N5636&lt;&gt;N5635,ISNUMBER(SEARCH(Лист2!$B$6,N:N)),L5636=2),MAX($M$3:OFFSET(M5636,-1,0))+1,0)</f>
        <v>0</v>
      </c>
      <c r="N5636" s="3" t="s">
        <v>3330</v>
      </c>
    </row>
    <row r="5637" spans="1:14" x14ac:dyDescent="0.25">
      <c r="A5637" s="1" t="s">
        <v>14245</v>
      </c>
      <c r="B5637" s="3" t="s">
        <v>9256</v>
      </c>
      <c r="C5637" s="2">
        <f ca="1">IF(ISNUMBER(SEARCH(Лист2!$B$4,D:D)),MAX($C$3:OFFSET(C5637,-1,0))+1,0)</f>
        <v>0</v>
      </c>
      <c r="E5637" s="9" t="str">
        <f t="shared" ref="E5637:E5700" ca="1" si="100">IFERROR(INDEX(D:D,MATCH(ROW(E5637)-ROW($E$3),C:C,0)),"")</f>
        <v/>
      </c>
      <c r="F5637" s="4" t="s">
        <v>459</v>
      </c>
      <c r="G5637" s="2">
        <f>IF(ISNUMBER(SEARCH(Лист2!$B$4,F:F)),1,0)</f>
        <v>0</v>
      </c>
      <c r="H5637" s="3">
        <f ca="1">IF(AND(I5637&lt;&gt;I5636,ISNUMBER(SEARCH(Лист2!$B$5,I:I)),G5637=1),MAX($H$3:OFFSET(H5637,-1,0))+1,0)</f>
        <v>0</v>
      </c>
      <c r="I5637" s="3" t="s">
        <v>47</v>
      </c>
      <c r="K5637" s="2">
        <f>IF(ISNUMBER(SEARCH(Лист2!$B$4,F:F)),1,0)</f>
        <v>0</v>
      </c>
      <c r="L5637" s="14">
        <f>IF(ISNUMBER(SEARCH(Лист2!$B$5,I:I)),1,0)+K5637</f>
        <v>0</v>
      </c>
      <c r="M5637" s="3">
        <f ca="1">IF(AND(N5637&lt;&gt;N5636,ISNUMBER(SEARCH(Лист2!$B$6,N:N)),L5637=2),MAX($M$3:OFFSET(M5637,-1,0))+1,0)</f>
        <v>0</v>
      </c>
      <c r="N5637" s="3" t="s">
        <v>3331</v>
      </c>
    </row>
    <row r="5638" spans="1:14" x14ac:dyDescent="0.25">
      <c r="A5638" s="1" t="s">
        <v>14245</v>
      </c>
      <c r="B5638" s="3" t="s">
        <v>9257</v>
      </c>
      <c r="C5638" s="2">
        <f ca="1">IF(ISNUMBER(SEARCH(Лист2!$B$4,D:D)),MAX($C$3:OFFSET(C5638,-1,0))+1,0)</f>
        <v>0</v>
      </c>
      <c r="E5638" s="9" t="str">
        <f t="shared" ca="1" si="100"/>
        <v/>
      </c>
      <c r="F5638" s="4" t="s">
        <v>459</v>
      </c>
      <c r="G5638" s="2">
        <f>IF(ISNUMBER(SEARCH(Лист2!$B$4,F:F)),1,0)</f>
        <v>0</v>
      </c>
      <c r="H5638" s="3">
        <f ca="1">IF(AND(I5638&lt;&gt;I5637,ISNUMBER(SEARCH(Лист2!$B$5,I:I)),G5638=1),MAX($H$3:OFFSET(H5638,-1,0))+1,0)</f>
        <v>0</v>
      </c>
      <c r="I5638" s="3" t="s">
        <v>47</v>
      </c>
      <c r="K5638" s="2">
        <f>IF(ISNUMBER(SEARCH(Лист2!$B$4,F:F)),1,0)</f>
        <v>0</v>
      </c>
      <c r="L5638" s="14">
        <f>IF(ISNUMBER(SEARCH(Лист2!$B$5,I:I)),1,0)+K5638</f>
        <v>0</v>
      </c>
      <c r="M5638" s="3">
        <f ca="1">IF(AND(N5638&lt;&gt;N5637,ISNUMBER(SEARCH(Лист2!$B$6,N:N)),L5638=2),MAX($M$3:OFFSET(M5638,-1,0))+1,0)</f>
        <v>0</v>
      </c>
      <c r="N5638" s="3" t="s">
        <v>3331</v>
      </c>
    </row>
    <row r="5639" spans="1:14" x14ac:dyDescent="0.25">
      <c r="A5639" s="1" t="s">
        <v>14245</v>
      </c>
      <c r="B5639" s="3" t="s">
        <v>9258</v>
      </c>
      <c r="C5639" s="2">
        <f ca="1">IF(ISNUMBER(SEARCH(Лист2!$B$4,D:D)),MAX($C$3:OFFSET(C5639,-1,0))+1,0)</f>
        <v>0</v>
      </c>
      <c r="E5639" s="9" t="str">
        <f t="shared" ca="1" si="100"/>
        <v/>
      </c>
      <c r="F5639" s="4" t="s">
        <v>459</v>
      </c>
      <c r="G5639" s="2">
        <f>IF(ISNUMBER(SEARCH(Лист2!$B$4,F:F)),1,0)</f>
        <v>0</v>
      </c>
      <c r="H5639" s="3">
        <f ca="1">IF(AND(I5639&lt;&gt;I5638,ISNUMBER(SEARCH(Лист2!$B$5,I:I)),G5639=1),MAX($H$3:OFFSET(H5639,-1,0))+1,0)</f>
        <v>0</v>
      </c>
      <c r="I5639" s="3" t="s">
        <v>47</v>
      </c>
      <c r="K5639" s="2">
        <f>IF(ISNUMBER(SEARCH(Лист2!$B$4,F:F)),1,0)</f>
        <v>0</v>
      </c>
      <c r="L5639" s="14">
        <f>IF(ISNUMBER(SEARCH(Лист2!$B$5,I:I)),1,0)+K5639</f>
        <v>0</v>
      </c>
      <c r="M5639" s="3">
        <f ca="1">IF(AND(N5639&lt;&gt;N5638,ISNUMBER(SEARCH(Лист2!$B$6,N:N)),L5639=2),MAX($M$3:OFFSET(M5639,-1,0))+1,0)</f>
        <v>0</v>
      </c>
      <c r="N5639" s="3" t="s">
        <v>3331</v>
      </c>
    </row>
    <row r="5640" spans="1:14" x14ac:dyDescent="0.25">
      <c r="A5640" s="1" t="s">
        <v>14246</v>
      </c>
      <c r="B5640" s="3" t="s">
        <v>9259</v>
      </c>
      <c r="C5640" s="2">
        <f ca="1">IF(ISNUMBER(SEARCH(Лист2!$B$4,D:D)),MAX($C$3:OFFSET(C5640,-1,0))+1,0)</f>
        <v>0</v>
      </c>
      <c r="E5640" s="9" t="str">
        <f t="shared" ca="1" si="100"/>
        <v/>
      </c>
      <c r="F5640" s="4" t="s">
        <v>459</v>
      </c>
      <c r="G5640" s="2">
        <f>IF(ISNUMBER(SEARCH(Лист2!$B$4,F:F)),1,0)</f>
        <v>0</v>
      </c>
      <c r="H5640" s="3">
        <f ca="1">IF(AND(I5640&lt;&gt;I5639,ISNUMBER(SEARCH(Лист2!$B$5,I:I)),G5640=1),MAX($H$3:OFFSET(H5640,-1,0))+1,0)</f>
        <v>0</v>
      </c>
      <c r="I5640" s="3" t="s">
        <v>47</v>
      </c>
      <c r="K5640" s="2">
        <f>IF(ISNUMBER(SEARCH(Лист2!$B$4,F:F)),1,0)</f>
        <v>0</v>
      </c>
      <c r="L5640" s="14">
        <f>IF(ISNUMBER(SEARCH(Лист2!$B$5,I:I)),1,0)+K5640</f>
        <v>0</v>
      </c>
      <c r="M5640" s="3">
        <f ca="1">IF(AND(N5640&lt;&gt;N5639,ISNUMBER(SEARCH(Лист2!$B$6,N:N)),L5640=2),MAX($M$3:OFFSET(M5640,-1,0))+1,0)</f>
        <v>0</v>
      </c>
      <c r="N5640" s="3" t="s">
        <v>3332</v>
      </c>
    </row>
    <row r="5641" spans="1:14" x14ac:dyDescent="0.25">
      <c r="A5641" s="1" t="s">
        <v>14246</v>
      </c>
      <c r="B5641" s="3" t="s">
        <v>9260</v>
      </c>
      <c r="C5641" s="2">
        <f ca="1">IF(ISNUMBER(SEARCH(Лист2!$B$4,D:D)),MAX($C$3:OFFSET(C5641,-1,0))+1,0)</f>
        <v>0</v>
      </c>
      <c r="E5641" s="9" t="str">
        <f t="shared" ca="1" si="100"/>
        <v/>
      </c>
      <c r="F5641" s="4" t="s">
        <v>459</v>
      </c>
      <c r="G5641" s="2">
        <f>IF(ISNUMBER(SEARCH(Лист2!$B$4,F:F)),1,0)</f>
        <v>0</v>
      </c>
      <c r="H5641" s="3">
        <f ca="1">IF(AND(I5641&lt;&gt;I5640,ISNUMBER(SEARCH(Лист2!$B$5,I:I)),G5641=1),MAX($H$3:OFFSET(H5641,-1,0))+1,0)</f>
        <v>0</v>
      </c>
      <c r="I5641" s="3" t="s">
        <v>47</v>
      </c>
      <c r="K5641" s="2">
        <f>IF(ISNUMBER(SEARCH(Лист2!$B$4,F:F)),1,0)</f>
        <v>0</v>
      </c>
      <c r="L5641" s="14">
        <f>IF(ISNUMBER(SEARCH(Лист2!$B$5,I:I)),1,0)+K5641</f>
        <v>0</v>
      </c>
      <c r="M5641" s="3">
        <f ca="1">IF(AND(N5641&lt;&gt;N5640,ISNUMBER(SEARCH(Лист2!$B$6,N:N)),L5641=2),MAX($M$3:OFFSET(M5641,-1,0))+1,0)</f>
        <v>0</v>
      </c>
      <c r="N5641" s="3" t="s">
        <v>3332</v>
      </c>
    </row>
    <row r="5642" spans="1:14" x14ac:dyDescent="0.25">
      <c r="A5642" s="1" t="s">
        <v>14246</v>
      </c>
      <c r="B5642" s="3" t="s">
        <v>9261</v>
      </c>
      <c r="C5642" s="2">
        <f ca="1">IF(ISNUMBER(SEARCH(Лист2!$B$4,D:D)),MAX($C$3:OFFSET(C5642,-1,0))+1,0)</f>
        <v>0</v>
      </c>
      <c r="E5642" s="9" t="str">
        <f t="shared" ca="1" si="100"/>
        <v/>
      </c>
      <c r="F5642" s="4" t="s">
        <v>459</v>
      </c>
      <c r="G5642" s="2">
        <f>IF(ISNUMBER(SEARCH(Лист2!$B$4,F:F)),1,0)</f>
        <v>0</v>
      </c>
      <c r="H5642" s="3">
        <f ca="1">IF(AND(I5642&lt;&gt;I5641,ISNUMBER(SEARCH(Лист2!$B$5,I:I)),G5642=1),MAX($H$3:OFFSET(H5642,-1,0))+1,0)</f>
        <v>0</v>
      </c>
      <c r="I5642" s="3" t="s">
        <v>47</v>
      </c>
      <c r="K5642" s="2">
        <f>IF(ISNUMBER(SEARCH(Лист2!$B$4,F:F)),1,0)</f>
        <v>0</v>
      </c>
      <c r="L5642" s="14">
        <f>IF(ISNUMBER(SEARCH(Лист2!$B$5,I:I)),1,0)+K5642</f>
        <v>0</v>
      </c>
      <c r="M5642" s="3">
        <f ca="1">IF(AND(N5642&lt;&gt;N5641,ISNUMBER(SEARCH(Лист2!$B$6,N:N)),L5642=2),MAX($M$3:OFFSET(M5642,-1,0))+1,0)</f>
        <v>0</v>
      </c>
      <c r="N5642" s="3" t="s">
        <v>3332</v>
      </c>
    </row>
    <row r="5643" spans="1:14" x14ac:dyDescent="0.25">
      <c r="A5643" s="1" t="s">
        <v>14247</v>
      </c>
      <c r="B5643" s="3" t="s">
        <v>9262</v>
      </c>
      <c r="C5643" s="2">
        <f ca="1">IF(ISNUMBER(SEARCH(Лист2!$B$4,D:D)),MAX($C$3:OFFSET(C5643,-1,0))+1,0)</f>
        <v>0</v>
      </c>
      <c r="E5643" s="9" t="str">
        <f t="shared" ca="1" si="100"/>
        <v/>
      </c>
      <c r="F5643" s="4" t="s">
        <v>459</v>
      </c>
      <c r="G5643" s="2">
        <f>IF(ISNUMBER(SEARCH(Лист2!$B$4,F:F)),1,0)</f>
        <v>0</v>
      </c>
      <c r="H5643" s="3">
        <f ca="1">IF(AND(I5643&lt;&gt;I5642,ISNUMBER(SEARCH(Лист2!$B$5,I:I)),G5643=1),MAX($H$3:OFFSET(H5643,-1,0))+1,0)</f>
        <v>0</v>
      </c>
      <c r="I5643" s="3" t="s">
        <v>47</v>
      </c>
      <c r="K5643" s="2">
        <f>IF(ISNUMBER(SEARCH(Лист2!$B$4,F:F)),1,0)</f>
        <v>0</v>
      </c>
      <c r="L5643" s="14">
        <f>IF(ISNUMBER(SEARCH(Лист2!$B$5,I:I)),1,0)+K5643</f>
        <v>0</v>
      </c>
      <c r="M5643" s="3">
        <f ca="1">IF(AND(N5643&lt;&gt;N5642,ISNUMBER(SEARCH(Лист2!$B$6,N:N)),L5643=2),MAX($M$3:OFFSET(M5643,-1,0))+1,0)</f>
        <v>0</v>
      </c>
      <c r="N5643" s="3" t="s">
        <v>3333</v>
      </c>
    </row>
    <row r="5644" spans="1:14" x14ac:dyDescent="0.25">
      <c r="A5644" s="1" t="s">
        <v>14247</v>
      </c>
      <c r="B5644" s="3" t="s">
        <v>9263</v>
      </c>
      <c r="C5644" s="2">
        <f ca="1">IF(ISNUMBER(SEARCH(Лист2!$B$4,D:D)),MAX($C$3:OFFSET(C5644,-1,0))+1,0)</f>
        <v>0</v>
      </c>
      <c r="E5644" s="9" t="str">
        <f t="shared" ca="1" si="100"/>
        <v/>
      </c>
      <c r="F5644" s="4" t="s">
        <v>459</v>
      </c>
      <c r="G5644" s="2">
        <f>IF(ISNUMBER(SEARCH(Лист2!$B$4,F:F)),1,0)</f>
        <v>0</v>
      </c>
      <c r="H5644" s="3">
        <f ca="1">IF(AND(I5644&lt;&gt;I5643,ISNUMBER(SEARCH(Лист2!$B$5,I:I)),G5644=1),MAX($H$3:OFFSET(H5644,-1,0))+1,0)</f>
        <v>0</v>
      </c>
      <c r="I5644" s="3" t="s">
        <v>47</v>
      </c>
      <c r="K5644" s="2">
        <f>IF(ISNUMBER(SEARCH(Лист2!$B$4,F:F)),1,0)</f>
        <v>0</v>
      </c>
      <c r="L5644" s="14">
        <f>IF(ISNUMBER(SEARCH(Лист2!$B$5,I:I)),1,0)+K5644</f>
        <v>0</v>
      </c>
      <c r="M5644" s="3">
        <f ca="1">IF(AND(N5644&lt;&gt;N5643,ISNUMBER(SEARCH(Лист2!$B$6,N:N)),L5644=2),MAX($M$3:OFFSET(M5644,-1,0))+1,0)</f>
        <v>0</v>
      </c>
      <c r="N5644" s="3" t="s">
        <v>3333</v>
      </c>
    </row>
    <row r="5645" spans="1:14" x14ac:dyDescent="0.25">
      <c r="A5645" s="1" t="s">
        <v>14247</v>
      </c>
      <c r="B5645" s="3" t="s">
        <v>9264</v>
      </c>
      <c r="C5645" s="2">
        <f ca="1">IF(ISNUMBER(SEARCH(Лист2!$B$4,D:D)),MAX($C$3:OFFSET(C5645,-1,0))+1,0)</f>
        <v>0</v>
      </c>
      <c r="E5645" s="9" t="str">
        <f t="shared" ca="1" si="100"/>
        <v/>
      </c>
      <c r="F5645" s="4" t="s">
        <v>459</v>
      </c>
      <c r="G5645" s="2">
        <f>IF(ISNUMBER(SEARCH(Лист2!$B$4,F:F)),1,0)</f>
        <v>0</v>
      </c>
      <c r="H5645" s="3">
        <f ca="1">IF(AND(I5645&lt;&gt;I5644,ISNUMBER(SEARCH(Лист2!$B$5,I:I)),G5645=1),MAX($H$3:OFFSET(H5645,-1,0))+1,0)</f>
        <v>0</v>
      </c>
      <c r="I5645" s="3" t="s">
        <v>47</v>
      </c>
      <c r="K5645" s="2">
        <f>IF(ISNUMBER(SEARCH(Лист2!$B$4,F:F)),1,0)</f>
        <v>0</v>
      </c>
      <c r="L5645" s="14">
        <f>IF(ISNUMBER(SEARCH(Лист2!$B$5,I:I)),1,0)+K5645</f>
        <v>0</v>
      </c>
      <c r="M5645" s="3">
        <f ca="1">IF(AND(N5645&lt;&gt;N5644,ISNUMBER(SEARCH(Лист2!$B$6,N:N)),L5645=2),MAX($M$3:OFFSET(M5645,-1,0))+1,0)</f>
        <v>0</v>
      </c>
      <c r="N5645" s="3" t="s">
        <v>3333</v>
      </c>
    </row>
    <row r="5646" spans="1:14" x14ac:dyDescent="0.25">
      <c r="A5646" s="1" t="s">
        <v>14248</v>
      </c>
      <c r="B5646" s="3" t="s">
        <v>9265</v>
      </c>
      <c r="C5646" s="2">
        <f ca="1">IF(ISNUMBER(SEARCH(Лист2!$B$4,D:D)),MAX($C$3:OFFSET(C5646,-1,0))+1,0)</f>
        <v>0</v>
      </c>
      <c r="E5646" s="9" t="str">
        <f t="shared" ca="1" si="100"/>
        <v/>
      </c>
      <c r="F5646" s="4" t="s">
        <v>459</v>
      </c>
      <c r="G5646" s="2">
        <f>IF(ISNUMBER(SEARCH(Лист2!$B$4,F:F)),1,0)</f>
        <v>0</v>
      </c>
      <c r="H5646" s="3">
        <f ca="1">IF(AND(I5646&lt;&gt;I5645,ISNUMBER(SEARCH(Лист2!$B$5,I:I)),G5646=1),MAX($H$3:OFFSET(H5646,-1,0))+1,0)</f>
        <v>0</v>
      </c>
      <c r="I5646" s="3" t="s">
        <v>47</v>
      </c>
      <c r="K5646" s="2">
        <f>IF(ISNUMBER(SEARCH(Лист2!$B$4,F:F)),1,0)</f>
        <v>0</v>
      </c>
      <c r="L5646" s="14">
        <f>IF(ISNUMBER(SEARCH(Лист2!$B$5,I:I)),1,0)+K5646</f>
        <v>0</v>
      </c>
      <c r="M5646" s="3">
        <f ca="1">IF(AND(N5646&lt;&gt;N5645,ISNUMBER(SEARCH(Лист2!$B$6,N:N)),L5646=2),MAX($M$3:OFFSET(M5646,-1,0))+1,0)</f>
        <v>0</v>
      </c>
      <c r="N5646" s="3" t="s">
        <v>3334</v>
      </c>
    </row>
    <row r="5647" spans="1:14" x14ac:dyDescent="0.25">
      <c r="A5647" s="1" t="s">
        <v>14248</v>
      </c>
      <c r="B5647" s="3" t="s">
        <v>9266</v>
      </c>
      <c r="C5647" s="2">
        <f ca="1">IF(ISNUMBER(SEARCH(Лист2!$B$4,D:D)),MAX($C$3:OFFSET(C5647,-1,0))+1,0)</f>
        <v>0</v>
      </c>
      <c r="E5647" s="9" t="str">
        <f t="shared" ca="1" si="100"/>
        <v/>
      </c>
      <c r="F5647" s="4" t="s">
        <v>459</v>
      </c>
      <c r="G5647" s="2">
        <f>IF(ISNUMBER(SEARCH(Лист2!$B$4,F:F)),1,0)</f>
        <v>0</v>
      </c>
      <c r="H5647" s="3">
        <f ca="1">IF(AND(I5647&lt;&gt;I5646,ISNUMBER(SEARCH(Лист2!$B$5,I:I)),G5647=1),MAX($H$3:OFFSET(H5647,-1,0))+1,0)</f>
        <v>0</v>
      </c>
      <c r="I5647" s="3" t="s">
        <v>47</v>
      </c>
      <c r="K5647" s="2">
        <f>IF(ISNUMBER(SEARCH(Лист2!$B$4,F:F)),1,0)</f>
        <v>0</v>
      </c>
      <c r="L5647" s="14">
        <f>IF(ISNUMBER(SEARCH(Лист2!$B$5,I:I)),1,0)+K5647</f>
        <v>0</v>
      </c>
      <c r="M5647" s="3">
        <f ca="1">IF(AND(N5647&lt;&gt;N5646,ISNUMBER(SEARCH(Лист2!$B$6,N:N)),L5647=2),MAX($M$3:OFFSET(M5647,-1,0))+1,0)</f>
        <v>0</v>
      </c>
      <c r="N5647" s="3" t="s">
        <v>3334</v>
      </c>
    </row>
    <row r="5648" spans="1:14" x14ac:dyDescent="0.25">
      <c r="A5648" s="1" t="s">
        <v>14248</v>
      </c>
      <c r="B5648" s="3" t="s">
        <v>9267</v>
      </c>
      <c r="C5648" s="2">
        <f ca="1">IF(ISNUMBER(SEARCH(Лист2!$B$4,D:D)),MAX($C$3:OFFSET(C5648,-1,0))+1,0)</f>
        <v>0</v>
      </c>
      <c r="E5648" s="9" t="str">
        <f t="shared" ca="1" si="100"/>
        <v/>
      </c>
      <c r="F5648" s="4" t="s">
        <v>459</v>
      </c>
      <c r="G5648" s="2">
        <f>IF(ISNUMBER(SEARCH(Лист2!$B$4,F:F)),1,0)</f>
        <v>0</v>
      </c>
      <c r="H5648" s="3">
        <f ca="1">IF(AND(I5648&lt;&gt;I5647,ISNUMBER(SEARCH(Лист2!$B$5,I:I)),G5648=1),MAX($H$3:OFFSET(H5648,-1,0))+1,0)</f>
        <v>0</v>
      </c>
      <c r="I5648" s="3" t="s">
        <v>47</v>
      </c>
      <c r="K5648" s="2">
        <f>IF(ISNUMBER(SEARCH(Лист2!$B$4,F:F)),1,0)</f>
        <v>0</v>
      </c>
      <c r="L5648" s="14">
        <f>IF(ISNUMBER(SEARCH(Лист2!$B$5,I:I)),1,0)+K5648</f>
        <v>0</v>
      </c>
      <c r="M5648" s="3">
        <f ca="1">IF(AND(N5648&lt;&gt;N5647,ISNUMBER(SEARCH(Лист2!$B$6,N:N)),L5648=2),MAX($M$3:OFFSET(M5648,-1,0))+1,0)</f>
        <v>0</v>
      </c>
      <c r="N5648" s="3" t="s">
        <v>3334</v>
      </c>
    </row>
    <row r="5649" spans="1:14" x14ac:dyDescent="0.25">
      <c r="A5649" s="1" t="s">
        <v>14249</v>
      </c>
      <c r="B5649" s="3" t="s">
        <v>9268</v>
      </c>
      <c r="C5649" s="2">
        <f ca="1">IF(ISNUMBER(SEARCH(Лист2!$B$4,D:D)),MAX($C$3:OFFSET(C5649,-1,0))+1,0)</f>
        <v>0</v>
      </c>
      <c r="E5649" s="9" t="str">
        <f t="shared" ca="1" si="100"/>
        <v/>
      </c>
      <c r="F5649" s="4" t="s">
        <v>459</v>
      </c>
      <c r="G5649" s="2">
        <f>IF(ISNUMBER(SEARCH(Лист2!$B$4,F:F)),1,0)</f>
        <v>0</v>
      </c>
      <c r="H5649" s="3">
        <f ca="1">IF(AND(I5649&lt;&gt;I5648,ISNUMBER(SEARCH(Лист2!$B$5,I:I)),G5649=1),MAX($H$3:OFFSET(H5649,-1,0))+1,0)</f>
        <v>0</v>
      </c>
      <c r="I5649" s="3" t="s">
        <v>47</v>
      </c>
      <c r="K5649" s="2">
        <f>IF(ISNUMBER(SEARCH(Лист2!$B$4,F:F)),1,0)</f>
        <v>0</v>
      </c>
      <c r="L5649" s="14">
        <f>IF(ISNUMBER(SEARCH(Лист2!$B$5,I:I)),1,0)+K5649</f>
        <v>0</v>
      </c>
      <c r="M5649" s="3">
        <f ca="1">IF(AND(N5649&lt;&gt;N5648,ISNUMBER(SEARCH(Лист2!$B$6,N:N)),L5649=2),MAX($M$3:OFFSET(M5649,-1,0))+1,0)</f>
        <v>0</v>
      </c>
      <c r="N5649" s="3" t="s">
        <v>3335</v>
      </c>
    </row>
    <row r="5650" spans="1:14" x14ac:dyDescent="0.25">
      <c r="A5650" s="1" t="s">
        <v>14249</v>
      </c>
      <c r="B5650" s="3" t="s">
        <v>9269</v>
      </c>
      <c r="C5650" s="2">
        <f ca="1">IF(ISNUMBER(SEARCH(Лист2!$B$4,D:D)),MAX($C$3:OFFSET(C5650,-1,0))+1,0)</f>
        <v>0</v>
      </c>
      <c r="E5650" s="9" t="str">
        <f t="shared" ca="1" si="100"/>
        <v/>
      </c>
      <c r="F5650" s="4" t="s">
        <v>459</v>
      </c>
      <c r="G5650" s="2">
        <f>IF(ISNUMBER(SEARCH(Лист2!$B$4,F:F)),1,0)</f>
        <v>0</v>
      </c>
      <c r="H5650" s="3">
        <f ca="1">IF(AND(I5650&lt;&gt;I5649,ISNUMBER(SEARCH(Лист2!$B$5,I:I)),G5650=1),MAX($H$3:OFFSET(H5650,-1,0))+1,0)</f>
        <v>0</v>
      </c>
      <c r="I5650" s="3" t="s">
        <v>47</v>
      </c>
      <c r="K5650" s="2">
        <f>IF(ISNUMBER(SEARCH(Лист2!$B$4,F:F)),1,0)</f>
        <v>0</v>
      </c>
      <c r="L5650" s="14">
        <f>IF(ISNUMBER(SEARCH(Лист2!$B$5,I:I)),1,0)+K5650</f>
        <v>0</v>
      </c>
      <c r="M5650" s="3">
        <f ca="1">IF(AND(N5650&lt;&gt;N5649,ISNUMBER(SEARCH(Лист2!$B$6,N:N)),L5650=2),MAX($M$3:OFFSET(M5650,-1,0))+1,0)</f>
        <v>0</v>
      </c>
      <c r="N5650" s="3" t="s">
        <v>3335</v>
      </c>
    </row>
    <row r="5651" spans="1:14" x14ac:dyDescent="0.25">
      <c r="A5651" s="1" t="s">
        <v>14249</v>
      </c>
      <c r="B5651" s="3" t="s">
        <v>9270</v>
      </c>
      <c r="C5651" s="2">
        <f ca="1">IF(ISNUMBER(SEARCH(Лист2!$B$4,D:D)),MAX($C$3:OFFSET(C5651,-1,0))+1,0)</f>
        <v>0</v>
      </c>
      <c r="E5651" s="9" t="str">
        <f t="shared" ca="1" si="100"/>
        <v/>
      </c>
      <c r="F5651" s="4" t="s">
        <v>459</v>
      </c>
      <c r="G5651" s="2">
        <f>IF(ISNUMBER(SEARCH(Лист2!$B$4,F:F)),1,0)</f>
        <v>0</v>
      </c>
      <c r="H5651" s="3">
        <f ca="1">IF(AND(I5651&lt;&gt;I5650,ISNUMBER(SEARCH(Лист2!$B$5,I:I)),G5651=1),MAX($H$3:OFFSET(H5651,-1,0))+1,0)</f>
        <v>0</v>
      </c>
      <c r="I5651" s="3" t="s">
        <v>47</v>
      </c>
      <c r="K5651" s="2">
        <f>IF(ISNUMBER(SEARCH(Лист2!$B$4,F:F)),1,0)</f>
        <v>0</v>
      </c>
      <c r="L5651" s="14">
        <f>IF(ISNUMBER(SEARCH(Лист2!$B$5,I:I)),1,0)+K5651</f>
        <v>0</v>
      </c>
      <c r="M5651" s="3">
        <f ca="1">IF(AND(N5651&lt;&gt;N5650,ISNUMBER(SEARCH(Лист2!$B$6,N:N)),L5651=2),MAX($M$3:OFFSET(M5651,-1,0))+1,0)</f>
        <v>0</v>
      </c>
      <c r="N5651" s="3" t="s">
        <v>3335</v>
      </c>
    </row>
    <row r="5652" spans="1:14" x14ac:dyDescent="0.25">
      <c r="A5652" s="1" t="s">
        <v>14250</v>
      </c>
      <c r="B5652" s="3" t="s">
        <v>9271</v>
      </c>
      <c r="C5652" s="2">
        <f ca="1">IF(ISNUMBER(SEARCH(Лист2!$B$4,D:D)),MAX($C$3:OFFSET(C5652,-1,0))+1,0)</f>
        <v>0</v>
      </c>
      <c r="E5652" s="9" t="str">
        <f t="shared" ca="1" si="100"/>
        <v/>
      </c>
      <c r="F5652" s="4" t="s">
        <v>459</v>
      </c>
      <c r="G5652" s="2">
        <f>IF(ISNUMBER(SEARCH(Лист2!$B$4,F:F)),1,0)</f>
        <v>0</v>
      </c>
      <c r="H5652" s="3">
        <f ca="1">IF(AND(I5652&lt;&gt;I5651,ISNUMBER(SEARCH(Лист2!$B$5,I:I)),G5652=1),MAX($H$3:OFFSET(H5652,-1,0))+1,0)</f>
        <v>0</v>
      </c>
      <c r="I5652" s="3" t="s">
        <v>47</v>
      </c>
      <c r="K5652" s="2">
        <f>IF(ISNUMBER(SEARCH(Лист2!$B$4,F:F)),1,0)</f>
        <v>0</v>
      </c>
      <c r="L5652" s="14">
        <f>IF(ISNUMBER(SEARCH(Лист2!$B$5,I:I)),1,0)+K5652</f>
        <v>0</v>
      </c>
      <c r="M5652" s="3">
        <f ca="1">IF(AND(N5652&lt;&gt;N5651,ISNUMBER(SEARCH(Лист2!$B$6,N:N)),L5652=2),MAX($M$3:OFFSET(M5652,-1,0))+1,0)</f>
        <v>0</v>
      </c>
      <c r="N5652" s="3" t="s">
        <v>3336</v>
      </c>
    </row>
    <row r="5653" spans="1:14" x14ac:dyDescent="0.25">
      <c r="A5653" s="1" t="s">
        <v>14250</v>
      </c>
      <c r="B5653" s="3" t="s">
        <v>9272</v>
      </c>
      <c r="C5653" s="2">
        <f ca="1">IF(ISNUMBER(SEARCH(Лист2!$B$4,D:D)),MAX($C$3:OFFSET(C5653,-1,0))+1,0)</f>
        <v>0</v>
      </c>
      <c r="E5653" s="9" t="str">
        <f t="shared" ca="1" si="100"/>
        <v/>
      </c>
      <c r="F5653" s="4" t="s">
        <v>459</v>
      </c>
      <c r="G5653" s="2">
        <f>IF(ISNUMBER(SEARCH(Лист2!$B$4,F:F)),1,0)</f>
        <v>0</v>
      </c>
      <c r="H5653" s="3">
        <f ca="1">IF(AND(I5653&lt;&gt;I5652,ISNUMBER(SEARCH(Лист2!$B$5,I:I)),G5653=1),MAX($H$3:OFFSET(H5653,-1,0))+1,0)</f>
        <v>0</v>
      </c>
      <c r="I5653" s="3" t="s">
        <v>47</v>
      </c>
      <c r="K5653" s="2">
        <f>IF(ISNUMBER(SEARCH(Лист2!$B$4,F:F)),1,0)</f>
        <v>0</v>
      </c>
      <c r="L5653" s="14">
        <f>IF(ISNUMBER(SEARCH(Лист2!$B$5,I:I)),1,0)+K5653</f>
        <v>0</v>
      </c>
      <c r="M5653" s="3">
        <f ca="1">IF(AND(N5653&lt;&gt;N5652,ISNUMBER(SEARCH(Лист2!$B$6,N:N)),L5653=2),MAX($M$3:OFFSET(M5653,-1,0))+1,0)</f>
        <v>0</v>
      </c>
      <c r="N5653" s="3" t="s">
        <v>3336</v>
      </c>
    </row>
    <row r="5654" spans="1:14" x14ac:dyDescent="0.25">
      <c r="A5654" s="1" t="s">
        <v>14250</v>
      </c>
      <c r="B5654" s="3" t="s">
        <v>9273</v>
      </c>
      <c r="C5654" s="2">
        <f ca="1">IF(ISNUMBER(SEARCH(Лист2!$B$4,D:D)),MAX($C$3:OFFSET(C5654,-1,0))+1,0)</f>
        <v>0</v>
      </c>
      <c r="E5654" s="9" t="str">
        <f t="shared" ca="1" si="100"/>
        <v/>
      </c>
      <c r="F5654" s="4" t="s">
        <v>459</v>
      </c>
      <c r="G5654" s="2">
        <f>IF(ISNUMBER(SEARCH(Лист2!$B$4,F:F)),1,0)</f>
        <v>0</v>
      </c>
      <c r="H5654" s="3">
        <f ca="1">IF(AND(I5654&lt;&gt;I5653,ISNUMBER(SEARCH(Лист2!$B$5,I:I)),G5654=1),MAX($H$3:OFFSET(H5654,-1,0))+1,0)</f>
        <v>0</v>
      </c>
      <c r="I5654" s="3" t="s">
        <v>47</v>
      </c>
      <c r="K5654" s="2">
        <f>IF(ISNUMBER(SEARCH(Лист2!$B$4,F:F)),1,0)</f>
        <v>0</v>
      </c>
      <c r="L5654" s="14">
        <f>IF(ISNUMBER(SEARCH(Лист2!$B$5,I:I)),1,0)+K5654</f>
        <v>0</v>
      </c>
      <c r="M5654" s="3">
        <f ca="1">IF(AND(N5654&lt;&gt;N5653,ISNUMBER(SEARCH(Лист2!$B$6,N:N)),L5654=2),MAX($M$3:OFFSET(M5654,-1,0))+1,0)</f>
        <v>0</v>
      </c>
      <c r="N5654" s="3" t="s">
        <v>3336</v>
      </c>
    </row>
    <row r="5655" spans="1:14" x14ac:dyDescent="0.25">
      <c r="A5655" s="1" t="s">
        <v>14250</v>
      </c>
      <c r="B5655" s="3" t="s">
        <v>9274</v>
      </c>
      <c r="C5655" s="2">
        <f ca="1">IF(ISNUMBER(SEARCH(Лист2!$B$4,D:D)),MAX($C$3:OFFSET(C5655,-1,0))+1,0)</f>
        <v>0</v>
      </c>
      <c r="E5655" s="9" t="str">
        <f t="shared" ca="1" si="100"/>
        <v/>
      </c>
      <c r="F5655" s="4" t="s">
        <v>459</v>
      </c>
      <c r="G5655" s="2">
        <f>IF(ISNUMBER(SEARCH(Лист2!$B$4,F:F)),1,0)</f>
        <v>0</v>
      </c>
      <c r="H5655" s="3">
        <f ca="1">IF(AND(I5655&lt;&gt;I5654,ISNUMBER(SEARCH(Лист2!$B$5,I:I)),G5655=1),MAX($H$3:OFFSET(H5655,-1,0))+1,0)</f>
        <v>0</v>
      </c>
      <c r="I5655" s="3" t="s">
        <v>47</v>
      </c>
      <c r="K5655" s="2">
        <f>IF(ISNUMBER(SEARCH(Лист2!$B$4,F:F)),1,0)</f>
        <v>0</v>
      </c>
      <c r="L5655" s="14">
        <f>IF(ISNUMBER(SEARCH(Лист2!$B$5,I:I)),1,0)+K5655</f>
        <v>0</v>
      </c>
      <c r="M5655" s="3">
        <f ca="1">IF(AND(N5655&lt;&gt;N5654,ISNUMBER(SEARCH(Лист2!$B$6,N:N)),L5655=2),MAX($M$3:OFFSET(M5655,-1,0))+1,0)</f>
        <v>0</v>
      </c>
      <c r="N5655" s="3" t="s">
        <v>3336</v>
      </c>
    </row>
    <row r="5656" spans="1:14" x14ac:dyDescent="0.25">
      <c r="A5656" s="1" t="s">
        <v>14250</v>
      </c>
      <c r="B5656" s="3" t="s">
        <v>9275</v>
      </c>
      <c r="C5656" s="2">
        <f ca="1">IF(ISNUMBER(SEARCH(Лист2!$B$4,D:D)),MAX($C$3:OFFSET(C5656,-1,0))+1,0)</f>
        <v>0</v>
      </c>
      <c r="E5656" s="9" t="str">
        <f t="shared" ca="1" si="100"/>
        <v/>
      </c>
      <c r="F5656" s="4" t="s">
        <v>459</v>
      </c>
      <c r="G5656" s="2">
        <f>IF(ISNUMBER(SEARCH(Лист2!$B$4,F:F)),1,0)</f>
        <v>0</v>
      </c>
      <c r="H5656" s="3">
        <f ca="1">IF(AND(I5656&lt;&gt;I5655,ISNUMBER(SEARCH(Лист2!$B$5,I:I)),G5656=1),MAX($H$3:OFFSET(H5656,-1,0))+1,0)</f>
        <v>0</v>
      </c>
      <c r="I5656" s="3" t="s">
        <v>47</v>
      </c>
      <c r="K5656" s="2">
        <f>IF(ISNUMBER(SEARCH(Лист2!$B$4,F:F)),1,0)</f>
        <v>0</v>
      </c>
      <c r="L5656" s="14">
        <f>IF(ISNUMBER(SEARCH(Лист2!$B$5,I:I)),1,0)+K5656</f>
        <v>0</v>
      </c>
      <c r="M5656" s="3">
        <f ca="1">IF(AND(N5656&lt;&gt;N5655,ISNUMBER(SEARCH(Лист2!$B$6,N:N)),L5656=2),MAX($M$3:OFFSET(M5656,-1,0))+1,0)</f>
        <v>0</v>
      </c>
      <c r="N5656" s="3" t="s">
        <v>3336</v>
      </c>
    </row>
    <row r="5657" spans="1:14" x14ac:dyDescent="0.25">
      <c r="A5657" s="1" t="s">
        <v>14251</v>
      </c>
      <c r="B5657" s="3" t="s">
        <v>9276</v>
      </c>
      <c r="C5657" s="2">
        <f ca="1">IF(ISNUMBER(SEARCH(Лист2!$B$4,D:D)),MAX($C$3:OFFSET(C5657,-1,0))+1,0)</f>
        <v>0</v>
      </c>
      <c r="E5657" s="9" t="str">
        <f t="shared" ca="1" si="100"/>
        <v/>
      </c>
      <c r="F5657" s="4" t="s">
        <v>459</v>
      </c>
      <c r="G5657" s="2">
        <f>IF(ISNUMBER(SEARCH(Лист2!$B$4,F:F)),1,0)</f>
        <v>0</v>
      </c>
      <c r="H5657" s="3">
        <f ca="1">IF(AND(I5657&lt;&gt;I5656,ISNUMBER(SEARCH(Лист2!$B$5,I:I)),G5657=1),MAX($H$3:OFFSET(H5657,-1,0))+1,0)</f>
        <v>0</v>
      </c>
      <c r="I5657" s="3" t="s">
        <v>47</v>
      </c>
      <c r="K5657" s="2">
        <f>IF(ISNUMBER(SEARCH(Лист2!$B$4,F:F)),1,0)</f>
        <v>0</v>
      </c>
      <c r="L5657" s="14">
        <f>IF(ISNUMBER(SEARCH(Лист2!$B$5,I:I)),1,0)+K5657</f>
        <v>0</v>
      </c>
      <c r="M5657" s="3">
        <f ca="1">IF(AND(N5657&lt;&gt;N5656,ISNUMBER(SEARCH(Лист2!$B$6,N:N)),L5657=2),MAX($M$3:OFFSET(M5657,-1,0))+1,0)</f>
        <v>0</v>
      </c>
      <c r="N5657" s="3" t="s">
        <v>498</v>
      </c>
    </row>
    <row r="5658" spans="1:14" x14ac:dyDescent="0.25">
      <c r="A5658" s="1" t="s">
        <v>14251</v>
      </c>
      <c r="B5658" s="3" t="s">
        <v>9277</v>
      </c>
      <c r="C5658" s="2">
        <f ca="1">IF(ISNUMBER(SEARCH(Лист2!$B$4,D:D)),MAX($C$3:OFFSET(C5658,-1,0))+1,0)</f>
        <v>0</v>
      </c>
      <c r="E5658" s="9" t="str">
        <f t="shared" ca="1" si="100"/>
        <v/>
      </c>
      <c r="F5658" s="4" t="s">
        <v>459</v>
      </c>
      <c r="G5658" s="2">
        <f>IF(ISNUMBER(SEARCH(Лист2!$B$4,F:F)),1,0)</f>
        <v>0</v>
      </c>
      <c r="H5658" s="3">
        <f ca="1">IF(AND(I5658&lt;&gt;I5657,ISNUMBER(SEARCH(Лист2!$B$5,I:I)),G5658=1),MAX($H$3:OFFSET(H5658,-1,0))+1,0)</f>
        <v>0</v>
      </c>
      <c r="I5658" s="3" t="s">
        <v>47</v>
      </c>
      <c r="K5658" s="2">
        <f>IF(ISNUMBER(SEARCH(Лист2!$B$4,F:F)),1,0)</f>
        <v>0</v>
      </c>
      <c r="L5658" s="14">
        <f>IF(ISNUMBER(SEARCH(Лист2!$B$5,I:I)),1,0)+K5658</f>
        <v>0</v>
      </c>
      <c r="M5658" s="3">
        <f ca="1">IF(AND(N5658&lt;&gt;N5657,ISNUMBER(SEARCH(Лист2!$B$6,N:N)),L5658=2),MAX($M$3:OFFSET(M5658,-1,0))+1,0)</f>
        <v>0</v>
      </c>
      <c r="N5658" s="3" t="s">
        <v>498</v>
      </c>
    </row>
    <row r="5659" spans="1:14" x14ac:dyDescent="0.25">
      <c r="A5659" s="1" t="s">
        <v>14251</v>
      </c>
      <c r="B5659" s="3" t="s">
        <v>9278</v>
      </c>
      <c r="C5659" s="2">
        <f ca="1">IF(ISNUMBER(SEARCH(Лист2!$B$4,D:D)),MAX($C$3:OFFSET(C5659,-1,0))+1,0)</f>
        <v>0</v>
      </c>
      <c r="E5659" s="9" t="str">
        <f t="shared" ca="1" si="100"/>
        <v/>
      </c>
      <c r="F5659" s="4" t="s">
        <v>459</v>
      </c>
      <c r="G5659" s="2">
        <f>IF(ISNUMBER(SEARCH(Лист2!$B$4,F:F)),1,0)</f>
        <v>0</v>
      </c>
      <c r="H5659" s="3">
        <f ca="1">IF(AND(I5659&lt;&gt;I5658,ISNUMBER(SEARCH(Лист2!$B$5,I:I)),G5659=1),MAX($H$3:OFFSET(H5659,-1,0))+1,0)</f>
        <v>0</v>
      </c>
      <c r="I5659" s="3" t="s">
        <v>47</v>
      </c>
      <c r="K5659" s="2">
        <f>IF(ISNUMBER(SEARCH(Лист2!$B$4,F:F)),1,0)</f>
        <v>0</v>
      </c>
      <c r="L5659" s="14">
        <f>IF(ISNUMBER(SEARCH(Лист2!$B$5,I:I)),1,0)+K5659</f>
        <v>0</v>
      </c>
      <c r="M5659" s="3">
        <f ca="1">IF(AND(N5659&lt;&gt;N5658,ISNUMBER(SEARCH(Лист2!$B$6,N:N)),L5659=2),MAX($M$3:OFFSET(M5659,-1,0))+1,0)</f>
        <v>0</v>
      </c>
      <c r="N5659" s="3" t="s">
        <v>498</v>
      </c>
    </row>
    <row r="5660" spans="1:14" x14ac:dyDescent="0.25">
      <c r="A5660" s="1" t="s">
        <v>14252</v>
      </c>
      <c r="B5660" s="3" t="s">
        <v>9279</v>
      </c>
      <c r="C5660" s="2">
        <f ca="1">IF(ISNUMBER(SEARCH(Лист2!$B$4,D:D)),MAX($C$3:OFFSET(C5660,-1,0))+1,0)</f>
        <v>0</v>
      </c>
      <c r="E5660" s="9" t="str">
        <f t="shared" ca="1" si="100"/>
        <v/>
      </c>
      <c r="F5660" s="4" t="s">
        <v>459</v>
      </c>
      <c r="G5660" s="2">
        <f>IF(ISNUMBER(SEARCH(Лист2!$B$4,F:F)),1,0)</f>
        <v>0</v>
      </c>
      <c r="H5660" s="3">
        <f ca="1">IF(AND(I5660&lt;&gt;I5659,ISNUMBER(SEARCH(Лист2!$B$5,I:I)),G5660=1),MAX($H$3:OFFSET(H5660,-1,0))+1,0)</f>
        <v>0</v>
      </c>
      <c r="I5660" s="3" t="s">
        <v>47</v>
      </c>
      <c r="K5660" s="2">
        <f>IF(ISNUMBER(SEARCH(Лист2!$B$4,F:F)),1,0)</f>
        <v>0</v>
      </c>
      <c r="L5660" s="14">
        <f>IF(ISNUMBER(SEARCH(Лист2!$B$5,I:I)),1,0)+K5660</f>
        <v>0</v>
      </c>
      <c r="M5660" s="3">
        <f ca="1">IF(AND(N5660&lt;&gt;N5659,ISNUMBER(SEARCH(Лист2!$B$6,N:N)),L5660=2),MAX($M$3:OFFSET(M5660,-1,0))+1,0)</f>
        <v>0</v>
      </c>
      <c r="N5660" s="3" t="s">
        <v>3337</v>
      </c>
    </row>
    <row r="5661" spans="1:14" x14ac:dyDescent="0.25">
      <c r="A5661" s="1" t="s">
        <v>14252</v>
      </c>
      <c r="B5661" s="3" t="s">
        <v>9280</v>
      </c>
      <c r="C5661" s="2">
        <f ca="1">IF(ISNUMBER(SEARCH(Лист2!$B$4,D:D)),MAX($C$3:OFFSET(C5661,-1,0))+1,0)</f>
        <v>0</v>
      </c>
      <c r="E5661" s="9" t="str">
        <f t="shared" ca="1" si="100"/>
        <v/>
      </c>
      <c r="F5661" s="4" t="s">
        <v>459</v>
      </c>
      <c r="G5661" s="2">
        <f>IF(ISNUMBER(SEARCH(Лист2!$B$4,F:F)),1,0)</f>
        <v>0</v>
      </c>
      <c r="H5661" s="3">
        <f ca="1">IF(AND(I5661&lt;&gt;I5660,ISNUMBER(SEARCH(Лист2!$B$5,I:I)),G5661=1),MAX($H$3:OFFSET(H5661,-1,0))+1,0)</f>
        <v>0</v>
      </c>
      <c r="I5661" s="3" t="s">
        <v>47</v>
      </c>
      <c r="K5661" s="2">
        <f>IF(ISNUMBER(SEARCH(Лист2!$B$4,F:F)),1,0)</f>
        <v>0</v>
      </c>
      <c r="L5661" s="14">
        <f>IF(ISNUMBER(SEARCH(Лист2!$B$5,I:I)),1,0)+K5661</f>
        <v>0</v>
      </c>
      <c r="M5661" s="3">
        <f ca="1">IF(AND(N5661&lt;&gt;N5660,ISNUMBER(SEARCH(Лист2!$B$6,N:N)),L5661=2),MAX($M$3:OFFSET(M5661,-1,0))+1,0)</f>
        <v>0</v>
      </c>
      <c r="N5661" s="3" t="s">
        <v>3337</v>
      </c>
    </row>
    <row r="5662" spans="1:14" x14ac:dyDescent="0.25">
      <c r="A5662" s="1" t="s">
        <v>14252</v>
      </c>
      <c r="B5662" s="3" t="s">
        <v>9281</v>
      </c>
      <c r="C5662" s="2">
        <f ca="1">IF(ISNUMBER(SEARCH(Лист2!$B$4,D:D)),MAX($C$3:OFFSET(C5662,-1,0))+1,0)</f>
        <v>0</v>
      </c>
      <c r="E5662" s="9" t="str">
        <f t="shared" ca="1" si="100"/>
        <v/>
      </c>
      <c r="F5662" s="4" t="s">
        <v>459</v>
      </c>
      <c r="G5662" s="2">
        <f>IF(ISNUMBER(SEARCH(Лист2!$B$4,F:F)),1,0)</f>
        <v>0</v>
      </c>
      <c r="H5662" s="3">
        <f ca="1">IF(AND(I5662&lt;&gt;I5661,ISNUMBER(SEARCH(Лист2!$B$5,I:I)),G5662=1),MAX($H$3:OFFSET(H5662,-1,0))+1,0)</f>
        <v>0</v>
      </c>
      <c r="I5662" s="3" t="s">
        <v>47</v>
      </c>
      <c r="K5662" s="2">
        <f>IF(ISNUMBER(SEARCH(Лист2!$B$4,F:F)),1,0)</f>
        <v>0</v>
      </c>
      <c r="L5662" s="14">
        <f>IF(ISNUMBER(SEARCH(Лист2!$B$5,I:I)),1,0)+K5662</f>
        <v>0</v>
      </c>
      <c r="M5662" s="3">
        <f ca="1">IF(AND(N5662&lt;&gt;N5661,ISNUMBER(SEARCH(Лист2!$B$6,N:N)),L5662=2),MAX($M$3:OFFSET(M5662,-1,0))+1,0)</f>
        <v>0</v>
      </c>
      <c r="N5662" s="3" t="s">
        <v>3337</v>
      </c>
    </row>
    <row r="5663" spans="1:14" x14ac:dyDescent="0.25">
      <c r="A5663" s="1" t="s">
        <v>14253</v>
      </c>
      <c r="B5663" s="3" t="s">
        <v>9282</v>
      </c>
      <c r="C5663" s="2">
        <f ca="1">IF(ISNUMBER(SEARCH(Лист2!$B$4,D:D)),MAX($C$3:OFFSET(C5663,-1,0))+1,0)</f>
        <v>0</v>
      </c>
      <c r="E5663" s="9" t="str">
        <f t="shared" ca="1" si="100"/>
        <v/>
      </c>
      <c r="F5663" s="4" t="s">
        <v>459</v>
      </c>
      <c r="G5663" s="2">
        <f>IF(ISNUMBER(SEARCH(Лист2!$B$4,F:F)),1,0)</f>
        <v>0</v>
      </c>
      <c r="H5663" s="3">
        <f ca="1">IF(AND(I5663&lt;&gt;I5662,ISNUMBER(SEARCH(Лист2!$B$5,I:I)),G5663=1),MAX($H$3:OFFSET(H5663,-1,0))+1,0)</f>
        <v>0</v>
      </c>
      <c r="I5663" s="3" t="s">
        <v>47</v>
      </c>
      <c r="K5663" s="2">
        <f>IF(ISNUMBER(SEARCH(Лист2!$B$4,F:F)),1,0)</f>
        <v>0</v>
      </c>
      <c r="L5663" s="14">
        <f>IF(ISNUMBER(SEARCH(Лист2!$B$5,I:I)),1,0)+K5663</f>
        <v>0</v>
      </c>
      <c r="M5663" s="3">
        <f ca="1">IF(AND(N5663&lt;&gt;N5662,ISNUMBER(SEARCH(Лист2!$B$6,N:N)),L5663=2),MAX($M$3:OFFSET(M5663,-1,0))+1,0)</f>
        <v>0</v>
      </c>
      <c r="N5663" s="3" t="s">
        <v>3338</v>
      </c>
    </row>
    <row r="5664" spans="1:14" x14ac:dyDescent="0.25">
      <c r="A5664" s="1" t="s">
        <v>14253</v>
      </c>
      <c r="B5664" s="3" t="s">
        <v>9283</v>
      </c>
      <c r="C5664" s="2">
        <f ca="1">IF(ISNUMBER(SEARCH(Лист2!$B$4,D:D)),MAX($C$3:OFFSET(C5664,-1,0))+1,0)</f>
        <v>0</v>
      </c>
      <c r="E5664" s="9" t="str">
        <f t="shared" ca="1" si="100"/>
        <v/>
      </c>
      <c r="F5664" s="4" t="s">
        <v>459</v>
      </c>
      <c r="G5664" s="2">
        <f>IF(ISNUMBER(SEARCH(Лист2!$B$4,F:F)),1,0)</f>
        <v>0</v>
      </c>
      <c r="H5664" s="3">
        <f ca="1">IF(AND(I5664&lt;&gt;I5663,ISNUMBER(SEARCH(Лист2!$B$5,I:I)),G5664=1),MAX($H$3:OFFSET(H5664,-1,0))+1,0)</f>
        <v>0</v>
      </c>
      <c r="I5664" s="3" t="s">
        <v>47</v>
      </c>
      <c r="K5664" s="2">
        <f>IF(ISNUMBER(SEARCH(Лист2!$B$4,F:F)),1,0)</f>
        <v>0</v>
      </c>
      <c r="L5664" s="14">
        <f>IF(ISNUMBER(SEARCH(Лист2!$B$5,I:I)),1,0)+K5664</f>
        <v>0</v>
      </c>
      <c r="M5664" s="3">
        <f ca="1">IF(AND(N5664&lt;&gt;N5663,ISNUMBER(SEARCH(Лист2!$B$6,N:N)),L5664=2),MAX($M$3:OFFSET(M5664,-1,0))+1,0)</f>
        <v>0</v>
      </c>
      <c r="N5664" s="3" t="s">
        <v>3338</v>
      </c>
    </row>
    <row r="5665" spans="1:14" x14ac:dyDescent="0.25">
      <c r="A5665" s="1" t="s">
        <v>14253</v>
      </c>
      <c r="B5665" s="3" t="s">
        <v>9284</v>
      </c>
      <c r="C5665" s="2">
        <f ca="1">IF(ISNUMBER(SEARCH(Лист2!$B$4,D:D)),MAX($C$3:OFFSET(C5665,-1,0))+1,0)</f>
        <v>0</v>
      </c>
      <c r="E5665" s="9" t="str">
        <f t="shared" ca="1" si="100"/>
        <v/>
      </c>
      <c r="F5665" s="4" t="s">
        <v>459</v>
      </c>
      <c r="G5665" s="2">
        <f>IF(ISNUMBER(SEARCH(Лист2!$B$4,F:F)),1,0)</f>
        <v>0</v>
      </c>
      <c r="H5665" s="3">
        <f ca="1">IF(AND(I5665&lt;&gt;I5664,ISNUMBER(SEARCH(Лист2!$B$5,I:I)),G5665=1),MAX($H$3:OFFSET(H5665,-1,0))+1,0)</f>
        <v>0</v>
      </c>
      <c r="I5665" s="3" t="s">
        <v>47</v>
      </c>
      <c r="K5665" s="2">
        <f>IF(ISNUMBER(SEARCH(Лист2!$B$4,F:F)),1,0)</f>
        <v>0</v>
      </c>
      <c r="L5665" s="14">
        <f>IF(ISNUMBER(SEARCH(Лист2!$B$5,I:I)),1,0)+K5665</f>
        <v>0</v>
      </c>
      <c r="M5665" s="3">
        <f ca="1">IF(AND(N5665&lt;&gt;N5664,ISNUMBER(SEARCH(Лист2!$B$6,N:N)),L5665=2),MAX($M$3:OFFSET(M5665,-1,0))+1,0)</f>
        <v>0</v>
      </c>
      <c r="N5665" s="3" t="s">
        <v>3338</v>
      </c>
    </row>
    <row r="5666" spans="1:14" x14ac:dyDescent="0.25">
      <c r="A5666" s="1" t="s">
        <v>14254</v>
      </c>
      <c r="B5666" s="3" t="s">
        <v>9285</v>
      </c>
      <c r="C5666" s="2">
        <f ca="1">IF(ISNUMBER(SEARCH(Лист2!$B$4,D:D)),MAX($C$3:OFFSET(C5666,-1,0))+1,0)</f>
        <v>0</v>
      </c>
      <c r="E5666" s="9" t="str">
        <f t="shared" ca="1" si="100"/>
        <v/>
      </c>
      <c r="F5666" s="4" t="s">
        <v>459</v>
      </c>
      <c r="G5666" s="2">
        <f>IF(ISNUMBER(SEARCH(Лист2!$B$4,F:F)),1,0)</f>
        <v>0</v>
      </c>
      <c r="H5666" s="3">
        <f ca="1">IF(AND(I5666&lt;&gt;I5665,ISNUMBER(SEARCH(Лист2!$B$5,I:I)),G5666=1),MAX($H$3:OFFSET(H5666,-1,0))+1,0)</f>
        <v>0</v>
      </c>
      <c r="I5666" s="3" t="s">
        <v>47</v>
      </c>
      <c r="K5666" s="2">
        <f>IF(ISNUMBER(SEARCH(Лист2!$B$4,F:F)),1,0)</f>
        <v>0</v>
      </c>
      <c r="L5666" s="14">
        <f>IF(ISNUMBER(SEARCH(Лист2!$B$5,I:I)),1,0)+K5666</f>
        <v>0</v>
      </c>
      <c r="M5666" s="3">
        <f ca="1">IF(AND(N5666&lt;&gt;N5665,ISNUMBER(SEARCH(Лист2!$B$6,N:N)),L5666=2),MAX($M$3:OFFSET(M5666,-1,0))+1,0)</f>
        <v>0</v>
      </c>
      <c r="N5666" s="3" t="s">
        <v>3339</v>
      </c>
    </row>
    <row r="5667" spans="1:14" x14ac:dyDescent="0.25">
      <c r="A5667" s="1" t="s">
        <v>14254</v>
      </c>
      <c r="B5667" s="3" t="s">
        <v>9286</v>
      </c>
      <c r="C5667" s="2">
        <f ca="1">IF(ISNUMBER(SEARCH(Лист2!$B$4,D:D)),MAX($C$3:OFFSET(C5667,-1,0))+1,0)</f>
        <v>0</v>
      </c>
      <c r="E5667" s="9" t="str">
        <f t="shared" ca="1" si="100"/>
        <v/>
      </c>
      <c r="F5667" s="4" t="s">
        <v>459</v>
      </c>
      <c r="G5667" s="2">
        <f>IF(ISNUMBER(SEARCH(Лист2!$B$4,F:F)),1,0)</f>
        <v>0</v>
      </c>
      <c r="H5667" s="3">
        <f ca="1">IF(AND(I5667&lt;&gt;I5666,ISNUMBER(SEARCH(Лист2!$B$5,I:I)),G5667=1),MAX($H$3:OFFSET(H5667,-1,0))+1,0)</f>
        <v>0</v>
      </c>
      <c r="I5667" s="3" t="s">
        <v>47</v>
      </c>
      <c r="K5667" s="2">
        <f>IF(ISNUMBER(SEARCH(Лист2!$B$4,F:F)),1,0)</f>
        <v>0</v>
      </c>
      <c r="L5667" s="14">
        <f>IF(ISNUMBER(SEARCH(Лист2!$B$5,I:I)),1,0)+K5667</f>
        <v>0</v>
      </c>
      <c r="M5667" s="3">
        <f ca="1">IF(AND(N5667&lt;&gt;N5666,ISNUMBER(SEARCH(Лист2!$B$6,N:N)),L5667=2),MAX($M$3:OFFSET(M5667,-1,0))+1,0)</f>
        <v>0</v>
      </c>
      <c r="N5667" s="3" t="s">
        <v>3339</v>
      </c>
    </row>
    <row r="5668" spans="1:14" x14ac:dyDescent="0.25">
      <c r="A5668" s="1" t="s">
        <v>14254</v>
      </c>
      <c r="B5668" s="3" t="s">
        <v>9287</v>
      </c>
      <c r="C5668" s="2">
        <f ca="1">IF(ISNUMBER(SEARCH(Лист2!$B$4,D:D)),MAX($C$3:OFFSET(C5668,-1,0))+1,0)</f>
        <v>0</v>
      </c>
      <c r="E5668" s="9" t="str">
        <f t="shared" ca="1" si="100"/>
        <v/>
      </c>
      <c r="F5668" s="4" t="s">
        <v>459</v>
      </c>
      <c r="G5668" s="2">
        <f>IF(ISNUMBER(SEARCH(Лист2!$B$4,F:F)),1,0)</f>
        <v>0</v>
      </c>
      <c r="H5668" s="3">
        <f ca="1">IF(AND(I5668&lt;&gt;I5667,ISNUMBER(SEARCH(Лист2!$B$5,I:I)),G5668=1),MAX($H$3:OFFSET(H5668,-1,0))+1,0)</f>
        <v>0</v>
      </c>
      <c r="I5668" s="3" t="s">
        <v>47</v>
      </c>
      <c r="K5668" s="2">
        <f>IF(ISNUMBER(SEARCH(Лист2!$B$4,F:F)),1,0)</f>
        <v>0</v>
      </c>
      <c r="L5668" s="14">
        <f>IF(ISNUMBER(SEARCH(Лист2!$B$5,I:I)),1,0)+K5668</f>
        <v>0</v>
      </c>
      <c r="M5668" s="3">
        <f ca="1">IF(AND(N5668&lt;&gt;N5667,ISNUMBER(SEARCH(Лист2!$B$6,N:N)),L5668=2),MAX($M$3:OFFSET(M5668,-1,0))+1,0)</f>
        <v>0</v>
      </c>
      <c r="N5668" s="3" t="s">
        <v>3339</v>
      </c>
    </row>
    <row r="5669" spans="1:14" x14ac:dyDescent="0.25">
      <c r="A5669" s="1" t="s">
        <v>14255</v>
      </c>
      <c r="B5669" s="3" t="s">
        <v>9288</v>
      </c>
      <c r="C5669" s="2">
        <f ca="1">IF(ISNUMBER(SEARCH(Лист2!$B$4,D:D)),MAX($C$3:OFFSET(C5669,-1,0))+1,0)</f>
        <v>0</v>
      </c>
      <c r="E5669" s="9" t="str">
        <f t="shared" ca="1" si="100"/>
        <v/>
      </c>
      <c r="F5669" s="4" t="s">
        <v>459</v>
      </c>
      <c r="G5669" s="2">
        <f>IF(ISNUMBER(SEARCH(Лист2!$B$4,F:F)),1,0)</f>
        <v>0</v>
      </c>
      <c r="H5669" s="3">
        <f ca="1">IF(AND(I5669&lt;&gt;I5668,ISNUMBER(SEARCH(Лист2!$B$5,I:I)),G5669=1),MAX($H$3:OFFSET(H5669,-1,0))+1,0)</f>
        <v>0</v>
      </c>
      <c r="I5669" s="3" t="s">
        <v>47</v>
      </c>
      <c r="K5669" s="2">
        <f>IF(ISNUMBER(SEARCH(Лист2!$B$4,F:F)),1,0)</f>
        <v>0</v>
      </c>
      <c r="L5669" s="14">
        <f>IF(ISNUMBER(SEARCH(Лист2!$B$5,I:I)),1,0)+K5669</f>
        <v>0</v>
      </c>
      <c r="M5669" s="3">
        <f ca="1">IF(AND(N5669&lt;&gt;N5668,ISNUMBER(SEARCH(Лист2!$B$6,N:N)),L5669=2),MAX($M$3:OFFSET(M5669,-1,0))+1,0)</f>
        <v>0</v>
      </c>
      <c r="N5669" s="3" t="s">
        <v>3340</v>
      </c>
    </row>
    <row r="5670" spans="1:14" x14ac:dyDescent="0.25">
      <c r="A5670" s="1" t="s">
        <v>14255</v>
      </c>
      <c r="B5670" s="3" t="s">
        <v>9289</v>
      </c>
      <c r="C5670" s="2">
        <f ca="1">IF(ISNUMBER(SEARCH(Лист2!$B$4,D:D)),MAX($C$3:OFFSET(C5670,-1,0))+1,0)</f>
        <v>0</v>
      </c>
      <c r="E5670" s="9" t="str">
        <f t="shared" ca="1" si="100"/>
        <v/>
      </c>
      <c r="F5670" s="4" t="s">
        <v>459</v>
      </c>
      <c r="G5670" s="2">
        <f>IF(ISNUMBER(SEARCH(Лист2!$B$4,F:F)),1,0)</f>
        <v>0</v>
      </c>
      <c r="H5670" s="3">
        <f ca="1">IF(AND(I5670&lt;&gt;I5669,ISNUMBER(SEARCH(Лист2!$B$5,I:I)),G5670=1),MAX($H$3:OFFSET(H5670,-1,0))+1,0)</f>
        <v>0</v>
      </c>
      <c r="I5670" s="3" t="s">
        <v>47</v>
      </c>
      <c r="K5670" s="2">
        <f>IF(ISNUMBER(SEARCH(Лист2!$B$4,F:F)),1,0)</f>
        <v>0</v>
      </c>
      <c r="L5670" s="14">
        <f>IF(ISNUMBER(SEARCH(Лист2!$B$5,I:I)),1,0)+K5670</f>
        <v>0</v>
      </c>
      <c r="M5670" s="3">
        <f ca="1">IF(AND(N5670&lt;&gt;N5669,ISNUMBER(SEARCH(Лист2!$B$6,N:N)),L5670=2),MAX($M$3:OFFSET(M5670,-1,0))+1,0)</f>
        <v>0</v>
      </c>
      <c r="N5670" s="3" t="s">
        <v>3340</v>
      </c>
    </row>
    <row r="5671" spans="1:14" x14ac:dyDescent="0.25">
      <c r="A5671" s="1" t="s">
        <v>14255</v>
      </c>
      <c r="B5671" s="3" t="s">
        <v>9290</v>
      </c>
      <c r="C5671" s="2">
        <f ca="1">IF(ISNUMBER(SEARCH(Лист2!$B$4,D:D)),MAX($C$3:OFFSET(C5671,-1,0))+1,0)</f>
        <v>0</v>
      </c>
      <c r="E5671" s="9" t="str">
        <f t="shared" ca="1" si="100"/>
        <v/>
      </c>
      <c r="F5671" s="4" t="s">
        <v>459</v>
      </c>
      <c r="G5671" s="2">
        <f>IF(ISNUMBER(SEARCH(Лист2!$B$4,F:F)),1,0)</f>
        <v>0</v>
      </c>
      <c r="H5671" s="3">
        <f ca="1">IF(AND(I5671&lt;&gt;I5670,ISNUMBER(SEARCH(Лист2!$B$5,I:I)),G5671=1),MAX($H$3:OFFSET(H5671,-1,0))+1,0)</f>
        <v>0</v>
      </c>
      <c r="I5671" s="3" t="s">
        <v>47</v>
      </c>
      <c r="K5671" s="2">
        <f>IF(ISNUMBER(SEARCH(Лист2!$B$4,F:F)),1,0)</f>
        <v>0</v>
      </c>
      <c r="L5671" s="14">
        <f>IF(ISNUMBER(SEARCH(Лист2!$B$5,I:I)),1,0)+K5671</f>
        <v>0</v>
      </c>
      <c r="M5671" s="3">
        <f ca="1">IF(AND(N5671&lt;&gt;N5670,ISNUMBER(SEARCH(Лист2!$B$6,N:N)),L5671=2),MAX($M$3:OFFSET(M5671,-1,0))+1,0)</f>
        <v>0</v>
      </c>
      <c r="N5671" s="3" t="s">
        <v>3340</v>
      </c>
    </row>
    <row r="5672" spans="1:14" x14ac:dyDescent="0.25">
      <c r="A5672" s="1" t="s">
        <v>14256</v>
      </c>
      <c r="B5672" s="3" t="s">
        <v>9291</v>
      </c>
      <c r="C5672" s="2">
        <f ca="1">IF(ISNUMBER(SEARCH(Лист2!$B$4,D:D)),MAX($C$3:OFFSET(C5672,-1,0))+1,0)</f>
        <v>0</v>
      </c>
      <c r="E5672" s="9" t="str">
        <f t="shared" ca="1" si="100"/>
        <v/>
      </c>
      <c r="F5672" s="4" t="s">
        <v>459</v>
      </c>
      <c r="G5672" s="2">
        <f>IF(ISNUMBER(SEARCH(Лист2!$B$4,F:F)),1,0)</f>
        <v>0</v>
      </c>
      <c r="H5672" s="3">
        <f ca="1">IF(AND(I5672&lt;&gt;I5671,ISNUMBER(SEARCH(Лист2!$B$5,I:I)),G5672=1),MAX($H$3:OFFSET(H5672,-1,0))+1,0)</f>
        <v>0</v>
      </c>
      <c r="I5672" s="3" t="s">
        <v>47</v>
      </c>
      <c r="K5672" s="2">
        <f>IF(ISNUMBER(SEARCH(Лист2!$B$4,F:F)),1,0)</f>
        <v>0</v>
      </c>
      <c r="L5672" s="14">
        <f>IF(ISNUMBER(SEARCH(Лист2!$B$5,I:I)),1,0)+K5672</f>
        <v>0</v>
      </c>
      <c r="M5672" s="3">
        <f ca="1">IF(AND(N5672&lt;&gt;N5671,ISNUMBER(SEARCH(Лист2!$B$6,N:N)),L5672=2),MAX($M$3:OFFSET(M5672,-1,0))+1,0)</f>
        <v>0</v>
      </c>
      <c r="N5672" s="3" t="s">
        <v>3341</v>
      </c>
    </row>
    <row r="5673" spans="1:14" x14ac:dyDescent="0.25">
      <c r="A5673" s="1" t="s">
        <v>14256</v>
      </c>
      <c r="B5673" s="3" t="s">
        <v>9292</v>
      </c>
      <c r="C5673" s="2">
        <f ca="1">IF(ISNUMBER(SEARCH(Лист2!$B$4,D:D)),MAX($C$3:OFFSET(C5673,-1,0))+1,0)</f>
        <v>0</v>
      </c>
      <c r="E5673" s="9" t="str">
        <f t="shared" ca="1" si="100"/>
        <v/>
      </c>
      <c r="F5673" s="4" t="s">
        <v>459</v>
      </c>
      <c r="G5673" s="2">
        <f>IF(ISNUMBER(SEARCH(Лист2!$B$4,F:F)),1,0)</f>
        <v>0</v>
      </c>
      <c r="H5673" s="3">
        <f ca="1">IF(AND(I5673&lt;&gt;I5672,ISNUMBER(SEARCH(Лист2!$B$5,I:I)),G5673=1),MAX($H$3:OFFSET(H5673,-1,0))+1,0)</f>
        <v>0</v>
      </c>
      <c r="I5673" s="3" t="s">
        <v>47</v>
      </c>
      <c r="K5673" s="2">
        <f>IF(ISNUMBER(SEARCH(Лист2!$B$4,F:F)),1,0)</f>
        <v>0</v>
      </c>
      <c r="L5673" s="14">
        <f>IF(ISNUMBER(SEARCH(Лист2!$B$5,I:I)),1,0)+K5673</f>
        <v>0</v>
      </c>
      <c r="M5673" s="3">
        <f ca="1">IF(AND(N5673&lt;&gt;N5672,ISNUMBER(SEARCH(Лист2!$B$6,N:N)),L5673=2),MAX($M$3:OFFSET(M5673,-1,0))+1,0)</f>
        <v>0</v>
      </c>
      <c r="N5673" s="3" t="s">
        <v>3341</v>
      </c>
    </row>
    <row r="5674" spans="1:14" x14ac:dyDescent="0.25">
      <c r="A5674" s="1" t="s">
        <v>14256</v>
      </c>
      <c r="B5674" s="3" t="s">
        <v>9293</v>
      </c>
      <c r="C5674" s="2">
        <f ca="1">IF(ISNUMBER(SEARCH(Лист2!$B$4,D:D)),MAX($C$3:OFFSET(C5674,-1,0))+1,0)</f>
        <v>0</v>
      </c>
      <c r="E5674" s="9" t="str">
        <f t="shared" ca="1" si="100"/>
        <v/>
      </c>
      <c r="F5674" s="4" t="s">
        <v>459</v>
      </c>
      <c r="G5674" s="2">
        <f>IF(ISNUMBER(SEARCH(Лист2!$B$4,F:F)),1,0)</f>
        <v>0</v>
      </c>
      <c r="H5674" s="3">
        <f ca="1">IF(AND(I5674&lt;&gt;I5673,ISNUMBER(SEARCH(Лист2!$B$5,I:I)),G5674=1),MAX($H$3:OFFSET(H5674,-1,0))+1,0)</f>
        <v>0</v>
      </c>
      <c r="I5674" s="3" t="s">
        <v>47</v>
      </c>
      <c r="K5674" s="2">
        <f>IF(ISNUMBER(SEARCH(Лист2!$B$4,F:F)),1,0)</f>
        <v>0</v>
      </c>
      <c r="L5674" s="14">
        <f>IF(ISNUMBER(SEARCH(Лист2!$B$5,I:I)),1,0)+K5674</f>
        <v>0</v>
      </c>
      <c r="M5674" s="3">
        <f ca="1">IF(AND(N5674&lt;&gt;N5673,ISNUMBER(SEARCH(Лист2!$B$6,N:N)),L5674=2),MAX($M$3:OFFSET(M5674,-1,0))+1,0)</f>
        <v>0</v>
      </c>
      <c r="N5674" s="3" t="s">
        <v>3341</v>
      </c>
    </row>
    <row r="5675" spans="1:14" x14ac:dyDescent="0.25">
      <c r="A5675" s="1" t="s">
        <v>14257</v>
      </c>
      <c r="B5675" s="3" t="s">
        <v>9294</v>
      </c>
      <c r="C5675" s="2">
        <f ca="1">IF(ISNUMBER(SEARCH(Лист2!$B$4,D:D)),MAX($C$3:OFFSET(C5675,-1,0))+1,0)</f>
        <v>0</v>
      </c>
      <c r="E5675" s="9" t="str">
        <f t="shared" ca="1" si="100"/>
        <v/>
      </c>
      <c r="F5675" s="4" t="s">
        <v>459</v>
      </c>
      <c r="G5675" s="2">
        <f>IF(ISNUMBER(SEARCH(Лист2!$B$4,F:F)),1,0)</f>
        <v>0</v>
      </c>
      <c r="H5675" s="3">
        <f ca="1">IF(AND(I5675&lt;&gt;I5674,ISNUMBER(SEARCH(Лист2!$B$5,I:I)),G5675=1),MAX($H$3:OFFSET(H5675,-1,0))+1,0)</f>
        <v>0</v>
      </c>
      <c r="I5675" s="3" t="s">
        <v>47</v>
      </c>
      <c r="K5675" s="2">
        <f>IF(ISNUMBER(SEARCH(Лист2!$B$4,F:F)),1,0)</f>
        <v>0</v>
      </c>
      <c r="L5675" s="14">
        <f>IF(ISNUMBER(SEARCH(Лист2!$B$5,I:I)),1,0)+K5675</f>
        <v>0</v>
      </c>
      <c r="M5675" s="3">
        <f ca="1">IF(AND(N5675&lt;&gt;N5674,ISNUMBER(SEARCH(Лист2!$B$6,N:N)),L5675=2),MAX($M$3:OFFSET(M5675,-1,0))+1,0)</f>
        <v>0</v>
      </c>
      <c r="N5675" s="3" t="s">
        <v>3342</v>
      </c>
    </row>
    <row r="5676" spans="1:14" x14ac:dyDescent="0.25">
      <c r="A5676" s="1" t="s">
        <v>14257</v>
      </c>
      <c r="B5676" s="3" t="s">
        <v>9295</v>
      </c>
      <c r="C5676" s="2">
        <f ca="1">IF(ISNUMBER(SEARCH(Лист2!$B$4,D:D)),MAX($C$3:OFFSET(C5676,-1,0))+1,0)</f>
        <v>0</v>
      </c>
      <c r="E5676" s="9" t="str">
        <f t="shared" ca="1" si="100"/>
        <v/>
      </c>
      <c r="F5676" s="4" t="s">
        <v>459</v>
      </c>
      <c r="G5676" s="2">
        <f>IF(ISNUMBER(SEARCH(Лист2!$B$4,F:F)),1,0)</f>
        <v>0</v>
      </c>
      <c r="H5676" s="3">
        <f ca="1">IF(AND(I5676&lt;&gt;I5675,ISNUMBER(SEARCH(Лист2!$B$5,I:I)),G5676=1),MAX($H$3:OFFSET(H5676,-1,0))+1,0)</f>
        <v>0</v>
      </c>
      <c r="I5676" s="3" t="s">
        <v>47</v>
      </c>
      <c r="K5676" s="2">
        <f>IF(ISNUMBER(SEARCH(Лист2!$B$4,F:F)),1,0)</f>
        <v>0</v>
      </c>
      <c r="L5676" s="14">
        <f>IF(ISNUMBER(SEARCH(Лист2!$B$5,I:I)),1,0)+K5676</f>
        <v>0</v>
      </c>
      <c r="M5676" s="3">
        <f ca="1">IF(AND(N5676&lt;&gt;N5675,ISNUMBER(SEARCH(Лист2!$B$6,N:N)),L5676=2),MAX($M$3:OFFSET(M5676,-1,0))+1,0)</f>
        <v>0</v>
      </c>
      <c r="N5676" s="3" t="s">
        <v>3342</v>
      </c>
    </row>
    <row r="5677" spans="1:14" x14ac:dyDescent="0.25">
      <c r="A5677" s="1" t="s">
        <v>14257</v>
      </c>
      <c r="B5677" s="3" t="s">
        <v>9296</v>
      </c>
      <c r="C5677" s="2">
        <f ca="1">IF(ISNUMBER(SEARCH(Лист2!$B$4,D:D)),MAX($C$3:OFFSET(C5677,-1,0))+1,0)</f>
        <v>0</v>
      </c>
      <c r="E5677" s="9" t="str">
        <f t="shared" ca="1" si="100"/>
        <v/>
      </c>
      <c r="F5677" s="4" t="s">
        <v>459</v>
      </c>
      <c r="G5677" s="2">
        <f>IF(ISNUMBER(SEARCH(Лист2!$B$4,F:F)),1,0)</f>
        <v>0</v>
      </c>
      <c r="H5677" s="3">
        <f ca="1">IF(AND(I5677&lt;&gt;I5676,ISNUMBER(SEARCH(Лист2!$B$5,I:I)),G5677=1),MAX($H$3:OFFSET(H5677,-1,0))+1,0)</f>
        <v>0</v>
      </c>
      <c r="I5677" s="3" t="s">
        <v>47</v>
      </c>
      <c r="K5677" s="2">
        <f>IF(ISNUMBER(SEARCH(Лист2!$B$4,F:F)),1,0)</f>
        <v>0</v>
      </c>
      <c r="L5677" s="14">
        <f>IF(ISNUMBER(SEARCH(Лист2!$B$5,I:I)),1,0)+K5677</f>
        <v>0</v>
      </c>
      <c r="M5677" s="3">
        <f ca="1">IF(AND(N5677&lt;&gt;N5676,ISNUMBER(SEARCH(Лист2!$B$6,N:N)),L5677=2),MAX($M$3:OFFSET(M5677,-1,0))+1,0)</f>
        <v>0</v>
      </c>
      <c r="N5677" s="3" t="s">
        <v>3342</v>
      </c>
    </row>
    <row r="5678" spans="1:14" x14ac:dyDescent="0.25">
      <c r="A5678" s="1" t="s">
        <v>14258</v>
      </c>
      <c r="B5678" s="3" t="s">
        <v>9297</v>
      </c>
      <c r="C5678" s="2">
        <f ca="1">IF(ISNUMBER(SEARCH(Лист2!$B$4,D:D)),MAX($C$3:OFFSET(C5678,-1,0))+1,0)</f>
        <v>0</v>
      </c>
      <c r="E5678" s="9" t="str">
        <f t="shared" ca="1" si="100"/>
        <v/>
      </c>
      <c r="F5678" s="4" t="s">
        <v>459</v>
      </c>
      <c r="G5678" s="2">
        <f>IF(ISNUMBER(SEARCH(Лист2!$B$4,F:F)),1,0)</f>
        <v>0</v>
      </c>
      <c r="H5678" s="3">
        <f ca="1">IF(AND(I5678&lt;&gt;I5677,ISNUMBER(SEARCH(Лист2!$B$5,I:I)),G5678=1),MAX($H$3:OFFSET(H5678,-1,0))+1,0)</f>
        <v>0</v>
      </c>
      <c r="I5678" s="3" t="s">
        <v>47</v>
      </c>
      <c r="K5678" s="2">
        <f>IF(ISNUMBER(SEARCH(Лист2!$B$4,F:F)),1,0)</f>
        <v>0</v>
      </c>
      <c r="L5678" s="14">
        <f>IF(ISNUMBER(SEARCH(Лист2!$B$5,I:I)),1,0)+K5678</f>
        <v>0</v>
      </c>
      <c r="M5678" s="3">
        <f ca="1">IF(AND(N5678&lt;&gt;N5677,ISNUMBER(SEARCH(Лист2!$B$6,N:N)),L5678=2),MAX($M$3:OFFSET(M5678,-1,0))+1,0)</f>
        <v>0</v>
      </c>
      <c r="N5678" s="3" t="s">
        <v>3343</v>
      </c>
    </row>
    <row r="5679" spans="1:14" x14ac:dyDescent="0.25">
      <c r="A5679" s="1" t="s">
        <v>14258</v>
      </c>
      <c r="B5679" s="3" t="s">
        <v>9298</v>
      </c>
      <c r="C5679" s="2">
        <f ca="1">IF(ISNUMBER(SEARCH(Лист2!$B$4,D:D)),MAX($C$3:OFFSET(C5679,-1,0))+1,0)</f>
        <v>0</v>
      </c>
      <c r="E5679" s="9" t="str">
        <f t="shared" ca="1" si="100"/>
        <v/>
      </c>
      <c r="F5679" s="4" t="s">
        <v>459</v>
      </c>
      <c r="G5679" s="2">
        <f>IF(ISNUMBER(SEARCH(Лист2!$B$4,F:F)),1,0)</f>
        <v>0</v>
      </c>
      <c r="H5679" s="3">
        <f ca="1">IF(AND(I5679&lt;&gt;I5678,ISNUMBER(SEARCH(Лист2!$B$5,I:I)),G5679=1),MAX($H$3:OFFSET(H5679,-1,0))+1,0)</f>
        <v>0</v>
      </c>
      <c r="I5679" s="3" t="s">
        <v>47</v>
      </c>
      <c r="K5679" s="2">
        <f>IF(ISNUMBER(SEARCH(Лист2!$B$4,F:F)),1,0)</f>
        <v>0</v>
      </c>
      <c r="L5679" s="14">
        <f>IF(ISNUMBER(SEARCH(Лист2!$B$5,I:I)),1,0)+K5679</f>
        <v>0</v>
      </c>
      <c r="M5679" s="3">
        <f ca="1">IF(AND(N5679&lt;&gt;N5678,ISNUMBER(SEARCH(Лист2!$B$6,N:N)),L5679=2),MAX($M$3:OFFSET(M5679,-1,0))+1,0)</f>
        <v>0</v>
      </c>
      <c r="N5679" s="3" t="s">
        <v>3343</v>
      </c>
    </row>
    <row r="5680" spans="1:14" x14ac:dyDescent="0.25">
      <c r="A5680" s="1" t="s">
        <v>14258</v>
      </c>
      <c r="B5680" s="3" t="s">
        <v>9299</v>
      </c>
      <c r="C5680" s="2">
        <f ca="1">IF(ISNUMBER(SEARCH(Лист2!$B$4,D:D)),MAX($C$3:OFFSET(C5680,-1,0))+1,0)</f>
        <v>0</v>
      </c>
      <c r="E5680" s="9" t="str">
        <f t="shared" ca="1" si="100"/>
        <v/>
      </c>
      <c r="F5680" s="4" t="s">
        <v>459</v>
      </c>
      <c r="G5680" s="2">
        <f>IF(ISNUMBER(SEARCH(Лист2!$B$4,F:F)),1,0)</f>
        <v>0</v>
      </c>
      <c r="H5680" s="3">
        <f ca="1">IF(AND(I5680&lt;&gt;I5679,ISNUMBER(SEARCH(Лист2!$B$5,I:I)),G5680=1),MAX($H$3:OFFSET(H5680,-1,0))+1,0)</f>
        <v>0</v>
      </c>
      <c r="I5680" s="3" t="s">
        <v>47</v>
      </c>
      <c r="K5680" s="2">
        <f>IF(ISNUMBER(SEARCH(Лист2!$B$4,F:F)),1,0)</f>
        <v>0</v>
      </c>
      <c r="L5680" s="14">
        <f>IF(ISNUMBER(SEARCH(Лист2!$B$5,I:I)),1,0)+K5680</f>
        <v>0</v>
      </c>
      <c r="M5680" s="3">
        <f ca="1">IF(AND(N5680&lt;&gt;N5679,ISNUMBER(SEARCH(Лист2!$B$6,N:N)),L5680=2),MAX($M$3:OFFSET(M5680,-1,0))+1,0)</f>
        <v>0</v>
      </c>
      <c r="N5680" s="3" t="s">
        <v>3343</v>
      </c>
    </row>
    <row r="5681" spans="1:14" x14ac:dyDescent="0.25">
      <c r="A5681" s="1" t="s">
        <v>14258</v>
      </c>
      <c r="B5681" s="3" t="s">
        <v>9300</v>
      </c>
      <c r="C5681" s="2">
        <f ca="1">IF(ISNUMBER(SEARCH(Лист2!$B$4,D:D)),MAX($C$3:OFFSET(C5681,-1,0))+1,0)</f>
        <v>0</v>
      </c>
      <c r="E5681" s="9" t="str">
        <f t="shared" ca="1" si="100"/>
        <v/>
      </c>
      <c r="F5681" s="4" t="s">
        <v>459</v>
      </c>
      <c r="G5681" s="2">
        <f>IF(ISNUMBER(SEARCH(Лист2!$B$4,F:F)),1,0)</f>
        <v>0</v>
      </c>
      <c r="H5681" s="3">
        <f ca="1">IF(AND(I5681&lt;&gt;I5680,ISNUMBER(SEARCH(Лист2!$B$5,I:I)),G5681=1),MAX($H$3:OFFSET(H5681,-1,0))+1,0)</f>
        <v>0</v>
      </c>
      <c r="I5681" s="3" t="s">
        <v>47</v>
      </c>
      <c r="K5681" s="2">
        <f>IF(ISNUMBER(SEARCH(Лист2!$B$4,F:F)),1,0)</f>
        <v>0</v>
      </c>
      <c r="L5681" s="14">
        <f>IF(ISNUMBER(SEARCH(Лист2!$B$5,I:I)),1,0)+K5681</f>
        <v>0</v>
      </c>
      <c r="M5681" s="3">
        <f ca="1">IF(AND(N5681&lt;&gt;N5680,ISNUMBER(SEARCH(Лист2!$B$6,N:N)),L5681=2),MAX($M$3:OFFSET(M5681,-1,0))+1,0)</f>
        <v>0</v>
      </c>
      <c r="N5681" s="3" t="s">
        <v>3343</v>
      </c>
    </row>
    <row r="5682" spans="1:14" x14ac:dyDescent="0.25">
      <c r="A5682" s="1" t="s">
        <v>14258</v>
      </c>
      <c r="B5682" s="3" t="s">
        <v>9301</v>
      </c>
      <c r="C5682" s="2">
        <f ca="1">IF(ISNUMBER(SEARCH(Лист2!$B$4,D:D)),MAX($C$3:OFFSET(C5682,-1,0))+1,0)</f>
        <v>0</v>
      </c>
      <c r="E5682" s="9" t="str">
        <f t="shared" ca="1" si="100"/>
        <v/>
      </c>
      <c r="F5682" s="4" t="s">
        <v>459</v>
      </c>
      <c r="G5682" s="2">
        <f>IF(ISNUMBER(SEARCH(Лист2!$B$4,F:F)),1,0)</f>
        <v>0</v>
      </c>
      <c r="H5682" s="3">
        <f ca="1">IF(AND(I5682&lt;&gt;I5681,ISNUMBER(SEARCH(Лист2!$B$5,I:I)),G5682=1),MAX($H$3:OFFSET(H5682,-1,0))+1,0)</f>
        <v>0</v>
      </c>
      <c r="I5682" s="3" t="s">
        <v>47</v>
      </c>
      <c r="K5682" s="2">
        <f>IF(ISNUMBER(SEARCH(Лист2!$B$4,F:F)),1,0)</f>
        <v>0</v>
      </c>
      <c r="L5682" s="14">
        <f>IF(ISNUMBER(SEARCH(Лист2!$B$5,I:I)),1,0)+K5682</f>
        <v>0</v>
      </c>
      <c r="M5682" s="3">
        <f ca="1">IF(AND(N5682&lt;&gt;N5681,ISNUMBER(SEARCH(Лист2!$B$6,N:N)),L5682=2),MAX($M$3:OFFSET(M5682,-1,0))+1,0)</f>
        <v>0</v>
      </c>
      <c r="N5682" s="3" t="s">
        <v>3343</v>
      </c>
    </row>
    <row r="5683" spans="1:14" x14ac:dyDescent="0.25">
      <c r="A5683" s="1" t="s">
        <v>14258</v>
      </c>
      <c r="B5683" s="3" t="s">
        <v>9302</v>
      </c>
      <c r="C5683" s="2">
        <f ca="1">IF(ISNUMBER(SEARCH(Лист2!$B$4,D:D)),MAX($C$3:OFFSET(C5683,-1,0))+1,0)</f>
        <v>0</v>
      </c>
      <c r="E5683" s="9" t="str">
        <f t="shared" ca="1" si="100"/>
        <v/>
      </c>
      <c r="F5683" s="4" t="s">
        <v>459</v>
      </c>
      <c r="G5683" s="2">
        <f>IF(ISNUMBER(SEARCH(Лист2!$B$4,F:F)),1,0)</f>
        <v>0</v>
      </c>
      <c r="H5683" s="3">
        <f ca="1">IF(AND(I5683&lt;&gt;I5682,ISNUMBER(SEARCH(Лист2!$B$5,I:I)),G5683=1),MAX($H$3:OFFSET(H5683,-1,0))+1,0)</f>
        <v>0</v>
      </c>
      <c r="I5683" s="3" t="s">
        <v>47</v>
      </c>
      <c r="K5683" s="2">
        <f>IF(ISNUMBER(SEARCH(Лист2!$B$4,F:F)),1,0)</f>
        <v>0</v>
      </c>
      <c r="L5683" s="14">
        <f>IF(ISNUMBER(SEARCH(Лист2!$B$5,I:I)),1,0)+K5683</f>
        <v>0</v>
      </c>
      <c r="M5683" s="3">
        <f ca="1">IF(AND(N5683&lt;&gt;N5682,ISNUMBER(SEARCH(Лист2!$B$6,N:N)),L5683=2),MAX($M$3:OFFSET(M5683,-1,0))+1,0)</f>
        <v>0</v>
      </c>
      <c r="N5683" s="3" t="s">
        <v>3343</v>
      </c>
    </row>
    <row r="5684" spans="1:14" x14ac:dyDescent="0.25">
      <c r="A5684" s="1" t="s">
        <v>14258</v>
      </c>
      <c r="B5684" s="3" t="s">
        <v>9303</v>
      </c>
      <c r="C5684" s="2">
        <f ca="1">IF(ISNUMBER(SEARCH(Лист2!$B$4,D:D)),MAX($C$3:OFFSET(C5684,-1,0))+1,0)</f>
        <v>0</v>
      </c>
      <c r="E5684" s="9" t="str">
        <f t="shared" ca="1" si="100"/>
        <v/>
      </c>
      <c r="F5684" s="4" t="s">
        <v>459</v>
      </c>
      <c r="G5684" s="2">
        <f>IF(ISNUMBER(SEARCH(Лист2!$B$4,F:F)),1,0)</f>
        <v>0</v>
      </c>
      <c r="H5684" s="3">
        <f ca="1">IF(AND(I5684&lt;&gt;I5683,ISNUMBER(SEARCH(Лист2!$B$5,I:I)),G5684=1),MAX($H$3:OFFSET(H5684,-1,0))+1,0)</f>
        <v>0</v>
      </c>
      <c r="I5684" s="3" t="s">
        <v>47</v>
      </c>
      <c r="K5684" s="2">
        <f>IF(ISNUMBER(SEARCH(Лист2!$B$4,F:F)),1,0)</f>
        <v>0</v>
      </c>
      <c r="L5684" s="14">
        <f>IF(ISNUMBER(SEARCH(Лист2!$B$5,I:I)),1,0)+K5684</f>
        <v>0</v>
      </c>
      <c r="M5684" s="3">
        <f ca="1">IF(AND(N5684&lt;&gt;N5683,ISNUMBER(SEARCH(Лист2!$B$6,N:N)),L5684=2),MAX($M$3:OFFSET(M5684,-1,0))+1,0)</f>
        <v>0</v>
      </c>
      <c r="N5684" s="3" t="s">
        <v>3343</v>
      </c>
    </row>
    <row r="5685" spans="1:14" x14ac:dyDescent="0.25">
      <c r="A5685" s="1" t="s">
        <v>14258</v>
      </c>
      <c r="B5685" s="3" t="s">
        <v>9304</v>
      </c>
      <c r="C5685" s="2">
        <f ca="1">IF(ISNUMBER(SEARCH(Лист2!$B$4,D:D)),MAX($C$3:OFFSET(C5685,-1,0))+1,0)</f>
        <v>0</v>
      </c>
      <c r="E5685" s="9" t="str">
        <f t="shared" ca="1" si="100"/>
        <v/>
      </c>
      <c r="F5685" s="4" t="s">
        <v>459</v>
      </c>
      <c r="G5685" s="2">
        <f>IF(ISNUMBER(SEARCH(Лист2!$B$4,F:F)),1,0)</f>
        <v>0</v>
      </c>
      <c r="H5685" s="3">
        <f ca="1">IF(AND(I5685&lt;&gt;I5684,ISNUMBER(SEARCH(Лист2!$B$5,I:I)),G5685=1),MAX($H$3:OFFSET(H5685,-1,0))+1,0)</f>
        <v>0</v>
      </c>
      <c r="I5685" s="3" t="s">
        <v>47</v>
      </c>
      <c r="K5685" s="2">
        <f>IF(ISNUMBER(SEARCH(Лист2!$B$4,F:F)),1,0)</f>
        <v>0</v>
      </c>
      <c r="L5685" s="14">
        <f>IF(ISNUMBER(SEARCH(Лист2!$B$5,I:I)),1,0)+K5685</f>
        <v>0</v>
      </c>
      <c r="M5685" s="3">
        <f ca="1">IF(AND(N5685&lt;&gt;N5684,ISNUMBER(SEARCH(Лист2!$B$6,N:N)),L5685=2),MAX($M$3:OFFSET(M5685,-1,0))+1,0)</f>
        <v>0</v>
      </c>
      <c r="N5685" s="3" t="s">
        <v>3343</v>
      </c>
    </row>
    <row r="5686" spans="1:14" x14ac:dyDescent="0.25">
      <c r="A5686" s="1" t="s">
        <v>14259</v>
      </c>
      <c r="B5686" s="3" t="s">
        <v>9305</v>
      </c>
      <c r="C5686" s="2">
        <f ca="1">IF(ISNUMBER(SEARCH(Лист2!$B$4,D:D)),MAX($C$3:OFFSET(C5686,-1,0))+1,0)</f>
        <v>0</v>
      </c>
      <c r="E5686" s="9" t="str">
        <f t="shared" ca="1" si="100"/>
        <v/>
      </c>
      <c r="F5686" s="4" t="s">
        <v>459</v>
      </c>
      <c r="G5686" s="2">
        <f>IF(ISNUMBER(SEARCH(Лист2!$B$4,F:F)),1,0)</f>
        <v>0</v>
      </c>
      <c r="H5686" s="3">
        <f ca="1">IF(AND(I5686&lt;&gt;I5685,ISNUMBER(SEARCH(Лист2!$B$5,I:I)),G5686=1),MAX($H$3:OFFSET(H5686,-1,0))+1,0)</f>
        <v>0</v>
      </c>
      <c r="I5686" s="3" t="s">
        <v>47</v>
      </c>
      <c r="K5686" s="2">
        <f>IF(ISNUMBER(SEARCH(Лист2!$B$4,F:F)),1,0)</f>
        <v>0</v>
      </c>
      <c r="L5686" s="14">
        <f>IF(ISNUMBER(SEARCH(Лист2!$B$5,I:I)),1,0)+K5686</f>
        <v>0</v>
      </c>
      <c r="M5686" s="3">
        <f ca="1">IF(AND(N5686&lt;&gt;N5685,ISNUMBER(SEARCH(Лист2!$B$6,N:N)),L5686=2),MAX($M$3:OFFSET(M5686,-1,0))+1,0)</f>
        <v>0</v>
      </c>
      <c r="N5686" s="3" t="s">
        <v>3344</v>
      </c>
    </row>
    <row r="5687" spans="1:14" x14ac:dyDescent="0.25">
      <c r="A5687" s="1" t="s">
        <v>14259</v>
      </c>
      <c r="B5687" s="3" t="s">
        <v>9306</v>
      </c>
      <c r="C5687" s="2">
        <f ca="1">IF(ISNUMBER(SEARCH(Лист2!$B$4,D:D)),MAX($C$3:OFFSET(C5687,-1,0))+1,0)</f>
        <v>0</v>
      </c>
      <c r="E5687" s="9" t="str">
        <f t="shared" ca="1" si="100"/>
        <v/>
      </c>
      <c r="F5687" s="4" t="s">
        <v>459</v>
      </c>
      <c r="G5687" s="2">
        <f>IF(ISNUMBER(SEARCH(Лист2!$B$4,F:F)),1,0)</f>
        <v>0</v>
      </c>
      <c r="H5687" s="3">
        <f ca="1">IF(AND(I5687&lt;&gt;I5686,ISNUMBER(SEARCH(Лист2!$B$5,I:I)),G5687=1),MAX($H$3:OFFSET(H5687,-1,0))+1,0)</f>
        <v>0</v>
      </c>
      <c r="I5687" s="3" t="s">
        <v>47</v>
      </c>
      <c r="K5687" s="2">
        <f>IF(ISNUMBER(SEARCH(Лист2!$B$4,F:F)),1,0)</f>
        <v>0</v>
      </c>
      <c r="L5687" s="14">
        <f>IF(ISNUMBER(SEARCH(Лист2!$B$5,I:I)),1,0)+K5687</f>
        <v>0</v>
      </c>
      <c r="M5687" s="3">
        <f ca="1">IF(AND(N5687&lt;&gt;N5686,ISNUMBER(SEARCH(Лист2!$B$6,N:N)),L5687=2),MAX($M$3:OFFSET(M5687,-1,0))+1,0)</f>
        <v>0</v>
      </c>
      <c r="N5687" s="3" t="s">
        <v>3344</v>
      </c>
    </row>
    <row r="5688" spans="1:14" x14ac:dyDescent="0.25">
      <c r="A5688" s="1" t="s">
        <v>14259</v>
      </c>
      <c r="B5688" s="3" t="s">
        <v>9307</v>
      </c>
      <c r="C5688" s="2">
        <f ca="1">IF(ISNUMBER(SEARCH(Лист2!$B$4,D:D)),MAX($C$3:OFFSET(C5688,-1,0))+1,0)</f>
        <v>0</v>
      </c>
      <c r="E5688" s="9" t="str">
        <f t="shared" ca="1" si="100"/>
        <v/>
      </c>
      <c r="F5688" s="4" t="s">
        <v>459</v>
      </c>
      <c r="G5688" s="2">
        <f>IF(ISNUMBER(SEARCH(Лист2!$B$4,F:F)),1,0)</f>
        <v>0</v>
      </c>
      <c r="H5688" s="3">
        <f ca="1">IF(AND(I5688&lt;&gt;I5687,ISNUMBER(SEARCH(Лист2!$B$5,I:I)),G5688=1),MAX($H$3:OFFSET(H5688,-1,0))+1,0)</f>
        <v>0</v>
      </c>
      <c r="I5688" s="3" t="s">
        <v>47</v>
      </c>
      <c r="K5688" s="2">
        <f>IF(ISNUMBER(SEARCH(Лист2!$B$4,F:F)),1,0)</f>
        <v>0</v>
      </c>
      <c r="L5688" s="14">
        <f>IF(ISNUMBER(SEARCH(Лист2!$B$5,I:I)),1,0)+K5688</f>
        <v>0</v>
      </c>
      <c r="M5688" s="3">
        <f ca="1">IF(AND(N5688&lt;&gt;N5687,ISNUMBER(SEARCH(Лист2!$B$6,N:N)),L5688=2),MAX($M$3:OFFSET(M5688,-1,0))+1,0)</f>
        <v>0</v>
      </c>
      <c r="N5688" s="3" t="s">
        <v>3344</v>
      </c>
    </row>
    <row r="5689" spans="1:14" x14ac:dyDescent="0.25">
      <c r="A5689" s="1" t="s">
        <v>14259</v>
      </c>
      <c r="B5689" s="3" t="s">
        <v>9308</v>
      </c>
      <c r="C5689" s="2">
        <f ca="1">IF(ISNUMBER(SEARCH(Лист2!$B$4,D:D)),MAX($C$3:OFFSET(C5689,-1,0))+1,0)</f>
        <v>0</v>
      </c>
      <c r="E5689" s="9" t="str">
        <f t="shared" ca="1" si="100"/>
        <v/>
      </c>
      <c r="F5689" s="4" t="s">
        <v>459</v>
      </c>
      <c r="G5689" s="2">
        <f>IF(ISNUMBER(SEARCH(Лист2!$B$4,F:F)),1,0)</f>
        <v>0</v>
      </c>
      <c r="H5689" s="3">
        <f ca="1">IF(AND(I5689&lt;&gt;I5688,ISNUMBER(SEARCH(Лист2!$B$5,I:I)),G5689=1),MAX($H$3:OFFSET(H5689,-1,0))+1,0)</f>
        <v>0</v>
      </c>
      <c r="I5689" s="3" t="s">
        <v>47</v>
      </c>
      <c r="K5689" s="2">
        <f>IF(ISNUMBER(SEARCH(Лист2!$B$4,F:F)),1,0)</f>
        <v>0</v>
      </c>
      <c r="L5689" s="14">
        <f>IF(ISNUMBER(SEARCH(Лист2!$B$5,I:I)),1,0)+K5689</f>
        <v>0</v>
      </c>
      <c r="M5689" s="3">
        <f ca="1">IF(AND(N5689&lt;&gt;N5688,ISNUMBER(SEARCH(Лист2!$B$6,N:N)),L5689=2),MAX($M$3:OFFSET(M5689,-1,0))+1,0)</f>
        <v>0</v>
      </c>
      <c r="N5689" s="3" t="s">
        <v>3344</v>
      </c>
    </row>
    <row r="5690" spans="1:14" x14ac:dyDescent="0.25">
      <c r="A5690" s="1" t="s">
        <v>14259</v>
      </c>
      <c r="B5690" s="3" t="s">
        <v>9309</v>
      </c>
      <c r="C5690" s="2">
        <f ca="1">IF(ISNUMBER(SEARCH(Лист2!$B$4,D:D)),MAX($C$3:OFFSET(C5690,-1,0))+1,0)</f>
        <v>0</v>
      </c>
      <c r="E5690" s="9" t="str">
        <f t="shared" ca="1" si="100"/>
        <v/>
      </c>
      <c r="F5690" s="4" t="s">
        <v>459</v>
      </c>
      <c r="G5690" s="2">
        <f>IF(ISNUMBER(SEARCH(Лист2!$B$4,F:F)),1,0)</f>
        <v>0</v>
      </c>
      <c r="H5690" s="3">
        <f ca="1">IF(AND(I5690&lt;&gt;I5689,ISNUMBER(SEARCH(Лист2!$B$5,I:I)),G5690=1),MAX($H$3:OFFSET(H5690,-1,0))+1,0)</f>
        <v>0</v>
      </c>
      <c r="I5690" s="3" t="s">
        <v>47</v>
      </c>
      <c r="K5690" s="2">
        <f>IF(ISNUMBER(SEARCH(Лист2!$B$4,F:F)),1,0)</f>
        <v>0</v>
      </c>
      <c r="L5690" s="14">
        <f>IF(ISNUMBER(SEARCH(Лист2!$B$5,I:I)),1,0)+K5690</f>
        <v>0</v>
      </c>
      <c r="M5690" s="3">
        <f ca="1">IF(AND(N5690&lt;&gt;N5689,ISNUMBER(SEARCH(Лист2!$B$6,N:N)),L5690=2),MAX($M$3:OFFSET(M5690,-1,0))+1,0)</f>
        <v>0</v>
      </c>
      <c r="N5690" s="3" t="s">
        <v>3344</v>
      </c>
    </row>
    <row r="5691" spans="1:14" x14ac:dyDescent="0.25">
      <c r="A5691" s="1" t="s">
        <v>14260</v>
      </c>
      <c r="B5691" s="3" t="s">
        <v>9310</v>
      </c>
      <c r="C5691" s="2">
        <f ca="1">IF(ISNUMBER(SEARCH(Лист2!$B$4,D:D)),MAX($C$3:OFFSET(C5691,-1,0))+1,0)</f>
        <v>0</v>
      </c>
      <c r="E5691" s="9" t="str">
        <f t="shared" ca="1" si="100"/>
        <v/>
      </c>
      <c r="F5691" s="4" t="s">
        <v>459</v>
      </c>
      <c r="G5691" s="2">
        <f>IF(ISNUMBER(SEARCH(Лист2!$B$4,F:F)),1,0)</f>
        <v>0</v>
      </c>
      <c r="H5691" s="3">
        <f ca="1">IF(AND(I5691&lt;&gt;I5690,ISNUMBER(SEARCH(Лист2!$B$5,I:I)),G5691=1),MAX($H$3:OFFSET(H5691,-1,0))+1,0)</f>
        <v>0</v>
      </c>
      <c r="I5691" s="3" t="s">
        <v>47</v>
      </c>
      <c r="K5691" s="2">
        <f>IF(ISNUMBER(SEARCH(Лист2!$B$4,F:F)),1,0)</f>
        <v>0</v>
      </c>
      <c r="L5691" s="14">
        <f>IF(ISNUMBER(SEARCH(Лист2!$B$5,I:I)),1,0)+K5691</f>
        <v>0</v>
      </c>
      <c r="M5691" s="3">
        <f ca="1">IF(AND(N5691&lt;&gt;N5690,ISNUMBER(SEARCH(Лист2!$B$6,N:N)),L5691=2),MAX($M$3:OFFSET(M5691,-1,0))+1,0)</f>
        <v>0</v>
      </c>
      <c r="N5691" s="3" t="s">
        <v>3345</v>
      </c>
    </row>
    <row r="5692" spans="1:14" x14ac:dyDescent="0.25">
      <c r="A5692" s="1" t="s">
        <v>14260</v>
      </c>
      <c r="B5692" s="3" t="s">
        <v>9311</v>
      </c>
      <c r="C5692" s="2">
        <f ca="1">IF(ISNUMBER(SEARCH(Лист2!$B$4,D:D)),MAX($C$3:OFFSET(C5692,-1,0))+1,0)</f>
        <v>0</v>
      </c>
      <c r="E5692" s="9" t="str">
        <f t="shared" ca="1" si="100"/>
        <v/>
      </c>
      <c r="F5692" s="4" t="s">
        <v>459</v>
      </c>
      <c r="G5692" s="2">
        <f>IF(ISNUMBER(SEARCH(Лист2!$B$4,F:F)),1,0)</f>
        <v>0</v>
      </c>
      <c r="H5692" s="3">
        <f ca="1">IF(AND(I5692&lt;&gt;I5691,ISNUMBER(SEARCH(Лист2!$B$5,I:I)),G5692=1),MAX($H$3:OFFSET(H5692,-1,0))+1,0)</f>
        <v>0</v>
      </c>
      <c r="I5692" s="3" t="s">
        <v>47</v>
      </c>
      <c r="K5692" s="2">
        <f>IF(ISNUMBER(SEARCH(Лист2!$B$4,F:F)),1,0)</f>
        <v>0</v>
      </c>
      <c r="L5692" s="14">
        <f>IF(ISNUMBER(SEARCH(Лист2!$B$5,I:I)),1,0)+K5692</f>
        <v>0</v>
      </c>
      <c r="M5692" s="3">
        <f ca="1">IF(AND(N5692&lt;&gt;N5691,ISNUMBER(SEARCH(Лист2!$B$6,N:N)),L5692=2),MAX($M$3:OFFSET(M5692,-1,0))+1,0)</f>
        <v>0</v>
      </c>
      <c r="N5692" s="3" t="s">
        <v>3345</v>
      </c>
    </row>
    <row r="5693" spans="1:14" x14ac:dyDescent="0.25">
      <c r="A5693" s="1" t="s">
        <v>14260</v>
      </c>
      <c r="B5693" s="3" t="s">
        <v>9312</v>
      </c>
      <c r="C5693" s="2">
        <f ca="1">IF(ISNUMBER(SEARCH(Лист2!$B$4,D:D)),MAX($C$3:OFFSET(C5693,-1,0))+1,0)</f>
        <v>0</v>
      </c>
      <c r="E5693" s="9" t="str">
        <f t="shared" ca="1" si="100"/>
        <v/>
      </c>
      <c r="F5693" s="4" t="s">
        <v>459</v>
      </c>
      <c r="G5693" s="2">
        <f>IF(ISNUMBER(SEARCH(Лист2!$B$4,F:F)),1,0)</f>
        <v>0</v>
      </c>
      <c r="H5693" s="3">
        <f ca="1">IF(AND(I5693&lt;&gt;I5692,ISNUMBER(SEARCH(Лист2!$B$5,I:I)),G5693=1),MAX($H$3:OFFSET(H5693,-1,0))+1,0)</f>
        <v>0</v>
      </c>
      <c r="I5693" s="3" t="s">
        <v>47</v>
      </c>
      <c r="K5693" s="2">
        <f>IF(ISNUMBER(SEARCH(Лист2!$B$4,F:F)),1,0)</f>
        <v>0</v>
      </c>
      <c r="L5693" s="14">
        <f>IF(ISNUMBER(SEARCH(Лист2!$B$5,I:I)),1,0)+K5693</f>
        <v>0</v>
      </c>
      <c r="M5693" s="3">
        <f ca="1">IF(AND(N5693&lt;&gt;N5692,ISNUMBER(SEARCH(Лист2!$B$6,N:N)),L5693=2),MAX($M$3:OFFSET(M5693,-1,0))+1,0)</f>
        <v>0</v>
      </c>
      <c r="N5693" s="3" t="s">
        <v>3345</v>
      </c>
    </row>
    <row r="5694" spans="1:14" x14ac:dyDescent="0.25">
      <c r="A5694" s="1" t="s">
        <v>14260</v>
      </c>
      <c r="B5694" s="3" t="s">
        <v>9313</v>
      </c>
      <c r="C5694" s="2">
        <f ca="1">IF(ISNUMBER(SEARCH(Лист2!$B$4,D:D)),MAX($C$3:OFFSET(C5694,-1,0))+1,0)</f>
        <v>0</v>
      </c>
      <c r="E5694" s="9" t="str">
        <f t="shared" ca="1" si="100"/>
        <v/>
      </c>
      <c r="F5694" s="4" t="s">
        <v>459</v>
      </c>
      <c r="G5694" s="2">
        <f>IF(ISNUMBER(SEARCH(Лист2!$B$4,F:F)),1,0)</f>
        <v>0</v>
      </c>
      <c r="H5694" s="3">
        <f ca="1">IF(AND(I5694&lt;&gt;I5693,ISNUMBER(SEARCH(Лист2!$B$5,I:I)),G5694=1),MAX($H$3:OFFSET(H5694,-1,0))+1,0)</f>
        <v>0</v>
      </c>
      <c r="I5694" s="3" t="s">
        <v>47</v>
      </c>
      <c r="K5694" s="2">
        <f>IF(ISNUMBER(SEARCH(Лист2!$B$4,F:F)),1,0)</f>
        <v>0</v>
      </c>
      <c r="L5694" s="14">
        <f>IF(ISNUMBER(SEARCH(Лист2!$B$5,I:I)),1,0)+K5694</f>
        <v>0</v>
      </c>
      <c r="M5694" s="3">
        <f ca="1">IF(AND(N5694&lt;&gt;N5693,ISNUMBER(SEARCH(Лист2!$B$6,N:N)),L5694=2),MAX($M$3:OFFSET(M5694,-1,0))+1,0)</f>
        <v>0</v>
      </c>
      <c r="N5694" s="3" t="s">
        <v>3345</v>
      </c>
    </row>
    <row r="5695" spans="1:14" x14ac:dyDescent="0.25">
      <c r="A5695" s="1" t="s">
        <v>9785</v>
      </c>
      <c r="B5695" s="3" t="s">
        <v>9314</v>
      </c>
      <c r="C5695" s="2">
        <f ca="1">IF(ISNUMBER(SEARCH(Лист2!$B$4,D:D)),MAX($C$3:OFFSET(C5695,-1,0))+1,0)</f>
        <v>0</v>
      </c>
      <c r="E5695" s="9" t="str">
        <f t="shared" ca="1" si="100"/>
        <v/>
      </c>
      <c r="G5695" s="2">
        <f>IF(ISNUMBER(SEARCH(Лист2!$B$4,F:F)),1,0)</f>
        <v>0</v>
      </c>
      <c r="H5695" s="3">
        <f ca="1">IF(AND(I5695&lt;&gt;I5694,ISNUMBER(SEARCH(Лист2!$B$5,I:I)),G5695=1),MAX($H$3:OFFSET(H5695,-1,0))+1,0)</f>
        <v>0</v>
      </c>
      <c r="K5695" s="2">
        <f>IF(ISNUMBER(SEARCH(Лист2!$B$4,F:F)),1,0)</f>
        <v>0</v>
      </c>
      <c r="L5695" s="14">
        <f>IF(ISNUMBER(SEARCH(Лист2!$B$5,I:I)),1,0)+K5695</f>
        <v>0</v>
      </c>
      <c r="M5695" s="3">
        <f ca="1">IF(AND(N5695&lt;&gt;N5694,ISNUMBER(SEARCH(Лист2!$B$6,N:N)),L5695=2),MAX($M$3:OFFSET(M5695,-1,0))+1,0)</f>
        <v>0</v>
      </c>
      <c r="N5695" s="3" t="s">
        <v>9785</v>
      </c>
    </row>
    <row r="5696" spans="1:14" x14ac:dyDescent="0.25">
      <c r="A5696" s="1" t="s">
        <v>9786</v>
      </c>
      <c r="B5696" s="3" t="s">
        <v>9315</v>
      </c>
      <c r="C5696" s="2">
        <f ca="1">IF(ISNUMBER(SEARCH(Лист2!$B$4,D:D)),MAX($C$3:OFFSET(C5696,-1,0))+1,0)</f>
        <v>0</v>
      </c>
      <c r="E5696" s="9" t="str">
        <f t="shared" ca="1" si="100"/>
        <v/>
      </c>
      <c r="G5696" s="2">
        <f>IF(ISNUMBER(SEARCH(Лист2!$B$4,F:F)),1,0)</f>
        <v>0</v>
      </c>
      <c r="H5696" s="3">
        <f ca="1">IF(AND(I5696&lt;&gt;I5695,ISNUMBER(SEARCH(Лист2!$B$5,I:I)),G5696=1),MAX($H$3:OFFSET(H5696,-1,0))+1,0)</f>
        <v>0</v>
      </c>
      <c r="K5696" s="2">
        <f>IF(ISNUMBER(SEARCH(Лист2!$B$4,F:F)),1,0)</f>
        <v>0</v>
      </c>
      <c r="L5696" s="14">
        <f>IF(ISNUMBER(SEARCH(Лист2!$B$5,I:I)),1,0)+K5696</f>
        <v>0</v>
      </c>
      <c r="M5696" s="3">
        <f ca="1">IF(AND(N5696&lt;&gt;N5695,ISNUMBER(SEARCH(Лист2!$B$6,N:N)),L5696=2),MAX($M$3:OFFSET(M5696,-1,0))+1,0)</f>
        <v>0</v>
      </c>
      <c r="N5696" s="3" t="s">
        <v>9786</v>
      </c>
    </row>
    <row r="5697" spans="1:14" x14ac:dyDescent="0.25">
      <c r="A5697" s="1" t="s">
        <v>9787</v>
      </c>
      <c r="B5697" s="3" t="s">
        <v>9316</v>
      </c>
      <c r="C5697" s="2">
        <f ca="1">IF(ISNUMBER(SEARCH(Лист2!$B$4,D:D)),MAX($C$3:OFFSET(C5697,-1,0))+1,0)</f>
        <v>0</v>
      </c>
      <c r="E5697" s="9" t="str">
        <f t="shared" ca="1" si="100"/>
        <v/>
      </c>
      <c r="G5697" s="2">
        <f>IF(ISNUMBER(SEARCH(Лист2!$B$4,F:F)),1,0)</f>
        <v>0</v>
      </c>
      <c r="H5697" s="3">
        <f ca="1">IF(AND(I5697&lt;&gt;I5696,ISNUMBER(SEARCH(Лист2!$B$5,I:I)),G5697=1),MAX($H$3:OFFSET(H5697,-1,0))+1,0)</f>
        <v>0</v>
      </c>
      <c r="K5697" s="2">
        <f>IF(ISNUMBER(SEARCH(Лист2!$B$4,F:F)),1,0)</f>
        <v>0</v>
      </c>
      <c r="L5697" s="14">
        <f>IF(ISNUMBER(SEARCH(Лист2!$B$5,I:I)),1,0)+K5697</f>
        <v>0</v>
      </c>
      <c r="M5697" s="3">
        <f ca="1">IF(AND(N5697&lt;&gt;N5696,ISNUMBER(SEARCH(Лист2!$B$6,N:N)),L5697=2),MAX($M$3:OFFSET(M5697,-1,0))+1,0)</f>
        <v>0</v>
      </c>
      <c r="N5697" s="3" t="s">
        <v>9787</v>
      </c>
    </row>
    <row r="5698" spans="1:14" x14ac:dyDescent="0.25">
      <c r="A5698" s="1" t="s">
        <v>9788</v>
      </c>
      <c r="B5698" s="3" t="s">
        <v>9317</v>
      </c>
      <c r="C5698" s="2">
        <f ca="1">IF(ISNUMBER(SEARCH(Лист2!$B$4,D:D)),MAX($C$3:OFFSET(C5698,-1,0))+1,0)</f>
        <v>0</v>
      </c>
      <c r="E5698" s="9" t="str">
        <f t="shared" ca="1" si="100"/>
        <v/>
      </c>
      <c r="G5698" s="2">
        <f>IF(ISNUMBER(SEARCH(Лист2!$B$4,F:F)),1,0)</f>
        <v>0</v>
      </c>
      <c r="H5698" s="3">
        <f ca="1">IF(AND(I5698&lt;&gt;I5697,ISNUMBER(SEARCH(Лист2!$B$5,I:I)),G5698=1),MAX($H$3:OFFSET(H5698,-1,0))+1,0)</f>
        <v>0</v>
      </c>
      <c r="K5698" s="2">
        <f>IF(ISNUMBER(SEARCH(Лист2!$B$4,F:F)),1,0)</f>
        <v>0</v>
      </c>
      <c r="L5698" s="14">
        <f>IF(ISNUMBER(SEARCH(Лист2!$B$5,I:I)),1,0)+K5698</f>
        <v>0</v>
      </c>
      <c r="M5698" s="3">
        <f ca="1">IF(AND(N5698&lt;&gt;N5697,ISNUMBER(SEARCH(Лист2!$B$6,N:N)),L5698=2),MAX($M$3:OFFSET(M5698,-1,0))+1,0)</f>
        <v>0</v>
      </c>
      <c r="N5698" s="3" t="s">
        <v>9788</v>
      </c>
    </row>
    <row r="5699" spans="1:14" x14ac:dyDescent="0.25">
      <c r="A5699" s="1" t="s">
        <v>9789</v>
      </c>
      <c r="B5699" s="3" t="s">
        <v>9318</v>
      </c>
      <c r="C5699" s="2">
        <f ca="1">IF(ISNUMBER(SEARCH(Лист2!$B$4,D:D)),MAX($C$3:OFFSET(C5699,-1,0))+1,0)</f>
        <v>0</v>
      </c>
      <c r="E5699" s="9" t="str">
        <f t="shared" ca="1" si="100"/>
        <v/>
      </c>
      <c r="G5699" s="2">
        <f>IF(ISNUMBER(SEARCH(Лист2!$B$4,F:F)),1,0)</f>
        <v>0</v>
      </c>
      <c r="H5699" s="3">
        <f ca="1">IF(AND(I5699&lt;&gt;I5698,ISNUMBER(SEARCH(Лист2!$B$5,I:I)),G5699=1),MAX($H$3:OFFSET(H5699,-1,0))+1,0)</f>
        <v>0</v>
      </c>
      <c r="K5699" s="2">
        <f>IF(ISNUMBER(SEARCH(Лист2!$B$4,F:F)),1,0)</f>
        <v>0</v>
      </c>
      <c r="L5699" s="14">
        <f>IF(ISNUMBER(SEARCH(Лист2!$B$5,I:I)),1,0)+K5699</f>
        <v>0</v>
      </c>
      <c r="M5699" s="3">
        <f ca="1">IF(AND(N5699&lt;&gt;N5698,ISNUMBER(SEARCH(Лист2!$B$6,N:N)),L5699=2),MAX($M$3:OFFSET(M5699,-1,0))+1,0)</f>
        <v>0</v>
      </c>
      <c r="N5699" s="3" t="s">
        <v>9789</v>
      </c>
    </row>
    <row r="5700" spans="1:14" x14ac:dyDescent="0.25">
      <c r="A5700" s="1" t="s">
        <v>14080</v>
      </c>
      <c r="C5700" s="2">
        <f ca="1">IF(ISNUMBER(SEARCH(Лист2!$B$4,D:D)),MAX($C$3:OFFSET(C5700,-1,0))+1,0)</f>
        <v>0</v>
      </c>
      <c r="E5700" s="9" t="str">
        <f t="shared" ca="1" si="100"/>
        <v/>
      </c>
      <c r="G5700" s="2">
        <f>IF(ISNUMBER(SEARCH(Лист2!$B$4,F:F)),1,0)</f>
        <v>0</v>
      </c>
      <c r="H5700" s="3">
        <f ca="1">IF(AND(I5700&lt;&gt;I5699,ISNUMBER(SEARCH(Лист2!$B$5,I:I)),G5700=1),MAX($H$3:OFFSET(H5700,-1,0))+1,0)</f>
        <v>0</v>
      </c>
      <c r="K5700" s="2">
        <f>IF(ISNUMBER(SEARCH(Лист2!$B$4,F:F)),1,0)</f>
        <v>0</v>
      </c>
      <c r="L5700" s="14">
        <f>IF(ISNUMBER(SEARCH(Лист2!$B$5,I:I)),1,0)+K5700</f>
        <v>0</v>
      </c>
      <c r="M5700" s="3">
        <f ca="1">IF(AND(N5700&lt;&gt;N5699,ISNUMBER(SEARCH(Лист2!$B$6,N:N)),L5700=2),MAX($M$3:OFFSET(M5700,-1,0))+1,0)</f>
        <v>0</v>
      </c>
    </row>
    <row r="5701" spans="1:14" x14ac:dyDescent="0.25">
      <c r="A5701" s="1" t="s">
        <v>14080</v>
      </c>
      <c r="C5701" s="2">
        <f ca="1">IF(ISNUMBER(SEARCH(Лист2!$B$4,D:D)),MAX($C$3:OFFSET(C5701,-1,0))+1,0)</f>
        <v>0</v>
      </c>
      <c r="E5701" s="9" t="str">
        <f t="shared" ref="E5701:E5764" ca="1" si="101">IFERROR(INDEX(D:D,MATCH(ROW(E5701)-ROW($E$3),C:C,0)),"")</f>
        <v/>
      </c>
      <c r="G5701" s="2">
        <f>IF(ISNUMBER(SEARCH(Лист2!$B$4,F:F)),1,0)</f>
        <v>0</v>
      </c>
      <c r="H5701" s="3">
        <f ca="1">IF(AND(I5701&lt;&gt;I5700,ISNUMBER(SEARCH(Лист2!$B$5,I:I)),G5701=1),MAX($H$3:OFFSET(H5701,-1,0))+1,0)</f>
        <v>0</v>
      </c>
      <c r="K5701" s="2">
        <f>IF(ISNUMBER(SEARCH(Лист2!$B$4,F:F)),1,0)</f>
        <v>0</v>
      </c>
      <c r="L5701" s="14">
        <f>IF(ISNUMBER(SEARCH(Лист2!$B$5,I:I)),1,0)+K5701</f>
        <v>0</v>
      </c>
      <c r="M5701" s="3">
        <f ca="1">IF(AND(N5701&lt;&gt;N5700,ISNUMBER(SEARCH(Лист2!$B$6,N:N)),L5701=2),MAX($M$3:OFFSET(M5701,-1,0))+1,0)</f>
        <v>0</v>
      </c>
    </row>
    <row r="5702" spans="1:14" x14ac:dyDescent="0.25">
      <c r="A5702" s="1" t="s">
        <v>14261</v>
      </c>
      <c r="B5702" s="3" t="s">
        <v>9319</v>
      </c>
      <c r="C5702" s="2">
        <f ca="1">IF(ISNUMBER(SEARCH(Лист2!$B$4,D:D)),MAX($C$3:OFFSET(C5702,-1,0))+1,0)</f>
        <v>0</v>
      </c>
      <c r="E5702" s="9" t="str">
        <f t="shared" ca="1" si="101"/>
        <v/>
      </c>
      <c r="F5702" s="4" t="s">
        <v>21</v>
      </c>
      <c r="G5702" s="2">
        <f>IF(ISNUMBER(SEARCH(Лист2!$B$4,F:F)),1,0)</f>
        <v>0</v>
      </c>
      <c r="H5702" s="3">
        <f ca="1">IF(AND(I5702&lt;&gt;I5701,ISNUMBER(SEARCH(Лист2!$B$5,I:I)),G5702=1),MAX($H$3:OFFSET(H5702,-1,0))+1,0)</f>
        <v>0</v>
      </c>
      <c r="I5702" s="3" t="s">
        <v>47</v>
      </c>
      <c r="K5702" s="2">
        <f>IF(ISNUMBER(SEARCH(Лист2!$B$4,F:F)),1,0)</f>
        <v>0</v>
      </c>
      <c r="L5702" s="14">
        <f>IF(ISNUMBER(SEARCH(Лист2!$B$5,I:I)),1,0)+K5702</f>
        <v>0</v>
      </c>
      <c r="M5702" s="3">
        <f ca="1">IF(AND(N5702&lt;&gt;N5701,ISNUMBER(SEARCH(Лист2!$B$6,N:N)),L5702=2),MAX($M$3:OFFSET(M5702,-1,0))+1,0)</f>
        <v>0</v>
      </c>
      <c r="N5702" s="3" t="s">
        <v>3346</v>
      </c>
    </row>
    <row r="5703" spans="1:14" x14ac:dyDescent="0.25">
      <c r="A5703" s="1" t="s">
        <v>14262</v>
      </c>
      <c r="B5703" s="3" t="s">
        <v>9320</v>
      </c>
      <c r="C5703" s="2">
        <f ca="1">IF(ISNUMBER(SEARCH(Лист2!$B$4,D:D)),MAX($C$3:OFFSET(C5703,-1,0))+1,0)</f>
        <v>0</v>
      </c>
      <c r="E5703" s="9" t="str">
        <f t="shared" ca="1" si="101"/>
        <v/>
      </c>
      <c r="F5703" s="4" t="s">
        <v>21</v>
      </c>
      <c r="G5703" s="2">
        <f>IF(ISNUMBER(SEARCH(Лист2!$B$4,F:F)),1,0)</f>
        <v>0</v>
      </c>
      <c r="H5703" s="3">
        <f ca="1">IF(AND(I5703&lt;&gt;I5702,ISNUMBER(SEARCH(Лист2!$B$5,I:I)),G5703=1),MAX($H$3:OFFSET(H5703,-1,0))+1,0)</f>
        <v>0</v>
      </c>
      <c r="I5703" s="3" t="s">
        <v>460</v>
      </c>
      <c r="K5703" s="2">
        <f>IF(ISNUMBER(SEARCH(Лист2!$B$4,F:F)),1,0)</f>
        <v>0</v>
      </c>
      <c r="L5703" s="14">
        <f>IF(ISNUMBER(SEARCH(Лист2!$B$5,I:I)),1,0)+K5703</f>
        <v>0</v>
      </c>
      <c r="M5703" s="3">
        <f ca="1">IF(AND(N5703&lt;&gt;N5702,ISNUMBER(SEARCH(Лист2!$B$6,N:N)),L5703=2),MAX($M$3:OFFSET(M5703,-1,0))+1,0)</f>
        <v>0</v>
      </c>
      <c r="N5703" s="3" t="s">
        <v>3347</v>
      </c>
    </row>
    <row r="5704" spans="1:14" x14ac:dyDescent="0.25">
      <c r="A5704" s="1" t="s">
        <v>14263</v>
      </c>
      <c r="B5704" s="3" t="s">
        <v>9321</v>
      </c>
      <c r="C5704" s="2">
        <f ca="1">IF(ISNUMBER(SEARCH(Лист2!$B$4,D:D)),MAX($C$3:OFFSET(C5704,-1,0))+1,0)</f>
        <v>0</v>
      </c>
      <c r="E5704" s="9" t="str">
        <f t="shared" ca="1" si="101"/>
        <v/>
      </c>
      <c r="F5704" s="4" t="s">
        <v>21</v>
      </c>
      <c r="G5704" s="2">
        <f>IF(ISNUMBER(SEARCH(Лист2!$B$4,F:F)),1,0)</f>
        <v>0</v>
      </c>
      <c r="H5704" s="3">
        <f ca="1">IF(AND(I5704&lt;&gt;I5703,ISNUMBER(SEARCH(Лист2!$B$5,I:I)),G5704=1),MAX($H$3:OFFSET(H5704,-1,0))+1,0)</f>
        <v>0</v>
      </c>
      <c r="I5704" s="3" t="s">
        <v>461</v>
      </c>
      <c r="K5704" s="2">
        <f>IF(ISNUMBER(SEARCH(Лист2!$B$4,F:F)),1,0)</f>
        <v>0</v>
      </c>
      <c r="L5704" s="14">
        <f>IF(ISNUMBER(SEARCH(Лист2!$B$5,I:I)),1,0)+K5704</f>
        <v>0</v>
      </c>
      <c r="M5704" s="3">
        <f ca="1">IF(AND(N5704&lt;&gt;N5703,ISNUMBER(SEARCH(Лист2!$B$6,N:N)),L5704=2),MAX($M$3:OFFSET(M5704,-1,0))+1,0)</f>
        <v>0</v>
      </c>
      <c r="N5704" s="3" t="s">
        <v>145</v>
      </c>
    </row>
    <row r="5705" spans="1:14" x14ac:dyDescent="0.25">
      <c r="A5705" s="1" t="s">
        <v>14264</v>
      </c>
      <c r="B5705" s="3" t="s">
        <v>9322</v>
      </c>
      <c r="C5705" s="2">
        <f ca="1">IF(ISNUMBER(SEARCH(Лист2!$B$4,D:D)),MAX($C$3:OFFSET(C5705,-1,0))+1,0)</f>
        <v>0</v>
      </c>
      <c r="E5705" s="9" t="str">
        <f t="shared" ca="1" si="101"/>
        <v/>
      </c>
      <c r="F5705" s="4" t="s">
        <v>21</v>
      </c>
      <c r="G5705" s="2">
        <f>IF(ISNUMBER(SEARCH(Лист2!$B$4,F:F)),1,0)</f>
        <v>0</v>
      </c>
      <c r="H5705" s="3">
        <f ca="1">IF(AND(I5705&lt;&gt;I5704,ISNUMBER(SEARCH(Лист2!$B$5,I:I)),G5705=1),MAX($H$3:OFFSET(H5705,-1,0))+1,0)</f>
        <v>0</v>
      </c>
      <c r="I5705" s="3" t="s">
        <v>461</v>
      </c>
      <c r="K5705" s="2">
        <f>IF(ISNUMBER(SEARCH(Лист2!$B$4,F:F)),1,0)</f>
        <v>0</v>
      </c>
      <c r="L5705" s="14">
        <f>IF(ISNUMBER(SEARCH(Лист2!$B$5,I:I)),1,0)+K5705</f>
        <v>0</v>
      </c>
      <c r="M5705" s="3">
        <f ca="1">IF(AND(N5705&lt;&gt;N5704,ISNUMBER(SEARCH(Лист2!$B$6,N:N)),L5705=2),MAX($M$3:OFFSET(M5705,-1,0))+1,0)</f>
        <v>0</v>
      </c>
      <c r="N5705" s="3" t="s">
        <v>3348</v>
      </c>
    </row>
    <row r="5706" spans="1:14" x14ac:dyDescent="0.25">
      <c r="A5706" s="1" t="s">
        <v>14265</v>
      </c>
      <c r="B5706" s="3" t="s">
        <v>9323</v>
      </c>
      <c r="C5706" s="2">
        <f ca="1">IF(ISNUMBER(SEARCH(Лист2!$B$4,D:D)),MAX($C$3:OFFSET(C5706,-1,0))+1,0)</f>
        <v>0</v>
      </c>
      <c r="E5706" s="9" t="str">
        <f t="shared" ca="1" si="101"/>
        <v/>
      </c>
      <c r="F5706" s="4" t="s">
        <v>21</v>
      </c>
      <c r="G5706" s="2">
        <f>IF(ISNUMBER(SEARCH(Лист2!$B$4,F:F)),1,0)</f>
        <v>0</v>
      </c>
      <c r="H5706" s="3">
        <f ca="1">IF(AND(I5706&lt;&gt;I5705,ISNUMBER(SEARCH(Лист2!$B$5,I:I)),G5706=1),MAX($H$3:OFFSET(H5706,-1,0))+1,0)</f>
        <v>0</v>
      </c>
      <c r="I5706" s="3" t="s">
        <v>461</v>
      </c>
      <c r="K5706" s="2">
        <f>IF(ISNUMBER(SEARCH(Лист2!$B$4,F:F)),1,0)</f>
        <v>0</v>
      </c>
      <c r="L5706" s="14">
        <f>IF(ISNUMBER(SEARCH(Лист2!$B$5,I:I)),1,0)+K5706</f>
        <v>0</v>
      </c>
      <c r="M5706" s="3">
        <f ca="1">IF(AND(N5706&lt;&gt;N5705,ISNUMBER(SEARCH(Лист2!$B$6,N:N)),L5706=2),MAX($M$3:OFFSET(M5706,-1,0))+1,0)</f>
        <v>0</v>
      </c>
      <c r="N5706" s="3" t="s">
        <v>3349</v>
      </c>
    </row>
    <row r="5707" spans="1:14" x14ac:dyDescent="0.25">
      <c r="A5707" s="1" t="s">
        <v>14266</v>
      </c>
      <c r="B5707" s="3" t="s">
        <v>9324</v>
      </c>
      <c r="C5707" s="2">
        <f ca="1">IF(ISNUMBER(SEARCH(Лист2!$B$4,D:D)),MAX($C$3:OFFSET(C5707,-1,0))+1,0)</f>
        <v>0</v>
      </c>
      <c r="E5707" s="9" t="str">
        <f t="shared" ca="1" si="101"/>
        <v/>
      </c>
      <c r="F5707" s="4" t="s">
        <v>21</v>
      </c>
      <c r="G5707" s="2">
        <f>IF(ISNUMBER(SEARCH(Лист2!$B$4,F:F)),1,0)</f>
        <v>0</v>
      </c>
      <c r="H5707" s="3">
        <f ca="1">IF(AND(I5707&lt;&gt;I5706,ISNUMBER(SEARCH(Лист2!$B$5,I:I)),G5707=1),MAX($H$3:OFFSET(H5707,-1,0))+1,0)</f>
        <v>0</v>
      </c>
      <c r="I5707" s="3" t="s">
        <v>461</v>
      </c>
      <c r="K5707" s="2">
        <f>IF(ISNUMBER(SEARCH(Лист2!$B$4,F:F)),1,0)</f>
        <v>0</v>
      </c>
      <c r="L5707" s="14">
        <f>IF(ISNUMBER(SEARCH(Лист2!$B$5,I:I)),1,0)+K5707</f>
        <v>0</v>
      </c>
      <c r="M5707" s="3">
        <f ca="1">IF(AND(N5707&lt;&gt;N5706,ISNUMBER(SEARCH(Лист2!$B$6,N:N)),L5707=2),MAX($M$3:OFFSET(M5707,-1,0))+1,0)</f>
        <v>0</v>
      </c>
      <c r="N5707" s="3" t="s">
        <v>3350</v>
      </c>
    </row>
    <row r="5708" spans="1:14" x14ac:dyDescent="0.25">
      <c r="A5708" s="1" t="s">
        <v>14267</v>
      </c>
      <c r="B5708" s="3" t="s">
        <v>9325</v>
      </c>
      <c r="C5708" s="2">
        <f ca="1">IF(ISNUMBER(SEARCH(Лист2!$B$4,D:D)),MAX($C$3:OFFSET(C5708,-1,0))+1,0)</f>
        <v>0</v>
      </c>
      <c r="E5708" s="9" t="str">
        <f t="shared" ca="1" si="101"/>
        <v/>
      </c>
      <c r="F5708" s="4" t="s">
        <v>21</v>
      </c>
      <c r="G5708" s="2">
        <f>IF(ISNUMBER(SEARCH(Лист2!$B$4,F:F)),1,0)</f>
        <v>0</v>
      </c>
      <c r="H5708" s="3">
        <f ca="1">IF(AND(I5708&lt;&gt;I5707,ISNUMBER(SEARCH(Лист2!$B$5,I:I)),G5708=1),MAX($H$3:OFFSET(H5708,-1,0))+1,0)</f>
        <v>0</v>
      </c>
      <c r="I5708" s="3" t="s">
        <v>461</v>
      </c>
      <c r="K5708" s="2">
        <f>IF(ISNUMBER(SEARCH(Лист2!$B$4,F:F)),1,0)</f>
        <v>0</v>
      </c>
      <c r="L5708" s="14">
        <f>IF(ISNUMBER(SEARCH(Лист2!$B$5,I:I)),1,0)+K5708</f>
        <v>0</v>
      </c>
      <c r="M5708" s="3">
        <f ca="1">IF(AND(N5708&lt;&gt;N5707,ISNUMBER(SEARCH(Лист2!$B$6,N:N)),L5708=2),MAX($M$3:OFFSET(M5708,-1,0))+1,0)</f>
        <v>0</v>
      </c>
      <c r="N5708" s="3" t="s">
        <v>3351</v>
      </c>
    </row>
    <row r="5709" spans="1:14" x14ac:dyDescent="0.25">
      <c r="A5709" s="1" t="s">
        <v>14268</v>
      </c>
      <c r="B5709" s="3" t="s">
        <v>9326</v>
      </c>
      <c r="C5709" s="2">
        <f ca="1">IF(ISNUMBER(SEARCH(Лист2!$B$4,D:D)),MAX($C$3:OFFSET(C5709,-1,0))+1,0)</f>
        <v>0</v>
      </c>
      <c r="E5709" s="9" t="str">
        <f t="shared" ca="1" si="101"/>
        <v/>
      </c>
      <c r="F5709" s="4" t="s">
        <v>21</v>
      </c>
      <c r="G5709" s="2">
        <f>IF(ISNUMBER(SEARCH(Лист2!$B$4,F:F)),1,0)</f>
        <v>0</v>
      </c>
      <c r="H5709" s="3">
        <f ca="1">IF(AND(I5709&lt;&gt;I5708,ISNUMBER(SEARCH(Лист2!$B$5,I:I)),G5709=1),MAX($H$3:OFFSET(H5709,-1,0))+1,0)</f>
        <v>0</v>
      </c>
      <c r="I5709" s="3" t="s">
        <v>461</v>
      </c>
      <c r="K5709" s="2">
        <f>IF(ISNUMBER(SEARCH(Лист2!$B$4,F:F)),1,0)</f>
        <v>0</v>
      </c>
      <c r="L5709" s="14">
        <f>IF(ISNUMBER(SEARCH(Лист2!$B$5,I:I)),1,0)+K5709</f>
        <v>0</v>
      </c>
      <c r="M5709" s="3">
        <f ca="1">IF(AND(N5709&lt;&gt;N5708,ISNUMBER(SEARCH(Лист2!$B$6,N:N)),L5709=2),MAX($M$3:OFFSET(M5709,-1,0))+1,0)</f>
        <v>0</v>
      </c>
      <c r="N5709" s="3" t="s">
        <v>600</v>
      </c>
    </row>
    <row r="5710" spans="1:14" x14ac:dyDescent="0.25">
      <c r="A5710" s="1" t="s">
        <v>14269</v>
      </c>
      <c r="B5710" s="3" t="s">
        <v>9327</v>
      </c>
      <c r="C5710" s="2">
        <f ca="1">IF(ISNUMBER(SEARCH(Лист2!$B$4,D:D)),MAX($C$3:OFFSET(C5710,-1,0))+1,0)</f>
        <v>0</v>
      </c>
      <c r="E5710" s="9" t="str">
        <f t="shared" ca="1" si="101"/>
        <v/>
      </c>
      <c r="F5710" s="4" t="s">
        <v>21</v>
      </c>
      <c r="G5710" s="2">
        <f>IF(ISNUMBER(SEARCH(Лист2!$B$4,F:F)),1,0)</f>
        <v>0</v>
      </c>
      <c r="H5710" s="3">
        <f ca="1">IF(AND(I5710&lt;&gt;I5709,ISNUMBER(SEARCH(Лист2!$B$5,I:I)),G5710=1),MAX($H$3:OFFSET(H5710,-1,0))+1,0)</f>
        <v>0</v>
      </c>
      <c r="I5710" s="3" t="s">
        <v>461</v>
      </c>
      <c r="K5710" s="2">
        <f>IF(ISNUMBER(SEARCH(Лист2!$B$4,F:F)),1,0)</f>
        <v>0</v>
      </c>
      <c r="L5710" s="14">
        <f>IF(ISNUMBER(SEARCH(Лист2!$B$5,I:I)),1,0)+K5710</f>
        <v>0</v>
      </c>
      <c r="M5710" s="3">
        <f ca="1">IF(AND(N5710&lt;&gt;N5709,ISNUMBER(SEARCH(Лист2!$B$6,N:N)),L5710=2),MAX($M$3:OFFSET(M5710,-1,0))+1,0)</f>
        <v>0</v>
      </c>
      <c r="N5710" s="3" t="s">
        <v>3352</v>
      </c>
    </row>
    <row r="5711" spans="1:14" x14ac:dyDescent="0.25">
      <c r="A5711" s="1" t="s">
        <v>14270</v>
      </c>
      <c r="B5711" s="3" t="s">
        <v>9328</v>
      </c>
      <c r="C5711" s="2">
        <f ca="1">IF(ISNUMBER(SEARCH(Лист2!$B$4,D:D)),MAX($C$3:OFFSET(C5711,-1,0))+1,0)</f>
        <v>0</v>
      </c>
      <c r="E5711" s="9" t="str">
        <f t="shared" ca="1" si="101"/>
        <v/>
      </c>
      <c r="F5711" s="4" t="s">
        <v>21</v>
      </c>
      <c r="G5711" s="2">
        <f>IF(ISNUMBER(SEARCH(Лист2!$B$4,F:F)),1,0)</f>
        <v>0</v>
      </c>
      <c r="H5711" s="3">
        <f ca="1">IF(AND(I5711&lt;&gt;I5710,ISNUMBER(SEARCH(Лист2!$B$5,I:I)),G5711=1),MAX($H$3:OFFSET(H5711,-1,0))+1,0)</f>
        <v>0</v>
      </c>
      <c r="I5711" s="3" t="s">
        <v>461</v>
      </c>
      <c r="K5711" s="2">
        <f>IF(ISNUMBER(SEARCH(Лист2!$B$4,F:F)),1,0)</f>
        <v>0</v>
      </c>
      <c r="L5711" s="14">
        <f>IF(ISNUMBER(SEARCH(Лист2!$B$5,I:I)),1,0)+K5711</f>
        <v>0</v>
      </c>
      <c r="M5711" s="3">
        <f ca="1">IF(AND(N5711&lt;&gt;N5710,ISNUMBER(SEARCH(Лист2!$B$6,N:N)),L5711=2),MAX($M$3:OFFSET(M5711,-1,0))+1,0)</f>
        <v>0</v>
      </c>
      <c r="N5711" s="3" t="s">
        <v>602</v>
      </c>
    </row>
    <row r="5712" spans="1:14" x14ac:dyDescent="0.25">
      <c r="A5712" s="1" t="s">
        <v>14271</v>
      </c>
      <c r="B5712" s="3" t="s">
        <v>9329</v>
      </c>
      <c r="C5712" s="2">
        <f ca="1">IF(ISNUMBER(SEARCH(Лист2!$B$4,D:D)),MAX($C$3:OFFSET(C5712,-1,0))+1,0)</f>
        <v>0</v>
      </c>
      <c r="E5712" s="9" t="str">
        <f t="shared" ca="1" si="101"/>
        <v/>
      </c>
      <c r="F5712" s="4" t="s">
        <v>21</v>
      </c>
      <c r="G5712" s="2">
        <f>IF(ISNUMBER(SEARCH(Лист2!$B$4,F:F)),1,0)</f>
        <v>0</v>
      </c>
      <c r="H5712" s="3">
        <f ca="1">IF(AND(I5712&lt;&gt;I5711,ISNUMBER(SEARCH(Лист2!$B$5,I:I)),G5712=1),MAX($H$3:OFFSET(H5712,-1,0))+1,0)</f>
        <v>0</v>
      </c>
      <c r="I5712" s="3" t="s">
        <v>461</v>
      </c>
      <c r="K5712" s="2">
        <f>IF(ISNUMBER(SEARCH(Лист2!$B$4,F:F)),1,0)</f>
        <v>0</v>
      </c>
      <c r="L5712" s="14">
        <f>IF(ISNUMBER(SEARCH(Лист2!$B$5,I:I)),1,0)+K5712</f>
        <v>0</v>
      </c>
      <c r="M5712" s="3">
        <f ca="1">IF(AND(N5712&lt;&gt;N5711,ISNUMBER(SEARCH(Лист2!$B$6,N:N)),L5712=2),MAX($M$3:OFFSET(M5712,-1,0))+1,0)</f>
        <v>0</v>
      </c>
      <c r="N5712" s="3" t="s">
        <v>3353</v>
      </c>
    </row>
    <row r="5713" spans="1:14" x14ac:dyDescent="0.25">
      <c r="A5713" s="1" t="s">
        <v>14272</v>
      </c>
      <c r="B5713" s="3" t="s">
        <v>9330</v>
      </c>
      <c r="C5713" s="2">
        <f ca="1">IF(ISNUMBER(SEARCH(Лист2!$B$4,D:D)),MAX($C$3:OFFSET(C5713,-1,0))+1,0)</f>
        <v>0</v>
      </c>
      <c r="E5713" s="9" t="str">
        <f t="shared" ca="1" si="101"/>
        <v/>
      </c>
      <c r="F5713" s="4" t="s">
        <v>21</v>
      </c>
      <c r="G5713" s="2">
        <f>IF(ISNUMBER(SEARCH(Лист2!$B$4,F:F)),1,0)</f>
        <v>0</v>
      </c>
      <c r="H5713" s="3">
        <f ca="1">IF(AND(I5713&lt;&gt;I5712,ISNUMBER(SEARCH(Лист2!$B$5,I:I)),G5713=1),MAX($H$3:OFFSET(H5713,-1,0))+1,0)</f>
        <v>0</v>
      </c>
      <c r="I5713" s="3" t="s">
        <v>462</v>
      </c>
      <c r="K5713" s="2">
        <f>IF(ISNUMBER(SEARCH(Лист2!$B$4,F:F)),1,0)</f>
        <v>0</v>
      </c>
      <c r="L5713" s="14">
        <f>IF(ISNUMBER(SEARCH(Лист2!$B$5,I:I)),1,0)+K5713</f>
        <v>0</v>
      </c>
      <c r="M5713" s="3">
        <f ca="1">IF(AND(N5713&lt;&gt;N5712,ISNUMBER(SEARCH(Лист2!$B$6,N:N)),L5713=2),MAX($M$3:OFFSET(M5713,-1,0))+1,0)</f>
        <v>0</v>
      </c>
      <c r="N5713" s="3" t="s">
        <v>3354</v>
      </c>
    </row>
    <row r="5714" spans="1:14" x14ac:dyDescent="0.25">
      <c r="A5714" s="1" t="s">
        <v>14273</v>
      </c>
      <c r="B5714" s="3" t="s">
        <v>9331</v>
      </c>
      <c r="C5714" s="2">
        <f ca="1">IF(ISNUMBER(SEARCH(Лист2!$B$4,D:D)),MAX($C$3:OFFSET(C5714,-1,0))+1,0)</f>
        <v>0</v>
      </c>
      <c r="E5714" s="9" t="str">
        <f t="shared" ca="1" si="101"/>
        <v/>
      </c>
      <c r="F5714" s="4" t="s">
        <v>21</v>
      </c>
      <c r="G5714" s="2">
        <f>IF(ISNUMBER(SEARCH(Лист2!$B$4,F:F)),1,0)</f>
        <v>0</v>
      </c>
      <c r="H5714" s="3">
        <f ca="1">IF(AND(I5714&lt;&gt;I5713,ISNUMBER(SEARCH(Лист2!$B$5,I:I)),G5714=1),MAX($H$3:OFFSET(H5714,-1,0))+1,0)</f>
        <v>0</v>
      </c>
      <c r="I5714" s="3" t="s">
        <v>462</v>
      </c>
      <c r="K5714" s="2">
        <f>IF(ISNUMBER(SEARCH(Лист2!$B$4,F:F)),1,0)</f>
        <v>0</v>
      </c>
      <c r="L5714" s="14">
        <f>IF(ISNUMBER(SEARCH(Лист2!$B$5,I:I)),1,0)+K5714</f>
        <v>0</v>
      </c>
      <c r="M5714" s="3">
        <f ca="1">IF(AND(N5714&lt;&gt;N5713,ISNUMBER(SEARCH(Лист2!$B$6,N:N)),L5714=2),MAX($M$3:OFFSET(M5714,-1,0))+1,0)</f>
        <v>0</v>
      </c>
      <c r="N5714" s="3" t="s">
        <v>3355</v>
      </c>
    </row>
    <row r="5715" spans="1:14" x14ac:dyDescent="0.25">
      <c r="A5715" s="1" t="s">
        <v>14273</v>
      </c>
      <c r="B5715" s="3" t="s">
        <v>9332</v>
      </c>
      <c r="C5715" s="2">
        <f ca="1">IF(ISNUMBER(SEARCH(Лист2!$B$4,D:D)),MAX($C$3:OFFSET(C5715,-1,0))+1,0)</f>
        <v>0</v>
      </c>
      <c r="E5715" s="9" t="str">
        <f t="shared" ca="1" si="101"/>
        <v/>
      </c>
      <c r="F5715" s="4" t="s">
        <v>21</v>
      </c>
      <c r="G5715" s="2">
        <f>IF(ISNUMBER(SEARCH(Лист2!$B$4,F:F)),1,0)</f>
        <v>0</v>
      </c>
      <c r="H5715" s="3">
        <f ca="1">IF(AND(I5715&lt;&gt;I5714,ISNUMBER(SEARCH(Лист2!$B$5,I:I)),G5715=1),MAX($H$3:OFFSET(H5715,-1,0))+1,0)</f>
        <v>0</v>
      </c>
      <c r="I5715" s="3" t="s">
        <v>462</v>
      </c>
      <c r="K5715" s="2">
        <f>IF(ISNUMBER(SEARCH(Лист2!$B$4,F:F)),1,0)</f>
        <v>0</v>
      </c>
      <c r="L5715" s="14">
        <f>IF(ISNUMBER(SEARCH(Лист2!$B$5,I:I)),1,0)+K5715</f>
        <v>0</v>
      </c>
      <c r="M5715" s="3">
        <f ca="1">IF(AND(N5715&lt;&gt;N5714,ISNUMBER(SEARCH(Лист2!$B$6,N:N)),L5715=2),MAX($M$3:OFFSET(M5715,-1,0))+1,0)</f>
        <v>0</v>
      </c>
      <c r="N5715" s="3" t="s">
        <v>3355</v>
      </c>
    </row>
    <row r="5716" spans="1:14" x14ac:dyDescent="0.25">
      <c r="A5716" s="1" t="s">
        <v>14273</v>
      </c>
      <c r="B5716" s="3" t="s">
        <v>9333</v>
      </c>
      <c r="C5716" s="2">
        <f ca="1">IF(ISNUMBER(SEARCH(Лист2!$B$4,D:D)),MAX($C$3:OFFSET(C5716,-1,0))+1,0)</f>
        <v>0</v>
      </c>
      <c r="E5716" s="9" t="str">
        <f t="shared" ca="1" si="101"/>
        <v/>
      </c>
      <c r="F5716" s="4" t="s">
        <v>21</v>
      </c>
      <c r="G5716" s="2">
        <f>IF(ISNUMBER(SEARCH(Лист2!$B$4,F:F)),1,0)</f>
        <v>0</v>
      </c>
      <c r="H5716" s="3">
        <f ca="1">IF(AND(I5716&lt;&gt;I5715,ISNUMBER(SEARCH(Лист2!$B$5,I:I)),G5716=1),MAX($H$3:OFFSET(H5716,-1,0))+1,0)</f>
        <v>0</v>
      </c>
      <c r="I5716" s="3" t="s">
        <v>462</v>
      </c>
      <c r="K5716" s="2">
        <f>IF(ISNUMBER(SEARCH(Лист2!$B$4,F:F)),1,0)</f>
        <v>0</v>
      </c>
      <c r="L5716" s="14">
        <f>IF(ISNUMBER(SEARCH(Лист2!$B$5,I:I)),1,0)+K5716</f>
        <v>0</v>
      </c>
      <c r="M5716" s="3">
        <f ca="1">IF(AND(N5716&lt;&gt;N5715,ISNUMBER(SEARCH(Лист2!$B$6,N:N)),L5716=2),MAX($M$3:OFFSET(M5716,-1,0))+1,0)</f>
        <v>0</v>
      </c>
      <c r="N5716" s="3" t="s">
        <v>3355</v>
      </c>
    </row>
    <row r="5717" spans="1:14" x14ac:dyDescent="0.25">
      <c r="A5717" s="1" t="s">
        <v>14274</v>
      </c>
      <c r="B5717" s="3" t="s">
        <v>9334</v>
      </c>
      <c r="C5717" s="2">
        <f ca="1">IF(ISNUMBER(SEARCH(Лист2!$B$4,D:D)),MAX($C$3:OFFSET(C5717,-1,0))+1,0)</f>
        <v>0</v>
      </c>
      <c r="E5717" s="9" t="str">
        <f t="shared" ca="1" si="101"/>
        <v/>
      </c>
      <c r="F5717" s="4" t="s">
        <v>21</v>
      </c>
      <c r="G5717" s="2">
        <f>IF(ISNUMBER(SEARCH(Лист2!$B$4,F:F)),1,0)</f>
        <v>0</v>
      </c>
      <c r="H5717" s="3">
        <f ca="1">IF(AND(I5717&lt;&gt;I5716,ISNUMBER(SEARCH(Лист2!$B$5,I:I)),G5717=1),MAX($H$3:OFFSET(H5717,-1,0))+1,0)</f>
        <v>0</v>
      </c>
      <c r="I5717" s="3" t="s">
        <v>462</v>
      </c>
      <c r="K5717" s="2">
        <f>IF(ISNUMBER(SEARCH(Лист2!$B$4,F:F)),1,0)</f>
        <v>0</v>
      </c>
      <c r="L5717" s="14">
        <f>IF(ISNUMBER(SEARCH(Лист2!$B$5,I:I)),1,0)+K5717</f>
        <v>0</v>
      </c>
      <c r="M5717" s="3">
        <f ca="1">IF(AND(N5717&lt;&gt;N5716,ISNUMBER(SEARCH(Лист2!$B$6,N:N)),L5717=2),MAX($M$3:OFFSET(M5717,-1,0))+1,0)</f>
        <v>0</v>
      </c>
      <c r="N5717" s="3" t="s">
        <v>3356</v>
      </c>
    </row>
    <row r="5718" spans="1:14" x14ac:dyDescent="0.25">
      <c r="A5718" s="1" t="s">
        <v>14274</v>
      </c>
      <c r="B5718" s="3" t="s">
        <v>9335</v>
      </c>
      <c r="C5718" s="2">
        <f ca="1">IF(ISNUMBER(SEARCH(Лист2!$B$4,D:D)),MAX($C$3:OFFSET(C5718,-1,0))+1,0)</f>
        <v>0</v>
      </c>
      <c r="E5718" s="9" t="str">
        <f t="shared" ca="1" si="101"/>
        <v/>
      </c>
      <c r="F5718" s="4" t="s">
        <v>21</v>
      </c>
      <c r="G5718" s="2">
        <f>IF(ISNUMBER(SEARCH(Лист2!$B$4,F:F)),1,0)</f>
        <v>0</v>
      </c>
      <c r="H5718" s="3">
        <f ca="1">IF(AND(I5718&lt;&gt;I5717,ISNUMBER(SEARCH(Лист2!$B$5,I:I)),G5718=1),MAX($H$3:OFFSET(H5718,-1,0))+1,0)</f>
        <v>0</v>
      </c>
      <c r="I5718" s="3" t="s">
        <v>462</v>
      </c>
      <c r="K5718" s="2">
        <f>IF(ISNUMBER(SEARCH(Лист2!$B$4,F:F)),1,0)</f>
        <v>0</v>
      </c>
      <c r="L5718" s="14">
        <f>IF(ISNUMBER(SEARCH(Лист2!$B$5,I:I)),1,0)+K5718</f>
        <v>0</v>
      </c>
      <c r="M5718" s="3">
        <f ca="1">IF(AND(N5718&lt;&gt;N5717,ISNUMBER(SEARCH(Лист2!$B$6,N:N)),L5718=2),MAX($M$3:OFFSET(M5718,-1,0))+1,0)</f>
        <v>0</v>
      </c>
      <c r="N5718" s="3" t="s">
        <v>3356</v>
      </c>
    </row>
    <row r="5719" spans="1:14" x14ac:dyDescent="0.25">
      <c r="A5719" s="1" t="s">
        <v>14274</v>
      </c>
      <c r="B5719" s="3" t="s">
        <v>9336</v>
      </c>
      <c r="C5719" s="2">
        <f ca="1">IF(ISNUMBER(SEARCH(Лист2!$B$4,D:D)),MAX($C$3:OFFSET(C5719,-1,0))+1,0)</f>
        <v>0</v>
      </c>
      <c r="E5719" s="9" t="str">
        <f t="shared" ca="1" si="101"/>
        <v/>
      </c>
      <c r="F5719" s="4" t="s">
        <v>21</v>
      </c>
      <c r="G5719" s="2">
        <f>IF(ISNUMBER(SEARCH(Лист2!$B$4,F:F)),1,0)</f>
        <v>0</v>
      </c>
      <c r="H5719" s="3">
        <f ca="1">IF(AND(I5719&lt;&gt;I5718,ISNUMBER(SEARCH(Лист2!$B$5,I:I)),G5719=1),MAX($H$3:OFFSET(H5719,-1,0))+1,0)</f>
        <v>0</v>
      </c>
      <c r="I5719" s="3" t="s">
        <v>462</v>
      </c>
      <c r="K5719" s="2">
        <f>IF(ISNUMBER(SEARCH(Лист2!$B$4,F:F)),1,0)</f>
        <v>0</v>
      </c>
      <c r="L5719" s="14">
        <f>IF(ISNUMBER(SEARCH(Лист2!$B$5,I:I)),1,0)+K5719</f>
        <v>0</v>
      </c>
      <c r="M5719" s="3">
        <f ca="1">IF(AND(N5719&lt;&gt;N5718,ISNUMBER(SEARCH(Лист2!$B$6,N:N)),L5719=2),MAX($M$3:OFFSET(M5719,-1,0))+1,0)</f>
        <v>0</v>
      </c>
      <c r="N5719" s="3" t="s">
        <v>3356</v>
      </c>
    </row>
    <row r="5720" spans="1:14" x14ac:dyDescent="0.25">
      <c r="A5720" s="1" t="s">
        <v>14275</v>
      </c>
      <c r="B5720" s="3" t="s">
        <v>9337</v>
      </c>
      <c r="C5720" s="2">
        <f ca="1">IF(ISNUMBER(SEARCH(Лист2!$B$4,D:D)),MAX($C$3:OFFSET(C5720,-1,0))+1,0)</f>
        <v>0</v>
      </c>
      <c r="E5720" s="9" t="str">
        <f t="shared" ca="1" si="101"/>
        <v/>
      </c>
      <c r="F5720" s="4" t="s">
        <v>21</v>
      </c>
      <c r="G5720" s="2">
        <f>IF(ISNUMBER(SEARCH(Лист2!$B$4,F:F)),1,0)</f>
        <v>0</v>
      </c>
      <c r="H5720" s="3">
        <f ca="1">IF(AND(I5720&lt;&gt;I5719,ISNUMBER(SEARCH(Лист2!$B$5,I:I)),G5720=1),MAX($H$3:OFFSET(H5720,-1,0))+1,0)</f>
        <v>0</v>
      </c>
      <c r="I5720" s="3" t="s">
        <v>462</v>
      </c>
      <c r="K5720" s="2">
        <f>IF(ISNUMBER(SEARCH(Лист2!$B$4,F:F)),1,0)</f>
        <v>0</v>
      </c>
      <c r="L5720" s="14">
        <f>IF(ISNUMBER(SEARCH(Лист2!$B$5,I:I)),1,0)+K5720</f>
        <v>0</v>
      </c>
      <c r="M5720" s="3">
        <f ca="1">IF(AND(N5720&lt;&gt;N5719,ISNUMBER(SEARCH(Лист2!$B$6,N:N)),L5720=2),MAX($M$3:OFFSET(M5720,-1,0))+1,0)</f>
        <v>0</v>
      </c>
      <c r="N5720" s="3" t="s">
        <v>3357</v>
      </c>
    </row>
    <row r="5721" spans="1:14" x14ac:dyDescent="0.25">
      <c r="A5721" s="1" t="s">
        <v>14275</v>
      </c>
      <c r="B5721" s="3" t="s">
        <v>9338</v>
      </c>
      <c r="C5721" s="2">
        <f ca="1">IF(ISNUMBER(SEARCH(Лист2!$B$4,D:D)),MAX($C$3:OFFSET(C5721,-1,0))+1,0)</f>
        <v>0</v>
      </c>
      <c r="E5721" s="9" t="str">
        <f t="shared" ca="1" si="101"/>
        <v/>
      </c>
      <c r="F5721" s="4" t="s">
        <v>21</v>
      </c>
      <c r="G5721" s="2">
        <f>IF(ISNUMBER(SEARCH(Лист2!$B$4,F:F)),1,0)</f>
        <v>0</v>
      </c>
      <c r="H5721" s="3">
        <f ca="1">IF(AND(I5721&lt;&gt;I5720,ISNUMBER(SEARCH(Лист2!$B$5,I:I)),G5721=1),MAX($H$3:OFFSET(H5721,-1,0))+1,0)</f>
        <v>0</v>
      </c>
      <c r="I5721" s="3" t="s">
        <v>462</v>
      </c>
      <c r="K5721" s="2">
        <f>IF(ISNUMBER(SEARCH(Лист2!$B$4,F:F)),1,0)</f>
        <v>0</v>
      </c>
      <c r="L5721" s="14">
        <f>IF(ISNUMBER(SEARCH(Лист2!$B$5,I:I)),1,0)+K5721</f>
        <v>0</v>
      </c>
      <c r="M5721" s="3">
        <f ca="1">IF(AND(N5721&lt;&gt;N5720,ISNUMBER(SEARCH(Лист2!$B$6,N:N)),L5721=2),MAX($M$3:OFFSET(M5721,-1,0))+1,0)</f>
        <v>0</v>
      </c>
      <c r="N5721" s="3" t="s">
        <v>3357</v>
      </c>
    </row>
    <row r="5722" spans="1:14" x14ac:dyDescent="0.25">
      <c r="A5722" s="1" t="s">
        <v>14275</v>
      </c>
      <c r="B5722" s="3" t="s">
        <v>9339</v>
      </c>
      <c r="C5722" s="2">
        <f ca="1">IF(ISNUMBER(SEARCH(Лист2!$B$4,D:D)),MAX($C$3:OFFSET(C5722,-1,0))+1,0)</f>
        <v>0</v>
      </c>
      <c r="E5722" s="9" t="str">
        <f t="shared" ca="1" si="101"/>
        <v/>
      </c>
      <c r="F5722" s="4" t="s">
        <v>21</v>
      </c>
      <c r="G5722" s="2">
        <f>IF(ISNUMBER(SEARCH(Лист2!$B$4,F:F)),1,0)</f>
        <v>0</v>
      </c>
      <c r="H5722" s="3">
        <f ca="1">IF(AND(I5722&lt;&gt;I5721,ISNUMBER(SEARCH(Лист2!$B$5,I:I)),G5722=1),MAX($H$3:OFFSET(H5722,-1,0))+1,0)</f>
        <v>0</v>
      </c>
      <c r="I5722" s="3" t="s">
        <v>462</v>
      </c>
      <c r="K5722" s="2">
        <f>IF(ISNUMBER(SEARCH(Лист2!$B$4,F:F)),1,0)</f>
        <v>0</v>
      </c>
      <c r="L5722" s="14">
        <f>IF(ISNUMBER(SEARCH(Лист2!$B$5,I:I)),1,0)+K5722</f>
        <v>0</v>
      </c>
      <c r="M5722" s="3">
        <f ca="1">IF(AND(N5722&lt;&gt;N5721,ISNUMBER(SEARCH(Лист2!$B$6,N:N)),L5722=2),MAX($M$3:OFFSET(M5722,-1,0))+1,0)</f>
        <v>0</v>
      </c>
      <c r="N5722" s="3" t="s">
        <v>3357</v>
      </c>
    </row>
    <row r="5723" spans="1:14" x14ac:dyDescent="0.25">
      <c r="A5723" s="1" t="s">
        <v>14276</v>
      </c>
      <c r="B5723" s="3" t="s">
        <v>9340</v>
      </c>
      <c r="C5723" s="2">
        <f ca="1">IF(ISNUMBER(SEARCH(Лист2!$B$4,D:D)),MAX($C$3:OFFSET(C5723,-1,0))+1,0)</f>
        <v>0</v>
      </c>
      <c r="E5723" s="9" t="str">
        <f t="shared" ca="1" si="101"/>
        <v/>
      </c>
      <c r="F5723" s="4" t="s">
        <v>21</v>
      </c>
      <c r="G5723" s="2">
        <f>IF(ISNUMBER(SEARCH(Лист2!$B$4,F:F)),1,0)</f>
        <v>0</v>
      </c>
      <c r="H5723" s="3">
        <f ca="1">IF(AND(I5723&lt;&gt;I5722,ISNUMBER(SEARCH(Лист2!$B$5,I:I)),G5723=1),MAX($H$3:OFFSET(H5723,-1,0))+1,0)</f>
        <v>0</v>
      </c>
      <c r="I5723" s="3" t="s">
        <v>462</v>
      </c>
      <c r="K5723" s="2">
        <f>IF(ISNUMBER(SEARCH(Лист2!$B$4,F:F)),1,0)</f>
        <v>0</v>
      </c>
      <c r="L5723" s="14">
        <f>IF(ISNUMBER(SEARCH(Лист2!$B$5,I:I)),1,0)+K5723</f>
        <v>0</v>
      </c>
      <c r="M5723" s="3">
        <f ca="1">IF(AND(N5723&lt;&gt;N5722,ISNUMBER(SEARCH(Лист2!$B$6,N:N)),L5723=2),MAX($M$3:OFFSET(M5723,-1,0))+1,0)</f>
        <v>0</v>
      </c>
      <c r="N5723" s="3" t="s">
        <v>602</v>
      </c>
    </row>
    <row r="5724" spans="1:14" x14ac:dyDescent="0.25">
      <c r="A5724" s="1" t="s">
        <v>14277</v>
      </c>
      <c r="B5724" s="3" t="s">
        <v>9341</v>
      </c>
      <c r="C5724" s="2">
        <f ca="1">IF(ISNUMBER(SEARCH(Лист2!$B$4,D:D)),MAX($C$3:OFFSET(C5724,-1,0))+1,0)</f>
        <v>0</v>
      </c>
      <c r="E5724" s="9" t="str">
        <f t="shared" ca="1" si="101"/>
        <v/>
      </c>
      <c r="F5724" s="4" t="s">
        <v>21</v>
      </c>
      <c r="G5724" s="2">
        <f>IF(ISNUMBER(SEARCH(Лист2!$B$4,F:F)),1,0)</f>
        <v>0</v>
      </c>
      <c r="H5724" s="3">
        <f ca="1">IF(AND(I5724&lt;&gt;I5723,ISNUMBER(SEARCH(Лист2!$B$5,I:I)),G5724=1),MAX($H$3:OFFSET(H5724,-1,0))+1,0)</f>
        <v>0</v>
      </c>
      <c r="I5724" s="3" t="s">
        <v>462</v>
      </c>
      <c r="K5724" s="2">
        <f>IF(ISNUMBER(SEARCH(Лист2!$B$4,F:F)),1,0)</f>
        <v>0</v>
      </c>
      <c r="L5724" s="14">
        <f>IF(ISNUMBER(SEARCH(Лист2!$B$5,I:I)),1,0)+K5724</f>
        <v>0</v>
      </c>
      <c r="M5724" s="3">
        <f ca="1">IF(AND(N5724&lt;&gt;N5723,ISNUMBER(SEARCH(Лист2!$B$6,N:N)),L5724=2),MAX($M$3:OFFSET(M5724,-1,0))+1,0)</f>
        <v>0</v>
      </c>
      <c r="N5724" s="3" t="s">
        <v>3358</v>
      </c>
    </row>
    <row r="5725" spans="1:14" x14ac:dyDescent="0.25">
      <c r="A5725" s="1" t="s">
        <v>14278</v>
      </c>
      <c r="B5725" s="3" t="s">
        <v>9342</v>
      </c>
      <c r="C5725" s="2">
        <f ca="1">IF(ISNUMBER(SEARCH(Лист2!$B$4,D:D)),MAX($C$3:OFFSET(C5725,-1,0))+1,0)</f>
        <v>0</v>
      </c>
      <c r="E5725" s="9" t="str">
        <f t="shared" ca="1" si="101"/>
        <v/>
      </c>
      <c r="F5725" s="4" t="s">
        <v>21</v>
      </c>
      <c r="G5725" s="2">
        <f>IF(ISNUMBER(SEARCH(Лист2!$B$4,F:F)),1,0)</f>
        <v>0</v>
      </c>
      <c r="H5725" s="3">
        <f ca="1">IF(AND(I5725&lt;&gt;I5724,ISNUMBER(SEARCH(Лист2!$B$5,I:I)),G5725=1),MAX($H$3:OFFSET(H5725,-1,0))+1,0)</f>
        <v>0</v>
      </c>
      <c r="I5725" s="3" t="s">
        <v>462</v>
      </c>
      <c r="K5725" s="2">
        <f>IF(ISNUMBER(SEARCH(Лист2!$B$4,F:F)),1,0)</f>
        <v>0</v>
      </c>
      <c r="L5725" s="14">
        <f>IF(ISNUMBER(SEARCH(Лист2!$B$5,I:I)),1,0)+K5725</f>
        <v>0</v>
      </c>
      <c r="M5725" s="3">
        <f ca="1">IF(AND(N5725&lt;&gt;N5724,ISNUMBER(SEARCH(Лист2!$B$6,N:N)),L5725=2),MAX($M$3:OFFSET(M5725,-1,0))+1,0)</f>
        <v>0</v>
      </c>
      <c r="N5725" s="3" t="s">
        <v>3359</v>
      </c>
    </row>
    <row r="5726" spans="1:14" x14ac:dyDescent="0.25">
      <c r="A5726" s="1" t="s">
        <v>14279</v>
      </c>
      <c r="B5726" s="3" t="s">
        <v>9343</v>
      </c>
      <c r="C5726" s="2">
        <f ca="1">IF(ISNUMBER(SEARCH(Лист2!$B$4,D:D)),MAX($C$3:OFFSET(C5726,-1,0))+1,0)</f>
        <v>0</v>
      </c>
      <c r="E5726" s="9" t="str">
        <f t="shared" ca="1" si="101"/>
        <v/>
      </c>
      <c r="F5726" s="4" t="s">
        <v>21</v>
      </c>
      <c r="G5726" s="2">
        <f>IF(ISNUMBER(SEARCH(Лист2!$B$4,F:F)),1,0)</f>
        <v>0</v>
      </c>
      <c r="H5726" s="3">
        <f ca="1">IF(AND(I5726&lt;&gt;I5725,ISNUMBER(SEARCH(Лист2!$B$5,I:I)),G5726=1),MAX($H$3:OFFSET(H5726,-1,0))+1,0)</f>
        <v>0</v>
      </c>
      <c r="I5726" s="3" t="s">
        <v>463</v>
      </c>
      <c r="K5726" s="2">
        <f>IF(ISNUMBER(SEARCH(Лист2!$B$4,F:F)),1,0)</f>
        <v>0</v>
      </c>
      <c r="L5726" s="14">
        <f>IF(ISNUMBER(SEARCH(Лист2!$B$5,I:I)),1,0)+K5726</f>
        <v>0</v>
      </c>
      <c r="M5726" s="3">
        <f ca="1">IF(AND(N5726&lt;&gt;N5725,ISNUMBER(SEARCH(Лист2!$B$6,N:N)),L5726=2),MAX($M$3:OFFSET(M5726,-1,0))+1,0)</f>
        <v>0</v>
      </c>
      <c r="N5726" s="3" t="s">
        <v>677</v>
      </c>
    </row>
    <row r="5727" spans="1:14" x14ac:dyDescent="0.25">
      <c r="A5727" s="1" t="s">
        <v>14280</v>
      </c>
      <c r="B5727" s="3" t="s">
        <v>9344</v>
      </c>
      <c r="C5727" s="2">
        <f ca="1">IF(ISNUMBER(SEARCH(Лист2!$B$4,D:D)),MAX($C$3:OFFSET(C5727,-1,0))+1,0)</f>
        <v>0</v>
      </c>
      <c r="E5727" s="9" t="str">
        <f t="shared" ca="1" si="101"/>
        <v/>
      </c>
      <c r="F5727" s="4" t="s">
        <v>21</v>
      </c>
      <c r="G5727" s="2">
        <f>IF(ISNUMBER(SEARCH(Лист2!$B$4,F:F)),1,0)</f>
        <v>0</v>
      </c>
      <c r="H5727" s="3">
        <f ca="1">IF(AND(I5727&lt;&gt;I5726,ISNUMBER(SEARCH(Лист2!$B$5,I:I)),G5727=1),MAX($H$3:OFFSET(H5727,-1,0))+1,0)</f>
        <v>0</v>
      </c>
      <c r="I5727" s="3" t="s">
        <v>464</v>
      </c>
      <c r="K5727" s="2">
        <f>IF(ISNUMBER(SEARCH(Лист2!$B$4,F:F)),1,0)</f>
        <v>0</v>
      </c>
      <c r="L5727" s="14">
        <f>IF(ISNUMBER(SEARCH(Лист2!$B$5,I:I)),1,0)+K5727</f>
        <v>0</v>
      </c>
      <c r="M5727" s="3">
        <f ca="1">IF(AND(N5727&lt;&gt;N5726,ISNUMBER(SEARCH(Лист2!$B$6,N:N)),L5727=2),MAX($M$3:OFFSET(M5727,-1,0))+1,0)</f>
        <v>0</v>
      </c>
      <c r="N5727" s="3" t="s">
        <v>3360</v>
      </c>
    </row>
    <row r="5728" spans="1:14" x14ac:dyDescent="0.25">
      <c r="A5728" s="1" t="s">
        <v>14281</v>
      </c>
      <c r="B5728" s="3" t="s">
        <v>9345</v>
      </c>
      <c r="C5728" s="2">
        <f ca="1">IF(ISNUMBER(SEARCH(Лист2!$B$4,D:D)),MAX($C$3:OFFSET(C5728,-1,0))+1,0)</f>
        <v>0</v>
      </c>
      <c r="E5728" s="9" t="str">
        <f t="shared" ca="1" si="101"/>
        <v/>
      </c>
      <c r="F5728" s="4" t="s">
        <v>21</v>
      </c>
      <c r="G5728" s="2">
        <f>IF(ISNUMBER(SEARCH(Лист2!$B$4,F:F)),1,0)</f>
        <v>0</v>
      </c>
      <c r="H5728" s="3">
        <f ca="1">IF(AND(I5728&lt;&gt;I5727,ISNUMBER(SEARCH(Лист2!$B$5,I:I)),G5728=1),MAX($H$3:OFFSET(H5728,-1,0))+1,0)</f>
        <v>0</v>
      </c>
      <c r="I5728" s="3" t="s">
        <v>464</v>
      </c>
      <c r="K5728" s="2">
        <f>IF(ISNUMBER(SEARCH(Лист2!$B$4,F:F)),1,0)</f>
        <v>0</v>
      </c>
      <c r="L5728" s="14">
        <f>IF(ISNUMBER(SEARCH(Лист2!$B$5,I:I)),1,0)+K5728</f>
        <v>0</v>
      </c>
      <c r="M5728" s="3">
        <f ca="1">IF(AND(N5728&lt;&gt;N5727,ISNUMBER(SEARCH(Лист2!$B$6,N:N)),L5728=2),MAX($M$3:OFFSET(M5728,-1,0))+1,0)</f>
        <v>0</v>
      </c>
      <c r="N5728" s="3" t="s">
        <v>3361</v>
      </c>
    </row>
    <row r="5729" spans="1:14" x14ac:dyDescent="0.25">
      <c r="A5729" s="1" t="s">
        <v>14281</v>
      </c>
      <c r="B5729" s="3" t="s">
        <v>9346</v>
      </c>
      <c r="C5729" s="2">
        <f ca="1">IF(ISNUMBER(SEARCH(Лист2!$B$4,D:D)),MAX($C$3:OFFSET(C5729,-1,0))+1,0)</f>
        <v>0</v>
      </c>
      <c r="E5729" s="9" t="str">
        <f t="shared" ca="1" si="101"/>
        <v/>
      </c>
      <c r="F5729" s="4" t="s">
        <v>21</v>
      </c>
      <c r="G5729" s="2">
        <f>IF(ISNUMBER(SEARCH(Лист2!$B$4,F:F)),1,0)</f>
        <v>0</v>
      </c>
      <c r="H5729" s="3">
        <f ca="1">IF(AND(I5729&lt;&gt;I5728,ISNUMBER(SEARCH(Лист2!$B$5,I:I)),G5729=1),MAX($H$3:OFFSET(H5729,-1,0))+1,0)</f>
        <v>0</v>
      </c>
      <c r="I5729" s="3" t="s">
        <v>464</v>
      </c>
      <c r="K5729" s="2">
        <f>IF(ISNUMBER(SEARCH(Лист2!$B$4,F:F)),1,0)</f>
        <v>0</v>
      </c>
      <c r="L5729" s="14">
        <f>IF(ISNUMBER(SEARCH(Лист2!$B$5,I:I)),1,0)+K5729</f>
        <v>0</v>
      </c>
      <c r="M5729" s="3">
        <f ca="1">IF(AND(N5729&lt;&gt;N5728,ISNUMBER(SEARCH(Лист2!$B$6,N:N)),L5729=2),MAX($M$3:OFFSET(M5729,-1,0))+1,0)</f>
        <v>0</v>
      </c>
      <c r="N5729" s="3" t="s">
        <v>3361</v>
      </c>
    </row>
    <row r="5730" spans="1:14" x14ac:dyDescent="0.25">
      <c r="A5730" s="1" t="s">
        <v>14281</v>
      </c>
      <c r="B5730" s="3" t="s">
        <v>9347</v>
      </c>
      <c r="C5730" s="2">
        <f ca="1">IF(ISNUMBER(SEARCH(Лист2!$B$4,D:D)),MAX($C$3:OFFSET(C5730,-1,0))+1,0)</f>
        <v>0</v>
      </c>
      <c r="E5730" s="9" t="str">
        <f t="shared" ca="1" si="101"/>
        <v/>
      </c>
      <c r="F5730" s="4" t="s">
        <v>21</v>
      </c>
      <c r="G5730" s="2">
        <f>IF(ISNUMBER(SEARCH(Лист2!$B$4,F:F)),1,0)</f>
        <v>0</v>
      </c>
      <c r="H5730" s="3">
        <f ca="1">IF(AND(I5730&lt;&gt;I5729,ISNUMBER(SEARCH(Лист2!$B$5,I:I)),G5730=1),MAX($H$3:OFFSET(H5730,-1,0))+1,0)</f>
        <v>0</v>
      </c>
      <c r="I5730" s="3" t="s">
        <v>464</v>
      </c>
      <c r="K5730" s="2">
        <f>IF(ISNUMBER(SEARCH(Лист2!$B$4,F:F)),1,0)</f>
        <v>0</v>
      </c>
      <c r="L5730" s="14">
        <f>IF(ISNUMBER(SEARCH(Лист2!$B$5,I:I)),1,0)+K5730</f>
        <v>0</v>
      </c>
      <c r="M5730" s="3">
        <f ca="1">IF(AND(N5730&lt;&gt;N5729,ISNUMBER(SEARCH(Лист2!$B$6,N:N)),L5730=2),MAX($M$3:OFFSET(M5730,-1,0))+1,0)</f>
        <v>0</v>
      </c>
      <c r="N5730" s="3" t="s">
        <v>3361</v>
      </c>
    </row>
    <row r="5731" spans="1:14" x14ac:dyDescent="0.25">
      <c r="A5731" s="1" t="s">
        <v>14282</v>
      </c>
      <c r="B5731" s="3" t="s">
        <v>9348</v>
      </c>
      <c r="C5731" s="2">
        <f ca="1">IF(ISNUMBER(SEARCH(Лист2!$B$4,D:D)),MAX($C$3:OFFSET(C5731,-1,0))+1,0)</f>
        <v>0</v>
      </c>
      <c r="E5731" s="9" t="str">
        <f t="shared" ca="1" si="101"/>
        <v/>
      </c>
      <c r="F5731" s="4" t="s">
        <v>21</v>
      </c>
      <c r="G5731" s="2">
        <f>IF(ISNUMBER(SEARCH(Лист2!$B$4,F:F)),1,0)</f>
        <v>0</v>
      </c>
      <c r="H5731" s="3">
        <f ca="1">IF(AND(I5731&lt;&gt;I5730,ISNUMBER(SEARCH(Лист2!$B$5,I:I)),G5731=1),MAX($H$3:OFFSET(H5731,-1,0))+1,0)</f>
        <v>0</v>
      </c>
      <c r="I5731" s="3" t="s">
        <v>464</v>
      </c>
      <c r="K5731" s="2">
        <f>IF(ISNUMBER(SEARCH(Лист2!$B$4,F:F)),1,0)</f>
        <v>0</v>
      </c>
      <c r="L5731" s="14">
        <f>IF(ISNUMBER(SEARCH(Лист2!$B$5,I:I)),1,0)+K5731</f>
        <v>0</v>
      </c>
      <c r="M5731" s="3">
        <f ca="1">IF(AND(N5731&lt;&gt;N5730,ISNUMBER(SEARCH(Лист2!$B$6,N:N)),L5731=2),MAX($M$3:OFFSET(M5731,-1,0))+1,0)</f>
        <v>0</v>
      </c>
      <c r="N5731" s="3" t="s">
        <v>2610</v>
      </c>
    </row>
    <row r="5732" spans="1:14" x14ac:dyDescent="0.25">
      <c r="A5732" s="1" t="s">
        <v>14282</v>
      </c>
      <c r="B5732" s="3" t="s">
        <v>9349</v>
      </c>
      <c r="C5732" s="2">
        <f ca="1">IF(ISNUMBER(SEARCH(Лист2!$B$4,D:D)),MAX($C$3:OFFSET(C5732,-1,0))+1,0)</f>
        <v>0</v>
      </c>
      <c r="E5732" s="9" t="str">
        <f t="shared" ca="1" si="101"/>
        <v/>
      </c>
      <c r="F5732" s="4" t="s">
        <v>21</v>
      </c>
      <c r="G5732" s="2">
        <f>IF(ISNUMBER(SEARCH(Лист2!$B$4,F:F)),1,0)</f>
        <v>0</v>
      </c>
      <c r="H5732" s="3">
        <f ca="1">IF(AND(I5732&lt;&gt;I5731,ISNUMBER(SEARCH(Лист2!$B$5,I:I)),G5732=1),MAX($H$3:OFFSET(H5732,-1,0))+1,0)</f>
        <v>0</v>
      </c>
      <c r="I5732" s="3" t="s">
        <v>464</v>
      </c>
      <c r="K5732" s="2">
        <f>IF(ISNUMBER(SEARCH(Лист2!$B$4,F:F)),1,0)</f>
        <v>0</v>
      </c>
      <c r="L5732" s="14">
        <f>IF(ISNUMBER(SEARCH(Лист2!$B$5,I:I)),1,0)+K5732</f>
        <v>0</v>
      </c>
      <c r="M5732" s="3">
        <f ca="1">IF(AND(N5732&lt;&gt;N5731,ISNUMBER(SEARCH(Лист2!$B$6,N:N)),L5732=2),MAX($M$3:OFFSET(M5732,-1,0))+1,0)</f>
        <v>0</v>
      </c>
      <c r="N5732" s="3" t="s">
        <v>2610</v>
      </c>
    </row>
    <row r="5733" spans="1:14" x14ac:dyDescent="0.25">
      <c r="A5733" s="1" t="s">
        <v>14282</v>
      </c>
      <c r="B5733" s="3" t="s">
        <v>9350</v>
      </c>
      <c r="C5733" s="2">
        <f ca="1">IF(ISNUMBER(SEARCH(Лист2!$B$4,D:D)),MAX($C$3:OFFSET(C5733,-1,0))+1,0)</f>
        <v>0</v>
      </c>
      <c r="E5733" s="9" t="str">
        <f t="shared" ca="1" si="101"/>
        <v/>
      </c>
      <c r="F5733" s="4" t="s">
        <v>21</v>
      </c>
      <c r="G5733" s="2">
        <f>IF(ISNUMBER(SEARCH(Лист2!$B$4,F:F)),1,0)</f>
        <v>0</v>
      </c>
      <c r="H5733" s="3">
        <f ca="1">IF(AND(I5733&lt;&gt;I5732,ISNUMBER(SEARCH(Лист2!$B$5,I:I)),G5733=1),MAX($H$3:OFFSET(H5733,-1,0))+1,0)</f>
        <v>0</v>
      </c>
      <c r="I5733" s="3" t="s">
        <v>464</v>
      </c>
      <c r="K5733" s="2">
        <f>IF(ISNUMBER(SEARCH(Лист2!$B$4,F:F)),1,0)</f>
        <v>0</v>
      </c>
      <c r="L5733" s="14">
        <f>IF(ISNUMBER(SEARCH(Лист2!$B$5,I:I)),1,0)+K5733</f>
        <v>0</v>
      </c>
      <c r="M5733" s="3">
        <f ca="1">IF(AND(N5733&lt;&gt;N5732,ISNUMBER(SEARCH(Лист2!$B$6,N:N)),L5733=2),MAX($M$3:OFFSET(M5733,-1,0))+1,0)</f>
        <v>0</v>
      </c>
      <c r="N5733" s="3" t="s">
        <v>2610</v>
      </c>
    </row>
    <row r="5734" spans="1:14" x14ac:dyDescent="0.25">
      <c r="A5734" s="1" t="s">
        <v>14283</v>
      </c>
      <c r="B5734" s="3" t="s">
        <v>9351</v>
      </c>
      <c r="C5734" s="2">
        <f ca="1">IF(ISNUMBER(SEARCH(Лист2!$B$4,D:D)),MAX($C$3:OFFSET(C5734,-1,0))+1,0)</f>
        <v>0</v>
      </c>
      <c r="E5734" s="9" t="str">
        <f t="shared" ca="1" si="101"/>
        <v/>
      </c>
      <c r="F5734" s="4" t="s">
        <v>21</v>
      </c>
      <c r="G5734" s="2">
        <f>IF(ISNUMBER(SEARCH(Лист2!$B$4,F:F)),1,0)</f>
        <v>0</v>
      </c>
      <c r="H5734" s="3">
        <f ca="1">IF(AND(I5734&lt;&gt;I5733,ISNUMBER(SEARCH(Лист2!$B$5,I:I)),G5734=1),MAX($H$3:OFFSET(H5734,-1,0))+1,0)</f>
        <v>0</v>
      </c>
      <c r="I5734" s="3" t="s">
        <v>464</v>
      </c>
      <c r="K5734" s="2">
        <f>IF(ISNUMBER(SEARCH(Лист2!$B$4,F:F)),1,0)</f>
        <v>0</v>
      </c>
      <c r="L5734" s="14">
        <f>IF(ISNUMBER(SEARCH(Лист2!$B$5,I:I)),1,0)+K5734</f>
        <v>0</v>
      </c>
      <c r="M5734" s="3">
        <f ca="1">IF(AND(N5734&lt;&gt;N5733,ISNUMBER(SEARCH(Лист2!$B$6,N:N)),L5734=2),MAX($M$3:OFFSET(M5734,-1,0))+1,0)</f>
        <v>0</v>
      </c>
      <c r="N5734" s="3" t="s">
        <v>3362</v>
      </c>
    </row>
    <row r="5735" spans="1:14" x14ac:dyDescent="0.25">
      <c r="A5735" s="1" t="s">
        <v>14283</v>
      </c>
      <c r="B5735" s="3" t="s">
        <v>9352</v>
      </c>
      <c r="C5735" s="2">
        <f ca="1">IF(ISNUMBER(SEARCH(Лист2!$B$4,D:D)),MAX($C$3:OFFSET(C5735,-1,0))+1,0)</f>
        <v>0</v>
      </c>
      <c r="E5735" s="9" t="str">
        <f t="shared" ca="1" si="101"/>
        <v/>
      </c>
      <c r="F5735" s="4" t="s">
        <v>21</v>
      </c>
      <c r="G5735" s="2">
        <f>IF(ISNUMBER(SEARCH(Лист2!$B$4,F:F)),1,0)</f>
        <v>0</v>
      </c>
      <c r="H5735" s="3">
        <f ca="1">IF(AND(I5735&lt;&gt;I5734,ISNUMBER(SEARCH(Лист2!$B$5,I:I)),G5735=1),MAX($H$3:OFFSET(H5735,-1,0))+1,0)</f>
        <v>0</v>
      </c>
      <c r="I5735" s="3" t="s">
        <v>464</v>
      </c>
      <c r="K5735" s="2">
        <f>IF(ISNUMBER(SEARCH(Лист2!$B$4,F:F)),1,0)</f>
        <v>0</v>
      </c>
      <c r="L5735" s="14">
        <f>IF(ISNUMBER(SEARCH(Лист2!$B$5,I:I)),1,0)+K5735</f>
        <v>0</v>
      </c>
      <c r="M5735" s="3">
        <f ca="1">IF(AND(N5735&lt;&gt;N5734,ISNUMBER(SEARCH(Лист2!$B$6,N:N)),L5735=2),MAX($M$3:OFFSET(M5735,-1,0))+1,0)</f>
        <v>0</v>
      </c>
      <c r="N5735" s="3" t="s">
        <v>3362</v>
      </c>
    </row>
    <row r="5736" spans="1:14" x14ac:dyDescent="0.25">
      <c r="A5736" s="1" t="s">
        <v>14283</v>
      </c>
      <c r="B5736" s="3" t="s">
        <v>9353</v>
      </c>
      <c r="C5736" s="2">
        <f ca="1">IF(ISNUMBER(SEARCH(Лист2!$B$4,D:D)),MAX($C$3:OFFSET(C5736,-1,0))+1,0)</f>
        <v>0</v>
      </c>
      <c r="E5736" s="9" t="str">
        <f t="shared" ca="1" si="101"/>
        <v/>
      </c>
      <c r="F5736" s="4" t="s">
        <v>21</v>
      </c>
      <c r="G5736" s="2">
        <f>IF(ISNUMBER(SEARCH(Лист2!$B$4,F:F)),1,0)</f>
        <v>0</v>
      </c>
      <c r="H5736" s="3">
        <f ca="1">IF(AND(I5736&lt;&gt;I5735,ISNUMBER(SEARCH(Лист2!$B$5,I:I)),G5736=1),MAX($H$3:OFFSET(H5736,-1,0))+1,0)</f>
        <v>0</v>
      </c>
      <c r="I5736" s="3" t="s">
        <v>464</v>
      </c>
      <c r="K5736" s="2">
        <f>IF(ISNUMBER(SEARCH(Лист2!$B$4,F:F)),1,0)</f>
        <v>0</v>
      </c>
      <c r="L5736" s="14">
        <f>IF(ISNUMBER(SEARCH(Лист2!$B$5,I:I)),1,0)+K5736</f>
        <v>0</v>
      </c>
      <c r="M5736" s="3">
        <f ca="1">IF(AND(N5736&lt;&gt;N5735,ISNUMBER(SEARCH(Лист2!$B$6,N:N)),L5736=2),MAX($M$3:OFFSET(M5736,-1,0))+1,0)</f>
        <v>0</v>
      </c>
      <c r="N5736" s="3" t="s">
        <v>3362</v>
      </c>
    </row>
    <row r="5737" spans="1:14" x14ac:dyDescent="0.25">
      <c r="A5737" s="1" t="s">
        <v>14284</v>
      </c>
      <c r="B5737" s="3" t="s">
        <v>9354</v>
      </c>
      <c r="C5737" s="2">
        <f ca="1">IF(ISNUMBER(SEARCH(Лист2!$B$4,D:D)),MAX($C$3:OFFSET(C5737,-1,0))+1,0)</f>
        <v>0</v>
      </c>
      <c r="E5737" s="9" t="str">
        <f t="shared" ca="1" si="101"/>
        <v/>
      </c>
      <c r="F5737" s="4" t="s">
        <v>21</v>
      </c>
      <c r="G5737" s="2">
        <f>IF(ISNUMBER(SEARCH(Лист2!$B$4,F:F)),1,0)</f>
        <v>0</v>
      </c>
      <c r="H5737" s="3">
        <f ca="1">IF(AND(I5737&lt;&gt;I5736,ISNUMBER(SEARCH(Лист2!$B$5,I:I)),G5737=1),MAX($H$3:OFFSET(H5737,-1,0))+1,0)</f>
        <v>0</v>
      </c>
      <c r="I5737" s="3" t="s">
        <v>464</v>
      </c>
      <c r="K5737" s="2">
        <f>IF(ISNUMBER(SEARCH(Лист2!$B$4,F:F)),1,0)</f>
        <v>0</v>
      </c>
      <c r="L5737" s="14">
        <f>IF(ISNUMBER(SEARCH(Лист2!$B$5,I:I)),1,0)+K5737</f>
        <v>0</v>
      </c>
      <c r="M5737" s="3">
        <f ca="1">IF(AND(N5737&lt;&gt;N5736,ISNUMBER(SEARCH(Лист2!$B$6,N:N)),L5737=2),MAX($M$3:OFFSET(M5737,-1,0))+1,0)</f>
        <v>0</v>
      </c>
      <c r="N5737" s="3" t="s">
        <v>3363</v>
      </c>
    </row>
    <row r="5738" spans="1:14" x14ac:dyDescent="0.25">
      <c r="A5738" s="1" t="s">
        <v>14285</v>
      </c>
      <c r="B5738" s="3" t="s">
        <v>9355</v>
      </c>
      <c r="C5738" s="2">
        <f ca="1">IF(ISNUMBER(SEARCH(Лист2!$B$4,D:D)),MAX($C$3:OFFSET(C5738,-1,0))+1,0)</f>
        <v>0</v>
      </c>
      <c r="E5738" s="9" t="str">
        <f t="shared" ca="1" si="101"/>
        <v/>
      </c>
      <c r="F5738" s="4" t="s">
        <v>21</v>
      </c>
      <c r="G5738" s="2">
        <f>IF(ISNUMBER(SEARCH(Лист2!$B$4,F:F)),1,0)</f>
        <v>0</v>
      </c>
      <c r="H5738" s="3">
        <f ca="1">IF(AND(I5738&lt;&gt;I5737,ISNUMBER(SEARCH(Лист2!$B$5,I:I)),G5738=1),MAX($H$3:OFFSET(H5738,-1,0))+1,0)</f>
        <v>0</v>
      </c>
      <c r="I5738" s="3" t="s">
        <v>464</v>
      </c>
      <c r="K5738" s="2">
        <f>IF(ISNUMBER(SEARCH(Лист2!$B$4,F:F)),1,0)</f>
        <v>0</v>
      </c>
      <c r="L5738" s="14">
        <f>IF(ISNUMBER(SEARCH(Лист2!$B$5,I:I)),1,0)+K5738</f>
        <v>0</v>
      </c>
      <c r="M5738" s="3">
        <f ca="1">IF(AND(N5738&lt;&gt;N5737,ISNUMBER(SEARCH(Лист2!$B$6,N:N)),L5738=2),MAX($M$3:OFFSET(M5738,-1,0))+1,0)</f>
        <v>0</v>
      </c>
      <c r="N5738" s="3" t="s">
        <v>3364</v>
      </c>
    </row>
    <row r="5739" spans="1:14" x14ac:dyDescent="0.25">
      <c r="A5739" s="1" t="s">
        <v>14286</v>
      </c>
      <c r="B5739" s="3" t="s">
        <v>9356</v>
      </c>
      <c r="C5739" s="2">
        <f ca="1">IF(ISNUMBER(SEARCH(Лист2!$B$4,D:D)),MAX($C$3:OFFSET(C5739,-1,0))+1,0)</f>
        <v>0</v>
      </c>
      <c r="E5739" s="9" t="str">
        <f t="shared" ca="1" si="101"/>
        <v/>
      </c>
      <c r="F5739" s="4" t="s">
        <v>21</v>
      </c>
      <c r="G5739" s="2">
        <f>IF(ISNUMBER(SEARCH(Лист2!$B$4,F:F)),1,0)</f>
        <v>0</v>
      </c>
      <c r="H5739" s="3">
        <f ca="1">IF(AND(I5739&lt;&gt;I5738,ISNUMBER(SEARCH(Лист2!$B$5,I:I)),G5739=1),MAX($H$3:OFFSET(H5739,-1,0))+1,0)</f>
        <v>0</v>
      </c>
      <c r="I5739" s="3" t="s">
        <v>464</v>
      </c>
      <c r="K5739" s="2">
        <f>IF(ISNUMBER(SEARCH(Лист2!$B$4,F:F)),1,0)</f>
        <v>0</v>
      </c>
      <c r="L5739" s="14">
        <f>IF(ISNUMBER(SEARCH(Лист2!$B$5,I:I)),1,0)+K5739</f>
        <v>0</v>
      </c>
      <c r="M5739" s="3">
        <f ca="1">IF(AND(N5739&lt;&gt;N5738,ISNUMBER(SEARCH(Лист2!$B$6,N:N)),L5739=2),MAX($M$3:OFFSET(M5739,-1,0))+1,0)</f>
        <v>0</v>
      </c>
      <c r="N5739" s="3" t="s">
        <v>3365</v>
      </c>
    </row>
    <row r="5740" spans="1:14" x14ac:dyDescent="0.25">
      <c r="A5740" s="1" t="s">
        <v>14287</v>
      </c>
      <c r="B5740" s="3" t="s">
        <v>9357</v>
      </c>
      <c r="C5740" s="2">
        <f ca="1">IF(ISNUMBER(SEARCH(Лист2!$B$4,D:D)),MAX($C$3:OFFSET(C5740,-1,0))+1,0)</f>
        <v>0</v>
      </c>
      <c r="E5740" s="9" t="str">
        <f t="shared" ca="1" si="101"/>
        <v/>
      </c>
      <c r="F5740" s="4" t="s">
        <v>21</v>
      </c>
      <c r="G5740" s="2">
        <f>IF(ISNUMBER(SEARCH(Лист2!$B$4,F:F)),1,0)</f>
        <v>0</v>
      </c>
      <c r="H5740" s="3">
        <f ca="1">IF(AND(I5740&lt;&gt;I5739,ISNUMBER(SEARCH(Лист2!$B$5,I:I)),G5740=1),MAX($H$3:OFFSET(H5740,-1,0))+1,0)</f>
        <v>0</v>
      </c>
      <c r="I5740" s="3" t="s">
        <v>464</v>
      </c>
      <c r="K5740" s="2">
        <f>IF(ISNUMBER(SEARCH(Лист2!$B$4,F:F)),1,0)</f>
        <v>0</v>
      </c>
      <c r="L5740" s="14">
        <f>IF(ISNUMBER(SEARCH(Лист2!$B$5,I:I)),1,0)+K5740</f>
        <v>0</v>
      </c>
      <c r="M5740" s="3">
        <f ca="1">IF(AND(N5740&lt;&gt;N5739,ISNUMBER(SEARCH(Лист2!$B$6,N:N)),L5740=2),MAX($M$3:OFFSET(M5740,-1,0))+1,0)</f>
        <v>0</v>
      </c>
      <c r="N5740" s="3" t="s">
        <v>3366</v>
      </c>
    </row>
    <row r="5741" spans="1:14" x14ac:dyDescent="0.25">
      <c r="A5741" s="1" t="s">
        <v>14288</v>
      </c>
      <c r="B5741" s="3" t="s">
        <v>9358</v>
      </c>
      <c r="C5741" s="2">
        <f ca="1">IF(ISNUMBER(SEARCH(Лист2!$B$4,D:D)),MAX($C$3:OFFSET(C5741,-1,0))+1,0)</f>
        <v>0</v>
      </c>
      <c r="E5741" s="9" t="str">
        <f t="shared" ca="1" si="101"/>
        <v/>
      </c>
      <c r="F5741" s="4" t="s">
        <v>21</v>
      </c>
      <c r="G5741" s="2">
        <f>IF(ISNUMBER(SEARCH(Лист2!$B$4,F:F)),1,0)</f>
        <v>0</v>
      </c>
      <c r="H5741" s="3">
        <f ca="1">IF(AND(I5741&lt;&gt;I5740,ISNUMBER(SEARCH(Лист2!$B$5,I:I)),G5741=1),MAX($H$3:OFFSET(H5741,-1,0))+1,0)</f>
        <v>0</v>
      </c>
      <c r="I5741" s="3" t="s">
        <v>465</v>
      </c>
      <c r="K5741" s="2">
        <f>IF(ISNUMBER(SEARCH(Лист2!$B$4,F:F)),1,0)</f>
        <v>0</v>
      </c>
      <c r="L5741" s="14">
        <f>IF(ISNUMBER(SEARCH(Лист2!$B$5,I:I)),1,0)+K5741</f>
        <v>0</v>
      </c>
      <c r="M5741" s="3">
        <f ca="1">IF(AND(N5741&lt;&gt;N5740,ISNUMBER(SEARCH(Лист2!$B$6,N:N)),L5741=2),MAX($M$3:OFFSET(M5741,-1,0))+1,0)</f>
        <v>0</v>
      </c>
      <c r="N5741" s="3" t="s">
        <v>3367</v>
      </c>
    </row>
    <row r="5742" spans="1:14" x14ac:dyDescent="0.25">
      <c r="A5742" s="1" t="s">
        <v>14289</v>
      </c>
      <c r="B5742" s="3" t="s">
        <v>9359</v>
      </c>
      <c r="C5742" s="2">
        <f ca="1">IF(ISNUMBER(SEARCH(Лист2!$B$4,D:D)),MAX($C$3:OFFSET(C5742,-1,0))+1,0)</f>
        <v>0</v>
      </c>
      <c r="E5742" s="9" t="str">
        <f t="shared" ca="1" si="101"/>
        <v/>
      </c>
      <c r="F5742" s="4" t="s">
        <v>21</v>
      </c>
      <c r="G5742" s="2">
        <f>IF(ISNUMBER(SEARCH(Лист2!$B$4,F:F)),1,0)</f>
        <v>0</v>
      </c>
      <c r="H5742" s="3">
        <f ca="1">IF(AND(I5742&lt;&gt;I5741,ISNUMBER(SEARCH(Лист2!$B$5,I:I)),G5742=1),MAX($H$3:OFFSET(H5742,-1,0))+1,0)</f>
        <v>0</v>
      </c>
      <c r="I5742" s="3" t="s">
        <v>465</v>
      </c>
      <c r="K5742" s="2">
        <f>IF(ISNUMBER(SEARCH(Лист2!$B$4,F:F)),1,0)</f>
        <v>0</v>
      </c>
      <c r="L5742" s="14">
        <f>IF(ISNUMBER(SEARCH(Лист2!$B$5,I:I)),1,0)+K5742</f>
        <v>0</v>
      </c>
      <c r="M5742" s="3">
        <f ca="1">IF(AND(N5742&lt;&gt;N5741,ISNUMBER(SEARCH(Лист2!$B$6,N:N)),L5742=2),MAX($M$3:OFFSET(M5742,-1,0))+1,0)</f>
        <v>0</v>
      </c>
      <c r="N5742" s="3" t="s">
        <v>3368</v>
      </c>
    </row>
    <row r="5743" spans="1:14" x14ac:dyDescent="0.25">
      <c r="A5743" s="1" t="s">
        <v>14289</v>
      </c>
      <c r="B5743" s="3" t="s">
        <v>9360</v>
      </c>
      <c r="C5743" s="2">
        <f ca="1">IF(ISNUMBER(SEARCH(Лист2!$B$4,D:D)),MAX($C$3:OFFSET(C5743,-1,0))+1,0)</f>
        <v>0</v>
      </c>
      <c r="E5743" s="9" t="str">
        <f t="shared" ca="1" si="101"/>
        <v/>
      </c>
      <c r="F5743" s="4" t="s">
        <v>21</v>
      </c>
      <c r="G5743" s="2">
        <f>IF(ISNUMBER(SEARCH(Лист2!$B$4,F:F)),1,0)</f>
        <v>0</v>
      </c>
      <c r="H5743" s="3">
        <f ca="1">IF(AND(I5743&lt;&gt;I5742,ISNUMBER(SEARCH(Лист2!$B$5,I:I)),G5743=1),MAX($H$3:OFFSET(H5743,-1,0))+1,0)</f>
        <v>0</v>
      </c>
      <c r="I5743" s="3" t="s">
        <v>465</v>
      </c>
      <c r="K5743" s="2">
        <f>IF(ISNUMBER(SEARCH(Лист2!$B$4,F:F)),1,0)</f>
        <v>0</v>
      </c>
      <c r="L5743" s="14">
        <f>IF(ISNUMBER(SEARCH(Лист2!$B$5,I:I)),1,0)+K5743</f>
        <v>0</v>
      </c>
      <c r="M5743" s="3">
        <f ca="1">IF(AND(N5743&lt;&gt;N5742,ISNUMBER(SEARCH(Лист2!$B$6,N:N)),L5743=2),MAX($M$3:OFFSET(M5743,-1,0))+1,0)</f>
        <v>0</v>
      </c>
      <c r="N5743" s="3" t="s">
        <v>3368</v>
      </c>
    </row>
    <row r="5744" spans="1:14" x14ac:dyDescent="0.25">
      <c r="A5744" s="1" t="s">
        <v>14289</v>
      </c>
      <c r="B5744" s="3" t="s">
        <v>9361</v>
      </c>
      <c r="C5744" s="2">
        <f ca="1">IF(ISNUMBER(SEARCH(Лист2!$B$4,D:D)),MAX($C$3:OFFSET(C5744,-1,0))+1,0)</f>
        <v>0</v>
      </c>
      <c r="E5744" s="9" t="str">
        <f t="shared" ca="1" si="101"/>
        <v/>
      </c>
      <c r="F5744" s="4" t="s">
        <v>21</v>
      </c>
      <c r="G5744" s="2">
        <f>IF(ISNUMBER(SEARCH(Лист2!$B$4,F:F)),1,0)</f>
        <v>0</v>
      </c>
      <c r="H5744" s="3">
        <f ca="1">IF(AND(I5744&lt;&gt;I5743,ISNUMBER(SEARCH(Лист2!$B$5,I:I)),G5744=1),MAX($H$3:OFFSET(H5744,-1,0))+1,0)</f>
        <v>0</v>
      </c>
      <c r="I5744" s="3" t="s">
        <v>465</v>
      </c>
      <c r="K5744" s="2">
        <f>IF(ISNUMBER(SEARCH(Лист2!$B$4,F:F)),1,0)</f>
        <v>0</v>
      </c>
      <c r="L5744" s="14">
        <f>IF(ISNUMBER(SEARCH(Лист2!$B$5,I:I)),1,0)+K5744</f>
        <v>0</v>
      </c>
      <c r="M5744" s="3">
        <f ca="1">IF(AND(N5744&lt;&gt;N5743,ISNUMBER(SEARCH(Лист2!$B$6,N:N)),L5744=2),MAX($M$3:OFFSET(M5744,-1,0))+1,0)</f>
        <v>0</v>
      </c>
      <c r="N5744" s="3" t="s">
        <v>3368</v>
      </c>
    </row>
    <row r="5745" spans="1:14" x14ac:dyDescent="0.25">
      <c r="A5745" s="1" t="s">
        <v>14290</v>
      </c>
      <c r="B5745" s="3" t="s">
        <v>9362</v>
      </c>
      <c r="C5745" s="2">
        <f ca="1">IF(ISNUMBER(SEARCH(Лист2!$B$4,D:D)),MAX($C$3:OFFSET(C5745,-1,0))+1,0)</f>
        <v>0</v>
      </c>
      <c r="E5745" s="9" t="str">
        <f t="shared" ca="1" si="101"/>
        <v/>
      </c>
      <c r="F5745" s="4" t="s">
        <v>21</v>
      </c>
      <c r="G5745" s="2">
        <f>IF(ISNUMBER(SEARCH(Лист2!$B$4,F:F)),1,0)</f>
        <v>0</v>
      </c>
      <c r="H5745" s="3">
        <f ca="1">IF(AND(I5745&lt;&gt;I5744,ISNUMBER(SEARCH(Лист2!$B$5,I:I)),G5745=1),MAX($H$3:OFFSET(H5745,-1,0))+1,0)</f>
        <v>0</v>
      </c>
      <c r="I5745" s="3" t="s">
        <v>465</v>
      </c>
      <c r="K5745" s="2">
        <f>IF(ISNUMBER(SEARCH(Лист2!$B$4,F:F)),1,0)</f>
        <v>0</v>
      </c>
      <c r="L5745" s="14">
        <f>IF(ISNUMBER(SEARCH(Лист2!$B$5,I:I)),1,0)+K5745</f>
        <v>0</v>
      </c>
      <c r="M5745" s="3">
        <f ca="1">IF(AND(N5745&lt;&gt;N5744,ISNUMBER(SEARCH(Лист2!$B$6,N:N)),L5745=2),MAX($M$3:OFFSET(M5745,-1,0))+1,0)</f>
        <v>0</v>
      </c>
      <c r="N5745" s="3" t="s">
        <v>3369</v>
      </c>
    </row>
    <row r="5746" spans="1:14" x14ac:dyDescent="0.25">
      <c r="A5746" s="1" t="s">
        <v>14290</v>
      </c>
      <c r="B5746" s="3" t="s">
        <v>9363</v>
      </c>
      <c r="C5746" s="2">
        <f ca="1">IF(ISNUMBER(SEARCH(Лист2!$B$4,D:D)),MAX($C$3:OFFSET(C5746,-1,0))+1,0)</f>
        <v>0</v>
      </c>
      <c r="E5746" s="9" t="str">
        <f t="shared" ca="1" si="101"/>
        <v/>
      </c>
      <c r="F5746" s="4" t="s">
        <v>21</v>
      </c>
      <c r="G5746" s="2">
        <f>IF(ISNUMBER(SEARCH(Лист2!$B$4,F:F)),1,0)</f>
        <v>0</v>
      </c>
      <c r="H5746" s="3">
        <f ca="1">IF(AND(I5746&lt;&gt;I5745,ISNUMBER(SEARCH(Лист2!$B$5,I:I)),G5746=1),MAX($H$3:OFFSET(H5746,-1,0))+1,0)</f>
        <v>0</v>
      </c>
      <c r="I5746" s="3" t="s">
        <v>465</v>
      </c>
      <c r="K5746" s="2">
        <f>IF(ISNUMBER(SEARCH(Лист2!$B$4,F:F)),1,0)</f>
        <v>0</v>
      </c>
      <c r="L5746" s="14">
        <f>IF(ISNUMBER(SEARCH(Лист2!$B$5,I:I)),1,0)+K5746</f>
        <v>0</v>
      </c>
      <c r="M5746" s="3">
        <f ca="1">IF(AND(N5746&lt;&gt;N5745,ISNUMBER(SEARCH(Лист2!$B$6,N:N)),L5746=2),MAX($M$3:OFFSET(M5746,-1,0))+1,0)</f>
        <v>0</v>
      </c>
      <c r="N5746" s="3" t="s">
        <v>3369</v>
      </c>
    </row>
    <row r="5747" spans="1:14" x14ac:dyDescent="0.25">
      <c r="A5747" s="1" t="s">
        <v>14290</v>
      </c>
      <c r="B5747" s="3" t="s">
        <v>9364</v>
      </c>
      <c r="C5747" s="2">
        <f ca="1">IF(ISNUMBER(SEARCH(Лист2!$B$4,D:D)),MAX($C$3:OFFSET(C5747,-1,0))+1,0)</f>
        <v>0</v>
      </c>
      <c r="E5747" s="9" t="str">
        <f t="shared" ca="1" si="101"/>
        <v/>
      </c>
      <c r="F5747" s="4" t="s">
        <v>21</v>
      </c>
      <c r="G5747" s="2">
        <f>IF(ISNUMBER(SEARCH(Лист2!$B$4,F:F)),1,0)</f>
        <v>0</v>
      </c>
      <c r="H5747" s="3">
        <f ca="1">IF(AND(I5747&lt;&gt;I5746,ISNUMBER(SEARCH(Лист2!$B$5,I:I)),G5747=1),MAX($H$3:OFFSET(H5747,-1,0))+1,0)</f>
        <v>0</v>
      </c>
      <c r="I5747" s="3" t="s">
        <v>465</v>
      </c>
      <c r="K5747" s="2">
        <f>IF(ISNUMBER(SEARCH(Лист2!$B$4,F:F)),1,0)</f>
        <v>0</v>
      </c>
      <c r="L5747" s="14">
        <f>IF(ISNUMBER(SEARCH(Лист2!$B$5,I:I)),1,0)+K5747</f>
        <v>0</v>
      </c>
      <c r="M5747" s="3">
        <f ca="1">IF(AND(N5747&lt;&gt;N5746,ISNUMBER(SEARCH(Лист2!$B$6,N:N)),L5747=2),MAX($M$3:OFFSET(M5747,-1,0))+1,0)</f>
        <v>0</v>
      </c>
      <c r="N5747" s="3" t="s">
        <v>3369</v>
      </c>
    </row>
    <row r="5748" spans="1:14" x14ac:dyDescent="0.25">
      <c r="A5748" s="1" t="s">
        <v>14291</v>
      </c>
      <c r="B5748" s="3" t="s">
        <v>9365</v>
      </c>
      <c r="C5748" s="2">
        <f ca="1">IF(ISNUMBER(SEARCH(Лист2!$B$4,D:D)),MAX($C$3:OFFSET(C5748,-1,0))+1,0)</f>
        <v>0</v>
      </c>
      <c r="E5748" s="9" t="str">
        <f t="shared" ca="1" si="101"/>
        <v/>
      </c>
      <c r="F5748" s="4" t="s">
        <v>21</v>
      </c>
      <c r="G5748" s="2">
        <f>IF(ISNUMBER(SEARCH(Лист2!$B$4,F:F)),1,0)</f>
        <v>0</v>
      </c>
      <c r="H5748" s="3">
        <f ca="1">IF(AND(I5748&lt;&gt;I5747,ISNUMBER(SEARCH(Лист2!$B$5,I:I)),G5748=1),MAX($H$3:OFFSET(H5748,-1,0))+1,0)</f>
        <v>0</v>
      </c>
      <c r="I5748" s="3" t="s">
        <v>465</v>
      </c>
      <c r="K5748" s="2">
        <f>IF(ISNUMBER(SEARCH(Лист2!$B$4,F:F)),1,0)</f>
        <v>0</v>
      </c>
      <c r="L5748" s="14">
        <f>IF(ISNUMBER(SEARCH(Лист2!$B$5,I:I)),1,0)+K5748</f>
        <v>0</v>
      </c>
      <c r="M5748" s="3">
        <f ca="1">IF(AND(N5748&lt;&gt;N5747,ISNUMBER(SEARCH(Лист2!$B$6,N:N)),L5748=2),MAX($M$3:OFFSET(M5748,-1,0))+1,0)</f>
        <v>0</v>
      </c>
      <c r="N5748" s="3" t="s">
        <v>3370</v>
      </c>
    </row>
    <row r="5749" spans="1:14" x14ac:dyDescent="0.25">
      <c r="A5749" s="1" t="s">
        <v>14291</v>
      </c>
      <c r="B5749" s="3" t="s">
        <v>9366</v>
      </c>
      <c r="C5749" s="2">
        <f ca="1">IF(ISNUMBER(SEARCH(Лист2!$B$4,D:D)),MAX($C$3:OFFSET(C5749,-1,0))+1,0)</f>
        <v>0</v>
      </c>
      <c r="E5749" s="9" t="str">
        <f t="shared" ca="1" si="101"/>
        <v/>
      </c>
      <c r="F5749" s="4" t="s">
        <v>21</v>
      </c>
      <c r="G5749" s="2">
        <f>IF(ISNUMBER(SEARCH(Лист2!$B$4,F:F)),1,0)</f>
        <v>0</v>
      </c>
      <c r="H5749" s="3">
        <f ca="1">IF(AND(I5749&lt;&gt;I5748,ISNUMBER(SEARCH(Лист2!$B$5,I:I)),G5749=1),MAX($H$3:OFFSET(H5749,-1,0))+1,0)</f>
        <v>0</v>
      </c>
      <c r="I5749" s="3" t="s">
        <v>465</v>
      </c>
      <c r="K5749" s="2">
        <f>IF(ISNUMBER(SEARCH(Лист2!$B$4,F:F)),1,0)</f>
        <v>0</v>
      </c>
      <c r="L5749" s="14">
        <f>IF(ISNUMBER(SEARCH(Лист2!$B$5,I:I)),1,0)+K5749</f>
        <v>0</v>
      </c>
      <c r="M5749" s="3">
        <f ca="1">IF(AND(N5749&lt;&gt;N5748,ISNUMBER(SEARCH(Лист2!$B$6,N:N)),L5749=2),MAX($M$3:OFFSET(M5749,-1,0))+1,0)</f>
        <v>0</v>
      </c>
      <c r="N5749" s="3" t="s">
        <v>3370</v>
      </c>
    </row>
    <row r="5750" spans="1:14" x14ac:dyDescent="0.25">
      <c r="A5750" s="1" t="s">
        <v>14291</v>
      </c>
      <c r="B5750" s="3" t="s">
        <v>9367</v>
      </c>
      <c r="C5750" s="2">
        <f ca="1">IF(ISNUMBER(SEARCH(Лист2!$B$4,D:D)),MAX($C$3:OFFSET(C5750,-1,0))+1,0)</f>
        <v>0</v>
      </c>
      <c r="E5750" s="9" t="str">
        <f t="shared" ca="1" si="101"/>
        <v/>
      </c>
      <c r="F5750" s="4" t="s">
        <v>21</v>
      </c>
      <c r="G5750" s="2">
        <f>IF(ISNUMBER(SEARCH(Лист2!$B$4,F:F)),1,0)</f>
        <v>0</v>
      </c>
      <c r="H5750" s="3">
        <f ca="1">IF(AND(I5750&lt;&gt;I5749,ISNUMBER(SEARCH(Лист2!$B$5,I:I)),G5750=1),MAX($H$3:OFFSET(H5750,-1,0))+1,0)</f>
        <v>0</v>
      </c>
      <c r="I5750" s="3" t="s">
        <v>465</v>
      </c>
      <c r="K5750" s="2">
        <f>IF(ISNUMBER(SEARCH(Лист2!$B$4,F:F)),1,0)</f>
        <v>0</v>
      </c>
      <c r="L5750" s="14">
        <f>IF(ISNUMBER(SEARCH(Лист2!$B$5,I:I)),1,0)+K5750</f>
        <v>0</v>
      </c>
      <c r="M5750" s="3">
        <f ca="1">IF(AND(N5750&lt;&gt;N5749,ISNUMBER(SEARCH(Лист2!$B$6,N:N)),L5750=2),MAX($M$3:OFFSET(M5750,-1,0))+1,0)</f>
        <v>0</v>
      </c>
      <c r="N5750" s="3" t="s">
        <v>3370</v>
      </c>
    </row>
    <row r="5751" spans="1:14" x14ac:dyDescent="0.25">
      <c r="A5751" s="1" t="s">
        <v>14292</v>
      </c>
      <c r="B5751" s="3" t="s">
        <v>9368</v>
      </c>
      <c r="C5751" s="2">
        <f ca="1">IF(ISNUMBER(SEARCH(Лист2!$B$4,D:D)),MAX($C$3:OFFSET(C5751,-1,0))+1,0)</f>
        <v>0</v>
      </c>
      <c r="E5751" s="9" t="str">
        <f t="shared" ca="1" si="101"/>
        <v/>
      </c>
      <c r="F5751" s="4" t="s">
        <v>21</v>
      </c>
      <c r="G5751" s="2">
        <f>IF(ISNUMBER(SEARCH(Лист2!$B$4,F:F)),1,0)</f>
        <v>0</v>
      </c>
      <c r="H5751" s="3">
        <f ca="1">IF(AND(I5751&lt;&gt;I5750,ISNUMBER(SEARCH(Лист2!$B$5,I:I)),G5751=1),MAX($H$3:OFFSET(H5751,-1,0))+1,0)</f>
        <v>0</v>
      </c>
      <c r="I5751" s="3" t="s">
        <v>465</v>
      </c>
      <c r="K5751" s="2">
        <f>IF(ISNUMBER(SEARCH(Лист2!$B$4,F:F)),1,0)</f>
        <v>0</v>
      </c>
      <c r="L5751" s="14">
        <f>IF(ISNUMBER(SEARCH(Лист2!$B$5,I:I)),1,0)+K5751</f>
        <v>0</v>
      </c>
      <c r="M5751" s="3">
        <f ca="1">IF(AND(N5751&lt;&gt;N5750,ISNUMBER(SEARCH(Лист2!$B$6,N:N)),L5751=2),MAX($M$3:OFFSET(M5751,-1,0))+1,0)</f>
        <v>0</v>
      </c>
      <c r="N5751" s="3" t="s">
        <v>602</v>
      </c>
    </row>
    <row r="5752" spans="1:14" x14ac:dyDescent="0.25">
      <c r="A5752" s="1" t="s">
        <v>14293</v>
      </c>
      <c r="B5752" s="3" t="s">
        <v>9369</v>
      </c>
      <c r="C5752" s="2">
        <f ca="1">IF(ISNUMBER(SEARCH(Лист2!$B$4,D:D)),MAX($C$3:OFFSET(C5752,-1,0))+1,0)</f>
        <v>0</v>
      </c>
      <c r="E5752" s="9" t="str">
        <f t="shared" ca="1" si="101"/>
        <v/>
      </c>
      <c r="F5752" s="4" t="s">
        <v>21</v>
      </c>
      <c r="G5752" s="2">
        <f>IF(ISNUMBER(SEARCH(Лист2!$B$4,F:F)),1,0)</f>
        <v>0</v>
      </c>
      <c r="H5752" s="3">
        <f ca="1">IF(AND(I5752&lt;&gt;I5751,ISNUMBER(SEARCH(Лист2!$B$5,I:I)),G5752=1),MAX($H$3:OFFSET(H5752,-1,0))+1,0)</f>
        <v>0</v>
      </c>
      <c r="I5752" s="3" t="s">
        <v>465</v>
      </c>
      <c r="K5752" s="2">
        <f>IF(ISNUMBER(SEARCH(Лист2!$B$4,F:F)),1,0)</f>
        <v>0</v>
      </c>
      <c r="L5752" s="14">
        <f>IF(ISNUMBER(SEARCH(Лист2!$B$5,I:I)),1,0)+K5752</f>
        <v>0</v>
      </c>
      <c r="M5752" s="3">
        <f ca="1">IF(AND(N5752&lt;&gt;N5751,ISNUMBER(SEARCH(Лист2!$B$6,N:N)),L5752=2),MAX($M$3:OFFSET(M5752,-1,0))+1,0)</f>
        <v>0</v>
      </c>
      <c r="N5752" s="3" t="s">
        <v>3371</v>
      </c>
    </row>
    <row r="5753" spans="1:14" x14ac:dyDescent="0.25">
      <c r="A5753" s="1" t="s">
        <v>14294</v>
      </c>
      <c r="B5753" s="3" t="s">
        <v>9370</v>
      </c>
      <c r="C5753" s="2">
        <f ca="1">IF(ISNUMBER(SEARCH(Лист2!$B$4,D:D)),MAX($C$3:OFFSET(C5753,-1,0))+1,0)</f>
        <v>0</v>
      </c>
      <c r="E5753" s="9" t="str">
        <f t="shared" ca="1" si="101"/>
        <v/>
      </c>
      <c r="F5753" s="4" t="s">
        <v>21</v>
      </c>
      <c r="G5753" s="2">
        <f>IF(ISNUMBER(SEARCH(Лист2!$B$4,F:F)),1,0)</f>
        <v>0</v>
      </c>
      <c r="H5753" s="3">
        <f ca="1">IF(AND(I5753&lt;&gt;I5752,ISNUMBER(SEARCH(Лист2!$B$5,I:I)),G5753=1),MAX($H$3:OFFSET(H5753,-1,0))+1,0)</f>
        <v>0</v>
      </c>
      <c r="I5753" s="3" t="s">
        <v>465</v>
      </c>
      <c r="K5753" s="2">
        <f>IF(ISNUMBER(SEARCH(Лист2!$B$4,F:F)),1,0)</f>
        <v>0</v>
      </c>
      <c r="L5753" s="14">
        <f>IF(ISNUMBER(SEARCH(Лист2!$B$5,I:I)),1,0)+K5753</f>
        <v>0</v>
      </c>
      <c r="M5753" s="3">
        <f ca="1">IF(AND(N5753&lt;&gt;N5752,ISNUMBER(SEARCH(Лист2!$B$6,N:N)),L5753=2),MAX($M$3:OFFSET(M5753,-1,0))+1,0)</f>
        <v>0</v>
      </c>
      <c r="N5753" s="3" t="s">
        <v>3372</v>
      </c>
    </row>
    <row r="5754" spans="1:14" x14ac:dyDescent="0.25">
      <c r="A5754" s="1" t="s">
        <v>14295</v>
      </c>
      <c r="B5754" s="3" t="s">
        <v>9371</v>
      </c>
      <c r="C5754" s="2">
        <f ca="1">IF(ISNUMBER(SEARCH(Лист2!$B$4,D:D)),MAX($C$3:OFFSET(C5754,-1,0))+1,0)</f>
        <v>0</v>
      </c>
      <c r="E5754" s="9" t="str">
        <f t="shared" ca="1" si="101"/>
        <v/>
      </c>
      <c r="F5754" s="4" t="s">
        <v>21</v>
      </c>
      <c r="G5754" s="2">
        <f>IF(ISNUMBER(SEARCH(Лист2!$B$4,F:F)),1,0)</f>
        <v>0</v>
      </c>
      <c r="H5754" s="3">
        <f ca="1">IF(AND(I5754&lt;&gt;I5753,ISNUMBER(SEARCH(Лист2!$B$5,I:I)),G5754=1),MAX($H$3:OFFSET(H5754,-1,0))+1,0)</f>
        <v>0</v>
      </c>
      <c r="I5754" s="3" t="s">
        <v>466</v>
      </c>
      <c r="K5754" s="2">
        <f>IF(ISNUMBER(SEARCH(Лист2!$B$4,F:F)),1,0)</f>
        <v>0</v>
      </c>
      <c r="L5754" s="14">
        <f>IF(ISNUMBER(SEARCH(Лист2!$B$5,I:I)),1,0)+K5754</f>
        <v>0</v>
      </c>
      <c r="M5754" s="3">
        <f ca="1">IF(AND(N5754&lt;&gt;N5753,ISNUMBER(SEARCH(Лист2!$B$6,N:N)),L5754=2),MAX($M$3:OFFSET(M5754,-1,0))+1,0)</f>
        <v>0</v>
      </c>
      <c r="N5754" s="3" t="s">
        <v>677</v>
      </c>
    </row>
    <row r="5755" spans="1:14" x14ac:dyDescent="0.25">
      <c r="A5755" s="1" t="s">
        <v>14296</v>
      </c>
      <c r="B5755" s="3" t="s">
        <v>9372</v>
      </c>
      <c r="C5755" s="2">
        <f ca="1">IF(ISNUMBER(SEARCH(Лист2!$B$4,D:D)),MAX($C$3:OFFSET(C5755,-1,0))+1,0)</f>
        <v>0</v>
      </c>
      <c r="E5755" s="9" t="str">
        <f t="shared" ca="1" si="101"/>
        <v/>
      </c>
      <c r="F5755" s="4" t="s">
        <v>21</v>
      </c>
      <c r="G5755" s="2">
        <f>IF(ISNUMBER(SEARCH(Лист2!$B$4,F:F)),1,0)</f>
        <v>0</v>
      </c>
      <c r="H5755" s="3">
        <f ca="1">IF(AND(I5755&lt;&gt;I5754,ISNUMBER(SEARCH(Лист2!$B$5,I:I)),G5755=1),MAX($H$3:OFFSET(H5755,-1,0))+1,0)</f>
        <v>0</v>
      </c>
      <c r="I5755" s="3" t="s">
        <v>467</v>
      </c>
      <c r="K5755" s="2">
        <f>IF(ISNUMBER(SEARCH(Лист2!$B$4,F:F)),1,0)</f>
        <v>0</v>
      </c>
      <c r="L5755" s="14">
        <f>IF(ISNUMBER(SEARCH(Лист2!$B$5,I:I)),1,0)+K5755</f>
        <v>0</v>
      </c>
      <c r="M5755" s="3">
        <f ca="1">IF(AND(N5755&lt;&gt;N5754,ISNUMBER(SEARCH(Лист2!$B$6,N:N)),L5755=2),MAX($M$3:OFFSET(M5755,-1,0))+1,0)</f>
        <v>0</v>
      </c>
      <c r="N5755" s="3" t="s">
        <v>3373</v>
      </c>
    </row>
    <row r="5756" spans="1:14" x14ac:dyDescent="0.25">
      <c r="A5756" s="1" t="s">
        <v>14297</v>
      </c>
      <c r="B5756" s="3" t="s">
        <v>9373</v>
      </c>
      <c r="C5756" s="2">
        <f ca="1">IF(ISNUMBER(SEARCH(Лист2!$B$4,D:D)),MAX($C$3:OFFSET(C5756,-1,0))+1,0)</f>
        <v>0</v>
      </c>
      <c r="E5756" s="9" t="str">
        <f t="shared" ca="1" si="101"/>
        <v/>
      </c>
      <c r="F5756" s="4" t="s">
        <v>21</v>
      </c>
      <c r="G5756" s="2">
        <f>IF(ISNUMBER(SEARCH(Лист2!$B$4,F:F)),1,0)</f>
        <v>0</v>
      </c>
      <c r="H5756" s="3">
        <f ca="1">IF(AND(I5756&lt;&gt;I5755,ISNUMBER(SEARCH(Лист2!$B$5,I:I)),G5756=1),MAX($H$3:OFFSET(H5756,-1,0))+1,0)</f>
        <v>0</v>
      </c>
      <c r="I5756" s="3" t="s">
        <v>467</v>
      </c>
      <c r="K5756" s="2">
        <f>IF(ISNUMBER(SEARCH(Лист2!$B$4,F:F)),1,0)</f>
        <v>0</v>
      </c>
      <c r="L5756" s="14">
        <f>IF(ISNUMBER(SEARCH(Лист2!$B$5,I:I)),1,0)+K5756</f>
        <v>0</v>
      </c>
      <c r="M5756" s="3">
        <f ca="1">IF(AND(N5756&lt;&gt;N5755,ISNUMBER(SEARCH(Лист2!$B$6,N:N)),L5756=2),MAX($M$3:OFFSET(M5756,-1,0))+1,0)</f>
        <v>0</v>
      </c>
      <c r="N5756" s="3" t="s">
        <v>2620</v>
      </c>
    </row>
    <row r="5757" spans="1:14" x14ac:dyDescent="0.25">
      <c r="A5757" s="1" t="s">
        <v>14297</v>
      </c>
      <c r="B5757" s="3" t="s">
        <v>9374</v>
      </c>
      <c r="C5757" s="2">
        <f ca="1">IF(ISNUMBER(SEARCH(Лист2!$B$4,D:D)),MAX($C$3:OFFSET(C5757,-1,0))+1,0)</f>
        <v>0</v>
      </c>
      <c r="E5757" s="9" t="str">
        <f t="shared" ca="1" si="101"/>
        <v/>
      </c>
      <c r="F5757" s="4" t="s">
        <v>21</v>
      </c>
      <c r="G5757" s="2">
        <f>IF(ISNUMBER(SEARCH(Лист2!$B$4,F:F)),1,0)</f>
        <v>0</v>
      </c>
      <c r="H5757" s="3">
        <f ca="1">IF(AND(I5757&lt;&gt;I5756,ISNUMBER(SEARCH(Лист2!$B$5,I:I)),G5757=1),MAX($H$3:OFFSET(H5757,-1,0))+1,0)</f>
        <v>0</v>
      </c>
      <c r="I5757" s="3" t="s">
        <v>467</v>
      </c>
      <c r="K5757" s="2">
        <f>IF(ISNUMBER(SEARCH(Лист2!$B$4,F:F)),1,0)</f>
        <v>0</v>
      </c>
      <c r="L5757" s="14">
        <f>IF(ISNUMBER(SEARCH(Лист2!$B$5,I:I)),1,0)+K5757</f>
        <v>0</v>
      </c>
      <c r="M5757" s="3">
        <f ca="1">IF(AND(N5757&lt;&gt;N5756,ISNUMBER(SEARCH(Лист2!$B$6,N:N)),L5757=2),MAX($M$3:OFFSET(M5757,-1,0))+1,0)</f>
        <v>0</v>
      </c>
      <c r="N5757" s="3" t="s">
        <v>2620</v>
      </c>
    </row>
    <row r="5758" spans="1:14" x14ac:dyDescent="0.25">
      <c r="A5758" s="1" t="s">
        <v>14297</v>
      </c>
      <c r="B5758" s="3" t="s">
        <v>9375</v>
      </c>
      <c r="C5758" s="2">
        <f ca="1">IF(ISNUMBER(SEARCH(Лист2!$B$4,D:D)),MAX($C$3:OFFSET(C5758,-1,0))+1,0)</f>
        <v>0</v>
      </c>
      <c r="E5758" s="9" t="str">
        <f t="shared" ca="1" si="101"/>
        <v/>
      </c>
      <c r="F5758" s="4" t="s">
        <v>21</v>
      </c>
      <c r="G5758" s="2">
        <f>IF(ISNUMBER(SEARCH(Лист2!$B$4,F:F)),1,0)</f>
        <v>0</v>
      </c>
      <c r="H5758" s="3">
        <f ca="1">IF(AND(I5758&lt;&gt;I5757,ISNUMBER(SEARCH(Лист2!$B$5,I:I)),G5758=1),MAX($H$3:OFFSET(H5758,-1,0))+1,0)</f>
        <v>0</v>
      </c>
      <c r="I5758" s="3" t="s">
        <v>467</v>
      </c>
      <c r="K5758" s="2">
        <f>IF(ISNUMBER(SEARCH(Лист2!$B$4,F:F)),1,0)</f>
        <v>0</v>
      </c>
      <c r="L5758" s="14">
        <f>IF(ISNUMBER(SEARCH(Лист2!$B$5,I:I)),1,0)+K5758</f>
        <v>0</v>
      </c>
      <c r="M5758" s="3">
        <f ca="1">IF(AND(N5758&lt;&gt;N5757,ISNUMBER(SEARCH(Лист2!$B$6,N:N)),L5758=2),MAX($M$3:OFFSET(M5758,-1,0))+1,0)</f>
        <v>0</v>
      </c>
      <c r="N5758" s="3" t="s">
        <v>2620</v>
      </c>
    </row>
    <row r="5759" spans="1:14" x14ac:dyDescent="0.25">
      <c r="A5759" s="1" t="s">
        <v>14298</v>
      </c>
      <c r="B5759" s="3" t="s">
        <v>9376</v>
      </c>
      <c r="C5759" s="2">
        <f ca="1">IF(ISNUMBER(SEARCH(Лист2!$B$4,D:D)),MAX($C$3:OFFSET(C5759,-1,0))+1,0)</f>
        <v>0</v>
      </c>
      <c r="E5759" s="9" t="str">
        <f t="shared" ca="1" si="101"/>
        <v/>
      </c>
      <c r="F5759" s="4" t="s">
        <v>21</v>
      </c>
      <c r="G5759" s="2">
        <f>IF(ISNUMBER(SEARCH(Лист2!$B$4,F:F)),1,0)</f>
        <v>0</v>
      </c>
      <c r="H5759" s="3">
        <f ca="1">IF(AND(I5759&lt;&gt;I5758,ISNUMBER(SEARCH(Лист2!$B$5,I:I)),G5759=1),MAX($H$3:OFFSET(H5759,-1,0))+1,0)</f>
        <v>0</v>
      </c>
      <c r="I5759" s="3" t="s">
        <v>467</v>
      </c>
      <c r="K5759" s="2">
        <f>IF(ISNUMBER(SEARCH(Лист2!$B$4,F:F)),1,0)</f>
        <v>0</v>
      </c>
      <c r="L5759" s="14">
        <f>IF(ISNUMBER(SEARCH(Лист2!$B$5,I:I)),1,0)+K5759</f>
        <v>0</v>
      </c>
      <c r="M5759" s="3">
        <f ca="1">IF(AND(N5759&lt;&gt;N5758,ISNUMBER(SEARCH(Лист2!$B$6,N:N)),L5759=2),MAX($M$3:OFFSET(M5759,-1,0))+1,0)</f>
        <v>0</v>
      </c>
      <c r="N5759" s="3" t="s">
        <v>3374</v>
      </c>
    </row>
    <row r="5760" spans="1:14" x14ac:dyDescent="0.25">
      <c r="A5760" s="1" t="s">
        <v>14298</v>
      </c>
      <c r="B5760" s="3" t="s">
        <v>9377</v>
      </c>
      <c r="C5760" s="2">
        <f ca="1">IF(ISNUMBER(SEARCH(Лист2!$B$4,D:D)),MAX($C$3:OFFSET(C5760,-1,0))+1,0)</f>
        <v>0</v>
      </c>
      <c r="E5760" s="9" t="str">
        <f t="shared" ca="1" si="101"/>
        <v/>
      </c>
      <c r="F5760" s="4" t="s">
        <v>21</v>
      </c>
      <c r="G5760" s="2">
        <f>IF(ISNUMBER(SEARCH(Лист2!$B$4,F:F)),1,0)</f>
        <v>0</v>
      </c>
      <c r="H5760" s="3">
        <f ca="1">IF(AND(I5760&lt;&gt;I5759,ISNUMBER(SEARCH(Лист2!$B$5,I:I)),G5760=1),MAX($H$3:OFFSET(H5760,-1,0))+1,0)</f>
        <v>0</v>
      </c>
      <c r="I5760" s="3" t="s">
        <v>467</v>
      </c>
      <c r="K5760" s="2">
        <f>IF(ISNUMBER(SEARCH(Лист2!$B$4,F:F)),1,0)</f>
        <v>0</v>
      </c>
      <c r="L5760" s="14">
        <f>IF(ISNUMBER(SEARCH(Лист2!$B$5,I:I)),1,0)+K5760</f>
        <v>0</v>
      </c>
      <c r="M5760" s="3">
        <f ca="1">IF(AND(N5760&lt;&gt;N5759,ISNUMBER(SEARCH(Лист2!$B$6,N:N)),L5760=2),MAX($M$3:OFFSET(M5760,-1,0))+1,0)</f>
        <v>0</v>
      </c>
      <c r="N5760" s="3" t="s">
        <v>3374</v>
      </c>
    </row>
    <row r="5761" spans="1:14" x14ac:dyDescent="0.25">
      <c r="A5761" s="1" t="s">
        <v>14298</v>
      </c>
      <c r="B5761" s="3" t="s">
        <v>9378</v>
      </c>
      <c r="C5761" s="2">
        <f ca="1">IF(ISNUMBER(SEARCH(Лист2!$B$4,D:D)),MAX($C$3:OFFSET(C5761,-1,0))+1,0)</f>
        <v>0</v>
      </c>
      <c r="E5761" s="9" t="str">
        <f t="shared" ca="1" si="101"/>
        <v/>
      </c>
      <c r="F5761" s="4" t="s">
        <v>21</v>
      </c>
      <c r="G5761" s="2">
        <f>IF(ISNUMBER(SEARCH(Лист2!$B$4,F:F)),1,0)</f>
        <v>0</v>
      </c>
      <c r="H5761" s="3">
        <f ca="1">IF(AND(I5761&lt;&gt;I5760,ISNUMBER(SEARCH(Лист2!$B$5,I:I)),G5761=1),MAX($H$3:OFFSET(H5761,-1,0))+1,0)</f>
        <v>0</v>
      </c>
      <c r="I5761" s="3" t="s">
        <v>467</v>
      </c>
      <c r="K5761" s="2">
        <f>IF(ISNUMBER(SEARCH(Лист2!$B$4,F:F)),1,0)</f>
        <v>0</v>
      </c>
      <c r="L5761" s="14">
        <f>IF(ISNUMBER(SEARCH(Лист2!$B$5,I:I)),1,0)+K5761</f>
        <v>0</v>
      </c>
      <c r="M5761" s="3">
        <f ca="1">IF(AND(N5761&lt;&gt;N5760,ISNUMBER(SEARCH(Лист2!$B$6,N:N)),L5761=2),MAX($M$3:OFFSET(M5761,-1,0))+1,0)</f>
        <v>0</v>
      </c>
      <c r="N5761" s="3" t="s">
        <v>3374</v>
      </c>
    </row>
    <row r="5762" spans="1:14" x14ac:dyDescent="0.25">
      <c r="A5762" s="1" t="s">
        <v>14299</v>
      </c>
      <c r="B5762" s="3" t="s">
        <v>9379</v>
      </c>
      <c r="C5762" s="2">
        <f ca="1">IF(ISNUMBER(SEARCH(Лист2!$B$4,D:D)),MAX($C$3:OFFSET(C5762,-1,0))+1,0)</f>
        <v>0</v>
      </c>
      <c r="E5762" s="9" t="str">
        <f t="shared" ca="1" si="101"/>
        <v/>
      </c>
      <c r="F5762" s="4" t="s">
        <v>21</v>
      </c>
      <c r="G5762" s="2">
        <f>IF(ISNUMBER(SEARCH(Лист2!$B$4,F:F)),1,0)</f>
        <v>0</v>
      </c>
      <c r="H5762" s="3">
        <f ca="1">IF(AND(I5762&lt;&gt;I5761,ISNUMBER(SEARCH(Лист2!$B$5,I:I)),G5762=1),MAX($H$3:OFFSET(H5762,-1,0))+1,0)</f>
        <v>0</v>
      </c>
      <c r="I5762" s="3" t="s">
        <v>467</v>
      </c>
      <c r="K5762" s="2">
        <f>IF(ISNUMBER(SEARCH(Лист2!$B$4,F:F)),1,0)</f>
        <v>0</v>
      </c>
      <c r="L5762" s="14">
        <f>IF(ISNUMBER(SEARCH(Лист2!$B$5,I:I)),1,0)+K5762</f>
        <v>0</v>
      </c>
      <c r="M5762" s="3">
        <f ca="1">IF(AND(N5762&lt;&gt;N5761,ISNUMBER(SEARCH(Лист2!$B$6,N:N)),L5762=2),MAX($M$3:OFFSET(M5762,-1,0))+1,0)</f>
        <v>0</v>
      </c>
      <c r="N5762" s="3" t="s">
        <v>3375</v>
      </c>
    </row>
    <row r="5763" spans="1:14" x14ac:dyDescent="0.25">
      <c r="A5763" s="1" t="s">
        <v>14299</v>
      </c>
      <c r="B5763" s="3" t="s">
        <v>9380</v>
      </c>
      <c r="C5763" s="2">
        <f ca="1">IF(ISNUMBER(SEARCH(Лист2!$B$4,D:D)),MAX($C$3:OFFSET(C5763,-1,0))+1,0)</f>
        <v>0</v>
      </c>
      <c r="E5763" s="9" t="str">
        <f t="shared" ca="1" si="101"/>
        <v/>
      </c>
      <c r="F5763" s="4" t="s">
        <v>21</v>
      </c>
      <c r="G5763" s="2">
        <f>IF(ISNUMBER(SEARCH(Лист2!$B$4,F:F)),1,0)</f>
        <v>0</v>
      </c>
      <c r="H5763" s="3">
        <f ca="1">IF(AND(I5763&lt;&gt;I5762,ISNUMBER(SEARCH(Лист2!$B$5,I:I)),G5763=1),MAX($H$3:OFFSET(H5763,-1,0))+1,0)</f>
        <v>0</v>
      </c>
      <c r="I5763" s="3" t="s">
        <v>467</v>
      </c>
      <c r="K5763" s="2">
        <f>IF(ISNUMBER(SEARCH(Лист2!$B$4,F:F)),1,0)</f>
        <v>0</v>
      </c>
      <c r="L5763" s="14">
        <f>IF(ISNUMBER(SEARCH(Лист2!$B$5,I:I)),1,0)+K5763</f>
        <v>0</v>
      </c>
      <c r="M5763" s="3">
        <f ca="1">IF(AND(N5763&lt;&gt;N5762,ISNUMBER(SEARCH(Лист2!$B$6,N:N)),L5763=2),MAX($M$3:OFFSET(M5763,-1,0))+1,0)</f>
        <v>0</v>
      </c>
      <c r="N5763" s="3" t="s">
        <v>3375</v>
      </c>
    </row>
    <row r="5764" spans="1:14" x14ac:dyDescent="0.25">
      <c r="A5764" s="1" t="s">
        <v>14299</v>
      </c>
      <c r="B5764" s="3" t="s">
        <v>9381</v>
      </c>
      <c r="C5764" s="2">
        <f ca="1">IF(ISNUMBER(SEARCH(Лист2!$B$4,D:D)),MAX($C$3:OFFSET(C5764,-1,0))+1,0)</f>
        <v>0</v>
      </c>
      <c r="E5764" s="9" t="str">
        <f t="shared" ca="1" si="101"/>
        <v/>
      </c>
      <c r="F5764" s="4" t="s">
        <v>21</v>
      </c>
      <c r="G5764" s="2">
        <f>IF(ISNUMBER(SEARCH(Лист2!$B$4,F:F)),1,0)</f>
        <v>0</v>
      </c>
      <c r="H5764" s="3">
        <f ca="1">IF(AND(I5764&lt;&gt;I5763,ISNUMBER(SEARCH(Лист2!$B$5,I:I)),G5764=1),MAX($H$3:OFFSET(H5764,-1,0))+1,0)</f>
        <v>0</v>
      </c>
      <c r="I5764" s="3" t="s">
        <v>467</v>
      </c>
      <c r="K5764" s="2">
        <f>IF(ISNUMBER(SEARCH(Лист2!$B$4,F:F)),1,0)</f>
        <v>0</v>
      </c>
      <c r="L5764" s="14">
        <f>IF(ISNUMBER(SEARCH(Лист2!$B$5,I:I)),1,0)+K5764</f>
        <v>0</v>
      </c>
      <c r="M5764" s="3">
        <f ca="1">IF(AND(N5764&lt;&gt;N5763,ISNUMBER(SEARCH(Лист2!$B$6,N:N)),L5764=2),MAX($M$3:OFFSET(M5764,-1,0))+1,0)</f>
        <v>0</v>
      </c>
      <c r="N5764" s="3" t="s">
        <v>3375</v>
      </c>
    </row>
    <row r="5765" spans="1:14" x14ac:dyDescent="0.25">
      <c r="A5765" s="1" t="s">
        <v>14300</v>
      </c>
      <c r="B5765" s="3" t="s">
        <v>9382</v>
      </c>
      <c r="C5765" s="2">
        <f ca="1">IF(ISNUMBER(SEARCH(Лист2!$B$4,D:D)),MAX($C$3:OFFSET(C5765,-1,0))+1,0)</f>
        <v>0</v>
      </c>
      <c r="E5765" s="9" t="str">
        <f t="shared" ref="E5765:E5828" ca="1" si="102">IFERROR(INDEX(D:D,MATCH(ROW(E5765)-ROW($E$3),C:C,0)),"")</f>
        <v/>
      </c>
      <c r="F5765" s="4" t="s">
        <v>21</v>
      </c>
      <c r="G5765" s="2">
        <f>IF(ISNUMBER(SEARCH(Лист2!$B$4,F:F)),1,0)</f>
        <v>0</v>
      </c>
      <c r="H5765" s="3">
        <f ca="1">IF(AND(I5765&lt;&gt;I5764,ISNUMBER(SEARCH(Лист2!$B$5,I:I)),G5765=1),MAX($H$3:OFFSET(H5765,-1,0))+1,0)</f>
        <v>0</v>
      </c>
      <c r="I5765" s="3" t="s">
        <v>467</v>
      </c>
      <c r="K5765" s="2">
        <f>IF(ISNUMBER(SEARCH(Лист2!$B$4,F:F)),1,0)</f>
        <v>0</v>
      </c>
      <c r="L5765" s="14">
        <f>IF(ISNUMBER(SEARCH(Лист2!$B$5,I:I)),1,0)+K5765</f>
        <v>0</v>
      </c>
      <c r="M5765" s="3">
        <f ca="1">IF(AND(N5765&lt;&gt;N5764,ISNUMBER(SEARCH(Лист2!$B$6,N:N)),L5765=2),MAX($M$3:OFFSET(M5765,-1,0))+1,0)</f>
        <v>0</v>
      </c>
      <c r="N5765" s="3" t="s">
        <v>602</v>
      </c>
    </row>
    <row r="5766" spans="1:14" x14ac:dyDescent="0.25">
      <c r="A5766" s="1" t="s">
        <v>14301</v>
      </c>
      <c r="B5766" s="3" t="s">
        <v>9383</v>
      </c>
      <c r="C5766" s="2">
        <f ca="1">IF(ISNUMBER(SEARCH(Лист2!$B$4,D:D)),MAX($C$3:OFFSET(C5766,-1,0))+1,0)</f>
        <v>0</v>
      </c>
      <c r="E5766" s="9" t="str">
        <f t="shared" ca="1" si="102"/>
        <v/>
      </c>
      <c r="F5766" s="4" t="s">
        <v>21</v>
      </c>
      <c r="G5766" s="2">
        <f>IF(ISNUMBER(SEARCH(Лист2!$B$4,F:F)),1,0)</f>
        <v>0</v>
      </c>
      <c r="H5766" s="3">
        <f ca="1">IF(AND(I5766&lt;&gt;I5765,ISNUMBER(SEARCH(Лист2!$B$5,I:I)),G5766=1),MAX($H$3:OFFSET(H5766,-1,0))+1,0)</f>
        <v>0</v>
      </c>
      <c r="I5766" s="3" t="s">
        <v>467</v>
      </c>
      <c r="K5766" s="2">
        <f>IF(ISNUMBER(SEARCH(Лист2!$B$4,F:F)),1,0)</f>
        <v>0</v>
      </c>
      <c r="L5766" s="14">
        <f>IF(ISNUMBER(SEARCH(Лист2!$B$5,I:I)),1,0)+K5766</f>
        <v>0</v>
      </c>
      <c r="M5766" s="3">
        <f ca="1">IF(AND(N5766&lt;&gt;N5765,ISNUMBER(SEARCH(Лист2!$B$6,N:N)),L5766=2),MAX($M$3:OFFSET(M5766,-1,0))+1,0)</f>
        <v>0</v>
      </c>
      <c r="N5766" s="3" t="s">
        <v>3376</v>
      </c>
    </row>
    <row r="5767" spans="1:14" x14ac:dyDescent="0.25">
      <c r="A5767" s="1" t="s">
        <v>14302</v>
      </c>
      <c r="B5767" s="3" t="s">
        <v>9384</v>
      </c>
      <c r="C5767" s="2">
        <f ca="1">IF(ISNUMBER(SEARCH(Лист2!$B$4,D:D)),MAX($C$3:OFFSET(C5767,-1,0))+1,0)</f>
        <v>0</v>
      </c>
      <c r="E5767" s="9" t="str">
        <f t="shared" ca="1" si="102"/>
        <v/>
      </c>
      <c r="F5767" s="4" t="s">
        <v>21</v>
      </c>
      <c r="G5767" s="2">
        <f>IF(ISNUMBER(SEARCH(Лист2!$B$4,F:F)),1,0)</f>
        <v>0</v>
      </c>
      <c r="H5767" s="3">
        <f ca="1">IF(AND(I5767&lt;&gt;I5766,ISNUMBER(SEARCH(Лист2!$B$5,I:I)),G5767=1),MAX($H$3:OFFSET(H5767,-1,0))+1,0)</f>
        <v>0</v>
      </c>
      <c r="I5767" s="3" t="s">
        <v>467</v>
      </c>
      <c r="K5767" s="2">
        <f>IF(ISNUMBER(SEARCH(Лист2!$B$4,F:F)),1,0)</f>
        <v>0</v>
      </c>
      <c r="L5767" s="14">
        <f>IF(ISNUMBER(SEARCH(Лист2!$B$5,I:I)),1,0)+K5767</f>
        <v>0</v>
      </c>
      <c r="M5767" s="3">
        <f ca="1">IF(AND(N5767&lt;&gt;N5766,ISNUMBER(SEARCH(Лист2!$B$6,N:N)),L5767=2),MAX($M$3:OFFSET(M5767,-1,0))+1,0)</f>
        <v>0</v>
      </c>
      <c r="N5767" s="3" t="s">
        <v>3377</v>
      </c>
    </row>
    <row r="5768" spans="1:14" x14ac:dyDescent="0.25">
      <c r="A5768" s="1" t="s">
        <v>14303</v>
      </c>
      <c r="B5768" s="3" t="s">
        <v>9385</v>
      </c>
      <c r="C5768" s="2">
        <f ca="1">IF(ISNUMBER(SEARCH(Лист2!$B$4,D:D)),MAX($C$3:OFFSET(C5768,-1,0))+1,0)</f>
        <v>0</v>
      </c>
      <c r="E5768" s="9" t="str">
        <f t="shared" ca="1" si="102"/>
        <v/>
      </c>
      <c r="F5768" s="4" t="s">
        <v>21</v>
      </c>
      <c r="G5768" s="2">
        <f>IF(ISNUMBER(SEARCH(Лист2!$B$4,F:F)),1,0)</f>
        <v>0</v>
      </c>
      <c r="H5768" s="3">
        <f ca="1">IF(AND(I5768&lt;&gt;I5767,ISNUMBER(SEARCH(Лист2!$B$5,I:I)),G5768=1),MAX($H$3:OFFSET(H5768,-1,0))+1,0)</f>
        <v>0</v>
      </c>
      <c r="I5768" s="3" t="s">
        <v>468</v>
      </c>
      <c r="K5768" s="2">
        <f>IF(ISNUMBER(SEARCH(Лист2!$B$4,F:F)),1,0)</f>
        <v>0</v>
      </c>
      <c r="L5768" s="14">
        <f>IF(ISNUMBER(SEARCH(Лист2!$B$5,I:I)),1,0)+K5768</f>
        <v>0</v>
      </c>
      <c r="M5768" s="3">
        <f ca="1">IF(AND(N5768&lt;&gt;N5767,ISNUMBER(SEARCH(Лист2!$B$6,N:N)),L5768=2),MAX($M$3:OFFSET(M5768,-1,0))+1,0)</f>
        <v>0</v>
      </c>
      <c r="N5768" s="3" t="s">
        <v>3378</v>
      </c>
    </row>
    <row r="5769" spans="1:14" x14ac:dyDescent="0.25">
      <c r="A5769" s="1" t="s">
        <v>14304</v>
      </c>
      <c r="B5769" s="3" t="s">
        <v>9386</v>
      </c>
      <c r="C5769" s="2">
        <f ca="1">IF(ISNUMBER(SEARCH(Лист2!$B$4,D:D)),MAX($C$3:OFFSET(C5769,-1,0))+1,0)</f>
        <v>0</v>
      </c>
      <c r="E5769" s="9" t="str">
        <f t="shared" ca="1" si="102"/>
        <v/>
      </c>
      <c r="F5769" s="4" t="s">
        <v>21</v>
      </c>
      <c r="G5769" s="2">
        <f>IF(ISNUMBER(SEARCH(Лист2!$B$4,F:F)),1,0)</f>
        <v>0</v>
      </c>
      <c r="H5769" s="3">
        <f ca="1">IF(AND(I5769&lt;&gt;I5768,ISNUMBER(SEARCH(Лист2!$B$5,I:I)),G5769=1),MAX($H$3:OFFSET(H5769,-1,0))+1,0)</f>
        <v>0</v>
      </c>
      <c r="I5769" s="3" t="s">
        <v>468</v>
      </c>
      <c r="K5769" s="2">
        <f>IF(ISNUMBER(SEARCH(Лист2!$B$4,F:F)),1,0)</f>
        <v>0</v>
      </c>
      <c r="L5769" s="14">
        <f>IF(ISNUMBER(SEARCH(Лист2!$B$5,I:I)),1,0)+K5769</f>
        <v>0</v>
      </c>
      <c r="M5769" s="3">
        <f ca="1">IF(AND(N5769&lt;&gt;N5768,ISNUMBER(SEARCH(Лист2!$B$6,N:N)),L5769=2),MAX($M$3:OFFSET(M5769,-1,0))+1,0)</f>
        <v>0</v>
      </c>
      <c r="N5769" s="3" t="s">
        <v>2625</v>
      </c>
    </row>
    <row r="5770" spans="1:14" x14ac:dyDescent="0.25">
      <c r="A5770" s="1" t="s">
        <v>14304</v>
      </c>
      <c r="B5770" s="3" t="s">
        <v>9387</v>
      </c>
      <c r="C5770" s="2">
        <f ca="1">IF(ISNUMBER(SEARCH(Лист2!$B$4,D:D)),MAX($C$3:OFFSET(C5770,-1,0))+1,0)</f>
        <v>0</v>
      </c>
      <c r="E5770" s="9" t="str">
        <f t="shared" ca="1" si="102"/>
        <v/>
      </c>
      <c r="F5770" s="4" t="s">
        <v>21</v>
      </c>
      <c r="G5770" s="2">
        <f>IF(ISNUMBER(SEARCH(Лист2!$B$4,F:F)),1,0)</f>
        <v>0</v>
      </c>
      <c r="H5770" s="3">
        <f ca="1">IF(AND(I5770&lt;&gt;I5769,ISNUMBER(SEARCH(Лист2!$B$5,I:I)),G5770=1),MAX($H$3:OFFSET(H5770,-1,0))+1,0)</f>
        <v>0</v>
      </c>
      <c r="I5770" s="3" t="s">
        <v>468</v>
      </c>
      <c r="K5770" s="2">
        <f>IF(ISNUMBER(SEARCH(Лист2!$B$4,F:F)),1,0)</f>
        <v>0</v>
      </c>
      <c r="L5770" s="14">
        <f>IF(ISNUMBER(SEARCH(Лист2!$B$5,I:I)),1,0)+K5770</f>
        <v>0</v>
      </c>
      <c r="M5770" s="3">
        <f ca="1">IF(AND(N5770&lt;&gt;N5769,ISNUMBER(SEARCH(Лист2!$B$6,N:N)),L5770=2),MAX($M$3:OFFSET(M5770,-1,0))+1,0)</f>
        <v>0</v>
      </c>
      <c r="N5770" s="3" t="s">
        <v>2625</v>
      </c>
    </row>
    <row r="5771" spans="1:14" x14ac:dyDescent="0.25">
      <c r="A5771" s="1" t="s">
        <v>14304</v>
      </c>
      <c r="B5771" s="3" t="s">
        <v>9388</v>
      </c>
      <c r="C5771" s="2">
        <f ca="1">IF(ISNUMBER(SEARCH(Лист2!$B$4,D:D)),MAX($C$3:OFFSET(C5771,-1,0))+1,0)</f>
        <v>0</v>
      </c>
      <c r="E5771" s="9" t="str">
        <f t="shared" ca="1" si="102"/>
        <v/>
      </c>
      <c r="F5771" s="4" t="s">
        <v>21</v>
      </c>
      <c r="G5771" s="2">
        <f>IF(ISNUMBER(SEARCH(Лист2!$B$4,F:F)),1,0)</f>
        <v>0</v>
      </c>
      <c r="H5771" s="3">
        <f ca="1">IF(AND(I5771&lt;&gt;I5770,ISNUMBER(SEARCH(Лист2!$B$5,I:I)),G5771=1),MAX($H$3:OFFSET(H5771,-1,0))+1,0)</f>
        <v>0</v>
      </c>
      <c r="I5771" s="3" t="s">
        <v>468</v>
      </c>
      <c r="K5771" s="2">
        <f>IF(ISNUMBER(SEARCH(Лист2!$B$4,F:F)),1,0)</f>
        <v>0</v>
      </c>
      <c r="L5771" s="14">
        <f>IF(ISNUMBER(SEARCH(Лист2!$B$5,I:I)),1,0)+K5771</f>
        <v>0</v>
      </c>
      <c r="M5771" s="3">
        <f ca="1">IF(AND(N5771&lt;&gt;N5770,ISNUMBER(SEARCH(Лист2!$B$6,N:N)),L5771=2),MAX($M$3:OFFSET(M5771,-1,0))+1,0)</f>
        <v>0</v>
      </c>
      <c r="N5771" s="3" t="s">
        <v>2625</v>
      </c>
    </row>
    <row r="5772" spans="1:14" x14ac:dyDescent="0.25">
      <c r="A5772" s="1" t="s">
        <v>14305</v>
      </c>
      <c r="B5772" s="3" t="s">
        <v>9389</v>
      </c>
      <c r="C5772" s="2">
        <f ca="1">IF(ISNUMBER(SEARCH(Лист2!$B$4,D:D)),MAX($C$3:OFFSET(C5772,-1,0))+1,0)</f>
        <v>0</v>
      </c>
      <c r="E5772" s="9" t="str">
        <f t="shared" ca="1" si="102"/>
        <v/>
      </c>
      <c r="F5772" s="4" t="s">
        <v>21</v>
      </c>
      <c r="G5772" s="2">
        <f>IF(ISNUMBER(SEARCH(Лист2!$B$4,F:F)),1,0)</f>
        <v>0</v>
      </c>
      <c r="H5772" s="3">
        <f ca="1">IF(AND(I5772&lt;&gt;I5771,ISNUMBER(SEARCH(Лист2!$B$5,I:I)),G5772=1),MAX($H$3:OFFSET(H5772,-1,0))+1,0)</f>
        <v>0</v>
      </c>
      <c r="I5772" s="3" t="s">
        <v>468</v>
      </c>
      <c r="K5772" s="2">
        <f>IF(ISNUMBER(SEARCH(Лист2!$B$4,F:F)),1,0)</f>
        <v>0</v>
      </c>
      <c r="L5772" s="14">
        <f>IF(ISNUMBER(SEARCH(Лист2!$B$5,I:I)),1,0)+K5772</f>
        <v>0</v>
      </c>
      <c r="M5772" s="3">
        <f ca="1">IF(AND(N5772&lt;&gt;N5771,ISNUMBER(SEARCH(Лист2!$B$6,N:N)),L5772=2),MAX($M$3:OFFSET(M5772,-1,0))+1,0)</f>
        <v>0</v>
      </c>
      <c r="N5772" s="3" t="s">
        <v>3379</v>
      </c>
    </row>
    <row r="5773" spans="1:14" x14ac:dyDescent="0.25">
      <c r="A5773" s="1" t="s">
        <v>14305</v>
      </c>
      <c r="B5773" s="3" t="s">
        <v>9390</v>
      </c>
      <c r="C5773" s="2">
        <f ca="1">IF(ISNUMBER(SEARCH(Лист2!$B$4,D:D)),MAX($C$3:OFFSET(C5773,-1,0))+1,0)</f>
        <v>0</v>
      </c>
      <c r="E5773" s="9" t="str">
        <f t="shared" ca="1" si="102"/>
        <v/>
      </c>
      <c r="F5773" s="4" t="s">
        <v>21</v>
      </c>
      <c r="G5773" s="2">
        <f>IF(ISNUMBER(SEARCH(Лист2!$B$4,F:F)),1,0)</f>
        <v>0</v>
      </c>
      <c r="H5773" s="3">
        <f ca="1">IF(AND(I5773&lt;&gt;I5772,ISNUMBER(SEARCH(Лист2!$B$5,I:I)),G5773=1),MAX($H$3:OFFSET(H5773,-1,0))+1,0)</f>
        <v>0</v>
      </c>
      <c r="I5773" s="3" t="s">
        <v>468</v>
      </c>
      <c r="K5773" s="2">
        <f>IF(ISNUMBER(SEARCH(Лист2!$B$4,F:F)),1,0)</f>
        <v>0</v>
      </c>
      <c r="L5773" s="14">
        <f>IF(ISNUMBER(SEARCH(Лист2!$B$5,I:I)),1,0)+K5773</f>
        <v>0</v>
      </c>
      <c r="M5773" s="3">
        <f ca="1">IF(AND(N5773&lt;&gt;N5772,ISNUMBER(SEARCH(Лист2!$B$6,N:N)),L5773=2),MAX($M$3:OFFSET(M5773,-1,0))+1,0)</f>
        <v>0</v>
      </c>
      <c r="N5773" s="3" t="s">
        <v>3379</v>
      </c>
    </row>
    <row r="5774" spans="1:14" x14ac:dyDescent="0.25">
      <c r="A5774" s="1" t="s">
        <v>14305</v>
      </c>
      <c r="B5774" s="3" t="s">
        <v>9391</v>
      </c>
      <c r="C5774" s="2">
        <f ca="1">IF(ISNUMBER(SEARCH(Лист2!$B$4,D:D)),MAX($C$3:OFFSET(C5774,-1,0))+1,0)</f>
        <v>0</v>
      </c>
      <c r="E5774" s="9" t="str">
        <f t="shared" ca="1" si="102"/>
        <v/>
      </c>
      <c r="F5774" s="4" t="s">
        <v>21</v>
      </c>
      <c r="G5774" s="2">
        <f>IF(ISNUMBER(SEARCH(Лист2!$B$4,F:F)),1,0)</f>
        <v>0</v>
      </c>
      <c r="H5774" s="3">
        <f ca="1">IF(AND(I5774&lt;&gt;I5773,ISNUMBER(SEARCH(Лист2!$B$5,I:I)),G5774=1),MAX($H$3:OFFSET(H5774,-1,0))+1,0)</f>
        <v>0</v>
      </c>
      <c r="I5774" s="3" t="s">
        <v>468</v>
      </c>
      <c r="K5774" s="2">
        <f>IF(ISNUMBER(SEARCH(Лист2!$B$4,F:F)),1,0)</f>
        <v>0</v>
      </c>
      <c r="L5774" s="14">
        <f>IF(ISNUMBER(SEARCH(Лист2!$B$5,I:I)),1,0)+K5774</f>
        <v>0</v>
      </c>
      <c r="M5774" s="3">
        <f ca="1">IF(AND(N5774&lt;&gt;N5773,ISNUMBER(SEARCH(Лист2!$B$6,N:N)),L5774=2),MAX($M$3:OFFSET(M5774,-1,0))+1,0)</f>
        <v>0</v>
      </c>
      <c r="N5774" s="3" t="s">
        <v>3379</v>
      </c>
    </row>
    <row r="5775" spans="1:14" x14ac:dyDescent="0.25">
      <c r="A5775" s="1" t="s">
        <v>14306</v>
      </c>
      <c r="B5775" s="3" t="s">
        <v>9392</v>
      </c>
      <c r="C5775" s="2">
        <f ca="1">IF(ISNUMBER(SEARCH(Лист2!$B$4,D:D)),MAX($C$3:OFFSET(C5775,-1,0))+1,0)</f>
        <v>0</v>
      </c>
      <c r="E5775" s="9" t="str">
        <f t="shared" ca="1" si="102"/>
        <v/>
      </c>
      <c r="F5775" s="4" t="s">
        <v>21</v>
      </c>
      <c r="G5775" s="2">
        <f>IF(ISNUMBER(SEARCH(Лист2!$B$4,F:F)),1,0)</f>
        <v>0</v>
      </c>
      <c r="H5775" s="3">
        <f ca="1">IF(AND(I5775&lt;&gt;I5774,ISNUMBER(SEARCH(Лист2!$B$5,I:I)),G5775=1),MAX($H$3:OFFSET(H5775,-1,0))+1,0)</f>
        <v>0</v>
      </c>
      <c r="I5775" s="3" t="s">
        <v>468</v>
      </c>
      <c r="K5775" s="2">
        <f>IF(ISNUMBER(SEARCH(Лист2!$B$4,F:F)),1,0)</f>
        <v>0</v>
      </c>
      <c r="L5775" s="14">
        <f>IF(ISNUMBER(SEARCH(Лист2!$B$5,I:I)),1,0)+K5775</f>
        <v>0</v>
      </c>
      <c r="M5775" s="3">
        <f ca="1">IF(AND(N5775&lt;&gt;N5774,ISNUMBER(SEARCH(Лист2!$B$6,N:N)),L5775=2),MAX($M$3:OFFSET(M5775,-1,0))+1,0)</f>
        <v>0</v>
      </c>
      <c r="N5775" s="3" t="s">
        <v>3380</v>
      </c>
    </row>
    <row r="5776" spans="1:14" x14ac:dyDescent="0.25">
      <c r="A5776" s="1" t="s">
        <v>14306</v>
      </c>
      <c r="B5776" s="3" t="s">
        <v>9393</v>
      </c>
      <c r="C5776" s="2">
        <f ca="1">IF(ISNUMBER(SEARCH(Лист2!$B$4,D:D)),MAX($C$3:OFFSET(C5776,-1,0))+1,0)</f>
        <v>0</v>
      </c>
      <c r="E5776" s="9" t="str">
        <f t="shared" ca="1" si="102"/>
        <v/>
      </c>
      <c r="F5776" s="4" t="s">
        <v>21</v>
      </c>
      <c r="G5776" s="2">
        <f>IF(ISNUMBER(SEARCH(Лист2!$B$4,F:F)),1,0)</f>
        <v>0</v>
      </c>
      <c r="H5776" s="3">
        <f ca="1">IF(AND(I5776&lt;&gt;I5775,ISNUMBER(SEARCH(Лист2!$B$5,I:I)),G5776=1),MAX($H$3:OFFSET(H5776,-1,0))+1,0)</f>
        <v>0</v>
      </c>
      <c r="I5776" s="3" t="s">
        <v>468</v>
      </c>
      <c r="K5776" s="2">
        <f>IF(ISNUMBER(SEARCH(Лист2!$B$4,F:F)),1,0)</f>
        <v>0</v>
      </c>
      <c r="L5776" s="14">
        <f>IF(ISNUMBER(SEARCH(Лист2!$B$5,I:I)),1,0)+K5776</f>
        <v>0</v>
      </c>
      <c r="M5776" s="3">
        <f ca="1">IF(AND(N5776&lt;&gt;N5775,ISNUMBER(SEARCH(Лист2!$B$6,N:N)),L5776=2),MAX($M$3:OFFSET(M5776,-1,0))+1,0)</f>
        <v>0</v>
      </c>
      <c r="N5776" s="3" t="s">
        <v>3380</v>
      </c>
    </row>
    <row r="5777" spans="1:14" x14ac:dyDescent="0.25">
      <c r="A5777" s="1" t="s">
        <v>14306</v>
      </c>
      <c r="B5777" s="3" t="s">
        <v>9394</v>
      </c>
      <c r="C5777" s="2">
        <f ca="1">IF(ISNUMBER(SEARCH(Лист2!$B$4,D:D)),MAX($C$3:OFFSET(C5777,-1,0))+1,0)</f>
        <v>0</v>
      </c>
      <c r="E5777" s="9" t="str">
        <f t="shared" ca="1" si="102"/>
        <v/>
      </c>
      <c r="F5777" s="4" t="s">
        <v>21</v>
      </c>
      <c r="G5777" s="2">
        <f>IF(ISNUMBER(SEARCH(Лист2!$B$4,F:F)),1,0)</f>
        <v>0</v>
      </c>
      <c r="H5777" s="3">
        <f ca="1">IF(AND(I5777&lt;&gt;I5776,ISNUMBER(SEARCH(Лист2!$B$5,I:I)),G5777=1),MAX($H$3:OFFSET(H5777,-1,0))+1,0)</f>
        <v>0</v>
      </c>
      <c r="I5777" s="3" t="s">
        <v>468</v>
      </c>
      <c r="K5777" s="2">
        <f>IF(ISNUMBER(SEARCH(Лист2!$B$4,F:F)),1,0)</f>
        <v>0</v>
      </c>
      <c r="L5777" s="14">
        <f>IF(ISNUMBER(SEARCH(Лист2!$B$5,I:I)),1,0)+K5777</f>
        <v>0</v>
      </c>
      <c r="M5777" s="3">
        <f ca="1">IF(AND(N5777&lt;&gt;N5776,ISNUMBER(SEARCH(Лист2!$B$6,N:N)),L5777=2),MAX($M$3:OFFSET(M5777,-1,0))+1,0)</f>
        <v>0</v>
      </c>
      <c r="N5777" s="3" t="s">
        <v>3380</v>
      </c>
    </row>
    <row r="5778" spans="1:14" x14ac:dyDescent="0.25">
      <c r="A5778" s="1" t="s">
        <v>14307</v>
      </c>
      <c r="B5778" s="3" t="s">
        <v>9395</v>
      </c>
      <c r="C5778" s="2">
        <f ca="1">IF(ISNUMBER(SEARCH(Лист2!$B$4,D:D)),MAX($C$3:OFFSET(C5778,-1,0))+1,0)</f>
        <v>0</v>
      </c>
      <c r="E5778" s="9" t="str">
        <f t="shared" ca="1" si="102"/>
        <v/>
      </c>
      <c r="F5778" s="4" t="s">
        <v>21</v>
      </c>
      <c r="G5778" s="2">
        <f>IF(ISNUMBER(SEARCH(Лист2!$B$4,F:F)),1,0)</f>
        <v>0</v>
      </c>
      <c r="H5778" s="3">
        <f ca="1">IF(AND(I5778&lt;&gt;I5777,ISNUMBER(SEARCH(Лист2!$B$5,I:I)),G5778=1),MAX($H$3:OFFSET(H5778,-1,0))+1,0)</f>
        <v>0</v>
      </c>
      <c r="I5778" s="3" t="s">
        <v>468</v>
      </c>
      <c r="K5778" s="2">
        <f>IF(ISNUMBER(SEARCH(Лист2!$B$4,F:F)),1,0)</f>
        <v>0</v>
      </c>
      <c r="L5778" s="14">
        <f>IF(ISNUMBER(SEARCH(Лист2!$B$5,I:I)),1,0)+K5778</f>
        <v>0</v>
      </c>
      <c r="M5778" s="3">
        <f ca="1">IF(AND(N5778&lt;&gt;N5777,ISNUMBER(SEARCH(Лист2!$B$6,N:N)),L5778=2),MAX($M$3:OFFSET(M5778,-1,0))+1,0)</f>
        <v>0</v>
      </c>
      <c r="N5778" s="3" t="s">
        <v>602</v>
      </c>
    </row>
    <row r="5779" spans="1:14" x14ac:dyDescent="0.25">
      <c r="A5779" s="1" t="s">
        <v>14308</v>
      </c>
      <c r="B5779" s="3" t="s">
        <v>9396</v>
      </c>
      <c r="C5779" s="2">
        <f ca="1">IF(ISNUMBER(SEARCH(Лист2!$B$4,D:D)),MAX($C$3:OFFSET(C5779,-1,0))+1,0)</f>
        <v>0</v>
      </c>
      <c r="E5779" s="9" t="str">
        <f t="shared" ca="1" si="102"/>
        <v/>
      </c>
      <c r="F5779" s="4" t="s">
        <v>21</v>
      </c>
      <c r="G5779" s="2">
        <f>IF(ISNUMBER(SEARCH(Лист2!$B$4,F:F)),1,0)</f>
        <v>0</v>
      </c>
      <c r="H5779" s="3">
        <f ca="1">IF(AND(I5779&lt;&gt;I5778,ISNUMBER(SEARCH(Лист2!$B$5,I:I)),G5779=1),MAX($H$3:OFFSET(H5779,-1,0))+1,0)</f>
        <v>0</v>
      </c>
      <c r="I5779" s="3" t="s">
        <v>468</v>
      </c>
      <c r="K5779" s="2">
        <f>IF(ISNUMBER(SEARCH(Лист2!$B$4,F:F)),1,0)</f>
        <v>0</v>
      </c>
      <c r="L5779" s="14">
        <f>IF(ISNUMBER(SEARCH(Лист2!$B$5,I:I)),1,0)+K5779</f>
        <v>0</v>
      </c>
      <c r="M5779" s="3">
        <f ca="1">IF(AND(N5779&lt;&gt;N5778,ISNUMBER(SEARCH(Лист2!$B$6,N:N)),L5779=2),MAX($M$3:OFFSET(M5779,-1,0))+1,0)</f>
        <v>0</v>
      </c>
      <c r="N5779" s="3" t="s">
        <v>3381</v>
      </c>
    </row>
    <row r="5780" spans="1:14" x14ac:dyDescent="0.25">
      <c r="A5780" s="1" t="s">
        <v>14309</v>
      </c>
      <c r="B5780" s="3" t="s">
        <v>9397</v>
      </c>
      <c r="C5780" s="2">
        <f ca="1">IF(ISNUMBER(SEARCH(Лист2!$B$4,D:D)),MAX($C$3:OFFSET(C5780,-1,0))+1,0)</f>
        <v>0</v>
      </c>
      <c r="E5780" s="9" t="str">
        <f t="shared" ca="1" si="102"/>
        <v/>
      </c>
      <c r="F5780" s="4" t="s">
        <v>21</v>
      </c>
      <c r="G5780" s="2">
        <f>IF(ISNUMBER(SEARCH(Лист2!$B$4,F:F)),1,0)</f>
        <v>0</v>
      </c>
      <c r="H5780" s="3">
        <f ca="1">IF(AND(I5780&lt;&gt;I5779,ISNUMBER(SEARCH(Лист2!$B$5,I:I)),G5780=1),MAX($H$3:OFFSET(H5780,-1,0))+1,0)</f>
        <v>0</v>
      </c>
      <c r="I5780" s="3" t="s">
        <v>468</v>
      </c>
      <c r="K5780" s="2">
        <f>IF(ISNUMBER(SEARCH(Лист2!$B$4,F:F)),1,0)</f>
        <v>0</v>
      </c>
      <c r="L5780" s="14">
        <f>IF(ISNUMBER(SEARCH(Лист2!$B$5,I:I)),1,0)+K5780</f>
        <v>0</v>
      </c>
      <c r="M5780" s="3">
        <f ca="1">IF(AND(N5780&lt;&gt;N5779,ISNUMBER(SEARCH(Лист2!$B$6,N:N)),L5780=2),MAX($M$3:OFFSET(M5780,-1,0))+1,0)</f>
        <v>0</v>
      </c>
      <c r="N5780" s="3" t="s">
        <v>3382</v>
      </c>
    </row>
    <row r="5781" spans="1:14" x14ac:dyDescent="0.25">
      <c r="A5781" s="1" t="s">
        <v>14310</v>
      </c>
      <c r="B5781" s="3" t="s">
        <v>9398</v>
      </c>
      <c r="C5781" s="2">
        <f ca="1">IF(ISNUMBER(SEARCH(Лист2!$B$4,D:D)),MAX($C$3:OFFSET(C5781,-1,0))+1,0)</f>
        <v>0</v>
      </c>
      <c r="E5781" s="9" t="str">
        <f t="shared" ca="1" si="102"/>
        <v/>
      </c>
      <c r="F5781" s="4" t="s">
        <v>21</v>
      </c>
      <c r="G5781" s="2">
        <f>IF(ISNUMBER(SEARCH(Лист2!$B$4,F:F)),1,0)</f>
        <v>0</v>
      </c>
      <c r="H5781" s="3">
        <f ca="1">IF(AND(I5781&lt;&gt;I5780,ISNUMBER(SEARCH(Лист2!$B$5,I:I)),G5781=1),MAX($H$3:OFFSET(H5781,-1,0))+1,0)</f>
        <v>0</v>
      </c>
      <c r="I5781" s="3" t="s">
        <v>468</v>
      </c>
      <c r="K5781" s="2">
        <f>IF(ISNUMBER(SEARCH(Лист2!$B$4,F:F)),1,0)</f>
        <v>0</v>
      </c>
      <c r="L5781" s="14">
        <f>IF(ISNUMBER(SEARCH(Лист2!$B$5,I:I)),1,0)+K5781</f>
        <v>0</v>
      </c>
      <c r="M5781" s="3">
        <f ca="1">IF(AND(N5781&lt;&gt;N5780,ISNUMBER(SEARCH(Лист2!$B$6,N:N)),L5781=2),MAX($M$3:OFFSET(M5781,-1,0))+1,0)</f>
        <v>0</v>
      </c>
      <c r="N5781" s="3" t="s">
        <v>3383</v>
      </c>
    </row>
    <row r="5782" spans="1:14" x14ac:dyDescent="0.25">
      <c r="A5782" s="1" t="s">
        <v>14311</v>
      </c>
      <c r="B5782" s="3" t="s">
        <v>9399</v>
      </c>
      <c r="C5782" s="2">
        <f ca="1">IF(ISNUMBER(SEARCH(Лист2!$B$4,D:D)),MAX($C$3:OFFSET(C5782,-1,0))+1,0)</f>
        <v>0</v>
      </c>
      <c r="E5782" s="9" t="str">
        <f t="shared" ca="1" si="102"/>
        <v/>
      </c>
      <c r="F5782" s="4" t="s">
        <v>21</v>
      </c>
      <c r="G5782" s="2">
        <f>IF(ISNUMBER(SEARCH(Лист2!$B$4,F:F)),1,0)</f>
        <v>0</v>
      </c>
      <c r="H5782" s="3">
        <f ca="1">IF(AND(I5782&lt;&gt;I5781,ISNUMBER(SEARCH(Лист2!$B$5,I:I)),G5782=1),MAX($H$3:OFFSET(H5782,-1,0))+1,0)</f>
        <v>0</v>
      </c>
      <c r="I5782" s="3" t="s">
        <v>468</v>
      </c>
      <c r="K5782" s="2">
        <f>IF(ISNUMBER(SEARCH(Лист2!$B$4,F:F)),1,0)</f>
        <v>0</v>
      </c>
      <c r="L5782" s="14">
        <f>IF(ISNUMBER(SEARCH(Лист2!$B$5,I:I)),1,0)+K5782</f>
        <v>0</v>
      </c>
      <c r="M5782" s="3">
        <f ca="1">IF(AND(N5782&lt;&gt;N5781,ISNUMBER(SEARCH(Лист2!$B$6,N:N)),L5782=2),MAX($M$3:OFFSET(M5782,-1,0))+1,0)</f>
        <v>0</v>
      </c>
      <c r="N5782" s="3" t="s">
        <v>3384</v>
      </c>
    </row>
    <row r="5783" spans="1:14" x14ac:dyDescent="0.25">
      <c r="A5783" s="1" t="s">
        <v>14312</v>
      </c>
      <c r="B5783" s="3" t="s">
        <v>9400</v>
      </c>
      <c r="C5783" s="2">
        <f ca="1">IF(ISNUMBER(SEARCH(Лист2!$B$4,D:D)),MAX($C$3:OFFSET(C5783,-1,0))+1,0)</f>
        <v>0</v>
      </c>
      <c r="E5783" s="9" t="str">
        <f t="shared" ca="1" si="102"/>
        <v/>
      </c>
      <c r="F5783" s="4" t="s">
        <v>21</v>
      </c>
      <c r="G5783" s="2">
        <f>IF(ISNUMBER(SEARCH(Лист2!$B$4,F:F)),1,0)</f>
        <v>0</v>
      </c>
      <c r="H5783" s="3">
        <f ca="1">IF(AND(I5783&lt;&gt;I5782,ISNUMBER(SEARCH(Лист2!$B$5,I:I)),G5783=1),MAX($H$3:OFFSET(H5783,-1,0))+1,0)</f>
        <v>0</v>
      </c>
      <c r="I5783" s="3" t="s">
        <v>468</v>
      </c>
      <c r="K5783" s="2">
        <f>IF(ISNUMBER(SEARCH(Лист2!$B$4,F:F)),1,0)</f>
        <v>0</v>
      </c>
      <c r="L5783" s="14">
        <f>IF(ISNUMBER(SEARCH(Лист2!$B$5,I:I)),1,0)+K5783</f>
        <v>0</v>
      </c>
      <c r="M5783" s="3">
        <f ca="1">IF(AND(N5783&lt;&gt;N5782,ISNUMBER(SEARCH(Лист2!$B$6,N:N)),L5783=2),MAX($M$3:OFFSET(M5783,-1,0))+1,0)</f>
        <v>0</v>
      </c>
      <c r="N5783" s="3" t="s">
        <v>3385</v>
      </c>
    </row>
    <row r="5784" spans="1:14" x14ac:dyDescent="0.25">
      <c r="A5784" s="1" t="s">
        <v>14313</v>
      </c>
      <c r="B5784" s="3" t="s">
        <v>9401</v>
      </c>
      <c r="C5784" s="2">
        <f ca="1">IF(ISNUMBER(SEARCH(Лист2!$B$4,D:D)),MAX($C$3:OFFSET(C5784,-1,0))+1,0)</f>
        <v>0</v>
      </c>
      <c r="E5784" s="9" t="str">
        <f t="shared" ca="1" si="102"/>
        <v/>
      </c>
      <c r="F5784" s="4" t="s">
        <v>21</v>
      </c>
      <c r="G5784" s="2">
        <f>IF(ISNUMBER(SEARCH(Лист2!$B$4,F:F)),1,0)</f>
        <v>0</v>
      </c>
      <c r="H5784" s="3">
        <f ca="1">IF(AND(I5784&lt;&gt;I5783,ISNUMBER(SEARCH(Лист2!$B$5,I:I)),G5784=1),MAX($H$3:OFFSET(H5784,-1,0))+1,0)</f>
        <v>0</v>
      </c>
      <c r="I5784" s="3" t="s">
        <v>469</v>
      </c>
      <c r="K5784" s="2">
        <f>IF(ISNUMBER(SEARCH(Лист2!$B$4,F:F)),1,0)</f>
        <v>0</v>
      </c>
      <c r="L5784" s="14">
        <f>IF(ISNUMBER(SEARCH(Лист2!$B$5,I:I)),1,0)+K5784</f>
        <v>0</v>
      </c>
      <c r="M5784" s="3">
        <f ca="1">IF(AND(N5784&lt;&gt;N5783,ISNUMBER(SEARCH(Лист2!$B$6,N:N)),L5784=2),MAX($M$3:OFFSET(M5784,-1,0))+1,0)</f>
        <v>0</v>
      </c>
      <c r="N5784" s="3" t="s">
        <v>3353</v>
      </c>
    </row>
    <row r="5785" spans="1:14" x14ac:dyDescent="0.25">
      <c r="A5785" s="1" t="s">
        <v>14314</v>
      </c>
      <c r="B5785" s="3" t="s">
        <v>9402</v>
      </c>
      <c r="C5785" s="2">
        <f ca="1">IF(ISNUMBER(SEARCH(Лист2!$B$4,D:D)),MAX($C$3:OFFSET(C5785,-1,0))+1,0)</f>
        <v>0</v>
      </c>
      <c r="E5785" s="9" t="str">
        <f t="shared" ca="1" si="102"/>
        <v/>
      </c>
      <c r="F5785" s="4" t="s">
        <v>21</v>
      </c>
      <c r="G5785" s="2">
        <f>IF(ISNUMBER(SEARCH(Лист2!$B$4,F:F)),1,0)</f>
        <v>0</v>
      </c>
      <c r="H5785" s="3">
        <f ca="1">IF(AND(I5785&lt;&gt;I5784,ISNUMBER(SEARCH(Лист2!$B$5,I:I)),G5785=1),MAX($H$3:OFFSET(H5785,-1,0))+1,0)</f>
        <v>0</v>
      </c>
      <c r="I5785" s="3" t="s">
        <v>470</v>
      </c>
      <c r="K5785" s="2">
        <f>IF(ISNUMBER(SEARCH(Лист2!$B$4,F:F)),1,0)</f>
        <v>0</v>
      </c>
      <c r="L5785" s="14">
        <f>IF(ISNUMBER(SEARCH(Лист2!$B$5,I:I)),1,0)+K5785</f>
        <v>0</v>
      </c>
      <c r="M5785" s="3">
        <f ca="1">IF(AND(N5785&lt;&gt;N5784,ISNUMBER(SEARCH(Лист2!$B$6,N:N)),L5785=2),MAX($M$3:OFFSET(M5785,-1,0))+1,0)</f>
        <v>0</v>
      </c>
      <c r="N5785" s="3" t="s">
        <v>3386</v>
      </c>
    </row>
    <row r="5786" spans="1:14" x14ac:dyDescent="0.25">
      <c r="A5786" s="1" t="s">
        <v>14315</v>
      </c>
      <c r="B5786" s="3" t="s">
        <v>9403</v>
      </c>
      <c r="C5786" s="2">
        <f ca="1">IF(ISNUMBER(SEARCH(Лист2!$B$4,D:D)),MAX($C$3:OFFSET(C5786,-1,0))+1,0)</f>
        <v>0</v>
      </c>
      <c r="E5786" s="9" t="str">
        <f t="shared" ca="1" si="102"/>
        <v/>
      </c>
      <c r="F5786" s="4" t="s">
        <v>21</v>
      </c>
      <c r="G5786" s="2">
        <f>IF(ISNUMBER(SEARCH(Лист2!$B$4,F:F)),1,0)</f>
        <v>0</v>
      </c>
      <c r="H5786" s="3">
        <f ca="1">IF(AND(I5786&lt;&gt;I5785,ISNUMBER(SEARCH(Лист2!$B$5,I:I)),G5786=1),MAX($H$3:OFFSET(H5786,-1,0))+1,0)</f>
        <v>0</v>
      </c>
      <c r="I5786" s="3" t="s">
        <v>471</v>
      </c>
      <c r="K5786" s="2">
        <f>IF(ISNUMBER(SEARCH(Лист2!$B$4,F:F)),1,0)</f>
        <v>0</v>
      </c>
      <c r="L5786" s="14">
        <f>IF(ISNUMBER(SEARCH(Лист2!$B$5,I:I)),1,0)+K5786</f>
        <v>0</v>
      </c>
      <c r="M5786" s="3">
        <f ca="1">IF(AND(N5786&lt;&gt;N5785,ISNUMBER(SEARCH(Лист2!$B$6,N:N)),L5786=2),MAX($M$3:OFFSET(M5786,-1,0))+1,0)</f>
        <v>0</v>
      </c>
      <c r="N5786" s="3" t="s">
        <v>3387</v>
      </c>
    </row>
    <row r="5787" spans="1:14" x14ac:dyDescent="0.25">
      <c r="A5787" s="1" t="s">
        <v>14316</v>
      </c>
      <c r="B5787" s="3" t="s">
        <v>9404</v>
      </c>
      <c r="C5787" s="2">
        <f ca="1">IF(ISNUMBER(SEARCH(Лист2!$B$4,D:D)),MAX($C$3:OFFSET(C5787,-1,0))+1,0)</f>
        <v>0</v>
      </c>
      <c r="E5787" s="9" t="str">
        <f t="shared" ca="1" si="102"/>
        <v/>
      </c>
      <c r="F5787" s="4" t="s">
        <v>21</v>
      </c>
      <c r="G5787" s="2">
        <f>IF(ISNUMBER(SEARCH(Лист2!$B$4,F:F)),1,0)</f>
        <v>0</v>
      </c>
      <c r="H5787" s="3">
        <f ca="1">IF(AND(I5787&lt;&gt;I5786,ISNUMBER(SEARCH(Лист2!$B$5,I:I)),G5787=1),MAX($H$3:OFFSET(H5787,-1,0))+1,0)</f>
        <v>0</v>
      </c>
      <c r="I5787" s="3" t="s">
        <v>470</v>
      </c>
      <c r="K5787" s="2">
        <f>IF(ISNUMBER(SEARCH(Лист2!$B$4,F:F)),1,0)</f>
        <v>0</v>
      </c>
      <c r="L5787" s="14">
        <f>IF(ISNUMBER(SEARCH(Лист2!$B$5,I:I)),1,0)+K5787</f>
        <v>0</v>
      </c>
      <c r="M5787" s="3">
        <f ca="1">IF(AND(N5787&lt;&gt;N5786,ISNUMBER(SEARCH(Лист2!$B$6,N:N)),L5787=2),MAX($M$3:OFFSET(M5787,-1,0))+1,0)</f>
        <v>0</v>
      </c>
      <c r="N5787" s="3" t="s">
        <v>3388</v>
      </c>
    </row>
    <row r="5788" spans="1:14" x14ac:dyDescent="0.25">
      <c r="A5788" s="1" t="s">
        <v>14316</v>
      </c>
      <c r="B5788" s="3" t="s">
        <v>9405</v>
      </c>
      <c r="C5788" s="2">
        <f ca="1">IF(ISNUMBER(SEARCH(Лист2!$B$4,D:D)),MAX($C$3:OFFSET(C5788,-1,0))+1,0)</f>
        <v>0</v>
      </c>
      <c r="E5788" s="9" t="str">
        <f t="shared" ca="1" si="102"/>
        <v/>
      </c>
      <c r="F5788" s="4" t="s">
        <v>21</v>
      </c>
      <c r="G5788" s="2">
        <f>IF(ISNUMBER(SEARCH(Лист2!$B$4,F:F)),1,0)</f>
        <v>0</v>
      </c>
      <c r="H5788" s="3">
        <f ca="1">IF(AND(I5788&lt;&gt;I5787,ISNUMBER(SEARCH(Лист2!$B$5,I:I)),G5788=1),MAX($H$3:OFFSET(H5788,-1,0))+1,0)</f>
        <v>0</v>
      </c>
      <c r="I5788" s="3" t="s">
        <v>470</v>
      </c>
      <c r="K5788" s="2">
        <f>IF(ISNUMBER(SEARCH(Лист2!$B$4,F:F)),1,0)</f>
        <v>0</v>
      </c>
      <c r="L5788" s="14">
        <f>IF(ISNUMBER(SEARCH(Лист2!$B$5,I:I)),1,0)+K5788</f>
        <v>0</v>
      </c>
      <c r="M5788" s="3">
        <f ca="1">IF(AND(N5788&lt;&gt;N5787,ISNUMBER(SEARCH(Лист2!$B$6,N:N)),L5788=2),MAX($M$3:OFFSET(M5788,-1,0))+1,0)</f>
        <v>0</v>
      </c>
      <c r="N5788" s="3" t="s">
        <v>3388</v>
      </c>
    </row>
    <row r="5789" spans="1:14" x14ac:dyDescent="0.25">
      <c r="A5789" s="1" t="s">
        <v>14316</v>
      </c>
      <c r="B5789" s="3" t="s">
        <v>9406</v>
      </c>
      <c r="C5789" s="2">
        <f ca="1">IF(ISNUMBER(SEARCH(Лист2!$B$4,D:D)),MAX($C$3:OFFSET(C5789,-1,0))+1,0)</f>
        <v>0</v>
      </c>
      <c r="E5789" s="9" t="str">
        <f t="shared" ca="1" si="102"/>
        <v/>
      </c>
      <c r="F5789" s="4" t="s">
        <v>21</v>
      </c>
      <c r="G5789" s="2">
        <f>IF(ISNUMBER(SEARCH(Лист2!$B$4,F:F)),1,0)</f>
        <v>0</v>
      </c>
      <c r="H5789" s="3">
        <f ca="1">IF(AND(I5789&lt;&gt;I5788,ISNUMBER(SEARCH(Лист2!$B$5,I:I)),G5789=1),MAX($H$3:OFFSET(H5789,-1,0))+1,0)</f>
        <v>0</v>
      </c>
      <c r="I5789" s="3" t="s">
        <v>470</v>
      </c>
      <c r="K5789" s="2">
        <f>IF(ISNUMBER(SEARCH(Лист2!$B$4,F:F)),1,0)</f>
        <v>0</v>
      </c>
      <c r="L5789" s="14">
        <f>IF(ISNUMBER(SEARCH(Лист2!$B$5,I:I)),1,0)+K5789</f>
        <v>0</v>
      </c>
      <c r="M5789" s="3">
        <f ca="1">IF(AND(N5789&lt;&gt;N5788,ISNUMBER(SEARCH(Лист2!$B$6,N:N)),L5789=2),MAX($M$3:OFFSET(M5789,-1,0))+1,0)</f>
        <v>0</v>
      </c>
      <c r="N5789" s="3" t="s">
        <v>3388</v>
      </c>
    </row>
    <row r="5790" spans="1:14" x14ac:dyDescent="0.25">
      <c r="A5790" s="1" t="s">
        <v>14317</v>
      </c>
      <c r="B5790" s="3" t="s">
        <v>9407</v>
      </c>
      <c r="C5790" s="2">
        <f ca="1">IF(ISNUMBER(SEARCH(Лист2!$B$4,D:D)),MAX($C$3:OFFSET(C5790,-1,0))+1,0)</f>
        <v>0</v>
      </c>
      <c r="E5790" s="9" t="str">
        <f t="shared" ca="1" si="102"/>
        <v/>
      </c>
      <c r="F5790" s="4" t="s">
        <v>21</v>
      </c>
      <c r="G5790" s="2">
        <f>IF(ISNUMBER(SEARCH(Лист2!$B$4,F:F)),1,0)</f>
        <v>0</v>
      </c>
      <c r="H5790" s="3">
        <f ca="1">IF(AND(I5790&lt;&gt;I5789,ISNUMBER(SEARCH(Лист2!$B$5,I:I)),G5790=1),MAX($H$3:OFFSET(H5790,-1,0))+1,0)</f>
        <v>0</v>
      </c>
      <c r="I5790" s="3" t="s">
        <v>470</v>
      </c>
      <c r="K5790" s="2">
        <f>IF(ISNUMBER(SEARCH(Лист2!$B$4,F:F)),1,0)</f>
        <v>0</v>
      </c>
      <c r="L5790" s="14">
        <f>IF(ISNUMBER(SEARCH(Лист2!$B$5,I:I)),1,0)+K5790</f>
        <v>0</v>
      </c>
      <c r="M5790" s="3">
        <f ca="1">IF(AND(N5790&lt;&gt;N5789,ISNUMBER(SEARCH(Лист2!$B$6,N:N)),L5790=2),MAX($M$3:OFFSET(M5790,-1,0))+1,0)</f>
        <v>0</v>
      </c>
      <c r="N5790" s="3" t="s">
        <v>3389</v>
      </c>
    </row>
    <row r="5791" spans="1:14" x14ac:dyDescent="0.25">
      <c r="A5791" s="1" t="s">
        <v>14317</v>
      </c>
      <c r="B5791" s="3" t="s">
        <v>9408</v>
      </c>
      <c r="C5791" s="2">
        <f ca="1">IF(ISNUMBER(SEARCH(Лист2!$B$4,D:D)),MAX($C$3:OFFSET(C5791,-1,0))+1,0)</f>
        <v>0</v>
      </c>
      <c r="E5791" s="9" t="str">
        <f t="shared" ca="1" si="102"/>
        <v/>
      </c>
      <c r="F5791" s="4" t="s">
        <v>21</v>
      </c>
      <c r="G5791" s="2">
        <f>IF(ISNUMBER(SEARCH(Лист2!$B$4,F:F)),1,0)</f>
        <v>0</v>
      </c>
      <c r="H5791" s="3">
        <f ca="1">IF(AND(I5791&lt;&gt;I5790,ISNUMBER(SEARCH(Лист2!$B$5,I:I)),G5791=1),MAX($H$3:OFFSET(H5791,-1,0))+1,0)</f>
        <v>0</v>
      </c>
      <c r="I5791" s="3" t="s">
        <v>470</v>
      </c>
      <c r="K5791" s="2">
        <f>IF(ISNUMBER(SEARCH(Лист2!$B$4,F:F)),1,0)</f>
        <v>0</v>
      </c>
      <c r="L5791" s="14">
        <f>IF(ISNUMBER(SEARCH(Лист2!$B$5,I:I)),1,0)+K5791</f>
        <v>0</v>
      </c>
      <c r="M5791" s="3">
        <f ca="1">IF(AND(N5791&lt;&gt;N5790,ISNUMBER(SEARCH(Лист2!$B$6,N:N)),L5791=2),MAX($M$3:OFFSET(M5791,-1,0))+1,0)</f>
        <v>0</v>
      </c>
      <c r="N5791" s="3" t="s">
        <v>3389</v>
      </c>
    </row>
    <row r="5792" spans="1:14" x14ac:dyDescent="0.25">
      <c r="A5792" s="1" t="s">
        <v>14317</v>
      </c>
      <c r="B5792" s="3" t="s">
        <v>9409</v>
      </c>
      <c r="C5792" s="2">
        <f ca="1">IF(ISNUMBER(SEARCH(Лист2!$B$4,D:D)),MAX($C$3:OFFSET(C5792,-1,0))+1,0)</f>
        <v>0</v>
      </c>
      <c r="E5792" s="9" t="str">
        <f t="shared" ca="1" si="102"/>
        <v/>
      </c>
      <c r="F5792" s="4" t="s">
        <v>21</v>
      </c>
      <c r="G5792" s="2">
        <f>IF(ISNUMBER(SEARCH(Лист2!$B$4,F:F)),1,0)</f>
        <v>0</v>
      </c>
      <c r="H5792" s="3">
        <f ca="1">IF(AND(I5792&lt;&gt;I5791,ISNUMBER(SEARCH(Лист2!$B$5,I:I)),G5792=1),MAX($H$3:OFFSET(H5792,-1,0))+1,0)</f>
        <v>0</v>
      </c>
      <c r="I5792" s="3" t="s">
        <v>470</v>
      </c>
      <c r="K5792" s="2">
        <f>IF(ISNUMBER(SEARCH(Лист2!$B$4,F:F)),1,0)</f>
        <v>0</v>
      </c>
      <c r="L5792" s="14">
        <f>IF(ISNUMBER(SEARCH(Лист2!$B$5,I:I)),1,0)+K5792</f>
        <v>0</v>
      </c>
      <c r="M5792" s="3">
        <f ca="1">IF(AND(N5792&lt;&gt;N5791,ISNUMBER(SEARCH(Лист2!$B$6,N:N)),L5792=2),MAX($M$3:OFFSET(M5792,-1,0))+1,0)</f>
        <v>0</v>
      </c>
      <c r="N5792" s="3" t="s">
        <v>3389</v>
      </c>
    </row>
    <row r="5793" spans="1:14" x14ac:dyDescent="0.25">
      <c r="A5793" s="1" t="s">
        <v>14318</v>
      </c>
      <c r="B5793" s="3" t="s">
        <v>9410</v>
      </c>
      <c r="C5793" s="2">
        <f ca="1">IF(ISNUMBER(SEARCH(Лист2!$B$4,D:D)),MAX($C$3:OFFSET(C5793,-1,0))+1,0)</f>
        <v>0</v>
      </c>
      <c r="E5793" s="9" t="str">
        <f t="shared" ca="1" si="102"/>
        <v/>
      </c>
      <c r="F5793" s="4" t="s">
        <v>21</v>
      </c>
      <c r="G5793" s="2">
        <f>IF(ISNUMBER(SEARCH(Лист2!$B$4,F:F)),1,0)</f>
        <v>0</v>
      </c>
      <c r="H5793" s="3">
        <f ca="1">IF(AND(I5793&lt;&gt;I5792,ISNUMBER(SEARCH(Лист2!$B$5,I:I)),G5793=1),MAX($H$3:OFFSET(H5793,-1,0))+1,0)</f>
        <v>0</v>
      </c>
      <c r="I5793" s="3" t="s">
        <v>470</v>
      </c>
      <c r="K5793" s="2">
        <f>IF(ISNUMBER(SEARCH(Лист2!$B$4,F:F)),1,0)</f>
        <v>0</v>
      </c>
      <c r="L5793" s="14">
        <f>IF(ISNUMBER(SEARCH(Лист2!$B$5,I:I)),1,0)+K5793</f>
        <v>0</v>
      </c>
      <c r="M5793" s="3">
        <f ca="1">IF(AND(N5793&lt;&gt;N5792,ISNUMBER(SEARCH(Лист2!$B$6,N:N)),L5793=2),MAX($M$3:OFFSET(M5793,-1,0))+1,0)</f>
        <v>0</v>
      </c>
      <c r="N5793" s="3" t="s">
        <v>3390</v>
      </c>
    </row>
    <row r="5794" spans="1:14" x14ac:dyDescent="0.25">
      <c r="A5794" s="1" t="s">
        <v>14319</v>
      </c>
      <c r="B5794" s="3" t="s">
        <v>9411</v>
      </c>
      <c r="C5794" s="2">
        <f ca="1">IF(ISNUMBER(SEARCH(Лист2!$B$4,D:D)),MAX($C$3:OFFSET(C5794,-1,0))+1,0)</f>
        <v>0</v>
      </c>
      <c r="E5794" s="9" t="str">
        <f t="shared" ca="1" si="102"/>
        <v/>
      </c>
      <c r="F5794" s="4" t="s">
        <v>21</v>
      </c>
      <c r="G5794" s="2">
        <f>IF(ISNUMBER(SEARCH(Лист2!$B$4,F:F)),1,0)</f>
        <v>0</v>
      </c>
      <c r="H5794" s="3">
        <f ca="1">IF(AND(I5794&lt;&gt;I5793,ISNUMBER(SEARCH(Лист2!$B$5,I:I)),G5794=1),MAX($H$3:OFFSET(H5794,-1,0))+1,0)</f>
        <v>0</v>
      </c>
      <c r="I5794" s="3" t="s">
        <v>472</v>
      </c>
      <c r="K5794" s="2">
        <f>IF(ISNUMBER(SEARCH(Лист2!$B$4,F:F)),1,0)</f>
        <v>0</v>
      </c>
      <c r="L5794" s="14">
        <f>IF(ISNUMBER(SEARCH(Лист2!$B$5,I:I)),1,0)+K5794</f>
        <v>0</v>
      </c>
      <c r="M5794" s="3">
        <f ca="1">IF(AND(N5794&lt;&gt;N5793,ISNUMBER(SEARCH(Лист2!$B$6,N:N)),L5794=2),MAX($M$3:OFFSET(M5794,-1,0))+1,0)</f>
        <v>0</v>
      </c>
      <c r="N5794" s="3" t="s">
        <v>3391</v>
      </c>
    </row>
    <row r="5795" spans="1:14" x14ac:dyDescent="0.25">
      <c r="A5795" s="1" t="s">
        <v>14320</v>
      </c>
      <c r="B5795" s="3" t="s">
        <v>9412</v>
      </c>
      <c r="C5795" s="2">
        <f ca="1">IF(ISNUMBER(SEARCH(Лист2!$B$4,D:D)),MAX($C$3:OFFSET(C5795,-1,0))+1,0)</f>
        <v>0</v>
      </c>
      <c r="E5795" s="9" t="str">
        <f t="shared" ca="1" si="102"/>
        <v/>
      </c>
      <c r="F5795" s="4" t="s">
        <v>21</v>
      </c>
      <c r="G5795" s="2">
        <f>IF(ISNUMBER(SEARCH(Лист2!$B$4,F:F)),1,0)</f>
        <v>0</v>
      </c>
      <c r="H5795" s="3">
        <f ca="1">IF(AND(I5795&lt;&gt;I5794,ISNUMBER(SEARCH(Лист2!$B$5,I:I)),G5795=1),MAX($H$3:OFFSET(H5795,-1,0))+1,0)</f>
        <v>0</v>
      </c>
      <c r="I5795" s="3" t="s">
        <v>472</v>
      </c>
      <c r="K5795" s="2">
        <f>IF(ISNUMBER(SEARCH(Лист2!$B$4,F:F)),1,0)</f>
        <v>0</v>
      </c>
      <c r="L5795" s="14">
        <f>IF(ISNUMBER(SEARCH(Лист2!$B$5,I:I)),1,0)+K5795</f>
        <v>0</v>
      </c>
      <c r="M5795" s="3">
        <f ca="1">IF(AND(N5795&lt;&gt;N5794,ISNUMBER(SEARCH(Лист2!$B$6,N:N)),L5795=2),MAX($M$3:OFFSET(M5795,-1,0))+1,0)</f>
        <v>0</v>
      </c>
      <c r="N5795" s="3" t="s">
        <v>3392</v>
      </c>
    </row>
    <row r="5796" spans="1:14" x14ac:dyDescent="0.25">
      <c r="A5796" s="1" t="s">
        <v>14320</v>
      </c>
      <c r="B5796" s="3" t="s">
        <v>9413</v>
      </c>
      <c r="C5796" s="2">
        <f ca="1">IF(ISNUMBER(SEARCH(Лист2!$B$4,D:D)),MAX($C$3:OFFSET(C5796,-1,0))+1,0)</f>
        <v>0</v>
      </c>
      <c r="E5796" s="9" t="str">
        <f t="shared" ca="1" si="102"/>
        <v/>
      </c>
      <c r="F5796" s="4" t="s">
        <v>21</v>
      </c>
      <c r="G5796" s="2">
        <f>IF(ISNUMBER(SEARCH(Лист2!$B$4,F:F)),1,0)</f>
        <v>0</v>
      </c>
      <c r="H5796" s="3">
        <f ca="1">IF(AND(I5796&lt;&gt;I5795,ISNUMBER(SEARCH(Лист2!$B$5,I:I)),G5796=1),MAX($H$3:OFFSET(H5796,-1,0))+1,0)</f>
        <v>0</v>
      </c>
      <c r="I5796" s="3" t="s">
        <v>472</v>
      </c>
      <c r="K5796" s="2">
        <f>IF(ISNUMBER(SEARCH(Лист2!$B$4,F:F)),1,0)</f>
        <v>0</v>
      </c>
      <c r="L5796" s="14">
        <f>IF(ISNUMBER(SEARCH(Лист2!$B$5,I:I)),1,0)+K5796</f>
        <v>0</v>
      </c>
      <c r="M5796" s="3">
        <f ca="1">IF(AND(N5796&lt;&gt;N5795,ISNUMBER(SEARCH(Лист2!$B$6,N:N)),L5796=2),MAX($M$3:OFFSET(M5796,-1,0))+1,0)</f>
        <v>0</v>
      </c>
      <c r="N5796" s="3" t="s">
        <v>3392</v>
      </c>
    </row>
    <row r="5797" spans="1:14" x14ac:dyDescent="0.25">
      <c r="A5797" s="1" t="s">
        <v>14320</v>
      </c>
      <c r="B5797" s="3" t="s">
        <v>9414</v>
      </c>
      <c r="C5797" s="2">
        <f ca="1">IF(ISNUMBER(SEARCH(Лист2!$B$4,D:D)),MAX($C$3:OFFSET(C5797,-1,0))+1,0)</f>
        <v>0</v>
      </c>
      <c r="E5797" s="9" t="str">
        <f t="shared" ca="1" si="102"/>
        <v/>
      </c>
      <c r="F5797" s="4" t="s">
        <v>21</v>
      </c>
      <c r="G5797" s="2">
        <f>IF(ISNUMBER(SEARCH(Лист2!$B$4,F:F)),1,0)</f>
        <v>0</v>
      </c>
      <c r="H5797" s="3">
        <f ca="1">IF(AND(I5797&lt;&gt;I5796,ISNUMBER(SEARCH(Лист2!$B$5,I:I)),G5797=1),MAX($H$3:OFFSET(H5797,-1,0))+1,0)</f>
        <v>0</v>
      </c>
      <c r="I5797" s="3" t="s">
        <v>472</v>
      </c>
      <c r="K5797" s="2">
        <f>IF(ISNUMBER(SEARCH(Лист2!$B$4,F:F)),1,0)</f>
        <v>0</v>
      </c>
      <c r="L5797" s="14">
        <f>IF(ISNUMBER(SEARCH(Лист2!$B$5,I:I)),1,0)+K5797</f>
        <v>0</v>
      </c>
      <c r="M5797" s="3">
        <f ca="1">IF(AND(N5797&lt;&gt;N5796,ISNUMBER(SEARCH(Лист2!$B$6,N:N)),L5797=2),MAX($M$3:OFFSET(M5797,-1,0))+1,0)</f>
        <v>0</v>
      </c>
      <c r="N5797" s="3" t="s">
        <v>3392</v>
      </c>
    </row>
    <row r="5798" spans="1:14" x14ac:dyDescent="0.25">
      <c r="A5798" s="1" t="s">
        <v>14321</v>
      </c>
      <c r="B5798" s="3" t="s">
        <v>9415</v>
      </c>
      <c r="C5798" s="2">
        <f ca="1">IF(ISNUMBER(SEARCH(Лист2!$B$4,D:D)),MAX($C$3:OFFSET(C5798,-1,0))+1,0)</f>
        <v>0</v>
      </c>
      <c r="E5798" s="9" t="str">
        <f t="shared" ca="1" si="102"/>
        <v/>
      </c>
      <c r="F5798" s="4" t="s">
        <v>21</v>
      </c>
      <c r="G5798" s="2">
        <f>IF(ISNUMBER(SEARCH(Лист2!$B$4,F:F)),1,0)</f>
        <v>0</v>
      </c>
      <c r="H5798" s="3">
        <f ca="1">IF(AND(I5798&lt;&gt;I5797,ISNUMBER(SEARCH(Лист2!$B$5,I:I)),G5798=1),MAX($H$3:OFFSET(H5798,-1,0))+1,0)</f>
        <v>0</v>
      </c>
      <c r="I5798" s="3" t="s">
        <v>472</v>
      </c>
      <c r="K5798" s="2">
        <f>IF(ISNUMBER(SEARCH(Лист2!$B$4,F:F)),1,0)</f>
        <v>0</v>
      </c>
      <c r="L5798" s="14">
        <f>IF(ISNUMBER(SEARCH(Лист2!$B$5,I:I)),1,0)+K5798</f>
        <v>0</v>
      </c>
      <c r="M5798" s="3">
        <f ca="1">IF(AND(N5798&lt;&gt;N5797,ISNUMBER(SEARCH(Лист2!$B$6,N:N)),L5798=2),MAX($M$3:OFFSET(M5798,-1,0))+1,0)</f>
        <v>0</v>
      </c>
      <c r="N5798" s="3" t="s">
        <v>3393</v>
      </c>
    </row>
    <row r="5799" spans="1:14" x14ac:dyDescent="0.25">
      <c r="A5799" s="1" t="s">
        <v>14321</v>
      </c>
      <c r="B5799" s="3" t="s">
        <v>9416</v>
      </c>
      <c r="C5799" s="2">
        <f ca="1">IF(ISNUMBER(SEARCH(Лист2!$B$4,D:D)),MAX($C$3:OFFSET(C5799,-1,0))+1,0)</f>
        <v>0</v>
      </c>
      <c r="E5799" s="9" t="str">
        <f t="shared" ca="1" si="102"/>
        <v/>
      </c>
      <c r="F5799" s="4" t="s">
        <v>21</v>
      </c>
      <c r="G5799" s="2">
        <f>IF(ISNUMBER(SEARCH(Лист2!$B$4,F:F)),1,0)</f>
        <v>0</v>
      </c>
      <c r="H5799" s="3">
        <f ca="1">IF(AND(I5799&lt;&gt;I5798,ISNUMBER(SEARCH(Лист2!$B$5,I:I)),G5799=1),MAX($H$3:OFFSET(H5799,-1,0))+1,0)</f>
        <v>0</v>
      </c>
      <c r="I5799" s="3" t="s">
        <v>472</v>
      </c>
      <c r="K5799" s="2">
        <f>IF(ISNUMBER(SEARCH(Лист2!$B$4,F:F)),1,0)</f>
        <v>0</v>
      </c>
      <c r="L5799" s="14">
        <f>IF(ISNUMBER(SEARCH(Лист2!$B$5,I:I)),1,0)+K5799</f>
        <v>0</v>
      </c>
      <c r="M5799" s="3">
        <f ca="1">IF(AND(N5799&lt;&gt;N5798,ISNUMBER(SEARCH(Лист2!$B$6,N:N)),L5799=2),MAX($M$3:OFFSET(M5799,-1,0))+1,0)</f>
        <v>0</v>
      </c>
      <c r="N5799" s="3" t="s">
        <v>3393</v>
      </c>
    </row>
    <row r="5800" spans="1:14" x14ac:dyDescent="0.25">
      <c r="A5800" s="1" t="s">
        <v>14321</v>
      </c>
      <c r="B5800" s="3" t="s">
        <v>9417</v>
      </c>
      <c r="C5800" s="2">
        <f ca="1">IF(ISNUMBER(SEARCH(Лист2!$B$4,D:D)),MAX($C$3:OFFSET(C5800,-1,0))+1,0)</f>
        <v>0</v>
      </c>
      <c r="E5800" s="9" t="str">
        <f t="shared" ca="1" si="102"/>
        <v/>
      </c>
      <c r="F5800" s="4" t="s">
        <v>21</v>
      </c>
      <c r="G5800" s="2">
        <f>IF(ISNUMBER(SEARCH(Лист2!$B$4,F:F)),1,0)</f>
        <v>0</v>
      </c>
      <c r="H5800" s="3">
        <f ca="1">IF(AND(I5800&lt;&gt;I5799,ISNUMBER(SEARCH(Лист2!$B$5,I:I)),G5800=1),MAX($H$3:OFFSET(H5800,-1,0))+1,0)</f>
        <v>0</v>
      </c>
      <c r="I5800" s="3" t="s">
        <v>472</v>
      </c>
      <c r="K5800" s="2">
        <f>IF(ISNUMBER(SEARCH(Лист2!$B$4,F:F)),1,0)</f>
        <v>0</v>
      </c>
      <c r="L5800" s="14">
        <f>IF(ISNUMBER(SEARCH(Лист2!$B$5,I:I)),1,0)+K5800</f>
        <v>0</v>
      </c>
      <c r="M5800" s="3">
        <f ca="1">IF(AND(N5800&lt;&gt;N5799,ISNUMBER(SEARCH(Лист2!$B$6,N:N)),L5800=2),MAX($M$3:OFFSET(M5800,-1,0))+1,0)</f>
        <v>0</v>
      </c>
      <c r="N5800" s="3" t="s">
        <v>3393</v>
      </c>
    </row>
    <row r="5801" spans="1:14" x14ac:dyDescent="0.25">
      <c r="A5801" s="1" t="s">
        <v>14322</v>
      </c>
      <c r="B5801" s="3" t="s">
        <v>9418</v>
      </c>
      <c r="C5801" s="2">
        <f ca="1">IF(ISNUMBER(SEARCH(Лист2!$B$4,D:D)),MAX($C$3:OFFSET(C5801,-1,0))+1,0)</f>
        <v>0</v>
      </c>
      <c r="E5801" s="9" t="str">
        <f t="shared" ca="1" si="102"/>
        <v/>
      </c>
      <c r="F5801" s="4" t="s">
        <v>21</v>
      </c>
      <c r="G5801" s="2">
        <f>IF(ISNUMBER(SEARCH(Лист2!$B$4,F:F)),1,0)</f>
        <v>0</v>
      </c>
      <c r="H5801" s="3">
        <f ca="1">IF(AND(I5801&lt;&gt;I5800,ISNUMBER(SEARCH(Лист2!$B$5,I:I)),G5801=1),MAX($H$3:OFFSET(H5801,-1,0))+1,0)</f>
        <v>0</v>
      </c>
      <c r="I5801" s="3" t="s">
        <v>472</v>
      </c>
      <c r="K5801" s="2">
        <f>IF(ISNUMBER(SEARCH(Лист2!$B$4,F:F)),1,0)</f>
        <v>0</v>
      </c>
      <c r="L5801" s="14">
        <f>IF(ISNUMBER(SEARCH(Лист2!$B$5,I:I)),1,0)+K5801</f>
        <v>0</v>
      </c>
      <c r="M5801" s="3">
        <f ca="1">IF(AND(N5801&lt;&gt;N5800,ISNUMBER(SEARCH(Лист2!$B$6,N:N)),L5801=2),MAX($M$3:OFFSET(M5801,-1,0))+1,0)</f>
        <v>0</v>
      </c>
      <c r="N5801" s="3" t="s">
        <v>3394</v>
      </c>
    </row>
    <row r="5802" spans="1:14" x14ac:dyDescent="0.25">
      <c r="A5802" s="1" t="s">
        <v>14323</v>
      </c>
      <c r="B5802" s="3" t="s">
        <v>9419</v>
      </c>
      <c r="C5802" s="2">
        <f ca="1">IF(ISNUMBER(SEARCH(Лист2!$B$4,D:D)),MAX($C$3:OFFSET(C5802,-1,0))+1,0)</f>
        <v>0</v>
      </c>
      <c r="E5802" s="9" t="str">
        <f t="shared" ca="1" si="102"/>
        <v/>
      </c>
      <c r="F5802" s="4" t="s">
        <v>21</v>
      </c>
      <c r="G5802" s="2">
        <f>IF(ISNUMBER(SEARCH(Лист2!$B$4,F:F)),1,0)</f>
        <v>0</v>
      </c>
      <c r="H5802" s="3">
        <f ca="1">IF(AND(I5802&lt;&gt;I5801,ISNUMBER(SEARCH(Лист2!$B$5,I:I)),G5802=1),MAX($H$3:OFFSET(H5802,-1,0))+1,0)</f>
        <v>0</v>
      </c>
      <c r="I5802" s="3" t="s">
        <v>473</v>
      </c>
      <c r="K5802" s="2">
        <f>IF(ISNUMBER(SEARCH(Лист2!$B$4,F:F)),1,0)</f>
        <v>0</v>
      </c>
      <c r="L5802" s="14">
        <f>IF(ISNUMBER(SEARCH(Лист2!$B$5,I:I)),1,0)+K5802</f>
        <v>0</v>
      </c>
      <c r="M5802" s="3">
        <f ca="1">IF(AND(N5802&lt;&gt;N5801,ISNUMBER(SEARCH(Лист2!$B$6,N:N)),L5802=2),MAX($M$3:OFFSET(M5802,-1,0))+1,0)</f>
        <v>0</v>
      </c>
      <c r="N5802" s="3" t="s">
        <v>3395</v>
      </c>
    </row>
    <row r="5803" spans="1:14" x14ac:dyDescent="0.25">
      <c r="A5803" s="1" t="s">
        <v>14324</v>
      </c>
      <c r="B5803" s="3" t="s">
        <v>9420</v>
      </c>
      <c r="C5803" s="2">
        <f ca="1">IF(ISNUMBER(SEARCH(Лист2!$B$4,D:D)),MAX($C$3:OFFSET(C5803,-1,0))+1,0)</f>
        <v>0</v>
      </c>
      <c r="E5803" s="9" t="str">
        <f t="shared" ca="1" si="102"/>
        <v/>
      </c>
      <c r="F5803" s="4" t="s">
        <v>21</v>
      </c>
      <c r="G5803" s="2">
        <f>IF(ISNUMBER(SEARCH(Лист2!$B$4,F:F)),1,0)</f>
        <v>0</v>
      </c>
      <c r="H5803" s="3">
        <f ca="1">IF(AND(I5803&lt;&gt;I5802,ISNUMBER(SEARCH(Лист2!$B$5,I:I)),G5803=1),MAX($H$3:OFFSET(H5803,-1,0))+1,0)</f>
        <v>0</v>
      </c>
      <c r="I5803" s="3" t="s">
        <v>473</v>
      </c>
      <c r="K5803" s="2">
        <f>IF(ISNUMBER(SEARCH(Лист2!$B$4,F:F)),1,0)</f>
        <v>0</v>
      </c>
      <c r="L5803" s="14">
        <f>IF(ISNUMBER(SEARCH(Лист2!$B$5,I:I)),1,0)+K5803</f>
        <v>0</v>
      </c>
      <c r="M5803" s="3">
        <f ca="1">IF(AND(N5803&lt;&gt;N5802,ISNUMBER(SEARCH(Лист2!$B$6,N:N)),L5803=2),MAX($M$3:OFFSET(M5803,-1,0))+1,0)</f>
        <v>0</v>
      </c>
      <c r="N5803" s="3" t="s">
        <v>3396</v>
      </c>
    </row>
    <row r="5804" spans="1:14" x14ac:dyDescent="0.25">
      <c r="A5804" s="1" t="s">
        <v>14324</v>
      </c>
      <c r="B5804" s="3" t="s">
        <v>9421</v>
      </c>
      <c r="C5804" s="2">
        <f ca="1">IF(ISNUMBER(SEARCH(Лист2!$B$4,D:D)),MAX($C$3:OFFSET(C5804,-1,0))+1,0)</f>
        <v>0</v>
      </c>
      <c r="E5804" s="9" t="str">
        <f t="shared" ca="1" si="102"/>
        <v/>
      </c>
      <c r="F5804" s="4" t="s">
        <v>21</v>
      </c>
      <c r="G5804" s="2">
        <f>IF(ISNUMBER(SEARCH(Лист2!$B$4,F:F)),1,0)</f>
        <v>0</v>
      </c>
      <c r="H5804" s="3">
        <f ca="1">IF(AND(I5804&lt;&gt;I5803,ISNUMBER(SEARCH(Лист2!$B$5,I:I)),G5804=1),MAX($H$3:OFFSET(H5804,-1,0))+1,0)</f>
        <v>0</v>
      </c>
      <c r="I5804" s="3" t="s">
        <v>473</v>
      </c>
      <c r="K5804" s="2">
        <f>IF(ISNUMBER(SEARCH(Лист2!$B$4,F:F)),1,0)</f>
        <v>0</v>
      </c>
      <c r="L5804" s="14">
        <f>IF(ISNUMBER(SEARCH(Лист2!$B$5,I:I)),1,0)+K5804</f>
        <v>0</v>
      </c>
      <c r="M5804" s="3">
        <f ca="1">IF(AND(N5804&lt;&gt;N5803,ISNUMBER(SEARCH(Лист2!$B$6,N:N)),L5804=2),MAX($M$3:OFFSET(M5804,-1,0))+1,0)</f>
        <v>0</v>
      </c>
      <c r="N5804" s="3" t="s">
        <v>3396</v>
      </c>
    </row>
    <row r="5805" spans="1:14" x14ac:dyDescent="0.25">
      <c r="A5805" s="1" t="s">
        <v>14324</v>
      </c>
      <c r="B5805" s="3" t="s">
        <v>9422</v>
      </c>
      <c r="C5805" s="2">
        <f ca="1">IF(ISNUMBER(SEARCH(Лист2!$B$4,D:D)),MAX($C$3:OFFSET(C5805,-1,0))+1,0)</f>
        <v>0</v>
      </c>
      <c r="E5805" s="9" t="str">
        <f t="shared" ca="1" si="102"/>
        <v/>
      </c>
      <c r="F5805" s="4" t="s">
        <v>21</v>
      </c>
      <c r="G5805" s="2">
        <f>IF(ISNUMBER(SEARCH(Лист2!$B$4,F:F)),1,0)</f>
        <v>0</v>
      </c>
      <c r="H5805" s="3">
        <f ca="1">IF(AND(I5805&lt;&gt;I5804,ISNUMBER(SEARCH(Лист2!$B$5,I:I)),G5805=1),MAX($H$3:OFFSET(H5805,-1,0))+1,0)</f>
        <v>0</v>
      </c>
      <c r="I5805" s="3" t="s">
        <v>473</v>
      </c>
      <c r="K5805" s="2">
        <f>IF(ISNUMBER(SEARCH(Лист2!$B$4,F:F)),1,0)</f>
        <v>0</v>
      </c>
      <c r="L5805" s="14">
        <f>IF(ISNUMBER(SEARCH(Лист2!$B$5,I:I)),1,0)+K5805</f>
        <v>0</v>
      </c>
      <c r="M5805" s="3">
        <f ca="1">IF(AND(N5805&lt;&gt;N5804,ISNUMBER(SEARCH(Лист2!$B$6,N:N)),L5805=2),MAX($M$3:OFFSET(M5805,-1,0))+1,0)</f>
        <v>0</v>
      </c>
      <c r="N5805" s="3" t="s">
        <v>3396</v>
      </c>
    </row>
    <row r="5806" spans="1:14" x14ac:dyDescent="0.25">
      <c r="A5806" s="1" t="s">
        <v>14325</v>
      </c>
      <c r="B5806" s="3" t="s">
        <v>9423</v>
      </c>
      <c r="C5806" s="2">
        <f ca="1">IF(ISNUMBER(SEARCH(Лист2!$B$4,D:D)),MAX($C$3:OFFSET(C5806,-1,0))+1,0)</f>
        <v>0</v>
      </c>
      <c r="E5806" s="9" t="str">
        <f t="shared" ca="1" si="102"/>
        <v/>
      </c>
      <c r="F5806" s="4" t="s">
        <v>21</v>
      </c>
      <c r="G5806" s="2">
        <f>IF(ISNUMBER(SEARCH(Лист2!$B$4,F:F)),1,0)</f>
        <v>0</v>
      </c>
      <c r="H5806" s="3">
        <f ca="1">IF(AND(I5806&lt;&gt;I5805,ISNUMBER(SEARCH(Лист2!$B$5,I:I)),G5806=1),MAX($H$3:OFFSET(H5806,-1,0))+1,0)</f>
        <v>0</v>
      </c>
      <c r="I5806" s="3" t="s">
        <v>473</v>
      </c>
      <c r="K5806" s="2">
        <f>IF(ISNUMBER(SEARCH(Лист2!$B$4,F:F)),1,0)</f>
        <v>0</v>
      </c>
      <c r="L5806" s="14">
        <f>IF(ISNUMBER(SEARCH(Лист2!$B$5,I:I)),1,0)+K5806</f>
        <v>0</v>
      </c>
      <c r="M5806" s="3">
        <f ca="1">IF(AND(N5806&lt;&gt;N5805,ISNUMBER(SEARCH(Лист2!$B$6,N:N)),L5806=2),MAX($M$3:OFFSET(M5806,-1,0))+1,0)</f>
        <v>0</v>
      </c>
      <c r="N5806" s="3" t="s">
        <v>3397</v>
      </c>
    </row>
    <row r="5807" spans="1:14" x14ac:dyDescent="0.25">
      <c r="A5807" s="1" t="s">
        <v>14325</v>
      </c>
      <c r="B5807" s="3" t="s">
        <v>9424</v>
      </c>
      <c r="C5807" s="2">
        <f ca="1">IF(ISNUMBER(SEARCH(Лист2!$B$4,D:D)),MAX($C$3:OFFSET(C5807,-1,0))+1,0)</f>
        <v>0</v>
      </c>
      <c r="E5807" s="9" t="str">
        <f t="shared" ca="1" si="102"/>
        <v/>
      </c>
      <c r="F5807" s="4" t="s">
        <v>21</v>
      </c>
      <c r="G5807" s="2">
        <f>IF(ISNUMBER(SEARCH(Лист2!$B$4,F:F)),1,0)</f>
        <v>0</v>
      </c>
      <c r="H5807" s="3">
        <f ca="1">IF(AND(I5807&lt;&gt;I5806,ISNUMBER(SEARCH(Лист2!$B$5,I:I)),G5807=1),MAX($H$3:OFFSET(H5807,-1,0))+1,0)</f>
        <v>0</v>
      </c>
      <c r="I5807" s="3" t="s">
        <v>473</v>
      </c>
      <c r="K5807" s="2">
        <f>IF(ISNUMBER(SEARCH(Лист2!$B$4,F:F)),1,0)</f>
        <v>0</v>
      </c>
      <c r="L5807" s="14">
        <f>IF(ISNUMBER(SEARCH(Лист2!$B$5,I:I)),1,0)+K5807</f>
        <v>0</v>
      </c>
      <c r="M5807" s="3">
        <f ca="1">IF(AND(N5807&lt;&gt;N5806,ISNUMBER(SEARCH(Лист2!$B$6,N:N)),L5807=2),MAX($M$3:OFFSET(M5807,-1,0))+1,0)</f>
        <v>0</v>
      </c>
      <c r="N5807" s="3" t="s">
        <v>3397</v>
      </c>
    </row>
    <row r="5808" spans="1:14" x14ac:dyDescent="0.25">
      <c r="A5808" s="1" t="s">
        <v>14325</v>
      </c>
      <c r="B5808" s="3" t="s">
        <v>9425</v>
      </c>
      <c r="C5808" s="2">
        <f ca="1">IF(ISNUMBER(SEARCH(Лист2!$B$4,D:D)),MAX($C$3:OFFSET(C5808,-1,0))+1,0)</f>
        <v>0</v>
      </c>
      <c r="E5808" s="9" t="str">
        <f t="shared" ca="1" si="102"/>
        <v/>
      </c>
      <c r="F5808" s="4" t="s">
        <v>21</v>
      </c>
      <c r="G5808" s="2">
        <f>IF(ISNUMBER(SEARCH(Лист2!$B$4,F:F)),1,0)</f>
        <v>0</v>
      </c>
      <c r="H5808" s="3">
        <f ca="1">IF(AND(I5808&lt;&gt;I5807,ISNUMBER(SEARCH(Лист2!$B$5,I:I)),G5808=1),MAX($H$3:OFFSET(H5808,-1,0))+1,0)</f>
        <v>0</v>
      </c>
      <c r="I5808" s="3" t="s">
        <v>473</v>
      </c>
      <c r="K5808" s="2">
        <f>IF(ISNUMBER(SEARCH(Лист2!$B$4,F:F)),1,0)</f>
        <v>0</v>
      </c>
      <c r="L5808" s="14">
        <f>IF(ISNUMBER(SEARCH(Лист2!$B$5,I:I)),1,0)+K5808</f>
        <v>0</v>
      </c>
      <c r="M5808" s="3">
        <f ca="1">IF(AND(N5808&lt;&gt;N5807,ISNUMBER(SEARCH(Лист2!$B$6,N:N)),L5808=2),MAX($M$3:OFFSET(M5808,-1,0))+1,0)</f>
        <v>0</v>
      </c>
      <c r="N5808" s="3" t="s">
        <v>3397</v>
      </c>
    </row>
    <row r="5809" spans="1:14" x14ac:dyDescent="0.25">
      <c r="A5809" s="1" t="s">
        <v>14326</v>
      </c>
      <c r="B5809" s="3" t="s">
        <v>9426</v>
      </c>
      <c r="C5809" s="2">
        <f ca="1">IF(ISNUMBER(SEARCH(Лист2!$B$4,D:D)),MAX($C$3:OFFSET(C5809,-1,0))+1,0)</f>
        <v>0</v>
      </c>
      <c r="E5809" s="9" t="str">
        <f t="shared" ca="1" si="102"/>
        <v/>
      </c>
      <c r="F5809" s="4" t="s">
        <v>21</v>
      </c>
      <c r="G5809" s="2">
        <f>IF(ISNUMBER(SEARCH(Лист2!$B$4,F:F)),1,0)</f>
        <v>0</v>
      </c>
      <c r="H5809" s="3">
        <f ca="1">IF(AND(I5809&lt;&gt;I5808,ISNUMBER(SEARCH(Лист2!$B$5,I:I)),G5809=1),MAX($H$3:OFFSET(H5809,-1,0))+1,0)</f>
        <v>0</v>
      </c>
      <c r="I5809" s="3" t="s">
        <v>473</v>
      </c>
      <c r="K5809" s="2">
        <f>IF(ISNUMBER(SEARCH(Лист2!$B$4,F:F)),1,0)</f>
        <v>0</v>
      </c>
      <c r="L5809" s="14">
        <f>IF(ISNUMBER(SEARCH(Лист2!$B$5,I:I)),1,0)+K5809</f>
        <v>0</v>
      </c>
      <c r="M5809" s="3">
        <f ca="1">IF(AND(N5809&lt;&gt;N5808,ISNUMBER(SEARCH(Лист2!$B$6,N:N)),L5809=2),MAX($M$3:OFFSET(M5809,-1,0))+1,0)</f>
        <v>0</v>
      </c>
      <c r="N5809" s="3" t="s">
        <v>3398</v>
      </c>
    </row>
    <row r="5810" spans="1:14" x14ac:dyDescent="0.25">
      <c r="A5810" s="1" t="s">
        <v>14327</v>
      </c>
      <c r="B5810" s="3" t="s">
        <v>9427</v>
      </c>
      <c r="C5810" s="2">
        <f ca="1">IF(ISNUMBER(SEARCH(Лист2!$B$4,D:D)),MAX($C$3:OFFSET(C5810,-1,0))+1,0)</f>
        <v>0</v>
      </c>
      <c r="E5810" s="9" t="str">
        <f t="shared" ca="1" si="102"/>
        <v/>
      </c>
      <c r="F5810" s="4" t="s">
        <v>21</v>
      </c>
      <c r="G5810" s="2">
        <f>IF(ISNUMBER(SEARCH(Лист2!$B$4,F:F)),1,0)</f>
        <v>0</v>
      </c>
      <c r="H5810" s="3">
        <f ca="1">IF(AND(I5810&lt;&gt;I5809,ISNUMBER(SEARCH(Лист2!$B$5,I:I)),G5810=1),MAX($H$3:OFFSET(H5810,-1,0))+1,0)</f>
        <v>0</v>
      </c>
      <c r="I5810" s="3" t="s">
        <v>474</v>
      </c>
      <c r="K5810" s="2">
        <f>IF(ISNUMBER(SEARCH(Лист2!$B$4,F:F)),1,0)</f>
        <v>0</v>
      </c>
      <c r="L5810" s="14">
        <f>IF(ISNUMBER(SEARCH(Лист2!$B$5,I:I)),1,0)+K5810</f>
        <v>0</v>
      </c>
      <c r="M5810" s="3">
        <f ca="1">IF(AND(N5810&lt;&gt;N5809,ISNUMBER(SEARCH(Лист2!$B$6,N:N)),L5810=2),MAX($M$3:OFFSET(M5810,-1,0))+1,0)</f>
        <v>0</v>
      </c>
      <c r="N5810" s="3" t="s">
        <v>3399</v>
      </c>
    </row>
    <row r="5811" spans="1:14" x14ac:dyDescent="0.25">
      <c r="A5811" s="1" t="s">
        <v>14328</v>
      </c>
      <c r="B5811" s="3" t="s">
        <v>9428</v>
      </c>
      <c r="C5811" s="2">
        <f ca="1">IF(ISNUMBER(SEARCH(Лист2!$B$4,D:D)),MAX($C$3:OFFSET(C5811,-1,0))+1,0)</f>
        <v>0</v>
      </c>
      <c r="E5811" s="9" t="str">
        <f t="shared" ca="1" si="102"/>
        <v/>
      </c>
      <c r="F5811" s="4" t="s">
        <v>21</v>
      </c>
      <c r="G5811" s="2">
        <f>IF(ISNUMBER(SEARCH(Лист2!$B$4,F:F)),1,0)</f>
        <v>0</v>
      </c>
      <c r="H5811" s="3">
        <f ca="1">IF(AND(I5811&lt;&gt;I5810,ISNUMBER(SEARCH(Лист2!$B$5,I:I)),G5811=1),MAX($H$3:OFFSET(H5811,-1,0))+1,0)</f>
        <v>0</v>
      </c>
      <c r="I5811" s="3" t="s">
        <v>474</v>
      </c>
      <c r="K5811" s="2">
        <f>IF(ISNUMBER(SEARCH(Лист2!$B$4,F:F)),1,0)</f>
        <v>0</v>
      </c>
      <c r="L5811" s="14">
        <f>IF(ISNUMBER(SEARCH(Лист2!$B$5,I:I)),1,0)+K5811</f>
        <v>0</v>
      </c>
      <c r="M5811" s="3">
        <f ca="1">IF(AND(N5811&lt;&gt;N5810,ISNUMBER(SEARCH(Лист2!$B$6,N:N)),L5811=2),MAX($M$3:OFFSET(M5811,-1,0))+1,0)</f>
        <v>0</v>
      </c>
      <c r="N5811" s="3" t="s">
        <v>3400</v>
      </c>
    </row>
    <row r="5812" spans="1:14" x14ac:dyDescent="0.25">
      <c r="A5812" s="1" t="s">
        <v>14328</v>
      </c>
      <c r="B5812" s="3" t="s">
        <v>9429</v>
      </c>
      <c r="C5812" s="2">
        <f ca="1">IF(ISNUMBER(SEARCH(Лист2!$B$4,D:D)),MAX($C$3:OFFSET(C5812,-1,0))+1,0)</f>
        <v>0</v>
      </c>
      <c r="E5812" s="9" t="str">
        <f t="shared" ca="1" si="102"/>
        <v/>
      </c>
      <c r="F5812" s="4" t="s">
        <v>21</v>
      </c>
      <c r="G5812" s="2">
        <f>IF(ISNUMBER(SEARCH(Лист2!$B$4,F:F)),1,0)</f>
        <v>0</v>
      </c>
      <c r="H5812" s="3">
        <f ca="1">IF(AND(I5812&lt;&gt;I5811,ISNUMBER(SEARCH(Лист2!$B$5,I:I)),G5812=1),MAX($H$3:OFFSET(H5812,-1,0))+1,0)</f>
        <v>0</v>
      </c>
      <c r="I5812" s="3" t="s">
        <v>474</v>
      </c>
      <c r="K5812" s="2">
        <f>IF(ISNUMBER(SEARCH(Лист2!$B$4,F:F)),1,0)</f>
        <v>0</v>
      </c>
      <c r="L5812" s="14">
        <f>IF(ISNUMBER(SEARCH(Лист2!$B$5,I:I)),1,0)+K5812</f>
        <v>0</v>
      </c>
      <c r="M5812" s="3">
        <f ca="1">IF(AND(N5812&lt;&gt;N5811,ISNUMBER(SEARCH(Лист2!$B$6,N:N)),L5812=2),MAX($M$3:OFFSET(M5812,-1,0))+1,0)</f>
        <v>0</v>
      </c>
      <c r="N5812" s="3" t="s">
        <v>3400</v>
      </c>
    </row>
    <row r="5813" spans="1:14" x14ac:dyDescent="0.25">
      <c r="A5813" s="1" t="s">
        <v>14328</v>
      </c>
      <c r="B5813" s="3" t="s">
        <v>9430</v>
      </c>
      <c r="C5813" s="2">
        <f ca="1">IF(ISNUMBER(SEARCH(Лист2!$B$4,D:D)),MAX($C$3:OFFSET(C5813,-1,0))+1,0)</f>
        <v>0</v>
      </c>
      <c r="E5813" s="9" t="str">
        <f t="shared" ca="1" si="102"/>
        <v/>
      </c>
      <c r="F5813" s="4" t="s">
        <v>21</v>
      </c>
      <c r="G5813" s="2">
        <f>IF(ISNUMBER(SEARCH(Лист2!$B$4,F:F)),1,0)</f>
        <v>0</v>
      </c>
      <c r="H5813" s="3">
        <f ca="1">IF(AND(I5813&lt;&gt;I5812,ISNUMBER(SEARCH(Лист2!$B$5,I:I)),G5813=1),MAX($H$3:OFFSET(H5813,-1,0))+1,0)</f>
        <v>0</v>
      </c>
      <c r="I5813" s="3" t="s">
        <v>474</v>
      </c>
      <c r="K5813" s="2">
        <f>IF(ISNUMBER(SEARCH(Лист2!$B$4,F:F)),1,0)</f>
        <v>0</v>
      </c>
      <c r="L5813" s="14">
        <f>IF(ISNUMBER(SEARCH(Лист2!$B$5,I:I)),1,0)+K5813</f>
        <v>0</v>
      </c>
      <c r="M5813" s="3">
        <f ca="1">IF(AND(N5813&lt;&gt;N5812,ISNUMBER(SEARCH(Лист2!$B$6,N:N)),L5813=2),MAX($M$3:OFFSET(M5813,-1,0))+1,0)</f>
        <v>0</v>
      </c>
      <c r="N5813" s="3" t="s">
        <v>3400</v>
      </c>
    </row>
    <row r="5814" spans="1:14" x14ac:dyDescent="0.25">
      <c r="A5814" s="1" t="s">
        <v>14329</v>
      </c>
      <c r="B5814" s="3" t="s">
        <v>9431</v>
      </c>
      <c r="C5814" s="2">
        <f ca="1">IF(ISNUMBER(SEARCH(Лист2!$B$4,D:D)),MAX($C$3:OFFSET(C5814,-1,0))+1,0)</f>
        <v>0</v>
      </c>
      <c r="E5814" s="9" t="str">
        <f t="shared" ca="1" si="102"/>
        <v/>
      </c>
      <c r="F5814" s="4" t="s">
        <v>21</v>
      </c>
      <c r="G5814" s="2">
        <f>IF(ISNUMBER(SEARCH(Лист2!$B$4,F:F)),1,0)</f>
        <v>0</v>
      </c>
      <c r="H5814" s="3">
        <f ca="1">IF(AND(I5814&lt;&gt;I5813,ISNUMBER(SEARCH(Лист2!$B$5,I:I)),G5814=1),MAX($H$3:OFFSET(H5814,-1,0))+1,0)</f>
        <v>0</v>
      </c>
      <c r="I5814" s="3" t="s">
        <v>474</v>
      </c>
      <c r="K5814" s="2">
        <f>IF(ISNUMBER(SEARCH(Лист2!$B$4,F:F)),1,0)</f>
        <v>0</v>
      </c>
      <c r="L5814" s="14">
        <f>IF(ISNUMBER(SEARCH(Лист2!$B$5,I:I)),1,0)+K5814</f>
        <v>0</v>
      </c>
      <c r="M5814" s="3">
        <f ca="1">IF(AND(N5814&lt;&gt;N5813,ISNUMBER(SEARCH(Лист2!$B$6,N:N)),L5814=2),MAX($M$3:OFFSET(M5814,-1,0))+1,0)</f>
        <v>0</v>
      </c>
      <c r="N5814" s="3" t="s">
        <v>3401</v>
      </c>
    </row>
    <row r="5815" spans="1:14" x14ac:dyDescent="0.25">
      <c r="A5815" s="1" t="s">
        <v>14329</v>
      </c>
      <c r="B5815" s="3" t="s">
        <v>9432</v>
      </c>
      <c r="C5815" s="2">
        <f ca="1">IF(ISNUMBER(SEARCH(Лист2!$B$4,D:D)),MAX($C$3:OFFSET(C5815,-1,0))+1,0)</f>
        <v>0</v>
      </c>
      <c r="E5815" s="9" t="str">
        <f t="shared" ca="1" si="102"/>
        <v/>
      </c>
      <c r="F5815" s="4" t="s">
        <v>21</v>
      </c>
      <c r="G5815" s="2">
        <f>IF(ISNUMBER(SEARCH(Лист2!$B$4,F:F)),1,0)</f>
        <v>0</v>
      </c>
      <c r="H5815" s="3">
        <f ca="1">IF(AND(I5815&lt;&gt;I5814,ISNUMBER(SEARCH(Лист2!$B$5,I:I)),G5815=1),MAX($H$3:OFFSET(H5815,-1,0))+1,0)</f>
        <v>0</v>
      </c>
      <c r="I5815" s="3" t="s">
        <v>474</v>
      </c>
      <c r="K5815" s="2">
        <f>IF(ISNUMBER(SEARCH(Лист2!$B$4,F:F)),1,0)</f>
        <v>0</v>
      </c>
      <c r="L5815" s="14">
        <f>IF(ISNUMBER(SEARCH(Лист2!$B$5,I:I)),1,0)+K5815</f>
        <v>0</v>
      </c>
      <c r="M5815" s="3">
        <f ca="1">IF(AND(N5815&lt;&gt;N5814,ISNUMBER(SEARCH(Лист2!$B$6,N:N)),L5815=2),MAX($M$3:OFFSET(M5815,-1,0))+1,0)</f>
        <v>0</v>
      </c>
      <c r="N5815" s="3" t="s">
        <v>3401</v>
      </c>
    </row>
    <row r="5816" spans="1:14" x14ac:dyDescent="0.25">
      <c r="A5816" s="1" t="s">
        <v>14329</v>
      </c>
      <c r="B5816" s="3" t="s">
        <v>9433</v>
      </c>
      <c r="C5816" s="2">
        <f ca="1">IF(ISNUMBER(SEARCH(Лист2!$B$4,D:D)),MAX($C$3:OFFSET(C5816,-1,0))+1,0)</f>
        <v>0</v>
      </c>
      <c r="E5816" s="9" t="str">
        <f t="shared" ca="1" si="102"/>
        <v/>
      </c>
      <c r="F5816" s="4" t="s">
        <v>21</v>
      </c>
      <c r="G5816" s="2">
        <f>IF(ISNUMBER(SEARCH(Лист2!$B$4,F:F)),1,0)</f>
        <v>0</v>
      </c>
      <c r="H5816" s="3">
        <f ca="1">IF(AND(I5816&lt;&gt;I5815,ISNUMBER(SEARCH(Лист2!$B$5,I:I)),G5816=1),MAX($H$3:OFFSET(H5816,-1,0))+1,0)</f>
        <v>0</v>
      </c>
      <c r="I5816" s="3" t="s">
        <v>474</v>
      </c>
      <c r="K5816" s="2">
        <f>IF(ISNUMBER(SEARCH(Лист2!$B$4,F:F)),1,0)</f>
        <v>0</v>
      </c>
      <c r="L5816" s="14">
        <f>IF(ISNUMBER(SEARCH(Лист2!$B$5,I:I)),1,0)+K5816</f>
        <v>0</v>
      </c>
      <c r="M5816" s="3">
        <f ca="1">IF(AND(N5816&lt;&gt;N5815,ISNUMBER(SEARCH(Лист2!$B$6,N:N)),L5816=2),MAX($M$3:OFFSET(M5816,-1,0))+1,0)</f>
        <v>0</v>
      </c>
      <c r="N5816" s="3" t="s">
        <v>3401</v>
      </c>
    </row>
    <row r="5817" spans="1:14" x14ac:dyDescent="0.25">
      <c r="A5817" s="1" t="s">
        <v>14330</v>
      </c>
      <c r="B5817" s="3" t="s">
        <v>9434</v>
      </c>
      <c r="C5817" s="2">
        <f ca="1">IF(ISNUMBER(SEARCH(Лист2!$B$4,D:D)),MAX($C$3:OFFSET(C5817,-1,0))+1,0)</f>
        <v>0</v>
      </c>
      <c r="E5817" s="9" t="str">
        <f t="shared" ca="1" si="102"/>
        <v/>
      </c>
      <c r="F5817" s="4" t="s">
        <v>21</v>
      </c>
      <c r="G5817" s="2">
        <f>IF(ISNUMBER(SEARCH(Лист2!$B$4,F:F)),1,0)</f>
        <v>0</v>
      </c>
      <c r="H5817" s="3">
        <f ca="1">IF(AND(I5817&lt;&gt;I5816,ISNUMBER(SEARCH(Лист2!$B$5,I:I)),G5817=1),MAX($H$3:OFFSET(H5817,-1,0))+1,0)</f>
        <v>0</v>
      </c>
      <c r="I5817" s="3" t="s">
        <v>474</v>
      </c>
      <c r="K5817" s="2">
        <f>IF(ISNUMBER(SEARCH(Лист2!$B$4,F:F)),1,0)</f>
        <v>0</v>
      </c>
      <c r="L5817" s="14">
        <f>IF(ISNUMBER(SEARCH(Лист2!$B$5,I:I)),1,0)+K5817</f>
        <v>0</v>
      </c>
      <c r="M5817" s="3">
        <f ca="1">IF(AND(N5817&lt;&gt;N5816,ISNUMBER(SEARCH(Лист2!$B$6,N:N)),L5817=2),MAX($M$3:OFFSET(M5817,-1,0))+1,0)</f>
        <v>0</v>
      </c>
      <c r="N5817" s="3" t="s">
        <v>3402</v>
      </c>
    </row>
    <row r="5818" spans="1:14" x14ac:dyDescent="0.25">
      <c r="A5818" s="1" t="s">
        <v>14330</v>
      </c>
      <c r="B5818" s="3" t="s">
        <v>9435</v>
      </c>
      <c r="C5818" s="2">
        <f ca="1">IF(ISNUMBER(SEARCH(Лист2!$B$4,D:D)),MAX($C$3:OFFSET(C5818,-1,0))+1,0)</f>
        <v>0</v>
      </c>
      <c r="E5818" s="9" t="str">
        <f t="shared" ca="1" si="102"/>
        <v/>
      </c>
      <c r="F5818" s="4" t="s">
        <v>21</v>
      </c>
      <c r="G5818" s="2">
        <f>IF(ISNUMBER(SEARCH(Лист2!$B$4,F:F)),1,0)</f>
        <v>0</v>
      </c>
      <c r="H5818" s="3">
        <f ca="1">IF(AND(I5818&lt;&gt;I5817,ISNUMBER(SEARCH(Лист2!$B$5,I:I)),G5818=1),MAX($H$3:OFFSET(H5818,-1,0))+1,0)</f>
        <v>0</v>
      </c>
      <c r="I5818" s="3" t="s">
        <v>474</v>
      </c>
      <c r="K5818" s="2">
        <f>IF(ISNUMBER(SEARCH(Лист2!$B$4,F:F)),1,0)</f>
        <v>0</v>
      </c>
      <c r="L5818" s="14">
        <f>IF(ISNUMBER(SEARCH(Лист2!$B$5,I:I)),1,0)+K5818</f>
        <v>0</v>
      </c>
      <c r="M5818" s="3">
        <f ca="1">IF(AND(N5818&lt;&gt;N5817,ISNUMBER(SEARCH(Лист2!$B$6,N:N)),L5818=2),MAX($M$3:OFFSET(M5818,-1,0))+1,0)</f>
        <v>0</v>
      </c>
      <c r="N5818" s="3" t="s">
        <v>3402</v>
      </c>
    </row>
    <row r="5819" spans="1:14" x14ac:dyDescent="0.25">
      <c r="A5819" s="1" t="s">
        <v>14330</v>
      </c>
      <c r="B5819" s="3" t="s">
        <v>9436</v>
      </c>
      <c r="C5819" s="2">
        <f ca="1">IF(ISNUMBER(SEARCH(Лист2!$B$4,D:D)),MAX($C$3:OFFSET(C5819,-1,0))+1,0)</f>
        <v>0</v>
      </c>
      <c r="E5819" s="9" t="str">
        <f t="shared" ca="1" si="102"/>
        <v/>
      </c>
      <c r="F5819" s="4" t="s">
        <v>21</v>
      </c>
      <c r="G5819" s="2">
        <f>IF(ISNUMBER(SEARCH(Лист2!$B$4,F:F)),1,0)</f>
        <v>0</v>
      </c>
      <c r="H5819" s="3">
        <f ca="1">IF(AND(I5819&lt;&gt;I5818,ISNUMBER(SEARCH(Лист2!$B$5,I:I)),G5819=1),MAX($H$3:OFFSET(H5819,-1,0))+1,0)</f>
        <v>0</v>
      </c>
      <c r="I5819" s="3" t="s">
        <v>474</v>
      </c>
      <c r="K5819" s="2">
        <f>IF(ISNUMBER(SEARCH(Лист2!$B$4,F:F)),1,0)</f>
        <v>0</v>
      </c>
      <c r="L5819" s="14">
        <f>IF(ISNUMBER(SEARCH(Лист2!$B$5,I:I)),1,0)+K5819</f>
        <v>0</v>
      </c>
      <c r="M5819" s="3">
        <f ca="1">IF(AND(N5819&lt;&gt;N5818,ISNUMBER(SEARCH(Лист2!$B$6,N:N)),L5819=2),MAX($M$3:OFFSET(M5819,-1,0))+1,0)</f>
        <v>0</v>
      </c>
      <c r="N5819" s="3" t="s">
        <v>3402</v>
      </c>
    </row>
    <row r="5820" spans="1:14" x14ac:dyDescent="0.25">
      <c r="A5820" s="1" t="s">
        <v>14331</v>
      </c>
      <c r="B5820" s="3" t="s">
        <v>9437</v>
      </c>
      <c r="C5820" s="2">
        <f ca="1">IF(ISNUMBER(SEARCH(Лист2!$B$4,D:D)),MAX($C$3:OFFSET(C5820,-1,0))+1,0)</f>
        <v>0</v>
      </c>
      <c r="E5820" s="9" t="str">
        <f t="shared" ca="1" si="102"/>
        <v/>
      </c>
      <c r="F5820" s="4" t="s">
        <v>21</v>
      </c>
      <c r="G5820" s="2">
        <f>IF(ISNUMBER(SEARCH(Лист2!$B$4,F:F)),1,0)</f>
        <v>0</v>
      </c>
      <c r="H5820" s="3">
        <f ca="1">IF(AND(I5820&lt;&gt;I5819,ISNUMBER(SEARCH(Лист2!$B$5,I:I)),G5820=1),MAX($H$3:OFFSET(H5820,-1,0))+1,0)</f>
        <v>0</v>
      </c>
      <c r="I5820" s="3" t="s">
        <v>474</v>
      </c>
      <c r="K5820" s="2">
        <f>IF(ISNUMBER(SEARCH(Лист2!$B$4,F:F)),1,0)</f>
        <v>0</v>
      </c>
      <c r="L5820" s="14">
        <f>IF(ISNUMBER(SEARCH(Лист2!$B$5,I:I)),1,0)+K5820</f>
        <v>0</v>
      </c>
      <c r="M5820" s="3">
        <f ca="1">IF(AND(N5820&lt;&gt;N5819,ISNUMBER(SEARCH(Лист2!$B$6,N:N)),L5820=2),MAX($M$3:OFFSET(M5820,-1,0))+1,0)</f>
        <v>0</v>
      </c>
      <c r="N5820" s="3" t="s">
        <v>3403</v>
      </c>
    </row>
    <row r="5821" spans="1:14" x14ac:dyDescent="0.25">
      <c r="A5821" s="1" t="s">
        <v>14332</v>
      </c>
      <c r="B5821" s="3" t="s">
        <v>9438</v>
      </c>
      <c r="C5821" s="2">
        <f ca="1">IF(ISNUMBER(SEARCH(Лист2!$B$4,D:D)),MAX($C$3:OFFSET(C5821,-1,0))+1,0)</f>
        <v>0</v>
      </c>
      <c r="E5821" s="9" t="str">
        <f t="shared" ca="1" si="102"/>
        <v/>
      </c>
      <c r="F5821" s="4" t="s">
        <v>21</v>
      </c>
      <c r="G5821" s="2">
        <f>IF(ISNUMBER(SEARCH(Лист2!$B$4,F:F)),1,0)</f>
        <v>0</v>
      </c>
      <c r="H5821" s="3">
        <f ca="1">IF(AND(I5821&lt;&gt;I5820,ISNUMBER(SEARCH(Лист2!$B$5,I:I)),G5821=1),MAX($H$3:OFFSET(H5821,-1,0))+1,0)</f>
        <v>0</v>
      </c>
      <c r="I5821" s="3" t="s">
        <v>474</v>
      </c>
      <c r="K5821" s="2">
        <f>IF(ISNUMBER(SEARCH(Лист2!$B$4,F:F)),1,0)</f>
        <v>0</v>
      </c>
      <c r="L5821" s="14">
        <f>IF(ISNUMBER(SEARCH(Лист2!$B$5,I:I)),1,0)+K5821</f>
        <v>0</v>
      </c>
      <c r="M5821" s="3">
        <f ca="1">IF(AND(N5821&lt;&gt;N5820,ISNUMBER(SEARCH(Лист2!$B$6,N:N)),L5821=2),MAX($M$3:OFFSET(M5821,-1,0))+1,0)</f>
        <v>0</v>
      </c>
      <c r="N5821" s="3" t="s">
        <v>3404</v>
      </c>
    </row>
    <row r="5822" spans="1:14" x14ac:dyDescent="0.25">
      <c r="A5822" s="1" t="s">
        <v>14333</v>
      </c>
      <c r="B5822" s="3" t="s">
        <v>9439</v>
      </c>
      <c r="C5822" s="2">
        <f ca="1">IF(ISNUMBER(SEARCH(Лист2!$B$4,D:D)),MAX($C$3:OFFSET(C5822,-1,0))+1,0)</f>
        <v>0</v>
      </c>
      <c r="E5822" s="9" t="str">
        <f t="shared" ca="1" si="102"/>
        <v/>
      </c>
      <c r="F5822" s="4" t="s">
        <v>21</v>
      </c>
      <c r="G5822" s="2">
        <f>IF(ISNUMBER(SEARCH(Лист2!$B$4,F:F)),1,0)</f>
        <v>0</v>
      </c>
      <c r="H5822" s="3">
        <f ca="1">IF(AND(I5822&lt;&gt;I5821,ISNUMBER(SEARCH(Лист2!$B$5,I:I)),G5822=1),MAX($H$3:OFFSET(H5822,-1,0))+1,0)</f>
        <v>0</v>
      </c>
      <c r="I5822" s="3" t="s">
        <v>474</v>
      </c>
      <c r="K5822" s="2">
        <f>IF(ISNUMBER(SEARCH(Лист2!$B$4,F:F)),1,0)</f>
        <v>0</v>
      </c>
      <c r="L5822" s="14">
        <f>IF(ISNUMBER(SEARCH(Лист2!$B$5,I:I)),1,0)+K5822</f>
        <v>0</v>
      </c>
      <c r="M5822" s="3">
        <f ca="1">IF(AND(N5822&lt;&gt;N5821,ISNUMBER(SEARCH(Лист2!$B$6,N:N)),L5822=2),MAX($M$3:OFFSET(M5822,-1,0))+1,0)</f>
        <v>0</v>
      </c>
      <c r="N5822" s="3" t="s">
        <v>3405</v>
      </c>
    </row>
    <row r="5823" spans="1:14" x14ac:dyDescent="0.25">
      <c r="A5823" s="1" t="s">
        <v>14334</v>
      </c>
      <c r="B5823" s="3" t="s">
        <v>9440</v>
      </c>
      <c r="C5823" s="2">
        <f ca="1">IF(ISNUMBER(SEARCH(Лист2!$B$4,D:D)),MAX($C$3:OFFSET(C5823,-1,0))+1,0)</f>
        <v>0</v>
      </c>
      <c r="E5823" s="9" t="str">
        <f t="shared" ca="1" si="102"/>
        <v/>
      </c>
      <c r="F5823" s="4" t="s">
        <v>21</v>
      </c>
      <c r="G5823" s="2">
        <f>IF(ISNUMBER(SEARCH(Лист2!$B$4,F:F)),1,0)</f>
        <v>0</v>
      </c>
      <c r="H5823" s="3">
        <f ca="1">IF(AND(I5823&lt;&gt;I5822,ISNUMBER(SEARCH(Лист2!$B$5,I:I)),G5823=1),MAX($H$3:OFFSET(H5823,-1,0))+1,0)</f>
        <v>0</v>
      </c>
      <c r="I5823" s="3" t="s">
        <v>474</v>
      </c>
      <c r="K5823" s="2">
        <f>IF(ISNUMBER(SEARCH(Лист2!$B$4,F:F)),1,0)</f>
        <v>0</v>
      </c>
      <c r="L5823" s="14">
        <f>IF(ISNUMBER(SEARCH(Лист2!$B$5,I:I)),1,0)+K5823</f>
        <v>0</v>
      </c>
      <c r="M5823" s="3">
        <f ca="1">IF(AND(N5823&lt;&gt;N5822,ISNUMBER(SEARCH(Лист2!$B$6,N:N)),L5823=2),MAX($M$3:OFFSET(M5823,-1,0))+1,0)</f>
        <v>0</v>
      </c>
      <c r="N5823" s="3" t="s">
        <v>3406</v>
      </c>
    </row>
    <row r="5824" spans="1:14" x14ac:dyDescent="0.25">
      <c r="A5824" s="1" t="s">
        <v>14335</v>
      </c>
      <c r="B5824" s="3" t="s">
        <v>9441</v>
      </c>
      <c r="C5824" s="2">
        <f ca="1">IF(ISNUMBER(SEARCH(Лист2!$B$4,D:D)),MAX($C$3:OFFSET(C5824,-1,0))+1,0)</f>
        <v>0</v>
      </c>
      <c r="E5824" s="9" t="str">
        <f t="shared" ca="1" si="102"/>
        <v/>
      </c>
      <c r="F5824" s="4" t="s">
        <v>21</v>
      </c>
      <c r="G5824" s="2">
        <f>IF(ISNUMBER(SEARCH(Лист2!$B$4,F:F)),1,0)</f>
        <v>0</v>
      </c>
      <c r="H5824" s="3">
        <f ca="1">IF(AND(I5824&lt;&gt;I5823,ISNUMBER(SEARCH(Лист2!$B$5,I:I)),G5824=1),MAX($H$3:OFFSET(H5824,-1,0))+1,0)</f>
        <v>0</v>
      </c>
      <c r="I5824" s="3" t="s">
        <v>474</v>
      </c>
      <c r="K5824" s="2">
        <f>IF(ISNUMBER(SEARCH(Лист2!$B$4,F:F)),1,0)</f>
        <v>0</v>
      </c>
      <c r="L5824" s="14">
        <f>IF(ISNUMBER(SEARCH(Лист2!$B$5,I:I)),1,0)+K5824</f>
        <v>0</v>
      </c>
      <c r="M5824" s="3">
        <f ca="1">IF(AND(N5824&lt;&gt;N5823,ISNUMBER(SEARCH(Лист2!$B$6,N:N)),L5824=2),MAX($M$3:OFFSET(M5824,-1,0))+1,0)</f>
        <v>0</v>
      </c>
      <c r="N5824" s="3" t="s">
        <v>602</v>
      </c>
    </row>
    <row r="5825" spans="1:14" x14ac:dyDescent="0.25">
      <c r="A5825" s="1" t="s">
        <v>14336</v>
      </c>
      <c r="B5825" s="3" t="s">
        <v>9442</v>
      </c>
      <c r="C5825" s="2">
        <f ca="1">IF(ISNUMBER(SEARCH(Лист2!$B$4,D:D)),MAX($C$3:OFFSET(C5825,-1,0))+1,0)</f>
        <v>0</v>
      </c>
      <c r="E5825" s="9" t="str">
        <f t="shared" ca="1" si="102"/>
        <v/>
      </c>
      <c r="F5825" s="4" t="s">
        <v>21</v>
      </c>
      <c r="G5825" s="2">
        <f>IF(ISNUMBER(SEARCH(Лист2!$B$4,F:F)),1,0)</f>
        <v>0</v>
      </c>
      <c r="H5825" s="3">
        <f ca="1">IF(AND(I5825&lt;&gt;I5824,ISNUMBER(SEARCH(Лист2!$B$5,I:I)),G5825=1),MAX($H$3:OFFSET(H5825,-1,0))+1,0)</f>
        <v>0</v>
      </c>
      <c r="I5825" s="3" t="s">
        <v>474</v>
      </c>
      <c r="K5825" s="2">
        <f>IF(ISNUMBER(SEARCH(Лист2!$B$4,F:F)),1,0)</f>
        <v>0</v>
      </c>
      <c r="L5825" s="14">
        <f>IF(ISNUMBER(SEARCH(Лист2!$B$5,I:I)),1,0)+K5825</f>
        <v>0</v>
      </c>
      <c r="M5825" s="3">
        <f ca="1">IF(AND(N5825&lt;&gt;N5824,ISNUMBER(SEARCH(Лист2!$B$6,N:N)),L5825=2),MAX($M$3:OFFSET(M5825,-1,0))+1,0)</f>
        <v>0</v>
      </c>
      <c r="N5825" s="3" t="s">
        <v>3407</v>
      </c>
    </row>
    <row r="5826" spans="1:14" x14ac:dyDescent="0.25">
      <c r="A5826" s="1" t="s">
        <v>14337</v>
      </c>
      <c r="B5826" s="3" t="s">
        <v>9443</v>
      </c>
      <c r="C5826" s="2">
        <f ca="1">IF(ISNUMBER(SEARCH(Лист2!$B$4,D:D)),MAX($C$3:OFFSET(C5826,-1,0))+1,0)</f>
        <v>0</v>
      </c>
      <c r="E5826" s="9" t="str">
        <f t="shared" ca="1" si="102"/>
        <v/>
      </c>
      <c r="F5826" s="4" t="s">
        <v>21</v>
      </c>
      <c r="G5826" s="2">
        <f>IF(ISNUMBER(SEARCH(Лист2!$B$4,F:F)),1,0)</f>
        <v>0</v>
      </c>
      <c r="H5826" s="3">
        <f ca="1">IF(AND(I5826&lt;&gt;I5825,ISNUMBER(SEARCH(Лист2!$B$5,I:I)),G5826=1),MAX($H$3:OFFSET(H5826,-1,0))+1,0)</f>
        <v>0</v>
      </c>
      <c r="I5826" s="3" t="s">
        <v>475</v>
      </c>
      <c r="K5826" s="2">
        <f>IF(ISNUMBER(SEARCH(Лист2!$B$4,F:F)),1,0)</f>
        <v>0</v>
      </c>
      <c r="L5826" s="14">
        <f>IF(ISNUMBER(SEARCH(Лист2!$B$5,I:I)),1,0)+K5826</f>
        <v>0</v>
      </c>
      <c r="M5826" s="3">
        <f ca="1">IF(AND(N5826&lt;&gt;N5825,ISNUMBER(SEARCH(Лист2!$B$6,N:N)),L5826=2),MAX($M$3:OFFSET(M5826,-1,0))+1,0)</f>
        <v>0</v>
      </c>
      <c r="N5826" s="3" t="s">
        <v>3408</v>
      </c>
    </row>
    <row r="5827" spans="1:14" x14ac:dyDescent="0.25">
      <c r="A5827" s="1" t="s">
        <v>14338</v>
      </c>
      <c r="B5827" s="3" t="s">
        <v>9444</v>
      </c>
      <c r="C5827" s="2">
        <f ca="1">IF(ISNUMBER(SEARCH(Лист2!$B$4,D:D)),MAX($C$3:OFFSET(C5827,-1,0))+1,0)</f>
        <v>0</v>
      </c>
      <c r="E5827" s="9" t="str">
        <f t="shared" ca="1" si="102"/>
        <v/>
      </c>
      <c r="F5827" s="4" t="s">
        <v>21</v>
      </c>
      <c r="G5827" s="2">
        <f>IF(ISNUMBER(SEARCH(Лист2!$B$4,F:F)),1,0)</f>
        <v>0</v>
      </c>
      <c r="H5827" s="3">
        <f ca="1">IF(AND(I5827&lt;&gt;I5826,ISNUMBER(SEARCH(Лист2!$B$5,I:I)),G5827=1),MAX($H$3:OFFSET(H5827,-1,0))+1,0)</f>
        <v>0</v>
      </c>
      <c r="I5827" s="3" t="s">
        <v>475</v>
      </c>
      <c r="K5827" s="2">
        <f>IF(ISNUMBER(SEARCH(Лист2!$B$4,F:F)),1,0)</f>
        <v>0</v>
      </c>
      <c r="L5827" s="14">
        <f>IF(ISNUMBER(SEARCH(Лист2!$B$5,I:I)),1,0)+K5827</f>
        <v>0</v>
      </c>
      <c r="M5827" s="3">
        <f ca="1">IF(AND(N5827&lt;&gt;N5826,ISNUMBER(SEARCH(Лист2!$B$6,N:N)),L5827=2),MAX($M$3:OFFSET(M5827,-1,0))+1,0)</f>
        <v>0</v>
      </c>
      <c r="N5827" s="3" t="s">
        <v>3409</v>
      </c>
    </row>
    <row r="5828" spans="1:14" x14ac:dyDescent="0.25">
      <c r="A5828" s="1" t="s">
        <v>14339</v>
      </c>
      <c r="B5828" s="3" t="s">
        <v>9445</v>
      </c>
      <c r="C5828" s="2">
        <f ca="1">IF(ISNUMBER(SEARCH(Лист2!$B$4,D:D)),MAX($C$3:OFFSET(C5828,-1,0))+1,0)</f>
        <v>0</v>
      </c>
      <c r="E5828" s="9" t="str">
        <f t="shared" ca="1" si="102"/>
        <v/>
      </c>
      <c r="F5828" s="4" t="s">
        <v>21</v>
      </c>
      <c r="G5828" s="2">
        <f>IF(ISNUMBER(SEARCH(Лист2!$B$4,F:F)),1,0)</f>
        <v>0</v>
      </c>
      <c r="H5828" s="3">
        <f ca="1">IF(AND(I5828&lt;&gt;I5827,ISNUMBER(SEARCH(Лист2!$B$5,I:I)),G5828=1),MAX($H$3:OFFSET(H5828,-1,0))+1,0)</f>
        <v>0</v>
      </c>
      <c r="I5828" s="3" t="s">
        <v>475</v>
      </c>
      <c r="K5828" s="2">
        <f>IF(ISNUMBER(SEARCH(Лист2!$B$4,F:F)),1,0)</f>
        <v>0</v>
      </c>
      <c r="L5828" s="14">
        <f>IF(ISNUMBER(SEARCH(Лист2!$B$5,I:I)),1,0)+K5828</f>
        <v>0</v>
      </c>
      <c r="M5828" s="3">
        <f ca="1">IF(AND(N5828&lt;&gt;N5827,ISNUMBER(SEARCH(Лист2!$B$6,N:N)),L5828=2),MAX($M$3:OFFSET(M5828,-1,0))+1,0)</f>
        <v>0</v>
      </c>
      <c r="N5828" s="3" t="s">
        <v>3410</v>
      </c>
    </row>
    <row r="5829" spans="1:14" x14ac:dyDescent="0.25">
      <c r="A5829" s="1" t="s">
        <v>14340</v>
      </c>
      <c r="B5829" s="3" t="s">
        <v>9446</v>
      </c>
      <c r="C5829" s="2">
        <f ca="1">IF(ISNUMBER(SEARCH(Лист2!$B$4,D:D)),MAX($C$3:OFFSET(C5829,-1,0))+1,0)</f>
        <v>0</v>
      </c>
      <c r="E5829" s="9" t="str">
        <f t="shared" ref="E5829:E5892" ca="1" si="103">IFERROR(INDEX(D:D,MATCH(ROW(E5829)-ROW($E$3),C:C,0)),"")</f>
        <v/>
      </c>
      <c r="F5829" s="4" t="s">
        <v>21</v>
      </c>
      <c r="G5829" s="2">
        <f>IF(ISNUMBER(SEARCH(Лист2!$B$4,F:F)),1,0)</f>
        <v>0</v>
      </c>
      <c r="H5829" s="3">
        <f ca="1">IF(AND(I5829&lt;&gt;I5828,ISNUMBER(SEARCH(Лист2!$B$5,I:I)),G5829=1),MAX($H$3:OFFSET(H5829,-1,0))+1,0)</f>
        <v>0</v>
      </c>
      <c r="I5829" s="3" t="s">
        <v>475</v>
      </c>
      <c r="K5829" s="2">
        <f>IF(ISNUMBER(SEARCH(Лист2!$B$4,F:F)),1,0)</f>
        <v>0</v>
      </c>
      <c r="L5829" s="14">
        <f>IF(ISNUMBER(SEARCH(Лист2!$B$5,I:I)),1,0)+K5829</f>
        <v>0</v>
      </c>
      <c r="M5829" s="3">
        <f ca="1">IF(AND(N5829&lt;&gt;N5828,ISNUMBER(SEARCH(Лист2!$B$6,N:N)),L5829=2),MAX($M$3:OFFSET(M5829,-1,0))+1,0)</f>
        <v>0</v>
      </c>
      <c r="N5829" s="3" t="s">
        <v>3411</v>
      </c>
    </row>
    <row r="5830" spans="1:14" x14ac:dyDescent="0.25">
      <c r="A5830" s="1" t="s">
        <v>14341</v>
      </c>
      <c r="B5830" s="3" t="s">
        <v>9447</v>
      </c>
      <c r="C5830" s="2">
        <f ca="1">IF(ISNUMBER(SEARCH(Лист2!$B$4,D:D)),MAX($C$3:OFFSET(C5830,-1,0))+1,0)</f>
        <v>0</v>
      </c>
      <c r="E5830" s="9" t="str">
        <f t="shared" ca="1" si="103"/>
        <v/>
      </c>
      <c r="F5830" s="4" t="s">
        <v>21</v>
      </c>
      <c r="G5830" s="2">
        <f>IF(ISNUMBER(SEARCH(Лист2!$B$4,F:F)),1,0)</f>
        <v>0</v>
      </c>
      <c r="H5830" s="3">
        <f ca="1">IF(AND(I5830&lt;&gt;I5829,ISNUMBER(SEARCH(Лист2!$B$5,I:I)),G5830=1),MAX($H$3:OFFSET(H5830,-1,0))+1,0)</f>
        <v>0</v>
      </c>
      <c r="I5830" s="3" t="s">
        <v>475</v>
      </c>
      <c r="K5830" s="2">
        <f>IF(ISNUMBER(SEARCH(Лист2!$B$4,F:F)),1,0)</f>
        <v>0</v>
      </c>
      <c r="L5830" s="14">
        <f>IF(ISNUMBER(SEARCH(Лист2!$B$5,I:I)),1,0)+K5830</f>
        <v>0</v>
      </c>
      <c r="M5830" s="3">
        <f ca="1">IF(AND(N5830&lt;&gt;N5829,ISNUMBER(SEARCH(Лист2!$B$6,N:N)),L5830=2),MAX($M$3:OFFSET(M5830,-1,0))+1,0)</f>
        <v>0</v>
      </c>
      <c r="N5830" s="3" t="s">
        <v>3412</v>
      </c>
    </row>
    <row r="5831" spans="1:14" x14ac:dyDescent="0.25">
      <c r="A5831" s="1" t="s">
        <v>14342</v>
      </c>
      <c r="B5831" s="3" t="s">
        <v>9448</v>
      </c>
      <c r="C5831" s="2">
        <f ca="1">IF(ISNUMBER(SEARCH(Лист2!$B$4,D:D)),MAX($C$3:OFFSET(C5831,-1,0))+1,0)</f>
        <v>0</v>
      </c>
      <c r="E5831" s="9" t="str">
        <f t="shared" ca="1" si="103"/>
        <v/>
      </c>
      <c r="F5831" s="4" t="s">
        <v>21</v>
      </c>
      <c r="G5831" s="2">
        <f>IF(ISNUMBER(SEARCH(Лист2!$B$4,F:F)),1,0)</f>
        <v>0</v>
      </c>
      <c r="H5831" s="3">
        <f ca="1">IF(AND(I5831&lt;&gt;I5830,ISNUMBER(SEARCH(Лист2!$B$5,I:I)),G5831=1),MAX($H$3:OFFSET(H5831,-1,0))+1,0)</f>
        <v>0</v>
      </c>
      <c r="I5831" s="3" t="s">
        <v>475</v>
      </c>
      <c r="K5831" s="2">
        <f>IF(ISNUMBER(SEARCH(Лист2!$B$4,F:F)),1,0)</f>
        <v>0</v>
      </c>
      <c r="L5831" s="14">
        <f>IF(ISNUMBER(SEARCH(Лист2!$B$5,I:I)),1,0)+K5831</f>
        <v>0</v>
      </c>
      <c r="M5831" s="3">
        <f ca="1">IF(AND(N5831&lt;&gt;N5830,ISNUMBER(SEARCH(Лист2!$B$6,N:N)),L5831=2),MAX($M$3:OFFSET(M5831,-1,0))+1,0)</f>
        <v>0</v>
      </c>
      <c r="N5831" s="3" t="s">
        <v>3216</v>
      </c>
    </row>
    <row r="5832" spans="1:14" x14ac:dyDescent="0.25">
      <c r="A5832" s="1" t="s">
        <v>14343</v>
      </c>
      <c r="B5832" s="3" t="s">
        <v>9449</v>
      </c>
      <c r="C5832" s="2">
        <f ca="1">IF(ISNUMBER(SEARCH(Лист2!$B$4,D:D)),MAX($C$3:OFFSET(C5832,-1,0))+1,0)</f>
        <v>0</v>
      </c>
      <c r="E5832" s="9" t="str">
        <f t="shared" ca="1" si="103"/>
        <v/>
      </c>
      <c r="F5832" s="4" t="s">
        <v>21</v>
      </c>
      <c r="G5832" s="2">
        <f>IF(ISNUMBER(SEARCH(Лист2!$B$4,F:F)),1,0)</f>
        <v>0</v>
      </c>
      <c r="H5832" s="3">
        <f ca="1">IF(AND(I5832&lt;&gt;I5831,ISNUMBER(SEARCH(Лист2!$B$5,I:I)),G5832=1),MAX($H$3:OFFSET(H5832,-1,0))+1,0)</f>
        <v>0</v>
      </c>
      <c r="I5832" s="3" t="s">
        <v>476</v>
      </c>
      <c r="K5832" s="2">
        <f>IF(ISNUMBER(SEARCH(Лист2!$B$4,F:F)),1,0)</f>
        <v>0</v>
      </c>
      <c r="L5832" s="14">
        <f>IF(ISNUMBER(SEARCH(Лист2!$B$5,I:I)),1,0)+K5832</f>
        <v>0</v>
      </c>
      <c r="M5832" s="3">
        <f ca="1">IF(AND(N5832&lt;&gt;N5831,ISNUMBER(SEARCH(Лист2!$B$6,N:N)),L5832=2),MAX($M$3:OFFSET(M5832,-1,0))+1,0)</f>
        <v>0</v>
      </c>
      <c r="N5832" s="3" t="s">
        <v>3413</v>
      </c>
    </row>
    <row r="5833" spans="1:14" x14ac:dyDescent="0.25">
      <c r="A5833" s="1" t="s">
        <v>14344</v>
      </c>
      <c r="B5833" s="3" t="s">
        <v>9450</v>
      </c>
      <c r="C5833" s="2">
        <f ca="1">IF(ISNUMBER(SEARCH(Лист2!$B$4,D:D)),MAX($C$3:OFFSET(C5833,-1,0))+1,0)</f>
        <v>0</v>
      </c>
      <c r="E5833" s="9" t="str">
        <f t="shared" ca="1" si="103"/>
        <v/>
      </c>
      <c r="F5833" s="4" t="s">
        <v>21</v>
      </c>
      <c r="G5833" s="2">
        <f>IF(ISNUMBER(SEARCH(Лист2!$B$4,F:F)),1,0)</f>
        <v>0</v>
      </c>
      <c r="H5833" s="3">
        <f ca="1">IF(AND(I5833&lt;&gt;I5832,ISNUMBER(SEARCH(Лист2!$B$5,I:I)),G5833=1),MAX($H$3:OFFSET(H5833,-1,0))+1,0)</f>
        <v>0</v>
      </c>
      <c r="I5833" s="3" t="s">
        <v>476</v>
      </c>
      <c r="K5833" s="2">
        <f>IF(ISNUMBER(SEARCH(Лист2!$B$4,F:F)),1,0)</f>
        <v>0</v>
      </c>
      <c r="L5833" s="14">
        <f>IF(ISNUMBER(SEARCH(Лист2!$B$5,I:I)),1,0)+K5833</f>
        <v>0</v>
      </c>
      <c r="M5833" s="3">
        <f ca="1">IF(AND(N5833&lt;&gt;N5832,ISNUMBER(SEARCH(Лист2!$B$6,N:N)),L5833=2),MAX($M$3:OFFSET(M5833,-1,0))+1,0)</f>
        <v>0</v>
      </c>
      <c r="N5833" s="3" t="s">
        <v>3414</v>
      </c>
    </row>
    <row r="5834" spans="1:14" x14ac:dyDescent="0.25">
      <c r="A5834" s="1" t="s">
        <v>14345</v>
      </c>
      <c r="B5834" s="3" t="s">
        <v>9451</v>
      </c>
      <c r="C5834" s="2">
        <f ca="1">IF(ISNUMBER(SEARCH(Лист2!$B$4,D:D)),MAX($C$3:OFFSET(C5834,-1,0))+1,0)</f>
        <v>0</v>
      </c>
      <c r="E5834" s="9" t="str">
        <f t="shared" ca="1" si="103"/>
        <v/>
      </c>
      <c r="F5834" s="4" t="s">
        <v>21</v>
      </c>
      <c r="G5834" s="2">
        <f>IF(ISNUMBER(SEARCH(Лист2!$B$4,F:F)),1,0)</f>
        <v>0</v>
      </c>
      <c r="H5834" s="3">
        <f ca="1">IF(AND(I5834&lt;&gt;I5833,ISNUMBER(SEARCH(Лист2!$B$5,I:I)),G5834=1),MAX($H$3:OFFSET(H5834,-1,0))+1,0)</f>
        <v>0</v>
      </c>
      <c r="I5834" s="3" t="s">
        <v>476</v>
      </c>
      <c r="K5834" s="2">
        <f>IF(ISNUMBER(SEARCH(Лист2!$B$4,F:F)),1,0)</f>
        <v>0</v>
      </c>
      <c r="L5834" s="14">
        <f>IF(ISNUMBER(SEARCH(Лист2!$B$5,I:I)),1,0)+K5834</f>
        <v>0</v>
      </c>
      <c r="M5834" s="3">
        <f ca="1">IF(AND(N5834&lt;&gt;N5833,ISNUMBER(SEARCH(Лист2!$B$6,N:N)),L5834=2),MAX($M$3:OFFSET(M5834,-1,0))+1,0)</f>
        <v>0</v>
      </c>
      <c r="N5834" s="3" t="s">
        <v>3415</v>
      </c>
    </row>
    <row r="5835" spans="1:14" x14ac:dyDescent="0.25">
      <c r="A5835" s="1" t="s">
        <v>14346</v>
      </c>
      <c r="B5835" s="3" t="s">
        <v>9452</v>
      </c>
      <c r="C5835" s="2">
        <f ca="1">IF(ISNUMBER(SEARCH(Лист2!$B$4,D:D)),MAX($C$3:OFFSET(C5835,-1,0))+1,0)</f>
        <v>0</v>
      </c>
      <c r="E5835" s="9" t="str">
        <f t="shared" ca="1" si="103"/>
        <v/>
      </c>
      <c r="F5835" s="4" t="s">
        <v>21</v>
      </c>
      <c r="G5835" s="2">
        <f>IF(ISNUMBER(SEARCH(Лист2!$B$4,F:F)),1,0)</f>
        <v>0</v>
      </c>
      <c r="H5835" s="3">
        <f ca="1">IF(AND(I5835&lt;&gt;I5834,ISNUMBER(SEARCH(Лист2!$B$5,I:I)),G5835=1),MAX($H$3:OFFSET(H5835,-1,0))+1,0)</f>
        <v>0</v>
      </c>
      <c r="I5835" s="3" t="s">
        <v>476</v>
      </c>
      <c r="K5835" s="2">
        <f>IF(ISNUMBER(SEARCH(Лист2!$B$4,F:F)),1,0)</f>
        <v>0</v>
      </c>
      <c r="L5835" s="14">
        <f>IF(ISNUMBER(SEARCH(Лист2!$B$5,I:I)),1,0)+K5835</f>
        <v>0</v>
      </c>
      <c r="M5835" s="3">
        <f ca="1">IF(AND(N5835&lt;&gt;N5834,ISNUMBER(SEARCH(Лист2!$B$6,N:N)),L5835=2),MAX($M$3:OFFSET(M5835,-1,0))+1,0)</f>
        <v>0</v>
      </c>
      <c r="N5835" s="3" t="s">
        <v>3416</v>
      </c>
    </row>
    <row r="5836" spans="1:14" x14ac:dyDescent="0.25">
      <c r="A5836" s="1" t="s">
        <v>14347</v>
      </c>
      <c r="B5836" s="3" t="s">
        <v>9453</v>
      </c>
      <c r="C5836" s="2">
        <f ca="1">IF(ISNUMBER(SEARCH(Лист2!$B$4,D:D)),MAX($C$3:OFFSET(C5836,-1,0))+1,0)</f>
        <v>0</v>
      </c>
      <c r="E5836" s="9" t="str">
        <f t="shared" ca="1" si="103"/>
        <v/>
      </c>
      <c r="F5836" s="4" t="s">
        <v>21</v>
      </c>
      <c r="G5836" s="2">
        <f>IF(ISNUMBER(SEARCH(Лист2!$B$4,F:F)),1,0)</f>
        <v>0</v>
      </c>
      <c r="H5836" s="3">
        <f ca="1">IF(AND(I5836&lt;&gt;I5835,ISNUMBER(SEARCH(Лист2!$B$5,I:I)),G5836=1),MAX($H$3:OFFSET(H5836,-1,0))+1,0)</f>
        <v>0</v>
      </c>
      <c r="I5836" s="3" t="s">
        <v>476</v>
      </c>
      <c r="K5836" s="2">
        <f>IF(ISNUMBER(SEARCH(Лист2!$B$4,F:F)),1,0)</f>
        <v>0</v>
      </c>
      <c r="L5836" s="14">
        <f>IF(ISNUMBER(SEARCH(Лист2!$B$5,I:I)),1,0)+K5836</f>
        <v>0</v>
      </c>
      <c r="M5836" s="3">
        <f ca="1">IF(AND(N5836&lt;&gt;N5835,ISNUMBER(SEARCH(Лист2!$B$6,N:N)),L5836=2),MAX($M$3:OFFSET(M5836,-1,0))+1,0)</f>
        <v>0</v>
      </c>
      <c r="N5836" s="3" t="s">
        <v>3417</v>
      </c>
    </row>
    <row r="5837" spans="1:14" x14ac:dyDescent="0.25">
      <c r="A5837" s="1" t="s">
        <v>14348</v>
      </c>
      <c r="B5837" s="3" t="s">
        <v>9454</v>
      </c>
      <c r="C5837" s="2">
        <f ca="1">IF(ISNUMBER(SEARCH(Лист2!$B$4,D:D)),MAX($C$3:OFFSET(C5837,-1,0))+1,0)</f>
        <v>0</v>
      </c>
      <c r="E5837" s="9" t="str">
        <f t="shared" ca="1" si="103"/>
        <v/>
      </c>
      <c r="F5837" s="4" t="s">
        <v>21</v>
      </c>
      <c r="G5837" s="2">
        <f>IF(ISNUMBER(SEARCH(Лист2!$B$4,F:F)),1,0)</f>
        <v>0</v>
      </c>
      <c r="H5837" s="3">
        <f ca="1">IF(AND(I5837&lt;&gt;I5836,ISNUMBER(SEARCH(Лист2!$B$5,I:I)),G5837=1),MAX($H$3:OFFSET(H5837,-1,0))+1,0)</f>
        <v>0</v>
      </c>
      <c r="I5837" s="3" t="s">
        <v>476</v>
      </c>
      <c r="K5837" s="2">
        <f>IF(ISNUMBER(SEARCH(Лист2!$B$4,F:F)),1,0)</f>
        <v>0</v>
      </c>
      <c r="L5837" s="14">
        <f>IF(ISNUMBER(SEARCH(Лист2!$B$5,I:I)),1,0)+K5837</f>
        <v>0</v>
      </c>
      <c r="M5837" s="3">
        <f ca="1">IF(AND(N5837&lt;&gt;N5836,ISNUMBER(SEARCH(Лист2!$B$6,N:N)),L5837=2),MAX($M$3:OFFSET(M5837,-1,0))+1,0)</f>
        <v>0</v>
      </c>
      <c r="N5837" s="3" t="s">
        <v>3216</v>
      </c>
    </row>
    <row r="5838" spans="1:14" x14ac:dyDescent="0.25">
      <c r="A5838" s="1" t="s">
        <v>14349</v>
      </c>
      <c r="B5838" s="3" t="s">
        <v>9455</v>
      </c>
      <c r="C5838" s="2">
        <f ca="1">IF(ISNUMBER(SEARCH(Лист2!$B$4,D:D)),MAX($C$3:OFFSET(C5838,-1,0))+1,0)</f>
        <v>0</v>
      </c>
      <c r="E5838" s="9" t="str">
        <f t="shared" ca="1" si="103"/>
        <v/>
      </c>
      <c r="F5838" s="4" t="s">
        <v>21</v>
      </c>
      <c r="G5838" s="2">
        <f>IF(ISNUMBER(SEARCH(Лист2!$B$4,F:F)),1,0)</f>
        <v>0</v>
      </c>
      <c r="H5838" s="3">
        <f ca="1">IF(AND(I5838&lt;&gt;I5837,ISNUMBER(SEARCH(Лист2!$B$5,I:I)),G5838=1),MAX($H$3:OFFSET(H5838,-1,0))+1,0)</f>
        <v>0</v>
      </c>
      <c r="I5838" s="3" t="s">
        <v>477</v>
      </c>
      <c r="K5838" s="2">
        <f>IF(ISNUMBER(SEARCH(Лист2!$B$4,F:F)),1,0)</f>
        <v>0</v>
      </c>
      <c r="L5838" s="14">
        <f>IF(ISNUMBER(SEARCH(Лист2!$B$5,I:I)),1,0)+K5838</f>
        <v>0</v>
      </c>
      <c r="M5838" s="3">
        <f ca="1">IF(AND(N5838&lt;&gt;N5837,ISNUMBER(SEARCH(Лист2!$B$6,N:N)),L5838=2),MAX($M$3:OFFSET(M5838,-1,0))+1,0)</f>
        <v>0</v>
      </c>
      <c r="N5838" s="3" t="s">
        <v>3418</v>
      </c>
    </row>
    <row r="5839" spans="1:14" x14ac:dyDescent="0.25">
      <c r="A5839" s="1" t="s">
        <v>14350</v>
      </c>
      <c r="B5839" s="3" t="s">
        <v>9456</v>
      </c>
      <c r="C5839" s="2">
        <f ca="1">IF(ISNUMBER(SEARCH(Лист2!$B$4,D:D)),MAX($C$3:OFFSET(C5839,-1,0))+1,0)</f>
        <v>0</v>
      </c>
      <c r="E5839" s="9" t="str">
        <f t="shared" ca="1" si="103"/>
        <v/>
      </c>
      <c r="F5839" s="4" t="s">
        <v>21</v>
      </c>
      <c r="G5839" s="2">
        <f>IF(ISNUMBER(SEARCH(Лист2!$B$4,F:F)),1,0)</f>
        <v>0</v>
      </c>
      <c r="H5839" s="3">
        <f ca="1">IF(AND(I5839&lt;&gt;I5838,ISNUMBER(SEARCH(Лист2!$B$5,I:I)),G5839=1),MAX($H$3:OFFSET(H5839,-1,0))+1,0)</f>
        <v>0</v>
      </c>
      <c r="I5839" s="3" t="s">
        <v>477</v>
      </c>
      <c r="K5839" s="2">
        <f>IF(ISNUMBER(SEARCH(Лист2!$B$4,F:F)),1,0)</f>
        <v>0</v>
      </c>
      <c r="L5839" s="14">
        <f>IF(ISNUMBER(SEARCH(Лист2!$B$5,I:I)),1,0)+K5839</f>
        <v>0</v>
      </c>
      <c r="M5839" s="3">
        <f ca="1">IF(AND(N5839&lt;&gt;N5838,ISNUMBER(SEARCH(Лист2!$B$6,N:N)),L5839=2),MAX($M$3:OFFSET(M5839,-1,0))+1,0)</f>
        <v>0</v>
      </c>
      <c r="N5839" s="3" t="s">
        <v>3419</v>
      </c>
    </row>
    <row r="5840" spans="1:14" x14ac:dyDescent="0.25">
      <c r="A5840" s="1" t="s">
        <v>14351</v>
      </c>
      <c r="B5840" s="3" t="s">
        <v>9457</v>
      </c>
      <c r="C5840" s="2">
        <f ca="1">IF(ISNUMBER(SEARCH(Лист2!$B$4,D:D)),MAX($C$3:OFFSET(C5840,-1,0))+1,0)</f>
        <v>0</v>
      </c>
      <c r="E5840" s="9" t="str">
        <f t="shared" ca="1" si="103"/>
        <v/>
      </c>
      <c r="F5840" s="4" t="s">
        <v>21</v>
      </c>
      <c r="G5840" s="2">
        <f>IF(ISNUMBER(SEARCH(Лист2!$B$4,F:F)),1,0)</f>
        <v>0</v>
      </c>
      <c r="H5840" s="3">
        <f ca="1">IF(AND(I5840&lt;&gt;I5839,ISNUMBER(SEARCH(Лист2!$B$5,I:I)),G5840=1),MAX($H$3:OFFSET(H5840,-1,0))+1,0)</f>
        <v>0</v>
      </c>
      <c r="I5840" s="3" t="s">
        <v>477</v>
      </c>
      <c r="K5840" s="2">
        <f>IF(ISNUMBER(SEARCH(Лист2!$B$4,F:F)),1,0)</f>
        <v>0</v>
      </c>
      <c r="L5840" s="14">
        <f>IF(ISNUMBER(SEARCH(Лист2!$B$5,I:I)),1,0)+K5840</f>
        <v>0</v>
      </c>
      <c r="M5840" s="3">
        <f ca="1">IF(AND(N5840&lt;&gt;N5839,ISNUMBER(SEARCH(Лист2!$B$6,N:N)),L5840=2),MAX($M$3:OFFSET(M5840,-1,0))+1,0)</f>
        <v>0</v>
      </c>
      <c r="N5840" s="3" t="s">
        <v>3420</v>
      </c>
    </row>
    <row r="5841" spans="1:14" x14ac:dyDescent="0.25">
      <c r="A5841" s="1" t="s">
        <v>14352</v>
      </c>
      <c r="B5841" s="3" t="s">
        <v>9458</v>
      </c>
      <c r="C5841" s="2">
        <f ca="1">IF(ISNUMBER(SEARCH(Лист2!$B$4,D:D)),MAX($C$3:OFFSET(C5841,-1,0))+1,0)</f>
        <v>0</v>
      </c>
      <c r="E5841" s="9" t="str">
        <f t="shared" ca="1" si="103"/>
        <v/>
      </c>
      <c r="F5841" s="4" t="s">
        <v>21</v>
      </c>
      <c r="G5841" s="2">
        <f>IF(ISNUMBER(SEARCH(Лист2!$B$4,F:F)),1,0)</f>
        <v>0</v>
      </c>
      <c r="H5841" s="3">
        <f ca="1">IF(AND(I5841&lt;&gt;I5840,ISNUMBER(SEARCH(Лист2!$B$5,I:I)),G5841=1),MAX($H$3:OFFSET(H5841,-1,0))+1,0)</f>
        <v>0</v>
      </c>
      <c r="I5841" s="3" t="s">
        <v>477</v>
      </c>
      <c r="K5841" s="2">
        <f>IF(ISNUMBER(SEARCH(Лист2!$B$4,F:F)),1,0)</f>
        <v>0</v>
      </c>
      <c r="L5841" s="14">
        <f>IF(ISNUMBER(SEARCH(Лист2!$B$5,I:I)),1,0)+K5841</f>
        <v>0</v>
      </c>
      <c r="M5841" s="3">
        <f ca="1">IF(AND(N5841&lt;&gt;N5840,ISNUMBER(SEARCH(Лист2!$B$6,N:N)),L5841=2),MAX($M$3:OFFSET(M5841,-1,0))+1,0)</f>
        <v>0</v>
      </c>
      <c r="N5841" s="3" t="s">
        <v>3421</v>
      </c>
    </row>
    <row r="5842" spans="1:14" x14ac:dyDescent="0.25">
      <c r="A5842" s="1" t="s">
        <v>14353</v>
      </c>
      <c r="B5842" s="3" t="s">
        <v>9459</v>
      </c>
      <c r="C5842" s="2">
        <f ca="1">IF(ISNUMBER(SEARCH(Лист2!$B$4,D:D)),MAX($C$3:OFFSET(C5842,-1,0))+1,0)</f>
        <v>0</v>
      </c>
      <c r="E5842" s="9" t="str">
        <f t="shared" ca="1" si="103"/>
        <v/>
      </c>
      <c r="F5842" s="4" t="s">
        <v>21</v>
      </c>
      <c r="G5842" s="2">
        <f>IF(ISNUMBER(SEARCH(Лист2!$B$4,F:F)),1,0)</f>
        <v>0</v>
      </c>
      <c r="H5842" s="3">
        <f ca="1">IF(AND(I5842&lt;&gt;I5841,ISNUMBER(SEARCH(Лист2!$B$5,I:I)),G5842=1),MAX($H$3:OFFSET(H5842,-1,0))+1,0)</f>
        <v>0</v>
      </c>
      <c r="I5842" s="3" t="s">
        <v>477</v>
      </c>
      <c r="K5842" s="2">
        <f>IF(ISNUMBER(SEARCH(Лист2!$B$4,F:F)),1,0)</f>
        <v>0</v>
      </c>
      <c r="L5842" s="14">
        <f>IF(ISNUMBER(SEARCH(Лист2!$B$5,I:I)),1,0)+K5842</f>
        <v>0</v>
      </c>
      <c r="M5842" s="3">
        <f ca="1">IF(AND(N5842&lt;&gt;N5841,ISNUMBER(SEARCH(Лист2!$B$6,N:N)),L5842=2),MAX($M$3:OFFSET(M5842,-1,0))+1,0)</f>
        <v>0</v>
      </c>
      <c r="N5842" s="3" t="s">
        <v>3415</v>
      </c>
    </row>
    <row r="5843" spans="1:14" x14ac:dyDescent="0.25">
      <c r="A5843" s="1" t="s">
        <v>14354</v>
      </c>
      <c r="B5843" s="3" t="s">
        <v>9460</v>
      </c>
      <c r="C5843" s="2">
        <f ca="1">IF(ISNUMBER(SEARCH(Лист2!$B$4,D:D)),MAX($C$3:OFFSET(C5843,-1,0))+1,0)</f>
        <v>0</v>
      </c>
      <c r="E5843" s="9" t="str">
        <f t="shared" ca="1" si="103"/>
        <v/>
      </c>
      <c r="F5843" s="4" t="s">
        <v>21</v>
      </c>
      <c r="G5843" s="2">
        <f>IF(ISNUMBER(SEARCH(Лист2!$B$4,F:F)),1,0)</f>
        <v>0</v>
      </c>
      <c r="H5843" s="3">
        <f ca="1">IF(AND(I5843&lt;&gt;I5842,ISNUMBER(SEARCH(Лист2!$B$5,I:I)),G5843=1),MAX($H$3:OFFSET(H5843,-1,0))+1,0)</f>
        <v>0</v>
      </c>
      <c r="I5843" s="3" t="s">
        <v>477</v>
      </c>
      <c r="K5843" s="2">
        <f>IF(ISNUMBER(SEARCH(Лист2!$B$4,F:F)),1,0)</f>
        <v>0</v>
      </c>
      <c r="L5843" s="14">
        <f>IF(ISNUMBER(SEARCH(Лист2!$B$5,I:I)),1,0)+K5843</f>
        <v>0</v>
      </c>
      <c r="M5843" s="3">
        <f ca="1">IF(AND(N5843&lt;&gt;N5842,ISNUMBER(SEARCH(Лист2!$B$6,N:N)),L5843=2),MAX($M$3:OFFSET(M5843,-1,0))+1,0)</f>
        <v>0</v>
      </c>
      <c r="N5843" s="3" t="s">
        <v>3422</v>
      </c>
    </row>
    <row r="5844" spans="1:14" x14ac:dyDescent="0.25">
      <c r="A5844" s="1" t="s">
        <v>14355</v>
      </c>
      <c r="B5844" s="3" t="s">
        <v>9461</v>
      </c>
      <c r="C5844" s="2">
        <f ca="1">IF(ISNUMBER(SEARCH(Лист2!$B$4,D:D)),MAX($C$3:OFFSET(C5844,-1,0))+1,0)</f>
        <v>0</v>
      </c>
      <c r="E5844" s="9" t="str">
        <f t="shared" ca="1" si="103"/>
        <v/>
      </c>
      <c r="F5844" s="4" t="s">
        <v>21</v>
      </c>
      <c r="G5844" s="2">
        <f>IF(ISNUMBER(SEARCH(Лист2!$B$4,F:F)),1,0)</f>
        <v>0</v>
      </c>
      <c r="H5844" s="3">
        <f ca="1">IF(AND(I5844&lt;&gt;I5843,ISNUMBER(SEARCH(Лист2!$B$5,I:I)),G5844=1),MAX($H$3:OFFSET(H5844,-1,0))+1,0)</f>
        <v>0</v>
      </c>
      <c r="I5844" s="3" t="s">
        <v>477</v>
      </c>
      <c r="K5844" s="2">
        <f>IF(ISNUMBER(SEARCH(Лист2!$B$4,F:F)),1,0)</f>
        <v>0</v>
      </c>
      <c r="L5844" s="14">
        <f>IF(ISNUMBER(SEARCH(Лист2!$B$5,I:I)),1,0)+K5844</f>
        <v>0</v>
      </c>
      <c r="M5844" s="3">
        <f ca="1">IF(AND(N5844&lt;&gt;N5843,ISNUMBER(SEARCH(Лист2!$B$6,N:N)),L5844=2),MAX($M$3:OFFSET(M5844,-1,0))+1,0)</f>
        <v>0</v>
      </c>
      <c r="N5844" s="3" t="s">
        <v>3423</v>
      </c>
    </row>
    <row r="5845" spans="1:14" x14ac:dyDescent="0.25">
      <c r="A5845" s="1" t="s">
        <v>14356</v>
      </c>
      <c r="B5845" s="3" t="s">
        <v>9462</v>
      </c>
      <c r="C5845" s="2">
        <f ca="1">IF(ISNUMBER(SEARCH(Лист2!$B$4,D:D)),MAX($C$3:OFFSET(C5845,-1,0))+1,0)</f>
        <v>0</v>
      </c>
      <c r="E5845" s="9" t="str">
        <f t="shared" ca="1" si="103"/>
        <v/>
      </c>
      <c r="F5845" s="4" t="s">
        <v>21</v>
      </c>
      <c r="G5845" s="2">
        <f>IF(ISNUMBER(SEARCH(Лист2!$B$4,F:F)),1,0)</f>
        <v>0</v>
      </c>
      <c r="H5845" s="3">
        <f ca="1">IF(AND(I5845&lt;&gt;I5844,ISNUMBER(SEARCH(Лист2!$B$5,I:I)),G5845=1),MAX($H$3:OFFSET(H5845,-1,0))+1,0)</f>
        <v>0</v>
      </c>
      <c r="I5845" s="3" t="s">
        <v>477</v>
      </c>
      <c r="K5845" s="2">
        <f>IF(ISNUMBER(SEARCH(Лист2!$B$4,F:F)),1,0)</f>
        <v>0</v>
      </c>
      <c r="L5845" s="14">
        <f>IF(ISNUMBER(SEARCH(Лист2!$B$5,I:I)),1,0)+K5845</f>
        <v>0</v>
      </c>
      <c r="M5845" s="3">
        <f ca="1">IF(AND(N5845&lt;&gt;N5844,ISNUMBER(SEARCH(Лист2!$B$6,N:N)),L5845=2),MAX($M$3:OFFSET(M5845,-1,0))+1,0)</f>
        <v>0</v>
      </c>
      <c r="N5845" s="3" t="s">
        <v>3424</v>
      </c>
    </row>
    <row r="5846" spans="1:14" x14ac:dyDescent="0.25">
      <c r="A5846" s="1" t="s">
        <v>14357</v>
      </c>
      <c r="B5846" s="3" t="s">
        <v>9463</v>
      </c>
      <c r="C5846" s="2">
        <f ca="1">IF(ISNUMBER(SEARCH(Лист2!$B$4,D:D)),MAX($C$3:OFFSET(C5846,-1,0))+1,0)</f>
        <v>0</v>
      </c>
      <c r="E5846" s="9" t="str">
        <f t="shared" ca="1" si="103"/>
        <v/>
      </c>
      <c r="F5846" s="4" t="s">
        <v>21</v>
      </c>
      <c r="G5846" s="2">
        <f>IF(ISNUMBER(SEARCH(Лист2!$B$4,F:F)),1,0)</f>
        <v>0</v>
      </c>
      <c r="H5846" s="3">
        <f ca="1">IF(AND(I5846&lt;&gt;I5845,ISNUMBER(SEARCH(Лист2!$B$5,I:I)),G5846=1),MAX($H$3:OFFSET(H5846,-1,0))+1,0)</f>
        <v>0</v>
      </c>
      <c r="I5846" s="3" t="s">
        <v>478</v>
      </c>
      <c r="K5846" s="2">
        <f>IF(ISNUMBER(SEARCH(Лист2!$B$4,F:F)),1,0)</f>
        <v>0</v>
      </c>
      <c r="L5846" s="14">
        <f>IF(ISNUMBER(SEARCH(Лист2!$B$5,I:I)),1,0)+K5846</f>
        <v>0</v>
      </c>
      <c r="M5846" s="3">
        <f ca="1">IF(AND(N5846&lt;&gt;N5845,ISNUMBER(SEARCH(Лист2!$B$6,N:N)),L5846=2),MAX($M$3:OFFSET(M5846,-1,0))+1,0)</f>
        <v>0</v>
      </c>
      <c r="N5846" s="3" t="s">
        <v>3425</v>
      </c>
    </row>
    <row r="5847" spans="1:14" x14ac:dyDescent="0.25">
      <c r="A5847" s="1" t="s">
        <v>14358</v>
      </c>
      <c r="B5847" s="3" t="s">
        <v>9464</v>
      </c>
      <c r="C5847" s="2">
        <f ca="1">IF(ISNUMBER(SEARCH(Лист2!$B$4,D:D)),MAX($C$3:OFFSET(C5847,-1,0))+1,0)</f>
        <v>0</v>
      </c>
      <c r="E5847" s="9" t="str">
        <f t="shared" ca="1" si="103"/>
        <v/>
      </c>
      <c r="F5847" s="4" t="s">
        <v>21</v>
      </c>
      <c r="G5847" s="2">
        <f>IF(ISNUMBER(SEARCH(Лист2!$B$4,F:F)),1,0)</f>
        <v>0</v>
      </c>
      <c r="H5847" s="3">
        <f ca="1">IF(AND(I5847&lt;&gt;I5846,ISNUMBER(SEARCH(Лист2!$B$5,I:I)),G5847=1),MAX($H$3:OFFSET(H5847,-1,0))+1,0)</f>
        <v>0</v>
      </c>
      <c r="I5847" s="3" t="s">
        <v>478</v>
      </c>
      <c r="K5847" s="2">
        <f>IF(ISNUMBER(SEARCH(Лист2!$B$4,F:F)),1,0)</f>
        <v>0</v>
      </c>
      <c r="L5847" s="14">
        <f>IF(ISNUMBER(SEARCH(Лист2!$B$5,I:I)),1,0)+K5847</f>
        <v>0</v>
      </c>
      <c r="M5847" s="3">
        <f ca="1">IF(AND(N5847&lt;&gt;N5846,ISNUMBER(SEARCH(Лист2!$B$6,N:N)),L5847=2),MAX($M$3:OFFSET(M5847,-1,0))+1,0)</f>
        <v>0</v>
      </c>
      <c r="N5847" s="3" t="s">
        <v>3426</v>
      </c>
    </row>
    <row r="5848" spans="1:14" x14ac:dyDescent="0.25">
      <c r="A5848" s="1" t="s">
        <v>14359</v>
      </c>
      <c r="B5848" s="3" t="s">
        <v>9465</v>
      </c>
      <c r="C5848" s="2">
        <f ca="1">IF(ISNUMBER(SEARCH(Лист2!$B$4,D:D)),MAX($C$3:OFFSET(C5848,-1,0))+1,0)</f>
        <v>0</v>
      </c>
      <c r="E5848" s="9" t="str">
        <f t="shared" ca="1" si="103"/>
        <v/>
      </c>
      <c r="F5848" s="4" t="s">
        <v>21</v>
      </c>
      <c r="G5848" s="2">
        <f>IF(ISNUMBER(SEARCH(Лист2!$B$4,F:F)),1,0)</f>
        <v>0</v>
      </c>
      <c r="H5848" s="3">
        <f ca="1">IF(AND(I5848&lt;&gt;I5847,ISNUMBER(SEARCH(Лист2!$B$5,I:I)),G5848=1),MAX($H$3:OFFSET(H5848,-1,0))+1,0)</f>
        <v>0</v>
      </c>
      <c r="I5848" s="3" t="s">
        <v>478</v>
      </c>
      <c r="K5848" s="2">
        <f>IF(ISNUMBER(SEARCH(Лист2!$B$4,F:F)),1,0)</f>
        <v>0</v>
      </c>
      <c r="L5848" s="14">
        <f>IF(ISNUMBER(SEARCH(Лист2!$B$5,I:I)),1,0)+K5848</f>
        <v>0</v>
      </c>
      <c r="M5848" s="3">
        <f ca="1">IF(AND(N5848&lt;&gt;N5847,ISNUMBER(SEARCH(Лист2!$B$6,N:N)),L5848=2),MAX($M$3:OFFSET(M5848,-1,0))+1,0)</f>
        <v>0</v>
      </c>
      <c r="N5848" s="3" t="s">
        <v>3427</v>
      </c>
    </row>
    <row r="5849" spans="1:14" x14ac:dyDescent="0.25">
      <c r="A5849" s="1" t="s">
        <v>14360</v>
      </c>
      <c r="B5849" s="3" t="s">
        <v>9466</v>
      </c>
      <c r="C5849" s="2">
        <f ca="1">IF(ISNUMBER(SEARCH(Лист2!$B$4,D:D)),MAX($C$3:OFFSET(C5849,-1,0))+1,0)</f>
        <v>0</v>
      </c>
      <c r="E5849" s="9" t="str">
        <f t="shared" ca="1" si="103"/>
        <v/>
      </c>
      <c r="F5849" s="4" t="s">
        <v>21</v>
      </c>
      <c r="G5849" s="2">
        <f>IF(ISNUMBER(SEARCH(Лист2!$B$4,F:F)),1,0)</f>
        <v>0</v>
      </c>
      <c r="H5849" s="3">
        <f ca="1">IF(AND(I5849&lt;&gt;I5848,ISNUMBER(SEARCH(Лист2!$B$5,I:I)),G5849=1),MAX($H$3:OFFSET(H5849,-1,0))+1,0)</f>
        <v>0</v>
      </c>
      <c r="I5849" s="3" t="s">
        <v>478</v>
      </c>
      <c r="K5849" s="2">
        <f>IF(ISNUMBER(SEARCH(Лист2!$B$4,F:F)),1,0)</f>
        <v>0</v>
      </c>
      <c r="L5849" s="14">
        <f>IF(ISNUMBER(SEARCH(Лист2!$B$5,I:I)),1,0)+K5849</f>
        <v>0</v>
      </c>
      <c r="M5849" s="3">
        <f ca="1">IF(AND(N5849&lt;&gt;N5848,ISNUMBER(SEARCH(Лист2!$B$6,N:N)),L5849=2),MAX($M$3:OFFSET(M5849,-1,0))+1,0)</f>
        <v>0</v>
      </c>
      <c r="N5849" s="3" t="s">
        <v>3428</v>
      </c>
    </row>
    <row r="5850" spans="1:14" x14ac:dyDescent="0.25">
      <c r="A5850" s="1" t="s">
        <v>14361</v>
      </c>
      <c r="B5850" s="3" t="s">
        <v>9467</v>
      </c>
      <c r="C5850" s="2">
        <f ca="1">IF(ISNUMBER(SEARCH(Лист2!$B$4,D:D)),MAX($C$3:OFFSET(C5850,-1,0))+1,0)</f>
        <v>0</v>
      </c>
      <c r="E5850" s="9" t="str">
        <f t="shared" ca="1" si="103"/>
        <v/>
      </c>
      <c r="F5850" s="4" t="s">
        <v>21</v>
      </c>
      <c r="G5850" s="2">
        <f>IF(ISNUMBER(SEARCH(Лист2!$B$4,F:F)),1,0)</f>
        <v>0</v>
      </c>
      <c r="H5850" s="3">
        <f ca="1">IF(AND(I5850&lt;&gt;I5849,ISNUMBER(SEARCH(Лист2!$B$5,I:I)),G5850=1),MAX($H$3:OFFSET(H5850,-1,0))+1,0)</f>
        <v>0</v>
      </c>
      <c r="I5850" s="3" t="s">
        <v>479</v>
      </c>
      <c r="K5850" s="2">
        <f>IF(ISNUMBER(SEARCH(Лист2!$B$4,F:F)),1,0)</f>
        <v>0</v>
      </c>
      <c r="L5850" s="14">
        <f>IF(ISNUMBER(SEARCH(Лист2!$B$5,I:I)),1,0)+K5850</f>
        <v>0</v>
      </c>
      <c r="M5850" s="3">
        <f ca="1">IF(AND(N5850&lt;&gt;N5849,ISNUMBER(SEARCH(Лист2!$B$6,N:N)),L5850=2),MAX($M$3:OFFSET(M5850,-1,0))+1,0)</f>
        <v>0</v>
      </c>
      <c r="N5850" s="3" t="s">
        <v>3429</v>
      </c>
    </row>
    <row r="5851" spans="1:14" x14ac:dyDescent="0.25">
      <c r="A5851" s="1" t="s">
        <v>14362</v>
      </c>
      <c r="B5851" s="3" t="s">
        <v>9468</v>
      </c>
      <c r="C5851" s="2">
        <f ca="1">IF(ISNUMBER(SEARCH(Лист2!$B$4,D:D)),MAX($C$3:OFFSET(C5851,-1,0))+1,0)</f>
        <v>0</v>
      </c>
      <c r="E5851" s="9" t="str">
        <f t="shared" ca="1" si="103"/>
        <v/>
      </c>
      <c r="F5851" s="4" t="s">
        <v>21</v>
      </c>
      <c r="G5851" s="2">
        <f>IF(ISNUMBER(SEARCH(Лист2!$B$4,F:F)),1,0)</f>
        <v>0</v>
      </c>
      <c r="H5851" s="3">
        <f ca="1">IF(AND(I5851&lt;&gt;I5850,ISNUMBER(SEARCH(Лист2!$B$5,I:I)),G5851=1),MAX($H$3:OFFSET(H5851,-1,0))+1,0)</f>
        <v>0</v>
      </c>
      <c r="I5851" s="3" t="s">
        <v>479</v>
      </c>
      <c r="K5851" s="2">
        <f>IF(ISNUMBER(SEARCH(Лист2!$B$4,F:F)),1,0)</f>
        <v>0</v>
      </c>
      <c r="L5851" s="14">
        <f>IF(ISNUMBER(SEARCH(Лист2!$B$5,I:I)),1,0)+K5851</f>
        <v>0</v>
      </c>
      <c r="M5851" s="3">
        <f ca="1">IF(AND(N5851&lt;&gt;N5850,ISNUMBER(SEARCH(Лист2!$B$6,N:N)),L5851=2),MAX($M$3:OFFSET(M5851,-1,0))+1,0)</f>
        <v>0</v>
      </c>
      <c r="N5851" s="3" t="s">
        <v>2705</v>
      </c>
    </row>
    <row r="5852" spans="1:14" x14ac:dyDescent="0.25">
      <c r="A5852" s="1" t="s">
        <v>14363</v>
      </c>
      <c r="B5852" s="3" t="s">
        <v>9469</v>
      </c>
      <c r="C5852" s="2">
        <f ca="1">IF(ISNUMBER(SEARCH(Лист2!$B$4,D:D)),MAX($C$3:OFFSET(C5852,-1,0))+1,0)</f>
        <v>0</v>
      </c>
      <c r="E5852" s="9" t="str">
        <f t="shared" ca="1" si="103"/>
        <v/>
      </c>
      <c r="F5852" s="4" t="s">
        <v>21</v>
      </c>
      <c r="G5852" s="2">
        <f>IF(ISNUMBER(SEARCH(Лист2!$B$4,F:F)),1,0)</f>
        <v>0</v>
      </c>
      <c r="H5852" s="3">
        <f ca="1">IF(AND(I5852&lt;&gt;I5851,ISNUMBER(SEARCH(Лист2!$B$5,I:I)),G5852=1),MAX($H$3:OFFSET(H5852,-1,0))+1,0)</f>
        <v>0</v>
      </c>
      <c r="I5852" s="3" t="s">
        <v>479</v>
      </c>
      <c r="K5852" s="2">
        <f>IF(ISNUMBER(SEARCH(Лист2!$B$4,F:F)),1,0)</f>
        <v>0</v>
      </c>
      <c r="L5852" s="14">
        <f>IF(ISNUMBER(SEARCH(Лист2!$B$5,I:I)),1,0)+K5852</f>
        <v>0</v>
      </c>
      <c r="M5852" s="3">
        <f ca="1">IF(AND(N5852&lt;&gt;N5851,ISNUMBER(SEARCH(Лист2!$B$6,N:N)),L5852=2),MAX($M$3:OFFSET(M5852,-1,0))+1,0)</f>
        <v>0</v>
      </c>
      <c r="N5852" s="3" t="s">
        <v>3430</v>
      </c>
    </row>
    <row r="5853" spans="1:14" x14ac:dyDescent="0.25">
      <c r="A5853" s="1" t="s">
        <v>14364</v>
      </c>
      <c r="B5853" s="3" t="s">
        <v>9470</v>
      </c>
      <c r="C5853" s="2">
        <f ca="1">IF(ISNUMBER(SEARCH(Лист2!$B$4,D:D)),MAX($C$3:OFFSET(C5853,-1,0))+1,0)</f>
        <v>0</v>
      </c>
      <c r="E5853" s="9" t="str">
        <f t="shared" ca="1" si="103"/>
        <v/>
      </c>
      <c r="F5853" s="4" t="s">
        <v>21</v>
      </c>
      <c r="G5853" s="2">
        <f>IF(ISNUMBER(SEARCH(Лист2!$B$4,F:F)),1,0)</f>
        <v>0</v>
      </c>
      <c r="H5853" s="3">
        <f ca="1">IF(AND(I5853&lt;&gt;I5852,ISNUMBER(SEARCH(Лист2!$B$5,I:I)),G5853=1),MAX($H$3:OFFSET(H5853,-1,0))+1,0)</f>
        <v>0</v>
      </c>
      <c r="I5853" s="3" t="s">
        <v>479</v>
      </c>
      <c r="K5853" s="2">
        <f>IF(ISNUMBER(SEARCH(Лист2!$B$4,F:F)),1,0)</f>
        <v>0</v>
      </c>
      <c r="L5853" s="14">
        <f>IF(ISNUMBER(SEARCH(Лист2!$B$5,I:I)),1,0)+K5853</f>
        <v>0</v>
      </c>
      <c r="M5853" s="3">
        <f ca="1">IF(AND(N5853&lt;&gt;N5852,ISNUMBER(SEARCH(Лист2!$B$6,N:N)),L5853=2),MAX($M$3:OFFSET(M5853,-1,0))+1,0)</f>
        <v>0</v>
      </c>
      <c r="N5853" s="3" t="s">
        <v>3431</v>
      </c>
    </row>
    <row r="5854" spans="1:14" x14ac:dyDescent="0.25">
      <c r="A5854" s="1" t="s">
        <v>14365</v>
      </c>
      <c r="B5854" s="3" t="s">
        <v>9471</v>
      </c>
      <c r="C5854" s="2">
        <f ca="1">IF(ISNUMBER(SEARCH(Лист2!$B$4,D:D)),MAX($C$3:OFFSET(C5854,-1,0))+1,0)</f>
        <v>0</v>
      </c>
      <c r="E5854" s="9" t="str">
        <f t="shared" ca="1" si="103"/>
        <v/>
      </c>
      <c r="F5854" s="4" t="s">
        <v>21</v>
      </c>
      <c r="G5854" s="2">
        <f>IF(ISNUMBER(SEARCH(Лист2!$B$4,F:F)),1,0)</f>
        <v>0</v>
      </c>
      <c r="H5854" s="3">
        <f ca="1">IF(AND(I5854&lt;&gt;I5853,ISNUMBER(SEARCH(Лист2!$B$5,I:I)),G5854=1),MAX($H$3:OFFSET(H5854,-1,0))+1,0)</f>
        <v>0</v>
      </c>
      <c r="I5854" s="3" t="s">
        <v>479</v>
      </c>
      <c r="K5854" s="2">
        <f>IF(ISNUMBER(SEARCH(Лист2!$B$4,F:F)),1,0)</f>
        <v>0</v>
      </c>
      <c r="L5854" s="14">
        <f>IF(ISNUMBER(SEARCH(Лист2!$B$5,I:I)),1,0)+K5854</f>
        <v>0</v>
      </c>
      <c r="M5854" s="3">
        <f ca="1">IF(AND(N5854&lt;&gt;N5853,ISNUMBER(SEARCH(Лист2!$B$6,N:N)),L5854=2),MAX($M$3:OFFSET(M5854,-1,0))+1,0)</f>
        <v>0</v>
      </c>
      <c r="N5854" s="3" t="s">
        <v>3432</v>
      </c>
    </row>
    <row r="5855" spans="1:14" x14ac:dyDescent="0.25">
      <c r="A5855" s="1" t="s">
        <v>14366</v>
      </c>
      <c r="B5855" s="3" t="s">
        <v>9472</v>
      </c>
      <c r="C5855" s="2">
        <f ca="1">IF(ISNUMBER(SEARCH(Лист2!$B$4,D:D)),MAX($C$3:OFFSET(C5855,-1,0))+1,0)</f>
        <v>0</v>
      </c>
      <c r="E5855" s="9" t="str">
        <f t="shared" ca="1" si="103"/>
        <v/>
      </c>
      <c r="F5855" s="4" t="s">
        <v>21</v>
      </c>
      <c r="G5855" s="2">
        <f>IF(ISNUMBER(SEARCH(Лист2!$B$4,F:F)),1,0)</f>
        <v>0</v>
      </c>
      <c r="H5855" s="3">
        <f ca="1">IF(AND(I5855&lt;&gt;I5854,ISNUMBER(SEARCH(Лист2!$B$5,I:I)),G5855=1),MAX($H$3:OFFSET(H5855,-1,0))+1,0)</f>
        <v>0</v>
      </c>
      <c r="I5855" s="3" t="s">
        <v>479</v>
      </c>
      <c r="K5855" s="2">
        <f>IF(ISNUMBER(SEARCH(Лист2!$B$4,F:F)),1,0)</f>
        <v>0</v>
      </c>
      <c r="L5855" s="14">
        <f>IF(ISNUMBER(SEARCH(Лист2!$B$5,I:I)),1,0)+K5855</f>
        <v>0</v>
      </c>
      <c r="M5855" s="3">
        <f ca="1">IF(AND(N5855&lt;&gt;N5854,ISNUMBER(SEARCH(Лист2!$B$6,N:N)),L5855=2),MAX($M$3:OFFSET(M5855,-1,0))+1,0)</f>
        <v>0</v>
      </c>
      <c r="N5855" s="3" t="s">
        <v>3415</v>
      </c>
    </row>
    <row r="5856" spans="1:14" x14ac:dyDescent="0.25">
      <c r="A5856" s="1" t="s">
        <v>14367</v>
      </c>
      <c r="B5856" s="3" t="s">
        <v>9473</v>
      </c>
      <c r="C5856" s="2">
        <f ca="1">IF(ISNUMBER(SEARCH(Лист2!$B$4,D:D)),MAX($C$3:OFFSET(C5856,-1,0))+1,0)</f>
        <v>0</v>
      </c>
      <c r="E5856" s="9" t="str">
        <f t="shared" ca="1" si="103"/>
        <v/>
      </c>
      <c r="F5856" s="4" t="s">
        <v>21</v>
      </c>
      <c r="G5856" s="2">
        <f>IF(ISNUMBER(SEARCH(Лист2!$B$4,F:F)),1,0)</f>
        <v>0</v>
      </c>
      <c r="H5856" s="3">
        <f ca="1">IF(AND(I5856&lt;&gt;I5855,ISNUMBER(SEARCH(Лист2!$B$5,I:I)),G5856=1),MAX($H$3:OFFSET(H5856,-1,0))+1,0)</f>
        <v>0</v>
      </c>
      <c r="I5856" s="3" t="s">
        <v>479</v>
      </c>
      <c r="K5856" s="2">
        <f>IF(ISNUMBER(SEARCH(Лист2!$B$4,F:F)),1,0)</f>
        <v>0</v>
      </c>
      <c r="L5856" s="14">
        <f>IF(ISNUMBER(SEARCH(Лист2!$B$5,I:I)),1,0)+K5856</f>
        <v>0</v>
      </c>
      <c r="M5856" s="3">
        <f ca="1">IF(AND(N5856&lt;&gt;N5855,ISNUMBER(SEARCH(Лист2!$B$6,N:N)),L5856=2),MAX($M$3:OFFSET(M5856,-1,0))+1,0)</f>
        <v>0</v>
      </c>
      <c r="N5856" s="3" t="s">
        <v>3433</v>
      </c>
    </row>
    <row r="5857" spans="1:14" x14ac:dyDescent="0.25">
      <c r="A5857" s="1" t="s">
        <v>14368</v>
      </c>
      <c r="B5857" s="3" t="s">
        <v>9474</v>
      </c>
      <c r="C5857" s="2">
        <f ca="1">IF(ISNUMBER(SEARCH(Лист2!$B$4,D:D)),MAX($C$3:OFFSET(C5857,-1,0))+1,0)</f>
        <v>0</v>
      </c>
      <c r="E5857" s="9" t="str">
        <f t="shared" ca="1" si="103"/>
        <v/>
      </c>
      <c r="F5857" s="4" t="s">
        <v>21</v>
      </c>
      <c r="G5857" s="2">
        <f>IF(ISNUMBER(SEARCH(Лист2!$B$4,F:F)),1,0)</f>
        <v>0</v>
      </c>
      <c r="H5857" s="3">
        <f ca="1">IF(AND(I5857&lt;&gt;I5856,ISNUMBER(SEARCH(Лист2!$B$5,I:I)),G5857=1),MAX($H$3:OFFSET(H5857,-1,0))+1,0)</f>
        <v>0</v>
      </c>
      <c r="I5857" s="3" t="s">
        <v>479</v>
      </c>
      <c r="K5857" s="2">
        <f>IF(ISNUMBER(SEARCH(Лист2!$B$4,F:F)),1,0)</f>
        <v>0</v>
      </c>
      <c r="L5857" s="14">
        <f>IF(ISNUMBER(SEARCH(Лист2!$B$5,I:I)),1,0)+K5857</f>
        <v>0</v>
      </c>
      <c r="M5857" s="3">
        <f ca="1">IF(AND(N5857&lt;&gt;N5856,ISNUMBER(SEARCH(Лист2!$B$6,N:N)),L5857=2),MAX($M$3:OFFSET(M5857,-1,0))+1,0)</f>
        <v>0</v>
      </c>
      <c r="N5857" s="3" t="s">
        <v>3434</v>
      </c>
    </row>
    <row r="5858" spans="1:14" x14ac:dyDescent="0.25">
      <c r="A5858" s="1" t="s">
        <v>14369</v>
      </c>
      <c r="B5858" s="3" t="s">
        <v>9475</v>
      </c>
      <c r="C5858" s="2">
        <f ca="1">IF(ISNUMBER(SEARCH(Лист2!$B$4,D:D)),MAX($C$3:OFFSET(C5858,-1,0))+1,0)</f>
        <v>0</v>
      </c>
      <c r="E5858" s="9" t="str">
        <f t="shared" ca="1" si="103"/>
        <v/>
      </c>
      <c r="F5858" s="4" t="s">
        <v>21</v>
      </c>
      <c r="G5858" s="2">
        <f>IF(ISNUMBER(SEARCH(Лист2!$B$4,F:F)),1,0)</f>
        <v>0</v>
      </c>
      <c r="H5858" s="3">
        <f ca="1">IF(AND(I5858&lt;&gt;I5857,ISNUMBER(SEARCH(Лист2!$B$5,I:I)),G5858=1),MAX($H$3:OFFSET(H5858,-1,0))+1,0)</f>
        <v>0</v>
      </c>
      <c r="I5858" s="3" t="s">
        <v>479</v>
      </c>
      <c r="K5858" s="2">
        <f>IF(ISNUMBER(SEARCH(Лист2!$B$4,F:F)),1,0)</f>
        <v>0</v>
      </c>
      <c r="L5858" s="14">
        <f>IF(ISNUMBER(SEARCH(Лист2!$B$5,I:I)),1,0)+K5858</f>
        <v>0</v>
      </c>
      <c r="M5858" s="3">
        <f ca="1">IF(AND(N5858&lt;&gt;N5857,ISNUMBER(SEARCH(Лист2!$B$6,N:N)),L5858=2),MAX($M$3:OFFSET(M5858,-1,0))+1,0)</f>
        <v>0</v>
      </c>
      <c r="N5858" s="3" t="s">
        <v>3435</v>
      </c>
    </row>
    <row r="5859" spans="1:14" x14ac:dyDescent="0.25">
      <c r="A5859" s="1" t="s">
        <v>14370</v>
      </c>
      <c r="B5859" s="3" t="s">
        <v>9476</v>
      </c>
      <c r="C5859" s="2">
        <f ca="1">IF(ISNUMBER(SEARCH(Лист2!$B$4,D:D)),MAX($C$3:OFFSET(C5859,-1,0))+1,0)</f>
        <v>0</v>
      </c>
      <c r="E5859" s="9" t="str">
        <f t="shared" ca="1" si="103"/>
        <v/>
      </c>
      <c r="F5859" s="4" t="s">
        <v>21</v>
      </c>
      <c r="G5859" s="2">
        <f>IF(ISNUMBER(SEARCH(Лист2!$B$4,F:F)),1,0)</f>
        <v>0</v>
      </c>
      <c r="H5859" s="3">
        <f ca="1">IF(AND(I5859&lt;&gt;I5858,ISNUMBER(SEARCH(Лист2!$B$5,I:I)),G5859=1),MAX($H$3:OFFSET(H5859,-1,0))+1,0)</f>
        <v>0</v>
      </c>
      <c r="I5859" s="3" t="s">
        <v>479</v>
      </c>
      <c r="K5859" s="2">
        <f>IF(ISNUMBER(SEARCH(Лист2!$B$4,F:F)),1,0)</f>
        <v>0</v>
      </c>
      <c r="L5859" s="14">
        <f>IF(ISNUMBER(SEARCH(Лист2!$B$5,I:I)),1,0)+K5859</f>
        <v>0</v>
      </c>
      <c r="M5859" s="3">
        <f ca="1">IF(AND(N5859&lt;&gt;N5858,ISNUMBER(SEARCH(Лист2!$B$6,N:N)),L5859=2),MAX($M$3:OFFSET(M5859,-1,0))+1,0)</f>
        <v>0</v>
      </c>
      <c r="N5859" s="3" t="s">
        <v>3436</v>
      </c>
    </row>
    <row r="5860" spans="1:14" x14ac:dyDescent="0.25">
      <c r="A5860" s="1" t="s">
        <v>14371</v>
      </c>
      <c r="B5860" s="3" t="s">
        <v>9477</v>
      </c>
      <c r="C5860" s="2">
        <f ca="1">IF(ISNUMBER(SEARCH(Лист2!$B$4,D:D)),MAX($C$3:OFFSET(C5860,-1,0))+1,0)</f>
        <v>0</v>
      </c>
      <c r="E5860" s="9" t="str">
        <f t="shared" ca="1" si="103"/>
        <v/>
      </c>
      <c r="F5860" s="4" t="s">
        <v>21</v>
      </c>
      <c r="G5860" s="2">
        <f>IF(ISNUMBER(SEARCH(Лист2!$B$4,F:F)),1,0)</f>
        <v>0</v>
      </c>
      <c r="H5860" s="3">
        <f ca="1">IF(AND(I5860&lt;&gt;I5859,ISNUMBER(SEARCH(Лист2!$B$5,I:I)),G5860=1),MAX($H$3:OFFSET(H5860,-1,0))+1,0)</f>
        <v>0</v>
      </c>
      <c r="I5860" s="3" t="s">
        <v>480</v>
      </c>
      <c r="K5860" s="2">
        <f>IF(ISNUMBER(SEARCH(Лист2!$B$4,F:F)),1,0)</f>
        <v>0</v>
      </c>
      <c r="L5860" s="14">
        <f>IF(ISNUMBER(SEARCH(Лист2!$B$5,I:I)),1,0)+K5860</f>
        <v>0</v>
      </c>
      <c r="M5860" s="3">
        <f ca="1">IF(AND(N5860&lt;&gt;N5859,ISNUMBER(SEARCH(Лист2!$B$6,N:N)),L5860=2),MAX($M$3:OFFSET(M5860,-1,0))+1,0)</f>
        <v>0</v>
      </c>
      <c r="N5860" s="3" t="s">
        <v>3437</v>
      </c>
    </row>
    <row r="5861" spans="1:14" x14ac:dyDescent="0.25">
      <c r="A5861" s="1" t="s">
        <v>14372</v>
      </c>
      <c r="B5861" s="3" t="s">
        <v>9478</v>
      </c>
      <c r="C5861" s="2">
        <f ca="1">IF(ISNUMBER(SEARCH(Лист2!$B$4,D:D)),MAX($C$3:OFFSET(C5861,-1,0))+1,0)</f>
        <v>0</v>
      </c>
      <c r="E5861" s="9" t="str">
        <f t="shared" ca="1" si="103"/>
        <v/>
      </c>
      <c r="F5861" s="4" t="s">
        <v>21</v>
      </c>
      <c r="G5861" s="2">
        <f>IF(ISNUMBER(SEARCH(Лист2!$B$4,F:F)),1,0)</f>
        <v>0</v>
      </c>
      <c r="H5861" s="3">
        <f ca="1">IF(AND(I5861&lt;&gt;I5860,ISNUMBER(SEARCH(Лист2!$B$5,I:I)),G5861=1),MAX($H$3:OFFSET(H5861,-1,0))+1,0)</f>
        <v>0</v>
      </c>
      <c r="I5861" s="3" t="s">
        <v>480</v>
      </c>
      <c r="K5861" s="2">
        <f>IF(ISNUMBER(SEARCH(Лист2!$B$4,F:F)),1,0)</f>
        <v>0</v>
      </c>
      <c r="L5861" s="14">
        <f>IF(ISNUMBER(SEARCH(Лист2!$B$5,I:I)),1,0)+K5861</f>
        <v>0</v>
      </c>
      <c r="M5861" s="3">
        <f ca="1">IF(AND(N5861&lt;&gt;N5860,ISNUMBER(SEARCH(Лист2!$B$6,N:N)),L5861=2),MAX($M$3:OFFSET(M5861,-1,0))+1,0)</f>
        <v>0</v>
      </c>
      <c r="N5861" s="3" t="s">
        <v>3438</v>
      </c>
    </row>
    <row r="5862" spans="1:14" x14ac:dyDescent="0.25">
      <c r="A5862" s="1" t="s">
        <v>14373</v>
      </c>
      <c r="B5862" s="3" t="s">
        <v>9479</v>
      </c>
      <c r="C5862" s="2">
        <f ca="1">IF(ISNUMBER(SEARCH(Лист2!$B$4,D:D)),MAX($C$3:OFFSET(C5862,-1,0))+1,0)</f>
        <v>0</v>
      </c>
      <c r="E5862" s="9" t="str">
        <f t="shared" ca="1" si="103"/>
        <v/>
      </c>
      <c r="F5862" s="4" t="s">
        <v>21</v>
      </c>
      <c r="G5862" s="2">
        <f>IF(ISNUMBER(SEARCH(Лист2!$B$4,F:F)),1,0)</f>
        <v>0</v>
      </c>
      <c r="H5862" s="3">
        <f ca="1">IF(AND(I5862&lt;&gt;I5861,ISNUMBER(SEARCH(Лист2!$B$5,I:I)),G5862=1),MAX($H$3:OFFSET(H5862,-1,0))+1,0)</f>
        <v>0</v>
      </c>
      <c r="I5862" s="3" t="s">
        <v>480</v>
      </c>
      <c r="K5862" s="2">
        <f>IF(ISNUMBER(SEARCH(Лист2!$B$4,F:F)),1,0)</f>
        <v>0</v>
      </c>
      <c r="L5862" s="14">
        <f>IF(ISNUMBER(SEARCH(Лист2!$B$5,I:I)),1,0)+K5862</f>
        <v>0</v>
      </c>
      <c r="M5862" s="3">
        <f ca="1">IF(AND(N5862&lt;&gt;N5861,ISNUMBER(SEARCH(Лист2!$B$6,N:N)),L5862=2),MAX($M$3:OFFSET(M5862,-1,0))+1,0)</f>
        <v>0</v>
      </c>
      <c r="N5862" s="3" t="s">
        <v>3439</v>
      </c>
    </row>
    <row r="5863" spans="1:14" x14ac:dyDescent="0.25">
      <c r="A5863" s="1" t="s">
        <v>14374</v>
      </c>
      <c r="B5863" s="3" t="s">
        <v>9480</v>
      </c>
      <c r="C5863" s="2">
        <f ca="1">IF(ISNUMBER(SEARCH(Лист2!$B$4,D:D)),MAX($C$3:OFFSET(C5863,-1,0))+1,0)</f>
        <v>0</v>
      </c>
      <c r="E5863" s="9" t="str">
        <f t="shared" ca="1" si="103"/>
        <v/>
      </c>
      <c r="F5863" s="4" t="s">
        <v>21</v>
      </c>
      <c r="G5863" s="2">
        <f>IF(ISNUMBER(SEARCH(Лист2!$B$4,F:F)),1,0)</f>
        <v>0</v>
      </c>
      <c r="H5863" s="3">
        <f ca="1">IF(AND(I5863&lt;&gt;I5862,ISNUMBER(SEARCH(Лист2!$B$5,I:I)),G5863=1),MAX($H$3:OFFSET(H5863,-1,0))+1,0)</f>
        <v>0</v>
      </c>
      <c r="I5863" s="3" t="s">
        <v>480</v>
      </c>
      <c r="K5863" s="2">
        <f>IF(ISNUMBER(SEARCH(Лист2!$B$4,F:F)),1,0)</f>
        <v>0</v>
      </c>
      <c r="L5863" s="14">
        <f>IF(ISNUMBER(SEARCH(Лист2!$B$5,I:I)),1,0)+K5863</f>
        <v>0</v>
      </c>
      <c r="M5863" s="3">
        <f ca="1">IF(AND(N5863&lt;&gt;N5862,ISNUMBER(SEARCH(Лист2!$B$6,N:N)),L5863=2),MAX($M$3:OFFSET(M5863,-1,0))+1,0)</f>
        <v>0</v>
      </c>
      <c r="N5863" s="3" t="s">
        <v>3440</v>
      </c>
    </row>
    <row r="5864" spans="1:14" x14ac:dyDescent="0.25">
      <c r="A5864" s="1" t="s">
        <v>14375</v>
      </c>
      <c r="B5864" s="3" t="s">
        <v>9481</v>
      </c>
      <c r="C5864" s="2">
        <f ca="1">IF(ISNUMBER(SEARCH(Лист2!$B$4,D:D)),MAX($C$3:OFFSET(C5864,-1,0))+1,0)</f>
        <v>0</v>
      </c>
      <c r="E5864" s="9" t="str">
        <f t="shared" ca="1" si="103"/>
        <v/>
      </c>
      <c r="F5864" s="4" t="s">
        <v>21</v>
      </c>
      <c r="G5864" s="2">
        <f>IF(ISNUMBER(SEARCH(Лист2!$B$4,F:F)),1,0)</f>
        <v>0</v>
      </c>
      <c r="H5864" s="3">
        <f ca="1">IF(AND(I5864&lt;&gt;I5863,ISNUMBER(SEARCH(Лист2!$B$5,I:I)),G5864=1),MAX($H$3:OFFSET(H5864,-1,0))+1,0)</f>
        <v>0</v>
      </c>
      <c r="I5864" s="3" t="s">
        <v>480</v>
      </c>
      <c r="K5864" s="2">
        <f>IF(ISNUMBER(SEARCH(Лист2!$B$4,F:F)),1,0)</f>
        <v>0</v>
      </c>
      <c r="L5864" s="14">
        <f>IF(ISNUMBER(SEARCH(Лист2!$B$5,I:I)),1,0)+K5864</f>
        <v>0</v>
      </c>
      <c r="M5864" s="3">
        <f ca="1">IF(AND(N5864&lt;&gt;N5863,ISNUMBER(SEARCH(Лист2!$B$6,N:N)),L5864=2),MAX($M$3:OFFSET(M5864,-1,0))+1,0)</f>
        <v>0</v>
      </c>
      <c r="N5864" s="3" t="s">
        <v>3441</v>
      </c>
    </row>
    <row r="5865" spans="1:14" x14ac:dyDescent="0.25">
      <c r="A5865" s="1" t="s">
        <v>14376</v>
      </c>
      <c r="B5865" s="3" t="s">
        <v>9482</v>
      </c>
      <c r="C5865" s="2">
        <f ca="1">IF(ISNUMBER(SEARCH(Лист2!$B$4,D:D)),MAX($C$3:OFFSET(C5865,-1,0))+1,0)</f>
        <v>0</v>
      </c>
      <c r="E5865" s="9" t="str">
        <f t="shared" ca="1" si="103"/>
        <v/>
      </c>
      <c r="F5865" s="4" t="s">
        <v>21</v>
      </c>
      <c r="G5865" s="2">
        <f>IF(ISNUMBER(SEARCH(Лист2!$B$4,F:F)),1,0)</f>
        <v>0</v>
      </c>
      <c r="H5865" s="3">
        <f ca="1">IF(AND(I5865&lt;&gt;I5864,ISNUMBER(SEARCH(Лист2!$B$5,I:I)),G5865=1),MAX($H$3:OFFSET(H5865,-1,0))+1,0)</f>
        <v>0</v>
      </c>
      <c r="I5865" s="3" t="s">
        <v>480</v>
      </c>
      <c r="K5865" s="2">
        <f>IF(ISNUMBER(SEARCH(Лист2!$B$4,F:F)),1,0)</f>
        <v>0</v>
      </c>
      <c r="L5865" s="14">
        <f>IF(ISNUMBER(SEARCH(Лист2!$B$5,I:I)),1,0)+K5865</f>
        <v>0</v>
      </c>
      <c r="M5865" s="3">
        <f ca="1">IF(AND(N5865&lt;&gt;N5864,ISNUMBER(SEARCH(Лист2!$B$6,N:N)),L5865=2),MAX($M$3:OFFSET(M5865,-1,0))+1,0)</f>
        <v>0</v>
      </c>
      <c r="N5865" s="3" t="s">
        <v>3442</v>
      </c>
    </row>
    <row r="5866" spans="1:14" x14ac:dyDescent="0.25">
      <c r="A5866" s="1" t="s">
        <v>14377</v>
      </c>
      <c r="B5866" s="3" t="s">
        <v>9483</v>
      </c>
      <c r="C5866" s="2">
        <f ca="1">IF(ISNUMBER(SEARCH(Лист2!$B$4,D:D)),MAX($C$3:OFFSET(C5866,-1,0))+1,0)</f>
        <v>0</v>
      </c>
      <c r="E5866" s="9" t="str">
        <f t="shared" ca="1" si="103"/>
        <v/>
      </c>
      <c r="F5866" s="4" t="s">
        <v>21</v>
      </c>
      <c r="G5866" s="2">
        <f>IF(ISNUMBER(SEARCH(Лист2!$B$4,F:F)),1,0)</f>
        <v>0</v>
      </c>
      <c r="H5866" s="3">
        <f ca="1">IF(AND(I5866&lt;&gt;I5865,ISNUMBER(SEARCH(Лист2!$B$5,I:I)),G5866=1),MAX($H$3:OFFSET(H5866,-1,0))+1,0)</f>
        <v>0</v>
      </c>
      <c r="I5866" s="3" t="s">
        <v>480</v>
      </c>
      <c r="K5866" s="2">
        <f>IF(ISNUMBER(SEARCH(Лист2!$B$4,F:F)),1,0)</f>
        <v>0</v>
      </c>
      <c r="L5866" s="14">
        <f>IF(ISNUMBER(SEARCH(Лист2!$B$5,I:I)),1,0)+K5866</f>
        <v>0</v>
      </c>
      <c r="M5866" s="3">
        <f ca="1">IF(AND(N5866&lt;&gt;N5865,ISNUMBER(SEARCH(Лист2!$B$6,N:N)),L5866=2),MAX($M$3:OFFSET(M5866,-1,0))+1,0)</f>
        <v>0</v>
      </c>
      <c r="N5866" s="3" t="s">
        <v>3443</v>
      </c>
    </row>
    <row r="5867" spans="1:14" x14ac:dyDescent="0.25">
      <c r="A5867" s="1" t="s">
        <v>14378</v>
      </c>
      <c r="B5867" s="3" t="s">
        <v>9484</v>
      </c>
      <c r="C5867" s="2">
        <f ca="1">IF(ISNUMBER(SEARCH(Лист2!$B$4,D:D)),MAX($C$3:OFFSET(C5867,-1,0))+1,0)</f>
        <v>0</v>
      </c>
      <c r="E5867" s="9" t="str">
        <f t="shared" ca="1" si="103"/>
        <v/>
      </c>
      <c r="F5867" s="4" t="s">
        <v>21</v>
      </c>
      <c r="G5867" s="2">
        <f>IF(ISNUMBER(SEARCH(Лист2!$B$4,F:F)),1,0)</f>
        <v>0</v>
      </c>
      <c r="H5867" s="3">
        <f ca="1">IF(AND(I5867&lt;&gt;I5866,ISNUMBER(SEARCH(Лист2!$B$5,I:I)),G5867=1),MAX($H$3:OFFSET(H5867,-1,0))+1,0)</f>
        <v>0</v>
      </c>
      <c r="I5867" s="3" t="s">
        <v>480</v>
      </c>
      <c r="K5867" s="2">
        <f>IF(ISNUMBER(SEARCH(Лист2!$B$4,F:F)),1,0)</f>
        <v>0</v>
      </c>
      <c r="L5867" s="14">
        <f>IF(ISNUMBER(SEARCH(Лист2!$B$5,I:I)),1,0)+K5867</f>
        <v>0</v>
      </c>
      <c r="M5867" s="3">
        <f ca="1">IF(AND(N5867&lt;&gt;N5866,ISNUMBER(SEARCH(Лист2!$B$6,N:N)),L5867=2),MAX($M$3:OFFSET(M5867,-1,0))+1,0)</f>
        <v>0</v>
      </c>
      <c r="N5867" s="3" t="s">
        <v>3444</v>
      </c>
    </row>
    <row r="5868" spans="1:14" x14ac:dyDescent="0.25">
      <c r="A5868" s="1" t="s">
        <v>14379</v>
      </c>
      <c r="B5868" s="3" t="s">
        <v>9485</v>
      </c>
      <c r="C5868" s="2">
        <f ca="1">IF(ISNUMBER(SEARCH(Лист2!$B$4,D:D)),MAX($C$3:OFFSET(C5868,-1,0))+1,0)</f>
        <v>0</v>
      </c>
      <c r="E5868" s="9" t="str">
        <f t="shared" ca="1" si="103"/>
        <v/>
      </c>
      <c r="F5868" s="4" t="s">
        <v>21</v>
      </c>
      <c r="G5868" s="2">
        <f>IF(ISNUMBER(SEARCH(Лист2!$B$4,F:F)),1,0)</f>
        <v>0</v>
      </c>
      <c r="H5868" s="3">
        <f ca="1">IF(AND(I5868&lt;&gt;I5867,ISNUMBER(SEARCH(Лист2!$B$5,I:I)),G5868=1),MAX($H$3:OFFSET(H5868,-1,0))+1,0)</f>
        <v>0</v>
      </c>
      <c r="I5868" s="3" t="s">
        <v>480</v>
      </c>
      <c r="K5868" s="2">
        <f>IF(ISNUMBER(SEARCH(Лист2!$B$4,F:F)),1,0)</f>
        <v>0</v>
      </c>
      <c r="L5868" s="14">
        <f>IF(ISNUMBER(SEARCH(Лист2!$B$5,I:I)),1,0)+K5868</f>
        <v>0</v>
      </c>
      <c r="M5868" s="3">
        <f ca="1">IF(AND(N5868&lt;&gt;N5867,ISNUMBER(SEARCH(Лист2!$B$6,N:N)),L5868=2),MAX($M$3:OFFSET(M5868,-1,0))+1,0)</f>
        <v>0</v>
      </c>
      <c r="N5868" s="3" t="s">
        <v>3445</v>
      </c>
    </row>
    <row r="5869" spans="1:14" x14ac:dyDescent="0.25">
      <c r="A5869" s="1" t="s">
        <v>14380</v>
      </c>
      <c r="B5869" s="3" t="s">
        <v>9486</v>
      </c>
      <c r="C5869" s="2">
        <f ca="1">IF(ISNUMBER(SEARCH(Лист2!$B$4,D:D)),MAX($C$3:OFFSET(C5869,-1,0))+1,0)</f>
        <v>0</v>
      </c>
      <c r="E5869" s="9" t="str">
        <f t="shared" ca="1" si="103"/>
        <v/>
      </c>
      <c r="F5869" s="4" t="s">
        <v>21</v>
      </c>
      <c r="G5869" s="2">
        <f>IF(ISNUMBER(SEARCH(Лист2!$B$4,F:F)),1,0)</f>
        <v>0</v>
      </c>
      <c r="H5869" s="3">
        <f ca="1">IF(AND(I5869&lt;&gt;I5868,ISNUMBER(SEARCH(Лист2!$B$5,I:I)),G5869=1),MAX($H$3:OFFSET(H5869,-1,0))+1,0)</f>
        <v>0</v>
      </c>
      <c r="I5869" s="3" t="s">
        <v>481</v>
      </c>
      <c r="K5869" s="2">
        <f>IF(ISNUMBER(SEARCH(Лист2!$B$4,F:F)),1,0)</f>
        <v>0</v>
      </c>
      <c r="L5869" s="14">
        <f>IF(ISNUMBER(SEARCH(Лист2!$B$5,I:I)),1,0)+K5869</f>
        <v>0</v>
      </c>
      <c r="M5869" s="3">
        <f ca="1">IF(AND(N5869&lt;&gt;N5868,ISNUMBER(SEARCH(Лист2!$B$6,N:N)),L5869=2),MAX($M$3:OFFSET(M5869,-1,0))+1,0)</f>
        <v>0</v>
      </c>
      <c r="N5869" s="3" t="s">
        <v>3446</v>
      </c>
    </row>
    <row r="5870" spans="1:14" x14ac:dyDescent="0.25">
      <c r="A5870" s="1" t="s">
        <v>14381</v>
      </c>
      <c r="B5870" s="3" t="s">
        <v>9487</v>
      </c>
      <c r="C5870" s="2">
        <f ca="1">IF(ISNUMBER(SEARCH(Лист2!$B$4,D:D)),MAX($C$3:OFFSET(C5870,-1,0))+1,0)</f>
        <v>0</v>
      </c>
      <c r="E5870" s="9" t="str">
        <f t="shared" ca="1" si="103"/>
        <v/>
      </c>
      <c r="F5870" s="4" t="s">
        <v>21</v>
      </c>
      <c r="G5870" s="2">
        <f>IF(ISNUMBER(SEARCH(Лист2!$B$4,F:F)),1,0)</f>
        <v>0</v>
      </c>
      <c r="H5870" s="3">
        <f ca="1">IF(AND(I5870&lt;&gt;I5869,ISNUMBER(SEARCH(Лист2!$B$5,I:I)),G5870=1),MAX($H$3:OFFSET(H5870,-1,0))+1,0)</f>
        <v>0</v>
      </c>
      <c r="I5870" s="3" t="s">
        <v>481</v>
      </c>
      <c r="K5870" s="2">
        <f>IF(ISNUMBER(SEARCH(Лист2!$B$4,F:F)),1,0)</f>
        <v>0</v>
      </c>
      <c r="L5870" s="14">
        <f>IF(ISNUMBER(SEARCH(Лист2!$B$5,I:I)),1,0)+K5870</f>
        <v>0</v>
      </c>
      <c r="M5870" s="3">
        <f ca="1">IF(AND(N5870&lt;&gt;N5869,ISNUMBER(SEARCH(Лист2!$B$6,N:N)),L5870=2),MAX($M$3:OFFSET(M5870,-1,0))+1,0)</f>
        <v>0</v>
      </c>
      <c r="N5870" s="3" t="s">
        <v>3447</v>
      </c>
    </row>
    <row r="5871" spans="1:14" x14ac:dyDescent="0.25">
      <c r="A5871" s="1" t="s">
        <v>14382</v>
      </c>
      <c r="B5871" s="3" t="s">
        <v>9488</v>
      </c>
      <c r="C5871" s="2">
        <f ca="1">IF(ISNUMBER(SEARCH(Лист2!$B$4,D:D)),MAX($C$3:OFFSET(C5871,-1,0))+1,0)</f>
        <v>0</v>
      </c>
      <c r="E5871" s="9" t="str">
        <f t="shared" ca="1" si="103"/>
        <v/>
      </c>
      <c r="F5871" s="4" t="s">
        <v>21</v>
      </c>
      <c r="G5871" s="2">
        <f>IF(ISNUMBER(SEARCH(Лист2!$B$4,F:F)),1,0)</f>
        <v>0</v>
      </c>
      <c r="H5871" s="3">
        <f ca="1">IF(AND(I5871&lt;&gt;I5870,ISNUMBER(SEARCH(Лист2!$B$5,I:I)),G5871=1),MAX($H$3:OFFSET(H5871,-1,0))+1,0)</f>
        <v>0</v>
      </c>
      <c r="I5871" s="3" t="s">
        <v>481</v>
      </c>
      <c r="K5871" s="2">
        <f>IF(ISNUMBER(SEARCH(Лист2!$B$4,F:F)),1,0)</f>
        <v>0</v>
      </c>
      <c r="L5871" s="14">
        <f>IF(ISNUMBER(SEARCH(Лист2!$B$5,I:I)),1,0)+K5871</f>
        <v>0</v>
      </c>
      <c r="M5871" s="3">
        <f ca="1">IF(AND(N5871&lt;&gt;N5870,ISNUMBER(SEARCH(Лист2!$B$6,N:N)),L5871=2),MAX($M$3:OFFSET(M5871,-1,0))+1,0)</f>
        <v>0</v>
      </c>
      <c r="N5871" s="3" t="s">
        <v>3448</v>
      </c>
    </row>
    <row r="5872" spans="1:14" x14ac:dyDescent="0.25">
      <c r="A5872" s="1" t="s">
        <v>14383</v>
      </c>
      <c r="B5872" s="3" t="s">
        <v>9489</v>
      </c>
      <c r="C5872" s="2">
        <f ca="1">IF(ISNUMBER(SEARCH(Лист2!$B$4,D:D)),MAX($C$3:OFFSET(C5872,-1,0))+1,0)</f>
        <v>0</v>
      </c>
      <c r="E5872" s="9" t="str">
        <f t="shared" ca="1" si="103"/>
        <v/>
      </c>
      <c r="F5872" s="4" t="s">
        <v>21</v>
      </c>
      <c r="G5872" s="2">
        <f>IF(ISNUMBER(SEARCH(Лист2!$B$4,F:F)),1,0)</f>
        <v>0</v>
      </c>
      <c r="H5872" s="3">
        <f ca="1">IF(AND(I5872&lt;&gt;I5871,ISNUMBER(SEARCH(Лист2!$B$5,I:I)),G5872=1),MAX($H$3:OFFSET(H5872,-1,0))+1,0)</f>
        <v>0</v>
      </c>
      <c r="I5872" s="3" t="s">
        <v>481</v>
      </c>
      <c r="K5872" s="2">
        <f>IF(ISNUMBER(SEARCH(Лист2!$B$4,F:F)),1,0)</f>
        <v>0</v>
      </c>
      <c r="L5872" s="14">
        <f>IF(ISNUMBER(SEARCH(Лист2!$B$5,I:I)),1,0)+K5872</f>
        <v>0</v>
      </c>
      <c r="M5872" s="3">
        <f ca="1">IF(AND(N5872&lt;&gt;N5871,ISNUMBER(SEARCH(Лист2!$B$6,N:N)),L5872=2),MAX($M$3:OFFSET(M5872,-1,0))+1,0)</f>
        <v>0</v>
      </c>
      <c r="N5872" s="3" t="s">
        <v>3449</v>
      </c>
    </row>
    <row r="5873" spans="1:14" x14ac:dyDescent="0.25">
      <c r="A5873" s="1" t="s">
        <v>14384</v>
      </c>
      <c r="B5873" s="3" t="s">
        <v>9490</v>
      </c>
      <c r="C5873" s="2">
        <f ca="1">IF(ISNUMBER(SEARCH(Лист2!$B$4,D:D)),MAX($C$3:OFFSET(C5873,-1,0))+1,0)</f>
        <v>0</v>
      </c>
      <c r="E5873" s="9" t="str">
        <f t="shared" ca="1" si="103"/>
        <v/>
      </c>
      <c r="F5873" s="4" t="s">
        <v>21</v>
      </c>
      <c r="G5873" s="2">
        <f>IF(ISNUMBER(SEARCH(Лист2!$B$4,F:F)),1,0)</f>
        <v>0</v>
      </c>
      <c r="H5873" s="3">
        <f ca="1">IF(AND(I5873&lt;&gt;I5872,ISNUMBER(SEARCH(Лист2!$B$5,I:I)),G5873=1),MAX($H$3:OFFSET(H5873,-1,0))+1,0)</f>
        <v>0</v>
      </c>
      <c r="I5873" s="3" t="s">
        <v>481</v>
      </c>
      <c r="K5873" s="2">
        <f>IF(ISNUMBER(SEARCH(Лист2!$B$4,F:F)),1,0)</f>
        <v>0</v>
      </c>
      <c r="L5873" s="14">
        <f>IF(ISNUMBER(SEARCH(Лист2!$B$5,I:I)),1,0)+K5873</f>
        <v>0</v>
      </c>
      <c r="M5873" s="3">
        <f ca="1">IF(AND(N5873&lt;&gt;N5872,ISNUMBER(SEARCH(Лист2!$B$6,N:N)),L5873=2),MAX($M$3:OFFSET(M5873,-1,0))+1,0)</f>
        <v>0</v>
      </c>
      <c r="N5873" s="3" t="s">
        <v>3415</v>
      </c>
    </row>
    <row r="5874" spans="1:14" x14ac:dyDescent="0.25">
      <c r="A5874" s="1" t="s">
        <v>14385</v>
      </c>
      <c r="B5874" s="3" t="s">
        <v>9491</v>
      </c>
      <c r="C5874" s="2">
        <f ca="1">IF(ISNUMBER(SEARCH(Лист2!$B$4,D:D)),MAX($C$3:OFFSET(C5874,-1,0))+1,0)</f>
        <v>0</v>
      </c>
      <c r="E5874" s="9" t="str">
        <f t="shared" ca="1" si="103"/>
        <v/>
      </c>
      <c r="F5874" s="4" t="s">
        <v>21</v>
      </c>
      <c r="G5874" s="2">
        <f>IF(ISNUMBER(SEARCH(Лист2!$B$4,F:F)),1,0)</f>
        <v>0</v>
      </c>
      <c r="H5874" s="3">
        <f ca="1">IF(AND(I5874&lt;&gt;I5873,ISNUMBER(SEARCH(Лист2!$B$5,I:I)),G5874=1),MAX($H$3:OFFSET(H5874,-1,0))+1,0)</f>
        <v>0</v>
      </c>
      <c r="I5874" s="3" t="s">
        <v>481</v>
      </c>
      <c r="K5874" s="2">
        <f>IF(ISNUMBER(SEARCH(Лист2!$B$4,F:F)),1,0)</f>
        <v>0</v>
      </c>
      <c r="L5874" s="14">
        <f>IF(ISNUMBER(SEARCH(Лист2!$B$5,I:I)),1,0)+K5874</f>
        <v>0</v>
      </c>
      <c r="M5874" s="3">
        <f ca="1">IF(AND(N5874&lt;&gt;N5873,ISNUMBER(SEARCH(Лист2!$B$6,N:N)),L5874=2),MAX($M$3:OFFSET(M5874,-1,0))+1,0)</f>
        <v>0</v>
      </c>
      <c r="N5874" s="3" t="s">
        <v>3450</v>
      </c>
    </row>
    <row r="5875" spans="1:14" x14ac:dyDescent="0.25">
      <c r="A5875" s="1" t="s">
        <v>14386</v>
      </c>
      <c r="B5875" s="3" t="s">
        <v>9492</v>
      </c>
      <c r="C5875" s="2">
        <f ca="1">IF(ISNUMBER(SEARCH(Лист2!$B$4,D:D)),MAX($C$3:OFFSET(C5875,-1,0))+1,0)</f>
        <v>0</v>
      </c>
      <c r="E5875" s="9" t="str">
        <f t="shared" ca="1" si="103"/>
        <v/>
      </c>
      <c r="F5875" s="4" t="s">
        <v>21</v>
      </c>
      <c r="G5875" s="2">
        <f>IF(ISNUMBER(SEARCH(Лист2!$B$4,F:F)),1,0)</f>
        <v>0</v>
      </c>
      <c r="H5875" s="3">
        <f ca="1">IF(AND(I5875&lt;&gt;I5874,ISNUMBER(SEARCH(Лист2!$B$5,I:I)),G5875=1),MAX($H$3:OFFSET(H5875,-1,0))+1,0)</f>
        <v>0</v>
      </c>
      <c r="I5875" s="3" t="s">
        <v>481</v>
      </c>
      <c r="K5875" s="2">
        <f>IF(ISNUMBER(SEARCH(Лист2!$B$4,F:F)),1,0)</f>
        <v>0</v>
      </c>
      <c r="L5875" s="14">
        <f>IF(ISNUMBER(SEARCH(Лист2!$B$5,I:I)),1,0)+K5875</f>
        <v>0</v>
      </c>
      <c r="M5875" s="3">
        <f ca="1">IF(AND(N5875&lt;&gt;N5874,ISNUMBER(SEARCH(Лист2!$B$6,N:N)),L5875=2),MAX($M$3:OFFSET(M5875,-1,0))+1,0)</f>
        <v>0</v>
      </c>
      <c r="N5875" s="3" t="s">
        <v>3451</v>
      </c>
    </row>
    <row r="5876" spans="1:14" x14ac:dyDescent="0.25">
      <c r="A5876" s="1" t="s">
        <v>37</v>
      </c>
      <c r="C5876" s="2">
        <f ca="1">IF(ISNUMBER(SEARCH(Лист2!$B$4,D:D)),MAX($C$3:OFFSET(C5876,-1,0))+1,0)</f>
        <v>0</v>
      </c>
      <c r="E5876" s="9" t="str">
        <f t="shared" ca="1" si="103"/>
        <v/>
      </c>
      <c r="G5876" s="2">
        <f>IF(ISNUMBER(SEARCH(Лист2!$B$4,F:F)),1,0)</f>
        <v>0</v>
      </c>
      <c r="H5876" s="3">
        <f ca="1">IF(AND(I5876&lt;&gt;I5875,ISNUMBER(SEARCH(Лист2!$B$5,I:I)),G5876=1),MAX($H$3:OFFSET(H5876,-1,0))+1,0)</f>
        <v>0</v>
      </c>
      <c r="K5876" s="2">
        <f>IF(ISNUMBER(SEARCH(Лист2!$B$4,F:F)),1,0)</f>
        <v>0</v>
      </c>
      <c r="L5876" s="14">
        <f>IF(ISNUMBER(SEARCH(Лист2!$B$5,I:I)),1,0)+K5876</f>
        <v>0</v>
      </c>
      <c r="M5876" s="3">
        <f ca="1">IF(AND(N5876&lt;&gt;N5875,ISNUMBER(SEARCH(Лист2!$B$6,N:N)),L5876=2),MAX($M$3:OFFSET(M5876,-1,0))+1,0)</f>
        <v>0</v>
      </c>
      <c r="N5876" s="3" t="s">
        <v>37</v>
      </c>
    </row>
    <row r="5877" spans="1:14" x14ac:dyDescent="0.25">
      <c r="A5877" s="1" t="s">
        <v>14387</v>
      </c>
      <c r="B5877" s="3" t="s">
        <v>9493</v>
      </c>
      <c r="C5877" s="2">
        <f ca="1">IF(ISNUMBER(SEARCH(Лист2!$B$4,D:D)),MAX($C$3:OFFSET(C5877,-1,0))+1,0)</f>
        <v>0</v>
      </c>
      <c r="E5877" s="9" t="str">
        <f t="shared" ca="1" si="103"/>
        <v/>
      </c>
      <c r="F5877" s="4" t="s">
        <v>37</v>
      </c>
      <c r="G5877" s="2">
        <f>IF(ISNUMBER(SEARCH(Лист2!$B$4,F:F)),1,0)</f>
        <v>1</v>
      </c>
      <c r="H5877" s="3">
        <f ca="1">IF(AND(I5877&lt;&gt;I5876,ISNUMBER(SEARCH(Лист2!$B$5,I:I)),G5877=1),MAX($H$3:OFFSET(H5877,-1,0))+1,0)</f>
        <v>0</v>
      </c>
      <c r="I5877" s="3" t="s">
        <v>482</v>
      </c>
      <c r="K5877" s="2">
        <f>IF(ISNUMBER(SEARCH(Лист2!$B$4,F:F)),1,0)</f>
        <v>1</v>
      </c>
      <c r="L5877" s="14">
        <f>IF(ISNUMBER(SEARCH(Лист2!$B$5,I:I)),1,0)+K5877</f>
        <v>1</v>
      </c>
      <c r="M5877" s="3">
        <f ca="1">IF(AND(N5877&lt;&gt;N5876,ISNUMBER(SEARCH(Лист2!$B$6,N:N)),L5877=2),MAX($M$3:OFFSET(M5877,-1,0))+1,0)</f>
        <v>0</v>
      </c>
      <c r="N5877" s="3" t="s">
        <v>48</v>
      </c>
    </row>
    <row r="5878" spans="1:14" x14ac:dyDescent="0.25">
      <c r="A5878" s="1" t="s">
        <v>14388</v>
      </c>
      <c r="B5878" s="3" t="s">
        <v>9494</v>
      </c>
      <c r="C5878" s="2">
        <f ca="1">IF(ISNUMBER(SEARCH(Лист2!$B$4,D:D)),MAX($C$3:OFFSET(C5878,-1,0))+1,0)</f>
        <v>0</v>
      </c>
      <c r="E5878" s="9" t="str">
        <f t="shared" ca="1" si="103"/>
        <v/>
      </c>
      <c r="F5878" s="4" t="s">
        <v>37</v>
      </c>
      <c r="G5878" s="2">
        <f>IF(ISNUMBER(SEARCH(Лист2!$B$4,F:F)),1,0)</f>
        <v>1</v>
      </c>
      <c r="H5878" s="3">
        <f ca="1">IF(AND(I5878&lt;&gt;I5877,ISNUMBER(SEARCH(Лист2!$B$5,I:I)),G5878=1),MAX($H$3:OFFSET(H5878,-1,0))+1,0)</f>
        <v>0</v>
      </c>
      <c r="I5878" s="3" t="s">
        <v>482</v>
      </c>
      <c r="K5878" s="2">
        <f>IF(ISNUMBER(SEARCH(Лист2!$B$4,F:F)),1,0)</f>
        <v>1</v>
      </c>
      <c r="L5878" s="14">
        <f>IF(ISNUMBER(SEARCH(Лист2!$B$5,I:I)),1,0)+K5878</f>
        <v>1</v>
      </c>
      <c r="M5878" s="3">
        <f ca="1">IF(AND(N5878&lt;&gt;N5877,ISNUMBER(SEARCH(Лист2!$B$6,N:N)),L5878=2),MAX($M$3:OFFSET(M5878,-1,0))+1,0)</f>
        <v>0</v>
      </c>
      <c r="N5878" s="3" t="s">
        <v>517</v>
      </c>
    </row>
    <row r="5879" spans="1:14" x14ac:dyDescent="0.25">
      <c r="A5879" s="1" t="s">
        <v>14389</v>
      </c>
      <c r="B5879" s="3" t="s">
        <v>9495</v>
      </c>
      <c r="C5879" s="2">
        <f ca="1">IF(ISNUMBER(SEARCH(Лист2!$B$4,D:D)),MAX($C$3:OFFSET(C5879,-1,0))+1,0)</f>
        <v>0</v>
      </c>
      <c r="E5879" s="9" t="str">
        <f t="shared" ca="1" si="103"/>
        <v/>
      </c>
      <c r="F5879" s="4" t="s">
        <v>37</v>
      </c>
      <c r="G5879" s="2">
        <f>IF(ISNUMBER(SEARCH(Лист2!$B$4,F:F)),1,0)</f>
        <v>1</v>
      </c>
      <c r="H5879" s="3">
        <f ca="1">IF(AND(I5879&lt;&gt;I5878,ISNUMBER(SEARCH(Лист2!$B$5,I:I)),G5879=1),MAX($H$3:OFFSET(H5879,-1,0))+1,0)</f>
        <v>0</v>
      </c>
      <c r="I5879" s="3" t="s">
        <v>482</v>
      </c>
      <c r="K5879" s="2">
        <f>IF(ISNUMBER(SEARCH(Лист2!$B$4,F:F)),1,0)</f>
        <v>1</v>
      </c>
      <c r="L5879" s="14">
        <f>IF(ISNUMBER(SEARCH(Лист2!$B$5,I:I)),1,0)+K5879</f>
        <v>1</v>
      </c>
      <c r="M5879" s="3">
        <f ca="1">IF(AND(N5879&lt;&gt;N5878,ISNUMBER(SEARCH(Лист2!$B$6,N:N)),L5879=2),MAX($M$3:OFFSET(M5879,-1,0))+1,0)</f>
        <v>0</v>
      </c>
      <c r="N5879" s="3" t="s">
        <v>3452</v>
      </c>
    </row>
    <row r="5880" spans="1:14" x14ac:dyDescent="0.25">
      <c r="A5880" s="1" t="s">
        <v>14389</v>
      </c>
      <c r="B5880" s="3" t="s">
        <v>9496</v>
      </c>
      <c r="C5880" s="2">
        <f ca="1">IF(ISNUMBER(SEARCH(Лист2!$B$4,D:D)),MAX($C$3:OFFSET(C5880,-1,0))+1,0)</f>
        <v>0</v>
      </c>
      <c r="E5880" s="9" t="str">
        <f t="shared" ca="1" si="103"/>
        <v/>
      </c>
      <c r="F5880" s="4" t="s">
        <v>37</v>
      </c>
      <c r="G5880" s="2">
        <f>IF(ISNUMBER(SEARCH(Лист2!$B$4,F:F)),1,0)</f>
        <v>1</v>
      </c>
      <c r="H5880" s="3">
        <f ca="1">IF(AND(I5880&lt;&gt;I5879,ISNUMBER(SEARCH(Лист2!$B$5,I:I)),G5880=1),MAX($H$3:OFFSET(H5880,-1,0))+1,0)</f>
        <v>0</v>
      </c>
      <c r="I5880" s="3" t="s">
        <v>482</v>
      </c>
      <c r="K5880" s="2">
        <f>IF(ISNUMBER(SEARCH(Лист2!$B$4,F:F)),1,0)</f>
        <v>1</v>
      </c>
      <c r="L5880" s="14">
        <f>IF(ISNUMBER(SEARCH(Лист2!$B$5,I:I)),1,0)+K5880</f>
        <v>1</v>
      </c>
      <c r="M5880" s="3">
        <f ca="1">IF(AND(N5880&lt;&gt;N5879,ISNUMBER(SEARCH(Лист2!$B$6,N:N)),L5880=2),MAX($M$3:OFFSET(M5880,-1,0))+1,0)</f>
        <v>0</v>
      </c>
      <c r="N5880" s="3" t="s">
        <v>3452</v>
      </c>
    </row>
    <row r="5881" spans="1:14" x14ac:dyDescent="0.25">
      <c r="A5881" s="1" t="s">
        <v>14389</v>
      </c>
      <c r="B5881" s="3" t="s">
        <v>9497</v>
      </c>
      <c r="C5881" s="2">
        <f ca="1">IF(ISNUMBER(SEARCH(Лист2!$B$4,D:D)),MAX($C$3:OFFSET(C5881,-1,0))+1,0)</f>
        <v>0</v>
      </c>
      <c r="E5881" s="9" t="str">
        <f t="shared" ca="1" si="103"/>
        <v/>
      </c>
      <c r="F5881" s="4" t="s">
        <v>37</v>
      </c>
      <c r="G5881" s="2">
        <f>IF(ISNUMBER(SEARCH(Лист2!$B$4,F:F)),1,0)</f>
        <v>1</v>
      </c>
      <c r="H5881" s="3">
        <f ca="1">IF(AND(I5881&lt;&gt;I5880,ISNUMBER(SEARCH(Лист2!$B$5,I:I)),G5881=1),MAX($H$3:OFFSET(H5881,-1,0))+1,0)</f>
        <v>0</v>
      </c>
      <c r="I5881" s="3" t="s">
        <v>482</v>
      </c>
      <c r="K5881" s="2">
        <f>IF(ISNUMBER(SEARCH(Лист2!$B$4,F:F)),1,0)</f>
        <v>1</v>
      </c>
      <c r="L5881" s="14">
        <f>IF(ISNUMBER(SEARCH(Лист2!$B$5,I:I)),1,0)+K5881</f>
        <v>1</v>
      </c>
      <c r="M5881" s="3">
        <f ca="1">IF(AND(N5881&lt;&gt;N5880,ISNUMBER(SEARCH(Лист2!$B$6,N:N)),L5881=2),MAX($M$3:OFFSET(M5881,-1,0))+1,0)</f>
        <v>0</v>
      </c>
      <c r="N5881" s="3" t="s">
        <v>3452</v>
      </c>
    </row>
    <row r="5882" spans="1:14" x14ac:dyDescent="0.25">
      <c r="A5882" s="1" t="s">
        <v>14390</v>
      </c>
      <c r="B5882" s="3" t="s">
        <v>9498</v>
      </c>
      <c r="C5882" s="2">
        <f ca="1">IF(ISNUMBER(SEARCH(Лист2!$B$4,D:D)),MAX($C$3:OFFSET(C5882,-1,0))+1,0)</f>
        <v>0</v>
      </c>
      <c r="E5882" s="9" t="str">
        <f t="shared" ca="1" si="103"/>
        <v/>
      </c>
      <c r="F5882" s="4" t="s">
        <v>37</v>
      </c>
      <c r="G5882" s="2">
        <f>IF(ISNUMBER(SEARCH(Лист2!$B$4,F:F)),1,0)</f>
        <v>1</v>
      </c>
      <c r="H5882" s="3">
        <f ca="1">IF(AND(I5882&lt;&gt;I5881,ISNUMBER(SEARCH(Лист2!$B$5,I:I)),G5882=1),MAX($H$3:OFFSET(H5882,-1,0))+1,0)</f>
        <v>0</v>
      </c>
      <c r="I5882" s="3" t="s">
        <v>482</v>
      </c>
      <c r="K5882" s="2">
        <f>IF(ISNUMBER(SEARCH(Лист2!$B$4,F:F)),1,0)</f>
        <v>1</v>
      </c>
      <c r="L5882" s="14">
        <f>IF(ISNUMBER(SEARCH(Лист2!$B$5,I:I)),1,0)+K5882</f>
        <v>1</v>
      </c>
      <c r="M5882" s="3">
        <f ca="1">IF(AND(N5882&lt;&gt;N5881,ISNUMBER(SEARCH(Лист2!$B$6,N:N)),L5882=2),MAX($M$3:OFFSET(M5882,-1,0))+1,0)</f>
        <v>0</v>
      </c>
      <c r="N5882" s="3" t="s">
        <v>3453</v>
      </c>
    </row>
    <row r="5883" spans="1:14" x14ac:dyDescent="0.25">
      <c r="A5883" s="1" t="s">
        <v>14390</v>
      </c>
      <c r="B5883" s="3" t="s">
        <v>9499</v>
      </c>
      <c r="C5883" s="2">
        <f ca="1">IF(ISNUMBER(SEARCH(Лист2!$B$4,D:D)),MAX($C$3:OFFSET(C5883,-1,0))+1,0)</f>
        <v>0</v>
      </c>
      <c r="E5883" s="9" t="str">
        <f t="shared" ca="1" si="103"/>
        <v/>
      </c>
      <c r="F5883" s="4" t="s">
        <v>37</v>
      </c>
      <c r="G5883" s="2">
        <f>IF(ISNUMBER(SEARCH(Лист2!$B$4,F:F)),1,0)</f>
        <v>1</v>
      </c>
      <c r="H5883" s="3">
        <f ca="1">IF(AND(I5883&lt;&gt;I5882,ISNUMBER(SEARCH(Лист2!$B$5,I:I)),G5883=1),MAX($H$3:OFFSET(H5883,-1,0))+1,0)</f>
        <v>0</v>
      </c>
      <c r="I5883" s="3" t="s">
        <v>482</v>
      </c>
      <c r="K5883" s="2">
        <f>IF(ISNUMBER(SEARCH(Лист2!$B$4,F:F)),1,0)</f>
        <v>1</v>
      </c>
      <c r="L5883" s="14">
        <f>IF(ISNUMBER(SEARCH(Лист2!$B$5,I:I)),1,0)+K5883</f>
        <v>1</v>
      </c>
      <c r="M5883" s="3">
        <f ca="1">IF(AND(N5883&lt;&gt;N5882,ISNUMBER(SEARCH(Лист2!$B$6,N:N)),L5883=2),MAX($M$3:OFFSET(M5883,-1,0))+1,0)</f>
        <v>0</v>
      </c>
      <c r="N5883" s="3" t="s">
        <v>3453</v>
      </c>
    </row>
    <row r="5884" spans="1:14" x14ac:dyDescent="0.25">
      <c r="A5884" s="1" t="s">
        <v>14390</v>
      </c>
      <c r="B5884" s="3" t="s">
        <v>9500</v>
      </c>
      <c r="C5884" s="2">
        <f ca="1">IF(ISNUMBER(SEARCH(Лист2!$B$4,D:D)),MAX($C$3:OFFSET(C5884,-1,0))+1,0)</f>
        <v>0</v>
      </c>
      <c r="E5884" s="9" t="str">
        <f t="shared" ca="1" si="103"/>
        <v/>
      </c>
      <c r="F5884" s="4" t="s">
        <v>37</v>
      </c>
      <c r="G5884" s="2">
        <f>IF(ISNUMBER(SEARCH(Лист2!$B$4,F:F)),1,0)</f>
        <v>1</v>
      </c>
      <c r="H5884" s="3">
        <f ca="1">IF(AND(I5884&lt;&gt;I5883,ISNUMBER(SEARCH(Лист2!$B$5,I:I)),G5884=1),MAX($H$3:OFFSET(H5884,-1,0))+1,0)</f>
        <v>0</v>
      </c>
      <c r="I5884" s="3" t="s">
        <v>482</v>
      </c>
      <c r="K5884" s="2">
        <f>IF(ISNUMBER(SEARCH(Лист2!$B$4,F:F)),1,0)</f>
        <v>1</v>
      </c>
      <c r="L5884" s="14">
        <f>IF(ISNUMBER(SEARCH(Лист2!$B$5,I:I)),1,0)+K5884</f>
        <v>1</v>
      </c>
      <c r="M5884" s="3">
        <f ca="1">IF(AND(N5884&lt;&gt;N5883,ISNUMBER(SEARCH(Лист2!$B$6,N:N)),L5884=2),MAX($M$3:OFFSET(M5884,-1,0))+1,0)</f>
        <v>0</v>
      </c>
      <c r="N5884" s="3" t="s">
        <v>3453</v>
      </c>
    </row>
    <row r="5885" spans="1:14" x14ac:dyDescent="0.25">
      <c r="A5885" s="1" t="s">
        <v>14391</v>
      </c>
      <c r="B5885" s="3" t="s">
        <v>9501</v>
      </c>
      <c r="C5885" s="2">
        <f ca="1">IF(ISNUMBER(SEARCH(Лист2!$B$4,D:D)),MAX($C$3:OFFSET(C5885,-1,0))+1,0)</f>
        <v>0</v>
      </c>
      <c r="E5885" s="9" t="str">
        <f t="shared" ca="1" si="103"/>
        <v/>
      </c>
      <c r="F5885" s="4" t="s">
        <v>37</v>
      </c>
      <c r="G5885" s="2">
        <f>IF(ISNUMBER(SEARCH(Лист2!$B$4,F:F)),1,0)</f>
        <v>1</v>
      </c>
      <c r="H5885" s="3">
        <f ca="1">IF(AND(I5885&lt;&gt;I5884,ISNUMBER(SEARCH(Лист2!$B$5,I:I)),G5885=1),MAX($H$3:OFFSET(H5885,-1,0))+1,0)</f>
        <v>0</v>
      </c>
      <c r="I5885" s="3" t="s">
        <v>482</v>
      </c>
      <c r="K5885" s="2">
        <f>IF(ISNUMBER(SEARCH(Лист2!$B$4,F:F)),1,0)</f>
        <v>1</v>
      </c>
      <c r="L5885" s="14">
        <f>IF(ISNUMBER(SEARCH(Лист2!$B$5,I:I)),1,0)+K5885</f>
        <v>1</v>
      </c>
      <c r="M5885" s="3">
        <f ca="1">IF(AND(N5885&lt;&gt;N5884,ISNUMBER(SEARCH(Лист2!$B$6,N:N)),L5885=2),MAX($M$3:OFFSET(M5885,-1,0))+1,0)</f>
        <v>0</v>
      </c>
      <c r="N5885" s="3" t="s">
        <v>3454</v>
      </c>
    </row>
    <row r="5886" spans="1:14" x14ac:dyDescent="0.25">
      <c r="A5886" s="1" t="s">
        <v>14391</v>
      </c>
      <c r="B5886" s="3" t="s">
        <v>9502</v>
      </c>
      <c r="C5886" s="2">
        <f ca="1">IF(ISNUMBER(SEARCH(Лист2!$B$4,D:D)),MAX($C$3:OFFSET(C5886,-1,0))+1,0)</f>
        <v>0</v>
      </c>
      <c r="E5886" s="9" t="str">
        <f t="shared" ca="1" si="103"/>
        <v/>
      </c>
      <c r="F5886" s="4" t="s">
        <v>37</v>
      </c>
      <c r="G5886" s="2">
        <f>IF(ISNUMBER(SEARCH(Лист2!$B$4,F:F)),1,0)</f>
        <v>1</v>
      </c>
      <c r="H5886" s="3">
        <f ca="1">IF(AND(I5886&lt;&gt;I5885,ISNUMBER(SEARCH(Лист2!$B$5,I:I)),G5886=1),MAX($H$3:OFFSET(H5886,-1,0))+1,0)</f>
        <v>0</v>
      </c>
      <c r="I5886" s="3" t="s">
        <v>482</v>
      </c>
      <c r="K5886" s="2">
        <f>IF(ISNUMBER(SEARCH(Лист2!$B$4,F:F)),1,0)</f>
        <v>1</v>
      </c>
      <c r="L5886" s="14">
        <f>IF(ISNUMBER(SEARCH(Лист2!$B$5,I:I)),1,0)+K5886</f>
        <v>1</v>
      </c>
      <c r="M5886" s="3">
        <f ca="1">IF(AND(N5886&lt;&gt;N5885,ISNUMBER(SEARCH(Лист2!$B$6,N:N)),L5886=2),MAX($M$3:OFFSET(M5886,-1,0))+1,0)</f>
        <v>0</v>
      </c>
      <c r="N5886" s="3" t="s">
        <v>3454</v>
      </c>
    </row>
    <row r="5887" spans="1:14" x14ac:dyDescent="0.25">
      <c r="A5887" s="1" t="s">
        <v>14391</v>
      </c>
      <c r="B5887" s="3" t="s">
        <v>9503</v>
      </c>
      <c r="C5887" s="2">
        <f ca="1">IF(ISNUMBER(SEARCH(Лист2!$B$4,D:D)),MAX($C$3:OFFSET(C5887,-1,0))+1,0)</f>
        <v>0</v>
      </c>
      <c r="E5887" s="9" t="str">
        <f t="shared" ca="1" si="103"/>
        <v/>
      </c>
      <c r="F5887" s="4" t="s">
        <v>37</v>
      </c>
      <c r="G5887" s="2">
        <f>IF(ISNUMBER(SEARCH(Лист2!$B$4,F:F)),1,0)</f>
        <v>1</v>
      </c>
      <c r="H5887" s="3">
        <f ca="1">IF(AND(I5887&lt;&gt;I5886,ISNUMBER(SEARCH(Лист2!$B$5,I:I)),G5887=1),MAX($H$3:OFFSET(H5887,-1,0))+1,0)</f>
        <v>0</v>
      </c>
      <c r="I5887" s="3" t="s">
        <v>482</v>
      </c>
      <c r="K5887" s="2">
        <f>IF(ISNUMBER(SEARCH(Лист2!$B$4,F:F)),1,0)</f>
        <v>1</v>
      </c>
      <c r="L5887" s="14">
        <f>IF(ISNUMBER(SEARCH(Лист2!$B$5,I:I)),1,0)+K5887</f>
        <v>1</v>
      </c>
      <c r="M5887" s="3">
        <f ca="1">IF(AND(N5887&lt;&gt;N5886,ISNUMBER(SEARCH(Лист2!$B$6,N:N)),L5887=2),MAX($M$3:OFFSET(M5887,-1,0))+1,0)</f>
        <v>0</v>
      </c>
      <c r="N5887" s="3" t="s">
        <v>3454</v>
      </c>
    </row>
    <row r="5888" spans="1:14" x14ac:dyDescent="0.25">
      <c r="A5888" s="1" t="s">
        <v>14392</v>
      </c>
      <c r="B5888" s="3" t="s">
        <v>9504</v>
      </c>
      <c r="C5888" s="2">
        <f ca="1">IF(ISNUMBER(SEARCH(Лист2!$B$4,D:D)),MAX($C$3:OFFSET(C5888,-1,0))+1,0)</f>
        <v>0</v>
      </c>
      <c r="E5888" s="9" t="str">
        <f t="shared" ca="1" si="103"/>
        <v/>
      </c>
      <c r="F5888" s="4" t="s">
        <v>37</v>
      </c>
      <c r="G5888" s="2">
        <f>IF(ISNUMBER(SEARCH(Лист2!$B$4,F:F)),1,0)</f>
        <v>1</v>
      </c>
      <c r="H5888" s="3">
        <f ca="1">IF(AND(I5888&lt;&gt;I5887,ISNUMBER(SEARCH(Лист2!$B$5,I:I)),G5888=1),MAX($H$3:OFFSET(H5888,-1,0))+1,0)</f>
        <v>0</v>
      </c>
      <c r="I5888" s="3" t="s">
        <v>482</v>
      </c>
      <c r="K5888" s="2">
        <f>IF(ISNUMBER(SEARCH(Лист2!$B$4,F:F)),1,0)</f>
        <v>1</v>
      </c>
      <c r="L5888" s="14">
        <f>IF(ISNUMBER(SEARCH(Лист2!$B$5,I:I)),1,0)+K5888</f>
        <v>1</v>
      </c>
      <c r="M5888" s="3">
        <f ca="1">IF(AND(N5888&lt;&gt;N5887,ISNUMBER(SEARCH(Лист2!$B$6,N:N)),L5888=2),MAX($M$3:OFFSET(M5888,-1,0))+1,0)</f>
        <v>0</v>
      </c>
      <c r="N5888" s="3" t="s">
        <v>3455</v>
      </c>
    </row>
    <row r="5889" spans="1:14" x14ac:dyDescent="0.25">
      <c r="A5889" s="1" t="s">
        <v>14393</v>
      </c>
      <c r="B5889" s="3" t="s">
        <v>9505</v>
      </c>
      <c r="C5889" s="2">
        <f ca="1">IF(ISNUMBER(SEARCH(Лист2!$B$4,D:D)),MAX($C$3:OFFSET(C5889,-1,0))+1,0)</f>
        <v>0</v>
      </c>
      <c r="E5889" s="9" t="str">
        <f t="shared" ca="1" si="103"/>
        <v/>
      </c>
      <c r="F5889" s="4" t="s">
        <v>37</v>
      </c>
      <c r="G5889" s="2">
        <f>IF(ISNUMBER(SEARCH(Лист2!$B$4,F:F)),1,0)</f>
        <v>1</v>
      </c>
      <c r="H5889" s="3">
        <f ca="1">IF(AND(I5889&lt;&gt;I5888,ISNUMBER(SEARCH(Лист2!$B$5,I:I)),G5889=1),MAX($H$3:OFFSET(H5889,-1,0))+1,0)</f>
        <v>0</v>
      </c>
      <c r="I5889" s="3" t="s">
        <v>482</v>
      </c>
      <c r="K5889" s="2">
        <f>IF(ISNUMBER(SEARCH(Лист2!$B$4,F:F)),1,0)</f>
        <v>1</v>
      </c>
      <c r="L5889" s="14">
        <f>IF(ISNUMBER(SEARCH(Лист2!$B$5,I:I)),1,0)+K5889</f>
        <v>1</v>
      </c>
      <c r="M5889" s="3">
        <f ca="1">IF(AND(N5889&lt;&gt;N5888,ISNUMBER(SEARCH(Лист2!$B$6,N:N)),L5889=2),MAX($M$3:OFFSET(M5889,-1,0))+1,0)</f>
        <v>0</v>
      </c>
      <c r="N5889" s="3" t="s">
        <v>3456</v>
      </c>
    </row>
    <row r="5890" spans="1:14" x14ac:dyDescent="0.25">
      <c r="A5890" s="1" t="s">
        <v>14394</v>
      </c>
      <c r="B5890" s="3" t="s">
        <v>9506</v>
      </c>
      <c r="C5890" s="2">
        <f ca="1">IF(ISNUMBER(SEARCH(Лист2!$B$4,D:D)),MAX($C$3:OFFSET(C5890,-1,0))+1,0)</f>
        <v>0</v>
      </c>
      <c r="E5890" s="9" t="str">
        <f t="shared" ca="1" si="103"/>
        <v/>
      </c>
      <c r="F5890" s="4" t="s">
        <v>37</v>
      </c>
      <c r="G5890" s="2">
        <f>IF(ISNUMBER(SEARCH(Лист2!$B$4,F:F)),1,0)</f>
        <v>1</v>
      </c>
      <c r="H5890" s="3">
        <f ca="1">IF(AND(I5890&lt;&gt;I5889,ISNUMBER(SEARCH(Лист2!$B$5,I:I)),G5890=1),MAX($H$3:OFFSET(H5890,-1,0))+1,0)</f>
        <v>0</v>
      </c>
      <c r="I5890" s="3" t="s">
        <v>482</v>
      </c>
      <c r="K5890" s="2">
        <f>IF(ISNUMBER(SEARCH(Лист2!$B$4,F:F)),1,0)</f>
        <v>1</v>
      </c>
      <c r="L5890" s="14">
        <f>IF(ISNUMBER(SEARCH(Лист2!$B$5,I:I)),1,0)+K5890</f>
        <v>1</v>
      </c>
      <c r="M5890" s="3">
        <f ca="1">IF(AND(N5890&lt;&gt;N5889,ISNUMBER(SEARCH(Лист2!$B$6,N:N)),L5890=2),MAX($M$3:OFFSET(M5890,-1,0))+1,0)</f>
        <v>0</v>
      </c>
      <c r="N5890" s="3" t="s">
        <v>3457</v>
      </c>
    </row>
    <row r="5891" spans="1:14" x14ac:dyDescent="0.25">
      <c r="A5891" s="1" t="s">
        <v>14395</v>
      </c>
      <c r="B5891" s="3" t="s">
        <v>9507</v>
      </c>
      <c r="C5891" s="2">
        <f ca="1">IF(ISNUMBER(SEARCH(Лист2!$B$4,D:D)),MAX($C$3:OFFSET(C5891,-1,0))+1,0)</f>
        <v>0</v>
      </c>
      <c r="E5891" s="9" t="str">
        <f t="shared" ca="1" si="103"/>
        <v/>
      </c>
      <c r="F5891" s="4" t="s">
        <v>37</v>
      </c>
      <c r="G5891" s="2">
        <f>IF(ISNUMBER(SEARCH(Лист2!$B$4,F:F)),1,0)</f>
        <v>1</v>
      </c>
      <c r="H5891" s="3">
        <f ca="1">IF(AND(I5891&lt;&gt;I5890,ISNUMBER(SEARCH(Лист2!$B$5,I:I)),G5891=1),MAX($H$3:OFFSET(H5891,-1,0))+1,0)</f>
        <v>0</v>
      </c>
      <c r="I5891" s="3" t="s">
        <v>482</v>
      </c>
      <c r="K5891" s="2">
        <f>IF(ISNUMBER(SEARCH(Лист2!$B$4,F:F)),1,0)</f>
        <v>1</v>
      </c>
      <c r="L5891" s="14">
        <f>IF(ISNUMBER(SEARCH(Лист2!$B$5,I:I)),1,0)+K5891</f>
        <v>1</v>
      </c>
      <c r="M5891" s="3">
        <f ca="1">IF(AND(N5891&lt;&gt;N5890,ISNUMBER(SEARCH(Лист2!$B$6,N:N)),L5891=2),MAX($M$3:OFFSET(M5891,-1,0))+1,0)</f>
        <v>0</v>
      </c>
      <c r="N5891" s="3" t="s">
        <v>3458</v>
      </c>
    </row>
    <row r="5892" spans="1:14" x14ac:dyDescent="0.25">
      <c r="A5892" s="1" t="s">
        <v>14396</v>
      </c>
      <c r="B5892" s="3" t="s">
        <v>9508</v>
      </c>
      <c r="C5892" s="2">
        <f ca="1">IF(ISNUMBER(SEARCH(Лист2!$B$4,D:D)),MAX($C$3:OFFSET(C5892,-1,0))+1,0)</f>
        <v>0</v>
      </c>
      <c r="E5892" s="9" t="str">
        <f t="shared" ca="1" si="103"/>
        <v/>
      </c>
      <c r="F5892" s="4" t="s">
        <v>37</v>
      </c>
      <c r="G5892" s="2">
        <f>IF(ISNUMBER(SEARCH(Лист2!$B$4,F:F)),1,0)</f>
        <v>1</v>
      </c>
      <c r="H5892" s="3">
        <f ca="1">IF(AND(I5892&lt;&gt;I5891,ISNUMBER(SEARCH(Лист2!$B$5,I:I)),G5892=1),MAX($H$3:OFFSET(H5892,-1,0))+1,0)</f>
        <v>0</v>
      </c>
      <c r="I5892" s="3" t="s">
        <v>482</v>
      </c>
      <c r="K5892" s="2">
        <f>IF(ISNUMBER(SEARCH(Лист2!$B$4,F:F)),1,0)</f>
        <v>1</v>
      </c>
      <c r="L5892" s="14">
        <f>IF(ISNUMBER(SEARCH(Лист2!$B$5,I:I)),1,0)+K5892</f>
        <v>1</v>
      </c>
      <c r="M5892" s="3">
        <f ca="1">IF(AND(N5892&lt;&gt;N5891,ISNUMBER(SEARCH(Лист2!$B$6,N:N)),L5892=2),MAX($M$3:OFFSET(M5892,-1,0))+1,0)</f>
        <v>0</v>
      </c>
      <c r="N5892" s="3" t="s">
        <v>602</v>
      </c>
    </row>
    <row r="5893" spans="1:14" x14ac:dyDescent="0.25">
      <c r="A5893" s="1" t="s">
        <v>14397</v>
      </c>
      <c r="B5893" s="3" t="s">
        <v>9509</v>
      </c>
      <c r="C5893" s="2">
        <f ca="1">IF(ISNUMBER(SEARCH(Лист2!$B$4,D:D)),MAX($C$3:OFFSET(C5893,-1,0))+1,0)</f>
        <v>0</v>
      </c>
      <c r="E5893" s="9" t="str">
        <f t="shared" ref="E5893:E5956" ca="1" si="104">IFERROR(INDEX(D:D,MATCH(ROW(E5893)-ROW($E$3),C:C,0)),"")</f>
        <v/>
      </c>
      <c r="F5893" s="4" t="s">
        <v>37</v>
      </c>
      <c r="G5893" s="2">
        <f>IF(ISNUMBER(SEARCH(Лист2!$B$4,F:F)),1,0)</f>
        <v>1</v>
      </c>
      <c r="H5893" s="3">
        <f ca="1">IF(AND(I5893&lt;&gt;I5892,ISNUMBER(SEARCH(Лист2!$B$5,I:I)),G5893=1),MAX($H$3:OFFSET(H5893,-1,0))+1,0)</f>
        <v>0</v>
      </c>
      <c r="I5893" s="3" t="s">
        <v>482</v>
      </c>
      <c r="K5893" s="2">
        <f>IF(ISNUMBER(SEARCH(Лист2!$B$4,F:F)),1,0)</f>
        <v>1</v>
      </c>
      <c r="L5893" s="14">
        <f>IF(ISNUMBER(SEARCH(Лист2!$B$5,I:I)),1,0)+K5893</f>
        <v>1</v>
      </c>
      <c r="M5893" s="3">
        <f ca="1">IF(AND(N5893&lt;&gt;N5892,ISNUMBER(SEARCH(Лист2!$B$6,N:N)),L5893=2),MAX($M$3:OFFSET(M5893,-1,0))+1,0)</f>
        <v>0</v>
      </c>
      <c r="N5893" s="3" t="s">
        <v>523</v>
      </c>
    </row>
    <row r="5894" spans="1:14" x14ac:dyDescent="0.25">
      <c r="A5894" s="1" t="s">
        <v>14398</v>
      </c>
      <c r="B5894" s="3" t="s">
        <v>9510</v>
      </c>
      <c r="C5894" s="2">
        <f ca="1">IF(ISNUMBER(SEARCH(Лист2!$B$4,D:D)),MAX($C$3:OFFSET(C5894,-1,0))+1,0)</f>
        <v>0</v>
      </c>
      <c r="E5894" s="9" t="str">
        <f t="shared" ca="1" si="104"/>
        <v/>
      </c>
      <c r="F5894" s="4" t="s">
        <v>37</v>
      </c>
      <c r="G5894" s="2">
        <f>IF(ISNUMBER(SEARCH(Лист2!$B$4,F:F)),1,0)</f>
        <v>1</v>
      </c>
      <c r="H5894" s="3">
        <f ca="1">IF(AND(I5894&lt;&gt;I5893,ISNUMBER(SEARCH(Лист2!$B$5,I:I)),G5894=1),MAX($H$3:OFFSET(H5894,-1,0))+1,0)</f>
        <v>0</v>
      </c>
      <c r="I5894" s="3" t="s">
        <v>483</v>
      </c>
      <c r="K5894" s="2">
        <f>IF(ISNUMBER(SEARCH(Лист2!$B$4,F:F)),1,0)</f>
        <v>1</v>
      </c>
      <c r="L5894" s="14">
        <f>IF(ISNUMBER(SEARCH(Лист2!$B$5,I:I)),1,0)+K5894</f>
        <v>1</v>
      </c>
      <c r="M5894" s="3">
        <f ca="1">IF(AND(N5894&lt;&gt;N5893,ISNUMBER(SEARCH(Лист2!$B$6,N:N)),L5894=2),MAX($M$3:OFFSET(M5894,-1,0))+1,0)</f>
        <v>0</v>
      </c>
      <c r="N5894" s="3" t="s">
        <v>3459</v>
      </c>
    </row>
    <row r="5895" spans="1:14" x14ac:dyDescent="0.25">
      <c r="A5895" s="1" t="s">
        <v>14399</v>
      </c>
      <c r="B5895" s="3" t="s">
        <v>9511</v>
      </c>
      <c r="C5895" s="2">
        <f ca="1">IF(ISNUMBER(SEARCH(Лист2!$B$4,D:D)),MAX($C$3:OFFSET(C5895,-1,0))+1,0)</f>
        <v>0</v>
      </c>
      <c r="E5895" s="9" t="str">
        <f t="shared" ca="1" si="104"/>
        <v/>
      </c>
      <c r="F5895" s="4" t="s">
        <v>37</v>
      </c>
      <c r="G5895" s="2">
        <f>IF(ISNUMBER(SEARCH(Лист2!$B$4,F:F)),1,0)</f>
        <v>1</v>
      </c>
      <c r="H5895" s="3">
        <f ca="1">IF(AND(I5895&lt;&gt;I5894,ISNUMBER(SEARCH(Лист2!$B$5,I:I)),G5895=1),MAX($H$3:OFFSET(H5895,-1,0))+1,0)</f>
        <v>0</v>
      </c>
      <c r="I5895" s="3" t="s">
        <v>483</v>
      </c>
      <c r="K5895" s="2">
        <f>IF(ISNUMBER(SEARCH(Лист2!$B$4,F:F)),1,0)</f>
        <v>1</v>
      </c>
      <c r="L5895" s="14">
        <f>IF(ISNUMBER(SEARCH(Лист2!$B$5,I:I)),1,0)+K5895</f>
        <v>1</v>
      </c>
      <c r="M5895" s="3">
        <f ca="1">IF(AND(N5895&lt;&gt;N5894,ISNUMBER(SEARCH(Лист2!$B$6,N:N)),L5895=2),MAX($M$3:OFFSET(M5895,-1,0))+1,0)</f>
        <v>0</v>
      </c>
      <c r="N5895" s="3" t="s">
        <v>3460</v>
      </c>
    </row>
    <row r="5896" spans="1:14" x14ac:dyDescent="0.25">
      <c r="A5896" s="1" t="s">
        <v>14400</v>
      </c>
      <c r="B5896" s="3" t="s">
        <v>9512</v>
      </c>
      <c r="C5896" s="2">
        <f ca="1">IF(ISNUMBER(SEARCH(Лист2!$B$4,D:D)),MAX($C$3:OFFSET(C5896,-1,0))+1,0)</f>
        <v>0</v>
      </c>
      <c r="E5896" s="9" t="str">
        <f t="shared" ca="1" si="104"/>
        <v/>
      </c>
      <c r="F5896" s="4" t="s">
        <v>37</v>
      </c>
      <c r="G5896" s="2">
        <f>IF(ISNUMBER(SEARCH(Лист2!$B$4,F:F)),1,0)</f>
        <v>1</v>
      </c>
      <c r="H5896" s="3">
        <f ca="1">IF(AND(I5896&lt;&gt;I5895,ISNUMBER(SEARCH(Лист2!$B$5,I:I)),G5896=1),MAX($H$3:OFFSET(H5896,-1,0))+1,0)</f>
        <v>0</v>
      </c>
      <c r="I5896" s="3" t="s">
        <v>483</v>
      </c>
      <c r="K5896" s="2">
        <f>IF(ISNUMBER(SEARCH(Лист2!$B$4,F:F)),1,0)</f>
        <v>1</v>
      </c>
      <c r="L5896" s="14">
        <f>IF(ISNUMBER(SEARCH(Лист2!$B$5,I:I)),1,0)+K5896</f>
        <v>1</v>
      </c>
      <c r="M5896" s="3">
        <f ca="1">IF(AND(N5896&lt;&gt;N5895,ISNUMBER(SEARCH(Лист2!$B$6,N:N)),L5896=2),MAX($M$3:OFFSET(M5896,-1,0))+1,0)</f>
        <v>0</v>
      </c>
      <c r="N5896" s="3" t="s">
        <v>3461</v>
      </c>
    </row>
    <row r="5897" spans="1:14" x14ac:dyDescent="0.25">
      <c r="A5897" s="1" t="s">
        <v>14400</v>
      </c>
      <c r="B5897" s="3" t="s">
        <v>9513</v>
      </c>
      <c r="C5897" s="2">
        <f ca="1">IF(ISNUMBER(SEARCH(Лист2!$B$4,D:D)),MAX($C$3:OFFSET(C5897,-1,0))+1,0)</f>
        <v>0</v>
      </c>
      <c r="E5897" s="9" t="str">
        <f t="shared" ca="1" si="104"/>
        <v/>
      </c>
      <c r="F5897" s="4" t="s">
        <v>37</v>
      </c>
      <c r="G5897" s="2">
        <f>IF(ISNUMBER(SEARCH(Лист2!$B$4,F:F)),1,0)</f>
        <v>1</v>
      </c>
      <c r="H5897" s="3">
        <f ca="1">IF(AND(I5897&lt;&gt;I5896,ISNUMBER(SEARCH(Лист2!$B$5,I:I)),G5897=1),MAX($H$3:OFFSET(H5897,-1,0))+1,0)</f>
        <v>0</v>
      </c>
      <c r="I5897" s="3" t="s">
        <v>483</v>
      </c>
      <c r="K5897" s="2">
        <f>IF(ISNUMBER(SEARCH(Лист2!$B$4,F:F)),1,0)</f>
        <v>1</v>
      </c>
      <c r="L5897" s="14">
        <f>IF(ISNUMBER(SEARCH(Лист2!$B$5,I:I)),1,0)+K5897</f>
        <v>1</v>
      </c>
      <c r="M5897" s="3">
        <f ca="1">IF(AND(N5897&lt;&gt;N5896,ISNUMBER(SEARCH(Лист2!$B$6,N:N)),L5897=2),MAX($M$3:OFFSET(M5897,-1,0))+1,0)</f>
        <v>0</v>
      </c>
      <c r="N5897" s="3" t="s">
        <v>3461</v>
      </c>
    </row>
    <row r="5898" spans="1:14" x14ac:dyDescent="0.25">
      <c r="A5898" s="1" t="s">
        <v>14400</v>
      </c>
      <c r="B5898" s="3" t="s">
        <v>9514</v>
      </c>
      <c r="C5898" s="2">
        <f ca="1">IF(ISNUMBER(SEARCH(Лист2!$B$4,D:D)),MAX($C$3:OFFSET(C5898,-1,0))+1,0)</f>
        <v>0</v>
      </c>
      <c r="E5898" s="9" t="str">
        <f t="shared" ca="1" si="104"/>
        <v/>
      </c>
      <c r="F5898" s="4" t="s">
        <v>37</v>
      </c>
      <c r="G5898" s="2">
        <f>IF(ISNUMBER(SEARCH(Лист2!$B$4,F:F)),1,0)</f>
        <v>1</v>
      </c>
      <c r="H5898" s="3">
        <f ca="1">IF(AND(I5898&lt;&gt;I5897,ISNUMBER(SEARCH(Лист2!$B$5,I:I)),G5898=1),MAX($H$3:OFFSET(H5898,-1,0))+1,0)</f>
        <v>0</v>
      </c>
      <c r="I5898" s="3" t="s">
        <v>483</v>
      </c>
      <c r="K5898" s="2">
        <f>IF(ISNUMBER(SEARCH(Лист2!$B$4,F:F)),1,0)</f>
        <v>1</v>
      </c>
      <c r="L5898" s="14">
        <f>IF(ISNUMBER(SEARCH(Лист2!$B$5,I:I)),1,0)+K5898</f>
        <v>1</v>
      </c>
      <c r="M5898" s="3">
        <f ca="1">IF(AND(N5898&lt;&gt;N5897,ISNUMBER(SEARCH(Лист2!$B$6,N:N)),L5898=2),MAX($M$3:OFFSET(M5898,-1,0))+1,0)</f>
        <v>0</v>
      </c>
      <c r="N5898" s="3" t="s">
        <v>3461</v>
      </c>
    </row>
    <row r="5899" spans="1:14" x14ac:dyDescent="0.25">
      <c r="A5899" s="1" t="s">
        <v>14401</v>
      </c>
      <c r="B5899" s="3" t="s">
        <v>9515</v>
      </c>
      <c r="C5899" s="2">
        <f ca="1">IF(ISNUMBER(SEARCH(Лист2!$B$4,D:D)),MAX($C$3:OFFSET(C5899,-1,0))+1,0)</f>
        <v>0</v>
      </c>
      <c r="E5899" s="9" t="str">
        <f t="shared" ca="1" si="104"/>
        <v/>
      </c>
      <c r="F5899" s="4" t="s">
        <v>37</v>
      </c>
      <c r="G5899" s="2">
        <f>IF(ISNUMBER(SEARCH(Лист2!$B$4,F:F)),1,0)</f>
        <v>1</v>
      </c>
      <c r="H5899" s="3">
        <f ca="1">IF(AND(I5899&lt;&gt;I5898,ISNUMBER(SEARCH(Лист2!$B$5,I:I)),G5899=1),MAX($H$3:OFFSET(H5899,-1,0))+1,0)</f>
        <v>0</v>
      </c>
      <c r="I5899" s="3" t="s">
        <v>483</v>
      </c>
      <c r="K5899" s="2">
        <f>IF(ISNUMBER(SEARCH(Лист2!$B$4,F:F)),1,0)</f>
        <v>1</v>
      </c>
      <c r="L5899" s="14">
        <f>IF(ISNUMBER(SEARCH(Лист2!$B$5,I:I)),1,0)+K5899</f>
        <v>1</v>
      </c>
      <c r="M5899" s="3">
        <f ca="1">IF(AND(N5899&lt;&gt;N5898,ISNUMBER(SEARCH(Лист2!$B$6,N:N)),L5899=2),MAX($M$3:OFFSET(M5899,-1,0))+1,0)</f>
        <v>0</v>
      </c>
      <c r="N5899" s="3" t="s">
        <v>3462</v>
      </c>
    </row>
    <row r="5900" spans="1:14" x14ac:dyDescent="0.25">
      <c r="A5900" s="1" t="s">
        <v>14401</v>
      </c>
      <c r="B5900" s="3" t="s">
        <v>9516</v>
      </c>
      <c r="C5900" s="2">
        <f ca="1">IF(ISNUMBER(SEARCH(Лист2!$B$4,D:D)),MAX($C$3:OFFSET(C5900,-1,0))+1,0)</f>
        <v>0</v>
      </c>
      <c r="E5900" s="9" t="str">
        <f t="shared" ca="1" si="104"/>
        <v/>
      </c>
      <c r="F5900" s="4" t="s">
        <v>37</v>
      </c>
      <c r="G5900" s="2">
        <f>IF(ISNUMBER(SEARCH(Лист2!$B$4,F:F)),1,0)</f>
        <v>1</v>
      </c>
      <c r="H5900" s="3">
        <f ca="1">IF(AND(I5900&lt;&gt;I5899,ISNUMBER(SEARCH(Лист2!$B$5,I:I)),G5900=1),MAX($H$3:OFFSET(H5900,-1,0))+1,0)</f>
        <v>0</v>
      </c>
      <c r="I5900" s="3" t="s">
        <v>483</v>
      </c>
      <c r="K5900" s="2">
        <f>IF(ISNUMBER(SEARCH(Лист2!$B$4,F:F)),1,0)</f>
        <v>1</v>
      </c>
      <c r="L5900" s="14">
        <f>IF(ISNUMBER(SEARCH(Лист2!$B$5,I:I)),1,0)+K5900</f>
        <v>1</v>
      </c>
      <c r="M5900" s="3">
        <f ca="1">IF(AND(N5900&lt;&gt;N5899,ISNUMBER(SEARCH(Лист2!$B$6,N:N)),L5900=2),MAX($M$3:OFFSET(M5900,-1,0))+1,0)</f>
        <v>0</v>
      </c>
      <c r="N5900" s="3" t="s">
        <v>3462</v>
      </c>
    </row>
    <row r="5901" spans="1:14" x14ac:dyDescent="0.25">
      <c r="A5901" s="1" t="s">
        <v>14401</v>
      </c>
      <c r="B5901" s="3" t="s">
        <v>9517</v>
      </c>
      <c r="C5901" s="2">
        <f ca="1">IF(ISNUMBER(SEARCH(Лист2!$B$4,D:D)),MAX($C$3:OFFSET(C5901,-1,0))+1,0)</f>
        <v>0</v>
      </c>
      <c r="E5901" s="9" t="str">
        <f t="shared" ca="1" si="104"/>
        <v/>
      </c>
      <c r="F5901" s="4" t="s">
        <v>37</v>
      </c>
      <c r="G5901" s="2">
        <f>IF(ISNUMBER(SEARCH(Лист2!$B$4,F:F)),1,0)</f>
        <v>1</v>
      </c>
      <c r="H5901" s="3">
        <f ca="1">IF(AND(I5901&lt;&gt;I5900,ISNUMBER(SEARCH(Лист2!$B$5,I:I)),G5901=1),MAX($H$3:OFFSET(H5901,-1,0))+1,0)</f>
        <v>0</v>
      </c>
      <c r="I5901" s="3" t="s">
        <v>483</v>
      </c>
      <c r="K5901" s="2">
        <f>IF(ISNUMBER(SEARCH(Лист2!$B$4,F:F)),1,0)</f>
        <v>1</v>
      </c>
      <c r="L5901" s="14">
        <f>IF(ISNUMBER(SEARCH(Лист2!$B$5,I:I)),1,0)+K5901</f>
        <v>1</v>
      </c>
      <c r="M5901" s="3">
        <f ca="1">IF(AND(N5901&lt;&gt;N5900,ISNUMBER(SEARCH(Лист2!$B$6,N:N)),L5901=2),MAX($M$3:OFFSET(M5901,-1,0))+1,0)</f>
        <v>0</v>
      </c>
      <c r="N5901" s="3" t="s">
        <v>3462</v>
      </c>
    </row>
    <row r="5902" spans="1:14" x14ac:dyDescent="0.25">
      <c r="A5902" s="1" t="s">
        <v>14402</v>
      </c>
      <c r="B5902" s="3" t="s">
        <v>9518</v>
      </c>
      <c r="C5902" s="2">
        <f ca="1">IF(ISNUMBER(SEARCH(Лист2!$B$4,D:D)),MAX($C$3:OFFSET(C5902,-1,0))+1,0)</f>
        <v>0</v>
      </c>
      <c r="E5902" s="9" t="str">
        <f t="shared" ca="1" si="104"/>
        <v/>
      </c>
      <c r="F5902" s="4" t="s">
        <v>37</v>
      </c>
      <c r="G5902" s="2">
        <f>IF(ISNUMBER(SEARCH(Лист2!$B$4,F:F)),1,0)</f>
        <v>1</v>
      </c>
      <c r="H5902" s="3">
        <f ca="1">IF(AND(I5902&lt;&gt;I5901,ISNUMBER(SEARCH(Лист2!$B$5,I:I)),G5902=1),MAX($H$3:OFFSET(H5902,-1,0))+1,0)</f>
        <v>0</v>
      </c>
      <c r="I5902" s="3" t="s">
        <v>483</v>
      </c>
      <c r="K5902" s="2">
        <f>IF(ISNUMBER(SEARCH(Лист2!$B$4,F:F)),1,0)</f>
        <v>1</v>
      </c>
      <c r="L5902" s="14">
        <f>IF(ISNUMBER(SEARCH(Лист2!$B$5,I:I)),1,0)+K5902</f>
        <v>1</v>
      </c>
      <c r="M5902" s="3">
        <f ca="1">IF(AND(N5902&lt;&gt;N5901,ISNUMBER(SEARCH(Лист2!$B$6,N:N)),L5902=2),MAX($M$3:OFFSET(M5902,-1,0))+1,0)</f>
        <v>0</v>
      </c>
      <c r="N5902" s="3" t="s">
        <v>3463</v>
      </c>
    </row>
    <row r="5903" spans="1:14" x14ac:dyDescent="0.25">
      <c r="A5903" s="1" t="s">
        <v>14402</v>
      </c>
      <c r="B5903" s="3" t="s">
        <v>9519</v>
      </c>
      <c r="C5903" s="2">
        <f ca="1">IF(ISNUMBER(SEARCH(Лист2!$B$4,D:D)),MAX($C$3:OFFSET(C5903,-1,0))+1,0)</f>
        <v>0</v>
      </c>
      <c r="E5903" s="9" t="str">
        <f t="shared" ca="1" si="104"/>
        <v/>
      </c>
      <c r="F5903" s="4" t="s">
        <v>37</v>
      </c>
      <c r="G5903" s="2">
        <f>IF(ISNUMBER(SEARCH(Лист2!$B$4,F:F)),1,0)</f>
        <v>1</v>
      </c>
      <c r="H5903" s="3">
        <f ca="1">IF(AND(I5903&lt;&gt;I5902,ISNUMBER(SEARCH(Лист2!$B$5,I:I)),G5903=1),MAX($H$3:OFFSET(H5903,-1,0))+1,0)</f>
        <v>0</v>
      </c>
      <c r="I5903" s="3" t="s">
        <v>483</v>
      </c>
      <c r="K5903" s="2">
        <f>IF(ISNUMBER(SEARCH(Лист2!$B$4,F:F)),1,0)</f>
        <v>1</v>
      </c>
      <c r="L5903" s="14">
        <f>IF(ISNUMBER(SEARCH(Лист2!$B$5,I:I)),1,0)+K5903</f>
        <v>1</v>
      </c>
      <c r="M5903" s="3">
        <f ca="1">IF(AND(N5903&lt;&gt;N5902,ISNUMBER(SEARCH(Лист2!$B$6,N:N)),L5903=2),MAX($M$3:OFFSET(M5903,-1,0))+1,0)</f>
        <v>0</v>
      </c>
      <c r="N5903" s="3" t="s">
        <v>3463</v>
      </c>
    </row>
    <row r="5904" spans="1:14" x14ac:dyDescent="0.25">
      <c r="A5904" s="1" t="s">
        <v>14402</v>
      </c>
      <c r="B5904" s="3" t="s">
        <v>9520</v>
      </c>
      <c r="C5904" s="2">
        <f ca="1">IF(ISNUMBER(SEARCH(Лист2!$B$4,D:D)),MAX($C$3:OFFSET(C5904,-1,0))+1,0)</f>
        <v>0</v>
      </c>
      <c r="E5904" s="9" t="str">
        <f t="shared" ca="1" si="104"/>
        <v/>
      </c>
      <c r="F5904" s="4" t="s">
        <v>37</v>
      </c>
      <c r="G5904" s="2">
        <f>IF(ISNUMBER(SEARCH(Лист2!$B$4,F:F)),1,0)</f>
        <v>1</v>
      </c>
      <c r="H5904" s="3">
        <f ca="1">IF(AND(I5904&lt;&gt;I5903,ISNUMBER(SEARCH(Лист2!$B$5,I:I)),G5904=1),MAX($H$3:OFFSET(H5904,-1,0))+1,0)</f>
        <v>0</v>
      </c>
      <c r="I5904" s="3" t="s">
        <v>483</v>
      </c>
      <c r="K5904" s="2">
        <f>IF(ISNUMBER(SEARCH(Лист2!$B$4,F:F)),1,0)</f>
        <v>1</v>
      </c>
      <c r="L5904" s="14">
        <f>IF(ISNUMBER(SEARCH(Лист2!$B$5,I:I)),1,0)+K5904</f>
        <v>1</v>
      </c>
      <c r="M5904" s="3">
        <f ca="1">IF(AND(N5904&lt;&gt;N5903,ISNUMBER(SEARCH(Лист2!$B$6,N:N)),L5904=2),MAX($M$3:OFFSET(M5904,-1,0))+1,0)</f>
        <v>0</v>
      </c>
      <c r="N5904" s="3" t="s">
        <v>3463</v>
      </c>
    </row>
    <row r="5905" spans="1:14" x14ac:dyDescent="0.25">
      <c r="A5905" s="1" t="s">
        <v>14403</v>
      </c>
      <c r="B5905" s="3" t="s">
        <v>9521</v>
      </c>
      <c r="C5905" s="2">
        <f ca="1">IF(ISNUMBER(SEARCH(Лист2!$B$4,D:D)),MAX($C$3:OFFSET(C5905,-1,0))+1,0)</f>
        <v>0</v>
      </c>
      <c r="E5905" s="9" t="str">
        <f t="shared" ca="1" si="104"/>
        <v/>
      </c>
      <c r="F5905" s="4" t="s">
        <v>37</v>
      </c>
      <c r="G5905" s="2">
        <f>IF(ISNUMBER(SEARCH(Лист2!$B$4,F:F)),1,0)</f>
        <v>1</v>
      </c>
      <c r="H5905" s="3">
        <f ca="1">IF(AND(I5905&lt;&gt;I5904,ISNUMBER(SEARCH(Лист2!$B$5,I:I)),G5905=1),MAX($H$3:OFFSET(H5905,-1,0))+1,0)</f>
        <v>0</v>
      </c>
      <c r="I5905" s="3" t="s">
        <v>483</v>
      </c>
      <c r="K5905" s="2">
        <f>IF(ISNUMBER(SEARCH(Лист2!$B$4,F:F)),1,0)</f>
        <v>1</v>
      </c>
      <c r="L5905" s="14">
        <f>IF(ISNUMBER(SEARCH(Лист2!$B$5,I:I)),1,0)+K5905</f>
        <v>1</v>
      </c>
      <c r="M5905" s="3">
        <f ca="1">IF(AND(N5905&lt;&gt;N5904,ISNUMBER(SEARCH(Лист2!$B$6,N:N)),L5905=2),MAX($M$3:OFFSET(M5905,-1,0))+1,0)</f>
        <v>0</v>
      </c>
      <c r="N5905" s="3" t="s">
        <v>3464</v>
      </c>
    </row>
    <row r="5906" spans="1:14" x14ac:dyDescent="0.25">
      <c r="A5906" s="1" t="s">
        <v>14404</v>
      </c>
      <c r="B5906" s="3" t="s">
        <v>9522</v>
      </c>
      <c r="C5906" s="2">
        <f ca="1">IF(ISNUMBER(SEARCH(Лист2!$B$4,D:D)),MAX($C$3:OFFSET(C5906,-1,0))+1,0)</f>
        <v>0</v>
      </c>
      <c r="E5906" s="9" t="str">
        <f t="shared" ca="1" si="104"/>
        <v/>
      </c>
      <c r="F5906" s="4" t="s">
        <v>37</v>
      </c>
      <c r="G5906" s="2">
        <f>IF(ISNUMBER(SEARCH(Лист2!$B$4,F:F)),1,0)</f>
        <v>1</v>
      </c>
      <c r="H5906" s="3">
        <f ca="1">IF(AND(I5906&lt;&gt;I5905,ISNUMBER(SEARCH(Лист2!$B$5,I:I)),G5906=1),MAX($H$3:OFFSET(H5906,-1,0))+1,0)</f>
        <v>0</v>
      </c>
      <c r="I5906" s="3" t="s">
        <v>483</v>
      </c>
      <c r="K5906" s="2">
        <f>IF(ISNUMBER(SEARCH(Лист2!$B$4,F:F)),1,0)</f>
        <v>1</v>
      </c>
      <c r="L5906" s="14">
        <f>IF(ISNUMBER(SEARCH(Лист2!$B$5,I:I)),1,0)+K5906</f>
        <v>1</v>
      </c>
      <c r="M5906" s="3">
        <f ca="1">IF(AND(N5906&lt;&gt;N5905,ISNUMBER(SEARCH(Лист2!$B$6,N:N)),L5906=2),MAX($M$3:OFFSET(M5906,-1,0))+1,0)</f>
        <v>0</v>
      </c>
      <c r="N5906" s="3" t="s">
        <v>3465</v>
      </c>
    </row>
    <row r="5907" spans="1:14" x14ac:dyDescent="0.25">
      <c r="A5907" s="1" t="s">
        <v>14405</v>
      </c>
      <c r="B5907" s="3" t="s">
        <v>9523</v>
      </c>
      <c r="C5907" s="2">
        <f ca="1">IF(ISNUMBER(SEARCH(Лист2!$B$4,D:D)),MAX($C$3:OFFSET(C5907,-1,0))+1,0)</f>
        <v>0</v>
      </c>
      <c r="E5907" s="9" t="str">
        <f t="shared" ca="1" si="104"/>
        <v/>
      </c>
      <c r="F5907" s="4" t="s">
        <v>37</v>
      </c>
      <c r="G5907" s="2">
        <f>IF(ISNUMBER(SEARCH(Лист2!$B$4,F:F)),1,0)</f>
        <v>1</v>
      </c>
      <c r="H5907" s="3">
        <f ca="1">IF(AND(I5907&lt;&gt;I5906,ISNUMBER(SEARCH(Лист2!$B$5,I:I)),G5907=1),MAX($H$3:OFFSET(H5907,-1,0))+1,0)</f>
        <v>0</v>
      </c>
      <c r="I5907" s="3" t="s">
        <v>483</v>
      </c>
      <c r="K5907" s="2">
        <f>IF(ISNUMBER(SEARCH(Лист2!$B$4,F:F)),1,0)</f>
        <v>1</v>
      </c>
      <c r="L5907" s="14">
        <f>IF(ISNUMBER(SEARCH(Лист2!$B$5,I:I)),1,0)+K5907</f>
        <v>1</v>
      </c>
      <c r="M5907" s="3">
        <f ca="1">IF(AND(N5907&lt;&gt;N5906,ISNUMBER(SEARCH(Лист2!$B$6,N:N)),L5907=2),MAX($M$3:OFFSET(M5907,-1,0))+1,0)</f>
        <v>0</v>
      </c>
      <c r="N5907" s="3" t="s">
        <v>3466</v>
      </c>
    </row>
    <row r="5908" spans="1:14" x14ac:dyDescent="0.25">
      <c r="A5908" s="1" t="s">
        <v>14406</v>
      </c>
      <c r="B5908" s="3" t="s">
        <v>9524</v>
      </c>
      <c r="C5908" s="2">
        <f ca="1">IF(ISNUMBER(SEARCH(Лист2!$B$4,D:D)),MAX($C$3:OFFSET(C5908,-1,0))+1,0)</f>
        <v>0</v>
      </c>
      <c r="E5908" s="9" t="str">
        <f t="shared" ca="1" si="104"/>
        <v/>
      </c>
      <c r="F5908" s="4" t="s">
        <v>37</v>
      </c>
      <c r="G5908" s="2">
        <f>IF(ISNUMBER(SEARCH(Лист2!$B$4,F:F)),1,0)</f>
        <v>1</v>
      </c>
      <c r="H5908" s="3">
        <f ca="1">IF(AND(I5908&lt;&gt;I5907,ISNUMBER(SEARCH(Лист2!$B$5,I:I)),G5908=1),MAX($H$3:OFFSET(H5908,-1,0))+1,0)</f>
        <v>0</v>
      </c>
      <c r="I5908" s="3" t="s">
        <v>483</v>
      </c>
      <c r="K5908" s="2">
        <f>IF(ISNUMBER(SEARCH(Лист2!$B$4,F:F)),1,0)</f>
        <v>1</v>
      </c>
      <c r="L5908" s="14">
        <f>IF(ISNUMBER(SEARCH(Лист2!$B$5,I:I)),1,0)+K5908</f>
        <v>1</v>
      </c>
      <c r="M5908" s="3">
        <f ca="1">IF(AND(N5908&lt;&gt;N5907,ISNUMBER(SEARCH(Лист2!$B$6,N:N)),L5908=2),MAX($M$3:OFFSET(M5908,-1,0))+1,0)</f>
        <v>0</v>
      </c>
      <c r="N5908" s="3" t="s">
        <v>3467</v>
      </c>
    </row>
    <row r="5909" spans="1:14" x14ac:dyDescent="0.25">
      <c r="A5909" s="1" t="s">
        <v>14407</v>
      </c>
      <c r="B5909" s="3" t="s">
        <v>9525</v>
      </c>
      <c r="C5909" s="2">
        <f ca="1">IF(ISNUMBER(SEARCH(Лист2!$B$4,D:D)),MAX($C$3:OFFSET(C5909,-1,0))+1,0)</f>
        <v>0</v>
      </c>
      <c r="E5909" s="9" t="str">
        <f t="shared" ca="1" si="104"/>
        <v/>
      </c>
      <c r="F5909" s="4" t="s">
        <v>37</v>
      </c>
      <c r="G5909" s="2">
        <f>IF(ISNUMBER(SEARCH(Лист2!$B$4,F:F)),1,0)</f>
        <v>1</v>
      </c>
      <c r="H5909" s="3">
        <f ca="1">IF(AND(I5909&lt;&gt;I5908,ISNUMBER(SEARCH(Лист2!$B$5,I:I)),G5909=1),MAX($H$3:OFFSET(H5909,-1,0))+1,0)</f>
        <v>0</v>
      </c>
      <c r="I5909" s="3" t="s">
        <v>483</v>
      </c>
      <c r="K5909" s="2">
        <f>IF(ISNUMBER(SEARCH(Лист2!$B$4,F:F)),1,0)</f>
        <v>1</v>
      </c>
      <c r="L5909" s="14">
        <f>IF(ISNUMBER(SEARCH(Лист2!$B$5,I:I)),1,0)+K5909</f>
        <v>1</v>
      </c>
      <c r="M5909" s="3">
        <f ca="1">IF(AND(N5909&lt;&gt;N5908,ISNUMBER(SEARCH(Лист2!$B$6,N:N)),L5909=2),MAX($M$3:OFFSET(M5909,-1,0))+1,0)</f>
        <v>0</v>
      </c>
      <c r="N5909" s="3" t="s">
        <v>602</v>
      </c>
    </row>
    <row r="5910" spans="1:14" x14ac:dyDescent="0.25">
      <c r="A5910" s="1" t="s">
        <v>14408</v>
      </c>
      <c r="B5910" s="3" t="s">
        <v>9526</v>
      </c>
      <c r="C5910" s="2">
        <f ca="1">IF(ISNUMBER(SEARCH(Лист2!$B$4,D:D)),MAX($C$3:OFFSET(C5910,-1,0))+1,0)</f>
        <v>0</v>
      </c>
      <c r="E5910" s="9" t="str">
        <f t="shared" ca="1" si="104"/>
        <v/>
      </c>
      <c r="F5910" s="4" t="s">
        <v>37</v>
      </c>
      <c r="G5910" s="2">
        <f>IF(ISNUMBER(SEARCH(Лист2!$B$4,F:F)),1,0)</f>
        <v>1</v>
      </c>
      <c r="H5910" s="3">
        <f ca="1">IF(AND(I5910&lt;&gt;I5909,ISNUMBER(SEARCH(Лист2!$B$5,I:I)),G5910=1),MAX($H$3:OFFSET(H5910,-1,0))+1,0)</f>
        <v>0</v>
      </c>
      <c r="I5910" s="3" t="s">
        <v>483</v>
      </c>
      <c r="K5910" s="2">
        <f>IF(ISNUMBER(SEARCH(Лист2!$B$4,F:F)),1,0)</f>
        <v>1</v>
      </c>
      <c r="L5910" s="14">
        <f>IF(ISNUMBER(SEARCH(Лист2!$B$5,I:I)),1,0)+K5910</f>
        <v>1</v>
      </c>
      <c r="M5910" s="3">
        <f ca="1">IF(AND(N5910&lt;&gt;N5909,ISNUMBER(SEARCH(Лист2!$B$6,N:N)),L5910=2),MAX($M$3:OFFSET(M5910,-1,0))+1,0)</f>
        <v>0</v>
      </c>
      <c r="N5910" s="3" t="s">
        <v>3468</v>
      </c>
    </row>
    <row r="5911" spans="1:14" x14ac:dyDescent="0.25">
      <c r="A5911" s="1" t="s">
        <v>14409</v>
      </c>
      <c r="B5911" s="3" t="s">
        <v>9527</v>
      </c>
      <c r="C5911" s="2">
        <f ca="1">IF(ISNUMBER(SEARCH(Лист2!$B$4,D:D)),MAX($C$3:OFFSET(C5911,-1,0))+1,0)</f>
        <v>0</v>
      </c>
      <c r="E5911" s="9" t="str">
        <f t="shared" ca="1" si="104"/>
        <v/>
      </c>
      <c r="F5911" s="4" t="s">
        <v>37</v>
      </c>
      <c r="G5911" s="2">
        <f>IF(ISNUMBER(SEARCH(Лист2!$B$4,F:F)),1,0)</f>
        <v>1</v>
      </c>
      <c r="H5911" s="3">
        <f ca="1">IF(AND(I5911&lt;&gt;I5910,ISNUMBER(SEARCH(Лист2!$B$5,I:I)),G5911=1),MAX($H$3:OFFSET(H5911,-1,0))+1,0)</f>
        <v>0</v>
      </c>
      <c r="I5911" s="3" t="s">
        <v>484</v>
      </c>
      <c r="K5911" s="2">
        <f>IF(ISNUMBER(SEARCH(Лист2!$B$4,F:F)),1,0)</f>
        <v>1</v>
      </c>
      <c r="L5911" s="14">
        <f>IF(ISNUMBER(SEARCH(Лист2!$B$5,I:I)),1,0)+K5911</f>
        <v>1</v>
      </c>
      <c r="M5911" s="3">
        <f ca="1">IF(AND(N5911&lt;&gt;N5910,ISNUMBER(SEARCH(Лист2!$B$6,N:N)),L5911=2),MAX($M$3:OFFSET(M5911,-1,0))+1,0)</f>
        <v>0</v>
      </c>
      <c r="N5911" s="3" t="s">
        <v>3469</v>
      </c>
    </row>
    <row r="5912" spans="1:14" x14ac:dyDescent="0.25">
      <c r="A5912" s="1" t="s">
        <v>14410</v>
      </c>
      <c r="B5912" s="3" t="s">
        <v>9528</v>
      </c>
      <c r="C5912" s="2">
        <f ca="1">IF(ISNUMBER(SEARCH(Лист2!$B$4,D:D)),MAX($C$3:OFFSET(C5912,-1,0))+1,0)</f>
        <v>0</v>
      </c>
      <c r="E5912" s="9" t="str">
        <f t="shared" ca="1" si="104"/>
        <v/>
      </c>
      <c r="F5912" s="4" t="s">
        <v>37</v>
      </c>
      <c r="G5912" s="2">
        <f>IF(ISNUMBER(SEARCH(Лист2!$B$4,F:F)),1,0)</f>
        <v>1</v>
      </c>
      <c r="H5912" s="3">
        <f ca="1">IF(AND(I5912&lt;&gt;I5911,ISNUMBER(SEARCH(Лист2!$B$5,I:I)),G5912=1),MAX($H$3:OFFSET(H5912,-1,0))+1,0)</f>
        <v>0</v>
      </c>
      <c r="I5912" s="3" t="s">
        <v>484</v>
      </c>
      <c r="K5912" s="2">
        <f>IF(ISNUMBER(SEARCH(Лист2!$B$4,F:F)),1,0)</f>
        <v>1</v>
      </c>
      <c r="L5912" s="14">
        <f>IF(ISNUMBER(SEARCH(Лист2!$B$5,I:I)),1,0)+K5912</f>
        <v>1</v>
      </c>
      <c r="M5912" s="3">
        <f ca="1">IF(AND(N5912&lt;&gt;N5911,ISNUMBER(SEARCH(Лист2!$B$6,N:N)),L5912=2),MAX($M$3:OFFSET(M5912,-1,0))+1,0)</f>
        <v>0</v>
      </c>
      <c r="N5912" s="3" t="s">
        <v>3470</v>
      </c>
    </row>
    <row r="5913" spans="1:14" x14ac:dyDescent="0.25">
      <c r="A5913" s="1" t="s">
        <v>14411</v>
      </c>
      <c r="B5913" s="3" t="s">
        <v>9529</v>
      </c>
      <c r="C5913" s="2">
        <f ca="1">IF(ISNUMBER(SEARCH(Лист2!$B$4,D:D)),MAX($C$3:OFFSET(C5913,-1,0))+1,0)</f>
        <v>0</v>
      </c>
      <c r="E5913" s="9" t="str">
        <f t="shared" ca="1" si="104"/>
        <v/>
      </c>
      <c r="F5913" s="4" t="s">
        <v>37</v>
      </c>
      <c r="G5913" s="2">
        <f>IF(ISNUMBER(SEARCH(Лист2!$B$4,F:F)),1,0)</f>
        <v>1</v>
      </c>
      <c r="H5913" s="3">
        <f ca="1">IF(AND(I5913&lt;&gt;I5912,ISNUMBER(SEARCH(Лист2!$B$5,I:I)),G5913=1),MAX($H$3:OFFSET(H5913,-1,0))+1,0)</f>
        <v>0</v>
      </c>
      <c r="I5913" s="3" t="s">
        <v>484</v>
      </c>
      <c r="K5913" s="2">
        <f>IF(ISNUMBER(SEARCH(Лист2!$B$4,F:F)),1,0)</f>
        <v>1</v>
      </c>
      <c r="L5913" s="14">
        <f>IF(ISNUMBER(SEARCH(Лист2!$B$5,I:I)),1,0)+K5913</f>
        <v>1</v>
      </c>
      <c r="M5913" s="3">
        <f ca="1">IF(AND(N5913&lt;&gt;N5912,ISNUMBER(SEARCH(Лист2!$B$6,N:N)),L5913=2),MAX($M$3:OFFSET(M5913,-1,0))+1,0)</f>
        <v>0</v>
      </c>
      <c r="N5913" s="3" t="s">
        <v>3471</v>
      </c>
    </row>
    <row r="5914" spans="1:14" x14ac:dyDescent="0.25">
      <c r="A5914" s="1" t="s">
        <v>14411</v>
      </c>
      <c r="B5914" s="3" t="s">
        <v>9530</v>
      </c>
      <c r="C5914" s="2">
        <f ca="1">IF(ISNUMBER(SEARCH(Лист2!$B$4,D:D)),MAX($C$3:OFFSET(C5914,-1,0))+1,0)</f>
        <v>0</v>
      </c>
      <c r="E5914" s="9" t="str">
        <f t="shared" ca="1" si="104"/>
        <v/>
      </c>
      <c r="F5914" s="4" t="s">
        <v>37</v>
      </c>
      <c r="G5914" s="2">
        <f>IF(ISNUMBER(SEARCH(Лист2!$B$4,F:F)),1,0)</f>
        <v>1</v>
      </c>
      <c r="H5914" s="3">
        <f ca="1">IF(AND(I5914&lt;&gt;I5913,ISNUMBER(SEARCH(Лист2!$B$5,I:I)),G5914=1),MAX($H$3:OFFSET(H5914,-1,0))+1,0)</f>
        <v>0</v>
      </c>
      <c r="I5914" s="3" t="s">
        <v>484</v>
      </c>
      <c r="K5914" s="2">
        <f>IF(ISNUMBER(SEARCH(Лист2!$B$4,F:F)),1,0)</f>
        <v>1</v>
      </c>
      <c r="L5914" s="14">
        <f>IF(ISNUMBER(SEARCH(Лист2!$B$5,I:I)),1,0)+K5914</f>
        <v>1</v>
      </c>
      <c r="M5914" s="3">
        <f ca="1">IF(AND(N5914&lt;&gt;N5913,ISNUMBER(SEARCH(Лист2!$B$6,N:N)),L5914=2),MAX($M$3:OFFSET(M5914,-1,0))+1,0)</f>
        <v>0</v>
      </c>
      <c r="N5914" s="3" t="s">
        <v>3471</v>
      </c>
    </row>
    <row r="5915" spans="1:14" x14ac:dyDescent="0.25">
      <c r="A5915" s="1" t="s">
        <v>14411</v>
      </c>
      <c r="B5915" s="3" t="s">
        <v>9531</v>
      </c>
      <c r="C5915" s="2">
        <f ca="1">IF(ISNUMBER(SEARCH(Лист2!$B$4,D:D)),MAX($C$3:OFFSET(C5915,-1,0))+1,0)</f>
        <v>0</v>
      </c>
      <c r="E5915" s="9" t="str">
        <f t="shared" ca="1" si="104"/>
        <v/>
      </c>
      <c r="F5915" s="4" t="s">
        <v>37</v>
      </c>
      <c r="G5915" s="2">
        <f>IF(ISNUMBER(SEARCH(Лист2!$B$4,F:F)),1,0)</f>
        <v>1</v>
      </c>
      <c r="H5915" s="3">
        <f ca="1">IF(AND(I5915&lt;&gt;I5914,ISNUMBER(SEARCH(Лист2!$B$5,I:I)),G5915=1),MAX($H$3:OFFSET(H5915,-1,0))+1,0)</f>
        <v>0</v>
      </c>
      <c r="I5915" s="3" t="s">
        <v>484</v>
      </c>
      <c r="K5915" s="2">
        <f>IF(ISNUMBER(SEARCH(Лист2!$B$4,F:F)),1,0)</f>
        <v>1</v>
      </c>
      <c r="L5915" s="14">
        <f>IF(ISNUMBER(SEARCH(Лист2!$B$5,I:I)),1,0)+K5915</f>
        <v>1</v>
      </c>
      <c r="M5915" s="3">
        <f ca="1">IF(AND(N5915&lt;&gt;N5914,ISNUMBER(SEARCH(Лист2!$B$6,N:N)),L5915=2),MAX($M$3:OFFSET(M5915,-1,0))+1,0)</f>
        <v>0</v>
      </c>
      <c r="N5915" s="3" t="s">
        <v>3471</v>
      </c>
    </row>
    <row r="5916" spans="1:14" x14ac:dyDescent="0.25">
      <c r="A5916" s="1" t="s">
        <v>14412</v>
      </c>
      <c r="B5916" s="3" t="s">
        <v>9532</v>
      </c>
      <c r="C5916" s="2">
        <f ca="1">IF(ISNUMBER(SEARCH(Лист2!$B$4,D:D)),MAX($C$3:OFFSET(C5916,-1,0))+1,0)</f>
        <v>0</v>
      </c>
      <c r="E5916" s="9" t="str">
        <f t="shared" ca="1" si="104"/>
        <v/>
      </c>
      <c r="F5916" s="4" t="s">
        <v>37</v>
      </c>
      <c r="G5916" s="2">
        <f>IF(ISNUMBER(SEARCH(Лист2!$B$4,F:F)),1,0)</f>
        <v>1</v>
      </c>
      <c r="H5916" s="3">
        <f ca="1">IF(AND(I5916&lt;&gt;I5915,ISNUMBER(SEARCH(Лист2!$B$5,I:I)),G5916=1),MAX($H$3:OFFSET(H5916,-1,0))+1,0)</f>
        <v>0</v>
      </c>
      <c r="I5916" s="3" t="s">
        <v>484</v>
      </c>
      <c r="K5916" s="2">
        <f>IF(ISNUMBER(SEARCH(Лист2!$B$4,F:F)),1,0)</f>
        <v>1</v>
      </c>
      <c r="L5916" s="14">
        <f>IF(ISNUMBER(SEARCH(Лист2!$B$5,I:I)),1,0)+K5916</f>
        <v>1</v>
      </c>
      <c r="M5916" s="3">
        <f ca="1">IF(AND(N5916&lt;&gt;N5915,ISNUMBER(SEARCH(Лист2!$B$6,N:N)),L5916=2),MAX($M$3:OFFSET(M5916,-1,0))+1,0)</f>
        <v>0</v>
      </c>
      <c r="N5916" s="3" t="s">
        <v>3472</v>
      </c>
    </row>
    <row r="5917" spans="1:14" x14ac:dyDescent="0.25">
      <c r="A5917" s="1" t="s">
        <v>14412</v>
      </c>
      <c r="B5917" s="3" t="s">
        <v>9533</v>
      </c>
      <c r="C5917" s="2">
        <f ca="1">IF(ISNUMBER(SEARCH(Лист2!$B$4,D:D)),MAX($C$3:OFFSET(C5917,-1,0))+1,0)</f>
        <v>0</v>
      </c>
      <c r="E5917" s="9" t="str">
        <f t="shared" ca="1" si="104"/>
        <v/>
      </c>
      <c r="F5917" s="4" t="s">
        <v>37</v>
      </c>
      <c r="G5917" s="2">
        <f>IF(ISNUMBER(SEARCH(Лист2!$B$4,F:F)),1,0)</f>
        <v>1</v>
      </c>
      <c r="H5917" s="3">
        <f ca="1">IF(AND(I5917&lt;&gt;I5916,ISNUMBER(SEARCH(Лист2!$B$5,I:I)),G5917=1),MAX($H$3:OFFSET(H5917,-1,0))+1,0)</f>
        <v>0</v>
      </c>
      <c r="I5917" s="3" t="s">
        <v>484</v>
      </c>
      <c r="K5917" s="2">
        <f>IF(ISNUMBER(SEARCH(Лист2!$B$4,F:F)),1,0)</f>
        <v>1</v>
      </c>
      <c r="L5917" s="14">
        <f>IF(ISNUMBER(SEARCH(Лист2!$B$5,I:I)),1,0)+K5917</f>
        <v>1</v>
      </c>
      <c r="M5917" s="3">
        <f ca="1">IF(AND(N5917&lt;&gt;N5916,ISNUMBER(SEARCH(Лист2!$B$6,N:N)),L5917=2),MAX($M$3:OFFSET(M5917,-1,0))+1,0)</f>
        <v>0</v>
      </c>
      <c r="N5917" s="3" t="s">
        <v>3472</v>
      </c>
    </row>
    <row r="5918" spans="1:14" x14ac:dyDescent="0.25">
      <c r="A5918" s="1" t="s">
        <v>14412</v>
      </c>
      <c r="B5918" s="3" t="s">
        <v>9534</v>
      </c>
      <c r="C5918" s="2">
        <f ca="1">IF(ISNUMBER(SEARCH(Лист2!$B$4,D:D)),MAX($C$3:OFFSET(C5918,-1,0))+1,0)</f>
        <v>0</v>
      </c>
      <c r="E5918" s="9" t="str">
        <f t="shared" ca="1" si="104"/>
        <v/>
      </c>
      <c r="F5918" s="4" t="s">
        <v>37</v>
      </c>
      <c r="G5918" s="2">
        <f>IF(ISNUMBER(SEARCH(Лист2!$B$4,F:F)),1,0)</f>
        <v>1</v>
      </c>
      <c r="H5918" s="3">
        <f ca="1">IF(AND(I5918&lt;&gt;I5917,ISNUMBER(SEARCH(Лист2!$B$5,I:I)),G5918=1),MAX($H$3:OFFSET(H5918,-1,0))+1,0)</f>
        <v>0</v>
      </c>
      <c r="I5918" s="3" t="s">
        <v>484</v>
      </c>
      <c r="K5918" s="2">
        <f>IF(ISNUMBER(SEARCH(Лист2!$B$4,F:F)),1,0)</f>
        <v>1</v>
      </c>
      <c r="L5918" s="14">
        <f>IF(ISNUMBER(SEARCH(Лист2!$B$5,I:I)),1,0)+K5918</f>
        <v>1</v>
      </c>
      <c r="M5918" s="3">
        <f ca="1">IF(AND(N5918&lt;&gt;N5917,ISNUMBER(SEARCH(Лист2!$B$6,N:N)),L5918=2),MAX($M$3:OFFSET(M5918,-1,0))+1,0)</f>
        <v>0</v>
      </c>
      <c r="N5918" s="3" t="s">
        <v>3472</v>
      </c>
    </row>
    <row r="5919" spans="1:14" x14ac:dyDescent="0.25">
      <c r="A5919" s="1" t="s">
        <v>14413</v>
      </c>
      <c r="B5919" s="3" t="s">
        <v>9535</v>
      </c>
      <c r="C5919" s="2">
        <f ca="1">IF(ISNUMBER(SEARCH(Лист2!$B$4,D:D)),MAX($C$3:OFFSET(C5919,-1,0))+1,0)</f>
        <v>0</v>
      </c>
      <c r="E5919" s="9" t="str">
        <f t="shared" ca="1" si="104"/>
        <v/>
      </c>
      <c r="F5919" s="4" t="s">
        <v>37</v>
      </c>
      <c r="G5919" s="2">
        <f>IF(ISNUMBER(SEARCH(Лист2!$B$4,F:F)),1,0)</f>
        <v>1</v>
      </c>
      <c r="H5919" s="3">
        <f ca="1">IF(AND(I5919&lt;&gt;I5918,ISNUMBER(SEARCH(Лист2!$B$5,I:I)),G5919=1),MAX($H$3:OFFSET(H5919,-1,0))+1,0)</f>
        <v>0</v>
      </c>
      <c r="I5919" s="3" t="s">
        <v>484</v>
      </c>
      <c r="K5919" s="2">
        <f>IF(ISNUMBER(SEARCH(Лист2!$B$4,F:F)),1,0)</f>
        <v>1</v>
      </c>
      <c r="L5919" s="14">
        <f>IF(ISNUMBER(SEARCH(Лист2!$B$5,I:I)),1,0)+K5919</f>
        <v>1</v>
      </c>
      <c r="M5919" s="3">
        <f ca="1">IF(AND(N5919&lt;&gt;N5918,ISNUMBER(SEARCH(Лист2!$B$6,N:N)),L5919=2),MAX($M$3:OFFSET(M5919,-1,0))+1,0)</f>
        <v>0</v>
      </c>
      <c r="N5919" s="3" t="s">
        <v>3473</v>
      </c>
    </row>
    <row r="5920" spans="1:14" x14ac:dyDescent="0.25">
      <c r="A5920" s="1" t="s">
        <v>14413</v>
      </c>
      <c r="B5920" s="3" t="s">
        <v>9536</v>
      </c>
      <c r="C5920" s="2">
        <f ca="1">IF(ISNUMBER(SEARCH(Лист2!$B$4,D:D)),MAX($C$3:OFFSET(C5920,-1,0))+1,0)</f>
        <v>0</v>
      </c>
      <c r="E5920" s="9" t="str">
        <f t="shared" ca="1" si="104"/>
        <v/>
      </c>
      <c r="F5920" s="4" t="s">
        <v>37</v>
      </c>
      <c r="G5920" s="2">
        <f>IF(ISNUMBER(SEARCH(Лист2!$B$4,F:F)),1,0)</f>
        <v>1</v>
      </c>
      <c r="H5920" s="3">
        <f ca="1">IF(AND(I5920&lt;&gt;I5919,ISNUMBER(SEARCH(Лист2!$B$5,I:I)),G5920=1),MAX($H$3:OFFSET(H5920,-1,0))+1,0)</f>
        <v>0</v>
      </c>
      <c r="I5920" s="3" t="s">
        <v>484</v>
      </c>
      <c r="K5920" s="2">
        <f>IF(ISNUMBER(SEARCH(Лист2!$B$4,F:F)),1,0)</f>
        <v>1</v>
      </c>
      <c r="L5920" s="14">
        <f>IF(ISNUMBER(SEARCH(Лист2!$B$5,I:I)),1,0)+K5920</f>
        <v>1</v>
      </c>
      <c r="M5920" s="3">
        <f ca="1">IF(AND(N5920&lt;&gt;N5919,ISNUMBER(SEARCH(Лист2!$B$6,N:N)),L5920=2),MAX($M$3:OFFSET(M5920,-1,0))+1,0)</f>
        <v>0</v>
      </c>
      <c r="N5920" s="3" t="s">
        <v>3473</v>
      </c>
    </row>
    <row r="5921" spans="1:14" x14ac:dyDescent="0.25">
      <c r="A5921" s="1" t="s">
        <v>14413</v>
      </c>
      <c r="B5921" s="3" t="s">
        <v>9537</v>
      </c>
      <c r="C5921" s="2">
        <f ca="1">IF(ISNUMBER(SEARCH(Лист2!$B$4,D:D)),MAX($C$3:OFFSET(C5921,-1,0))+1,0)</f>
        <v>0</v>
      </c>
      <c r="E5921" s="9" t="str">
        <f t="shared" ca="1" si="104"/>
        <v/>
      </c>
      <c r="F5921" s="4" t="s">
        <v>37</v>
      </c>
      <c r="G5921" s="2">
        <f>IF(ISNUMBER(SEARCH(Лист2!$B$4,F:F)),1,0)</f>
        <v>1</v>
      </c>
      <c r="H5921" s="3">
        <f ca="1">IF(AND(I5921&lt;&gt;I5920,ISNUMBER(SEARCH(Лист2!$B$5,I:I)),G5921=1),MAX($H$3:OFFSET(H5921,-1,0))+1,0)</f>
        <v>0</v>
      </c>
      <c r="I5921" s="3" t="s">
        <v>484</v>
      </c>
      <c r="K5921" s="2">
        <f>IF(ISNUMBER(SEARCH(Лист2!$B$4,F:F)),1,0)</f>
        <v>1</v>
      </c>
      <c r="L5921" s="14">
        <f>IF(ISNUMBER(SEARCH(Лист2!$B$5,I:I)),1,0)+K5921</f>
        <v>1</v>
      </c>
      <c r="M5921" s="3">
        <f ca="1">IF(AND(N5921&lt;&gt;N5920,ISNUMBER(SEARCH(Лист2!$B$6,N:N)),L5921=2),MAX($M$3:OFFSET(M5921,-1,0))+1,0)</f>
        <v>0</v>
      </c>
      <c r="N5921" s="3" t="s">
        <v>3473</v>
      </c>
    </row>
    <row r="5922" spans="1:14" x14ac:dyDescent="0.25">
      <c r="A5922" s="1" t="s">
        <v>14414</v>
      </c>
      <c r="B5922" s="3" t="s">
        <v>9538</v>
      </c>
      <c r="C5922" s="2">
        <f ca="1">IF(ISNUMBER(SEARCH(Лист2!$B$4,D:D)),MAX($C$3:OFFSET(C5922,-1,0))+1,0)</f>
        <v>0</v>
      </c>
      <c r="E5922" s="9" t="str">
        <f t="shared" ca="1" si="104"/>
        <v/>
      </c>
      <c r="F5922" s="4" t="s">
        <v>37</v>
      </c>
      <c r="G5922" s="2">
        <f>IF(ISNUMBER(SEARCH(Лист2!$B$4,F:F)),1,0)</f>
        <v>1</v>
      </c>
      <c r="H5922" s="3">
        <f ca="1">IF(AND(I5922&lt;&gt;I5921,ISNUMBER(SEARCH(Лист2!$B$5,I:I)),G5922=1),MAX($H$3:OFFSET(H5922,-1,0))+1,0)</f>
        <v>0</v>
      </c>
      <c r="I5922" s="3" t="s">
        <v>484</v>
      </c>
      <c r="K5922" s="2">
        <f>IF(ISNUMBER(SEARCH(Лист2!$B$4,F:F)),1,0)</f>
        <v>1</v>
      </c>
      <c r="L5922" s="14">
        <f>IF(ISNUMBER(SEARCH(Лист2!$B$5,I:I)),1,0)+K5922</f>
        <v>1</v>
      </c>
      <c r="M5922" s="3">
        <f ca="1">IF(AND(N5922&lt;&gt;N5921,ISNUMBER(SEARCH(Лист2!$B$6,N:N)),L5922=2),MAX($M$3:OFFSET(M5922,-1,0))+1,0)</f>
        <v>0</v>
      </c>
      <c r="N5922" s="3" t="s">
        <v>3464</v>
      </c>
    </row>
    <row r="5923" spans="1:14" x14ac:dyDescent="0.25">
      <c r="A5923" s="1" t="s">
        <v>14415</v>
      </c>
      <c r="B5923" s="3" t="s">
        <v>9539</v>
      </c>
      <c r="C5923" s="2">
        <f ca="1">IF(ISNUMBER(SEARCH(Лист2!$B$4,D:D)),MAX($C$3:OFFSET(C5923,-1,0))+1,0)</f>
        <v>0</v>
      </c>
      <c r="E5923" s="9" t="str">
        <f t="shared" ca="1" si="104"/>
        <v/>
      </c>
      <c r="F5923" s="4" t="s">
        <v>37</v>
      </c>
      <c r="G5923" s="2">
        <f>IF(ISNUMBER(SEARCH(Лист2!$B$4,F:F)),1,0)</f>
        <v>1</v>
      </c>
      <c r="H5923" s="3">
        <f ca="1">IF(AND(I5923&lt;&gt;I5922,ISNUMBER(SEARCH(Лист2!$B$5,I:I)),G5923=1),MAX($H$3:OFFSET(H5923,-1,0))+1,0)</f>
        <v>0</v>
      </c>
      <c r="I5923" s="3" t="s">
        <v>484</v>
      </c>
      <c r="K5923" s="2">
        <f>IF(ISNUMBER(SEARCH(Лист2!$B$4,F:F)),1,0)</f>
        <v>1</v>
      </c>
      <c r="L5923" s="14">
        <f>IF(ISNUMBER(SEARCH(Лист2!$B$5,I:I)),1,0)+K5923</f>
        <v>1</v>
      </c>
      <c r="M5923" s="3">
        <f ca="1">IF(AND(N5923&lt;&gt;N5922,ISNUMBER(SEARCH(Лист2!$B$6,N:N)),L5923=2),MAX($M$3:OFFSET(M5923,-1,0))+1,0)</f>
        <v>0</v>
      </c>
      <c r="N5923" s="3" t="s">
        <v>3465</v>
      </c>
    </row>
    <row r="5924" spans="1:14" x14ac:dyDescent="0.25">
      <c r="A5924" s="1" t="s">
        <v>14416</v>
      </c>
      <c r="B5924" s="3" t="s">
        <v>9540</v>
      </c>
      <c r="C5924" s="2">
        <f ca="1">IF(ISNUMBER(SEARCH(Лист2!$B$4,D:D)),MAX($C$3:OFFSET(C5924,-1,0))+1,0)</f>
        <v>0</v>
      </c>
      <c r="E5924" s="9" t="str">
        <f t="shared" ca="1" si="104"/>
        <v/>
      </c>
      <c r="F5924" s="4" t="s">
        <v>37</v>
      </c>
      <c r="G5924" s="2">
        <f>IF(ISNUMBER(SEARCH(Лист2!$B$4,F:F)),1,0)</f>
        <v>1</v>
      </c>
      <c r="H5924" s="3">
        <f ca="1">IF(AND(I5924&lt;&gt;I5923,ISNUMBER(SEARCH(Лист2!$B$5,I:I)),G5924=1),MAX($H$3:OFFSET(H5924,-1,0))+1,0)</f>
        <v>0</v>
      </c>
      <c r="I5924" s="3" t="s">
        <v>484</v>
      </c>
      <c r="K5924" s="2">
        <f>IF(ISNUMBER(SEARCH(Лист2!$B$4,F:F)),1,0)</f>
        <v>1</v>
      </c>
      <c r="L5924" s="14">
        <f>IF(ISNUMBER(SEARCH(Лист2!$B$5,I:I)),1,0)+K5924</f>
        <v>1</v>
      </c>
      <c r="M5924" s="3">
        <f ca="1">IF(AND(N5924&lt;&gt;N5923,ISNUMBER(SEARCH(Лист2!$B$6,N:N)),L5924=2),MAX($M$3:OFFSET(M5924,-1,0))+1,0)</f>
        <v>0</v>
      </c>
      <c r="N5924" s="3" t="s">
        <v>3474</v>
      </c>
    </row>
    <row r="5925" spans="1:14" x14ac:dyDescent="0.25">
      <c r="A5925" s="1" t="s">
        <v>14417</v>
      </c>
      <c r="B5925" s="3" t="s">
        <v>9541</v>
      </c>
      <c r="C5925" s="2">
        <f ca="1">IF(ISNUMBER(SEARCH(Лист2!$B$4,D:D)),MAX($C$3:OFFSET(C5925,-1,0))+1,0)</f>
        <v>0</v>
      </c>
      <c r="E5925" s="9" t="str">
        <f t="shared" ca="1" si="104"/>
        <v/>
      </c>
      <c r="F5925" s="4" t="s">
        <v>37</v>
      </c>
      <c r="G5925" s="2">
        <f>IF(ISNUMBER(SEARCH(Лист2!$B$4,F:F)),1,0)</f>
        <v>1</v>
      </c>
      <c r="H5925" s="3">
        <f ca="1">IF(AND(I5925&lt;&gt;I5924,ISNUMBER(SEARCH(Лист2!$B$5,I:I)),G5925=1),MAX($H$3:OFFSET(H5925,-1,0))+1,0)</f>
        <v>0</v>
      </c>
      <c r="I5925" s="3" t="s">
        <v>484</v>
      </c>
      <c r="K5925" s="2">
        <f>IF(ISNUMBER(SEARCH(Лист2!$B$4,F:F)),1,0)</f>
        <v>1</v>
      </c>
      <c r="L5925" s="14">
        <f>IF(ISNUMBER(SEARCH(Лист2!$B$5,I:I)),1,0)+K5925</f>
        <v>1</v>
      </c>
      <c r="M5925" s="3">
        <f ca="1">IF(AND(N5925&lt;&gt;N5924,ISNUMBER(SEARCH(Лист2!$B$6,N:N)),L5925=2),MAX($M$3:OFFSET(M5925,-1,0))+1,0)</f>
        <v>0</v>
      </c>
      <c r="N5925" s="3" t="s">
        <v>3475</v>
      </c>
    </row>
    <row r="5926" spans="1:14" x14ac:dyDescent="0.25">
      <c r="A5926" s="1" t="s">
        <v>14418</v>
      </c>
      <c r="B5926" s="3" t="s">
        <v>9542</v>
      </c>
      <c r="C5926" s="2">
        <f ca="1">IF(ISNUMBER(SEARCH(Лист2!$B$4,D:D)),MAX($C$3:OFFSET(C5926,-1,0))+1,0)</f>
        <v>0</v>
      </c>
      <c r="E5926" s="9" t="str">
        <f t="shared" ca="1" si="104"/>
        <v/>
      </c>
      <c r="F5926" s="4" t="s">
        <v>37</v>
      </c>
      <c r="G5926" s="2">
        <f>IF(ISNUMBER(SEARCH(Лист2!$B$4,F:F)),1,0)</f>
        <v>1</v>
      </c>
      <c r="H5926" s="3">
        <f ca="1">IF(AND(I5926&lt;&gt;I5925,ISNUMBER(SEARCH(Лист2!$B$5,I:I)),G5926=1),MAX($H$3:OFFSET(H5926,-1,0))+1,0)</f>
        <v>0</v>
      </c>
      <c r="I5926" s="3" t="s">
        <v>484</v>
      </c>
      <c r="K5926" s="2">
        <f>IF(ISNUMBER(SEARCH(Лист2!$B$4,F:F)),1,0)</f>
        <v>1</v>
      </c>
      <c r="L5926" s="14">
        <f>IF(ISNUMBER(SEARCH(Лист2!$B$5,I:I)),1,0)+K5926</f>
        <v>1</v>
      </c>
      <c r="M5926" s="3">
        <f ca="1">IF(AND(N5926&lt;&gt;N5925,ISNUMBER(SEARCH(Лист2!$B$6,N:N)),L5926=2),MAX($M$3:OFFSET(M5926,-1,0))+1,0)</f>
        <v>0</v>
      </c>
      <c r="N5926" s="3" t="s">
        <v>602</v>
      </c>
    </row>
    <row r="5927" spans="1:14" x14ac:dyDescent="0.25">
      <c r="A5927" s="1" t="s">
        <v>14419</v>
      </c>
      <c r="B5927" s="3" t="s">
        <v>9543</v>
      </c>
      <c r="C5927" s="2">
        <f ca="1">IF(ISNUMBER(SEARCH(Лист2!$B$4,D:D)),MAX($C$3:OFFSET(C5927,-1,0))+1,0)</f>
        <v>0</v>
      </c>
      <c r="E5927" s="9" t="str">
        <f t="shared" ca="1" si="104"/>
        <v/>
      </c>
      <c r="F5927" s="4" t="s">
        <v>37</v>
      </c>
      <c r="G5927" s="2">
        <f>IF(ISNUMBER(SEARCH(Лист2!$B$4,F:F)),1,0)</f>
        <v>1</v>
      </c>
      <c r="H5927" s="3">
        <f ca="1">IF(AND(I5927&lt;&gt;I5926,ISNUMBER(SEARCH(Лист2!$B$5,I:I)),G5927=1),MAX($H$3:OFFSET(H5927,-1,0))+1,0)</f>
        <v>0</v>
      </c>
      <c r="I5927" s="3" t="s">
        <v>484</v>
      </c>
      <c r="K5927" s="2">
        <f>IF(ISNUMBER(SEARCH(Лист2!$B$4,F:F)),1,0)</f>
        <v>1</v>
      </c>
      <c r="L5927" s="14">
        <f>IF(ISNUMBER(SEARCH(Лист2!$B$5,I:I)),1,0)+K5927</f>
        <v>1</v>
      </c>
      <c r="M5927" s="3">
        <f ca="1">IF(AND(N5927&lt;&gt;N5926,ISNUMBER(SEARCH(Лист2!$B$6,N:N)),L5927=2),MAX($M$3:OFFSET(M5927,-1,0))+1,0)</f>
        <v>0</v>
      </c>
      <c r="N5927" s="3" t="s">
        <v>3476</v>
      </c>
    </row>
    <row r="5928" spans="1:14" x14ac:dyDescent="0.25">
      <c r="A5928" s="1" t="s">
        <v>14420</v>
      </c>
      <c r="B5928" s="3" t="s">
        <v>9544</v>
      </c>
      <c r="C5928" s="2">
        <f ca="1">IF(ISNUMBER(SEARCH(Лист2!$B$4,D:D)),MAX($C$3:OFFSET(C5928,-1,0))+1,0)</f>
        <v>0</v>
      </c>
      <c r="E5928" s="9" t="str">
        <f t="shared" ca="1" si="104"/>
        <v/>
      </c>
      <c r="F5928" s="4" t="s">
        <v>37</v>
      </c>
      <c r="G5928" s="2">
        <f>IF(ISNUMBER(SEARCH(Лист2!$B$4,F:F)),1,0)</f>
        <v>1</v>
      </c>
      <c r="H5928" s="3">
        <f ca="1">IF(AND(I5928&lt;&gt;I5927,ISNUMBER(SEARCH(Лист2!$B$5,I:I)),G5928=1),MAX($H$3:OFFSET(H5928,-1,0))+1,0)</f>
        <v>1</v>
      </c>
      <c r="I5928" s="3" t="s">
        <v>439</v>
      </c>
      <c r="K5928" s="2">
        <f>IF(ISNUMBER(SEARCH(Лист2!$B$4,F:F)),1,0)</f>
        <v>1</v>
      </c>
      <c r="L5928" s="14">
        <f>IF(ISNUMBER(SEARCH(Лист2!$B$5,I:I)),1,0)+K5928</f>
        <v>2</v>
      </c>
      <c r="M5928" s="3">
        <f ca="1">IF(AND(N5928&lt;&gt;N5927,ISNUMBER(SEARCH(Лист2!$B$6,N:N)),L5928=2),MAX($M$3:OFFSET(M5928,-1,0))+1,0)</f>
        <v>0</v>
      </c>
      <c r="N5928" s="3" t="s">
        <v>3477</v>
      </c>
    </row>
    <row r="5929" spans="1:14" x14ac:dyDescent="0.25">
      <c r="A5929" s="1" t="s">
        <v>14421</v>
      </c>
      <c r="B5929" s="3" t="s">
        <v>9545</v>
      </c>
      <c r="C5929" s="2">
        <f ca="1">IF(ISNUMBER(SEARCH(Лист2!$B$4,D:D)),MAX($C$3:OFFSET(C5929,-1,0))+1,0)</f>
        <v>0</v>
      </c>
      <c r="E5929" s="9" t="str">
        <f t="shared" ca="1" si="104"/>
        <v/>
      </c>
      <c r="F5929" s="4" t="s">
        <v>37</v>
      </c>
      <c r="G5929" s="2">
        <f>IF(ISNUMBER(SEARCH(Лист2!$B$4,F:F)),1,0)</f>
        <v>1</v>
      </c>
      <c r="H5929" s="3">
        <f ca="1">IF(AND(I5929&lt;&gt;I5928,ISNUMBER(SEARCH(Лист2!$B$5,I:I)),G5929=1),MAX($H$3:OFFSET(H5929,-1,0))+1,0)</f>
        <v>0</v>
      </c>
      <c r="I5929" s="3" t="s">
        <v>439</v>
      </c>
      <c r="K5929" s="2">
        <f>IF(ISNUMBER(SEARCH(Лист2!$B$4,F:F)),1,0)</f>
        <v>1</v>
      </c>
      <c r="L5929" s="14">
        <f>IF(ISNUMBER(SEARCH(Лист2!$B$5,I:I)),1,0)+K5929</f>
        <v>2</v>
      </c>
      <c r="M5929" s="3">
        <f ca="1">IF(AND(N5929&lt;&gt;N5928,ISNUMBER(SEARCH(Лист2!$B$6,N:N)),L5929=2),MAX($M$3:OFFSET(M5929,-1,0))+1,0)</f>
        <v>0</v>
      </c>
      <c r="N5929" s="3" t="s">
        <v>3478</v>
      </c>
    </row>
    <row r="5930" spans="1:14" x14ac:dyDescent="0.25">
      <c r="A5930" s="1" t="s">
        <v>14422</v>
      </c>
      <c r="B5930" s="3" t="s">
        <v>9546</v>
      </c>
      <c r="C5930" s="2">
        <f ca="1">IF(ISNUMBER(SEARCH(Лист2!$B$4,D:D)),MAX($C$3:OFFSET(C5930,-1,0))+1,0)</f>
        <v>0</v>
      </c>
      <c r="E5930" s="9" t="str">
        <f t="shared" ca="1" si="104"/>
        <v/>
      </c>
      <c r="F5930" s="4" t="s">
        <v>37</v>
      </c>
      <c r="G5930" s="2">
        <f>IF(ISNUMBER(SEARCH(Лист2!$B$4,F:F)),1,0)</f>
        <v>1</v>
      </c>
      <c r="H5930" s="3">
        <f ca="1">IF(AND(I5930&lt;&gt;I5929,ISNUMBER(SEARCH(Лист2!$B$5,I:I)),G5930=1),MAX($H$3:OFFSET(H5930,-1,0))+1,0)</f>
        <v>0</v>
      </c>
      <c r="I5930" s="3" t="s">
        <v>439</v>
      </c>
      <c r="K5930" s="2">
        <f>IF(ISNUMBER(SEARCH(Лист2!$B$4,F:F)),1,0)</f>
        <v>1</v>
      </c>
      <c r="L5930" s="14">
        <f>IF(ISNUMBER(SEARCH(Лист2!$B$5,I:I)),1,0)+K5930</f>
        <v>2</v>
      </c>
      <c r="M5930" s="3">
        <f ca="1">IF(AND(N5930&lt;&gt;N5929,ISNUMBER(SEARCH(Лист2!$B$6,N:N)),L5930=2),MAX($M$3:OFFSET(M5930,-1,0))+1,0)</f>
        <v>0</v>
      </c>
      <c r="N5930" s="3" t="s">
        <v>3479</v>
      </c>
    </row>
    <row r="5931" spans="1:14" x14ac:dyDescent="0.25">
      <c r="A5931" s="1" t="s">
        <v>14422</v>
      </c>
      <c r="B5931" s="3" t="s">
        <v>9547</v>
      </c>
      <c r="C5931" s="2">
        <f ca="1">IF(ISNUMBER(SEARCH(Лист2!$B$4,D:D)),MAX($C$3:OFFSET(C5931,-1,0))+1,0)</f>
        <v>0</v>
      </c>
      <c r="E5931" s="9" t="str">
        <f t="shared" ca="1" si="104"/>
        <v/>
      </c>
      <c r="F5931" s="4" t="s">
        <v>37</v>
      </c>
      <c r="G5931" s="2">
        <f>IF(ISNUMBER(SEARCH(Лист2!$B$4,F:F)),1,0)</f>
        <v>1</v>
      </c>
      <c r="H5931" s="3">
        <f ca="1">IF(AND(I5931&lt;&gt;I5930,ISNUMBER(SEARCH(Лист2!$B$5,I:I)),G5931=1),MAX($H$3:OFFSET(H5931,-1,0))+1,0)</f>
        <v>0</v>
      </c>
      <c r="I5931" s="3" t="s">
        <v>439</v>
      </c>
      <c r="K5931" s="2">
        <f>IF(ISNUMBER(SEARCH(Лист2!$B$4,F:F)),1,0)</f>
        <v>1</v>
      </c>
      <c r="L5931" s="14">
        <f>IF(ISNUMBER(SEARCH(Лист2!$B$5,I:I)),1,0)+K5931</f>
        <v>2</v>
      </c>
      <c r="M5931" s="3">
        <f ca="1">IF(AND(N5931&lt;&gt;N5930,ISNUMBER(SEARCH(Лист2!$B$6,N:N)),L5931=2),MAX($M$3:OFFSET(M5931,-1,0))+1,0)</f>
        <v>0</v>
      </c>
      <c r="N5931" s="3" t="s">
        <v>3479</v>
      </c>
    </row>
    <row r="5932" spans="1:14" x14ac:dyDescent="0.25">
      <c r="A5932" s="1" t="s">
        <v>14422</v>
      </c>
      <c r="B5932" s="3" t="s">
        <v>9548</v>
      </c>
      <c r="C5932" s="2">
        <f ca="1">IF(ISNUMBER(SEARCH(Лист2!$B$4,D:D)),MAX($C$3:OFFSET(C5932,-1,0))+1,0)</f>
        <v>0</v>
      </c>
      <c r="E5932" s="9" t="str">
        <f t="shared" ca="1" si="104"/>
        <v/>
      </c>
      <c r="F5932" s="4" t="s">
        <v>37</v>
      </c>
      <c r="G5932" s="2">
        <f>IF(ISNUMBER(SEARCH(Лист2!$B$4,F:F)),1,0)</f>
        <v>1</v>
      </c>
      <c r="H5932" s="3">
        <f ca="1">IF(AND(I5932&lt;&gt;I5931,ISNUMBER(SEARCH(Лист2!$B$5,I:I)),G5932=1),MAX($H$3:OFFSET(H5932,-1,0))+1,0)</f>
        <v>0</v>
      </c>
      <c r="I5932" s="3" t="s">
        <v>439</v>
      </c>
      <c r="K5932" s="2">
        <f>IF(ISNUMBER(SEARCH(Лист2!$B$4,F:F)),1,0)</f>
        <v>1</v>
      </c>
      <c r="L5932" s="14">
        <f>IF(ISNUMBER(SEARCH(Лист2!$B$5,I:I)),1,0)+K5932</f>
        <v>2</v>
      </c>
      <c r="M5932" s="3">
        <f ca="1">IF(AND(N5932&lt;&gt;N5931,ISNUMBER(SEARCH(Лист2!$B$6,N:N)),L5932=2),MAX($M$3:OFFSET(M5932,-1,0))+1,0)</f>
        <v>0</v>
      </c>
      <c r="N5932" s="3" t="s">
        <v>3479</v>
      </c>
    </row>
    <row r="5933" spans="1:14" x14ac:dyDescent="0.25">
      <c r="A5933" s="1" t="s">
        <v>14423</v>
      </c>
      <c r="B5933" s="3" t="s">
        <v>9549</v>
      </c>
      <c r="C5933" s="2">
        <f ca="1">IF(ISNUMBER(SEARCH(Лист2!$B$4,D:D)),MAX($C$3:OFFSET(C5933,-1,0))+1,0)</f>
        <v>0</v>
      </c>
      <c r="E5933" s="9" t="str">
        <f t="shared" ca="1" si="104"/>
        <v/>
      </c>
      <c r="F5933" s="4" t="s">
        <v>37</v>
      </c>
      <c r="G5933" s="2">
        <f>IF(ISNUMBER(SEARCH(Лист2!$B$4,F:F)),1,0)</f>
        <v>1</v>
      </c>
      <c r="H5933" s="3">
        <f ca="1">IF(AND(I5933&lt;&gt;I5932,ISNUMBER(SEARCH(Лист2!$B$5,I:I)),G5933=1),MAX($H$3:OFFSET(H5933,-1,0))+1,0)</f>
        <v>0</v>
      </c>
      <c r="I5933" s="3" t="s">
        <v>439</v>
      </c>
      <c r="K5933" s="2">
        <f>IF(ISNUMBER(SEARCH(Лист2!$B$4,F:F)),1,0)</f>
        <v>1</v>
      </c>
      <c r="L5933" s="14">
        <f>IF(ISNUMBER(SEARCH(Лист2!$B$5,I:I)),1,0)+K5933</f>
        <v>2</v>
      </c>
      <c r="M5933" s="3">
        <f ca="1">IF(AND(N5933&lt;&gt;N5932,ISNUMBER(SEARCH(Лист2!$B$6,N:N)),L5933=2),MAX($M$3:OFFSET(M5933,-1,0))+1,0)</f>
        <v>0</v>
      </c>
      <c r="N5933" s="3" t="s">
        <v>3480</v>
      </c>
    </row>
    <row r="5934" spans="1:14" x14ac:dyDescent="0.25">
      <c r="A5934" s="1" t="s">
        <v>14423</v>
      </c>
      <c r="B5934" s="3" t="s">
        <v>9550</v>
      </c>
      <c r="C5934" s="2">
        <f ca="1">IF(ISNUMBER(SEARCH(Лист2!$B$4,D:D)),MAX($C$3:OFFSET(C5934,-1,0))+1,0)</f>
        <v>0</v>
      </c>
      <c r="E5934" s="9" t="str">
        <f t="shared" ca="1" si="104"/>
        <v/>
      </c>
      <c r="F5934" s="4" t="s">
        <v>37</v>
      </c>
      <c r="G5934" s="2">
        <f>IF(ISNUMBER(SEARCH(Лист2!$B$4,F:F)),1,0)</f>
        <v>1</v>
      </c>
      <c r="H5934" s="3">
        <f ca="1">IF(AND(I5934&lt;&gt;I5933,ISNUMBER(SEARCH(Лист2!$B$5,I:I)),G5934=1),MAX($H$3:OFFSET(H5934,-1,0))+1,0)</f>
        <v>0</v>
      </c>
      <c r="I5934" s="3" t="s">
        <v>439</v>
      </c>
      <c r="K5934" s="2">
        <f>IF(ISNUMBER(SEARCH(Лист2!$B$4,F:F)),1,0)</f>
        <v>1</v>
      </c>
      <c r="L5934" s="14">
        <f>IF(ISNUMBER(SEARCH(Лист2!$B$5,I:I)),1,0)+K5934</f>
        <v>2</v>
      </c>
      <c r="M5934" s="3">
        <f ca="1">IF(AND(N5934&lt;&gt;N5933,ISNUMBER(SEARCH(Лист2!$B$6,N:N)),L5934=2),MAX($M$3:OFFSET(M5934,-1,0))+1,0)</f>
        <v>0</v>
      </c>
      <c r="N5934" s="3" t="s">
        <v>3480</v>
      </c>
    </row>
    <row r="5935" spans="1:14" x14ac:dyDescent="0.25">
      <c r="A5935" s="1" t="s">
        <v>14423</v>
      </c>
      <c r="B5935" s="3" t="s">
        <v>9551</v>
      </c>
      <c r="C5935" s="2">
        <f ca="1">IF(ISNUMBER(SEARCH(Лист2!$B$4,D:D)),MAX($C$3:OFFSET(C5935,-1,0))+1,0)</f>
        <v>0</v>
      </c>
      <c r="E5935" s="9" t="str">
        <f t="shared" ca="1" si="104"/>
        <v/>
      </c>
      <c r="F5935" s="4" t="s">
        <v>37</v>
      </c>
      <c r="G5935" s="2">
        <f>IF(ISNUMBER(SEARCH(Лист2!$B$4,F:F)),1,0)</f>
        <v>1</v>
      </c>
      <c r="H5935" s="3">
        <f ca="1">IF(AND(I5935&lt;&gt;I5934,ISNUMBER(SEARCH(Лист2!$B$5,I:I)),G5935=1),MAX($H$3:OFFSET(H5935,-1,0))+1,0)</f>
        <v>0</v>
      </c>
      <c r="I5935" s="3" t="s">
        <v>439</v>
      </c>
      <c r="K5935" s="2">
        <f>IF(ISNUMBER(SEARCH(Лист2!$B$4,F:F)),1,0)</f>
        <v>1</v>
      </c>
      <c r="L5935" s="14">
        <f>IF(ISNUMBER(SEARCH(Лист2!$B$5,I:I)),1,0)+K5935</f>
        <v>2</v>
      </c>
      <c r="M5935" s="3">
        <f ca="1">IF(AND(N5935&lt;&gt;N5934,ISNUMBER(SEARCH(Лист2!$B$6,N:N)),L5935=2),MAX($M$3:OFFSET(M5935,-1,0))+1,0)</f>
        <v>0</v>
      </c>
      <c r="N5935" s="3" t="s">
        <v>3480</v>
      </c>
    </row>
    <row r="5936" spans="1:14" x14ac:dyDescent="0.25">
      <c r="A5936" s="1" t="s">
        <v>14424</v>
      </c>
      <c r="B5936" s="3" t="s">
        <v>9552</v>
      </c>
      <c r="C5936" s="2">
        <f ca="1">IF(ISNUMBER(SEARCH(Лист2!$B$4,D:D)),MAX($C$3:OFFSET(C5936,-1,0))+1,0)</f>
        <v>0</v>
      </c>
      <c r="E5936" s="9" t="str">
        <f t="shared" ca="1" si="104"/>
        <v/>
      </c>
      <c r="F5936" s="4" t="s">
        <v>37</v>
      </c>
      <c r="G5936" s="2">
        <f>IF(ISNUMBER(SEARCH(Лист2!$B$4,F:F)),1,0)</f>
        <v>1</v>
      </c>
      <c r="H5936" s="3">
        <f ca="1">IF(AND(I5936&lt;&gt;I5935,ISNUMBER(SEARCH(Лист2!$B$5,I:I)),G5936=1),MAX($H$3:OFFSET(H5936,-1,0))+1,0)</f>
        <v>0</v>
      </c>
      <c r="I5936" s="3" t="s">
        <v>439</v>
      </c>
      <c r="K5936" s="2">
        <f>IF(ISNUMBER(SEARCH(Лист2!$B$4,F:F)),1,0)</f>
        <v>1</v>
      </c>
      <c r="L5936" s="14">
        <f>IF(ISNUMBER(SEARCH(Лист2!$B$5,I:I)),1,0)+K5936</f>
        <v>2</v>
      </c>
      <c r="M5936" s="3">
        <f ca="1">IF(AND(N5936&lt;&gt;N5935,ISNUMBER(SEARCH(Лист2!$B$6,N:N)),L5936=2),MAX($M$3:OFFSET(M5936,-1,0))+1,0)</f>
        <v>0</v>
      </c>
      <c r="N5936" s="3" t="s">
        <v>3481</v>
      </c>
    </row>
    <row r="5937" spans="1:14" x14ac:dyDescent="0.25">
      <c r="A5937" s="1" t="s">
        <v>14424</v>
      </c>
      <c r="B5937" s="3" t="s">
        <v>9553</v>
      </c>
      <c r="C5937" s="2">
        <f ca="1">IF(ISNUMBER(SEARCH(Лист2!$B$4,D:D)),MAX($C$3:OFFSET(C5937,-1,0))+1,0)</f>
        <v>0</v>
      </c>
      <c r="E5937" s="9" t="str">
        <f t="shared" ca="1" si="104"/>
        <v/>
      </c>
      <c r="F5937" s="4" t="s">
        <v>37</v>
      </c>
      <c r="G5937" s="2">
        <f>IF(ISNUMBER(SEARCH(Лист2!$B$4,F:F)),1,0)</f>
        <v>1</v>
      </c>
      <c r="H5937" s="3">
        <f ca="1">IF(AND(I5937&lt;&gt;I5936,ISNUMBER(SEARCH(Лист2!$B$5,I:I)),G5937=1),MAX($H$3:OFFSET(H5937,-1,0))+1,0)</f>
        <v>0</v>
      </c>
      <c r="I5937" s="3" t="s">
        <v>439</v>
      </c>
      <c r="K5937" s="2">
        <f>IF(ISNUMBER(SEARCH(Лист2!$B$4,F:F)),1,0)</f>
        <v>1</v>
      </c>
      <c r="L5937" s="14">
        <f>IF(ISNUMBER(SEARCH(Лист2!$B$5,I:I)),1,0)+K5937</f>
        <v>2</v>
      </c>
      <c r="M5937" s="3">
        <f ca="1">IF(AND(N5937&lt;&gt;N5936,ISNUMBER(SEARCH(Лист2!$B$6,N:N)),L5937=2),MAX($M$3:OFFSET(M5937,-1,0))+1,0)</f>
        <v>0</v>
      </c>
      <c r="N5937" s="3" t="s">
        <v>3481</v>
      </c>
    </row>
    <row r="5938" spans="1:14" x14ac:dyDescent="0.25">
      <c r="A5938" s="1" t="s">
        <v>14424</v>
      </c>
      <c r="B5938" s="3" t="s">
        <v>9554</v>
      </c>
      <c r="C5938" s="2">
        <f ca="1">IF(ISNUMBER(SEARCH(Лист2!$B$4,D:D)),MAX($C$3:OFFSET(C5938,-1,0))+1,0)</f>
        <v>0</v>
      </c>
      <c r="E5938" s="9" t="str">
        <f t="shared" ca="1" si="104"/>
        <v/>
      </c>
      <c r="F5938" s="4" t="s">
        <v>37</v>
      </c>
      <c r="G5938" s="2">
        <f>IF(ISNUMBER(SEARCH(Лист2!$B$4,F:F)),1,0)</f>
        <v>1</v>
      </c>
      <c r="H5938" s="3">
        <f ca="1">IF(AND(I5938&lt;&gt;I5937,ISNUMBER(SEARCH(Лист2!$B$5,I:I)),G5938=1),MAX($H$3:OFFSET(H5938,-1,0))+1,0)</f>
        <v>0</v>
      </c>
      <c r="I5938" s="3" t="s">
        <v>439</v>
      </c>
      <c r="K5938" s="2">
        <f>IF(ISNUMBER(SEARCH(Лист2!$B$4,F:F)),1,0)</f>
        <v>1</v>
      </c>
      <c r="L5938" s="14">
        <f>IF(ISNUMBER(SEARCH(Лист2!$B$5,I:I)),1,0)+K5938</f>
        <v>2</v>
      </c>
      <c r="M5938" s="3">
        <f ca="1">IF(AND(N5938&lt;&gt;N5937,ISNUMBER(SEARCH(Лист2!$B$6,N:N)),L5938=2),MAX($M$3:OFFSET(M5938,-1,0))+1,0)</f>
        <v>0</v>
      </c>
      <c r="N5938" s="3" t="s">
        <v>3481</v>
      </c>
    </row>
    <row r="5939" spans="1:14" x14ac:dyDescent="0.25">
      <c r="A5939" s="1" t="s">
        <v>14425</v>
      </c>
      <c r="B5939" s="3" t="s">
        <v>9555</v>
      </c>
      <c r="C5939" s="2">
        <f ca="1">IF(ISNUMBER(SEARCH(Лист2!$B$4,D:D)),MAX($C$3:OFFSET(C5939,-1,0))+1,0)</f>
        <v>0</v>
      </c>
      <c r="E5939" s="9" t="str">
        <f t="shared" ca="1" si="104"/>
        <v/>
      </c>
      <c r="F5939" s="4" t="s">
        <v>37</v>
      </c>
      <c r="G5939" s="2">
        <f>IF(ISNUMBER(SEARCH(Лист2!$B$4,F:F)),1,0)</f>
        <v>1</v>
      </c>
      <c r="H5939" s="3">
        <f ca="1">IF(AND(I5939&lt;&gt;I5938,ISNUMBER(SEARCH(Лист2!$B$5,I:I)),G5939=1),MAX($H$3:OFFSET(H5939,-1,0))+1,0)</f>
        <v>0</v>
      </c>
      <c r="I5939" s="3" t="s">
        <v>439</v>
      </c>
      <c r="K5939" s="2">
        <f>IF(ISNUMBER(SEARCH(Лист2!$B$4,F:F)),1,0)</f>
        <v>1</v>
      </c>
      <c r="L5939" s="14">
        <f>IF(ISNUMBER(SEARCH(Лист2!$B$5,I:I)),1,0)+K5939</f>
        <v>2</v>
      </c>
      <c r="M5939" s="3">
        <f ca="1">IF(AND(N5939&lt;&gt;N5938,ISNUMBER(SEARCH(Лист2!$B$6,N:N)),L5939=2),MAX($M$3:OFFSET(M5939,-1,0))+1,0)</f>
        <v>0</v>
      </c>
      <c r="N5939" s="3" t="s">
        <v>3482</v>
      </c>
    </row>
    <row r="5940" spans="1:14" x14ac:dyDescent="0.25">
      <c r="A5940" s="1" t="s">
        <v>14426</v>
      </c>
      <c r="B5940" s="3" t="s">
        <v>9556</v>
      </c>
      <c r="C5940" s="2">
        <f ca="1">IF(ISNUMBER(SEARCH(Лист2!$B$4,D:D)),MAX($C$3:OFFSET(C5940,-1,0))+1,0)</f>
        <v>0</v>
      </c>
      <c r="E5940" s="9" t="str">
        <f t="shared" ca="1" si="104"/>
        <v/>
      </c>
      <c r="F5940" s="4" t="s">
        <v>37</v>
      </c>
      <c r="G5940" s="2">
        <f>IF(ISNUMBER(SEARCH(Лист2!$B$4,F:F)),1,0)</f>
        <v>1</v>
      </c>
      <c r="H5940" s="3">
        <f ca="1">IF(AND(I5940&lt;&gt;I5939,ISNUMBER(SEARCH(Лист2!$B$5,I:I)),G5940=1),MAX($H$3:OFFSET(H5940,-1,0))+1,0)</f>
        <v>0</v>
      </c>
      <c r="I5940" s="3" t="s">
        <v>439</v>
      </c>
      <c r="K5940" s="2">
        <f>IF(ISNUMBER(SEARCH(Лист2!$B$4,F:F)),1,0)</f>
        <v>1</v>
      </c>
      <c r="L5940" s="14">
        <f>IF(ISNUMBER(SEARCH(Лист2!$B$5,I:I)),1,0)+K5940</f>
        <v>2</v>
      </c>
      <c r="M5940" s="3">
        <f ca="1">IF(AND(N5940&lt;&gt;N5939,ISNUMBER(SEARCH(Лист2!$B$6,N:N)),L5940=2),MAX($M$3:OFFSET(M5940,-1,0))+1,0)</f>
        <v>0</v>
      </c>
      <c r="N5940" s="3" t="s">
        <v>3483</v>
      </c>
    </row>
    <row r="5941" spans="1:14" x14ac:dyDescent="0.25">
      <c r="A5941" s="1" t="s">
        <v>14427</v>
      </c>
      <c r="B5941" s="3" t="s">
        <v>9557</v>
      </c>
      <c r="C5941" s="2">
        <f ca="1">IF(ISNUMBER(SEARCH(Лист2!$B$4,D:D)),MAX($C$3:OFFSET(C5941,-1,0))+1,0)</f>
        <v>0</v>
      </c>
      <c r="E5941" s="9" t="str">
        <f t="shared" ca="1" si="104"/>
        <v/>
      </c>
      <c r="F5941" s="4" t="s">
        <v>37</v>
      </c>
      <c r="G5941" s="2">
        <f>IF(ISNUMBER(SEARCH(Лист2!$B$4,F:F)),1,0)</f>
        <v>1</v>
      </c>
      <c r="H5941" s="3">
        <f ca="1">IF(AND(I5941&lt;&gt;I5940,ISNUMBER(SEARCH(Лист2!$B$5,I:I)),G5941=1),MAX($H$3:OFFSET(H5941,-1,0))+1,0)</f>
        <v>0</v>
      </c>
      <c r="I5941" s="3" t="s">
        <v>439</v>
      </c>
      <c r="K5941" s="2">
        <f>IF(ISNUMBER(SEARCH(Лист2!$B$4,F:F)),1,0)</f>
        <v>1</v>
      </c>
      <c r="L5941" s="14">
        <f>IF(ISNUMBER(SEARCH(Лист2!$B$5,I:I)),1,0)+K5941</f>
        <v>2</v>
      </c>
      <c r="M5941" s="3">
        <f ca="1">IF(AND(N5941&lt;&gt;N5940,ISNUMBER(SEARCH(Лист2!$B$6,N:N)),L5941=2),MAX($M$3:OFFSET(M5941,-1,0))+1,0)</f>
        <v>0</v>
      </c>
      <c r="N5941" s="3" t="s">
        <v>3484</v>
      </c>
    </row>
    <row r="5942" spans="1:14" x14ac:dyDescent="0.25">
      <c r="A5942" s="1" t="s">
        <v>14428</v>
      </c>
      <c r="B5942" s="3" t="s">
        <v>9558</v>
      </c>
      <c r="C5942" s="2">
        <f ca="1">IF(ISNUMBER(SEARCH(Лист2!$B$4,D:D)),MAX($C$3:OFFSET(C5942,-1,0))+1,0)</f>
        <v>0</v>
      </c>
      <c r="E5942" s="9" t="str">
        <f t="shared" ca="1" si="104"/>
        <v/>
      </c>
      <c r="F5942" s="4" t="s">
        <v>37</v>
      </c>
      <c r="G5942" s="2">
        <f>IF(ISNUMBER(SEARCH(Лист2!$B$4,F:F)),1,0)</f>
        <v>1</v>
      </c>
      <c r="H5942" s="3">
        <f ca="1">IF(AND(I5942&lt;&gt;I5941,ISNUMBER(SEARCH(Лист2!$B$5,I:I)),G5942=1),MAX($H$3:OFFSET(H5942,-1,0))+1,0)</f>
        <v>0</v>
      </c>
      <c r="I5942" s="3" t="s">
        <v>439</v>
      </c>
      <c r="K5942" s="2">
        <f>IF(ISNUMBER(SEARCH(Лист2!$B$4,F:F)),1,0)</f>
        <v>1</v>
      </c>
      <c r="L5942" s="14">
        <f>IF(ISNUMBER(SEARCH(Лист2!$B$5,I:I)),1,0)+K5942</f>
        <v>2</v>
      </c>
      <c r="M5942" s="3">
        <f ca="1">IF(AND(N5942&lt;&gt;N5941,ISNUMBER(SEARCH(Лист2!$B$6,N:N)),L5942=2),MAX($M$3:OFFSET(M5942,-1,0))+1,0)</f>
        <v>1</v>
      </c>
      <c r="N5942" s="3" t="s">
        <v>3485</v>
      </c>
    </row>
    <row r="5943" spans="1:14" x14ac:dyDescent="0.25">
      <c r="A5943" s="1" t="s">
        <v>14429</v>
      </c>
      <c r="B5943" s="3" t="s">
        <v>9559</v>
      </c>
      <c r="C5943" s="2">
        <f ca="1">IF(ISNUMBER(SEARCH(Лист2!$B$4,D:D)),MAX($C$3:OFFSET(C5943,-1,0))+1,0)</f>
        <v>0</v>
      </c>
      <c r="E5943" s="9" t="str">
        <f t="shared" ca="1" si="104"/>
        <v/>
      </c>
      <c r="F5943" s="4" t="s">
        <v>37</v>
      </c>
      <c r="G5943" s="2">
        <f>IF(ISNUMBER(SEARCH(Лист2!$B$4,F:F)),1,0)</f>
        <v>1</v>
      </c>
      <c r="H5943" s="3">
        <f ca="1">IF(AND(I5943&lt;&gt;I5942,ISNUMBER(SEARCH(Лист2!$B$5,I:I)),G5943=1),MAX($H$3:OFFSET(H5943,-1,0))+1,0)</f>
        <v>0</v>
      </c>
      <c r="I5943" s="3" t="s">
        <v>439</v>
      </c>
      <c r="K5943" s="2">
        <f>IF(ISNUMBER(SEARCH(Лист2!$B$4,F:F)),1,0)</f>
        <v>1</v>
      </c>
      <c r="L5943" s="14">
        <f>IF(ISNUMBER(SEARCH(Лист2!$B$5,I:I)),1,0)+K5943</f>
        <v>2</v>
      </c>
      <c r="M5943" s="3">
        <f ca="1">IF(AND(N5943&lt;&gt;N5942,ISNUMBER(SEARCH(Лист2!$B$6,N:N)),L5943=2),MAX($M$3:OFFSET(M5943,-1,0))+1,0)</f>
        <v>0</v>
      </c>
      <c r="N5943" s="3" t="s">
        <v>602</v>
      </c>
    </row>
    <row r="5944" spans="1:14" x14ac:dyDescent="0.25">
      <c r="A5944" s="1" t="s">
        <v>14430</v>
      </c>
      <c r="B5944" s="3" t="s">
        <v>9560</v>
      </c>
      <c r="C5944" s="2">
        <f ca="1">IF(ISNUMBER(SEARCH(Лист2!$B$4,D:D)),MAX($C$3:OFFSET(C5944,-1,0))+1,0)</f>
        <v>0</v>
      </c>
      <c r="E5944" s="9" t="str">
        <f t="shared" ca="1" si="104"/>
        <v/>
      </c>
      <c r="F5944" s="4" t="s">
        <v>37</v>
      </c>
      <c r="G5944" s="2">
        <f>IF(ISNUMBER(SEARCH(Лист2!$B$4,F:F)),1,0)</f>
        <v>1</v>
      </c>
      <c r="H5944" s="3">
        <f ca="1">IF(AND(I5944&lt;&gt;I5943,ISNUMBER(SEARCH(Лист2!$B$5,I:I)),G5944=1),MAX($H$3:OFFSET(H5944,-1,0))+1,0)</f>
        <v>0</v>
      </c>
      <c r="I5944" s="3" t="s">
        <v>439</v>
      </c>
      <c r="K5944" s="2">
        <f>IF(ISNUMBER(SEARCH(Лист2!$B$4,F:F)),1,0)</f>
        <v>1</v>
      </c>
      <c r="L5944" s="14">
        <f>IF(ISNUMBER(SEARCH(Лист2!$B$5,I:I)),1,0)+K5944</f>
        <v>2</v>
      </c>
      <c r="M5944" s="3">
        <f ca="1">IF(AND(N5944&lt;&gt;N5943,ISNUMBER(SEARCH(Лист2!$B$6,N:N)),L5944=2),MAX($M$3:OFFSET(M5944,-1,0))+1,0)</f>
        <v>0</v>
      </c>
      <c r="N5944" s="3" t="s">
        <v>549</v>
      </c>
    </row>
    <row r="5945" spans="1:14" x14ac:dyDescent="0.25">
      <c r="A5945" s="1" t="s">
        <v>14431</v>
      </c>
      <c r="B5945" s="3" t="s">
        <v>9561</v>
      </c>
      <c r="C5945" s="2">
        <f ca="1">IF(ISNUMBER(SEARCH(Лист2!$B$4,D:D)),MAX($C$3:OFFSET(C5945,-1,0))+1,0)</f>
        <v>0</v>
      </c>
      <c r="E5945" s="9" t="str">
        <f t="shared" ca="1" si="104"/>
        <v/>
      </c>
      <c r="F5945" s="4" t="s">
        <v>37</v>
      </c>
      <c r="G5945" s="2">
        <f>IF(ISNUMBER(SEARCH(Лист2!$B$4,F:F)),1,0)</f>
        <v>1</v>
      </c>
      <c r="H5945" s="3">
        <f ca="1">IF(AND(I5945&lt;&gt;I5944,ISNUMBER(SEARCH(Лист2!$B$5,I:I)),G5945=1),MAX($H$3:OFFSET(H5945,-1,0))+1,0)</f>
        <v>0</v>
      </c>
      <c r="I5945" s="3" t="s">
        <v>485</v>
      </c>
      <c r="K5945" s="2">
        <f>IF(ISNUMBER(SEARCH(Лист2!$B$4,F:F)),1,0)</f>
        <v>1</v>
      </c>
      <c r="L5945" s="14">
        <f>IF(ISNUMBER(SEARCH(Лист2!$B$5,I:I)),1,0)+K5945</f>
        <v>1</v>
      </c>
      <c r="M5945" s="3">
        <f ca="1">IF(AND(N5945&lt;&gt;N5944,ISNUMBER(SEARCH(Лист2!$B$6,N:N)),L5945=2),MAX($M$3:OFFSET(M5945,-1,0))+1,0)</f>
        <v>0</v>
      </c>
      <c r="N5945" s="3" t="s">
        <v>3486</v>
      </c>
    </row>
    <row r="5946" spans="1:14" x14ac:dyDescent="0.25">
      <c r="A5946" s="1" t="s">
        <v>14432</v>
      </c>
      <c r="B5946" s="3" t="s">
        <v>9562</v>
      </c>
      <c r="C5946" s="2">
        <f ca="1">IF(ISNUMBER(SEARCH(Лист2!$B$4,D:D)),MAX($C$3:OFFSET(C5946,-1,0))+1,0)</f>
        <v>0</v>
      </c>
      <c r="E5946" s="9" t="str">
        <f t="shared" ca="1" si="104"/>
        <v/>
      </c>
      <c r="F5946" s="4" t="s">
        <v>37</v>
      </c>
      <c r="G5946" s="2">
        <f>IF(ISNUMBER(SEARCH(Лист2!$B$4,F:F)),1,0)</f>
        <v>1</v>
      </c>
      <c r="H5946" s="3">
        <f ca="1">IF(AND(I5946&lt;&gt;I5945,ISNUMBER(SEARCH(Лист2!$B$5,I:I)),G5946=1),MAX($H$3:OFFSET(H5946,-1,0))+1,0)</f>
        <v>0</v>
      </c>
      <c r="I5946" s="3" t="s">
        <v>485</v>
      </c>
      <c r="K5946" s="2">
        <f>IF(ISNUMBER(SEARCH(Лист2!$B$4,F:F)),1,0)</f>
        <v>1</v>
      </c>
      <c r="L5946" s="14">
        <f>IF(ISNUMBER(SEARCH(Лист2!$B$5,I:I)),1,0)+K5946</f>
        <v>1</v>
      </c>
      <c r="M5946" s="3">
        <f ca="1">IF(AND(N5946&lt;&gt;N5945,ISNUMBER(SEARCH(Лист2!$B$6,N:N)),L5946=2),MAX($M$3:OFFSET(M5946,-1,0))+1,0)</f>
        <v>0</v>
      </c>
      <c r="N5946" s="3" t="s">
        <v>3487</v>
      </c>
    </row>
    <row r="5947" spans="1:14" x14ac:dyDescent="0.25">
      <c r="A5947" s="1" t="s">
        <v>14433</v>
      </c>
      <c r="B5947" s="3" t="s">
        <v>9563</v>
      </c>
      <c r="C5947" s="2">
        <f ca="1">IF(ISNUMBER(SEARCH(Лист2!$B$4,D:D)),MAX($C$3:OFFSET(C5947,-1,0))+1,0)</f>
        <v>0</v>
      </c>
      <c r="E5947" s="9" t="str">
        <f t="shared" ca="1" si="104"/>
        <v/>
      </c>
      <c r="F5947" s="4" t="s">
        <v>37</v>
      </c>
      <c r="G5947" s="2">
        <f>IF(ISNUMBER(SEARCH(Лист2!$B$4,F:F)),1,0)</f>
        <v>1</v>
      </c>
      <c r="H5947" s="3">
        <f ca="1">IF(AND(I5947&lt;&gt;I5946,ISNUMBER(SEARCH(Лист2!$B$5,I:I)),G5947=1),MAX($H$3:OFFSET(H5947,-1,0))+1,0)</f>
        <v>0</v>
      </c>
      <c r="I5947" s="3" t="s">
        <v>485</v>
      </c>
      <c r="K5947" s="2">
        <f>IF(ISNUMBER(SEARCH(Лист2!$B$4,F:F)),1,0)</f>
        <v>1</v>
      </c>
      <c r="L5947" s="14">
        <f>IF(ISNUMBER(SEARCH(Лист2!$B$5,I:I)),1,0)+K5947</f>
        <v>1</v>
      </c>
      <c r="M5947" s="3">
        <f ca="1">IF(AND(N5947&lt;&gt;N5946,ISNUMBER(SEARCH(Лист2!$B$6,N:N)),L5947=2),MAX($M$3:OFFSET(M5947,-1,0))+1,0)</f>
        <v>0</v>
      </c>
      <c r="N5947" s="3" t="s">
        <v>3488</v>
      </c>
    </row>
    <row r="5948" spans="1:14" x14ac:dyDescent="0.25">
      <c r="A5948" s="1" t="s">
        <v>14433</v>
      </c>
      <c r="B5948" s="3" t="s">
        <v>9564</v>
      </c>
      <c r="C5948" s="2">
        <f ca="1">IF(ISNUMBER(SEARCH(Лист2!$B$4,D:D)),MAX($C$3:OFFSET(C5948,-1,0))+1,0)</f>
        <v>0</v>
      </c>
      <c r="E5948" s="9" t="str">
        <f t="shared" ca="1" si="104"/>
        <v/>
      </c>
      <c r="F5948" s="4" t="s">
        <v>37</v>
      </c>
      <c r="G5948" s="2">
        <f>IF(ISNUMBER(SEARCH(Лист2!$B$4,F:F)),1,0)</f>
        <v>1</v>
      </c>
      <c r="H5948" s="3">
        <f ca="1">IF(AND(I5948&lt;&gt;I5947,ISNUMBER(SEARCH(Лист2!$B$5,I:I)),G5948=1),MAX($H$3:OFFSET(H5948,-1,0))+1,0)</f>
        <v>0</v>
      </c>
      <c r="I5948" s="3" t="s">
        <v>485</v>
      </c>
      <c r="K5948" s="2">
        <f>IF(ISNUMBER(SEARCH(Лист2!$B$4,F:F)),1,0)</f>
        <v>1</v>
      </c>
      <c r="L5948" s="14">
        <f>IF(ISNUMBER(SEARCH(Лист2!$B$5,I:I)),1,0)+K5948</f>
        <v>1</v>
      </c>
      <c r="M5948" s="3">
        <f ca="1">IF(AND(N5948&lt;&gt;N5947,ISNUMBER(SEARCH(Лист2!$B$6,N:N)),L5948=2),MAX($M$3:OFFSET(M5948,-1,0))+1,0)</f>
        <v>0</v>
      </c>
      <c r="N5948" s="3" t="s">
        <v>3488</v>
      </c>
    </row>
    <row r="5949" spans="1:14" x14ac:dyDescent="0.25">
      <c r="A5949" s="1" t="s">
        <v>14433</v>
      </c>
      <c r="B5949" s="3" t="s">
        <v>9565</v>
      </c>
      <c r="C5949" s="2">
        <f ca="1">IF(ISNUMBER(SEARCH(Лист2!$B$4,D:D)),MAX($C$3:OFFSET(C5949,-1,0))+1,0)</f>
        <v>0</v>
      </c>
      <c r="E5949" s="9" t="str">
        <f t="shared" ca="1" si="104"/>
        <v/>
      </c>
      <c r="F5949" s="4" t="s">
        <v>37</v>
      </c>
      <c r="G5949" s="2">
        <f>IF(ISNUMBER(SEARCH(Лист2!$B$4,F:F)),1,0)</f>
        <v>1</v>
      </c>
      <c r="H5949" s="3">
        <f ca="1">IF(AND(I5949&lt;&gt;I5948,ISNUMBER(SEARCH(Лист2!$B$5,I:I)),G5949=1),MAX($H$3:OFFSET(H5949,-1,0))+1,0)</f>
        <v>0</v>
      </c>
      <c r="I5949" s="3" t="s">
        <v>485</v>
      </c>
      <c r="K5949" s="2">
        <f>IF(ISNUMBER(SEARCH(Лист2!$B$4,F:F)),1,0)</f>
        <v>1</v>
      </c>
      <c r="L5949" s="14">
        <f>IF(ISNUMBER(SEARCH(Лист2!$B$5,I:I)),1,0)+K5949</f>
        <v>1</v>
      </c>
      <c r="M5949" s="3">
        <f ca="1">IF(AND(N5949&lt;&gt;N5948,ISNUMBER(SEARCH(Лист2!$B$6,N:N)),L5949=2),MAX($M$3:OFFSET(M5949,-1,0))+1,0)</f>
        <v>0</v>
      </c>
      <c r="N5949" s="3" t="s">
        <v>3488</v>
      </c>
    </row>
    <row r="5950" spans="1:14" x14ac:dyDescent="0.25">
      <c r="A5950" s="1" t="s">
        <v>14434</v>
      </c>
      <c r="B5950" s="3" t="s">
        <v>9566</v>
      </c>
      <c r="C5950" s="2">
        <f ca="1">IF(ISNUMBER(SEARCH(Лист2!$B$4,D:D)),MAX($C$3:OFFSET(C5950,-1,0))+1,0)</f>
        <v>0</v>
      </c>
      <c r="E5950" s="9" t="str">
        <f t="shared" ca="1" si="104"/>
        <v/>
      </c>
      <c r="F5950" s="4" t="s">
        <v>37</v>
      </c>
      <c r="G5950" s="2">
        <f>IF(ISNUMBER(SEARCH(Лист2!$B$4,F:F)),1,0)</f>
        <v>1</v>
      </c>
      <c r="H5950" s="3">
        <f ca="1">IF(AND(I5950&lt;&gt;I5949,ISNUMBER(SEARCH(Лист2!$B$5,I:I)),G5950=1),MAX($H$3:OFFSET(H5950,-1,0))+1,0)</f>
        <v>0</v>
      </c>
      <c r="I5950" s="3" t="s">
        <v>485</v>
      </c>
      <c r="K5950" s="2">
        <f>IF(ISNUMBER(SEARCH(Лист2!$B$4,F:F)),1,0)</f>
        <v>1</v>
      </c>
      <c r="L5950" s="14">
        <f>IF(ISNUMBER(SEARCH(Лист2!$B$5,I:I)),1,0)+K5950</f>
        <v>1</v>
      </c>
      <c r="M5950" s="3">
        <f ca="1">IF(AND(N5950&lt;&gt;N5949,ISNUMBER(SEARCH(Лист2!$B$6,N:N)),L5950=2),MAX($M$3:OFFSET(M5950,-1,0))+1,0)</f>
        <v>0</v>
      </c>
      <c r="N5950" s="3" t="s">
        <v>3489</v>
      </c>
    </row>
    <row r="5951" spans="1:14" x14ac:dyDescent="0.25">
      <c r="A5951" s="1" t="s">
        <v>14434</v>
      </c>
      <c r="B5951" s="3" t="s">
        <v>9567</v>
      </c>
      <c r="C5951" s="2">
        <f ca="1">IF(ISNUMBER(SEARCH(Лист2!$B$4,D:D)),MAX($C$3:OFFSET(C5951,-1,0))+1,0)</f>
        <v>0</v>
      </c>
      <c r="E5951" s="9" t="str">
        <f t="shared" ca="1" si="104"/>
        <v/>
      </c>
      <c r="F5951" s="4" t="s">
        <v>37</v>
      </c>
      <c r="G5951" s="2">
        <f>IF(ISNUMBER(SEARCH(Лист2!$B$4,F:F)),1,0)</f>
        <v>1</v>
      </c>
      <c r="H5951" s="3">
        <f ca="1">IF(AND(I5951&lt;&gt;I5950,ISNUMBER(SEARCH(Лист2!$B$5,I:I)),G5951=1),MAX($H$3:OFFSET(H5951,-1,0))+1,0)</f>
        <v>0</v>
      </c>
      <c r="I5951" s="3" t="s">
        <v>485</v>
      </c>
      <c r="K5951" s="2">
        <f>IF(ISNUMBER(SEARCH(Лист2!$B$4,F:F)),1,0)</f>
        <v>1</v>
      </c>
      <c r="L5951" s="14">
        <f>IF(ISNUMBER(SEARCH(Лист2!$B$5,I:I)),1,0)+K5951</f>
        <v>1</v>
      </c>
      <c r="M5951" s="3">
        <f ca="1">IF(AND(N5951&lt;&gt;N5950,ISNUMBER(SEARCH(Лист2!$B$6,N:N)),L5951=2),MAX($M$3:OFFSET(M5951,-1,0))+1,0)</f>
        <v>0</v>
      </c>
      <c r="N5951" s="3" t="s">
        <v>3489</v>
      </c>
    </row>
    <row r="5952" spans="1:14" x14ac:dyDescent="0.25">
      <c r="A5952" s="1" t="s">
        <v>14434</v>
      </c>
      <c r="B5952" s="3" t="s">
        <v>9568</v>
      </c>
      <c r="C5952" s="2">
        <f ca="1">IF(ISNUMBER(SEARCH(Лист2!$B$4,D:D)),MAX($C$3:OFFSET(C5952,-1,0))+1,0)</f>
        <v>0</v>
      </c>
      <c r="E5952" s="9" t="str">
        <f t="shared" ca="1" si="104"/>
        <v/>
      </c>
      <c r="F5952" s="4" t="s">
        <v>37</v>
      </c>
      <c r="G5952" s="2">
        <f>IF(ISNUMBER(SEARCH(Лист2!$B$4,F:F)),1,0)</f>
        <v>1</v>
      </c>
      <c r="H5952" s="3">
        <f ca="1">IF(AND(I5952&lt;&gt;I5951,ISNUMBER(SEARCH(Лист2!$B$5,I:I)),G5952=1),MAX($H$3:OFFSET(H5952,-1,0))+1,0)</f>
        <v>0</v>
      </c>
      <c r="I5952" s="3" t="s">
        <v>485</v>
      </c>
      <c r="K5952" s="2">
        <f>IF(ISNUMBER(SEARCH(Лист2!$B$4,F:F)),1,0)</f>
        <v>1</v>
      </c>
      <c r="L5952" s="14">
        <f>IF(ISNUMBER(SEARCH(Лист2!$B$5,I:I)),1,0)+K5952</f>
        <v>1</v>
      </c>
      <c r="M5952" s="3">
        <f ca="1">IF(AND(N5952&lt;&gt;N5951,ISNUMBER(SEARCH(Лист2!$B$6,N:N)),L5952=2),MAX($M$3:OFFSET(M5952,-1,0))+1,0)</f>
        <v>0</v>
      </c>
      <c r="N5952" s="3" t="s">
        <v>3489</v>
      </c>
    </row>
    <row r="5953" spans="1:14" x14ac:dyDescent="0.25">
      <c r="A5953" s="1" t="s">
        <v>14435</v>
      </c>
      <c r="B5953" s="3" t="s">
        <v>9569</v>
      </c>
      <c r="C5953" s="2">
        <f ca="1">IF(ISNUMBER(SEARCH(Лист2!$B$4,D:D)),MAX($C$3:OFFSET(C5953,-1,0))+1,0)</f>
        <v>0</v>
      </c>
      <c r="E5953" s="9" t="str">
        <f t="shared" ca="1" si="104"/>
        <v/>
      </c>
      <c r="F5953" s="4" t="s">
        <v>37</v>
      </c>
      <c r="G5953" s="2">
        <f>IF(ISNUMBER(SEARCH(Лист2!$B$4,F:F)),1,0)</f>
        <v>1</v>
      </c>
      <c r="H5953" s="3">
        <f ca="1">IF(AND(I5953&lt;&gt;I5952,ISNUMBER(SEARCH(Лист2!$B$5,I:I)),G5953=1),MAX($H$3:OFFSET(H5953,-1,0))+1,0)</f>
        <v>0</v>
      </c>
      <c r="I5953" s="3" t="s">
        <v>485</v>
      </c>
      <c r="K5953" s="2">
        <f>IF(ISNUMBER(SEARCH(Лист2!$B$4,F:F)),1,0)</f>
        <v>1</v>
      </c>
      <c r="L5953" s="14">
        <f>IF(ISNUMBER(SEARCH(Лист2!$B$5,I:I)),1,0)+K5953</f>
        <v>1</v>
      </c>
      <c r="M5953" s="3">
        <f ca="1">IF(AND(N5953&lt;&gt;N5952,ISNUMBER(SEARCH(Лист2!$B$6,N:N)),L5953=2),MAX($M$3:OFFSET(M5953,-1,0))+1,0)</f>
        <v>0</v>
      </c>
      <c r="N5953" s="3" t="s">
        <v>3490</v>
      </c>
    </row>
    <row r="5954" spans="1:14" x14ac:dyDescent="0.25">
      <c r="A5954" s="1" t="s">
        <v>14435</v>
      </c>
      <c r="B5954" s="3" t="s">
        <v>9570</v>
      </c>
      <c r="C5954" s="2">
        <f ca="1">IF(ISNUMBER(SEARCH(Лист2!$B$4,D:D)),MAX($C$3:OFFSET(C5954,-1,0))+1,0)</f>
        <v>0</v>
      </c>
      <c r="E5954" s="9" t="str">
        <f t="shared" ca="1" si="104"/>
        <v/>
      </c>
      <c r="F5954" s="4" t="s">
        <v>37</v>
      </c>
      <c r="G5954" s="2">
        <f>IF(ISNUMBER(SEARCH(Лист2!$B$4,F:F)),1,0)</f>
        <v>1</v>
      </c>
      <c r="H5954" s="3">
        <f ca="1">IF(AND(I5954&lt;&gt;I5953,ISNUMBER(SEARCH(Лист2!$B$5,I:I)),G5954=1),MAX($H$3:OFFSET(H5954,-1,0))+1,0)</f>
        <v>0</v>
      </c>
      <c r="I5954" s="3" t="s">
        <v>485</v>
      </c>
      <c r="K5954" s="2">
        <f>IF(ISNUMBER(SEARCH(Лист2!$B$4,F:F)),1,0)</f>
        <v>1</v>
      </c>
      <c r="L5954" s="14">
        <f>IF(ISNUMBER(SEARCH(Лист2!$B$5,I:I)),1,0)+K5954</f>
        <v>1</v>
      </c>
      <c r="M5954" s="3">
        <f ca="1">IF(AND(N5954&lt;&gt;N5953,ISNUMBER(SEARCH(Лист2!$B$6,N:N)),L5954=2),MAX($M$3:OFFSET(M5954,-1,0))+1,0)</f>
        <v>0</v>
      </c>
      <c r="N5954" s="3" t="s">
        <v>3490</v>
      </c>
    </row>
    <row r="5955" spans="1:14" x14ac:dyDescent="0.25">
      <c r="A5955" s="1" t="s">
        <v>14435</v>
      </c>
      <c r="B5955" s="3" t="s">
        <v>9571</v>
      </c>
      <c r="C5955" s="2">
        <f ca="1">IF(ISNUMBER(SEARCH(Лист2!$B$4,D:D)),MAX($C$3:OFFSET(C5955,-1,0))+1,0)</f>
        <v>0</v>
      </c>
      <c r="E5955" s="9" t="str">
        <f t="shared" ca="1" si="104"/>
        <v/>
      </c>
      <c r="F5955" s="4" t="s">
        <v>37</v>
      </c>
      <c r="G5955" s="2">
        <f>IF(ISNUMBER(SEARCH(Лист2!$B$4,F:F)),1,0)</f>
        <v>1</v>
      </c>
      <c r="H5955" s="3">
        <f ca="1">IF(AND(I5955&lt;&gt;I5954,ISNUMBER(SEARCH(Лист2!$B$5,I:I)),G5955=1),MAX($H$3:OFFSET(H5955,-1,0))+1,0)</f>
        <v>0</v>
      </c>
      <c r="I5955" s="3" t="s">
        <v>485</v>
      </c>
      <c r="K5955" s="2">
        <f>IF(ISNUMBER(SEARCH(Лист2!$B$4,F:F)),1,0)</f>
        <v>1</v>
      </c>
      <c r="L5955" s="14">
        <f>IF(ISNUMBER(SEARCH(Лист2!$B$5,I:I)),1,0)+K5955</f>
        <v>1</v>
      </c>
      <c r="M5955" s="3">
        <f ca="1">IF(AND(N5955&lt;&gt;N5954,ISNUMBER(SEARCH(Лист2!$B$6,N:N)),L5955=2),MAX($M$3:OFFSET(M5955,-1,0))+1,0)</f>
        <v>0</v>
      </c>
      <c r="N5955" s="3" t="s">
        <v>3490</v>
      </c>
    </row>
    <row r="5956" spans="1:14" x14ac:dyDescent="0.25">
      <c r="A5956" s="1" t="s">
        <v>14436</v>
      </c>
      <c r="B5956" s="3" t="s">
        <v>9572</v>
      </c>
      <c r="C5956" s="2">
        <f ca="1">IF(ISNUMBER(SEARCH(Лист2!$B$4,D:D)),MAX($C$3:OFFSET(C5956,-1,0))+1,0)</f>
        <v>0</v>
      </c>
      <c r="E5956" s="9" t="str">
        <f t="shared" ca="1" si="104"/>
        <v/>
      </c>
      <c r="F5956" s="4" t="s">
        <v>37</v>
      </c>
      <c r="G5956" s="2">
        <f>IF(ISNUMBER(SEARCH(Лист2!$B$4,F:F)),1,0)</f>
        <v>1</v>
      </c>
      <c r="H5956" s="3">
        <f ca="1">IF(AND(I5956&lt;&gt;I5955,ISNUMBER(SEARCH(Лист2!$B$5,I:I)),G5956=1),MAX($H$3:OFFSET(H5956,-1,0))+1,0)</f>
        <v>0</v>
      </c>
      <c r="I5956" s="3" t="s">
        <v>485</v>
      </c>
      <c r="K5956" s="2">
        <f>IF(ISNUMBER(SEARCH(Лист2!$B$4,F:F)),1,0)</f>
        <v>1</v>
      </c>
      <c r="L5956" s="14">
        <f>IF(ISNUMBER(SEARCH(Лист2!$B$5,I:I)),1,0)+K5956</f>
        <v>1</v>
      </c>
      <c r="M5956" s="3">
        <f ca="1">IF(AND(N5956&lt;&gt;N5955,ISNUMBER(SEARCH(Лист2!$B$6,N:N)),L5956=2),MAX($M$3:OFFSET(M5956,-1,0))+1,0)</f>
        <v>0</v>
      </c>
      <c r="N5956" s="3" t="s">
        <v>3491</v>
      </c>
    </row>
    <row r="5957" spans="1:14" x14ac:dyDescent="0.25">
      <c r="A5957" s="1" t="s">
        <v>14437</v>
      </c>
      <c r="B5957" s="3" t="s">
        <v>9573</v>
      </c>
      <c r="C5957" s="2">
        <f ca="1">IF(ISNUMBER(SEARCH(Лист2!$B$4,D:D)),MAX($C$3:OFFSET(C5957,-1,0))+1,0)</f>
        <v>0</v>
      </c>
      <c r="E5957" s="9" t="str">
        <f t="shared" ref="E5957:E6020" ca="1" si="105">IFERROR(INDEX(D:D,MATCH(ROW(E5957)-ROW($E$3),C:C,0)),"")</f>
        <v/>
      </c>
      <c r="F5957" s="4" t="s">
        <v>37</v>
      </c>
      <c r="G5957" s="2">
        <f>IF(ISNUMBER(SEARCH(Лист2!$B$4,F:F)),1,0)</f>
        <v>1</v>
      </c>
      <c r="H5957" s="3">
        <f ca="1">IF(AND(I5957&lt;&gt;I5956,ISNUMBER(SEARCH(Лист2!$B$5,I:I)),G5957=1),MAX($H$3:OFFSET(H5957,-1,0))+1,0)</f>
        <v>0</v>
      </c>
      <c r="I5957" s="3" t="s">
        <v>485</v>
      </c>
      <c r="K5957" s="2">
        <f>IF(ISNUMBER(SEARCH(Лист2!$B$4,F:F)),1,0)</f>
        <v>1</v>
      </c>
      <c r="L5957" s="14">
        <f>IF(ISNUMBER(SEARCH(Лист2!$B$5,I:I)),1,0)+K5957</f>
        <v>1</v>
      </c>
      <c r="M5957" s="3">
        <f ca="1">IF(AND(N5957&lt;&gt;N5956,ISNUMBER(SEARCH(Лист2!$B$6,N:N)),L5957=2),MAX($M$3:OFFSET(M5957,-1,0))+1,0)</f>
        <v>0</v>
      </c>
      <c r="N5957" s="3" t="s">
        <v>3492</v>
      </c>
    </row>
    <row r="5958" spans="1:14" x14ac:dyDescent="0.25">
      <c r="A5958" s="1" t="s">
        <v>14438</v>
      </c>
      <c r="B5958" s="3" t="s">
        <v>9574</v>
      </c>
      <c r="C5958" s="2">
        <f ca="1">IF(ISNUMBER(SEARCH(Лист2!$B$4,D:D)),MAX($C$3:OFFSET(C5958,-1,0))+1,0)</f>
        <v>0</v>
      </c>
      <c r="E5958" s="9" t="str">
        <f t="shared" ca="1" si="105"/>
        <v/>
      </c>
      <c r="F5958" s="4" t="s">
        <v>37</v>
      </c>
      <c r="G5958" s="2">
        <f>IF(ISNUMBER(SEARCH(Лист2!$B$4,F:F)),1,0)</f>
        <v>1</v>
      </c>
      <c r="H5958" s="3">
        <f ca="1">IF(AND(I5958&lt;&gt;I5957,ISNUMBER(SEARCH(Лист2!$B$5,I:I)),G5958=1),MAX($H$3:OFFSET(H5958,-1,0))+1,0)</f>
        <v>0</v>
      </c>
      <c r="I5958" s="3" t="s">
        <v>485</v>
      </c>
      <c r="K5958" s="2">
        <f>IF(ISNUMBER(SEARCH(Лист2!$B$4,F:F)),1,0)</f>
        <v>1</v>
      </c>
      <c r="L5958" s="14">
        <f>IF(ISNUMBER(SEARCH(Лист2!$B$5,I:I)),1,0)+K5958</f>
        <v>1</v>
      </c>
      <c r="M5958" s="3">
        <f ca="1">IF(AND(N5958&lt;&gt;N5957,ISNUMBER(SEARCH(Лист2!$B$6,N:N)),L5958=2),MAX($M$3:OFFSET(M5958,-1,0))+1,0)</f>
        <v>0</v>
      </c>
      <c r="N5958" s="3" t="s">
        <v>3493</v>
      </c>
    </row>
    <row r="5959" spans="1:14" x14ac:dyDescent="0.25">
      <c r="A5959" s="1" t="s">
        <v>14439</v>
      </c>
      <c r="B5959" s="3" t="s">
        <v>9575</v>
      </c>
      <c r="C5959" s="2">
        <f ca="1">IF(ISNUMBER(SEARCH(Лист2!$B$4,D:D)),MAX($C$3:OFFSET(C5959,-1,0))+1,0)</f>
        <v>0</v>
      </c>
      <c r="E5959" s="9" t="str">
        <f t="shared" ca="1" si="105"/>
        <v/>
      </c>
      <c r="F5959" s="4" t="s">
        <v>37</v>
      </c>
      <c r="G5959" s="2">
        <f>IF(ISNUMBER(SEARCH(Лист2!$B$4,F:F)),1,0)</f>
        <v>1</v>
      </c>
      <c r="H5959" s="3">
        <f ca="1">IF(AND(I5959&lt;&gt;I5958,ISNUMBER(SEARCH(Лист2!$B$5,I:I)),G5959=1),MAX($H$3:OFFSET(H5959,-1,0))+1,0)</f>
        <v>0</v>
      </c>
      <c r="I5959" s="3" t="s">
        <v>485</v>
      </c>
      <c r="K5959" s="2">
        <f>IF(ISNUMBER(SEARCH(Лист2!$B$4,F:F)),1,0)</f>
        <v>1</v>
      </c>
      <c r="L5959" s="14">
        <f>IF(ISNUMBER(SEARCH(Лист2!$B$5,I:I)),1,0)+K5959</f>
        <v>1</v>
      </c>
      <c r="M5959" s="3">
        <f ca="1">IF(AND(N5959&lt;&gt;N5958,ISNUMBER(SEARCH(Лист2!$B$6,N:N)),L5959=2),MAX($M$3:OFFSET(M5959,-1,0))+1,0)</f>
        <v>0</v>
      </c>
      <c r="N5959" s="3" t="s">
        <v>602</v>
      </c>
    </row>
    <row r="5960" spans="1:14" x14ac:dyDescent="0.25">
      <c r="A5960" s="1" t="s">
        <v>14440</v>
      </c>
      <c r="B5960" s="3" t="s">
        <v>9576</v>
      </c>
      <c r="C5960" s="2">
        <f ca="1">IF(ISNUMBER(SEARCH(Лист2!$B$4,D:D)),MAX($C$3:OFFSET(C5960,-1,0))+1,0)</f>
        <v>0</v>
      </c>
      <c r="E5960" s="9" t="str">
        <f t="shared" ca="1" si="105"/>
        <v/>
      </c>
      <c r="F5960" s="4" t="s">
        <v>37</v>
      </c>
      <c r="G5960" s="2">
        <f>IF(ISNUMBER(SEARCH(Лист2!$B$4,F:F)),1,0)</f>
        <v>1</v>
      </c>
      <c r="H5960" s="3">
        <f ca="1">IF(AND(I5960&lt;&gt;I5959,ISNUMBER(SEARCH(Лист2!$B$5,I:I)),G5960=1),MAX($H$3:OFFSET(H5960,-1,0))+1,0)</f>
        <v>0</v>
      </c>
      <c r="I5960" s="3" t="s">
        <v>485</v>
      </c>
      <c r="K5960" s="2">
        <f>IF(ISNUMBER(SEARCH(Лист2!$B$4,F:F)),1,0)</f>
        <v>1</v>
      </c>
      <c r="L5960" s="14">
        <f>IF(ISNUMBER(SEARCH(Лист2!$B$5,I:I)),1,0)+K5960</f>
        <v>1</v>
      </c>
      <c r="M5960" s="3">
        <f ca="1">IF(AND(N5960&lt;&gt;N5959,ISNUMBER(SEARCH(Лист2!$B$6,N:N)),L5960=2),MAX($M$3:OFFSET(M5960,-1,0))+1,0)</f>
        <v>0</v>
      </c>
      <c r="N5960" s="3" t="s">
        <v>3249</v>
      </c>
    </row>
    <row r="5961" spans="1:14" x14ac:dyDescent="0.25">
      <c r="A5961" s="1" t="s">
        <v>14441</v>
      </c>
      <c r="B5961" s="3" t="s">
        <v>9577</v>
      </c>
      <c r="C5961" s="2">
        <f ca="1">IF(ISNUMBER(SEARCH(Лист2!$B$4,D:D)),MAX($C$3:OFFSET(C5961,-1,0))+1,0)</f>
        <v>0</v>
      </c>
      <c r="E5961" s="9" t="str">
        <f t="shared" ca="1" si="105"/>
        <v/>
      </c>
      <c r="F5961" s="4" t="s">
        <v>37</v>
      </c>
      <c r="G5961" s="2">
        <f>IF(ISNUMBER(SEARCH(Лист2!$B$4,F:F)),1,0)</f>
        <v>1</v>
      </c>
      <c r="H5961" s="3">
        <f ca="1">IF(AND(I5961&lt;&gt;I5960,ISNUMBER(SEARCH(Лист2!$B$5,I:I)),G5961=1),MAX($H$3:OFFSET(H5961,-1,0))+1,0)</f>
        <v>0</v>
      </c>
      <c r="I5961" s="3" t="s">
        <v>486</v>
      </c>
      <c r="K5961" s="2">
        <f>IF(ISNUMBER(SEARCH(Лист2!$B$4,F:F)),1,0)</f>
        <v>1</v>
      </c>
      <c r="L5961" s="14">
        <f>IF(ISNUMBER(SEARCH(Лист2!$B$5,I:I)),1,0)+K5961</f>
        <v>1</v>
      </c>
      <c r="M5961" s="3">
        <f ca="1">IF(AND(N5961&lt;&gt;N5960,ISNUMBER(SEARCH(Лист2!$B$6,N:N)),L5961=2),MAX($M$3:OFFSET(M5961,-1,0))+1,0)</f>
        <v>0</v>
      </c>
      <c r="N5961" s="3" t="s">
        <v>3494</v>
      </c>
    </row>
    <row r="5962" spans="1:14" x14ac:dyDescent="0.25">
      <c r="A5962" s="1" t="s">
        <v>14442</v>
      </c>
      <c r="B5962" s="3" t="s">
        <v>9578</v>
      </c>
      <c r="C5962" s="2">
        <f ca="1">IF(ISNUMBER(SEARCH(Лист2!$B$4,D:D)),MAX($C$3:OFFSET(C5962,-1,0))+1,0)</f>
        <v>0</v>
      </c>
      <c r="E5962" s="9" t="str">
        <f t="shared" ca="1" si="105"/>
        <v/>
      </c>
      <c r="F5962" s="4" t="s">
        <v>37</v>
      </c>
      <c r="G5962" s="2">
        <f>IF(ISNUMBER(SEARCH(Лист2!$B$4,F:F)),1,0)</f>
        <v>1</v>
      </c>
      <c r="H5962" s="3">
        <f ca="1">IF(AND(I5962&lt;&gt;I5961,ISNUMBER(SEARCH(Лист2!$B$5,I:I)),G5962=1),MAX($H$3:OFFSET(H5962,-1,0))+1,0)</f>
        <v>0</v>
      </c>
      <c r="I5962" s="3" t="s">
        <v>486</v>
      </c>
      <c r="K5962" s="2">
        <f>IF(ISNUMBER(SEARCH(Лист2!$B$4,F:F)),1,0)</f>
        <v>1</v>
      </c>
      <c r="L5962" s="14">
        <f>IF(ISNUMBER(SEARCH(Лист2!$B$5,I:I)),1,0)+K5962</f>
        <v>1</v>
      </c>
      <c r="M5962" s="3">
        <f ca="1">IF(AND(N5962&lt;&gt;N5961,ISNUMBER(SEARCH(Лист2!$B$6,N:N)),L5962=2),MAX($M$3:OFFSET(M5962,-1,0))+1,0)</f>
        <v>0</v>
      </c>
      <c r="N5962" s="3" t="s">
        <v>3495</v>
      </c>
    </row>
    <row r="5963" spans="1:14" x14ac:dyDescent="0.25">
      <c r="A5963" s="1" t="s">
        <v>14443</v>
      </c>
      <c r="B5963" s="3" t="s">
        <v>9579</v>
      </c>
      <c r="C5963" s="2">
        <f ca="1">IF(ISNUMBER(SEARCH(Лист2!$B$4,D:D)),MAX($C$3:OFFSET(C5963,-1,0))+1,0)</f>
        <v>0</v>
      </c>
      <c r="E5963" s="9" t="str">
        <f t="shared" ca="1" si="105"/>
        <v/>
      </c>
      <c r="F5963" s="4" t="s">
        <v>37</v>
      </c>
      <c r="G5963" s="2">
        <f>IF(ISNUMBER(SEARCH(Лист2!$B$4,F:F)),1,0)</f>
        <v>1</v>
      </c>
      <c r="H5963" s="3">
        <f ca="1">IF(AND(I5963&lt;&gt;I5962,ISNUMBER(SEARCH(Лист2!$B$5,I:I)),G5963=1),MAX($H$3:OFFSET(H5963,-1,0))+1,0)</f>
        <v>0</v>
      </c>
      <c r="I5963" s="3" t="s">
        <v>486</v>
      </c>
      <c r="K5963" s="2">
        <f>IF(ISNUMBER(SEARCH(Лист2!$B$4,F:F)),1,0)</f>
        <v>1</v>
      </c>
      <c r="L5963" s="14">
        <f>IF(ISNUMBER(SEARCH(Лист2!$B$5,I:I)),1,0)+K5963</f>
        <v>1</v>
      </c>
      <c r="M5963" s="3">
        <f ca="1">IF(AND(N5963&lt;&gt;N5962,ISNUMBER(SEARCH(Лист2!$B$6,N:N)),L5963=2),MAX($M$3:OFFSET(M5963,-1,0))+1,0)</f>
        <v>0</v>
      </c>
      <c r="N5963" s="3" t="s">
        <v>3496</v>
      </c>
    </row>
    <row r="5964" spans="1:14" x14ac:dyDescent="0.25">
      <c r="A5964" s="1" t="s">
        <v>14443</v>
      </c>
      <c r="B5964" s="3" t="s">
        <v>9580</v>
      </c>
      <c r="C5964" s="2">
        <f ca="1">IF(ISNUMBER(SEARCH(Лист2!$B$4,D:D)),MAX($C$3:OFFSET(C5964,-1,0))+1,0)</f>
        <v>0</v>
      </c>
      <c r="E5964" s="9" t="str">
        <f t="shared" ca="1" si="105"/>
        <v/>
      </c>
      <c r="F5964" s="4" t="s">
        <v>37</v>
      </c>
      <c r="G5964" s="2">
        <f>IF(ISNUMBER(SEARCH(Лист2!$B$4,F:F)),1,0)</f>
        <v>1</v>
      </c>
      <c r="H5964" s="3">
        <f ca="1">IF(AND(I5964&lt;&gt;I5963,ISNUMBER(SEARCH(Лист2!$B$5,I:I)),G5964=1),MAX($H$3:OFFSET(H5964,-1,0))+1,0)</f>
        <v>0</v>
      </c>
      <c r="I5964" s="3" t="s">
        <v>486</v>
      </c>
      <c r="K5964" s="2">
        <f>IF(ISNUMBER(SEARCH(Лист2!$B$4,F:F)),1,0)</f>
        <v>1</v>
      </c>
      <c r="L5964" s="14">
        <f>IF(ISNUMBER(SEARCH(Лист2!$B$5,I:I)),1,0)+K5964</f>
        <v>1</v>
      </c>
      <c r="M5964" s="3">
        <f ca="1">IF(AND(N5964&lt;&gt;N5963,ISNUMBER(SEARCH(Лист2!$B$6,N:N)),L5964=2),MAX($M$3:OFFSET(M5964,-1,0))+1,0)</f>
        <v>0</v>
      </c>
      <c r="N5964" s="3" t="s">
        <v>3496</v>
      </c>
    </row>
    <row r="5965" spans="1:14" x14ac:dyDescent="0.25">
      <c r="A5965" s="1" t="s">
        <v>14443</v>
      </c>
      <c r="B5965" s="3" t="s">
        <v>9581</v>
      </c>
      <c r="C5965" s="2">
        <f ca="1">IF(ISNUMBER(SEARCH(Лист2!$B$4,D:D)),MAX($C$3:OFFSET(C5965,-1,0))+1,0)</f>
        <v>0</v>
      </c>
      <c r="E5965" s="9" t="str">
        <f t="shared" ca="1" si="105"/>
        <v/>
      </c>
      <c r="F5965" s="4" t="s">
        <v>37</v>
      </c>
      <c r="G5965" s="2">
        <f>IF(ISNUMBER(SEARCH(Лист2!$B$4,F:F)),1,0)</f>
        <v>1</v>
      </c>
      <c r="H5965" s="3">
        <f ca="1">IF(AND(I5965&lt;&gt;I5964,ISNUMBER(SEARCH(Лист2!$B$5,I:I)),G5965=1),MAX($H$3:OFFSET(H5965,-1,0))+1,0)</f>
        <v>0</v>
      </c>
      <c r="I5965" s="3" t="s">
        <v>486</v>
      </c>
      <c r="K5965" s="2">
        <f>IF(ISNUMBER(SEARCH(Лист2!$B$4,F:F)),1,0)</f>
        <v>1</v>
      </c>
      <c r="L5965" s="14">
        <f>IF(ISNUMBER(SEARCH(Лист2!$B$5,I:I)),1,0)+K5965</f>
        <v>1</v>
      </c>
      <c r="M5965" s="3">
        <f ca="1">IF(AND(N5965&lt;&gt;N5964,ISNUMBER(SEARCH(Лист2!$B$6,N:N)),L5965=2),MAX($M$3:OFFSET(M5965,-1,0))+1,0)</f>
        <v>0</v>
      </c>
      <c r="N5965" s="3" t="s">
        <v>3496</v>
      </c>
    </row>
    <row r="5966" spans="1:14" x14ac:dyDescent="0.25">
      <c r="A5966" s="1" t="s">
        <v>14444</v>
      </c>
      <c r="B5966" s="3" t="s">
        <v>9582</v>
      </c>
      <c r="C5966" s="2">
        <f ca="1">IF(ISNUMBER(SEARCH(Лист2!$B$4,D:D)),MAX($C$3:OFFSET(C5966,-1,0))+1,0)</f>
        <v>0</v>
      </c>
      <c r="E5966" s="9" t="str">
        <f t="shared" ca="1" si="105"/>
        <v/>
      </c>
      <c r="F5966" s="4" t="s">
        <v>37</v>
      </c>
      <c r="G5966" s="2">
        <f>IF(ISNUMBER(SEARCH(Лист2!$B$4,F:F)),1,0)</f>
        <v>1</v>
      </c>
      <c r="H5966" s="3">
        <f ca="1">IF(AND(I5966&lt;&gt;I5965,ISNUMBER(SEARCH(Лист2!$B$5,I:I)),G5966=1),MAX($H$3:OFFSET(H5966,-1,0))+1,0)</f>
        <v>0</v>
      </c>
      <c r="I5966" s="3" t="s">
        <v>486</v>
      </c>
      <c r="K5966" s="2">
        <f>IF(ISNUMBER(SEARCH(Лист2!$B$4,F:F)),1,0)</f>
        <v>1</v>
      </c>
      <c r="L5966" s="14">
        <f>IF(ISNUMBER(SEARCH(Лист2!$B$5,I:I)),1,0)+K5966</f>
        <v>1</v>
      </c>
      <c r="M5966" s="3">
        <f ca="1">IF(AND(N5966&lt;&gt;N5965,ISNUMBER(SEARCH(Лист2!$B$6,N:N)),L5966=2),MAX($M$3:OFFSET(M5966,-1,0))+1,0)</f>
        <v>0</v>
      </c>
      <c r="N5966" s="3" t="s">
        <v>3497</v>
      </c>
    </row>
    <row r="5967" spans="1:14" x14ac:dyDescent="0.25">
      <c r="A5967" s="1" t="s">
        <v>14444</v>
      </c>
      <c r="B5967" s="3" t="s">
        <v>9583</v>
      </c>
      <c r="C5967" s="2">
        <f ca="1">IF(ISNUMBER(SEARCH(Лист2!$B$4,D:D)),MAX($C$3:OFFSET(C5967,-1,0))+1,0)</f>
        <v>0</v>
      </c>
      <c r="E5967" s="9" t="str">
        <f t="shared" ca="1" si="105"/>
        <v/>
      </c>
      <c r="F5967" s="4" t="s">
        <v>37</v>
      </c>
      <c r="G5967" s="2">
        <f>IF(ISNUMBER(SEARCH(Лист2!$B$4,F:F)),1,0)</f>
        <v>1</v>
      </c>
      <c r="H5967" s="3">
        <f ca="1">IF(AND(I5967&lt;&gt;I5966,ISNUMBER(SEARCH(Лист2!$B$5,I:I)),G5967=1),MAX($H$3:OFFSET(H5967,-1,0))+1,0)</f>
        <v>0</v>
      </c>
      <c r="I5967" s="3" t="s">
        <v>486</v>
      </c>
      <c r="K5967" s="2">
        <f>IF(ISNUMBER(SEARCH(Лист2!$B$4,F:F)),1,0)</f>
        <v>1</v>
      </c>
      <c r="L5967" s="14">
        <f>IF(ISNUMBER(SEARCH(Лист2!$B$5,I:I)),1,0)+K5967</f>
        <v>1</v>
      </c>
      <c r="M5967" s="3">
        <f ca="1">IF(AND(N5967&lt;&gt;N5966,ISNUMBER(SEARCH(Лист2!$B$6,N:N)),L5967=2),MAX($M$3:OFFSET(M5967,-1,0))+1,0)</f>
        <v>0</v>
      </c>
      <c r="N5967" s="3" t="s">
        <v>3497</v>
      </c>
    </row>
    <row r="5968" spans="1:14" x14ac:dyDescent="0.25">
      <c r="A5968" s="1" t="s">
        <v>14444</v>
      </c>
      <c r="B5968" s="3" t="s">
        <v>9584</v>
      </c>
      <c r="C5968" s="2">
        <f ca="1">IF(ISNUMBER(SEARCH(Лист2!$B$4,D:D)),MAX($C$3:OFFSET(C5968,-1,0))+1,0)</f>
        <v>0</v>
      </c>
      <c r="E5968" s="9" t="str">
        <f t="shared" ca="1" si="105"/>
        <v/>
      </c>
      <c r="F5968" s="4" t="s">
        <v>37</v>
      </c>
      <c r="G5968" s="2">
        <f>IF(ISNUMBER(SEARCH(Лист2!$B$4,F:F)),1,0)</f>
        <v>1</v>
      </c>
      <c r="H5968" s="3">
        <f ca="1">IF(AND(I5968&lt;&gt;I5967,ISNUMBER(SEARCH(Лист2!$B$5,I:I)),G5968=1),MAX($H$3:OFFSET(H5968,-1,0))+1,0)</f>
        <v>0</v>
      </c>
      <c r="I5968" s="3" t="s">
        <v>486</v>
      </c>
      <c r="K5968" s="2">
        <f>IF(ISNUMBER(SEARCH(Лист2!$B$4,F:F)),1,0)</f>
        <v>1</v>
      </c>
      <c r="L5968" s="14">
        <f>IF(ISNUMBER(SEARCH(Лист2!$B$5,I:I)),1,0)+K5968</f>
        <v>1</v>
      </c>
      <c r="M5968" s="3">
        <f ca="1">IF(AND(N5968&lt;&gt;N5967,ISNUMBER(SEARCH(Лист2!$B$6,N:N)),L5968=2),MAX($M$3:OFFSET(M5968,-1,0))+1,0)</f>
        <v>0</v>
      </c>
      <c r="N5968" s="3" t="s">
        <v>3497</v>
      </c>
    </row>
    <row r="5969" spans="1:14" x14ac:dyDescent="0.25">
      <c r="A5969" s="1" t="s">
        <v>14445</v>
      </c>
      <c r="B5969" s="3" t="s">
        <v>9585</v>
      </c>
      <c r="C5969" s="2">
        <f ca="1">IF(ISNUMBER(SEARCH(Лист2!$B$4,D:D)),MAX($C$3:OFFSET(C5969,-1,0))+1,0)</f>
        <v>0</v>
      </c>
      <c r="E5969" s="9" t="str">
        <f t="shared" ca="1" si="105"/>
        <v/>
      </c>
      <c r="F5969" s="4" t="s">
        <v>37</v>
      </c>
      <c r="G5969" s="2">
        <f>IF(ISNUMBER(SEARCH(Лист2!$B$4,F:F)),1,0)</f>
        <v>1</v>
      </c>
      <c r="H5969" s="3">
        <f ca="1">IF(AND(I5969&lt;&gt;I5968,ISNUMBER(SEARCH(Лист2!$B$5,I:I)),G5969=1),MAX($H$3:OFFSET(H5969,-1,0))+1,0)</f>
        <v>0</v>
      </c>
      <c r="I5969" s="3" t="s">
        <v>486</v>
      </c>
      <c r="K5969" s="2">
        <f>IF(ISNUMBER(SEARCH(Лист2!$B$4,F:F)),1,0)</f>
        <v>1</v>
      </c>
      <c r="L5969" s="14">
        <f>IF(ISNUMBER(SEARCH(Лист2!$B$5,I:I)),1,0)+K5969</f>
        <v>1</v>
      </c>
      <c r="M5969" s="3">
        <f ca="1">IF(AND(N5969&lt;&gt;N5968,ISNUMBER(SEARCH(Лист2!$B$6,N:N)),L5969=2),MAX($M$3:OFFSET(M5969,-1,0))+1,0)</f>
        <v>0</v>
      </c>
      <c r="N5969" s="3" t="s">
        <v>1385</v>
      </c>
    </row>
    <row r="5970" spans="1:14" x14ac:dyDescent="0.25">
      <c r="A5970" s="1" t="s">
        <v>14446</v>
      </c>
      <c r="B5970" s="3" t="s">
        <v>9586</v>
      </c>
      <c r="C5970" s="2">
        <f ca="1">IF(ISNUMBER(SEARCH(Лист2!$B$4,D:D)),MAX($C$3:OFFSET(C5970,-1,0))+1,0)</f>
        <v>0</v>
      </c>
      <c r="E5970" s="9" t="str">
        <f t="shared" ca="1" si="105"/>
        <v/>
      </c>
      <c r="F5970" s="4" t="s">
        <v>37</v>
      </c>
      <c r="G5970" s="2">
        <f>IF(ISNUMBER(SEARCH(Лист2!$B$4,F:F)),1,0)</f>
        <v>1</v>
      </c>
      <c r="H5970" s="3">
        <f ca="1">IF(AND(I5970&lt;&gt;I5969,ISNUMBER(SEARCH(Лист2!$B$5,I:I)),G5970=1),MAX($H$3:OFFSET(H5970,-1,0))+1,0)</f>
        <v>0</v>
      </c>
      <c r="I5970" s="3" t="s">
        <v>486</v>
      </c>
      <c r="K5970" s="2">
        <f>IF(ISNUMBER(SEARCH(Лист2!$B$4,F:F)),1,0)</f>
        <v>1</v>
      </c>
      <c r="L5970" s="14">
        <f>IF(ISNUMBER(SEARCH(Лист2!$B$5,I:I)),1,0)+K5970</f>
        <v>1</v>
      </c>
      <c r="M5970" s="3">
        <f ca="1">IF(AND(N5970&lt;&gt;N5969,ISNUMBER(SEARCH(Лист2!$B$6,N:N)),L5970=2),MAX($M$3:OFFSET(M5970,-1,0))+1,0)</f>
        <v>0</v>
      </c>
      <c r="N5970" s="3" t="s">
        <v>3498</v>
      </c>
    </row>
    <row r="5971" spans="1:14" x14ac:dyDescent="0.25">
      <c r="A5971" s="1" t="s">
        <v>14447</v>
      </c>
      <c r="B5971" s="3" t="s">
        <v>9587</v>
      </c>
      <c r="C5971" s="2">
        <f ca="1">IF(ISNUMBER(SEARCH(Лист2!$B$4,D:D)),MAX($C$3:OFFSET(C5971,-1,0))+1,0)</f>
        <v>0</v>
      </c>
      <c r="E5971" s="9" t="str">
        <f t="shared" ca="1" si="105"/>
        <v/>
      </c>
      <c r="F5971" s="4" t="s">
        <v>37</v>
      </c>
      <c r="G5971" s="2">
        <f>IF(ISNUMBER(SEARCH(Лист2!$B$4,F:F)),1,0)</f>
        <v>1</v>
      </c>
      <c r="H5971" s="3">
        <f ca="1">IF(AND(I5971&lt;&gt;I5970,ISNUMBER(SEARCH(Лист2!$B$5,I:I)),G5971=1),MAX($H$3:OFFSET(H5971,-1,0))+1,0)</f>
        <v>0</v>
      </c>
      <c r="I5971" s="3" t="s">
        <v>486</v>
      </c>
      <c r="K5971" s="2">
        <f>IF(ISNUMBER(SEARCH(Лист2!$B$4,F:F)),1,0)</f>
        <v>1</v>
      </c>
      <c r="L5971" s="14">
        <f>IF(ISNUMBER(SEARCH(Лист2!$B$5,I:I)),1,0)+K5971</f>
        <v>1</v>
      </c>
      <c r="M5971" s="3">
        <f ca="1">IF(AND(N5971&lt;&gt;N5970,ISNUMBER(SEARCH(Лист2!$B$6,N:N)),L5971=2),MAX($M$3:OFFSET(M5971,-1,0))+1,0)</f>
        <v>0</v>
      </c>
      <c r="N5971" s="3" t="s">
        <v>3499</v>
      </c>
    </row>
    <row r="5972" spans="1:14" x14ac:dyDescent="0.25">
      <c r="A5972" s="1" t="s">
        <v>14448</v>
      </c>
      <c r="B5972" s="3" t="s">
        <v>9588</v>
      </c>
      <c r="C5972" s="2">
        <f ca="1">IF(ISNUMBER(SEARCH(Лист2!$B$4,D:D)),MAX($C$3:OFFSET(C5972,-1,0))+1,0)</f>
        <v>0</v>
      </c>
      <c r="E5972" s="9" t="str">
        <f t="shared" ca="1" si="105"/>
        <v/>
      </c>
      <c r="F5972" s="4" t="s">
        <v>37</v>
      </c>
      <c r="G5972" s="2">
        <f>IF(ISNUMBER(SEARCH(Лист2!$B$4,F:F)),1,0)</f>
        <v>1</v>
      </c>
      <c r="H5972" s="3">
        <f ca="1">IF(AND(I5972&lt;&gt;I5971,ISNUMBER(SEARCH(Лист2!$B$5,I:I)),G5972=1),MAX($H$3:OFFSET(H5972,-1,0))+1,0)</f>
        <v>0</v>
      </c>
      <c r="I5972" s="3" t="s">
        <v>486</v>
      </c>
      <c r="K5972" s="2">
        <f>IF(ISNUMBER(SEARCH(Лист2!$B$4,F:F)),1,0)</f>
        <v>1</v>
      </c>
      <c r="L5972" s="14">
        <f>IF(ISNUMBER(SEARCH(Лист2!$B$5,I:I)),1,0)+K5972</f>
        <v>1</v>
      </c>
      <c r="M5972" s="3">
        <f ca="1">IF(AND(N5972&lt;&gt;N5971,ISNUMBER(SEARCH(Лист2!$B$6,N:N)),L5972=2),MAX($M$3:OFFSET(M5972,-1,0))+1,0)</f>
        <v>0</v>
      </c>
      <c r="N5972" s="3" t="s">
        <v>602</v>
      </c>
    </row>
    <row r="5973" spans="1:14" x14ac:dyDescent="0.25">
      <c r="A5973" s="1" t="s">
        <v>14449</v>
      </c>
      <c r="B5973" s="3" t="s">
        <v>9589</v>
      </c>
      <c r="C5973" s="2">
        <f ca="1">IF(ISNUMBER(SEARCH(Лист2!$B$4,D:D)),MAX($C$3:OFFSET(C5973,-1,0))+1,0)</f>
        <v>0</v>
      </c>
      <c r="E5973" s="9" t="str">
        <f t="shared" ca="1" si="105"/>
        <v/>
      </c>
      <c r="F5973" s="4" t="s">
        <v>37</v>
      </c>
      <c r="G5973" s="2">
        <f>IF(ISNUMBER(SEARCH(Лист2!$B$4,F:F)),1,0)</f>
        <v>1</v>
      </c>
      <c r="H5973" s="3">
        <f ca="1">IF(AND(I5973&lt;&gt;I5972,ISNUMBER(SEARCH(Лист2!$B$5,I:I)),G5973=1),MAX($H$3:OFFSET(H5973,-1,0))+1,0)</f>
        <v>0</v>
      </c>
      <c r="I5973" s="3" t="s">
        <v>486</v>
      </c>
      <c r="K5973" s="2">
        <f>IF(ISNUMBER(SEARCH(Лист2!$B$4,F:F)),1,0)</f>
        <v>1</v>
      </c>
      <c r="L5973" s="14">
        <f>IF(ISNUMBER(SEARCH(Лист2!$B$5,I:I)),1,0)+K5973</f>
        <v>1</v>
      </c>
      <c r="M5973" s="3">
        <f ca="1">IF(AND(N5973&lt;&gt;N5972,ISNUMBER(SEARCH(Лист2!$B$6,N:N)),L5973=2),MAX($M$3:OFFSET(M5973,-1,0))+1,0)</f>
        <v>0</v>
      </c>
      <c r="N5973" s="3" t="s">
        <v>3500</v>
      </c>
    </row>
    <row r="5974" spans="1:14" x14ac:dyDescent="0.25">
      <c r="A5974" s="1" t="s">
        <v>432</v>
      </c>
      <c r="C5974" s="2">
        <f ca="1">IF(ISNUMBER(SEARCH(Лист2!$B$4,D:D)),MAX($C$3:OFFSET(C5974,-1,0))+1,0)</f>
        <v>0</v>
      </c>
      <c r="E5974" s="9" t="str">
        <f t="shared" ca="1" si="105"/>
        <v/>
      </c>
      <c r="G5974" s="2">
        <f>IF(ISNUMBER(SEARCH(Лист2!$B$4,F:F)),1,0)</f>
        <v>0</v>
      </c>
      <c r="H5974" s="3">
        <f ca="1">IF(AND(I5974&lt;&gt;I5973,ISNUMBER(SEARCH(Лист2!$B$5,I:I)),G5974=1),MAX($H$3:OFFSET(H5974,-1,0))+1,0)</f>
        <v>0</v>
      </c>
      <c r="K5974" s="2">
        <f>IF(ISNUMBER(SEARCH(Лист2!$B$4,F:F)),1,0)</f>
        <v>0</v>
      </c>
      <c r="L5974" s="14">
        <f>IF(ISNUMBER(SEARCH(Лист2!$B$5,I:I)),1,0)+K5974</f>
        <v>0</v>
      </c>
      <c r="M5974" s="3">
        <f ca="1">IF(AND(N5974&lt;&gt;N5973,ISNUMBER(SEARCH(Лист2!$B$6,N:N)),L5974=2),MAX($M$3:OFFSET(M5974,-1,0))+1,0)</f>
        <v>0</v>
      </c>
      <c r="N5974" s="3" t="s">
        <v>432</v>
      </c>
    </row>
    <row r="5975" spans="1:14" x14ac:dyDescent="0.25">
      <c r="A5975" s="1" t="s">
        <v>14450</v>
      </c>
      <c r="B5975" s="3" t="s">
        <v>9590</v>
      </c>
      <c r="C5975" s="2">
        <f ca="1">IF(ISNUMBER(SEARCH(Лист2!$B$4,D:D)),MAX($C$3:OFFSET(C5975,-1,0))+1,0)</f>
        <v>0</v>
      </c>
      <c r="E5975" s="9" t="str">
        <f t="shared" ca="1" si="105"/>
        <v/>
      </c>
      <c r="F5975" s="4" t="s">
        <v>37</v>
      </c>
      <c r="G5975" s="2">
        <f>IF(ISNUMBER(SEARCH(Лист2!$B$4,F:F)),1,0)</f>
        <v>1</v>
      </c>
      <c r="H5975" s="3">
        <f ca="1">IF(AND(I5975&lt;&gt;I5974,ISNUMBER(SEARCH(Лист2!$B$5,I:I)),G5975=1),MAX($H$3:OFFSET(H5975,-1,0))+1,0)</f>
        <v>0</v>
      </c>
      <c r="I5975" s="3" t="s">
        <v>218</v>
      </c>
      <c r="K5975" s="2">
        <f>IF(ISNUMBER(SEARCH(Лист2!$B$4,F:F)),1,0)</f>
        <v>1</v>
      </c>
      <c r="L5975" s="14">
        <f>IF(ISNUMBER(SEARCH(Лист2!$B$5,I:I)),1,0)+K5975</f>
        <v>1</v>
      </c>
      <c r="M5975" s="3">
        <f ca="1">IF(AND(N5975&lt;&gt;N5974,ISNUMBER(SEARCH(Лист2!$B$6,N:N)),L5975=2),MAX($M$3:OFFSET(M5975,-1,0))+1,0)</f>
        <v>0</v>
      </c>
      <c r="N5975" s="3" t="s">
        <v>3501</v>
      </c>
    </row>
    <row r="5976" spans="1:14" x14ac:dyDescent="0.25">
      <c r="A5976" s="1" t="s">
        <v>14451</v>
      </c>
      <c r="B5976" s="3" t="s">
        <v>9591</v>
      </c>
      <c r="C5976" s="2">
        <f ca="1">IF(ISNUMBER(SEARCH(Лист2!$B$4,D:D)),MAX($C$3:OFFSET(C5976,-1,0))+1,0)</f>
        <v>0</v>
      </c>
      <c r="E5976" s="9" t="str">
        <f t="shared" ca="1" si="105"/>
        <v/>
      </c>
      <c r="F5976" s="4" t="s">
        <v>16</v>
      </c>
      <c r="G5976" s="2">
        <f>IF(ISNUMBER(SEARCH(Лист2!$B$4,F:F)),1,0)</f>
        <v>0</v>
      </c>
      <c r="H5976" s="3">
        <f ca="1">IF(AND(I5976&lt;&gt;I5975,ISNUMBER(SEARCH(Лист2!$B$5,I:I)),G5976=1),MAX($H$3:OFFSET(H5976,-1,0))+1,0)</f>
        <v>0</v>
      </c>
      <c r="I5976" s="3" t="s">
        <v>46</v>
      </c>
      <c r="K5976" s="2">
        <f>IF(ISNUMBER(SEARCH(Лист2!$B$4,F:F)),1,0)</f>
        <v>0</v>
      </c>
      <c r="L5976" s="14">
        <f>IF(ISNUMBER(SEARCH(Лист2!$B$5,I:I)),1,0)+K5976</f>
        <v>0</v>
      </c>
      <c r="M5976" s="3">
        <f ca="1">IF(AND(N5976&lt;&gt;N5975,ISNUMBER(SEARCH(Лист2!$B$6,N:N)),L5976=2),MAX($M$3:OFFSET(M5976,-1,0))+1,0)</f>
        <v>0</v>
      </c>
      <c r="N5976" s="3" t="s">
        <v>516</v>
      </c>
    </row>
    <row r="5977" spans="1:14" x14ac:dyDescent="0.25">
      <c r="A5977" s="1" t="s">
        <v>14080</v>
      </c>
      <c r="C5977" s="2">
        <f ca="1">IF(ISNUMBER(SEARCH(Лист2!$B$4,D:D)),MAX($C$3:OFFSET(C5977,-1,0))+1,0)</f>
        <v>0</v>
      </c>
      <c r="E5977" s="9" t="str">
        <f t="shared" ca="1" si="105"/>
        <v/>
      </c>
      <c r="G5977" s="2">
        <f>IF(ISNUMBER(SEARCH(Лист2!$B$4,F:F)),1,0)</f>
        <v>0</v>
      </c>
      <c r="H5977" s="3">
        <f ca="1">IF(AND(I5977&lt;&gt;I5976,ISNUMBER(SEARCH(Лист2!$B$5,I:I)),G5977=1),MAX($H$3:OFFSET(H5977,-1,0))+1,0)</f>
        <v>0</v>
      </c>
      <c r="K5977" s="2">
        <f>IF(ISNUMBER(SEARCH(Лист2!$B$4,F:F)),1,0)</f>
        <v>0</v>
      </c>
      <c r="L5977" s="14">
        <f>IF(ISNUMBER(SEARCH(Лист2!$B$5,I:I)),1,0)+K5977</f>
        <v>0</v>
      </c>
      <c r="M5977" s="3">
        <f ca="1">IF(AND(N5977&lt;&gt;N5976,ISNUMBER(SEARCH(Лист2!$B$6,N:N)),L5977=2),MAX($M$3:OFFSET(M5977,-1,0))+1,0)</f>
        <v>0</v>
      </c>
    </row>
    <row r="5978" spans="1:14" x14ac:dyDescent="0.25">
      <c r="A5978" s="1" t="s">
        <v>14452</v>
      </c>
      <c r="B5978" s="3" t="s">
        <v>9592</v>
      </c>
      <c r="C5978" s="2">
        <f ca="1">IF(ISNUMBER(SEARCH(Лист2!$B$4,D:D)),MAX($C$3:OFFSET(C5978,-1,0))+1,0)</f>
        <v>0</v>
      </c>
      <c r="E5978" s="9" t="str">
        <f t="shared" ca="1" si="105"/>
        <v/>
      </c>
      <c r="F5978" s="4" t="s">
        <v>7</v>
      </c>
      <c r="G5978" s="2">
        <f>IF(ISNUMBER(SEARCH(Лист2!$B$4,F:F)),1,0)</f>
        <v>0</v>
      </c>
      <c r="H5978" s="3">
        <f ca="1">IF(AND(I5978&lt;&gt;I5977,ISNUMBER(SEARCH(Лист2!$B$5,I:I)),G5978=1),MAX($H$3:OFFSET(H5978,-1,0))+1,0)</f>
        <v>0</v>
      </c>
      <c r="I5978" s="3" t="s">
        <v>487</v>
      </c>
      <c r="K5978" s="2">
        <f>IF(ISNUMBER(SEARCH(Лист2!$B$4,F:F)),1,0)</f>
        <v>0</v>
      </c>
      <c r="L5978" s="14">
        <f>IF(ISNUMBER(SEARCH(Лист2!$B$5,I:I)),1,0)+K5978</f>
        <v>0</v>
      </c>
      <c r="M5978" s="3">
        <f ca="1">IF(AND(N5978&lt;&gt;N5977,ISNUMBER(SEARCH(Лист2!$B$6,N:N)),L5978=2),MAX($M$3:OFFSET(M5978,-1,0))+1,0)</f>
        <v>0</v>
      </c>
      <c r="N5978" s="3" t="s">
        <v>3502</v>
      </c>
    </row>
    <row r="5979" spans="1:14" x14ac:dyDescent="0.25">
      <c r="A5979" s="1" t="s">
        <v>14453</v>
      </c>
      <c r="B5979" s="3" t="s">
        <v>9593</v>
      </c>
      <c r="C5979" s="2">
        <f ca="1">IF(ISNUMBER(SEARCH(Лист2!$B$4,D:D)),MAX($C$3:OFFSET(C5979,-1,0))+1,0)</f>
        <v>0</v>
      </c>
      <c r="E5979" s="9" t="str">
        <f t="shared" ca="1" si="105"/>
        <v/>
      </c>
      <c r="F5979" s="4" t="s">
        <v>7</v>
      </c>
      <c r="G5979" s="2">
        <f>IF(ISNUMBER(SEARCH(Лист2!$B$4,F:F)),1,0)</f>
        <v>0</v>
      </c>
      <c r="H5979" s="3">
        <f ca="1">IF(AND(I5979&lt;&gt;I5978,ISNUMBER(SEARCH(Лист2!$B$5,I:I)),G5979=1),MAX($H$3:OFFSET(H5979,-1,0))+1,0)</f>
        <v>0</v>
      </c>
      <c r="I5979" s="3" t="s">
        <v>487</v>
      </c>
      <c r="K5979" s="2">
        <f>IF(ISNUMBER(SEARCH(Лист2!$B$4,F:F)),1,0)</f>
        <v>0</v>
      </c>
      <c r="L5979" s="14">
        <f>IF(ISNUMBER(SEARCH(Лист2!$B$5,I:I)),1,0)+K5979</f>
        <v>0</v>
      </c>
      <c r="M5979" s="3">
        <f ca="1">IF(AND(N5979&lt;&gt;N5978,ISNUMBER(SEARCH(Лист2!$B$6,N:N)),L5979=2),MAX($M$3:OFFSET(M5979,-1,0))+1,0)</f>
        <v>0</v>
      </c>
      <c r="N5979" s="3" t="s">
        <v>3503</v>
      </c>
    </row>
    <row r="5980" spans="1:14" x14ac:dyDescent="0.25">
      <c r="A5980" s="1" t="s">
        <v>14454</v>
      </c>
      <c r="B5980" s="3" t="s">
        <v>9594</v>
      </c>
      <c r="C5980" s="2">
        <f ca="1">IF(ISNUMBER(SEARCH(Лист2!$B$4,D:D)),MAX($C$3:OFFSET(C5980,-1,0))+1,0)</f>
        <v>0</v>
      </c>
      <c r="E5980" s="9" t="str">
        <f t="shared" ca="1" si="105"/>
        <v/>
      </c>
      <c r="F5980" s="4" t="s">
        <v>7</v>
      </c>
      <c r="G5980" s="2">
        <f>IF(ISNUMBER(SEARCH(Лист2!$B$4,F:F)),1,0)</f>
        <v>0</v>
      </c>
      <c r="H5980" s="3">
        <f ca="1">IF(AND(I5980&lt;&gt;I5979,ISNUMBER(SEARCH(Лист2!$B$5,I:I)),G5980=1),MAX($H$3:OFFSET(H5980,-1,0))+1,0)</f>
        <v>0</v>
      </c>
      <c r="I5980" s="3" t="s">
        <v>487</v>
      </c>
      <c r="K5980" s="2">
        <f>IF(ISNUMBER(SEARCH(Лист2!$B$4,F:F)),1,0)</f>
        <v>0</v>
      </c>
      <c r="L5980" s="14">
        <f>IF(ISNUMBER(SEARCH(Лист2!$B$5,I:I)),1,0)+K5980</f>
        <v>0</v>
      </c>
      <c r="M5980" s="3">
        <f ca="1">IF(AND(N5980&lt;&gt;N5979,ISNUMBER(SEARCH(Лист2!$B$6,N:N)),L5980=2),MAX($M$3:OFFSET(M5980,-1,0))+1,0)</f>
        <v>0</v>
      </c>
      <c r="N5980" s="3" t="s">
        <v>3504</v>
      </c>
    </row>
    <row r="5981" spans="1:14" x14ac:dyDescent="0.25">
      <c r="A5981" s="1" t="s">
        <v>14455</v>
      </c>
      <c r="B5981" s="3" t="s">
        <v>9595</v>
      </c>
      <c r="C5981" s="2">
        <f ca="1">IF(ISNUMBER(SEARCH(Лист2!$B$4,D:D)),MAX($C$3:OFFSET(C5981,-1,0))+1,0)</f>
        <v>0</v>
      </c>
      <c r="E5981" s="9" t="str">
        <f t="shared" ca="1" si="105"/>
        <v/>
      </c>
      <c r="F5981" s="4" t="s">
        <v>7</v>
      </c>
      <c r="G5981" s="2">
        <f>IF(ISNUMBER(SEARCH(Лист2!$B$4,F:F)),1,0)</f>
        <v>0</v>
      </c>
      <c r="H5981" s="3">
        <f ca="1">IF(AND(I5981&lt;&gt;I5980,ISNUMBER(SEARCH(Лист2!$B$5,I:I)),G5981=1),MAX($H$3:OFFSET(H5981,-1,0))+1,0)</f>
        <v>0</v>
      </c>
      <c r="I5981" s="3" t="s">
        <v>487</v>
      </c>
      <c r="K5981" s="2">
        <f>IF(ISNUMBER(SEARCH(Лист2!$B$4,F:F)),1,0)</f>
        <v>0</v>
      </c>
      <c r="L5981" s="14">
        <f>IF(ISNUMBER(SEARCH(Лист2!$B$5,I:I)),1,0)+K5981</f>
        <v>0</v>
      </c>
      <c r="M5981" s="3">
        <f ca="1">IF(AND(N5981&lt;&gt;N5980,ISNUMBER(SEARCH(Лист2!$B$6,N:N)),L5981=2),MAX($M$3:OFFSET(M5981,-1,0))+1,0)</f>
        <v>0</v>
      </c>
      <c r="N5981" s="3" t="s">
        <v>3505</v>
      </c>
    </row>
    <row r="5982" spans="1:14" x14ac:dyDescent="0.25">
      <c r="A5982" s="1" t="s">
        <v>14456</v>
      </c>
      <c r="B5982" s="3" t="s">
        <v>9596</v>
      </c>
      <c r="C5982" s="2">
        <f ca="1">IF(ISNUMBER(SEARCH(Лист2!$B$4,D:D)),MAX($C$3:OFFSET(C5982,-1,0))+1,0)</f>
        <v>0</v>
      </c>
      <c r="E5982" s="9" t="str">
        <f t="shared" ca="1" si="105"/>
        <v/>
      </c>
      <c r="F5982" s="4" t="s">
        <v>7</v>
      </c>
      <c r="G5982" s="2">
        <f>IF(ISNUMBER(SEARCH(Лист2!$B$4,F:F)),1,0)</f>
        <v>0</v>
      </c>
      <c r="H5982" s="3">
        <f ca="1">IF(AND(I5982&lt;&gt;I5981,ISNUMBER(SEARCH(Лист2!$B$5,I:I)),G5982=1),MAX($H$3:OFFSET(H5982,-1,0))+1,0)</f>
        <v>0</v>
      </c>
      <c r="I5982" s="3" t="s">
        <v>487</v>
      </c>
      <c r="K5982" s="2">
        <f>IF(ISNUMBER(SEARCH(Лист2!$B$4,F:F)),1,0)</f>
        <v>0</v>
      </c>
      <c r="L5982" s="14">
        <f>IF(ISNUMBER(SEARCH(Лист2!$B$5,I:I)),1,0)+K5982</f>
        <v>0</v>
      </c>
      <c r="M5982" s="3">
        <f ca="1">IF(AND(N5982&lt;&gt;N5981,ISNUMBER(SEARCH(Лист2!$B$6,N:N)),L5982=2),MAX($M$3:OFFSET(M5982,-1,0))+1,0)</f>
        <v>0</v>
      </c>
      <c r="N5982" s="3" t="s">
        <v>3506</v>
      </c>
    </row>
    <row r="5983" spans="1:14" x14ac:dyDescent="0.25">
      <c r="A5983" s="1" t="s">
        <v>14456</v>
      </c>
      <c r="B5983" s="3" t="s">
        <v>9597</v>
      </c>
      <c r="C5983" s="2">
        <f ca="1">IF(ISNUMBER(SEARCH(Лист2!$B$4,D:D)),MAX($C$3:OFFSET(C5983,-1,0))+1,0)</f>
        <v>0</v>
      </c>
      <c r="E5983" s="9" t="str">
        <f t="shared" ca="1" si="105"/>
        <v/>
      </c>
      <c r="F5983" s="4" t="s">
        <v>7</v>
      </c>
      <c r="G5983" s="2">
        <f>IF(ISNUMBER(SEARCH(Лист2!$B$4,F:F)),1,0)</f>
        <v>0</v>
      </c>
      <c r="H5983" s="3">
        <f ca="1">IF(AND(I5983&lt;&gt;I5982,ISNUMBER(SEARCH(Лист2!$B$5,I:I)),G5983=1),MAX($H$3:OFFSET(H5983,-1,0))+1,0)</f>
        <v>0</v>
      </c>
      <c r="I5983" s="3" t="s">
        <v>487</v>
      </c>
      <c r="K5983" s="2">
        <f>IF(ISNUMBER(SEARCH(Лист2!$B$4,F:F)),1,0)</f>
        <v>0</v>
      </c>
      <c r="L5983" s="14">
        <f>IF(ISNUMBER(SEARCH(Лист2!$B$5,I:I)),1,0)+K5983</f>
        <v>0</v>
      </c>
      <c r="M5983" s="3">
        <f ca="1">IF(AND(N5983&lt;&gt;N5982,ISNUMBER(SEARCH(Лист2!$B$6,N:N)),L5983=2),MAX($M$3:OFFSET(M5983,-1,0))+1,0)</f>
        <v>0</v>
      </c>
      <c r="N5983" s="3" t="s">
        <v>3506</v>
      </c>
    </row>
    <row r="5984" spans="1:14" x14ac:dyDescent="0.25">
      <c r="A5984" s="1" t="s">
        <v>14456</v>
      </c>
      <c r="B5984" s="3" t="s">
        <v>9598</v>
      </c>
      <c r="C5984" s="2">
        <f ca="1">IF(ISNUMBER(SEARCH(Лист2!$B$4,D:D)),MAX($C$3:OFFSET(C5984,-1,0))+1,0)</f>
        <v>0</v>
      </c>
      <c r="E5984" s="9" t="str">
        <f t="shared" ca="1" si="105"/>
        <v/>
      </c>
      <c r="F5984" s="4" t="s">
        <v>7</v>
      </c>
      <c r="G5984" s="2">
        <f>IF(ISNUMBER(SEARCH(Лист2!$B$4,F:F)),1,0)</f>
        <v>0</v>
      </c>
      <c r="H5984" s="3">
        <f ca="1">IF(AND(I5984&lt;&gt;I5983,ISNUMBER(SEARCH(Лист2!$B$5,I:I)),G5984=1),MAX($H$3:OFFSET(H5984,-1,0))+1,0)</f>
        <v>0</v>
      </c>
      <c r="I5984" s="3" t="s">
        <v>487</v>
      </c>
      <c r="K5984" s="2">
        <f>IF(ISNUMBER(SEARCH(Лист2!$B$4,F:F)),1,0)</f>
        <v>0</v>
      </c>
      <c r="L5984" s="14">
        <f>IF(ISNUMBER(SEARCH(Лист2!$B$5,I:I)),1,0)+K5984</f>
        <v>0</v>
      </c>
      <c r="M5984" s="3">
        <f ca="1">IF(AND(N5984&lt;&gt;N5983,ISNUMBER(SEARCH(Лист2!$B$6,N:N)),L5984=2),MAX($M$3:OFFSET(M5984,-1,0))+1,0)</f>
        <v>0</v>
      </c>
      <c r="N5984" s="3" t="s">
        <v>3506</v>
      </c>
    </row>
    <row r="5985" spans="1:14" x14ac:dyDescent="0.25">
      <c r="A5985" s="1" t="s">
        <v>14457</v>
      </c>
      <c r="B5985" s="3" t="s">
        <v>9599</v>
      </c>
      <c r="C5985" s="2">
        <f ca="1">IF(ISNUMBER(SEARCH(Лист2!$B$4,D:D)),MAX($C$3:OFFSET(C5985,-1,0))+1,0)</f>
        <v>0</v>
      </c>
      <c r="E5985" s="9" t="str">
        <f t="shared" ca="1" si="105"/>
        <v/>
      </c>
      <c r="F5985" s="4" t="s">
        <v>7</v>
      </c>
      <c r="G5985" s="2">
        <f>IF(ISNUMBER(SEARCH(Лист2!$B$4,F:F)),1,0)</f>
        <v>0</v>
      </c>
      <c r="H5985" s="3">
        <f ca="1">IF(AND(I5985&lt;&gt;I5984,ISNUMBER(SEARCH(Лист2!$B$5,I:I)),G5985=1),MAX($H$3:OFFSET(H5985,-1,0))+1,0)</f>
        <v>0</v>
      </c>
      <c r="I5985" s="3" t="s">
        <v>487</v>
      </c>
      <c r="K5985" s="2">
        <f>IF(ISNUMBER(SEARCH(Лист2!$B$4,F:F)),1,0)</f>
        <v>0</v>
      </c>
      <c r="L5985" s="14">
        <f>IF(ISNUMBER(SEARCH(Лист2!$B$5,I:I)),1,0)+K5985</f>
        <v>0</v>
      </c>
      <c r="M5985" s="3">
        <f ca="1">IF(AND(N5985&lt;&gt;N5984,ISNUMBER(SEARCH(Лист2!$B$6,N:N)),L5985=2),MAX($M$3:OFFSET(M5985,-1,0))+1,0)</f>
        <v>0</v>
      </c>
      <c r="N5985" s="3" t="s">
        <v>3507</v>
      </c>
    </row>
    <row r="5986" spans="1:14" x14ac:dyDescent="0.25">
      <c r="A5986" s="1" t="s">
        <v>14457</v>
      </c>
      <c r="B5986" s="3" t="s">
        <v>9600</v>
      </c>
      <c r="C5986" s="2">
        <f ca="1">IF(ISNUMBER(SEARCH(Лист2!$B$4,D:D)),MAX($C$3:OFFSET(C5986,-1,0))+1,0)</f>
        <v>0</v>
      </c>
      <c r="E5986" s="9" t="str">
        <f t="shared" ca="1" si="105"/>
        <v/>
      </c>
      <c r="F5986" s="4" t="s">
        <v>7</v>
      </c>
      <c r="G5986" s="2">
        <f>IF(ISNUMBER(SEARCH(Лист2!$B$4,F:F)),1,0)</f>
        <v>0</v>
      </c>
      <c r="H5986" s="3">
        <f ca="1">IF(AND(I5986&lt;&gt;I5985,ISNUMBER(SEARCH(Лист2!$B$5,I:I)),G5986=1),MAX($H$3:OFFSET(H5986,-1,0))+1,0)</f>
        <v>0</v>
      </c>
      <c r="I5986" s="3" t="s">
        <v>487</v>
      </c>
      <c r="K5986" s="2">
        <f>IF(ISNUMBER(SEARCH(Лист2!$B$4,F:F)),1,0)</f>
        <v>0</v>
      </c>
      <c r="L5986" s="14">
        <f>IF(ISNUMBER(SEARCH(Лист2!$B$5,I:I)),1,0)+K5986</f>
        <v>0</v>
      </c>
      <c r="M5986" s="3">
        <f ca="1">IF(AND(N5986&lt;&gt;N5985,ISNUMBER(SEARCH(Лист2!$B$6,N:N)),L5986=2),MAX($M$3:OFFSET(M5986,-1,0))+1,0)</f>
        <v>0</v>
      </c>
      <c r="N5986" s="3" t="s">
        <v>3507</v>
      </c>
    </row>
    <row r="5987" spans="1:14" x14ac:dyDescent="0.25">
      <c r="A5987" s="1" t="s">
        <v>14457</v>
      </c>
      <c r="B5987" s="3" t="s">
        <v>9601</v>
      </c>
      <c r="C5987" s="2">
        <f ca="1">IF(ISNUMBER(SEARCH(Лист2!$B$4,D:D)),MAX($C$3:OFFSET(C5987,-1,0))+1,0)</f>
        <v>0</v>
      </c>
      <c r="E5987" s="9" t="str">
        <f t="shared" ca="1" si="105"/>
        <v/>
      </c>
      <c r="F5987" s="4" t="s">
        <v>7</v>
      </c>
      <c r="G5987" s="2">
        <f>IF(ISNUMBER(SEARCH(Лист2!$B$4,F:F)),1,0)</f>
        <v>0</v>
      </c>
      <c r="H5987" s="3">
        <f ca="1">IF(AND(I5987&lt;&gt;I5986,ISNUMBER(SEARCH(Лист2!$B$5,I:I)),G5987=1),MAX($H$3:OFFSET(H5987,-1,0))+1,0)</f>
        <v>0</v>
      </c>
      <c r="I5987" s="3" t="s">
        <v>487</v>
      </c>
      <c r="K5987" s="2">
        <f>IF(ISNUMBER(SEARCH(Лист2!$B$4,F:F)),1,0)</f>
        <v>0</v>
      </c>
      <c r="L5987" s="14">
        <f>IF(ISNUMBER(SEARCH(Лист2!$B$5,I:I)),1,0)+K5987</f>
        <v>0</v>
      </c>
      <c r="M5987" s="3">
        <f ca="1">IF(AND(N5987&lt;&gt;N5986,ISNUMBER(SEARCH(Лист2!$B$6,N:N)),L5987=2),MAX($M$3:OFFSET(M5987,-1,0))+1,0)</f>
        <v>0</v>
      </c>
      <c r="N5987" s="3" t="s">
        <v>3507</v>
      </c>
    </row>
    <row r="5988" spans="1:14" x14ac:dyDescent="0.25">
      <c r="A5988" s="1" t="s">
        <v>14458</v>
      </c>
      <c r="B5988" s="3" t="s">
        <v>9602</v>
      </c>
      <c r="C5988" s="2">
        <f ca="1">IF(ISNUMBER(SEARCH(Лист2!$B$4,D:D)),MAX($C$3:OFFSET(C5988,-1,0))+1,0)</f>
        <v>0</v>
      </c>
      <c r="E5988" s="9" t="str">
        <f t="shared" ca="1" si="105"/>
        <v/>
      </c>
      <c r="F5988" s="4" t="s">
        <v>7</v>
      </c>
      <c r="G5988" s="2">
        <f>IF(ISNUMBER(SEARCH(Лист2!$B$4,F:F)),1,0)</f>
        <v>0</v>
      </c>
      <c r="H5988" s="3">
        <f ca="1">IF(AND(I5988&lt;&gt;I5987,ISNUMBER(SEARCH(Лист2!$B$5,I:I)),G5988=1),MAX($H$3:OFFSET(H5988,-1,0))+1,0)</f>
        <v>0</v>
      </c>
      <c r="I5988" s="3" t="s">
        <v>487</v>
      </c>
      <c r="K5988" s="2">
        <f>IF(ISNUMBER(SEARCH(Лист2!$B$4,F:F)),1,0)</f>
        <v>0</v>
      </c>
      <c r="L5988" s="14">
        <f>IF(ISNUMBER(SEARCH(Лист2!$B$5,I:I)),1,0)+K5988</f>
        <v>0</v>
      </c>
      <c r="M5988" s="3">
        <f ca="1">IF(AND(N5988&lt;&gt;N5987,ISNUMBER(SEARCH(Лист2!$B$6,N:N)),L5988=2),MAX($M$3:OFFSET(M5988,-1,0))+1,0)</f>
        <v>0</v>
      </c>
      <c r="N5988" s="3" t="s">
        <v>3508</v>
      </c>
    </row>
    <row r="5989" spans="1:14" x14ac:dyDescent="0.25">
      <c r="A5989" s="1" t="s">
        <v>14458</v>
      </c>
      <c r="B5989" s="3" t="s">
        <v>9603</v>
      </c>
      <c r="C5989" s="2">
        <f ca="1">IF(ISNUMBER(SEARCH(Лист2!$B$4,D:D)),MAX($C$3:OFFSET(C5989,-1,0))+1,0)</f>
        <v>0</v>
      </c>
      <c r="E5989" s="9" t="str">
        <f t="shared" ca="1" si="105"/>
        <v/>
      </c>
      <c r="F5989" s="4" t="s">
        <v>7</v>
      </c>
      <c r="G5989" s="2">
        <f>IF(ISNUMBER(SEARCH(Лист2!$B$4,F:F)),1,0)</f>
        <v>0</v>
      </c>
      <c r="H5989" s="3">
        <f ca="1">IF(AND(I5989&lt;&gt;I5988,ISNUMBER(SEARCH(Лист2!$B$5,I:I)),G5989=1),MAX($H$3:OFFSET(H5989,-1,0))+1,0)</f>
        <v>0</v>
      </c>
      <c r="I5989" s="3" t="s">
        <v>487</v>
      </c>
      <c r="K5989" s="2">
        <f>IF(ISNUMBER(SEARCH(Лист2!$B$4,F:F)),1,0)</f>
        <v>0</v>
      </c>
      <c r="L5989" s="14">
        <f>IF(ISNUMBER(SEARCH(Лист2!$B$5,I:I)),1,0)+K5989</f>
        <v>0</v>
      </c>
      <c r="M5989" s="3">
        <f ca="1">IF(AND(N5989&lt;&gt;N5988,ISNUMBER(SEARCH(Лист2!$B$6,N:N)),L5989=2),MAX($M$3:OFFSET(M5989,-1,0))+1,0)</f>
        <v>0</v>
      </c>
      <c r="N5989" s="3" t="s">
        <v>3508</v>
      </c>
    </row>
    <row r="5990" spans="1:14" x14ac:dyDescent="0.25">
      <c r="A5990" s="1" t="s">
        <v>14458</v>
      </c>
      <c r="B5990" s="3" t="s">
        <v>9604</v>
      </c>
      <c r="C5990" s="2">
        <f ca="1">IF(ISNUMBER(SEARCH(Лист2!$B$4,D:D)),MAX($C$3:OFFSET(C5990,-1,0))+1,0)</f>
        <v>0</v>
      </c>
      <c r="E5990" s="9" t="str">
        <f t="shared" ca="1" si="105"/>
        <v/>
      </c>
      <c r="F5990" s="4" t="s">
        <v>7</v>
      </c>
      <c r="G5990" s="2">
        <f>IF(ISNUMBER(SEARCH(Лист2!$B$4,F:F)),1,0)</f>
        <v>0</v>
      </c>
      <c r="H5990" s="3">
        <f ca="1">IF(AND(I5990&lt;&gt;I5989,ISNUMBER(SEARCH(Лист2!$B$5,I:I)),G5990=1),MAX($H$3:OFFSET(H5990,-1,0))+1,0)</f>
        <v>0</v>
      </c>
      <c r="I5990" s="3" t="s">
        <v>487</v>
      </c>
      <c r="K5990" s="2">
        <f>IF(ISNUMBER(SEARCH(Лист2!$B$4,F:F)),1,0)</f>
        <v>0</v>
      </c>
      <c r="L5990" s="14">
        <f>IF(ISNUMBER(SEARCH(Лист2!$B$5,I:I)),1,0)+K5990</f>
        <v>0</v>
      </c>
      <c r="M5990" s="3">
        <f ca="1">IF(AND(N5990&lt;&gt;N5989,ISNUMBER(SEARCH(Лист2!$B$6,N:N)),L5990=2),MAX($M$3:OFFSET(M5990,-1,0))+1,0)</f>
        <v>0</v>
      </c>
      <c r="N5990" s="3" t="s">
        <v>3508</v>
      </c>
    </row>
    <row r="5991" spans="1:14" x14ac:dyDescent="0.25">
      <c r="A5991" s="1" t="s">
        <v>14459</v>
      </c>
      <c r="B5991" s="3" t="s">
        <v>9605</v>
      </c>
      <c r="C5991" s="2">
        <f ca="1">IF(ISNUMBER(SEARCH(Лист2!$B$4,D:D)),MAX($C$3:OFFSET(C5991,-1,0))+1,0)</f>
        <v>0</v>
      </c>
      <c r="E5991" s="9" t="str">
        <f t="shared" ca="1" si="105"/>
        <v/>
      </c>
      <c r="F5991" s="4" t="s">
        <v>7</v>
      </c>
      <c r="G5991" s="2">
        <f>IF(ISNUMBER(SEARCH(Лист2!$B$4,F:F)),1,0)</f>
        <v>0</v>
      </c>
      <c r="H5991" s="3">
        <f ca="1">IF(AND(I5991&lt;&gt;I5990,ISNUMBER(SEARCH(Лист2!$B$5,I:I)),G5991=1),MAX($H$3:OFFSET(H5991,-1,0))+1,0)</f>
        <v>0</v>
      </c>
      <c r="I5991" s="3" t="s">
        <v>487</v>
      </c>
      <c r="K5991" s="2">
        <f>IF(ISNUMBER(SEARCH(Лист2!$B$4,F:F)),1,0)</f>
        <v>0</v>
      </c>
      <c r="L5991" s="14">
        <f>IF(ISNUMBER(SEARCH(Лист2!$B$5,I:I)),1,0)+K5991</f>
        <v>0</v>
      </c>
      <c r="M5991" s="3">
        <f ca="1">IF(AND(N5991&lt;&gt;N5990,ISNUMBER(SEARCH(Лист2!$B$6,N:N)),L5991=2),MAX($M$3:OFFSET(M5991,-1,0))+1,0)</f>
        <v>0</v>
      </c>
      <c r="N5991" s="3" t="s">
        <v>3509</v>
      </c>
    </row>
    <row r="5992" spans="1:14" x14ac:dyDescent="0.25">
      <c r="A5992" s="1" t="s">
        <v>14459</v>
      </c>
      <c r="B5992" s="3" t="s">
        <v>9606</v>
      </c>
      <c r="C5992" s="2">
        <f ca="1">IF(ISNUMBER(SEARCH(Лист2!$B$4,D:D)),MAX($C$3:OFFSET(C5992,-1,0))+1,0)</f>
        <v>0</v>
      </c>
      <c r="E5992" s="9" t="str">
        <f t="shared" ca="1" si="105"/>
        <v/>
      </c>
      <c r="F5992" s="4" t="s">
        <v>7</v>
      </c>
      <c r="G5992" s="2">
        <f>IF(ISNUMBER(SEARCH(Лист2!$B$4,F:F)),1,0)</f>
        <v>0</v>
      </c>
      <c r="H5992" s="3">
        <f ca="1">IF(AND(I5992&lt;&gt;I5991,ISNUMBER(SEARCH(Лист2!$B$5,I:I)),G5992=1),MAX($H$3:OFFSET(H5992,-1,0))+1,0)</f>
        <v>0</v>
      </c>
      <c r="I5992" s="3" t="s">
        <v>487</v>
      </c>
      <c r="K5992" s="2">
        <f>IF(ISNUMBER(SEARCH(Лист2!$B$4,F:F)),1,0)</f>
        <v>0</v>
      </c>
      <c r="L5992" s="14">
        <f>IF(ISNUMBER(SEARCH(Лист2!$B$5,I:I)),1,0)+K5992</f>
        <v>0</v>
      </c>
      <c r="M5992" s="3">
        <f ca="1">IF(AND(N5992&lt;&gt;N5991,ISNUMBER(SEARCH(Лист2!$B$6,N:N)),L5992=2),MAX($M$3:OFFSET(M5992,-1,0))+1,0)</f>
        <v>0</v>
      </c>
      <c r="N5992" s="3" t="s">
        <v>3509</v>
      </c>
    </row>
    <row r="5993" spans="1:14" x14ac:dyDescent="0.25">
      <c r="A5993" s="1" t="s">
        <v>14459</v>
      </c>
      <c r="B5993" s="3" t="s">
        <v>9607</v>
      </c>
      <c r="C5993" s="2">
        <f ca="1">IF(ISNUMBER(SEARCH(Лист2!$B$4,D:D)),MAX($C$3:OFFSET(C5993,-1,0))+1,0)</f>
        <v>0</v>
      </c>
      <c r="E5993" s="9" t="str">
        <f t="shared" ca="1" si="105"/>
        <v/>
      </c>
      <c r="F5993" s="4" t="s">
        <v>7</v>
      </c>
      <c r="G5993" s="2">
        <f>IF(ISNUMBER(SEARCH(Лист2!$B$4,F:F)),1,0)</f>
        <v>0</v>
      </c>
      <c r="H5993" s="3">
        <f ca="1">IF(AND(I5993&lt;&gt;I5992,ISNUMBER(SEARCH(Лист2!$B$5,I:I)),G5993=1),MAX($H$3:OFFSET(H5993,-1,0))+1,0)</f>
        <v>0</v>
      </c>
      <c r="I5993" s="3" t="s">
        <v>487</v>
      </c>
      <c r="K5993" s="2">
        <f>IF(ISNUMBER(SEARCH(Лист2!$B$4,F:F)),1,0)</f>
        <v>0</v>
      </c>
      <c r="L5993" s="14">
        <f>IF(ISNUMBER(SEARCH(Лист2!$B$5,I:I)),1,0)+K5993</f>
        <v>0</v>
      </c>
      <c r="M5993" s="3">
        <f ca="1">IF(AND(N5993&lt;&gt;N5992,ISNUMBER(SEARCH(Лист2!$B$6,N:N)),L5993=2),MAX($M$3:OFFSET(M5993,-1,0))+1,0)</f>
        <v>0</v>
      </c>
      <c r="N5993" s="3" t="s">
        <v>3509</v>
      </c>
    </row>
    <row r="5994" spans="1:14" x14ac:dyDescent="0.25">
      <c r="A5994" s="1" t="s">
        <v>14460</v>
      </c>
      <c r="B5994" s="3" t="s">
        <v>9608</v>
      </c>
      <c r="C5994" s="2">
        <f ca="1">IF(ISNUMBER(SEARCH(Лист2!$B$4,D:D)),MAX($C$3:OFFSET(C5994,-1,0))+1,0)</f>
        <v>0</v>
      </c>
      <c r="E5994" s="9" t="str">
        <f t="shared" ca="1" si="105"/>
        <v/>
      </c>
      <c r="F5994" s="4" t="s">
        <v>7</v>
      </c>
      <c r="G5994" s="2">
        <f>IF(ISNUMBER(SEARCH(Лист2!$B$4,F:F)),1,0)</f>
        <v>0</v>
      </c>
      <c r="H5994" s="3">
        <f ca="1">IF(AND(I5994&lt;&gt;I5993,ISNUMBER(SEARCH(Лист2!$B$5,I:I)),G5994=1),MAX($H$3:OFFSET(H5994,-1,0))+1,0)</f>
        <v>0</v>
      </c>
      <c r="I5994" s="3" t="s">
        <v>487</v>
      </c>
      <c r="K5994" s="2">
        <f>IF(ISNUMBER(SEARCH(Лист2!$B$4,F:F)),1,0)</f>
        <v>0</v>
      </c>
      <c r="L5994" s="14">
        <f>IF(ISNUMBER(SEARCH(Лист2!$B$5,I:I)),1,0)+K5994</f>
        <v>0</v>
      </c>
      <c r="M5994" s="3">
        <f ca="1">IF(AND(N5994&lt;&gt;N5993,ISNUMBER(SEARCH(Лист2!$B$6,N:N)),L5994=2),MAX($M$3:OFFSET(M5994,-1,0))+1,0)</f>
        <v>0</v>
      </c>
      <c r="N5994" s="3" t="s">
        <v>3510</v>
      </c>
    </row>
    <row r="5995" spans="1:14" x14ac:dyDescent="0.25">
      <c r="A5995" s="1" t="s">
        <v>14461</v>
      </c>
      <c r="B5995" s="3" t="s">
        <v>9609</v>
      </c>
      <c r="C5995" s="2">
        <f ca="1">IF(ISNUMBER(SEARCH(Лист2!$B$4,D:D)),MAX($C$3:OFFSET(C5995,-1,0))+1,0)</f>
        <v>0</v>
      </c>
      <c r="E5995" s="9" t="str">
        <f t="shared" ca="1" si="105"/>
        <v/>
      </c>
      <c r="F5995" s="4" t="s">
        <v>7</v>
      </c>
      <c r="G5995" s="2">
        <f>IF(ISNUMBER(SEARCH(Лист2!$B$4,F:F)),1,0)</f>
        <v>0</v>
      </c>
      <c r="H5995" s="3">
        <f ca="1">IF(AND(I5995&lt;&gt;I5994,ISNUMBER(SEARCH(Лист2!$B$5,I:I)),G5995=1),MAX($H$3:OFFSET(H5995,-1,0))+1,0)</f>
        <v>0</v>
      </c>
      <c r="I5995" s="3" t="s">
        <v>487</v>
      </c>
      <c r="K5995" s="2">
        <f>IF(ISNUMBER(SEARCH(Лист2!$B$4,F:F)),1,0)</f>
        <v>0</v>
      </c>
      <c r="L5995" s="14">
        <f>IF(ISNUMBER(SEARCH(Лист2!$B$5,I:I)),1,0)+K5995</f>
        <v>0</v>
      </c>
      <c r="M5995" s="3">
        <f ca="1">IF(AND(N5995&lt;&gt;N5994,ISNUMBER(SEARCH(Лист2!$B$6,N:N)),L5995=2),MAX($M$3:OFFSET(M5995,-1,0))+1,0)</f>
        <v>0</v>
      </c>
      <c r="N5995" s="3" t="s">
        <v>602</v>
      </c>
    </row>
    <row r="5996" spans="1:14" x14ac:dyDescent="0.25">
      <c r="A5996" s="1" t="s">
        <v>14462</v>
      </c>
      <c r="B5996" s="3" t="s">
        <v>9610</v>
      </c>
      <c r="C5996" s="2">
        <f ca="1">IF(ISNUMBER(SEARCH(Лист2!$B$4,D:D)),MAX($C$3:OFFSET(C5996,-1,0))+1,0)</f>
        <v>0</v>
      </c>
      <c r="E5996" s="9" t="str">
        <f t="shared" ca="1" si="105"/>
        <v/>
      </c>
      <c r="F5996" s="4" t="s">
        <v>7</v>
      </c>
      <c r="G5996" s="2">
        <f>IF(ISNUMBER(SEARCH(Лист2!$B$4,F:F)),1,0)</f>
        <v>0</v>
      </c>
      <c r="H5996" s="3">
        <f ca="1">IF(AND(I5996&lt;&gt;I5995,ISNUMBER(SEARCH(Лист2!$B$5,I:I)),G5996=1),MAX($H$3:OFFSET(H5996,-1,0))+1,0)</f>
        <v>0</v>
      </c>
      <c r="I5996" s="3" t="s">
        <v>487</v>
      </c>
      <c r="K5996" s="2">
        <f>IF(ISNUMBER(SEARCH(Лист2!$B$4,F:F)),1,0)</f>
        <v>0</v>
      </c>
      <c r="L5996" s="14">
        <f>IF(ISNUMBER(SEARCH(Лист2!$B$5,I:I)),1,0)+K5996</f>
        <v>0</v>
      </c>
      <c r="M5996" s="3">
        <f ca="1">IF(AND(N5996&lt;&gt;N5995,ISNUMBER(SEARCH(Лист2!$B$6,N:N)),L5996=2),MAX($M$3:OFFSET(M5996,-1,0))+1,0)</f>
        <v>0</v>
      </c>
      <c r="N5996" s="3" t="s">
        <v>3511</v>
      </c>
    </row>
    <row r="5997" spans="1:14" x14ac:dyDescent="0.25">
      <c r="A5997" s="1" t="s">
        <v>14080</v>
      </c>
      <c r="C5997" s="2">
        <f ca="1">IF(ISNUMBER(SEARCH(Лист2!$B$4,D:D)),MAX($C$3:OFFSET(C5997,-1,0))+1,0)</f>
        <v>0</v>
      </c>
      <c r="E5997" s="9" t="str">
        <f t="shared" ca="1" si="105"/>
        <v/>
      </c>
      <c r="G5997" s="2">
        <f>IF(ISNUMBER(SEARCH(Лист2!$B$4,F:F)),1,0)</f>
        <v>0</v>
      </c>
      <c r="H5997" s="3">
        <f ca="1">IF(AND(I5997&lt;&gt;I5996,ISNUMBER(SEARCH(Лист2!$B$5,I:I)),G5997=1),MAX($H$3:OFFSET(H5997,-1,0))+1,0)</f>
        <v>0</v>
      </c>
      <c r="K5997" s="2">
        <f>IF(ISNUMBER(SEARCH(Лист2!$B$4,F:F)),1,0)</f>
        <v>0</v>
      </c>
      <c r="L5997" s="14">
        <f>IF(ISNUMBER(SEARCH(Лист2!$B$5,I:I)),1,0)+K5997</f>
        <v>0</v>
      </c>
      <c r="M5997" s="3">
        <f ca="1">IF(AND(N5997&lt;&gt;N5996,ISNUMBER(SEARCH(Лист2!$B$6,N:N)),L5997=2),MAX($M$3:OFFSET(M5997,-1,0))+1,0)</f>
        <v>0</v>
      </c>
    </row>
    <row r="5998" spans="1:14" x14ac:dyDescent="0.25">
      <c r="A5998" s="1" t="s">
        <v>14463</v>
      </c>
      <c r="B5998" s="3" t="s">
        <v>9611</v>
      </c>
      <c r="C5998" s="2">
        <f ca="1">IF(ISNUMBER(SEARCH(Лист2!$B$4,D:D)),MAX($C$3:OFFSET(C5998,-1,0))+1,0)</f>
        <v>0</v>
      </c>
      <c r="E5998" s="9" t="str">
        <f t="shared" ca="1" si="105"/>
        <v/>
      </c>
      <c r="F5998" s="4" t="s">
        <v>38</v>
      </c>
      <c r="G5998" s="2">
        <f>IF(ISNUMBER(SEARCH(Лист2!$B$4,F:F)),1,0)</f>
        <v>0</v>
      </c>
      <c r="H5998" s="3">
        <f ca="1">IF(AND(I5998&lt;&gt;I5997,ISNUMBER(SEARCH(Лист2!$B$5,I:I)),G5998=1),MAX($H$3:OFFSET(H5998,-1,0))+1,0)</f>
        <v>0</v>
      </c>
      <c r="I5998" s="3" t="s">
        <v>482</v>
      </c>
      <c r="K5998" s="2">
        <f>IF(ISNUMBER(SEARCH(Лист2!$B$4,F:F)),1,0)</f>
        <v>0</v>
      </c>
      <c r="L5998" s="14">
        <f>IF(ISNUMBER(SEARCH(Лист2!$B$5,I:I)),1,0)+K5998</f>
        <v>0</v>
      </c>
      <c r="M5998" s="3">
        <f ca="1">IF(AND(N5998&lt;&gt;N5997,ISNUMBER(SEARCH(Лист2!$B$6,N:N)),L5998=2),MAX($M$3:OFFSET(M5998,-1,0))+1,0)</f>
        <v>0</v>
      </c>
      <c r="N5998" s="3" t="s">
        <v>3512</v>
      </c>
    </row>
    <row r="5999" spans="1:14" x14ac:dyDescent="0.25">
      <c r="A5999" s="1" t="s">
        <v>14464</v>
      </c>
      <c r="B5999" s="3" t="s">
        <v>9612</v>
      </c>
      <c r="C5999" s="2">
        <f ca="1">IF(ISNUMBER(SEARCH(Лист2!$B$4,D:D)),MAX($C$3:OFFSET(C5999,-1,0))+1,0)</f>
        <v>0</v>
      </c>
      <c r="E5999" s="9" t="str">
        <f t="shared" ca="1" si="105"/>
        <v/>
      </c>
      <c r="F5999" s="4" t="s">
        <v>38</v>
      </c>
      <c r="G5999" s="2">
        <f>IF(ISNUMBER(SEARCH(Лист2!$B$4,F:F)),1,0)</f>
        <v>0</v>
      </c>
      <c r="H5999" s="3">
        <f ca="1">IF(AND(I5999&lt;&gt;I5998,ISNUMBER(SEARCH(Лист2!$B$5,I:I)),G5999=1),MAX($H$3:OFFSET(H5999,-1,0))+1,0)</f>
        <v>0</v>
      </c>
      <c r="I5999" s="3" t="s">
        <v>482</v>
      </c>
      <c r="K5999" s="2">
        <f>IF(ISNUMBER(SEARCH(Лист2!$B$4,F:F)),1,0)</f>
        <v>0</v>
      </c>
      <c r="L5999" s="14">
        <f>IF(ISNUMBER(SEARCH(Лист2!$B$5,I:I)),1,0)+K5999</f>
        <v>0</v>
      </c>
      <c r="M5999" s="3">
        <f ca="1">IF(AND(N5999&lt;&gt;N5998,ISNUMBER(SEARCH(Лист2!$B$6,N:N)),L5999=2),MAX($M$3:OFFSET(M5999,-1,0))+1,0)</f>
        <v>0</v>
      </c>
      <c r="N5999" s="3" t="s">
        <v>3513</v>
      </c>
    </row>
    <row r="6000" spans="1:14" x14ac:dyDescent="0.25">
      <c r="A6000" s="1" t="s">
        <v>14465</v>
      </c>
      <c r="B6000" s="3" t="s">
        <v>9613</v>
      </c>
      <c r="C6000" s="2">
        <f ca="1">IF(ISNUMBER(SEARCH(Лист2!$B$4,D:D)),MAX($C$3:OFFSET(C6000,-1,0))+1,0)</f>
        <v>0</v>
      </c>
      <c r="E6000" s="9" t="str">
        <f t="shared" ca="1" si="105"/>
        <v/>
      </c>
      <c r="F6000" s="4" t="s">
        <v>38</v>
      </c>
      <c r="G6000" s="2">
        <f>IF(ISNUMBER(SEARCH(Лист2!$B$4,F:F)),1,0)</f>
        <v>0</v>
      </c>
      <c r="H6000" s="3">
        <f ca="1">IF(AND(I6000&lt;&gt;I5999,ISNUMBER(SEARCH(Лист2!$B$5,I:I)),G6000=1),MAX($H$3:OFFSET(H6000,-1,0))+1,0)</f>
        <v>0</v>
      </c>
      <c r="I6000" s="3" t="s">
        <v>482</v>
      </c>
      <c r="K6000" s="2">
        <f>IF(ISNUMBER(SEARCH(Лист2!$B$4,F:F)),1,0)</f>
        <v>0</v>
      </c>
      <c r="L6000" s="14">
        <f>IF(ISNUMBER(SEARCH(Лист2!$B$5,I:I)),1,0)+K6000</f>
        <v>0</v>
      </c>
      <c r="M6000" s="3">
        <f ca="1">IF(AND(N6000&lt;&gt;N5999,ISNUMBER(SEARCH(Лист2!$B$6,N:N)),L6000=2),MAX($M$3:OFFSET(M6000,-1,0))+1,0)</f>
        <v>0</v>
      </c>
      <c r="N6000" s="3" t="s">
        <v>3514</v>
      </c>
    </row>
    <row r="6001" spans="1:14" x14ac:dyDescent="0.25">
      <c r="A6001" s="1" t="s">
        <v>14466</v>
      </c>
      <c r="B6001" s="3" t="s">
        <v>9614</v>
      </c>
      <c r="C6001" s="2">
        <f ca="1">IF(ISNUMBER(SEARCH(Лист2!$B$4,D:D)),MAX($C$3:OFFSET(C6001,-1,0))+1,0)</f>
        <v>0</v>
      </c>
      <c r="E6001" s="9" t="str">
        <f t="shared" ca="1" si="105"/>
        <v/>
      </c>
      <c r="F6001" s="4" t="s">
        <v>38</v>
      </c>
      <c r="G6001" s="2">
        <f>IF(ISNUMBER(SEARCH(Лист2!$B$4,F:F)),1,0)</f>
        <v>0</v>
      </c>
      <c r="H6001" s="3">
        <f ca="1">IF(AND(I6001&lt;&gt;I6000,ISNUMBER(SEARCH(Лист2!$B$5,I:I)),G6001=1),MAX($H$3:OFFSET(H6001,-1,0))+1,0)</f>
        <v>0</v>
      </c>
      <c r="I6001" s="3" t="s">
        <v>482</v>
      </c>
      <c r="K6001" s="2">
        <f>IF(ISNUMBER(SEARCH(Лист2!$B$4,F:F)),1,0)</f>
        <v>0</v>
      </c>
      <c r="L6001" s="14">
        <f>IF(ISNUMBER(SEARCH(Лист2!$B$5,I:I)),1,0)+K6001</f>
        <v>0</v>
      </c>
      <c r="M6001" s="3">
        <f ca="1">IF(AND(N6001&lt;&gt;N6000,ISNUMBER(SEARCH(Лист2!$B$6,N:N)),L6001=2),MAX($M$3:OFFSET(M6001,-1,0))+1,0)</f>
        <v>0</v>
      </c>
      <c r="N6001" s="3" t="s">
        <v>3515</v>
      </c>
    </row>
    <row r="6002" spans="1:14" x14ac:dyDescent="0.25">
      <c r="A6002" s="1" t="s">
        <v>14467</v>
      </c>
      <c r="B6002" s="3" t="s">
        <v>9615</v>
      </c>
      <c r="C6002" s="2">
        <f ca="1">IF(ISNUMBER(SEARCH(Лист2!$B$4,D:D)),MAX($C$3:OFFSET(C6002,-1,0))+1,0)</f>
        <v>0</v>
      </c>
      <c r="E6002" s="9" t="str">
        <f t="shared" ca="1" si="105"/>
        <v/>
      </c>
      <c r="F6002" s="4" t="s">
        <v>38</v>
      </c>
      <c r="G6002" s="2">
        <f>IF(ISNUMBER(SEARCH(Лист2!$B$4,F:F)),1,0)</f>
        <v>0</v>
      </c>
      <c r="H6002" s="3">
        <f ca="1">IF(AND(I6002&lt;&gt;I6001,ISNUMBER(SEARCH(Лист2!$B$5,I:I)),G6002=1),MAX($H$3:OFFSET(H6002,-1,0))+1,0)</f>
        <v>0</v>
      </c>
      <c r="I6002" s="3" t="s">
        <v>482</v>
      </c>
      <c r="K6002" s="2">
        <f>IF(ISNUMBER(SEARCH(Лист2!$B$4,F:F)),1,0)</f>
        <v>0</v>
      </c>
      <c r="L6002" s="14">
        <f>IF(ISNUMBER(SEARCH(Лист2!$B$5,I:I)),1,0)+K6002</f>
        <v>0</v>
      </c>
      <c r="M6002" s="3">
        <f ca="1">IF(AND(N6002&lt;&gt;N6001,ISNUMBER(SEARCH(Лист2!$B$6,N:N)),L6002=2),MAX($M$3:OFFSET(M6002,-1,0))+1,0)</f>
        <v>0</v>
      </c>
      <c r="N6002" s="3" t="s">
        <v>3516</v>
      </c>
    </row>
    <row r="6003" spans="1:14" x14ac:dyDescent="0.25">
      <c r="A6003" s="1" t="s">
        <v>14468</v>
      </c>
      <c r="B6003" s="3" t="s">
        <v>9616</v>
      </c>
      <c r="C6003" s="2">
        <f ca="1">IF(ISNUMBER(SEARCH(Лист2!$B$4,D:D)),MAX($C$3:OFFSET(C6003,-1,0))+1,0)</f>
        <v>0</v>
      </c>
      <c r="E6003" s="9" t="str">
        <f t="shared" ca="1" si="105"/>
        <v/>
      </c>
      <c r="F6003" s="4" t="s">
        <v>38</v>
      </c>
      <c r="G6003" s="2">
        <f>IF(ISNUMBER(SEARCH(Лист2!$B$4,F:F)),1,0)</f>
        <v>0</v>
      </c>
      <c r="H6003" s="3">
        <f ca="1">IF(AND(I6003&lt;&gt;I6002,ISNUMBER(SEARCH(Лист2!$B$5,I:I)),G6003=1),MAX($H$3:OFFSET(H6003,-1,0))+1,0)</f>
        <v>0</v>
      </c>
      <c r="I6003" s="3" t="s">
        <v>482</v>
      </c>
      <c r="K6003" s="2">
        <f>IF(ISNUMBER(SEARCH(Лист2!$B$4,F:F)),1,0)</f>
        <v>0</v>
      </c>
      <c r="L6003" s="14">
        <f>IF(ISNUMBER(SEARCH(Лист2!$B$5,I:I)),1,0)+K6003</f>
        <v>0</v>
      </c>
      <c r="M6003" s="3">
        <f ca="1">IF(AND(N6003&lt;&gt;N6002,ISNUMBER(SEARCH(Лист2!$B$6,N:N)),L6003=2),MAX($M$3:OFFSET(M6003,-1,0))+1,0)</f>
        <v>0</v>
      </c>
      <c r="N6003" s="3" t="s">
        <v>3517</v>
      </c>
    </row>
    <row r="6004" spans="1:14" x14ac:dyDescent="0.25">
      <c r="A6004" s="1" t="s">
        <v>14469</v>
      </c>
      <c r="B6004" s="3" t="s">
        <v>9617</v>
      </c>
      <c r="C6004" s="2">
        <f ca="1">IF(ISNUMBER(SEARCH(Лист2!$B$4,D:D)),MAX($C$3:OFFSET(C6004,-1,0))+1,0)</f>
        <v>0</v>
      </c>
      <c r="E6004" s="9" t="str">
        <f t="shared" ca="1" si="105"/>
        <v/>
      </c>
      <c r="F6004" s="4" t="s">
        <v>38</v>
      </c>
      <c r="G6004" s="2">
        <f>IF(ISNUMBER(SEARCH(Лист2!$B$4,F:F)),1,0)</f>
        <v>0</v>
      </c>
      <c r="H6004" s="3">
        <f ca="1">IF(AND(I6004&lt;&gt;I6003,ISNUMBER(SEARCH(Лист2!$B$5,I:I)),G6004=1),MAX($H$3:OFFSET(H6004,-1,0))+1,0)</f>
        <v>0</v>
      </c>
      <c r="I6004" s="3" t="s">
        <v>482</v>
      </c>
      <c r="K6004" s="2">
        <f>IF(ISNUMBER(SEARCH(Лист2!$B$4,F:F)),1,0)</f>
        <v>0</v>
      </c>
      <c r="L6004" s="14">
        <f>IF(ISNUMBER(SEARCH(Лист2!$B$5,I:I)),1,0)+K6004</f>
        <v>0</v>
      </c>
      <c r="M6004" s="3">
        <f ca="1">IF(AND(N6004&lt;&gt;N6003,ISNUMBER(SEARCH(Лист2!$B$6,N:N)),L6004=2),MAX($M$3:OFFSET(M6004,-1,0))+1,0)</f>
        <v>0</v>
      </c>
      <c r="N6004" s="3" t="s">
        <v>3518</v>
      </c>
    </row>
    <row r="6005" spans="1:14" x14ac:dyDescent="0.25">
      <c r="A6005" s="1" t="s">
        <v>14470</v>
      </c>
      <c r="B6005" s="3" t="s">
        <v>9618</v>
      </c>
      <c r="C6005" s="2">
        <f ca="1">IF(ISNUMBER(SEARCH(Лист2!$B$4,D:D)),MAX($C$3:OFFSET(C6005,-1,0))+1,0)</f>
        <v>0</v>
      </c>
      <c r="E6005" s="9" t="str">
        <f t="shared" ca="1" si="105"/>
        <v/>
      </c>
      <c r="F6005" s="4" t="s">
        <v>38</v>
      </c>
      <c r="G6005" s="2">
        <f>IF(ISNUMBER(SEARCH(Лист2!$B$4,F:F)),1,0)</f>
        <v>0</v>
      </c>
      <c r="H6005" s="3">
        <f ca="1">IF(AND(I6005&lt;&gt;I6004,ISNUMBER(SEARCH(Лист2!$B$5,I:I)),G6005=1),MAX($H$3:OFFSET(H6005,-1,0))+1,0)</f>
        <v>0</v>
      </c>
      <c r="I6005" s="3" t="s">
        <v>482</v>
      </c>
      <c r="K6005" s="2">
        <f>IF(ISNUMBER(SEARCH(Лист2!$B$4,F:F)),1,0)</f>
        <v>0</v>
      </c>
      <c r="L6005" s="14">
        <f>IF(ISNUMBER(SEARCH(Лист2!$B$5,I:I)),1,0)+K6005</f>
        <v>0</v>
      </c>
      <c r="M6005" s="3">
        <f ca="1">IF(AND(N6005&lt;&gt;N6004,ISNUMBER(SEARCH(Лист2!$B$6,N:N)),L6005=2),MAX($M$3:OFFSET(M6005,-1,0))+1,0)</f>
        <v>0</v>
      </c>
      <c r="N6005" s="3" t="s">
        <v>3519</v>
      </c>
    </row>
    <row r="6006" spans="1:14" x14ac:dyDescent="0.25">
      <c r="A6006" s="1" t="s">
        <v>14471</v>
      </c>
      <c r="B6006" s="3" t="s">
        <v>9619</v>
      </c>
      <c r="C6006" s="2">
        <f ca="1">IF(ISNUMBER(SEARCH(Лист2!$B$4,D:D)),MAX($C$3:OFFSET(C6006,-1,0))+1,0)</f>
        <v>0</v>
      </c>
      <c r="E6006" s="9" t="str">
        <f t="shared" ca="1" si="105"/>
        <v/>
      </c>
      <c r="F6006" s="4" t="s">
        <v>38</v>
      </c>
      <c r="G6006" s="2">
        <f>IF(ISNUMBER(SEARCH(Лист2!$B$4,F:F)),1,0)</f>
        <v>0</v>
      </c>
      <c r="H6006" s="3">
        <f ca="1">IF(AND(I6006&lt;&gt;I6005,ISNUMBER(SEARCH(Лист2!$B$5,I:I)),G6006=1),MAX($H$3:OFFSET(H6006,-1,0))+1,0)</f>
        <v>0</v>
      </c>
      <c r="I6006" s="3" t="s">
        <v>482</v>
      </c>
      <c r="K6006" s="2">
        <f>IF(ISNUMBER(SEARCH(Лист2!$B$4,F:F)),1,0)</f>
        <v>0</v>
      </c>
      <c r="L6006" s="14">
        <f>IF(ISNUMBER(SEARCH(Лист2!$B$5,I:I)),1,0)+K6006</f>
        <v>0</v>
      </c>
      <c r="M6006" s="3">
        <f ca="1">IF(AND(N6006&lt;&gt;N6005,ISNUMBER(SEARCH(Лист2!$B$6,N:N)),L6006=2),MAX($M$3:OFFSET(M6006,-1,0))+1,0)</f>
        <v>0</v>
      </c>
      <c r="N6006" s="3" t="s">
        <v>3520</v>
      </c>
    </row>
    <row r="6007" spans="1:14" x14ac:dyDescent="0.25">
      <c r="A6007" s="1" t="s">
        <v>14472</v>
      </c>
      <c r="B6007" s="3" t="s">
        <v>9620</v>
      </c>
      <c r="C6007" s="2">
        <f ca="1">IF(ISNUMBER(SEARCH(Лист2!$B$4,D:D)),MAX($C$3:OFFSET(C6007,-1,0))+1,0)</f>
        <v>0</v>
      </c>
      <c r="E6007" s="9" t="str">
        <f t="shared" ca="1" si="105"/>
        <v/>
      </c>
      <c r="F6007" s="4" t="s">
        <v>38</v>
      </c>
      <c r="G6007" s="2">
        <f>IF(ISNUMBER(SEARCH(Лист2!$B$4,F:F)),1,0)</f>
        <v>0</v>
      </c>
      <c r="H6007" s="3">
        <f ca="1">IF(AND(I6007&lt;&gt;I6006,ISNUMBER(SEARCH(Лист2!$B$5,I:I)),G6007=1),MAX($H$3:OFFSET(H6007,-1,0))+1,0)</f>
        <v>0</v>
      </c>
      <c r="I6007" s="3" t="s">
        <v>482</v>
      </c>
      <c r="K6007" s="2">
        <f>IF(ISNUMBER(SEARCH(Лист2!$B$4,F:F)),1,0)</f>
        <v>0</v>
      </c>
      <c r="L6007" s="14">
        <f>IF(ISNUMBER(SEARCH(Лист2!$B$5,I:I)),1,0)+K6007</f>
        <v>0</v>
      </c>
      <c r="M6007" s="3">
        <f ca="1">IF(AND(N6007&lt;&gt;N6006,ISNUMBER(SEARCH(Лист2!$B$6,N:N)),L6007=2),MAX($M$3:OFFSET(M6007,-1,0))+1,0)</f>
        <v>0</v>
      </c>
      <c r="N6007" s="3" t="s">
        <v>602</v>
      </c>
    </row>
    <row r="6008" spans="1:14" x14ac:dyDescent="0.25">
      <c r="A6008" s="1" t="s">
        <v>14473</v>
      </c>
      <c r="B6008" s="3" t="s">
        <v>9621</v>
      </c>
      <c r="C6008" s="2">
        <f ca="1">IF(ISNUMBER(SEARCH(Лист2!$B$4,D:D)),MAX($C$3:OFFSET(C6008,-1,0))+1,0)</f>
        <v>0</v>
      </c>
      <c r="E6008" s="9" t="str">
        <f t="shared" ca="1" si="105"/>
        <v/>
      </c>
      <c r="F6008" s="4" t="s">
        <v>38</v>
      </c>
      <c r="G6008" s="2">
        <f>IF(ISNUMBER(SEARCH(Лист2!$B$4,F:F)),1,0)</f>
        <v>0</v>
      </c>
      <c r="H6008" s="3">
        <f ca="1">IF(AND(I6008&lt;&gt;I6007,ISNUMBER(SEARCH(Лист2!$B$5,I:I)),G6008=1),MAX($H$3:OFFSET(H6008,-1,0))+1,0)</f>
        <v>0</v>
      </c>
      <c r="I6008" s="3" t="s">
        <v>482</v>
      </c>
      <c r="K6008" s="2">
        <f>IF(ISNUMBER(SEARCH(Лист2!$B$4,F:F)),1,0)</f>
        <v>0</v>
      </c>
      <c r="L6008" s="14">
        <f>IF(ISNUMBER(SEARCH(Лист2!$B$5,I:I)),1,0)+K6008</f>
        <v>0</v>
      </c>
      <c r="M6008" s="3">
        <f ca="1">IF(AND(N6008&lt;&gt;N6007,ISNUMBER(SEARCH(Лист2!$B$6,N:N)),L6008=2),MAX($M$3:OFFSET(M6008,-1,0))+1,0)</f>
        <v>0</v>
      </c>
      <c r="N6008" s="3" t="s">
        <v>523</v>
      </c>
    </row>
    <row r="6009" spans="1:14" x14ac:dyDescent="0.25">
      <c r="A6009" s="1" t="s">
        <v>14474</v>
      </c>
      <c r="B6009" s="3" t="s">
        <v>9622</v>
      </c>
      <c r="C6009" s="2">
        <f ca="1">IF(ISNUMBER(SEARCH(Лист2!$B$4,D:D)),MAX($C$3:OFFSET(C6009,-1,0))+1,0)</f>
        <v>0</v>
      </c>
      <c r="E6009" s="9" t="str">
        <f t="shared" ca="1" si="105"/>
        <v/>
      </c>
      <c r="F6009" s="4" t="s">
        <v>38</v>
      </c>
      <c r="G6009" s="2">
        <f>IF(ISNUMBER(SEARCH(Лист2!$B$4,F:F)),1,0)</f>
        <v>0</v>
      </c>
      <c r="H6009" s="3">
        <f ca="1">IF(AND(I6009&lt;&gt;I6008,ISNUMBER(SEARCH(Лист2!$B$5,I:I)),G6009=1),MAX($H$3:OFFSET(H6009,-1,0))+1,0)</f>
        <v>0</v>
      </c>
      <c r="I6009" s="3" t="s">
        <v>485</v>
      </c>
      <c r="K6009" s="2">
        <f>IF(ISNUMBER(SEARCH(Лист2!$B$4,F:F)),1,0)</f>
        <v>0</v>
      </c>
      <c r="L6009" s="14">
        <f>IF(ISNUMBER(SEARCH(Лист2!$B$5,I:I)),1,0)+K6009</f>
        <v>0</v>
      </c>
      <c r="M6009" s="3">
        <f ca="1">IF(AND(N6009&lt;&gt;N6008,ISNUMBER(SEARCH(Лист2!$B$6,N:N)),L6009=2),MAX($M$3:OFFSET(M6009,-1,0))+1,0)</f>
        <v>0</v>
      </c>
      <c r="N6009" s="3" t="s">
        <v>3521</v>
      </c>
    </row>
    <row r="6010" spans="1:14" x14ac:dyDescent="0.25">
      <c r="A6010" s="1" t="s">
        <v>14475</v>
      </c>
      <c r="B6010" s="3" t="s">
        <v>9623</v>
      </c>
      <c r="C6010" s="2">
        <f ca="1">IF(ISNUMBER(SEARCH(Лист2!$B$4,D:D)),MAX($C$3:OFFSET(C6010,-1,0))+1,0)</f>
        <v>0</v>
      </c>
      <c r="E6010" s="9" t="str">
        <f t="shared" ca="1" si="105"/>
        <v/>
      </c>
      <c r="F6010" s="4" t="s">
        <v>38</v>
      </c>
      <c r="G6010" s="2">
        <f>IF(ISNUMBER(SEARCH(Лист2!$B$4,F:F)),1,0)</f>
        <v>0</v>
      </c>
      <c r="H6010" s="3">
        <f ca="1">IF(AND(I6010&lt;&gt;I6009,ISNUMBER(SEARCH(Лист2!$B$5,I:I)),G6010=1),MAX($H$3:OFFSET(H6010,-1,0))+1,0)</f>
        <v>0</v>
      </c>
      <c r="I6010" s="3" t="s">
        <v>485</v>
      </c>
      <c r="K6010" s="2">
        <f>IF(ISNUMBER(SEARCH(Лист2!$B$4,F:F)),1,0)</f>
        <v>0</v>
      </c>
      <c r="L6010" s="14">
        <f>IF(ISNUMBER(SEARCH(Лист2!$B$5,I:I)),1,0)+K6010</f>
        <v>0</v>
      </c>
      <c r="M6010" s="3">
        <f ca="1">IF(AND(N6010&lt;&gt;N6009,ISNUMBER(SEARCH(Лист2!$B$6,N:N)),L6010=2),MAX($M$3:OFFSET(M6010,-1,0))+1,0)</f>
        <v>0</v>
      </c>
      <c r="N6010" s="3" t="s">
        <v>3522</v>
      </c>
    </row>
    <row r="6011" spans="1:14" x14ac:dyDescent="0.25">
      <c r="A6011" s="1" t="s">
        <v>14476</v>
      </c>
      <c r="B6011" s="3" t="s">
        <v>9624</v>
      </c>
      <c r="C6011" s="2">
        <f ca="1">IF(ISNUMBER(SEARCH(Лист2!$B$4,D:D)),MAX($C$3:OFFSET(C6011,-1,0))+1,0)</f>
        <v>0</v>
      </c>
      <c r="E6011" s="9" t="str">
        <f t="shared" ca="1" si="105"/>
        <v/>
      </c>
      <c r="F6011" s="4" t="s">
        <v>38</v>
      </c>
      <c r="G6011" s="2">
        <f>IF(ISNUMBER(SEARCH(Лист2!$B$4,F:F)),1,0)</f>
        <v>0</v>
      </c>
      <c r="H6011" s="3">
        <f ca="1">IF(AND(I6011&lt;&gt;I6010,ISNUMBER(SEARCH(Лист2!$B$5,I:I)),G6011=1),MAX($H$3:OFFSET(H6011,-1,0))+1,0)</f>
        <v>0</v>
      </c>
      <c r="I6011" s="3" t="s">
        <v>485</v>
      </c>
      <c r="K6011" s="2">
        <f>IF(ISNUMBER(SEARCH(Лист2!$B$4,F:F)),1,0)</f>
        <v>0</v>
      </c>
      <c r="L6011" s="14">
        <f>IF(ISNUMBER(SEARCH(Лист2!$B$5,I:I)),1,0)+K6011</f>
        <v>0</v>
      </c>
      <c r="M6011" s="3">
        <f ca="1">IF(AND(N6011&lt;&gt;N6010,ISNUMBER(SEARCH(Лист2!$B$6,N:N)),L6011=2),MAX($M$3:OFFSET(M6011,-1,0))+1,0)</f>
        <v>0</v>
      </c>
      <c r="N6011" s="3" t="s">
        <v>3523</v>
      </c>
    </row>
    <row r="6012" spans="1:14" x14ac:dyDescent="0.25">
      <c r="A6012" s="1" t="s">
        <v>14477</v>
      </c>
      <c r="B6012" s="3" t="s">
        <v>9625</v>
      </c>
      <c r="C6012" s="2">
        <f ca="1">IF(ISNUMBER(SEARCH(Лист2!$B$4,D:D)),MAX($C$3:OFFSET(C6012,-1,0))+1,0)</f>
        <v>0</v>
      </c>
      <c r="E6012" s="9" t="str">
        <f t="shared" ca="1" si="105"/>
        <v/>
      </c>
      <c r="F6012" s="4" t="s">
        <v>38</v>
      </c>
      <c r="G6012" s="2">
        <f>IF(ISNUMBER(SEARCH(Лист2!$B$4,F:F)),1,0)</f>
        <v>0</v>
      </c>
      <c r="H6012" s="3">
        <f ca="1">IF(AND(I6012&lt;&gt;I6011,ISNUMBER(SEARCH(Лист2!$B$5,I:I)),G6012=1),MAX($H$3:OFFSET(H6012,-1,0))+1,0)</f>
        <v>0</v>
      </c>
      <c r="I6012" s="3" t="s">
        <v>485</v>
      </c>
      <c r="K6012" s="2">
        <f>IF(ISNUMBER(SEARCH(Лист2!$B$4,F:F)),1,0)</f>
        <v>0</v>
      </c>
      <c r="L6012" s="14">
        <f>IF(ISNUMBER(SEARCH(Лист2!$B$5,I:I)),1,0)+K6012</f>
        <v>0</v>
      </c>
      <c r="M6012" s="3">
        <f ca="1">IF(AND(N6012&lt;&gt;N6011,ISNUMBER(SEARCH(Лист2!$B$6,N:N)),L6012=2),MAX($M$3:OFFSET(M6012,-1,0))+1,0)</f>
        <v>0</v>
      </c>
      <c r="N6012" s="3" t="s">
        <v>3524</v>
      </c>
    </row>
    <row r="6013" spans="1:14" x14ac:dyDescent="0.25">
      <c r="A6013" s="1" t="s">
        <v>14478</v>
      </c>
      <c r="B6013" s="3" t="s">
        <v>9626</v>
      </c>
      <c r="C6013" s="2">
        <f ca="1">IF(ISNUMBER(SEARCH(Лист2!$B$4,D:D)),MAX($C$3:OFFSET(C6013,-1,0))+1,0)</f>
        <v>0</v>
      </c>
      <c r="E6013" s="9" t="str">
        <f t="shared" ca="1" si="105"/>
        <v/>
      </c>
      <c r="F6013" s="4" t="s">
        <v>38</v>
      </c>
      <c r="G6013" s="2">
        <f>IF(ISNUMBER(SEARCH(Лист2!$B$4,F:F)),1,0)</f>
        <v>0</v>
      </c>
      <c r="H6013" s="3">
        <f ca="1">IF(AND(I6013&lt;&gt;I6012,ISNUMBER(SEARCH(Лист2!$B$5,I:I)),G6013=1),MAX($H$3:OFFSET(H6013,-1,0))+1,0)</f>
        <v>0</v>
      </c>
      <c r="I6013" s="3" t="s">
        <v>485</v>
      </c>
      <c r="K6013" s="2">
        <f>IF(ISNUMBER(SEARCH(Лист2!$B$4,F:F)),1,0)</f>
        <v>0</v>
      </c>
      <c r="L6013" s="14">
        <f>IF(ISNUMBER(SEARCH(Лист2!$B$5,I:I)),1,0)+K6013</f>
        <v>0</v>
      </c>
      <c r="M6013" s="3">
        <f ca="1">IF(AND(N6013&lt;&gt;N6012,ISNUMBER(SEARCH(Лист2!$B$6,N:N)),L6013=2),MAX($M$3:OFFSET(M6013,-1,0))+1,0)</f>
        <v>0</v>
      </c>
      <c r="N6013" s="3" t="s">
        <v>3525</v>
      </c>
    </row>
    <row r="6014" spans="1:14" x14ac:dyDescent="0.25">
      <c r="A6014" s="1" t="s">
        <v>14479</v>
      </c>
      <c r="B6014" s="3" t="s">
        <v>9627</v>
      </c>
      <c r="C6014" s="2">
        <f ca="1">IF(ISNUMBER(SEARCH(Лист2!$B$4,D:D)),MAX($C$3:OFFSET(C6014,-1,0))+1,0)</f>
        <v>0</v>
      </c>
      <c r="E6014" s="9" t="str">
        <f t="shared" ca="1" si="105"/>
        <v/>
      </c>
      <c r="F6014" s="4" t="s">
        <v>38</v>
      </c>
      <c r="G6014" s="2">
        <f>IF(ISNUMBER(SEARCH(Лист2!$B$4,F:F)),1,0)</f>
        <v>0</v>
      </c>
      <c r="H6014" s="3">
        <f ca="1">IF(AND(I6014&lt;&gt;I6013,ISNUMBER(SEARCH(Лист2!$B$5,I:I)),G6014=1),MAX($H$3:OFFSET(H6014,-1,0))+1,0)</f>
        <v>0</v>
      </c>
      <c r="I6014" s="3" t="s">
        <v>485</v>
      </c>
      <c r="K6014" s="2">
        <f>IF(ISNUMBER(SEARCH(Лист2!$B$4,F:F)),1,0)</f>
        <v>0</v>
      </c>
      <c r="L6014" s="14">
        <f>IF(ISNUMBER(SEARCH(Лист2!$B$5,I:I)),1,0)+K6014</f>
        <v>0</v>
      </c>
      <c r="M6014" s="3">
        <f ca="1">IF(AND(N6014&lt;&gt;N6013,ISNUMBER(SEARCH(Лист2!$B$6,N:N)),L6014=2),MAX($M$3:OFFSET(M6014,-1,0))+1,0)</f>
        <v>0</v>
      </c>
      <c r="N6014" s="3" t="s">
        <v>3526</v>
      </c>
    </row>
    <row r="6015" spans="1:14" x14ac:dyDescent="0.25">
      <c r="A6015" s="1" t="s">
        <v>14480</v>
      </c>
      <c r="B6015" s="3" t="s">
        <v>9628</v>
      </c>
      <c r="C6015" s="2">
        <f ca="1">IF(ISNUMBER(SEARCH(Лист2!$B$4,D:D)),MAX($C$3:OFFSET(C6015,-1,0))+1,0)</f>
        <v>0</v>
      </c>
      <c r="E6015" s="9" t="str">
        <f t="shared" ca="1" si="105"/>
        <v/>
      </c>
      <c r="F6015" s="4" t="s">
        <v>38</v>
      </c>
      <c r="G6015" s="2">
        <f>IF(ISNUMBER(SEARCH(Лист2!$B$4,F:F)),1,0)</f>
        <v>0</v>
      </c>
      <c r="H6015" s="3">
        <f ca="1">IF(AND(I6015&lt;&gt;I6014,ISNUMBER(SEARCH(Лист2!$B$5,I:I)),G6015=1),MAX($H$3:OFFSET(H6015,-1,0))+1,0)</f>
        <v>0</v>
      </c>
      <c r="I6015" s="3" t="s">
        <v>485</v>
      </c>
      <c r="K6015" s="2">
        <f>IF(ISNUMBER(SEARCH(Лист2!$B$4,F:F)),1,0)</f>
        <v>0</v>
      </c>
      <c r="L6015" s="14">
        <f>IF(ISNUMBER(SEARCH(Лист2!$B$5,I:I)),1,0)+K6015</f>
        <v>0</v>
      </c>
      <c r="M6015" s="3">
        <f ca="1">IF(AND(N6015&lt;&gt;N6014,ISNUMBER(SEARCH(Лист2!$B$6,N:N)),L6015=2),MAX($M$3:OFFSET(M6015,-1,0))+1,0)</f>
        <v>0</v>
      </c>
      <c r="N6015" s="3" t="s">
        <v>3518</v>
      </c>
    </row>
    <row r="6016" spans="1:14" x14ac:dyDescent="0.25">
      <c r="A6016" s="1" t="s">
        <v>14481</v>
      </c>
      <c r="B6016" s="3" t="s">
        <v>9629</v>
      </c>
      <c r="C6016" s="2">
        <f ca="1">IF(ISNUMBER(SEARCH(Лист2!$B$4,D:D)),MAX($C$3:OFFSET(C6016,-1,0))+1,0)</f>
        <v>0</v>
      </c>
      <c r="E6016" s="9" t="str">
        <f t="shared" ca="1" si="105"/>
        <v/>
      </c>
      <c r="F6016" s="4" t="s">
        <v>38</v>
      </c>
      <c r="G6016" s="2">
        <f>IF(ISNUMBER(SEARCH(Лист2!$B$4,F:F)),1,0)</f>
        <v>0</v>
      </c>
      <c r="H6016" s="3">
        <f ca="1">IF(AND(I6016&lt;&gt;I6015,ISNUMBER(SEARCH(Лист2!$B$5,I:I)),G6016=1),MAX($H$3:OFFSET(H6016,-1,0))+1,0)</f>
        <v>0</v>
      </c>
      <c r="I6016" s="3" t="s">
        <v>485</v>
      </c>
      <c r="K6016" s="2">
        <f>IF(ISNUMBER(SEARCH(Лист2!$B$4,F:F)),1,0)</f>
        <v>0</v>
      </c>
      <c r="L6016" s="14">
        <f>IF(ISNUMBER(SEARCH(Лист2!$B$5,I:I)),1,0)+K6016</f>
        <v>0</v>
      </c>
      <c r="M6016" s="3">
        <f ca="1">IF(AND(N6016&lt;&gt;N6015,ISNUMBER(SEARCH(Лист2!$B$6,N:N)),L6016=2),MAX($M$3:OFFSET(M6016,-1,0))+1,0)</f>
        <v>0</v>
      </c>
      <c r="N6016" s="3" t="s">
        <v>3527</v>
      </c>
    </row>
    <row r="6017" spans="1:14" x14ac:dyDescent="0.25">
      <c r="A6017" s="1" t="s">
        <v>14482</v>
      </c>
      <c r="B6017" s="3" t="s">
        <v>9630</v>
      </c>
      <c r="C6017" s="2">
        <f ca="1">IF(ISNUMBER(SEARCH(Лист2!$B$4,D:D)),MAX($C$3:OFFSET(C6017,-1,0))+1,0)</f>
        <v>0</v>
      </c>
      <c r="E6017" s="9" t="str">
        <f t="shared" ca="1" si="105"/>
        <v/>
      </c>
      <c r="F6017" s="4" t="s">
        <v>38</v>
      </c>
      <c r="G6017" s="2">
        <f>IF(ISNUMBER(SEARCH(Лист2!$B$4,F:F)),1,0)</f>
        <v>0</v>
      </c>
      <c r="H6017" s="3">
        <f ca="1">IF(AND(I6017&lt;&gt;I6016,ISNUMBER(SEARCH(Лист2!$B$5,I:I)),G6017=1),MAX($H$3:OFFSET(H6017,-1,0))+1,0)</f>
        <v>0</v>
      </c>
      <c r="I6017" s="3" t="s">
        <v>485</v>
      </c>
      <c r="K6017" s="2">
        <f>IF(ISNUMBER(SEARCH(Лист2!$B$4,F:F)),1,0)</f>
        <v>0</v>
      </c>
      <c r="L6017" s="14">
        <f>IF(ISNUMBER(SEARCH(Лист2!$B$5,I:I)),1,0)+K6017</f>
        <v>0</v>
      </c>
      <c r="M6017" s="3">
        <f ca="1">IF(AND(N6017&lt;&gt;N6016,ISNUMBER(SEARCH(Лист2!$B$6,N:N)),L6017=2),MAX($M$3:OFFSET(M6017,-1,0))+1,0)</f>
        <v>0</v>
      </c>
      <c r="N6017" s="3" t="s">
        <v>3528</v>
      </c>
    </row>
    <row r="6018" spans="1:14" x14ac:dyDescent="0.25">
      <c r="A6018" s="1" t="s">
        <v>14483</v>
      </c>
      <c r="B6018" s="3" t="s">
        <v>9631</v>
      </c>
      <c r="C6018" s="2">
        <f ca="1">IF(ISNUMBER(SEARCH(Лист2!$B$4,D:D)),MAX($C$3:OFFSET(C6018,-1,0))+1,0)</f>
        <v>0</v>
      </c>
      <c r="E6018" s="9" t="str">
        <f t="shared" ca="1" si="105"/>
        <v/>
      </c>
      <c r="F6018" s="4" t="s">
        <v>38</v>
      </c>
      <c r="G6018" s="2">
        <f>IF(ISNUMBER(SEARCH(Лист2!$B$4,F:F)),1,0)</f>
        <v>0</v>
      </c>
      <c r="H6018" s="3">
        <f ca="1">IF(AND(I6018&lt;&gt;I6017,ISNUMBER(SEARCH(Лист2!$B$5,I:I)),G6018=1),MAX($H$3:OFFSET(H6018,-1,0))+1,0)</f>
        <v>0</v>
      </c>
      <c r="I6018" s="3" t="s">
        <v>485</v>
      </c>
      <c r="K6018" s="2">
        <f>IF(ISNUMBER(SEARCH(Лист2!$B$4,F:F)),1,0)</f>
        <v>0</v>
      </c>
      <c r="L6018" s="14">
        <f>IF(ISNUMBER(SEARCH(Лист2!$B$5,I:I)),1,0)+K6018</f>
        <v>0</v>
      </c>
      <c r="M6018" s="3">
        <f ca="1">IF(AND(N6018&lt;&gt;N6017,ISNUMBER(SEARCH(Лист2!$B$6,N:N)),L6018=2),MAX($M$3:OFFSET(M6018,-1,0))+1,0)</f>
        <v>0</v>
      </c>
      <c r="N6018" s="3" t="s">
        <v>602</v>
      </c>
    </row>
    <row r="6019" spans="1:14" x14ac:dyDescent="0.25">
      <c r="A6019" s="1" t="s">
        <v>14484</v>
      </c>
      <c r="B6019" s="3" t="s">
        <v>9632</v>
      </c>
      <c r="C6019" s="2">
        <f ca="1">IF(ISNUMBER(SEARCH(Лист2!$B$4,D:D)),MAX($C$3:OFFSET(C6019,-1,0))+1,0)</f>
        <v>0</v>
      </c>
      <c r="E6019" s="9" t="str">
        <f t="shared" ca="1" si="105"/>
        <v/>
      </c>
      <c r="F6019" s="4" t="s">
        <v>38</v>
      </c>
      <c r="G6019" s="2">
        <f>IF(ISNUMBER(SEARCH(Лист2!$B$4,F:F)),1,0)</f>
        <v>0</v>
      </c>
      <c r="H6019" s="3">
        <f ca="1">IF(AND(I6019&lt;&gt;I6018,ISNUMBER(SEARCH(Лист2!$B$5,I:I)),G6019=1),MAX($H$3:OFFSET(H6019,-1,0))+1,0)</f>
        <v>0</v>
      </c>
      <c r="I6019" s="3" t="s">
        <v>485</v>
      </c>
      <c r="K6019" s="2">
        <f>IF(ISNUMBER(SEARCH(Лист2!$B$4,F:F)),1,0)</f>
        <v>0</v>
      </c>
      <c r="L6019" s="14">
        <f>IF(ISNUMBER(SEARCH(Лист2!$B$5,I:I)),1,0)+K6019</f>
        <v>0</v>
      </c>
      <c r="M6019" s="3">
        <f ca="1">IF(AND(N6019&lt;&gt;N6018,ISNUMBER(SEARCH(Лист2!$B$6,N:N)),L6019=2),MAX($M$3:OFFSET(M6019,-1,0))+1,0)</f>
        <v>0</v>
      </c>
      <c r="N6019" s="3" t="s">
        <v>3249</v>
      </c>
    </row>
    <row r="6020" spans="1:14" x14ac:dyDescent="0.25">
      <c r="A6020" s="1" t="s">
        <v>14485</v>
      </c>
      <c r="B6020" s="3" t="s">
        <v>9633</v>
      </c>
      <c r="C6020" s="2">
        <f ca="1">IF(ISNUMBER(SEARCH(Лист2!$B$4,D:D)),MAX($C$3:OFFSET(C6020,-1,0))+1,0)</f>
        <v>0</v>
      </c>
      <c r="E6020" s="9" t="str">
        <f t="shared" ca="1" si="105"/>
        <v/>
      </c>
      <c r="F6020" s="4" t="s">
        <v>38</v>
      </c>
      <c r="G6020" s="2">
        <f>IF(ISNUMBER(SEARCH(Лист2!$B$4,F:F)),1,0)</f>
        <v>0</v>
      </c>
      <c r="H6020" s="3">
        <f ca="1">IF(AND(I6020&lt;&gt;I6019,ISNUMBER(SEARCH(Лист2!$B$5,I:I)),G6020=1),MAX($H$3:OFFSET(H6020,-1,0))+1,0)</f>
        <v>0</v>
      </c>
      <c r="I6020" s="3" t="s">
        <v>488</v>
      </c>
      <c r="K6020" s="2">
        <f>IF(ISNUMBER(SEARCH(Лист2!$B$4,F:F)),1,0)</f>
        <v>0</v>
      </c>
      <c r="L6020" s="14">
        <f>IF(ISNUMBER(SEARCH(Лист2!$B$5,I:I)),1,0)+K6020</f>
        <v>0</v>
      </c>
      <c r="M6020" s="3">
        <f ca="1">IF(AND(N6020&lt;&gt;N6019,ISNUMBER(SEARCH(Лист2!$B$6,N:N)),L6020=2),MAX($M$3:OFFSET(M6020,-1,0))+1,0)</f>
        <v>0</v>
      </c>
      <c r="N6020" s="3" t="s">
        <v>3529</v>
      </c>
    </row>
    <row r="6021" spans="1:14" x14ac:dyDescent="0.25">
      <c r="A6021" s="1" t="s">
        <v>14486</v>
      </c>
      <c r="B6021" s="3" t="s">
        <v>9634</v>
      </c>
      <c r="C6021" s="2">
        <f ca="1">IF(ISNUMBER(SEARCH(Лист2!$B$4,D:D)),MAX($C$3:OFFSET(C6021,-1,0))+1,0)</f>
        <v>0</v>
      </c>
      <c r="E6021" s="9" t="str">
        <f t="shared" ref="E6021:E6084" ca="1" si="106">IFERROR(INDEX(D:D,MATCH(ROW(E6021)-ROW($E$3),C:C,0)),"")</f>
        <v/>
      </c>
      <c r="F6021" s="4" t="s">
        <v>38</v>
      </c>
      <c r="G6021" s="2">
        <f>IF(ISNUMBER(SEARCH(Лист2!$B$4,F:F)),1,0)</f>
        <v>0</v>
      </c>
      <c r="H6021" s="3">
        <f ca="1">IF(AND(I6021&lt;&gt;I6020,ISNUMBER(SEARCH(Лист2!$B$5,I:I)),G6021=1),MAX($H$3:OFFSET(H6021,-1,0))+1,0)</f>
        <v>0</v>
      </c>
      <c r="I6021" s="3" t="s">
        <v>488</v>
      </c>
      <c r="K6021" s="2">
        <f>IF(ISNUMBER(SEARCH(Лист2!$B$4,F:F)),1,0)</f>
        <v>0</v>
      </c>
      <c r="L6021" s="14">
        <f>IF(ISNUMBER(SEARCH(Лист2!$B$5,I:I)),1,0)+K6021</f>
        <v>0</v>
      </c>
      <c r="M6021" s="3">
        <f ca="1">IF(AND(N6021&lt;&gt;N6020,ISNUMBER(SEARCH(Лист2!$B$6,N:N)),L6021=2),MAX($M$3:OFFSET(M6021,-1,0))+1,0)</f>
        <v>0</v>
      </c>
      <c r="N6021" s="3" t="s">
        <v>3530</v>
      </c>
    </row>
    <row r="6022" spans="1:14" x14ac:dyDescent="0.25">
      <c r="A6022" s="1" t="s">
        <v>14487</v>
      </c>
      <c r="B6022" s="3" t="s">
        <v>9635</v>
      </c>
      <c r="C6022" s="2">
        <f ca="1">IF(ISNUMBER(SEARCH(Лист2!$B$4,D:D)),MAX($C$3:OFFSET(C6022,-1,0))+1,0)</f>
        <v>0</v>
      </c>
      <c r="E6022" s="9" t="str">
        <f t="shared" ca="1" si="106"/>
        <v/>
      </c>
      <c r="F6022" s="4" t="s">
        <v>38</v>
      </c>
      <c r="G6022" s="2">
        <f>IF(ISNUMBER(SEARCH(Лист2!$B$4,F:F)),1,0)</f>
        <v>0</v>
      </c>
      <c r="H6022" s="3">
        <f ca="1">IF(AND(I6022&lt;&gt;I6021,ISNUMBER(SEARCH(Лист2!$B$5,I:I)),G6022=1),MAX($H$3:OFFSET(H6022,-1,0))+1,0)</f>
        <v>0</v>
      </c>
      <c r="I6022" s="3" t="s">
        <v>488</v>
      </c>
      <c r="K6022" s="2">
        <f>IF(ISNUMBER(SEARCH(Лист2!$B$4,F:F)),1,0)</f>
        <v>0</v>
      </c>
      <c r="L6022" s="14">
        <f>IF(ISNUMBER(SEARCH(Лист2!$B$5,I:I)),1,0)+K6022</f>
        <v>0</v>
      </c>
      <c r="M6022" s="3">
        <f ca="1">IF(AND(N6022&lt;&gt;N6021,ISNUMBER(SEARCH(Лист2!$B$6,N:N)),L6022=2),MAX($M$3:OFFSET(M6022,-1,0))+1,0)</f>
        <v>0</v>
      </c>
      <c r="N6022" s="3" t="s">
        <v>3531</v>
      </c>
    </row>
    <row r="6023" spans="1:14" x14ac:dyDescent="0.25">
      <c r="A6023" s="1" t="s">
        <v>14488</v>
      </c>
      <c r="B6023" s="3" t="s">
        <v>9636</v>
      </c>
      <c r="C6023" s="2">
        <f ca="1">IF(ISNUMBER(SEARCH(Лист2!$B$4,D:D)),MAX($C$3:OFFSET(C6023,-1,0))+1,0)</f>
        <v>0</v>
      </c>
      <c r="E6023" s="9" t="str">
        <f t="shared" ca="1" si="106"/>
        <v/>
      </c>
      <c r="F6023" s="4" t="s">
        <v>38</v>
      </c>
      <c r="G6023" s="2">
        <f>IF(ISNUMBER(SEARCH(Лист2!$B$4,F:F)),1,0)</f>
        <v>0</v>
      </c>
      <c r="H6023" s="3">
        <f ca="1">IF(AND(I6023&lt;&gt;I6022,ISNUMBER(SEARCH(Лист2!$B$5,I:I)),G6023=1),MAX($H$3:OFFSET(H6023,-1,0))+1,0)</f>
        <v>0</v>
      </c>
      <c r="I6023" s="3" t="s">
        <v>488</v>
      </c>
      <c r="K6023" s="2">
        <f>IF(ISNUMBER(SEARCH(Лист2!$B$4,F:F)),1,0)</f>
        <v>0</v>
      </c>
      <c r="L6023" s="14">
        <f>IF(ISNUMBER(SEARCH(Лист2!$B$5,I:I)),1,0)+K6023</f>
        <v>0</v>
      </c>
      <c r="M6023" s="3">
        <f ca="1">IF(AND(N6023&lt;&gt;N6022,ISNUMBER(SEARCH(Лист2!$B$6,N:N)),L6023=2),MAX($M$3:OFFSET(M6023,-1,0))+1,0)</f>
        <v>0</v>
      </c>
      <c r="N6023" s="3" t="s">
        <v>3532</v>
      </c>
    </row>
    <row r="6024" spans="1:14" x14ac:dyDescent="0.25">
      <c r="A6024" s="1" t="s">
        <v>14489</v>
      </c>
      <c r="B6024" s="3" t="s">
        <v>9637</v>
      </c>
      <c r="C6024" s="2">
        <f ca="1">IF(ISNUMBER(SEARCH(Лист2!$B$4,D:D)),MAX($C$3:OFFSET(C6024,-1,0))+1,0)</f>
        <v>0</v>
      </c>
      <c r="E6024" s="9" t="str">
        <f t="shared" ca="1" si="106"/>
        <v/>
      </c>
      <c r="F6024" s="4" t="s">
        <v>38</v>
      </c>
      <c r="G6024" s="2">
        <f>IF(ISNUMBER(SEARCH(Лист2!$B$4,F:F)),1,0)</f>
        <v>0</v>
      </c>
      <c r="H6024" s="3">
        <f ca="1">IF(AND(I6024&lt;&gt;I6023,ISNUMBER(SEARCH(Лист2!$B$5,I:I)),G6024=1),MAX($H$3:OFFSET(H6024,-1,0))+1,0)</f>
        <v>0</v>
      </c>
      <c r="I6024" s="3" t="s">
        <v>488</v>
      </c>
      <c r="K6024" s="2">
        <f>IF(ISNUMBER(SEARCH(Лист2!$B$4,F:F)),1,0)</f>
        <v>0</v>
      </c>
      <c r="L6024" s="14">
        <f>IF(ISNUMBER(SEARCH(Лист2!$B$5,I:I)),1,0)+K6024</f>
        <v>0</v>
      </c>
      <c r="M6024" s="3">
        <f ca="1">IF(AND(N6024&lt;&gt;N6023,ISNUMBER(SEARCH(Лист2!$B$6,N:N)),L6024=2),MAX($M$3:OFFSET(M6024,-1,0))+1,0)</f>
        <v>0</v>
      </c>
      <c r="N6024" s="3" t="s">
        <v>3533</v>
      </c>
    </row>
    <row r="6025" spans="1:14" x14ac:dyDescent="0.25">
      <c r="A6025" s="1" t="s">
        <v>14490</v>
      </c>
      <c r="B6025" s="3" t="s">
        <v>9638</v>
      </c>
      <c r="C6025" s="2">
        <f ca="1">IF(ISNUMBER(SEARCH(Лист2!$B$4,D:D)),MAX($C$3:OFFSET(C6025,-1,0))+1,0)</f>
        <v>0</v>
      </c>
      <c r="E6025" s="9" t="str">
        <f t="shared" ca="1" si="106"/>
        <v/>
      </c>
      <c r="F6025" s="4" t="s">
        <v>38</v>
      </c>
      <c r="G6025" s="2">
        <f>IF(ISNUMBER(SEARCH(Лист2!$B$4,F:F)),1,0)</f>
        <v>0</v>
      </c>
      <c r="H6025" s="3">
        <f ca="1">IF(AND(I6025&lt;&gt;I6024,ISNUMBER(SEARCH(Лист2!$B$5,I:I)),G6025=1),MAX($H$3:OFFSET(H6025,-1,0))+1,0)</f>
        <v>0</v>
      </c>
      <c r="I6025" s="3" t="s">
        <v>488</v>
      </c>
      <c r="K6025" s="2">
        <f>IF(ISNUMBER(SEARCH(Лист2!$B$4,F:F)),1,0)</f>
        <v>0</v>
      </c>
      <c r="L6025" s="14">
        <f>IF(ISNUMBER(SEARCH(Лист2!$B$5,I:I)),1,0)+K6025</f>
        <v>0</v>
      </c>
      <c r="M6025" s="3">
        <f ca="1">IF(AND(N6025&lt;&gt;N6024,ISNUMBER(SEARCH(Лист2!$B$6,N:N)),L6025=2),MAX($M$3:OFFSET(M6025,-1,0))+1,0)</f>
        <v>0</v>
      </c>
      <c r="N6025" s="3" t="s">
        <v>3534</v>
      </c>
    </row>
    <row r="6026" spans="1:14" x14ac:dyDescent="0.25">
      <c r="A6026" s="1" t="s">
        <v>14491</v>
      </c>
      <c r="B6026" s="3" t="s">
        <v>9639</v>
      </c>
      <c r="C6026" s="2">
        <f ca="1">IF(ISNUMBER(SEARCH(Лист2!$B$4,D:D)),MAX($C$3:OFFSET(C6026,-1,0))+1,0)</f>
        <v>0</v>
      </c>
      <c r="E6026" s="9" t="str">
        <f t="shared" ca="1" si="106"/>
        <v/>
      </c>
      <c r="F6026" s="4" t="s">
        <v>38</v>
      </c>
      <c r="G6026" s="2">
        <f>IF(ISNUMBER(SEARCH(Лист2!$B$4,F:F)),1,0)</f>
        <v>0</v>
      </c>
      <c r="H6026" s="3">
        <f ca="1">IF(AND(I6026&lt;&gt;I6025,ISNUMBER(SEARCH(Лист2!$B$5,I:I)),G6026=1),MAX($H$3:OFFSET(H6026,-1,0))+1,0)</f>
        <v>0</v>
      </c>
      <c r="I6026" s="3" t="s">
        <v>488</v>
      </c>
      <c r="K6026" s="2">
        <f>IF(ISNUMBER(SEARCH(Лист2!$B$4,F:F)),1,0)</f>
        <v>0</v>
      </c>
      <c r="L6026" s="14">
        <f>IF(ISNUMBER(SEARCH(Лист2!$B$5,I:I)),1,0)+K6026</f>
        <v>0</v>
      </c>
      <c r="M6026" s="3">
        <f ca="1">IF(AND(N6026&lt;&gt;N6025,ISNUMBER(SEARCH(Лист2!$B$6,N:N)),L6026=2),MAX($M$3:OFFSET(M6026,-1,0))+1,0)</f>
        <v>0</v>
      </c>
      <c r="N6026" s="3" t="s">
        <v>3535</v>
      </c>
    </row>
    <row r="6027" spans="1:14" x14ac:dyDescent="0.25">
      <c r="A6027" s="1" t="s">
        <v>14492</v>
      </c>
      <c r="B6027" s="3" t="s">
        <v>9640</v>
      </c>
      <c r="C6027" s="2">
        <f ca="1">IF(ISNUMBER(SEARCH(Лист2!$B$4,D:D)),MAX($C$3:OFFSET(C6027,-1,0))+1,0)</f>
        <v>0</v>
      </c>
      <c r="E6027" s="9" t="str">
        <f t="shared" ca="1" si="106"/>
        <v/>
      </c>
      <c r="F6027" s="4" t="s">
        <v>38</v>
      </c>
      <c r="G6027" s="2">
        <f>IF(ISNUMBER(SEARCH(Лист2!$B$4,F:F)),1,0)</f>
        <v>0</v>
      </c>
      <c r="H6027" s="3">
        <f ca="1">IF(AND(I6027&lt;&gt;I6026,ISNUMBER(SEARCH(Лист2!$B$5,I:I)),G6027=1),MAX($H$3:OFFSET(H6027,-1,0))+1,0)</f>
        <v>0</v>
      </c>
      <c r="I6027" s="3" t="s">
        <v>488</v>
      </c>
      <c r="K6027" s="2">
        <f>IF(ISNUMBER(SEARCH(Лист2!$B$4,F:F)),1,0)</f>
        <v>0</v>
      </c>
      <c r="L6027" s="14">
        <f>IF(ISNUMBER(SEARCH(Лист2!$B$5,I:I)),1,0)+K6027</f>
        <v>0</v>
      </c>
      <c r="M6027" s="3">
        <f ca="1">IF(AND(N6027&lt;&gt;N6026,ISNUMBER(SEARCH(Лист2!$B$6,N:N)),L6027=2),MAX($M$3:OFFSET(M6027,-1,0))+1,0)</f>
        <v>0</v>
      </c>
      <c r="N6027" s="3" t="s">
        <v>3536</v>
      </c>
    </row>
    <row r="6028" spans="1:14" x14ac:dyDescent="0.25">
      <c r="A6028" s="1" t="s">
        <v>14493</v>
      </c>
      <c r="B6028" s="3" t="s">
        <v>9641</v>
      </c>
      <c r="C6028" s="2">
        <f ca="1">IF(ISNUMBER(SEARCH(Лист2!$B$4,D:D)),MAX($C$3:OFFSET(C6028,-1,0))+1,0)</f>
        <v>0</v>
      </c>
      <c r="E6028" s="9" t="str">
        <f t="shared" ca="1" si="106"/>
        <v/>
      </c>
      <c r="F6028" s="4" t="s">
        <v>38</v>
      </c>
      <c r="G6028" s="2">
        <f>IF(ISNUMBER(SEARCH(Лист2!$B$4,F:F)),1,0)</f>
        <v>0</v>
      </c>
      <c r="H6028" s="3">
        <f ca="1">IF(AND(I6028&lt;&gt;I6027,ISNUMBER(SEARCH(Лист2!$B$5,I:I)),G6028=1),MAX($H$3:OFFSET(H6028,-1,0))+1,0)</f>
        <v>0</v>
      </c>
      <c r="I6028" s="3" t="s">
        <v>488</v>
      </c>
      <c r="K6028" s="2">
        <f>IF(ISNUMBER(SEARCH(Лист2!$B$4,F:F)),1,0)</f>
        <v>0</v>
      </c>
      <c r="L6028" s="14">
        <f>IF(ISNUMBER(SEARCH(Лист2!$B$5,I:I)),1,0)+K6028</f>
        <v>0</v>
      </c>
      <c r="M6028" s="3">
        <f ca="1">IF(AND(N6028&lt;&gt;N6027,ISNUMBER(SEARCH(Лист2!$B$6,N:N)),L6028=2),MAX($M$3:OFFSET(M6028,-1,0))+1,0)</f>
        <v>0</v>
      </c>
      <c r="N6028" s="3" t="s">
        <v>602</v>
      </c>
    </row>
    <row r="6029" spans="1:14" x14ac:dyDescent="0.25">
      <c r="A6029" s="1" t="s">
        <v>14494</v>
      </c>
      <c r="B6029" s="3" t="s">
        <v>9642</v>
      </c>
      <c r="C6029" s="2">
        <f ca="1">IF(ISNUMBER(SEARCH(Лист2!$B$4,D:D)),MAX($C$3:OFFSET(C6029,-1,0))+1,0)</f>
        <v>0</v>
      </c>
      <c r="E6029" s="9" t="str">
        <f t="shared" ca="1" si="106"/>
        <v/>
      </c>
      <c r="F6029" s="4" t="s">
        <v>38</v>
      </c>
      <c r="G6029" s="2">
        <f>IF(ISNUMBER(SEARCH(Лист2!$B$4,F:F)),1,0)</f>
        <v>0</v>
      </c>
      <c r="H6029" s="3">
        <f ca="1">IF(AND(I6029&lt;&gt;I6028,ISNUMBER(SEARCH(Лист2!$B$5,I:I)),G6029=1),MAX($H$3:OFFSET(H6029,-1,0))+1,0)</f>
        <v>0</v>
      </c>
      <c r="I6029" s="3" t="s">
        <v>488</v>
      </c>
      <c r="K6029" s="2">
        <f>IF(ISNUMBER(SEARCH(Лист2!$B$4,F:F)),1,0)</f>
        <v>0</v>
      </c>
      <c r="L6029" s="14">
        <f>IF(ISNUMBER(SEARCH(Лист2!$B$5,I:I)),1,0)+K6029</f>
        <v>0</v>
      </c>
      <c r="M6029" s="3">
        <f ca="1">IF(AND(N6029&lt;&gt;N6028,ISNUMBER(SEARCH(Лист2!$B$6,N:N)),L6029=2),MAX($M$3:OFFSET(M6029,-1,0))+1,0)</f>
        <v>0</v>
      </c>
      <c r="N6029" s="3" t="s">
        <v>3537</v>
      </c>
    </row>
    <row r="6030" spans="1:14" x14ac:dyDescent="0.25">
      <c r="A6030" s="1" t="s">
        <v>14495</v>
      </c>
      <c r="B6030" s="3" t="s">
        <v>9643</v>
      </c>
      <c r="C6030" s="2">
        <f ca="1">IF(ISNUMBER(SEARCH(Лист2!$B$4,D:D)),MAX($C$3:OFFSET(C6030,-1,0))+1,0)</f>
        <v>0</v>
      </c>
      <c r="E6030" s="9" t="str">
        <f t="shared" ca="1" si="106"/>
        <v/>
      </c>
      <c r="F6030" s="4" t="s">
        <v>38</v>
      </c>
      <c r="G6030" s="2">
        <f>IF(ISNUMBER(SEARCH(Лист2!$B$4,F:F)),1,0)</f>
        <v>0</v>
      </c>
      <c r="H6030" s="3">
        <f ca="1">IF(AND(I6030&lt;&gt;I6029,ISNUMBER(SEARCH(Лист2!$B$5,I:I)),G6030=1),MAX($H$3:OFFSET(H6030,-1,0))+1,0)</f>
        <v>0</v>
      </c>
      <c r="I6030" s="3" t="s">
        <v>489</v>
      </c>
      <c r="K6030" s="2">
        <f>IF(ISNUMBER(SEARCH(Лист2!$B$4,F:F)),1,0)</f>
        <v>0</v>
      </c>
      <c r="L6030" s="14">
        <f>IF(ISNUMBER(SEARCH(Лист2!$B$5,I:I)),1,0)+K6030</f>
        <v>0</v>
      </c>
      <c r="M6030" s="3">
        <f ca="1">IF(AND(N6030&lt;&gt;N6029,ISNUMBER(SEARCH(Лист2!$B$6,N:N)),L6030=2),MAX($M$3:OFFSET(M6030,-1,0))+1,0)</f>
        <v>0</v>
      </c>
      <c r="N6030" s="3" t="s">
        <v>3538</v>
      </c>
    </row>
    <row r="6031" spans="1:14" x14ac:dyDescent="0.25">
      <c r="A6031" s="1" t="s">
        <v>14496</v>
      </c>
      <c r="B6031" s="3" t="s">
        <v>9644</v>
      </c>
      <c r="C6031" s="2">
        <f ca="1">IF(ISNUMBER(SEARCH(Лист2!$B$4,D:D)),MAX($C$3:OFFSET(C6031,-1,0))+1,0)</f>
        <v>0</v>
      </c>
      <c r="E6031" s="9" t="str">
        <f t="shared" ca="1" si="106"/>
        <v/>
      </c>
      <c r="F6031" s="4" t="s">
        <v>38</v>
      </c>
      <c r="G6031" s="2">
        <f>IF(ISNUMBER(SEARCH(Лист2!$B$4,F:F)),1,0)</f>
        <v>0</v>
      </c>
      <c r="H6031" s="3">
        <f ca="1">IF(AND(I6031&lt;&gt;I6030,ISNUMBER(SEARCH(Лист2!$B$5,I:I)),G6031=1),MAX($H$3:OFFSET(H6031,-1,0))+1,0)</f>
        <v>0</v>
      </c>
      <c r="I6031" s="3" t="s">
        <v>489</v>
      </c>
      <c r="K6031" s="2">
        <f>IF(ISNUMBER(SEARCH(Лист2!$B$4,F:F)),1,0)</f>
        <v>0</v>
      </c>
      <c r="L6031" s="14">
        <f>IF(ISNUMBER(SEARCH(Лист2!$B$5,I:I)),1,0)+K6031</f>
        <v>0</v>
      </c>
      <c r="M6031" s="3">
        <f ca="1">IF(AND(N6031&lt;&gt;N6030,ISNUMBER(SEARCH(Лист2!$B$6,N:N)),L6031=2),MAX($M$3:OFFSET(M6031,-1,0))+1,0)</f>
        <v>0</v>
      </c>
      <c r="N6031" s="3" t="s">
        <v>3539</v>
      </c>
    </row>
    <row r="6032" spans="1:14" x14ac:dyDescent="0.25">
      <c r="A6032" s="1" t="s">
        <v>14497</v>
      </c>
      <c r="B6032" s="3" t="s">
        <v>9645</v>
      </c>
      <c r="C6032" s="2">
        <f ca="1">IF(ISNUMBER(SEARCH(Лист2!$B$4,D:D)),MAX($C$3:OFFSET(C6032,-1,0))+1,0)</f>
        <v>0</v>
      </c>
      <c r="E6032" s="9" t="str">
        <f t="shared" ca="1" si="106"/>
        <v/>
      </c>
      <c r="F6032" s="4" t="s">
        <v>38</v>
      </c>
      <c r="G6032" s="2">
        <f>IF(ISNUMBER(SEARCH(Лист2!$B$4,F:F)),1,0)</f>
        <v>0</v>
      </c>
      <c r="H6032" s="3">
        <f ca="1">IF(AND(I6032&lt;&gt;I6031,ISNUMBER(SEARCH(Лист2!$B$5,I:I)),G6032=1),MAX($H$3:OFFSET(H6032,-1,0))+1,0)</f>
        <v>0</v>
      </c>
      <c r="I6032" s="3" t="s">
        <v>489</v>
      </c>
      <c r="K6032" s="2">
        <f>IF(ISNUMBER(SEARCH(Лист2!$B$4,F:F)),1,0)</f>
        <v>0</v>
      </c>
      <c r="L6032" s="14">
        <f>IF(ISNUMBER(SEARCH(Лист2!$B$5,I:I)),1,0)+K6032</f>
        <v>0</v>
      </c>
      <c r="M6032" s="3">
        <f ca="1">IF(AND(N6032&lt;&gt;N6031,ISNUMBER(SEARCH(Лист2!$B$6,N:N)),L6032=2),MAX($M$3:OFFSET(M6032,-1,0))+1,0)</f>
        <v>0</v>
      </c>
      <c r="N6032" s="3" t="s">
        <v>3540</v>
      </c>
    </row>
    <row r="6033" spans="1:14" x14ac:dyDescent="0.25">
      <c r="A6033" s="1" t="s">
        <v>14497</v>
      </c>
      <c r="B6033" s="3" t="s">
        <v>9646</v>
      </c>
      <c r="C6033" s="2">
        <f ca="1">IF(ISNUMBER(SEARCH(Лист2!$B$4,D:D)),MAX($C$3:OFFSET(C6033,-1,0))+1,0)</f>
        <v>0</v>
      </c>
      <c r="E6033" s="9" t="str">
        <f t="shared" ca="1" si="106"/>
        <v/>
      </c>
      <c r="F6033" s="4" t="s">
        <v>38</v>
      </c>
      <c r="G6033" s="2">
        <f>IF(ISNUMBER(SEARCH(Лист2!$B$4,F:F)),1,0)</f>
        <v>0</v>
      </c>
      <c r="H6033" s="3">
        <f ca="1">IF(AND(I6033&lt;&gt;I6032,ISNUMBER(SEARCH(Лист2!$B$5,I:I)),G6033=1),MAX($H$3:OFFSET(H6033,-1,0))+1,0)</f>
        <v>0</v>
      </c>
      <c r="I6033" s="3" t="s">
        <v>489</v>
      </c>
      <c r="K6033" s="2">
        <f>IF(ISNUMBER(SEARCH(Лист2!$B$4,F:F)),1,0)</f>
        <v>0</v>
      </c>
      <c r="L6033" s="14">
        <f>IF(ISNUMBER(SEARCH(Лист2!$B$5,I:I)),1,0)+K6033</f>
        <v>0</v>
      </c>
      <c r="M6033" s="3">
        <f ca="1">IF(AND(N6033&lt;&gt;N6032,ISNUMBER(SEARCH(Лист2!$B$6,N:N)),L6033=2),MAX($M$3:OFFSET(M6033,-1,0))+1,0)</f>
        <v>0</v>
      </c>
      <c r="N6033" s="3" t="s">
        <v>3540</v>
      </c>
    </row>
    <row r="6034" spans="1:14" x14ac:dyDescent="0.25">
      <c r="A6034" s="1" t="s">
        <v>14497</v>
      </c>
      <c r="B6034" s="3" t="s">
        <v>9647</v>
      </c>
      <c r="C6034" s="2">
        <f ca="1">IF(ISNUMBER(SEARCH(Лист2!$B$4,D:D)),MAX($C$3:OFFSET(C6034,-1,0))+1,0)</f>
        <v>0</v>
      </c>
      <c r="E6034" s="9" t="str">
        <f t="shared" ca="1" si="106"/>
        <v/>
      </c>
      <c r="F6034" s="4" t="s">
        <v>38</v>
      </c>
      <c r="G6034" s="2">
        <f>IF(ISNUMBER(SEARCH(Лист2!$B$4,F:F)),1,0)</f>
        <v>0</v>
      </c>
      <c r="H6034" s="3">
        <f ca="1">IF(AND(I6034&lt;&gt;I6033,ISNUMBER(SEARCH(Лист2!$B$5,I:I)),G6034=1),MAX($H$3:OFFSET(H6034,-1,0))+1,0)</f>
        <v>0</v>
      </c>
      <c r="I6034" s="3" t="s">
        <v>489</v>
      </c>
      <c r="K6034" s="2">
        <f>IF(ISNUMBER(SEARCH(Лист2!$B$4,F:F)),1,0)</f>
        <v>0</v>
      </c>
      <c r="L6034" s="14">
        <f>IF(ISNUMBER(SEARCH(Лист2!$B$5,I:I)),1,0)+K6034</f>
        <v>0</v>
      </c>
      <c r="M6034" s="3">
        <f ca="1">IF(AND(N6034&lt;&gt;N6033,ISNUMBER(SEARCH(Лист2!$B$6,N:N)),L6034=2),MAX($M$3:OFFSET(M6034,-1,0))+1,0)</f>
        <v>0</v>
      </c>
      <c r="N6034" s="3" t="s">
        <v>3540</v>
      </c>
    </row>
    <row r="6035" spans="1:14" x14ac:dyDescent="0.25">
      <c r="A6035" s="1" t="s">
        <v>14498</v>
      </c>
      <c r="B6035" s="3" t="s">
        <v>9648</v>
      </c>
      <c r="C6035" s="2">
        <f ca="1">IF(ISNUMBER(SEARCH(Лист2!$B$4,D:D)),MAX($C$3:OFFSET(C6035,-1,0))+1,0)</f>
        <v>0</v>
      </c>
      <c r="E6035" s="9" t="str">
        <f t="shared" ca="1" si="106"/>
        <v/>
      </c>
      <c r="F6035" s="4" t="s">
        <v>38</v>
      </c>
      <c r="G6035" s="2">
        <f>IF(ISNUMBER(SEARCH(Лист2!$B$4,F:F)),1,0)</f>
        <v>0</v>
      </c>
      <c r="H6035" s="3">
        <f ca="1">IF(AND(I6035&lt;&gt;I6034,ISNUMBER(SEARCH(Лист2!$B$5,I:I)),G6035=1),MAX($H$3:OFFSET(H6035,-1,0))+1,0)</f>
        <v>0</v>
      </c>
      <c r="I6035" s="3" t="s">
        <v>489</v>
      </c>
      <c r="K6035" s="2">
        <f>IF(ISNUMBER(SEARCH(Лист2!$B$4,F:F)),1,0)</f>
        <v>0</v>
      </c>
      <c r="L6035" s="14">
        <f>IF(ISNUMBER(SEARCH(Лист2!$B$5,I:I)),1,0)+K6035</f>
        <v>0</v>
      </c>
      <c r="M6035" s="3">
        <f ca="1">IF(AND(N6035&lt;&gt;N6034,ISNUMBER(SEARCH(Лист2!$B$6,N:N)),L6035=2),MAX($M$3:OFFSET(M6035,-1,0))+1,0)</f>
        <v>0</v>
      </c>
      <c r="N6035" s="3" t="s">
        <v>3541</v>
      </c>
    </row>
    <row r="6036" spans="1:14" x14ac:dyDescent="0.25">
      <c r="A6036" s="1" t="s">
        <v>14498</v>
      </c>
      <c r="B6036" s="3" t="s">
        <v>9649</v>
      </c>
      <c r="C6036" s="2">
        <f ca="1">IF(ISNUMBER(SEARCH(Лист2!$B$4,D:D)),MAX($C$3:OFFSET(C6036,-1,0))+1,0)</f>
        <v>0</v>
      </c>
      <c r="E6036" s="9" t="str">
        <f t="shared" ca="1" si="106"/>
        <v/>
      </c>
      <c r="F6036" s="4" t="s">
        <v>38</v>
      </c>
      <c r="G6036" s="2">
        <f>IF(ISNUMBER(SEARCH(Лист2!$B$4,F:F)),1,0)</f>
        <v>0</v>
      </c>
      <c r="H6036" s="3">
        <f ca="1">IF(AND(I6036&lt;&gt;I6035,ISNUMBER(SEARCH(Лист2!$B$5,I:I)),G6036=1),MAX($H$3:OFFSET(H6036,-1,0))+1,0)</f>
        <v>0</v>
      </c>
      <c r="I6036" s="3" t="s">
        <v>489</v>
      </c>
      <c r="K6036" s="2">
        <f>IF(ISNUMBER(SEARCH(Лист2!$B$4,F:F)),1,0)</f>
        <v>0</v>
      </c>
      <c r="L6036" s="14">
        <f>IF(ISNUMBER(SEARCH(Лист2!$B$5,I:I)),1,0)+K6036</f>
        <v>0</v>
      </c>
      <c r="M6036" s="3">
        <f ca="1">IF(AND(N6036&lt;&gt;N6035,ISNUMBER(SEARCH(Лист2!$B$6,N:N)),L6036=2),MAX($M$3:OFFSET(M6036,-1,0))+1,0)</f>
        <v>0</v>
      </c>
      <c r="N6036" s="3" t="s">
        <v>3541</v>
      </c>
    </row>
    <row r="6037" spans="1:14" x14ac:dyDescent="0.25">
      <c r="A6037" s="1" t="s">
        <v>14498</v>
      </c>
      <c r="B6037" s="3" t="s">
        <v>9650</v>
      </c>
      <c r="C6037" s="2">
        <f ca="1">IF(ISNUMBER(SEARCH(Лист2!$B$4,D:D)),MAX($C$3:OFFSET(C6037,-1,0))+1,0)</f>
        <v>0</v>
      </c>
      <c r="E6037" s="9" t="str">
        <f t="shared" ca="1" si="106"/>
        <v/>
      </c>
      <c r="F6037" s="4" t="s">
        <v>38</v>
      </c>
      <c r="G6037" s="2">
        <f>IF(ISNUMBER(SEARCH(Лист2!$B$4,F:F)),1,0)</f>
        <v>0</v>
      </c>
      <c r="H6037" s="3">
        <f ca="1">IF(AND(I6037&lt;&gt;I6036,ISNUMBER(SEARCH(Лист2!$B$5,I:I)),G6037=1),MAX($H$3:OFFSET(H6037,-1,0))+1,0)</f>
        <v>0</v>
      </c>
      <c r="I6037" s="3" t="s">
        <v>489</v>
      </c>
      <c r="K6037" s="2">
        <f>IF(ISNUMBER(SEARCH(Лист2!$B$4,F:F)),1,0)</f>
        <v>0</v>
      </c>
      <c r="L6037" s="14">
        <f>IF(ISNUMBER(SEARCH(Лист2!$B$5,I:I)),1,0)+K6037</f>
        <v>0</v>
      </c>
      <c r="M6037" s="3">
        <f ca="1">IF(AND(N6037&lt;&gt;N6036,ISNUMBER(SEARCH(Лист2!$B$6,N:N)),L6037=2),MAX($M$3:OFFSET(M6037,-1,0))+1,0)</f>
        <v>0</v>
      </c>
      <c r="N6037" s="3" t="s">
        <v>3541</v>
      </c>
    </row>
    <row r="6038" spans="1:14" x14ac:dyDescent="0.25">
      <c r="A6038" s="1" t="s">
        <v>14499</v>
      </c>
      <c r="B6038" s="3" t="s">
        <v>9651</v>
      </c>
      <c r="C6038" s="2">
        <f ca="1">IF(ISNUMBER(SEARCH(Лист2!$B$4,D:D)),MAX($C$3:OFFSET(C6038,-1,0))+1,0)</f>
        <v>0</v>
      </c>
      <c r="E6038" s="9" t="str">
        <f t="shared" ca="1" si="106"/>
        <v/>
      </c>
      <c r="F6038" s="4" t="s">
        <v>38</v>
      </c>
      <c r="G6038" s="2">
        <f>IF(ISNUMBER(SEARCH(Лист2!$B$4,F:F)),1,0)</f>
        <v>0</v>
      </c>
      <c r="H6038" s="3">
        <f ca="1">IF(AND(I6038&lt;&gt;I6037,ISNUMBER(SEARCH(Лист2!$B$5,I:I)),G6038=1),MAX($H$3:OFFSET(H6038,-1,0))+1,0)</f>
        <v>0</v>
      </c>
      <c r="I6038" s="3" t="s">
        <v>489</v>
      </c>
      <c r="K6038" s="2">
        <f>IF(ISNUMBER(SEARCH(Лист2!$B$4,F:F)),1,0)</f>
        <v>0</v>
      </c>
      <c r="L6038" s="14">
        <f>IF(ISNUMBER(SEARCH(Лист2!$B$5,I:I)),1,0)+K6038</f>
        <v>0</v>
      </c>
      <c r="M6038" s="3">
        <f ca="1">IF(AND(N6038&lt;&gt;N6037,ISNUMBER(SEARCH(Лист2!$B$6,N:N)),L6038=2),MAX($M$3:OFFSET(M6038,-1,0))+1,0)</f>
        <v>0</v>
      </c>
      <c r="N6038" s="3" t="s">
        <v>3542</v>
      </c>
    </row>
    <row r="6039" spans="1:14" x14ac:dyDescent="0.25">
      <c r="A6039" s="1" t="s">
        <v>14499</v>
      </c>
      <c r="B6039" s="3" t="s">
        <v>9652</v>
      </c>
      <c r="C6039" s="2">
        <f ca="1">IF(ISNUMBER(SEARCH(Лист2!$B$4,D:D)),MAX($C$3:OFFSET(C6039,-1,0))+1,0)</f>
        <v>0</v>
      </c>
      <c r="E6039" s="9" t="str">
        <f t="shared" ca="1" si="106"/>
        <v/>
      </c>
      <c r="F6039" s="4" t="s">
        <v>38</v>
      </c>
      <c r="G6039" s="2">
        <f>IF(ISNUMBER(SEARCH(Лист2!$B$4,F:F)),1,0)</f>
        <v>0</v>
      </c>
      <c r="H6039" s="3">
        <f ca="1">IF(AND(I6039&lt;&gt;I6038,ISNUMBER(SEARCH(Лист2!$B$5,I:I)),G6039=1),MAX($H$3:OFFSET(H6039,-1,0))+1,0)</f>
        <v>0</v>
      </c>
      <c r="I6039" s="3" t="s">
        <v>489</v>
      </c>
      <c r="K6039" s="2">
        <f>IF(ISNUMBER(SEARCH(Лист2!$B$4,F:F)),1,0)</f>
        <v>0</v>
      </c>
      <c r="L6039" s="14">
        <f>IF(ISNUMBER(SEARCH(Лист2!$B$5,I:I)),1,0)+K6039</f>
        <v>0</v>
      </c>
      <c r="M6039" s="3">
        <f ca="1">IF(AND(N6039&lt;&gt;N6038,ISNUMBER(SEARCH(Лист2!$B$6,N:N)),L6039=2),MAX($M$3:OFFSET(M6039,-1,0))+1,0)</f>
        <v>0</v>
      </c>
      <c r="N6039" s="3" t="s">
        <v>3542</v>
      </c>
    </row>
    <row r="6040" spans="1:14" x14ac:dyDescent="0.25">
      <c r="A6040" s="1" t="s">
        <v>14499</v>
      </c>
      <c r="B6040" s="3" t="s">
        <v>9653</v>
      </c>
      <c r="C6040" s="2">
        <f ca="1">IF(ISNUMBER(SEARCH(Лист2!$B$4,D:D)),MAX($C$3:OFFSET(C6040,-1,0))+1,0)</f>
        <v>0</v>
      </c>
      <c r="E6040" s="9" t="str">
        <f t="shared" ca="1" si="106"/>
        <v/>
      </c>
      <c r="F6040" s="4" t="s">
        <v>38</v>
      </c>
      <c r="G6040" s="2">
        <f>IF(ISNUMBER(SEARCH(Лист2!$B$4,F:F)),1,0)</f>
        <v>0</v>
      </c>
      <c r="H6040" s="3">
        <f ca="1">IF(AND(I6040&lt;&gt;I6039,ISNUMBER(SEARCH(Лист2!$B$5,I:I)),G6040=1),MAX($H$3:OFFSET(H6040,-1,0))+1,0)</f>
        <v>0</v>
      </c>
      <c r="I6040" s="3" t="s">
        <v>489</v>
      </c>
      <c r="K6040" s="2">
        <f>IF(ISNUMBER(SEARCH(Лист2!$B$4,F:F)),1,0)</f>
        <v>0</v>
      </c>
      <c r="L6040" s="14">
        <f>IF(ISNUMBER(SEARCH(Лист2!$B$5,I:I)),1,0)+K6040</f>
        <v>0</v>
      </c>
      <c r="M6040" s="3">
        <f ca="1">IF(AND(N6040&lt;&gt;N6039,ISNUMBER(SEARCH(Лист2!$B$6,N:N)),L6040=2),MAX($M$3:OFFSET(M6040,-1,0))+1,0)</f>
        <v>0</v>
      </c>
      <c r="N6040" s="3" t="s">
        <v>3542</v>
      </c>
    </row>
    <row r="6041" spans="1:14" x14ac:dyDescent="0.25">
      <c r="A6041" s="1" t="s">
        <v>14500</v>
      </c>
      <c r="B6041" s="3" t="s">
        <v>9654</v>
      </c>
      <c r="C6041" s="2">
        <f ca="1">IF(ISNUMBER(SEARCH(Лист2!$B$4,D:D)),MAX($C$3:OFFSET(C6041,-1,0))+1,0)</f>
        <v>0</v>
      </c>
      <c r="E6041" s="9" t="str">
        <f t="shared" ca="1" si="106"/>
        <v/>
      </c>
      <c r="F6041" s="4" t="s">
        <v>38</v>
      </c>
      <c r="G6041" s="2">
        <f>IF(ISNUMBER(SEARCH(Лист2!$B$4,F:F)),1,0)</f>
        <v>0</v>
      </c>
      <c r="H6041" s="3">
        <f ca="1">IF(AND(I6041&lt;&gt;I6040,ISNUMBER(SEARCH(Лист2!$B$5,I:I)),G6041=1),MAX($H$3:OFFSET(H6041,-1,0))+1,0)</f>
        <v>0</v>
      </c>
      <c r="I6041" s="3" t="s">
        <v>489</v>
      </c>
      <c r="K6041" s="2">
        <f>IF(ISNUMBER(SEARCH(Лист2!$B$4,F:F)),1,0)</f>
        <v>0</v>
      </c>
      <c r="L6041" s="14">
        <f>IF(ISNUMBER(SEARCH(Лист2!$B$5,I:I)),1,0)+K6041</f>
        <v>0</v>
      </c>
      <c r="M6041" s="3">
        <f ca="1">IF(AND(N6041&lt;&gt;N6040,ISNUMBER(SEARCH(Лист2!$B$6,N:N)),L6041=2),MAX($M$3:OFFSET(M6041,-1,0))+1,0)</f>
        <v>0</v>
      </c>
      <c r="N6041" s="3" t="s">
        <v>3543</v>
      </c>
    </row>
    <row r="6042" spans="1:14" x14ac:dyDescent="0.25">
      <c r="A6042" s="1" t="s">
        <v>14500</v>
      </c>
      <c r="B6042" s="3" t="s">
        <v>9655</v>
      </c>
      <c r="C6042" s="2">
        <f ca="1">IF(ISNUMBER(SEARCH(Лист2!$B$4,D:D)),MAX($C$3:OFFSET(C6042,-1,0))+1,0)</f>
        <v>0</v>
      </c>
      <c r="E6042" s="9" t="str">
        <f t="shared" ca="1" si="106"/>
        <v/>
      </c>
      <c r="F6042" s="4" t="s">
        <v>38</v>
      </c>
      <c r="G6042" s="2">
        <f>IF(ISNUMBER(SEARCH(Лист2!$B$4,F:F)),1,0)</f>
        <v>0</v>
      </c>
      <c r="H6042" s="3">
        <f ca="1">IF(AND(I6042&lt;&gt;I6041,ISNUMBER(SEARCH(Лист2!$B$5,I:I)),G6042=1),MAX($H$3:OFFSET(H6042,-1,0))+1,0)</f>
        <v>0</v>
      </c>
      <c r="I6042" s="3" t="s">
        <v>489</v>
      </c>
      <c r="K6042" s="2">
        <f>IF(ISNUMBER(SEARCH(Лист2!$B$4,F:F)),1,0)</f>
        <v>0</v>
      </c>
      <c r="L6042" s="14">
        <f>IF(ISNUMBER(SEARCH(Лист2!$B$5,I:I)),1,0)+K6042</f>
        <v>0</v>
      </c>
      <c r="M6042" s="3">
        <f ca="1">IF(AND(N6042&lt;&gt;N6041,ISNUMBER(SEARCH(Лист2!$B$6,N:N)),L6042=2),MAX($M$3:OFFSET(M6042,-1,0))+1,0)</f>
        <v>0</v>
      </c>
      <c r="N6042" s="3" t="s">
        <v>3543</v>
      </c>
    </row>
    <row r="6043" spans="1:14" x14ac:dyDescent="0.25">
      <c r="A6043" s="1" t="s">
        <v>14500</v>
      </c>
      <c r="B6043" s="3" t="s">
        <v>9656</v>
      </c>
      <c r="C6043" s="2">
        <f ca="1">IF(ISNUMBER(SEARCH(Лист2!$B$4,D:D)),MAX($C$3:OFFSET(C6043,-1,0))+1,0)</f>
        <v>0</v>
      </c>
      <c r="E6043" s="9" t="str">
        <f t="shared" ca="1" si="106"/>
        <v/>
      </c>
      <c r="F6043" s="4" t="s">
        <v>38</v>
      </c>
      <c r="G6043" s="2">
        <f>IF(ISNUMBER(SEARCH(Лист2!$B$4,F:F)),1,0)</f>
        <v>0</v>
      </c>
      <c r="H6043" s="3">
        <f ca="1">IF(AND(I6043&lt;&gt;I6042,ISNUMBER(SEARCH(Лист2!$B$5,I:I)),G6043=1),MAX($H$3:OFFSET(H6043,-1,0))+1,0)</f>
        <v>0</v>
      </c>
      <c r="I6043" s="3" t="s">
        <v>489</v>
      </c>
      <c r="K6043" s="2">
        <f>IF(ISNUMBER(SEARCH(Лист2!$B$4,F:F)),1,0)</f>
        <v>0</v>
      </c>
      <c r="L6043" s="14">
        <f>IF(ISNUMBER(SEARCH(Лист2!$B$5,I:I)),1,0)+K6043</f>
        <v>0</v>
      </c>
      <c r="M6043" s="3">
        <f ca="1">IF(AND(N6043&lt;&gt;N6042,ISNUMBER(SEARCH(Лист2!$B$6,N:N)),L6043=2),MAX($M$3:OFFSET(M6043,-1,0))+1,0)</f>
        <v>0</v>
      </c>
      <c r="N6043" s="3" t="s">
        <v>3543</v>
      </c>
    </row>
    <row r="6044" spans="1:14" x14ac:dyDescent="0.25">
      <c r="A6044" s="1" t="s">
        <v>14501</v>
      </c>
      <c r="B6044" s="3" t="s">
        <v>9657</v>
      </c>
      <c r="C6044" s="2">
        <f ca="1">IF(ISNUMBER(SEARCH(Лист2!$B$4,D:D)),MAX($C$3:OFFSET(C6044,-1,0))+1,0)</f>
        <v>0</v>
      </c>
      <c r="E6044" s="9" t="str">
        <f t="shared" ca="1" si="106"/>
        <v/>
      </c>
      <c r="F6044" s="4" t="s">
        <v>38</v>
      </c>
      <c r="G6044" s="2">
        <f>IF(ISNUMBER(SEARCH(Лист2!$B$4,F:F)),1,0)</f>
        <v>0</v>
      </c>
      <c r="H6044" s="3">
        <f ca="1">IF(AND(I6044&lt;&gt;I6043,ISNUMBER(SEARCH(Лист2!$B$5,I:I)),G6044=1),MAX($H$3:OFFSET(H6044,-1,0))+1,0)</f>
        <v>0</v>
      </c>
      <c r="I6044" s="3" t="s">
        <v>489</v>
      </c>
      <c r="K6044" s="2">
        <f>IF(ISNUMBER(SEARCH(Лист2!$B$4,F:F)),1,0)</f>
        <v>0</v>
      </c>
      <c r="L6044" s="14">
        <f>IF(ISNUMBER(SEARCH(Лист2!$B$5,I:I)),1,0)+K6044</f>
        <v>0</v>
      </c>
      <c r="M6044" s="3">
        <f ca="1">IF(AND(N6044&lt;&gt;N6043,ISNUMBER(SEARCH(Лист2!$B$6,N:N)),L6044=2),MAX($M$3:OFFSET(M6044,-1,0))+1,0)</f>
        <v>0</v>
      </c>
      <c r="N6044" s="3" t="s">
        <v>3544</v>
      </c>
    </row>
    <row r="6045" spans="1:14" x14ac:dyDescent="0.25">
      <c r="A6045" s="1" t="s">
        <v>14502</v>
      </c>
      <c r="B6045" s="3" t="s">
        <v>9658</v>
      </c>
      <c r="C6045" s="2">
        <f ca="1">IF(ISNUMBER(SEARCH(Лист2!$B$4,D:D)),MAX($C$3:OFFSET(C6045,-1,0))+1,0)</f>
        <v>0</v>
      </c>
      <c r="E6045" s="9" t="str">
        <f t="shared" ca="1" si="106"/>
        <v/>
      </c>
      <c r="F6045" s="4" t="s">
        <v>38</v>
      </c>
      <c r="G6045" s="2">
        <f>IF(ISNUMBER(SEARCH(Лист2!$B$4,F:F)),1,0)</f>
        <v>0</v>
      </c>
      <c r="H6045" s="3">
        <f ca="1">IF(AND(I6045&lt;&gt;I6044,ISNUMBER(SEARCH(Лист2!$B$5,I:I)),G6045=1),MAX($H$3:OFFSET(H6045,-1,0))+1,0)</f>
        <v>0</v>
      </c>
      <c r="I6045" s="3" t="s">
        <v>489</v>
      </c>
      <c r="K6045" s="2">
        <f>IF(ISNUMBER(SEARCH(Лист2!$B$4,F:F)),1,0)</f>
        <v>0</v>
      </c>
      <c r="L6045" s="14">
        <f>IF(ISNUMBER(SEARCH(Лист2!$B$5,I:I)),1,0)+K6045</f>
        <v>0</v>
      </c>
      <c r="M6045" s="3">
        <f ca="1">IF(AND(N6045&lt;&gt;N6044,ISNUMBER(SEARCH(Лист2!$B$6,N:N)),L6045=2),MAX($M$3:OFFSET(M6045,-1,0))+1,0)</f>
        <v>0</v>
      </c>
      <c r="N6045" s="3" t="s">
        <v>3545</v>
      </c>
    </row>
    <row r="6046" spans="1:14" x14ac:dyDescent="0.25">
      <c r="A6046" s="1" t="s">
        <v>14503</v>
      </c>
      <c r="B6046" s="3" t="s">
        <v>9659</v>
      </c>
      <c r="C6046" s="2">
        <f ca="1">IF(ISNUMBER(SEARCH(Лист2!$B$4,D:D)),MAX($C$3:OFFSET(C6046,-1,0))+1,0)</f>
        <v>0</v>
      </c>
      <c r="E6046" s="9" t="str">
        <f t="shared" ca="1" si="106"/>
        <v/>
      </c>
      <c r="F6046" s="4" t="s">
        <v>38</v>
      </c>
      <c r="G6046" s="2">
        <f>IF(ISNUMBER(SEARCH(Лист2!$B$4,F:F)),1,0)</f>
        <v>0</v>
      </c>
      <c r="H6046" s="3">
        <f ca="1">IF(AND(I6046&lt;&gt;I6045,ISNUMBER(SEARCH(Лист2!$B$5,I:I)),G6046=1),MAX($H$3:OFFSET(H6046,-1,0))+1,0)</f>
        <v>0</v>
      </c>
      <c r="I6046" s="3" t="s">
        <v>489</v>
      </c>
      <c r="K6046" s="2">
        <f>IF(ISNUMBER(SEARCH(Лист2!$B$4,F:F)),1,0)</f>
        <v>0</v>
      </c>
      <c r="L6046" s="14">
        <f>IF(ISNUMBER(SEARCH(Лист2!$B$5,I:I)),1,0)+K6046</f>
        <v>0</v>
      </c>
      <c r="M6046" s="3">
        <f ca="1">IF(AND(N6046&lt;&gt;N6045,ISNUMBER(SEARCH(Лист2!$B$6,N:N)),L6046=2),MAX($M$3:OFFSET(M6046,-1,0))+1,0)</f>
        <v>0</v>
      </c>
      <c r="N6046" s="3" t="s">
        <v>3546</v>
      </c>
    </row>
    <row r="6047" spans="1:14" x14ac:dyDescent="0.25">
      <c r="A6047" s="1" t="s">
        <v>14504</v>
      </c>
      <c r="B6047" s="3" t="s">
        <v>9660</v>
      </c>
      <c r="C6047" s="2">
        <f ca="1">IF(ISNUMBER(SEARCH(Лист2!$B$4,D:D)),MAX($C$3:OFFSET(C6047,-1,0))+1,0)</f>
        <v>0</v>
      </c>
      <c r="E6047" s="9" t="str">
        <f t="shared" ca="1" si="106"/>
        <v/>
      </c>
      <c r="F6047" s="4" t="s">
        <v>38</v>
      </c>
      <c r="G6047" s="2">
        <f>IF(ISNUMBER(SEARCH(Лист2!$B$4,F:F)),1,0)</f>
        <v>0</v>
      </c>
      <c r="H6047" s="3">
        <f ca="1">IF(AND(I6047&lt;&gt;I6046,ISNUMBER(SEARCH(Лист2!$B$5,I:I)),G6047=1),MAX($H$3:OFFSET(H6047,-1,0))+1,0)</f>
        <v>0</v>
      </c>
      <c r="I6047" s="3" t="s">
        <v>489</v>
      </c>
      <c r="K6047" s="2">
        <f>IF(ISNUMBER(SEARCH(Лист2!$B$4,F:F)),1,0)</f>
        <v>0</v>
      </c>
      <c r="L6047" s="14">
        <f>IF(ISNUMBER(SEARCH(Лист2!$B$5,I:I)),1,0)+K6047</f>
        <v>0</v>
      </c>
      <c r="M6047" s="3">
        <f ca="1">IF(AND(N6047&lt;&gt;N6046,ISNUMBER(SEARCH(Лист2!$B$6,N:N)),L6047=2),MAX($M$3:OFFSET(M6047,-1,0))+1,0)</f>
        <v>0</v>
      </c>
      <c r="N6047" s="3" t="s">
        <v>602</v>
      </c>
    </row>
    <row r="6048" spans="1:14" x14ac:dyDescent="0.25">
      <c r="A6048" s="1" t="s">
        <v>14505</v>
      </c>
      <c r="B6048" s="3" t="s">
        <v>9661</v>
      </c>
      <c r="C6048" s="2">
        <f ca="1">IF(ISNUMBER(SEARCH(Лист2!$B$4,D:D)),MAX($C$3:OFFSET(C6048,-1,0))+1,0)</f>
        <v>0</v>
      </c>
      <c r="E6048" s="9" t="str">
        <f t="shared" ca="1" si="106"/>
        <v/>
      </c>
      <c r="F6048" s="4" t="s">
        <v>38</v>
      </c>
      <c r="G6048" s="2">
        <f>IF(ISNUMBER(SEARCH(Лист2!$B$4,F:F)),1,0)</f>
        <v>0</v>
      </c>
      <c r="H6048" s="3">
        <f ca="1">IF(AND(I6048&lt;&gt;I6047,ISNUMBER(SEARCH(Лист2!$B$5,I:I)),G6048=1),MAX($H$3:OFFSET(H6048,-1,0))+1,0)</f>
        <v>0</v>
      </c>
      <c r="I6048" s="3" t="s">
        <v>489</v>
      </c>
      <c r="K6048" s="2">
        <f>IF(ISNUMBER(SEARCH(Лист2!$B$4,F:F)),1,0)</f>
        <v>0</v>
      </c>
      <c r="L6048" s="14">
        <f>IF(ISNUMBER(SEARCH(Лист2!$B$5,I:I)),1,0)+K6048</f>
        <v>0</v>
      </c>
      <c r="M6048" s="3">
        <f ca="1">IF(AND(N6048&lt;&gt;N6047,ISNUMBER(SEARCH(Лист2!$B$6,N:N)),L6048=2),MAX($M$3:OFFSET(M6048,-1,0))+1,0)</f>
        <v>0</v>
      </c>
      <c r="N6048" s="3" t="s">
        <v>3547</v>
      </c>
    </row>
    <row r="6049" spans="1:14" x14ac:dyDescent="0.25">
      <c r="A6049" s="1" t="s">
        <v>14506</v>
      </c>
      <c r="B6049" s="3" t="s">
        <v>9662</v>
      </c>
      <c r="C6049" s="2">
        <f ca="1">IF(ISNUMBER(SEARCH(Лист2!$B$4,D:D)),MAX($C$3:OFFSET(C6049,-1,0))+1,0)</f>
        <v>0</v>
      </c>
      <c r="E6049" s="9" t="str">
        <f t="shared" ca="1" si="106"/>
        <v/>
      </c>
      <c r="F6049" s="4" t="s">
        <v>38</v>
      </c>
      <c r="G6049" s="2">
        <f>IF(ISNUMBER(SEARCH(Лист2!$B$4,F:F)),1,0)</f>
        <v>0</v>
      </c>
      <c r="H6049" s="3">
        <f ca="1">IF(AND(I6049&lt;&gt;I6048,ISNUMBER(SEARCH(Лист2!$B$5,I:I)),G6049=1),MAX($H$3:OFFSET(H6049,-1,0))+1,0)</f>
        <v>0</v>
      </c>
      <c r="I6049" s="3" t="s">
        <v>490</v>
      </c>
      <c r="K6049" s="2">
        <f>IF(ISNUMBER(SEARCH(Лист2!$B$4,F:F)),1,0)</f>
        <v>0</v>
      </c>
      <c r="L6049" s="14">
        <f>IF(ISNUMBER(SEARCH(Лист2!$B$5,I:I)),1,0)+K6049</f>
        <v>0</v>
      </c>
      <c r="M6049" s="3">
        <f ca="1">IF(AND(N6049&lt;&gt;N6048,ISNUMBER(SEARCH(Лист2!$B$6,N:N)),L6049=2),MAX($M$3:OFFSET(M6049,-1,0))+1,0)</f>
        <v>0</v>
      </c>
      <c r="N6049" s="3" t="s">
        <v>3548</v>
      </c>
    </row>
    <row r="6050" spans="1:14" x14ac:dyDescent="0.25">
      <c r="A6050" s="1" t="s">
        <v>14507</v>
      </c>
      <c r="B6050" s="3" t="s">
        <v>9663</v>
      </c>
      <c r="C6050" s="2">
        <f ca="1">IF(ISNUMBER(SEARCH(Лист2!$B$4,D:D)),MAX($C$3:OFFSET(C6050,-1,0))+1,0)</f>
        <v>0</v>
      </c>
      <c r="E6050" s="9" t="str">
        <f t="shared" ca="1" si="106"/>
        <v/>
      </c>
      <c r="F6050" s="4" t="s">
        <v>38</v>
      </c>
      <c r="G6050" s="2">
        <f>IF(ISNUMBER(SEARCH(Лист2!$B$4,F:F)),1,0)</f>
        <v>0</v>
      </c>
      <c r="H6050" s="3">
        <f ca="1">IF(AND(I6050&lt;&gt;I6049,ISNUMBER(SEARCH(Лист2!$B$5,I:I)),G6050=1),MAX($H$3:OFFSET(H6050,-1,0))+1,0)</f>
        <v>0</v>
      </c>
      <c r="I6050" s="3" t="s">
        <v>490</v>
      </c>
      <c r="K6050" s="2">
        <f>IF(ISNUMBER(SEARCH(Лист2!$B$4,F:F)),1,0)</f>
        <v>0</v>
      </c>
      <c r="L6050" s="14">
        <f>IF(ISNUMBER(SEARCH(Лист2!$B$5,I:I)),1,0)+K6050</f>
        <v>0</v>
      </c>
      <c r="M6050" s="3">
        <f ca="1">IF(AND(N6050&lt;&gt;N6049,ISNUMBER(SEARCH(Лист2!$B$6,N:N)),L6050=2),MAX($M$3:OFFSET(M6050,-1,0))+1,0)</f>
        <v>0</v>
      </c>
      <c r="N6050" s="3" t="s">
        <v>3549</v>
      </c>
    </row>
    <row r="6051" spans="1:14" x14ac:dyDescent="0.25">
      <c r="A6051" s="1" t="s">
        <v>14508</v>
      </c>
      <c r="B6051" s="3" t="s">
        <v>9664</v>
      </c>
      <c r="C6051" s="2">
        <f ca="1">IF(ISNUMBER(SEARCH(Лист2!$B$4,D:D)),MAX($C$3:OFFSET(C6051,-1,0))+1,0)</f>
        <v>0</v>
      </c>
      <c r="E6051" s="9" t="str">
        <f t="shared" ca="1" si="106"/>
        <v/>
      </c>
      <c r="F6051" s="4" t="s">
        <v>38</v>
      </c>
      <c r="G6051" s="2">
        <f>IF(ISNUMBER(SEARCH(Лист2!$B$4,F:F)),1,0)</f>
        <v>0</v>
      </c>
      <c r="H6051" s="3">
        <f ca="1">IF(AND(I6051&lt;&gt;I6050,ISNUMBER(SEARCH(Лист2!$B$5,I:I)),G6051=1),MAX($H$3:OFFSET(H6051,-1,0))+1,0)</f>
        <v>0</v>
      </c>
      <c r="I6051" s="3" t="s">
        <v>490</v>
      </c>
      <c r="K6051" s="2">
        <f>IF(ISNUMBER(SEARCH(Лист2!$B$4,F:F)),1,0)</f>
        <v>0</v>
      </c>
      <c r="L6051" s="14">
        <f>IF(ISNUMBER(SEARCH(Лист2!$B$5,I:I)),1,0)+K6051</f>
        <v>0</v>
      </c>
      <c r="M6051" s="3">
        <f ca="1">IF(AND(N6051&lt;&gt;N6050,ISNUMBER(SEARCH(Лист2!$B$6,N:N)),L6051=2),MAX($M$3:OFFSET(M6051,-1,0))+1,0)</f>
        <v>0</v>
      </c>
      <c r="N6051" s="3" t="s">
        <v>3550</v>
      </c>
    </row>
    <row r="6052" spans="1:14" x14ac:dyDescent="0.25">
      <c r="A6052" s="1" t="s">
        <v>14508</v>
      </c>
      <c r="B6052" s="3" t="s">
        <v>9665</v>
      </c>
      <c r="C6052" s="2">
        <f ca="1">IF(ISNUMBER(SEARCH(Лист2!$B$4,D:D)),MAX($C$3:OFFSET(C6052,-1,0))+1,0)</f>
        <v>0</v>
      </c>
      <c r="E6052" s="9" t="str">
        <f t="shared" ca="1" si="106"/>
        <v/>
      </c>
      <c r="F6052" s="4" t="s">
        <v>38</v>
      </c>
      <c r="G6052" s="2">
        <f>IF(ISNUMBER(SEARCH(Лист2!$B$4,F:F)),1,0)</f>
        <v>0</v>
      </c>
      <c r="H6052" s="3">
        <f ca="1">IF(AND(I6052&lt;&gt;I6051,ISNUMBER(SEARCH(Лист2!$B$5,I:I)),G6052=1),MAX($H$3:OFFSET(H6052,-1,0))+1,0)</f>
        <v>0</v>
      </c>
      <c r="I6052" s="3" t="s">
        <v>490</v>
      </c>
      <c r="K6052" s="2">
        <f>IF(ISNUMBER(SEARCH(Лист2!$B$4,F:F)),1,0)</f>
        <v>0</v>
      </c>
      <c r="L6052" s="14">
        <f>IF(ISNUMBER(SEARCH(Лист2!$B$5,I:I)),1,0)+K6052</f>
        <v>0</v>
      </c>
      <c r="M6052" s="3">
        <f ca="1">IF(AND(N6052&lt;&gt;N6051,ISNUMBER(SEARCH(Лист2!$B$6,N:N)),L6052=2),MAX($M$3:OFFSET(M6052,-1,0))+1,0)</f>
        <v>0</v>
      </c>
      <c r="N6052" s="3" t="s">
        <v>3550</v>
      </c>
    </row>
    <row r="6053" spans="1:14" x14ac:dyDescent="0.25">
      <c r="A6053" s="1" t="s">
        <v>14508</v>
      </c>
      <c r="B6053" s="3" t="s">
        <v>9666</v>
      </c>
      <c r="C6053" s="2">
        <f ca="1">IF(ISNUMBER(SEARCH(Лист2!$B$4,D:D)),MAX($C$3:OFFSET(C6053,-1,0))+1,0)</f>
        <v>0</v>
      </c>
      <c r="E6053" s="9" t="str">
        <f t="shared" ca="1" si="106"/>
        <v/>
      </c>
      <c r="F6053" s="4" t="s">
        <v>38</v>
      </c>
      <c r="G6053" s="2">
        <f>IF(ISNUMBER(SEARCH(Лист2!$B$4,F:F)),1,0)</f>
        <v>0</v>
      </c>
      <c r="H6053" s="3">
        <f ca="1">IF(AND(I6053&lt;&gt;I6052,ISNUMBER(SEARCH(Лист2!$B$5,I:I)),G6053=1),MAX($H$3:OFFSET(H6053,-1,0))+1,0)</f>
        <v>0</v>
      </c>
      <c r="I6053" s="3" t="s">
        <v>490</v>
      </c>
      <c r="K6053" s="2">
        <f>IF(ISNUMBER(SEARCH(Лист2!$B$4,F:F)),1,0)</f>
        <v>0</v>
      </c>
      <c r="L6053" s="14">
        <f>IF(ISNUMBER(SEARCH(Лист2!$B$5,I:I)),1,0)+K6053</f>
        <v>0</v>
      </c>
      <c r="M6053" s="3">
        <f ca="1">IF(AND(N6053&lt;&gt;N6052,ISNUMBER(SEARCH(Лист2!$B$6,N:N)),L6053=2),MAX($M$3:OFFSET(M6053,-1,0))+1,0)</f>
        <v>0</v>
      </c>
      <c r="N6053" s="3" t="s">
        <v>3550</v>
      </c>
    </row>
    <row r="6054" spans="1:14" x14ac:dyDescent="0.25">
      <c r="A6054" s="1" t="s">
        <v>14509</v>
      </c>
      <c r="B6054" s="3" t="s">
        <v>9667</v>
      </c>
      <c r="C6054" s="2">
        <f ca="1">IF(ISNUMBER(SEARCH(Лист2!$B$4,D:D)),MAX($C$3:OFFSET(C6054,-1,0))+1,0)</f>
        <v>0</v>
      </c>
      <c r="E6054" s="9" t="str">
        <f t="shared" ca="1" si="106"/>
        <v/>
      </c>
      <c r="F6054" s="4" t="s">
        <v>38</v>
      </c>
      <c r="G6054" s="2">
        <f>IF(ISNUMBER(SEARCH(Лист2!$B$4,F:F)),1,0)</f>
        <v>0</v>
      </c>
      <c r="H6054" s="3">
        <f ca="1">IF(AND(I6054&lt;&gt;I6053,ISNUMBER(SEARCH(Лист2!$B$5,I:I)),G6054=1),MAX($H$3:OFFSET(H6054,-1,0))+1,0)</f>
        <v>0</v>
      </c>
      <c r="I6054" s="3" t="s">
        <v>490</v>
      </c>
      <c r="K6054" s="2">
        <f>IF(ISNUMBER(SEARCH(Лист2!$B$4,F:F)),1,0)</f>
        <v>0</v>
      </c>
      <c r="L6054" s="14">
        <f>IF(ISNUMBER(SEARCH(Лист2!$B$5,I:I)),1,0)+K6054</f>
        <v>0</v>
      </c>
      <c r="M6054" s="3">
        <f ca="1">IF(AND(N6054&lt;&gt;N6053,ISNUMBER(SEARCH(Лист2!$B$6,N:N)),L6054=2),MAX($M$3:OFFSET(M6054,-1,0))+1,0)</f>
        <v>0</v>
      </c>
      <c r="N6054" s="3" t="s">
        <v>3551</v>
      </c>
    </row>
    <row r="6055" spans="1:14" x14ac:dyDescent="0.25">
      <c r="A6055" s="1" t="s">
        <v>14509</v>
      </c>
      <c r="B6055" s="3" t="s">
        <v>9668</v>
      </c>
      <c r="C6055" s="2">
        <f ca="1">IF(ISNUMBER(SEARCH(Лист2!$B$4,D:D)),MAX($C$3:OFFSET(C6055,-1,0))+1,0)</f>
        <v>0</v>
      </c>
      <c r="E6055" s="9" t="str">
        <f t="shared" ca="1" si="106"/>
        <v/>
      </c>
      <c r="F6055" s="4" t="s">
        <v>38</v>
      </c>
      <c r="G6055" s="2">
        <f>IF(ISNUMBER(SEARCH(Лист2!$B$4,F:F)),1,0)</f>
        <v>0</v>
      </c>
      <c r="H6055" s="3">
        <f ca="1">IF(AND(I6055&lt;&gt;I6054,ISNUMBER(SEARCH(Лист2!$B$5,I:I)),G6055=1),MAX($H$3:OFFSET(H6055,-1,0))+1,0)</f>
        <v>0</v>
      </c>
      <c r="I6055" s="3" t="s">
        <v>490</v>
      </c>
      <c r="K6055" s="2">
        <f>IF(ISNUMBER(SEARCH(Лист2!$B$4,F:F)),1,0)</f>
        <v>0</v>
      </c>
      <c r="L6055" s="14">
        <f>IF(ISNUMBER(SEARCH(Лист2!$B$5,I:I)),1,0)+K6055</f>
        <v>0</v>
      </c>
      <c r="M6055" s="3">
        <f ca="1">IF(AND(N6055&lt;&gt;N6054,ISNUMBER(SEARCH(Лист2!$B$6,N:N)),L6055=2),MAX($M$3:OFFSET(M6055,-1,0))+1,0)</f>
        <v>0</v>
      </c>
      <c r="N6055" s="3" t="s">
        <v>3551</v>
      </c>
    </row>
    <row r="6056" spans="1:14" x14ac:dyDescent="0.25">
      <c r="A6056" s="1" t="s">
        <v>14509</v>
      </c>
      <c r="B6056" s="3" t="s">
        <v>9669</v>
      </c>
      <c r="C6056" s="2">
        <f ca="1">IF(ISNUMBER(SEARCH(Лист2!$B$4,D:D)),MAX($C$3:OFFSET(C6056,-1,0))+1,0)</f>
        <v>0</v>
      </c>
      <c r="E6056" s="9" t="str">
        <f t="shared" ca="1" si="106"/>
        <v/>
      </c>
      <c r="F6056" s="4" t="s">
        <v>38</v>
      </c>
      <c r="G6056" s="2">
        <f>IF(ISNUMBER(SEARCH(Лист2!$B$4,F:F)),1,0)</f>
        <v>0</v>
      </c>
      <c r="H6056" s="3">
        <f ca="1">IF(AND(I6056&lt;&gt;I6055,ISNUMBER(SEARCH(Лист2!$B$5,I:I)),G6056=1),MAX($H$3:OFFSET(H6056,-1,0))+1,0)</f>
        <v>0</v>
      </c>
      <c r="I6056" s="3" t="s">
        <v>490</v>
      </c>
      <c r="K6056" s="2">
        <f>IF(ISNUMBER(SEARCH(Лист2!$B$4,F:F)),1,0)</f>
        <v>0</v>
      </c>
      <c r="L6056" s="14">
        <f>IF(ISNUMBER(SEARCH(Лист2!$B$5,I:I)),1,0)+K6056</f>
        <v>0</v>
      </c>
      <c r="M6056" s="3">
        <f ca="1">IF(AND(N6056&lt;&gt;N6055,ISNUMBER(SEARCH(Лист2!$B$6,N:N)),L6056=2),MAX($M$3:OFFSET(M6056,-1,0))+1,0)</f>
        <v>0</v>
      </c>
      <c r="N6056" s="3" t="s">
        <v>3551</v>
      </c>
    </row>
    <row r="6057" spans="1:14" x14ac:dyDescent="0.25">
      <c r="A6057" s="1" t="s">
        <v>14510</v>
      </c>
      <c r="B6057" s="3" t="s">
        <v>9670</v>
      </c>
      <c r="C6057" s="2">
        <f ca="1">IF(ISNUMBER(SEARCH(Лист2!$B$4,D:D)),MAX($C$3:OFFSET(C6057,-1,0))+1,0)</f>
        <v>0</v>
      </c>
      <c r="E6057" s="9" t="str">
        <f t="shared" ca="1" si="106"/>
        <v/>
      </c>
      <c r="F6057" s="4" t="s">
        <v>38</v>
      </c>
      <c r="G6057" s="2">
        <f>IF(ISNUMBER(SEARCH(Лист2!$B$4,F:F)),1,0)</f>
        <v>0</v>
      </c>
      <c r="H6057" s="3">
        <f ca="1">IF(AND(I6057&lt;&gt;I6056,ISNUMBER(SEARCH(Лист2!$B$5,I:I)),G6057=1),MAX($H$3:OFFSET(H6057,-1,0))+1,0)</f>
        <v>0</v>
      </c>
      <c r="I6057" s="3" t="s">
        <v>490</v>
      </c>
      <c r="K6057" s="2">
        <f>IF(ISNUMBER(SEARCH(Лист2!$B$4,F:F)),1,0)</f>
        <v>0</v>
      </c>
      <c r="L6057" s="14">
        <f>IF(ISNUMBER(SEARCH(Лист2!$B$5,I:I)),1,0)+K6057</f>
        <v>0</v>
      </c>
      <c r="M6057" s="3">
        <f ca="1">IF(AND(N6057&lt;&gt;N6056,ISNUMBER(SEARCH(Лист2!$B$6,N:N)),L6057=2),MAX($M$3:OFFSET(M6057,-1,0))+1,0)</f>
        <v>0</v>
      </c>
      <c r="N6057" s="3" t="s">
        <v>3552</v>
      </c>
    </row>
    <row r="6058" spans="1:14" x14ac:dyDescent="0.25">
      <c r="A6058" s="1" t="s">
        <v>14510</v>
      </c>
      <c r="B6058" s="3" t="s">
        <v>9671</v>
      </c>
      <c r="C6058" s="2">
        <f ca="1">IF(ISNUMBER(SEARCH(Лист2!$B$4,D:D)),MAX($C$3:OFFSET(C6058,-1,0))+1,0)</f>
        <v>0</v>
      </c>
      <c r="E6058" s="9" t="str">
        <f t="shared" ca="1" si="106"/>
        <v/>
      </c>
      <c r="F6058" s="4" t="s">
        <v>38</v>
      </c>
      <c r="G6058" s="2">
        <f>IF(ISNUMBER(SEARCH(Лист2!$B$4,F:F)),1,0)</f>
        <v>0</v>
      </c>
      <c r="H6058" s="3">
        <f ca="1">IF(AND(I6058&lt;&gt;I6057,ISNUMBER(SEARCH(Лист2!$B$5,I:I)),G6058=1),MAX($H$3:OFFSET(H6058,-1,0))+1,0)</f>
        <v>0</v>
      </c>
      <c r="I6058" s="3" t="s">
        <v>490</v>
      </c>
      <c r="K6058" s="2">
        <f>IF(ISNUMBER(SEARCH(Лист2!$B$4,F:F)),1,0)</f>
        <v>0</v>
      </c>
      <c r="L6058" s="14">
        <f>IF(ISNUMBER(SEARCH(Лист2!$B$5,I:I)),1,0)+K6058</f>
        <v>0</v>
      </c>
      <c r="M6058" s="3">
        <f ca="1">IF(AND(N6058&lt;&gt;N6057,ISNUMBER(SEARCH(Лист2!$B$6,N:N)),L6058=2),MAX($M$3:OFFSET(M6058,-1,0))+1,0)</f>
        <v>0</v>
      </c>
      <c r="N6058" s="3" t="s">
        <v>3552</v>
      </c>
    </row>
    <row r="6059" spans="1:14" x14ac:dyDescent="0.25">
      <c r="A6059" s="1" t="s">
        <v>14510</v>
      </c>
      <c r="B6059" s="3" t="s">
        <v>9672</v>
      </c>
      <c r="C6059" s="2">
        <f ca="1">IF(ISNUMBER(SEARCH(Лист2!$B$4,D:D)),MAX($C$3:OFFSET(C6059,-1,0))+1,0)</f>
        <v>0</v>
      </c>
      <c r="E6059" s="9" t="str">
        <f t="shared" ca="1" si="106"/>
        <v/>
      </c>
      <c r="F6059" s="4" t="s">
        <v>38</v>
      </c>
      <c r="G6059" s="2">
        <f>IF(ISNUMBER(SEARCH(Лист2!$B$4,F:F)),1,0)</f>
        <v>0</v>
      </c>
      <c r="H6059" s="3">
        <f ca="1">IF(AND(I6059&lt;&gt;I6058,ISNUMBER(SEARCH(Лист2!$B$5,I:I)),G6059=1),MAX($H$3:OFFSET(H6059,-1,0))+1,0)</f>
        <v>0</v>
      </c>
      <c r="I6059" s="3" t="s">
        <v>490</v>
      </c>
      <c r="K6059" s="2">
        <f>IF(ISNUMBER(SEARCH(Лист2!$B$4,F:F)),1,0)</f>
        <v>0</v>
      </c>
      <c r="L6059" s="14">
        <f>IF(ISNUMBER(SEARCH(Лист2!$B$5,I:I)),1,0)+K6059</f>
        <v>0</v>
      </c>
      <c r="M6059" s="3">
        <f ca="1">IF(AND(N6059&lt;&gt;N6058,ISNUMBER(SEARCH(Лист2!$B$6,N:N)),L6059=2),MAX($M$3:OFFSET(M6059,-1,0))+1,0)</f>
        <v>0</v>
      </c>
      <c r="N6059" s="3" t="s">
        <v>3552</v>
      </c>
    </row>
    <row r="6060" spans="1:14" x14ac:dyDescent="0.25">
      <c r="A6060" s="1" t="s">
        <v>14511</v>
      </c>
      <c r="B6060" s="3" t="s">
        <v>9673</v>
      </c>
      <c r="C6060" s="2">
        <f ca="1">IF(ISNUMBER(SEARCH(Лист2!$B$4,D:D)),MAX($C$3:OFFSET(C6060,-1,0))+1,0)</f>
        <v>0</v>
      </c>
      <c r="E6060" s="9" t="str">
        <f t="shared" ca="1" si="106"/>
        <v/>
      </c>
      <c r="F6060" s="4" t="s">
        <v>38</v>
      </c>
      <c r="G6060" s="2">
        <f>IF(ISNUMBER(SEARCH(Лист2!$B$4,F:F)),1,0)</f>
        <v>0</v>
      </c>
      <c r="H6060" s="3">
        <f ca="1">IF(AND(I6060&lt;&gt;I6059,ISNUMBER(SEARCH(Лист2!$B$5,I:I)),G6060=1),MAX($H$3:OFFSET(H6060,-1,0))+1,0)</f>
        <v>0</v>
      </c>
      <c r="I6060" s="3" t="s">
        <v>490</v>
      </c>
      <c r="K6060" s="2">
        <f>IF(ISNUMBER(SEARCH(Лист2!$B$4,F:F)),1,0)</f>
        <v>0</v>
      </c>
      <c r="L6060" s="14">
        <f>IF(ISNUMBER(SEARCH(Лист2!$B$5,I:I)),1,0)+K6060</f>
        <v>0</v>
      </c>
      <c r="M6060" s="3">
        <f ca="1">IF(AND(N6060&lt;&gt;N6059,ISNUMBER(SEARCH(Лист2!$B$6,N:N)),L6060=2),MAX($M$3:OFFSET(M6060,-1,0))+1,0)</f>
        <v>0</v>
      </c>
      <c r="N6060" s="3" t="s">
        <v>3553</v>
      </c>
    </row>
    <row r="6061" spans="1:14" x14ac:dyDescent="0.25">
      <c r="A6061" s="1" t="s">
        <v>14511</v>
      </c>
      <c r="B6061" s="3" t="s">
        <v>9674</v>
      </c>
      <c r="C6061" s="2">
        <f ca="1">IF(ISNUMBER(SEARCH(Лист2!$B$4,D:D)),MAX($C$3:OFFSET(C6061,-1,0))+1,0)</f>
        <v>0</v>
      </c>
      <c r="E6061" s="9" t="str">
        <f t="shared" ca="1" si="106"/>
        <v/>
      </c>
      <c r="F6061" s="4" t="s">
        <v>38</v>
      </c>
      <c r="G6061" s="2">
        <f>IF(ISNUMBER(SEARCH(Лист2!$B$4,F:F)),1,0)</f>
        <v>0</v>
      </c>
      <c r="H6061" s="3">
        <f ca="1">IF(AND(I6061&lt;&gt;I6060,ISNUMBER(SEARCH(Лист2!$B$5,I:I)),G6061=1),MAX($H$3:OFFSET(H6061,-1,0))+1,0)</f>
        <v>0</v>
      </c>
      <c r="I6061" s="3" t="s">
        <v>490</v>
      </c>
      <c r="K6061" s="2">
        <f>IF(ISNUMBER(SEARCH(Лист2!$B$4,F:F)),1,0)</f>
        <v>0</v>
      </c>
      <c r="L6061" s="14">
        <f>IF(ISNUMBER(SEARCH(Лист2!$B$5,I:I)),1,0)+K6061</f>
        <v>0</v>
      </c>
      <c r="M6061" s="3">
        <f ca="1">IF(AND(N6061&lt;&gt;N6060,ISNUMBER(SEARCH(Лист2!$B$6,N:N)),L6061=2),MAX($M$3:OFFSET(M6061,-1,0))+1,0)</f>
        <v>0</v>
      </c>
      <c r="N6061" s="3" t="s">
        <v>3553</v>
      </c>
    </row>
    <row r="6062" spans="1:14" x14ac:dyDescent="0.25">
      <c r="A6062" s="1" t="s">
        <v>14511</v>
      </c>
      <c r="B6062" s="3" t="s">
        <v>9675</v>
      </c>
      <c r="C6062" s="2">
        <f ca="1">IF(ISNUMBER(SEARCH(Лист2!$B$4,D:D)),MAX($C$3:OFFSET(C6062,-1,0))+1,0)</f>
        <v>0</v>
      </c>
      <c r="E6062" s="9" t="str">
        <f t="shared" ca="1" si="106"/>
        <v/>
      </c>
      <c r="F6062" s="4" t="s">
        <v>38</v>
      </c>
      <c r="G6062" s="2">
        <f>IF(ISNUMBER(SEARCH(Лист2!$B$4,F:F)),1,0)</f>
        <v>0</v>
      </c>
      <c r="H6062" s="3">
        <f ca="1">IF(AND(I6062&lt;&gt;I6061,ISNUMBER(SEARCH(Лист2!$B$5,I:I)),G6062=1),MAX($H$3:OFFSET(H6062,-1,0))+1,0)</f>
        <v>0</v>
      </c>
      <c r="I6062" s="3" t="s">
        <v>490</v>
      </c>
      <c r="K6062" s="2">
        <f>IF(ISNUMBER(SEARCH(Лист2!$B$4,F:F)),1,0)</f>
        <v>0</v>
      </c>
      <c r="L6062" s="14">
        <f>IF(ISNUMBER(SEARCH(Лист2!$B$5,I:I)),1,0)+K6062</f>
        <v>0</v>
      </c>
      <c r="M6062" s="3">
        <f ca="1">IF(AND(N6062&lt;&gt;N6061,ISNUMBER(SEARCH(Лист2!$B$6,N:N)),L6062=2),MAX($M$3:OFFSET(M6062,-1,0))+1,0)</f>
        <v>0</v>
      </c>
      <c r="N6062" s="3" t="s">
        <v>3553</v>
      </c>
    </row>
    <row r="6063" spans="1:14" x14ac:dyDescent="0.25">
      <c r="A6063" s="1" t="s">
        <v>14512</v>
      </c>
      <c r="B6063" s="3" t="s">
        <v>9676</v>
      </c>
      <c r="C6063" s="2">
        <f ca="1">IF(ISNUMBER(SEARCH(Лист2!$B$4,D:D)),MAX($C$3:OFFSET(C6063,-1,0))+1,0)</f>
        <v>0</v>
      </c>
      <c r="E6063" s="9" t="str">
        <f t="shared" ca="1" si="106"/>
        <v/>
      </c>
      <c r="F6063" s="4" t="s">
        <v>38</v>
      </c>
      <c r="G6063" s="2">
        <f>IF(ISNUMBER(SEARCH(Лист2!$B$4,F:F)),1,0)</f>
        <v>0</v>
      </c>
      <c r="H6063" s="3">
        <f ca="1">IF(AND(I6063&lt;&gt;I6062,ISNUMBER(SEARCH(Лист2!$B$5,I:I)),G6063=1),MAX($H$3:OFFSET(H6063,-1,0))+1,0)</f>
        <v>0</v>
      </c>
      <c r="I6063" s="3" t="s">
        <v>490</v>
      </c>
      <c r="K6063" s="2">
        <f>IF(ISNUMBER(SEARCH(Лист2!$B$4,F:F)),1,0)</f>
        <v>0</v>
      </c>
      <c r="L6063" s="14">
        <f>IF(ISNUMBER(SEARCH(Лист2!$B$5,I:I)),1,0)+K6063</f>
        <v>0</v>
      </c>
      <c r="M6063" s="3">
        <f ca="1">IF(AND(N6063&lt;&gt;N6062,ISNUMBER(SEARCH(Лист2!$B$6,N:N)),L6063=2),MAX($M$3:OFFSET(M6063,-1,0))+1,0)</f>
        <v>0</v>
      </c>
      <c r="N6063" s="3" t="s">
        <v>3554</v>
      </c>
    </row>
    <row r="6064" spans="1:14" x14ac:dyDescent="0.25">
      <c r="A6064" s="1" t="s">
        <v>14513</v>
      </c>
      <c r="B6064" s="3" t="s">
        <v>9677</v>
      </c>
      <c r="C6064" s="2">
        <f ca="1">IF(ISNUMBER(SEARCH(Лист2!$B$4,D:D)),MAX($C$3:OFFSET(C6064,-1,0))+1,0)</f>
        <v>0</v>
      </c>
      <c r="E6064" s="9" t="str">
        <f t="shared" ca="1" si="106"/>
        <v/>
      </c>
      <c r="F6064" s="4" t="s">
        <v>38</v>
      </c>
      <c r="G6064" s="2">
        <f>IF(ISNUMBER(SEARCH(Лист2!$B$4,F:F)),1,0)</f>
        <v>0</v>
      </c>
      <c r="H6064" s="3">
        <f ca="1">IF(AND(I6064&lt;&gt;I6063,ISNUMBER(SEARCH(Лист2!$B$5,I:I)),G6064=1),MAX($H$3:OFFSET(H6064,-1,0))+1,0)</f>
        <v>0</v>
      </c>
      <c r="I6064" s="3" t="s">
        <v>490</v>
      </c>
      <c r="K6064" s="2">
        <f>IF(ISNUMBER(SEARCH(Лист2!$B$4,F:F)),1,0)</f>
        <v>0</v>
      </c>
      <c r="L6064" s="14">
        <f>IF(ISNUMBER(SEARCH(Лист2!$B$5,I:I)),1,0)+K6064</f>
        <v>0</v>
      </c>
      <c r="M6064" s="3">
        <f ca="1">IF(AND(N6064&lt;&gt;N6063,ISNUMBER(SEARCH(Лист2!$B$6,N:N)),L6064=2),MAX($M$3:OFFSET(M6064,-1,0))+1,0)</f>
        <v>0</v>
      </c>
      <c r="N6064" s="3" t="s">
        <v>3555</v>
      </c>
    </row>
    <row r="6065" spans="1:14" x14ac:dyDescent="0.25">
      <c r="A6065" s="1" t="s">
        <v>14514</v>
      </c>
      <c r="B6065" s="3" t="s">
        <v>9678</v>
      </c>
      <c r="C6065" s="2">
        <f ca="1">IF(ISNUMBER(SEARCH(Лист2!$B$4,D:D)),MAX($C$3:OFFSET(C6065,-1,0))+1,0)</f>
        <v>0</v>
      </c>
      <c r="E6065" s="9" t="str">
        <f t="shared" ca="1" si="106"/>
        <v/>
      </c>
      <c r="F6065" s="4" t="s">
        <v>38</v>
      </c>
      <c r="G6065" s="2">
        <f>IF(ISNUMBER(SEARCH(Лист2!$B$4,F:F)),1,0)</f>
        <v>0</v>
      </c>
      <c r="H6065" s="3">
        <f ca="1">IF(AND(I6065&lt;&gt;I6064,ISNUMBER(SEARCH(Лист2!$B$5,I:I)),G6065=1),MAX($H$3:OFFSET(H6065,-1,0))+1,0)</f>
        <v>0</v>
      </c>
      <c r="I6065" s="3" t="s">
        <v>490</v>
      </c>
      <c r="K6065" s="2">
        <f>IF(ISNUMBER(SEARCH(Лист2!$B$4,F:F)),1,0)</f>
        <v>0</v>
      </c>
      <c r="L6065" s="14">
        <f>IF(ISNUMBER(SEARCH(Лист2!$B$5,I:I)),1,0)+K6065</f>
        <v>0</v>
      </c>
      <c r="M6065" s="3">
        <f ca="1">IF(AND(N6065&lt;&gt;N6064,ISNUMBER(SEARCH(Лист2!$B$6,N:N)),L6065=2),MAX($M$3:OFFSET(M6065,-1,0))+1,0)</f>
        <v>0</v>
      </c>
      <c r="N6065" s="3" t="s">
        <v>3556</v>
      </c>
    </row>
    <row r="6066" spans="1:14" x14ac:dyDescent="0.25">
      <c r="A6066" s="1" t="s">
        <v>14515</v>
      </c>
      <c r="B6066" s="3" t="s">
        <v>9679</v>
      </c>
      <c r="C6066" s="2">
        <f ca="1">IF(ISNUMBER(SEARCH(Лист2!$B$4,D:D)),MAX($C$3:OFFSET(C6066,-1,0))+1,0)</f>
        <v>0</v>
      </c>
      <c r="E6066" s="9" t="str">
        <f t="shared" ca="1" si="106"/>
        <v/>
      </c>
      <c r="F6066" s="4" t="s">
        <v>38</v>
      </c>
      <c r="G6066" s="2">
        <f>IF(ISNUMBER(SEARCH(Лист2!$B$4,F:F)),1,0)</f>
        <v>0</v>
      </c>
      <c r="H6066" s="3">
        <f ca="1">IF(AND(I6066&lt;&gt;I6065,ISNUMBER(SEARCH(Лист2!$B$5,I:I)),G6066=1),MAX($H$3:OFFSET(H6066,-1,0))+1,0)</f>
        <v>0</v>
      </c>
      <c r="I6066" s="3" t="s">
        <v>490</v>
      </c>
      <c r="K6066" s="2">
        <f>IF(ISNUMBER(SEARCH(Лист2!$B$4,F:F)),1,0)</f>
        <v>0</v>
      </c>
      <c r="L6066" s="14">
        <f>IF(ISNUMBER(SEARCH(Лист2!$B$5,I:I)),1,0)+K6066</f>
        <v>0</v>
      </c>
      <c r="M6066" s="3">
        <f ca="1">IF(AND(N6066&lt;&gt;N6065,ISNUMBER(SEARCH(Лист2!$B$6,N:N)),L6066=2),MAX($M$3:OFFSET(M6066,-1,0))+1,0)</f>
        <v>0</v>
      </c>
      <c r="N6066" s="3" t="s">
        <v>3557</v>
      </c>
    </row>
    <row r="6067" spans="1:14" x14ac:dyDescent="0.25">
      <c r="A6067" s="1" t="s">
        <v>14516</v>
      </c>
      <c r="B6067" s="3" t="s">
        <v>9680</v>
      </c>
      <c r="C6067" s="2">
        <f ca="1">IF(ISNUMBER(SEARCH(Лист2!$B$4,D:D)),MAX($C$3:OFFSET(C6067,-1,0))+1,0)</f>
        <v>0</v>
      </c>
      <c r="E6067" s="9" t="str">
        <f t="shared" ca="1" si="106"/>
        <v/>
      </c>
      <c r="F6067" s="4" t="s">
        <v>38</v>
      </c>
      <c r="G6067" s="2">
        <f>IF(ISNUMBER(SEARCH(Лист2!$B$4,F:F)),1,0)</f>
        <v>0</v>
      </c>
      <c r="H6067" s="3">
        <f ca="1">IF(AND(I6067&lt;&gt;I6066,ISNUMBER(SEARCH(Лист2!$B$5,I:I)),G6067=1),MAX($H$3:OFFSET(H6067,-1,0))+1,0)</f>
        <v>0</v>
      </c>
      <c r="I6067" s="3" t="s">
        <v>490</v>
      </c>
      <c r="K6067" s="2">
        <f>IF(ISNUMBER(SEARCH(Лист2!$B$4,F:F)),1,0)</f>
        <v>0</v>
      </c>
      <c r="L6067" s="14">
        <f>IF(ISNUMBER(SEARCH(Лист2!$B$5,I:I)),1,0)+K6067</f>
        <v>0</v>
      </c>
      <c r="M6067" s="3">
        <f ca="1">IF(AND(N6067&lt;&gt;N6066,ISNUMBER(SEARCH(Лист2!$B$6,N:N)),L6067=2),MAX($M$3:OFFSET(M6067,-1,0))+1,0)</f>
        <v>0</v>
      </c>
      <c r="N6067" s="3" t="s">
        <v>602</v>
      </c>
    </row>
    <row r="6068" spans="1:14" x14ac:dyDescent="0.25">
      <c r="A6068" s="1" t="s">
        <v>14517</v>
      </c>
      <c r="B6068" s="3" t="s">
        <v>9681</v>
      </c>
      <c r="C6068" s="2">
        <f ca="1">IF(ISNUMBER(SEARCH(Лист2!$B$4,D:D)),MAX($C$3:OFFSET(C6068,-1,0))+1,0)</f>
        <v>0</v>
      </c>
      <c r="E6068" s="9" t="str">
        <f t="shared" ca="1" si="106"/>
        <v/>
      </c>
      <c r="F6068" s="4" t="s">
        <v>38</v>
      </c>
      <c r="G6068" s="2">
        <f>IF(ISNUMBER(SEARCH(Лист2!$B$4,F:F)),1,0)</f>
        <v>0</v>
      </c>
      <c r="H6068" s="3">
        <f ca="1">IF(AND(I6068&lt;&gt;I6067,ISNUMBER(SEARCH(Лист2!$B$5,I:I)),G6068=1),MAX($H$3:OFFSET(H6068,-1,0))+1,0)</f>
        <v>0</v>
      </c>
      <c r="I6068" s="3" t="s">
        <v>490</v>
      </c>
      <c r="K6068" s="2">
        <f>IF(ISNUMBER(SEARCH(Лист2!$B$4,F:F)),1,0)</f>
        <v>0</v>
      </c>
      <c r="L6068" s="14">
        <f>IF(ISNUMBER(SEARCH(Лист2!$B$5,I:I)),1,0)+K6068</f>
        <v>0</v>
      </c>
      <c r="M6068" s="3">
        <f ca="1">IF(AND(N6068&lt;&gt;N6067,ISNUMBER(SEARCH(Лист2!$B$6,N:N)),L6068=2),MAX($M$3:OFFSET(M6068,-1,0))+1,0)</f>
        <v>0</v>
      </c>
      <c r="N6068" s="3" t="s">
        <v>3558</v>
      </c>
    </row>
    <row r="6069" spans="1:14" x14ac:dyDescent="0.25">
      <c r="A6069" s="1" t="s">
        <v>14518</v>
      </c>
      <c r="B6069" s="3" t="s">
        <v>9682</v>
      </c>
      <c r="C6069" s="2">
        <f ca="1">IF(ISNUMBER(SEARCH(Лист2!$B$4,D:D)),MAX($C$3:OFFSET(C6069,-1,0))+1,0)</f>
        <v>0</v>
      </c>
      <c r="E6069" s="9" t="str">
        <f t="shared" ca="1" si="106"/>
        <v/>
      </c>
      <c r="F6069" s="4" t="s">
        <v>38</v>
      </c>
      <c r="G6069" s="2">
        <f>IF(ISNUMBER(SEARCH(Лист2!$B$4,F:F)),1,0)</f>
        <v>0</v>
      </c>
      <c r="H6069" s="3">
        <f ca="1">IF(AND(I6069&lt;&gt;I6068,ISNUMBER(SEARCH(Лист2!$B$5,I:I)),G6069=1),MAX($H$3:OFFSET(H6069,-1,0))+1,0)</f>
        <v>0</v>
      </c>
      <c r="I6069" s="3" t="s">
        <v>482</v>
      </c>
      <c r="K6069" s="2">
        <f>IF(ISNUMBER(SEARCH(Лист2!$B$4,F:F)),1,0)</f>
        <v>0</v>
      </c>
      <c r="L6069" s="14">
        <f>IF(ISNUMBER(SEARCH(Лист2!$B$5,I:I)),1,0)+K6069</f>
        <v>0</v>
      </c>
      <c r="M6069" s="3">
        <f ca="1">IF(AND(N6069&lt;&gt;N6068,ISNUMBER(SEARCH(Лист2!$B$6,N:N)),L6069=2),MAX($M$3:OFFSET(M6069,-1,0))+1,0)</f>
        <v>0</v>
      </c>
      <c r="N6069" s="3" t="s">
        <v>3559</v>
      </c>
    </row>
    <row r="6070" spans="1:14" x14ac:dyDescent="0.25">
      <c r="A6070" s="1" t="s">
        <v>14519</v>
      </c>
      <c r="B6070" s="3" t="s">
        <v>9683</v>
      </c>
      <c r="C6070" s="2">
        <f ca="1">IF(ISNUMBER(SEARCH(Лист2!$B$4,D:D)),MAX($C$3:OFFSET(C6070,-1,0))+1,0)</f>
        <v>0</v>
      </c>
      <c r="E6070" s="9" t="str">
        <f t="shared" ca="1" si="106"/>
        <v/>
      </c>
      <c r="F6070" s="4" t="s">
        <v>38</v>
      </c>
      <c r="G6070" s="2">
        <f>IF(ISNUMBER(SEARCH(Лист2!$B$4,F:F)),1,0)</f>
        <v>0</v>
      </c>
      <c r="H6070" s="3">
        <f ca="1">IF(AND(I6070&lt;&gt;I6069,ISNUMBER(SEARCH(Лист2!$B$5,I:I)),G6070=1),MAX($H$3:OFFSET(H6070,-1,0))+1,0)</f>
        <v>0</v>
      </c>
      <c r="I6070" s="3" t="s">
        <v>482</v>
      </c>
      <c r="K6070" s="2">
        <f>IF(ISNUMBER(SEARCH(Лист2!$B$4,F:F)),1,0)</f>
        <v>0</v>
      </c>
      <c r="L6070" s="14">
        <f>IF(ISNUMBER(SEARCH(Лист2!$B$5,I:I)),1,0)+K6070</f>
        <v>0</v>
      </c>
      <c r="M6070" s="3">
        <f ca="1">IF(AND(N6070&lt;&gt;N6069,ISNUMBER(SEARCH(Лист2!$B$6,N:N)),L6070=2),MAX($M$3:OFFSET(M6070,-1,0))+1,0)</f>
        <v>0</v>
      </c>
      <c r="N6070" s="3" t="s">
        <v>3560</v>
      </c>
    </row>
    <row r="6071" spans="1:14" x14ac:dyDescent="0.25">
      <c r="A6071" s="1" t="s">
        <v>14520</v>
      </c>
      <c r="B6071" s="3" t="s">
        <v>9684</v>
      </c>
      <c r="C6071" s="2">
        <f ca="1">IF(ISNUMBER(SEARCH(Лист2!$B$4,D:D)),MAX($C$3:OFFSET(C6071,-1,0))+1,0)</f>
        <v>0</v>
      </c>
      <c r="E6071" s="9" t="str">
        <f t="shared" ca="1" si="106"/>
        <v/>
      </c>
      <c r="F6071" s="4" t="s">
        <v>38</v>
      </c>
      <c r="G6071" s="2">
        <f>IF(ISNUMBER(SEARCH(Лист2!$B$4,F:F)),1,0)</f>
        <v>0</v>
      </c>
      <c r="H6071" s="3">
        <f ca="1">IF(AND(I6071&lt;&gt;I6070,ISNUMBER(SEARCH(Лист2!$B$5,I:I)),G6071=1),MAX($H$3:OFFSET(H6071,-1,0))+1,0)</f>
        <v>0</v>
      </c>
      <c r="I6071" s="3" t="s">
        <v>482</v>
      </c>
      <c r="K6071" s="2">
        <f>IF(ISNUMBER(SEARCH(Лист2!$B$4,F:F)),1,0)</f>
        <v>0</v>
      </c>
      <c r="L6071" s="14">
        <f>IF(ISNUMBER(SEARCH(Лист2!$B$5,I:I)),1,0)+K6071</f>
        <v>0</v>
      </c>
      <c r="M6071" s="3">
        <f ca="1">IF(AND(N6071&lt;&gt;N6070,ISNUMBER(SEARCH(Лист2!$B$6,N:N)),L6071=2),MAX($M$3:OFFSET(M6071,-1,0))+1,0)</f>
        <v>0</v>
      </c>
      <c r="N6071" s="3" t="s">
        <v>3561</v>
      </c>
    </row>
    <row r="6072" spans="1:14" x14ac:dyDescent="0.25">
      <c r="A6072" s="1" t="s">
        <v>14521</v>
      </c>
      <c r="B6072" s="3" t="s">
        <v>9685</v>
      </c>
      <c r="C6072" s="2">
        <f ca="1">IF(ISNUMBER(SEARCH(Лист2!$B$4,D:D)),MAX($C$3:OFFSET(C6072,-1,0))+1,0)</f>
        <v>0</v>
      </c>
      <c r="E6072" s="9" t="str">
        <f t="shared" ca="1" si="106"/>
        <v/>
      </c>
      <c r="F6072" s="4" t="s">
        <v>38</v>
      </c>
      <c r="G6072" s="2">
        <f>IF(ISNUMBER(SEARCH(Лист2!$B$4,F:F)),1,0)</f>
        <v>0</v>
      </c>
      <c r="H6072" s="3">
        <f ca="1">IF(AND(I6072&lt;&gt;I6071,ISNUMBER(SEARCH(Лист2!$B$5,I:I)),G6072=1),MAX($H$3:OFFSET(H6072,-1,0))+1,0)</f>
        <v>0</v>
      </c>
      <c r="I6072" s="3" t="s">
        <v>482</v>
      </c>
      <c r="K6072" s="2">
        <f>IF(ISNUMBER(SEARCH(Лист2!$B$4,F:F)),1,0)</f>
        <v>0</v>
      </c>
      <c r="L6072" s="14">
        <f>IF(ISNUMBER(SEARCH(Лист2!$B$5,I:I)),1,0)+K6072</f>
        <v>0</v>
      </c>
      <c r="M6072" s="3">
        <f ca="1">IF(AND(N6072&lt;&gt;N6071,ISNUMBER(SEARCH(Лист2!$B$6,N:N)),L6072=2),MAX($M$3:OFFSET(M6072,-1,0))+1,0)</f>
        <v>0</v>
      </c>
      <c r="N6072" s="3" t="s">
        <v>3562</v>
      </c>
    </row>
    <row r="6073" spans="1:14" x14ac:dyDescent="0.25">
      <c r="A6073" s="1" t="s">
        <v>14522</v>
      </c>
      <c r="B6073" s="3" t="s">
        <v>9686</v>
      </c>
      <c r="C6073" s="2">
        <f ca="1">IF(ISNUMBER(SEARCH(Лист2!$B$4,D:D)),MAX($C$3:OFFSET(C6073,-1,0))+1,0)</f>
        <v>0</v>
      </c>
      <c r="E6073" s="9" t="str">
        <f t="shared" ca="1" si="106"/>
        <v/>
      </c>
      <c r="F6073" s="4" t="s">
        <v>38</v>
      </c>
      <c r="G6073" s="2">
        <f>IF(ISNUMBER(SEARCH(Лист2!$B$4,F:F)),1,0)</f>
        <v>0</v>
      </c>
      <c r="H6073" s="3">
        <f ca="1">IF(AND(I6073&lt;&gt;I6072,ISNUMBER(SEARCH(Лист2!$B$5,I:I)),G6073=1),MAX($H$3:OFFSET(H6073,-1,0))+1,0)</f>
        <v>0</v>
      </c>
      <c r="I6073" s="3" t="s">
        <v>482</v>
      </c>
      <c r="K6073" s="2">
        <f>IF(ISNUMBER(SEARCH(Лист2!$B$4,F:F)),1,0)</f>
        <v>0</v>
      </c>
      <c r="L6073" s="14">
        <f>IF(ISNUMBER(SEARCH(Лист2!$B$5,I:I)),1,0)+K6073</f>
        <v>0</v>
      </c>
      <c r="M6073" s="3">
        <f ca="1">IF(AND(N6073&lt;&gt;N6072,ISNUMBER(SEARCH(Лист2!$B$6,N:N)),L6073=2),MAX($M$3:OFFSET(M6073,-1,0))+1,0)</f>
        <v>0</v>
      </c>
      <c r="N6073" s="3" t="s">
        <v>3563</v>
      </c>
    </row>
    <row r="6074" spans="1:14" x14ac:dyDescent="0.25">
      <c r="A6074" s="1" t="s">
        <v>14523</v>
      </c>
      <c r="B6074" s="3" t="s">
        <v>9687</v>
      </c>
      <c r="C6074" s="2">
        <f ca="1">IF(ISNUMBER(SEARCH(Лист2!$B$4,D:D)),MAX($C$3:OFFSET(C6074,-1,0))+1,0)</f>
        <v>0</v>
      </c>
      <c r="E6074" s="9" t="str">
        <f t="shared" ca="1" si="106"/>
        <v/>
      </c>
      <c r="F6074" s="4" t="s">
        <v>38</v>
      </c>
      <c r="G6074" s="2">
        <f>IF(ISNUMBER(SEARCH(Лист2!$B$4,F:F)),1,0)</f>
        <v>0</v>
      </c>
      <c r="H6074" s="3">
        <f ca="1">IF(AND(I6074&lt;&gt;I6073,ISNUMBER(SEARCH(Лист2!$B$5,I:I)),G6074=1),MAX($H$3:OFFSET(H6074,-1,0))+1,0)</f>
        <v>0</v>
      </c>
      <c r="I6074" s="3" t="s">
        <v>482</v>
      </c>
      <c r="K6074" s="2">
        <f>IF(ISNUMBER(SEARCH(Лист2!$B$4,F:F)),1,0)</f>
        <v>0</v>
      </c>
      <c r="L6074" s="14">
        <f>IF(ISNUMBER(SEARCH(Лист2!$B$5,I:I)),1,0)+K6074</f>
        <v>0</v>
      </c>
      <c r="M6074" s="3">
        <f ca="1">IF(AND(N6074&lt;&gt;N6073,ISNUMBER(SEARCH(Лист2!$B$6,N:N)),L6074=2),MAX($M$3:OFFSET(M6074,-1,0))+1,0)</f>
        <v>0</v>
      </c>
      <c r="N6074" s="3" t="s">
        <v>3564</v>
      </c>
    </row>
    <row r="6075" spans="1:14" x14ac:dyDescent="0.25">
      <c r="A6075" s="1" t="s">
        <v>14469</v>
      </c>
      <c r="B6075" s="3" t="s">
        <v>9688</v>
      </c>
      <c r="C6075" s="2">
        <f ca="1">IF(ISNUMBER(SEARCH(Лист2!$B$4,D:D)),MAX($C$3:OFFSET(C6075,-1,0))+1,0)</f>
        <v>0</v>
      </c>
      <c r="E6075" s="9" t="str">
        <f t="shared" ca="1" si="106"/>
        <v/>
      </c>
      <c r="F6075" s="4" t="s">
        <v>38</v>
      </c>
      <c r="G6075" s="2">
        <f>IF(ISNUMBER(SEARCH(Лист2!$B$4,F:F)),1,0)</f>
        <v>0</v>
      </c>
      <c r="H6075" s="3">
        <f ca="1">IF(AND(I6075&lt;&gt;I6074,ISNUMBER(SEARCH(Лист2!$B$5,I:I)),G6075=1),MAX($H$3:OFFSET(H6075,-1,0))+1,0)</f>
        <v>0</v>
      </c>
      <c r="I6075" s="3" t="s">
        <v>482</v>
      </c>
      <c r="K6075" s="2">
        <f>IF(ISNUMBER(SEARCH(Лист2!$B$4,F:F)),1,0)</f>
        <v>0</v>
      </c>
      <c r="L6075" s="14">
        <f>IF(ISNUMBER(SEARCH(Лист2!$B$5,I:I)),1,0)+K6075</f>
        <v>0</v>
      </c>
      <c r="M6075" s="3">
        <f ca="1">IF(AND(N6075&lt;&gt;N6074,ISNUMBER(SEARCH(Лист2!$B$6,N:N)),L6075=2),MAX($M$3:OFFSET(M6075,-1,0))+1,0)</f>
        <v>0</v>
      </c>
      <c r="N6075" s="3" t="s">
        <v>3518</v>
      </c>
    </row>
    <row r="6076" spans="1:14" x14ac:dyDescent="0.25">
      <c r="A6076" s="1" t="s">
        <v>14524</v>
      </c>
      <c r="B6076" s="3" t="s">
        <v>9689</v>
      </c>
      <c r="C6076" s="2">
        <f ca="1">IF(ISNUMBER(SEARCH(Лист2!$B$4,D:D)),MAX($C$3:OFFSET(C6076,-1,0))+1,0)</f>
        <v>0</v>
      </c>
      <c r="E6076" s="9" t="str">
        <f t="shared" ca="1" si="106"/>
        <v/>
      </c>
      <c r="F6076" s="4" t="s">
        <v>38</v>
      </c>
      <c r="G6076" s="2">
        <f>IF(ISNUMBER(SEARCH(Лист2!$B$4,F:F)),1,0)</f>
        <v>0</v>
      </c>
      <c r="H6076" s="3">
        <f ca="1">IF(AND(I6076&lt;&gt;I6075,ISNUMBER(SEARCH(Лист2!$B$5,I:I)),G6076=1),MAX($H$3:OFFSET(H6076,-1,0))+1,0)</f>
        <v>0</v>
      </c>
      <c r="I6076" s="3" t="s">
        <v>482</v>
      </c>
      <c r="K6076" s="2">
        <f>IF(ISNUMBER(SEARCH(Лист2!$B$4,F:F)),1,0)</f>
        <v>0</v>
      </c>
      <c r="L6076" s="14">
        <f>IF(ISNUMBER(SEARCH(Лист2!$B$5,I:I)),1,0)+K6076</f>
        <v>0</v>
      </c>
      <c r="M6076" s="3">
        <f ca="1">IF(AND(N6076&lt;&gt;N6075,ISNUMBER(SEARCH(Лист2!$B$6,N:N)),L6076=2),MAX($M$3:OFFSET(M6076,-1,0))+1,0)</f>
        <v>0</v>
      </c>
      <c r="N6076" s="3" t="s">
        <v>3565</v>
      </c>
    </row>
    <row r="6077" spans="1:14" x14ac:dyDescent="0.25">
      <c r="A6077" s="1" t="s">
        <v>14525</v>
      </c>
      <c r="B6077" s="3" t="s">
        <v>9690</v>
      </c>
      <c r="C6077" s="2">
        <f ca="1">IF(ISNUMBER(SEARCH(Лист2!$B$4,D:D)),MAX($C$3:OFFSET(C6077,-1,0))+1,0)</f>
        <v>0</v>
      </c>
      <c r="E6077" s="9" t="str">
        <f t="shared" ca="1" si="106"/>
        <v/>
      </c>
      <c r="F6077" s="4" t="s">
        <v>38</v>
      </c>
      <c r="G6077" s="2">
        <f>IF(ISNUMBER(SEARCH(Лист2!$B$4,F:F)),1,0)</f>
        <v>0</v>
      </c>
      <c r="H6077" s="3">
        <f ca="1">IF(AND(I6077&lt;&gt;I6076,ISNUMBER(SEARCH(Лист2!$B$5,I:I)),G6077=1),MAX($H$3:OFFSET(H6077,-1,0))+1,0)</f>
        <v>0</v>
      </c>
      <c r="I6077" s="3" t="s">
        <v>482</v>
      </c>
      <c r="K6077" s="2">
        <f>IF(ISNUMBER(SEARCH(Лист2!$B$4,F:F)),1,0)</f>
        <v>0</v>
      </c>
      <c r="L6077" s="14">
        <f>IF(ISNUMBER(SEARCH(Лист2!$B$5,I:I)),1,0)+K6077</f>
        <v>0</v>
      </c>
      <c r="M6077" s="3">
        <f ca="1">IF(AND(N6077&lt;&gt;N6076,ISNUMBER(SEARCH(Лист2!$B$6,N:N)),L6077=2),MAX($M$3:OFFSET(M6077,-1,0))+1,0)</f>
        <v>0</v>
      </c>
      <c r="N6077" s="3" t="s">
        <v>3566</v>
      </c>
    </row>
    <row r="6078" spans="1:14" x14ac:dyDescent="0.25">
      <c r="A6078" s="1" t="s">
        <v>14472</v>
      </c>
      <c r="B6078" s="3" t="s">
        <v>9691</v>
      </c>
      <c r="C6078" s="2">
        <f ca="1">IF(ISNUMBER(SEARCH(Лист2!$B$4,D:D)),MAX($C$3:OFFSET(C6078,-1,0))+1,0)</f>
        <v>0</v>
      </c>
      <c r="E6078" s="9" t="str">
        <f t="shared" ca="1" si="106"/>
        <v/>
      </c>
      <c r="F6078" s="4" t="s">
        <v>38</v>
      </c>
      <c r="G6078" s="2">
        <f>IF(ISNUMBER(SEARCH(Лист2!$B$4,F:F)),1,0)</f>
        <v>0</v>
      </c>
      <c r="H6078" s="3">
        <f ca="1">IF(AND(I6078&lt;&gt;I6077,ISNUMBER(SEARCH(Лист2!$B$5,I:I)),G6078=1),MAX($H$3:OFFSET(H6078,-1,0))+1,0)</f>
        <v>0</v>
      </c>
      <c r="I6078" s="3" t="s">
        <v>482</v>
      </c>
      <c r="K6078" s="2">
        <f>IF(ISNUMBER(SEARCH(Лист2!$B$4,F:F)),1,0)</f>
        <v>0</v>
      </c>
      <c r="L6078" s="14">
        <f>IF(ISNUMBER(SEARCH(Лист2!$B$5,I:I)),1,0)+K6078</f>
        <v>0</v>
      </c>
      <c r="M6078" s="3">
        <f ca="1">IF(AND(N6078&lt;&gt;N6077,ISNUMBER(SEARCH(Лист2!$B$6,N:N)),L6078=2),MAX($M$3:OFFSET(M6078,-1,0))+1,0)</f>
        <v>0</v>
      </c>
      <c r="N6078" s="3" t="s">
        <v>602</v>
      </c>
    </row>
    <row r="6079" spans="1:14" x14ac:dyDescent="0.25">
      <c r="A6079" s="1" t="s">
        <v>14473</v>
      </c>
      <c r="B6079" s="3" t="s">
        <v>9692</v>
      </c>
      <c r="C6079" s="2">
        <f ca="1">IF(ISNUMBER(SEARCH(Лист2!$B$4,D:D)),MAX($C$3:OFFSET(C6079,-1,0))+1,0)</f>
        <v>0</v>
      </c>
      <c r="E6079" s="9" t="str">
        <f t="shared" ca="1" si="106"/>
        <v/>
      </c>
      <c r="F6079" s="4" t="s">
        <v>38</v>
      </c>
      <c r="G6079" s="2">
        <f>IF(ISNUMBER(SEARCH(Лист2!$B$4,F:F)),1,0)</f>
        <v>0</v>
      </c>
      <c r="H6079" s="3">
        <f ca="1">IF(AND(I6079&lt;&gt;I6078,ISNUMBER(SEARCH(Лист2!$B$5,I:I)),G6079=1),MAX($H$3:OFFSET(H6079,-1,0))+1,0)</f>
        <v>0</v>
      </c>
      <c r="I6079" s="3" t="s">
        <v>482</v>
      </c>
      <c r="K6079" s="2">
        <f>IF(ISNUMBER(SEARCH(Лист2!$B$4,F:F)),1,0)</f>
        <v>0</v>
      </c>
      <c r="L6079" s="14">
        <f>IF(ISNUMBER(SEARCH(Лист2!$B$5,I:I)),1,0)+K6079</f>
        <v>0</v>
      </c>
      <c r="M6079" s="3">
        <f ca="1">IF(AND(N6079&lt;&gt;N6078,ISNUMBER(SEARCH(Лист2!$B$6,N:N)),L6079=2),MAX($M$3:OFFSET(M6079,-1,0))+1,0)</f>
        <v>0</v>
      </c>
      <c r="N6079" s="3" t="s">
        <v>523</v>
      </c>
    </row>
    <row r="6080" spans="1:14" x14ac:dyDescent="0.25">
      <c r="A6080" s="1" t="s">
        <v>14526</v>
      </c>
      <c r="B6080" s="3" t="s">
        <v>9693</v>
      </c>
      <c r="C6080" s="2">
        <f ca="1">IF(ISNUMBER(SEARCH(Лист2!$B$4,D:D)),MAX($C$3:OFFSET(C6080,-1,0))+1,0)</f>
        <v>0</v>
      </c>
      <c r="E6080" s="9" t="str">
        <f t="shared" ca="1" si="106"/>
        <v/>
      </c>
      <c r="F6080" s="4" t="s">
        <v>38</v>
      </c>
      <c r="G6080" s="2">
        <f>IF(ISNUMBER(SEARCH(Лист2!$B$4,F:F)),1,0)</f>
        <v>0</v>
      </c>
      <c r="H6080" s="3">
        <f ca="1">IF(AND(I6080&lt;&gt;I6079,ISNUMBER(SEARCH(Лист2!$B$5,I:I)),G6080=1),MAX($H$3:OFFSET(H6080,-1,0))+1,0)</f>
        <v>0</v>
      </c>
      <c r="I6080" s="3" t="s">
        <v>438</v>
      </c>
      <c r="K6080" s="2">
        <f>IF(ISNUMBER(SEARCH(Лист2!$B$4,F:F)),1,0)</f>
        <v>0</v>
      </c>
      <c r="L6080" s="14">
        <f>IF(ISNUMBER(SEARCH(Лист2!$B$5,I:I)),1,0)+K6080</f>
        <v>0</v>
      </c>
      <c r="M6080" s="3">
        <f ca="1">IF(AND(N6080&lt;&gt;N6079,ISNUMBER(SEARCH(Лист2!$B$6,N:N)),L6080=2),MAX($M$3:OFFSET(M6080,-1,0))+1,0)</f>
        <v>0</v>
      </c>
      <c r="N6080" s="3" t="s">
        <v>3567</v>
      </c>
    </row>
    <row r="6081" spans="1:14" x14ac:dyDescent="0.25">
      <c r="A6081" s="1" t="s">
        <v>14527</v>
      </c>
      <c r="B6081" s="3" t="s">
        <v>9694</v>
      </c>
      <c r="C6081" s="2">
        <f ca="1">IF(ISNUMBER(SEARCH(Лист2!$B$4,D:D)),MAX($C$3:OFFSET(C6081,-1,0))+1,0)</f>
        <v>0</v>
      </c>
      <c r="E6081" s="9" t="str">
        <f t="shared" ca="1" si="106"/>
        <v/>
      </c>
      <c r="F6081" s="4" t="s">
        <v>38</v>
      </c>
      <c r="G6081" s="2">
        <f>IF(ISNUMBER(SEARCH(Лист2!$B$4,F:F)),1,0)</f>
        <v>0</v>
      </c>
      <c r="H6081" s="3">
        <f ca="1">IF(AND(I6081&lt;&gt;I6080,ISNUMBER(SEARCH(Лист2!$B$5,I:I)),G6081=1),MAX($H$3:OFFSET(H6081,-1,0))+1,0)</f>
        <v>0</v>
      </c>
      <c r="I6081" s="3" t="s">
        <v>438</v>
      </c>
      <c r="K6081" s="2">
        <f>IF(ISNUMBER(SEARCH(Лист2!$B$4,F:F)),1,0)</f>
        <v>0</v>
      </c>
      <c r="L6081" s="14">
        <f>IF(ISNUMBER(SEARCH(Лист2!$B$5,I:I)),1,0)+K6081</f>
        <v>0</v>
      </c>
      <c r="M6081" s="3">
        <f ca="1">IF(AND(N6081&lt;&gt;N6080,ISNUMBER(SEARCH(Лист2!$B$6,N:N)),L6081=2),MAX($M$3:OFFSET(M6081,-1,0))+1,0)</f>
        <v>0</v>
      </c>
      <c r="N6081" s="3" t="s">
        <v>3568</v>
      </c>
    </row>
    <row r="6082" spans="1:14" x14ac:dyDescent="0.25">
      <c r="A6082" s="1" t="s">
        <v>14528</v>
      </c>
      <c r="B6082" s="3" t="s">
        <v>9695</v>
      </c>
      <c r="C6082" s="2">
        <f ca="1">IF(ISNUMBER(SEARCH(Лист2!$B$4,D:D)),MAX($C$3:OFFSET(C6082,-1,0))+1,0)</f>
        <v>0</v>
      </c>
      <c r="E6082" s="9" t="str">
        <f t="shared" ca="1" si="106"/>
        <v/>
      </c>
      <c r="F6082" s="4" t="s">
        <v>38</v>
      </c>
      <c r="G6082" s="2">
        <f>IF(ISNUMBER(SEARCH(Лист2!$B$4,F:F)),1,0)</f>
        <v>0</v>
      </c>
      <c r="H6082" s="3">
        <f ca="1">IF(AND(I6082&lt;&gt;I6081,ISNUMBER(SEARCH(Лист2!$B$5,I:I)),G6082=1),MAX($H$3:OFFSET(H6082,-1,0))+1,0)</f>
        <v>0</v>
      </c>
      <c r="I6082" s="3" t="s">
        <v>438</v>
      </c>
      <c r="K6082" s="2">
        <f>IF(ISNUMBER(SEARCH(Лист2!$B$4,F:F)),1,0)</f>
        <v>0</v>
      </c>
      <c r="L6082" s="14">
        <f>IF(ISNUMBER(SEARCH(Лист2!$B$5,I:I)),1,0)+K6082</f>
        <v>0</v>
      </c>
      <c r="M6082" s="3">
        <f ca="1">IF(AND(N6082&lt;&gt;N6081,ISNUMBER(SEARCH(Лист2!$B$6,N:N)),L6082=2),MAX($M$3:OFFSET(M6082,-1,0))+1,0)</f>
        <v>0</v>
      </c>
      <c r="N6082" s="3" t="s">
        <v>3569</v>
      </c>
    </row>
    <row r="6083" spans="1:14" x14ac:dyDescent="0.25">
      <c r="A6083" s="1" t="s">
        <v>14529</v>
      </c>
      <c r="B6083" s="3" t="s">
        <v>9696</v>
      </c>
      <c r="C6083" s="2">
        <f ca="1">IF(ISNUMBER(SEARCH(Лист2!$B$4,D:D)),MAX($C$3:OFFSET(C6083,-1,0))+1,0)</f>
        <v>0</v>
      </c>
      <c r="E6083" s="9" t="str">
        <f t="shared" ca="1" si="106"/>
        <v/>
      </c>
      <c r="F6083" s="4" t="s">
        <v>38</v>
      </c>
      <c r="G6083" s="2">
        <f>IF(ISNUMBER(SEARCH(Лист2!$B$4,F:F)),1,0)</f>
        <v>0</v>
      </c>
      <c r="H6083" s="3">
        <f ca="1">IF(AND(I6083&lt;&gt;I6082,ISNUMBER(SEARCH(Лист2!$B$5,I:I)),G6083=1),MAX($H$3:OFFSET(H6083,-1,0))+1,0)</f>
        <v>0</v>
      </c>
      <c r="I6083" s="3" t="s">
        <v>438</v>
      </c>
      <c r="K6083" s="2">
        <f>IF(ISNUMBER(SEARCH(Лист2!$B$4,F:F)),1,0)</f>
        <v>0</v>
      </c>
      <c r="L6083" s="14">
        <f>IF(ISNUMBER(SEARCH(Лист2!$B$5,I:I)),1,0)+K6083</f>
        <v>0</v>
      </c>
      <c r="M6083" s="3">
        <f ca="1">IF(AND(N6083&lt;&gt;N6082,ISNUMBER(SEARCH(Лист2!$B$6,N:N)),L6083=2),MAX($M$3:OFFSET(M6083,-1,0))+1,0)</f>
        <v>0</v>
      </c>
      <c r="N6083" s="3" t="s">
        <v>3570</v>
      </c>
    </row>
    <row r="6084" spans="1:14" x14ac:dyDescent="0.25">
      <c r="A6084" s="1" t="s">
        <v>14530</v>
      </c>
      <c r="B6084" s="3" t="s">
        <v>9697</v>
      </c>
      <c r="C6084" s="2">
        <f ca="1">IF(ISNUMBER(SEARCH(Лист2!$B$4,D:D)),MAX($C$3:OFFSET(C6084,-1,0))+1,0)</f>
        <v>0</v>
      </c>
      <c r="E6084" s="9" t="str">
        <f t="shared" ca="1" si="106"/>
        <v/>
      </c>
      <c r="F6084" s="4" t="s">
        <v>38</v>
      </c>
      <c r="G6084" s="2">
        <f>IF(ISNUMBER(SEARCH(Лист2!$B$4,F:F)),1,0)</f>
        <v>0</v>
      </c>
      <c r="H6084" s="3">
        <f ca="1">IF(AND(I6084&lt;&gt;I6083,ISNUMBER(SEARCH(Лист2!$B$5,I:I)),G6084=1),MAX($H$3:OFFSET(H6084,-1,0))+1,0)</f>
        <v>0</v>
      </c>
      <c r="I6084" s="3" t="s">
        <v>438</v>
      </c>
      <c r="K6084" s="2">
        <f>IF(ISNUMBER(SEARCH(Лист2!$B$4,F:F)),1,0)</f>
        <v>0</v>
      </c>
      <c r="L6084" s="14">
        <f>IF(ISNUMBER(SEARCH(Лист2!$B$5,I:I)),1,0)+K6084</f>
        <v>0</v>
      </c>
      <c r="M6084" s="3">
        <f ca="1">IF(AND(N6084&lt;&gt;N6083,ISNUMBER(SEARCH(Лист2!$B$6,N:N)),L6084=2),MAX($M$3:OFFSET(M6084,-1,0))+1,0)</f>
        <v>0</v>
      </c>
      <c r="N6084" s="3" t="s">
        <v>3571</v>
      </c>
    </row>
    <row r="6085" spans="1:14" x14ac:dyDescent="0.25">
      <c r="A6085" s="1" t="s">
        <v>14531</v>
      </c>
      <c r="B6085" s="3" t="s">
        <v>9698</v>
      </c>
      <c r="C6085" s="2">
        <f ca="1">IF(ISNUMBER(SEARCH(Лист2!$B$4,D:D)),MAX($C$3:OFFSET(C6085,-1,0))+1,0)</f>
        <v>0</v>
      </c>
      <c r="E6085" s="9" t="str">
        <f t="shared" ref="E6085:E6148" ca="1" si="107">IFERROR(INDEX(D:D,MATCH(ROW(E6085)-ROW($E$3),C:C,0)),"")</f>
        <v/>
      </c>
      <c r="F6085" s="4" t="s">
        <v>38</v>
      </c>
      <c r="G6085" s="2">
        <f>IF(ISNUMBER(SEARCH(Лист2!$B$4,F:F)),1,0)</f>
        <v>0</v>
      </c>
      <c r="H6085" s="3">
        <f ca="1">IF(AND(I6085&lt;&gt;I6084,ISNUMBER(SEARCH(Лист2!$B$5,I:I)),G6085=1),MAX($H$3:OFFSET(H6085,-1,0))+1,0)</f>
        <v>0</v>
      </c>
      <c r="I6085" s="3" t="s">
        <v>438</v>
      </c>
      <c r="K6085" s="2">
        <f>IF(ISNUMBER(SEARCH(Лист2!$B$4,F:F)),1,0)</f>
        <v>0</v>
      </c>
      <c r="L6085" s="14">
        <f>IF(ISNUMBER(SEARCH(Лист2!$B$5,I:I)),1,0)+K6085</f>
        <v>0</v>
      </c>
      <c r="M6085" s="3">
        <f ca="1">IF(AND(N6085&lt;&gt;N6084,ISNUMBER(SEARCH(Лист2!$B$6,N:N)),L6085=2),MAX($M$3:OFFSET(M6085,-1,0))+1,0)</f>
        <v>0</v>
      </c>
      <c r="N6085" s="3" t="s">
        <v>3572</v>
      </c>
    </row>
    <row r="6086" spans="1:14" x14ac:dyDescent="0.25">
      <c r="A6086" s="1" t="s">
        <v>14532</v>
      </c>
      <c r="B6086" s="3" t="s">
        <v>9699</v>
      </c>
      <c r="C6086" s="2">
        <f ca="1">IF(ISNUMBER(SEARCH(Лист2!$B$4,D:D)),MAX($C$3:OFFSET(C6086,-1,0))+1,0)</f>
        <v>0</v>
      </c>
      <c r="E6086" s="9" t="str">
        <f t="shared" ca="1" si="107"/>
        <v/>
      </c>
      <c r="F6086" s="4" t="s">
        <v>38</v>
      </c>
      <c r="G6086" s="2">
        <f>IF(ISNUMBER(SEARCH(Лист2!$B$4,F:F)),1,0)</f>
        <v>0</v>
      </c>
      <c r="H6086" s="3">
        <f ca="1">IF(AND(I6086&lt;&gt;I6085,ISNUMBER(SEARCH(Лист2!$B$5,I:I)),G6086=1),MAX($H$3:OFFSET(H6086,-1,0))+1,0)</f>
        <v>0</v>
      </c>
      <c r="I6086" s="3" t="s">
        <v>438</v>
      </c>
      <c r="K6086" s="2">
        <f>IF(ISNUMBER(SEARCH(Лист2!$B$4,F:F)),1,0)</f>
        <v>0</v>
      </c>
      <c r="L6086" s="14">
        <f>IF(ISNUMBER(SEARCH(Лист2!$B$5,I:I)),1,0)+K6086</f>
        <v>0</v>
      </c>
      <c r="M6086" s="3">
        <f ca="1">IF(AND(N6086&lt;&gt;N6085,ISNUMBER(SEARCH(Лист2!$B$6,N:N)),L6086=2),MAX($M$3:OFFSET(M6086,-1,0))+1,0)</f>
        <v>0</v>
      </c>
      <c r="N6086" s="3" t="s">
        <v>3518</v>
      </c>
    </row>
    <row r="6087" spans="1:14" x14ac:dyDescent="0.25">
      <c r="A6087" s="1" t="s">
        <v>14533</v>
      </c>
      <c r="B6087" s="3" t="s">
        <v>9700</v>
      </c>
      <c r="C6087" s="2">
        <f ca="1">IF(ISNUMBER(SEARCH(Лист2!$B$4,D:D)),MAX($C$3:OFFSET(C6087,-1,0))+1,0)</f>
        <v>0</v>
      </c>
      <c r="E6087" s="9" t="str">
        <f t="shared" ca="1" si="107"/>
        <v/>
      </c>
      <c r="F6087" s="4" t="s">
        <v>38</v>
      </c>
      <c r="G6087" s="2">
        <f>IF(ISNUMBER(SEARCH(Лист2!$B$4,F:F)),1,0)</f>
        <v>0</v>
      </c>
      <c r="H6087" s="3">
        <f ca="1">IF(AND(I6087&lt;&gt;I6086,ISNUMBER(SEARCH(Лист2!$B$5,I:I)),G6087=1),MAX($H$3:OFFSET(H6087,-1,0))+1,0)</f>
        <v>0</v>
      </c>
      <c r="I6087" s="3" t="s">
        <v>438</v>
      </c>
      <c r="K6087" s="2">
        <f>IF(ISNUMBER(SEARCH(Лист2!$B$4,F:F)),1,0)</f>
        <v>0</v>
      </c>
      <c r="L6087" s="14">
        <f>IF(ISNUMBER(SEARCH(Лист2!$B$5,I:I)),1,0)+K6087</f>
        <v>0</v>
      </c>
      <c r="M6087" s="3">
        <f ca="1">IF(AND(N6087&lt;&gt;N6086,ISNUMBER(SEARCH(Лист2!$B$6,N:N)),L6087=2),MAX($M$3:OFFSET(M6087,-1,0))+1,0)</f>
        <v>0</v>
      </c>
      <c r="N6087" s="3" t="s">
        <v>3573</v>
      </c>
    </row>
    <row r="6088" spans="1:14" x14ac:dyDescent="0.25">
      <c r="A6088" s="1" t="s">
        <v>14534</v>
      </c>
      <c r="B6088" s="3" t="s">
        <v>9701</v>
      </c>
      <c r="C6088" s="2">
        <f ca="1">IF(ISNUMBER(SEARCH(Лист2!$B$4,D:D)),MAX($C$3:OFFSET(C6088,-1,0))+1,0)</f>
        <v>0</v>
      </c>
      <c r="E6088" s="9" t="str">
        <f t="shared" ca="1" si="107"/>
        <v/>
      </c>
      <c r="F6088" s="4" t="s">
        <v>38</v>
      </c>
      <c r="G6088" s="2">
        <f>IF(ISNUMBER(SEARCH(Лист2!$B$4,F:F)),1,0)</f>
        <v>0</v>
      </c>
      <c r="H6088" s="3">
        <f ca="1">IF(AND(I6088&lt;&gt;I6087,ISNUMBER(SEARCH(Лист2!$B$5,I:I)),G6088=1),MAX($H$3:OFFSET(H6088,-1,0))+1,0)</f>
        <v>0</v>
      </c>
      <c r="I6088" s="3" t="s">
        <v>438</v>
      </c>
      <c r="K6088" s="2">
        <f>IF(ISNUMBER(SEARCH(Лист2!$B$4,F:F)),1,0)</f>
        <v>0</v>
      </c>
      <c r="L6088" s="14">
        <f>IF(ISNUMBER(SEARCH(Лист2!$B$5,I:I)),1,0)+K6088</f>
        <v>0</v>
      </c>
      <c r="M6088" s="3">
        <f ca="1">IF(AND(N6088&lt;&gt;N6087,ISNUMBER(SEARCH(Лист2!$B$6,N:N)),L6088=2),MAX($M$3:OFFSET(M6088,-1,0))+1,0)</f>
        <v>0</v>
      </c>
      <c r="N6088" s="3" t="s">
        <v>3574</v>
      </c>
    </row>
    <row r="6089" spans="1:14" x14ac:dyDescent="0.25">
      <c r="A6089" s="1" t="s">
        <v>14535</v>
      </c>
      <c r="B6089" s="3" t="s">
        <v>9702</v>
      </c>
      <c r="C6089" s="2">
        <f ca="1">IF(ISNUMBER(SEARCH(Лист2!$B$4,D:D)),MAX($C$3:OFFSET(C6089,-1,0))+1,0)</f>
        <v>0</v>
      </c>
      <c r="E6089" s="9" t="str">
        <f t="shared" ca="1" si="107"/>
        <v/>
      </c>
      <c r="F6089" s="4" t="s">
        <v>38</v>
      </c>
      <c r="G6089" s="2">
        <f>IF(ISNUMBER(SEARCH(Лист2!$B$4,F:F)),1,0)</f>
        <v>0</v>
      </c>
      <c r="H6089" s="3">
        <f ca="1">IF(AND(I6089&lt;&gt;I6088,ISNUMBER(SEARCH(Лист2!$B$5,I:I)),G6089=1),MAX($H$3:OFFSET(H6089,-1,0))+1,0)</f>
        <v>0</v>
      </c>
      <c r="I6089" s="3" t="s">
        <v>438</v>
      </c>
      <c r="K6089" s="2">
        <f>IF(ISNUMBER(SEARCH(Лист2!$B$4,F:F)),1,0)</f>
        <v>0</v>
      </c>
      <c r="L6089" s="14">
        <f>IF(ISNUMBER(SEARCH(Лист2!$B$5,I:I)),1,0)+K6089</f>
        <v>0</v>
      </c>
      <c r="M6089" s="3">
        <f ca="1">IF(AND(N6089&lt;&gt;N6088,ISNUMBER(SEARCH(Лист2!$B$6,N:N)),L6089=2),MAX($M$3:OFFSET(M6089,-1,0))+1,0)</f>
        <v>0</v>
      </c>
      <c r="N6089" s="3" t="s">
        <v>602</v>
      </c>
    </row>
    <row r="6090" spans="1:14" x14ac:dyDescent="0.25">
      <c r="A6090" s="1" t="s">
        <v>14536</v>
      </c>
      <c r="B6090" s="3" t="s">
        <v>9703</v>
      </c>
      <c r="C6090" s="2">
        <f ca="1">IF(ISNUMBER(SEARCH(Лист2!$B$4,D:D)),MAX($C$3:OFFSET(C6090,-1,0))+1,0)</f>
        <v>0</v>
      </c>
      <c r="E6090" s="9" t="str">
        <f t="shared" ca="1" si="107"/>
        <v/>
      </c>
      <c r="F6090" s="4" t="s">
        <v>38</v>
      </c>
      <c r="G6090" s="2">
        <f>IF(ISNUMBER(SEARCH(Лист2!$B$4,F:F)),1,0)</f>
        <v>0</v>
      </c>
      <c r="H6090" s="3">
        <f ca="1">IF(AND(I6090&lt;&gt;I6089,ISNUMBER(SEARCH(Лист2!$B$5,I:I)),G6090=1),MAX($H$3:OFFSET(H6090,-1,0))+1,0)</f>
        <v>0</v>
      </c>
      <c r="I6090" s="3" t="s">
        <v>438</v>
      </c>
      <c r="K6090" s="2">
        <f>IF(ISNUMBER(SEARCH(Лист2!$B$4,F:F)),1,0)</f>
        <v>0</v>
      </c>
      <c r="L6090" s="14">
        <f>IF(ISNUMBER(SEARCH(Лист2!$B$5,I:I)),1,0)+K6090</f>
        <v>0</v>
      </c>
      <c r="M6090" s="3">
        <f ca="1">IF(AND(N6090&lt;&gt;N6089,ISNUMBER(SEARCH(Лист2!$B$6,N:N)),L6090=2),MAX($M$3:OFFSET(M6090,-1,0))+1,0)</f>
        <v>0</v>
      </c>
      <c r="N6090" s="3" t="s">
        <v>537</v>
      </c>
    </row>
    <row r="6091" spans="1:14" x14ac:dyDescent="0.25">
      <c r="A6091" s="1" t="s">
        <v>14537</v>
      </c>
      <c r="B6091" s="3" t="s">
        <v>9704</v>
      </c>
      <c r="C6091" s="2">
        <f ca="1">IF(ISNUMBER(SEARCH(Лист2!$B$4,D:D)),MAX($C$3:OFFSET(C6091,-1,0))+1,0)</f>
        <v>0</v>
      </c>
      <c r="E6091" s="9" t="str">
        <f t="shared" ca="1" si="107"/>
        <v/>
      </c>
      <c r="F6091" s="4" t="s">
        <v>38</v>
      </c>
      <c r="G6091" s="2">
        <f>IF(ISNUMBER(SEARCH(Лист2!$B$4,F:F)),1,0)</f>
        <v>0</v>
      </c>
      <c r="H6091" s="3">
        <f ca="1">IF(AND(I6091&lt;&gt;I6090,ISNUMBER(SEARCH(Лист2!$B$5,I:I)),G6091=1),MAX($H$3:OFFSET(H6091,-1,0))+1,0)</f>
        <v>0</v>
      </c>
      <c r="I6091" s="3" t="s">
        <v>439</v>
      </c>
      <c r="K6091" s="2">
        <f>IF(ISNUMBER(SEARCH(Лист2!$B$4,F:F)),1,0)</f>
        <v>0</v>
      </c>
      <c r="L6091" s="14">
        <f>IF(ISNUMBER(SEARCH(Лист2!$B$5,I:I)),1,0)+K6091</f>
        <v>1</v>
      </c>
      <c r="M6091" s="3">
        <f ca="1">IF(AND(N6091&lt;&gt;N6090,ISNUMBER(SEARCH(Лист2!$B$6,N:N)),L6091=2),MAX($M$3:OFFSET(M6091,-1,0))+1,0)</f>
        <v>0</v>
      </c>
      <c r="N6091" s="3" t="s">
        <v>3575</v>
      </c>
    </row>
    <row r="6092" spans="1:14" x14ac:dyDescent="0.25">
      <c r="A6092" s="1" t="s">
        <v>14538</v>
      </c>
      <c r="B6092" s="3" t="s">
        <v>9705</v>
      </c>
      <c r="C6092" s="2">
        <f ca="1">IF(ISNUMBER(SEARCH(Лист2!$B$4,D:D)),MAX($C$3:OFFSET(C6092,-1,0))+1,0)</f>
        <v>0</v>
      </c>
      <c r="E6092" s="9" t="str">
        <f t="shared" ca="1" si="107"/>
        <v/>
      </c>
      <c r="F6092" s="4" t="s">
        <v>38</v>
      </c>
      <c r="G6092" s="2">
        <f>IF(ISNUMBER(SEARCH(Лист2!$B$4,F:F)),1,0)</f>
        <v>0</v>
      </c>
      <c r="H6092" s="3">
        <f ca="1">IF(AND(I6092&lt;&gt;I6091,ISNUMBER(SEARCH(Лист2!$B$5,I:I)),G6092=1),MAX($H$3:OFFSET(H6092,-1,0))+1,0)</f>
        <v>0</v>
      </c>
      <c r="I6092" s="3" t="s">
        <v>439</v>
      </c>
      <c r="K6092" s="2">
        <f>IF(ISNUMBER(SEARCH(Лист2!$B$4,F:F)),1,0)</f>
        <v>0</v>
      </c>
      <c r="L6092" s="14">
        <f>IF(ISNUMBER(SEARCH(Лист2!$B$5,I:I)),1,0)+K6092</f>
        <v>1</v>
      </c>
      <c r="M6092" s="3">
        <f ca="1">IF(AND(N6092&lt;&gt;N6091,ISNUMBER(SEARCH(Лист2!$B$6,N:N)),L6092=2),MAX($M$3:OFFSET(M6092,-1,0))+1,0)</f>
        <v>0</v>
      </c>
      <c r="N6092" s="3" t="s">
        <v>3576</v>
      </c>
    </row>
    <row r="6093" spans="1:14" x14ac:dyDescent="0.25">
      <c r="A6093" s="1" t="s">
        <v>14539</v>
      </c>
      <c r="B6093" s="3" t="s">
        <v>9706</v>
      </c>
      <c r="C6093" s="2">
        <f ca="1">IF(ISNUMBER(SEARCH(Лист2!$B$4,D:D)),MAX($C$3:OFFSET(C6093,-1,0))+1,0)</f>
        <v>0</v>
      </c>
      <c r="E6093" s="9" t="str">
        <f t="shared" ca="1" si="107"/>
        <v/>
      </c>
      <c r="F6093" s="4" t="s">
        <v>38</v>
      </c>
      <c r="G6093" s="2">
        <f>IF(ISNUMBER(SEARCH(Лист2!$B$4,F:F)),1,0)</f>
        <v>0</v>
      </c>
      <c r="H6093" s="3">
        <f ca="1">IF(AND(I6093&lt;&gt;I6092,ISNUMBER(SEARCH(Лист2!$B$5,I:I)),G6093=1),MAX($H$3:OFFSET(H6093,-1,0))+1,0)</f>
        <v>0</v>
      </c>
      <c r="I6093" s="3" t="s">
        <v>439</v>
      </c>
      <c r="K6093" s="2">
        <f>IF(ISNUMBER(SEARCH(Лист2!$B$4,F:F)),1,0)</f>
        <v>0</v>
      </c>
      <c r="L6093" s="14">
        <f>IF(ISNUMBER(SEARCH(Лист2!$B$5,I:I)),1,0)+K6093</f>
        <v>1</v>
      </c>
      <c r="M6093" s="3">
        <f ca="1">IF(AND(N6093&lt;&gt;N6092,ISNUMBER(SEARCH(Лист2!$B$6,N:N)),L6093=2),MAX($M$3:OFFSET(M6093,-1,0))+1,0)</f>
        <v>0</v>
      </c>
      <c r="N6093" s="3" t="s">
        <v>3577</v>
      </c>
    </row>
    <row r="6094" spans="1:14" x14ac:dyDescent="0.25">
      <c r="A6094" s="1" t="s">
        <v>14540</v>
      </c>
      <c r="B6094" s="3" t="s">
        <v>9707</v>
      </c>
      <c r="C6094" s="2">
        <f ca="1">IF(ISNUMBER(SEARCH(Лист2!$B$4,D:D)),MAX($C$3:OFFSET(C6094,-1,0))+1,0)</f>
        <v>0</v>
      </c>
      <c r="E6094" s="9" t="str">
        <f t="shared" ca="1" si="107"/>
        <v/>
      </c>
      <c r="F6094" s="4" t="s">
        <v>38</v>
      </c>
      <c r="G6094" s="2">
        <f>IF(ISNUMBER(SEARCH(Лист2!$B$4,F:F)),1,0)</f>
        <v>0</v>
      </c>
      <c r="H6094" s="3">
        <f ca="1">IF(AND(I6094&lt;&gt;I6093,ISNUMBER(SEARCH(Лист2!$B$5,I:I)),G6094=1),MAX($H$3:OFFSET(H6094,-1,0))+1,0)</f>
        <v>0</v>
      </c>
      <c r="I6094" s="3" t="s">
        <v>439</v>
      </c>
      <c r="K6094" s="2">
        <f>IF(ISNUMBER(SEARCH(Лист2!$B$4,F:F)),1,0)</f>
        <v>0</v>
      </c>
      <c r="L6094" s="14">
        <f>IF(ISNUMBER(SEARCH(Лист2!$B$5,I:I)),1,0)+K6094</f>
        <v>1</v>
      </c>
      <c r="M6094" s="3">
        <f ca="1">IF(AND(N6094&lt;&gt;N6093,ISNUMBER(SEARCH(Лист2!$B$6,N:N)),L6094=2),MAX($M$3:OFFSET(M6094,-1,0))+1,0)</f>
        <v>0</v>
      </c>
      <c r="N6094" s="3" t="s">
        <v>3578</v>
      </c>
    </row>
    <row r="6095" spans="1:14" x14ac:dyDescent="0.25">
      <c r="A6095" s="1" t="s">
        <v>14541</v>
      </c>
      <c r="B6095" s="3" t="s">
        <v>9708</v>
      </c>
      <c r="C6095" s="2">
        <f ca="1">IF(ISNUMBER(SEARCH(Лист2!$B$4,D:D)),MAX($C$3:OFFSET(C6095,-1,0))+1,0)</f>
        <v>0</v>
      </c>
      <c r="E6095" s="9" t="str">
        <f t="shared" ca="1" si="107"/>
        <v/>
      </c>
      <c r="F6095" s="4" t="s">
        <v>38</v>
      </c>
      <c r="G6095" s="2">
        <f>IF(ISNUMBER(SEARCH(Лист2!$B$4,F:F)),1,0)</f>
        <v>0</v>
      </c>
      <c r="H6095" s="3">
        <f ca="1">IF(AND(I6095&lt;&gt;I6094,ISNUMBER(SEARCH(Лист2!$B$5,I:I)),G6095=1),MAX($H$3:OFFSET(H6095,-1,0))+1,0)</f>
        <v>0</v>
      </c>
      <c r="I6095" s="3" t="s">
        <v>439</v>
      </c>
      <c r="K6095" s="2">
        <f>IF(ISNUMBER(SEARCH(Лист2!$B$4,F:F)),1,0)</f>
        <v>0</v>
      </c>
      <c r="L6095" s="14">
        <f>IF(ISNUMBER(SEARCH(Лист2!$B$5,I:I)),1,0)+K6095</f>
        <v>1</v>
      </c>
      <c r="M6095" s="3">
        <f ca="1">IF(AND(N6095&lt;&gt;N6094,ISNUMBER(SEARCH(Лист2!$B$6,N:N)),L6095=2),MAX($M$3:OFFSET(M6095,-1,0))+1,0)</f>
        <v>0</v>
      </c>
      <c r="N6095" s="3" t="s">
        <v>3579</v>
      </c>
    </row>
    <row r="6096" spans="1:14" x14ac:dyDescent="0.25">
      <c r="A6096" s="1" t="s">
        <v>14542</v>
      </c>
      <c r="B6096" s="3" t="s">
        <v>9709</v>
      </c>
      <c r="C6096" s="2">
        <f ca="1">IF(ISNUMBER(SEARCH(Лист2!$B$4,D:D)),MAX($C$3:OFFSET(C6096,-1,0))+1,0)</f>
        <v>0</v>
      </c>
      <c r="E6096" s="9" t="str">
        <f t="shared" ca="1" si="107"/>
        <v/>
      </c>
      <c r="F6096" s="4" t="s">
        <v>38</v>
      </c>
      <c r="G6096" s="2">
        <f>IF(ISNUMBER(SEARCH(Лист2!$B$4,F:F)),1,0)</f>
        <v>0</v>
      </c>
      <c r="H6096" s="3">
        <f ca="1">IF(AND(I6096&lt;&gt;I6095,ISNUMBER(SEARCH(Лист2!$B$5,I:I)),G6096=1),MAX($H$3:OFFSET(H6096,-1,0))+1,0)</f>
        <v>0</v>
      </c>
      <c r="I6096" s="3" t="s">
        <v>439</v>
      </c>
      <c r="K6096" s="2">
        <f>IF(ISNUMBER(SEARCH(Лист2!$B$4,F:F)),1,0)</f>
        <v>0</v>
      </c>
      <c r="L6096" s="14">
        <f>IF(ISNUMBER(SEARCH(Лист2!$B$5,I:I)),1,0)+K6096</f>
        <v>1</v>
      </c>
      <c r="M6096" s="3">
        <f ca="1">IF(AND(N6096&lt;&gt;N6095,ISNUMBER(SEARCH(Лист2!$B$6,N:N)),L6096=2),MAX($M$3:OFFSET(M6096,-1,0))+1,0)</f>
        <v>0</v>
      </c>
      <c r="N6096" s="3" t="s">
        <v>3580</v>
      </c>
    </row>
    <row r="6097" spans="1:14" x14ac:dyDescent="0.25">
      <c r="A6097" s="1" t="s">
        <v>14543</v>
      </c>
      <c r="B6097" s="3" t="s">
        <v>9710</v>
      </c>
      <c r="C6097" s="2">
        <f ca="1">IF(ISNUMBER(SEARCH(Лист2!$B$4,D:D)),MAX($C$3:OFFSET(C6097,-1,0))+1,0)</f>
        <v>0</v>
      </c>
      <c r="E6097" s="9" t="str">
        <f t="shared" ca="1" si="107"/>
        <v/>
      </c>
      <c r="F6097" s="4" t="s">
        <v>38</v>
      </c>
      <c r="G6097" s="2">
        <f>IF(ISNUMBER(SEARCH(Лист2!$B$4,F:F)),1,0)</f>
        <v>0</v>
      </c>
      <c r="H6097" s="3">
        <f ca="1">IF(AND(I6097&lt;&gt;I6096,ISNUMBER(SEARCH(Лист2!$B$5,I:I)),G6097=1),MAX($H$3:OFFSET(H6097,-1,0))+1,0)</f>
        <v>0</v>
      </c>
      <c r="I6097" s="3" t="s">
        <v>439</v>
      </c>
      <c r="K6097" s="2">
        <f>IF(ISNUMBER(SEARCH(Лист2!$B$4,F:F)),1,0)</f>
        <v>0</v>
      </c>
      <c r="L6097" s="14">
        <f>IF(ISNUMBER(SEARCH(Лист2!$B$5,I:I)),1,0)+K6097</f>
        <v>1</v>
      </c>
      <c r="M6097" s="3">
        <f ca="1">IF(AND(N6097&lt;&gt;N6096,ISNUMBER(SEARCH(Лист2!$B$6,N:N)),L6097=2),MAX($M$3:OFFSET(M6097,-1,0))+1,0)</f>
        <v>0</v>
      </c>
      <c r="N6097" s="3" t="s">
        <v>3581</v>
      </c>
    </row>
    <row r="6098" spans="1:14" x14ac:dyDescent="0.25">
      <c r="A6098" s="1" t="s">
        <v>14544</v>
      </c>
      <c r="B6098" s="3" t="s">
        <v>9711</v>
      </c>
      <c r="C6098" s="2">
        <f ca="1">IF(ISNUMBER(SEARCH(Лист2!$B$4,D:D)),MAX($C$3:OFFSET(C6098,-1,0))+1,0)</f>
        <v>0</v>
      </c>
      <c r="E6098" s="9" t="str">
        <f t="shared" ca="1" si="107"/>
        <v/>
      </c>
      <c r="F6098" s="4" t="s">
        <v>38</v>
      </c>
      <c r="G6098" s="2">
        <f>IF(ISNUMBER(SEARCH(Лист2!$B$4,F:F)),1,0)</f>
        <v>0</v>
      </c>
      <c r="H6098" s="3">
        <f ca="1">IF(AND(I6098&lt;&gt;I6097,ISNUMBER(SEARCH(Лист2!$B$5,I:I)),G6098=1),MAX($H$3:OFFSET(H6098,-1,0))+1,0)</f>
        <v>0</v>
      </c>
      <c r="I6098" s="3" t="s">
        <v>439</v>
      </c>
      <c r="K6098" s="2">
        <f>IF(ISNUMBER(SEARCH(Лист2!$B$4,F:F)),1,0)</f>
        <v>0</v>
      </c>
      <c r="L6098" s="14">
        <f>IF(ISNUMBER(SEARCH(Лист2!$B$5,I:I)),1,0)+K6098</f>
        <v>1</v>
      </c>
      <c r="M6098" s="3">
        <f ca="1">IF(AND(N6098&lt;&gt;N6097,ISNUMBER(SEARCH(Лист2!$B$6,N:N)),L6098=2),MAX($M$3:OFFSET(M6098,-1,0))+1,0)</f>
        <v>0</v>
      </c>
      <c r="N6098" s="3" t="s">
        <v>3555</v>
      </c>
    </row>
    <row r="6099" spans="1:14" x14ac:dyDescent="0.25">
      <c r="A6099" s="1" t="s">
        <v>14545</v>
      </c>
      <c r="B6099" s="3" t="s">
        <v>9712</v>
      </c>
      <c r="C6099" s="2">
        <f ca="1">IF(ISNUMBER(SEARCH(Лист2!$B$4,D:D)),MAX($C$3:OFFSET(C6099,-1,0))+1,0)</f>
        <v>0</v>
      </c>
      <c r="E6099" s="9" t="str">
        <f t="shared" ca="1" si="107"/>
        <v/>
      </c>
      <c r="F6099" s="4" t="s">
        <v>38</v>
      </c>
      <c r="G6099" s="2">
        <f>IF(ISNUMBER(SEARCH(Лист2!$B$4,F:F)),1,0)</f>
        <v>0</v>
      </c>
      <c r="H6099" s="3">
        <f ca="1">IF(AND(I6099&lt;&gt;I6098,ISNUMBER(SEARCH(Лист2!$B$5,I:I)),G6099=1),MAX($H$3:OFFSET(H6099,-1,0))+1,0)</f>
        <v>0</v>
      </c>
      <c r="I6099" s="3" t="s">
        <v>439</v>
      </c>
      <c r="K6099" s="2">
        <f>IF(ISNUMBER(SEARCH(Лист2!$B$4,F:F)),1,0)</f>
        <v>0</v>
      </c>
      <c r="L6099" s="14">
        <f>IF(ISNUMBER(SEARCH(Лист2!$B$5,I:I)),1,0)+K6099</f>
        <v>1</v>
      </c>
      <c r="M6099" s="3">
        <f ca="1">IF(AND(N6099&lt;&gt;N6098,ISNUMBER(SEARCH(Лист2!$B$6,N:N)),L6099=2),MAX($M$3:OFFSET(M6099,-1,0))+1,0)</f>
        <v>0</v>
      </c>
      <c r="N6099" s="3" t="s">
        <v>3582</v>
      </c>
    </row>
    <row r="6100" spans="1:14" x14ac:dyDescent="0.25">
      <c r="A6100" s="1" t="s">
        <v>14546</v>
      </c>
      <c r="B6100" s="3" t="s">
        <v>9713</v>
      </c>
      <c r="C6100" s="2">
        <f ca="1">IF(ISNUMBER(SEARCH(Лист2!$B$4,D:D)),MAX($C$3:OFFSET(C6100,-1,0))+1,0)</f>
        <v>0</v>
      </c>
      <c r="E6100" s="9" t="str">
        <f t="shared" ca="1" si="107"/>
        <v/>
      </c>
      <c r="F6100" s="4" t="s">
        <v>38</v>
      </c>
      <c r="G6100" s="2">
        <f>IF(ISNUMBER(SEARCH(Лист2!$B$4,F:F)),1,0)</f>
        <v>0</v>
      </c>
      <c r="H6100" s="3">
        <f ca="1">IF(AND(I6100&lt;&gt;I6099,ISNUMBER(SEARCH(Лист2!$B$5,I:I)),G6100=1),MAX($H$3:OFFSET(H6100,-1,0))+1,0)</f>
        <v>0</v>
      </c>
      <c r="I6100" s="3" t="s">
        <v>439</v>
      </c>
      <c r="K6100" s="2">
        <f>IF(ISNUMBER(SEARCH(Лист2!$B$4,F:F)),1,0)</f>
        <v>0</v>
      </c>
      <c r="L6100" s="14">
        <f>IF(ISNUMBER(SEARCH(Лист2!$B$5,I:I)),1,0)+K6100</f>
        <v>1</v>
      </c>
      <c r="M6100" s="3">
        <f ca="1">IF(AND(N6100&lt;&gt;N6099,ISNUMBER(SEARCH(Лист2!$B$6,N:N)),L6100=2),MAX($M$3:OFFSET(M6100,-1,0))+1,0)</f>
        <v>0</v>
      </c>
      <c r="N6100" s="3" t="s">
        <v>3583</v>
      </c>
    </row>
    <row r="6101" spans="1:14" x14ac:dyDescent="0.25">
      <c r="A6101" s="1" t="s">
        <v>14547</v>
      </c>
      <c r="B6101" s="3" t="s">
        <v>9714</v>
      </c>
      <c r="C6101" s="2">
        <f ca="1">IF(ISNUMBER(SEARCH(Лист2!$B$4,D:D)),MAX($C$3:OFFSET(C6101,-1,0))+1,0)</f>
        <v>0</v>
      </c>
      <c r="E6101" s="9" t="str">
        <f t="shared" ca="1" si="107"/>
        <v/>
      </c>
      <c r="F6101" s="4" t="s">
        <v>38</v>
      </c>
      <c r="G6101" s="2">
        <f>IF(ISNUMBER(SEARCH(Лист2!$B$4,F:F)),1,0)</f>
        <v>0</v>
      </c>
      <c r="H6101" s="3">
        <f ca="1">IF(AND(I6101&lt;&gt;I6100,ISNUMBER(SEARCH(Лист2!$B$5,I:I)),G6101=1),MAX($H$3:OFFSET(H6101,-1,0))+1,0)</f>
        <v>0</v>
      </c>
      <c r="I6101" s="3" t="s">
        <v>439</v>
      </c>
      <c r="K6101" s="2">
        <f>IF(ISNUMBER(SEARCH(Лист2!$B$4,F:F)),1,0)</f>
        <v>0</v>
      </c>
      <c r="L6101" s="14">
        <f>IF(ISNUMBER(SEARCH(Лист2!$B$5,I:I)),1,0)+K6101</f>
        <v>1</v>
      </c>
      <c r="M6101" s="3">
        <f ca="1">IF(AND(N6101&lt;&gt;N6100,ISNUMBER(SEARCH(Лист2!$B$6,N:N)),L6101=2),MAX($M$3:OFFSET(M6101,-1,0))+1,0)</f>
        <v>0</v>
      </c>
      <c r="N6101" s="3" t="s">
        <v>602</v>
      </c>
    </row>
    <row r="6102" spans="1:14" x14ac:dyDescent="0.25">
      <c r="A6102" s="1" t="s">
        <v>14548</v>
      </c>
      <c r="B6102" s="3" t="s">
        <v>9715</v>
      </c>
      <c r="C6102" s="2">
        <f ca="1">IF(ISNUMBER(SEARCH(Лист2!$B$4,D:D)),MAX($C$3:OFFSET(C6102,-1,0))+1,0)</f>
        <v>0</v>
      </c>
      <c r="E6102" s="9" t="str">
        <f t="shared" ca="1" si="107"/>
        <v/>
      </c>
      <c r="F6102" s="4" t="s">
        <v>38</v>
      </c>
      <c r="G6102" s="2">
        <f>IF(ISNUMBER(SEARCH(Лист2!$B$4,F:F)),1,0)</f>
        <v>0</v>
      </c>
      <c r="H6102" s="3">
        <f ca="1">IF(AND(I6102&lt;&gt;I6101,ISNUMBER(SEARCH(Лист2!$B$5,I:I)),G6102=1),MAX($H$3:OFFSET(H6102,-1,0))+1,0)</f>
        <v>0</v>
      </c>
      <c r="I6102" s="3" t="s">
        <v>439</v>
      </c>
      <c r="K6102" s="2">
        <f>IF(ISNUMBER(SEARCH(Лист2!$B$4,F:F)),1,0)</f>
        <v>0</v>
      </c>
      <c r="L6102" s="14">
        <f>IF(ISNUMBER(SEARCH(Лист2!$B$5,I:I)),1,0)+K6102</f>
        <v>1</v>
      </c>
      <c r="M6102" s="3">
        <f ca="1">IF(AND(N6102&lt;&gt;N6101,ISNUMBER(SEARCH(Лист2!$B$6,N:N)),L6102=2),MAX($M$3:OFFSET(M6102,-1,0))+1,0)</f>
        <v>0</v>
      </c>
      <c r="N6102" s="3" t="s">
        <v>549</v>
      </c>
    </row>
    <row r="6103" spans="1:14" x14ac:dyDescent="0.25">
      <c r="A6103" s="1" t="s">
        <v>14549</v>
      </c>
      <c r="B6103" s="3" t="s">
        <v>9716</v>
      </c>
      <c r="C6103" s="2">
        <f ca="1">IF(ISNUMBER(SEARCH(Лист2!$B$4,D:D)),MAX($C$3:OFFSET(C6103,-1,0))+1,0)</f>
        <v>0</v>
      </c>
      <c r="E6103" s="9" t="str">
        <f t="shared" ca="1" si="107"/>
        <v/>
      </c>
      <c r="F6103" s="4" t="s">
        <v>38</v>
      </c>
      <c r="G6103" s="2">
        <f>IF(ISNUMBER(SEARCH(Лист2!$B$4,F:F)),1,0)</f>
        <v>0</v>
      </c>
      <c r="H6103" s="3">
        <f ca="1">IF(AND(I6103&lt;&gt;I6102,ISNUMBER(SEARCH(Лист2!$B$5,I:I)),G6103=1),MAX($H$3:OFFSET(H6103,-1,0))+1,0)</f>
        <v>0</v>
      </c>
      <c r="I6103" s="3" t="s">
        <v>486</v>
      </c>
      <c r="K6103" s="2">
        <f>IF(ISNUMBER(SEARCH(Лист2!$B$4,F:F)),1,0)</f>
        <v>0</v>
      </c>
      <c r="L6103" s="14">
        <f>IF(ISNUMBER(SEARCH(Лист2!$B$5,I:I)),1,0)+K6103</f>
        <v>0</v>
      </c>
      <c r="M6103" s="3">
        <f ca="1">IF(AND(N6103&lt;&gt;N6102,ISNUMBER(SEARCH(Лист2!$B$6,N:N)),L6103=2),MAX($M$3:OFFSET(M6103,-1,0))+1,0)</f>
        <v>0</v>
      </c>
      <c r="N6103" s="3" t="s">
        <v>3584</v>
      </c>
    </row>
    <row r="6104" spans="1:14" x14ac:dyDescent="0.25">
      <c r="A6104" s="1" t="s">
        <v>14550</v>
      </c>
      <c r="B6104" s="3" t="s">
        <v>9717</v>
      </c>
      <c r="C6104" s="2">
        <f ca="1">IF(ISNUMBER(SEARCH(Лист2!$B$4,D:D)),MAX($C$3:OFFSET(C6104,-1,0))+1,0)</f>
        <v>0</v>
      </c>
      <c r="E6104" s="9" t="str">
        <f t="shared" ca="1" si="107"/>
        <v/>
      </c>
      <c r="F6104" s="4" t="s">
        <v>38</v>
      </c>
      <c r="G6104" s="2">
        <f>IF(ISNUMBER(SEARCH(Лист2!$B$4,F:F)),1,0)</f>
        <v>0</v>
      </c>
      <c r="H6104" s="3">
        <f ca="1">IF(AND(I6104&lt;&gt;I6103,ISNUMBER(SEARCH(Лист2!$B$5,I:I)),G6104=1),MAX($H$3:OFFSET(H6104,-1,0))+1,0)</f>
        <v>0</v>
      </c>
      <c r="I6104" s="3" t="s">
        <v>486</v>
      </c>
      <c r="K6104" s="2">
        <f>IF(ISNUMBER(SEARCH(Лист2!$B$4,F:F)),1,0)</f>
        <v>0</v>
      </c>
      <c r="L6104" s="14">
        <f>IF(ISNUMBER(SEARCH(Лист2!$B$5,I:I)),1,0)+K6104</f>
        <v>0</v>
      </c>
      <c r="M6104" s="3">
        <f ca="1">IF(AND(N6104&lt;&gt;N6103,ISNUMBER(SEARCH(Лист2!$B$6,N:N)),L6104=2),MAX($M$3:OFFSET(M6104,-1,0))+1,0)</f>
        <v>0</v>
      </c>
      <c r="N6104" s="3" t="s">
        <v>3585</v>
      </c>
    </row>
    <row r="6105" spans="1:14" x14ac:dyDescent="0.25">
      <c r="A6105" s="1" t="s">
        <v>14551</v>
      </c>
      <c r="B6105" s="3" t="s">
        <v>9718</v>
      </c>
      <c r="C6105" s="2">
        <f ca="1">IF(ISNUMBER(SEARCH(Лист2!$B$4,D:D)),MAX($C$3:OFFSET(C6105,-1,0))+1,0)</f>
        <v>0</v>
      </c>
      <c r="E6105" s="9" t="str">
        <f t="shared" ca="1" si="107"/>
        <v/>
      </c>
      <c r="F6105" s="4" t="s">
        <v>38</v>
      </c>
      <c r="G6105" s="2">
        <f>IF(ISNUMBER(SEARCH(Лист2!$B$4,F:F)),1,0)</f>
        <v>0</v>
      </c>
      <c r="H6105" s="3">
        <f ca="1">IF(AND(I6105&lt;&gt;I6104,ISNUMBER(SEARCH(Лист2!$B$5,I:I)),G6105=1),MAX($H$3:OFFSET(H6105,-1,0))+1,0)</f>
        <v>0</v>
      </c>
      <c r="I6105" s="3" t="s">
        <v>486</v>
      </c>
      <c r="K6105" s="2">
        <f>IF(ISNUMBER(SEARCH(Лист2!$B$4,F:F)),1,0)</f>
        <v>0</v>
      </c>
      <c r="L6105" s="14">
        <f>IF(ISNUMBER(SEARCH(Лист2!$B$5,I:I)),1,0)+K6105</f>
        <v>0</v>
      </c>
      <c r="M6105" s="3">
        <f ca="1">IF(AND(N6105&lt;&gt;N6104,ISNUMBER(SEARCH(Лист2!$B$6,N:N)),L6105=2),MAX($M$3:OFFSET(M6105,-1,0))+1,0)</f>
        <v>0</v>
      </c>
      <c r="N6105" s="3" t="s">
        <v>3586</v>
      </c>
    </row>
    <row r="6106" spans="1:14" x14ac:dyDescent="0.25">
      <c r="A6106" s="1" t="s">
        <v>14552</v>
      </c>
      <c r="B6106" s="3" t="s">
        <v>9719</v>
      </c>
      <c r="C6106" s="2">
        <f ca="1">IF(ISNUMBER(SEARCH(Лист2!$B$4,D:D)),MAX($C$3:OFFSET(C6106,-1,0))+1,0)</f>
        <v>0</v>
      </c>
      <c r="E6106" s="9" t="str">
        <f t="shared" ca="1" si="107"/>
        <v/>
      </c>
      <c r="F6106" s="4" t="s">
        <v>38</v>
      </c>
      <c r="G6106" s="2">
        <f>IF(ISNUMBER(SEARCH(Лист2!$B$4,F:F)),1,0)</f>
        <v>0</v>
      </c>
      <c r="H6106" s="3">
        <f ca="1">IF(AND(I6106&lt;&gt;I6105,ISNUMBER(SEARCH(Лист2!$B$5,I:I)),G6106=1),MAX($H$3:OFFSET(H6106,-1,0))+1,0)</f>
        <v>0</v>
      </c>
      <c r="I6106" s="3" t="s">
        <v>486</v>
      </c>
      <c r="K6106" s="2">
        <f>IF(ISNUMBER(SEARCH(Лист2!$B$4,F:F)),1,0)</f>
        <v>0</v>
      </c>
      <c r="L6106" s="14">
        <f>IF(ISNUMBER(SEARCH(Лист2!$B$5,I:I)),1,0)+K6106</f>
        <v>0</v>
      </c>
      <c r="M6106" s="3">
        <f ca="1">IF(AND(N6106&lt;&gt;N6105,ISNUMBER(SEARCH(Лист2!$B$6,N:N)),L6106=2),MAX($M$3:OFFSET(M6106,-1,0))+1,0)</f>
        <v>0</v>
      </c>
      <c r="N6106" s="3" t="s">
        <v>3587</v>
      </c>
    </row>
    <row r="6107" spans="1:14" x14ac:dyDescent="0.25">
      <c r="A6107" s="1" t="s">
        <v>14553</v>
      </c>
      <c r="B6107" s="3" t="s">
        <v>9720</v>
      </c>
      <c r="C6107" s="2">
        <f ca="1">IF(ISNUMBER(SEARCH(Лист2!$B$4,D:D)),MAX($C$3:OFFSET(C6107,-1,0))+1,0)</f>
        <v>0</v>
      </c>
      <c r="E6107" s="9" t="str">
        <f t="shared" ca="1" si="107"/>
        <v/>
      </c>
      <c r="F6107" s="4" t="s">
        <v>38</v>
      </c>
      <c r="G6107" s="2">
        <f>IF(ISNUMBER(SEARCH(Лист2!$B$4,F:F)),1,0)</f>
        <v>0</v>
      </c>
      <c r="H6107" s="3">
        <f ca="1">IF(AND(I6107&lt;&gt;I6106,ISNUMBER(SEARCH(Лист2!$B$5,I:I)),G6107=1),MAX($H$3:OFFSET(H6107,-1,0))+1,0)</f>
        <v>0</v>
      </c>
      <c r="I6107" s="3" t="s">
        <v>486</v>
      </c>
      <c r="K6107" s="2">
        <f>IF(ISNUMBER(SEARCH(Лист2!$B$4,F:F)),1,0)</f>
        <v>0</v>
      </c>
      <c r="L6107" s="14">
        <f>IF(ISNUMBER(SEARCH(Лист2!$B$5,I:I)),1,0)+K6107</f>
        <v>0</v>
      </c>
      <c r="M6107" s="3">
        <f ca="1">IF(AND(N6107&lt;&gt;N6106,ISNUMBER(SEARCH(Лист2!$B$6,N:N)),L6107=2),MAX($M$3:OFFSET(M6107,-1,0))+1,0)</f>
        <v>0</v>
      </c>
      <c r="N6107" s="3" t="s">
        <v>3588</v>
      </c>
    </row>
    <row r="6108" spans="1:14" x14ac:dyDescent="0.25">
      <c r="A6108" s="1" t="s">
        <v>14554</v>
      </c>
      <c r="B6108" s="3" t="s">
        <v>9721</v>
      </c>
      <c r="C6108" s="2">
        <f ca="1">IF(ISNUMBER(SEARCH(Лист2!$B$4,D:D)),MAX($C$3:OFFSET(C6108,-1,0))+1,0)</f>
        <v>0</v>
      </c>
      <c r="E6108" s="9" t="str">
        <f t="shared" ca="1" si="107"/>
        <v/>
      </c>
      <c r="F6108" s="4" t="s">
        <v>38</v>
      </c>
      <c r="G6108" s="2">
        <f>IF(ISNUMBER(SEARCH(Лист2!$B$4,F:F)),1,0)</f>
        <v>0</v>
      </c>
      <c r="H6108" s="3">
        <f ca="1">IF(AND(I6108&lt;&gt;I6107,ISNUMBER(SEARCH(Лист2!$B$5,I:I)),G6108=1),MAX($H$3:OFFSET(H6108,-1,0))+1,0)</f>
        <v>0</v>
      </c>
      <c r="I6108" s="3" t="s">
        <v>486</v>
      </c>
      <c r="K6108" s="2">
        <f>IF(ISNUMBER(SEARCH(Лист2!$B$4,F:F)),1,0)</f>
        <v>0</v>
      </c>
      <c r="L6108" s="14">
        <f>IF(ISNUMBER(SEARCH(Лист2!$B$5,I:I)),1,0)+K6108</f>
        <v>0</v>
      </c>
      <c r="M6108" s="3">
        <f ca="1">IF(AND(N6108&lt;&gt;N6107,ISNUMBER(SEARCH(Лист2!$B$6,N:N)),L6108=2),MAX($M$3:OFFSET(M6108,-1,0))+1,0)</f>
        <v>0</v>
      </c>
      <c r="N6108" s="3" t="s">
        <v>3589</v>
      </c>
    </row>
    <row r="6109" spans="1:14" x14ac:dyDescent="0.25">
      <c r="A6109" s="1" t="s">
        <v>14555</v>
      </c>
      <c r="B6109" s="3" t="s">
        <v>9722</v>
      </c>
      <c r="C6109" s="2">
        <f ca="1">IF(ISNUMBER(SEARCH(Лист2!$B$4,D:D)),MAX($C$3:OFFSET(C6109,-1,0))+1,0)</f>
        <v>0</v>
      </c>
      <c r="E6109" s="9" t="str">
        <f t="shared" ca="1" si="107"/>
        <v/>
      </c>
      <c r="F6109" s="4" t="s">
        <v>38</v>
      </c>
      <c r="G6109" s="2">
        <f>IF(ISNUMBER(SEARCH(Лист2!$B$4,F:F)),1,0)</f>
        <v>0</v>
      </c>
      <c r="H6109" s="3">
        <f ca="1">IF(AND(I6109&lt;&gt;I6108,ISNUMBER(SEARCH(Лист2!$B$5,I:I)),G6109=1),MAX($H$3:OFFSET(H6109,-1,0))+1,0)</f>
        <v>0</v>
      </c>
      <c r="I6109" s="3" t="s">
        <v>486</v>
      </c>
      <c r="K6109" s="2">
        <f>IF(ISNUMBER(SEARCH(Лист2!$B$4,F:F)),1,0)</f>
        <v>0</v>
      </c>
      <c r="L6109" s="14">
        <f>IF(ISNUMBER(SEARCH(Лист2!$B$5,I:I)),1,0)+K6109</f>
        <v>0</v>
      </c>
      <c r="M6109" s="3">
        <f ca="1">IF(AND(N6109&lt;&gt;N6108,ISNUMBER(SEARCH(Лист2!$B$6,N:N)),L6109=2),MAX($M$3:OFFSET(M6109,-1,0))+1,0)</f>
        <v>0</v>
      </c>
      <c r="N6109" s="3" t="s">
        <v>3518</v>
      </c>
    </row>
    <row r="6110" spans="1:14" x14ac:dyDescent="0.25">
      <c r="A6110" s="1" t="s">
        <v>14556</v>
      </c>
      <c r="B6110" s="3" t="s">
        <v>9723</v>
      </c>
      <c r="C6110" s="2">
        <f ca="1">IF(ISNUMBER(SEARCH(Лист2!$B$4,D:D)),MAX($C$3:OFFSET(C6110,-1,0))+1,0)</f>
        <v>0</v>
      </c>
      <c r="E6110" s="9" t="str">
        <f t="shared" ca="1" si="107"/>
        <v/>
      </c>
      <c r="F6110" s="4" t="s">
        <v>38</v>
      </c>
      <c r="G6110" s="2">
        <f>IF(ISNUMBER(SEARCH(Лист2!$B$4,F:F)),1,0)</f>
        <v>0</v>
      </c>
      <c r="H6110" s="3">
        <f ca="1">IF(AND(I6110&lt;&gt;I6109,ISNUMBER(SEARCH(Лист2!$B$5,I:I)),G6110=1),MAX($H$3:OFFSET(H6110,-1,0))+1,0)</f>
        <v>0</v>
      </c>
      <c r="I6110" s="3" t="s">
        <v>486</v>
      </c>
      <c r="K6110" s="2">
        <f>IF(ISNUMBER(SEARCH(Лист2!$B$4,F:F)),1,0)</f>
        <v>0</v>
      </c>
      <c r="L6110" s="14">
        <f>IF(ISNUMBER(SEARCH(Лист2!$B$5,I:I)),1,0)+K6110</f>
        <v>0</v>
      </c>
      <c r="M6110" s="3">
        <f ca="1">IF(AND(N6110&lt;&gt;N6109,ISNUMBER(SEARCH(Лист2!$B$6,N:N)),L6110=2),MAX($M$3:OFFSET(M6110,-1,0))+1,0)</f>
        <v>0</v>
      </c>
      <c r="N6110" s="3" t="s">
        <v>3590</v>
      </c>
    </row>
    <row r="6111" spans="1:14" x14ac:dyDescent="0.25">
      <c r="A6111" s="1" t="s">
        <v>14557</v>
      </c>
      <c r="B6111" s="3" t="s">
        <v>9724</v>
      </c>
      <c r="C6111" s="2">
        <f ca="1">IF(ISNUMBER(SEARCH(Лист2!$B$4,D:D)),MAX($C$3:OFFSET(C6111,-1,0))+1,0)</f>
        <v>0</v>
      </c>
      <c r="E6111" s="9" t="str">
        <f t="shared" ca="1" si="107"/>
        <v/>
      </c>
      <c r="F6111" s="4" t="s">
        <v>38</v>
      </c>
      <c r="G6111" s="2">
        <f>IF(ISNUMBER(SEARCH(Лист2!$B$4,F:F)),1,0)</f>
        <v>0</v>
      </c>
      <c r="H6111" s="3">
        <f ca="1">IF(AND(I6111&lt;&gt;I6110,ISNUMBER(SEARCH(Лист2!$B$5,I:I)),G6111=1),MAX($H$3:OFFSET(H6111,-1,0))+1,0)</f>
        <v>0</v>
      </c>
      <c r="I6111" s="3" t="s">
        <v>486</v>
      </c>
      <c r="K6111" s="2">
        <f>IF(ISNUMBER(SEARCH(Лист2!$B$4,F:F)),1,0)</f>
        <v>0</v>
      </c>
      <c r="L6111" s="14">
        <f>IF(ISNUMBER(SEARCH(Лист2!$B$5,I:I)),1,0)+K6111</f>
        <v>0</v>
      </c>
      <c r="M6111" s="3">
        <f ca="1">IF(AND(N6111&lt;&gt;N6110,ISNUMBER(SEARCH(Лист2!$B$6,N:N)),L6111=2),MAX($M$3:OFFSET(M6111,-1,0))+1,0)</f>
        <v>0</v>
      </c>
      <c r="N6111" s="3" t="s">
        <v>3591</v>
      </c>
    </row>
    <row r="6112" spans="1:14" x14ac:dyDescent="0.25">
      <c r="A6112" s="1" t="s">
        <v>14558</v>
      </c>
      <c r="B6112" s="3" t="s">
        <v>9725</v>
      </c>
      <c r="C6112" s="2">
        <f ca="1">IF(ISNUMBER(SEARCH(Лист2!$B$4,D:D)),MAX($C$3:OFFSET(C6112,-1,0))+1,0)</f>
        <v>0</v>
      </c>
      <c r="E6112" s="9" t="str">
        <f t="shared" ca="1" si="107"/>
        <v/>
      </c>
      <c r="F6112" s="4" t="s">
        <v>38</v>
      </c>
      <c r="G6112" s="2">
        <f>IF(ISNUMBER(SEARCH(Лист2!$B$4,F:F)),1,0)</f>
        <v>0</v>
      </c>
      <c r="H6112" s="3">
        <f ca="1">IF(AND(I6112&lt;&gt;I6111,ISNUMBER(SEARCH(Лист2!$B$5,I:I)),G6112=1),MAX($H$3:OFFSET(H6112,-1,0))+1,0)</f>
        <v>0</v>
      </c>
      <c r="I6112" s="3" t="s">
        <v>486</v>
      </c>
      <c r="K6112" s="2">
        <f>IF(ISNUMBER(SEARCH(Лист2!$B$4,F:F)),1,0)</f>
        <v>0</v>
      </c>
      <c r="L6112" s="14">
        <f>IF(ISNUMBER(SEARCH(Лист2!$B$5,I:I)),1,0)+K6112</f>
        <v>0</v>
      </c>
      <c r="M6112" s="3">
        <f ca="1">IF(AND(N6112&lt;&gt;N6111,ISNUMBER(SEARCH(Лист2!$B$6,N:N)),L6112=2),MAX($M$3:OFFSET(M6112,-1,0))+1,0)</f>
        <v>0</v>
      </c>
      <c r="N6112" s="3" t="s">
        <v>602</v>
      </c>
    </row>
    <row r="6113" spans="1:14" x14ac:dyDescent="0.25">
      <c r="A6113" s="1" t="s">
        <v>14559</v>
      </c>
      <c r="B6113" s="3" t="s">
        <v>9726</v>
      </c>
      <c r="C6113" s="2">
        <f ca="1">IF(ISNUMBER(SEARCH(Лист2!$B$4,D:D)),MAX($C$3:OFFSET(C6113,-1,0))+1,0)</f>
        <v>0</v>
      </c>
      <c r="E6113" s="9" t="str">
        <f t="shared" ca="1" si="107"/>
        <v/>
      </c>
      <c r="F6113" s="4" t="s">
        <v>38</v>
      </c>
      <c r="G6113" s="2">
        <f>IF(ISNUMBER(SEARCH(Лист2!$B$4,F:F)),1,0)</f>
        <v>0</v>
      </c>
      <c r="H6113" s="3">
        <f ca="1">IF(AND(I6113&lt;&gt;I6112,ISNUMBER(SEARCH(Лист2!$B$5,I:I)),G6113=1),MAX($H$3:OFFSET(H6113,-1,0))+1,0)</f>
        <v>0</v>
      </c>
      <c r="I6113" s="3" t="s">
        <v>486</v>
      </c>
      <c r="K6113" s="2">
        <f>IF(ISNUMBER(SEARCH(Лист2!$B$4,F:F)),1,0)</f>
        <v>0</v>
      </c>
      <c r="L6113" s="14">
        <f>IF(ISNUMBER(SEARCH(Лист2!$B$5,I:I)),1,0)+K6113</f>
        <v>0</v>
      </c>
      <c r="M6113" s="3">
        <f ca="1">IF(AND(N6113&lt;&gt;N6112,ISNUMBER(SEARCH(Лист2!$B$6,N:N)),L6113=2),MAX($M$3:OFFSET(M6113,-1,0))+1,0)</f>
        <v>0</v>
      </c>
      <c r="N6113" s="3" t="s">
        <v>3500</v>
      </c>
    </row>
    <row r="6114" spans="1:14" x14ac:dyDescent="0.25">
      <c r="A6114" s="1" t="s">
        <v>14485</v>
      </c>
      <c r="B6114" s="3" t="s">
        <v>9727</v>
      </c>
      <c r="C6114" s="2">
        <f ca="1">IF(ISNUMBER(SEARCH(Лист2!$B$4,D:D)),MAX($C$3:OFFSET(C6114,-1,0))+1,0)</f>
        <v>0</v>
      </c>
      <c r="E6114" s="9" t="str">
        <f t="shared" ca="1" si="107"/>
        <v/>
      </c>
      <c r="F6114" s="4" t="s">
        <v>38</v>
      </c>
      <c r="G6114" s="2">
        <f>IF(ISNUMBER(SEARCH(Лист2!$B$4,F:F)),1,0)</f>
        <v>0</v>
      </c>
      <c r="H6114" s="3">
        <f ca="1">IF(AND(I6114&lt;&gt;I6113,ISNUMBER(SEARCH(Лист2!$B$5,I:I)),G6114=1),MAX($H$3:OFFSET(H6114,-1,0))+1,0)</f>
        <v>0</v>
      </c>
      <c r="I6114" s="3" t="s">
        <v>488</v>
      </c>
      <c r="K6114" s="2">
        <f>IF(ISNUMBER(SEARCH(Лист2!$B$4,F:F)),1,0)</f>
        <v>0</v>
      </c>
      <c r="L6114" s="14">
        <f>IF(ISNUMBER(SEARCH(Лист2!$B$5,I:I)),1,0)+K6114</f>
        <v>0</v>
      </c>
      <c r="M6114" s="3">
        <f ca="1">IF(AND(N6114&lt;&gt;N6113,ISNUMBER(SEARCH(Лист2!$B$6,N:N)),L6114=2),MAX($M$3:OFFSET(M6114,-1,0))+1,0)</f>
        <v>0</v>
      </c>
      <c r="N6114" s="3" t="s">
        <v>3529</v>
      </c>
    </row>
    <row r="6115" spans="1:14" x14ac:dyDescent="0.25">
      <c r="A6115" s="1" t="s">
        <v>14486</v>
      </c>
      <c r="B6115" s="3" t="s">
        <v>9728</v>
      </c>
      <c r="C6115" s="2">
        <f ca="1">IF(ISNUMBER(SEARCH(Лист2!$B$4,D:D)),MAX($C$3:OFFSET(C6115,-1,0))+1,0)</f>
        <v>0</v>
      </c>
      <c r="E6115" s="9" t="str">
        <f t="shared" ca="1" si="107"/>
        <v/>
      </c>
      <c r="F6115" s="4" t="s">
        <v>38</v>
      </c>
      <c r="G6115" s="2">
        <f>IF(ISNUMBER(SEARCH(Лист2!$B$4,F:F)),1,0)</f>
        <v>0</v>
      </c>
      <c r="H6115" s="3">
        <f ca="1">IF(AND(I6115&lt;&gt;I6114,ISNUMBER(SEARCH(Лист2!$B$5,I:I)),G6115=1),MAX($H$3:OFFSET(H6115,-1,0))+1,0)</f>
        <v>0</v>
      </c>
      <c r="I6115" s="3" t="s">
        <v>488</v>
      </c>
      <c r="K6115" s="2">
        <f>IF(ISNUMBER(SEARCH(Лист2!$B$4,F:F)),1,0)</f>
        <v>0</v>
      </c>
      <c r="L6115" s="14">
        <f>IF(ISNUMBER(SEARCH(Лист2!$B$5,I:I)),1,0)+K6115</f>
        <v>0</v>
      </c>
      <c r="M6115" s="3">
        <f ca="1">IF(AND(N6115&lt;&gt;N6114,ISNUMBER(SEARCH(Лист2!$B$6,N:N)),L6115=2),MAX($M$3:OFFSET(M6115,-1,0))+1,0)</f>
        <v>0</v>
      </c>
      <c r="N6115" s="3" t="s">
        <v>3530</v>
      </c>
    </row>
    <row r="6116" spans="1:14" x14ac:dyDescent="0.25">
      <c r="A6116" s="1" t="s">
        <v>14487</v>
      </c>
      <c r="B6116" s="3" t="s">
        <v>9729</v>
      </c>
      <c r="C6116" s="2">
        <f ca="1">IF(ISNUMBER(SEARCH(Лист2!$B$4,D:D)),MAX($C$3:OFFSET(C6116,-1,0))+1,0)</f>
        <v>0</v>
      </c>
      <c r="E6116" s="9" t="str">
        <f t="shared" ca="1" si="107"/>
        <v/>
      </c>
      <c r="F6116" s="4" t="s">
        <v>38</v>
      </c>
      <c r="G6116" s="2">
        <f>IF(ISNUMBER(SEARCH(Лист2!$B$4,F:F)),1,0)</f>
        <v>0</v>
      </c>
      <c r="H6116" s="3">
        <f ca="1">IF(AND(I6116&lt;&gt;I6115,ISNUMBER(SEARCH(Лист2!$B$5,I:I)),G6116=1),MAX($H$3:OFFSET(H6116,-1,0))+1,0)</f>
        <v>0</v>
      </c>
      <c r="I6116" s="3" t="s">
        <v>488</v>
      </c>
      <c r="K6116" s="2">
        <f>IF(ISNUMBER(SEARCH(Лист2!$B$4,F:F)),1,0)</f>
        <v>0</v>
      </c>
      <c r="L6116" s="14">
        <f>IF(ISNUMBER(SEARCH(Лист2!$B$5,I:I)),1,0)+K6116</f>
        <v>0</v>
      </c>
      <c r="M6116" s="3">
        <f ca="1">IF(AND(N6116&lt;&gt;N6115,ISNUMBER(SEARCH(Лист2!$B$6,N:N)),L6116=2),MAX($M$3:OFFSET(M6116,-1,0))+1,0)</f>
        <v>0</v>
      </c>
      <c r="N6116" s="3" t="s">
        <v>3531</v>
      </c>
    </row>
    <row r="6117" spans="1:14" x14ac:dyDescent="0.25">
      <c r="A6117" s="1" t="s">
        <v>14488</v>
      </c>
      <c r="B6117" s="3" t="s">
        <v>9730</v>
      </c>
      <c r="C6117" s="2">
        <f ca="1">IF(ISNUMBER(SEARCH(Лист2!$B$4,D:D)),MAX($C$3:OFFSET(C6117,-1,0))+1,0)</f>
        <v>0</v>
      </c>
      <c r="E6117" s="9" t="str">
        <f t="shared" ca="1" si="107"/>
        <v/>
      </c>
      <c r="F6117" s="4" t="s">
        <v>38</v>
      </c>
      <c r="G6117" s="2">
        <f>IF(ISNUMBER(SEARCH(Лист2!$B$4,F:F)),1,0)</f>
        <v>0</v>
      </c>
      <c r="H6117" s="3">
        <f ca="1">IF(AND(I6117&lt;&gt;I6116,ISNUMBER(SEARCH(Лист2!$B$5,I:I)),G6117=1),MAX($H$3:OFFSET(H6117,-1,0))+1,0)</f>
        <v>0</v>
      </c>
      <c r="I6117" s="3" t="s">
        <v>488</v>
      </c>
      <c r="K6117" s="2">
        <f>IF(ISNUMBER(SEARCH(Лист2!$B$4,F:F)),1,0)</f>
        <v>0</v>
      </c>
      <c r="L6117" s="14">
        <f>IF(ISNUMBER(SEARCH(Лист2!$B$5,I:I)),1,0)+K6117</f>
        <v>0</v>
      </c>
      <c r="M6117" s="3">
        <f ca="1">IF(AND(N6117&lt;&gt;N6116,ISNUMBER(SEARCH(Лист2!$B$6,N:N)),L6117=2),MAX($M$3:OFFSET(M6117,-1,0))+1,0)</f>
        <v>0</v>
      </c>
      <c r="N6117" s="3" t="s">
        <v>3532</v>
      </c>
    </row>
    <row r="6118" spans="1:14" x14ac:dyDescent="0.25">
      <c r="A6118" s="1" t="s">
        <v>14489</v>
      </c>
      <c r="B6118" s="3" t="s">
        <v>9731</v>
      </c>
      <c r="C6118" s="2">
        <f ca="1">IF(ISNUMBER(SEARCH(Лист2!$B$4,D:D)),MAX($C$3:OFFSET(C6118,-1,0))+1,0)</f>
        <v>0</v>
      </c>
      <c r="E6118" s="9" t="str">
        <f t="shared" ca="1" si="107"/>
        <v/>
      </c>
      <c r="F6118" s="4" t="s">
        <v>38</v>
      </c>
      <c r="G6118" s="2">
        <f>IF(ISNUMBER(SEARCH(Лист2!$B$4,F:F)),1,0)</f>
        <v>0</v>
      </c>
      <c r="H6118" s="3">
        <f ca="1">IF(AND(I6118&lt;&gt;I6117,ISNUMBER(SEARCH(Лист2!$B$5,I:I)),G6118=1),MAX($H$3:OFFSET(H6118,-1,0))+1,0)</f>
        <v>0</v>
      </c>
      <c r="I6118" s="3" t="s">
        <v>488</v>
      </c>
      <c r="K6118" s="2">
        <f>IF(ISNUMBER(SEARCH(Лист2!$B$4,F:F)),1,0)</f>
        <v>0</v>
      </c>
      <c r="L6118" s="14">
        <f>IF(ISNUMBER(SEARCH(Лист2!$B$5,I:I)),1,0)+K6118</f>
        <v>0</v>
      </c>
      <c r="M6118" s="3">
        <f ca="1">IF(AND(N6118&lt;&gt;N6117,ISNUMBER(SEARCH(Лист2!$B$6,N:N)),L6118=2),MAX($M$3:OFFSET(M6118,-1,0))+1,0)</f>
        <v>0</v>
      </c>
      <c r="N6118" s="3" t="s">
        <v>3533</v>
      </c>
    </row>
    <row r="6119" spans="1:14" x14ac:dyDescent="0.25">
      <c r="A6119" s="1" t="s">
        <v>14490</v>
      </c>
      <c r="B6119" s="3" t="s">
        <v>9732</v>
      </c>
      <c r="C6119" s="2">
        <f ca="1">IF(ISNUMBER(SEARCH(Лист2!$B$4,D:D)),MAX($C$3:OFFSET(C6119,-1,0))+1,0)</f>
        <v>0</v>
      </c>
      <c r="E6119" s="9" t="str">
        <f t="shared" ca="1" si="107"/>
        <v/>
      </c>
      <c r="F6119" s="4" t="s">
        <v>38</v>
      </c>
      <c r="G6119" s="2">
        <f>IF(ISNUMBER(SEARCH(Лист2!$B$4,F:F)),1,0)</f>
        <v>0</v>
      </c>
      <c r="H6119" s="3">
        <f ca="1">IF(AND(I6119&lt;&gt;I6118,ISNUMBER(SEARCH(Лист2!$B$5,I:I)),G6119=1),MAX($H$3:OFFSET(H6119,-1,0))+1,0)</f>
        <v>0</v>
      </c>
      <c r="I6119" s="3" t="s">
        <v>488</v>
      </c>
      <c r="K6119" s="2">
        <f>IF(ISNUMBER(SEARCH(Лист2!$B$4,F:F)),1,0)</f>
        <v>0</v>
      </c>
      <c r="L6119" s="14">
        <f>IF(ISNUMBER(SEARCH(Лист2!$B$5,I:I)),1,0)+K6119</f>
        <v>0</v>
      </c>
      <c r="M6119" s="3">
        <f ca="1">IF(AND(N6119&lt;&gt;N6118,ISNUMBER(SEARCH(Лист2!$B$6,N:N)),L6119=2),MAX($M$3:OFFSET(M6119,-1,0))+1,0)</f>
        <v>0</v>
      </c>
      <c r="N6119" s="3" t="s">
        <v>3534</v>
      </c>
    </row>
    <row r="6120" spans="1:14" x14ac:dyDescent="0.25">
      <c r="A6120" s="1" t="s">
        <v>14491</v>
      </c>
      <c r="B6120" s="3" t="s">
        <v>9733</v>
      </c>
      <c r="C6120" s="2">
        <f ca="1">IF(ISNUMBER(SEARCH(Лист2!$B$4,D:D)),MAX($C$3:OFFSET(C6120,-1,0))+1,0)</f>
        <v>0</v>
      </c>
      <c r="E6120" s="9" t="str">
        <f t="shared" ca="1" si="107"/>
        <v/>
      </c>
      <c r="F6120" s="4" t="s">
        <v>38</v>
      </c>
      <c r="G6120" s="2">
        <f>IF(ISNUMBER(SEARCH(Лист2!$B$4,F:F)),1,0)</f>
        <v>0</v>
      </c>
      <c r="H6120" s="3">
        <f ca="1">IF(AND(I6120&lt;&gt;I6119,ISNUMBER(SEARCH(Лист2!$B$5,I:I)),G6120=1),MAX($H$3:OFFSET(H6120,-1,0))+1,0)</f>
        <v>0</v>
      </c>
      <c r="I6120" s="3" t="s">
        <v>488</v>
      </c>
      <c r="K6120" s="2">
        <f>IF(ISNUMBER(SEARCH(Лист2!$B$4,F:F)),1,0)</f>
        <v>0</v>
      </c>
      <c r="L6120" s="14">
        <f>IF(ISNUMBER(SEARCH(Лист2!$B$5,I:I)),1,0)+K6120</f>
        <v>0</v>
      </c>
      <c r="M6120" s="3">
        <f ca="1">IF(AND(N6120&lt;&gt;N6119,ISNUMBER(SEARCH(Лист2!$B$6,N:N)),L6120=2),MAX($M$3:OFFSET(M6120,-1,0))+1,0)</f>
        <v>0</v>
      </c>
      <c r="N6120" s="3" t="s">
        <v>3535</v>
      </c>
    </row>
    <row r="6121" spans="1:14" x14ac:dyDescent="0.25">
      <c r="A6121" s="1" t="s">
        <v>14492</v>
      </c>
      <c r="B6121" s="3" t="s">
        <v>9734</v>
      </c>
      <c r="C6121" s="2">
        <f ca="1">IF(ISNUMBER(SEARCH(Лист2!$B$4,D:D)),MAX($C$3:OFFSET(C6121,-1,0))+1,0)</f>
        <v>0</v>
      </c>
      <c r="E6121" s="9" t="str">
        <f t="shared" ca="1" si="107"/>
        <v/>
      </c>
      <c r="F6121" s="4" t="s">
        <v>38</v>
      </c>
      <c r="G6121" s="2">
        <f>IF(ISNUMBER(SEARCH(Лист2!$B$4,F:F)),1,0)</f>
        <v>0</v>
      </c>
      <c r="H6121" s="3">
        <f ca="1">IF(AND(I6121&lt;&gt;I6120,ISNUMBER(SEARCH(Лист2!$B$5,I:I)),G6121=1),MAX($H$3:OFFSET(H6121,-1,0))+1,0)</f>
        <v>0</v>
      </c>
      <c r="I6121" s="3" t="s">
        <v>488</v>
      </c>
      <c r="K6121" s="2">
        <f>IF(ISNUMBER(SEARCH(Лист2!$B$4,F:F)),1,0)</f>
        <v>0</v>
      </c>
      <c r="L6121" s="14">
        <f>IF(ISNUMBER(SEARCH(Лист2!$B$5,I:I)),1,0)+K6121</f>
        <v>0</v>
      </c>
      <c r="M6121" s="3">
        <f ca="1">IF(AND(N6121&lt;&gt;N6120,ISNUMBER(SEARCH(Лист2!$B$6,N:N)),L6121=2),MAX($M$3:OFFSET(M6121,-1,0))+1,0)</f>
        <v>0</v>
      </c>
      <c r="N6121" s="3" t="s">
        <v>3536</v>
      </c>
    </row>
    <row r="6122" spans="1:14" x14ac:dyDescent="0.25">
      <c r="A6122" s="1" t="s">
        <v>14493</v>
      </c>
      <c r="B6122" s="3" t="s">
        <v>9735</v>
      </c>
      <c r="C6122" s="2">
        <f ca="1">IF(ISNUMBER(SEARCH(Лист2!$B$4,D:D)),MAX($C$3:OFFSET(C6122,-1,0))+1,0)</f>
        <v>0</v>
      </c>
      <c r="E6122" s="9" t="str">
        <f t="shared" ca="1" si="107"/>
        <v/>
      </c>
      <c r="F6122" s="4" t="s">
        <v>38</v>
      </c>
      <c r="G6122" s="2">
        <f>IF(ISNUMBER(SEARCH(Лист2!$B$4,F:F)),1,0)</f>
        <v>0</v>
      </c>
      <c r="H6122" s="3">
        <f ca="1">IF(AND(I6122&lt;&gt;I6121,ISNUMBER(SEARCH(Лист2!$B$5,I:I)),G6122=1),MAX($H$3:OFFSET(H6122,-1,0))+1,0)</f>
        <v>0</v>
      </c>
      <c r="I6122" s="3" t="s">
        <v>488</v>
      </c>
      <c r="K6122" s="2">
        <f>IF(ISNUMBER(SEARCH(Лист2!$B$4,F:F)),1,0)</f>
        <v>0</v>
      </c>
      <c r="L6122" s="14">
        <f>IF(ISNUMBER(SEARCH(Лист2!$B$5,I:I)),1,0)+K6122</f>
        <v>0</v>
      </c>
      <c r="M6122" s="3">
        <f ca="1">IF(AND(N6122&lt;&gt;N6121,ISNUMBER(SEARCH(Лист2!$B$6,N:N)),L6122=2),MAX($M$3:OFFSET(M6122,-1,0))+1,0)</f>
        <v>0</v>
      </c>
      <c r="N6122" s="3" t="s">
        <v>602</v>
      </c>
    </row>
    <row r="6123" spans="1:14" x14ac:dyDescent="0.25">
      <c r="A6123" s="1" t="s">
        <v>14494</v>
      </c>
      <c r="B6123" s="3" t="s">
        <v>9736</v>
      </c>
      <c r="C6123" s="2">
        <f ca="1">IF(ISNUMBER(SEARCH(Лист2!$B$4,D:D)),MAX($C$3:OFFSET(C6123,-1,0))+1,0)</f>
        <v>0</v>
      </c>
      <c r="E6123" s="9" t="str">
        <f t="shared" ca="1" si="107"/>
        <v/>
      </c>
      <c r="F6123" s="4" t="s">
        <v>38</v>
      </c>
      <c r="G6123" s="2">
        <f>IF(ISNUMBER(SEARCH(Лист2!$B$4,F:F)),1,0)</f>
        <v>0</v>
      </c>
      <c r="H6123" s="3">
        <f ca="1">IF(AND(I6123&lt;&gt;I6122,ISNUMBER(SEARCH(Лист2!$B$5,I:I)),G6123=1),MAX($H$3:OFFSET(H6123,-1,0))+1,0)</f>
        <v>0</v>
      </c>
      <c r="I6123" s="3" t="s">
        <v>488</v>
      </c>
      <c r="K6123" s="2">
        <f>IF(ISNUMBER(SEARCH(Лист2!$B$4,F:F)),1,0)</f>
        <v>0</v>
      </c>
      <c r="L6123" s="14">
        <f>IF(ISNUMBER(SEARCH(Лист2!$B$5,I:I)),1,0)+K6123</f>
        <v>0</v>
      </c>
      <c r="M6123" s="3">
        <f ca="1">IF(AND(N6123&lt;&gt;N6122,ISNUMBER(SEARCH(Лист2!$B$6,N:N)),L6123=2),MAX($M$3:OFFSET(M6123,-1,0))+1,0)</f>
        <v>0</v>
      </c>
      <c r="N6123" s="3" t="s">
        <v>3537</v>
      </c>
    </row>
    <row r="6124" spans="1:14" x14ac:dyDescent="0.25">
      <c r="A6124" s="1" t="s">
        <v>14560</v>
      </c>
      <c r="B6124" s="3" t="s">
        <v>9737</v>
      </c>
      <c r="C6124" s="2">
        <f ca="1">IF(ISNUMBER(SEARCH(Лист2!$B$4,D:D)),MAX($C$3:OFFSET(C6124,-1,0))+1,0)</f>
        <v>0</v>
      </c>
      <c r="E6124" s="9" t="str">
        <f t="shared" ca="1" si="107"/>
        <v/>
      </c>
      <c r="F6124" s="4" t="s">
        <v>38</v>
      </c>
      <c r="G6124" s="2">
        <f>IF(ISNUMBER(SEARCH(Лист2!$B$4,F:F)),1,0)</f>
        <v>0</v>
      </c>
      <c r="H6124" s="3">
        <f ca="1">IF(AND(I6124&lt;&gt;I6123,ISNUMBER(SEARCH(Лист2!$B$5,I:I)),G6124=1),MAX($H$3:OFFSET(H6124,-1,0))+1,0)</f>
        <v>0</v>
      </c>
      <c r="I6124" s="3" t="s">
        <v>491</v>
      </c>
      <c r="K6124" s="2">
        <f>IF(ISNUMBER(SEARCH(Лист2!$B$4,F:F)),1,0)</f>
        <v>0</v>
      </c>
      <c r="L6124" s="14">
        <f>IF(ISNUMBER(SEARCH(Лист2!$B$5,I:I)),1,0)+K6124</f>
        <v>0</v>
      </c>
      <c r="M6124" s="3">
        <f ca="1">IF(AND(N6124&lt;&gt;N6123,ISNUMBER(SEARCH(Лист2!$B$6,N:N)),L6124=2),MAX($M$3:OFFSET(M6124,-1,0))+1,0)</f>
        <v>0</v>
      </c>
      <c r="N6124" s="3" t="s">
        <v>3592</v>
      </c>
    </row>
    <row r="6125" spans="1:14" x14ac:dyDescent="0.25">
      <c r="A6125" s="1" t="s">
        <v>14561</v>
      </c>
      <c r="B6125" s="3" t="s">
        <v>9738</v>
      </c>
      <c r="C6125" s="2">
        <f ca="1">IF(ISNUMBER(SEARCH(Лист2!$B$4,D:D)),MAX($C$3:OFFSET(C6125,-1,0))+1,0)</f>
        <v>0</v>
      </c>
      <c r="E6125" s="9" t="str">
        <f t="shared" ca="1" si="107"/>
        <v/>
      </c>
      <c r="F6125" s="4" t="s">
        <v>38</v>
      </c>
      <c r="G6125" s="2">
        <f>IF(ISNUMBER(SEARCH(Лист2!$B$4,F:F)),1,0)</f>
        <v>0</v>
      </c>
      <c r="H6125" s="3">
        <f ca="1">IF(AND(I6125&lt;&gt;I6124,ISNUMBER(SEARCH(Лист2!$B$5,I:I)),G6125=1),MAX($H$3:OFFSET(H6125,-1,0))+1,0)</f>
        <v>0</v>
      </c>
      <c r="I6125" s="3" t="s">
        <v>491</v>
      </c>
      <c r="K6125" s="2">
        <f>IF(ISNUMBER(SEARCH(Лист2!$B$4,F:F)),1,0)</f>
        <v>0</v>
      </c>
      <c r="L6125" s="14">
        <f>IF(ISNUMBER(SEARCH(Лист2!$B$5,I:I)),1,0)+K6125</f>
        <v>0</v>
      </c>
      <c r="M6125" s="3">
        <f ca="1">IF(AND(N6125&lt;&gt;N6124,ISNUMBER(SEARCH(Лист2!$B$6,N:N)),L6125=2),MAX($M$3:OFFSET(M6125,-1,0))+1,0)</f>
        <v>0</v>
      </c>
      <c r="N6125" s="3" t="s">
        <v>3593</v>
      </c>
    </row>
    <row r="6126" spans="1:14" x14ac:dyDescent="0.25">
      <c r="A6126" s="1" t="s">
        <v>14562</v>
      </c>
      <c r="B6126" s="3" t="s">
        <v>9739</v>
      </c>
      <c r="C6126" s="2">
        <f ca="1">IF(ISNUMBER(SEARCH(Лист2!$B$4,D:D)),MAX($C$3:OFFSET(C6126,-1,0))+1,0)</f>
        <v>0</v>
      </c>
      <c r="E6126" s="9" t="str">
        <f t="shared" ca="1" si="107"/>
        <v/>
      </c>
      <c r="F6126" s="4" t="s">
        <v>38</v>
      </c>
      <c r="G6126" s="2">
        <f>IF(ISNUMBER(SEARCH(Лист2!$B$4,F:F)),1,0)</f>
        <v>0</v>
      </c>
      <c r="H6126" s="3">
        <f ca="1">IF(AND(I6126&lt;&gt;I6125,ISNUMBER(SEARCH(Лист2!$B$5,I:I)),G6126=1),MAX($H$3:OFFSET(H6126,-1,0))+1,0)</f>
        <v>0</v>
      </c>
      <c r="I6126" s="3" t="s">
        <v>491</v>
      </c>
      <c r="K6126" s="2">
        <f>IF(ISNUMBER(SEARCH(Лист2!$B$4,F:F)),1,0)</f>
        <v>0</v>
      </c>
      <c r="L6126" s="14">
        <f>IF(ISNUMBER(SEARCH(Лист2!$B$5,I:I)),1,0)+K6126</f>
        <v>0</v>
      </c>
      <c r="M6126" s="3">
        <f ca="1">IF(AND(N6126&lt;&gt;N6125,ISNUMBER(SEARCH(Лист2!$B$6,N:N)),L6126=2),MAX($M$3:OFFSET(M6126,-1,0))+1,0)</f>
        <v>0</v>
      </c>
      <c r="N6126" s="3" t="s">
        <v>3594</v>
      </c>
    </row>
    <row r="6127" spans="1:14" x14ac:dyDescent="0.25">
      <c r="A6127" s="1" t="s">
        <v>14563</v>
      </c>
      <c r="B6127" s="3" t="s">
        <v>9740</v>
      </c>
      <c r="C6127" s="2">
        <f ca="1">IF(ISNUMBER(SEARCH(Лист2!$B$4,D:D)),MAX($C$3:OFFSET(C6127,-1,0))+1,0)</f>
        <v>0</v>
      </c>
      <c r="E6127" s="9" t="str">
        <f t="shared" ca="1" si="107"/>
        <v/>
      </c>
      <c r="F6127" s="4" t="s">
        <v>38</v>
      </c>
      <c r="G6127" s="2">
        <f>IF(ISNUMBER(SEARCH(Лист2!$B$4,F:F)),1,0)</f>
        <v>0</v>
      </c>
      <c r="H6127" s="3">
        <f ca="1">IF(AND(I6127&lt;&gt;I6126,ISNUMBER(SEARCH(Лист2!$B$5,I:I)),G6127=1),MAX($H$3:OFFSET(H6127,-1,0))+1,0)</f>
        <v>0</v>
      </c>
      <c r="I6127" s="3" t="s">
        <v>491</v>
      </c>
      <c r="K6127" s="2">
        <f>IF(ISNUMBER(SEARCH(Лист2!$B$4,F:F)),1,0)</f>
        <v>0</v>
      </c>
      <c r="L6127" s="14">
        <f>IF(ISNUMBER(SEARCH(Лист2!$B$5,I:I)),1,0)+K6127</f>
        <v>0</v>
      </c>
      <c r="M6127" s="3">
        <f ca="1">IF(AND(N6127&lt;&gt;N6126,ISNUMBER(SEARCH(Лист2!$B$6,N:N)),L6127=2),MAX($M$3:OFFSET(M6127,-1,0))+1,0)</f>
        <v>0</v>
      </c>
      <c r="N6127" s="3" t="s">
        <v>3595</v>
      </c>
    </row>
    <row r="6128" spans="1:14" x14ac:dyDescent="0.25">
      <c r="A6128" s="1" t="s">
        <v>14564</v>
      </c>
      <c r="B6128" s="3" t="s">
        <v>9741</v>
      </c>
      <c r="C6128" s="2">
        <f ca="1">IF(ISNUMBER(SEARCH(Лист2!$B$4,D:D)),MAX($C$3:OFFSET(C6128,-1,0))+1,0)</f>
        <v>0</v>
      </c>
      <c r="E6128" s="9" t="str">
        <f t="shared" ca="1" si="107"/>
        <v/>
      </c>
      <c r="F6128" s="4" t="s">
        <v>38</v>
      </c>
      <c r="G6128" s="2">
        <f>IF(ISNUMBER(SEARCH(Лист2!$B$4,F:F)),1,0)</f>
        <v>0</v>
      </c>
      <c r="H6128" s="3">
        <f ca="1">IF(AND(I6128&lt;&gt;I6127,ISNUMBER(SEARCH(Лист2!$B$5,I:I)),G6128=1),MAX($H$3:OFFSET(H6128,-1,0))+1,0)</f>
        <v>0</v>
      </c>
      <c r="I6128" s="3" t="s">
        <v>491</v>
      </c>
      <c r="K6128" s="2">
        <f>IF(ISNUMBER(SEARCH(Лист2!$B$4,F:F)),1,0)</f>
        <v>0</v>
      </c>
      <c r="L6128" s="14">
        <f>IF(ISNUMBER(SEARCH(Лист2!$B$5,I:I)),1,0)+K6128</f>
        <v>0</v>
      </c>
      <c r="M6128" s="3">
        <f ca="1">IF(AND(N6128&lt;&gt;N6127,ISNUMBER(SEARCH(Лист2!$B$6,N:N)),L6128=2),MAX($M$3:OFFSET(M6128,-1,0))+1,0)</f>
        <v>0</v>
      </c>
      <c r="N6128" s="3" t="s">
        <v>3596</v>
      </c>
    </row>
    <row r="6129" spans="1:14" x14ac:dyDescent="0.25">
      <c r="A6129" s="1" t="s">
        <v>14565</v>
      </c>
      <c r="B6129" s="3" t="s">
        <v>9742</v>
      </c>
      <c r="C6129" s="2">
        <f ca="1">IF(ISNUMBER(SEARCH(Лист2!$B$4,D:D)),MAX($C$3:OFFSET(C6129,-1,0))+1,0)</f>
        <v>0</v>
      </c>
      <c r="E6129" s="9" t="str">
        <f t="shared" ca="1" si="107"/>
        <v/>
      </c>
      <c r="F6129" s="4" t="s">
        <v>38</v>
      </c>
      <c r="G6129" s="2">
        <f>IF(ISNUMBER(SEARCH(Лист2!$B$4,F:F)),1,0)</f>
        <v>0</v>
      </c>
      <c r="H6129" s="3">
        <f ca="1">IF(AND(I6129&lt;&gt;I6128,ISNUMBER(SEARCH(Лист2!$B$5,I:I)),G6129=1),MAX($H$3:OFFSET(H6129,-1,0))+1,0)</f>
        <v>0</v>
      </c>
      <c r="I6129" s="3" t="s">
        <v>491</v>
      </c>
      <c r="K6129" s="2">
        <f>IF(ISNUMBER(SEARCH(Лист2!$B$4,F:F)),1,0)</f>
        <v>0</v>
      </c>
      <c r="L6129" s="14">
        <f>IF(ISNUMBER(SEARCH(Лист2!$B$5,I:I)),1,0)+K6129</f>
        <v>0</v>
      </c>
      <c r="M6129" s="3">
        <f ca="1">IF(AND(N6129&lt;&gt;N6128,ISNUMBER(SEARCH(Лист2!$B$6,N:N)),L6129=2),MAX($M$3:OFFSET(M6129,-1,0))+1,0)</f>
        <v>0</v>
      </c>
      <c r="N6129" s="3" t="s">
        <v>3597</v>
      </c>
    </row>
    <row r="6130" spans="1:14" x14ac:dyDescent="0.25">
      <c r="A6130" s="1" t="s">
        <v>14566</v>
      </c>
      <c r="B6130" s="3" t="s">
        <v>9743</v>
      </c>
      <c r="C6130" s="2">
        <f ca="1">IF(ISNUMBER(SEARCH(Лист2!$B$4,D:D)),MAX($C$3:OFFSET(C6130,-1,0))+1,0)</f>
        <v>0</v>
      </c>
      <c r="E6130" s="9" t="str">
        <f t="shared" ca="1" si="107"/>
        <v/>
      </c>
      <c r="F6130" s="4" t="s">
        <v>38</v>
      </c>
      <c r="G6130" s="2">
        <f>IF(ISNUMBER(SEARCH(Лист2!$B$4,F:F)),1,0)</f>
        <v>0</v>
      </c>
      <c r="H6130" s="3">
        <f ca="1">IF(AND(I6130&lt;&gt;I6129,ISNUMBER(SEARCH(Лист2!$B$5,I:I)),G6130=1),MAX($H$3:OFFSET(H6130,-1,0))+1,0)</f>
        <v>0</v>
      </c>
      <c r="I6130" s="3" t="s">
        <v>491</v>
      </c>
      <c r="K6130" s="2">
        <f>IF(ISNUMBER(SEARCH(Лист2!$B$4,F:F)),1,0)</f>
        <v>0</v>
      </c>
      <c r="L6130" s="14">
        <f>IF(ISNUMBER(SEARCH(Лист2!$B$5,I:I)),1,0)+K6130</f>
        <v>0</v>
      </c>
      <c r="M6130" s="3">
        <f ca="1">IF(AND(N6130&lt;&gt;N6129,ISNUMBER(SEARCH(Лист2!$B$6,N:N)),L6130=2),MAX($M$3:OFFSET(M6130,-1,0))+1,0)</f>
        <v>0</v>
      </c>
      <c r="N6130" s="3" t="s">
        <v>3598</v>
      </c>
    </row>
    <row r="6131" spans="1:14" x14ac:dyDescent="0.25">
      <c r="A6131" s="1" t="s">
        <v>14567</v>
      </c>
      <c r="B6131" s="3" t="s">
        <v>9744</v>
      </c>
      <c r="C6131" s="2">
        <f ca="1">IF(ISNUMBER(SEARCH(Лист2!$B$4,D:D)),MAX($C$3:OFFSET(C6131,-1,0))+1,0)</f>
        <v>0</v>
      </c>
      <c r="E6131" s="9" t="str">
        <f t="shared" ca="1" si="107"/>
        <v/>
      </c>
      <c r="F6131" s="4" t="s">
        <v>38</v>
      </c>
      <c r="G6131" s="2">
        <f>IF(ISNUMBER(SEARCH(Лист2!$B$4,F:F)),1,0)</f>
        <v>0</v>
      </c>
      <c r="H6131" s="3">
        <f ca="1">IF(AND(I6131&lt;&gt;I6130,ISNUMBER(SEARCH(Лист2!$B$5,I:I)),G6131=1),MAX($H$3:OFFSET(H6131,-1,0))+1,0)</f>
        <v>0</v>
      </c>
      <c r="I6131" s="3" t="s">
        <v>491</v>
      </c>
      <c r="K6131" s="2">
        <f>IF(ISNUMBER(SEARCH(Лист2!$B$4,F:F)),1,0)</f>
        <v>0</v>
      </c>
      <c r="L6131" s="14">
        <f>IF(ISNUMBER(SEARCH(Лист2!$B$5,I:I)),1,0)+K6131</f>
        <v>0</v>
      </c>
      <c r="M6131" s="3">
        <f ca="1">IF(AND(N6131&lt;&gt;N6130,ISNUMBER(SEARCH(Лист2!$B$6,N:N)),L6131=2),MAX($M$3:OFFSET(M6131,-1,0))+1,0)</f>
        <v>0</v>
      </c>
      <c r="N6131" s="3" t="s">
        <v>3599</v>
      </c>
    </row>
    <row r="6132" spans="1:14" x14ac:dyDescent="0.25">
      <c r="A6132" s="1" t="s">
        <v>14568</v>
      </c>
      <c r="B6132" s="3" t="s">
        <v>9745</v>
      </c>
      <c r="C6132" s="2">
        <f ca="1">IF(ISNUMBER(SEARCH(Лист2!$B$4,D:D)),MAX($C$3:OFFSET(C6132,-1,0))+1,0)</f>
        <v>0</v>
      </c>
      <c r="E6132" s="9" t="str">
        <f t="shared" ca="1" si="107"/>
        <v/>
      </c>
      <c r="F6132" s="4" t="s">
        <v>38</v>
      </c>
      <c r="G6132" s="2">
        <f>IF(ISNUMBER(SEARCH(Лист2!$B$4,F:F)),1,0)</f>
        <v>0</v>
      </c>
      <c r="H6132" s="3">
        <f ca="1">IF(AND(I6132&lt;&gt;I6131,ISNUMBER(SEARCH(Лист2!$B$5,I:I)),G6132=1),MAX($H$3:OFFSET(H6132,-1,0))+1,0)</f>
        <v>0</v>
      </c>
      <c r="I6132" s="3" t="s">
        <v>491</v>
      </c>
      <c r="K6132" s="2">
        <f>IF(ISNUMBER(SEARCH(Лист2!$B$4,F:F)),1,0)</f>
        <v>0</v>
      </c>
      <c r="L6132" s="14">
        <f>IF(ISNUMBER(SEARCH(Лист2!$B$5,I:I)),1,0)+K6132</f>
        <v>0</v>
      </c>
      <c r="M6132" s="3">
        <f ca="1">IF(AND(N6132&lt;&gt;N6131,ISNUMBER(SEARCH(Лист2!$B$6,N:N)),L6132=2),MAX($M$3:OFFSET(M6132,-1,0))+1,0)</f>
        <v>0</v>
      </c>
      <c r="N6132" s="3" t="s">
        <v>3600</v>
      </c>
    </row>
    <row r="6133" spans="1:14" x14ac:dyDescent="0.25">
      <c r="A6133" s="1" t="s">
        <v>14569</v>
      </c>
      <c r="B6133" s="3" t="s">
        <v>9746</v>
      </c>
      <c r="C6133" s="2">
        <f ca="1">IF(ISNUMBER(SEARCH(Лист2!$B$4,D:D)),MAX($C$3:OFFSET(C6133,-1,0))+1,0)</f>
        <v>0</v>
      </c>
      <c r="E6133" s="9" t="str">
        <f t="shared" ca="1" si="107"/>
        <v/>
      </c>
      <c r="F6133" s="4" t="s">
        <v>38</v>
      </c>
      <c r="G6133" s="2">
        <f>IF(ISNUMBER(SEARCH(Лист2!$B$4,F:F)),1,0)</f>
        <v>0</v>
      </c>
      <c r="H6133" s="3">
        <f ca="1">IF(AND(I6133&lt;&gt;I6132,ISNUMBER(SEARCH(Лист2!$B$5,I:I)),G6133=1),MAX($H$3:OFFSET(H6133,-1,0))+1,0)</f>
        <v>0</v>
      </c>
      <c r="I6133" s="3" t="s">
        <v>491</v>
      </c>
      <c r="K6133" s="2">
        <f>IF(ISNUMBER(SEARCH(Лист2!$B$4,F:F)),1,0)</f>
        <v>0</v>
      </c>
      <c r="L6133" s="14">
        <f>IF(ISNUMBER(SEARCH(Лист2!$B$5,I:I)),1,0)+K6133</f>
        <v>0</v>
      </c>
      <c r="M6133" s="3">
        <f ca="1">IF(AND(N6133&lt;&gt;N6132,ISNUMBER(SEARCH(Лист2!$B$6,N:N)),L6133=2),MAX($M$3:OFFSET(M6133,-1,0))+1,0)</f>
        <v>0</v>
      </c>
      <c r="N6133" s="3" t="s">
        <v>3601</v>
      </c>
    </row>
    <row r="6134" spans="1:14" x14ac:dyDescent="0.25">
      <c r="A6134" s="1" t="s">
        <v>14570</v>
      </c>
      <c r="B6134" s="3" t="s">
        <v>9747</v>
      </c>
      <c r="C6134" s="2">
        <f ca="1">IF(ISNUMBER(SEARCH(Лист2!$B$4,D:D)),MAX($C$3:OFFSET(C6134,-1,0))+1,0)</f>
        <v>0</v>
      </c>
      <c r="E6134" s="9" t="str">
        <f t="shared" ca="1" si="107"/>
        <v/>
      </c>
      <c r="F6134" s="4" t="s">
        <v>38</v>
      </c>
      <c r="G6134" s="2">
        <f>IF(ISNUMBER(SEARCH(Лист2!$B$4,F:F)),1,0)</f>
        <v>0</v>
      </c>
      <c r="H6134" s="3">
        <f ca="1">IF(AND(I6134&lt;&gt;I6133,ISNUMBER(SEARCH(Лист2!$B$5,I:I)),G6134=1),MAX($H$3:OFFSET(H6134,-1,0))+1,0)</f>
        <v>0</v>
      </c>
      <c r="I6134" s="3" t="s">
        <v>491</v>
      </c>
      <c r="K6134" s="2">
        <f>IF(ISNUMBER(SEARCH(Лист2!$B$4,F:F)),1,0)</f>
        <v>0</v>
      </c>
      <c r="L6134" s="14">
        <f>IF(ISNUMBER(SEARCH(Лист2!$B$5,I:I)),1,0)+K6134</f>
        <v>0</v>
      </c>
      <c r="M6134" s="3">
        <f ca="1">IF(AND(N6134&lt;&gt;N6133,ISNUMBER(SEARCH(Лист2!$B$6,N:N)),L6134=2),MAX($M$3:OFFSET(M6134,-1,0))+1,0)</f>
        <v>0</v>
      </c>
      <c r="N6134" s="3" t="s">
        <v>602</v>
      </c>
    </row>
    <row r="6135" spans="1:14" x14ac:dyDescent="0.25">
      <c r="A6135" s="1" t="s">
        <v>14571</v>
      </c>
      <c r="B6135" s="3" t="s">
        <v>9748</v>
      </c>
      <c r="C6135" s="2">
        <f ca="1">IF(ISNUMBER(SEARCH(Лист2!$B$4,D:D)),MAX($C$3:OFFSET(C6135,-1,0))+1,0)</f>
        <v>0</v>
      </c>
      <c r="E6135" s="9" t="str">
        <f t="shared" ca="1" si="107"/>
        <v/>
      </c>
      <c r="F6135" s="4" t="s">
        <v>38</v>
      </c>
      <c r="G6135" s="2">
        <f>IF(ISNUMBER(SEARCH(Лист2!$B$4,F:F)),1,0)</f>
        <v>0</v>
      </c>
      <c r="H6135" s="3">
        <f ca="1">IF(AND(I6135&lt;&gt;I6134,ISNUMBER(SEARCH(Лист2!$B$5,I:I)),G6135=1),MAX($H$3:OFFSET(H6135,-1,0))+1,0)</f>
        <v>0</v>
      </c>
      <c r="I6135" s="3" t="s">
        <v>491</v>
      </c>
      <c r="K6135" s="2">
        <f>IF(ISNUMBER(SEARCH(Лист2!$B$4,F:F)),1,0)</f>
        <v>0</v>
      </c>
      <c r="L6135" s="14">
        <f>IF(ISNUMBER(SEARCH(Лист2!$B$5,I:I)),1,0)+K6135</f>
        <v>0</v>
      </c>
      <c r="M6135" s="3">
        <f ca="1">IF(AND(N6135&lt;&gt;N6134,ISNUMBER(SEARCH(Лист2!$B$6,N:N)),L6135=2),MAX($M$3:OFFSET(M6135,-1,0))+1,0)</f>
        <v>0</v>
      </c>
      <c r="N6135" s="3" t="s">
        <v>3602</v>
      </c>
    </row>
    <row r="6136" spans="1:14" x14ac:dyDescent="0.25">
      <c r="A6136" s="1" t="s">
        <v>14572</v>
      </c>
      <c r="B6136" s="3" t="s">
        <v>9749</v>
      </c>
      <c r="C6136" s="2">
        <f ca="1">IF(ISNUMBER(SEARCH(Лист2!$B$4,D:D)),MAX($C$3:OFFSET(C6136,-1,0))+1,0)</f>
        <v>0</v>
      </c>
      <c r="E6136" s="9" t="str">
        <f t="shared" ca="1" si="107"/>
        <v/>
      </c>
      <c r="F6136" s="4" t="s">
        <v>38</v>
      </c>
      <c r="G6136" s="2">
        <f>IF(ISNUMBER(SEARCH(Лист2!$B$4,F:F)),1,0)</f>
        <v>0</v>
      </c>
      <c r="H6136" s="3">
        <f ca="1">IF(AND(I6136&lt;&gt;I6135,ISNUMBER(SEARCH(Лист2!$B$5,I:I)),G6136=1),MAX($H$3:OFFSET(H6136,-1,0))+1,0)</f>
        <v>0</v>
      </c>
      <c r="I6136" s="3" t="s">
        <v>492</v>
      </c>
      <c r="K6136" s="2">
        <f>IF(ISNUMBER(SEARCH(Лист2!$B$4,F:F)),1,0)</f>
        <v>0</v>
      </c>
      <c r="L6136" s="14">
        <f>IF(ISNUMBER(SEARCH(Лист2!$B$5,I:I)),1,0)+K6136</f>
        <v>0</v>
      </c>
      <c r="M6136" s="3">
        <f ca="1">IF(AND(N6136&lt;&gt;N6135,ISNUMBER(SEARCH(Лист2!$B$6,N:N)),L6136=2),MAX($M$3:OFFSET(M6136,-1,0))+1,0)</f>
        <v>0</v>
      </c>
      <c r="N6136" s="3" t="s">
        <v>3603</v>
      </c>
    </row>
    <row r="6137" spans="1:14" x14ac:dyDescent="0.25">
      <c r="A6137" s="1" t="s">
        <v>14573</v>
      </c>
      <c r="B6137" s="3" t="s">
        <v>9750</v>
      </c>
      <c r="C6137" s="2">
        <f ca="1">IF(ISNUMBER(SEARCH(Лист2!$B$4,D:D)),MAX($C$3:OFFSET(C6137,-1,0))+1,0)</f>
        <v>0</v>
      </c>
      <c r="E6137" s="9" t="str">
        <f t="shared" ca="1" si="107"/>
        <v/>
      </c>
      <c r="F6137" s="4" t="s">
        <v>38</v>
      </c>
      <c r="G6137" s="2">
        <f>IF(ISNUMBER(SEARCH(Лист2!$B$4,F:F)),1,0)</f>
        <v>0</v>
      </c>
      <c r="H6137" s="3">
        <f ca="1">IF(AND(I6137&lt;&gt;I6136,ISNUMBER(SEARCH(Лист2!$B$5,I:I)),G6137=1),MAX($H$3:OFFSET(H6137,-1,0))+1,0)</f>
        <v>0</v>
      </c>
      <c r="I6137" s="3" t="s">
        <v>492</v>
      </c>
      <c r="K6137" s="2">
        <f>IF(ISNUMBER(SEARCH(Лист2!$B$4,F:F)),1,0)</f>
        <v>0</v>
      </c>
      <c r="L6137" s="14">
        <f>IF(ISNUMBER(SEARCH(Лист2!$B$5,I:I)),1,0)+K6137</f>
        <v>0</v>
      </c>
      <c r="M6137" s="3">
        <f ca="1">IF(AND(N6137&lt;&gt;N6136,ISNUMBER(SEARCH(Лист2!$B$6,N:N)),L6137=2),MAX($M$3:OFFSET(M6137,-1,0))+1,0)</f>
        <v>0</v>
      </c>
      <c r="N6137" s="3" t="s">
        <v>3604</v>
      </c>
    </row>
    <row r="6138" spans="1:14" x14ac:dyDescent="0.25">
      <c r="A6138" s="1" t="s">
        <v>14574</v>
      </c>
      <c r="B6138" s="3" t="s">
        <v>9751</v>
      </c>
      <c r="C6138" s="2">
        <f ca="1">IF(ISNUMBER(SEARCH(Лист2!$B$4,D:D)),MAX($C$3:OFFSET(C6138,-1,0))+1,0)</f>
        <v>0</v>
      </c>
      <c r="E6138" s="9" t="str">
        <f t="shared" ca="1" si="107"/>
        <v/>
      </c>
      <c r="F6138" s="4" t="s">
        <v>38</v>
      </c>
      <c r="G6138" s="2">
        <f>IF(ISNUMBER(SEARCH(Лист2!$B$4,F:F)),1,0)</f>
        <v>0</v>
      </c>
      <c r="H6138" s="3">
        <f ca="1">IF(AND(I6138&lt;&gt;I6137,ISNUMBER(SEARCH(Лист2!$B$5,I:I)),G6138=1),MAX($H$3:OFFSET(H6138,-1,0))+1,0)</f>
        <v>0</v>
      </c>
      <c r="I6138" s="3" t="s">
        <v>492</v>
      </c>
      <c r="K6138" s="2">
        <f>IF(ISNUMBER(SEARCH(Лист2!$B$4,F:F)),1,0)</f>
        <v>0</v>
      </c>
      <c r="L6138" s="14">
        <f>IF(ISNUMBER(SEARCH(Лист2!$B$5,I:I)),1,0)+K6138</f>
        <v>0</v>
      </c>
      <c r="M6138" s="3">
        <f ca="1">IF(AND(N6138&lt;&gt;N6137,ISNUMBER(SEARCH(Лист2!$B$6,N:N)),L6138=2),MAX($M$3:OFFSET(M6138,-1,0))+1,0)</f>
        <v>0</v>
      </c>
      <c r="N6138" s="3" t="s">
        <v>3605</v>
      </c>
    </row>
    <row r="6139" spans="1:14" x14ac:dyDescent="0.25">
      <c r="A6139" s="1" t="s">
        <v>14575</v>
      </c>
      <c r="B6139" s="3" t="s">
        <v>9752</v>
      </c>
      <c r="C6139" s="2">
        <f ca="1">IF(ISNUMBER(SEARCH(Лист2!$B$4,D:D)),MAX($C$3:OFFSET(C6139,-1,0))+1,0)</f>
        <v>0</v>
      </c>
      <c r="E6139" s="9" t="str">
        <f t="shared" ca="1" si="107"/>
        <v/>
      </c>
      <c r="F6139" s="4" t="s">
        <v>38</v>
      </c>
      <c r="G6139" s="2">
        <f>IF(ISNUMBER(SEARCH(Лист2!$B$4,F:F)),1,0)</f>
        <v>0</v>
      </c>
      <c r="H6139" s="3">
        <f ca="1">IF(AND(I6139&lt;&gt;I6138,ISNUMBER(SEARCH(Лист2!$B$5,I:I)),G6139=1),MAX($H$3:OFFSET(H6139,-1,0))+1,0)</f>
        <v>0</v>
      </c>
      <c r="I6139" s="3" t="s">
        <v>492</v>
      </c>
      <c r="K6139" s="2">
        <f>IF(ISNUMBER(SEARCH(Лист2!$B$4,F:F)),1,0)</f>
        <v>0</v>
      </c>
      <c r="L6139" s="14">
        <f>IF(ISNUMBER(SEARCH(Лист2!$B$5,I:I)),1,0)+K6139</f>
        <v>0</v>
      </c>
      <c r="M6139" s="3">
        <f ca="1">IF(AND(N6139&lt;&gt;N6138,ISNUMBER(SEARCH(Лист2!$B$6,N:N)),L6139=2),MAX($M$3:OFFSET(M6139,-1,0))+1,0)</f>
        <v>0</v>
      </c>
      <c r="N6139" s="3" t="s">
        <v>3606</v>
      </c>
    </row>
    <row r="6140" spans="1:14" x14ac:dyDescent="0.25">
      <c r="A6140" s="1" t="s">
        <v>14576</v>
      </c>
      <c r="B6140" s="3" t="s">
        <v>9753</v>
      </c>
      <c r="C6140" s="2">
        <f ca="1">IF(ISNUMBER(SEARCH(Лист2!$B$4,D:D)),MAX($C$3:OFFSET(C6140,-1,0))+1,0)</f>
        <v>0</v>
      </c>
      <c r="E6140" s="9" t="str">
        <f t="shared" ca="1" si="107"/>
        <v/>
      </c>
      <c r="F6140" s="4" t="s">
        <v>38</v>
      </c>
      <c r="G6140" s="2">
        <f>IF(ISNUMBER(SEARCH(Лист2!$B$4,F:F)),1,0)</f>
        <v>0</v>
      </c>
      <c r="H6140" s="3">
        <f ca="1">IF(AND(I6140&lt;&gt;I6139,ISNUMBER(SEARCH(Лист2!$B$5,I:I)),G6140=1),MAX($H$3:OFFSET(H6140,-1,0))+1,0)</f>
        <v>0</v>
      </c>
      <c r="I6140" s="3" t="s">
        <v>492</v>
      </c>
      <c r="K6140" s="2">
        <f>IF(ISNUMBER(SEARCH(Лист2!$B$4,F:F)),1,0)</f>
        <v>0</v>
      </c>
      <c r="L6140" s="14">
        <f>IF(ISNUMBER(SEARCH(Лист2!$B$5,I:I)),1,0)+K6140</f>
        <v>0</v>
      </c>
      <c r="M6140" s="3">
        <f ca="1">IF(AND(N6140&lt;&gt;N6139,ISNUMBER(SEARCH(Лист2!$B$6,N:N)),L6140=2),MAX($M$3:OFFSET(M6140,-1,0))+1,0)</f>
        <v>0</v>
      </c>
      <c r="N6140" s="3" t="s">
        <v>3607</v>
      </c>
    </row>
    <row r="6141" spans="1:14" x14ac:dyDescent="0.25">
      <c r="A6141" s="1" t="s">
        <v>14577</v>
      </c>
      <c r="B6141" s="3" t="s">
        <v>9754</v>
      </c>
      <c r="C6141" s="2">
        <f ca="1">IF(ISNUMBER(SEARCH(Лист2!$B$4,D:D)),MAX($C$3:OFFSET(C6141,-1,0))+1,0)</f>
        <v>0</v>
      </c>
      <c r="E6141" s="9" t="str">
        <f t="shared" ca="1" si="107"/>
        <v/>
      </c>
      <c r="F6141" s="4" t="s">
        <v>38</v>
      </c>
      <c r="G6141" s="2">
        <f>IF(ISNUMBER(SEARCH(Лист2!$B$4,F:F)),1,0)</f>
        <v>0</v>
      </c>
      <c r="H6141" s="3">
        <f ca="1">IF(AND(I6141&lt;&gt;I6140,ISNUMBER(SEARCH(Лист2!$B$5,I:I)),G6141=1),MAX($H$3:OFFSET(H6141,-1,0))+1,0)</f>
        <v>0</v>
      </c>
      <c r="I6141" s="3" t="s">
        <v>492</v>
      </c>
      <c r="K6141" s="2">
        <f>IF(ISNUMBER(SEARCH(Лист2!$B$4,F:F)),1,0)</f>
        <v>0</v>
      </c>
      <c r="L6141" s="14">
        <f>IF(ISNUMBER(SEARCH(Лист2!$B$5,I:I)),1,0)+K6141</f>
        <v>0</v>
      </c>
      <c r="M6141" s="3">
        <f ca="1">IF(AND(N6141&lt;&gt;N6140,ISNUMBER(SEARCH(Лист2!$B$6,N:N)),L6141=2),MAX($M$3:OFFSET(M6141,-1,0))+1,0)</f>
        <v>0</v>
      </c>
      <c r="N6141" s="3" t="s">
        <v>3608</v>
      </c>
    </row>
    <row r="6142" spans="1:14" x14ac:dyDescent="0.25">
      <c r="A6142" s="1" t="s">
        <v>14578</v>
      </c>
      <c r="B6142" s="3" t="s">
        <v>9755</v>
      </c>
      <c r="C6142" s="2">
        <f ca="1">IF(ISNUMBER(SEARCH(Лист2!$B$4,D:D)),MAX($C$3:OFFSET(C6142,-1,0))+1,0)</f>
        <v>0</v>
      </c>
      <c r="E6142" s="9" t="str">
        <f t="shared" ca="1" si="107"/>
        <v/>
      </c>
      <c r="F6142" s="4" t="s">
        <v>38</v>
      </c>
      <c r="G6142" s="2">
        <f>IF(ISNUMBER(SEARCH(Лист2!$B$4,F:F)),1,0)</f>
        <v>0</v>
      </c>
      <c r="H6142" s="3">
        <f ca="1">IF(AND(I6142&lt;&gt;I6141,ISNUMBER(SEARCH(Лист2!$B$5,I:I)),G6142=1),MAX($H$3:OFFSET(H6142,-1,0))+1,0)</f>
        <v>0</v>
      </c>
      <c r="I6142" s="3" t="s">
        <v>492</v>
      </c>
      <c r="K6142" s="2">
        <f>IF(ISNUMBER(SEARCH(Лист2!$B$4,F:F)),1,0)</f>
        <v>0</v>
      </c>
      <c r="L6142" s="14">
        <f>IF(ISNUMBER(SEARCH(Лист2!$B$5,I:I)),1,0)+K6142</f>
        <v>0</v>
      </c>
      <c r="M6142" s="3">
        <f ca="1">IF(AND(N6142&lt;&gt;N6141,ISNUMBER(SEARCH(Лист2!$B$6,N:N)),L6142=2),MAX($M$3:OFFSET(M6142,-1,0))+1,0)</f>
        <v>0</v>
      </c>
      <c r="N6142" s="3" t="s">
        <v>3598</v>
      </c>
    </row>
    <row r="6143" spans="1:14" x14ac:dyDescent="0.25">
      <c r="A6143" s="1" t="s">
        <v>14579</v>
      </c>
      <c r="B6143" s="3" t="s">
        <v>9756</v>
      </c>
      <c r="C6143" s="2">
        <f ca="1">IF(ISNUMBER(SEARCH(Лист2!$B$4,D:D)),MAX($C$3:OFFSET(C6143,-1,0))+1,0)</f>
        <v>0</v>
      </c>
      <c r="E6143" s="9" t="str">
        <f t="shared" ca="1" si="107"/>
        <v/>
      </c>
      <c r="F6143" s="4" t="s">
        <v>38</v>
      </c>
      <c r="G6143" s="2">
        <f>IF(ISNUMBER(SEARCH(Лист2!$B$4,F:F)),1,0)</f>
        <v>0</v>
      </c>
      <c r="H6143" s="3">
        <f ca="1">IF(AND(I6143&lt;&gt;I6142,ISNUMBER(SEARCH(Лист2!$B$5,I:I)),G6143=1),MAX($H$3:OFFSET(H6143,-1,0))+1,0)</f>
        <v>0</v>
      </c>
      <c r="I6143" s="3" t="s">
        <v>492</v>
      </c>
      <c r="K6143" s="2">
        <f>IF(ISNUMBER(SEARCH(Лист2!$B$4,F:F)),1,0)</f>
        <v>0</v>
      </c>
      <c r="L6143" s="14">
        <f>IF(ISNUMBER(SEARCH(Лист2!$B$5,I:I)),1,0)+K6143</f>
        <v>0</v>
      </c>
      <c r="M6143" s="3">
        <f ca="1">IF(AND(N6143&lt;&gt;N6142,ISNUMBER(SEARCH(Лист2!$B$6,N:N)),L6143=2),MAX($M$3:OFFSET(M6143,-1,0))+1,0)</f>
        <v>0</v>
      </c>
      <c r="N6143" s="3" t="s">
        <v>3599</v>
      </c>
    </row>
    <row r="6144" spans="1:14" x14ac:dyDescent="0.25">
      <c r="A6144" s="1" t="s">
        <v>14580</v>
      </c>
      <c r="B6144" s="3" t="s">
        <v>9757</v>
      </c>
      <c r="C6144" s="2">
        <f ca="1">IF(ISNUMBER(SEARCH(Лист2!$B$4,D:D)),MAX($C$3:OFFSET(C6144,-1,0))+1,0)</f>
        <v>0</v>
      </c>
      <c r="E6144" s="9" t="str">
        <f t="shared" ca="1" si="107"/>
        <v/>
      </c>
      <c r="F6144" s="4" t="s">
        <v>38</v>
      </c>
      <c r="G6144" s="2">
        <f>IF(ISNUMBER(SEARCH(Лист2!$B$4,F:F)),1,0)</f>
        <v>0</v>
      </c>
      <c r="H6144" s="3">
        <f ca="1">IF(AND(I6144&lt;&gt;I6143,ISNUMBER(SEARCH(Лист2!$B$5,I:I)),G6144=1),MAX($H$3:OFFSET(H6144,-1,0))+1,0)</f>
        <v>0</v>
      </c>
      <c r="I6144" s="3" t="s">
        <v>492</v>
      </c>
      <c r="K6144" s="2">
        <f>IF(ISNUMBER(SEARCH(Лист2!$B$4,F:F)),1,0)</f>
        <v>0</v>
      </c>
      <c r="L6144" s="14">
        <f>IF(ISNUMBER(SEARCH(Лист2!$B$5,I:I)),1,0)+K6144</f>
        <v>0</v>
      </c>
      <c r="M6144" s="3">
        <f ca="1">IF(AND(N6144&lt;&gt;N6143,ISNUMBER(SEARCH(Лист2!$B$6,N:N)),L6144=2),MAX($M$3:OFFSET(M6144,-1,0))+1,0)</f>
        <v>0</v>
      </c>
      <c r="N6144" s="3" t="s">
        <v>3609</v>
      </c>
    </row>
    <row r="6145" spans="1:14" x14ac:dyDescent="0.25">
      <c r="A6145" s="1" t="s">
        <v>14581</v>
      </c>
      <c r="B6145" s="3" t="s">
        <v>9758</v>
      </c>
      <c r="C6145" s="2">
        <f ca="1">IF(ISNUMBER(SEARCH(Лист2!$B$4,D:D)),MAX($C$3:OFFSET(C6145,-1,0))+1,0)</f>
        <v>0</v>
      </c>
      <c r="E6145" s="9" t="str">
        <f t="shared" ca="1" si="107"/>
        <v/>
      </c>
      <c r="F6145" s="4" t="s">
        <v>38</v>
      </c>
      <c r="G6145" s="2">
        <f>IF(ISNUMBER(SEARCH(Лист2!$B$4,F:F)),1,0)</f>
        <v>0</v>
      </c>
      <c r="H6145" s="3">
        <f ca="1">IF(AND(I6145&lt;&gt;I6144,ISNUMBER(SEARCH(Лист2!$B$5,I:I)),G6145=1),MAX($H$3:OFFSET(H6145,-1,0))+1,0)</f>
        <v>0</v>
      </c>
      <c r="I6145" s="3" t="s">
        <v>492</v>
      </c>
      <c r="K6145" s="2">
        <f>IF(ISNUMBER(SEARCH(Лист2!$B$4,F:F)),1,0)</f>
        <v>0</v>
      </c>
      <c r="L6145" s="14">
        <f>IF(ISNUMBER(SEARCH(Лист2!$B$5,I:I)),1,0)+K6145</f>
        <v>0</v>
      </c>
      <c r="M6145" s="3">
        <f ca="1">IF(AND(N6145&lt;&gt;N6144,ISNUMBER(SEARCH(Лист2!$B$6,N:N)),L6145=2),MAX($M$3:OFFSET(M6145,-1,0))+1,0)</f>
        <v>0</v>
      </c>
      <c r="N6145" s="3" t="s">
        <v>3610</v>
      </c>
    </row>
    <row r="6146" spans="1:14" x14ac:dyDescent="0.25">
      <c r="A6146" s="1" t="s">
        <v>14582</v>
      </c>
      <c r="B6146" s="3" t="s">
        <v>9759</v>
      </c>
      <c r="C6146" s="2">
        <f ca="1">IF(ISNUMBER(SEARCH(Лист2!$B$4,D:D)),MAX($C$3:OFFSET(C6146,-1,0))+1,0)</f>
        <v>0</v>
      </c>
      <c r="E6146" s="9" t="str">
        <f t="shared" ca="1" si="107"/>
        <v/>
      </c>
      <c r="F6146" s="4" t="s">
        <v>38</v>
      </c>
      <c r="G6146" s="2">
        <f>IF(ISNUMBER(SEARCH(Лист2!$B$4,F:F)),1,0)</f>
        <v>0</v>
      </c>
      <c r="H6146" s="3">
        <f ca="1">IF(AND(I6146&lt;&gt;I6145,ISNUMBER(SEARCH(Лист2!$B$5,I:I)),G6146=1),MAX($H$3:OFFSET(H6146,-1,0))+1,0)</f>
        <v>0</v>
      </c>
      <c r="I6146" s="3" t="s">
        <v>492</v>
      </c>
      <c r="K6146" s="2">
        <f>IF(ISNUMBER(SEARCH(Лист2!$B$4,F:F)),1,0)</f>
        <v>0</v>
      </c>
      <c r="L6146" s="14">
        <f>IF(ISNUMBER(SEARCH(Лист2!$B$5,I:I)),1,0)+K6146</f>
        <v>0</v>
      </c>
      <c r="M6146" s="3">
        <f ca="1">IF(AND(N6146&lt;&gt;N6145,ISNUMBER(SEARCH(Лист2!$B$6,N:N)),L6146=2),MAX($M$3:OFFSET(M6146,-1,0))+1,0)</f>
        <v>0</v>
      </c>
      <c r="N6146" s="3" t="s">
        <v>602</v>
      </c>
    </row>
    <row r="6147" spans="1:14" x14ac:dyDescent="0.25">
      <c r="A6147" s="1" t="s">
        <v>14583</v>
      </c>
      <c r="B6147" s="3" t="s">
        <v>9760</v>
      </c>
      <c r="C6147" s="2">
        <f ca="1">IF(ISNUMBER(SEARCH(Лист2!$B$4,D:D)),MAX($C$3:OFFSET(C6147,-1,0))+1,0)</f>
        <v>0</v>
      </c>
      <c r="E6147" s="9" t="str">
        <f t="shared" ca="1" si="107"/>
        <v/>
      </c>
      <c r="F6147" s="4" t="s">
        <v>38</v>
      </c>
      <c r="G6147" s="2">
        <f>IF(ISNUMBER(SEARCH(Лист2!$B$4,F:F)),1,0)</f>
        <v>0</v>
      </c>
      <c r="H6147" s="3">
        <f ca="1">IF(AND(I6147&lt;&gt;I6146,ISNUMBER(SEARCH(Лист2!$B$5,I:I)),G6147=1),MAX($H$3:OFFSET(H6147,-1,0))+1,0)</f>
        <v>0</v>
      </c>
      <c r="I6147" s="3" t="s">
        <v>492</v>
      </c>
      <c r="K6147" s="2">
        <f>IF(ISNUMBER(SEARCH(Лист2!$B$4,F:F)),1,0)</f>
        <v>0</v>
      </c>
      <c r="L6147" s="14">
        <f>IF(ISNUMBER(SEARCH(Лист2!$B$5,I:I)),1,0)+K6147</f>
        <v>0</v>
      </c>
      <c r="M6147" s="3">
        <f ca="1">IF(AND(N6147&lt;&gt;N6146,ISNUMBER(SEARCH(Лист2!$B$6,N:N)),L6147=2),MAX($M$3:OFFSET(M6147,-1,0))+1,0)</f>
        <v>0</v>
      </c>
      <c r="N6147" s="3" t="s">
        <v>3611</v>
      </c>
    </row>
    <row r="6148" spans="1:14" x14ac:dyDescent="0.25">
      <c r="A6148" s="1" t="s">
        <v>14584</v>
      </c>
      <c r="B6148" s="3" t="s">
        <v>9761</v>
      </c>
      <c r="C6148" s="2">
        <f ca="1">IF(ISNUMBER(SEARCH(Лист2!$B$4,D:D)),MAX($C$3:OFFSET(C6148,-1,0))+1,0)</f>
        <v>0</v>
      </c>
      <c r="E6148" s="9" t="str">
        <f t="shared" ca="1" si="107"/>
        <v/>
      </c>
      <c r="F6148" s="4" t="s">
        <v>38</v>
      </c>
      <c r="G6148" s="2">
        <f>IF(ISNUMBER(SEARCH(Лист2!$B$4,F:F)),1,0)</f>
        <v>0</v>
      </c>
      <c r="H6148" s="3">
        <f ca="1">IF(AND(I6148&lt;&gt;I6147,ISNUMBER(SEARCH(Лист2!$B$5,I:I)),G6148=1),MAX($H$3:OFFSET(H6148,-1,0))+1,0)</f>
        <v>0</v>
      </c>
      <c r="I6148" s="3" t="s">
        <v>493</v>
      </c>
      <c r="K6148" s="2">
        <f>IF(ISNUMBER(SEARCH(Лист2!$B$4,F:F)),1,0)</f>
        <v>0</v>
      </c>
      <c r="L6148" s="14">
        <f>IF(ISNUMBER(SEARCH(Лист2!$B$5,I:I)),1,0)+K6148</f>
        <v>0</v>
      </c>
      <c r="M6148" s="3">
        <f ca="1">IF(AND(N6148&lt;&gt;N6147,ISNUMBER(SEARCH(Лист2!$B$6,N:N)),L6148=2),MAX($M$3:OFFSET(M6148,-1,0))+1,0)</f>
        <v>0</v>
      </c>
      <c r="N6148" s="3" t="s">
        <v>3612</v>
      </c>
    </row>
    <row r="6149" spans="1:14" x14ac:dyDescent="0.25">
      <c r="A6149" s="1" t="s">
        <v>14585</v>
      </c>
      <c r="B6149" s="3" t="s">
        <v>9762</v>
      </c>
      <c r="C6149" s="2">
        <f ca="1">IF(ISNUMBER(SEARCH(Лист2!$B$4,D:D)),MAX($C$3:OFFSET(C6149,-1,0))+1,0)</f>
        <v>0</v>
      </c>
      <c r="E6149" s="9" t="str">
        <f t="shared" ref="E6149:E6152" ca="1" si="108">IFERROR(INDEX(D:D,MATCH(ROW(E6149)-ROW($E$3),C:C,0)),"")</f>
        <v/>
      </c>
      <c r="F6149" s="4" t="s">
        <v>38</v>
      </c>
      <c r="G6149" s="2">
        <f>IF(ISNUMBER(SEARCH(Лист2!$B$4,F:F)),1,0)</f>
        <v>0</v>
      </c>
      <c r="H6149" s="3">
        <f ca="1">IF(AND(I6149&lt;&gt;I6148,ISNUMBER(SEARCH(Лист2!$B$5,I:I)),G6149=1),MAX($H$3:OFFSET(H6149,-1,0))+1,0)</f>
        <v>0</v>
      </c>
      <c r="I6149" s="3" t="s">
        <v>493</v>
      </c>
      <c r="K6149" s="2">
        <f>IF(ISNUMBER(SEARCH(Лист2!$B$4,F:F)),1,0)</f>
        <v>0</v>
      </c>
      <c r="L6149" s="14">
        <f>IF(ISNUMBER(SEARCH(Лист2!$B$5,I:I)),1,0)+K6149</f>
        <v>0</v>
      </c>
      <c r="M6149" s="3">
        <f ca="1">IF(AND(N6149&lt;&gt;N6148,ISNUMBER(SEARCH(Лист2!$B$6,N:N)),L6149=2),MAX($M$3:OFFSET(M6149,-1,0))+1,0)</f>
        <v>0</v>
      </c>
      <c r="N6149" s="3" t="s">
        <v>3613</v>
      </c>
    </row>
    <row r="6150" spans="1:14" x14ac:dyDescent="0.25">
      <c r="A6150" s="1" t="s">
        <v>14586</v>
      </c>
      <c r="B6150" s="3" t="s">
        <v>9763</v>
      </c>
      <c r="C6150" s="2">
        <f ca="1">IF(ISNUMBER(SEARCH(Лист2!$B$4,D:D)),MAX($C$3:OFFSET(C6150,-1,0))+1,0)</f>
        <v>0</v>
      </c>
      <c r="E6150" s="9" t="str">
        <f t="shared" ca="1" si="108"/>
        <v/>
      </c>
      <c r="F6150" s="4" t="s">
        <v>38</v>
      </c>
      <c r="G6150" s="2">
        <f>IF(ISNUMBER(SEARCH(Лист2!$B$4,F:F)),1,0)</f>
        <v>0</v>
      </c>
      <c r="H6150" s="3">
        <f ca="1">IF(AND(I6150&lt;&gt;I6149,ISNUMBER(SEARCH(Лист2!$B$5,I:I)),G6150=1),MAX($H$3:OFFSET(H6150,-1,0))+1,0)</f>
        <v>0</v>
      </c>
      <c r="I6150" s="3" t="s">
        <v>493</v>
      </c>
      <c r="K6150" s="2">
        <f>IF(ISNUMBER(SEARCH(Лист2!$B$4,F:F)),1,0)</f>
        <v>0</v>
      </c>
      <c r="L6150" s="14">
        <f>IF(ISNUMBER(SEARCH(Лист2!$B$5,I:I)),1,0)+K6150</f>
        <v>0</v>
      </c>
      <c r="M6150" s="3">
        <f ca="1">IF(AND(N6150&lt;&gt;N6149,ISNUMBER(SEARCH(Лист2!$B$6,N:N)),L6150=2),MAX($M$3:OFFSET(M6150,-1,0))+1,0)</f>
        <v>0</v>
      </c>
      <c r="N6150" s="3" t="s">
        <v>3614</v>
      </c>
    </row>
    <row r="6151" spans="1:14" x14ac:dyDescent="0.25">
      <c r="A6151" s="1" t="s">
        <v>14587</v>
      </c>
      <c r="B6151" s="3" t="s">
        <v>9764</v>
      </c>
      <c r="C6151" s="2">
        <f ca="1">IF(ISNUMBER(SEARCH(Лист2!$B$4,D:D)),MAX($C$3:OFFSET(C6151,-1,0))+1,0)</f>
        <v>0</v>
      </c>
      <c r="E6151" s="9" t="str">
        <f t="shared" ca="1" si="108"/>
        <v/>
      </c>
      <c r="F6151" s="4" t="s">
        <v>38</v>
      </c>
      <c r="G6151" s="2">
        <f>IF(ISNUMBER(SEARCH(Лист2!$B$4,F:F)),1,0)</f>
        <v>0</v>
      </c>
      <c r="H6151" s="3">
        <f ca="1">IF(AND(I6151&lt;&gt;I6150,ISNUMBER(SEARCH(Лист2!$B$5,I:I)),G6151=1),MAX($H$3:OFFSET(H6151,-1,0))+1,0)</f>
        <v>0</v>
      </c>
      <c r="I6151" s="3" t="s">
        <v>493</v>
      </c>
      <c r="K6151" s="2">
        <f>IF(ISNUMBER(SEARCH(Лист2!$B$4,F:F)),1,0)</f>
        <v>0</v>
      </c>
      <c r="L6151" s="14">
        <f>IF(ISNUMBER(SEARCH(Лист2!$B$5,I:I)),1,0)+K6151</f>
        <v>0</v>
      </c>
      <c r="M6151" s="3">
        <f ca="1">IF(AND(N6151&lt;&gt;N6150,ISNUMBER(SEARCH(Лист2!$B$6,N:N)),L6151=2),MAX($M$3:OFFSET(M6151,-1,0))+1,0)</f>
        <v>0</v>
      </c>
      <c r="N6151" s="3" t="s">
        <v>3615</v>
      </c>
    </row>
    <row r="6152" spans="1:14" x14ac:dyDescent="0.25">
      <c r="A6152" s="1" t="s">
        <v>14588</v>
      </c>
      <c r="B6152" s="3" t="s">
        <v>9765</v>
      </c>
      <c r="C6152" s="2">
        <f ca="1">IF(ISNUMBER(SEARCH(Лист2!$B$4,D:D)),MAX($C$3:OFFSET(C6152,-1,0))+1,0)</f>
        <v>0</v>
      </c>
      <c r="E6152" s="9" t="str">
        <f t="shared" ca="1" si="108"/>
        <v/>
      </c>
      <c r="F6152" s="4" t="s">
        <v>38</v>
      </c>
      <c r="G6152" s="2">
        <f>IF(ISNUMBER(SEARCH(Лист2!$B$4,F:F)),1,0)</f>
        <v>0</v>
      </c>
      <c r="H6152" s="3">
        <f ca="1">IF(AND(I6152&lt;&gt;I6151,ISNUMBER(SEARCH(Лист2!$B$5,I:I)),G6152=1),MAX($H$3:OFFSET(H6152,-1,0))+1,0)</f>
        <v>0</v>
      </c>
      <c r="I6152" s="3" t="s">
        <v>493</v>
      </c>
      <c r="K6152" s="2">
        <f>IF(ISNUMBER(SEARCH(Лист2!$B$4,F:F)),1,0)</f>
        <v>0</v>
      </c>
      <c r="L6152" s="14">
        <f>IF(ISNUMBER(SEARCH(Лист2!$B$5,I:I)),1,0)+K6152</f>
        <v>0</v>
      </c>
      <c r="M6152" s="3">
        <f ca="1">IF(AND(N6152&lt;&gt;N6151,ISNUMBER(SEARCH(Лист2!$B$6,N:N)),L6152=2),MAX($M$3:OFFSET(M6152,-1,0))+1,0)</f>
        <v>0</v>
      </c>
      <c r="N6152" s="3" t="s">
        <v>3616</v>
      </c>
    </row>
    <row r="6153" spans="1:14" x14ac:dyDescent="0.25">
      <c r="A6153" s="1" t="s">
        <v>14589</v>
      </c>
      <c r="B6153" s="3" t="s">
        <v>9766</v>
      </c>
      <c r="F6153" s="4" t="s">
        <v>38</v>
      </c>
      <c r="G6153" s="2">
        <f>IF(ISNUMBER(SEARCH(Лист2!$B$4,F:F)),1,0)</f>
        <v>0</v>
      </c>
      <c r="H6153" s="3">
        <f ca="1">IF(AND(I6153&lt;&gt;I6152,ISNUMBER(SEARCH(Лист2!$B$5,I:I)),G6153=1),MAX($H$3:OFFSET(H6153,-1,0))+1,0)</f>
        <v>0</v>
      </c>
      <c r="I6153" s="3" t="s">
        <v>493</v>
      </c>
      <c r="K6153" s="2">
        <f>IF(ISNUMBER(SEARCH(Лист2!$B$4,F:F)),1,0)</f>
        <v>0</v>
      </c>
      <c r="L6153" s="14">
        <f>IF(ISNUMBER(SEARCH(Лист2!$B$5,I:I)),1,0)+K6153</f>
        <v>0</v>
      </c>
      <c r="M6153" s="3">
        <f ca="1">IF(AND(N6153&lt;&gt;N6152,ISNUMBER(SEARCH(Лист2!$B$6,N:N)),L6153=2),MAX($M$3:OFFSET(M6153,-1,0))+1,0)</f>
        <v>0</v>
      </c>
      <c r="N6153" s="3" t="s">
        <v>3617</v>
      </c>
    </row>
    <row r="6154" spans="1:14" x14ac:dyDescent="0.25">
      <c r="A6154" s="1" t="s">
        <v>14590</v>
      </c>
      <c r="B6154" s="3" t="s">
        <v>9767</v>
      </c>
      <c r="F6154" s="4" t="s">
        <v>38</v>
      </c>
      <c r="G6154" s="2">
        <f>IF(ISNUMBER(SEARCH(Лист2!$B$4,F:F)),1,0)</f>
        <v>0</v>
      </c>
      <c r="H6154" s="3">
        <f ca="1">IF(AND(I6154&lt;&gt;I6153,ISNUMBER(SEARCH(Лист2!$B$5,I:I)),G6154=1),MAX($H$3:OFFSET(H6154,-1,0))+1,0)</f>
        <v>0</v>
      </c>
      <c r="I6154" s="3" t="s">
        <v>493</v>
      </c>
      <c r="K6154" s="2">
        <f>IF(ISNUMBER(SEARCH(Лист2!$B$4,F:F)),1,0)</f>
        <v>0</v>
      </c>
      <c r="L6154" s="14">
        <f>IF(ISNUMBER(SEARCH(Лист2!$B$5,I:I)),1,0)+K6154</f>
        <v>0</v>
      </c>
      <c r="M6154" s="3">
        <f ca="1">IF(AND(N6154&lt;&gt;N6153,ISNUMBER(SEARCH(Лист2!$B$6,N:N)),L6154=2),MAX($M$3:OFFSET(M6154,-1,0))+1,0)</f>
        <v>0</v>
      </c>
      <c r="N6154" s="3" t="s">
        <v>3598</v>
      </c>
    </row>
    <row r="6155" spans="1:14" x14ac:dyDescent="0.25">
      <c r="A6155" s="1" t="s">
        <v>14591</v>
      </c>
      <c r="B6155" s="3" t="s">
        <v>9768</v>
      </c>
      <c r="F6155" s="4" t="s">
        <v>38</v>
      </c>
      <c r="G6155" s="2">
        <f>IF(ISNUMBER(SEARCH(Лист2!$B$4,F:F)),1,0)</f>
        <v>0</v>
      </c>
      <c r="H6155" s="3">
        <f ca="1">IF(AND(I6155&lt;&gt;I6154,ISNUMBER(SEARCH(Лист2!$B$5,I:I)),G6155=1),MAX($H$3:OFFSET(H6155,-1,0))+1,0)</f>
        <v>0</v>
      </c>
      <c r="I6155" s="3" t="s">
        <v>493</v>
      </c>
      <c r="K6155" s="2">
        <f>IF(ISNUMBER(SEARCH(Лист2!$B$4,F:F)),1,0)</f>
        <v>0</v>
      </c>
      <c r="L6155" s="14">
        <f>IF(ISNUMBER(SEARCH(Лист2!$B$5,I:I)),1,0)+K6155</f>
        <v>0</v>
      </c>
      <c r="M6155" s="3">
        <f ca="1">IF(AND(N6155&lt;&gt;N6154,ISNUMBER(SEARCH(Лист2!$B$6,N:N)),L6155=2),MAX($M$3:OFFSET(M6155,-1,0))+1,0)</f>
        <v>0</v>
      </c>
      <c r="N6155" s="3" t="s">
        <v>3599</v>
      </c>
    </row>
    <row r="6156" spans="1:14" x14ac:dyDescent="0.25">
      <c r="A6156" s="1" t="s">
        <v>14592</v>
      </c>
      <c r="B6156" s="3" t="s">
        <v>9769</v>
      </c>
      <c r="F6156" s="4" t="s">
        <v>38</v>
      </c>
      <c r="G6156" s="2">
        <f>IF(ISNUMBER(SEARCH(Лист2!$B$4,F:F)),1,0)</f>
        <v>0</v>
      </c>
      <c r="H6156" s="3">
        <f ca="1">IF(AND(I6156&lt;&gt;I6155,ISNUMBER(SEARCH(Лист2!$B$5,I:I)),G6156=1),MAX($H$3:OFFSET(H6156,-1,0))+1,0)</f>
        <v>0</v>
      </c>
      <c r="I6156" s="3" t="s">
        <v>493</v>
      </c>
      <c r="K6156" s="2">
        <f>IF(ISNUMBER(SEARCH(Лист2!$B$4,F:F)),1,0)</f>
        <v>0</v>
      </c>
      <c r="L6156" s="14">
        <f>IF(ISNUMBER(SEARCH(Лист2!$B$5,I:I)),1,0)+K6156</f>
        <v>0</v>
      </c>
      <c r="M6156" s="3">
        <f ca="1">IF(AND(N6156&lt;&gt;N6155,ISNUMBER(SEARCH(Лист2!$B$6,N:N)),L6156=2),MAX($M$3:OFFSET(M6156,-1,0))+1,0)</f>
        <v>0</v>
      </c>
      <c r="N6156" s="3" t="s">
        <v>3618</v>
      </c>
    </row>
    <row r="6157" spans="1:14" x14ac:dyDescent="0.25">
      <c r="A6157" s="1" t="s">
        <v>14593</v>
      </c>
      <c r="B6157" s="3" t="s">
        <v>9770</v>
      </c>
      <c r="F6157" s="4" t="s">
        <v>38</v>
      </c>
      <c r="G6157" s="2">
        <f>IF(ISNUMBER(SEARCH(Лист2!$B$4,F:F)),1,0)</f>
        <v>0</v>
      </c>
      <c r="H6157" s="3">
        <f ca="1">IF(AND(I6157&lt;&gt;I6156,ISNUMBER(SEARCH(Лист2!$B$5,I:I)),G6157=1),MAX($H$3:OFFSET(H6157,-1,0))+1,0)</f>
        <v>0</v>
      </c>
      <c r="I6157" s="3" t="s">
        <v>493</v>
      </c>
      <c r="K6157" s="2">
        <f>IF(ISNUMBER(SEARCH(Лист2!$B$4,F:F)),1,0)</f>
        <v>0</v>
      </c>
      <c r="L6157" s="14">
        <f>IF(ISNUMBER(SEARCH(Лист2!$B$5,I:I)),1,0)+K6157</f>
        <v>0</v>
      </c>
      <c r="M6157" s="3">
        <f ca="1">IF(AND(N6157&lt;&gt;N6156,ISNUMBER(SEARCH(Лист2!$B$6,N:N)),L6157=2),MAX($M$3:OFFSET(M6157,-1,0))+1,0)</f>
        <v>0</v>
      </c>
      <c r="N6157" s="3" t="s">
        <v>3619</v>
      </c>
    </row>
    <row r="6158" spans="1:14" x14ac:dyDescent="0.25">
      <c r="A6158" s="1" t="s">
        <v>14594</v>
      </c>
      <c r="B6158" s="3" t="s">
        <v>9771</v>
      </c>
      <c r="F6158" s="4" t="s">
        <v>38</v>
      </c>
      <c r="G6158" s="2">
        <f>IF(ISNUMBER(SEARCH(Лист2!$B$4,F:F)),1,0)</f>
        <v>0</v>
      </c>
      <c r="H6158" s="3">
        <f ca="1">IF(AND(I6158&lt;&gt;I6157,ISNUMBER(SEARCH(Лист2!$B$5,I:I)),G6158=1),MAX($H$3:OFFSET(H6158,-1,0))+1,0)</f>
        <v>0</v>
      </c>
      <c r="I6158" s="3" t="s">
        <v>493</v>
      </c>
      <c r="K6158" s="2">
        <f>IF(ISNUMBER(SEARCH(Лист2!$B$4,F:F)),1,0)</f>
        <v>0</v>
      </c>
      <c r="L6158" s="14">
        <f>IF(ISNUMBER(SEARCH(Лист2!$B$5,I:I)),1,0)+K6158</f>
        <v>0</v>
      </c>
      <c r="M6158" s="3">
        <f ca="1">IF(AND(N6158&lt;&gt;N6157,ISNUMBER(SEARCH(Лист2!$B$6,N:N)),L6158=2),MAX($M$3:OFFSET(M6158,-1,0))+1,0)</f>
        <v>0</v>
      </c>
      <c r="N6158" s="3" t="s">
        <v>602</v>
      </c>
    </row>
    <row r="6159" spans="1:14" x14ac:dyDescent="0.25">
      <c r="A6159" s="1" t="s">
        <v>14595</v>
      </c>
      <c r="B6159" s="3" t="s">
        <v>9772</v>
      </c>
      <c r="F6159" s="4" t="s">
        <v>38</v>
      </c>
      <c r="I6159" s="3" t="s">
        <v>493</v>
      </c>
      <c r="N6159" s="3" t="s">
        <v>3620</v>
      </c>
    </row>
    <row r="6160" spans="1:14" x14ac:dyDescent="0.25">
      <c r="A6160" s="1" t="s">
        <v>14596</v>
      </c>
      <c r="B6160" s="3" t="s">
        <v>9773</v>
      </c>
      <c r="F6160" s="4" t="s">
        <v>38</v>
      </c>
      <c r="I6160" s="3" t="s">
        <v>494</v>
      </c>
      <c r="N6160" s="3" t="s">
        <v>3621</v>
      </c>
    </row>
    <row r="6161" spans="1:14" x14ac:dyDescent="0.25">
      <c r="A6161" s="1" t="s">
        <v>14597</v>
      </c>
      <c r="B6161" s="3" t="s">
        <v>9774</v>
      </c>
      <c r="F6161" s="4" t="s">
        <v>38</v>
      </c>
      <c r="I6161" s="3" t="s">
        <v>494</v>
      </c>
      <c r="N6161" s="3" t="s">
        <v>3622</v>
      </c>
    </row>
    <row r="6162" spans="1:14" x14ac:dyDescent="0.25">
      <c r="A6162" s="1" t="s">
        <v>14598</v>
      </c>
      <c r="B6162" s="3" t="s">
        <v>9775</v>
      </c>
      <c r="F6162" s="4" t="s">
        <v>38</v>
      </c>
      <c r="I6162" s="3" t="s">
        <v>494</v>
      </c>
      <c r="N6162" s="3" t="s">
        <v>3623</v>
      </c>
    </row>
    <row r="6163" spans="1:14" x14ac:dyDescent="0.25">
      <c r="A6163" s="1" t="s">
        <v>14599</v>
      </c>
      <c r="B6163" s="3" t="s">
        <v>9776</v>
      </c>
      <c r="F6163" s="4" t="s">
        <v>38</v>
      </c>
      <c r="I6163" s="3" t="s">
        <v>494</v>
      </c>
      <c r="N6163" s="3" t="s">
        <v>3624</v>
      </c>
    </row>
    <row r="6164" spans="1:14" x14ac:dyDescent="0.25">
      <c r="A6164" s="1" t="s">
        <v>14600</v>
      </c>
      <c r="B6164" s="3" t="s">
        <v>9777</v>
      </c>
      <c r="F6164" s="4" t="s">
        <v>38</v>
      </c>
      <c r="I6164" s="3" t="s">
        <v>494</v>
      </c>
      <c r="N6164" s="3" t="s">
        <v>1385</v>
      </c>
    </row>
    <row r="6165" spans="1:14" x14ac:dyDescent="0.25">
      <c r="A6165" s="1" t="s">
        <v>14601</v>
      </c>
      <c r="B6165" s="3" t="s">
        <v>9778</v>
      </c>
      <c r="F6165" s="4" t="s">
        <v>38</v>
      </c>
      <c r="I6165" s="3" t="s">
        <v>494</v>
      </c>
      <c r="N6165" s="3" t="s">
        <v>3625</v>
      </c>
    </row>
    <row r="6166" spans="1:14" x14ac:dyDescent="0.25">
      <c r="A6166" s="1" t="s">
        <v>14602</v>
      </c>
      <c r="B6166" s="3" t="s">
        <v>9779</v>
      </c>
      <c r="F6166" s="4" t="s">
        <v>38</v>
      </c>
      <c r="I6166" s="3" t="s">
        <v>494</v>
      </c>
      <c r="N6166" s="3" t="s">
        <v>3626</v>
      </c>
    </row>
    <row r="6169" spans="1:14" x14ac:dyDescent="0.25">
      <c r="B6169" s="3" t="s">
        <v>9780</v>
      </c>
      <c r="I6169" s="3" t="s">
        <v>363</v>
      </c>
    </row>
  </sheetData>
  <sheetProtection selectLockedCells="1" selectUnlockedCells="1"/>
  <autoFilter ref="F3:I6166" xr:uid="{3BA5AEB8-C07D-4FD5-97EA-9E9A4711EAB3}"/>
  <sortState ref="B4:N6169">
    <sortCondition ref="K4:K6169"/>
    <sortCondition ref="N4:N6169"/>
  </sortState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E17CA-DFE7-46B0-A6BF-1619A74F7FEB}">
  <sheetPr codeName="Лист3"/>
  <dimension ref="A3:K16"/>
  <sheetViews>
    <sheetView tabSelected="1" workbookViewId="0">
      <selection activeCell="I19" sqref="I19"/>
    </sheetView>
  </sheetViews>
  <sheetFormatPr defaultRowHeight="15" x14ac:dyDescent="0.25"/>
  <cols>
    <col min="1" max="1" width="20.42578125" bestFit="1" customWidth="1"/>
    <col min="2" max="2" width="84.42578125" bestFit="1" customWidth="1"/>
    <col min="5" max="5" width="14.42578125" customWidth="1"/>
    <col min="6" max="6" width="10.140625" bestFit="1" customWidth="1"/>
    <col min="7" max="7" width="9.28515625" customWidth="1"/>
    <col min="8" max="8" width="12.42578125" customWidth="1"/>
    <col min="9" max="9" width="15.140625" customWidth="1"/>
    <col min="10" max="10" width="16.5703125" customWidth="1"/>
    <col min="11" max="11" width="22.42578125" customWidth="1"/>
  </cols>
  <sheetData>
    <row r="3" spans="1:11" x14ac:dyDescent="0.25">
      <c r="B3" s="21" t="s">
        <v>14608</v>
      </c>
    </row>
    <row r="4" spans="1:11" x14ac:dyDescent="0.25">
      <c r="A4" t="s">
        <v>9794</v>
      </c>
      <c r="B4" s="12" t="s">
        <v>37</v>
      </c>
    </row>
    <row r="5" spans="1:11" x14ac:dyDescent="0.25">
      <c r="A5" t="s">
        <v>9796</v>
      </c>
      <c r="B5" s="18" t="s">
        <v>439</v>
      </c>
    </row>
    <row r="6" spans="1:11" x14ac:dyDescent="0.25">
      <c r="A6" t="s">
        <v>9799</v>
      </c>
      <c r="B6" s="13" t="s">
        <v>3485</v>
      </c>
      <c r="E6" t="s">
        <v>9804</v>
      </c>
      <c r="F6" t="s">
        <v>14081</v>
      </c>
      <c r="G6" t="s">
        <v>14082</v>
      </c>
      <c r="H6" t="s">
        <v>14603</v>
      </c>
      <c r="I6" t="s">
        <v>14084</v>
      </c>
      <c r="J6" t="s">
        <v>14083</v>
      </c>
      <c r="K6" t="s">
        <v>14604</v>
      </c>
    </row>
    <row r="7" spans="1:11" x14ac:dyDescent="0.25">
      <c r="A7" t="s">
        <v>9804</v>
      </c>
      <c r="B7" s="19" t="str">
        <f>INDEX(лист1!B:B,MATCH(CONCATENATE(B4,B5,B6),лист1!A:A,0))</f>
        <v>11-18994</v>
      </c>
      <c r="E7" s="16" t="s">
        <v>4624</v>
      </c>
      <c r="F7" s="15">
        <v>45196</v>
      </c>
      <c r="G7" s="16">
        <v>100</v>
      </c>
      <c r="H7" s="16">
        <v>10</v>
      </c>
      <c r="I7" s="16">
        <v>5</v>
      </c>
      <c r="J7" s="16">
        <v>123</v>
      </c>
      <c r="K7" s="16"/>
    </row>
    <row r="8" spans="1:11" x14ac:dyDescent="0.25">
      <c r="A8" t="s">
        <v>14081</v>
      </c>
      <c r="B8" s="20">
        <f ca="1">TODAY()-1</f>
        <v>45200</v>
      </c>
      <c r="E8" s="16" t="s">
        <v>3711</v>
      </c>
      <c r="F8" s="15">
        <v>45197</v>
      </c>
      <c r="G8" s="16">
        <v>8</v>
      </c>
      <c r="H8" s="16">
        <v>13</v>
      </c>
      <c r="I8" s="16">
        <v>3</v>
      </c>
      <c r="J8" s="16">
        <v>114</v>
      </c>
      <c r="K8" s="16" t="s">
        <v>14607</v>
      </c>
    </row>
    <row r="9" spans="1:11" x14ac:dyDescent="0.25">
      <c r="A9" t="s">
        <v>14082</v>
      </c>
      <c r="E9" s="16" t="s">
        <v>7912</v>
      </c>
      <c r="F9" s="15">
        <v>45197</v>
      </c>
      <c r="G9" s="16">
        <v>7</v>
      </c>
      <c r="H9" s="16">
        <v>12</v>
      </c>
      <c r="I9" s="16">
        <v>2</v>
      </c>
      <c r="J9" s="16">
        <v>113</v>
      </c>
      <c r="K9" s="16" t="s">
        <v>14606</v>
      </c>
    </row>
    <row r="10" spans="1:11" x14ac:dyDescent="0.25">
      <c r="A10" t="s">
        <v>14603</v>
      </c>
      <c r="E10" t="s">
        <v>7201</v>
      </c>
      <c r="F10" s="15">
        <v>45197</v>
      </c>
      <c r="G10">
        <v>6</v>
      </c>
      <c r="H10">
        <v>11</v>
      </c>
      <c r="I10">
        <v>1</v>
      </c>
      <c r="J10">
        <v>112</v>
      </c>
      <c r="K10" t="s">
        <v>14605</v>
      </c>
    </row>
    <row r="11" spans="1:11" x14ac:dyDescent="0.25">
      <c r="A11" t="s">
        <v>14084</v>
      </c>
      <c r="F11" s="15"/>
    </row>
    <row r="12" spans="1:11" x14ac:dyDescent="0.25">
      <c r="A12" t="s">
        <v>14083</v>
      </c>
    </row>
    <row r="13" spans="1:11" x14ac:dyDescent="0.25">
      <c r="A13" t="s">
        <v>14604</v>
      </c>
      <c r="E13" s="16"/>
      <c r="F13" s="15"/>
      <c r="G13" s="16"/>
      <c r="H13" s="16"/>
      <c r="I13" s="16"/>
      <c r="J13" s="16"/>
      <c r="K13" s="16"/>
    </row>
    <row r="14" spans="1:11" x14ac:dyDescent="0.25">
      <c r="E14" s="16"/>
      <c r="F14" s="15"/>
      <c r="G14" s="16"/>
      <c r="H14" s="16"/>
      <c r="I14" s="16"/>
      <c r="J14" s="16"/>
      <c r="K14" s="16"/>
    </row>
    <row r="15" spans="1:11" x14ac:dyDescent="0.25">
      <c r="F15" s="15"/>
    </row>
    <row r="16" spans="1:11" x14ac:dyDescent="0.25">
      <c r="F16" s="15"/>
    </row>
  </sheetData>
  <dataValidations count="3">
    <dataValidation type="list" allowBlank="1" showInputMessage="1" sqref="B4" xr:uid="{27EF8020-561E-45EA-B8C6-D62797149299}">
      <formula1>INDIRECT("Таблица2[фильтрация_Т]")</formula1>
    </dataValidation>
    <dataValidation type="list" allowBlank="1" showInputMessage="1" sqref="B5" xr:uid="{24153FBE-0736-4CD8-AE1F-A782BF677F54}">
      <formula1>INDIRECT("Таблица3[фильтрация_К]")</formula1>
    </dataValidation>
    <dataValidation type="list" allowBlank="1" showInputMessage="1" sqref="B6" xr:uid="{9A151BC5-7057-434C-AE2B-FBF66CD08256}">
      <formula1>INDIRECT("Таблица4[фильтрация_О]")</formula1>
    </dataValidation>
  </dataValidations>
  <pageMargins left="0.7" right="0.7" top="0.75" bottom="0.75" header="0.3" footer="0.3"/>
  <pageSetup paperSize="9" orientation="portrait" r:id="rId1"/>
  <ignoredErrors>
    <ignoredError sqref="E7 E8:K10 F7:J7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Макрос6">
                <anchor moveWithCells="1" sizeWithCells="1">
                  <from>
                    <xdr:col>1</xdr:col>
                    <xdr:colOff>38100</xdr:colOff>
                    <xdr:row>13</xdr:row>
                    <xdr:rowOff>47625</xdr:rowOff>
                  </from>
                  <to>
                    <xdr:col>1</xdr:col>
                    <xdr:colOff>5572125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2023-09-19T11:16:34Z</dcterms:created>
  <dcterms:modified xsi:type="dcterms:W3CDTF">2023-10-02T15:30:48Z</dcterms:modified>
</cp:coreProperties>
</file>